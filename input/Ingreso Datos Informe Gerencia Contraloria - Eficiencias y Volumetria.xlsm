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3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Areas\input\"/>
    </mc:Choice>
  </mc:AlternateContent>
  <xr:revisionPtr revIDLastSave="0" documentId="13_ncr:1_{B6B81F63-C996-4B7C-A853-DFD71117AAEB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2">Administrativa!$A$1:$K$3000</definedName>
    <definedName name="_xlnm._FilterDatabase" localSheetId="3">'Analítica de Contraloría'!$A$1:$K$19</definedName>
    <definedName name="_xlnm._FilterDatabase" localSheetId="0">'Conceptos Ant'!$A$1:$E$76</definedName>
    <definedName name="_xlnm._FilterDatabase" localSheetId="4">Contabilidad!$A$1:$K$3000</definedName>
    <definedName name="_xlnm._FilterDatabase" localSheetId="9">'data consol'!$A$1:$R$168</definedName>
    <definedName name="_xlnm._FilterDatabase" localSheetId="7">'Riesgos y Cumplimiento'!$A$1:$K$3000</definedName>
  </definedNames>
  <calcPr calcId="181029"/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F171" i="8"/>
  <c r="E171" i="8"/>
  <c r="C171" i="8"/>
  <c r="J170" i="8"/>
  <c r="I170" i="8"/>
  <c r="F170" i="8"/>
  <c r="E170" i="8"/>
  <c r="C170" i="8"/>
  <c r="J169" i="8"/>
  <c r="I169" i="8"/>
  <c r="F169" i="8"/>
  <c r="E169" i="8"/>
  <c r="C169" i="8"/>
  <c r="J168" i="8"/>
  <c r="I168" i="8"/>
  <c r="F168" i="8"/>
  <c r="E168" i="8"/>
  <c r="C168" i="8"/>
  <c r="J167" i="8"/>
  <c r="I167" i="8"/>
  <c r="F167" i="8"/>
  <c r="E167" i="8"/>
  <c r="C167" i="8"/>
  <c r="J166" i="8"/>
  <c r="I166" i="8"/>
  <c r="F166" i="8"/>
  <c r="E166" i="8"/>
  <c r="C166" i="8"/>
  <c r="J165" i="8"/>
  <c r="I165" i="8"/>
  <c r="F165" i="8"/>
  <c r="E165" i="8"/>
  <c r="C165" i="8"/>
  <c r="J164" i="8"/>
  <c r="I164" i="8"/>
  <c r="F164" i="8"/>
  <c r="E164" i="8"/>
  <c r="C164" i="8"/>
  <c r="J163" i="8"/>
  <c r="I163" i="8"/>
  <c r="F163" i="8"/>
  <c r="E163" i="8"/>
  <c r="C163" i="8"/>
  <c r="J162" i="8"/>
  <c r="I162" i="8"/>
  <c r="F162" i="8"/>
  <c r="E162" i="8"/>
  <c r="C162" i="8"/>
  <c r="J161" i="8"/>
  <c r="I161" i="8"/>
  <c r="F161" i="8"/>
  <c r="E161" i="8"/>
  <c r="C161" i="8"/>
  <c r="J160" i="8"/>
  <c r="I160" i="8"/>
  <c r="F160" i="8"/>
  <c r="E160" i="8"/>
  <c r="C160" i="8"/>
  <c r="J159" i="8"/>
  <c r="I159" i="8"/>
  <c r="F159" i="8"/>
  <c r="E159" i="8"/>
  <c r="C159" i="8"/>
  <c r="J158" i="8"/>
  <c r="I158" i="8"/>
  <c r="F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F220" i="7"/>
  <c r="E220" i="7"/>
  <c r="C220" i="7"/>
  <c r="J219" i="7"/>
  <c r="I219" i="7"/>
  <c r="F219" i="7"/>
  <c r="E219" i="7"/>
  <c r="C219" i="7"/>
  <c r="J218" i="7"/>
  <c r="I218" i="7"/>
  <c r="F218" i="7"/>
  <c r="E218" i="7"/>
  <c r="C218" i="7"/>
  <c r="J217" i="7"/>
  <c r="I217" i="7"/>
  <c r="F217" i="7"/>
  <c r="E217" i="7"/>
  <c r="C217" i="7"/>
  <c r="J216" i="7"/>
  <c r="I216" i="7"/>
  <c r="F216" i="7"/>
  <c r="E216" i="7"/>
  <c r="C216" i="7"/>
  <c r="J215" i="7"/>
  <c r="I215" i="7"/>
  <c r="F215" i="7"/>
  <c r="E215" i="7"/>
  <c r="C215" i="7"/>
  <c r="J214" i="7"/>
  <c r="I214" i="7"/>
  <c r="F214" i="7"/>
  <c r="E214" i="7"/>
  <c r="C214" i="7"/>
  <c r="J213" i="7"/>
  <c r="I213" i="7"/>
  <c r="F213" i="7"/>
  <c r="E213" i="7"/>
  <c r="C213" i="7"/>
  <c r="J212" i="7"/>
  <c r="I212" i="7"/>
  <c r="F212" i="7"/>
  <c r="E212" i="7"/>
  <c r="C212" i="7"/>
  <c r="J211" i="7"/>
  <c r="I211" i="7"/>
  <c r="F211" i="7"/>
  <c r="E211" i="7"/>
  <c r="C211" i="7"/>
  <c r="J210" i="7"/>
  <c r="I210" i="7"/>
  <c r="F210" i="7"/>
  <c r="E210" i="7"/>
  <c r="C210" i="7"/>
  <c r="J209" i="7"/>
  <c r="I209" i="7"/>
  <c r="F209" i="7"/>
  <c r="E209" i="7"/>
  <c r="C209" i="7"/>
  <c r="J208" i="7"/>
  <c r="I208" i="7"/>
  <c r="F208" i="7"/>
  <c r="E208" i="7"/>
  <c r="C208" i="7"/>
  <c r="J207" i="7"/>
  <c r="I207" i="7"/>
  <c r="F207" i="7"/>
  <c r="E207" i="7"/>
  <c r="C207" i="7"/>
  <c r="J206" i="7"/>
  <c r="I206" i="7"/>
  <c r="F206" i="7"/>
  <c r="E206" i="7"/>
  <c r="C206" i="7"/>
  <c r="J205" i="7"/>
  <c r="I205" i="7"/>
  <c r="F205" i="7"/>
  <c r="E205" i="7"/>
  <c r="C205" i="7"/>
  <c r="J204" i="7"/>
  <c r="I204" i="7"/>
  <c r="F204" i="7"/>
  <c r="E204" i="7"/>
  <c r="C204" i="7"/>
  <c r="J203" i="7"/>
  <c r="I203" i="7"/>
  <c r="F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F277" i="6"/>
  <c r="E277" i="6"/>
  <c r="C277" i="6"/>
  <c r="J276" i="6"/>
  <c r="I276" i="6"/>
  <c r="F276" i="6"/>
  <c r="E276" i="6"/>
  <c r="C276" i="6"/>
  <c r="J275" i="6"/>
  <c r="I275" i="6"/>
  <c r="F275" i="6"/>
  <c r="E275" i="6"/>
  <c r="C275" i="6"/>
  <c r="J274" i="6"/>
  <c r="I274" i="6"/>
  <c r="F274" i="6"/>
  <c r="E274" i="6"/>
  <c r="C274" i="6"/>
  <c r="J273" i="6"/>
  <c r="I273" i="6"/>
  <c r="F273" i="6"/>
  <c r="E273" i="6"/>
  <c r="C273" i="6"/>
  <c r="J272" i="6"/>
  <c r="I272" i="6"/>
  <c r="F272" i="6"/>
  <c r="E272" i="6"/>
  <c r="C272" i="6"/>
  <c r="J271" i="6"/>
  <c r="I271" i="6"/>
  <c r="F271" i="6"/>
  <c r="E271" i="6"/>
  <c r="C271" i="6"/>
  <c r="J270" i="6"/>
  <c r="I270" i="6"/>
  <c r="F270" i="6"/>
  <c r="E270" i="6"/>
  <c r="C270" i="6"/>
  <c r="J269" i="6"/>
  <c r="I269" i="6"/>
  <c r="F269" i="6"/>
  <c r="E269" i="6"/>
  <c r="C269" i="6"/>
  <c r="J268" i="6"/>
  <c r="I268" i="6"/>
  <c r="F268" i="6"/>
  <c r="E268" i="6"/>
  <c r="C268" i="6"/>
  <c r="J267" i="6"/>
  <c r="I267" i="6"/>
  <c r="F267" i="6"/>
  <c r="E267" i="6"/>
  <c r="C267" i="6"/>
  <c r="J266" i="6"/>
  <c r="I266" i="6"/>
  <c r="F266" i="6"/>
  <c r="E266" i="6"/>
  <c r="C266" i="6"/>
  <c r="J265" i="6"/>
  <c r="I265" i="6"/>
  <c r="F265" i="6"/>
  <c r="E265" i="6"/>
  <c r="C265" i="6"/>
  <c r="J264" i="6"/>
  <c r="I264" i="6"/>
  <c r="F264" i="6"/>
  <c r="E264" i="6"/>
  <c r="C264" i="6"/>
  <c r="J263" i="6"/>
  <c r="I263" i="6"/>
  <c r="F263" i="6"/>
  <c r="E263" i="6"/>
  <c r="C263" i="6"/>
  <c r="J262" i="6"/>
  <c r="I262" i="6"/>
  <c r="F262" i="6"/>
  <c r="E262" i="6"/>
  <c r="C262" i="6"/>
  <c r="J261" i="6"/>
  <c r="I261" i="6"/>
  <c r="F261" i="6"/>
  <c r="E261" i="6"/>
  <c r="C261" i="6"/>
  <c r="J260" i="6"/>
  <c r="I260" i="6"/>
  <c r="F260" i="6"/>
  <c r="E260" i="6"/>
  <c r="C260" i="6"/>
  <c r="J259" i="6"/>
  <c r="I259" i="6"/>
  <c r="F259" i="6"/>
  <c r="E259" i="6"/>
  <c r="C259" i="6"/>
  <c r="J258" i="6"/>
  <c r="I258" i="6"/>
  <c r="F258" i="6"/>
  <c r="E258" i="6"/>
  <c r="C258" i="6"/>
  <c r="J257" i="6"/>
  <c r="I257" i="6"/>
  <c r="F257" i="6"/>
  <c r="E257" i="6"/>
  <c r="C257" i="6"/>
  <c r="J256" i="6"/>
  <c r="I256" i="6"/>
  <c r="F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F382" i="5"/>
  <c r="E382" i="5"/>
  <c r="C382" i="5"/>
  <c r="J381" i="5"/>
  <c r="I381" i="5"/>
  <c r="F381" i="5"/>
  <c r="E381" i="5"/>
  <c r="C381" i="5"/>
  <c r="J380" i="5"/>
  <c r="I380" i="5"/>
  <c r="F380" i="5"/>
  <c r="E380" i="5"/>
  <c r="C380" i="5"/>
  <c r="J379" i="5"/>
  <c r="I379" i="5"/>
  <c r="F379" i="5"/>
  <c r="E379" i="5"/>
  <c r="C379" i="5"/>
  <c r="J378" i="5"/>
  <c r="I378" i="5"/>
  <c r="F378" i="5"/>
  <c r="E378" i="5"/>
  <c r="C378" i="5"/>
  <c r="J377" i="5"/>
  <c r="I377" i="5"/>
  <c r="F377" i="5"/>
  <c r="E377" i="5"/>
  <c r="C377" i="5"/>
  <c r="J376" i="5"/>
  <c r="I376" i="5"/>
  <c r="F376" i="5"/>
  <c r="E376" i="5"/>
  <c r="C376" i="5"/>
  <c r="J375" i="5"/>
  <c r="I375" i="5"/>
  <c r="F375" i="5"/>
  <c r="E375" i="5"/>
  <c r="C375" i="5"/>
  <c r="J374" i="5"/>
  <c r="I374" i="5"/>
  <c r="F374" i="5"/>
  <c r="E374" i="5"/>
  <c r="C374" i="5"/>
  <c r="J373" i="5"/>
  <c r="I373" i="5"/>
  <c r="F373" i="5"/>
  <c r="E373" i="5"/>
  <c r="C373" i="5"/>
  <c r="J372" i="5"/>
  <c r="I372" i="5"/>
  <c r="F372" i="5"/>
  <c r="E372" i="5"/>
  <c r="C372" i="5"/>
  <c r="J371" i="5"/>
  <c r="I371" i="5"/>
  <c r="F371" i="5"/>
  <c r="E371" i="5"/>
  <c r="C371" i="5"/>
  <c r="J370" i="5"/>
  <c r="I370" i="5"/>
  <c r="F370" i="5"/>
  <c r="E370" i="5"/>
  <c r="C370" i="5"/>
  <c r="J369" i="5"/>
  <c r="I369" i="5"/>
  <c r="F369" i="5"/>
  <c r="E369" i="5"/>
  <c r="C369" i="5"/>
  <c r="J368" i="5"/>
  <c r="I368" i="5"/>
  <c r="F368" i="5"/>
  <c r="E368" i="5"/>
  <c r="C368" i="5"/>
  <c r="J367" i="5"/>
  <c r="I367" i="5"/>
  <c r="F367" i="5"/>
  <c r="E367" i="5"/>
  <c r="C367" i="5"/>
  <c r="J366" i="5"/>
  <c r="I366" i="5"/>
  <c r="F366" i="5"/>
  <c r="E366" i="5"/>
  <c r="C366" i="5"/>
  <c r="J365" i="5"/>
  <c r="I365" i="5"/>
  <c r="F365" i="5"/>
  <c r="E365" i="5"/>
  <c r="C365" i="5"/>
  <c r="J364" i="5"/>
  <c r="I364" i="5"/>
  <c r="F364" i="5"/>
  <c r="E364" i="5"/>
  <c r="C364" i="5"/>
  <c r="J363" i="5"/>
  <c r="I363" i="5"/>
  <c r="F363" i="5"/>
  <c r="E363" i="5"/>
  <c r="C363" i="5"/>
  <c r="J362" i="5"/>
  <c r="I362" i="5"/>
  <c r="F362" i="5"/>
  <c r="E362" i="5"/>
  <c r="C362" i="5"/>
  <c r="J361" i="5"/>
  <c r="I361" i="5"/>
  <c r="F361" i="5"/>
  <c r="E361" i="5"/>
  <c r="C361" i="5"/>
  <c r="J360" i="5"/>
  <c r="I360" i="5"/>
  <c r="F360" i="5"/>
  <c r="E360" i="5"/>
  <c r="C360" i="5"/>
  <c r="J359" i="5"/>
  <c r="I359" i="5"/>
  <c r="F359" i="5"/>
  <c r="E359" i="5"/>
  <c r="C359" i="5"/>
  <c r="J358" i="5"/>
  <c r="I358" i="5"/>
  <c r="F358" i="5"/>
  <c r="E358" i="5"/>
  <c r="C358" i="5"/>
  <c r="J357" i="5"/>
  <c r="I357" i="5"/>
  <c r="F357" i="5"/>
  <c r="E357" i="5"/>
  <c r="C357" i="5"/>
  <c r="J356" i="5"/>
  <c r="I356" i="5"/>
  <c r="F356" i="5"/>
  <c r="E356" i="5"/>
  <c r="C356" i="5"/>
  <c r="J355" i="5"/>
  <c r="I355" i="5"/>
  <c r="F355" i="5"/>
  <c r="E355" i="5"/>
  <c r="C355" i="5"/>
  <c r="J354" i="5"/>
  <c r="I354" i="5"/>
  <c r="F354" i="5"/>
  <c r="E354" i="5"/>
  <c r="C354" i="5"/>
  <c r="J353" i="5"/>
  <c r="I353" i="5"/>
  <c r="F353" i="5"/>
  <c r="E353" i="5"/>
  <c r="C353" i="5"/>
  <c r="J352" i="5"/>
  <c r="I352" i="5"/>
  <c r="E352" i="5"/>
  <c r="C352" i="5"/>
  <c r="J351" i="5"/>
  <c r="I351" i="5"/>
  <c r="E351" i="5"/>
  <c r="C351" i="5"/>
  <c r="J350" i="5"/>
  <c r="I350" i="5"/>
  <c r="E350" i="5"/>
  <c r="C350" i="5"/>
  <c r="J349" i="5"/>
  <c r="I349" i="5"/>
  <c r="E349" i="5"/>
  <c r="C349" i="5"/>
  <c r="J348" i="5"/>
  <c r="I348" i="5"/>
  <c r="E348" i="5"/>
  <c r="C348" i="5"/>
  <c r="J347" i="5"/>
  <c r="I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F361" i="4"/>
  <c r="E361" i="4"/>
  <c r="C361" i="4"/>
  <c r="J360" i="4"/>
  <c r="I360" i="4"/>
  <c r="F360" i="4"/>
  <c r="E360" i="4"/>
  <c r="C360" i="4"/>
  <c r="J359" i="4"/>
  <c r="I359" i="4"/>
  <c r="F359" i="4"/>
  <c r="E359" i="4"/>
  <c r="C359" i="4"/>
  <c r="J358" i="4"/>
  <c r="I358" i="4"/>
  <c r="F358" i="4"/>
  <c r="E358" i="4"/>
  <c r="C358" i="4"/>
  <c r="J357" i="4"/>
  <c r="I357" i="4"/>
  <c r="F357" i="4"/>
  <c r="E357" i="4"/>
  <c r="C357" i="4"/>
  <c r="J356" i="4"/>
  <c r="I356" i="4"/>
  <c r="F356" i="4"/>
  <c r="E356" i="4"/>
  <c r="C356" i="4"/>
  <c r="J355" i="4"/>
  <c r="I355" i="4"/>
  <c r="F355" i="4"/>
  <c r="E355" i="4"/>
  <c r="C355" i="4"/>
  <c r="J354" i="4"/>
  <c r="I354" i="4"/>
  <c r="F354" i="4"/>
  <c r="E354" i="4"/>
  <c r="C354" i="4"/>
  <c r="J353" i="4"/>
  <c r="I353" i="4"/>
  <c r="F353" i="4"/>
  <c r="E353" i="4"/>
  <c r="C353" i="4"/>
  <c r="J352" i="4"/>
  <c r="I352" i="4"/>
  <c r="F352" i="4"/>
  <c r="E352" i="4"/>
  <c r="C352" i="4"/>
  <c r="J351" i="4"/>
  <c r="I351" i="4"/>
  <c r="F351" i="4"/>
  <c r="E351" i="4"/>
  <c r="C351" i="4"/>
  <c r="J350" i="4"/>
  <c r="I350" i="4"/>
  <c r="F350" i="4"/>
  <c r="E350" i="4"/>
  <c r="C350" i="4"/>
  <c r="J349" i="4"/>
  <c r="I349" i="4"/>
  <c r="F349" i="4"/>
  <c r="E349" i="4"/>
  <c r="C349" i="4"/>
  <c r="J348" i="4"/>
  <c r="I348" i="4"/>
  <c r="F348" i="4"/>
  <c r="E348" i="4"/>
  <c r="C348" i="4"/>
  <c r="J347" i="4"/>
  <c r="I347" i="4"/>
  <c r="F347" i="4"/>
  <c r="E347" i="4"/>
  <c r="C347" i="4"/>
  <c r="J346" i="4"/>
  <c r="I346" i="4"/>
  <c r="F346" i="4"/>
  <c r="E346" i="4"/>
  <c r="C346" i="4"/>
  <c r="J345" i="4"/>
  <c r="I345" i="4"/>
  <c r="F345" i="4"/>
  <c r="E345" i="4"/>
  <c r="C345" i="4"/>
  <c r="J344" i="4"/>
  <c r="I344" i="4"/>
  <c r="F344" i="4"/>
  <c r="E344" i="4"/>
  <c r="C344" i="4"/>
  <c r="J343" i="4"/>
  <c r="I343" i="4"/>
  <c r="F343" i="4"/>
  <c r="E343" i="4"/>
  <c r="C343" i="4"/>
  <c r="J342" i="4"/>
  <c r="I342" i="4"/>
  <c r="F342" i="4"/>
  <c r="E342" i="4"/>
  <c r="C342" i="4"/>
  <c r="J341" i="4"/>
  <c r="I341" i="4"/>
  <c r="F341" i="4"/>
  <c r="E341" i="4"/>
  <c r="C341" i="4"/>
  <c r="J340" i="4"/>
  <c r="I340" i="4"/>
  <c r="F340" i="4"/>
  <c r="E340" i="4"/>
  <c r="C340" i="4"/>
  <c r="J339" i="4"/>
  <c r="I339" i="4"/>
  <c r="F339" i="4"/>
  <c r="E339" i="4"/>
  <c r="C339" i="4"/>
  <c r="J338" i="4"/>
  <c r="I338" i="4"/>
  <c r="F338" i="4"/>
  <c r="E338" i="4"/>
  <c r="C338" i="4"/>
  <c r="J337" i="4"/>
  <c r="I337" i="4"/>
  <c r="F337" i="4"/>
  <c r="E337" i="4"/>
  <c r="C337" i="4"/>
  <c r="J336" i="4"/>
  <c r="I336" i="4"/>
  <c r="F336" i="4"/>
  <c r="E336" i="4"/>
  <c r="C336" i="4"/>
  <c r="J335" i="4"/>
  <c r="I335" i="4"/>
  <c r="F335" i="4"/>
  <c r="E335" i="4"/>
  <c r="C335" i="4"/>
  <c r="J334" i="4"/>
  <c r="I334" i="4"/>
  <c r="F334" i="4"/>
  <c r="E334" i="4"/>
  <c r="C334" i="4"/>
  <c r="J333" i="4"/>
  <c r="I333" i="4"/>
  <c r="F333" i="4"/>
  <c r="E333" i="4"/>
  <c r="C333" i="4"/>
  <c r="J332" i="4"/>
  <c r="I332" i="4"/>
  <c r="F332" i="4"/>
  <c r="E332" i="4"/>
  <c r="C332" i="4"/>
  <c r="J331" i="4"/>
  <c r="I331" i="4"/>
  <c r="F331" i="4"/>
  <c r="E331" i="4"/>
  <c r="C331" i="4"/>
  <c r="J330" i="4"/>
  <c r="I330" i="4"/>
  <c r="F330" i="4"/>
  <c r="E330" i="4"/>
  <c r="C330" i="4"/>
  <c r="J329" i="4"/>
  <c r="I329" i="4"/>
  <c r="F329" i="4"/>
  <c r="E329" i="4"/>
  <c r="C329" i="4"/>
  <c r="J328" i="4"/>
  <c r="I328" i="4"/>
  <c r="F328" i="4"/>
  <c r="E328" i="4"/>
  <c r="C328" i="4"/>
  <c r="J327" i="4"/>
  <c r="I327" i="4"/>
  <c r="F327" i="4"/>
  <c r="E327" i="4"/>
  <c r="C327" i="4"/>
  <c r="J326" i="4"/>
  <c r="I326" i="4"/>
  <c r="F326" i="4"/>
  <c r="E326" i="4"/>
  <c r="C326" i="4"/>
  <c r="J325" i="4"/>
  <c r="I325" i="4"/>
  <c r="F325" i="4"/>
  <c r="E325" i="4"/>
  <c r="C325" i="4"/>
  <c r="J324" i="4"/>
  <c r="I324" i="4"/>
  <c r="F324" i="4"/>
  <c r="E324" i="4"/>
  <c r="C324" i="4"/>
  <c r="J323" i="4"/>
  <c r="I323" i="4"/>
  <c r="F323" i="4"/>
  <c r="E323" i="4"/>
  <c r="C323" i="4"/>
  <c r="J322" i="4"/>
  <c r="I322" i="4"/>
  <c r="F322" i="4"/>
  <c r="E322" i="4"/>
  <c r="C322" i="4"/>
  <c r="J321" i="4"/>
  <c r="I321" i="4"/>
  <c r="F321" i="4"/>
  <c r="E321" i="4"/>
  <c r="C321" i="4"/>
  <c r="J320" i="4"/>
  <c r="I320" i="4"/>
  <c r="F320" i="4"/>
  <c r="E320" i="4"/>
  <c r="C320" i="4"/>
  <c r="J319" i="4"/>
  <c r="I319" i="4"/>
  <c r="F319" i="4"/>
  <c r="E319" i="4"/>
  <c r="C319" i="4"/>
  <c r="J318" i="4"/>
  <c r="I318" i="4"/>
  <c r="F318" i="4"/>
  <c r="E318" i="4"/>
  <c r="C318" i="4"/>
  <c r="J317" i="4"/>
  <c r="I317" i="4"/>
  <c r="F317" i="4"/>
  <c r="E317" i="4"/>
  <c r="C317" i="4"/>
  <c r="J316" i="4"/>
  <c r="I316" i="4"/>
  <c r="F316" i="4"/>
  <c r="E316" i="4"/>
  <c r="C316" i="4"/>
  <c r="J315" i="4"/>
  <c r="I315" i="4"/>
  <c r="F315" i="4"/>
  <c r="E315" i="4"/>
  <c r="C315" i="4"/>
  <c r="J314" i="4"/>
  <c r="I314" i="4"/>
  <c r="F314" i="4"/>
  <c r="E314" i="4"/>
  <c r="C314" i="4"/>
  <c r="J313" i="4"/>
  <c r="I313" i="4"/>
  <c r="F313" i="4"/>
  <c r="E313" i="4"/>
  <c r="C313" i="4"/>
  <c r="J312" i="4"/>
  <c r="I312" i="4"/>
  <c r="F312" i="4"/>
  <c r="E312" i="4"/>
  <c r="C312" i="4"/>
  <c r="J311" i="4"/>
  <c r="I311" i="4"/>
  <c r="F311" i="4"/>
  <c r="E311" i="4"/>
  <c r="C311" i="4"/>
  <c r="J310" i="4"/>
  <c r="I310" i="4"/>
  <c r="F310" i="4"/>
  <c r="E310" i="4"/>
  <c r="C310" i="4"/>
  <c r="J309" i="4"/>
  <c r="I309" i="4"/>
  <c r="F309" i="4"/>
  <c r="E309" i="4"/>
  <c r="C309" i="4"/>
  <c r="J308" i="4"/>
  <c r="I308" i="4"/>
  <c r="F308" i="4"/>
  <c r="E308" i="4"/>
  <c r="C308" i="4"/>
  <c r="J307" i="4"/>
  <c r="I307" i="4"/>
  <c r="F307" i="4"/>
  <c r="E307" i="4"/>
  <c r="C307" i="4"/>
  <c r="J306" i="4"/>
  <c r="I306" i="4"/>
  <c r="F306" i="4"/>
  <c r="E306" i="4"/>
  <c r="C306" i="4"/>
  <c r="J305" i="4"/>
  <c r="I305" i="4"/>
  <c r="F305" i="4"/>
  <c r="E305" i="4"/>
  <c r="C305" i="4"/>
  <c r="J304" i="4"/>
  <c r="I304" i="4"/>
  <c r="F304" i="4"/>
  <c r="E304" i="4"/>
  <c r="C304" i="4"/>
  <c r="J303" i="4"/>
  <c r="I303" i="4"/>
  <c r="F303" i="4"/>
  <c r="E303" i="4"/>
  <c r="C303" i="4"/>
  <c r="J302" i="4"/>
  <c r="I302" i="4"/>
  <c r="F302" i="4"/>
  <c r="E302" i="4"/>
  <c r="C302" i="4"/>
  <c r="J301" i="4"/>
  <c r="I301" i="4"/>
  <c r="F301" i="4"/>
  <c r="E301" i="4"/>
  <c r="C301" i="4"/>
  <c r="J300" i="4"/>
  <c r="I300" i="4"/>
  <c r="F300" i="4"/>
  <c r="E300" i="4"/>
  <c r="C300" i="4"/>
  <c r="J299" i="4"/>
  <c r="I299" i="4"/>
  <c r="F299" i="4"/>
  <c r="E299" i="4"/>
  <c r="C299" i="4"/>
  <c r="J298" i="4"/>
  <c r="I298" i="4"/>
  <c r="F298" i="4"/>
  <c r="E298" i="4"/>
  <c r="C298" i="4"/>
  <c r="J297" i="4"/>
  <c r="I297" i="4"/>
  <c r="F297" i="4"/>
  <c r="E297" i="4"/>
  <c r="C297" i="4"/>
  <c r="J296" i="4"/>
  <c r="I296" i="4"/>
  <c r="F296" i="4"/>
  <c r="E296" i="4"/>
  <c r="C296" i="4"/>
  <c r="J295" i="4"/>
  <c r="I295" i="4"/>
  <c r="F295" i="4"/>
  <c r="E295" i="4"/>
  <c r="C295" i="4"/>
  <c r="J294" i="4"/>
  <c r="I294" i="4"/>
  <c r="F294" i="4"/>
  <c r="E294" i="4"/>
  <c r="C294" i="4"/>
  <c r="J293" i="4"/>
  <c r="I293" i="4"/>
  <c r="F293" i="4"/>
  <c r="E293" i="4"/>
  <c r="C293" i="4"/>
  <c r="J292" i="4"/>
  <c r="I292" i="4"/>
  <c r="F292" i="4"/>
  <c r="E292" i="4"/>
  <c r="C292" i="4"/>
  <c r="J291" i="4"/>
  <c r="I291" i="4"/>
  <c r="F291" i="4"/>
  <c r="E291" i="4"/>
  <c r="C291" i="4"/>
  <c r="J290" i="4"/>
  <c r="I290" i="4"/>
  <c r="F290" i="4"/>
  <c r="E290" i="4"/>
  <c r="C290" i="4"/>
  <c r="J289" i="4"/>
  <c r="I289" i="4"/>
  <c r="F289" i="4"/>
  <c r="E289" i="4"/>
  <c r="C289" i="4"/>
  <c r="J288" i="4"/>
  <c r="I288" i="4"/>
  <c r="F288" i="4"/>
  <c r="E288" i="4"/>
  <c r="C288" i="4"/>
  <c r="J287" i="4"/>
  <c r="I287" i="4"/>
  <c r="F287" i="4"/>
  <c r="E287" i="4"/>
  <c r="C287" i="4"/>
  <c r="J286" i="4"/>
  <c r="I286" i="4"/>
  <c r="F286" i="4"/>
  <c r="E286" i="4"/>
  <c r="C286" i="4"/>
  <c r="J285" i="4"/>
  <c r="I285" i="4"/>
  <c r="F285" i="4"/>
  <c r="E285" i="4"/>
  <c r="C285" i="4"/>
  <c r="J284" i="4"/>
  <c r="I284" i="4"/>
  <c r="F284" i="4"/>
  <c r="E284" i="4"/>
  <c r="C284" i="4"/>
  <c r="J283" i="4"/>
  <c r="I283" i="4"/>
  <c r="F283" i="4"/>
  <c r="E283" i="4"/>
  <c r="C283" i="4"/>
  <c r="J282" i="4"/>
  <c r="I282" i="4"/>
  <c r="F282" i="4"/>
  <c r="E282" i="4"/>
  <c r="C282" i="4"/>
  <c r="J281" i="4"/>
  <c r="I281" i="4"/>
  <c r="F281" i="4"/>
  <c r="E281" i="4"/>
  <c r="C281" i="4"/>
  <c r="J280" i="4"/>
  <c r="I280" i="4"/>
  <c r="F280" i="4"/>
  <c r="E280" i="4"/>
  <c r="C280" i="4"/>
  <c r="J279" i="4"/>
  <c r="I279" i="4"/>
  <c r="F279" i="4"/>
  <c r="E279" i="4"/>
  <c r="C279" i="4"/>
  <c r="J278" i="4"/>
  <c r="I278" i="4"/>
  <c r="F278" i="4"/>
  <c r="E278" i="4"/>
  <c r="C278" i="4"/>
  <c r="J277" i="4"/>
  <c r="I277" i="4"/>
  <c r="F277" i="4"/>
  <c r="E277" i="4"/>
  <c r="C277" i="4"/>
  <c r="J276" i="4"/>
  <c r="I276" i="4"/>
  <c r="F276" i="4"/>
  <c r="E276" i="4"/>
  <c r="C276" i="4"/>
  <c r="J275" i="4"/>
  <c r="I275" i="4"/>
  <c r="F275" i="4"/>
  <c r="E275" i="4"/>
  <c r="C275" i="4"/>
  <c r="J274" i="4"/>
  <c r="I274" i="4"/>
  <c r="F274" i="4"/>
  <c r="E274" i="4"/>
  <c r="C274" i="4"/>
  <c r="J273" i="4"/>
  <c r="I273" i="4"/>
  <c r="F273" i="4"/>
  <c r="E273" i="4"/>
  <c r="C273" i="4"/>
  <c r="J272" i="4"/>
  <c r="I272" i="4"/>
  <c r="F272" i="4"/>
  <c r="E272" i="4"/>
  <c r="C272" i="4"/>
  <c r="J271" i="4"/>
  <c r="I271" i="4"/>
  <c r="F271" i="4"/>
  <c r="E271" i="4"/>
  <c r="C271" i="4"/>
  <c r="J270" i="4"/>
  <c r="I270" i="4"/>
  <c r="F270" i="4"/>
  <c r="E270" i="4"/>
  <c r="C270" i="4"/>
  <c r="J269" i="4"/>
  <c r="I269" i="4"/>
  <c r="F269" i="4"/>
  <c r="E269" i="4"/>
  <c r="C269" i="4"/>
  <c r="J268" i="4"/>
  <c r="I268" i="4"/>
  <c r="F268" i="4"/>
  <c r="E268" i="4"/>
  <c r="C268" i="4"/>
  <c r="J267" i="4"/>
  <c r="I267" i="4"/>
  <c r="F267" i="4"/>
  <c r="E267" i="4"/>
  <c r="C267" i="4"/>
  <c r="J266" i="4"/>
  <c r="I266" i="4"/>
  <c r="F266" i="4"/>
  <c r="E266" i="4"/>
  <c r="C266" i="4"/>
  <c r="J265" i="4"/>
  <c r="I265" i="4"/>
  <c r="F265" i="4"/>
  <c r="E265" i="4"/>
  <c r="C265" i="4"/>
  <c r="J264" i="4"/>
  <c r="I264" i="4"/>
  <c r="F264" i="4"/>
  <c r="E264" i="4"/>
  <c r="C264" i="4"/>
  <c r="J263" i="4"/>
  <c r="I263" i="4"/>
  <c r="F263" i="4"/>
  <c r="E263" i="4"/>
  <c r="C263" i="4"/>
  <c r="J262" i="4"/>
  <c r="I262" i="4"/>
  <c r="F262" i="4"/>
  <c r="E262" i="4"/>
  <c r="C262" i="4"/>
  <c r="J261" i="4"/>
  <c r="I261" i="4"/>
  <c r="F261" i="4"/>
  <c r="E261" i="4"/>
  <c r="C261" i="4"/>
  <c r="J260" i="4"/>
  <c r="I260" i="4"/>
  <c r="F260" i="4"/>
  <c r="E260" i="4"/>
  <c r="C260" i="4"/>
  <c r="J259" i="4"/>
  <c r="I259" i="4"/>
  <c r="F259" i="4"/>
  <c r="E259" i="4"/>
  <c r="C259" i="4"/>
  <c r="J258" i="4"/>
  <c r="I258" i="4"/>
  <c r="F258" i="4"/>
  <c r="E258" i="4"/>
  <c r="C258" i="4"/>
  <c r="J257" i="4"/>
  <c r="I257" i="4"/>
  <c r="F257" i="4"/>
  <c r="E257" i="4"/>
  <c r="C257" i="4"/>
  <c r="J256" i="4"/>
  <c r="I256" i="4"/>
  <c r="F256" i="4"/>
  <c r="E256" i="4"/>
  <c r="C256" i="4"/>
  <c r="J255" i="4"/>
  <c r="I255" i="4"/>
  <c r="F255" i="4"/>
  <c r="E255" i="4"/>
  <c r="C255" i="4"/>
  <c r="J254" i="4"/>
  <c r="I254" i="4"/>
  <c r="F254" i="4"/>
  <c r="E254" i="4"/>
  <c r="C254" i="4"/>
  <c r="J253" i="4"/>
  <c r="I253" i="4"/>
  <c r="F253" i="4"/>
  <c r="E253" i="4"/>
  <c r="C253" i="4"/>
  <c r="J252" i="4"/>
  <c r="I252" i="4"/>
  <c r="F252" i="4"/>
  <c r="E252" i="4"/>
  <c r="C252" i="4"/>
  <c r="J251" i="4"/>
  <c r="I251" i="4"/>
  <c r="F251" i="4"/>
  <c r="E251" i="4"/>
  <c r="C251" i="4"/>
  <c r="J250" i="4"/>
  <c r="I250" i="4"/>
  <c r="F250" i="4"/>
  <c r="E250" i="4"/>
  <c r="C250" i="4"/>
  <c r="J249" i="4"/>
  <c r="I249" i="4"/>
  <c r="F249" i="4"/>
  <c r="E249" i="4"/>
  <c r="C249" i="4"/>
  <c r="J248" i="4"/>
  <c r="I248" i="4"/>
  <c r="F248" i="4"/>
  <c r="E248" i="4"/>
  <c r="C248" i="4"/>
  <c r="J247" i="4"/>
  <c r="I247" i="4"/>
  <c r="F247" i="4"/>
  <c r="E247" i="4"/>
  <c r="C247" i="4"/>
  <c r="J246" i="4"/>
  <c r="I246" i="4"/>
  <c r="F246" i="4"/>
  <c r="E246" i="4"/>
  <c r="C246" i="4"/>
  <c r="J245" i="4"/>
  <c r="I245" i="4"/>
  <c r="F245" i="4"/>
  <c r="E245" i="4"/>
  <c r="C245" i="4"/>
  <c r="J244" i="4"/>
  <c r="I244" i="4"/>
  <c r="F244" i="4"/>
  <c r="E244" i="4"/>
  <c r="C244" i="4"/>
  <c r="J243" i="4"/>
  <c r="I243" i="4"/>
  <c r="F243" i="4"/>
  <c r="E243" i="4"/>
  <c r="C243" i="4"/>
  <c r="J242" i="4"/>
  <c r="I242" i="4"/>
  <c r="F242" i="4"/>
  <c r="E242" i="4"/>
  <c r="C242" i="4"/>
  <c r="J241" i="4"/>
  <c r="I241" i="4"/>
  <c r="F241" i="4"/>
  <c r="E241" i="4"/>
  <c r="C241" i="4"/>
  <c r="J240" i="4"/>
  <c r="I240" i="4"/>
  <c r="F240" i="4"/>
  <c r="E240" i="4"/>
  <c r="C240" i="4"/>
  <c r="J239" i="4"/>
  <c r="I239" i="4"/>
  <c r="F239" i="4"/>
  <c r="E239" i="4"/>
  <c r="C239" i="4"/>
  <c r="J238" i="4"/>
  <c r="I238" i="4"/>
  <c r="F238" i="4"/>
  <c r="E238" i="4"/>
  <c r="C238" i="4"/>
  <c r="J237" i="4"/>
  <c r="I237" i="4"/>
  <c r="F237" i="4"/>
  <c r="E237" i="4"/>
  <c r="C237" i="4"/>
  <c r="J236" i="4"/>
  <c r="I236" i="4"/>
  <c r="F236" i="4"/>
  <c r="E236" i="4"/>
  <c r="C236" i="4"/>
  <c r="J235" i="4"/>
  <c r="I235" i="4"/>
  <c r="F235" i="4"/>
  <c r="E235" i="4"/>
  <c r="C235" i="4"/>
  <c r="J234" i="4"/>
  <c r="I234" i="4"/>
  <c r="F234" i="4"/>
  <c r="E234" i="4"/>
  <c r="C234" i="4"/>
  <c r="J233" i="4"/>
  <c r="I233" i="4"/>
  <c r="F233" i="4"/>
  <c r="E233" i="4"/>
  <c r="C233" i="4"/>
  <c r="J232" i="4"/>
  <c r="I232" i="4"/>
  <c r="F232" i="4"/>
  <c r="E232" i="4"/>
  <c r="C232" i="4"/>
  <c r="J231" i="4"/>
  <c r="I231" i="4"/>
  <c r="F231" i="4"/>
  <c r="E231" i="4"/>
  <c r="C231" i="4"/>
  <c r="J230" i="4"/>
  <c r="I230" i="4"/>
  <c r="F230" i="4"/>
  <c r="E230" i="4"/>
  <c r="C230" i="4"/>
  <c r="J229" i="4"/>
  <c r="I229" i="4"/>
  <c r="F229" i="4"/>
  <c r="E229" i="4"/>
  <c r="C229" i="4"/>
  <c r="J228" i="4"/>
  <c r="I228" i="4"/>
  <c r="F228" i="4"/>
  <c r="E228" i="4"/>
  <c r="C228" i="4"/>
  <c r="J227" i="4"/>
  <c r="I227" i="4"/>
  <c r="F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F205" i="4"/>
  <c r="E205" i="4"/>
  <c r="C205" i="4"/>
  <c r="J204" i="4"/>
  <c r="I204" i="4"/>
  <c r="F204" i="4"/>
  <c r="E204" i="4"/>
  <c r="C204" i="4"/>
  <c r="J203" i="4"/>
  <c r="I203" i="4"/>
  <c r="F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F643" i="3"/>
  <c r="E643" i="3"/>
  <c r="C643" i="3"/>
  <c r="J642" i="3"/>
  <c r="I642" i="3"/>
  <c r="F642" i="3"/>
  <c r="E642" i="3"/>
  <c r="C642" i="3"/>
  <c r="J641" i="3"/>
  <c r="I641" i="3"/>
  <c r="F641" i="3"/>
  <c r="E641" i="3"/>
  <c r="C641" i="3"/>
  <c r="J640" i="3"/>
  <c r="I640" i="3"/>
  <c r="F640" i="3"/>
  <c r="E640" i="3"/>
  <c r="C640" i="3"/>
  <c r="J639" i="3"/>
  <c r="I639" i="3"/>
  <c r="F639" i="3"/>
  <c r="E639" i="3"/>
  <c r="C639" i="3"/>
  <c r="J638" i="3"/>
  <c r="I638" i="3"/>
  <c r="F638" i="3"/>
  <c r="E638" i="3"/>
  <c r="C638" i="3"/>
  <c r="J637" i="3"/>
  <c r="I637" i="3"/>
  <c r="F637" i="3"/>
  <c r="E637" i="3"/>
  <c r="C637" i="3"/>
  <c r="J636" i="3"/>
  <c r="I636" i="3"/>
  <c r="F636" i="3"/>
  <c r="E636" i="3"/>
  <c r="C636" i="3"/>
  <c r="J635" i="3"/>
  <c r="I635" i="3"/>
  <c r="F635" i="3"/>
  <c r="E635" i="3"/>
  <c r="C635" i="3"/>
  <c r="J634" i="3"/>
  <c r="I634" i="3"/>
  <c r="F634" i="3"/>
  <c r="E634" i="3"/>
  <c r="C634" i="3"/>
  <c r="J633" i="3"/>
  <c r="I633" i="3"/>
  <c r="F633" i="3"/>
  <c r="E633" i="3"/>
  <c r="C633" i="3"/>
  <c r="J632" i="3"/>
  <c r="I632" i="3"/>
  <c r="F632" i="3"/>
  <c r="E632" i="3"/>
  <c r="C632" i="3"/>
  <c r="J631" i="3"/>
  <c r="I631" i="3"/>
  <c r="F631" i="3"/>
  <c r="E631" i="3"/>
  <c r="C631" i="3"/>
  <c r="J630" i="3"/>
  <c r="I630" i="3"/>
  <c r="F630" i="3"/>
  <c r="E630" i="3"/>
  <c r="C630" i="3"/>
  <c r="J629" i="3"/>
  <c r="I629" i="3"/>
  <c r="F629" i="3"/>
  <c r="E629" i="3"/>
  <c r="C629" i="3"/>
  <c r="J628" i="3"/>
  <c r="I628" i="3"/>
  <c r="F628" i="3"/>
  <c r="E628" i="3"/>
  <c r="C628" i="3"/>
  <c r="J627" i="3"/>
  <c r="I627" i="3"/>
  <c r="F627" i="3"/>
  <c r="E627" i="3"/>
  <c r="C627" i="3"/>
  <c r="J626" i="3"/>
  <c r="I626" i="3"/>
  <c r="F626" i="3"/>
  <c r="E626" i="3"/>
  <c r="C626" i="3"/>
  <c r="J625" i="3"/>
  <c r="I625" i="3"/>
  <c r="F625" i="3"/>
  <c r="E625" i="3"/>
  <c r="C625" i="3"/>
  <c r="J624" i="3"/>
  <c r="I624" i="3"/>
  <c r="F624" i="3"/>
  <c r="E624" i="3"/>
  <c r="C624" i="3"/>
  <c r="J623" i="3"/>
  <c r="I623" i="3"/>
  <c r="F623" i="3"/>
  <c r="E623" i="3"/>
  <c r="C623" i="3"/>
  <c r="J622" i="3"/>
  <c r="I622" i="3"/>
  <c r="F622" i="3"/>
  <c r="E622" i="3"/>
  <c r="C622" i="3"/>
  <c r="J621" i="3"/>
  <c r="I621" i="3"/>
  <c r="F621" i="3"/>
  <c r="E621" i="3"/>
  <c r="C621" i="3"/>
  <c r="J620" i="3"/>
  <c r="I620" i="3"/>
  <c r="F620" i="3"/>
  <c r="E620" i="3"/>
  <c r="C620" i="3"/>
  <c r="J619" i="3"/>
  <c r="I619" i="3"/>
  <c r="F619" i="3"/>
  <c r="E619" i="3"/>
  <c r="C619" i="3"/>
  <c r="J618" i="3"/>
  <c r="I618" i="3"/>
  <c r="F618" i="3"/>
  <c r="E618" i="3"/>
  <c r="C618" i="3"/>
  <c r="J617" i="3"/>
  <c r="I617" i="3"/>
  <c r="F617" i="3"/>
  <c r="E617" i="3"/>
  <c r="C617" i="3"/>
  <c r="J616" i="3"/>
  <c r="I616" i="3"/>
  <c r="F616" i="3"/>
  <c r="E616" i="3"/>
  <c r="C616" i="3"/>
  <c r="J615" i="3"/>
  <c r="I615" i="3"/>
  <c r="F615" i="3"/>
  <c r="E615" i="3"/>
  <c r="C615" i="3"/>
  <c r="J614" i="3"/>
  <c r="I614" i="3"/>
  <c r="F614" i="3"/>
  <c r="E614" i="3"/>
  <c r="C614" i="3"/>
  <c r="J613" i="3"/>
  <c r="I613" i="3"/>
  <c r="F613" i="3"/>
  <c r="E613" i="3"/>
  <c r="C613" i="3"/>
  <c r="J612" i="3"/>
  <c r="I612" i="3"/>
  <c r="F612" i="3"/>
  <c r="E612" i="3"/>
  <c r="C612" i="3"/>
  <c r="J611" i="3"/>
  <c r="I611" i="3"/>
  <c r="F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BD5" i="2"/>
  <c r="BD6" i="2" s="1"/>
  <c r="BD7" i="2" s="1"/>
  <c r="AO5" i="2"/>
  <c r="BE4" i="2"/>
  <c r="BD4" i="2"/>
  <c r="AW4" i="2"/>
  <c r="AV4" i="2"/>
  <c r="AV5" i="2" s="1"/>
  <c r="AO4" i="2"/>
  <c r="AN4" i="2"/>
  <c r="AN5" i="2" s="1"/>
  <c r="AN6" i="2" s="1"/>
  <c r="AF4" i="2"/>
  <c r="AG4" i="2" s="1"/>
  <c r="X4" i="2"/>
  <c r="Y4" i="2" s="1"/>
  <c r="L4" i="2"/>
  <c r="L5" i="2" s="1"/>
  <c r="M5" i="2" s="1"/>
  <c r="F174" i="3" s="1"/>
  <c r="BE3" i="2"/>
  <c r="AW3" i="2"/>
  <c r="AO3" i="2"/>
  <c r="AG3" i="2"/>
  <c r="Y3" i="2"/>
  <c r="F216" i="4" s="1"/>
  <c r="M3" i="2"/>
  <c r="F33" i="3" s="1"/>
  <c r="C3" i="2"/>
  <c r="A3" i="2"/>
  <c r="F217" i="4" l="1"/>
  <c r="F62" i="3"/>
  <c r="F236" i="3"/>
  <c r="F323" i="3"/>
  <c r="F120" i="3"/>
  <c r="F4" i="3"/>
  <c r="F91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216" i="6"/>
  <c r="F132" i="6"/>
  <c r="F230" i="6"/>
  <c r="F146" i="6"/>
  <c r="F110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BD8" i="2"/>
  <c r="BE7" i="2"/>
  <c r="BE5" i="2"/>
  <c r="BE6" i="2"/>
  <c r="AO6" i="2"/>
  <c r="AN7" i="2"/>
  <c r="F87" i="3"/>
  <c r="F58" i="3"/>
  <c r="F29" i="3"/>
  <c r="F348" i="3"/>
  <c r="F319" i="3"/>
  <c r="F290" i="3"/>
  <c r="F261" i="3"/>
  <c r="F232" i="3"/>
  <c r="F203" i="3"/>
  <c r="F116" i="3"/>
  <c r="L6" i="2"/>
  <c r="F78" i="4"/>
  <c r="F54" i="4"/>
  <c r="F3" i="4"/>
  <c r="F94" i="4"/>
  <c r="F70" i="4"/>
  <c r="F46" i="4"/>
  <c r="F29" i="4"/>
  <c r="F12" i="4"/>
  <c r="F86" i="4"/>
  <c r="F62" i="4"/>
  <c r="F38" i="4"/>
  <c r="F21" i="4"/>
  <c r="F323" i="5"/>
  <c r="F83" i="5"/>
  <c r="F23" i="5"/>
  <c r="F198" i="5"/>
  <c r="F73" i="5"/>
  <c r="F13" i="5"/>
  <c r="F248" i="5"/>
  <c r="F123" i="5"/>
  <c r="F63" i="5"/>
  <c r="F3" i="5"/>
  <c r="F298" i="5"/>
  <c r="F173" i="5"/>
  <c r="F113" i="5"/>
  <c r="F53" i="5"/>
  <c r="F223" i="5"/>
  <c r="F103" i="5"/>
  <c r="F43" i="5"/>
  <c r="F273" i="5"/>
  <c r="F93" i="5"/>
  <c r="F33" i="5"/>
  <c r="F148" i="5"/>
  <c r="AW5" i="2"/>
  <c r="AV6" i="2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F178" i="4"/>
  <c r="F191" i="4"/>
  <c r="F28" i="4"/>
  <c r="F11" i="4"/>
  <c r="F102" i="4"/>
  <c r="F165" i="4"/>
  <c r="F121" i="4"/>
  <c r="F85" i="4"/>
  <c r="F61" i="4"/>
  <c r="F37" i="4"/>
  <c r="F20" i="4"/>
  <c r="F152" i="4"/>
  <c r="F111" i="4"/>
  <c r="F130" i="4"/>
  <c r="F77" i="4"/>
  <c r="F53" i="4"/>
  <c r="F139" i="4"/>
  <c r="F2" i="4"/>
  <c r="F93" i="4"/>
  <c r="F69" i="4"/>
  <c r="F45" i="4"/>
  <c r="F145" i="3"/>
  <c r="F228" i="6"/>
  <c r="F144" i="6"/>
  <c r="F120" i="6"/>
  <c r="F242" i="6"/>
  <c r="F158" i="6"/>
  <c r="F98" i="6"/>
  <c r="F172" i="6"/>
  <c r="F186" i="6"/>
  <c r="F109" i="6"/>
  <c r="F200" i="6"/>
  <c r="F87" i="6"/>
  <c r="F75" i="6"/>
  <c r="F63" i="6"/>
  <c r="F51" i="6"/>
  <c r="F39" i="6"/>
  <c r="F27" i="6"/>
  <c r="F15" i="6"/>
  <c r="F3" i="6"/>
  <c r="F214" i="6"/>
  <c r="F130" i="6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M4" i="2"/>
  <c r="X5" i="2"/>
  <c r="F265" i="3"/>
  <c r="AF5" i="2"/>
  <c r="F207" i="3"/>
  <c r="F178" i="3"/>
  <c r="F149" i="3"/>
  <c r="F294" i="3"/>
  <c r="F222" i="5"/>
  <c r="F102" i="5"/>
  <c r="F42" i="5"/>
  <c r="F272" i="5"/>
  <c r="F92" i="5"/>
  <c r="F32" i="5"/>
  <c r="F147" i="5"/>
  <c r="F322" i="5"/>
  <c r="F82" i="5"/>
  <c r="F22" i="5"/>
  <c r="F197" i="5"/>
  <c r="F72" i="5"/>
  <c r="F12" i="5"/>
  <c r="F247" i="5"/>
  <c r="F122" i="5"/>
  <c r="F62" i="5"/>
  <c r="F2" i="5"/>
  <c r="F297" i="5"/>
  <c r="F172" i="5"/>
  <c r="F112" i="5"/>
  <c r="F52" i="5"/>
  <c r="F108" i="6"/>
  <c r="F86" i="6"/>
  <c r="F74" i="6"/>
  <c r="F62" i="6"/>
  <c r="F50" i="6"/>
  <c r="F38" i="6"/>
  <c r="F26" i="6"/>
  <c r="F14" i="6"/>
  <c r="F2" i="6"/>
  <c r="F119" i="6"/>
  <c r="F97" i="6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F74" i="8" l="1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F231" i="3"/>
  <c r="F202" i="3"/>
  <c r="F173" i="3"/>
  <c r="F318" i="3"/>
  <c r="F289" i="3"/>
  <c r="F86" i="3"/>
  <c r="F28" i="3"/>
  <c r="F260" i="3"/>
  <c r="F144" i="3"/>
  <c r="F347" i="3"/>
  <c r="F115" i="3"/>
  <c r="F57" i="3"/>
  <c r="AW6" i="2"/>
  <c r="AV7" i="2"/>
  <c r="BD9" i="2"/>
  <c r="BE8" i="2"/>
  <c r="AN8" i="2"/>
  <c r="AO7" i="2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F175" i="6"/>
  <c r="F122" i="6"/>
  <c r="F189" i="6"/>
  <c r="F100" i="6"/>
  <c r="F203" i="6"/>
  <c r="F217" i="6"/>
  <c r="F133" i="6"/>
  <c r="F231" i="6"/>
  <c r="F147" i="6"/>
  <c r="F111" i="6"/>
  <c r="F245" i="6"/>
  <c r="F161" i="6"/>
  <c r="F89" i="6"/>
  <c r="F77" i="6"/>
  <c r="F65" i="6"/>
  <c r="F53" i="6"/>
  <c r="F41" i="6"/>
  <c r="F29" i="6"/>
  <c r="F17" i="6"/>
  <c r="F5" i="6"/>
  <c r="X6" i="2"/>
  <c r="Y5" i="2"/>
  <c r="L7" i="2"/>
  <c r="M6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AF6" i="2"/>
  <c r="AG5" i="2"/>
  <c r="F247" i="6" l="1"/>
  <c r="F163" i="6"/>
  <c r="F177" i="6"/>
  <c r="F112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F291" i="3"/>
  <c r="F262" i="3"/>
  <c r="F233" i="3"/>
  <c r="F175" i="3"/>
  <c r="F146" i="3"/>
  <c r="F349" i="3"/>
  <c r="F320" i="3"/>
  <c r="F204" i="3"/>
  <c r="F88" i="3"/>
  <c r="F30" i="3"/>
  <c r="F117" i="3"/>
  <c r="F59" i="3"/>
  <c r="BE9" i="2"/>
  <c r="BD10" i="2"/>
  <c r="L8" i="2"/>
  <c r="M7" i="2"/>
  <c r="AW7" i="2"/>
  <c r="AV8" i="2"/>
  <c r="AF7" i="2"/>
  <c r="AG6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F299" i="5"/>
  <c r="F174" i="5"/>
  <c r="F114" i="5"/>
  <c r="F54" i="5"/>
  <c r="F224" i="5"/>
  <c r="F104" i="5"/>
  <c r="F44" i="5"/>
  <c r="F274" i="5"/>
  <c r="F94" i="5"/>
  <c r="F34" i="5"/>
  <c r="F149" i="5"/>
  <c r="F324" i="5"/>
  <c r="F84" i="5"/>
  <c r="F24" i="5"/>
  <c r="F199" i="5"/>
  <c r="F74" i="5"/>
  <c r="F14" i="5"/>
  <c r="F249" i="5"/>
  <c r="F124" i="5"/>
  <c r="F64" i="5"/>
  <c r="F4" i="5"/>
  <c r="F4" i="4"/>
  <c r="F95" i="4"/>
  <c r="F71" i="4"/>
  <c r="F47" i="4"/>
  <c r="F30" i="4"/>
  <c r="F13" i="4"/>
  <c r="F87" i="4"/>
  <c r="F63" i="4"/>
  <c r="F39" i="4"/>
  <c r="F22" i="4"/>
  <c r="F79" i="4"/>
  <c r="F55" i="4"/>
  <c r="Y6" i="2"/>
  <c r="X7" i="2"/>
  <c r="AO8" i="2"/>
  <c r="AN9" i="2"/>
  <c r="F192" i="6" l="1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48" i="6"/>
  <c r="F164" i="6"/>
  <c r="F178" i="6"/>
  <c r="F113" i="6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X8" i="2"/>
  <c r="Y7" i="2"/>
  <c r="F208" i="4" s="1"/>
  <c r="F123" i="3"/>
  <c r="F94" i="3"/>
  <c r="F65" i="3"/>
  <c r="F7" i="3"/>
  <c r="F297" i="3"/>
  <c r="F181" i="3"/>
  <c r="F268" i="3"/>
  <c r="F239" i="3"/>
  <c r="F152" i="3"/>
  <c r="F36" i="3"/>
  <c r="F326" i="3"/>
  <c r="F210" i="3"/>
  <c r="F166" i="4"/>
  <c r="F192" i="4"/>
  <c r="F153" i="4"/>
  <c r="F112" i="4"/>
  <c r="F88" i="4"/>
  <c r="F64" i="4"/>
  <c r="F40" i="4"/>
  <c r="F131" i="4"/>
  <c r="F23" i="4"/>
  <c r="F140" i="4"/>
  <c r="F80" i="4"/>
  <c r="F56" i="4"/>
  <c r="F5" i="4"/>
  <c r="F96" i="4"/>
  <c r="F72" i="4"/>
  <c r="F48" i="4"/>
  <c r="F179" i="4"/>
  <c r="F103" i="4"/>
  <c r="F31" i="4"/>
  <c r="F122" i="4"/>
  <c r="F14" i="4"/>
  <c r="BE10" i="2"/>
  <c r="BD11" i="2"/>
  <c r="BE11" i="2" s="1"/>
  <c r="AW8" i="2"/>
  <c r="AV9" i="2"/>
  <c r="F50" i="8"/>
  <c r="F57" i="8"/>
  <c r="F64" i="8"/>
  <c r="F71" i="8"/>
  <c r="F78" i="8"/>
  <c r="F85" i="8"/>
  <c r="F8" i="8"/>
  <c r="F15" i="8"/>
  <c r="F22" i="8"/>
  <c r="F29" i="8"/>
  <c r="F36" i="8"/>
  <c r="F43" i="8"/>
  <c r="AG7" i="2"/>
  <c r="AF8" i="2"/>
  <c r="L9" i="2"/>
  <c r="M8" i="2"/>
  <c r="AN10" i="2"/>
  <c r="AO9" i="2"/>
  <c r="F95" i="5"/>
  <c r="F35" i="5"/>
  <c r="F85" i="5"/>
  <c r="F25" i="5"/>
  <c r="F75" i="5"/>
  <c r="F15" i="5"/>
  <c r="F65" i="5"/>
  <c r="F5" i="5"/>
  <c r="F115" i="5"/>
  <c r="F55" i="5"/>
  <c r="F105" i="5"/>
  <c r="F45" i="5"/>
  <c r="M9" i="2" l="1"/>
  <c r="L10" i="2"/>
  <c r="AG8" i="2"/>
  <c r="AF9" i="2"/>
  <c r="F66" i="5"/>
  <c r="F6" i="5"/>
  <c r="F116" i="5"/>
  <c r="F56" i="5"/>
  <c r="F106" i="5"/>
  <c r="F46" i="5"/>
  <c r="F96" i="5"/>
  <c r="F36" i="5"/>
  <c r="F86" i="5"/>
  <c r="F26" i="5"/>
  <c r="F76" i="5"/>
  <c r="F16" i="5"/>
  <c r="F141" i="8"/>
  <c r="F117" i="8"/>
  <c r="F93" i="8"/>
  <c r="F157" i="8"/>
  <c r="F133" i="8"/>
  <c r="F109" i="8"/>
  <c r="F149" i="8"/>
  <c r="F125" i="8"/>
  <c r="F101" i="8"/>
  <c r="X9" i="2"/>
  <c r="Y8" i="2"/>
  <c r="F222" i="4" s="1"/>
  <c r="F6" i="4"/>
  <c r="F97" i="4"/>
  <c r="F73" i="4"/>
  <c r="F49" i="4"/>
  <c r="F32" i="4"/>
  <c r="F15" i="4"/>
  <c r="F89" i="4"/>
  <c r="F65" i="4"/>
  <c r="F41" i="4"/>
  <c r="F24" i="4"/>
  <c r="F81" i="4"/>
  <c r="F57" i="4"/>
  <c r="AW9" i="2"/>
  <c r="AV10" i="2"/>
  <c r="F97" i="7"/>
  <c r="F37" i="7"/>
  <c r="F87" i="7"/>
  <c r="F27" i="7"/>
  <c r="F77" i="7"/>
  <c r="F17" i="7"/>
  <c r="F67" i="7"/>
  <c r="F7" i="7"/>
  <c r="F117" i="7"/>
  <c r="F57" i="7"/>
  <c r="F107" i="7"/>
  <c r="F47" i="7"/>
  <c r="F136" i="8"/>
  <c r="F112" i="8"/>
  <c r="F88" i="8"/>
  <c r="F152" i="8"/>
  <c r="F128" i="8"/>
  <c r="F104" i="8"/>
  <c r="F144" i="8"/>
  <c r="F120" i="8"/>
  <c r="F96" i="8"/>
  <c r="F180" i="6"/>
  <c r="F103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N11" i="2"/>
  <c r="AO10" i="2"/>
  <c r="F206" i="4" l="1"/>
  <c r="F221" i="4"/>
  <c r="AN12" i="2"/>
  <c r="AO11" i="2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195" i="6"/>
  <c r="F209" i="6"/>
  <c r="AF10" i="2"/>
  <c r="AG9" i="2"/>
  <c r="F16" i="4"/>
  <c r="F90" i="4"/>
  <c r="F66" i="4"/>
  <c r="F42" i="4"/>
  <c r="F25" i="4"/>
  <c r="F82" i="4"/>
  <c r="F58" i="4"/>
  <c r="F7" i="4"/>
  <c r="F98" i="4"/>
  <c r="F74" i="4"/>
  <c r="F50" i="4"/>
  <c r="F33" i="4"/>
  <c r="F107" i="5"/>
  <c r="F47" i="5"/>
  <c r="F282" i="5"/>
  <c r="F349" i="5"/>
  <c r="F157" i="5"/>
  <c r="F97" i="5"/>
  <c r="F37" i="5"/>
  <c r="F332" i="5"/>
  <c r="F207" i="5"/>
  <c r="F87" i="5"/>
  <c r="F27" i="5"/>
  <c r="F257" i="5"/>
  <c r="F77" i="5"/>
  <c r="F17" i="5"/>
  <c r="F348" i="5"/>
  <c r="F132" i="5"/>
  <c r="F307" i="5"/>
  <c r="F67" i="5"/>
  <c r="F7" i="5"/>
  <c r="F182" i="5"/>
  <c r="F117" i="5"/>
  <c r="F57" i="5"/>
  <c r="F352" i="5"/>
  <c r="F232" i="5"/>
  <c r="AW10" i="2"/>
  <c r="AV11" i="2"/>
  <c r="F68" i="7"/>
  <c r="F8" i="7"/>
  <c r="F118" i="7"/>
  <c r="F58" i="7"/>
  <c r="F108" i="7"/>
  <c r="F48" i="7"/>
  <c r="F98" i="7"/>
  <c r="F38" i="7"/>
  <c r="F88" i="7"/>
  <c r="F28" i="7"/>
  <c r="F78" i="7"/>
  <c r="F18" i="7"/>
  <c r="X10" i="2"/>
  <c r="Y9" i="2"/>
  <c r="F207" i="4" s="1"/>
  <c r="L11" i="2"/>
  <c r="M10" i="2"/>
  <c r="F347" i="5" l="1"/>
  <c r="F78" i="5"/>
  <c r="F18" i="5"/>
  <c r="F68" i="5"/>
  <c r="F8" i="5"/>
  <c r="F118" i="5"/>
  <c r="F58" i="5"/>
  <c r="F108" i="5"/>
  <c r="F48" i="5"/>
  <c r="F98" i="5"/>
  <c r="F38" i="5"/>
  <c r="F88" i="5"/>
  <c r="F28" i="5"/>
  <c r="AF11" i="2"/>
  <c r="AG10" i="2"/>
  <c r="F168" i="4"/>
  <c r="F156" i="4"/>
  <c r="F83" i="4"/>
  <c r="F59" i="4"/>
  <c r="F8" i="4"/>
  <c r="F99" i="4"/>
  <c r="F75" i="4"/>
  <c r="F51" i="4"/>
  <c r="F142" i="4"/>
  <c r="F106" i="4"/>
  <c r="F34" i="4"/>
  <c r="F182" i="4"/>
  <c r="F125" i="4"/>
  <c r="F17" i="4"/>
  <c r="F115" i="4"/>
  <c r="F91" i="4"/>
  <c r="F67" i="4"/>
  <c r="F43" i="4"/>
  <c r="F134" i="4"/>
  <c r="F26" i="4"/>
  <c r="F194" i="4"/>
  <c r="M11" i="2"/>
  <c r="L12" i="2"/>
  <c r="X11" i="2"/>
  <c r="Y10" i="2"/>
  <c r="F252" i="6"/>
  <c r="F168" i="6"/>
  <c r="F127" i="6"/>
  <c r="F182" i="6"/>
  <c r="F105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AW11" i="2"/>
  <c r="AV12" i="2"/>
  <c r="F109" i="7"/>
  <c r="F49" i="7"/>
  <c r="F99" i="7"/>
  <c r="F39" i="7"/>
  <c r="F89" i="7"/>
  <c r="F29" i="7"/>
  <c r="F79" i="7"/>
  <c r="F19" i="7"/>
  <c r="F69" i="7"/>
  <c r="F9" i="7"/>
  <c r="F119" i="7"/>
  <c r="F59" i="7"/>
  <c r="AN13" i="2"/>
  <c r="AO12" i="2"/>
  <c r="F119" i="5" l="1"/>
  <c r="F59" i="5"/>
  <c r="F109" i="5"/>
  <c r="F49" i="5"/>
  <c r="F99" i="5"/>
  <c r="F39" i="5"/>
  <c r="F89" i="5"/>
  <c r="F29" i="5"/>
  <c r="F79" i="5"/>
  <c r="F19" i="5"/>
  <c r="F69" i="5"/>
  <c r="F9" i="5"/>
  <c r="F196" i="4"/>
  <c r="F136" i="4"/>
  <c r="F100" i="4"/>
  <c r="F76" i="4"/>
  <c r="F52" i="4"/>
  <c r="F158" i="4"/>
  <c r="F35" i="4"/>
  <c r="F18" i="4"/>
  <c r="F170" i="4"/>
  <c r="F92" i="4"/>
  <c r="F68" i="4"/>
  <c r="F44" i="4"/>
  <c r="F27" i="4"/>
  <c r="F144" i="4"/>
  <c r="F108" i="4"/>
  <c r="F84" i="4"/>
  <c r="F60" i="4"/>
  <c r="F184" i="4"/>
  <c r="F127" i="4"/>
  <c r="F117" i="4"/>
  <c r="F9" i="4"/>
  <c r="AO13" i="2"/>
  <c r="AN14" i="2"/>
  <c r="X12" i="2"/>
  <c r="Y11" i="2"/>
  <c r="AW12" i="2"/>
  <c r="AV13" i="2"/>
  <c r="L13" i="2"/>
  <c r="M12" i="2"/>
  <c r="AG11" i="2"/>
  <c r="AF12" i="2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53" i="6"/>
  <c r="F169" i="6"/>
  <c r="F128" i="6"/>
  <c r="F183" i="6"/>
  <c r="F106" i="6"/>
  <c r="F197" i="6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F3" i="3"/>
  <c r="F322" i="3"/>
  <c r="F293" i="3"/>
  <c r="F235" i="3"/>
  <c r="F32" i="3"/>
  <c r="F177" i="3"/>
  <c r="F148" i="3"/>
  <c r="F61" i="3"/>
  <c r="F119" i="3"/>
  <c r="F206" i="3"/>
  <c r="F264" i="3"/>
  <c r="F90" i="3"/>
  <c r="F240" i="6" l="1"/>
  <c r="F156" i="6"/>
  <c r="F96" i="6"/>
  <c r="F84" i="6"/>
  <c r="F72" i="6"/>
  <c r="F60" i="6"/>
  <c r="F48" i="6"/>
  <c r="F36" i="6"/>
  <c r="F24" i="6"/>
  <c r="F12" i="6"/>
  <c r="F254" i="6"/>
  <c r="F170" i="6"/>
  <c r="F129" i="6"/>
  <c r="F184" i="6"/>
  <c r="F107" i="6"/>
  <c r="F198" i="6"/>
  <c r="F212" i="6"/>
  <c r="F226" i="6"/>
  <c r="F142" i="6"/>
  <c r="F118" i="6"/>
  <c r="F234" i="5"/>
  <c r="F90" i="5"/>
  <c r="F30" i="5"/>
  <c r="F284" i="5"/>
  <c r="F80" i="5"/>
  <c r="F20" i="5"/>
  <c r="F159" i="5"/>
  <c r="F334" i="5"/>
  <c r="F70" i="5"/>
  <c r="F10" i="5"/>
  <c r="F209" i="5"/>
  <c r="F120" i="5"/>
  <c r="F60" i="5"/>
  <c r="F259" i="5"/>
  <c r="F134" i="5"/>
  <c r="F110" i="5"/>
  <c r="F50" i="5"/>
  <c r="F309" i="5"/>
  <c r="F184" i="5"/>
  <c r="F100" i="5"/>
  <c r="F40" i="5"/>
  <c r="AN15" i="2"/>
  <c r="AO14" i="2"/>
  <c r="F495" i="3"/>
  <c r="F147" i="3"/>
  <c r="F466" i="3"/>
  <c r="F118" i="3"/>
  <c r="F605" i="3"/>
  <c r="F437" i="3"/>
  <c r="F89" i="3"/>
  <c r="F576" i="3"/>
  <c r="F408" i="3"/>
  <c r="F379" i="3"/>
  <c r="F234" i="3"/>
  <c r="F60" i="3"/>
  <c r="F350" i="3"/>
  <c r="F292" i="3"/>
  <c r="F176" i="3"/>
  <c r="F263" i="3"/>
  <c r="F524" i="3"/>
  <c r="F2" i="3"/>
  <c r="F205" i="3"/>
  <c r="F321" i="3"/>
  <c r="F31" i="3"/>
  <c r="AG12" i="2"/>
  <c r="AF13" i="2"/>
  <c r="L14" i="2"/>
  <c r="M13" i="2"/>
  <c r="Y12" i="2"/>
  <c r="X13" i="2"/>
  <c r="AW13" i="2"/>
  <c r="AV14" i="2"/>
  <c r="AW14" i="2" s="1"/>
  <c r="F193" i="7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F119" i="4"/>
  <c r="F145" i="4"/>
  <c r="F185" i="4"/>
  <c r="F10" i="4"/>
  <c r="F159" i="4"/>
  <c r="F36" i="4"/>
  <c r="F197" i="4"/>
  <c r="F19" i="4"/>
  <c r="F171" i="4"/>
  <c r="F171" i="7" l="1"/>
  <c r="F135" i="7"/>
  <c r="F180" i="7"/>
  <c r="F144" i="7"/>
  <c r="F189" i="7"/>
  <c r="F153" i="7"/>
  <c r="F198" i="7"/>
  <c r="F162" i="7"/>
  <c r="F126" i="7"/>
  <c r="F183" i="7"/>
  <c r="F147" i="7"/>
  <c r="F192" i="7"/>
  <c r="F156" i="7"/>
  <c r="F201" i="7"/>
  <c r="F165" i="7"/>
  <c r="F129" i="7"/>
  <c r="F174" i="7"/>
  <c r="F138" i="7"/>
  <c r="X14" i="2"/>
  <c r="Y13" i="2"/>
  <c r="F190" i="4"/>
  <c r="F151" i="4"/>
  <c r="F138" i="4"/>
  <c r="F177" i="4"/>
  <c r="F101" i="4"/>
  <c r="F164" i="4"/>
  <c r="F120" i="4"/>
  <c r="F110" i="4"/>
  <c r="F129" i="4"/>
  <c r="F351" i="3"/>
  <c r="F577" i="3"/>
  <c r="F409" i="3"/>
  <c r="F606" i="3"/>
  <c r="F438" i="3"/>
  <c r="F496" i="3"/>
  <c r="F525" i="3"/>
  <c r="F380" i="3"/>
  <c r="F467" i="3"/>
  <c r="M14" i="2"/>
  <c r="L15" i="2"/>
  <c r="AF14" i="2"/>
  <c r="AG13" i="2"/>
  <c r="AN16" i="2"/>
  <c r="AO15" i="2"/>
  <c r="F287" i="5"/>
  <c r="F71" i="5"/>
  <c r="F11" i="5"/>
  <c r="F162" i="5"/>
  <c r="F337" i="5"/>
  <c r="F121" i="5"/>
  <c r="F61" i="5"/>
  <c r="F212" i="5"/>
  <c r="F111" i="5"/>
  <c r="F51" i="5"/>
  <c r="F262" i="5"/>
  <c r="F137" i="5"/>
  <c r="F101" i="5"/>
  <c r="F41" i="5"/>
  <c r="F312" i="5"/>
  <c r="F187" i="5"/>
  <c r="F91" i="5"/>
  <c r="F31" i="5"/>
  <c r="F237" i="5"/>
  <c r="F81" i="5"/>
  <c r="F21" i="5"/>
  <c r="F199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F63" i="3" l="1"/>
  <c r="F526" i="3"/>
  <c r="F34" i="3"/>
  <c r="F497" i="3"/>
  <c r="F5" i="3"/>
  <c r="F600" i="3"/>
  <c r="F468" i="3"/>
  <c r="F324" i="3"/>
  <c r="F571" i="3"/>
  <c r="F439" i="3"/>
  <c r="F295" i="3"/>
  <c r="F410" i="3"/>
  <c r="F352" i="3"/>
  <c r="F179" i="3"/>
  <c r="F92" i="3"/>
  <c r="F381" i="3"/>
  <c r="F266" i="3"/>
  <c r="F150" i="3"/>
  <c r="F237" i="3"/>
  <c r="F121" i="3"/>
  <c r="F208" i="3"/>
  <c r="F187" i="6"/>
  <c r="F201" i="6"/>
  <c r="F215" i="6"/>
  <c r="F131" i="6"/>
  <c r="F229" i="6"/>
  <c r="F145" i="6"/>
  <c r="F243" i="6"/>
  <c r="F159" i="6"/>
  <c r="F173" i="6"/>
  <c r="F154" i="4"/>
  <c r="F180" i="4"/>
  <c r="F193" i="4"/>
  <c r="F104" i="4"/>
  <c r="F123" i="4"/>
  <c r="F167" i="4"/>
  <c r="F113" i="4"/>
  <c r="F132" i="4"/>
  <c r="F141" i="4"/>
  <c r="AO16" i="2"/>
  <c r="AN17" i="2"/>
  <c r="AO17" i="2" s="1"/>
  <c r="X15" i="2"/>
  <c r="Y14" i="2"/>
  <c r="F224" i="4" s="1"/>
  <c r="F275" i="5"/>
  <c r="F150" i="5"/>
  <c r="F325" i="5"/>
  <c r="F200" i="5"/>
  <c r="F351" i="5"/>
  <c r="F250" i="5"/>
  <c r="F125" i="5"/>
  <c r="F300" i="5"/>
  <c r="F175" i="5"/>
  <c r="F350" i="5"/>
  <c r="F225" i="5"/>
  <c r="AF15" i="2"/>
  <c r="AG14" i="2"/>
  <c r="M15" i="2"/>
  <c r="L16" i="2"/>
  <c r="M16" i="2" l="1"/>
  <c r="L17" i="2"/>
  <c r="F251" i="5"/>
  <c r="F126" i="5"/>
  <c r="F301" i="5"/>
  <c r="F176" i="5"/>
  <c r="F226" i="5"/>
  <c r="F276" i="5"/>
  <c r="F151" i="5"/>
  <c r="F326" i="5"/>
  <c r="F201" i="5"/>
  <c r="AG15" i="2"/>
  <c r="AF16" i="2"/>
  <c r="F411" i="3"/>
  <c r="F267" i="3"/>
  <c r="F382" i="3"/>
  <c r="F238" i="3"/>
  <c r="F353" i="3"/>
  <c r="F209" i="3"/>
  <c r="F151" i="3"/>
  <c r="F180" i="3"/>
  <c r="F440" i="3"/>
  <c r="F469" i="3"/>
  <c r="F570" i="3"/>
  <c r="F498" i="3"/>
  <c r="F599" i="3"/>
  <c r="F527" i="3"/>
  <c r="F325" i="3"/>
  <c r="F296" i="3"/>
  <c r="F93" i="3"/>
  <c r="F35" i="3"/>
  <c r="F64" i="3"/>
  <c r="F122" i="3"/>
  <c r="F6" i="3"/>
  <c r="F181" i="4"/>
  <c r="F124" i="4"/>
  <c r="F173" i="4"/>
  <c r="F114" i="4"/>
  <c r="F155" i="4"/>
  <c r="F133" i="4"/>
  <c r="F198" i="4"/>
  <c r="F147" i="4"/>
  <c r="F105" i="4"/>
  <c r="Y15" i="2"/>
  <c r="X16" i="2"/>
  <c r="F235" i="6"/>
  <c r="F151" i="6"/>
  <c r="F249" i="6"/>
  <c r="F165" i="6"/>
  <c r="F179" i="6"/>
  <c r="F193" i="6"/>
  <c r="F207" i="6"/>
  <c r="F221" i="6"/>
  <c r="F137" i="6"/>
  <c r="F204" i="6"/>
  <c r="F218" i="6"/>
  <c r="F134" i="6"/>
  <c r="F232" i="6"/>
  <c r="F148" i="6"/>
  <c r="F246" i="6"/>
  <c r="F162" i="6"/>
  <c r="F176" i="6"/>
  <c r="F190" i="6"/>
  <c r="F227" i="5" l="1"/>
  <c r="F277" i="5"/>
  <c r="F152" i="5"/>
  <c r="F327" i="5"/>
  <c r="F202" i="5"/>
  <c r="F252" i="5"/>
  <c r="F127" i="5"/>
  <c r="F302" i="5"/>
  <c r="F177" i="5"/>
  <c r="X17" i="2"/>
  <c r="Y16" i="2"/>
  <c r="F143" i="4"/>
  <c r="F107" i="4"/>
  <c r="F183" i="4"/>
  <c r="F126" i="4"/>
  <c r="F116" i="4"/>
  <c r="F135" i="4"/>
  <c r="F195" i="4"/>
  <c r="F157" i="4"/>
  <c r="F169" i="4"/>
  <c r="M17" i="2"/>
  <c r="L18" i="2"/>
  <c r="AF17" i="2"/>
  <c r="AG16" i="2"/>
  <c r="F327" i="3"/>
  <c r="F598" i="3"/>
  <c r="F298" i="3"/>
  <c r="F569" i="3"/>
  <c r="F269" i="3"/>
  <c r="F528" i="3"/>
  <c r="F499" i="3"/>
  <c r="F211" i="3"/>
  <c r="F470" i="3"/>
  <c r="F441" i="3"/>
  <c r="F182" i="3"/>
  <c r="F354" i="3"/>
  <c r="F240" i="3"/>
  <c r="F8" i="3"/>
  <c r="F383" i="3"/>
  <c r="F124" i="3"/>
  <c r="F66" i="3"/>
  <c r="F412" i="3"/>
  <c r="F37" i="3"/>
  <c r="F95" i="3"/>
  <c r="F153" i="3"/>
  <c r="F225" i="4" l="1"/>
  <c r="F226" i="4"/>
  <c r="F203" i="5"/>
  <c r="F253" i="5"/>
  <c r="F128" i="5"/>
  <c r="F303" i="5"/>
  <c r="F178" i="5"/>
  <c r="F228" i="5"/>
  <c r="F278" i="5"/>
  <c r="F153" i="5"/>
  <c r="F328" i="5"/>
  <c r="F109" i="4"/>
  <c r="F128" i="4"/>
  <c r="F118" i="4"/>
  <c r="F137" i="4"/>
  <c r="M18" i="2"/>
  <c r="L19" i="2"/>
  <c r="X18" i="2"/>
  <c r="Y17" i="2"/>
  <c r="F471" i="3"/>
  <c r="F183" i="3"/>
  <c r="F442" i="3"/>
  <c r="F154" i="3"/>
  <c r="F413" i="3"/>
  <c r="F125" i="3"/>
  <c r="F384" i="3"/>
  <c r="F355" i="3"/>
  <c r="F601" i="3"/>
  <c r="F529" i="3"/>
  <c r="F270" i="3"/>
  <c r="F328" i="3"/>
  <c r="F212" i="3"/>
  <c r="F299" i="3"/>
  <c r="F38" i="3"/>
  <c r="F96" i="3"/>
  <c r="F572" i="3"/>
  <c r="F500" i="3"/>
  <c r="F241" i="3"/>
  <c r="F67" i="3"/>
  <c r="F9" i="3"/>
  <c r="AG17" i="2"/>
  <c r="AF18" i="2"/>
  <c r="F211" i="4" l="1"/>
  <c r="F223" i="4"/>
  <c r="F209" i="4"/>
  <c r="F210" i="4"/>
  <c r="F187" i="4"/>
  <c r="F160" i="4"/>
  <c r="F172" i="4"/>
  <c r="F200" i="4"/>
  <c r="F146" i="4"/>
  <c r="AF19" i="2"/>
  <c r="AG18" i="2"/>
  <c r="Y18" i="2"/>
  <c r="X19" i="2"/>
  <c r="F179" i="5"/>
  <c r="F229" i="5"/>
  <c r="F279" i="5"/>
  <c r="F154" i="5"/>
  <c r="F329" i="5"/>
  <c r="F204" i="5"/>
  <c r="F254" i="5"/>
  <c r="F129" i="5"/>
  <c r="F304" i="5"/>
  <c r="L20" i="2"/>
  <c r="M19" i="2"/>
  <c r="F591" i="3"/>
  <c r="F555" i="3"/>
  <c r="F543" i="3"/>
  <c r="F531" i="3"/>
  <c r="F507" i="3"/>
  <c r="F483" i="3"/>
  <c r="F447" i="3"/>
  <c r="F423" i="3"/>
  <c r="F387" i="3"/>
  <c r="F363" i="3"/>
  <c r="F339" i="3"/>
  <c r="F303" i="3"/>
  <c r="F279" i="3"/>
  <c r="F243" i="3"/>
  <c r="F219" i="3"/>
  <c r="F195" i="3"/>
  <c r="F159" i="3"/>
  <c r="F135" i="3"/>
  <c r="F99" i="3"/>
  <c r="F75" i="3"/>
  <c r="F51" i="3"/>
  <c r="F39" i="3"/>
  <c r="F15" i="3"/>
  <c r="F586" i="3"/>
  <c r="F562" i="3"/>
  <c r="F538" i="3"/>
  <c r="F514" i="3"/>
  <c r="F502" i="3"/>
  <c r="F478" i="3"/>
  <c r="F454" i="3"/>
  <c r="F418" i="3"/>
  <c r="F394" i="3"/>
  <c r="F358" i="3"/>
  <c r="F334" i="3"/>
  <c r="F310" i="3"/>
  <c r="F274" i="3"/>
  <c r="F250" i="3"/>
  <c r="F214" i="3"/>
  <c r="F190" i="3"/>
  <c r="F166" i="3"/>
  <c r="F130" i="3"/>
  <c r="F106" i="3"/>
  <c r="F70" i="3"/>
  <c r="F46" i="3"/>
  <c r="F22" i="3"/>
  <c r="F10" i="3"/>
  <c r="F593" i="3"/>
  <c r="F557" i="3"/>
  <c r="F533" i="3"/>
  <c r="F509" i="3"/>
  <c r="F485" i="3"/>
  <c r="F473" i="3"/>
  <c r="F449" i="3"/>
  <c r="F425" i="3"/>
  <c r="F389" i="3"/>
  <c r="F365" i="3"/>
  <c r="F341" i="3"/>
  <c r="F329" i="3"/>
  <c r="F305" i="3"/>
  <c r="F281" i="3"/>
  <c r="F245" i="3"/>
  <c r="F221" i="3"/>
  <c r="F185" i="3"/>
  <c r="F161" i="3"/>
  <c r="F137" i="3"/>
  <c r="F101" i="3"/>
  <c r="F77" i="3"/>
  <c r="F41" i="3"/>
  <c r="F17" i="3"/>
  <c r="F588" i="3"/>
  <c r="F564" i="3"/>
  <c r="F540" i="3"/>
  <c r="F504" i="3"/>
  <c r="F480" i="3"/>
  <c r="F456" i="3"/>
  <c r="F444" i="3"/>
  <c r="F420" i="3"/>
  <c r="F396" i="3"/>
  <c r="F360" i="3"/>
  <c r="F336" i="3"/>
  <c r="F312" i="3"/>
  <c r="F595" i="3"/>
  <c r="F583" i="3"/>
  <c r="F559" i="3"/>
  <c r="F535" i="3"/>
  <c r="F511" i="3"/>
  <c r="F475" i="3"/>
  <c r="F451" i="3"/>
  <c r="F427" i="3"/>
  <c r="F415" i="3"/>
  <c r="F391" i="3"/>
  <c r="F367" i="3"/>
  <c r="F331" i="3"/>
  <c r="F307" i="3"/>
  <c r="F283" i="3"/>
  <c r="F271" i="3"/>
  <c r="F247" i="3"/>
  <c r="F223" i="3"/>
  <c r="F187" i="3"/>
  <c r="F163" i="3"/>
  <c r="F127" i="3"/>
  <c r="F590" i="3"/>
  <c r="F566" i="3"/>
  <c r="F554" i="3"/>
  <c r="F542" i="3"/>
  <c r="F530" i="3"/>
  <c r="F506" i="3"/>
  <c r="F482" i="3"/>
  <c r="F446" i="3"/>
  <c r="F422" i="3"/>
  <c r="F398" i="3"/>
  <c r="F386" i="3"/>
  <c r="F362" i="3"/>
  <c r="F585" i="3"/>
  <c r="F561" i="3"/>
  <c r="F553" i="3"/>
  <c r="F537" i="3"/>
  <c r="F513" i="3"/>
  <c r="F505" i="3"/>
  <c r="F481" i="3"/>
  <c r="F417" i="3"/>
  <c r="F393" i="3"/>
  <c r="F385" i="3"/>
  <c r="F369" i="3"/>
  <c r="F361" i="3"/>
  <c r="F340" i="3"/>
  <c r="F306" i="3"/>
  <c r="F252" i="3"/>
  <c r="F216" i="3"/>
  <c r="F311" i="3"/>
  <c r="F280" i="3"/>
  <c r="F213" i="3"/>
  <c r="F563" i="3"/>
  <c r="F539" i="3"/>
  <c r="F587" i="3"/>
  <c r="F582" i="3"/>
  <c r="F558" i="3"/>
  <c r="F534" i="3"/>
  <c r="F510" i="3"/>
  <c r="F414" i="3"/>
  <c r="F390" i="3"/>
  <c r="F366" i="3"/>
  <c r="F337" i="3"/>
  <c r="F254" i="3"/>
  <c r="F218" i="3"/>
  <c r="F443" i="3"/>
  <c r="F592" i="3"/>
  <c r="F584" i="3"/>
  <c r="F560" i="3"/>
  <c r="F536" i="3"/>
  <c r="F512" i="3"/>
  <c r="F472" i="3"/>
  <c r="F448" i="3"/>
  <c r="F424" i="3"/>
  <c r="F416" i="3"/>
  <c r="F392" i="3"/>
  <c r="F368" i="3"/>
  <c r="F251" i="3"/>
  <c r="F220" i="3"/>
  <c r="F215" i="3"/>
  <c r="F184" i="3"/>
  <c r="F97" i="3"/>
  <c r="F49" i="3"/>
  <c r="F44" i="3"/>
  <c r="F589" i="3"/>
  <c r="F565" i="3"/>
  <c r="F541" i="3"/>
  <c r="F501" i="3"/>
  <c r="F477" i="3"/>
  <c r="F453" i="3"/>
  <c r="F445" i="3"/>
  <c r="F421" i="3"/>
  <c r="F397" i="3"/>
  <c r="F357" i="3"/>
  <c r="F302" i="3"/>
  <c r="F253" i="3"/>
  <c r="F248" i="3"/>
  <c r="F217" i="3"/>
  <c r="F594" i="3"/>
  <c r="F474" i="3"/>
  <c r="F450" i="3"/>
  <c r="F426" i="3"/>
  <c r="F333" i="3"/>
  <c r="F276" i="3"/>
  <c r="F222" i="3"/>
  <c r="F186" i="3"/>
  <c r="F132" i="3"/>
  <c r="F109" i="3"/>
  <c r="F104" i="3"/>
  <c r="F13" i="3"/>
  <c r="F503" i="3"/>
  <c r="F479" i="3"/>
  <c r="F455" i="3"/>
  <c r="F359" i="3"/>
  <c r="F338" i="3"/>
  <c r="F304" i="3"/>
  <c r="F196" i="3"/>
  <c r="F191" i="3"/>
  <c r="F160" i="3"/>
  <c r="F155" i="3"/>
  <c r="F76" i="3"/>
  <c r="F71" i="3"/>
  <c r="F18" i="3"/>
  <c r="F330" i="3"/>
  <c r="F309" i="3"/>
  <c r="F278" i="3"/>
  <c r="F273" i="3"/>
  <c r="F48" i="3"/>
  <c r="F43" i="3"/>
  <c r="F12" i="3"/>
  <c r="F242" i="3"/>
  <c r="F165" i="3"/>
  <c r="F134" i="3"/>
  <c r="F129" i="3"/>
  <c r="F275" i="3"/>
  <c r="F244" i="3"/>
  <c r="F167" i="3"/>
  <c r="F136" i="3"/>
  <c r="F108" i="3"/>
  <c r="F249" i="3"/>
  <c r="F556" i="3"/>
  <c r="F532" i="3"/>
  <c r="F508" i="3"/>
  <c r="F484" i="3"/>
  <c r="F476" i="3"/>
  <c r="F452" i="3"/>
  <c r="F388" i="3"/>
  <c r="F364" i="3"/>
  <c r="F356" i="3"/>
  <c r="F335" i="3"/>
  <c r="F301" i="3"/>
  <c r="F224" i="3"/>
  <c r="F193" i="3"/>
  <c r="F188" i="3"/>
  <c r="F157" i="3"/>
  <c r="F73" i="3"/>
  <c r="F68" i="3"/>
  <c r="F20" i="3"/>
  <c r="F162" i="3"/>
  <c r="F126" i="3"/>
  <c r="F98" i="3"/>
  <c r="F78" i="3"/>
  <c r="F50" i="3"/>
  <c r="F45" i="3"/>
  <c r="F40" i="3"/>
  <c r="F332" i="3"/>
  <c r="F131" i="3"/>
  <c r="F103" i="3"/>
  <c r="F80" i="3"/>
  <c r="F308" i="3"/>
  <c r="F189" i="3"/>
  <c r="F419" i="3"/>
  <c r="F194" i="3"/>
  <c r="F42" i="3"/>
  <c r="F14" i="3"/>
  <c r="F395" i="3"/>
  <c r="F272" i="3"/>
  <c r="F128" i="3"/>
  <c r="F11" i="3"/>
  <c r="F72" i="3"/>
  <c r="F19" i="3"/>
  <c r="F277" i="3"/>
  <c r="F225" i="3"/>
  <c r="F133" i="3"/>
  <c r="F158" i="3"/>
  <c r="F138" i="3"/>
  <c r="F156" i="3"/>
  <c r="F100" i="3"/>
  <c r="F69" i="3"/>
  <c r="F47" i="3"/>
  <c r="F16" i="3"/>
  <c r="F164" i="3"/>
  <c r="F105" i="3"/>
  <c r="F74" i="3"/>
  <c r="F21" i="3"/>
  <c r="F300" i="3"/>
  <c r="F102" i="3"/>
  <c r="F282" i="3"/>
  <c r="F79" i="3"/>
  <c r="F192" i="3"/>
  <c r="F246" i="3"/>
  <c r="F107" i="3"/>
  <c r="X20" i="2" l="1"/>
  <c r="Y20" i="2" s="1"/>
  <c r="F220" i="4" s="1"/>
  <c r="Y19" i="2"/>
  <c r="F567" i="3"/>
  <c r="F399" i="3"/>
  <c r="F255" i="3"/>
  <c r="F370" i="3"/>
  <c r="F226" i="3"/>
  <c r="F197" i="3"/>
  <c r="F139" i="3"/>
  <c r="F457" i="3"/>
  <c r="F486" i="3"/>
  <c r="F515" i="3"/>
  <c r="F544" i="3"/>
  <c r="F284" i="3"/>
  <c r="F168" i="3"/>
  <c r="F81" i="3"/>
  <c r="F23" i="3"/>
  <c r="F596" i="3"/>
  <c r="F428" i="3"/>
  <c r="F342" i="3"/>
  <c r="F313" i="3"/>
  <c r="F110" i="3"/>
  <c r="F52" i="3"/>
  <c r="F199" i="4"/>
  <c r="F148" i="4"/>
  <c r="F174" i="4"/>
  <c r="F161" i="4"/>
  <c r="F186" i="4"/>
  <c r="M20" i="2"/>
  <c r="L21" i="2"/>
  <c r="F155" i="5"/>
  <c r="F330" i="5"/>
  <c r="F205" i="5"/>
  <c r="F255" i="5"/>
  <c r="F130" i="5"/>
  <c r="F305" i="5"/>
  <c r="F180" i="5"/>
  <c r="F230" i="5"/>
  <c r="F280" i="5"/>
  <c r="AF20" i="2"/>
  <c r="AG19" i="2"/>
  <c r="F218" i="4" l="1"/>
  <c r="F219" i="4"/>
  <c r="F214" i="4"/>
  <c r="F215" i="4"/>
  <c r="F212" i="4"/>
  <c r="F213" i="4"/>
  <c r="F131" i="5"/>
  <c r="F306" i="5"/>
  <c r="F181" i="5"/>
  <c r="F231" i="5"/>
  <c r="F281" i="5"/>
  <c r="F156" i="5"/>
  <c r="F331" i="5"/>
  <c r="F206" i="5"/>
  <c r="F256" i="5"/>
  <c r="F111" i="3"/>
  <c r="F82" i="3"/>
  <c r="F545" i="3"/>
  <c r="F53" i="3"/>
  <c r="F516" i="3"/>
  <c r="F487" i="3"/>
  <c r="F343" i="3"/>
  <c r="F458" i="3"/>
  <c r="F198" i="3"/>
  <c r="F285" i="3"/>
  <c r="F568" i="3"/>
  <c r="F400" i="3"/>
  <c r="F256" i="3"/>
  <c r="F597" i="3"/>
  <c r="F429" i="3"/>
  <c r="F227" i="3"/>
  <c r="F314" i="3"/>
  <c r="F169" i="3"/>
  <c r="F24" i="3"/>
  <c r="F140" i="3"/>
  <c r="F371" i="3"/>
  <c r="L22" i="2"/>
  <c r="M21" i="2"/>
  <c r="AG20" i="2"/>
  <c r="AF21" i="2"/>
  <c r="F202" i="4"/>
  <c r="F188" i="4"/>
  <c r="F150" i="4"/>
  <c r="F162" i="4"/>
  <c r="F176" i="4"/>
  <c r="F175" i="4"/>
  <c r="F163" i="4"/>
  <c r="F201" i="4"/>
  <c r="F149" i="4"/>
  <c r="F189" i="4"/>
  <c r="AF22" i="2" l="1"/>
  <c r="AG21" i="2"/>
  <c r="F258" i="5"/>
  <c r="F133" i="5"/>
  <c r="F308" i="5"/>
  <c r="F183" i="5"/>
  <c r="F233" i="5"/>
  <c r="F283" i="5"/>
  <c r="F158" i="5"/>
  <c r="F333" i="5"/>
  <c r="F208" i="5"/>
  <c r="L23" i="2"/>
  <c r="M22" i="2"/>
  <c r="F459" i="3"/>
  <c r="F315" i="3"/>
  <c r="F430" i="3"/>
  <c r="F286" i="3"/>
  <c r="F401" i="3"/>
  <c r="F257" i="3"/>
  <c r="F372" i="3"/>
  <c r="F607" i="3"/>
  <c r="F199" i="3"/>
  <c r="F578" i="3"/>
  <c r="F141" i="3"/>
  <c r="F488" i="3"/>
  <c r="F517" i="3"/>
  <c r="F344" i="3"/>
  <c r="F546" i="3"/>
  <c r="F170" i="3"/>
  <c r="F25" i="3"/>
  <c r="F83" i="3"/>
  <c r="F112" i="3"/>
  <c r="F228" i="3"/>
  <c r="F54" i="3"/>
  <c r="M23" i="2" l="1"/>
  <c r="L24" i="2"/>
  <c r="F335" i="5"/>
  <c r="F210" i="5"/>
  <c r="F260" i="5"/>
  <c r="F135" i="5"/>
  <c r="F310" i="5"/>
  <c r="F185" i="5"/>
  <c r="F235" i="5"/>
  <c r="F285" i="5"/>
  <c r="F160" i="5"/>
  <c r="F547" i="3"/>
  <c r="F602" i="3"/>
  <c r="F518" i="3"/>
  <c r="F489" i="3"/>
  <c r="F573" i="3"/>
  <c r="F373" i="3"/>
  <c r="F402" i="3"/>
  <c r="F431" i="3"/>
  <c r="F460" i="3"/>
  <c r="AG22" i="2"/>
  <c r="AF23" i="2"/>
  <c r="F311" i="5" l="1"/>
  <c r="F186" i="5"/>
  <c r="F236" i="5"/>
  <c r="F286" i="5"/>
  <c r="F161" i="5"/>
  <c r="F336" i="5"/>
  <c r="F211" i="5"/>
  <c r="F261" i="5"/>
  <c r="F136" i="5"/>
  <c r="AF24" i="2"/>
  <c r="AG23" i="2"/>
  <c r="M24" i="2"/>
  <c r="L25" i="2"/>
  <c r="F603" i="3"/>
  <c r="F519" i="3"/>
  <c r="F171" i="3"/>
  <c r="F574" i="3"/>
  <c r="F490" i="3"/>
  <c r="F142" i="3"/>
  <c r="F461" i="3"/>
  <c r="F113" i="3"/>
  <c r="F432" i="3"/>
  <c r="F403" i="3"/>
  <c r="F374" i="3"/>
  <c r="F316" i="3"/>
  <c r="F287" i="3"/>
  <c r="F258" i="3"/>
  <c r="F345" i="3"/>
  <c r="F55" i="3"/>
  <c r="F548" i="3"/>
  <c r="F229" i="3"/>
  <c r="F84" i="3"/>
  <c r="F200" i="3"/>
  <c r="F26" i="3"/>
  <c r="AG24" i="2" l="1"/>
  <c r="AF25" i="2"/>
  <c r="L26" i="2"/>
  <c r="M25" i="2"/>
  <c r="F375" i="3"/>
  <c r="F27" i="3"/>
  <c r="F346" i="3"/>
  <c r="F317" i="3"/>
  <c r="F259" i="3"/>
  <c r="F433" i="3"/>
  <c r="F288" i="3"/>
  <c r="F462" i="3"/>
  <c r="F491" i="3"/>
  <c r="F520" i="3"/>
  <c r="F143" i="3"/>
  <c r="F549" i="3"/>
  <c r="F56" i="3"/>
  <c r="F575" i="3"/>
  <c r="F114" i="3"/>
  <c r="F201" i="3"/>
  <c r="F85" i="3"/>
  <c r="F172" i="3"/>
  <c r="F604" i="3"/>
  <c r="F404" i="3"/>
  <c r="F230" i="3"/>
  <c r="F263" i="5"/>
  <c r="F138" i="5"/>
  <c r="F313" i="5"/>
  <c r="F188" i="5"/>
  <c r="F238" i="5"/>
  <c r="F288" i="5"/>
  <c r="F163" i="5"/>
  <c r="F338" i="5"/>
  <c r="F213" i="5"/>
  <c r="F579" i="3" l="1"/>
  <c r="F550" i="3"/>
  <c r="F521" i="3"/>
  <c r="F492" i="3"/>
  <c r="F463" i="3"/>
  <c r="F434" i="3"/>
  <c r="F608" i="3"/>
  <c r="F376" i="3"/>
  <c r="F405" i="3"/>
  <c r="M26" i="2"/>
  <c r="L27" i="2"/>
  <c r="AG25" i="2"/>
  <c r="AF26" i="2"/>
  <c r="F239" i="5"/>
  <c r="F289" i="5"/>
  <c r="F164" i="5"/>
  <c r="F339" i="5"/>
  <c r="F214" i="5"/>
  <c r="F264" i="5"/>
  <c r="F139" i="5"/>
  <c r="F314" i="5"/>
  <c r="F189" i="5"/>
  <c r="F215" i="5" l="1"/>
  <c r="F265" i="5"/>
  <c r="F140" i="5"/>
  <c r="F315" i="5"/>
  <c r="F190" i="5"/>
  <c r="F240" i="5"/>
  <c r="F290" i="5"/>
  <c r="F165" i="5"/>
  <c r="F340" i="5"/>
  <c r="F435" i="3"/>
  <c r="F406" i="3"/>
  <c r="F377" i="3"/>
  <c r="F609" i="3"/>
  <c r="F464" i="3"/>
  <c r="F493" i="3"/>
  <c r="F522" i="3"/>
  <c r="F551" i="3"/>
  <c r="F580" i="3"/>
  <c r="M27" i="2"/>
  <c r="L28" i="2"/>
  <c r="M28" i="2" s="1"/>
  <c r="AG26" i="2"/>
  <c r="AF27" i="2"/>
  <c r="AG27" i="2" l="1"/>
  <c r="AF28" i="2"/>
  <c r="F610" i="3"/>
  <c r="F581" i="3"/>
  <c r="F552" i="3"/>
  <c r="F523" i="3"/>
  <c r="F494" i="3"/>
  <c r="F465" i="3"/>
  <c r="F378" i="3"/>
  <c r="F407" i="3"/>
  <c r="F436" i="3"/>
  <c r="F191" i="5"/>
  <c r="F241" i="5"/>
  <c r="F291" i="5"/>
  <c r="F166" i="5"/>
  <c r="F341" i="5"/>
  <c r="F216" i="5"/>
  <c r="F266" i="5"/>
  <c r="F141" i="5"/>
  <c r="F316" i="5"/>
  <c r="AF29" i="2" l="1"/>
  <c r="AG28" i="2"/>
  <c r="F167" i="5"/>
  <c r="F342" i="5"/>
  <c r="F217" i="5"/>
  <c r="F267" i="5"/>
  <c r="F142" i="5"/>
  <c r="F317" i="5"/>
  <c r="F192" i="5"/>
  <c r="F242" i="5"/>
  <c r="F292" i="5"/>
  <c r="F143" i="5" l="1"/>
  <c r="F318" i="5"/>
  <c r="F193" i="5"/>
  <c r="F243" i="5"/>
  <c r="F293" i="5"/>
  <c r="F168" i="5"/>
  <c r="F343" i="5"/>
  <c r="F218" i="5"/>
  <c r="F268" i="5"/>
  <c r="AG29" i="2"/>
  <c r="AF30" i="2"/>
  <c r="F294" i="5" l="1"/>
  <c r="F169" i="5"/>
  <c r="F344" i="5"/>
  <c r="F219" i="5"/>
  <c r="F269" i="5"/>
  <c r="F144" i="5"/>
  <c r="F319" i="5"/>
  <c r="F194" i="5"/>
  <c r="F244" i="5"/>
  <c r="AF31" i="2"/>
  <c r="AG31" i="2" s="1"/>
  <c r="AG30" i="2"/>
  <c r="F246" i="5" l="1"/>
  <c r="F296" i="5"/>
  <c r="F171" i="5"/>
  <c r="F346" i="5"/>
  <c r="F221" i="5"/>
  <c r="F271" i="5"/>
  <c r="F146" i="5"/>
  <c r="F321" i="5"/>
  <c r="F196" i="5"/>
  <c r="F270" i="5"/>
  <c r="F145" i="5"/>
  <c r="F320" i="5"/>
  <c r="F195" i="5"/>
  <c r="F245" i="5"/>
  <c r="F295" i="5"/>
  <c r="F170" i="5"/>
  <c r="F345" i="5"/>
  <c r="F220" i="5"/>
</calcChain>
</file>

<file path=xl/sharedStrings.xml><?xml version="1.0" encoding="utf-8"?>
<sst xmlns="http://schemas.openxmlformats.org/spreadsheetml/2006/main" count="9170" uniqueCount="418">
  <si>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</si>
  <si>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</si>
  <si>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</si>
  <si>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</si>
  <si>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</si>
  <si>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</si>
  <si>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</si>
  <si>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</si>
  <si>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</si>
  <si>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</si>
  <si>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</si>
  <si>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</si>
  <si>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</si>
  <si>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</si>
  <si>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</si>
  <si>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</si>
  <si>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</si>
  <si>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</si>
  <si>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</si>
  <si>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</si>
  <si>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</si>
  <si>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</si>
  <si>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</si>
  <si>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</si>
  <si>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</si>
  <si>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</si>
  <si>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</si>
  <si>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</si>
  <si>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</si>
  <si>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</si>
  <si>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</si>
  <si>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</si>
  <si>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</si>
  <si>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</si>
  <si>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</si>
  <si>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</si>
  <si>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</si>
  <si>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</si>
  <si>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</si>
  <si>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</si>
  <si>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</si>
  <si>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</si>
  <si>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</si>
  <si>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</si>
  <si>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</si>
  <si>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</si>
  <si>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</si>
  <si>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</si>
  <si>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</si>
  <si>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</si>
  <si>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</si>
  <si>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</si>
  <si>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</si>
  <si>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</si>
  <si>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</si>
  <si>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</si>
  <si>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</si>
  <si>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</si>
  <si>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</si>
  <si>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</si>
  <si>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</si>
  <si>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</si>
  <si>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</si>
  <si>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</si>
  <si>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</si>
  <si>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</si>
  <si>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</si>
  <si>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</si>
  <si>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</si>
  <si>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</si>
  <si>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</si>
  <si>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</si>
  <si>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</si>
  <si>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</si>
  <si>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</si>
  <si>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</si>
  <si>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</si>
  <si>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</si>
  <si>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</si>
  <si>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</si>
  <si>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</si>
  <si>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</si>
  <si>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color rgb="FF00000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</si>
  <si>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</si>
  <si>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</si>
  <si>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</si>
  <si>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</si>
  <si>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</si>
  <si>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</si>
  <si>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color rgb="FF00000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</si>
  <si>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</si>
  <si>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</si>
  <si>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</si>
  <si>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</si>
  <si>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</si>
  <si>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</si>
  <si>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</si>
  <si>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</si>
  <si>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</si>
  <si>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</si>
  <si>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</si>
  <si>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</si>
  <si>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</si>
  <si>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</si>
  <si>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</si>
  <si>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</si>
  <si>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</si>
  <si>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</si>
  <si>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color rgb="FF00000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</si>
  <si>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</si>
  <si>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</si>
  <si>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</si>
  <si>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#REF!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</si>
  <si>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</si>
  <si>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</si>
  <si>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</si>
  <si>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</si>
  <si>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</si>
  <si>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</si>
  <si>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</si>
  <si>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</si>
  <si>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</si>
  <si>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</si>
  <si>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</si>
  <si>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</si>
  <si>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</si>
  <si>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</si>
  <si>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</si>
  <si>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</si>
  <si>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</si>
  <si>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</si>
  <si>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</si>
  <si>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</si>
  <si>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</si>
  <si>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</si>
  <si>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</si>
  <si>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</si>
  <si>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</si>
  <si>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</si>
  <si>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</si>
  <si>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</si>
  <si>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</si>
  <si>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</si>
  <si>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</si>
  <si>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</si>
  <si>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</si>
  <si>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</si>
  <si>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</si>
  <si>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</si>
  <si>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</si>
  <si>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</si>
  <si>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</si>
  <si>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</si>
  <si>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</si>
  <si>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</si>
  <si>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</si>
  <si>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</si>
  <si>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</si>
  <si>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</si>
  <si>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</si>
  <si>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</si>
  <si>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Registro Clientes Mayoristas​</t>
  </si>
  <si>
    <t>Registro Clientes Mayoristas​ (Franquicias, Acces, Outlets)</t>
  </si>
  <si>
    <t>Total general</t>
  </si>
  <si>
    <t>Mes</t>
  </si>
  <si>
    <t>Ultimodía_mes</t>
  </si>
  <si>
    <t>Concepto Anterior</t>
  </si>
  <si>
    <t>Concepto Nuevo</t>
  </si>
  <si>
    <t>id_concepto</t>
  </si>
  <si>
    <t>Ciudad</t>
  </si>
  <si>
    <t>Valor</t>
  </si>
  <si>
    <t>enero</t>
  </si>
  <si>
    <t>No aplica</t>
  </si>
  <si>
    <t>Público Capacitado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</si>
  <si>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</si>
  <si>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</si>
  <si>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</si>
  <si>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</si>
  <si>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</si>
  <si>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</si>
  <si>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</si>
  <si>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</si>
  <si>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</si>
  <si>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</si>
  <si>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</si>
  <si>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Devolución saldos a favor en renta</t>
  </si>
  <si>
    <t>Arqueos​</t>
  </si>
  <si>
    <t>Capacitaciones</t>
  </si>
  <si>
    <t>Inventarios fisicos​ GS Falabella</t>
  </si>
  <si>
    <t>Inventarios fisicos​ tiendas propias y franquicias</t>
  </si>
  <si>
    <t>Paz y Salvo Retiros​</t>
  </si>
  <si>
    <t>Cantidad de Inventarios cíclicos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</si>
  <si>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</si>
  <si>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</si>
  <si>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</si>
  <si>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</si>
  <si>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</si>
  <si>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</si>
  <si>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</si>
  <si>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Facturas contabilizadas Triplematch</t>
  </si>
  <si>
    <t>Facturas contabilizadas Script</t>
  </si>
  <si>
    <t>Arauca</t>
  </si>
  <si>
    <t>Carepa</t>
  </si>
  <si>
    <t>Ajustes Inventarios Cíclico</t>
  </si>
  <si>
    <t>Presentación Resultados Inventarios a Dirección Comercial</t>
  </si>
  <si>
    <t>Cierres de tienda</t>
  </si>
  <si>
    <t>Cambios de Razón Social</t>
  </si>
  <si>
    <t>Inventarios Maestra</t>
  </si>
  <si>
    <t>Automatizaciones</t>
  </si>
  <si>
    <t>Emisiones de co2</t>
  </si>
  <si>
    <t>Tickets proceso</t>
  </si>
  <si>
    <t>Noches de hospedaje de hoteles</t>
  </si>
  <si>
    <t>Total tickets recibidos</t>
  </si>
  <si>
    <t>Tickets Cerrados con ANS</t>
  </si>
  <si>
    <t>Tickets Vencidos</t>
  </si>
  <si>
    <t>Riesgos y Cumplimiento</t>
  </si>
  <si>
    <t>Areas</t>
  </si>
  <si>
    <t>fecha actual</t>
  </si>
  <si>
    <t>año actual</t>
  </si>
  <si>
    <t>Meses</t>
  </si>
  <si>
    <t>Tipo informe</t>
  </si>
  <si>
    <t>consecutivo_concepto</t>
  </si>
  <si>
    <t>Marca_Empresa</t>
  </si>
  <si>
    <t>Ciudad Centro</t>
  </si>
  <si>
    <t>id_area</t>
  </si>
  <si>
    <t>Nombre_area</t>
  </si>
  <si>
    <t>Responsable</t>
  </si>
  <si>
    <t>Acumulativo</t>
  </si>
  <si>
    <t>Acacías</t>
  </si>
  <si>
    <t>Mes actual</t>
  </si>
  <si>
    <t>Cuentas Contables Conciliadas</t>
  </si>
  <si>
    <t xml:space="preserve">Fiscalizaciones DIAN - Municipios </t>
  </si>
  <si>
    <t>Oscar Yepes</t>
  </si>
  <si>
    <t>Aguachica</t>
  </si>
  <si>
    <t>Facturas Contabilizada</t>
  </si>
  <si>
    <t>Analítica de Contraloría</t>
  </si>
  <si>
    <t>Jorge Herrera</t>
  </si>
  <si>
    <t>Agustín Codazzi</t>
  </si>
  <si>
    <t>declaraciones tributarias</t>
  </si>
  <si>
    <t xml:space="preserve">Ana Romero </t>
  </si>
  <si>
    <t>Apartadó</t>
  </si>
  <si>
    <t>información exógena</t>
  </si>
  <si>
    <t>Control de Operaciones</t>
  </si>
  <si>
    <t>Alberto Cortes</t>
  </si>
  <si>
    <t>% Tickets Cumplimiento</t>
  </si>
  <si>
    <t>Zaneida Restrepo</t>
  </si>
  <si>
    <t>Total Tickets</t>
  </si>
  <si>
    <t>Arjona</t>
  </si>
  <si>
    <t>el 95 % del cumplimiento (sale del promedio de la fila)</t>
  </si>
  <si>
    <t>Dora Gomez</t>
  </si>
  <si>
    <t>Armenia</t>
  </si>
  <si>
    <t>Gerencia Contraloría</t>
  </si>
  <si>
    <t>Paola Chica</t>
  </si>
  <si>
    <t>Baranoa</t>
  </si>
  <si>
    <t>Otros</t>
  </si>
  <si>
    <t>Na</t>
  </si>
  <si>
    <t>Barbosa</t>
  </si>
  <si>
    <t>Informes Contables</t>
  </si>
  <si>
    <t>Ahorro energía</t>
  </si>
  <si>
    <t>Barrancabermeja</t>
  </si>
  <si>
    <t>Gestión Gastos No deducibles + recuperación de embargos</t>
  </si>
  <si>
    <t>Trámites, Aperturas y Cierres de Tiendas</t>
  </si>
  <si>
    <t xml:space="preserve">Cant. reformas tiendas </t>
  </si>
  <si>
    <t>Barranquilla</t>
  </si>
  <si>
    <t xml:space="preserve">Contratos de arrendamientos </t>
  </si>
  <si>
    <t>Bello</t>
  </si>
  <si>
    <t>Control Ingresos cede Dogama</t>
  </si>
  <si>
    <t>Bogotá, D.C.</t>
  </si>
  <si>
    <t>Emisiones CO²</t>
  </si>
  <si>
    <t>Bosconia</t>
  </si>
  <si>
    <t>Bucaramanga</t>
  </si>
  <si>
    <t>Facturas Procesadas por Marca</t>
  </si>
  <si>
    <t>Buenaventura</t>
  </si>
  <si>
    <t>Caicedonia</t>
  </si>
  <si>
    <t>Cajicá</t>
  </si>
  <si>
    <t xml:space="preserve">Ahorro reformas tiendas </t>
  </si>
  <si>
    <t>Caldas</t>
  </si>
  <si>
    <t>Noches hospedaje</t>
  </si>
  <si>
    <t>Cali</t>
  </si>
  <si>
    <t>Recuperaciones Siniestros</t>
  </si>
  <si>
    <t>California</t>
  </si>
  <si>
    <t>Gestión de Polizas</t>
  </si>
  <si>
    <t>Campoalegre</t>
  </si>
  <si>
    <t>Cartagena De Indias</t>
  </si>
  <si>
    <t>Cartago</t>
  </si>
  <si>
    <t>% Cumplimiento tickets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</si>
  <si>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</si>
  <si>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</si>
  <si>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</si>
  <si>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</si>
  <si>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</si>
  <si>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</si>
  <si>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</si>
  <si>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</si>
  <si>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</si>
  <si>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</si>
  <si>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</si>
  <si>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</si>
  <si>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</si>
  <si>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</si>
  <si>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</si>
  <si>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</si>
  <si>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</si>
  <si>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</si>
  <si>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</si>
  <si>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</si>
  <si>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</si>
  <si>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</si>
  <si>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</si>
  <si>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</si>
  <si>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</si>
  <si>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</si>
  <si>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</si>
  <si>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</si>
  <si>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</si>
  <si>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</si>
  <si>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</si>
  <si>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</si>
  <si>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</si>
  <si>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</si>
  <si>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</si>
  <si>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</si>
  <si>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</si>
  <si>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</si>
  <si>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</si>
  <si>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</si>
  <si>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</si>
  <si>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</si>
  <si>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</si>
  <si>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</si>
  <si>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</si>
  <si>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</si>
  <si>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</si>
  <si>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</si>
  <si>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</si>
  <si>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</si>
  <si>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</si>
  <si>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</si>
  <si>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</si>
  <si>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</si>
  <si>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</si>
  <si>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</si>
  <si>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</si>
  <si>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</si>
  <si>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</si>
  <si>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</si>
  <si>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</si>
  <si>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</si>
  <si>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</si>
  <si>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</si>
  <si>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</si>
  <si>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</si>
  <si>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</si>
  <si>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</si>
  <si>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</si>
  <si>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</si>
  <si>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</si>
  <si>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</si>
  <si>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</si>
  <si>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</si>
  <si>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</si>
  <si>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</si>
  <si>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</si>
  <si>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</si>
  <si>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</si>
  <si>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</si>
  <si>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</si>
  <si>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</si>
  <si>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</si>
  <si>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</si>
  <si>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</si>
  <si>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</si>
  <si>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</si>
  <si>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</si>
  <si>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</si>
  <si>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</si>
  <si>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</si>
  <si>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</si>
  <si>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</si>
  <si>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</si>
  <si>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</si>
  <si>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</si>
  <si>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</si>
  <si>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</si>
  <si>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</si>
  <si>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</si>
  <si>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</si>
  <si>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</si>
  <si>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</si>
  <si>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</si>
  <si>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</si>
  <si>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</si>
  <si>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</si>
  <si>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</si>
  <si>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</si>
  <si>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</si>
  <si>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</si>
  <si>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</si>
  <si>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</si>
  <si>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</si>
  <si>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</si>
  <si>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</si>
  <si>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</si>
  <si>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</si>
  <si>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</si>
  <si>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</si>
  <si>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Capacitaciones​</t>
  </si>
  <si>
    <t xml:space="preserve">Cierre Tiendas </t>
  </si>
  <si>
    <t>Descuadres Caja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</si>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</sst>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\$#,##0_);\(\$#,##0\)"/>
    <numFmt numFmtId="165" formatCode="#,##0%"/>
  </numFmts>
  <fonts count="1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</font>
    <font>
      <sz val="11"/>
      <color rgb="FF242424"/>
      <name val="Aptos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Segoe UI"/>
      <family val="2"/>
    </font>
    <font>
      <b/>
      <sz val="11"/>
      <color rgb="FFFFFFFF"/>
      <name val="Aptos Narrow"/>
      <family val="2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7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DEEBF7"/>
      </patternFill>
    </fill>
    <fill>
      <patternFill patternType="solid">
        <fgColor rgb="FFD9E1F2"/>
      </patternFill>
    </fill>
    <fill>
      <patternFill patternType="solid">
        <fgColor rgb="FFFFFF00"/>
      </patternFill>
    </fill>
    <fill>
      <patternFill patternType="solid">
        <fgColor rgb="FFF8CBAD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92D050"/>
      </patternFill>
    </fill>
    <fill>
      <patternFill patternType="solid">
        <fgColor rgb="FFB4C7E7"/>
      </patternFill>
    </fill>
    <fill>
      <patternFill patternType="solid">
        <fgColor rgb="FF002060"/>
      </patternFill>
    </fill>
    <fill>
      <patternFill patternType="solid">
        <fgColor rgb="FF2F5597"/>
      </patternFill>
    </fill>
    <fill>
      <patternFill patternType="solid">
        <fgColor rgb="FF145F82"/>
      </patternFill>
    </fill>
    <fill>
      <patternFill patternType="solid">
        <fgColor rgb="FFFFC000"/>
      </patternFill>
    </fill>
    <fill>
      <patternFill patternType="solid">
        <fgColor rgb="FFC0E4F5"/>
      </patternFill>
    </fill>
  </fills>
  <borders count="12">
    <border>
      <left/>
      <right/>
      <top/>
      <bottom/>
      <diagonal/>
    </border>
    <border>
      <left style="thin">
        <color rgb="FF9DC3E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8EA9DB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DC3E6"/>
      </left>
      <right/>
      <top style="thin">
        <color rgb="FF9DC3E6"/>
      </top>
      <bottom style="thin">
        <color rgb="FF9DC3E6"/>
      </bottom>
      <diagonal/>
    </border>
    <border>
      <left/>
      <right/>
      <top style="thin">
        <color rgb="FF9DC3E6"/>
      </top>
      <bottom style="thin">
        <color rgb="FF9DC3E6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C6C6C6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2" borderId="1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right"/>
    </xf>
    <xf numFmtId="3" fontId="2" fillId="4" borderId="3" xfId="0" applyNumberFormat="1" applyFont="1" applyFill="1" applyBorder="1" applyAlignment="1">
      <alignment horizontal="right"/>
    </xf>
    <xf numFmtId="3" fontId="2" fillId="4" borderId="4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3" fontId="2" fillId="0" borderId="6" xfId="0" applyNumberFormat="1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164" fontId="2" fillId="0" borderId="6" xfId="0" applyNumberFormat="1" applyFont="1" applyBorder="1" applyAlignment="1">
      <alignment horizontal="right"/>
    </xf>
    <xf numFmtId="3" fontId="2" fillId="3" borderId="2" xfId="0" applyNumberFormat="1" applyFont="1" applyFill="1" applyBorder="1" applyAlignment="1">
      <alignment horizontal="left"/>
    </xf>
    <xf numFmtId="3" fontId="2" fillId="0" borderId="6" xfId="0" applyNumberFormat="1" applyFont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3" fontId="2" fillId="6" borderId="2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3" fontId="2" fillId="5" borderId="2" xfId="0" applyNumberFormat="1" applyFont="1" applyFill="1" applyBorder="1" applyAlignment="1">
      <alignment horizontal="right"/>
    </xf>
    <xf numFmtId="3" fontId="2" fillId="5" borderId="2" xfId="0" applyNumberFormat="1" applyFont="1" applyFill="1" applyBorder="1" applyAlignment="1">
      <alignment horizontal="left"/>
    </xf>
    <xf numFmtId="3" fontId="2" fillId="5" borderId="3" xfId="0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 wrapText="1"/>
    </xf>
    <xf numFmtId="3" fontId="2" fillId="0" borderId="6" xfId="0" applyNumberFormat="1" applyFont="1" applyBorder="1" applyAlignment="1">
      <alignment horizontal="right" wrapText="1"/>
    </xf>
    <xf numFmtId="164" fontId="4" fillId="0" borderId="6" xfId="0" applyNumberFormat="1" applyFont="1" applyBorder="1" applyAlignment="1">
      <alignment horizontal="right"/>
    </xf>
    <xf numFmtId="164" fontId="2" fillId="0" borderId="6" xfId="0" applyNumberFormat="1" applyFont="1" applyBorder="1" applyAlignment="1">
      <alignment horizontal="right" wrapText="1"/>
    </xf>
    <xf numFmtId="165" fontId="2" fillId="5" borderId="2" xfId="0" applyNumberFormat="1" applyFont="1" applyFill="1" applyBorder="1" applyAlignment="1">
      <alignment horizontal="right" wrapText="1"/>
    </xf>
    <xf numFmtId="165" fontId="4" fillId="5" borderId="2" xfId="0" applyNumberFormat="1" applyFont="1" applyFill="1" applyBorder="1" applyAlignment="1">
      <alignment horizontal="right"/>
    </xf>
    <xf numFmtId="164" fontId="4" fillId="3" borderId="2" xfId="0" applyNumberFormat="1" applyFont="1" applyFill="1" applyBorder="1" applyAlignment="1">
      <alignment horizontal="right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3" fontId="5" fillId="0" borderId="6" xfId="0" applyNumberFormat="1" applyFont="1" applyBorder="1" applyAlignment="1">
      <alignment horizontal="right"/>
    </xf>
    <xf numFmtId="3" fontId="5" fillId="0" borderId="6" xfId="0" applyNumberFormat="1" applyFont="1" applyBorder="1" applyAlignment="1">
      <alignment horizontal="left"/>
    </xf>
    <xf numFmtId="3" fontId="2" fillId="8" borderId="2" xfId="0" applyNumberFormat="1" applyFont="1" applyFill="1" applyBorder="1" applyAlignment="1">
      <alignment horizontal="right"/>
    </xf>
    <xf numFmtId="0" fontId="2" fillId="9" borderId="2" xfId="0" applyFont="1" applyFill="1" applyBorder="1" applyAlignment="1">
      <alignment horizontal="left"/>
    </xf>
    <xf numFmtId="3" fontId="6" fillId="3" borderId="2" xfId="0" applyNumberFormat="1" applyFont="1" applyFill="1" applyBorder="1" applyAlignment="1">
      <alignment horizontal="right" wrapText="1"/>
    </xf>
    <xf numFmtId="3" fontId="6" fillId="0" borderId="6" xfId="0" applyNumberFormat="1" applyFont="1" applyBorder="1" applyAlignment="1">
      <alignment horizontal="right" wrapText="1"/>
    </xf>
    <xf numFmtId="164" fontId="7" fillId="3" borderId="2" xfId="0" applyNumberFormat="1" applyFont="1" applyFill="1" applyBorder="1" applyAlignment="1">
      <alignment horizontal="right"/>
    </xf>
    <xf numFmtId="164" fontId="7" fillId="0" borderId="6" xfId="0" applyNumberFormat="1" applyFont="1" applyBorder="1" applyAlignment="1">
      <alignment horizontal="right"/>
    </xf>
    <xf numFmtId="4" fontId="2" fillId="3" borderId="2" xfId="0" applyNumberFormat="1" applyFont="1" applyFill="1" applyBorder="1" applyAlignment="1">
      <alignment horizontal="right"/>
    </xf>
    <xf numFmtId="3" fontId="7" fillId="3" borderId="2" xfId="0" applyNumberFormat="1" applyFont="1" applyFill="1" applyBorder="1" applyAlignment="1">
      <alignment horizontal="left"/>
    </xf>
    <xf numFmtId="4" fontId="2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left"/>
    </xf>
    <xf numFmtId="3" fontId="7" fillId="5" borderId="2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right"/>
    </xf>
    <xf numFmtId="3" fontId="2" fillId="0" borderId="6" xfId="0" applyNumberFormat="1" applyFont="1" applyBorder="1" applyAlignment="1">
      <alignment horizontal="center"/>
    </xf>
    <xf numFmtId="7" fontId="2" fillId="3" borderId="2" xfId="0" applyNumberFormat="1" applyFont="1" applyFill="1" applyBorder="1" applyAlignment="1">
      <alignment horizontal="right"/>
    </xf>
    <xf numFmtId="165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center"/>
    </xf>
    <xf numFmtId="3" fontId="2" fillId="3" borderId="3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165" fontId="2" fillId="3" borderId="2" xfId="0" applyNumberFormat="1" applyFont="1" applyFill="1" applyBorder="1" applyAlignment="1">
      <alignment horizontal="right" wrapText="1"/>
    </xf>
    <xf numFmtId="3" fontId="2" fillId="3" borderId="2" xfId="0" applyNumberFormat="1" applyFont="1" applyFill="1" applyBorder="1" applyAlignment="1">
      <alignment horizontal="left" wrapText="1"/>
    </xf>
    <xf numFmtId="165" fontId="2" fillId="0" borderId="6" xfId="0" applyNumberFormat="1" applyFont="1" applyBorder="1" applyAlignment="1">
      <alignment horizontal="right" wrapText="1"/>
    </xf>
    <xf numFmtId="3" fontId="4" fillId="0" borderId="6" xfId="0" applyNumberFormat="1" applyFont="1" applyBorder="1" applyAlignment="1">
      <alignment horizontal="right"/>
    </xf>
    <xf numFmtId="1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wrapText="1"/>
    </xf>
    <xf numFmtId="0" fontId="8" fillId="3" borderId="2" xfId="0" applyFont="1" applyFill="1" applyBorder="1" applyAlignment="1">
      <alignment horizontal="left"/>
    </xf>
    <xf numFmtId="1" fontId="2" fillId="3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3" fontId="2" fillId="0" borderId="7" xfId="0" applyNumberFormat="1" applyFont="1" applyBorder="1" applyAlignment="1">
      <alignment horizontal="left"/>
    </xf>
    <xf numFmtId="4" fontId="0" fillId="0" borderId="0" xfId="0" applyNumberFormat="1"/>
    <xf numFmtId="3" fontId="0" fillId="0" borderId="0" xfId="0" applyNumberFormat="1"/>
    <xf numFmtId="4" fontId="0" fillId="0" borderId="0" xfId="0" applyNumberFormat="1" applyAlignment="1">
      <alignment horizontal="right"/>
    </xf>
    <xf numFmtId="1" fontId="0" fillId="0" borderId="0" xfId="0" applyNumberFormat="1"/>
    <xf numFmtId="3" fontId="0" fillId="0" borderId="0" xfId="0" applyNumberFormat="1" applyAlignment="1">
      <alignment horizontal="left"/>
    </xf>
    <xf numFmtId="4" fontId="2" fillId="0" borderId="7" xfId="0" applyNumberFormat="1" applyFont="1" applyBorder="1" applyAlignment="1">
      <alignment horizontal="left"/>
    </xf>
    <xf numFmtId="4" fontId="2" fillId="0" borderId="7" xfId="0" applyNumberFormat="1" applyFont="1" applyBorder="1" applyAlignment="1">
      <alignment horizontal="right"/>
    </xf>
    <xf numFmtId="3" fontId="2" fillId="0" borderId="7" xfId="0" applyNumberFormat="1" applyFont="1" applyBorder="1" applyAlignment="1">
      <alignment horizontal="right"/>
    </xf>
    <xf numFmtId="1" fontId="2" fillId="0" borderId="7" xfId="0" applyNumberFormat="1" applyFont="1" applyBorder="1" applyAlignment="1">
      <alignment horizontal="right"/>
    </xf>
    <xf numFmtId="3" fontId="1" fillId="11" borderId="8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4" fontId="1" fillId="12" borderId="8" xfId="0" applyNumberFormat="1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14" fontId="2" fillId="0" borderId="7" xfId="0" applyNumberFormat="1" applyFont="1" applyBorder="1" applyAlignment="1">
      <alignment horizontal="left"/>
    </xf>
    <xf numFmtId="14" fontId="0" fillId="0" borderId="0" xfId="0" applyNumberFormat="1" applyAlignment="1">
      <alignment horizontal="left"/>
    </xf>
    <xf numFmtId="3" fontId="2" fillId="0" borderId="10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left"/>
    </xf>
    <xf numFmtId="3" fontId="9" fillId="0" borderId="7" xfId="0" applyNumberFormat="1" applyFont="1" applyBorder="1" applyAlignment="1">
      <alignment horizontal="left"/>
    </xf>
    <xf numFmtId="3" fontId="9" fillId="0" borderId="7" xfId="0" applyNumberFormat="1" applyFont="1" applyBorder="1" applyAlignment="1">
      <alignment horizontal="right"/>
    </xf>
    <xf numFmtId="0" fontId="2" fillId="0" borderId="7" xfId="0" applyFont="1" applyBorder="1" applyAlignment="1">
      <alignment horizontal="center"/>
    </xf>
    <xf numFmtId="4" fontId="2" fillId="5" borderId="9" xfId="0" applyNumberFormat="1" applyFont="1" applyFill="1" applyBorder="1" applyAlignment="1">
      <alignment horizontal="right"/>
    </xf>
    <xf numFmtId="3" fontId="2" fillId="5" borderId="9" xfId="0" applyNumberFormat="1" applyFont="1" applyFill="1" applyBorder="1" applyAlignment="1">
      <alignment horizontal="right"/>
    </xf>
    <xf numFmtId="14" fontId="0" fillId="0" borderId="0" xfId="0" applyNumberFormat="1"/>
    <xf numFmtId="0" fontId="10" fillId="0" borderId="7" xfId="0" applyFont="1" applyBorder="1" applyAlignment="1">
      <alignment horizontal="left"/>
    </xf>
    <xf numFmtId="3" fontId="10" fillId="0" borderId="7" xfId="0" applyNumberFormat="1" applyFont="1" applyBorder="1" applyAlignment="1">
      <alignment horizontal="left"/>
    </xf>
    <xf numFmtId="14" fontId="10" fillId="0" borderId="7" xfId="0" applyNumberFormat="1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3" fontId="10" fillId="0" borderId="10" xfId="0" applyNumberFormat="1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3" fontId="12" fillId="13" borderId="9" xfId="0" applyNumberFormat="1" applyFont="1" applyFill="1" applyBorder="1" applyAlignment="1">
      <alignment horizontal="left"/>
    </xf>
    <xf numFmtId="0" fontId="12" fillId="13" borderId="9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3" fontId="14" fillId="15" borderId="9" xfId="0" applyNumberFormat="1" applyFont="1" applyFill="1" applyBorder="1" applyAlignment="1">
      <alignment horizontal="right"/>
    </xf>
    <xf numFmtId="0" fontId="14" fillId="15" borderId="9" xfId="0" applyFont="1" applyFill="1" applyBorder="1" applyAlignment="1">
      <alignment horizontal="left"/>
    </xf>
    <xf numFmtId="3" fontId="14" fillId="0" borderId="7" xfId="0" applyNumberFormat="1" applyFont="1" applyBorder="1" applyAlignment="1">
      <alignment horizontal="right"/>
    </xf>
    <xf numFmtId="0" fontId="14" fillId="0" borderId="7" xfId="0" applyFont="1" applyBorder="1" applyAlignment="1">
      <alignment horizontal="left"/>
    </xf>
    <xf numFmtId="0" fontId="2" fillId="0" borderId="7" xfId="0" applyFont="1" applyBorder="1" applyAlignment="1">
      <alignment horizontal="left" wrapText="1"/>
    </xf>
    <xf numFmtId="0" fontId="2" fillId="0" borderId="7" xfId="0" applyFont="1" applyBorder="1" applyAlignment="1">
      <alignment horizontal="left"/>
    </xf>
    <xf numFmtId="0" fontId="2" fillId="3" borderId="11" xfId="0" applyFont="1" applyFill="1" applyBorder="1" applyAlignment="1">
      <alignment horizontal="left"/>
    </xf>
    <xf numFmtId="0" fontId="15" fillId="0" borderId="7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Marca_Empresa" displayName="Marca_Empresa" ref="O2:O19" totalsRowShown="0">
  <autoFilter ref="O2:O19" xr:uid="{00000000-0009-0000-0100-000007000000}"/>
  <tableColumns count="1">
    <tableColumn id="1" xr3:uid="{00000000-0010-0000-0000-000001000000}" name="Marca_Empres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Conceptos_Administrativa" displayName="Conceptos_Administrativa" ref="G2:M28" totalsRowShown="0">
  <autoFilter ref="G2:M28" xr:uid="{00000000-0009-0000-0100-000008000000}"/>
  <tableColumns count="7">
    <tableColumn id="1" xr3:uid="{00000000-0010-0000-0100-000001000000}" name="Concepto Anterior"/>
    <tableColumn id="2" xr3:uid="{00000000-0010-0000-0100-000002000000}" name="Tipo"/>
    <tableColumn id="3" xr3:uid="{00000000-0010-0000-0100-000003000000}" name="Unidad"/>
    <tableColumn id="4" xr3:uid="{00000000-0010-0000-0100-000004000000}" name="Tipo informe"/>
    <tableColumn id="5" xr3:uid="{00000000-0010-0000-0100-000005000000}" name="Concepto Nuevo"/>
    <tableColumn id="6" xr3:uid="{00000000-0010-0000-0100-000006000000}" name="consecutivo_concepto"/>
    <tableColumn id="7" xr3:uid="{00000000-0010-0000-0100-000007000000}" name="id_concept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onceptos_Cumplimiento" displayName="Conceptos_Cumplimiento" ref="AY2:BE11" totalsRowShown="0">
  <autoFilter ref="AY2:BE11" xr:uid="{00000000-0009-0000-0100-000009000000}"/>
  <tableColumns count="7">
    <tableColumn id="1" xr3:uid="{00000000-0010-0000-0200-000001000000}" name="Concepto Anterior"/>
    <tableColumn id="2" xr3:uid="{00000000-0010-0000-0200-000002000000}" name="Tipo"/>
    <tableColumn id="3" xr3:uid="{00000000-0010-0000-0200-000003000000}" name="Unidad"/>
    <tableColumn id="4" xr3:uid="{00000000-0010-0000-0200-000004000000}" name="Tipo informe"/>
    <tableColumn id="5" xr3:uid="{00000000-0010-0000-0200-000005000000}" name="Concepto Nuevo"/>
    <tableColumn id="6" xr3:uid="{00000000-0010-0000-0200-000006000000}" name="consecutivo_concepto"/>
    <tableColumn id="7" xr3:uid="{00000000-0010-0000-0200-000007000000}" name="id_concept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Dim_ciudades" displayName="Dim_ciudades" ref="Q2:Q125" totalsRowShown="0">
  <autoFilter ref="Q2:Q125" xr:uid="{00000000-0009-0000-0100-00000A000000}"/>
  <tableColumns count="1">
    <tableColumn id="1" xr3:uid="{00000000-0010-0000-0300-000001000000}" name="Ciudad Centr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Conceptos_Impuestos" displayName="Conceptos_Impuestos" ref="AQ2:AW14" totalsRowShown="0">
  <autoFilter ref="AQ2:AW14" xr:uid="{00000000-0009-0000-0100-00000B000000}"/>
  <tableColumns count="7">
    <tableColumn id="1" xr3:uid="{00000000-0010-0000-0400-000001000000}" name="Concepto Anterior"/>
    <tableColumn id="2" xr3:uid="{00000000-0010-0000-0400-000002000000}" name="Tipo"/>
    <tableColumn id="3" xr3:uid="{00000000-0010-0000-0400-000003000000}" name="Unidad"/>
    <tableColumn id="4" xr3:uid="{00000000-0010-0000-0400-000004000000}" name="Tipo informe"/>
    <tableColumn id="5" xr3:uid="{00000000-0010-0000-0400-000005000000}" name="Concepto Nuevo"/>
    <tableColumn id="6" xr3:uid="{00000000-0010-0000-0400-000006000000}" name="consecutivo_concepto"/>
    <tableColumn id="7" xr3:uid="{00000000-0010-0000-0400-000007000000}" name="id_concepto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ceptos_Analítica_contraloría" displayName="Conceptos_Analítica_contraloría" ref="S2:Y20" totalsRowShown="0">
  <autoFilter ref="S2:Y20" xr:uid="{00000000-0009-0000-0100-00000C000000}"/>
  <tableColumns count="7">
    <tableColumn id="1" xr3:uid="{00000000-0010-0000-0500-000001000000}" name="Concepto Anterior"/>
    <tableColumn id="2" xr3:uid="{00000000-0010-0000-0500-000002000000}" name="Tipo"/>
    <tableColumn id="3" xr3:uid="{00000000-0010-0000-0500-000003000000}" name="Unidad"/>
    <tableColumn id="4" xr3:uid="{00000000-0010-0000-0500-000004000000}" name="Tipo informe"/>
    <tableColumn id="5" xr3:uid="{00000000-0010-0000-0500-000005000000}" name="Concepto Nuevo"/>
    <tableColumn id="6" xr3:uid="{00000000-0010-0000-0500-000006000000}" name="consecutivo_concepto"/>
    <tableColumn id="7" xr3:uid="{00000000-0010-0000-0500-000007000000}" name="id_concept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Conceptos_Control_Operaciones" displayName="Conceptos_Control_Operaciones" ref="AI2:AO17" totalsRowShown="0">
  <autoFilter ref="AI2:AO17" xr:uid="{00000000-0009-0000-0100-00000D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4" xr3:uid="{00000000-0010-0000-0600-000004000000}" name="Tipo informe"/>
    <tableColumn id="5" xr3:uid="{00000000-0010-0000-0600-000005000000}" name="Concepto Nuevo"/>
    <tableColumn id="6" xr3:uid="{00000000-0010-0000-0600-000006000000}" name="consecutivo_concepto"/>
    <tableColumn id="7" xr3:uid="{00000000-0010-0000-0600-000007000000}" name="id_concep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Conceptos_Contabilidad" displayName="Conceptos_Contabilidad" ref="AA2:AG31" totalsRowShown="0">
  <autoFilter ref="AA2:AG31" xr:uid="{00000000-0009-0000-0100-00000E000000}"/>
  <tableColumns count="7">
    <tableColumn id="1" xr3:uid="{00000000-0010-0000-0700-000001000000}" name="Concepto Anterior"/>
    <tableColumn id="2" xr3:uid="{00000000-0010-0000-0700-000002000000}" name="Tipo"/>
    <tableColumn id="3" xr3:uid="{00000000-0010-0000-0700-000003000000}" name="Unidad"/>
    <tableColumn id="4" xr3:uid="{00000000-0010-0000-0700-000004000000}" name="Tipo informe"/>
    <tableColumn id="5" xr3:uid="{00000000-0010-0000-0700-000005000000}" name="Concepto Nuevo"/>
    <tableColumn id="6" xr3:uid="{00000000-0010-0000-0700-000006000000}" name="consecutivo_concepto"/>
    <tableColumn id="7" xr3:uid="{00000000-0010-0000-0700-000007000000}" name="id_concepto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Dim_Areas" displayName="Dim_Areas" ref="BG2:BI10" totalsRowShown="0">
  <autoFilter ref="BG2:BI10" xr:uid="{00000000-0009-0000-0100-00000F000000}"/>
  <tableColumns count="3">
    <tableColumn id="1" xr3:uid="{00000000-0010-0000-0800-000001000000}" name="id_area"/>
    <tableColumn id="2" xr3:uid="{00000000-0010-0000-0800-000002000000}" name="Nombre_area"/>
    <tableColumn id="3" xr3:uid="{00000000-0010-0000-0800-000003000000}" name="Responsable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Fact_Administrativa" displayName="Fact_Administrativa" ref="A1:K3000" totalsRowShown="0">
  <autoFilter ref="A1:K3000" xr:uid="{00000000-0009-0000-0100-000006000000}"/>
  <tableColumns count="11">
    <tableColumn id="1" xr3:uid="{00000000-0010-0000-0900-000001000000}" name="Año"/>
    <tableColumn id="2" xr3:uid="{00000000-0010-0000-0900-000002000000}" name="Mes"/>
    <tableColumn id="3" xr3:uid="{00000000-0010-0000-0900-000003000000}" name="Ultimodía_mes"/>
    <tableColumn id="4" xr3:uid="{00000000-0010-0000-0900-000004000000}" name="Concepto Anterior"/>
    <tableColumn id="5" xr3:uid="{00000000-0010-0000-0900-000005000000}" name="Concepto Nuevo"/>
    <tableColumn id="6" xr3:uid="{00000000-0010-0000-0900-000006000000}" name="id_concepto"/>
    <tableColumn id="7" xr3:uid="{00000000-0010-0000-0900-000007000000}" name="Especificación"/>
    <tableColumn id="8" xr3:uid="{00000000-0010-0000-0900-000008000000}" name="Ciudad"/>
    <tableColumn id="9" xr3:uid="{00000000-0010-0000-0900-000009000000}" name="Tipo"/>
    <tableColumn id="10" xr3:uid="{00000000-0010-0000-0900-00000A000000}" name="Unidad"/>
    <tableColumn id="11" xr3:uid="{00000000-0010-0000-0900-00000B000000}" name="Valor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Fact_Analitica" displayName="Fact_Analitica" ref="A1:K3000" totalsRowShown="0">
  <autoFilter ref="A1:K3000" xr:uid="{00000000-0009-0000-0100-000005000000}"/>
  <tableColumns count="11">
    <tableColumn id="1" xr3:uid="{00000000-0010-0000-0A00-000001000000}" name="Año"/>
    <tableColumn id="2" xr3:uid="{00000000-0010-0000-0A00-000002000000}" name="Mes"/>
    <tableColumn id="3" xr3:uid="{00000000-0010-0000-0A00-000003000000}" name="Ultimodía_mes"/>
    <tableColumn id="4" xr3:uid="{00000000-0010-0000-0A00-000004000000}" name="Concepto Anterior"/>
    <tableColumn id="5" xr3:uid="{00000000-0010-0000-0A00-000005000000}" name="Concepto Nuevo"/>
    <tableColumn id="6" xr3:uid="{00000000-0010-0000-0A00-000006000000}" name="id_concepto"/>
    <tableColumn id="7" xr3:uid="{00000000-0010-0000-0A00-000007000000}" name="Especificación"/>
    <tableColumn id="8" xr3:uid="{00000000-0010-0000-0A00-000008000000}" name="Ciudad"/>
    <tableColumn id="9" xr3:uid="{00000000-0010-0000-0A00-000009000000}" name="Tipo"/>
    <tableColumn id="10" xr3:uid="{00000000-0010-0000-0A00-00000A000000}" name="Unidad"/>
    <tableColumn id="11" xr3:uid="{00000000-0010-0000-0A00-00000B000000}" name="Valor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Fact_Contabilidad" displayName="Fact_Contabilidad" ref="A1:K3000" totalsRowShown="0">
  <autoFilter ref="A1:K3000" xr:uid="{00000000-0009-0000-0100-000004000000}"/>
  <tableColumns count="11">
    <tableColumn id="1" xr3:uid="{00000000-0010-0000-0B00-000001000000}" name="Año"/>
    <tableColumn id="2" xr3:uid="{00000000-0010-0000-0B00-000002000000}" name="Mes"/>
    <tableColumn id="3" xr3:uid="{00000000-0010-0000-0B00-000003000000}" name="Ultimodía_mes"/>
    <tableColumn id="4" xr3:uid="{00000000-0010-0000-0B00-000004000000}" name="Concepto Anterior"/>
    <tableColumn id="5" xr3:uid="{00000000-0010-0000-0B00-000005000000}" name="Concepto Nuevo"/>
    <tableColumn id="6" xr3:uid="{00000000-0010-0000-0B00-000006000000}" name="id_concepto"/>
    <tableColumn id="7" xr3:uid="{00000000-0010-0000-0B00-000007000000}" name="Especificación"/>
    <tableColumn id="8" xr3:uid="{00000000-0010-0000-0B00-000008000000}" name="Ciudad"/>
    <tableColumn id="9" xr3:uid="{00000000-0010-0000-0B00-000009000000}" name="Tipo"/>
    <tableColumn id="10" xr3:uid="{00000000-0010-0000-0B00-00000A000000}" name="Unidad"/>
    <tableColumn id="11" xr3:uid="{00000000-0010-0000-0B00-00000B000000}" name="Valor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C000000}" name="Fact_Control_Operaciones" displayName="Fact_Control_Operaciones" ref="A1:K3000" totalsRowShown="0">
  <autoFilter ref="A1:K3000" xr:uid="{00000000-0009-0000-0100-000003000000}"/>
  <tableColumns count="11">
    <tableColumn id="1" xr3:uid="{00000000-0010-0000-0C00-000001000000}" name="Año"/>
    <tableColumn id="2" xr3:uid="{00000000-0010-0000-0C00-000002000000}" name="Mes"/>
    <tableColumn id="3" xr3:uid="{00000000-0010-0000-0C00-000003000000}" name="Ultimodía_mes"/>
    <tableColumn id="4" xr3:uid="{00000000-0010-0000-0C00-000004000000}" name="Concepto Anterior"/>
    <tableColumn id="5" xr3:uid="{00000000-0010-0000-0C00-000005000000}" name="Concepto Nuevo"/>
    <tableColumn id="6" xr3:uid="{00000000-0010-0000-0C00-000006000000}" name="id_concepto"/>
    <tableColumn id="7" xr3:uid="{00000000-0010-0000-0C00-000007000000}" name="Especificación"/>
    <tableColumn id="8" xr3:uid="{00000000-0010-0000-0C00-000008000000}" name="Ciudad"/>
    <tableColumn id="9" xr3:uid="{00000000-0010-0000-0C00-000009000000}" name="Tipo"/>
    <tableColumn id="10" xr3:uid="{00000000-0010-0000-0C00-00000A000000}" name="Unidad"/>
    <tableColumn id="11" xr3:uid="{00000000-0010-0000-0C00-00000B000000}" name="Valor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Fact_Impuestos" displayName="Fact_Impuestos" ref="A1:K3000" totalsRowShown="0">
  <autoFilter ref="A1:K3000" xr:uid="{00000000-0009-0000-0100-000002000000}"/>
  <tableColumns count="11">
    <tableColumn id="1" xr3:uid="{00000000-0010-0000-0D00-000001000000}" name="Año"/>
    <tableColumn id="2" xr3:uid="{00000000-0010-0000-0D00-000002000000}" name="Mes"/>
    <tableColumn id="3" xr3:uid="{00000000-0010-0000-0D00-000003000000}" name="Ultimodía_mes"/>
    <tableColumn id="4" xr3:uid="{00000000-0010-0000-0D00-000004000000}" name="Concepto Anterior"/>
    <tableColumn id="5" xr3:uid="{00000000-0010-0000-0D00-000005000000}" name="Concepto Nuevo"/>
    <tableColumn id="6" xr3:uid="{00000000-0010-0000-0D00-000006000000}" name="id_concepto"/>
    <tableColumn id="7" xr3:uid="{00000000-0010-0000-0D00-000007000000}" name="Especificación"/>
    <tableColumn id="8" xr3:uid="{00000000-0010-0000-0D00-000008000000}" name="Ciudad"/>
    <tableColumn id="9" xr3:uid="{00000000-0010-0000-0D00-000009000000}" name="Tipo"/>
    <tableColumn id="10" xr3:uid="{00000000-0010-0000-0D00-00000A000000}" name="Unidad"/>
    <tableColumn id="11" xr3:uid="{00000000-0010-0000-0D00-00000B000000}" name="Valor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Fact_Cumplimiento" displayName="Fact_Cumplimiento" ref="A1:K3000" totalsRowShown="0">
  <autoFilter ref="A1:K3000" xr:uid="{00000000-0009-0000-0100-000001000000}"/>
  <tableColumns count="11">
    <tableColumn id="1" xr3:uid="{00000000-0010-0000-0E00-000001000000}" name="Año"/>
    <tableColumn id="2" xr3:uid="{00000000-0010-0000-0E00-000002000000}" name="Mes"/>
    <tableColumn id="3" xr3:uid="{00000000-0010-0000-0E00-000003000000}" name="Ultimodía_mes"/>
    <tableColumn id="4" xr3:uid="{00000000-0010-0000-0E00-000004000000}" name="Concepto Anterior"/>
    <tableColumn id="5" xr3:uid="{00000000-0010-0000-0E00-000005000000}" name="Concepto Nuevo"/>
    <tableColumn id="6" xr3:uid="{00000000-0010-0000-0E00-000006000000}" name="id_concepto"/>
    <tableColumn id="7" xr3:uid="{00000000-0010-0000-0E00-000007000000}" name="Especificación"/>
    <tableColumn id="8" xr3:uid="{00000000-0010-0000-0E00-000008000000}" name="Ciudad"/>
    <tableColumn id="9" xr3:uid="{00000000-0010-0000-0E00-000009000000}" name="Tipo"/>
    <tableColumn id="10" xr3:uid="{00000000-0010-0000-0E00-00000A000000}" name="Unidad"/>
    <tableColumn id="11" xr3:uid="{00000000-0010-0000-0E00-00000B000000}" name="Valo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E76"/>
  <sheetViews>
    <sheetView workbookViewId="0"/>
  </sheetViews>
  <sheetFormatPr baseColWidth="10" defaultColWidth="8.7265625" defaultRowHeight="14.5" x14ac:dyDescent="0.35"/>
  <cols>
    <col min="1" max="1" width="13.54296875" style="83" bestFit="1" customWidth="1"/>
    <col min="2" max="2" width="60" style="82" bestFit="1" customWidth="1"/>
    <col min="3" max="4" width="13.54296875" style="82" bestFit="1" customWidth="1"/>
    <col min="5" max="5" width="13.54296875" style="83" bestFit="1" customWidth="1"/>
  </cols>
  <sheetData>
    <row r="1" spans="1:5" ht="18.75" customHeight="1" x14ac:dyDescent="0.35">
      <c r="A1" s="116" t="s">
        <v>168</v>
      </c>
      <c r="B1" s="117" t="s">
        <v>2</v>
      </c>
      <c r="C1" s="117" t="s">
        <v>4</v>
      </c>
      <c r="D1" s="117" t="s">
        <v>5</v>
      </c>
      <c r="E1" s="116" t="s">
        <v>224</v>
      </c>
    </row>
    <row r="2" spans="1:5" ht="18.75" customHeight="1" x14ac:dyDescent="0.35">
      <c r="A2" s="121">
        <v>1</v>
      </c>
      <c r="B2" s="122" t="s">
        <v>19</v>
      </c>
      <c r="C2" s="122" t="s">
        <v>20</v>
      </c>
      <c r="D2" s="122" t="s">
        <v>21</v>
      </c>
      <c r="E2" s="121">
        <v>1</v>
      </c>
    </row>
    <row r="3" spans="1:5" ht="18.75" hidden="1" customHeight="1" x14ac:dyDescent="0.35">
      <c r="A3" s="123">
        <v>2</v>
      </c>
      <c r="B3" s="124" t="s">
        <v>22</v>
      </c>
      <c r="C3" s="124" t="s">
        <v>23</v>
      </c>
      <c r="D3" s="124" t="s">
        <v>24</v>
      </c>
      <c r="E3" s="123">
        <v>1</v>
      </c>
    </row>
    <row r="4" spans="1:5" ht="18.75" hidden="1" customHeight="1" x14ac:dyDescent="0.35">
      <c r="A4" s="121">
        <v>3</v>
      </c>
      <c r="B4" s="122" t="s">
        <v>25</v>
      </c>
      <c r="C4" s="122" t="s">
        <v>23</v>
      </c>
      <c r="D4" s="122" t="s">
        <v>26</v>
      </c>
      <c r="E4" s="121">
        <v>1</v>
      </c>
    </row>
    <row r="5" spans="1:5" ht="18.75" customHeight="1" x14ac:dyDescent="0.35">
      <c r="A5" s="123">
        <v>4</v>
      </c>
      <c r="B5" s="124" t="s">
        <v>383</v>
      </c>
      <c r="C5" s="124" t="s">
        <v>20</v>
      </c>
      <c r="D5" s="124" t="s">
        <v>21</v>
      </c>
      <c r="E5" s="123">
        <v>1</v>
      </c>
    </row>
    <row r="6" spans="1:5" ht="18.75" customHeight="1" x14ac:dyDescent="0.35">
      <c r="A6" s="121">
        <v>5</v>
      </c>
      <c r="B6" s="122" t="s">
        <v>28</v>
      </c>
      <c r="C6" s="122" t="s">
        <v>20</v>
      </c>
      <c r="D6" s="122" t="s">
        <v>21</v>
      </c>
      <c r="E6" s="121">
        <v>1</v>
      </c>
    </row>
    <row r="7" spans="1:5" ht="18.75" customHeight="1" x14ac:dyDescent="0.35">
      <c r="A7" s="123">
        <v>6</v>
      </c>
      <c r="B7" s="124" t="s">
        <v>29</v>
      </c>
      <c r="C7" s="124" t="s">
        <v>20</v>
      </c>
      <c r="D7" s="124" t="s">
        <v>21</v>
      </c>
      <c r="E7" s="123">
        <v>1</v>
      </c>
    </row>
    <row r="8" spans="1:5" ht="18.75" customHeight="1" x14ac:dyDescent="0.35">
      <c r="A8" s="121">
        <v>7</v>
      </c>
      <c r="B8" s="122" t="s">
        <v>30</v>
      </c>
      <c r="C8" s="122" t="s">
        <v>20</v>
      </c>
      <c r="D8" s="122" t="s">
        <v>21</v>
      </c>
      <c r="E8" s="121">
        <v>1</v>
      </c>
    </row>
    <row r="9" spans="1:5" ht="18.75" hidden="1" customHeight="1" x14ac:dyDescent="0.35">
      <c r="A9" s="123">
        <v>8</v>
      </c>
      <c r="B9" s="124" t="s">
        <v>31</v>
      </c>
      <c r="C9" s="124" t="s">
        <v>23</v>
      </c>
      <c r="D9" s="124" t="s">
        <v>26</v>
      </c>
      <c r="E9" s="123">
        <v>1</v>
      </c>
    </row>
    <row r="10" spans="1:5" ht="18.75" hidden="1" customHeight="1" x14ac:dyDescent="0.35">
      <c r="A10" s="121">
        <v>9</v>
      </c>
      <c r="B10" s="122" t="s">
        <v>32</v>
      </c>
      <c r="C10" s="122" t="s">
        <v>23</v>
      </c>
      <c r="D10" s="122" t="s">
        <v>26</v>
      </c>
      <c r="E10" s="121">
        <v>1</v>
      </c>
    </row>
    <row r="11" spans="1:5" ht="18.75" hidden="1" customHeight="1" x14ac:dyDescent="0.35">
      <c r="A11" s="123">
        <v>10</v>
      </c>
      <c r="B11" s="124" t="s">
        <v>33</v>
      </c>
      <c r="C11" s="124" t="s">
        <v>23</v>
      </c>
      <c r="D11" s="124" t="s">
        <v>26</v>
      </c>
      <c r="E11" s="123">
        <v>1</v>
      </c>
    </row>
    <row r="12" spans="1:5" ht="18.75" hidden="1" customHeight="1" x14ac:dyDescent="0.35">
      <c r="A12" s="121">
        <v>11</v>
      </c>
      <c r="B12" s="122" t="s">
        <v>384</v>
      </c>
      <c r="C12" s="122" t="s">
        <v>23</v>
      </c>
      <c r="D12" s="122" t="s">
        <v>26</v>
      </c>
      <c r="E12" s="121">
        <v>1</v>
      </c>
    </row>
    <row r="13" spans="1:5" ht="18.75" hidden="1" customHeight="1" x14ac:dyDescent="0.35">
      <c r="A13" s="123">
        <v>12</v>
      </c>
      <c r="B13" s="124" t="s">
        <v>385</v>
      </c>
      <c r="C13" s="124" t="s">
        <v>23</v>
      </c>
      <c r="D13" s="124" t="s">
        <v>26</v>
      </c>
      <c r="E13" s="123">
        <v>1</v>
      </c>
    </row>
    <row r="14" spans="1:5" ht="18.75" hidden="1" customHeight="1" x14ac:dyDescent="0.35">
      <c r="A14" s="121">
        <v>13</v>
      </c>
      <c r="B14" s="122" t="s">
        <v>386</v>
      </c>
      <c r="C14" s="122" t="s">
        <v>23</v>
      </c>
      <c r="D14" s="122" t="s">
        <v>26</v>
      </c>
      <c r="E14" s="121">
        <v>1</v>
      </c>
    </row>
    <row r="15" spans="1:5" ht="18.75" hidden="1" customHeight="1" x14ac:dyDescent="0.35">
      <c r="A15" s="123">
        <v>14</v>
      </c>
      <c r="B15" s="124" t="s">
        <v>387</v>
      </c>
      <c r="C15" s="124" t="s">
        <v>23</v>
      </c>
      <c r="D15" s="124" t="s">
        <v>26</v>
      </c>
      <c r="E15" s="123">
        <v>1</v>
      </c>
    </row>
    <row r="16" spans="1:5" ht="18.75" hidden="1" customHeight="1" x14ac:dyDescent="0.35">
      <c r="A16" s="121">
        <v>15</v>
      </c>
      <c r="B16" s="122" t="s">
        <v>388</v>
      </c>
      <c r="C16" s="122" t="s">
        <v>23</v>
      </c>
      <c r="D16" s="122" t="s">
        <v>26</v>
      </c>
      <c r="E16" s="121">
        <v>1</v>
      </c>
    </row>
    <row r="17" spans="1:5" ht="18.75" hidden="1" customHeight="1" x14ac:dyDescent="0.35">
      <c r="A17" s="123">
        <v>16</v>
      </c>
      <c r="B17" s="124" t="s">
        <v>389</v>
      </c>
      <c r="C17" s="124" t="s">
        <v>23</v>
      </c>
      <c r="D17" s="124" t="s">
        <v>26</v>
      </c>
      <c r="E17" s="123">
        <v>1</v>
      </c>
    </row>
    <row r="18" spans="1:5" ht="18.75" hidden="1" customHeight="1" x14ac:dyDescent="0.35">
      <c r="A18" s="121">
        <v>17</v>
      </c>
      <c r="B18" s="122" t="s">
        <v>390</v>
      </c>
      <c r="C18" s="122" t="s">
        <v>23</v>
      </c>
      <c r="D18" s="122" t="s">
        <v>26</v>
      </c>
      <c r="E18" s="121">
        <v>1</v>
      </c>
    </row>
    <row r="19" spans="1:5" ht="18.75" hidden="1" customHeight="1" x14ac:dyDescent="0.35">
      <c r="A19" s="123">
        <v>18</v>
      </c>
      <c r="B19" s="124" t="s">
        <v>391</v>
      </c>
      <c r="C19" s="124" t="s">
        <v>23</v>
      </c>
      <c r="D19" s="124" t="s">
        <v>26</v>
      </c>
      <c r="E19" s="123">
        <v>1</v>
      </c>
    </row>
    <row r="20" spans="1:5" ht="18.75" hidden="1" customHeight="1" x14ac:dyDescent="0.35">
      <c r="A20" s="121">
        <v>19</v>
      </c>
      <c r="B20" s="122" t="s">
        <v>392</v>
      </c>
      <c r="C20" s="122" t="s">
        <v>23</v>
      </c>
      <c r="D20" s="122" t="s">
        <v>26</v>
      </c>
      <c r="E20" s="121">
        <v>1</v>
      </c>
    </row>
    <row r="21" spans="1:5" ht="18.75" hidden="1" customHeight="1" x14ac:dyDescent="0.35">
      <c r="A21" s="123">
        <v>20</v>
      </c>
      <c r="B21" s="124" t="s">
        <v>393</v>
      </c>
      <c r="C21" s="124" t="s">
        <v>23</v>
      </c>
      <c r="D21" s="124" t="s">
        <v>26</v>
      </c>
      <c r="E21" s="123">
        <v>1</v>
      </c>
    </row>
    <row r="22" spans="1:5" ht="18.75" hidden="1" customHeight="1" x14ac:dyDescent="0.35">
      <c r="A22" s="121">
        <v>21</v>
      </c>
      <c r="B22" s="122" t="s">
        <v>394</v>
      </c>
      <c r="C22" s="122" t="s">
        <v>23</v>
      </c>
      <c r="D22" s="122" t="s">
        <v>26</v>
      </c>
      <c r="E22" s="121">
        <v>1</v>
      </c>
    </row>
    <row r="23" spans="1:5" ht="18.75" hidden="1" customHeight="1" x14ac:dyDescent="0.35">
      <c r="A23" s="123">
        <v>22</v>
      </c>
      <c r="B23" s="124" t="s">
        <v>395</v>
      </c>
      <c r="C23" s="124" t="s">
        <v>23</v>
      </c>
      <c r="D23" s="124" t="s">
        <v>26</v>
      </c>
      <c r="E23" s="123">
        <v>1</v>
      </c>
    </row>
    <row r="24" spans="1:5" ht="18.75" hidden="1" customHeight="1" x14ac:dyDescent="0.35">
      <c r="A24" s="121">
        <v>23</v>
      </c>
      <c r="B24" s="122" t="s">
        <v>396</v>
      </c>
      <c r="C24" s="122" t="s">
        <v>23</v>
      </c>
      <c r="D24" s="122" t="s">
        <v>26</v>
      </c>
      <c r="E24" s="121">
        <v>1</v>
      </c>
    </row>
    <row r="25" spans="1:5" ht="18.75" hidden="1" customHeight="1" x14ac:dyDescent="0.35">
      <c r="A25" s="123">
        <v>24</v>
      </c>
      <c r="B25" s="124" t="s">
        <v>397</v>
      </c>
      <c r="C25" s="124" t="s">
        <v>23</v>
      </c>
      <c r="D25" s="124" t="s">
        <v>26</v>
      </c>
      <c r="E25" s="123">
        <v>1</v>
      </c>
    </row>
    <row r="26" spans="1:5" ht="18.75" hidden="1" customHeight="1" x14ac:dyDescent="0.35">
      <c r="A26" s="121">
        <v>25</v>
      </c>
      <c r="B26" s="122" t="s">
        <v>398</v>
      </c>
      <c r="C26" s="122" t="s">
        <v>23</v>
      </c>
      <c r="D26" s="122" t="s">
        <v>26</v>
      </c>
      <c r="E26" s="121">
        <v>1</v>
      </c>
    </row>
    <row r="27" spans="1:5" ht="18.75" hidden="1" customHeight="1" x14ac:dyDescent="0.35">
      <c r="A27" s="123">
        <v>26</v>
      </c>
      <c r="B27" s="124" t="s">
        <v>60</v>
      </c>
      <c r="C27" s="124"/>
      <c r="D27" s="124" t="s">
        <v>61</v>
      </c>
      <c r="E27" s="123">
        <v>2</v>
      </c>
    </row>
    <row r="28" spans="1:5" ht="18.75" hidden="1" customHeight="1" x14ac:dyDescent="0.35">
      <c r="A28" s="121">
        <v>27</v>
      </c>
      <c r="B28" s="122" t="s">
        <v>62</v>
      </c>
      <c r="C28" s="122"/>
      <c r="D28" s="122" t="s">
        <v>63</v>
      </c>
      <c r="E28" s="121">
        <v>2</v>
      </c>
    </row>
    <row r="29" spans="1:5" ht="18.75" hidden="1" customHeight="1" x14ac:dyDescent="0.35">
      <c r="A29" s="123">
        <v>28</v>
      </c>
      <c r="B29" s="124" t="s">
        <v>399</v>
      </c>
      <c r="C29" s="124"/>
      <c r="D29" s="124" t="s">
        <v>400</v>
      </c>
      <c r="E29" s="123">
        <v>2</v>
      </c>
    </row>
    <row r="30" spans="1:5" ht="18.75" hidden="1" customHeight="1" x14ac:dyDescent="0.35">
      <c r="A30" s="121">
        <v>29</v>
      </c>
      <c r="B30" s="122" t="s">
        <v>401</v>
      </c>
      <c r="C30" s="122"/>
      <c r="D30" s="122" t="s">
        <v>400</v>
      </c>
      <c r="E30" s="121">
        <v>2</v>
      </c>
    </row>
    <row r="31" spans="1:5" ht="18.75" hidden="1" customHeight="1" x14ac:dyDescent="0.35">
      <c r="A31" s="123">
        <v>30</v>
      </c>
      <c r="B31" s="124" t="s">
        <v>402</v>
      </c>
      <c r="C31" s="124"/>
      <c r="D31" s="124" t="s">
        <v>400</v>
      </c>
      <c r="E31" s="123">
        <v>2</v>
      </c>
    </row>
    <row r="32" spans="1:5" ht="18.75" hidden="1" customHeight="1" x14ac:dyDescent="0.35">
      <c r="A32" s="121">
        <v>31</v>
      </c>
      <c r="B32" s="122" t="s">
        <v>403</v>
      </c>
      <c r="C32" s="122"/>
      <c r="D32" s="122" t="s">
        <v>400</v>
      </c>
      <c r="E32" s="121">
        <v>2</v>
      </c>
    </row>
    <row r="33" spans="1:5" ht="18.75" hidden="1" customHeight="1" x14ac:dyDescent="0.35">
      <c r="A33" s="123">
        <v>32</v>
      </c>
      <c r="B33" s="124" t="s">
        <v>404</v>
      </c>
      <c r="C33" s="124"/>
      <c r="D33" s="124" t="s">
        <v>400</v>
      </c>
      <c r="E33" s="123">
        <v>2</v>
      </c>
    </row>
    <row r="34" spans="1:5" ht="18.75" hidden="1" customHeight="1" x14ac:dyDescent="0.35">
      <c r="A34" s="121">
        <v>33</v>
      </c>
      <c r="B34" s="122" t="s">
        <v>70</v>
      </c>
      <c r="C34" s="122" t="s">
        <v>23</v>
      </c>
      <c r="D34" s="122" t="s">
        <v>26</v>
      </c>
      <c r="E34" s="121">
        <v>3</v>
      </c>
    </row>
    <row r="35" spans="1:5" ht="18.75" hidden="1" customHeight="1" x14ac:dyDescent="0.35">
      <c r="A35" s="123">
        <v>34</v>
      </c>
      <c r="B35" s="124" t="s">
        <v>71</v>
      </c>
      <c r="C35" s="124" t="s">
        <v>23</v>
      </c>
      <c r="D35" s="124" t="s">
        <v>26</v>
      </c>
      <c r="E35" s="123">
        <v>3</v>
      </c>
    </row>
    <row r="36" spans="1:5" ht="18.75" hidden="1" customHeight="1" x14ac:dyDescent="0.35">
      <c r="A36" s="121">
        <v>35</v>
      </c>
      <c r="B36" s="122" t="s">
        <v>72</v>
      </c>
      <c r="C36" s="122" t="s">
        <v>23</v>
      </c>
      <c r="D36" s="122" t="s">
        <v>26</v>
      </c>
      <c r="E36" s="121">
        <v>3</v>
      </c>
    </row>
    <row r="37" spans="1:5" ht="18.75" hidden="1" customHeight="1" x14ac:dyDescent="0.35">
      <c r="A37" s="123">
        <v>36</v>
      </c>
      <c r="B37" s="124" t="s">
        <v>73</v>
      </c>
      <c r="C37" s="124" t="s">
        <v>23</v>
      </c>
      <c r="D37" s="124" t="s">
        <v>26</v>
      </c>
      <c r="E37" s="123">
        <v>3</v>
      </c>
    </row>
    <row r="38" spans="1:5" ht="18.75" hidden="1" customHeight="1" x14ac:dyDescent="0.35">
      <c r="A38" s="121">
        <v>37</v>
      </c>
      <c r="B38" s="122" t="s">
        <v>74</v>
      </c>
      <c r="C38" s="122" t="s">
        <v>20</v>
      </c>
      <c r="D38" s="122" t="s">
        <v>21</v>
      </c>
      <c r="E38" s="121">
        <v>3</v>
      </c>
    </row>
    <row r="39" spans="1:5" ht="18.75" hidden="1" customHeight="1" x14ac:dyDescent="0.35">
      <c r="A39" s="123">
        <v>38</v>
      </c>
      <c r="B39" s="124" t="s">
        <v>77</v>
      </c>
      <c r="C39" s="124" t="s">
        <v>23</v>
      </c>
      <c r="D39" s="124" t="s">
        <v>26</v>
      </c>
      <c r="E39" s="123">
        <v>3</v>
      </c>
    </row>
    <row r="40" spans="1:5" ht="18.75" hidden="1" customHeight="1" x14ac:dyDescent="0.35">
      <c r="A40" s="121">
        <v>39</v>
      </c>
      <c r="B40" s="122" t="s">
        <v>78</v>
      </c>
      <c r="C40" s="122" t="s">
        <v>20</v>
      </c>
      <c r="D40" s="122" t="s">
        <v>21</v>
      </c>
      <c r="E40" s="121">
        <v>3</v>
      </c>
    </row>
    <row r="41" spans="1:5" ht="18.75" hidden="1" customHeight="1" x14ac:dyDescent="0.35">
      <c r="A41" s="123">
        <v>40</v>
      </c>
      <c r="B41" s="124" t="s">
        <v>79</v>
      </c>
      <c r="C41" s="124" t="s">
        <v>23</v>
      </c>
      <c r="D41" s="124" t="s">
        <v>26</v>
      </c>
      <c r="E41" s="123">
        <v>3</v>
      </c>
    </row>
    <row r="42" spans="1:5" ht="18.75" hidden="1" customHeight="1" x14ac:dyDescent="0.35">
      <c r="A42" s="121">
        <v>41</v>
      </c>
      <c r="B42" s="122" t="s">
        <v>405</v>
      </c>
      <c r="C42" s="122" t="s">
        <v>23</v>
      </c>
      <c r="D42" s="122" t="s">
        <v>26</v>
      </c>
      <c r="E42" s="121">
        <v>4</v>
      </c>
    </row>
    <row r="43" spans="1:5" ht="18.75" hidden="1" customHeight="1" x14ac:dyDescent="0.35">
      <c r="A43" s="123">
        <v>42</v>
      </c>
      <c r="B43" s="124" t="s">
        <v>186</v>
      </c>
      <c r="C43" s="124" t="s">
        <v>23</v>
      </c>
      <c r="D43" s="124" t="s">
        <v>26</v>
      </c>
      <c r="E43" s="123">
        <v>4</v>
      </c>
    </row>
    <row r="44" spans="1:5" ht="18.75" hidden="1" customHeight="1" x14ac:dyDescent="0.35">
      <c r="A44" s="121">
        <v>43</v>
      </c>
      <c r="B44" s="122" t="s">
        <v>406</v>
      </c>
      <c r="C44" s="122" t="s">
        <v>23</v>
      </c>
      <c r="D44" s="122" t="s">
        <v>26</v>
      </c>
      <c r="E44" s="121">
        <v>4</v>
      </c>
    </row>
    <row r="45" spans="1:5" ht="18.75" hidden="1" customHeight="1" x14ac:dyDescent="0.35">
      <c r="A45" s="123">
        <v>44</v>
      </c>
      <c r="B45" s="124" t="s">
        <v>85</v>
      </c>
      <c r="C45" s="124" t="s">
        <v>23</v>
      </c>
      <c r="D45" s="124" t="s">
        <v>26</v>
      </c>
      <c r="E45" s="123">
        <v>4</v>
      </c>
    </row>
    <row r="46" spans="1:5" ht="18.75" hidden="1" customHeight="1" x14ac:dyDescent="0.35">
      <c r="A46" s="121">
        <v>45</v>
      </c>
      <c r="B46" s="122" t="s">
        <v>407</v>
      </c>
      <c r="C46" s="122" t="s">
        <v>23</v>
      </c>
      <c r="D46" s="122" t="s">
        <v>26</v>
      </c>
      <c r="E46" s="121">
        <v>4</v>
      </c>
    </row>
    <row r="47" spans="1:5" ht="18.75" hidden="1" customHeight="1" x14ac:dyDescent="0.35">
      <c r="A47" s="123">
        <v>46</v>
      </c>
      <c r="B47" s="124" t="s">
        <v>408</v>
      </c>
      <c r="C47" s="124" t="s">
        <v>23</v>
      </c>
      <c r="D47" s="124" t="s">
        <v>26</v>
      </c>
      <c r="E47" s="123">
        <v>4</v>
      </c>
    </row>
    <row r="48" spans="1:5" ht="18.75" hidden="1" customHeight="1" x14ac:dyDescent="0.35">
      <c r="A48" s="121">
        <v>47</v>
      </c>
      <c r="B48" s="122" t="s">
        <v>189</v>
      </c>
      <c r="C48" s="122" t="s">
        <v>23</v>
      </c>
      <c r="D48" s="122" t="s">
        <v>26</v>
      </c>
      <c r="E48" s="121">
        <v>4</v>
      </c>
    </row>
    <row r="49" spans="1:5" ht="18.75" hidden="1" customHeight="1" x14ac:dyDescent="0.35">
      <c r="A49" s="123">
        <v>48</v>
      </c>
      <c r="B49" s="124" t="s">
        <v>188</v>
      </c>
      <c r="C49" s="124" t="s">
        <v>23</v>
      </c>
      <c r="D49" s="124" t="s">
        <v>26</v>
      </c>
      <c r="E49" s="123">
        <v>4</v>
      </c>
    </row>
    <row r="50" spans="1:5" ht="18.75" hidden="1" customHeight="1" x14ac:dyDescent="0.35">
      <c r="A50" s="121">
        <v>49</v>
      </c>
      <c r="B50" s="122" t="s">
        <v>190</v>
      </c>
      <c r="C50" s="122" t="s">
        <v>23</v>
      </c>
      <c r="D50" s="122" t="s">
        <v>26</v>
      </c>
      <c r="E50" s="121">
        <v>4</v>
      </c>
    </row>
    <row r="51" spans="1:5" ht="18.75" hidden="1" customHeight="1" x14ac:dyDescent="0.35">
      <c r="A51" s="123">
        <v>50</v>
      </c>
      <c r="B51" s="124" t="s">
        <v>409</v>
      </c>
      <c r="C51" s="124" t="s">
        <v>23</v>
      </c>
      <c r="D51" s="124" t="s">
        <v>26</v>
      </c>
      <c r="E51" s="123">
        <v>4</v>
      </c>
    </row>
    <row r="52" spans="1:5" ht="18.75" hidden="1" customHeight="1" x14ac:dyDescent="0.35">
      <c r="A52" s="121">
        <v>51</v>
      </c>
      <c r="B52" s="122" t="s">
        <v>90</v>
      </c>
      <c r="C52" s="122" t="s">
        <v>20</v>
      </c>
      <c r="D52" s="122" t="s">
        <v>21</v>
      </c>
      <c r="E52" s="121">
        <v>4</v>
      </c>
    </row>
    <row r="53" spans="1:5" ht="18.75" hidden="1" customHeight="1" x14ac:dyDescent="0.35">
      <c r="A53" s="123">
        <v>52</v>
      </c>
      <c r="B53" s="124" t="s">
        <v>410</v>
      </c>
      <c r="C53" s="124" t="s">
        <v>23</v>
      </c>
      <c r="D53" s="124" t="s">
        <v>26</v>
      </c>
      <c r="E53" s="123">
        <v>5</v>
      </c>
    </row>
    <row r="54" spans="1:5" ht="18.75" hidden="1" customHeight="1" x14ac:dyDescent="0.35">
      <c r="A54" s="121">
        <v>53</v>
      </c>
      <c r="B54" s="122" t="s">
        <v>411</v>
      </c>
      <c r="C54" s="122" t="s">
        <v>23</v>
      </c>
      <c r="D54" s="122" t="s">
        <v>26</v>
      </c>
      <c r="E54" s="121">
        <v>5</v>
      </c>
    </row>
    <row r="55" spans="1:5" ht="18.75" hidden="1" customHeight="1" x14ac:dyDescent="0.35">
      <c r="A55" s="123">
        <v>54</v>
      </c>
      <c r="B55" s="124" t="s">
        <v>412</v>
      </c>
      <c r="C55" s="124" t="s">
        <v>23</v>
      </c>
      <c r="D55" s="124" t="s">
        <v>26</v>
      </c>
      <c r="E55" s="123">
        <v>5</v>
      </c>
    </row>
    <row r="56" spans="1:5" ht="18.75" hidden="1" customHeight="1" x14ac:dyDescent="0.35">
      <c r="A56" s="121">
        <v>55</v>
      </c>
      <c r="B56" s="122" t="s">
        <v>413</v>
      </c>
      <c r="C56" s="122" t="s">
        <v>23</v>
      </c>
      <c r="D56" s="122" t="s">
        <v>26</v>
      </c>
      <c r="E56" s="121">
        <v>5</v>
      </c>
    </row>
    <row r="57" spans="1:5" ht="18.75" hidden="1" customHeight="1" x14ac:dyDescent="0.35">
      <c r="A57" s="123">
        <v>56</v>
      </c>
      <c r="B57" s="124" t="s">
        <v>94</v>
      </c>
      <c r="C57" s="124" t="s">
        <v>23</v>
      </c>
      <c r="D57" s="124" t="s">
        <v>26</v>
      </c>
      <c r="E57" s="123">
        <v>5</v>
      </c>
    </row>
    <row r="58" spans="1:5" ht="18.75" hidden="1" customHeight="1" x14ac:dyDescent="0.35">
      <c r="A58" s="121">
        <v>57</v>
      </c>
      <c r="B58" s="122" t="s">
        <v>95</v>
      </c>
      <c r="C58" s="122" t="s">
        <v>23</v>
      </c>
      <c r="D58" s="122" t="s">
        <v>26</v>
      </c>
      <c r="E58" s="121">
        <v>5</v>
      </c>
    </row>
    <row r="59" spans="1:5" ht="18.75" hidden="1" customHeight="1" x14ac:dyDescent="0.35">
      <c r="A59" s="123">
        <v>58</v>
      </c>
      <c r="B59" s="124" t="s">
        <v>96</v>
      </c>
      <c r="C59" s="124" t="s">
        <v>23</v>
      </c>
      <c r="D59" s="124" t="s">
        <v>26</v>
      </c>
      <c r="E59" s="123">
        <v>5</v>
      </c>
    </row>
    <row r="60" spans="1:5" ht="18.75" hidden="1" customHeight="1" x14ac:dyDescent="0.35">
      <c r="A60" s="121">
        <v>59</v>
      </c>
      <c r="B60" s="122" t="s">
        <v>97</v>
      </c>
      <c r="C60" s="122" t="s">
        <v>20</v>
      </c>
      <c r="D60" s="122" t="s">
        <v>21</v>
      </c>
      <c r="E60" s="121">
        <v>5</v>
      </c>
    </row>
    <row r="61" spans="1:5" ht="18.75" hidden="1" customHeight="1" x14ac:dyDescent="0.35">
      <c r="A61" s="123">
        <v>60</v>
      </c>
      <c r="B61" s="124" t="s">
        <v>98</v>
      </c>
      <c r="C61" s="124" t="s">
        <v>20</v>
      </c>
      <c r="D61" s="124" t="s">
        <v>21</v>
      </c>
      <c r="E61" s="123">
        <v>5</v>
      </c>
    </row>
    <row r="62" spans="1:5" ht="18.75" hidden="1" customHeight="1" x14ac:dyDescent="0.35">
      <c r="A62" s="121">
        <v>61</v>
      </c>
      <c r="B62" s="122" t="s">
        <v>77</v>
      </c>
      <c r="C62" s="122" t="s">
        <v>23</v>
      </c>
      <c r="D62" s="122" t="s">
        <v>26</v>
      </c>
      <c r="E62" s="121">
        <v>5</v>
      </c>
    </row>
    <row r="63" spans="1:5" ht="18.75" hidden="1" customHeight="1" x14ac:dyDescent="0.35">
      <c r="A63" s="123">
        <v>62</v>
      </c>
      <c r="B63" s="124" t="s">
        <v>414</v>
      </c>
      <c r="C63" s="124" t="s">
        <v>23</v>
      </c>
      <c r="D63" s="124" t="s">
        <v>26</v>
      </c>
      <c r="E63" s="123">
        <v>5</v>
      </c>
    </row>
    <row r="64" spans="1:5" ht="18.75" hidden="1" customHeight="1" x14ac:dyDescent="0.35">
      <c r="A64" s="121">
        <v>63</v>
      </c>
      <c r="B64" s="122" t="s">
        <v>99</v>
      </c>
      <c r="C64" s="122" t="s">
        <v>23</v>
      </c>
      <c r="D64" s="122" t="s">
        <v>26</v>
      </c>
      <c r="E64" s="121">
        <v>5</v>
      </c>
    </row>
    <row r="65" spans="1:5" ht="18.75" hidden="1" customHeight="1" x14ac:dyDescent="0.35">
      <c r="A65" s="123">
        <v>64</v>
      </c>
      <c r="B65" s="124" t="s">
        <v>415</v>
      </c>
      <c r="C65" s="124" t="s">
        <v>23</v>
      </c>
      <c r="D65" s="124" t="s">
        <v>26</v>
      </c>
      <c r="E65" s="123">
        <v>5</v>
      </c>
    </row>
    <row r="66" spans="1:5" ht="18.75" hidden="1" customHeight="1" x14ac:dyDescent="0.35">
      <c r="A66" s="121">
        <v>65</v>
      </c>
      <c r="B66" s="122" t="s">
        <v>416</v>
      </c>
      <c r="C66" s="122" t="s">
        <v>23</v>
      </c>
      <c r="D66" s="122" t="s">
        <v>26</v>
      </c>
      <c r="E66" s="121">
        <v>5</v>
      </c>
    </row>
    <row r="67" spans="1:5" ht="18.75" hidden="1" customHeight="1" x14ac:dyDescent="0.35">
      <c r="A67" s="123">
        <v>66</v>
      </c>
      <c r="B67" s="124" t="s">
        <v>100</v>
      </c>
      <c r="C67" s="124" t="s">
        <v>20</v>
      </c>
      <c r="D67" s="124" t="s">
        <v>21</v>
      </c>
      <c r="E67" s="123">
        <v>5</v>
      </c>
    </row>
    <row r="68" spans="1:5" ht="18.75" hidden="1" customHeight="1" x14ac:dyDescent="0.35">
      <c r="A68" s="121">
        <v>67</v>
      </c>
      <c r="B68" s="122" t="s">
        <v>417</v>
      </c>
      <c r="C68" s="122" t="s">
        <v>20</v>
      </c>
      <c r="D68" s="122" t="s">
        <v>21</v>
      </c>
      <c r="E68" s="121">
        <v>5</v>
      </c>
    </row>
    <row r="69" spans="1:5" ht="18.75" hidden="1" customHeight="1" x14ac:dyDescent="0.35">
      <c r="A69" s="123">
        <v>68</v>
      </c>
      <c r="B69" s="124" t="s">
        <v>102</v>
      </c>
      <c r="C69" s="124" t="s">
        <v>23</v>
      </c>
      <c r="D69" s="124" t="s">
        <v>26</v>
      </c>
      <c r="E69" s="123">
        <v>6</v>
      </c>
    </row>
    <row r="70" spans="1:5" ht="18.75" hidden="1" customHeight="1" x14ac:dyDescent="0.35">
      <c r="A70" s="121">
        <v>69</v>
      </c>
      <c r="B70" s="122" t="s">
        <v>103</v>
      </c>
      <c r="C70" s="122" t="s">
        <v>23</v>
      </c>
      <c r="D70" s="122" t="s">
        <v>26</v>
      </c>
      <c r="E70" s="121">
        <v>6</v>
      </c>
    </row>
    <row r="71" spans="1:5" ht="18.75" hidden="1" customHeight="1" x14ac:dyDescent="0.35">
      <c r="A71" s="123">
        <v>70</v>
      </c>
      <c r="B71" s="124" t="s">
        <v>104</v>
      </c>
      <c r="C71" s="124" t="s">
        <v>23</v>
      </c>
      <c r="D71" s="124" t="s">
        <v>26</v>
      </c>
      <c r="E71" s="123">
        <v>6</v>
      </c>
    </row>
    <row r="72" spans="1:5" ht="18.75" hidden="1" customHeight="1" x14ac:dyDescent="0.35">
      <c r="A72" s="121">
        <v>71</v>
      </c>
      <c r="B72" s="122" t="s">
        <v>106</v>
      </c>
      <c r="C72" s="122" t="s">
        <v>23</v>
      </c>
      <c r="D72" s="122" t="s">
        <v>26</v>
      </c>
      <c r="E72" s="121">
        <v>6</v>
      </c>
    </row>
    <row r="73" spans="1:5" ht="18.75" hidden="1" customHeight="1" x14ac:dyDescent="0.35">
      <c r="A73" s="123">
        <v>72</v>
      </c>
      <c r="B73" s="124" t="s">
        <v>107</v>
      </c>
      <c r="C73" s="124" t="s">
        <v>23</v>
      </c>
      <c r="D73" s="124" t="s">
        <v>26</v>
      </c>
      <c r="E73" s="123">
        <v>6</v>
      </c>
    </row>
    <row r="74" spans="1:5" ht="18.75" hidden="1" customHeight="1" x14ac:dyDescent="0.35">
      <c r="A74" s="121">
        <v>73</v>
      </c>
      <c r="B74" s="122" t="s">
        <v>161</v>
      </c>
      <c r="C74" s="122" t="s">
        <v>23</v>
      </c>
      <c r="D74" s="122" t="s">
        <v>26</v>
      </c>
      <c r="E74" s="121">
        <v>6</v>
      </c>
    </row>
    <row r="75" spans="1:5" ht="18.75" hidden="1" customHeight="1" x14ac:dyDescent="0.35">
      <c r="A75" s="123">
        <v>74</v>
      </c>
      <c r="B75" s="124" t="s">
        <v>109</v>
      </c>
      <c r="C75" s="124" t="s">
        <v>20</v>
      </c>
      <c r="D75" s="124" t="s">
        <v>21</v>
      </c>
      <c r="E75" s="123">
        <v>4</v>
      </c>
    </row>
    <row r="76" spans="1:5" ht="18.75" hidden="1" customHeight="1" x14ac:dyDescent="0.35">
      <c r="A76" s="121">
        <v>75</v>
      </c>
      <c r="B76" s="122" t="s">
        <v>110</v>
      </c>
      <c r="C76" s="122" t="s">
        <v>20</v>
      </c>
      <c r="D76" s="122" t="s">
        <v>21</v>
      </c>
      <c r="E76" s="121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I130"/>
  <sheetViews>
    <sheetView workbookViewId="0"/>
  </sheetViews>
  <sheetFormatPr baseColWidth="10" defaultColWidth="8.7265625" defaultRowHeight="14.5" x14ac:dyDescent="0.35"/>
  <cols>
    <col min="1" max="1" width="10.81640625" style="109" bestFit="1" customWidth="1"/>
    <col min="2" max="2" width="2.1796875" bestFit="1" customWidth="1"/>
    <col min="3" max="3" width="13.54296875" style="87" bestFit="1" customWidth="1"/>
    <col min="4" max="4" width="2.453125" bestFit="1" customWidth="1"/>
    <col min="5" max="5" width="13.54296875" bestFit="1" customWidth="1"/>
    <col min="6" max="6" width="2.1796875" bestFit="1" customWidth="1"/>
    <col min="7" max="7" width="61.453125" bestFit="1" customWidth="1"/>
    <col min="8" max="8" width="10" bestFit="1" customWidth="1"/>
    <col min="9" max="10" width="9.54296875" bestFit="1" customWidth="1"/>
    <col min="11" max="11" width="38.81640625" bestFit="1" customWidth="1"/>
    <col min="12" max="12" width="19.54296875" style="87" bestFit="1" customWidth="1"/>
    <col min="13" max="13" width="11.1796875" bestFit="1" customWidth="1"/>
    <col min="14" max="14" width="3.1796875" bestFit="1" customWidth="1"/>
    <col min="15" max="15" width="16.54296875" bestFit="1" customWidth="1"/>
    <col min="16" max="16" width="2.54296875" bestFit="1" customWidth="1"/>
    <col min="17" max="17" width="24.54296875" style="82" bestFit="1" customWidth="1"/>
    <col min="18" max="18" width="2.81640625" bestFit="1" customWidth="1"/>
    <col min="19" max="19" width="47.54296875" bestFit="1" customWidth="1"/>
    <col min="20" max="22" width="13.54296875" bestFit="1" customWidth="1"/>
    <col min="23" max="23" width="21.453125" bestFit="1" customWidth="1"/>
    <col min="24" max="24" width="13.54296875" style="87" bestFit="1" customWidth="1"/>
    <col min="25" max="25" width="13.54296875" bestFit="1" customWidth="1"/>
    <col min="26" max="26" width="5.1796875" bestFit="1" customWidth="1"/>
    <col min="27" max="27" width="60" bestFit="1" customWidth="1"/>
    <col min="28" max="30" width="13.54296875" bestFit="1" customWidth="1"/>
    <col min="31" max="31" width="50.1796875" bestFit="1" customWidth="1"/>
    <col min="32" max="32" width="17.1796875" style="87" bestFit="1" customWidth="1"/>
    <col min="33" max="33" width="11" bestFit="1" customWidth="1"/>
    <col min="34" max="34" width="2.453125" bestFit="1" customWidth="1"/>
    <col min="35" max="35" width="30.1796875" bestFit="1" customWidth="1"/>
    <col min="36" max="36" width="10.1796875" bestFit="1" customWidth="1"/>
    <col min="37" max="38" width="8.81640625" bestFit="1" customWidth="1"/>
    <col min="39" max="39" width="15.453125" bestFit="1" customWidth="1"/>
    <col min="40" max="40" width="15.453125" style="87" bestFit="1" customWidth="1"/>
    <col min="41" max="41" width="15.453125" bestFit="1" customWidth="1"/>
    <col min="42" max="42" width="3.54296875" bestFit="1" customWidth="1"/>
    <col min="43" max="43" width="60.54296875" bestFit="1" customWidth="1"/>
    <col min="44" max="46" width="13.54296875" bestFit="1" customWidth="1"/>
    <col min="47" max="47" width="26.81640625" bestFit="1" customWidth="1"/>
    <col min="48" max="48" width="13.54296875" style="87" bestFit="1" customWidth="1"/>
    <col min="49" max="49" width="13.54296875" bestFit="1" customWidth="1"/>
    <col min="50" max="50" width="2.54296875" bestFit="1" customWidth="1"/>
    <col min="51" max="51" width="48.453125" bestFit="1" customWidth="1"/>
    <col min="52" max="54" width="13.54296875" bestFit="1" customWidth="1"/>
    <col min="55" max="55" width="16.1796875" bestFit="1" customWidth="1"/>
    <col min="56" max="56" width="16.1796875" style="87" bestFit="1" customWidth="1"/>
    <col min="57" max="57" width="16.1796875" bestFit="1" customWidth="1"/>
    <col min="58" max="58" width="3.453125" bestFit="1" customWidth="1"/>
    <col min="59" max="59" width="13.54296875" style="87" bestFit="1" customWidth="1"/>
    <col min="60" max="60" width="19.81640625" bestFit="1" customWidth="1"/>
    <col min="61" max="61" width="14.81640625" bestFit="1" customWidth="1"/>
  </cols>
  <sheetData>
    <row r="1" spans="1:61" ht="19.5" customHeight="1" x14ac:dyDescent="0.35">
      <c r="G1" s="110" t="s">
        <v>18</v>
      </c>
      <c r="S1" s="110" t="s">
        <v>59</v>
      </c>
      <c r="AA1" s="110" t="s">
        <v>69</v>
      </c>
      <c r="AI1" s="110" t="s">
        <v>80</v>
      </c>
      <c r="AQ1" s="110" t="s">
        <v>91</v>
      </c>
      <c r="AY1" s="110" t="s">
        <v>215</v>
      </c>
      <c r="BG1" s="111" t="s">
        <v>216</v>
      </c>
    </row>
    <row r="2" spans="1:61" ht="21" customHeight="1" x14ac:dyDescent="0.45">
      <c r="A2" s="112" t="s">
        <v>217</v>
      </c>
      <c r="C2" s="111" t="s">
        <v>218</v>
      </c>
      <c r="E2" s="110" t="s">
        <v>219</v>
      </c>
      <c r="G2" s="110" t="s">
        <v>166</v>
      </c>
      <c r="H2" s="110" t="s">
        <v>4</v>
      </c>
      <c r="I2" s="110" t="s">
        <v>5</v>
      </c>
      <c r="J2" s="110" t="s">
        <v>220</v>
      </c>
      <c r="K2" s="110" t="s">
        <v>167</v>
      </c>
      <c r="L2" s="111" t="s">
        <v>221</v>
      </c>
      <c r="M2" s="110" t="s">
        <v>168</v>
      </c>
      <c r="O2" t="s">
        <v>222</v>
      </c>
      <c r="Q2" s="113" t="s">
        <v>223</v>
      </c>
      <c r="S2" s="110" t="s">
        <v>166</v>
      </c>
      <c r="T2" s="110" t="s">
        <v>4</v>
      </c>
      <c r="U2" s="110" t="s">
        <v>5</v>
      </c>
      <c r="V2" s="110" t="s">
        <v>220</v>
      </c>
      <c r="W2" s="110" t="s">
        <v>167</v>
      </c>
      <c r="X2" s="114" t="s">
        <v>221</v>
      </c>
      <c r="Y2" s="115" t="s">
        <v>168</v>
      </c>
      <c r="AA2" s="110" t="s">
        <v>166</v>
      </c>
      <c r="AB2" s="110" t="s">
        <v>4</v>
      </c>
      <c r="AC2" s="110" t="s">
        <v>5</v>
      </c>
      <c r="AD2" s="110" t="s">
        <v>220</v>
      </c>
      <c r="AE2" s="110" t="s">
        <v>167</v>
      </c>
      <c r="AF2" s="114" t="s">
        <v>221</v>
      </c>
      <c r="AG2" s="115" t="s">
        <v>168</v>
      </c>
      <c r="AI2" s="110" t="s">
        <v>166</v>
      </c>
      <c r="AJ2" s="110" t="s">
        <v>4</v>
      </c>
      <c r="AK2" s="110" t="s">
        <v>5</v>
      </c>
      <c r="AL2" s="110" t="s">
        <v>220</v>
      </c>
      <c r="AM2" s="110" t="s">
        <v>167</v>
      </c>
      <c r="AN2" s="114" t="s">
        <v>221</v>
      </c>
      <c r="AO2" s="115" t="s">
        <v>168</v>
      </c>
      <c r="AQ2" s="110" t="s">
        <v>166</v>
      </c>
      <c r="AR2" s="110" t="s">
        <v>4</v>
      </c>
      <c r="AS2" s="110" t="s">
        <v>5</v>
      </c>
      <c r="AT2" s="110" t="s">
        <v>220</v>
      </c>
      <c r="AU2" s="110" t="s">
        <v>167</v>
      </c>
      <c r="AV2" s="114" t="s">
        <v>221</v>
      </c>
      <c r="AW2" s="115" t="s">
        <v>168</v>
      </c>
      <c r="AY2" s="110" t="s">
        <v>166</v>
      </c>
      <c r="AZ2" s="110" t="s">
        <v>4</v>
      </c>
      <c r="BA2" s="110" t="s">
        <v>5</v>
      </c>
      <c r="BB2" s="110" t="s">
        <v>220</v>
      </c>
      <c r="BC2" s="110" t="s">
        <v>167</v>
      </c>
      <c r="BD2" s="114" t="s">
        <v>221</v>
      </c>
      <c r="BE2" s="115" t="s">
        <v>168</v>
      </c>
      <c r="BG2" s="116" t="s">
        <v>224</v>
      </c>
      <c r="BH2" s="117" t="s">
        <v>225</v>
      </c>
      <c r="BI2" s="117" t="s">
        <v>226</v>
      </c>
    </row>
    <row r="3" spans="1:61" ht="21" customHeight="1" x14ac:dyDescent="0.45">
      <c r="A3" s="100">
        <f ca="1">+TODAY()</f>
        <v>46038</v>
      </c>
      <c r="C3" s="93">
        <f ca="1">+YEAR(TODAY())</f>
        <v>2026</v>
      </c>
      <c r="E3" t="s">
        <v>171</v>
      </c>
      <c r="G3" s="19" t="s">
        <v>39</v>
      </c>
      <c r="H3" t="s">
        <v>23</v>
      </c>
      <c r="I3" t="s">
        <v>26</v>
      </c>
      <c r="J3" s="118" t="s">
        <v>227</v>
      </c>
      <c r="K3" s="19" t="s">
        <v>39</v>
      </c>
      <c r="L3" s="93">
        <v>1</v>
      </c>
      <c r="M3" t="e">
        <f ca="1">+_xlfn.CONCAT("1_",TEXT(Conceptos_Administrativa[[#This Row], [consecutivo_concepto]],"00"))</f>
        <v>#NAME?</v>
      </c>
      <c r="O3" t="s">
        <v>42</v>
      </c>
      <c r="Q3" s="119" t="s">
        <v>228</v>
      </c>
      <c r="S3" t="s">
        <v>203</v>
      </c>
      <c r="T3" t="s">
        <v>23</v>
      </c>
      <c r="U3" t="s">
        <v>26</v>
      </c>
      <c r="V3" s="118" t="s">
        <v>227</v>
      </c>
      <c r="W3" t="s">
        <v>203</v>
      </c>
      <c r="X3" s="93">
        <v>1</v>
      </c>
      <c r="Y3" t="e">
        <f ca="1">+_xlfn.CONCAT("2_",TEXT(Conceptos_Analítica_contraloría[[#This Row], [consecutivo_concepto]],"00"))</f>
        <v>#NAME?</v>
      </c>
      <c r="AA3" s="118" t="s">
        <v>79</v>
      </c>
      <c r="AB3" t="s">
        <v>23</v>
      </c>
      <c r="AC3" t="s">
        <v>26</v>
      </c>
      <c r="AD3" t="s">
        <v>229</v>
      </c>
      <c r="AE3" t="s">
        <v>230</v>
      </c>
      <c r="AF3" s="93">
        <v>1</v>
      </c>
      <c r="AG3" t="e">
        <f ca="1">+_xlfn.CONCAT("3_",TEXT(Conceptos_Contabilidad[[#This Row], [consecutivo_concepto]],"00"))</f>
        <v>#NAME?</v>
      </c>
      <c r="AI3" t="s">
        <v>81</v>
      </c>
      <c r="AJ3" t="s">
        <v>23</v>
      </c>
      <c r="AK3" t="s">
        <v>26</v>
      </c>
      <c r="AL3" t="s">
        <v>227</v>
      </c>
      <c r="AM3" s="120" t="s">
        <v>81</v>
      </c>
      <c r="AN3" s="93">
        <v>1</v>
      </c>
      <c r="AO3" t="e">
        <f ca="1">+_xlfn.CONCAT("4_",TEXT(Conceptos_Control_Operaciones[[#This Row], [consecutivo_concepto]],"00"))</f>
        <v>#NAME?</v>
      </c>
      <c r="AQ3" t="s">
        <v>92</v>
      </c>
      <c r="AR3" t="s">
        <v>23</v>
      </c>
      <c r="AS3" t="s">
        <v>26</v>
      </c>
      <c r="AT3" t="s">
        <v>227</v>
      </c>
      <c r="AU3" t="s">
        <v>231</v>
      </c>
      <c r="AV3" s="93">
        <v>1</v>
      </c>
      <c r="AW3" t="e">
        <f ca="1">+_xlfn.CONCAT("5_",TEXT(Conceptos_Impuestos[[#This Row], [consecutivo_concepto]],"00"))</f>
        <v>#NAME?</v>
      </c>
      <c r="AY3" t="s">
        <v>106</v>
      </c>
      <c r="AZ3" t="s">
        <v>23</v>
      </c>
      <c r="BA3" t="s">
        <v>26</v>
      </c>
      <c r="BB3" t="s">
        <v>227</v>
      </c>
      <c r="BC3" t="s">
        <v>106</v>
      </c>
      <c r="BD3" s="93">
        <v>1</v>
      </c>
      <c r="BE3" t="e">
        <f ca="1">+_xlfn.CONCAT("6_",TEXT(Conceptos_Cumplimiento[[#This Row], [consecutivo_concepto]],"00"))</f>
        <v>#NAME?</v>
      </c>
      <c r="BG3" s="121">
        <v>1</v>
      </c>
      <c r="BH3" s="122" t="s">
        <v>18</v>
      </c>
      <c r="BI3" s="122" t="s">
        <v>232</v>
      </c>
    </row>
    <row r="4" spans="1:61" ht="21" customHeight="1" x14ac:dyDescent="0.45">
      <c r="E4" t="s">
        <v>174</v>
      </c>
      <c r="G4" s="19" t="s">
        <v>32</v>
      </c>
      <c r="H4" t="s">
        <v>23</v>
      </c>
      <c r="I4" t="s">
        <v>26</v>
      </c>
      <c r="J4" s="118" t="s">
        <v>227</v>
      </c>
      <c r="K4" s="19" t="s">
        <v>32</v>
      </c>
      <c r="L4" s="93">
        <f t="shared" ref="L4:L28" si="0">+L3+1</f>
        <v>2</v>
      </c>
      <c r="M4" t="e">
        <f ca="1">+_xlfn.CONCAT("1_",TEXT(Conceptos_Administrativa[[#This Row], [consecutivo_concepto]],"00"))</f>
        <v>#NAME?</v>
      </c>
      <c r="O4" t="s">
        <v>43</v>
      </c>
      <c r="Q4" s="119" t="s">
        <v>233</v>
      </c>
      <c r="S4" t="s">
        <v>60</v>
      </c>
      <c r="T4" t="s">
        <v>20</v>
      </c>
      <c r="U4" t="s">
        <v>21</v>
      </c>
      <c r="V4" s="118" t="s">
        <v>227</v>
      </c>
      <c r="W4" t="s">
        <v>60</v>
      </c>
      <c r="X4" s="93">
        <f t="shared" ref="X4:X20" si="1">+X3+1</f>
        <v>2</v>
      </c>
      <c r="Y4" t="e">
        <f ca="1">+_xlfn.CONCAT("2_",TEXT(Conceptos_Analítica_contraloría[[#This Row], [consecutivo_concepto]],"00"))</f>
        <v>#NAME?</v>
      </c>
      <c r="AA4" t="s">
        <v>70</v>
      </c>
      <c r="AB4" t="s">
        <v>23</v>
      </c>
      <c r="AC4" t="s">
        <v>26</v>
      </c>
      <c r="AD4" t="s">
        <v>227</v>
      </c>
      <c r="AE4" t="s">
        <v>234</v>
      </c>
      <c r="AF4" s="93">
        <f t="shared" ref="AF4:AF31" si="2">+AF3+1</f>
        <v>2</v>
      </c>
      <c r="AG4" t="e">
        <f ca="1">+_xlfn.CONCAT("3_",TEXT(Conceptos_Contabilidad[[#This Row], [consecutivo_concepto]],"00"))</f>
        <v>#NAME?</v>
      </c>
      <c r="AI4" t="s">
        <v>186</v>
      </c>
      <c r="AJ4" t="s">
        <v>23</v>
      </c>
      <c r="AK4" t="s">
        <v>26</v>
      </c>
      <c r="AL4" t="s">
        <v>227</v>
      </c>
      <c r="AM4" s="120" t="s">
        <v>186</v>
      </c>
      <c r="AN4" s="93">
        <f t="shared" ref="AN4:AN17" si="3">+AN3+1</f>
        <v>2</v>
      </c>
      <c r="AO4" t="e">
        <f ca="1">+_xlfn.CONCAT("4_",TEXT(Conceptos_Control_Operaciones[[#This Row], [consecutivo_concepto]],"00"))</f>
        <v>#NAME?</v>
      </c>
      <c r="AQ4" t="s">
        <v>99</v>
      </c>
      <c r="AR4" t="s">
        <v>23</v>
      </c>
      <c r="AS4" t="s">
        <v>26</v>
      </c>
      <c r="AT4" t="s">
        <v>227</v>
      </c>
      <c r="AU4" t="s">
        <v>99</v>
      </c>
      <c r="AV4" s="93">
        <f t="shared" ref="AV4:AV14" si="4">+AV3+1</f>
        <v>2</v>
      </c>
      <c r="AW4" t="e">
        <f ca="1">+_xlfn.CONCAT("5_",TEXT(Conceptos_Impuestos[[#This Row], [consecutivo_concepto]],"00"))</f>
        <v>#NAME?</v>
      </c>
      <c r="AY4" t="s">
        <v>104</v>
      </c>
      <c r="AZ4" t="s">
        <v>23</v>
      </c>
      <c r="BA4" t="s">
        <v>26</v>
      </c>
      <c r="BB4" t="s">
        <v>227</v>
      </c>
      <c r="BC4" t="s">
        <v>104</v>
      </c>
      <c r="BD4" s="93">
        <f t="shared" ref="BD4:BD11" si="5">+BD3+1</f>
        <v>2</v>
      </c>
      <c r="BE4" t="e">
        <f ca="1">+_xlfn.CONCAT("6_",TEXT(Conceptos_Cumplimiento[[#This Row], [consecutivo_concepto]],"00"))</f>
        <v>#NAME?</v>
      </c>
      <c r="BG4" s="123">
        <v>2</v>
      </c>
      <c r="BH4" s="124" t="s">
        <v>235</v>
      </c>
      <c r="BI4" s="124" t="s">
        <v>236</v>
      </c>
    </row>
    <row r="5" spans="1:61" ht="21" customHeight="1" x14ac:dyDescent="0.45">
      <c r="E5" t="s">
        <v>175</v>
      </c>
      <c r="G5" s="19" t="s">
        <v>210</v>
      </c>
      <c r="H5" t="s">
        <v>23</v>
      </c>
      <c r="I5" t="s">
        <v>26</v>
      </c>
      <c r="J5" s="118" t="s">
        <v>227</v>
      </c>
      <c r="K5" s="19" t="s">
        <v>210</v>
      </c>
      <c r="L5" s="93">
        <f t="shared" si="0"/>
        <v>3</v>
      </c>
      <c r="M5" t="e">
        <f ca="1">+_xlfn.CONCAT("1_",TEXT(Conceptos_Administrativa[[#This Row], [consecutivo_concepto]],"00"))</f>
        <v>#NAME?</v>
      </c>
      <c r="O5" t="s">
        <v>44</v>
      </c>
      <c r="Q5" s="119" t="s">
        <v>237</v>
      </c>
      <c r="S5" t="s">
        <v>62</v>
      </c>
      <c r="T5" t="s">
        <v>23</v>
      </c>
      <c r="U5" t="s">
        <v>26</v>
      </c>
      <c r="V5" s="118" t="s">
        <v>227</v>
      </c>
      <c r="W5" t="s">
        <v>62</v>
      </c>
      <c r="X5" s="93">
        <f t="shared" si="1"/>
        <v>3</v>
      </c>
      <c r="Y5" t="e">
        <f ca="1">+_xlfn.CONCAT("2_",TEXT(Conceptos_Analítica_contraloría[[#This Row], [consecutivo_concepto]],"00"))</f>
        <v>#NAME?</v>
      </c>
      <c r="AA5" t="s">
        <v>71</v>
      </c>
      <c r="AB5" t="s">
        <v>23</v>
      </c>
      <c r="AC5" t="s">
        <v>26</v>
      </c>
      <c r="AD5" t="s">
        <v>227</v>
      </c>
      <c r="AE5" t="s">
        <v>234</v>
      </c>
      <c r="AF5" s="93">
        <f t="shared" si="2"/>
        <v>3</v>
      </c>
      <c r="AG5" t="e">
        <f ca="1">+_xlfn.CONCAT("3_",TEXT(Conceptos_Contabilidad[[#This Row], [consecutivo_concepto]],"00"))</f>
        <v>#NAME?</v>
      </c>
      <c r="AI5" t="s">
        <v>187</v>
      </c>
      <c r="AJ5" t="s">
        <v>23</v>
      </c>
      <c r="AK5" t="s">
        <v>26</v>
      </c>
      <c r="AL5" t="s">
        <v>227</v>
      </c>
      <c r="AM5" s="120" t="s">
        <v>187</v>
      </c>
      <c r="AN5" s="93">
        <f t="shared" si="3"/>
        <v>3</v>
      </c>
      <c r="AO5" t="e">
        <f ca="1">+_xlfn.CONCAT("4_",TEXT(Conceptos_Control_Operaciones[[#This Row], [consecutivo_concepto]],"00"))</f>
        <v>#NAME?</v>
      </c>
      <c r="AQ5" t="s">
        <v>95</v>
      </c>
      <c r="AR5" t="s">
        <v>23</v>
      </c>
      <c r="AS5" t="s">
        <v>26</v>
      </c>
      <c r="AT5" t="s">
        <v>227</v>
      </c>
      <c r="AU5" t="s">
        <v>238</v>
      </c>
      <c r="AV5" s="93">
        <f t="shared" si="4"/>
        <v>3</v>
      </c>
      <c r="AW5" t="e">
        <f ca="1">+_xlfn.CONCAT("5_",TEXT(Conceptos_Impuestos[[#This Row], [consecutivo_concepto]],"00"))</f>
        <v>#NAME?</v>
      </c>
      <c r="AY5" t="s">
        <v>102</v>
      </c>
      <c r="AZ5" t="s">
        <v>23</v>
      </c>
      <c r="BA5" t="s">
        <v>26</v>
      </c>
      <c r="BB5" t="s">
        <v>227</v>
      </c>
      <c r="BC5" t="s">
        <v>102</v>
      </c>
      <c r="BD5" s="93">
        <f t="shared" si="5"/>
        <v>3</v>
      </c>
      <c r="BE5" t="e">
        <f ca="1">+_xlfn.CONCAT("6_",TEXT(Conceptos_Cumplimiento[[#This Row], [consecutivo_concepto]],"00"))</f>
        <v>#NAME?</v>
      </c>
      <c r="BG5" s="121">
        <v>3</v>
      </c>
      <c r="BH5" s="122" t="s">
        <v>69</v>
      </c>
      <c r="BI5" s="122" t="s">
        <v>239</v>
      </c>
    </row>
    <row r="6" spans="1:61" ht="21" customHeight="1" x14ac:dyDescent="0.45">
      <c r="E6" t="s">
        <v>176</v>
      </c>
      <c r="G6" s="19" t="s">
        <v>31</v>
      </c>
      <c r="H6" t="s">
        <v>23</v>
      </c>
      <c r="I6" t="s">
        <v>26</v>
      </c>
      <c r="J6" s="118" t="s">
        <v>227</v>
      </c>
      <c r="K6" s="19" t="s">
        <v>31</v>
      </c>
      <c r="L6" s="93">
        <f t="shared" si="0"/>
        <v>4</v>
      </c>
      <c r="M6" t="e">
        <f ca="1">+_xlfn.CONCAT("1_",TEXT(Conceptos_Administrativa[[#This Row], [consecutivo_concepto]],"00"))</f>
        <v>#NAME?</v>
      </c>
      <c r="O6" t="s">
        <v>45</v>
      </c>
      <c r="Q6" s="119" t="s">
        <v>240</v>
      </c>
      <c r="S6" t="s">
        <v>66</v>
      </c>
      <c r="T6" t="s">
        <v>23</v>
      </c>
      <c r="U6" t="s">
        <v>26</v>
      </c>
      <c r="V6" s="118" t="s">
        <v>227</v>
      </c>
      <c r="W6" t="s">
        <v>66</v>
      </c>
      <c r="X6" s="93">
        <f t="shared" si="1"/>
        <v>4</v>
      </c>
      <c r="Y6" t="e">
        <f ca="1">+_xlfn.CONCAT("2_",TEXT(Conceptos_Analítica_contraloría[[#This Row], [consecutivo_concepto]],"00"))</f>
        <v>#NAME?</v>
      </c>
      <c r="AA6" s="120" t="s">
        <v>72</v>
      </c>
      <c r="AB6" t="s">
        <v>23</v>
      </c>
      <c r="AC6" t="s">
        <v>26</v>
      </c>
      <c r="AD6" t="s">
        <v>227</v>
      </c>
      <c r="AE6" s="120" t="s">
        <v>72</v>
      </c>
      <c r="AF6" s="93">
        <f t="shared" si="2"/>
        <v>4</v>
      </c>
      <c r="AG6" t="e">
        <f ca="1">+_xlfn.CONCAT("3_",TEXT(Conceptos_Contabilidad[[#This Row], [consecutivo_concepto]],"00"))</f>
        <v>#NAME?</v>
      </c>
      <c r="AI6" t="s">
        <v>85</v>
      </c>
      <c r="AJ6" t="s">
        <v>23</v>
      </c>
      <c r="AK6" t="s">
        <v>26</v>
      </c>
      <c r="AL6" t="s">
        <v>227</v>
      </c>
      <c r="AM6" s="120" t="s">
        <v>85</v>
      </c>
      <c r="AN6" s="93">
        <f t="shared" si="3"/>
        <v>4</v>
      </c>
      <c r="AO6" t="e">
        <f ca="1">+_xlfn.CONCAT("4_",TEXT(Conceptos_Control_Operaciones[[#This Row], [consecutivo_concepto]],"00"))</f>
        <v>#NAME?</v>
      </c>
      <c r="AQ6" t="s">
        <v>96</v>
      </c>
      <c r="AR6" t="s">
        <v>23</v>
      </c>
      <c r="AS6" t="s">
        <v>26</v>
      </c>
      <c r="AT6" t="s">
        <v>227</v>
      </c>
      <c r="AU6" t="s">
        <v>241</v>
      </c>
      <c r="AV6" s="93">
        <f t="shared" si="4"/>
        <v>4</v>
      </c>
      <c r="AW6" t="e">
        <f ca="1">+_xlfn.CONCAT("5_",TEXT(Conceptos_Impuestos[[#This Row], [consecutivo_concepto]],"00"))</f>
        <v>#NAME?</v>
      </c>
      <c r="AY6" t="s">
        <v>103</v>
      </c>
      <c r="AZ6" t="s">
        <v>23</v>
      </c>
      <c r="BA6" t="s">
        <v>26</v>
      </c>
      <c r="BB6" t="s">
        <v>227</v>
      </c>
      <c r="BC6" t="s">
        <v>103</v>
      </c>
      <c r="BD6" s="93">
        <f t="shared" si="5"/>
        <v>4</v>
      </c>
      <c r="BE6" t="e">
        <f ca="1">+_xlfn.CONCAT("6_",TEXT(Conceptos_Cumplimiento[[#This Row], [consecutivo_concepto]],"00"))</f>
        <v>#NAME?</v>
      </c>
      <c r="BG6" s="123">
        <v>4</v>
      </c>
      <c r="BH6" s="124" t="s">
        <v>242</v>
      </c>
      <c r="BI6" s="124" t="s">
        <v>243</v>
      </c>
    </row>
    <row r="7" spans="1:61" ht="21" customHeight="1" x14ac:dyDescent="0.45">
      <c r="E7" t="s">
        <v>177</v>
      </c>
      <c r="G7" s="19" t="s">
        <v>34</v>
      </c>
      <c r="H7" t="s">
        <v>23</v>
      </c>
      <c r="I7" t="s">
        <v>35</v>
      </c>
      <c r="J7" s="118" t="s">
        <v>227</v>
      </c>
      <c r="K7" t="s">
        <v>244</v>
      </c>
      <c r="L7" s="93">
        <f t="shared" si="0"/>
        <v>5</v>
      </c>
      <c r="M7" t="e">
        <f ca="1">+_xlfn.CONCAT("1_",TEXT(Conceptos_Administrativa[[#This Row], [consecutivo_concepto]],"00"))</f>
        <v>#NAME?</v>
      </c>
      <c r="O7" t="s">
        <v>46</v>
      </c>
      <c r="Q7" s="119" t="s">
        <v>201</v>
      </c>
      <c r="S7" t="s">
        <v>67</v>
      </c>
      <c r="T7" t="s">
        <v>23</v>
      </c>
      <c r="U7" t="s">
        <v>26</v>
      </c>
      <c r="V7" s="118" t="s">
        <v>227</v>
      </c>
      <c r="W7" t="s">
        <v>67</v>
      </c>
      <c r="X7" s="93">
        <f t="shared" si="1"/>
        <v>5</v>
      </c>
      <c r="Y7" t="e">
        <f ca="1">+_xlfn.CONCAT("2_",TEXT(Conceptos_Analítica_contraloría[[#This Row], [consecutivo_concepto]],"00"))</f>
        <v>#NAME?</v>
      </c>
      <c r="AA7" s="120" t="s">
        <v>73</v>
      </c>
      <c r="AB7" t="s">
        <v>23</v>
      </c>
      <c r="AC7" t="s">
        <v>26</v>
      </c>
      <c r="AD7" t="s">
        <v>227</v>
      </c>
      <c r="AE7" s="120" t="s">
        <v>73</v>
      </c>
      <c r="AF7" s="93">
        <f t="shared" si="2"/>
        <v>5</v>
      </c>
      <c r="AG7" t="e">
        <f ca="1">+_xlfn.CONCAT("3_",TEXT(Conceptos_Contabilidad[[#This Row], [consecutivo_concepto]],"00"))</f>
        <v>#NAME?</v>
      </c>
      <c r="AI7" t="s">
        <v>110</v>
      </c>
      <c r="AJ7" t="s">
        <v>20</v>
      </c>
      <c r="AK7" t="s">
        <v>21</v>
      </c>
      <c r="AL7" t="s">
        <v>227</v>
      </c>
      <c r="AM7" s="120" t="s">
        <v>110</v>
      </c>
      <c r="AN7" s="93">
        <f t="shared" si="3"/>
        <v>5</v>
      </c>
      <c r="AO7" t="e">
        <f ca="1">+_xlfn.CONCAT("4_",TEXT(Conceptos_Control_Operaciones[[#This Row], [consecutivo_concepto]],"00"))</f>
        <v>#NAME?</v>
      </c>
      <c r="AQ7" t="s">
        <v>185</v>
      </c>
      <c r="AR7" t="s">
        <v>20</v>
      </c>
      <c r="AS7" t="s">
        <v>21</v>
      </c>
      <c r="AT7" t="s">
        <v>227</v>
      </c>
      <c r="AU7" t="s">
        <v>185</v>
      </c>
      <c r="AV7" s="93">
        <f t="shared" si="4"/>
        <v>5</v>
      </c>
      <c r="AW7" t="e">
        <f ca="1">+_xlfn.CONCAT("5_",TEXT(Conceptos_Impuestos[[#This Row], [consecutivo_concepto]],"00"))</f>
        <v>#NAME?</v>
      </c>
      <c r="AY7" t="s">
        <v>105</v>
      </c>
      <c r="AZ7" t="s">
        <v>23</v>
      </c>
      <c r="BA7" t="s">
        <v>26</v>
      </c>
      <c r="BB7" t="s">
        <v>227</v>
      </c>
      <c r="BC7" t="s">
        <v>105</v>
      </c>
      <c r="BD7" s="93">
        <f t="shared" si="5"/>
        <v>5</v>
      </c>
      <c r="BE7" t="e">
        <f ca="1">+_xlfn.CONCAT("6_",TEXT(Conceptos_Cumplimiento[[#This Row], [consecutivo_concepto]],"00"))</f>
        <v>#NAME?</v>
      </c>
      <c r="BG7" s="121">
        <v>5</v>
      </c>
      <c r="BH7" s="122" t="s">
        <v>91</v>
      </c>
      <c r="BI7" s="122" t="s">
        <v>245</v>
      </c>
    </row>
    <row r="8" spans="1:61" ht="21" customHeight="1" x14ac:dyDescent="0.45">
      <c r="E8" t="s">
        <v>178</v>
      </c>
      <c r="G8" s="12" t="s">
        <v>114</v>
      </c>
      <c r="H8" t="s">
        <v>23</v>
      </c>
      <c r="I8" t="s">
        <v>26</v>
      </c>
      <c r="J8" s="118" t="s">
        <v>227</v>
      </c>
      <c r="K8" t="s">
        <v>246</v>
      </c>
      <c r="L8" s="93">
        <f t="shared" si="0"/>
        <v>6</v>
      </c>
      <c r="M8" t="e">
        <f ca="1">+_xlfn.CONCAT("1_",TEXT(Conceptos_Administrativa[[#This Row], [consecutivo_concepto]],"00"))</f>
        <v>#NAME?</v>
      </c>
      <c r="O8" t="s">
        <v>47</v>
      </c>
      <c r="Q8" s="119" t="s">
        <v>247</v>
      </c>
      <c r="S8" t="s">
        <v>68</v>
      </c>
      <c r="T8" t="s">
        <v>20</v>
      </c>
      <c r="U8" t="s">
        <v>21</v>
      </c>
      <c r="V8" s="118" t="s">
        <v>227</v>
      </c>
      <c r="W8" t="s">
        <v>68</v>
      </c>
      <c r="X8" s="93">
        <f t="shared" si="1"/>
        <v>6</v>
      </c>
      <c r="Y8" t="e">
        <f ca="1">+_xlfn.CONCAT("2_",TEXT(Conceptos_Analítica_contraloría[[#This Row], [consecutivo_concepto]],"00"))</f>
        <v>#NAME?</v>
      </c>
      <c r="AA8" t="s">
        <v>136</v>
      </c>
      <c r="AB8" t="s">
        <v>23</v>
      </c>
      <c r="AC8" t="s">
        <v>35</v>
      </c>
      <c r="AD8" t="s">
        <v>229</v>
      </c>
      <c r="AE8" t="s">
        <v>248</v>
      </c>
      <c r="AF8" s="93">
        <f t="shared" si="2"/>
        <v>6</v>
      </c>
      <c r="AG8" t="e">
        <f ca="1">+_xlfn.CONCAT("3_",TEXT(Conceptos_Contabilidad[[#This Row], [consecutivo_concepto]],"00"))</f>
        <v>#NAME?</v>
      </c>
      <c r="AI8" t="s">
        <v>109</v>
      </c>
      <c r="AJ8" t="s">
        <v>20</v>
      </c>
      <c r="AK8" t="s">
        <v>21</v>
      </c>
      <c r="AL8" t="s">
        <v>227</v>
      </c>
      <c r="AM8" s="120" t="s">
        <v>109</v>
      </c>
      <c r="AN8" s="93">
        <f t="shared" si="3"/>
        <v>6</v>
      </c>
      <c r="AO8" t="e">
        <f ca="1">+_xlfn.CONCAT("4_",TEXT(Conceptos_Control_Operaciones[[#This Row], [consecutivo_concepto]],"00"))</f>
        <v>#NAME?</v>
      </c>
      <c r="AQ8" t="s">
        <v>98</v>
      </c>
      <c r="AR8" t="s">
        <v>20</v>
      </c>
      <c r="AS8" t="s">
        <v>21</v>
      </c>
      <c r="AT8" t="s">
        <v>227</v>
      </c>
      <c r="AU8" t="s">
        <v>98</v>
      </c>
      <c r="AV8" s="93">
        <f t="shared" si="4"/>
        <v>6</v>
      </c>
      <c r="AW8" t="e">
        <f ca="1">+_xlfn.CONCAT("5_",TEXT(Conceptos_Impuestos[[#This Row], [consecutivo_concepto]],"00"))</f>
        <v>#NAME?</v>
      </c>
      <c r="AY8" t="s">
        <v>173</v>
      </c>
      <c r="AZ8" t="s">
        <v>23</v>
      </c>
      <c r="BA8" t="s">
        <v>26</v>
      </c>
      <c r="BB8" t="s">
        <v>227</v>
      </c>
      <c r="BC8" t="s">
        <v>173</v>
      </c>
      <c r="BD8" s="93">
        <f t="shared" si="5"/>
        <v>6</v>
      </c>
      <c r="BE8" t="e">
        <f ca="1">+_xlfn.CONCAT("6_",TEXT(Conceptos_Cumplimiento[[#This Row], [consecutivo_concepto]],"00"))</f>
        <v>#NAME?</v>
      </c>
      <c r="BG8" s="123">
        <v>6</v>
      </c>
      <c r="BH8" s="124" t="s">
        <v>215</v>
      </c>
      <c r="BI8" s="124" t="s">
        <v>249</v>
      </c>
    </row>
    <row r="9" spans="1:61" ht="21" customHeight="1" x14ac:dyDescent="0.45">
      <c r="E9" t="s">
        <v>179</v>
      </c>
      <c r="G9" s="4" t="s">
        <v>115</v>
      </c>
      <c r="H9" t="s">
        <v>23</v>
      </c>
      <c r="I9" t="s">
        <v>26</v>
      </c>
      <c r="J9" s="118" t="s">
        <v>227</v>
      </c>
      <c r="K9" t="s">
        <v>246</v>
      </c>
      <c r="L9" s="93">
        <f t="shared" si="0"/>
        <v>7</v>
      </c>
      <c r="M9" t="e">
        <f ca="1">+_xlfn.CONCAT("1_",TEXT(Conceptos_Administrativa[[#This Row], [consecutivo_concepto]],"00"))</f>
        <v>#NAME?</v>
      </c>
      <c r="O9" t="s">
        <v>48</v>
      </c>
      <c r="Q9" s="119" t="s">
        <v>250</v>
      </c>
      <c r="S9" t="s">
        <v>64</v>
      </c>
      <c r="T9" t="s">
        <v>23</v>
      </c>
      <c r="U9" t="s">
        <v>26</v>
      </c>
      <c r="V9" s="118" t="s">
        <v>227</v>
      </c>
      <c r="W9" t="s">
        <v>64</v>
      </c>
      <c r="X9" s="93">
        <f t="shared" si="1"/>
        <v>7</v>
      </c>
      <c r="Y9" t="e">
        <f ca="1">+_xlfn.CONCAT("2_",TEXT(Conceptos_Analítica_contraloría[[#This Row], [consecutivo_concepto]],"00"))</f>
        <v>#NAME?</v>
      </c>
      <c r="AA9" s="120" t="s">
        <v>74</v>
      </c>
      <c r="AB9" t="s">
        <v>20</v>
      </c>
      <c r="AC9" t="s">
        <v>21</v>
      </c>
      <c r="AD9" t="s">
        <v>227</v>
      </c>
      <c r="AE9" s="120" t="s">
        <v>74</v>
      </c>
      <c r="AF9" s="93">
        <f t="shared" si="2"/>
        <v>7</v>
      </c>
      <c r="AG9" t="e">
        <f ca="1">+_xlfn.CONCAT("3_",TEXT(Conceptos_Contabilidad[[#This Row], [consecutivo_concepto]],"00"))</f>
        <v>#NAME?</v>
      </c>
      <c r="AI9" t="s">
        <v>86</v>
      </c>
      <c r="AJ9" t="s">
        <v>23</v>
      </c>
      <c r="AK9" t="s">
        <v>26</v>
      </c>
      <c r="AL9" t="s">
        <v>227</v>
      </c>
      <c r="AM9" s="120" t="s">
        <v>86</v>
      </c>
      <c r="AN9" s="93">
        <f t="shared" si="3"/>
        <v>7</v>
      </c>
      <c r="AO9" t="e">
        <f ca="1">+_xlfn.CONCAT("4_",TEXT(Conceptos_Control_Operaciones[[#This Row], [consecutivo_concepto]],"00"))</f>
        <v>#NAME?</v>
      </c>
      <c r="AQ9" t="s">
        <v>77</v>
      </c>
      <c r="AR9" t="s">
        <v>23</v>
      </c>
      <c r="AS9" t="s">
        <v>26</v>
      </c>
      <c r="AT9" t="s">
        <v>227</v>
      </c>
      <c r="AU9" t="s">
        <v>77</v>
      </c>
      <c r="AV9" s="93">
        <f t="shared" si="4"/>
        <v>7</v>
      </c>
      <c r="AW9" t="e">
        <f ca="1">+_xlfn.CONCAT("5_",TEXT(Conceptos_Impuestos[[#This Row], [consecutivo_concepto]],"00"))</f>
        <v>#NAME?</v>
      </c>
      <c r="AY9" t="s">
        <v>161</v>
      </c>
      <c r="AZ9" t="s">
        <v>23</v>
      </c>
      <c r="BA9" t="s">
        <v>26</v>
      </c>
      <c r="BB9" t="s">
        <v>227</v>
      </c>
      <c r="BC9" t="s">
        <v>161</v>
      </c>
      <c r="BD9" s="93">
        <f t="shared" si="5"/>
        <v>7</v>
      </c>
      <c r="BE9" t="e">
        <f ca="1">+_xlfn.CONCAT("6_",TEXT(Conceptos_Cumplimiento[[#This Row], [consecutivo_concepto]],"00"))</f>
        <v>#NAME?</v>
      </c>
      <c r="BG9" s="121">
        <v>7</v>
      </c>
      <c r="BH9" s="122" t="s">
        <v>251</v>
      </c>
      <c r="BI9" s="122" t="s">
        <v>252</v>
      </c>
    </row>
    <row r="10" spans="1:61" ht="21" customHeight="1" x14ac:dyDescent="0.45">
      <c r="E10" t="s">
        <v>180</v>
      </c>
      <c r="G10" s="12" t="s">
        <v>116</v>
      </c>
      <c r="H10" t="s">
        <v>23</v>
      </c>
      <c r="I10" t="s">
        <v>26</v>
      </c>
      <c r="J10" s="118" t="s">
        <v>227</v>
      </c>
      <c r="K10" t="s">
        <v>246</v>
      </c>
      <c r="L10" s="93">
        <f t="shared" si="0"/>
        <v>8</v>
      </c>
      <c r="M10" t="e">
        <f ca="1">+_xlfn.CONCAT("1_",TEXT(Conceptos_Administrativa[[#This Row], [consecutivo_concepto]],"00"))</f>
        <v>#NAME?</v>
      </c>
      <c r="O10" t="s">
        <v>49</v>
      </c>
      <c r="Q10" s="119" t="s">
        <v>253</v>
      </c>
      <c r="S10" t="s">
        <v>65</v>
      </c>
      <c r="T10" t="s">
        <v>23</v>
      </c>
      <c r="U10" t="s">
        <v>26</v>
      </c>
      <c r="V10" s="118" t="s">
        <v>227</v>
      </c>
      <c r="W10" t="s">
        <v>65</v>
      </c>
      <c r="X10" s="93">
        <f t="shared" si="1"/>
        <v>8</v>
      </c>
      <c r="Y10" t="e">
        <f ca="1">+_xlfn.CONCAT("2_",TEXT(Conceptos_Analítica_contraloría[[#This Row], [consecutivo_concepto]],"00"))</f>
        <v>#NAME?</v>
      </c>
      <c r="AA10" s="120" t="s">
        <v>77</v>
      </c>
      <c r="AB10" t="s">
        <v>23</v>
      </c>
      <c r="AC10" t="s">
        <v>26</v>
      </c>
      <c r="AD10" t="s">
        <v>227</v>
      </c>
      <c r="AE10" s="120" t="s">
        <v>77</v>
      </c>
      <c r="AF10" s="93">
        <f t="shared" si="2"/>
        <v>8</v>
      </c>
      <c r="AG10" t="e">
        <f ca="1">+_xlfn.CONCAT("3_",TEXT(Conceptos_Contabilidad[[#This Row], [consecutivo_concepto]],"00"))</f>
        <v>#NAME?</v>
      </c>
      <c r="AI10" t="s">
        <v>188</v>
      </c>
      <c r="AJ10" t="s">
        <v>23</v>
      </c>
      <c r="AK10" t="s">
        <v>26</v>
      </c>
      <c r="AL10" t="s">
        <v>227</v>
      </c>
      <c r="AM10" s="120" t="s">
        <v>188</v>
      </c>
      <c r="AN10" s="93">
        <f t="shared" si="3"/>
        <v>8</v>
      </c>
      <c r="AO10" t="e">
        <f ca="1">+_xlfn.CONCAT("4_",TEXT(Conceptos_Control_Operaciones[[#This Row], [consecutivo_concepto]],"00"))</f>
        <v>#NAME?</v>
      </c>
      <c r="AQ10" t="s">
        <v>100</v>
      </c>
      <c r="AR10" t="s">
        <v>20</v>
      </c>
      <c r="AS10" t="s">
        <v>21</v>
      </c>
      <c r="AT10" t="s">
        <v>227</v>
      </c>
      <c r="AU10" t="s">
        <v>100</v>
      </c>
      <c r="AV10" s="93">
        <f t="shared" si="4"/>
        <v>8</v>
      </c>
      <c r="AW10" t="e">
        <f ca="1">+_xlfn.CONCAT("5_",TEXT(Conceptos_Impuestos[[#This Row], [consecutivo_concepto]],"00"))</f>
        <v>#NAME?</v>
      </c>
      <c r="AY10" t="s">
        <v>76</v>
      </c>
      <c r="AZ10" t="s">
        <v>23</v>
      </c>
      <c r="BA10" t="s">
        <v>26</v>
      </c>
      <c r="BB10" t="s">
        <v>227</v>
      </c>
      <c r="BC10" t="s">
        <v>76</v>
      </c>
      <c r="BD10" s="93">
        <f t="shared" si="5"/>
        <v>8</v>
      </c>
      <c r="BE10" t="e">
        <f ca="1">+_xlfn.CONCAT("6_",TEXT(Conceptos_Cumplimiento[[#This Row], [consecutivo_concepto]],"00"))</f>
        <v>#NAME?</v>
      </c>
      <c r="BG10" s="123">
        <v>8</v>
      </c>
      <c r="BH10" s="124" t="s">
        <v>254</v>
      </c>
      <c r="BI10" s="124" t="s">
        <v>255</v>
      </c>
    </row>
    <row r="11" spans="1:61" ht="21" customHeight="1" x14ac:dyDescent="0.45">
      <c r="E11" t="s">
        <v>181</v>
      </c>
      <c r="G11" s="12" t="s">
        <v>19</v>
      </c>
      <c r="H11" t="s">
        <v>20</v>
      </c>
      <c r="I11" t="s">
        <v>21</v>
      </c>
      <c r="J11" s="118" t="s">
        <v>227</v>
      </c>
      <c r="K11" t="s">
        <v>19</v>
      </c>
      <c r="L11" s="93">
        <f t="shared" si="0"/>
        <v>9</v>
      </c>
      <c r="M11" t="e">
        <f ca="1">+_xlfn.CONCAT("1_",TEXT(Conceptos_Administrativa[[#This Row], [consecutivo_concepto]],"00"))</f>
        <v>#NAME?</v>
      </c>
      <c r="O11" t="s">
        <v>50</v>
      </c>
      <c r="Q11" s="119" t="s">
        <v>256</v>
      </c>
      <c r="S11" t="s">
        <v>128</v>
      </c>
      <c r="T11" t="s">
        <v>23</v>
      </c>
      <c r="U11" t="s">
        <v>26</v>
      </c>
      <c r="V11" s="118" t="s">
        <v>227</v>
      </c>
      <c r="W11" t="s">
        <v>128</v>
      </c>
      <c r="X11" s="93">
        <f t="shared" si="1"/>
        <v>9</v>
      </c>
      <c r="Y11" t="e">
        <f ca="1">+_xlfn.CONCAT("2_",TEXT(Conceptos_Analítica_contraloría[[#This Row], [consecutivo_concepto]],"00"))</f>
        <v>#NAME?</v>
      </c>
      <c r="AA11" t="s">
        <v>76</v>
      </c>
      <c r="AB11" t="s">
        <v>23</v>
      </c>
      <c r="AC11" t="s">
        <v>26</v>
      </c>
      <c r="AD11" t="s">
        <v>227</v>
      </c>
      <c r="AE11" t="s">
        <v>257</v>
      </c>
      <c r="AF11" s="93">
        <f t="shared" si="2"/>
        <v>9</v>
      </c>
      <c r="AG11" t="e">
        <f ca="1">+_xlfn.CONCAT("3_",TEXT(Conceptos_Contabilidad[[#This Row], [consecutivo_concepto]],"00"))</f>
        <v>#NAME?</v>
      </c>
      <c r="AI11" t="s">
        <v>189</v>
      </c>
      <c r="AJ11" t="s">
        <v>23</v>
      </c>
      <c r="AK11" t="s">
        <v>26</v>
      </c>
      <c r="AL11" t="s">
        <v>227</v>
      </c>
      <c r="AM11" s="120" t="s">
        <v>189</v>
      </c>
      <c r="AN11" s="93">
        <f t="shared" si="3"/>
        <v>9</v>
      </c>
      <c r="AO11" t="e">
        <f ca="1">+_xlfn.CONCAT("4_",TEXT(Conceptos_Control_Operaciones[[#This Row], [consecutivo_concepto]],"00"))</f>
        <v>#NAME?</v>
      </c>
      <c r="AQ11" t="s">
        <v>94</v>
      </c>
      <c r="AR11" t="s">
        <v>23</v>
      </c>
      <c r="AS11" t="s">
        <v>26</v>
      </c>
      <c r="AT11" t="s">
        <v>227</v>
      </c>
      <c r="AU11" t="s">
        <v>94</v>
      </c>
      <c r="AV11" s="93">
        <f t="shared" si="4"/>
        <v>9</v>
      </c>
      <c r="AW11" t="e">
        <f ca="1">+_xlfn.CONCAT("5_",TEXT(Conceptos_Impuestos[[#This Row], [consecutivo_concepto]],"00"))</f>
        <v>#NAME?</v>
      </c>
      <c r="AY11" t="s">
        <v>162</v>
      </c>
      <c r="AZ11" t="s">
        <v>23</v>
      </c>
      <c r="BA11" t="s">
        <v>26</v>
      </c>
      <c r="BB11" t="s">
        <v>227</v>
      </c>
      <c r="BC11" t="s">
        <v>162</v>
      </c>
      <c r="BD11" s="93">
        <f t="shared" si="5"/>
        <v>9</v>
      </c>
      <c r="BE11" t="e">
        <f ca="1">+_xlfn.CONCAT("6_",TEXT(Conceptos_Cumplimiento[[#This Row], [consecutivo_concepto]],"00"))</f>
        <v>#NAME?</v>
      </c>
    </row>
    <row r="12" spans="1:61" ht="21" customHeight="1" x14ac:dyDescent="0.45">
      <c r="E12" t="s">
        <v>182</v>
      </c>
      <c r="G12" s="6" t="s">
        <v>27</v>
      </c>
      <c r="H12" t="s">
        <v>20</v>
      </c>
      <c r="I12" t="s">
        <v>21</v>
      </c>
      <c r="J12" s="118" t="s">
        <v>227</v>
      </c>
      <c r="K12" t="s">
        <v>258</v>
      </c>
      <c r="L12" s="93">
        <f t="shared" si="0"/>
        <v>10</v>
      </c>
      <c r="M12" t="e">
        <f ca="1">+_xlfn.CONCAT("1_",TEXT(Conceptos_Administrativa[[#This Row], [consecutivo_concepto]],"00"))</f>
        <v>#NAME?</v>
      </c>
      <c r="O12" t="s">
        <v>121</v>
      </c>
      <c r="Q12" s="119" t="s">
        <v>259</v>
      </c>
      <c r="S12" t="s">
        <v>127</v>
      </c>
      <c r="T12" t="s">
        <v>23</v>
      </c>
      <c r="U12" t="s">
        <v>26</v>
      </c>
      <c r="V12" s="118" t="s">
        <v>227</v>
      </c>
      <c r="W12" t="s">
        <v>127</v>
      </c>
      <c r="X12" s="93">
        <f t="shared" si="1"/>
        <v>10</v>
      </c>
      <c r="Y12" t="e">
        <f ca="1">+_xlfn.CONCAT("2_",TEXT(Conceptos_Analítica_contraloría[[#This Row], [consecutivo_concepto]],"00"))</f>
        <v>#NAME?</v>
      </c>
      <c r="AA12" t="s">
        <v>78</v>
      </c>
      <c r="AB12" t="s">
        <v>20</v>
      </c>
      <c r="AC12" t="s">
        <v>21</v>
      </c>
      <c r="AD12" t="s">
        <v>227</v>
      </c>
      <c r="AE12" t="s">
        <v>260</v>
      </c>
      <c r="AF12" s="93">
        <f t="shared" si="2"/>
        <v>10</v>
      </c>
      <c r="AG12" t="e">
        <f ca="1">+_xlfn.CONCAT("3_",TEXT(Conceptos_Contabilidad[[#This Row], [consecutivo_concepto]],"00"))</f>
        <v>#NAME?</v>
      </c>
      <c r="AI12" t="s">
        <v>190</v>
      </c>
      <c r="AJ12" t="s">
        <v>23</v>
      </c>
      <c r="AK12" t="s">
        <v>26</v>
      </c>
      <c r="AL12" t="s">
        <v>227</v>
      </c>
      <c r="AM12" s="120" t="s">
        <v>190</v>
      </c>
      <c r="AN12" s="93">
        <f t="shared" si="3"/>
        <v>10</v>
      </c>
      <c r="AO12" t="e">
        <f ca="1">+_xlfn.CONCAT("4_",TEXT(Conceptos_Control_Operaciones[[#This Row], [consecutivo_concepto]],"00"))</f>
        <v>#NAME?</v>
      </c>
      <c r="AQ12" t="s">
        <v>144</v>
      </c>
      <c r="AR12" t="s">
        <v>23</v>
      </c>
      <c r="AS12" t="s">
        <v>26</v>
      </c>
      <c r="AT12" t="s">
        <v>227</v>
      </c>
      <c r="AU12" s="120" t="s">
        <v>261</v>
      </c>
      <c r="AV12" s="93">
        <f t="shared" si="4"/>
        <v>10</v>
      </c>
      <c r="AW12" t="e">
        <f ca="1">+_xlfn.CONCAT("5_",TEXT(Conceptos_Impuestos[[#This Row], [consecutivo_concepto]],"00"))</f>
        <v>#NAME?</v>
      </c>
    </row>
    <row r="13" spans="1:61" ht="21" customHeight="1" x14ac:dyDescent="0.45">
      <c r="E13" t="s">
        <v>183</v>
      </c>
      <c r="G13" s="14" t="s">
        <v>118</v>
      </c>
      <c r="H13" t="s">
        <v>23</v>
      </c>
      <c r="I13" t="s">
        <v>26</v>
      </c>
      <c r="J13" s="118" t="s">
        <v>227</v>
      </c>
      <c r="K13" t="s">
        <v>262</v>
      </c>
      <c r="L13" s="93">
        <f t="shared" si="0"/>
        <v>11</v>
      </c>
      <c r="M13" t="e">
        <f ca="1">+_xlfn.CONCAT("1_",TEXT(Conceptos_Administrativa[[#This Row], [consecutivo_concepto]],"00"))</f>
        <v>#NAME?</v>
      </c>
      <c r="O13" t="s">
        <v>51</v>
      </c>
      <c r="Q13" s="119" t="s">
        <v>263</v>
      </c>
      <c r="S13" t="s">
        <v>125</v>
      </c>
      <c r="T13" t="s">
        <v>23</v>
      </c>
      <c r="U13" t="s">
        <v>26</v>
      </c>
      <c r="V13" s="118" t="s">
        <v>227</v>
      </c>
      <c r="W13" t="s">
        <v>125</v>
      </c>
      <c r="X13" s="93">
        <f t="shared" si="1"/>
        <v>11</v>
      </c>
      <c r="Y13" t="e">
        <f ca="1">+_xlfn.CONCAT("2_",TEXT(Conceptos_Analítica_contraloría[[#This Row], [consecutivo_concepto]],"00"))</f>
        <v>#NAME?</v>
      </c>
      <c r="AA13" t="s">
        <v>130</v>
      </c>
      <c r="AB13" t="s">
        <v>23</v>
      </c>
      <c r="AC13" t="s">
        <v>26</v>
      </c>
      <c r="AD13" t="s">
        <v>227</v>
      </c>
      <c r="AE13" t="s">
        <v>234</v>
      </c>
      <c r="AF13" s="93">
        <f t="shared" si="2"/>
        <v>11</v>
      </c>
      <c r="AG13" t="e">
        <f ca="1">+_xlfn.CONCAT("3_",TEXT(Conceptos_Contabilidad[[#This Row], [consecutivo_concepto]],"00"))</f>
        <v>#NAME?</v>
      </c>
      <c r="AI13" t="s">
        <v>90</v>
      </c>
      <c r="AJ13" t="s">
        <v>20</v>
      </c>
      <c r="AK13" t="s">
        <v>21</v>
      </c>
      <c r="AL13" t="s">
        <v>227</v>
      </c>
      <c r="AM13" s="120" t="s">
        <v>90</v>
      </c>
      <c r="AN13" s="93">
        <f t="shared" si="3"/>
        <v>11</v>
      </c>
      <c r="AO13" t="e">
        <f ca="1">+_xlfn.CONCAT("4_",TEXT(Conceptos_Control_Operaciones[[#This Row], [consecutivo_concepto]],"00"))</f>
        <v>#NAME?</v>
      </c>
      <c r="AQ13" s="118" t="s">
        <v>143</v>
      </c>
      <c r="AR13" t="s">
        <v>23</v>
      </c>
      <c r="AS13" t="s">
        <v>26</v>
      </c>
      <c r="AT13" t="s">
        <v>229</v>
      </c>
      <c r="AU13" t="s">
        <v>143</v>
      </c>
      <c r="AV13" s="93">
        <f t="shared" si="4"/>
        <v>11</v>
      </c>
      <c r="AW13" t="e">
        <f ca="1">+_xlfn.CONCAT("5_",TEXT(Conceptos_Impuestos[[#This Row], [consecutivo_concepto]],"00"))</f>
        <v>#NAME?</v>
      </c>
    </row>
    <row r="14" spans="1:61" ht="21" customHeight="1" x14ac:dyDescent="0.45">
      <c r="E14" t="s">
        <v>184</v>
      </c>
      <c r="G14" s="6" t="s">
        <v>40</v>
      </c>
      <c r="H14" t="s">
        <v>23</v>
      </c>
      <c r="I14" t="s">
        <v>26</v>
      </c>
      <c r="J14" s="118" t="s">
        <v>227</v>
      </c>
      <c r="K14" t="s">
        <v>264</v>
      </c>
      <c r="L14" s="93">
        <f t="shared" si="0"/>
        <v>12</v>
      </c>
      <c r="M14" t="e">
        <f ca="1">+_xlfn.CONCAT("1_",TEXT(Conceptos_Administrativa[[#This Row], [consecutivo_concepto]],"00"))</f>
        <v>#NAME?</v>
      </c>
      <c r="O14" t="s">
        <v>52</v>
      </c>
      <c r="Q14" s="119" t="s">
        <v>265</v>
      </c>
      <c r="S14" t="s">
        <v>204</v>
      </c>
      <c r="T14" t="s">
        <v>23</v>
      </c>
      <c r="U14" t="s">
        <v>26</v>
      </c>
      <c r="V14" s="118" t="s">
        <v>227</v>
      </c>
      <c r="W14" t="s">
        <v>204</v>
      </c>
      <c r="X14" s="93">
        <f t="shared" si="1"/>
        <v>12</v>
      </c>
      <c r="Y14" t="e">
        <f ca="1">+_xlfn.CONCAT("2_",TEXT(Conceptos_Analítica_contraloría[[#This Row], [consecutivo_concepto]],"00"))</f>
        <v>#NAME?</v>
      </c>
      <c r="AA14" t="s">
        <v>134</v>
      </c>
      <c r="AB14" t="s">
        <v>23</v>
      </c>
      <c r="AC14" t="s">
        <v>26</v>
      </c>
      <c r="AD14" t="s">
        <v>227</v>
      </c>
      <c r="AE14" t="s">
        <v>234</v>
      </c>
      <c r="AF14" s="93">
        <f t="shared" si="2"/>
        <v>12</v>
      </c>
      <c r="AG14" t="e">
        <f ca="1">+_xlfn.CONCAT("3_",TEXT(Conceptos_Contabilidad[[#This Row], [consecutivo_concepto]],"00"))</f>
        <v>#NAME?</v>
      </c>
      <c r="AI14" t="s">
        <v>84</v>
      </c>
      <c r="AJ14" t="s">
        <v>23</v>
      </c>
      <c r="AK14" t="s">
        <v>26</v>
      </c>
      <c r="AL14" t="s">
        <v>227</v>
      </c>
      <c r="AM14" s="120" t="s">
        <v>84</v>
      </c>
      <c r="AN14" s="93">
        <f t="shared" si="3"/>
        <v>12</v>
      </c>
      <c r="AO14" t="e">
        <f ca="1">+_xlfn.CONCAT("4_",TEXT(Conceptos_Control_Operaciones[[#This Row], [consecutivo_concepto]],"00"))</f>
        <v>#NAME?</v>
      </c>
      <c r="AQ14" s="118" t="s">
        <v>102</v>
      </c>
      <c r="AR14" t="s">
        <v>23</v>
      </c>
      <c r="AS14" t="s">
        <v>26</v>
      </c>
      <c r="AT14" t="s">
        <v>229</v>
      </c>
      <c r="AU14" t="s">
        <v>102</v>
      </c>
      <c r="AV14" s="93">
        <f t="shared" si="4"/>
        <v>12</v>
      </c>
      <c r="AW14" t="e">
        <f ca="1">+_xlfn.CONCAT("5_",TEXT(Conceptos_Impuestos[[#This Row], [consecutivo_concepto]],"00"))</f>
        <v>#NAME?</v>
      </c>
    </row>
    <row r="15" spans="1:61" ht="21" customHeight="1" x14ac:dyDescent="0.45">
      <c r="G15" s="14" t="s">
        <v>25</v>
      </c>
      <c r="H15" t="s">
        <v>23</v>
      </c>
      <c r="I15" t="s">
        <v>26</v>
      </c>
      <c r="J15" s="118" t="s">
        <v>227</v>
      </c>
      <c r="K15" t="s">
        <v>266</v>
      </c>
      <c r="L15" s="93">
        <f t="shared" si="0"/>
        <v>13</v>
      </c>
      <c r="M15" t="e">
        <f ca="1">+_xlfn.CONCAT("1_",TEXT(Conceptos_Administrativa[[#This Row], [consecutivo_concepto]],"00"))</f>
        <v>#NAME?</v>
      </c>
      <c r="O15" t="s">
        <v>53</v>
      </c>
      <c r="Q15" s="119" t="s">
        <v>267</v>
      </c>
      <c r="S15" t="s">
        <v>124</v>
      </c>
      <c r="T15" t="s">
        <v>23</v>
      </c>
      <c r="U15" t="s">
        <v>26</v>
      </c>
      <c r="V15" s="118" t="s">
        <v>227</v>
      </c>
      <c r="W15" t="s">
        <v>124</v>
      </c>
      <c r="X15" s="93">
        <f t="shared" si="1"/>
        <v>13</v>
      </c>
      <c r="Y15" t="e">
        <f ca="1">+_xlfn.CONCAT("2_",TEXT(Conceptos_Analítica_contraloría[[#This Row], [consecutivo_concepto]],"00"))</f>
        <v>#NAME?</v>
      </c>
      <c r="AA15" t="s">
        <v>131</v>
      </c>
      <c r="AB15" t="s">
        <v>23</v>
      </c>
      <c r="AC15" t="s">
        <v>26</v>
      </c>
      <c r="AD15" t="s">
        <v>227</v>
      </c>
      <c r="AE15" t="s">
        <v>234</v>
      </c>
      <c r="AF15" s="93">
        <f t="shared" si="2"/>
        <v>13</v>
      </c>
      <c r="AG15" t="e">
        <f ca="1">+_xlfn.CONCAT("3_",TEXT(Conceptos_Contabilidad[[#This Row], [consecutivo_concepto]],"00"))</f>
        <v>#NAME?</v>
      </c>
      <c r="AI15" t="s">
        <v>191</v>
      </c>
      <c r="AJ15" t="s">
        <v>23</v>
      </c>
      <c r="AK15" t="s">
        <v>26</v>
      </c>
      <c r="AL15" t="s">
        <v>227</v>
      </c>
      <c r="AM15" s="120" t="s">
        <v>191</v>
      </c>
      <c r="AN15" s="93">
        <f t="shared" si="3"/>
        <v>13</v>
      </c>
      <c r="AO15" t="e">
        <f ca="1">+_xlfn.CONCAT("4_",TEXT(Conceptos_Control_Operaciones[[#This Row], [consecutivo_concepto]],"00"))</f>
        <v>#NAME?</v>
      </c>
    </row>
    <row r="16" spans="1:61" ht="21" customHeight="1" x14ac:dyDescent="0.45">
      <c r="G16" s="6" t="s">
        <v>209</v>
      </c>
      <c r="H16" t="s">
        <v>23</v>
      </c>
      <c r="I16" t="s">
        <v>24</v>
      </c>
      <c r="J16" s="118" t="s">
        <v>227</v>
      </c>
      <c r="K16" t="s">
        <v>268</v>
      </c>
      <c r="L16" s="93">
        <f t="shared" si="0"/>
        <v>14</v>
      </c>
      <c r="M16" t="e">
        <f ca="1">+_xlfn.CONCAT("1_",TEXT(Conceptos_Administrativa[[#This Row], [consecutivo_concepto]],"00"))</f>
        <v>#NAME?</v>
      </c>
      <c r="O16" t="s">
        <v>54</v>
      </c>
      <c r="Q16" s="119" t="s">
        <v>269</v>
      </c>
      <c r="S16" t="s">
        <v>126</v>
      </c>
      <c r="T16" t="s">
        <v>20</v>
      </c>
      <c r="U16" t="s">
        <v>21</v>
      </c>
      <c r="V16" s="118" t="s">
        <v>227</v>
      </c>
      <c r="W16" t="s">
        <v>126</v>
      </c>
      <c r="X16" s="93">
        <f t="shared" si="1"/>
        <v>14</v>
      </c>
      <c r="Y16" t="e">
        <f ca="1">+_xlfn.CONCAT("2_",TEXT(Conceptos_Analítica_contraloría[[#This Row], [consecutivo_concepto]],"00"))</f>
        <v>#NAME?</v>
      </c>
      <c r="AA16" t="s">
        <v>133</v>
      </c>
      <c r="AB16" t="s">
        <v>23</v>
      </c>
      <c r="AC16" t="s">
        <v>26</v>
      </c>
      <c r="AD16" t="s">
        <v>227</v>
      </c>
      <c r="AE16" t="s">
        <v>234</v>
      </c>
      <c r="AF16" s="93">
        <f t="shared" si="2"/>
        <v>14</v>
      </c>
      <c r="AG16" t="e">
        <f ca="1">+_xlfn.CONCAT("3_",TEXT(Conceptos_Contabilidad[[#This Row], [consecutivo_concepto]],"00"))</f>
        <v>#NAME?</v>
      </c>
      <c r="AI16" t="s">
        <v>139</v>
      </c>
      <c r="AJ16" t="s">
        <v>20</v>
      </c>
      <c r="AK16" t="s">
        <v>21</v>
      </c>
      <c r="AL16" t="s">
        <v>227</v>
      </c>
      <c r="AM16" s="120" t="s">
        <v>139</v>
      </c>
      <c r="AN16" s="93">
        <f t="shared" si="3"/>
        <v>14</v>
      </c>
      <c r="AO16" t="e">
        <f ca="1">+_xlfn.CONCAT("4_",TEXT(Conceptos_Control_Operaciones[[#This Row], [consecutivo_concepto]],"00"))</f>
        <v>#NAME?</v>
      </c>
    </row>
    <row r="17" spans="7:41" ht="21" customHeight="1" x14ac:dyDescent="0.45">
      <c r="G17" s="14" t="s">
        <v>38</v>
      </c>
      <c r="H17" t="s">
        <v>23</v>
      </c>
      <c r="I17" t="s">
        <v>26</v>
      </c>
      <c r="J17" s="118" t="s">
        <v>227</v>
      </c>
      <c r="K17" t="s">
        <v>38</v>
      </c>
      <c r="L17" s="93">
        <f t="shared" si="0"/>
        <v>15</v>
      </c>
      <c r="M17" t="e">
        <f ca="1">+_xlfn.CONCAT("1_",TEXT(Conceptos_Administrativa[[#This Row], [consecutivo_concepto]],"00"))</f>
        <v>#NAME?</v>
      </c>
      <c r="O17" t="s">
        <v>56</v>
      </c>
      <c r="Q17" s="119" t="s">
        <v>270</v>
      </c>
      <c r="S17" s="125" t="s">
        <v>205</v>
      </c>
      <c r="T17" t="s">
        <v>23</v>
      </c>
      <c r="U17" t="s">
        <v>26</v>
      </c>
      <c r="V17" s="118" t="s">
        <v>227</v>
      </c>
      <c r="W17" s="126" t="s">
        <v>205</v>
      </c>
      <c r="X17" s="93">
        <f t="shared" si="1"/>
        <v>15</v>
      </c>
      <c r="Y17" t="e">
        <f ca="1">+_xlfn.CONCAT("2_",TEXT(Conceptos_Analítica_contraloría[[#This Row], [consecutivo_concepto]],"00"))</f>
        <v>#NAME?</v>
      </c>
      <c r="AA17" t="s">
        <v>132</v>
      </c>
      <c r="AB17" t="s">
        <v>23</v>
      </c>
      <c r="AC17" t="s">
        <v>26</v>
      </c>
      <c r="AD17" t="s">
        <v>227</v>
      </c>
      <c r="AE17" t="s">
        <v>234</v>
      </c>
      <c r="AF17" s="93">
        <f t="shared" si="2"/>
        <v>15</v>
      </c>
      <c r="AG17" t="e">
        <f ca="1">+_xlfn.CONCAT("3_",TEXT(Conceptos_Contabilidad[[#This Row], [consecutivo_concepto]],"00"))</f>
        <v>#NAME?</v>
      </c>
      <c r="AI17" t="s">
        <v>142</v>
      </c>
      <c r="AJ17" t="s">
        <v>20</v>
      </c>
      <c r="AK17" t="s">
        <v>21</v>
      </c>
      <c r="AL17" t="s">
        <v>227</v>
      </c>
      <c r="AM17" s="120" t="s">
        <v>142</v>
      </c>
      <c r="AN17" s="93">
        <f t="shared" si="3"/>
        <v>15</v>
      </c>
      <c r="AO17" t="e">
        <f ca="1">+_xlfn.CONCAT("4_",TEXT(Conceptos_Control_Operaciones[[#This Row], [consecutivo_concepto]],"00"))</f>
        <v>#NAME?</v>
      </c>
    </row>
    <row r="18" spans="7:41" ht="21" customHeight="1" x14ac:dyDescent="0.45">
      <c r="G18" s="6" t="s">
        <v>41</v>
      </c>
      <c r="H18" t="s">
        <v>23</v>
      </c>
      <c r="I18" t="s">
        <v>26</v>
      </c>
      <c r="J18" s="118" t="s">
        <v>227</v>
      </c>
      <c r="K18" t="s">
        <v>271</v>
      </c>
      <c r="L18" s="93">
        <f t="shared" si="0"/>
        <v>16</v>
      </c>
      <c r="M18" t="e">
        <f ca="1">+_xlfn.CONCAT("1_",TEXT(Conceptos_Administrativa[[#This Row], [consecutivo_concepto]],"00"))</f>
        <v>#NAME?</v>
      </c>
      <c r="O18" t="s">
        <v>58</v>
      </c>
      <c r="Q18" s="119" t="s">
        <v>272</v>
      </c>
      <c r="S18" s="125" t="s">
        <v>206</v>
      </c>
      <c r="T18" t="s">
        <v>23</v>
      </c>
      <c r="U18" t="s">
        <v>26</v>
      </c>
      <c r="V18" s="118" t="s">
        <v>227</v>
      </c>
      <c r="W18" s="126" t="s">
        <v>206</v>
      </c>
      <c r="X18" s="93">
        <f t="shared" si="1"/>
        <v>16</v>
      </c>
      <c r="Y18" t="e">
        <f ca="1">+_xlfn.CONCAT("2_",TEXT(Conceptos_Analítica_contraloría[[#This Row], [consecutivo_concepto]],"00"))</f>
        <v>#NAME?</v>
      </c>
      <c r="AA18" t="s">
        <v>147</v>
      </c>
      <c r="AB18" t="s">
        <v>20</v>
      </c>
      <c r="AC18" t="s">
        <v>21</v>
      </c>
      <c r="AD18" t="s">
        <v>227</v>
      </c>
      <c r="AE18" t="s">
        <v>260</v>
      </c>
      <c r="AF18" s="93">
        <f t="shared" si="2"/>
        <v>16</v>
      </c>
      <c r="AG18" t="e">
        <f ca="1">+_xlfn.CONCAT("3_",TEXT(Conceptos_Contabilidad[[#This Row], [consecutivo_concepto]],"00"))</f>
        <v>#NAME?</v>
      </c>
    </row>
    <row r="19" spans="7:41" ht="21" customHeight="1" x14ac:dyDescent="0.45">
      <c r="G19" s="6" t="s">
        <v>55</v>
      </c>
      <c r="H19" t="s">
        <v>23</v>
      </c>
      <c r="I19" t="s">
        <v>26</v>
      </c>
      <c r="J19" s="118" t="s">
        <v>227</v>
      </c>
      <c r="K19" t="s">
        <v>271</v>
      </c>
      <c r="L19" s="93">
        <f t="shared" si="0"/>
        <v>17</v>
      </c>
      <c r="M19" t="e">
        <f ca="1">+_xlfn.CONCAT("1_",TEXT(Conceptos_Administrativa[[#This Row], [consecutivo_concepto]],"00"))</f>
        <v>#NAME?</v>
      </c>
      <c r="O19" t="s">
        <v>172</v>
      </c>
      <c r="Q19" s="119" t="s">
        <v>273</v>
      </c>
      <c r="S19" s="125" t="s">
        <v>208</v>
      </c>
      <c r="T19" t="s">
        <v>23</v>
      </c>
      <c r="U19" t="s">
        <v>26</v>
      </c>
      <c r="V19" s="118" t="s">
        <v>227</v>
      </c>
      <c r="W19" s="126" t="s">
        <v>208</v>
      </c>
      <c r="X19" s="93">
        <f t="shared" si="1"/>
        <v>17</v>
      </c>
      <c r="Y19" t="e">
        <f ca="1">+_xlfn.CONCAT("2_",TEXT(Conceptos_Analítica_contraloría[[#This Row], [consecutivo_concepto]],"00"))</f>
        <v>#NAME?</v>
      </c>
      <c r="AA19" t="s">
        <v>146</v>
      </c>
      <c r="AB19" t="s">
        <v>20</v>
      </c>
      <c r="AC19" t="s">
        <v>21</v>
      </c>
      <c r="AD19" t="s">
        <v>227</v>
      </c>
      <c r="AE19" t="s">
        <v>260</v>
      </c>
      <c r="AF19" s="93">
        <f t="shared" si="2"/>
        <v>17</v>
      </c>
      <c r="AG19" t="e">
        <f ca="1">+_xlfn.CONCAT("3_",TEXT(Conceptos_Contabilidad[[#This Row], [consecutivo_concepto]],"00"))</f>
        <v>#NAME?</v>
      </c>
    </row>
    <row r="20" spans="7:41" ht="18.75" customHeight="1" x14ac:dyDescent="0.45">
      <c r="G20" s="14" t="s">
        <v>57</v>
      </c>
      <c r="H20" t="s">
        <v>23</v>
      </c>
      <c r="I20" t="s">
        <v>26</v>
      </c>
      <c r="J20" s="118" t="s">
        <v>227</v>
      </c>
      <c r="K20" t="s">
        <v>271</v>
      </c>
      <c r="L20" s="93">
        <f t="shared" si="0"/>
        <v>18</v>
      </c>
      <c r="M20" t="e">
        <f ca="1">+_xlfn.CONCAT("1_",TEXT(Conceptos_Administrativa[[#This Row], [consecutivo_concepto]],"00"))</f>
        <v>#NAME?</v>
      </c>
      <c r="Q20" s="119" t="s">
        <v>274</v>
      </c>
      <c r="S20" s="125" t="s">
        <v>207</v>
      </c>
      <c r="T20" t="s">
        <v>23</v>
      </c>
      <c r="U20" t="s">
        <v>26</v>
      </c>
      <c r="V20" s="118" t="s">
        <v>227</v>
      </c>
      <c r="W20" s="126" t="s">
        <v>207</v>
      </c>
      <c r="X20" s="93">
        <f t="shared" si="1"/>
        <v>18</v>
      </c>
      <c r="Y20" t="e">
        <f ca="1">+_xlfn.CONCAT("2_",TEXT(Conceptos_Analítica_contraloría[[#This Row], [consecutivo_concepto]],"00"))</f>
        <v>#NAME?</v>
      </c>
      <c r="AA20" t="s">
        <v>135</v>
      </c>
      <c r="AB20" t="s">
        <v>20</v>
      </c>
      <c r="AC20" t="s">
        <v>21</v>
      </c>
      <c r="AD20" t="s">
        <v>227</v>
      </c>
      <c r="AE20" t="s">
        <v>260</v>
      </c>
      <c r="AF20" s="93">
        <f t="shared" si="2"/>
        <v>18</v>
      </c>
      <c r="AG20" t="e">
        <f ca="1">+_xlfn.CONCAT("3_",TEXT(Conceptos_Contabilidad[[#This Row], [consecutivo_concepto]],"00"))</f>
        <v>#NAME?</v>
      </c>
    </row>
    <row r="21" spans="7:41" ht="18.75" customHeight="1" x14ac:dyDescent="0.45">
      <c r="G21" s="6" t="s">
        <v>28</v>
      </c>
      <c r="H21" t="s">
        <v>20</v>
      </c>
      <c r="I21" t="s">
        <v>21</v>
      </c>
      <c r="J21" s="118" t="s">
        <v>227</v>
      </c>
      <c r="K21" t="s">
        <v>275</v>
      </c>
      <c r="L21" s="93">
        <f t="shared" si="0"/>
        <v>19</v>
      </c>
      <c r="M21" t="e">
        <f ca="1">+_xlfn.CONCAT("1_",TEXT(Conceptos_Administrativa[[#This Row], [consecutivo_concepto]],"00"))</f>
        <v>#NAME?</v>
      </c>
      <c r="Q21" s="119" t="s">
        <v>276</v>
      </c>
      <c r="AA21" s="118" t="s">
        <v>102</v>
      </c>
      <c r="AB21" t="s">
        <v>23</v>
      </c>
      <c r="AC21" t="s">
        <v>26</v>
      </c>
      <c r="AD21" t="s">
        <v>229</v>
      </c>
      <c r="AE21" s="120" t="s">
        <v>102</v>
      </c>
      <c r="AF21" s="93">
        <f t="shared" si="2"/>
        <v>19</v>
      </c>
      <c r="AG21" t="e">
        <f ca="1">+_xlfn.CONCAT("3_",TEXT(Conceptos_Contabilidad[[#This Row], [consecutivo_concepto]],"00"))</f>
        <v>#NAME?</v>
      </c>
    </row>
    <row r="22" spans="7:41" ht="18.75" customHeight="1" x14ac:dyDescent="0.45">
      <c r="G22" s="14" t="s">
        <v>211</v>
      </c>
      <c r="H22" t="s">
        <v>23</v>
      </c>
      <c r="I22" t="s">
        <v>26</v>
      </c>
      <c r="J22" s="118" t="s">
        <v>227</v>
      </c>
      <c r="K22" t="s">
        <v>277</v>
      </c>
      <c r="L22" s="93">
        <f t="shared" si="0"/>
        <v>20</v>
      </c>
      <c r="M22" t="e">
        <f ca="1">+_xlfn.CONCAT("1_",TEXT(Conceptos_Administrativa[[#This Row], [consecutivo_concepto]],"00"))</f>
        <v>#NAME?</v>
      </c>
      <c r="Q22" s="119" t="s">
        <v>278</v>
      </c>
      <c r="AA22" s="118" t="s">
        <v>137</v>
      </c>
      <c r="AB22" t="s">
        <v>23</v>
      </c>
      <c r="AC22" t="s">
        <v>26</v>
      </c>
      <c r="AD22" t="s">
        <v>229</v>
      </c>
      <c r="AE22" s="120" t="s">
        <v>137</v>
      </c>
      <c r="AF22" s="93">
        <f t="shared" si="2"/>
        <v>20</v>
      </c>
      <c r="AG22" t="e">
        <f ca="1">+_xlfn.CONCAT("3_",TEXT(Conceptos_Contabilidad[[#This Row], [consecutivo_concepto]],"00"))</f>
        <v>#NAME?</v>
      </c>
    </row>
    <row r="23" spans="7:41" ht="18.75" customHeight="1" x14ac:dyDescent="0.45">
      <c r="G23" s="6" t="s">
        <v>29</v>
      </c>
      <c r="H23" t="s">
        <v>20</v>
      </c>
      <c r="I23" t="s">
        <v>21</v>
      </c>
      <c r="J23" s="118" t="s">
        <v>227</v>
      </c>
      <c r="K23" t="s">
        <v>279</v>
      </c>
      <c r="L23" s="93">
        <f t="shared" si="0"/>
        <v>21</v>
      </c>
      <c r="M23" t="e">
        <f ca="1">+_xlfn.CONCAT("1_",TEXT(Conceptos_Administrativa[[#This Row], [consecutivo_concepto]],"00"))</f>
        <v>#NAME?</v>
      </c>
      <c r="Q23" s="119" t="s">
        <v>280</v>
      </c>
      <c r="AA23" t="s">
        <v>192</v>
      </c>
      <c r="AB23" t="s">
        <v>23</v>
      </c>
      <c r="AC23" t="s">
        <v>26</v>
      </c>
      <c r="AD23" t="s">
        <v>227</v>
      </c>
      <c r="AE23" t="s">
        <v>192</v>
      </c>
      <c r="AF23" s="93">
        <f t="shared" si="2"/>
        <v>21</v>
      </c>
      <c r="AG23" t="e">
        <f ca="1">+_xlfn.CONCAT("3_",TEXT(Conceptos_Contabilidad[[#This Row], [consecutivo_concepto]],"00"))</f>
        <v>#NAME?</v>
      </c>
    </row>
    <row r="24" spans="7:41" ht="18.75" customHeight="1" x14ac:dyDescent="0.45">
      <c r="G24" s="14" t="s">
        <v>30</v>
      </c>
      <c r="H24" t="s">
        <v>20</v>
      </c>
      <c r="I24" t="s">
        <v>21</v>
      </c>
      <c r="J24" s="118" t="s">
        <v>227</v>
      </c>
      <c r="K24" t="s">
        <v>281</v>
      </c>
      <c r="L24" s="93">
        <f t="shared" si="0"/>
        <v>22</v>
      </c>
      <c r="M24" t="e">
        <f ca="1">+_xlfn.CONCAT("1_",TEXT(Conceptos_Administrativa[[#This Row], [consecutivo_concepto]],"00"))</f>
        <v>#NAME?</v>
      </c>
      <c r="Q24" s="119" t="s">
        <v>282</v>
      </c>
      <c r="AA24" t="s">
        <v>193</v>
      </c>
      <c r="AB24" t="s">
        <v>23</v>
      </c>
      <c r="AC24" t="s">
        <v>26</v>
      </c>
      <c r="AD24" t="s">
        <v>227</v>
      </c>
      <c r="AE24" t="s">
        <v>193</v>
      </c>
      <c r="AF24" s="93">
        <f t="shared" si="2"/>
        <v>22</v>
      </c>
      <c r="AG24" t="e">
        <f ca="1">+_xlfn.CONCAT("3_",TEXT(Conceptos_Contabilidad[[#This Row], [consecutivo_concepto]],"00"))</f>
        <v>#NAME?</v>
      </c>
    </row>
    <row r="25" spans="7:41" ht="18.75" customHeight="1" x14ac:dyDescent="0.45">
      <c r="G25" s="6" t="s">
        <v>212</v>
      </c>
      <c r="H25" t="s">
        <v>23</v>
      </c>
      <c r="I25" t="s">
        <v>26</v>
      </c>
      <c r="J25" s="118" t="s">
        <v>227</v>
      </c>
      <c r="K25" t="s">
        <v>212</v>
      </c>
      <c r="L25" s="93">
        <f t="shared" si="0"/>
        <v>23</v>
      </c>
      <c r="M25" t="e">
        <f ca="1">+_xlfn.CONCAT("1_",TEXT(Conceptos_Administrativa[[#This Row], [consecutivo_concepto]],"00"))</f>
        <v>#NAME?</v>
      </c>
      <c r="Q25" s="119" t="s">
        <v>202</v>
      </c>
      <c r="AA25" t="s">
        <v>194</v>
      </c>
      <c r="AB25" t="s">
        <v>23</v>
      </c>
      <c r="AC25" t="s">
        <v>26</v>
      </c>
      <c r="AD25" t="s">
        <v>227</v>
      </c>
      <c r="AE25" t="s">
        <v>194</v>
      </c>
      <c r="AF25" s="93">
        <f t="shared" si="2"/>
        <v>23</v>
      </c>
      <c r="AG25" t="e">
        <f ca="1">+_xlfn.CONCAT("3_",TEXT(Conceptos_Contabilidad[[#This Row], [consecutivo_concepto]],"00"))</f>
        <v>#NAME?</v>
      </c>
    </row>
    <row r="26" spans="7:41" ht="18.75" customHeight="1" x14ac:dyDescent="0.45">
      <c r="G26" s="14" t="s">
        <v>213</v>
      </c>
      <c r="H26" t="s">
        <v>23</v>
      </c>
      <c r="I26" t="s">
        <v>26</v>
      </c>
      <c r="J26" s="118" t="s">
        <v>227</v>
      </c>
      <c r="K26" t="s">
        <v>213</v>
      </c>
      <c r="L26" s="93">
        <f t="shared" si="0"/>
        <v>24</v>
      </c>
      <c r="M26" t="e">
        <f ca="1">+_xlfn.CONCAT("1_",TEXT(Conceptos_Administrativa[[#This Row], [consecutivo_concepto]],"00"))</f>
        <v>#NAME?</v>
      </c>
      <c r="Q26" s="119" t="s">
        <v>283</v>
      </c>
      <c r="AA26" t="s">
        <v>195</v>
      </c>
      <c r="AB26" t="s">
        <v>23</v>
      </c>
      <c r="AC26" t="s">
        <v>26</v>
      </c>
      <c r="AD26" t="s">
        <v>227</v>
      </c>
      <c r="AE26" t="s">
        <v>195</v>
      </c>
      <c r="AF26" s="93">
        <f t="shared" si="2"/>
        <v>24</v>
      </c>
      <c r="AG26" t="e">
        <f ca="1">+_xlfn.CONCAT("3_",TEXT(Conceptos_Contabilidad[[#This Row], [consecutivo_concepto]],"00"))</f>
        <v>#NAME?</v>
      </c>
    </row>
    <row r="27" spans="7:41" ht="18.75" customHeight="1" x14ac:dyDescent="0.45">
      <c r="G27" s="6" t="s">
        <v>214</v>
      </c>
      <c r="H27" t="s">
        <v>23</v>
      </c>
      <c r="I27" t="s">
        <v>26</v>
      </c>
      <c r="J27" s="118" t="s">
        <v>227</v>
      </c>
      <c r="K27" t="s">
        <v>214</v>
      </c>
      <c r="L27" s="93">
        <f t="shared" si="0"/>
        <v>25</v>
      </c>
      <c r="M27" t="e">
        <f ca="1">+_xlfn.CONCAT("1_",TEXT(Conceptos_Administrativa[[#This Row], [consecutivo_concepto]],"00"))</f>
        <v>#NAME?</v>
      </c>
      <c r="Q27" s="119" t="s">
        <v>284</v>
      </c>
      <c r="AA27" t="s">
        <v>196</v>
      </c>
      <c r="AB27" t="s">
        <v>23</v>
      </c>
      <c r="AC27" t="s">
        <v>26</v>
      </c>
      <c r="AD27" t="s">
        <v>227</v>
      </c>
      <c r="AE27" t="s">
        <v>196</v>
      </c>
      <c r="AF27" s="93">
        <f t="shared" si="2"/>
        <v>25</v>
      </c>
      <c r="AG27" t="e">
        <f ca="1">+_xlfn.CONCAT("3_",TEXT(Conceptos_Contabilidad[[#This Row], [consecutivo_concepto]],"00"))</f>
        <v>#NAME?</v>
      </c>
    </row>
    <row r="28" spans="7:41" ht="18.75" customHeight="1" x14ac:dyDescent="0.45">
      <c r="G28" s="127" t="s">
        <v>285</v>
      </c>
      <c r="H28" t="s">
        <v>23</v>
      </c>
      <c r="I28" t="s">
        <v>35</v>
      </c>
      <c r="J28" t="s">
        <v>229</v>
      </c>
      <c r="K28" s="127" t="s">
        <v>285</v>
      </c>
      <c r="L28" s="93">
        <f t="shared" si="0"/>
        <v>26</v>
      </c>
      <c r="M28" t="e">
        <f ca="1">+_xlfn.CONCAT("1_",TEXT(Conceptos_Administrativa[[#This Row], [consecutivo_concepto]],"00"))</f>
        <v>#NAME?</v>
      </c>
      <c r="Q28" s="119" t="s">
        <v>286</v>
      </c>
      <c r="AA28" t="s">
        <v>197</v>
      </c>
      <c r="AB28" t="s">
        <v>23</v>
      </c>
      <c r="AC28" t="s">
        <v>26</v>
      </c>
      <c r="AD28" t="s">
        <v>227</v>
      </c>
      <c r="AE28" t="s">
        <v>197</v>
      </c>
      <c r="AF28" s="93">
        <f t="shared" si="2"/>
        <v>26</v>
      </c>
      <c r="AG28" t="e">
        <f ca="1">+_xlfn.CONCAT("3_",TEXT(Conceptos_Contabilidad[[#This Row], [consecutivo_concepto]],"00"))</f>
        <v>#NAME?</v>
      </c>
    </row>
    <row r="29" spans="7:41" ht="18.75" customHeight="1" x14ac:dyDescent="0.45">
      <c r="Q29" s="119" t="s">
        <v>287</v>
      </c>
      <c r="AA29" t="s">
        <v>198</v>
      </c>
      <c r="AB29" t="s">
        <v>23</v>
      </c>
      <c r="AC29" t="s">
        <v>26</v>
      </c>
      <c r="AD29" t="s">
        <v>227</v>
      </c>
      <c r="AE29" t="s">
        <v>198</v>
      </c>
      <c r="AF29" s="93">
        <f t="shared" si="2"/>
        <v>27</v>
      </c>
      <c r="AG29" t="e">
        <f ca="1">+_xlfn.CONCAT("3_",TEXT(Conceptos_Contabilidad[[#This Row], [consecutivo_concepto]],"00"))</f>
        <v>#NAME?</v>
      </c>
    </row>
    <row r="30" spans="7:41" ht="18.75" customHeight="1" x14ac:dyDescent="0.45">
      <c r="Q30" s="119" t="s">
        <v>288</v>
      </c>
      <c r="AA30" t="s">
        <v>199</v>
      </c>
      <c r="AB30" t="s">
        <v>23</v>
      </c>
      <c r="AC30" t="s">
        <v>26</v>
      </c>
      <c r="AD30" t="s">
        <v>227</v>
      </c>
      <c r="AE30" t="s">
        <v>199</v>
      </c>
      <c r="AF30" s="93">
        <f t="shared" si="2"/>
        <v>28</v>
      </c>
      <c r="AG30" t="e">
        <f ca="1">+_xlfn.CONCAT("3_",TEXT(Conceptos_Contabilidad[[#This Row], [consecutivo_concepto]],"00"))</f>
        <v>#NAME?</v>
      </c>
    </row>
    <row r="31" spans="7:41" ht="18.75" customHeight="1" x14ac:dyDescent="0.45">
      <c r="Q31" s="119" t="s">
        <v>289</v>
      </c>
      <c r="AA31" t="s">
        <v>200</v>
      </c>
      <c r="AB31" t="s">
        <v>23</v>
      </c>
      <c r="AC31" t="s">
        <v>26</v>
      </c>
      <c r="AD31" t="s">
        <v>227</v>
      </c>
      <c r="AE31" t="s">
        <v>200</v>
      </c>
      <c r="AF31" s="93">
        <f t="shared" si="2"/>
        <v>29</v>
      </c>
      <c r="AG31" t="e">
        <f ca="1">+_xlfn.CONCAT("3_",TEXT(Conceptos_Contabilidad[[#This Row], [consecutivo_concepto]],"00"))</f>
        <v>#NAME?</v>
      </c>
    </row>
    <row r="32" spans="7:41" ht="18.75" customHeight="1" x14ac:dyDescent="0.45">
      <c r="Q32" s="119" t="s">
        <v>290</v>
      </c>
    </row>
    <row r="33" spans="17:17" ht="18.75" customHeight="1" x14ac:dyDescent="0.45">
      <c r="Q33" s="119" t="s">
        <v>291</v>
      </c>
    </row>
    <row r="34" spans="17:17" ht="18.75" customHeight="1" x14ac:dyDescent="0.45">
      <c r="Q34" s="119" t="s">
        <v>292</v>
      </c>
    </row>
    <row r="35" spans="17:17" ht="18.75" customHeight="1" x14ac:dyDescent="0.45">
      <c r="Q35" s="119" t="s">
        <v>293</v>
      </c>
    </row>
    <row r="36" spans="17:17" ht="18.75" customHeight="1" x14ac:dyDescent="0.45">
      <c r="Q36" s="119" t="s">
        <v>294</v>
      </c>
    </row>
    <row r="37" spans="17:17" ht="18.75" customHeight="1" x14ac:dyDescent="0.45">
      <c r="Q37" s="119" t="s">
        <v>295</v>
      </c>
    </row>
    <row r="38" spans="17:17" ht="18.75" customHeight="1" x14ac:dyDescent="0.45">
      <c r="Q38" s="119" t="s">
        <v>296</v>
      </c>
    </row>
    <row r="39" spans="17:17" ht="18.75" customHeight="1" x14ac:dyDescent="0.45">
      <c r="Q39" s="119" t="s">
        <v>297</v>
      </c>
    </row>
    <row r="40" spans="17:17" ht="18.75" customHeight="1" x14ac:dyDescent="0.45">
      <c r="Q40" s="119" t="s">
        <v>298</v>
      </c>
    </row>
    <row r="41" spans="17:17" ht="18.75" customHeight="1" x14ac:dyDescent="0.45">
      <c r="Q41" s="119" t="s">
        <v>299</v>
      </c>
    </row>
    <row r="42" spans="17:17" ht="18.75" customHeight="1" x14ac:dyDescent="0.45">
      <c r="Q42" s="119" t="s">
        <v>300</v>
      </c>
    </row>
    <row r="43" spans="17:17" ht="18.75" customHeight="1" x14ac:dyDescent="0.45">
      <c r="Q43" s="119" t="s">
        <v>301</v>
      </c>
    </row>
    <row r="44" spans="17:17" ht="18.75" customHeight="1" x14ac:dyDescent="0.45">
      <c r="Q44" s="119" t="s">
        <v>302</v>
      </c>
    </row>
    <row r="45" spans="17:17" ht="18.75" customHeight="1" x14ac:dyDescent="0.45">
      <c r="Q45" s="119" t="s">
        <v>303</v>
      </c>
    </row>
    <row r="46" spans="17:17" ht="18.75" customHeight="1" x14ac:dyDescent="0.45">
      <c r="Q46" s="119" t="s">
        <v>304</v>
      </c>
    </row>
    <row r="47" spans="17:17" ht="18.75" customHeight="1" x14ac:dyDescent="0.45">
      <c r="Q47" s="119" t="s">
        <v>305</v>
      </c>
    </row>
    <row r="48" spans="17:17" ht="18.75" customHeight="1" x14ac:dyDescent="0.45">
      <c r="Q48" s="119" t="s">
        <v>306</v>
      </c>
    </row>
    <row r="49" spans="17:17" ht="18.75" customHeight="1" x14ac:dyDescent="0.45">
      <c r="Q49" s="119" t="s">
        <v>307</v>
      </c>
    </row>
    <row r="50" spans="17:17" ht="18.75" customHeight="1" x14ac:dyDescent="0.45">
      <c r="Q50" s="119" t="s">
        <v>308</v>
      </c>
    </row>
    <row r="51" spans="17:17" ht="18.75" customHeight="1" x14ac:dyDescent="0.45">
      <c r="Q51" s="119" t="s">
        <v>309</v>
      </c>
    </row>
    <row r="52" spans="17:17" ht="18.75" customHeight="1" x14ac:dyDescent="0.45">
      <c r="Q52" s="119" t="s">
        <v>310</v>
      </c>
    </row>
    <row r="53" spans="17:17" ht="18.75" customHeight="1" x14ac:dyDescent="0.45">
      <c r="Q53" s="119" t="s">
        <v>311</v>
      </c>
    </row>
    <row r="54" spans="17:17" ht="18.75" customHeight="1" x14ac:dyDescent="0.45">
      <c r="Q54" s="119" t="s">
        <v>312</v>
      </c>
    </row>
    <row r="55" spans="17:17" ht="18.75" customHeight="1" x14ac:dyDescent="0.45">
      <c r="Q55" s="119" t="s">
        <v>313</v>
      </c>
    </row>
    <row r="56" spans="17:17" ht="18.75" customHeight="1" x14ac:dyDescent="0.45">
      <c r="Q56" s="119" t="s">
        <v>314</v>
      </c>
    </row>
    <row r="57" spans="17:17" ht="18.75" customHeight="1" x14ac:dyDescent="0.45">
      <c r="Q57" s="119" t="s">
        <v>315</v>
      </c>
    </row>
    <row r="58" spans="17:17" ht="18.75" customHeight="1" x14ac:dyDescent="0.45">
      <c r="Q58" s="119" t="s">
        <v>316</v>
      </c>
    </row>
    <row r="59" spans="17:17" ht="18.75" customHeight="1" x14ac:dyDescent="0.45">
      <c r="Q59" s="119" t="s">
        <v>317</v>
      </c>
    </row>
    <row r="60" spans="17:17" ht="18.75" customHeight="1" x14ac:dyDescent="0.45">
      <c r="Q60" s="119" t="s">
        <v>318</v>
      </c>
    </row>
    <row r="61" spans="17:17" ht="18.75" customHeight="1" x14ac:dyDescent="0.45">
      <c r="Q61" s="119" t="s">
        <v>319</v>
      </c>
    </row>
    <row r="62" spans="17:17" ht="18.75" customHeight="1" x14ac:dyDescent="0.45">
      <c r="Q62" s="119" t="s">
        <v>320</v>
      </c>
    </row>
    <row r="63" spans="17:17" ht="18.75" customHeight="1" x14ac:dyDescent="0.45">
      <c r="Q63" s="119" t="s">
        <v>321</v>
      </c>
    </row>
    <row r="64" spans="17:17" ht="18.75" customHeight="1" x14ac:dyDescent="0.45">
      <c r="Q64" s="119" t="s">
        <v>322</v>
      </c>
    </row>
    <row r="65" spans="17:17" ht="18.75" customHeight="1" x14ac:dyDescent="0.45">
      <c r="Q65" s="119" t="s">
        <v>323</v>
      </c>
    </row>
    <row r="66" spans="17:17" ht="18.75" customHeight="1" x14ac:dyDescent="0.45">
      <c r="Q66" s="119" t="s">
        <v>324</v>
      </c>
    </row>
    <row r="67" spans="17:17" ht="18.75" customHeight="1" x14ac:dyDescent="0.45">
      <c r="Q67" s="119" t="s">
        <v>325</v>
      </c>
    </row>
    <row r="68" spans="17:17" ht="18.75" customHeight="1" x14ac:dyDescent="0.45">
      <c r="Q68" s="119" t="s">
        <v>326</v>
      </c>
    </row>
    <row r="69" spans="17:17" ht="18.75" customHeight="1" x14ac:dyDescent="0.45">
      <c r="Q69" s="119" t="s">
        <v>327</v>
      </c>
    </row>
    <row r="70" spans="17:17" ht="18.75" customHeight="1" x14ac:dyDescent="0.45">
      <c r="Q70" s="119" t="s">
        <v>328</v>
      </c>
    </row>
    <row r="71" spans="17:17" ht="18.75" customHeight="1" x14ac:dyDescent="0.45">
      <c r="Q71" s="119" t="s">
        <v>329</v>
      </c>
    </row>
    <row r="72" spans="17:17" ht="18.75" customHeight="1" x14ac:dyDescent="0.45">
      <c r="Q72" s="119" t="s">
        <v>330</v>
      </c>
    </row>
    <row r="73" spans="17:17" ht="18.75" customHeight="1" x14ac:dyDescent="0.45">
      <c r="Q73" s="119" t="s">
        <v>331</v>
      </c>
    </row>
    <row r="74" spans="17:17" ht="18.75" customHeight="1" x14ac:dyDescent="0.45">
      <c r="Q74" s="119" t="s">
        <v>332</v>
      </c>
    </row>
    <row r="75" spans="17:17" ht="18.75" customHeight="1" x14ac:dyDescent="0.45">
      <c r="Q75" s="119" t="s">
        <v>333</v>
      </c>
    </row>
    <row r="76" spans="17:17" ht="18.75" customHeight="1" x14ac:dyDescent="0.45">
      <c r="Q76" s="119" t="s">
        <v>334</v>
      </c>
    </row>
    <row r="77" spans="17:17" ht="18.75" customHeight="1" x14ac:dyDescent="0.45">
      <c r="Q77" s="119" t="s">
        <v>335</v>
      </c>
    </row>
    <row r="78" spans="17:17" ht="18.75" customHeight="1" x14ac:dyDescent="0.45">
      <c r="Q78" s="119" t="s">
        <v>336</v>
      </c>
    </row>
    <row r="79" spans="17:17" ht="18.75" customHeight="1" x14ac:dyDescent="0.45">
      <c r="Q79" s="119" t="s">
        <v>337</v>
      </c>
    </row>
    <row r="80" spans="17:17" ht="18.75" customHeight="1" x14ac:dyDescent="0.45">
      <c r="Q80" s="119" t="s">
        <v>338</v>
      </c>
    </row>
    <row r="81" spans="17:17" ht="18.75" customHeight="1" x14ac:dyDescent="0.45">
      <c r="Q81" s="119" t="s">
        <v>339</v>
      </c>
    </row>
    <row r="82" spans="17:17" ht="18.75" customHeight="1" x14ac:dyDescent="0.45">
      <c r="Q82" s="119" t="s">
        <v>340</v>
      </c>
    </row>
    <row r="83" spans="17:17" ht="18.75" customHeight="1" x14ac:dyDescent="0.45">
      <c r="Q83" s="119" t="s">
        <v>341</v>
      </c>
    </row>
    <row r="84" spans="17:17" ht="18.75" customHeight="1" x14ac:dyDescent="0.45">
      <c r="Q84" s="119" t="s">
        <v>342</v>
      </c>
    </row>
    <row r="85" spans="17:17" ht="18.75" customHeight="1" x14ac:dyDescent="0.45">
      <c r="Q85" s="119" t="s">
        <v>343</v>
      </c>
    </row>
    <row r="86" spans="17:17" ht="18.75" customHeight="1" x14ac:dyDescent="0.45">
      <c r="Q86" s="119" t="s">
        <v>344</v>
      </c>
    </row>
    <row r="87" spans="17:17" ht="18.75" customHeight="1" x14ac:dyDescent="0.45">
      <c r="Q87" s="119" t="s">
        <v>345</v>
      </c>
    </row>
    <row r="88" spans="17:17" ht="18.75" customHeight="1" x14ac:dyDescent="0.45">
      <c r="Q88" s="119" t="s">
        <v>346</v>
      </c>
    </row>
    <row r="89" spans="17:17" ht="18.75" customHeight="1" x14ac:dyDescent="0.45">
      <c r="Q89" s="119" t="s">
        <v>347</v>
      </c>
    </row>
    <row r="90" spans="17:17" ht="18.75" customHeight="1" x14ac:dyDescent="0.45">
      <c r="Q90" s="119" t="s">
        <v>348</v>
      </c>
    </row>
    <row r="91" spans="17:17" ht="18.75" customHeight="1" x14ac:dyDescent="0.45">
      <c r="Q91" s="119" t="s">
        <v>349</v>
      </c>
    </row>
    <row r="92" spans="17:17" ht="18.75" customHeight="1" x14ac:dyDescent="0.45">
      <c r="Q92" s="119" t="s">
        <v>350</v>
      </c>
    </row>
    <row r="93" spans="17:17" ht="18.75" customHeight="1" x14ac:dyDescent="0.45">
      <c r="Q93" s="119" t="s">
        <v>351</v>
      </c>
    </row>
    <row r="94" spans="17:17" ht="18.75" customHeight="1" x14ac:dyDescent="0.45">
      <c r="Q94" s="119" t="s">
        <v>352</v>
      </c>
    </row>
    <row r="95" spans="17:17" ht="18.75" customHeight="1" x14ac:dyDescent="0.45">
      <c r="Q95" s="119" t="s">
        <v>353</v>
      </c>
    </row>
    <row r="96" spans="17:17" ht="18.75" customHeight="1" x14ac:dyDescent="0.45">
      <c r="Q96" s="119" t="s">
        <v>354</v>
      </c>
    </row>
    <row r="97" spans="17:17" ht="18.75" customHeight="1" x14ac:dyDescent="0.45">
      <c r="Q97" s="119" t="s">
        <v>355</v>
      </c>
    </row>
    <row r="98" spans="17:17" ht="18.75" customHeight="1" x14ac:dyDescent="0.45">
      <c r="Q98" s="119" t="s">
        <v>356</v>
      </c>
    </row>
    <row r="99" spans="17:17" ht="18.75" customHeight="1" x14ac:dyDescent="0.45">
      <c r="Q99" s="119" t="s">
        <v>357</v>
      </c>
    </row>
    <row r="100" spans="17:17" ht="18.75" customHeight="1" x14ac:dyDescent="0.45">
      <c r="Q100" s="119" t="s">
        <v>358</v>
      </c>
    </row>
    <row r="101" spans="17:17" ht="18.75" customHeight="1" x14ac:dyDescent="0.45">
      <c r="Q101" s="119" t="s">
        <v>359</v>
      </c>
    </row>
    <row r="102" spans="17:17" ht="18.75" customHeight="1" x14ac:dyDescent="0.45">
      <c r="Q102" s="119" t="s">
        <v>360</v>
      </c>
    </row>
    <row r="103" spans="17:17" ht="18.75" customHeight="1" x14ac:dyDescent="0.45">
      <c r="Q103" s="119" t="s">
        <v>361</v>
      </c>
    </row>
    <row r="104" spans="17:17" ht="18.75" customHeight="1" x14ac:dyDescent="0.45">
      <c r="Q104" s="119" t="s">
        <v>362</v>
      </c>
    </row>
    <row r="105" spans="17:17" ht="18.75" customHeight="1" x14ac:dyDescent="0.45">
      <c r="Q105" s="119" t="s">
        <v>363</v>
      </c>
    </row>
    <row r="106" spans="17:17" ht="18.75" customHeight="1" x14ac:dyDescent="0.45">
      <c r="Q106" s="119" t="s">
        <v>364</v>
      </c>
    </row>
    <row r="107" spans="17:17" ht="18.75" customHeight="1" x14ac:dyDescent="0.45">
      <c r="Q107" s="119" t="s">
        <v>365</v>
      </c>
    </row>
    <row r="108" spans="17:17" ht="18.75" customHeight="1" x14ac:dyDescent="0.45">
      <c r="Q108" s="119" t="s">
        <v>366</v>
      </c>
    </row>
    <row r="109" spans="17:17" ht="18.75" customHeight="1" x14ac:dyDescent="0.45">
      <c r="Q109" s="119" t="s">
        <v>367</v>
      </c>
    </row>
    <row r="110" spans="17:17" ht="18.75" customHeight="1" x14ac:dyDescent="0.45">
      <c r="Q110" s="119" t="s">
        <v>368</v>
      </c>
    </row>
    <row r="111" spans="17:17" ht="18.75" customHeight="1" x14ac:dyDescent="0.45">
      <c r="Q111" s="119" t="s">
        <v>369</v>
      </c>
    </row>
    <row r="112" spans="17:17" ht="18.75" customHeight="1" x14ac:dyDescent="0.45">
      <c r="Q112" s="119" t="s">
        <v>370</v>
      </c>
    </row>
    <row r="113" spans="17:17" ht="18.75" customHeight="1" x14ac:dyDescent="0.45">
      <c r="Q113" s="119" t="s">
        <v>371</v>
      </c>
    </row>
    <row r="114" spans="17:17" ht="18.75" customHeight="1" x14ac:dyDescent="0.45">
      <c r="Q114" s="119" t="s">
        <v>372</v>
      </c>
    </row>
    <row r="115" spans="17:17" ht="18.75" customHeight="1" x14ac:dyDescent="0.45">
      <c r="Q115" s="119" t="s">
        <v>373</v>
      </c>
    </row>
    <row r="116" spans="17:17" ht="18.75" customHeight="1" x14ac:dyDescent="0.45">
      <c r="Q116" s="119" t="s">
        <v>374</v>
      </c>
    </row>
    <row r="117" spans="17:17" ht="18.75" customHeight="1" x14ac:dyDescent="0.45">
      <c r="Q117" s="119" t="s">
        <v>375</v>
      </c>
    </row>
    <row r="118" spans="17:17" ht="18.75" customHeight="1" x14ac:dyDescent="0.45">
      <c r="Q118" s="119" t="s">
        <v>376</v>
      </c>
    </row>
    <row r="119" spans="17:17" ht="18.75" customHeight="1" x14ac:dyDescent="0.45">
      <c r="Q119" s="119" t="s">
        <v>377</v>
      </c>
    </row>
    <row r="120" spans="17:17" ht="18.75" customHeight="1" x14ac:dyDescent="0.45">
      <c r="Q120" s="119" t="s">
        <v>378</v>
      </c>
    </row>
    <row r="121" spans="17:17" ht="18.75" customHeight="1" x14ac:dyDescent="0.45">
      <c r="Q121" s="119" t="s">
        <v>379</v>
      </c>
    </row>
    <row r="122" spans="17:17" ht="18.75" customHeight="1" x14ac:dyDescent="0.45">
      <c r="Q122" s="119" t="s">
        <v>380</v>
      </c>
    </row>
    <row r="123" spans="17:17" ht="18.75" customHeight="1" x14ac:dyDescent="0.45">
      <c r="Q123" s="119" t="s">
        <v>381</v>
      </c>
    </row>
    <row r="124" spans="17:17" ht="18.75" customHeight="1" x14ac:dyDescent="0.45">
      <c r="Q124" s="119" t="s">
        <v>382</v>
      </c>
    </row>
    <row r="125" spans="17:17" ht="18.75" customHeight="1" x14ac:dyDescent="0.45">
      <c r="Q125" s="119" t="s">
        <v>172</v>
      </c>
    </row>
    <row r="126" spans="17:17" ht="18.75" customHeight="1" x14ac:dyDescent="0.35"/>
    <row r="127" spans="17:17" ht="18.75" customHeight="1" x14ac:dyDescent="0.35"/>
    <row r="128" spans="17:17" ht="18.75" customHeight="1" x14ac:dyDescent="0.35">
      <c r="Q128" s="128"/>
    </row>
    <row r="129" spans="17:17" ht="18.75" customHeight="1" x14ac:dyDescent="0.35">
      <c r="Q129" s="128"/>
    </row>
    <row r="130" spans="17:17" ht="18.75" customHeight="1" x14ac:dyDescent="0.35">
      <c r="Q130" s="128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8.54296875" style="87" bestFit="1" customWidth="1"/>
    <col min="2" max="2" width="10.453125" bestFit="1" customWidth="1"/>
    <col min="3" max="3" width="18" style="101" bestFit="1" customWidth="1"/>
    <col min="4" max="4" width="61.453125" bestFit="1" customWidth="1"/>
    <col min="5" max="5" width="38.81640625" bestFit="1" customWidth="1"/>
    <col min="6" max="6" width="15.54296875" bestFit="1" customWidth="1"/>
    <col min="7" max="7" width="16.81640625" bestFit="1" customWidth="1"/>
    <col min="8" max="8" width="11.1796875" bestFit="1" customWidth="1"/>
    <col min="9" max="9" width="10" bestFit="1" customWidth="1"/>
    <col min="10" max="10" width="11.453125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IF(OR(Fact_Administrativa[[#This Row], [Año]]="",Fact_Administrativa[[#This Row], [Mes]]=""),"",DATE(A2,MATCH(B2,{"enero","febrero","marzo","abril","mayo","junio","julio","agosto","septiembre","octubre","noviembre","diciembre"},0)+1,0))</f>
        <v>45322</v>
      </c>
      <c r="D2" t="s">
        <v>27</v>
      </c>
      <c r="E2" t="str">
        <f>+IFERROR(VLOOKUP(Fact_Administrativa[[#This Row], [Concepto Anterior]],Conceptos_Administrativa[#All],5,0),"")</f>
        <v>Ahorro energía</v>
      </c>
      <c r="F2" t="str">
        <f ca="1">+IFERROR(VLOOKUP(Fact_Administrativa[[#This Row], [Concepto Anterior]],Conceptos_Administrativa[#All],7,0),"")</f>
        <v/>
      </c>
      <c r="G2" t="s">
        <v>172</v>
      </c>
      <c r="H2" t="s">
        <v>172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93">
        <v>23858082</v>
      </c>
    </row>
    <row r="3" spans="1:11" ht="18.75" customHeight="1" x14ac:dyDescent="0.35">
      <c r="A3" s="93">
        <v>2024</v>
      </c>
      <c r="B3" t="s">
        <v>171</v>
      </c>
      <c r="C3" s="100">
        <f>IF(OR(Fact_Administrativa[[#This Row], [Año]]="",Fact_Administrativa[[#This Row], [Mes]]=""),"",DATE(A3,MATCH(B3,{"enero","febrero","marzo","abril","mayo","junio","julio","agosto","septiembre","octubre","noviembre","diciembre"},0)+1,0))</f>
        <v>45322</v>
      </c>
      <c r="D3" t="s">
        <v>19</v>
      </c>
      <c r="E3" t="str">
        <f>+IFERROR(VLOOKUP(Fact_Administrativa[[#This Row], [Concepto Anterior]],Conceptos_Administrativa[#All],5,0),"")</f>
        <v>Aporte fundación</v>
      </c>
      <c r="F3" t="str">
        <f ca="1">+IFERROR(VLOOKUP(Fact_Administrativa[[#This Row], [Concepto Anterior]],Conceptos_Administrativa[#All],7,0),"")</f>
        <v/>
      </c>
      <c r="G3" t="s">
        <v>172</v>
      </c>
      <c r="H3" t="s">
        <v>172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93">
        <v>16083870</v>
      </c>
    </row>
    <row r="4" spans="1:11" ht="18.75" customHeight="1" x14ac:dyDescent="0.35">
      <c r="A4" s="93">
        <v>2024</v>
      </c>
      <c r="B4" t="s">
        <v>171</v>
      </c>
      <c r="C4" s="100">
        <f>IF(OR(Fact_Administrativa[[#This Row], [Año]]="",Fact_Administrativa[[#This Row], [Mes]]=""),"",DATE(A4,MATCH(B4,{"enero","febrero","marzo","abril","mayo","junio","julio","agosto","septiembre","octubre","noviembre","diciembre"},0)+1,0))</f>
        <v>45322</v>
      </c>
      <c r="D4" t="s">
        <v>39</v>
      </c>
      <c r="E4" t="str">
        <f>+IFERROR(VLOOKUP(Fact_Administrativa[[#This Row], [Concepto Anterior]],Conceptos_Administrativa[#All],5,0),"")</f>
        <v>Cantidad de tiendas remodeladas</v>
      </c>
      <c r="F4" t="str">
        <f ca="1">+IFERROR(VLOOKUP(Fact_Administrativa[[#This Row], [Concepto Anterior]],Conceptos_Administrativa[#All],7,0),"")</f>
        <v/>
      </c>
      <c r="G4" t="s">
        <v>172</v>
      </c>
      <c r="H4" t="s">
        <v>172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IF(OR(Fact_Administrativa[[#This Row], [Año]]="",Fact_Administrativa[[#This Row], [Mes]]=""),"",DATE(A5,MATCH(B5,{"enero","febrero","marzo","abril","mayo","junio","julio","agosto","septiembre","octubre","noviembre","diciembre"},0)+1,0))</f>
        <v>45322</v>
      </c>
      <c r="D5" t="s">
        <v>40</v>
      </c>
      <c r="E5" t="str">
        <f>+IFERROR(VLOOKUP(Fact_Administrativa[[#This Row], [Concepto Anterior]],Conceptos_Administrativa[#All],5,0),"")</f>
        <v xml:space="preserve">Contratos de arrendamientos </v>
      </c>
      <c r="F5" t="str">
        <f ca="1">+IFERROR(VLOOKUP(Fact_Administrativa[[#This Row], [Concepto Anterior]],Conceptos_Administrativa[#All],7,0),"")</f>
        <v/>
      </c>
      <c r="G5" t="s">
        <v>172</v>
      </c>
      <c r="H5" t="s">
        <v>172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IF(OR(Fact_Administrativa[[#This Row], [Año]]="",Fact_Administrativa[[#This Row], [Mes]]=""),"",DATE(A6,MATCH(B6,{"enero","febrero","marzo","abril","mayo","junio","julio","agosto","septiembre","octubre","noviembre","diciembre"},0)+1,0))</f>
        <v>45322</v>
      </c>
      <c r="D6" t="s">
        <v>25</v>
      </c>
      <c r="E6" t="str">
        <f>+IFERROR(VLOOKUP(Fact_Administrativa[[#This Row], [Concepto Anterior]],Conceptos_Administrativa[#All],5,0),"")</f>
        <v>Control Ingresos cede Dogama</v>
      </c>
      <c r="F6" t="str">
        <f ca="1">+IFERROR(VLOOKUP(Fact_Administrativa[[#This Row], [Concepto Anterior]],Conceptos_Administrativa[#All],7,0),"")</f>
        <v/>
      </c>
      <c r="G6" t="s">
        <v>172</v>
      </c>
      <c r="H6" t="s">
        <v>172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93">
        <v>15371</v>
      </c>
    </row>
    <row r="7" spans="1:11" ht="18.75" customHeight="1" x14ac:dyDescent="0.35">
      <c r="A7" s="93">
        <v>2024</v>
      </c>
      <c r="B7" t="s">
        <v>171</v>
      </c>
      <c r="C7" s="100">
        <f>IF(OR(Fact_Administrativa[[#This Row], [Año]]="",Fact_Administrativa[[#This Row], [Mes]]=""),"",DATE(A7,MATCH(B7,{"enero","febrero","marzo","abril","mayo","junio","julio","agosto","septiembre","octubre","noviembre","diciembre"},0)+1,0))</f>
        <v>45322</v>
      </c>
      <c r="D7" t="s">
        <v>34</v>
      </c>
      <c r="E7" t="str">
        <f>+IFERROR(VLOOKUP(Fact_Administrativa[[#This Row], [Concepto Anterior]],Conceptos_Administrativa[#All],5,0),"")</f>
        <v>% Tickets Cumplimiento</v>
      </c>
      <c r="F7" t="str">
        <f ca="1">+IFERROR(VLOOKUP(Fact_Administrativa[[#This Row], [Concepto Anterior]],Conceptos_Administrativa[#All],7,0),"")</f>
        <v/>
      </c>
      <c r="G7" t="s">
        <v>172</v>
      </c>
      <c r="H7" t="s">
        <v>172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92">
        <v>0.68516129032258066</v>
      </c>
    </row>
    <row r="8" spans="1:11" ht="18.75" customHeight="1" x14ac:dyDescent="0.35">
      <c r="A8" s="93">
        <v>2024</v>
      </c>
      <c r="B8" t="s">
        <v>171</v>
      </c>
      <c r="C8" s="100">
        <f>IF(OR(Fact_Administrativa[[#This Row], [Año]]="",Fact_Administrativa[[#This Row], [Mes]]=""),"",DATE(A8,MATCH(B8,{"enero","febrero","marzo","abril","mayo","junio","julio","agosto","septiembre","octubre","noviembre","diciembre"},0)+1,0))</f>
        <v>45322</v>
      </c>
      <c r="D8" t="s">
        <v>209</v>
      </c>
      <c r="E8" t="str">
        <f>+IFERROR(VLOOKUP(Fact_Administrativa[[#This Row], [Concepto Anterior]],Conceptos_Administrativa[#All],5,0),"")</f>
        <v>Emisiones CO²</v>
      </c>
      <c r="F8" t="str">
        <f ca="1">+IFERROR(VLOOKUP(Fact_Administrativa[[#This Row], [Concepto Anterior]],Conceptos_Administrativa[#All],7,0),"")</f>
        <v/>
      </c>
      <c r="G8" t="s">
        <v>172</v>
      </c>
      <c r="H8" t="s">
        <v>172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92">
        <v>24.8</v>
      </c>
    </row>
    <row r="9" spans="1:11" ht="18.75" customHeight="1" x14ac:dyDescent="0.35">
      <c r="A9" s="93">
        <v>2024</v>
      </c>
      <c r="B9" t="s">
        <v>171</v>
      </c>
      <c r="C9" s="100">
        <f>IF(OR(Fact_Administrativa[[#This Row], [Año]]="",Fact_Administrativa[[#This Row], [Mes]]=""),"",DATE(A9,MATCH(B9,{"enero","febrero","marzo","abril","mayo","junio","julio","agosto","septiembre","octubre","noviembre","diciembre"},0)+1,0))</f>
        <v>45322</v>
      </c>
      <c r="D9" t="s">
        <v>38</v>
      </c>
      <c r="E9" t="str">
        <f>+IFERROR(VLOOKUP(Fact_Administrativa[[#This Row], [Concepto Anterior]],Conceptos_Administrativa[#All],5,0),"")</f>
        <v>Facturas de arrendamientos y administración</v>
      </c>
      <c r="F9" t="str">
        <f ca="1">+IFERROR(VLOOKUP(Fact_Administrativa[[#This Row], [Concepto Anterior]],Conceptos_Administrativa[#All],7,0),"")</f>
        <v/>
      </c>
      <c r="G9" t="s">
        <v>172</v>
      </c>
      <c r="H9" t="s">
        <v>172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93">
        <v>1077</v>
      </c>
    </row>
    <row r="10" spans="1:11" ht="18.75" customHeight="1" x14ac:dyDescent="0.35">
      <c r="A10" s="93">
        <v>2024</v>
      </c>
      <c r="B10" t="s">
        <v>171</v>
      </c>
      <c r="C10" s="100">
        <f>IF(OR(Fact_Administrativa[[#This Row], [Año]]="",Fact_Administrativa[[#This Row], [Mes]]=""),"",DATE(A10,MATCH(B10,{"enero","febrero","marzo","abril","mayo","junio","julio","agosto","septiembre","octubre","noviembre","diciembre"},0)+1,0))</f>
        <v>45322</v>
      </c>
      <c r="D10" t="s">
        <v>41</v>
      </c>
      <c r="E10" t="str">
        <f>+IFERROR(VLOOKUP(Fact_Administrativa[[#This Row], [Concepto Anterior]],Conceptos_Administrativa[#All],5,0),"")</f>
        <v>Facturas Procesadas por Marca</v>
      </c>
      <c r="F10" t="str">
        <f ca="1">+IFERROR(VLOOKUP(Fact_Administrativa[[#This Row], [Concepto Anterior]],Conceptos_Administrativa[#All],7,0),"")</f>
        <v/>
      </c>
      <c r="G10" t="s">
        <v>42</v>
      </c>
      <c r="H10" t="s">
        <v>172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93">
        <v>507</v>
      </c>
    </row>
    <row r="11" spans="1:11" ht="18.75" customHeight="1" x14ac:dyDescent="0.35">
      <c r="A11" s="93">
        <v>2024</v>
      </c>
      <c r="B11" t="s">
        <v>171</v>
      </c>
      <c r="C11" s="100">
        <f>IF(OR(Fact_Administrativa[[#This Row], [Año]]="",Fact_Administrativa[[#This Row], [Mes]]=""),"",DATE(A11,MATCH(B11,{"enero","febrero","marzo","abril","mayo","junio","julio","agosto","septiembre","octubre","noviembre","diciembre"},0)+1,0))</f>
        <v>45322</v>
      </c>
      <c r="D11" t="s">
        <v>41</v>
      </c>
      <c r="E11" t="str">
        <f>+IFERROR(VLOOKUP(Fact_Administrativa[[#This Row], [Concepto Anterior]],Conceptos_Administrativa[#All],5,0),"")</f>
        <v>Facturas Procesadas por Marca</v>
      </c>
      <c r="F11" t="str">
        <f ca="1">+IFERROR(VLOOKUP(Fact_Administrativa[[#This Row], [Concepto Anterior]],Conceptos_Administrativa[#All],7,0),"")</f>
        <v/>
      </c>
      <c r="G11" t="s">
        <v>43</v>
      </c>
      <c r="H11" t="s">
        <v>172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93">
        <v>9</v>
      </c>
    </row>
    <row r="12" spans="1:11" ht="18.75" customHeight="1" x14ac:dyDescent="0.35">
      <c r="A12" s="93">
        <v>2024</v>
      </c>
      <c r="B12" t="s">
        <v>171</v>
      </c>
      <c r="C12" s="100">
        <f>IF(OR(Fact_Administrativa[[#This Row], [Año]]="",Fact_Administrativa[[#This Row], [Mes]]=""),"",DATE(A12,MATCH(B12,{"enero","febrero","marzo","abril","mayo","junio","julio","agosto","septiembre","octubre","noviembre","diciembre"},0)+1,0))</f>
        <v>45322</v>
      </c>
      <c r="D12" t="s">
        <v>41</v>
      </c>
      <c r="E12" t="str">
        <f>+IFERROR(VLOOKUP(Fact_Administrativa[[#This Row], [Concepto Anterior]],Conceptos_Administrativa[#All],5,0),"")</f>
        <v>Facturas Procesadas por Marca</v>
      </c>
      <c r="F12" t="str">
        <f ca="1">+IFERROR(VLOOKUP(Fact_Administrativa[[#This Row], [Concepto Anterior]],Conceptos_Administrativa[#All],7,0),"")</f>
        <v/>
      </c>
      <c r="G12" t="s">
        <v>44</v>
      </c>
      <c r="H12" t="s">
        <v>172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93">
        <v>869</v>
      </c>
    </row>
    <row r="13" spans="1:11" ht="18.75" customHeight="1" x14ac:dyDescent="0.35">
      <c r="A13" s="93">
        <v>2024</v>
      </c>
      <c r="B13" t="s">
        <v>171</v>
      </c>
      <c r="C13" s="100">
        <f>IF(OR(Fact_Administrativa[[#This Row], [Año]]="",Fact_Administrativa[[#This Row], [Mes]]=""),"",DATE(A13,MATCH(B13,{"enero","febrero","marzo","abril","mayo","junio","julio","agosto","septiembre","octubre","noviembre","diciembre"},0)+1,0))</f>
        <v>45322</v>
      </c>
      <c r="D13" t="s">
        <v>41</v>
      </c>
      <c r="E13" t="str">
        <f>+IFERROR(VLOOKUP(Fact_Administrativa[[#This Row], [Concepto Anterior]],Conceptos_Administrativa[#All],5,0),"")</f>
        <v>Facturas Procesadas por Marca</v>
      </c>
      <c r="F13" t="str">
        <f ca="1">+IFERROR(VLOOKUP(Fact_Administrativa[[#This Row], [Concepto Anterior]],Conceptos_Administrativa[#All],7,0),"")</f>
        <v/>
      </c>
      <c r="G13" t="s">
        <v>45</v>
      </c>
      <c r="H13" t="s">
        <v>172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93">
        <v>518</v>
      </c>
    </row>
    <row r="14" spans="1:11" ht="18.75" customHeight="1" x14ac:dyDescent="0.35">
      <c r="A14" s="93">
        <v>2024</v>
      </c>
      <c r="B14" t="s">
        <v>171</v>
      </c>
      <c r="C14" s="100">
        <f>IF(OR(Fact_Administrativa[[#This Row], [Año]]="",Fact_Administrativa[[#This Row], [Mes]]=""),"",DATE(A14,MATCH(B14,{"enero","febrero","marzo","abril","mayo","junio","julio","agosto","septiembre","octubre","noviembre","diciembre"},0)+1,0))</f>
        <v>45322</v>
      </c>
      <c r="D14" t="s">
        <v>41</v>
      </c>
      <c r="E14" t="str">
        <f>+IFERROR(VLOOKUP(Fact_Administrativa[[#This Row], [Concepto Anterior]],Conceptos_Administrativa[#All],5,0),"")</f>
        <v>Facturas Procesadas por Marca</v>
      </c>
      <c r="F14" t="str">
        <f ca="1">+IFERROR(VLOOKUP(Fact_Administrativa[[#This Row], [Concepto Anterior]],Conceptos_Administrativa[#All],7,0),"")</f>
        <v/>
      </c>
      <c r="G14" t="s">
        <v>46</v>
      </c>
      <c r="H14" t="s">
        <v>172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93">
        <v>4</v>
      </c>
    </row>
    <row r="15" spans="1:11" ht="18.75" customHeight="1" x14ac:dyDescent="0.35">
      <c r="A15" s="93">
        <v>2024</v>
      </c>
      <c r="B15" t="s">
        <v>171</v>
      </c>
      <c r="C15" s="100">
        <f>IF(OR(Fact_Administrativa[[#This Row], [Año]]="",Fact_Administrativa[[#This Row], [Mes]]=""),"",DATE(A15,MATCH(B15,{"enero","febrero","marzo","abril","mayo","junio","julio","agosto","septiembre","octubre","noviembre","diciembre"},0)+1,0))</f>
        <v>45322</v>
      </c>
      <c r="D15" t="s">
        <v>41</v>
      </c>
      <c r="E15" t="str">
        <f>+IFERROR(VLOOKUP(Fact_Administrativa[[#This Row], [Concepto Anterior]],Conceptos_Administrativa[#All],5,0),"")</f>
        <v>Facturas Procesadas por Marca</v>
      </c>
      <c r="F15" t="str">
        <f ca="1">+IFERROR(VLOOKUP(Fact_Administrativa[[#This Row], [Concepto Anterior]],Conceptos_Administrativa[#All],7,0),"")</f>
        <v/>
      </c>
      <c r="G15" t="s">
        <v>47</v>
      </c>
      <c r="H15" t="s">
        <v>172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93">
        <v>0</v>
      </c>
    </row>
    <row r="16" spans="1:11" ht="18.75" customHeight="1" x14ac:dyDescent="0.35">
      <c r="A16" s="93">
        <v>2024</v>
      </c>
      <c r="B16" t="s">
        <v>171</v>
      </c>
      <c r="C16" s="100">
        <f>IF(OR(Fact_Administrativa[[#This Row], [Año]]="",Fact_Administrativa[[#This Row], [Mes]]=""),"",DATE(A16,MATCH(B16,{"enero","febrero","marzo","abril","mayo","junio","julio","agosto","septiembre","octubre","noviembre","diciembre"},0)+1,0))</f>
        <v>45322</v>
      </c>
      <c r="D16" t="s">
        <v>41</v>
      </c>
      <c r="E16" t="str">
        <f>+IFERROR(VLOOKUP(Fact_Administrativa[[#This Row], [Concepto Anterior]],Conceptos_Administrativa[#All],5,0),"")</f>
        <v>Facturas Procesadas por Marca</v>
      </c>
      <c r="F16" t="str">
        <f ca="1">+IFERROR(VLOOKUP(Fact_Administrativa[[#This Row], [Concepto Anterior]],Conceptos_Administrativa[#All],7,0),"")</f>
        <v/>
      </c>
      <c r="G16" t="s">
        <v>48</v>
      </c>
      <c r="H16" t="s">
        <v>172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93">
        <v>0</v>
      </c>
    </row>
    <row r="17" spans="1:11" ht="18.75" customHeight="1" x14ac:dyDescent="0.35">
      <c r="A17" s="93">
        <v>2024</v>
      </c>
      <c r="B17" t="s">
        <v>171</v>
      </c>
      <c r="C17" s="100">
        <f>IF(OR(Fact_Administrativa[[#This Row], [Año]]="",Fact_Administrativa[[#This Row], [Mes]]=""),"",DATE(A17,MATCH(B17,{"enero","febrero","marzo","abril","mayo","junio","julio","agosto","septiembre","octubre","noviembre","diciembre"},0)+1,0))</f>
        <v>45322</v>
      </c>
      <c r="D17" t="s">
        <v>41</v>
      </c>
      <c r="E17" t="str">
        <f>+IFERROR(VLOOKUP(Fact_Administrativa[[#This Row], [Concepto Anterior]],Conceptos_Administrativa[#All],5,0),"")</f>
        <v>Facturas Procesadas por Marca</v>
      </c>
      <c r="F17" t="str">
        <f ca="1">+IFERROR(VLOOKUP(Fact_Administrativa[[#This Row], [Concepto Anterior]],Conceptos_Administrativa[#All],7,0),"")</f>
        <v/>
      </c>
      <c r="G17" t="s">
        <v>49</v>
      </c>
      <c r="H17" t="s">
        <v>172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93">
        <v>769</v>
      </c>
    </row>
    <row r="18" spans="1:11" ht="18.75" customHeight="1" x14ac:dyDescent="0.35">
      <c r="A18" s="93">
        <v>2024</v>
      </c>
      <c r="B18" t="s">
        <v>171</v>
      </c>
      <c r="C18" s="100">
        <f>IF(OR(Fact_Administrativa[[#This Row], [Año]]="",Fact_Administrativa[[#This Row], [Mes]]=""),"",DATE(A18,MATCH(B18,{"enero","febrero","marzo","abril","mayo","junio","julio","agosto","septiembre","octubre","noviembre","diciembre"},0)+1,0))</f>
        <v>45322</v>
      </c>
      <c r="D18" t="s">
        <v>41</v>
      </c>
      <c r="E18" t="str">
        <f>+IFERROR(VLOOKUP(Fact_Administrativa[[#This Row], [Concepto Anterior]],Conceptos_Administrativa[#All],5,0),"")</f>
        <v>Facturas Procesadas por Marca</v>
      </c>
      <c r="F18" t="str">
        <f ca="1">+IFERROR(VLOOKUP(Fact_Administrativa[[#This Row], [Concepto Anterior]],Conceptos_Administrativa[#All],7,0),"")</f>
        <v/>
      </c>
      <c r="G18" t="s">
        <v>50</v>
      </c>
      <c r="H18" t="s">
        <v>172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93">
        <v>1075</v>
      </c>
    </row>
    <row r="19" spans="1:11" ht="18.75" customHeight="1" x14ac:dyDescent="0.35">
      <c r="A19" s="93">
        <v>2024</v>
      </c>
      <c r="B19" t="s">
        <v>171</v>
      </c>
      <c r="C19" s="100">
        <f>IF(OR(Fact_Administrativa[[#This Row], [Año]]="",Fact_Administrativa[[#This Row], [Mes]]=""),"",DATE(A19,MATCH(B19,{"enero","febrero","marzo","abril","mayo","junio","julio","agosto","septiembre","octubre","noviembre","diciembre"},0)+1,0))</f>
        <v>45322</v>
      </c>
      <c r="D19" t="s">
        <v>41</v>
      </c>
      <c r="E19" t="str">
        <f>+IFERROR(VLOOKUP(Fact_Administrativa[[#This Row], [Concepto Anterior]],Conceptos_Administrativa[#All],5,0),"")</f>
        <v>Facturas Procesadas por Marca</v>
      </c>
      <c r="F19" t="str">
        <f ca="1">+IFERROR(VLOOKUP(Fact_Administrativa[[#This Row], [Concepto Anterior]],Conceptos_Administrativa[#All],7,0),"")</f>
        <v/>
      </c>
      <c r="G19" t="s">
        <v>51</v>
      </c>
      <c r="H19" t="s">
        <v>172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93">
        <v>769</v>
      </c>
    </row>
    <row r="20" spans="1:11" ht="18.75" customHeight="1" x14ac:dyDescent="0.35">
      <c r="A20" s="93">
        <v>2024</v>
      </c>
      <c r="B20" t="s">
        <v>171</v>
      </c>
      <c r="C20" s="100">
        <f>IF(OR(Fact_Administrativa[[#This Row], [Año]]="",Fact_Administrativa[[#This Row], [Mes]]=""),"",DATE(A20,MATCH(B20,{"enero","febrero","marzo","abril","mayo","junio","julio","agosto","septiembre","octubre","noviembre","diciembre"},0)+1,0))</f>
        <v>45322</v>
      </c>
      <c r="D20" t="s">
        <v>41</v>
      </c>
      <c r="E20" t="str">
        <f>+IFERROR(VLOOKUP(Fact_Administrativa[[#This Row], [Concepto Anterior]],Conceptos_Administrativa[#All],5,0),"")</f>
        <v>Facturas Procesadas por Marca</v>
      </c>
      <c r="F20" t="str">
        <f ca="1">+IFERROR(VLOOKUP(Fact_Administrativa[[#This Row], [Concepto Anterior]],Conceptos_Administrativa[#All],7,0),"")</f>
        <v/>
      </c>
      <c r="G20" t="s">
        <v>52</v>
      </c>
      <c r="H20" t="s">
        <v>172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93">
        <v>409</v>
      </c>
    </row>
    <row r="21" spans="1:11" ht="18.75" customHeight="1" x14ac:dyDescent="0.35">
      <c r="A21" s="93">
        <v>2024</v>
      </c>
      <c r="B21" t="s">
        <v>171</v>
      </c>
      <c r="C21" s="100">
        <f>IF(OR(Fact_Administrativa[[#This Row], [Año]]="",Fact_Administrativa[[#This Row], [Mes]]=""),"",DATE(A21,MATCH(B21,{"enero","febrero","marzo","abril","mayo","junio","julio","agosto","septiembre","octubre","noviembre","diciembre"},0)+1,0))</f>
        <v>45322</v>
      </c>
      <c r="D21" t="s">
        <v>41</v>
      </c>
      <c r="E21" t="str">
        <f>+IFERROR(VLOOKUP(Fact_Administrativa[[#This Row], [Concepto Anterior]],Conceptos_Administrativa[#All],5,0),"")</f>
        <v>Facturas Procesadas por Marca</v>
      </c>
      <c r="F21" t="str">
        <f ca="1">+IFERROR(VLOOKUP(Fact_Administrativa[[#This Row], [Concepto Anterior]],Conceptos_Administrativa[#All],7,0),"")</f>
        <v/>
      </c>
      <c r="G21" t="s">
        <v>53</v>
      </c>
      <c r="H21" t="s">
        <v>172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93">
        <v>89</v>
      </c>
    </row>
    <row r="22" spans="1:11" ht="18.75" customHeight="1" x14ac:dyDescent="0.35">
      <c r="A22" s="93">
        <v>2024</v>
      </c>
      <c r="B22" t="s">
        <v>171</v>
      </c>
      <c r="C22" s="100">
        <f>IF(OR(Fact_Administrativa[[#This Row], [Año]]="",Fact_Administrativa[[#This Row], [Mes]]=""),"",DATE(A22,MATCH(B22,{"enero","febrero","marzo","abril","mayo","junio","julio","agosto","septiembre","octubre","noviembre","diciembre"},0)+1,0))</f>
        <v>45322</v>
      </c>
      <c r="D22" t="s">
        <v>41</v>
      </c>
      <c r="E22" t="str">
        <f>+IFERROR(VLOOKUP(Fact_Administrativa[[#This Row], [Concepto Anterior]],Conceptos_Administrativa[#All],5,0),"")</f>
        <v>Facturas Procesadas por Marca</v>
      </c>
      <c r="F22" t="str">
        <f ca="1">+IFERROR(VLOOKUP(Fact_Administrativa[[#This Row], [Concepto Anterior]],Conceptos_Administrativa[#All],7,0),"")</f>
        <v/>
      </c>
      <c r="G22" t="s">
        <v>54</v>
      </c>
      <c r="H22" t="s">
        <v>172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171</v>
      </c>
      <c r="C23" s="100">
        <f>IF(OR(Fact_Administrativa[[#This Row], [Año]]="",Fact_Administrativa[[#This Row], [Mes]]=""),"",DATE(A23,MATCH(B23,{"enero","febrero","marzo","abril","mayo","junio","julio","agosto","septiembre","octubre","noviembre","diciembre"},0)+1,0))</f>
        <v>45322</v>
      </c>
      <c r="D23" t="s">
        <v>55</v>
      </c>
      <c r="E23" t="str">
        <f>+IFERROR(VLOOKUP(Fact_Administrativa[[#This Row], [Concepto Anterior]],Conceptos_Administrativa[#All],5,0),"")</f>
        <v>Facturas Procesadas por Marca</v>
      </c>
      <c r="F23" t="str">
        <f ca="1">+IFERROR(VLOOKUP(Fact_Administrativa[[#This Row], [Concepto Anterior]],Conceptos_Administrativa[#All],7,0),"")</f>
        <v/>
      </c>
      <c r="G23" t="s">
        <v>56</v>
      </c>
      <c r="H23" t="s">
        <v>172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93">
        <v>41</v>
      </c>
    </row>
    <row r="24" spans="1:11" ht="18.75" customHeight="1" x14ac:dyDescent="0.35">
      <c r="A24" s="93">
        <v>2024</v>
      </c>
      <c r="B24" t="s">
        <v>171</v>
      </c>
      <c r="C24" s="100">
        <f>IF(OR(Fact_Administrativa[[#This Row], [Año]]="",Fact_Administrativa[[#This Row], [Mes]]=""),"",DATE(A24,MATCH(B24,{"enero","febrero","marzo","abril","mayo","junio","julio","agosto","septiembre","octubre","noviembre","diciembre"},0)+1,0))</f>
        <v>45322</v>
      </c>
      <c r="D24" t="s">
        <v>57</v>
      </c>
      <c r="E24" t="str">
        <f>+IFERROR(VLOOKUP(Fact_Administrativa[[#This Row], [Concepto Anterior]],Conceptos_Administrativa[#All],5,0),"")</f>
        <v>Facturas Procesadas por Marca</v>
      </c>
      <c r="F24" t="str">
        <f ca="1">+IFERROR(VLOOKUP(Fact_Administrativa[[#This Row], [Concepto Anterior]],Conceptos_Administrativa[#All],7,0),"")</f>
        <v/>
      </c>
      <c r="G24" t="s">
        <v>58</v>
      </c>
      <c r="H24" t="s">
        <v>172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93">
        <v>19</v>
      </c>
    </row>
    <row r="25" spans="1:11" ht="18.75" customHeight="1" x14ac:dyDescent="0.35">
      <c r="A25" s="93">
        <v>2024</v>
      </c>
      <c r="B25" t="s">
        <v>171</v>
      </c>
      <c r="C25" s="100">
        <f>IF(OR(Fact_Administrativa[[#This Row], [Año]]="",Fact_Administrativa[[#This Row], [Mes]]=""),"",DATE(A25,MATCH(B25,{"enero","febrero","marzo","abril","mayo","junio","julio","agosto","septiembre","octubre","noviembre","diciembre"},0)+1,0))</f>
        <v>45322</v>
      </c>
      <c r="D25" t="s">
        <v>28</v>
      </c>
      <c r="E25" t="str">
        <f>+IFERROR(VLOOKUP(Fact_Administrativa[[#This Row], [Concepto Anterior]],Conceptos_Administrativa[#All],5,0),"")</f>
        <v xml:space="preserve">Ahorro reformas tiendas </v>
      </c>
      <c r="F25" t="str">
        <f ca="1">+IFERROR(VLOOKUP(Fact_Administrativa[[#This Row], [Concepto Anterior]],Conceptos_Administrativa[#All],7,0),"")</f>
        <v/>
      </c>
      <c r="G25" t="s">
        <v>172</v>
      </c>
      <c r="H25" t="s">
        <v>172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93">
        <v>0</v>
      </c>
    </row>
    <row r="26" spans="1:11" ht="18.75" customHeight="1" x14ac:dyDescent="0.35">
      <c r="A26" s="93">
        <v>2024</v>
      </c>
      <c r="B26" t="s">
        <v>171</v>
      </c>
      <c r="C26" s="100">
        <f>IF(OR(Fact_Administrativa[[#This Row], [Año]]="",Fact_Administrativa[[#This Row], [Mes]]=""),"",DATE(A26,MATCH(B26,{"enero","febrero","marzo","abril","mayo","junio","julio","agosto","septiembre","octubre","noviembre","diciembre"},0)+1,0))</f>
        <v>45322</v>
      </c>
      <c r="D26" t="s">
        <v>29</v>
      </c>
      <c r="E26" t="str">
        <f>+IFERROR(VLOOKUP(Fact_Administrativa[[#This Row], [Concepto Anterior]],Conceptos_Administrativa[#All],5,0),"")</f>
        <v>Recuperaciones Siniestros</v>
      </c>
      <c r="F26" t="str">
        <f ca="1">+IFERROR(VLOOKUP(Fact_Administrativa[[#This Row], [Concepto Anterior]],Conceptos_Administrativa[#All],7,0),"")</f>
        <v/>
      </c>
      <c r="G26" t="s">
        <v>172</v>
      </c>
      <c r="H26" t="s">
        <v>172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171</v>
      </c>
      <c r="C27" s="100">
        <f>IF(OR(Fact_Administrativa[[#This Row], [Año]]="",Fact_Administrativa[[#This Row], [Mes]]=""),"",DATE(A27,MATCH(B27,{"enero","febrero","marzo","abril","mayo","junio","julio","agosto","septiembre","octubre","noviembre","diciembre"},0)+1,0))</f>
        <v>45322</v>
      </c>
      <c r="D27" t="s">
        <v>30</v>
      </c>
      <c r="E27" t="str">
        <f>+IFERROR(VLOOKUP(Fact_Administrativa[[#This Row], [Concepto Anterior]],Conceptos_Administrativa[#All],5,0),"")</f>
        <v>Gestión de Polizas</v>
      </c>
      <c r="F27" t="str">
        <f ca="1">+IFERROR(VLOOKUP(Fact_Administrativa[[#This Row], [Concepto Anterior]],Conceptos_Administrativa[#All],7,0),"")</f>
        <v/>
      </c>
      <c r="G27" t="s">
        <v>172</v>
      </c>
      <c r="H27" t="s">
        <v>172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171</v>
      </c>
      <c r="C28" s="100">
        <f>IF(OR(Fact_Administrativa[[#This Row], [Año]]="",Fact_Administrativa[[#This Row], [Mes]]=""),"",DATE(A28,MATCH(B28,{"enero","febrero","marzo","abril","mayo","junio","julio","agosto","septiembre","octubre","noviembre","diciembre"},0)+1,0))</f>
        <v>45322</v>
      </c>
      <c r="D28" t="s">
        <v>32</v>
      </c>
      <c r="E28" t="str">
        <f>+IFERROR(VLOOKUP(Fact_Administrativa[[#This Row], [Concepto Anterior]],Conceptos_Administrativa[#All],5,0),"")</f>
        <v>Tickets cerrados</v>
      </c>
      <c r="F28" t="str">
        <f ca="1">+IFERROR(VLOOKUP(Fact_Administrativa[[#This Row], [Concepto Anterior]],Conceptos_Administrativa[#All],7,0),"")</f>
        <v/>
      </c>
      <c r="G28" t="s">
        <v>172</v>
      </c>
      <c r="H28" t="s">
        <v>172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93">
        <v>531</v>
      </c>
    </row>
    <row r="29" spans="1:11" ht="18.75" customHeight="1" x14ac:dyDescent="0.35">
      <c r="A29" s="93">
        <v>2024</v>
      </c>
      <c r="B29" t="s">
        <v>171</v>
      </c>
      <c r="C29" s="100">
        <f>IF(OR(Fact_Administrativa[[#This Row], [Año]]="",Fact_Administrativa[[#This Row], [Mes]]=""),"",DATE(A29,MATCH(B29,{"enero","febrero","marzo","abril","mayo","junio","julio","agosto","septiembre","octubre","noviembre","diciembre"},0)+1,0))</f>
        <v>45322</v>
      </c>
      <c r="D29" t="s">
        <v>210</v>
      </c>
      <c r="E29" t="str">
        <f>+IFERROR(VLOOKUP(Fact_Administrativa[[#This Row], [Concepto Anterior]],Conceptos_Administrativa[#All],5,0),"")</f>
        <v>Tickets proceso</v>
      </c>
      <c r="F29" t="str">
        <f ca="1">+IFERROR(VLOOKUP(Fact_Administrativa[[#This Row], [Concepto Anterior]],Conceptos_Administrativa[#All],7,0),"")</f>
        <v/>
      </c>
      <c r="G29" t="s">
        <v>172</v>
      </c>
      <c r="H29" t="s">
        <v>172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93">
        <v>244</v>
      </c>
    </row>
    <row r="30" spans="1:11" ht="18.75" customHeight="1" x14ac:dyDescent="0.35">
      <c r="A30" s="102">
        <v>2024</v>
      </c>
      <c r="B30" t="s">
        <v>171</v>
      </c>
      <c r="C30" s="100">
        <f>IF(OR(Fact_Administrativa[[#This Row], [Año]]="",Fact_Administrativa[[#This Row], [Mes]]=""),"",DATE(A30,MATCH(B30,{"enero","febrero","marzo","abril","mayo","junio","julio","agosto","septiembre","octubre","noviembre","diciembre"},0)+1,0))</f>
        <v>45322</v>
      </c>
      <c r="D30" t="s">
        <v>31</v>
      </c>
      <c r="E30" t="str">
        <f>+IFERROR(VLOOKUP(Fact_Administrativa[[#This Row], [Concepto Anterior]],Conceptos_Administrativa[#All],5,0),"")</f>
        <v>Tickets recibidos</v>
      </c>
      <c r="F30" t="str">
        <f ca="1">+IFERROR(VLOOKUP(Fact_Administrativa[[#This Row], [Concepto Anterior]],Conceptos_Administrativa[#All],7,0),"")</f>
        <v/>
      </c>
      <c r="G30" t="s">
        <v>172</v>
      </c>
      <c r="H30" t="s">
        <v>172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93">
        <v>775</v>
      </c>
    </row>
    <row r="31" spans="1:11" ht="18.75" customHeight="1" x14ac:dyDescent="0.35">
      <c r="A31" s="93">
        <v>2024</v>
      </c>
      <c r="B31" t="s">
        <v>174</v>
      </c>
      <c r="C31" s="100">
        <f>IF(OR(Fact_Administrativa[[#This Row], [Año]]="",Fact_Administrativa[[#This Row], [Mes]]=""),"",DATE(A31,MATCH(B31,{"enero","febrero","marzo","abril","mayo","junio","julio","agosto","septiembre","octubre","noviembre","diciembre"},0)+1,0))</f>
        <v>45351</v>
      </c>
      <c r="D31" t="s">
        <v>27</v>
      </c>
      <c r="E31" t="str">
        <f>+IFERROR(VLOOKUP(Fact_Administrativa[[#This Row], [Concepto Anterior]],Conceptos_Administrativa[#All],5,0),"")</f>
        <v>Ahorro energía</v>
      </c>
      <c r="F31" t="str">
        <f ca="1">+IFERROR(VLOOKUP(Fact_Administrativa[[#This Row], [Concepto Anterior]],Conceptos_Administrativa[#All],7,0),"")</f>
        <v/>
      </c>
      <c r="G31" t="s">
        <v>172</v>
      </c>
      <c r="H31" t="s">
        <v>172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93">
        <v>23858082</v>
      </c>
    </row>
    <row r="32" spans="1:11" ht="18.75" customHeight="1" x14ac:dyDescent="0.35">
      <c r="A32" s="93">
        <v>2024</v>
      </c>
      <c r="B32" t="s">
        <v>174</v>
      </c>
      <c r="C32" s="100">
        <f>IF(OR(Fact_Administrativa[[#This Row], [Año]]="",Fact_Administrativa[[#This Row], [Mes]]=""),"",DATE(A32,MATCH(B32,{"enero","febrero","marzo","abril","mayo","junio","julio","agosto","septiembre","octubre","noviembre","diciembre"},0)+1,0))</f>
        <v>45351</v>
      </c>
      <c r="D32" t="s">
        <v>19</v>
      </c>
      <c r="E32" t="str">
        <f>+IFERROR(VLOOKUP(Fact_Administrativa[[#This Row], [Concepto Anterior]],Conceptos_Administrativa[#All],5,0),"")</f>
        <v>Aporte fundación</v>
      </c>
      <c r="F32" t="str">
        <f ca="1">+IFERROR(VLOOKUP(Fact_Administrativa[[#This Row], [Concepto Anterior]],Conceptos_Administrativa[#All],7,0),"")</f>
        <v/>
      </c>
      <c r="G32" t="s">
        <v>172</v>
      </c>
      <c r="H32" t="s">
        <v>172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93">
        <v>3003025</v>
      </c>
    </row>
    <row r="33" spans="1:11" ht="18.75" customHeight="1" x14ac:dyDescent="0.35">
      <c r="A33" s="93">
        <v>2024</v>
      </c>
      <c r="B33" t="s">
        <v>174</v>
      </c>
      <c r="C33" s="100">
        <f>IF(OR(Fact_Administrativa[[#This Row], [Año]]="",Fact_Administrativa[[#This Row], [Mes]]=""),"",DATE(A33,MATCH(B33,{"enero","febrero","marzo","abril","mayo","junio","julio","agosto","septiembre","octubre","noviembre","diciembre"},0)+1,0))</f>
        <v>45351</v>
      </c>
      <c r="D33" t="s">
        <v>39</v>
      </c>
      <c r="E33" t="str">
        <f>+IFERROR(VLOOKUP(Fact_Administrativa[[#This Row], [Concepto Anterior]],Conceptos_Administrativa[#All],5,0),"")</f>
        <v>Cantidad de tiendas remodeladas</v>
      </c>
      <c r="F33" t="str">
        <f ca="1">+IFERROR(VLOOKUP(Fact_Administrativa[[#This Row], [Concepto Anterior]],Conceptos_Administrativa[#All],7,0),"")</f>
        <v/>
      </c>
      <c r="G33" t="s">
        <v>172</v>
      </c>
      <c r="H33" t="s">
        <v>172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174</v>
      </c>
      <c r="C34" s="100">
        <f>IF(OR(Fact_Administrativa[[#This Row], [Año]]="",Fact_Administrativa[[#This Row], [Mes]]=""),"",DATE(A34,MATCH(B34,{"enero","febrero","marzo","abril","mayo","junio","julio","agosto","septiembre","octubre","noviembre","diciembre"},0)+1,0))</f>
        <v>45351</v>
      </c>
      <c r="D34" t="s">
        <v>40</v>
      </c>
      <c r="E34" t="str">
        <f>+IFERROR(VLOOKUP(Fact_Administrativa[[#This Row], [Concepto Anterior]],Conceptos_Administrativa[#All],5,0),"")</f>
        <v xml:space="preserve">Contratos de arrendamientos </v>
      </c>
      <c r="F34" t="str">
        <f ca="1">+IFERROR(VLOOKUP(Fact_Administrativa[[#This Row], [Concepto Anterior]],Conceptos_Administrativa[#All],7,0),"")</f>
        <v/>
      </c>
      <c r="G34" t="s">
        <v>172</v>
      </c>
      <c r="H34" t="s">
        <v>172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174</v>
      </c>
      <c r="C35" s="100">
        <f>IF(OR(Fact_Administrativa[[#This Row], [Año]]="",Fact_Administrativa[[#This Row], [Mes]]=""),"",DATE(A35,MATCH(B35,{"enero","febrero","marzo","abril","mayo","junio","julio","agosto","septiembre","octubre","noviembre","diciembre"},0)+1,0))</f>
        <v>45351</v>
      </c>
      <c r="D35" t="s">
        <v>25</v>
      </c>
      <c r="E35" t="str">
        <f>+IFERROR(VLOOKUP(Fact_Administrativa[[#This Row], [Concepto Anterior]],Conceptos_Administrativa[#All],5,0),"")</f>
        <v>Control Ingresos cede Dogama</v>
      </c>
      <c r="F35" t="str">
        <f ca="1">+IFERROR(VLOOKUP(Fact_Administrativa[[#This Row], [Concepto Anterior]],Conceptos_Administrativa[#All],7,0),"")</f>
        <v/>
      </c>
      <c r="G35" t="s">
        <v>172</v>
      </c>
      <c r="H35" t="s">
        <v>172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93">
        <v>16958</v>
      </c>
    </row>
    <row r="36" spans="1:11" ht="18.75" customHeight="1" x14ac:dyDescent="0.35">
      <c r="A36" s="93">
        <v>2024</v>
      </c>
      <c r="B36" t="s">
        <v>174</v>
      </c>
      <c r="C36" s="100">
        <f>IF(OR(Fact_Administrativa[[#This Row], [Año]]="",Fact_Administrativa[[#This Row], [Mes]]=""),"",DATE(A36,MATCH(B36,{"enero","febrero","marzo","abril","mayo","junio","julio","agosto","septiembre","octubre","noviembre","diciembre"},0)+1,0))</f>
        <v>45351</v>
      </c>
      <c r="D36" t="s">
        <v>34</v>
      </c>
      <c r="E36" t="str">
        <f>+IFERROR(VLOOKUP(Fact_Administrativa[[#This Row], [Concepto Anterior]],Conceptos_Administrativa[#All],5,0),"")</f>
        <v>% Tickets Cumplimiento</v>
      </c>
      <c r="F36" t="str">
        <f ca="1">+IFERROR(VLOOKUP(Fact_Administrativa[[#This Row], [Concepto Anterior]],Conceptos_Administrativa[#All],7,0),"")</f>
        <v/>
      </c>
      <c r="G36" t="s">
        <v>172</v>
      </c>
      <c r="H36" t="s">
        <v>172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92">
        <v>0.51346499102333931</v>
      </c>
    </row>
    <row r="37" spans="1:11" ht="18.75" customHeight="1" x14ac:dyDescent="0.35">
      <c r="A37" s="93">
        <v>2024</v>
      </c>
      <c r="B37" t="s">
        <v>174</v>
      </c>
      <c r="C37" s="100">
        <f>IF(OR(Fact_Administrativa[[#This Row], [Año]]="",Fact_Administrativa[[#This Row], [Mes]]=""),"",DATE(A37,MATCH(B37,{"enero","febrero","marzo","abril","mayo","junio","julio","agosto","septiembre","octubre","noviembre","diciembre"},0)+1,0))</f>
        <v>45351</v>
      </c>
      <c r="D37" t="s">
        <v>209</v>
      </c>
      <c r="E37" t="str">
        <f>+IFERROR(VLOOKUP(Fact_Administrativa[[#This Row], [Concepto Anterior]],Conceptos_Administrativa[#All],5,0),"")</f>
        <v>Emisiones CO²</v>
      </c>
      <c r="F37" t="str">
        <f ca="1">+IFERROR(VLOOKUP(Fact_Administrativa[[#This Row], [Concepto Anterior]],Conceptos_Administrativa[#All],7,0),"")</f>
        <v/>
      </c>
      <c r="G37" t="s">
        <v>172</v>
      </c>
      <c r="H37" t="s">
        <v>172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92">
        <v>26.8</v>
      </c>
    </row>
    <row r="38" spans="1:11" ht="18.75" customHeight="1" x14ac:dyDescent="0.35">
      <c r="A38" s="93">
        <v>2024</v>
      </c>
      <c r="B38" t="s">
        <v>174</v>
      </c>
      <c r="C38" s="100">
        <f>IF(OR(Fact_Administrativa[[#This Row], [Año]]="",Fact_Administrativa[[#This Row], [Mes]]=""),"",DATE(A38,MATCH(B38,{"enero","febrero","marzo","abril","mayo","junio","julio","agosto","septiembre","octubre","noviembre","diciembre"},0)+1,0))</f>
        <v>45351</v>
      </c>
      <c r="D38" t="s">
        <v>38</v>
      </c>
      <c r="E38" t="str">
        <f>+IFERROR(VLOOKUP(Fact_Administrativa[[#This Row], [Concepto Anterior]],Conceptos_Administrativa[#All],5,0),"")</f>
        <v>Facturas de arrendamientos y administración</v>
      </c>
      <c r="F38" t="str">
        <f ca="1">+IFERROR(VLOOKUP(Fact_Administrativa[[#This Row], [Concepto Anterior]],Conceptos_Administrativa[#All],7,0),"")</f>
        <v/>
      </c>
      <c r="G38" t="s">
        <v>172</v>
      </c>
      <c r="H38" t="s">
        <v>172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93">
        <v>1007</v>
      </c>
    </row>
    <row r="39" spans="1:11" ht="18.75" customHeight="1" x14ac:dyDescent="0.35">
      <c r="A39" s="93">
        <v>2024</v>
      </c>
      <c r="B39" t="s">
        <v>174</v>
      </c>
      <c r="C39" s="100">
        <f>IF(OR(Fact_Administrativa[[#This Row], [Año]]="",Fact_Administrativa[[#This Row], [Mes]]=""),"",DATE(A39,MATCH(B39,{"enero","febrero","marzo","abril","mayo","junio","julio","agosto","septiembre","octubre","noviembre","diciembre"},0)+1,0))</f>
        <v>45351</v>
      </c>
      <c r="D39" t="s">
        <v>41</v>
      </c>
      <c r="E39" t="str">
        <f>+IFERROR(VLOOKUP(Fact_Administrativa[[#This Row], [Concepto Anterior]],Conceptos_Administrativa[#All],5,0),"")</f>
        <v>Facturas Procesadas por Marca</v>
      </c>
      <c r="F39" t="str">
        <f ca="1">+IFERROR(VLOOKUP(Fact_Administrativa[[#This Row], [Concepto Anterior]],Conceptos_Administrativa[#All],7,0),"")</f>
        <v/>
      </c>
      <c r="G39" t="s">
        <v>42</v>
      </c>
      <c r="H39" t="s">
        <v>172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93">
        <v>622</v>
      </c>
    </row>
    <row r="40" spans="1:11" ht="18.75" customHeight="1" x14ac:dyDescent="0.35">
      <c r="A40" s="93">
        <v>2024</v>
      </c>
      <c r="B40" t="s">
        <v>174</v>
      </c>
      <c r="C40" s="100">
        <f>IF(OR(Fact_Administrativa[[#This Row], [Año]]="",Fact_Administrativa[[#This Row], [Mes]]=""),"",DATE(A40,MATCH(B40,{"enero","febrero","marzo","abril","mayo","junio","julio","agosto","septiembre","octubre","noviembre","diciembre"},0)+1,0))</f>
        <v>45351</v>
      </c>
      <c r="D40" t="s">
        <v>41</v>
      </c>
      <c r="E40" t="str">
        <f>+IFERROR(VLOOKUP(Fact_Administrativa[[#This Row], [Concepto Anterior]],Conceptos_Administrativa[#All],5,0),"")</f>
        <v>Facturas Procesadas por Marca</v>
      </c>
      <c r="F40" t="str">
        <f ca="1">+IFERROR(VLOOKUP(Fact_Administrativa[[#This Row], [Concepto Anterior]],Conceptos_Administrativa[#All],7,0),"")</f>
        <v/>
      </c>
      <c r="G40" t="s">
        <v>43</v>
      </c>
      <c r="H40" t="s">
        <v>172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93">
        <v>950</v>
      </c>
    </row>
    <row r="41" spans="1:11" ht="18.75" customHeight="1" x14ac:dyDescent="0.35">
      <c r="A41" s="93">
        <v>2024</v>
      </c>
      <c r="B41" t="s">
        <v>174</v>
      </c>
      <c r="C41" s="100">
        <f>IF(OR(Fact_Administrativa[[#This Row], [Año]]="",Fact_Administrativa[[#This Row], [Mes]]=""),"",DATE(A41,MATCH(B41,{"enero","febrero","marzo","abril","mayo","junio","julio","agosto","septiembre","octubre","noviembre","diciembre"},0)+1,0))</f>
        <v>45351</v>
      </c>
      <c r="D41" t="s">
        <v>41</v>
      </c>
      <c r="E41" t="str">
        <f>+IFERROR(VLOOKUP(Fact_Administrativa[[#This Row], [Concepto Anterior]],Conceptos_Administrativa[#All],5,0),"")</f>
        <v>Facturas Procesadas por Marca</v>
      </c>
      <c r="F41" t="str">
        <f ca="1">+IFERROR(VLOOKUP(Fact_Administrativa[[#This Row], [Concepto Anterior]],Conceptos_Administrativa[#All],7,0),"")</f>
        <v/>
      </c>
      <c r="G41" t="s">
        <v>44</v>
      </c>
      <c r="H41" t="s">
        <v>172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93">
        <v>765</v>
      </c>
    </row>
    <row r="42" spans="1:11" ht="18.75" customHeight="1" x14ac:dyDescent="0.35">
      <c r="A42" s="93">
        <v>2024</v>
      </c>
      <c r="B42" t="s">
        <v>174</v>
      </c>
      <c r="C42" s="100">
        <f>IF(OR(Fact_Administrativa[[#This Row], [Año]]="",Fact_Administrativa[[#This Row], [Mes]]=""),"",DATE(A42,MATCH(B42,{"enero","febrero","marzo","abril","mayo","junio","julio","agosto","septiembre","octubre","noviembre","diciembre"},0)+1,0))</f>
        <v>45351</v>
      </c>
      <c r="D42" t="s">
        <v>41</v>
      </c>
      <c r="E42" t="str">
        <f>+IFERROR(VLOOKUP(Fact_Administrativa[[#This Row], [Concepto Anterior]],Conceptos_Administrativa[#All],5,0),"")</f>
        <v>Facturas Procesadas por Marca</v>
      </c>
      <c r="F42" t="str">
        <f ca="1">+IFERROR(VLOOKUP(Fact_Administrativa[[#This Row], [Concepto Anterior]],Conceptos_Administrativa[#All],7,0),"")</f>
        <v/>
      </c>
      <c r="G42" t="s">
        <v>45</v>
      </c>
      <c r="H42" t="s">
        <v>172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93">
        <v>758</v>
      </c>
    </row>
    <row r="43" spans="1:11" ht="18.75" customHeight="1" x14ac:dyDescent="0.35">
      <c r="A43" s="93">
        <v>2024</v>
      </c>
      <c r="B43" t="s">
        <v>174</v>
      </c>
      <c r="C43" s="100">
        <f>IF(OR(Fact_Administrativa[[#This Row], [Año]]="",Fact_Administrativa[[#This Row], [Mes]]=""),"",DATE(A43,MATCH(B43,{"enero","febrero","marzo","abril","mayo","junio","julio","agosto","septiembre","octubre","noviembre","diciembre"},0)+1,0))</f>
        <v>45351</v>
      </c>
      <c r="D43" t="s">
        <v>41</v>
      </c>
      <c r="E43" t="str">
        <f>+IFERROR(VLOOKUP(Fact_Administrativa[[#This Row], [Concepto Anterior]],Conceptos_Administrativa[#All],5,0),"")</f>
        <v>Facturas Procesadas por Marca</v>
      </c>
      <c r="F43" t="str">
        <f ca="1">+IFERROR(VLOOKUP(Fact_Administrativa[[#This Row], [Concepto Anterior]],Conceptos_Administrativa[#All],7,0),"")</f>
        <v/>
      </c>
      <c r="G43" t="s">
        <v>46</v>
      </c>
      <c r="H43" t="s">
        <v>172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93">
        <v>647</v>
      </c>
    </row>
    <row r="44" spans="1:11" ht="18.75" customHeight="1" x14ac:dyDescent="0.35">
      <c r="A44" s="93">
        <v>2024</v>
      </c>
      <c r="B44" t="s">
        <v>174</v>
      </c>
      <c r="C44" s="100">
        <f>IF(OR(Fact_Administrativa[[#This Row], [Año]]="",Fact_Administrativa[[#This Row], [Mes]]=""),"",DATE(A44,MATCH(B44,{"enero","febrero","marzo","abril","mayo","junio","julio","agosto","septiembre","octubre","noviembre","diciembre"},0)+1,0))</f>
        <v>45351</v>
      </c>
      <c r="D44" t="s">
        <v>41</v>
      </c>
      <c r="E44" t="str">
        <f>+IFERROR(VLOOKUP(Fact_Administrativa[[#This Row], [Concepto Anterior]],Conceptos_Administrativa[#All],5,0),"")</f>
        <v>Facturas Procesadas por Marca</v>
      </c>
      <c r="F44" t="str">
        <f ca="1">+IFERROR(VLOOKUP(Fact_Administrativa[[#This Row], [Concepto Anterior]],Conceptos_Administrativa[#All],7,0),"")</f>
        <v/>
      </c>
      <c r="G44" t="s">
        <v>47</v>
      </c>
      <c r="H44" t="s">
        <v>172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93">
        <v>31</v>
      </c>
    </row>
    <row r="45" spans="1:11" ht="18.75" customHeight="1" x14ac:dyDescent="0.35">
      <c r="A45" s="93">
        <v>2024</v>
      </c>
      <c r="B45" t="s">
        <v>174</v>
      </c>
      <c r="C45" s="100">
        <f>IF(OR(Fact_Administrativa[[#This Row], [Año]]="",Fact_Administrativa[[#This Row], [Mes]]=""),"",DATE(A45,MATCH(B45,{"enero","febrero","marzo","abril","mayo","junio","julio","agosto","septiembre","octubre","noviembre","diciembre"},0)+1,0))</f>
        <v>45351</v>
      </c>
      <c r="D45" t="s">
        <v>41</v>
      </c>
      <c r="E45" t="str">
        <f>+IFERROR(VLOOKUP(Fact_Administrativa[[#This Row], [Concepto Anterior]],Conceptos_Administrativa[#All],5,0),"")</f>
        <v>Facturas Procesadas por Marca</v>
      </c>
      <c r="F45" t="str">
        <f ca="1">+IFERROR(VLOOKUP(Fact_Administrativa[[#This Row], [Concepto Anterior]],Conceptos_Administrativa[#All],7,0),"")</f>
        <v/>
      </c>
      <c r="G45" t="s">
        <v>48</v>
      </c>
      <c r="H45" t="s">
        <v>172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93">
        <v>1018</v>
      </c>
    </row>
    <row r="46" spans="1:11" ht="18.75" customHeight="1" x14ac:dyDescent="0.35">
      <c r="A46" s="93">
        <v>2024</v>
      </c>
      <c r="B46" t="s">
        <v>174</v>
      </c>
      <c r="C46" s="100">
        <f>IF(OR(Fact_Administrativa[[#This Row], [Año]]="",Fact_Administrativa[[#This Row], [Mes]]=""),"",DATE(A46,MATCH(B46,{"enero","febrero","marzo","abril","mayo","junio","julio","agosto","septiembre","octubre","noviembre","diciembre"},0)+1,0))</f>
        <v>45351</v>
      </c>
      <c r="D46" t="s">
        <v>41</v>
      </c>
      <c r="E46" t="str">
        <f>+IFERROR(VLOOKUP(Fact_Administrativa[[#This Row], [Concepto Anterior]],Conceptos_Administrativa[#All],5,0),"")</f>
        <v>Facturas Procesadas por Marca</v>
      </c>
      <c r="F46" t="str">
        <f ca="1">+IFERROR(VLOOKUP(Fact_Administrativa[[#This Row], [Concepto Anterior]],Conceptos_Administrativa[#All],7,0),"")</f>
        <v/>
      </c>
      <c r="G46" t="s">
        <v>49</v>
      </c>
      <c r="H46" t="s">
        <v>172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93">
        <v>802</v>
      </c>
    </row>
    <row r="47" spans="1:11" ht="18.75" customHeight="1" x14ac:dyDescent="0.35">
      <c r="A47" s="93">
        <v>2024</v>
      </c>
      <c r="B47" t="s">
        <v>174</v>
      </c>
      <c r="C47" s="100">
        <f>IF(OR(Fact_Administrativa[[#This Row], [Año]]="",Fact_Administrativa[[#This Row], [Mes]]=""),"",DATE(A47,MATCH(B47,{"enero","febrero","marzo","abril","mayo","junio","julio","agosto","septiembre","octubre","noviembre","diciembre"},0)+1,0))</f>
        <v>45351</v>
      </c>
      <c r="D47" t="s">
        <v>41</v>
      </c>
      <c r="E47" t="str">
        <f>+IFERROR(VLOOKUP(Fact_Administrativa[[#This Row], [Concepto Anterior]],Conceptos_Administrativa[#All],5,0),"")</f>
        <v>Facturas Procesadas por Marca</v>
      </c>
      <c r="F47" t="str">
        <f ca="1">+IFERROR(VLOOKUP(Fact_Administrativa[[#This Row], [Concepto Anterior]],Conceptos_Administrativa[#All],7,0),"")</f>
        <v/>
      </c>
      <c r="G47" t="s">
        <v>50</v>
      </c>
      <c r="H47" t="s">
        <v>172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93">
        <v>1121</v>
      </c>
    </row>
    <row r="48" spans="1:11" ht="18.75" customHeight="1" x14ac:dyDescent="0.35">
      <c r="A48" s="93">
        <v>2024</v>
      </c>
      <c r="B48" t="s">
        <v>174</v>
      </c>
      <c r="C48" s="100">
        <f>IF(OR(Fact_Administrativa[[#This Row], [Año]]="",Fact_Administrativa[[#This Row], [Mes]]=""),"",DATE(A48,MATCH(B48,{"enero","febrero","marzo","abril","mayo","junio","julio","agosto","septiembre","octubre","noviembre","diciembre"},0)+1,0))</f>
        <v>45351</v>
      </c>
      <c r="D48" t="s">
        <v>41</v>
      </c>
      <c r="E48" t="str">
        <f>+IFERROR(VLOOKUP(Fact_Administrativa[[#This Row], [Concepto Anterior]],Conceptos_Administrativa[#All],5,0),"")</f>
        <v>Facturas Procesadas por Marca</v>
      </c>
      <c r="F48" t="str">
        <f ca="1">+IFERROR(VLOOKUP(Fact_Administrativa[[#This Row], [Concepto Anterior]],Conceptos_Administrativa[#All],7,0),"")</f>
        <v/>
      </c>
      <c r="G48" t="s">
        <v>51</v>
      </c>
      <c r="H48" t="s">
        <v>172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93">
        <v>894</v>
      </c>
    </row>
    <row r="49" spans="1:11" ht="18.75" customHeight="1" x14ac:dyDescent="0.35">
      <c r="A49" s="93">
        <v>2024</v>
      </c>
      <c r="B49" t="s">
        <v>174</v>
      </c>
      <c r="C49" s="100">
        <f>IF(OR(Fact_Administrativa[[#This Row], [Año]]="",Fact_Administrativa[[#This Row], [Mes]]=""),"",DATE(A49,MATCH(B49,{"enero","febrero","marzo","abril","mayo","junio","julio","agosto","septiembre","octubre","noviembre","diciembre"},0)+1,0))</f>
        <v>45351</v>
      </c>
      <c r="D49" t="s">
        <v>41</v>
      </c>
      <c r="E49" t="str">
        <f>+IFERROR(VLOOKUP(Fact_Administrativa[[#This Row], [Concepto Anterior]],Conceptos_Administrativa[#All],5,0),"")</f>
        <v>Facturas Procesadas por Marca</v>
      </c>
      <c r="F49" t="str">
        <f ca="1">+IFERROR(VLOOKUP(Fact_Administrativa[[#This Row], [Concepto Anterior]],Conceptos_Administrativa[#All],7,0),"")</f>
        <v/>
      </c>
      <c r="G49" t="s">
        <v>52</v>
      </c>
      <c r="H49" t="s">
        <v>172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93">
        <v>477</v>
      </c>
    </row>
    <row r="50" spans="1:11" ht="18.75" customHeight="1" x14ac:dyDescent="0.35">
      <c r="A50" s="93">
        <v>2024</v>
      </c>
      <c r="B50" t="s">
        <v>174</v>
      </c>
      <c r="C50" s="100">
        <f>IF(OR(Fact_Administrativa[[#This Row], [Año]]="",Fact_Administrativa[[#This Row], [Mes]]=""),"",DATE(A50,MATCH(B50,{"enero","febrero","marzo","abril","mayo","junio","julio","agosto","septiembre","octubre","noviembre","diciembre"},0)+1,0))</f>
        <v>45351</v>
      </c>
      <c r="D50" t="s">
        <v>41</v>
      </c>
      <c r="E50" t="str">
        <f>+IFERROR(VLOOKUP(Fact_Administrativa[[#This Row], [Concepto Anterior]],Conceptos_Administrativa[#All],5,0),"")</f>
        <v>Facturas Procesadas por Marca</v>
      </c>
      <c r="F50" t="str">
        <f ca="1">+IFERROR(VLOOKUP(Fact_Administrativa[[#This Row], [Concepto Anterior]],Conceptos_Administrativa[#All],7,0),"")</f>
        <v/>
      </c>
      <c r="G50" t="s">
        <v>53</v>
      </c>
      <c r="H50" t="s">
        <v>172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93">
        <v>359</v>
      </c>
    </row>
    <row r="51" spans="1:11" ht="18.75" customHeight="1" x14ac:dyDescent="0.35">
      <c r="A51" s="93">
        <v>2024</v>
      </c>
      <c r="B51" t="s">
        <v>174</v>
      </c>
      <c r="C51" s="100">
        <f>IF(OR(Fact_Administrativa[[#This Row], [Año]]="",Fact_Administrativa[[#This Row], [Mes]]=""),"",DATE(A51,MATCH(B51,{"enero","febrero","marzo","abril","mayo","junio","julio","agosto","septiembre","octubre","noviembre","diciembre"},0)+1,0))</f>
        <v>45351</v>
      </c>
      <c r="D51" t="s">
        <v>41</v>
      </c>
      <c r="E51" t="str">
        <f>+IFERROR(VLOOKUP(Fact_Administrativa[[#This Row], [Concepto Anterior]],Conceptos_Administrativa[#All],5,0),"")</f>
        <v>Facturas Procesadas por Marca</v>
      </c>
      <c r="F51" t="str">
        <f ca="1">+IFERROR(VLOOKUP(Fact_Administrativa[[#This Row], [Concepto Anterior]],Conceptos_Administrativa[#All],7,0),"")</f>
        <v/>
      </c>
      <c r="G51" t="s">
        <v>54</v>
      </c>
      <c r="H51" t="s">
        <v>172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174</v>
      </c>
      <c r="C52" s="100">
        <f>IF(OR(Fact_Administrativa[[#This Row], [Año]]="",Fact_Administrativa[[#This Row], [Mes]]=""),"",DATE(A52,MATCH(B52,{"enero","febrero","marzo","abril","mayo","junio","julio","agosto","septiembre","octubre","noviembre","diciembre"},0)+1,0))</f>
        <v>45351</v>
      </c>
      <c r="D52" t="s">
        <v>55</v>
      </c>
      <c r="E52" t="str">
        <f>+IFERROR(VLOOKUP(Fact_Administrativa[[#This Row], [Concepto Anterior]],Conceptos_Administrativa[#All],5,0),"")</f>
        <v>Facturas Procesadas por Marca</v>
      </c>
      <c r="F52" t="str">
        <f ca="1">+IFERROR(VLOOKUP(Fact_Administrativa[[#This Row], [Concepto Anterior]],Conceptos_Administrativa[#All],7,0),"")</f>
        <v/>
      </c>
      <c r="G52" t="s">
        <v>56</v>
      </c>
      <c r="H52" t="s">
        <v>172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93">
        <v>71</v>
      </c>
    </row>
    <row r="53" spans="1:11" ht="18.75" customHeight="1" x14ac:dyDescent="0.35">
      <c r="A53" s="93">
        <v>2024</v>
      </c>
      <c r="B53" t="s">
        <v>174</v>
      </c>
      <c r="C53" s="100">
        <f>IF(OR(Fact_Administrativa[[#This Row], [Año]]="",Fact_Administrativa[[#This Row], [Mes]]=""),"",DATE(A53,MATCH(B53,{"enero","febrero","marzo","abril","mayo","junio","julio","agosto","septiembre","octubre","noviembre","diciembre"},0)+1,0))</f>
        <v>45351</v>
      </c>
      <c r="D53" t="s">
        <v>57</v>
      </c>
      <c r="E53" t="str">
        <f>+IFERROR(VLOOKUP(Fact_Administrativa[[#This Row], [Concepto Anterior]],Conceptos_Administrativa[#All],5,0),"")</f>
        <v>Facturas Procesadas por Marca</v>
      </c>
      <c r="F53" t="str">
        <f ca="1">+IFERROR(VLOOKUP(Fact_Administrativa[[#This Row], [Concepto Anterior]],Conceptos_Administrativa[#All],7,0),"")</f>
        <v/>
      </c>
      <c r="G53" t="s">
        <v>58</v>
      </c>
      <c r="H53" t="s">
        <v>172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93">
        <v>45</v>
      </c>
    </row>
    <row r="54" spans="1:11" ht="18.75" customHeight="1" x14ac:dyDescent="0.35">
      <c r="A54" s="93">
        <v>2024</v>
      </c>
      <c r="B54" t="s">
        <v>174</v>
      </c>
      <c r="C54" s="100">
        <f>IF(OR(Fact_Administrativa[[#This Row], [Año]]="",Fact_Administrativa[[#This Row], [Mes]]=""),"",DATE(A54,MATCH(B54,{"enero","febrero","marzo","abril","mayo","junio","julio","agosto","septiembre","octubre","noviembre","diciembre"},0)+1,0))</f>
        <v>45351</v>
      </c>
      <c r="D54" t="s">
        <v>28</v>
      </c>
      <c r="E54" t="str">
        <f>+IFERROR(VLOOKUP(Fact_Administrativa[[#This Row], [Concepto Anterior]],Conceptos_Administrativa[#All],5,0),"")</f>
        <v xml:space="preserve">Ahorro reformas tiendas </v>
      </c>
      <c r="F54" t="str">
        <f ca="1">+IFERROR(VLOOKUP(Fact_Administrativa[[#This Row], [Concepto Anterior]],Conceptos_Administrativa[#All],7,0),"")</f>
        <v/>
      </c>
      <c r="G54" t="s">
        <v>172</v>
      </c>
      <c r="H54" t="s">
        <v>172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ht="18.75" customHeight="1" x14ac:dyDescent="0.35">
      <c r="A55" s="93">
        <v>2024</v>
      </c>
      <c r="B55" t="s">
        <v>174</v>
      </c>
      <c r="C55" s="100">
        <f>IF(OR(Fact_Administrativa[[#This Row], [Año]]="",Fact_Administrativa[[#This Row], [Mes]]=""),"",DATE(A55,MATCH(B55,{"enero","febrero","marzo","abril","mayo","junio","julio","agosto","septiembre","octubre","noviembre","diciembre"},0)+1,0))</f>
        <v>45351</v>
      </c>
      <c r="D55" t="s">
        <v>29</v>
      </c>
      <c r="E55" t="str">
        <f>+IFERROR(VLOOKUP(Fact_Administrativa[[#This Row], [Concepto Anterior]],Conceptos_Administrativa[#All],5,0),"")</f>
        <v>Recuperaciones Siniestros</v>
      </c>
      <c r="F55" t="str">
        <f ca="1">+IFERROR(VLOOKUP(Fact_Administrativa[[#This Row], [Concepto Anterior]],Conceptos_Administrativa[#All],7,0),"")</f>
        <v/>
      </c>
      <c r="G55" t="s">
        <v>172</v>
      </c>
      <c r="H55" t="s">
        <v>172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93">
        <v>0</v>
      </c>
    </row>
    <row r="56" spans="1:11" ht="18.75" customHeight="1" x14ac:dyDescent="0.35">
      <c r="A56" s="93">
        <v>2024</v>
      </c>
      <c r="B56" t="s">
        <v>174</v>
      </c>
      <c r="C56" s="100">
        <f>IF(OR(Fact_Administrativa[[#This Row], [Año]]="",Fact_Administrativa[[#This Row], [Mes]]=""),"",DATE(A56,MATCH(B56,{"enero","febrero","marzo","abril","mayo","junio","julio","agosto","septiembre","octubre","noviembre","diciembre"},0)+1,0))</f>
        <v>45351</v>
      </c>
      <c r="D56" t="s">
        <v>30</v>
      </c>
      <c r="E56" t="str">
        <f>+IFERROR(VLOOKUP(Fact_Administrativa[[#This Row], [Concepto Anterior]],Conceptos_Administrativa[#All],5,0),"")</f>
        <v>Gestión de Polizas</v>
      </c>
      <c r="F56" t="str">
        <f ca="1">+IFERROR(VLOOKUP(Fact_Administrativa[[#This Row], [Concepto Anterior]],Conceptos_Administrativa[#All],7,0),"")</f>
        <v/>
      </c>
      <c r="G56" t="s">
        <v>172</v>
      </c>
      <c r="H56" t="s">
        <v>172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174</v>
      </c>
      <c r="C57" s="100">
        <f>IF(OR(Fact_Administrativa[[#This Row], [Año]]="",Fact_Administrativa[[#This Row], [Mes]]=""),"",DATE(A57,MATCH(B57,{"enero","febrero","marzo","abril","mayo","junio","julio","agosto","septiembre","octubre","noviembre","diciembre"},0)+1,0))</f>
        <v>45351</v>
      </c>
      <c r="D57" t="s">
        <v>32</v>
      </c>
      <c r="E57" t="str">
        <f>+IFERROR(VLOOKUP(Fact_Administrativa[[#This Row], [Concepto Anterior]],Conceptos_Administrativa[#All],5,0),"")</f>
        <v>Tickets cerrados</v>
      </c>
      <c r="F57" t="str">
        <f ca="1">+IFERROR(VLOOKUP(Fact_Administrativa[[#This Row], [Concepto Anterior]],Conceptos_Administrativa[#All],7,0),"")</f>
        <v/>
      </c>
      <c r="G57" t="s">
        <v>172</v>
      </c>
      <c r="H57" t="s">
        <v>172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93">
        <v>286</v>
      </c>
    </row>
    <row r="58" spans="1:11" ht="18.75" customHeight="1" x14ac:dyDescent="0.35">
      <c r="A58" s="93">
        <v>2024</v>
      </c>
      <c r="B58" t="s">
        <v>174</v>
      </c>
      <c r="C58" s="100">
        <f>IF(OR(Fact_Administrativa[[#This Row], [Año]]="",Fact_Administrativa[[#This Row], [Mes]]=""),"",DATE(A58,MATCH(B58,{"enero","febrero","marzo","abril","mayo","junio","julio","agosto","septiembre","octubre","noviembre","diciembre"},0)+1,0))</f>
        <v>45351</v>
      </c>
      <c r="D58" t="s">
        <v>210</v>
      </c>
      <c r="E58" t="str">
        <f>+IFERROR(VLOOKUP(Fact_Administrativa[[#This Row], [Concepto Anterior]],Conceptos_Administrativa[#All],5,0),"")</f>
        <v>Tickets proceso</v>
      </c>
      <c r="F58" t="str">
        <f ca="1">+IFERROR(VLOOKUP(Fact_Administrativa[[#This Row], [Concepto Anterior]],Conceptos_Administrativa[#All],7,0),"")</f>
        <v/>
      </c>
      <c r="G58" t="s">
        <v>172</v>
      </c>
      <c r="H58" t="s">
        <v>172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93">
        <v>271</v>
      </c>
    </row>
    <row r="59" spans="1:11" ht="18.75" customHeight="1" x14ac:dyDescent="0.35">
      <c r="A59" s="93">
        <v>2024</v>
      </c>
      <c r="B59" t="s">
        <v>174</v>
      </c>
      <c r="C59" s="100">
        <f>IF(OR(Fact_Administrativa[[#This Row], [Año]]="",Fact_Administrativa[[#This Row], [Mes]]=""),"",DATE(A59,MATCH(B59,{"enero","febrero","marzo","abril","mayo","junio","julio","agosto","septiembre","octubre","noviembre","diciembre"},0)+1,0))</f>
        <v>45351</v>
      </c>
      <c r="D59" t="s">
        <v>31</v>
      </c>
      <c r="E59" t="str">
        <f>+IFERROR(VLOOKUP(Fact_Administrativa[[#This Row], [Concepto Anterior]],Conceptos_Administrativa[#All],5,0),"")</f>
        <v>Tickets recibidos</v>
      </c>
      <c r="F59" t="str">
        <f ca="1">+IFERROR(VLOOKUP(Fact_Administrativa[[#This Row], [Concepto Anterior]],Conceptos_Administrativa[#All],7,0),"")</f>
        <v/>
      </c>
      <c r="G59" t="s">
        <v>172</v>
      </c>
      <c r="H59" t="s">
        <v>172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93">
        <v>557</v>
      </c>
    </row>
    <row r="60" spans="1:11" ht="18.75" customHeight="1" x14ac:dyDescent="0.35">
      <c r="A60" s="102">
        <v>2024</v>
      </c>
      <c r="B60" t="s">
        <v>175</v>
      </c>
      <c r="C60" s="100">
        <f>IF(OR(Fact_Administrativa[[#This Row], [Año]]="",Fact_Administrativa[[#This Row], [Mes]]=""),"",DATE(A60,MATCH(B60,{"enero","febrero","marzo","abril","mayo","junio","julio","agosto","septiembre","octubre","noviembre","diciembre"},0)+1,0))</f>
        <v>45382</v>
      </c>
      <c r="D60" t="s">
        <v>27</v>
      </c>
      <c r="E60" t="str">
        <f>+IFERROR(VLOOKUP(Fact_Administrativa[[#This Row], [Concepto Anterior]],Conceptos_Administrativa[#All],5,0),"")</f>
        <v>Ahorro energía</v>
      </c>
      <c r="F60" t="str">
        <f ca="1">+IFERROR(VLOOKUP(Fact_Administrativa[[#This Row], [Concepto Anterior]],Conceptos_Administrativa[#All],7,0),"")</f>
        <v/>
      </c>
      <c r="G60" t="s">
        <v>172</v>
      </c>
      <c r="H60" t="s">
        <v>172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93">
        <v>23858082</v>
      </c>
    </row>
    <row r="61" spans="1:11" ht="18.75" customHeight="1" x14ac:dyDescent="0.35">
      <c r="A61" s="93">
        <v>2024</v>
      </c>
      <c r="B61" t="s">
        <v>175</v>
      </c>
      <c r="C61" s="100">
        <f>IF(OR(Fact_Administrativa[[#This Row], [Año]]="",Fact_Administrativa[[#This Row], [Mes]]=""),"",DATE(A61,MATCH(B61,{"enero","febrero","marzo","abril","mayo","junio","julio","agosto","septiembre","octubre","noviembre","diciembre"},0)+1,0))</f>
        <v>45382</v>
      </c>
      <c r="D61" t="s">
        <v>19</v>
      </c>
      <c r="E61" t="str">
        <f>+IFERROR(VLOOKUP(Fact_Administrativa[[#This Row], [Concepto Anterior]],Conceptos_Administrativa[#All],5,0),"")</f>
        <v>Aporte fundación</v>
      </c>
      <c r="F61" t="str">
        <f ca="1">+IFERROR(VLOOKUP(Fact_Administrativa[[#This Row], [Concepto Anterior]],Conceptos_Administrativa[#All],7,0),"")</f>
        <v/>
      </c>
      <c r="G61" t="s">
        <v>172</v>
      </c>
      <c r="H61" t="s">
        <v>172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93">
        <v>7710320</v>
      </c>
    </row>
    <row r="62" spans="1:11" ht="18.75" customHeight="1" x14ac:dyDescent="0.35">
      <c r="A62" s="93">
        <v>2024</v>
      </c>
      <c r="B62" t="s">
        <v>175</v>
      </c>
      <c r="C62" s="100">
        <f>IF(OR(Fact_Administrativa[[#This Row], [Año]]="",Fact_Administrativa[[#This Row], [Mes]]=""),"",DATE(A62,MATCH(B62,{"enero","febrero","marzo","abril","mayo","junio","julio","agosto","septiembre","octubre","noviembre","diciembre"},0)+1,0))</f>
        <v>45382</v>
      </c>
      <c r="D62" t="s">
        <v>39</v>
      </c>
      <c r="E62" t="str">
        <f>+IFERROR(VLOOKUP(Fact_Administrativa[[#This Row], [Concepto Anterior]],Conceptos_Administrativa[#All],5,0),"")</f>
        <v>Cantidad de tiendas remodeladas</v>
      </c>
      <c r="F62" t="str">
        <f ca="1">+IFERROR(VLOOKUP(Fact_Administrativa[[#This Row], [Concepto Anterior]],Conceptos_Administrativa[#All],7,0),"")</f>
        <v/>
      </c>
      <c r="G62" t="s">
        <v>172</v>
      </c>
      <c r="H62" t="s">
        <v>172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175</v>
      </c>
      <c r="C63" s="100">
        <f>IF(OR(Fact_Administrativa[[#This Row], [Año]]="",Fact_Administrativa[[#This Row], [Mes]]=""),"",DATE(A63,MATCH(B63,{"enero","febrero","marzo","abril","mayo","junio","julio","agosto","septiembre","octubre","noviembre","diciembre"},0)+1,0))</f>
        <v>45382</v>
      </c>
      <c r="D63" t="s">
        <v>40</v>
      </c>
      <c r="E63" t="str">
        <f>+IFERROR(VLOOKUP(Fact_Administrativa[[#This Row], [Concepto Anterior]],Conceptos_Administrativa[#All],5,0),"")</f>
        <v xml:space="preserve">Contratos de arrendamientos </v>
      </c>
      <c r="F63" t="str">
        <f ca="1">+IFERROR(VLOOKUP(Fact_Administrativa[[#This Row], [Concepto Anterior]],Conceptos_Administrativa[#All],7,0),"")</f>
        <v/>
      </c>
      <c r="G63" t="s">
        <v>172</v>
      </c>
      <c r="H63" t="s">
        <v>172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175</v>
      </c>
      <c r="C64" s="100">
        <f>IF(OR(Fact_Administrativa[[#This Row], [Año]]="",Fact_Administrativa[[#This Row], [Mes]]=""),"",DATE(A64,MATCH(B64,{"enero","febrero","marzo","abril","mayo","junio","julio","agosto","septiembre","octubre","noviembre","diciembre"},0)+1,0))</f>
        <v>45382</v>
      </c>
      <c r="D64" t="s">
        <v>25</v>
      </c>
      <c r="E64" t="str">
        <f>+IFERROR(VLOOKUP(Fact_Administrativa[[#This Row], [Concepto Anterior]],Conceptos_Administrativa[#All],5,0),"")</f>
        <v>Control Ingresos cede Dogama</v>
      </c>
      <c r="F64" t="str">
        <f ca="1">+IFERROR(VLOOKUP(Fact_Administrativa[[#This Row], [Concepto Anterior]],Conceptos_Administrativa[#All],7,0),"")</f>
        <v/>
      </c>
      <c r="G64" t="s">
        <v>172</v>
      </c>
      <c r="H64" t="s">
        <v>172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93">
        <v>13532</v>
      </c>
    </row>
    <row r="65" spans="1:11" ht="18.75" customHeight="1" x14ac:dyDescent="0.35">
      <c r="A65" s="93">
        <v>2024</v>
      </c>
      <c r="B65" t="s">
        <v>175</v>
      </c>
      <c r="C65" s="100">
        <f>IF(OR(Fact_Administrativa[[#This Row], [Año]]="",Fact_Administrativa[[#This Row], [Mes]]=""),"",DATE(A65,MATCH(B65,{"enero","febrero","marzo","abril","mayo","junio","julio","agosto","septiembre","octubre","noviembre","diciembre"},0)+1,0))</f>
        <v>45382</v>
      </c>
      <c r="D65" t="s">
        <v>34</v>
      </c>
      <c r="E65" t="str">
        <f>+IFERROR(VLOOKUP(Fact_Administrativa[[#This Row], [Concepto Anterior]],Conceptos_Administrativa[#All],5,0),"")</f>
        <v>% Tickets Cumplimiento</v>
      </c>
      <c r="F65" t="str">
        <f ca="1">+IFERROR(VLOOKUP(Fact_Administrativa[[#This Row], [Concepto Anterior]],Conceptos_Administrativa[#All],7,0),"")</f>
        <v/>
      </c>
      <c r="G65" t="s">
        <v>172</v>
      </c>
      <c r="H65" t="s">
        <v>172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92">
        <v>0.54693877551020409</v>
      </c>
    </row>
    <row r="66" spans="1:11" ht="18.75" customHeight="1" x14ac:dyDescent="0.35">
      <c r="A66" s="93">
        <v>2024</v>
      </c>
      <c r="B66" t="s">
        <v>175</v>
      </c>
      <c r="C66" s="100">
        <f>IF(OR(Fact_Administrativa[[#This Row], [Año]]="",Fact_Administrativa[[#This Row], [Mes]]=""),"",DATE(A66,MATCH(B66,{"enero","febrero","marzo","abril","mayo","junio","julio","agosto","septiembre","octubre","noviembre","diciembre"},0)+1,0))</f>
        <v>45382</v>
      </c>
      <c r="D66" t="s">
        <v>209</v>
      </c>
      <c r="E66" t="str">
        <f>+IFERROR(VLOOKUP(Fact_Administrativa[[#This Row], [Concepto Anterior]],Conceptos_Administrativa[#All],5,0),"")</f>
        <v>Emisiones CO²</v>
      </c>
      <c r="F66" t="str">
        <f ca="1">+IFERROR(VLOOKUP(Fact_Administrativa[[#This Row], [Concepto Anterior]],Conceptos_Administrativa[#All],7,0),"")</f>
        <v/>
      </c>
      <c r="G66" t="s">
        <v>172</v>
      </c>
      <c r="H66" t="s">
        <v>172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92">
        <v>25.4</v>
      </c>
    </row>
    <row r="67" spans="1:11" ht="18.75" customHeight="1" x14ac:dyDescent="0.35">
      <c r="A67" s="93">
        <v>2024</v>
      </c>
      <c r="B67" t="s">
        <v>175</v>
      </c>
      <c r="C67" s="100">
        <f>IF(OR(Fact_Administrativa[[#This Row], [Año]]="",Fact_Administrativa[[#This Row], [Mes]]=""),"",DATE(A67,MATCH(B67,{"enero","febrero","marzo","abril","mayo","junio","julio","agosto","septiembre","octubre","noviembre","diciembre"},0)+1,0))</f>
        <v>45382</v>
      </c>
      <c r="D67" t="s">
        <v>38</v>
      </c>
      <c r="E67" t="str">
        <f>+IFERROR(VLOOKUP(Fact_Administrativa[[#This Row], [Concepto Anterior]],Conceptos_Administrativa[#All],5,0),"")</f>
        <v>Facturas de arrendamientos y administración</v>
      </c>
      <c r="F67" t="str">
        <f ca="1">+IFERROR(VLOOKUP(Fact_Administrativa[[#This Row], [Concepto Anterior]],Conceptos_Administrativa[#All],7,0),"")</f>
        <v/>
      </c>
      <c r="G67" t="s">
        <v>172</v>
      </c>
      <c r="H67" t="s">
        <v>172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93">
        <v>1073</v>
      </c>
    </row>
    <row r="68" spans="1:11" ht="18.75" customHeight="1" x14ac:dyDescent="0.35">
      <c r="A68" s="93">
        <v>2024</v>
      </c>
      <c r="B68" t="s">
        <v>175</v>
      </c>
      <c r="C68" s="100">
        <f>IF(OR(Fact_Administrativa[[#This Row], [Año]]="",Fact_Administrativa[[#This Row], [Mes]]=""),"",DATE(A68,MATCH(B68,{"enero","febrero","marzo","abril","mayo","junio","julio","agosto","septiembre","octubre","noviembre","diciembre"},0)+1,0))</f>
        <v>45382</v>
      </c>
      <c r="D68" t="s">
        <v>41</v>
      </c>
      <c r="E68" t="str">
        <f>+IFERROR(VLOOKUP(Fact_Administrativa[[#This Row], [Concepto Anterior]],Conceptos_Administrativa[#All],5,0),"")</f>
        <v>Facturas Procesadas por Marca</v>
      </c>
      <c r="F68" t="str">
        <f ca="1">+IFERROR(VLOOKUP(Fact_Administrativa[[#This Row], [Concepto Anterior]],Conceptos_Administrativa[#All],7,0),"")</f>
        <v/>
      </c>
      <c r="G68" t="s">
        <v>42</v>
      </c>
      <c r="H68" t="s">
        <v>172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93">
        <v>660</v>
      </c>
    </row>
    <row r="69" spans="1:11" ht="18.75" customHeight="1" x14ac:dyDescent="0.35">
      <c r="A69" s="93">
        <v>2024</v>
      </c>
      <c r="B69" t="s">
        <v>175</v>
      </c>
      <c r="C69" s="100">
        <f>IF(OR(Fact_Administrativa[[#This Row], [Año]]="",Fact_Administrativa[[#This Row], [Mes]]=""),"",DATE(A69,MATCH(B69,{"enero","febrero","marzo","abril","mayo","junio","julio","agosto","septiembre","octubre","noviembre","diciembre"},0)+1,0))</f>
        <v>45382</v>
      </c>
      <c r="D69" t="s">
        <v>41</v>
      </c>
      <c r="E69" t="str">
        <f>+IFERROR(VLOOKUP(Fact_Administrativa[[#This Row], [Concepto Anterior]],Conceptos_Administrativa[#All],5,0),"")</f>
        <v>Facturas Procesadas por Marca</v>
      </c>
      <c r="F69" t="str">
        <f ca="1">+IFERROR(VLOOKUP(Fact_Administrativa[[#This Row], [Concepto Anterior]],Conceptos_Administrativa[#All],7,0),"")</f>
        <v/>
      </c>
      <c r="G69" t="s">
        <v>43</v>
      </c>
      <c r="H69" t="s">
        <v>172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93">
        <v>1001</v>
      </c>
    </row>
    <row r="70" spans="1:11" ht="18.75" customHeight="1" x14ac:dyDescent="0.35">
      <c r="A70" s="93">
        <v>2024</v>
      </c>
      <c r="B70" t="s">
        <v>175</v>
      </c>
      <c r="C70" s="100">
        <f>IF(OR(Fact_Administrativa[[#This Row], [Año]]="",Fact_Administrativa[[#This Row], [Mes]]=""),"",DATE(A70,MATCH(B70,{"enero","febrero","marzo","abril","mayo","junio","julio","agosto","septiembre","octubre","noviembre","diciembre"},0)+1,0))</f>
        <v>45382</v>
      </c>
      <c r="D70" t="s">
        <v>41</v>
      </c>
      <c r="E70" t="str">
        <f>+IFERROR(VLOOKUP(Fact_Administrativa[[#This Row], [Concepto Anterior]],Conceptos_Administrativa[#All],5,0),"")</f>
        <v>Facturas Procesadas por Marca</v>
      </c>
      <c r="F70" t="str">
        <f ca="1">+IFERROR(VLOOKUP(Fact_Administrativa[[#This Row], [Concepto Anterior]],Conceptos_Administrativa[#All],7,0),"")</f>
        <v/>
      </c>
      <c r="G70" t="s">
        <v>44</v>
      </c>
      <c r="H70" t="s">
        <v>172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93">
        <v>937</v>
      </c>
    </row>
    <row r="71" spans="1:11" ht="18.75" customHeight="1" x14ac:dyDescent="0.35">
      <c r="A71" s="93">
        <v>2024</v>
      </c>
      <c r="B71" t="s">
        <v>175</v>
      </c>
      <c r="C71" s="100">
        <f>IF(OR(Fact_Administrativa[[#This Row], [Año]]="",Fact_Administrativa[[#This Row], [Mes]]=""),"",DATE(A71,MATCH(B71,{"enero","febrero","marzo","abril","mayo","junio","julio","agosto","septiembre","octubre","noviembre","diciembre"},0)+1,0))</f>
        <v>45382</v>
      </c>
      <c r="D71" t="s">
        <v>41</v>
      </c>
      <c r="E71" t="str">
        <f>+IFERROR(VLOOKUP(Fact_Administrativa[[#This Row], [Concepto Anterior]],Conceptos_Administrativa[#All],5,0),"")</f>
        <v>Facturas Procesadas por Marca</v>
      </c>
      <c r="F71" t="str">
        <f ca="1">+IFERROR(VLOOKUP(Fact_Administrativa[[#This Row], [Concepto Anterior]],Conceptos_Administrativa[#All],7,0),"")</f>
        <v/>
      </c>
      <c r="G71" t="s">
        <v>45</v>
      </c>
      <c r="H71" t="s">
        <v>172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93">
        <v>569</v>
      </c>
    </row>
    <row r="72" spans="1:11" ht="18.75" customHeight="1" x14ac:dyDescent="0.35">
      <c r="A72" s="93">
        <v>2024</v>
      </c>
      <c r="B72" t="s">
        <v>175</v>
      </c>
      <c r="C72" s="100">
        <f>IF(OR(Fact_Administrativa[[#This Row], [Año]]="",Fact_Administrativa[[#This Row], [Mes]]=""),"",DATE(A72,MATCH(B72,{"enero","febrero","marzo","abril","mayo","junio","julio","agosto","septiembre","octubre","noviembre","diciembre"},0)+1,0))</f>
        <v>45382</v>
      </c>
      <c r="D72" t="s">
        <v>41</v>
      </c>
      <c r="E72" t="str">
        <f>+IFERROR(VLOOKUP(Fact_Administrativa[[#This Row], [Concepto Anterior]],Conceptos_Administrativa[#All],5,0),"")</f>
        <v>Facturas Procesadas por Marca</v>
      </c>
      <c r="F72" t="str">
        <f ca="1">+IFERROR(VLOOKUP(Fact_Administrativa[[#This Row], [Concepto Anterior]],Conceptos_Administrativa[#All],7,0),"")</f>
        <v/>
      </c>
      <c r="G72" t="s">
        <v>46</v>
      </c>
      <c r="H72" t="s">
        <v>172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175</v>
      </c>
      <c r="C73" s="100">
        <f>IF(OR(Fact_Administrativa[[#This Row], [Año]]="",Fact_Administrativa[[#This Row], [Mes]]=""),"",DATE(A73,MATCH(B73,{"enero","febrero","marzo","abril","mayo","junio","julio","agosto","septiembre","octubre","noviembre","diciembre"},0)+1,0))</f>
        <v>45382</v>
      </c>
      <c r="D73" t="s">
        <v>41</v>
      </c>
      <c r="E73" t="str">
        <f>+IFERROR(VLOOKUP(Fact_Administrativa[[#This Row], [Concepto Anterior]],Conceptos_Administrativa[#All],5,0),"")</f>
        <v>Facturas Procesadas por Marca</v>
      </c>
      <c r="F73" t="str">
        <f ca="1">+IFERROR(VLOOKUP(Fact_Administrativa[[#This Row], [Concepto Anterior]],Conceptos_Administrativa[#All],7,0),"")</f>
        <v/>
      </c>
      <c r="G73" t="s">
        <v>47</v>
      </c>
      <c r="H73" t="s">
        <v>172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175</v>
      </c>
      <c r="C74" s="100">
        <f>IF(OR(Fact_Administrativa[[#This Row], [Año]]="",Fact_Administrativa[[#This Row], [Mes]]=""),"",DATE(A74,MATCH(B74,{"enero","febrero","marzo","abril","mayo","junio","julio","agosto","septiembre","octubre","noviembre","diciembre"},0)+1,0))</f>
        <v>45382</v>
      </c>
      <c r="D74" t="s">
        <v>41</v>
      </c>
      <c r="E74" t="str">
        <f>+IFERROR(VLOOKUP(Fact_Administrativa[[#This Row], [Concepto Anterior]],Conceptos_Administrativa[#All],5,0),"")</f>
        <v>Facturas Procesadas por Marca</v>
      </c>
      <c r="F74" t="str">
        <f ca="1">+IFERROR(VLOOKUP(Fact_Administrativa[[#This Row], [Concepto Anterior]],Conceptos_Administrativa[#All],7,0),"")</f>
        <v/>
      </c>
      <c r="G74" t="s">
        <v>48</v>
      </c>
      <c r="H74" t="s">
        <v>172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93">
        <v>1588</v>
      </c>
    </row>
    <row r="75" spans="1:11" ht="18.75" customHeight="1" x14ac:dyDescent="0.35">
      <c r="A75" s="93">
        <v>2024</v>
      </c>
      <c r="B75" t="s">
        <v>175</v>
      </c>
      <c r="C75" s="100">
        <f>IF(OR(Fact_Administrativa[[#This Row], [Año]]="",Fact_Administrativa[[#This Row], [Mes]]=""),"",DATE(A75,MATCH(B75,{"enero","febrero","marzo","abril","mayo","junio","julio","agosto","septiembre","octubre","noviembre","diciembre"},0)+1,0))</f>
        <v>45382</v>
      </c>
      <c r="D75" t="s">
        <v>41</v>
      </c>
      <c r="E75" t="str">
        <f>+IFERROR(VLOOKUP(Fact_Administrativa[[#This Row], [Concepto Anterior]],Conceptos_Administrativa[#All],5,0),"")</f>
        <v>Facturas Procesadas por Marca</v>
      </c>
      <c r="F75" t="str">
        <f ca="1">+IFERROR(VLOOKUP(Fact_Administrativa[[#This Row], [Concepto Anterior]],Conceptos_Administrativa[#All],7,0),"")</f>
        <v/>
      </c>
      <c r="G75" t="s">
        <v>49</v>
      </c>
      <c r="H75" t="s">
        <v>172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93">
        <v>805</v>
      </c>
    </row>
    <row r="76" spans="1:11" ht="18.75" customHeight="1" x14ac:dyDescent="0.35">
      <c r="A76" s="93">
        <v>2024</v>
      </c>
      <c r="B76" t="s">
        <v>175</v>
      </c>
      <c r="C76" s="100">
        <f>IF(OR(Fact_Administrativa[[#This Row], [Año]]="",Fact_Administrativa[[#This Row], [Mes]]=""),"",DATE(A76,MATCH(B76,{"enero","febrero","marzo","abril","mayo","junio","julio","agosto","septiembre","octubre","noviembre","diciembre"},0)+1,0))</f>
        <v>45382</v>
      </c>
      <c r="D76" t="s">
        <v>41</v>
      </c>
      <c r="E76" t="str">
        <f>+IFERROR(VLOOKUP(Fact_Administrativa[[#This Row], [Concepto Anterior]],Conceptos_Administrativa[#All],5,0),"")</f>
        <v>Facturas Procesadas por Marca</v>
      </c>
      <c r="F76" t="str">
        <f ca="1">+IFERROR(VLOOKUP(Fact_Administrativa[[#This Row], [Concepto Anterior]],Conceptos_Administrativa[#All],7,0),"")</f>
        <v/>
      </c>
      <c r="G76" t="s">
        <v>50</v>
      </c>
      <c r="H76" t="s">
        <v>172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93">
        <v>1022</v>
      </c>
    </row>
    <row r="77" spans="1:11" ht="18.75" customHeight="1" x14ac:dyDescent="0.35">
      <c r="A77" s="93">
        <v>2024</v>
      </c>
      <c r="B77" t="s">
        <v>175</v>
      </c>
      <c r="C77" s="100">
        <f>IF(OR(Fact_Administrativa[[#This Row], [Año]]="",Fact_Administrativa[[#This Row], [Mes]]=""),"",DATE(A77,MATCH(B77,{"enero","febrero","marzo","abril","mayo","junio","julio","agosto","septiembre","octubre","noviembre","diciembre"},0)+1,0))</f>
        <v>45382</v>
      </c>
      <c r="D77" t="s">
        <v>41</v>
      </c>
      <c r="E77" t="str">
        <f>+IFERROR(VLOOKUP(Fact_Administrativa[[#This Row], [Concepto Anterior]],Conceptos_Administrativa[#All],5,0),"")</f>
        <v>Facturas Procesadas por Marca</v>
      </c>
      <c r="F77" t="str">
        <f ca="1">+IFERROR(VLOOKUP(Fact_Administrativa[[#This Row], [Concepto Anterior]],Conceptos_Administrativa[#All],7,0),"")</f>
        <v/>
      </c>
      <c r="G77" t="s">
        <v>51</v>
      </c>
      <c r="H77" t="s">
        <v>172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93">
        <v>2233</v>
      </c>
    </row>
    <row r="78" spans="1:11" ht="18.75" customHeight="1" x14ac:dyDescent="0.35">
      <c r="A78" s="93">
        <v>2024</v>
      </c>
      <c r="B78" t="s">
        <v>175</v>
      </c>
      <c r="C78" s="100">
        <f>IF(OR(Fact_Administrativa[[#This Row], [Año]]="",Fact_Administrativa[[#This Row], [Mes]]=""),"",DATE(A78,MATCH(B78,{"enero","febrero","marzo","abril","mayo","junio","julio","agosto","septiembre","octubre","noviembre","diciembre"},0)+1,0))</f>
        <v>45382</v>
      </c>
      <c r="D78" t="s">
        <v>41</v>
      </c>
      <c r="E78" t="str">
        <f>+IFERROR(VLOOKUP(Fact_Administrativa[[#This Row], [Concepto Anterior]],Conceptos_Administrativa[#All],5,0),"")</f>
        <v>Facturas Procesadas por Marca</v>
      </c>
      <c r="F78" t="str">
        <f ca="1">+IFERROR(VLOOKUP(Fact_Administrativa[[#This Row], [Concepto Anterior]],Conceptos_Administrativa[#All],7,0),"")</f>
        <v/>
      </c>
      <c r="G78" t="s">
        <v>52</v>
      </c>
      <c r="H78" t="s">
        <v>172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93">
        <v>472</v>
      </c>
    </row>
    <row r="79" spans="1:11" ht="18.75" customHeight="1" x14ac:dyDescent="0.35">
      <c r="A79" s="93">
        <v>2024</v>
      </c>
      <c r="B79" t="s">
        <v>175</v>
      </c>
      <c r="C79" s="100">
        <f>IF(OR(Fact_Administrativa[[#This Row], [Año]]="",Fact_Administrativa[[#This Row], [Mes]]=""),"",DATE(A79,MATCH(B79,{"enero","febrero","marzo","abril","mayo","junio","julio","agosto","septiembre","octubre","noviembre","diciembre"},0)+1,0))</f>
        <v>45382</v>
      </c>
      <c r="D79" t="s">
        <v>41</v>
      </c>
      <c r="E79" t="str">
        <f>+IFERROR(VLOOKUP(Fact_Administrativa[[#This Row], [Concepto Anterior]],Conceptos_Administrativa[#All],5,0),"")</f>
        <v>Facturas Procesadas por Marca</v>
      </c>
      <c r="F79" t="str">
        <f ca="1">+IFERROR(VLOOKUP(Fact_Administrativa[[#This Row], [Concepto Anterior]],Conceptos_Administrativa[#All],7,0),"")</f>
        <v/>
      </c>
      <c r="G79" t="s">
        <v>53</v>
      </c>
      <c r="H79" t="s">
        <v>172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93">
        <v>493</v>
      </c>
    </row>
    <row r="80" spans="1:11" ht="18.75" customHeight="1" x14ac:dyDescent="0.35">
      <c r="A80" s="93">
        <v>2024</v>
      </c>
      <c r="B80" t="s">
        <v>175</v>
      </c>
      <c r="C80" s="100">
        <f>IF(OR(Fact_Administrativa[[#This Row], [Año]]="",Fact_Administrativa[[#This Row], [Mes]]=""),"",DATE(A80,MATCH(B80,{"enero","febrero","marzo","abril","mayo","junio","julio","agosto","septiembre","octubre","noviembre","diciembre"},0)+1,0))</f>
        <v>45382</v>
      </c>
      <c r="D80" t="s">
        <v>41</v>
      </c>
      <c r="E80" t="str">
        <f>+IFERROR(VLOOKUP(Fact_Administrativa[[#This Row], [Concepto Anterior]],Conceptos_Administrativa[#All],5,0),"")</f>
        <v>Facturas Procesadas por Marca</v>
      </c>
      <c r="F80" t="str">
        <f ca="1">+IFERROR(VLOOKUP(Fact_Administrativa[[#This Row], [Concepto Anterior]],Conceptos_Administrativa[#All],7,0),"")</f>
        <v/>
      </c>
      <c r="G80" t="s">
        <v>54</v>
      </c>
      <c r="H80" t="s">
        <v>172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93">
        <v>3</v>
      </c>
    </row>
    <row r="81" spans="1:11" ht="18.75" customHeight="1" x14ac:dyDescent="0.35">
      <c r="A81" s="93">
        <v>2024</v>
      </c>
      <c r="B81" t="s">
        <v>175</v>
      </c>
      <c r="C81" s="100">
        <f>IF(OR(Fact_Administrativa[[#This Row], [Año]]="",Fact_Administrativa[[#This Row], [Mes]]=""),"",DATE(A81,MATCH(B81,{"enero","febrero","marzo","abril","mayo","junio","julio","agosto","septiembre","octubre","noviembre","diciembre"},0)+1,0))</f>
        <v>45382</v>
      </c>
      <c r="D81" t="s">
        <v>55</v>
      </c>
      <c r="E81" t="str">
        <f>+IFERROR(VLOOKUP(Fact_Administrativa[[#This Row], [Concepto Anterior]],Conceptos_Administrativa[#All],5,0),"")</f>
        <v>Facturas Procesadas por Marca</v>
      </c>
      <c r="F81" t="str">
        <f ca="1">+IFERROR(VLOOKUP(Fact_Administrativa[[#This Row], [Concepto Anterior]],Conceptos_Administrativa[#All],7,0),"")</f>
        <v/>
      </c>
      <c r="G81" t="s">
        <v>56</v>
      </c>
      <c r="H81" t="s">
        <v>172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93">
        <v>74</v>
      </c>
    </row>
    <row r="82" spans="1:11" ht="18.75" customHeight="1" x14ac:dyDescent="0.35">
      <c r="A82" s="93">
        <v>2024</v>
      </c>
      <c r="B82" t="s">
        <v>175</v>
      </c>
      <c r="C82" s="100">
        <f>IF(OR(Fact_Administrativa[[#This Row], [Año]]="",Fact_Administrativa[[#This Row], [Mes]]=""),"",DATE(A82,MATCH(B82,{"enero","febrero","marzo","abril","mayo","junio","julio","agosto","septiembre","octubre","noviembre","diciembre"},0)+1,0))</f>
        <v>45382</v>
      </c>
      <c r="D82" t="s">
        <v>57</v>
      </c>
      <c r="E82" t="str">
        <f>+IFERROR(VLOOKUP(Fact_Administrativa[[#This Row], [Concepto Anterior]],Conceptos_Administrativa[#All],5,0),"")</f>
        <v>Facturas Procesadas por Marca</v>
      </c>
      <c r="F82" t="str">
        <f ca="1">+IFERROR(VLOOKUP(Fact_Administrativa[[#This Row], [Concepto Anterior]],Conceptos_Administrativa[#All],7,0),"")</f>
        <v/>
      </c>
      <c r="G82" t="s">
        <v>58</v>
      </c>
      <c r="H82" t="s">
        <v>172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93">
        <v>42</v>
      </c>
    </row>
    <row r="83" spans="1:11" ht="18.75" customHeight="1" x14ac:dyDescent="0.35">
      <c r="A83" s="93">
        <v>2024</v>
      </c>
      <c r="B83" t="s">
        <v>175</v>
      </c>
      <c r="C83" s="100">
        <f>IF(OR(Fact_Administrativa[[#This Row], [Año]]="",Fact_Administrativa[[#This Row], [Mes]]=""),"",DATE(A83,MATCH(B83,{"enero","febrero","marzo","abril","mayo","junio","julio","agosto","septiembre","octubre","noviembre","diciembre"},0)+1,0))</f>
        <v>45382</v>
      </c>
      <c r="D83" t="s">
        <v>28</v>
      </c>
      <c r="E83" t="str">
        <f>+IFERROR(VLOOKUP(Fact_Administrativa[[#This Row], [Concepto Anterior]],Conceptos_Administrativa[#All],5,0),"")</f>
        <v xml:space="preserve">Ahorro reformas tiendas </v>
      </c>
      <c r="F83" t="str">
        <f ca="1">+IFERROR(VLOOKUP(Fact_Administrativa[[#This Row], [Concepto Anterior]],Conceptos_Administrativa[#All],7,0),"")</f>
        <v/>
      </c>
      <c r="G83" t="s">
        <v>172</v>
      </c>
      <c r="H83" t="s">
        <v>172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93">
        <v>0</v>
      </c>
    </row>
    <row r="84" spans="1:11" ht="18.75" customHeight="1" x14ac:dyDescent="0.35">
      <c r="A84" s="93">
        <v>2024</v>
      </c>
      <c r="B84" t="s">
        <v>175</v>
      </c>
      <c r="C84" s="100">
        <f>IF(OR(Fact_Administrativa[[#This Row], [Año]]="",Fact_Administrativa[[#This Row], [Mes]]=""),"",DATE(A84,MATCH(B84,{"enero","febrero","marzo","abril","mayo","junio","julio","agosto","septiembre","octubre","noviembre","diciembre"},0)+1,0))</f>
        <v>45382</v>
      </c>
      <c r="D84" t="s">
        <v>29</v>
      </c>
      <c r="E84" t="str">
        <f>+IFERROR(VLOOKUP(Fact_Administrativa[[#This Row], [Concepto Anterior]],Conceptos_Administrativa[#All],5,0),"")</f>
        <v>Recuperaciones Siniestros</v>
      </c>
      <c r="F84" t="str">
        <f ca="1">+IFERROR(VLOOKUP(Fact_Administrativa[[#This Row], [Concepto Anterior]],Conceptos_Administrativa[#All],7,0),"")</f>
        <v/>
      </c>
      <c r="G84" t="s">
        <v>172</v>
      </c>
      <c r="H84" t="s">
        <v>172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93">
        <v>23314760</v>
      </c>
    </row>
    <row r="85" spans="1:11" ht="18.75" customHeight="1" x14ac:dyDescent="0.35">
      <c r="A85" s="93">
        <v>2024</v>
      </c>
      <c r="B85" t="s">
        <v>175</v>
      </c>
      <c r="C85" s="100">
        <f>IF(OR(Fact_Administrativa[[#This Row], [Año]]="",Fact_Administrativa[[#This Row], [Mes]]=""),"",DATE(A85,MATCH(B85,{"enero","febrero","marzo","abril","mayo","junio","julio","agosto","septiembre","octubre","noviembre","diciembre"},0)+1,0))</f>
        <v>45382</v>
      </c>
      <c r="D85" t="s">
        <v>30</v>
      </c>
      <c r="E85" t="str">
        <f>+IFERROR(VLOOKUP(Fact_Administrativa[[#This Row], [Concepto Anterior]],Conceptos_Administrativa[#All],5,0),"")</f>
        <v>Gestión de Polizas</v>
      </c>
      <c r="F85" t="str">
        <f ca="1">+IFERROR(VLOOKUP(Fact_Administrativa[[#This Row], [Concepto Anterior]],Conceptos_Administrativa[#All],7,0),"")</f>
        <v/>
      </c>
      <c r="G85" t="s">
        <v>172</v>
      </c>
      <c r="H85" t="s">
        <v>172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93">
        <v>0</v>
      </c>
    </row>
    <row r="86" spans="1:11" ht="18.75" customHeight="1" x14ac:dyDescent="0.35">
      <c r="A86" s="93">
        <v>2024</v>
      </c>
      <c r="B86" t="s">
        <v>175</v>
      </c>
      <c r="C86" s="100">
        <f>IF(OR(Fact_Administrativa[[#This Row], [Año]]="",Fact_Administrativa[[#This Row], [Mes]]=""),"",DATE(A86,MATCH(B86,{"enero","febrero","marzo","abril","mayo","junio","julio","agosto","septiembre","octubre","noviembre","diciembre"},0)+1,0))</f>
        <v>45382</v>
      </c>
      <c r="D86" t="s">
        <v>32</v>
      </c>
      <c r="E86" t="str">
        <f>+IFERROR(VLOOKUP(Fact_Administrativa[[#This Row], [Concepto Anterior]],Conceptos_Administrativa[#All],5,0),"")</f>
        <v>Tickets cerrados</v>
      </c>
      <c r="F86" t="str">
        <f ca="1">+IFERROR(VLOOKUP(Fact_Administrativa[[#This Row], [Concepto Anterior]],Conceptos_Administrativa[#All],7,0),"")</f>
        <v/>
      </c>
      <c r="G86" t="s">
        <v>172</v>
      </c>
      <c r="H86" t="s">
        <v>172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93">
        <v>402</v>
      </c>
    </row>
    <row r="87" spans="1:11" ht="18.75" customHeight="1" x14ac:dyDescent="0.35">
      <c r="A87" s="93">
        <v>2024</v>
      </c>
      <c r="B87" t="s">
        <v>175</v>
      </c>
      <c r="C87" s="100">
        <f>IF(OR(Fact_Administrativa[[#This Row], [Año]]="",Fact_Administrativa[[#This Row], [Mes]]=""),"",DATE(A87,MATCH(B87,{"enero","febrero","marzo","abril","mayo","junio","julio","agosto","septiembre","octubre","noviembre","diciembre"},0)+1,0))</f>
        <v>45382</v>
      </c>
      <c r="D87" t="s">
        <v>210</v>
      </c>
      <c r="E87" t="str">
        <f>+IFERROR(VLOOKUP(Fact_Administrativa[[#This Row], [Concepto Anterior]],Conceptos_Administrativa[#All],5,0),"")</f>
        <v>Tickets proceso</v>
      </c>
      <c r="F87" t="str">
        <f ca="1">+IFERROR(VLOOKUP(Fact_Administrativa[[#This Row], [Concepto Anterior]],Conceptos_Administrativa[#All],7,0),"")</f>
        <v/>
      </c>
      <c r="G87" t="s">
        <v>172</v>
      </c>
      <c r="H87" t="s">
        <v>172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93">
        <v>333</v>
      </c>
    </row>
    <row r="88" spans="1:11" ht="18.75" customHeight="1" x14ac:dyDescent="0.35">
      <c r="A88" s="93">
        <v>2024</v>
      </c>
      <c r="B88" t="s">
        <v>175</v>
      </c>
      <c r="C88" s="100">
        <f>IF(OR(Fact_Administrativa[[#This Row], [Año]]="",Fact_Administrativa[[#This Row], [Mes]]=""),"",DATE(A88,MATCH(B88,{"enero","febrero","marzo","abril","mayo","junio","julio","agosto","septiembre","octubre","noviembre","diciembre"},0)+1,0))</f>
        <v>45382</v>
      </c>
      <c r="D88" t="s">
        <v>31</v>
      </c>
      <c r="E88" t="str">
        <f>+IFERROR(VLOOKUP(Fact_Administrativa[[#This Row], [Concepto Anterior]],Conceptos_Administrativa[#All],5,0),"")</f>
        <v>Tickets recibidos</v>
      </c>
      <c r="F88" t="str">
        <f ca="1">+IFERROR(VLOOKUP(Fact_Administrativa[[#This Row], [Concepto Anterior]],Conceptos_Administrativa[#All],7,0),"")</f>
        <v/>
      </c>
      <c r="G88" t="s">
        <v>172</v>
      </c>
      <c r="H88" t="s">
        <v>172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93">
        <v>735</v>
      </c>
    </row>
    <row r="89" spans="1:11" ht="18.75" customHeight="1" x14ac:dyDescent="0.35">
      <c r="A89" s="102">
        <v>2024</v>
      </c>
      <c r="B89" t="s">
        <v>176</v>
      </c>
      <c r="C89" s="100">
        <f>IF(OR(Fact_Administrativa[[#This Row], [Año]]="",Fact_Administrativa[[#This Row], [Mes]]=""),"",DATE(A89,MATCH(B89,{"enero","febrero","marzo","abril","mayo","junio","julio","agosto","septiembre","octubre","noviembre","diciembre"},0)+1,0))</f>
        <v>45412</v>
      </c>
      <c r="D89" t="s">
        <v>27</v>
      </c>
      <c r="E89" t="str">
        <f>+IFERROR(VLOOKUP(Fact_Administrativa[[#This Row], [Concepto Anterior]],Conceptos_Administrativa[#All],5,0),"")</f>
        <v>Ahorro energía</v>
      </c>
      <c r="F89" t="str">
        <f ca="1">+IFERROR(VLOOKUP(Fact_Administrativa[[#This Row], [Concepto Anterior]],Conceptos_Administrativa[#All],7,0),"")</f>
        <v/>
      </c>
      <c r="G89" t="s">
        <v>172</v>
      </c>
      <c r="H89" t="s">
        <v>172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93">
        <v>23858082</v>
      </c>
    </row>
    <row r="90" spans="1:11" ht="18.75" customHeight="1" x14ac:dyDescent="0.35">
      <c r="A90" s="93">
        <v>2024</v>
      </c>
      <c r="B90" t="s">
        <v>176</v>
      </c>
      <c r="C90" s="100">
        <f>IF(OR(Fact_Administrativa[[#This Row], [Año]]="",Fact_Administrativa[[#This Row], [Mes]]=""),"",DATE(A90,MATCH(B90,{"enero","febrero","marzo","abril","mayo","junio","julio","agosto","septiembre","octubre","noviembre","diciembre"},0)+1,0))</f>
        <v>45412</v>
      </c>
      <c r="D90" t="s">
        <v>19</v>
      </c>
      <c r="E90" t="str">
        <f>+IFERROR(VLOOKUP(Fact_Administrativa[[#This Row], [Concepto Anterior]],Conceptos_Administrativa[#All],5,0),"")</f>
        <v>Aporte fundación</v>
      </c>
      <c r="F90" t="str">
        <f ca="1">+IFERROR(VLOOKUP(Fact_Administrativa[[#This Row], [Concepto Anterior]],Conceptos_Administrativa[#All],7,0),"")</f>
        <v/>
      </c>
      <c r="G90" t="s">
        <v>172</v>
      </c>
      <c r="H90" t="s">
        <v>172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93">
        <v>11647025</v>
      </c>
    </row>
    <row r="91" spans="1:11" ht="18.75" customHeight="1" x14ac:dyDescent="0.35">
      <c r="A91" s="93">
        <v>2024</v>
      </c>
      <c r="B91" t="s">
        <v>176</v>
      </c>
      <c r="C91" s="100">
        <f>IF(OR(Fact_Administrativa[[#This Row], [Año]]="",Fact_Administrativa[[#This Row], [Mes]]=""),"",DATE(A91,MATCH(B91,{"enero","febrero","marzo","abril","mayo","junio","julio","agosto","septiembre","octubre","noviembre","diciembre"},0)+1,0))</f>
        <v>45412</v>
      </c>
      <c r="D91" t="s">
        <v>39</v>
      </c>
      <c r="E91" t="str">
        <f>+IFERROR(VLOOKUP(Fact_Administrativa[[#This Row], [Concepto Anterior]],Conceptos_Administrativa[#All],5,0),"")</f>
        <v>Cantidad de tiendas remodeladas</v>
      </c>
      <c r="F91" t="str">
        <f ca="1">+IFERROR(VLOOKUP(Fact_Administrativa[[#This Row], [Concepto Anterior]],Conceptos_Administrativa[#All],7,0),"")</f>
        <v/>
      </c>
      <c r="G91" t="s">
        <v>172</v>
      </c>
      <c r="H91" t="s">
        <v>172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93">
        <v>1</v>
      </c>
    </row>
    <row r="92" spans="1:11" ht="18.75" customHeight="1" x14ac:dyDescent="0.35">
      <c r="A92" s="93">
        <v>2024</v>
      </c>
      <c r="B92" t="s">
        <v>176</v>
      </c>
      <c r="C92" s="100">
        <f>IF(OR(Fact_Administrativa[[#This Row], [Año]]="",Fact_Administrativa[[#This Row], [Mes]]=""),"",DATE(A92,MATCH(B92,{"enero","febrero","marzo","abril","mayo","junio","julio","agosto","septiembre","octubre","noviembre","diciembre"},0)+1,0))</f>
        <v>45412</v>
      </c>
      <c r="D92" t="s">
        <v>40</v>
      </c>
      <c r="E92" t="str">
        <f>+IFERROR(VLOOKUP(Fact_Administrativa[[#This Row], [Concepto Anterior]],Conceptos_Administrativa[#All],5,0),"")</f>
        <v xml:space="preserve">Contratos de arrendamientos </v>
      </c>
      <c r="F92" t="str">
        <f ca="1">+IFERROR(VLOOKUP(Fact_Administrativa[[#This Row], [Concepto Anterior]],Conceptos_Administrativa[#All],7,0),"")</f>
        <v/>
      </c>
      <c r="G92" t="s">
        <v>172</v>
      </c>
      <c r="H92" t="s">
        <v>172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93">
        <v>0</v>
      </c>
    </row>
    <row r="93" spans="1:11" ht="18.75" customHeight="1" x14ac:dyDescent="0.35">
      <c r="A93" s="93">
        <v>2024</v>
      </c>
      <c r="B93" t="s">
        <v>176</v>
      </c>
      <c r="C93" s="100">
        <f>IF(OR(Fact_Administrativa[[#This Row], [Año]]="",Fact_Administrativa[[#This Row], [Mes]]=""),"",DATE(A93,MATCH(B93,{"enero","febrero","marzo","abril","mayo","junio","julio","agosto","septiembre","octubre","noviembre","diciembre"},0)+1,0))</f>
        <v>45412</v>
      </c>
      <c r="D93" t="s">
        <v>25</v>
      </c>
      <c r="E93" t="str">
        <f>+IFERROR(VLOOKUP(Fact_Administrativa[[#This Row], [Concepto Anterior]],Conceptos_Administrativa[#All],5,0),"")</f>
        <v>Control Ingresos cede Dogama</v>
      </c>
      <c r="F93" t="str">
        <f ca="1">+IFERROR(VLOOKUP(Fact_Administrativa[[#This Row], [Concepto Anterior]],Conceptos_Administrativa[#All],7,0),"")</f>
        <v/>
      </c>
      <c r="G93" t="s">
        <v>172</v>
      </c>
      <c r="H93" t="s">
        <v>172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93">
        <v>17838</v>
      </c>
    </row>
    <row r="94" spans="1:11" ht="18.75" customHeight="1" x14ac:dyDescent="0.35">
      <c r="A94" s="93">
        <v>2024</v>
      </c>
      <c r="B94" t="s">
        <v>176</v>
      </c>
      <c r="C94" s="100">
        <f>IF(OR(Fact_Administrativa[[#This Row], [Año]]="",Fact_Administrativa[[#This Row], [Mes]]=""),"",DATE(A94,MATCH(B94,{"enero","febrero","marzo","abril","mayo","junio","julio","agosto","septiembre","octubre","noviembre","diciembre"},0)+1,0))</f>
        <v>45412</v>
      </c>
      <c r="D94" t="s">
        <v>34</v>
      </c>
      <c r="E94" t="str">
        <f>+IFERROR(VLOOKUP(Fact_Administrativa[[#This Row], [Concepto Anterior]],Conceptos_Administrativa[#All],5,0),"")</f>
        <v>% Tickets Cumplimiento</v>
      </c>
      <c r="F94" t="str">
        <f ca="1">+IFERROR(VLOOKUP(Fact_Administrativa[[#This Row], [Concepto Anterior]],Conceptos_Administrativa[#All],7,0),"")</f>
        <v/>
      </c>
      <c r="G94" t="s">
        <v>172</v>
      </c>
      <c r="H94" t="s">
        <v>172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92">
        <v>0.85077343039126474</v>
      </c>
    </row>
    <row r="95" spans="1:11" ht="18.75" customHeight="1" x14ac:dyDescent="0.35">
      <c r="A95" s="93">
        <v>2024</v>
      </c>
      <c r="B95" t="s">
        <v>176</v>
      </c>
      <c r="C95" s="100">
        <f>IF(OR(Fact_Administrativa[[#This Row], [Año]]="",Fact_Administrativa[[#This Row], [Mes]]=""),"",DATE(A95,MATCH(B95,{"enero","febrero","marzo","abril","mayo","junio","julio","agosto","septiembre","octubre","noviembre","diciembre"},0)+1,0))</f>
        <v>45412</v>
      </c>
      <c r="D95" t="s">
        <v>209</v>
      </c>
      <c r="E95" t="str">
        <f>+IFERROR(VLOOKUP(Fact_Administrativa[[#This Row], [Concepto Anterior]],Conceptos_Administrativa[#All],5,0),"")</f>
        <v>Emisiones CO²</v>
      </c>
      <c r="F95" t="str">
        <f ca="1">+IFERROR(VLOOKUP(Fact_Administrativa[[#This Row], [Concepto Anterior]],Conceptos_Administrativa[#All],7,0),"")</f>
        <v/>
      </c>
      <c r="G95" t="s">
        <v>172</v>
      </c>
      <c r="H95" t="s">
        <v>172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92">
        <v>25.3</v>
      </c>
    </row>
    <row r="96" spans="1:11" ht="18.75" customHeight="1" x14ac:dyDescent="0.35">
      <c r="A96" s="93">
        <v>2024</v>
      </c>
      <c r="B96" t="s">
        <v>176</v>
      </c>
      <c r="C96" s="100">
        <f>IF(OR(Fact_Administrativa[[#This Row], [Año]]="",Fact_Administrativa[[#This Row], [Mes]]=""),"",DATE(A96,MATCH(B96,{"enero","febrero","marzo","abril","mayo","junio","julio","agosto","septiembre","octubre","noviembre","diciembre"},0)+1,0))</f>
        <v>45412</v>
      </c>
      <c r="D96" t="s">
        <v>38</v>
      </c>
      <c r="E96" t="str">
        <f>+IFERROR(VLOOKUP(Fact_Administrativa[[#This Row], [Concepto Anterior]],Conceptos_Administrativa[#All],5,0),"")</f>
        <v>Facturas de arrendamientos y administración</v>
      </c>
      <c r="F96" t="str">
        <f ca="1">+IFERROR(VLOOKUP(Fact_Administrativa[[#This Row], [Concepto Anterior]],Conceptos_Administrativa[#All],7,0),"")</f>
        <v/>
      </c>
      <c r="G96" t="s">
        <v>172</v>
      </c>
      <c r="H96" t="s">
        <v>172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93">
        <v>1197</v>
      </c>
    </row>
    <row r="97" spans="1:11" ht="18.75" customHeight="1" x14ac:dyDescent="0.35">
      <c r="A97" s="93">
        <v>2024</v>
      </c>
      <c r="B97" t="s">
        <v>176</v>
      </c>
      <c r="C97" s="100">
        <f>IF(OR(Fact_Administrativa[[#This Row], [Año]]="",Fact_Administrativa[[#This Row], [Mes]]=""),"",DATE(A97,MATCH(B97,{"enero","febrero","marzo","abril","mayo","junio","julio","agosto","septiembre","octubre","noviembre","diciembre"},0)+1,0))</f>
        <v>45412</v>
      </c>
      <c r="D97" t="s">
        <v>41</v>
      </c>
      <c r="E97" t="str">
        <f>+IFERROR(VLOOKUP(Fact_Administrativa[[#This Row], [Concepto Anterior]],Conceptos_Administrativa[#All],5,0),"")</f>
        <v>Facturas Procesadas por Marca</v>
      </c>
      <c r="F97" t="str">
        <f ca="1">+IFERROR(VLOOKUP(Fact_Administrativa[[#This Row], [Concepto Anterior]],Conceptos_Administrativa[#All],7,0),"")</f>
        <v/>
      </c>
      <c r="G97" t="s">
        <v>42</v>
      </c>
      <c r="H97" t="s">
        <v>172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93">
        <v>992</v>
      </c>
    </row>
    <row r="98" spans="1:11" ht="18.75" customHeight="1" x14ac:dyDescent="0.35">
      <c r="A98" s="93">
        <v>2024</v>
      </c>
      <c r="B98" t="s">
        <v>176</v>
      </c>
      <c r="C98" s="100">
        <f>IF(OR(Fact_Administrativa[[#This Row], [Año]]="",Fact_Administrativa[[#This Row], [Mes]]=""),"",DATE(A98,MATCH(B98,{"enero","febrero","marzo","abril","mayo","junio","julio","agosto","septiembre","octubre","noviembre","diciembre"},0)+1,0))</f>
        <v>45412</v>
      </c>
      <c r="D98" t="s">
        <v>41</v>
      </c>
      <c r="E98" t="str">
        <f>+IFERROR(VLOOKUP(Fact_Administrativa[[#This Row], [Concepto Anterior]],Conceptos_Administrativa[#All],5,0),"")</f>
        <v>Facturas Procesadas por Marca</v>
      </c>
      <c r="F98" t="str">
        <f ca="1">+IFERROR(VLOOKUP(Fact_Administrativa[[#This Row], [Concepto Anterior]],Conceptos_Administrativa[#All],7,0),"")</f>
        <v/>
      </c>
      <c r="G98" t="s">
        <v>43</v>
      </c>
      <c r="H98" t="s">
        <v>172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93">
        <v>2813</v>
      </c>
    </row>
    <row r="99" spans="1:11" ht="18.75" customHeight="1" x14ac:dyDescent="0.35">
      <c r="A99" s="93">
        <v>2024</v>
      </c>
      <c r="B99" t="s">
        <v>176</v>
      </c>
      <c r="C99" s="100">
        <f>IF(OR(Fact_Administrativa[[#This Row], [Año]]="",Fact_Administrativa[[#This Row], [Mes]]=""),"",DATE(A99,MATCH(B99,{"enero","febrero","marzo","abril","mayo","junio","julio","agosto","septiembre","octubre","noviembre","diciembre"},0)+1,0))</f>
        <v>45412</v>
      </c>
      <c r="D99" t="s">
        <v>41</v>
      </c>
      <c r="E99" t="str">
        <f>+IFERROR(VLOOKUP(Fact_Administrativa[[#This Row], [Concepto Anterior]],Conceptos_Administrativa[#All],5,0),"")</f>
        <v>Facturas Procesadas por Marca</v>
      </c>
      <c r="F99" t="str">
        <f ca="1">+IFERROR(VLOOKUP(Fact_Administrativa[[#This Row], [Concepto Anterior]],Conceptos_Administrativa[#All],7,0),"")</f>
        <v/>
      </c>
      <c r="G99" t="s">
        <v>44</v>
      </c>
      <c r="H99" t="s">
        <v>172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93">
        <v>1335</v>
      </c>
    </row>
    <row r="100" spans="1:11" ht="18.75" customHeight="1" x14ac:dyDescent="0.35">
      <c r="A100" s="93">
        <v>2024</v>
      </c>
      <c r="B100" t="s">
        <v>176</v>
      </c>
      <c r="C100" s="100">
        <f>IF(OR(Fact_Administrativa[[#This Row], [Año]]="",Fact_Administrativa[[#This Row], [Mes]]=""),"",DATE(A100,MATCH(B100,{"enero","febrero","marzo","abril","mayo","junio","julio","agosto","septiembre","octubre","noviembre","diciembre"},0)+1,0))</f>
        <v>45412</v>
      </c>
      <c r="D100" t="s">
        <v>41</v>
      </c>
      <c r="E100" t="str">
        <f>+IFERROR(VLOOKUP(Fact_Administrativa[[#This Row], [Concepto Anterior]],Conceptos_Administrativa[#All],5,0),"")</f>
        <v>Facturas Procesadas por Marca</v>
      </c>
      <c r="F100" t="str">
        <f ca="1">+IFERROR(VLOOKUP(Fact_Administrativa[[#This Row], [Concepto Anterior]],Conceptos_Administrativa[#All],7,0),"")</f>
        <v/>
      </c>
      <c r="G100" t="s">
        <v>45</v>
      </c>
      <c r="H100" t="s">
        <v>172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93">
        <v>1011</v>
      </c>
    </row>
    <row r="101" spans="1:11" ht="18.75" customHeight="1" x14ac:dyDescent="0.35">
      <c r="A101" s="93">
        <v>2024</v>
      </c>
      <c r="B101" t="s">
        <v>176</v>
      </c>
      <c r="C101" s="100">
        <f>IF(OR(Fact_Administrativa[[#This Row], [Año]]="",Fact_Administrativa[[#This Row], [Mes]]=""),"",DATE(A101,MATCH(B101,{"enero","febrero","marzo","abril","mayo","junio","julio","agosto","septiembre","octubre","noviembre","diciembre"},0)+1,0))</f>
        <v>45412</v>
      </c>
      <c r="D101" t="s">
        <v>41</v>
      </c>
      <c r="E101" t="str">
        <f>+IFERROR(VLOOKUP(Fact_Administrativa[[#This Row], [Concepto Anterior]],Conceptos_Administrativa[#All],5,0),"")</f>
        <v>Facturas Procesadas por Marca</v>
      </c>
      <c r="F101" t="str">
        <f ca="1">+IFERROR(VLOOKUP(Fact_Administrativa[[#This Row], [Concepto Anterior]],Conceptos_Administrativa[#All],7,0),"")</f>
        <v/>
      </c>
      <c r="G101" t="s">
        <v>46</v>
      </c>
      <c r="H101" t="s">
        <v>172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93">
        <v>0</v>
      </c>
    </row>
    <row r="102" spans="1:11" ht="18.75" customHeight="1" x14ac:dyDescent="0.35">
      <c r="A102" s="93">
        <v>2024</v>
      </c>
      <c r="B102" t="s">
        <v>176</v>
      </c>
      <c r="C102" s="100">
        <f>IF(OR(Fact_Administrativa[[#This Row], [Año]]="",Fact_Administrativa[[#This Row], [Mes]]=""),"",DATE(A102,MATCH(B102,{"enero","febrero","marzo","abril","mayo","junio","julio","agosto","septiembre","octubre","noviembre","diciembre"},0)+1,0))</f>
        <v>45412</v>
      </c>
      <c r="D102" t="s">
        <v>41</v>
      </c>
      <c r="E102" t="str">
        <f>+IFERROR(VLOOKUP(Fact_Administrativa[[#This Row], [Concepto Anterior]],Conceptos_Administrativa[#All],5,0),"")</f>
        <v>Facturas Procesadas por Marca</v>
      </c>
      <c r="F102" t="str">
        <f ca="1">+IFERROR(VLOOKUP(Fact_Administrativa[[#This Row], [Concepto Anterior]],Conceptos_Administrativa[#All],7,0),"")</f>
        <v/>
      </c>
      <c r="G102" t="s">
        <v>47</v>
      </c>
      <c r="H102" t="s">
        <v>172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93">
        <v>63</v>
      </c>
    </row>
    <row r="103" spans="1:11" ht="18.75" customHeight="1" x14ac:dyDescent="0.35">
      <c r="A103" s="93">
        <v>2024</v>
      </c>
      <c r="B103" t="s">
        <v>176</v>
      </c>
      <c r="C103" s="100">
        <f>IF(OR(Fact_Administrativa[[#This Row], [Año]]="",Fact_Administrativa[[#This Row], [Mes]]=""),"",DATE(A103,MATCH(B103,{"enero","febrero","marzo","abril","mayo","junio","julio","agosto","septiembre","octubre","noviembre","diciembre"},0)+1,0))</f>
        <v>45412</v>
      </c>
      <c r="D103" t="s">
        <v>41</v>
      </c>
      <c r="E103" t="str">
        <f>+IFERROR(VLOOKUP(Fact_Administrativa[[#This Row], [Concepto Anterior]],Conceptos_Administrativa[#All],5,0),"")</f>
        <v>Facturas Procesadas por Marca</v>
      </c>
      <c r="F103" t="str">
        <f ca="1">+IFERROR(VLOOKUP(Fact_Administrativa[[#This Row], [Concepto Anterior]],Conceptos_Administrativa[#All],7,0),"")</f>
        <v/>
      </c>
      <c r="G103" t="s">
        <v>48</v>
      </c>
      <c r="H103" t="s">
        <v>172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93">
        <v>0</v>
      </c>
    </row>
    <row r="104" spans="1:11" ht="18.75" customHeight="1" x14ac:dyDescent="0.35">
      <c r="A104" s="93">
        <v>2024</v>
      </c>
      <c r="B104" t="s">
        <v>176</v>
      </c>
      <c r="C104" s="100">
        <f>IF(OR(Fact_Administrativa[[#This Row], [Año]]="",Fact_Administrativa[[#This Row], [Mes]]=""),"",DATE(A104,MATCH(B104,{"enero","febrero","marzo","abril","mayo","junio","julio","agosto","septiembre","octubre","noviembre","diciembre"},0)+1,0))</f>
        <v>45412</v>
      </c>
      <c r="D104" t="s">
        <v>41</v>
      </c>
      <c r="E104" t="str">
        <f>+IFERROR(VLOOKUP(Fact_Administrativa[[#This Row], [Concepto Anterior]],Conceptos_Administrativa[#All],5,0),"")</f>
        <v>Facturas Procesadas por Marca</v>
      </c>
      <c r="F104" t="str">
        <f ca="1">+IFERROR(VLOOKUP(Fact_Administrativa[[#This Row], [Concepto Anterior]],Conceptos_Administrativa[#All],7,0),"")</f>
        <v/>
      </c>
      <c r="G104" t="s">
        <v>49</v>
      </c>
      <c r="H104" t="s">
        <v>172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93">
        <v>1222</v>
      </c>
    </row>
    <row r="105" spans="1:11" ht="18.75" customHeight="1" x14ac:dyDescent="0.35">
      <c r="A105" s="93">
        <v>2024</v>
      </c>
      <c r="B105" t="s">
        <v>176</v>
      </c>
      <c r="C105" s="100">
        <f>IF(OR(Fact_Administrativa[[#This Row], [Año]]="",Fact_Administrativa[[#This Row], [Mes]]=""),"",DATE(A105,MATCH(B105,{"enero","febrero","marzo","abril","mayo","junio","julio","agosto","septiembre","octubre","noviembre","diciembre"},0)+1,0))</f>
        <v>45412</v>
      </c>
      <c r="D105" t="s">
        <v>41</v>
      </c>
      <c r="E105" t="str">
        <f>+IFERROR(VLOOKUP(Fact_Administrativa[[#This Row], [Concepto Anterior]],Conceptos_Administrativa[#All],5,0),"")</f>
        <v>Facturas Procesadas por Marca</v>
      </c>
      <c r="F105" t="str">
        <f ca="1">+IFERROR(VLOOKUP(Fact_Administrativa[[#This Row], [Concepto Anterior]],Conceptos_Administrativa[#All],7,0),"")</f>
        <v/>
      </c>
      <c r="G105" t="s">
        <v>50</v>
      </c>
      <c r="H105" t="s">
        <v>172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93">
        <v>1567</v>
      </c>
    </row>
    <row r="106" spans="1:11" ht="18.75" customHeight="1" x14ac:dyDescent="0.35">
      <c r="A106" s="93">
        <v>2024</v>
      </c>
      <c r="B106" t="s">
        <v>176</v>
      </c>
      <c r="C106" s="100">
        <f>IF(OR(Fact_Administrativa[[#This Row], [Año]]="",Fact_Administrativa[[#This Row], [Mes]]=""),"",DATE(A106,MATCH(B106,{"enero","febrero","marzo","abril","mayo","junio","julio","agosto","septiembre","octubre","noviembre","diciembre"},0)+1,0))</f>
        <v>45412</v>
      </c>
      <c r="D106" t="s">
        <v>41</v>
      </c>
      <c r="E106" t="str">
        <f>+IFERROR(VLOOKUP(Fact_Administrativa[[#This Row], [Concepto Anterior]],Conceptos_Administrativa[#All],5,0),"")</f>
        <v>Facturas Procesadas por Marca</v>
      </c>
      <c r="F106" t="str">
        <f ca="1">+IFERROR(VLOOKUP(Fact_Administrativa[[#This Row], [Concepto Anterior]],Conceptos_Administrativa[#All],7,0),"")</f>
        <v/>
      </c>
      <c r="G106" t="s">
        <v>51</v>
      </c>
      <c r="H106" t="s">
        <v>172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176</v>
      </c>
      <c r="C107" s="100">
        <f>IF(OR(Fact_Administrativa[[#This Row], [Año]]="",Fact_Administrativa[[#This Row], [Mes]]=""),"",DATE(A107,MATCH(B107,{"enero","febrero","marzo","abril","mayo","junio","julio","agosto","septiembre","octubre","noviembre","diciembre"},0)+1,0))</f>
        <v>45412</v>
      </c>
      <c r="D107" t="s">
        <v>41</v>
      </c>
      <c r="E107" t="str">
        <f>+IFERROR(VLOOKUP(Fact_Administrativa[[#This Row], [Concepto Anterior]],Conceptos_Administrativa[#All],5,0),"")</f>
        <v>Facturas Procesadas por Marca</v>
      </c>
      <c r="F107" t="str">
        <f ca="1">+IFERROR(VLOOKUP(Fact_Administrativa[[#This Row], [Concepto Anterior]],Conceptos_Administrativa[#All],7,0),"")</f>
        <v/>
      </c>
      <c r="G107" t="s">
        <v>52</v>
      </c>
      <c r="H107" t="s">
        <v>172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93">
        <v>655</v>
      </c>
    </row>
    <row r="108" spans="1:11" ht="18.75" customHeight="1" x14ac:dyDescent="0.35">
      <c r="A108" s="93">
        <v>2024</v>
      </c>
      <c r="B108" t="s">
        <v>176</v>
      </c>
      <c r="C108" s="100">
        <f>IF(OR(Fact_Administrativa[[#This Row], [Año]]="",Fact_Administrativa[[#This Row], [Mes]]=""),"",DATE(A108,MATCH(B108,{"enero","febrero","marzo","abril","mayo","junio","julio","agosto","septiembre","octubre","noviembre","diciembre"},0)+1,0))</f>
        <v>45412</v>
      </c>
      <c r="D108" t="s">
        <v>41</v>
      </c>
      <c r="E108" t="str">
        <f>+IFERROR(VLOOKUP(Fact_Administrativa[[#This Row], [Concepto Anterior]],Conceptos_Administrativa[#All],5,0),"")</f>
        <v>Facturas Procesadas por Marca</v>
      </c>
      <c r="F108" t="str">
        <f ca="1">+IFERROR(VLOOKUP(Fact_Administrativa[[#This Row], [Concepto Anterior]],Conceptos_Administrativa[#All],7,0),"")</f>
        <v/>
      </c>
      <c r="G108" t="s">
        <v>53</v>
      </c>
      <c r="H108" t="s">
        <v>172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93">
        <v>185</v>
      </c>
    </row>
    <row r="109" spans="1:11" ht="18.75" customHeight="1" x14ac:dyDescent="0.35">
      <c r="A109" s="93">
        <v>2024</v>
      </c>
      <c r="B109" t="s">
        <v>176</v>
      </c>
      <c r="C109" s="100">
        <f>IF(OR(Fact_Administrativa[[#This Row], [Año]]="",Fact_Administrativa[[#This Row], [Mes]]=""),"",DATE(A109,MATCH(B109,{"enero","febrero","marzo","abril","mayo","junio","julio","agosto","septiembre","octubre","noviembre","diciembre"},0)+1,0))</f>
        <v>45412</v>
      </c>
      <c r="D109" t="s">
        <v>41</v>
      </c>
      <c r="E109" t="str">
        <f>+IFERROR(VLOOKUP(Fact_Administrativa[[#This Row], [Concepto Anterior]],Conceptos_Administrativa[#All],5,0),"")</f>
        <v>Facturas Procesadas por Marca</v>
      </c>
      <c r="F109" t="str">
        <f ca="1">+IFERROR(VLOOKUP(Fact_Administrativa[[#This Row], [Concepto Anterior]],Conceptos_Administrativa[#All],7,0),"")</f>
        <v/>
      </c>
      <c r="G109" t="s">
        <v>54</v>
      </c>
      <c r="H109" t="s">
        <v>172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93">
        <v>5</v>
      </c>
    </row>
    <row r="110" spans="1:11" ht="18.75" customHeight="1" x14ac:dyDescent="0.35">
      <c r="A110" s="93">
        <v>2024</v>
      </c>
      <c r="B110" t="s">
        <v>176</v>
      </c>
      <c r="C110" s="100">
        <f>IF(OR(Fact_Administrativa[[#This Row], [Año]]="",Fact_Administrativa[[#This Row], [Mes]]=""),"",DATE(A110,MATCH(B110,{"enero","febrero","marzo","abril","mayo","junio","julio","agosto","septiembre","octubre","noviembre","diciembre"},0)+1,0))</f>
        <v>45412</v>
      </c>
      <c r="D110" t="s">
        <v>55</v>
      </c>
      <c r="E110" t="str">
        <f>+IFERROR(VLOOKUP(Fact_Administrativa[[#This Row], [Concepto Anterior]],Conceptos_Administrativa[#All],5,0),"")</f>
        <v>Facturas Procesadas por Marca</v>
      </c>
      <c r="F110" t="str">
        <f ca="1">+IFERROR(VLOOKUP(Fact_Administrativa[[#This Row], [Concepto Anterior]],Conceptos_Administrativa[#All],7,0),"")</f>
        <v/>
      </c>
      <c r="G110" t="s">
        <v>56</v>
      </c>
      <c r="H110" t="s">
        <v>172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93">
        <v>95</v>
      </c>
    </row>
    <row r="111" spans="1:11" ht="18.75" customHeight="1" x14ac:dyDescent="0.35">
      <c r="A111" s="93">
        <v>2024</v>
      </c>
      <c r="B111" t="s">
        <v>176</v>
      </c>
      <c r="C111" s="100">
        <f>IF(OR(Fact_Administrativa[[#This Row], [Año]]="",Fact_Administrativa[[#This Row], [Mes]]=""),"",DATE(A111,MATCH(B111,{"enero","febrero","marzo","abril","mayo","junio","julio","agosto","septiembre","octubre","noviembre","diciembre"},0)+1,0))</f>
        <v>45412</v>
      </c>
      <c r="D111" t="s">
        <v>57</v>
      </c>
      <c r="E111" t="str">
        <f>+IFERROR(VLOOKUP(Fact_Administrativa[[#This Row], [Concepto Anterior]],Conceptos_Administrativa[#All],5,0),"")</f>
        <v>Facturas Procesadas por Marca</v>
      </c>
      <c r="F111" t="str">
        <f ca="1">+IFERROR(VLOOKUP(Fact_Administrativa[[#This Row], [Concepto Anterior]],Conceptos_Administrativa[#All],7,0),"")</f>
        <v/>
      </c>
      <c r="G111" t="s">
        <v>58</v>
      </c>
      <c r="H111" t="s">
        <v>172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93">
        <v>67</v>
      </c>
    </row>
    <row r="112" spans="1:11" ht="18.75" customHeight="1" x14ac:dyDescent="0.35">
      <c r="A112" s="93">
        <v>2024</v>
      </c>
      <c r="B112" t="s">
        <v>176</v>
      </c>
      <c r="C112" s="100">
        <f>IF(OR(Fact_Administrativa[[#This Row], [Año]]="",Fact_Administrativa[[#This Row], [Mes]]=""),"",DATE(A112,MATCH(B112,{"enero","febrero","marzo","abril","mayo","junio","julio","agosto","septiembre","octubre","noviembre","diciembre"},0)+1,0))</f>
        <v>45412</v>
      </c>
      <c r="D112" t="s">
        <v>28</v>
      </c>
      <c r="E112" t="str">
        <f>+IFERROR(VLOOKUP(Fact_Administrativa[[#This Row], [Concepto Anterior]],Conceptos_Administrativa[#All],5,0),"")</f>
        <v xml:space="preserve">Ahorro reformas tiendas </v>
      </c>
      <c r="F112" t="str">
        <f ca="1">+IFERROR(VLOOKUP(Fact_Administrativa[[#This Row], [Concepto Anterior]],Conceptos_Administrativa[#All],7,0),"")</f>
        <v/>
      </c>
      <c r="G112" t="s">
        <v>172</v>
      </c>
      <c r="H112" t="s">
        <v>172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93">
        <v>5501400</v>
      </c>
    </row>
    <row r="113" spans="1:11" ht="18.75" customHeight="1" x14ac:dyDescent="0.35">
      <c r="A113" s="93">
        <v>2024</v>
      </c>
      <c r="B113" t="s">
        <v>176</v>
      </c>
      <c r="C113" s="100">
        <f>IF(OR(Fact_Administrativa[[#This Row], [Año]]="",Fact_Administrativa[[#This Row], [Mes]]=""),"",DATE(A113,MATCH(B113,{"enero","febrero","marzo","abril","mayo","junio","julio","agosto","septiembre","octubre","noviembre","diciembre"},0)+1,0))</f>
        <v>45412</v>
      </c>
      <c r="D113" t="s">
        <v>29</v>
      </c>
      <c r="E113" t="str">
        <f>+IFERROR(VLOOKUP(Fact_Administrativa[[#This Row], [Concepto Anterior]],Conceptos_Administrativa[#All],5,0),"")</f>
        <v>Recuperaciones Siniestros</v>
      </c>
      <c r="F113" t="str">
        <f ca="1">+IFERROR(VLOOKUP(Fact_Administrativa[[#This Row], [Concepto Anterior]],Conceptos_Administrativa[#All],7,0),"")</f>
        <v/>
      </c>
      <c r="G113" t="s">
        <v>172</v>
      </c>
      <c r="H113" t="s">
        <v>172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93">
        <v>0</v>
      </c>
    </row>
    <row r="114" spans="1:11" ht="18.75" customHeight="1" x14ac:dyDescent="0.35">
      <c r="A114" s="93">
        <v>2024</v>
      </c>
      <c r="B114" t="s">
        <v>176</v>
      </c>
      <c r="C114" s="100">
        <f>IF(OR(Fact_Administrativa[[#This Row], [Año]]="",Fact_Administrativa[[#This Row], [Mes]]=""),"",DATE(A114,MATCH(B114,{"enero","febrero","marzo","abril","mayo","junio","julio","agosto","septiembre","octubre","noviembre","diciembre"},0)+1,0))</f>
        <v>45412</v>
      </c>
      <c r="D114" t="s">
        <v>30</v>
      </c>
      <c r="E114" t="str">
        <f>+IFERROR(VLOOKUP(Fact_Administrativa[[#This Row], [Concepto Anterior]],Conceptos_Administrativa[#All],5,0),"")</f>
        <v>Gestión de Polizas</v>
      </c>
      <c r="F114" t="str">
        <f ca="1">+IFERROR(VLOOKUP(Fact_Administrativa[[#This Row], [Concepto Anterior]],Conceptos_Administrativa[#All],7,0),"")</f>
        <v/>
      </c>
      <c r="G114" t="s">
        <v>172</v>
      </c>
      <c r="H114" t="s">
        <v>172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93">
        <v>0</v>
      </c>
    </row>
    <row r="115" spans="1:11" ht="18.75" customHeight="1" x14ac:dyDescent="0.35">
      <c r="A115" s="93">
        <v>2024</v>
      </c>
      <c r="B115" t="s">
        <v>176</v>
      </c>
      <c r="C115" s="100">
        <f>IF(OR(Fact_Administrativa[[#This Row], [Año]]="",Fact_Administrativa[[#This Row], [Mes]]=""),"",DATE(A115,MATCH(B115,{"enero","febrero","marzo","abril","mayo","junio","julio","agosto","septiembre","octubre","noviembre","diciembre"},0)+1,0))</f>
        <v>45412</v>
      </c>
      <c r="D115" t="s">
        <v>32</v>
      </c>
      <c r="E115" t="str">
        <f>+IFERROR(VLOOKUP(Fact_Administrativa[[#This Row], [Concepto Anterior]],Conceptos_Administrativa[#All],5,0),"")</f>
        <v>Tickets cerrados</v>
      </c>
      <c r="F115" t="str">
        <f ca="1">+IFERROR(VLOOKUP(Fact_Administrativa[[#This Row], [Concepto Anterior]],Conceptos_Administrativa[#All],7,0),"")</f>
        <v/>
      </c>
      <c r="G115" t="s">
        <v>172</v>
      </c>
      <c r="H115" t="s">
        <v>172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93">
        <v>935</v>
      </c>
    </row>
    <row r="116" spans="1:11" ht="18.75" customHeight="1" x14ac:dyDescent="0.35">
      <c r="A116" s="93">
        <v>2024</v>
      </c>
      <c r="B116" t="s">
        <v>176</v>
      </c>
      <c r="C116" s="100">
        <f>IF(OR(Fact_Administrativa[[#This Row], [Año]]="",Fact_Administrativa[[#This Row], [Mes]]=""),"",DATE(A116,MATCH(B116,{"enero","febrero","marzo","abril","mayo","junio","julio","agosto","septiembre","octubre","noviembre","diciembre"},0)+1,0))</f>
        <v>45412</v>
      </c>
      <c r="D116" t="s">
        <v>210</v>
      </c>
      <c r="E116" t="str">
        <f>+IFERROR(VLOOKUP(Fact_Administrativa[[#This Row], [Concepto Anterior]],Conceptos_Administrativa[#All],5,0),"")</f>
        <v>Tickets proceso</v>
      </c>
      <c r="F116" t="str">
        <f ca="1">+IFERROR(VLOOKUP(Fact_Administrativa[[#This Row], [Concepto Anterior]],Conceptos_Administrativa[#All],7,0),"")</f>
        <v/>
      </c>
      <c r="G116" t="s">
        <v>172</v>
      </c>
      <c r="H116" t="s">
        <v>172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93">
        <v>164</v>
      </c>
    </row>
    <row r="117" spans="1:11" ht="18.75" customHeight="1" x14ac:dyDescent="0.35">
      <c r="A117" s="93">
        <v>2024</v>
      </c>
      <c r="B117" t="s">
        <v>176</v>
      </c>
      <c r="C117" s="100">
        <f>IF(OR(Fact_Administrativa[[#This Row], [Año]]="",Fact_Administrativa[[#This Row], [Mes]]=""),"",DATE(A117,MATCH(B117,{"enero","febrero","marzo","abril","mayo","junio","julio","agosto","septiembre","octubre","noviembre","diciembre"},0)+1,0))</f>
        <v>45412</v>
      </c>
      <c r="D117" t="s">
        <v>31</v>
      </c>
      <c r="E117" t="str">
        <f>+IFERROR(VLOOKUP(Fact_Administrativa[[#This Row], [Concepto Anterior]],Conceptos_Administrativa[#All],5,0),"")</f>
        <v>Tickets recibidos</v>
      </c>
      <c r="F117" t="str">
        <f ca="1">+IFERROR(VLOOKUP(Fact_Administrativa[[#This Row], [Concepto Anterior]],Conceptos_Administrativa[#All],7,0),"")</f>
        <v/>
      </c>
      <c r="G117" t="s">
        <v>172</v>
      </c>
      <c r="H117" t="s">
        <v>172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93">
        <v>1099</v>
      </c>
    </row>
    <row r="118" spans="1:11" ht="18.75" customHeight="1" x14ac:dyDescent="0.35">
      <c r="A118" s="93">
        <v>2024</v>
      </c>
      <c r="B118" t="s">
        <v>177</v>
      </c>
      <c r="C118" s="100">
        <f>IF(OR(Fact_Administrativa[[#This Row], [Año]]="",Fact_Administrativa[[#This Row], [Mes]]=""),"",DATE(A118,MATCH(B118,{"enero","febrero","marzo","abril","mayo","junio","julio","agosto","septiembre","octubre","noviembre","diciembre"},0)+1,0))</f>
        <v>45443</v>
      </c>
      <c r="D118" t="s">
        <v>27</v>
      </c>
      <c r="E118" t="str">
        <f>+IFERROR(VLOOKUP(Fact_Administrativa[[#This Row], [Concepto Anterior]],Conceptos_Administrativa[#All],5,0),"")</f>
        <v>Ahorro energía</v>
      </c>
      <c r="F118" t="str">
        <f ca="1">+IFERROR(VLOOKUP(Fact_Administrativa[[#This Row], [Concepto Anterior]],Conceptos_Administrativa[#All],7,0),"")</f>
        <v/>
      </c>
      <c r="G118" t="s">
        <v>172</v>
      </c>
      <c r="H118" t="s">
        <v>172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93">
        <v>23858082</v>
      </c>
    </row>
    <row r="119" spans="1:11" ht="18.75" customHeight="1" x14ac:dyDescent="0.35">
      <c r="A119" s="102">
        <v>2024</v>
      </c>
      <c r="B119" t="s">
        <v>177</v>
      </c>
      <c r="C119" s="100">
        <f>IF(OR(Fact_Administrativa[[#This Row], [Año]]="",Fact_Administrativa[[#This Row], [Mes]]=""),"",DATE(A119,MATCH(B119,{"enero","febrero","marzo","abril","mayo","junio","julio","agosto","septiembre","octubre","noviembre","diciembre"},0)+1,0))</f>
        <v>45443</v>
      </c>
      <c r="D119" t="s">
        <v>19</v>
      </c>
      <c r="E119" t="str">
        <f>+IFERROR(VLOOKUP(Fact_Administrativa[[#This Row], [Concepto Anterior]],Conceptos_Administrativa[#All],5,0),"")</f>
        <v>Aporte fundación</v>
      </c>
      <c r="F119" t="str">
        <f ca="1">+IFERROR(VLOOKUP(Fact_Administrativa[[#This Row], [Concepto Anterior]],Conceptos_Administrativa[#All],7,0),"")</f>
        <v/>
      </c>
      <c r="G119" t="s">
        <v>172</v>
      </c>
      <c r="H119" t="s">
        <v>172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93">
        <v>13879480</v>
      </c>
    </row>
    <row r="120" spans="1:11" ht="18.75" customHeight="1" x14ac:dyDescent="0.35">
      <c r="A120" s="93">
        <v>2024</v>
      </c>
      <c r="B120" t="s">
        <v>177</v>
      </c>
      <c r="C120" s="100">
        <f>IF(OR(Fact_Administrativa[[#This Row], [Año]]="",Fact_Administrativa[[#This Row], [Mes]]=""),"",DATE(A120,MATCH(B120,{"enero","febrero","marzo","abril","mayo","junio","julio","agosto","septiembre","octubre","noviembre","diciembre"},0)+1,0))</f>
        <v>45443</v>
      </c>
      <c r="D120" t="s">
        <v>39</v>
      </c>
      <c r="E120" t="str">
        <f>+IFERROR(VLOOKUP(Fact_Administrativa[[#This Row], [Concepto Anterior]],Conceptos_Administrativa[#All],5,0),"")</f>
        <v>Cantidad de tiendas remodeladas</v>
      </c>
      <c r="F120" t="str">
        <f ca="1">+IFERROR(VLOOKUP(Fact_Administrativa[[#This Row], [Concepto Anterior]],Conceptos_Administrativa[#All],7,0),"")</f>
        <v/>
      </c>
      <c r="G120" t="s">
        <v>172</v>
      </c>
      <c r="H120" t="s">
        <v>172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177</v>
      </c>
      <c r="C121" s="100">
        <f>IF(OR(Fact_Administrativa[[#This Row], [Año]]="",Fact_Administrativa[[#This Row], [Mes]]=""),"",DATE(A121,MATCH(B121,{"enero","febrero","marzo","abril","mayo","junio","julio","agosto","septiembre","octubre","noviembre","diciembre"},0)+1,0))</f>
        <v>45443</v>
      </c>
      <c r="D121" t="s">
        <v>40</v>
      </c>
      <c r="E121" t="str">
        <f>+IFERROR(VLOOKUP(Fact_Administrativa[[#This Row], [Concepto Anterior]],Conceptos_Administrativa[#All],5,0),"")</f>
        <v xml:space="preserve">Contratos de arrendamientos </v>
      </c>
      <c r="F121" t="str">
        <f ca="1">+IFERROR(VLOOKUP(Fact_Administrativa[[#This Row], [Concepto Anterior]],Conceptos_Administrativa[#All],7,0),"")</f>
        <v/>
      </c>
      <c r="G121" t="s">
        <v>172</v>
      </c>
      <c r="H121" t="s">
        <v>172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93">
        <v>0</v>
      </c>
    </row>
    <row r="122" spans="1:11" ht="18.75" customHeight="1" x14ac:dyDescent="0.35">
      <c r="A122" s="93">
        <v>2024</v>
      </c>
      <c r="B122" t="s">
        <v>177</v>
      </c>
      <c r="C122" s="100">
        <f>IF(OR(Fact_Administrativa[[#This Row], [Año]]="",Fact_Administrativa[[#This Row], [Mes]]=""),"",DATE(A122,MATCH(B122,{"enero","febrero","marzo","abril","mayo","junio","julio","agosto","septiembre","octubre","noviembre","diciembre"},0)+1,0))</f>
        <v>45443</v>
      </c>
      <c r="D122" t="s">
        <v>25</v>
      </c>
      <c r="E122" t="str">
        <f>+IFERROR(VLOOKUP(Fact_Administrativa[[#This Row], [Concepto Anterior]],Conceptos_Administrativa[#All],5,0),"")</f>
        <v>Control Ingresos cede Dogama</v>
      </c>
      <c r="F122" t="str">
        <f ca="1">+IFERROR(VLOOKUP(Fact_Administrativa[[#This Row], [Concepto Anterior]],Conceptos_Administrativa[#All],7,0),"")</f>
        <v/>
      </c>
      <c r="G122" t="s">
        <v>172</v>
      </c>
      <c r="H122" t="s">
        <v>172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93">
        <v>16525</v>
      </c>
    </row>
    <row r="123" spans="1:11" ht="18.75" customHeight="1" x14ac:dyDescent="0.35">
      <c r="A123" s="93">
        <v>2024</v>
      </c>
      <c r="B123" t="s">
        <v>177</v>
      </c>
      <c r="C123" s="100">
        <f>IF(OR(Fact_Administrativa[[#This Row], [Año]]="",Fact_Administrativa[[#This Row], [Mes]]=""),"",DATE(A123,MATCH(B123,{"enero","febrero","marzo","abril","mayo","junio","julio","agosto","septiembre","octubre","noviembre","diciembre"},0)+1,0))</f>
        <v>45443</v>
      </c>
      <c r="D123" t="s">
        <v>34</v>
      </c>
      <c r="E123" t="str">
        <f>+IFERROR(VLOOKUP(Fact_Administrativa[[#This Row], [Concepto Anterior]],Conceptos_Administrativa[#All],5,0),"")</f>
        <v>% Tickets Cumplimiento</v>
      </c>
      <c r="F123" t="str">
        <f ca="1">+IFERROR(VLOOKUP(Fact_Administrativa[[#This Row], [Concepto Anterior]],Conceptos_Administrativa[#All],7,0),"")</f>
        <v/>
      </c>
      <c r="G123" t="s">
        <v>172</v>
      </c>
      <c r="H123" t="s">
        <v>172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92">
        <v>0.80882352941176472</v>
      </c>
    </row>
    <row r="124" spans="1:11" ht="18.75" customHeight="1" x14ac:dyDescent="0.35">
      <c r="A124" s="93">
        <v>2024</v>
      </c>
      <c r="B124" t="s">
        <v>177</v>
      </c>
      <c r="C124" s="100">
        <f>IF(OR(Fact_Administrativa[[#This Row], [Año]]="",Fact_Administrativa[[#This Row], [Mes]]=""),"",DATE(A124,MATCH(B124,{"enero","febrero","marzo","abril","mayo","junio","julio","agosto","septiembre","octubre","noviembre","diciembre"},0)+1,0))</f>
        <v>45443</v>
      </c>
      <c r="D124" t="s">
        <v>209</v>
      </c>
      <c r="E124" t="str">
        <f>+IFERROR(VLOOKUP(Fact_Administrativa[[#This Row], [Concepto Anterior]],Conceptos_Administrativa[#All],5,0),"")</f>
        <v>Emisiones CO²</v>
      </c>
      <c r="F124" t="str">
        <f ca="1">+IFERROR(VLOOKUP(Fact_Administrativa[[#This Row], [Concepto Anterior]],Conceptos_Administrativa[#All],7,0),"")</f>
        <v/>
      </c>
      <c r="G124" t="s">
        <v>172</v>
      </c>
      <c r="H124" t="s">
        <v>172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92">
        <v>24.9</v>
      </c>
    </row>
    <row r="125" spans="1:11" ht="18.75" customHeight="1" x14ac:dyDescent="0.35">
      <c r="A125" s="93">
        <v>2024</v>
      </c>
      <c r="B125" t="s">
        <v>177</v>
      </c>
      <c r="C125" s="100">
        <f>IF(OR(Fact_Administrativa[[#This Row], [Año]]="",Fact_Administrativa[[#This Row], [Mes]]=""),"",DATE(A125,MATCH(B125,{"enero","febrero","marzo","abril","mayo","junio","julio","agosto","septiembre","octubre","noviembre","diciembre"},0)+1,0))</f>
        <v>45443</v>
      </c>
      <c r="D125" t="s">
        <v>38</v>
      </c>
      <c r="E125" t="str">
        <f>+IFERROR(VLOOKUP(Fact_Administrativa[[#This Row], [Concepto Anterior]],Conceptos_Administrativa[#All],5,0),"")</f>
        <v>Facturas de arrendamientos y administración</v>
      </c>
      <c r="F125" t="str">
        <f ca="1">+IFERROR(VLOOKUP(Fact_Administrativa[[#This Row], [Concepto Anterior]],Conceptos_Administrativa[#All],7,0),"")</f>
        <v/>
      </c>
      <c r="G125" t="s">
        <v>172</v>
      </c>
      <c r="H125" t="s">
        <v>172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93">
        <v>1116</v>
      </c>
    </row>
    <row r="126" spans="1:11" ht="18.75" customHeight="1" x14ac:dyDescent="0.35">
      <c r="A126" s="93">
        <v>2024</v>
      </c>
      <c r="B126" t="s">
        <v>177</v>
      </c>
      <c r="C126" s="100">
        <f>IF(OR(Fact_Administrativa[[#This Row], [Año]]="",Fact_Administrativa[[#This Row], [Mes]]=""),"",DATE(A126,MATCH(B126,{"enero","febrero","marzo","abril","mayo","junio","julio","agosto","septiembre","octubre","noviembre","diciembre"},0)+1,0))</f>
        <v>45443</v>
      </c>
      <c r="D126" t="s">
        <v>41</v>
      </c>
      <c r="E126" t="str">
        <f>+IFERROR(VLOOKUP(Fact_Administrativa[[#This Row], [Concepto Anterior]],Conceptos_Administrativa[#All],5,0),"")</f>
        <v>Facturas Procesadas por Marca</v>
      </c>
      <c r="F126" t="str">
        <f ca="1">+IFERROR(VLOOKUP(Fact_Administrativa[[#This Row], [Concepto Anterior]],Conceptos_Administrativa[#All],7,0),"")</f>
        <v/>
      </c>
      <c r="G126" t="s">
        <v>42</v>
      </c>
      <c r="H126" t="s">
        <v>172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93">
        <v>616</v>
      </c>
    </row>
    <row r="127" spans="1:11" ht="18.75" customHeight="1" x14ac:dyDescent="0.35">
      <c r="A127" s="93">
        <v>2024</v>
      </c>
      <c r="B127" t="s">
        <v>177</v>
      </c>
      <c r="C127" s="100">
        <f>IF(OR(Fact_Administrativa[[#This Row], [Año]]="",Fact_Administrativa[[#This Row], [Mes]]=""),"",DATE(A127,MATCH(B127,{"enero","febrero","marzo","abril","mayo","junio","julio","agosto","septiembre","octubre","noviembre","diciembre"},0)+1,0))</f>
        <v>45443</v>
      </c>
      <c r="D127" t="s">
        <v>41</v>
      </c>
      <c r="E127" t="str">
        <f>+IFERROR(VLOOKUP(Fact_Administrativa[[#This Row], [Concepto Anterior]],Conceptos_Administrativa[#All],5,0),"")</f>
        <v>Facturas Procesadas por Marca</v>
      </c>
      <c r="F127" t="str">
        <f ca="1">+IFERROR(VLOOKUP(Fact_Administrativa[[#This Row], [Concepto Anterior]],Conceptos_Administrativa[#All],7,0),"")</f>
        <v/>
      </c>
      <c r="G127" t="s">
        <v>43</v>
      </c>
      <c r="H127" t="s">
        <v>172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93">
        <v>1084</v>
      </c>
    </row>
    <row r="128" spans="1:11" ht="18.75" customHeight="1" x14ac:dyDescent="0.35">
      <c r="A128" s="93">
        <v>2024</v>
      </c>
      <c r="B128" t="s">
        <v>177</v>
      </c>
      <c r="C128" s="100">
        <f>IF(OR(Fact_Administrativa[[#This Row], [Año]]="",Fact_Administrativa[[#This Row], [Mes]]=""),"",DATE(A128,MATCH(B128,{"enero","febrero","marzo","abril","mayo","junio","julio","agosto","septiembre","octubre","noviembre","diciembre"},0)+1,0))</f>
        <v>45443</v>
      </c>
      <c r="D128" t="s">
        <v>41</v>
      </c>
      <c r="E128" t="str">
        <f>+IFERROR(VLOOKUP(Fact_Administrativa[[#This Row], [Concepto Anterior]],Conceptos_Administrativa[#All],5,0),"")</f>
        <v>Facturas Procesadas por Marca</v>
      </c>
      <c r="F128" t="str">
        <f ca="1">+IFERROR(VLOOKUP(Fact_Administrativa[[#This Row], [Concepto Anterior]],Conceptos_Administrativa[#All],7,0),"")</f>
        <v/>
      </c>
      <c r="G128" t="s">
        <v>44</v>
      </c>
      <c r="H128" t="s">
        <v>172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93">
        <v>824</v>
      </c>
    </row>
    <row r="129" spans="1:11" ht="18.75" customHeight="1" x14ac:dyDescent="0.35">
      <c r="A129" s="93">
        <v>2024</v>
      </c>
      <c r="B129" t="s">
        <v>177</v>
      </c>
      <c r="C129" s="100">
        <f>IF(OR(Fact_Administrativa[[#This Row], [Año]]="",Fact_Administrativa[[#This Row], [Mes]]=""),"",DATE(A129,MATCH(B129,{"enero","febrero","marzo","abril","mayo","junio","julio","agosto","septiembre","octubre","noviembre","diciembre"},0)+1,0))</f>
        <v>45443</v>
      </c>
      <c r="D129" t="s">
        <v>41</v>
      </c>
      <c r="E129" t="str">
        <f>+IFERROR(VLOOKUP(Fact_Administrativa[[#This Row], [Concepto Anterior]],Conceptos_Administrativa[#All],5,0),"")</f>
        <v>Facturas Procesadas por Marca</v>
      </c>
      <c r="F129" t="str">
        <f ca="1">+IFERROR(VLOOKUP(Fact_Administrativa[[#This Row], [Concepto Anterior]],Conceptos_Administrativa[#All],7,0),"")</f>
        <v/>
      </c>
      <c r="G129" t="s">
        <v>45</v>
      </c>
      <c r="H129" t="s">
        <v>172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93">
        <v>843</v>
      </c>
    </row>
    <row r="130" spans="1:11" ht="18.75" customHeight="1" x14ac:dyDescent="0.35">
      <c r="A130" s="93">
        <v>2024</v>
      </c>
      <c r="B130" t="s">
        <v>177</v>
      </c>
      <c r="C130" s="100">
        <f>IF(OR(Fact_Administrativa[[#This Row], [Año]]="",Fact_Administrativa[[#This Row], [Mes]]=""),"",DATE(A130,MATCH(B130,{"enero","febrero","marzo","abril","mayo","junio","julio","agosto","septiembre","octubre","noviembre","diciembre"},0)+1,0))</f>
        <v>45443</v>
      </c>
      <c r="D130" t="s">
        <v>41</v>
      </c>
      <c r="E130" t="str">
        <f>+IFERROR(VLOOKUP(Fact_Administrativa[[#This Row], [Concepto Anterior]],Conceptos_Administrativa[#All],5,0),"")</f>
        <v>Facturas Procesadas por Marca</v>
      </c>
      <c r="F130" t="str">
        <f ca="1">+IFERROR(VLOOKUP(Fact_Administrativa[[#This Row], [Concepto Anterior]],Conceptos_Administrativa[#All],7,0),"")</f>
        <v/>
      </c>
      <c r="G130" t="s">
        <v>46</v>
      </c>
      <c r="H130" t="s">
        <v>172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93">
        <v>240</v>
      </c>
    </row>
    <row r="131" spans="1:11" ht="18.75" customHeight="1" x14ac:dyDescent="0.35">
      <c r="A131" s="93">
        <v>2024</v>
      </c>
      <c r="B131" t="s">
        <v>177</v>
      </c>
      <c r="C131" s="100">
        <f>IF(OR(Fact_Administrativa[[#This Row], [Año]]="",Fact_Administrativa[[#This Row], [Mes]]=""),"",DATE(A131,MATCH(B131,{"enero","febrero","marzo","abril","mayo","junio","julio","agosto","septiembre","octubre","noviembre","diciembre"},0)+1,0))</f>
        <v>45443</v>
      </c>
      <c r="D131" t="s">
        <v>41</v>
      </c>
      <c r="E131" t="str">
        <f>+IFERROR(VLOOKUP(Fact_Administrativa[[#This Row], [Concepto Anterior]],Conceptos_Administrativa[#All],5,0),"")</f>
        <v>Facturas Procesadas por Marca</v>
      </c>
      <c r="F131" t="str">
        <f ca="1">+IFERROR(VLOOKUP(Fact_Administrativa[[#This Row], [Concepto Anterior]],Conceptos_Administrativa[#All],7,0),"")</f>
        <v/>
      </c>
      <c r="G131" t="s">
        <v>47</v>
      </c>
      <c r="H131" t="s">
        <v>172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93">
        <v>34</v>
      </c>
    </row>
    <row r="132" spans="1:11" ht="18.75" customHeight="1" x14ac:dyDescent="0.35">
      <c r="A132" s="93">
        <v>2024</v>
      </c>
      <c r="B132" t="s">
        <v>177</v>
      </c>
      <c r="C132" s="100">
        <f>IF(OR(Fact_Administrativa[[#This Row], [Año]]="",Fact_Administrativa[[#This Row], [Mes]]=""),"",DATE(A132,MATCH(B132,{"enero","febrero","marzo","abril","mayo","junio","julio","agosto","septiembre","octubre","noviembre","diciembre"},0)+1,0))</f>
        <v>45443</v>
      </c>
      <c r="D132" t="s">
        <v>41</v>
      </c>
      <c r="E132" t="str">
        <f>+IFERROR(VLOOKUP(Fact_Administrativa[[#This Row], [Concepto Anterior]],Conceptos_Administrativa[#All],5,0),"")</f>
        <v>Facturas Procesadas por Marca</v>
      </c>
      <c r="F132" t="str">
        <f ca="1">+IFERROR(VLOOKUP(Fact_Administrativa[[#This Row], [Concepto Anterior]],Conceptos_Administrativa[#All],7,0),"")</f>
        <v/>
      </c>
      <c r="G132" t="s">
        <v>48</v>
      </c>
      <c r="H132" t="s">
        <v>172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93">
        <v>2032</v>
      </c>
    </row>
    <row r="133" spans="1:11" ht="18.75" customHeight="1" x14ac:dyDescent="0.35">
      <c r="A133" s="93">
        <v>2024</v>
      </c>
      <c r="B133" t="s">
        <v>177</v>
      </c>
      <c r="C133" s="100">
        <f>IF(OR(Fact_Administrativa[[#This Row], [Año]]="",Fact_Administrativa[[#This Row], [Mes]]=""),"",DATE(A133,MATCH(B133,{"enero","febrero","marzo","abril","mayo","junio","julio","agosto","septiembre","octubre","noviembre","diciembre"},0)+1,0))</f>
        <v>45443</v>
      </c>
      <c r="D133" t="s">
        <v>41</v>
      </c>
      <c r="E133" t="str">
        <f>+IFERROR(VLOOKUP(Fact_Administrativa[[#This Row], [Concepto Anterior]],Conceptos_Administrativa[#All],5,0),"")</f>
        <v>Facturas Procesadas por Marca</v>
      </c>
      <c r="F133" t="str">
        <f ca="1">+IFERROR(VLOOKUP(Fact_Administrativa[[#This Row], [Concepto Anterior]],Conceptos_Administrativa[#All],7,0),"")</f>
        <v/>
      </c>
      <c r="G133" t="s">
        <v>49</v>
      </c>
      <c r="H133" t="s">
        <v>172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93">
        <v>836</v>
      </c>
    </row>
    <row r="134" spans="1:11" ht="18.75" customHeight="1" x14ac:dyDescent="0.35">
      <c r="A134" s="93">
        <v>2024</v>
      </c>
      <c r="B134" t="s">
        <v>177</v>
      </c>
      <c r="C134" s="100">
        <f>IF(OR(Fact_Administrativa[[#This Row], [Año]]="",Fact_Administrativa[[#This Row], [Mes]]=""),"",DATE(A134,MATCH(B134,{"enero","febrero","marzo","abril","mayo","junio","julio","agosto","septiembre","octubre","noviembre","diciembre"},0)+1,0))</f>
        <v>45443</v>
      </c>
      <c r="D134" t="s">
        <v>41</v>
      </c>
      <c r="E134" t="str">
        <f>+IFERROR(VLOOKUP(Fact_Administrativa[[#This Row], [Concepto Anterior]],Conceptos_Administrativa[#All],5,0),"")</f>
        <v>Facturas Procesadas por Marca</v>
      </c>
      <c r="F134" t="str">
        <f ca="1">+IFERROR(VLOOKUP(Fact_Administrativa[[#This Row], [Concepto Anterior]],Conceptos_Administrativa[#All],7,0),"")</f>
        <v/>
      </c>
      <c r="G134" t="s">
        <v>50</v>
      </c>
      <c r="H134" t="s">
        <v>172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93">
        <v>1081</v>
      </c>
    </row>
    <row r="135" spans="1:11" ht="18.75" customHeight="1" x14ac:dyDescent="0.35">
      <c r="A135" s="93">
        <v>2024</v>
      </c>
      <c r="B135" t="s">
        <v>177</v>
      </c>
      <c r="C135" s="100">
        <f>IF(OR(Fact_Administrativa[[#This Row], [Año]]="",Fact_Administrativa[[#This Row], [Mes]]=""),"",DATE(A135,MATCH(B135,{"enero","febrero","marzo","abril","mayo","junio","julio","agosto","septiembre","octubre","noviembre","diciembre"},0)+1,0))</f>
        <v>45443</v>
      </c>
      <c r="D135" t="s">
        <v>41</v>
      </c>
      <c r="E135" t="str">
        <f>+IFERROR(VLOOKUP(Fact_Administrativa[[#This Row], [Concepto Anterior]],Conceptos_Administrativa[#All],5,0),"")</f>
        <v>Facturas Procesadas por Marca</v>
      </c>
      <c r="F135" t="str">
        <f ca="1">+IFERROR(VLOOKUP(Fact_Administrativa[[#This Row], [Concepto Anterior]],Conceptos_Administrativa[#All],7,0),"")</f>
        <v/>
      </c>
      <c r="G135" t="s">
        <v>51</v>
      </c>
      <c r="H135" t="s">
        <v>172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93">
        <v>1045</v>
      </c>
    </row>
    <row r="136" spans="1:11" ht="18.75" customHeight="1" x14ac:dyDescent="0.35">
      <c r="A136" s="93">
        <v>2024</v>
      </c>
      <c r="B136" t="s">
        <v>177</v>
      </c>
      <c r="C136" s="100">
        <f>IF(OR(Fact_Administrativa[[#This Row], [Año]]="",Fact_Administrativa[[#This Row], [Mes]]=""),"",DATE(A136,MATCH(B136,{"enero","febrero","marzo","abril","mayo","junio","julio","agosto","septiembre","octubre","noviembre","diciembre"},0)+1,0))</f>
        <v>45443</v>
      </c>
      <c r="D136" t="s">
        <v>41</v>
      </c>
      <c r="E136" t="str">
        <f>+IFERROR(VLOOKUP(Fact_Administrativa[[#This Row], [Concepto Anterior]],Conceptos_Administrativa[#All],5,0),"")</f>
        <v>Facturas Procesadas por Marca</v>
      </c>
      <c r="F136" t="str">
        <f ca="1">+IFERROR(VLOOKUP(Fact_Administrativa[[#This Row], [Concepto Anterior]],Conceptos_Administrativa[#All],7,0),"")</f>
        <v/>
      </c>
      <c r="G136" t="s">
        <v>52</v>
      </c>
      <c r="H136" t="s">
        <v>172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93">
        <v>487</v>
      </c>
    </row>
    <row r="137" spans="1:11" ht="18.75" customHeight="1" x14ac:dyDescent="0.35">
      <c r="A137" s="93">
        <v>2024</v>
      </c>
      <c r="B137" t="s">
        <v>177</v>
      </c>
      <c r="C137" s="100">
        <f>IF(OR(Fact_Administrativa[[#This Row], [Año]]="",Fact_Administrativa[[#This Row], [Mes]]=""),"",DATE(A137,MATCH(B137,{"enero","febrero","marzo","abril","mayo","junio","julio","agosto","septiembre","octubre","noviembre","diciembre"},0)+1,0))</f>
        <v>45443</v>
      </c>
      <c r="D137" t="s">
        <v>41</v>
      </c>
      <c r="E137" t="str">
        <f>+IFERROR(VLOOKUP(Fact_Administrativa[[#This Row], [Concepto Anterior]],Conceptos_Administrativa[#All],5,0),"")</f>
        <v>Facturas Procesadas por Marca</v>
      </c>
      <c r="F137" t="str">
        <f ca="1">+IFERROR(VLOOKUP(Fact_Administrativa[[#This Row], [Concepto Anterior]],Conceptos_Administrativa[#All],7,0),"")</f>
        <v/>
      </c>
      <c r="G137" t="s">
        <v>53</v>
      </c>
      <c r="H137" t="s">
        <v>172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93">
        <v>281</v>
      </c>
    </row>
    <row r="138" spans="1:11" ht="18.75" customHeight="1" x14ac:dyDescent="0.35">
      <c r="A138" s="93">
        <v>2024</v>
      </c>
      <c r="B138" t="s">
        <v>177</v>
      </c>
      <c r="C138" s="100">
        <f>IF(OR(Fact_Administrativa[[#This Row], [Año]]="",Fact_Administrativa[[#This Row], [Mes]]=""),"",DATE(A138,MATCH(B138,{"enero","febrero","marzo","abril","mayo","junio","julio","agosto","septiembre","octubre","noviembre","diciembre"},0)+1,0))</f>
        <v>45443</v>
      </c>
      <c r="D138" t="s">
        <v>41</v>
      </c>
      <c r="E138" t="str">
        <f>+IFERROR(VLOOKUP(Fact_Administrativa[[#This Row], [Concepto Anterior]],Conceptos_Administrativa[#All],5,0),"")</f>
        <v>Facturas Procesadas por Marca</v>
      </c>
      <c r="F138" t="str">
        <f ca="1">+IFERROR(VLOOKUP(Fact_Administrativa[[#This Row], [Concepto Anterior]],Conceptos_Administrativa[#All],7,0),"")</f>
        <v/>
      </c>
      <c r="G138" t="s">
        <v>54</v>
      </c>
      <c r="H138" t="s">
        <v>172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93">
        <v>3</v>
      </c>
    </row>
    <row r="139" spans="1:11" ht="18.75" customHeight="1" x14ac:dyDescent="0.35">
      <c r="A139" s="93">
        <v>2024</v>
      </c>
      <c r="B139" t="s">
        <v>177</v>
      </c>
      <c r="C139" s="100">
        <f>IF(OR(Fact_Administrativa[[#This Row], [Año]]="",Fact_Administrativa[[#This Row], [Mes]]=""),"",DATE(A139,MATCH(B139,{"enero","febrero","marzo","abril","mayo","junio","julio","agosto","septiembre","octubre","noviembre","diciembre"},0)+1,0))</f>
        <v>45443</v>
      </c>
      <c r="D139" t="s">
        <v>55</v>
      </c>
      <c r="E139" t="str">
        <f>+IFERROR(VLOOKUP(Fact_Administrativa[[#This Row], [Concepto Anterior]],Conceptos_Administrativa[#All],5,0),"")</f>
        <v>Facturas Procesadas por Marca</v>
      </c>
      <c r="F139" t="str">
        <f ca="1">+IFERROR(VLOOKUP(Fact_Administrativa[[#This Row], [Concepto Anterior]],Conceptos_Administrativa[#All],7,0),"")</f>
        <v/>
      </c>
      <c r="G139" t="s">
        <v>56</v>
      </c>
      <c r="H139" t="s">
        <v>172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93">
        <v>74</v>
      </c>
    </row>
    <row r="140" spans="1:11" ht="18.75" customHeight="1" x14ac:dyDescent="0.35">
      <c r="A140" s="93">
        <v>2024</v>
      </c>
      <c r="B140" t="s">
        <v>177</v>
      </c>
      <c r="C140" s="100">
        <f>IF(OR(Fact_Administrativa[[#This Row], [Año]]="",Fact_Administrativa[[#This Row], [Mes]]=""),"",DATE(A140,MATCH(B140,{"enero","febrero","marzo","abril","mayo","junio","julio","agosto","septiembre","octubre","noviembre","diciembre"},0)+1,0))</f>
        <v>45443</v>
      </c>
      <c r="D140" t="s">
        <v>57</v>
      </c>
      <c r="E140" t="str">
        <f>+IFERROR(VLOOKUP(Fact_Administrativa[[#This Row], [Concepto Anterior]],Conceptos_Administrativa[#All],5,0),"")</f>
        <v>Facturas Procesadas por Marca</v>
      </c>
      <c r="F140" t="str">
        <f ca="1">+IFERROR(VLOOKUP(Fact_Administrativa[[#This Row], [Concepto Anterior]],Conceptos_Administrativa[#All],7,0),"")</f>
        <v/>
      </c>
      <c r="G140" t="s">
        <v>58</v>
      </c>
      <c r="H140" t="s">
        <v>172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93">
        <v>77</v>
      </c>
    </row>
    <row r="141" spans="1:11" ht="18.75" customHeight="1" x14ac:dyDescent="0.35">
      <c r="A141" s="93">
        <v>2024</v>
      </c>
      <c r="B141" t="s">
        <v>177</v>
      </c>
      <c r="C141" s="100">
        <f>IF(OR(Fact_Administrativa[[#This Row], [Año]]="",Fact_Administrativa[[#This Row], [Mes]]=""),"",DATE(A141,MATCH(B141,{"enero","febrero","marzo","abril","mayo","junio","julio","agosto","septiembre","octubre","noviembre","diciembre"},0)+1,0))</f>
        <v>45443</v>
      </c>
      <c r="D141" t="s">
        <v>28</v>
      </c>
      <c r="E141" t="str">
        <f>+IFERROR(VLOOKUP(Fact_Administrativa[[#This Row], [Concepto Anterior]],Conceptos_Administrativa[#All],5,0),"")</f>
        <v xml:space="preserve">Ahorro reformas tiendas </v>
      </c>
      <c r="F141" t="str">
        <f ca="1">+IFERROR(VLOOKUP(Fact_Administrativa[[#This Row], [Concepto Anterior]],Conceptos_Administrativa[#All],7,0),"")</f>
        <v/>
      </c>
      <c r="G141" t="s">
        <v>172</v>
      </c>
      <c r="H141" t="s">
        <v>172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93">
        <v>0</v>
      </c>
    </row>
    <row r="142" spans="1:11" ht="18.75" customHeight="1" x14ac:dyDescent="0.35">
      <c r="A142" s="93">
        <v>2024</v>
      </c>
      <c r="B142" t="s">
        <v>177</v>
      </c>
      <c r="C142" s="100">
        <f>IF(OR(Fact_Administrativa[[#This Row], [Año]]="",Fact_Administrativa[[#This Row], [Mes]]=""),"",DATE(A142,MATCH(B142,{"enero","febrero","marzo","abril","mayo","junio","julio","agosto","septiembre","octubre","noviembre","diciembre"},0)+1,0))</f>
        <v>45443</v>
      </c>
      <c r="D142" t="s">
        <v>29</v>
      </c>
      <c r="E142" t="str">
        <f>+IFERROR(VLOOKUP(Fact_Administrativa[[#This Row], [Concepto Anterior]],Conceptos_Administrativa[#All],5,0),"")</f>
        <v>Recuperaciones Siniestros</v>
      </c>
      <c r="F142" t="str">
        <f ca="1">+IFERROR(VLOOKUP(Fact_Administrativa[[#This Row], [Concepto Anterior]],Conceptos_Administrativa[#All],7,0),"")</f>
        <v/>
      </c>
      <c r="G142" t="s">
        <v>172</v>
      </c>
      <c r="H142" t="s">
        <v>172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93">
        <v>0</v>
      </c>
    </row>
    <row r="143" spans="1:11" ht="18.75" customHeight="1" x14ac:dyDescent="0.35">
      <c r="A143" s="93">
        <v>2024</v>
      </c>
      <c r="B143" t="s">
        <v>177</v>
      </c>
      <c r="C143" s="100">
        <f>IF(OR(Fact_Administrativa[[#This Row], [Año]]="",Fact_Administrativa[[#This Row], [Mes]]=""),"",DATE(A143,MATCH(B143,{"enero","febrero","marzo","abril","mayo","junio","julio","agosto","septiembre","octubre","noviembre","diciembre"},0)+1,0))</f>
        <v>45443</v>
      </c>
      <c r="D143" t="s">
        <v>30</v>
      </c>
      <c r="E143" t="str">
        <f>+IFERROR(VLOOKUP(Fact_Administrativa[[#This Row], [Concepto Anterior]],Conceptos_Administrativa[#All],5,0),"")</f>
        <v>Gestión de Polizas</v>
      </c>
      <c r="F143" t="str">
        <f ca="1">+IFERROR(VLOOKUP(Fact_Administrativa[[#This Row], [Concepto Anterior]],Conceptos_Administrativa[#All],7,0),"")</f>
        <v/>
      </c>
      <c r="G143" t="s">
        <v>172</v>
      </c>
      <c r="H143" t="s">
        <v>172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93">
        <v>0</v>
      </c>
    </row>
    <row r="144" spans="1:11" ht="18.75" customHeight="1" x14ac:dyDescent="0.35">
      <c r="A144" s="93">
        <v>2024</v>
      </c>
      <c r="B144" t="s">
        <v>177</v>
      </c>
      <c r="C144" s="100">
        <f>IF(OR(Fact_Administrativa[[#This Row], [Año]]="",Fact_Administrativa[[#This Row], [Mes]]=""),"",DATE(A144,MATCH(B144,{"enero","febrero","marzo","abril","mayo","junio","julio","agosto","septiembre","octubre","noviembre","diciembre"},0)+1,0))</f>
        <v>45443</v>
      </c>
      <c r="D144" t="s">
        <v>32</v>
      </c>
      <c r="E144" t="str">
        <f>+IFERROR(VLOOKUP(Fact_Administrativa[[#This Row], [Concepto Anterior]],Conceptos_Administrativa[#All],5,0),"")</f>
        <v>Tickets cerrados</v>
      </c>
      <c r="F144" t="str">
        <f ca="1">+IFERROR(VLOOKUP(Fact_Administrativa[[#This Row], [Concepto Anterior]],Conceptos_Administrativa[#All],7,0),"")</f>
        <v/>
      </c>
      <c r="G144" t="s">
        <v>172</v>
      </c>
      <c r="H144" t="s">
        <v>172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93">
        <v>880</v>
      </c>
    </row>
    <row r="145" spans="1:11" ht="18.75" customHeight="1" x14ac:dyDescent="0.35">
      <c r="A145" s="93">
        <v>2024</v>
      </c>
      <c r="B145" t="s">
        <v>177</v>
      </c>
      <c r="C145" s="100">
        <f>IF(OR(Fact_Administrativa[[#This Row], [Año]]="",Fact_Administrativa[[#This Row], [Mes]]=""),"",DATE(A145,MATCH(B145,{"enero","febrero","marzo","abril","mayo","junio","julio","agosto","septiembre","octubre","noviembre","diciembre"},0)+1,0))</f>
        <v>45443</v>
      </c>
      <c r="D145" t="s">
        <v>210</v>
      </c>
      <c r="E145" t="str">
        <f>+IFERROR(VLOOKUP(Fact_Administrativa[[#This Row], [Concepto Anterior]],Conceptos_Administrativa[#All],5,0),"")</f>
        <v>Tickets proceso</v>
      </c>
      <c r="F145" t="str">
        <f ca="1">+IFERROR(VLOOKUP(Fact_Administrativa[[#This Row], [Concepto Anterior]],Conceptos_Administrativa[#All],7,0),"")</f>
        <v/>
      </c>
      <c r="G145" t="s">
        <v>172</v>
      </c>
      <c r="H145" t="s">
        <v>172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93">
        <v>208</v>
      </c>
    </row>
    <row r="146" spans="1:11" ht="18.75" customHeight="1" x14ac:dyDescent="0.35">
      <c r="A146" s="93">
        <v>2024</v>
      </c>
      <c r="B146" t="s">
        <v>177</v>
      </c>
      <c r="C146" s="100">
        <f>IF(OR(Fact_Administrativa[[#This Row], [Año]]="",Fact_Administrativa[[#This Row], [Mes]]=""),"",DATE(A146,MATCH(B146,{"enero","febrero","marzo","abril","mayo","junio","julio","agosto","septiembre","octubre","noviembre","diciembre"},0)+1,0))</f>
        <v>45443</v>
      </c>
      <c r="D146" t="s">
        <v>31</v>
      </c>
      <c r="E146" t="str">
        <f>+IFERROR(VLOOKUP(Fact_Administrativa[[#This Row], [Concepto Anterior]],Conceptos_Administrativa[#All],5,0),"")</f>
        <v>Tickets recibidos</v>
      </c>
      <c r="F146" t="str">
        <f ca="1">+IFERROR(VLOOKUP(Fact_Administrativa[[#This Row], [Concepto Anterior]],Conceptos_Administrativa[#All],7,0),"")</f>
        <v/>
      </c>
      <c r="G146" t="s">
        <v>172</v>
      </c>
      <c r="H146" t="s">
        <v>172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93">
        <v>1088</v>
      </c>
    </row>
    <row r="147" spans="1:11" ht="18.75" customHeight="1" x14ac:dyDescent="0.35">
      <c r="A147" s="93">
        <v>2024</v>
      </c>
      <c r="B147" t="s">
        <v>178</v>
      </c>
      <c r="C147" s="100">
        <f>IF(OR(Fact_Administrativa[[#This Row], [Año]]="",Fact_Administrativa[[#This Row], [Mes]]=""),"",DATE(A147,MATCH(B147,{"enero","febrero","marzo","abril","mayo","junio","julio","agosto","septiembre","octubre","noviembre","diciembre"},0)+1,0))</f>
        <v>45473</v>
      </c>
      <c r="D147" t="s">
        <v>27</v>
      </c>
      <c r="E147" t="str">
        <f>+IFERROR(VLOOKUP(Fact_Administrativa[[#This Row], [Concepto Anterior]],Conceptos_Administrativa[#All],5,0),"")</f>
        <v>Ahorro energía</v>
      </c>
      <c r="F147" t="str">
        <f ca="1">+IFERROR(VLOOKUP(Fact_Administrativa[[#This Row], [Concepto Anterior]],Conceptos_Administrativa[#All],7,0),"")</f>
        <v/>
      </c>
      <c r="G147" t="s">
        <v>172</v>
      </c>
      <c r="H147" t="s">
        <v>172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93">
        <v>23858082</v>
      </c>
    </row>
    <row r="148" spans="1:11" ht="18.75" customHeight="1" x14ac:dyDescent="0.35">
      <c r="A148" s="102">
        <v>2024</v>
      </c>
      <c r="B148" t="s">
        <v>178</v>
      </c>
      <c r="C148" s="100">
        <f>IF(OR(Fact_Administrativa[[#This Row], [Año]]="",Fact_Administrativa[[#This Row], [Mes]]=""),"",DATE(A148,MATCH(B148,{"enero","febrero","marzo","abril","mayo","junio","julio","agosto","septiembre","octubre","noviembre","diciembre"},0)+1,0))</f>
        <v>45473</v>
      </c>
      <c r="D148" t="s">
        <v>19</v>
      </c>
      <c r="E148" t="str">
        <f>+IFERROR(VLOOKUP(Fact_Administrativa[[#This Row], [Concepto Anterior]],Conceptos_Administrativa[#All],5,0),"")</f>
        <v>Aporte fundación</v>
      </c>
      <c r="F148" t="str">
        <f ca="1">+IFERROR(VLOOKUP(Fact_Administrativa[[#This Row], [Concepto Anterior]],Conceptos_Administrativa[#All],7,0),"")</f>
        <v/>
      </c>
      <c r="G148" t="s">
        <v>172</v>
      </c>
      <c r="H148" t="s">
        <v>172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93">
        <v>18840520</v>
      </c>
    </row>
    <row r="149" spans="1:11" ht="18.75" customHeight="1" x14ac:dyDescent="0.35">
      <c r="A149" s="93">
        <v>2024</v>
      </c>
      <c r="B149" t="s">
        <v>178</v>
      </c>
      <c r="C149" s="100">
        <f>IF(OR(Fact_Administrativa[[#This Row], [Año]]="",Fact_Administrativa[[#This Row], [Mes]]=""),"",DATE(A149,MATCH(B149,{"enero","febrero","marzo","abril","mayo","junio","julio","agosto","septiembre","octubre","noviembre","diciembre"},0)+1,0))</f>
        <v>45473</v>
      </c>
      <c r="D149" t="s">
        <v>39</v>
      </c>
      <c r="E149" t="str">
        <f>+IFERROR(VLOOKUP(Fact_Administrativa[[#This Row], [Concepto Anterior]],Conceptos_Administrativa[#All],5,0),"")</f>
        <v>Cantidad de tiendas remodeladas</v>
      </c>
      <c r="F149" t="str">
        <f ca="1">+IFERROR(VLOOKUP(Fact_Administrativa[[#This Row], [Concepto Anterior]],Conceptos_Administrativa[#All],7,0),"")</f>
        <v/>
      </c>
      <c r="G149" t="s">
        <v>172</v>
      </c>
      <c r="H149" t="s">
        <v>172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93">
        <v>0</v>
      </c>
    </row>
    <row r="150" spans="1:11" ht="18.75" customHeight="1" x14ac:dyDescent="0.35">
      <c r="A150" s="93">
        <v>2024</v>
      </c>
      <c r="B150" t="s">
        <v>178</v>
      </c>
      <c r="C150" s="100">
        <f>IF(OR(Fact_Administrativa[[#This Row], [Año]]="",Fact_Administrativa[[#This Row], [Mes]]=""),"",DATE(A150,MATCH(B150,{"enero","febrero","marzo","abril","mayo","junio","julio","agosto","septiembre","octubre","noviembre","diciembre"},0)+1,0))</f>
        <v>45473</v>
      </c>
      <c r="D150" t="s">
        <v>40</v>
      </c>
      <c r="E150" t="str">
        <f>+IFERROR(VLOOKUP(Fact_Administrativa[[#This Row], [Concepto Anterior]],Conceptos_Administrativa[#All],5,0),"")</f>
        <v xml:space="preserve">Contratos de arrendamientos </v>
      </c>
      <c r="F150" t="str">
        <f ca="1">+IFERROR(VLOOKUP(Fact_Administrativa[[#This Row], [Concepto Anterior]],Conceptos_Administrativa[#All],7,0),"")</f>
        <v/>
      </c>
      <c r="G150" t="s">
        <v>172</v>
      </c>
      <c r="H150" t="s">
        <v>172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93">
        <v>0</v>
      </c>
    </row>
    <row r="151" spans="1:11" ht="18.75" customHeight="1" x14ac:dyDescent="0.35">
      <c r="A151" s="93">
        <v>2024</v>
      </c>
      <c r="B151" t="s">
        <v>178</v>
      </c>
      <c r="C151" s="100">
        <f>IF(OR(Fact_Administrativa[[#This Row], [Año]]="",Fact_Administrativa[[#This Row], [Mes]]=""),"",DATE(A151,MATCH(B151,{"enero","febrero","marzo","abril","mayo","junio","julio","agosto","septiembre","octubre","noviembre","diciembre"},0)+1,0))</f>
        <v>45473</v>
      </c>
      <c r="D151" t="s">
        <v>25</v>
      </c>
      <c r="E151" t="str">
        <f>+IFERROR(VLOOKUP(Fact_Administrativa[[#This Row], [Concepto Anterior]],Conceptos_Administrativa[#All],5,0),"")</f>
        <v>Control Ingresos cede Dogama</v>
      </c>
      <c r="F151" t="str">
        <f ca="1">+IFERROR(VLOOKUP(Fact_Administrativa[[#This Row], [Concepto Anterior]],Conceptos_Administrativa[#All],7,0),"")</f>
        <v/>
      </c>
      <c r="G151" t="s">
        <v>172</v>
      </c>
      <c r="H151" t="s">
        <v>172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93">
        <v>16175</v>
      </c>
    </row>
    <row r="152" spans="1:11" ht="18.75" customHeight="1" x14ac:dyDescent="0.35">
      <c r="A152" s="93">
        <v>2024</v>
      </c>
      <c r="B152" t="s">
        <v>178</v>
      </c>
      <c r="C152" s="100">
        <f>IF(OR(Fact_Administrativa[[#This Row], [Año]]="",Fact_Administrativa[[#This Row], [Mes]]=""),"",DATE(A152,MATCH(B152,{"enero","febrero","marzo","abril","mayo","junio","julio","agosto","septiembre","octubre","noviembre","diciembre"},0)+1,0))</f>
        <v>45473</v>
      </c>
      <c r="D152" t="s">
        <v>34</v>
      </c>
      <c r="E152" t="str">
        <f>+IFERROR(VLOOKUP(Fact_Administrativa[[#This Row], [Concepto Anterior]],Conceptos_Administrativa[#All],5,0),"")</f>
        <v>% Tickets Cumplimiento</v>
      </c>
      <c r="F152" t="str">
        <f ca="1">+IFERROR(VLOOKUP(Fact_Administrativa[[#This Row], [Concepto Anterior]],Conceptos_Administrativa[#All],7,0),"")</f>
        <v/>
      </c>
      <c r="G152" t="s">
        <v>172</v>
      </c>
      <c r="H152" t="s">
        <v>172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92">
        <v>0.90909090909090906</v>
      </c>
    </row>
    <row r="153" spans="1:11" ht="18.75" customHeight="1" x14ac:dyDescent="0.35">
      <c r="A153" s="93">
        <v>2024</v>
      </c>
      <c r="B153" t="s">
        <v>178</v>
      </c>
      <c r="C153" s="100">
        <f>IF(OR(Fact_Administrativa[[#This Row], [Año]]="",Fact_Administrativa[[#This Row], [Mes]]=""),"",DATE(A153,MATCH(B153,{"enero","febrero","marzo","abril","mayo","junio","julio","agosto","septiembre","octubre","noviembre","diciembre"},0)+1,0))</f>
        <v>45473</v>
      </c>
      <c r="D153" t="s">
        <v>209</v>
      </c>
      <c r="E153" t="str">
        <f>+IFERROR(VLOOKUP(Fact_Administrativa[[#This Row], [Concepto Anterior]],Conceptos_Administrativa[#All],5,0),"")</f>
        <v>Emisiones CO²</v>
      </c>
      <c r="F153" t="str">
        <f ca="1">+IFERROR(VLOOKUP(Fact_Administrativa[[#This Row], [Concepto Anterior]],Conceptos_Administrativa[#All],7,0),"")</f>
        <v/>
      </c>
      <c r="G153" t="s">
        <v>172</v>
      </c>
      <c r="H153" t="s">
        <v>172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92">
        <v>28.1</v>
      </c>
    </row>
    <row r="154" spans="1:11" ht="18.75" customHeight="1" x14ac:dyDescent="0.35">
      <c r="A154" s="93">
        <v>2024</v>
      </c>
      <c r="B154" t="s">
        <v>178</v>
      </c>
      <c r="C154" s="100">
        <f>IF(OR(Fact_Administrativa[[#This Row], [Año]]="",Fact_Administrativa[[#This Row], [Mes]]=""),"",DATE(A154,MATCH(B154,{"enero","febrero","marzo","abril","mayo","junio","julio","agosto","septiembre","octubre","noviembre","diciembre"},0)+1,0))</f>
        <v>45473</v>
      </c>
      <c r="D154" t="s">
        <v>38</v>
      </c>
      <c r="E154" t="str">
        <f>+IFERROR(VLOOKUP(Fact_Administrativa[[#This Row], [Concepto Anterior]],Conceptos_Administrativa[#All],5,0),"")</f>
        <v>Facturas de arrendamientos y administración</v>
      </c>
      <c r="F154" t="str">
        <f ca="1">+IFERROR(VLOOKUP(Fact_Administrativa[[#This Row], [Concepto Anterior]],Conceptos_Administrativa[#All],7,0),"")</f>
        <v/>
      </c>
      <c r="G154" t="s">
        <v>172</v>
      </c>
      <c r="H154" t="s">
        <v>172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93">
        <v>1061</v>
      </c>
    </row>
    <row r="155" spans="1:11" ht="18.75" customHeight="1" x14ac:dyDescent="0.35">
      <c r="A155" s="93">
        <v>2024</v>
      </c>
      <c r="B155" t="s">
        <v>178</v>
      </c>
      <c r="C155" s="100">
        <f>IF(OR(Fact_Administrativa[[#This Row], [Año]]="",Fact_Administrativa[[#This Row], [Mes]]=""),"",DATE(A155,MATCH(B155,{"enero","febrero","marzo","abril","mayo","junio","julio","agosto","septiembre","octubre","noviembre","diciembre"},0)+1,0))</f>
        <v>45473</v>
      </c>
      <c r="D155" t="s">
        <v>41</v>
      </c>
      <c r="E155" t="str">
        <f>+IFERROR(VLOOKUP(Fact_Administrativa[[#This Row], [Concepto Anterior]],Conceptos_Administrativa[#All],5,0),"")</f>
        <v>Facturas Procesadas por Marca</v>
      </c>
      <c r="F155" t="str">
        <f ca="1">+IFERROR(VLOOKUP(Fact_Administrativa[[#This Row], [Concepto Anterior]],Conceptos_Administrativa[#All],7,0),"")</f>
        <v/>
      </c>
      <c r="G155" t="s">
        <v>42</v>
      </c>
      <c r="H155" t="s">
        <v>172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93">
        <v>720</v>
      </c>
    </row>
    <row r="156" spans="1:11" ht="18.75" customHeight="1" x14ac:dyDescent="0.35">
      <c r="A156" s="93">
        <v>2024</v>
      </c>
      <c r="B156" t="s">
        <v>178</v>
      </c>
      <c r="C156" s="100">
        <f>IF(OR(Fact_Administrativa[[#This Row], [Año]]="",Fact_Administrativa[[#This Row], [Mes]]=""),"",DATE(A156,MATCH(B156,{"enero","febrero","marzo","abril","mayo","junio","julio","agosto","septiembre","octubre","noviembre","diciembre"},0)+1,0))</f>
        <v>45473</v>
      </c>
      <c r="D156" t="s">
        <v>41</v>
      </c>
      <c r="E156" t="str">
        <f>+IFERROR(VLOOKUP(Fact_Administrativa[[#This Row], [Concepto Anterior]],Conceptos_Administrativa[#All],5,0),"")</f>
        <v>Facturas Procesadas por Marca</v>
      </c>
      <c r="F156" t="str">
        <f ca="1">+IFERROR(VLOOKUP(Fact_Administrativa[[#This Row], [Concepto Anterior]],Conceptos_Administrativa[#All],7,0),"")</f>
        <v/>
      </c>
      <c r="G156" t="s">
        <v>43</v>
      </c>
      <c r="H156" t="s">
        <v>172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93">
        <v>1012</v>
      </c>
    </row>
    <row r="157" spans="1:11" ht="18.75" customHeight="1" x14ac:dyDescent="0.35">
      <c r="A157" s="93">
        <v>2024</v>
      </c>
      <c r="B157" t="s">
        <v>178</v>
      </c>
      <c r="C157" s="100">
        <f>IF(OR(Fact_Administrativa[[#This Row], [Año]]="",Fact_Administrativa[[#This Row], [Mes]]=""),"",DATE(A157,MATCH(B157,{"enero","febrero","marzo","abril","mayo","junio","julio","agosto","septiembre","octubre","noviembre","diciembre"},0)+1,0))</f>
        <v>45473</v>
      </c>
      <c r="D157" t="s">
        <v>41</v>
      </c>
      <c r="E157" t="str">
        <f>+IFERROR(VLOOKUP(Fact_Administrativa[[#This Row], [Concepto Anterior]],Conceptos_Administrativa[#All],5,0),"")</f>
        <v>Facturas Procesadas por Marca</v>
      </c>
      <c r="F157" t="str">
        <f ca="1">+IFERROR(VLOOKUP(Fact_Administrativa[[#This Row], [Concepto Anterior]],Conceptos_Administrativa[#All],7,0),"")</f>
        <v/>
      </c>
      <c r="G157" t="s">
        <v>44</v>
      </c>
      <c r="H157" t="s">
        <v>172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93">
        <v>800</v>
      </c>
    </row>
    <row r="158" spans="1:11" ht="18.75" customHeight="1" x14ac:dyDescent="0.35">
      <c r="A158" s="93">
        <v>2024</v>
      </c>
      <c r="B158" t="s">
        <v>178</v>
      </c>
      <c r="C158" s="100">
        <f>IF(OR(Fact_Administrativa[[#This Row], [Año]]="",Fact_Administrativa[[#This Row], [Mes]]=""),"",DATE(A158,MATCH(B158,{"enero","febrero","marzo","abril","mayo","junio","julio","agosto","septiembre","octubre","noviembre","diciembre"},0)+1,0))</f>
        <v>45473</v>
      </c>
      <c r="D158" t="s">
        <v>41</v>
      </c>
      <c r="E158" t="str">
        <f>+IFERROR(VLOOKUP(Fact_Administrativa[[#This Row], [Concepto Anterior]],Conceptos_Administrativa[#All],5,0),"")</f>
        <v>Facturas Procesadas por Marca</v>
      </c>
      <c r="F158" t="str">
        <f ca="1">+IFERROR(VLOOKUP(Fact_Administrativa[[#This Row], [Concepto Anterior]],Conceptos_Administrativa[#All],7,0),"")</f>
        <v/>
      </c>
      <c r="G158" t="s">
        <v>45</v>
      </c>
      <c r="H158" t="s">
        <v>172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93">
        <v>789</v>
      </c>
    </row>
    <row r="159" spans="1:11" ht="18.75" customHeight="1" x14ac:dyDescent="0.35">
      <c r="A159" s="93">
        <v>2024</v>
      </c>
      <c r="B159" t="s">
        <v>178</v>
      </c>
      <c r="C159" s="100">
        <f>IF(OR(Fact_Administrativa[[#This Row], [Año]]="",Fact_Administrativa[[#This Row], [Mes]]=""),"",DATE(A159,MATCH(B159,{"enero","febrero","marzo","abril","mayo","junio","julio","agosto","septiembre","octubre","noviembre","diciembre"},0)+1,0))</f>
        <v>45473</v>
      </c>
      <c r="D159" t="s">
        <v>41</v>
      </c>
      <c r="E159" t="str">
        <f>+IFERROR(VLOOKUP(Fact_Administrativa[[#This Row], [Concepto Anterior]],Conceptos_Administrativa[#All],5,0),"")</f>
        <v>Facturas Procesadas por Marca</v>
      </c>
      <c r="F159" t="str">
        <f ca="1">+IFERROR(VLOOKUP(Fact_Administrativa[[#This Row], [Concepto Anterior]],Conceptos_Administrativa[#All],7,0),"")</f>
        <v/>
      </c>
      <c r="G159" t="s">
        <v>46</v>
      </c>
      <c r="H159" t="s">
        <v>172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93">
        <v>39</v>
      </c>
    </row>
    <row r="160" spans="1:11" ht="18.75" customHeight="1" x14ac:dyDescent="0.35">
      <c r="A160" s="93">
        <v>2024</v>
      </c>
      <c r="B160" t="s">
        <v>178</v>
      </c>
      <c r="C160" s="100">
        <f>IF(OR(Fact_Administrativa[[#This Row], [Año]]="",Fact_Administrativa[[#This Row], [Mes]]=""),"",DATE(A160,MATCH(B160,{"enero","febrero","marzo","abril","mayo","junio","julio","agosto","septiembre","octubre","noviembre","diciembre"},0)+1,0))</f>
        <v>45473</v>
      </c>
      <c r="D160" t="s">
        <v>41</v>
      </c>
      <c r="E160" t="str">
        <f>+IFERROR(VLOOKUP(Fact_Administrativa[[#This Row], [Concepto Anterior]],Conceptos_Administrativa[#All],5,0),"")</f>
        <v>Facturas Procesadas por Marca</v>
      </c>
      <c r="F160" t="str">
        <f ca="1">+IFERROR(VLOOKUP(Fact_Administrativa[[#This Row], [Concepto Anterior]],Conceptos_Administrativa[#All],7,0),"")</f>
        <v/>
      </c>
      <c r="G160" t="s">
        <v>47</v>
      </c>
      <c r="H160" t="s">
        <v>172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93">
        <v>37</v>
      </c>
    </row>
    <row r="161" spans="1:11" ht="18.75" customHeight="1" x14ac:dyDescent="0.35">
      <c r="A161" s="93">
        <v>2024</v>
      </c>
      <c r="B161" t="s">
        <v>178</v>
      </c>
      <c r="C161" s="100">
        <f>IF(OR(Fact_Administrativa[[#This Row], [Año]]="",Fact_Administrativa[[#This Row], [Mes]]=""),"",DATE(A161,MATCH(B161,{"enero","febrero","marzo","abril","mayo","junio","julio","agosto","septiembre","octubre","noviembre","diciembre"},0)+1,0))</f>
        <v>45473</v>
      </c>
      <c r="D161" t="s">
        <v>41</v>
      </c>
      <c r="E161" t="str">
        <f>+IFERROR(VLOOKUP(Fact_Administrativa[[#This Row], [Concepto Anterior]],Conceptos_Administrativa[#All],5,0),"")</f>
        <v>Facturas Procesadas por Marca</v>
      </c>
      <c r="F161" t="str">
        <f ca="1">+IFERROR(VLOOKUP(Fact_Administrativa[[#This Row], [Concepto Anterior]],Conceptos_Administrativa[#All],7,0),"")</f>
        <v/>
      </c>
      <c r="G161" t="s">
        <v>48</v>
      </c>
      <c r="H161" t="s">
        <v>172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93">
        <v>2198</v>
      </c>
    </row>
    <row r="162" spans="1:11" ht="18.75" customHeight="1" x14ac:dyDescent="0.35">
      <c r="A162" s="93">
        <v>2024</v>
      </c>
      <c r="B162" t="s">
        <v>178</v>
      </c>
      <c r="C162" s="100">
        <f>IF(OR(Fact_Administrativa[[#This Row], [Año]]="",Fact_Administrativa[[#This Row], [Mes]]=""),"",DATE(A162,MATCH(B162,{"enero","febrero","marzo","abril","mayo","junio","julio","agosto","septiembre","octubre","noviembre","diciembre"},0)+1,0))</f>
        <v>45473</v>
      </c>
      <c r="D162" t="s">
        <v>41</v>
      </c>
      <c r="E162" t="str">
        <f>+IFERROR(VLOOKUP(Fact_Administrativa[[#This Row], [Concepto Anterior]],Conceptos_Administrativa[#All],5,0),"")</f>
        <v>Facturas Procesadas por Marca</v>
      </c>
      <c r="F162" t="str">
        <f ca="1">+IFERROR(VLOOKUP(Fact_Administrativa[[#This Row], [Concepto Anterior]],Conceptos_Administrativa[#All],7,0),"")</f>
        <v/>
      </c>
      <c r="G162" t="s">
        <v>49</v>
      </c>
      <c r="H162" t="s">
        <v>172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93">
        <v>980</v>
      </c>
    </row>
    <row r="163" spans="1:11" ht="18.75" customHeight="1" x14ac:dyDescent="0.35">
      <c r="A163" s="93">
        <v>2024</v>
      </c>
      <c r="B163" t="s">
        <v>178</v>
      </c>
      <c r="C163" s="100">
        <f>IF(OR(Fact_Administrativa[[#This Row], [Año]]="",Fact_Administrativa[[#This Row], [Mes]]=""),"",DATE(A163,MATCH(B163,{"enero","febrero","marzo","abril","mayo","junio","julio","agosto","septiembre","octubre","noviembre","diciembre"},0)+1,0))</f>
        <v>45473</v>
      </c>
      <c r="D163" t="s">
        <v>41</v>
      </c>
      <c r="E163" t="str">
        <f>+IFERROR(VLOOKUP(Fact_Administrativa[[#This Row], [Concepto Anterior]],Conceptos_Administrativa[#All],5,0),"")</f>
        <v>Facturas Procesadas por Marca</v>
      </c>
      <c r="F163" t="str">
        <f ca="1">+IFERROR(VLOOKUP(Fact_Administrativa[[#This Row], [Concepto Anterior]],Conceptos_Administrativa[#All],7,0),"")</f>
        <v/>
      </c>
      <c r="G163" t="s">
        <v>50</v>
      </c>
      <c r="H163" t="s">
        <v>172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93">
        <v>1180</v>
      </c>
    </row>
    <row r="164" spans="1:11" ht="18.75" customHeight="1" x14ac:dyDescent="0.35">
      <c r="A164" s="93">
        <v>2024</v>
      </c>
      <c r="B164" t="s">
        <v>178</v>
      </c>
      <c r="C164" s="100">
        <f>IF(OR(Fact_Administrativa[[#This Row], [Año]]="",Fact_Administrativa[[#This Row], [Mes]]=""),"",DATE(A164,MATCH(B164,{"enero","febrero","marzo","abril","mayo","junio","julio","agosto","septiembre","octubre","noviembre","diciembre"},0)+1,0))</f>
        <v>45473</v>
      </c>
      <c r="D164" t="s">
        <v>41</v>
      </c>
      <c r="E164" t="str">
        <f>+IFERROR(VLOOKUP(Fact_Administrativa[[#This Row], [Concepto Anterior]],Conceptos_Administrativa[#All],5,0),"")</f>
        <v>Facturas Procesadas por Marca</v>
      </c>
      <c r="F164" t="str">
        <f ca="1">+IFERROR(VLOOKUP(Fact_Administrativa[[#This Row], [Concepto Anterior]],Conceptos_Administrativa[#All],7,0),"")</f>
        <v/>
      </c>
      <c r="G164" t="s">
        <v>51</v>
      </c>
      <c r="H164" t="s">
        <v>172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93">
        <v>1125</v>
      </c>
    </row>
    <row r="165" spans="1:11" ht="18.75" customHeight="1" x14ac:dyDescent="0.35">
      <c r="A165" s="93">
        <v>2024</v>
      </c>
      <c r="B165" t="s">
        <v>178</v>
      </c>
      <c r="C165" s="100">
        <f>IF(OR(Fact_Administrativa[[#This Row], [Año]]="",Fact_Administrativa[[#This Row], [Mes]]=""),"",DATE(A165,MATCH(B165,{"enero","febrero","marzo","abril","mayo","junio","julio","agosto","septiembre","octubre","noviembre","diciembre"},0)+1,0))</f>
        <v>45473</v>
      </c>
      <c r="D165" t="s">
        <v>41</v>
      </c>
      <c r="E165" t="str">
        <f>+IFERROR(VLOOKUP(Fact_Administrativa[[#This Row], [Concepto Anterior]],Conceptos_Administrativa[#All],5,0),"")</f>
        <v>Facturas Procesadas por Marca</v>
      </c>
      <c r="F165" t="str">
        <f ca="1">+IFERROR(VLOOKUP(Fact_Administrativa[[#This Row], [Concepto Anterior]],Conceptos_Administrativa[#All],7,0),"")</f>
        <v/>
      </c>
      <c r="G165" t="s">
        <v>52</v>
      </c>
      <c r="H165" t="s">
        <v>172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93">
        <v>477</v>
      </c>
    </row>
    <row r="166" spans="1:11" ht="18.75" customHeight="1" x14ac:dyDescent="0.35">
      <c r="A166" s="93">
        <v>2024</v>
      </c>
      <c r="B166" t="s">
        <v>178</v>
      </c>
      <c r="C166" s="100">
        <f>IF(OR(Fact_Administrativa[[#This Row], [Año]]="",Fact_Administrativa[[#This Row], [Mes]]=""),"",DATE(A166,MATCH(B166,{"enero","febrero","marzo","abril","mayo","junio","julio","agosto","septiembre","octubre","noviembre","diciembre"},0)+1,0))</f>
        <v>45473</v>
      </c>
      <c r="D166" t="s">
        <v>41</v>
      </c>
      <c r="E166" t="str">
        <f>+IFERROR(VLOOKUP(Fact_Administrativa[[#This Row], [Concepto Anterior]],Conceptos_Administrativa[#All],5,0),"")</f>
        <v>Facturas Procesadas por Marca</v>
      </c>
      <c r="F166" t="str">
        <f ca="1">+IFERROR(VLOOKUP(Fact_Administrativa[[#This Row], [Concepto Anterior]],Conceptos_Administrativa[#All],7,0),"")</f>
        <v/>
      </c>
      <c r="G166" t="s">
        <v>53</v>
      </c>
      <c r="H166" t="s">
        <v>172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93">
        <v>298</v>
      </c>
    </row>
    <row r="167" spans="1:11" ht="18.75" customHeight="1" x14ac:dyDescent="0.35">
      <c r="A167" s="93">
        <v>2024</v>
      </c>
      <c r="B167" t="s">
        <v>178</v>
      </c>
      <c r="C167" s="100">
        <f>IF(OR(Fact_Administrativa[[#This Row], [Año]]="",Fact_Administrativa[[#This Row], [Mes]]=""),"",DATE(A167,MATCH(B167,{"enero","febrero","marzo","abril","mayo","junio","julio","agosto","septiembre","octubre","noviembre","diciembre"},0)+1,0))</f>
        <v>45473</v>
      </c>
      <c r="D167" t="s">
        <v>41</v>
      </c>
      <c r="E167" t="str">
        <f>+IFERROR(VLOOKUP(Fact_Administrativa[[#This Row], [Concepto Anterior]],Conceptos_Administrativa[#All],5,0),"")</f>
        <v>Facturas Procesadas por Marca</v>
      </c>
      <c r="F167" t="str">
        <f ca="1">+IFERROR(VLOOKUP(Fact_Administrativa[[#This Row], [Concepto Anterior]],Conceptos_Administrativa[#All],7,0),"")</f>
        <v/>
      </c>
      <c r="G167" t="s">
        <v>54</v>
      </c>
      <c r="H167" t="s">
        <v>172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93">
        <v>0</v>
      </c>
    </row>
    <row r="168" spans="1:11" ht="18.75" customHeight="1" x14ac:dyDescent="0.35">
      <c r="A168" s="93">
        <v>2024</v>
      </c>
      <c r="B168" t="s">
        <v>178</v>
      </c>
      <c r="C168" s="100">
        <f>IF(OR(Fact_Administrativa[[#This Row], [Año]]="",Fact_Administrativa[[#This Row], [Mes]]=""),"",DATE(A168,MATCH(B168,{"enero","febrero","marzo","abril","mayo","junio","julio","agosto","septiembre","octubre","noviembre","diciembre"},0)+1,0))</f>
        <v>45473</v>
      </c>
      <c r="D168" t="s">
        <v>55</v>
      </c>
      <c r="E168" t="str">
        <f>+IFERROR(VLOOKUP(Fact_Administrativa[[#This Row], [Concepto Anterior]],Conceptos_Administrativa[#All],5,0),"")</f>
        <v>Facturas Procesadas por Marca</v>
      </c>
      <c r="F168" t="str">
        <f ca="1">+IFERROR(VLOOKUP(Fact_Administrativa[[#This Row], [Concepto Anterior]],Conceptos_Administrativa[#All],7,0),"")</f>
        <v/>
      </c>
      <c r="G168" t="s">
        <v>56</v>
      </c>
      <c r="H168" t="s">
        <v>172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93">
        <v>122</v>
      </c>
    </row>
    <row r="169" spans="1:11" ht="18.75" customHeight="1" x14ac:dyDescent="0.35">
      <c r="A169" s="93">
        <v>2024</v>
      </c>
      <c r="B169" t="s">
        <v>178</v>
      </c>
      <c r="C169" s="100">
        <f>IF(OR(Fact_Administrativa[[#This Row], [Año]]="",Fact_Administrativa[[#This Row], [Mes]]=""),"",DATE(A169,MATCH(B169,{"enero","febrero","marzo","abril","mayo","junio","julio","agosto","septiembre","octubre","noviembre","diciembre"},0)+1,0))</f>
        <v>45473</v>
      </c>
      <c r="D169" t="s">
        <v>57</v>
      </c>
      <c r="E169" t="str">
        <f>+IFERROR(VLOOKUP(Fact_Administrativa[[#This Row], [Concepto Anterior]],Conceptos_Administrativa[#All],5,0),"")</f>
        <v>Facturas Procesadas por Marca</v>
      </c>
      <c r="F169" t="str">
        <f ca="1">+IFERROR(VLOOKUP(Fact_Administrativa[[#This Row], [Concepto Anterior]],Conceptos_Administrativa[#All],7,0),"")</f>
        <v/>
      </c>
      <c r="G169" t="s">
        <v>58</v>
      </c>
      <c r="H169" t="s">
        <v>172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93">
        <v>77</v>
      </c>
    </row>
    <row r="170" spans="1:11" ht="18.75" customHeight="1" x14ac:dyDescent="0.35">
      <c r="A170" s="93">
        <v>2024</v>
      </c>
      <c r="B170" t="s">
        <v>178</v>
      </c>
      <c r="C170" s="100">
        <f>IF(OR(Fact_Administrativa[[#This Row], [Año]]="",Fact_Administrativa[[#This Row], [Mes]]=""),"",DATE(A170,MATCH(B170,{"enero","febrero","marzo","abril","mayo","junio","julio","agosto","septiembre","octubre","noviembre","diciembre"},0)+1,0))</f>
        <v>45473</v>
      </c>
      <c r="D170" t="s">
        <v>28</v>
      </c>
      <c r="E170" t="str">
        <f>+IFERROR(VLOOKUP(Fact_Administrativa[[#This Row], [Concepto Anterior]],Conceptos_Administrativa[#All],5,0),"")</f>
        <v xml:space="preserve">Ahorro reformas tiendas </v>
      </c>
      <c r="F170" t="str">
        <f ca="1">+IFERROR(VLOOKUP(Fact_Administrativa[[#This Row], [Concepto Anterior]],Conceptos_Administrativa[#All],7,0),"")</f>
        <v/>
      </c>
      <c r="G170" t="s">
        <v>172</v>
      </c>
      <c r="H170" t="s">
        <v>172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93">
        <v>0</v>
      </c>
    </row>
    <row r="171" spans="1:11" ht="18.75" customHeight="1" x14ac:dyDescent="0.35">
      <c r="A171" s="93">
        <v>2024</v>
      </c>
      <c r="B171" t="s">
        <v>178</v>
      </c>
      <c r="C171" s="100">
        <f>IF(OR(Fact_Administrativa[[#This Row], [Año]]="",Fact_Administrativa[[#This Row], [Mes]]=""),"",DATE(A171,MATCH(B171,{"enero","febrero","marzo","abril","mayo","junio","julio","agosto","septiembre","octubre","noviembre","diciembre"},0)+1,0))</f>
        <v>45473</v>
      </c>
      <c r="D171" t="s">
        <v>29</v>
      </c>
      <c r="E171" t="str">
        <f>+IFERROR(VLOOKUP(Fact_Administrativa[[#This Row], [Concepto Anterior]],Conceptos_Administrativa[#All],5,0),"")</f>
        <v>Recuperaciones Siniestros</v>
      </c>
      <c r="F171" t="str">
        <f ca="1">+IFERROR(VLOOKUP(Fact_Administrativa[[#This Row], [Concepto Anterior]],Conceptos_Administrativa[#All],7,0),"")</f>
        <v/>
      </c>
      <c r="G171" t="s">
        <v>172</v>
      </c>
      <c r="H171" t="s">
        <v>172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93">
        <v>0</v>
      </c>
    </row>
    <row r="172" spans="1:11" ht="18.75" customHeight="1" x14ac:dyDescent="0.35">
      <c r="A172" s="93">
        <v>2024</v>
      </c>
      <c r="B172" t="s">
        <v>178</v>
      </c>
      <c r="C172" s="100">
        <f>IF(OR(Fact_Administrativa[[#This Row], [Año]]="",Fact_Administrativa[[#This Row], [Mes]]=""),"",DATE(A172,MATCH(B172,{"enero","febrero","marzo","abril","mayo","junio","julio","agosto","septiembre","octubre","noviembre","diciembre"},0)+1,0))</f>
        <v>45473</v>
      </c>
      <c r="D172" t="s">
        <v>30</v>
      </c>
      <c r="E172" t="str">
        <f>+IFERROR(VLOOKUP(Fact_Administrativa[[#This Row], [Concepto Anterior]],Conceptos_Administrativa[#All],5,0),"")</f>
        <v>Gestión de Polizas</v>
      </c>
      <c r="F172" t="str">
        <f ca="1">+IFERROR(VLOOKUP(Fact_Administrativa[[#This Row], [Concepto Anterior]],Conceptos_Administrativa[#All],7,0),"")</f>
        <v/>
      </c>
      <c r="G172" t="s">
        <v>172</v>
      </c>
      <c r="H172" t="s">
        <v>172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93">
        <v>0</v>
      </c>
    </row>
    <row r="173" spans="1:11" ht="18.75" customHeight="1" x14ac:dyDescent="0.35">
      <c r="A173" s="93">
        <v>2024</v>
      </c>
      <c r="B173" t="s">
        <v>178</v>
      </c>
      <c r="C173" s="100">
        <f>IF(OR(Fact_Administrativa[[#This Row], [Año]]="",Fact_Administrativa[[#This Row], [Mes]]=""),"",DATE(A173,MATCH(B173,{"enero","febrero","marzo","abril","mayo","junio","julio","agosto","septiembre","octubre","noviembre","diciembre"},0)+1,0))</f>
        <v>45473</v>
      </c>
      <c r="D173" t="s">
        <v>32</v>
      </c>
      <c r="E173" t="str">
        <f>+IFERROR(VLOOKUP(Fact_Administrativa[[#This Row], [Concepto Anterior]],Conceptos_Administrativa[#All],5,0),"")</f>
        <v>Tickets cerrados</v>
      </c>
      <c r="F173" t="str">
        <f ca="1">+IFERROR(VLOOKUP(Fact_Administrativa[[#This Row], [Concepto Anterior]],Conceptos_Administrativa[#All],7,0),"")</f>
        <v/>
      </c>
      <c r="G173" t="s">
        <v>172</v>
      </c>
      <c r="H173" t="s">
        <v>172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93">
        <v>690</v>
      </c>
    </row>
    <row r="174" spans="1:11" ht="18.75" customHeight="1" x14ac:dyDescent="0.35">
      <c r="A174" s="93">
        <v>2024</v>
      </c>
      <c r="B174" t="s">
        <v>178</v>
      </c>
      <c r="C174" s="100">
        <f>IF(OR(Fact_Administrativa[[#This Row], [Año]]="",Fact_Administrativa[[#This Row], [Mes]]=""),"",DATE(A174,MATCH(B174,{"enero","febrero","marzo","abril","mayo","junio","julio","agosto","septiembre","octubre","noviembre","diciembre"},0)+1,0))</f>
        <v>45473</v>
      </c>
      <c r="D174" t="s">
        <v>210</v>
      </c>
      <c r="E174" t="str">
        <f>+IFERROR(VLOOKUP(Fact_Administrativa[[#This Row], [Concepto Anterior]],Conceptos_Administrativa[#All],5,0),"")</f>
        <v>Tickets proceso</v>
      </c>
      <c r="F174" t="str">
        <f ca="1">+IFERROR(VLOOKUP(Fact_Administrativa[[#This Row], [Concepto Anterior]],Conceptos_Administrativa[#All],7,0),"")</f>
        <v/>
      </c>
      <c r="G174" t="s">
        <v>172</v>
      </c>
      <c r="H174" t="s">
        <v>172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93">
        <v>69</v>
      </c>
    </row>
    <row r="175" spans="1:11" ht="18.75" customHeight="1" x14ac:dyDescent="0.35">
      <c r="A175" s="93">
        <v>2024</v>
      </c>
      <c r="B175" t="s">
        <v>178</v>
      </c>
      <c r="C175" s="100">
        <f>IF(OR(Fact_Administrativa[[#This Row], [Año]]="",Fact_Administrativa[[#This Row], [Mes]]=""),"",DATE(A175,MATCH(B175,{"enero","febrero","marzo","abril","mayo","junio","julio","agosto","septiembre","octubre","noviembre","diciembre"},0)+1,0))</f>
        <v>45473</v>
      </c>
      <c r="D175" t="s">
        <v>31</v>
      </c>
      <c r="E175" t="str">
        <f>+IFERROR(VLOOKUP(Fact_Administrativa[[#This Row], [Concepto Anterior]],Conceptos_Administrativa[#All],5,0),"")</f>
        <v>Tickets recibidos</v>
      </c>
      <c r="F175" t="str">
        <f ca="1">+IFERROR(VLOOKUP(Fact_Administrativa[[#This Row], [Concepto Anterior]],Conceptos_Administrativa[#All],7,0),"")</f>
        <v/>
      </c>
      <c r="G175" t="s">
        <v>172</v>
      </c>
      <c r="H175" t="s">
        <v>172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93">
        <v>759</v>
      </c>
    </row>
    <row r="176" spans="1:11" ht="18.75" customHeight="1" x14ac:dyDescent="0.35">
      <c r="A176" s="93">
        <v>2024</v>
      </c>
      <c r="B176" t="s">
        <v>179</v>
      </c>
      <c r="C176" s="100">
        <f>IF(OR(Fact_Administrativa[[#This Row], [Año]]="",Fact_Administrativa[[#This Row], [Mes]]=""),"",DATE(A176,MATCH(B176,{"enero","febrero","marzo","abril","mayo","junio","julio","agosto","septiembre","octubre","noviembre","diciembre"},0)+1,0))</f>
        <v>45504</v>
      </c>
      <c r="D176" t="s">
        <v>27</v>
      </c>
      <c r="E176" t="str">
        <f>+IFERROR(VLOOKUP(Fact_Administrativa[[#This Row], [Concepto Anterior]],Conceptos_Administrativa[#All],5,0),"")</f>
        <v>Ahorro energía</v>
      </c>
      <c r="F176" t="str">
        <f ca="1">+IFERROR(VLOOKUP(Fact_Administrativa[[#This Row], [Concepto Anterior]],Conceptos_Administrativa[#All],7,0),"")</f>
        <v/>
      </c>
      <c r="G176" t="s">
        <v>172</v>
      </c>
      <c r="H176" t="s">
        <v>172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93">
        <v>23858082</v>
      </c>
    </row>
    <row r="177" spans="1:11" ht="18.75" customHeight="1" x14ac:dyDescent="0.35">
      <c r="A177" s="93">
        <v>2024</v>
      </c>
      <c r="B177" t="s">
        <v>179</v>
      </c>
      <c r="C177" s="100">
        <f>IF(OR(Fact_Administrativa[[#This Row], [Año]]="",Fact_Administrativa[[#This Row], [Mes]]=""),"",DATE(A177,MATCH(B177,{"enero","febrero","marzo","abril","mayo","junio","julio","agosto","septiembre","octubre","noviembre","diciembre"},0)+1,0))</f>
        <v>45504</v>
      </c>
      <c r="D177" t="s">
        <v>19</v>
      </c>
      <c r="E177" t="str">
        <f>+IFERROR(VLOOKUP(Fact_Administrativa[[#This Row], [Concepto Anterior]],Conceptos_Administrativa[#All],5,0),"")</f>
        <v>Aporte fundación</v>
      </c>
      <c r="F177" t="str">
        <f ca="1">+IFERROR(VLOOKUP(Fact_Administrativa[[#This Row], [Concepto Anterior]],Conceptos_Administrativa[#All],7,0),"")</f>
        <v/>
      </c>
      <c r="G177" t="s">
        <v>172</v>
      </c>
      <c r="H177" t="s">
        <v>172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93">
        <v>5771110</v>
      </c>
    </row>
    <row r="178" spans="1:11" ht="18.75" customHeight="1" x14ac:dyDescent="0.35">
      <c r="A178" s="102">
        <v>2024</v>
      </c>
      <c r="B178" t="s">
        <v>179</v>
      </c>
      <c r="C178" s="100">
        <f>IF(OR(Fact_Administrativa[[#This Row], [Año]]="",Fact_Administrativa[[#This Row], [Mes]]=""),"",DATE(A178,MATCH(B178,{"enero","febrero","marzo","abril","mayo","junio","julio","agosto","septiembre","octubre","noviembre","diciembre"},0)+1,0))</f>
        <v>45504</v>
      </c>
      <c r="D178" t="s">
        <v>39</v>
      </c>
      <c r="E178" t="str">
        <f>+IFERROR(VLOOKUP(Fact_Administrativa[[#This Row], [Concepto Anterior]],Conceptos_Administrativa[#All],5,0),"")</f>
        <v>Cantidad de tiendas remodeladas</v>
      </c>
      <c r="F178" t="str">
        <f ca="1">+IFERROR(VLOOKUP(Fact_Administrativa[[#This Row], [Concepto Anterior]],Conceptos_Administrativa[#All],7,0),"")</f>
        <v/>
      </c>
      <c r="G178" t="s">
        <v>172</v>
      </c>
      <c r="H178" t="s">
        <v>172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93">
        <v>0</v>
      </c>
    </row>
    <row r="179" spans="1:11" ht="18.75" customHeight="1" x14ac:dyDescent="0.35">
      <c r="A179" s="93">
        <v>2024</v>
      </c>
      <c r="B179" t="s">
        <v>179</v>
      </c>
      <c r="C179" s="100">
        <f>IF(OR(Fact_Administrativa[[#This Row], [Año]]="",Fact_Administrativa[[#This Row], [Mes]]=""),"",DATE(A179,MATCH(B179,{"enero","febrero","marzo","abril","mayo","junio","julio","agosto","septiembre","octubre","noviembre","diciembre"},0)+1,0))</f>
        <v>45504</v>
      </c>
      <c r="D179" t="s">
        <v>40</v>
      </c>
      <c r="E179" t="str">
        <f>+IFERROR(VLOOKUP(Fact_Administrativa[[#This Row], [Concepto Anterior]],Conceptos_Administrativa[#All],5,0),"")</f>
        <v xml:space="preserve">Contratos de arrendamientos </v>
      </c>
      <c r="F179" t="str">
        <f ca="1">+IFERROR(VLOOKUP(Fact_Administrativa[[#This Row], [Concepto Anterior]],Conceptos_Administrativa[#All],7,0),"")</f>
        <v/>
      </c>
      <c r="G179" t="s">
        <v>172</v>
      </c>
      <c r="H179" t="s">
        <v>172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93">
        <v>0</v>
      </c>
    </row>
    <row r="180" spans="1:11" ht="18.75" customHeight="1" x14ac:dyDescent="0.35">
      <c r="A180" s="93">
        <v>2024</v>
      </c>
      <c r="B180" t="s">
        <v>179</v>
      </c>
      <c r="C180" s="100">
        <f>IF(OR(Fact_Administrativa[[#This Row], [Año]]="",Fact_Administrativa[[#This Row], [Mes]]=""),"",DATE(A180,MATCH(B180,{"enero","febrero","marzo","abril","mayo","junio","julio","agosto","septiembre","octubre","noviembre","diciembre"},0)+1,0))</f>
        <v>45504</v>
      </c>
      <c r="D180" t="s">
        <v>25</v>
      </c>
      <c r="E180" t="str">
        <f>+IFERROR(VLOOKUP(Fact_Administrativa[[#This Row], [Concepto Anterior]],Conceptos_Administrativa[#All],5,0),"")</f>
        <v>Control Ingresos cede Dogama</v>
      </c>
      <c r="F180" t="str">
        <f ca="1">+IFERROR(VLOOKUP(Fact_Administrativa[[#This Row], [Concepto Anterior]],Conceptos_Administrativa[#All],7,0),"")</f>
        <v/>
      </c>
      <c r="G180" t="s">
        <v>172</v>
      </c>
      <c r="H180" t="s">
        <v>172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93">
        <v>19350</v>
      </c>
    </row>
    <row r="181" spans="1:11" ht="18.75" customHeight="1" x14ac:dyDescent="0.35">
      <c r="A181" s="93">
        <v>2024</v>
      </c>
      <c r="B181" t="s">
        <v>179</v>
      </c>
      <c r="C181" s="100">
        <f>IF(OR(Fact_Administrativa[[#This Row], [Año]]="",Fact_Administrativa[[#This Row], [Mes]]=""),"",DATE(A181,MATCH(B181,{"enero","febrero","marzo","abril","mayo","junio","julio","agosto","septiembre","octubre","noviembre","diciembre"},0)+1,0))</f>
        <v>45504</v>
      </c>
      <c r="D181" t="s">
        <v>34</v>
      </c>
      <c r="E181" t="str">
        <f>+IFERROR(VLOOKUP(Fact_Administrativa[[#This Row], [Concepto Anterior]],Conceptos_Administrativa[#All],5,0),"")</f>
        <v>% Tickets Cumplimiento</v>
      </c>
      <c r="F181" t="str">
        <f ca="1">+IFERROR(VLOOKUP(Fact_Administrativa[[#This Row], [Concepto Anterior]],Conceptos_Administrativa[#All],7,0),"")</f>
        <v/>
      </c>
      <c r="G181" t="s">
        <v>172</v>
      </c>
      <c r="H181" t="s">
        <v>172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92">
        <v>0.80956521739130438</v>
      </c>
    </row>
    <row r="182" spans="1:11" ht="18.75" customHeight="1" x14ac:dyDescent="0.35">
      <c r="A182" s="93">
        <v>2024</v>
      </c>
      <c r="B182" t="s">
        <v>179</v>
      </c>
      <c r="C182" s="100">
        <f>IF(OR(Fact_Administrativa[[#This Row], [Año]]="",Fact_Administrativa[[#This Row], [Mes]]=""),"",DATE(A182,MATCH(B182,{"enero","febrero","marzo","abril","mayo","junio","julio","agosto","septiembre","octubre","noviembre","diciembre"},0)+1,0))</f>
        <v>45504</v>
      </c>
      <c r="D182" t="s">
        <v>209</v>
      </c>
      <c r="E182" t="str">
        <f>+IFERROR(VLOOKUP(Fact_Administrativa[[#This Row], [Concepto Anterior]],Conceptos_Administrativa[#All],5,0),"")</f>
        <v>Emisiones CO²</v>
      </c>
      <c r="F182" t="str">
        <f ca="1">+IFERROR(VLOOKUP(Fact_Administrativa[[#This Row], [Concepto Anterior]],Conceptos_Administrativa[#All],7,0),"")</f>
        <v/>
      </c>
      <c r="G182" t="s">
        <v>172</v>
      </c>
      <c r="H182" t="s">
        <v>172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92">
        <v>26.4</v>
      </c>
    </row>
    <row r="183" spans="1:11" ht="18.75" customHeight="1" x14ac:dyDescent="0.35">
      <c r="A183" s="93">
        <v>2024</v>
      </c>
      <c r="B183" t="s">
        <v>179</v>
      </c>
      <c r="C183" s="100">
        <f>IF(OR(Fact_Administrativa[[#This Row], [Año]]="",Fact_Administrativa[[#This Row], [Mes]]=""),"",DATE(A183,MATCH(B183,{"enero","febrero","marzo","abril","mayo","junio","julio","agosto","septiembre","octubre","noviembre","diciembre"},0)+1,0))</f>
        <v>45504</v>
      </c>
      <c r="D183" t="s">
        <v>38</v>
      </c>
      <c r="E183" t="str">
        <f>+IFERROR(VLOOKUP(Fact_Administrativa[[#This Row], [Concepto Anterior]],Conceptos_Administrativa[#All],5,0),"")</f>
        <v>Facturas de arrendamientos y administración</v>
      </c>
      <c r="F183" t="str">
        <f ca="1">+IFERROR(VLOOKUP(Fact_Administrativa[[#This Row], [Concepto Anterior]],Conceptos_Administrativa[#All],7,0),"")</f>
        <v/>
      </c>
      <c r="G183" t="s">
        <v>172</v>
      </c>
      <c r="H183" t="s">
        <v>172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93">
        <v>1111</v>
      </c>
    </row>
    <row r="184" spans="1:11" ht="18.75" customHeight="1" x14ac:dyDescent="0.35">
      <c r="A184" s="93">
        <v>2024</v>
      </c>
      <c r="B184" t="s">
        <v>179</v>
      </c>
      <c r="C184" s="100">
        <f>IF(OR(Fact_Administrativa[[#This Row], [Año]]="",Fact_Administrativa[[#This Row], [Mes]]=""),"",DATE(A184,MATCH(B184,{"enero","febrero","marzo","abril","mayo","junio","julio","agosto","septiembre","octubre","noviembre","diciembre"},0)+1,0))</f>
        <v>45504</v>
      </c>
      <c r="D184" t="s">
        <v>41</v>
      </c>
      <c r="E184" t="str">
        <f>+IFERROR(VLOOKUP(Fact_Administrativa[[#This Row], [Concepto Anterior]],Conceptos_Administrativa[#All],5,0),"")</f>
        <v>Facturas Procesadas por Marca</v>
      </c>
      <c r="F184" t="str">
        <f ca="1">+IFERROR(VLOOKUP(Fact_Administrativa[[#This Row], [Concepto Anterior]],Conceptos_Administrativa[#All],7,0),"")</f>
        <v/>
      </c>
      <c r="G184" t="s">
        <v>42</v>
      </c>
      <c r="H184" t="s">
        <v>172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93">
        <v>619</v>
      </c>
    </row>
    <row r="185" spans="1:11" ht="18.75" customHeight="1" x14ac:dyDescent="0.35">
      <c r="A185" s="93">
        <v>2024</v>
      </c>
      <c r="B185" t="s">
        <v>179</v>
      </c>
      <c r="C185" s="100">
        <f>IF(OR(Fact_Administrativa[[#This Row], [Año]]="",Fact_Administrativa[[#This Row], [Mes]]=""),"",DATE(A185,MATCH(B185,{"enero","febrero","marzo","abril","mayo","junio","julio","agosto","septiembre","octubre","noviembre","diciembre"},0)+1,0))</f>
        <v>45504</v>
      </c>
      <c r="D185" t="s">
        <v>41</v>
      </c>
      <c r="E185" t="str">
        <f>+IFERROR(VLOOKUP(Fact_Administrativa[[#This Row], [Concepto Anterior]],Conceptos_Administrativa[#All],5,0),"")</f>
        <v>Facturas Procesadas por Marca</v>
      </c>
      <c r="F185" t="str">
        <f ca="1">+IFERROR(VLOOKUP(Fact_Administrativa[[#This Row], [Concepto Anterior]],Conceptos_Administrativa[#All],7,0),"")</f>
        <v/>
      </c>
      <c r="G185" t="s">
        <v>43</v>
      </c>
      <c r="H185" t="s">
        <v>172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93">
        <v>963</v>
      </c>
    </row>
    <row r="186" spans="1:11" ht="18.75" customHeight="1" x14ac:dyDescent="0.35">
      <c r="A186" s="93">
        <v>2024</v>
      </c>
      <c r="B186" t="s">
        <v>179</v>
      </c>
      <c r="C186" s="100">
        <f>IF(OR(Fact_Administrativa[[#This Row], [Año]]="",Fact_Administrativa[[#This Row], [Mes]]=""),"",DATE(A186,MATCH(B186,{"enero","febrero","marzo","abril","mayo","junio","julio","agosto","septiembre","octubre","noviembre","diciembre"},0)+1,0))</f>
        <v>45504</v>
      </c>
      <c r="D186" t="s">
        <v>41</v>
      </c>
      <c r="E186" t="str">
        <f>+IFERROR(VLOOKUP(Fact_Administrativa[[#This Row], [Concepto Anterior]],Conceptos_Administrativa[#All],5,0),"")</f>
        <v>Facturas Procesadas por Marca</v>
      </c>
      <c r="F186" t="str">
        <f ca="1">+IFERROR(VLOOKUP(Fact_Administrativa[[#This Row], [Concepto Anterior]],Conceptos_Administrativa[#All],7,0),"")</f>
        <v/>
      </c>
      <c r="G186" t="s">
        <v>44</v>
      </c>
      <c r="H186" t="s">
        <v>172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93">
        <v>941</v>
      </c>
    </row>
    <row r="187" spans="1:11" ht="18.75" customHeight="1" x14ac:dyDescent="0.35">
      <c r="A187" s="93">
        <v>2024</v>
      </c>
      <c r="B187" t="s">
        <v>179</v>
      </c>
      <c r="C187" s="100">
        <f>IF(OR(Fact_Administrativa[[#This Row], [Año]]="",Fact_Administrativa[[#This Row], [Mes]]=""),"",DATE(A187,MATCH(B187,{"enero","febrero","marzo","abril","mayo","junio","julio","agosto","septiembre","octubre","noviembre","diciembre"},0)+1,0))</f>
        <v>45504</v>
      </c>
      <c r="D187" t="s">
        <v>41</v>
      </c>
      <c r="E187" t="str">
        <f>+IFERROR(VLOOKUP(Fact_Administrativa[[#This Row], [Concepto Anterior]],Conceptos_Administrativa[#All],5,0),"")</f>
        <v>Facturas Procesadas por Marca</v>
      </c>
      <c r="F187" t="str">
        <f ca="1">+IFERROR(VLOOKUP(Fact_Administrativa[[#This Row], [Concepto Anterior]],Conceptos_Administrativa[#All],7,0),"")</f>
        <v/>
      </c>
      <c r="G187" t="s">
        <v>45</v>
      </c>
      <c r="H187" t="s">
        <v>172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93">
        <v>781</v>
      </c>
    </row>
    <row r="188" spans="1:11" ht="18.75" customHeight="1" x14ac:dyDescent="0.35">
      <c r="A188" s="93">
        <v>2024</v>
      </c>
      <c r="B188" t="s">
        <v>179</v>
      </c>
      <c r="C188" s="100">
        <f>IF(OR(Fact_Administrativa[[#This Row], [Año]]="",Fact_Administrativa[[#This Row], [Mes]]=""),"",DATE(A188,MATCH(B188,{"enero","febrero","marzo","abril","mayo","junio","julio","agosto","septiembre","octubre","noviembre","diciembre"},0)+1,0))</f>
        <v>45504</v>
      </c>
      <c r="D188" t="s">
        <v>41</v>
      </c>
      <c r="E188" t="str">
        <f>+IFERROR(VLOOKUP(Fact_Administrativa[[#This Row], [Concepto Anterior]],Conceptos_Administrativa[#All],5,0),"")</f>
        <v>Facturas Procesadas por Marca</v>
      </c>
      <c r="F188" t="str">
        <f ca="1">+IFERROR(VLOOKUP(Fact_Administrativa[[#This Row], [Concepto Anterior]],Conceptos_Administrativa[#All],7,0),"")</f>
        <v/>
      </c>
      <c r="G188" t="s">
        <v>46</v>
      </c>
      <c r="H188" t="s">
        <v>172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93">
        <v>1024</v>
      </c>
    </row>
    <row r="189" spans="1:11" ht="18.75" customHeight="1" x14ac:dyDescent="0.35">
      <c r="A189" s="93">
        <v>2024</v>
      </c>
      <c r="B189" t="s">
        <v>179</v>
      </c>
      <c r="C189" s="100">
        <f>IF(OR(Fact_Administrativa[[#This Row], [Año]]="",Fact_Administrativa[[#This Row], [Mes]]=""),"",DATE(A189,MATCH(B189,{"enero","febrero","marzo","abril","mayo","junio","julio","agosto","septiembre","octubre","noviembre","diciembre"},0)+1,0))</f>
        <v>45504</v>
      </c>
      <c r="D189" t="s">
        <v>41</v>
      </c>
      <c r="E189" t="str">
        <f>+IFERROR(VLOOKUP(Fact_Administrativa[[#This Row], [Concepto Anterior]],Conceptos_Administrativa[#All],5,0),"")</f>
        <v>Facturas Procesadas por Marca</v>
      </c>
      <c r="F189" t="str">
        <f ca="1">+IFERROR(VLOOKUP(Fact_Administrativa[[#This Row], [Concepto Anterior]],Conceptos_Administrativa[#All],7,0),"")</f>
        <v/>
      </c>
      <c r="G189" t="s">
        <v>47</v>
      </c>
      <c r="H189" t="s">
        <v>172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93">
        <v>29</v>
      </c>
    </row>
    <row r="190" spans="1:11" ht="18.75" customHeight="1" x14ac:dyDescent="0.35">
      <c r="A190" s="93">
        <v>2024</v>
      </c>
      <c r="B190" t="s">
        <v>179</v>
      </c>
      <c r="C190" s="100">
        <f>IF(OR(Fact_Administrativa[[#This Row], [Año]]="",Fact_Administrativa[[#This Row], [Mes]]=""),"",DATE(A190,MATCH(B190,{"enero","febrero","marzo","abril","mayo","junio","julio","agosto","septiembre","octubre","noviembre","diciembre"},0)+1,0))</f>
        <v>45504</v>
      </c>
      <c r="D190" t="s">
        <v>41</v>
      </c>
      <c r="E190" t="str">
        <f>+IFERROR(VLOOKUP(Fact_Administrativa[[#This Row], [Concepto Anterior]],Conceptos_Administrativa[#All],5,0),"")</f>
        <v>Facturas Procesadas por Marca</v>
      </c>
      <c r="F190" t="str">
        <f ca="1">+IFERROR(VLOOKUP(Fact_Administrativa[[#This Row], [Concepto Anterior]],Conceptos_Administrativa[#All],7,0),"")</f>
        <v/>
      </c>
      <c r="G190" t="s">
        <v>48</v>
      </c>
      <c r="H190" t="s">
        <v>172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93">
        <v>1735</v>
      </c>
    </row>
    <row r="191" spans="1:11" ht="18.75" customHeight="1" x14ac:dyDescent="0.35">
      <c r="A191" s="93">
        <v>2024</v>
      </c>
      <c r="B191" t="s">
        <v>179</v>
      </c>
      <c r="C191" s="100">
        <f>IF(OR(Fact_Administrativa[[#This Row], [Año]]="",Fact_Administrativa[[#This Row], [Mes]]=""),"",DATE(A191,MATCH(B191,{"enero","febrero","marzo","abril","mayo","junio","julio","agosto","septiembre","octubre","noviembre","diciembre"},0)+1,0))</f>
        <v>45504</v>
      </c>
      <c r="D191" t="s">
        <v>41</v>
      </c>
      <c r="E191" t="str">
        <f>+IFERROR(VLOOKUP(Fact_Administrativa[[#This Row], [Concepto Anterior]],Conceptos_Administrativa[#All],5,0),"")</f>
        <v>Facturas Procesadas por Marca</v>
      </c>
      <c r="F191" t="str">
        <f ca="1">+IFERROR(VLOOKUP(Fact_Administrativa[[#This Row], [Concepto Anterior]],Conceptos_Administrativa[#All],7,0),"")</f>
        <v/>
      </c>
      <c r="G191" t="s">
        <v>49</v>
      </c>
      <c r="H191" t="s">
        <v>172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93">
        <v>1554</v>
      </c>
    </row>
    <row r="192" spans="1:11" ht="18.75" customHeight="1" x14ac:dyDescent="0.35">
      <c r="A192" s="93">
        <v>2024</v>
      </c>
      <c r="B192" t="s">
        <v>179</v>
      </c>
      <c r="C192" s="100">
        <f>IF(OR(Fact_Administrativa[[#This Row], [Año]]="",Fact_Administrativa[[#This Row], [Mes]]=""),"",DATE(A192,MATCH(B192,{"enero","febrero","marzo","abril","mayo","junio","julio","agosto","septiembre","octubre","noviembre","diciembre"},0)+1,0))</f>
        <v>45504</v>
      </c>
      <c r="D192" t="s">
        <v>41</v>
      </c>
      <c r="E192" t="str">
        <f>+IFERROR(VLOOKUP(Fact_Administrativa[[#This Row], [Concepto Anterior]],Conceptos_Administrativa[#All],5,0),"")</f>
        <v>Facturas Procesadas por Marca</v>
      </c>
      <c r="F192" t="str">
        <f ca="1">+IFERROR(VLOOKUP(Fact_Administrativa[[#This Row], [Concepto Anterior]],Conceptos_Administrativa[#All],7,0),"")</f>
        <v/>
      </c>
      <c r="G192" t="s">
        <v>50</v>
      </c>
      <c r="H192" t="s">
        <v>172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93">
        <v>1051</v>
      </c>
    </row>
    <row r="193" spans="1:11" ht="18.75" customHeight="1" x14ac:dyDescent="0.35">
      <c r="A193" s="93">
        <v>2024</v>
      </c>
      <c r="B193" t="s">
        <v>179</v>
      </c>
      <c r="C193" s="100">
        <f>IF(OR(Fact_Administrativa[[#This Row], [Año]]="",Fact_Administrativa[[#This Row], [Mes]]=""),"",DATE(A193,MATCH(B193,{"enero","febrero","marzo","abril","mayo","junio","julio","agosto","septiembre","octubre","noviembre","diciembre"},0)+1,0))</f>
        <v>45504</v>
      </c>
      <c r="D193" t="s">
        <v>41</v>
      </c>
      <c r="E193" t="str">
        <f>+IFERROR(VLOOKUP(Fact_Administrativa[[#This Row], [Concepto Anterior]],Conceptos_Administrativa[#All],5,0),"")</f>
        <v>Facturas Procesadas por Marca</v>
      </c>
      <c r="F193" t="str">
        <f ca="1">+IFERROR(VLOOKUP(Fact_Administrativa[[#This Row], [Concepto Anterior]],Conceptos_Administrativa[#All],7,0),"")</f>
        <v/>
      </c>
      <c r="G193" t="s">
        <v>51</v>
      </c>
      <c r="H193" t="s">
        <v>172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93">
        <v>992</v>
      </c>
    </row>
    <row r="194" spans="1:11" ht="18.75" customHeight="1" x14ac:dyDescent="0.35">
      <c r="A194" s="93">
        <v>2024</v>
      </c>
      <c r="B194" t="s">
        <v>179</v>
      </c>
      <c r="C194" s="100">
        <f>IF(OR(Fact_Administrativa[[#This Row], [Año]]="",Fact_Administrativa[[#This Row], [Mes]]=""),"",DATE(A194,MATCH(B194,{"enero","febrero","marzo","abril","mayo","junio","julio","agosto","septiembre","octubre","noviembre","diciembre"},0)+1,0))</f>
        <v>45504</v>
      </c>
      <c r="D194" t="s">
        <v>41</v>
      </c>
      <c r="E194" t="str">
        <f>+IFERROR(VLOOKUP(Fact_Administrativa[[#This Row], [Concepto Anterior]],Conceptos_Administrativa[#All],5,0),"")</f>
        <v>Facturas Procesadas por Marca</v>
      </c>
      <c r="F194" t="str">
        <f ca="1">+IFERROR(VLOOKUP(Fact_Administrativa[[#This Row], [Concepto Anterior]],Conceptos_Administrativa[#All],7,0),"")</f>
        <v/>
      </c>
      <c r="G194" t="s">
        <v>52</v>
      </c>
      <c r="H194" t="s">
        <v>172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93">
        <v>623</v>
      </c>
    </row>
    <row r="195" spans="1:11" ht="18.75" customHeight="1" x14ac:dyDescent="0.35">
      <c r="A195" s="93">
        <v>2024</v>
      </c>
      <c r="B195" t="s">
        <v>179</v>
      </c>
      <c r="C195" s="100">
        <f>IF(OR(Fact_Administrativa[[#This Row], [Año]]="",Fact_Administrativa[[#This Row], [Mes]]=""),"",DATE(A195,MATCH(B195,{"enero","febrero","marzo","abril","mayo","junio","julio","agosto","septiembre","octubre","noviembre","diciembre"},0)+1,0))</f>
        <v>45504</v>
      </c>
      <c r="D195" t="s">
        <v>41</v>
      </c>
      <c r="E195" t="str">
        <f>+IFERROR(VLOOKUP(Fact_Administrativa[[#This Row], [Concepto Anterior]],Conceptos_Administrativa[#All],5,0),"")</f>
        <v>Facturas Procesadas por Marca</v>
      </c>
      <c r="F195" t="str">
        <f ca="1">+IFERROR(VLOOKUP(Fact_Administrativa[[#This Row], [Concepto Anterior]],Conceptos_Administrativa[#All],7,0),"")</f>
        <v/>
      </c>
      <c r="G195" t="s">
        <v>53</v>
      </c>
      <c r="H195" t="s">
        <v>172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93">
        <v>224</v>
      </c>
    </row>
    <row r="196" spans="1:11" ht="18.75" customHeight="1" x14ac:dyDescent="0.35">
      <c r="A196" s="93">
        <v>2024</v>
      </c>
      <c r="B196" t="s">
        <v>179</v>
      </c>
      <c r="C196" s="100">
        <f>IF(OR(Fact_Administrativa[[#This Row], [Año]]="",Fact_Administrativa[[#This Row], [Mes]]=""),"",DATE(A196,MATCH(B196,{"enero","febrero","marzo","abril","mayo","junio","julio","agosto","septiembre","octubre","noviembre","diciembre"},0)+1,0))</f>
        <v>45504</v>
      </c>
      <c r="D196" t="s">
        <v>41</v>
      </c>
      <c r="E196" t="str">
        <f>+IFERROR(VLOOKUP(Fact_Administrativa[[#This Row], [Concepto Anterior]],Conceptos_Administrativa[#All],5,0),"")</f>
        <v>Facturas Procesadas por Marca</v>
      </c>
      <c r="F196" t="str">
        <f ca="1">+IFERROR(VLOOKUP(Fact_Administrativa[[#This Row], [Concepto Anterior]],Conceptos_Administrativa[#All],7,0),"")</f>
        <v/>
      </c>
      <c r="G196" t="s">
        <v>54</v>
      </c>
      <c r="H196" t="s">
        <v>172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93">
        <v>21</v>
      </c>
    </row>
    <row r="197" spans="1:11" ht="18.75" customHeight="1" x14ac:dyDescent="0.35">
      <c r="A197" s="93">
        <v>2024</v>
      </c>
      <c r="B197" t="s">
        <v>179</v>
      </c>
      <c r="C197" s="100">
        <f>IF(OR(Fact_Administrativa[[#This Row], [Año]]="",Fact_Administrativa[[#This Row], [Mes]]=""),"",DATE(A197,MATCH(B197,{"enero","febrero","marzo","abril","mayo","junio","julio","agosto","septiembre","octubre","noviembre","diciembre"},0)+1,0))</f>
        <v>45504</v>
      </c>
      <c r="D197" t="s">
        <v>55</v>
      </c>
      <c r="E197" t="str">
        <f>+IFERROR(VLOOKUP(Fact_Administrativa[[#This Row], [Concepto Anterior]],Conceptos_Administrativa[#All],5,0),"")</f>
        <v>Facturas Procesadas por Marca</v>
      </c>
      <c r="F197" t="str">
        <f ca="1">+IFERROR(VLOOKUP(Fact_Administrativa[[#This Row], [Concepto Anterior]],Conceptos_Administrativa[#All],7,0),"")</f>
        <v/>
      </c>
      <c r="G197" t="s">
        <v>56</v>
      </c>
      <c r="H197" t="s">
        <v>172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93">
        <v>128</v>
      </c>
    </row>
    <row r="198" spans="1:11" ht="18.75" customHeight="1" x14ac:dyDescent="0.35">
      <c r="A198" s="93">
        <v>2024</v>
      </c>
      <c r="B198" t="s">
        <v>179</v>
      </c>
      <c r="C198" s="100">
        <f>IF(OR(Fact_Administrativa[[#This Row], [Año]]="",Fact_Administrativa[[#This Row], [Mes]]=""),"",DATE(A198,MATCH(B198,{"enero","febrero","marzo","abril","mayo","junio","julio","agosto","septiembre","octubre","noviembre","diciembre"},0)+1,0))</f>
        <v>45504</v>
      </c>
      <c r="D198" t="s">
        <v>57</v>
      </c>
      <c r="E198" t="str">
        <f>+IFERROR(VLOOKUP(Fact_Administrativa[[#This Row], [Concepto Anterior]],Conceptos_Administrativa[#All],5,0),"")</f>
        <v>Facturas Procesadas por Marca</v>
      </c>
      <c r="F198" t="str">
        <f ca="1">+IFERROR(VLOOKUP(Fact_Administrativa[[#This Row], [Concepto Anterior]],Conceptos_Administrativa[#All],7,0),"")</f>
        <v/>
      </c>
      <c r="G198" t="s">
        <v>58</v>
      </c>
      <c r="H198" t="s">
        <v>172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93">
        <v>59</v>
      </c>
    </row>
    <row r="199" spans="1:11" ht="18.75" customHeight="1" x14ac:dyDescent="0.35">
      <c r="A199" s="93">
        <v>2024</v>
      </c>
      <c r="B199" t="s">
        <v>179</v>
      </c>
      <c r="C199" s="100">
        <f>IF(OR(Fact_Administrativa[[#This Row], [Año]]="",Fact_Administrativa[[#This Row], [Mes]]=""),"",DATE(A199,MATCH(B199,{"enero","febrero","marzo","abril","mayo","junio","julio","agosto","septiembre","octubre","noviembre","diciembre"},0)+1,0))</f>
        <v>45504</v>
      </c>
      <c r="D199" t="s">
        <v>28</v>
      </c>
      <c r="E199" t="str">
        <f>+IFERROR(VLOOKUP(Fact_Administrativa[[#This Row], [Concepto Anterior]],Conceptos_Administrativa[#All],5,0),"")</f>
        <v xml:space="preserve">Ahorro reformas tiendas </v>
      </c>
      <c r="F199" t="str">
        <f ca="1">+IFERROR(VLOOKUP(Fact_Administrativa[[#This Row], [Concepto Anterior]],Conceptos_Administrativa[#All],7,0),"")</f>
        <v/>
      </c>
      <c r="G199" t="s">
        <v>172</v>
      </c>
      <c r="H199" t="s">
        <v>172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93">
        <v>0</v>
      </c>
    </row>
    <row r="200" spans="1:11" ht="18.75" customHeight="1" x14ac:dyDescent="0.35">
      <c r="A200" s="93">
        <v>2024</v>
      </c>
      <c r="B200" t="s">
        <v>179</v>
      </c>
      <c r="C200" s="100">
        <f>IF(OR(Fact_Administrativa[[#This Row], [Año]]="",Fact_Administrativa[[#This Row], [Mes]]=""),"",DATE(A200,MATCH(B200,{"enero","febrero","marzo","abril","mayo","junio","julio","agosto","septiembre","octubre","noviembre","diciembre"},0)+1,0))</f>
        <v>45504</v>
      </c>
      <c r="D200" t="s">
        <v>29</v>
      </c>
      <c r="E200" t="str">
        <f>+IFERROR(VLOOKUP(Fact_Administrativa[[#This Row], [Concepto Anterior]],Conceptos_Administrativa[#All],5,0),"")</f>
        <v>Recuperaciones Siniestros</v>
      </c>
      <c r="F200" t="str">
        <f ca="1">+IFERROR(VLOOKUP(Fact_Administrativa[[#This Row], [Concepto Anterior]],Conceptos_Administrativa[#All],7,0),"")</f>
        <v/>
      </c>
      <c r="G200" t="s">
        <v>172</v>
      </c>
      <c r="H200" t="s">
        <v>172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93">
        <v>11478272</v>
      </c>
    </row>
    <row r="201" spans="1:11" ht="18.75" customHeight="1" x14ac:dyDescent="0.35">
      <c r="A201" s="93">
        <v>2024</v>
      </c>
      <c r="B201" t="s">
        <v>179</v>
      </c>
      <c r="C201" s="100">
        <f>IF(OR(Fact_Administrativa[[#This Row], [Año]]="",Fact_Administrativa[[#This Row], [Mes]]=""),"",DATE(A201,MATCH(B201,{"enero","febrero","marzo","abril","mayo","junio","julio","agosto","septiembre","octubre","noviembre","diciembre"},0)+1,0))</f>
        <v>45504</v>
      </c>
      <c r="D201" t="s">
        <v>30</v>
      </c>
      <c r="E201" t="str">
        <f>+IFERROR(VLOOKUP(Fact_Administrativa[[#This Row], [Concepto Anterior]],Conceptos_Administrativa[#All],5,0),"")</f>
        <v>Gestión de Polizas</v>
      </c>
      <c r="F201" t="str">
        <f ca="1">+IFERROR(VLOOKUP(Fact_Administrativa[[#This Row], [Concepto Anterior]],Conceptos_Administrativa[#All],7,0),"")</f>
        <v/>
      </c>
      <c r="G201" t="s">
        <v>172</v>
      </c>
      <c r="H201" t="s">
        <v>172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93">
        <v>24655019</v>
      </c>
    </row>
    <row r="202" spans="1:11" ht="18.75" customHeight="1" x14ac:dyDescent="0.35">
      <c r="A202" s="93">
        <v>2024</v>
      </c>
      <c r="B202" t="s">
        <v>179</v>
      </c>
      <c r="C202" s="100">
        <f>IF(OR(Fact_Administrativa[[#This Row], [Año]]="",Fact_Administrativa[[#This Row], [Mes]]=""),"",DATE(A202,MATCH(B202,{"enero","febrero","marzo","abril","mayo","junio","julio","agosto","septiembre","octubre","noviembre","diciembre"},0)+1,0))</f>
        <v>45504</v>
      </c>
      <c r="D202" t="s">
        <v>32</v>
      </c>
      <c r="E202" t="str">
        <f>+IFERROR(VLOOKUP(Fact_Administrativa[[#This Row], [Concepto Anterior]],Conceptos_Administrativa[#All],5,0),"")</f>
        <v>Tickets cerrados</v>
      </c>
      <c r="F202" t="str">
        <f ca="1">+IFERROR(VLOOKUP(Fact_Administrativa[[#This Row], [Concepto Anterior]],Conceptos_Administrativa[#All],7,0),"")</f>
        <v/>
      </c>
      <c r="G202" t="s">
        <v>172</v>
      </c>
      <c r="H202" t="s">
        <v>172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93">
        <v>931</v>
      </c>
    </row>
    <row r="203" spans="1:11" ht="18.75" customHeight="1" x14ac:dyDescent="0.35">
      <c r="A203" s="93">
        <v>2024</v>
      </c>
      <c r="B203" t="s">
        <v>179</v>
      </c>
      <c r="C203" s="100">
        <f>IF(OR(Fact_Administrativa[[#This Row], [Año]]="",Fact_Administrativa[[#This Row], [Mes]]=""),"",DATE(A203,MATCH(B203,{"enero","febrero","marzo","abril","mayo","junio","julio","agosto","septiembre","octubre","noviembre","diciembre"},0)+1,0))</f>
        <v>45504</v>
      </c>
      <c r="D203" t="s">
        <v>210</v>
      </c>
      <c r="E203" t="str">
        <f>+IFERROR(VLOOKUP(Fact_Administrativa[[#This Row], [Concepto Anterior]],Conceptos_Administrativa[#All],5,0),"")</f>
        <v>Tickets proceso</v>
      </c>
      <c r="F203" t="str">
        <f ca="1">+IFERROR(VLOOKUP(Fact_Administrativa[[#This Row], [Concepto Anterior]],Conceptos_Administrativa[#All],7,0),"")</f>
        <v/>
      </c>
      <c r="G203" t="s">
        <v>172</v>
      </c>
      <c r="H203" t="s">
        <v>172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93">
        <v>219</v>
      </c>
    </row>
    <row r="204" spans="1:11" ht="18.75" customHeight="1" x14ac:dyDescent="0.35">
      <c r="A204" s="93">
        <v>2024</v>
      </c>
      <c r="B204" t="s">
        <v>179</v>
      </c>
      <c r="C204" s="100">
        <f>IF(OR(Fact_Administrativa[[#This Row], [Año]]="",Fact_Administrativa[[#This Row], [Mes]]=""),"",DATE(A204,MATCH(B204,{"enero","febrero","marzo","abril","mayo","junio","julio","agosto","septiembre","octubre","noviembre","diciembre"},0)+1,0))</f>
        <v>45504</v>
      </c>
      <c r="D204" t="s">
        <v>31</v>
      </c>
      <c r="E204" t="str">
        <f>+IFERROR(VLOOKUP(Fact_Administrativa[[#This Row], [Concepto Anterior]],Conceptos_Administrativa[#All],5,0),"")</f>
        <v>Tickets recibidos</v>
      </c>
      <c r="F204" t="str">
        <f ca="1">+IFERROR(VLOOKUP(Fact_Administrativa[[#This Row], [Concepto Anterior]],Conceptos_Administrativa[#All],7,0),"")</f>
        <v/>
      </c>
      <c r="G204" t="s">
        <v>172</v>
      </c>
      <c r="H204" t="s">
        <v>172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93">
        <v>1150</v>
      </c>
    </row>
    <row r="205" spans="1:11" ht="18.75" customHeight="1" x14ac:dyDescent="0.35">
      <c r="A205" s="93">
        <v>2024</v>
      </c>
      <c r="B205" t="s">
        <v>180</v>
      </c>
      <c r="C205" s="100">
        <f>IF(OR(Fact_Administrativa[[#This Row], [Año]]="",Fact_Administrativa[[#This Row], [Mes]]=""),"",DATE(A205,MATCH(B205,{"enero","febrero","marzo","abril","mayo","junio","julio","agosto","septiembre","octubre","noviembre","diciembre"},0)+1,0))</f>
        <v>45535</v>
      </c>
      <c r="D205" t="s">
        <v>27</v>
      </c>
      <c r="E205" t="str">
        <f>+IFERROR(VLOOKUP(Fact_Administrativa[[#This Row], [Concepto Anterior]],Conceptos_Administrativa[#All],5,0),"")</f>
        <v>Ahorro energía</v>
      </c>
      <c r="F205" t="str">
        <f ca="1">+IFERROR(VLOOKUP(Fact_Administrativa[[#This Row], [Concepto Anterior]],Conceptos_Administrativa[#All],7,0),"")</f>
        <v/>
      </c>
      <c r="G205" t="s">
        <v>172</v>
      </c>
      <c r="H205" t="s">
        <v>172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93">
        <v>23858082</v>
      </c>
    </row>
    <row r="206" spans="1:11" ht="18.75" customHeight="1" x14ac:dyDescent="0.35">
      <c r="A206" s="93">
        <v>2024</v>
      </c>
      <c r="B206" t="s">
        <v>180</v>
      </c>
      <c r="C206" s="100">
        <f>IF(OR(Fact_Administrativa[[#This Row], [Año]]="",Fact_Administrativa[[#This Row], [Mes]]=""),"",DATE(A206,MATCH(B206,{"enero","febrero","marzo","abril","mayo","junio","julio","agosto","septiembre","octubre","noviembre","diciembre"},0)+1,0))</f>
        <v>45535</v>
      </c>
      <c r="D206" t="s">
        <v>19</v>
      </c>
      <c r="E206" t="str">
        <f>+IFERROR(VLOOKUP(Fact_Administrativa[[#This Row], [Concepto Anterior]],Conceptos_Administrativa[#All],5,0),"")</f>
        <v>Aporte fundación</v>
      </c>
      <c r="F206" t="str">
        <f ca="1">+IFERROR(VLOOKUP(Fact_Administrativa[[#This Row], [Concepto Anterior]],Conceptos_Administrativa[#All],7,0),"")</f>
        <v/>
      </c>
      <c r="G206" t="s">
        <v>172</v>
      </c>
      <c r="H206" t="s">
        <v>172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93">
        <v>28288990</v>
      </c>
    </row>
    <row r="207" spans="1:11" ht="18.75" customHeight="1" x14ac:dyDescent="0.35">
      <c r="A207" s="102">
        <v>2024</v>
      </c>
      <c r="B207" t="s">
        <v>180</v>
      </c>
      <c r="C207" s="100">
        <f>IF(OR(Fact_Administrativa[[#This Row], [Año]]="",Fact_Administrativa[[#This Row], [Mes]]=""),"",DATE(A207,MATCH(B207,{"enero","febrero","marzo","abril","mayo","junio","julio","agosto","septiembre","octubre","noviembre","diciembre"},0)+1,0))</f>
        <v>45535</v>
      </c>
      <c r="D207" t="s">
        <v>39</v>
      </c>
      <c r="E207" t="str">
        <f>+IFERROR(VLOOKUP(Fact_Administrativa[[#This Row], [Concepto Anterior]],Conceptos_Administrativa[#All],5,0),"")</f>
        <v>Cantidad de tiendas remodeladas</v>
      </c>
      <c r="F207" t="str">
        <f ca="1">+IFERROR(VLOOKUP(Fact_Administrativa[[#This Row], [Concepto Anterior]],Conceptos_Administrativa[#All],7,0),"")</f>
        <v/>
      </c>
      <c r="G207" t="s">
        <v>172</v>
      </c>
      <c r="H207" t="s">
        <v>172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93">
        <v>0</v>
      </c>
    </row>
    <row r="208" spans="1:11" ht="18.75" customHeight="1" x14ac:dyDescent="0.35">
      <c r="A208" s="93">
        <v>2024</v>
      </c>
      <c r="B208" t="s">
        <v>180</v>
      </c>
      <c r="C208" s="100">
        <f>IF(OR(Fact_Administrativa[[#This Row], [Año]]="",Fact_Administrativa[[#This Row], [Mes]]=""),"",DATE(A208,MATCH(B208,{"enero","febrero","marzo","abril","mayo","junio","julio","agosto","septiembre","octubre","noviembre","diciembre"},0)+1,0))</f>
        <v>45535</v>
      </c>
      <c r="D208" t="s">
        <v>40</v>
      </c>
      <c r="E208" t="str">
        <f>+IFERROR(VLOOKUP(Fact_Administrativa[[#This Row], [Concepto Anterior]],Conceptos_Administrativa[#All],5,0),"")</f>
        <v xml:space="preserve">Contratos de arrendamientos </v>
      </c>
      <c r="F208" t="str">
        <f ca="1">+IFERROR(VLOOKUP(Fact_Administrativa[[#This Row], [Concepto Anterior]],Conceptos_Administrativa[#All],7,0),"")</f>
        <v/>
      </c>
      <c r="G208" t="s">
        <v>172</v>
      </c>
      <c r="H208" t="s">
        <v>172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93">
        <v>0</v>
      </c>
    </row>
    <row r="209" spans="1:11" ht="18.75" customHeight="1" x14ac:dyDescent="0.35">
      <c r="A209" s="93">
        <v>2024</v>
      </c>
      <c r="B209" t="s">
        <v>180</v>
      </c>
      <c r="C209" s="100">
        <f>IF(OR(Fact_Administrativa[[#This Row], [Año]]="",Fact_Administrativa[[#This Row], [Mes]]=""),"",DATE(A209,MATCH(B209,{"enero","febrero","marzo","abril","mayo","junio","julio","agosto","septiembre","octubre","noviembre","diciembre"},0)+1,0))</f>
        <v>45535</v>
      </c>
      <c r="D209" t="s">
        <v>25</v>
      </c>
      <c r="E209" t="str">
        <f>+IFERROR(VLOOKUP(Fact_Administrativa[[#This Row], [Concepto Anterior]],Conceptos_Administrativa[#All],5,0),"")</f>
        <v>Control Ingresos cede Dogama</v>
      </c>
      <c r="F209" t="str">
        <f ca="1">+IFERROR(VLOOKUP(Fact_Administrativa[[#This Row], [Concepto Anterior]],Conceptos_Administrativa[#All],7,0),"")</f>
        <v/>
      </c>
      <c r="G209" t="s">
        <v>172</v>
      </c>
      <c r="H209" t="s">
        <v>172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93">
        <v>16849</v>
      </c>
    </row>
    <row r="210" spans="1:11" ht="18.75" customHeight="1" x14ac:dyDescent="0.35">
      <c r="A210" s="93">
        <v>2024</v>
      </c>
      <c r="B210" t="s">
        <v>180</v>
      </c>
      <c r="C210" s="100">
        <f>IF(OR(Fact_Administrativa[[#This Row], [Año]]="",Fact_Administrativa[[#This Row], [Mes]]=""),"",DATE(A210,MATCH(B210,{"enero","febrero","marzo","abril","mayo","junio","julio","agosto","septiembre","octubre","noviembre","diciembre"},0)+1,0))</f>
        <v>45535</v>
      </c>
      <c r="D210" t="s">
        <v>34</v>
      </c>
      <c r="E210" t="str">
        <f>+IFERROR(VLOOKUP(Fact_Administrativa[[#This Row], [Concepto Anterior]],Conceptos_Administrativa[#All],5,0),"")</f>
        <v>% Tickets Cumplimiento</v>
      </c>
      <c r="F210" t="str">
        <f ca="1">+IFERROR(VLOOKUP(Fact_Administrativa[[#This Row], [Concepto Anterior]],Conceptos_Administrativa[#All],7,0),"")</f>
        <v/>
      </c>
      <c r="G210" t="s">
        <v>172</v>
      </c>
      <c r="H210" t="s">
        <v>172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92">
        <v>0.702755905511811</v>
      </c>
    </row>
    <row r="211" spans="1:11" ht="18.75" customHeight="1" x14ac:dyDescent="0.35">
      <c r="A211" s="93">
        <v>2024</v>
      </c>
      <c r="B211" t="s">
        <v>180</v>
      </c>
      <c r="C211" s="100">
        <f>IF(OR(Fact_Administrativa[[#This Row], [Año]]="",Fact_Administrativa[[#This Row], [Mes]]=""),"",DATE(A211,MATCH(B211,{"enero","febrero","marzo","abril","mayo","junio","julio","agosto","septiembre","octubre","noviembre","diciembre"},0)+1,0))</f>
        <v>45535</v>
      </c>
      <c r="D211" t="s">
        <v>209</v>
      </c>
      <c r="E211" t="str">
        <f>+IFERROR(VLOOKUP(Fact_Administrativa[[#This Row], [Concepto Anterior]],Conceptos_Administrativa[#All],5,0),"")</f>
        <v>Emisiones CO²</v>
      </c>
      <c r="F211" t="str">
        <f ca="1">+IFERROR(VLOOKUP(Fact_Administrativa[[#This Row], [Concepto Anterior]],Conceptos_Administrativa[#All],7,0),"")</f>
        <v/>
      </c>
      <c r="G211" t="s">
        <v>172</v>
      </c>
      <c r="H211" t="s">
        <v>172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92">
        <v>26.1</v>
      </c>
    </row>
    <row r="212" spans="1:11" ht="18.75" customHeight="1" x14ac:dyDescent="0.35">
      <c r="A212" s="93">
        <v>2024</v>
      </c>
      <c r="B212" t="s">
        <v>180</v>
      </c>
      <c r="C212" s="100">
        <f>IF(OR(Fact_Administrativa[[#This Row], [Año]]="",Fact_Administrativa[[#This Row], [Mes]]=""),"",DATE(A212,MATCH(B212,{"enero","febrero","marzo","abril","mayo","junio","julio","agosto","septiembre","octubre","noviembre","diciembre"},0)+1,0))</f>
        <v>45535</v>
      </c>
      <c r="D212" t="s">
        <v>38</v>
      </c>
      <c r="E212" t="str">
        <f>+IFERROR(VLOOKUP(Fact_Administrativa[[#This Row], [Concepto Anterior]],Conceptos_Administrativa[#All],5,0),"")</f>
        <v>Facturas de arrendamientos y administración</v>
      </c>
      <c r="F212" t="str">
        <f ca="1">+IFERROR(VLOOKUP(Fact_Administrativa[[#This Row], [Concepto Anterior]],Conceptos_Administrativa[#All],7,0),"")</f>
        <v/>
      </c>
      <c r="G212" t="s">
        <v>172</v>
      </c>
      <c r="H212" t="s">
        <v>172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93">
        <v>1033</v>
      </c>
    </row>
    <row r="213" spans="1:11" ht="18.75" customHeight="1" x14ac:dyDescent="0.35">
      <c r="A213" s="93">
        <v>2024</v>
      </c>
      <c r="B213" t="s">
        <v>180</v>
      </c>
      <c r="C213" s="100">
        <f>IF(OR(Fact_Administrativa[[#This Row], [Año]]="",Fact_Administrativa[[#This Row], [Mes]]=""),"",DATE(A213,MATCH(B213,{"enero","febrero","marzo","abril","mayo","junio","julio","agosto","septiembre","octubre","noviembre","diciembre"},0)+1,0))</f>
        <v>45535</v>
      </c>
      <c r="D213" t="s">
        <v>41</v>
      </c>
      <c r="E213" t="str">
        <f>+IFERROR(VLOOKUP(Fact_Administrativa[[#This Row], [Concepto Anterior]],Conceptos_Administrativa[#All],5,0),"")</f>
        <v>Facturas Procesadas por Marca</v>
      </c>
      <c r="F213" t="str">
        <f ca="1">+IFERROR(VLOOKUP(Fact_Administrativa[[#This Row], [Concepto Anterior]],Conceptos_Administrativa[#All],7,0),"")</f>
        <v/>
      </c>
      <c r="G213" t="s">
        <v>42</v>
      </c>
      <c r="H213" t="s">
        <v>172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93">
        <v>577</v>
      </c>
    </row>
    <row r="214" spans="1:11" ht="18.75" customHeight="1" x14ac:dyDescent="0.35">
      <c r="A214" s="93">
        <v>2024</v>
      </c>
      <c r="B214" t="s">
        <v>180</v>
      </c>
      <c r="C214" s="100">
        <f>IF(OR(Fact_Administrativa[[#This Row], [Año]]="",Fact_Administrativa[[#This Row], [Mes]]=""),"",DATE(A214,MATCH(B214,{"enero","febrero","marzo","abril","mayo","junio","julio","agosto","septiembre","octubre","noviembre","diciembre"},0)+1,0))</f>
        <v>45535</v>
      </c>
      <c r="D214" t="s">
        <v>41</v>
      </c>
      <c r="E214" t="str">
        <f>+IFERROR(VLOOKUP(Fact_Administrativa[[#This Row], [Concepto Anterior]],Conceptos_Administrativa[#All],5,0),"")</f>
        <v>Facturas Procesadas por Marca</v>
      </c>
      <c r="F214" t="str">
        <f ca="1">+IFERROR(VLOOKUP(Fact_Administrativa[[#This Row], [Concepto Anterior]],Conceptos_Administrativa[#All],7,0),"")</f>
        <v/>
      </c>
      <c r="G214" t="s">
        <v>43</v>
      </c>
      <c r="H214" t="s">
        <v>172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93">
        <v>961</v>
      </c>
    </row>
    <row r="215" spans="1:11" ht="18.75" customHeight="1" x14ac:dyDescent="0.35">
      <c r="A215" s="93">
        <v>2024</v>
      </c>
      <c r="B215" t="s">
        <v>180</v>
      </c>
      <c r="C215" s="100">
        <f>IF(OR(Fact_Administrativa[[#This Row], [Año]]="",Fact_Administrativa[[#This Row], [Mes]]=""),"",DATE(A215,MATCH(B215,{"enero","febrero","marzo","abril","mayo","junio","julio","agosto","septiembre","octubre","noviembre","diciembre"},0)+1,0))</f>
        <v>45535</v>
      </c>
      <c r="D215" t="s">
        <v>41</v>
      </c>
      <c r="E215" t="str">
        <f>+IFERROR(VLOOKUP(Fact_Administrativa[[#This Row], [Concepto Anterior]],Conceptos_Administrativa[#All],5,0),"")</f>
        <v>Facturas Procesadas por Marca</v>
      </c>
      <c r="F215" t="str">
        <f ca="1">+IFERROR(VLOOKUP(Fact_Administrativa[[#This Row], [Concepto Anterior]],Conceptos_Administrativa[#All],7,0),"")</f>
        <v/>
      </c>
      <c r="G215" t="s">
        <v>44</v>
      </c>
      <c r="H215" t="s">
        <v>172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93">
        <v>996</v>
      </c>
    </row>
    <row r="216" spans="1:11" ht="18.75" customHeight="1" x14ac:dyDescent="0.35">
      <c r="A216" s="93">
        <v>2024</v>
      </c>
      <c r="B216" t="s">
        <v>180</v>
      </c>
      <c r="C216" s="100">
        <f>IF(OR(Fact_Administrativa[[#This Row], [Año]]="",Fact_Administrativa[[#This Row], [Mes]]=""),"",DATE(A216,MATCH(B216,{"enero","febrero","marzo","abril","mayo","junio","julio","agosto","septiembre","octubre","noviembre","diciembre"},0)+1,0))</f>
        <v>45535</v>
      </c>
      <c r="D216" t="s">
        <v>41</v>
      </c>
      <c r="E216" t="str">
        <f>+IFERROR(VLOOKUP(Fact_Administrativa[[#This Row], [Concepto Anterior]],Conceptos_Administrativa[#All],5,0),"")</f>
        <v>Facturas Procesadas por Marca</v>
      </c>
      <c r="F216" t="str">
        <f ca="1">+IFERROR(VLOOKUP(Fact_Administrativa[[#This Row], [Concepto Anterior]],Conceptos_Administrativa[#All],7,0),"")</f>
        <v/>
      </c>
      <c r="G216" t="s">
        <v>45</v>
      </c>
      <c r="H216" t="s">
        <v>172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93">
        <v>827</v>
      </c>
    </row>
    <row r="217" spans="1:11" ht="18.75" customHeight="1" x14ac:dyDescent="0.35">
      <c r="A217" s="93">
        <v>2024</v>
      </c>
      <c r="B217" t="s">
        <v>180</v>
      </c>
      <c r="C217" s="100">
        <f>IF(OR(Fact_Administrativa[[#This Row], [Año]]="",Fact_Administrativa[[#This Row], [Mes]]=""),"",DATE(A217,MATCH(B217,{"enero","febrero","marzo","abril","mayo","junio","julio","agosto","septiembre","octubre","noviembre","diciembre"},0)+1,0))</f>
        <v>45535</v>
      </c>
      <c r="D217" t="s">
        <v>41</v>
      </c>
      <c r="E217" t="str">
        <f>+IFERROR(VLOOKUP(Fact_Administrativa[[#This Row], [Concepto Anterior]],Conceptos_Administrativa[#All],5,0),"")</f>
        <v>Facturas Procesadas por Marca</v>
      </c>
      <c r="F217" t="str">
        <f ca="1">+IFERROR(VLOOKUP(Fact_Administrativa[[#This Row], [Concepto Anterior]],Conceptos_Administrativa[#All],7,0),"")</f>
        <v/>
      </c>
      <c r="G217" t="s">
        <v>46</v>
      </c>
      <c r="H217" t="s">
        <v>172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93">
        <v>702</v>
      </c>
    </row>
    <row r="218" spans="1:11" ht="18.75" customHeight="1" x14ac:dyDescent="0.35">
      <c r="A218" s="93">
        <v>2024</v>
      </c>
      <c r="B218" t="s">
        <v>180</v>
      </c>
      <c r="C218" s="100">
        <f>IF(OR(Fact_Administrativa[[#This Row], [Año]]="",Fact_Administrativa[[#This Row], [Mes]]=""),"",DATE(A218,MATCH(B218,{"enero","febrero","marzo","abril","mayo","junio","julio","agosto","septiembre","octubre","noviembre","diciembre"},0)+1,0))</f>
        <v>45535</v>
      </c>
      <c r="D218" t="s">
        <v>41</v>
      </c>
      <c r="E218" t="str">
        <f>+IFERROR(VLOOKUP(Fact_Administrativa[[#This Row], [Concepto Anterior]],Conceptos_Administrativa[#All],5,0),"")</f>
        <v>Facturas Procesadas por Marca</v>
      </c>
      <c r="F218" t="str">
        <f ca="1">+IFERROR(VLOOKUP(Fact_Administrativa[[#This Row], [Concepto Anterior]],Conceptos_Administrativa[#All],7,0),"")</f>
        <v/>
      </c>
      <c r="G218" t="s">
        <v>47</v>
      </c>
      <c r="H218" t="s">
        <v>172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93">
        <v>29</v>
      </c>
    </row>
    <row r="219" spans="1:11" ht="18.75" customHeight="1" x14ac:dyDescent="0.35">
      <c r="A219" s="93">
        <v>2024</v>
      </c>
      <c r="B219" t="s">
        <v>180</v>
      </c>
      <c r="C219" s="100">
        <f>IF(OR(Fact_Administrativa[[#This Row], [Año]]="",Fact_Administrativa[[#This Row], [Mes]]=""),"",DATE(A219,MATCH(B219,{"enero","febrero","marzo","abril","mayo","junio","julio","agosto","septiembre","octubre","noviembre","diciembre"},0)+1,0))</f>
        <v>45535</v>
      </c>
      <c r="D219" t="s">
        <v>41</v>
      </c>
      <c r="E219" t="str">
        <f>+IFERROR(VLOOKUP(Fact_Administrativa[[#This Row], [Concepto Anterior]],Conceptos_Administrativa[#All],5,0),"")</f>
        <v>Facturas Procesadas por Marca</v>
      </c>
      <c r="F219" t="str">
        <f ca="1">+IFERROR(VLOOKUP(Fact_Administrativa[[#This Row], [Concepto Anterior]],Conceptos_Administrativa[#All],7,0),"")</f>
        <v/>
      </c>
      <c r="G219" t="s">
        <v>48</v>
      </c>
      <c r="H219" t="s">
        <v>172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93">
        <v>1337</v>
      </c>
    </row>
    <row r="220" spans="1:11" ht="18.75" customHeight="1" x14ac:dyDescent="0.35">
      <c r="A220" s="93">
        <v>2024</v>
      </c>
      <c r="B220" t="s">
        <v>180</v>
      </c>
      <c r="C220" s="100">
        <f>IF(OR(Fact_Administrativa[[#This Row], [Año]]="",Fact_Administrativa[[#This Row], [Mes]]=""),"",DATE(A220,MATCH(B220,{"enero","febrero","marzo","abril","mayo","junio","julio","agosto","septiembre","octubre","noviembre","diciembre"},0)+1,0))</f>
        <v>45535</v>
      </c>
      <c r="D220" t="s">
        <v>41</v>
      </c>
      <c r="E220" t="str">
        <f>+IFERROR(VLOOKUP(Fact_Administrativa[[#This Row], [Concepto Anterior]],Conceptos_Administrativa[#All],5,0),"")</f>
        <v>Facturas Procesadas por Marca</v>
      </c>
      <c r="F220" t="str">
        <f ca="1">+IFERROR(VLOOKUP(Fact_Administrativa[[#This Row], [Concepto Anterior]],Conceptos_Administrativa[#All],7,0),"")</f>
        <v/>
      </c>
      <c r="G220" t="s">
        <v>49</v>
      </c>
      <c r="H220" t="s">
        <v>172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93">
        <v>861</v>
      </c>
    </row>
    <row r="221" spans="1:11" ht="18.75" customHeight="1" x14ac:dyDescent="0.35">
      <c r="A221" s="93">
        <v>2024</v>
      </c>
      <c r="B221" t="s">
        <v>180</v>
      </c>
      <c r="C221" s="100">
        <f>IF(OR(Fact_Administrativa[[#This Row], [Año]]="",Fact_Administrativa[[#This Row], [Mes]]=""),"",DATE(A221,MATCH(B221,{"enero","febrero","marzo","abril","mayo","junio","julio","agosto","septiembre","octubre","noviembre","diciembre"},0)+1,0))</f>
        <v>45535</v>
      </c>
      <c r="D221" t="s">
        <v>41</v>
      </c>
      <c r="E221" t="str">
        <f>+IFERROR(VLOOKUP(Fact_Administrativa[[#This Row], [Concepto Anterior]],Conceptos_Administrativa[#All],5,0),"")</f>
        <v>Facturas Procesadas por Marca</v>
      </c>
      <c r="F221" t="str">
        <f ca="1">+IFERROR(VLOOKUP(Fact_Administrativa[[#This Row], [Concepto Anterior]],Conceptos_Administrativa[#All],7,0),"")</f>
        <v/>
      </c>
      <c r="G221" t="s">
        <v>50</v>
      </c>
      <c r="H221" t="s">
        <v>172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93">
        <v>1098</v>
      </c>
    </row>
    <row r="222" spans="1:11" ht="18.75" customHeight="1" x14ac:dyDescent="0.35">
      <c r="A222" s="93">
        <v>2024</v>
      </c>
      <c r="B222" t="s">
        <v>180</v>
      </c>
      <c r="C222" s="100">
        <f>IF(OR(Fact_Administrativa[[#This Row], [Año]]="",Fact_Administrativa[[#This Row], [Mes]]=""),"",DATE(A222,MATCH(B222,{"enero","febrero","marzo","abril","mayo","junio","julio","agosto","septiembre","octubre","noviembre","diciembre"},0)+1,0))</f>
        <v>45535</v>
      </c>
      <c r="D222" t="s">
        <v>41</v>
      </c>
      <c r="E222" t="str">
        <f>+IFERROR(VLOOKUP(Fact_Administrativa[[#This Row], [Concepto Anterior]],Conceptos_Administrativa[#All],5,0),"")</f>
        <v>Facturas Procesadas por Marca</v>
      </c>
      <c r="F222" t="str">
        <f ca="1">+IFERROR(VLOOKUP(Fact_Administrativa[[#This Row], [Concepto Anterior]],Conceptos_Administrativa[#All],7,0),"")</f>
        <v/>
      </c>
      <c r="G222" t="s">
        <v>51</v>
      </c>
      <c r="H222" t="s">
        <v>172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93">
        <v>1045</v>
      </c>
    </row>
    <row r="223" spans="1:11" ht="18.75" customHeight="1" x14ac:dyDescent="0.35">
      <c r="A223" s="93">
        <v>2024</v>
      </c>
      <c r="B223" t="s">
        <v>180</v>
      </c>
      <c r="C223" s="100">
        <f>IF(OR(Fact_Administrativa[[#This Row], [Año]]="",Fact_Administrativa[[#This Row], [Mes]]=""),"",DATE(A223,MATCH(B223,{"enero","febrero","marzo","abril","mayo","junio","julio","agosto","septiembre","octubre","noviembre","diciembre"},0)+1,0))</f>
        <v>45535</v>
      </c>
      <c r="D223" t="s">
        <v>41</v>
      </c>
      <c r="E223" t="str">
        <f>+IFERROR(VLOOKUP(Fact_Administrativa[[#This Row], [Concepto Anterior]],Conceptos_Administrativa[#All],5,0),"")</f>
        <v>Facturas Procesadas por Marca</v>
      </c>
      <c r="F223" t="str">
        <f ca="1">+IFERROR(VLOOKUP(Fact_Administrativa[[#This Row], [Concepto Anterior]],Conceptos_Administrativa[#All],7,0),"")</f>
        <v/>
      </c>
      <c r="G223" t="s">
        <v>52</v>
      </c>
      <c r="H223" t="s">
        <v>172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93">
        <v>486</v>
      </c>
    </row>
    <row r="224" spans="1:11" ht="18.75" customHeight="1" x14ac:dyDescent="0.35">
      <c r="A224" s="93">
        <v>2024</v>
      </c>
      <c r="B224" t="s">
        <v>180</v>
      </c>
      <c r="C224" s="100">
        <f>IF(OR(Fact_Administrativa[[#This Row], [Año]]="",Fact_Administrativa[[#This Row], [Mes]]=""),"",DATE(A224,MATCH(B224,{"enero","febrero","marzo","abril","mayo","junio","julio","agosto","septiembre","octubre","noviembre","diciembre"},0)+1,0))</f>
        <v>45535</v>
      </c>
      <c r="D224" t="s">
        <v>41</v>
      </c>
      <c r="E224" t="str">
        <f>+IFERROR(VLOOKUP(Fact_Administrativa[[#This Row], [Concepto Anterior]],Conceptos_Administrativa[#All],5,0),"")</f>
        <v>Facturas Procesadas por Marca</v>
      </c>
      <c r="F224" t="str">
        <f ca="1">+IFERROR(VLOOKUP(Fact_Administrativa[[#This Row], [Concepto Anterior]],Conceptos_Administrativa[#All],7,0),"")</f>
        <v/>
      </c>
      <c r="G224" t="s">
        <v>53</v>
      </c>
      <c r="H224" t="s">
        <v>172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93">
        <v>239</v>
      </c>
    </row>
    <row r="225" spans="1:11" ht="18.75" customHeight="1" x14ac:dyDescent="0.35">
      <c r="A225" s="93">
        <v>2024</v>
      </c>
      <c r="B225" t="s">
        <v>180</v>
      </c>
      <c r="C225" s="100">
        <f>IF(OR(Fact_Administrativa[[#This Row], [Año]]="",Fact_Administrativa[[#This Row], [Mes]]=""),"",DATE(A225,MATCH(B225,{"enero","febrero","marzo","abril","mayo","junio","julio","agosto","septiembre","octubre","noviembre","diciembre"},0)+1,0))</f>
        <v>45535</v>
      </c>
      <c r="D225" t="s">
        <v>41</v>
      </c>
      <c r="E225" t="str">
        <f>+IFERROR(VLOOKUP(Fact_Administrativa[[#This Row], [Concepto Anterior]],Conceptos_Administrativa[#All],5,0),"")</f>
        <v>Facturas Procesadas por Marca</v>
      </c>
      <c r="F225" t="str">
        <f ca="1">+IFERROR(VLOOKUP(Fact_Administrativa[[#This Row], [Concepto Anterior]],Conceptos_Administrativa[#All],7,0),"")</f>
        <v/>
      </c>
      <c r="G225" t="s">
        <v>54</v>
      </c>
      <c r="H225" t="s">
        <v>172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93">
        <v>43</v>
      </c>
    </row>
    <row r="226" spans="1:11" ht="18.75" customHeight="1" x14ac:dyDescent="0.35">
      <c r="A226" s="93">
        <v>2024</v>
      </c>
      <c r="B226" t="s">
        <v>180</v>
      </c>
      <c r="C226" s="100">
        <f>IF(OR(Fact_Administrativa[[#This Row], [Año]]="",Fact_Administrativa[[#This Row], [Mes]]=""),"",DATE(A226,MATCH(B226,{"enero","febrero","marzo","abril","mayo","junio","julio","agosto","septiembre","octubre","noviembre","diciembre"},0)+1,0))</f>
        <v>45535</v>
      </c>
      <c r="D226" t="s">
        <v>55</v>
      </c>
      <c r="E226" t="str">
        <f>+IFERROR(VLOOKUP(Fact_Administrativa[[#This Row], [Concepto Anterior]],Conceptos_Administrativa[#All],5,0),"")</f>
        <v>Facturas Procesadas por Marca</v>
      </c>
      <c r="F226" t="str">
        <f ca="1">+IFERROR(VLOOKUP(Fact_Administrativa[[#This Row], [Concepto Anterior]],Conceptos_Administrativa[#All],7,0),"")</f>
        <v/>
      </c>
      <c r="G226" t="s">
        <v>56</v>
      </c>
      <c r="H226" t="s">
        <v>172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93">
        <v>126</v>
      </c>
    </row>
    <row r="227" spans="1:11" ht="18.75" customHeight="1" x14ac:dyDescent="0.35">
      <c r="A227" s="93">
        <v>2024</v>
      </c>
      <c r="B227" t="s">
        <v>180</v>
      </c>
      <c r="C227" s="100">
        <f>IF(OR(Fact_Administrativa[[#This Row], [Año]]="",Fact_Administrativa[[#This Row], [Mes]]=""),"",DATE(A227,MATCH(B227,{"enero","febrero","marzo","abril","mayo","junio","julio","agosto","septiembre","octubre","noviembre","diciembre"},0)+1,0))</f>
        <v>45535</v>
      </c>
      <c r="D227" t="s">
        <v>57</v>
      </c>
      <c r="E227" t="str">
        <f>+IFERROR(VLOOKUP(Fact_Administrativa[[#This Row], [Concepto Anterior]],Conceptos_Administrativa[#All],5,0),"")</f>
        <v>Facturas Procesadas por Marca</v>
      </c>
      <c r="F227" t="str">
        <f ca="1">+IFERROR(VLOOKUP(Fact_Administrativa[[#This Row], [Concepto Anterior]],Conceptos_Administrativa[#All],7,0),"")</f>
        <v/>
      </c>
      <c r="G227" t="s">
        <v>58</v>
      </c>
      <c r="H227" t="s">
        <v>172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93">
        <v>81</v>
      </c>
    </row>
    <row r="228" spans="1:11" ht="18.75" customHeight="1" x14ac:dyDescent="0.35">
      <c r="A228" s="93">
        <v>2024</v>
      </c>
      <c r="B228" t="s">
        <v>180</v>
      </c>
      <c r="C228" s="100">
        <f>IF(OR(Fact_Administrativa[[#This Row], [Año]]="",Fact_Administrativa[[#This Row], [Mes]]=""),"",DATE(A228,MATCH(B228,{"enero","febrero","marzo","abril","mayo","junio","julio","agosto","septiembre","octubre","noviembre","diciembre"},0)+1,0))</f>
        <v>45535</v>
      </c>
      <c r="D228" t="s">
        <v>28</v>
      </c>
      <c r="E228" t="str">
        <f>+IFERROR(VLOOKUP(Fact_Administrativa[[#This Row], [Concepto Anterior]],Conceptos_Administrativa[#All],5,0),"")</f>
        <v xml:space="preserve">Ahorro reformas tiendas </v>
      </c>
      <c r="F228" t="str">
        <f ca="1">+IFERROR(VLOOKUP(Fact_Administrativa[[#This Row], [Concepto Anterior]],Conceptos_Administrativa[#All],7,0),"")</f>
        <v/>
      </c>
      <c r="G228" t="s">
        <v>172</v>
      </c>
      <c r="H228" t="s">
        <v>172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93">
        <v>0</v>
      </c>
    </row>
    <row r="229" spans="1:11" ht="18.75" customHeight="1" x14ac:dyDescent="0.35">
      <c r="A229" s="93">
        <v>2024</v>
      </c>
      <c r="B229" t="s">
        <v>180</v>
      </c>
      <c r="C229" s="100">
        <f>IF(OR(Fact_Administrativa[[#This Row], [Año]]="",Fact_Administrativa[[#This Row], [Mes]]=""),"",DATE(A229,MATCH(B229,{"enero","febrero","marzo","abril","mayo","junio","julio","agosto","septiembre","octubre","noviembre","diciembre"},0)+1,0))</f>
        <v>45535</v>
      </c>
      <c r="D229" t="s">
        <v>29</v>
      </c>
      <c r="E229" t="str">
        <f>+IFERROR(VLOOKUP(Fact_Administrativa[[#This Row], [Concepto Anterior]],Conceptos_Administrativa[#All],5,0),"")</f>
        <v>Recuperaciones Siniestros</v>
      </c>
      <c r="F229" t="str">
        <f ca="1">+IFERROR(VLOOKUP(Fact_Administrativa[[#This Row], [Concepto Anterior]],Conceptos_Administrativa[#All],7,0),"")</f>
        <v/>
      </c>
      <c r="G229" t="s">
        <v>172</v>
      </c>
      <c r="H229" t="s">
        <v>172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93">
        <v>0</v>
      </c>
    </row>
    <row r="230" spans="1:11" ht="18.75" customHeight="1" x14ac:dyDescent="0.35">
      <c r="A230" s="93">
        <v>2024</v>
      </c>
      <c r="B230" t="s">
        <v>180</v>
      </c>
      <c r="C230" s="100">
        <f>IF(OR(Fact_Administrativa[[#This Row], [Año]]="",Fact_Administrativa[[#This Row], [Mes]]=""),"",DATE(A230,MATCH(B230,{"enero","febrero","marzo","abril","mayo","junio","julio","agosto","septiembre","octubre","noviembre","diciembre"},0)+1,0))</f>
        <v>45535</v>
      </c>
      <c r="D230" t="s">
        <v>30</v>
      </c>
      <c r="E230" t="str">
        <f>+IFERROR(VLOOKUP(Fact_Administrativa[[#This Row], [Concepto Anterior]],Conceptos_Administrativa[#All],5,0),"")</f>
        <v>Gestión de Polizas</v>
      </c>
      <c r="F230" t="str">
        <f ca="1">+IFERROR(VLOOKUP(Fact_Administrativa[[#This Row], [Concepto Anterior]],Conceptos_Administrativa[#All],7,0),"")</f>
        <v/>
      </c>
      <c r="G230" t="s">
        <v>172</v>
      </c>
      <c r="H230" t="s">
        <v>172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93">
        <v>0</v>
      </c>
    </row>
    <row r="231" spans="1:11" ht="18.75" customHeight="1" x14ac:dyDescent="0.35">
      <c r="A231" s="93">
        <v>2024</v>
      </c>
      <c r="B231" t="s">
        <v>180</v>
      </c>
      <c r="C231" s="100">
        <f>IF(OR(Fact_Administrativa[[#This Row], [Año]]="",Fact_Administrativa[[#This Row], [Mes]]=""),"",DATE(A231,MATCH(B231,{"enero","febrero","marzo","abril","mayo","junio","julio","agosto","septiembre","octubre","noviembre","diciembre"},0)+1,0))</f>
        <v>45535</v>
      </c>
      <c r="D231" t="s">
        <v>32</v>
      </c>
      <c r="E231" t="str">
        <f>+IFERROR(VLOOKUP(Fact_Administrativa[[#This Row], [Concepto Anterior]],Conceptos_Administrativa[#All],5,0),"")</f>
        <v>Tickets cerrados</v>
      </c>
      <c r="F231" t="str">
        <f ca="1">+IFERROR(VLOOKUP(Fact_Administrativa[[#This Row], [Concepto Anterior]],Conceptos_Administrativa[#All],7,0),"")</f>
        <v/>
      </c>
      <c r="G231" t="s">
        <v>172</v>
      </c>
      <c r="H231" t="s">
        <v>172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93">
        <v>714</v>
      </c>
    </row>
    <row r="232" spans="1:11" ht="18.75" customHeight="1" x14ac:dyDescent="0.35">
      <c r="A232" s="93">
        <v>2024</v>
      </c>
      <c r="B232" t="s">
        <v>180</v>
      </c>
      <c r="C232" s="100">
        <f>IF(OR(Fact_Administrativa[[#This Row], [Año]]="",Fact_Administrativa[[#This Row], [Mes]]=""),"",DATE(A232,MATCH(B232,{"enero","febrero","marzo","abril","mayo","junio","julio","agosto","septiembre","octubre","noviembre","diciembre"},0)+1,0))</f>
        <v>45535</v>
      </c>
      <c r="D232" t="s">
        <v>210</v>
      </c>
      <c r="E232" t="str">
        <f>+IFERROR(VLOOKUP(Fact_Administrativa[[#This Row], [Concepto Anterior]],Conceptos_Administrativa[#All],5,0),"")</f>
        <v>Tickets proceso</v>
      </c>
      <c r="F232" t="str">
        <f ca="1">+IFERROR(VLOOKUP(Fact_Administrativa[[#This Row], [Concepto Anterior]],Conceptos_Administrativa[#All],7,0),"")</f>
        <v/>
      </c>
      <c r="G232" t="s">
        <v>172</v>
      </c>
      <c r="H232" t="s">
        <v>172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93">
        <v>302</v>
      </c>
    </row>
    <row r="233" spans="1:11" ht="18.75" customHeight="1" x14ac:dyDescent="0.35">
      <c r="A233" s="93">
        <v>2024</v>
      </c>
      <c r="B233" t="s">
        <v>180</v>
      </c>
      <c r="C233" s="100">
        <f>IF(OR(Fact_Administrativa[[#This Row], [Año]]="",Fact_Administrativa[[#This Row], [Mes]]=""),"",DATE(A233,MATCH(B233,{"enero","febrero","marzo","abril","mayo","junio","julio","agosto","septiembre","octubre","noviembre","diciembre"},0)+1,0))</f>
        <v>45535</v>
      </c>
      <c r="D233" t="s">
        <v>31</v>
      </c>
      <c r="E233" t="str">
        <f>+IFERROR(VLOOKUP(Fact_Administrativa[[#This Row], [Concepto Anterior]],Conceptos_Administrativa[#All],5,0),"")</f>
        <v>Tickets recibidos</v>
      </c>
      <c r="F233" t="str">
        <f ca="1">+IFERROR(VLOOKUP(Fact_Administrativa[[#This Row], [Concepto Anterior]],Conceptos_Administrativa[#All],7,0),"")</f>
        <v/>
      </c>
      <c r="G233" t="s">
        <v>172</v>
      </c>
      <c r="H233" t="s">
        <v>172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93">
        <v>1016</v>
      </c>
    </row>
    <row r="234" spans="1:11" ht="18.75" customHeight="1" x14ac:dyDescent="0.35">
      <c r="A234" s="93">
        <v>2024</v>
      </c>
      <c r="B234" t="s">
        <v>181</v>
      </c>
      <c r="C234" s="100">
        <f>IF(OR(Fact_Administrativa[[#This Row], [Año]]="",Fact_Administrativa[[#This Row], [Mes]]=""),"",DATE(A234,MATCH(B234,{"enero","febrero","marzo","abril","mayo","junio","julio","agosto","septiembre","octubre","noviembre","diciembre"},0)+1,0))</f>
        <v>45565</v>
      </c>
      <c r="D234" t="s">
        <v>27</v>
      </c>
      <c r="E234" t="str">
        <f>+IFERROR(VLOOKUP(Fact_Administrativa[[#This Row], [Concepto Anterior]],Conceptos_Administrativa[#All],5,0),"")</f>
        <v>Ahorro energía</v>
      </c>
      <c r="F234" t="str">
        <f ca="1">+IFERROR(VLOOKUP(Fact_Administrativa[[#This Row], [Concepto Anterior]],Conceptos_Administrativa[#All],7,0),"")</f>
        <v/>
      </c>
      <c r="G234" t="s">
        <v>172</v>
      </c>
      <c r="H234" t="s">
        <v>172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93">
        <v>23858082</v>
      </c>
    </row>
    <row r="235" spans="1:11" ht="18.75" customHeight="1" x14ac:dyDescent="0.35">
      <c r="A235" s="93">
        <v>2024</v>
      </c>
      <c r="B235" t="s">
        <v>181</v>
      </c>
      <c r="C235" s="100">
        <f>IF(OR(Fact_Administrativa[[#This Row], [Año]]="",Fact_Administrativa[[#This Row], [Mes]]=""),"",DATE(A235,MATCH(B235,{"enero","febrero","marzo","abril","mayo","junio","julio","agosto","septiembre","octubre","noviembre","diciembre"},0)+1,0))</f>
        <v>45565</v>
      </c>
      <c r="D235" t="s">
        <v>19</v>
      </c>
      <c r="E235" t="str">
        <f>+IFERROR(VLOOKUP(Fact_Administrativa[[#This Row], [Concepto Anterior]],Conceptos_Administrativa[#All],5,0),"")</f>
        <v>Aporte fundación</v>
      </c>
      <c r="F235" t="str">
        <f ca="1">+IFERROR(VLOOKUP(Fact_Administrativa[[#This Row], [Concepto Anterior]],Conceptos_Administrativa[#All],7,0),"")</f>
        <v/>
      </c>
      <c r="G235" t="s">
        <v>172</v>
      </c>
      <c r="H235" t="s">
        <v>172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93">
        <v>17692865</v>
      </c>
    </row>
    <row r="236" spans="1:11" ht="18.75" customHeight="1" x14ac:dyDescent="0.35">
      <c r="A236" s="93">
        <v>2024</v>
      </c>
      <c r="B236" t="s">
        <v>181</v>
      </c>
      <c r="C236" s="100">
        <f>IF(OR(Fact_Administrativa[[#This Row], [Año]]="",Fact_Administrativa[[#This Row], [Mes]]=""),"",DATE(A236,MATCH(B236,{"enero","febrero","marzo","abril","mayo","junio","julio","agosto","septiembre","octubre","noviembre","diciembre"},0)+1,0))</f>
        <v>45565</v>
      </c>
      <c r="D236" t="s">
        <v>39</v>
      </c>
      <c r="E236" t="str">
        <f>+IFERROR(VLOOKUP(Fact_Administrativa[[#This Row], [Concepto Anterior]],Conceptos_Administrativa[#All],5,0),"")</f>
        <v>Cantidad de tiendas remodeladas</v>
      </c>
      <c r="F236" t="str">
        <f ca="1">+IFERROR(VLOOKUP(Fact_Administrativa[[#This Row], [Concepto Anterior]],Conceptos_Administrativa[#All],7,0),"")</f>
        <v/>
      </c>
      <c r="G236" t="s">
        <v>172</v>
      </c>
      <c r="H236" t="s">
        <v>172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93">
        <v>3</v>
      </c>
    </row>
    <row r="237" spans="1:11" ht="18.75" customHeight="1" x14ac:dyDescent="0.35">
      <c r="A237" s="102">
        <v>2024</v>
      </c>
      <c r="B237" t="s">
        <v>181</v>
      </c>
      <c r="C237" s="100">
        <f>IF(OR(Fact_Administrativa[[#This Row], [Año]]="",Fact_Administrativa[[#This Row], [Mes]]=""),"",DATE(A237,MATCH(B237,{"enero","febrero","marzo","abril","mayo","junio","julio","agosto","septiembre","octubre","noviembre","diciembre"},0)+1,0))</f>
        <v>45565</v>
      </c>
      <c r="D237" t="s">
        <v>40</v>
      </c>
      <c r="E237" t="str">
        <f>+IFERROR(VLOOKUP(Fact_Administrativa[[#This Row], [Concepto Anterior]],Conceptos_Administrativa[#All],5,0),"")</f>
        <v xml:space="preserve">Contratos de arrendamientos </v>
      </c>
      <c r="F237" t="str">
        <f ca="1">+IFERROR(VLOOKUP(Fact_Administrativa[[#This Row], [Concepto Anterior]],Conceptos_Administrativa[#All],7,0),"")</f>
        <v/>
      </c>
      <c r="G237" t="s">
        <v>172</v>
      </c>
      <c r="H237" t="s">
        <v>172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93">
        <v>0</v>
      </c>
    </row>
    <row r="238" spans="1:11" ht="18.75" customHeight="1" x14ac:dyDescent="0.35">
      <c r="A238" s="93">
        <v>2024</v>
      </c>
      <c r="B238" t="s">
        <v>181</v>
      </c>
      <c r="C238" s="100">
        <f>IF(OR(Fact_Administrativa[[#This Row], [Año]]="",Fact_Administrativa[[#This Row], [Mes]]=""),"",DATE(A238,MATCH(B238,{"enero","febrero","marzo","abril","mayo","junio","julio","agosto","septiembre","octubre","noviembre","diciembre"},0)+1,0))</f>
        <v>45565</v>
      </c>
      <c r="D238" t="s">
        <v>25</v>
      </c>
      <c r="E238" t="str">
        <f>+IFERROR(VLOOKUP(Fact_Administrativa[[#This Row], [Concepto Anterior]],Conceptos_Administrativa[#All],5,0),"")</f>
        <v>Control Ingresos cede Dogama</v>
      </c>
      <c r="F238" t="str">
        <f ca="1">+IFERROR(VLOOKUP(Fact_Administrativa[[#This Row], [Concepto Anterior]],Conceptos_Administrativa[#All],7,0),"")</f>
        <v/>
      </c>
      <c r="G238" t="s">
        <v>172</v>
      </c>
      <c r="H238" t="s">
        <v>172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93">
        <v>17498</v>
      </c>
    </row>
    <row r="239" spans="1:11" ht="18.75" customHeight="1" x14ac:dyDescent="0.35">
      <c r="A239" s="93">
        <v>2024</v>
      </c>
      <c r="B239" t="s">
        <v>181</v>
      </c>
      <c r="C239" s="100">
        <f>IF(OR(Fact_Administrativa[[#This Row], [Año]]="",Fact_Administrativa[[#This Row], [Mes]]=""),"",DATE(A239,MATCH(B239,{"enero","febrero","marzo","abril","mayo","junio","julio","agosto","septiembre","octubre","noviembre","diciembre"},0)+1,0))</f>
        <v>45565</v>
      </c>
      <c r="D239" t="s">
        <v>34</v>
      </c>
      <c r="E239" t="str">
        <f>+IFERROR(VLOOKUP(Fact_Administrativa[[#This Row], [Concepto Anterior]],Conceptos_Administrativa[#All],5,0),"")</f>
        <v>% Tickets Cumplimiento</v>
      </c>
      <c r="F239" t="str">
        <f ca="1">+IFERROR(VLOOKUP(Fact_Administrativa[[#This Row], [Concepto Anterior]],Conceptos_Administrativa[#All],7,0),"")</f>
        <v/>
      </c>
      <c r="G239" t="s">
        <v>172</v>
      </c>
      <c r="H239" t="s">
        <v>172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92">
        <v>0.72335329341317367</v>
      </c>
    </row>
    <row r="240" spans="1:11" ht="18.75" customHeight="1" x14ac:dyDescent="0.35">
      <c r="A240" s="93">
        <v>2024</v>
      </c>
      <c r="B240" t="s">
        <v>181</v>
      </c>
      <c r="C240" s="100">
        <f>IF(OR(Fact_Administrativa[[#This Row], [Año]]="",Fact_Administrativa[[#This Row], [Mes]]=""),"",DATE(A240,MATCH(B240,{"enero","febrero","marzo","abril","mayo","junio","julio","agosto","septiembre","octubre","noviembre","diciembre"},0)+1,0))</f>
        <v>45565</v>
      </c>
      <c r="D240" t="s">
        <v>209</v>
      </c>
      <c r="E240" t="str">
        <f>+IFERROR(VLOOKUP(Fact_Administrativa[[#This Row], [Concepto Anterior]],Conceptos_Administrativa[#All],5,0),"")</f>
        <v>Emisiones CO²</v>
      </c>
      <c r="F240" t="str">
        <f ca="1">+IFERROR(VLOOKUP(Fact_Administrativa[[#This Row], [Concepto Anterior]],Conceptos_Administrativa[#All],7,0),"")</f>
        <v/>
      </c>
      <c r="G240" t="s">
        <v>172</v>
      </c>
      <c r="H240" t="s">
        <v>172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92">
        <v>25.7</v>
      </c>
    </row>
    <row r="241" spans="1:11" ht="18.75" customHeight="1" x14ac:dyDescent="0.35">
      <c r="A241" s="93">
        <v>2024</v>
      </c>
      <c r="B241" t="s">
        <v>181</v>
      </c>
      <c r="C241" s="100">
        <f>IF(OR(Fact_Administrativa[[#This Row], [Año]]="",Fact_Administrativa[[#This Row], [Mes]]=""),"",DATE(A241,MATCH(B241,{"enero","febrero","marzo","abril","mayo","junio","julio","agosto","septiembre","octubre","noviembre","diciembre"},0)+1,0))</f>
        <v>45565</v>
      </c>
      <c r="D241" t="s">
        <v>38</v>
      </c>
      <c r="E241" t="str">
        <f>+IFERROR(VLOOKUP(Fact_Administrativa[[#This Row], [Concepto Anterior]],Conceptos_Administrativa[#All],5,0),"")</f>
        <v>Facturas de arrendamientos y administración</v>
      </c>
      <c r="F241" t="str">
        <f ca="1">+IFERROR(VLOOKUP(Fact_Administrativa[[#This Row], [Concepto Anterior]],Conceptos_Administrativa[#All],7,0),"")</f>
        <v/>
      </c>
      <c r="G241" t="s">
        <v>172</v>
      </c>
      <c r="H241" t="s">
        <v>172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93">
        <v>1069</v>
      </c>
    </row>
    <row r="242" spans="1:11" ht="18.75" customHeight="1" x14ac:dyDescent="0.35">
      <c r="A242" s="93">
        <v>2024</v>
      </c>
      <c r="B242" t="s">
        <v>181</v>
      </c>
      <c r="C242" s="100">
        <f>IF(OR(Fact_Administrativa[[#This Row], [Año]]="",Fact_Administrativa[[#This Row], [Mes]]=""),"",DATE(A242,MATCH(B242,{"enero","febrero","marzo","abril","mayo","junio","julio","agosto","septiembre","octubre","noviembre","diciembre"},0)+1,0))</f>
        <v>45565</v>
      </c>
      <c r="D242" t="s">
        <v>41</v>
      </c>
      <c r="E242" t="str">
        <f>+IFERROR(VLOOKUP(Fact_Administrativa[[#This Row], [Concepto Anterior]],Conceptos_Administrativa[#All],5,0),"")</f>
        <v>Facturas Procesadas por Marca</v>
      </c>
      <c r="F242" t="str">
        <f ca="1">+IFERROR(VLOOKUP(Fact_Administrativa[[#This Row], [Concepto Anterior]],Conceptos_Administrativa[#All],7,0),"")</f>
        <v/>
      </c>
      <c r="G242" t="s">
        <v>42</v>
      </c>
      <c r="H242" t="s">
        <v>172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93">
        <v>640</v>
      </c>
    </row>
    <row r="243" spans="1:11" ht="18.75" customHeight="1" x14ac:dyDescent="0.35">
      <c r="A243" s="93">
        <v>2024</v>
      </c>
      <c r="B243" t="s">
        <v>181</v>
      </c>
      <c r="C243" s="100">
        <f>IF(OR(Fact_Administrativa[[#This Row], [Año]]="",Fact_Administrativa[[#This Row], [Mes]]=""),"",DATE(A243,MATCH(B243,{"enero","febrero","marzo","abril","mayo","junio","julio","agosto","septiembre","octubre","noviembre","diciembre"},0)+1,0))</f>
        <v>45565</v>
      </c>
      <c r="D243" t="s">
        <v>41</v>
      </c>
      <c r="E243" t="str">
        <f>+IFERROR(VLOOKUP(Fact_Administrativa[[#This Row], [Concepto Anterior]],Conceptos_Administrativa[#All],5,0),"")</f>
        <v>Facturas Procesadas por Marca</v>
      </c>
      <c r="F243" t="str">
        <f ca="1">+IFERROR(VLOOKUP(Fact_Administrativa[[#This Row], [Concepto Anterior]],Conceptos_Administrativa[#All],7,0),"")</f>
        <v/>
      </c>
      <c r="G243" t="s">
        <v>43</v>
      </c>
      <c r="H243" t="s">
        <v>172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93">
        <v>1009</v>
      </c>
    </row>
    <row r="244" spans="1:11" ht="18.75" customHeight="1" x14ac:dyDescent="0.35">
      <c r="A244" s="93">
        <v>2024</v>
      </c>
      <c r="B244" t="s">
        <v>181</v>
      </c>
      <c r="C244" s="100">
        <f>IF(OR(Fact_Administrativa[[#This Row], [Año]]="",Fact_Administrativa[[#This Row], [Mes]]=""),"",DATE(A244,MATCH(B244,{"enero","febrero","marzo","abril","mayo","junio","julio","agosto","septiembre","octubre","noviembre","diciembre"},0)+1,0))</f>
        <v>45565</v>
      </c>
      <c r="D244" t="s">
        <v>41</v>
      </c>
      <c r="E244" t="str">
        <f>+IFERROR(VLOOKUP(Fact_Administrativa[[#This Row], [Concepto Anterior]],Conceptos_Administrativa[#All],5,0),"")</f>
        <v>Facturas Procesadas por Marca</v>
      </c>
      <c r="F244" t="str">
        <f ca="1">+IFERROR(VLOOKUP(Fact_Administrativa[[#This Row], [Concepto Anterior]],Conceptos_Administrativa[#All],7,0),"")</f>
        <v/>
      </c>
      <c r="G244" t="s">
        <v>44</v>
      </c>
      <c r="H244" t="s">
        <v>172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93">
        <v>1020</v>
      </c>
    </row>
    <row r="245" spans="1:11" ht="18.75" customHeight="1" x14ac:dyDescent="0.35">
      <c r="A245" s="93">
        <v>2024</v>
      </c>
      <c r="B245" t="s">
        <v>181</v>
      </c>
      <c r="C245" s="100">
        <f>IF(OR(Fact_Administrativa[[#This Row], [Año]]="",Fact_Administrativa[[#This Row], [Mes]]=""),"",DATE(A245,MATCH(B245,{"enero","febrero","marzo","abril","mayo","junio","julio","agosto","septiembre","octubre","noviembre","diciembre"},0)+1,0))</f>
        <v>45565</v>
      </c>
      <c r="D245" t="s">
        <v>41</v>
      </c>
      <c r="E245" t="str">
        <f>+IFERROR(VLOOKUP(Fact_Administrativa[[#This Row], [Concepto Anterior]],Conceptos_Administrativa[#All],5,0),"")</f>
        <v>Facturas Procesadas por Marca</v>
      </c>
      <c r="F245" t="str">
        <f ca="1">+IFERROR(VLOOKUP(Fact_Administrativa[[#This Row], [Concepto Anterior]],Conceptos_Administrativa[#All],7,0),"")</f>
        <v/>
      </c>
      <c r="G245" t="s">
        <v>45</v>
      </c>
      <c r="H245" t="s">
        <v>172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93">
        <v>811</v>
      </c>
    </row>
    <row r="246" spans="1:11" ht="18.75" customHeight="1" x14ac:dyDescent="0.35">
      <c r="A246" s="93">
        <v>2024</v>
      </c>
      <c r="B246" t="s">
        <v>181</v>
      </c>
      <c r="C246" s="100">
        <f>IF(OR(Fact_Administrativa[[#This Row], [Año]]="",Fact_Administrativa[[#This Row], [Mes]]=""),"",DATE(A246,MATCH(B246,{"enero","febrero","marzo","abril","mayo","junio","julio","agosto","septiembre","octubre","noviembre","diciembre"},0)+1,0))</f>
        <v>45565</v>
      </c>
      <c r="D246" t="s">
        <v>41</v>
      </c>
      <c r="E246" t="str">
        <f>+IFERROR(VLOOKUP(Fact_Administrativa[[#This Row], [Concepto Anterior]],Conceptos_Administrativa[#All],5,0),"")</f>
        <v>Facturas Procesadas por Marca</v>
      </c>
      <c r="F246" t="str">
        <f ca="1">+IFERROR(VLOOKUP(Fact_Administrativa[[#This Row], [Concepto Anterior]],Conceptos_Administrativa[#All],7,0),"")</f>
        <v/>
      </c>
      <c r="G246" t="s">
        <v>46</v>
      </c>
      <c r="H246" t="s">
        <v>172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93">
        <v>135</v>
      </c>
    </row>
    <row r="247" spans="1:11" ht="18.75" customHeight="1" x14ac:dyDescent="0.35">
      <c r="A247" s="93">
        <v>2024</v>
      </c>
      <c r="B247" t="s">
        <v>181</v>
      </c>
      <c r="C247" s="100">
        <f>IF(OR(Fact_Administrativa[[#This Row], [Año]]="",Fact_Administrativa[[#This Row], [Mes]]=""),"",DATE(A247,MATCH(B247,{"enero","febrero","marzo","abril","mayo","junio","julio","agosto","septiembre","octubre","noviembre","diciembre"},0)+1,0))</f>
        <v>45565</v>
      </c>
      <c r="D247" t="s">
        <v>41</v>
      </c>
      <c r="E247" t="str">
        <f>+IFERROR(VLOOKUP(Fact_Administrativa[[#This Row], [Concepto Anterior]],Conceptos_Administrativa[#All],5,0),"")</f>
        <v>Facturas Procesadas por Marca</v>
      </c>
      <c r="F247" t="str">
        <f ca="1">+IFERROR(VLOOKUP(Fact_Administrativa[[#This Row], [Concepto Anterior]],Conceptos_Administrativa[#All],7,0),"")</f>
        <v/>
      </c>
      <c r="G247" t="s">
        <v>47</v>
      </c>
      <c r="H247" t="s">
        <v>172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93">
        <v>38</v>
      </c>
    </row>
    <row r="248" spans="1:11" ht="18.75" customHeight="1" x14ac:dyDescent="0.35">
      <c r="A248" s="93">
        <v>2024</v>
      </c>
      <c r="B248" t="s">
        <v>181</v>
      </c>
      <c r="C248" s="100">
        <f>IF(OR(Fact_Administrativa[[#This Row], [Año]]="",Fact_Administrativa[[#This Row], [Mes]]=""),"",DATE(A248,MATCH(B248,{"enero","febrero","marzo","abril","mayo","junio","julio","agosto","septiembre","octubre","noviembre","diciembre"},0)+1,0))</f>
        <v>45565</v>
      </c>
      <c r="D248" t="s">
        <v>41</v>
      </c>
      <c r="E248" t="str">
        <f>+IFERROR(VLOOKUP(Fact_Administrativa[[#This Row], [Concepto Anterior]],Conceptos_Administrativa[#All],5,0),"")</f>
        <v>Facturas Procesadas por Marca</v>
      </c>
      <c r="F248" t="str">
        <f ca="1">+IFERROR(VLOOKUP(Fact_Administrativa[[#This Row], [Concepto Anterior]],Conceptos_Administrativa[#All],7,0),"")</f>
        <v/>
      </c>
      <c r="G248" t="s">
        <v>48</v>
      </c>
      <c r="H248" t="s">
        <v>172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93">
        <v>2186</v>
      </c>
    </row>
    <row r="249" spans="1:11" ht="18.75" customHeight="1" x14ac:dyDescent="0.35">
      <c r="A249" s="93">
        <v>2024</v>
      </c>
      <c r="B249" t="s">
        <v>181</v>
      </c>
      <c r="C249" s="100">
        <f>IF(OR(Fact_Administrativa[[#This Row], [Año]]="",Fact_Administrativa[[#This Row], [Mes]]=""),"",DATE(A249,MATCH(B249,{"enero","febrero","marzo","abril","mayo","junio","julio","agosto","septiembre","octubre","noviembre","diciembre"},0)+1,0))</f>
        <v>45565</v>
      </c>
      <c r="D249" t="s">
        <v>41</v>
      </c>
      <c r="E249" t="str">
        <f>+IFERROR(VLOOKUP(Fact_Administrativa[[#This Row], [Concepto Anterior]],Conceptos_Administrativa[#All],5,0),"")</f>
        <v>Facturas Procesadas por Marca</v>
      </c>
      <c r="F249" t="str">
        <f ca="1">+IFERROR(VLOOKUP(Fact_Administrativa[[#This Row], [Concepto Anterior]],Conceptos_Administrativa[#All],7,0),"")</f>
        <v/>
      </c>
      <c r="G249" t="s">
        <v>49</v>
      </c>
      <c r="H249" t="s">
        <v>172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93">
        <v>853</v>
      </c>
    </row>
    <row r="250" spans="1:11" ht="18.75" customHeight="1" x14ac:dyDescent="0.35">
      <c r="A250" s="93">
        <v>2024</v>
      </c>
      <c r="B250" t="s">
        <v>181</v>
      </c>
      <c r="C250" s="100">
        <f>IF(OR(Fact_Administrativa[[#This Row], [Año]]="",Fact_Administrativa[[#This Row], [Mes]]=""),"",DATE(A250,MATCH(B250,{"enero","febrero","marzo","abril","mayo","junio","julio","agosto","septiembre","octubre","noviembre","diciembre"},0)+1,0))</f>
        <v>45565</v>
      </c>
      <c r="D250" t="s">
        <v>41</v>
      </c>
      <c r="E250" t="str">
        <f>+IFERROR(VLOOKUP(Fact_Administrativa[[#This Row], [Concepto Anterior]],Conceptos_Administrativa[#All],5,0),"")</f>
        <v>Facturas Procesadas por Marca</v>
      </c>
      <c r="F250" t="str">
        <f ca="1">+IFERROR(VLOOKUP(Fact_Administrativa[[#This Row], [Concepto Anterior]],Conceptos_Administrativa[#All],7,0),"")</f>
        <v/>
      </c>
      <c r="G250" t="s">
        <v>50</v>
      </c>
      <c r="H250" t="s">
        <v>172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93">
        <v>980</v>
      </c>
    </row>
    <row r="251" spans="1:11" ht="18.75" customHeight="1" x14ac:dyDescent="0.35">
      <c r="A251" s="93">
        <v>2024</v>
      </c>
      <c r="B251" t="s">
        <v>181</v>
      </c>
      <c r="C251" s="100">
        <f>IF(OR(Fact_Administrativa[[#This Row], [Año]]="",Fact_Administrativa[[#This Row], [Mes]]=""),"",DATE(A251,MATCH(B251,{"enero","febrero","marzo","abril","mayo","junio","julio","agosto","septiembre","octubre","noviembre","diciembre"},0)+1,0))</f>
        <v>45565</v>
      </c>
      <c r="D251" t="s">
        <v>41</v>
      </c>
      <c r="E251" t="str">
        <f>+IFERROR(VLOOKUP(Fact_Administrativa[[#This Row], [Concepto Anterior]],Conceptos_Administrativa[#All],5,0),"")</f>
        <v>Facturas Procesadas por Marca</v>
      </c>
      <c r="F251" t="str">
        <f ca="1">+IFERROR(VLOOKUP(Fact_Administrativa[[#This Row], [Concepto Anterior]],Conceptos_Administrativa[#All],7,0),"")</f>
        <v/>
      </c>
      <c r="G251" t="s">
        <v>51</v>
      </c>
      <c r="H251" t="s">
        <v>172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93">
        <v>1058</v>
      </c>
    </row>
    <row r="252" spans="1:11" ht="18.75" customHeight="1" x14ac:dyDescent="0.35">
      <c r="A252" s="93">
        <v>2024</v>
      </c>
      <c r="B252" t="s">
        <v>181</v>
      </c>
      <c r="C252" s="100">
        <f>IF(OR(Fact_Administrativa[[#This Row], [Año]]="",Fact_Administrativa[[#This Row], [Mes]]=""),"",DATE(A252,MATCH(B252,{"enero","febrero","marzo","abril","mayo","junio","julio","agosto","septiembre","octubre","noviembre","diciembre"},0)+1,0))</f>
        <v>45565</v>
      </c>
      <c r="D252" t="s">
        <v>41</v>
      </c>
      <c r="E252" t="str">
        <f>+IFERROR(VLOOKUP(Fact_Administrativa[[#This Row], [Concepto Anterior]],Conceptos_Administrativa[#All],5,0),"")</f>
        <v>Facturas Procesadas por Marca</v>
      </c>
      <c r="F252" t="str">
        <f ca="1">+IFERROR(VLOOKUP(Fact_Administrativa[[#This Row], [Concepto Anterior]],Conceptos_Administrativa[#All],7,0),"")</f>
        <v/>
      </c>
      <c r="G252" t="s">
        <v>52</v>
      </c>
      <c r="H252" t="s">
        <v>172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93">
        <v>519</v>
      </c>
    </row>
    <row r="253" spans="1:11" ht="18.75" customHeight="1" x14ac:dyDescent="0.35">
      <c r="A253" s="93">
        <v>2024</v>
      </c>
      <c r="B253" t="s">
        <v>181</v>
      </c>
      <c r="C253" s="100">
        <f>IF(OR(Fact_Administrativa[[#This Row], [Año]]="",Fact_Administrativa[[#This Row], [Mes]]=""),"",DATE(A253,MATCH(B253,{"enero","febrero","marzo","abril","mayo","junio","julio","agosto","septiembre","octubre","noviembre","diciembre"},0)+1,0))</f>
        <v>45565</v>
      </c>
      <c r="D253" t="s">
        <v>41</v>
      </c>
      <c r="E253" t="str">
        <f>+IFERROR(VLOOKUP(Fact_Administrativa[[#This Row], [Concepto Anterior]],Conceptos_Administrativa[#All],5,0),"")</f>
        <v>Facturas Procesadas por Marca</v>
      </c>
      <c r="F253" t="str">
        <f ca="1">+IFERROR(VLOOKUP(Fact_Administrativa[[#This Row], [Concepto Anterior]],Conceptos_Administrativa[#All],7,0),"")</f>
        <v/>
      </c>
      <c r="G253" t="s">
        <v>53</v>
      </c>
      <c r="H253" t="s">
        <v>172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93">
        <v>241</v>
      </c>
    </row>
    <row r="254" spans="1:11" ht="18.75" customHeight="1" x14ac:dyDescent="0.35">
      <c r="A254" s="93">
        <v>2024</v>
      </c>
      <c r="B254" t="s">
        <v>181</v>
      </c>
      <c r="C254" s="100">
        <f>IF(OR(Fact_Administrativa[[#This Row], [Año]]="",Fact_Administrativa[[#This Row], [Mes]]=""),"",DATE(A254,MATCH(B254,{"enero","febrero","marzo","abril","mayo","junio","julio","agosto","septiembre","octubre","noviembre","diciembre"},0)+1,0))</f>
        <v>45565</v>
      </c>
      <c r="D254" t="s">
        <v>41</v>
      </c>
      <c r="E254" t="str">
        <f>+IFERROR(VLOOKUP(Fact_Administrativa[[#This Row], [Concepto Anterior]],Conceptos_Administrativa[#All],5,0),"")</f>
        <v>Facturas Procesadas por Marca</v>
      </c>
      <c r="F254" t="str">
        <f ca="1">+IFERROR(VLOOKUP(Fact_Administrativa[[#This Row], [Concepto Anterior]],Conceptos_Administrativa[#All],7,0),"")</f>
        <v/>
      </c>
      <c r="G254" t="s">
        <v>54</v>
      </c>
      <c r="H254" t="s">
        <v>172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93">
        <v>16</v>
      </c>
    </row>
    <row r="255" spans="1:11" ht="18.75" customHeight="1" x14ac:dyDescent="0.35">
      <c r="A255" s="93">
        <v>2024</v>
      </c>
      <c r="B255" t="s">
        <v>181</v>
      </c>
      <c r="C255" s="100">
        <f>IF(OR(Fact_Administrativa[[#This Row], [Año]]="",Fact_Administrativa[[#This Row], [Mes]]=""),"",DATE(A255,MATCH(B255,{"enero","febrero","marzo","abril","mayo","junio","julio","agosto","septiembre","octubre","noviembre","diciembre"},0)+1,0))</f>
        <v>45565</v>
      </c>
      <c r="D255" t="s">
        <v>55</v>
      </c>
      <c r="E255" t="str">
        <f>+IFERROR(VLOOKUP(Fact_Administrativa[[#This Row], [Concepto Anterior]],Conceptos_Administrativa[#All],5,0),"")</f>
        <v>Facturas Procesadas por Marca</v>
      </c>
      <c r="F255" t="str">
        <f ca="1">+IFERROR(VLOOKUP(Fact_Administrativa[[#This Row], [Concepto Anterior]],Conceptos_Administrativa[#All],7,0),"")</f>
        <v/>
      </c>
      <c r="G255" t="s">
        <v>56</v>
      </c>
      <c r="H255" t="s">
        <v>172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93">
        <v>114</v>
      </c>
    </row>
    <row r="256" spans="1:11" ht="18.75" customHeight="1" x14ac:dyDescent="0.35">
      <c r="A256" s="93">
        <v>2024</v>
      </c>
      <c r="B256" t="s">
        <v>181</v>
      </c>
      <c r="C256" s="100">
        <f>IF(OR(Fact_Administrativa[[#This Row], [Año]]="",Fact_Administrativa[[#This Row], [Mes]]=""),"",DATE(A256,MATCH(B256,{"enero","febrero","marzo","abril","mayo","junio","julio","agosto","septiembre","octubre","noviembre","diciembre"},0)+1,0))</f>
        <v>45565</v>
      </c>
      <c r="D256" t="s">
        <v>57</v>
      </c>
      <c r="E256" t="str">
        <f>+IFERROR(VLOOKUP(Fact_Administrativa[[#This Row], [Concepto Anterior]],Conceptos_Administrativa[#All],5,0),"")</f>
        <v>Facturas Procesadas por Marca</v>
      </c>
      <c r="F256" t="str">
        <f ca="1">+IFERROR(VLOOKUP(Fact_Administrativa[[#This Row], [Concepto Anterior]],Conceptos_Administrativa[#All],7,0),"")</f>
        <v/>
      </c>
      <c r="G256" t="s">
        <v>58</v>
      </c>
      <c r="H256" t="s">
        <v>172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93">
        <v>71</v>
      </c>
    </row>
    <row r="257" spans="1:11" ht="18.75" customHeight="1" x14ac:dyDescent="0.35">
      <c r="A257" s="93">
        <v>2024</v>
      </c>
      <c r="B257" t="s">
        <v>181</v>
      </c>
      <c r="C257" s="100">
        <f>IF(OR(Fact_Administrativa[[#This Row], [Año]]="",Fact_Administrativa[[#This Row], [Mes]]=""),"",DATE(A257,MATCH(B257,{"enero","febrero","marzo","abril","mayo","junio","julio","agosto","septiembre","octubre","noviembre","diciembre"},0)+1,0))</f>
        <v>45565</v>
      </c>
      <c r="D257" t="s">
        <v>28</v>
      </c>
      <c r="E257" t="str">
        <f>+IFERROR(VLOOKUP(Fact_Administrativa[[#This Row], [Concepto Anterior]],Conceptos_Administrativa[#All],5,0),"")</f>
        <v xml:space="preserve">Ahorro reformas tiendas </v>
      </c>
      <c r="F257" t="str">
        <f ca="1">+IFERROR(VLOOKUP(Fact_Administrativa[[#This Row], [Concepto Anterior]],Conceptos_Administrativa[#All],7,0),"")</f>
        <v/>
      </c>
      <c r="G257" t="s">
        <v>172</v>
      </c>
      <c r="H257" t="s">
        <v>172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93">
        <v>8923150</v>
      </c>
    </row>
    <row r="258" spans="1:11" ht="18.75" customHeight="1" x14ac:dyDescent="0.35">
      <c r="A258" s="93">
        <v>2024</v>
      </c>
      <c r="B258" t="s">
        <v>181</v>
      </c>
      <c r="C258" s="100">
        <f>IF(OR(Fact_Administrativa[[#This Row], [Año]]="",Fact_Administrativa[[#This Row], [Mes]]=""),"",DATE(A258,MATCH(B258,{"enero","febrero","marzo","abril","mayo","junio","julio","agosto","septiembre","octubre","noviembre","diciembre"},0)+1,0))</f>
        <v>45565</v>
      </c>
      <c r="D258" t="s">
        <v>29</v>
      </c>
      <c r="E258" t="str">
        <f>+IFERROR(VLOOKUP(Fact_Administrativa[[#This Row], [Concepto Anterior]],Conceptos_Administrativa[#All],5,0),"")</f>
        <v>Recuperaciones Siniestros</v>
      </c>
      <c r="F258" t="str">
        <f ca="1">+IFERROR(VLOOKUP(Fact_Administrativa[[#This Row], [Concepto Anterior]],Conceptos_Administrativa[#All],7,0),"")</f>
        <v/>
      </c>
      <c r="G258" t="s">
        <v>172</v>
      </c>
      <c r="H258" t="s">
        <v>172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93">
        <v>11475568</v>
      </c>
    </row>
    <row r="259" spans="1:11" ht="18.75" customHeight="1" x14ac:dyDescent="0.35">
      <c r="A259" s="93">
        <v>2024</v>
      </c>
      <c r="B259" t="s">
        <v>181</v>
      </c>
      <c r="C259" s="100">
        <f>IF(OR(Fact_Administrativa[[#This Row], [Año]]="",Fact_Administrativa[[#This Row], [Mes]]=""),"",DATE(A259,MATCH(B259,{"enero","febrero","marzo","abril","mayo","junio","julio","agosto","septiembre","octubre","noviembre","diciembre"},0)+1,0))</f>
        <v>45565</v>
      </c>
      <c r="D259" t="s">
        <v>30</v>
      </c>
      <c r="E259" t="str">
        <f>+IFERROR(VLOOKUP(Fact_Administrativa[[#This Row], [Concepto Anterior]],Conceptos_Administrativa[#All],5,0),"")</f>
        <v>Gestión de Polizas</v>
      </c>
      <c r="F259" t="str">
        <f ca="1">+IFERROR(VLOOKUP(Fact_Administrativa[[#This Row], [Concepto Anterior]],Conceptos_Administrativa[#All],7,0),"")</f>
        <v/>
      </c>
      <c r="G259" t="s">
        <v>172</v>
      </c>
      <c r="H259" t="s">
        <v>172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93">
        <v>0</v>
      </c>
    </row>
    <row r="260" spans="1:11" ht="18.75" customHeight="1" x14ac:dyDescent="0.35">
      <c r="A260" s="93">
        <v>2024</v>
      </c>
      <c r="B260" t="s">
        <v>181</v>
      </c>
      <c r="C260" s="100">
        <f>IF(OR(Fact_Administrativa[[#This Row], [Año]]="",Fact_Administrativa[[#This Row], [Mes]]=""),"",DATE(A260,MATCH(B260,{"enero","febrero","marzo","abril","mayo","junio","julio","agosto","septiembre","octubre","noviembre","diciembre"},0)+1,0))</f>
        <v>45565</v>
      </c>
      <c r="D260" t="s">
        <v>32</v>
      </c>
      <c r="E260" t="str">
        <f>+IFERROR(VLOOKUP(Fact_Administrativa[[#This Row], [Concepto Anterior]],Conceptos_Administrativa[#All],5,0),"")</f>
        <v>Tickets cerrados</v>
      </c>
      <c r="F260" t="str">
        <f ca="1">+IFERROR(VLOOKUP(Fact_Administrativa[[#This Row], [Concepto Anterior]],Conceptos_Administrativa[#All],7,0),"")</f>
        <v/>
      </c>
      <c r="G260" t="s">
        <v>172</v>
      </c>
      <c r="H260" t="s">
        <v>172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93">
        <v>604</v>
      </c>
    </row>
    <row r="261" spans="1:11" ht="18.75" customHeight="1" x14ac:dyDescent="0.35">
      <c r="A261" s="93">
        <v>2024</v>
      </c>
      <c r="B261" t="s">
        <v>181</v>
      </c>
      <c r="C261" s="100">
        <f>IF(OR(Fact_Administrativa[[#This Row], [Año]]="",Fact_Administrativa[[#This Row], [Mes]]=""),"",DATE(A261,MATCH(B261,{"enero","febrero","marzo","abril","mayo","junio","julio","agosto","septiembre","octubre","noviembre","diciembre"},0)+1,0))</f>
        <v>45565</v>
      </c>
      <c r="D261" t="s">
        <v>210</v>
      </c>
      <c r="E261" t="str">
        <f>+IFERROR(VLOOKUP(Fact_Administrativa[[#This Row], [Concepto Anterior]],Conceptos_Administrativa[#All],5,0),"")</f>
        <v>Tickets proceso</v>
      </c>
      <c r="F261" t="str">
        <f ca="1">+IFERROR(VLOOKUP(Fact_Administrativa[[#This Row], [Concepto Anterior]],Conceptos_Administrativa[#All],7,0),"")</f>
        <v/>
      </c>
      <c r="G261" t="s">
        <v>172</v>
      </c>
      <c r="H261" t="s">
        <v>172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93">
        <v>231</v>
      </c>
    </row>
    <row r="262" spans="1:11" ht="18.75" customHeight="1" x14ac:dyDescent="0.35">
      <c r="A262" s="93">
        <v>2024</v>
      </c>
      <c r="B262" t="s">
        <v>181</v>
      </c>
      <c r="C262" s="100">
        <f>IF(OR(Fact_Administrativa[[#This Row], [Año]]="",Fact_Administrativa[[#This Row], [Mes]]=""),"",DATE(A262,MATCH(B262,{"enero","febrero","marzo","abril","mayo","junio","julio","agosto","septiembre","octubre","noviembre","diciembre"},0)+1,0))</f>
        <v>45565</v>
      </c>
      <c r="D262" t="s">
        <v>31</v>
      </c>
      <c r="E262" t="str">
        <f>+IFERROR(VLOOKUP(Fact_Administrativa[[#This Row], [Concepto Anterior]],Conceptos_Administrativa[#All],5,0),"")</f>
        <v>Tickets recibidos</v>
      </c>
      <c r="F262" t="str">
        <f ca="1">+IFERROR(VLOOKUP(Fact_Administrativa[[#This Row], [Concepto Anterior]],Conceptos_Administrativa[#All],7,0),"")</f>
        <v/>
      </c>
      <c r="G262" t="s">
        <v>172</v>
      </c>
      <c r="H262" t="s">
        <v>172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93">
        <v>835</v>
      </c>
    </row>
    <row r="263" spans="1:11" ht="18.75" customHeight="1" x14ac:dyDescent="0.35">
      <c r="A263" s="93">
        <v>2024</v>
      </c>
      <c r="B263" t="s">
        <v>182</v>
      </c>
      <c r="C263" s="100">
        <f>IF(OR(Fact_Administrativa[[#This Row], [Año]]="",Fact_Administrativa[[#This Row], [Mes]]=""),"",DATE(A263,MATCH(B263,{"enero","febrero","marzo","abril","mayo","junio","julio","agosto","septiembre","octubre","noviembre","diciembre"},0)+1,0))</f>
        <v>45596</v>
      </c>
      <c r="D263" t="s">
        <v>27</v>
      </c>
      <c r="E263" t="str">
        <f>+IFERROR(VLOOKUP(Fact_Administrativa[[#This Row], [Concepto Anterior]],Conceptos_Administrativa[#All],5,0),"")</f>
        <v>Ahorro energía</v>
      </c>
      <c r="F263" t="str">
        <f ca="1">+IFERROR(VLOOKUP(Fact_Administrativa[[#This Row], [Concepto Anterior]],Conceptos_Administrativa[#All],7,0),"")</f>
        <v/>
      </c>
      <c r="G263" t="s">
        <v>172</v>
      </c>
      <c r="H263" t="s">
        <v>172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93">
        <v>23858082</v>
      </c>
    </row>
    <row r="264" spans="1:11" ht="18.75" customHeight="1" x14ac:dyDescent="0.35">
      <c r="A264" s="93">
        <v>2024</v>
      </c>
      <c r="B264" t="s">
        <v>182</v>
      </c>
      <c r="C264" s="100">
        <f>IF(OR(Fact_Administrativa[[#This Row], [Año]]="",Fact_Administrativa[[#This Row], [Mes]]=""),"",DATE(A264,MATCH(B264,{"enero","febrero","marzo","abril","mayo","junio","julio","agosto","septiembre","octubre","noviembre","diciembre"},0)+1,0))</f>
        <v>45596</v>
      </c>
      <c r="D264" t="s">
        <v>19</v>
      </c>
      <c r="E264" t="str">
        <f>+IFERROR(VLOOKUP(Fact_Administrativa[[#This Row], [Concepto Anterior]],Conceptos_Administrativa[#All],5,0),"")</f>
        <v>Aporte fundación</v>
      </c>
      <c r="F264" t="str">
        <f ca="1">+IFERROR(VLOOKUP(Fact_Administrativa[[#This Row], [Concepto Anterior]],Conceptos_Administrativa[#All],7,0),"")</f>
        <v/>
      </c>
      <c r="G264" t="s">
        <v>172</v>
      </c>
      <c r="H264" t="s">
        <v>172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93">
        <v>15658215</v>
      </c>
    </row>
    <row r="265" spans="1:11" ht="18.75" customHeight="1" x14ac:dyDescent="0.35">
      <c r="A265" s="93">
        <v>2024</v>
      </c>
      <c r="B265" t="s">
        <v>182</v>
      </c>
      <c r="C265" s="100">
        <f>IF(OR(Fact_Administrativa[[#This Row], [Año]]="",Fact_Administrativa[[#This Row], [Mes]]=""),"",DATE(A265,MATCH(B265,{"enero","febrero","marzo","abril","mayo","junio","julio","agosto","septiembre","octubre","noviembre","diciembre"},0)+1,0))</f>
        <v>45596</v>
      </c>
      <c r="D265" t="s">
        <v>39</v>
      </c>
      <c r="E265" t="str">
        <f>+IFERROR(VLOOKUP(Fact_Administrativa[[#This Row], [Concepto Anterior]],Conceptos_Administrativa[#All],5,0),"")</f>
        <v>Cantidad de tiendas remodeladas</v>
      </c>
      <c r="F265" t="str">
        <f ca="1">+IFERROR(VLOOKUP(Fact_Administrativa[[#This Row], [Concepto Anterior]],Conceptos_Administrativa[#All],7,0),"")</f>
        <v/>
      </c>
      <c r="G265" t="s">
        <v>172</v>
      </c>
      <c r="H265" t="s">
        <v>172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93">
        <v>1</v>
      </c>
    </row>
    <row r="266" spans="1:11" ht="18.75" customHeight="1" x14ac:dyDescent="0.35">
      <c r="A266" s="102">
        <v>2024</v>
      </c>
      <c r="B266" t="s">
        <v>182</v>
      </c>
      <c r="C266" s="100">
        <f>IF(OR(Fact_Administrativa[[#This Row], [Año]]="",Fact_Administrativa[[#This Row], [Mes]]=""),"",DATE(A266,MATCH(B266,{"enero","febrero","marzo","abril","mayo","junio","julio","agosto","septiembre","octubre","noviembre","diciembre"},0)+1,0))</f>
        <v>45596</v>
      </c>
      <c r="D266" t="s">
        <v>40</v>
      </c>
      <c r="E266" t="str">
        <f>+IFERROR(VLOOKUP(Fact_Administrativa[[#This Row], [Concepto Anterior]],Conceptos_Administrativa[#All],5,0),"")</f>
        <v xml:space="preserve">Contratos de arrendamientos </v>
      </c>
      <c r="F266" t="str">
        <f ca="1">+IFERROR(VLOOKUP(Fact_Administrativa[[#This Row], [Concepto Anterior]],Conceptos_Administrativa[#All],7,0),"")</f>
        <v/>
      </c>
      <c r="G266" t="s">
        <v>172</v>
      </c>
      <c r="H266" t="s">
        <v>172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93">
        <v>0</v>
      </c>
    </row>
    <row r="267" spans="1:11" ht="18.75" customHeight="1" x14ac:dyDescent="0.35">
      <c r="A267" s="93">
        <v>2024</v>
      </c>
      <c r="B267" t="s">
        <v>182</v>
      </c>
      <c r="C267" s="100">
        <f>IF(OR(Fact_Administrativa[[#This Row], [Año]]="",Fact_Administrativa[[#This Row], [Mes]]=""),"",DATE(A267,MATCH(B267,{"enero","febrero","marzo","abril","mayo","junio","julio","agosto","septiembre","octubre","noviembre","diciembre"},0)+1,0))</f>
        <v>45596</v>
      </c>
      <c r="D267" t="s">
        <v>25</v>
      </c>
      <c r="E267" t="str">
        <f>+IFERROR(VLOOKUP(Fact_Administrativa[[#This Row], [Concepto Anterior]],Conceptos_Administrativa[#All],5,0),"")</f>
        <v>Control Ingresos cede Dogama</v>
      </c>
      <c r="F267" t="str">
        <f ca="1">+IFERROR(VLOOKUP(Fact_Administrativa[[#This Row], [Concepto Anterior]],Conceptos_Administrativa[#All],7,0),"")</f>
        <v/>
      </c>
      <c r="G267" t="s">
        <v>172</v>
      </c>
      <c r="H267" t="s">
        <v>172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93">
        <v>18639</v>
      </c>
    </row>
    <row r="268" spans="1:11" ht="18.75" customHeight="1" x14ac:dyDescent="0.35">
      <c r="A268" s="93">
        <v>2024</v>
      </c>
      <c r="B268" t="s">
        <v>182</v>
      </c>
      <c r="C268" s="100">
        <f>IF(OR(Fact_Administrativa[[#This Row], [Año]]="",Fact_Administrativa[[#This Row], [Mes]]=""),"",DATE(A268,MATCH(B268,{"enero","febrero","marzo","abril","mayo","junio","julio","agosto","septiembre","octubre","noviembre","diciembre"},0)+1,0))</f>
        <v>45596</v>
      </c>
      <c r="D268" t="s">
        <v>34</v>
      </c>
      <c r="E268" t="str">
        <f>+IFERROR(VLOOKUP(Fact_Administrativa[[#This Row], [Concepto Anterior]],Conceptos_Administrativa[#All],5,0),"")</f>
        <v>% Tickets Cumplimiento</v>
      </c>
      <c r="F268" t="str">
        <f ca="1">+IFERROR(VLOOKUP(Fact_Administrativa[[#This Row], [Concepto Anterior]],Conceptos_Administrativa[#All],7,0),"")</f>
        <v/>
      </c>
      <c r="G268" t="s">
        <v>172</v>
      </c>
      <c r="H268" t="s">
        <v>172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92">
        <v>0.88648648648648654</v>
      </c>
    </row>
    <row r="269" spans="1:11" ht="18.75" customHeight="1" x14ac:dyDescent="0.35">
      <c r="A269" s="93">
        <v>2024</v>
      </c>
      <c r="B269" t="s">
        <v>182</v>
      </c>
      <c r="C269" s="100">
        <f>IF(OR(Fact_Administrativa[[#This Row], [Año]]="",Fact_Administrativa[[#This Row], [Mes]]=""),"",DATE(A269,MATCH(B269,{"enero","febrero","marzo","abril","mayo","junio","julio","agosto","septiembre","octubre","noviembre","diciembre"},0)+1,0))</f>
        <v>45596</v>
      </c>
      <c r="D269" t="s">
        <v>209</v>
      </c>
      <c r="E269" t="str">
        <f>+IFERROR(VLOOKUP(Fact_Administrativa[[#This Row], [Concepto Anterior]],Conceptos_Administrativa[#All],5,0),"")</f>
        <v>Emisiones CO²</v>
      </c>
      <c r="F269" t="str">
        <f ca="1">+IFERROR(VLOOKUP(Fact_Administrativa[[#This Row], [Concepto Anterior]],Conceptos_Administrativa[#All],7,0),"")</f>
        <v/>
      </c>
      <c r="G269" t="s">
        <v>172</v>
      </c>
      <c r="H269" t="s">
        <v>172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92">
        <v>25.5</v>
      </c>
    </row>
    <row r="270" spans="1:11" ht="18.75" customHeight="1" x14ac:dyDescent="0.35">
      <c r="A270" s="93">
        <v>2024</v>
      </c>
      <c r="B270" t="s">
        <v>182</v>
      </c>
      <c r="C270" s="100">
        <f>IF(OR(Fact_Administrativa[[#This Row], [Año]]="",Fact_Administrativa[[#This Row], [Mes]]=""),"",DATE(A270,MATCH(B270,{"enero","febrero","marzo","abril","mayo","junio","julio","agosto","septiembre","octubre","noviembre","diciembre"},0)+1,0))</f>
        <v>45596</v>
      </c>
      <c r="D270" t="s">
        <v>38</v>
      </c>
      <c r="E270" t="str">
        <f>+IFERROR(VLOOKUP(Fact_Administrativa[[#This Row], [Concepto Anterior]],Conceptos_Administrativa[#All],5,0),"")</f>
        <v>Facturas de arrendamientos y administración</v>
      </c>
      <c r="F270" t="str">
        <f ca="1">+IFERROR(VLOOKUP(Fact_Administrativa[[#This Row], [Concepto Anterior]],Conceptos_Administrativa[#All],7,0),"")</f>
        <v/>
      </c>
      <c r="G270" t="s">
        <v>172</v>
      </c>
      <c r="H270" t="s">
        <v>172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93">
        <v>1074</v>
      </c>
    </row>
    <row r="271" spans="1:11" ht="18.75" customHeight="1" x14ac:dyDescent="0.35">
      <c r="A271" s="93">
        <v>2024</v>
      </c>
      <c r="B271" t="s">
        <v>182</v>
      </c>
      <c r="C271" s="100">
        <f>IF(OR(Fact_Administrativa[[#This Row], [Año]]="",Fact_Administrativa[[#This Row], [Mes]]=""),"",DATE(A271,MATCH(B271,{"enero","febrero","marzo","abril","mayo","junio","julio","agosto","septiembre","octubre","noviembre","diciembre"},0)+1,0))</f>
        <v>45596</v>
      </c>
      <c r="D271" t="s">
        <v>41</v>
      </c>
      <c r="E271" t="str">
        <f>+IFERROR(VLOOKUP(Fact_Administrativa[[#This Row], [Concepto Anterior]],Conceptos_Administrativa[#All],5,0),"")</f>
        <v>Facturas Procesadas por Marca</v>
      </c>
      <c r="F271" t="str">
        <f ca="1">+IFERROR(VLOOKUP(Fact_Administrativa[[#This Row], [Concepto Anterior]],Conceptos_Administrativa[#All],7,0),"")</f>
        <v/>
      </c>
      <c r="G271" t="s">
        <v>42</v>
      </c>
      <c r="H271" t="s">
        <v>172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93">
        <v>470</v>
      </c>
    </row>
    <row r="272" spans="1:11" ht="18.75" customHeight="1" x14ac:dyDescent="0.35">
      <c r="A272" s="93">
        <v>2024</v>
      </c>
      <c r="B272" t="s">
        <v>182</v>
      </c>
      <c r="C272" s="100">
        <f>IF(OR(Fact_Administrativa[[#This Row], [Año]]="",Fact_Administrativa[[#This Row], [Mes]]=""),"",DATE(A272,MATCH(B272,{"enero","febrero","marzo","abril","mayo","junio","julio","agosto","septiembre","octubre","noviembre","diciembre"},0)+1,0))</f>
        <v>45596</v>
      </c>
      <c r="D272" t="s">
        <v>41</v>
      </c>
      <c r="E272" t="str">
        <f>+IFERROR(VLOOKUP(Fact_Administrativa[[#This Row], [Concepto Anterior]],Conceptos_Administrativa[#All],5,0),"")</f>
        <v>Facturas Procesadas por Marca</v>
      </c>
      <c r="F272" t="str">
        <f ca="1">+IFERROR(VLOOKUP(Fact_Administrativa[[#This Row], [Concepto Anterior]],Conceptos_Administrativa[#All],7,0),"")</f>
        <v/>
      </c>
      <c r="G272" t="s">
        <v>43</v>
      </c>
      <c r="H272" t="s">
        <v>172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93">
        <v>1227</v>
      </c>
    </row>
    <row r="273" spans="1:11" ht="18.75" customHeight="1" x14ac:dyDescent="0.35">
      <c r="A273" s="93">
        <v>2024</v>
      </c>
      <c r="B273" t="s">
        <v>182</v>
      </c>
      <c r="C273" s="100">
        <f>IF(OR(Fact_Administrativa[[#This Row], [Año]]="",Fact_Administrativa[[#This Row], [Mes]]=""),"",DATE(A273,MATCH(B273,{"enero","febrero","marzo","abril","mayo","junio","julio","agosto","septiembre","octubre","noviembre","diciembre"},0)+1,0))</f>
        <v>45596</v>
      </c>
      <c r="D273" t="s">
        <v>41</v>
      </c>
      <c r="E273" t="str">
        <f>+IFERROR(VLOOKUP(Fact_Administrativa[[#This Row], [Concepto Anterior]],Conceptos_Administrativa[#All],5,0),"")</f>
        <v>Facturas Procesadas por Marca</v>
      </c>
      <c r="F273" t="str">
        <f ca="1">+IFERROR(VLOOKUP(Fact_Administrativa[[#This Row], [Concepto Anterior]],Conceptos_Administrativa[#All],7,0),"")</f>
        <v/>
      </c>
      <c r="G273" t="s">
        <v>44</v>
      </c>
      <c r="H273" t="s">
        <v>172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93">
        <v>1220</v>
      </c>
    </row>
    <row r="274" spans="1:11" ht="18.75" customHeight="1" x14ac:dyDescent="0.35">
      <c r="A274" s="93">
        <v>2024</v>
      </c>
      <c r="B274" t="s">
        <v>182</v>
      </c>
      <c r="C274" s="100">
        <f>IF(OR(Fact_Administrativa[[#This Row], [Año]]="",Fact_Administrativa[[#This Row], [Mes]]=""),"",DATE(A274,MATCH(B274,{"enero","febrero","marzo","abril","mayo","junio","julio","agosto","septiembre","octubre","noviembre","diciembre"},0)+1,0))</f>
        <v>45596</v>
      </c>
      <c r="D274" t="s">
        <v>41</v>
      </c>
      <c r="E274" t="str">
        <f>+IFERROR(VLOOKUP(Fact_Administrativa[[#This Row], [Concepto Anterior]],Conceptos_Administrativa[#All],5,0),"")</f>
        <v>Facturas Procesadas por Marca</v>
      </c>
      <c r="F274" t="str">
        <f ca="1">+IFERROR(VLOOKUP(Fact_Administrativa[[#This Row], [Concepto Anterior]],Conceptos_Administrativa[#All],7,0),"")</f>
        <v/>
      </c>
      <c r="G274" t="s">
        <v>45</v>
      </c>
      <c r="H274" t="s">
        <v>172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93">
        <v>680</v>
      </c>
    </row>
    <row r="275" spans="1:11" ht="18.75" customHeight="1" x14ac:dyDescent="0.35">
      <c r="A275" s="93">
        <v>2024</v>
      </c>
      <c r="B275" t="s">
        <v>182</v>
      </c>
      <c r="C275" s="100">
        <f>IF(OR(Fact_Administrativa[[#This Row], [Año]]="",Fact_Administrativa[[#This Row], [Mes]]=""),"",DATE(A275,MATCH(B275,{"enero","febrero","marzo","abril","mayo","junio","julio","agosto","septiembre","octubre","noviembre","diciembre"},0)+1,0))</f>
        <v>45596</v>
      </c>
      <c r="D275" t="s">
        <v>41</v>
      </c>
      <c r="E275" t="str">
        <f>+IFERROR(VLOOKUP(Fact_Administrativa[[#This Row], [Concepto Anterior]],Conceptos_Administrativa[#All],5,0),"")</f>
        <v>Facturas Procesadas por Marca</v>
      </c>
      <c r="F275" t="str">
        <f ca="1">+IFERROR(VLOOKUP(Fact_Administrativa[[#This Row], [Concepto Anterior]],Conceptos_Administrativa[#All],7,0),"")</f>
        <v/>
      </c>
      <c r="G275" t="s">
        <v>46</v>
      </c>
      <c r="H275" t="s">
        <v>172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93">
        <v>231</v>
      </c>
    </row>
    <row r="276" spans="1:11" ht="18.75" customHeight="1" x14ac:dyDescent="0.35">
      <c r="A276" s="93">
        <v>2024</v>
      </c>
      <c r="B276" t="s">
        <v>182</v>
      </c>
      <c r="C276" s="100">
        <f>IF(OR(Fact_Administrativa[[#This Row], [Año]]="",Fact_Administrativa[[#This Row], [Mes]]=""),"",DATE(A276,MATCH(B276,{"enero","febrero","marzo","abril","mayo","junio","julio","agosto","septiembre","octubre","noviembre","diciembre"},0)+1,0))</f>
        <v>45596</v>
      </c>
      <c r="D276" t="s">
        <v>41</v>
      </c>
      <c r="E276" t="str">
        <f>+IFERROR(VLOOKUP(Fact_Administrativa[[#This Row], [Concepto Anterior]],Conceptos_Administrativa[#All],5,0),"")</f>
        <v>Facturas Procesadas por Marca</v>
      </c>
      <c r="F276" t="str">
        <f ca="1">+IFERROR(VLOOKUP(Fact_Administrativa[[#This Row], [Concepto Anterior]],Conceptos_Administrativa[#All],7,0),"")</f>
        <v/>
      </c>
      <c r="G276" t="s">
        <v>47</v>
      </c>
      <c r="H276" t="s">
        <v>172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93">
        <v>45</v>
      </c>
    </row>
    <row r="277" spans="1:11" ht="18.75" customHeight="1" x14ac:dyDescent="0.35">
      <c r="A277" s="93">
        <v>2024</v>
      </c>
      <c r="B277" t="s">
        <v>182</v>
      </c>
      <c r="C277" s="100">
        <f>IF(OR(Fact_Administrativa[[#This Row], [Año]]="",Fact_Administrativa[[#This Row], [Mes]]=""),"",DATE(A277,MATCH(B277,{"enero","febrero","marzo","abril","mayo","junio","julio","agosto","septiembre","octubre","noviembre","diciembre"},0)+1,0))</f>
        <v>45596</v>
      </c>
      <c r="D277" t="s">
        <v>41</v>
      </c>
      <c r="E277" t="str">
        <f>+IFERROR(VLOOKUP(Fact_Administrativa[[#This Row], [Concepto Anterior]],Conceptos_Administrativa[#All],5,0),"")</f>
        <v>Facturas Procesadas por Marca</v>
      </c>
      <c r="F277" t="str">
        <f ca="1">+IFERROR(VLOOKUP(Fact_Administrativa[[#This Row], [Concepto Anterior]],Conceptos_Administrativa[#All],7,0),"")</f>
        <v/>
      </c>
      <c r="G277" t="s">
        <v>48</v>
      </c>
      <c r="H277" t="s">
        <v>172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93">
        <v>2512</v>
      </c>
    </row>
    <row r="278" spans="1:11" ht="18.75" customHeight="1" x14ac:dyDescent="0.35">
      <c r="A278" s="93">
        <v>2024</v>
      </c>
      <c r="B278" t="s">
        <v>182</v>
      </c>
      <c r="C278" s="100">
        <f>IF(OR(Fact_Administrativa[[#This Row], [Año]]="",Fact_Administrativa[[#This Row], [Mes]]=""),"",DATE(A278,MATCH(B278,{"enero","febrero","marzo","abril","mayo","junio","julio","agosto","septiembre","octubre","noviembre","diciembre"},0)+1,0))</f>
        <v>45596</v>
      </c>
      <c r="D278" t="s">
        <v>41</v>
      </c>
      <c r="E278" t="str">
        <f>+IFERROR(VLOOKUP(Fact_Administrativa[[#This Row], [Concepto Anterior]],Conceptos_Administrativa[#All],5,0),"")</f>
        <v>Facturas Procesadas por Marca</v>
      </c>
      <c r="F278" t="str">
        <f ca="1">+IFERROR(VLOOKUP(Fact_Administrativa[[#This Row], [Concepto Anterior]],Conceptos_Administrativa[#All],7,0),"")</f>
        <v/>
      </c>
      <c r="G278" t="s">
        <v>49</v>
      </c>
      <c r="H278" t="s">
        <v>172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93">
        <v>1103</v>
      </c>
    </row>
    <row r="279" spans="1:11" ht="18.75" customHeight="1" x14ac:dyDescent="0.35">
      <c r="A279" s="93">
        <v>2024</v>
      </c>
      <c r="B279" t="s">
        <v>182</v>
      </c>
      <c r="C279" s="100">
        <f>IF(OR(Fact_Administrativa[[#This Row], [Año]]="",Fact_Administrativa[[#This Row], [Mes]]=""),"",DATE(A279,MATCH(B279,{"enero","febrero","marzo","abril","mayo","junio","julio","agosto","septiembre","octubre","noviembre","diciembre"},0)+1,0))</f>
        <v>45596</v>
      </c>
      <c r="D279" t="s">
        <v>41</v>
      </c>
      <c r="E279" t="str">
        <f>+IFERROR(VLOOKUP(Fact_Administrativa[[#This Row], [Concepto Anterior]],Conceptos_Administrativa[#All],5,0),"")</f>
        <v>Facturas Procesadas por Marca</v>
      </c>
      <c r="F279" t="str">
        <f ca="1">+IFERROR(VLOOKUP(Fact_Administrativa[[#This Row], [Concepto Anterior]],Conceptos_Administrativa[#All],7,0),"")</f>
        <v/>
      </c>
      <c r="G279" t="s">
        <v>50</v>
      </c>
      <c r="H279" t="s">
        <v>172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93">
        <v>1532</v>
      </c>
    </row>
    <row r="280" spans="1:11" ht="18.75" customHeight="1" x14ac:dyDescent="0.35">
      <c r="A280" s="93">
        <v>2024</v>
      </c>
      <c r="B280" t="s">
        <v>182</v>
      </c>
      <c r="C280" s="100">
        <f>IF(OR(Fact_Administrativa[[#This Row], [Año]]="",Fact_Administrativa[[#This Row], [Mes]]=""),"",DATE(A280,MATCH(B280,{"enero","febrero","marzo","abril","mayo","junio","julio","agosto","septiembre","octubre","noviembre","diciembre"},0)+1,0))</f>
        <v>45596</v>
      </c>
      <c r="D280" t="s">
        <v>41</v>
      </c>
      <c r="E280" t="str">
        <f>+IFERROR(VLOOKUP(Fact_Administrativa[[#This Row], [Concepto Anterior]],Conceptos_Administrativa[#All],5,0),"")</f>
        <v>Facturas Procesadas por Marca</v>
      </c>
      <c r="F280" t="str">
        <f ca="1">+IFERROR(VLOOKUP(Fact_Administrativa[[#This Row], [Concepto Anterior]],Conceptos_Administrativa[#All],7,0),"")</f>
        <v/>
      </c>
      <c r="G280" t="s">
        <v>51</v>
      </c>
      <c r="H280" t="s">
        <v>172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93">
        <v>998</v>
      </c>
    </row>
    <row r="281" spans="1:11" ht="18.75" customHeight="1" x14ac:dyDescent="0.35">
      <c r="A281" s="93">
        <v>2024</v>
      </c>
      <c r="B281" t="s">
        <v>182</v>
      </c>
      <c r="C281" s="100">
        <f>IF(OR(Fact_Administrativa[[#This Row], [Año]]="",Fact_Administrativa[[#This Row], [Mes]]=""),"",DATE(A281,MATCH(B281,{"enero","febrero","marzo","abril","mayo","junio","julio","agosto","septiembre","octubre","noviembre","diciembre"},0)+1,0))</f>
        <v>45596</v>
      </c>
      <c r="D281" t="s">
        <v>41</v>
      </c>
      <c r="E281" t="str">
        <f>+IFERROR(VLOOKUP(Fact_Administrativa[[#This Row], [Concepto Anterior]],Conceptos_Administrativa[#All],5,0),"")</f>
        <v>Facturas Procesadas por Marca</v>
      </c>
      <c r="F281" t="str">
        <f ca="1">+IFERROR(VLOOKUP(Fact_Administrativa[[#This Row], [Concepto Anterior]],Conceptos_Administrativa[#All],7,0),"")</f>
        <v/>
      </c>
      <c r="G281" t="s">
        <v>52</v>
      </c>
      <c r="H281" t="s">
        <v>172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93">
        <v>637</v>
      </c>
    </row>
    <row r="282" spans="1:11" ht="18.75" customHeight="1" x14ac:dyDescent="0.35">
      <c r="A282" s="93">
        <v>2024</v>
      </c>
      <c r="B282" t="s">
        <v>182</v>
      </c>
      <c r="C282" s="100">
        <f>IF(OR(Fact_Administrativa[[#This Row], [Año]]="",Fact_Administrativa[[#This Row], [Mes]]=""),"",DATE(A282,MATCH(B282,{"enero","febrero","marzo","abril","mayo","junio","julio","agosto","septiembre","octubre","noviembre","diciembre"},0)+1,0))</f>
        <v>45596</v>
      </c>
      <c r="D282" t="s">
        <v>41</v>
      </c>
      <c r="E282" t="str">
        <f>+IFERROR(VLOOKUP(Fact_Administrativa[[#This Row], [Concepto Anterior]],Conceptos_Administrativa[#All],5,0),"")</f>
        <v>Facturas Procesadas por Marca</v>
      </c>
      <c r="F282" t="str">
        <f ca="1">+IFERROR(VLOOKUP(Fact_Administrativa[[#This Row], [Concepto Anterior]],Conceptos_Administrativa[#All],7,0),"")</f>
        <v/>
      </c>
      <c r="G282" t="s">
        <v>53</v>
      </c>
      <c r="H282" t="s">
        <v>172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93">
        <v>378</v>
      </c>
    </row>
    <row r="283" spans="1:11" ht="18.75" customHeight="1" x14ac:dyDescent="0.35">
      <c r="A283" s="93">
        <v>2024</v>
      </c>
      <c r="B283" t="s">
        <v>182</v>
      </c>
      <c r="C283" s="100">
        <f>IF(OR(Fact_Administrativa[[#This Row], [Año]]="",Fact_Administrativa[[#This Row], [Mes]]=""),"",DATE(A283,MATCH(B283,{"enero","febrero","marzo","abril","mayo","junio","julio","agosto","septiembre","octubre","noviembre","diciembre"},0)+1,0))</f>
        <v>45596</v>
      </c>
      <c r="D283" t="s">
        <v>41</v>
      </c>
      <c r="E283" t="str">
        <f>+IFERROR(VLOOKUP(Fact_Administrativa[[#This Row], [Concepto Anterior]],Conceptos_Administrativa[#All],5,0),"")</f>
        <v>Facturas Procesadas por Marca</v>
      </c>
      <c r="F283" t="str">
        <f ca="1">+IFERROR(VLOOKUP(Fact_Administrativa[[#This Row], [Concepto Anterior]],Conceptos_Administrativa[#All],7,0),"")</f>
        <v/>
      </c>
      <c r="G283" t="s">
        <v>54</v>
      </c>
      <c r="H283" t="s">
        <v>172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93">
        <v>9</v>
      </c>
    </row>
    <row r="284" spans="1:11" ht="18.75" customHeight="1" x14ac:dyDescent="0.35">
      <c r="A284" s="93">
        <v>2024</v>
      </c>
      <c r="B284" t="s">
        <v>182</v>
      </c>
      <c r="C284" s="100">
        <f>IF(OR(Fact_Administrativa[[#This Row], [Año]]="",Fact_Administrativa[[#This Row], [Mes]]=""),"",DATE(A284,MATCH(B284,{"enero","febrero","marzo","abril","mayo","junio","julio","agosto","septiembre","octubre","noviembre","diciembre"},0)+1,0))</f>
        <v>45596</v>
      </c>
      <c r="D284" t="s">
        <v>55</v>
      </c>
      <c r="E284" t="str">
        <f>+IFERROR(VLOOKUP(Fact_Administrativa[[#This Row], [Concepto Anterior]],Conceptos_Administrativa[#All],5,0),"")</f>
        <v>Facturas Procesadas por Marca</v>
      </c>
      <c r="F284" t="str">
        <f ca="1">+IFERROR(VLOOKUP(Fact_Administrativa[[#This Row], [Concepto Anterior]],Conceptos_Administrativa[#All],7,0),"")</f>
        <v/>
      </c>
      <c r="G284" t="s">
        <v>56</v>
      </c>
      <c r="H284" t="s">
        <v>172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93">
        <v>102</v>
      </c>
    </row>
    <row r="285" spans="1:11" ht="18.75" customHeight="1" x14ac:dyDescent="0.35">
      <c r="A285" s="93">
        <v>2024</v>
      </c>
      <c r="B285" t="s">
        <v>182</v>
      </c>
      <c r="C285" s="100">
        <f>IF(OR(Fact_Administrativa[[#This Row], [Año]]="",Fact_Administrativa[[#This Row], [Mes]]=""),"",DATE(A285,MATCH(B285,{"enero","febrero","marzo","abril","mayo","junio","julio","agosto","septiembre","octubre","noviembre","diciembre"},0)+1,0))</f>
        <v>45596</v>
      </c>
      <c r="D285" t="s">
        <v>57</v>
      </c>
      <c r="E285" t="str">
        <f>+IFERROR(VLOOKUP(Fact_Administrativa[[#This Row], [Concepto Anterior]],Conceptos_Administrativa[#All],5,0),"")</f>
        <v>Facturas Procesadas por Marca</v>
      </c>
      <c r="F285" t="str">
        <f ca="1">+IFERROR(VLOOKUP(Fact_Administrativa[[#This Row], [Concepto Anterior]],Conceptos_Administrativa[#All],7,0),"")</f>
        <v/>
      </c>
      <c r="G285" t="s">
        <v>58</v>
      </c>
      <c r="H285" t="s">
        <v>172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93">
        <v>106</v>
      </c>
    </row>
    <row r="286" spans="1:11" ht="18.75" customHeight="1" x14ac:dyDescent="0.35">
      <c r="A286" s="93">
        <v>2024</v>
      </c>
      <c r="B286" t="s">
        <v>182</v>
      </c>
      <c r="C286" s="100">
        <f>IF(OR(Fact_Administrativa[[#This Row], [Año]]="",Fact_Administrativa[[#This Row], [Mes]]=""),"",DATE(A286,MATCH(B286,{"enero","febrero","marzo","abril","mayo","junio","julio","agosto","septiembre","octubre","noviembre","diciembre"},0)+1,0))</f>
        <v>45596</v>
      </c>
      <c r="D286" t="s">
        <v>28</v>
      </c>
      <c r="E286" t="str">
        <f>+IFERROR(VLOOKUP(Fact_Administrativa[[#This Row], [Concepto Anterior]],Conceptos_Administrativa[#All],5,0),"")</f>
        <v xml:space="preserve">Ahorro reformas tiendas </v>
      </c>
      <c r="F286" t="str">
        <f ca="1">+IFERROR(VLOOKUP(Fact_Administrativa[[#This Row], [Concepto Anterior]],Conceptos_Administrativa[#All],7,0),"")</f>
        <v/>
      </c>
      <c r="G286" t="s">
        <v>172</v>
      </c>
      <c r="H286" t="s">
        <v>172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93">
        <v>2600000</v>
      </c>
    </row>
    <row r="287" spans="1:11" ht="18.75" customHeight="1" x14ac:dyDescent="0.35">
      <c r="A287" s="93">
        <v>2024</v>
      </c>
      <c r="B287" t="s">
        <v>182</v>
      </c>
      <c r="C287" s="100">
        <f>IF(OR(Fact_Administrativa[[#This Row], [Año]]="",Fact_Administrativa[[#This Row], [Mes]]=""),"",DATE(A287,MATCH(B287,{"enero","febrero","marzo","abril","mayo","junio","julio","agosto","septiembre","octubre","noviembre","diciembre"},0)+1,0))</f>
        <v>45596</v>
      </c>
      <c r="D287" t="s">
        <v>29</v>
      </c>
      <c r="E287" t="str">
        <f>+IFERROR(VLOOKUP(Fact_Administrativa[[#This Row], [Concepto Anterior]],Conceptos_Administrativa[#All],5,0),"")</f>
        <v>Recuperaciones Siniestros</v>
      </c>
      <c r="F287" t="str">
        <f ca="1">+IFERROR(VLOOKUP(Fact_Administrativa[[#This Row], [Concepto Anterior]],Conceptos_Administrativa[#All],7,0),"")</f>
        <v/>
      </c>
      <c r="G287" t="s">
        <v>172</v>
      </c>
      <c r="H287" t="s">
        <v>172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93">
        <v>0</v>
      </c>
    </row>
    <row r="288" spans="1:11" ht="18.75" customHeight="1" x14ac:dyDescent="0.35">
      <c r="A288" s="93">
        <v>2024</v>
      </c>
      <c r="B288" t="s">
        <v>182</v>
      </c>
      <c r="C288" s="100">
        <f>IF(OR(Fact_Administrativa[[#This Row], [Año]]="",Fact_Administrativa[[#This Row], [Mes]]=""),"",DATE(A288,MATCH(B288,{"enero","febrero","marzo","abril","mayo","junio","julio","agosto","septiembre","octubre","noviembre","diciembre"},0)+1,0))</f>
        <v>45596</v>
      </c>
      <c r="D288" t="s">
        <v>30</v>
      </c>
      <c r="E288" t="str">
        <f>+IFERROR(VLOOKUP(Fact_Administrativa[[#This Row], [Concepto Anterior]],Conceptos_Administrativa[#All],5,0),"")</f>
        <v>Gestión de Polizas</v>
      </c>
      <c r="F288" t="str">
        <f ca="1">+IFERROR(VLOOKUP(Fact_Administrativa[[#This Row], [Concepto Anterior]],Conceptos_Administrativa[#All],7,0),"")</f>
        <v/>
      </c>
      <c r="G288" t="s">
        <v>172</v>
      </c>
      <c r="H288" t="s">
        <v>172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93">
        <v>0</v>
      </c>
    </row>
    <row r="289" spans="1:11" ht="18.75" customHeight="1" x14ac:dyDescent="0.35">
      <c r="A289" s="93">
        <v>2024</v>
      </c>
      <c r="B289" t="s">
        <v>182</v>
      </c>
      <c r="C289" s="100">
        <f>IF(OR(Fact_Administrativa[[#This Row], [Año]]="",Fact_Administrativa[[#This Row], [Mes]]=""),"",DATE(A289,MATCH(B289,{"enero","febrero","marzo","abril","mayo","junio","julio","agosto","septiembre","octubre","noviembre","diciembre"},0)+1,0))</f>
        <v>45596</v>
      </c>
      <c r="D289" t="s">
        <v>32</v>
      </c>
      <c r="E289" t="str">
        <f>+IFERROR(VLOOKUP(Fact_Administrativa[[#This Row], [Concepto Anterior]],Conceptos_Administrativa[#All],5,0),"")</f>
        <v>Tickets cerrados</v>
      </c>
      <c r="F289" t="str">
        <f ca="1">+IFERROR(VLOOKUP(Fact_Administrativa[[#This Row], [Concepto Anterior]],Conceptos_Administrativa[#All],7,0),"")</f>
        <v/>
      </c>
      <c r="G289" t="s">
        <v>172</v>
      </c>
      <c r="H289" t="s">
        <v>172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93">
        <v>1804</v>
      </c>
    </row>
    <row r="290" spans="1:11" ht="18.75" customHeight="1" x14ac:dyDescent="0.35">
      <c r="A290" s="93">
        <v>2024</v>
      </c>
      <c r="B290" t="s">
        <v>182</v>
      </c>
      <c r="C290" s="100">
        <f>IF(OR(Fact_Administrativa[[#This Row], [Año]]="",Fact_Administrativa[[#This Row], [Mes]]=""),"",DATE(A290,MATCH(B290,{"enero","febrero","marzo","abril","mayo","junio","julio","agosto","septiembre","octubre","noviembre","diciembre"},0)+1,0))</f>
        <v>45596</v>
      </c>
      <c r="D290" t="s">
        <v>210</v>
      </c>
      <c r="E290" t="str">
        <f>+IFERROR(VLOOKUP(Fact_Administrativa[[#This Row], [Concepto Anterior]],Conceptos_Administrativa[#All],5,0),"")</f>
        <v>Tickets proceso</v>
      </c>
      <c r="F290" t="str">
        <f ca="1">+IFERROR(VLOOKUP(Fact_Administrativa[[#This Row], [Concepto Anterior]],Conceptos_Administrativa[#All],7,0),"")</f>
        <v/>
      </c>
      <c r="G290" t="s">
        <v>172</v>
      </c>
      <c r="H290" t="s">
        <v>172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93">
        <v>232</v>
      </c>
    </row>
    <row r="291" spans="1:11" ht="18.75" customHeight="1" x14ac:dyDescent="0.35">
      <c r="A291" s="93">
        <v>2024</v>
      </c>
      <c r="B291" t="s">
        <v>182</v>
      </c>
      <c r="C291" s="100">
        <f>IF(OR(Fact_Administrativa[[#This Row], [Año]]="",Fact_Administrativa[[#This Row], [Mes]]=""),"",DATE(A291,MATCH(B291,{"enero","febrero","marzo","abril","mayo","junio","julio","agosto","septiembre","octubre","noviembre","diciembre"},0)+1,0))</f>
        <v>45596</v>
      </c>
      <c r="D291" t="s">
        <v>31</v>
      </c>
      <c r="E291" t="str">
        <f>+IFERROR(VLOOKUP(Fact_Administrativa[[#This Row], [Concepto Anterior]],Conceptos_Administrativa[#All],5,0),"")</f>
        <v>Tickets recibidos</v>
      </c>
      <c r="F291" t="str">
        <f ca="1">+IFERROR(VLOOKUP(Fact_Administrativa[[#This Row], [Concepto Anterior]],Conceptos_Administrativa[#All],7,0),"")</f>
        <v/>
      </c>
      <c r="G291" t="s">
        <v>172</v>
      </c>
      <c r="H291" t="s">
        <v>172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93">
        <v>2035</v>
      </c>
    </row>
    <row r="292" spans="1:11" ht="18.75" customHeight="1" x14ac:dyDescent="0.35">
      <c r="A292" s="93">
        <v>2024</v>
      </c>
      <c r="B292" t="s">
        <v>183</v>
      </c>
      <c r="C292" s="100">
        <f>IF(OR(Fact_Administrativa[[#This Row], [Año]]="",Fact_Administrativa[[#This Row], [Mes]]=""),"",DATE(A292,MATCH(B292,{"enero","febrero","marzo","abril","mayo","junio","julio","agosto","septiembre","octubre","noviembre","diciembre"},0)+1,0))</f>
        <v>45626</v>
      </c>
      <c r="D292" t="s">
        <v>27</v>
      </c>
      <c r="E292" t="str">
        <f>+IFERROR(VLOOKUP(Fact_Administrativa[[#This Row], [Concepto Anterior]],Conceptos_Administrativa[#All],5,0),"")</f>
        <v>Ahorro energía</v>
      </c>
      <c r="F292" t="str">
        <f ca="1">+IFERROR(VLOOKUP(Fact_Administrativa[[#This Row], [Concepto Anterior]],Conceptos_Administrativa[#All],7,0),"")</f>
        <v/>
      </c>
      <c r="G292" t="s">
        <v>172</v>
      </c>
      <c r="H292" t="s">
        <v>172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93">
        <v>23858082</v>
      </c>
    </row>
    <row r="293" spans="1:11" ht="18.75" customHeight="1" x14ac:dyDescent="0.35">
      <c r="A293" s="93">
        <v>2024</v>
      </c>
      <c r="B293" t="s">
        <v>183</v>
      </c>
      <c r="C293" s="100">
        <f>IF(OR(Fact_Administrativa[[#This Row], [Año]]="",Fact_Administrativa[[#This Row], [Mes]]=""),"",DATE(A293,MATCH(B293,{"enero","febrero","marzo","abril","mayo","junio","julio","agosto","septiembre","octubre","noviembre","diciembre"},0)+1,0))</f>
        <v>45626</v>
      </c>
      <c r="D293" t="s">
        <v>19</v>
      </c>
      <c r="E293" t="str">
        <f>+IFERROR(VLOOKUP(Fact_Administrativa[[#This Row], [Concepto Anterior]],Conceptos_Administrativa[#All],5,0),"")</f>
        <v>Aporte fundación</v>
      </c>
      <c r="F293" t="str">
        <f ca="1">+IFERROR(VLOOKUP(Fact_Administrativa[[#This Row], [Concepto Anterior]],Conceptos_Administrativa[#All],7,0),"")</f>
        <v/>
      </c>
      <c r="G293" t="s">
        <v>172</v>
      </c>
      <c r="H293" t="s">
        <v>172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93">
        <v>63705335</v>
      </c>
    </row>
    <row r="294" spans="1:11" ht="18.75" customHeight="1" x14ac:dyDescent="0.35">
      <c r="A294" s="93">
        <v>2024</v>
      </c>
      <c r="B294" t="s">
        <v>183</v>
      </c>
      <c r="C294" s="100">
        <f>IF(OR(Fact_Administrativa[[#This Row], [Año]]="",Fact_Administrativa[[#This Row], [Mes]]=""),"",DATE(A294,MATCH(B294,{"enero","febrero","marzo","abril","mayo","junio","julio","agosto","septiembre","octubre","noviembre","diciembre"},0)+1,0))</f>
        <v>45626</v>
      </c>
      <c r="D294" t="s">
        <v>39</v>
      </c>
      <c r="E294" t="str">
        <f>+IFERROR(VLOOKUP(Fact_Administrativa[[#This Row], [Concepto Anterior]],Conceptos_Administrativa[#All],5,0),"")</f>
        <v>Cantidad de tiendas remodeladas</v>
      </c>
      <c r="F294" t="str">
        <f ca="1">+IFERROR(VLOOKUP(Fact_Administrativa[[#This Row], [Concepto Anterior]],Conceptos_Administrativa[#All],7,0),"")</f>
        <v/>
      </c>
      <c r="G294" t="s">
        <v>172</v>
      </c>
      <c r="H294" t="s">
        <v>172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93">
        <v>4</v>
      </c>
    </row>
    <row r="295" spans="1:11" ht="18.75" customHeight="1" x14ac:dyDescent="0.35">
      <c r="A295" s="93">
        <v>2024</v>
      </c>
      <c r="B295" t="s">
        <v>183</v>
      </c>
      <c r="C295" s="100">
        <f>IF(OR(Fact_Administrativa[[#This Row], [Año]]="",Fact_Administrativa[[#This Row], [Mes]]=""),"",DATE(A295,MATCH(B295,{"enero","febrero","marzo","abril","mayo","junio","julio","agosto","septiembre","octubre","noviembre","diciembre"},0)+1,0))</f>
        <v>45626</v>
      </c>
      <c r="D295" t="s">
        <v>40</v>
      </c>
      <c r="E295" t="str">
        <f>+IFERROR(VLOOKUP(Fact_Administrativa[[#This Row], [Concepto Anterior]],Conceptos_Administrativa[#All],5,0),"")</f>
        <v xml:space="preserve">Contratos de arrendamientos </v>
      </c>
      <c r="F295" t="str">
        <f ca="1">+IFERROR(VLOOKUP(Fact_Administrativa[[#This Row], [Concepto Anterior]],Conceptos_Administrativa[#All],7,0),"")</f>
        <v/>
      </c>
      <c r="G295" t="s">
        <v>172</v>
      </c>
      <c r="H295" t="s">
        <v>172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93">
        <v>373</v>
      </c>
    </row>
    <row r="296" spans="1:11" ht="18.75" customHeight="1" x14ac:dyDescent="0.35">
      <c r="A296" s="102">
        <v>2024</v>
      </c>
      <c r="B296" t="s">
        <v>183</v>
      </c>
      <c r="C296" s="100">
        <f>IF(OR(Fact_Administrativa[[#This Row], [Año]]="",Fact_Administrativa[[#This Row], [Mes]]=""),"",DATE(A296,MATCH(B296,{"enero","febrero","marzo","abril","mayo","junio","julio","agosto","septiembre","octubre","noviembre","diciembre"},0)+1,0))</f>
        <v>45626</v>
      </c>
      <c r="D296" t="s">
        <v>25</v>
      </c>
      <c r="E296" t="str">
        <f>+IFERROR(VLOOKUP(Fact_Administrativa[[#This Row], [Concepto Anterior]],Conceptos_Administrativa[#All],5,0),"")</f>
        <v>Control Ingresos cede Dogama</v>
      </c>
      <c r="F296" t="str">
        <f ca="1">+IFERROR(VLOOKUP(Fact_Administrativa[[#This Row], [Concepto Anterior]],Conceptos_Administrativa[#All],7,0),"")</f>
        <v/>
      </c>
      <c r="G296" t="s">
        <v>172</v>
      </c>
      <c r="H296" t="s">
        <v>172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93">
        <v>15981</v>
      </c>
    </row>
    <row r="297" spans="1:11" ht="18.75" customHeight="1" x14ac:dyDescent="0.35">
      <c r="A297" s="93">
        <v>2024</v>
      </c>
      <c r="B297" t="s">
        <v>183</v>
      </c>
      <c r="C297" s="100">
        <f>IF(OR(Fact_Administrativa[[#This Row], [Año]]="",Fact_Administrativa[[#This Row], [Mes]]=""),"",DATE(A297,MATCH(B297,{"enero","febrero","marzo","abril","mayo","junio","julio","agosto","septiembre","octubre","noviembre","diciembre"},0)+1,0))</f>
        <v>45626</v>
      </c>
      <c r="D297" t="s">
        <v>34</v>
      </c>
      <c r="E297" t="str">
        <f>+IFERROR(VLOOKUP(Fact_Administrativa[[#This Row], [Concepto Anterior]],Conceptos_Administrativa[#All],5,0),"")</f>
        <v>% Tickets Cumplimiento</v>
      </c>
      <c r="F297" t="str">
        <f ca="1">+IFERROR(VLOOKUP(Fact_Administrativa[[#This Row], [Concepto Anterior]],Conceptos_Administrativa[#All],7,0),"")</f>
        <v/>
      </c>
      <c r="G297" t="s">
        <v>172</v>
      </c>
      <c r="H297" t="s">
        <v>172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92">
        <v>0.92324561403508776</v>
      </c>
    </row>
    <row r="298" spans="1:11" ht="18.75" customHeight="1" x14ac:dyDescent="0.35">
      <c r="A298" s="93">
        <v>2024</v>
      </c>
      <c r="B298" t="s">
        <v>183</v>
      </c>
      <c r="C298" s="100">
        <f>IF(OR(Fact_Administrativa[[#This Row], [Año]]="",Fact_Administrativa[[#This Row], [Mes]]=""),"",DATE(A298,MATCH(B298,{"enero","febrero","marzo","abril","mayo","junio","julio","agosto","septiembre","octubre","noviembre","diciembre"},0)+1,0))</f>
        <v>45626</v>
      </c>
      <c r="D298" t="s">
        <v>209</v>
      </c>
      <c r="E298" t="str">
        <f>+IFERROR(VLOOKUP(Fact_Administrativa[[#This Row], [Concepto Anterior]],Conceptos_Administrativa[#All],5,0),"")</f>
        <v>Emisiones CO²</v>
      </c>
      <c r="F298" t="str">
        <f ca="1">+IFERROR(VLOOKUP(Fact_Administrativa[[#This Row], [Concepto Anterior]],Conceptos_Administrativa[#All],7,0),"")</f>
        <v/>
      </c>
      <c r="G298" t="s">
        <v>172</v>
      </c>
      <c r="H298" t="s">
        <v>172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92">
        <v>26.4</v>
      </c>
    </row>
    <row r="299" spans="1:11" ht="18.75" customHeight="1" x14ac:dyDescent="0.35">
      <c r="A299" s="93">
        <v>2024</v>
      </c>
      <c r="B299" t="s">
        <v>183</v>
      </c>
      <c r="C299" s="100">
        <f>IF(OR(Fact_Administrativa[[#This Row], [Año]]="",Fact_Administrativa[[#This Row], [Mes]]=""),"",DATE(A299,MATCH(B299,{"enero","febrero","marzo","abril","mayo","junio","julio","agosto","septiembre","octubre","noviembre","diciembre"},0)+1,0))</f>
        <v>45626</v>
      </c>
      <c r="D299" t="s">
        <v>38</v>
      </c>
      <c r="E299" t="str">
        <f>+IFERROR(VLOOKUP(Fact_Administrativa[[#This Row], [Concepto Anterior]],Conceptos_Administrativa[#All],5,0),"")</f>
        <v>Facturas de arrendamientos y administración</v>
      </c>
      <c r="F299" t="str">
        <f ca="1">+IFERROR(VLOOKUP(Fact_Administrativa[[#This Row], [Concepto Anterior]],Conceptos_Administrativa[#All],7,0),"")</f>
        <v/>
      </c>
      <c r="G299" t="s">
        <v>172</v>
      </c>
      <c r="H299" t="s">
        <v>172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93">
        <v>1071</v>
      </c>
    </row>
    <row r="300" spans="1:11" ht="18.75" customHeight="1" x14ac:dyDescent="0.35">
      <c r="A300" s="93">
        <v>2024</v>
      </c>
      <c r="B300" t="s">
        <v>183</v>
      </c>
      <c r="C300" s="100">
        <f>IF(OR(Fact_Administrativa[[#This Row], [Año]]="",Fact_Administrativa[[#This Row], [Mes]]=""),"",DATE(A300,MATCH(B300,{"enero","febrero","marzo","abril","mayo","junio","julio","agosto","septiembre","octubre","noviembre","diciembre"},0)+1,0))</f>
        <v>45626</v>
      </c>
      <c r="D300" t="s">
        <v>41</v>
      </c>
      <c r="E300" t="str">
        <f>+IFERROR(VLOOKUP(Fact_Administrativa[[#This Row], [Concepto Anterior]],Conceptos_Administrativa[#All],5,0),"")</f>
        <v>Facturas Procesadas por Marca</v>
      </c>
      <c r="F300" t="str">
        <f ca="1">+IFERROR(VLOOKUP(Fact_Administrativa[[#This Row], [Concepto Anterior]],Conceptos_Administrativa[#All],7,0),"")</f>
        <v/>
      </c>
      <c r="G300" t="s">
        <v>42</v>
      </c>
      <c r="H300" t="s">
        <v>172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93">
        <v>473</v>
      </c>
    </row>
    <row r="301" spans="1:11" ht="18.75" customHeight="1" x14ac:dyDescent="0.35">
      <c r="A301" s="93">
        <v>2024</v>
      </c>
      <c r="B301" t="s">
        <v>183</v>
      </c>
      <c r="C301" s="100">
        <f>IF(OR(Fact_Administrativa[[#This Row], [Año]]="",Fact_Administrativa[[#This Row], [Mes]]=""),"",DATE(A301,MATCH(B301,{"enero","febrero","marzo","abril","mayo","junio","julio","agosto","septiembre","octubre","noviembre","diciembre"},0)+1,0))</f>
        <v>45626</v>
      </c>
      <c r="D301" t="s">
        <v>41</v>
      </c>
      <c r="E301" t="str">
        <f>+IFERROR(VLOOKUP(Fact_Administrativa[[#This Row], [Concepto Anterior]],Conceptos_Administrativa[#All],5,0),"")</f>
        <v>Facturas Procesadas por Marca</v>
      </c>
      <c r="F301" t="str">
        <f ca="1">+IFERROR(VLOOKUP(Fact_Administrativa[[#This Row], [Concepto Anterior]],Conceptos_Administrativa[#All],7,0),"")</f>
        <v/>
      </c>
      <c r="G301" t="s">
        <v>43</v>
      </c>
      <c r="H301" t="s">
        <v>172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93">
        <v>845</v>
      </c>
    </row>
    <row r="302" spans="1:11" ht="18.75" customHeight="1" x14ac:dyDescent="0.35">
      <c r="A302" s="93">
        <v>2024</v>
      </c>
      <c r="B302" t="s">
        <v>183</v>
      </c>
      <c r="C302" s="100">
        <f>IF(OR(Fact_Administrativa[[#This Row], [Año]]="",Fact_Administrativa[[#This Row], [Mes]]=""),"",DATE(A302,MATCH(B302,{"enero","febrero","marzo","abril","mayo","junio","julio","agosto","septiembre","octubre","noviembre","diciembre"},0)+1,0))</f>
        <v>45626</v>
      </c>
      <c r="D302" t="s">
        <v>41</v>
      </c>
      <c r="E302" t="str">
        <f>+IFERROR(VLOOKUP(Fact_Administrativa[[#This Row], [Concepto Anterior]],Conceptos_Administrativa[#All],5,0),"")</f>
        <v>Facturas Procesadas por Marca</v>
      </c>
      <c r="F302" t="str">
        <f ca="1">+IFERROR(VLOOKUP(Fact_Administrativa[[#This Row], [Concepto Anterior]],Conceptos_Administrativa[#All],7,0),"")</f>
        <v/>
      </c>
      <c r="G302" t="s">
        <v>44</v>
      </c>
      <c r="H302" t="s">
        <v>172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93">
        <v>876</v>
      </c>
    </row>
    <row r="303" spans="1:11" ht="18.75" customHeight="1" x14ac:dyDescent="0.35">
      <c r="A303" s="93">
        <v>2024</v>
      </c>
      <c r="B303" t="s">
        <v>183</v>
      </c>
      <c r="C303" s="100">
        <f>IF(OR(Fact_Administrativa[[#This Row], [Año]]="",Fact_Administrativa[[#This Row], [Mes]]=""),"",DATE(A303,MATCH(B303,{"enero","febrero","marzo","abril","mayo","junio","julio","agosto","septiembre","octubre","noviembre","diciembre"},0)+1,0))</f>
        <v>45626</v>
      </c>
      <c r="D303" t="s">
        <v>41</v>
      </c>
      <c r="E303" t="str">
        <f>+IFERROR(VLOOKUP(Fact_Administrativa[[#This Row], [Concepto Anterior]],Conceptos_Administrativa[#All],5,0),"")</f>
        <v>Facturas Procesadas por Marca</v>
      </c>
      <c r="F303" t="str">
        <f ca="1">+IFERROR(VLOOKUP(Fact_Administrativa[[#This Row], [Concepto Anterior]],Conceptos_Administrativa[#All],7,0),"")</f>
        <v/>
      </c>
      <c r="G303" t="s">
        <v>45</v>
      </c>
      <c r="H303" t="s">
        <v>172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93">
        <v>550</v>
      </c>
    </row>
    <row r="304" spans="1:11" ht="18.75" customHeight="1" x14ac:dyDescent="0.35">
      <c r="A304" s="93">
        <v>2024</v>
      </c>
      <c r="B304" t="s">
        <v>183</v>
      </c>
      <c r="C304" s="100">
        <f>IF(OR(Fact_Administrativa[[#This Row], [Año]]="",Fact_Administrativa[[#This Row], [Mes]]=""),"",DATE(A304,MATCH(B304,{"enero","febrero","marzo","abril","mayo","junio","julio","agosto","septiembre","octubre","noviembre","diciembre"},0)+1,0))</f>
        <v>45626</v>
      </c>
      <c r="D304" t="s">
        <v>41</v>
      </c>
      <c r="E304" t="str">
        <f>+IFERROR(VLOOKUP(Fact_Administrativa[[#This Row], [Concepto Anterior]],Conceptos_Administrativa[#All],5,0),"")</f>
        <v>Facturas Procesadas por Marca</v>
      </c>
      <c r="F304" t="str">
        <f ca="1">+IFERROR(VLOOKUP(Fact_Administrativa[[#This Row], [Concepto Anterior]],Conceptos_Administrativa[#All],7,0),"")</f>
        <v/>
      </c>
      <c r="G304" t="s">
        <v>46</v>
      </c>
      <c r="H304" t="s">
        <v>172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93">
        <v>0</v>
      </c>
    </row>
    <row r="305" spans="1:11" ht="18.75" customHeight="1" x14ac:dyDescent="0.35">
      <c r="A305" s="93">
        <v>2024</v>
      </c>
      <c r="B305" t="s">
        <v>183</v>
      </c>
      <c r="C305" s="100">
        <f>IF(OR(Fact_Administrativa[[#This Row], [Año]]="",Fact_Administrativa[[#This Row], [Mes]]=""),"",DATE(A305,MATCH(B305,{"enero","febrero","marzo","abril","mayo","junio","julio","agosto","septiembre","octubre","noviembre","diciembre"},0)+1,0))</f>
        <v>45626</v>
      </c>
      <c r="D305" t="s">
        <v>41</v>
      </c>
      <c r="E305" t="str">
        <f>+IFERROR(VLOOKUP(Fact_Administrativa[[#This Row], [Concepto Anterior]],Conceptos_Administrativa[#All],5,0),"")</f>
        <v>Facturas Procesadas por Marca</v>
      </c>
      <c r="F305" t="str">
        <f ca="1">+IFERROR(VLOOKUP(Fact_Administrativa[[#This Row], [Concepto Anterior]],Conceptos_Administrativa[#All],7,0),"")</f>
        <v/>
      </c>
      <c r="G305" t="s">
        <v>47</v>
      </c>
      <c r="H305" t="s">
        <v>172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93">
        <v>34</v>
      </c>
    </row>
    <row r="306" spans="1:11" ht="18.75" customHeight="1" x14ac:dyDescent="0.35">
      <c r="A306" s="93">
        <v>2024</v>
      </c>
      <c r="B306" t="s">
        <v>183</v>
      </c>
      <c r="C306" s="100">
        <f>IF(OR(Fact_Administrativa[[#This Row], [Año]]="",Fact_Administrativa[[#This Row], [Mes]]=""),"",DATE(A306,MATCH(B306,{"enero","febrero","marzo","abril","mayo","junio","julio","agosto","septiembre","octubre","noviembre","diciembre"},0)+1,0))</f>
        <v>45626</v>
      </c>
      <c r="D306" t="s">
        <v>41</v>
      </c>
      <c r="E306" t="str">
        <f>+IFERROR(VLOOKUP(Fact_Administrativa[[#This Row], [Concepto Anterior]],Conceptos_Administrativa[#All],5,0),"")</f>
        <v>Facturas Procesadas por Marca</v>
      </c>
      <c r="F306" t="str">
        <f ca="1">+IFERROR(VLOOKUP(Fact_Administrativa[[#This Row], [Concepto Anterior]],Conceptos_Administrativa[#All],7,0),"")</f>
        <v/>
      </c>
      <c r="G306" t="s">
        <v>48</v>
      </c>
      <c r="H306" t="s">
        <v>172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92">
        <v>2.3380000000000001</v>
      </c>
    </row>
    <row r="307" spans="1:11" ht="18.75" customHeight="1" x14ac:dyDescent="0.35">
      <c r="A307" s="93">
        <v>2024</v>
      </c>
      <c r="B307" t="s">
        <v>183</v>
      </c>
      <c r="C307" s="100">
        <f>IF(OR(Fact_Administrativa[[#This Row], [Año]]="",Fact_Administrativa[[#This Row], [Mes]]=""),"",DATE(A307,MATCH(B307,{"enero","febrero","marzo","abril","mayo","junio","julio","agosto","septiembre","octubre","noviembre","diciembre"},0)+1,0))</f>
        <v>45626</v>
      </c>
      <c r="D307" t="s">
        <v>41</v>
      </c>
      <c r="E307" t="str">
        <f>+IFERROR(VLOOKUP(Fact_Administrativa[[#This Row], [Concepto Anterior]],Conceptos_Administrativa[#All],5,0),"")</f>
        <v>Facturas Procesadas por Marca</v>
      </c>
      <c r="F307" t="str">
        <f ca="1">+IFERROR(VLOOKUP(Fact_Administrativa[[#This Row], [Concepto Anterior]],Conceptos_Administrativa[#All],7,0),"")</f>
        <v/>
      </c>
      <c r="G307" t="s">
        <v>49</v>
      </c>
      <c r="H307" t="s">
        <v>172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92">
        <v>1.353</v>
      </c>
    </row>
    <row r="308" spans="1:11" ht="18.75" customHeight="1" x14ac:dyDescent="0.35">
      <c r="A308" s="93">
        <v>2024</v>
      </c>
      <c r="B308" t="s">
        <v>183</v>
      </c>
      <c r="C308" s="100">
        <f>IF(OR(Fact_Administrativa[[#This Row], [Año]]="",Fact_Administrativa[[#This Row], [Mes]]=""),"",DATE(A308,MATCH(B308,{"enero","febrero","marzo","abril","mayo","junio","julio","agosto","septiembre","octubre","noviembre","diciembre"},0)+1,0))</f>
        <v>45626</v>
      </c>
      <c r="D308" t="s">
        <v>41</v>
      </c>
      <c r="E308" t="str">
        <f>+IFERROR(VLOOKUP(Fact_Administrativa[[#This Row], [Concepto Anterior]],Conceptos_Administrativa[#All],5,0),"")</f>
        <v>Facturas Procesadas por Marca</v>
      </c>
      <c r="F308" t="str">
        <f ca="1">+IFERROR(VLOOKUP(Fact_Administrativa[[#This Row], [Concepto Anterior]],Conceptos_Administrativa[#All],7,0),"")</f>
        <v/>
      </c>
      <c r="G308" t="s">
        <v>50</v>
      </c>
      <c r="H308" t="s">
        <v>172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92">
        <v>1.58</v>
      </c>
    </row>
    <row r="309" spans="1:11" ht="18.75" customHeight="1" x14ac:dyDescent="0.35">
      <c r="A309" s="93">
        <v>2024</v>
      </c>
      <c r="B309" t="s">
        <v>183</v>
      </c>
      <c r="C309" s="100">
        <f>IF(OR(Fact_Administrativa[[#This Row], [Año]]="",Fact_Administrativa[[#This Row], [Mes]]=""),"",DATE(A309,MATCH(B309,{"enero","febrero","marzo","abril","mayo","junio","julio","agosto","septiembre","octubre","noviembre","diciembre"},0)+1,0))</f>
        <v>45626</v>
      </c>
      <c r="D309" t="s">
        <v>41</v>
      </c>
      <c r="E309" t="str">
        <f>+IFERROR(VLOOKUP(Fact_Administrativa[[#This Row], [Concepto Anterior]],Conceptos_Administrativa[#All],5,0),"")</f>
        <v>Facturas Procesadas por Marca</v>
      </c>
      <c r="F309" t="str">
        <f ca="1">+IFERROR(VLOOKUP(Fact_Administrativa[[#This Row], [Concepto Anterior]],Conceptos_Administrativa[#All],7,0),"")</f>
        <v/>
      </c>
      <c r="G309" t="s">
        <v>51</v>
      </c>
      <c r="H309" t="s">
        <v>172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93">
        <v>792</v>
      </c>
    </row>
    <row r="310" spans="1:11" ht="18.75" customHeight="1" x14ac:dyDescent="0.35">
      <c r="A310" s="93">
        <v>2024</v>
      </c>
      <c r="B310" t="s">
        <v>183</v>
      </c>
      <c r="C310" s="100">
        <f>IF(OR(Fact_Administrativa[[#This Row], [Año]]="",Fact_Administrativa[[#This Row], [Mes]]=""),"",DATE(A310,MATCH(B310,{"enero","febrero","marzo","abril","mayo","junio","julio","agosto","septiembre","octubre","noviembre","diciembre"},0)+1,0))</f>
        <v>45626</v>
      </c>
      <c r="D310" t="s">
        <v>41</v>
      </c>
      <c r="E310" t="str">
        <f>+IFERROR(VLOOKUP(Fact_Administrativa[[#This Row], [Concepto Anterior]],Conceptos_Administrativa[#All],5,0),"")</f>
        <v>Facturas Procesadas por Marca</v>
      </c>
      <c r="F310" t="str">
        <f ca="1">+IFERROR(VLOOKUP(Fact_Administrativa[[#This Row], [Concepto Anterior]],Conceptos_Administrativa[#All],7,0),"")</f>
        <v/>
      </c>
      <c r="G310" t="s">
        <v>52</v>
      </c>
      <c r="H310" t="s">
        <v>172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93">
        <v>557</v>
      </c>
    </row>
    <row r="311" spans="1:11" ht="18.75" customHeight="1" x14ac:dyDescent="0.35">
      <c r="A311" s="93">
        <v>2024</v>
      </c>
      <c r="B311" t="s">
        <v>183</v>
      </c>
      <c r="C311" s="100">
        <f>IF(OR(Fact_Administrativa[[#This Row], [Año]]="",Fact_Administrativa[[#This Row], [Mes]]=""),"",DATE(A311,MATCH(B311,{"enero","febrero","marzo","abril","mayo","junio","julio","agosto","septiembre","octubre","noviembre","diciembre"},0)+1,0))</f>
        <v>45626</v>
      </c>
      <c r="D311" t="s">
        <v>41</v>
      </c>
      <c r="E311" t="str">
        <f>+IFERROR(VLOOKUP(Fact_Administrativa[[#This Row], [Concepto Anterior]],Conceptos_Administrativa[#All],5,0),"")</f>
        <v>Facturas Procesadas por Marca</v>
      </c>
      <c r="F311" t="str">
        <f ca="1">+IFERROR(VLOOKUP(Fact_Administrativa[[#This Row], [Concepto Anterior]],Conceptos_Administrativa[#All],7,0),"")</f>
        <v/>
      </c>
      <c r="G311" t="s">
        <v>53</v>
      </c>
      <c r="H311" t="s">
        <v>172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92">
        <v>1.609</v>
      </c>
    </row>
    <row r="312" spans="1:11" ht="18.75" customHeight="1" x14ac:dyDescent="0.35">
      <c r="A312" s="93">
        <v>2024</v>
      </c>
      <c r="B312" t="s">
        <v>183</v>
      </c>
      <c r="C312" s="100">
        <f>IF(OR(Fact_Administrativa[[#This Row], [Año]]="",Fact_Administrativa[[#This Row], [Mes]]=""),"",DATE(A312,MATCH(B312,{"enero","febrero","marzo","abril","mayo","junio","julio","agosto","septiembre","octubre","noviembre","diciembre"},0)+1,0))</f>
        <v>45626</v>
      </c>
      <c r="D312" t="s">
        <v>41</v>
      </c>
      <c r="E312" t="str">
        <f>+IFERROR(VLOOKUP(Fact_Administrativa[[#This Row], [Concepto Anterior]],Conceptos_Administrativa[#All],5,0),"")</f>
        <v>Facturas Procesadas por Marca</v>
      </c>
      <c r="F312" t="str">
        <f ca="1">+IFERROR(VLOOKUP(Fact_Administrativa[[#This Row], [Concepto Anterior]],Conceptos_Administrativa[#All],7,0),"")</f>
        <v/>
      </c>
      <c r="G312" t="s">
        <v>54</v>
      </c>
      <c r="H312" t="s">
        <v>172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93">
        <v>7</v>
      </c>
    </row>
    <row r="313" spans="1:11" ht="18.75" customHeight="1" x14ac:dyDescent="0.35">
      <c r="A313" s="93">
        <v>2024</v>
      </c>
      <c r="B313" t="s">
        <v>183</v>
      </c>
      <c r="C313" s="100">
        <f>IF(OR(Fact_Administrativa[[#This Row], [Año]]="",Fact_Administrativa[[#This Row], [Mes]]=""),"",DATE(A313,MATCH(B313,{"enero","febrero","marzo","abril","mayo","junio","julio","agosto","septiembre","octubre","noviembre","diciembre"},0)+1,0))</f>
        <v>45626</v>
      </c>
      <c r="D313" t="s">
        <v>55</v>
      </c>
      <c r="E313" t="str">
        <f>+IFERROR(VLOOKUP(Fact_Administrativa[[#This Row], [Concepto Anterior]],Conceptos_Administrativa[#All],5,0),"")</f>
        <v>Facturas Procesadas por Marca</v>
      </c>
      <c r="F313" t="str">
        <f ca="1">+IFERROR(VLOOKUP(Fact_Administrativa[[#This Row], [Concepto Anterior]],Conceptos_Administrativa[#All],7,0),"")</f>
        <v/>
      </c>
      <c r="G313" t="s">
        <v>56</v>
      </c>
      <c r="H313" t="s">
        <v>172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93">
        <v>111</v>
      </c>
    </row>
    <row r="314" spans="1:11" ht="18.75" customHeight="1" x14ac:dyDescent="0.35">
      <c r="A314" s="93">
        <v>2024</v>
      </c>
      <c r="B314" t="s">
        <v>183</v>
      </c>
      <c r="C314" s="100">
        <f>IF(OR(Fact_Administrativa[[#This Row], [Año]]="",Fact_Administrativa[[#This Row], [Mes]]=""),"",DATE(A314,MATCH(B314,{"enero","febrero","marzo","abril","mayo","junio","julio","agosto","septiembre","octubre","noviembre","diciembre"},0)+1,0))</f>
        <v>45626</v>
      </c>
      <c r="D314" t="s">
        <v>57</v>
      </c>
      <c r="E314" t="str">
        <f>+IFERROR(VLOOKUP(Fact_Administrativa[[#This Row], [Concepto Anterior]],Conceptos_Administrativa[#All],5,0),"")</f>
        <v>Facturas Procesadas por Marca</v>
      </c>
      <c r="F314" t="str">
        <f ca="1">+IFERROR(VLOOKUP(Fact_Administrativa[[#This Row], [Concepto Anterior]],Conceptos_Administrativa[#All],7,0),"")</f>
        <v/>
      </c>
      <c r="G314" t="s">
        <v>58</v>
      </c>
      <c r="H314" t="s">
        <v>172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93">
        <v>88</v>
      </c>
    </row>
    <row r="315" spans="1:11" ht="18.75" customHeight="1" x14ac:dyDescent="0.35">
      <c r="A315" s="93">
        <v>2024</v>
      </c>
      <c r="B315" t="s">
        <v>183</v>
      </c>
      <c r="C315" s="100">
        <f>IF(OR(Fact_Administrativa[[#This Row], [Año]]="",Fact_Administrativa[[#This Row], [Mes]]=""),"",DATE(A315,MATCH(B315,{"enero","febrero","marzo","abril","mayo","junio","julio","agosto","septiembre","octubre","noviembre","diciembre"},0)+1,0))</f>
        <v>45626</v>
      </c>
      <c r="D315" t="s">
        <v>28</v>
      </c>
      <c r="E315" t="str">
        <f>+IFERROR(VLOOKUP(Fact_Administrativa[[#This Row], [Concepto Anterior]],Conceptos_Administrativa[#All],5,0),"")</f>
        <v xml:space="preserve">Ahorro reformas tiendas </v>
      </c>
      <c r="F315" t="str">
        <f ca="1">+IFERROR(VLOOKUP(Fact_Administrativa[[#This Row], [Concepto Anterior]],Conceptos_Administrativa[#All],7,0),"")</f>
        <v/>
      </c>
      <c r="G315" t="s">
        <v>172</v>
      </c>
      <c r="H315" t="s">
        <v>172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93">
        <v>10600000</v>
      </c>
    </row>
    <row r="316" spans="1:11" ht="18.75" customHeight="1" x14ac:dyDescent="0.35">
      <c r="A316" s="93">
        <v>2024</v>
      </c>
      <c r="B316" t="s">
        <v>183</v>
      </c>
      <c r="C316" s="100">
        <f>IF(OR(Fact_Administrativa[[#This Row], [Año]]="",Fact_Administrativa[[#This Row], [Mes]]=""),"",DATE(A316,MATCH(B316,{"enero","febrero","marzo","abril","mayo","junio","julio","agosto","septiembre","octubre","noviembre","diciembre"},0)+1,0))</f>
        <v>45626</v>
      </c>
      <c r="D316" t="s">
        <v>29</v>
      </c>
      <c r="E316" t="str">
        <f>+IFERROR(VLOOKUP(Fact_Administrativa[[#This Row], [Concepto Anterior]],Conceptos_Administrativa[#All],5,0),"")</f>
        <v>Recuperaciones Siniestros</v>
      </c>
      <c r="F316" t="str">
        <f ca="1">+IFERROR(VLOOKUP(Fact_Administrativa[[#This Row], [Concepto Anterior]],Conceptos_Administrativa[#All],7,0),"")</f>
        <v/>
      </c>
      <c r="G316" t="s">
        <v>172</v>
      </c>
      <c r="H316" t="s">
        <v>172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93">
        <v>0</v>
      </c>
    </row>
    <row r="317" spans="1:11" ht="18.75" customHeight="1" x14ac:dyDescent="0.35">
      <c r="A317" s="93">
        <v>2024</v>
      </c>
      <c r="B317" t="s">
        <v>183</v>
      </c>
      <c r="C317" s="100">
        <f>IF(OR(Fact_Administrativa[[#This Row], [Año]]="",Fact_Administrativa[[#This Row], [Mes]]=""),"",DATE(A317,MATCH(B317,{"enero","febrero","marzo","abril","mayo","junio","julio","agosto","septiembre","octubre","noviembre","diciembre"},0)+1,0))</f>
        <v>45626</v>
      </c>
      <c r="D317" t="s">
        <v>30</v>
      </c>
      <c r="E317" t="str">
        <f>+IFERROR(VLOOKUP(Fact_Administrativa[[#This Row], [Concepto Anterior]],Conceptos_Administrativa[#All],5,0),"")</f>
        <v>Gestión de Polizas</v>
      </c>
      <c r="F317" t="str">
        <f ca="1">+IFERROR(VLOOKUP(Fact_Administrativa[[#This Row], [Concepto Anterior]],Conceptos_Administrativa[#All],7,0),"")</f>
        <v/>
      </c>
      <c r="G317" t="s">
        <v>172</v>
      </c>
      <c r="H317" t="s">
        <v>172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93">
        <v>0</v>
      </c>
    </row>
    <row r="318" spans="1:11" ht="18.75" customHeight="1" x14ac:dyDescent="0.35">
      <c r="A318" s="93">
        <v>2024</v>
      </c>
      <c r="B318" t="s">
        <v>183</v>
      </c>
      <c r="C318" s="100">
        <f>IF(OR(Fact_Administrativa[[#This Row], [Año]]="",Fact_Administrativa[[#This Row], [Mes]]=""),"",DATE(A318,MATCH(B318,{"enero","febrero","marzo","abril","mayo","junio","julio","agosto","septiembre","octubre","noviembre","diciembre"},0)+1,0))</f>
        <v>45626</v>
      </c>
      <c r="D318" t="s">
        <v>32</v>
      </c>
      <c r="E318" t="str">
        <f>+IFERROR(VLOOKUP(Fact_Administrativa[[#This Row], [Concepto Anterior]],Conceptos_Administrativa[#All],5,0),"")</f>
        <v>Tickets cerrados</v>
      </c>
      <c r="F318" t="str">
        <f ca="1">+IFERROR(VLOOKUP(Fact_Administrativa[[#This Row], [Concepto Anterior]],Conceptos_Administrativa[#All],7,0),"")</f>
        <v/>
      </c>
      <c r="G318" t="s">
        <v>172</v>
      </c>
      <c r="H318" t="s">
        <v>172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93">
        <v>1263</v>
      </c>
    </row>
    <row r="319" spans="1:11" ht="18.75" customHeight="1" x14ac:dyDescent="0.35">
      <c r="A319" s="93">
        <v>2024</v>
      </c>
      <c r="B319" t="s">
        <v>183</v>
      </c>
      <c r="C319" s="100">
        <f>IF(OR(Fact_Administrativa[[#This Row], [Año]]="",Fact_Administrativa[[#This Row], [Mes]]=""),"",DATE(A319,MATCH(B319,{"enero","febrero","marzo","abril","mayo","junio","julio","agosto","septiembre","octubre","noviembre","diciembre"},0)+1,0))</f>
        <v>45626</v>
      </c>
      <c r="D319" t="s">
        <v>210</v>
      </c>
      <c r="E319" t="str">
        <f>+IFERROR(VLOOKUP(Fact_Administrativa[[#This Row], [Concepto Anterior]],Conceptos_Administrativa[#All],5,0),"")</f>
        <v>Tickets proceso</v>
      </c>
      <c r="F319" t="str">
        <f ca="1">+IFERROR(VLOOKUP(Fact_Administrativa[[#This Row], [Concepto Anterior]],Conceptos_Administrativa[#All],7,0),"")</f>
        <v/>
      </c>
      <c r="G319" t="s">
        <v>172</v>
      </c>
      <c r="H319" t="s">
        <v>172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93">
        <v>105</v>
      </c>
    </row>
    <row r="320" spans="1:11" ht="18.75" customHeight="1" x14ac:dyDescent="0.35">
      <c r="A320" s="93">
        <v>2024</v>
      </c>
      <c r="B320" t="s">
        <v>183</v>
      </c>
      <c r="C320" s="100">
        <f>IF(OR(Fact_Administrativa[[#This Row], [Año]]="",Fact_Administrativa[[#This Row], [Mes]]=""),"",DATE(A320,MATCH(B320,{"enero","febrero","marzo","abril","mayo","junio","julio","agosto","septiembre","octubre","noviembre","diciembre"},0)+1,0))</f>
        <v>45626</v>
      </c>
      <c r="D320" t="s">
        <v>31</v>
      </c>
      <c r="E320" t="str">
        <f>+IFERROR(VLOOKUP(Fact_Administrativa[[#This Row], [Concepto Anterior]],Conceptos_Administrativa[#All],5,0),"")</f>
        <v>Tickets recibidos</v>
      </c>
      <c r="F320" t="str">
        <f ca="1">+IFERROR(VLOOKUP(Fact_Administrativa[[#This Row], [Concepto Anterior]],Conceptos_Administrativa[#All],7,0),"")</f>
        <v/>
      </c>
      <c r="G320" t="s">
        <v>172</v>
      </c>
      <c r="H320" t="s">
        <v>172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93">
        <v>1368</v>
      </c>
    </row>
    <row r="321" spans="1:11" ht="18.75" customHeight="1" x14ac:dyDescent="0.35">
      <c r="A321" s="93">
        <v>2024</v>
      </c>
      <c r="B321" t="s">
        <v>184</v>
      </c>
      <c r="C321" s="100">
        <f>IF(OR(Fact_Administrativa[[#This Row], [Año]]="",Fact_Administrativa[[#This Row], [Mes]]=""),"",DATE(A321,MATCH(B321,{"enero","febrero","marzo","abril","mayo","junio","julio","agosto","septiembre","octubre","noviembre","diciembre"},0)+1,0))</f>
        <v>45657</v>
      </c>
      <c r="D321" t="s">
        <v>27</v>
      </c>
      <c r="E321" t="str">
        <f>+IFERROR(VLOOKUP(Fact_Administrativa[[#This Row], [Concepto Anterior]],Conceptos_Administrativa[#All],5,0),"")</f>
        <v>Ahorro energía</v>
      </c>
      <c r="F321" t="str">
        <f ca="1">+IFERROR(VLOOKUP(Fact_Administrativa[[#This Row], [Concepto Anterior]],Conceptos_Administrativa[#All],7,0),"")</f>
        <v/>
      </c>
      <c r="G321" t="s">
        <v>172</v>
      </c>
      <c r="H321" t="s">
        <v>172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93">
        <v>0</v>
      </c>
    </row>
    <row r="322" spans="1:11" ht="18.75" customHeight="1" x14ac:dyDescent="0.35">
      <c r="A322" s="93">
        <v>2024</v>
      </c>
      <c r="B322" t="s">
        <v>184</v>
      </c>
      <c r="C322" s="100">
        <f>IF(OR(Fact_Administrativa[[#This Row], [Año]]="",Fact_Administrativa[[#This Row], [Mes]]=""),"",DATE(A322,MATCH(B322,{"enero","febrero","marzo","abril","mayo","junio","julio","agosto","septiembre","octubre","noviembre","diciembre"},0)+1,0))</f>
        <v>45657</v>
      </c>
      <c r="D322" t="s">
        <v>19</v>
      </c>
      <c r="E322" t="str">
        <f>+IFERROR(VLOOKUP(Fact_Administrativa[[#This Row], [Concepto Anterior]],Conceptos_Administrativa[#All],5,0),"")</f>
        <v>Aporte fundación</v>
      </c>
      <c r="F322" t="str">
        <f ca="1">+IFERROR(VLOOKUP(Fact_Administrativa[[#This Row], [Concepto Anterior]],Conceptos_Administrativa[#All],7,0),"")</f>
        <v/>
      </c>
      <c r="G322" t="s">
        <v>172</v>
      </c>
      <c r="H322" t="s">
        <v>172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93">
        <v>0</v>
      </c>
    </row>
    <row r="323" spans="1:11" ht="18.75" customHeight="1" x14ac:dyDescent="0.35">
      <c r="A323" s="93">
        <v>2024</v>
      </c>
      <c r="B323" t="s">
        <v>184</v>
      </c>
      <c r="C323" s="100">
        <f>IF(OR(Fact_Administrativa[[#This Row], [Año]]="",Fact_Administrativa[[#This Row], [Mes]]=""),"",DATE(A323,MATCH(B323,{"enero","febrero","marzo","abril","mayo","junio","julio","agosto","septiembre","octubre","noviembre","diciembre"},0)+1,0))</f>
        <v>45657</v>
      </c>
      <c r="D323" t="s">
        <v>39</v>
      </c>
      <c r="E323" t="str">
        <f>+IFERROR(VLOOKUP(Fact_Administrativa[[#This Row], [Concepto Anterior]],Conceptos_Administrativa[#All],5,0),"")</f>
        <v>Cantidad de tiendas remodeladas</v>
      </c>
      <c r="F323" t="str">
        <f ca="1">+IFERROR(VLOOKUP(Fact_Administrativa[[#This Row], [Concepto Anterior]],Conceptos_Administrativa[#All],7,0),"")</f>
        <v/>
      </c>
      <c r="G323" t="s">
        <v>172</v>
      </c>
      <c r="H323" t="s">
        <v>172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93">
        <v>0</v>
      </c>
    </row>
    <row r="324" spans="1:11" ht="18.75" customHeight="1" x14ac:dyDescent="0.35">
      <c r="A324" s="93">
        <v>2024</v>
      </c>
      <c r="B324" t="s">
        <v>184</v>
      </c>
      <c r="C324" s="100">
        <f>IF(OR(Fact_Administrativa[[#This Row], [Año]]="",Fact_Administrativa[[#This Row], [Mes]]=""),"",DATE(A324,MATCH(B324,{"enero","febrero","marzo","abril","mayo","junio","julio","agosto","septiembre","octubre","noviembre","diciembre"},0)+1,0))</f>
        <v>45657</v>
      </c>
      <c r="D324" t="s">
        <v>40</v>
      </c>
      <c r="E324" t="str">
        <f>+IFERROR(VLOOKUP(Fact_Administrativa[[#This Row], [Concepto Anterior]],Conceptos_Administrativa[#All],5,0),"")</f>
        <v xml:space="preserve">Contratos de arrendamientos </v>
      </c>
      <c r="F324" t="str">
        <f ca="1">+IFERROR(VLOOKUP(Fact_Administrativa[[#This Row], [Concepto Anterior]],Conceptos_Administrativa[#All],7,0),"")</f>
        <v/>
      </c>
      <c r="G324" t="s">
        <v>172</v>
      </c>
      <c r="H324" t="s">
        <v>172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93">
        <v>7</v>
      </c>
    </row>
    <row r="325" spans="1:11" ht="18.75" customHeight="1" x14ac:dyDescent="0.35">
      <c r="A325" s="102">
        <v>2024</v>
      </c>
      <c r="B325" t="s">
        <v>184</v>
      </c>
      <c r="C325" s="100">
        <f>IF(OR(Fact_Administrativa[[#This Row], [Año]]="",Fact_Administrativa[[#This Row], [Mes]]=""),"",DATE(A325,MATCH(B325,{"enero","febrero","marzo","abril","mayo","junio","julio","agosto","septiembre","octubre","noviembre","diciembre"},0)+1,0))</f>
        <v>45657</v>
      </c>
      <c r="D325" t="s">
        <v>25</v>
      </c>
      <c r="E325" t="str">
        <f>+IFERROR(VLOOKUP(Fact_Administrativa[[#This Row], [Concepto Anterior]],Conceptos_Administrativa[#All],5,0),"")</f>
        <v>Control Ingresos cede Dogama</v>
      </c>
      <c r="F325" t="str">
        <f ca="1">+IFERROR(VLOOKUP(Fact_Administrativa[[#This Row], [Concepto Anterior]],Conceptos_Administrativa[#All],7,0),"")</f>
        <v/>
      </c>
      <c r="G325" t="s">
        <v>172</v>
      </c>
      <c r="H325" t="s">
        <v>172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93">
        <v>0</v>
      </c>
    </row>
    <row r="326" spans="1:11" ht="18.75" customHeight="1" x14ac:dyDescent="0.35">
      <c r="A326" s="93">
        <v>2024</v>
      </c>
      <c r="B326" t="s">
        <v>184</v>
      </c>
      <c r="C326" s="100">
        <f>IF(OR(Fact_Administrativa[[#This Row], [Año]]="",Fact_Administrativa[[#This Row], [Mes]]=""),"",DATE(A326,MATCH(B326,{"enero","febrero","marzo","abril","mayo","junio","julio","agosto","septiembre","octubre","noviembre","diciembre"},0)+1,0))</f>
        <v>45657</v>
      </c>
      <c r="D326" t="s">
        <v>34</v>
      </c>
      <c r="E326" t="str">
        <f>+IFERROR(VLOOKUP(Fact_Administrativa[[#This Row], [Concepto Anterior]],Conceptos_Administrativa[#All],5,0),"")</f>
        <v>% Tickets Cumplimiento</v>
      </c>
      <c r="F326" t="str">
        <f ca="1">+IFERROR(VLOOKUP(Fact_Administrativa[[#This Row], [Concepto Anterior]],Conceptos_Administrativa[#All],7,0),"")</f>
        <v/>
      </c>
      <c r="G326" t="s">
        <v>172</v>
      </c>
      <c r="H326" t="s">
        <v>172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92">
        <v>0.91062039957939012</v>
      </c>
    </row>
    <row r="327" spans="1:11" ht="18.75" customHeight="1" x14ac:dyDescent="0.35">
      <c r="A327" s="93">
        <v>2024</v>
      </c>
      <c r="B327" t="s">
        <v>184</v>
      </c>
      <c r="C327" s="100">
        <f>IF(OR(Fact_Administrativa[[#This Row], [Año]]="",Fact_Administrativa[[#This Row], [Mes]]=""),"",DATE(A327,MATCH(B327,{"enero","febrero","marzo","abril","mayo","junio","julio","agosto","septiembre","octubre","noviembre","diciembre"},0)+1,0))</f>
        <v>45657</v>
      </c>
      <c r="D327" t="s">
        <v>209</v>
      </c>
      <c r="E327" t="str">
        <f>+IFERROR(VLOOKUP(Fact_Administrativa[[#This Row], [Concepto Anterior]],Conceptos_Administrativa[#All],5,0),"")</f>
        <v>Emisiones CO²</v>
      </c>
      <c r="F327" t="str">
        <f ca="1">+IFERROR(VLOOKUP(Fact_Administrativa[[#This Row], [Concepto Anterior]],Conceptos_Administrativa[#All],7,0),"")</f>
        <v/>
      </c>
      <c r="G327" t="s">
        <v>172</v>
      </c>
      <c r="H327" t="s">
        <v>172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92">
        <v>25.9</v>
      </c>
    </row>
    <row r="328" spans="1:11" ht="18.75" customHeight="1" x14ac:dyDescent="0.35">
      <c r="A328" s="93">
        <v>2024</v>
      </c>
      <c r="B328" t="s">
        <v>184</v>
      </c>
      <c r="C328" s="100">
        <f>IF(OR(Fact_Administrativa[[#This Row], [Año]]="",Fact_Administrativa[[#This Row], [Mes]]=""),"",DATE(A328,MATCH(B328,{"enero","febrero","marzo","abril","mayo","junio","julio","agosto","septiembre","octubre","noviembre","diciembre"},0)+1,0))</f>
        <v>45657</v>
      </c>
      <c r="D328" t="s">
        <v>38</v>
      </c>
      <c r="E328" t="str">
        <f>+IFERROR(VLOOKUP(Fact_Administrativa[[#This Row], [Concepto Anterior]],Conceptos_Administrativa[#All],5,0),"")</f>
        <v>Facturas de arrendamientos y administración</v>
      </c>
      <c r="F328" t="str">
        <f ca="1">+IFERROR(VLOOKUP(Fact_Administrativa[[#This Row], [Concepto Anterior]],Conceptos_Administrativa[#All],7,0),"")</f>
        <v/>
      </c>
      <c r="G328" t="s">
        <v>172</v>
      </c>
      <c r="H328" t="s">
        <v>172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93">
        <v>1109</v>
      </c>
    </row>
    <row r="329" spans="1:11" ht="18.75" customHeight="1" x14ac:dyDescent="0.35">
      <c r="A329" s="93">
        <v>2024</v>
      </c>
      <c r="B329" t="s">
        <v>184</v>
      </c>
      <c r="C329" s="100">
        <f>IF(OR(Fact_Administrativa[[#This Row], [Año]]="",Fact_Administrativa[[#This Row], [Mes]]=""),"",DATE(A329,MATCH(B329,{"enero","febrero","marzo","abril","mayo","junio","julio","agosto","septiembre","octubre","noviembre","diciembre"},0)+1,0))</f>
        <v>45657</v>
      </c>
      <c r="D329" t="s">
        <v>41</v>
      </c>
      <c r="E329" t="str">
        <f>+IFERROR(VLOOKUP(Fact_Administrativa[[#This Row], [Concepto Anterior]],Conceptos_Administrativa[#All],5,0),"")</f>
        <v>Facturas Procesadas por Marca</v>
      </c>
      <c r="F329" t="str">
        <f ca="1">+IFERROR(VLOOKUP(Fact_Administrativa[[#This Row], [Concepto Anterior]],Conceptos_Administrativa[#All],7,0),"")</f>
        <v/>
      </c>
      <c r="G329" t="s">
        <v>42</v>
      </c>
      <c r="H329" t="s">
        <v>172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93">
        <v>1702</v>
      </c>
    </row>
    <row r="330" spans="1:11" ht="18.75" customHeight="1" x14ac:dyDescent="0.35">
      <c r="A330" s="93">
        <v>2024</v>
      </c>
      <c r="B330" t="s">
        <v>184</v>
      </c>
      <c r="C330" s="100">
        <f>IF(OR(Fact_Administrativa[[#This Row], [Año]]="",Fact_Administrativa[[#This Row], [Mes]]=""),"",DATE(A330,MATCH(B330,{"enero","febrero","marzo","abril","mayo","junio","julio","agosto","septiembre","octubre","noviembre","diciembre"},0)+1,0))</f>
        <v>45657</v>
      </c>
      <c r="D330" t="s">
        <v>41</v>
      </c>
      <c r="E330" t="str">
        <f>+IFERROR(VLOOKUP(Fact_Administrativa[[#This Row], [Concepto Anterior]],Conceptos_Administrativa[#All],5,0),"")</f>
        <v>Facturas Procesadas por Marca</v>
      </c>
      <c r="F330" t="str">
        <f ca="1">+IFERROR(VLOOKUP(Fact_Administrativa[[#This Row], [Concepto Anterior]],Conceptos_Administrativa[#All],7,0),"")</f>
        <v/>
      </c>
      <c r="G330" t="s">
        <v>43</v>
      </c>
      <c r="H330" t="s">
        <v>172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93">
        <v>2336</v>
      </c>
    </row>
    <row r="331" spans="1:11" ht="18.75" customHeight="1" x14ac:dyDescent="0.35">
      <c r="A331" s="93">
        <v>2024</v>
      </c>
      <c r="B331" t="s">
        <v>184</v>
      </c>
      <c r="C331" s="100">
        <f>IF(OR(Fact_Administrativa[[#This Row], [Año]]="",Fact_Administrativa[[#This Row], [Mes]]=""),"",DATE(A331,MATCH(B331,{"enero","febrero","marzo","abril","mayo","junio","julio","agosto","septiembre","octubre","noviembre","diciembre"},0)+1,0))</f>
        <v>45657</v>
      </c>
      <c r="D331" t="s">
        <v>41</v>
      </c>
      <c r="E331" t="str">
        <f>+IFERROR(VLOOKUP(Fact_Administrativa[[#This Row], [Concepto Anterior]],Conceptos_Administrativa[#All],5,0),"")</f>
        <v>Facturas Procesadas por Marca</v>
      </c>
      <c r="F331" t="str">
        <f ca="1">+IFERROR(VLOOKUP(Fact_Administrativa[[#This Row], [Concepto Anterior]],Conceptos_Administrativa[#All],7,0),"")</f>
        <v/>
      </c>
      <c r="G331" t="s">
        <v>44</v>
      </c>
      <c r="H331" t="s">
        <v>172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93">
        <v>1102</v>
      </c>
    </row>
    <row r="332" spans="1:11" ht="18.75" customHeight="1" x14ac:dyDescent="0.35">
      <c r="A332" s="93">
        <v>2024</v>
      </c>
      <c r="B332" t="s">
        <v>184</v>
      </c>
      <c r="C332" s="100">
        <f>IF(OR(Fact_Administrativa[[#This Row], [Año]]="",Fact_Administrativa[[#This Row], [Mes]]=""),"",DATE(A332,MATCH(B332,{"enero","febrero","marzo","abril","mayo","junio","julio","agosto","septiembre","octubre","noviembre","diciembre"},0)+1,0))</f>
        <v>45657</v>
      </c>
      <c r="D332" t="s">
        <v>41</v>
      </c>
      <c r="E332" t="str">
        <f>+IFERROR(VLOOKUP(Fact_Administrativa[[#This Row], [Concepto Anterior]],Conceptos_Administrativa[#All],5,0),"")</f>
        <v>Facturas Procesadas por Marca</v>
      </c>
      <c r="F332" t="str">
        <f ca="1">+IFERROR(VLOOKUP(Fact_Administrativa[[#This Row], [Concepto Anterior]],Conceptos_Administrativa[#All],7,0),"")</f>
        <v/>
      </c>
      <c r="G332" t="s">
        <v>45</v>
      </c>
      <c r="H332" t="s">
        <v>172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93">
        <v>423</v>
      </c>
    </row>
    <row r="333" spans="1:11" ht="18.75" customHeight="1" x14ac:dyDescent="0.35">
      <c r="A333" s="93">
        <v>2024</v>
      </c>
      <c r="B333" t="s">
        <v>184</v>
      </c>
      <c r="C333" s="100">
        <f>IF(OR(Fact_Administrativa[[#This Row], [Año]]="",Fact_Administrativa[[#This Row], [Mes]]=""),"",DATE(A333,MATCH(B333,{"enero","febrero","marzo","abril","mayo","junio","julio","agosto","septiembre","octubre","noviembre","diciembre"},0)+1,0))</f>
        <v>45657</v>
      </c>
      <c r="D333" t="s">
        <v>41</v>
      </c>
      <c r="E333" t="str">
        <f>+IFERROR(VLOOKUP(Fact_Administrativa[[#This Row], [Concepto Anterior]],Conceptos_Administrativa[#All],5,0),"")</f>
        <v>Facturas Procesadas por Marca</v>
      </c>
      <c r="F333" t="str">
        <f ca="1">+IFERROR(VLOOKUP(Fact_Administrativa[[#This Row], [Concepto Anterior]],Conceptos_Administrativa[#All],7,0),"")</f>
        <v/>
      </c>
      <c r="G333" t="s">
        <v>46</v>
      </c>
      <c r="H333" t="s">
        <v>172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93">
        <v>73</v>
      </c>
    </row>
    <row r="334" spans="1:11" ht="18.75" customHeight="1" x14ac:dyDescent="0.35">
      <c r="A334" s="93">
        <v>2024</v>
      </c>
      <c r="B334" t="s">
        <v>184</v>
      </c>
      <c r="C334" s="100">
        <f>IF(OR(Fact_Administrativa[[#This Row], [Año]]="",Fact_Administrativa[[#This Row], [Mes]]=""),"",DATE(A334,MATCH(B334,{"enero","febrero","marzo","abril","mayo","junio","julio","agosto","septiembre","octubre","noviembre","diciembre"},0)+1,0))</f>
        <v>45657</v>
      </c>
      <c r="D334" t="s">
        <v>41</v>
      </c>
      <c r="E334" t="str">
        <f>+IFERROR(VLOOKUP(Fact_Administrativa[[#This Row], [Concepto Anterior]],Conceptos_Administrativa[#All],5,0),"")</f>
        <v>Facturas Procesadas por Marca</v>
      </c>
      <c r="F334" t="str">
        <f ca="1">+IFERROR(VLOOKUP(Fact_Administrativa[[#This Row], [Concepto Anterior]],Conceptos_Administrativa[#All],7,0),"")</f>
        <v/>
      </c>
      <c r="G334" t="s">
        <v>47</v>
      </c>
      <c r="H334" t="s">
        <v>172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93">
        <v>66</v>
      </c>
    </row>
    <row r="335" spans="1:11" ht="18.75" customHeight="1" x14ac:dyDescent="0.35">
      <c r="A335" s="93">
        <v>2024</v>
      </c>
      <c r="B335" t="s">
        <v>184</v>
      </c>
      <c r="C335" s="100">
        <f>IF(OR(Fact_Administrativa[[#This Row], [Año]]="",Fact_Administrativa[[#This Row], [Mes]]=""),"",DATE(A335,MATCH(B335,{"enero","febrero","marzo","abril","mayo","junio","julio","agosto","septiembre","octubre","noviembre","diciembre"},0)+1,0))</f>
        <v>45657</v>
      </c>
      <c r="D335" t="s">
        <v>41</v>
      </c>
      <c r="E335" t="str">
        <f>+IFERROR(VLOOKUP(Fact_Administrativa[[#This Row], [Concepto Anterior]],Conceptos_Administrativa[#All],5,0),"")</f>
        <v>Facturas Procesadas por Marca</v>
      </c>
      <c r="F335" t="str">
        <f ca="1">+IFERROR(VLOOKUP(Fact_Administrativa[[#This Row], [Concepto Anterior]],Conceptos_Administrativa[#All],7,0),"")</f>
        <v/>
      </c>
      <c r="G335" t="s">
        <v>48</v>
      </c>
      <c r="H335" t="s">
        <v>172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93">
        <v>640</v>
      </c>
    </row>
    <row r="336" spans="1:11" ht="18.75" customHeight="1" x14ac:dyDescent="0.35">
      <c r="A336" s="93">
        <v>2024</v>
      </c>
      <c r="B336" t="s">
        <v>184</v>
      </c>
      <c r="C336" s="100">
        <f>IF(OR(Fact_Administrativa[[#This Row], [Año]]="",Fact_Administrativa[[#This Row], [Mes]]=""),"",DATE(A336,MATCH(B336,{"enero","febrero","marzo","abril","mayo","junio","julio","agosto","septiembre","octubre","noviembre","diciembre"},0)+1,0))</f>
        <v>45657</v>
      </c>
      <c r="D336" t="s">
        <v>41</v>
      </c>
      <c r="E336" t="str">
        <f>+IFERROR(VLOOKUP(Fact_Administrativa[[#This Row], [Concepto Anterior]],Conceptos_Administrativa[#All],5,0),"")</f>
        <v>Facturas Procesadas por Marca</v>
      </c>
      <c r="F336" t="str">
        <f ca="1">+IFERROR(VLOOKUP(Fact_Administrativa[[#This Row], [Concepto Anterior]],Conceptos_Administrativa[#All],7,0),"")</f>
        <v/>
      </c>
      <c r="G336" t="s">
        <v>49</v>
      </c>
      <c r="H336" t="s">
        <v>172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93">
        <v>612</v>
      </c>
    </row>
    <row r="337" spans="1:11" ht="18.75" customHeight="1" x14ac:dyDescent="0.35">
      <c r="A337" s="93">
        <v>2024</v>
      </c>
      <c r="B337" t="s">
        <v>184</v>
      </c>
      <c r="C337" s="100">
        <f>IF(OR(Fact_Administrativa[[#This Row], [Año]]="",Fact_Administrativa[[#This Row], [Mes]]=""),"",DATE(A337,MATCH(B337,{"enero","febrero","marzo","abril","mayo","junio","julio","agosto","septiembre","octubre","noviembre","diciembre"},0)+1,0))</f>
        <v>45657</v>
      </c>
      <c r="D337" t="s">
        <v>41</v>
      </c>
      <c r="E337" t="str">
        <f>+IFERROR(VLOOKUP(Fact_Administrativa[[#This Row], [Concepto Anterior]],Conceptos_Administrativa[#All],5,0),"")</f>
        <v>Facturas Procesadas por Marca</v>
      </c>
      <c r="F337" t="str">
        <f ca="1">+IFERROR(VLOOKUP(Fact_Administrativa[[#This Row], [Concepto Anterior]],Conceptos_Administrativa[#All],7,0),"")</f>
        <v/>
      </c>
      <c r="G337" t="s">
        <v>50</v>
      </c>
      <c r="H337" t="s">
        <v>172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93">
        <v>1515</v>
      </c>
    </row>
    <row r="338" spans="1:11" ht="18.75" customHeight="1" x14ac:dyDescent="0.35">
      <c r="A338" s="93">
        <v>2024</v>
      </c>
      <c r="B338" t="s">
        <v>184</v>
      </c>
      <c r="C338" s="100">
        <f>IF(OR(Fact_Administrativa[[#This Row], [Año]]="",Fact_Administrativa[[#This Row], [Mes]]=""),"",DATE(A338,MATCH(B338,{"enero","febrero","marzo","abril","mayo","junio","julio","agosto","septiembre","octubre","noviembre","diciembre"},0)+1,0))</f>
        <v>45657</v>
      </c>
      <c r="D338" t="s">
        <v>41</v>
      </c>
      <c r="E338" t="str">
        <f>+IFERROR(VLOOKUP(Fact_Administrativa[[#This Row], [Concepto Anterior]],Conceptos_Administrativa[#All],5,0),"")</f>
        <v>Facturas Procesadas por Marca</v>
      </c>
      <c r="F338" t="str">
        <f ca="1">+IFERROR(VLOOKUP(Fact_Administrativa[[#This Row], [Concepto Anterior]],Conceptos_Administrativa[#All],7,0),"")</f>
        <v/>
      </c>
      <c r="G338" t="s">
        <v>51</v>
      </c>
      <c r="H338" t="s">
        <v>172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93">
        <v>723</v>
      </c>
    </row>
    <row r="339" spans="1:11" ht="18.75" customHeight="1" x14ac:dyDescent="0.35">
      <c r="A339" s="93">
        <v>2024</v>
      </c>
      <c r="B339" t="s">
        <v>184</v>
      </c>
      <c r="C339" s="100">
        <f>IF(OR(Fact_Administrativa[[#This Row], [Año]]="",Fact_Administrativa[[#This Row], [Mes]]=""),"",DATE(A339,MATCH(B339,{"enero","febrero","marzo","abril","mayo","junio","julio","agosto","septiembre","octubre","noviembre","diciembre"},0)+1,0))</f>
        <v>45657</v>
      </c>
      <c r="D339" t="s">
        <v>41</v>
      </c>
      <c r="E339" t="str">
        <f>+IFERROR(VLOOKUP(Fact_Administrativa[[#This Row], [Concepto Anterior]],Conceptos_Administrativa[#All],5,0),"")</f>
        <v>Facturas Procesadas por Marca</v>
      </c>
      <c r="F339" t="str">
        <f ca="1">+IFERROR(VLOOKUP(Fact_Administrativa[[#This Row], [Concepto Anterior]],Conceptos_Administrativa[#All],7,0),"")</f>
        <v/>
      </c>
      <c r="G339" t="s">
        <v>52</v>
      </c>
      <c r="H339" t="s">
        <v>172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93">
        <v>459</v>
      </c>
    </row>
    <row r="340" spans="1:11" ht="18.75" customHeight="1" x14ac:dyDescent="0.35">
      <c r="A340" s="93">
        <v>2024</v>
      </c>
      <c r="B340" t="s">
        <v>184</v>
      </c>
      <c r="C340" s="100">
        <f>IF(OR(Fact_Administrativa[[#This Row], [Año]]="",Fact_Administrativa[[#This Row], [Mes]]=""),"",DATE(A340,MATCH(B340,{"enero","febrero","marzo","abril","mayo","junio","julio","agosto","septiembre","octubre","noviembre","diciembre"},0)+1,0))</f>
        <v>45657</v>
      </c>
      <c r="D340" t="s">
        <v>41</v>
      </c>
      <c r="E340" t="str">
        <f>+IFERROR(VLOOKUP(Fact_Administrativa[[#This Row], [Concepto Anterior]],Conceptos_Administrativa[#All],5,0),"")</f>
        <v>Facturas Procesadas por Marca</v>
      </c>
      <c r="F340" t="str">
        <f ca="1">+IFERROR(VLOOKUP(Fact_Administrativa[[#This Row], [Concepto Anterior]],Conceptos_Administrativa[#All],7,0),"")</f>
        <v/>
      </c>
      <c r="G340" t="s">
        <v>53</v>
      </c>
      <c r="H340" t="s">
        <v>172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93">
        <v>229</v>
      </c>
    </row>
    <row r="341" spans="1:11" ht="18.75" customHeight="1" x14ac:dyDescent="0.35">
      <c r="A341" s="93">
        <v>2024</v>
      </c>
      <c r="B341" t="s">
        <v>184</v>
      </c>
      <c r="C341" s="100">
        <f>IF(OR(Fact_Administrativa[[#This Row], [Año]]="",Fact_Administrativa[[#This Row], [Mes]]=""),"",DATE(A341,MATCH(B341,{"enero","febrero","marzo","abril","mayo","junio","julio","agosto","septiembre","octubre","noviembre","diciembre"},0)+1,0))</f>
        <v>45657</v>
      </c>
      <c r="D341" t="s">
        <v>41</v>
      </c>
      <c r="E341" t="str">
        <f>+IFERROR(VLOOKUP(Fact_Administrativa[[#This Row], [Concepto Anterior]],Conceptos_Administrativa[#All],5,0),"")</f>
        <v>Facturas Procesadas por Marca</v>
      </c>
      <c r="F341" t="str">
        <f ca="1">+IFERROR(VLOOKUP(Fact_Administrativa[[#This Row], [Concepto Anterior]],Conceptos_Administrativa[#All],7,0),"")</f>
        <v/>
      </c>
      <c r="G341" t="s">
        <v>54</v>
      </c>
      <c r="H341" t="s">
        <v>172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93">
        <v>15</v>
      </c>
    </row>
    <row r="342" spans="1:11" ht="18.75" customHeight="1" x14ac:dyDescent="0.35">
      <c r="A342" s="93">
        <v>2024</v>
      </c>
      <c r="B342" t="s">
        <v>184</v>
      </c>
      <c r="C342" s="100">
        <f>IF(OR(Fact_Administrativa[[#This Row], [Año]]="",Fact_Administrativa[[#This Row], [Mes]]=""),"",DATE(A342,MATCH(B342,{"enero","febrero","marzo","abril","mayo","junio","julio","agosto","septiembre","octubre","noviembre","diciembre"},0)+1,0))</f>
        <v>45657</v>
      </c>
      <c r="D342" t="s">
        <v>55</v>
      </c>
      <c r="E342" t="str">
        <f>+IFERROR(VLOOKUP(Fact_Administrativa[[#This Row], [Concepto Anterior]],Conceptos_Administrativa[#All],5,0),"")</f>
        <v>Facturas Procesadas por Marca</v>
      </c>
      <c r="F342" t="str">
        <f ca="1">+IFERROR(VLOOKUP(Fact_Administrativa[[#This Row], [Concepto Anterior]],Conceptos_Administrativa[#All],7,0),"")</f>
        <v/>
      </c>
      <c r="G342" t="s">
        <v>56</v>
      </c>
      <c r="H342" t="s">
        <v>172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93">
        <v>108</v>
      </c>
    </row>
    <row r="343" spans="1:11" ht="18.75" customHeight="1" x14ac:dyDescent="0.35">
      <c r="A343" s="93">
        <v>2024</v>
      </c>
      <c r="B343" t="s">
        <v>184</v>
      </c>
      <c r="C343" s="100">
        <f>IF(OR(Fact_Administrativa[[#This Row], [Año]]="",Fact_Administrativa[[#This Row], [Mes]]=""),"",DATE(A343,MATCH(B343,{"enero","febrero","marzo","abril","mayo","junio","julio","agosto","septiembre","octubre","noviembre","diciembre"},0)+1,0))</f>
        <v>45657</v>
      </c>
      <c r="D343" t="s">
        <v>57</v>
      </c>
      <c r="E343" t="str">
        <f>+IFERROR(VLOOKUP(Fact_Administrativa[[#This Row], [Concepto Anterior]],Conceptos_Administrativa[#All],5,0),"")</f>
        <v>Facturas Procesadas por Marca</v>
      </c>
      <c r="F343" t="str">
        <f ca="1">+IFERROR(VLOOKUP(Fact_Administrativa[[#This Row], [Concepto Anterior]],Conceptos_Administrativa[#All],7,0),"")</f>
        <v/>
      </c>
      <c r="G343" t="s">
        <v>58</v>
      </c>
      <c r="H343" t="s">
        <v>172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93">
        <v>93</v>
      </c>
    </row>
    <row r="344" spans="1:11" ht="18.75" customHeight="1" x14ac:dyDescent="0.35">
      <c r="A344" s="93">
        <v>2024</v>
      </c>
      <c r="B344" t="s">
        <v>184</v>
      </c>
      <c r="C344" s="100">
        <f>IF(OR(Fact_Administrativa[[#This Row], [Año]]="",Fact_Administrativa[[#This Row], [Mes]]=""),"",DATE(A344,MATCH(B344,{"enero","febrero","marzo","abril","mayo","junio","julio","agosto","septiembre","octubre","noviembre","diciembre"},0)+1,0))</f>
        <v>45657</v>
      </c>
      <c r="D344" t="s">
        <v>28</v>
      </c>
      <c r="E344" t="str">
        <f>+IFERROR(VLOOKUP(Fact_Administrativa[[#This Row], [Concepto Anterior]],Conceptos_Administrativa[#All],5,0),"")</f>
        <v xml:space="preserve">Ahorro reformas tiendas </v>
      </c>
      <c r="F344" t="str">
        <f ca="1">+IFERROR(VLOOKUP(Fact_Administrativa[[#This Row], [Concepto Anterior]],Conceptos_Administrativa[#All],7,0),"")</f>
        <v/>
      </c>
      <c r="G344" t="s">
        <v>172</v>
      </c>
      <c r="H344" t="s">
        <v>172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93">
        <v>0</v>
      </c>
    </row>
    <row r="345" spans="1:11" ht="18.75" customHeight="1" x14ac:dyDescent="0.35">
      <c r="A345" s="93">
        <v>2024</v>
      </c>
      <c r="B345" t="s">
        <v>184</v>
      </c>
      <c r="C345" s="100">
        <f>IF(OR(Fact_Administrativa[[#This Row], [Año]]="",Fact_Administrativa[[#This Row], [Mes]]=""),"",DATE(A345,MATCH(B345,{"enero","febrero","marzo","abril","mayo","junio","julio","agosto","septiembre","octubre","noviembre","diciembre"},0)+1,0))</f>
        <v>45657</v>
      </c>
      <c r="D345" t="s">
        <v>29</v>
      </c>
      <c r="E345" t="str">
        <f>+IFERROR(VLOOKUP(Fact_Administrativa[[#This Row], [Concepto Anterior]],Conceptos_Administrativa[#All],5,0),"")</f>
        <v>Recuperaciones Siniestros</v>
      </c>
      <c r="F345" t="str">
        <f ca="1">+IFERROR(VLOOKUP(Fact_Administrativa[[#This Row], [Concepto Anterior]],Conceptos_Administrativa[#All],7,0),"")</f>
        <v/>
      </c>
      <c r="G345" t="s">
        <v>172</v>
      </c>
      <c r="H345" t="s">
        <v>172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93">
        <v>0</v>
      </c>
    </row>
    <row r="346" spans="1:11" ht="18.75" customHeight="1" x14ac:dyDescent="0.35">
      <c r="A346" s="93">
        <v>2024</v>
      </c>
      <c r="B346" t="s">
        <v>184</v>
      </c>
      <c r="C346" s="100">
        <f>IF(OR(Fact_Administrativa[[#This Row], [Año]]="",Fact_Administrativa[[#This Row], [Mes]]=""),"",DATE(A346,MATCH(B346,{"enero","febrero","marzo","abril","mayo","junio","julio","agosto","septiembre","octubre","noviembre","diciembre"},0)+1,0))</f>
        <v>45657</v>
      </c>
      <c r="D346" t="s">
        <v>30</v>
      </c>
      <c r="E346" t="str">
        <f>+IFERROR(VLOOKUP(Fact_Administrativa[[#This Row], [Concepto Anterior]],Conceptos_Administrativa[#All],5,0),"")</f>
        <v>Gestión de Polizas</v>
      </c>
      <c r="F346" t="str">
        <f ca="1">+IFERROR(VLOOKUP(Fact_Administrativa[[#This Row], [Concepto Anterior]],Conceptos_Administrativa[#All],7,0),"")</f>
        <v/>
      </c>
      <c r="G346" t="s">
        <v>172</v>
      </c>
      <c r="H346" t="s">
        <v>172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93">
        <v>0</v>
      </c>
    </row>
    <row r="347" spans="1:11" ht="18.75" customHeight="1" x14ac:dyDescent="0.35">
      <c r="A347" s="93">
        <v>2024</v>
      </c>
      <c r="B347" t="s">
        <v>184</v>
      </c>
      <c r="C347" s="100">
        <f>IF(OR(Fact_Administrativa[[#This Row], [Año]]="",Fact_Administrativa[[#This Row], [Mes]]=""),"",DATE(A347,MATCH(B347,{"enero","febrero","marzo","abril","mayo","junio","julio","agosto","septiembre","octubre","noviembre","diciembre"},0)+1,0))</f>
        <v>45657</v>
      </c>
      <c r="D347" t="s">
        <v>32</v>
      </c>
      <c r="E347" t="str">
        <f>+IFERROR(VLOOKUP(Fact_Administrativa[[#This Row], [Concepto Anterior]],Conceptos_Administrativa[#All],5,0),"")</f>
        <v>Tickets cerrados</v>
      </c>
      <c r="F347" t="str">
        <f ca="1">+IFERROR(VLOOKUP(Fact_Administrativa[[#This Row], [Concepto Anterior]],Conceptos_Administrativa[#All],7,0),"")</f>
        <v/>
      </c>
      <c r="G347" t="s">
        <v>172</v>
      </c>
      <c r="H347" t="s">
        <v>172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93">
        <v>866</v>
      </c>
    </row>
    <row r="348" spans="1:11" ht="18.75" customHeight="1" x14ac:dyDescent="0.35">
      <c r="A348" s="93">
        <v>2024</v>
      </c>
      <c r="B348" t="s">
        <v>184</v>
      </c>
      <c r="C348" s="100">
        <f>IF(OR(Fact_Administrativa[[#This Row], [Año]]="",Fact_Administrativa[[#This Row], [Mes]]=""),"",DATE(A348,MATCH(B348,{"enero","febrero","marzo","abril","mayo","junio","julio","agosto","septiembre","octubre","noviembre","diciembre"},0)+1,0))</f>
        <v>45657</v>
      </c>
      <c r="D348" t="s">
        <v>210</v>
      </c>
      <c r="E348" t="str">
        <f>+IFERROR(VLOOKUP(Fact_Administrativa[[#This Row], [Concepto Anterior]],Conceptos_Administrativa[#All],5,0),"")</f>
        <v>Tickets proceso</v>
      </c>
      <c r="F348" t="str">
        <f ca="1">+IFERROR(VLOOKUP(Fact_Administrativa[[#This Row], [Concepto Anterior]],Conceptos_Administrativa[#All],7,0),"")</f>
        <v/>
      </c>
      <c r="G348" t="s">
        <v>172</v>
      </c>
      <c r="H348" t="s">
        <v>172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93">
        <v>85</v>
      </c>
    </row>
    <row r="349" spans="1:11" ht="18.75" customHeight="1" x14ac:dyDescent="0.35">
      <c r="A349" s="93">
        <v>2024</v>
      </c>
      <c r="B349" t="s">
        <v>184</v>
      </c>
      <c r="C349" s="100">
        <f>IF(OR(Fact_Administrativa[[#This Row], [Año]]="",Fact_Administrativa[[#This Row], [Mes]]=""),"",DATE(A349,MATCH(B349,{"enero","febrero","marzo","abril","mayo","junio","julio","agosto","septiembre","octubre","noviembre","diciembre"},0)+1,0))</f>
        <v>45657</v>
      </c>
      <c r="D349" t="s">
        <v>31</v>
      </c>
      <c r="E349" t="str">
        <f>+IFERROR(VLOOKUP(Fact_Administrativa[[#This Row], [Concepto Anterior]],Conceptos_Administrativa[#All],5,0),"")</f>
        <v>Tickets recibidos</v>
      </c>
      <c r="F349" t="str">
        <f ca="1">+IFERROR(VLOOKUP(Fact_Administrativa[[#This Row], [Concepto Anterior]],Conceptos_Administrativa[#All],7,0),"")</f>
        <v/>
      </c>
      <c r="G349" t="s">
        <v>172</v>
      </c>
      <c r="H349" t="s">
        <v>172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93">
        <v>951</v>
      </c>
    </row>
    <row r="350" spans="1:11" ht="18.75" customHeight="1" x14ac:dyDescent="0.35">
      <c r="A350" s="93">
        <v>2025</v>
      </c>
      <c r="B350" s="106" t="s">
        <v>171</v>
      </c>
      <c r="C350" s="100">
        <f>IF(OR(Fact_Administrativa[[#This Row], [Año]]="",Fact_Administrativa[[#This Row], [Mes]]=""),"",DATE(A350,MATCH(B350,{"enero","febrero","marzo","abril","mayo","junio","julio","agosto","septiembre","octubre","noviembre","diciembre"},0)+1,0))</f>
        <v>45688</v>
      </c>
      <c r="D350" t="s">
        <v>27</v>
      </c>
      <c r="E350" t="str">
        <f>+IFERROR(VLOOKUP(Fact_Administrativa[[#This Row], [Concepto Anterior]],Conceptos_Administrativa[#All],5,0),"")</f>
        <v>Ahorro energía</v>
      </c>
      <c r="F350" t="str">
        <f ca="1">+IFERROR(VLOOKUP(Fact_Administrativa[[#This Row], [Concepto Anterior]],Conceptos_Administrativa[#All],7,0),"")</f>
        <v/>
      </c>
      <c r="G350" t="s">
        <v>172</v>
      </c>
      <c r="H350" t="s">
        <v>172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93">
        <v>23858082</v>
      </c>
    </row>
    <row r="351" spans="1:11" ht="18.75" customHeight="1" x14ac:dyDescent="0.35">
      <c r="A351" s="93">
        <v>2025</v>
      </c>
      <c r="B351" s="106" t="s">
        <v>171</v>
      </c>
      <c r="C351" s="100">
        <f>IF(OR(Fact_Administrativa[[#This Row], [Año]]="",Fact_Administrativa[[#This Row], [Mes]]=""),"",DATE(A351,MATCH(B351,{"enero","febrero","marzo","abril","mayo","junio","julio","agosto","septiembre","octubre","noviembre","diciembre"},0)+1,0))</f>
        <v>45688</v>
      </c>
      <c r="D351" t="s">
        <v>118</v>
      </c>
      <c r="E351" t="str">
        <f>+IFERROR(VLOOKUP(Fact_Administrativa[[#This Row], [Concepto Anterior]],Conceptos_Administrativa[#All],5,0),"")</f>
        <v xml:space="preserve">Cant. reformas tiendas </v>
      </c>
      <c r="F351" t="str">
        <f ca="1">+IFERROR(VLOOKUP(Fact_Administrativa[[#This Row], [Concepto Anterior]],Conceptos_Administrativa[#All],7,0),"")</f>
        <v/>
      </c>
      <c r="G351" t="s">
        <v>172</v>
      </c>
      <c r="H351" t="s">
        <v>172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93">
        <v>1</v>
      </c>
    </row>
    <row r="352" spans="1:11" ht="18.75" customHeight="1" x14ac:dyDescent="0.35">
      <c r="A352" s="93">
        <v>2025</v>
      </c>
      <c r="B352" s="106" t="s">
        <v>171</v>
      </c>
      <c r="C352" s="100">
        <f>IF(OR(Fact_Administrativa[[#This Row], [Año]]="",Fact_Administrativa[[#This Row], [Mes]]=""),"",DATE(A352,MATCH(B352,{"enero","febrero","marzo","abril","mayo","junio","julio","agosto","septiembre","octubre","noviembre","diciembre"},0)+1,0))</f>
        <v>45688</v>
      </c>
      <c r="D352" t="s">
        <v>40</v>
      </c>
      <c r="E352" t="str">
        <f>+IFERROR(VLOOKUP(Fact_Administrativa[[#This Row], [Concepto Anterior]],Conceptos_Administrativa[#All],5,0),"")</f>
        <v xml:space="preserve">Contratos de arrendamientos </v>
      </c>
      <c r="F352" t="str">
        <f ca="1">+IFERROR(VLOOKUP(Fact_Administrativa[[#This Row], [Concepto Anterior]],Conceptos_Administrativa[#All],7,0),"")</f>
        <v/>
      </c>
      <c r="G352" t="s">
        <v>172</v>
      </c>
      <c r="H352" t="s">
        <v>172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93">
        <v>416</v>
      </c>
    </row>
    <row r="353" spans="1:11" ht="18.75" customHeight="1" x14ac:dyDescent="0.35">
      <c r="A353" s="93">
        <v>2025</v>
      </c>
      <c r="B353" s="106" t="s">
        <v>171</v>
      </c>
      <c r="C353" s="100">
        <f>IF(OR(Fact_Administrativa[[#This Row], [Año]]="",Fact_Administrativa[[#This Row], [Mes]]=""),"",DATE(A353,MATCH(B353,{"enero","febrero","marzo","abril","mayo","junio","julio","agosto","septiembre","octubre","noviembre","diciembre"},0)+1,0))</f>
        <v>45688</v>
      </c>
      <c r="D353" t="s">
        <v>25</v>
      </c>
      <c r="E353" t="str">
        <f>+IFERROR(VLOOKUP(Fact_Administrativa[[#This Row], [Concepto Anterior]],Conceptos_Administrativa[#All],5,0),"")</f>
        <v>Control Ingresos cede Dogama</v>
      </c>
      <c r="F353" t="str">
        <f ca="1">+IFERROR(VLOOKUP(Fact_Administrativa[[#This Row], [Concepto Anterior]],Conceptos_Administrativa[#All],7,0),"")</f>
        <v/>
      </c>
      <c r="G353" t="s">
        <v>172</v>
      </c>
      <c r="H353" t="s">
        <v>172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93">
        <v>15465</v>
      </c>
    </row>
    <row r="354" spans="1:11" ht="18.75" customHeight="1" x14ac:dyDescent="0.35">
      <c r="A354" s="102">
        <v>2025</v>
      </c>
      <c r="B354" s="106" t="s">
        <v>171</v>
      </c>
      <c r="C354" s="100">
        <f>IF(OR(Fact_Administrativa[[#This Row], [Año]]="",Fact_Administrativa[[#This Row], [Mes]]=""),"",DATE(A354,MATCH(B354,{"enero","febrero","marzo","abril","mayo","junio","julio","agosto","septiembre","octubre","noviembre","diciembre"},0)+1,0))</f>
        <v>45688</v>
      </c>
      <c r="D354" t="s">
        <v>209</v>
      </c>
      <c r="E354" t="str">
        <f>+IFERROR(VLOOKUP(Fact_Administrativa[[#This Row], [Concepto Anterior]],Conceptos_Administrativa[#All],5,0),"")</f>
        <v>Emisiones CO²</v>
      </c>
      <c r="F354" t="str">
        <f ca="1">+IFERROR(VLOOKUP(Fact_Administrativa[[#This Row], [Concepto Anterior]],Conceptos_Administrativa[#All],7,0),"")</f>
        <v/>
      </c>
      <c r="G354" t="s">
        <v>172</v>
      </c>
      <c r="H354" t="s">
        <v>172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07">
        <v>23.5</v>
      </c>
    </row>
    <row r="355" spans="1:11" ht="18.75" customHeight="1" x14ac:dyDescent="0.35">
      <c r="A355" s="93">
        <v>2025</v>
      </c>
      <c r="B355" s="106" t="s">
        <v>171</v>
      </c>
      <c r="C355" s="100">
        <f>IF(OR(Fact_Administrativa[[#This Row], [Año]]="",Fact_Administrativa[[#This Row], [Mes]]=""),"",DATE(A355,MATCH(B355,{"enero","febrero","marzo","abril","mayo","junio","julio","agosto","septiembre","octubre","noviembre","diciembre"},0)+1,0))</f>
        <v>45688</v>
      </c>
      <c r="D355" t="s">
        <v>38</v>
      </c>
      <c r="E355" t="str">
        <f>+IFERROR(VLOOKUP(Fact_Administrativa[[#This Row], [Concepto Anterior]],Conceptos_Administrativa[#All],5,0),"")</f>
        <v>Facturas de arrendamientos y administración</v>
      </c>
      <c r="F355" t="str">
        <f ca="1">+IFERROR(VLOOKUP(Fact_Administrativa[[#This Row], [Concepto Anterior]],Conceptos_Administrativa[#All],7,0),"")</f>
        <v/>
      </c>
      <c r="G355" t="s">
        <v>172</v>
      </c>
      <c r="H355" t="s">
        <v>172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93">
        <v>1052</v>
      </c>
    </row>
    <row r="356" spans="1:11" ht="18.75" customHeight="1" x14ac:dyDescent="0.35">
      <c r="A356" s="93">
        <v>2025</v>
      </c>
      <c r="B356" s="106" t="s">
        <v>171</v>
      </c>
      <c r="C356" s="100">
        <f>IF(OR(Fact_Administrativa[[#This Row], [Año]]="",Fact_Administrativa[[#This Row], [Mes]]=""),"",DATE(A356,MATCH(B356,{"enero","febrero","marzo","abril","mayo","junio","julio","agosto","septiembre","octubre","noviembre","diciembre"},0)+1,0))</f>
        <v>45688</v>
      </c>
      <c r="D356" t="s">
        <v>41</v>
      </c>
      <c r="E356" t="str">
        <f>+IFERROR(VLOOKUP(Fact_Administrativa[[#This Row], [Concepto Anterior]],Conceptos_Administrativa[#All],5,0),"")</f>
        <v>Facturas Procesadas por Marca</v>
      </c>
      <c r="F356" t="str">
        <f ca="1">+IFERROR(VLOOKUP(Fact_Administrativa[[#This Row], [Concepto Anterior]],Conceptos_Administrativa[#All],7,0),"")</f>
        <v/>
      </c>
      <c r="G356" t="s">
        <v>42</v>
      </c>
      <c r="H356" t="s">
        <v>172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93">
        <v>716</v>
      </c>
    </row>
    <row r="357" spans="1:11" ht="18.75" customHeight="1" x14ac:dyDescent="0.35">
      <c r="A357" s="93">
        <v>2025</v>
      </c>
      <c r="B357" s="106" t="s">
        <v>171</v>
      </c>
      <c r="C357" s="100">
        <f>IF(OR(Fact_Administrativa[[#This Row], [Año]]="",Fact_Administrativa[[#This Row], [Mes]]=""),"",DATE(A357,MATCH(B357,{"enero","febrero","marzo","abril","mayo","junio","julio","agosto","septiembre","octubre","noviembre","diciembre"},0)+1,0))</f>
        <v>45688</v>
      </c>
      <c r="D357" t="s">
        <v>41</v>
      </c>
      <c r="E357" t="str">
        <f>+IFERROR(VLOOKUP(Fact_Administrativa[[#This Row], [Concepto Anterior]],Conceptos_Administrativa[#All],5,0),"")</f>
        <v>Facturas Procesadas por Marca</v>
      </c>
      <c r="F357" t="str">
        <f ca="1">+IFERROR(VLOOKUP(Fact_Administrativa[[#This Row], [Concepto Anterior]],Conceptos_Administrativa[#All],7,0),"")</f>
        <v/>
      </c>
      <c r="G357" t="s">
        <v>43</v>
      </c>
      <c r="H357" t="s">
        <v>172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93">
        <v>927</v>
      </c>
    </row>
    <row r="358" spans="1:11" ht="18.75" customHeight="1" x14ac:dyDescent="0.35">
      <c r="A358" s="93">
        <v>2025</v>
      </c>
      <c r="B358" s="106" t="s">
        <v>171</v>
      </c>
      <c r="C358" s="100">
        <f>IF(OR(Fact_Administrativa[[#This Row], [Año]]="",Fact_Administrativa[[#This Row], [Mes]]=""),"",DATE(A358,MATCH(B358,{"enero","febrero","marzo","abril","mayo","junio","julio","agosto","septiembre","octubre","noviembre","diciembre"},0)+1,0))</f>
        <v>45688</v>
      </c>
      <c r="D358" t="s">
        <v>41</v>
      </c>
      <c r="E358" t="str">
        <f>+IFERROR(VLOOKUP(Fact_Administrativa[[#This Row], [Concepto Anterior]],Conceptos_Administrativa[#All],5,0),"")</f>
        <v>Facturas Procesadas por Marca</v>
      </c>
      <c r="F358" t="str">
        <f ca="1">+IFERROR(VLOOKUP(Fact_Administrativa[[#This Row], [Concepto Anterior]],Conceptos_Administrativa[#All],7,0),"")</f>
        <v/>
      </c>
      <c r="G358" t="s">
        <v>44</v>
      </c>
      <c r="H358" t="s">
        <v>172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93">
        <v>1226</v>
      </c>
    </row>
    <row r="359" spans="1:11" ht="18.75" customHeight="1" x14ac:dyDescent="0.35">
      <c r="A359" s="93">
        <v>2025</v>
      </c>
      <c r="B359" s="106" t="s">
        <v>171</v>
      </c>
      <c r="C359" s="100">
        <f>IF(OR(Fact_Administrativa[[#This Row], [Año]]="",Fact_Administrativa[[#This Row], [Mes]]=""),"",DATE(A359,MATCH(B359,{"enero","febrero","marzo","abril","mayo","junio","julio","agosto","septiembre","octubre","noviembre","diciembre"},0)+1,0))</f>
        <v>45688</v>
      </c>
      <c r="D359" t="s">
        <v>41</v>
      </c>
      <c r="E359" t="str">
        <f>+IFERROR(VLOOKUP(Fact_Administrativa[[#This Row], [Concepto Anterior]],Conceptos_Administrativa[#All],5,0),"")</f>
        <v>Facturas Procesadas por Marca</v>
      </c>
      <c r="F359" t="str">
        <f ca="1">+IFERROR(VLOOKUP(Fact_Administrativa[[#This Row], [Concepto Anterior]],Conceptos_Administrativa[#All],7,0),"")</f>
        <v/>
      </c>
      <c r="G359" t="s">
        <v>45</v>
      </c>
      <c r="H359" t="s">
        <v>172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93">
        <v>429</v>
      </c>
    </row>
    <row r="360" spans="1:11" ht="18.75" customHeight="1" x14ac:dyDescent="0.35">
      <c r="A360" s="93">
        <v>2025</v>
      </c>
      <c r="B360" s="106" t="s">
        <v>171</v>
      </c>
      <c r="C360" s="100">
        <f>IF(OR(Fact_Administrativa[[#This Row], [Año]]="",Fact_Administrativa[[#This Row], [Mes]]=""),"",DATE(A360,MATCH(B360,{"enero","febrero","marzo","abril","mayo","junio","julio","agosto","septiembre","octubre","noviembre","diciembre"},0)+1,0))</f>
        <v>45688</v>
      </c>
      <c r="D360" t="s">
        <v>41</v>
      </c>
      <c r="E360" t="str">
        <f>+IFERROR(VLOOKUP(Fact_Administrativa[[#This Row], [Concepto Anterior]],Conceptos_Administrativa[#All],5,0),"")</f>
        <v>Facturas Procesadas por Marca</v>
      </c>
      <c r="F360" t="str">
        <f ca="1">+IFERROR(VLOOKUP(Fact_Administrativa[[#This Row], [Concepto Anterior]],Conceptos_Administrativa[#All],7,0),"")</f>
        <v/>
      </c>
      <c r="G360" t="s">
        <v>46</v>
      </c>
      <c r="H360" t="s">
        <v>172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93">
        <v>140</v>
      </c>
    </row>
    <row r="361" spans="1:11" ht="18.75" customHeight="1" x14ac:dyDescent="0.35">
      <c r="A361" s="93">
        <v>2025</v>
      </c>
      <c r="B361" s="106" t="s">
        <v>171</v>
      </c>
      <c r="C361" s="100">
        <f>IF(OR(Fact_Administrativa[[#This Row], [Año]]="",Fact_Administrativa[[#This Row], [Mes]]=""),"",DATE(A361,MATCH(B361,{"enero","febrero","marzo","abril","mayo","junio","julio","agosto","septiembre","octubre","noviembre","diciembre"},0)+1,0))</f>
        <v>45688</v>
      </c>
      <c r="D361" t="s">
        <v>41</v>
      </c>
      <c r="E361" t="str">
        <f>+IFERROR(VLOOKUP(Fact_Administrativa[[#This Row], [Concepto Anterior]],Conceptos_Administrativa[#All],5,0),"")</f>
        <v>Facturas Procesadas por Marca</v>
      </c>
      <c r="F361" t="str">
        <f ca="1">+IFERROR(VLOOKUP(Fact_Administrativa[[#This Row], [Concepto Anterior]],Conceptos_Administrativa[#All],7,0),"")</f>
        <v/>
      </c>
      <c r="G361" t="s">
        <v>47</v>
      </c>
      <c r="H361" t="s">
        <v>172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93">
        <v>30</v>
      </c>
    </row>
    <row r="362" spans="1:11" ht="18.75" customHeight="1" x14ac:dyDescent="0.35">
      <c r="A362" s="93">
        <v>2025</v>
      </c>
      <c r="B362" s="106" t="s">
        <v>171</v>
      </c>
      <c r="C362" s="100">
        <f>IF(OR(Fact_Administrativa[[#This Row], [Año]]="",Fact_Administrativa[[#This Row], [Mes]]=""),"",DATE(A362,MATCH(B362,{"enero","febrero","marzo","abril","mayo","junio","julio","agosto","septiembre","octubre","noviembre","diciembre"},0)+1,0))</f>
        <v>45688</v>
      </c>
      <c r="D362" t="s">
        <v>41</v>
      </c>
      <c r="E362" t="str">
        <f>+IFERROR(VLOOKUP(Fact_Administrativa[[#This Row], [Concepto Anterior]],Conceptos_Administrativa[#All],5,0),"")</f>
        <v>Facturas Procesadas por Marca</v>
      </c>
      <c r="F362" t="str">
        <f ca="1">+IFERROR(VLOOKUP(Fact_Administrativa[[#This Row], [Concepto Anterior]],Conceptos_Administrativa[#All],7,0),"")</f>
        <v/>
      </c>
      <c r="G362" t="s">
        <v>48</v>
      </c>
      <c r="H362" t="s">
        <v>172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93">
        <v>982</v>
      </c>
    </row>
    <row r="363" spans="1:11" ht="18.75" customHeight="1" x14ac:dyDescent="0.35">
      <c r="A363" s="93">
        <v>2025</v>
      </c>
      <c r="B363" s="106" t="s">
        <v>171</v>
      </c>
      <c r="C363" s="100">
        <f>IF(OR(Fact_Administrativa[[#This Row], [Año]]="",Fact_Administrativa[[#This Row], [Mes]]=""),"",DATE(A363,MATCH(B363,{"enero","febrero","marzo","abril","mayo","junio","julio","agosto","septiembre","octubre","noviembre","diciembre"},0)+1,0))</f>
        <v>45688</v>
      </c>
      <c r="D363" t="s">
        <v>41</v>
      </c>
      <c r="E363" t="str">
        <f>+IFERROR(VLOOKUP(Fact_Administrativa[[#This Row], [Concepto Anterior]],Conceptos_Administrativa[#All],5,0),"")</f>
        <v>Facturas Procesadas por Marca</v>
      </c>
      <c r="F363" t="str">
        <f ca="1">+IFERROR(VLOOKUP(Fact_Administrativa[[#This Row], [Concepto Anterior]],Conceptos_Administrativa[#All],7,0),"")</f>
        <v/>
      </c>
      <c r="G363" t="s">
        <v>49</v>
      </c>
      <c r="H363" t="s">
        <v>172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93">
        <v>1150</v>
      </c>
    </row>
    <row r="364" spans="1:11" ht="18.75" customHeight="1" x14ac:dyDescent="0.35">
      <c r="A364" s="93">
        <v>2025</v>
      </c>
      <c r="B364" s="106" t="s">
        <v>171</v>
      </c>
      <c r="C364" s="100">
        <f>IF(OR(Fact_Administrativa[[#This Row], [Año]]="",Fact_Administrativa[[#This Row], [Mes]]=""),"",DATE(A364,MATCH(B364,{"enero","febrero","marzo","abril","mayo","junio","julio","agosto","septiembre","octubre","noviembre","diciembre"},0)+1,0))</f>
        <v>45688</v>
      </c>
      <c r="D364" t="s">
        <v>41</v>
      </c>
      <c r="E364" t="str">
        <f>+IFERROR(VLOOKUP(Fact_Administrativa[[#This Row], [Concepto Anterior]],Conceptos_Administrativa[#All],5,0),"")</f>
        <v>Facturas Procesadas por Marca</v>
      </c>
      <c r="F364" t="str">
        <f ca="1">+IFERROR(VLOOKUP(Fact_Administrativa[[#This Row], [Concepto Anterior]],Conceptos_Administrativa[#All],7,0),"")</f>
        <v/>
      </c>
      <c r="G364" t="s">
        <v>50</v>
      </c>
      <c r="H364" t="s">
        <v>172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93">
        <v>1474</v>
      </c>
    </row>
    <row r="365" spans="1:11" ht="18.75" customHeight="1" x14ac:dyDescent="0.35">
      <c r="A365" s="93">
        <v>2025</v>
      </c>
      <c r="B365" s="106" t="s">
        <v>171</v>
      </c>
      <c r="C365" s="100">
        <f>IF(OR(Fact_Administrativa[[#This Row], [Año]]="",Fact_Administrativa[[#This Row], [Mes]]=""),"",DATE(A365,MATCH(B365,{"enero","febrero","marzo","abril","mayo","junio","julio","agosto","septiembre","octubre","noviembre","diciembre"},0)+1,0))</f>
        <v>45688</v>
      </c>
      <c r="D365" t="s">
        <v>41</v>
      </c>
      <c r="E365" t="str">
        <f>+IFERROR(VLOOKUP(Fact_Administrativa[[#This Row], [Concepto Anterior]],Conceptos_Administrativa[#All],5,0),"")</f>
        <v>Facturas Procesadas por Marca</v>
      </c>
      <c r="F365" t="str">
        <f ca="1">+IFERROR(VLOOKUP(Fact_Administrativa[[#This Row], [Concepto Anterior]],Conceptos_Administrativa[#All],7,0),"")</f>
        <v/>
      </c>
      <c r="G365" t="s">
        <v>121</v>
      </c>
      <c r="H365" t="s">
        <v>172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93">
        <v>0</v>
      </c>
    </row>
    <row r="366" spans="1:11" ht="18.75" customHeight="1" x14ac:dyDescent="0.35">
      <c r="A366" s="93">
        <v>2025</v>
      </c>
      <c r="B366" s="106" t="s">
        <v>171</v>
      </c>
      <c r="C366" s="100">
        <f>IF(OR(Fact_Administrativa[[#This Row], [Año]]="",Fact_Administrativa[[#This Row], [Mes]]=""),"",DATE(A366,MATCH(B366,{"enero","febrero","marzo","abril","mayo","junio","julio","agosto","septiembre","octubre","noviembre","diciembre"},0)+1,0))</f>
        <v>45688</v>
      </c>
      <c r="D366" t="s">
        <v>41</v>
      </c>
      <c r="E366" t="str">
        <f>+IFERROR(VLOOKUP(Fact_Administrativa[[#This Row], [Concepto Anterior]],Conceptos_Administrativa[#All],5,0),"")</f>
        <v>Facturas Procesadas por Marca</v>
      </c>
      <c r="F366" t="str">
        <f ca="1">+IFERROR(VLOOKUP(Fact_Administrativa[[#This Row], [Concepto Anterior]],Conceptos_Administrativa[#All],7,0),"")</f>
        <v/>
      </c>
      <c r="G366" t="s">
        <v>51</v>
      </c>
      <c r="H366" t="s">
        <v>172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93">
        <v>822</v>
      </c>
    </row>
    <row r="367" spans="1:11" ht="18.75" customHeight="1" x14ac:dyDescent="0.35">
      <c r="A367" s="93">
        <v>2025</v>
      </c>
      <c r="B367" s="106" t="s">
        <v>171</v>
      </c>
      <c r="C367" s="100">
        <f>IF(OR(Fact_Administrativa[[#This Row], [Año]]="",Fact_Administrativa[[#This Row], [Mes]]=""),"",DATE(A367,MATCH(B367,{"enero","febrero","marzo","abril","mayo","junio","julio","agosto","septiembre","octubre","noviembre","diciembre"},0)+1,0))</f>
        <v>45688</v>
      </c>
      <c r="D367" t="s">
        <v>41</v>
      </c>
      <c r="E367" t="str">
        <f>+IFERROR(VLOOKUP(Fact_Administrativa[[#This Row], [Concepto Anterior]],Conceptos_Administrativa[#All],5,0),"")</f>
        <v>Facturas Procesadas por Marca</v>
      </c>
      <c r="F367" t="str">
        <f ca="1">+IFERROR(VLOOKUP(Fact_Administrativa[[#This Row], [Concepto Anterior]],Conceptos_Administrativa[#All],7,0),"")</f>
        <v/>
      </c>
      <c r="G367" t="s">
        <v>52</v>
      </c>
      <c r="H367" t="s">
        <v>172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93">
        <v>503</v>
      </c>
    </row>
    <row r="368" spans="1:11" ht="18.75" customHeight="1" x14ac:dyDescent="0.35">
      <c r="A368" s="93">
        <v>2025</v>
      </c>
      <c r="B368" s="106" t="s">
        <v>171</v>
      </c>
      <c r="C368" s="100">
        <f>IF(OR(Fact_Administrativa[[#This Row], [Año]]="",Fact_Administrativa[[#This Row], [Mes]]=""),"",DATE(A368,MATCH(B368,{"enero","febrero","marzo","abril","mayo","junio","julio","agosto","septiembre","octubre","noviembre","diciembre"},0)+1,0))</f>
        <v>45688</v>
      </c>
      <c r="D368" t="s">
        <v>41</v>
      </c>
      <c r="E368" t="str">
        <f>+IFERROR(VLOOKUP(Fact_Administrativa[[#This Row], [Concepto Anterior]],Conceptos_Administrativa[#All],5,0),"")</f>
        <v>Facturas Procesadas por Marca</v>
      </c>
      <c r="F368" t="str">
        <f ca="1">+IFERROR(VLOOKUP(Fact_Administrativa[[#This Row], [Concepto Anterior]],Conceptos_Administrativa[#All],7,0),"")</f>
        <v/>
      </c>
      <c r="G368" t="s">
        <v>53</v>
      </c>
      <c r="H368" t="s">
        <v>172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93">
        <v>291</v>
      </c>
    </row>
    <row r="369" spans="1:11" ht="18.75" customHeight="1" x14ac:dyDescent="0.35">
      <c r="A369" s="93">
        <v>2025</v>
      </c>
      <c r="B369" s="106" t="s">
        <v>171</v>
      </c>
      <c r="C369" s="100">
        <f>IF(OR(Fact_Administrativa[[#This Row], [Año]]="",Fact_Administrativa[[#This Row], [Mes]]=""),"",DATE(A369,MATCH(B369,{"enero","febrero","marzo","abril","mayo","junio","julio","agosto","septiembre","octubre","noviembre","diciembre"},0)+1,0))</f>
        <v>45688</v>
      </c>
      <c r="D369" t="s">
        <v>41</v>
      </c>
      <c r="E369" t="str">
        <f>+IFERROR(VLOOKUP(Fact_Administrativa[[#This Row], [Concepto Anterior]],Conceptos_Administrativa[#All],5,0),"")</f>
        <v>Facturas Procesadas por Marca</v>
      </c>
      <c r="F369" t="str">
        <f ca="1">+IFERROR(VLOOKUP(Fact_Administrativa[[#This Row], [Concepto Anterior]],Conceptos_Administrativa[#All],7,0),"")</f>
        <v/>
      </c>
      <c r="G369" t="s">
        <v>54</v>
      </c>
      <c r="H369" t="s">
        <v>172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93">
        <v>5</v>
      </c>
    </row>
    <row r="370" spans="1:11" ht="18.75" customHeight="1" x14ac:dyDescent="0.35">
      <c r="A370" s="93">
        <v>2025</v>
      </c>
      <c r="B370" s="106" t="s">
        <v>171</v>
      </c>
      <c r="C370" s="100">
        <f>IF(OR(Fact_Administrativa[[#This Row], [Año]]="",Fact_Administrativa[[#This Row], [Mes]]=""),"",DATE(A370,MATCH(B370,{"enero","febrero","marzo","abril","mayo","junio","julio","agosto","septiembre","octubre","noviembre","diciembre"},0)+1,0))</f>
        <v>45688</v>
      </c>
      <c r="D370" t="s">
        <v>55</v>
      </c>
      <c r="E370" t="str">
        <f>+IFERROR(VLOOKUP(Fact_Administrativa[[#This Row], [Concepto Anterior]],Conceptos_Administrativa[#All],5,0),"")</f>
        <v>Facturas Procesadas por Marca</v>
      </c>
      <c r="F370" t="str">
        <f ca="1">+IFERROR(VLOOKUP(Fact_Administrativa[[#This Row], [Concepto Anterior]],Conceptos_Administrativa[#All],7,0),"")</f>
        <v/>
      </c>
      <c r="G370" t="s">
        <v>56</v>
      </c>
      <c r="H370" t="s">
        <v>172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93">
        <v>92</v>
      </c>
    </row>
    <row r="371" spans="1:11" ht="18.75" customHeight="1" x14ac:dyDescent="0.35">
      <c r="A371" s="93">
        <v>2025</v>
      </c>
      <c r="B371" s="106" t="s">
        <v>171</v>
      </c>
      <c r="C371" s="100">
        <f>IF(OR(Fact_Administrativa[[#This Row], [Año]]="",Fact_Administrativa[[#This Row], [Mes]]=""),"",DATE(A371,MATCH(B371,{"enero","febrero","marzo","abril","mayo","junio","julio","agosto","septiembre","octubre","noviembre","diciembre"},0)+1,0))</f>
        <v>45688</v>
      </c>
      <c r="D371" t="s">
        <v>57</v>
      </c>
      <c r="E371" t="str">
        <f>+IFERROR(VLOOKUP(Fact_Administrativa[[#This Row], [Concepto Anterior]],Conceptos_Administrativa[#All],5,0),"")</f>
        <v>Facturas Procesadas por Marca</v>
      </c>
      <c r="F371" t="str">
        <f ca="1">+IFERROR(VLOOKUP(Fact_Administrativa[[#This Row], [Concepto Anterior]],Conceptos_Administrativa[#All],7,0),"")</f>
        <v/>
      </c>
      <c r="G371" t="s">
        <v>58</v>
      </c>
      <c r="H371" t="s">
        <v>172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93">
        <v>68</v>
      </c>
    </row>
    <row r="372" spans="1:11" ht="18.75" customHeight="1" x14ac:dyDescent="0.35">
      <c r="A372" s="93">
        <v>2025</v>
      </c>
      <c r="B372" s="106" t="s">
        <v>171</v>
      </c>
      <c r="C372" s="100">
        <f>IF(OR(Fact_Administrativa[[#This Row], [Año]]="",Fact_Administrativa[[#This Row], [Mes]]=""),"",DATE(A372,MATCH(B372,{"enero","febrero","marzo","abril","mayo","junio","julio","agosto","septiembre","octubre","noviembre","diciembre"},0)+1,0))</f>
        <v>45688</v>
      </c>
      <c r="D372" t="s">
        <v>28</v>
      </c>
      <c r="E372" t="str">
        <f>+IFERROR(VLOOKUP(Fact_Administrativa[[#This Row], [Concepto Anterior]],Conceptos_Administrativa[#All],5,0),"")</f>
        <v xml:space="preserve">Ahorro reformas tiendas </v>
      </c>
      <c r="F372" t="str">
        <f ca="1">+IFERROR(VLOOKUP(Fact_Administrativa[[#This Row], [Concepto Anterior]],Conceptos_Administrativa[#All],7,0),"")</f>
        <v/>
      </c>
      <c r="G372" t="s">
        <v>172</v>
      </c>
      <c r="H372" t="s">
        <v>172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93">
        <v>0</v>
      </c>
    </row>
    <row r="373" spans="1:11" ht="18.75" customHeight="1" x14ac:dyDescent="0.35">
      <c r="A373" s="93">
        <v>2025</v>
      </c>
      <c r="B373" s="106" t="s">
        <v>171</v>
      </c>
      <c r="C373" s="100">
        <f>IF(OR(Fact_Administrativa[[#This Row], [Año]]="",Fact_Administrativa[[#This Row], [Mes]]=""),"",DATE(A373,MATCH(B373,{"enero","febrero","marzo","abril","mayo","junio","julio","agosto","septiembre","octubre","noviembre","diciembre"},0)+1,0))</f>
        <v>45688</v>
      </c>
      <c r="D373" t="s">
        <v>211</v>
      </c>
      <c r="E373" t="str">
        <f>+IFERROR(VLOOKUP(Fact_Administrativa[[#This Row], [Concepto Anterior]],Conceptos_Administrativa[#All],5,0),"")</f>
        <v>Noches hospedaje</v>
      </c>
      <c r="F373" t="str">
        <f ca="1">+IFERROR(VLOOKUP(Fact_Administrativa[[#This Row], [Concepto Anterior]],Conceptos_Administrativa[#All],7,0),"")</f>
        <v/>
      </c>
      <c r="G373" t="s">
        <v>172</v>
      </c>
      <c r="H373" t="s">
        <v>172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93">
        <v>184</v>
      </c>
    </row>
    <row r="374" spans="1:11" ht="18.75" customHeight="1" x14ac:dyDescent="0.35">
      <c r="A374" s="93">
        <v>2025</v>
      </c>
      <c r="B374" s="106" t="s">
        <v>171</v>
      </c>
      <c r="C374" s="100">
        <f>IF(OR(Fact_Administrativa[[#This Row], [Año]]="",Fact_Administrativa[[#This Row], [Mes]]=""),"",DATE(A374,MATCH(B374,{"enero","febrero","marzo","abril","mayo","junio","julio","agosto","septiembre","octubre","noviembre","diciembre"},0)+1,0))</f>
        <v>45688</v>
      </c>
      <c r="D374" t="s">
        <v>29</v>
      </c>
      <c r="E374" t="str">
        <f>+IFERROR(VLOOKUP(Fact_Administrativa[[#This Row], [Concepto Anterior]],Conceptos_Administrativa[#All],5,0),"")</f>
        <v>Recuperaciones Siniestros</v>
      </c>
      <c r="F374" t="str">
        <f ca="1">+IFERROR(VLOOKUP(Fact_Administrativa[[#This Row], [Concepto Anterior]],Conceptos_Administrativa[#All],7,0),"")</f>
        <v/>
      </c>
      <c r="G374" t="s">
        <v>172</v>
      </c>
      <c r="H374" t="s">
        <v>172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93">
        <v>0</v>
      </c>
    </row>
    <row r="375" spans="1:11" ht="18.75" customHeight="1" x14ac:dyDescent="0.35">
      <c r="A375" s="93">
        <v>2025</v>
      </c>
      <c r="B375" s="106" t="s">
        <v>171</v>
      </c>
      <c r="C375" s="100">
        <f>IF(OR(Fact_Administrativa[[#This Row], [Año]]="",Fact_Administrativa[[#This Row], [Mes]]=""),"",DATE(A375,MATCH(B375,{"enero","febrero","marzo","abril","mayo","junio","julio","agosto","septiembre","octubre","noviembre","diciembre"},0)+1,0))</f>
        <v>45688</v>
      </c>
      <c r="D375" t="s">
        <v>30</v>
      </c>
      <c r="E375" t="str">
        <f>+IFERROR(VLOOKUP(Fact_Administrativa[[#This Row], [Concepto Anterior]],Conceptos_Administrativa[#All],5,0),"")</f>
        <v>Gestión de Polizas</v>
      </c>
      <c r="F375" t="str">
        <f ca="1">+IFERROR(VLOOKUP(Fact_Administrativa[[#This Row], [Concepto Anterior]],Conceptos_Administrativa[#All],7,0),"")</f>
        <v/>
      </c>
      <c r="G375" t="s">
        <v>172</v>
      </c>
      <c r="H375" t="s">
        <v>172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93">
        <v>0</v>
      </c>
    </row>
    <row r="376" spans="1:11" ht="18.75" customHeight="1" x14ac:dyDescent="0.35">
      <c r="A376" s="93">
        <v>2025</v>
      </c>
      <c r="B376" s="106" t="s">
        <v>171</v>
      </c>
      <c r="C376" s="100">
        <f>IF(OR(Fact_Administrativa[[#This Row], [Año]]="",Fact_Administrativa[[#This Row], [Mes]]=""),"",DATE(A376,MATCH(B376,{"enero","febrero","marzo","abril","mayo","junio","julio","agosto","septiembre","octubre","noviembre","diciembre"},0)+1,0))</f>
        <v>45688</v>
      </c>
      <c r="D376" t="s">
        <v>212</v>
      </c>
      <c r="E376" t="str">
        <f>+IFERROR(VLOOKUP(Fact_Administrativa[[#This Row], [Concepto Anterior]],Conceptos_Administrativa[#All],5,0),"")</f>
        <v>Total tickets recibidos</v>
      </c>
      <c r="F376" t="str">
        <f ca="1">+IFERROR(VLOOKUP(Fact_Administrativa[[#This Row], [Concepto Anterior]],Conceptos_Administrativa[#All],7,0),"")</f>
        <v/>
      </c>
      <c r="G376" t="s">
        <v>172</v>
      </c>
      <c r="H376" t="s">
        <v>172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93">
        <v>0</v>
      </c>
    </row>
    <row r="377" spans="1:11" ht="18.75" customHeight="1" x14ac:dyDescent="0.35">
      <c r="A377" s="93">
        <v>2025</v>
      </c>
      <c r="B377" s="106" t="s">
        <v>171</v>
      </c>
      <c r="C377" s="100">
        <f>IF(OR(Fact_Administrativa[[#This Row], [Año]]="",Fact_Administrativa[[#This Row], [Mes]]=""),"",DATE(A377,MATCH(B377,{"enero","febrero","marzo","abril","mayo","junio","julio","agosto","septiembre","octubre","noviembre","diciembre"},0)+1,0))</f>
        <v>45688</v>
      </c>
      <c r="D377" t="s">
        <v>213</v>
      </c>
      <c r="E377" t="str">
        <f>+IFERROR(VLOOKUP(Fact_Administrativa[[#This Row], [Concepto Anterior]],Conceptos_Administrativa[#All],5,0),"")</f>
        <v>Tickets Cerrados con ANS</v>
      </c>
      <c r="F377" t="str">
        <f ca="1">+IFERROR(VLOOKUP(Fact_Administrativa[[#This Row], [Concepto Anterior]],Conceptos_Administrativa[#All],7,0),"")</f>
        <v/>
      </c>
      <c r="G377" t="s">
        <v>172</v>
      </c>
      <c r="H377" t="s">
        <v>172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93">
        <v>0</v>
      </c>
    </row>
    <row r="378" spans="1:11" ht="18.75" customHeight="1" x14ac:dyDescent="0.35">
      <c r="A378" s="93">
        <v>2025</v>
      </c>
      <c r="B378" s="106" t="s">
        <v>171</v>
      </c>
      <c r="C378" s="100">
        <f>IF(OR(Fact_Administrativa[[#This Row], [Año]]="",Fact_Administrativa[[#This Row], [Mes]]=""),"",DATE(A378,MATCH(B378,{"enero","febrero","marzo","abril","mayo","junio","julio","agosto","septiembre","octubre","noviembre","diciembre"},0)+1,0))</f>
        <v>45688</v>
      </c>
      <c r="D378" t="s">
        <v>214</v>
      </c>
      <c r="E378" t="str">
        <f>+IFERROR(VLOOKUP(Fact_Administrativa[[#This Row], [Concepto Anterior]],Conceptos_Administrativa[#All],5,0),"")</f>
        <v>Tickets Vencidos</v>
      </c>
      <c r="F378" t="str">
        <f ca="1">+IFERROR(VLOOKUP(Fact_Administrativa[[#This Row], [Concepto Anterior]],Conceptos_Administrativa[#All],7,0),"")</f>
        <v/>
      </c>
      <c r="G378" t="s">
        <v>172</v>
      </c>
      <c r="H378" t="s">
        <v>172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93">
        <v>0</v>
      </c>
    </row>
    <row r="379" spans="1:11" ht="18.75" customHeight="1" x14ac:dyDescent="0.35">
      <c r="A379" s="93">
        <v>2025</v>
      </c>
      <c r="B379" s="106" t="s">
        <v>174</v>
      </c>
      <c r="C379" s="100">
        <f>IF(OR(Fact_Administrativa[[#This Row], [Año]]="",Fact_Administrativa[[#This Row], [Mes]]=""),"",DATE(A379,MATCH(B379,{"enero","febrero","marzo","abril","mayo","junio","julio","agosto","septiembre","octubre","noviembre","diciembre"},0)+1,0))</f>
        <v>45716</v>
      </c>
      <c r="D379" t="s">
        <v>27</v>
      </c>
      <c r="E379" t="str">
        <f>+IFERROR(VLOOKUP(Fact_Administrativa[[#This Row], [Concepto Anterior]],Conceptos_Administrativa[#All],5,0),"")</f>
        <v>Ahorro energía</v>
      </c>
      <c r="F379" t="str">
        <f ca="1">+IFERROR(VLOOKUP(Fact_Administrativa[[#This Row], [Concepto Anterior]],Conceptos_Administrativa[#All],7,0),"")</f>
        <v/>
      </c>
      <c r="G379" t="s">
        <v>172</v>
      </c>
      <c r="H379" t="s">
        <v>172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93">
        <v>23858082</v>
      </c>
    </row>
    <row r="380" spans="1:11" ht="18.75" customHeight="1" x14ac:dyDescent="0.35">
      <c r="A380" s="93">
        <v>2025</v>
      </c>
      <c r="B380" s="106" t="s">
        <v>174</v>
      </c>
      <c r="C380" s="100">
        <f>IF(OR(Fact_Administrativa[[#This Row], [Año]]="",Fact_Administrativa[[#This Row], [Mes]]=""),"",DATE(A380,MATCH(B380,{"enero","febrero","marzo","abril","mayo","junio","julio","agosto","septiembre","octubre","noviembre","diciembre"},0)+1,0))</f>
        <v>45716</v>
      </c>
      <c r="D380" t="s">
        <v>118</v>
      </c>
      <c r="E380" t="str">
        <f>+IFERROR(VLOOKUP(Fact_Administrativa[[#This Row], [Concepto Anterior]],Conceptos_Administrativa[#All],5,0),"")</f>
        <v xml:space="preserve">Cant. reformas tiendas </v>
      </c>
      <c r="F380" t="str">
        <f ca="1">+IFERROR(VLOOKUP(Fact_Administrativa[[#This Row], [Concepto Anterior]],Conceptos_Administrativa[#All],7,0),"")</f>
        <v/>
      </c>
      <c r="G380" t="s">
        <v>172</v>
      </c>
      <c r="H380" t="s">
        <v>172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93">
        <v>0</v>
      </c>
    </row>
    <row r="381" spans="1:11" ht="18.75" customHeight="1" x14ac:dyDescent="0.35">
      <c r="A381" s="93">
        <v>2025</v>
      </c>
      <c r="B381" s="106" t="s">
        <v>174</v>
      </c>
      <c r="C381" s="100">
        <f>IF(OR(Fact_Administrativa[[#This Row], [Año]]="",Fact_Administrativa[[#This Row], [Mes]]=""),"",DATE(A381,MATCH(B381,{"enero","febrero","marzo","abril","mayo","junio","julio","agosto","septiembre","octubre","noviembre","diciembre"},0)+1,0))</f>
        <v>45716</v>
      </c>
      <c r="D381" t="s">
        <v>40</v>
      </c>
      <c r="E381" t="str">
        <f>+IFERROR(VLOOKUP(Fact_Administrativa[[#This Row], [Concepto Anterior]],Conceptos_Administrativa[#All],5,0),"")</f>
        <v xml:space="preserve">Contratos de arrendamientos </v>
      </c>
      <c r="F381" t="str">
        <f ca="1">+IFERROR(VLOOKUP(Fact_Administrativa[[#This Row], [Concepto Anterior]],Conceptos_Administrativa[#All],7,0),"")</f>
        <v/>
      </c>
      <c r="G381" t="s">
        <v>172</v>
      </c>
      <c r="H381" t="s">
        <v>172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93">
        <v>437</v>
      </c>
    </row>
    <row r="382" spans="1:11" ht="18.75" customHeight="1" x14ac:dyDescent="0.35">
      <c r="A382" s="93">
        <v>2025</v>
      </c>
      <c r="B382" s="106" t="s">
        <v>174</v>
      </c>
      <c r="C382" s="100">
        <f>IF(OR(Fact_Administrativa[[#This Row], [Año]]="",Fact_Administrativa[[#This Row], [Mes]]=""),"",DATE(A382,MATCH(B382,{"enero","febrero","marzo","abril","mayo","junio","julio","agosto","septiembre","octubre","noviembre","diciembre"},0)+1,0))</f>
        <v>45716</v>
      </c>
      <c r="D382" t="s">
        <v>25</v>
      </c>
      <c r="E382" t="str">
        <f>+IFERROR(VLOOKUP(Fact_Administrativa[[#This Row], [Concepto Anterior]],Conceptos_Administrativa[#All],5,0),"")</f>
        <v>Control Ingresos cede Dogama</v>
      </c>
      <c r="F382" t="str">
        <f ca="1">+IFERROR(VLOOKUP(Fact_Administrativa[[#This Row], [Concepto Anterior]],Conceptos_Administrativa[#All],7,0),"")</f>
        <v/>
      </c>
      <c r="G382" t="s">
        <v>172</v>
      </c>
      <c r="H382" t="s">
        <v>172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93">
        <v>17710</v>
      </c>
    </row>
    <row r="383" spans="1:11" ht="18.75" customHeight="1" x14ac:dyDescent="0.35">
      <c r="A383" s="93">
        <v>2025</v>
      </c>
      <c r="B383" s="106" t="s">
        <v>174</v>
      </c>
      <c r="C383" s="100">
        <f>IF(OR(Fact_Administrativa[[#This Row], [Año]]="",Fact_Administrativa[[#This Row], [Mes]]=""),"",DATE(A383,MATCH(B383,{"enero","febrero","marzo","abril","mayo","junio","julio","agosto","septiembre","octubre","noviembre","diciembre"},0)+1,0))</f>
        <v>45716</v>
      </c>
      <c r="D383" t="s">
        <v>209</v>
      </c>
      <c r="E383" t="str">
        <f>+IFERROR(VLOOKUP(Fact_Administrativa[[#This Row], [Concepto Anterior]],Conceptos_Administrativa[#All],5,0),"")</f>
        <v>Emisiones CO²</v>
      </c>
      <c r="F383" t="str">
        <f ca="1">+IFERROR(VLOOKUP(Fact_Administrativa[[#This Row], [Concepto Anterior]],Conceptos_Administrativa[#All],7,0),"")</f>
        <v/>
      </c>
      <c r="G383" t="s">
        <v>172</v>
      </c>
      <c r="H383" t="s">
        <v>172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07">
        <v>28.6</v>
      </c>
    </row>
    <row r="384" spans="1:11" ht="18.75" customHeight="1" x14ac:dyDescent="0.35">
      <c r="A384" s="93">
        <v>2025</v>
      </c>
      <c r="B384" s="106" t="s">
        <v>174</v>
      </c>
      <c r="C384" s="100">
        <f>IF(OR(Fact_Administrativa[[#This Row], [Año]]="",Fact_Administrativa[[#This Row], [Mes]]=""),"",DATE(A384,MATCH(B384,{"enero","febrero","marzo","abril","mayo","junio","julio","agosto","septiembre","octubre","noviembre","diciembre"},0)+1,0))</f>
        <v>45716</v>
      </c>
      <c r="D384" t="s">
        <v>38</v>
      </c>
      <c r="E384" t="str">
        <f>+IFERROR(VLOOKUP(Fact_Administrativa[[#This Row], [Concepto Anterior]],Conceptos_Administrativa[#All],5,0),"")</f>
        <v>Facturas de arrendamientos y administración</v>
      </c>
      <c r="F384" t="str">
        <f ca="1">+IFERROR(VLOOKUP(Fact_Administrativa[[#This Row], [Concepto Anterior]],Conceptos_Administrativa[#All],7,0),"")</f>
        <v/>
      </c>
      <c r="G384" t="s">
        <v>172</v>
      </c>
      <c r="H384" t="s">
        <v>172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93">
        <v>983</v>
      </c>
    </row>
    <row r="385" spans="1:11" ht="18.75" customHeight="1" x14ac:dyDescent="0.35">
      <c r="A385" s="93">
        <v>2025</v>
      </c>
      <c r="B385" s="106" t="s">
        <v>174</v>
      </c>
      <c r="C385" s="100">
        <f>IF(OR(Fact_Administrativa[[#This Row], [Año]]="",Fact_Administrativa[[#This Row], [Mes]]=""),"",DATE(A385,MATCH(B385,{"enero","febrero","marzo","abril","mayo","junio","julio","agosto","septiembre","octubre","noviembre","diciembre"},0)+1,0))</f>
        <v>45716</v>
      </c>
      <c r="D385" t="s">
        <v>41</v>
      </c>
      <c r="E385" t="str">
        <f>+IFERROR(VLOOKUP(Fact_Administrativa[[#This Row], [Concepto Anterior]],Conceptos_Administrativa[#All],5,0),"")</f>
        <v>Facturas Procesadas por Marca</v>
      </c>
      <c r="F385" t="str">
        <f ca="1">+IFERROR(VLOOKUP(Fact_Administrativa[[#This Row], [Concepto Anterior]],Conceptos_Administrativa[#All],7,0),"")</f>
        <v/>
      </c>
      <c r="G385" t="s">
        <v>42</v>
      </c>
      <c r="H385" t="s">
        <v>172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93">
        <v>525</v>
      </c>
    </row>
    <row r="386" spans="1:11" ht="18.75" customHeight="1" x14ac:dyDescent="0.35">
      <c r="A386" s="93">
        <v>2025</v>
      </c>
      <c r="B386" s="106" t="s">
        <v>174</v>
      </c>
      <c r="C386" s="100">
        <f>IF(OR(Fact_Administrativa[[#This Row], [Año]]="",Fact_Administrativa[[#This Row], [Mes]]=""),"",DATE(A386,MATCH(B386,{"enero","febrero","marzo","abril","mayo","junio","julio","agosto","septiembre","octubre","noviembre","diciembre"},0)+1,0))</f>
        <v>45716</v>
      </c>
      <c r="D386" t="s">
        <v>41</v>
      </c>
      <c r="E386" t="str">
        <f>+IFERROR(VLOOKUP(Fact_Administrativa[[#This Row], [Concepto Anterior]],Conceptos_Administrativa[#All],5,0),"")</f>
        <v>Facturas Procesadas por Marca</v>
      </c>
      <c r="F386" t="str">
        <f ca="1">+IFERROR(VLOOKUP(Fact_Administrativa[[#This Row], [Concepto Anterior]],Conceptos_Administrativa[#All],7,0),"")</f>
        <v/>
      </c>
      <c r="G386" t="s">
        <v>43</v>
      </c>
      <c r="H386" t="s">
        <v>172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93">
        <v>1209</v>
      </c>
    </row>
    <row r="387" spans="1:11" ht="18.75" customHeight="1" x14ac:dyDescent="0.35">
      <c r="A387" s="93">
        <v>2025</v>
      </c>
      <c r="B387" s="106" t="s">
        <v>174</v>
      </c>
      <c r="C387" s="100">
        <f>IF(OR(Fact_Administrativa[[#This Row], [Año]]="",Fact_Administrativa[[#This Row], [Mes]]=""),"",DATE(A387,MATCH(B387,{"enero","febrero","marzo","abril","mayo","junio","julio","agosto","septiembre","octubre","noviembre","diciembre"},0)+1,0))</f>
        <v>45716</v>
      </c>
      <c r="D387" t="s">
        <v>41</v>
      </c>
      <c r="E387" t="str">
        <f>+IFERROR(VLOOKUP(Fact_Administrativa[[#This Row], [Concepto Anterior]],Conceptos_Administrativa[#All],5,0),"")</f>
        <v>Facturas Procesadas por Marca</v>
      </c>
      <c r="F387" t="str">
        <f ca="1">+IFERROR(VLOOKUP(Fact_Administrativa[[#This Row], [Concepto Anterior]],Conceptos_Administrativa[#All],7,0),"")</f>
        <v/>
      </c>
      <c r="G387" t="s">
        <v>44</v>
      </c>
      <c r="H387" t="s">
        <v>172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93">
        <v>735</v>
      </c>
    </row>
    <row r="388" spans="1:11" ht="18.75" customHeight="1" x14ac:dyDescent="0.35">
      <c r="A388" s="93">
        <v>2025</v>
      </c>
      <c r="B388" s="106" t="s">
        <v>174</v>
      </c>
      <c r="C388" s="100">
        <f>IF(OR(Fact_Administrativa[[#This Row], [Año]]="",Fact_Administrativa[[#This Row], [Mes]]=""),"",DATE(A388,MATCH(B388,{"enero","febrero","marzo","abril","mayo","junio","julio","agosto","septiembre","octubre","noviembre","diciembre"},0)+1,0))</f>
        <v>45716</v>
      </c>
      <c r="D388" t="s">
        <v>41</v>
      </c>
      <c r="E388" t="str">
        <f>+IFERROR(VLOOKUP(Fact_Administrativa[[#This Row], [Concepto Anterior]],Conceptos_Administrativa[#All],5,0),"")</f>
        <v>Facturas Procesadas por Marca</v>
      </c>
      <c r="F388" t="str">
        <f ca="1">+IFERROR(VLOOKUP(Fact_Administrativa[[#This Row], [Concepto Anterior]],Conceptos_Administrativa[#All],7,0),"")</f>
        <v/>
      </c>
      <c r="G388" t="s">
        <v>45</v>
      </c>
      <c r="H388" t="s">
        <v>172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93">
        <v>555</v>
      </c>
    </row>
    <row r="389" spans="1:11" ht="18.75" customHeight="1" x14ac:dyDescent="0.35">
      <c r="A389" s="93">
        <v>2025</v>
      </c>
      <c r="B389" s="106" t="s">
        <v>174</v>
      </c>
      <c r="C389" s="100">
        <f>IF(OR(Fact_Administrativa[[#This Row], [Año]]="",Fact_Administrativa[[#This Row], [Mes]]=""),"",DATE(A389,MATCH(B389,{"enero","febrero","marzo","abril","mayo","junio","julio","agosto","septiembre","octubre","noviembre","diciembre"},0)+1,0))</f>
        <v>45716</v>
      </c>
      <c r="D389" t="s">
        <v>41</v>
      </c>
      <c r="E389" t="str">
        <f>+IFERROR(VLOOKUP(Fact_Administrativa[[#This Row], [Concepto Anterior]],Conceptos_Administrativa[#All],5,0),"")</f>
        <v>Facturas Procesadas por Marca</v>
      </c>
      <c r="F389" t="str">
        <f ca="1">+IFERROR(VLOOKUP(Fact_Administrativa[[#This Row], [Concepto Anterior]],Conceptos_Administrativa[#All],7,0),"")</f>
        <v/>
      </c>
      <c r="G389" t="s">
        <v>46</v>
      </c>
      <c r="H389" t="s">
        <v>172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93">
        <v>141</v>
      </c>
    </row>
    <row r="390" spans="1:11" ht="18.75" customHeight="1" x14ac:dyDescent="0.35">
      <c r="A390" s="93">
        <v>2025</v>
      </c>
      <c r="B390" s="106" t="s">
        <v>174</v>
      </c>
      <c r="C390" s="100">
        <f>IF(OR(Fact_Administrativa[[#This Row], [Año]]="",Fact_Administrativa[[#This Row], [Mes]]=""),"",DATE(A390,MATCH(B390,{"enero","febrero","marzo","abril","mayo","junio","julio","agosto","septiembre","octubre","noviembre","diciembre"},0)+1,0))</f>
        <v>45716</v>
      </c>
      <c r="D390" t="s">
        <v>41</v>
      </c>
      <c r="E390" t="str">
        <f>+IFERROR(VLOOKUP(Fact_Administrativa[[#This Row], [Concepto Anterior]],Conceptos_Administrativa[#All],5,0),"")</f>
        <v>Facturas Procesadas por Marca</v>
      </c>
      <c r="F390" t="str">
        <f ca="1">+IFERROR(VLOOKUP(Fact_Administrativa[[#This Row], [Concepto Anterior]],Conceptos_Administrativa[#All],7,0),"")</f>
        <v/>
      </c>
      <c r="G390" t="s">
        <v>47</v>
      </c>
      <c r="H390" t="s">
        <v>172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93">
        <v>37</v>
      </c>
    </row>
    <row r="391" spans="1:11" ht="18.75" customHeight="1" x14ac:dyDescent="0.35">
      <c r="A391" s="93">
        <v>2025</v>
      </c>
      <c r="B391" s="106" t="s">
        <v>174</v>
      </c>
      <c r="C391" s="100">
        <f>IF(OR(Fact_Administrativa[[#This Row], [Año]]="",Fact_Administrativa[[#This Row], [Mes]]=""),"",DATE(A391,MATCH(B391,{"enero","febrero","marzo","abril","mayo","junio","julio","agosto","septiembre","octubre","noviembre","diciembre"},0)+1,0))</f>
        <v>45716</v>
      </c>
      <c r="D391" t="s">
        <v>41</v>
      </c>
      <c r="E391" t="str">
        <f>+IFERROR(VLOOKUP(Fact_Administrativa[[#This Row], [Concepto Anterior]],Conceptos_Administrativa[#All],5,0),"")</f>
        <v>Facturas Procesadas por Marca</v>
      </c>
      <c r="F391" t="str">
        <f ca="1">+IFERROR(VLOOKUP(Fact_Administrativa[[#This Row], [Concepto Anterior]],Conceptos_Administrativa[#All],7,0),"")</f>
        <v/>
      </c>
      <c r="G391" t="s">
        <v>48</v>
      </c>
      <c r="H391" t="s">
        <v>172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93">
        <v>2598</v>
      </c>
    </row>
    <row r="392" spans="1:11" ht="18.75" customHeight="1" x14ac:dyDescent="0.35">
      <c r="A392" s="93">
        <v>2025</v>
      </c>
      <c r="B392" s="106" t="s">
        <v>174</v>
      </c>
      <c r="C392" s="100">
        <f>IF(OR(Fact_Administrativa[[#This Row], [Año]]="",Fact_Administrativa[[#This Row], [Mes]]=""),"",DATE(A392,MATCH(B392,{"enero","febrero","marzo","abril","mayo","junio","julio","agosto","septiembre","octubre","noviembre","diciembre"},0)+1,0))</f>
        <v>45716</v>
      </c>
      <c r="D392" t="s">
        <v>41</v>
      </c>
      <c r="E392" t="str">
        <f>+IFERROR(VLOOKUP(Fact_Administrativa[[#This Row], [Concepto Anterior]],Conceptos_Administrativa[#All],5,0),"")</f>
        <v>Facturas Procesadas por Marca</v>
      </c>
      <c r="F392" t="str">
        <f ca="1">+IFERROR(VLOOKUP(Fact_Administrativa[[#This Row], [Concepto Anterior]],Conceptos_Administrativa[#All],7,0),"")</f>
        <v/>
      </c>
      <c r="G392" t="s">
        <v>49</v>
      </c>
      <c r="H392" t="s">
        <v>172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93">
        <v>879</v>
      </c>
    </row>
    <row r="393" spans="1:11" ht="18.75" customHeight="1" x14ac:dyDescent="0.35">
      <c r="A393" s="93">
        <v>2025</v>
      </c>
      <c r="B393" s="106" t="s">
        <v>174</v>
      </c>
      <c r="C393" s="100">
        <f>IF(OR(Fact_Administrativa[[#This Row], [Año]]="",Fact_Administrativa[[#This Row], [Mes]]=""),"",DATE(A393,MATCH(B393,{"enero","febrero","marzo","abril","mayo","junio","julio","agosto","septiembre","octubre","noviembre","diciembre"},0)+1,0))</f>
        <v>45716</v>
      </c>
      <c r="D393" t="s">
        <v>41</v>
      </c>
      <c r="E393" t="str">
        <f>+IFERROR(VLOOKUP(Fact_Administrativa[[#This Row], [Concepto Anterior]],Conceptos_Administrativa[#All],5,0),"")</f>
        <v>Facturas Procesadas por Marca</v>
      </c>
      <c r="F393" t="str">
        <f ca="1">+IFERROR(VLOOKUP(Fact_Administrativa[[#This Row], [Concepto Anterior]],Conceptos_Administrativa[#All],7,0),"")</f>
        <v/>
      </c>
      <c r="G393" t="s">
        <v>50</v>
      </c>
      <c r="H393" t="s">
        <v>172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93">
        <v>951</v>
      </c>
    </row>
    <row r="394" spans="1:11" ht="18.75" customHeight="1" x14ac:dyDescent="0.35">
      <c r="A394" s="93">
        <v>2025</v>
      </c>
      <c r="B394" s="106" t="s">
        <v>174</v>
      </c>
      <c r="C394" s="100">
        <f>IF(OR(Fact_Administrativa[[#This Row], [Año]]="",Fact_Administrativa[[#This Row], [Mes]]=""),"",DATE(A394,MATCH(B394,{"enero","febrero","marzo","abril","mayo","junio","julio","agosto","septiembre","octubre","noviembre","diciembre"},0)+1,0))</f>
        <v>45716</v>
      </c>
      <c r="D394" t="s">
        <v>41</v>
      </c>
      <c r="E394" t="str">
        <f>+IFERROR(VLOOKUP(Fact_Administrativa[[#This Row], [Concepto Anterior]],Conceptos_Administrativa[#All],5,0),"")</f>
        <v>Facturas Procesadas por Marca</v>
      </c>
      <c r="F394" t="str">
        <f ca="1">+IFERROR(VLOOKUP(Fact_Administrativa[[#This Row], [Concepto Anterior]],Conceptos_Administrativa[#All],7,0),"")</f>
        <v/>
      </c>
      <c r="G394" t="s">
        <v>121</v>
      </c>
      <c r="H394" t="s">
        <v>172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93">
        <v>0</v>
      </c>
    </row>
    <row r="395" spans="1:11" ht="18.75" customHeight="1" x14ac:dyDescent="0.35">
      <c r="A395" s="93">
        <v>2025</v>
      </c>
      <c r="B395" s="106" t="s">
        <v>174</v>
      </c>
      <c r="C395" s="100">
        <f>IF(OR(Fact_Administrativa[[#This Row], [Año]]="",Fact_Administrativa[[#This Row], [Mes]]=""),"",DATE(A395,MATCH(B395,{"enero","febrero","marzo","abril","mayo","junio","julio","agosto","septiembre","octubre","noviembre","diciembre"},0)+1,0))</f>
        <v>45716</v>
      </c>
      <c r="D395" t="s">
        <v>41</v>
      </c>
      <c r="E395" t="str">
        <f>+IFERROR(VLOOKUP(Fact_Administrativa[[#This Row], [Concepto Anterior]],Conceptos_Administrativa[#All],5,0),"")</f>
        <v>Facturas Procesadas por Marca</v>
      </c>
      <c r="F395" t="str">
        <f ca="1">+IFERROR(VLOOKUP(Fact_Administrativa[[#This Row], [Concepto Anterior]],Conceptos_Administrativa[#All],7,0),"")</f>
        <v/>
      </c>
      <c r="G395" t="s">
        <v>51</v>
      </c>
      <c r="H395" t="s">
        <v>172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93">
        <v>817</v>
      </c>
    </row>
    <row r="396" spans="1:11" ht="18.75" customHeight="1" x14ac:dyDescent="0.35">
      <c r="A396" s="93">
        <v>2025</v>
      </c>
      <c r="B396" s="106" t="s">
        <v>174</v>
      </c>
      <c r="C396" s="100">
        <f>IF(OR(Fact_Administrativa[[#This Row], [Año]]="",Fact_Administrativa[[#This Row], [Mes]]=""),"",DATE(A396,MATCH(B396,{"enero","febrero","marzo","abril","mayo","junio","julio","agosto","septiembre","octubre","noviembre","diciembre"},0)+1,0))</f>
        <v>45716</v>
      </c>
      <c r="D396" t="s">
        <v>41</v>
      </c>
      <c r="E396" t="str">
        <f>+IFERROR(VLOOKUP(Fact_Administrativa[[#This Row], [Concepto Anterior]],Conceptos_Administrativa[#All],5,0),"")</f>
        <v>Facturas Procesadas por Marca</v>
      </c>
      <c r="F396" t="str">
        <f ca="1">+IFERROR(VLOOKUP(Fact_Administrativa[[#This Row], [Concepto Anterior]],Conceptos_Administrativa[#All],7,0),"")</f>
        <v/>
      </c>
      <c r="G396" t="s">
        <v>52</v>
      </c>
      <c r="H396" t="s">
        <v>172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93">
        <v>377</v>
      </c>
    </row>
    <row r="397" spans="1:11" ht="18.75" customHeight="1" x14ac:dyDescent="0.35">
      <c r="A397" s="93">
        <v>2025</v>
      </c>
      <c r="B397" s="106" t="s">
        <v>174</v>
      </c>
      <c r="C397" s="100">
        <f>IF(OR(Fact_Administrativa[[#This Row], [Año]]="",Fact_Administrativa[[#This Row], [Mes]]=""),"",DATE(A397,MATCH(B397,{"enero","febrero","marzo","abril","mayo","junio","julio","agosto","septiembre","octubre","noviembre","diciembre"},0)+1,0))</f>
        <v>45716</v>
      </c>
      <c r="D397" t="s">
        <v>41</v>
      </c>
      <c r="E397" t="str">
        <f>+IFERROR(VLOOKUP(Fact_Administrativa[[#This Row], [Concepto Anterior]],Conceptos_Administrativa[#All],5,0),"")</f>
        <v>Facturas Procesadas por Marca</v>
      </c>
      <c r="F397" t="str">
        <f ca="1">+IFERROR(VLOOKUP(Fact_Administrativa[[#This Row], [Concepto Anterior]],Conceptos_Administrativa[#All],7,0),"")</f>
        <v/>
      </c>
      <c r="G397" t="s">
        <v>53</v>
      </c>
      <c r="H397" t="s">
        <v>172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93">
        <v>458</v>
      </c>
    </row>
    <row r="398" spans="1:11" ht="18.75" customHeight="1" x14ac:dyDescent="0.35">
      <c r="A398" s="93">
        <v>2025</v>
      </c>
      <c r="B398" s="106" t="s">
        <v>174</v>
      </c>
      <c r="C398" s="100">
        <f>IF(OR(Fact_Administrativa[[#This Row], [Año]]="",Fact_Administrativa[[#This Row], [Mes]]=""),"",DATE(A398,MATCH(B398,{"enero","febrero","marzo","abril","mayo","junio","julio","agosto","septiembre","octubre","noviembre","diciembre"},0)+1,0))</f>
        <v>45716</v>
      </c>
      <c r="D398" t="s">
        <v>41</v>
      </c>
      <c r="E398" t="str">
        <f>+IFERROR(VLOOKUP(Fact_Administrativa[[#This Row], [Concepto Anterior]],Conceptos_Administrativa[#All],5,0),"")</f>
        <v>Facturas Procesadas por Marca</v>
      </c>
      <c r="F398" t="str">
        <f ca="1">+IFERROR(VLOOKUP(Fact_Administrativa[[#This Row], [Concepto Anterior]],Conceptos_Administrativa[#All],7,0),"")</f>
        <v/>
      </c>
      <c r="G398" t="s">
        <v>54</v>
      </c>
      <c r="H398" t="s">
        <v>172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93">
        <v>53</v>
      </c>
    </row>
    <row r="399" spans="1:11" ht="18.75" customHeight="1" x14ac:dyDescent="0.35">
      <c r="A399" s="93">
        <v>2025</v>
      </c>
      <c r="B399" s="106" t="s">
        <v>174</v>
      </c>
      <c r="C399" s="100">
        <f>IF(OR(Fact_Administrativa[[#This Row], [Año]]="",Fact_Administrativa[[#This Row], [Mes]]=""),"",DATE(A399,MATCH(B399,{"enero","febrero","marzo","abril","mayo","junio","julio","agosto","septiembre","octubre","noviembre","diciembre"},0)+1,0))</f>
        <v>45716</v>
      </c>
      <c r="D399" t="s">
        <v>55</v>
      </c>
      <c r="E399" t="str">
        <f>+IFERROR(VLOOKUP(Fact_Administrativa[[#This Row], [Concepto Anterior]],Conceptos_Administrativa[#All],5,0),"")</f>
        <v>Facturas Procesadas por Marca</v>
      </c>
      <c r="F399" t="str">
        <f ca="1">+IFERROR(VLOOKUP(Fact_Administrativa[[#This Row], [Concepto Anterior]],Conceptos_Administrativa[#All],7,0),"")</f>
        <v/>
      </c>
      <c r="G399" t="s">
        <v>56</v>
      </c>
      <c r="H399" t="s">
        <v>172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93">
        <v>109</v>
      </c>
    </row>
    <row r="400" spans="1:11" ht="18.75" customHeight="1" x14ac:dyDescent="0.35">
      <c r="A400" s="93">
        <v>2025</v>
      </c>
      <c r="B400" s="106" t="s">
        <v>174</v>
      </c>
      <c r="C400" s="100">
        <f>IF(OR(Fact_Administrativa[[#This Row], [Año]]="",Fact_Administrativa[[#This Row], [Mes]]=""),"",DATE(A400,MATCH(B400,{"enero","febrero","marzo","abril","mayo","junio","julio","agosto","septiembre","octubre","noviembre","diciembre"},0)+1,0))</f>
        <v>45716</v>
      </c>
      <c r="D400" t="s">
        <v>57</v>
      </c>
      <c r="E400" t="str">
        <f>+IFERROR(VLOOKUP(Fact_Administrativa[[#This Row], [Concepto Anterior]],Conceptos_Administrativa[#All],5,0),"")</f>
        <v>Facturas Procesadas por Marca</v>
      </c>
      <c r="F400" t="str">
        <f ca="1">+IFERROR(VLOOKUP(Fact_Administrativa[[#This Row], [Concepto Anterior]],Conceptos_Administrativa[#All],7,0),"")</f>
        <v/>
      </c>
      <c r="G400" t="s">
        <v>58</v>
      </c>
      <c r="H400" t="s">
        <v>172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93">
        <v>71</v>
      </c>
    </row>
    <row r="401" spans="1:11" ht="18.75" customHeight="1" x14ac:dyDescent="0.35">
      <c r="A401" s="93">
        <v>2025</v>
      </c>
      <c r="B401" s="106" t="s">
        <v>174</v>
      </c>
      <c r="C401" s="100">
        <f>IF(OR(Fact_Administrativa[[#This Row], [Año]]="",Fact_Administrativa[[#This Row], [Mes]]=""),"",DATE(A401,MATCH(B401,{"enero","febrero","marzo","abril","mayo","junio","julio","agosto","septiembre","octubre","noviembre","diciembre"},0)+1,0))</f>
        <v>45716</v>
      </c>
      <c r="D401" t="s">
        <v>28</v>
      </c>
      <c r="E401" t="str">
        <f>+IFERROR(VLOOKUP(Fact_Administrativa[[#This Row], [Concepto Anterior]],Conceptos_Administrativa[#All],5,0),"")</f>
        <v xml:space="preserve">Ahorro reformas tiendas </v>
      </c>
      <c r="F401" t="str">
        <f ca="1">+IFERROR(VLOOKUP(Fact_Administrativa[[#This Row], [Concepto Anterior]],Conceptos_Administrativa[#All],7,0),"")</f>
        <v/>
      </c>
      <c r="G401" t="s">
        <v>172</v>
      </c>
      <c r="H401" t="s">
        <v>172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93">
        <v>1200000</v>
      </c>
    </row>
    <row r="402" spans="1:11" ht="18.75" customHeight="1" x14ac:dyDescent="0.35">
      <c r="A402" s="93">
        <v>2025</v>
      </c>
      <c r="B402" s="106" t="s">
        <v>174</v>
      </c>
      <c r="C402" s="100">
        <f>IF(OR(Fact_Administrativa[[#This Row], [Año]]="",Fact_Administrativa[[#This Row], [Mes]]=""),"",DATE(A402,MATCH(B402,{"enero","febrero","marzo","abril","mayo","junio","julio","agosto","septiembre","octubre","noviembre","diciembre"},0)+1,0))</f>
        <v>45716</v>
      </c>
      <c r="D402" t="s">
        <v>211</v>
      </c>
      <c r="E402" t="str">
        <f>+IFERROR(VLOOKUP(Fact_Administrativa[[#This Row], [Concepto Anterior]],Conceptos_Administrativa[#All],5,0),"")</f>
        <v>Noches hospedaje</v>
      </c>
      <c r="F402" t="str">
        <f ca="1">+IFERROR(VLOOKUP(Fact_Administrativa[[#This Row], [Concepto Anterior]],Conceptos_Administrativa[#All],7,0),"")</f>
        <v/>
      </c>
      <c r="G402" t="s">
        <v>172</v>
      </c>
      <c r="H402" t="s">
        <v>172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93">
        <v>370</v>
      </c>
    </row>
    <row r="403" spans="1:11" ht="18.75" customHeight="1" x14ac:dyDescent="0.35">
      <c r="A403" s="93">
        <v>2025</v>
      </c>
      <c r="B403" s="106" t="s">
        <v>174</v>
      </c>
      <c r="C403" s="100">
        <f>IF(OR(Fact_Administrativa[[#This Row], [Año]]="",Fact_Administrativa[[#This Row], [Mes]]=""),"",DATE(A403,MATCH(B403,{"enero","febrero","marzo","abril","mayo","junio","julio","agosto","septiembre","octubre","noviembre","diciembre"},0)+1,0))</f>
        <v>45716</v>
      </c>
      <c r="D403" t="s">
        <v>29</v>
      </c>
      <c r="E403" t="str">
        <f>+IFERROR(VLOOKUP(Fact_Administrativa[[#This Row], [Concepto Anterior]],Conceptos_Administrativa[#All],5,0),"")</f>
        <v>Recuperaciones Siniestros</v>
      </c>
      <c r="F403" t="str">
        <f ca="1">+IFERROR(VLOOKUP(Fact_Administrativa[[#This Row], [Concepto Anterior]],Conceptos_Administrativa[#All],7,0),"")</f>
        <v/>
      </c>
      <c r="G403" t="s">
        <v>172</v>
      </c>
      <c r="H403" t="s">
        <v>172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93">
        <v>0</v>
      </c>
    </row>
    <row r="404" spans="1:11" ht="18.75" customHeight="1" x14ac:dyDescent="0.35">
      <c r="A404" s="93">
        <v>2025</v>
      </c>
      <c r="B404" s="106" t="s">
        <v>174</v>
      </c>
      <c r="C404" s="100">
        <f>IF(OR(Fact_Administrativa[[#This Row], [Año]]="",Fact_Administrativa[[#This Row], [Mes]]=""),"",DATE(A404,MATCH(B404,{"enero","febrero","marzo","abril","mayo","junio","julio","agosto","septiembre","octubre","noviembre","diciembre"},0)+1,0))</f>
        <v>45716</v>
      </c>
      <c r="D404" t="s">
        <v>30</v>
      </c>
      <c r="E404" t="str">
        <f>+IFERROR(VLOOKUP(Fact_Administrativa[[#This Row], [Concepto Anterior]],Conceptos_Administrativa[#All],5,0),"")</f>
        <v>Gestión de Polizas</v>
      </c>
      <c r="F404" t="str">
        <f ca="1">+IFERROR(VLOOKUP(Fact_Administrativa[[#This Row], [Concepto Anterior]],Conceptos_Administrativa[#All],7,0),"")</f>
        <v/>
      </c>
      <c r="G404" t="s">
        <v>172</v>
      </c>
      <c r="H404" t="s">
        <v>172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93">
        <v>0</v>
      </c>
    </row>
    <row r="405" spans="1:11" ht="18.75" customHeight="1" x14ac:dyDescent="0.35">
      <c r="A405" s="93">
        <v>2025</v>
      </c>
      <c r="B405" s="106" t="s">
        <v>174</v>
      </c>
      <c r="C405" s="100">
        <f>IF(OR(Fact_Administrativa[[#This Row], [Año]]="",Fact_Administrativa[[#This Row], [Mes]]=""),"",DATE(A405,MATCH(B405,{"enero","febrero","marzo","abril","mayo","junio","julio","agosto","septiembre","octubre","noviembre","diciembre"},0)+1,0))</f>
        <v>45716</v>
      </c>
      <c r="D405" t="s">
        <v>212</v>
      </c>
      <c r="E405" t="str">
        <f>+IFERROR(VLOOKUP(Fact_Administrativa[[#This Row], [Concepto Anterior]],Conceptos_Administrativa[#All],5,0),"")</f>
        <v>Total tickets recibidos</v>
      </c>
      <c r="F405" t="str">
        <f ca="1">+IFERROR(VLOOKUP(Fact_Administrativa[[#This Row], [Concepto Anterior]],Conceptos_Administrativa[#All],7,0),"")</f>
        <v/>
      </c>
      <c r="G405" t="s">
        <v>172</v>
      </c>
      <c r="H405" t="s">
        <v>172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93">
        <v>1469</v>
      </c>
    </row>
    <row r="406" spans="1:11" ht="18.75" customHeight="1" x14ac:dyDescent="0.35">
      <c r="A406" s="93">
        <v>2025</v>
      </c>
      <c r="B406" s="106" t="s">
        <v>174</v>
      </c>
      <c r="C406" s="100">
        <f>IF(OR(Fact_Administrativa[[#This Row], [Año]]="",Fact_Administrativa[[#This Row], [Mes]]=""),"",DATE(A406,MATCH(B406,{"enero","febrero","marzo","abril","mayo","junio","julio","agosto","septiembre","octubre","noviembre","diciembre"},0)+1,0))</f>
        <v>45716</v>
      </c>
      <c r="D406" t="s">
        <v>213</v>
      </c>
      <c r="E406" t="str">
        <f>+IFERROR(VLOOKUP(Fact_Administrativa[[#This Row], [Concepto Anterior]],Conceptos_Administrativa[#All],5,0),"")</f>
        <v>Tickets Cerrados con ANS</v>
      </c>
      <c r="F406" t="str">
        <f ca="1">+IFERROR(VLOOKUP(Fact_Administrativa[[#This Row], [Concepto Anterior]],Conceptos_Administrativa[#All],7,0),"")</f>
        <v/>
      </c>
      <c r="G406" t="s">
        <v>172</v>
      </c>
      <c r="H406" t="s">
        <v>172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93">
        <v>442</v>
      </c>
    </row>
    <row r="407" spans="1:11" ht="18.75" customHeight="1" x14ac:dyDescent="0.35">
      <c r="A407" s="93">
        <v>2025</v>
      </c>
      <c r="B407" s="106" t="s">
        <v>174</v>
      </c>
      <c r="C407" s="100">
        <f>IF(OR(Fact_Administrativa[[#This Row], [Año]]="",Fact_Administrativa[[#This Row], [Mes]]=""),"",DATE(A407,MATCH(B407,{"enero","febrero","marzo","abril","mayo","junio","julio","agosto","septiembre","octubre","noviembre","diciembre"},0)+1,0))</f>
        <v>45716</v>
      </c>
      <c r="D407" t="s">
        <v>214</v>
      </c>
      <c r="E407" t="str">
        <f>+IFERROR(VLOOKUP(Fact_Administrativa[[#This Row], [Concepto Anterior]],Conceptos_Administrativa[#All],5,0),"")</f>
        <v>Tickets Vencidos</v>
      </c>
      <c r="F407" t="str">
        <f ca="1">+IFERROR(VLOOKUP(Fact_Administrativa[[#This Row], [Concepto Anterior]],Conceptos_Administrativa[#All],7,0),"")</f>
        <v/>
      </c>
      <c r="G407" t="s">
        <v>172</v>
      </c>
      <c r="H407" t="s">
        <v>172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93">
        <v>14</v>
      </c>
    </row>
    <row r="408" spans="1:11" ht="18.75" customHeight="1" x14ac:dyDescent="0.35">
      <c r="A408" s="93">
        <v>2025</v>
      </c>
      <c r="B408" s="106" t="s">
        <v>175</v>
      </c>
      <c r="C408" s="100">
        <f>IF(OR(Fact_Administrativa[[#This Row], [Año]]="",Fact_Administrativa[[#This Row], [Mes]]=""),"",DATE(A408,MATCH(B408,{"enero","febrero","marzo","abril","mayo","junio","julio","agosto","septiembre","octubre","noviembre","diciembre"},0)+1,0))</f>
        <v>45747</v>
      </c>
      <c r="D408" t="s">
        <v>27</v>
      </c>
      <c r="E408" t="str">
        <f>+IFERROR(VLOOKUP(Fact_Administrativa[[#This Row], [Concepto Anterior]],Conceptos_Administrativa[#All],5,0),"")</f>
        <v>Ahorro energía</v>
      </c>
      <c r="F408" t="str">
        <f ca="1">+IFERROR(VLOOKUP(Fact_Administrativa[[#This Row], [Concepto Anterior]],Conceptos_Administrativa[#All],7,0),"")</f>
        <v/>
      </c>
      <c r="G408" t="s">
        <v>172</v>
      </c>
      <c r="H408" t="s">
        <v>172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93">
        <v>23858082</v>
      </c>
    </row>
    <row r="409" spans="1:11" ht="18.75" customHeight="1" x14ac:dyDescent="0.35">
      <c r="A409" s="93">
        <v>2025</v>
      </c>
      <c r="B409" s="106" t="s">
        <v>175</v>
      </c>
      <c r="C409" s="100">
        <f>IF(OR(Fact_Administrativa[[#This Row], [Año]]="",Fact_Administrativa[[#This Row], [Mes]]=""),"",DATE(A409,MATCH(B409,{"enero","febrero","marzo","abril","mayo","junio","julio","agosto","septiembre","octubre","noviembre","diciembre"},0)+1,0))</f>
        <v>45747</v>
      </c>
      <c r="D409" t="s">
        <v>118</v>
      </c>
      <c r="E409" t="str">
        <f>+IFERROR(VLOOKUP(Fact_Administrativa[[#This Row], [Concepto Anterior]],Conceptos_Administrativa[#All],5,0),"")</f>
        <v xml:space="preserve">Cant. reformas tiendas </v>
      </c>
      <c r="F409" t="str">
        <f ca="1">+IFERROR(VLOOKUP(Fact_Administrativa[[#This Row], [Concepto Anterior]],Conceptos_Administrativa[#All],7,0),"")</f>
        <v/>
      </c>
      <c r="G409" t="s">
        <v>172</v>
      </c>
      <c r="H409" t="s">
        <v>172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93">
        <v>3</v>
      </c>
    </row>
    <row r="410" spans="1:11" ht="18.75" customHeight="1" x14ac:dyDescent="0.35">
      <c r="A410" s="93">
        <v>2025</v>
      </c>
      <c r="B410" s="106" t="s">
        <v>175</v>
      </c>
      <c r="C410" s="100">
        <f>IF(OR(Fact_Administrativa[[#This Row], [Año]]="",Fact_Administrativa[[#This Row], [Mes]]=""),"",DATE(A410,MATCH(B410,{"enero","febrero","marzo","abril","mayo","junio","julio","agosto","septiembre","octubre","noviembre","diciembre"},0)+1,0))</f>
        <v>45747</v>
      </c>
      <c r="D410" t="s">
        <v>40</v>
      </c>
      <c r="E410" t="str">
        <f>+IFERROR(VLOOKUP(Fact_Administrativa[[#This Row], [Concepto Anterior]],Conceptos_Administrativa[#All],5,0),"")</f>
        <v xml:space="preserve">Contratos de arrendamientos </v>
      </c>
      <c r="F410" t="str">
        <f ca="1">+IFERROR(VLOOKUP(Fact_Administrativa[[#This Row], [Concepto Anterior]],Conceptos_Administrativa[#All],7,0),"")</f>
        <v/>
      </c>
      <c r="G410" t="s">
        <v>172</v>
      </c>
      <c r="H410" t="s">
        <v>172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93">
        <v>443</v>
      </c>
    </row>
    <row r="411" spans="1:11" ht="18.75" customHeight="1" x14ac:dyDescent="0.35">
      <c r="A411" s="93">
        <v>2025</v>
      </c>
      <c r="B411" s="106" t="s">
        <v>175</v>
      </c>
      <c r="C411" s="100">
        <f>IF(OR(Fact_Administrativa[[#This Row], [Año]]="",Fact_Administrativa[[#This Row], [Mes]]=""),"",DATE(A411,MATCH(B411,{"enero","febrero","marzo","abril","mayo","junio","julio","agosto","septiembre","octubre","noviembre","diciembre"},0)+1,0))</f>
        <v>45747</v>
      </c>
      <c r="D411" t="s">
        <v>25</v>
      </c>
      <c r="E411" t="str">
        <f>+IFERROR(VLOOKUP(Fact_Administrativa[[#This Row], [Concepto Anterior]],Conceptos_Administrativa[#All],5,0),"")</f>
        <v>Control Ingresos cede Dogama</v>
      </c>
      <c r="F411" t="str">
        <f ca="1">+IFERROR(VLOOKUP(Fact_Administrativa[[#This Row], [Concepto Anterior]],Conceptos_Administrativa[#All],7,0),"")</f>
        <v/>
      </c>
      <c r="G411" t="s">
        <v>172</v>
      </c>
      <c r="H411" t="s">
        <v>172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93">
        <v>13471</v>
      </c>
    </row>
    <row r="412" spans="1:11" ht="18.75" customHeight="1" x14ac:dyDescent="0.35">
      <c r="A412" s="93">
        <v>2025</v>
      </c>
      <c r="B412" s="106" t="s">
        <v>175</v>
      </c>
      <c r="C412" s="100">
        <f>IF(OR(Fact_Administrativa[[#This Row], [Año]]="",Fact_Administrativa[[#This Row], [Mes]]=""),"",DATE(A412,MATCH(B412,{"enero","febrero","marzo","abril","mayo","junio","julio","agosto","septiembre","octubre","noviembre","diciembre"},0)+1,0))</f>
        <v>45747</v>
      </c>
      <c r="D412" t="s">
        <v>209</v>
      </c>
      <c r="E412" t="str">
        <f>+IFERROR(VLOOKUP(Fact_Administrativa[[#This Row], [Concepto Anterior]],Conceptos_Administrativa[#All],5,0),"")</f>
        <v>Emisiones CO²</v>
      </c>
      <c r="F412" t="str">
        <f ca="1">+IFERROR(VLOOKUP(Fact_Administrativa[[#This Row], [Concepto Anterior]],Conceptos_Administrativa[#All],7,0),"")</f>
        <v/>
      </c>
      <c r="G412" t="s">
        <v>172</v>
      </c>
      <c r="H412" t="s">
        <v>172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07">
        <v>31.2</v>
      </c>
    </row>
    <row r="413" spans="1:11" ht="18.75" customHeight="1" x14ac:dyDescent="0.35">
      <c r="A413" s="93">
        <v>2025</v>
      </c>
      <c r="B413" s="106" t="s">
        <v>175</v>
      </c>
      <c r="C413" s="100">
        <f>IF(OR(Fact_Administrativa[[#This Row], [Año]]="",Fact_Administrativa[[#This Row], [Mes]]=""),"",DATE(A413,MATCH(B413,{"enero","febrero","marzo","abril","mayo","junio","julio","agosto","septiembre","octubre","noviembre","diciembre"},0)+1,0))</f>
        <v>45747</v>
      </c>
      <c r="D413" t="s">
        <v>38</v>
      </c>
      <c r="E413" t="str">
        <f>+IFERROR(VLOOKUP(Fact_Administrativa[[#This Row], [Concepto Anterior]],Conceptos_Administrativa[#All],5,0),"")</f>
        <v>Facturas de arrendamientos y administración</v>
      </c>
      <c r="F413" t="str">
        <f ca="1">+IFERROR(VLOOKUP(Fact_Administrativa[[#This Row], [Concepto Anterior]],Conceptos_Administrativa[#All],7,0),"")</f>
        <v/>
      </c>
      <c r="G413" t="s">
        <v>172</v>
      </c>
      <c r="H413" t="s">
        <v>172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93">
        <v>997</v>
      </c>
    </row>
    <row r="414" spans="1:11" ht="18.75" customHeight="1" x14ac:dyDescent="0.35">
      <c r="A414" s="93">
        <v>2025</v>
      </c>
      <c r="B414" s="106" t="s">
        <v>175</v>
      </c>
      <c r="C414" s="100">
        <f>IF(OR(Fact_Administrativa[[#This Row], [Año]]="",Fact_Administrativa[[#This Row], [Mes]]=""),"",DATE(A414,MATCH(B414,{"enero","febrero","marzo","abril","mayo","junio","julio","agosto","septiembre","octubre","noviembre","diciembre"},0)+1,0))</f>
        <v>45747</v>
      </c>
      <c r="D414" t="s">
        <v>41</v>
      </c>
      <c r="E414" t="str">
        <f>+IFERROR(VLOOKUP(Fact_Administrativa[[#This Row], [Concepto Anterior]],Conceptos_Administrativa[#All],5,0),"")</f>
        <v>Facturas Procesadas por Marca</v>
      </c>
      <c r="F414" t="str">
        <f ca="1">+IFERROR(VLOOKUP(Fact_Administrativa[[#This Row], [Concepto Anterior]],Conceptos_Administrativa[#All],7,0),"")</f>
        <v/>
      </c>
      <c r="G414" t="s">
        <v>42</v>
      </c>
      <c r="H414" t="s">
        <v>172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93">
        <v>628</v>
      </c>
    </row>
    <row r="415" spans="1:11" ht="18.75" customHeight="1" x14ac:dyDescent="0.35">
      <c r="A415" s="93">
        <v>2025</v>
      </c>
      <c r="B415" s="106" t="s">
        <v>175</v>
      </c>
      <c r="C415" s="100">
        <f>IF(OR(Fact_Administrativa[[#This Row], [Año]]="",Fact_Administrativa[[#This Row], [Mes]]=""),"",DATE(A415,MATCH(B415,{"enero","febrero","marzo","abril","mayo","junio","julio","agosto","septiembre","octubre","noviembre","diciembre"},0)+1,0))</f>
        <v>45747</v>
      </c>
      <c r="D415" t="s">
        <v>41</v>
      </c>
      <c r="E415" t="str">
        <f>+IFERROR(VLOOKUP(Fact_Administrativa[[#This Row], [Concepto Anterior]],Conceptos_Administrativa[#All],5,0),"")</f>
        <v>Facturas Procesadas por Marca</v>
      </c>
      <c r="F415" t="str">
        <f ca="1">+IFERROR(VLOOKUP(Fact_Administrativa[[#This Row], [Concepto Anterior]],Conceptos_Administrativa[#All],7,0),"")</f>
        <v/>
      </c>
      <c r="G415" t="s">
        <v>43</v>
      </c>
      <c r="H415" t="s">
        <v>172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93">
        <v>981</v>
      </c>
    </row>
    <row r="416" spans="1:11" ht="18.75" customHeight="1" x14ac:dyDescent="0.35">
      <c r="A416" s="93">
        <v>2025</v>
      </c>
      <c r="B416" s="106" t="s">
        <v>175</v>
      </c>
      <c r="C416" s="100">
        <f>IF(OR(Fact_Administrativa[[#This Row], [Año]]="",Fact_Administrativa[[#This Row], [Mes]]=""),"",DATE(A416,MATCH(B416,{"enero","febrero","marzo","abril","mayo","junio","julio","agosto","septiembre","octubre","noviembre","diciembre"},0)+1,0))</f>
        <v>45747</v>
      </c>
      <c r="D416" t="s">
        <v>41</v>
      </c>
      <c r="E416" t="str">
        <f>+IFERROR(VLOOKUP(Fact_Administrativa[[#This Row], [Concepto Anterior]],Conceptos_Administrativa[#All],5,0),"")</f>
        <v>Facturas Procesadas por Marca</v>
      </c>
      <c r="F416" t="str">
        <f ca="1">+IFERROR(VLOOKUP(Fact_Administrativa[[#This Row], [Concepto Anterior]],Conceptos_Administrativa[#All],7,0),"")</f>
        <v/>
      </c>
      <c r="G416" t="s">
        <v>44</v>
      </c>
      <c r="H416" t="s">
        <v>172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93">
        <v>819</v>
      </c>
    </row>
    <row r="417" spans="1:11" ht="18.75" customHeight="1" x14ac:dyDescent="0.35">
      <c r="A417" s="93">
        <v>2025</v>
      </c>
      <c r="B417" s="106" t="s">
        <v>175</v>
      </c>
      <c r="C417" s="100">
        <f>IF(OR(Fact_Administrativa[[#This Row], [Año]]="",Fact_Administrativa[[#This Row], [Mes]]=""),"",DATE(A417,MATCH(B417,{"enero","febrero","marzo","abril","mayo","junio","julio","agosto","septiembre","octubre","noviembre","diciembre"},0)+1,0))</f>
        <v>45747</v>
      </c>
      <c r="D417" t="s">
        <v>41</v>
      </c>
      <c r="E417" t="str">
        <f>+IFERROR(VLOOKUP(Fact_Administrativa[[#This Row], [Concepto Anterior]],Conceptos_Administrativa[#All],5,0),"")</f>
        <v>Facturas Procesadas por Marca</v>
      </c>
      <c r="F417" t="str">
        <f ca="1">+IFERROR(VLOOKUP(Fact_Administrativa[[#This Row], [Concepto Anterior]],Conceptos_Administrativa[#All],7,0),"")</f>
        <v/>
      </c>
      <c r="G417" t="s">
        <v>45</v>
      </c>
      <c r="H417" t="s">
        <v>172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93">
        <v>609</v>
      </c>
    </row>
    <row r="418" spans="1:11" ht="18.75" customHeight="1" x14ac:dyDescent="0.35">
      <c r="A418" s="93">
        <v>2025</v>
      </c>
      <c r="B418" s="106" t="s">
        <v>175</v>
      </c>
      <c r="C418" s="100">
        <f>IF(OR(Fact_Administrativa[[#This Row], [Año]]="",Fact_Administrativa[[#This Row], [Mes]]=""),"",DATE(A418,MATCH(B418,{"enero","febrero","marzo","abril","mayo","junio","julio","agosto","septiembre","octubre","noviembre","diciembre"},0)+1,0))</f>
        <v>45747</v>
      </c>
      <c r="D418" t="s">
        <v>41</v>
      </c>
      <c r="E418" t="str">
        <f>+IFERROR(VLOOKUP(Fact_Administrativa[[#This Row], [Concepto Anterior]],Conceptos_Administrativa[#All],5,0),"")</f>
        <v>Facturas Procesadas por Marca</v>
      </c>
      <c r="F418" t="str">
        <f ca="1">+IFERROR(VLOOKUP(Fact_Administrativa[[#This Row], [Concepto Anterior]],Conceptos_Administrativa[#All],7,0),"")</f>
        <v/>
      </c>
      <c r="G418" t="s">
        <v>46</v>
      </c>
      <c r="H418" t="s">
        <v>172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93">
        <v>314</v>
      </c>
    </row>
    <row r="419" spans="1:11" ht="18.75" customHeight="1" x14ac:dyDescent="0.35">
      <c r="A419" s="93">
        <v>2025</v>
      </c>
      <c r="B419" s="106" t="s">
        <v>175</v>
      </c>
      <c r="C419" s="100">
        <f>IF(OR(Fact_Administrativa[[#This Row], [Año]]="",Fact_Administrativa[[#This Row], [Mes]]=""),"",DATE(A419,MATCH(B419,{"enero","febrero","marzo","abril","mayo","junio","julio","agosto","septiembre","octubre","noviembre","diciembre"},0)+1,0))</f>
        <v>45747</v>
      </c>
      <c r="D419" t="s">
        <v>41</v>
      </c>
      <c r="E419" t="str">
        <f>+IFERROR(VLOOKUP(Fact_Administrativa[[#This Row], [Concepto Anterior]],Conceptos_Administrativa[#All],5,0),"")</f>
        <v>Facturas Procesadas por Marca</v>
      </c>
      <c r="F419" t="str">
        <f ca="1">+IFERROR(VLOOKUP(Fact_Administrativa[[#This Row], [Concepto Anterior]],Conceptos_Administrativa[#All],7,0),"")</f>
        <v/>
      </c>
      <c r="G419" t="s">
        <v>47</v>
      </c>
      <c r="H419" t="s">
        <v>172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93">
        <v>38</v>
      </c>
    </row>
    <row r="420" spans="1:11" ht="18.75" customHeight="1" x14ac:dyDescent="0.35">
      <c r="A420" s="93">
        <v>2025</v>
      </c>
      <c r="B420" s="106" t="s">
        <v>175</v>
      </c>
      <c r="C420" s="100">
        <f>IF(OR(Fact_Administrativa[[#This Row], [Año]]="",Fact_Administrativa[[#This Row], [Mes]]=""),"",DATE(A420,MATCH(B420,{"enero","febrero","marzo","abril","mayo","junio","julio","agosto","septiembre","octubre","noviembre","diciembre"},0)+1,0))</f>
        <v>45747</v>
      </c>
      <c r="D420" t="s">
        <v>41</v>
      </c>
      <c r="E420" t="str">
        <f>+IFERROR(VLOOKUP(Fact_Administrativa[[#This Row], [Concepto Anterior]],Conceptos_Administrativa[#All],5,0),"")</f>
        <v>Facturas Procesadas por Marca</v>
      </c>
      <c r="F420" t="str">
        <f ca="1">+IFERROR(VLOOKUP(Fact_Administrativa[[#This Row], [Concepto Anterior]],Conceptos_Administrativa[#All],7,0),"")</f>
        <v/>
      </c>
      <c r="G420" t="s">
        <v>48</v>
      </c>
      <c r="H420" t="s">
        <v>172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93">
        <v>2495</v>
      </c>
    </row>
    <row r="421" spans="1:11" ht="18.75" customHeight="1" x14ac:dyDescent="0.35">
      <c r="A421" s="93">
        <v>2025</v>
      </c>
      <c r="B421" s="106" t="s">
        <v>175</v>
      </c>
      <c r="C421" s="100">
        <f>IF(OR(Fact_Administrativa[[#This Row], [Año]]="",Fact_Administrativa[[#This Row], [Mes]]=""),"",DATE(A421,MATCH(B421,{"enero","febrero","marzo","abril","mayo","junio","julio","agosto","septiembre","octubre","noviembre","diciembre"},0)+1,0))</f>
        <v>45747</v>
      </c>
      <c r="D421" t="s">
        <v>41</v>
      </c>
      <c r="E421" t="str">
        <f>+IFERROR(VLOOKUP(Fact_Administrativa[[#This Row], [Concepto Anterior]],Conceptos_Administrativa[#All],5,0),"")</f>
        <v>Facturas Procesadas por Marca</v>
      </c>
      <c r="F421" t="str">
        <f ca="1">+IFERROR(VLOOKUP(Fact_Administrativa[[#This Row], [Concepto Anterior]],Conceptos_Administrativa[#All],7,0),"")</f>
        <v/>
      </c>
      <c r="G421" t="s">
        <v>49</v>
      </c>
      <c r="H421" t="s">
        <v>172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93">
        <v>886</v>
      </c>
    </row>
    <row r="422" spans="1:11" ht="18.75" customHeight="1" x14ac:dyDescent="0.35">
      <c r="A422" s="93">
        <v>2025</v>
      </c>
      <c r="B422" s="106" t="s">
        <v>175</v>
      </c>
      <c r="C422" s="100">
        <f>IF(OR(Fact_Administrativa[[#This Row], [Año]]="",Fact_Administrativa[[#This Row], [Mes]]=""),"",DATE(A422,MATCH(B422,{"enero","febrero","marzo","abril","mayo","junio","julio","agosto","septiembre","octubre","noviembre","diciembre"},0)+1,0))</f>
        <v>45747</v>
      </c>
      <c r="D422" t="s">
        <v>41</v>
      </c>
      <c r="E422" t="str">
        <f>+IFERROR(VLOOKUP(Fact_Administrativa[[#This Row], [Concepto Anterior]],Conceptos_Administrativa[#All],5,0),"")</f>
        <v>Facturas Procesadas por Marca</v>
      </c>
      <c r="F422" t="str">
        <f ca="1">+IFERROR(VLOOKUP(Fact_Administrativa[[#This Row], [Concepto Anterior]],Conceptos_Administrativa[#All],7,0),"")</f>
        <v/>
      </c>
      <c r="G422" t="s">
        <v>50</v>
      </c>
      <c r="H422" t="s">
        <v>172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93">
        <v>1124</v>
      </c>
    </row>
    <row r="423" spans="1:11" ht="18.75" customHeight="1" x14ac:dyDescent="0.35">
      <c r="A423" s="93">
        <v>2025</v>
      </c>
      <c r="B423" s="106" t="s">
        <v>175</v>
      </c>
      <c r="C423" s="100">
        <f>IF(OR(Fact_Administrativa[[#This Row], [Año]]="",Fact_Administrativa[[#This Row], [Mes]]=""),"",DATE(A423,MATCH(B423,{"enero","febrero","marzo","abril","mayo","junio","julio","agosto","septiembre","octubre","noviembre","diciembre"},0)+1,0))</f>
        <v>45747</v>
      </c>
      <c r="D423" t="s">
        <v>41</v>
      </c>
      <c r="E423" t="str">
        <f>+IFERROR(VLOOKUP(Fact_Administrativa[[#This Row], [Concepto Anterior]],Conceptos_Administrativa[#All],5,0),"")</f>
        <v>Facturas Procesadas por Marca</v>
      </c>
      <c r="F423" t="str">
        <f ca="1">+IFERROR(VLOOKUP(Fact_Administrativa[[#This Row], [Concepto Anterior]],Conceptos_Administrativa[#All],7,0),"")</f>
        <v/>
      </c>
      <c r="G423" t="s">
        <v>121</v>
      </c>
      <c r="H423" t="s">
        <v>172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93">
        <v>0</v>
      </c>
    </row>
    <row r="424" spans="1:11" ht="18.75" customHeight="1" x14ac:dyDescent="0.35">
      <c r="A424" s="93">
        <v>2025</v>
      </c>
      <c r="B424" s="106" t="s">
        <v>175</v>
      </c>
      <c r="C424" s="100">
        <f>IF(OR(Fact_Administrativa[[#This Row], [Año]]="",Fact_Administrativa[[#This Row], [Mes]]=""),"",DATE(A424,MATCH(B424,{"enero","febrero","marzo","abril","mayo","junio","julio","agosto","septiembre","octubre","noviembre","diciembre"},0)+1,0))</f>
        <v>45747</v>
      </c>
      <c r="D424" t="s">
        <v>41</v>
      </c>
      <c r="E424" t="str">
        <f>+IFERROR(VLOOKUP(Fact_Administrativa[[#This Row], [Concepto Anterior]],Conceptos_Administrativa[#All],5,0),"")</f>
        <v>Facturas Procesadas por Marca</v>
      </c>
      <c r="F424" t="str">
        <f ca="1">+IFERROR(VLOOKUP(Fact_Administrativa[[#This Row], [Concepto Anterior]],Conceptos_Administrativa[#All],7,0),"")</f>
        <v/>
      </c>
      <c r="G424" t="s">
        <v>51</v>
      </c>
      <c r="H424" t="s">
        <v>172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93">
        <v>838</v>
      </c>
    </row>
    <row r="425" spans="1:11" ht="18.75" customHeight="1" x14ac:dyDescent="0.35">
      <c r="A425" s="93">
        <v>2025</v>
      </c>
      <c r="B425" s="106" t="s">
        <v>175</v>
      </c>
      <c r="C425" s="100">
        <f>IF(OR(Fact_Administrativa[[#This Row], [Año]]="",Fact_Administrativa[[#This Row], [Mes]]=""),"",DATE(A425,MATCH(B425,{"enero","febrero","marzo","abril","mayo","junio","julio","agosto","septiembre","octubre","noviembre","diciembre"},0)+1,0))</f>
        <v>45747</v>
      </c>
      <c r="D425" t="s">
        <v>41</v>
      </c>
      <c r="E425" t="str">
        <f>+IFERROR(VLOOKUP(Fact_Administrativa[[#This Row], [Concepto Anterior]],Conceptos_Administrativa[#All],5,0),"")</f>
        <v>Facturas Procesadas por Marca</v>
      </c>
      <c r="F425" t="str">
        <f ca="1">+IFERROR(VLOOKUP(Fact_Administrativa[[#This Row], [Concepto Anterior]],Conceptos_Administrativa[#All],7,0),"")</f>
        <v/>
      </c>
      <c r="G425" t="s">
        <v>52</v>
      </c>
      <c r="H425" t="s">
        <v>172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93">
        <v>400</v>
      </c>
    </row>
    <row r="426" spans="1:11" ht="18.75" customHeight="1" x14ac:dyDescent="0.35">
      <c r="A426" s="93">
        <v>2025</v>
      </c>
      <c r="B426" s="106" t="s">
        <v>175</v>
      </c>
      <c r="C426" s="100">
        <f>IF(OR(Fact_Administrativa[[#This Row], [Año]]="",Fact_Administrativa[[#This Row], [Mes]]=""),"",DATE(A426,MATCH(B426,{"enero","febrero","marzo","abril","mayo","junio","julio","agosto","septiembre","octubre","noviembre","diciembre"},0)+1,0))</f>
        <v>45747</v>
      </c>
      <c r="D426" t="s">
        <v>41</v>
      </c>
      <c r="E426" t="str">
        <f>+IFERROR(VLOOKUP(Fact_Administrativa[[#This Row], [Concepto Anterior]],Conceptos_Administrativa[#All],5,0),"")</f>
        <v>Facturas Procesadas por Marca</v>
      </c>
      <c r="F426" t="str">
        <f ca="1">+IFERROR(VLOOKUP(Fact_Administrativa[[#This Row], [Concepto Anterior]],Conceptos_Administrativa[#All],7,0),"")</f>
        <v/>
      </c>
      <c r="G426" t="s">
        <v>53</v>
      </c>
      <c r="H426" t="s">
        <v>172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93">
        <v>352</v>
      </c>
    </row>
    <row r="427" spans="1:11" ht="18.75" customHeight="1" x14ac:dyDescent="0.35">
      <c r="A427" s="93">
        <v>2025</v>
      </c>
      <c r="B427" s="106" t="s">
        <v>175</v>
      </c>
      <c r="C427" s="100">
        <f>IF(OR(Fact_Administrativa[[#This Row], [Año]]="",Fact_Administrativa[[#This Row], [Mes]]=""),"",DATE(A427,MATCH(B427,{"enero","febrero","marzo","abril","mayo","junio","julio","agosto","septiembre","octubre","noviembre","diciembre"},0)+1,0))</f>
        <v>45747</v>
      </c>
      <c r="D427" t="s">
        <v>41</v>
      </c>
      <c r="E427" t="str">
        <f>+IFERROR(VLOOKUP(Fact_Administrativa[[#This Row], [Concepto Anterior]],Conceptos_Administrativa[#All],5,0),"")</f>
        <v>Facturas Procesadas por Marca</v>
      </c>
      <c r="F427" t="str">
        <f ca="1">+IFERROR(VLOOKUP(Fact_Administrativa[[#This Row], [Concepto Anterior]],Conceptos_Administrativa[#All],7,0),"")</f>
        <v/>
      </c>
      <c r="G427" t="s">
        <v>54</v>
      </c>
      <c r="H427" t="s">
        <v>172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93">
        <v>38</v>
      </c>
    </row>
    <row r="428" spans="1:11" ht="18.75" customHeight="1" x14ac:dyDescent="0.35">
      <c r="A428" s="93">
        <v>2025</v>
      </c>
      <c r="B428" s="106" t="s">
        <v>175</v>
      </c>
      <c r="C428" s="100">
        <f>IF(OR(Fact_Administrativa[[#This Row], [Año]]="",Fact_Administrativa[[#This Row], [Mes]]=""),"",DATE(A428,MATCH(B428,{"enero","febrero","marzo","abril","mayo","junio","julio","agosto","septiembre","octubre","noviembre","diciembre"},0)+1,0))</f>
        <v>45747</v>
      </c>
      <c r="D428" t="s">
        <v>55</v>
      </c>
      <c r="E428" t="str">
        <f>+IFERROR(VLOOKUP(Fact_Administrativa[[#This Row], [Concepto Anterior]],Conceptos_Administrativa[#All],5,0),"")</f>
        <v>Facturas Procesadas por Marca</v>
      </c>
      <c r="F428" t="str">
        <f ca="1">+IFERROR(VLOOKUP(Fact_Administrativa[[#This Row], [Concepto Anterior]],Conceptos_Administrativa[#All],7,0),"")</f>
        <v/>
      </c>
      <c r="G428" t="s">
        <v>56</v>
      </c>
      <c r="H428" t="s">
        <v>172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93">
        <v>105</v>
      </c>
    </row>
    <row r="429" spans="1:11" ht="18.75" customHeight="1" x14ac:dyDescent="0.35">
      <c r="A429" s="93">
        <v>2025</v>
      </c>
      <c r="B429" s="106" t="s">
        <v>175</v>
      </c>
      <c r="C429" s="100">
        <f>IF(OR(Fact_Administrativa[[#This Row], [Año]]="",Fact_Administrativa[[#This Row], [Mes]]=""),"",DATE(A429,MATCH(B429,{"enero","febrero","marzo","abril","mayo","junio","julio","agosto","septiembre","octubre","noviembre","diciembre"},0)+1,0))</f>
        <v>45747</v>
      </c>
      <c r="D429" t="s">
        <v>57</v>
      </c>
      <c r="E429" t="str">
        <f>+IFERROR(VLOOKUP(Fact_Administrativa[[#This Row], [Concepto Anterior]],Conceptos_Administrativa[#All],5,0),"")</f>
        <v>Facturas Procesadas por Marca</v>
      </c>
      <c r="F429" t="str">
        <f ca="1">+IFERROR(VLOOKUP(Fact_Administrativa[[#This Row], [Concepto Anterior]],Conceptos_Administrativa[#All],7,0),"")</f>
        <v/>
      </c>
      <c r="G429" t="s">
        <v>58</v>
      </c>
      <c r="H429" t="s">
        <v>172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93">
        <v>77</v>
      </c>
    </row>
    <row r="430" spans="1:11" ht="18.75" customHeight="1" x14ac:dyDescent="0.35">
      <c r="A430" s="93">
        <v>2025</v>
      </c>
      <c r="B430" s="106" t="s">
        <v>175</v>
      </c>
      <c r="C430" s="100">
        <f>IF(OR(Fact_Administrativa[[#This Row], [Año]]="",Fact_Administrativa[[#This Row], [Mes]]=""),"",DATE(A430,MATCH(B430,{"enero","febrero","marzo","abril","mayo","junio","julio","agosto","septiembre","octubre","noviembre","diciembre"},0)+1,0))</f>
        <v>45747</v>
      </c>
      <c r="D430" t="s">
        <v>28</v>
      </c>
      <c r="E430" t="str">
        <f>+IFERROR(VLOOKUP(Fact_Administrativa[[#This Row], [Concepto Anterior]],Conceptos_Administrativa[#All],5,0),"")</f>
        <v xml:space="preserve">Ahorro reformas tiendas </v>
      </c>
      <c r="F430" t="str">
        <f ca="1">+IFERROR(VLOOKUP(Fact_Administrativa[[#This Row], [Concepto Anterior]],Conceptos_Administrativa[#All],7,0),"")</f>
        <v/>
      </c>
      <c r="G430" t="s">
        <v>172</v>
      </c>
      <c r="H430" t="s">
        <v>172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93">
        <v>2314516</v>
      </c>
    </row>
    <row r="431" spans="1:11" ht="18.75" customHeight="1" x14ac:dyDescent="0.35">
      <c r="A431" s="93">
        <v>2025</v>
      </c>
      <c r="B431" s="106" t="s">
        <v>175</v>
      </c>
      <c r="C431" s="100">
        <f>IF(OR(Fact_Administrativa[[#This Row], [Año]]="",Fact_Administrativa[[#This Row], [Mes]]=""),"",DATE(A431,MATCH(B431,{"enero","febrero","marzo","abril","mayo","junio","julio","agosto","septiembre","octubre","noviembre","diciembre"},0)+1,0))</f>
        <v>45747</v>
      </c>
      <c r="D431" t="s">
        <v>211</v>
      </c>
      <c r="E431" t="str">
        <f>+IFERROR(VLOOKUP(Fact_Administrativa[[#This Row], [Concepto Anterior]],Conceptos_Administrativa[#All],5,0),"")</f>
        <v>Noches hospedaje</v>
      </c>
      <c r="F431" t="str">
        <f ca="1">+IFERROR(VLOOKUP(Fact_Administrativa[[#This Row], [Concepto Anterior]],Conceptos_Administrativa[#All],7,0),"")</f>
        <v/>
      </c>
      <c r="G431" t="s">
        <v>172</v>
      </c>
      <c r="H431" t="s">
        <v>172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93">
        <v>338</v>
      </c>
    </row>
    <row r="432" spans="1:11" ht="18.75" customHeight="1" x14ac:dyDescent="0.35">
      <c r="A432" s="93">
        <v>2025</v>
      </c>
      <c r="B432" s="106" t="s">
        <v>175</v>
      </c>
      <c r="C432" s="100">
        <f>IF(OR(Fact_Administrativa[[#This Row], [Año]]="",Fact_Administrativa[[#This Row], [Mes]]=""),"",DATE(A432,MATCH(B432,{"enero","febrero","marzo","abril","mayo","junio","julio","agosto","septiembre","octubre","noviembre","diciembre"},0)+1,0))</f>
        <v>45747</v>
      </c>
      <c r="D432" t="s">
        <v>29</v>
      </c>
      <c r="E432" t="str">
        <f>+IFERROR(VLOOKUP(Fact_Administrativa[[#This Row], [Concepto Anterior]],Conceptos_Administrativa[#All],5,0),"")</f>
        <v>Recuperaciones Siniestros</v>
      </c>
      <c r="F432" t="str">
        <f ca="1">+IFERROR(VLOOKUP(Fact_Administrativa[[#This Row], [Concepto Anterior]],Conceptos_Administrativa[#All],7,0),"")</f>
        <v/>
      </c>
      <c r="G432" t="s">
        <v>172</v>
      </c>
      <c r="H432" t="s">
        <v>172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93">
        <v>0</v>
      </c>
    </row>
    <row r="433" spans="1:11" ht="18.75" customHeight="1" x14ac:dyDescent="0.35">
      <c r="A433" s="93">
        <v>2025</v>
      </c>
      <c r="B433" s="106" t="s">
        <v>175</v>
      </c>
      <c r="C433" s="100">
        <f>IF(OR(Fact_Administrativa[[#This Row], [Año]]="",Fact_Administrativa[[#This Row], [Mes]]=""),"",DATE(A433,MATCH(B433,{"enero","febrero","marzo","abril","mayo","junio","julio","agosto","septiembre","octubre","noviembre","diciembre"},0)+1,0))</f>
        <v>45747</v>
      </c>
      <c r="D433" t="s">
        <v>30</v>
      </c>
      <c r="E433" t="str">
        <f>+IFERROR(VLOOKUP(Fact_Administrativa[[#This Row], [Concepto Anterior]],Conceptos_Administrativa[#All],5,0),"")</f>
        <v>Gestión de Polizas</v>
      </c>
      <c r="F433" t="str">
        <f ca="1">+IFERROR(VLOOKUP(Fact_Administrativa[[#This Row], [Concepto Anterior]],Conceptos_Administrativa[#All],7,0),"")</f>
        <v/>
      </c>
      <c r="G433" t="s">
        <v>172</v>
      </c>
      <c r="H433" t="s">
        <v>172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93">
        <v>0</v>
      </c>
    </row>
    <row r="434" spans="1:11" ht="18.75" customHeight="1" x14ac:dyDescent="0.35">
      <c r="A434" s="93">
        <v>2025</v>
      </c>
      <c r="B434" s="106" t="s">
        <v>175</v>
      </c>
      <c r="C434" s="100">
        <f>IF(OR(Fact_Administrativa[[#This Row], [Año]]="",Fact_Administrativa[[#This Row], [Mes]]=""),"",DATE(A434,MATCH(B434,{"enero","febrero","marzo","abril","mayo","junio","julio","agosto","septiembre","octubre","noviembre","diciembre"},0)+1,0))</f>
        <v>45747</v>
      </c>
      <c r="D434" t="s">
        <v>212</v>
      </c>
      <c r="E434" t="str">
        <f>+IFERROR(VLOOKUP(Fact_Administrativa[[#This Row], [Concepto Anterior]],Conceptos_Administrativa[#All],5,0),"")</f>
        <v>Total tickets recibidos</v>
      </c>
      <c r="F434" t="str">
        <f ca="1">+IFERROR(VLOOKUP(Fact_Administrativa[[#This Row], [Concepto Anterior]],Conceptos_Administrativa[#All],7,0),"")</f>
        <v/>
      </c>
      <c r="G434" t="s">
        <v>172</v>
      </c>
      <c r="H434" t="s">
        <v>172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93">
        <v>1548</v>
      </c>
    </row>
    <row r="435" spans="1:11" ht="18.75" customHeight="1" x14ac:dyDescent="0.35">
      <c r="A435" s="93">
        <v>2025</v>
      </c>
      <c r="B435" s="106" t="s">
        <v>175</v>
      </c>
      <c r="C435" s="100">
        <f>IF(OR(Fact_Administrativa[[#This Row], [Año]]="",Fact_Administrativa[[#This Row], [Mes]]=""),"",DATE(A435,MATCH(B435,{"enero","febrero","marzo","abril","mayo","junio","julio","agosto","septiembre","octubre","noviembre","diciembre"},0)+1,0))</f>
        <v>45747</v>
      </c>
      <c r="D435" t="s">
        <v>213</v>
      </c>
      <c r="E435" t="str">
        <f>+IFERROR(VLOOKUP(Fact_Administrativa[[#This Row], [Concepto Anterior]],Conceptos_Administrativa[#All],5,0),"")</f>
        <v>Tickets Cerrados con ANS</v>
      </c>
      <c r="F435" t="str">
        <f ca="1">+IFERROR(VLOOKUP(Fact_Administrativa[[#This Row], [Concepto Anterior]],Conceptos_Administrativa[#All],7,0),"")</f>
        <v/>
      </c>
      <c r="G435" t="s">
        <v>172</v>
      </c>
      <c r="H435" t="s">
        <v>172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93">
        <v>929</v>
      </c>
    </row>
    <row r="436" spans="1:11" ht="18.75" customHeight="1" x14ac:dyDescent="0.35">
      <c r="A436" s="93">
        <v>2025</v>
      </c>
      <c r="B436" s="106" t="s">
        <v>175</v>
      </c>
      <c r="C436" s="100">
        <f>IF(OR(Fact_Administrativa[[#This Row], [Año]]="",Fact_Administrativa[[#This Row], [Mes]]=""),"",DATE(A436,MATCH(B436,{"enero","febrero","marzo","abril","mayo","junio","julio","agosto","septiembre","octubre","noviembre","diciembre"},0)+1,0))</f>
        <v>45747</v>
      </c>
      <c r="D436" t="s">
        <v>214</v>
      </c>
      <c r="E436" t="str">
        <f>+IFERROR(VLOOKUP(Fact_Administrativa[[#This Row], [Concepto Anterior]],Conceptos_Administrativa[#All],5,0),"")</f>
        <v>Tickets Vencidos</v>
      </c>
      <c r="F436" t="str">
        <f ca="1">+IFERROR(VLOOKUP(Fact_Administrativa[[#This Row], [Concepto Anterior]],Conceptos_Administrativa[#All],7,0),"")</f>
        <v/>
      </c>
      <c r="G436" t="s">
        <v>172</v>
      </c>
      <c r="H436" t="s">
        <v>172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93">
        <v>994</v>
      </c>
    </row>
    <row r="437" spans="1:11" ht="18.75" customHeight="1" x14ac:dyDescent="0.35">
      <c r="A437" s="93">
        <v>2025</v>
      </c>
      <c r="B437" s="106" t="s">
        <v>176</v>
      </c>
      <c r="C437" s="100">
        <f>IF(OR(Fact_Administrativa[[#This Row], [Año]]="",Fact_Administrativa[[#This Row], [Mes]]=""),"",DATE(A437,MATCH(B437,{"enero","febrero","marzo","abril","mayo","junio","julio","agosto","septiembre","octubre","noviembre","diciembre"},0)+1,0))</f>
        <v>45777</v>
      </c>
      <c r="D437" t="s">
        <v>27</v>
      </c>
      <c r="E437" t="str">
        <f>+IFERROR(VLOOKUP(Fact_Administrativa[[#This Row], [Concepto Anterior]],Conceptos_Administrativa[#All],5,0),"")</f>
        <v>Ahorro energía</v>
      </c>
      <c r="F437" t="str">
        <f ca="1">+IFERROR(VLOOKUP(Fact_Administrativa[[#This Row], [Concepto Anterior]],Conceptos_Administrativa[#All],7,0),"")</f>
        <v/>
      </c>
      <c r="G437" t="s">
        <v>172</v>
      </c>
      <c r="H437" t="s">
        <v>172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93">
        <v>38410479</v>
      </c>
    </row>
    <row r="438" spans="1:11" ht="18.75" customHeight="1" x14ac:dyDescent="0.35">
      <c r="A438" s="93">
        <v>2025</v>
      </c>
      <c r="B438" s="106" t="s">
        <v>176</v>
      </c>
      <c r="C438" s="100">
        <f>IF(OR(Fact_Administrativa[[#This Row], [Año]]="",Fact_Administrativa[[#This Row], [Mes]]=""),"",DATE(A438,MATCH(B438,{"enero","febrero","marzo","abril","mayo","junio","julio","agosto","septiembre","octubre","noviembre","diciembre"},0)+1,0))</f>
        <v>45777</v>
      </c>
      <c r="D438" t="s">
        <v>118</v>
      </c>
      <c r="E438" t="str">
        <f>+IFERROR(VLOOKUP(Fact_Administrativa[[#This Row], [Concepto Anterior]],Conceptos_Administrativa[#All],5,0),"")</f>
        <v xml:space="preserve">Cant. reformas tiendas </v>
      </c>
      <c r="F438" t="str">
        <f ca="1">+IFERROR(VLOOKUP(Fact_Administrativa[[#This Row], [Concepto Anterior]],Conceptos_Administrativa[#All],7,0),"")</f>
        <v/>
      </c>
      <c r="G438" t="s">
        <v>172</v>
      </c>
      <c r="H438" t="s">
        <v>172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93">
        <v>14</v>
      </c>
    </row>
    <row r="439" spans="1:11" ht="18.75" customHeight="1" x14ac:dyDescent="0.35">
      <c r="A439" s="93">
        <v>2025</v>
      </c>
      <c r="B439" s="106" t="s">
        <v>176</v>
      </c>
      <c r="C439" s="100">
        <f>IF(OR(Fact_Administrativa[[#This Row], [Año]]="",Fact_Administrativa[[#This Row], [Mes]]=""),"",DATE(A439,MATCH(B439,{"enero","febrero","marzo","abril","mayo","junio","julio","agosto","septiembre","octubre","noviembre","diciembre"},0)+1,0))</f>
        <v>45777</v>
      </c>
      <c r="D439" t="s">
        <v>40</v>
      </c>
      <c r="E439" t="str">
        <f>+IFERROR(VLOOKUP(Fact_Administrativa[[#This Row], [Concepto Anterior]],Conceptos_Administrativa[#All],5,0),"")</f>
        <v xml:space="preserve">Contratos de arrendamientos </v>
      </c>
      <c r="F439" t="str">
        <f ca="1">+IFERROR(VLOOKUP(Fact_Administrativa[[#This Row], [Concepto Anterior]],Conceptos_Administrativa[#All],7,0),"")</f>
        <v/>
      </c>
      <c r="G439" t="s">
        <v>172</v>
      </c>
      <c r="H439" t="s">
        <v>172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93">
        <v>456</v>
      </c>
    </row>
    <row r="440" spans="1:11" ht="18.75" customHeight="1" x14ac:dyDescent="0.35">
      <c r="A440" s="93">
        <v>2025</v>
      </c>
      <c r="B440" s="106" t="s">
        <v>176</v>
      </c>
      <c r="C440" s="100">
        <f>IF(OR(Fact_Administrativa[[#This Row], [Año]]="",Fact_Administrativa[[#This Row], [Mes]]=""),"",DATE(A440,MATCH(B440,{"enero","febrero","marzo","abril","mayo","junio","julio","agosto","septiembre","octubre","noviembre","diciembre"},0)+1,0))</f>
        <v>45777</v>
      </c>
      <c r="D440" t="s">
        <v>25</v>
      </c>
      <c r="E440" t="str">
        <f>+IFERROR(VLOOKUP(Fact_Administrativa[[#This Row], [Concepto Anterior]],Conceptos_Administrativa[#All],5,0),"")</f>
        <v>Control Ingresos cede Dogama</v>
      </c>
      <c r="F440" t="str">
        <f ca="1">+IFERROR(VLOOKUP(Fact_Administrativa[[#This Row], [Concepto Anterior]],Conceptos_Administrativa[#All],7,0),"")</f>
        <v/>
      </c>
      <c r="G440" t="s">
        <v>172</v>
      </c>
      <c r="H440" t="s">
        <v>172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93">
        <v>19092</v>
      </c>
    </row>
    <row r="441" spans="1:11" ht="18.75" customHeight="1" x14ac:dyDescent="0.35">
      <c r="A441" s="93">
        <v>2025</v>
      </c>
      <c r="B441" s="106" t="s">
        <v>176</v>
      </c>
      <c r="C441" s="100">
        <f>IF(OR(Fact_Administrativa[[#This Row], [Año]]="",Fact_Administrativa[[#This Row], [Mes]]=""),"",DATE(A441,MATCH(B441,{"enero","febrero","marzo","abril","mayo","junio","julio","agosto","septiembre","octubre","noviembre","diciembre"},0)+1,0))</f>
        <v>45777</v>
      </c>
      <c r="D441" t="s">
        <v>209</v>
      </c>
      <c r="E441" t="str">
        <f>+IFERROR(VLOOKUP(Fact_Administrativa[[#This Row], [Concepto Anterior]],Conceptos_Administrativa[#All],5,0),"")</f>
        <v>Emisiones CO²</v>
      </c>
      <c r="F441" t="str">
        <f ca="1">+IFERROR(VLOOKUP(Fact_Administrativa[[#This Row], [Concepto Anterior]],Conceptos_Administrativa[#All],7,0),"")</f>
        <v/>
      </c>
      <c r="G441" t="s">
        <v>172</v>
      </c>
      <c r="H441" t="s">
        <v>172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07">
        <v>28.9</v>
      </c>
    </row>
    <row r="442" spans="1:11" ht="18.75" customHeight="1" x14ac:dyDescent="0.35">
      <c r="A442" s="93">
        <v>2025</v>
      </c>
      <c r="B442" s="106" t="s">
        <v>176</v>
      </c>
      <c r="C442" s="100">
        <f>IF(OR(Fact_Administrativa[[#This Row], [Año]]="",Fact_Administrativa[[#This Row], [Mes]]=""),"",DATE(A442,MATCH(B442,{"enero","febrero","marzo","abril","mayo","junio","julio","agosto","septiembre","octubre","noviembre","diciembre"},0)+1,0))</f>
        <v>45777</v>
      </c>
      <c r="D442" t="s">
        <v>38</v>
      </c>
      <c r="E442" t="str">
        <f>+IFERROR(VLOOKUP(Fact_Administrativa[[#This Row], [Concepto Anterior]],Conceptos_Administrativa[#All],5,0),"")</f>
        <v>Facturas de arrendamientos y administración</v>
      </c>
      <c r="F442" t="str">
        <f ca="1">+IFERROR(VLOOKUP(Fact_Administrativa[[#This Row], [Concepto Anterior]],Conceptos_Administrativa[#All],7,0),"")</f>
        <v/>
      </c>
      <c r="G442" t="s">
        <v>172</v>
      </c>
      <c r="H442" t="s">
        <v>172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93">
        <v>1135</v>
      </c>
    </row>
    <row r="443" spans="1:11" ht="18.75" customHeight="1" x14ac:dyDescent="0.35">
      <c r="A443" s="93">
        <v>2025</v>
      </c>
      <c r="B443" s="106" t="s">
        <v>176</v>
      </c>
      <c r="C443" s="100">
        <f>IF(OR(Fact_Administrativa[[#This Row], [Año]]="",Fact_Administrativa[[#This Row], [Mes]]=""),"",DATE(A443,MATCH(B443,{"enero","febrero","marzo","abril","mayo","junio","julio","agosto","septiembre","octubre","noviembre","diciembre"},0)+1,0))</f>
        <v>45777</v>
      </c>
      <c r="D443" t="s">
        <v>41</v>
      </c>
      <c r="E443" t="str">
        <f>+IFERROR(VLOOKUP(Fact_Administrativa[[#This Row], [Concepto Anterior]],Conceptos_Administrativa[#All],5,0),"")</f>
        <v>Facturas Procesadas por Marca</v>
      </c>
      <c r="F443" t="str">
        <f ca="1">+IFERROR(VLOOKUP(Fact_Administrativa[[#This Row], [Concepto Anterior]],Conceptos_Administrativa[#All],7,0),"")</f>
        <v/>
      </c>
      <c r="G443" t="s">
        <v>42</v>
      </c>
      <c r="H443" t="s">
        <v>172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93">
        <v>727</v>
      </c>
    </row>
    <row r="444" spans="1:11" ht="18.75" customHeight="1" x14ac:dyDescent="0.35">
      <c r="A444" s="93">
        <v>2025</v>
      </c>
      <c r="B444" s="106" t="s">
        <v>176</v>
      </c>
      <c r="C444" s="100">
        <f>IF(OR(Fact_Administrativa[[#This Row], [Año]]="",Fact_Administrativa[[#This Row], [Mes]]=""),"",DATE(A444,MATCH(B444,{"enero","febrero","marzo","abril","mayo","junio","julio","agosto","septiembre","octubre","noviembre","diciembre"},0)+1,0))</f>
        <v>45777</v>
      </c>
      <c r="D444" t="s">
        <v>41</v>
      </c>
      <c r="E444" t="str">
        <f>+IFERROR(VLOOKUP(Fact_Administrativa[[#This Row], [Concepto Anterior]],Conceptos_Administrativa[#All],5,0),"")</f>
        <v>Facturas Procesadas por Marca</v>
      </c>
      <c r="F444" t="str">
        <f ca="1">+IFERROR(VLOOKUP(Fact_Administrativa[[#This Row], [Concepto Anterior]],Conceptos_Administrativa[#All],7,0),"")</f>
        <v/>
      </c>
      <c r="G444" t="s">
        <v>43</v>
      </c>
      <c r="H444" t="s">
        <v>172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93">
        <v>1607</v>
      </c>
    </row>
    <row r="445" spans="1:11" ht="18.75" customHeight="1" x14ac:dyDescent="0.35">
      <c r="A445" s="93">
        <v>2025</v>
      </c>
      <c r="B445" s="106" t="s">
        <v>176</v>
      </c>
      <c r="C445" s="100">
        <f>IF(OR(Fact_Administrativa[[#This Row], [Año]]="",Fact_Administrativa[[#This Row], [Mes]]=""),"",DATE(A445,MATCH(B445,{"enero","febrero","marzo","abril","mayo","junio","julio","agosto","septiembre","octubre","noviembre","diciembre"},0)+1,0))</f>
        <v>45777</v>
      </c>
      <c r="D445" t="s">
        <v>41</v>
      </c>
      <c r="E445" t="str">
        <f>+IFERROR(VLOOKUP(Fact_Administrativa[[#This Row], [Concepto Anterior]],Conceptos_Administrativa[#All],5,0),"")</f>
        <v>Facturas Procesadas por Marca</v>
      </c>
      <c r="F445" t="str">
        <f ca="1">+IFERROR(VLOOKUP(Fact_Administrativa[[#This Row], [Concepto Anterior]],Conceptos_Administrativa[#All],7,0),"")</f>
        <v/>
      </c>
      <c r="G445" t="s">
        <v>44</v>
      </c>
      <c r="H445" t="s">
        <v>172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93">
        <v>1254</v>
      </c>
    </row>
    <row r="446" spans="1:11" ht="18.75" customHeight="1" x14ac:dyDescent="0.35">
      <c r="A446" s="93">
        <v>2025</v>
      </c>
      <c r="B446" s="106" t="s">
        <v>176</v>
      </c>
      <c r="C446" s="100">
        <f>IF(OR(Fact_Administrativa[[#This Row], [Año]]="",Fact_Administrativa[[#This Row], [Mes]]=""),"",DATE(A446,MATCH(B446,{"enero","febrero","marzo","abril","mayo","junio","julio","agosto","septiembre","octubre","noviembre","diciembre"},0)+1,0))</f>
        <v>45777</v>
      </c>
      <c r="D446" t="s">
        <v>41</v>
      </c>
      <c r="E446" t="str">
        <f>+IFERROR(VLOOKUP(Fact_Administrativa[[#This Row], [Concepto Anterior]],Conceptos_Administrativa[#All],5,0),"")</f>
        <v>Facturas Procesadas por Marca</v>
      </c>
      <c r="F446" t="str">
        <f ca="1">+IFERROR(VLOOKUP(Fact_Administrativa[[#This Row], [Concepto Anterior]],Conceptos_Administrativa[#All],7,0),"")</f>
        <v/>
      </c>
      <c r="G446" t="s">
        <v>45</v>
      </c>
      <c r="H446" t="s">
        <v>172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93">
        <v>569</v>
      </c>
    </row>
    <row r="447" spans="1:11" ht="18.75" customHeight="1" x14ac:dyDescent="0.35">
      <c r="A447" s="93">
        <v>2025</v>
      </c>
      <c r="B447" s="106" t="s">
        <v>176</v>
      </c>
      <c r="C447" s="100">
        <f>IF(OR(Fact_Administrativa[[#This Row], [Año]]="",Fact_Administrativa[[#This Row], [Mes]]=""),"",DATE(A447,MATCH(B447,{"enero","febrero","marzo","abril","mayo","junio","julio","agosto","septiembre","octubre","noviembre","diciembre"},0)+1,0))</f>
        <v>45777</v>
      </c>
      <c r="D447" t="s">
        <v>41</v>
      </c>
      <c r="E447" t="str">
        <f>+IFERROR(VLOOKUP(Fact_Administrativa[[#This Row], [Concepto Anterior]],Conceptos_Administrativa[#All],5,0),"")</f>
        <v>Facturas Procesadas por Marca</v>
      </c>
      <c r="F447" t="str">
        <f ca="1">+IFERROR(VLOOKUP(Fact_Administrativa[[#This Row], [Concepto Anterior]],Conceptos_Administrativa[#All],7,0),"")</f>
        <v/>
      </c>
      <c r="G447" t="s">
        <v>46</v>
      </c>
      <c r="H447" t="s">
        <v>172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93">
        <v>329</v>
      </c>
    </row>
    <row r="448" spans="1:11" ht="18.75" customHeight="1" x14ac:dyDescent="0.35">
      <c r="A448" s="93">
        <v>2025</v>
      </c>
      <c r="B448" s="106" t="s">
        <v>176</v>
      </c>
      <c r="C448" s="100">
        <f>IF(OR(Fact_Administrativa[[#This Row], [Año]]="",Fact_Administrativa[[#This Row], [Mes]]=""),"",DATE(A448,MATCH(B448,{"enero","febrero","marzo","abril","mayo","junio","julio","agosto","septiembre","octubre","noviembre","diciembre"},0)+1,0))</f>
        <v>45777</v>
      </c>
      <c r="D448" t="s">
        <v>41</v>
      </c>
      <c r="E448" t="str">
        <f>+IFERROR(VLOOKUP(Fact_Administrativa[[#This Row], [Concepto Anterior]],Conceptos_Administrativa[#All],5,0),"")</f>
        <v>Facturas Procesadas por Marca</v>
      </c>
      <c r="F448" t="str">
        <f ca="1">+IFERROR(VLOOKUP(Fact_Administrativa[[#This Row], [Concepto Anterior]],Conceptos_Administrativa[#All],7,0),"")</f>
        <v/>
      </c>
      <c r="G448" t="s">
        <v>47</v>
      </c>
      <c r="H448" t="s">
        <v>172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93">
        <v>76</v>
      </c>
    </row>
    <row r="449" spans="1:11" ht="18.75" customHeight="1" x14ac:dyDescent="0.35">
      <c r="A449" s="93">
        <v>2025</v>
      </c>
      <c r="B449" s="106" t="s">
        <v>176</v>
      </c>
      <c r="C449" s="100">
        <f>IF(OR(Fact_Administrativa[[#This Row], [Año]]="",Fact_Administrativa[[#This Row], [Mes]]=""),"",DATE(A449,MATCH(B449,{"enero","febrero","marzo","abril","mayo","junio","julio","agosto","septiembre","octubre","noviembre","diciembre"},0)+1,0))</f>
        <v>45777</v>
      </c>
      <c r="D449" t="s">
        <v>41</v>
      </c>
      <c r="E449" t="str">
        <f>+IFERROR(VLOOKUP(Fact_Administrativa[[#This Row], [Concepto Anterior]],Conceptos_Administrativa[#All],5,0),"")</f>
        <v>Facturas Procesadas por Marca</v>
      </c>
      <c r="F449" t="str">
        <f ca="1">+IFERROR(VLOOKUP(Fact_Administrativa[[#This Row], [Concepto Anterior]],Conceptos_Administrativa[#All],7,0),"")</f>
        <v/>
      </c>
      <c r="G449" t="s">
        <v>48</v>
      </c>
      <c r="H449" t="s">
        <v>172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93">
        <v>0</v>
      </c>
    </row>
    <row r="450" spans="1:11" ht="18.75" customHeight="1" x14ac:dyDescent="0.35">
      <c r="A450" s="93">
        <v>2025</v>
      </c>
      <c r="B450" s="106" t="s">
        <v>176</v>
      </c>
      <c r="C450" s="100">
        <f>IF(OR(Fact_Administrativa[[#This Row], [Año]]="",Fact_Administrativa[[#This Row], [Mes]]=""),"",DATE(A450,MATCH(B450,{"enero","febrero","marzo","abril","mayo","junio","julio","agosto","septiembre","octubre","noviembre","diciembre"},0)+1,0))</f>
        <v>45777</v>
      </c>
      <c r="D450" t="s">
        <v>41</v>
      </c>
      <c r="E450" t="str">
        <f>+IFERROR(VLOOKUP(Fact_Administrativa[[#This Row], [Concepto Anterior]],Conceptos_Administrativa[#All],5,0),"")</f>
        <v>Facturas Procesadas por Marca</v>
      </c>
      <c r="F450" t="str">
        <f ca="1">+IFERROR(VLOOKUP(Fact_Administrativa[[#This Row], [Concepto Anterior]],Conceptos_Administrativa[#All],7,0),"")</f>
        <v/>
      </c>
      <c r="G450" t="s">
        <v>49</v>
      </c>
      <c r="H450" t="s">
        <v>172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93">
        <v>1398</v>
      </c>
    </row>
    <row r="451" spans="1:11" ht="18.75" customHeight="1" x14ac:dyDescent="0.35">
      <c r="A451" s="93">
        <v>2025</v>
      </c>
      <c r="B451" s="106" t="s">
        <v>176</v>
      </c>
      <c r="C451" s="100">
        <f>IF(OR(Fact_Administrativa[[#This Row], [Año]]="",Fact_Administrativa[[#This Row], [Mes]]=""),"",DATE(A451,MATCH(B451,{"enero","febrero","marzo","abril","mayo","junio","julio","agosto","septiembre","octubre","noviembre","diciembre"},0)+1,0))</f>
        <v>45777</v>
      </c>
      <c r="D451" t="s">
        <v>41</v>
      </c>
      <c r="E451" t="str">
        <f>+IFERROR(VLOOKUP(Fact_Administrativa[[#This Row], [Concepto Anterior]],Conceptos_Administrativa[#All],5,0),"")</f>
        <v>Facturas Procesadas por Marca</v>
      </c>
      <c r="F451" t="str">
        <f ca="1">+IFERROR(VLOOKUP(Fact_Administrativa[[#This Row], [Concepto Anterior]],Conceptos_Administrativa[#All],7,0),"")</f>
        <v/>
      </c>
      <c r="G451" t="s">
        <v>50</v>
      </c>
      <c r="H451" t="s">
        <v>172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93">
        <v>1323</v>
      </c>
    </row>
    <row r="452" spans="1:11" ht="18.75" customHeight="1" x14ac:dyDescent="0.35">
      <c r="A452" s="93">
        <v>2025</v>
      </c>
      <c r="B452" s="106" t="s">
        <v>176</v>
      </c>
      <c r="C452" s="100">
        <f>IF(OR(Fact_Administrativa[[#This Row], [Año]]="",Fact_Administrativa[[#This Row], [Mes]]=""),"",DATE(A452,MATCH(B452,{"enero","febrero","marzo","abril","mayo","junio","julio","agosto","septiembre","octubre","noviembre","diciembre"},0)+1,0))</f>
        <v>45777</v>
      </c>
      <c r="D452" t="s">
        <v>41</v>
      </c>
      <c r="E452" t="str">
        <f>+IFERROR(VLOOKUP(Fact_Administrativa[[#This Row], [Concepto Anterior]],Conceptos_Administrativa[#All],5,0),"")</f>
        <v>Facturas Procesadas por Marca</v>
      </c>
      <c r="F452" t="str">
        <f ca="1">+IFERROR(VLOOKUP(Fact_Administrativa[[#This Row], [Concepto Anterior]],Conceptos_Administrativa[#All],7,0),"")</f>
        <v/>
      </c>
      <c r="G452" t="s">
        <v>121</v>
      </c>
      <c r="H452" t="s">
        <v>172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93">
        <v>0</v>
      </c>
    </row>
    <row r="453" spans="1:11" ht="18.75" customHeight="1" x14ac:dyDescent="0.35">
      <c r="A453" s="93">
        <v>2025</v>
      </c>
      <c r="B453" s="106" t="s">
        <v>176</v>
      </c>
      <c r="C453" s="100">
        <f>IF(OR(Fact_Administrativa[[#This Row], [Año]]="",Fact_Administrativa[[#This Row], [Mes]]=""),"",DATE(A453,MATCH(B453,{"enero","febrero","marzo","abril","mayo","junio","julio","agosto","septiembre","octubre","noviembre","diciembre"},0)+1,0))</f>
        <v>45777</v>
      </c>
      <c r="D453" t="s">
        <v>41</v>
      </c>
      <c r="E453" t="str">
        <f>+IFERROR(VLOOKUP(Fact_Administrativa[[#This Row], [Concepto Anterior]],Conceptos_Administrativa[#All],5,0),"")</f>
        <v>Facturas Procesadas por Marca</v>
      </c>
      <c r="F453" t="str">
        <f ca="1">+IFERROR(VLOOKUP(Fact_Administrativa[[#This Row], [Concepto Anterior]],Conceptos_Administrativa[#All],7,0),"")</f>
        <v/>
      </c>
      <c r="G453" t="s">
        <v>51</v>
      </c>
      <c r="H453" t="s">
        <v>172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93">
        <v>1172</v>
      </c>
    </row>
    <row r="454" spans="1:11" ht="18.75" customHeight="1" x14ac:dyDescent="0.35">
      <c r="A454" s="93">
        <v>2025</v>
      </c>
      <c r="B454" s="106" t="s">
        <v>176</v>
      </c>
      <c r="C454" s="100">
        <f>IF(OR(Fact_Administrativa[[#This Row], [Año]]="",Fact_Administrativa[[#This Row], [Mes]]=""),"",DATE(A454,MATCH(B454,{"enero","febrero","marzo","abril","mayo","junio","julio","agosto","septiembre","octubre","noviembre","diciembre"},0)+1,0))</f>
        <v>45777</v>
      </c>
      <c r="D454" t="s">
        <v>41</v>
      </c>
      <c r="E454" t="str">
        <f>+IFERROR(VLOOKUP(Fact_Administrativa[[#This Row], [Concepto Anterior]],Conceptos_Administrativa[#All],5,0),"")</f>
        <v>Facturas Procesadas por Marca</v>
      </c>
      <c r="F454" t="str">
        <f ca="1">+IFERROR(VLOOKUP(Fact_Administrativa[[#This Row], [Concepto Anterior]],Conceptos_Administrativa[#All],7,0),"")</f>
        <v/>
      </c>
      <c r="G454" t="s">
        <v>52</v>
      </c>
      <c r="H454" t="s">
        <v>172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93">
        <v>498</v>
      </c>
    </row>
    <row r="455" spans="1:11" ht="18.75" customHeight="1" x14ac:dyDescent="0.35">
      <c r="A455" s="93">
        <v>2025</v>
      </c>
      <c r="B455" s="106" t="s">
        <v>176</v>
      </c>
      <c r="C455" s="100">
        <f>IF(OR(Fact_Administrativa[[#This Row], [Año]]="",Fact_Administrativa[[#This Row], [Mes]]=""),"",DATE(A455,MATCH(B455,{"enero","febrero","marzo","abril","mayo","junio","julio","agosto","septiembre","octubre","noviembre","diciembre"},0)+1,0))</f>
        <v>45777</v>
      </c>
      <c r="D455" t="s">
        <v>41</v>
      </c>
      <c r="E455" t="str">
        <f>+IFERROR(VLOOKUP(Fact_Administrativa[[#This Row], [Concepto Anterior]],Conceptos_Administrativa[#All],5,0),"")</f>
        <v>Facturas Procesadas por Marca</v>
      </c>
      <c r="F455" t="str">
        <f ca="1">+IFERROR(VLOOKUP(Fact_Administrativa[[#This Row], [Concepto Anterior]],Conceptos_Administrativa[#All],7,0),"")</f>
        <v/>
      </c>
      <c r="G455" t="s">
        <v>53</v>
      </c>
      <c r="H455" t="s">
        <v>172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93">
        <v>227</v>
      </c>
    </row>
    <row r="456" spans="1:11" ht="18.75" customHeight="1" x14ac:dyDescent="0.35">
      <c r="A456" s="93">
        <v>2025</v>
      </c>
      <c r="B456" s="106" t="s">
        <v>176</v>
      </c>
      <c r="C456" s="100">
        <f>IF(OR(Fact_Administrativa[[#This Row], [Año]]="",Fact_Administrativa[[#This Row], [Mes]]=""),"",DATE(A456,MATCH(B456,{"enero","febrero","marzo","abril","mayo","junio","julio","agosto","septiembre","octubre","noviembre","diciembre"},0)+1,0))</f>
        <v>45777</v>
      </c>
      <c r="D456" t="s">
        <v>41</v>
      </c>
      <c r="E456" t="str">
        <f>+IFERROR(VLOOKUP(Fact_Administrativa[[#This Row], [Concepto Anterior]],Conceptos_Administrativa[#All],5,0),"")</f>
        <v>Facturas Procesadas por Marca</v>
      </c>
      <c r="F456" t="str">
        <f ca="1">+IFERROR(VLOOKUP(Fact_Administrativa[[#This Row], [Concepto Anterior]],Conceptos_Administrativa[#All],7,0),"")</f>
        <v/>
      </c>
      <c r="G456" t="s">
        <v>54</v>
      </c>
      <c r="H456" t="s">
        <v>172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93">
        <v>29</v>
      </c>
    </row>
    <row r="457" spans="1:11" ht="18.75" customHeight="1" x14ac:dyDescent="0.35">
      <c r="A457" s="93">
        <v>2025</v>
      </c>
      <c r="B457" s="106" t="s">
        <v>176</v>
      </c>
      <c r="C457" s="100">
        <f>IF(OR(Fact_Administrativa[[#This Row], [Año]]="",Fact_Administrativa[[#This Row], [Mes]]=""),"",DATE(A457,MATCH(B457,{"enero","febrero","marzo","abril","mayo","junio","julio","agosto","septiembre","octubre","noviembre","diciembre"},0)+1,0))</f>
        <v>45777</v>
      </c>
      <c r="D457" t="s">
        <v>55</v>
      </c>
      <c r="E457" t="str">
        <f>+IFERROR(VLOOKUP(Fact_Administrativa[[#This Row], [Concepto Anterior]],Conceptos_Administrativa[#All],5,0),"")</f>
        <v>Facturas Procesadas por Marca</v>
      </c>
      <c r="F457" t="str">
        <f ca="1">+IFERROR(VLOOKUP(Fact_Administrativa[[#This Row], [Concepto Anterior]],Conceptos_Administrativa[#All],7,0),"")</f>
        <v/>
      </c>
      <c r="G457" t="s">
        <v>56</v>
      </c>
      <c r="H457" t="s">
        <v>172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93">
        <v>100</v>
      </c>
    </row>
    <row r="458" spans="1:11" ht="18.75" customHeight="1" x14ac:dyDescent="0.35">
      <c r="A458" s="93">
        <v>2025</v>
      </c>
      <c r="B458" s="106" t="s">
        <v>176</v>
      </c>
      <c r="C458" s="100">
        <f>IF(OR(Fact_Administrativa[[#This Row], [Año]]="",Fact_Administrativa[[#This Row], [Mes]]=""),"",DATE(A458,MATCH(B458,{"enero","febrero","marzo","abril","mayo","junio","julio","agosto","septiembre","octubre","noviembre","diciembre"},0)+1,0))</f>
        <v>45777</v>
      </c>
      <c r="D458" t="s">
        <v>57</v>
      </c>
      <c r="E458" t="str">
        <f>+IFERROR(VLOOKUP(Fact_Administrativa[[#This Row], [Concepto Anterior]],Conceptos_Administrativa[#All],5,0),"")</f>
        <v>Facturas Procesadas por Marca</v>
      </c>
      <c r="F458" t="str">
        <f ca="1">+IFERROR(VLOOKUP(Fact_Administrativa[[#This Row], [Concepto Anterior]],Conceptos_Administrativa[#All],7,0),"")</f>
        <v/>
      </c>
      <c r="G458" t="s">
        <v>58</v>
      </c>
      <c r="H458" t="s">
        <v>172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93">
        <v>65</v>
      </c>
    </row>
    <row r="459" spans="1:11" ht="18.75" customHeight="1" x14ac:dyDescent="0.35">
      <c r="A459" s="93">
        <v>2025</v>
      </c>
      <c r="B459" s="106" t="s">
        <v>176</v>
      </c>
      <c r="C459" s="100">
        <f>IF(OR(Fact_Administrativa[[#This Row], [Año]]="",Fact_Administrativa[[#This Row], [Mes]]=""),"",DATE(A459,MATCH(B459,{"enero","febrero","marzo","abril","mayo","junio","julio","agosto","septiembre","octubre","noviembre","diciembre"},0)+1,0))</f>
        <v>45777</v>
      </c>
      <c r="D459" t="s">
        <v>28</v>
      </c>
      <c r="E459" t="str">
        <f>+IFERROR(VLOOKUP(Fact_Administrativa[[#This Row], [Concepto Anterior]],Conceptos_Administrativa[#All],5,0),"")</f>
        <v xml:space="preserve">Ahorro reformas tiendas </v>
      </c>
      <c r="F459" t="str">
        <f ca="1">+IFERROR(VLOOKUP(Fact_Administrativa[[#This Row], [Concepto Anterior]],Conceptos_Administrativa[#All],7,0),"")</f>
        <v/>
      </c>
      <c r="G459" t="s">
        <v>172</v>
      </c>
      <c r="H459" t="s">
        <v>172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93">
        <v>1154400</v>
      </c>
    </row>
    <row r="460" spans="1:11" ht="18.75" customHeight="1" x14ac:dyDescent="0.35">
      <c r="A460" s="93">
        <v>2025</v>
      </c>
      <c r="B460" s="106" t="s">
        <v>176</v>
      </c>
      <c r="C460" s="100">
        <f>IF(OR(Fact_Administrativa[[#This Row], [Año]]="",Fact_Administrativa[[#This Row], [Mes]]=""),"",DATE(A460,MATCH(B460,{"enero","febrero","marzo","abril","mayo","junio","julio","agosto","septiembre","octubre","noviembre","diciembre"},0)+1,0))</f>
        <v>45777</v>
      </c>
      <c r="D460" t="s">
        <v>211</v>
      </c>
      <c r="E460" t="str">
        <f>+IFERROR(VLOOKUP(Fact_Administrativa[[#This Row], [Concepto Anterior]],Conceptos_Administrativa[#All],5,0),"")</f>
        <v>Noches hospedaje</v>
      </c>
      <c r="F460" t="str">
        <f ca="1">+IFERROR(VLOOKUP(Fact_Administrativa[[#This Row], [Concepto Anterior]],Conceptos_Administrativa[#All],7,0),"")</f>
        <v/>
      </c>
      <c r="G460" t="s">
        <v>172</v>
      </c>
      <c r="H460" t="s">
        <v>172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93">
        <v>241</v>
      </c>
    </row>
    <row r="461" spans="1:11" ht="18.75" customHeight="1" x14ac:dyDescent="0.35">
      <c r="A461" s="93">
        <v>2025</v>
      </c>
      <c r="B461" s="106" t="s">
        <v>176</v>
      </c>
      <c r="C461" s="100">
        <f>IF(OR(Fact_Administrativa[[#This Row], [Año]]="",Fact_Administrativa[[#This Row], [Mes]]=""),"",DATE(A461,MATCH(B461,{"enero","febrero","marzo","abril","mayo","junio","julio","agosto","septiembre","octubre","noviembre","diciembre"},0)+1,0))</f>
        <v>45777</v>
      </c>
      <c r="D461" t="s">
        <v>29</v>
      </c>
      <c r="E461" t="str">
        <f>+IFERROR(VLOOKUP(Fact_Administrativa[[#This Row], [Concepto Anterior]],Conceptos_Administrativa[#All],5,0),"")</f>
        <v>Recuperaciones Siniestros</v>
      </c>
      <c r="F461" t="str">
        <f ca="1">+IFERROR(VLOOKUP(Fact_Administrativa[[#This Row], [Concepto Anterior]],Conceptos_Administrativa[#All],7,0),"")</f>
        <v/>
      </c>
      <c r="G461" t="s">
        <v>172</v>
      </c>
      <c r="H461" t="s">
        <v>172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93">
        <v>22221345</v>
      </c>
    </row>
    <row r="462" spans="1:11" ht="18.75" customHeight="1" x14ac:dyDescent="0.35">
      <c r="A462" s="93">
        <v>2025</v>
      </c>
      <c r="B462" s="106" t="s">
        <v>176</v>
      </c>
      <c r="C462" s="100">
        <f>IF(OR(Fact_Administrativa[[#This Row], [Año]]="",Fact_Administrativa[[#This Row], [Mes]]=""),"",DATE(A462,MATCH(B462,{"enero","febrero","marzo","abril","mayo","junio","julio","agosto","septiembre","octubre","noviembre","diciembre"},0)+1,0))</f>
        <v>45777</v>
      </c>
      <c r="D462" t="s">
        <v>30</v>
      </c>
      <c r="E462" t="str">
        <f>+IFERROR(VLOOKUP(Fact_Administrativa[[#This Row], [Concepto Anterior]],Conceptos_Administrativa[#All],5,0),"")</f>
        <v>Gestión de Polizas</v>
      </c>
      <c r="F462" t="str">
        <f ca="1">+IFERROR(VLOOKUP(Fact_Administrativa[[#This Row], [Concepto Anterior]],Conceptos_Administrativa[#All],7,0),"")</f>
        <v/>
      </c>
      <c r="G462" t="s">
        <v>172</v>
      </c>
      <c r="H462" t="s">
        <v>172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93">
        <v>0</v>
      </c>
    </row>
    <row r="463" spans="1:11" ht="18.75" customHeight="1" x14ac:dyDescent="0.35">
      <c r="A463" s="93">
        <v>2025</v>
      </c>
      <c r="B463" s="106" t="s">
        <v>176</v>
      </c>
      <c r="C463" s="100">
        <f>IF(OR(Fact_Administrativa[[#This Row], [Año]]="",Fact_Administrativa[[#This Row], [Mes]]=""),"",DATE(A463,MATCH(B463,{"enero","febrero","marzo","abril","mayo","junio","julio","agosto","septiembre","octubre","noviembre","diciembre"},0)+1,0))</f>
        <v>45777</v>
      </c>
      <c r="D463" t="s">
        <v>212</v>
      </c>
      <c r="E463" t="str">
        <f>+IFERROR(VLOOKUP(Fact_Administrativa[[#This Row], [Concepto Anterior]],Conceptos_Administrativa[#All],5,0),"")</f>
        <v>Total tickets recibidos</v>
      </c>
      <c r="F463" t="str">
        <f ca="1">+IFERROR(VLOOKUP(Fact_Administrativa[[#This Row], [Concepto Anterior]],Conceptos_Administrativa[#All],7,0),"")</f>
        <v/>
      </c>
      <c r="G463" t="s">
        <v>172</v>
      </c>
      <c r="H463" t="s">
        <v>172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93">
        <v>1565</v>
      </c>
    </row>
    <row r="464" spans="1:11" ht="18.75" customHeight="1" x14ac:dyDescent="0.35">
      <c r="A464" s="93">
        <v>2025</v>
      </c>
      <c r="B464" s="106" t="s">
        <v>176</v>
      </c>
      <c r="C464" s="100">
        <f>IF(OR(Fact_Administrativa[[#This Row], [Año]]="",Fact_Administrativa[[#This Row], [Mes]]=""),"",DATE(A464,MATCH(B464,{"enero","febrero","marzo","abril","mayo","junio","julio","agosto","septiembre","octubre","noviembre","diciembre"},0)+1,0))</f>
        <v>45777</v>
      </c>
      <c r="D464" t="s">
        <v>213</v>
      </c>
      <c r="E464" t="str">
        <f>+IFERROR(VLOOKUP(Fact_Administrativa[[#This Row], [Concepto Anterior]],Conceptos_Administrativa[#All],5,0),"")</f>
        <v>Tickets Cerrados con ANS</v>
      </c>
      <c r="F464" t="str">
        <f ca="1">+IFERROR(VLOOKUP(Fact_Administrativa[[#This Row], [Concepto Anterior]],Conceptos_Administrativa[#All],7,0),"")</f>
        <v/>
      </c>
      <c r="G464" t="s">
        <v>172</v>
      </c>
      <c r="H464" t="s">
        <v>172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93">
        <v>832</v>
      </c>
    </row>
    <row r="465" spans="1:11" ht="18.75" customHeight="1" x14ac:dyDescent="0.35">
      <c r="A465" s="93">
        <v>2025</v>
      </c>
      <c r="B465" s="106" t="s">
        <v>176</v>
      </c>
      <c r="C465" s="100">
        <f>IF(OR(Fact_Administrativa[[#This Row], [Año]]="",Fact_Administrativa[[#This Row], [Mes]]=""),"",DATE(A465,MATCH(B465,{"enero","febrero","marzo","abril","mayo","junio","julio","agosto","septiembre","octubre","noviembre","diciembre"},0)+1,0))</f>
        <v>45777</v>
      </c>
      <c r="D465" t="s">
        <v>214</v>
      </c>
      <c r="E465" t="str">
        <f>+IFERROR(VLOOKUP(Fact_Administrativa[[#This Row], [Concepto Anterior]],Conceptos_Administrativa[#All],5,0),"")</f>
        <v>Tickets Vencidos</v>
      </c>
      <c r="F465" t="str">
        <f ca="1">+IFERROR(VLOOKUP(Fact_Administrativa[[#This Row], [Concepto Anterior]],Conceptos_Administrativa[#All],7,0),"")</f>
        <v/>
      </c>
      <c r="G465" t="s">
        <v>172</v>
      </c>
      <c r="H465" t="s">
        <v>172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93">
        <v>763</v>
      </c>
    </row>
    <row r="466" spans="1:11" ht="18.75" customHeight="1" x14ac:dyDescent="0.35">
      <c r="A466" s="93">
        <v>2025</v>
      </c>
      <c r="B466" s="106" t="s">
        <v>177</v>
      </c>
      <c r="C466" s="100">
        <f>IF(OR(Fact_Administrativa[[#This Row], [Año]]="",Fact_Administrativa[[#This Row], [Mes]]=""),"",DATE(A466,MATCH(B466,{"enero","febrero","marzo","abril","mayo","junio","julio","agosto","septiembre","octubre","noviembre","diciembre"},0)+1,0))</f>
        <v>45808</v>
      </c>
      <c r="D466" t="s">
        <v>27</v>
      </c>
      <c r="E466" t="str">
        <f>+IFERROR(VLOOKUP(Fact_Administrativa[[#This Row], [Concepto Anterior]],Conceptos_Administrativa[#All],5,0),"")</f>
        <v>Ahorro energía</v>
      </c>
      <c r="F466" t="str">
        <f ca="1">+IFERROR(VLOOKUP(Fact_Administrativa[[#This Row], [Concepto Anterior]],Conceptos_Administrativa[#All],7,0),"")</f>
        <v/>
      </c>
      <c r="G466" t="s">
        <v>172</v>
      </c>
      <c r="H466" t="s">
        <v>172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93">
        <v>4564717</v>
      </c>
    </row>
    <row r="467" spans="1:11" ht="18.75" customHeight="1" x14ac:dyDescent="0.35">
      <c r="A467" s="93">
        <v>2025</v>
      </c>
      <c r="B467" s="106" t="s">
        <v>177</v>
      </c>
      <c r="C467" s="100">
        <f>IF(OR(Fact_Administrativa[[#This Row], [Año]]="",Fact_Administrativa[[#This Row], [Mes]]=""),"",DATE(A467,MATCH(B467,{"enero","febrero","marzo","abril","mayo","junio","julio","agosto","septiembre","octubre","noviembre","diciembre"},0)+1,0))</f>
        <v>45808</v>
      </c>
      <c r="D467" t="s">
        <v>118</v>
      </c>
      <c r="E467" t="str">
        <f>+IFERROR(VLOOKUP(Fact_Administrativa[[#This Row], [Concepto Anterior]],Conceptos_Administrativa[#All],5,0),"")</f>
        <v xml:space="preserve">Cant. reformas tiendas </v>
      </c>
      <c r="F467" t="str">
        <f ca="1">+IFERROR(VLOOKUP(Fact_Administrativa[[#This Row], [Concepto Anterior]],Conceptos_Administrativa[#All],7,0),"")</f>
        <v/>
      </c>
      <c r="G467" t="s">
        <v>172</v>
      </c>
      <c r="H467" t="s">
        <v>172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93">
        <v>5</v>
      </c>
    </row>
    <row r="468" spans="1:11" ht="18.75" customHeight="1" x14ac:dyDescent="0.35">
      <c r="A468" s="93">
        <v>2025</v>
      </c>
      <c r="B468" s="106" t="s">
        <v>177</v>
      </c>
      <c r="C468" s="100">
        <f>IF(OR(Fact_Administrativa[[#This Row], [Año]]="",Fact_Administrativa[[#This Row], [Mes]]=""),"",DATE(A468,MATCH(B468,{"enero","febrero","marzo","abril","mayo","junio","julio","agosto","septiembre","octubre","noviembre","diciembre"},0)+1,0))</f>
        <v>45808</v>
      </c>
      <c r="D468" t="s">
        <v>40</v>
      </c>
      <c r="E468" t="str">
        <f>+IFERROR(VLOOKUP(Fact_Administrativa[[#This Row], [Concepto Anterior]],Conceptos_Administrativa[#All],5,0),"")</f>
        <v xml:space="preserve">Contratos de arrendamientos </v>
      </c>
      <c r="F468" t="str">
        <f ca="1">+IFERROR(VLOOKUP(Fact_Administrativa[[#This Row], [Concepto Anterior]],Conceptos_Administrativa[#All],7,0),"")</f>
        <v/>
      </c>
      <c r="G468" t="s">
        <v>172</v>
      </c>
      <c r="H468" t="s">
        <v>172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93">
        <v>459</v>
      </c>
    </row>
    <row r="469" spans="1:11" ht="18.75" customHeight="1" x14ac:dyDescent="0.35">
      <c r="A469" s="93">
        <v>2025</v>
      </c>
      <c r="B469" s="106" t="s">
        <v>177</v>
      </c>
      <c r="C469" s="100">
        <f>IF(OR(Fact_Administrativa[[#This Row], [Año]]="",Fact_Administrativa[[#This Row], [Mes]]=""),"",DATE(A469,MATCH(B469,{"enero","febrero","marzo","abril","mayo","junio","julio","agosto","septiembre","octubre","noviembre","diciembre"},0)+1,0))</f>
        <v>45808</v>
      </c>
      <c r="D469" t="s">
        <v>25</v>
      </c>
      <c r="E469" t="str">
        <f>+IFERROR(VLOOKUP(Fact_Administrativa[[#This Row], [Concepto Anterior]],Conceptos_Administrativa[#All],5,0),"")</f>
        <v>Control Ingresos cede Dogama</v>
      </c>
      <c r="F469" t="str">
        <f ca="1">+IFERROR(VLOOKUP(Fact_Administrativa[[#This Row], [Concepto Anterior]],Conceptos_Administrativa[#All],7,0),"")</f>
        <v/>
      </c>
      <c r="G469" t="s">
        <v>172</v>
      </c>
      <c r="H469" t="s">
        <v>172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93">
        <v>20034</v>
      </c>
    </row>
    <row r="470" spans="1:11" ht="18.75" customHeight="1" x14ac:dyDescent="0.35">
      <c r="A470" s="93">
        <v>2025</v>
      </c>
      <c r="B470" s="106" t="s">
        <v>177</v>
      </c>
      <c r="C470" s="100">
        <f>IF(OR(Fact_Administrativa[[#This Row], [Año]]="",Fact_Administrativa[[#This Row], [Mes]]=""),"",DATE(A470,MATCH(B470,{"enero","febrero","marzo","abril","mayo","junio","julio","agosto","septiembre","octubre","noviembre","diciembre"},0)+1,0))</f>
        <v>45808</v>
      </c>
      <c r="D470" t="s">
        <v>209</v>
      </c>
      <c r="E470" t="str">
        <f>+IFERROR(VLOOKUP(Fact_Administrativa[[#This Row], [Concepto Anterior]],Conceptos_Administrativa[#All],5,0),"")</f>
        <v>Emisiones CO²</v>
      </c>
      <c r="F470" t="str">
        <f ca="1">+IFERROR(VLOOKUP(Fact_Administrativa[[#This Row], [Concepto Anterior]],Conceptos_Administrativa[#All],7,0),"")</f>
        <v/>
      </c>
      <c r="G470" t="s">
        <v>172</v>
      </c>
      <c r="H470" t="s">
        <v>172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07">
        <v>24.6</v>
      </c>
    </row>
    <row r="471" spans="1:11" ht="18.75" customHeight="1" x14ac:dyDescent="0.35">
      <c r="A471" s="93">
        <v>2025</v>
      </c>
      <c r="B471" s="106" t="s">
        <v>177</v>
      </c>
      <c r="C471" s="100">
        <f>IF(OR(Fact_Administrativa[[#This Row], [Año]]="",Fact_Administrativa[[#This Row], [Mes]]=""),"",DATE(A471,MATCH(B471,{"enero","febrero","marzo","abril","mayo","junio","julio","agosto","septiembre","octubre","noviembre","diciembre"},0)+1,0))</f>
        <v>45808</v>
      </c>
      <c r="D471" t="s">
        <v>38</v>
      </c>
      <c r="E471" t="str">
        <f>+IFERROR(VLOOKUP(Fact_Administrativa[[#This Row], [Concepto Anterior]],Conceptos_Administrativa[#All],5,0),"")</f>
        <v>Facturas de arrendamientos y administración</v>
      </c>
      <c r="F471" t="str">
        <f ca="1">+IFERROR(VLOOKUP(Fact_Administrativa[[#This Row], [Concepto Anterior]],Conceptos_Administrativa[#All],7,0),"")</f>
        <v/>
      </c>
      <c r="G471" t="s">
        <v>172</v>
      </c>
      <c r="H471" t="s">
        <v>172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93">
        <v>1106</v>
      </c>
    </row>
    <row r="472" spans="1:11" ht="18.75" customHeight="1" x14ac:dyDescent="0.35">
      <c r="A472" s="93">
        <v>2025</v>
      </c>
      <c r="B472" s="106" t="s">
        <v>177</v>
      </c>
      <c r="C472" s="100">
        <f>IF(OR(Fact_Administrativa[[#This Row], [Año]]="",Fact_Administrativa[[#This Row], [Mes]]=""),"",DATE(A472,MATCH(B472,{"enero","febrero","marzo","abril","mayo","junio","julio","agosto","septiembre","octubre","noviembre","diciembre"},0)+1,0))</f>
        <v>45808</v>
      </c>
      <c r="D472" t="s">
        <v>41</v>
      </c>
      <c r="E472" t="str">
        <f>+IFERROR(VLOOKUP(Fact_Administrativa[[#This Row], [Concepto Anterior]],Conceptos_Administrativa[#All],5,0),"")</f>
        <v>Facturas Procesadas por Marca</v>
      </c>
      <c r="F472" t="str">
        <f ca="1">+IFERROR(VLOOKUP(Fact_Administrativa[[#This Row], [Concepto Anterior]],Conceptos_Administrativa[#All],7,0),"")</f>
        <v/>
      </c>
      <c r="G472" t="s">
        <v>42</v>
      </c>
      <c r="H472" t="s">
        <v>172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93">
        <v>564</v>
      </c>
    </row>
    <row r="473" spans="1:11" ht="18.75" customHeight="1" x14ac:dyDescent="0.35">
      <c r="A473" s="93">
        <v>2025</v>
      </c>
      <c r="B473" s="106" t="s">
        <v>177</v>
      </c>
      <c r="C473" s="100">
        <f>IF(OR(Fact_Administrativa[[#This Row], [Año]]="",Fact_Administrativa[[#This Row], [Mes]]=""),"",DATE(A473,MATCH(B473,{"enero","febrero","marzo","abril","mayo","junio","julio","agosto","septiembre","octubre","noviembre","diciembre"},0)+1,0))</f>
        <v>45808</v>
      </c>
      <c r="D473" t="s">
        <v>41</v>
      </c>
      <c r="E473" t="str">
        <f>+IFERROR(VLOOKUP(Fact_Administrativa[[#This Row], [Concepto Anterior]],Conceptos_Administrativa[#All],5,0),"")</f>
        <v>Facturas Procesadas por Marca</v>
      </c>
      <c r="F473" t="str">
        <f ca="1">+IFERROR(VLOOKUP(Fact_Administrativa[[#This Row], [Concepto Anterior]],Conceptos_Administrativa[#All],7,0),"")</f>
        <v/>
      </c>
      <c r="G473" t="s">
        <v>43</v>
      </c>
      <c r="H473" t="s">
        <v>172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93">
        <v>957</v>
      </c>
    </row>
    <row r="474" spans="1:11" ht="18.75" customHeight="1" x14ac:dyDescent="0.35">
      <c r="A474" s="93">
        <v>2025</v>
      </c>
      <c r="B474" s="106" t="s">
        <v>177</v>
      </c>
      <c r="C474" s="100">
        <f>IF(OR(Fact_Administrativa[[#This Row], [Año]]="",Fact_Administrativa[[#This Row], [Mes]]=""),"",DATE(A474,MATCH(B474,{"enero","febrero","marzo","abril","mayo","junio","julio","agosto","septiembre","octubre","noviembre","diciembre"},0)+1,0))</f>
        <v>45808</v>
      </c>
      <c r="D474" t="s">
        <v>41</v>
      </c>
      <c r="E474" t="str">
        <f>+IFERROR(VLOOKUP(Fact_Administrativa[[#This Row], [Concepto Anterior]],Conceptos_Administrativa[#All],5,0),"")</f>
        <v>Facturas Procesadas por Marca</v>
      </c>
      <c r="F474" t="str">
        <f ca="1">+IFERROR(VLOOKUP(Fact_Administrativa[[#This Row], [Concepto Anterior]],Conceptos_Administrativa[#All],7,0),"")</f>
        <v/>
      </c>
      <c r="G474" t="s">
        <v>44</v>
      </c>
      <c r="H474" t="s">
        <v>172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93">
        <v>957</v>
      </c>
    </row>
    <row r="475" spans="1:11" ht="18.75" customHeight="1" x14ac:dyDescent="0.35">
      <c r="A475" s="93">
        <v>2025</v>
      </c>
      <c r="B475" s="106" t="s">
        <v>177</v>
      </c>
      <c r="C475" s="100">
        <f>IF(OR(Fact_Administrativa[[#This Row], [Año]]="",Fact_Administrativa[[#This Row], [Mes]]=""),"",DATE(A475,MATCH(B475,{"enero","febrero","marzo","abril","mayo","junio","julio","agosto","septiembre","octubre","noviembre","diciembre"},0)+1,0))</f>
        <v>45808</v>
      </c>
      <c r="D475" t="s">
        <v>41</v>
      </c>
      <c r="E475" t="str">
        <f>+IFERROR(VLOOKUP(Fact_Administrativa[[#This Row], [Concepto Anterior]],Conceptos_Administrativa[#All],5,0),"")</f>
        <v>Facturas Procesadas por Marca</v>
      </c>
      <c r="F475" t="str">
        <f ca="1">+IFERROR(VLOOKUP(Fact_Administrativa[[#This Row], [Concepto Anterior]],Conceptos_Administrativa[#All],7,0),"")</f>
        <v/>
      </c>
      <c r="G475" t="s">
        <v>45</v>
      </c>
      <c r="H475" t="s">
        <v>172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93">
        <v>635</v>
      </c>
    </row>
    <row r="476" spans="1:11" ht="18.75" customHeight="1" x14ac:dyDescent="0.35">
      <c r="A476" s="93">
        <v>2025</v>
      </c>
      <c r="B476" s="106" t="s">
        <v>177</v>
      </c>
      <c r="C476" s="100">
        <f>IF(OR(Fact_Administrativa[[#This Row], [Año]]="",Fact_Administrativa[[#This Row], [Mes]]=""),"",DATE(A476,MATCH(B476,{"enero","febrero","marzo","abril","mayo","junio","julio","agosto","septiembre","octubre","noviembre","diciembre"},0)+1,0))</f>
        <v>45808</v>
      </c>
      <c r="D476" t="s">
        <v>41</v>
      </c>
      <c r="E476" t="str">
        <f>+IFERROR(VLOOKUP(Fact_Administrativa[[#This Row], [Concepto Anterior]],Conceptos_Administrativa[#All],5,0),"")</f>
        <v>Facturas Procesadas por Marca</v>
      </c>
      <c r="F476" t="str">
        <f ca="1">+IFERROR(VLOOKUP(Fact_Administrativa[[#This Row], [Concepto Anterior]],Conceptos_Administrativa[#All],7,0),"")</f>
        <v/>
      </c>
      <c r="G476" t="s">
        <v>46</v>
      </c>
      <c r="H476" t="s">
        <v>172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93">
        <v>181</v>
      </c>
    </row>
    <row r="477" spans="1:11" ht="18.75" customHeight="1" x14ac:dyDescent="0.35">
      <c r="A477" s="93">
        <v>2025</v>
      </c>
      <c r="B477" s="106" t="s">
        <v>177</v>
      </c>
      <c r="C477" s="100">
        <f>IF(OR(Fact_Administrativa[[#This Row], [Año]]="",Fact_Administrativa[[#This Row], [Mes]]=""),"",DATE(A477,MATCH(B477,{"enero","febrero","marzo","abril","mayo","junio","julio","agosto","septiembre","octubre","noviembre","diciembre"},0)+1,0))</f>
        <v>45808</v>
      </c>
      <c r="D477" t="s">
        <v>41</v>
      </c>
      <c r="E477" t="str">
        <f>+IFERROR(VLOOKUP(Fact_Administrativa[[#This Row], [Concepto Anterior]],Conceptos_Administrativa[#All],5,0),"")</f>
        <v>Facturas Procesadas por Marca</v>
      </c>
      <c r="F477" t="str">
        <f ca="1">+IFERROR(VLOOKUP(Fact_Administrativa[[#This Row], [Concepto Anterior]],Conceptos_Administrativa[#All],7,0),"")</f>
        <v/>
      </c>
      <c r="G477" t="s">
        <v>47</v>
      </c>
      <c r="H477" t="s">
        <v>172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93">
        <v>40</v>
      </c>
    </row>
    <row r="478" spans="1:11" ht="18.75" customHeight="1" x14ac:dyDescent="0.35">
      <c r="A478" s="93">
        <v>2025</v>
      </c>
      <c r="B478" s="106" t="s">
        <v>177</v>
      </c>
      <c r="C478" s="100">
        <f>IF(OR(Fact_Administrativa[[#This Row], [Año]]="",Fact_Administrativa[[#This Row], [Mes]]=""),"",DATE(A478,MATCH(B478,{"enero","febrero","marzo","abril","mayo","junio","julio","agosto","septiembre","octubre","noviembre","diciembre"},0)+1,0))</f>
        <v>45808</v>
      </c>
      <c r="D478" t="s">
        <v>41</v>
      </c>
      <c r="E478" t="str">
        <f>+IFERROR(VLOOKUP(Fact_Administrativa[[#This Row], [Concepto Anterior]],Conceptos_Administrativa[#All],5,0),"")</f>
        <v>Facturas Procesadas por Marca</v>
      </c>
      <c r="F478" t="str">
        <f ca="1">+IFERROR(VLOOKUP(Fact_Administrativa[[#This Row], [Concepto Anterior]],Conceptos_Administrativa[#All],7,0),"")</f>
        <v/>
      </c>
      <c r="G478" t="s">
        <v>48</v>
      </c>
      <c r="H478" t="s">
        <v>172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93">
        <v>2479</v>
      </c>
    </row>
    <row r="479" spans="1:11" ht="18.75" customHeight="1" x14ac:dyDescent="0.35">
      <c r="A479" s="93">
        <v>2025</v>
      </c>
      <c r="B479" s="106" t="s">
        <v>177</v>
      </c>
      <c r="C479" s="100">
        <f>IF(OR(Fact_Administrativa[[#This Row], [Año]]="",Fact_Administrativa[[#This Row], [Mes]]=""),"",DATE(A479,MATCH(B479,{"enero","febrero","marzo","abril","mayo","junio","julio","agosto","septiembre","octubre","noviembre","diciembre"},0)+1,0))</f>
        <v>45808</v>
      </c>
      <c r="D479" t="s">
        <v>41</v>
      </c>
      <c r="E479" t="str">
        <f>+IFERROR(VLOOKUP(Fact_Administrativa[[#This Row], [Concepto Anterior]],Conceptos_Administrativa[#All],5,0),"")</f>
        <v>Facturas Procesadas por Marca</v>
      </c>
      <c r="F479" t="str">
        <f ca="1">+IFERROR(VLOOKUP(Fact_Administrativa[[#This Row], [Concepto Anterior]],Conceptos_Administrativa[#All],7,0),"")</f>
        <v/>
      </c>
      <c r="G479" t="s">
        <v>49</v>
      </c>
      <c r="H479" t="s">
        <v>172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93">
        <v>828</v>
      </c>
    </row>
    <row r="480" spans="1:11" ht="18.75" customHeight="1" x14ac:dyDescent="0.35">
      <c r="A480" s="93">
        <v>2025</v>
      </c>
      <c r="B480" s="106" t="s">
        <v>177</v>
      </c>
      <c r="C480" s="100">
        <f>IF(OR(Fact_Administrativa[[#This Row], [Año]]="",Fact_Administrativa[[#This Row], [Mes]]=""),"",DATE(A480,MATCH(B480,{"enero","febrero","marzo","abril","mayo","junio","julio","agosto","septiembre","octubre","noviembre","diciembre"},0)+1,0))</f>
        <v>45808</v>
      </c>
      <c r="D480" t="s">
        <v>41</v>
      </c>
      <c r="E480" t="str">
        <f>+IFERROR(VLOOKUP(Fact_Administrativa[[#This Row], [Concepto Anterior]],Conceptos_Administrativa[#All],5,0),"")</f>
        <v>Facturas Procesadas por Marca</v>
      </c>
      <c r="F480" t="str">
        <f ca="1">+IFERROR(VLOOKUP(Fact_Administrativa[[#This Row], [Concepto Anterior]],Conceptos_Administrativa[#All],7,0),"")</f>
        <v/>
      </c>
      <c r="G480" t="s">
        <v>50</v>
      </c>
      <c r="H480" t="s">
        <v>172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93">
        <v>1078</v>
      </c>
    </row>
    <row r="481" spans="1:11" ht="18.75" customHeight="1" x14ac:dyDescent="0.35">
      <c r="A481" s="93">
        <v>2025</v>
      </c>
      <c r="B481" s="106" t="s">
        <v>177</v>
      </c>
      <c r="C481" s="100">
        <f>IF(OR(Fact_Administrativa[[#This Row], [Año]]="",Fact_Administrativa[[#This Row], [Mes]]=""),"",DATE(A481,MATCH(B481,{"enero","febrero","marzo","abril","mayo","junio","julio","agosto","septiembre","octubre","noviembre","diciembre"},0)+1,0))</f>
        <v>45808</v>
      </c>
      <c r="D481" t="s">
        <v>41</v>
      </c>
      <c r="E481" t="str">
        <f>+IFERROR(VLOOKUP(Fact_Administrativa[[#This Row], [Concepto Anterior]],Conceptos_Administrativa[#All],5,0),"")</f>
        <v>Facturas Procesadas por Marca</v>
      </c>
      <c r="F481" t="str">
        <f ca="1">+IFERROR(VLOOKUP(Fact_Administrativa[[#This Row], [Concepto Anterior]],Conceptos_Administrativa[#All],7,0),"")</f>
        <v/>
      </c>
      <c r="G481" t="s">
        <v>121</v>
      </c>
      <c r="H481" t="s">
        <v>172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93">
        <v>786</v>
      </c>
    </row>
    <row r="482" spans="1:11" ht="18.75" customHeight="1" x14ac:dyDescent="0.35">
      <c r="A482" s="93">
        <v>2025</v>
      </c>
      <c r="B482" s="106" t="s">
        <v>177</v>
      </c>
      <c r="C482" s="100">
        <f>IF(OR(Fact_Administrativa[[#This Row], [Año]]="",Fact_Administrativa[[#This Row], [Mes]]=""),"",DATE(A482,MATCH(B482,{"enero","febrero","marzo","abril","mayo","junio","julio","agosto","septiembre","octubre","noviembre","diciembre"},0)+1,0))</f>
        <v>45808</v>
      </c>
      <c r="D482" t="s">
        <v>41</v>
      </c>
      <c r="E482" t="str">
        <f>+IFERROR(VLOOKUP(Fact_Administrativa[[#This Row], [Concepto Anterior]],Conceptos_Administrativa[#All],5,0),"")</f>
        <v>Facturas Procesadas por Marca</v>
      </c>
      <c r="F482" t="str">
        <f ca="1">+IFERROR(VLOOKUP(Fact_Administrativa[[#This Row], [Concepto Anterior]],Conceptos_Administrativa[#All],7,0),"")</f>
        <v/>
      </c>
      <c r="G482" t="s">
        <v>51</v>
      </c>
      <c r="H482" t="s">
        <v>172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93">
        <v>847</v>
      </c>
    </row>
    <row r="483" spans="1:11" ht="18.75" customHeight="1" x14ac:dyDescent="0.35">
      <c r="A483" s="93">
        <v>2025</v>
      </c>
      <c r="B483" s="106" t="s">
        <v>177</v>
      </c>
      <c r="C483" s="100">
        <f>IF(OR(Fact_Administrativa[[#This Row], [Año]]="",Fact_Administrativa[[#This Row], [Mes]]=""),"",DATE(A483,MATCH(B483,{"enero","febrero","marzo","abril","mayo","junio","julio","agosto","septiembre","octubre","noviembre","diciembre"},0)+1,0))</f>
        <v>45808</v>
      </c>
      <c r="D483" t="s">
        <v>41</v>
      </c>
      <c r="E483" t="str">
        <f>+IFERROR(VLOOKUP(Fact_Administrativa[[#This Row], [Concepto Anterior]],Conceptos_Administrativa[#All],5,0),"")</f>
        <v>Facturas Procesadas por Marca</v>
      </c>
      <c r="F483" t="str">
        <f ca="1">+IFERROR(VLOOKUP(Fact_Administrativa[[#This Row], [Concepto Anterior]],Conceptos_Administrativa[#All],7,0),"")</f>
        <v/>
      </c>
      <c r="G483" t="s">
        <v>52</v>
      </c>
      <c r="H483" t="s">
        <v>172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93">
        <v>333</v>
      </c>
    </row>
    <row r="484" spans="1:11" ht="18.75" customHeight="1" x14ac:dyDescent="0.35">
      <c r="A484" s="93">
        <v>2025</v>
      </c>
      <c r="B484" s="106" t="s">
        <v>177</v>
      </c>
      <c r="C484" s="100">
        <f>IF(OR(Fact_Administrativa[[#This Row], [Año]]="",Fact_Administrativa[[#This Row], [Mes]]=""),"",DATE(A484,MATCH(B484,{"enero","febrero","marzo","abril","mayo","junio","julio","agosto","septiembre","octubre","noviembre","diciembre"},0)+1,0))</f>
        <v>45808</v>
      </c>
      <c r="D484" t="s">
        <v>41</v>
      </c>
      <c r="E484" t="str">
        <f>+IFERROR(VLOOKUP(Fact_Administrativa[[#This Row], [Concepto Anterior]],Conceptos_Administrativa[#All],5,0),"")</f>
        <v>Facturas Procesadas por Marca</v>
      </c>
      <c r="F484" t="str">
        <f ca="1">+IFERROR(VLOOKUP(Fact_Administrativa[[#This Row], [Concepto Anterior]],Conceptos_Administrativa[#All],7,0),"")</f>
        <v/>
      </c>
      <c r="G484" t="s">
        <v>53</v>
      </c>
      <c r="H484" t="s">
        <v>172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93">
        <v>333</v>
      </c>
    </row>
    <row r="485" spans="1:11" ht="18.75" customHeight="1" x14ac:dyDescent="0.35">
      <c r="A485" s="93">
        <v>2025</v>
      </c>
      <c r="B485" s="106" t="s">
        <v>177</v>
      </c>
      <c r="C485" s="100">
        <f>IF(OR(Fact_Administrativa[[#This Row], [Año]]="",Fact_Administrativa[[#This Row], [Mes]]=""),"",DATE(A485,MATCH(B485,{"enero","febrero","marzo","abril","mayo","junio","julio","agosto","septiembre","octubre","noviembre","diciembre"},0)+1,0))</f>
        <v>45808</v>
      </c>
      <c r="D485" t="s">
        <v>41</v>
      </c>
      <c r="E485" t="str">
        <f>+IFERROR(VLOOKUP(Fact_Administrativa[[#This Row], [Concepto Anterior]],Conceptos_Administrativa[#All],5,0),"")</f>
        <v>Facturas Procesadas por Marca</v>
      </c>
      <c r="F485" t="str">
        <f ca="1">+IFERROR(VLOOKUP(Fact_Administrativa[[#This Row], [Concepto Anterior]],Conceptos_Administrativa[#All],7,0),"")</f>
        <v/>
      </c>
      <c r="G485" t="s">
        <v>54</v>
      </c>
      <c r="H485" t="s">
        <v>172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93">
        <v>60</v>
      </c>
    </row>
    <row r="486" spans="1:11" ht="18.75" customHeight="1" x14ac:dyDescent="0.35">
      <c r="A486" s="93">
        <v>2025</v>
      </c>
      <c r="B486" s="106" t="s">
        <v>177</v>
      </c>
      <c r="C486" s="100">
        <f>IF(OR(Fact_Administrativa[[#This Row], [Año]]="",Fact_Administrativa[[#This Row], [Mes]]=""),"",DATE(A486,MATCH(B486,{"enero","febrero","marzo","abril","mayo","junio","julio","agosto","septiembre","octubre","noviembre","diciembre"},0)+1,0))</f>
        <v>45808</v>
      </c>
      <c r="D486" t="s">
        <v>55</v>
      </c>
      <c r="E486" t="str">
        <f>+IFERROR(VLOOKUP(Fact_Administrativa[[#This Row], [Concepto Anterior]],Conceptos_Administrativa[#All],5,0),"")</f>
        <v>Facturas Procesadas por Marca</v>
      </c>
      <c r="F486" t="str">
        <f ca="1">+IFERROR(VLOOKUP(Fact_Administrativa[[#This Row], [Concepto Anterior]],Conceptos_Administrativa[#All],7,0),"")</f>
        <v/>
      </c>
      <c r="G486" t="s">
        <v>56</v>
      </c>
      <c r="H486" t="s">
        <v>172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93">
        <v>96</v>
      </c>
    </row>
    <row r="487" spans="1:11" ht="18.75" customHeight="1" x14ac:dyDescent="0.35">
      <c r="A487" s="93">
        <v>2025</v>
      </c>
      <c r="B487" s="106" t="s">
        <v>177</v>
      </c>
      <c r="C487" s="100">
        <f>IF(OR(Fact_Administrativa[[#This Row], [Año]]="",Fact_Administrativa[[#This Row], [Mes]]=""),"",DATE(A487,MATCH(B487,{"enero","febrero","marzo","abril","mayo","junio","julio","agosto","septiembre","octubre","noviembre","diciembre"},0)+1,0))</f>
        <v>45808</v>
      </c>
      <c r="D487" t="s">
        <v>57</v>
      </c>
      <c r="E487" t="str">
        <f>+IFERROR(VLOOKUP(Fact_Administrativa[[#This Row], [Concepto Anterior]],Conceptos_Administrativa[#All],5,0),"")</f>
        <v>Facturas Procesadas por Marca</v>
      </c>
      <c r="F487" t="str">
        <f ca="1">+IFERROR(VLOOKUP(Fact_Administrativa[[#This Row], [Concepto Anterior]],Conceptos_Administrativa[#All],7,0),"")</f>
        <v/>
      </c>
      <c r="G487" t="s">
        <v>58</v>
      </c>
      <c r="H487" t="s">
        <v>172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93">
        <v>91</v>
      </c>
    </row>
    <row r="488" spans="1:11" ht="18.75" customHeight="1" x14ac:dyDescent="0.35">
      <c r="A488" s="93">
        <v>2025</v>
      </c>
      <c r="B488" s="106" t="s">
        <v>177</v>
      </c>
      <c r="C488" s="100">
        <f>IF(OR(Fact_Administrativa[[#This Row], [Año]]="",Fact_Administrativa[[#This Row], [Mes]]=""),"",DATE(A488,MATCH(B488,{"enero","febrero","marzo","abril","mayo","junio","julio","agosto","septiembre","octubre","noviembre","diciembre"},0)+1,0))</f>
        <v>45808</v>
      </c>
      <c r="D488" t="s">
        <v>28</v>
      </c>
      <c r="E488" t="str">
        <f>+IFERROR(VLOOKUP(Fact_Administrativa[[#This Row], [Concepto Anterior]],Conceptos_Administrativa[#All],5,0),"")</f>
        <v xml:space="preserve">Ahorro reformas tiendas </v>
      </c>
      <c r="F488" t="str">
        <f ca="1">+IFERROR(VLOOKUP(Fact_Administrativa[[#This Row], [Concepto Anterior]],Conceptos_Administrativa[#All],7,0),"")</f>
        <v/>
      </c>
      <c r="G488" t="s">
        <v>172</v>
      </c>
      <c r="H488" t="s">
        <v>172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93">
        <v>21786526</v>
      </c>
    </row>
    <row r="489" spans="1:11" ht="18.75" customHeight="1" x14ac:dyDescent="0.35">
      <c r="A489" s="93">
        <v>2025</v>
      </c>
      <c r="B489" s="106" t="s">
        <v>177</v>
      </c>
      <c r="C489" s="100">
        <f>IF(OR(Fact_Administrativa[[#This Row], [Año]]="",Fact_Administrativa[[#This Row], [Mes]]=""),"",DATE(A489,MATCH(B489,{"enero","febrero","marzo","abril","mayo","junio","julio","agosto","septiembre","octubre","noviembre","diciembre"},0)+1,0))</f>
        <v>45808</v>
      </c>
      <c r="D489" t="s">
        <v>211</v>
      </c>
      <c r="E489" t="str">
        <f>+IFERROR(VLOOKUP(Fact_Administrativa[[#This Row], [Concepto Anterior]],Conceptos_Administrativa[#All],5,0),"")</f>
        <v>Noches hospedaje</v>
      </c>
      <c r="F489" t="str">
        <f ca="1">+IFERROR(VLOOKUP(Fact_Administrativa[[#This Row], [Concepto Anterior]],Conceptos_Administrativa[#All],7,0),"")</f>
        <v/>
      </c>
      <c r="G489" t="s">
        <v>172</v>
      </c>
      <c r="H489" t="s">
        <v>172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93">
        <v>258</v>
      </c>
    </row>
    <row r="490" spans="1:11" ht="18.75" customHeight="1" x14ac:dyDescent="0.35">
      <c r="A490" s="93">
        <v>2025</v>
      </c>
      <c r="B490" s="106" t="s">
        <v>177</v>
      </c>
      <c r="C490" s="100">
        <f>IF(OR(Fact_Administrativa[[#This Row], [Año]]="",Fact_Administrativa[[#This Row], [Mes]]=""),"",DATE(A490,MATCH(B490,{"enero","febrero","marzo","abril","mayo","junio","julio","agosto","septiembre","octubre","noviembre","diciembre"},0)+1,0))</f>
        <v>45808</v>
      </c>
      <c r="D490" t="s">
        <v>29</v>
      </c>
      <c r="E490" t="str">
        <f>+IFERROR(VLOOKUP(Fact_Administrativa[[#This Row], [Concepto Anterior]],Conceptos_Administrativa[#All],5,0),"")</f>
        <v>Recuperaciones Siniestros</v>
      </c>
      <c r="F490" t="str">
        <f ca="1">+IFERROR(VLOOKUP(Fact_Administrativa[[#This Row], [Concepto Anterior]],Conceptos_Administrativa[#All],7,0),"")</f>
        <v/>
      </c>
      <c r="G490" t="s">
        <v>172</v>
      </c>
      <c r="H490" t="s">
        <v>172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93">
        <v>0</v>
      </c>
    </row>
    <row r="491" spans="1:11" ht="18.75" customHeight="1" x14ac:dyDescent="0.35">
      <c r="A491" s="93">
        <v>2025</v>
      </c>
      <c r="B491" s="106" t="s">
        <v>177</v>
      </c>
      <c r="C491" s="100">
        <f>IF(OR(Fact_Administrativa[[#This Row], [Año]]="",Fact_Administrativa[[#This Row], [Mes]]=""),"",DATE(A491,MATCH(B491,{"enero","febrero","marzo","abril","mayo","junio","julio","agosto","septiembre","octubre","noviembre","diciembre"},0)+1,0))</f>
        <v>45808</v>
      </c>
      <c r="D491" t="s">
        <v>30</v>
      </c>
      <c r="E491" t="str">
        <f>+IFERROR(VLOOKUP(Fact_Administrativa[[#This Row], [Concepto Anterior]],Conceptos_Administrativa[#All],5,0),"")</f>
        <v>Gestión de Polizas</v>
      </c>
      <c r="F491" t="str">
        <f ca="1">+IFERROR(VLOOKUP(Fact_Administrativa[[#This Row], [Concepto Anterior]],Conceptos_Administrativa[#All],7,0),"")</f>
        <v/>
      </c>
      <c r="G491" t="s">
        <v>172</v>
      </c>
      <c r="H491" t="s">
        <v>172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93">
        <v>48265961</v>
      </c>
    </row>
    <row r="492" spans="1:11" ht="18.75" customHeight="1" x14ac:dyDescent="0.35">
      <c r="A492" s="93">
        <v>2025</v>
      </c>
      <c r="B492" s="106" t="s">
        <v>177</v>
      </c>
      <c r="C492" s="100">
        <f>IF(OR(Fact_Administrativa[[#This Row], [Año]]="",Fact_Administrativa[[#This Row], [Mes]]=""),"",DATE(A492,MATCH(B492,{"enero","febrero","marzo","abril","mayo","junio","julio","agosto","septiembre","octubre","noviembre","diciembre"},0)+1,0))</f>
        <v>45808</v>
      </c>
      <c r="D492" t="s">
        <v>212</v>
      </c>
      <c r="E492" t="str">
        <f>+IFERROR(VLOOKUP(Fact_Administrativa[[#This Row], [Concepto Anterior]],Conceptos_Administrativa[#All],5,0),"")</f>
        <v>Total tickets recibidos</v>
      </c>
      <c r="F492" t="str">
        <f ca="1">+IFERROR(VLOOKUP(Fact_Administrativa[[#This Row], [Concepto Anterior]],Conceptos_Administrativa[#All],7,0),"")</f>
        <v/>
      </c>
      <c r="G492" t="s">
        <v>172</v>
      </c>
      <c r="H492" t="s">
        <v>172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93">
        <v>1750</v>
      </c>
    </row>
    <row r="493" spans="1:11" ht="18.75" customHeight="1" x14ac:dyDescent="0.35">
      <c r="A493" s="93">
        <v>2025</v>
      </c>
      <c r="B493" s="106" t="s">
        <v>177</v>
      </c>
      <c r="C493" s="100">
        <f>IF(OR(Fact_Administrativa[[#This Row], [Año]]="",Fact_Administrativa[[#This Row], [Mes]]=""),"",DATE(A493,MATCH(B493,{"enero","febrero","marzo","abril","mayo","junio","julio","agosto","septiembre","octubre","noviembre","diciembre"},0)+1,0))</f>
        <v>45808</v>
      </c>
      <c r="D493" t="s">
        <v>213</v>
      </c>
      <c r="E493" t="str">
        <f>+IFERROR(VLOOKUP(Fact_Administrativa[[#This Row], [Concepto Anterior]],Conceptos_Administrativa[#All],5,0),"")</f>
        <v>Tickets Cerrados con ANS</v>
      </c>
      <c r="F493" t="str">
        <f ca="1">+IFERROR(VLOOKUP(Fact_Administrativa[[#This Row], [Concepto Anterior]],Conceptos_Administrativa[#All],7,0),"")</f>
        <v/>
      </c>
      <c r="G493" t="s">
        <v>172</v>
      </c>
      <c r="H493" t="s">
        <v>172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93">
        <v>1286</v>
      </c>
    </row>
    <row r="494" spans="1:11" ht="18.75" customHeight="1" x14ac:dyDescent="0.35">
      <c r="A494" s="93">
        <v>2025</v>
      </c>
      <c r="B494" s="106" t="s">
        <v>177</v>
      </c>
      <c r="C494" s="100">
        <f>IF(OR(Fact_Administrativa[[#This Row], [Año]]="",Fact_Administrativa[[#This Row], [Mes]]=""),"",DATE(A494,MATCH(B494,{"enero","febrero","marzo","abril","mayo","junio","julio","agosto","septiembre","octubre","noviembre","diciembre"},0)+1,0))</f>
        <v>45808</v>
      </c>
      <c r="D494" t="s">
        <v>214</v>
      </c>
      <c r="E494" t="str">
        <f>+IFERROR(VLOOKUP(Fact_Administrativa[[#This Row], [Concepto Anterior]],Conceptos_Administrativa[#All],5,0),"")</f>
        <v>Tickets Vencidos</v>
      </c>
      <c r="F494" t="str">
        <f ca="1">+IFERROR(VLOOKUP(Fact_Administrativa[[#This Row], [Concepto Anterior]],Conceptos_Administrativa[#All],7,0),"")</f>
        <v/>
      </c>
      <c r="G494" t="s">
        <v>172</v>
      </c>
      <c r="H494" t="s">
        <v>172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93">
        <v>526</v>
      </c>
    </row>
    <row r="495" spans="1:11" ht="18.75" customHeight="1" x14ac:dyDescent="0.35">
      <c r="A495" s="93">
        <v>2025</v>
      </c>
      <c r="B495" s="106" t="s">
        <v>178</v>
      </c>
      <c r="C495" s="100">
        <f>IF(OR(Fact_Administrativa[[#This Row], [Año]]="",Fact_Administrativa[[#This Row], [Mes]]=""),"",DATE(A495,MATCH(B495,{"enero","febrero","marzo","abril","mayo","junio","julio","agosto","septiembre","octubre","noviembre","diciembre"},0)+1,0))</f>
        <v>45838</v>
      </c>
      <c r="D495" t="s">
        <v>27</v>
      </c>
      <c r="E495" t="str">
        <f>+IFERROR(VLOOKUP(Fact_Administrativa[[#This Row], [Concepto Anterior]],Conceptos_Administrativa[#All],5,0),"")</f>
        <v>Ahorro energía</v>
      </c>
      <c r="F495" t="str">
        <f ca="1">+IFERROR(VLOOKUP(Fact_Administrativa[[#This Row], [Concepto Anterior]],Conceptos_Administrativa[#All],7,0),"")</f>
        <v/>
      </c>
      <c r="G495" t="s">
        <v>172</v>
      </c>
      <c r="H495" t="s">
        <v>172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93">
        <v>17817507</v>
      </c>
    </row>
    <row r="496" spans="1:11" ht="18.75" customHeight="1" x14ac:dyDescent="0.35">
      <c r="A496" s="93">
        <v>2025</v>
      </c>
      <c r="B496" s="106" t="s">
        <v>178</v>
      </c>
      <c r="C496" s="100">
        <f>IF(OR(Fact_Administrativa[[#This Row], [Año]]="",Fact_Administrativa[[#This Row], [Mes]]=""),"",DATE(A496,MATCH(B496,{"enero","febrero","marzo","abril","mayo","junio","julio","agosto","septiembre","octubre","noviembre","diciembre"},0)+1,0))</f>
        <v>45838</v>
      </c>
      <c r="D496" t="s">
        <v>118</v>
      </c>
      <c r="E496" t="str">
        <f>+IFERROR(VLOOKUP(Fact_Administrativa[[#This Row], [Concepto Anterior]],Conceptos_Administrativa[#All],5,0),"")</f>
        <v xml:space="preserve">Cant. reformas tiendas </v>
      </c>
      <c r="F496" t="str">
        <f ca="1">+IFERROR(VLOOKUP(Fact_Administrativa[[#This Row], [Concepto Anterior]],Conceptos_Administrativa[#All],7,0),"")</f>
        <v/>
      </c>
      <c r="G496" t="s">
        <v>172</v>
      </c>
      <c r="H496" t="s">
        <v>172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93">
        <v>0</v>
      </c>
    </row>
    <row r="497" spans="1:11" ht="18.75" customHeight="1" x14ac:dyDescent="0.35">
      <c r="A497" s="93">
        <v>2025</v>
      </c>
      <c r="B497" s="106" t="s">
        <v>178</v>
      </c>
      <c r="C497" s="100">
        <f>IF(OR(Fact_Administrativa[[#This Row], [Año]]="",Fact_Administrativa[[#This Row], [Mes]]=""),"",DATE(A497,MATCH(B497,{"enero","febrero","marzo","abril","mayo","junio","julio","agosto","septiembre","octubre","noviembre","diciembre"},0)+1,0))</f>
        <v>45838</v>
      </c>
      <c r="D497" t="s">
        <v>40</v>
      </c>
      <c r="E497" t="str">
        <f>+IFERROR(VLOOKUP(Fact_Administrativa[[#This Row], [Concepto Anterior]],Conceptos_Administrativa[#All],5,0),"")</f>
        <v xml:space="preserve">Contratos de arrendamientos </v>
      </c>
      <c r="F497" t="str">
        <f ca="1">+IFERROR(VLOOKUP(Fact_Administrativa[[#This Row], [Concepto Anterior]],Conceptos_Administrativa[#All],7,0),"")</f>
        <v/>
      </c>
      <c r="G497" t="s">
        <v>172</v>
      </c>
      <c r="H497" t="s">
        <v>172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93">
        <v>458</v>
      </c>
    </row>
    <row r="498" spans="1:11" ht="18.75" customHeight="1" x14ac:dyDescent="0.35">
      <c r="A498" s="93">
        <v>2025</v>
      </c>
      <c r="B498" s="106" t="s">
        <v>178</v>
      </c>
      <c r="C498" s="100">
        <f>IF(OR(Fact_Administrativa[[#This Row], [Año]]="",Fact_Administrativa[[#This Row], [Mes]]=""),"",DATE(A498,MATCH(B498,{"enero","febrero","marzo","abril","mayo","junio","julio","agosto","septiembre","octubre","noviembre","diciembre"},0)+1,0))</f>
        <v>45838</v>
      </c>
      <c r="D498" t="s">
        <v>25</v>
      </c>
      <c r="E498" t="str">
        <f>+IFERROR(VLOOKUP(Fact_Administrativa[[#This Row], [Concepto Anterior]],Conceptos_Administrativa[#All],5,0),"")</f>
        <v>Control Ingresos cede Dogama</v>
      </c>
      <c r="F498" t="str">
        <f ca="1">+IFERROR(VLOOKUP(Fact_Administrativa[[#This Row], [Concepto Anterior]],Conceptos_Administrativa[#All],7,0),"")</f>
        <v/>
      </c>
      <c r="G498" t="s">
        <v>172</v>
      </c>
      <c r="H498" t="s">
        <v>172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93">
        <v>17318</v>
      </c>
    </row>
    <row r="499" spans="1:11" ht="18.75" customHeight="1" x14ac:dyDescent="0.35">
      <c r="A499" s="93">
        <v>2025</v>
      </c>
      <c r="B499" s="106" t="s">
        <v>178</v>
      </c>
      <c r="C499" s="100">
        <f>IF(OR(Fact_Administrativa[[#This Row], [Año]]="",Fact_Administrativa[[#This Row], [Mes]]=""),"",DATE(A499,MATCH(B499,{"enero","febrero","marzo","abril","mayo","junio","julio","agosto","septiembre","octubre","noviembre","diciembre"},0)+1,0))</f>
        <v>45838</v>
      </c>
      <c r="D499" t="s">
        <v>209</v>
      </c>
      <c r="E499" t="str">
        <f>+IFERROR(VLOOKUP(Fact_Administrativa[[#This Row], [Concepto Anterior]],Conceptos_Administrativa[#All],5,0),"")</f>
        <v>Emisiones CO²</v>
      </c>
      <c r="F499" t="str">
        <f ca="1">+IFERROR(VLOOKUP(Fact_Administrativa[[#This Row], [Concepto Anterior]],Conceptos_Administrativa[#All],7,0),"")</f>
        <v/>
      </c>
      <c r="G499" t="s">
        <v>172</v>
      </c>
      <c r="H499" t="s">
        <v>172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07">
        <v>26.7</v>
      </c>
    </row>
    <row r="500" spans="1:11" ht="18.75" customHeight="1" x14ac:dyDescent="0.35">
      <c r="A500" s="93">
        <v>2025</v>
      </c>
      <c r="B500" s="106" t="s">
        <v>178</v>
      </c>
      <c r="C500" s="100">
        <f>IF(OR(Fact_Administrativa[[#This Row], [Año]]="",Fact_Administrativa[[#This Row], [Mes]]=""),"",DATE(A500,MATCH(B500,{"enero","febrero","marzo","abril","mayo","junio","julio","agosto","septiembre","octubre","noviembre","diciembre"},0)+1,0))</f>
        <v>45838</v>
      </c>
      <c r="D500" t="s">
        <v>38</v>
      </c>
      <c r="E500" t="str">
        <f>+IFERROR(VLOOKUP(Fact_Administrativa[[#This Row], [Concepto Anterior]],Conceptos_Administrativa[#All],5,0),"")</f>
        <v>Facturas de arrendamientos y administración</v>
      </c>
      <c r="F500" t="str">
        <f ca="1">+IFERROR(VLOOKUP(Fact_Administrativa[[#This Row], [Concepto Anterior]],Conceptos_Administrativa[#All],7,0),"")</f>
        <v/>
      </c>
      <c r="G500" t="s">
        <v>172</v>
      </c>
      <c r="H500" t="s">
        <v>172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93">
        <v>1080</v>
      </c>
    </row>
    <row r="501" spans="1:11" ht="18.75" customHeight="1" x14ac:dyDescent="0.35">
      <c r="A501" s="93">
        <v>2025</v>
      </c>
      <c r="B501" s="106" t="s">
        <v>178</v>
      </c>
      <c r="C501" s="100">
        <f>IF(OR(Fact_Administrativa[[#This Row], [Año]]="",Fact_Administrativa[[#This Row], [Mes]]=""),"",DATE(A501,MATCH(B501,{"enero","febrero","marzo","abril","mayo","junio","julio","agosto","septiembre","octubre","noviembre","diciembre"},0)+1,0))</f>
        <v>45838</v>
      </c>
      <c r="D501" t="s">
        <v>41</v>
      </c>
      <c r="E501" t="str">
        <f>+IFERROR(VLOOKUP(Fact_Administrativa[[#This Row], [Concepto Anterior]],Conceptos_Administrativa[#All],5,0),"")</f>
        <v>Facturas Procesadas por Marca</v>
      </c>
      <c r="F501" t="str">
        <f ca="1">+IFERROR(VLOOKUP(Fact_Administrativa[[#This Row], [Concepto Anterior]],Conceptos_Administrativa[#All],7,0),"")</f>
        <v/>
      </c>
      <c r="G501" t="s">
        <v>42</v>
      </c>
      <c r="H501" t="s">
        <v>172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93">
        <v>655</v>
      </c>
    </row>
    <row r="502" spans="1:11" ht="18.75" customHeight="1" x14ac:dyDescent="0.35">
      <c r="A502" s="93">
        <v>2025</v>
      </c>
      <c r="B502" s="106" t="s">
        <v>178</v>
      </c>
      <c r="C502" s="100">
        <f>IF(OR(Fact_Administrativa[[#This Row], [Año]]="",Fact_Administrativa[[#This Row], [Mes]]=""),"",DATE(A502,MATCH(B502,{"enero","febrero","marzo","abril","mayo","junio","julio","agosto","septiembre","octubre","noviembre","diciembre"},0)+1,0))</f>
        <v>45838</v>
      </c>
      <c r="D502" t="s">
        <v>41</v>
      </c>
      <c r="E502" t="str">
        <f>+IFERROR(VLOOKUP(Fact_Administrativa[[#This Row], [Concepto Anterior]],Conceptos_Administrativa[#All],5,0),"")</f>
        <v>Facturas Procesadas por Marca</v>
      </c>
      <c r="F502" t="str">
        <f ca="1">+IFERROR(VLOOKUP(Fact_Administrativa[[#This Row], [Concepto Anterior]],Conceptos_Administrativa[#All],7,0),"")</f>
        <v/>
      </c>
      <c r="G502" t="s">
        <v>43</v>
      </c>
      <c r="H502" t="s">
        <v>172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93">
        <v>964</v>
      </c>
    </row>
    <row r="503" spans="1:11" ht="18.75" customHeight="1" x14ac:dyDescent="0.35">
      <c r="A503" s="93">
        <v>2025</v>
      </c>
      <c r="B503" s="106" t="s">
        <v>178</v>
      </c>
      <c r="C503" s="100">
        <f>IF(OR(Fact_Administrativa[[#This Row], [Año]]="",Fact_Administrativa[[#This Row], [Mes]]=""),"",DATE(A503,MATCH(B503,{"enero","febrero","marzo","abril","mayo","junio","julio","agosto","septiembre","octubre","noviembre","diciembre"},0)+1,0))</f>
        <v>45838</v>
      </c>
      <c r="D503" t="s">
        <v>41</v>
      </c>
      <c r="E503" t="str">
        <f>+IFERROR(VLOOKUP(Fact_Administrativa[[#This Row], [Concepto Anterior]],Conceptos_Administrativa[#All],5,0),"")</f>
        <v>Facturas Procesadas por Marca</v>
      </c>
      <c r="F503" t="str">
        <f ca="1">+IFERROR(VLOOKUP(Fact_Administrativa[[#This Row], [Concepto Anterior]],Conceptos_Administrativa[#All],7,0),"")</f>
        <v/>
      </c>
      <c r="G503" t="s">
        <v>44</v>
      </c>
      <c r="H503" t="s">
        <v>172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93">
        <v>785</v>
      </c>
    </row>
    <row r="504" spans="1:11" ht="18.75" customHeight="1" x14ac:dyDescent="0.35">
      <c r="A504" s="93">
        <v>2025</v>
      </c>
      <c r="B504" s="106" t="s">
        <v>178</v>
      </c>
      <c r="C504" s="100">
        <f>IF(OR(Fact_Administrativa[[#This Row], [Año]]="",Fact_Administrativa[[#This Row], [Mes]]=""),"",DATE(A504,MATCH(B504,{"enero","febrero","marzo","abril","mayo","junio","julio","agosto","septiembre","octubre","noviembre","diciembre"},0)+1,0))</f>
        <v>45838</v>
      </c>
      <c r="D504" t="s">
        <v>41</v>
      </c>
      <c r="E504" t="str">
        <f>+IFERROR(VLOOKUP(Fact_Administrativa[[#This Row], [Concepto Anterior]],Conceptos_Administrativa[#All],5,0),"")</f>
        <v>Facturas Procesadas por Marca</v>
      </c>
      <c r="F504" t="str">
        <f ca="1">+IFERROR(VLOOKUP(Fact_Administrativa[[#This Row], [Concepto Anterior]],Conceptos_Administrativa[#All],7,0),"")</f>
        <v/>
      </c>
      <c r="G504" t="s">
        <v>45</v>
      </c>
      <c r="H504" t="s">
        <v>172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93">
        <v>606</v>
      </c>
    </row>
    <row r="505" spans="1:11" ht="18.75" customHeight="1" x14ac:dyDescent="0.35">
      <c r="A505" s="93">
        <v>2025</v>
      </c>
      <c r="B505" s="106" t="s">
        <v>178</v>
      </c>
      <c r="C505" s="100">
        <f>IF(OR(Fact_Administrativa[[#This Row], [Año]]="",Fact_Administrativa[[#This Row], [Mes]]=""),"",DATE(A505,MATCH(B505,{"enero","febrero","marzo","abril","mayo","junio","julio","agosto","septiembre","octubre","noviembre","diciembre"},0)+1,0))</f>
        <v>45838</v>
      </c>
      <c r="D505" t="s">
        <v>41</v>
      </c>
      <c r="E505" t="str">
        <f>+IFERROR(VLOOKUP(Fact_Administrativa[[#This Row], [Concepto Anterior]],Conceptos_Administrativa[#All],5,0),"")</f>
        <v>Facturas Procesadas por Marca</v>
      </c>
      <c r="F505" t="str">
        <f ca="1">+IFERROR(VLOOKUP(Fact_Administrativa[[#This Row], [Concepto Anterior]],Conceptos_Administrativa[#All],7,0),"")</f>
        <v/>
      </c>
      <c r="G505" t="s">
        <v>46</v>
      </c>
      <c r="H505" t="s">
        <v>172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93">
        <v>368</v>
      </c>
    </row>
    <row r="506" spans="1:11" ht="18.75" customHeight="1" x14ac:dyDescent="0.35">
      <c r="A506" s="93">
        <v>2025</v>
      </c>
      <c r="B506" s="106" t="s">
        <v>178</v>
      </c>
      <c r="C506" s="100">
        <f>IF(OR(Fact_Administrativa[[#This Row], [Año]]="",Fact_Administrativa[[#This Row], [Mes]]=""),"",DATE(A506,MATCH(B506,{"enero","febrero","marzo","abril","mayo","junio","julio","agosto","septiembre","octubre","noviembre","diciembre"},0)+1,0))</f>
        <v>45838</v>
      </c>
      <c r="D506" t="s">
        <v>41</v>
      </c>
      <c r="E506" t="str">
        <f>+IFERROR(VLOOKUP(Fact_Administrativa[[#This Row], [Concepto Anterior]],Conceptos_Administrativa[#All],5,0),"")</f>
        <v>Facturas Procesadas por Marca</v>
      </c>
      <c r="F506" t="str">
        <f ca="1">+IFERROR(VLOOKUP(Fact_Administrativa[[#This Row], [Concepto Anterior]],Conceptos_Administrativa[#All],7,0),"")</f>
        <v/>
      </c>
      <c r="G506" t="s">
        <v>47</v>
      </c>
      <c r="H506" t="s">
        <v>172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93">
        <v>43</v>
      </c>
    </row>
    <row r="507" spans="1:11" ht="18.75" customHeight="1" x14ac:dyDescent="0.35">
      <c r="A507" s="93">
        <v>2025</v>
      </c>
      <c r="B507" s="106" t="s">
        <v>178</v>
      </c>
      <c r="C507" s="100">
        <f>IF(OR(Fact_Administrativa[[#This Row], [Año]]="",Fact_Administrativa[[#This Row], [Mes]]=""),"",DATE(A507,MATCH(B507,{"enero","febrero","marzo","abril","mayo","junio","julio","agosto","septiembre","octubre","noviembre","diciembre"},0)+1,0))</f>
        <v>45838</v>
      </c>
      <c r="D507" t="s">
        <v>41</v>
      </c>
      <c r="E507" t="str">
        <f>+IFERROR(VLOOKUP(Fact_Administrativa[[#This Row], [Concepto Anterior]],Conceptos_Administrativa[#All],5,0),"")</f>
        <v>Facturas Procesadas por Marca</v>
      </c>
      <c r="F507" t="str">
        <f ca="1">+IFERROR(VLOOKUP(Fact_Administrativa[[#This Row], [Concepto Anterior]],Conceptos_Administrativa[#All],7,0),"")</f>
        <v/>
      </c>
      <c r="G507" t="s">
        <v>48</v>
      </c>
      <c r="H507" t="s">
        <v>172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93">
        <v>2529</v>
      </c>
    </row>
    <row r="508" spans="1:11" ht="18.75" customHeight="1" x14ac:dyDescent="0.35">
      <c r="A508" s="93">
        <v>2025</v>
      </c>
      <c r="B508" s="106" t="s">
        <v>178</v>
      </c>
      <c r="C508" s="100">
        <f>IF(OR(Fact_Administrativa[[#This Row], [Año]]="",Fact_Administrativa[[#This Row], [Mes]]=""),"",DATE(A508,MATCH(B508,{"enero","febrero","marzo","abril","mayo","junio","julio","agosto","septiembre","octubre","noviembre","diciembre"},0)+1,0))</f>
        <v>45838</v>
      </c>
      <c r="D508" t="s">
        <v>41</v>
      </c>
      <c r="E508" t="str">
        <f>+IFERROR(VLOOKUP(Fact_Administrativa[[#This Row], [Concepto Anterior]],Conceptos_Administrativa[#All],5,0),"")</f>
        <v>Facturas Procesadas por Marca</v>
      </c>
      <c r="F508" t="str">
        <f ca="1">+IFERROR(VLOOKUP(Fact_Administrativa[[#This Row], [Concepto Anterior]],Conceptos_Administrativa[#All],7,0),"")</f>
        <v/>
      </c>
      <c r="G508" t="s">
        <v>49</v>
      </c>
      <c r="H508" t="s">
        <v>172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93">
        <v>931</v>
      </c>
    </row>
    <row r="509" spans="1:11" ht="18.75" customHeight="1" x14ac:dyDescent="0.35">
      <c r="A509" s="93">
        <v>2025</v>
      </c>
      <c r="B509" s="106" t="s">
        <v>178</v>
      </c>
      <c r="C509" s="100">
        <f>IF(OR(Fact_Administrativa[[#This Row], [Año]]="",Fact_Administrativa[[#This Row], [Mes]]=""),"",DATE(A509,MATCH(B509,{"enero","febrero","marzo","abril","mayo","junio","julio","agosto","septiembre","octubre","noviembre","diciembre"},0)+1,0))</f>
        <v>45838</v>
      </c>
      <c r="D509" t="s">
        <v>41</v>
      </c>
      <c r="E509" t="str">
        <f>+IFERROR(VLOOKUP(Fact_Administrativa[[#This Row], [Concepto Anterior]],Conceptos_Administrativa[#All],5,0),"")</f>
        <v>Facturas Procesadas por Marca</v>
      </c>
      <c r="F509" t="str">
        <f ca="1">+IFERROR(VLOOKUP(Fact_Administrativa[[#This Row], [Concepto Anterior]],Conceptos_Administrativa[#All],7,0),"")</f>
        <v/>
      </c>
      <c r="G509" t="s">
        <v>50</v>
      </c>
      <c r="H509" t="s">
        <v>172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93">
        <v>1217</v>
      </c>
    </row>
    <row r="510" spans="1:11" ht="18.75" customHeight="1" x14ac:dyDescent="0.35">
      <c r="A510" s="93">
        <v>2025</v>
      </c>
      <c r="B510" s="106" t="s">
        <v>178</v>
      </c>
      <c r="C510" s="100">
        <f>IF(OR(Fact_Administrativa[[#This Row], [Año]]="",Fact_Administrativa[[#This Row], [Mes]]=""),"",DATE(A510,MATCH(B510,{"enero","febrero","marzo","abril","mayo","junio","julio","agosto","septiembre","octubre","noviembre","diciembre"},0)+1,0))</f>
        <v>45838</v>
      </c>
      <c r="D510" t="s">
        <v>41</v>
      </c>
      <c r="E510" t="str">
        <f>+IFERROR(VLOOKUP(Fact_Administrativa[[#This Row], [Concepto Anterior]],Conceptos_Administrativa[#All],5,0),"")</f>
        <v>Facturas Procesadas por Marca</v>
      </c>
      <c r="F510" t="str">
        <f ca="1">+IFERROR(VLOOKUP(Fact_Administrativa[[#This Row], [Concepto Anterior]],Conceptos_Administrativa[#All],7,0),"")</f>
        <v/>
      </c>
      <c r="G510" t="s">
        <v>121</v>
      </c>
      <c r="H510" t="s">
        <v>172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93">
        <v>173</v>
      </c>
    </row>
    <row r="511" spans="1:11" ht="18.75" customHeight="1" x14ac:dyDescent="0.35">
      <c r="A511" s="93">
        <v>2025</v>
      </c>
      <c r="B511" s="106" t="s">
        <v>178</v>
      </c>
      <c r="C511" s="100">
        <f>IF(OR(Fact_Administrativa[[#This Row], [Año]]="",Fact_Administrativa[[#This Row], [Mes]]=""),"",DATE(A511,MATCH(B511,{"enero","febrero","marzo","abril","mayo","junio","julio","agosto","septiembre","octubre","noviembre","diciembre"},0)+1,0))</f>
        <v>45838</v>
      </c>
      <c r="D511" t="s">
        <v>41</v>
      </c>
      <c r="E511" t="str">
        <f>+IFERROR(VLOOKUP(Fact_Administrativa[[#This Row], [Concepto Anterior]],Conceptos_Administrativa[#All],5,0),"")</f>
        <v>Facturas Procesadas por Marca</v>
      </c>
      <c r="F511" t="str">
        <f ca="1">+IFERROR(VLOOKUP(Fact_Administrativa[[#This Row], [Concepto Anterior]],Conceptos_Administrativa[#All],7,0),"")</f>
        <v/>
      </c>
      <c r="G511" t="s">
        <v>51</v>
      </c>
      <c r="H511" t="s">
        <v>172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93">
        <v>1194</v>
      </c>
    </row>
    <row r="512" spans="1:11" ht="18.75" customHeight="1" x14ac:dyDescent="0.35">
      <c r="A512" s="93">
        <v>2025</v>
      </c>
      <c r="B512" s="106" t="s">
        <v>178</v>
      </c>
      <c r="C512" s="100">
        <f>IF(OR(Fact_Administrativa[[#This Row], [Año]]="",Fact_Administrativa[[#This Row], [Mes]]=""),"",DATE(A512,MATCH(B512,{"enero","febrero","marzo","abril","mayo","junio","julio","agosto","septiembre","octubre","noviembre","diciembre"},0)+1,0))</f>
        <v>45838</v>
      </c>
      <c r="D512" t="s">
        <v>41</v>
      </c>
      <c r="E512" t="str">
        <f>+IFERROR(VLOOKUP(Fact_Administrativa[[#This Row], [Concepto Anterior]],Conceptos_Administrativa[#All],5,0),"")</f>
        <v>Facturas Procesadas por Marca</v>
      </c>
      <c r="F512" t="str">
        <f ca="1">+IFERROR(VLOOKUP(Fact_Administrativa[[#This Row], [Concepto Anterior]],Conceptos_Administrativa[#All],7,0),"")</f>
        <v/>
      </c>
      <c r="G512" t="s">
        <v>52</v>
      </c>
      <c r="H512" t="s">
        <v>172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93">
        <v>413</v>
      </c>
    </row>
    <row r="513" spans="1:11" ht="18.75" customHeight="1" x14ac:dyDescent="0.35">
      <c r="A513" s="93">
        <v>2025</v>
      </c>
      <c r="B513" s="106" t="s">
        <v>178</v>
      </c>
      <c r="C513" s="100">
        <f>IF(OR(Fact_Administrativa[[#This Row], [Año]]="",Fact_Administrativa[[#This Row], [Mes]]=""),"",DATE(A513,MATCH(B513,{"enero","febrero","marzo","abril","mayo","junio","julio","agosto","septiembre","octubre","noviembre","diciembre"},0)+1,0))</f>
        <v>45838</v>
      </c>
      <c r="D513" t="s">
        <v>41</v>
      </c>
      <c r="E513" t="str">
        <f>+IFERROR(VLOOKUP(Fact_Administrativa[[#This Row], [Concepto Anterior]],Conceptos_Administrativa[#All],5,0),"")</f>
        <v>Facturas Procesadas por Marca</v>
      </c>
      <c r="F513" t="str">
        <f ca="1">+IFERROR(VLOOKUP(Fact_Administrativa[[#This Row], [Concepto Anterior]],Conceptos_Administrativa[#All],7,0),"")</f>
        <v/>
      </c>
      <c r="G513" t="s">
        <v>53</v>
      </c>
      <c r="H513" t="s">
        <v>172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93">
        <v>431</v>
      </c>
    </row>
    <row r="514" spans="1:11" ht="18.75" customHeight="1" x14ac:dyDescent="0.35">
      <c r="A514" s="93">
        <v>2025</v>
      </c>
      <c r="B514" s="106" t="s">
        <v>178</v>
      </c>
      <c r="C514" s="100">
        <f>IF(OR(Fact_Administrativa[[#This Row], [Año]]="",Fact_Administrativa[[#This Row], [Mes]]=""),"",DATE(A514,MATCH(B514,{"enero","febrero","marzo","abril","mayo","junio","julio","agosto","septiembre","octubre","noviembre","diciembre"},0)+1,0))</f>
        <v>45838</v>
      </c>
      <c r="D514" t="s">
        <v>41</v>
      </c>
      <c r="E514" t="str">
        <f>+IFERROR(VLOOKUP(Fact_Administrativa[[#This Row], [Concepto Anterior]],Conceptos_Administrativa[#All],5,0),"")</f>
        <v>Facturas Procesadas por Marca</v>
      </c>
      <c r="F514" t="str">
        <f ca="1">+IFERROR(VLOOKUP(Fact_Administrativa[[#This Row], [Concepto Anterior]],Conceptos_Administrativa[#All],7,0),"")</f>
        <v/>
      </c>
      <c r="G514" t="s">
        <v>54</v>
      </c>
      <c r="H514" t="s">
        <v>172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93">
        <v>54</v>
      </c>
    </row>
    <row r="515" spans="1:11" ht="18.75" customHeight="1" x14ac:dyDescent="0.35">
      <c r="A515" s="93">
        <v>2025</v>
      </c>
      <c r="B515" s="106" t="s">
        <v>178</v>
      </c>
      <c r="C515" s="100">
        <f>IF(OR(Fact_Administrativa[[#This Row], [Año]]="",Fact_Administrativa[[#This Row], [Mes]]=""),"",DATE(A515,MATCH(B515,{"enero","febrero","marzo","abril","mayo","junio","julio","agosto","septiembre","octubre","noviembre","diciembre"},0)+1,0))</f>
        <v>45838</v>
      </c>
      <c r="D515" t="s">
        <v>55</v>
      </c>
      <c r="E515" t="str">
        <f>+IFERROR(VLOOKUP(Fact_Administrativa[[#This Row], [Concepto Anterior]],Conceptos_Administrativa[#All],5,0),"")</f>
        <v>Facturas Procesadas por Marca</v>
      </c>
      <c r="F515" t="str">
        <f ca="1">+IFERROR(VLOOKUP(Fact_Administrativa[[#This Row], [Concepto Anterior]],Conceptos_Administrativa[#All],7,0),"")</f>
        <v/>
      </c>
      <c r="G515" t="s">
        <v>56</v>
      </c>
      <c r="H515" t="s">
        <v>172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93">
        <v>158</v>
      </c>
    </row>
    <row r="516" spans="1:11" ht="18.75" customHeight="1" x14ac:dyDescent="0.35">
      <c r="A516" s="93">
        <v>2025</v>
      </c>
      <c r="B516" s="106" t="s">
        <v>178</v>
      </c>
      <c r="C516" s="100">
        <f>IF(OR(Fact_Administrativa[[#This Row], [Año]]="",Fact_Administrativa[[#This Row], [Mes]]=""),"",DATE(A516,MATCH(B516,{"enero","febrero","marzo","abril","mayo","junio","julio","agosto","septiembre","octubre","noviembre","diciembre"},0)+1,0))</f>
        <v>45838</v>
      </c>
      <c r="D516" t="s">
        <v>57</v>
      </c>
      <c r="E516" t="str">
        <f>+IFERROR(VLOOKUP(Fact_Administrativa[[#This Row], [Concepto Anterior]],Conceptos_Administrativa[#All],5,0),"")</f>
        <v>Facturas Procesadas por Marca</v>
      </c>
      <c r="F516" t="str">
        <f ca="1">+IFERROR(VLOOKUP(Fact_Administrativa[[#This Row], [Concepto Anterior]],Conceptos_Administrativa[#All],7,0),"")</f>
        <v/>
      </c>
      <c r="G516" t="s">
        <v>58</v>
      </c>
      <c r="H516" t="s">
        <v>172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93">
        <v>65</v>
      </c>
    </row>
    <row r="517" spans="1:11" ht="18.75" customHeight="1" x14ac:dyDescent="0.35">
      <c r="A517" s="93">
        <v>2025</v>
      </c>
      <c r="B517" s="106" t="s">
        <v>178</v>
      </c>
      <c r="C517" s="100">
        <f>IF(OR(Fact_Administrativa[[#This Row], [Año]]="",Fact_Administrativa[[#This Row], [Mes]]=""),"",DATE(A517,MATCH(B517,{"enero","febrero","marzo","abril","mayo","junio","julio","agosto","septiembre","octubre","noviembre","diciembre"},0)+1,0))</f>
        <v>45838</v>
      </c>
      <c r="D517" t="s">
        <v>28</v>
      </c>
      <c r="E517" t="str">
        <f>+IFERROR(VLOOKUP(Fact_Administrativa[[#This Row], [Concepto Anterior]],Conceptos_Administrativa[#All],5,0),"")</f>
        <v xml:space="preserve">Ahorro reformas tiendas </v>
      </c>
      <c r="F517" t="str">
        <f ca="1">+IFERROR(VLOOKUP(Fact_Administrativa[[#This Row], [Concepto Anterior]],Conceptos_Administrativa[#All],7,0),"")</f>
        <v/>
      </c>
      <c r="G517" t="s">
        <v>172</v>
      </c>
      <c r="H517" t="s">
        <v>172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93">
        <v>0</v>
      </c>
    </row>
    <row r="518" spans="1:11" ht="18.75" customHeight="1" x14ac:dyDescent="0.35">
      <c r="A518" s="93">
        <v>2025</v>
      </c>
      <c r="B518" s="106" t="s">
        <v>178</v>
      </c>
      <c r="C518" s="100">
        <f>IF(OR(Fact_Administrativa[[#This Row], [Año]]="",Fact_Administrativa[[#This Row], [Mes]]=""),"",DATE(A518,MATCH(B518,{"enero","febrero","marzo","abril","mayo","junio","julio","agosto","septiembre","octubre","noviembre","diciembre"},0)+1,0))</f>
        <v>45838</v>
      </c>
      <c r="D518" t="s">
        <v>211</v>
      </c>
      <c r="E518" t="str">
        <f>+IFERROR(VLOOKUP(Fact_Administrativa[[#This Row], [Concepto Anterior]],Conceptos_Administrativa[#All],5,0),"")</f>
        <v>Noches hospedaje</v>
      </c>
      <c r="F518" t="str">
        <f ca="1">+IFERROR(VLOOKUP(Fact_Administrativa[[#This Row], [Concepto Anterior]],Conceptos_Administrativa[#All],7,0),"")</f>
        <v/>
      </c>
      <c r="G518" t="s">
        <v>172</v>
      </c>
      <c r="H518" t="s">
        <v>172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93">
        <v>305</v>
      </c>
    </row>
    <row r="519" spans="1:11" ht="18.75" customHeight="1" x14ac:dyDescent="0.35">
      <c r="A519" s="93">
        <v>2025</v>
      </c>
      <c r="B519" s="106" t="s">
        <v>178</v>
      </c>
      <c r="C519" s="100">
        <f>IF(OR(Fact_Administrativa[[#This Row], [Año]]="",Fact_Administrativa[[#This Row], [Mes]]=""),"",DATE(A519,MATCH(B519,{"enero","febrero","marzo","abril","mayo","junio","julio","agosto","septiembre","octubre","noviembre","diciembre"},0)+1,0))</f>
        <v>45838</v>
      </c>
      <c r="D519" t="s">
        <v>29</v>
      </c>
      <c r="E519" t="str">
        <f>+IFERROR(VLOOKUP(Fact_Administrativa[[#This Row], [Concepto Anterior]],Conceptos_Administrativa[#All],5,0),"")</f>
        <v>Recuperaciones Siniestros</v>
      </c>
      <c r="F519" t="str">
        <f ca="1">+IFERROR(VLOOKUP(Fact_Administrativa[[#This Row], [Concepto Anterior]],Conceptos_Administrativa[#All],7,0),"")</f>
        <v/>
      </c>
      <c r="G519" t="s">
        <v>172</v>
      </c>
      <c r="H519" t="s">
        <v>172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93">
        <v>0</v>
      </c>
    </row>
    <row r="520" spans="1:11" ht="18.75" customHeight="1" x14ac:dyDescent="0.35">
      <c r="A520" s="93">
        <v>2025</v>
      </c>
      <c r="B520" s="106" t="s">
        <v>178</v>
      </c>
      <c r="C520" s="100">
        <f>IF(OR(Fact_Administrativa[[#This Row], [Año]]="",Fact_Administrativa[[#This Row], [Mes]]=""),"",DATE(A520,MATCH(B520,{"enero","febrero","marzo","abril","mayo","junio","julio","agosto","septiembre","octubre","noviembre","diciembre"},0)+1,0))</f>
        <v>45838</v>
      </c>
      <c r="D520" t="s">
        <v>30</v>
      </c>
      <c r="E520" t="str">
        <f>+IFERROR(VLOOKUP(Fact_Administrativa[[#This Row], [Concepto Anterior]],Conceptos_Administrativa[#All],5,0),"")</f>
        <v>Gestión de Polizas</v>
      </c>
      <c r="F520" t="str">
        <f ca="1">+IFERROR(VLOOKUP(Fact_Administrativa[[#This Row], [Concepto Anterior]],Conceptos_Administrativa[#All],7,0),"")</f>
        <v/>
      </c>
      <c r="G520" t="s">
        <v>172</v>
      </c>
      <c r="H520" t="s">
        <v>172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93">
        <v>0</v>
      </c>
    </row>
    <row r="521" spans="1:11" ht="18.75" customHeight="1" x14ac:dyDescent="0.35">
      <c r="A521" s="93">
        <v>2025</v>
      </c>
      <c r="B521" s="106" t="s">
        <v>178</v>
      </c>
      <c r="C521" s="100">
        <f>IF(OR(Fact_Administrativa[[#This Row], [Año]]="",Fact_Administrativa[[#This Row], [Mes]]=""),"",DATE(A521,MATCH(B521,{"enero","febrero","marzo","abril","mayo","junio","julio","agosto","septiembre","octubre","noviembre","diciembre"},0)+1,0))</f>
        <v>45838</v>
      </c>
      <c r="D521" t="s">
        <v>212</v>
      </c>
      <c r="E521" t="str">
        <f>+IFERROR(VLOOKUP(Fact_Administrativa[[#This Row], [Concepto Anterior]],Conceptos_Administrativa[#All],5,0),"")</f>
        <v>Total tickets recibidos</v>
      </c>
      <c r="F521" t="str">
        <f ca="1">+IFERROR(VLOOKUP(Fact_Administrativa[[#This Row], [Concepto Anterior]],Conceptos_Administrativa[#All],7,0),"")</f>
        <v/>
      </c>
      <c r="G521" t="s">
        <v>172</v>
      </c>
      <c r="H521" t="s">
        <v>172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93">
        <v>1617</v>
      </c>
    </row>
    <row r="522" spans="1:11" ht="18.75" customHeight="1" x14ac:dyDescent="0.35">
      <c r="A522" s="93">
        <v>2025</v>
      </c>
      <c r="B522" s="106" t="s">
        <v>178</v>
      </c>
      <c r="C522" s="100">
        <f>IF(OR(Fact_Administrativa[[#This Row], [Año]]="",Fact_Administrativa[[#This Row], [Mes]]=""),"",DATE(A522,MATCH(B522,{"enero","febrero","marzo","abril","mayo","junio","julio","agosto","septiembre","octubre","noviembre","diciembre"},0)+1,0))</f>
        <v>45838</v>
      </c>
      <c r="D522" t="s">
        <v>213</v>
      </c>
      <c r="E522" t="str">
        <f>+IFERROR(VLOOKUP(Fact_Administrativa[[#This Row], [Concepto Anterior]],Conceptos_Administrativa[#All],5,0),"")</f>
        <v>Tickets Cerrados con ANS</v>
      </c>
      <c r="F522" t="str">
        <f ca="1">+IFERROR(VLOOKUP(Fact_Administrativa[[#This Row], [Concepto Anterior]],Conceptos_Administrativa[#All],7,0),"")</f>
        <v/>
      </c>
      <c r="G522" t="s">
        <v>172</v>
      </c>
      <c r="H522" t="s">
        <v>172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93">
        <v>1324</v>
      </c>
    </row>
    <row r="523" spans="1:11" ht="18.75" customHeight="1" x14ac:dyDescent="0.35">
      <c r="A523" s="93">
        <v>2025</v>
      </c>
      <c r="B523" s="106" t="s">
        <v>178</v>
      </c>
      <c r="C523" s="100">
        <f>IF(OR(Fact_Administrativa[[#This Row], [Año]]="",Fact_Administrativa[[#This Row], [Mes]]=""),"",DATE(A523,MATCH(B523,{"enero","febrero","marzo","abril","mayo","junio","julio","agosto","septiembre","octubre","noviembre","diciembre"},0)+1,0))</f>
        <v>45838</v>
      </c>
      <c r="D523" t="s">
        <v>214</v>
      </c>
      <c r="E523" t="str">
        <f>+IFERROR(VLOOKUP(Fact_Administrativa[[#This Row], [Concepto Anterior]],Conceptos_Administrativa[#All],5,0),"")</f>
        <v>Tickets Vencidos</v>
      </c>
      <c r="F523" t="str">
        <f ca="1">+IFERROR(VLOOKUP(Fact_Administrativa[[#This Row], [Concepto Anterior]],Conceptos_Administrativa[#All],7,0),"")</f>
        <v/>
      </c>
      <c r="G523" t="s">
        <v>172</v>
      </c>
      <c r="H523" t="s">
        <v>172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93">
        <v>409</v>
      </c>
    </row>
    <row r="524" spans="1:11" ht="18.75" customHeight="1" x14ac:dyDescent="0.35">
      <c r="A524" s="93">
        <v>2025</v>
      </c>
      <c r="B524" s="106" t="s">
        <v>179</v>
      </c>
      <c r="C524" s="100">
        <f>IF(OR(Fact_Administrativa[[#This Row], [Año]]="",Fact_Administrativa[[#This Row], [Mes]]=""),"",DATE(A524,MATCH(B524,{"enero","febrero","marzo","abril","mayo","junio","julio","agosto","septiembre","octubre","noviembre","diciembre"},0)+1,0))</f>
        <v>45869</v>
      </c>
      <c r="D524" t="s">
        <v>27</v>
      </c>
      <c r="E524" t="str">
        <f>+IFERROR(VLOOKUP(Fact_Administrativa[[#This Row], [Concepto Anterior]],Conceptos_Administrativa[#All],5,0),"")</f>
        <v>Ahorro energía</v>
      </c>
      <c r="F524" t="str">
        <f ca="1">+IFERROR(VLOOKUP(Fact_Administrativa[[#This Row], [Concepto Anterior]],Conceptos_Administrativa[#All],7,0),"")</f>
        <v/>
      </c>
      <c r="G524" t="s">
        <v>172</v>
      </c>
      <c r="H524" t="s">
        <v>172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93">
        <v>0</v>
      </c>
    </row>
    <row r="525" spans="1:11" ht="18.75" customHeight="1" x14ac:dyDescent="0.35">
      <c r="A525" s="93">
        <v>2025</v>
      </c>
      <c r="B525" s="106" t="s">
        <v>179</v>
      </c>
      <c r="C525" s="100">
        <f>IF(OR(Fact_Administrativa[[#This Row], [Año]]="",Fact_Administrativa[[#This Row], [Mes]]=""),"",DATE(A525,MATCH(B525,{"enero","febrero","marzo","abril","mayo","junio","julio","agosto","septiembre","octubre","noviembre","diciembre"},0)+1,0))</f>
        <v>45869</v>
      </c>
      <c r="D525" t="s">
        <v>118</v>
      </c>
      <c r="E525" t="str">
        <f>+IFERROR(VLOOKUP(Fact_Administrativa[[#This Row], [Concepto Anterior]],Conceptos_Administrativa[#All],5,0),"")</f>
        <v xml:space="preserve">Cant. reformas tiendas </v>
      </c>
      <c r="F525" t="str">
        <f ca="1">+IFERROR(VLOOKUP(Fact_Administrativa[[#This Row], [Concepto Anterior]],Conceptos_Administrativa[#All],7,0),"")</f>
        <v/>
      </c>
      <c r="G525" t="s">
        <v>172</v>
      </c>
      <c r="H525" t="s">
        <v>172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93">
        <v>0</v>
      </c>
    </row>
    <row r="526" spans="1:11" ht="18.75" customHeight="1" x14ac:dyDescent="0.35">
      <c r="A526" s="93">
        <v>2025</v>
      </c>
      <c r="B526" s="106" t="s">
        <v>179</v>
      </c>
      <c r="C526" s="100">
        <f>IF(OR(Fact_Administrativa[[#This Row], [Año]]="",Fact_Administrativa[[#This Row], [Mes]]=""),"",DATE(A526,MATCH(B526,{"enero","febrero","marzo","abril","mayo","junio","julio","agosto","septiembre","octubre","noviembre","diciembre"},0)+1,0))</f>
        <v>45869</v>
      </c>
      <c r="D526" t="s">
        <v>40</v>
      </c>
      <c r="E526" t="str">
        <f>+IFERROR(VLOOKUP(Fact_Administrativa[[#This Row], [Concepto Anterior]],Conceptos_Administrativa[#All],5,0),"")</f>
        <v xml:space="preserve">Contratos de arrendamientos </v>
      </c>
      <c r="F526" t="str">
        <f ca="1">+IFERROR(VLOOKUP(Fact_Administrativa[[#This Row], [Concepto Anterior]],Conceptos_Administrativa[#All],7,0),"")</f>
        <v/>
      </c>
      <c r="G526" t="s">
        <v>172</v>
      </c>
      <c r="H526" t="s">
        <v>172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93">
        <v>458</v>
      </c>
    </row>
    <row r="527" spans="1:11" ht="18.75" customHeight="1" x14ac:dyDescent="0.35">
      <c r="A527" s="93">
        <v>2025</v>
      </c>
      <c r="B527" s="106" t="s">
        <v>179</v>
      </c>
      <c r="C527" s="100">
        <f>IF(OR(Fact_Administrativa[[#This Row], [Año]]="",Fact_Administrativa[[#This Row], [Mes]]=""),"",DATE(A527,MATCH(B527,{"enero","febrero","marzo","abril","mayo","junio","julio","agosto","septiembre","octubre","noviembre","diciembre"},0)+1,0))</f>
        <v>45869</v>
      </c>
      <c r="D527" t="s">
        <v>25</v>
      </c>
      <c r="E527" t="str">
        <f>+IFERROR(VLOOKUP(Fact_Administrativa[[#This Row], [Concepto Anterior]],Conceptos_Administrativa[#All],5,0),"")</f>
        <v>Control Ingresos cede Dogama</v>
      </c>
      <c r="F527" t="str">
        <f ca="1">+IFERROR(VLOOKUP(Fact_Administrativa[[#This Row], [Concepto Anterior]],Conceptos_Administrativa[#All],7,0),"")</f>
        <v/>
      </c>
      <c r="G527" t="s">
        <v>172</v>
      </c>
      <c r="H527" t="s">
        <v>172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93">
        <v>28995</v>
      </c>
    </row>
    <row r="528" spans="1:11" ht="18.75" customHeight="1" x14ac:dyDescent="0.35">
      <c r="A528" s="93">
        <v>2025</v>
      </c>
      <c r="B528" s="106" t="s">
        <v>179</v>
      </c>
      <c r="C528" s="100">
        <f>IF(OR(Fact_Administrativa[[#This Row], [Año]]="",Fact_Administrativa[[#This Row], [Mes]]=""),"",DATE(A528,MATCH(B528,{"enero","febrero","marzo","abril","mayo","junio","julio","agosto","septiembre","octubre","noviembre","diciembre"},0)+1,0))</f>
        <v>45869</v>
      </c>
      <c r="D528" t="s">
        <v>209</v>
      </c>
      <c r="E528" t="str">
        <f>+IFERROR(VLOOKUP(Fact_Administrativa[[#This Row], [Concepto Anterior]],Conceptos_Administrativa[#All],5,0),"")</f>
        <v>Emisiones CO²</v>
      </c>
      <c r="F528" t="str">
        <f ca="1">+IFERROR(VLOOKUP(Fact_Administrativa[[#This Row], [Concepto Anterior]],Conceptos_Administrativa[#All],7,0),"")</f>
        <v/>
      </c>
      <c r="G528" t="s">
        <v>172</v>
      </c>
      <c r="H528" t="s">
        <v>172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07">
        <v>29.2</v>
      </c>
    </row>
    <row r="529" spans="1:11" ht="18.75" customHeight="1" x14ac:dyDescent="0.35">
      <c r="A529" s="93">
        <v>2025</v>
      </c>
      <c r="B529" s="106" t="s">
        <v>179</v>
      </c>
      <c r="C529" s="100">
        <f>IF(OR(Fact_Administrativa[[#This Row], [Año]]="",Fact_Administrativa[[#This Row], [Mes]]=""),"",DATE(A529,MATCH(B529,{"enero","febrero","marzo","abril","mayo","junio","julio","agosto","septiembre","octubre","noviembre","diciembre"},0)+1,0))</f>
        <v>45869</v>
      </c>
      <c r="D529" t="s">
        <v>38</v>
      </c>
      <c r="E529" t="str">
        <f>+IFERROR(VLOOKUP(Fact_Administrativa[[#This Row], [Concepto Anterior]],Conceptos_Administrativa[#All],5,0),"")</f>
        <v>Facturas de arrendamientos y administración</v>
      </c>
      <c r="F529" t="str">
        <f ca="1">+IFERROR(VLOOKUP(Fact_Administrativa[[#This Row], [Concepto Anterior]],Conceptos_Administrativa[#All],7,0),"")</f>
        <v/>
      </c>
      <c r="G529" t="s">
        <v>172</v>
      </c>
      <c r="H529" t="s">
        <v>172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93">
        <v>1095</v>
      </c>
    </row>
    <row r="530" spans="1:11" ht="18.75" customHeight="1" x14ac:dyDescent="0.35">
      <c r="A530" s="93">
        <v>2025</v>
      </c>
      <c r="B530" s="106" t="s">
        <v>179</v>
      </c>
      <c r="C530" s="100">
        <f>IF(OR(Fact_Administrativa[[#This Row], [Año]]="",Fact_Administrativa[[#This Row], [Mes]]=""),"",DATE(A530,MATCH(B530,{"enero","febrero","marzo","abril","mayo","junio","julio","agosto","septiembre","octubre","noviembre","diciembre"},0)+1,0))</f>
        <v>45869</v>
      </c>
      <c r="D530" t="s">
        <v>41</v>
      </c>
      <c r="E530" t="str">
        <f>+IFERROR(VLOOKUP(Fact_Administrativa[[#This Row], [Concepto Anterior]],Conceptos_Administrativa[#All],5,0),"")</f>
        <v>Facturas Procesadas por Marca</v>
      </c>
      <c r="F530" t="str">
        <f ca="1">+IFERROR(VLOOKUP(Fact_Administrativa[[#This Row], [Concepto Anterior]],Conceptos_Administrativa[#All],7,0),"")</f>
        <v/>
      </c>
      <c r="G530" t="s">
        <v>42</v>
      </c>
      <c r="H530" t="s">
        <v>172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93">
        <v>436</v>
      </c>
    </row>
    <row r="531" spans="1:11" ht="18.75" customHeight="1" x14ac:dyDescent="0.35">
      <c r="A531" s="93">
        <v>2025</v>
      </c>
      <c r="B531" s="106" t="s">
        <v>179</v>
      </c>
      <c r="C531" s="100">
        <f>IF(OR(Fact_Administrativa[[#This Row], [Año]]="",Fact_Administrativa[[#This Row], [Mes]]=""),"",DATE(A531,MATCH(B531,{"enero","febrero","marzo","abril","mayo","junio","julio","agosto","septiembre","octubre","noviembre","diciembre"},0)+1,0))</f>
        <v>45869</v>
      </c>
      <c r="D531" t="s">
        <v>41</v>
      </c>
      <c r="E531" t="str">
        <f>+IFERROR(VLOOKUP(Fact_Administrativa[[#This Row], [Concepto Anterior]],Conceptos_Administrativa[#All],5,0),"")</f>
        <v>Facturas Procesadas por Marca</v>
      </c>
      <c r="F531" t="str">
        <f ca="1">+IFERROR(VLOOKUP(Fact_Administrativa[[#This Row], [Concepto Anterior]],Conceptos_Administrativa[#All],7,0),"")</f>
        <v/>
      </c>
      <c r="G531" t="s">
        <v>43</v>
      </c>
      <c r="H531" t="s">
        <v>172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93">
        <v>1553</v>
      </c>
    </row>
    <row r="532" spans="1:11" ht="18.75" customHeight="1" x14ac:dyDescent="0.35">
      <c r="A532" s="93">
        <v>2025</v>
      </c>
      <c r="B532" s="106" t="s">
        <v>179</v>
      </c>
      <c r="C532" s="100">
        <f>IF(OR(Fact_Administrativa[[#This Row], [Año]]="",Fact_Administrativa[[#This Row], [Mes]]=""),"",DATE(A532,MATCH(B532,{"enero","febrero","marzo","abril","mayo","junio","julio","agosto","septiembre","octubre","noviembre","diciembre"},0)+1,0))</f>
        <v>45869</v>
      </c>
      <c r="D532" t="s">
        <v>41</v>
      </c>
      <c r="E532" t="str">
        <f>+IFERROR(VLOOKUP(Fact_Administrativa[[#This Row], [Concepto Anterior]],Conceptos_Administrativa[#All],5,0),"")</f>
        <v>Facturas Procesadas por Marca</v>
      </c>
      <c r="F532" t="str">
        <f ca="1">+IFERROR(VLOOKUP(Fact_Administrativa[[#This Row], [Concepto Anterior]],Conceptos_Administrativa[#All],7,0),"")</f>
        <v/>
      </c>
      <c r="G532" t="s">
        <v>44</v>
      </c>
      <c r="H532" t="s">
        <v>172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93">
        <v>1220</v>
      </c>
    </row>
    <row r="533" spans="1:11" ht="18.75" customHeight="1" x14ac:dyDescent="0.35">
      <c r="A533" s="93">
        <v>2025</v>
      </c>
      <c r="B533" s="106" t="s">
        <v>179</v>
      </c>
      <c r="C533" s="100">
        <f>IF(OR(Fact_Administrativa[[#This Row], [Año]]="",Fact_Administrativa[[#This Row], [Mes]]=""),"",DATE(A533,MATCH(B533,{"enero","febrero","marzo","abril","mayo","junio","julio","agosto","septiembre","octubre","noviembre","diciembre"},0)+1,0))</f>
        <v>45869</v>
      </c>
      <c r="D533" t="s">
        <v>41</v>
      </c>
      <c r="E533" t="str">
        <f>+IFERROR(VLOOKUP(Fact_Administrativa[[#This Row], [Concepto Anterior]],Conceptos_Administrativa[#All],5,0),"")</f>
        <v>Facturas Procesadas por Marca</v>
      </c>
      <c r="F533" t="str">
        <f ca="1">+IFERROR(VLOOKUP(Fact_Administrativa[[#This Row], [Concepto Anterior]],Conceptos_Administrativa[#All],7,0),"")</f>
        <v/>
      </c>
      <c r="G533" t="s">
        <v>45</v>
      </c>
      <c r="H533" t="s">
        <v>172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93">
        <v>811</v>
      </c>
    </row>
    <row r="534" spans="1:11" ht="18.75" customHeight="1" x14ac:dyDescent="0.35">
      <c r="A534" s="93">
        <v>2025</v>
      </c>
      <c r="B534" s="106" t="s">
        <v>179</v>
      </c>
      <c r="C534" s="100">
        <f>IF(OR(Fact_Administrativa[[#This Row], [Año]]="",Fact_Administrativa[[#This Row], [Mes]]=""),"",DATE(A534,MATCH(B534,{"enero","febrero","marzo","abril","mayo","junio","julio","agosto","septiembre","octubre","noviembre","diciembre"},0)+1,0))</f>
        <v>45869</v>
      </c>
      <c r="D534" t="s">
        <v>41</v>
      </c>
      <c r="E534" t="str">
        <f>+IFERROR(VLOOKUP(Fact_Administrativa[[#This Row], [Concepto Anterior]],Conceptos_Administrativa[#All],5,0),"")</f>
        <v>Facturas Procesadas por Marca</v>
      </c>
      <c r="F534" t="str">
        <f ca="1">+IFERROR(VLOOKUP(Fact_Administrativa[[#This Row], [Concepto Anterior]],Conceptos_Administrativa[#All],7,0),"")</f>
        <v/>
      </c>
      <c r="G534" t="s">
        <v>46</v>
      </c>
      <c r="H534" t="s">
        <v>172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93">
        <v>419</v>
      </c>
    </row>
    <row r="535" spans="1:11" ht="18.75" customHeight="1" x14ac:dyDescent="0.35">
      <c r="A535" s="93">
        <v>2025</v>
      </c>
      <c r="B535" s="106" t="s">
        <v>179</v>
      </c>
      <c r="C535" s="100">
        <f>IF(OR(Fact_Administrativa[[#This Row], [Año]]="",Fact_Administrativa[[#This Row], [Mes]]=""),"",DATE(A535,MATCH(B535,{"enero","febrero","marzo","abril","mayo","junio","julio","agosto","septiembre","octubre","noviembre","diciembre"},0)+1,0))</f>
        <v>45869</v>
      </c>
      <c r="D535" t="s">
        <v>41</v>
      </c>
      <c r="E535" t="str">
        <f>+IFERROR(VLOOKUP(Fact_Administrativa[[#This Row], [Concepto Anterior]],Conceptos_Administrativa[#All],5,0),"")</f>
        <v>Facturas Procesadas por Marca</v>
      </c>
      <c r="F535" t="str">
        <f ca="1">+IFERROR(VLOOKUP(Fact_Administrativa[[#This Row], [Concepto Anterior]],Conceptos_Administrativa[#All],7,0),"")</f>
        <v/>
      </c>
      <c r="G535" t="s">
        <v>47</v>
      </c>
      <c r="H535" t="s">
        <v>172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93">
        <v>43</v>
      </c>
    </row>
    <row r="536" spans="1:11" ht="18.75" customHeight="1" x14ac:dyDescent="0.35">
      <c r="A536" s="93">
        <v>2025</v>
      </c>
      <c r="B536" s="106" t="s">
        <v>179</v>
      </c>
      <c r="C536" s="100">
        <f>IF(OR(Fact_Administrativa[[#This Row], [Año]]="",Fact_Administrativa[[#This Row], [Mes]]=""),"",DATE(A536,MATCH(B536,{"enero","febrero","marzo","abril","mayo","junio","julio","agosto","septiembre","octubre","noviembre","diciembre"},0)+1,0))</f>
        <v>45869</v>
      </c>
      <c r="D536" t="s">
        <v>41</v>
      </c>
      <c r="E536" t="str">
        <f>+IFERROR(VLOOKUP(Fact_Administrativa[[#This Row], [Concepto Anterior]],Conceptos_Administrativa[#All],5,0),"")</f>
        <v>Facturas Procesadas por Marca</v>
      </c>
      <c r="F536" t="str">
        <f ca="1">+IFERROR(VLOOKUP(Fact_Administrativa[[#This Row], [Concepto Anterior]],Conceptos_Administrativa[#All],7,0),"")</f>
        <v/>
      </c>
      <c r="G536" t="s">
        <v>48</v>
      </c>
      <c r="H536" t="s">
        <v>172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93">
        <v>1163</v>
      </c>
    </row>
    <row r="537" spans="1:11" ht="18.75" customHeight="1" x14ac:dyDescent="0.35">
      <c r="A537" s="93">
        <v>2025</v>
      </c>
      <c r="B537" s="106" t="s">
        <v>179</v>
      </c>
      <c r="C537" s="100">
        <f>IF(OR(Fact_Administrativa[[#This Row], [Año]]="",Fact_Administrativa[[#This Row], [Mes]]=""),"",DATE(A537,MATCH(B537,{"enero","febrero","marzo","abril","mayo","junio","julio","agosto","septiembre","octubre","noviembre","diciembre"},0)+1,0))</f>
        <v>45869</v>
      </c>
      <c r="D537" t="s">
        <v>41</v>
      </c>
      <c r="E537" t="str">
        <f>+IFERROR(VLOOKUP(Fact_Administrativa[[#This Row], [Concepto Anterior]],Conceptos_Administrativa[#All],5,0),"")</f>
        <v>Facturas Procesadas por Marca</v>
      </c>
      <c r="F537" t="str">
        <f ca="1">+IFERROR(VLOOKUP(Fact_Administrativa[[#This Row], [Concepto Anterior]],Conceptos_Administrativa[#All],7,0),"")</f>
        <v/>
      </c>
      <c r="G537" t="s">
        <v>49</v>
      </c>
      <c r="H537" t="s">
        <v>172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93">
        <v>1581</v>
      </c>
    </row>
    <row r="538" spans="1:11" ht="18.75" customHeight="1" x14ac:dyDescent="0.35">
      <c r="A538" s="93">
        <v>2025</v>
      </c>
      <c r="B538" s="106" t="s">
        <v>179</v>
      </c>
      <c r="C538" s="100">
        <f>IF(OR(Fact_Administrativa[[#This Row], [Año]]="",Fact_Administrativa[[#This Row], [Mes]]=""),"",DATE(A538,MATCH(B538,{"enero","febrero","marzo","abril","mayo","junio","julio","agosto","septiembre","octubre","noviembre","diciembre"},0)+1,0))</f>
        <v>45869</v>
      </c>
      <c r="D538" t="s">
        <v>41</v>
      </c>
      <c r="E538" t="str">
        <f>+IFERROR(VLOOKUP(Fact_Administrativa[[#This Row], [Concepto Anterior]],Conceptos_Administrativa[#All],5,0),"")</f>
        <v>Facturas Procesadas por Marca</v>
      </c>
      <c r="F538" t="str">
        <f ca="1">+IFERROR(VLOOKUP(Fact_Administrativa[[#This Row], [Concepto Anterior]],Conceptos_Administrativa[#All],7,0),"")</f>
        <v/>
      </c>
      <c r="G538" t="s">
        <v>50</v>
      </c>
      <c r="H538" t="s">
        <v>172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93">
        <v>1957</v>
      </c>
    </row>
    <row r="539" spans="1:11" ht="18.75" customHeight="1" x14ac:dyDescent="0.35">
      <c r="A539" s="93">
        <v>2025</v>
      </c>
      <c r="B539" s="106" t="s">
        <v>179</v>
      </c>
      <c r="C539" s="100">
        <f>IF(OR(Fact_Administrativa[[#This Row], [Año]]="",Fact_Administrativa[[#This Row], [Mes]]=""),"",DATE(A539,MATCH(B539,{"enero","febrero","marzo","abril","mayo","junio","julio","agosto","septiembre","octubre","noviembre","diciembre"},0)+1,0))</f>
        <v>45869</v>
      </c>
      <c r="D539" t="s">
        <v>41</v>
      </c>
      <c r="E539" t="str">
        <f>+IFERROR(VLOOKUP(Fact_Administrativa[[#This Row], [Concepto Anterior]],Conceptos_Administrativa[#All],5,0),"")</f>
        <v>Facturas Procesadas por Marca</v>
      </c>
      <c r="F539" t="str">
        <f ca="1">+IFERROR(VLOOKUP(Fact_Administrativa[[#This Row], [Concepto Anterior]],Conceptos_Administrativa[#All],7,0),"")</f>
        <v/>
      </c>
      <c r="G539" t="s">
        <v>121</v>
      </c>
      <c r="H539" t="s">
        <v>172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93">
        <v>265</v>
      </c>
    </row>
    <row r="540" spans="1:11" ht="18.75" customHeight="1" x14ac:dyDescent="0.35">
      <c r="A540" s="93">
        <v>2025</v>
      </c>
      <c r="B540" s="106" t="s">
        <v>179</v>
      </c>
      <c r="C540" s="100">
        <f>IF(OR(Fact_Administrativa[[#This Row], [Año]]="",Fact_Administrativa[[#This Row], [Mes]]=""),"",DATE(A540,MATCH(B540,{"enero","febrero","marzo","abril","mayo","junio","julio","agosto","septiembre","octubre","noviembre","diciembre"},0)+1,0))</f>
        <v>45869</v>
      </c>
      <c r="D540" t="s">
        <v>41</v>
      </c>
      <c r="E540" t="str">
        <f>+IFERROR(VLOOKUP(Fact_Administrativa[[#This Row], [Concepto Anterior]],Conceptos_Administrativa[#All],5,0),"")</f>
        <v>Facturas Procesadas por Marca</v>
      </c>
      <c r="F540" t="str">
        <f ca="1">+IFERROR(VLOOKUP(Fact_Administrativa[[#This Row], [Concepto Anterior]],Conceptos_Administrativa[#All],7,0),"")</f>
        <v/>
      </c>
      <c r="G540" t="s">
        <v>51</v>
      </c>
      <c r="H540" t="s">
        <v>172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93">
        <v>1285</v>
      </c>
    </row>
    <row r="541" spans="1:11" ht="18.75" customHeight="1" x14ac:dyDescent="0.35">
      <c r="A541" s="93">
        <v>2025</v>
      </c>
      <c r="B541" s="106" t="s">
        <v>179</v>
      </c>
      <c r="C541" s="100">
        <f>IF(OR(Fact_Administrativa[[#This Row], [Año]]="",Fact_Administrativa[[#This Row], [Mes]]=""),"",DATE(A541,MATCH(B541,{"enero","febrero","marzo","abril","mayo","junio","julio","agosto","septiembre","octubre","noviembre","diciembre"},0)+1,0))</f>
        <v>45869</v>
      </c>
      <c r="D541" t="s">
        <v>41</v>
      </c>
      <c r="E541" t="str">
        <f>+IFERROR(VLOOKUP(Fact_Administrativa[[#This Row], [Concepto Anterior]],Conceptos_Administrativa[#All],5,0),"")</f>
        <v>Facturas Procesadas por Marca</v>
      </c>
      <c r="F541" t="str">
        <f ca="1">+IFERROR(VLOOKUP(Fact_Administrativa[[#This Row], [Concepto Anterior]],Conceptos_Administrativa[#All],7,0),"")</f>
        <v/>
      </c>
      <c r="G541" t="s">
        <v>52</v>
      </c>
      <c r="H541" t="s">
        <v>172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93">
        <v>586</v>
      </c>
    </row>
    <row r="542" spans="1:11" ht="18.75" customHeight="1" x14ac:dyDescent="0.35">
      <c r="A542" s="93">
        <v>2025</v>
      </c>
      <c r="B542" s="106" t="s">
        <v>179</v>
      </c>
      <c r="C542" s="100">
        <f>IF(OR(Fact_Administrativa[[#This Row], [Año]]="",Fact_Administrativa[[#This Row], [Mes]]=""),"",DATE(A542,MATCH(B542,{"enero","febrero","marzo","abril","mayo","junio","julio","agosto","septiembre","octubre","noviembre","diciembre"},0)+1,0))</f>
        <v>45869</v>
      </c>
      <c r="D542" t="s">
        <v>41</v>
      </c>
      <c r="E542" t="str">
        <f>+IFERROR(VLOOKUP(Fact_Administrativa[[#This Row], [Concepto Anterior]],Conceptos_Administrativa[#All],5,0),"")</f>
        <v>Facturas Procesadas por Marca</v>
      </c>
      <c r="F542" t="str">
        <f ca="1">+IFERROR(VLOOKUP(Fact_Administrativa[[#This Row], [Concepto Anterior]],Conceptos_Administrativa[#All],7,0),"")</f>
        <v/>
      </c>
      <c r="G542" t="s">
        <v>53</v>
      </c>
      <c r="H542" t="s">
        <v>172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93">
        <v>346</v>
      </c>
    </row>
    <row r="543" spans="1:11" ht="18.75" customHeight="1" x14ac:dyDescent="0.35">
      <c r="A543" s="93">
        <v>2025</v>
      </c>
      <c r="B543" s="106" t="s">
        <v>179</v>
      </c>
      <c r="C543" s="100">
        <f>IF(OR(Fact_Administrativa[[#This Row], [Año]]="",Fact_Administrativa[[#This Row], [Mes]]=""),"",DATE(A543,MATCH(B543,{"enero","febrero","marzo","abril","mayo","junio","julio","agosto","septiembre","octubre","noviembre","diciembre"},0)+1,0))</f>
        <v>45869</v>
      </c>
      <c r="D543" t="s">
        <v>41</v>
      </c>
      <c r="E543" t="str">
        <f>+IFERROR(VLOOKUP(Fact_Administrativa[[#This Row], [Concepto Anterior]],Conceptos_Administrativa[#All],5,0),"")</f>
        <v>Facturas Procesadas por Marca</v>
      </c>
      <c r="F543" t="str">
        <f ca="1">+IFERROR(VLOOKUP(Fact_Administrativa[[#This Row], [Concepto Anterior]],Conceptos_Administrativa[#All],7,0),"")</f>
        <v/>
      </c>
      <c r="G543" t="s">
        <v>54</v>
      </c>
      <c r="H543" t="s">
        <v>172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93">
        <v>76</v>
      </c>
    </row>
    <row r="544" spans="1:11" ht="18.75" customHeight="1" x14ac:dyDescent="0.35">
      <c r="A544" s="93">
        <v>2025</v>
      </c>
      <c r="B544" s="106" t="s">
        <v>179</v>
      </c>
      <c r="C544" s="100">
        <f>IF(OR(Fact_Administrativa[[#This Row], [Año]]="",Fact_Administrativa[[#This Row], [Mes]]=""),"",DATE(A544,MATCH(B544,{"enero","febrero","marzo","abril","mayo","junio","julio","agosto","septiembre","octubre","noviembre","diciembre"},0)+1,0))</f>
        <v>45869</v>
      </c>
      <c r="D544" t="s">
        <v>55</v>
      </c>
      <c r="E544" t="str">
        <f>+IFERROR(VLOOKUP(Fact_Administrativa[[#This Row], [Concepto Anterior]],Conceptos_Administrativa[#All],5,0),"")</f>
        <v>Facturas Procesadas por Marca</v>
      </c>
      <c r="F544" t="str">
        <f ca="1">+IFERROR(VLOOKUP(Fact_Administrativa[[#This Row], [Concepto Anterior]],Conceptos_Administrativa[#All],7,0),"")</f>
        <v/>
      </c>
      <c r="G544" t="s">
        <v>56</v>
      </c>
      <c r="H544" t="s">
        <v>172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93">
        <v>130</v>
      </c>
    </row>
    <row r="545" spans="1:11" ht="18.75" customHeight="1" x14ac:dyDescent="0.35">
      <c r="A545" s="93">
        <v>2025</v>
      </c>
      <c r="B545" s="106" t="s">
        <v>179</v>
      </c>
      <c r="C545" s="100">
        <f>IF(OR(Fact_Administrativa[[#This Row], [Año]]="",Fact_Administrativa[[#This Row], [Mes]]=""),"",DATE(A545,MATCH(B545,{"enero","febrero","marzo","abril","mayo","junio","julio","agosto","septiembre","octubre","noviembre","diciembre"},0)+1,0))</f>
        <v>45869</v>
      </c>
      <c r="D545" t="s">
        <v>57</v>
      </c>
      <c r="E545" t="str">
        <f>+IFERROR(VLOOKUP(Fact_Administrativa[[#This Row], [Concepto Anterior]],Conceptos_Administrativa[#All],5,0),"")</f>
        <v>Facturas Procesadas por Marca</v>
      </c>
      <c r="F545" t="str">
        <f ca="1">+IFERROR(VLOOKUP(Fact_Administrativa[[#This Row], [Concepto Anterior]],Conceptos_Administrativa[#All],7,0),"")</f>
        <v/>
      </c>
      <c r="G545" t="s">
        <v>58</v>
      </c>
      <c r="H545" t="s">
        <v>172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93">
        <v>97</v>
      </c>
    </row>
    <row r="546" spans="1:11" ht="18.75" customHeight="1" x14ac:dyDescent="0.35">
      <c r="A546" s="93">
        <v>2025</v>
      </c>
      <c r="B546" s="106" t="s">
        <v>179</v>
      </c>
      <c r="C546" s="100">
        <f>IF(OR(Fact_Administrativa[[#This Row], [Año]]="",Fact_Administrativa[[#This Row], [Mes]]=""),"",DATE(A546,MATCH(B546,{"enero","febrero","marzo","abril","mayo","junio","julio","agosto","septiembre","octubre","noviembre","diciembre"},0)+1,0))</f>
        <v>45869</v>
      </c>
      <c r="D546" t="s">
        <v>28</v>
      </c>
      <c r="E546" t="str">
        <f>+IFERROR(VLOOKUP(Fact_Administrativa[[#This Row], [Concepto Anterior]],Conceptos_Administrativa[#All],5,0),"")</f>
        <v xml:space="preserve">Ahorro reformas tiendas </v>
      </c>
      <c r="F546" t="str">
        <f ca="1">+IFERROR(VLOOKUP(Fact_Administrativa[[#This Row], [Concepto Anterior]],Conceptos_Administrativa[#All],7,0),"")</f>
        <v/>
      </c>
      <c r="G546" t="s">
        <v>172</v>
      </c>
      <c r="H546" t="s">
        <v>172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93">
        <v>6697468</v>
      </c>
    </row>
    <row r="547" spans="1:11" ht="18.75" customHeight="1" x14ac:dyDescent="0.35">
      <c r="A547" s="93">
        <v>2025</v>
      </c>
      <c r="B547" s="106" t="s">
        <v>179</v>
      </c>
      <c r="C547" s="100">
        <f>IF(OR(Fact_Administrativa[[#This Row], [Año]]="",Fact_Administrativa[[#This Row], [Mes]]=""),"",DATE(A547,MATCH(B547,{"enero","febrero","marzo","abril","mayo","junio","julio","agosto","septiembre","octubre","noviembre","diciembre"},0)+1,0))</f>
        <v>45869</v>
      </c>
      <c r="D547" t="s">
        <v>211</v>
      </c>
      <c r="E547" t="str">
        <f>+IFERROR(VLOOKUP(Fact_Administrativa[[#This Row], [Concepto Anterior]],Conceptos_Administrativa[#All],5,0),"")</f>
        <v>Noches hospedaje</v>
      </c>
      <c r="F547" t="str">
        <f ca="1">+IFERROR(VLOOKUP(Fact_Administrativa[[#This Row], [Concepto Anterior]],Conceptos_Administrativa[#All],7,0),"")</f>
        <v/>
      </c>
      <c r="G547" t="s">
        <v>172</v>
      </c>
      <c r="H547" t="s">
        <v>172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93">
        <v>243</v>
      </c>
    </row>
    <row r="548" spans="1:11" ht="18.75" customHeight="1" x14ac:dyDescent="0.35">
      <c r="A548" s="93">
        <v>2025</v>
      </c>
      <c r="B548" s="106" t="s">
        <v>179</v>
      </c>
      <c r="C548" s="100">
        <f>IF(OR(Fact_Administrativa[[#This Row], [Año]]="",Fact_Administrativa[[#This Row], [Mes]]=""),"",DATE(A548,MATCH(B548,{"enero","febrero","marzo","abril","mayo","junio","julio","agosto","septiembre","octubre","noviembre","diciembre"},0)+1,0))</f>
        <v>45869</v>
      </c>
      <c r="D548" t="s">
        <v>29</v>
      </c>
      <c r="E548" t="str">
        <f>+IFERROR(VLOOKUP(Fact_Administrativa[[#This Row], [Concepto Anterior]],Conceptos_Administrativa[#All],5,0),"")</f>
        <v>Recuperaciones Siniestros</v>
      </c>
      <c r="F548" t="str">
        <f ca="1">+IFERROR(VLOOKUP(Fact_Administrativa[[#This Row], [Concepto Anterior]],Conceptos_Administrativa[#All],7,0),"")</f>
        <v/>
      </c>
      <c r="G548" t="s">
        <v>172</v>
      </c>
      <c r="H548" t="s">
        <v>172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93">
        <v>0</v>
      </c>
    </row>
    <row r="549" spans="1:11" ht="18.75" customHeight="1" x14ac:dyDescent="0.35">
      <c r="A549" s="93">
        <v>2025</v>
      </c>
      <c r="B549" s="106" t="s">
        <v>179</v>
      </c>
      <c r="C549" s="100">
        <f>IF(OR(Fact_Administrativa[[#This Row], [Año]]="",Fact_Administrativa[[#This Row], [Mes]]=""),"",DATE(A549,MATCH(B549,{"enero","febrero","marzo","abril","mayo","junio","julio","agosto","septiembre","octubre","noviembre","diciembre"},0)+1,0))</f>
        <v>45869</v>
      </c>
      <c r="D549" t="s">
        <v>30</v>
      </c>
      <c r="E549" t="str">
        <f>+IFERROR(VLOOKUP(Fact_Administrativa[[#This Row], [Concepto Anterior]],Conceptos_Administrativa[#All],5,0),"")</f>
        <v>Gestión de Polizas</v>
      </c>
      <c r="F549" t="str">
        <f ca="1">+IFERROR(VLOOKUP(Fact_Administrativa[[#This Row], [Concepto Anterior]],Conceptos_Administrativa[#All],7,0),"")</f>
        <v/>
      </c>
      <c r="G549" t="s">
        <v>172</v>
      </c>
      <c r="H549" t="s">
        <v>172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93">
        <v>0</v>
      </c>
    </row>
    <row r="550" spans="1:11" ht="18.75" customHeight="1" x14ac:dyDescent="0.35">
      <c r="A550" s="93">
        <v>2025</v>
      </c>
      <c r="B550" s="106" t="s">
        <v>179</v>
      </c>
      <c r="C550" s="100">
        <f>IF(OR(Fact_Administrativa[[#This Row], [Año]]="",Fact_Administrativa[[#This Row], [Mes]]=""),"",DATE(A550,MATCH(B550,{"enero","febrero","marzo","abril","mayo","junio","julio","agosto","septiembre","octubre","noviembre","diciembre"},0)+1,0))</f>
        <v>45869</v>
      </c>
      <c r="D550" t="s">
        <v>212</v>
      </c>
      <c r="E550" t="str">
        <f>+IFERROR(VLOOKUP(Fact_Administrativa[[#This Row], [Concepto Anterior]],Conceptos_Administrativa[#All],5,0),"")</f>
        <v>Total tickets recibidos</v>
      </c>
      <c r="F550" t="str">
        <f ca="1">+IFERROR(VLOOKUP(Fact_Administrativa[[#This Row], [Concepto Anterior]],Conceptos_Administrativa[#All],7,0),"")</f>
        <v/>
      </c>
      <c r="G550" t="s">
        <v>172</v>
      </c>
      <c r="H550" t="s">
        <v>172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93">
        <v>1423</v>
      </c>
    </row>
    <row r="551" spans="1:11" ht="18.75" customHeight="1" x14ac:dyDescent="0.35">
      <c r="A551" s="93">
        <v>2025</v>
      </c>
      <c r="B551" s="106" t="s">
        <v>179</v>
      </c>
      <c r="C551" s="100">
        <f>IF(OR(Fact_Administrativa[[#This Row], [Año]]="",Fact_Administrativa[[#This Row], [Mes]]=""),"",DATE(A551,MATCH(B551,{"enero","febrero","marzo","abril","mayo","junio","julio","agosto","septiembre","octubre","noviembre","diciembre"},0)+1,0))</f>
        <v>45869</v>
      </c>
      <c r="D551" t="s">
        <v>213</v>
      </c>
      <c r="E551" t="str">
        <f>+IFERROR(VLOOKUP(Fact_Administrativa[[#This Row], [Concepto Anterior]],Conceptos_Administrativa[#All],5,0),"")</f>
        <v>Tickets Cerrados con ANS</v>
      </c>
      <c r="F551" t="str">
        <f ca="1">+IFERROR(VLOOKUP(Fact_Administrativa[[#This Row], [Concepto Anterior]],Conceptos_Administrativa[#All],7,0),"")</f>
        <v/>
      </c>
      <c r="G551" t="s">
        <v>172</v>
      </c>
      <c r="H551" t="s">
        <v>172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93">
        <v>1093</v>
      </c>
    </row>
    <row r="552" spans="1:11" ht="18.75" customHeight="1" x14ac:dyDescent="0.35">
      <c r="A552" s="93">
        <v>2025</v>
      </c>
      <c r="B552" s="106" t="s">
        <v>179</v>
      </c>
      <c r="C552" s="100">
        <f>IF(OR(Fact_Administrativa[[#This Row], [Año]]="",Fact_Administrativa[[#This Row], [Mes]]=""),"",DATE(A552,MATCH(B552,{"enero","febrero","marzo","abril","mayo","junio","julio","agosto","septiembre","octubre","noviembre","diciembre"},0)+1,0))</f>
        <v>45869</v>
      </c>
      <c r="D552" t="s">
        <v>214</v>
      </c>
      <c r="E552" t="str">
        <f>+IFERROR(VLOOKUP(Fact_Administrativa[[#This Row], [Concepto Anterior]],Conceptos_Administrativa[#All],5,0),"")</f>
        <v>Tickets Vencidos</v>
      </c>
      <c r="F552" t="str">
        <f ca="1">+IFERROR(VLOOKUP(Fact_Administrativa[[#This Row], [Concepto Anterior]],Conceptos_Administrativa[#All],7,0),"")</f>
        <v/>
      </c>
      <c r="G552" t="s">
        <v>172</v>
      </c>
      <c r="H552" t="s">
        <v>172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93">
        <v>200</v>
      </c>
    </row>
    <row r="553" spans="1:11" ht="18.75" customHeight="1" x14ac:dyDescent="0.35">
      <c r="A553" s="93">
        <v>2025</v>
      </c>
      <c r="B553" s="106" t="s">
        <v>180</v>
      </c>
      <c r="C553" s="100">
        <f>IF(OR(Fact_Administrativa[[#This Row], [Año]]="",Fact_Administrativa[[#This Row], [Mes]]=""),"",DATE(A553,MATCH(B553,{"enero","febrero","marzo","abril","mayo","junio","julio","agosto","septiembre","octubre","noviembre","diciembre"},0)+1,0))</f>
        <v>45900</v>
      </c>
      <c r="D553" t="s">
        <v>41</v>
      </c>
      <c r="E553" t="str">
        <f>+IFERROR(VLOOKUP(Fact_Administrativa[[#This Row], [Concepto Anterior]],Conceptos_Administrativa[#All],5,0),"")</f>
        <v>Facturas Procesadas por Marca</v>
      </c>
      <c r="F553" t="str">
        <f ca="1">+IFERROR(VLOOKUP(Fact_Administrativa[[#This Row], [Concepto Anterior]],Conceptos_Administrativa[#All],7,0),"")</f>
        <v/>
      </c>
      <c r="G553" t="s">
        <v>42</v>
      </c>
      <c r="H553" t="s">
        <v>172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93">
        <v>857</v>
      </c>
    </row>
    <row r="554" spans="1:11" ht="18.75" customHeight="1" x14ac:dyDescent="0.35">
      <c r="A554" s="93">
        <v>2025</v>
      </c>
      <c r="B554" s="106" t="s">
        <v>180</v>
      </c>
      <c r="C554" s="100">
        <f>IF(OR(Fact_Administrativa[[#This Row], [Año]]="",Fact_Administrativa[[#This Row], [Mes]]=""),"",DATE(A554,MATCH(B554,{"enero","febrero","marzo","abril","mayo","junio","julio","agosto","septiembre","octubre","noviembre","diciembre"},0)+1,0))</f>
        <v>45900</v>
      </c>
      <c r="D554" t="s">
        <v>41</v>
      </c>
      <c r="E554" t="str">
        <f>+IFERROR(VLOOKUP(Fact_Administrativa[[#This Row], [Concepto Anterior]],Conceptos_Administrativa[#All],5,0),"")</f>
        <v>Facturas Procesadas por Marca</v>
      </c>
      <c r="F554" t="str">
        <f ca="1">+IFERROR(VLOOKUP(Fact_Administrativa[[#This Row], [Concepto Anterior]],Conceptos_Administrativa[#All],7,0),"")</f>
        <v/>
      </c>
      <c r="G554" t="s">
        <v>43</v>
      </c>
      <c r="H554" t="s">
        <v>172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93">
        <v>1298</v>
      </c>
    </row>
    <row r="555" spans="1:11" ht="18.75" customHeight="1" x14ac:dyDescent="0.35">
      <c r="A555" s="93">
        <v>2025</v>
      </c>
      <c r="B555" s="106" t="s">
        <v>180</v>
      </c>
      <c r="C555" s="100">
        <f>IF(OR(Fact_Administrativa[[#This Row], [Año]]="",Fact_Administrativa[[#This Row], [Mes]]=""),"",DATE(A555,MATCH(B555,{"enero","febrero","marzo","abril","mayo","junio","julio","agosto","septiembre","octubre","noviembre","diciembre"},0)+1,0))</f>
        <v>45900</v>
      </c>
      <c r="D555" t="s">
        <v>41</v>
      </c>
      <c r="E555" t="str">
        <f>+IFERROR(VLOOKUP(Fact_Administrativa[[#This Row], [Concepto Anterior]],Conceptos_Administrativa[#All],5,0),"")</f>
        <v>Facturas Procesadas por Marca</v>
      </c>
      <c r="F555" t="str">
        <f ca="1">+IFERROR(VLOOKUP(Fact_Administrativa[[#This Row], [Concepto Anterior]],Conceptos_Administrativa[#All],7,0),"")</f>
        <v/>
      </c>
      <c r="G555" t="s">
        <v>44</v>
      </c>
      <c r="H555" t="s">
        <v>172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93">
        <v>989</v>
      </c>
    </row>
    <row r="556" spans="1:11" ht="18.75" customHeight="1" x14ac:dyDescent="0.35">
      <c r="A556" s="93">
        <v>2025</v>
      </c>
      <c r="B556" s="106" t="s">
        <v>180</v>
      </c>
      <c r="C556" s="100">
        <f>IF(OR(Fact_Administrativa[[#This Row], [Año]]="",Fact_Administrativa[[#This Row], [Mes]]=""),"",DATE(A556,MATCH(B556,{"enero","febrero","marzo","abril","mayo","junio","julio","agosto","septiembre","octubre","noviembre","diciembre"},0)+1,0))</f>
        <v>45900</v>
      </c>
      <c r="D556" t="s">
        <v>41</v>
      </c>
      <c r="E556" t="str">
        <f>+IFERROR(VLOOKUP(Fact_Administrativa[[#This Row], [Concepto Anterior]],Conceptos_Administrativa[#All],5,0),"")</f>
        <v>Facturas Procesadas por Marca</v>
      </c>
      <c r="F556" t="str">
        <f ca="1">+IFERROR(VLOOKUP(Fact_Administrativa[[#This Row], [Concepto Anterior]],Conceptos_Administrativa[#All],7,0),"")</f>
        <v/>
      </c>
      <c r="G556" t="s">
        <v>45</v>
      </c>
      <c r="H556" t="s">
        <v>172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93">
        <v>704</v>
      </c>
    </row>
    <row r="557" spans="1:11" ht="18.75" customHeight="1" x14ac:dyDescent="0.35">
      <c r="A557" s="93">
        <v>2025</v>
      </c>
      <c r="B557" s="106" t="s">
        <v>180</v>
      </c>
      <c r="C557" s="100">
        <f>IF(OR(Fact_Administrativa[[#This Row], [Año]]="",Fact_Administrativa[[#This Row], [Mes]]=""),"",DATE(A557,MATCH(B557,{"enero","febrero","marzo","abril","mayo","junio","julio","agosto","septiembre","octubre","noviembre","diciembre"},0)+1,0))</f>
        <v>45900</v>
      </c>
      <c r="D557" t="s">
        <v>41</v>
      </c>
      <c r="E557" t="str">
        <f>+IFERROR(VLOOKUP(Fact_Administrativa[[#This Row], [Concepto Anterior]],Conceptos_Administrativa[#All],5,0),"")</f>
        <v>Facturas Procesadas por Marca</v>
      </c>
      <c r="F557" t="str">
        <f ca="1">+IFERROR(VLOOKUP(Fact_Administrativa[[#This Row], [Concepto Anterior]],Conceptos_Administrativa[#All],7,0),"")</f>
        <v/>
      </c>
      <c r="G557" t="s">
        <v>46</v>
      </c>
      <c r="H557" t="s">
        <v>172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93">
        <v>246</v>
      </c>
    </row>
    <row r="558" spans="1:11" ht="18.75" customHeight="1" x14ac:dyDescent="0.35">
      <c r="A558" s="93">
        <v>2025</v>
      </c>
      <c r="B558" s="106" t="s">
        <v>180</v>
      </c>
      <c r="C558" s="100">
        <f>IF(OR(Fact_Administrativa[[#This Row], [Año]]="",Fact_Administrativa[[#This Row], [Mes]]=""),"",DATE(A558,MATCH(B558,{"enero","febrero","marzo","abril","mayo","junio","julio","agosto","septiembre","octubre","noviembre","diciembre"},0)+1,0))</f>
        <v>45900</v>
      </c>
      <c r="D558" t="s">
        <v>41</v>
      </c>
      <c r="E558" t="str">
        <f>+IFERROR(VLOOKUP(Fact_Administrativa[[#This Row], [Concepto Anterior]],Conceptos_Administrativa[#All],5,0),"")</f>
        <v>Facturas Procesadas por Marca</v>
      </c>
      <c r="F558" t="str">
        <f ca="1">+IFERROR(VLOOKUP(Fact_Administrativa[[#This Row], [Concepto Anterior]],Conceptos_Administrativa[#All],7,0),"")</f>
        <v/>
      </c>
      <c r="G558" t="s">
        <v>47</v>
      </c>
      <c r="H558" t="s">
        <v>172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93">
        <v>44</v>
      </c>
    </row>
    <row r="559" spans="1:11" ht="18.75" customHeight="1" x14ac:dyDescent="0.35">
      <c r="A559" s="93">
        <v>2025</v>
      </c>
      <c r="B559" s="106" t="s">
        <v>180</v>
      </c>
      <c r="C559" s="100">
        <f>IF(OR(Fact_Administrativa[[#This Row], [Año]]="",Fact_Administrativa[[#This Row], [Mes]]=""),"",DATE(A559,MATCH(B559,{"enero","febrero","marzo","abril","mayo","junio","julio","agosto","septiembre","octubre","noviembre","diciembre"},0)+1,0))</f>
        <v>45900</v>
      </c>
      <c r="D559" t="s">
        <v>41</v>
      </c>
      <c r="E559" t="str">
        <f>+IFERROR(VLOOKUP(Fact_Administrativa[[#This Row], [Concepto Anterior]],Conceptos_Administrativa[#All],5,0),"")</f>
        <v>Facturas Procesadas por Marca</v>
      </c>
      <c r="F559" t="str">
        <f ca="1">+IFERROR(VLOOKUP(Fact_Administrativa[[#This Row], [Concepto Anterior]],Conceptos_Administrativa[#All],7,0),"")</f>
        <v/>
      </c>
      <c r="G559" t="s">
        <v>48</v>
      </c>
      <c r="H559" t="s">
        <v>172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93">
        <v>2020</v>
      </c>
    </row>
    <row r="560" spans="1:11" ht="18.75" customHeight="1" x14ac:dyDescent="0.35">
      <c r="A560" s="93">
        <v>2025</v>
      </c>
      <c r="B560" s="106" t="s">
        <v>180</v>
      </c>
      <c r="C560" s="100">
        <f>IF(OR(Fact_Administrativa[[#This Row], [Año]]="",Fact_Administrativa[[#This Row], [Mes]]=""),"",DATE(A560,MATCH(B560,{"enero","febrero","marzo","abril","mayo","junio","julio","agosto","septiembre","octubre","noviembre","diciembre"},0)+1,0))</f>
        <v>45900</v>
      </c>
      <c r="D560" t="s">
        <v>41</v>
      </c>
      <c r="E560" t="str">
        <f>+IFERROR(VLOOKUP(Fact_Administrativa[[#This Row], [Concepto Anterior]],Conceptos_Administrativa[#All],5,0),"")</f>
        <v>Facturas Procesadas por Marca</v>
      </c>
      <c r="F560" t="str">
        <f ca="1">+IFERROR(VLOOKUP(Fact_Administrativa[[#This Row], [Concepto Anterior]],Conceptos_Administrativa[#All],7,0),"")</f>
        <v/>
      </c>
      <c r="G560" t="s">
        <v>49</v>
      </c>
      <c r="H560" t="s">
        <v>172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93">
        <v>1782</v>
      </c>
    </row>
    <row r="561" spans="1:11" ht="18.75" customHeight="1" x14ac:dyDescent="0.35">
      <c r="A561" s="93">
        <v>2025</v>
      </c>
      <c r="B561" s="106" t="s">
        <v>180</v>
      </c>
      <c r="C561" s="100">
        <f>IF(OR(Fact_Administrativa[[#This Row], [Año]]="",Fact_Administrativa[[#This Row], [Mes]]=""),"",DATE(A561,MATCH(B561,{"enero","febrero","marzo","abril","mayo","junio","julio","agosto","septiembre","octubre","noviembre","diciembre"},0)+1,0))</f>
        <v>45900</v>
      </c>
      <c r="D561" t="s">
        <v>41</v>
      </c>
      <c r="E561" t="str">
        <f>+IFERROR(VLOOKUP(Fact_Administrativa[[#This Row], [Concepto Anterior]],Conceptos_Administrativa[#All],5,0),"")</f>
        <v>Facturas Procesadas por Marca</v>
      </c>
      <c r="F561" t="str">
        <f ca="1">+IFERROR(VLOOKUP(Fact_Administrativa[[#This Row], [Concepto Anterior]],Conceptos_Administrativa[#All],7,0),"")</f>
        <v/>
      </c>
      <c r="G561" t="s">
        <v>50</v>
      </c>
      <c r="H561" t="s">
        <v>172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93">
        <v>1504</v>
      </c>
    </row>
    <row r="562" spans="1:11" ht="18.75" customHeight="1" x14ac:dyDescent="0.35">
      <c r="A562" s="93">
        <v>2025</v>
      </c>
      <c r="B562" s="106" t="s">
        <v>180</v>
      </c>
      <c r="C562" s="100">
        <f>IF(OR(Fact_Administrativa[[#This Row], [Año]]="",Fact_Administrativa[[#This Row], [Mes]]=""),"",DATE(A562,MATCH(B562,{"enero","febrero","marzo","abril","mayo","junio","julio","agosto","septiembre","octubre","noviembre","diciembre"},0)+1,0))</f>
        <v>45900</v>
      </c>
      <c r="D562" t="s">
        <v>41</v>
      </c>
      <c r="E562" t="str">
        <f>+IFERROR(VLOOKUP(Fact_Administrativa[[#This Row], [Concepto Anterior]],Conceptos_Administrativa[#All],5,0),"")</f>
        <v>Facturas Procesadas por Marca</v>
      </c>
      <c r="F562" t="str">
        <f ca="1">+IFERROR(VLOOKUP(Fact_Administrativa[[#This Row], [Concepto Anterior]],Conceptos_Administrativa[#All],7,0),"")</f>
        <v/>
      </c>
      <c r="G562" t="s">
        <v>121</v>
      </c>
      <c r="H562" t="s">
        <v>172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93">
        <v>274</v>
      </c>
    </row>
    <row r="563" spans="1:11" ht="18.75" customHeight="1" x14ac:dyDescent="0.35">
      <c r="A563" s="93">
        <v>2025</v>
      </c>
      <c r="B563" s="106" t="s">
        <v>180</v>
      </c>
      <c r="C563" s="100">
        <f>IF(OR(Fact_Administrativa[[#This Row], [Año]]="",Fact_Administrativa[[#This Row], [Mes]]=""),"",DATE(A563,MATCH(B563,{"enero","febrero","marzo","abril","mayo","junio","julio","agosto","septiembre","octubre","noviembre","diciembre"},0)+1,0))</f>
        <v>45900</v>
      </c>
      <c r="D563" t="s">
        <v>41</v>
      </c>
      <c r="E563" t="str">
        <f>+IFERROR(VLOOKUP(Fact_Administrativa[[#This Row], [Concepto Anterior]],Conceptos_Administrativa[#All],5,0),"")</f>
        <v>Facturas Procesadas por Marca</v>
      </c>
      <c r="F563" t="str">
        <f ca="1">+IFERROR(VLOOKUP(Fact_Administrativa[[#This Row], [Concepto Anterior]],Conceptos_Administrativa[#All],7,0),"")</f>
        <v/>
      </c>
      <c r="G563" t="s">
        <v>51</v>
      </c>
      <c r="H563" t="s">
        <v>172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93">
        <v>1091</v>
      </c>
    </row>
    <row r="564" spans="1:11" ht="18.75" customHeight="1" x14ac:dyDescent="0.35">
      <c r="A564" s="93">
        <v>2025</v>
      </c>
      <c r="B564" s="106" t="s">
        <v>180</v>
      </c>
      <c r="C564" s="100">
        <f>IF(OR(Fact_Administrativa[[#This Row], [Año]]="",Fact_Administrativa[[#This Row], [Mes]]=""),"",DATE(A564,MATCH(B564,{"enero","febrero","marzo","abril","mayo","junio","julio","agosto","septiembre","octubre","noviembre","diciembre"},0)+1,0))</f>
        <v>45900</v>
      </c>
      <c r="D564" t="s">
        <v>41</v>
      </c>
      <c r="E564" t="str">
        <f>+IFERROR(VLOOKUP(Fact_Administrativa[[#This Row], [Concepto Anterior]],Conceptos_Administrativa[#All],5,0),"")</f>
        <v>Facturas Procesadas por Marca</v>
      </c>
      <c r="F564" t="str">
        <f ca="1">+IFERROR(VLOOKUP(Fact_Administrativa[[#This Row], [Concepto Anterior]],Conceptos_Administrativa[#All],7,0),"")</f>
        <v/>
      </c>
      <c r="G564" t="s">
        <v>52</v>
      </c>
      <c r="H564" t="s">
        <v>172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93">
        <v>507</v>
      </c>
    </row>
    <row r="565" spans="1:11" ht="18.75" customHeight="1" x14ac:dyDescent="0.35">
      <c r="A565" s="93">
        <v>2025</v>
      </c>
      <c r="B565" s="106" t="s">
        <v>180</v>
      </c>
      <c r="C565" s="100">
        <f>IF(OR(Fact_Administrativa[[#This Row], [Año]]="",Fact_Administrativa[[#This Row], [Mes]]=""),"",DATE(A565,MATCH(B565,{"enero","febrero","marzo","abril","mayo","junio","julio","agosto","septiembre","octubre","noviembre","diciembre"},0)+1,0))</f>
        <v>45900</v>
      </c>
      <c r="D565" t="s">
        <v>41</v>
      </c>
      <c r="E565" t="str">
        <f>+IFERROR(VLOOKUP(Fact_Administrativa[[#This Row], [Concepto Anterior]],Conceptos_Administrativa[#All],5,0),"")</f>
        <v>Facturas Procesadas por Marca</v>
      </c>
      <c r="F565" t="str">
        <f ca="1">+IFERROR(VLOOKUP(Fact_Administrativa[[#This Row], [Concepto Anterior]],Conceptos_Administrativa[#All],7,0),"")</f>
        <v/>
      </c>
      <c r="G565" t="s">
        <v>53</v>
      </c>
      <c r="H565" t="s">
        <v>172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93">
        <v>474</v>
      </c>
    </row>
    <row r="566" spans="1:11" ht="18.75" customHeight="1" x14ac:dyDescent="0.35">
      <c r="A566" s="93">
        <v>2025</v>
      </c>
      <c r="B566" s="106" t="s">
        <v>180</v>
      </c>
      <c r="C566" s="100">
        <f>IF(OR(Fact_Administrativa[[#This Row], [Año]]="",Fact_Administrativa[[#This Row], [Mes]]=""),"",DATE(A566,MATCH(B566,{"enero","febrero","marzo","abril","mayo","junio","julio","agosto","septiembre","octubre","noviembre","diciembre"},0)+1,0))</f>
        <v>45900</v>
      </c>
      <c r="D566" t="s">
        <v>41</v>
      </c>
      <c r="E566" t="str">
        <f>+IFERROR(VLOOKUP(Fact_Administrativa[[#This Row], [Concepto Anterior]],Conceptos_Administrativa[#All],5,0),"")</f>
        <v>Facturas Procesadas por Marca</v>
      </c>
      <c r="F566" t="str">
        <f ca="1">+IFERROR(VLOOKUP(Fact_Administrativa[[#This Row], [Concepto Anterior]],Conceptos_Administrativa[#All],7,0),"")</f>
        <v/>
      </c>
      <c r="G566" t="s">
        <v>54</v>
      </c>
      <c r="H566" t="s">
        <v>172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93">
        <v>64</v>
      </c>
    </row>
    <row r="567" spans="1:11" ht="18.75" customHeight="1" x14ac:dyDescent="0.35">
      <c r="A567" s="93">
        <v>2025</v>
      </c>
      <c r="B567" s="106" t="s">
        <v>180</v>
      </c>
      <c r="C567" s="100">
        <f>IF(OR(Fact_Administrativa[[#This Row], [Año]]="",Fact_Administrativa[[#This Row], [Mes]]=""),"",DATE(A567,MATCH(B567,{"enero","febrero","marzo","abril","mayo","junio","julio","agosto","septiembre","octubre","noviembre","diciembre"},0)+1,0))</f>
        <v>45900</v>
      </c>
      <c r="D567" t="s">
        <v>55</v>
      </c>
      <c r="E567" t="str">
        <f>+IFERROR(VLOOKUP(Fact_Administrativa[[#This Row], [Concepto Anterior]],Conceptos_Administrativa[#All],5,0),"")</f>
        <v>Facturas Procesadas por Marca</v>
      </c>
      <c r="F567" t="str">
        <f ca="1">+IFERROR(VLOOKUP(Fact_Administrativa[[#This Row], [Concepto Anterior]],Conceptos_Administrativa[#All],7,0),"")</f>
        <v/>
      </c>
      <c r="G567" t="s">
        <v>56</v>
      </c>
      <c r="H567" t="s">
        <v>172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93">
        <v>97</v>
      </c>
    </row>
    <row r="568" spans="1:11" ht="18.75" customHeight="1" x14ac:dyDescent="0.35">
      <c r="A568" s="93">
        <v>2025</v>
      </c>
      <c r="B568" s="106" t="s">
        <v>180</v>
      </c>
      <c r="C568" s="100">
        <f>IF(OR(Fact_Administrativa[[#This Row], [Año]]="",Fact_Administrativa[[#This Row], [Mes]]=""),"",DATE(A568,MATCH(B568,{"enero","febrero","marzo","abril","mayo","junio","julio","agosto","septiembre","octubre","noviembre","diciembre"},0)+1,0))</f>
        <v>45900</v>
      </c>
      <c r="D568" t="s">
        <v>57</v>
      </c>
      <c r="E568" t="str">
        <f>+IFERROR(VLOOKUP(Fact_Administrativa[[#This Row], [Concepto Anterior]],Conceptos_Administrativa[#All],5,0),"")</f>
        <v>Facturas Procesadas por Marca</v>
      </c>
      <c r="F568" t="str">
        <f ca="1">+IFERROR(VLOOKUP(Fact_Administrativa[[#This Row], [Concepto Anterior]],Conceptos_Administrativa[#All],7,0),"")</f>
        <v/>
      </c>
      <c r="G568" t="s">
        <v>58</v>
      </c>
      <c r="H568" t="s">
        <v>172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93">
        <v>60</v>
      </c>
    </row>
    <row r="569" spans="1:11" ht="18.75" customHeight="1" x14ac:dyDescent="0.35">
      <c r="A569" s="93">
        <v>2025</v>
      </c>
      <c r="B569" s="106" t="s">
        <v>180</v>
      </c>
      <c r="C569" s="100">
        <f>IF(OR(Fact_Administrativa[[#This Row], [Año]]="",Fact_Administrativa[[#This Row], [Mes]]=""),"",DATE(A569,MATCH(B569,{"enero","febrero","marzo","abril","mayo","junio","julio","agosto","septiembre","octubre","noviembre","diciembre"},0)+1,0))</f>
        <v>45900</v>
      </c>
      <c r="D569" t="s">
        <v>209</v>
      </c>
      <c r="E569" t="str">
        <f>+IFERROR(VLOOKUP(Fact_Administrativa[[#This Row], [Concepto Anterior]],Conceptos_Administrativa[#All],5,0),"")</f>
        <v>Emisiones CO²</v>
      </c>
      <c r="F569" t="str">
        <f ca="1">+IFERROR(VLOOKUP(Fact_Administrativa[[#This Row], [Concepto Anterior]],Conceptos_Administrativa[#All],7,0),"")</f>
        <v/>
      </c>
      <c r="G569" t="s">
        <v>172</v>
      </c>
      <c r="H569" t="s">
        <v>172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07">
        <v>29.5</v>
      </c>
    </row>
    <row r="570" spans="1:11" ht="18.75" customHeight="1" x14ac:dyDescent="0.35">
      <c r="A570" s="93">
        <v>2025</v>
      </c>
      <c r="B570" s="106" t="s">
        <v>180</v>
      </c>
      <c r="C570" s="100">
        <f>IF(OR(Fact_Administrativa[[#This Row], [Año]]="",Fact_Administrativa[[#This Row], [Mes]]=""),"",DATE(A570,MATCH(B570,{"enero","febrero","marzo","abril","mayo","junio","julio","agosto","septiembre","octubre","noviembre","diciembre"},0)+1,0))</f>
        <v>45900</v>
      </c>
      <c r="D570" t="s">
        <v>25</v>
      </c>
      <c r="E570" t="str">
        <f>+IFERROR(VLOOKUP(Fact_Administrativa[[#This Row], [Concepto Anterior]],Conceptos_Administrativa[#All],5,0),"")</f>
        <v>Control Ingresos cede Dogama</v>
      </c>
      <c r="F570" t="str">
        <f ca="1">+IFERROR(VLOOKUP(Fact_Administrativa[[#This Row], [Concepto Anterior]],Conceptos_Administrativa[#All],7,0),"")</f>
        <v/>
      </c>
      <c r="G570" t="s">
        <v>172</v>
      </c>
      <c r="H570" t="s">
        <v>172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93">
        <v>19089</v>
      </c>
    </row>
    <row r="571" spans="1:11" ht="18.75" customHeight="1" x14ac:dyDescent="0.35">
      <c r="A571" s="93">
        <v>2025</v>
      </c>
      <c r="B571" s="106" t="s">
        <v>180</v>
      </c>
      <c r="C571" s="100">
        <f>IF(OR(Fact_Administrativa[[#This Row], [Año]]="",Fact_Administrativa[[#This Row], [Mes]]=""),"",DATE(A571,MATCH(B571,{"enero","febrero","marzo","abril","mayo","junio","julio","agosto","septiembre","octubre","noviembre","diciembre"},0)+1,0))</f>
        <v>45900</v>
      </c>
      <c r="D571" t="s">
        <v>120</v>
      </c>
      <c r="E571" t="str">
        <f>+IFERROR(VLOOKUP(Fact_Administrativa[[#This Row], [Concepto Anterior]],Conceptos_Administrativa[#All],5,0),"")</f>
        <v xml:space="preserve">Contratos de arrendamientos </v>
      </c>
      <c r="F571" t="str">
        <f ca="1">+IFERROR(VLOOKUP(Fact_Administrativa[[#This Row], [Concepto Anterior]],Conceptos_Administrativa[#All],7,0),"")</f>
        <v/>
      </c>
      <c r="G571" t="s">
        <v>172</v>
      </c>
      <c r="H571" t="s">
        <v>172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93">
        <v>459</v>
      </c>
    </row>
    <row r="572" spans="1:11" ht="18.75" customHeight="1" x14ac:dyDescent="0.35">
      <c r="A572" s="93">
        <v>2025</v>
      </c>
      <c r="B572" s="106" t="s">
        <v>180</v>
      </c>
      <c r="C572" s="100">
        <f>IF(OR(Fact_Administrativa[[#This Row], [Año]]="",Fact_Administrativa[[#This Row], [Mes]]=""),"",DATE(A572,MATCH(B572,{"enero","febrero","marzo","abril","mayo","junio","julio","agosto","septiembre","octubre","noviembre","diciembre"},0)+1,0))</f>
        <v>45900</v>
      </c>
      <c r="D572" t="s">
        <v>38</v>
      </c>
      <c r="E572" t="str">
        <f>+IFERROR(VLOOKUP(Fact_Administrativa[[#This Row], [Concepto Anterior]],Conceptos_Administrativa[#All],5,0),"")</f>
        <v>Facturas de arrendamientos y administración</v>
      </c>
      <c r="F572" t="str">
        <f ca="1">+IFERROR(VLOOKUP(Fact_Administrativa[[#This Row], [Concepto Anterior]],Conceptos_Administrativa[#All],7,0),"")</f>
        <v/>
      </c>
      <c r="G572" t="s">
        <v>172</v>
      </c>
      <c r="H572" t="s">
        <v>172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93">
        <v>1069</v>
      </c>
    </row>
    <row r="573" spans="1:11" ht="18.75" customHeight="1" x14ac:dyDescent="0.35">
      <c r="A573" s="93">
        <v>2025</v>
      </c>
      <c r="B573" s="106" t="s">
        <v>180</v>
      </c>
      <c r="C573" s="100">
        <f>IF(OR(Fact_Administrativa[[#This Row], [Año]]="",Fact_Administrativa[[#This Row], [Mes]]=""),"",DATE(A573,MATCH(B573,{"enero","febrero","marzo","abril","mayo","junio","julio","agosto","septiembre","octubre","noviembre","diciembre"},0)+1,0))</f>
        <v>45900</v>
      </c>
      <c r="D573" t="s">
        <v>211</v>
      </c>
      <c r="E573" t="str">
        <f>+IFERROR(VLOOKUP(Fact_Administrativa[[#This Row], [Concepto Anterior]],Conceptos_Administrativa[#All],5,0),"")</f>
        <v>Noches hospedaje</v>
      </c>
      <c r="F573" t="str">
        <f ca="1">+IFERROR(VLOOKUP(Fact_Administrativa[[#This Row], [Concepto Anterior]],Conceptos_Administrativa[#All],7,0),"")</f>
        <v/>
      </c>
      <c r="G573" t="s">
        <v>172</v>
      </c>
      <c r="H573" t="s">
        <v>172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93">
        <v>238</v>
      </c>
    </row>
    <row r="574" spans="1:11" ht="18.75" customHeight="1" x14ac:dyDescent="0.35">
      <c r="A574" s="93">
        <v>2025</v>
      </c>
      <c r="B574" s="106" t="s">
        <v>180</v>
      </c>
      <c r="C574" s="100">
        <f>IF(OR(Fact_Administrativa[[#This Row], [Año]]="",Fact_Administrativa[[#This Row], [Mes]]=""),"",DATE(A574,MATCH(B574,{"enero","febrero","marzo","abril","mayo","junio","julio","agosto","septiembre","octubre","noviembre","diciembre"},0)+1,0))</f>
        <v>45900</v>
      </c>
      <c r="D574" t="s">
        <v>29</v>
      </c>
      <c r="E574" t="str">
        <f>+IFERROR(VLOOKUP(Fact_Administrativa[[#This Row], [Concepto Anterior]],Conceptos_Administrativa[#All],5,0),"")</f>
        <v>Recuperaciones Siniestros</v>
      </c>
      <c r="F574" t="str">
        <f ca="1">+IFERROR(VLOOKUP(Fact_Administrativa[[#This Row], [Concepto Anterior]],Conceptos_Administrativa[#All],7,0),"")</f>
        <v/>
      </c>
      <c r="G574" t="s">
        <v>172</v>
      </c>
      <c r="H574" t="s">
        <v>172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93">
        <v>8187944</v>
      </c>
    </row>
    <row r="575" spans="1:11" ht="18.75" customHeight="1" x14ac:dyDescent="0.35">
      <c r="A575" s="93">
        <v>2025</v>
      </c>
      <c r="B575" s="106" t="s">
        <v>180</v>
      </c>
      <c r="C575" s="100">
        <f>IF(OR(Fact_Administrativa[[#This Row], [Año]]="",Fact_Administrativa[[#This Row], [Mes]]=""),"",DATE(A575,MATCH(B575,{"enero","febrero","marzo","abril","mayo","junio","julio","agosto","septiembre","octubre","noviembre","diciembre"},0)+1,0))</f>
        <v>45900</v>
      </c>
      <c r="D575" t="s">
        <v>30</v>
      </c>
      <c r="E575" t="str">
        <f>+IFERROR(VLOOKUP(Fact_Administrativa[[#This Row], [Concepto Anterior]],Conceptos_Administrativa[#All],5,0),"")</f>
        <v>Gestión de Polizas</v>
      </c>
      <c r="F575" t="str">
        <f ca="1">+IFERROR(VLOOKUP(Fact_Administrativa[[#This Row], [Concepto Anterior]],Conceptos_Administrativa[#All],7,0),"")</f>
        <v/>
      </c>
      <c r="G575" t="s">
        <v>172</v>
      </c>
      <c r="H575" t="s">
        <v>172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93">
        <v>0</v>
      </c>
    </row>
    <row r="576" spans="1:11" ht="18.75" customHeight="1" x14ac:dyDescent="0.35">
      <c r="A576" s="93">
        <v>2025</v>
      </c>
      <c r="B576" s="106" t="s">
        <v>180</v>
      </c>
      <c r="C576" s="100">
        <f>IF(OR(Fact_Administrativa[[#This Row], [Año]]="",Fact_Administrativa[[#This Row], [Mes]]=""),"",DATE(A576,MATCH(B576,{"enero","febrero","marzo","abril","mayo","junio","julio","agosto","septiembre","octubre","noviembre","diciembre"},0)+1,0))</f>
        <v>45900</v>
      </c>
      <c r="D576" t="s">
        <v>27</v>
      </c>
      <c r="E576" t="str">
        <f>+IFERROR(VLOOKUP(Fact_Administrativa[[#This Row], [Concepto Anterior]],Conceptos_Administrativa[#All],5,0),"")</f>
        <v>Ahorro energía</v>
      </c>
      <c r="F576" t="str">
        <f ca="1">+IFERROR(VLOOKUP(Fact_Administrativa[[#This Row], [Concepto Anterior]],Conceptos_Administrativa[#All],7,0),"")</f>
        <v/>
      </c>
      <c r="G576" t="s">
        <v>172</v>
      </c>
      <c r="H576" t="s">
        <v>172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93">
        <v>57092516</v>
      </c>
    </row>
    <row r="577" spans="1:11" ht="18.75" customHeight="1" x14ac:dyDescent="0.35">
      <c r="A577" s="93">
        <v>2025</v>
      </c>
      <c r="B577" s="106" t="s">
        <v>180</v>
      </c>
      <c r="C577" s="100">
        <f>IF(OR(Fact_Administrativa[[#This Row], [Año]]="",Fact_Administrativa[[#This Row], [Mes]]=""),"",DATE(A577,MATCH(B577,{"enero","febrero","marzo","abril","mayo","junio","julio","agosto","septiembre","octubre","noviembre","diciembre"},0)+1,0))</f>
        <v>45900</v>
      </c>
      <c r="D577" t="s">
        <v>118</v>
      </c>
      <c r="E577" t="str">
        <f>+IFERROR(VLOOKUP(Fact_Administrativa[[#This Row], [Concepto Anterior]],Conceptos_Administrativa[#All],5,0),"")</f>
        <v xml:space="preserve">Cant. reformas tiendas </v>
      </c>
      <c r="F577" t="str">
        <f ca="1">+IFERROR(VLOOKUP(Fact_Administrativa[[#This Row], [Concepto Anterior]],Conceptos_Administrativa[#All],7,0),"")</f>
        <v/>
      </c>
      <c r="G577" t="s">
        <v>172</v>
      </c>
      <c r="H577" t="s">
        <v>172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93">
        <v>3</v>
      </c>
    </row>
    <row r="578" spans="1:11" ht="18.75" customHeight="1" x14ac:dyDescent="0.35">
      <c r="A578" s="93">
        <v>2025</v>
      </c>
      <c r="B578" s="106" t="s">
        <v>180</v>
      </c>
      <c r="C578" s="100">
        <f>IF(OR(Fact_Administrativa[[#This Row], [Año]]="",Fact_Administrativa[[#This Row], [Mes]]=""),"",DATE(A578,MATCH(B578,{"enero","febrero","marzo","abril","mayo","junio","julio","agosto","septiembre","octubre","noviembre","diciembre"},0)+1,0))</f>
        <v>45900</v>
      </c>
      <c r="D578" t="s">
        <v>28</v>
      </c>
      <c r="E578" t="str">
        <f>+IFERROR(VLOOKUP(Fact_Administrativa[[#This Row], [Concepto Anterior]],Conceptos_Administrativa[#All],5,0),"")</f>
        <v xml:space="preserve">Ahorro reformas tiendas </v>
      </c>
      <c r="F578" t="str">
        <f ca="1">+IFERROR(VLOOKUP(Fact_Administrativa[[#This Row], [Concepto Anterior]],Conceptos_Administrativa[#All],7,0),"")</f>
        <v/>
      </c>
      <c r="G578" t="s">
        <v>172</v>
      </c>
      <c r="H578" t="s">
        <v>172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08">
        <v>6558045</v>
      </c>
    </row>
    <row r="579" spans="1:11" ht="18.75" customHeight="1" x14ac:dyDescent="0.35">
      <c r="A579" s="93">
        <v>2025</v>
      </c>
      <c r="B579" s="106" t="s">
        <v>180</v>
      </c>
      <c r="C579" s="100">
        <f>IF(OR(Fact_Administrativa[[#This Row], [Año]]="",Fact_Administrativa[[#This Row], [Mes]]=""),"",DATE(A579,MATCH(B579,{"enero","febrero","marzo","abril","mayo","junio","julio","agosto","septiembre","octubre","noviembre","diciembre"},0)+1,0))</f>
        <v>45900</v>
      </c>
      <c r="D579" t="s">
        <v>212</v>
      </c>
      <c r="E579" t="str">
        <f>+IFERROR(VLOOKUP(Fact_Administrativa[[#This Row], [Concepto Anterior]],Conceptos_Administrativa[#All],5,0),"")</f>
        <v>Total tickets recibidos</v>
      </c>
      <c r="F579" t="str">
        <f ca="1">+IFERROR(VLOOKUP(Fact_Administrativa[[#This Row], [Concepto Anterior]],Conceptos_Administrativa[#All],7,0),"")</f>
        <v/>
      </c>
      <c r="G579" t="s">
        <v>172</v>
      </c>
      <c r="H579" t="s">
        <v>172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93">
        <v>1423</v>
      </c>
    </row>
    <row r="580" spans="1:11" ht="18.75" customHeight="1" x14ac:dyDescent="0.35">
      <c r="A580" s="93">
        <v>2025</v>
      </c>
      <c r="B580" s="106" t="s">
        <v>180</v>
      </c>
      <c r="C580" s="100">
        <f>IF(OR(Fact_Administrativa[[#This Row], [Año]]="",Fact_Administrativa[[#This Row], [Mes]]=""),"",DATE(A580,MATCH(B580,{"enero","febrero","marzo","abril","mayo","junio","julio","agosto","septiembre","octubre","noviembre","diciembre"},0)+1,0))</f>
        <v>45900</v>
      </c>
      <c r="D580" t="s">
        <v>213</v>
      </c>
      <c r="E580" t="str">
        <f>+IFERROR(VLOOKUP(Fact_Administrativa[[#This Row], [Concepto Anterior]],Conceptos_Administrativa[#All],5,0),"")</f>
        <v>Tickets Cerrados con ANS</v>
      </c>
      <c r="F580" t="str">
        <f ca="1">+IFERROR(VLOOKUP(Fact_Administrativa[[#This Row], [Concepto Anterior]],Conceptos_Administrativa[#All],7,0),"")</f>
        <v/>
      </c>
      <c r="G580" t="s">
        <v>172</v>
      </c>
      <c r="H580" t="s">
        <v>172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93">
        <v>1093</v>
      </c>
    </row>
    <row r="581" spans="1:11" ht="18.75" customHeight="1" x14ac:dyDescent="0.35">
      <c r="A581" s="93">
        <v>2025</v>
      </c>
      <c r="B581" s="106" t="s">
        <v>180</v>
      </c>
      <c r="C581" s="100">
        <f>IF(OR(Fact_Administrativa[[#This Row], [Año]]="",Fact_Administrativa[[#This Row], [Mes]]=""),"",DATE(A581,MATCH(B581,{"enero","febrero","marzo","abril","mayo","junio","julio","agosto","septiembre","octubre","noviembre","diciembre"},0)+1,0))</f>
        <v>45900</v>
      </c>
      <c r="D581" t="s">
        <v>214</v>
      </c>
      <c r="E581" t="str">
        <f>+IFERROR(VLOOKUP(Fact_Administrativa[[#This Row], [Concepto Anterior]],Conceptos_Administrativa[#All],5,0),"")</f>
        <v>Tickets Vencidos</v>
      </c>
      <c r="F581" t="str">
        <f ca="1">+IFERROR(VLOOKUP(Fact_Administrativa[[#This Row], [Concepto Anterior]],Conceptos_Administrativa[#All],7,0),"")</f>
        <v/>
      </c>
      <c r="G581" t="s">
        <v>172</v>
      </c>
      <c r="H581" t="s">
        <v>172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93">
        <v>200</v>
      </c>
    </row>
    <row r="582" spans="1:11" ht="18.75" customHeight="1" x14ac:dyDescent="0.35">
      <c r="A582" s="93">
        <v>2025</v>
      </c>
      <c r="B582" s="106" t="s">
        <v>181</v>
      </c>
      <c r="C582" s="100">
        <f>IF(OR(Fact_Administrativa[[#This Row], [Año]]="",Fact_Administrativa[[#This Row], [Mes]]=""),"",DATE(A582,MATCH(B582,{"enero","febrero","marzo","abril","mayo","junio","julio","agosto","septiembre","octubre","noviembre","diciembre"},0)+1,0))</f>
        <v>45930</v>
      </c>
      <c r="D582" t="s">
        <v>41</v>
      </c>
      <c r="E582" t="str">
        <f>+IFERROR(VLOOKUP(Fact_Administrativa[[#This Row], [Concepto Anterior]],Conceptos_Administrativa[#All],5,0),"")</f>
        <v>Facturas Procesadas por Marca</v>
      </c>
      <c r="F582" t="str">
        <f ca="1">+IFERROR(VLOOKUP(Fact_Administrativa[[#This Row], [Concepto Anterior]],Conceptos_Administrativa[#All],7,0),"")</f>
        <v/>
      </c>
      <c r="G582" t="s">
        <v>42</v>
      </c>
      <c r="H582" t="s">
        <v>172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93">
        <v>627</v>
      </c>
    </row>
    <row r="583" spans="1:11" ht="18.75" customHeight="1" x14ac:dyDescent="0.35">
      <c r="A583" s="93">
        <v>2025</v>
      </c>
      <c r="B583" s="106" t="s">
        <v>181</v>
      </c>
      <c r="C583" s="100">
        <f>IF(OR(Fact_Administrativa[[#This Row], [Año]]="",Fact_Administrativa[[#This Row], [Mes]]=""),"",DATE(A583,MATCH(B583,{"enero","febrero","marzo","abril","mayo","junio","julio","agosto","septiembre","octubre","noviembre","diciembre"},0)+1,0))</f>
        <v>45930</v>
      </c>
      <c r="D583" t="s">
        <v>41</v>
      </c>
      <c r="E583" t="str">
        <f>+IFERROR(VLOOKUP(Fact_Administrativa[[#This Row], [Concepto Anterior]],Conceptos_Administrativa[#All],5,0),"")</f>
        <v>Facturas Procesadas por Marca</v>
      </c>
      <c r="F583" t="str">
        <f ca="1">+IFERROR(VLOOKUP(Fact_Administrativa[[#This Row], [Concepto Anterior]],Conceptos_Administrativa[#All],7,0),"")</f>
        <v/>
      </c>
      <c r="G583" t="s">
        <v>43</v>
      </c>
      <c r="H583" t="s">
        <v>172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93">
        <v>1060</v>
      </c>
    </row>
    <row r="584" spans="1:11" ht="18.75" customHeight="1" x14ac:dyDescent="0.35">
      <c r="A584" s="93">
        <v>2025</v>
      </c>
      <c r="B584" s="106" t="s">
        <v>181</v>
      </c>
      <c r="C584" s="100">
        <f>IF(OR(Fact_Administrativa[[#This Row], [Año]]="",Fact_Administrativa[[#This Row], [Mes]]=""),"",DATE(A584,MATCH(B584,{"enero","febrero","marzo","abril","mayo","junio","julio","agosto","septiembre","octubre","noviembre","diciembre"},0)+1,0))</f>
        <v>45930</v>
      </c>
      <c r="D584" t="s">
        <v>41</v>
      </c>
      <c r="E584" t="str">
        <f>+IFERROR(VLOOKUP(Fact_Administrativa[[#This Row], [Concepto Anterior]],Conceptos_Administrativa[#All],5,0),"")</f>
        <v>Facturas Procesadas por Marca</v>
      </c>
      <c r="F584" t="str">
        <f ca="1">+IFERROR(VLOOKUP(Fact_Administrativa[[#This Row], [Concepto Anterior]],Conceptos_Administrativa[#All],7,0),"")</f>
        <v/>
      </c>
      <c r="G584" t="s">
        <v>44</v>
      </c>
      <c r="H584" t="s">
        <v>172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93">
        <v>906</v>
      </c>
    </row>
    <row r="585" spans="1:11" ht="18.75" customHeight="1" x14ac:dyDescent="0.35">
      <c r="A585" s="93">
        <v>2025</v>
      </c>
      <c r="B585" s="106" t="s">
        <v>181</v>
      </c>
      <c r="C585" s="100">
        <f>IF(OR(Fact_Administrativa[[#This Row], [Año]]="",Fact_Administrativa[[#This Row], [Mes]]=""),"",DATE(A585,MATCH(B585,{"enero","febrero","marzo","abril","mayo","junio","julio","agosto","septiembre","octubre","noviembre","diciembre"},0)+1,0))</f>
        <v>45930</v>
      </c>
      <c r="D585" t="s">
        <v>41</v>
      </c>
      <c r="E585" t="str">
        <f>+IFERROR(VLOOKUP(Fact_Administrativa[[#This Row], [Concepto Anterior]],Conceptos_Administrativa[#All],5,0),"")</f>
        <v>Facturas Procesadas por Marca</v>
      </c>
      <c r="F585" t="str">
        <f ca="1">+IFERROR(VLOOKUP(Fact_Administrativa[[#This Row], [Concepto Anterior]],Conceptos_Administrativa[#All],7,0),"")</f>
        <v/>
      </c>
      <c r="G585" t="s">
        <v>45</v>
      </c>
      <c r="H585" t="s">
        <v>172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93">
        <v>585</v>
      </c>
    </row>
    <row r="586" spans="1:11" ht="18.75" customHeight="1" x14ac:dyDescent="0.35">
      <c r="A586" s="93">
        <v>2025</v>
      </c>
      <c r="B586" s="106" t="s">
        <v>181</v>
      </c>
      <c r="C586" s="100">
        <f>IF(OR(Fact_Administrativa[[#This Row], [Año]]="",Fact_Administrativa[[#This Row], [Mes]]=""),"",DATE(A586,MATCH(B586,{"enero","febrero","marzo","abril","mayo","junio","julio","agosto","septiembre","octubre","noviembre","diciembre"},0)+1,0))</f>
        <v>45930</v>
      </c>
      <c r="D586" t="s">
        <v>41</v>
      </c>
      <c r="E586" t="str">
        <f>+IFERROR(VLOOKUP(Fact_Administrativa[[#This Row], [Concepto Anterior]],Conceptos_Administrativa[#All],5,0),"")</f>
        <v>Facturas Procesadas por Marca</v>
      </c>
      <c r="F586" t="str">
        <f ca="1">+IFERROR(VLOOKUP(Fact_Administrativa[[#This Row], [Concepto Anterior]],Conceptos_Administrativa[#All],7,0),"")</f>
        <v/>
      </c>
      <c r="G586" t="s">
        <v>46</v>
      </c>
      <c r="H586" t="s">
        <v>172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93">
        <v>233</v>
      </c>
    </row>
    <row r="587" spans="1:11" ht="18.75" customHeight="1" x14ac:dyDescent="0.35">
      <c r="A587" s="93">
        <v>2025</v>
      </c>
      <c r="B587" s="106" t="s">
        <v>181</v>
      </c>
      <c r="C587" s="100">
        <f>IF(OR(Fact_Administrativa[[#This Row], [Año]]="",Fact_Administrativa[[#This Row], [Mes]]=""),"",DATE(A587,MATCH(B587,{"enero","febrero","marzo","abril","mayo","junio","julio","agosto","septiembre","octubre","noviembre","diciembre"},0)+1,0))</f>
        <v>45930</v>
      </c>
      <c r="D587" t="s">
        <v>41</v>
      </c>
      <c r="E587" t="str">
        <f>+IFERROR(VLOOKUP(Fact_Administrativa[[#This Row], [Concepto Anterior]],Conceptos_Administrativa[#All],5,0),"")</f>
        <v>Facturas Procesadas por Marca</v>
      </c>
      <c r="F587" t="str">
        <f ca="1">+IFERROR(VLOOKUP(Fact_Administrativa[[#This Row], [Concepto Anterior]],Conceptos_Administrativa[#All],7,0),"")</f>
        <v/>
      </c>
      <c r="G587" t="s">
        <v>47</v>
      </c>
      <c r="H587" t="s">
        <v>172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93">
        <v>46</v>
      </c>
    </row>
    <row r="588" spans="1:11" ht="18.75" customHeight="1" x14ac:dyDescent="0.35">
      <c r="A588" s="93">
        <v>2025</v>
      </c>
      <c r="B588" s="106" t="s">
        <v>181</v>
      </c>
      <c r="C588" s="100">
        <f>IF(OR(Fact_Administrativa[[#This Row], [Año]]="",Fact_Administrativa[[#This Row], [Mes]]=""),"",DATE(A588,MATCH(B588,{"enero","febrero","marzo","abril","mayo","junio","julio","agosto","septiembre","octubre","noviembre","diciembre"},0)+1,0))</f>
        <v>45930</v>
      </c>
      <c r="D588" t="s">
        <v>41</v>
      </c>
      <c r="E588" t="str">
        <f>+IFERROR(VLOOKUP(Fact_Administrativa[[#This Row], [Concepto Anterior]],Conceptos_Administrativa[#All],5,0),"")</f>
        <v>Facturas Procesadas por Marca</v>
      </c>
      <c r="F588" t="str">
        <f ca="1">+IFERROR(VLOOKUP(Fact_Administrativa[[#This Row], [Concepto Anterior]],Conceptos_Administrativa[#All],7,0),"")</f>
        <v/>
      </c>
      <c r="G588" t="s">
        <v>48</v>
      </c>
      <c r="H588" t="s">
        <v>172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93">
        <v>2608</v>
      </c>
    </row>
    <row r="589" spans="1:11" ht="18.75" customHeight="1" x14ac:dyDescent="0.35">
      <c r="A589" s="93">
        <v>2025</v>
      </c>
      <c r="B589" s="106" t="s">
        <v>181</v>
      </c>
      <c r="C589" s="100">
        <f>IF(OR(Fact_Administrativa[[#This Row], [Año]]="",Fact_Administrativa[[#This Row], [Mes]]=""),"",DATE(A589,MATCH(B589,{"enero","febrero","marzo","abril","mayo","junio","julio","agosto","septiembre","octubre","noviembre","diciembre"},0)+1,0))</f>
        <v>45930</v>
      </c>
      <c r="D589" t="s">
        <v>41</v>
      </c>
      <c r="E589" t="str">
        <f>+IFERROR(VLOOKUP(Fact_Administrativa[[#This Row], [Concepto Anterior]],Conceptos_Administrativa[#All],5,0),"")</f>
        <v>Facturas Procesadas por Marca</v>
      </c>
      <c r="F589" t="str">
        <f ca="1">+IFERROR(VLOOKUP(Fact_Administrativa[[#This Row], [Concepto Anterior]],Conceptos_Administrativa[#All],7,0),"")</f>
        <v/>
      </c>
      <c r="G589" t="s">
        <v>49</v>
      </c>
      <c r="H589" t="s">
        <v>172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93">
        <v>1471</v>
      </c>
    </row>
    <row r="590" spans="1:11" ht="18.75" customHeight="1" x14ac:dyDescent="0.35">
      <c r="A590" s="93">
        <v>2025</v>
      </c>
      <c r="B590" s="106" t="s">
        <v>181</v>
      </c>
      <c r="C590" s="100">
        <f>IF(OR(Fact_Administrativa[[#This Row], [Año]]="",Fact_Administrativa[[#This Row], [Mes]]=""),"",DATE(A590,MATCH(B590,{"enero","febrero","marzo","abril","mayo","junio","julio","agosto","septiembre","octubre","noviembre","diciembre"},0)+1,0))</f>
        <v>45930</v>
      </c>
      <c r="D590" t="s">
        <v>41</v>
      </c>
      <c r="E590" t="str">
        <f>+IFERROR(VLOOKUP(Fact_Administrativa[[#This Row], [Concepto Anterior]],Conceptos_Administrativa[#All],5,0),"")</f>
        <v>Facturas Procesadas por Marca</v>
      </c>
      <c r="F590" t="str">
        <f ca="1">+IFERROR(VLOOKUP(Fact_Administrativa[[#This Row], [Concepto Anterior]],Conceptos_Administrativa[#All],7,0),"")</f>
        <v/>
      </c>
      <c r="G590" t="s">
        <v>50</v>
      </c>
      <c r="H590" t="s">
        <v>172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93">
        <v>1226</v>
      </c>
    </row>
    <row r="591" spans="1:11" ht="18.75" customHeight="1" x14ac:dyDescent="0.35">
      <c r="A591" s="93">
        <v>2025</v>
      </c>
      <c r="B591" s="106" t="s">
        <v>181</v>
      </c>
      <c r="C591" s="100">
        <f>IF(OR(Fact_Administrativa[[#This Row], [Año]]="",Fact_Administrativa[[#This Row], [Mes]]=""),"",DATE(A591,MATCH(B591,{"enero","febrero","marzo","abril","mayo","junio","julio","agosto","septiembre","octubre","noviembre","diciembre"},0)+1,0))</f>
        <v>45930</v>
      </c>
      <c r="D591" t="s">
        <v>41</v>
      </c>
      <c r="E591" t="str">
        <f>+IFERROR(VLOOKUP(Fact_Administrativa[[#This Row], [Concepto Anterior]],Conceptos_Administrativa[#All],5,0),"")</f>
        <v>Facturas Procesadas por Marca</v>
      </c>
      <c r="F591" t="str">
        <f ca="1">+IFERROR(VLOOKUP(Fact_Administrativa[[#This Row], [Concepto Anterior]],Conceptos_Administrativa[#All],7,0),"")</f>
        <v/>
      </c>
      <c r="G591" t="s">
        <v>121</v>
      </c>
      <c r="H591" t="s">
        <v>172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93">
        <v>167</v>
      </c>
    </row>
    <row r="592" spans="1:11" ht="18.75" customHeight="1" x14ac:dyDescent="0.35">
      <c r="A592" s="93">
        <v>2025</v>
      </c>
      <c r="B592" s="106" t="s">
        <v>181</v>
      </c>
      <c r="C592" s="100">
        <f>IF(OR(Fact_Administrativa[[#This Row], [Año]]="",Fact_Administrativa[[#This Row], [Mes]]=""),"",DATE(A592,MATCH(B592,{"enero","febrero","marzo","abril","mayo","junio","julio","agosto","septiembre","octubre","noviembre","diciembre"},0)+1,0))</f>
        <v>45930</v>
      </c>
      <c r="D592" t="s">
        <v>41</v>
      </c>
      <c r="E592" t="str">
        <f>+IFERROR(VLOOKUP(Fact_Administrativa[[#This Row], [Concepto Anterior]],Conceptos_Administrativa[#All],5,0),"")</f>
        <v>Facturas Procesadas por Marca</v>
      </c>
      <c r="F592" t="str">
        <f ca="1">+IFERROR(VLOOKUP(Fact_Administrativa[[#This Row], [Concepto Anterior]],Conceptos_Administrativa[#All],7,0),"")</f>
        <v/>
      </c>
      <c r="G592" t="s">
        <v>51</v>
      </c>
      <c r="H592" t="s">
        <v>172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93">
        <v>992</v>
      </c>
    </row>
    <row r="593" spans="1:11" ht="18.75" customHeight="1" x14ac:dyDescent="0.35">
      <c r="A593" s="93">
        <v>2025</v>
      </c>
      <c r="B593" s="106" t="s">
        <v>181</v>
      </c>
      <c r="C593" s="100">
        <f>IF(OR(Fact_Administrativa[[#This Row], [Año]]="",Fact_Administrativa[[#This Row], [Mes]]=""),"",DATE(A593,MATCH(B593,{"enero","febrero","marzo","abril","mayo","junio","julio","agosto","septiembre","octubre","noviembre","diciembre"},0)+1,0))</f>
        <v>45930</v>
      </c>
      <c r="D593" t="s">
        <v>41</v>
      </c>
      <c r="E593" t="str">
        <f>+IFERROR(VLOOKUP(Fact_Administrativa[[#This Row], [Concepto Anterior]],Conceptos_Administrativa[#All],5,0),"")</f>
        <v>Facturas Procesadas por Marca</v>
      </c>
      <c r="F593" t="str">
        <f ca="1">+IFERROR(VLOOKUP(Fact_Administrativa[[#This Row], [Concepto Anterior]],Conceptos_Administrativa[#All],7,0),"")</f>
        <v/>
      </c>
      <c r="G593" t="s">
        <v>52</v>
      </c>
      <c r="H593" t="s">
        <v>172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93">
        <v>362</v>
      </c>
    </row>
    <row r="594" spans="1:11" ht="18.75" customHeight="1" x14ac:dyDescent="0.35">
      <c r="A594" s="93">
        <v>2025</v>
      </c>
      <c r="B594" s="106" t="s">
        <v>181</v>
      </c>
      <c r="C594" s="100">
        <f>IF(OR(Fact_Administrativa[[#This Row], [Año]]="",Fact_Administrativa[[#This Row], [Mes]]=""),"",DATE(A594,MATCH(B594,{"enero","febrero","marzo","abril","mayo","junio","julio","agosto","septiembre","octubre","noviembre","diciembre"},0)+1,0))</f>
        <v>45930</v>
      </c>
      <c r="D594" t="s">
        <v>41</v>
      </c>
      <c r="E594" t="str">
        <f>+IFERROR(VLOOKUP(Fact_Administrativa[[#This Row], [Concepto Anterior]],Conceptos_Administrativa[#All],5,0),"")</f>
        <v>Facturas Procesadas por Marca</v>
      </c>
      <c r="F594" t="str">
        <f ca="1">+IFERROR(VLOOKUP(Fact_Administrativa[[#This Row], [Concepto Anterior]],Conceptos_Administrativa[#All],7,0),"")</f>
        <v/>
      </c>
      <c r="G594" t="s">
        <v>53</v>
      </c>
      <c r="H594" t="s">
        <v>172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93">
        <v>218</v>
      </c>
    </row>
    <row r="595" spans="1:11" ht="18.75" customHeight="1" x14ac:dyDescent="0.35">
      <c r="A595" s="93">
        <v>2025</v>
      </c>
      <c r="B595" s="106" t="s">
        <v>181</v>
      </c>
      <c r="C595" s="100">
        <f>IF(OR(Fact_Administrativa[[#This Row], [Año]]="",Fact_Administrativa[[#This Row], [Mes]]=""),"",DATE(A595,MATCH(B595,{"enero","febrero","marzo","abril","mayo","junio","julio","agosto","septiembre","octubre","noviembre","diciembre"},0)+1,0))</f>
        <v>45930</v>
      </c>
      <c r="D595" t="s">
        <v>41</v>
      </c>
      <c r="E595" t="str">
        <f>+IFERROR(VLOOKUP(Fact_Administrativa[[#This Row], [Concepto Anterior]],Conceptos_Administrativa[#All],5,0),"")</f>
        <v>Facturas Procesadas por Marca</v>
      </c>
      <c r="F595" t="str">
        <f ca="1">+IFERROR(VLOOKUP(Fact_Administrativa[[#This Row], [Concepto Anterior]],Conceptos_Administrativa[#All],7,0),"")</f>
        <v/>
      </c>
      <c r="G595" t="s">
        <v>54</v>
      </c>
      <c r="H595" t="s">
        <v>172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93">
        <v>82</v>
      </c>
    </row>
    <row r="596" spans="1:11" ht="18.75" customHeight="1" x14ac:dyDescent="0.35">
      <c r="A596" s="93">
        <v>2025</v>
      </c>
      <c r="B596" s="106" t="s">
        <v>181</v>
      </c>
      <c r="C596" s="100">
        <f>IF(OR(Fact_Administrativa[[#This Row], [Año]]="",Fact_Administrativa[[#This Row], [Mes]]=""),"",DATE(A596,MATCH(B596,{"enero","febrero","marzo","abril","mayo","junio","julio","agosto","septiembre","octubre","noviembre","diciembre"},0)+1,0))</f>
        <v>45930</v>
      </c>
      <c r="D596" t="s">
        <v>55</v>
      </c>
      <c r="E596" t="str">
        <f>+IFERROR(VLOOKUP(Fact_Administrativa[[#This Row], [Concepto Anterior]],Conceptos_Administrativa[#All],5,0),"")</f>
        <v>Facturas Procesadas por Marca</v>
      </c>
      <c r="F596" t="str">
        <f ca="1">+IFERROR(VLOOKUP(Fact_Administrativa[[#This Row], [Concepto Anterior]],Conceptos_Administrativa[#All],7,0),"")</f>
        <v/>
      </c>
      <c r="G596" t="s">
        <v>56</v>
      </c>
      <c r="H596" t="s">
        <v>172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93">
        <v>108</v>
      </c>
    </row>
    <row r="597" spans="1:11" ht="18.75" customHeight="1" x14ac:dyDescent="0.35">
      <c r="A597" s="93">
        <v>2025</v>
      </c>
      <c r="B597" s="106" t="s">
        <v>181</v>
      </c>
      <c r="C597" s="100">
        <f>IF(OR(Fact_Administrativa[[#This Row], [Año]]="",Fact_Administrativa[[#This Row], [Mes]]=""),"",DATE(A597,MATCH(B597,{"enero","febrero","marzo","abril","mayo","junio","julio","agosto","septiembre","octubre","noviembre","diciembre"},0)+1,0))</f>
        <v>45930</v>
      </c>
      <c r="D597" t="s">
        <v>57</v>
      </c>
      <c r="E597" t="str">
        <f>+IFERROR(VLOOKUP(Fact_Administrativa[[#This Row], [Concepto Anterior]],Conceptos_Administrativa[#All],5,0),"")</f>
        <v>Facturas Procesadas por Marca</v>
      </c>
      <c r="F597" t="str">
        <f ca="1">+IFERROR(VLOOKUP(Fact_Administrativa[[#This Row], [Concepto Anterior]],Conceptos_Administrativa[#All],7,0),"")</f>
        <v/>
      </c>
      <c r="G597" t="s">
        <v>58</v>
      </c>
      <c r="H597" t="s">
        <v>172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93">
        <v>81</v>
      </c>
    </row>
    <row r="598" spans="1:11" ht="18.75" customHeight="1" x14ac:dyDescent="0.35">
      <c r="A598" s="93">
        <v>2025</v>
      </c>
      <c r="B598" s="106" t="s">
        <v>181</v>
      </c>
      <c r="C598" s="100">
        <f>IF(OR(Fact_Administrativa[[#This Row], [Año]]="",Fact_Administrativa[[#This Row], [Mes]]=""),"",DATE(A598,MATCH(B598,{"enero","febrero","marzo","abril","mayo","junio","julio","agosto","septiembre","octubre","noviembre","diciembre"},0)+1,0))</f>
        <v>45930</v>
      </c>
      <c r="D598" t="s">
        <v>209</v>
      </c>
      <c r="E598" t="str">
        <f>+IFERROR(VLOOKUP(Fact_Administrativa[[#This Row], [Concepto Anterior]],Conceptos_Administrativa[#All],5,0),"")</f>
        <v>Emisiones CO²</v>
      </c>
      <c r="F598" t="str">
        <f ca="1">+IFERROR(VLOOKUP(Fact_Administrativa[[#This Row], [Concepto Anterior]],Conceptos_Administrativa[#All],7,0),"")</f>
        <v/>
      </c>
      <c r="G598" t="s">
        <v>172</v>
      </c>
      <c r="H598" t="s">
        <v>172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07">
        <v>30.4</v>
      </c>
    </row>
    <row r="599" spans="1:11" ht="18.75" customHeight="1" x14ac:dyDescent="0.35">
      <c r="A599" s="93">
        <v>2025</v>
      </c>
      <c r="B599" s="106" t="s">
        <v>181</v>
      </c>
      <c r="C599" s="100">
        <f>IF(OR(Fact_Administrativa[[#This Row], [Año]]="",Fact_Administrativa[[#This Row], [Mes]]=""),"",DATE(A599,MATCH(B599,{"enero","febrero","marzo","abril","mayo","junio","julio","agosto","septiembre","octubre","noviembre","diciembre"},0)+1,0))</f>
        <v>45930</v>
      </c>
      <c r="D599" t="s">
        <v>25</v>
      </c>
      <c r="E599" t="str">
        <f>+IFERROR(VLOOKUP(Fact_Administrativa[[#This Row], [Concepto Anterior]],Conceptos_Administrativa[#All],5,0),"")</f>
        <v>Control Ingresos cede Dogama</v>
      </c>
      <c r="F599" t="str">
        <f ca="1">+IFERROR(VLOOKUP(Fact_Administrativa[[#This Row], [Concepto Anterior]],Conceptos_Administrativa[#All],7,0),"")</f>
        <v/>
      </c>
      <c r="G599" t="s">
        <v>172</v>
      </c>
      <c r="H599" t="s">
        <v>172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93">
        <v>21755</v>
      </c>
    </row>
    <row r="600" spans="1:11" ht="18.75" customHeight="1" x14ac:dyDescent="0.35">
      <c r="A600" s="93">
        <v>2025</v>
      </c>
      <c r="B600" s="106" t="s">
        <v>181</v>
      </c>
      <c r="C600" s="100">
        <f>IF(OR(Fact_Administrativa[[#This Row], [Año]]="",Fact_Administrativa[[#This Row], [Mes]]=""),"",DATE(A600,MATCH(B600,{"enero","febrero","marzo","abril","mayo","junio","julio","agosto","septiembre","octubre","noviembre","diciembre"},0)+1,0))</f>
        <v>45930</v>
      </c>
      <c r="D600" t="s">
        <v>120</v>
      </c>
      <c r="E600" t="str">
        <f>+IFERROR(VLOOKUP(Fact_Administrativa[[#This Row], [Concepto Anterior]],Conceptos_Administrativa[#All],5,0),"")</f>
        <v xml:space="preserve">Contratos de arrendamientos </v>
      </c>
      <c r="F600" t="str">
        <f ca="1">+IFERROR(VLOOKUP(Fact_Administrativa[[#This Row], [Concepto Anterior]],Conceptos_Administrativa[#All],7,0),"")</f>
        <v/>
      </c>
      <c r="G600" t="s">
        <v>172</v>
      </c>
      <c r="H600" t="s">
        <v>172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 s="93">
        <v>465</v>
      </c>
    </row>
    <row r="601" spans="1:11" ht="18.75" customHeight="1" x14ac:dyDescent="0.35">
      <c r="A601" s="93">
        <v>2025</v>
      </c>
      <c r="B601" s="106" t="s">
        <v>181</v>
      </c>
      <c r="C601" s="100">
        <f>IF(OR(Fact_Administrativa[[#This Row], [Año]]="",Fact_Administrativa[[#This Row], [Mes]]=""),"",DATE(A601,MATCH(B601,{"enero","febrero","marzo","abril","mayo","junio","julio","agosto","septiembre","octubre","noviembre","diciembre"},0)+1,0))</f>
        <v>45930</v>
      </c>
      <c r="D601" t="s">
        <v>38</v>
      </c>
      <c r="E601" t="str">
        <f>+IFERROR(VLOOKUP(Fact_Administrativa[[#This Row], [Concepto Anterior]],Conceptos_Administrativa[#All],5,0),"")</f>
        <v>Facturas de arrendamientos y administración</v>
      </c>
      <c r="F601" t="str">
        <f ca="1">+IFERROR(VLOOKUP(Fact_Administrativa[[#This Row], [Concepto Anterior]],Conceptos_Administrativa[#All],7,0),"")</f>
        <v/>
      </c>
      <c r="G601" t="s">
        <v>172</v>
      </c>
      <c r="H601" t="s">
        <v>172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93">
        <v>1048</v>
      </c>
    </row>
    <row r="602" spans="1:11" ht="18.75" customHeight="1" x14ac:dyDescent="0.35">
      <c r="A602" s="93">
        <v>2025</v>
      </c>
      <c r="B602" s="106" t="s">
        <v>181</v>
      </c>
      <c r="C602" s="100">
        <f>IF(OR(Fact_Administrativa[[#This Row], [Año]]="",Fact_Administrativa[[#This Row], [Mes]]=""),"",DATE(A602,MATCH(B602,{"enero","febrero","marzo","abril","mayo","junio","julio","agosto","septiembre","octubre","noviembre","diciembre"},0)+1,0))</f>
        <v>45930</v>
      </c>
      <c r="D602" t="s">
        <v>211</v>
      </c>
      <c r="E602" t="str">
        <f>+IFERROR(VLOOKUP(Fact_Administrativa[[#This Row], [Concepto Anterior]],Conceptos_Administrativa[#All],5,0),"")</f>
        <v>Noches hospedaje</v>
      </c>
      <c r="F602" t="str">
        <f ca="1">+IFERROR(VLOOKUP(Fact_Administrativa[[#This Row], [Concepto Anterior]],Conceptos_Administrativa[#All],7,0),"")</f>
        <v/>
      </c>
      <c r="G602" t="s">
        <v>172</v>
      </c>
      <c r="H602" t="s">
        <v>172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93">
        <v>127</v>
      </c>
    </row>
    <row r="603" spans="1:11" ht="18.75" customHeight="1" x14ac:dyDescent="0.35">
      <c r="A603" s="93">
        <v>2025</v>
      </c>
      <c r="B603" s="106" t="s">
        <v>181</v>
      </c>
      <c r="C603" s="100">
        <f>IF(OR(Fact_Administrativa[[#This Row], [Año]]="",Fact_Administrativa[[#This Row], [Mes]]=""),"",DATE(A603,MATCH(B603,{"enero","febrero","marzo","abril","mayo","junio","julio","agosto","septiembre","octubre","noviembre","diciembre"},0)+1,0))</f>
        <v>45930</v>
      </c>
      <c r="D603" t="s">
        <v>29</v>
      </c>
      <c r="E603" t="str">
        <f>+IFERROR(VLOOKUP(Fact_Administrativa[[#This Row], [Concepto Anterior]],Conceptos_Administrativa[#All],5,0),"")</f>
        <v>Recuperaciones Siniestros</v>
      </c>
      <c r="F603" t="str">
        <f ca="1">+IFERROR(VLOOKUP(Fact_Administrativa[[#This Row], [Concepto Anterior]],Conceptos_Administrativa[#All],7,0),"")</f>
        <v/>
      </c>
      <c r="G603" t="s">
        <v>172</v>
      </c>
      <c r="H603" t="s">
        <v>172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93">
        <v>0</v>
      </c>
    </row>
    <row r="604" spans="1:11" ht="18.75" customHeight="1" x14ac:dyDescent="0.35">
      <c r="A604" s="93">
        <v>2025</v>
      </c>
      <c r="B604" s="106" t="s">
        <v>181</v>
      </c>
      <c r="C604" s="100">
        <f>IF(OR(Fact_Administrativa[[#This Row], [Año]]="",Fact_Administrativa[[#This Row], [Mes]]=""),"",DATE(A604,MATCH(B604,{"enero","febrero","marzo","abril","mayo","junio","julio","agosto","septiembre","octubre","noviembre","diciembre"},0)+1,0))</f>
        <v>45930</v>
      </c>
      <c r="D604" t="s">
        <v>30</v>
      </c>
      <c r="E604" t="str">
        <f>+IFERROR(VLOOKUP(Fact_Administrativa[[#This Row], [Concepto Anterior]],Conceptos_Administrativa[#All],5,0),"")</f>
        <v>Gestión de Polizas</v>
      </c>
      <c r="F604" t="str">
        <f ca="1">+IFERROR(VLOOKUP(Fact_Administrativa[[#This Row], [Concepto Anterior]],Conceptos_Administrativa[#All],7,0),"")</f>
        <v/>
      </c>
      <c r="G604" t="s">
        <v>172</v>
      </c>
      <c r="H604" t="s">
        <v>172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93">
        <v>0</v>
      </c>
    </row>
    <row r="605" spans="1:11" ht="18.75" customHeight="1" x14ac:dyDescent="0.35">
      <c r="A605" s="93">
        <v>2025</v>
      </c>
      <c r="B605" s="106" t="s">
        <v>181</v>
      </c>
      <c r="C605" s="100">
        <f>IF(OR(Fact_Administrativa[[#This Row], [Año]]="",Fact_Administrativa[[#This Row], [Mes]]=""),"",DATE(A605,MATCH(B605,{"enero","febrero","marzo","abril","mayo","junio","julio","agosto","septiembre","octubre","noviembre","diciembre"},0)+1,0))</f>
        <v>45930</v>
      </c>
      <c r="D605" t="s">
        <v>27</v>
      </c>
      <c r="E605" t="str">
        <f>+IFERROR(VLOOKUP(Fact_Administrativa[[#This Row], [Concepto Anterior]],Conceptos_Administrativa[#All],5,0),"")</f>
        <v>Ahorro energía</v>
      </c>
      <c r="F605" t="str">
        <f ca="1">+IFERROR(VLOOKUP(Fact_Administrativa[[#This Row], [Concepto Anterior]],Conceptos_Administrativa[#All],7,0),"")</f>
        <v/>
      </c>
      <c r="G605" t="s">
        <v>172</v>
      </c>
      <c r="H605" t="s">
        <v>172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93">
        <v>70229113</v>
      </c>
    </row>
    <row r="606" spans="1:11" ht="18.75" customHeight="1" x14ac:dyDescent="0.35">
      <c r="A606" s="93">
        <v>2025</v>
      </c>
      <c r="B606" s="106" t="s">
        <v>181</v>
      </c>
      <c r="C606" s="100">
        <f>IF(OR(Fact_Administrativa[[#This Row], [Año]]="",Fact_Administrativa[[#This Row], [Mes]]=""),"",DATE(A606,MATCH(B606,{"enero","febrero","marzo","abril","mayo","junio","julio","agosto","septiembre","octubre","noviembre","diciembre"},0)+1,0))</f>
        <v>45930</v>
      </c>
      <c r="D606" t="s">
        <v>118</v>
      </c>
      <c r="E606" t="str">
        <f>+IFERROR(VLOOKUP(Fact_Administrativa[[#This Row], [Concepto Anterior]],Conceptos_Administrativa[#All],5,0),"")</f>
        <v xml:space="preserve">Cant. reformas tiendas </v>
      </c>
      <c r="F606" t="str">
        <f ca="1">+IFERROR(VLOOKUP(Fact_Administrativa[[#This Row], [Concepto Anterior]],Conceptos_Administrativa[#All],7,0),"")</f>
        <v/>
      </c>
      <c r="G606" t="s">
        <v>172</v>
      </c>
      <c r="H606" t="s">
        <v>172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93">
        <v>2</v>
      </c>
    </row>
    <row r="607" spans="1:11" ht="18.75" customHeight="1" x14ac:dyDescent="0.35">
      <c r="A607" s="93">
        <v>2025</v>
      </c>
      <c r="B607" s="106" t="s">
        <v>181</v>
      </c>
      <c r="C607" s="100">
        <f>IF(OR(Fact_Administrativa[[#This Row], [Año]]="",Fact_Administrativa[[#This Row], [Mes]]=""),"",DATE(A607,MATCH(B607,{"enero","febrero","marzo","abril","mayo","junio","julio","agosto","septiembre","octubre","noviembre","diciembre"},0)+1,0))</f>
        <v>45930</v>
      </c>
      <c r="D607" t="s">
        <v>28</v>
      </c>
      <c r="E607" t="str">
        <f>+IFERROR(VLOOKUP(Fact_Administrativa[[#This Row], [Concepto Anterior]],Conceptos_Administrativa[#All],5,0),"")</f>
        <v xml:space="preserve">Ahorro reformas tiendas </v>
      </c>
      <c r="F607" t="str">
        <f ca="1">+IFERROR(VLOOKUP(Fact_Administrativa[[#This Row], [Concepto Anterior]],Conceptos_Administrativa[#All],7,0),"")</f>
        <v/>
      </c>
      <c r="G607" t="s">
        <v>172</v>
      </c>
      <c r="H607" t="s">
        <v>172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08">
        <v>6049269</v>
      </c>
    </row>
    <row r="608" spans="1:11" ht="18.75" customHeight="1" x14ac:dyDescent="0.35">
      <c r="A608" s="93">
        <v>2025</v>
      </c>
      <c r="B608" s="106" t="s">
        <v>181</v>
      </c>
      <c r="C608" s="100">
        <f>IF(OR(Fact_Administrativa[[#This Row], [Año]]="",Fact_Administrativa[[#This Row], [Mes]]=""),"",DATE(A608,MATCH(B608,{"enero","febrero","marzo","abril","mayo","junio","julio","agosto","septiembre","octubre","noviembre","diciembre"},0)+1,0))</f>
        <v>45930</v>
      </c>
      <c r="D608" t="s">
        <v>212</v>
      </c>
      <c r="E608" t="str">
        <f>+IFERROR(VLOOKUP(Fact_Administrativa[[#This Row], [Concepto Anterior]],Conceptos_Administrativa[#All],5,0),"")</f>
        <v>Total tickets recibidos</v>
      </c>
      <c r="F608" t="str">
        <f ca="1">+IFERROR(VLOOKUP(Fact_Administrativa[[#This Row], [Concepto Anterior]],Conceptos_Administrativa[#All],7,0),"")</f>
        <v/>
      </c>
      <c r="G608" t="s">
        <v>172</v>
      </c>
      <c r="H608" t="s">
        <v>172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93">
        <v>1853</v>
      </c>
    </row>
    <row r="609" spans="1:11" ht="18.75" customHeight="1" x14ac:dyDescent="0.35">
      <c r="A609" s="93">
        <v>2025</v>
      </c>
      <c r="B609" s="106" t="s">
        <v>181</v>
      </c>
      <c r="C609" s="100">
        <f>IF(OR(Fact_Administrativa[[#This Row], [Año]]="",Fact_Administrativa[[#This Row], [Mes]]=""),"",DATE(A609,MATCH(B609,{"enero","febrero","marzo","abril","mayo","junio","julio","agosto","septiembre","octubre","noviembre","diciembre"},0)+1,0))</f>
        <v>45930</v>
      </c>
      <c r="D609" t="s">
        <v>213</v>
      </c>
      <c r="E609" t="str">
        <f>+IFERROR(VLOOKUP(Fact_Administrativa[[#This Row], [Concepto Anterior]],Conceptos_Administrativa[#All],5,0),"")</f>
        <v>Tickets Cerrados con ANS</v>
      </c>
      <c r="F609" t="str">
        <f ca="1">+IFERROR(VLOOKUP(Fact_Administrativa[[#This Row], [Concepto Anterior]],Conceptos_Administrativa[#All],7,0),"")</f>
        <v/>
      </c>
      <c r="G609" t="s">
        <v>172</v>
      </c>
      <c r="H609" t="s">
        <v>172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93">
        <v>1633</v>
      </c>
    </row>
    <row r="610" spans="1:11" ht="18.75" customHeight="1" x14ac:dyDescent="0.35">
      <c r="A610" s="93">
        <v>2025</v>
      </c>
      <c r="B610" s="106" t="s">
        <v>181</v>
      </c>
      <c r="C610" s="100">
        <f>IF(OR(Fact_Administrativa[[#This Row], [Año]]="",Fact_Administrativa[[#This Row], [Mes]]=""),"",DATE(A610,MATCH(B610,{"enero","febrero","marzo","abril","mayo","junio","julio","agosto","septiembre","octubre","noviembre","diciembre"},0)+1,0))</f>
        <v>45930</v>
      </c>
      <c r="D610" t="s">
        <v>214</v>
      </c>
      <c r="E610" t="str">
        <f>+IFERROR(VLOOKUP(Fact_Administrativa[[#This Row], [Concepto Anterior]],Conceptos_Administrativa[#All],5,0),"")</f>
        <v>Tickets Vencidos</v>
      </c>
      <c r="F610" t="str">
        <f ca="1">+IFERROR(VLOOKUP(Fact_Administrativa[[#This Row], [Concepto Anterior]],Conceptos_Administrativa[#All],7,0),"")</f>
        <v/>
      </c>
      <c r="G610" t="s">
        <v>172</v>
      </c>
      <c r="H610" t="s">
        <v>172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93">
        <v>149</v>
      </c>
    </row>
    <row r="611" spans="1:11" ht="18.75" customHeight="1" x14ac:dyDescent="0.35">
      <c r="C611" s="100" t="str">
        <f>IF(OR(Fact_Administrativa[[#This Row], [Año]]="",Fact_Administrativa[[#This Row], [Mes]]=""),"",DATE(A611,MATCH(B611,{"enero","febrero","marzo","abril","mayo","junio","julio","agosto","septiembre","octubre","noviembre","diciembre"},0)+1,0))</f>
        <v/>
      </c>
      <c r="E611" t="str">
        <f>+IFERROR(VLOOKUP(Fact_Administrativa[[#This Row], [Concepto Anterior]],Conceptos_Administrativa[#All],5,0),"")</f>
        <v/>
      </c>
      <c r="F611" t="str">
        <f>+IFERROR(VLOOKUP(Fact_Administrativa[[#This Row], 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ht="18.75" customHeight="1" x14ac:dyDescent="0.35">
      <c r="C612" s="100" t="str">
        <f>IF(OR(Fact_Administrativa[[#This Row], [Año]]="",Fact_Administrativa[[#This Row], [Mes]]=""),"",DATE(A612,MATCH(B612,{"enero","febrero","marzo","abril","mayo","junio","julio","agosto","septiembre","octubre","noviembre","diciembre"},0)+1,0))</f>
        <v/>
      </c>
      <c r="E612" t="str">
        <f>+IFERROR(VLOOKUP(Fact_Administrativa[[#This Row], [Concepto Anterior]],Conceptos_Administrativa[#All],5,0),"")</f>
        <v/>
      </c>
      <c r="F612" t="str">
        <f>+IFERROR(VLOOKUP(Fact_Administrativa[[#This Row], 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ht="18.75" customHeight="1" x14ac:dyDescent="0.35">
      <c r="C613" s="100" t="str">
        <f>IF(OR(Fact_Administrativa[[#This Row], [Año]]="",Fact_Administrativa[[#This Row], [Mes]]=""),"",DATE(A613,MATCH(B613,{"enero","febrero","marzo","abril","mayo","junio","julio","agosto","septiembre","octubre","noviembre","diciembre"},0)+1,0))</f>
        <v/>
      </c>
      <c r="E613" t="str">
        <f>+IFERROR(VLOOKUP(Fact_Administrativa[[#This Row], [Concepto Anterior]],Conceptos_Administrativa[#All],5,0),"")</f>
        <v/>
      </c>
      <c r="F613" t="str">
        <f>+IFERROR(VLOOKUP(Fact_Administrativa[[#This Row], 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ht="18.75" customHeight="1" x14ac:dyDescent="0.35">
      <c r="C614" s="100" t="str">
        <f>IF(OR(Fact_Administrativa[[#This Row], [Año]]="",Fact_Administrativa[[#This Row], [Mes]]=""),"",DATE(A614,MATCH(B614,{"enero","febrero","marzo","abril","mayo","junio","julio","agosto","septiembre","octubre","noviembre","diciembre"},0)+1,0))</f>
        <v/>
      </c>
      <c r="E614" t="str">
        <f>+IFERROR(VLOOKUP(Fact_Administrativa[[#This Row], [Concepto Anterior]],Conceptos_Administrativa[#All],5,0),"")</f>
        <v/>
      </c>
      <c r="F614" t="str">
        <f>+IFERROR(VLOOKUP(Fact_Administrativa[[#This Row], 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ht="18.75" customHeight="1" x14ac:dyDescent="0.35">
      <c r="C615" s="100" t="str">
        <f>IF(OR(Fact_Administrativa[[#This Row], [Año]]="",Fact_Administrativa[[#This Row], [Mes]]=""),"",DATE(A615,MATCH(B615,{"enero","febrero","marzo","abril","mayo","junio","julio","agosto","septiembre","octubre","noviembre","diciembre"},0)+1,0))</f>
        <v/>
      </c>
      <c r="E615" t="str">
        <f>+IFERROR(VLOOKUP(Fact_Administrativa[[#This Row], [Concepto Anterior]],Conceptos_Administrativa[#All],5,0),"")</f>
        <v/>
      </c>
      <c r="F615" t="str">
        <f>+IFERROR(VLOOKUP(Fact_Administrativa[[#This Row], 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ht="18.75" customHeight="1" x14ac:dyDescent="0.35">
      <c r="C616" s="100" t="str">
        <f>IF(OR(Fact_Administrativa[[#This Row], [Año]]="",Fact_Administrativa[[#This Row], [Mes]]=""),"",DATE(A616,MATCH(B616,{"enero","febrero","marzo","abril","mayo","junio","julio","agosto","septiembre","octubre","noviembre","diciembre"},0)+1,0))</f>
        <v/>
      </c>
      <c r="E616" t="str">
        <f>+IFERROR(VLOOKUP(Fact_Administrativa[[#This Row], [Concepto Anterior]],Conceptos_Administrativa[#All],5,0),"")</f>
        <v/>
      </c>
      <c r="F616" t="str">
        <f>+IFERROR(VLOOKUP(Fact_Administrativa[[#This Row], 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ht="18.75" customHeight="1" x14ac:dyDescent="0.35">
      <c r="C617" s="100" t="str">
        <f>IF(OR(Fact_Administrativa[[#This Row], [Año]]="",Fact_Administrativa[[#This Row], [Mes]]=""),"",DATE(A617,MATCH(B617,{"enero","febrero","marzo","abril","mayo","junio","julio","agosto","septiembre","octubre","noviembre","diciembre"},0)+1,0))</f>
        <v/>
      </c>
      <c r="E617" t="str">
        <f>+IFERROR(VLOOKUP(Fact_Administrativa[[#This Row], [Concepto Anterior]],Conceptos_Administrativa[#All],5,0),"")</f>
        <v/>
      </c>
      <c r="F617" t="str">
        <f>+IFERROR(VLOOKUP(Fact_Administrativa[[#This Row], 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ht="18.75" customHeight="1" x14ac:dyDescent="0.35">
      <c r="C618" s="100" t="str">
        <f>IF(OR(Fact_Administrativa[[#This Row], [Año]]="",Fact_Administrativa[[#This Row], [Mes]]=""),"",DATE(A618,MATCH(B618,{"enero","febrero","marzo","abril","mayo","junio","julio","agosto","septiembre","octubre","noviembre","diciembre"},0)+1,0))</f>
        <v/>
      </c>
      <c r="E618" t="str">
        <f>+IFERROR(VLOOKUP(Fact_Administrativa[[#This Row], [Concepto Anterior]],Conceptos_Administrativa[#All],5,0),"")</f>
        <v/>
      </c>
      <c r="F618" t="str">
        <f>+IFERROR(VLOOKUP(Fact_Administrativa[[#This Row], 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ht="18.75" customHeight="1" x14ac:dyDescent="0.35">
      <c r="C619" s="100" t="str">
        <f>IF(OR(Fact_Administrativa[[#This Row], [Año]]="",Fact_Administrativa[[#This Row], [Mes]]=""),"",DATE(A619,MATCH(B619,{"enero","febrero","marzo","abril","mayo","junio","julio","agosto","septiembre","octubre","noviembre","diciembre"},0)+1,0))</f>
        <v/>
      </c>
      <c r="E619" t="str">
        <f>+IFERROR(VLOOKUP(Fact_Administrativa[[#This Row], [Concepto Anterior]],Conceptos_Administrativa[#All],5,0),"")</f>
        <v/>
      </c>
      <c r="F619" t="str">
        <f>+IFERROR(VLOOKUP(Fact_Administrativa[[#This Row], 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ht="18.75" customHeight="1" x14ac:dyDescent="0.35">
      <c r="C620" s="100" t="str">
        <f>IF(OR(Fact_Administrativa[[#This Row], [Año]]="",Fact_Administrativa[[#This Row], [Mes]]=""),"",DATE(A620,MATCH(B620,{"enero","febrero","marzo","abril","mayo","junio","julio","agosto","septiembre","octubre","noviembre","diciembre"},0)+1,0))</f>
        <v/>
      </c>
      <c r="E620" t="str">
        <f>+IFERROR(VLOOKUP(Fact_Administrativa[[#This Row], [Concepto Anterior]],Conceptos_Administrativa[#All],5,0),"")</f>
        <v/>
      </c>
      <c r="F620" t="str">
        <f>+IFERROR(VLOOKUP(Fact_Administrativa[[#This Row], 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ht="18.75" customHeight="1" x14ac:dyDescent="0.35">
      <c r="C621" s="100" t="str">
        <f>IF(OR(Fact_Administrativa[[#This Row], [Año]]="",Fact_Administrativa[[#This Row], [Mes]]=""),"",DATE(A621,MATCH(B621,{"enero","febrero","marzo","abril","mayo","junio","julio","agosto","septiembre","octubre","noviembre","diciembre"},0)+1,0))</f>
        <v/>
      </c>
      <c r="E621" t="str">
        <f>+IFERROR(VLOOKUP(Fact_Administrativa[[#This Row], [Concepto Anterior]],Conceptos_Administrativa[#All],5,0),"")</f>
        <v/>
      </c>
      <c r="F621" t="str">
        <f>+IFERROR(VLOOKUP(Fact_Administrativa[[#This Row], 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ht="18.75" customHeight="1" x14ac:dyDescent="0.35">
      <c r="C622" s="100" t="str">
        <f>IF(OR(Fact_Administrativa[[#This Row], [Año]]="",Fact_Administrativa[[#This Row], [Mes]]=""),"",DATE(A622,MATCH(B622,{"enero","febrero","marzo","abril","mayo","junio","julio","agosto","septiembre","octubre","noviembre","diciembre"},0)+1,0))</f>
        <v/>
      </c>
      <c r="E622" t="str">
        <f>+IFERROR(VLOOKUP(Fact_Administrativa[[#This Row], [Concepto Anterior]],Conceptos_Administrativa[#All],5,0),"")</f>
        <v/>
      </c>
      <c r="F622" t="str">
        <f>+IFERROR(VLOOKUP(Fact_Administrativa[[#This Row], 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ht="18.75" customHeight="1" x14ac:dyDescent="0.35">
      <c r="C623" s="100" t="str">
        <f>IF(OR(Fact_Administrativa[[#This Row], [Año]]="",Fact_Administrativa[[#This Row], [Mes]]=""),"",DATE(A623,MATCH(B623,{"enero","febrero","marzo","abril","mayo","junio","julio","agosto","septiembre","octubre","noviembre","diciembre"},0)+1,0))</f>
        <v/>
      </c>
      <c r="E623" t="str">
        <f>+IFERROR(VLOOKUP(Fact_Administrativa[[#This Row], [Concepto Anterior]],Conceptos_Administrativa[#All],5,0),"")</f>
        <v/>
      </c>
      <c r="F623" t="str">
        <f>+IFERROR(VLOOKUP(Fact_Administrativa[[#This Row], 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ht="18.75" customHeight="1" x14ac:dyDescent="0.35">
      <c r="C624" s="100" t="str">
        <f>IF(OR(Fact_Administrativa[[#This Row], [Año]]="",Fact_Administrativa[[#This Row], [Mes]]=""),"",DATE(A624,MATCH(B624,{"enero","febrero","marzo","abril","mayo","junio","julio","agosto","septiembre","octubre","noviembre","diciembre"},0)+1,0))</f>
        <v/>
      </c>
      <c r="E624" t="str">
        <f>+IFERROR(VLOOKUP(Fact_Administrativa[[#This Row], [Concepto Anterior]],Conceptos_Administrativa[#All],5,0),"")</f>
        <v/>
      </c>
      <c r="F624" t="str">
        <f>+IFERROR(VLOOKUP(Fact_Administrativa[[#This Row], 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ht="18.75" customHeight="1" x14ac:dyDescent="0.35">
      <c r="C625" s="100" t="str">
        <f>IF(OR(Fact_Administrativa[[#This Row], [Año]]="",Fact_Administrativa[[#This Row], [Mes]]=""),"",DATE(A625,MATCH(B625,{"enero","febrero","marzo","abril","mayo","junio","julio","agosto","septiembre","octubre","noviembre","diciembre"},0)+1,0))</f>
        <v/>
      </c>
      <c r="E625" t="str">
        <f>+IFERROR(VLOOKUP(Fact_Administrativa[[#This Row], [Concepto Anterior]],Conceptos_Administrativa[#All],5,0),"")</f>
        <v/>
      </c>
      <c r="F625" t="str">
        <f>+IFERROR(VLOOKUP(Fact_Administrativa[[#This Row], 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ht="18.75" customHeight="1" x14ac:dyDescent="0.35">
      <c r="C626" s="100" t="str">
        <f>IF(OR(Fact_Administrativa[[#This Row], [Año]]="",Fact_Administrativa[[#This Row], [Mes]]=""),"",DATE(A626,MATCH(B626,{"enero","febrero","marzo","abril","mayo","junio","julio","agosto","septiembre","octubre","noviembre","diciembre"},0)+1,0))</f>
        <v/>
      </c>
      <c r="E626" t="str">
        <f>+IFERROR(VLOOKUP(Fact_Administrativa[[#This Row], [Concepto Anterior]],Conceptos_Administrativa[#All],5,0),"")</f>
        <v/>
      </c>
      <c r="F626" t="str">
        <f>+IFERROR(VLOOKUP(Fact_Administrativa[[#This Row], 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ht="18.75" customHeight="1" x14ac:dyDescent="0.35">
      <c r="C627" s="100" t="str">
        <f>IF(OR(Fact_Administrativa[[#This Row], [Año]]="",Fact_Administrativa[[#This Row], [Mes]]=""),"",DATE(A627,MATCH(B627,{"enero","febrero","marzo","abril","mayo","junio","julio","agosto","septiembre","octubre","noviembre","diciembre"},0)+1,0))</f>
        <v/>
      </c>
      <c r="E627" t="str">
        <f>+IFERROR(VLOOKUP(Fact_Administrativa[[#This Row], [Concepto Anterior]],Conceptos_Administrativa[#All],5,0),"")</f>
        <v/>
      </c>
      <c r="F627" t="str">
        <f>+IFERROR(VLOOKUP(Fact_Administrativa[[#This Row], 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ht="18.75" customHeight="1" x14ac:dyDescent="0.35">
      <c r="C628" s="100" t="str">
        <f>IF(OR(Fact_Administrativa[[#This Row], [Año]]="",Fact_Administrativa[[#This Row], [Mes]]=""),"",DATE(A628,MATCH(B628,{"enero","febrero","marzo","abril","mayo","junio","julio","agosto","septiembre","octubre","noviembre","diciembre"},0)+1,0))</f>
        <v/>
      </c>
      <c r="E628" t="str">
        <f>+IFERROR(VLOOKUP(Fact_Administrativa[[#This Row], [Concepto Anterior]],Conceptos_Administrativa[#All],5,0),"")</f>
        <v/>
      </c>
      <c r="F628" t="str">
        <f>+IFERROR(VLOOKUP(Fact_Administrativa[[#This Row], 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ht="18.75" customHeight="1" x14ac:dyDescent="0.35">
      <c r="C629" s="100" t="str">
        <f>IF(OR(Fact_Administrativa[[#This Row], [Año]]="",Fact_Administrativa[[#This Row], [Mes]]=""),"",DATE(A629,MATCH(B629,{"enero","febrero","marzo","abril","mayo","junio","julio","agosto","septiembre","octubre","noviembre","diciembre"},0)+1,0))</f>
        <v/>
      </c>
      <c r="E629" t="str">
        <f>+IFERROR(VLOOKUP(Fact_Administrativa[[#This Row], [Concepto Anterior]],Conceptos_Administrativa[#All],5,0),"")</f>
        <v/>
      </c>
      <c r="F629" t="str">
        <f>+IFERROR(VLOOKUP(Fact_Administrativa[[#This Row], 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ht="18.75" customHeight="1" x14ac:dyDescent="0.35">
      <c r="C630" s="100" t="str">
        <f>IF(OR(Fact_Administrativa[[#This Row], [Año]]="",Fact_Administrativa[[#This Row], [Mes]]=""),"",DATE(A630,MATCH(B630,{"enero","febrero","marzo","abril","mayo","junio","julio","agosto","septiembre","octubre","noviembre","diciembre"},0)+1,0))</f>
        <v/>
      </c>
      <c r="E630" t="str">
        <f>+IFERROR(VLOOKUP(Fact_Administrativa[[#This Row], [Concepto Anterior]],Conceptos_Administrativa[#All],5,0),"")</f>
        <v/>
      </c>
      <c r="F630" t="str">
        <f>+IFERROR(VLOOKUP(Fact_Administrativa[[#This Row], 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ht="18.75" customHeight="1" x14ac:dyDescent="0.35">
      <c r="C631" s="100" t="str">
        <f>IF(OR(Fact_Administrativa[[#This Row], [Año]]="",Fact_Administrativa[[#This Row], [Mes]]=""),"",DATE(A631,MATCH(B631,{"enero","febrero","marzo","abril","mayo","junio","julio","agosto","septiembre","octubre","noviembre","diciembre"},0)+1,0))</f>
        <v/>
      </c>
      <c r="E631" t="str">
        <f>+IFERROR(VLOOKUP(Fact_Administrativa[[#This Row], [Concepto Anterior]],Conceptos_Administrativa[#All],5,0),"")</f>
        <v/>
      </c>
      <c r="F631" t="str">
        <f>+IFERROR(VLOOKUP(Fact_Administrativa[[#This Row], 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ht="18.75" customHeight="1" x14ac:dyDescent="0.35">
      <c r="C632" s="100" t="str">
        <f>IF(OR(Fact_Administrativa[[#This Row], [Año]]="",Fact_Administrativa[[#This Row], [Mes]]=""),"",DATE(A632,MATCH(B632,{"enero","febrero","marzo","abril","mayo","junio","julio","agosto","septiembre","octubre","noviembre","diciembre"},0)+1,0))</f>
        <v/>
      </c>
      <c r="E632" t="str">
        <f>+IFERROR(VLOOKUP(Fact_Administrativa[[#This Row], [Concepto Anterior]],Conceptos_Administrativa[#All],5,0),"")</f>
        <v/>
      </c>
      <c r="F632" t="str">
        <f>+IFERROR(VLOOKUP(Fact_Administrativa[[#This Row], 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ht="18.75" customHeight="1" x14ac:dyDescent="0.35">
      <c r="C633" s="100" t="str">
        <f>IF(OR(Fact_Administrativa[[#This Row], [Año]]="",Fact_Administrativa[[#This Row], [Mes]]=""),"",DATE(A633,MATCH(B633,{"enero","febrero","marzo","abril","mayo","junio","julio","agosto","septiembre","octubre","noviembre","diciembre"},0)+1,0))</f>
        <v/>
      </c>
      <c r="E633" t="str">
        <f>+IFERROR(VLOOKUP(Fact_Administrativa[[#This Row], [Concepto Anterior]],Conceptos_Administrativa[#All],5,0),"")</f>
        <v/>
      </c>
      <c r="F633" t="str">
        <f>+IFERROR(VLOOKUP(Fact_Administrativa[[#This Row], 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ht="18.75" customHeight="1" x14ac:dyDescent="0.35">
      <c r="C634" s="100" t="str">
        <f>IF(OR(Fact_Administrativa[[#This Row], [Año]]="",Fact_Administrativa[[#This Row], [Mes]]=""),"",DATE(A634,MATCH(B634,{"enero","febrero","marzo","abril","mayo","junio","julio","agosto","septiembre","octubre","noviembre","diciembre"},0)+1,0))</f>
        <v/>
      </c>
      <c r="E634" t="str">
        <f>+IFERROR(VLOOKUP(Fact_Administrativa[[#This Row], [Concepto Anterior]],Conceptos_Administrativa[#All],5,0),"")</f>
        <v/>
      </c>
      <c r="F634" t="str">
        <f>+IFERROR(VLOOKUP(Fact_Administrativa[[#This Row], 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ht="18.75" customHeight="1" x14ac:dyDescent="0.35">
      <c r="C635" s="100" t="str">
        <f>IF(OR(Fact_Administrativa[[#This Row], [Año]]="",Fact_Administrativa[[#This Row], [Mes]]=""),"",DATE(A635,MATCH(B635,{"enero","febrero","marzo","abril","mayo","junio","julio","agosto","septiembre","octubre","noviembre","diciembre"},0)+1,0))</f>
        <v/>
      </c>
      <c r="E635" t="str">
        <f>+IFERROR(VLOOKUP(Fact_Administrativa[[#This Row], [Concepto Anterior]],Conceptos_Administrativa[#All],5,0),"")</f>
        <v/>
      </c>
      <c r="F635" t="str">
        <f>+IFERROR(VLOOKUP(Fact_Administrativa[[#This Row], 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ht="18.75" customHeight="1" x14ac:dyDescent="0.35">
      <c r="C636" s="100" t="str">
        <f>IF(OR(Fact_Administrativa[[#This Row], [Año]]="",Fact_Administrativa[[#This Row], [Mes]]=""),"",DATE(A636,MATCH(B636,{"enero","febrero","marzo","abril","mayo","junio","julio","agosto","septiembre","octubre","noviembre","diciembre"},0)+1,0))</f>
        <v/>
      </c>
      <c r="E636" t="str">
        <f>+IFERROR(VLOOKUP(Fact_Administrativa[[#This Row], [Concepto Anterior]],Conceptos_Administrativa[#All],5,0),"")</f>
        <v/>
      </c>
      <c r="F636" t="str">
        <f>+IFERROR(VLOOKUP(Fact_Administrativa[[#This Row], 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ht="18.75" customHeight="1" x14ac:dyDescent="0.35">
      <c r="C637" s="100" t="str">
        <f>IF(OR(Fact_Administrativa[[#This Row], [Año]]="",Fact_Administrativa[[#This Row], [Mes]]=""),"",DATE(A637,MATCH(B637,{"enero","febrero","marzo","abril","mayo","junio","julio","agosto","septiembre","octubre","noviembre","diciembre"},0)+1,0))</f>
        <v/>
      </c>
      <c r="E637" t="str">
        <f>+IFERROR(VLOOKUP(Fact_Administrativa[[#This Row], [Concepto Anterior]],Conceptos_Administrativa[#All],5,0),"")</f>
        <v/>
      </c>
      <c r="F637" t="str">
        <f>+IFERROR(VLOOKUP(Fact_Administrativa[[#This Row], 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ht="18.75" customHeight="1" x14ac:dyDescent="0.35">
      <c r="C638" s="100" t="str">
        <f>IF(OR(Fact_Administrativa[[#This Row], [Año]]="",Fact_Administrativa[[#This Row], [Mes]]=""),"",DATE(A638,MATCH(B638,{"enero","febrero","marzo","abril","mayo","junio","julio","agosto","septiembre","octubre","noviembre","diciembre"},0)+1,0))</f>
        <v/>
      </c>
      <c r="E638" t="str">
        <f>+IFERROR(VLOOKUP(Fact_Administrativa[[#This Row], [Concepto Anterior]],Conceptos_Administrativa[#All],5,0),"")</f>
        <v/>
      </c>
      <c r="F638" t="str">
        <f>+IFERROR(VLOOKUP(Fact_Administrativa[[#This Row], 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ht="18.75" customHeight="1" x14ac:dyDescent="0.35">
      <c r="C639" s="100" t="str">
        <f>IF(OR(Fact_Administrativa[[#This Row], [Año]]="",Fact_Administrativa[[#This Row], [Mes]]=""),"",DATE(A639,MATCH(B639,{"enero","febrero","marzo","abril","mayo","junio","julio","agosto","septiembre","octubre","noviembre","diciembre"},0)+1,0))</f>
        <v/>
      </c>
      <c r="E639" t="str">
        <f>+IFERROR(VLOOKUP(Fact_Administrativa[[#This Row], [Concepto Anterior]],Conceptos_Administrativa[#All],5,0),"")</f>
        <v/>
      </c>
      <c r="F639" t="str">
        <f>+IFERROR(VLOOKUP(Fact_Administrativa[[#This Row], 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ht="18.75" customHeight="1" x14ac:dyDescent="0.35">
      <c r="C640" s="100" t="str">
        <f>IF(OR(Fact_Administrativa[[#This Row], [Año]]="",Fact_Administrativa[[#This Row], [Mes]]=""),"",DATE(A640,MATCH(B640,{"enero","febrero","marzo","abril","mayo","junio","julio","agosto","septiembre","octubre","noviembre","diciembre"},0)+1,0))</f>
        <v/>
      </c>
      <c r="E640" t="str">
        <f>+IFERROR(VLOOKUP(Fact_Administrativa[[#This Row], [Concepto Anterior]],Conceptos_Administrativa[#All],5,0),"")</f>
        <v/>
      </c>
      <c r="F640" t="str">
        <f>+IFERROR(VLOOKUP(Fact_Administrativa[[#This Row], 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ht="18.75" customHeight="1" x14ac:dyDescent="0.35">
      <c r="C641" s="100" t="str">
        <f>IF(OR(Fact_Administrativa[[#This Row], [Año]]="",Fact_Administrativa[[#This Row], [Mes]]=""),"",DATE(A641,MATCH(B641,{"enero","febrero","marzo","abril","mayo","junio","julio","agosto","septiembre","octubre","noviembre","diciembre"},0)+1,0))</f>
        <v/>
      </c>
      <c r="E641" t="str">
        <f>+IFERROR(VLOOKUP(Fact_Administrativa[[#This Row], [Concepto Anterior]],Conceptos_Administrativa[#All],5,0),"")</f>
        <v/>
      </c>
      <c r="F641" t="str">
        <f>+IFERROR(VLOOKUP(Fact_Administrativa[[#This Row], 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ht="18.75" customHeight="1" x14ac:dyDescent="0.35">
      <c r="C642" s="100" t="str">
        <f>IF(OR(Fact_Administrativa[[#This Row], [Año]]="",Fact_Administrativa[[#This Row], [Mes]]=""),"",DATE(A642,MATCH(B642,{"enero","febrero","marzo","abril","mayo","junio","julio","agosto","septiembre","octubre","noviembre","diciembre"},0)+1,0))</f>
        <v/>
      </c>
      <c r="E642" t="str">
        <f>+IFERROR(VLOOKUP(Fact_Administrativa[[#This Row], [Concepto Anterior]],Conceptos_Administrativa[#All],5,0),"")</f>
        <v/>
      </c>
      <c r="F642" t="str">
        <f>+IFERROR(VLOOKUP(Fact_Administrativa[[#This Row], 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ht="18.75" customHeight="1" x14ac:dyDescent="0.35">
      <c r="C643" s="100" t="str">
        <f>IF(OR(Fact_Administrativa[[#This Row], [Año]]="",Fact_Administrativa[[#This Row], [Mes]]=""),"",DATE(A643,MATCH(B643,{"enero","febrero","marzo","abril","mayo","junio","julio","agosto","septiembre","octubre","noviembre","diciembre"},0)+1,0))</f>
        <v/>
      </c>
      <c r="E643" t="str">
        <f>+IFERROR(VLOOKUP(Fact_Administrativa[[#This Row], [Concepto Anterior]],Conceptos_Administrativa[#All],5,0),"")</f>
        <v/>
      </c>
      <c r="F643" t="str">
        <f>+IFERROR(VLOOKUP(Fact_Administrativa[[#This Row], 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ht="18.75" customHeight="1" x14ac:dyDescent="0.35">
      <c r="C644" s="100" t="str">
        <f>IF(OR(Fact_Administrativa[[#This Row], [Año]]="",Fact_Administrativa[[#This Row], [Mes]]=""),"",DATE(A644,MATCH(B644,{"enero","febrero","marzo","abril","mayo","junio","julio","agosto","septiembre","octubre","noviembre","diciembre"},0)+1,0))</f>
        <v/>
      </c>
      <c r="E644" t="str">
        <f>+IFERROR(VLOOKUP(Fact_Administrativa[[#This Row], [Concepto Anterior]],Conceptos_Administrativa[#All],5,0),"")</f>
        <v/>
      </c>
      <c r="F644" t="str">
        <f>+IFERROR(VLOOKUP(Fact_Administrativa[[#This Row], 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ht="18.75" customHeight="1" x14ac:dyDescent="0.35">
      <c r="C645" s="100" t="str">
        <f>IF(OR(Fact_Administrativa[[#This Row], [Año]]="",Fact_Administrativa[[#This Row], [Mes]]=""),"",DATE(A645,MATCH(B645,{"enero","febrero","marzo","abril","mayo","junio","julio","agosto","septiembre","octubre","noviembre","diciembre"},0)+1,0))</f>
        <v/>
      </c>
      <c r="E645" t="str">
        <f>+IFERROR(VLOOKUP(Fact_Administrativa[[#This Row], [Concepto Anterior]],Conceptos_Administrativa[#All],5,0),"")</f>
        <v/>
      </c>
      <c r="F645" t="str">
        <f>+IFERROR(VLOOKUP(Fact_Administrativa[[#This Row], 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ht="18.75" customHeight="1" x14ac:dyDescent="0.35">
      <c r="C646" s="100" t="str">
        <f>IF(OR(Fact_Administrativa[[#This Row], [Año]]="",Fact_Administrativa[[#This Row], [Mes]]=""),"",DATE(A646,MATCH(B646,{"enero","febrero","marzo","abril","mayo","junio","julio","agosto","septiembre","octubre","noviembre","diciembre"},0)+1,0))</f>
        <v/>
      </c>
      <c r="E646" t="str">
        <f>+IFERROR(VLOOKUP(Fact_Administrativa[[#This Row], [Concepto Anterior]],Conceptos_Administrativa[#All],5,0),"")</f>
        <v/>
      </c>
      <c r="F646" t="str">
        <f>+IFERROR(VLOOKUP(Fact_Administrativa[[#This Row], 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ht="18.75" customHeight="1" x14ac:dyDescent="0.35">
      <c r="C647" s="100" t="str">
        <f>IF(OR(Fact_Administrativa[[#This Row], [Año]]="",Fact_Administrativa[[#This Row], [Mes]]=""),"",DATE(A647,MATCH(B647,{"enero","febrero","marzo","abril","mayo","junio","julio","agosto","septiembre","octubre","noviembre","diciembre"},0)+1,0))</f>
        <v/>
      </c>
      <c r="E647" t="str">
        <f>+IFERROR(VLOOKUP(Fact_Administrativa[[#This Row], [Concepto Anterior]],Conceptos_Administrativa[#All],5,0),"")</f>
        <v/>
      </c>
      <c r="F647" t="str">
        <f>+IFERROR(VLOOKUP(Fact_Administrativa[[#This Row], 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ht="18.75" customHeight="1" x14ac:dyDescent="0.35">
      <c r="C648" s="100" t="str">
        <f>IF(OR(Fact_Administrativa[[#This Row], [Año]]="",Fact_Administrativa[[#This Row], [Mes]]=""),"",DATE(A648,MATCH(B648,{"enero","febrero","marzo","abril","mayo","junio","julio","agosto","septiembre","octubre","noviembre","diciembre"},0)+1,0))</f>
        <v/>
      </c>
      <c r="E648" t="str">
        <f>+IFERROR(VLOOKUP(Fact_Administrativa[[#This Row], [Concepto Anterior]],Conceptos_Administrativa[#All],5,0),"")</f>
        <v/>
      </c>
      <c r="F648" t="str">
        <f>+IFERROR(VLOOKUP(Fact_Administrativa[[#This Row], 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ht="18.75" customHeight="1" x14ac:dyDescent="0.35">
      <c r="C649" s="100" t="str">
        <f>IF(OR(Fact_Administrativa[[#This Row], [Año]]="",Fact_Administrativa[[#This Row], [Mes]]=""),"",DATE(A649,MATCH(B649,{"enero","febrero","marzo","abril","mayo","junio","julio","agosto","septiembre","octubre","noviembre","diciembre"},0)+1,0))</f>
        <v/>
      </c>
      <c r="E649" t="str">
        <f>+IFERROR(VLOOKUP(Fact_Administrativa[[#This Row], [Concepto Anterior]],Conceptos_Administrativa[#All],5,0),"")</f>
        <v/>
      </c>
      <c r="F649" t="str">
        <f>+IFERROR(VLOOKUP(Fact_Administrativa[[#This Row], 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ht="18.75" customHeight="1" x14ac:dyDescent="0.35">
      <c r="C650" s="100" t="str">
        <f>IF(OR(Fact_Administrativa[[#This Row], [Año]]="",Fact_Administrativa[[#This Row], [Mes]]=""),"",DATE(A650,MATCH(B650,{"enero","febrero","marzo","abril","mayo","junio","julio","agosto","septiembre","octubre","noviembre","diciembre"},0)+1,0))</f>
        <v/>
      </c>
      <c r="E650" t="str">
        <f>+IFERROR(VLOOKUP(Fact_Administrativa[[#This Row], [Concepto Anterior]],Conceptos_Administrativa[#All],5,0),"")</f>
        <v/>
      </c>
      <c r="F650" t="str">
        <f>+IFERROR(VLOOKUP(Fact_Administrativa[[#This Row], 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ht="18.75" customHeight="1" x14ac:dyDescent="0.35">
      <c r="C651" s="100" t="str">
        <f>IF(OR(Fact_Administrativa[[#This Row], [Año]]="",Fact_Administrativa[[#This Row], [Mes]]=""),"",DATE(A651,MATCH(B651,{"enero","febrero","marzo","abril","mayo","junio","julio","agosto","septiembre","octubre","noviembre","diciembre"},0)+1,0))</f>
        <v/>
      </c>
      <c r="E651" t="str">
        <f>+IFERROR(VLOOKUP(Fact_Administrativa[[#This Row], [Concepto Anterior]],Conceptos_Administrativa[#All],5,0),"")</f>
        <v/>
      </c>
      <c r="F651" t="str">
        <f>+IFERROR(VLOOKUP(Fact_Administrativa[[#This Row], 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ht="18.75" customHeight="1" x14ac:dyDescent="0.35">
      <c r="C652" s="100" t="str">
        <f>IF(OR(Fact_Administrativa[[#This Row], [Año]]="",Fact_Administrativa[[#This Row], [Mes]]=""),"",DATE(A652,MATCH(B652,{"enero","febrero","marzo","abril","mayo","junio","julio","agosto","septiembre","octubre","noviembre","diciembre"},0)+1,0))</f>
        <v/>
      </c>
      <c r="E652" t="str">
        <f>+IFERROR(VLOOKUP(Fact_Administrativa[[#This Row], [Concepto Anterior]],Conceptos_Administrativa[#All],5,0),"")</f>
        <v/>
      </c>
      <c r="F652" t="str">
        <f>+IFERROR(VLOOKUP(Fact_Administrativa[[#This Row], 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ht="18.75" customHeight="1" x14ac:dyDescent="0.35">
      <c r="C653" s="100" t="str">
        <f>IF(OR(Fact_Administrativa[[#This Row], [Año]]="",Fact_Administrativa[[#This Row], [Mes]]=""),"",DATE(A653,MATCH(B653,{"enero","febrero","marzo","abril","mayo","junio","julio","agosto","septiembre","octubre","noviembre","diciembre"},0)+1,0))</f>
        <v/>
      </c>
      <c r="E653" t="str">
        <f>+IFERROR(VLOOKUP(Fact_Administrativa[[#This Row], [Concepto Anterior]],Conceptos_Administrativa[#All],5,0),"")</f>
        <v/>
      </c>
      <c r="F653" t="str">
        <f>+IFERROR(VLOOKUP(Fact_Administrativa[[#This Row], 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ht="18.75" customHeight="1" x14ac:dyDescent="0.35">
      <c r="C654" s="100" t="str">
        <f>IF(OR(Fact_Administrativa[[#This Row], [Año]]="",Fact_Administrativa[[#This Row], [Mes]]=""),"",DATE(A654,MATCH(B654,{"enero","febrero","marzo","abril","mayo","junio","julio","agosto","septiembre","octubre","noviembre","diciembre"},0)+1,0))</f>
        <v/>
      </c>
      <c r="E654" t="str">
        <f>+IFERROR(VLOOKUP(Fact_Administrativa[[#This Row], [Concepto Anterior]],Conceptos_Administrativa[#All],5,0),"")</f>
        <v/>
      </c>
      <c r="F654" t="str">
        <f>+IFERROR(VLOOKUP(Fact_Administrativa[[#This Row], 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ht="18.75" customHeight="1" x14ac:dyDescent="0.35">
      <c r="C655" s="100" t="str">
        <f>IF(OR(Fact_Administrativa[[#This Row], [Año]]="",Fact_Administrativa[[#This Row], [Mes]]=""),"",DATE(A655,MATCH(B655,{"enero","febrero","marzo","abril","mayo","junio","julio","agosto","septiembre","octubre","noviembre","diciembre"},0)+1,0))</f>
        <v/>
      </c>
      <c r="E655" t="str">
        <f>+IFERROR(VLOOKUP(Fact_Administrativa[[#This Row], [Concepto Anterior]],Conceptos_Administrativa[#All],5,0),"")</f>
        <v/>
      </c>
      <c r="F655" t="str">
        <f>+IFERROR(VLOOKUP(Fact_Administrativa[[#This Row], 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ht="18.75" customHeight="1" x14ac:dyDescent="0.35">
      <c r="C656" s="100" t="str">
        <f>IF(OR(Fact_Administrativa[[#This Row], [Año]]="",Fact_Administrativa[[#This Row], [Mes]]=""),"",DATE(A656,MATCH(B656,{"enero","febrero","marzo","abril","mayo","junio","julio","agosto","septiembre","octubre","noviembre","diciembre"},0)+1,0))</f>
        <v/>
      </c>
      <c r="E656" t="str">
        <f>+IFERROR(VLOOKUP(Fact_Administrativa[[#This Row], [Concepto Anterior]],Conceptos_Administrativa[#All],5,0),"")</f>
        <v/>
      </c>
      <c r="F656" t="str">
        <f>+IFERROR(VLOOKUP(Fact_Administrativa[[#This Row], 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ht="18.75" customHeight="1" x14ac:dyDescent="0.35">
      <c r="C657" s="100" t="str">
        <f>IF(OR(Fact_Administrativa[[#This Row], [Año]]="",Fact_Administrativa[[#This Row], [Mes]]=""),"",DATE(A657,MATCH(B657,{"enero","febrero","marzo","abril","mayo","junio","julio","agosto","septiembre","octubre","noviembre","diciembre"},0)+1,0))</f>
        <v/>
      </c>
      <c r="E657" t="str">
        <f>+IFERROR(VLOOKUP(Fact_Administrativa[[#This Row], [Concepto Anterior]],Conceptos_Administrativa[#All],5,0),"")</f>
        <v/>
      </c>
      <c r="F657" t="str">
        <f>+IFERROR(VLOOKUP(Fact_Administrativa[[#This Row], 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ht="18.75" customHeight="1" x14ac:dyDescent="0.35">
      <c r="C658" s="100" t="str">
        <f>IF(OR(Fact_Administrativa[[#This Row], [Año]]="",Fact_Administrativa[[#This Row], [Mes]]=""),"",DATE(A658,MATCH(B658,{"enero","febrero","marzo","abril","mayo","junio","julio","agosto","septiembre","octubre","noviembre","diciembre"},0)+1,0))</f>
        <v/>
      </c>
      <c r="E658" t="str">
        <f>+IFERROR(VLOOKUP(Fact_Administrativa[[#This Row], [Concepto Anterior]],Conceptos_Administrativa[#All],5,0),"")</f>
        <v/>
      </c>
      <c r="F658" t="str">
        <f>+IFERROR(VLOOKUP(Fact_Administrativa[[#This Row], 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ht="18.75" customHeight="1" x14ac:dyDescent="0.35">
      <c r="C659" s="100" t="str">
        <f>IF(OR(Fact_Administrativa[[#This Row], [Año]]="",Fact_Administrativa[[#This Row], [Mes]]=""),"",DATE(A659,MATCH(B659,{"enero","febrero","marzo","abril","mayo","junio","julio","agosto","septiembre","octubre","noviembre","diciembre"},0)+1,0))</f>
        <v/>
      </c>
      <c r="E659" t="str">
        <f>+IFERROR(VLOOKUP(Fact_Administrativa[[#This Row], [Concepto Anterior]],Conceptos_Administrativa[#All],5,0),"")</f>
        <v/>
      </c>
      <c r="F659" t="str">
        <f>+IFERROR(VLOOKUP(Fact_Administrativa[[#This Row], 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ht="18.75" customHeight="1" x14ac:dyDescent="0.35">
      <c r="C660" s="100" t="str">
        <f>IF(OR(Fact_Administrativa[[#This Row], [Año]]="",Fact_Administrativa[[#This Row], [Mes]]=""),"",DATE(A660,MATCH(B660,{"enero","febrero","marzo","abril","mayo","junio","julio","agosto","septiembre","octubre","noviembre","diciembre"},0)+1,0))</f>
        <v/>
      </c>
      <c r="E660" t="str">
        <f>+IFERROR(VLOOKUP(Fact_Administrativa[[#This Row], [Concepto Anterior]],Conceptos_Administrativa[#All],5,0),"")</f>
        <v/>
      </c>
      <c r="F660" t="str">
        <f>+IFERROR(VLOOKUP(Fact_Administrativa[[#This Row], 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ht="18.75" customHeight="1" x14ac:dyDescent="0.35">
      <c r="C661" s="100" t="str">
        <f>IF(OR(Fact_Administrativa[[#This Row], [Año]]="",Fact_Administrativa[[#This Row], [Mes]]=""),"",DATE(A661,MATCH(B661,{"enero","febrero","marzo","abril","mayo","junio","julio","agosto","septiembre","octubre","noviembre","diciembre"},0)+1,0))</f>
        <v/>
      </c>
      <c r="E661" t="str">
        <f>+IFERROR(VLOOKUP(Fact_Administrativa[[#This Row], [Concepto Anterior]],Conceptos_Administrativa[#All],5,0),"")</f>
        <v/>
      </c>
      <c r="F661" t="str">
        <f>+IFERROR(VLOOKUP(Fact_Administrativa[[#This Row], 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ht="18.75" customHeight="1" x14ac:dyDescent="0.35">
      <c r="C662" s="100" t="str">
        <f>IF(OR(Fact_Administrativa[[#This Row], [Año]]="",Fact_Administrativa[[#This Row], [Mes]]=""),"",DATE(A662,MATCH(B662,{"enero","febrero","marzo","abril","mayo","junio","julio","agosto","septiembre","octubre","noviembre","diciembre"},0)+1,0))</f>
        <v/>
      </c>
      <c r="E662" t="str">
        <f>+IFERROR(VLOOKUP(Fact_Administrativa[[#This Row], [Concepto Anterior]],Conceptos_Administrativa[#All],5,0),"")</f>
        <v/>
      </c>
      <c r="F662" t="str">
        <f>+IFERROR(VLOOKUP(Fact_Administrativa[[#This Row], 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ht="18.75" customHeight="1" x14ac:dyDescent="0.35">
      <c r="C663" s="100" t="str">
        <f>IF(OR(Fact_Administrativa[[#This Row], [Año]]="",Fact_Administrativa[[#This Row], [Mes]]=""),"",DATE(A663,MATCH(B663,{"enero","febrero","marzo","abril","mayo","junio","julio","agosto","septiembre","octubre","noviembre","diciembre"},0)+1,0))</f>
        <v/>
      </c>
      <c r="E663" t="str">
        <f>+IFERROR(VLOOKUP(Fact_Administrativa[[#This Row], [Concepto Anterior]],Conceptos_Administrativa[#All],5,0),"")</f>
        <v/>
      </c>
      <c r="F663" t="str">
        <f>+IFERROR(VLOOKUP(Fact_Administrativa[[#This Row], 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ht="18.75" customHeight="1" x14ac:dyDescent="0.35">
      <c r="C664" s="100" t="str">
        <f>IF(OR(Fact_Administrativa[[#This Row], [Año]]="",Fact_Administrativa[[#This Row], [Mes]]=""),"",DATE(A664,MATCH(B664,{"enero","febrero","marzo","abril","mayo","junio","julio","agosto","septiembre","octubre","noviembre","diciembre"},0)+1,0))</f>
        <v/>
      </c>
      <c r="E664" t="str">
        <f>+IFERROR(VLOOKUP(Fact_Administrativa[[#This Row], [Concepto Anterior]],Conceptos_Administrativa[#All],5,0),"")</f>
        <v/>
      </c>
      <c r="F664" t="str">
        <f>+IFERROR(VLOOKUP(Fact_Administrativa[[#This Row], 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ht="18.75" customHeight="1" x14ac:dyDescent="0.35">
      <c r="C665" s="100" t="str">
        <f>IF(OR(Fact_Administrativa[[#This Row], [Año]]="",Fact_Administrativa[[#This Row], [Mes]]=""),"",DATE(A665,MATCH(B665,{"enero","febrero","marzo","abril","mayo","junio","julio","agosto","septiembre","octubre","noviembre","diciembre"},0)+1,0))</f>
        <v/>
      </c>
      <c r="E665" t="str">
        <f>+IFERROR(VLOOKUP(Fact_Administrativa[[#This Row], [Concepto Anterior]],Conceptos_Administrativa[#All],5,0),"")</f>
        <v/>
      </c>
      <c r="F665" t="str">
        <f>+IFERROR(VLOOKUP(Fact_Administrativa[[#This Row], 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ht="18.75" customHeight="1" x14ac:dyDescent="0.35">
      <c r="C666" s="100" t="str">
        <f>IF(OR(Fact_Administrativa[[#This Row], [Año]]="",Fact_Administrativa[[#This Row], [Mes]]=""),"",DATE(A666,MATCH(B666,{"enero","febrero","marzo","abril","mayo","junio","julio","agosto","septiembre","octubre","noviembre","diciembre"},0)+1,0))</f>
        <v/>
      </c>
      <c r="E666" t="str">
        <f>+IFERROR(VLOOKUP(Fact_Administrativa[[#This Row], [Concepto Anterior]],Conceptos_Administrativa[#All],5,0),"")</f>
        <v/>
      </c>
      <c r="F666" t="str">
        <f>+IFERROR(VLOOKUP(Fact_Administrativa[[#This Row], 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ht="18.75" customHeight="1" x14ac:dyDescent="0.35">
      <c r="C667" s="100" t="str">
        <f>IF(OR(Fact_Administrativa[[#This Row], [Año]]="",Fact_Administrativa[[#This Row], [Mes]]=""),"",DATE(A667,MATCH(B667,{"enero","febrero","marzo","abril","mayo","junio","julio","agosto","septiembre","octubre","noviembre","diciembre"},0)+1,0))</f>
        <v/>
      </c>
      <c r="E667" t="str">
        <f>+IFERROR(VLOOKUP(Fact_Administrativa[[#This Row], [Concepto Anterior]],Conceptos_Administrativa[#All],5,0),"")</f>
        <v/>
      </c>
      <c r="F667" t="str">
        <f>+IFERROR(VLOOKUP(Fact_Administrativa[[#This Row], 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ht="18.75" customHeight="1" x14ac:dyDescent="0.35">
      <c r="C668" s="100" t="str">
        <f>IF(OR(Fact_Administrativa[[#This Row], [Año]]="",Fact_Administrativa[[#This Row], [Mes]]=""),"",DATE(A668,MATCH(B668,{"enero","febrero","marzo","abril","mayo","junio","julio","agosto","septiembre","octubre","noviembre","diciembre"},0)+1,0))</f>
        <v/>
      </c>
      <c r="E668" t="str">
        <f>+IFERROR(VLOOKUP(Fact_Administrativa[[#This Row], [Concepto Anterior]],Conceptos_Administrativa[#All],5,0),"")</f>
        <v/>
      </c>
      <c r="F668" t="str">
        <f>+IFERROR(VLOOKUP(Fact_Administrativa[[#This Row], 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ht="18.75" customHeight="1" x14ac:dyDescent="0.35">
      <c r="C669" s="100" t="str">
        <f>IF(OR(Fact_Administrativa[[#This Row], [Año]]="",Fact_Administrativa[[#This Row], [Mes]]=""),"",DATE(A669,MATCH(B669,{"enero","febrero","marzo","abril","mayo","junio","julio","agosto","septiembre","octubre","noviembre","diciembre"},0)+1,0))</f>
        <v/>
      </c>
      <c r="E669" t="str">
        <f>+IFERROR(VLOOKUP(Fact_Administrativa[[#This Row], [Concepto Anterior]],Conceptos_Administrativa[#All],5,0),"")</f>
        <v/>
      </c>
      <c r="F669" t="str">
        <f>+IFERROR(VLOOKUP(Fact_Administrativa[[#This Row], 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ht="18.75" customHeight="1" x14ac:dyDescent="0.35">
      <c r="C670" s="100" t="str">
        <f>IF(OR(Fact_Administrativa[[#This Row], [Año]]="",Fact_Administrativa[[#This Row], [Mes]]=""),"",DATE(A670,MATCH(B670,{"enero","febrero","marzo","abril","mayo","junio","julio","agosto","septiembre","octubre","noviembre","diciembre"},0)+1,0))</f>
        <v/>
      </c>
      <c r="E670" t="str">
        <f>+IFERROR(VLOOKUP(Fact_Administrativa[[#This Row], [Concepto Anterior]],Conceptos_Administrativa[#All],5,0),"")</f>
        <v/>
      </c>
      <c r="F670" t="str">
        <f>+IFERROR(VLOOKUP(Fact_Administrativa[[#This Row], 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ht="18.75" customHeight="1" x14ac:dyDescent="0.35">
      <c r="C671" s="100" t="str">
        <f>IF(OR(Fact_Administrativa[[#This Row], [Año]]="",Fact_Administrativa[[#This Row], [Mes]]=""),"",DATE(A671,MATCH(B671,{"enero","febrero","marzo","abril","mayo","junio","julio","agosto","septiembre","octubre","noviembre","diciembre"},0)+1,0))</f>
        <v/>
      </c>
      <c r="E671" t="str">
        <f>+IFERROR(VLOOKUP(Fact_Administrativa[[#This Row], [Concepto Anterior]],Conceptos_Administrativa[#All],5,0),"")</f>
        <v/>
      </c>
      <c r="F671" t="str">
        <f>+IFERROR(VLOOKUP(Fact_Administrativa[[#This Row], 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ht="18.75" customHeight="1" x14ac:dyDescent="0.35">
      <c r="C672" s="100" t="str">
        <f>IF(OR(Fact_Administrativa[[#This Row], [Año]]="",Fact_Administrativa[[#This Row], [Mes]]=""),"",DATE(A672,MATCH(B672,{"enero","febrero","marzo","abril","mayo","junio","julio","agosto","septiembre","octubre","noviembre","diciembre"},0)+1,0))</f>
        <v/>
      </c>
      <c r="E672" t="str">
        <f>+IFERROR(VLOOKUP(Fact_Administrativa[[#This Row], [Concepto Anterior]],Conceptos_Administrativa[#All],5,0),"")</f>
        <v/>
      </c>
      <c r="F672" t="str">
        <f>+IFERROR(VLOOKUP(Fact_Administrativa[[#This Row], 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ht="18.75" customHeight="1" x14ac:dyDescent="0.35">
      <c r="C673" s="100" t="str">
        <f>IF(OR(Fact_Administrativa[[#This Row], [Año]]="",Fact_Administrativa[[#This Row], [Mes]]=""),"",DATE(A673,MATCH(B673,{"enero","febrero","marzo","abril","mayo","junio","julio","agosto","septiembre","octubre","noviembre","diciembre"},0)+1,0))</f>
        <v/>
      </c>
      <c r="E673" t="str">
        <f>+IFERROR(VLOOKUP(Fact_Administrativa[[#This Row], [Concepto Anterior]],Conceptos_Administrativa[#All],5,0),"")</f>
        <v/>
      </c>
      <c r="F673" t="str">
        <f>+IFERROR(VLOOKUP(Fact_Administrativa[[#This Row], 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ht="18.75" customHeight="1" x14ac:dyDescent="0.35">
      <c r="C674" s="100" t="str">
        <f>IF(OR(Fact_Administrativa[[#This Row], [Año]]="",Fact_Administrativa[[#This Row], [Mes]]=""),"",DATE(A674,MATCH(B674,{"enero","febrero","marzo","abril","mayo","junio","julio","agosto","septiembre","octubre","noviembre","diciembre"},0)+1,0))</f>
        <v/>
      </c>
      <c r="E674" t="str">
        <f>+IFERROR(VLOOKUP(Fact_Administrativa[[#This Row], [Concepto Anterior]],Conceptos_Administrativa[#All],5,0),"")</f>
        <v/>
      </c>
      <c r="F674" t="str">
        <f>+IFERROR(VLOOKUP(Fact_Administrativa[[#This Row], 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ht="18.75" customHeight="1" x14ac:dyDescent="0.35">
      <c r="C675" s="100" t="str">
        <f>IF(OR(Fact_Administrativa[[#This Row], [Año]]="",Fact_Administrativa[[#This Row], [Mes]]=""),"",DATE(A675,MATCH(B675,{"enero","febrero","marzo","abril","mayo","junio","julio","agosto","septiembre","octubre","noviembre","diciembre"},0)+1,0))</f>
        <v/>
      </c>
      <c r="E675" t="str">
        <f>+IFERROR(VLOOKUP(Fact_Administrativa[[#This Row], [Concepto Anterior]],Conceptos_Administrativa[#All],5,0),"")</f>
        <v/>
      </c>
      <c r="F675" t="str">
        <f>+IFERROR(VLOOKUP(Fact_Administrativa[[#This Row], 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ht="18.75" customHeight="1" x14ac:dyDescent="0.35">
      <c r="C676" s="100" t="str">
        <f>IF(OR(Fact_Administrativa[[#This Row], [Año]]="",Fact_Administrativa[[#This Row], [Mes]]=""),"",DATE(A676,MATCH(B676,{"enero","febrero","marzo","abril","mayo","junio","julio","agosto","septiembre","octubre","noviembre","diciembre"},0)+1,0))</f>
        <v/>
      </c>
      <c r="E676" t="str">
        <f>+IFERROR(VLOOKUP(Fact_Administrativa[[#This Row], [Concepto Anterior]],Conceptos_Administrativa[#All],5,0),"")</f>
        <v/>
      </c>
      <c r="F676" t="str">
        <f>+IFERROR(VLOOKUP(Fact_Administrativa[[#This Row], 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ht="18.75" customHeight="1" x14ac:dyDescent="0.35">
      <c r="C677" s="100" t="str">
        <f>IF(OR(Fact_Administrativa[[#This Row], [Año]]="",Fact_Administrativa[[#This Row], [Mes]]=""),"",DATE(A677,MATCH(B677,{"enero","febrero","marzo","abril","mayo","junio","julio","agosto","septiembre","octubre","noviembre","diciembre"},0)+1,0))</f>
        <v/>
      </c>
      <c r="E677" t="str">
        <f>+IFERROR(VLOOKUP(Fact_Administrativa[[#This Row], [Concepto Anterior]],Conceptos_Administrativa[#All],5,0),"")</f>
        <v/>
      </c>
      <c r="F677" t="str">
        <f>+IFERROR(VLOOKUP(Fact_Administrativa[[#This Row], 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ht="18.75" customHeight="1" x14ac:dyDescent="0.35">
      <c r="C678" s="100" t="str">
        <f>IF(OR(Fact_Administrativa[[#This Row], [Año]]="",Fact_Administrativa[[#This Row], [Mes]]=""),"",DATE(A678,MATCH(B678,{"enero","febrero","marzo","abril","mayo","junio","julio","agosto","septiembre","octubre","noviembre","diciembre"},0)+1,0))</f>
        <v/>
      </c>
      <c r="E678" t="str">
        <f>+IFERROR(VLOOKUP(Fact_Administrativa[[#This Row], [Concepto Anterior]],Conceptos_Administrativa[#All],5,0),"")</f>
        <v/>
      </c>
      <c r="F678" t="str">
        <f>+IFERROR(VLOOKUP(Fact_Administrativa[[#This Row], 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ht="18.75" customHeight="1" x14ac:dyDescent="0.35">
      <c r="C679" s="100" t="str">
        <f>IF(OR(Fact_Administrativa[[#This Row], [Año]]="",Fact_Administrativa[[#This Row], [Mes]]=""),"",DATE(A679,MATCH(B679,{"enero","febrero","marzo","abril","mayo","junio","julio","agosto","septiembre","octubre","noviembre","diciembre"},0)+1,0))</f>
        <v/>
      </c>
      <c r="E679" t="str">
        <f>+IFERROR(VLOOKUP(Fact_Administrativa[[#This Row], [Concepto Anterior]],Conceptos_Administrativa[#All],5,0),"")</f>
        <v/>
      </c>
      <c r="F679" t="str">
        <f>+IFERROR(VLOOKUP(Fact_Administrativa[[#This Row], 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ht="18.75" customHeight="1" x14ac:dyDescent="0.35">
      <c r="C680" s="100" t="str">
        <f>IF(OR(Fact_Administrativa[[#This Row], [Año]]="",Fact_Administrativa[[#This Row], [Mes]]=""),"",DATE(A680,MATCH(B680,{"enero","febrero","marzo","abril","mayo","junio","julio","agosto","septiembre","octubre","noviembre","diciembre"},0)+1,0))</f>
        <v/>
      </c>
      <c r="E680" t="str">
        <f>+IFERROR(VLOOKUP(Fact_Administrativa[[#This Row], [Concepto Anterior]],Conceptos_Administrativa[#All],5,0),"")</f>
        <v/>
      </c>
      <c r="F680" t="str">
        <f>+IFERROR(VLOOKUP(Fact_Administrativa[[#This Row], 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ht="18.75" customHeight="1" x14ac:dyDescent="0.35">
      <c r="C681" s="100" t="str">
        <f>IF(OR(Fact_Administrativa[[#This Row], [Año]]="",Fact_Administrativa[[#This Row], [Mes]]=""),"",DATE(A681,MATCH(B681,{"enero","febrero","marzo","abril","mayo","junio","julio","agosto","septiembre","octubre","noviembre","diciembre"},0)+1,0))</f>
        <v/>
      </c>
      <c r="E681" t="str">
        <f>+IFERROR(VLOOKUP(Fact_Administrativa[[#This Row], [Concepto Anterior]],Conceptos_Administrativa[#All],5,0),"")</f>
        <v/>
      </c>
      <c r="F681" t="str">
        <f>+IFERROR(VLOOKUP(Fact_Administrativa[[#This Row], 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ht="18.75" customHeight="1" x14ac:dyDescent="0.35">
      <c r="C682" s="100" t="str">
        <f>IF(OR(Fact_Administrativa[[#This Row], [Año]]="",Fact_Administrativa[[#This Row], [Mes]]=""),"",DATE(A682,MATCH(B682,{"enero","febrero","marzo","abril","mayo","junio","julio","agosto","septiembre","octubre","noviembre","diciembre"},0)+1,0))</f>
        <v/>
      </c>
      <c r="E682" t="str">
        <f>+IFERROR(VLOOKUP(Fact_Administrativa[[#This Row], [Concepto Anterior]],Conceptos_Administrativa[#All],5,0),"")</f>
        <v/>
      </c>
      <c r="F682" t="str">
        <f>+IFERROR(VLOOKUP(Fact_Administrativa[[#This Row], 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ht="18.75" customHeight="1" x14ac:dyDescent="0.35">
      <c r="C683" s="100" t="str">
        <f>IF(OR(Fact_Administrativa[[#This Row], [Año]]="",Fact_Administrativa[[#This Row], [Mes]]=""),"",DATE(A683,MATCH(B683,{"enero","febrero","marzo","abril","mayo","junio","julio","agosto","septiembre","octubre","noviembre","diciembre"},0)+1,0))</f>
        <v/>
      </c>
      <c r="E683" t="str">
        <f>+IFERROR(VLOOKUP(Fact_Administrativa[[#This Row], [Concepto Anterior]],Conceptos_Administrativa[#All],5,0),"")</f>
        <v/>
      </c>
      <c r="F683" t="str">
        <f>+IFERROR(VLOOKUP(Fact_Administrativa[[#This Row], 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ht="18.75" customHeight="1" x14ac:dyDescent="0.35">
      <c r="C684" s="100" t="str">
        <f>IF(OR(Fact_Administrativa[[#This Row], [Año]]="",Fact_Administrativa[[#This Row], [Mes]]=""),"",DATE(A684,MATCH(B684,{"enero","febrero","marzo","abril","mayo","junio","julio","agosto","septiembre","octubre","noviembre","diciembre"},0)+1,0))</f>
        <v/>
      </c>
      <c r="E684" t="str">
        <f>+IFERROR(VLOOKUP(Fact_Administrativa[[#This Row], [Concepto Anterior]],Conceptos_Administrativa[#All],5,0),"")</f>
        <v/>
      </c>
      <c r="F684" t="str">
        <f>+IFERROR(VLOOKUP(Fact_Administrativa[[#This Row], 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ht="18.75" customHeight="1" x14ac:dyDescent="0.35">
      <c r="C685" s="100" t="str">
        <f>IF(OR(Fact_Administrativa[[#This Row], [Año]]="",Fact_Administrativa[[#This Row], [Mes]]=""),"",DATE(A685,MATCH(B685,{"enero","febrero","marzo","abril","mayo","junio","julio","agosto","septiembre","octubre","noviembre","diciembre"},0)+1,0))</f>
        <v/>
      </c>
      <c r="E685" t="str">
        <f>+IFERROR(VLOOKUP(Fact_Administrativa[[#This Row], [Concepto Anterior]],Conceptos_Administrativa[#All],5,0),"")</f>
        <v/>
      </c>
      <c r="F685" t="str">
        <f>+IFERROR(VLOOKUP(Fact_Administrativa[[#This Row], 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ht="18.75" customHeight="1" x14ac:dyDescent="0.35">
      <c r="C686" s="100" t="str">
        <f>IF(OR(Fact_Administrativa[[#This Row], [Año]]="",Fact_Administrativa[[#This Row], [Mes]]=""),"",DATE(A686,MATCH(B686,{"enero","febrero","marzo","abril","mayo","junio","julio","agosto","septiembre","octubre","noviembre","diciembre"},0)+1,0))</f>
        <v/>
      </c>
      <c r="E686" t="str">
        <f>+IFERROR(VLOOKUP(Fact_Administrativa[[#This Row], [Concepto Anterior]],Conceptos_Administrativa[#All],5,0),"")</f>
        <v/>
      </c>
      <c r="F686" t="str">
        <f>+IFERROR(VLOOKUP(Fact_Administrativa[[#This Row], 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ht="18.75" customHeight="1" x14ac:dyDescent="0.35">
      <c r="C687" s="100" t="str">
        <f>IF(OR(Fact_Administrativa[[#This Row], [Año]]="",Fact_Administrativa[[#This Row], [Mes]]=""),"",DATE(A687,MATCH(B687,{"enero","febrero","marzo","abril","mayo","junio","julio","agosto","septiembre","octubre","noviembre","diciembre"},0)+1,0))</f>
        <v/>
      </c>
      <c r="E687" t="str">
        <f>+IFERROR(VLOOKUP(Fact_Administrativa[[#This Row], [Concepto Anterior]],Conceptos_Administrativa[#All],5,0),"")</f>
        <v/>
      </c>
      <c r="F687" t="str">
        <f>+IFERROR(VLOOKUP(Fact_Administrativa[[#This Row], 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ht="18.75" customHeight="1" x14ac:dyDescent="0.35">
      <c r="C688" s="100" t="str">
        <f>IF(OR(Fact_Administrativa[[#This Row], [Año]]="",Fact_Administrativa[[#This Row], [Mes]]=""),"",DATE(A688,MATCH(B688,{"enero","febrero","marzo","abril","mayo","junio","julio","agosto","septiembre","octubre","noviembre","diciembre"},0)+1,0))</f>
        <v/>
      </c>
      <c r="E688" t="str">
        <f>+IFERROR(VLOOKUP(Fact_Administrativa[[#This Row], [Concepto Anterior]],Conceptos_Administrativa[#All],5,0),"")</f>
        <v/>
      </c>
      <c r="F688" t="str">
        <f>+IFERROR(VLOOKUP(Fact_Administrativa[[#This Row], 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ht="18.75" customHeight="1" x14ac:dyDescent="0.35">
      <c r="C689" s="100" t="str">
        <f>IF(OR(Fact_Administrativa[[#This Row], [Año]]="",Fact_Administrativa[[#This Row], [Mes]]=""),"",DATE(A689,MATCH(B689,{"enero","febrero","marzo","abril","mayo","junio","julio","agosto","septiembre","octubre","noviembre","diciembre"},0)+1,0))</f>
        <v/>
      </c>
      <c r="E689" t="str">
        <f>+IFERROR(VLOOKUP(Fact_Administrativa[[#This Row], [Concepto Anterior]],Conceptos_Administrativa[#All],5,0),"")</f>
        <v/>
      </c>
      <c r="F689" t="str">
        <f>+IFERROR(VLOOKUP(Fact_Administrativa[[#This Row], 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ht="18.75" customHeight="1" x14ac:dyDescent="0.35">
      <c r="C690" s="100" t="str">
        <f>IF(OR(Fact_Administrativa[[#This Row], [Año]]="",Fact_Administrativa[[#This Row], [Mes]]=""),"",DATE(A690,MATCH(B690,{"enero","febrero","marzo","abril","mayo","junio","julio","agosto","septiembre","octubre","noviembre","diciembre"},0)+1,0))</f>
        <v/>
      </c>
      <c r="E690" t="str">
        <f>+IFERROR(VLOOKUP(Fact_Administrativa[[#This Row], [Concepto Anterior]],Conceptos_Administrativa[#All],5,0),"")</f>
        <v/>
      </c>
      <c r="F690" t="str">
        <f>+IFERROR(VLOOKUP(Fact_Administrativa[[#This Row], 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ht="18.75" customHeight="1" x14ac:dyDescent="0.35">
      <c r="C691" s="100" t="str">
        <f>IF(OR(Fact_Administrativa[[#This Row], [Año]]="",Fact_Administrativa[[#This Row], [Mes]]=""),"",DATE(A691,MATCH(B691,{"enero","febrero","marzo","abril","mayo","junio","julio","agosto","septiembre","octubre","noviembre","diciembre"},0)+1,0))</f>
        <v/>
      </c>
      <c r="E691" t="str">
        <f>+IFERROR(VLOOKUP(Fact_Administrativa[[#This Row], [Concepto Anterior]],Conceptos_Administrativa[#All],5,0),"")</f>
        <v/>
      </c>
      <c r="F691" t="str">
        <f>+IFERROR(VLOOKUP(Fact_Administrativa[[#This Row], 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ht="18.75" customHeight="1" x14ac:dyDescent="0.35">
      <c r="C692" s="100" t="str">
        <f>IF(OR(Fact_Administrativa[[#This Row], [Año]]="",Fact_Administrativa[[#This Row], [Mes]]=""),"",DATE(A692,MATCH(B692,{"enero","febrero","marzo","abril","mayo","junio","julio","agosto","septiembre","octubre","noviembre","diciembre"},0)+1,0))</f>
        <v/>
      </c>
      <c r="E692" t="str">
        <f>+IFERROR(VLOOKUP(Fact_Administrativa[[#This Row], [Concepto Anterior]],Conceptos_Administrativa[#All],5,0),"")</f>
        <v/>
      </c>
      <c r="F692" t="str">
        <f>+IFERROR(VLOOKUP(Fact_Administrativa[[#This Row], 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ht="18.75" customHeight="1" x14ac:dyDescent="0.35">
      <c r="C693" s="100" t="str">
        <f>IF(OR(Fact_Administrativa[[#This Row], [Año]]="",Fact_Administrativa[[#This Row], [Mes]]=""),"",DATE(A693,MATCH(B693,{"enero","febrero","marzo","abril","mayo","junio","julio","agosto","septiembre","octubre","noviembre","diciembre"},0)+1,0))</f>
        <v/>
      </c>
      <c r="E693" t="str">
        <f>+IFERROR(VLOOKUP(Fact_Administrativa[[#This Row], [Concepto Anterior]],Conceptos_Administrativa[#All],5,0),"")</f>
        <v/>
      </c>
      <c r="F693" t="str">
        <f>+IFERROR(VLOOKUP(Fact_Administrativa[[#This Row], 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ht="18.75" customHeight="1" x14ac:dyDescent="0.35">
      <c r="C694" s="100" t="str">
        <f>IF(OR(Fact_Administrativa[[#This Row], [Año]]="",Fact_Administrativa[[#This Row], [Mes]]=""),"",DATE(A694,MATCH(B694,{"enero","febrero","marzo","abril","mayo","junio","julio","agosto","septiembre","octubre","noviembre","diciembre"},0)+1,0))</f>
        <v/>
      </c>
      <c r="E694" t="str">
        <f>+IFERROR(VLOOKUP(Fact_Administrativa[[#This Row], [Concepto Anterior]],Conceptos_Administrativa[#All],5,0),"")</f>
        <v/>
      </c>
      <c r="F694" t="str">
        <f>+IFERROR(VLOOKUP(Fact_Administrativa[[#This Row], 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ht="18.75" customHeight="1" x14ac:dyDescent="0.35">
      <c r="C695" s="100" t="str">
        <f>IF(OR(Fact_Administrativa[[#This Row], [Año]]="",Fact_Administrativa[[#This Row], [Mes]]=""),"",DATE(A695,MATCH(B695,{"enero","febrero","marzo","abril","mayo","junio","julio","agosto","septiembre","octubre","noviembre","diciembre"},0)+1,0))</f>
        <v/>
      </c>
      <c r="E695" t="str">
        <f>+IFERROR(VLOOKUP(Fact_Administrativa[[#This Row], [Concepto Anterior]],Conceptos_Administrativa[#All],5,0),"")</f>
        <v/>
      </c>
      <c r="F695" t="str">
        <f>+IFERROR(VLOOKUP(Fact_Administrativa[[#This Row], 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ht="18.75" customHeight="1" x14ac:dyDescent="0.35">
      <c r="C696" s="100" t="str">
        <f>IF(OR(Fact_Administrativa[[#This Row], [Año]]="",Fact_Administrativa[[#This Row], [Mes]]=""),"",DATE(A696,MATCH(B696,{"enero","febrero","marzo","abril","mayo","junio","julio","agosto","septiembre","octubre","noviembre","diciembre"},0)+1,0))</f>
        <v/>
      </c>
      <c r="E696" t="str">
        <f>+IFERROR(VLOOKUP(Fact_Administrativa[[#This Row], [Concepto Anterior]],Conceptos_Administrativa[#All],5,0),"")</f>
        <v/>
      </c>
      <c r="F696" t="str">
        <f>+IFERROR(VLOOKUP(Fact_Administrativa[[#This Row], 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ht="18.75" customHeight="1" x14ac:dyDescent="0.35">
      <c r="C697" s="100" t="str">
        <f>IF(OR(Fact_Administrativa[[#This Row], [Año]]="",Fact_Administrativa[[#This Row], [Mes]]=""),"",DATE(A697,MATCH(B697,{"enero","febrero","marzo","abril","mayo","junio","julio","agosto","septiembre","octubre","noviembre","diciembre"},0)+1,0))</f>
        <v/>
      </c>
      <c r="E697" t="str">
        <f>+IFERROR(VLOOKUP(Fact_Administrativa[[#This Row], [Concepto Anterior]],Conceptos_Administrativa[#All],5,0),"")</f>
        <v/>
      </c>
      <c r="F697" t="str">
        <f>+IFERROR(VLOOKUP(Fact_Administrativa[[#This Row], 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ht="18.75" customHeight="1" x14ac:dyDescent="0.35">
      <c r="C698" s="100" t="str">
        <f>IF(OR(Fact_Administrativa[[#This Row], [Año]]="",Fact_Administrativa[[#This Row], [Mes]]=""),"",DATE(A698,MATCH(B698,{"enero","febrero","marzo","abril","mayo","junio","julio","agosto","septiembre","octubre","noviembre","diciembre"},0)+1,0))</f>
        <v/>
      </c>
      <c r="E698" t="str">
        <f>+IFERROR(VLOOKUP(Fact_Administrativa[[#This Row], [Concepto Anterior]],Conceptos_Administrativa[#All],5,0),"")</f>
        <v/>
      </c>
      <c r="F698" t="str">
        <f>+IFERROR(VLOOKUP(Fact_Administrativa[[#This Row], 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ht="18.75" customHeight="1" x14ac:dyDescent="0.35">
      <c r="C699" s="100" t="str">
        <f>IF(OR(Fact_Administrativa[[#This Row], [Año]]="",Fact_Administrativa[[#This Row], [Mes]]=""),"",DATE(A699,MATCH(B699,{"enero","febrero","marzo","abril","mayo","junio","julio","agosto","septiembre","octubre","noviembre","diciembre"},0)+1,0))</f>
        <v/>
      </c>
      <c r="E699" t="str">
        <f>+IFERROR(VLOOKUP(Fact_Administrativa[[#This Row], [Concepto Anterior]],Conceptos_Administrativa[#All],5,0),"")</f>
        <v/>
      </c>
      <c r="F699" t="str">
        <f>+IFERROR(VLOOKUP(Fact_Administrativa[[#This Row], 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ht="18.75" customHeight="1" x14ac:dyDescent="0.35">
      <c r="C700" s="100" t="str">
        <f>IF(OR(Fact_Administrativa[[#This Row], [Año]]="",Fact_Administrativa[[#This Row], [Mes]]=""),"",DATE(A700,MATCH(B700,{"enero","febrero","marzo","abril","mayo","junio","julio","agosto","septiembre","octubre","noviembre","diciembre"},0)+1,0))</f>
        <v/>
      </c>
      <c r="E700" t="str">
        <f>+IFERROR(VLOOKUP(Fact_Administrativa[[#This Row], [Concepto Anterior]],Conceptos_Administrativa[#All],5,0),"")</f>
        <v/>
      </c>
      <c r="F700" t="str">
        <f>+IFERROR(VLOOKUP(Fact_Administrativa[[#This Row], 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ht="18.75" customHeight="1" x14ac:dyDescent="0.35">
      <c r="C701" s="100" t="str">
        <f>IF(OR(Fact_Administrativa[[#This Row], [Año]]="",Fact_Administrativa[[#This Row], [Mes]]=""),"",DATE(A701,MATCH(B701,{"enero","febrero","marzo","abril","mayo","junio","julio","agosto","septiembre","octubre","noviembre","diciembre"},0)+1,0))</f>
        <v/>
      </c>
      <c r="E701" t="str">
        <f>+IFERROR(VLOOKUP(Fact_Administrativa[[#This Row], [Concepto Anterior]],Conceptos_Administrativa[#All],5,0),"")</f>
        <v/>
      </c>
      <c r="F701" t="str">
        <f>+IFERROR(VLOOKUP(Fact_Administrativa[[#This Row], 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ht="18.75" customHeight="1" x14ac:dyDescent="0.35">
      <c r="C702" s="100" t="str">
        <f>IF(OR(Fact_Administrativa[[#This Row], [Año]]="",Fact_Administrativa[[#This Row], [Mes]]=""),"",DATE(A702,MATCH(B702,{"enero","febrero","marzo","abril","mayo","junio","julio","agosto","septiembre","octubre","noviembre","diciembre"},0)+1,0))</f>
        <v/>
      </c>
      <c r="E702" t="str">
        <f>+IFERROR(VLOOKUP(Fact_Administrativa[[#This Row], [Concepto Anterior]],Conceptos_Administrativa[#All],5,0),"")</f>
        <v/>
      </c>
      <c r="F702" t="str">
        <f>+IFERROR(VLOOKUP(Fact_Administrativa[[#This Row], 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ht="18.75" customHeight="1" x14ac:dyDescent="0.35">
      <c r="C703" s="100" t="str">
        <f>IF(OR(Fact_Administrativa[[#This Row], [Año]]="",Fact_Administrativa[[#This Row], [Mes]]=""),"",DATE(A703,MATCH(B703,{"enero","febrero","marzo","abril","mayo","junio","julio","agosto","septiembre","octubre","noviembre","diciembre"},0)+1,0))</f>
        <v/>
      </c>
      <c r="E703" t="str">
        <f>+IFERROR(VLOOKUP(Fact_Administrativa[[#This Row], [Concepto Anterior]],Conceptos_Administrativa[#All],5,0),"")</f>
        <v/>
      </c>
      <c r="F703" t="str">
        <f>+IFERROR(VLOOKUP(Fact_Administrativa[[#This Row], 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ht="18.75" customHeight="1" x14ac:dyDescent="0.35">
      <c r="C704" s="100" t="str">
        <f>IF(OR(Fact_Administrativa[[#This Row], [Año]]="",Fact_Administrativa[[#This Row], [Mes]]=""),"",DATE(A704,MATCH(B704,{"enero","febrero","marzo","abril","mayo","junio","julio","agosto","septiembre","octubre","noviembre","diciembre"},0)+1,0))</f>
        <v/>
      </c>
      <c r="E704" t="str">
        <f>+IFERROR(VLOOKUP(Fact_Administrativa[[#This Row], [Concepto Anterior]],Conceptos_Administrativa[#All],5,0),"")</f>
        <v/>
      </c>
      <c r="F704" t="str">
        <f>+IFERROR(VLOOKUP(Fact_Administrativa[[#This Row], 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ht="18.75" customHeight="1" x14ac:dyDescent="0.35">
      <c r="C705" s="100" t="str">
        <f>IF(OR(Fact_Administrativa[[#This Row], [Año]]="",Fact_Administrativa[[#This Row], [Mes]]=""),"",DATE(A705,MATCH(B705,{"enero","febrero","marzo","abril","mayo","junio","julio","agosto","septiembre","octubre","noviembre","diciembre"},0)+1,0))</f>
        <v/>
      </c>
      <c r="E705" t="str">
        <f>+IFERROR(VLOOKUP(Fact_Administrativa[[#This Row], [Concepto Anterior]],Conceptos_Administrativa[#All],5,0),"")</f>
        <v/>
      </c>
      <c r="F705" t="str">
        <f>+IFERROR(VLOOKUP(Fact_Administrativa[[#This Row], 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ht="18.75" customHeight="1" x14ac:dyDescent="0.35">
      <c r="C706" s="100" t="str">
        <f>IF(OR(Fact_Administrativa[[#This Row], [Año]]="",Fact_Administrativa[[#This Row], [Mes]]=""),"",DATE(A706,MATCH(B706,{"enero","febrero","marzo","abril","mayo","junio","julio","agosto","septiembre","octubre","noviembre","diciembre"},0)+1,0))</f>
        <v/>
      </c>
      <c r="E706" t="str">
        <f>+IFERROR(VLOOKUP(Fact_Administrativa[[#This Row], [Concepto Anterior]],Conceptos_Administrativa[#All],5,0),"")</f>
        <v/>
      </c>
      <c r="F706" t="str">
        <f>+IFERROR(VLOOKUP(Fact_Administrativa[[#This Row], 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ht="18.75" customHeight="1" x14ac:dyDescent="0.35">
      <c r="C707" s="100" t="str">
        <f>IF(OR(Fact_Administrativa[[#This Row], [Año]]="",Fact_Administrativa[[#This Row], [Mes]]=""),"",DATE(A707,MATCH(B707,{"enero","febrero","marzo","abril","mayo","junio","julio","agosto","septiembre","octubre","noviembre","diciembre"},0)+1,0))</f>
        <v/>
      </c>
      <c r="E707" t="str">
        <f>+IFERROR(VLOOKUP(Fact_Administrativa[[#This Row], [Concepto Anterior]],Conceptos_Administrativa[#All],5,0),"")</f>
        <v/>
      </c>
      <c r="F707" t="str">
        <f>+IFERROR(VLOOKUP(Fact_Administrativa[[#This Row], 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ht="18.75" customHeight="1" x14ac:dyDescent="0.35">
      <c r="C708" s="100" t="str">
        <f>IF(OR(Fact_Administrativa[[#This Row], [Año]]="",Fact_Administrativa[[#This Row], [Mes]]=""),"",DATE(A708,MATCH(B708,{"enero","febrero","marzo","abril","mayo","junio","julio","agosto","septiembre","octubre","noviembre","diciembre"},0)+1,0))</f>
        <v/>
      </c>
      <c r="E708" t="str">
        <f>+IFERROR(VLOOKUP(Fact_Administrativa[[#This Row], [Concepto Anterior]],Conceptos_Administrativa[#All],5,0),"")</f>
        <v/>
      </c>
      <c r="F708" t="str">
        <f>+IFERROR(VLOOKUP(Fact_Administrativa[[#This Row], 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ht="18.75" customHeight="1" x14ac:dyDescent="0.35">
      <c r="C709" s="100" t="str">
        <f>IF(OR(Fact_Administrativa[[#This Row], [Año]]="",Fact_Administrativa[[#This Row], [Mes]]=""),"",DATE(A709,MATCH(B709,{"enero","febrero","marzo","abril","mayo","junio","julio","agosto","septiembre","octubre","noviembre","diciembre"},0)+1,0))</f>
        <v/>
      </c>
      <c r="E709" t="str">
        <f>+IFERROR(VLOOKUP(Fact_Administrativa[[#This Row], [Concepto Anterior]],Conceptos_Administrativa[#All],5,0),"")</f>
        <v/>
      </c>
      <c r="F709" t="str">
        <f>+IFERROR(VLOOKUP(Fact_Administrativa[[#This Row], 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ht="18.75" customHeight="1" x14ac:dyDescent="0.35">
      <c r="C710" s="100" t="str">
        <f>IF(OR(Fact_Administrativa[[#This Row], [Año]]="",Fact_Administrativa[[#This Row], [Mes]]=""),"",DATE(A710,MATCH(B710,{"enero","febrero","marzo","abril","mayo","junio","julio","agosto","septiembre","octubre","noviembre","diciembre"},0)+1,0))</f>
        <v/>
      </c>
      <c r="E710" t="str">
        <f>+IFERROR(VLOOKUP(Fact_Administrativa[[#This Row], [Concepto Anterior]],Conceptos_Administrativa[#All],5,0),"")</f>
        <v/>
      </c>
      <c r="F710" t="str">
        <f>+IFERROR(VLOOKUP(Fact_Administrativa[[#This Row], 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ht="18.75" customHeight="1" x14ac:dyDescent="0.35">
      <c r="C711" s="100" t="str">
        <f>IF(OR(Fact_Administrativa[[#This Row], [Año]]="",Fact_Administrativa[[#This Row], [Mes]]=""),"",DATE(A711,MATCH(B711,{"enero","febrero","marzo","abril","mayo","junio","julio","agosto","septiembre","octubre","noviembre","diciembre"},0)+1,0))</f>
        <v/>
      </c>
      <c r="E711" t="str">
        <f>+IFERROR(VLOOKUP(Fact_Administrativa[[#This Row], [Concepto Anterior]],Conceptos_Administrativa[#All],5,0),"")</f>
        <v/>
      </c>
      <c r="F711" t="str">
        <f>+IFERROR(VLOOKUP(Fact_Administrativa[[#This Row], 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ht="18.75" customHeight="1" x14ac:dyDescent="0.35">
      <c r="C712" s="100" t="str">
        <f>IF(OR(Fact_Administrativa[[#This Row], [Año]]="",Fact_Administrativa[[#This Row], [Mes]]=""),"",DATE(A712,MATCH(B712,{"enero","febrero","marzo","abril","mayo","junio","julio","agosto","septiembre","octubre","noviembre","diciembre"},0)+1,0))</f>
        <v/>
      </c>
      <c r="E712" t="str">
        <f>+IFERROR(VLOOKUP(Fact_Administrativa[[#This Row], [Concepto Anterior]],Conceptos_Administrativa[#All],5,0),"")</f>
        <v/>
      </c>
      <c r="F712" t="str">
        <f>+IFERROR(VLOOKUP(Fact_Administrativa[[#This Row], 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ht="18.75" customHeight="1" x14ac:dyDescent="0.35">
      <c r="C713" s="100" t="str">
        <f>IF(OR(Fact_Administrativa[[#This Row], [Año]]="",Fact_Administrativa[[#This Row], [Mes]]=""),"",DATE(A713,MATCH(B713,{"enero","febrero","marzo","abril","mayo","junio","julio","agosto","septiembre","octubre","noviembre","diciembre"},0)+1,0))</f>
        <v/>
      </c>
      <c r="E713" t="str">
        <f>+IFERROR(VLOOKUP(Fact_Administrativa[[#This Row], [Concepto Anterior]],Conceptos_Administrativa[#All],5,0),"")</f>
        <v/>
      </c>
      <c r="F713" t="str">
        <f>+IFERROR(VLOOKUP(Fact_Administrativa[[#This Row], 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ht="18.75" customHeight="1" x14ac:dyDescent="0.35">
      <c r="C714" s="100" t="str">
        <f>IF(OR(Fact_Administrativa[[#This Row], [Año]]="",Fact_Administrativa[[#This Row], [Mes]]=""),"",DATE(A714,MATCH(B714,{"enero","febrero","marzo","abril","mayo","junio","julio","agosto","septiembre","octubre","noviembre","diciembre"},0)+1,0))</f>
        <v/>
      </c>
      <c r="E714" t="str">
        <f>+IFERROR(VLOOKUP(Fact_Administrativa[[#This Row], [Concepto Anterior]],Conceptos_Administrativa[#All],5,0),"")</f>
        <v/>
      </c>
      <c r="F714" t="str">
        <f>+IFERROR(VLOOKUP(Fact_Administrativa[[#This Row], 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ht="18.75" customHeight="1" x14ac:dyDescent="0.35">
      <c r="C715" s="100" t="str">
        <f>IF(OR(Fact_Administrativa[[#This Row], [Año]]="",Fact_Administrativa[[#This Row], [Mes]]=""),"",DATE(A715,MATCH(B715,{"enero","febrero","marzo","abril","mayo","junio","julio","agosto","septiembre","octubre","noviembre","diciembre"},0)+1,0))</f>
        <v/>
      </c>
      <c r="E715" t="str">
        <f>+IFERROR(VLOOKUP(Fact_Administrativa[[#This Row], [Concepto Anterior]],Conceptos_Administrativa[#All],5,0),"")</f>
        <v/>
      </c>
      <c r="F715" t="str">
        <f>+IFERROR(VLOOKUP(Fact_Administrativa[[#This Row], 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ht="18.75" customHeight="1" x14ac:dyDescent="0.35">
      <c r="C716" s="100" t="str">
        <f>IF(OR(Fact_Administrativa[[#This Row], [Año]]="",Fact_Administrativa[[#This Row], [Mes]]=""),"",DATE(A716,MATCH(B716,{"enero","febrero","marzo","abril","mayo","junio","julio","agosto","septiembre","octubre","noviembre","diciembre"},0)+1,0))</f>
        <v/>
      </c>
      <c r="E716" t="str">
        <f>+IFERROR(VLOOKUP(Fact_Administrativa[[#This Row], [Concepto Anterior]],Conceptos_Administrativa[#All],5,0),"")</f>
        <v/>
      </c>
      <c r="F716" t="str">
        <f>+IFERROR(VLOOKUP(Fact_Administrativa[[#This Row], 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ht="18.75" customHeight="1" x14ac:dyDescent="0.35">
      <c r="C717" s="100" t="str">
        <f>IF(OR(Fact_Administrativa[[#This Row], [Año]]="",Fact_Administrativa[[#This Row], [Mes]]=""),"",DATE(A717,MATCH(B717,{"enero","febrero","marzo","abril","mayo","junio","julio","agosto","septiembre","octubre","noviembre","diciembre"},0)+1,0))</f>
        <v/>
      </c>
      <c r="E717" t="str">
        <f>+IFERROR(VLOOKUP(Fact_Administrativa[[#This Row], [Concepto Anterior]],Conceptos_Administrativa[#All],5,0),"")</f>
        <v/>
      </c>
      <c r="F717" t="str">
        <f>+IFERROR(VLOOKUP(Fact_Administrativa[[#This Row], 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ht="18.75" customHeight="1" x14ac:dyDescent="0.35">
      <c r="C718" s="100" t="str">
        <f>IF(OR(Fact_Administrativa[[#This Row], [Año]]="",Fact_Administrativa[[#This Row], [Mes]]=""),"",DATE(A718,MATCH(B718,{"enero","febrero","marzo","abril","mayo","junio","julio","agosto","septiembre","octubre","noviembre","diciembre"},0)+1,0))</f>
        <v/>
      </c>
      <c r="E718" t="str">
        <f>+IFERROR(VLOOKUP(Fact_Administrativa[[#This Row], [Concepto Anterior]],Conceptos_Administrativa[#All],5,0),"")</f>
        <v/>
      </c>
      <c r="F718" t="str">
        <f>+IFERROR(VLOOKUP(Fact_Administrativa[[#This Row], 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ht="18.75" customHeight="1" x14ac:dyDescent="0.35">
      <c r="C719" s="100" t="str">
        <f>IF(OR(Fact_Administrativa[[#This Row], [Año]]="",Fact_Administrativa[[#This Row], [Mes]]=""),"",DATE(A719,MATCH(B719,{"enero","febrero","marzo","abril","mayo","junio","julio","agosto","septiembre","octubre","noviembre","diciembre"},0)+1,0))</f>
        <v/>
      </c>
      <c r="E719" t="str">
        <f>+IFERROR(VLOOKUP(Fact_Administrativa[[#This Row], [Concepto Anterior]],Conceptos_Administrativa[#All],5,0),"")</f>
        <v/>
      </c>
      <c r="F719" t="str">
        <f>+IFERROR(VLOOKUP(Fact_Administrativa[[#This Row], 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ht="18.75" customHeight="1" x14ac:dyDescent="0.35">
      <c r="C720" s="100" t="str">
        <f>IF(OR(Fact_Administrativa[[#This Row], [Año]]="",Fact_Administrativa[[#This Row], [Mes]]=""),"",DATE(A720,MATCH(B720,{"enero","febrero","marzo","abril","mayo","junio","julio","agosto","septiembre","octubre","noviembre","diciembre"},0)+1,0))</f>
        <v/>
      </c>
      <c r="E720" t="str">
        <f>+IFERROR(VLOOKUP(Fact_Administrativa[[#This Row], [Concepto Anterior]],Conceptos_Administrativa[#All],5,0),"")</f>
        <v/>
      </c>
      <c r="F720" t="str">
        <f>+IFERROR(VLOOKUP(Fact_Administrativa[[#This Row], 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ht="18.75" customHeight="1" x14ac:dyDescent="0.35">
      <c r="C721" s="100" t="str">
        <f>IF(OR(Fact_Administrativa[[#This Row], [Año]]="",Fact_Administrativa[[#This Row], [Mes]]=""),"",DATE(A721,MATCH(B721,{"enero","febrero","marzo","abril","mayo","junio","julio","agosto","septiembre","octubre","noviembre","diciembre"},0)+1,0))</f>
        <v/>
      </c>
      <c r="E721" t="str">
        <f>+IFERROR(VLOOKUP(Fact_Administrativa[[#This Row], [Concepto Anterior]],Conceptos_Administrativa[#All],5,0),"")</f>
        <v/>
      </c>
      <c r="F721" t="str">
        <f>+IFERROR(VLOOKUP(Fact_Administrativa[[#This Row], 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ht="18.75" customHeight="1" x14ac:dyDescent="0.35">
      <c r="C722" s="100" t="str">
        <f>IF(OR(Fact_Administrativa[[#This Row], [Año]]="",Fact_Administrativa[[#This Row], [Mes]]=""),"",DATE(A722,MATCH(B722,{"enero","febrero","marzo","abril","mayo","junio","julio","agosto","septiembre","octubre","noviembre","diciembre"},0)+1,0))</f>
        <v/>
      </c>
      <c r="E722" t="str">
        <f>+IFERROR(VLOOKUP(Fact_Administrativa[[#This Row], [Concepto Anterior]],Conceptos_Administrativa[#All],5,0),"")</f>
        <v/>
      </c>
      <c r="F722" t="str">
        <f>+IFERROR(VLOOKUP(Fact_Administrativa[[#This Row], 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ht="18.75" customHeight="1" x14ac:dyDescent="0.35">
      <c r="C723" s="100" t="str">
        <f>IF(OR(Fact_Administrativa[[#This Row], [Año]]="",Fact_Administrativa[[#This Row], [Mes]]=""),"",DATE(A723,MATCH(B723,{"enero","febrero","marzo","abril","mayo","junio","julio","agosto","septiembre","octubre","noviembre","diciembre"},0)+1,0))</f>
        <v/>
      </c>
      <c r="E723" t="str">
        <f>+IFERROR(VLOOKUP(Fact_Administrativa[[#This Row], [Concepto Anterior]],Conceptos_Administrativa[#All],5,0),"")</f>
        <v/>
      </c>
      <c r="F723" t="str">
        <f>+IFERROR(VLOOKUP(Fact_Administrativa[[#This Row], 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ht="18.75" customHeight="1" x14ac:dyDescent="0.35">
      <c r="C724" s="100" t="str">
        <f>IF(OR(Fact_Administrativa[[#This Row], [Año]]="",Fact_Administrativa[[#This Row], [Mes]]=""),"",DATE(A724,MATCH(B724,{"enero","febrero","marzo","abril","mayo","junio","julio","agosto","septiembre","octubre","noviembre","diciembre"},0)+1,0))</f>
        <v/>
      </c>
      <c r="E724" t="str">
        <f>+IFERROR(VLOOKUP(Fact_Administrativa[[#This Row], [Concepto Anterior]],Conceptos_Administrativa[#All],5,0),"")</f>
        <v/>
      </c>
      <c r="F724" t="str">
        <f>+IFERROR(VLOOKUP(Fact_Administrativa[[#This Row], 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ht="18.75" customHeight="1" x14ac:dyDescent="0.35">
      <c r="C725" s="100" t="str">
        <f>IF(OR(Fact_Administrativa[[#This Row], [Año]]="",Fact_Administrativa[[#This Row], [Mes]]=""),"",DATE(A725,MATCH(B725,{"enero","febrero","marzo","abril","mayo","junio","julio","agosto","septiembre","octubre","noviembre","diciembre"},0)+1,0))</f>
        <v/>
      </c>
      <c r="E725" t="str">
        <f>+IFERROR(VLOOKUP(Fact_Administrativa[[#This Row], [Concepto Anterior]],Conceptos_Administrativa[#All],5,0),"")</f>
        <v/>
      </c>
      <c r="F725" t="str">
        <f>+IFERROR(VLOOKUP(Fact_Administrativa[[#This Row], 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ht="18.75" customHeight="1" x14ac:dyDescent="0.35">
      <c r="C726" s="100" t="str">
        <f>IF(OR(Fact_Administrativa[[#This Row], [Año]]="",Fact_Administrativa[[#This Row], [Mes]]=""),"",DATE(A726,MATCH(B726,{"enero","febrero","marzo","abril","mayo","junio","julio","agosto","septiembre","octubre","noviembre","diciembre"},0)+1,0))</f>
        <v/>
      </c>
      <c r="E726" t="str">
        <f>+IFERROR(VLOOKUP(Fact_Administrativa[[#This Row], [Concepto Anterior]],Conceptos_Administrativa[#All],5,0),"")</f>
        <v/>
      </c>
      <c r="F726" t="str">
        <f>+IFERROR(VLOOKUP(Fact_Administrativa[[#This Row], 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ht="18.75" customHeight="1" x14ac:dyDescent="0.35">
      <c r="C727" s="100" t="str">
        <f>IF(OR(Fact_Administrativa[[#This Row], [Año]]="",Fact_Administrativa[[#This Row], [Mes]]=""),"",DATE(A727,MATCH(B727,{"enero","febrero","marzo","abril","mayo","junio","julio","agosto","septiembre","octubre","noviembre","diciembre"},0)+1,0))</f>
        <v/>
      </c>
      <c r="E727" t="str">
        <f>+IFERROR(VLOOKUP(Fact_Administrativa[[#This Row], [Concepto Anterior]],Conceptos_Administrativa[#All],5,0),"")</f>
        <v/>
      </c>
      <c r="F727" t="str">
        <f>+IFERROR(VLOOKUP(Fact_Administrativa[[#This Row], 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ht="18.75" customHeight="1" x14ac:dyDescent="0.35">
      <c r="C728" s="100" t="str">
        <f>IF(OR(Fact_Administrativa[[#This Row], [Año]]="",Fact_Administrativa[[#This Row], [Mes]]=""),"",DATE(A728,MATCH(B728,{"enero","febrero","marzo","abril","mayo","junio","julio","agosto","septiembre","octubre","noviembre","diciembre"},0)+1,0))</f>
        <v/>
      </c>
      <c r="E728" t="str">
        <f>+IFERROR(VLOOKUP(Fact_Administrativa[[#This Row], [Concepto Anterior]],Conceptos_Administrativa[#All],5,0),"")</f>
        <v/>
      </c>
      <c r="F728" t="str">
        <f>+IFERROR(VLOOKUP(Fact_Administrativa[[#This Row], 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ht="18.75" customHeight="1" x14ac:dyDescent="0.35">
      <c r="C729" s="100" t="str">
        <f>IF(OR(Fact_Administrativa[[#This Row], [Año]]="",Fact_Administrativa[[#This Row], [Mes]]=""),"",DATE(A729,MATCH(B729,{"enero","febrero","marzo","abril","mayo","junio","julio","agosto","septiembre","octubre","noviembre","diciembre"},0)+1,0))</f>
        <v/>
      </c>
      <c r="E729" t="str">
        <f>+IFERROR(VLOOKUP(Fact_Administrativa[[#This Row], [Concepto Anterior]],Conceptos_Administrativa[#All],5,0),"")</f>
        <v/>
      </c>
      <c r="F729" t="str">
        <f>+IFERROR(VLOOKUP(Fact_Administrativa[[#This Row], 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ht="18.75" customHeight="1" x14ac:dyDescent="0.35">
      <c r="C730" s="100" t="str">
        <f>IF(OR(Fact_Administrativa[[#This Row], [Año]]="",Fact_Administrativa[[#This Row], [Mes]]=""),"",DATE(A730,MATCH(B730,{"enero","febrero","marzo","abril","mayo","junio","julio","agosto","septiembre","octubre","noviembre","diciembre"},0)+1,0))</f>
        <v/>
      </c>
      <c r="E730" t="str">
        <f>+IFERROR(VLOOKUP(Fact_Administrativa[[#This Row], [Concepto Anterior]],Conceptos_Administrativa[#All],5,0),"")</f>
        <v/>
      </c>
      <c r="F730" t="str">
        <f>+IFERROR(VLOOKUP(Fact_Administrativa[[#This Row], 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ht="18.75" customHeight="1" x14ac:dyDescent="0.35">
      <c r="C731" s="100" t="str">
        <f>IF(OR(Fact_Administrativa[[#This Row], [Año]]="",Fact_Administrativa[[#This Row], [Mes]]=""),"",DATE(A731,MATCH(B731,{"enero","febrero","marzo","abril","mayo","junio","julio","agosto","septiembre","octubre","noviembre","diciembre"},0)+1,0))</f>
        <v/>
      </c>
      <c r="E731" t="str">
        <f>+IFERROR(VLOOKUP(Fact_Administrativa[[#This Row], [Concepto Anterior]],Conceptos_Administrativa[#All],5,0),"")</f>
        <v/>
      </c>
      <c r="F731" t="str">
        <f>+IFERROR(VLOOKUP(Fact_Administrativa[[#This Row], 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ht="18.75" customHeight="1" x14ac:dyDescent="0.35">
      <c r="C732" s="100" t="str">
        <f>IF(OR(Fact_Administrativa[[#This Row], [Año]]="",Fact_Administrativa[[#This Row], [Mes]]=""),"",DATE(A732,MATCH(B732,{"enero","febrero","marzo","abril","mayo","junio","julio","agosto","septiembre","octubre","noviembre","diciembre"},0)+1,0))</f>
        <v/>
      </c>
      <c r="E732" t="str">
        <f>+IFERROR(VLOOKUP(Fact_Administrativa[[#This Row], [Concepto Anterior]],Conceptos_Administrativa[#All],5,0),"")</f>
        <v/>
      </c>
      <c r="F732" t="str">
        <f>+IFERROR(VLOOKUP(Fact_Administrativa[[#This Row], 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ht="18.75" customHeight="1" x14ac:dyDescent="0.35">
      <c r="C733" s="100" t="str">
        <f>IF(OR(Fact_Administrativa[[#This Row], [Año]]="",Fact_Administrativa[[#This Row], [Mes]]=""),"",DATE(A733,MATCH(B733,{"enero","febrero","marzo","abril","mayo","junio","julio","agosto","septiembre","octubre","noviembre","diciembre"},0)+1,0))</f>
        <v/>
      </c>
      <c r="E733" t="str">
        <f>+IFERROR(VLOOKUP(Fact_Administrativa[[#This Row], [Concepto Anterior]],Conceptos_Administrativa[#All],5,0),"")</f>
        <v/>
      </c>
      <c r="F733" t="str">
        <f>+IFERROR(VLOOKUP(Fact_Administrativa[[#This Row], 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ht="18.75" customHeight="1" x14ac:dyDescent="0.35">
      <c r="C734" s="100" t="str">
        <f>IF(OR(Fact_Administrativa[[#This Row], [Año]]="",Fact_Administrativa[[#This Row], [Mes]]=""),"",DATE(A734,MATCH(B734,{"enero","febrero","marzo","abril","mayo","junio","julio","agosto","septiembre","octubre","noviembre","diciembre"},0)+1,0))</f>
        <v/>
      </c>
      <c r="E734" t="str">
        <f>+IFERROR(VLOOKUP(Fact_Administrativa[[#This Row], [Concepto Anterior]],Conceptos_Administrativa[#All],5,0),"")</f>
        <v/>
      </c>
      <c r="F734" t="str">
        <f>+IFERROR(VLOOKUP(Fact_Administrativa[[#This Row], 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ht="18.75" customHeight="1" x14ac:dyDescent="0.35">
      <c r="C735" s="100" t="str">
        <f>IF(OR(Fact_Administrativa[[#This Row], [Año]]="",Fact_Administrativa[[#This Row], [Mes]]=""),"",DATE(A735,MATCH(B735,{"enero","febrero","marzo","abril","mayo","junio","julio","agosto","septiembre","octubre","noviembre","diciembre"},0)+1,0))</f>
        <v/>
      </c>
      <c r="E735" t="str">
        <f>+IFERROR(VLOOKUP(Fact_Administrativa[[#This Row], [Concepto Anterior]],Conceptos_Administrativa[#All],5,0),"")</f>
        <v/>
      </c>
      <c r="F735" t="str">
        <f>+IFERROR(VLOOKUP(Fact_Administrativa[[#This Row], 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ht="18.75" customHeight="1" x14ac:dyDescent="0.35">
      <c r="C736" s="100" t="str">
        <f>IF(OR(Fact_Administrativa[[#This Row], [Año]]="",Fact_Administrativa[[#This Row], [Mes]]=""),"",DATE(A736,MATCH(B736,{"enero","febrero","marzo","abril","mayo","junio","julio","agosto","septiembre","octubre","noviembre","diciembre"},0)+1,0))</f>
        <v/>
      </c>
      <c r="E736" t="str">
        <f>+IFERROR(VLOOKUP(Fact_Administrativa[[#This Row], [Concepto Anterior]],Conceptos_Administrativa[#All],5,0),"")</f>
        <v/>
      </c>
      <c r="F736" t="str">
        <f>+IFERROR(VLOOKUP(Fact_Administrativa[[#This Row], 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ht="18.75" customHeight="1" x14ac:dyDescent="0.35">
      <c r="C737" s="100" t="str">
        <f>IF(OR(Fact_Administrativa[[#This Row], [Año]]="",Fact_Administrativa[[#This Row], [Mes]]=""),"",DATE(A737,MATCH(B737,{"enero","febrero","marzo","abril","mayo","junio","julio","agosto","septiembre","octubre","noviembre","diciembre"},0)+1,0))</f>
        <v/>
      </c>
      <c r="E737" t="str">
        <f>+IFERROR(VLOOKUP(Fact_Administrativa[[#This Row], [Concepto Anterior]],Conceptos_Administrativa[#All],5,0),"")</f>
        <v/>
      </c>
      <c r="F737" t="str">
        <f>+IFERROR(VLOOKUP(Fact_Administrativa[[#This Row], 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ht="18.75" customHeight="1" x14ac:dyDescent="0.35">
      <c r="C738" s="100" t="str">
        <f>IF(OR(Fact_Administrativa[[#This Row], [Año]]="",Fact_Administrativa[[#This Row], [Mes]]=""),"",DATE(A738,MATCH(B738,{"enero","febrero","marzo","abril","mayo","junio","julio","agosto","septiembre","octubre","noviembre","diciembre"},0)+1,0))</f>
        <v/>
      </c>
      <c r="E738" t="str">
        <f>+IFERROR(VLOOKUP(Fact_Administrativa[[#This Row], [Concepto Anterior]],Conceptos_Administrativa[#All],5,0),"")</f>
        <v/>
      </c>
      <c r="F738" t="str">
        <f>+IFERROR(VLOOKUP(Fact_Administrativa[[#This Row], 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ht="18.75" customHeight="1" x14ac:dyDescent="0.35">
      <c r="C739" s="100" t="str">
        <f>IF(OR(Fact_Administrativa[[#This Row], [Año]]="",Fact_Administrativa[[#This Row], [Mes]]=""),"",DATE(A739,MATCH(B739,{"enero","febrero","marzo","abril","mayo","junio","julio","agosto","septiembre","octubre","noviembre","diciembre"},0)+1,0))</f>
        <v/>
      </c>
      <c r="E739" t="str">
        <f>+IFERROR(VLOOKUP(Fact_Administrativa[[#This Row], [Concepto Anterior]],Conceptos_Administrativa[#All],5,0),"")</f>
        <v/>
      </c>
      <c r="F739" t="str">
        <f>+IFERROR(VLOOKUP(Fact_Administrativa[[#This Row], 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ht="18.75" customHeight="1" x14ac:dyDescent="0.35">
      <c r="C740" s="100" t="str">
        <f>IF(OR(Fact_Administrativa[[#This Row], [Año]]="",Fact_Administrativa[[#This Row], [Mes]]=""),"",DATE(A740,MATCH(B740,{"enero","febrero","marzo","abril","mayo","junio","julio","agosto","septiembre","octubre","noviembre","diciembre"},0)+1,0))</f>
        <v/>
      </c>
      <c r="E740" t="str">
        <f>+IFERROR(VLOOKUP(Fact_Administrativa[[#This Row], [Concepto Anterior]],Conceptos_Administrativa[#All],5,0),"")</f>
        <v/>
      </c>
      <c r="F740" t="str">
        <f>+IFERROR(VLOOKUP(Fact_Administrativa[[#This Row], 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ht="18.75" customHeight="1" x14ac:dyDescent="0.35">
      <c r="C741" s="100" t="str">
        <f>IF(OR(Fact_Administrativa[[#This Row], [Año]]="",Fact_Administrativa[[#This Row], [Mes]]=""),"",DATE(A741,MATCH(B741,{"enero","febrero","marzo","abril","mayo","junio","julio","agosto","septiembre","octubre","noviembre","diciembre"},0)+1,0))</f>
        <v/>
      </c>
      <c r="E741" t="str">
        <f>+IFERROR(VLOOKUP(Fact_Administrativa[[#This Row], [Concepto Anterior]],Conceptos_Administrativa[#All],5,0),"")</f>
        <v/>
      </c>
      <c r="F741" t="str">
        <f>+IFERROR(VLOOKUP(Fact_Administrativa[[#This Row], 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ht="18.75" customHeight="1" x14ac:dyDescent="0.35">
      <c r="C742" s="100" t="str">
        <f>IF(OR(Fact_Administrativa[[#This Row], [Año]]="",Fact_Administrativa[[#This Row], [Mes]]=""),"",DATE(A742,MATCH(B742,{"enero","febrero","marzo","abril","mayo","junio","julio","agosto","septiembre","octubre","noviembre","diciembre"},0)+1,0))</f>
        <v/>
      </c>
      <c r="E742" t="str">
        <f>+IFERROR(VLOOKUP(Fact_Administrativa[[#This Row], [Concepto Anterior]],Conceptos_Administrativa[#All],5,0),"")</f>
        <v/>
      </c>
      <c r="F742" t="str">
        <f>+IFERROR(VLOOKUP(Fact_Administrativa[[#This Row], 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ht="18.75" customHeight="1" x14ac:dyDescent="0.35">
      <c r="C743" s="100" t="str">
        <f>IF(OR(Fact_Administrativa[[#This Row], [Año]]="",Fact_Administrativa[[#This Row], [Mes]]=""),"",DATE(A743,MATCH(B743,{"enero","febrero","marzo","abril","mayo","junio","julio","agosto","septiembre","octubre","noviembre","diciembre"},0)+1,0))</f>
        <v/>
      </c>
      <c r="E743" t="str">
        <f>+IFERROR(VLOOKUP(Fact_Administrativa[[#This Row], [Concepto Anterior]],Conceptos_Administrativa[#All],5,0),"")</f>
        <v/>
      </c>
      <c r="F743" t="str">
        <f>+IFERROR(VLOOKUP(Fact_Administrativa[[#This Row], 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ht="18.75" customHeight="1" x14ac:dyDescent="0.35">
      <c r="C744" s="100" t="str">
        <f>IF(OR(Fact_Administrativa[[#This Row], [Año]]="",Fact_Administrativa[[#This Row], [Mes]]=""),"",DATE(A744,MATCH(B744,{"enero","febrero","marzo","abril","mayo","junio","julio","agosto","septiembre","octubre","noviembre","diciembre"},0)+1,0))</f>
        <v/>
      </c>
      <c r="E744" t="str">
        <f>+IFERROR(VLOOKUP(Fact_Administrativa[[#This Row], [Concepto Anterior]],Conceptos_Administrativa[#All],5,0),"")</f>
        <v/>
      </c>
      <c r="F744" t="str">
        <f>+IFERROR(VLOOKUP(Fact_Administrativa[[#This Row], 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ht="18.75" customHeight="1" x14ac:dyDescent="0.35">
      <c r="C745" s="100" t="str">
        <f>IF(OR(Fact_Administrativa[[#This Row], [Año]]="",Fact_Administrativa[[#This Row], [Mes]]=""),"",DATE(A745,MATCH(B745,{"enero","febrero","marzo","abril","mayo","junio","julio","agosto","septiembre","octubre","noviembre","diciembre"},0)+1,0))</f>
        <v/>
      </c>
      <c r="E745" t="str">
        <f>+IFERROR(VLOOKUP(Fact_Administrativa[[#This Row], [Concepto Anterior]],Conceptos_Administrativa[#All],5,0),"")</f>
        <v/>
      </c>
      <c r="F745" t="str">
        <f>+IFERROR(VLOOKUP(Fact_Administrativa[[#This Row], 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ht="18.75" customHeight="1" x14ac:dyDescent="0.35">
      <c r="C746" s="100" t="str">
        <f>IF(OR(Fact_Administrativa[[#This Row], [Año]]="",Fact_Administrativa[[#This Row], [Mes]]=""),"",DATE(A746,MATCH(B746,{"enero","febrero","marzo","abril","mayo","junio","julio","agosto","septiembre","octubre","noviembre","diciembre"},0)+1,0))</f>
        <v/>
      </c>
      <c r="E746" t="str">
        <f>+IFERROR(VLOOKUP(Fact_Administrativa[[#This Row], [Concepto Anterior]],Conceptos_Administrativa[#All],5,0),"")</f>
        <v/>
      </c>
      <c r="F746" t="str">
        <f>+IFERROR(VLOOKUP(Fact_Administrativa[[#This Row], 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ht="18.75" customHeight="1" x14ac:dyDescent="0.35">
      <c r="C747" s="100" t="str">
        <f>IF(OR(Fact_Administrativa[[#This Row], [Año]]="",Fact_Administrativa[[#This Row], [Mes]]=""),"",DATE(A747,MATCH(B747,{"enero","febrero","marzo","abril","mayo","junio","julio","agosto","septiembre","octubre","noviembre","diciembre"},0)+1,0))</f>
        <v/>
      </c>
      <c r="E747" t="str">
        <f>+IFERROR(VLOOKUP(Fact_Administrativa[[#This Row], [Concepto Anterior]],Conceptos_Administrativa[#All],5,0),"")</f>
        <v/>
      </c>
      <c r="F747" t="str">
        <f>+IFERROR(VLOOKUP(Fact_Administrativa[[#This Row], 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ht="18.75" customHeight="1" x14ac:dyDescent="0.35">
      <c r="C748" s="100" t="str">
        <f>IF(OR(Fact_Administrativa[[#This Row], [Año]]="",Fact_Administrativa[[#This Row], [Mes]]=""),"",DATE(A748,MATCH(B748,{"enero","febrero","marzo","abril","mayo","junio","julio","agosto","septiembre","octubre","noviembre","diciembre"},0)+1,0))</f>
        <v/>
      </c>
      <c r="E748" t="str">
        <f>+IFERROR(VLOOKUP(Fact_Administrativa[[#This Row], [Concepto Anterior]],Conceptos_Administrativa[#All],5,0),"")</f>
        <v/>
      </c>
      <c r="F748" t="str">
        <f>+IFERROR(VLOOKUP(Fact_Administrativa[[#This Row], 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ht="18.75" customHeight="1" x14ac:dyDescent="0.35">
      <c r="C749" s="100" t="str">
        <f>IF(OR(Fact_Administrativa[[#This Row], [Año]]="",Fact_Administrativa[[#This Row], [Mes]]=""),"",DATE(A749,MATCH(B749,{"enero","febrero","marzo","abril","mayo","junio","julio","agosto","septiembre","octubre","noviembre","diciembre"},0)+1,0))</f>
        <v/>
      </c>
      <c r="E749" t="str">
        <f>+IFERROR(VLOOKUP(Fact_Administrativa[[#This Row], [Concepto Anterior]],Conceptos_Administrativa[#All],5,0),"")</f>
        <v/>
      </c>
      <c r="F749" t="str">
        <f>+IFERROR(VLOOKUP(Fact_Administrativa[[#This Row], 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ht="18.75" customHeight="1" x14ac:dyDescent="0.35">
      <c r="C750" s="100" t="str">
        <f>IF(OR(Fact_Administrativa[[#This Row], [Año]]="",Fact_Administrativa[[#This Row], [Mes]]=""),"",DATE(A750,MATCH(B750,{"enero","febrero","marzo","abril","mayo","junio","julio","agosto","septiembre","octubre","noviembre","diciembre"},0)+1,0))</f>
        <v/>
      </c>
      <c r="E750" t="str">
        <f>+IFERROR(VLOOKUP(Fact_Administrativa[[#This Row], [Concepto Anterior]],Conceptos_Administrativa[#All],5,0),"")</f>
        <v/>
      </c>
      <c r="F750" t="str">
        <f>+IFERROR(VLOOKUP(Fact_Administrativa[[#This Row], 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ht="18.75" customHeight="1" x14ac:dyDescent="0.35">
      <c r="C751" s="100" t="str">
        <f>IF(OR(Fact_Administrativa[[#This Row], [Año]]="",Fact_Administrativa[[#This Row], [Mes]]=""),"",DATE(A751,MATCH(B751,{"enero","febrero","marzo","abril","mayo","junio","julio","agosto","septiembre","octubre","noviembre","diciembre"},0)+1,0))</f>
        <v/>
      </c>
      <c r="E751" t="str">
        <f>+IFERROR(VLOOKUP(Fact_Administrativa[[#This Row], [Concepto Anterior]],Conceptos_Administrativa[#All],5,0),"")</f>
        <v/>
      </c>
      <c r="F751" t="str">
        <f>+IFERROR(VLOOKUP(Fact_Administrativa[[#This Row], 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ht="18.75" customHeight="1" x14ac:dyDescent="0.35">
      <c r="C752" s="100" t="str">
        <f>IF(OR(Fact_Administrativa[[#This Row], [Año]]="",Fact_Administrativa[[#This Row], [Mes]]=""),"",DATE(A752,MATCH(B752,{"enero","febrero","marzo","abril","mayo","junio","julio","agosto","septiembre","octubre","noviembre","diciembre"},0)+1,0))</f>
        <v/>
      </c>
      <c r="E752" t="str">
        <f>+IFERROR(VLOOKUP(Fact_Administrativa[[#This Row], [Concepto Anterior]],Conceptos_Administrativa[#All],5,0),"")</f>
        <v/>
      </c>
      <c r="F752" t="str">
        <f>+IFERROR(VLOOKUP(Fact_Administrativa[[#This Row], 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ht="18.75" customHeight="1" x14ac:dyDescent="0.35">
      <c r="C753" s="100" t="str">
        <f>IF(OR(Fact_Administrativa[[#This Row], [Año]]="",Fact_Administrativa[[#This Row], [Mes]]=""),"",DATE(A753,MATCH(B753,{"enero","febrero","marzo","abril","mayo","junio","julio","agosto","septiembre","octubre","noviembre","diciembre"},0)+1,0))</f>
        <v/>
      </c>
      <c r="E753" t="str">
        <f>+IFERROR(VLOOKUP(Fact_Administrativa[[#This Row], [Concepto Anterior]],Conceptos_Administrativa[#All],5,0),"")</f>
        <v/>
      </c>
      <c r="F753" t="str">
        <f>+IFERROR(VLOOKUP(Fact_Administrativa[[#This Row], 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ht="18.75" customHeight="1" x14ac:dyDescent="0.35">
      <c r="C754" s="100" t="str">
        <f>IF(OR(Fact_Administrativa[[#This Row], [Año]]="",Fact_Administrativa[[#This Row], [Mes]]=""),"",DATE(A754,MATCH(B754,{"enero","febrero","marzo","abril","mayo","junio","julio","agosto","septiembre","octubre","noviembre","diciembre"},0)+1,0))</f>
        <v/>
      </c>
      <c r="E754" t="str">
        <f>+IFERROR(VLOOKUP(Fact_Administrativa[[#This Row], [Concepto Anterior]],Conceptos_Administrativa[#All],5,0),"")</f>
        <v/>
      </c>
      <c r="F754" t="str">
        <f>+IFERROR(VLOOKUP(Fact_Administrativa[[#This Row], 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ht="18.75" customHeight="1" x14ac:dyDescent="0.35">
      <c r="C755" s="100" t="str">
        <f>IF(OR(Fact_Administrativa[[#This Row], [Año]]="",Fact_Administrativa[[#This Row], [Mes]]=""),"",DATE(A755,MATCH(B755,{"enero","febrero","marzo","abril","mayo","junio","julio","agosto","septiembre","octubre","noviembre","diciembre"},0)+1,0))</f>
        <v/>
      </c>
      <c r="E755" t="str">
        <f>+IFERROR(VLOOKUP(Fact_Administrativa[[#This Row], [Concepto Anterior]],Conceptos_Administrativa[#All],5,0),"")</f>
        <v/>
      </c>
      <c r="F755" t="str">
        <f>+IFERROR(VLOOKUP(Fact_Administrativa[[#This Row], 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ht="18.75" customHeight="1" x14ac:dyDescent="0.35">
      <c r="C756" s="100" t="str">
        <f>IF(OR(Fact_Administrativa[[#This Row], [Año]]="",Fact_Administrativa[[#This Row], [Mes]]=""),"",DATE(A756,MATCH(B756,{"enero","febrero","marzo","abril","mayo","junio","julio","agosto","septiembre","octubre","noviembre","diciembre"},0)+1,0))</f>
        <v/>
      </c>
      <c r="E756" t="str">
        <f>+IFERROR(VLOOKUP(Fact_Administrativa[[#This Row], [Concepto Anterior]],Conceptos_Administrativa[#All],5,0),"")</f>
        <v/>
      </c>
      <c r="F756" t="str">
        <f>+IFERROR(VLOOKUP(Fact_Administrativa[[#This Row], 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ht="18.75" customHeight="1" x14ac:dyDescent="0.35">
      <c r="C757" s="100" t="str">
        <f>IF(OR(Fact_Administrativa[[#This Row], [Año]]="",Fact_Administrativa[[#This Row], [Mes]]=""),"",DATE(A757,MATCH(B757,{"enero","febrero","marzo","abril","mayo","junio","julio","agosto","septiembre","octubre","noviembre","diciembre"},0)+1,0))</f>
        <v/>
      </c>
      <c r="E757" t="str">
        <f>+IFERROR(VLOOKUP(Fact_Administrativa[[#This Row], [Concepto Anterior]],Conceptos_Administrativa[#All],5,0),"")</f>
        <v/>
      </c>
      <c r="F757" t="str">
        <f>+IFERROR(VLOOKUP(Fact_Administrativa[[#This Row], 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ht="18.75" customHeight="1" x14ac:dyDescent="0.35">
      <c r="C758" s="100" t="str">
        <f>IF(OR(Fact_Administrativa[[#This Row], [Año]]="",Fact_Administrativa[[#This Row], [Mes]]=""),"",DATE(A758,MATCH(B758,{"enero","febrero","marzo","abril","mayo","junio","julio","agosto","septiembre","octubre","noviembre","diciembre"},0)+1,0))</f>
        <v/>
      </c>
      <c r="E758" t="str">
        <f>+IFERROR(VLOOKUP(Fact_Administrativa[[#This Row], [Concepto Anterior]],Conceptos_Administrativa[#All],5,0),"")</f>
        <v/>
      </c>
      <c r="F758" t="str">
        <f>+IFERROR(VLOOKUP(Fact_Administrativa[[#This Row], 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ht="18.75" customHeight="1" x14ac:dyDescent="0.35">
      <c r="C759" s="100" t="str">
        <f>IF(OR(Fact_Administrativa[[#This Row], [Año]]="",Fact_Administrativa[[#This Row], [Mes]]=""),"",DATE(A759,MATCH(B759,{"enero","febrero","marzo","abril","mayo","junio","julio","agosto","septiembre","octubre","noviembre","diciembre"},0)+1,0))</f>
        <v/>
      </c>
      <c r="E759" t="str">
        <f>+IFERROR(VLOOKUP(Fact_Administrativa[[#This Row], [Concepto Anterior]],Conceptos_Administrativa[#All],5,0),"")</f>
        <v/>
      </c>
      <c r="F759" t="str">
        <f>+IFERROR(VLOOKUP(Fact_Administrativa[[#This Row], 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ht="18.75" customHeight="1" x14ac:dyDescent="0.35">
      <c r="C760" s="100" t="str">
        <f>IF(OR(Fact_Administrativa[[#This Row], [Año]]="",Fact_Administrativa[[#This Row], [Mes]]=""),"",DATE(A760,MATCH(B760,{"enero","febrero","marzo","abril","mayo","junio","julio","agosto","septiembre","octubre","noviembre","diciembre"},0)+1,0))</f>
        <v/>
      </c>
      <c r="E760" t="str">
        <f>+IFERROR(VLOOKUP(Fact_Administrativa[[#This Row], [Concepto Anterior]],Conceptos_Administrativa[#All],5,0),"")</f>
        <v/>
      </c>
      <c r="F760" t="str">
        <f>+IFERROR(VLOOKUP(Fact_Administrativa[[#This Row], 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ht="18.75" customHeight="1" x14ac:dyDescent="0.35">
      <c r="C761" s="100" t="str">
        <f>IF(OR(Fact_Administrativa[[#This Row], [Año]]="",Fact_Administrativa[[#This Row], [Mes]]=""),"",DATE(A761,MATCH(B761,{"enero","febrero","marzo","abril","mayo","junio","julio","agosto","septiembre","octubre","noviembre","diciembre"},0)+1,0))</f>
        <v/>
      </c>
      <c r="E761" t="str">
        <f>+IFERROR(VLOOKUP(Fact_Administrativa[[#This Row], [Concepto Anterior]],Conceptos_Administrativa[#All],5,0),"")</f>
        <v/>
      </c>
      <c r="F761" t="str">
        <f>+IFERROR(VLOOKUP(Fact_Administrativa[[#This Row], 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ht="18.75" customHeight="1" x14ac:dyDescent="0.35">
      <c r="C762" s="100" t="str">
        <f>IF(OR(Fact_Administrativa[[#This Row], [Año]]="",Fact_Administrativa[[#This Row], [Mes]]=""),"",DATE(A762,MATCH(B762,{"enero","febrero","marzo","abril","mayo","junio","julio","agosto","septiembre","octubre","noviembre","diciembre"},0)+1,0))</f>
        <v/>
      </c>
      <c r="E762" t="str">
        <f>+IFERROR(VLOOKUP(Fact_Administrativa[[#This Row], [Concepto Anterior]],Conceptos_Administrativa[#All],5,0),"")</f>
        <v/>
      </c>
      <c r="F762" t="str">
        <f>+IFERROR(VLOOKUP(Fact_Administrativa[[#This Row], 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ht="18.75" customHeight="1" x14ac:dyDescent="0.35">
      <c r="C763" s="100" t="str">
        <f>IF(OR(Fact_Administrativa[[#This Row], [Año]]="",Fact_Administrativa[[#This Row], [Mes]]=""),"",DATE(A763,MATCH(B763,{"enero","febrero","marzo","abril","mayo","junio","julio","agosto","septiembre","octubre","noviembre","diciembre"},0)+1,0))</f>
        <v/>
      </c>
      <c r="E763" t="str">
        <f>+IFERROR(VLOOKUP(Fact_Administrativa[[#This Row], [Concepto Anterior]],Conceptos_Administrativa[#All],5,0),"")</f>
        <v/>
      </c>
      <c r="F763" t="str">
        <f>+IFERROR(VLOOKUP(Fact_Administrativa[[#This Row], 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ht="18.75" customHeight="1" x14ac:dyDescent="0.35">
      <c r="C764" s="100" t="str">
        <f>IF(OR(Fact_Administrativa[[#This Row], [Año]]="",Fact_Administrativa[[#This Row], [Mes]]=""),"",DATE(A764,MATCH(B764,{"enero","febrero","marzo","abril","mayo","junio","julio","agosto","septiembre","octubre","noviembre","diciembre"},0)+1,0))</f>
        <v/>
      </c>
      <c r="E764" t="str">
        <f>+IFERROR(VLOOKUP(Fact_Administrativa[[#This Row], [Concepto Anterior]],Conceptos_Administrativa[#All],5,0),"")</f>
        <v/>
      </c>
      <c r="F764" t="str">
        <f>+IFERROR(VLOOKUP(Fact_Administrativa[[#This Row], 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ht="18.75" customHeight="1" x14ac:dyDescent="0.35">
      <c r="C765" s="100" t="str">
        <f>IF(OR(Fact_Administrativa[[#This Row], [Año]]="",Fact_Administrativa[[#This Row], [Mes]]=""),"",DATE(A765,MATCH(B765,{"enero","febrero","marzo","abril","mayo","junio","julio","agosto","septiembre","octubre","noviembre","diciembre"},0)+1,0))</f>
        <v/>
      </c>
      <c r="E765" t="str">
        <f>+IFERROR(VLOOKUP(Fact_Administrativa[[#This Row], [Concepto Anterior]],Conceptos_Administrativa[#All],5,0),"")</f>
        <v/>
      </c>
      <c r="F765" t="str">
        <f>+IFERROR(VLOOKUP(Fact_Administrativa[[#This Row], 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ht="18.75" customHeight="1" x14ac:dyDescent="0.35">
      <c r="C766" s="100" t="str">
        <f>IF(OR(Fact_Administrativa[[#This Row], [Año]]="",Fact_Administrativa[[#This Row], [Mes]]=""),"",DATE(A766,MATCH(B766,{"enero","febrero","marzo","abril","mayo","junio","julio","agosto","septiembre","octubre","noviembre","diciembre"},0)+1,0))</f>
        <v/>
      </c>
      <c r="E766" t="str">
        <f>+IFERROR(VLOOKUP(Fact_Administrativa[[#This Row], [Concepto Anterior]],Conceptos_Administrativa[#All],5,0),"")</f>
        <v/>
      </c>
      <c r="F766" t="str">
        <f>+IFERROR(VLOOKUP(Fact_Administrativa[[#This Row], 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ht="18.75" customHeight="1" x14ac:dyDescent="0.35">
      <c r="C767" s="100" t="str">
        <f>IF(OR(Fact_Administrativa[[#This Row], [Año]]="",Fact_Administrativa[[#This Row], [Mes]]=""),"",DATE(A767,MATCH(B767,{"enero","febrero","marzo","abril","mayo","junio","julio","agosto","septiembre","octubre","noviembre","diciembre"},0)+1,0))</f>
        <v/>
      </c>
      <c r="E767" t="str">
        <f>+IFERROR(VLOOKUP(Fact_Administrativa[[#This Row], [Concepto Anterior]],Conceptos_Administrativa[#All],5,0),"")</f>
        <v/>
      </c>
      <c r="F767" t="str">
        <f>+IFERROR(VLOOKUP(Fact_Administrativa[[#This Row], 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ht="18.75" customHeight="1" x14ac:dyDescent="0.35">
      <c r="C768" s="100" t="str">
        <f>IF(OR(Fact_Administrativa[[#This Row], [Año]]="",Fact_Administrativa[[#This Row], [Mes]]=""),"",DATE(A768,MATCH(B768,{"enero","febrero","marzo","abril","mayo","junio","julio","agosto","septiembre","octubre","noviembre","diciembre"},0)+1,0))</f>
        <v/>
      </c>
      <c r="E768" t="str">
        <f>+IFERROR(VLOOKUP(Fact_Administrativa[[#This Row], [Concepto Anterior]],Conceptos_Administrativa[#All],5,0),"")</f>
        <v/>
      </c>
      <c r="F768" t="str">
        <f>+IFERROR(VLOOKUP(Fact_Administrativa[[#This Row], 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ht="18.75" customHeight="1" x14ac:dyDescent="0.35">
      <c r="C769" s="100" t="str">
        <f>IF(OR(Fact_Administrativa[[#This Row], [Año]]="",Fact_Administrativa[[#This Row], [Mes]]=""),"",DATE(A769,MATCH(B769,{"enero","febrero","marzo","abril","mayo","junio","julio","agosto","septiembre","octubre","noviembre","diciembre"},0)+1,0))</f>
        <v/>
      </c>
      <c r="E769" t="str">
        <f>+IFERROR(VLOOKUP(Fact_Administrativa[[#This Row], [Concepto Anterior]],Conceptos_Administrativa[#All],5,0),"")</f>
        <v/>
      </c>
      <c r="F769" t="str">
        <f>+IFERROR(VLOOKUP(Fact_Administrativa[[#This Row], 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ht="18.75" customHeight="1" x14ac:dyDescent="0.35">
      <c r="C770" s="100" t="str">
        <f>IF(OR(Fact_Administrativa[[#This Row], [Año]]="",Fact_Administrativa[[#This Row], [Mes]]=""),"",DATE(A770,MATCH(B770,{"enero","febrero","marzo","abril","mayo","junio","julio","agosto","septiembre","octubre","noviembre","diciembre"},0)+1,0))</f>
        <v/>
      </c>
      <c r="E770" t="str">
        <f>+IFERROR(VLOOKUP(Fact_Administrativa[[#This Row], [Concepto Anterior]],Conceptos_Administrativa[#All],5,0),"")</f>
        <v/>
      </c>
      <c r="F770" t="str">
        <f>+IFERROR(VLOOKUP(Fact_Administrativa[[#This Row], 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ht="18.75" customHeight="1" x14ac:dyDescent="0.35">
      <c r="C771" s="100" t="str">
        <f>IF(OR(Fact_Administrativa[[#This Row], [Año]]="",Fact_Administrativa[[#This Row], [Mes]]=""),"",DATE(A771,MATCH(B771,{"enero","febrero","marzo","abril","mayo","junio","julio","agosto","septiembre","octubre","noviembre","diciembre"},0)+1,0))</f>
        <v/>
      </c>
      <c r="E771" t="str">
        <f>+IFERROR(VLOOKUP(Fact_Administrativa[[#This Row], [Concepto Anterior]],Conceptos_Administrativa[#All],5,0),"")</f>
        <v/>
      </c>
      <c r="F771" t="str">
        <f>+IFERROR(VLOOKUP(Fact_Administrativa[[#This Row], 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ht="18.75" customHeight="1" x14ac:dyDescent="0.35">
      <c r="C772" s="100" t="str">
        <f>IF(OR(Fact_Administrativa[[#This Row], [Año]]="",Fact_Administrativa[[#This Row], [Mes]]=""),"",DATE(A772,MATCH(B772,{"enero","febrero","marzo","abril","mayo","junio","julio","agosto","septiembre","octubre","noviembre","diciembre"},0)+1,0))</f>
        <v/>
      </c>
      <c r="E772" t="str">
        <f>+IFERROR(VLOOKUP(Fact_Administrativa[[#This Row], [Concepto Anterior]],Conceptos_Administrativa[#All],5,0),"")</f>
        <v/>
      </c>
      <c r="F772" t="str">
        <f>+IFERROR(VLOOKUP(Fact_Administrativa[[#This Row], 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ht="18.75" customHeight="1" x14ac:dyDescent="0.35">
      <c r="C773" s="100" t="str">
        <f>IF(OR(Fact_Administrativa[[#This Row], [Año]]="",Fact_Administrativa[[#This Row], [Mes]]=""),"",DATE(A773,MATCH(B773,{"enero","febrero","marzo","abril","mayo","junio","julio","agosto","septiembre","octubre","noviembre","diciembre"},0)+1,0))</f>
        <v/>
      </c>
      <c r="E773" t="str">
        <f>+IFERROR(VLOOKUP(Fact_Administrativa[[#This Row], [Concepto Anterior]],Conceptos_Administrativa[#All],5,0),"")</f>
        <v/>
      </c>
      <c r="F773" t="str">
        <f>+IFERROR(VLOOKUP(Fact_Administrativa[[#This Row], 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ht="18.75" customHeight="1" x14ac:dyDescent="0.35">
      <c r="C774" s="100" t="str">
        <f>IF(OR(Fact_Administrativa[[#This Row], [Año]]="",Fact_Administrativa[[#This Row], [Mes]]=""),"",DATE(A774,MATCH(B774,{"enero","febrero","marzo","abril","mayo","junio","julio","agosto","septiembre","octubre","noviembre","diciembre"},0)+1,0))</f>
        <v/>
      </c>
      <c r="E774" t="str">
        <f>+IFERROR(VLOOKUP(Fact_Administrativa[[#This Row], [Concepto Anterior]],Conceptos_Administrativa[#All],5,0),"")</f>
        <v/>
      </c>
      <c r="F774" t="str">
        <f>+IFERROR(VLOOKUP(Fact_Administrativa[[#This Row], 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ht="18.75" customHeight="1" x14ac:dyDescent="0.35">
      <c r="C775" s="100" t="str">
        <f>IF(OR(Fact_Administrativa[[#This Row], [Año]]="",Fact_Administrativa[[#This Row], [Mes]]=""),"",DATE(A775,MATCH(B775,{"enero","febrero","marzo","abril","mayo","junio","julio","agosto","septiembre","octubre","noviembre","diciembre"},0)+1,0))</f>
        <v/>
      </c>
      <c r="E775" t="str">
        <f>+IFERROR(VLOOKUP(Fact_Administrativa[[#This Row], [Concepto Anterior]],Conceptos_Administrativa[#All],5,0),"")</f>
        <v/>
      </c>
      <c r="F775" t="str">
        <f>+IFERROR(VLOOKUP(Fact_Administrativa[[#This Row], 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ht="18.75" customHeight="1" x14ac:dyDescent="0.35">
      <c r="C776" s="100" t="str">
        <f>IF(OR(Fact_Administrativa[[#This Row], [Año]]="",Fact_Administrativa[[#This Row], [Mes]]=""),"",DATE(A776,MATCH(B776,{"enero","febrero","marzo","abril","mayo","junio","julio","agosto","septiembre","octubre","noviembre","diciembre"},0)+1,0))</f>
        <v/>
      </c>
      <c r="E776" t="str">
        <f>+IFERROR(VLOOKUP(Fact_Administrativa[[#This Row], [Concepto Anterior]],Conceptos_Administrativa[#All],5,0),"")</f>
        <v/>
      </c>
      <c r="F776" t="str">
        <f>+IFERROR(VLOOKUP(Fact_Administrativa[[#This Row], 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ht="18.75" customHeight="1" x14ac:dyDescent="0.35">
      <c r="C777" s="100" t="str">
        <f>IF(OR(Fact_Administrativa[[#This Row], [Año]]="",Fact_Administrativa[[#This Row], [Mes]]=""),"",DATE(A777,MATCH(B777,{"enero","febrero","marzo","abril","mayo","junio","julio","agosto","septiembre","octubre","noviembre","diciembre"},0)+1,0))</f>
        <v/>
      </c>
      <c r="E777" t="str">
        <f>+IFERROR(VLOOKUP(Fact_Administrativa[[#This Row], [Concepto Anterior]],Conceptos_Administrativa[#All],5,0),"")</f>
        <v/>
      </c>
      <c r="F777" t="str">
        <f>+IFERROR(VLOOKUP(Fact_Administrativa[[#This Row], 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ht="18.75" customHeight="1" x14ac:dyDescent="0.35">
      <c r="C778" s="100" t="str">
        <f>IF(OR(Fact_Administrativa[[#This Row], [Año]]="",Fact_Administrativa[[#This Row], [Mes]]=""),"",DATE(A778,MATCH(B778,{"enero","febrero","marzo","abril","mayo","junio","julio","agosto","septiembre","octubre","noviembre","diciembre"},0)+1,0))</f>
        <v/>
      </c>
      <c r="E778" t="str">
        <f>+IFERROR(VLOOKUP(Fact_Administrativa[[#This Row], [Concepto Anterior]],Conceptos_Administrativa[#All],5,0),"")</f>
        <v/>
      </c>
      <c r="F778" t="str">
        <f>+IFERROR(VLOOKUP(Fact_Administrativa[[#This Row], 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ht="18.75" customHeight="1" x14ac:dyDescent="0.35">
      <c r="C779" s="100" t="str">
        <f>IF(OR(Fact_Administrativa[[#This Row], [Año]]="",Fact_Administrativa[[#This Row], [Mes]]=""),"",DATE(A779,MATCH(B779,{"enero","febrero","marzo","abril","mayo","junio","julio","agosto","septiembre","octubre","noviembre","diciembre"},0)+1,0))</f>
        <v/>
      </c>
      <c r="E779" t="str">
        <f>+IFERROR(VLOOKUP(Fact_Administrativa[[#This Row], [Concepto Anterior]],Conceptos_Administrativa[#All],5,0),"")</f>
        <v/>
      </c>
      <c r="F779" t="str">
        <f>+IFERROR(VLOOKUP(Fact_Administrativa[[#This Row], 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ht="18.75" customHeight="1" x14ac:dyDescent="0.35">
      <c r="C780" s="100" t="str">
        <f>IF(OR(Fact_Administrativa[[#This Row], [Año]]="",Fact_Administrativa[[#This Row], [Mes]]=""),"",DATE(A780,MATCH(B780,{"enero","febrero","marzo","abril","mayo","junio","julio","agosto","septiembre","octubre","noviembre","diciembre"},0)+1,0))</f>
        <v/>
      </c>
      <c r="E780" t="str">
        <f>+IFERROR(VLOOKUP(Fact_Administrativa[[#This Row], [Concepto Anterior]],Conceptos_Administrativa[#All],5,0),"")</f>
        <v/>
      </c>
      <c r="F780" t="str">
        <f>+IFERROR(VLOOKUP(Fact_Administrativa[[#This Row], 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ht="18.75" customHeight="1" x14ac:dyDescent="0.35">
      <c r="C781" s="100" t="str">
        <f>IF(OR(Fact_Administrativa[[#This Row], [Año]]="",Fact_Administrativa[[#This Row], [Mes]]=""),"",DATE(A781,MATCH(B781,{"enero","febrero","marzo","abril","mayo","junio","julio","agosto","septiembre","octubre","noviembre","diciembre"},0)+1,0))</f>
        <v/>
      </c>
      <c r="E781" t="str">
        <f>+IFERROR(VLOOKUP(Fact_Administrativa[[#This Row], [Concepto Anterior]],Conceptos_Administrativa[#All],5,0),"")</f>
        <v/>
      </c>
      <c r="F781" t="str">
        <f>+IFERROR(VLOOKUP(Fact_Administrativa[[#This Row], 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ht="18.75" customHeight="1" x14ac:dyDescent="0.35">
      <c r="C782" s="100" t="str">
        <f>IF(OR(Fact_Administrativa[[#This Row], [Año]]="",Fact_Administrativa[[#This Row], [Mes]]=""),"",DATE(A782,MATCH(B782,{"enero","febrero","marzo","abril","mayo","junio","julio","agosto","septiembre","octubre","noviembre","diciembre"},0)+1,0))</f>
        <v/>
      </c>
      <c r="E782" t="str">
        <f>+IFERROR(VLOOKUP(Fact_Administrativa[[#This Row], [Concepto Anterior]],Conceptos_Administrativa[#All],5,0),"")</f>
        <v/>
      </c>
      <c r="F782" t="str">
        <f>+IFERROR(VLOOKUP(Fact_Administrativa[[#This Row], 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ht="18.75" customHeight="1" x14ac:dyDescent="0.35">
      <c r="C783" s="100" t="str">
        <f>IF(OR(Fact_Administrativa[[#This Row], [Año]]="",Fact_Administrativa[[#This Row], [Mes]]=""),"",DATE(A783,MATCH(B783,{"enero","febrero","marzo","abril","mayo","junio","julio","agosto","septiembre","octubre","noviembre","diciembre"},0)+1,0))</f>
        <v/>
      </c>
      <c r="E783" t="str">
        <f>+IFERROR(VLOOKUP(Fact_Administrativa[[#This Row], [Concepto Anterior]],Conceptos_Administrativa[#All],5,0),"")</f>
        <v/>
      </c>
      <c r="F783" t="str">
        <f>+IFERROR(VLOOKUP(Fact_Administrativa[[#This Row], 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ht="18.75" customHeight="1" x14ac:dyDescent="0.35">
      <c r="C784" s="100" t="str">
        <f>IF(OR(Fact_Administrativa[[#This Row], [Año]]="",Fact_Administrativa[[#This Row], [Mes]]=""),"",DATE(A784,MATCH(B784,{"enero","febrero","marzo","abril","mayo","junio","julio","agosto","septiembre","octubre","noviembre","diciembre"},0)+1,0))</f>
        <v/>
      </c>
      <c r="E784" t="str">
        <f>+IFERROR(VLOOKUP(Fact_Administrativa[[#This Row], [Concepto Anterior]],Conceptos_Administrativa[#All],5,0),"")</f>
        <v/>
      </c>
      <c r="F784" t="str">
        <f>+IFERROR(VLOOKUP(Fact_Administrativa[[#This Row], 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ht="18.75" customHeight="1" x14ac:dyDescent="0.35">
      <c r="C785" s="100" t="str">
        <f>IF(OR(Fact_Administrativa[[#This Row], [Año]]="",Fact_Administrativa[[#This Row], [Mes]]=""),"",DATE(A785,MATCH(B785,{"enero","febrero","marzo","abril","mayo","junio","julio","agosto","septiembre","octubre","noviembre","diciembre"},0)+1,0))</f>
        <v/>
      </c>
      <c r="E785" t="str">
        <f>+IFERROR(VLOOKUP(Fact_Administrativa[[#This Row], [Concepto Anterior]],Conceptos_Administrativa[#All],5,0),"")</f>
        <v/>
      </c>
      <c r="F785" t="str">
        <f>+IFERROR(VLOOKUP(Fact_Administrativa[[#This Row], 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ht="18.75" customHeight="1" x14ac:dyDescent="0.35">
      <c r="C786" s="100" t="str">
        <f>IF(OR(Fact_Administrativa[[#This Row], [Año]]="",Fact_Administrativa[[#This Row], [Mes]]=""),"",DATE(A786,MATCH(B786,{"enero","febrero","marzo","abril","mayo","junio","julio","agosto","septiembre","octubre","noviembre","diciembre"},0)+1,0))</f>
        <v/>
      </c>
      <c r="E786" t="str">
        <f>+IFERROR(VLOOKUP(Fact_Administrativa[[#This Row], [Concepto Anterior]],Conceptos_Administrativa[#All],5,0),"")</f>
        <v/>
      </c>
      <c r="F786" t="str">
        <f>+IFERROR(VLOOKUP(Fact_Administrativa[[#This Row], 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ht="18.75" customHeight="1" x14ac:dyDescent="0.35">
      <c r="C787" s="100" t="str">
        <f>IF(OR(Fact_Administrativa[[#This Row], [Año]]="",Fact_Administrativa[[#This Row], [Mes]]=""),"",DATE(A787,MATCH(B787,{"enero","febrero","marzo","abril","mayo","junio","julio","agosto","septiembre","octubre","noviembre","diciembre"},0)+1,0))</f>
        <v/>
      </c>
      <c r="E787" t="str">
        <f>+IFERROR(VLOOKUP(Fact_Administrativa[[#This Row], [Concepto Anterior]],Conceptos_Administrativa[#All],5,0),"")</f>
        <v/>
      </c>
      <c r="F787" t="str">
        <f>+IFERROR(VLOOKUP(Fact_Administrativa[[#This Row], 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ht="18.75" customHeight="1" x14ac:dyDescent="0.35">
      <c r="C788" s="100" t="str">
        <f>IF(OR(Fact_Administrativa[[#This Row], [Año]]="",Fact_Administrativa[[#This Row], [Mes]]=""),"",DATE(A788,MATCH(B788,{"enero","febrero","marzo","abril","mayo","junio","julio","agosto","septiembre","octubre","noviembre","diciembre"},0)+1,0))</f>
        <v/>
      </c>
      <c r="E788" t="str">
        <f>+IFERROR(VLOOKUP(Fact_Administrativa[[#This Row], [Concepto Anterior]],Conceptos_Administrativa[#All],5,0),"")</f>
        <v/>
      </c>
      <c r="F788" t="str">
        <f>+IFERROR(VLOOKUP(Fact_Administrativa[[#This Row], 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ht="18.75" customHeight="1" x14ac:dyDescent="0.35">
      <c r="C789" s="100" t="str">
        <f>IF(OR(Fact_Administrativa[[#This Row], [Año]]="",Fact_Administrativa[[#This Row], [Mes]]=""),"",DATE(A789,MATCH(B789,{"enero","febrero","marzo","abril","mayo","junio","julio","agosto","septiembre","octubre","noviembre","diciembre"},0)+1,0))</f>
        <v/>
      </c>
      <c r="E789" t="str">
        <f>+IFERROR(VLOOKUP(Fact_Administrativa[[#This Row], [Concepto Anterior]],Conceptos_Administrativa[#All],5,0),"")</f>
        <v/>
      </c>
      <c r="F789" t="str">
        <f>+IFERROR(VLOOKUP(Fact_Administrativa[[#This Row], 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ht="18.75" customHeight="1" x14ac:dyDescent="0.35">
      <c r="C790" s="100" t="str">
        <f>IF(OR(Fact_Administrativa[[#This Row], [Año]]="",Fact_Administrativa[[#This Row], [Mes]]=""),"",DATE(A790,MATCH(B790,{"enero","febrero","marzo","abril","mayo","junio","julio","agosto","septiembre","octubre","noviembre","diciembre"},0)+1,0))</f>
        <v/>
      </c>
      <c r="E790" t="str">
        <f>+IFERROR(VLOOKUP(Fact_Administrativa[[#This Row], [Concepto Anterior]],Conceptos_Administrativa[#All],5,0),"")</f>
        <v/>
      </c>
      <c r="F790" t="str">
        <f>+IFERROR(VLOOKUP(Fact_Administrativa[[#This Row], 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ht="18.75" customHeight="1" x14ac:dyDescent="0.35">
      <c r="C791" s="100" t="str">
        <f>IF(OR(Fact_Administrativa[[#This Row], [Año]]="",Fact_Administrativa[[#This Row], [Mes]]=""),"",DATE(A791,MATCH(B791,{"enero","febrero","marzo","abril","mayo","junio","julio","agosto","septiembre","octubre","noviembre","diciembre"},0)+1,0))</f>
        <v/>
      </c>
      <c r="E791" t="str">
        <f>+IFERROR(VLOOKUP(Fact_Administrativa[[#This Row], [Concepto Anterior]],Conceptos_Administrativa[#All],5,0),"")</f>
        <v/>
      </c>
      <c r="F791" t="str">
        <f>+IFERROR(VLOOKUP(Fact_Administrativa[[#This Row], 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ht="18.75" customHeight="1" x14ac:dyDescent="0.35">
      <c r="C792" s="100" t="str">
        <f>IF(OR(Fact_Administrativa[[#This Row], [Año]]="",Fact_Administrativa[[#This Row], [Mes]]=""),"",DATE(A792,MATCH(B792,{"enero","febrero","marzo","abril","mayo","junio","julio","agosto","septiembre","octubre","noviembre","diciembre"},0)+1,0))</f>
        <v/>
      </c>
      <c r="E792" t="str">
        <f>+IFERROR(VLOOKUP(Fact_Administrativa[[#This Row], [Concepto Anterior]],Conceptos_Administrativa[#All],5,0),"")</f>
        <v/>
      </c>
      <c r="F792" t="str">
        <f>+IFERROR(VLOOKUP(Fact_Administrativa[[#This Row], 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ht="18.75" customHeight="1" x14ac:dyDescent="0.35">
      <c r="C793" s="100" t="str">
        <f>IF(OR(Fact_Administrativa[[#This Row], [Año]]="",Fact_Administrativa[[#This Row], [Mes]]=""),"",DATE(A793,MATCH(B793,{"enero","febrero","marzo","abril","mayo","junio","julio","agosto","septiembre","octubre","noviembre","diciembre"},0)+1,0))</f>
        <v/>
      </c>
      <c r="E793" t="str">
        <f>+IFERROR(VLOOKUP(Fact_Administrativa[[#This Row], [Concepto Anterior]],Conceptos_Administrativa[#All],5,0),"")</f>
        <v/>
      </c>
      <c r="F793" t="str">
        <f>+IFERROR(VLOOKUP(Fact_Administrativa[[#This Row], 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ht="18.75" customHeight="1" x14ac:dyDescent="0.35">
      <c r="C794" s="100" t="str">
        <f>IF(OR(Fact_Administrativa[[#This Row], [Año]]="",Fact_Administrativa[[#This Row], [Mes]]=""),"",DATE(A794,MATCH(B794,{"enero","febrero","marzo","abril","mayo","junio","julio","agosto","septiembre","octubre","noviembre","diciembre"},0)+1,0))</f>
        <v/>
      </c>
      <c r="E794" t="str">
        <f>+IFERROR(VLOOKUP(Fact_Administrativa[[#This Row], [Concepto Anterior]],Conceptos_Administrativa[#All],5,0),"")</f>
        <v/>
      </c>
      <c r="F794" t="str">
        <f>+IFERROR(VLOOKUP(Fact_Administrativa[[#This Row], 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ht="18.75" customHeight="1" x14ac:dyDescent="0.35">
      <c r="C795" s="100" t="str">
        <f>IF(OR(Fact_Administrativa[[#This Row], [Año]]="",Fact_Administrativa[[#This Row], [Mes]]=""),"",DATE(A795,MATCH(B795,{"enero","febrero","marzo","abril","mayo","junio","julio","agosto","septiembre","octubre","noviembre","diciembre"},0)+1,0))</f>
        <v/>
      </c>
      <c r="E795" t="str">
        <f>+IFERROR(VLOOKUP(Fact_Administrativa[[#This Row], [Concepto Anterior]],Conceptos_Administrativa[#All],5,0),"")</f>
        <v/>
      </c>
      <c r="F795" t="str">
        <f>+IFERROR(VLOOKUP(Fact_Administrativa[[#This Row], 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ht="18.75" customHeight="1" x14ac:dyDescent="0.35">
      <c r="C796" s="100" t="str">
        <f>IF(OR(Fact_Administrativa[[#This Row], [Año]]="",Fact_Administrativa[[#This Row], [Mes]]=""),"",DATE(A796,MATCH(B796,{"enero","febrero","marzo","abril","mayo","junio","julio","agosto","septiembre","octubre","noviembre","diciembre"},0)+1,0))</f>
        <v/>
      </c>
      <c r="E796" t="str">
        <f>+IFERROR(VLOOKUP(Fact_Administrativa[[#This Row], [Concepto Anterior]],Conceptos_Administrativa[#All],5,0),"")</f>
        <v/>
      </c>
      <c r="F796" t="str">
        <f>+IFERROR(VLOOKUP(Fact_Administrativa[[#This Row], 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ht="18.75" customHeight="1" x14ac:dyDescent="0.35">
      <c r="C797" s="100" t="str">
        <f>IF(OR(Fact_Administrativa[[#This Row], [Año]]="",Fact_Administrativa[[#This Row], [Mes]]=""),"",DATE(A797,MATCH(B797,{"enero","febrero","marzo","abril","mayo","junio","julio","agosto","septiembre","octubre","noviembre","diciembre"},0)+1,0))</f>
        <v/>
      </c>
      <c r="E797" t="str">
        <f>+IFERROR(VLOOKUP(Fact_Administrativa[[#This Row], [Concepto Anterior]],Conceptos_Administrativa[#All],5,0),"")</f>
        <v/>
      </c>
      <c r="F797" t="str">
        <f>+IFERROR(VLOOKUP(Fact_Administrativa[[#This Row], 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ht="18.75" customHeight="1" x14ac:dyDescent="0.35">
      <c r="C798" s="100" t="str">
        <f>IF(OR(Fact_Administrativa[[#This Row], [Año]]="",Fact_Administrativa[[#This Row], [Mes]]=""),"",DATE(A798,MATCH(B798,{"enero","febrero","marzo","abril","mayo","junio","julio","agosto","septiembre","octubre","noviembre","diciembre"},0)+1,0))</f>
        <v/>
      </c>
      <c r="E798" t="str">
        <f>+IFERROR(VLOOKUP(Fact_Administrativa[[#This Row], [Concepto Anterior]],Conceptos_Administrativa[#All],5,0),"")</f>
        <v/>
      </c>
      <c r="F798" t="str">
        <f>+IFERROR(VLOOKUP(Fact_Administrativa[[#This Row], 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ht="18.75" customHeight="1" x14ac:dyDescent="0.35">
      <c r="C799" s="100" t="str">
        <f>IF(OR(Fact_Administrativa[[#This Row], [Año]]="",Fact_Administrativa[[#This Row], [Mes]]=""),"",DATE(A799,MATCH(B799,{"enero","febrero","marzo","abril","mayo","junio","julio","agosto","septiembre","octubre","noviembre","diciembre"},0)+1,0))</f>
        <v/>
      </c>
      <c r="E799" t="str">
        <f>+IFERROR(VLOOKUP(Fact_Administrativa[[#This Row], [Concepto Anterior]],Conceptos_Administrativa[#All],5,0),"")</f>
        <v/>
      </c>
      <c r="F799" t="str">
        <f>+IFERROR(VLOOKUP(Fact_Administrativa[[#This Row], 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ht="18.75" customHeight="1" x14ac:dyDescent="0.35">
      <c r="C800" s="100" t="str">
        <f>IF(OR(Fact_Administrativa[[#This Row], [Año]]="",Fact_Administrativa[[#This Row], [Mes]]=""),"",DATE(A800,MATCH(B800,{"enero","febrero","marzo","abril","mayo","junio","julio","agosto","septiembre","octubre","noviembre","diciembre"},0)+1,0))</f>
        <v/>
      </c>
      <c r="E800" t="str">
        <f>+IFERROR(VLOOKUP(Fact_Administrativa[[#This Row], [Concepto Anterior]],Conceptos_Administrativa[#All],5,0),"")</f>
        <v/>
      </c>
      <c r="F800" t="str">
        <f>+IFERROR(VLOOKUP(Fact_Administrativa[[#This Row], 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ht="18.75" customHeight="1" x14ac:dyDescent="0.35">
      <c r="C801" s="100" t="str">
        <f>IF(OR(Fact_Administrativa[[#This Row], [Año]]="",Fact_Administrativa[[#This Row], [Mes]]=""),"",DATE(A801,MATCH(B801,{"enero","febrero","marzo","abril","mayo","junio","julio","agosto","septiembre","octubre","noviembre","diciembre"},0)+1,0))</f>
        <v/>
      </c>
      <c r="E801" t="str">
        <f>+IFERROR(VLOOKUP(Fact_Administrativa[[#This Row], [Concepto Anterior]],Conceptos_Administrativa[#All],5,0),"")</f>
        <v/>
      </c>
      <c r="F801" t="str">
        <f>+IFERROR(VLOOKUP(Fact_Administrativa[[#This Row], 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ht="18.75" customHeight="1" x14ac:dyDescent="0.35">
      <c r="C802" s="100" t="str">
        <f>IF(OR(Fact_Administrativa[[#This Row], [Año]]="",Fact_Administrativa[[#This Row], [Mes]]=""),"",DATE(A802,MATCH(B802,{"enero","febrero","marzo","abril","mayo","junio","julio","agosto","septiembre","octubre","noviembre","diciembre"},0)+1,0))</f>
        <v/>
      </c>
      <c r="E802" t="str">
        <f>+IFERROR(VLOOKUP(Fact_Administrativa[[#This Row], [Concepto Anterior]],Conceptos_Administrativa[#All],5,0),"")</f>
        <v/>
      </c>
      <c r="F802" t="str">
        <f>+IFERROR(VLOOKUP(Fact_Administrativa[[#This Row], 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ht="18.75" customHeight="1" x14ac:dyDescent="0.35">
      <c r="C803" s="100" t="str">
        <f>IF(OR(Fact_Administrativa[[#This Row], [Año]]="",Fact_Administrativa[[#This Row], [Mes]]=""),"",DATE(A803,MATCH(B803,{"enero","febrero","marzo","abril","mayo","junio","julio","agosto","septiembre","octubre","noviembre","diciembre"},0)+1,0))</f>
        <v/>
      </c>
      <c r="E803" t="str">
        <f>+IFERROR(VLOOKUP(Fact_Administrativa[[#This Row], [Concepto Anterior]],Conceptos_Administrativa[#All],5,0),"")</f>
        <v/>
      </c>
      <c r="F803" t="str">
        <f>+IFERROR(VLOOKUP(Fact_Administrativa[[#This Row], 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ht="18.75" customHeight="1" x14ac:dyDescent="0.35">
      <c r="C804" s="100" t="str">
        <f>IF(OR(Fact_Administrativa[[#This Row], [Año]]="",Fact_Administrativa[[#This Row], [Mes]]=""),"",DATE(A804,MATCH(B804,{"enero","febrero","marzo","abril","mayo","junio","julio","agosto","septiembre","octubre","noviembre","diciembre"},0)+1,0))</f>
        <v/>
      </c>
      <c r="E804" t="str">
        <f>+IFERROR(VLOOKUP(Fact_Administrativa[[#This Row], [Concepto Anterior]],Conceptos_Administrativa[#All],5,0),"")</f>
        <v/>
      </c>
      <c r="F804" t="str">
        <f>+IFERROR(VLOOKUP(Fact_Administrativa[[#This Row], 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ht="18.75" customHeight="1" x14ac:dyDescent="0.35">
      <c r="C805" s="100" t="str">
        <f>IF(OR(Fact_Administrativa[[#This Row], [Año]]="",Fact_Administrativa[[#This Row], [Mes]]=""),"",DATE(A805,MATCH(B805,{"enero","febrero","marzo","abril","mayo","junio","julio","agosto","septiembre","octubre","noviembre","diciembre"},0)+1,0))</f>
        <v/>
      </c>
      <c r="E805" t="str">
        <f>+IFERROR(VLOOKUP(Fact_Administrativa[[#This Row], [Concepto Anterior]],Conceptos_Administrativa[#All],5,0),"")</f>
        <v/>
      </c>
      <c r="F805" t="str">
        <f>+IFERROR(VLOOKUP(Fact_Administrativa[[#This Row], 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ht="18.75" customHeight="1" x14ac:dyDescent="0.35">
      <c r="C806" s="100" t="str">
        <f>IF(OR(Fact_Administrativa[[#This Row], [Año]]="",Fact_Administrativa[[#This Row], [Mes]]=""),"",DATE(A806,MATCH(B806,{"enero","febrero","marzo","abril","mayo","junio","julio","agosto","septiembre","octubre","noviembre","diciembre"},0)+1,0))</f>
        <v/>
      </c>
      <c r="E806" t="str">
        <f>+IFERROR(VLOOKUP(Fact_Administrativa[[#This Row], [Concepto Anterior]],Conceptos_Administrativa[#All],5,0),"")</f>
        <v/>
      </c>
      <c r="F806" t="str">
        <f>+IFERROR(VLOOKUP(Fact_Administrativa[[#This Row], 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ht="18.75" customHeight="1" x14ac:dyDescent="0.35">
      <c r="C807" s="100" t="str">
        <f>IF(OR(Fact_Administrativa[[#This Row], [Año]]="",Fact_Administrativa[[#This Row], [Mes]]=""),"",DATE(A807,MATCH(B807,{"enero","febrero","marzo","abril","mayo","junio","julio","agosto","septiembre","octubre","noviembre","diciembre"},0)+1,0))</f>
        <v/>
      </c>
      <c r="E807" t="str">
        <f>+IFERROR(VLOOKUP(Fact_Administrativa[[#This Row], [Concepto Anterior]],Conceptos_Administrativa[#All],5,0),"")</f>
        <v/>
      </c>
      <c r="F807" t="str">
        <f>+IFERROR(VLOOKUP(Fact_Administrativa[[#This Row], 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ht="18.75" customHeight="1" x14ac:dyDescent="0.35">
      <c r="C808" s="100" t="str">
        <f>IF(OR(Fact_Administrativa[[#This Row], [Año]]="",Fact_Administrativa[[#This Row], [Mes]]=""),"",DATE(A808,MATCH(B808,{"enero","febrero","marzo","abril","mayo","junio","julio","agosto","septiembre","octubre","noviembre","diciembre"},0)+1,0))</f>
        <v/>
      </c>
      <c r="E808" t="str">
        <f>+IFERROR(VLOOKUP(Fact_Administrativa[[#This Row], [Concepto Anterior]],Conceptos_Administrativa[#All],5,0),"")</f>
        <v/>
      </c>
      <c r="F808" t="str">
        <f>+IFERROR(VLOOKUP(Fact_Administrativa[[#This Row], 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ht="18.75" customHeight="1" x14ac:dyDescent="0.35">
      <c r="C809" s="100" t="str">
        <f>IF(OR(Fact_Administrativa[[#This Row], [Año]]="",Fact_Administrativa[[#This Row], [Mes]]=""),"",DATE(A809,MATCH(B809,{"enero","febrero","marzo","abril","mayo","junio","julio","agosto","septiembre","octubre","noviembre","diciembre"},0)+1,0))</f>
        <v/>
      </c>
      <c r="E809" t="str">
        <f>+IFERROR(VLOOKUP(Fact_Administrativa[[#This Row], [Concepto Anterior]],Conceptos_Administrativa[#All],5,0),"")</f>
        <v/>
      </c>
      <c r="F809" t="str">
        <f>+IFERROR(VLOOKUP(Fact_Administrativa[[#This Row], 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ht="18.75" customHeight="1" x14ac:dyDescent="0.35">
      <c r="C810" s="100" t="str">
        <f>IF(OR(Fact_Administrativa[[#This Row], [Año]]="",Fact_Administrativa[[#This Row], [Mes]]=""),"",DATE(A810,MATCH(B810,{"enero","febrero","marzo","abril","mayo","junio","julio","agosto","septiembre","octubre","noviembre","diciembre"},0)+1,0))</f>
        <v/>
      </c>
      <c r="E810" t="str">
        <f>+IFERROR(VLOOKUP(Fact_Administrativa[[#This Row], [Concepto Anterior]],Conceptos_Administrativa[#All],5,0),"")</f>
        <v/>
      </c>
      <c r="F810" t="str">
        <f>+IFERROR(VLOOKUP(Fact_Administrativa[[#This Row], 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ht="18.75" customHeight="1" x14ac:dyDescent="0.35">
      <c r="C811" s="100" t="str">
        <f>IF(OR(Fact_Administrativa[[#This Row], [Año]]="",Fact_Administrativa[[#This Row], [Mes]]=""),"",DATE(A811,MATCH(B811,{"enero","febrero","marzo","abril","mayo","junio","julio","agosto","septiembre","octubre","noviembre","diciembre"},0)+1,0))</f>
        <v/>
      </c>
      <c r="E811" t="str">
        <f>+IFERROR(VLOOKUP(Fact_Administrativa[[#This Row], [Concepto Anterior]],Conceptos_Administrativa[#All],5,0),"")</f>
        <v/>
      </c>
      <c r="F811" t="str">
        <f>+IFERROR(VLOOKUP(Fact_Administrativa[[#This Row], 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ht="18.75" customHeight="1" x14ac:dyDescent="0.35">
      <c r="C812" s="100" t="str">
        <f>IF(OR(Fact_Administrativa[[#This Row], [Año]]="",Fact_Administrativa[[#This Row], [Mes]]=""),"",DATE(A812,MATCH(B812,{"enero","febrero","marzo","abril","mayo","junio","julio","agosto","septiembre","octubre","noviembre","diciembre"},0)+1,0))</f>
        <v/>
      </c>
      <c r="E812" t="str">
        <f>+IFERROR(VLOOKUP(Fact_Administrativa[[#This Row], [Concepto Anterior]],Conceptos_Administrativa[#All],5,0),"")</f>
        <v/>
      </c>
      <c r="F812" t="str">
        <f>+IFERROR(VLOOKUP(Fact_Administrativa[[#This Row], 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ht="18.75" customHeight="1" x14ac:dyDescent="0.35">
      <c r="C813" s="100" t="str">
        <f>IF(OR(Fact_Administrativa[[#This Row], [Año]]="",Fact_Administrativa[[#This Row], [Mes]]=""),"",DATE(A813,MATCH(B813,{"enero","febrero","marzo","abril","mayo","junio","julio","agosto","septiembre","octubre","noviembre","diciembre"},0)+1,0))</f>
        <v/>
      </c>
      <c r="E813" t="str">
        <f>+IFERROR(VLOOKUP(Fact_Administrativa[[#This Row], [Concepto Anterior]],Conceptos_Administrativa[#All],5,0),"")</f>
        <v/>
      </c>
      <c r="F813" t="str">
        <f>+IFERROR(VLOOKUP(Fact_Administrativa[[#This Row], 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ht="18.75" customHeight="1" x14ac:dyDescent="0.35">
      <c r="C814" s="100" t="str">
        <f>IF(OR(Fact_Administrativa[[#This Row], [Año]]="",Fact_Administrativa[[#This Row], [Mes]]=""),"",DATE(A814,MATCH(B814,{"enero","febrero","marzo","abril","mayo","junio","julio","agosto","septiembre","octubre","noviembre","diciembre"},0)+1,0))</f>
        <v/>
      </c>
      <c r="E814" t="str">
        <f>+IFERROR(VLOOKUP(Fact_Administrativa[[#This Row], [Concepto Anterior]],Conceptos_Administrativa[#All],5,0),"")</f>
        <v/>
      </c>
      <c r="F814" t="str">
        <f>+IFERROR(VLOOKUP(Fact_Administrativa[[#This Row], 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ht="18.75" customHeight="1" x14ac:dyDescent="0.35">
      <c r="C815" s="100" t="str">
        <f>IF(OR(Fact_Administrativa[[#This Row], [Año]]="",Fact_Administrativa[[#This Row], [Mes]]=""),"",DATE(A815,MATCH(B815,{"enero","febrero","marzo","abril","mayo","junio","julio","agosto","septiembre","octubre","noviembre","diciembre"},0)+1,0))</f>
        <v/>
      </c>
      <c r="E815" t="str">
        <f>+IFERROR(VLOOKUP(Fact_Administrativa[[#This Row], [Concepto Anterior]],Conceptos_Administrativa[#All],5,0),"")</f>
        <v/>
      </c>
      <c r="F815" t="str">
        <f>+IFERROR(VLOOKUP(Fact_Administrativa[[#This Row], 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ht="18.75" customHeight="1" x14ac:dyDescent="0.35">
      <c r="C816" s="100" t="str">
        <f>IF(OR(Fact_Administrativa[[#This Row], [Año]]="",Fact_Administrativa[[#This Row], [Mes]]=""),"",DATE(A816,MATCH(B816,{"enero","febrero","marzo","abril","mayo","junio","julio","agosto","septiembre","octubre","noviembre","diciembre"},0)+1,0))</f>
        <v/>
      </c>
      <c r="E816" t="str">
        <f>+IFERROR(VLOOKUP(Fact_Administrativa[[#This Row], [Concepto Anterior]],Conceptos_Administrativa[#All],5,0),"")</f>
        <v/>
      </c>
      <c r="F816" t="str">
        <f>+IFERROR(VLOOKUP(Fact_Administrativa[[#This Row], 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ht="18.75" customHeight="1" x14ac:dyDescent="0.35">
      <c r="C817" s="100" t="str">
        <f>IF(OR(Fact_Administrativa[[#This Row], [Año]]="",Fact_Administrativa[[#This Row], [Mes]]=""),"",DATE(A817,MATCH(B817,{"enero","febrero","marzo","abril","mayo","junio","julio","agosto","septiembre","octubre","noviembre","diciembre"},0)+1,0))</f>
        <v/>
      </c>
      <c r="E817" t="str">
        <f>+IFERROR(VLOOKUP(Fact_Administrativa[[#This Row], [Concepto Anterior]],Conceptos_Administrativa[#All],5,0),"")</f>
        <v/>
      </c>
      <c r="F817" t="str">
        <f>+IFERROR(VLOOKUP(Fact_Administrativa[[#This Row], 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ht="18.75" customHeight="1" x14ac:dyDescent="0.35">
      <c r="C818" s="100" t="str">
        <f>IF(OR(Fact_Administrativa[[#This Row], [Año]]="",Fact_Administrativa[[#This Row], [Mes]]=""),"",DATE(A818,MATCH(B818,{"enero","febrero","marzo","abril","mayo","junio","julio","agosto","septiembre","octubre","noviembre","diciembre"},0)+1,0))</f>
        <v/>
      </c>
      <c r="E818" t="str">
        <f>+IFERROR(VLOOKUP(Fact_Administrativa[[#This Row], [Concepto Anterior]],Conceptos_Administrativa[#All],5,0),"")</f>
        <v/>
      </c>
      <c r="F818" t="str">
        <f>+IFERROR(VLOOKUP(Fact_Administrativa[[#This Row], 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ht="18.75" customHeight="1" x14ac:dyDescent="0.35">
      <c r="C819" s="100" t="str">
        <f>IF(OR(Fact_Administrativa[[#This Row], [Año]]="",Fact_Administrativa[[#This Row], [Mes]]=""),"",DATE(A819,MATCH(B819,{"enero","febrero","marzo","abril","mayo","junio","julio","agosto","septiembre","octubre","noviembre","diciembre"},0)+1,0))</f>
        <v/>
      </c>
      <c r="E819" t="str">
        <f>+IFERROR(VLOOKUP(Fact_Administrativa[[#This Row], [Concepto Anterior]],Conceptos_Administrativa[#All],5,0),"")</f>
        <v/>
      </c>
      <c r="F819" t="str">
        <f>+IFERROR(VLOOKUP(Fact_Administrativa[[#This Row], 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ht="18.75" customHeight="1" x14ac:dyDescent="0.35">
      <c r="C820" s="100" t="str">
        <f>IF(OR(Fact_Administrativa[[#This Row], [Año]]="",Fact_Administrativa[[#This Row], [Mes]]=""),"",DATE(A820,MATCH(B820,{"enero","febrero","marzo","abril","mayo","junio","julio","agosto","septiembre","octubre","noviembre","diciembre"},0)+1,0))</f>
        <v/>
      </c>
      <c r="E820" t="str">
        <f>+IFERROR(VLOOKUP(Fact_Administrativa[[#This Row], [Concepto Anterior]],Conceptos_Administrativa[#All],5,0),"")</f>
        <v/>
      </c>
      <c r="F820" t="str">
        <f>+IFERROR(VLOOKUP(Fact_Administrativa[[#This Row], 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ht="18.75" customHeight="1" x14ac:dyDescent="0.35">
      <c r="C821" s="100" t="str">
        <f>IF(OR(Fact_Administrativa[[#This Row], [Año]]="",Fact_Administrativa[[#This Row], [Mes]]=""),"",DATE(A821,MATCH(B821,{"enero","febrero","marzo","abril","mayo","junio","julio","agosto","septiembre","octubre","noviembre","diciembre"},0)+1,0))</f>
        <v/>
      </c>
      <c r="E821" t="str">
        <f>+IFERROR(VLOOKUP(Fact_Administrativa[[#This Row], [Concepto Anterior]],Conceptos_Administrativa[#All],5,0),"")</f>
        <v/>
      </c>
      <c r="F821" t="str">
        <f>+IFERROR(VLOOKUP(Fact_Administrativa[[#This Row], 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ht="18.75" customHeight="1" x14ac:dyDescent="0.35">
      <c r="C822" s="100" t="str">
        <f>IF(OR(Fact_Administrativa[[#This Row], [Año]]="",Fact_Administrativa[[#This Row], [Mes]]=""),"",DATE(A822,MATCH(B822,{"enero","febrero","marzo","abril","mayo","junio","julio","agosto","septiembre","octubre","noviembre","diciembre"},0)+1,0))</f>
        <v/>
      </c>
      <c r="E822" t="str">
        <f>+IFERROR(VLOOKUP(Fact_Administrativa[[#This Row], [Concepto Anterior]],Conceptos_Administrativa[#All],5,0),"")</f>
        <v/>
      </c>
      <c r="F822" t="str">
        <f>+IFERROR(VLOOKUP(Fact_Administrativa[[#This Row], 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ht="18.75" customHeight="1" x14ac:dyDescent="0.35">
      <c r="C823" s="100" t="str">
        <f>IF(OR(Fact_Administrativa[[#This Row], [Año]]="",Fact_Administrativa[[#This Row], [Mes]]=""),"",DATE(A823,MATCH(B823,{"enero","febrero","marzo","abril","mayo","junio","julio","agosto","septiembre","octubre","noviembre","diciembre"},0)+1,0))</f>
        <v/>
      </c>
      <c r="E823" t="str">
        <f>+IFERROR(VLOOKUP(Fact_Administrativa[[#This Row], [Concepto Anterior]],Conceptos_Administrativa[#All],5,0),"")</f>
        <v/>
      </c>
      <c r="F823" t="str">
        <f>+IFERROR(VLOOKUP(Fact_Administrativa[[#This Row], 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ht="18.75" customHeight="1" x14ac:dyDescent="0.35">
      <c r="C824" s="100" t="str">
        <f>IF(OR(Fact_Administrativa[[#This Row], [Año]]="",Fact_Administrativa[[#This Row], [Mes]]=""),"",DATE(A824,MATCH(B824,{"enero","febrero","marzo","abril","mayo","junio","julio","agosto","septiembre","octubre","noviembre","diciembre"},0)+1,0))</f>
        <v/>
      </c>
      <c r="E824" t="str">
        <f>+IFERROR(VLOOKUP(Fact_Administrativa[[#This Row], [Concepto Anterior]],Conceptos_Administrativa[#All],5,0),"")</f>
        <v/>
      </c>
      <c r="F824" t="str">
        <f>+IFERROR(VLOOKUP(Fact_Administrativa[[#This Row], 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ht="18.75" customHeight="1" x14ac:dyDescent="0.35">
      <c r="C825" s="100" t="str">
        <f>IF(OR(Fact_Administrativa[[#This Row], [Año]]="",Fact_Administrativa[[#This Row], [Mes]]=""),"",DATE(A825,MATCH(B825,{"enero","febrero","marzo","abril","mayo","junio","julio","agosto","septiembre","octubre","noviembre","diciembre"},0)+1,0))</f>
        <v/>
      </c>
      <c r="E825" t="str">
        <f>+IFERROR(VLOOKUP(Fact_Administrativa[[#This Row], [Concepto Anterior]],Conceptos_Administrativa[#All],5,0),"")</f>
        <v/>
      </c>
      <c r="F825" t="str">
        <f>+IFERROR(VLOOKUP(Fact_Administrativa[[#This Row], 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ht="18.75" customHeight="1" x14ac:dyDescent="0.35">
      <c r="C826" s="100" t="str">
        <f>IF(OR(Fact_Administrativa[[#This Row], [Año]]="",Fact_Administrativa[[#This Row], [Mes]]=""),"",DATE(A826,MATCH(B826,{"enero","febrero","marzo","abril","mayo","junio","julio","agosto","septiembre","octubre","noviembre","diciembre"},0)+1,0))</f>
        <v/>
      </c>
      <c r="E826" t="str">
        <f>+IFERROR(VLOOKUP(Fact_Administrativa[[#This Row], [Concepto Anterior]],Conceptos_Administrativa[#All],5,0),"")</f>
        <v/>
      </c>
      <c r="F826" t="str">
        <f>+IFERROR(VLOOKUP(Fact_Administrativa[[#This Row], 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ht="18.75" customHeight="1" x14ac:dyDescent="0.35">
      <c r="C827" s="100" t="str">
        <f>IF(OR(Fact_Administrativa[[#This Row], [Año]]="",Fact_Administrativa[[#This Row], [Mes]]=""),"",DATE(A827,MATCH(B827,{"enero","febrero","marzo","abril","mayo","junio","julio","agosto","septiembre","octubre","noviembre","diciembre"},0)+1,0))</f>
        <v/>
      </c>
      <c r="E827" t="str">
        <f>+IFERROR(VLOOKUP(Fact_Administrativa[[#This Row], [Concepto Anterior]],Conceptos_Administrativa[#All],5,0),"")</f>
        <v/>
      </c>
      <c r="F827" t="str">
        <f>+IFERROR(VLOOKUP(Fact_Administrativa[[#This Row], 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ht="18.75" customHeight="1" x14ac:dyDescent="0.35">
      <c r="C828" s="100" t="str">
        <f>IF(OR(Fact_Administrativa[[#This Row], [Año]]="",Fact_Administrativa[[#This Row], [Mes]]=""),"",DATE(A828,MATCH(B828,{"enero","febrero","marzo","abril","mayo","junio","julio","agosto","septiembre","octubre","noviembre","diciembre"},0)+1,0))</f>
        <v/>
      </c>
      <c r="E828" t="str">
        <f>+IFERROR(VLOOKUP(Fact_Administrativa[[#This Row], [Concepto Anterior]],Conceptos_Administrativa[#All],5,0),"")</f>
        <v/>
      </c>
      <c r="F828" t="str">
        <f>+IFERROR(VLOOKUP(Fact_Administrativa[[#This Row], 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ht="18.75" customHeight="1" x14ac:dyDescent="0.35">
      <c r="C829" s="100" t="str">
        <f>IF(OR(Fact_Administrativa[[#This Row], [Año]]="",Fact_Administrativa[[#This Row], [Mes]]=""),"",DATE(A829,MATCH(B829,{"enero","febrero","marzo","abril","mayo","junio","julio","agosto","septiembre","octubre","noviembre","diciembre"},0)+1,0))</f>
        <v/>
      </c>
      <c r="E829" t="str">
        <f>+IFERROR(VLOOKUP(Fact_Administrativa[[#This Row], [Concepto Anterior]],Conceptos_Administrativa[#All],5,0),"")</f>
        <v/>
      </c>
      <c r="F829" t="str">
        <f>+IFERROR(VLOOKUP(Fact_Administrativa[[#This Row], 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ht="18.75" customHeight="1" x14ac:dyDescent="0.35">
      <c r="C830" s="100" t="str">
        <f>IF(OR(Fact_Administrativa[[#This Row], [Año]]="",Fact_Administrativa[[#This Row], [Mes]]=""),"",DATE(A830,MATCH(B830,{"enero","febrero","marzo","abril","mayo","junio","julio","agosto","septiembre","octubre","noviembre","diciembre"},0)+1,0))</f>
        <v/>
      </c>
      <c r="E830" t="str">
        <f>+IFERROR(VLOOKUP(Fact_Administrativa[[#This Row], [Concepto Anterior]],Conceptos_Administrativa[#All],5,0),"")</f>
        <v/>
      </c>
      <c r="F830" t="str">
        <f>+IFERROR(VLOOKUP(Fact_Administrativa[[#This Row], 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ht="18.75" customHeight="1" x14ac:dyDescent="0.35">
      <c r="C831" s="100" t="str">
        <f>IF(OR(Fact_Administrativa[[#This Row], [Año]]="",Fact_Administrativa[[#This Row], [Mes]]=""),"",DATE(A831,MATCH(B831,{"enero","febrero","marzo","abril","mayo","junio","julio","agosto","septiembre","octubre","noviembre","diciembre"},0)+1,0))</f>
        <v/>
      </c>
      <c r="E831" t="str">
        <f>+IFERROR(VLOOKUP(Fact_Administrativa[[#This Row], [Concepto Anterior]],Conceptos_Administrativa[#All],5,0),"")</f>
        <v/>
      </c>
      <c r="F831" t="str">
        <f>+IFERROR(VLOOKUP(Fact_Administrativa[[#This Row], 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ht="18.75" customHeight="1" x14ac:dyDescent="0.35">
      <c r="C832" s="100" t="str">
        <f>IF(OR(Fact_Administrativa[[#This Row], [Año]]="",Fact_Administrativa[[#This Row], [Mes]]=""),"",DATE(A832,MATCH(B832,{"enero","febrero","marzo","abril","mayo","junio","julio","agosto","septiembre","octubre","noviembre","diciembre"},0)+1,0))</f>
        <v/>
      </c>
      <c r="E832" t="str">
        <f>+IFERROR(VLOOKUP(Fact_Administrativa[[#This Row], [Concepto Anterior]],Conceptos_Administrativa[#All],5,0),"")</f>
        <v/>
      </c>
      <c r="F832" t="str">
        <f>+IFERROR(VLOOKUP(Fact_Administrativa[[#This Row], 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ht="18.75" customHeight="1" x14ac:dyDescent="0.35">
      <c r="C833" s="100" t="str">
        <f>IF(OR(Fact_Administrativa[[#This Row], [Año]]="",Fact_Administrativa[[#This Row], [Mes]]=""),"",DATE(A833,MATCH(B833,{"enero","febrero","marzo","abril","mayo","junio","julio","agosto","septiembre","octubre","noviembre","diciembre"},0)+1,0))</f>
        <v/>
      </c>
      <c r="E833" t="str">
        <f>+IFERROR(VLOOKUP(Fact_Administrativa[[#This Row], [Concepto Anterior]],Conceptos_Administrativa[#All],5,0),"")</f>
        <v/>
      </c>
      <c r="F833" t="str">
        <f>+IFERROR(VLOOKUP(Fact_Administrativa[[#This Row], 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ht="18.75" customHeight="1" x14ac:dyDescent="0.35">
      <c r="C834" s="100" t="str">
        <f>IF(OR(Fact_Administrativa[[#This Row], [Año]]="",Fact_Administrativa[[#This Row], [Mes]]=""),"",DATE(A834,MATCH(B834,{"enero","febrero","marzo","abril","mayo","junio","julio","agosto","septiembre","octubre","noviembre","diciembre"},0)+1,0))</f>
        <v/>
      </c>
      <c r="E834" t="str">
        <f>+IFERROR(VLOOKUP(Fact_Administrativa[[#This Row], [Concepto Anterior]],Conceptos_Administrativa[#All],5,0),"")</f>
        <v/>
      </c>
      <c r="F834" t="str">
        <f>+IFERROR(VLOOKUP(Fact_Administrativa[[#This Row], 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ht="18.75" customHeight="1" x14ac:dyDescent="0.35">
      <c r="C835" s="100" t="str">
        <f>IF(OR(Fact_Administrativa[[#This Row], [Año]]="",Fact_Administrativa[[#This Row], [Mes]]=""),"",DATE(A835,MATCH(B835,{"enero","febrero","marzo","abril","mayo","junio","julio","agosto","septiembre","octubre","noviembre","diciembre"},0)+1,0))</f>
        <v/>
      </c>
      <c r="E835" t="str">
        <f>+IFERROR(VLOOKUP(Fact_Administrativa[[#This Row], [Concepto Anterior]],Conceptos_Administrativa[#All],5,0),"")</f>
        <v/>
      </c>
      <c r="F835" t="str">
        <f>+IFERROR(VLOOKUP(Fact_Administrativa[[#This Row], 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ht="18.75" customHeight="1" x14ac:dyDescent="0.35">
      <c r="C836" s="100" t="str">
        <f>IF(OR(Fact_Administrativa[[#This Row], [Año]]="",Fact_Administrativa[[#This Row], [Mes]]=""),"",DATE(A836,MATCH(B836,{"enero","febrero","marzo","abril","mayo","junio","julio","agosto","septiembre","octubre","noviembre","diciembre"},0)+1,0))</f>
        <v/>
      </c>
      <c r="E836" t="str">
        <f>+IFERROR(VLOOKUP(Fact_Administrativa[[#This Row], [Concepto Anterior]],Conceptos_Administrativa[#All],5,0),"")</f>
        <v/>
      </c>
      <c r="F836" t="str">
        <f>+IFERROR(VLOOKUP(Fact_Administrativa[[#This Row], 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ht="18.75" customHeight="1" x14ac:dyDescent="0.35">
      <c r="C837" s="100" t="str">
        <f>IF(OR(Fact_Administrativa[[#This Row], [Año]]="",Fact_Administrativa[[#This Row], [Mes]]=""),"",DATE(A837,MATCH(B837,{"enero","febrero","marzo","abril","mayo","junio","julio","agosto","septiembre","octubre","noviembre","diciembre"},0)+1,0))</f>
        <v/>
      </c>
      <c r="E837" t="str">
        <f>+IFERROR(VLOOKUP(Fact_Administrativa[[#This Row], [Concepto Anterior]],Conceptos_Administrativa[#All],5,0),"")</f>
        <v/>
      </c>
      <c r="F837" t="str">
        <f>+IFERROR(VLOOKUP(Fact_Administrativa[[#This Row], 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ht="18.75" customHeight="1" x14ac:dyDescent="0.35">
      <c r="C838" s="100" t="str">
        <f>IF(OR(Fact_Administrativa[[#This Row], [Año]]="",Fact_Administrativa[[#This Row], [Mes]]=""),"",DATE(A838,MATCH(B838,{"enero","febrero","marzo","abril","mayo","junio","julio","agosto","septiembre","octubre","noviembre","diciembre"},0)+1,0))</f>
        <v/>
      </c>
      <c r="E838" t="str">
        <f>+IFERROR(VLOOKUP(Fact_Administrativa[[#This Row], [Concepto Anterior]],Conceptos_Administrativa[#All],5,0),"")</f>
        <v/>
      </c>
      <c r="F838" t="str">
        <f>+IFERROR(VLOOKUP(Fact_Administrativa[[#This Row], 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ht="18.75" customHeight="1" x14ac:dyDescent="0.35">
      <c r="C839" s="100" t="str">
        <f>IF(OR(Fact_Administrativa[[#This Row], [Año]]="",Fact_Administrativa[[#This Row], [Mes]]=""),"",DATE(A839,MATCH(B839,{"enero","febrero","marzo","abril","mayo","junio","julio","agosto","septiembre","octubre","noviembre","diciembre"},0)+1,0))</f>
        <v/>
      </c>
      <c r="E839" t="str">
        <f>+IFERROR(VLOOKUP(Fact_Administrativa[[#This Row], [Concepto Anterior]],Conceptos_Administrativa[#All],5,0),"")</f>
        <v/>
      </c>
      <c r="F839" t="str">
        <f>+IFERROR(VLOOKUP(Fact_Administrativa[[#This Row], 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ht="18.75" customHeight="1" x14ac:dyDescent="0.35">
      <c r="C840" s="100" t="str">
        <f>IF(OR(Fact_Administrativa[[#This Row], [Año]]="",Fact_Administrativa[[#This Row], [Mes]]=""),"",DATE(A840,MATCH(B840,{"enero","febrero","marzo","abril","mayo","junio","julio","agosto","septiembre","octubre","noviembre","diciembre"},0)+1,0))</f>
        <v/>
      </c>
      <c r="E840" t="str">
        <f>+IFERROR(VLOOKUP(Fact_Administrativa[[#This Row], [Concepto Anterior]],Conceptos_Administrativa[#All],5,0),"")</f>
        <v/>
      </c>
      <c r="F840" t="str">
        <f>+IFERROR(VLOOKUP(Fact_Administrativa[[#This Row], 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ht="18.75" customHeight="1" x14ac:dyDescent="0.35">
      <c r="C841" s="100" t="str">
        <f>IF(OR(Fact_Administrativa[[#This Row], [Año]]="",Fact_Administrativa[[#This Row], [Mes]]=""),"",DATE(A841,MATCH(B841,{"enero","febrero","marzo","abril","mayo","junio","julio","agosto","septiembre","octubre","noviembre","diciembre"},0)+1,0))</f>
        <v/>
      </c>
      <c r="E841" t="str">
        <f>+IFERROR(VLOOKUP(Fact_Administrativa[[#This Row], [Concepto Anterior]],Conceptos_Administrativa[#All],5,0),"")</f>
        <v/>
      </c>
      <c r="F841" t="str">
        <f>+IFERROR(VLOOKUP(Fact_Administrativa[[#This Row], 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ht="18.75" customHeight="1" x14ac:dyDescent="0.35">
      <c r="C842" s="100" t="str">
        <f>IF(OR(Fact_Administrativa[[#This Row], [Año]]="",Fact_Administrativa[[#This Row], [Mes]]=""),"",DATE(A842,MATCH(B842,{"enero","febrero","marzo","abril","mayo","junio","julio","agosto","septiembre","octubre","noviembre","diciembre"},0)+1,0))</f>
        <v/>
      </c>
      <c r="E842" t="str">
        <f>+IFERROR(VLOOKUP(Fact_Administrativa[[#This Row], [Concepto Anterior]],Conceptos_Administrativa[#All],5,0),"")</f>
        <v/>
      </c>
      <c r="F842" t="str">
        <f>+IFERROR(VLOOKUP(Fact_Administrativa[[#This Row], 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ht="18.75" customHeight="1" x14ac:dyDescent="0.35">
      <c r="C843" s="100" t="str">
        <f>IF(OR(Fact_Administrativa[[#This Row], [Año]]="",Fact_Administrativa[[#This Row], [Mes]]=""),"",DATE(A843,MATCH(B843,{"enero","febrero","marzo","abril","mayo","junio","julio","agosto","septiembre","octubre","noviembre","diciembre"},0)+1,0))</f>
        <v/>
      </c>
      <c r="E843" t="str">
        <f>+IFERROR(VLOOKUP(Fact_Administrativa[[#This Row], [Concepto Anterior]],Conceptos_Administrativa[#All],5,0),"")</f>
        <v/>
      </c>
      <c r="F843" t="str">
        <f>+IFERROR(VLOOKUP(Fact_Administrativa[[#This Row], 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ht="18.75" customHeight="1" x14ac:dyDescent="0.35">
      <c r="C844" s="100" t="str">
        <f>IF(OR(Fact_Administrativa[[#This Row], [Año]]="",Fact_Administrativa[[#This Row], [Mes]]=""),"",DATE(A844,MATCH(B844,{"enero","febrero","marzo","abril","mayo","junio","julio","agosto","septiembre","octubre","noviembre","diciembre"},0)+1,0))</f>
        <v/>
      </c>
      <c r="E844" t="str">
        <f>+IFERROR(VLOOKUP(Fact_Administrativa[[#This Row], [Concepto Anterior]],Conceptos_Administrativa[#All],5,0),"")</f>
        <v/>
      </c>
      <c r="F844" t="str">
        <f>+IFERROR(VLOOKUP(Fact_Administrativa[[#This Row], 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ht="18.75" customHeight="1" x14ac:dyDescent="0.35">
      <c r="C845" s="100" t="str">
        <f>IF(OR(Fact_Administrativa[[#This Row], [Año]]="",Fact_Administrativa[[#This Row], [Mes]]=""),"",DATE(A845,MATCH(B845,{"enero","febrero","marzo","abril","mayo","junio","julio","agosto","septiembre","octubre","noviembre","diciembre"},0)+1,0))</f>
        <v/>
      </c>
      <c r="E845" t="str">
        <f>+IFERROR(VLOOKUP(Fact_Administrativa[[#This Row], [Concepto Anterior]],Conceptos_Administrativa[#All],5,0),"")</f>
        <v/>
      </c>
      <c r="F845" t="str">
        <f>+IFERROR(VLOOKUP(Fact_Administrativa[[#This Row], 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ht="18.75" customHeight="1" x14ac:dyDescent="0.35">
      <c r="C846" s="100" t="str">
        <f>IF(OR(Fact_Administrativa[[#This Row], [Año]]="",Fact_Administrativa[[#This Row], [Mes]]=""),"",DATE(A846,MATCH(B846,{"enero","febrero","marzo","abril","mayo","junio","julio","agosto","septiembre","octubre","noviembre","diciembre"},0)+1,0))</f>
        <v/>
      </c>
      <c r="E846" t="str">
        <f>+IFERROR(VLOOKUP(Fact_Administrativa[[#This Row], [Concepto Anterior]],Conceptos_Administrativa[#All],5,0),"")</f>
        <v/>
      </c>
      <c r="F846" t="str">
        <f>+IFERROR(VLOOKUP(Fact_Administrativa[[#This Row], 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ht="18.75" customHeight="1" x14ac:dyDescent="0.35">
      <c r="C847" s="100" t="str">
        <f>IF(OR(Fact_Administrativa[[#This Row], [Año]]="",Fact_Administrativa[[#This Row], [Mes]]=""),"",DATE(A847,MATCH(B847,{"enero","febrero","marzo","abril","mayo","junio","julio","agosto","septiembre","octubre","noviembre","diciembre"},0)+1,0))</f>
        <v/>
      </c>
      <c r="E847" t="str">
        <f>+IFERROR(VLOOKUP(Fact_Administrativa[[#This Row], [Concepto Anterior]],Conceptos_Administrativa[#All],5,0),"")</f>
        <v/>
      </c>
      <c r="F847" t="str">
        <f>+IFERROR(VLOOKUP(Fact_Administrativa[[#This Row], 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ht="18.75" customHeight="1" x14ac:dyDescent="0.35">
      <c r="C848" s="100" t="str">
        <f>IF(OR(Fact_Administrativa[[#This Row], [Año]]="",Fact_Administrativa[[#This Row], [Mes]]=""),"",DATE(A848,MATCH(B848,{"enero","febrero","marzo","abril","mayo","junio","julio","agosto","septiembre","octubre","noviembre","diciembre"},0)+1,0))</f>
        <v/>
      </c>
      <c r="E848" t="str">
        <f>+IFERROR(VLOOKUP(Fact_Administrativa[[#This Row], [Concepto Anterior]],Conceptos_Administrativa[#All],5,0),"")</f>
        <v/>
      </c>
      <c r="F848" t="str">
        <f>+IFERROR(VLOOKUP(Fact_Administrativa[[#This Row], 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ht="18.75" customHeight="1" x14ac:dyDescent="0.35">
      <c r="C849" s="100" t="str">
        <f>IF(OR(Fact_Administrativa[[#This Row], [Año]]="",Fact_Administrativa[[#This Row], [Mes]]=""),"",DATE(A849,MATCH(B849,{"enero","febrero","marzo","abril","mayo","junio","julio","agosto","septiembre","octubre","noviembre","diciembre"},0)+1,0))</f>
        <v/>
      </c>
      <c r="E849" t="str">
        <f>+IFERROR(VLOOKUP(Fact_Administrativa[[#This Row], [Concepto Anterior]],Conceptos_Administrativa[#All],5,0),"")</f>
        <v/>
      </c>
      <c r="F849" t="str">
        <f>+IFERROR(VLOOKUP(Fact_Administrativa[[#This Row], 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ht="18.75" customHeight="1" x14ac:dyDescent="0.35">
      <c r="C850" s="100" t="str">
        <f>IF(OR(Fact_Administrativa[[#This Row], [Año]]="",Fact_Administrativa[[#This Row], [Mes]]=""),"",DATE(A850,MATCH(B850,{"enero","febrero","marzo","abril","mayo","junio","julio","agosto","septiembre","octubre","noviembre","diciembre"},0)+1,0))</f>
        <v/>
      </c>
      <c r="E850" t="str">
        <f>+IFERROR(VLOOKUP(Fact_Administrativa[[#This Row], [Concepto Anterior]],Conceptos_Administrativa[#All],5,0),"")</f>
        <v/>
      </c>
      <c r="F850" t="str">
        <f>+IFERROR(VLOOKUP(Fact_Administrativa[[#This Row], 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ht="18.75" customHeight="1" x14ac:dyDescent="0.35">
      <c r="C851" s="100" t="str">
        <f>IF(OR(Fact_Administrativa[[#This Row], [Año]]="",Fact_Administrativa[[#This Row], [Mes]]=""),"",DATE(A851,MATCH(B851,{"enero","febrero","marzo","abril","mayo","junio","julio","agosto","septiembre","octubre","noviembre","diciembre"},0)+1,0))</f>
        <v/>
      </c>
      <c r="E851" t="str">
        <f>+IFERROR(VLOOKUP(Fact_Administrativa[[#This Row], [Concepto Anterior]],Conceptos_Administrativa[#All],5,0),"")</f>
        <v/>
      </c>
      <c r="F851" t="str">
        <f>+IFERROR(VLOOKUP(Fact_Administrativa[[#This Row], 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ht="18.75" customHeight="1" x14ac:dyDescent="0.35">
      <c r="C852" s="100" t="str">
        <f>IF(OR(Fact_Administrativa[[#This Row], [Año]]="",Fact_Administrativa[[#This Row], [Mes]]=""),"",DATE(A852,MATCH(B852,{"enero","febrero","marzo","abril","mayo","junio","julio","agosto","septiembre","octubre","noviembre","diciembre"},0)+1,0))</f>
        <v/>
      </c>
      <c r="E852" t="str">
        <f>+IFERROR(VLOOKUP(Fact_Administrativa[[#This Row], [Concepto Anterior]],Conceptos_Administrativa[#All],5,0),"")</f>
        <v/>
      </c>
      <c r="F852" t="str">
        <f>+IFERROR(VLOOKUP(Fact_Administrativa[[#This Row], 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ht="18.75" customHeight="1" x14ac:dyDescent="0.35">
      <c r="C853" s="100" t="str">
        <f>IF(OR(Fact_Administrativa[[#This Row], [Año]]="",Fact_Administrativa[[#This Row], [Mes]]=""),"",DATE(A853,MATCH(B853,{"enero","febrero","marzo","abril","mayo","junio","julio","agosto","septiembre","octubre","noviembre","diciembre"},0)+1,0))</f>
        <v/>
      </c>
      <c r="E853" t="str">
        <f>+IFERROR(VLOOKUP(Fact_Administrativa[[#This Row], [Concepto Anterior]],Conceptos_Administrativa[#All],5,0),"")</f>
        <v/>
      </c>
      <c r="F853" t="str">
        <f>+IFERROR(VLOOKUP(Fact_Administrativa[[#This Row], 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ht="18.75" customHeight="1" x14ac:dyDescent="0.35">
      <c r="C854" s="100" t="str">
        <f>IF(OR(Fact_Administrativa[[#This Row], [Año]]="",Fact_Administrativa[[#This Row], [Mes]]=""),"",DATE(A854,MATCH(B854,{"enero","febrero","marzo","abril","mayo","junio","julio","agosto","septiembre","octubre","noviembre","diciembre"},0)+1,0))</f>
        <v/>
      </c>
      <c r="E854" t="str">
        <f>+IFERROR(VLOOKUP(Fact_Administrativa[[#This Row], [Concepto Anterior]],Conceptos_Administrativa[#All],5,0),"")</f>
        <v/>
      </c>
      <c r="F854" t="str">
        <f>+IFERROR(VLOOKUP(Fact_Administrativa[[#This Row], 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ht="18.75" customHeight="1" x14ac:dyDescent="0.35">
      <c r="C855" s="100" t="str">
        <f>IF(OR(Fact_Administrativa[[#This Row], [Año]]="",Fact_Administrativa[[#This Row], [Mes]]=""),"",DATE(A855,MATCH(B855,{"enero","febrero","marzo","abril","mayo","junio","julio","agosto","septiembre","octubre","noviembre","diciembre"},0)+1,0))</f>
        <v/>
      </c>
      <c r="E855" t="str">
        <f>+IFERROR(VLOOKUP(Fact_Administrativa[[#This Row], [Concepto Anterior]],Conceptos_Administrativa[#All],5,0),"")</f>
        <v/>
      </c>
      <c r="F855" t="str">
        <f>+IFERROR(VLOOKUP(Fact_Administrativa[[#This Row], 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ht="18.75" customHeight="1" x14ac:dyDescent="0.35">
      <c r="C856" s="100" t="str">
        <f>IF(OR(Fact_Administrativa[[#This Row], [Año]]="",Fact_Administrativa[[#This Row], [Mes]]=""),"",DATE(A856,MATCH(B856,{"enero","febrero","marzo","abril","mayo","junio","julio","agosto","septiembre","octubre","noviembre","diciembre"},0)+1,0))</f>
        <v/>
      </c>
      <c r="E856" t="str">
        <f>+IFERROR(VLOOKUP(Fact_Administrativa[[#This Row], [Concepto Anterior]],Conceptos_Administrativa[#All],5,0),"")</f>
        <v/>
      </c>
      <c r="F856" t="str">
        <f>+IFERROR(VLOOKUP(Fact_Administrativa[[#This Row], 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ht="18.75" customHeight="1" x14ac:dyDescent="0.35">
      <c r="C857" s="100" t="str">
        <f>IF(OR(Fact_Administrativa[[#This Row], [Año]]="",Fact_Administrativa[[#This Row], [Mes]]=""),"",DATE(A857,MATCH(B857,{"enero","febrero","marzo","abril","mayo","junio","julio","agosto","septiembre","octubre","noviembre","diciembre"},0)+1,0))</f>
        <v/>
      </c>
      <c r="E857" t="str">
        <f>+IFERROR(VLOOKUP(Fact_Administrativa[[#This Row], [Concepto Anterior]],Conceptos_Administrativa[#All],5,0),"")</f>
        <v/>
      </c>
      <c r="F857" t="str">
        <f>+IFERROR(VLOOKUP(Fact_Administrativa[[#This Row], 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ht="18.75" customHeight="1" x14ac:dyDescent="0.35">
      <c r="C858" s="100" t="str">
        <f>IF(OR(Fact_Administrativa[[#This Row], [Año]]="",Fact_Administrativa[[#This Row], [Mes]]=""),"",DATE(A858,MATCH(B858,{"enero","febrero","marzo","abril","mayo","junio","julio","agosto","septiembre","octubre","noviembre","diciembre"},0)+1,0))</f>
        <v/>
      </c>
      <c r="E858" t="str">
        <f>+IFERROR(VLOOKUP(Fact_Administrativa[[#This Row], [Concepto Anterior]],Conceptos_Administrativa[#All],5,0),"")</f>
        <v/>
      </c>
      <c r="F858" t="str">
        <f>+IFERROR(VLOOKUP(Fact_Administrativa[[#This Row], 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ht="18.75" customHeight="1" x14ac:dyDescent="0.35">
      <c r="C859" s="100" t="str">
        <f>IF(OR(Fact_Administrativa[[#This Row], [Año]]="",Fact_Administrativa[[#This Row], [Mes]]=""),"",DATE(A859,MATCH(B859,{"enero","febrero","marzo","abril","mayo","junio","julio","agosto","septiembre","octubre","noviembre","diciembre"},0)+1,0))</f>
        <v/>
      </c>
      <c r="E859" t="str">
        <f>+IFERROR(VLOOKUP(Fact_Administrativa[[#This Row], [Concepto Anterior]],Conceptos_Administrativa[#All],5,0),"")</f>
        <v/>
      </c>
      <c r="F859" t="str">
        <f>+IFERROR(VLOOKUP(Fact_Administrativa[[#This Row], 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ht="18.75" customHeight="1" x14ac:dyDescent="0.35">
      <c r="C860" s="100" t="str">
        <f>IF(OR(Fact_Administrativa[[#This Row], [Año]]="",Fact_Administrativa[[#This Row], [Mes]]=""),"",DATE(A860,MATCH(B860,{"enero","febrero","marzo","abril","mayo","junio","julio","agosto","septiembre","octubre","noviembre","diciembre"},0)+1,0))</f>
        <v/>
      </c>
      <c r="E860" t="str">
        <f>+IFERROR(VLOOKUP(Fact_Administrativa[[#This Row], [Concepto Anterior]],Conceptos_Administrativa[#All],5,0),"")</f>
        <v/>
      </c>
      <c r="F860" t="str">
        <f>+IFERROR(VLOOKUP(Fact_Administrativa[[#This Row], 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ht="18.75" customHeight="1" x14ac:dyDescent="0.35">
      <c r="C861" s="100" t="str">
        <f>IF(OR(Fact_Administrativa[[#This Row], [Año]]="",Fact_Administrativa[[#This Row], [Mes]]=""),"",DATE(A861,MATCH(B861,{"enero","febrero","marzo","abril","mayo","junio","julio","agosto","septiembre","octubre","noviembre","diciembre"},0)+1,0))</f>
        <v/>
      </c>
      <c r="E861" t="str">
        <f>+IFERROR(VLOOKUP(Fact_Administrativa[[#This Row], [Concepto Anterior]],Conceptos_Administrativa[#All],5,0),"")</f>
        <v/>
      </c>
      <c r="F861" t="str">
        <f>+IFERROR(VLOOKUP(Fact_Administrativa[[#This Row], 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ht="18.75" customHeight="1" x14ac:dyDescent="0.35">
      <c r="C862" s="100" t="str">
        <f>IF(OR(Fact_Administrativa[[#This Row], [Año]]="",Fact_Administrativa[[#This Row], [Mes]]=""),"",DATE(A862,MATCH(B862,{"enero","febrero","marzo","abril","mayo","junio","julio","agosto","septiembre","octubre","noviembre","diciembre"},0)+1,0))</f>
        <v/>
      </c>
      <c r="E862" t="str">
        <f>+IFERROR(VLOOKUP(Fact_Administrativa[[#This Row], [Concepto Anterior]],Conceptos_Administrativa[#All],5,0),"")</f>
        <v/>
      </c>
      <c r="F862" t="str">
        <f>+IFERROR(VLOOKUP(Fact_Administrativa[[#This Row], 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ht="18.75" customHeight="1" x14ac:dyDescent="0.35">
      <c r="C863" s="100" t="str">
        <f>IF(OR(Fact_Administrativa[[#This Row], [Año]]="",Fact_Administrativa[[#This Row], [Mes]]=""),"",DATE(A863,MATCH(B863,{"enero","febrero","marzo","abril","mayo","junio","julio","agosto","septiembre","octubre","noviembre","diciembre"},0)+1,0))</f>
        <v/>
      </c>
      <c r="E863" t="str">
        <f>+IFERROR(VLOOKUP(Fact_Administrativa[[#This Row], [Concepto Anterior]],Conceptos_Administrativa[#All],5,0),"")</f>
        <v/>
      </c>
      <c r="F863" t="str">
        <f>+IFERROR(VLOOKUP(Fact_Administrativa[[#This Row], 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ht="18.75" customHeight="1" x14ac:dyDescent="0.35">
      <c r="C864" s="100" t="str">
        <f>IF(OR(Fact_Administrativa[[#This Row], [Año]]="",Fact_Administrativa[[#This Row], [Mes]]=""),"",DATE(A864,MATCH(B864,{"enero","febrero","marzo","abril","mayo","junio","julio","agosto","septiembre","octubre","noviembre","diciembre"},0)+1,0))</f>
        <v/>
      </c>
      <c r="E864" t="str">
        <f>+IFERROR(VLOOKUP(Fact_Administrativa[[#This Row], [Concepto Anterior]],Conceptos_Administrativa[#All],5,0),"")</f>
        <v/>
      </c>
      <c r="F864" t="str">
        <f>+IFERROR(VLOOKUP(Fact_Administrativa[[#This Row], 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ht="18.75" customHeight="1" x14ac:dyDescent="0.35">
      <c r="C865" s="100" t="str">
        <f>IF(OR(Fact_Administrativa[[#This Row], [Año]]="",Fact_Administrativa[[#This Row], [Mes]]=""),"",DATE(A865,MATCH(B865,{"enero","febrero","marzo","abril","mayo","junio","julio","agosto","septiembre","octubre","noviembre","diciembre"},0)+1,0))</f>
        <v/>
      </c>
      <c r="E865" t="str">
        <f>+IFERROR(VLOOKUP(Fact_Administrativa[[#This Row], [Concepto Anterior]],Conceptos_Administrativa[#All],5,0),"")</f>
        <v/>
      </c>
      <c r="F865" t="str">
        <f>+IFERROR(VLOOKUP(Fact_Administrativa[[#This Row], 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ht="18.75" customHeight="1" x14ac:dyDescent="0.35">
      <c r="C866" s="100" t="str">
        <f>IF(OR(Fact_Administrativa[[#This Row], [Año]]="",Fact_Administrativa[[#This Row], [Mes]]=""),"",DATE(A866,MATCH(B866,{"enero","febrero","marzo","abril","mayo","junio","julio","agosto","septiembre","octubre","noviembre","diciembre"},0)+1,0))</f>
        <v/>
      </c>
      <c r="E866" t="str">
        <f>+IFERROR(VLOOKUP(Fact_Administrativa[[#This Row], [Concepto Anterior]],Conceptos_Administrativa[#All],5,0),"")</f>
        <v/>
      </c>
      <c r="F866" t="str">
        <f>+IFERROR(VLOOKUP(Fact_Administrativa[[#This Row], 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ht="18.75" customHeight="1" x14ac:dyDescent="0.35">
      <c r="C867" s="100" t="str">
        <f>IF(OR(Fact_Administrativa[[#This Row], [Año]]="",Fact_Administrativa[[#This Row], [Mes]]=""),"",DATE(A867,MATCH(B867,{"enero","febrero","marzo","abril","mayo","junio","julio","agosto","septiembre","octubre","noviembre","diciembre"},0)+1,0))</f>
        <v/>
      </c>
      <c r="E867" t="str">
        <f>+IFERROR(VLOOKUP(Fact_Administrativa[[#This Row], [Concepto Anterior]],Conceptos_Administrativa[#All],5,0),"")</f>
        <v/>
      </c>
      <c r="F867" t="str">
        <f>+IFERROR(VLOOKUP(Fact_Administrativa[[#This Row], 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ht="18.75" customHeight="1" x14ac:dyDescent="0.35">
      <c r="C868" s="100" t="str">
        <f>IF(OR(Fact_Administrativa[[#This Row], [Año]]="",Fact_Administrativa[[#This Row], [Mes]]=""),"",DATE(A868,MATCH(B868,{"enero","febrero","marzo","abril","mayo","junio","julio","agosto","septiembre","octubre","noviembre","diciembre"},0)+1,0))</f>
        <v/>
      </c>
      <c r="E868" t="str">
        <f>+IFERROR(VLOOKUP(Fact_Administrativa[[#This Row], [Concepto Anterior]],Conceptos_Administrativa[#All],5,0),"")</f>
        <v/>
      </c>
      <c r="F868" t="str">
        <f>+IFERROR(VLOOKUP(Fact_Administrativa[[#This Row], 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ht="18.75" customHeight="1" x14ac:dyDescent="0.35">
      <c r="C869" s="100" t="str">
        <f>IF(OR(Fact_Administrativa[[#This Row], [Año]]="",Fact_Administrativa[[#This Row], [Mes]]=""),"",DATE(A869,MATCH(B869,{"enero","febrero","marzo","abril","mayo","junio","julio","agosto","septiembre","octubre","noviembre","diciembre"},0)+1,0))</f>
        <v/>
      </c>
      <c r="E869" t="str">
        <f>+IFERROR(VLOOKUP(Fact_Administrativa[[#This Row], [Concepto Anterior]],Conceptos_Administrativa[#All],5,0),"")</f>
        <v/>
      </c>
      <c r="F869" t="str">
        <f>+IFERROR(VLOOKUP(Fact_Administrativa[[#This Row], 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ht="18.75" customHeight="1" x14ac:dyDescent="0.35">
      <c r="C870" s="100" t="str">
        <f>IF(OR(Fact_Administrativa[[#This Row], [Año]]="",Fact_Administrativa[[#This Row], [Mes]]=""),"",DATE(A870,MATCH(B870,{"enero","febrero","marzo","abril","mayo","junio","julio","agosto","septiembre","octubre","noviembre","diciembre"},0)+1,0))</f>
        <v/>
      </c>
      <c r="E870" t="str">
        <f>+IFERROR(VLOOKUP(Fact_Administrativa[[#This Row], [Concepto Anterior]],Conceptos_Administrativa[#All],5,0),"")</f>
        <v/>
      </c>
      <c r="F870" t="str">
        <f>+IFERROR(VLOOKUP(Fact_Administrativa[[#This Row], 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ht="18.75" customHeight="1" x14ac:dyDescent="0.35">
      <c r="C871" s="100" t="str">
        <f>IF(OR(Fact_Administrativa[[#This Row], [Año]]="",Fact_Administrativa[[#This Row], [Mes]]=""),"",DATE(A871,MATCH(B871,{"enero","febrero","marzo","abril","mayo","junio","julio","agosto","septiembre","octubre","noviembre","diciembre"},0)+1,0))</f>
        <v/>
      </c>
      <c r="E871" t="str">
        <f>+IFERROR(VLOOKUP(Fact_Administrativa[[#This Row], [Concepto Anterior]],Conceptos_Administrativa[#All],5,0),"")</f>
        <v/>
      </c>
      <c r="F871" t="str">
        <f>+IFERROR(VLOOKUP(Fact_Administrativa[[#This Row], 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ht="18.75" customHeight="1" x14ac:dyDescent="0.35">
      <c r="C872" s="100" t="str">
        <f>IF(OR(Fact_Administrativa[[#This Row], [Año]]="",Fact_Administrativa[[#This Row], [Mes]]=""),"",DATE(A872,MATCH(B872,{"enero","febrero","marzo","abril","mayo","junio","julio","agosto","septiembre","octubre","noviembre","diciembre"},0)+1,0))</f>
        <v/>
      </c>
      <c r="E872" t="str">
        <f>+IFERROR(VLOOKUP(Fact_Administrativa[[#This Row], [Concepto Anterior]],Conceptos_Administrativa[#All],5,0),"")</f>
        <v/>
      </c>
      <c r="F872" t="str">
        <f>+IFERROR(VLOOKUP(Fact_Administrativa[[#This Row], 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ht="18.75" customHeight="1" x14ac:dyDescent="0.35">
      <c r="C873" s="100" t="str">
        <f>IF(OR(Fact_Administrativa[[#This Row], [Año]]="",Fact_Administrativa[[#This Row], [Mes]]=""),"",DATE(A873,MATCH(B873,{"enero","febrero","marzo","abril","mayo","junio","julio","agosto","septiembre","octubre","noviembre","diciembre"},0)+1,0))</f>
        <v/>
      </c>
      <c r="E873" t="str">
        <f>+IFERROR(VLOOKUP(Fact_Administrativa[[#This Row], [Concepto Anterior]],Conceptos_Administrativa[#All],5,0),"")</f>
        <v/>
      </c>
      <c r="F873" t="str">
        <f>+IFERROR(VLOOKUP(Fact_Administrativa[[#This Row], 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ht="18.75" customHeight="1" x14ac:dyDescent="0.35">
      <c r="C874" s="100" t="str">
        <f>IF(OR(Fact_Administrativa[[#This Row], [Año]]="",Fact_Administrativa[[#This Row], [Mes]]=""),"",DATE(A874,MATCH(B874,{"enero","febrero","marzo","abril","mayo","junio","julio","agosto","septiembre","octubre","noviembre","diciembre"},0)+1,0))</f>
        <v/>
      </c>
      <c r="E874" t="str">
        <f>+IFERROR(VLOOKUP(Fact_Administrativa[[#This Row], [Concepto Anterior]],Conceptos_Administrativa[#All],5,0),"")</f>
        <v/>
      </c>
      <c r="F874" t="str">
        <f>+IFERROR(VLOOKUP(Fact_Administrativa[[#This Row], 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ht="18.75" customHeight="1" x14ac:dyDescent="0.35">
      <c r="C875" s="100" t="str">
        <f>IF(OR(Fact_Administrativa[[#This Row], [Año]]="",Fact_Administrativa[[#This Row], [Mes]]=""),"",DATE(A875,MATCH(B875,{"enero","febrero","marzo","abril","mayo","junio","julio","agosto","septiembre","octubre","noviembre","diciembre"},0)+1,0))</f>
        <v/>
      </c>
      <c r="E875" t="str">
        <f>+IFERROR(VLOOKUP(Fact_Administrativa[[#This Row], [Concepto Anterior]],Conceptos_Administrativa[#All],5,0),"")</f>
        <v/>
      </c>
      <c r="F875" t="str">
        <f>+IFERROR(VLOOKUP(Fact_Administrativa[[#This Row], 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ht="18.75" customHeight="1" x14ac:dyDescent="0.35">
      <c r="C876" s="100" t="str">
        <f>IF(OR(Fact_Administrativa[[#This Row], [Año]]="",Fact_Administrativa[[#This Row], [Mes]]=""),"",DATE(A876,MATCH(B876,{"enero","febrero","marzo","abril","mayo","junio","julio","agosto","septiembre","octubre","noviembre","diciembre"},0)+1,0))</f>
        <v/>
      </c>
      <c r="E876" t="str">
        <f>+IFERROR(VLOOKUP(Fact_Administrativa[[#This Row], [Concepto Anterior]],Conceptos_Administrativa[#All],5,0),"")</f>
        <v/>
      </c>
      <c r="F876" t="str">
        <f>+IFERROR(VLOOKUP(Fact_Administrativa[[#This Row], 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ht="18.75" customHeight="1" x14ac:dyDescent="0.35">
      <c r="C877" s="100" t="str">
        <f>IF(OR(Fact_Administrativa[[#This Row], [Año]]="",Fact_Administrativa[[#This Row], [Mes]]=""),"",DATE(A877,MATCH(B877,{"enero","febrero","marzo","abril","mayo","junio","julio","agosto","septiembre","octubre","noviembre","diciembre"},0)+1,0))</f>
        <v/>
      </c>
      <c r="E877" t="str">
        <f>+IFERROR(VLOOKUP(Fact_Administrativa[[#This Row], [Concepto Anterior]],Conceptos_Administrativa[#All],5,0),"")</f>
        <v/>
      </c>
      <c r="F877" t="str">
        <f>+IFERROR(VLOOKUP(Fact_Administrativa[[#This Row], 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ht="18.75" customHeight="1" x14ac:dyDescent="0.35">
      <c r="C878" s="100" t="str">
        <f>IF(OR(Fact_Administrativa[[#This Row], [Año]]="",Fact_Administrativa[[#This Row], [Mes]]=""),"",DATE(A878,MATCH(B878,{"enero","febrero","marzo","abril","mayo","junio","julio","agosto","septiembre","octubre","noviembre","diciembre"},0)+1,0))</f>
        <v/>
      </c>
      <c r="E878" t="str">
        <f>+IFERROR(VLOOKUP(Fact_Administrativa[[#This Row], [Concepto Anterior]],Conceptos_Administrativa[#All],5,0),"")</f>
        <v/>
      </c>
      <c r="F878" t="str">
        <f>+IFERROR(VLOOKUP(Fact_Administrativa[[#This Row], 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ht="18.75" customHeight="1" x14ac:dyDescent="0.35">
      <c r="C879" s="100" t="str">
        <f>IF(OR(Fact_Administrativa[[#This Row], [Año]]="",Fact_Administrativa[[#This Row], [Mes]]=""),"",DATE(A879,MATCH(B879,{"enero","febrero","marzo","abril","mayo","junio","julio","agosto","septiembre","octubre","noviembre","diciembre"},0)+1,0))</f>
        <v/>
      </c>
      <c r="E879" t="str">
        <f>+IFERROR(VLOOKUP(Fact_Administrativa[[#This Row], [Concepto Anterior]],Conceptos_Administrativa[#All],5,0),"")</f>
        <v/>
      </c>
      <c r="F879" t="str">
        <f>+IFERROR(VLOOKUP(Fact_Administrativa[[#This Row], 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ht="18.75" customHeight="1" x14ac:dyDescent="0.35">
      <c r="C880" s="100" t="str">
        <f>IF(OR(Fact_Administrativa[[#This Row], [Año]]="",Fact_Administrativa[[#This Row], [Mes]]=""),"",DATE(A880,MATCH(B880,{"enero","febrero","marzo","abril","mayo","junio","julio","agosto","septiembre","octubre","noviembre","diciembre"},0)+1,0))</f>
        <v/>
      </c>
      <c r="E880" t="str">
        <f>+IFERROR(VLOOKUP(Fact_Administrativa[[#This Row], [Concepto Anterior]],Conceptos_Administrativa[#All],5,0),"")</f>
        <v/>
      </c>
      <c r="F880" t="str">
        <f>+IFERROR(VLOOKUP(Fact_Administrativa[[#This Row], 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ht="18.75" customHeight="1" x14ac:dyDescent="0.35">
      <c r="C881" s="100" t="str">
        <f>IF(OR(Fact_Administrativa[[#This Row], [Año]]="",Fact_Administrativa[[#This Row], [Mes]]=""),"",DATE(A881,MATCH(B881,{"enero","febrero","marzo","abril","mayo","junio","julio","agosto","septiembre","octubre","noviembre","diciembre"},0)+1,0))</f>
        <v/>
      </c>
      <c r="E881" t="str">
        <f>+IFERROR(VLOOKUP(Fact_Administrativa[[#This Row], [Concepto Anterior]],Conceptos_Administrativa[#All],5,0),"")</f>
        <v/>
      </c>
      <c r="F881" t="str">
        <f>+IFERROR(VLOOKUP(Fact_Administrativa[[#This Row], 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ht="18.75" customHeight="1" x14ac:dyDescent="0.35">
      <c r="C882" s="100" t="str">
        <f>IF(OR(Fact_Administrativa[[#This Row], [Año]]="",Fact_Administrativa[[#This Row], [Mes]]=""),"",DATE(A882,MATCH(B882,{"enero","febrero","marzo","abril","mayo","junio","julio","agosto","septiembre","octubre","noviembre","diciembre"},0)+1,0))</f>
        <v/>
      </c>
      <c r="E882" t="str">
        <f>+IFERROR(VLOOKUP(Fact_Administrativa[[#This Row], [Concepto Anterior]],Conceptos_Administrativa[#All],5,0),"")</f>
        <v/>
      </c>
      <c r="F882" t="str">
        <f>+IFERROR(VLOOKUP(Fact_Administrativa[[#This Row], 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ht="18.75" customHeight="1" x14ac:dyDescent="0.35">
      <c r="C883" s="100" t="str">
        <f>IF(OR(Fact_Administrativa[[#This Row], [Año]]="",Fact_Administrativa[[#This Row], [Mes]]=""),"",DATE(A883,MATCH(B883,{"enero","febrero","marzo","abril","mayo","junio","julio","agosto","septiembre","octubre","noviembre","diciembre"},0)+1,0))</f>
        <v/>
      </c>
      <c r="E883" t="str">
        <f>+IFERROR(VLOOKUP(Fact_Administrativa[[#This Row], [Concepto Anterior]],Conceptos_Administrativa[#All],5,0),"")</f>
        <v/>
      </c>
      <c r="F883" t="str">
        <f>+IFERROR(VLOOKUP(Fact_Administrativa[[#This Row], 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ht="18.75" customHeight="1" x14ac:dyDescent="0.35">
      <c r="C884" s="100" t="str">
        <f>IF(OR(Fact_Administrativa[[#This Row], [Año]]="",Fact_Administrativa[[#This Row], [Mes]]=""),"",DATE(A884,MATCH(B884,{"enero","febrero","marzo","abril","mayo","junio","julio","agosto","septiembre","octubre","noviembre","diciembre"},0)+1,0))</f>
        <v/>
      </c>
      <c r="E884" t="str">
        <f>+IFERROR(VLOOKUP(Fact_Administrativa[[#This Row], [Concepto Anterior]],Conceptos_Administrativa[#All],5,0),"")</f>
        <v/>
      </c>
      <c r="F884" t="str">
        <f>+IFERROR(VLOOKUP(Fact_Administrativa[[#This Row], 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ht="18.75" customHeight="1" x14ac:dyDescent="0.35">
      <c r="C885" s="100" t="str">
        <f>IF(OR(Fact_Administrativa[[#This Row], [Año]]="",Fact_Administrativa[[#This Row], [Mes]]=""),"",DATE(A885,MATCH(B885,{"enero","febrero","marzo","abril","mayo","junio","julio","agosto","septiembre","octubre","noviembre","diciembre"},0)+1,0))</f>
        <v/>
      </c>
      <c r="E885" t="str">
        <f>+IFERROR(VLOOKUP(Fact_Administrativa[[#This Row], [Concepto Anterior]],Conceptos_Administrativa[#All],5,0),"")</f>
        <v/>
      </c>
      <c r="F885" t="str">
        <f>+IFERROR(VLOOKUP(Fact_Administrativa[[#This Row], 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ht="18.75" customHeight="1" x14ac:dyDescent="0.35">
      <c r="C886" s="100" t="str">
        <f>IF(OR(Fact_Administrativa[[#This Row], [Año]]="",Fact_Administrativa[[#This Row], [Mes]]=""),"",DATE(A886,MATCH(B886,{"enero","febrero","marzo","abril","mayo","junio","julio","agosto","septiembre","octubre","noviembre","diciembre"},0)+1,0))</f>
        <v/>
      </c>
      <c r="E886" t="str">
        <f>+IFERROR(VLOOKUP(Fact_Administrativa[[#This Row], [Concepto Anterior]],Conceptos_Administrativa[#All],5,0),"")</f>
        <v/>
      </c>
      <c r="F886" t="str">
        <f>+IFERROR(VLOOKUP(Fact_Administrativa[[#This Row], 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ht="18.75" customHeight="1" x14ac:dyDescent="0.35">
      <c r="C887" s="100" t="str">
        <f>IF(OR(Fact_Administrativa[[#This Row], [Año]]="",Fact_Administrativa[[#This Row], [Mes]]=""),"",DATE(A887,MATCH(B887,{"enero","febrero","marzo","abril","mayo","junio","julio","agosto","septiembre","octubre","noviembre","diciembre"},0)+1,0))</f>
        <v/>
      </c>
      <c r="E887" t="str">
        <f>+IFERROR(VLOOKUP(Fact_Administrativa[[#This Row], [Concepto Anterior]],Conceptos_Administrativa[#All],5,0),"")</f>
        <v/>
      </c>
      <c r="F887" t="str">
        <f>+IFERROR(VLOOKUP(Fact_Administrativa[[#This Row], 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ht="18.75" customHeight="1" x14ac:dyDescent="0.35">
      <c r="C888" s="100" t="str">
        <f>IF(OR(Fact_Administrativa[[#This Row], [Año]]="",Fact_Administrativa[[#This Row], [Mes]]=""),"",DATE(A888,MATCH(B888,{"enero","febrero","marzo","abril","mayo","junio","julio","agosto","septiembre","octubre","noviembre","diciembre"},0)+1,0))</f>
        <v/>
      </c>
      <c r="E888" t="str">
        <f>+IFERROR(VLOOKUP(Fact_Administrativa[[#This Row], [Concepto Anterior]],Conceptos_Administrativa[#All],5,0),"")</f>
        <v/>
      </c>
      <c r="F888" t="str">
        <f>+IFERROR(VLOOKUP(Fact_Administrativa[[#This Row], 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ht="18.75" customHeight="1" x14ac:dyDescent="0.35">
      <c r="C889" s="100" t="str">
        <f>IF(OR(Fact_Administrativa[[#This Row], [Año]]="",Fact_Administrativa[[#This Row], [Mes]]=""),"",DATE(A889,MATCH(B889,{"enero","febrero","marzo","abril","mayo","junio","julio","agosto","septiembre","octubre","noviembre","diciembre"},0)+1,0))</f>
        <v/>
      </c>
      <c r="E889" t="str">
        <f>+IFERROR(VLOOKUP(Fact_Administrativa[[#This Row], [Concepto Anterior]],Conceptos_Administrativa[#All],5,0),"")</f>
        <v/>
      </c>
      <c r="F889" t="str">
        <f>+IFERROR(VLOOKUP(Fact_Administrativa[[#This Row], 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ht="18.75" customHeight="1" x14ac:dyDescent="0.35">
      <c r="C890" s="100" t="str">
        <f>IF(OR(Fact_Administrativa[[#This Row], [Año]]="",Fact_Administrativa[[#This Row], [Mes]]=""),"",DATE(A890,MATCH(B890,{"enero","febrero","marzo","abril","mayo","junio","julio","agosto","septiembre","octubre","noviembre","diciembre"},0)+1,0))</f>
        <v/>
      </c>
      <c r="E890" t="str">
        <f>+IFERROR(VLOOKUP(Fact_Administrativa[[#This Row], [Concepto Anterior]],Conceptos_Administrativa[#All],5,0),"")</f>
        <v/>
      </c>
      <c r="F890" t="str">
        <f>+IFERROR(VLOOKUP(Fact_Administrativa[[#This Row], 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ht="18.75" customHeight="1" x14ac:dyDescent="0.35">
      <c r="C891" s="100" t="str">
        <f>IF(OR(Fact_Administrativa[[#This Row], [Año]]="",Fact_Administrativa[[#This Row], [Mes]]=""),"",DATE(A891,MATCH(B891,{"enero","febrero","marzo","abril","mayo","junio","julio","agosto","septiembre","octubre","noviembre","diciembre"},0)+1,0))</f>
        <v/>
      </c>
      <c r="E891" t="str">
        <f>+IFERROR(VLOOKUP(Fact_Administrativa[[#This Row], [Concepto Anterior]],Conceptos_Administrativa[#All],5,0),"")</f>
        <v/>
      </c>
      <c r="F891" t="str">
        <f>+IFERROR(VLOOKUP(Fact_Administrativa[[#This Row], 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ht="18.75" customHeight="1" x14ac:dyDescent="0.35">
      <c r="C892" s="100" t="str">
        <f>IF(OR(Fact_Administrativa[[#This Row], [Año]]="",Fact_Administrativa[[#This Row], [Mes]]=""),"",DATE(A892,MATCH(B892,{"enero","febrero","marzo","abril","mayo","junio","julio","agosto","septiembre","octubre","noviembre","diciembre"},0)+1,0))</f>
        <v/>
      </c>
      <c r="E892" t="str">
        <f>+IFERROR(VLOOKUP(Fact_Administrativa[[#This Row], [Concepto Anterior]],Conceptos_Administrativa[#All],5,0),"")</f>
        <v/>
      </c>
      <c r="F892" t="str">
        <f>+IFERROR(VLOOKUP(Fact_Administrativa[[#This Row], 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ht="18.75" customHeight="1" x14ac:dyDescent="0.35">
      <c r="C893" s="100" t="str">
        <f>IF(OR(Fact_Administrativa[[#This Row], [Año]]="",Fact_Administrativa[[#This Row], [Mes]]=""),"",DATE(A893,MATCH(B893,{"enero","febrero","marzo","abril","mayo","junio","julio","agosto","septiembre","octubre","noviembre","diciembre"},0)+1,0))</f>
        <v/>
      </c>
      <c r="E893" t="str">
        <f>+IFERROR(VLOOKUP(Fact_Administrativa[[#This Row], [Concepto Anterior]],Conceptos_Administrativa[#All],5,0),"")</f>
        <v/>
      </c>
      <c r="F893" t="str">
        <f>+IFERROR(VLOOKUP(Fact_Administrativa[[#This Row], 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ht="18.75" customHeight="1" x14ac:dyDescent="0.35">
      <c r="C894" s="100" t="str">
        <f>IF(OR(Fact_Administrativa[[#This Row], [Año]]="",Fact_Administrativa[[#This Row], [Mes]]=""),"",DATE(A894,MATCH(B894,{"enero","febrero","marzo","abril","mayo","junio","julio","agosto","septiembre","octubre","noviembre","diciembre"},0)+1,0))</f>
        <v/>
      </c>
      <c r="E894" t="str">
        <f>+IFERROR(VLOOKUP(Fact_Administrativa[[#This Row], [Concepto Anterior]],Conceptos_Administrativa[#All],5,0),"")</f>
        <v/>
      </c>
      <c r="F894" t="str">
        <f>+IFERROR(VLOOKUP(Fact_Administrativa[[#This Row], 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ht="18.75" customHeight="1" x14ac:dyDescent="0.35">
      <c r="C895" s="100" t="str">
        <f>IF(OR(Fact_Administrativa[[#This Row], [Año]]="",Fact_Administrativa[[#This Row], [Mes]]=""),"",DATE(A895,MATCH(B895,{"enero","febrero","marzo","abril","mayo","junio","julio","agosto","septiembre","octubre","noviembre","diciembre"},0)+1,0))</f>
        <v/>
      </c>
      <c r="E895" t="str">
        <f>+IFERROR(VLOOKUP(Fact_Administrativa[[#This Row], [Concepto Anterior]],Conceptos_Administrativa[#All],5,0),"")</f>
        <v/>
      </c>
      <c r="F895" t="str">
        <f>+IFERROR(VLOOKUP(Fact_Administrativa[[#This Row], 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ht="18.75" customHeight="1" x14ac:dyDescent="0.35">
      <c r="C896" s="100" t="str">
        <f>IF(OR(Fact_Administrativa[[#This Row], [Año]]="",Fact_Administrativa[[#This Row], [Mes]]=""),"",DATE(A896,MATCH(B896,{"enero","febrero","marzo","abril","mayo","junio","julio","agosto","septiembre","octubre","noviembre","diciembre"},0)+1,0))</f>
        <v/>
      </c>
      <c r="E896" t="str">
        <f>+IFERROR(VLOOKUP(Fact_Administrativa[[#This Row], [Concepto Anterior]],Conceptos_Administrativa[#All],5,0),"")</f>
        <v/>
      </c>
      <c r="F896" t="str">
        <f>+IFERROR(VLOOKUP(Fact_Administrativa[[#This Row], 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ht="18.75" customHeight="1" x14ac:dyDescent="0.35">
      <c r="C897" s="100" t="str">
        <f>IF(OR(Fact_Administrativa[[#This Row], [Año]]="",Fact_Administrativa[[#This Row], [Mes]]=""),"",DATE(A897,MATCH(B897,{"enero","febrero","marzo","abril","mayo","junio","julio","agosto","septiembre","octubre","noviembre","diciembre"},0)+1,0))</f>
        <v/>
      </c>
      <c r="E897" t="str">
        <f>+IFERROR(VLOOKUP(Fact_Administrativa[[#This Row], [Concepto Anterior]],Conceptos_Administrativa[#All],5,0),"")</f>
        <v/>
      </c>
      <c r="F897" t="str">
        <f>+IFERROR(VLOOKUP(Fact_Administrativa[[#This Row], 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ht="18.75" customHeight="1" x14ac:dyDescent="0.35">
      <c r="C898" s="100" t="str">
        <f>IF(OR(Fact_Administrativa[[#This Row], [Año]]="",Fact_Administrativa[[#This Row], [Mes]]=""),"",DATE(A898,MATCH(B898,{"enero","febrero","marzo","abril","mayo","junio","julio","agosto","septiembre","octubre","noviembre","diciembre"},0)+1,0))</f>
        <v/>
      </c>
      <c r="E898" t="str">
        <f>+IFERROR(VLOOKUP(Fact_Administrativa[[#This Row], [Concepto Anterior]],Conceptos_Administrativa[#All],5,0),"")</f>
        <v/>
      </c>
      <c r="F898" t="str">
        <f>+IFERROR(VLOOKUP(Fact_Administrativa[[#This Row], 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ht="18.75" customHeight="1" x14ac:dyDescent="0.35">
      <c r="C899" s="100" t="str">
        <f>IF(OR(Fact_Administrativa[[#This Row], [Año]]="",Fact_Administrativa[[#This Row], [Mes]]=""),"",DATE(A899,MATCH(B899,{"enero","febrero","marzo","abril","mayo","junio","julio","agosto","septiembre","octubre","noviembre","diciembre"},0)+1,0))</f>
        <v/>
      </c>
      <c r="E899" t="str">
        <f>+IFERROR(VLOOKUP(Fact_Administrativa[[#This Row], [Concepto Anterior]],Conceptos_Administrativa[#All],5,0),"")</f>
        <v/>
      </c>
      <c r="F899" t="str">
        <f>+IFERROR(VLOOKUP(Fact_Administrativa[[#This Row], 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ht="18.75" customHeight="1" x14ac:dyDescent="0.35">
      <c r="C900" s="100" t="str">
        <f>IF(OR(Fact_Administrativa[[#This Row], [Año]]="",Fact_Administrativa[[#This Row], [Mes]]=""),"",DATE(A900,MATCH(B900,{"enero","febrero","marzo","abril","mayo","junio","julio","agosto","septiembre","octubre","noviembre","diciembre"},0)+1,0))</f>
        <v/>
      </c>
      <c r="E900" t="str">
        <f>+IFERROR(VLOOKUP(Fact_Administrativa[[#This Row], [Concepto Anterior]],Conceptos_Administrativa[#All],5,0),"")</f>
        <v/>
      </c>
      <c r="F900" t="str">
        <f>+IFERROR(VLOOKUP(Fact_Administrativa[[#This Row], 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ht="18.75" customHeight="1" x14ac:dyDescent="0.35">
      <c r="C901" s="100" t="str">
        <f>IF(OR(Fact_Administrativa[[#This Row], [Año]]="",Fact_Administrativa[[#This Row], [Mes]]=""),"",DATE(A901,MATCH(B901,{"enero","febrero","marzo","abril","mayo","junio","julio","agosto","septiembre","octubre","noviembre","diciembre"},0)+1,0))</f>
        <v/>
      </c>
      <c r="E901" t="str">
        <f>+IFERROR(VLOOKUP(Fact_Administrativa[[#This Row], [Concepto Anterior]],Conceptos_Administrativa[#All],5,0),"")</f>
        <v/>
      </c>
      <c r="F901" t="str">
        <f>+IFERROR(VLOOKUP(Fact_Administrativa[[#This Row], 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ht="18.75" customHeight="1" x14ac:dyDescent="0.35">
      <c r="C902" s="100" t="str">
        <f>IF(OR(Fact_Administrativa[[#This Row], [Año]]="",Fact_Administrativa[[#This Row], [Mes]]=""),"",DATE(A902,MATCH(B902,{"enero","febrero","marzo","abril","mayo","junio","julio","agosto","septiembre","octubre","noviembre","diciembre"},0)+1,0))</f>
        <v/>
      </c>
      <c r="E902" t="str">
        <f>+IFERROR(VLOOKUP(Fact_Administrativa[[#This Row], [Concepto Anterior]],Conceptos_Administrativa[#All],5,0),"")</f>
        <v/>
      </c>
      <c r="F902" t="str">
        <f>+IFERROR(VLOOKUP(Fact_Administrativa[[#This Row], 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ht="18.75" customHeight="1" x14ac:dyDescent="0.35">
      <c r="C903" s="100" t="str">
        <f>IF(OR(Fact_Administrativa[[#This Row], [Año]]="",Fact_Administrativa[[#This Row], [Mes]]=""),"",DATE(A903,MATCH(B903,{"enero","febrero","marzo","abril","mayo","junio","julio","agosto","septiembre","octubre","noviembre","diciembre"},0)+1,0))</f>
        <v/>
      </c>
      <c r="E903" t="str">
        <f>+IFERROR(VLOOKUP(Fact_Administrativa[[#This Row], [Concepto Anterior]],Conceptos_Administrativa[#All],5,0),"")</f>
        <v/>
      </c>
      <c r="F903" t="str">
        <f>+IFERROR(VLOOKUP(Fact_Administrativa[[#This Row], 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ht="18.75" customHeight="1" x14ac:dyDescent="0.35">
      <c r="C904" s="100" t="str">
        <f>IF(OR(Fact_Administrativa[[#This Row], [Año]]="",Fact_Administrativa[[#This Row], [Mes]]=""),"",DATE(A904,MATCH(B904,{"enero","febrero","marzo","abril","mayo","junio","julio","agosto","septiembre","octubre","noviembre","diciembre"},0)+1,0))</f>
        <v/>
      </c>
      <c r="E904" t="str">
        <f>+IFERROR(VLOOKUP(Fact_Administrativa[[#This Row], [Concepto Anterior]],Conceptos_Administrativa[#All],5,0),"")</f>
        <v/>
      </c>
      <c r="F904" t="str">
        <f>+IFERROR(VLOOKUP(Fact_Administrativa[[#This Row], 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ht="18.75" customHeight="1" x14ac:dyDescent="0.35">
      <c r="C905" s="100" t="str">
        <f>IF(OR(Fact_Administrativa[[#This Row], [Año]]="",Fact_Administrativa[[#This Row], [Mes]]=""),"",DATE(A905,MATCH(B905,{"enero","febrero","marzo","abril","mayo","junio","julio","agosto","septiembre","octubre","noviembre","diciembre"},0)+1,0))</f>
        <v/>
      </c>
      <c r="E905" t="str">
        <f>+IFERROR(VLOOKUP(Fact_Administrativa[[#This Row], [Concepto Anterior]],Conceptos_Administrativa[#All],5,0),"")</f>
        <v/>
      </c>
      <c r="F905" t="str">
        <f>+IFERROR(VLOOKUP(Fact_Administrativa[[#This Row], 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ht="18.75" customHeight="1" x14ac:dyDescent="0.35">
      <c r="C906" s="100" t="str">
        <f>IF(OR(Fact_Administrativa[[#This Row], [Año]]="",Fact_Administrativa[[#This Row], [Mes]]=""),"",DATE(A906,MATCH(B906,{"enero","febrero","marzo","abril","mayo","junio","julio","agosto","septiembre","octubre","noviembre","diciembre"},0)+1,0))</f>
        <v/>
      </c>
      <c r="E906" t="str">
        <f>+IFERROR(VLOOKUP(Fact_Administrativa[[#This Row], [Concepto Anterior]],Conceptos_Administrativa[#All],5,0),"")</f>
        <v/>
      </c>
      <c r="F906" t="str">
        <f>+IFERROR(VLOOKUP(Fact_Administrativa[[#This Row], 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ht="18.75" customHeight="1" x14ac:dyDescent="0.35">
      <c r="C907" s="100" t="str">
        <f>IF(OR(Fact_Administrativa[[#This Row], [Año]]="",Fact_Administrativa[[#This Row], [Mes]]=""),"",DATE(A907,MATCH(B907,{"enero","febrero","marzo","abril","mayo","junio","julio","agosto","septiembre","octubre","noviembre","diciembre"},0)+1,0))</f>
        <v/>
      </c>
      <c r="E907" t="str">
        <f>+IFERROR(VLOOKUP(Fact_Administrativa[[#This Row], [Concepto Anterior]],Conceptos_Administrativa[#All],5,0),"")</f>
        <v/>
      </c>
      <c r="F907" t="str">
        <f>+IFERROR(VLOOKUP(Fact_Administrativa[[#This Row], 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ht="18.75" customHeight="1" x14ac:dyDescent="0.35">
      <c r="C908" s="100" t="str">
        <f>IF(OR(Fact_Administrativa[[#This Row], [Año]]="",Fact_Administrativa[[#This Row], [Mes]]=""),"",DATE(A908,MATCH(B908,{"enero","febrero","marzo","abril","mayo","junio","julio","agosto","septiembre","octubre","noviembre","diciembre"},0)+1,0))</f>
        <v/>
      </c>
      <c r="E908" t="str">
        <f>+IFERROR(VLOOKUP(Fact_Administrativa[[#This Row], [Concepto Anterior]],Conceptos_Administrativa[#All],5,0),"")</f>
        <v/>
      </c>
      <c r="F908" t="str">
        <f>+IFERROR(VLOOKUP(Fact_Administrativa[[#This Row], 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ht="18.75" customHeight="1" x14ac:dyDescent="0.35">
      <c r="C909" s="100" t="str">
        <f>IF(OR(Fact_Administrativa[[#This Row], [Año]]="",Fact_Administrativa[[#This Row], [Mes]]=""),"",DATE(A909,MATCH(B909,{"enero","febrero","marzo","abril","mayo","junio","julio","agosto","septiembre","octubre","noviembre","diciembre"},0)+1,0))</f>
        <v/>
      </c>
      <c r="E909" t="str">
        <f>+IFERROR(VLOOKUP(Fact_Administrativa[[#This Row], [Concepto Anterior]],Conceptos_Administrativa[#All],5,0),"")</f>
        <v/>
      </c>
      <c r="F909" t="str">
        <f>+IFERROR(VLOOKUP(Fact_Administrativa[[#This Row], 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ht="18.75" customHeight="1" x14ac:dyDescent="0.35">
      <c r="C910" s="100" t="str">
        <f>IF(OR(Fact_Administrativa[[#This Row], [Año]]="",Fact_Administrativa[[#This Row], [Mes]]=""),"",DATE(A910,MATCH(B910,{"enero","febrero","marzo","abril","mayo","junio","julio","agosto","septiembre","octubre","noviembre","diciembre"},0)+1,0))</f>
        <v/>
      </c>
      <c r="E910" t="str">
        <f>+IFERROR(VLOOKUP(Fact_Administrativa[[#This Row], [Concepto Anterior]],Conceptos_Administrativa[#All],5,0),"")</f>
        <v/>
      </c>
      <c r="F910" t="str">
        <f>+IFERROR(VLOOKUP(Fact_Administrativa[[#This Row], 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ht="18.75" customHeight="1" x14ac:dyDescent="0.35">
      <c r="C911" s="100" t="str">
        <f>IF(OR(Fact_Administrativa[[#This Row], [Año]]="",Fact_Administrativa[[#This Row], [Mes]]=""),"",DATE(A911,MATCH(B911,{"enero","febrero","marzo","abril","mayo","junio","julio","agosto","septiembre","octubre","noviembre","diciembre"},0)+1,0))</f>
        <v/>
      </c>
      <c r="E911" t="str">
        <f>+IFERROR(VLOOKUP(Fact_Administrativa[[#This Row], [Concepto Anterior]],Conceptos_Administrativa[#All],5,0),"")</f>
        <v/>
      </c>
      <c r="F911" t="str">
        <f>+IFERROR(VLOOKUP(Fact_Administrativa[[#This Row], 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ht="18.75" customHeight="1" x14ac:dyDescent="0.35">
      <c r="C912" s="100" t="str">
        <f>IF(OR(Fact_Administrativa[[#This Row], [Año]]="",Fact_Administrativa[[#This Row], [Mes]]=""),"",DATE(A912,MATCH(B912,{"enero","febrero","marzo","abril","mayo","junio","julio","agosto","septiembre","octubre","noviembre","diciembre"},0)+1,0))</f>
        <v/>
      </c>
      <c r="E912" t="str">
        <f>+IFERROR(VLOOKUP(Fact_Administrativa[[#This Row], [Concepto Anterior]],Conceptos_Administrativa[#All],5,0),"")</f>
        <v/>
      </c>
      <c r="F912" t="str">
        <f>+IFERROR(VLOOKUP(Fact_Administrativa[[#This Row], 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ht="18.75" customHeight="1" x14ac:dyDescent="0.35">
      <c r="C913" s="100" t="str">
        <f>IF(OR(Fact_Administrativa[[#This Row], [Año]]="",Fact_Administrativa[[#This Row], [Mes]]=""),"",DATE(A913,MATCH(B913,{"enero","febrero","marzo","abril","mayo","junio","julio","agosto","septiembre","octubre","noviembre","diciembre"},0)+1,0))</f>
        <v/>
      </c>
      <c r="E913" t="str">
        <f>+IFERROR(VLOOKUP(Fact_Administrativa[[#This Row], [Concepto Anterior]],Conceptos_Administrativa[#All],5,0),"")</f>
        <v/>
      </c>
      <c r="F913" t="str">
        <f>+IFERROR(VLOOKUP(Fact_Administrativa[[#This Row], 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ht="18.75" customHeight="1" x14ac:dyDescent="0.35">
      <c r="C914" s="100" t="str">
        <f>IF(OR(Fact_Administrativa[[#This Row], [Año]]="",Fact_Administrativa[[#This Row], [Mes]]=""),"",DATE(A914,MATCH(B914,{"enero","febrero","marzo","abril","mayo","junio","julio","agosto","septiembre","octubre","noviembre","diciembre"},0)+1,0))</f>
        <v/>
      </c>
      <c r="E914" t="str">
        <f>+IFERROR(VLOOKUP(Fact_Administrativa[[#This Row], [Concepto Anterior]],Conceptos_Administrativa[#All],5,0),"")</f>
        <v/>
      </c>
      <c r="F914" t="str">
        <f>+IFERROR(VLOOKUP(Fact_Administrativa[[#This Row], 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ht="18.75" customHeight="1" x14ac:dyDescent="0.35">
      <c r="C915" s="100" t="str">
        <f>IF(OR(Fact_Administrativa[[#This Row], [Año]]="",Fact_Administrativa[[#This Row], [Mes]]=""),"",DATE(A915,MATCH(B915,{"enero","febrero","marzo","abril","mayo","junio","julio","agosto","septiembre","octubre","noviembre","diciembre"},0)+1,0))</f>
        <v/>
      </c>
      <c r="E915" t="str">
        <f>+IFERROR(VLOOKUP(Fact_Administrativa[[#This Row], [Concepto Anterior]],Conceptos_Administrativa[#All],5,0),"")</f>
        <v/>
      </c>
      <c r="F915" t="str">
        <f>+IFERROR(VLOOKUP(Fact_Administrativa[[#This Row], 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ht="18.75" customHeight="1" x14ac:dyDescent="0.35">
      <c r="C916" s="100" t="str">
        <f>IF(OR(Fact_Administrativa[[#This Row], [Año]]="",Fact_Administrativa[[#This Row], [Mes]]=""),"",DATE(A916,MATCH(B916,{"enero","febrero","marzo","abril","mayo","junio","julio","agosto","septiembre","octubre","noviembre","diciembre"},0)+1,0))</f>
        <v/>
      </c>
      <c r="E916" t="str">
        <f>+IFERROR(VLOOKUP(Fact_Administrativa[[#This Row], [Concepto Anterior]],Conceptos_Administrativa[#All],5,0),"")</f>
        <v/>
      </c>
      <c r="F916" t="str">
        <f>+IFERROR(VLOOKUP(Fact_Administrativa[[#This Row], 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ht="18.75" customHeight="1" x14ac:dyDescent="0.35">
      <c r="C917" s="100" t="str">
        <f>IF(OR(Fact_Administrativa[[#This Row], [Año]]="",Fact_Administrativa[[#This Row], [Mes]]=""),"",DATE(A917,MATCH(B917,{"enero","febrero","marzo","abril","mayo","junio","julio","agosto","septiembre","octubre","noviembre","diciembre"},0)+1,0))</f>
        <v/>
      </c>
      <c r="E917" t="str">
        <f>+IFERROR(VLOOKUP(Fact_Administrativa[[#This Row], [Concepto Anterior]],Conceptos_Administrativa[#All],5,0),"")</f>
        <v/>
      </c>
      <c r="F917" t="str">
        <f>+IFERROR(VLOOKUP(Fact_Administrativa[[#This Row], 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ht="18.75" customHeight="1" x14ac:dyDescent="0.35">
      <c r="C918" s="100" t="str">
        <f>IF(OR(Fact_Administrativa[[#This Row], [Año]]="",Fact_Administrativa[[#This Row], [Mes]]=""),"",DATE(A918,MATCH(B918,{"enero","febrero","marzo","abril","mayo","junio","julio","agosto","septiembre","octubre","noviembre","diciembre"},0)+1,0))</f>
        <v/>
      </c>
      <c r="E918" t="str">
        <f>+IFERROR(VLOOKUP(Fact_Administrativa[[#This Row], [Concepto Anterior]],Conceptos_Administrativa[#All],5,0),"")</f>
        <v/>
      </c>
      <c r="F918" t="str">
        <f>+IFERROR(VLOOKUP(Fact_Administrativa[[#This Row], 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ht="18.75" customHeight="1" x14ac:dyDescent="0.35">
      <c r="C919" s="100" t="str">
        <f>IF(OR(Fact_Administrativa[[#This Row], [Año]]="",Fact_Administrativa[[#This Row], [Mes]]=""),"",DATE(A919,MATCH(B919,{"enero","febrero","marzo","abril","mayo","junio","julio","agosto","septiembre","octubre","noviembre","diciembre"},0)+1,0))</f>
        <v/>
      </c>
      <c r="E919" t="str">
        <f>+IFERROR(VLOOKUP(Fact_Administrativa[[#This Row], [Concepto Anterior]],Conceptos_Administrativa[#All],5,0),"")</f>
        <v/>
      </c>
      <c r="F919" t="str">
        <f>+IFERROR(VLOOKUP(Fact_Administrativa[[#This Row], 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ht="18.75" customHeight="1" x14ac:dyDescent="0.35">
      <c r="C920" s="100" t="str">
        <f>IF(OR(Fact_Administrativa[[#This Row], [Año]]="",Fact_Administrativa[[#This Row], [Mes]]=""),"",DATE(A920,MATCH(B920,{"enero","febrero","marzo","abril","mayo","junio","julio","agosto","septiembre","octubre","noviembre","diciembre"},0)+1,0))</f>
        <v/>
      </c>
      <c r="E920" t="str">
        <f>+IFERROR(VLOOKUP(Fact_Administrativa[[#This Row], [Concepto Anterior]],Conceptos_Administrativa[#All],5,0),"")</f>
        <v/>
      </c>
      <c r="F920" t="str">
        <f>+IFERROR(VLOOKUP(Fact_Administrativa[[#This Row], 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ht="18.75" customHeight="1" x14ac:dyDescent="0.35">
      <c r="C921" s="100" t="str">
        <f>IF(OR(Fact_Administrativa[[#This Row], [Año]]="",Fact_Administrativa[[#This Row], [Mes]]=""),"",DATE(A921,MATCH(B921,{"enero","febrero","marzo","abril","mayo","junio","julio","agosto","septiembre","octubre","noviembre","diciembre"},0)+1,0))</f>
        <v/>
      </c>
      <c r="E921" t="str">
        <f>+IFERROR(VLOOKUP(Fact_Administrativa[[#This Row], [Concepto Anterior]],Conceptos_Administrativa[#All],5,0),"")</f>
        <v/>
      </c>
      <c r="F921" t="str">
        <f>+IFERROR(VLOOKUP(Fact_Administrativa[[#This Row], 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ht="18.75" customHeight="1" x14ac:dyDescent="0.35">
      <c r="C922" s="100" t="str">
        <f>IF(OR(Fact_Administrativa[[#This Row], [Año]]="",Fact_Administrativa[[#This Row], [Mes]]=""),"",DATE(A922,MATCH(B922,{"enero","febrero","marzo","abril","mayo","junio","julio","agosto","septiembre","octubre","noviembre","diciembre"},0)+1,0))</f>
        <v/>
      </c>
      <c r="E922" t="str">
        <f>+IFERROR(VLOOKUP(Fact_Administrativa[[#This Row], [Concepto Anterior]],Conceptos_Administrativa[#All],5,0),"")</f>
        <v/>
      </c>
      <c r="F922" t="str">
        <f>+IFERROR(VLOOKUP(Fact_Administrativa[[#This Row], 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ht="18.75" customHeight="1" x14ac:dyDescent="0.35">
      <c r="C923" s="100" t="str">
        <f>IF(OR(Fact_Administrativa[[#This Row], [Año]]="",Fact_Administrativa[[#This Row], [Mes]]=""),"",DATE(A923,MATCH(B923,{"enero","febrero","marzo","abril","mayo","junio","julio","agosto","septiembre","octubre","noviembre","diciembre"},0)+1,0))</f>
        <v/>
      </c>
      <c r="E923" t="str">
        <f>+IFERROR(VLOOKUP(Fact_Administrativa[[#This Row], [Concepto Anterior]],Conceptos_Administrativa[#All],5,0),"")</f>
        <v/>
      </c>
      <c r="F923" t="str">
        <f>+IFERROR(VLOOKUP(Fact_Administrativa[[#This Row], 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ht="18.75" customHeight="1" x14ac:dyDescent="0.35">
      <c r="C924" s="100" t="str">
        <f>IF(OR(Fact_Administrativa[[#This Row], [Año]]="",Fact_Administrativa[[#This Row], [Mes]]=""),"",DATE(A924,MATCH(B924,{"enero","febrero","marzo","abril","mayo","junio","julio","agosto","septiembre","octubre","noviembre","diciembre"},0)+1,0))</f>
        <v/>
      </c>
      <c r="E924" t="str">
        <f>+IFERROR(VLOOKUP(Fact_Administrativa[[#This Row], [Concepto Anterior]],Conceptos_Administrativa[#All],5,0),"")</f>
        <v/>
      </c>
      <c r="F924" t="str">
        <f>+IFERROR(VLOOKUP(Fact_Administrativa[[#This Row], 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ht="18.75" customHeight="1" x14ac:dyDescent="0.35">
      <c r="C925" s="100" t="str">
        <f>IF(OR(Fact_Administrativa[[#This Row], [Año]]="",Fact_Administrativa[[#This Row], [Mes]]=""),"",DATE(A925,MATCH(B925,{"enero","febrero","marzo","abril","mayo","junio","julio","agosto","septiembre","octubre","noviembre","diciembre"},0)+1,0))</f>
        <v/>
      </c>
      <c r="E925" t="str">
        <f>+IFERROR(VLOOKUP(Fact_Administrativa[[#This Row], [Concepto Anterior]],Conceptos_Administrativa[#All],5,0),"")</f>
        <v/>
      </c>
      <c r="F925" t="str">
        <f>+IFERROR(VLOOKUP(Fact_Administrativa[[#This Row], 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ht="18.75" customHeight="1" x14ac:dyDescent="0.35">
      <c r="C926" s="100" t="str">
        <f>IF(OR(Fact_Administrativa[[#This Row], [Año]]="",Fact_Administrativa[[#This Row], [Mes]]=""),"",DATE(A926,MATCH(B926,{"enero","febrero","marzo","abril","mayo","junio","julio","agosto","septiembre","octubre","noviembre","diciembre"},0)+1,0))</f>
        <v/>
      </c>
      <c r="E926" t="str">
        <f>+IFERROR(VLOOKUP(Fact_Administrativa[[#This Row], [Concepto Anterior]],Conceptos_Administrativa[#All],5,0),"")</f>
        <v/>
      </c>
      <c r="F926" t="str">
        <f>+IFERROR(VLOOKUP(Fact_Administrativa[[#This Row], 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ht="18.75" customHeight="1" x14ac:dyDescent="0.35">
      <c r="C927" s="100" t="str">
        <f>IF(OR(Fact_Administrativa[[#This Row], [Año]]="",Fact_Administrativa[[#This Row], [Mes]]=""),"",DATE(A927,MATCH(B927,{"enero","febrero","marzo","abril","mayo","junio","julio","agosto","septiembre","octubre","noviembre","diciembre"},0)+1,0))</f>
        <v/>
      </c>
      <c r="E927" t="str">
        <f>+IFERROR(VLOOKUP(Fact_Administrativa[[#This Row], [Concepto Anterior]],Conceptos_Administrativa[#All],5,0),"")</f>
        <v/>
      </c>
      <c r="F927" t="str">
        <f>+IFERROR(VLOOKUP(Fact_Administrativa[[#This Row], 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ht="18.75" customHeight="1" x14ac:dyDescent="0.35">
      <c r="C928" s="100" t="str">
        <f>IF(OR(Fact_Administrativa[[#This Row], [Año]]="",Fact_Administrativa[[#This Row], [Mes]]=""),"",DATE(A928,MATCH(B928,{"enero","febrero","marzo","abril","mayo","junio","julio","agosto","septiembre","octubre","noviembre","diciembre"},0)+1,0))</f>
        <v/>
      </c>
      <c r="E928" t="str">
        <f>+IFERROR(VLOOKUP(Fact_Administrativa[[#This Row], [Concepto Anterior]],Conceptos_Administrativa[#All],5,0),"")</f>
        <v/>
      </c>
      <c r="F928" t="str">
        <f>+IFERROR(VLOOKUP(Fact_Administrativa[[#This Row], 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ht="18.75" customHeight="1" x14ac:dyDescent="0.35">
      <c r="C929" s="100" t="str">
        <f>IF(OR(Fact_Administrativa[[#This Row], [Año]]="",Fact_Administrativa[[#This Row], [Mes]]=""),"",DATE(A929,MATCH(B929,{"enero","febrero","marzo","abril","mayo","junio","julio","agosto","septiembre","octubre","noviembre","diciembre"},0)+1,0))</f>
        <v/>
      </c>
      <c r="E929" t="str">
        <f>+IFERROR(VLOOKUP(Fact_Administrativa[[#This Row], [Concepto Anterior]],Conceptos_Administrativa[#All],5,0),"")</f>
        <v/>
      </c>
      <c r="F929" t="str">
        <f>+IFERROR(VLOOKUP(Fact_Administrativa[[#This Row], 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ht="18.75" customHeight="1" x14ac:dyDescent="0.35">
      <c r="C930" s="100" t="str">
        <f>IF(OR(Fact_Administrativa[[#This Row], [Año]]="",Fact_Administrativa[[#This Row], [Mes]]=""),"",DATE(A930,MATCH(B930,{"enero","febrero","marzo","abril","mayo","junio","julio","agosto","septiembre","octubre","noviembre","diciembre"},0)+1,0))</f>
        <v/>
      </c>
      <c r="E930" t="str">
        <f>+IFERROR(VLOOKUP(Fact_Administrativa[[#This Row], [Concepto Anterior]],Conceptos_Administrativa[#All],5,0),"")</f>
        <v/>
      </c>
      <c r="F930" t="str">
        <f>+IFERROR(VLOOKUP(Fact_Administrativa[[#This Row], 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ht="18.75" customHeight="1" x14ac:dyDescent="0.35">
      <c r="C931" s="100" t="str">
        <f>IF(OR(Fact_Administrativa[[#This Row], [Año]]="",Fact_Administrativa[[#This Row], [Mes]]=""),"",DATE(A931,MATCH(B931,{"enero","febrero","marzo","abril","mayo","junio","julio","agosto","septiembre","octubre","noviembre","diciembre"},0)+1,0))</f>
        <v/>
      </c>
      <c r="E931" t="str">
        <f>+IFERROR(VLOOKUP(Fact_Administrativa[[#This Row], [Concepto Anterior]],Conceptos_Administrativa[#All],5,0),"")</f>
        <v/>
      </c>
      <c r="F931" t="str">
        <f>+IFERROR(VLOOKUP(Fact_Administrativa[[#This Row], 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ht="18.75" customHeight="1" x14ac:dyDescent="0.35">
      <c r="C932" s="100" t="str">
        <f>IF(OR(Fact_Administrativa[[#This Row], [Año]]="",Fact_Administrativa[[#This Row], [Mes]]=""),"",DATE(A932,MATCH(B932,{"enero","febrero","marzo","abril","mayo","junio","julio","agosto","septiembre","octubre","noviembre","diciembre"},0)+1,0))</f>
        <v/>
      </c>
      <c r="E932" t="str">
        <f>+IFERROR(VLOOKUP(Fact_Administrativa[[#This Row], [Concepto Anterior]],Conceptos_Administrativa[#All],5,0),"")</f>
        <v/>
      </c>
      <c r="F932" t="str">
        <f>+IFERROR(VLOOKUP(Fact_Administrativa[[#This Row], 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ht="18.75" customHeight="1" x14ac:dyDescent="0.35">
      <c r="C933" s="100" t="str">
        <f>IF(OR(Fact_Administrativa[[#This Row], [Año]]="",Fact_Administrativa[[#This Row], [Mes]]=""),"",DATE(A933,MATCH(B933,{"enero","febrero","marzo","abril","mayo","junio","julio","agosto","septiembre","octubre","noviembre","diciembre"},0)+1,0))</f>
        <v/>
      </c>
      <c r="E933" t="str">
        <f>+IFERROR(VLOOKUP(Fact_Administrativa[[#This Row], [Concepto Anterior]],Conceptos_Administrativa[#All],5,0),"")</f>
        <v/>
      </c>
      <c r="F933" t="str">
        <f>+IFERROR(VLOOKUP(Fact_Administrativa[[#This Row], 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ht="18.75" customHeight="1" x14ac:dyDescent="0.35">
      <c r="C934" s="100" t="str">
        <f>IF(OR(Fact_Administrativa[[#This Row], [Año]]="",Fact_Administrativa[[#This Row], [Mes]]=""),"",DATE(A934,MATCH(B934,{"enero","febrero","marzo","abril","mayo","junio","julio","agosto","septiembre","octubre","noviembre","diciembre"},0)+1,0))</f>
        <v/>
      </c>
      <c r="E934" t="str">
        <f>+IFERROR(VLOOKUP(Fact_Administrativa[[#This Row], [Concepto Anterior]],Conceptos_Administrativa[#All],5,0),"")</f>
        <v/>
      </c>
      <c r="F934" t="str">
        <f>+IFERROR(VLOOKUP(Fact_Administrativa[[#This Row], 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ht="18.75" customHeight="1" x14ac:dyDescent="0.35">
      <c r="C935" s="100" t="str">
        <f>IF(OR(Fact_Administrativa[[#This Row], [Año]]="",Fact_Administrativa[[#This Row], [Mes]]=""),"",DATE(A935,MATCH(B935,{"enero","febrero","marzo","abril","mayo","junio","julio","agosto","septiembre","octubre","noviembre","diciembre"},0)+1,0))</f>
        <v/>
      </c>
      <c r="E935" t="str">
        <f>+IFERROR(VLOOKUP(Fact_Administrativa[[#This Row], [Concepto Anterior]],Conceptos_Administrativa[#All],5,0),"")</f>
        <v/>
      </c>
      <c r="F935" t="str">
        <f>+IFERROR(VLOOKUP(Fact_Administrativa[[#This Row], 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ht="18.75" customHeight="1" x14ac:dyDescent="0.35">
      <c r="C936" s="100" t="str">
        <f>IF(OR(Fact_Administrativa[[#This Row], [Año]]="",Fact_Administrativa[[#This Row], [Mes]]=""),"",DATE(A936,MATCH(B936,{"enero","febrero","marzo","abril","mayo","junio","julio","agosto","septiembre","octubre","noviembre","diciembre"},0)+1,0))</f>
        <v/>
      </c>
      <c r="E936" t="str">
        <f>+IFERROR(VLOOKUP(Fact_Administrativa[[#This Row], [Concepto Anterior]],Conceptos_Administrativa[#All],5,0),"")</f>
        <v/>
      </c>
      <c r="F936" t="str">
        <f>+IFERROR(VLOOKUP(Fact_Administrativa[[#This Row], 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ht="18.75" customHeight="1" x14ac:dyDescent="0.35">
      <c r="C937" s="100" t="str">
        <f>IF(OR(Fact_Administrativa[[#This Row], [Año]]="",Fact_Administrativa[[#This Row], [Mes]]=""),"",DATE(A937,MATCH(B937,{"enero","febrero","marzo","abril","mayo","junio","julio","agosto","septiembre","octubre","noviembre","diciembre"},0)+1,0))</f>
        <v/>
      </c>
      <c r="E937" t="str">
        <f>+IFERROR(VLOOKUP(Fact_Administrativa[[#This Row], [Concepto Anterior]],Conceptos_Administrativa[#All],5,0),"")</f>
        <v/>
      </c>
      <c r="F937" t="str">
        <f>+IFERROR(VLOOKUP(Fact_Administrativa[[#This Row], 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ht="18.75" customHeight="1" x14ac:dyDescent="0.35">
      <c r="C938" s="100" t="str">
        <f>IF(OR(Fact_Administrativa[[#This Row], [Año]]="",Fact_Administrativa[[#This Row], [Mes]]=""),"",DATE(A938,MATCH(B938,{"enero","febrero","marzo","abril","mayo","junio","julio","agosto","septiembre","octubre","noviembre","diciembre"},0)+1,0))</f>
        <v/>
      </c>
      <c r="E938" t="str">
        <f>+IFERROR(VLOOKUP(Fact_Administrativa[[#This Row], [Concepto Anterior]],Conceptos_Administrativa[#All],5,0),"")</f>
        <v/>
      </c>
      <c r="F938" t="str">
        <f>+IFERROR(VLOOKUP(Fact_Administrativa[[#This Row], 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ht="18.75" customHeight="1" x14ac:dyDescent="0.35">
      <c r="C939" s="100" t="str">
        <f>IF(OR(Fact_Administrativa[[#This Row], [Año]]="",Fact_Administrativa[[#This Row], [Mes]]=""),"",DATE(A939,MATCH(B939,{"enero","febrero","marzo","abril","mayo","junio","julio","agosto","septiembre","octubre","noviembre","diciembre"},0)+1,0))</f>
        <v/>
      </c>
      <c r="E939" t="str">
        <f>+IFERROR(VLOOKUP(Fact_Administrativa[[#This Row], [Concepto Anterior]],Conceptos_Administrativa[#All],5,0),"")</f>
        <v/>
      </c>
      <c r="F939" t="str">
        <f>+IFERROR(VLOOKUP(Fact_Administrativa[[#This Row], 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ht="18.75" customHeight="1" x14ac:dyDescent="0.35">
      <c r="C940" s="100" t="str">
        <f>IF(OR(Fact_Administrativa[[#This Row], [Año]]="",Fact_Administrativa[[#This Row], [Mes]]=""),"",DATE(A940,MATCH(B940,{"enero","febrero","marzo","abril","mayo","junio","julio","agosto","septiembre","octubre","noviembre","diciembre"},0)+1,0))</f>
        <v/>
      </c>
      <c r="E940" t="str">
        <f>+IFERROR(VLOOKUP(Fact_Administrativa[[#This Row], [Concepto Anterior]],Conceptos_Administrativa[#All],5,0),"")</f>
        <v/>
      </c>
      <c r="F940" t="str">
        <f>+IFERROR(VLOOKUP(Fact_Administrativa[[#This Row], 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ht="18.75" customHeight="1" x14ac:dyDescent="0.35">
      <c r="C941" s="100" t="str">
        <f>IF(OR(Fact_Administrativa[[#This Row], [Año]]="",Fact_Administrativa[[#This Row], [Mes]]=""),"",DATE(A941,MATCH(B941,{"enero","febrero","marzo","abril","mayo","junio","julio","agosto","septiembre","octubre","noviembre","diciembre"},0)+1,0))</f>
        <v/>
      </c>
      <c r="E941" t="str">
        <f>+IFERROR(VLOOKUP(Fact_Administrativa[[#This Row], [Concepto Anterior]],Conceptos_Administrativa[#All],5,0),"")</f>
        <v/>
      </c>
      <c r="F941" t="str">
        <f>+IFERROR(VLOOKUP(Fact_Administrativa[[#This Row], 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ht="18.75" customHeight="1" x14ac:dyDescent="0.35">
      <c r="C942" s="100" t="str">
        <f>IF(OR(Fact_Administrativa[[#This Row], [Año]]="",Fact_Administrativa[[#This Row], [Mes]]=""),"",DATE(A942,MATCH(B942,{"enero","febrero","marzo","abril","mayo","junio","julio","agosto","septiembre","octubre","noviembre","diciembre"},0)+1,0))</f>
        <v/>
      </c>
      <c r="E942" t="str">
        <f>+IFERROR(VLOOKUP(Fact_Administrativa[[#This Row], [Concepto Anterior]],Conceptos_Administrativa[#All],5,0),"")</f>
        <v/>
      </c>
      <c r="F942" t="str">
        <f>+IFERROR(VLOOKUP(Fact_Administrativa[[#This Row], 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ht="18.75" customHeight="1" x14ac:dyDescent="0.35">
      <c r="C943" s="100" t="str">
        <f>IF(OR(Fact_Administrativa[[#This Row], [Año]]="",Fact_Administrativa[[#This Row], [Mes]]=""),"",DATE(A943,MATCH(B943,{"enero","febrero","marzo","abril","mayo","junio","julio","agosto","septiembre","octubre","noviembre","diciembre"},0)+1,0))</f>
        <v/>
      </c>
      <c r="E943" t="str">
        <f>+IFERROR(VLOOKUP(Fact_Administrativa[[#This Row], [Concepto Anterior]],Conceptos_Administrativa[#All],5,0),"")</f>
        <v/>
      </c>
      <c r="F943" t="str">
        <f>+IFERROR(VLOOKUP(Fact_Administrativa[[#This Row], 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ht="18.75" customHeight="1" x14ac:dyDescent="0.35">
      <c r="C944" s="100" t="str">
        <f>IF(OR(Fact_Administrativa[[#This Row], [Año]]="",Fact_Administrativa[[#This Row], [Mes]]=""),"",DATE(A944,MATCH(B944,{"enero","febrero","marzo","abril","mayo","junio","julio","agosto","septiembre","octubre","noviembre","diciembre"},0)+1,0))</f>
        <v/>
      </c>
      <c r="E944" t="str">
        <f>+IFERROR(VLOOKUP(Fact_Administrativa[[#This Row], [Concepto Anterior]],Conceptos_Administrativa[#All],5,0),"")</f>
        <v/>
      </c>
      <c r="F944" t="str">
        <f>+IFERROR(VLOOKUP(Fact_Administrativa[[#This Row], 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ht="18.75" customHeight="1" x14ac:dyDescent="0.35">
      <c r="C945" s="100" t="str">
        <f>IF(OR(Fact_Administrativa[[#This Row], [Año]]="",Fact_Administrativa[[#This Row], [Mes]]=""),"",DATE(A945,MATCH(B945,{"enero","febrero","marzo","abril","mayo","junio","julio","agosto","septiembre","octubre","noviembre","diciembre"},0)+1,0))</f>
        <v/>
      </c>
      <c r="E945" t="str">
        <f>+IFERROR(VLOOKUP(Fact_Administrativa[[#This Row], [Concepto Anterior]],Conceptos_Administrativa[#All],5,0),"")</f>
        <v/>
      </c>
      <c r="F945" t="str">
        <f>+IFERROR(VLOOKUP(Fact_Administrativa[[#This Row], 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ht="18.75" customHeight="1" x14ac:dyDescent="0.35">
      <c r="C946" s="100" t="str">
        <f>IF(OR(Fact_Administrativa[[#This Row], [Año]]="",Fact_Administrativa[[#This Row], [Mes]]=""),"",DATE(A946,MATCH(B946,{"enero","febrero","marzo","abril","mayo","junio","julio","agosto","septiembre","octubre","noviembre","diciembre"},0)+1,0))</f>
        <v/>
      </c>
      <c r="E946" t="str">
        <f>+IFERROR(VLOOKUP(Fact_Administrativa[[#This Row], [Concepto Anterior]],Conceptos_Administrativa[#All],5,0),"")</f>
        <v/>
      </c>
      <c r="F946" t="str">
        <f>+IFERROR(VLOOKUP(Fact_Administrativa[[#This Row], 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ht="18.75" customHeight="1" x14ac:dyDescent="0.35">
      <c r="C947" s="100" t="str">
        <f>IF(OR(Fact_Administrativa[[#This Row], [Año]]="",Fact_Administrativa[[#This Row], [Mes]]=""),"",DATE(A947,MATCH(B947,{"enero","febrero","marzo","abril","mayo","junio","julio","agosto","septiembre","octubre","noviembre","diciembre"},0)+1,0))</f>
        <v/>
      </c>
      <c r="E947" t="str">
        <f>+IFERROR(VLOOKUP(Fact_Administrativa[[#This Row], [Concepto Anterior]],Conceptos_Administrativa[#All],5,0),"")</f>
        <v/>
      </c>
      <c r="F947" t="str">
        <f>+IFERROR(VLOOKUP(Fact_Administrativa[[#This Row], 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ht="18.75" customHeight="1" x14ac:dyDescent="0.35">
      <c r="C948" s="100" t="str">
        <f>IF(OR(Fact_Administrativa[[#This Row], [Año]]="",Fact_Administrativa[[#This Row], [Mes]]=""),"",DATE(A948,MATCH(B948,{"enero","febrero","marzo","abril","mayo","junio","julio","agosto","septiembre","octubre","noviembre","diciembre"},0)+1,0))</f>
        <v/>
      </c>
      <c r="E948" t="str">
        <f>+IFERROR(VLOOKUP(Fact_Administrativa[[#This Row], [Concepto Anterior]],Conceptos_Administrativa[#All],5,0),"")</f>
        <v/>
      </c>
      <c r="F948" t="str">
        <f>+IFERROR(VLOOKUP(Fact_Administrativa[[#This Row], 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ht="18.75" customHeight="1" x14ac:dyDescent="0.35">
      <c r="C949" s="100" t="str">
        <f>IF(OR(Fact_Administrativa[[#This Row], [Año]]="",Fact_Administrativa[[#This Row], [Mes]]=""),"",DATE(A949,MATCH(B949,{"enero","febrero","marzo","abril","mayo","junio","julio","agosto","septiembre","octubre","noviembre","diciembre"},0)+1,0))</f>
        <v/>
      </c>
      <c r="E949" t="str">
        <f>+IFERROR(VLOOKUP(Fact_Administrativa[[#This Row], [Concepto Anterior]],Conceptos_Administrativa[#All],5,0),"")</f>
        <v/>
      </c>
      <c r="F949" t="str">
        <f>+IFERROR(VLOOKUP(Fact_Administrativa[[#This Row], 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ht="18.75" customHeight="1" x14ac:dyDescent="0.35">
      <c r="C950" s="100" t="str">
        <f>IF(OR(Fact_Administrativa[[#This Row], [Año]]="",Fact_Administrativa[[#This Row], [Mes]]=""),"",DATE(A950,MATCH(B950,{"enero","febrero","marzo","abril","mayo","junio","julio","agosto","septiembre","octubre","noviembre","diciembre"},0)+1,0))</f>
        <v/>
      </c>
      <c r="E950" t="str">
        <f>+IFERROR(VLOOKUP(Fact_Administrativa[[#This Row], [Concepto Anterior]],Conceptos_Administrativa[#All],5,0),"")</f>
        <v/>
      </c>
      <c r="F950" t="str">
        <f>+IFERROR(VLOOKUP(Fact_Administrativa[[#This Row], 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ht="18.75" customHeight="1" x14ac:dyDescent="0.35">
      <c r="C951" s="100" t="str">
        <f>IF(OR(Fact_Administrativa[[#This Row], [Año]]="",Fact_Administrativa[[#This Row], [Mes]]=""),"",DATE(A951,MATCH(B951,{"enero","febrero","marzo","abril","mayo","junio","julio","agosto","septiembre","octubre","noviembre","diciembre"},0)+1,0))</f>
        <v/>
      </c>
      <c r="E951" t="str">
        <f>+IFERROR(VLOOKUP(Fact_Administrativa[[#This Row], [Concepto Anterior]],Conceptos_Administrativa[#All],5,0),"")</f>
        <v/>
      </c>
      <c r="F951" t="str">
        <f>+IFERROR(VLOOKUP(Fact_Administrativa[[#This Row], 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ht="18.75" customHeight="1" x14ac:dyDescent="0.35">
      <c r="C952" s="100" t="str">
        <f>IF(OR(Fact_Administrativa[[#This Row], [Año]]="",Fact_Administrativa[[#This Row], [Mes]]=""),"",DATE(A952,MATCH(B952,{"enero","febrero","marzo","abril","mayo","junio","julio","agosto","septiembre","octubre","noviembre","diciembre"},0)+1,0))</f>
        <v/>
      </c>
      <c r="E952" t="str">
        <f>+IFERROR(VLOOKUP(Fact_Administrativa[[#This Row], [Concepto Anterior]],Conceptos_Administrativa[#All],5,0),"")</f>
        <v/>
      </c>
      <c r="F952" t="str">
        <f>+IFERROR(VLOOKUP(Fact_Administrativa[[#This Row], 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ht="18.75" customHeight="1" x14ac:dyDescent="0.35">
      <c r="C953" s="100" t="str">
        <f>IF(OR(Fact_Administrativa[[#This Row], [Año]]="",Fact_Administrativa[[#This Row], [Mes]]=""),"",DATE(A953,MATCH(B953,{"enero","febrero","marzo","abril","mayo","junio","julio","agosto","septiembre","octubre","noviembre","diciembre"},0)+1,0))</f>
        <v/>
      </c>
      <c r="E953" t="str">
        <f>+IFERROR(VLOOKUP(Fact_Administrativa[[#This Row], [Concepto Anterior]],Conceptos_Administrativa[#All],5,0),"")</f>
        <v/>
      </c>
      <c r="F953" t="str">
        <f>+IFERROR(VLOOKUP(Fact_Administrativa[[#This Row], 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ht="18.75" customHeight="1" x14ac:dyDescent="0.35">
      <c r="C954" s="100" t="str">
        <f>IF(OR(Fact_Administrativa[[#This Row], [Año]]="",Fact_Administrativa[[#This Row], [Mes]]=""),"",DATE(A954,MATCH(B954,{"enero","febrero","marzo","abril","mayo","junio","julio","agosto","septiembre","octubre","noviembre","diciembre"},0)+1,0))</f>
        <v/>
      </c>
      <c r="E954" t="str">
        <f>+IFERROR(VLOOKUP(Fact_Administrativa[[#This Row], [Concepto Anterior]],Conceptos_Administrativa[#All],5,0),"")</f>
        <v/>
      </c>
      <c r="F954" t="str">
        <f>+IFERROR(VLOOKUP(Fact_Administrativa[[#This Row], 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ht="18.75" customHeight="1" x14ac:dyDescent="0.35">
      <c r="C955" s="100" t="str">
        <f>IF(OR(Fact_Administrativa[[#This Row], [Año]]="",Fact_Administrativa[[#This Row], [Mes]]=""),"",DATE(A955,MATCH(B955,{"enero","febrero","marzo","abril","mayo","junio","julio","agosto","septiembre","octubre","noviembre","diciembre"},0)+1,0))</f>
        <v/>
      </c>
      <c r="E955" t="str">
        <f>+IFERROR(VLOOKUP(Fact_Administrativa[[#This Row], [Concepto Anterior]],Conceptos_Administrativa[#All],5,0),"")</f>
        <v/>
      </c>
      <c r="F955" t="str">
        <f>+IFERROR(VLOOKUP(Fact_Administrativa[[#This Row], 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ht="18.75" customHeight="1" x14ac:dyDescent="0.35">
      <c r="C956" s="100" t="str">
        <f>IF(OR(Fact_Administrativa[[#This Row], [Año]]="",Fact_Administrativa[[#This Row], [Mes]]=""),"",DATE(A956,MATCH(B956,{"enero","febrero","marzo","abril","mayo","junio","julio","agosto","septiembre","octubre","noviembre","diciembre"},0)+1,0))</f>
        <v/>
      </c>
      <c r="E956" t="str">
        <f>+IFERROR(VLOOKUP(Fact_Administrativa[[#This Row], [Concepto Anterior]],Conceptos_Administrativa[#All],5,0),"")</f>
        <v/>
      </c>
      <c r="F956" t="str">
        <f>+IFERROR(VLOOKUP(Fact_Administrativa[[#This Row], 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ht="18.75" customHeight="1" x14ac:dyDescent="0.35">
      <c r="C957" s="100" t="str">
        <f>IF(OR(Fact_Administrativa[[#This Row], [Año]]="",Fact_Administrativa[[#This Row], [Mes]]=""),"",DATE(A957,MATCH(B957,{"enero","febrero","marzo","abril","mayo","junio","julio","agosto","septiembre","octubre","noviembre","diciembre"},0)+1,0))</f>
        <v/>
      </c>
      <c r="E957" t="str">
        <f>+IFERROR(VLOOKUP(Fact_Administrativa[[#This Row], [Concepto Anterior]],Conceptos_Administrativa[#All],5,0),"")</f>
        <v/>
      </c>
      <c r="F957" t="str">
        <f>+IFERROR(VLOOKUP(Fact_Administrativa[[#This Row], 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ht="18.75" customHeight="1" x14ac:dyDescent="0.35">
      <c r="C958" s="100" t="str">
        <f>IF(OR(Fact_Administrativa[[#This Row], [Año]]="",Fact_Administrativa[[#This Row], [Mes]]=""),"",DATE(A958,MATCH(B958,{"enero","febrero","marzo","abril","mayo","junio","julio","agosto","septiembre","octubre","noviembre","diciembre"},0)+1,0))</f>
        <v/>
      </c>
      <c r="E958" t="str">
        <f>+IFERROR(VLOOKUP(Fact_Administrativa[[#This Row], [Concepto Anterior]],Conceptos_Administrativa[#All],5,0),"")</f>
        <v/>
      </c>
      <c r="F958" t="str">
        <f>+IFERROR(VLOOKUP(Fact_Administrativa[[#This Row], 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ht="18.75" customHeight="1" x14ac:dyDescent="0.35">
      <c r="C959" s="100" t="str">
        <f>IF(OR(Fact_Administrativa[[#This Row], [Año]]="",Fact_Administrativa[[#This Row], [Mes]]=""),"",DATE(A959,MATCH(B959,{"enero","febrero","marzo","abril","mayo","junio","julio","agosto","septiembre","octubre","noviembre","diciembre"},0)+1,0))</f>
        <v/>
      </c>
      <c r="E959" t="str">
        <f>+IFERROR(VLOOKUP(Fact_Administrativa[[#This Row], [Concepto Anterior]],Conceptos_Administrativa[#All],5,0),"")</f>
        <v/>
      </c>
      <c r="F959" t="str">
        <f>+IFERROR(VLOOKUP(Fact_Administrativa[[#This Row], 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ht="18.75" customHeight="1" x14ac:dyDescent="0.35">
      <c r="C960" s="100" t="str">
        <f>IF(OR(Fact_Administrativa[[#This Row], [Año]]="",Fact_Administrativa[[#This Row], [Mes]]=""),"",DATE(A960,MATCH(B960,{"enero","febrero","marzo","abril","mayo","junio","julio","agosto","septiembre","octubre","noviembre","diciembre"},0)+1,0))</f>
        <v/>
      </c>
      <c r="E960" t="str">
        <f>+IFERROR(VLOOKUP(Fact_Administrativa[[#This Row], [Concepto Anterior]],Conceptos_Administrativa[#All],5,0),"")</f>
        <v/>
      </c>
      <c r="F960" t="str">
        <f>+IFERROR(VLOOKUP(Fact_Administrativa[[#This Row], 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ht="18.75" customHeight="1" x14ac:dyDescent="0.35">
      <c r="C961" s="100" t="str">
        <f>IF(OR(Fact_Administrativa[[#This Row], [Año]]="",Fact_Administrativa[[#This Row], [Mes]]=""),"",DATE(A961,MATCH(B961,{"enero","febrero","marzo","abril","mayo","junio","julio","agosto","septiembre","octubre","noviembre","diciembre"},0)+1,0))</f>
        <v/>
      </c>
      <c r="E961" t="str">
        <f>+IFERROR(VLOOKUP(Fact_Administrativa[[#This Row], [Concepto Anterior]],Conceptos_Administrativa[#All],5,0),"")</f>
        <v/>
      </c>
      <c r="F961" t="str">
        <f>+IFERROR(VLOOKUP(Fact_Administrativa[[#This Row], 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ht="18.75" customHeight="1" x14ac:dyDescent="0.35">
      <c r="C962" s="100" t="str">
        <f>IF(OR(Fact_Administrativa[[#This Row], [Año]]="",Fact_Administrativa[[#This Row], [Mes]]=""),"",DATE(A962,MATCH(B962,{"enero","febrero","marzo","abril","mayo","junio","julio","agosto","septiembre","octubre","noviembre","diciembre"},0)+1,0))</f>
        <v/>
      </c>
      <c r="E962" t="str">
        <f>+IFERROR(VLOOKUP(Fact_Administrativa[[#This Row], [Concepto Anterior]],Conceptos_Administrativa[#All],5,0),"")</f>
        <v/>
      </c>
      <c r="F962" t="str">
        <f>+IFERROR(VLOOKUP(Fact_Administrativa[[#This Row], 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ht="18.75" customHeight="1" x14ac:dyDescent="0.35">
      <c r="C963" s="100" t="str">
        <f>IF(OR(Fact_Administrativa[[#This Row], [Año]]="",Fact_Administrativa[[#This Row], [Mes]]=""),"",DATE(A963,MATCH(B963,{"enero","febrero","marzo","abril","mayo","junio","julio","agosto","septiembre","octubre","noviembre","diciembre"},0)+1,0))</f>
        <v/>
      </c>
      <c r="E963" t="str">
        <f>+IFERROR(VLOOKUP(Fact_Administrativa[[#This Row], [Concepto Anterior]],Conceptos_Administrativa[#All],5,0),"")</f>
        <v/>
      </c>
      <c r="F963" t="str">
        <f>+IFERROR(VLOOKUP(Fact_Administrativa[[#This Row], 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ht="18.75" customHeight="1" x14ac:dyDescent="0.35">
      <c r="C964" s="100" t="str">
        <f>IF(OR(Fact_Administrativa[[#This Row], [Año]]="",Fact_Administrativa[[#This Row], [Mes]]=""),"",DATE(A964,MATCH(B964,{"enero","febrero","marzo","abril","mayo","junio","julio","agosto","septiembre","octubre","noviembre","diciembre"},0)+1,0))</f>
        <v/>
      </c>
      <c r="E964" t="str">
        <f>+IFERROR(VLOOKUP(Fact_Administrativa[[#This Row], [Concepto Anterior]],Conceptos_Administrativa[#All],5,0),"")</f>
        <v/>
      </c>
      <c r="F964" t="str">
        <f>+IFERROR(VLOOKUP(Fact_Administrativa[[#This Row], 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ht="18.75" customHeight="1" x14ac:dyDescent="0.35">
      <c r="C965" s="100" t="str">
        <f>IF(OR(Fact_Administrativa[[#This Row], [Año]]="",Fact_Administrativa[[#This Row], [Mes]]=""),"",DATE(A965,MATCH(B965,{"enero","febrero","marzo","abril","mayo","junio","julio","agosto","septiembre","octubre","noviembre","diciembre"},0)+1,0))</f>
        <v/>
      </c>
      <c r="E965" t="str">
        <f>+IFERROR(VLOOKUP(Fact_Administrativa[[#This Row], [Concepto Anterior]],Conceptos_Administrativa[#All],5,0),"")</f>
        <v/>
      </c>
      <c r="F965" t="str">
        <f>+IFERROR(VLOOKUP(Fact_Administrativa[[#This Row], 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ht="18.75" customHeight="1" x14ac:dyDescent="0.35">
      <c r="C966" s="100" t="str">
        <f>IF(OR(Fact_Administrativa[[#This Row], [Año]]="",Fact_Administrativa[[#This Row], [Mes]]=""),"",DATE(A966,MATCH(B966,{"enero","febrero","marzo","abril","mayo","junio","julio","agosto","septiembre","octubre","noviembre","diciembre"},0)+1,0))</f>
        <v/>
      </c>
      <c r="E966" t="str">
        <f>+IFERROR(VLOOKUP(Fact_Administrativa[[#This Row], [Concepto Anterior]],Conceptos_Administrativa[#All],5,0),"")</f>
        <v/>
      </c>
      <c r="F966" t="str">
        <f>+IFERROR(VLOOKUP(Fact_Administrativa[[#This Row], 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ht="18.75" customHeight="1" x14ac:dyDescent="0.35">
      <c r="C967" s="100" t="str">
        <f>IF(OR(Fact_Administrativa[[#This Row], [Año]]="",Fact_Administrativa[[#This Row], [Mes]]=""),"",DATE(A967,MATCH(B967,{"enero","febrero","marzo","abril","mayo","junio","julio","agosto","septiembre","octubre","noviembre","diciembre"},0)+1,0))</f>
        <v/>
      </c>
      <c r="E967" t="str">
        <f>+IFERROR(VLOOKUP(Fact_Administrativa[[#This Row], [Concepto Anterior]],Conceptos_Administrativa[#All],5,0),"")</f>
        <v/>
      </c>
      <c r="F967" t="str">
        <f>+IFERROR(VLOOKUP(Fact_Administrativa[[#This Row], 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ht="18.75" customHeight="1" x14ac:dyDescent="0.35">
      <c r="C968" s="100" t="str">
        <f>IF(OR(Fact_Administrativa[[#This Row], [Año]]="",Fact_Administrativa[[#This Row], [Mes]]=""),"",DATE(A968,MATCH(B968,{"enero","febrero","marzo","abril","mayo","junio","julio","agosto","septiembre","octubre","noviembre","diciembre"},0)+1,0))</f>
        <v/>
      </c>
      <c r="E968" t="str">
        <f>+IFERROR(VLOOKUP(Fact_Administrativa[[#This Row], [Concepto Anterior]],Conceptos_Administrativa[#All],5,0),"")</f>
        <v/>
      </c>
      <c r="F968" t="str">
        <f>+IFERROR(VLOOKUP(Fact_Administrativa[[#This Row], 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ht="18.75" customHeight="1" x14ac:dyDescent="0.35">
      <c r="C969" s="100" t="str">
        <f>IF(OR(Fact_Administrativa[[#This Row], [Año]]="",Fact_Administrativa[[#This Row], [Mes]]=""),"",DATE(A969,MATCH(B969,{"enero","febrero","marzo","abril","mayo","junio","julio","agosto","septiembre","octubre","noviembre","diciembre"},0)+1,0))</f>
        <v/>
      </c>
      <c r="E969" t="str">
        <f>+IFERROR(VLOOKUP(Fact_Administrativa[[#This Row], [Concepto Anterior]],Conceptos_Administrativa[#All],5,0),"")</f>
        <v/>
      </c>
      <c r="F969" t="str">
        <f>+IFERROR(VLOOKUP(Fact_Administrativa[[#This Row], 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ht="18.75" customHeight="1" x14ac:dyDescent="0.35">
      <c r="C970" s="100" t="str">
        <f>IF(OR(Fact_Administrativa[[#This Row], [Año]]="",Fact_Administrativa[[#This Row], [Mes]]=""),"",DATE(A970,MATCH(B970,{"enero","febrero","marzo","abril","mayo","junio","julio","agosto","septiembre","octubre","noviembre","diciembre"},0)+1,0))</f>
        <v/>
      </c>
      <c r="E970" t="str">
        <f>+IFERROR(VLOOKUP(Fact_Administrativa[[#This Row], [Concepto Anterior]],Conceptos_Administrativa[#All],5,0),"")</f>
        <v/>
      </c>
      <c r="F970" t="str">
        <f>+IFERROR(VLOOKUP(Fact_Administrativa[[#This Row], 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ht="18.75" customHeight="1" x14ac:dyDescent="0.35">
      <c r="C971" s="100" t="str">
        <f>IF(OR(Fact_Administrativa[[#This Row], [Año]]="",Fact_Administrativa[[#This Row], [Mes]]=""),"",DATE(A971,MATCH(B971,{"enero","febrero","marzo","abril","mayo","junio","julio","agosto","septiembre","octubre","noviembre","diciembre"},0)+1,0))</f>
        <v/>
      </c>
      <c r="E971" t="str">
        <f>+IFERROR(VLOOKUP(Fact_Administrativa[[#This Row], [Concepto Anterior]],Conceptos_Administrativa[#All],5,0),"")</f>
        <v/>
      </c>
      <c r="F971" t="str">
        <f>+IFERROR(VLOOKUP(Fact_Administrativa[[#This Row], 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ht="18.75" customHeight="1" x14ac:dyDescent="0.35">
      <c r="C972" s="100" t="str">
        <f>IF(OR(Fact_Administrativa[[#This Row], [Año]]="",Fact_Administrativa[[#This Row], [Mes]]=""),"",DATE(A972,MATCH(B972,{"enero","febrero","marzo","abril","mayo","junio","julio","agosto","septiembre","octubre","noviembre","diciembre"},0)+1,0))</f>
        <v/>
      </c>
      <c r="E972" t="str">
        <f>+IFERROR(VLOOKUP(Fact_Administrativa[[#This Row], [Concepto Anterior]],Conceptos_Administrativa[#All],5,0),"")</f>
        <v/>
      </c>
      <c r="F972" t="str">
        <f>+IFERROR(VLOOKUP(Fact_Administrativa[[#This Row], 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ht="18.75" customHeight="1" x14ac:dyDescent="0.35">
      <c r="C973" s="100" t="str">
        <f>IF(OR(Fact_Administrativa[[#This Row], [Año]]="",Fact_Administrativa[[#This Row], [Mes]]=""),"",DATE(A973,MATCH(B973,{"enero","febrero","marzo","abril","mayo","junio","julio","agosto","septiembre","octubre","noviembre","diciembre"},0)+1,0))</f>
        <v/>
      </c>
      <c r="E973" t="str">
        <f>+IFERROR(VLOOKUP(Fact_Administrativa[[#This Row], [Concepto Anterior]],Conceptos_Administrativa[#All],5,0),"")</f>
        <v/>
      </c>
      <c r="F973" t="str">
        <f>+IFERROR(VLOOKUP(Fact_Administrativa[[#This Row], 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ht="18.75" customHeight="1" x14ac:dyDescent="0.35">
      <c r="C974" s="100" t="str">
        <f>IF(OR(Fact_Administrativa[[#This Row], [Año]]="",Fact_Administrativa[[#This Row], [Mes]]=""),"",DATE(A974,MATCH(B974,{"enero","febrero","marzo","abril","mayo","junio","julio","agosto","septiembre","octubre","noviembre","diciembre"},0)+1,0))</f>
        <v/>
      </c>
      <c r="E974" t="str">
        <f>+IFERROR(VLOOKUP(Fact_Administrativa[[#This Row], [Concepto Anterior]],Conceptos_Administrativa[#All],5,0),"")</f>
        <v/>
      </c>
      <c r="F974" t="str">
        <f>+IFERROR(VLOOKUP(Fact_Administrativa[[#This Row], 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ht="18.75" customHeight="1" x14ac:dyDescent="0.35">
      <c r="C975" s="100" t="str">
        <f>IF(OR(Fact_Administrativa[[#This Row], [Año]]="",Fact_Administrativa[[#This Row], [Mes]]=""),"",DATE(A975,MATCH(B975,{"enero","febrero","marzo","abril","mayo","junio","julio","agosto","septiembre","octubre","noviembre","diciembre"},0)+1,0))</f>
        <v/>
      </c>
      <c r="E975" t="str">
        <f>+IFERROR(VLOOKUP(Fact_Administrativa[[#This Row], [Concepto Anterior]],Conceptos_Administrativa[#All],5,0),"")</f>
        <v/>
      </c>
      <c r="F975" t="str">
        <f>+IFERROR(VLOOKUP(Fact_Administrativa[[#This Row], 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ht="18.75" customHeight="1" x14ac:dyDescent="0.35">
      <c r="C976" s="100" t="str">
        <f>IF(OR(Fact_Administrativa[[#This Row], [Año]]="",Fact_Administrativa[[#This Row], [Mes]]=""),"",DATE(A976,MATCH(B976,{"enero","febrero","marzo","abril","mayo","junio","julio","agosto","septiembre","octubre","noviembre","diciembre"},0)+1,0))</f>
        <v/>
      </c>
      <c r="E976" t="str">
        <f>+IFERROR(VLOOKUP(Fact_Administrativa[[#This Row], [Concepto Anterior]],Conceptos_Administrativa[#All],5,0),"")</f>
        <v/>
      </c>
      <c r="F976" t="str">
        <f>+IFERROR(VLOOKUP(Fact_Administrativa[[#This Row], 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ht="18.75" customHeight="1" x14ac:dyDescent="0.35">
      <c r="C977" s="100" t="str">
        <f>IF(OR(Fact_Administrativa[[#This Row], [Año]]="",Fact_Administrativa[[#This Row], [Mes]]=""),"",DATE(A977,MATCH(B977,{"enero","febrero","marzo","abril","mayo","junio","julio","agosto","septiembre","octubre","noviembre","diciembre"},0)+1,0))</f>
        <v/>
      </c>
      <c r="E977" t="str">
        <f>+IFERROR(VLOOKUP(Fact_Administrativa[[#This Row], [Concepto Anterior]],Conceptos_Administrativa[#All],5,0),"")</f>
        <v/>
      </c>
      <c r="F977" t="str">
        <f>+IFERROR(VLOOKUP(Fact_Administrativa[[#This Row], 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ht="18.75" customHeight="1" x14ac:dyDescent="0.35">
      <c r="C978" s="100" t="str">
        <f>IF(OR(Fact_Administrativa[[#This Row], [Año]]="",Fact_Administrativa[[#This Row], [Mes]]=""),"",DATE(A978,MATCH(B978,{"enero","febrero","marzo","abril","mayo","junio","julio","agosto","septiembre","octubre","noviembre","diciembre"},0)+1,0))</f>
        <v/>
      </c>
      <c r="E978" t="str">
        <f>+IFERROR(VLOOKUP(Fact_Administrativa[[#This Row], [Concepto Anterior]],Conceptos_Administrativa[#All],5,0),"")</f>
        <v/>
      </c>
      <c r="F978" t="str">
        <f>+IFERROR(VLOOKUP(Fact_Administrativa[[#This Row], 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ht="18.75" customHeight="1" x14ac:dyDescent="0.35">
      <c r="C979" s="100" t="str">
        <f>IF(OR(Fact_Administrativa[[#This Row], [Año]]="",Fact_Administrativa[[#This Row], [Mes]]=""),"",DATE(A979,MATCH(B979,{"enero","febrero","marzo","abril","mayo","junio","julio","agosto","septiembre","octubre","noviembre","diciembre"},0)+1,0))</f>
        <v/>
      </c>
      <c r="E979" t="str">
        <f>+IFERROR(VLOOKUP(Fact_Administrativa[[#This Row], [Concepto Anterior]],Conceptos_Administrativa[#All],5,0),"")</f>
        <v/>
      </c>
      <c r="F979" t="str">
        <f>+IFERROR(VLOOKUP(Fact_Administrativa[[#This Row], 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ht="18.75" customHeight="1" x14ac:dyDescent="0.35">
      <c r="C980" s="100" t="str">
        <f>IF(OR(Fact_Administrativa[[#This Row], [Año]]="",Fact_Administrativa[[#This Row], [Mes]]=""),"",DATE(A980,MATCH(B980,{"enero","febrero","marzo","abril","mayo","junio","julio","agosto","septiembre","octubre","noviembre","diciembre"},0)+1,0))</f>
        <v/>
      </c>
      <c r="E980" t="str">
        <f>+IFERROR(VLOOKUP(Fact_Administrativa[[#This Row], [Concepto Anterior]],Conceptos_Administrativa[#All],5,0),"")</f>
        <v/>
      </c>
      <c r="F980" t="str">
        <f>+IFERROR(VLOOKUP(Fact_Administrativa[[#This Row], 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ht="18.75" customHeight="1" x14ac:dyDescent="0.35">
      <c r="C981" s="100" t="str">
        <f>IF(OR(Fact_Administrativa[[#This Row], [Año]]="",Fact_Administrativa[[#This Row], [Mes]]=""),"",DATE(A981,MATCH(B981,{"enero","febrero","marzo","abril","mayo","junio","julio","agosto","septiembre","octubre","noviembre","diciembre"},0)+1,0))</f>
        <v/>
      </c>
      <c r="E981" t="str">
        <f>+IFERROR(VLOOKUP(Fact_Administrativa[[#This Row], [Concepto Anterior]],Conceptos_Administrativa[#All],5,0),"")</f>
        <v/>
      </c>
      <c r="F981" t="str">
        <f>+IFERROR(VLOOKUP(Fact_Administrativa[[#This Row], 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ht="18.75" customHeight="1" x14ac:dyDescent="0.35">
      <c r="C982" s="100" t="str">
        <f>IF(OR(Fact_Administrativa[[#This Row], [Año]]="",Fact_Administrativa[[#This Row], [Mes]]=""),"",DATE(A982,MATCH(B982,{"enero","febrero","marzo","abril","mayo","junio","julio","agosto","septiembre","octubre","noviembre","diciembre"},0)+1,0))</f>
        <v/>
      </c>
      <c r="E982" t="str">
        <f>+IFERROR(VLOOKUP(Fact_Administrativa[[#This Row], [Concepto Anterior]],Conceptos_Administrativa[#All],5,0),"")</f>
        <v/>
      </c>
      <c r="F982" t="str">
        <f>+IFERROR(VLOOKUP(Fact_Administrativa[[#This Row], 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ht="18.75" customHeight="1" x14ac:dyDescent="0.35">
      <c r="C983" s="100" t="str">
        <f>IF(OR(Fact_Administrativa[[#This Row], [Año]]="",Fact_Administrativa[[#This Row], [Mes]]=""),"",DATE(A983,MATCH(B983,{"enero","febrero","marzo","abril","mayo","junio","julio","agosto","septiembre","octubre","noviembre","diciembre"},0)+1,0))</f>
        <v/>
      </c>
      <c r="E983" t="str">
        <f>+IFERROR(VLOOKUP(Fact_Administrativa[[#This Row], [Concepto Anterior]],Conceptos_Administrativa[#All],5,0),"")</f>
        <v/>
      </c>
      <c r="F983" t="str">
        <f>+IFERROR(VLOOKUP(Fact_Administrativa[[#This Row], 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ht="18.75" customHeight="1" x14ac:dyDescent="0.35">
      <c r="C984" s="100" t="str">
        <f>IF(OR(Fact_Administrativa[[#This Row], [Año]]="",Fact_Administrativa[[#This Row], [Mes]]=""),"",DATE(A984,MATCH(B984,{"enero","febrero","marzo","abril","mayo","junio","julio","agosto","septiembre","octubre","noviembre","diciembre"},0)+1,0))</f>
        <v/>
      </c>
      <c r="E984" t="str">
        <f>+IFERROR(VLOOKUP(Fact_Administrativa[[#This Row], [Concepto Anterior]],Conceptos_Administrativa[#All],5,0),"")</f>
        <v/>
      </c>
      <c r="F984" t="str">
        <f>+IFERROR(VLOOKUP(Fact_Administrativa[[#This Row], 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ht="18.75" customHeight="1" x14ac:dyDescent="0.35">
      <c r="C985" s="100" t="str">
        <f>IF(OR(Fact_Administrativa[[#This Row], [Año]]="",Fact_Administrativa[[#This Row], [Mes]]=""),"",DATE(A985,MATCH(B985,{"enero","febrero","marzo","abril","mayo","junio","julio","agosto","septiembre","octubre","noviembre","diciembre"},0)+1,0))</f>
        <v/>
      </c>
      <c r="E985" t="str">
        <f>+IFERROR(VLOOKUP(Fact_Administrativa[[#This Row], [Concepto Anterior]],Conceptos_Administrativa[#All],5,0),"")</f>
        <v/>
      </c>
      <c r="F985" t="str">
        <f>+IFERROR(VLOOKUP(Fact_Administrativa[[#This Row], 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ht="18.75" customHeight="1" x14ac:dyDescent="0.35">
      <c r="C986" s="100" t="str">
        <f>IF(OR(Fact_Administrativa[[#This Row], [Año]]="",Fact_Administrativa[[#This Row], [Mes]]=""),"",DATE(A986,MATCH(B986,{"enero","febrero","marzo","abril","mayo","junio","julio","agosto","septiembre","octubre","noviembre","diciembre"},0)+1,0))</f>
        <v/>
      </c>
      <c r="E986" t="str">
        <f>+IFERROR(VLOOKUP(Fact_Administrativa[[#This Row], [Concepto Anterior]],Conceptos_Administrativa[#All],5,0),"")</f>
        <v/>
      </c>
      <c r="F986" t="str">
        <f>+IFERROR(VLOOKUP(Fact_Administrativa[[#This Row], 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ht="18.75" customHeight="1" x14ac:dyDescent="0.35">
      <c r="C987" s="100" t="str">
        <f>IF(OR(Fact_Administrativa[[#This Row], [Año]]="",Fact_Administrativa[[#This Row], [Mes]]=""),"",DATE(A987,MATCH(B987,{"enero","febrero","marzo","abril","mayo","junio","julio","agosto","septiembre","octubre","noviembre","diciembre"},0)+1,0))</f>
        <v/>
      </c>
      <c r="E987" t="str">
        <f>+IFERROR(VLOOKUP(Fact_Administrativa[[#This Row], [Concepto Anterior]],Conceptos_Administrativa[#All],5,0),"")</f>
        <v/>
      </c>
      <c r="F987" t="str">
        <f>+IFERROR(VLOOKUP(Fact_Administrativa[[#This Row], 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ht="18.75" customHeight="1" x14ac:dyDescent="0.35">
      <c r="C988" s="100" t="str">
        <f>IF(OR(Fact_Administrativa[[#This Row], [Año]]="",Fact_Administrativa[[#This Row], [Mes]]=""),"",DATE(A988,MATCH(B988,{"enero","febrero","marzo","abril","mayo","junio","julio","agosto","septiembre","octubre","noviembre","diciembre"},0)+1,0))</f>
        <v/>
      </c>
      <c r="E988" t="str">
        <f>+IFERROR(VLOOKUP(Fact_Administrativa[[#This Row], [Concepto Anterior]],Conceptos_Administrativa[#All],5,0),"")</f>
        <v/>
      </c>
      <c r="F988" t="str">
        <f>+IFERROR(VLOOKUP(Fact_Administrativa[[#This Row], 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ht="18.75" customHeight="1" x14ac:dyDescent="0.35">
      <c r="C989" s="100" t="str">
        <f>IF(OR(Fact_Administrativa[[#This Row], [Año]]="",Fact_Administrativa[[#This Row], [Mes]]=""),"",DATE(A989,MATCH(B989,{"enero","febrero","marzo","abril","mayo","junio","julio","agosto","septiembre","octubre","noviembre","diciembre"},0)+1,0))</f>
        <v/>
      </c>
      <c r="E989" t="str">
        <f>+IFERROR(VLOOKUP(Fact_Administrativa[[#This Row], [Concepto Anterior]],Conceptos_Administrativa[#All],5,0),"")</f>
        <v/>
      </c>
      <c r="F989" t="str">
        <f>+IFERROR(VLOOKUP(Fact_Administrativa[[#This Row], 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ht="18.75" customHeight="1" x14ac:dyDescent="0.35">
      <c r="C990" s="100" t="str">
        <f>IF(OR(Fact_Administrativa[[#This Row], [Año]]="",Fact_Administrativa[[#This Row], [Mes]]=""),"",DATE(A990,MATCH(B990,{"enero","febrero","marzo","abril","mayo","junio","julio","agosto","septiembre","octubre","noviembre","diciembre"},0)+1,0))</f>
        <v/>
      </c>
      <c r="E990" t="str">
        <f>+IFERROR(VLOOKUP(Fact_Administrativa[[#This Row], [Concepto Anterior]],Conceptos_Administrativa[#All],5,0),"")</f>
        <v/>
      </c>
      <c r="F990" t="str">
        <f>+IFERROR(VLOOKUP(Fact_Administrativa[[#This Row], 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ht="18.75" customHeight="1" x14ac:dyDescent="0.35">
      <c r="C991" s="100" t="str">
        <f>IF(OR(Fact_Administrativa[[#This Row], [Año]]="",Fact_Administrativa[[#This Row], [Mes]]=""),"",DATE(A991,MATCH(B991,{"enero","febrero","marzo","abril","mayo","junio","julio","agosto","septiembre","octubre","noviembre","diciembre"},0)+1,0))</f>
        <v/>
      </c>
      <c r="E991" t="str">
        <f>+IFERROR(VLOOKUP(Fact_Administrativa[[#This Row], [Concepto Anterior]],Conceptos_Administrativa[#All],5,0),"")</f>
        <v/>
      </c>
      <c r="F991" t="str">
        <f>+IFERROR(VLOOKUP(Fact_Administrativa[[#This Row], 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ht="18.75" customHeight="1" x14ac:dyDescent="0.35">
      <c r="C992" s="100" t="str">
        <f>IF(OR(Fact_Administrativa[[#This Row], [Año]]="",Fact_Administrativa[[#This Row], [Mes]]=""),"",DATE(A992,MATCH(B992,{"enero","febrero","marzo","abril","mayo","junio","julio","agosto","septiembre","octubre","noviembre","diciembre"},0)+1,0))</f>
        <v/>
      </c>
      <c r="E992" t="str">
        <f>+IFERROR(VLOOKUP(Fact_Administrativa[[#This Row], [Concepto Anterior]],Conceptos_Administrativa[#All],5,0),"")</f>
        <v/>
      </c>
      <c r="F992" t="str">
        <f>+IFERROR(VLOOKUP(Fact_Administrativa[[#This Row], 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ht="18.75" customHeight="1" x14ac:dyDescent="0.35">
      <c r="C993" s="100" t="str">
        <f>IF(OR(Fact_Administrativa[[#This Row], [Año]]="",Fact_Administrativa[[#This Row], [Mes]]=""),"",DATE(A993,MATCH(B993,{"enero","febrero","marzo","abril","mayo","junio","julio","agosto","septiembre","octubre","noviembre","diciembre"},0)+1,0))</f>
        <v/>
      </c>
      <c r="E993" t="str">
        <f>+IFERROR(VLOOKUP(Fact_Administrativa[[#This Row], [Concepto Anterior]],Conceptos_Administrativa[#All],5,0),"")</f>
        <v/>
      </c>
      <c r="F993" t="str">
        <f>+IFERROR(VLOOKUP(Fact_Administrativa[[#This Row], 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ht="18.75" customHeight="1" x14ac:dyDescent="0.35">
      <c r="C994" s="100" t="str">
        <f>IF(OR(Fact_Administrativa[[#This Row], [Año]]="",Fact_Administrativa[[#This Row], [Mes]]=""),"",DATE(A994,MATCH(B994,{"enero","febrero","marzo","abril","mayo","junio","julio","agosto","septiembre","octubre","noviembre","diciembre"},0)+1,0))</f>
        <v/>
      </c>
      <c r="E994" t="str">
        <f>+IFERROR(VLOOKUP(Fact_Administrativa[[#This Row], [Concepto Anterior]],Conceptos_Administrativa[#All],5,0),"")</f>
        <v/>
      </c>
      <c r="F994" t="str">
        <f>+IFERROR(VLOOKUP(Fact_Administrativa[[#This Row], 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ht="18.75" customHeight="1" x14ac:dyDescent="0.35">
      <c r="C995" s="100" t="str">
        <f>IF(OR(Fact_Administrativa[[#This Row], [Año]]="",Fact_Administrativa[[#This Row], [Mes]]=""),"",DATE(A995,MATCH(B995,{"enero","febrero","marzo","abril","mayo","junio","julio","agosto","septiembre","octubre","noviembre","diciembre"},0)+1,0))</f>
        <v/>
      </c>
      <c r="E995" t="str">
        <f>+IFERROR(VLOOKUP(Fact_Administrativa[[#This Row], [Concepto Anterior]],Conceptos_Administrativa[#All],5,0),"")</f>
        <v/>
      </c>
      <c r="F995" t="str">
        <f>+IFERROR(VLOOKUP(Fact_Administrativa[[#This Row], 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ht="18.75" customHeight="1" x14ac:dyDescent="0.35">
      <c r="C996" s="100" t="str">
        <f>IF(OR(Fact_Administrativa[[#This Row], [Año]]="",Fact_Administrativa[[#This Row], [Mes]]=""),"",DATE(A996,MATCH(B996,{"enero","febrero","marzo","abril","mayo","junio","julio","agosto","septiembre","octubre","noviembre","diciembre"},0)+1,0))</f>
        <v/>
      </c>
      <c r="E996" t="str">
        <f>+IFERROR(VLOOKUP(Fact_Administrativa[[#This Row], [Concepto Anterior]],Conceptos_Administrativa[#All],5,0),"")</f>
        <v/>
      </c>
      <c r="F996" t="str">
        <f>+IFERROR(VLOOKUP(Fact_Administrativa[[#This Row], 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ht="18.75" customHeight="1" x14ac:dyDescent="0.35">
      <c r="C997" s="100" t="str">
        <f>IF(OR(Fact_Administrativa[[#This Row], [Año]]="",Fact_Administrativa[[#This Row], [Mes]]=""),"",DATE(A997,MATCH(B997,{"enero","febrero","marzo","abril","mayo","junio","julio","agosto","septiembre","octubre","noviembre","diciembre"},0)+1,0))</f>
        <v/>
      </c>
      <c r="E997" t="str">
        <f>+IFERROR(VLOOKUP(Fact_Administrativa[[#This Row], [Concepto Anterior]],Conceptos_Administrativa[#All],5,0),"")</f>
        <v/>
      </c>
      <c r="F997" t="str">
        <f>+IFERROR(VLOOKUP(Fact_Administrativa[[#This Row], 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ht="18.75" customHeight="1" x14ac:dyDescent="0.35">
      <c r="C998" s="100" t="str">
        <f>IF(OR(Fact_Administrativa[[#This Row], [Año]]="",Fact_Administrativa[[#This Row], [Mes]]=""),"",DATE(A998,MATCH(B998,{"enero","febrero","marzo","abril","mayo","junio","julio","agosto","septiembre","octubre","noviembre","diciembre"},0)+1,0))</f>
        <v/>
      </c>
      <c r="E998" t="str">
        <f>+IFERROR(VLOOKUP(Fact_Administrativa[[#This Row], [Concepto Anterior]],Conceptos_Administrativa[#All],5,0),"")</f>
        <v/>
      </c>
      <c r="F998" t="str">
        <f>+IFERROR(VLOOKUP(Fact_Administrativa[[#This Row], 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ht="18.75" customHeight="1" x14ac:dyDescent="0.35">
      <c r="C999" s="100" t="str">
        <f>IF(OR(Fact_Administrativa[[#This Row], [Año]]="",Fact_Administrativa[[#This Row], [Mes]]=""),"",DATE(A999,MATCH(B999,{"enero","febrero","marzo","abril","mayo","junio","julio","agosto","septiembre","octubre","noviembre","diciembre"},0)+1,0))</f>
        <v/>
      </c>
      <c r="E999" t="str">
        <f>+IFERROR(VLOOKUP(Fact_Administrativa[[#This Row], [Concepto Anterior]],Conceptos_Administrativa[#All],5,0),"")</f>
        <v/>
      </c>
      <c r="F999" t="str">
        <f>+IFERROR(VLOOKUP(Fact_Administrativa[[#This Row], 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ht="18.75" customHeight="1" x14ac:dyDescent="0.35">
      <c r="C1000" s="100" t="str">
        <f>IF(OR(Fact_Administrativa[[#This Row], [Año]]="",Fact_Administrativa[[#This Row], [Mes]]=""),"",DATE(A1000,MATCH(B1000,{"enero","febrero","marzo","abril","mayo","junio","julio","agosto","septiembre","octubre","noviembre","diciembre"},0)+1,0))</f>
        <v/>
      </c>
      <c r="E1000" t="str">
        <f>+IFERROR(VLOOKUP(Fact_Administrativa[[#This Row], [Concepto Anterior]],Conceptos_Administrativa[#All],5,0),"")</f>
        <v/>
      </c>
      <c r="F1000" t="str">
        <f>+IFERROR(VLOOKUP(Fact_Administrativa[[#This Row], 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ht="18.75" customHeight="1" x14ac:dyDescent="0.35">
      <c r="C1001" s="100" t="str">
        <f>IF(OR(Fact_Administrativa[[#This Row], [Año]]="",Fact_Administrativa[[#This Row], [Mes]]=""),"",DATE(A1001,MATCH(B1001,{"enero","febrero","marzo","abril","mayo","junio","julio","agosto","septiembre","octubre","noviembre","diciembre"},0)+1,0))</f>
        <v/>
      </c>
      <c r="E1001" t="str">
        <f>+IFERROR(VLOOKUP(Fact_Administrativa[[#This Row], [Concepto Anterior]],Conceptos_Administrativa[#All],5,0),"")</f>
        <v/>
      </c>
      <c r="F1001" t="str">
        <f>+IFERROR(VLOOKUP(Fact_Administrativa[[#This Row], 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ht="18.75" customHeight="1" x14ac:dyDescent="0.35">
      <c r="C1002" s="100" t="str">
        <f>IF(OR(Fact_Administrativa[[#This Row], [Año]]="",Fact_Administrativa[[#This Row], [Mes]]=""),"",DATE(A1002,MATCH(B1002,{"enero","febrero","marzo","abril","mayo","junio","julio","agosto","septiembre","octubre","noviembre","diciembre"},0)+1,0))</f>
        <v/>
      </c>
      <c r="E1002" t="str">
        <f>+IFERROR(VLOOKUP(Fact_Administrativa[[#This Row], [Concepto Anterior]],Conceptos_Administrativa[#All],5,0),"")</f>
        <v/>
      </c>
      <c r="F1002" t="str">
        <f>+IFERROR(VLOOKUP(Fact_Administrativa[[#This Row], 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ht="18.75" customHeight="1" x14ac:dyDescent="0.35">
      <c r="C1003" s="100" t="str">
        <f>IF(OR(Fact_Administrativa[[#This Row], [Año]]="",Fact_Administrativa[[#This Row], [Mes]]=""),"",DATE(A1003,MATCH(B1003,{"enero","febrero","marzo","abril","mayo","junio","julio","agosto","septiembre","octubre","noviembre","diciembre"},0)+1,0))</f>
        <v/>
      </c>
      <c r="E1003" t="str">
        <f>+IFERROR(VLOOKUP(Fact_Administrativa[[#This Row], [Concepto Anterior]],Conceptos_Administrativa[#All],5,0),"")</f>
        <v/>
      </c>
      <c r="F1003" t="str">
        <f>+IFERROR(VLOOKUP(Fact_Administrativa[[#This Row], 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ht="18.75" customHeight="1" x14ac:dyDescent="0.35">
      <c r="C1004" s="100" t="str">
        <f>IF(OR(Fact_Administrativa[[#This Row], [Año]]="",Fact_Administrativa[[#This Row], [Mes]]=""),"",DATE(A1004,MATCH(B1004,{"enero","febrero","marzo","abril","mayo","junio","julio","agosto","septiembre","octubre","noviembre","diciembre"},0)+1,0))</f>
        <v/>
      </c>
      <c r="E1004" t="str">
        <f>+IFERROR(VLOOKUP(Fact_Administrativa[[#This Row], [Concepto Anterior]],Conceptos_Administrativa[#All],5,0),"")</f>
        <v/>
      </c>
      <c r="F1004" t="str">
        <f>+IFERROR(VLOOKUP(Fact_Administrativa[[#This Row], 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ht="18.75" customHeight="1" x14ac:dyDescent="0.35">
      <c r="C1005" s="100" t="str">
        <f>IF(OR(Fact_Administrativa[[#This Row], [Año]]="",Fact_Administrativa[[#This Row], [Mes]]=""),"",DATE(A1005,MATCH(B1005,{"enero","febrero","marzo","abril","mayo","junio","julio","agosto","septiembre","octubre","noviembre","diciembre"},0)+1,0))</f>
        <v/>
      </c>
      <c r="E1005" t="str">
        <f>+IFERROR(VLOOKUP(Fact_Administrativa[[#This Row], [Concepto Anterior]],Conceptos_Administrativa[#All],5,0),"")</f>
        <v/>
      </c>
      <c r="F1005" t="str">
        <f>+IFERROR(VLOOKUP(Fact_Administrativa[[#This Row], 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ht="18.75" customHeight="1" x14ac:dyDescent="0.35">
      <c r="C1006" s="100" t="str">
        <f>IF(OR(Fact_Administrativa[[#This Row], [Año]]="",Fact_Administrativa[[#This Row], [Mes]]=""),"",DATE(A1006,MATCH(B1006,{"enero","febrero","marzo","abril","mayo","junio","julio","agosto","septiembre","octubre","noviembre","diciembre"},0)+1,0))</f>
        <v/>
      </c>
      <c r="E1006" t="str">
        <f>+IFERROR(VLOOKUP(Fact_Administrativa[[#This Row], [Concepto Anterior]],Conceptos_Administrativa[#All],5,0),"")</f>
        <v/>
      </c>
      <c r="F1006" t="str">
        <f>+IFERROR(VLOOKUP(Fact_Administrativa[[#This Row], 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ht="18.75" customHeight="1" x14ac:dyDescent="0.35">
      <c r="C1007" s="100" t="str">
        <f>IF(OR(Fact_Administrativa[[#This Row], [Año]]="",Fact_Administrativa[[#This Row], [Mes]]=""),"",DATE(A1007,MATCH(B1007,{"enero","febrero","marzo","abril","mayo","junio","julio","agosto","septiembre","octubre","noviembre","diciembre"},0)+1,0))</f>
        <v/>
      </c>
      <c r="E1007" t="str">
        <f>+IFERROR(VLOOKUP(Fact_Administrativa[[#This Row], [Concepto Anterior]],Conceptos_Administrativa[#All],5,0),"")</f>
        <v/>
      </c>
      <c r="F1007" t="str">
        <f>+IFERROR(VLOOKUP(Fact_Administrativa[[#This Row], 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ht="18.75" customHeight="1" x14ac:dyDescent="0.35">
      <c r="C1008" s="100" t="str">
        <f>IF(OR(Fact_Administrativa[[#This Row], [Año]]="",Fact_Administrativa[[#This Row], [Mes]]=""),"",DATE(A1008,MATCH(B1008,{"enero","febrero","marzo","abril","mayo","junio","julio","agosto","septiembre","octubre","noviembre","diciembre"},0)+1,0))</f>
        <v/>
      </c>
      <c r="E1008" t="str">
        <f>+IFERROR(VLOOKUP(Fact_Administrativa[[#This Row], [Concepto Anterior]],Conceptos_Administrativa[#All],5,0),"")</f>
        <v/>
      </c>
      <c r="F1008" t="str">
        <f>+IFERROR(VLOOKUP(Fact_Administrativa[[#This Row], 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ht="18.75" customHeight="1" x14ac:dyDescent="0.35">
      <c r="C1009" s="100" t="str">
        <f>IF(OR(Fact_Administrativa[[#This Row], [Año]]="",Fact_Administrativa[[#This Row], [Mes]]=""),"",DATE(A1009,MATCH(B1009,{"enero","febrero","marzo","abril","mayo","junio","julio","agosto","septiembre","octubre","noviembre","diciembre"},0)+1,0))</f>
        <v/>
      </c>
      <c r="E1009" t="str">
        <f>+IFERROR(VLOOKUP(Fact_Administrativa[[#This Row], [Concepto Anterior]],Conceptos_Administrativa[#All],5,0),"")</f>
        <v/>
      </c>
      <c r="F1009" t="str">
        <f>+IFERROR(VLOOKUP(Fact_Administrativa[[#This Row], 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ht="18.75" customHeight="1" x14ac:dyDescent="0.35">
      <c r="C1010" s="100" t="str">
        <f>IF(OR(Fact_Administrativa[[#This Row], [Año]]="",Fact_Administrativa[[#This Row], [Mes]]=""),"",DATE(A1010,MATCH(B1010,{"enero","febrero","marzo","abril","mayo","junio","julio","agosto","septiembre","octubre","noviembre","diciembre"},0)+1,0))</f>
        <v/>
      </c>
      <c r="E1010" t="str">
        <f>+IFERROR(VLOOKUP(Fact_Administrativa[[#This Row], [Concepto Anterior]],Conceptos_Administrativa[#All],5,0),"")</f>
        <v/>
      </c>
      <c r="F1010" t="str">
        <f>+IFERROR(VLOOKUP(Fact_Administrativa[[#This Row], 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ht="18.75" customHeight="1" x14ac:dyDescent="0.35">
      <c r="C1011" s="100" t="str">
        <f>IF(OR(Fact_Administrativa[[#This Row], [Año]]="",Fact_Administrativa[[#This Row], [Mes]]=""),"",DATE(A1011,MATCH(B1011,{"enero","febrero","marzo","abril","mayo","junio","julio","agosto","septiembre","octubre","noviembre","diciembre"},0)+1,0))</f>
        <v/>
      </c>
      <c r="E1011" t="str">
        <f>+IFERROR(VLOOKUP(Fact_Administrativa[[#This Row], [Concepto Anterior]],Conceptos_Administrativa[#All],5,0),"")</f>
        <v/>
      </c>
      <c r="F1011" t="str">
        <f>+IFERROR(VLOOKUP(Fact_Administrativa[[#This Row], 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ht="18.75" customHeight="1" x14ac:dyDescent="0.35">
      <c r="C1012" s="100" t="str">
        <f>IF(OR(Fact_Administrativa[[#This Row], [Año]]="",Fact_Administrativa[[#This Row], [Mes]]=""),"",DATE(A1012,MATCH(B1012,{"enero","febrero","marzo","abril","mayo","junio","julio","agosto","septiembre","octubre","noviembre","diciembre"},0)+1,0))</f>
        <v/>
      </c>
      <c r="E1012" t="str">
        <f>+IFERROR(VLOOKUP(Fact_Administrativa[[#This Row], [Concepto Anterior]],Conceptos_Administrativa[#All],5,0),"")</f>
        <v/>
      </c>
      <c r="F1012" t="str">
        <f>+IFERROR(VLOOKUP(Fact_Administrativa[[#This Row], 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ht="18.75" customHeight="1" x14ac:dyDescent="0.35">
      <c r="C1013" s="100" t="str">
        <f>IF(OR(Fact_Administrativa[[#This Row], [Año]]="",Fact_Administrativa[[#This Row], [Mes]]=""),"",DATE(A1013,MATCH(B1013,{"enero","febrero","marzo","abril","mayo","junio","julio","agosto","septiembre","octubre","noviembre","diciembre"},0)+1,0))</f>
        <v/>
      </c>
      <c r="E1013" t="str">
        <f>+IFERROR(VLOOKUP(Fact_Administrativa[[#This Row], [Concepto Anterior]],Conceptos_Administrativa[#All],5,0),"")</f>
        <v/>
      </c>
      <c r="F1013" t="str">
        <f>+IFERROR(VLOOKUP(Fact_Administrativa[[#This Row], 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ht="18.75" customHeight="1" x14ac:dyDescent="0.35">
      <c r="C1014" s="100" t="str">
        <f>IF(OR(Fact_Administrativa[[#This Row], [Año]]="",Fact_Administrativa[[#This Row], [Mes]]=""),"",DATE(A1014,MATCH(B1014,{"enero","febrero","marzo","abril","mayo","junio","julio","agosto","septiembre","octubre","noviembre","diciembre"},0)+1,0))</f>
        <v/>
      </c>
      <c r="E1014" t="str">
        <f>+IFERROR(VLOOKUP(Fact_Administrativa[[#This Row], [Concepto Anterior]],Conceptos_Administrativa[#All],5,0),"")</f>
        <v/>
      </c>
      <c r="F1014" t="str">
        <f>+IFERROR(VLOOKUP(Fact_Administrativa[[#This Row], 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ht="18.75" customHeight="1" x14ac:dyDescent="0.35">
      <c r="C1015" s="100" t="str">
        <f>IF(OR(Fact_Administrativa[[#This Row], [Año]]="",Fact_Administrativa[[#This Row], [Mes]]=""),"",DATE(A1015,MATCH(B1015,{"enero","febrero","marzo","abril","mayo","junio","julio","agosto","septiembre","octubre","noviembre","diciembre"},0)+1,0))</f>
        <v/>
      </c>
      <c r="E1015" t="str">
        <f>+IFERROR(VLOOKUP(Fact_Administrativa[[#This Row], [Concepto Anterior]],Conceptos_Administrativa[#All],5,0),"")</f>
        <v/>
      </c>
      <c r="F1015" t="str">
        <f>+IFERROR(VLOOKUP(Fact_Administrativa[[#This Row], 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ht="18.75" customHeight="1" x14ac:dyDescent="0.35">
      <c r="C1016" s="100" t="str">
        <f>IF(OR(Fact_Administrativa[[#This Row], [Año]]="",Fact_Administrativa[[#This Row], [Mes]]=""),"",DATE(A1016,MATCH(B1016,{"enero","febrero","marzo","abril","mayo","junio","julio","agosto","septiembre","octubre","noviembre","diciembre"},0)+1,0))</f>
        <v/>
      </c>
      <c r="E1016" t="str">
        <f>+IFERROR(VLOOKUP(Fact_Administrativa[[#This Row], [Concepto Anterior]],Conceptos_Administrativa[#All],5,0),"")</f>
        <v/>
      </c>
      <c r="F1016" t="str">
        <f>+IFERROR(VLOOKUP(Fact_Administrativa[[#This Row], 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ht="18.75" customHeight="1" x14ac:dyDescent="0.35">
      <c r="C1017" s="100" t="str">
        <f>IF(OR(Fact_Administrativa[[#This Row], [Año]]="",Fact_Administrativa[[#This Row], [Mes]]=""),"",DATE(A1017,MATCH(B1017,{"enero","febrero","marzo","abril","mayo","junio","julio","agosto","septiembre","octubre","noviembre","diciembre"},0)+1,0))</f>
        <v/>
      </c>
      <c r="E1017" t="str">
        <f>+IFERROR(VLOOKUP(Fact_Administrativa[[#This Row], [Concepto Anterior]],Conceptos_Administrativa[#All],5,0),"")</f>
        <v/>
      </c>
      <c r="F1017" t="str">
        <f>+IFERROR(VLOOKUP(Fact_Administrativa[[#This Row], 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ht="18.75" customHeight="1" x14ac:dyDescent="0.35">
      <c r="C1018" s="100" t="str">
        <f>IF(OR(Fact_Administrativa[[#This Row], [Año]]="",Fact_Administrativa[[#This Row], [Mes]]=""),"",DATE(A1018,MATCH(B1018,{"enero","febrero","marzo","abril","mayo","junio","julio","agosto","septiembre","octubre","noviembre","diciembre"},0)+1,0))</f>
        <v/>
      </c>
      <c r="E1018" t="str">
        <f>+IFERROR(VLOOKUP(Fact_Administrativa[[#This Row], [Concepto Anterior]],Conceptos_Administrativa[#All],5,0),"")</f>
        <v/>
      </c>
      <c r="F1018" t="str">
        <f>+IFERROR(VLOOKUP(Fact_Administrativa[[#This Row], 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ht="18.75" customHeight="1" x14ac:dyDescent="0.35">
      <c r="C1019" s="100" t="str">
        <f>IF(OR(Fact_Administrativa[[#This Row], [Año]]="",Fact_Administrativa[[#This Row], [Mes]]=""),"",DATE(A1019,MATCH(B1019,{"enero","febrero","marzo","abril","mayo","junio","julio","agosto","septiembre","octubre","noviembre","diciembre"},0)+1,0))</f>
        <v/>
      </c>
      <c r="E1019" t="str">
        <f>+IFERROR(VLOOKUP(Fact_Administrativa[[#This Row], [Concepto Anterior]],Conceptos_Administrativa[#All],5,0),"")</f>
        <v/>
      </c>
      <c r="F1019" t="str">
        <f>+IFERROR(VLOOKUP(Fact_Administrativa[[#This Row], 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ht="18.75" customHeight="1" x14ac:dyDescent="0.35">
      <c r="C1020" s="100" t="str">
        <f>IF(OR(Fact_Administrativa[[#This Row], [Año]]="",Fact_Administrativa[[#This Row], [Mes]]=""),"",DATE(A1020,MATCH(B1020,{"enero","febrero","marzo","abril","mayo","junio","julio","agosto","septiembre","octubre","noviembre","diciembre"},0)+1,0))</f>
        <v/>
      </c>
      <c r="E1020" t="str">
        <f>+IFERROR(VLOOKUP(Fact_Administrativa[[#This Row], [Concepto Anterior]],Conceptos_Administrativa[#All],5,0),"")</f>
        <v/>
      </c>
      <c r="F1020" t="str">
        <f>+IFERROR(VLOOKUP(Fact_Administrativa[[#This Row], 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ht="18.75" customHeight="1" x14ac:dyDescent="0.35">
      <c r="C1021" s="100" t="str">
        <f>IF(OR(Fact_Administrativa[[#This Row], [Año]]="",Fact_Administrativa[[#This Row], [Mes]]=""),"",DATE(A1021,MATCH(B1021,{"enero","febrero","marzo","abril","mayo","junio","julio","agosto","septiembre","octubre","noviembre","diciembre"},0)+1,0))</f>
        <v/>
      </c>
      <c r="E1021" t="str">
        <f>+IFERROR(VLOOKUP(Fact_Administrativa[[#This Row], [Concepto Anterior]],Conceptos_Administrativa[#All],5,0),"")</f>
        <v/>
      </c>
      <c r="F1021" t="str">
        <f>+IFERROR(VLOOKUP(Fact_Administrativa[[#This Row], 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ht="18.75" customHeight="1" x14ac:dyDescent="0.35">
      <c r="C1022" s="100" t="str">
        <f>IF(OR(Fact_Administrativa[[#This Row], [Año]]="",Fact_Administrativa[[#This Row], [Mes]]=""),"",DATE(A1022,MATCH(B1022,{"enero","febrero","marzo","abril","mayo","junio","julio","agosto","septiembre","octubre","noviembre","diciembre"},0)+1,0))</f>
        <v/>
      </c>
      <c r="E1022" t="str">
        <f>+IFERROR(VLOOKUP(Fact_Administrativa[[#This Row], [Concepto Anterior]],Conceptos_Administrativa[#All],5,0),"")</f>
        <v/>
      </c>
      <c r="F1022" t="str">
        <f>+IFERROR(VLOOKUP(Fact_Administrativa[[#This Row], 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ht="18.75" customHeight="1" x14ac:dyDescent="0.35">
      <c r="C1023" s="100" t="str">
        <f>IF(OR(Fact_Administrativa[[#This Row], [Año]]="",Fact_Administrativa[[#This Row], [Mes]]=""),"",DATE(A1023,MATCH(B1023,{"enero","febrero","marzo","abril","mayo","junio","julio","agosto","septiembre","octubre","noviembre","diciembre"},0)+1,0))</f>
        <v/>
      </c>
      <c r="E1023" t="str">
        <f>+IFERROR(VLOOKUP(Fact_Administrativa[[#This Row], [Concepto Anterior]],Conceptos_Administrativa[#All],5,0),"")</f>
        <v/>
      </c>
      <c r="F1023" t="str">
        <f>+IFERROR(VLOOKUP(Fact_Administrativa[[#This Row], 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ht="18.75" customHeight="1" x14ac:dyDescent="0.35">
      <c r="C1024" s="100" t="str">
        <f>IF(OR(Fact_Administrativa[[#This Row], [Año]]="",Fact_Administrativa[[#This Row], [Mes]]=""),"",DATE(A1024,MATCH(B1024,{"enero","febrero","marzo","abril","mayo","junio","julio","agosto","septiembre","octubre","noviembre","diciembre"},0)+1,0))</f>
        <v/>
      </c>
      <c r="E1024" t="str">
        <f>+IFERROR(VLOOKUP(Fact_Administrativa[[#This Row], [Concepto Anterior]],Conceptos_Administrativa[#All],5,0),"")</f>
        <v/>
      </c>
      <c r="F1024" t="str">
        <f>+IFERROR(VLOOKUP(Fact_Administrativa[[#This Row], 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ht="18.75" customHeight="1" x14ac:dyDescent="0.35">
      <c r="C1025" s="100" t="str">
        <f>IF(OR(Fact_Administrativa[[#This Row], [Año]]="",Fact_Administrativa[[#This Row], [Mes]]=""),"",DATE(A1025,MATCH(B1025,{"enero","febrero","marzo","abril","mayo","junio","julio","agosto","septiembre","octubre","noviembre","diciembre"},0)+1,0))</f>
        <v/>
      </c>
      <c r="E1025" t="str">
        <f>+IFERROR(VLOOKUP(Fact_Administrativa[[#This Row], [Concepto Anterior]],Conceptos_Administrativa[#All],5,0),"")</f>
        <v/>
      </c>
      <c r="F1025" t="str">
        <f>+IFERROR(VLOOKUP(Fact_Administrativa[[#This Row], 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ht="18.75" customHeight="1" x14ac:dyDescent="0.35">
      <c r="C1026" s="100" t="str">
        <f>IF(OR(Fact_Administrativa[[#This Row], [Año]]="",Fact_Administrativa[[#This Row], [Mes]]=""),"",DATE(A1026,MATCH(B1026,{"enero","febrero","marzo","abril","mayo","junio","julio","agosto","septiembre","octubre","noviembre","diciembre"},0)+1,0))</f>
        <v/>
      </c>
      <c r="E1026" t="str">
        <f>+IFERROR(VLOOKUP(Fact_Administrativa[[#This Row], [Concepto Anterior]],Conceptos_Administrativa[#All],5,0),"")</f>
        <v/>
      </c>
      <c r="F1026" t="str">
        <f>+IFERROR(VLOOKUP(Fact_Administrativa[[#This Row], 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ht="18.75" customHeight="1" x14ac:dyDescent="0.35">
      <c r="C1027" s="100" t="str">
        <f>IF(OR(Fact_Administrativa[[#This Row], [Año]]="",Fact_Administrativa[[#This Row], [Mes]]=""),"",DATE(A1027,MATCH(B1027,{"enero","febrero","marzo","abril","mayo","junio","julio","agosto","septiembre","octubre","noviembre","diciembre"},0)+1,0))</f>
        <v/>
      </c>
      <c r="E1027" t="str">
        <f>+IFERROR(VLOOKUP(Fact_Administrativa[[#This Row], [Concepto Anterior]],Conceptos_Administrativa[#All],5,0),"")</f>
        <v/>
      </c>
      <c r="F1027" t="str">
        <f>+IFERROR(VLOOKUP(Fact_Administrativa[[#This Row], 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ht="18.75" customHeight="1" x14ac:dyDescent="0.35">
      <c r="C1028" s="100" t="str">
        <f>IF(OR(Fact_Administrativa[[#This Row], [Año]]="",Fact_Administrativa[[#This Row], [Mes]]=""),"",DATE(A1028,MATCH(B1028,{"enero","febrero","marzo","abril","mayo","junio","julio","agosto","septiembre","octubre","noviembre","diciembre"},0)+1,0))</f>
        <v/>
      </c>
      <c r="E1028" t="str">
        <f>+IFERROR(VLOOKUP(Fact_Administrativa[[#This Row], [Concepto Anterior]],Conceptos_Administrativa[#All],5,0),"")</f>
        <v/>
      </c>
      <c r="F1028" t="str">
        <f>+IFERROR(VLOOKUP(Fact_Administrativa[[#This Row], 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ht="18.75" customHeight="1" x14ac:dyDescent="0.35">
      <c r="C1029" s="100" t="str">
        <f>IF(OR(Fact_Administrativa[[#This Row], [Año]]="",Fact_Administrativa[[#This Row], [Mes]]=""),"",DATE(A1029,MATCH(B1029,{"enero","febrero","marzo","abril","mayo","junio","julio","agosto","septiembre","octubre","noviembre","diciembre"},0)+1,0))</f>
        <v/>
      </c>
      <c r="E1029" t="str">
        <f>+IFERROR(VLOOKUP(Fact_Administrativa[[#This Row], [Concepto Anterior]],Conceptos_Administrativa[#All],5,0),"")</f>
        <v/>
      </c>
      <c r="F1029" t="str">
        <f>+IFERROR(VLOOKUP(Fact_Administrativa[[#This Row], 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ht="18.75" customHeight="1" x14ac:dyDescent="0.35">
      <c r="C1030" s="100" t="str">
        <f>IF(OR(Fact_Administrativa[[#This Row], [Año]]="",Fact_Administrativa[[#This Row], [Mes]]=""),"",DATE(A1030,MATCH(B1030,{"enero","febrero","marzo","abril","mayo","junio","julio","agosto","septiembre","octubre","noviembre","diciembre"},0)+1,0))</f>
        <v/>
      </c>
      <c r="E1030" t="str">
        <f>+IFERROR(VLOOKUP(Fact_Administrativa[[#This Row], [Concepto Anterior]],Conceptos_Administrativa[#All],5,0),"")</f>
        <v/>
      </c>
      <c r="F1030" t="str">
        <f>+IFERROR(VLOOKUP(Fact_Administrativa[[#This Row], 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ht="18.75" customHeight="1" x14ac:dyDescent="0.35">
      <c r="C1031" s="100" t="str">
        <f>IF(OR(Fact_Administrativa[[#This Row], [Año]]="",Fact_Administrativa[[#This Row], [Mes]]=""),"",DATE(A1031,MATCH(B1031,{"enero","febrero","marzo","abril","mayo","junio","julio","agosto","septiembre","octubre","noviembre","diciembre"},0)+1,0))</f>
        <v/>
      </c>
      <c r="E1031" t="str">
        <f>+IFERROR(VLOOKUP(Fact_Administrativa[[#This Row], [Concepto Anterior]],Conceptos_Administrativa[#All],5,0),"")</f>
        <v/>
      </c>
      <c r="F1031" t="str">
        <f>+IFERROR(VLOOKUP(Fact_Administrativa[[#This Row], 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ht="18.75" customHeight="1" x14ac:dyDescent="0.35">
      <c r="C1032" s="100" t="str">
        <f>IF(OR(Fact_Administrativa[[#This Row], [Año]]="",Fact_Administrativa[[#This Row], [Mes]]=""),"",DATE(A1032,MATCH(B1032,{"enero","febrero","marzo","abril","mayo","junio","julio","agosto","septiembre","octubre","noviembre","diciembre"},0)+1,0))</f>
        <v/>
      </c>
      <c r="E1032" t="str">
        <f>+IFERROR(VLOOKUP(Fact_Administrativa[[#This Row], [Concepto Anterior]],Conceptos_Administrativa[#All],5,0),"")</f>
        <v/>
      </c>
      <c r="F1032" t="str">
        <f>+IFERROR(VLOOKUP(Fact_Administrativa[[#This Row], 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ht="18.75" customHeight="1" x14ac:dyDescent="0.35">
      <c r="C1033" s="100" t="str">
        <f>IF(OR(Fact_Administrativa[[#This Row], [Año]]="",Fact_Administrativa[[#This Row], [Mes]]=""),"",DATE(A1033,MATCH(B1033,{"enero","febrero","marzo","abril","mayo","junio","julio","agosto","septiembre","octubre","noviembre","diciembre"},0)+1,0))</f>
        <v/>
      </c>
      <c r="E1033" t="str">
        <f>+IFERROR(VLOOKUP(Fact_Administrativa[[#This Row], [Concepto Anterior]],Conceptos_Administrativa[#All],5,0),"")</f>
        <v/>
      </c>
      <c r="F1033" t="str">
        <f>+IFERROR(VLOOKUP(Fact_Administrativa[[#This Row], 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ht="18.75" customHeight="1" x14ac:dyDescent="0.35">
      <c r="C1034" s="100" t="str">
        <f>IF(OR(Fact_Administrativa[[#This Row], [Año]]="",Fact_Administrativa[[#This Row], [Mes]]=""),"",DATE(A1034,MATCH(B1034,{"enero","febrero","marzo","abril","mayo","junio","julio","agosto","septiembre","octubre","noviembre","diciembre"},0)+1,0))</f>
        <v/>
      </c>
      <c r="E1034" t="str">
        <f>+IFERROR(VLOOKUP(Fact_Administrativa[[#This Row], [Concepto Anterior]],Conceptos_Administrativa[#All],5,0),"")</f>
        <v/>
      </c>
      <c r="F1034" t="str">
        <f>+IFERROR(VLOOKUP(Fact_Administrativa[[#This Row], 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ht="18.75" customHeight="1" x14ac:dyDescent="0.35">
      <c r="C1035" s="100" t="str">
        <f>IF(OR(Fact_Administrativa[[#This Row], [Año]]="",Fact_Administrativa[[#This Row], [Mes]]=""),"",DATE(A1035,MATCH(B1035,{"enero","febrero","marzo","abril","mayo","junio","julio","agosto","septiembre","octubre","noviembre","diciembre"},0)+1,0))</f>
        <v/>
      </c>
      <c r="E1035" t="str">
        <f>+IFERROR(VLOOKUP(Fact_Administrativa[[#This Row], [Concepto Anterior]],Conceptos_Administrativa[#All],5,0),"")</f>
        <v/>
      </c>
      <c r="F1035" t="str">
        <f>+IFERROR(VLOOKUP(Fact_Administrativa[[#This Row], 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ht="18.75" customHeight="1" x14ac:dyDescent="0.35">
      <c r="C1036" s="100" t="str">
        <f>IF(OR(Fact_Administrativa[[#This Row], [Año]]="",Fact_Administrativa[[#This Row], [Mes]]=""),"",DATE(A1036,MATCH(B1036,{"enero","febrero","marzo","abril","mayo","junio","julio","agosto","septiembre","octubre","noviembre","diciembre"},0)+1,0))</f>
        <v/>
      </c>
      <c r="E1036" t="str">
        <f>+IFERROR(VLOOKUP(Fact_Administrativa[[#This Row], [Concepto Anterior]],Conceptos_Administrativa[#All],5,0),"")</f>
        <v/>
      </c>
      <c r="F1036" t="str">
        <f>+IFERROR(VLOOKUP(Fact_Administrativa[[#This Row], 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ht="18.75" customHeight="1" x14ac:dyDescent="0.35">
      <c r="C1037" s="100" t="str">
        <f>IF(OR(Fact_Administrativa[[#This Row], [Año]]="",Fact_Administrativa[[#This Row], [Mes]]=""),"",DATE(A1037,MATCH(B1037,{"enero","febrero","marzo","abril","mayo","junio","julio","agosto","septiembre","octubre","noviembre","diciembre"},0)+1,0))</f>
        <v/>
      </c>
      <c r="E1037" t="str">
        <f>+IFERROR(VLOOKUP(Fact_Administrativa[[#This Row], [Concepto Anterior]],Conceptos_Administrativa[#All],5,0),"")</f>
        <v/>
      </c>
      <c r="F1037" t="str">
        <f>+IFERROR(VLOOKUP(Fact_Administrativa[[#This Row], 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ht="18.75" customHeight="1" x14ac:dyDescent="0.35">
      <c r="C1038" s="100" t="str">
        <f>IF(OR(Fact_Administrativa[[#This Row], [Año]]="",Fact_Administrativa[[#This Row], [Mes]]=""),"",DATE(A1038,MATCH(B1038,{"enero","febrero","marzo","abril","mayo","junio","julio","agosto","septiembre","octubre","noviembre","diciembre"},0)+1,0))</f>
        <v/>
      </c>
      <c r="E1038" t="str">
        <f>+IFERROR(VLOOKUP(Fact_Administrativa[[#This Row], [Concepto Anterior]],Conceptos_Administrativa[#All],5,0),"")</f>
        <v/>
      </c>
      <c r="F1038" t="str">
        <f>+IFERROR(VLOOKUP(Fact_Administrativa[[#This Row], 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ht="18.75" customHeight="1" x14ac:dyDescent="0.35">
      <c r="C1039" s="100" t="str">
        <f>IF(OR(Fact_Administrativa[[#This Row], [Año]]="",Fact_Administrativa[[#This Row], [Mes]]=""),"",DATE(A1039,MATCH(B1039,{"enero","febrero","marzo","abril","mayo","junio","julio","agosto","septiembre","octubre","noviembre","diciembre"},0)+1,0))</f>
        <v/>
      </c>
      <c r="E1039" t="str">
        <f>+IFERROR(VLOOKUP(Fact_Administrativa[[#This Row], [Concepto Anterior]],Conceptos_Administrativa[#All],5,0),"")</f>
        <v/>
      </c>
      <c r="F1039" t="str">
        <f>+IFERROR(VLOOKUP(Fact_Administrativa[[#This Row], 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ht="18.75" customHeight="1" x14ac:dyDescent="0.35">
      <c r="C1040" s="100" t="str">
        <f>IF(OR(Fact_Administrativa[[#This Row], [Año]]="",Fact_Administrativa[[#This Row], [Mes]]=""),"",DATE(A1040,MATCH(B1040,{"enero","febrero","marzo","abril","mayo","junio","julio","agosto","septiembre","octubre","noviembre","diciembre"},0)+1,0))</f>
        <v/>
      </c>
      <c r="E1040" t="str">
        <f>+IFERROR(VLOOKUP(Fact_Administrativa[[#This Row], [Concepto Anterior]],Conceptos_Administrativa[#All],5,0),"")</f>
        <v/>
      </c>
      <c r="F1040" t="str">
        <f>+IFERROR(VLOOKUP(Fact_Administrativa[[#This Row], 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ht="18.75" customHeight="1" x14ac:dyDescent="0.35">
      <c r="C1041" s="100" t="str">
        <f>IF(OR(Fact_Administrativa[[#This Row], [Año]]="",Fact_Administrativa[[#This Row], [Mes]]=""),"",DATE(A1041,MATCH(B1041,{"enero","febrero","marzo","abril","mayo","junio","julio","agosto","septiembre","octubre","noviembre","diciembre"},0)+1,0))</f>
        <v/>
      </c>
      <c r="E1041" t="str">
        <f>+IFERROR(VLOOKUP(Fact_Administrativa[[#This Row], [Concepto Anterior]],Conceptos_Administrativa[#All],5,0),"")</f>
        <v/>
      </c>
      <c r="F1041" t="str">
        <f>+IFERROR(VLOOKUP(Fact_Administrativa[[#This Row], 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ht="18.75" customHeight="1" x14ac:dyDescent="0.35">
      <c r="C1042" s="100" t="str">
        <f>IF(OR(Fact_Administrativa[[#This Row], [Año]]="",Fact_Administrativa[[#This Row], [Mes]]=""),"",DATE(A1042,MATCH(B1042,{"enero","febrero","marzo","abril","mayo","junio","julio","agosto","septiembre","octubre","noviembre","diciembre"},0)+1,0))</f>
        <v/>
      </c>
      <c r="E1042" t="str">
        <f>+IFERROR(VLOOKUP(Fact_Administrativa[[#This Row], [Concepto Anterior]],Conceptos_Administrativa[#All],5,0),"")</f>
        <v/>
      </c>
      <c r="F1042" t="str">
        <f>+IFERROR(VLOOKUP(Fact_Administrativa[[#This Row], 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ht="18.75" customHeight="1" x14ac:dyDescent="0.35">
      <c r="C1043" s="100" t="str">
        <f>IF(OR(Fact_Administrativa[[#This Row], [Año]]="",Fact_Administrativa[[#This Row], [Mes]]=""),"",DATE(A1043,MATCH(B1043,{"enero","febrero","marzo","abril","mayo","junio","julio","agosto","septiembre","octubre","noviembre","diciembre"},0)+1,0))</f>
        <v/>
      </c>
      <c r="E1043" t="str">
        <f>+IFERROR(VLOOKUP(Fact_Administrativa[[#This Row], [Concepto Anterior]],Conceptos_Administrativa[#All],5,0),"")</f>
        <v/>
      </c>
      <c r="F1043" t="str">
        <f>+IFERROR(VLOOKUP(Fact_Administrativa[[#This Row], 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ht="18.75" customHeight="1" x14ac:dyDescent="0.35">
      <c r="C1044" s="100" t="str">
        <f>IF(OR(Fact_Administrativa[[#This Row], [Año]]="",Fact_Administrativa[[#This Row], [Mes]]=""),"",DATE(A1044,MATCH(B1044,{"enero","febrero","marzo","abril","mayo","junio","julio","agosto","septiembre","octubre","noviembre","diciembre"},0)+1,0))</f>
        <v/>
      </c>
      <c r="E1044" t="str">
        <f>+IFERROR(VLOOKUP(Fact_Administrativa[[#This Row], [Concepto Anterior]],Conceptos_Administrativa[#All],5,0),"")</f>
        <v/>
      </c>
      <c r="F1044" t="str">
        <f>+IFERROR(VLOOKUP(Fact_Administrativa[[#This Row], 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ht="18.75" customHeight="1" x14ac:dyDescent="0.35">
      <c r="C1045" s="100" t="str">
        <f>IF(OR(Fact_Administrativa[[#This Row], [Año]]="",Fact_Administrativa[[#This Row], [Mes]]=""),"",DATE(A1045,MATCH(B1045,{"enero","febrero","marzo","abril","mayo","junio","julio","agosto","septiembre","octubre","noviembre","diciembre"},0)+1,0))</f>
        <v/>
      </c>
      <c r="E1045" t="str">
        <f>+IFERROR(VLOOKUP(Fact_Administrativa[[#This Row], [Concepto Anterior]],Conceptos_Administrativa[#All],5,0),"")</f>
        <v/>
      </c>
      <c r="F1045" t="str">
        <f>+IFERROR(VLOOKUP(Fact_Administrativa[[#This Row], 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ht="18.75" customHeight="1" x14ac:dyDescent="0.35">
      <c r="C1046" s="100" t="str">
        <f>IF(OR(Fact_Administrativa[[#This Row], [Año]]="",Fact_Administrativa[[#This Row], [Mes]]=""),"",DATE(A1046,MATCH(B1046,{"enero","febrero","marzo","abril","mayo","junio","julio","agosto","septiembre","octubre","noviembre","diciembre"},0)+1,0))</f>
        <v/>
      </c>
      <c r="E1046" t="str">
        <f>+IFERROR(VLOOKUP(Fact_Administrativa[[#This Row], [Concepto Anterior]],Conceptos_Administrativa[#All],5,0),"")</f>
        <v/>
      </c>
      <c r="F1046" t="str">
        <f>+IFERROR(VLOOKUP(Fact_Administrativa[[#This Row], 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ht="18.75" customHeight="1" x14ac:dyDescent="0.35">
      <c r="C1047" s="100" t="str">
        <f>IF(OR(Fact_Administrativa[[#This Row], [Año]]="",Fact_Administrativa[[#This Row], [Mes]]=""),"",DATE(A1047,MATCH(B1047,{"enero","febrero","marzo","abril","mayo","junio","julio","agosto","septiembre","octubre","noviembre","diciembre"},0)+1,0))</f>
        <v/>
      </c>
      <c r="E1047" t="str">
        <f>+IFERROR(VLOOKUP(Fact_Administrativa[[#This Row], [Concepto Anterior]],Conceptos_Administrativa[#All],5,0),"")</f>
        <v/>
      </c>
      <c r="F1047" t="str">
        <f>+IFERROR(VLOOKUP(Fact_Administrativa[[#This Row], 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ht="18.75" customHeight="1" x14ac:dyDescent="0.35">
      <c r="C1048" s="100" t="str">
        <f>IF(OR(Fact_Administrativa[[#This Row], [Año]]="",Fact_Administrativa[[#This Row], [Mes]]=""),"",DATE(A1048,MATCH(B1048,{"enero","febrero","marzo","abril","mayo","junio","julio","agosto","septiembre","octubre","noviembre","diciembre"},0)+1,0))</f>
        <v/>
      </c>
      <c r="E1048" t="str">
        <f>+IFERROR(VLOOKUP(Fact_Administrativa[[#This Row], [Concepto Anterior]],Conceptos_Administrativa[#All],5,0),"")</f>
        <v/>
      </c>
      <c r="F1048" t="str">
        <f>+IFERROR(VLOOKUP(Fact_Administrativa[[#This Row], 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ht="18.75" customHeight="1" x14ac:dyDescent="0.35">
      <c r="C1049" s="100" t="str">
        <f>IF(OR(Fact_Administrativa[[#This Row], [Año]]="",Fact_Administrativa[[#This Row], [Mes]]=""),"",DATE(A1049,MATCH(B1049,{"enero","febrero","marzo","abril","mayo","junio","julio","agosto","septiembre","octubre","noviembre","diciembre"},0)+1,0))</f>
        <v/>
      </c>
      <c r="E1049" t="str">
        <f>+IFERROR(VLOOKUP(Fact_Administrativa[[#This Row], [Concepto Anterior]],Conceptos_Administrativa[#All],5,0),"")</f>
        <v/>
      </c>
      <c r="F1049" t="str">
        <f>+IFERROR(VLOOKUP(Fact_Administrativa[[#This Row], 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ht="18.75" customHeight="1" x14ac:dyDescent="0.35">
      <c r="C1050" s="100" t="str">
        <f>IF(OR(Fact_Administrativa[[#This Row], [Año]]="",Fact_Administrativa[[#This Row], [Mes]]=""),"",DATE(A1050,MATCH(B1050,{"enero","febrero","marzo","abril","mayo","junio","julio","agosto","septiembre","octubre","noviembre","diciembre"},0)+1,0))</f>
        <v/>
      </c>
      <c r="E1050" t="str">
        <f>+IFERROR(VLOOKUP(Fact_Administrativa[[#This Row], [Concepto Anterior]],Conceptos_Administrativa[#All],5,0),"")</f>
        <v/>
      </c>
      <c r="F1050" t="str">
        <f>+IFERROR(VLOOKUP(Fact_Administrativa[[#This Row], 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ht="18.75" customHeight="1" x14ac:dyDescent="0.35">
      <c r="C1051" s="100" t="str">
        <f>IF(OR(Fact_Administrativa[[#This Row], [Año]]="",Fact_Administrativa[[#This Row], [Mes]]=""),"",DATE(A1051,MATCH(B1051,{"enero","febrero","marzo","abril","mayo","junio","julio","agosto","septiembre","octubre","noviembre","diciembre"},0)+1,0))</f>
        <v/>
      </c>
      <c r="E1051" t="str">
        <f>+IFERROR(VLOOKUP(Fact_Administrativa[[#This Row], [Concepto Anterior]],Conceptos_Administrativa[#All],5,0),"")</f>
        <v/>
      </c>
      <c r="F1051" t="str">
        <f>+IFERROR(VLOOKUP(Fact_Administrativa[[#This Row], 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ht="18.75" customHeight="1" x14ac:dyDescent="0.35">
      <c r="C1052" s="100" t="str">
        <f>IF(OR(Fact_Administrativa[[#This Row], [Año]]="",Fact_Administrativa[[#This Row], [Mes]]=""),"",DATE(A1052,MATCH(B1052,{"enero","febrero","marzo","abril","mayo","junio","julio","agosto","septiembre","octubre","noviembre","diciembre"},0)+1,0))</f>
        <v/>
      </c>
      <c r="E1052" t="str">
        <f>+IFERROR(VLOOKUP(Fact_Administrativa[[#This Row], [Concepto Anterior]],Conceptos_Administrativa[#All],5,0),"")</f>
        <v/>
      </c>
      <c r="F1052" t="str">
        <f>+IFERROR(VLOOKUP(Fact_Administrativa[[#This Row], 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ht="18.75" customHeight="1" x14ac:dyDescent="0.35">
      <c r="C1053" s="100" t="str">
        <f>IF(OR(Fact_Administrativa[[#This Row], [Año]]="",Fact_Administrativa[[#This Row], [Mes]]=""),"",DATE(A1053,MATCH(B1053,{"enero","febrero","marzo","abril","mayo","junio","julio","agosto","septiembre","octubre","noviembre","diciembre"},0)+1,0))</f>
        <v/>
      </c>
      <c r="E1053" t="str">
        <f>+IFERROR(VLOOKUP(Fact_Administrativa[[#This Row], [Concepto Anterior]],Conceptos_Administrativa[#All],5,0),"")</f>
        <v/>
      </c>
      <c r="F1053" t="str">
        <f>+IFERROR(VLOOKUP(Fact_Administrativa[[#This Row], 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ht="18.75" customHeight="1" x14ac:dyDescent="0.35">
      <c r="C1054" s="100" t="str">
        <f>IF(OR(Fact_Administrativa[[#This Row], [Año]]="",Fact_Administrativa[[#This Row], [Mes]]=""),"",DATE(A1054,MATCH(B1054,{"enero","febrero","marzo","abril","mayo","junio","julio","agosto","septiembre","octubre","noviembre","diciembre"},0)+1,0))</f>
        <v/>
      </c>
      <c r="E1054" t="str">
        <f>+IFERROR(VLOOKUP(Fact_Administrativa[[#This Row], [Concepto Anterior]],Conceptos_Administrativa[#All],5,0),"")</f>
        <v/>
      </c>
      <c r="F1054" t="str">
        <f>+IFERROR(VLOOKUP(Fact_Administrativa[[#This Row], 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ht="18.75" customHeight="1" x14ac:dyDescent="0.35">
      <c r="C1055" s="100" t="str">
        <f>IF(OR(Fact_Administrativa[[#This Row], [Año]]="",Fact_Administrativa[[#This Row], [Mes]]=""),"",DATE(A1055,MATCH(B1055,{"enero","febrero","marzo","abril","mayo","junio","julio","agosto","septiembre","octubre","noviembre","diciembre"},0)+1,0))</f>
        <v/>
      </c>
      <c r="E1055" t="str">
        <f>+IFERROR(VLOOKUP(Fact_Administrativa[[#This Row], [Concepto Anterior]],Conceptos_Administrativa[#All],5,0),"")</f>
        <v/>
      </c>
      <c r="F1055" t="str">
        <f>+IFERROR(VLOOKUP(Fact_Administrativa[[#This Row], 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ht="18.75" customHeight="1" x14ac:dyDescent="0.35">
      <c r="C1056" s="100" t="str">
        <f>IF(OR(Fact_Administrativa[[#This Row], [Año]]="",Fact_Administrativa[[#This Row], [Mes]]=""),"",DATE(A1056,MATCH(B1056,{"enero","febrero","marzo","abril","mayo","junio","julio","agosto","septiembre","octubre","noviembre","diciembre"},0)+1,0))</f>
        <v/>
      </c>
      <c r="E1056" t="str">
        <f>+IFERROR(VLOOKUP(Fact_Administrativa[[#This Row], [Concepto Anterior]],Conceptos_Administrativa[#All],5,0),"")</f>
        <v/>
      </c>
      <c r="F1056" t="str">
        <f>+IFERROR(VLOOKUP(Fact_Administrativa[[#This Row], 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ht="18.75" customHeight="1" x14ac:dyDescent="0.35">
      <c r="C1057" s="100" t="str">
        <f>IF(OR(Fact_Administrativa[[#This Row], [Año]]="",Fact_Administrativa[[#This Row], [Mes]]=""),"",DATE(A1057,MATCH(B1057,{"enero","febrero","marzo","abril","mayo","junio","julio","agosto","septiembre","octubre","noviembre","diciembre"},0)+1,0))</f>
        <v/>
      </c>
      <c r="E1057" t="str">
        <f>+IFERROR(VLOOKUP(Fact_Administrativa[[#This Row], [Concepto Anterior]],Conceptos_Administrativa[#All],5,0),"")</f>
        <v/>
      </c>
      <c r="F1057" t="str">
        <f>+IFERROR(VLOOKUP(Fact_Administrativa[[#This Row], 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ht="18.75" customHeight="1" x14ac:dyDescent="0.35">
      <c r="C1058" s="100" t="str">
        <f>IF(OR(Fact_Administrativa[[#This Row], [Año]]="",Fact_Administrativa[[#This Row], [Mes]]=""),"",DATE(A1058,MATCH(B1058,{"enero","febrero","marzo","abril","mayo","junio","julio","agosto","septiembre","octubre","noviembre","diciembre"},0)+1,0))</f>
        <v/>
      </c>
      <c r="E1058" t="str">
        <f>+IFERROR(VLOOKUP(Fact_Administrativa[[#This Row], [Concepto Anterior]],Conceptos_Administrativa[#All],5,0),"")</f>
        <v/>
      </c>
      <c r="F1058" t="str">
        <f>+IFERROR(VLOOKUP(Fact_Administrativa[[#This Row], 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ht="18.75" customHeight="1" x14ac:dyDescent="0.35">
      <c r="C1059" s="100" t="str">
        <f>IF(OR(Fact_Administrativa[[#This Row], [Año]]="",Fact_Administrativa[[#This Row], [Mes]]=""),"",DATE(A1059,MATCH(B1059,{"enero","febrero","marzo","abril","mayo","junio","julio","agosto","septiembre","octubre","noviembre","diciembre"},0)+1,0))</f>
        <v/>
      </c>
      <c r="E1059" t="str">
        <f>+IFERROR(VLOOKUP(Fact_Administrativa[[#This Row], [Concepto Anterior]],Conceptos_Administrativa[#All],5,0),"")</f>
        <v/>
      </c>
      <c r="F1059" t="str">
        <f>+IFERROR(VLOOKUP(Fact_Administrativa[[#This Row], 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ht="18.75" customHeight="1" x14ac:dyDescent="0.35">
      <c r="C1060" s="100" t="str">
        <f>IF(OR(Fact_Administrativa[[#This Row], [Año]]="",Fact_Administrativa[[#This Row], [Mes]]=""),"",DATE(A1060,MATCH(B1060,{"enero","febrero","marzo","abril","mayo","junio","julio","agosto","septiembre","octubre","noviembre","diciembre"},0)+1,0))</f>
        <v/>
      </c>
      <c r="E1060" t="str">
        <f>+IFERROR(VLOOKUP(Fact_Administrativa[[#This Row], [Concepto Anterior]],Conceptos_Administrativa[#All],5,0),"")</f>
        <v/>
      </c>
      <c r="F1060" t="str">
        <f>+IFERROR(VLOOKUP(Fact_Administrativa[[#This Row], 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ht="18.75" customHeight="1" x14ac:dyDescent="0.35">
      <c r="C1061" s="100" t="str">
        <f>IF(OR(Fact_Administrativa[[#This Row], [Año]]="",Fact_Administrativa[[#This Row], [Mes]]=""),"",DATE(A1061,MATCH(B1061,{"enero","febrero","marzo","abril","mayo","junio","julio","agosto","septiembre","octubre","noviembre","diciembre"},0)+1,0))</f>
        <v/>
      </c>
      <c r="E1061" t="str">
        <f>+IFERROR(VLOOKUP(Fact_Administrativa[[#This Row], [Concepto Anterior]],Conceptos_Administrativa[#All],5,0),"")</f>
        <v/>
      </c>
      <c r="F1061" t="str">
        <f>+IFERROR(VLOOKUP(Fact_Administrativa[[#This Row], 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ht="18.75" customHeight="1" x14ac:dyDescent="0.35">
      <c r="C1062" s="100" t="str">
        <f>IF(OR(Fact_Administrativa[[#This Row], [Año]]="",Fact_Administrativa[[#This Row], [Mes]]=""),"",DATE(A1062,MATCH(B1062,{"enero","febrero","marzo","abril","mayo","junio","julio","agosto","septiembre","octubre","noviembre","diciembre"},0)+1,0))</f>
        <v/>
      </c>
      <c r="E1062" t="str">
        <f>+IFERROR(VLOOKUP(Fact_Administrativa[[#This Row], [Concepto Anterior]],Conceptos_Administrativa[#All],5,0),"")</f>
        <v/>
      </c>
      <c r="F1062" t="str">
        <f>+IFERROR(VLOOKUP(Fact_Administrativa[[#This Row], 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ht="18.75" customHeight="1" x14ac:dyDescent="0.35">
      <c r="C1063" s="100" t="str">
        <f>IF(OR(Fact_Administrativa[[#This Row], [Año]]="",Fact_Administrativa[[#This Row], [Mes]]=""),"",DATE(A1063,MATCH(B1063,{"enero","febrero","marzo","abril","mayo","junio","julio","agosto","septiembre","octubre","noviembre","diciembre"},0)+1,0))</f>
        <v/>
      </c>
      <c r="E1063" t="str">
        <f>+IFERROR(VLOOKUP(Fact_Administrativa[[#This Row], [Concepto Anterior]],Conceptos_Administrativa[#All],5,0),"")</f>
        <v/>
      </c>
      <c r="F1063" t="str">
        <f>+IFERROR(VLOOKUP(Fact_Administrativa[[#This Row], 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ht="18.75" customHeight="1" x14ac:dyDescent="0.35">
      <c r="C1064" s="100" t="str">
        <f>IF(OR(Fact_Administrativa[[#This Row], [Año]]="",Fact_Administrativa[[#This Row], [Mes]]=""),"",DATE(A1064,MATCH(B1064,{"enero","febrero","marzo","abril","mayo","junio","julio","agosto","septiembre","octubre","noviembre","diciembre"},0)+1,0))</f>
        <v/>
      </c>
      <c r="E1064" t="str">
        <f>+IFERROR(VLOOKUP(Fact_Administrativa[[#This Row], [Concepto Anterior]],Conceptos_Administrativa[#All],5,0),"")</f>
        <v/>
      </c>
      <c r="F1064" t="str">
        <f>+IFERROR(VLOOKUP(Fact_Administrativa[[#This Row], 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ht="18.75" customHeight="1" x14ac:dyDescent="0.35">
      <c r="C1065" s="100" t="str">
        <f>IF(OR(Fact_Administrativa[[#This Row], [Año]]="",Fact_Administrativa[[#This Row], [Mes]]=""),"",DATE(A1065,MATCH(B1065,{"enero","febrero","marzo","abril","mayo","junio","julio","agosto","septiembre","octubre","noviembre","diciembre"},0)+1,0))</f>
        <v/>
      </c>
      <c r="E1065" t="str">
        <f>+IFERROR(VLOOKUP(Fact_Administrativa[[#This Row], [Concepto Anterior]],Conceptos_Administrativa[#All],5,0),"")</f>
        <v/>
      </c>
      <c r="F1065" t="str">
        <f>+IFERROR(VLOOKUP(Fact_Administrativa[[#This Row], 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ht="18.75" customHeight="1" x14ac:dyDescent="0.35">
      <c r="C1066" s="100" t="str">
        <f>IF(OR(Fact_Administrativa[[#This Row], [Año]]="",Fact_Administrativa[[#This Row], [Mes]]=""),"",DATE(A1066,MATCH(B1066,{"enero","febrero","marzo","abril","mayo","junio","julio","agosto","septiembre","octubre","noviembre","diciembre"},0)+1,0))</f>
        <v/>
      </c>
      <c r="E1066" t="str">
        <f>+IFERROR(VLOOKUP(Fact_Administrativa[[#This Row], [Concepto Anterior]],Conceptos_Administrativa[#All],5,0),"")</f>
        <v/>
      </c>
      <c r="F1066" t="str">
        <f>+IFERROR(VLOOKUP(Fact_Administrativa[[#This Row], 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ht="18.75" customHeight="1" x14ac:dyDescent="0.35">
      <c r="C1067" s="100" t="str">
        <f>IF(OR(Fact_Administrativa[[#This Row], [Año]]="",Fact_Administrativa[[#This Row], [Mes]]=""),"",DATE(A1067,MATCH(B1067,{"enero","febrero","marzo","abril","mayo","junio","julio","agosto","septiembre","octubre","noviembre","diciembre"},0)+1,0))</f>
        <v/>
      </c>
      <c r="E1067" t="str">
        <f>+IFERROR(VLOOKUP(Fact_Administrativa[[#This Row], [Concepto Anterior]],Conceptos_Administrativa[#All],5,0),"")</f>
        <v/>
      </c>
      <c r="F1067" t="str">
        <f>+IFERROR(VLOOKUP(Fact_Administrativa[[#This Row], 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ht="18.75" customHeight="1" x14ac:dyDescent="0.35">
      <c r="C1068" s="100" t="str">
        <f>IF(OR(Fact_Administrativa[[#This Row], [Año]]="",Fact_Administrativa[[#This Row], [Mes]]=""),"",DATE(A1068,MATCH(B1068,{"enero","febrero","marzo","abril","mayo","junio","julio","agosto","septiembre","octubre","noviembre","diciembre"},0)+1,0))</f>
        <v/>
      </c>
      <c r="E1068" t="str">
        <f>+IFERROR(VLOOKUP(Fact_Administrativa[[#This Row], [Concepto Anterior]],Conceptos_Administrativa[#All],5,0),"")</f>
        <v/>
      </c>
      <c r="F1068" t="str">
        <f>+IFERROR(VLOOKUP(Fact_Administrativa[[#This Row], 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ht="18.75" customHeight="1" x14ac:dyDescent="0.35">
      <c r="C1069" s="100" t="str">
        <f>IF(OR(Fact_Administrativa[[#This Row], [Año]]="",Fact_Administrativa[[#This Row], [Mes]]=""),"",DATE(A1069,MATCH(B1069,{"enero","febrero","marzo","abril","mayo","junio","julio","agosto","septiembre","octubre","noviembre","diciembre"},0)+1,0))</f>
        <v/>
      </c>
      <c r="E1069" t="str">
        <f>+IFERROR(VLOOKUP(Fact_Administrativa[[#This Row], [Concepto Anterior]],Conceptos_Administrativa[#All],5,0),"")</f>
        <v/>
      </c>
      <c r="F1069" t="str">
        <f>+IFERROR(VLOOKUP(Fact_Administrativa[[#This Row], 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ht="18.75" customHeight="1" x14ac:dyDescent="0.35">
      <c r="C1070" s="100" t="str">
        <f>IF(OR(Fact_Administrativa[[#This Row], [Año]]="",Fact_Administrativa[[#This Row], [Mes]]=""),"",DATE(A1070,MATCH(B1070,{"enero","febrero","marzo","abril","mayo","junio","julio","agosto","septiembre","octubre","noviembre","diciembre"},0)+1,0))</f>
        <v/>
      </c>
      <c r="E1070" t="str">
        <f>+IFERROR(VLOOKUP(Fact_Administrativa[[#This Row], [Concepto Anterior]],Conceptos_Administrativa[#All],5,0),"")</f>
        <v/>
      </c>
      <c r="F1070" t="str">
        <f>+IFERROR(VLOOKUP(Fact_Administrativa[[#This Row], 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ht="18.75" customHeight="1" x14ac:dyDescent="0.35">
      <c r="C1071" s="100" t="str">
        <f>IF(OR(Fact_Administrativa[[#This Row], [Año]]="",Fact_Administrativa[[#This Row], [Mes]]=""),"",DATE(A1071,MATCH(B1071,{"enero","febrero","marzo","abril","mayo","junio","julio","agosto","septiembre","octubre","noviembre","diciembre"},0)+1,0))</f>
        <v/>
      </c>
      <c r="E1071" t="str">
        <f>+IFERROR(VLOOKUP(Fact_Administrativa[[#This Row], [Concepto Anterior]],Conceptos_Administrativa[#All],5,0),"")</f>
        <v/>
      </c>
      <c r="F1071" t="str">
        <f>+IFERROR(VLOOKUP(Fact_Administrativa[[#This Row], 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ht="18.75" customHeight="1" x14ac:dyDescent="0.35">
      <c r="C1072" s="100" t="str">
        <f>IF(OR(Fact_Administrativa[[#This Row], [Año]]="",Fact_Administrativa[[#This Row], [Mes]]=""),"",DATE(A1072,MATCH(B1072,{"enero","febrero","marzo","abril","mayo","junio","julio","agosto","septiembre","octubre","noviembre","diciembre"},0)+1,0))</f>
        <v/>
      </c>
      <c r="E1072" t="str">
        <f>+IFERROR(VLOOKUP(Fact_Administrativa[[#This Row], [Concepto Anterior]],Conceptos_Administrativa[#All],5,0),"")</f>
        <v/>
      </c>
      <c r="F1072" t="str">
        <f>+IFERROR(VLOOKUP(Fact_Administrativa[[#This Row], 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ht="18.75" customHeight="1" x14ac:dyDescent="0.35">
      <c r="C1073" s="100" t="str">
        <f>IF(OR(Fact_Administrativa[[#This Row], [Año]]="",Fact_Administrativa[[#This Row], [Mes]]=""),"",DATE(A1073,MATCH(B1073,{"enero","febrero","marzo","abril","mayo","junio","julio","agosto","septiembre","octubre","noviembre","diciembre"},0)+1,0))</f>
        <v/>
      </c>
      <c r="E1073" t="str">
        <f>+IFERROR(VLOOKUP(Fact_Administrativa[[#This Row], [Concepto Anterior]],Conceptos_Administrativa[#All],5,0),"")</f>
        <v/>
      </c>
      <c r="F1073" t="str">
        <f>+IFERROR(VLOOKUP(Fact_Administrativa[[#This Row], 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ht="18.75" customHeight="1" x14ac:dyDescent="0.35">
      <c r="C1074" s="100" t="str">
        <f>IF(OR(Fact_Administrativa[[#This Row], [Año]]="",Fact_Administrativa[[#This Row], [Mes]]=""),"",DATE(A1074,MATCH(B1074,{"enero","febrero","marzo","abril","mayo","junio","julio","agosto","septiembre","octubre","noviembre","diciembre"},0)+1,0))</f>
        <v/>
      </c>
      <c r="E1074" t="str">
        <f>+IFERROR(VLOOKUP(Fact_Administrativa[[#This Row], [Concepto Anterior]],Conceptos_Administrativa[#All],5,0),"")</f>
        <v/>
      </c>
      <c r="F1074" t="str">
        <f>+IFERROR(VLOOKUP(Fact_Administrativa[[#This Row], 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ht="18.75" customHeight="1" x14ac:dyDescent="0.35">
      <c r="C1075" s="100" t="str">
        <f>IF(OR(Fact_Administrativa[[#This Row], [Año]]="",Fact_Administrativa[[#This Row], [Mes]]=""),"",DATE(A1075,MATCH(B1075,{"enero","febrero","marzo","abril","mayo","junio","julio","agosto","septiembre","octubre","noviembre","diciembre"},0)+1,0))</f>
        <v/>
      </c>
      <c r="E1075" t="str">
        <f>+IFERROR(VLOOKUP(Fact_Administrativa[[#This Row], [Concepto Anterior]],Conceptos_Administrativa[#All],5,0),"")</f>
        <v/>
      </c>
      <c r="F1075" t="str">
        <f>+IFERROR(VLOOKUP(Fact_Administrativa[[#This Row], 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ht="18.75" customHeight="1" x14ac:dyDescent="0.35">
      <c r="C1076" s="100" t="str">
        <f>IF(OR(Fact_Administrativa[[#This Row], [Año]]="",Fact_Administrativa[[#This Row], [Mes]]=""),"",DATE(A1076,MATCH(B1076,{"enero","febrero","marzo","abril","mayo","junio","julio","agosto","septiembre","octubre","noviembre","diciembre"},0)+1,0))</f>
        <v/>
      </c>
      <c r="E1076" t="str">
        <f>+IFERROR(VLOOKUP(Fact_Administrativa[[#This Row], [Concepto Anterior]],Conceptos_Administrativa[#All],5,0),"")</f>
        <v/>
      </c>
      <c r="F1076" t="str">
        <f>+IFERROR(VLOOKUP(Fact_Administrativa[[#This Row], 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ht="18.75" customHeight="1" x14ac:dyDescent="0.35">
      <c r="C1077" s="100" t="str">
        <f>IF(OR(Fact_Administrativa[[#This Row], [Año]]="",Fact_Administrativa[[#This Row], [Mes]]=""),"",DATE(A1077,MATCH(B1077,{"enero","febrero","marzo","abril","mayo","junio","julio","agosto","septiembre","octubre","noviembre","diciembre"},0)+1,0))</f>
        <v/>
      </c>
      <c r="E1077" t="str">
        <f>+IFERROR(VLOOKUP(Fact_Administrativa[[#This Row], [Concepto Anterior]],Conceptos_Administrativa[#All],5,0),"")</f>
        <v/>
      </c>
      <c r="F1077" t="str">
        <f>+IFERROR(VLOOKUP(Fact_Administrativa[[#This Row], 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ht="18.75" customHeight="1" x14ac:dyDescent="0.35">
      <c r="C1078" s="100" t="str">
        <f>IF(OR(Fact_Administrativa[[#This Row], [Año]]="",Fact_Administrativa[[#This Row], [Mes]]=""),"",DATE(A1078,MATCH(B1078,{"enero","febrero","marzo","abril","mayo","junio","julio","agosto","septiembre","octubre","noviembre","diciembre"},0)+1,0))</f>
        <v/>
      </c>
      <c r="E1078" t="str">
        <f>+IFERROR(VLOOKUP(Fact_Administrativa[[#This Row], [Concepto Anterior]],Conceptos_Administrativa[#All],5,0),"")</f>
        <v/>
      </c>
      <c r="F1078" t="str">
        <f>+IFERROR(VLOOKUP(Fact_Administrativa[[#This Row], 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ht="18.75" customHeight="1" x14ac:dyDescent="0.35">
      <c r="C1079" s="100" t="str">
        <f>IF(OR(Fact_Administrativa[[#This Row], [Año]]="",Fact_Administrativa[[#This Row], [Mes]]=""),"",DATE(A1079,MATCH(B1079,{"enero","febrero","marzo","abril","mayo","junio","julio","agosto","septiembre","octubre","noviembre","diciembre"},0)+1,0))</f>
        <v/>
      </c>
      <c r="E1079" t="str">
        <f>+IFERROR(VLOOKUP(Fact_Administrativa[[#This Row], [Concepto Anterior]],Conceptos_Administrativa[#All],5,0),"")</f>
        <v/>
      </c>
      <c r="F1079" t="str">
        <f>+IFERROR(VLOOKUP(Fact_Administrativa[[#This Row], 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ht="18.75" customHeight="1" x14ac:dyDescent="0.35">
      <c r="C1080" s="100" t="str">
        <f>IF(OR(Fact_Administrativa[[#This Row], [Año]]="",Fact_Administrativa[[#This Row], [Mes]]=""),"",DATE(A1080,MATCH(B1080,{"enero","febrero","marzo","abril","mayo","junio","julio","agosto","septiembre","octubre","noviembre","diciembre"},0)+1,0))</f>
        <v/>
      </c>
      <c r="E1080" t="str">
        <f>+IFERROR(VLOOKUP(Fact_Administrativa[[#This Row], [Concepto Anterior]],Conceptos_Administrativa[#All],5,0),"")</f>
        <v/>
      </c>
      <c r="F1080" t="str">
        <f>+IFERROR(VLOOKUP(Fact_Administrativa[[#This Row], 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ht="18.75" customHeight="1" x14ac:dyDescent="0.35">
      <c r="C1081" s="100" t="str">
        <f>IF(OR(Fact_Administrativa[[#This Row], [Año]]="",Fact_Administrativa[[#This Row], [Mes]]=""),"",DATE(A1081,MATCH(B1081,{"enero","febrero","marzo","abril","mayo","junio","julio","agosto","septiembre","octubre","noviembre","diciembre"},0)+1,0))</f>
        <v/>
      </c>
      <c r="E1081" t="str">
        <f>+IFERROR(VLOOKUP(Fact_Administrativa[[#This Row], [Concepto Anterior]],Conceptos_Administrativa[#All],5,0),"")</f>
        <v/>
      </c>
      <c r="F1081" t="str">
        <f>+IFERROR(VLOOKUP(Fact_Administrativa[[#This Row], 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ht="18.75" customHeight="1" x14ac:dyDescent="0.35">
      <c r="C1082" s="100" t="str">
        <f>IF(OR(Fact_Administrativa[[#This Row], [Año]]="",Fact_Administrativa[[#This Row], [Mes]]=""),"",DATE(A1082,MATCH(B1082,{"enero","febrero","marzo","abril","mayo","junio","julio","agosto","septiembre","octubre","noviembre","diciembre"},0)+1,0))</f>
        <v/>
      </c>
      <c r="E1082" t="str">
        <f>+IFERROR(VLOOKUP(Fact_Administrativa[[#This Row], [Concepto Anterior]],Conceptos_Administrativa[#All],5,0),"")</f>
        <v/>
      </c>
      <c r="F1082" t="str">
        <f>+IFERROR(VLOOKUP(Fact_Administrativa[[#This Row], 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ht="18.75" customHeight="1" x14ac:dyDescent="0.35">
      <c r="C1083" s="100" t="str">
        <f>IF(OR(Fact_Administrativa[[#This Row], [Año]]="",Fact_Administrativa[[#This Row], [Mes]]=""),"",DATE(A1083,MATCH(B1083,{"enero","febrero","marzo","abril","mayo","junio","julio","agosto","septiembre","octubre","noviembre","diciembre"},0)+1,0))</f>
        <v/>
      </c>
      <c r="E1083" t="str">
        <f>+IFERROR(VLOOKUP(Fact_Administrativa[[#This Row], [Concepto Anterior]],Conceptos_Administrativa[#All],5,0),"")</f>
        <v/>
      </c>
      <c r="F1083" t="str">
        <f>+IFERROR(VLOOKUP(Fact_Administrativa[[#This Row], 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ht="18.75" customHeight="1" x14ac:dyDescent="0.35">
      <c r="C1084" s="100" t="str">
        <f>IF(OR(Fact_Administrativa[[#This Row], [Año]]="",Fact_Administrativa[[#This Row], [Mes]]=""),"",DATE(A1084,MATCH(B1084,{"enero","febrero","marzo","abril","mayo","junio","julio","agosto","septiembre","octubre","noviembre","diciembre"},0)+1,0))</f>
        <v/>
      </c>
      <c r="E1084" t="str">
        <f>+IFERROR(VLOOKUP(Fact_Administrativa[[#This Row], [Concepto Anterior]],Conceptos_Administrativa[#All],5,0),"")</f>
        <v/>
      </c>
      <c r="F1084" t="str">
        <f>+IFERROR(VLOOKUP(Fact_Administrativa[[#This Row], 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ht="18.75" customHeight="1" x14ac:dyDescent="0.35">
      <c r="C1085" s="100" t="str">
        <f>IF(OR(Fact_Administrativa[[#This Row], [Año]]="",Fact_Administrativa[[#This Row], [Mes]]=""),"",DATE(A1085,MATCH(B1085,{"enero","febrero","marzo","abril","mayo","junio","julio","agosto","septiembre","octubre","noviembre","diciembre"},0)+1,0))</f>
        <v/>
      </c>
      <c r="E1085" t="str">
        <f>+IFERROR(VLOOKUP(Fact_Administrativa[[#This Row], [Concepto Anterior]],Conceptos_Administrativa[#All],5,0),"")</f>
        <v/>
      </c>
      <c r="F1085" t="str">
        <f>+IFERROR(VLOOKUP(Fact_Administrativa[[#This Row], 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ht="18.75" customHeight="1" x14ac:dyDescent="0.35">
      <c r="C1086" s="100" t="str">
        <f>IF(OR(Fact_Administrativa[[#This Row], [Año]]="",Fact_Administrativa[[#This Row], [Mes]]=""),"",DATE(A1086,MATCH(B1086,{"enero","febrero","marzo","abril","mayo","junio","julio","agosto","septiembre","octubre","noviembre","diciembre"},0)+1,0))</f>
        <v/>
      </c>
      <c r="E1086" t="str">
        <f>+IFERROR(VLOOKUP(Fact_Administrativa[[#This Row], [Concepto Anterior]],Conceptos_Administrativa[#All],5,0),"")</f>
        <v/>
      </c>
      <c r="F1086" t="str">
        <f>+IFERROR(VLOOKUP(Fact_Administrativa[[#This Row], 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ht="18.75" customHeight="1" x14ac:dyDescent="0.35">
      <c r="C1087" s="100" t="str">
        <f>IF(OR(Fact_Administrativa[[#This Row], [Año]]="",Fact_Administrativa[[#This Row], [Mes]]=""),"",DATE(A1087,MATCH(B1087,{"enero","febrero","marzo","abril","mayo","junio","julio","agosto","septiembre","octubre","noviembre","diciembre"},0)+1,0))</f>
        <v/>
      </c>
      <c r="E1087" t="str">
        <f>+IFERROR(VLOOKUP(Fact_Administrativa[[#This Row], [Concepto Anterior]],Conceptos_Administrativa[#All],5,0),"")</f>
        <v/>
      </c>
      <c r="F1087" t="str">
        <f>+IFERROR(VLOOKUP(Fact_Administrativa[[#This Row], 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ht="18.75" customHeight="1" x14ac:dyDescent="0.35">
      <c r="C1088" s="100" t="str">
        <f>IF(OR(Fact_Administrativa[[#This Row], [Año]]="",Fact_Administrativa[[#This Row], [Mes]]=""),"",DATE(A1088,MATCH(B1088,{"enero","febrero","marzo","abril","mayo","junio","julio","agosto","septiembre","octubre","noviembre","diciembre"},0)+1,0))</f>
        <v/>
      </c>
      <c r="E1088" t="str">
        <f>+IFERROR(VLOOKUP(Fact_Administrativa[[#This Row], [Concepto Anterior]],Conceptos_Administrativa[#All],5,0),"")</f>
        <v/>
      </c>
      <c r="F1088" t="str">
        <f>+IFERROR(VLOOKUP(Fact_Administrativa[[#This Row], 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ht="18.75" customHeight="1" x14ac:dyDescent="0.35">
      <c r="C1089" s="100" t="str">
        <f>IF(OR(Fact_Administrativa[[#This Row], [Año]]="",Fact_Administrativa[[#This Row], [Mes]]=""),"",DATE(A1089,MATCH(B1089,{"enero","febrero","marzo","abril","mayo","junio","julio","agosto","septiembre","octubre","noviembre","diciembre"},0)+1,0))</f>
        <v/>
      </c>
      <c r="E1089" t="str">
        <f>+IFERROR(VLOOKUP(Fact_Administrativa[[#This Row], [Concepto Anterior]],Conceptos_Administrativa[#All],5,0),"")</f>
        <v/>
      </c>
      <c r="F1089" t="str">
        <f>+IFERROR(VLOOKUP(Fact_Administrativa[[#This Row], 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ht="18.75" customHeight="1" x14ac:dyDescent="0.35">
      <c r="C1090" s="100" t="str">
        <f>IF(OR(Fact_Administrativa[[#This Row], [Año]]="",Fact_Administrativa[[#This Row], [Mes]]=""),"",DATE(A1090,MATCH(B1090,{"enero","febrero","marzo","abril","mayo","junio","julio","agosto","septiembre","octubre","noviembre","diciembre"},0)+1,0))</f>
        <v/>
      </c>
      <c r="E1090" t="str">
        <f>+IFERROR(VLOOKUP(Fact_Administrativa[[#This Row], [Concepto Anterior]],Conceptos_Administrativa[#All],5,0),"")</f>
        <v/>
      </c>
      <c r="F1090" t="str">
        <f>+IFERROR(VLOOKUP(Fact_Administrativa[[#This Row], 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ht="18.75" customHeight="1" x14ac:dyDescent="0.35">
      <c r="C1091" s="100" t="str">
        <f>IF(OR(Fact_Administrativa[[#This Row], [Año]]="",Fact_Administrativa[[#This Row], [Mes]]=""),"",DATE(A1091,MATCH(B1091,{"enero","febrero","marzo","abril","mayo","junio","julio","agosto","septiembre","octubre","noviembre","diciembre"},0)+1,0))</f>
        <v/>
      </c>
      <c r="E1091" t="str">
        <f>+IFERROR(VLOOKUP(Fact_Administrativa[[#This Row], [Concepto Anterior]],Conceptos_Administrativa[#All],5,0),"")</f>
        <v/>
      </c>
      <c r="F1091" t="str">
        <f>+IFERROR(VLOOKUP(Fact_Administrativa[[#This Row], 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ht="18.75" customHeight="1" x14ac:dyDescent="0.35">
      <c r="C1092" s="100" t="str">
        <f>IF(OR(Fact_Administrativa[[#This Row], [Año]]="",Fact_Administrativa[[#This Row], [Mes]]=""),"",DATE(A1092,MATCH(B1092,{"enero","febrero","marzo","abril","mayo","junio","julio","agosto","septiembre","octubre","noviembre","diciembre"},0)+1,0))</f>
        <v/>
      </c>
      <c r="E1092" t="str">
        <f>+IFERROR(VLOOKUP(Fact_Administrativa[[#This Row], [Concepto Anterior]],Conceptos_Administrativa[#All],5,0),"")</f>
        <v/>
      </c>
      <c r="F1092" t="str">
        <f>+IFERROR(VLOOKUP(Fact_Administrativa[[#This Row], 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ht="18.75" customHeight="1" x14ac:dyDescent="0.35">
      <c r="C1093" s="100" t="str">
        <f>IF(OR(Fact_Administrativa[[#This Row], [Año]]="",Fact_Administrativa[[#This Row], [Mes]]=""),"",DATE(A1093,MATCH(B1093,{"enero","febrero","marzo","abril","mayo","junio","julio","agosto","septiembre","octubre","noviembre","diciembre"},0)+1,0))</f>
        <v/>
      </c>
      <c r="E1093" t="str">
        <f>+IFERROR(VLOOKUP(Fact_Administrativa[[#This Row], [Concepto Anterior]],Conceptos_Administrativa[#All],5,0),"")</f>
        <v/>
      </c>
      <c r="F1093" t="str">
        <f>+IFERROR(VLOOKUP(Fact_Administrativa[[#This Row], 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ht="18.75" customHeight="1" x14ac:dyDescent="0.35">
      <c r="C1094" s="100" t="str">
        <f>IF(OR(Fact_Administrativa[[#This Row], [Año]]="",Fact_Administrativa[[#This Row], [Mes]]=""),"",DATE(A1094,MATCH(B1094,{"enero","febrero","marzo","abril","mayo","junio","julio","agosto","septiembre","octubre","noviembre","diciembre"},0)+1,0))</f>
        <v/>
      </c>
      <c r="E1094" t="str">
        <f>+IFERROR(VLOOKUP(Fact_Administrativa[[#This Row], [Concepto Anterior]],Conceptos_Administrativa[#All],5,0),"")</f>
        <v/>
      </c>
      <c r="F1094" t="str">
        <f>+IFERROR(VLOOKUP(Fact_Administrativa[[#This Row], 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ht="18.75" customHeight="1" x14ac:dyDescent="0.35">
      <c r="C1095" s="100" t="str">
        <f>IF(OR(Fact_Administrativa[[#This Row], [Año]]="",Fact_Administrativa[[#This Row], [Mes]]=""),"",DATE(A1095,MATCH(B1095,{"enero","febrero","marzo","abril","mayo","junio","julio","agosto","septiembre","octubre","noviembre","diciembre"},0)+1,0))</f>
        <v/>
      </c>
      <c r="E1095" t="str">
        <f>+IFERROR(VLOOKUP(Fact_Administrativa[[#This Row], [Concepto Anterior]],Conceptos_Administrativa[#All],5,0),"")</f>
        <v/>
      </c>
      <c r="F1095" t="str">
        <f>+IFERROR(VLOOKUP(Fact_Administrativa[[#This Row], 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ht="18.75" customHeight="1" x14ac:dyDescent="0.35">
      <c r="C1096" s="100" t="str">
        <f>IF(OR(Fact_Administrativa[[#This Row], [Año]]="",Fact_Administrativa[[#This Row], [Mes]]=""),"",DATE(A1096,MATCH(B1096,{"enero","febrero","marzo","abril","mayo","junio","julio","agosto","septiembre","octubre","noviembre","diciembre"},0)+1,0))</f>
        <v/>
      </c>
      <c r="E1096" t="str">
        <f>+IFERROR(VLOOKUP(Fact_Administrativa[[#This Row], [Concepto Anterior]],Conceptos_Administrativa[#All],5,0),"")</f>
        <v/>
      </c>
      <c r="F1096" t="str">
        <f>+IFERROR(VLOOKUP(Fact_Administrativa[[#This Row], 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ht="18.75" customHeight="1" x14ac:dyDescent="0.35">
      <c r="C1097" s="100" t="str">
        <f>IF(OR(Fact_Administrativa[[#This Row], [Año]]="",Fact_Administrativa[[#This Row], [Mes]]=""),"",DATE(A1097,MATCH(B1097,{"enero","febrero","marzo","abril","mayo","junio","julio","agosto","septiembre","octubre","noviembre","diciembre"},0)+1,0))</f>
        <v/>
      </c>
      <c r="E1097" t="str">
        <f>+IFERROR(VLOOKUP(Fact_Administrativa[[#This Row], [Concepto Anterior]],Conceptos_Administrativa[#All],5,0),"")</f>
        <v/>
      </c>
      <c r="F1097" t="str">
        <f>+IFERROR(VLOOKUP(Fact_Administrativa[[#This Row], 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ht="18.75" customHeight="1" x14ac:dyDescent="0.35">
      <c r="C1098" s="100" t="str">
        <f>IF(OR(Fact_Administrativa[[#This Row], [Año]]="",Fact_Administrativa[[#This Row], [Mes]]=""),"",DATE(A1098,MATCH(B1098,{"enero","febrero","marzo","abril","mayo","junio","julio","agosto","septiembre","octubre","noviembre","diciembre"},0)+1,0))</f>
        <v/>
      </c>
      <c r="E1098" t="str">
        <f>+IFERROR(VLOOKUP(Fact_Administrativa[[#This Row], [Concepto Anterior]],Conceptos_Administrativa[#All],5,0),"")</f>
        <v/>
      </c>
      <c r="F1098" t="str">
        <f>+IFERROR(VLOOKUP(Fact_Administrativa[[#This Row], 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ht="18.75" customHeight="1" x14ac:dyDescent="0.35">
      <c r="C1099" s="100" t="str">
        <f>IF(OR(Fact_Administrativa[[#This Row], [Año]]="",Fact_Administrativa[[#This Row], [Mes]]=""),"",DATE(A1099,MATCH(B1099,{"enero","febrero","marzo","abril","mayo","junio","julio","agosto","septiembre","octubre","noviembre","diciembre"},0)+1,0))</f>
        <v/>
      </c>
      <c r="E1099" t="str">
        <f>+IFERROR(VLOOKUP(Fact_Administrativa[[#This Row], [Concepto Anterior]],Conceptos_Administrativa[#All],5,0),"")</f>
        <v/>
      </c>
      <c r="F1099" t="str">
        <f>+IFERROR(VLOOKUP(Fact_Administrativa[[#This Row], 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ht="18.75" customHeight="1" x14ac:dyDescent="0.35">
      <c r="C1100" s="100" t="str">
        <f>IF(OR(Fact_Administrativa[[#This Row], [Año]]="",Fact_Administrativa[[#This Row], [Mes]]=""),"",DATE(A1100,MATCH(B1100,{"enero","febrero","marzo","abril","mayo","junio","julio","agosto","septiembre","octubre","noviembre","diciembre"},0)+1,0))</f>
        <v/>
      </c>
      <c r="E1100" t="str">
        <f>+IFERROR(VLOOKUP(Fact_Administrativa[[#This Row], [Concepto Anterior]],Conceptos_Administrativa[#All],5,0),"")</f>
        <v/>
      </c>
      <c r="F1100" t="str">
        <f>+IFERROR(VLOOKUP(Fact_Administrativa[[#This Row], 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ht="18.75" customHeight="1" x14ac:dyDescent="0.35">
      <c r="C1101" s="100" t="str">
        <f>IF(OR(Fact_Administrativa[[#This Row], [Año]]="",Fact_Administrativa[[#This Row], [Mes]]=""),"",DATE(A1101,MATCH(B1101,{"enero","febrero","marzo","abril","mayo","junio","julio","agosto","septiembre","octubre","noviembre","diciembre"},0)+1,0))</f>
        <v/>
      </c>
      <c r="E1101" t="str">
        <f>+IFERROR(VLOOKUP(Fact_Administrativa[[#This Row], [Concepto Anterior]],Conceptos_Administrativa[#All],5,0),"")</f>
        <v/>
      </c>
      <c r="F1101" t="str">
        <f>+IFERROR(VLOOKUP(Fact_Administrativa[[#This Row], 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ht="18.75" customHeight="1" x14ac:dyDescent="0.35">
      <c r="C1102" s="100" t="str">
        <f>IF(OR(Fact_Administrativa[[#This Row], [Año]]="",Fact_Administrativa[[#This Row], [Mes]]=""),"",DATE(A1102,MATCH(B1102,{"enero","febrero","marzo","abril","mayo","junio","julio","agosto","septiembre","octubre","noviembre","diciembre"},0)+1,0))</f>
        <v/>
      </c>
      <c r="E1102" t="str">
        <f>+IFERROR(VLOOKUP(Fact_Administrativa[[#This Row], [Concepto Anterior]],Conceptos_Administrativa[#All],5,0),"")</f>
        <v/>
      </c>
      <c r="F1102" t="str">
        <f>+IFERROR(VLOOKUP(Fact_Administrativa[[#This Row], 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ht="18.75" customHeight="1" x14ac:dyDescent="0.35">
      <c r="C1103" s="100" t="str">
        <f>IF(OR(Fact_Administrativa[[#This Row], [Año]]="",Fact_Administrativa[[#This Row], [Mes]]=""),"",DATE(A1103,MATCH(B1103,{"enero","febrero","marzo","abril","mayo","junio","julio","agosto","septiembre","octubre","noviembre","diciembre"},0)+1,0))</f>
        <v/>
      </c>
      <c r="E1103" t="str">
        <f>+IFERROR(VLOOKUP(Fact_Administrativa[[#This Row], [Concepto Anterior]],Conceptos_Administrativa[#All],5,0),"")</f>
        <v/>
      </c>
      <c r="F1103" t="str">
        <f>+IFERROR(VLOOKUP(Fact_Administrativa[[#This Row], 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ht="18.75" customHeight="1" x14ac:dyDescent="0.35">
      <c r="C1104" s="100" t="str">
        <f>IF(OR(Fact_Administrativa[[#This Row], [Año]]="",Fact_Administrativa[[#This Row], [Mes]]=""),"",DATE(A1104,MATCH(B1104,{"enero","febrero","marzo","abril","mayo","junio","julio","agosto","septiembre","octubre","noviembre","diciembre"},0)+1,0))</f>
        <v/>
      </c>
      <c r="E1104" t="str">
        <f>+IFERROR(VLOOKUP(Fact_Administrativa[[#This Row], [Concepto Anterior]],Conceptos_Administrativa[#All],5,0),"")</f>
        <v/>
      </c>
      <c r="F1104" t="str">
        <f>+IFERROR(VLOOKUP(Fact_Administrativa[[#This Row], 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ht="18.75" customHeight="1" x14ac:dyDescent="0.35">
      <c r="C1105" s="100" t="str">
        <f>IF(OR(Fact_Administrativa[[#This Row], [Año]]="",Fact_Administrativa[[#This Row], [Mes]]=""),"",DATE(A1105,MATCH(B1105,{"enero","febrero","marzo","abril","mayo","junio","julio","agosto","septiembre","octubre","noviembre","diciembre"},0)+1,0))</f>
        <v/>
      </c>
      <c r="E1105" t="str">
        <f>+IFERROR(VLOOKUP(Fact_Administrativa[[#This Row], [Concepto Anterior]],Conceptos_Administrativa[#All],5,0),"")</f>
        <v/>
      </c>
      <c r="F1105" t="str">
        <f>+IFERROR(VLOOKUP(Fact_Administrativa[[#This Row], 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ht="18.75" customHeight="1" x14ac:dyDescent="0.35">
      <c r="C1106" s="100" t="str">
        <f>IF(OR(Fact_Administrativa[[#This Row], [Año]]="",Fact_Administrativa[[#This Row], [Mes]]=""),"",DATE(A1106,MATCH(B1106,{"enero","febrero","marzo","abril","mayo","junio","julio","agosto","septiembre","octubre","noviembre","diciembre"},0)+1,0))</f>
        <v/>
      </c>
      <c r="E1106" t="str">
        <f>+IFERROR(VLOOKUP(Fact_Administrativa[[#This Row], [Concepto Anterior]],Conceptos_Administrativa[#All],5,0),"")</f>
        <v/>
      </c>
      <c r="F1106" t="str">
        <f>+IFERROR(VLOOKUP(Fact_Administrativa[[#This Row], 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ht="18.75" customHeight="1" x14ac:dyDescent="0.35">
      <c r="C1107" s="100" t="str">
        <f>IF(OR(Fact_Administrativa[[#This Row], [Año]]="",Fact_Administrativa[[#This Row], [Mes]]=""),"",DATE(A1107,MATCH(B1107,{"enero","febrero","marzo","abril","mayo","junio","julio","agosto","septiembre","octubre","noviembre","diciembre"},0)+1,0))</f>
        <v/>
      </c>
      <c r="E1107" t="str">
        <f>+IFERROR(VLOOKUP(Fact_Administrativa[[#This Row], [Concepto Anterior]],Conceptos_Administrativa[#All],5,0),"")</f>
        <v/>
      </c>
      <c r="F1107" t="str">
        <f>+IFERROR(VLOOKUP(Fact_Administrativa[[#This Row], 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ht="18.75" customHeight="1" x14ac:dyDescent="0.35">
      <c r="C1108" s="100" t="str">
        <f>IF(OR(Fact_Administrativa[[#This Row], [Año]]="",Fact_Administrativa[[#This Row], [Mes]]=""),"",DATE(A1108,MATCH(B1108,{"enero","febrero","marzo","abril","mayo","junio","julio","agosto","septiembre","octubre","noviembre","diciembre"},0)+1,0))</f>
        <v/>
      </c>
      <c r="E1108" t="str">
        <f>+IFERROR(VLOOKUP(Fact_Administrativa[[#This Row], [Concepto Anterior]],Conceptos_Administrativa[#All],5,0),"")</f>
        <v/>
      </c>
      <c r="F1108" t="str">
        <f>+IFERROR(VLOOKUP(Fact_Administrativa[[#This Row], 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ht="18.75" customHeight="1" x14ac:dyDescent="0.35">
      <c r="C1109" s="100" t="str">
        <f>IF(OR(Fact_Administrativa[[#This Row], [Año]]="",Fact_Administrativa[[#This Row], [Mes]]=""),"",DATE(A1109,MATCH(B1109,{"enero","febrero","marzo","abril","mayo","junio","julio","agosto","septiembre","octubre","noviembre","diciembre"},0)+1,0))</f>
        <v/>
      </c>
      <c r="E1109" t="str">
        <f>+IFERROR(VLOOKUP(Fact_Administrativa[[#This Row], [Concepto Anterior]],Conceptos_Administrativa[#All],5,0),"")</f>
        <v/>
      </c>
      <c r="F1109" t="str">
        <f>+IFERROR(VLOOKUP(Fact_Administrativa[[#This Row], 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ht="18.75" customHeight="1" x14ac:dyDescent="0.35">
      <c r="C1110" s="100" t="str">
        <f>IF(OR(Fact_Administrativa[[#This Row], [Año]]="",Fact_Administrativa[[#This Row], [Mes]]=""),"",DATE(A1110,MATCH(B1110,{"enero","febrero","marzo","abril","mayo","junio","julio","agosto","septiembre","octubre","noviembre","diciembre"},0)+1,0))</f>
        <v/>
      </c>
      <c r="E1110" t="str">
        <f>+IFERROR(VLOOKUP(Fact_Administrativa[[#This Row], [Concepto Anterior]],Conceptos_Administrativa[#All],5,0),"")</f>
        <v/>
      </c>
      <c r="F1110" t="str">
        <f>+IFERROR(VLOOKUP(Fact_Administrativa[[#This Row], 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ht="18.75" customHeight="1" x14ac:dyDescent="0.35">
      <c r="C1111" s="100" t="str">
        <f>IF(OR(Fact_Administrativa[[#This Row], [Año]]="",Fact_Administrativa[[#This Row], [Mes]]=""),"",DATE(A1111,MATCH(B1111,{"enero","febrero","marzo","abril","mayo","junio","julio","agosto","septiembre","octubre","noviembre","diciembre"},0)+1,0))</f>
        <v/>
      </c>
      <c r="E1111" t="str">
        <f>+IFERROR(VLOOKUP(Fact_Administrativa[[#This Row], [Concepto Anterior]],Conceptos_Administrativa[#All],5,0),"")</f>
        <v/>
      </c>
      <c r="F1111" t="str">
        <f>+IFERROR(VLOOKUP(Fact_Administrativa[[#This Row], 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ht="18.75" customHeight="1" x14ac:dyDescent="0.35">
      <c r="C1112" s="100" t="str">
        <f>IF(OR(Fact_Administrativa[[#This Row], [Año]]="",Fact_Administrativa[[#This Row], [Mes]]=""),"",DATE(A1112,MATCH(B1112,{"enero","febrero","marzo","abril","mayo","junio","julio","agosto","septiembre","octubre","noviembre","diciembre"},0)+1,0))</f>
        <v/>
      </c>
      <c r="E1112" t="str">
        <f>+IFERROR(VLOOKUP(Fact_Administrativa[[#This Row], [Concepto Anterior]],Conceptos_Administrativa[#All],5,0),"")</f>
        <v/>
      </c>
      <c r="F1112" t="str">
        <f>+IFERROR(VLOOKUP(Fact_Administrativa[[#This Row], 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ht="18.75" customHeight="1" x14ac:dyDescent="0.35">
      <c r="C1113" s="100" t="str">
        <f>IF(OR(Fact_Administrativa[[#This Row], [Año]]="",Fact_Administrativa[[#This Row], [Mes]]=""),"",DATE(A1113,MATCH(B1113,{"enero","febrero","marzo","abril","mayo","junio","julio","agosto","septiembre","octubre","noviembre","diciembre"},0)+1,0))</f>
        <v/>
      </c>
      <c r="E1113" t="str">
        <f>+IFERROR(VLOOKUP(Fact_Administrativa[[#This Row], [Concepto Anterior]],Conceptos_Administrativa[#All],5,0),"")</f>
        <v/>
      </c>
      <c r="F1113" t="str">
        <f>+IFERROR(VLOOKUP(Fact_Administrativa[[#This Row], 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ht="18.75" customHeight="1" x14ac:dyDescent="0.35">
      <c r="C1114" s="100" t="str">
        <f>IF(OR(Fact_Administrativa[[#This Row], [Año]]="",Fact_Administrativa[[#This Row], [Mes]]=""),"",DATE(A1114,MATCH(B1114,{"enero","febrero","marzo","abril","mayo","junio","julio","agosto","septiembre","octubre","noviembre","diciembre"},0)+1,0))</f>
        <v/>
      </c>
      <c r="E1114" t="str">
        <f>+IFERROR(VLOOKUP(Fact_Administrativa[[#This Row], [Concepto Anterior]],Conceptos_Administrativa[#All],5,0),"")</f>
        <v/>
      </c>
      <c r="F1114" t="str">
        <f>+IFERROR(VLOOKUP(Fact_Administrativa[[#This Row], 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ht="18.75" customHeight="1" x14ac:dyDescent="0.35">
      <c r="C1115" s="100" t="str">
        <f>IF(OR(Fact_Administrativa[[#This Row], [Año]]="",Fact_Administrativa[[#This Row], [Mes]]=""),"",DATE(A1115,MATCH(B1115,{"enero","febrero","marzo","abril","mayo","junio","julio","agosto","septiembre","octubre","noviembre","diciembre"},0)+1,0))</f>
        <v/>
      </c>
      <c r="E1115" t="str">
        <f>+IFERROR(VLOOKUP(Fact_Administrativa[[#This Row], [Concepto Anterior]],Conceptos_Administrativa[#All],5,0),"")</f>
        <v/>
      </c>
      <c r="F1115" t="str">
        <f>+IFERROR(VLOOKUP(Fact_Administrativa[[#This Row], 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ht="18.75" customHeight="1" x14ac:dyDescent="0.35">
      <c r="C1116" s="100" t="str">
        <f>IF(OR(Fact_Administrativa[[#This Row], [Año]]="",Fact_Administrativa[[#This Row], [Mes]]=""),"",DATE(A1116,MATCH(B1116,{"enero","febrero","marzo","abril","mayo","junio","julio","agosto","septiembre","octubre","noviembre","diciembre"},0)+1,0))</f>
        <v/>
      </c>
      <c r="E1116" t="str">
        <f>+IFERROR(VLOOKUP(Fact_Administrativa[[#This Row], [Concepto Anterior]],Conceptos_Administrativa[#All],5,0),"")</f>
        <v/>
      </c>
      <c r="F1116" t="str">
        <f>+IFERROR(VLOOKUP(Fact_Administrativa[[#This Row], 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ht="18.75" customHeight="1" x14ac:dyDescent="0.35">
      <c r="C1117" s="100" t="str">
        <f>IF(OR(Fact_Administrativa[[#This Row], [Año]]="",Fact_Administrativa[[#This Row], [Mes]]=""),"",DATE(A1117,MATCH(B1117,{"enero","febrero","marzo","abril","mayo","junio","julio","agosto","septiembre","octubre","noviembre","diciembre"},0)+1,0))</f>
        <v/>
      </c>
      <c r="E1117" t="str">
        <f>+IFERROR(VLOOKUP(Fact_Administrativa[[#This Row], [Concepto Anterior]],Conceptos_Administrativa[#All],5,0),"")</f>
        <v/>
      </c>
      <c r="F1117" t="str">
        <f>+IFERROR(VLOOKUP(Fact_Administrativa[[#This Row], 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ht="18.75" customHeight="1" x14ac:dyDescent="0.35">
      <c r="C1118" s="100" t="str">
        <f>IF(OR(Fact_Administrativa[[#This Row], [Año]]="",Fact_Administrativa[[#This Row], [Mes]]=""),"",DATE(A1118,MATCH(B1118,{"enero","febrero","marzo","abril","mayo","junio","julio","agosto","septiembre","octubre","noviembre","diciembre"},0)+1,0))</f>
        <v/>
      </c>
      <c r="E1118" t="str">
        <f>+IFERROR(VLOOKUP(Fact_Administrativa[[#This Row], [Concepto Anterior]],Conceptos_Administrativa[#All],5,0),"")</f>
        <v/>
      </c>
      <c r="F1118" t="str">
        <f>+IFERROR(VLOOKUP(Fact_Administrativa[[#This Row], 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ht="18.75" customHeight="1" x14ac:dyDescent="0.35">
      <c r="C1119" s="100" t="str">
        <f>IF(OR(Fact_Administrativa[[#This Row], [Año]]="",Fact_Administrativa[[#This Row], [Mes]]=""),"",DATE(A1119,MATCH(B1119,{"enero","febrero","marzo","abril","mayo","junio","julio","agosto","septiembre","octubre","noviembre","diciembre"},0)+1,0))</f>
        <v/>
      </c>
      <c r="E1119" t="str">
        <f>+IFERROR(VLOOKUP(Fact_Administrativa[[#This Row], [Concepto Anterior]],Conceptos_Administrativa[#All],5,0),"")</f>
        <v/>
      </c>
      <c r="F1119" t="str">
        <f>+IFERROR(VLOOKUP(Fact_Administrativa[[#This Row], 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ht="18.75" customHeight="1" x14ac:dyDescent="0.35">
      <c r="C1120" s="100" t="str">
        <f>IF(OR(Fact_Administrativa[[#This Row], [Año]]="",Fact_Administrativa[[#This Row], [Mes]]=""),"",DATE(A1120,MATCH(B1120,{"enero","febrero","marzo","abril","mayo","junio","julio","agosto","septiembre","octubre","noviembre","diciembre"},0)+1,0))</f>
        <v/>
      </c>
      <c r="E1120" t="str">
        <f>+IFERROR(VLOOKUP(Fact_Administrativa[[#This Row], [Concepto Anterior]],Conceptos_Administrativa[#All],5,0),"")</f>
        <v/>
      </c>
      <c r="F1120" t="str">
        <f>+IFERROR(VLOOKUP(Fact_Administrativa[[#This Row], 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ht="18.75" customHeight="1" x14ac:dyDescent="0.35">
      <c r="C1121" s="100" t="str">
        <f>IF(OR(Fact_Administrativa[[#This Row], [Año]]="",Fact_Administrativa[[#This Row], [Mes]]=""),"",DATE(A1121,MATCH(B1121,{"enero","febrero","marzo","abril","mayo","junio","julio","agosto","septiembre","octubre","noviembre","diciembre"},0)+1,0))</f>
        <v/>
      </c>
      <c r="E1121" t="str">
        <f>+IFERROR(VLOOKUP(Fact_Administrativa[[#This Row], [Concepto Anterior]],Conceptos_Administrativa[#All],5,0),"")</f>
        <v/>
      </c>
      <c r="F1121" t="str">
        <f>+IFERROR(VLOOKUP(Fact_Administrativa[[#This Row], 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ht="18.75" customHeight="1" x14ac:dyDescent="0.35">
      <c r="C1122" s="100" t="str">
        <f>IF(OR(Fact_Administrativa[[#This Row], [Año]]="",Fact_Administrativa[[#This Row], [Mes]]=""),"",DATE(A1122,MATCH(B1122,{"enero","febrero","marzo","abril","mayo","junio","julio","agosto","septiembre","octubre","noviembre","diciembre"},0)+1,0))</f>
        <v/>
      </c>
      <c r="E1122" t="str">
        <f>+IFERROR(VLOOKUP(Fact_Administrativa[[#This Row], [Concepto Anterior]],Conceptos_Administrativa[#All],5,0),"")</f>
        <v/>
      </c>
      <c r="F1122" t="str">
        <f>+IFERROR(VLOOKUP(Fact_Administrativa[[#This Row], 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ht="18.75" customHeight="1" x14ac:dyDescent="0.35">
      <c r="C1123" s="100" t="str">
        <f>IF(OR(Fact_Administrativa[[#This Row], [Año]]="",Fact_Administrativa[[#This Row], [Mes]]=""),"",DATE(A1123,MATCH(B1123,{"enero","febrero","marzo","abril","mayo","junio","julio","agosto","septiembre","octubre","noviembre","diciembre"},0)+1,0))</f>
        <v/>
      </c>
      <c r="E1123" t="str">
        <f>+IFERROR(VLOOKUP(Fact_Administrativa[[#This Row], [Concepto Anterior]],Conceptos_Administrativa[#All],5,0),"")</f>
        <v/>
      </c>
      <c r="F1123" t="str">
        <f>+IFERROR(VLOOKUP(Fact_Administrativa[[#This Row], 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ht="18.75" customHeight="1" x14ac:dyDescent="0.35">
      <c r="C1124" s="100" t="str">
        <f>IF(OR(Fact_Administrativa[[#This Row], [Año]]="",Fact_Administrativa[[#This Row], [Mes]]=""),"",DATE(A1124,MATCH(B1124,{"enero","febrero","marzo","abril","mayo","junio","julio","agosto","septiembre","octubre","noviembre","diciembre"},0)+1,0))</f>
        <v/>
      </c>
      <c r="E1124" t="str">
        <f>+IFERROR(VLOOKUP(Fact_Administrativa[[#This Row], [Concepto Anterior]],Conceptos_Administrativa[#All],5,0),"")</f>
        <v/>
      </c>
      <c r="F1124" t="str">
        <f>+IFERROR(VLOOKUP(Fact_Administrativa[[#This Row], 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ht="18.75" customHeight="1" x14ac:dyDescent="0.35">
      <c r="C1125" s="100" t="str">
        <f>IF(OR(Fact_Administrativa[[#This Row], [Año]]="",Fact_Administrativa[[#This Row], [Mes]]=""),"",DATE(A1125,MATCH(B1125,{"enero","febrero","marzo","abril","mayo","junio","julio","agosto","septiembre","octubre","noviembre","diciembre"},0)+1,0))</f>
        <v/>
      </c>
      <c r="E1125" t="str">
        <f>+IFERROR(VLOOKUP(Fact_Administrativa[[#This Row], [Concepto Anterior]],Conceptos_Administrativa[#All],5,0),"")</f>
        <v/>
      </c>
      <c r="F1125" t="str">
        <f>+IFERROR(VLOOKUP(Fact_Administrativa[[#This Row], 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ht="18.75" customHeight="1" x14ac:dyDescent="0.35">
      <c r="C1126" s="100" t="str">
        <f>IF(OR(Fact_Administrativa[[#This Row], [Año]]="",Fact_Administrativa[[#This Row], [Mes]]=""),"",DATE(A1126,MATCH(B1126,{"enero","febrero","marzo","abril","mayo","junio","julio","agosto","septiembre","octubre","noviembre","diciembre"},0)+1,0))</f>
        <v/>
      </c>
      <c r="E1126" t="str">
        <f>+IFERROR(VLOOKUP(Fact_Administrativa[[#This Row], [Concepto Anterior]],Conceptos_Administrativa[#All],5,0),"")</f>
        <v/>
      </c>
      <c r="F1126" t="str">
        <f>+IFERROR(VLOOKUP(Fact_Administrativa[[#This Row], 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ht="18.75" customHeight="1" x14ac:dyDescent="0.35">
      <c r="C1127" s="100" t="str">
        <f>IF(OR(Fact_Administrativa[[#This Row], [Año]]="",Fact_Administrativa[[#This Row], [Mes]]=""),"",DATE(A1127,MATCH(B1127,{"enero","febrero","marzo","abril","mayo","junio","julio","agosto","septiembre","octubre","noviembre","diciembre"},0)+1,0))</f>
        <v/>
      </c>
      <c r="E1127" t="str">
        <f>+IFERROR(VLOOKUP(Fact_Administrativa[[#This Row], [Concepto Anterior]],Conceptos_Administrativa[#All],5,0),"")</f>
        <v/>
      </c>
      <c r="F1127" t="str">
        <f>+IFERROR(VLOOKUP(Fact_Administrativa[[#This Row], 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ht="18.75" customHeight="1" x14ac:dyDescent="0.35">
      <c r="C1128" s="100" t="str">
        <f>IF(OR(Fact_Administrativa[[#This Row], [Año]]="",Fact_Administrativa[[#This Row], [Mes]]=""),"",DATE(A1128,MATCH(B1128,{"enero","febrero","marzo","abril","mayo","junio","julio","agosto","septiembre","octubre","noviembre","diciembre"},0)+1,0))</f>
        <v/>
      </c>
      <c r="E1128" t="str">
        <f>+IFERROR(VLOOKUP(Fact_Administrativa[[#This Row], [Concepto Anterior]],Conceptos_Administrativa[#All],5,0),"")</f>
        <v/>
      </c>
      <c r="F1128" t="str">
        <f>+IFERROR(VLOOKUP(Fact_Administrativa[[#This Row], 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ht="18.75" customHeight="1" x14ac:dyDescent="0.35">
      <c r="C1129" s="100" t="str">
        <f>IF(OR(Fact_Administrativa[[#This Row], [Año]]="",Fact_Administrativa[[#This Row], [Mes]]=""),"",DATE(A1129,MATCH(B1129,{"enero","febrero","marzo","abril","mayo","junio","julio","agosto","septiembre","octubre","noviembre","diciembre"},0)+1,0))</f>
        <v/>
      </c>
      <c r="E1129" t="str">
        <f>+IFERROR(VLOOKUP(Fact_Administrativa[[#This Row], [Concepto Anterior]],Conceptos_Administrativa[#All],5,0),"")</f>
        <v/>
      </c>
      <c r="F1129" t="str">
        <f>+IFERROR(VLOOKUP(Fact_Administrativa[[#This Row], 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ht="18.75" customHeight="1" x14ac:dyDescent="0.35">
      <c r="C1130" s="100" t="str">
        <f>IF(OR(Fact_Administrativa[[#This Row], [Año]]="",Fact_Administrativa[[#This Row], [Mes]]=""),"",DATE(A1130,MATCH(B1130,{"enero","febrero","marzo","abril","mayo","junio","julio","agosto","septiembre","octubre","noviembre","diciembre"},0)+1,0))</f>
        <v/>
      </c>
      <c r="E1130" t="str">
        <f>+IFERROR(VLOOKUP(Fact_Administrativa[[#This Row], [Concepto Anterior]],Conceptos_Administrativa[#All],5,0),"")</f>
        <v/>
      </c>
      <c r="F1130" t="str">
        <f>+IFERROR(VLOOKUP(Fact_Administrativa[[#This Row], 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ht="18.75" customHeight="1" x14ac:dyDescent="0.35">
      <c r="C1131" s="100" t="str">
        <f>IF(OR(Fact_Administrativa[[#This Row], [Año]]="",Fact_Administrativa[[#This Row], [Mes]]=""),"",DATE(A1131,MATCH(B1131,{"enero","febrero","marzo","abril","mayo","junio","julio","agosto","septiembre","octubre","noviembre","diciembre"},0)+1,0))</f>
        <v/>
      </c>
      <c r="E1131" t="str">
        <f>+IFERROR(VLOOKUP(Fact_Administrativa[[#This Row], [Concepto Anterior]],Conceptos_Administrativa[#All],5,0),"")</f>
        <v/>
      </c>
      <c r="F1131" t="str">
        <f>+IFERROR(VLOOKUP(Fact_Administrativa[[#This Row], 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ht="18.75" customHeight="1" x14ac:dyDescent="0.35">
      <c r="C1132" s="100" t="str">
        <f>IF(OR(Fact_Administrativa[[#This Row], [Año]]="",Fact_Administrativa[[#This Row], [Mes]]=""),"",DATE(A1132,MATCH(B1132,{"enero","febrero","marzo","abril","mayo","junio","julio","agosto","septiembre","octubre","noviembre","diciembre"},0)+1,0))</f>
        <v/>
      </c>
      <c r="E1132" t="str">
        <f>+IFERROR(VLOOKUP(Fact_Administrativa[[#This Row], [Concepto Anterior]],Conceptos_Administrativa[#All],5,0),"")</f>
        <v/>
      </c>
      <c r="F1132" t="str">
        <f>+IFERROR(VLOOKUP(Fact_Administrativa[[#This Row], 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ht="18.75" customHeight="1" x14ac:dyDescent="0.35">
      <c r="C1133" s="100" t="str">
        <f>IF(OR(Fact_Administrativa[[#This Row], [Año]]="",Fact_Administrativa[[#This Row], [Mes]]=""),"",DATE(A1133,MATCH(B1133,{"enero","febrero","marzo","abril","mayo","junio","julio","agosto","septiembre","octubre","noviembre","diciembre"},0)+1,0))</f>
        <v/>
      </c>
      <c r="E1133" t="str">
        <f>+IFERROR(VLOOKUP(Fact_Administrativa[[#This Row], [Concepto Anterior]],Conceptos_Administrativa[#All],5,0),"")</f>
        <v/>
      </c>
      <c r="F1133" t="str">
        <f>+IFERROR(VLOOKUP(Fact_Administrativa[[#This Row], 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ht="18.75" customHeight="1" x14ac:dyDescent="0.35">
      <c r="C1134" s="100" t="str">
        <f>IF(OR(Fact_Administrativa[[#This Row], [Año]]="",Fact_Administrativa[[#This Row], [Mes]]=""),"",DATE(A1134,MATCH(B1134,{"enero","febrero","marzo","abril","mayo","junio","julio","agosto","septiembre","octubre","noviembre","diciembre"},0)+1,0))</f>
        <v/>
      </c>
      <c r="E1134" t="str">
        <f>+IFERROR(VLOOKUP(Fact_Administrativa[[#This Row], [Concepto Anterior]],Conceptos_Administrativa[#All],5,0),"")</f>
        <v/>
      </c>
      <c r="F1134" t="str">
        <f>+IFERROR(VLOOKUP(Fact_Administrativa[[#This Row], 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ht="18.75" customHeight="1" x14ac:dyDescent="0.35">
      <c r="C1135" s="100" t="str">
        <f>IF(OR(Fact_Administrativa[[#This Row], [Año]]="",Fact_Administrativa[[#This Row], [Mes]]=""),"",DATE(A1135,MATCH(B1135,{"enero","febrero","marzo","abril","mayo","junio","julio","agosto","septiembre","octubre","noviembre","diciembre"},0)+1,0))</f>
        <v/>
      </c>
      <c r="E1135" t="str">
        <f>+IFERROR(VLOOKUP(Fact_Administrativa[[#This Row], [Concepto Anterior]],Conceptos_Administrativa[#All],5,0),"")</f>
        <v/>
      </c>
      <c r="F1135" t="str">
        <f>+IFERROR(VLOOKUP(Fact_Administrativa[[#This Row], 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ht="18.75" customHeight="1" x14ac:dyDescent="0.35">
      <c r="C1136" s="100" t="str">
        <f>IF(OR(Fact_Administrativa[[#This Row], [Año]]="",Fact_Administrativa[[#This Row], [Mes]]=""),"",DATE(A1136,MATCH(B1136,{"enero","febrero","marzo","abril","mayo","junio","julio","agosto","septiembre","octubre","noviembre","diciembre"},0)+1,0))</f>
        <v/>
      </c>
      <c r="E1136" t="str">
        <f>+IFERROR(VLOOKUP(Fact_Administrativa[[#This Row], [Concepto Anterior]],Conceptos_Administrativa[#All],5,0),"")</f>
        <v/>
      </c>
      <c r="F1136" t="str">
        <f>+IFERROR(VLOOKUP(Fact_Administrativa[[#This Row], 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ht="18.75" customHeight="1" x14ac:dyDescent="0.35">
      <c r="C1137" s="100" t="str">
        <f>IF(OR(Fact_Administrativa[[#This Row], [Año]]="",Fact_Administrativa[[#This Row], [Mes]]=""),"",DATE(A1137,MATCH(B1137,{"enero","febrero","marzo","abril","mayo","junio","julio","agosto","septiembre","octubre","noviembre","diciembre"},0)+1,0))</f>
        <v/>
      </c>
      <c r="E1137" t="str">
        <f>+IFERROR(VLOOKUP(Fact_Administrativa[[#This Row], [Concepto Anterior]],Conceptos_Administrativa[#All],5,0),"")</f>
        <v/>
      </c>
      <c r="F1137" t="str">
        <f>+IFERROR(VLOOKUP(Fact_Administrativa[[#This Row], 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ht="18.75" customHeight="1" x14ac:dyDescent="0.35">
      <c r="C1138" s="100" t="str">
        <f>IF(OR(Fact_Administrativa[[#This Row], [Año]]="",Fact_Administrativa[[#This Row], [Mes]]=""),"",DATE(A1138,MATCH(B1138,{"enero","febrero","marzo","abril","mayo","junio","julio","agosto","septiembre","octubre","noviembre","diciembre"},0)+1,0))</f>
        <v/>
      </c>
      <c r="E1138" t="str">
        <f>+IFERROR(VLOOKUP(Fact_Administrativa[[#This Row], [Concepto Anterior]],Conceptos_Administrativa[#All],5,0),"")</f>
        <v/>
      </c>
      <c r="F1138" t="str">
        <f>+IFERROR(VLOOKUP(Fact_Administrativa[[#This Row], 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ht="18.75" customHeight="1" x14ac:dyDescent="0.35">
      <c r="C1139" s="100" t="str">
        <f>IF(OR(Fact_Administrativa[[#This Row], [Año]]="",Fact_Administrativa[[#This Row], [Mes]]=""),"",DATE(A1139,MATCH(B1139,{"enero","febrero","marzo","abril","mayo","junio","julio","agosto","septiembre","octubre","noviembre","diciembre"},0)+1,0))</f>
        <v/>
      </c>
      <c r="E1139" t="str">
        <f>+IFERROR(VLOOKUP(Fact_Administrativa[[#This Row], [Concepto Anterior]],Conceptos_Administrativa[#All],5,0),"")</f>
        <v/>
      </c>
      <c r="F1139" t="str">
        <f>+IFERROR(VLOOKUP(Fact_Administrativa[[#This Row], 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ht="18.75" customHeight="1" x14ac:dyDescent="0.35">
      <c r="C1140" s="100" t="str">
        <f>IF(OR(Fact_Administrativa[[#This Row], [Año]]="",Fact_Administrativa[[#This Row], [Mes]]=""),"",DATE(A1140,MATCH(B1140,{"enero","febrero","marzo","abril","mayo","junio","julio","agosto","septiembre","octubre","noviembre","diciembre"},0)+1,0))</f>
        <v/>
      </c>
      <c r="E1140" t="str">
        <f>+IFERROR(VLOOKUP(Fact_Administrativa[[#This Row], [Concepto Anterior]],Conceptos_Administrativa[#All],5,0),"")</f>
        <v/>
      </c>
      <c r="F1140" t="str">
        <f>+IFERROR(VLOOKUP(Fact_Administrativa[[#This Row], 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ht="18.75" customHeight="1" x14ac:dyDescent="0.35">
      <c r="C1141" s="100" t="str">
        <f>IF(OR(Fact_Administrativa[[#This Row], [Año]]="",Fact_Administrativa[[#This Row], [Mes]]=""),"",DATE(A1141,MATCH(B1141,{"enero","febrero","marzo","abril","mayo","junio","julio","agosto","septiembre","octubre","noviembre","diciembre"},0)+1,0))</f>
        <v/>
      </c>
      <c r="E1141" t="str">
        <f>+IFERROR(VLOOKUP(Fact_Administrativa[[#This Row], [Concepto Anterior]],Conceptos_Administrativa[#All],5,0),"")</f>
        <v/>
      </c>
      <c r="F1141" t="str">
        <f>+IFERROR(VLOOKUP(Fact_Administrativa[[#This Row], 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ht="18.75" customHeight="1" x14ac:dyDescent="0.35">
      <c r="C1142" s="100" t="str">
        <f>IF(OR(Fact_Administrativa[[#This Row], [Año]]="",Fact_Administrativa[[#This Row], [Mes]]=""),"",DATE(A1142,MATCH(B1142,{"enero","febrero","marzo","abril","mayo","junio","julio","agosto","septiembre","octubre","noviembre","diciembre"},0)+1,0))</f>
        <v/>
      </c>
      <c r="E1142" t="str">
        <f>+IFERROR(VLOOKUP(Fact_Administrativa[[#This Row], [Concepto Anterior]],Conceptos_Administrativa[#All],5,0),"")</f>
        <v/>
      </c>
      <c r="F1142" t="str">
        <f>+IFERROR(VLOOKUP(Fact_Administrativa[[#This Row], 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ht="18.75" customHeight="1" x14ac:dyDescent="0.35">
      <c r="C1143" s="100" t="str">
        <f>IF(OR(Fact_Administrativa[[#This Row], [Año]]="",Fact_Administrativa[[#This Row], [Mes]]=""),"",DATE(A1143,MATCH(B1143,{"enero","febrero","marzo","abril","mayo","junio","julio","agosto","septiembre","octubre","noviembre","diciembre"},0)+1,0))</f>
        <v/>
      </c>
      <c r="E1143" t="str">
        <f>+IFERROR(VLOOKUP(Fact_Administrativa[[#This Row], [Concepto Anterior]],Conceptos_Administrativa[#All],5,0),"")</f>
        <v/>
      </c>
      <c r="F1143" t="str">
        <f>+IFERROR(VLOOKUP(Fact_Administrativa[[#This Row], 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ht="18.75" customHeight="1" x14ac:dyDescent="0.35">
      <c r="C1144" s="100" t="str">
        <f>IF(OR(Fact_Administrativa[[#This Row], [Año]]="",Fact_Administrativa[[#This Row], [Mes]]=""),"",DATE(A1144,MATCH(B1144,{"enero","febrero","marzo","abril","mayo","junio","julio","agosto","septiembre","octubre","noviembre","diciembre"},0)+1,0))</f>
        <v/>
      </c>
      <c r="E1144" t="str">
        <f>+IFERROR(VLOOKUP(Fact_Administrativa[[#This Row], [Concepto Anterior]],Conceptos_Administrativa[#All],5,0),"")</f>
        <v/>
      </c>
      <c r="F1144" t="str">
        <f>+IFERROR(VLOOKUP(Fact_Administrativa[[#This Row], 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ht="18.75" customHeight="1" x14ac:dyDescent="0.35">
      <c r="C1145" s="100" t="str">
        <f>IF(OR(Fact_Administrativa[[#This Row], [Año]]="",Fact_Administrativa[[#This Row], [Mes]]=""),"",DATE(A1145,MATCH(B1145,{"enero","febrero","marzo","abril","mayo","junio","julio","agosto","septiembre","octubre","noviembre","diciembre"},0)+1,0))</f>
        <v/>
      </c>
      <c r="E1145" t="str">
        <f>+IFERROR(VLOOKUP(Fact_Administrativa[[#This Row], [Concepto Anterior]],Conceptos_Administrativa[#All],5,0),"")</f>
        <v/>
      </c>
      <c r="F1145" t="str">
        <f>+IFERROR(VLOOKUP(Fact_Administrativa[[#This Row], 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ht="18.75" customHeight="1" x14ac:dyDescent="0.35">
      <c r="C1146" s="100" t="str">
        <f>IF(OR(Fact_Administrativa[[#This Row], [Año]]="",Fact_Administrativa[[#This Row], [Mes]]=""),"",DATE(A1146,MATCH(B1146,{"enero","febrero","marzo","abril","mayo","junio","julio","agosto","septiembre","octubre","noviembre","diciembre"},0)+1,0))</f>
        <v/>
      </c>
      <c r="E1146" t="str">
        <f>+IFERROR(VLOOKUP(Fact_Administrativa[[#This Row], [Concepto Anterior]],Conceptos_Administrativa[#All],5,0),"")</f>
        <v/>
      </c>
      <c r="F1146" t="str">
        <f>+IFERROR(VLOOKUP(Fact_Administrativa[[#This Row], 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ht="18.75" customHeight="1" x14ac:dyDescent="0.35">
      <c r="C1147" s="100" t="str">
        <f>IF(OR(Fact_Administrativa[[#This Row], [Año]]="",Fact_Administrativa[[#This Row], [Mes]]=""),"",DATE(A1147,MATCH(B1147,{"enero","febrero","marzo","abril","mayo","junio","julio","agosto","septiembre","octubre","noviembre","diciembre"},0)+1,0))</f>
        <v/>
      </c>
      <c r="E1147" t="str">
        <f>+IFERROR(VLOOKUP(Fact_Administrativa[[#This Row], [Concepto Anterior]],Conceptos_Administrativa[#All],5,0),"")</f>
        <v/>
      </c>
      <c r="F1147" t="str">
        <f>+IFERROR(VLOOKUP(Fact_Administrativa[[#This Row], 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ht="18.75" customHeight="1" x14ac:dyDescent="0.35">
      <c r="C1148" s="100" t="str">
        <f>IF(OR(Fact_Administrativa[[#This Row], [Año]]="",Fact_Administrativa[[#This Row], [Mes]]=""),"",DATE(A1148,MATCH(B1148,{"enero","febrero","marzo","abril","mayo","junio","julio","agosto","septiembre","octubre","noviembre","diciembre"},0)+1,0))</f>
        <v/>
      </c>
      <c r="E1148" t="str">
        <f>+IFERROR(VLOOKUP(Fact_Administrativa[[#This Row], [Concepto Anterior]],Conceptos_Administrativa[#All],5,0),"")</f>
        <v/>
      </c>
      <c r="F1148" t="str">
        <f>+IFERROR(VLOOKUP(Fact_Administrativa[[#This Row], 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ht="18.75" customHeight="1" x14ac:dyDescent="0.35">
      <c r="C1149" s="100" t="str">
        <f>IF(OR(Fact_Administrativa[[#This Row], [Año]]="",Fact_Administrativa[[#This Row], [Mes]]=""),"",DATE(A1149,MATCH(B1149,{"enero","febrero","marzo","abril","mayo","junio","julio","agosto","septiembre","octubre","noviembre","diciembre"},0)+1,0))</f>
        <v/>
      </c>
      <c r="E1149" t="str">
        <f>+IFERROR(VLOOKUP(Fact_Administrativa[[#This Row], [Concepto Anterior]],Conceptos_Administrativa[#All],5,0),"")</f>
        <v/>
      </c>
      <c r="F1149" t="str">
        <f>+IFERROR(VLOOKUP(Fact_Administrativa[[#This Row], 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ht="18.75" customHeight="1" x14ac:dyDescent="0.35">
      <c r="C1150" s="100" t="str">
        <f>IF(OR(Fact_Administrativa[[#This Row], [Año]]="",Fact_Administrativa[[#This Row], [Mes]]=""),"",DATE(A1150,MATCH(B1150,{"enero","febrero","marzo","abril","mayo","junio","julio","agosto","septiembre","octubre","noviembre","diciembre"},0)+1,0))</f>
        <v/>
      </c>
      <c r="E1150" t="str">
        <f>+IFERROR(VLOOKUP(Fact_Administrativa[[#This Row], [Concepto Anterior]],Conceptos_Administrativa[#All],5,0),"")</f>
        <v/>
      </c>
      <c r="F1150" t="str">
        <f>+IFERROR(VLOOKUP(Fact_Administrativa[[#This Row], 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ht="18.75" customHeight="1" x14ac:dyDescent="0.35">
      <c r="C1151" s="100" t="str">
        <f>IF(OR(Fact_Administrativa[[#This Row], [Año]]="",Fact_Administrativa[[#This Row], [Mes]]=""),"",DATE(A1151,MATCH(B1151,{"enero","febrero","marzo","abril","mayo","junio","julio","agosto","septiembre","octubre","noviembre","diciembre"},0)+1,0))</f>
        <v/>
      </c>
      <c r="E1151" t="str">
        <f>+IFERROR(VLOOKUP(Fact_Administrativa[[#This Row], [Concepto Anterior]],Conceptos_Administrativa[#All],5,0),"")</f>
        <v/>
      </c>
      <c r="F1151" t="str">
        <f>+IFERROR(VLOOKUP(Fact_Administrativa[[#This Row], 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ht="18.75" customHeight="1" x14ac:dyDescent="0.35">
      <c r="C1152" s="100" t="str">
        <f>IF(OR(Fact_Administrativa[[#This Row], [Año]]="",Fact_Administrativa[[#This Row], [Mes]]=""),"",DATE(A1152,MATCH(B1152,{"enero","febrero","marzo","abril","mayo","junio","julio","agosto","septiembre","octubre","noviembre","diciembre"},0)+1,0))</f>
        <v/>
      </c>
      <c r="E1152" t="str">
        <f>+IFERROR(VLOOKUP(Fact_Administrativa[[#This Row], [Concepto Anterior]],Conceptos_Administrativa[#All],5,0),"")</f>
        <v/>
      </c>
      <c r="F1152" t="str">
        <f>+IFERROR(VLOOKUP(Fact_Administrativa[[#This Row], 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ht="18.75" customHeight="1" x14ac:dyDescent="0.35">
      <c r="C1153" s="100" t="str">
        <f>IF(OR(Fact_Administrativa[[#This Row], [Año]]="",Fact_Administrativa[[#This Row], [Mes]]=""),"",DATE(A1153,MATCH(B1153,{"enero","febrero","marzo","abril","mayo","junio","julio","agosto","septiembre","octubre","noviembre","diciembre"},0)+1,0))</f>
        <v/>
      </c>
      <c r="E1153" t="str">
        <f>+IFERROR(VLOOKUP(Fact_Administrativa[[#This Row], [Concepto Anterior]],Conceptos_Administrativa[#All],5,0),"")</f>
        <v/>
      </c>
      <c r="F1153" t="str">
        <f>+IFERROR(VLOOKUP(Fact_Administrativa[[#This Row], 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ht="18.75" customHeight="1" x14ac:dyDescent="0.35">
      <c r="C1154" s="100" t="str">
        <f>IF(OR(Fact_Administrativa[[#This Row], [Año]]="",Fact_Administrativa[[#This Row], [Mes]]=""),"",DATE(A1154,MATCH(B1154,{"enero","febrero","marzo","abril","mayo","junio","julio","agosto","septiembre","octubre","noviembre","diciembre"},0)+1,0))</f>
        <v/>
      </c>
      <c r="E1154" t="str">
        <f>+IFERROR(VLOOKUP(Fact_Administrativa[[#This Row], [Concepto Anterior]],Conceptos_Administrativa[#All],5,0),"")</f>
        <v/>
      </c>
      <c r="F1154" t="str">
        <f>+IFERROR(VLOOKUP(Fact_Administrativa[[#This Row], 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ht="18.75" customHeight="1" x14ac:dyDescent="0.35">
      <c r="C1155" s="100" t="str">
        <f>IF(OR(Fact_Administrativa[[#This Row], [Año]]="",Fact_Administrativa[[#This Row], [Mes]]=""),"",DATE(A1155,MATCH(B1155,{"enero","febrero","marzo","abril","mayo","junio","julio","agosto","septiembre","octubre","noviembre","diciembre"},0)+1,0))</f>
        <v/>
      </c>
      <c r="E1155" t="str">
        <f>+IFERROR(VLOOKUP(Fact_Administrativa[[#This Row], [Concepto Anterior]],Conceptos_Administrativa[#All],5,0),"")</f>
        <v/>
      </c>
      <c r="F1155" t="str">
        <f>+IFERROR(VLOOKUP(Fact_Administrativa[[#This Row], 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ht="18.75" customHeight="1" x14ac:dyDescent="0.35">
      <c r="C1156" s="100" t="str">
        <f>IF(OR(Fact_Administrativa[[#This Row], [Año]]="",Fact_Administrativa[[#This Row], [Mes]]=""),"",DATE(A1156,MATCH(B1156,{"enero","febrero","marzo","abril","mayo","junio","julio","agosto","septiembre","octubre","noviembre","diciembre"},0)+1,0))</f>
        <v/>
      </c>
      <c r="E1156" t="str">
        <f>+IFERROR(VLOOKUP(Fact_Administrativa[[#This Row], [Concepto Anterior]],Conceptos_Administrativa[#All],5,0),"")</f>
        <v/>
      </c>
      <c r="F1156" t="str">
        <f>+IFERROR(VLOOKUP(Fact_Administrativa[[#This Row], 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ht="18.75" customHeight="1" x14ac:dyDescent="0.35">
      <c r="C1157" s="100" t="str">
        <f>IF(OR(Fact_Administrativa[[#This Row], [Año]]="",Fact_Administrativa[[#This Row], [Mes]]=""),"",DATE(A1157,MATCH(B1157,{"enero","febrero","marzo","abril","mayo","junio","julio","agosto","septiembre","octubre","noviembre","diciembre"},0)+1,0))</f>
        <v/>
      </c>
      <c r="E1157" t="str">
        <f>+IFERROR(VLOOKUP(Fact_Administrativa[[#This Row], [Concepto Anterior]],Conceptos_Administrativa[#All],5,0),"")</f>
        <v/>
      </c>
      <c r="F1157" t="str">
        <f>+IFERROR(VLOOKUP(Fact_Administrativa[[#This Row], 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ht="18.75" customHeight="1" x14ac:dyDescent="0.35">
      <c r="C1158" s="100" t="str">
        <f>IF(OR(Fact_Administrativa[[#This Row], [Año]]="",Fact_Administrativa[[#This Row], [Mes]]=""),"",DATE(A1158,MATCH(B1158,{"enero","febrero","marzo","abril","mayo","junio","julio","agosto","septiembre","octubre","noviembre","diciembre"},0)+1,0))</f>
        <v/>
      </c>
      <c r="E1158" t="str">
        <f>+IFERROR(VLOOKUP(Fact_Administrativa[[#This Row], [Concepto Anterior]],Conceptos_Administrativa[#All],5,0),"")</f>
        <v/>
      </c>
      <c r="F1158" t="str">
        <f>+IFERROR(VLOOKUP(Fact_Administrativa[[#This Row], 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ht="18.75" customHeight="1" x14ac:dyDescent="0.35">
      <c r="C1159" s="100" t="str">
        <f>IF(OR(Fact_Administrativa[[#This Row], [Año]]="",Fact_Administrativa[[#This Row], [Mes]]=""),"",DATE(A1159,MATCH(B1159,{"enero","febrero","marzo","abril","mayo","junio","julio","agosto","septiembre","octubre","noviembre","diciembre"},0)+1,0))</f>
        <v/>
      </c>
      <c r="E1159" t="str">
        <f>+IFERROR(VLOOKUP(Fact_Administrativa[[#This Row], [Concepto Anterior]],Conceptos_Administrativa[#All],5,0),"")</f>
        <v/>
      </c>
      <c r="F1159" t="str">
        <f>+IFERROR(VLOOKUP(Fact_Administrativa[[#This Row], 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ht="18.75" customHeight="1" x14ac:dyDescent="0.35">
      <c r="C1160" s="100" t="str">
        <f>IF(OR(Fact_Administrativa[[#This Row], [Año]]="",Fact_Administrativa[[#This Row], [Mes]]=""),"",DATE(A1160,MATCH(B1160,{"enero","febrero","marzo","abril","mayo","junio","julio","agosto","septiembre","octubre","noviembre","diciembre"},0)+1,0))</f>
        <v/>
      </c>
      <c r="E1160" t="str">
        <f>+IFERROR(VLOOKUP(Fact_Administrativa[[#This Row], [Concepto Anterior]],Conceptos_Administrativa[#All],5,0),"")</f>
        <v/>
      </c>
      <c r="F1160" t="str">
        <f>+IFERROR(VLOOKUP(Fact_Administrativa[[#This Row], 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ht="18.75" customHeight="1" x14ac:dyDescent="0.35">
      <c r="C1161" s="100" t="str">
        <f>IF(OR(Fact_Administrativa[[#This Row], [Año]]="",Fact_Administrativa[[#This Row], [Mes]]=""),"",DATE(A1161,MATCH(B1161,{"enero","febrero","marzo","abril","mayo","junio","julio","agosto","septiembre","octubre","noviembre","diciembre"},0)+1,0))</f>
        <v/>
      </c>
      <c r="E1161" t="str">
        <f>+IFERROR(VLOOKUP(Fact_Administrativa[[#This Row], [Concepto Anterior]],Conceptos_Administrativa[#All],5,0),"")</f>
        <v/>
      </c>
      <c r="F1161" t="str">
        <f>+IFERROR(VLOOKUP(Fact_Administrativa[[#This Row], 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ht="18.75" customHeight="1" x14ac:dyDescent="0.35">
      <c r="C1162" s="100" t="str">
        <f>IF(OR(Fact_Administrativa[[#This Row], [Año]]="",Fact_Administrativa[[#This Row], [Mes]]=""),"",DATE(A1162,MATCH(B1162,{"enero","febrero","marzo","abril","mayo","junio","julio","agosto","septiembre","octubre","noviembre","diciembre"},0)+1,0))</f>
        <v/>
      </c>
      <c r="E1162" t="str">
        <f>+IFERROR(VLOOKUP(Fact_Administrativa[[#This Row], [Concepto Anterior]],Conceptos_Administrativa[#All],5,0),"")</f>
        <v/>
      </c>
      <c r="F1162" t="str">
        <f>+IFERROR(VLOOKUP(Fact_Administrativa[[#This Row], 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ht="18.75" customHeight="1" x14ac:dyDescent="0.35">
      <c r="C1163" s="100" t="str">
        <f>IF(OR(Fact_Administrativa[[#This Row], [Año]]="",Fact_Administrativa[[#This Row], [Mes]]=""),"",DATE(A1163,MATCH(B1163,{"enero","febrero","marzo","abril","mayo","junio","julio","agosto","septiembre","octubre","noviembre","diciembre"},0)+1,0))</f>
        <v/>
      </c>
      <c r="E1163" t="str">
        <f>+IFERROR(VLOOKUP(Fact_Administrativa[[#This Row], [Concepto Anterior]],Conceptos_Administrativa[#All],5,0),"")</f>
        <v/>
      </c>
      <c r="F1163" t="str">
        <f>+IFERROR(VLOOKUP(Fact_Administrativa[[#This Row], 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ht="18.75" customHeight="1" x14ac:dyDescent="0.35">
      <c r="C1164" s="100" t="str">
        <f>IF(OR(Fact_Administrativa[[#This Row], [Año]]="",Fact_Administrativa[[#This Row], [Mes]]=""),"",DATE(A1164,MATCH(B1164,{"enero","febrero","marzo","abril","mayo","junio","julio","agosto","septiembre","octubre","noviembre","diciembre"},0)+1,0))</f>
        <v/>
      </c>
      <c r="E1164" t="str">
        <f>+IFERROR(VLOOKUP(Fact_Administrativa[[#This Row], [Concepto Anterior]],Conceptos_Administrativa[#All],5,0),"")</f>
        <v/>
      </c>
      <c r="F1164" t="str">
        <f>+IFERROR(VLOOKUP(Fact_Administrativa[[#This Row], 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ht="18.75" customHeight="1" x14ac:dyDescent="0.35">
      <c r="C1165" s="100" t="str">
        <f>IF(OR(Fact_Administrativa[[#This Row], [Año]]="",Fact_Administrativa[[#This Row], [Mes]]=""),"",DATE(A1165,MATCH(B1165,{"enero","febrero","marzo","abril","mayo","junio","julio","agosto","septiembre","octubre","noviembre","diciembre"},0)+1,0))</f>
        <v/>
      </c>
      <c r="E1165" t="str">
        <f>+IFERROR(VLOOKUP(Fact_Administrativa[[#This Row], [Concepto Anterior]],Conceptos_Administrativa[#All],5,0),"")</f>
        <v/>
      </c>
      <c r="F1165" t="str">
        <f>+IFERROR(VLOOKUP(Fact_Administrativa[[#This Row], 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ht="18.75" customHeight="1" x14ac:dyDescent="0.35">
      <c r="C1166" s="100" t="str">
        <f>IF(OR(Fact_Administrativa[[#This Row], [Año]]="",Fact_Administrativa[[#This Row], [Mes]]=""),"",DATE(A1166,MATCH(B1166,{"enero","febrero","marzo","abril","mayo","junio","julio","agosto","septiembre","octubre","noviembre","diciembre"},0)+1,0))</f>
        <v/>
      </c>
      <c r="E1166" t="str">
        <f>+IFERROR(VLOOKUP(Fact_Administrativa[[#This Row], [Concepto Anterior]],Conceptos_Administrativa[#All],5,0),"")</f>
        <v/>
      </c>
      <c r="F1166" t="str">
        <f>+IFERROR(VLOOKUP(Fact_Administrativa[[#This Row], 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ht="18.75" customHeight="1" x14ac:dyDescent="0.35">
      <c r="C1167" s="100" t="str">
        <f>IF(OR(Fact_Administrativa[[#This Row], [Año]]="",Fact_Administrativa[[#This Row], [Mes]]=""),"",DATE(A1167,MATCH(B1167,{"enero","febrero","marzo","abril","mayo","junio","julio","agosto","septiembre","octubre","noviembre","diciembre"},0)+1,0))</f>
        <v/>
      </c>
      <c r="E1167" t="str">
        <f>+IFERROR(VLOOKUP(Fact_Administrativa[[#This Row], [Concepto Anterior]],Conceptos_Administrativa[#All],5,0),"")</f>
        <v/>
      </c>
      <c r="F1167" t="str">
        <f>+IFERROR(VLOOKUP(Fact_Administrativa[[#This Row], 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ht="18.75" customHeight="1" x14ac:dyDescent="0.35">
      <c r="C1168" s="100" t="str">
        <f>IF(OR(Fact_Administrativa[[#This Row], [Año]]="",Fact_Administrativa[[#This Row], [Mes]]=""),"",DATE(A1168,MATCH(B1168,{"enero","febrero","marzo","abril","mayo","junio","julio","agosto","septiembre","octubre","noviembre","diciembre"},0)+1,0))</f>
        <v/>
      </c>
      <c r="E1168" t="str">
        <f>+IFERROR(VLOOKUP(Fact_Administrativa[[#This Row], [Concepto Anterior]],Conceptos_Administrativa[#All],5,0),"")</f>
        <v/>
      </c>
      <c r="F1168" t="str">
        <f>+IFERROR(VLOOKUP(Fact_Administrativa[[#This Row], 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ht="18.75" customHeight="1" x14ac:dyDescent="0.35">
      <c r="C1169" s="100" t="str">
        <f>IF(OR(Fact_Administrativa[[#This Row], [Año]]="",Fact_Administrativa[[#This Row], [Mes]]=""),"",DATE(A1169,MATCH(B1169,{"enero","febrero","marzo","abril","mayo","junio","julio","agosto","septiembre","octubre","noviembre","diciembre"},0)+1,0))</f>
        <v/>
      </c>
      <c r="E1169" t="str">
        <f>+IFERROR(VLOOKUP(Fact_Administrativa[[#This Row], [Concepto Anterior]],Conceptos_Administrativa[#All],5,0),"")</f>
        <v/>
      </c>
      <c r="F1169" t="str">
        <f>+IFERROR(VLOOKUP(Fact_Administrativa[[#This Row], 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ht="18.75" customHeight="1" x14ac:dyDescent="0.35">
      <c r="C1170" s="100" t="str">
        <f>IF(OR(Fact_Administrativa[[#This Row], [Año]]="",Fact_Administrativa[[#This Row], [Mes]]=""),"",DATE(A1170,MATCH(B1170,{"enero","febrero","marzo","abril","mayo","junio","julio","agosto","septiembre","octubre","noviembre","diciembre"},0)+1,0))</f>
        <v/>
      </c>
      <c r="E1170" t="str">
        <f>+IFERROR(VLOOKUP(Fact_Administrativa[[#This Row], [Concepto Anterior]],Conceptos_Administrativa[#All],5,0),"")</f>
        <v/>
      </c>
      <c r="F1170" t="str">
        <f>+IFERROR(VLOOKUP(Fact_Administrativa[[#This Row], 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ht="18.75" customHeight="1" x14ac:dyDescent="0.35">
      <c r="C1171" s="100" t="str">
        <f>IF(OR(Fact_Administrativa[[#This Row], [Año]]="",Fact_Administrativa[[#This Row], [Mes]]=""),"",DATE(A1171,MATCH(B1171,{"enero","febrero","marzo","abril","mayo","junio","julio","agosto","septiembre","octubre","noviembre","diciembre"},0)+1,0))</f>
        <v/>
      </c>
      <c r="E1171" t="str">
        <f>+IFERROR(VLOOKUP(Fact_Administrativa[[#This Row], [Concepto Anterior]],Conceptos_Administrativa[#All],5,0),"")</f>
        <v/>
      </c>
      <c r="F1171" t="str">
        <f>+IFERROR(VLOOKUP(Fact_Administrativa[[#This Row], 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ht="18.75" customHeight="1" x14ac:dyDescent="0.35">
      <c r="C1172" s="100" t="str">
        <f>IF(OR(Fact_Administrativa[[#This Row], [Año]]="",Fact_Administrativa[[#This Row], [Mes]]=""),"",DATE(A1172,MATCH(B1172,{"enero","febrero","marzo","abril","mayo","junio","julio","agosto","septiembre","octubre","noviembre","diciembre"},0)+1,0))</f>
        <v/>
      </c>
      <c r="E1172" t="str">
        <f>+IFERROR(VLOOKUP(Fact_Administrativa[[#This Row], [Concepto Anterior]],Conceptos_Administrativa[#All],5,0),"")</f>
        <v/>
      </c>
      <c r="F1172" t="str">
        <f>+IFERROR(VLOOKUP(Fact_Administrativa[[#This Row], 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ht="18.75" customHeight="1" x14ac:dyDescent="0.35">
      <c r="C1173" s="100" t="str">
        <f>IF(OR(Fact_Administrativa[[#This Row], [Año]]="",Fact_Administrativa[[#This Row], [Mes]]=""),"",DATE(A1173,MATCH(B1173,{"enero","febrero","marzo","abril","mayo","junio","julio","agosto","septiembre","octubre","noviembre","diciembre"},0)+1,0))</f>
        <v/>
      </c>
      <c r="E1173" t="str">
        <f>+IFERROR(VLOOKUP(Fact_Administrativa[[#This Row], [Concepto Anterior]],Conceptos_Administrativa[#All],5,0),"")</f>
        <v/>
      </c>
      <c r="F1173" t="str">
        <f>+IFERROR(VLOOKUP(Fact_Administrativa[[#This Row], 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ht="18.75" customHeight="1" x14ac:dyDescent="0.35">
      <c r="C1174" s="100" t="str">
        <f>IF(OR(Fact_Administrativa[[#This Row], [Año]]="",Fact_Administrativa[[#This Row], [Mes]]=""),"",DATE(A1174,MATCH(B1174,{"enero","febrero","marzo","abril","mayo","junio","julio","agosto","septiembre","octubre","noviembre","diciembre"},0)+1,0))</f>
        <v/>
      </c>
      <c r="E1174" t="str">
        <f>+IFERROR(VLOOKUP(Fact_Administrativa[[#This Row], [Concepto Anterior]],Conceptos_Administrativa[#All],5,0),"")</f>
        <v/>
      </c>
      <c r="F1174" t="str">
        <f>+IFERROR(VLOOKUP(Fact_Administrativa[[#This Row], 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ht="18.75" customHeight="1" x14ac:dyDescent="0.35">
      <c r="C1175" s="100" t="str">
        <f>IF(OR(Fact_Administrativa[[#This Row], [Año]]="",Fact_Administrativa[[#This Row], [Mes]]=""),"",DATE(A1175,MATCH(B1175,{"enero","febrero","marzo","abril","mayo","junio","julio","agosto","septiembre","octubre","noviembre","diciembre"},0)+1,0))</f>
        <v/>
      </c>
      <c r="E1175" t="str">
        <f>+IFERROR(VLOOKUP(Fact_Administrativa[[#This Row], [Concepto Anterior]],Conceptos_Administrativa[#All],5,0),"")</f>
        <v/>
      </c>
      <c r="F1175" t="str">
        <f>+IFERROR(VLOOKUP(Fact_Administrativa[[#This Row], 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ht="18.75" customHeight="1" x14ac:dyDescent="0.35">
      <c r="C1176" s="100" t="str">
        <f>IF(OR(Fact_Administrativa[[#This Row], [Año]]="",Fact_Administrativa[[#This Row], [Mes]]=""),"",DATE(A1176,MATCH(B1176,{"enero","febrero","marzo","abril","mayo","junio","julio","agosto","septiembre","octubre","noviembre","diciembre"},0)+1,0))</f>
        <v/>
      </c>
      <c r="E1176" t="str">
        <f>+IFERROR(VLOOKUP(Fact_Administrativa[[#This Row], [Concepto Anterior]],Conceptos_Administrativa[#All],5,0),"")</f>
        <v/>
      </c>
      <c r="F1176" t="str">
        <f>+IFERROR(VLOOKUP(Fact_Administrativa[[#This Row], 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ht="18.75" customHeight="1" x14ac:dyDescent="0.35">
      <c r="C1177" s="100" t="str">
        <f>IF(OR(Fact_Administrativa[[#This Row], [Año]]="",Fact_Administrativa[[#This Row], [Mes]]=""),"",DATE(A1177,MATCH(B1177,{"enero","febrero","marzo","abril","mayo","junio","julio","agosto","septiembre","octubre","noviembre","diciembre"},0)+1,0))</f>
        <v/>
      </c>
      <c r="E1177" t="str">
        <f>+IFERROR(VLOOKUP(Fact_Administrativa[[#This Row], [Concepto Anterior]],Conceptos_Administrativa[#All],5,0),"")</f>
        <v/>
      </c>
      <c r="F1177" t="str">
        <f>+IFERROR(VLOOKUP(Fact_Administrativa[[#This Row], 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ht="18.75" customHeight="1" x14ac:dyDescent="0.35">
      <c r="C1178" s="100" t="str">
        <f>IF(OR(Fact_Administrativa[[#This Row], [Año]]="",Fact_Administrativa[[#This Row], [Mes]]=""),"",DATE(A1178,MATCH(B1178,{"enero","febrero","marzo","abril","mayo","junio","julio","agosto","septiembre","octubre","noviembre","diciembre"},0)+1,0))</f>
        <v/>
      </c>
      <c r="E1178" t="str">
        <f>+IFERROR(VLOOKUP(Fact_Administrativa[[#This Row], [Concepto Anterior]],Conceptos_Administrativa[#All],5,0),"")</f>
        <v/>
      </c>
      <c r="F1178" t="str">
        <f>+IFERROR(VLOOKUP(Fact_Administrativa[[#This Row], 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ht="18.75" customHeight="1" x14ac:dyDescent="0.35">
      <c r="C1179" s="100" t="str">
        <f>IF(OR(Fact_Administrativa[[#This Row], [Año]]="",Fact_Administrativa[[#This Row], [Mes]]=""),"",DATE(A1179,MATCH(B1179,{"enero","febrero","marzo","abril","mayo","junio","julio","agosto","septiembre","octubre","noviembre","diciembre"},0)+1,0))</f>
        <v/>
      </c>
      <c r="E1179" t="str">
        <f>+IFERROR(VLOOKUP(Fact_Administrativa[[#This Row], [Concepto Anterior]],Conceptos_Administrativa[#All],5,0),"")</f>
        <v/>
      </c>
      <c r="F1179" t="str">
        <f>+IFERROR(VLOOKUP(Fact_Administrativa[[#This Row], 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ht="18.75" customHeight="1" x14ac:dyDescent="0.35">
      <c r="C1180" s="100" t="str">
        <f>IF(OR(Fact_Administrativa[[#This Row], [Año]]="",Fact_Administrativa[[#This Row], [Mes]]=""),"",DATE(A1180,MATCH(B1180,{"enero","febrero","marzo","abril","mayo","junio","julio","agosto","septiembre","octubre","noviembre","diciembre"},0)+1,0))</f>
        <v/>
      </c>
      <c r="E1180" t="str">
        <f>+IFERROR(VLOOKUP(Fact_Administrativa[[#This Row], [Concepto Anterior]],Conceptos_Administrativa[#All],5,0),"")</f>
        <v/>
      </c>
      <c r="F1180" t="str">
        <f>+IFERROR(VLOOKUP(Fact_Administrativa[[#This Row], 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ht="18.75" customHeight="1" x14ac:dyDescent="0.35">
      <c r="C1181" s="100" t="str">
        <f>IF(OR(Fact_Administrativa[[#This Row], [Año]]="",Fact_Administrativa[[#This Row], [Mes]]=""),"",DATE(A1181,MATCH(B1181,{"enero","febrero","marzo","abril","mayo","junio","julio","agosto","septiembre","octubre","noviembre","diciembre"},0)+1,0))</f>
        <v/>
      </c>
      <c r="E1181" t="str">
        <f>+IFERROR(VLOOKUP(Fact_Administrativa[[#This Row], [Concepto Anterior]],Conceptos_Administrativa[#All],5,0),"")</f>
        <v/>
      </c>
      <c r="F1181" t="str">
        <f>+IFERROR(VLOOKUP(Fact_Administrativa[[#This Row], 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ht="18.75" customHeight="1" x14ac:dyDescent="0.35">
      <c r="C1182" s="100" t="str">
        <f>IF(OR(Fact_Administrativa[[#This Row], [Año]]="",Fact_Administrativa[[#This Row], [Mes]]=""),"",DATE(A1182,MATCH(B1182,{"enero","febrero","marzo","abril","mayo","junio","julio","agosto","septiembre","octubre","noviembre","diciembre"},0)+1,0))</f>
        <v/>
      </c>
      <c r="E1182" t="str">
        <f>+IFERROR(VLOOKUP(Fact_Administrativa[[#This Row], [Concepto Anterior]],Conceptos_Administrativa[#All],5,0),"")</f>
        <v/>
      </c>
      <c r="F1182" t="str">
        <f>+IFERROR(VLOOKUP(Fact_Administrativa[[#This Row], 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ht="18.75" customHeight="1" x14ac:dyDescent="0.35">
      <c r="C1183" s="100" t="str">
        <f>IF(OR(Fact_Administrativa[[#This Row], [Año]]="",Fact_Administrativa[[#This Row], [Mes]]=""),"",DATE(A1183,MATCH(B1183,{"enero","febrero","marzo","abril","mayo","junio","julio","agosto","septiembre","octubre","noviembre","diciembre"},0)+1,0))</f>
        <v/>
      </c>
      <c r="E1183" t="str">
        <f>+IFERROR(VLOOKUP(Fact_Administrativa[[#This Row], [Concepto Anterior]],Conceptos_Administrativa[#All],5,0),"")</f>
        <v/>
      </c>
      <c r="F1183" t="str">
        <f>+IFERROR(VLOOKUP(Fact_Administrativa[[#This Row], 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ht="18.75" customHeight="1" x14ac:dyDescent="0.35">
      <c r="C1184" s="100" t="str">
        <f>IF(OR(Fact_Administrativa[[#This Row], [Año]]="",Fact_Administrativa[[#This Row], [Mes]]=""),"",DATE(A1184,MATCH(B1184,{"enero","febrero","marzo","abril","mayo","junio","julio","agosto","septiembre","octubre","noviembre","diciembre"},0)+1,0))</f>
        <v/>
      </c>
      <c r="E1184" t="str">
        <f>+IFERROR(VLOOKUP(Fact_Administrativa[[#This Row], [Concepto Anterior]],Conceptos_Administrativa[#All],5,0),"")</f>
        <v/>
      </c>
      <c r="F1184" t="str">
        <f>+IFERROR(VLOOKUP(Fact_Administrativa[[#This Row], 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ht="18.75" customHeight="1" x14ac:dyDescent="0.35">
      <c r="C1185" s="100" t="str">
        <f>IF(OR(Fact_Administrativa[[#This Row], [Año]]="",Fact_Administrativa[[#This Row], [Mes]]=""),"",DATE(A1185,MATCH(B1185,{"enero","febrero","marzo","abril","mayo","junio","julio","agosto","septiembre","octubre","noviembre","diciembre"},0)+1,0))</f>
        <v/>
      </c>
      <c r="E1185" t="str">
        <f>+IFERROR(VLOOKUP(Fact_Administrativa[[#This Row], [Concepto Anterior]],Conceptos_Administrativa[#All],5,0),"")</f>
        <v/>
      </c>
      <c r="F1185" t="str">
        <f>+IFERROR(VLOOKUP(Fact_Administrativa[[#This Row], 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ht="18.75" customHeight="1" x14ac:dyDescent="0.35">
      <c r="C1186" s="100" t="str">
        <f>IF(OR(Fact_Administrativa[[#This Row], [Año]]="",Fact_Administrativa[[#This Row], [Mes]]=""),"",DATE(A1186,MATCH(B1186,{"enero","febrero","marzo","abril","mayo","junio","julio","agosto","septiembre","octubre","noviembre","diciembre"},0)+1,0))</f>
        <v/>
      </c>
      <c r="E1186" t="str">
        <f>+IFERROR(VLOOKUP(Fact_Administrativa[[#This Row], [Concepto Anterior]],Conceptos_Administrativa[#All],5,0),"")</f>
        <v/>
      </c>
      <c r="F1186" t="str">
        <f>+IFERROR(VLOOKUP(Fact_Administrativa[[#This Row], 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ht="18.75" customHeight="1" x14ac:dyDescent="0.35">
      <c r="C1187" s="100" t="str">
        <f>IF(OR(Fact_Administrativa[[#This Row], [Año]]="",Fact_Administrativa[[#This Row], [Mes]]=""),"",DATE(A1187,MATCH(B1187,{"enero","febrero","marzo","abril","mayo","junio","julio","agosto","septiembre","octubre","noviembre","diciembre"},0)+1,0))</f>
        <v/>
      </c>
      <c r="E1187" t="str">
        <f>+IFERROR(VLOOKUP(Fact_Administrativa[[#This Row], [Concepto Anterior]],Conceptos_Administrativa[#All],5,0),"")</f>
        <v/>
      </c>
      <c r="F1187" t="str">
        <f>+IFERROR(VLOOKUP(Fact_Administrativa[[#This Row], 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ht="18.75" customHeight="1" x14ac:dyDescent="0.35">
      <c r="C1188" s="100" t="str">
        <f>IF(OR(Fact_Administrativa[[#This Row], [Año]]="",Fact_Administrativa[[#This Row], [Mes]]=""),"",DATE(A1188,MATCH(B1188,{"enero","febrero","marzo","abril","mayo","junio","julio","agosto","septiembre","octubre","noviembre","diciembre"},0)+1,0))</f>
        <v/>
      </c>
      <c r="E1188" t="str">
        <f>+IFERROR(VLOOKUP(Fact_Administrativa[[#This Row], [Concepto Anterior]],Conceptos_Administrativa[#All],5,0),"")</f>
        <v/>
      </c>
      <c r="F1188" t="str">
        <f>+IFERROR(VLOOKUP(Fact_Administrativa[[#This Row], 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ht="18.75" customHeight="1" x14ac:dyDescent="0.35">
      <c r="C1189" s="100" t="str">
        <f>IF(OR(Fact_Administrativa[[#This Row], [Año]]="",Fact_Administrativa[[#This Row], [Mes]]=""),"",DATE(A1189,MATCH(B1189,{"enero","febrero","marzo","abril","mayo","junio","julio","agosto","septiembre","octubre","noviembre","diciembre"},0)+1,0))</f>
        <v/>
      </c>
      <c r="E1189" t="str">
        <f>+IFERROR(VLOOKUP(Fact_Administrativa[[#This Row], [Concepto Anterior]],Conceptos_Administrativa[#All],5,0),"")</f>
        <v/>
      </c>
      <c r="F1189" t="str">
        <f>+IFERROR(VLOOKUP(Fact_Administrativa[[#This Row], 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ht="18.75" customHeight="1" x14ac:dyDescent="0.35">
      <c r="C1190" s="100" t="str">
        <f>IF(OR(Fact_Administrativa[[#This Row], [Año]]="",Fact_Administrativa[[#This Row], [Mes]]=""),"",DATE(A1190,MATCH(B1190,{"enero","febrero","marzo","abril","mayo","junio","julio","agosto","septiembre","octubre","noviembre","diciembre"},0)+1,0))</f>
        <v/>
      </c>
      <c r="E1190" t="str">
        <f>+IFERROR(VLOOKUP(Fact_Administrativa[[#This Row], [Concepto Anterior]],Conceptos_Administrativa[#All],5,0),"")</f>
        <v/>
      </c>
      <c r="F1190" t="str">
        <f>+IFERROR(VLOOKUP(Fact_Administrativa[[#This Row], 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ht="18.75" customHeight="1" x14ac:dyDescent="0.35">
      <c r="C1191" s="100" t="str">
        <f>IF(OR(Fact_Administrativa[[#This Row], [Año]]="",Fact_Administrativa[[#This Row], [Mes]]=""),"",DATE(A1191,MATCH(B1191,{"enero","febrero","marzo","abril","mayo","junio","julio","agosto","septiembre","octubre","noviembre","diciembre"},0)+1,0))</f>
        <v/>
      </c>
      <c r="E1191" t="str">
        <f>+IFERROR(VLOOKUP(Fact_Administrativa[[#This Row], [Concepto Anterior]],Conceptos_Administrativa[#All],5,0),"")</f>
        <v/>
      </c>
      <c r="F1191" t="str">
        <f>+IFERROR(VLOOKUP(Fact_Administrativa[[#This Row], 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ht="18.75" customHeight="1" x14ac:dyDescent="0.35">
      <c r="C1192" s="100" t="str">
        <f>IF(OR(Fact_Administrativa[[#This Row], [Año]]="",Fact_Administrativa[[#This Row], [Mes]]=""),"",DATE(A1192,MATCH(B1192,{"enero","febrero","marzo","abril","mayo","junio","julio","agosto","septiembre","octubre","noviembre","diciembre"},0)+1,0))</f>
        <v/>
      </c>
      <c r="E1192" t="str">
        <f>+IFERROR(VLOOKUP(Fact_Administrativa[[#This Row], [Concepto Anterior]],Conceptos_Administrativa[#All],5,0),"")</f>
        <v/>
      </c>
      <c r="F1192" t="str">
        <f>+IFERROR(VLOOKUP(Fact_Administrativa[[#This Row], 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ht="18.75" customHeight="1" x14ac:dyDescent="0.35">
      <c r="C1193" s="100" t="str">
        <f>IF(OR(Fact_Administrativa[[#This Row], [Año]]="",Fact_Administrativa[[#This Row], [Mes]]=""),"",DATE(A1193,MATCH(B1193,{"enero","febrero","marzo","abril","mayo","junio","julio","agosto","septiembre","octubre","noviembre","diciembre"},0)+1,0))</f>
        <v/>
      </c>
      <c r="E1193" t="str">
        <f>+IFERROR(VLOOKUP(Fact_Administrativa[[#This Row], [Concepto Anterior]],Conceptos_Administrativa[#All],5,0),"")</f>
        <v/>
      </c>
      <c r="F1193" t="str">
        <f>+IFERROR(VLOOKUP(Fact_Administrativa[[#This Row], 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ht="18.75" customHeight="1" x14ac:dyDescent="0.35">
      <c r="C1194" s="100" t="str">
        <f>IF(OR(Fact_Administrativa[[#This Row], [Año]]="",Fact_Administrativa[[#This Row], [Mes]]=""),"",DATE(A1194,MATCH(B1194,{"enero","febrero","marzo","abril","mayo","junio","julio","agosto","septiembre","octubre","noviembre","diciembre"},0)+1,0))</f>
        <v/>
      </c>
      <c r="E1194" t="str">
        <f>+IFERROR(VLOOKUP(Fact_Administrativa[[#This Row], [Concepto Anterior]],Conceptos_Administrativa[#All],5,0),"")</f>
        <v/>
      </c>
      <c r="F1194" t="str">
        <f>+IFERROR(VLOOKUP(Fact_Administrativa[[#This Row], 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ht="18.75" customHeight="1" x14ac:dyDescent="0.35">
      <c r="C1195" s="100" t="str">
        <f>IF(OR(Fact_Administrativa[[#This Row], [Año]]="",Fact_Administrativa[[#This Row], [Mes]]=""),"",DATE(A1195,MATCH(B1195,{"enero","febrero","marzo","abril","mayo","junio","julio","agosto","septiembre","octubre","noviembre","diciembre"},0)+1,0))</f>
        <v/>
      </c>
      <c r="E1195" t="str">
        <f>+IFERROR(VLOOKUP(Fact_Administrativa[[#This Row], [Concepto Anterior]],Conceptos_Administrativa[#All],5,0),"")</f>
        <v/>
      </c>
      <c r="F1195" t="str">
        <f>+IFERROR(VLOOKUP(Fact_Administrativa[[#This Row], 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ht="18.75" customHeight="1" x14ac:dyDescent="0.35">
      <c r="C1196" s="100" t="str">
        <f>IF(OR(Fact_Administrativa[[#This Row], [Año]]="",Fact_Administrativa[[#This Row], [Mes]]=""),"",DATE(A1196,MATCH(B1196,{"enero","febrero","marzo","abril","mayo","junio","julio","agosto","septiembre","octubre","noviembre","diciembre"},0)+1,0))</f>
        <v/>
      </c>
      <c r="E1196" t="str">
        <f>+IFERROR(VLOOKUP(Fact_Administrativa[[#This Row], [Concepto Anterior]],Conceptos_Administrativa[#All],5,0),"")</f>
        <v/>
      </c>
      <c r="F1196" t="str">
        <f>+IFERROR(VLOOKUP(Fact_Administrativa[[#This Row], 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ht="18.75" customHeight="1" x14ac:dyDescent="0.35">
      <c r="C1197" s="100" t="str">
        <f>IF(OR(Fact_Administrativa[[#This Row], [Año]]="",Fact_Administrativa[[#This Row], [Mes]]=""),"",DATE(A1197,MATCH(B1197,{"enero","febrero","marzo","abril","mayo","junio","julio","agosto","septiembre","octubre","noviembre","diciembre"},0)+1,0))</f>
        <v/>
      </c>
      <c r="E1197" t="str">
        <f>+IFERROR(VLOOKUP(Fact_Administrativa[[#This Row], [Concepto Anterior]],Conceptos_Administrativa[#All],5,0),"")</f>
        <v/>
      </c>
      <c r="F1197" t="str">
        <f>+IFERROR(VLOOKUP(Fact_Administrativa[[#This Row], 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ht="18.75" customHeight="1" x14ac:dyDescent="0.35">
      <c r="C1198" s="100" t="str">
        <f>IF(OR(Fact_Administrativa[[#This Row], [Año]]="",Fact_Administrativa[[#This Row], [Mes]]=""),"",DATE(A1198,MATCH(B1198,{"enero","febrero","marzo","abril","mayo","junio","julio","agosto","septiembre","octubre","noviembre","diciembre"},0)+1,0))</f>
        <v/>
      </c>
      <c r="E1198" t="str">
        <f>+IFERROR(VLOOKUP(Fact_Administrativa[[#This Row], [Concepto Anterior]],Conceptos_Administrativa[#All],5,0),"")</f>
        <v/>
      </c>
      <c r="F1198" t="str">
        <f>+IFERROR(VLOOKUP(Fact_Administrativa[[#This Row], 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ht="18.75" customHeight="1" x14ac:dyDescent="0.35">
      <c r="C1199" s="100" t="str">
        <f>IF(OR(Fact_Administrativa[[#This Row], [Año]]="",Fact_Administrativa[[#This Row], [Mes]]=""),"",DATE(A1199,MATCH(B1199,{"enero","febrero","marzo","abril","mayo","junio","julio","agosto","septiembre","octubre","noviembre","diciembre"},0)+1,0))</f>
        <v/>
      </c>
      <c r="E1199" t="str">
        <f>+IFERROR(VLOOKUP(Fact_Administrativa[[#This Row], [Concepto Anterior]],Conceptos_Administrativa[#All],5,0),"")</f>
        <v/>
      </c>
      <c r="F1199" t="str">
        <f>+IFERROR(VLOOKUP(Fact_Administrativa[[#This Row], 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ht="18.75" customHeight="1" x14ac:dyDescent="0.35">
      <c r="C1200" s="100" t="str">
        <f>IF(OR(Fact_Administrativa[[#This Row], [Año]]="",Fact_Administrativa[[#This Row], [Mes]]=""),"",DATE(A1200,MATCH(B1200,{"enero","febrero","marzo","abril","mayo","junio","julio","agosto","septiembre","octubre","noviembre","diciembre"},0)+1,0))</f>
        <v/>
      </c>
      <c r="E1200" t="str">
        <f>+IFERROR(VLOOKUP(Fact_Administrativa[[#This Row], [Concepto Anterior]],Conceptos_Administrativa[#All],5,0),"")</f>
        <v/>
      </c>
      <c r="F1200" t="str">
        <f>+IFERROR(VLOOKUP(Fact_Administrativa[[#This Row], 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ht="18.75" customHeight="1" x14ac:dyDescent="0.35">
      <c r="C1201" s="100" t="str">
        <f>IF(OR(Fact_Administrativa[[#This Row], [Año]]="",Fact_Administrativa[[#This Row], [Mes]]=""),"",DATE(A1201,MATCH(B1201,{"enero","febrero","marzo","abril","mayo","junio","julio","agosto","septiembre","octubre","noviembre","diciembre"},0)+1,0))</f>
        <v/>
      </c>
      <c r="E1201" t="str">
        <f>+IFERROR(VLOOKUP(Fact_Administrativa[[#This Row], [Concepto Anterior]],Conceptos_Administrativa[#All],5,0),"")</f>
        <v/>
      </c>
      <c r="F1201" t="str">
        <f>+IFERROR(VLOOKUP(Fact_Administrativa[[#This Row], 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ht="18.75" customHeight="1" x14ac:dyDescent="0.35">
      <c r="C1202" s="100" t="str">
        <f>IF(OR(Fact_Administrativa[[#This Row], [Año]]="",Fact_Administrativa[[#This Row], [Mes]]=""),"",DATE(A1202,MATCH(B1202,{"enero","febrero","marzo","abril","mayo","junio","julio","agosto","septiembre","octubre","noviembre","diciembre"},0)+1,0))</f>
        <v/>
      </c>
      <c r="E1202" t="str">
        <f>+IFERROR(VLOOKUP(Fact_Administrativa[[#This Row], [Concepto Anterior]],Conceptos_Administrativa[#All],5,0),"")</f>
        <v/>
      </c>
      <c r="F1202" t="str">
        <f>+IFERROR(VLOOKUP(Fact_Administrativa[[#This Row], 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ht="18.75" customHeight="1" x14ac:dyDescent="0.35">
      <c r="C1203" s="100" t="str">
        <f>IF(OR(Fact_Administrativa[[#This Row], [Año]]="",Fact_Administrativa[[#This Row], [Mes]]=""),"",DATE(A1203,MATCH(B1203,{"enero","febrero","marzo","abril","mayo","junio","julio","agosto","septiembre","octubre","noviembre","diciembre"},0)+1,0))</f>
        <v/>
      </c>
      <c r="E1203" t="str">
        <f>+IFERROR(VLOOKUP(Fact_Administrativa[[#This Row], [Concepto Anterior]],Conceptos_Administrativa[#All],5,0),"")</f>
        <v/>
      </c>
      <c r="F1203" t="str">
        <f>+IFERROR(VLOOKUP(Fact_Administrativa[[#This Row], 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ht="18.75" customHeight="1" x14ac:dyDescent="0.35">
      <c r="C1204" s="100" t="str">
        <f>IF(OR(Fact_Administrativa[[#This Row], [Año]]="",Fact_Administrativa[[#This Row], [Mes]]=""),"",DATE(A1204,MATCH(B1204,{"enero","febrero","marzo","abril","mayo","junio","julio","agosto","septiembre","octubre","noviembre","diciembre"},0)+1,0))</f>
        <v/>
      </c>
      <c r="E1204" t="str">
        <f>+IFERROR(VLOOKUP(Fact_Administrativa[[#This Row], [Concepto Anterior]],Conceptos_Administrativa[#All],5,0),"")</f>
        <v/>
      </c>
      <c r="F1204" t="str">
        <f>+IFERROR(VLOOKUP(Fact_Administrativa[[#This Row], 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ht="18.75" customHeight="1" x14ac:dyDescent="0.35">
      <c r="C1205" s="100" t="str">
        <f>IF(OR(Fact_Administrativa[[#This Row], [Año]]="",Fact_Administrativa[[#This Row], [Mes]]=""),"",DATE(A1205,MATCH(B1205,{"enero","febrero","marzo","abril","mayo","junio","julio","agosto","septiembre","octubre","noviembre","diciembre"},0)+1,0))</f>
        <v/>
      </c>
      <c r="E1205" t="str">
        <f>+IFERROR(VLOOKUP(Fact_Administrativa[[#This Row], [Concepto Anterior]],Conceptos_Administrativa[#All],5,0),"")</f>
        <v/>
      </c>
      <c r="F1205" t="str">
        <f>+IFERROR(VLOOKUP(Fact_Administrativa[[#This Row], 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ht="18.75" customHeight="1" x14ac:dyDescent="0.35">
      <c r="C1206" s="100" t="str">
        <f>IF(OR(Fact_Administrativa[[#This Row], [Año]]="",Fact_Administrativa[[#This Row], [Mes]]=""),"",DATE(A1206,MATCH(B1206,{"enero","febrero","marzo","abril","mayo","junio","julio","agosto","septiembre","octubre","noviembre","diciembre"},0)+1,0))</f>
        <v/>
      </c>
      <c r="E1206" t="str">
        <f>+IFERROR(VLOOKUP(Fact_Administrativa[[#This Row], [Concepto Anterior]],Conceptos_Administrativa[#All],5,0),"")</f>
        <v/>
      </c>
      <c r="F1206" t="str">
        <f>+IFERROR(VLOOKUP(Fact_Administrativa[[#This Row], 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ht="18.75" customHeight="1" x14ac:dyDescent="0.35">
      <c r="C1207" s="100" t="str">
        <f>IF(OR(Fact_Administrativa[[#This Row], [Año]]="",Fact_Administrativa[[#This Row], [Mes]]=""),"",DATE(A1207,MATCH(B1207,{"enero","febrero","marzo","abril","mayo","junio","julio","agosto","septiembre","octubre","noviembre","diciembre"},0)+1,0))</f>
        <v/>
      </c>
      <c r="E1207" t="str">
        <f>+IFERROR(VLOOKUP(Fact_Administrativa[[#This Row], [Concepto Anterior]],Conceptos_Administrativa[#All],5,0),"")</f>
        <v/>
      </c>
      <c r="F1207" t="str">
        <f>+IFERROR(VLOOKUP(Fact_Administrativa[[#This Row], 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ht="18.75" customHeight="1" x14ac:dyDescent="0.35">
      <c r="C1208" s="100" t="str">
        <f>IF(OR(Fact_Administrativa[[#This Row], [Año]]="",Fact_Administrativa[[#This Row], [Mes]]=""),"",DATE(A1208,MATCH(B1208,{"enero","febrero","marzo","abril","mayo","junio","julio","agosto","septiembre","octubre","noviembre","diciembre"},0)+1,0))</f>
        <v/>
      </c>
      <c r="E1208" t="str">
        <f>+IFERROR(VLOOKUP(Fact_Administrativa[[#This Row], [Concepto Anterior]],Conceptos_Administrativa[#All],5,0),"")</f>
        <v/>
      </c>
      <c r="F1208" t="str">
        <f>+IFERROR(VLOOKUP(Fact_Administrativa[[#This Row], 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ht="18.75" customHeight="1" x14ac:dyDescent="0.35">
      <c r="C1209" s="100" t="str">
        <f>IF(OR(Fact_Administrativa[[#This Row], [Año]]="",Fact_Administrativa[[#This Row], [Mes]]=""),"",DATE(A1209,MATCH(B1209,{"enero","febrero","marzo","abril","mayo","junio","julio","agosto","septiembre","octubre","noviembre","diciembre"},0)+1,0))</f>
        <v/>
      </c>
      <c r="E1209" t="str">
        <f>+IFERROR(VLOOKUP(Fact_Administrativa[[#This Row], [Concepto Anterior]],Conceptos_Administrativa[#All],5,0),"")</f>
        <v/>
      </c>
      <c r="F1209" t="str">
        <f>+IFERROR(VLOOKUP(Fact_Administrativa[[#This Row], 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ht="18.75" customHeight="1" x14ac:dyDescent="0.35">
      <c r="C1210" s="100" t="str">
        <f>IF(OR(Fact_Administrativa[[#This Row], [Año]]="",Fact_Administrativa[[#This Row], [Mes]]=""),"",DATE(A1210,MATCH(B1210,{"enero","febrero","marzo","abril","mayo","junio","julio","agosto","septiembre","octubre","noviembre","diciembre"},0)+1,0))</f>
        <v/>
      </c>
      <c r="E1210" t="str">
        <f>+IFERROR(VLOOKUP(Fact_Administrativa[[#This Row], [Concepto Anterior]],Conceptos_Administrativa[#All],5,0),"")</f>
        <v/>
      </c>
      <c r="F1210" t="str">
        <f>+IFERROR(VLOOKUP(Fact_Administrativa[[#This Row], 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ht="18.75" customHeight="1" x14ac:dyDescent="0.35">
      <c r="C1211" s="100" t="str">
        <f>IF(OR(Fact_Administrativa[[#This Row], [Año]]="",Fact_Administrativa[[#This Row], [Mes]]=""),"",DATE(A1211,MATCH(B1211,{"enero","febrero","marzo","abril","mayo","junio","julio","agosto","septiembre","octubre","noviembre","diciembre"},0)+1,0))</f>
        <v/>
      </c>
      <c r="E1211" t="str">
        <f>+IFERROR(VLOOKUP(Fact_Administrativa[[#This Row], [Concepto Anterior]],Conceptos_Administrativa[#All],5,0),"")</f>
        <v/>
      </c>
      <c r="F1211" t="str">
        <f>+IFERROR(VLOOKUP(Fact_Administrativa[[#This Row], 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ht="18.75" customHeight="1" x14ac:dyDescent="0.35">
      <c r="C1212" s="100" t="str">
        <f>IF(OR(Fact_Administrativa[[#This Row], [Año]]="",Fact_Administrativa[[#This Row], [Mes]]=""),"",DATE(A1212,MATCH(B1212,{"enero","febrero","marzo","abril","mayo","junio","julio","agosto","septiembre","octubre","noviembre","diciembre"},0)+1,0))</f>
        <v/>
      </c>
      <c r="E1212" t="str">
        <f>+IFERROR(VLOOKUP(Fact_Administrativa[[#This Row], [Concepto Anterior]],Conceptos_Administrativa[#All],5,0),"")</f>
        <v/>
      </c>
      <c r="F1212" t="str">
        <f>+IFERROR(VLOOKUP(Fact_Administrativa[[#This Row], 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ht="18.75" customHeight="1" x14ac:dyDescent="0.35">
      <c r="C1213" s="100" t="str">
        <f>IF(OR(Fact_Administrativa[[#This Row], [Año]]="",Fact_Administrativa[[#This Row], [Mes]]=""),"",DATE(A1213,MATCH(B1213,{"enero","febrero","marzo","abril","mayo","junio","julio","agosto","septiembre","octubre","noviembre","diciembre"},0)+1,0))</f>
        <v/>
      </c>
      <c r="E1213" t="str">
        <f>+IFERROR(VLOOKUP(Fact_Administrativa[[#This Row], [Concepto Anterior]],Conceptos_Administrativa[#All],5,0),"")</f>
        <v/>
      </c>
      <c r="F1213" t="str">
        <f>+IFERROR(VLOOKUP(Fact_Administrativa[[#This Row], 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ht="18.75" customHeight="1" x14ac:dyDescent="0.35">
      <c r="C1214" s="100" t="str">
        <f>IF(OR(Fact_Administrativa[[#This Row], [Año]]="",Fact_Administrativa[[#This Row], [Mes]]=""),"",DATE(A1214,MATCH(B1214,{"enero","febrero","marzo","abril","mayo","junio","julio","agosto","septiembre","octubre","noviembre","diciembre"},0)+1,0))</f>
        <v/>
      </c>
      <c r="E1214" t="str">
        <f>+IFERROR(VLOOKUP(Fact_Administrativa[[#This Row], [Concepto Anterior]],Conceptos_Administrativa[#All],5,0),"")</f>
        <v/>
      </c>
      <c r="F1214" t="str">
        <f>+IFERROR(VLOOKUP(Fact_Administrativa[[#This Row], 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ht="18.75" customHeight="1" x14ac:dyDescent="0.35">
      <c r="C1215" s="100" t="str">
        <f>IF(OR(Fact_Administrativa[[#This Row], [Año]]="",Fact_Administrativa[[#This Row], [Mes]]=""),"",DATE(A1215,MATCH(B1215,{"enero","febrero","marzo","abril","mayo","junio","julio","agosto","septiembre","octubre","noviembre","diciembre"},0)+1,0))</f>
        <v/>
      </c>
      <c r="E1215" t="str">
        <f>+IFERROR(VLOOKUP(Fact_Administrativa[[#This Row], [Concepto Anterior]],Conceptos_Administrativa[#All],5,0),"")</f>
        <v/>
      </c>
      <c r="F1215" t="str">
        <f>+IFERROR(VLOOKUP(Fact_Administrativa[[#This Row], 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ht="18.75" customHeight="1" x14ac:dyDescent="0.35">
      <c r="C1216" s="100" t="str">
        <f>IF(OR(Fact_Administrativa[[#This Row], [Año]]="",Fact_Administrativa[[#This Row], [Mes]]=""),"",DATE(A1216,MATCH(B1216,{"enero","febrero","marzo","abril","mayo","junio","julio","agosto","septiembre","octubre","noviembre","diciembre"},0)+1,0))</f>
        <v/>
      </c>
      <c r="E1216" t="str">
        <f>+IFERROR(VLOOKUP(Fact_Administrativa[[#This Row], [Concepto Anterior]],Conceptos_Administrativa[#All],5,0),"")</f>
        <v/>
      </c>
      <c r="F1216" t="str">
        <f>+IFERROR(VLOOKUP(Fact_Administrativa[[#This Row], 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ht="18.75" customHeight="1" x14ac:dyDescent="0.35">
      <c r="C1217" s="100" t="str">
        <f>IF(OR(Fact_Administrativa[[#This Row], [Año]]="",Fact_Administrativa[[#This Row], [Mes]]=""),"",DATE(A1217,MATCH(B1217,{"enero","febrero","marzo","abril","mayo","junio","julio","agosto","septiembre","octubre","noviembre","diciembre"},0)+1,0))</f>
        <v/>
      </c>
      <c r="E1217" t="str">
        <f>+IFERROR(VLOOKUP(Fact_Administrativa[[#This Row], [Concepto Anterior]],Conceptos_Administrativa[#All],5,0),"")</f>
        <v/>
      </c>
      <c r="F1217" t="str">
        <f>+IFERROR(VLOOKUP(Fact_Administrativa[[#This Row], 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ht="18.75" customHeight="1" x14ac:dyDescent="0.35">
      <c r="C1218" s="100" t="str">
        <f>IF(OR(Fact_Administrativa[[#This Row], [Año]]="",Fact_Administrativa[[#This Row], [Mes]]=""),"",DATE(A1218,MATCH(B1218,{"enero","febrero","marzo","abril","mayo","junio","julio","agosto","septiembre","octubre","noviembre","diciembre"},0)+1,0))</f>
        <v/>
      </c>
      <c r="E1218" t="str">
        <f>+IFERROR(VLOOKUP(Fact_Administrativa[[#This Row], [Concepto Anterior]],Conceptos_Administrativa[#All],5,0),"")</f>
        <v/>
      </c>
      <c r="F1218" t="str">
        <f>+IFERROR(VLOOKUP(Fact_Administrativa[[#This Row], 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ht="18.75" customHeight="1" x14ac:dyDescent="0.35">
      <c r="C1219" s="100" t="str">
        <f>IF(OR(Fact_Administrativa[[#This Row], [Año]]="",Fact_Administrativa[[#This Row], [Mes]]=""),"",DATE(A1219,MATCH(B1219,{"enero","febrero","marzo","abril","mayo","junio","julio","agosto","septiembre","octubre","noviembre","diciembre"},0)+1,0))</f>
        <v/>
      </c>
      <c r="E1219" t="str">
        <f>+IFERROR(VLOOKUP(Fact_Administrativa[[#This Row], [Concepto Anterior]],Conceptos_Administrativa[#All],5,0),"")</f>
        <v/>
      </c>
      <c r="F1219" t="str">
        <f>+IFERROR(VLOOKUP(Fact_Administrativa[[#This Row], 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ht="18.75" customHeight="1" x14ac:dyDescent="0.35">
      <c r="C1220" s="100" t="str">
        <f>IF(OR(Fact_Administrativa[[#This Row], [Año]]="",Fact_Administrativa[[#This Row], [Mes]]=""),"",DATE(A1220,MATCH(B1220,{"enero","febrero","marzo","abril","mayo","junio","julio","agosto","septiembre","octubre","noviembre","diciembre"},0)+1,0))</f>
        <v/>
      </c>
      <c r="E1220" t="str">
        <f>+IFERROR(VLOOKUP(Fact_Administrativa[[#This Row], [Concepto Anterior]],Conceptos_Administrativa[#All],5,0),"")</f>
        <v/>
      </c>
      <c r="F1220" t="str">
        <f>+IFERROR(VLOOKUP(Fact_Administrativa[[#This Row], 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ht="18.75" customHeight="1" x14ac:dyDescent="0.35">
      <c r="C1221" s="100" t="str">
        <f>IF(OR(Fact_Administrativa[[#This Row], [Año]]="",Fact_Administrativa[[#This Row], [Mes]]=""),"",DATE(A1221,MATCH(B1221,{"enero","febrero","marzo","abril","mayo","junio","julio","agosto","septiembre","octubre","noviembre","diciembre"},0)+1,0))</f>
        <v/>
      </c>
      <c r="E1221" t="str">
        <f>+IFERROR(VLOOKUP(Fact_Administrativa[[#This Row], [Concepto Anterior]],Conceptos_Administrativa[#All],5,0),"")</f>
        <v/>
      </c>
      <c r="F1221" t="str">
        <f>+IFERROR(VLOOKUP(Fact_Administrativa[[#This Row], 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ht="18.75" customHeight="1" x14ac:dyDescent="0.35">
      <c r="C1222" s="100" t="str">
        <f>IF(OR(Fact_Administrativa[[#This Row], [Año]]="",Fact_Administrativa[[#This Row], [Mes]]=""),"",DATE(A1222,MATCH(B1222,{"enero","febrero","marzo","abril","mayo","junio","julio","agosto","septiembre","octubre","noviembre","diciembre"},0)+1,0))</f>
        <v/>
      </c>
      <c r="E1222" t="str">
        <f>+IFERROR(VLOOKUP(Fact_Administrativa[[#This Row], [Concepto Anterior]],Conceptos_Administrativa[#All],5,0),"")</f>
        <v/>
      </c>
      <c r="F1222" t="str">
        <f>+IFERROR(VLOOKUP(Fact_Administrativa[[#This Row], 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ht="18.75" customHeight="1" x14ac:dyDescent="0.35">
      <c r="C1223" s="100" t="str">
        <f>IF(OR(Fact_Administrativa[[#This Row], [Año]]="",Fact_Administrativa[[#This Row], [Mes]]=""),"",DATE(A1223,MATCH(B1223,{"enero","febrero","marzo","abril","mayo","junio","julio","agosto","septiembre","octubre","noviembre","diciembre"},0)+1,0))</f>
        <v/>
      </c>
      <c r="E1223" t="str">
        <f>+IFERROR(VLOOKUP(Fact_Administrativa[[#This Row], [Concepto Anterior]],Conceptos_Administrativa[#All],5,0),"")</f>
        <v/>
      </c>
      <c r="F1223" t="str">
        <f>+IFERROR(VLOOKUP(Fact_Administrativa[[#This Row], 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ht="18.75" customHeight="1" x14ac:dyDescent="0.35">
      <c r="C1224" s="100" t="str">
        <f>IF(OR(Fact_Administrativa[[#This Row], [Año]]="",Fact_Administrativa[[#This Row], [Mes]]=""),"",DATE(A1224,MATCH(B1224,{"enero","febrero","marzo","abril","mayo","junio","julio","agosto","septiembre","octubre","noviembre","diciembre"},0)+1,0))</f>
        <v/>
      </c>
      <c r="E1224" t="str">
        <f>+IFERROR(VLOOKUP(Fact_Administrativa[[#This Row], [Concepto Anterior]],Conceptos_Administrativa[#All],5,0),"")</f>
        <v/>
      </c>
      <c r="F1224" t="str">
        <f>+IFERROR(VLOOKUP(Fact_Administrativa[[#This Row], 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ht="18.75" customHeight="1" x14ac:dyDescent="0.35">
      <c r="C1225" s="100" t="str">
        <f>IF(OR(Fact_Administrativa[[#This Row], [Año]]="",Fact_Administrativa[[#This Row], [Mes]]=""),"",DATE(A1225,MATCH(B1225,{"enero","febrero","marzo","abril","mayo","junio","julio","agosto","septiembre","octubre","noviembre","diciembre"},0)+1,0))</f>
        <v/>
      </c>
      <c r="E1225" t="str">
        <f>+IFERROR(VLOOKUP(Fact_Administrativa[[#This Row], [Concepto Anterior]],Conceptos_Administrativa[#All],5,0),"")</f>
        <v/>
      </c>
      <c r="F1225" t="str">
        <f>+IFERROR(VLOOKUP(Fact_Administrativa[[#This Row], 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ht="18.75" customHeight="1" x14ac:dyDescent="0.35">
      <c r="C1226" s="100" t="str">
        <f>IF(OR(Fact_Administrativa[[#This Row], [Año]]="",Fact_Administrativa[[#This Row], [Mes]]=""),"",DATE(A1226,MATCH(B1226,{"enero","febrero","marzo","abril","mayo","junio","julio","agosto","septiembre","octubre","noviembre","diciembre"},0)+1,0))</f>
        <v/>
      </c>
      <c r="E1226" t="str">
        <f>+IFERROR(VLOOKUP(Fact_Administrativa[[#This Row], [Concepto Anterior]],Conceptos_Administrativa[#All],5,0),"")</f>
        <v/>
      </c>
      <c r="F1226" t="str">
        <f>+IFERROR(VLOOKUP(Fact_Administrativa[[#This Row], 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ht="18.75" customHeight="1" x14ac:dyDescent="0.35">
      <c r="C1227" s="100" t="str">
        <f>IF(OR(Fact_Administrativa[[#This Row], [Año]]="",Fact_Administrativa[[#This Row], [Mes]]=""),"",DATE(A1227,MATCH(B1227,{"enero","febrero","marzo","abril","mayo","junio","julio","agosto","septiembre","octubre","noviembre","diciembre"},0)+1,0))</f>
        <v/>
      </c>
      <c r="E1227" t="str">
        <f>+IFERROR(VLOOKUP(Fact_Administrativa[[#This Row], [Concepto Anterior]],Conceptos_Administrativa[#All],5,0),"")</f>
        <v/>
      </c>
      <c r="F1227" t="str">
        <f>+IFERROR(VLOOKUP(Fact_Administrativa[[#This Row], 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ht="18.75" customHeight="1" x14ac:dyDescent="0.35">
      <c r="C1228" s="100" t="str">
        <f>IF(OR(Fact_Administrativa[[#This Row], [Año]]="",Fact_Administrativa[[#This Row], [Mes]]=""),"",DATE(A1228,MATCH(B1228,{"enero","febrero","marzo","abril","mayo","junio","julio","agosto","septiembre","octubre","noviembre","diciembre"},0)+1,0))</f>
        <v/>
      </c>
      <c r="E1228" t="str">
        <f>+IFERROR(VLOOKUP(Fact_Administrativa[[#This Row], [Concepto Anterior]],Conceptos_Administrativa[#All],5,0),"")</f>
        <v/>
      </c>
      <c r="F1228" t="str">
        <f>+IFERROR(VLOOKUP(Fact_Administrativa[[#This Row], 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ht="18.75" customHeight="1" x14ac:dyDescent="0.35">
      <c r="C1229" s="100" t="str">
        <f>IF(OR(Fact_Administrativa[[#This Row], [Año]]="",Fact_Administrativa[[#This Row], [Mes]]=""),"",DATE(A1229,MATCH(B1229,{"enero","febrero","marzo","abril","mayo","junio","julio","agosto","septiembre","octubre","noviembre","diciembre"},0)+1,0))</f>
        <v/>
      </c>
      <c r="E1229" t="str">
        <f>+IFERROR(VLOOKUP(Fact_Administrativa[[#This Row], [Concepto Anterior]],Conceptos_Administrativa[#All],5,0),"")</f>
        <v/>
      </c>
      <c r="F1229" t="str">
        <f>+IFERROR(VLOOKUP(Fact_Administrativa[[#This Row], 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ht="18.75" customHeight="1" x14ac:dyDescent="0.35">
      <c r="C1230" s="100" t="str">
        <f>IF(OR(Fact_Administrativa[[#This Row], [Año]]="",Fact_Administrativa[[#This Row], [Mes]]=""),"",DATE(A1230,MATCH(B1230,{"enero","febrero","marzo","abril","mayo","junio","julio","agosto","septiembre","octubre","noviembre","diciembre"},0)+1,0))</f>
        <v/>
      </c>
      <c r="E1230" t="str">
        <f>+IFERROR(VLOOKUP(Fact_Administrativa[[#This Row], [Concepto Anterior]],Conceptos_Administrativa[#All],5,0),"")</f>
        <v/>
      </c>
      <c r="F1230" t="str">
        <f>+IFERROR(VLOOKUP(Fact_Administrativa[[#This Row], 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ht="18.75" customHeight="1" x14ac:dyDescent="0.35">
      <c r="C1231" s="100" t="str">
        <f>IF(OR(Fact_Administrativa[[#This Row], [Año]]="",Fact_Administrativa[[#This Row], [Mes]]=""),"",DATE(A1231,MATCH(B1231,{"enero","febrero","marzo","abril","mayo","junio","julio","agosto","septiembre","octubre","noviembre","diciembre"},0)+1,0))</f>
        <v/>
      </c>
      <c r="E1231" t="str">
        <f>+IFERROR(VLOOKUP(Fact_Administrativa[[#This Row], [Concepto Anterior]],Conceptos_Administrativa[#All],5,0),"")</f>
        <v/>
      </c>
      <c r="F1231" t="str">
        <f>+IFERROR(VLOOKUP(Fact_Administrativa[[#This Row], 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ht="18.75" customHeight="1" x14ac:dyDescent="0.35">
      <c r="C1232" s="100" t="str">
        <f>IF(OR(Fact_Administrativa[[#This Row], [Año]]="",Fact_Administrativa[[#This Row], [Mes]]=""),"",DATE(A1232,MATCH(B1232,{"enero","febrero","marzo","abril","mayo","junio","julio","agosto","septiembre","octubre","noviembre","diciembre"},0)+1,0))</f>
        <v/>
      </c>
      <c r="E1232" t="str">
        <f>+IFERROR(VLOOKUP(Fact_Administrativa[[#This Row], [Concepto Anterior]],Conceptos_Administrativa[#All],5,0),"")</f>
        <v/>
      </c>
      <c r="F1232" t="str">
        <f>+IFERROR(VLOOKUP(Fact_Administrativa[[#This Row], 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ht="18.75" customHeight="1" x14ac:dyDescent="0.35">
      <c r="C1233" s="100" t="str">
        <f>IF(OR(Fact_Administrativa[[#This Row], [Año]]="",Fact_Administrativa[[#This Row], [Mes]]=""),"",DATE(A1233,MATCH(B1233,{"enero","febrero","marzo","abril","mayo","junio","julio","agosto","septiembre","octubre","noviembre","diciembre"},0)+1,0))</f>
        <v/>
      </c>
      <c r="E1233" t="str">
        <f>+IFERROR(VLOOKUP(Fact_Administrativa[[#This Row], [Concepto Anterior]],Conceptos_Administrativa[#All],5,0),"")</f>
        <v/>
      </c>
      <c r="F1233" t="str">
        <f>+IFERROR(VLOOKUP(Fact_Administrativa[[#This Row], 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ht="18.75" customHeight="1" x14ac:dyDescent="0.35">
      <c r="C1234" s="100" t="str">
        <f>IF(OR(Fact_Administrativa[[#This Row], [Año]]="",Fact_Administrativa[[#This Row], [Mes]]=""),"",DATE(A1234,MATCH(B1234,{"enero","febrero","marzo","abril","mayo","junio","julio","agosto","septiembre","octubre","noviembre","diciembre"},0)+1,0))</f>
        <v/>
      </c>
      <c r="E1234" t="str">
        <f>+IFERROR(VLOOKUP(Fact_Administrativa[[#This Row], [Concepto Anterior]],Conceptos_Administrativa[#All],5,0),"")</f>
        <v/>
      </c>
      <c r="F1234" t="str">
        <f>+IFERROR(VLOOKUP(Fact_Administrativa[[#This Row], 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ht="18.75" customHeight="1" x14ac:dyDescent="0.35">
      <c r="C1235" s="100" t="str">
        <f>IF(OR(Fact_Administrativa[[#This Row], [Año]]="",Fact_Administrativa[[#This Row], [Mes]]=""),"",DATE(A1235,MATCH(B1235,{"enero","febrero","marzo","abril","mayo","junio","julio","agosto","septiembre","octubre","noviembre","diciembre"},0)+1,0))</f>
        <v/>
      </c>
      <c r="E1235" t="str">
        <f>+IFERROR(VLOOKUP(Fact_Administrativa[[#This Row], [Concepto Anterior]],Conceptos_Administrativa[#All],5,0),"")</f>
        <v/>
      </c>
      <c r="F1235" t="str">
        <f>+IFERROR(VLOOKUP(Fact_Administrativa[[#This Row], 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ht="18.75" customHeight="1" x14ac:dyDescent="0.35">
      <c r="C1236" s="100" t="str">
        <f>IF(OR(Fact_Administrativa[[#This Row], [Año]]="",Fact_Administrativa[[#This Row], [Mes]]=""),"",DATE(A1236,MATCH(B1236,{"enero","febrero","marzo","abril","mayo","junio","julio","agosto","septiembre","octubre","noviembre","diciembre"},0)+1,0))</f>
        <v/>
      </c>
      <c r="E1236" t="str">
        <f>+IFERROR(VLOOKUP(Fact_Administrativa[[#This Row], [Concepto Anterior]],Conceptos_Administrativa[#All],5,0),"")</f>
        <v/>
      </c>
      <c r="F1236" t="str">
        <f>+IFERROR(VLOOKUP(Fact_Administrativa[[#This Row], 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ht="18.75" customHeight="1" x14ac:dyDescent="0.35">
      <c r="C1237" s="100" t="str">
        <f>IF(OR(Fact_Administrativa[[#This Row], [Año]]="",Fact_Administrativa[[#This Row], [Mes]]=""),"",DATE(A1237,MATCH(B1237,{"enero","febrero","marzo","abril","mayo","junio","julio","agosto","septiembre","octubre","noviembre","diciembre"},0)+1,0))</f>
        <v/>
      </c>
      <c r="E1237" t="str">
        <f>+IFERROR(VLOOKUP(Fact_Administrativa[[#This Row], [Concepto Anterior]],Conceptos_Administrativa[#All],5,0),"")</f>
        <v/>
      </c>
      <c r="F1237" t="str">
        <f>+IFERROR(VLOOKUP(Fact_Administrativa[[#This Row], 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ht="18.75" customHeight="1" x14ac:dyDescent="0.35">
      <c r="C1238" s="100" t="str">
        <f>IF(OR(Fact_Administrativa[[#This Row], [Año]]="",Fact_Administrativa[[#This Row], [Mes]]=""),"",DATE(A1238,MATCH(B1238,{"enero","febrero","marzo","abril","mayo","junio","julio","agosto","septiembre","octubre","noviembre","diciembre"},0)+1,0))</f>
        <v/>
      </c>
      <c r="E1238" t="str">
        <f>+IFERROR(VLOOKUP(Fact_Administrativa[[#This Row], [Concepto Anterior]],Conceptos_Administrativa[#All],5,0),"")</f>
        <v/>
      </c>
      <c r="F1238" t="str">
        <f>+IFERROR(VLOOKUP(Fact_Administrativa[[#This Row], 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ht="18.75" customHeight="1" x14ac:dyDescent="0.35">
      <c r="C1239" s="100" t="str">
        <f>IF(OR(Fact_Administrativa[[#This Row], [Año]]="",Fact_Administrativa[[#This Row], [Mes]]=""),"",DATE(A1239,MATCH(B1239,{"enero","febrero","marzo","abril","mayo","junio","julio","agosto","septiembre","octubre","noviembre","diciembre"},0)+1,0))</f>
        <v/>
      </c>
      <c r="E1239" t="str">
        <f>+IFERROR(VLOOKUP(Fact_Administrativa[[#This Row], [Concepto Anterior]],Conceptos_Administrativa[#All],5,0),"")</f>
        <v/>
      </c>
      <c r="F1239" t="str">
        <f>+IFERROR(VLOOKUP(Fact_Administrativa[[#This Row], 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ht="18.75" customHeight="1" x14ac:dyDescent="0.35">
      <c r="C1240" s="100" t="str">
        <f>IF(OR(Fact_Administrativa[[#This Row], [Año]]="",Fact_Administrativa[[#This Row], [Mes]]=""),"",DATE(A1240,MATCH(B1240,{"enero","febrero","marzo","abril","mayo","junio","julio","agosto","septiembre","octubre","noviembre","diciembre"},0)+1,0))</f>
        <v/>
      </c>
      <c r="E1240" t="str">
        <f>+IFERROR(VLOOKUP(Fact_Administrativa[[#This Row], [Concepto Anterior]],Conceptos_Administrativa[#All],5,0),"")</f>
        <v/>
      </c>
      <c r="F1240" t="str">
        <f>+IFERROR(VLOOKUP(Fact_Administrativa[[#This Row], 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ht="18.75" customHeight="1" x14ac:dyDescent="0.35">
      <c r="C1241" s="100" t="str">
        <f>IF(OR(Fact_Administrativa[[#This Row], [Año]]="",Fact_Administrativa[[#This Row], [Mes]]=""),"",DATE(A1241,MATCH(B1241,{"enero","febrero","marzo","abril","mayo","junio","julio","agosto","septiembre","octubre","noviembre","diciembre"},0)+1,0))</f>
        <v/>
      </c>
      <c r="E1241" t="str">
        <f>+IFERROR(VLOOKUP(Fact_Administrativa[[#This Row], [Concepto Anterior]],Conceptos_Administrativa[#All],5,0),"")</f>
        <v/>
      </c>
      <c r="F1241" t="str">
        <f>+IFERROR(VLOOKUP(Fact_Administrativa[[#This Row], 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ht="18.75" customHeight="1" x14ac:dyDescent="0.35">
      <c r="C1242" s="100" t="str">
        <f>IF(OR(Fact_Administrativa[[#This Row], [Año]]="",Fact_Administrativa[[#This Row], [Mes]]=""),"",DATE(A1242,MATCH(B1242,{"enero","febrero","marzo","abril","mayo","junio","julio","agosto","septiembre","octubre","noviembre","diciembre"},0)+1,0))</f>
        <v/>
      </c>
      <c r="E1242" t="str">
        <f>+IFERROR(VLOOKUP(Fact_Administrativa[[#This Row], [Concepto Anterior]],Conceptos_Administrativa[#All],5,0),"")</f>
        <v/>
      </c>
      <c r="F1242" t="str">
        <f>+IFERROR(VLOOKUP(Fact_Administrativa[[#This Row], 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ht="18.75" customHeight="1" x14ac:dyDescent="0.35">
      <c r="C1243" s="100" t="str">
        <f>IF(OR(Fact_Administrativa[[#This Row], [Año]]="",Fact_Administrativa[[#This Row], [Mes]]=""),"",DATE(A1243,MATCH(B1243,{"enero","febrero","marzo","abril","mayo","junio","julio","agosto","septiembre","octubre","noviembre","diciembre"},0)+1,0))</f>
        <v/>
      </c>
      <c r="E1243" t="str">
        <f>+IFERROR(VLOOKUP(Fact_Administrativa[[#This Row], [Concepto Anterior]],Conceptos_Administrativa[#All],5,0),"")</f>
        <v/>
      </c>
      <c r="F1243" t="str">
        <f>+IFERROR(VLOOKUP(Fact_Administrativa[[#This Row], 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ht="18.75" customHeight="1" x14ac:dyDescent="0.35">
      <c r="C1244" s="100" t="str">
        <f>IF(OR(Fact_Administrativa[[#This Row], [Año]]="",Fact_Administrativa[[#This Row], [Mes]]=""),"",DATE(A1244,MATCH(B1244,{"enero","febrero","marzo","abril","mayo","junio","julio","agosto","septiembre","octubre","noviembre","diciembre"},0)+1,0))</f>
        <v/>
      </c>
      <c r="E1244" t="str">
        <f>+IFERROR(VLOOKUP(Fact_Administrativa[[#This Row], [Concepto Anterior]],Conceptos_Administrativa[#All],5,0),"")</f>
        <v/>
      </c>
      <c r="F1244" t="str">
        <f>+IFERROR(VLOOKUP(Fact_Administrativa[[#This Row], 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ht="18.75" customHeight="1" x14ac:dyDescent="0.35">
      <c r="C1245" s="100" t="str">
        <f>IF(OR(Fact_Administrativa[[#This Row], [Año]]="",Fact_Administrativa[[#This Row], [Mes]]=""),"",DATE(A1245,MATCH(B1245,{"enero","febrero","marzo","abril","mayo","junio","julio","agosto","septiembre","octubre","noviembre","diciembre"},0)+1,0))</f>
        <v/>
      </c>
      <c r="E1245" t="str">
        <f>+IFERROR(VLOOKUP(Fact_Administrativa[[#This Row], [Concepto Anterior]],Conceptos_Administrativa[#All],5,0),"")</f>
        <v/>
      </c>
      <c r="F1245" t="str">
        <f>+IFERROR(VLOOKUP(Fact_Administrativa[[#This Row], 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ht="18.75" customHeight="1" x14ac:dyDescent="0.35">
      <c r="C1246" s="100" t="str">
        <f>IF(OR(Fact_Administrativa[[#This Row], [Año]]="",Fact_Administrativa[[#This Row], [Mes]]=""),"",DATE(A1246,MATCH(B1246,{"enero","febrero","marzo","abril","mayo","junio","julio","agosto","septiembre","octubre","noviembre","diciembre"},0)+1,0))</f>
        <v/>
      </c>
      <c r="E1246" t="str">
        <f>+IFERROR(VLOOKUP(Fact_Administrativa[[#This Row], [Concepto Anterior]],Conceptos_Administrativa[#All],5,0),"")</f>
        <v/>
      </c>
      <c r="F1246" t="str">
        <f>+IFERROR(VLOOKUP(Fact_Administrativa[[#This Row], 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ht="18.75" customHeight="1" x14ac:dyDescent="0.35">
      <c r="C1247" s="100" t="str">
        <f>IF(OR(Fact_Administrativa[[#This Row], [Año]]="",Fact_Administrativa[[#This Row], [Mes]]=""),"",DATE(A1247,MATCH(B1247,{"enero","febrero","marzo","abril","mayo","junio","julio","agosto","septiembre","octubre","noviembre","diciembre"},0)+1,0))</f>
        <v/>
      </c>
      <c r="E1247" t="str">
        <f>+IFERROR(VLOOKUP(Fact_Administrativa[[#This Row], [Concepto Anterior]],Conceptos_Administrativa[#All],5,0),"")</f>
        <v/>
      </c>
      <c r="F1247" t="str">
        <f>+IFERROR(VLOOKUP(Fact_Administrativa[[#This Row], 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ht="18.75" customHeight="1" x14ac:dyDescent="0.35">
      <c r="C1248" s="100" t="str">
        <f>IF(OR(Fact_Administrativa[[#This Row], [Año]]="",Fact_Administrativa[[#This Row], [Mes]]=""),"",DATE(A1248,MATCH(B1248,{"enero","febrero","marzo","abril","mayo","junio","julio","agosto","septiembre","octubre","noviembre","diciembre"},0)+1,0))</f>
        <v/>
      </c>
      <c r="E1248" t="str">
        <f>+IFERROR(VLOOKUP(Fact_Administrativa[[#This Row], [Concepto Anterior]],Conceptos_Administrativa[#All],5,0),"")</f>
        <v/>
      </c>
      <c r="F1248" t="str">
        <f>+IFERROR(VLOOKUP(Fact_Administrativa[[#This Row], 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ht="18.75" customHeight="1" x14ac:dyDescent="0.35">
      <c r="C1249" s="100" t="str">
        <f>IF(OR(Fact_Administrativa[[#This Row], [Año]]="",Fact_Administrativa[[#This Row], [Mes]]=""),"",DATE(A1249,MATCH(B1249,{"enero","febrero","marzo","abril","mayo","junio","julio","agosto","septiembre","octubre","noviembre","diciembre"},0)+1,0))</f>
        <v/>
      </c>
      <c r="E1249" t="str">
        <f>+IFERROR(VLOOKUP(Fact_Administrativa[[#This Row], [Concepto Anterior]],Conceptos_Administrativa[#All],5,0),"")</f>
        <v/>
      </c>
      <c r="F1249" t="str">
        <f>+IFERROR(VLOOKUP(Fact_Administrativa[[#This Row], 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ht="18.75" customHeight="1" x14ac:dyDescent="0.35">
      <c r="C1250" s="100" t="str">
        <f>IF(OR(Fact_Administrativa[[#This Row], [Año]]="",Fact_Administrativa[[#This Row], [Mes]]=""),"",DATE(A1250,MATCH(B1250,{"enero","febrero","marzo","abril","mayo","junio","julio","agosto","septiembre","octubre","noviembre","diciembre"},0)+1,0))</f>
        <v/>
      </c>
      <c r="E1250" t="str">
        <f>+IFERROR(VLOOKUP(Fact_Administrativa[[#This Row], [Concepto Anterior]],Conceptos_Administrativa[#All],5,0),"")</f>
        <v/>
      </c>
      <c r="F1250" t="str">
        <f>+IFERROR(VLOOKUP(Fact_Administrativa[[#This Row], 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ht="18.75" customHeight="1" x14ac:dyDescent="0.35">
      <c r="C1251" s="100" t="str">
        <f>IF(OR(Fact_Administrativa[[#This Row], [Año]]="",Fact_Administrativa[[#This Row], [Mes]]=""),"",DATE(A1251,MATCH(B1251,{"enero","febrero","marzo","abril","mayo","junio","julio","agosto","septiembre","octubre","noviembre","diciembre"},0)+1,0))</f>
        <v/>
      </c>
      <c r="E1251" t="str">
        <f>+IFERROR(VLOOKUP(Fact_Administrativa[[#This Row], [Concepto Anterior]],Conceptos_Administrativa[#All],5,0),"")</f>
        <v/>
      </c>
      <c r="F1251" t="str">
        <f>+IFERROR(VLOOKUP(Fact_Administrativa[[#This Row], 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ht="18.75" customHeight="1" x14ac:dyDescent="0.35">
      <c r="C1252" s="100" t="str">
        <f>IF(OR(Fact_Administrativa[[#This Row], [Año]]="",Fact_Administrativa[[#This Row], [Mes]]=""),"",DATE(A1252,MATCH(B1252,{"enero","febrero","marzo","abril","mayo","junio","julio","agosto","septiembre","octubre","noviembre","diciembre"},0)+1,0))</f>
        <v/>
      </c>
      <c r="E1252" t="str">
        <f>+IFERROR(VLOOKUP(Fact_Administrativa[[#This Row], [Concepto Anterior]],Conceptos_Administrativa[#All],5,0),"")</f>
        <v/>
      </c>
      <c r="F1252" t="str">
        <f>+IFERROR(VLOOKUP(Fact_Administrativa[[#This Row], 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ht="18.75" customHeight="1" x14ac:dyDescent="0.35">
      <c r="C1253" s="100" t="str">
        <f>IF(OR(Fact_Administrativa[[#This Row], [Año]]="",Fact_Administrativa[[#This Row], [Mes]]=""),"",DATE(A1253,MATCH(B1253,{"enero","febrero","marzo","abril","mayo","junio","julio","agosto","septiembre","octubre","noviembre","diciembre"},0)+1,0))</f>
        <v/>
      </c>
      <c r="E1253" t="str">
        <f>+IFERROR(VLOOKUP(Fact_Administrativa[[#This Row], [Concepto Anterior]],Conceptos_Administrativa[#All],5,0),"")</f>
        <v/>
      </c>
      <c r="F1253" t="str">
        <f>+IFERROR(VLOOKUP(Fact_Administrativa[[#This Row], 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ht="18.75" customHeight="1" x14ac:dyDescent="0.35">
      <c r="C1254" s="100" t="str">
        <f>IF(OR(Fact_Administrativa[[#This Row], [Año]]="",Fact_Administrativa[[#This Row], [Mes]]=""),"",DATE(A1254,MATCH(B1254,{"enero","febrero","marzo","abril","mayo","junio","julio","agosto","septiembre","octubre","noviembre","diciembre"},0)+1,0))</f>
        <v/>
      </c>
      <c r="E1254" t="str">
        <f>+IFERROR(VLOOKUP(Fact_Administrativa[[#This Row], [Concepto Anterior]],Conceptos_Administrativa[#All],5,0),"")</f>
        <v/>
      </c>
      <c r="F1254" t="str">
        <f>+IFERROR(VLOOKUP(Fact_Administrativa[[#This Row], 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ht="18.75" customHeight="1" x14ac:dyDescent="0.35">
      <c r="C1255" s="100" t="str">
        <f>IF(OR(Fact_Administrativa[[#This Row], [Año]]="",Fact_Administrativa[[#This Row], [Mes]]=""),"",DATE(A1255,MATCH(B1255,{"enero","febrero","marzo","abril","mayo","junio","julio","agosto","septiembre","octubre","noviembre","diciembre"},0)+1,0))</f>
        <v/>
      </c>
      <c r="E1255" t="str">
        <f>+IFERROR(VLOOKUP(Fact_Administrativa[[#This Row], [Concepto Anterior]],Conceptos_Administrativa[#All],5,0),"")</f>
        <v/>
      </c>
      <c r="F1255" t="str">
        <f>+IFERROR(VLOOKUP(Fact_Administrativa[[#This Row], 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ht="18.75" customHeight="1" x14ac:dyDescent="0.35">
      <c r="C1256" s="100" t="str">
        <f>IF(OR(Fact_Administrativa[[#This Row], [Año]]="",Fact_Administrativa[[#This Row], [Mes]]=""),"",DATE(A1256,MATCH(B1256,{"enero","febrero","marzo","abril","mayo","junio","julio","agosto","septiembre","octubre","noviembre","diciembre"},0)+1,0))</f>
        <v/>
      </c>
      <c r="E1256" t="str">
        <f>+IFERROR(VLOOKUP(Fact_Administrativa[[#This Row], [Concepto Anterior]],Conceptos_Administrativa[#All],5,0),"")</f>
        <v/>
      </c>
      <c r="F1256" t="str">
        <f>+IFERROR(VLOOKUP(Fact_Administrativa[[#This Row], 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ht="18.75" customHeight="1" x14ac:dyDescent="0.35">
      <c r="C1257" s="100" t="str">
        <f>IF(OR(Fact_Administrativa[[#This Row], [Año]]="",Fact_Administrativa[[#This Row], [Mes]]=""),"",DATE(A1257,MATCH(B1257,{"enero","febrero","marzo","abril","mayo","junio","julio","agosto","septiembre","octubre","noviembre","diciembre"},0)+1,0))</f>
        <v/>
      </c>
      <c r="E1257" t="str">
        <f>+IFERROR(VLOOKUP(Fact_Administrativa[[#This Row], [Concepto Anterior]],Conceptos_Administrativa[#All],5,0),"")</f>
        <v/>
      </c>
      <c r="F1257" t="str">
        <f>+IFERROR(VLOOKUP(Fact_Administrativa[[#This Row], 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ht="18.75" customHeight="1" x14ac:dyDescent="0.35">
      <c r="C1258" s="100" t="str">
        <f>IF(OR(Fact_Administrativa[[#This Row], [Año]]="",Fact_Administrativa[[#This Row], [Mes]]=""),"",DATE(A1258,MATCH(B1258,{"enero","febrero","marzo","abril","mayo","junio","julio","agosto","septiembre","octubre","noviembre","diciembre"},0)+1,0))</f>
        <v/>
      </c>
      <c r="E1258" t="str">
        <f>+IFERROR(VLOOKUP(Fact_Administrativa[[#This Row], [Concepto Anterior]],Conceptos_Administrativa[#All],5,0),"")</f>
        <v/>
      </c>
      <c r="F1258" t="str">
        <f>+IFERROR(VLOOKUP(Fact_Administrativa[[#This Row], 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ht="18.75" customHeight="1" x14ac:dyDescent="0.35">
      <c r="C1259" s="100" t="str">
        <f>IF(OR(Fact_Administrativa[[#This Row], [Año]]="",Fact_Administrativa[[#This Row], [Mes]]=""),"",DATE(A1259,MATCH(B1259,{"enero","febrero","marzo","abril","mayo","junio","julio","agosto","septiembre","octubre","noviembre","diciembre"},0)+1,0))</f>
        <v/>
      </c>
      <c r="E1259" t="str">
        <f>+IFERROR(VLOOKUP(Fact_Administrativa[[#This Row], [Concepto Anterior]],Conceptos_Administrativa[#All],5,0),"")</f>
        <v/>
      </c>
      <c r="F1259" t="str">
        <f>+IFERROR(VLOOKUP(Fact_Administrativa[[#This Row], 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ht="18.75" customHeight="1" x14ac:dyDescent="0.35">
      <c r="C1260" s="100" t="str">
        <f>IF(OR(Fact_Administrativa[[#This Row], [Año]]="",Fact_Administrativa[[#This Row], [Mes]]=""),"",DATE(A1260,MATCH(B1260,{"enero","febrero","marzo","abril","mayo","junio","julio","agosto","septiembre","octubre","noviembre","diciembre"},0)+1,0))</f>
        <v/>
      </c>
      <c r="E1260" t="str">
        <f>+IFERROR(VLOOKUP(Fact_Administrativa[[#This Row], [Concepto Anterior]],Conceptos_Administrativa[#All],5,0),"")</f>
        <v/>
      </c>
      <c r="F1260" t="str">
        <f>+IFERROR(VLOOKUP(Fact_Administrativa[[#This Row], 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ht="18.75" customHeight="1" x14ac:dyDescent="0.35">
      <c r="C1261" s="100" t="str">
        <f>IF(OR(Fact_Administrativa[[#This Row], [Año]]="",Fact_Administrativa[[#This Row], [Mes]]=""),"",DATE(A1261,MATCH(B1261,{"enero","febrero","marzo","abril","mayo","junio","julio","agosto","septiembre","octubre","noviembre","diciembre"},0)+1,0))</f>
        <v/>
      </c>
      <c r="E1261" t="str">
        <f>+IFERROR(VLOOKUP(Fact_Administrativa[[#This Row], [Concepto Anterior]],Conceptos_Administrativa[#All],5,0),"")</f>
        <v/>
      </c>
      <c r="F1261" t="str">
        <f>+IFERROR(VLOOKUP(Fact_Administrativa[[#This Row], 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ht="18.75" customHeight="1" x14ac:dyDescent="0.35">
      <c r="C1262" s="100" t="str">
        <f>IF(OR(Fact_Administrativa[[#This Row], [Año]]="",Fact_Administrativa[[#This Row], [Mes]]=""),"",DATE(A1262,MATCH(B1262,{"enero","febrero","marzo","abril","mayo","junio","julio","agosto","septiembre","octubre","noviembre","diciembre"},0)+1,0))</f>
        <v/>
      </c>
      <c r="E1262" t="str">
        <f>+IFERROR(VLOOKUP(Fact_Administrativa[[#This Row], [Concepto Anterior]],Conceptos_Administrativa[#All],5,0),"")</f>
        <v/>
      </c>
      <c r="F1262" t="str">
        <f>+IFERROR(VLOOKUP(Fact_Administrativa[[#This Row], 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ht="18.75" customHeight="1" x14ac:dyDescent="0.35">
      <c r="C1263" s="100" t="str">
        <f>IF(OR(Fact_Administrativa[[#This Row], [Año]]="",Fact_Administrativa[[#This Row], [Mes]]=""),"",DATE(A1263,MATCH(B1263,{"enero","febrero","marzo","abril","mayo","junio","julio","agosto","septiembre","octubre","noviembre","diciembre"},0)+1,0))</f>
        <v/>
      </c>
      <c r="E1263" t="str">
        <f>+IFERROR(VLOOKUP(Fact_Administrativa[[#This Row], [Concepto Anterior]],Conceptos_Administrativa[#All],5,0),"")</f>
        <v/>
      </c>
      <c r="F1263" t="str">
        <f>+IFERROR(VLOOKUP(Fact_Administrativa[[#This Row], 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ht="18.75" customHeight="1" x14ac:dyDescent="0.35">
      <c r="C1264" s="100" t="str">
        <f>IF(OR(Fact_Administrativa[[#This Row], [Año]]="",Fact_Administrativa[[#This Row], [Mes]]=""),"",DATE(A1264,MATCH(B1264,{"enero","febrero","marzo","abril","mayo","junio","julio","agosto","septiembre","octubre","noviembre","diciembre"},0)+1,0))</f>
        <v/>
      </c>
      <c r="E1264" t="str">
        <f>+IFERROR(VLOOKUP(Fact_Administrativa[[#This Row], [Concepto Anterior]],Conceptos_Administrativa[#All],5,0),"")</f>
        <v/>
      </c>
      <c r="F1264" t="str">
        <f>+IFERROR(VLOOKUP(Fact_Administrativa[[#This Row], 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ht="18.75" customHeight="1" x14ac:dyDescent="0.35">
      <c r="C1265" s="100" t="str">
        <f>IF(OR(Fact_Administrativa[[#This Row], [Año]]="",Fact_Administrativa[[#This Row], [Mes]]=""),"",DATE(A1265,MATCH(B1265,{"enero","febrero","marzo","abril","mayo","junio","julio","agosto","septiembre","octubre","noviembre","diciembre"},0)+1,0))</f>
        <v/>
      </c>
      <c r="E1265" t="str">
        <f>+IFERROR(VLOOKUP(Fact_Administrativa[[#This Row], [Concepto Anterior]],Conceptos_Administrativa[#All],5,0),"")</f>
        <v/>
      </c>
      <c r="F1265" t="str">
        <f>+IFERROR(VLOOKUP(Fact_Administrativa[[#This Row], 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ht="18.75" customHeight="1" x14ac:dyDescent="0.35">
      <c r="C1266" s="100" t="str">
        <f>IF(OR(Fact_Administrativa[[#This Row], [Año]]="",Fact_Administrativa[[#This Row], [Mes]]=""),"",DATE(A1266,MATCH(B1266,{"enero","febrero","marzo","abril","mayo","junio","julio","agosto","septiembre","octubre","noviembre","diciembre"},0)+1,0))</f>
        <v/>
      </c>
      <c r="E1266" t="str">
        <f>+IFERROR(VLOOKUP(Fact_Administrativa[[#This Row], [Concepto Anterior]],Conceptos_Administrativa[#All],5,0),"")</f>
        <v/>
      </c>
      <c r="F1266" t="str">
        <f>+IFERROR(VLOOKUP(Fact_Administrativa[[#This Row], 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ht="18.75" customHeight="1" x14ac:dyDescent="0.35">
      <c r="C1267" s="100" t="str">
        <f>IF(OR(Fact_Administrativa[[#This Row], [Año]]="",Fact_Administrativa[[#This Row], [Mes]]=""),"",DATE(A1267,MATCH(B1267,{"enero","febrero","marzo","abril","mayo","junio","julio","agosto","septiembre","octubre","noviembre","diciembre"},0)+1,0))</f>
        <v/>
      </c>
      <c r="E1267" t="str">
        <f>+IFERROR(VLOOKUP(Fact_Administrativa[[#This Row], [Concepto Anterior]],Conceptos_Administrativa[#All],5,0),"")</f>
        <v/>
      </c>
      <c r="F1267" t="str">
        <f>+IFERROR(VLOOKUP(Fact_Administrativa[[#This Row], 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ht="18.75" customHeight="1" x14ac:dyDescent="0.35">
      <c r="C1268" s="100" t="str">
        <f>IF(OR(Fact_Administrativa[[#This Row], [Año]]="",Fact_Administrativa[[#This Row], [Mes]]=""),"",DATE(A1268,MATCH(B1268,{"enero","febrero","marzo","abril","mayo","junio","julio","agosto","septiembre","octubre","noviembre","diciembre"},0)+1,0))</f>
        <v/>
      </c>
      <c r="E1268" t="str">
        <f>+IFERROR(VLOOKUP(Fact_Administrativa[[#This Row], [Concepto Anterior]],Conceptos_Administrativa[#All],5,0),"")</f>
        <v/>
      </c>
      <c r="F1268" t="str">
        <f>+IFERROR(VLOOKUP(Fact_Administrativa[[#This Row], 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ht="18.75" customHeight="1" x14ac:dyDescent="0.35">
      <c r="C1269" s="100" t="str">
        <f>IF(OR(Fact_Administrativa[[#This Row], [Año]]="",Fact_Administrativa[[#This Row], [Mes]]=""),"",DATE(A1269,MATCH(B1269,{"enero","febrero","marzo","abril","mayo","junio","julio","agosto","septiembre","octubre","noviembre","diciembre"},0)+1,0))</f>
        <v/>
      </c>
      <c r="E1269" t="str">
        <f>+IFERROR(VLOOKUP(Fact_Administrativa[[#This Row], [Concepto Anterior]],Conceptos_Administrativa[#All],5,0),"")</f>
        <v/>
      </c>
      <c r="F1269" t="str">
        <f>+IFERROR(VLOOKUP(Fact_Administrativa[[#This Row], 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ht="18.75" customHeight="1" x14ac:dyDescent="0.35">
      <c r="C1270" s="100" t="str">
        <f>IF(OR(Fact_Administrativa[[#This Row], [Año]]="",Fact_Administrativa[[#This Row], [Mes]]=""),"",DATE(A1270,MATCH(B1270,{"enero","febrero","marzo","abril","mayo","junio","julio","agosto","septiembre","octubre","noviembre","diciembre"},0)+1,0))</f>
        <v/>
      </c>
      <c r="E1270" t="str">
        <f>+IFERROR(VLOOKUP(Fact_Administrativa[[#This Row], [Concepto Anterior]],Conceptos_Administrativa[#All],5,0),"")</f>
        <v/>
      </c>
      <c r="F1270" t="str">
        <f>+IFERROR(VLOOKUP(Fact_Administrativa[[#This Row], 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ht="18.75" customHeight="1" x14ac:dyDescent="0.35">
      <c r="C1271" s="100" t="str">
        <f>IF(OR(Fact_Administrativa[[#This Row], [Año]]="",Fact_Administrativa[[#This Row], [Mes]]=""),"",DATE(A1271,MATCH(B1271,{"enero","febrero","marzo","abril","mayo","junio","julio","agosto","septiembre","octubre","noviembre","diciembre"},0)+1,0))</f>
        <v/>
      </c>
      <c r="E1271" t="str">
        <f>+IFERROR(VLOOKUP(Fact_Administrativa[[#This Row], [Concepto Anterior]],Conceptos_Administrativa[#All],5,0),"")</f>
        <v/>
      </c>
      <c r="F1271" t="str">
        <f>+IFERROR(VLOOKUP(Fact_Administrativa[[#This Row], 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ht="18.75" customHeight="1" x14ac:dyDescent="0.35">
      <c r="C1272" s="100" t="str">
        <f>IF(OR(Fact_Administrativa[[#This Row], [Año]]="",Fact_Administrativa[[#This Row], [Mes]]=""),"",DATE(A1272,MATCH(B1272,{"enero","febrero","marzo","abril","mayo","junio","julio","agosto","septiembre","octubre","noviembre","diciembre"},0)+1,0))</f>
        <v/>
      </c>
      <c r="E1272" t="str">
        <f>+IFERROR(VLOOKUP(Fact_Administrativa[[#This Row], [Concepto Anterior]],Conceptos_Administrativa[#All],5,0),"")</f>
        <v/>
      </c>
      <c r="F1272" t="str">
        <f>+IFERROR(VLOOKUP(Fact_Administrativa[[#This Row], 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ht="18.75" customHeight="1" x14ac:dyDescent="0.35">
      <c r="C1273" s="100" t="str">
        <f>IF(OR(Fact_Administrativa[[#This Row], [Año]]="",Fact_Administrativa[[#This Row], [Mes]]=""),"",DATE(A1273,MATCH(B1273,{"enero","febrero","marzo","abril","mayo","junio","julio","agosto","septiembre","octubre","noviembre","diciembre"},0)+1,0))</f>
        <v/>
      </c>
      <c r="E1273" t="str">
        <f>+IFERROR(VLOOKUP(Fact_Administrativa[[#This Row], [Concepto Anterior]],Conceptos_Administrativa[#All],5,0),"")</f>
        <v/>
      </c>
      <c r="F1273" t="str">
        <f>+IFERROR(VLOOKUP(Fact_Administrativa[[#This Row], 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ht="18.75" customHeight="1" x14ac:dyDescent="0.35">
      <c r="C1274" s="100" t="str">
        <f>IF(OR(Fact_Administrativa[[#This Row], [Año]]="",Fact_Administrativa[[#This Row], [Mes]]=""),"",DATE(A1274,MATCH(B1274,{"enero","febrero","marzo","abril","mayo","junio","julio","agosto","septiembre","octubre","noviembre","diciembre"},0)+1,0))</f>
        <v/>
      </c>
      <c r="E1274" t="str">
        <f>+IFERROR(VLOOKUP(Fact_Administrativa[[#This Row], [Concepto Anterior]],Conceptos_Administrativa[#All],5,0),"")</f>
        <v/>
      </c>
      <c r="F1274" t="str">
        <f>+IFERROR(VLOOKUP(Fact_Administrativa[[#This Row], 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ht="18.75" customHeight="1" x14ac:dyDescent="0.35">
      <c r="C1275" s="100" t="str">
        <f>IF(OR(Fact_Administrativa[[#This Row], [Año]]="",Fact_Administrativa[[#This Row], [Mes]]=""),"",DATE(A1275,MATCH(B1275,{"enero","febrero","marzo","abril","mayo","junio","julio","agosto","septiembre","octubre","noviembre","diciembre"},0)+1,0))</f>
        <v/>
      </c>
      <c r="E1275" t="str">
        <f>+IFERROR(VLOOKUP(Fact_Administrativa[[#This Row], [Concepto Anterior]],Conceptos_Administrativa[#All],5,0),"")</f>
        <v/>
      </c>
      <c r="F1275" t="str">
        <f>+IFERROR(VLOOKUP(Fact_Administrativa[[#This Row], 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ht="18.75" customHeight="1" x14ac:dyDescent="0.35">
      <c r="C1276" s="100" t="str">
        <f>IF(OR(Fact_Administrativa[[#This Row], [Año]]="",Fact_Administrativa[[#This Row], [Mes]]=""),"",DATE(A1276,MATCH(B1276,{"enero","febrero","marzo","abril","mayo","junio","julio","agosto","septiembre","octubre","noviembre","diciembre"},0)+1,0))</f>
        <v/>
      </c>
      <c r="E1276" t="str">
        <f>+IFERROR(VLOOKUP(Fact_Administrativa[[#This Row], [Concepto Anterior]],Conceptos_Administrativa[#All],5,0),"")</f>
        <v/>
      </c>
      <c r="F1276" t="str">
        <f>+IFERROR(VLOOKUP(Fact_Administrativa[[#This Row], 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ht="18.75" customHeight="1" x14ac:dyDescent="0.35">
      <c r="C1277" s="100" t="str">
        <f>IF(OR(Fact_Administrativa[[#This Row], [Año]]="",Fact_Administrativa[[#This Row], [Mes]]=""),"",DATE(A1277,MATCH(B1277,{"enero","febrero","marzo","abril","mayo","junio","julio","agosto","septiembre","octubre","noviembre","diciembre"},0)+1,0))</f>
        <v/>
      </c>
      <c r="E1277" t="str">
        <f>+IFERROR(VLOOKUP(Fact_Administrativa[[#This Row], [Concepto Anterior]],Conceptos_Administrativa[#All],5,0),"")</f>
        <v/>
      </c>
      <c r="F1277" t="str">
        <f>+IFERROR(VLOOKUP(Fact_Administrativa[[#This Row], 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ht="18.75" customHeight="1" x14ac:dyDescent="0.35">
      <c r="C1278" s="100" t="str">
        <f>IF(OR(Fact_Administrativa[[#This Row], [Año]]="",Fact_Administrativa[[#This Row], [Mes]]=""),"",DATE(A1278,MATCH(B1278,{"enero","febrero","marzo","abril","mayo","junio","julio","agosto","septiembre","octubre","noviembre","diciembre"},0)+1,0))</f>
        <v/>
      </c>
      <c r="E1278" t="str">
        <f>+IFERROR(VLOOKUP(Fact_Administrativa[[#This Row], [Concepto Anterior]],Conceptos_Administrativa[#All],5,0),"")</f>
        <v/>
      </c>
      <c r="F1278" t="str">
        <f>+IFERROR(VLOOKUP(Fact_Administrativa[[#This Row], 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ht="18.75" customHeight="1" x14ac:dyDescent="0.35">
      <c r="C1279" s="100" t="str">
        <f>IF(OR(Fact_Administrativa[[#This Row], [Año]]="",Fact_Administrativa[[#This Row], [Mes]]=""),"",DATE(A1279,MATCH(B1279,{"enero","febrero","marzo","abril","mayo","junio","julio","agosto","septiembre","octubre","noviembre","diciembre"},0)+1,0))</f>
        <v/>
      </c>
      <c r="E1279" t="str">
        <f>+IFERROR(VLOOKUP(Fact_Administrativa[[#This Row], [Concepto Anterior]],Conceptos_Administrativa[#All],5,0),"")</f>
        <v/>
      </c>
      <c r="F1279" t="str">
        <f>+IFERROR(VLOOKUP(Fact_Administrativa[[#This Row], 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ht="18.75" customHeight="1" x14ac:dyDescent="0.35">
      <c r="C1280" s="100" t="str">
        <f>IF(OR(Fact_Administrativa[[#This Row], [Año]]="",Fact_Administrativa[[#This Row], [Mes]]=""),"",DATE(A1280,MATCH(B1280,{"enero","febrero","marzo","abril","mayo","junio","julio","agosto","septiembre","octubre","noviembre","diciembre"},0)+1,0))</f>
        <v/>
      </c>
      <c r="E1280" t="str">
        <f>+IFERROR(VLOOKUP(Fact_Administrativa[[#This Row], [Concepto Anterior]],Conceptos_Administrativa[#All],5,0),"")</f>
        <v/>
      </c>
      <c r="F1280" t="str">
        <f>+IFERROR(VLOOKUP(Fact_Administrativa[[#This Row], 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ht="18.75" customHeight="1" x14ac:dyDescent="0.35">
      <c r="C1281" s="100" t="str">
        <f>IF(OR(Fact_Administrativa[[#This Row], [Año]]="",Fact_Administrativa[[#This Row], [Mes]]=""),"",DATE(A1281,MATCH(B1281,{"enero","febrero","marzo","abril","mayo","junio","julio","agosto","septiembre","octubre","noviembre","diciembre"},0)+1,0))</f>
        <v/>
      </c>
      <c r="E1281" t="str">
        <f>+IFERROR(VLOOKUP(Fact_Administrativa[[#This Row], [Concepto Anterior]],Conceptos_Administrativa[#All],5,0),"")</f>
        <v/>
      </c>
      <c r="F1281" t="str">
        <f>+IFERROR(VLOOKUP(Fact_Administrativa[[#This Row], 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ht="18.75" customHeight="1" x14ac:dyDescent="0.35">
      <c r="C1282" s="100" t="str">
        <f>IF(OR(Fact_Administrativa[[#This Row], [Año]]="",Fact_Administrativa[[#This Row], [Mes]]=""),"",DATE(A1282,MATCH(B1282,{"enero","febrero","marzo","abril","mayo","junio","julio","agosto","septiembre","octubre","noviembre","diciembre"},0)+1,0))</f>
        <v/>
      </c>
      <c r="E1282" t="str">
        <f>+IFERROR(VLOOKUP(Fact_Administrativa[[#This Row], [Concepto Anterior]],Conceptos_Administrativa[#All],5,0),"")</f>
        <v/>
      </c>
      <c r="F1282" t="str">
        <f>+IFERROR(VLOOKUP(Fact_Administrativa[[#This Row], 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ht="18.75" customHeight="1" x14ac:dyDescent="0.35">
      <c r="C1283" s="100" t="str">
        <f>IF(OR(Fact_Administrativa[[#This Row], [Año]]="",Fact_Administrativa[[#This Row], [Mes]]=""),"",DATE(A1283,MATCH(B1283,{"enero","febrero","marzo","abril","mayo","junio","julio","agosto","septiembre","octubre","noviembre","diciembre"},0)+1,0))</f>
        <v/>
      </c>
      <c r="E1283" t="str">
        <f>+IFERROR(VLOOKUP(Fact_Administrativa[[#This Row], [Concepto Anterior]],Conceptos_Administrativa[#All],5,0),"")</f>
        <v/>
      </c>
      <c r="F1283" t="str">
        <f>+IFERROR(VLOOKUP(Fact_Administrativa[[#This Row], 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ht="18.75" customHeight="1" x14ac:dyDescent="0.35">
      <c r="C1284" s="100" t="str">
        <f>IF(OR(Fact_Administrativa[[#This Row], [Año]]="",Fact_Administrativa[[#This Row], [Mes]]=""),"",DATE(A1284,MATCH(B1284,{"enero","febrero","marzo","abril","mayo","junio","julio","agosto","septiembre","octubre","noviembre","diciembre"},0)+1,0))</f>
        <v/>
      </c>
      <c r="E1284" t="str">
        <f>+IFERROR(VLOOKUP(Fact_Administrativa[[#This Row], [Concepto Anterior]],Conceptos_Administrativa[#All],5,0),"")</f>
        <v/>
      </c>
      <c r="F1284" t="str">
        <f>+IFERROR(VLOOKUP(Fact_Administrativa[[#This Row], 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ht="18.75" customHeight="1" x14ac:dyDescent="0.35">
      <c r="C1285" s="100" t="str">
        <f>IF(OR(Fact_Administrativa[[#This Row], [Año]]="",Fact_Administrativa[[#This Row], [Mes]]=""),"",DATE(A1285,MATCH(B1285,{"enero","febrero","marzo","abril","mayo","junio","julio","agosto","septiembre","octubre","noviembre","diciembre"},0)+1,0))</f>
        <v/>
      </c>
      <c r="E1285" t="str">
        <f>+IFERROR(VLOOKUP(Fact_Administrativa[[#This Row], [Concepto Anterior]],Conceptos_Administrativa[#All],5,0),"")</f>
        <v/>
      </c>
      <c r="F1285" t="str">
        <f>+IFERROR(VLOOKUP(Fact_Administrativa[[#This Row], 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ht="18.75" customHeight="1" x14ac:dyDescent="0.35">
      <c r="C1286" s="100" t="str">
        <f>IF(OR(Fact_Administrativa[[#This Row], [Año]]="",Fact_Administrativa[[#This Row], [Mes]]=""),"",DATE(A1286,MATCH(B1286,{"enero","febrero","marzo","abril","mayo","junio","julio","agosto","septiembre","octubre","noviembre","diciembre"},0)+1,0))</f>
        <v/>
      </c>
      <c r="E1286" t="str">
        <f>+IFERROR(VLOOKUP(Fact_Administrativa[[#This Row], [Concepto Anterior]],Conceptos_Administrativa[#All],5,0),"")</f>
        <v/>
      </c>
      <c r="F1286" t="str">
        <f>+IFERROR(VLOOKUP(Fact_Administrativa[[#This Row], 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ht="18.75" customHeight="1" x14ac:dyDescent="0.35">
      <c r="C1287" s="100" t="str">
        <f>IF(OR(Fact_Administrativa[[#This Row], [Año]]="",Fact_Administrativa[[#This Row], [Mes]]=""),"",DATE(A1287,MATCH(B1287,{"enero","febrero","marzo","abril","mayo","junio","julio","agosto","septiembre","octubre","noviembre","diciembre"},0)+1,0))</f>
        <v/>
      </c>
      <c r="E1287" t="str">
        <f>+IFERROR(VLOOKUP(Fact_Administrativa[[#This Row], [Concepto Anterior]],Conceptos_Administrativa[#All],5,0),"")</f>
        <v/>
      </c>
      <c r="F1287" t="str">
        <f>+IFERROR(VLOOKUP(Fact_Administrativa[[#This Row], 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ht="18.75" customHeight="1" x14ac:dyDescent="0.35">
      <c r="C1288" s="100" t="str">
        <f>IF(OR(Fact_Administrativa[[#This Row], [Año]]="",Fact_Administrativa[[#This Row], [Mes]]=""),"",DATE(A1288,MATCH(B1288,{"enero","febrero","marzo","abril","mayo","junio","julio","agosto","septiembre","octubre","noviembre","diciembre"},0)+1,0))</f>
        <v/>
      </c>
      <c r="E1288" t="str">
        <f>+IFERROR(VLOOKUP(Fact_Administrativa[[#This Row], [Concepto Anterior]],Conceptos_Administrativa[#All],5,0),"")</f>
        <v/>
      </c>
      <c r="F1288" t="str">
        <f>+IFERROR(VLOOKUP(Fact_Administrativa[[#This Row], 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ht="18.75" customHeight="1" x14ac:dyDescent="0.35">
      <c r="C1289" s="100" t="str">
        <f>IF(OR(Fact_Administrativa[[#This Row], [Año]]="",Fact_Administrativa[[#This Row], [Mes]]=""),"",DATE(A1289,MATCH(B1289,{"enero","febrero","marzo","abril","mayo","junio","julio","agosto","septiembre","octubre","noviembre","diciembre"},0)+1,0))</f>
        <v/>
      </c>
      <c r="E1289" t="str">
        <f>+IFERROR(VLOOKUP(Fact_Administrativa[[#This Row], [Concepto Anterior]],Conceptos_Administrativa[#All],5,0),"")</f>
        <v/>
      </c>
      <c r="F1289" t="str">
        <f>+IFERROR(VLOOKUP(Fact_Administrativa[[#This Row], 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ht="18.75" customHeight="1" x14ac:dyDescent="0.35">
      <c r="C1290" s="100" t="str">
        <f>IF(OR(Fact_Administrativa[[#This Row], [Año]]="",Fact_Administrativa[[#This Row], [Mes]]=""),"",DATE(A1290,MATCH(B1290,{"enero","febrero","marzo","abril","mayo","junio","julio","agosto","septiembre","octubre","noviembre","diciembre"},0)+1,0))</f>
        <v/>
      </c>
      <c r="E1290" t="str">
        <f>+IFERROR(VLOOKUP(Fact_Administrativa[[#This Row], [Concepto Anterior]],Conceptos_Administrativa[#All],5,0),"")</f>
        <v/>
      </c>
      <c r="F1290" t="str">
        <f>+IFERROR(VLOOKUP(Fact_Administrativa[[#This Row], 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ht="18.75" customHeight="1" x14ac:dyDescent="0.35">
      <c r="C1291" s="100" t="str">
        <f>IF(OR(Fact_Administrativa[[#This Row], [Año]]="",Fact_Administrativa[[#This Row], [Mes]]=""),"",DATE(A1291,MATCH(B1291,{"enero","febrero","marzo","abril","mayo","junio","julio","agosto","septiembre","octubre","noviembre","diciembre"},0)+1,0))</f>
        <v/>
      </c>
      <c r="E1291" t="str">
        <f>+IFERROR(VLOOKUP(Fact_Administrativa[[#This Row], [Concepto Anterior]],Conceptos_Administrativa[#All],5,0),"")</f>
        <v/>
      </c>
      <c r="F1291" t="str">
        <f>+IFERROR(VLOOKUP(Fact_Administrativa[[#This Row], 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ht="18.75" customHeight="1" x14ac:dyDescent="0.35">
      <c r="C1292" s="100" t="str">
        <f>IF(OR(Fact_Administrativa[[#This Row], [Año]]="",Fact_Administrativa[[#This Row], [Mes]]=""),"",DATE(A1292,MATCH(B1292,{"enero","febrero","marzo","abril","mayo","junio","julio","agosto","septiembre","octubre","noviembre","diciembre"},0)+1,0))</f>
        <v/>
      </c>
      <c r="E1292" t="str">
        <f>+IFERROR(VLOOKUP(Fact_Administrativa[[#This Row], [Concepto Anterior]],Conceptos_Administrativa[#All],5,0),"")</f>
        <v/>
      </c>
      <c r="F1292" t="str">
        <f>+IFERROR(VLOOKUP(Fact_Administrativa[[#This Row], 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ht="18.75" customHeight="1" x14ac:dyDescent="0.35">
      <c r="C1293" s="100" t="str">
        <f>IF(OR(Fact_Administrativa[[#This Row], [Año]]="",Fact_Administrativa[[#This Row], [Mes]]=""),"",DATE(A1293,MATCH(B1293,{"enero","febrero","marzo","abril","mayo","junio","julio","agosto","septiembre","octubre","noviembre","diciembre"},0)+1,0))</f>
        <v/>
      </c>
      <c r="E1293" t="str">
        <f>+IFERROR(VLOOKUP(Fact_Administrativa[[#This Row], [Concepto Anterior]],Conceptos_Administrativa[#All],5,0),"")</f>
        <v/>
      </c>
      <c r="F1293" t="str">
        <f>+IFERROR(VLOOKUP(Fact_Administrativa[[#This Row], 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ht="18.75" customHeight="1" x14ac:dyDescent="0.35">
      <c r="C1294" s="100" t="str">
        <f>IF(OR(Fact_Administrativa[[#This Row], [Año]]="",Fact_Administrativa[[#This Row], [Mes]]=""),"",DATE(A1294,MATCH(B1294,{"enero","febrero","marzo","abril","mayo","junio","julio","agosto","septiembre","octubre","noviembre","diciembre"},0)+1,0))</f>
        <v/>
      </c>
      <c r="E1294" t="str">
        <f>+IFERROR(VLOOKUP(Fact_Administrativa[[#This Row], [Concepto Anterior]],Conceptos_Administrativa[#All],5,0),"")</f>
        <v/>
      </c>
      <c r="F1294" t="str">
        <f>+IFERROR(VLOOKUP(Fact_Administrativa[[#This Row], 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ht="18.75" customHeight="1" x14ac:dyDescent="0.35">
      <c r="C1295" s="100" t="str">
        <f>IF(OR(Fact_Administrativa[[#This Row], [Año]]="",Fact_Administrativa[[#This Row], [Mes]]=""),"",DATE(A1295,MATCH(B1295,{"enero","febrero","marzo","abril","mayo","junio","julio","agosto","septiembre","octubre","noviembre","diciembre"},0)+1,0))</f>
        <v/>
      </c>
      <c r="E1295" t="str">
        <f>+IFERROR(VLOOKUP(Fact_Administrativa[[#This Row], [Concepto Anterior]],Conceptos_Administrativa[#All],5,0),"")</f>
        <v/>
      </c>
      <c r="F1295" t="str">
        <f>+IFERROR(VLOOKUP(Fact_Administrativa[[#This Row], 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ht="18.75" customHeight="1" x14ac:dyDescent="0.35">
      <c r="C1296" s="100" t="str">
        <f>IF(OR(Fact_Administrativa[[#This Row], [Año]]="",Fact_Administrativa[[#This Row], [Mes]]=""),"",DATE(A1296,MATCH(B1296,{"enero","febrero","marzo","abril","mayo","junio","julio","agosto","septiembre","octubre","noviembre","diciembre"},0)+1,0))</f>
        <v/>
      </c>
      <c r="E1296" t="str">
        <f>+IFERROR(VLOOKUP(Fact_Administrativa[[#This Row], [Concepto Anterior]],Conceptos_Administrativa[#All],5,0),"")</f>
        <v/>
      </c>
      <c r="F1296" t="str">
        <f>+IFERROR(VLOOKUP(Fact_Administrativa[[#This Row], 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ht="18.75" customHeight="1" x14ac:dyDescent="0.35">
      <c r="C1297" s="100" t="str">
        <f>IF(OR(Fact_Administrativa[[#This Row], [Año]]="",Fact_Administrativa[[#This Row], [Mes]]=""),"",DATE(A1297,MATCH(B1297,{"enero","febrero","marzo","abril","mayo","junio","julio","agosto","septiembre","octubre","noviembre","diciembre"},0)+1,0))</f>
        <v/>
      </c>
      <c r="E1297" t="str">
        <f>+IFERROR(VLOOKUP(Fact_Administrativa[[#This Row], [Concepto Anterior]],Conceptos_Administrativa[#All],5,0),"")</f>
        <v/>
      </c>
      <c r="F1297" t="str">
        <f>+IFERROR(VLOOKUP(Fact_Administrativa[[#This Row], 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ht="18.75" customHeight="1" x14ac:dyDescent="0.35">
      <c r="C1298" s="100" t="str">
        <f>IF(OR(Fact_Administrativa[[#This Row], [Año]]="",Fact_Administrativa[[#This Row], [Mes]]=""),"",DATE(A1298,MATCH(B1298,{"enero","febrero","marzo","abril","mayo","junio","julio","agosto","septiembre","octubre","noviembre","diciembre"},0)+1,0))</f>
        <v/>
      </c>
      <c r="E1298" t="str">
        <f>+IFERROR(VLOOKUP(Fact_Administrativa[[#This Row], [Concepto Anterior]],Conceptos_Administrativa[#All],5,0),"")</f>
        <v/>
      </c>
      <c r="F1298" t="str">
        <f>+IFERROR(VLOOKUP(Fact_Administrativa[[#This Row], 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ht="18.75" customHeight="1" x14ac:dyDescent="0.35">
      <c r="C1299" s="100" t="str">
        <f>IF(OR(Fact_Administrativa[[#This Row], [Año]]="",Fact_Administrativa[[#This Row], [Mes]]=""),"",DATE(A1299,MATCH(B1299,{"enero","febrero","marzo","abril","mayo","junio","julio","agosto","septiembre","octubre","noviembre","diciembre"},0)+1,0))</f>
        <v/>
      </c>
      <c r="E1299" t="str">
        <f>+IFERROR(VLOOKUP(Fact_Administrativa[[#This Row], [Concepto Anterior]],Conceptos_Administrativa[#All],5,0),"")</f>
        <v/>
      </c>
      <c r="F1299" t="str">
        <f>+IFERROR(VLOOKUP(Fact_Administrativa[[#This Row], 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ht="18.75" customHeight="1" x14ac:dyDescent="0.35">
      <c r="C1300" s="100" t="str">
        <f>IF(OR(Fact_Administrativa[[#This Row], [Año]]="",Fact_Administrativa[[#This Row], [Mes]]=""),"",DATE(A1300,MATCH(B1300,{"enero","febrero","marzo","abril","mayo","junio","julio","agosto","septiembre","octubre","noviembre","diciembre"},0)+1,0))</f>
        <v/>
      </c>
      <c r="E1300" t="str">
        <f>+IFERROR(VLOOKUP(Fact_Administrativa[[#This Row], [Concepto Anterior]],Conceptos_Administrativa[#All],5,0),"")</f>
        <v/>
      </c>
      <c r="F1300" t="str">
        <f>+IFERROR(VLOOKUP(Fact_Administrativa[[#This Row], 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ht="18.75" customHeight="1" x14ac:dyDescent="0.35">
      <c r="C1301" s="100" t="str">
        <f>IF(OR(Fact_Administrativa[[#This Row], [Año]]="",Fact_Administrativa[[#This Row], [Mes]]=""),"",DATE(A1301,MATCH(B1301,{"enero","febrero","marzo","abril","mayo","junio","julio","agosto","septiembre","octubre","noviembre","diciembre"},0)+1,0))</f>
        <v/>
      </c>
      <c r="E1301" t="str">
        <f>+IFERROR(VLOOKUP(Fact_Administrativa[[#This Row], [Concepto Anterior]],Conceptos_Administrativa[#All],5,0),"")</f>
        <v/>
      </c>
      <c r="F1301" t="str">
        <f>+IFERROR(VLOOKUP(Fact_Administrativa[[#This Row], 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ht="18.75" customHeight="1" x14ac:dyDescent="0.35">
      <c r="C1302" s="100" t="str">
        <f>IF(OR(Fact_Administrativa[[#This Row], [Año]]="",Fact_Administrativa[[#This Row], [Mes]]=""),"",DATE(A1302,MATCH(B1302,{"enero","febrero","marzo","abril","mayo","junio","julio","agosto","septiembre","octubre","noviembre","diciembre"},0)+1,0))</f>
        <v/>
      </c>
      <c r="E1302" t="str">
        <f>+IFERROR(VLOOKUP(Fact_Administrativa[[#This Row], [Concepto Anterior]],Conceptos_Administrativa[#All],5,0),"")</f>
        <v/>
      </c>
      <c r="F1302" t="str">
        <f>+IFERROR(VLOOKUP(Fact_Administrativa[[#This Row], 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ht="18.75" customHeight="1" x14ac:dyDescent="0.35">
      <c r="C1303" s="100" t="str">
        <f>IF(OR(Fact_Administrativa[[#This Row], [Año]]="",Fact_Administrativa[[#This Row], [Mes]]=""),"",DATE(A1303,MATCH(B1303,{"enero","febrero","marzo","abril","mayo","junio","julio","agosto","septiembre","octubre","noviembre","diciembre"},0)+1,0))</f>
        <v/>
      </c>
      <c r="E1303" t="str">
        <f>+IFERROR(VLOOKUP(Fact_Administrativa[[#This Row], [Concepto Anterior]],Conceptos_Administrativa[#All],5,0),"")</f>
        <v/>
      </c>
      <c r="F1303" t="str">
        <f>+IFERROR(VLOOKUP(Fact_Administrativa[[#This Row], 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ht="18.75" customHeight="1" x14ac:dyDescent="0.35">
      <c r="C1304" s="100" t="str">
        <f>IF(OR(Fact_Administrativa[[#This Row], [Año]]="",Fact_Administrativa[[#This Row], [Mes]]=""),"",DATE(A1304,MATCH(B1304,{"enero","febrero","marzo","abril","mayo","junio","julio","agosto","septiembre","octubre","noviembre","diciembre"},0)+1,0))</f>
        <v/>
      </c>
      <c r="E1304" t="str">
        <f>+IFERROR(VLOOKUP(Fact_Administrativa[[#This Row], [Concepto Anterior]],Conceptos_Administrativa[#All],5,0),"")</f>
        <v/>
      </c>
      <c r="F1304" t="str">
        <f>+IFERROR(VLOOKUP(Fact_Administrativa[[#This Row], 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ht="18.75" customHeight="1" x14ac:dyDescent="0.35">
      <c r="C1305" s="100" t="str">
        <f>IF(OR(Fact_Administrativa[[#This Row], [Año]]="",Fact_Administrativa[[#This Row], [Mes]]=""),"",DATE(A1305,MATCH(B1305,{"enero","febrero","marzo","abril","mayo","junio","julio","agosto","septiembre","octubre","noviembre","diciembre"},0)+1,0))</f>
        <v/>
      </c>
      <c r="E1305" t="str">
        <f>+IFERROR(VLOOKUP(Fact_Administrativa[[#This Row], [Concepto Anterior]],Conceptos_Administrativa[#All],5,0),"")</f>
        <v/>
      </c>
      <c r="F1305" t="str">
        <f>+IFERROR(VLOOKUP(Fact_Administrativa[[#This Row], 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ht="18.75" customHeight="1" x14ac:dyDescent="0.35">
      <c r="C1306" s="100" t="str">
        <f>IF(OR(Fact_Administrativa[[#This Row], [Año]]="",Fact_Administrativa[[#This Row], [Mes]]=""),"",DATE(A1306,MATCH(B1306,{"enero","febrero","marzo","abril","mayo","junio","julio","agosto","septiembre","octubre","noviembre","diciembre"},0)+1,0))</f>
        <v/>
      </c>
      <c r="E1306" t="str">
        <f>+IFERROR(VLOOKUP(Fact_Administrativa[[#This Row], [Concepto Anterior]],Conceptos_Administrativa[#All],5,0),"")</f>
        <v/>
      </c>
      <c r="F1306" t="str">
        <f>+IFERROR(VLOOKUP(Fact_Administrativa[[#This Row], 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ht="18.75" customHeight="1" x14ac:dyDescent="0.35">
      <c r="C1307" s="100" t="str">
        <f>IF(OR(Fact_Administrativa[[#This Row], [Año]]="",Fact_Administrativa[[#This Row], [Mes]]=""),"",DATE(A1307,MATCH(B1307,{"enero","febrero","marzo","abril","mayo","junio","julio","agosto","septiembre","octubre","noviembre","diciembre"},0)+1,0))</f>
        <v/>
      </c>
      <c r="E1307" t="str">
        <f>+IFERROR(VLOOKUP(Fact_Administrativa[[#This Row], [Concepto Anterior]],Conceptos_Administrativa[#All],5,0),"")</f>
        <v/>
      </c>
      <c r="F1307" t="str">
        <f>+IFERROR(VLOOKUP(Fact_Administrativa[[#This Row], 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ht="18.75" customHeight="1" x14ac:dyDescent="0.35">
      <c r="C1308" s="100" t="str">
        <f>IF(OR(Fact_Administrativa[[#This Row], [Año]]="",Fact_Administrativa[[#This Row], [Mes]]=""),"",DATE(A1308,MATCH(B1308,{"enero","febrero","marzo","abril","mayo","junio","julio","agosto","septiembre","octubre","noviembre","diciembre"},0)+1,0))</f>
        <v/>
      </c>
      <c r="E1308" t="str">
        <f>+IFERROR(VLOOKUP(Fact_Administrativa[[#This Row], [Concepto Anterior]],Conceptos_Administrativa[#All],5,0),"")</f>
        <v/>
      </c>
      <c r="F1308" t="str">
        <f>+IFERROR(VLOOKUP(Fact_Administrativa[[#This Row], 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ht="18.75" customHeight="1" x14ac:dyDescent="0.35">
      <c r="C1309" s="100" t="str">
        <f>IF(OR(Fact_Administrativa[[#This Row], [Año]]="",Fact_Administrativa[[#This Row], [Mes]]=""),"",DATE(A1309,MATCH(B1309,{"enero","febrero","marzo","abril","mayo","junio","julio","agosto","septiembre","octubre","noviembre","diciembre"},0)+1,0))</f>
        <v/>
      </c>
      <c r="E1309" t="str">
        <f>+IFERROR(VLOOKUP(Fact_Administrativa[[#This Row], [Concepto Anterior]],Conceptos_Administrativa[#All],5,0),"")</f>
        <v/>
      </c>
      <c r="F1309" t="str">
        <f>+IFERROR(VLOOKUP(Fact_Administrativa[[#This Row], 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ht="18.75" customHeight="1" x14ac:dyDescent="0.35">
      <c r="C1310" s="100" t="str">
        <f>IF(OR(Fact_Administrativa[[#This Row], [Año]]="",Fact_Administrativa[[#This Row], [Mes]]=""),"",DATE(A1310,MATCH(B1310,{"enero","febrero","marzo","abril","mayo","junio","julio","agosto","septiembre","octubre","noviembre","diciembre"},0)+1,0))</f>
        <v/>
      </c>
      <c r="E1310" t="str">
        <f>+IFERROR(VLOOKUP(Fact_Administrativa[[#This Row], [Concepto Anterior]],Conceptos_Administrativa[#All],5,0),"")</f>
        <v/>
      </c>
      <c r="F1310" t="str">
        <f>+IFERROR(VLOOKUP(Fact_Administrativa[[#This Row], 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ht="18.75" customHeight="1" x14ac:dyDescent="0.35">
      <c r="C1311" s="100" t="str">
        <f>IF(OR(Fact_Administrativa[[#This Row], [Año]]="",Fact_Administrativa[[#This Row], [Mes]]=""),"",DATE(A1311,MATCH(B1311,{"enero","febrero","marzo","abril","mayo","junio","julio","agosto","septiembre","octubre","noviembre","diciembre"},0)+1,0))</f>
        <v/>
      </c>
      <c r="E1311" t="str">
        <f>+IFERROR(VLOOKUP(Fact_Administrativa[[#This Row], [Concepto Anterior]],Conceptos_Administrativa[#All],5,0),"")</f>
        <v/>
      </c>
      <c r="F1311" t="str">
        <f>+IFERROR(VLOOKUP(Fact_Administrativa[[#This Row], 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ht="18.75" customHeight="1" x14ac:dyDescent="0.35">
      <c r="C1312" s="100" t="str">
        <f>IF(OR(Fact_Administrativa[[#This Row], [Año]]="",Fact_Administrativa[[#This Row], [Mes]]=""),"",DATE(A1312,MATCH(B1312,{"enero","febrero","marzo","abril","mayo","junio","julio","agosto","septiembre","octubre","noviembre","diciembre"},0)+1,0))</f>
        <v/>
      </c>
      <c r="E1312" t="str">
        <f>+IFERROR(VLOOKUP(Fact_Administrativa[[#This Row], [Concepto Anterior]],Conceptos_Administrativa[#All],5,0),"")</f>
        <v/>
      </c>
      <c r="F1312" t="str">
        <f>+IFERROR(VLOOKUP(Fact_Administrativa[[#This Row], 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ht="18.75" customHeight="1" x14ac:dyDescent="0.35">
      <c r="C1313" s="100" t="str">
        <f>IF(OR(Fact_Administrativa[[#This Row], [Año]]="",Fact_Administrativa[[#This Row], [Mes]]=""),"",DATE(A1313,MATCH(B1313,{"enero","febrero","marzo","abril","mayo","junio","julio","agosto","septiembre","octubre","noviembre","diciembre"},0)+1,0))</f>
        <v/>
      </c>
      <c r="E1313" t="str">
        <f>+IFERROR(VLOOKUP(Fact_Administrativa[[#This Row], [Concepto Anterior]],Conceptos_Administrativa[#All],5,0),"")</f>
        <v/>
      </c>
      <c r="F1313" t="str">
        <f>+IFERROR(VLOOKUP(Fact_Administrativa[[#This Row], 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ht="18.75" customHeight="1" x14ac:dyDescent="0.35">
      <c r="C1314" s="100" t="str">
        <f>IF(OR(Fact_Administrativa[[#This Row], [Año]]="",Fact_Administrativa[[#This Row], [Mes]]=""),"",DATE(A1314,MATCH(B1314,{"enero","febrero","marzo","abril","mayo","junio","julio","agosto","septiembre","octubre","noviembre","diciembre"},0)+1,0))</f>
        <v/>
      </c>
      <c r="E1314" t="str">
        <f>+IFERROR(VLOOKUP(Fact_Administrativa[[#This Row], [Concepto Anterior]],Conceptos_Administrativa[#All],5,0),"")</f>
        <v/>
      </c>
      <c r="F1314" t="str">
        <f>+IFERROR(VLOOKUP(Fact_Administrativa[[#This Row], 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ht="18.75" customHeight="1" x14ac:dyDescent="0.35">
      <c r="C1315" s="100" t="str">
        <f>IF(OR(Fact_Administrativa[[#This Row], [Año]]="",Fact_Administrativa[[#This Row], [Mes]]=""),"",DATE(A1315,MATCH(B1315,{"enero","febrero","marzo","abril","mayo","junio","julio","agosto","septiembre","octubre","noviembre","diciembre"},0)+1,0))</f>
        <v/>
      </c>
      <c r="E1315" t="str">
        <f>+IFERROR(VLOOKUP(Fact_Administrativa[[#This Row], [Concepto Anterior]],Conceptos_Administrativa[#All],5,0),"")</f>
        <v/>
      </c>
      <c r="F1315" t="str">
        <f>+IFERROR(VLOOKUP(Fact_Administrativa[[#This Row], 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ht="18.75" customHeight="1" x14ac:dyDescent="0.35">
      <c r="C1316" s="100" t="str">
        <f>IF(OR(Fact_Administrativa[[#This Row], [Año]]="",Fact_Administrativa[[#This Row], [Mes]]=""),"",DATE(A1316,MATCH(B1316,{"enero","febrero","marzo","abril","mayo","junio","julio","agosto","septiembre","octubre","noviembre","diciembre"},0)+1,0))</f>
        <v/>
      </c>
      <c r="E1316" t="str">
        <f>+IFERROR(VLOOKUP(Fact_Administrativa[[#This Row], [Concepto Anterior]],Conceptos_Administrativa[#All],5,0),"")</f>
        <v/>
      </c>
      <c r="F1316" t="str">
        <f>+IFERROR(VLOOKUP(Fact_Administrativa[[#This Row], 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ht="18.75" customHeight="1" x14ac:dyDescent="0.35">
      <c r="C1317" s="100" t="str">
        <f>IF(OR(Fact_Administrativa[[#This Row], [Año]]="",Fact_Administrativa[[#This Row], [Mes]]=""),"",DATE(A1317,MATCH(B1317,{"enero","febrero","marzo","abril","mayo","junio","julio","agosto","septiembre","octubre","noviembre","diciembre"},0)+1,0))</f>
        <v/>
      </c>
      <c r="E1317" t="str">
        <f>+IFERROR(VLOOKUP(Fact_Administrativa[[#This Row], [Concepto Anterior]],Conceptos_Administrativa[#All],5,0),"")</f>
        <v/>
      </c>
      <c r="F1317" t="str">
        <f>+IFERROR(VLOOKUP(Fact_Administrativa[[#This Row], 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ht="18.75" customHeight="1" x14ac:dyDescent="0.35">
      <c r="C1318" s="100" t="str">
        <f>IF(OR(Fact_Administrativa[[#This Row], [Año]]="",Fact_Administrativa[[#This Row], [Mes]]=""),"",DATE(A1318,MATCH(B1318,{"enero","febrero","marzo","abril","mayo","junio","julio","agosto","septiembre","octubre","noviembre","diciembre"},0)+1,0))</f>
        <v/>
      </c>
      <c r="E1318" t="str">
        <f>+IFERROR(VLOOKUP(Fact_Administrativa[[#This Row], [Concepto Anterior]],Conceptos_Administrativa[#All],5,0),"")</f>
        <v/>
      </c>
      <c r="F1318" t="str">
        <f>+IFERROR(VLOOKUP(Fact_Administrativa[[#This Row], 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ht="18.75" customHeight="1" x14ac:dyDescent="0.35">
      <c r="C1319" s="100" t="str">
        <f>IF(OR(Fact_Administrativa[[#This Row], [Año]]="",Fact_Administrativa[[#This Row], [Mes]]=""),"",DATE(A1319,MATCH(B1319,{"enero","febrero","marzo","abril","mayo","junio","julio","agosto","septiembre","octubre","noviembre","diciembre"},0)+1,0))</f>
        <v/>
      </c>
      <c r="E1319" t="str">
        <f>+IFERROR(VLOOKUP(Fact_Administrativa[[#This Row], [Concepto Anterior]],Conceptos_Administrativa[#All],5,0),"")</f>
        <v/>
      </c>
      <c r="F1319" t="str">
        <f>+IFERROR(VLOOKUP(Fact_Administrativa[[#This Row], 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ht="18.75" customHeight="1" x14ac:dyDescent="0.35">
      <c r="C1320" s="100" t="str">
        <f>IF(OR(Fact_Administrativa[[#This Row], [Año]]="",Fact_Administrativa[[#This Row], [Mes]]=""),"",DATE(A1320,MATCH(B1320,{"enero","febrero","marzo","abril","mayo","junio","julio","agosto","septiembre","octubre","noviembre","diciembre"},0)+1,0))</f>
        <v/>
      </c>
      <c r="E1320" t="str">
        <f>+IFERROR(VLOOKUP(Fact_Administrativa[[#This Row], [Concepto Anterior]],Conceptos_Administrativa[#All],5,0),"")</f>
        <v/>
      </c>
      <c r="F1320" t="str">
        <f>+IFERROR(VLOOKUP(Fact_Administrativa[[#This Row], 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ht="18.75" customHeight="1" x14ac:dyDescent="0.35">
      <c r="C1321" s="100" t="str">
        <f>IF(OR(Fact_Administrativa[[#This Row], [Año]]="",Fact_Administrativa[[#This Row], [Mes]]=""),"",DATE(A1321,MATCH(B1321,{"enero","febrero","marzo","abril","mayo","junio","julio","agosto","septiembre","octubre","noviembre","diciembre"},0)+1,0))</f>
        <v/>
      </c>
      <c r="E1321" t="str">
        <f>+IFERROR(VLOOKUP(Fact_Administrativa[[#This Row], [Concepto Anterior]],Conceptos_Administrativa[#All],5,0),"")</f>
        <v/>
      </c>
      <c r="F1321" t="str">
        <f>+IFERROR(VLOOKUP(Fact_Administrativa[[#This Row], 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ht="18.75" customHeight="1" x14ac:dyDescent="0.35">
      <c r="C1322" s="100" t="str">
        <f>IF(OR(Fact_Administrativa[[#This Row], [Año]]="",Fact_Administrativa[[#This Row], [Mes]]=""),"",DATE(A1322,MATCH(B1322,{"enero","febrero","marzo","abril","mayo","junio","julio","agosto","septiembre","octubre","noviembre","diciembre"},0)+1,0))</f>
        <v/>
      </c>
      <c r="E1322" t="str">
        <f>+IFERROR(VLOOKUP(Fact_Administrativa[[#This Row], [Concepto Anterior]],Conceptos_Administrativa[#All],5,0),"")</f>
        <v/>
      </c>
      <c r="F1322" t="str">
        <f>+IFERROR(VLOOKUP(Fact_Administrativa[[#This Row], 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ht="18.75" customHeight="1" x14ac:dyDescent="0.35">
      <c r="C1323" s="100" t="str">
        <f>IF(OR(Fact_Administrativa[[#This Row], [Año]]="",Fact_Administrativa[[#This Row], [Mes]]=""),"",DATE(A1323,MATCH(B1323,{"enero","febrero","marzo","abril","mayo","junio","julio","agosto","septiembre","octubre","noviembre","diciembre"},0)+1,0))</f>
        <v/>
      </c>
      <c r="E1323" t="str">
        <f>+IFERROR(VLOOKUP(Fact_Administrativa[[#This Row], [Concepto Anterior]],Conceptos_Administrativa[#All],5,0),"")</f>
        <v/>
      </c>
      <c r="F1323" t="str">
        <f>+IFERROR(VLOOKUP(Fact_Administrativa[[#This Row], 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ht="18.75" customHeight="1" x14ac:dyDescent="0.35">
      <c r="C1324" s="100" t="str">
        <f>IF(OR(Fact_Administrativa[[#This Row], [Año]]="",Fact_Administrativa[[#This Row], [Mes]]=""),"",DATE(A1324,MATCH(B1324,{"enero","febrero","marzo","abril","mayo","junio","julio","agosto","septiembre","octubre","noviembre","diciembre"},0)+1,0))</f>
        <v/>
      </c>
      <c r="E1324" t="str">
        <f>+IFERROR(VLOOKUP(Fact_Administrativa[[#This Row], [Concepto Anterior]],Conceptos_Administrativa[#All],5,0),"")</f>
        <v/>
      </c>
      <c r="F1324" t="str">
        <f>+IFERROR(VLOOKUP(Fact_Administrativa[[#This Row], 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ht="18.75" customHeight="1" x14ac:dyDescent="0.35">
      <c r="C1325" s="100" t="str">
        <f>IF(OR(Fact_Administrativa[[#This Row], [Año]]="",Fact_Administrativa[[#This Row], [Mes]]=""),"",DATE(A1325,MATCH(B1325,{"enero","febrero","marzo","abril","mayo","junio","julio","agosto","septiembre","octubre","noviembre","diciembre"},0)+1,0))</f>
        <v/>
      </c>
      <c r="E1325" t="str">
        <f>+IFERROR(VLOOKUP(Fact_Administrativa[[#This Row], [Concepto Anterior]],Conceptos_Administrativa[#All],5,0),"")</f>
        <v/>
      </c>
      <c r="F1325" t="str">
        <f>+IFERROR(VLOOKUP(Fact_Administrativa[[#This Row], 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ht="18.75" customHeight="1" x14ac:dyDescent="0.35">
      <c r="C1326" s="100" t="str">
        <f>IF(OR(Fact_Administrativa[[#This Row], [Año]]="",Fact_Administrativa[[#This Row], [Mes]]=""),"",DATE(A1326,MATCH(B1326,{"enero","febrero","marzo","abril","mayo","junio","julio","agosto","septiembre","octubre","noviembre","diciembre"},0)+1,0))</f>
        <v/>
      </c>
      <c r="E1326" t="str">
        <f>+IFERROR(VLOOKUP(Fact_Administrativa[[#This Row], [Concepto Anterior]],Conceptos_Administrativa[#All],5,0),"")</f>
        <v/>
      </c>
      <c r="F1326" t="str">
        <f>+IFERROR(VLOOKUP(Fact_Administrativa[[#This Row], 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ht="18.75" customHeight="1" x14ac:dyDescent="0.35">
      <c r="C1327" s="100" t="str">
        <f>IF(OR(Fact_Administrativa[[#This Row], [Año]]="",Fact_Administrativa[[#This Row], [Mes]]=""),"",DATE(A1327,MATCH(B1327,{"enero","febrero","marzo","abril","mayo","junio","julio","agosto","septiembre","octubre","noviembre","diciembre"},0)+1,0))</f>
        <v/>
      </c>
      <c r="E1327" t="str">
        <f>+IFERROR(VLOOKUP(Fact_Administrativa[[#This Row], [Concepto Anterior]],Conceptos_Administrativa[#All],5,0),"")</f>
        <v/>
      </c>
      <c r="F1327" t="str">
        <f>+IFERROR(VLOOKUP(Fact_Administrativa[[#This Row], 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ht="18.75" customHeight="1" x14ac:dyDescent="0.35">
      <c r="C1328" s="100" t="str">
        <f>IF(OR(Fact_Administrativa[[#This Row], [Año]]="",Fact_Administrativa[[#This Row], [Mes]]=""),"",DATE(A1328,MATCH(B1328,{"enero","febrero","marzo","abril","mayo","junio","julio","agosto","septiembre","octubre","noviembre","diciembre"},0)+1,0))</f>
        <v/>
      </c>
      <c r="E1328" t="str">
        <f>+IFERROR(VLOOKUP(Fact_Administrativa[[#This Row], [Concepto Anterior]],Conceptos_Administrativa[#All],5,0),"")</f>
        <v/>
      </c>
      <c r="F1328" t="str">
        <f>+IFERROR(VLOOKUP(Fact_Administrativa[[#This Row], 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ht="18.75" customHeight="1" x14ac:dyDescent="0.35">
      <c r="C1329" s="100" t="str">
        <f>IF(OR(Fact_Administrativa[[#This Row], [Año]]="",Fact_Administrativa[[#This Row], [Mes]]=""),"",DATE(A1329,MATCH(B1329,{"enero","febrero","marzo","abril","mayo","junio","julio","agosto","septiembre","octubre","noviembre","diciembre"},0)+1,0))</f>
        <v/>
      </c>
      <c r="E1329" t="str">
        <f>+IFERROR(VLOOKUP(Fact_Administrativa[[#This Row], [Concepto Anterior]],Conceptos_Administrativa[#All],5,0),"")</f>
        <v/>
      </c>
      <c r="F1329" t="str">
        <f>+IFERROR(VLOOKUP(Fact_Administrativa[[#This Row], 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ht="18.75" customHeight="1" x14ac:dyDescent="0.35">
      <c r="C1330" s="100" t="str">
        <f>IF(OR(Fact_Administrativa[[#This Row], [Año]]="",Fact_Administrativa[[#This Row], [Mes]]=""),"",DATE(A1330,MATCH(B1330,{"enero","febrero","marzo","abril","mayo","junio","julio","agosto","septiembre","octubre","noviembre","diciembre"},0)+1,0))</f>
        <v/>
      </c>
      <c r="E1330" t="str">
        <f>+IFERROR(VLOOKUP(Fact_Administrativa[[#This Row], [Concepto Anterior]],Conceptos_Administrativa[#All],5,0),"")</f>
        <v/>
      </c>
      <c r="F1330" t="str">
        <f>+IFERROR(VLOOKUP(Fact_Administrativa[[#This Row], 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ht="18.75" customHeight="1" x14ac:dyDescent="0.35">
      <c r="C1331" s="100" t="str">
        <f>IF(OR(Fact_Administrativa[[#This Row], [Año]]="",Fact_Administrativa[[#This Row], [Mes]]=""),"",DATE(A1331,MATCH(B1331,{"enero","febrero","marzo","abril","mayo","junio","julio","agosto","septiembre","octubre","noviembre","diciembre"},0)+1,0))</f>
        <v/>
      </c>
      <c r="E1331" t="str">
        <f>+IFERROR(VLOOKUP(Fact_Administrativa[[#This Row], [Concepto Anterior]],Conceptos_Administrativa[#All],5,0),"")</f>
        <v/>
      </c>
      <c r="F1331" t="str">
        <f>+IFERROR(VLOOKUP(Fact_Administrativa[[#This Row], 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ht="18.75" customHeight="1" x14ac:dyDescent="0.35">
      <c r="C1332" s="100" t="str">
        <f>IF(OR(Fact_Administrativa[[#This Row], [Año]]="",Fact_Administrativa[[#This Row], [Mes]]=""),"",DATE(A1332,MATCH(B1332,{"enero","febrero","marzo","abril","mayo","junio","julio","agosto","septiembre","octubre","noviembre","diciembre"},0)+1,0))</f>
        <v/>
      </c>
      <c r="E1332" t="str">
        <f>+IFERROR(VLOOKUP(Fact_Administrativa[[#This Row], [Concepto Anterior]],Conceptos_Administrativa[#All],5,0),"")</f>
        <v/>
      </c>
      <c r="F1332" t="str">
        <f>+IFERROR(VLOOKUP(Fact_Administrativa[[#This Row], 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ht="18.75" customHeight="1" x14ac:dyDescent="0.35">
      <c r="C1333" s="100" t="str">
        <f>IF(OR(Fact_Administrativa[[#This Row], [Año]]="",Fact_Administrativa[[#This Row], [Mes]]=""),"",DATE(A1333,MATCH(B1333,{"enero","febrero","marzo","abril","mayo","junio","julio","agosto","septiembre","octubre","noviembre","diciembre"},0)+1,0))</f>
        <v/>
      </c>
      <c r="E1333" t="str">
        <f>+IFERROR(VLOOKUP(Fact_Administrativa[[#This Row], [Concepto Anterior]],Conceptos_Administrativa[#All],5,0),"")</f>
        <v/>
      </c>
      <c r="F1333" t="str">
        <f>+IFERROR(VLOOKUP(Fact_Administrativa[[#This Row], 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ht="18.75" customHeight="1" x14ac:dyDescent="0.35">
      <c r="C1334" s="100" t="str">
        <f>IF(OR(Fact_Administrativa[[#This Row], [Año]]="",Fact_Administrativa[[#This Row], [Mes]]=""),"",DATE(A1334,MATCH(B1334,{"enero","febrero","marzo","abril","mayo","junio","julio","agosto","septiembre","octubre","noviembre","diciembre"},0)+1,0))</f>
        <v/>
      </c>
      <c r="E1334" t="str">
        <f>+IFERROR(VLOOKUP(Fact_Administrativa[[#This Row], [Concepto Anterior]],Conceptos_Administrativa[#All],5,0),"")</f>
        <v/>
      </c>
      <c r="F1334" t="str">
        <f>+IFERROR(VLOOKUP(Fact_Administrativa[[#This Row], 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ht="18.75" customHeight="1" x14ac:dyDescent="0.35">
      <c r="C1335" s="100" t="str">
        <f>IF(OR(Fact_Administrativa[[#This Row], [Año]]="",Fact_Administrativa[[#This Row], [Mes]]=""),"",DATE(A1335,MATCH(B1335,{"enero","febrero","marzo","abril","mayo","junio","julio","agosto","septiembre","octubre","noviembre","diciembre"},0)+1,0))</f>
        <v/>
      </c>
      <c r="E1335" t="str">
        <f>+IFERROR(VLOOKUP(Fact_Administrativa[[#This Row], [Concepto Anterior]],Conceptos_Administrativa[#All],5,0),"")</f>
        <v/>
      </c>
      <c r="F1335" t="str">
        <f>+IFERROR(VLOOKUP(Fact_Administrativa[[#This Row], 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ht="18.75" customHeight="1" x14ac:dyDescent="0.35">
      <c r="C1336" s="100" t="str">
        <f>IF(OR(Fact_Administrativa[[#This Row], [Año]]="",Fact_Administrativa[[#This Row], [Mes]]=""),"",DATE(A1336,MATCH(B1336,{"enero","febrero","marzo","abril","mayo","junio","julio","agosto","septiembre","octubre","noviembre","diciembre"},0)+1,0))</f>
        <v/>
      </c>
      <c r="E1336" t="str">
        <f>+IFERROR(VLOOKUP(Fact_Administrativa[[#This Row], [Concepto Anterior]],Conceptos_Administrativa[#All],5,0),"")</f>
        <v/>
      </c>
      <c r="F1336" t="str">
        <f>+IFERROR(VLOOKUP(Fact_Administrativa[[#This Row], 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ht="18.75" customHeight="1" x14ac:dyDescent="0.35">
      <c r="C1337" s="100" t="str">
        <f>IF(OR(Fact_Administrativa[[#This Row], [Año]]="",Fact_Administrativa[[#This Row], [Mes]]=""),"",DATE(A1337,MATCH(B1337,{"enero","febrero","marzo","abril","mayo","junio","julio","agosto","septiembre","octubre","noviembre","diciembre"},0)+1,0))</f>
        <v/>
      </c>
      <c r="E1337" t="str">
        <f>+IFERROR(VLOOKUP(Fact_Administrativa[[#This Row], [Concepto Anterior]],Conceptos_Administrativa[#All],5,0),"")</f>
        <v/>
      </c>
      <c r="F1337" t="str">
        <f>+IFERROR(VLOOKUP(Fact_Administrativa[[#This Row], 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ht="18.75" customHeight="1" x14ac:dyDescent="0.35">
      <c r="C1338" s="100" t="str">
        <f>IF(OR(Fact_Administrativa[[#This Row], [Año]]="",Fact_Administrativa[[#This Row], [Mes]]=""),"",DATE(A1338,MATCH(B1338,{"enero","febrero","marzo","abril","mayo","junio","julio","agosto","septiembre","octubre","noviembre","diciembre"},0)+1,0))</f>
        <v/>
      </c>
      <c r="E1338" t="str">
        <f>+IFERROR(VLOOKUP(Fact_Administrativa[[#This Row], [Concepto Anterior]],Conceptos_Administrativa[#All],5,0),"")</f>
        <v/>
      </c>
      <c r="F1338" t="str">
        <f>+IFERROR(VLOOKUP(Fact_Administrativa[[#This Row], 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ht="18.75" customHeight="1" x14ac:dyDescent="0.35">
      <c r="C1339" s="100" t="str">
        <f>IF(OR(Fact_Administrativa[[#This Row], [Año]]="",Fact_Administrativa[[#This Row], [Mes]]=""),"",DATE(A1339,MATCH(B1339,{"enero","febrero","marzo","abril","mayo","junio","julio","agosto","septiembre","octubre","noviembre","diciembre"},0)+1,0))</f>
        <v/>
      </c>
      <c r="E1339" t="str">
        <f>+IFERROR(VLOOKUP(Fact_Administrativa[[#This Row], [Concepto Anterior]],Conceptos_Administrativa[#All],5,0),"")</f>
        <v/>
      </c>
      <c r="F1339" t="str">
        <f>+IFERROR(VLOOKUP(Fact_Administrativa[[#This Row], 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ht="18.75" customHeight="1" x14ac:dyDescent="0.35">
      <c r="C1340" s="100" t="str">
        <f>IF(OR(Fact_Administrativa[[#This Row], [Año]]="",Fact_Administrativa[[#This Row], [Mes]]=""),"",DATE(A1340,MATCH(B1340,{"enero","febrero","marzo","abril","mayo","junio","julio","agosto","septiembre","octubre","noviembre","diciembre"},0)+1,0))</f>
        <v/>
      </c>
      <c r="E1340" t="str">
        <f>+IFERROR(VLOOKUP(Fact_Administrativa[[#This Row], [Concepto Anterior]],Conceptos_Administrativa[#All],5,0),"")</f>
        <v/>
      </c>
      <c r="F1340" t="str">
        <f>+IFERROR(VLOOKUP(Fact_Administrativa[[#This Row], 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ht="18.75" customHeight="1" x14ac:dyDescent="0.35">
      <c r="C1341" s="100" t="str">
        <f>IF(OR(Fact_Administrativa[[#This Row], [Año]]="",Fact_Administrativa[[#This Row], [Mes]]=""),"",DATE(A1341,MATCH(B1341,{"enero","febrero","marzo","abril","mayo","junio","julio","agosto","septiembre","octubre","noviembre","diciembre"},0)+1,0))</f>
        <v/>
      </c>
      <c r="E1341" t="str">
        <f>+IFERROR(VLOOKUP(Fact_Administrativa[[#This Row], [Concepto Anterior]],Conceptos_Administrativa[#All],5,0),"")</f>
        <v/>
      </c>
      <c r="F1341" t="str">
        <f>+IFERROR(VLOOKUP(Fact_Administrativa[[#This Row], 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ht="18.75" customHeight="1" x14ac:dyDescent="0.35">
      <c r="C1342" s="100" t="str">
        <f>IF(OR(Fact_Administrativa[[#This Row], [Año]]="",Fact_Administrativa[[#This Row], [Mes]]=""),"",DATE(A1342,MATCH(B1342,{"enero","febrero","marzo","abril","mayo","junio","julio","agosto","septiembre","octubre","noviembre","diciembre"},0)+1,0))</f>
        <v/>
      </c>
      <c r="E1342" t="str">
        <f>+IFERROR(VLOOKUP(Fact_Administrativa[[#This Row], [Concepto Anterior]],Conceptos_Administrativa[#All],5,0),"")</f>
        <v/>
      </c>
      <c r="F1342" t="str">
        <f>+IFERROR(VLOOKUP(Fact_Administrativa[[#This Row], 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ht="18.75" customHeight="1" x14ac:dyDescent="0.35">
      <c r="C1343" s="100" t="str">
        <f>IF(OR(Fact_Administrativa[[#This Row], [Año]]="",Fact_Administrativa[[#This Row], [Mes]]=""),"",DATE(A1343,MATCH(B1343,{"enero","febrero","marzo","abril","mayo","junio","julio","agosto","septiembre","octubre","noviembre","diciembre"},0)+1,0))</f>
        <v/>
      </c>
      <c r="E1343" t="str">
        <f>+IFERROR(VLOOKUP(Fact_Administrativa[[#This Row], [Concepto Anterior]],Conceptos_Administrativa[#All],5,0),"")</f>
        <v/>
      </c>
      <c r="F1343" t="str">
        <f>+IFERROR(VLOOKUP(Fact_Administrativa[[#This Row], 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ht="18.75" customHeight="1" x14ac:dyDescent="0.35">
      <c r="C1344" s="100" t="str">
        <f>IF(OR(Fact_Administrativa[[#This Row], [Año]]="",Fact_Administrativa[[#This Row], [Mes]]=""),"",DATE(A1344,MATCH(B1344,{"enero","febrero","marzo","abril","mayo","junio","julio","agosto","septiembre","octubre","noviembre","diciembre"},0)+1,0))</f>
        <v/>
      </c>
      <c r="E1344" t="str">
        <f>+IFERROR(VLOOKUP(Fact_Administrativa[[#This Row], [Concepto Anterior]],Conceptos_Administrativa[#All],5,0),"")</f>
        <v/>
      </c>
      <c r="F1344" t="str">
        <f>+IFERROR(VLOOKUP(Fact_Administrativa[[#This Row], 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ht="18.75" customHeight="1" x14ac:dyDescent="0.35">
      <c r="C1345" s="100" t="str">
        <f>IF(OR(Fact_Administrativa[[#This Row], [Año]]="",Fact_Administrativa[[#This Row], [Mes]]=""),"",DATE(A1345,MATCH(B1345,{"enero","febrero","marzo","abril","mayo","junio","julio","agosto","septiembre","octubre","noviembre","diciembre"},0)+1,0))</f>
        <v/>
      </c>
      <c r="E1345" t="str">
        <f>+IFERROR(VLOOKUP(Fact_Administrativa[[#This Row], [Concepto Anterior]],Conceptos_Administrativa[#All],5,0),"")</f>
        <v/>
      </c>
      <c r="F1345" t="str">
        <f>+IFERROR(VLOOKUP(Fact_Administrativa[[#This Row], 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ht="18.75" customHeight="1" x14ac:dyDescent="0.35">
      <c r="C1346" s="100" t="str">
        <f>IF(OR(Fact_Administrativa[[#This Row], [Año]]="",Fact_Administrativa[[#This Row], [Mes]]=""),"",DATE(A1346,MATCH(B1346,{"enero","febrero","marzo","abril","mayo","junio","julio","agosto","septiembre","octubre","noviembre","diciembre"},0)+1,0))</f>
        <v/>
      </c>
      <c r="E1346" t="str">
        <f>+IFERROR(VLOOKUP(Fact_Administrativa[[#This Row], [Concepto Anterior]],Conceptos_Administrativa[#All],5,0),"")</f>
        <v/>
      </c>
      <c r="F1346" t="str">
        <f>+IFERROR(VLOOKUP(Fact_Administrativa[[#This Row], 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ht="18.75" customHeight="1" x14ac:dyDescent="0.35">
      <c r="C1347" s="100" t="str">
        <f>IF(OR(Fact_Administrativa[[#This Row], [Año]]="",Fact_Administrativa[[#This Row], [Mes]]=""),"",DATE(A1347,MATCH(B1347,{"enero","febrero","marzo","abril","mayo","junio","julio","agosto","septiembre","octubre","noviembre","diciembre"},0)+1,0))</f>
        <v/>
      </c>
      <c r="E1347" t="str">
        <f>+IFERROR(VLOOKUP(Fact_Administrativa[[#This Row], [Concepto Anterior]],Conceptos_Administrativa[#All],5,0),"")</f>
        <v/>
      </c>
      <c r="F1347" t="str">
        <f>+IFERROR(VLOOKUP(Fact_Administrativa[[#This Row], 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ht="18.75" customHeight="1" x14ac:dyDescent="0.35">
      <c r="C1348" s="100" t="str">
        <f>IF(OR(Fact_Administrativa[[#This Row], [Año]]="",Fact_Administrativa[[#This Row], [Mes]]=""),"",DATE(A1348,MATCH(B1348,{"enero","febrero","marzo","abril","mayo","junio","julio","agosto","septiembre","octubre","noviembre","diciembre"},0)+1,0))</f>
        <v/>
      </c>
      <c r="E1348" t="str">
        <f>+IFERROR(VLOOKUP(Fact_Administrativa[[#This Row], [Concepto Anterior]],Conceptos_Administrativa[#All],5,0),"")</f>
        <v/>
      </c>
      <c r="F1348" t="str">
        <f>+IFERROR(VLOOKUP(Fact_Administrativa[[#This Row], 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ht="18.75" customHeight="1" x14ac:dyDescent="0.35">
      <c r="C1349" s="100" t="str">
        <f>IF(OR(Fact_Administrativa[[#This Row], [Año]]="",Fact_Administrativa[[#This Row], [Mes]]=""),"",DATE(A1349,MATCH(B1349,{"enero","febrero","marzo","abril","mayo","junio","julio","agosto","septiembre","octubre","noviembre","diciembre"},0)+1,0))</f>
        <v/>
      </c>
      <c r="E1349" t="str">
        <f>+IFERROR(VLOOKUP(Fact_Administrativa[[#This Row], [Concepto Anterior]],Conceptos_Administrativa[#All],5,0),"")</f>
        <v/>
      </c>
      <c r="F1349" t="str">
        <f>+IFERROR(VLOOKUP(Fact_Administrativa[[#This Row], 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ht="18.75" customHeight="1" x14ac:dyDescent="0.35">
      <c r="C1350" s="100" t="str">
        <f>IF(OR(Fact_Administrativa[[#This Row], [Año]]="",Fact_Administrativa[[#This Row], [Mes]]=""),"",DATE(A1350,MATCH(B1350,{"enero","febrero","marzo","abril","mayo","junio","julio","agosto","septiembre","octubre","noviembre","diciembre"},0)+1,0))</f>
        <v/>
      </c>
      <c r="E1350" t="str">
        <f>+IFERROR(VLOOKUP(Fact_Administrativa[[#This Row], [Concepto Anterior]],Conceptos_Administrativa[#All],5,0),"")</f>
        <v/>
      </c>
      <c r="F1350" t="str">
        <f>+IFERROR(VLOOKUP(Fact_Administrativa[[#This Row], 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ht="18.75" customHeight="1" x14ac:dyDescent="0.35">
      <c r="C1351" s="100" t="str">
        <f>IF(OR(Fact_Administrativa[[#This Row], [Año]]="",Fact_Administrativa[[#This Row], [Mes]]=""),"",DATE(A1351,MATCH(B1351,{"enero","febrero","marzo","abril","mayo","junio","julio","agosto","septiembre","octubre","noviembre","diciembre"},0)+1,0))</f>
        <v/>
      </c>
      <c r="E1351" t="str">
        <f>+IFERROR(VLOOKUP(Fact_Administrativa[[#This Row], [Concepto Anterior]],Conceptos_Administrativa[#All],5,0),"")</f>
        <v/>
      </c>
      <c r="F1351" t="str">
        <f>+IFERROR(VLOOKUP(Fact_Administrativa[[#This Row], 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ht="18.75" customHeight="1" x14ac:dyDescent="0.35">
      <c r="C1352" s="100" t="str">
        <f>IF(OR(Fact_Administrativa[[#This Row], [Año]]="",Fact_Administrativa[[#This Row], [Mes]]=""),"",DATE(A1352,MATCH(B1352,{"enero","febrero","marzo","abril","mayo","junio","julio","agosto","septiembre","octubre","noviembre","diciembre"},0)+1,0))</f>
        <v/>
      </c>
      <c r="E1352" t="str">
        <f>+IFERROR(VLOOKUP(Fact_Administrativa[[#This Row], [Concepto Anterior]],Conceptos_Administrativa[#All],5,0),"")</f>
        <v/>
      </c>
      <c r="F1352" t="str">
        <f>+IFERROR(VLOOKUP(Fact_Administrativa[[#This Row], 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ht="18.75" customHeight="1" x14ac:dyDescent="0.35">
      <c r="C1353" s="100" t="str">
        <f>IF(OR(Fact_Administrativa[[#This Row], [Año]]="",Fact_Administrativa[[#This Row], [Mes]]=""),"",DATE(A1353,MATCH(B1353,{"enero","febrero","marzo","abril","mayo","junio","julio","agosto","septiembre","octubre","noviembre","diciembre"},0)+1,0))</f>
        <v/>
      </c>
      <c r="E1353" t="str">
        <f>+IFERROR(VLOOKUP(Fact_Administrativa[[#This Row], [Concepto Anterior]],Conceptos_Administrativa[#All],5,0),"")</f>
        <v/>
      </c>
      <c r="F1353" t="str">
        <f>+IFERROR(VLOOKUP(Fact_Administrativa[[#This Row], 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ht="18.75" customHeight="1" x14ac:dyDescent="0.35">
      <c r="C1354" s="100" t="str">
        <f>IF(OR(Fact_Administrativa[[#This Row], [Año]]="",Fact_Administrativa[[#This Row], [Mes]]=""),"",DATE(A1354,MATCH(B1354,{"enero","febrero","marzo","abril","mayo","junio","julio","agosto","septiembre","octubre","noviembre","diciembre"},0)+1,0))</f>
        <v/>
      </c>
      <c r="E1354" t="str">
        <f>+IFERROR(VLOOKUP(Fact_Administrativa[[#This Row], [Concepto Anterior]],Conceptos_Administrativa[#All],5,0),"")</f>
        <v/>
      </c>
      <c r="F1354" t="str">
        <f>+IFERROR(VLOOKUP(Fact_Administrativa[[#This Row], 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ht="18.75" customHeight="1" x14ac:dyDescent="0.35">
      <c r="C1355" s="100" t="str">
        <f>IF(OR(Fact_Administrativa[[#This Row], [Año]]="",Fact_Administrativa[[#This Row], [Mes]]=""),"",DATE(A1355,MATCH(B1355,{"enero","febrero","marzo","abril","mayo","junio","julio","agosto","septiembre","octubre","noviembre","diciembre"},0)+1,0))</f>
        <v/>
      </c>
      <c r="E1355" t="str">
        <f>+IFERROR(VLOOKUP(Fact_Administrativa[[#This Row], [Concepto Anterior]],Conceptos_Administrativa[#All],5,0),"")</f>
        <v/>
      </c>
      <c r="F1355" t="str">
        <f>+IFERROR(VLOOKUP(Fact_Administrativa[[#This Row], 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ht="18.75" customHeight="1" x14ac:dyDescent="0.35">
      <c r="C1356" s="100" t="str">
        <f>IF(OR(Fact_Administrativa[[#This Row], [Año]]="",Fact_Administrativa[[#This Row], [Mes]]=""),"",DATE(A1356,MATCH(B1356,{"enero","febrero","marzo","abril","mayo","junio","julio","agosto","septiembre","octubre","noviembre","diciembre"},0)+1,0))</f>
        <v/>
      </c>
      <c r="E1356" t="str">
        <f>+IFERROR(VLOOKUP(Fact_Administrativa[[#This Row], [Concepto Anterior]],Conceptos_Administrativa[#All],5,0),"")</f>
        <v/>
      </c>
      <c r="F1356" t="str">
        <f>+IFERROR(VLOOKUP(Fact_Administrativa[[#This Row], 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ht="18.75" customHeight="1" x14ac:dyDescent="0.35">
      <c r="C1357" s="100" t="str">
        <f>IF(OR(Fact_Administrativa[[#This Row], [Año]]="",Fact_Administrativa[[#This Row], [Mes]]=""),"",DATE(A1357,MATCH(B1357,{"enero","febrero","marzo","abril","mayo","junio","julio","agosto","septiembre","octubre","noviembre","diciembre"},0)+1,0))</f>
        <v/>
      </c>
      <c r="E1357" t="str">
        <f>+IFERROR(VLOOKUP(Fact_Administrativa[[#This Row], [Concepto Anterior]],Conceptos_Administrativa[#All],5,0),"")</f>
        <v/>
      </c>
      <c r="F1357" t="str">
        <f>+IFERROR(VLOOKUP(Fact_Administrativa[[#This Row], 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ht="18.75" customHeight="1" x14ac:dyDescent="0.35">
      <c r="C1358" s="100" t="str">
        <f>IF(OR(Fact_Administrativa[[#This Row], [Año]]="",Fact_Administrativa[[#This Row], [Mes]]=""),"",DATE(A1358,MATCH(B1358,{"enero","febrero","marzo","abril","mayo","junio","julio","agosto","septiembre","octubre","noviembre","diciembre"},0)+1,0))</f>
        <v/>
      </c>
      <c r="E1358" t="str">
        <f>+IFERROR(VLOOKUP(Fact_Administrativa[[#This Row], [Concepto Anterior]],Conceptos_Administrativa[#All],5,0),"")</f>
        <v/>
      </c>
      <c r="F1358" t="str">
        <f>+IFERROR(VLOOKUP(Fact_Administrativa[[#This Row], 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ht="18.75" customHeight="1" x14ac:dyDescent="0.35">
      <c r="C1359" s="100" t="str">
        <f>IF(OR(Fact_Administrativa[[#This Row], [Año]]="",Fact_Administrativa[[#This Row], [Mes]]=""),"",DATE(A1359,MATCH(B1359,{"enero","febrero","marzo","abril","mayo","junio","julio","agosto","septiembre","octubre","noviembre","diciembre"},0)+1,0))</f>
        <v/>
      </c>
      <c r="E1359" t="str">
        <f>+IFERROR(VLOOKUP(Fact_Administrativa[[#This Row], [Concepto Anterior]],Conceptos_Administrativa[#All],5,0),"")</f>
        <v/>
      </c>
      <c r="F1359" t="str">
        <f>+IFERROR(VLOOKUP(Fact_Administrativa[[#This Row], 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ht="18.75" customHeight="1" x14ac:dyDescent="0.35">
      <c r="C1360" s="100" t="str">
        <f>IF(OR(Fact_Administrativa[[#This Row], [Año]]="",Fact_Administrativa[[#This Row], [Mes]]=""),"",DATE(A1360,MATCH(B1360,{"enero","febrero","marzo","abril","mayo","junio","julio","agosto","septiembre","octubre","noviembre","diciembre"},0)+1,0))</f>
        <v/>
      </c>
      <c r="E1360" t="str">
        <f>+IFERROR(VLOOKUP(Fact_Administrativa[[#This Row], [Concepto Anterior]],Conceptos_Administrativa[#All],5,0),"")</f>
        <v/>
      </c>
      <c r="F1360" t="str">
        <f>+IFERROR(VLOOKUP(Fact_Administrativa[[#This Row], 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ht="18.75" customHeight="1" x14ac:dyDescent="0.35">
      <c r="C1361" s="100" t="str">
        <f>IF(OR(Fact_Administrativa[[#This Row], [Año]]="",Fact_Administrativa[[#This Row], [Mes]]=""),"",DATE(A1361,MATCH(B1361,{"enero","febrero","marzo","abril","mayo","junio","julio","agosto","septiembre","octubre","noviembre","diciembre"},0)+1,0))</f>
        <v/>
      </c>
      <c r="E1361" t="str">
        <f>+IFERROR(VLOOKUP(Fact_Administrativa[[#This Row], [Concepto Anterior]],Conceptos_Administrativa[#All],5,0),"")</f>
        <v/>
      </c>
      <c r="F1361" t="str">
        <f>+IFERROR(VLOOKUP(Fact_Administrativa[[#This Row], 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ht="18.75" customHeight="1" x14ac:dyDescent="0.35">
      <c r="C1362" s="100" t="str">
        <f>IF(OR(Fact_Administrativa[[#This Row], [Año]]="",Fact_Administrativa[[#This Row], [Mes]]=""),"",DATE(A1362,MATCH(B1362,{"enero","febrero","marzo","abril","mayo","junio","julio","agosto","septiembre","octubre","noviembre","diciembre"},0)+1,0))</f>
        <v/>
      </c>
      <c r="E1362" t="str">
        <f>+IFERROR(VLOOKUP(Fact_Administrativa[[#This Row], [Concepto Anterior]],Conceptos_Administrativa[#All],5,0),"")</f>
        <v/>
      </c>
      <c r="F1362" t="str">
        <f>+IFERROR(VLOOKUP(Fact_Administrativa[[#This Row], 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ht="18.75" customHeight="1" x14ac:dyDescent="0.35">
      <c r="C1363" s="100" t="str">
        <f>IF(OR(Fact_Administrativa[[#This Row], [Año]]="",Fact_Administrativa[[#This Row], [Mes]]=""),"",DATE(A1363,MATCH(B1363,{"enero","febrero","marzo","abril","mayo","junio","julio","agosto","septiembre","octubre","noviembre","diciembre"},0)+1,0))</f>
        <v/>
      </c>
      <c r="E1363" t="str">
        <f>+IFERROR(VLOOKUP(Fact_Administrativa[[#This Row], [Concepto Anterior]],Conceptos_Administrativa[#All],5,0),"")</f>
        <v/>
      </c>
      <c r="F1363" t="str">
        <f>+IFERROR(VLOOKUP(Fact_Administrativa[[#This Row], 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ht="18.75" customHeight="1" x14ac:dyDescent="0.35">
      <c r="C1364" s="100" t="str">
        <f>IF(OR(Fact_Administrativa[[#This Row], [Año]]="",Fact_Administrativa[[#This Row], [Mes]]=""),"",DATE(A1364,MATCH(B1364,{"enero","febrero","marzo","abril","mayo","junio","julio","agosto","septiembre","octubre","noviembre","diciembre"},0)+1,0))</f>
        <v/>
      </c>
      <c r="E1364" t="str">
        <f>+IFERROR(VLOOKUP(Fact_Administrativa[[#This Row], [Concepto Anterior]],Conceptos_Administrativa[#All],5,0),"")</f>
        <v/>
      </c>
      <c r="F1364" t="str">
        <f>+IFERROR(VLOOKUP(Fact_Administrativa[[#This Row], 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ht="18.75" customHeight="1" x14ac:dyDescent="0.35">
      <c r="C1365" s="100" t="str">
        <f>IF(OR(Fact_Administrativa[[#This Row], [Año]]="",Fact_Administrativa[[#This Row], [Mes]]=""),"",DATE(A1365,MATCH(B1365,{"enero","febrero","marzo","abril","mayo","junio","julio","agosto","septiembre","octubre","noviembre","diciembre"},0)+1,0))</f>
        <v/>
      </c>
      <c r="E1365" t="str">
        <f>+IFERROR(VLOOKUP(Fact_Administrativa[[#This Row], [Concepto Anterior]],Conceptos_Administrativa[#All],5,0),"")</f>
        <v/>
      </c>
      <c r="F1365" t="str">
        <f>+IFERROR(VLOOKUP(Fact_Administrativa[[#This Row], 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ht="18.75" customHeight="1" x14ac:dyDescent="0.35">
      <c r="C1366" s="100" t="str">
        <f>IF(OR(Fact_Administrativa[[#This Row], [Año]]="",Fact_Administrativa[[#This Row], [Mes]]=""),"",DATE(A1366,MATCH(B1366,{"enero","febrero","marzo","abril","mayo","junio","julio","agosto","septiembre","octubre","noviembre","diciembre"},0)+1,0))</f>
        <v/>
      </c>
      <c r="E1366" t="str">
        <f>+IFERROR(VLOOKUP(Fact_Administrativa[[#This Row], [Concepto Anterior]],Conceptos_Administrativa[#All],5,0),"")</f>
        <v/>
      </c>
      <c r="F1366" t="str">
        <f>+IFERROR(VLOOKUP(Fact_Administrativa[[#This Row], 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ht="18.75" customHeight="1" x14ac:dyDescent="0.35">
      <c r="C1367" s="100" t="str">
        <f>IF(OR(Fact_Administrativa[[#This Row], [Año]]="",Fact_Administrativa[[#This Row], [Mes]]=""),"",DATE(A1367,MATCH(B1367,{"enero","febrero","marzo","abril","mayo","junio","julio","agosto","septiembre","octubre","noviembre","diciembre"},0)+1,0))</f>
        <v/>
      </c>
      <c r="E1367" t="str">
        <f>+IFERROR(VLOOKUP(Fact_Administrativa[[#This Row], [Concepto Anterior]],Conceptos_Administrativa[#All],5,0),"")</f>
        <v/>
      </c>
      <c r="F1367" t="str">
        <f>+IFERROR(VLOOKUP(Fact_Administrativa[[#This Row], 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ht="18.75" customHeight="1" x14ac:dyDescent="0.35">
      <c r="C1368" s="100" t="str">
        <f>IF(OR(Fact_Administrativa[[#This Row], [Año]]="",Fact_Administrativa[[#This Row], [Mes]]=""),"",DATE(A1368,MATCH(B1368,{"enero","febrero","marzo","abril","mayo","junio","julio","agosto","septiembre","octubre","noviembre","diciembre"},0)+1,0))</f>
        <v/>
      </c>
      <c r="E1368" t="str">
        <f>+IFERROR(VLOOKUP(Fact_Administrativa[[#This Row], [Concepto Anterior]],Conceptos_Administrativa[#All],5,0),"")</f>
        <v/>
      </c>
      <c r="F1368" t="str">
        <f>+IFERROR(VLOOKUP(Fact_Administrativa[[#This Row], 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ht="18.75" customHeight="1" x14ac:dyDescent="0.35">
      <c r="C1369" s="100" t="str">
        <f>IF(OR(Fact_Administrativa[[#This Row], [Año]]="",Fact_Administrativa[[#This Row], [Mes]]=""),"",DATE(A1369,MATCH(B1369,{"enero","febrero","marzo","abril","mayo","junio","julio","agosto","septiembre","octubre","noviembre","diciembre"},0)+1,0))</f>
        <v/>
      </c>
      <c r="E1369" t="str">
        <f>+IFERROR(VLOOKUP(Fact_Administrativa[[#This Row], [Concepto Anterior]],Conceptos_Administrativa[#All],5,0),"")</f>
        <v/>
      </c>
      <c r="F1369" t="str">
        <f>+IFERROR(VLOOKUP(Fact_Administrativa[[#This Row], 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ht="18.75" customHeight="1" x14ac:dyDescent="0.35">
      <c r="C1370" s="100" t="str">
        <f>IF(OR(Fact_Administrativa[[#This Row], [Año]]="",Fact_Administrativa[[#This Row], [Mes]]=""),"",DATE(A1370,MATCH(B1370,{"enero","febrero","marzo","abril","mayo","junio","julio","agosto","septiembre","octubre","noviembre","diciembre"},0)+1,0))</f>
        <v/>
      </c>
      <c r="E1370" t="str">
        <f>+IFERROR(VLOOKUP(Fact_Administrativa[[#This Row], [Concepto Anterior]],Conceptos_Administrativa[#All],5,0),"")</f>
        <v/>
      </c>
      <c r="F1370" t="str">
        <f>+IFERROR(VLOOKUP(Fact_Administrativa[[#This Row], 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ht="18.75" customHeight="1" x14ac:dyDescent="0.35">
      <c r="C1371" s="100" t="str">
        <f>IF(OR(Fact_Administrativa[[#This Row], [Año]]="",Fact_Administrativa[[#This Row], [Mes]]=""),"",DATE(A1371,MATCH(B1371,{"enero","febrero","marzo","abril","mayo","junio","julio","agosto","septiembre","octubre","noviembre","diciembre"},0)+1,0))</f>
        <v/>
      </c>
      <c r="E1371" t="str">
        <f>+IFERROR(VLOOKUP(Fact_Administrativa[[#This Row], [Concepto Anterior]],Conceptos_Administrativa[#All],5,0),"")</f>
        <v/>
      </c>
      <c r="F1371" t="str">
        <f>+IFERROR(VLOOKUP(Fact_Administrativa[[#This Row], 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ht="18.75" customHeight="1" x14ac:dyDescent="0.35">
      <c r="C1372" s="100" t="str">
        <f>IF(OR(Fact_Administrativa[[#This Row], [Año]]="",Fact_Administrativa[[#This Row], [Mes]]=""),"",DATE(A1372,MATCH(B1372,{"enero","febrero","marzo","abril","mayo","junio","julio","agosto","septiembre","octubre","noviembre","diciembre"},0)+1,0))</f>
        <v/>
      </c>
      <c r="E1372" t="str">
        <f>+IFERROR(VLOOKUP(Fact_Administrativa[[#This Row], [Concepto Anterior]],Conceptos_Administrativa[#All],5,0),"")</f>
        <v/>
      </c>
      <c r="F1372" t="str">
        <f>+IFERROR(VLOOKUP(Fact_Administrativa[[#This Row], 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ht="18.75" customHeight="1" x14ac:dyDescent="0.35">
      <c r="C1373" s="100" t="str">
        <f>IF(OR(Fact_Administrativa[[#This Row], [Año]]="",Fact_Administrativa[[#This Row], [Mes]]=""),"",DATE(A1373,MATCH(B1373,{"enero","febrero","marzo","abril","mayo","junio","julio","agosto","septiembre","octubre","noviembre","diciembre"},0)+1,0))</f>
        <v/>
      </c>
      <c r="E1373" t="str">
        <f>+IFERROR(VLOOKUP(Fact_Administrativa[[#This Row], [Concepto Anterior]],Conceptos_Administrativa[#All],5,0),"")</f>
        <v/>
      </c>
      <c r="F1373" t="str">
        <f>+IFERROR(VLOOKUP(Fact_Administrativa[[#This Row], 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ht="18.75" customHeight="1" x14ac:dyDescent="0.35">
      <c r="C1374" s="100" t="str">
        <f>IF(OR(Fact_Administrativa[[#This Row], [Año]]="",Fact_Administrativa[[#This Row], [Mes]]=""),"",DATE(A1374,MATCH(B1374,{"enero","febrero","marzo","abril","mayo","junio","julio","agosto","septiembre","octubre","noviembre","diciembre"},0)+1,0))</f>
        <v/>
      </c>
      <c r="E1374" t="str">
        <f>+IFERROR(VLOOKUP(Fact_Administrativa[[#This Row], [Concepto Anterior]],Conceptos_Administrativa[#All],5,0),"")</f>
        <v/>
      </c>
      <c r="F1374" t="str">
        <f>+IFERROR(VLOOKUP(Fact_Administrativa[[#This Row], 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ht="18.75" customHeight="1" x14ac:dyDescent="0.35">
      <c r="C1375" s="100" t="str">
        <f>IF(OR(Fact_Administrativa[[#This Row], [Año]]="",Fact_Administrativa[[#This Row], [Mes]]=""),"",DATE(A1375,MATCH(B1375,{"enero","febrero","marzo","abril","mayo","junio","julio","agosto","septiembre","octubre","noviembre","diciembre"},0)+1,0))</f>
        <v/>
      </c>
      <c r="E1375" t="str">
        <f>+IFERROR(VLOOKUP(Fact_Administrativa[[#This Row], [Concepto Anterior]],Conceptos_Administrativa[#All],5,0),"")</f>
        <v/>
      </c>
      <c r="F1375" t="str">
        <f>+IFERROR(VLOOKUP(Fact_Administrativa[[#This Row], 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ht="18.75" customHeight="1" x14ac:dyDescent="0.35">
      <c r="C1376" s="100" t="str">
        <f>IF(OR(Fact_Administrativa[[#This Row], [Año]]="",Fact_Administrativa[[#This Row], [Mes]]=""),"",DATE(A1376,MATCH(B1376,{"enero","febrero","marzo","abril","mayo","junio","julio","agosto","septiembre","octubre","noviembre","diciembre"},0)+1,0))</f>
        <v/>
      </c>
      <c r="E1376" t="str">
        <f>+IFERROR(VLOOKUP(Fact_Administrativa[[#This Row], [Concepto Anterior]],Conceptos_Administrativa[#All],5,0),"")</f>
        <v/>
      </c>
      <c r="F1376" t="str">
        <f>+IFERROR(VLOOKUP(Fact_Administrativa[[#This Row], 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ht="18.75" customHeight="1" x14ac:dyDescent="0.35">
      <c r="C1377" s="100" t="str">
        <f>IF(OR(Fact_Administrativa[[#This Row], [Año]]="",Fact_Administrativa[[#This Row], [Mes]]=""),"",DATE(A1377,MATCH(B1377,{"enero","febrero","marzo","abril","mayo","junio","julio","agosto","septiembre","octubre","noviembre","diciembre"},0)+1,0))</f>
        <v/>
      </c>
      <c r="E1377" t="str">
        <f>+IFERROR(VLOOKUP(Fact_Administrativa[[#This Row], [Concepto Anterior]],Conceptos_Administrativa[#All],5,0),"")</f>
        <v/>
      </c>
      <c r="F1377" t="str">
        <f>+IFERROR(VLOOKUP(Fact_Administrativa[[#This Row], 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ht="18.75" customHeight="1" x14ac:dyDescent="0.35">
      <c r="C1378" s="100" t="str">
        <f>IF(OR(Fact_Administrativa[[#This Row], [Año]]="",Fact_Administrativa[[#This Row], [Mes]]=""),"",DATE(A1378,MATCH(B1378,{"enero","febrero","marzo","abril","mayo","junio","julio","agosto","septiembre","octubre","noviembre","diciembre"},0)+1,0))</f>
        <v/>
      </c>
      <c r="E1378" t="str">
        <f>+IFERROR(VLOOKUP(Fact_Administrativa[[#This Row], [Concepto Anterior]],Conceptos_Administrativa[#All],5,0),"")</f>
        <v/>
      </c>
      <c r="F1378" t="str">
        <f>+IFERROR(VLOOKUP(Fact_Administrativa[[#This Row], 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ht="18.75" customHeight="1" x14ac:dyDescent="0.35">
      <c r="C1379" s="100" t="str">
        <f>IF(OR(Fact_Administrativa[[#This Row], [Año]]="",Fact_Administrativa[[#This Row], [Mes]]=""),"",DATE(A1379,MATCH(B1379,{"enero","febrero","marzo","abril","mayo","junio","julio","agosto","septiembre","octubre","noviembre","diciembre"},0)+1,0))</f>
        <v/>
      </c>
      <c r="E1379" t="str">
        <f>+IFERROR(VLOOKUP(Fact_Administrativa[[#This Row], [Concepto Anterior]],Conceptos_Administrativa[#All],5,0),"")</f>
        <v/>
      </c>
      <c r="F1379" t="str">
        <f>+IFERROR(VLOOKUP(Fact_Administrativa[[#This Row], 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ht="18.75" customHeight="1" x14ac:dyDescent="0.35">
      <c r="C1380" s="100" t="str">
        <f>IF(OR(Fact_Administrativa[[#This Row], [Año]]="",Fact_Administrativa[[#This Row], [Mes]]=""),"",DATE(A1380,MATCH(B1380,{"enero","febrero","marzo","abril","mayo","junio","julio","agosto","septiembre","octubre","noviembre","diciembre"},0)+1,0))</f>
        <v/>
      </c>
      <c r="E1380" t="str">
        <f>+IFERROR(VLOOKUP(Fact_Administrativa[[#This Row], [Concepto Anterior]],Conceptos_Administrativa[#All],5,0),"")</f>
        <v/>
      </c>
      <c r="F1380" t="str">
        <f>+IFERROR(VLOOKUP(Fact_Administrativa[[#This Row], 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ht="18.75" customHeight="1" x14ac:dyDescent="0.35">
      <c r="C1381" s="100" t="str">
        <f>IF(OR(Fact_Administrativa[[#This Row], [Año]]="",Fact_Administrativa[[#This Row], [Mes]]=""),"",DATE(A1381,MATCH(B1381,{"enero","febrero","marzo","abril","mayo","junio","julio","agosto","septiembre","octubre","noviembre","diciembre"},0)+1,0))</f>
        <v/>
      </c>
      <c r="E1381" t="str">
        <f>+IFERROR(VLOOKUP(Fact_Administrativa[[#This Row], [Concepto Anterior]],Conceptos_Administrativa[#All],5,0),"")</f>
        <v/>
      </c>
      <c r="F1381" t="str">
        <f>+IFERROR(VLOOKUP(Fact_Administrativa[[#This Row], 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ht="18.75" customHeight="1" x14ac:dyDescent="0.35">
      <c r="C1382" s="100" t="str">
        <f>IF(OR(Fact_Administrativa[[#This Row], [Año]]="",Fact_Administrativa[[#This Row], [Mes]]=""),"",DATE(A1382,MATCH(B1382,{"enero","febrero","marzo","abril","mayo","junio","julio","agosto","septiembre","octubre","noviembre","diciembre"},0)+1,0))</f>
        <v/>
      </c>
      <c r="E1382" t="str">
        <f>+IFERROR(VLOOKUP(Fact_Administrativa[[#This Row], [Concepto Anterior]],Conceptos_Administrativa[#All],5,0),"")</f>
        <v/>
      </c>
      <c r="F1382" t="str">
        <f>+IFERROR(VLOOKUP(Fact_Administrativa[[#This Row], 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ht="18.75" customHeight="1" x14ac:dyDescent="0.35">
      <c r="C1383" s="100" t="str">
        <f>IF(OR(Fact_Administrativa[[#This Row], [Año]]="",Fact_Administrativa[[#This Row], [Mes]]=""),"",DATE(A1383,MATCH(B1383,{"enero","febrero","marzo","abril","mayo","junio","julio","agosto","septiembre","octubre","noviembre","diciembre"},0)+1,0))</f>
        <v/>
      </c>
      <c r="E1383" t="str">
        <f>+IFERROR(VLOOKUP(Fact_Administrativa[[#This Row], [Concepto Anterior]],Conceptos_Administrativa[#All],5,0),"")</f>
        <v/>
      </c>
      <c r="F1383" t="str">
        <f>+IFERROR(VLOOKUP(Fact_Administrativa[[#This Row], 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ht="18.75" customHeight="1" x14ac:dyDescent="0.35">
      <c r="C1384" s="100" t="str">
        <f>IF(OR(Fact_Administrativa[[#This Row], [Año]]="",Fact_Administrativa[[#This Row], [Mes]]=""),"",DATE(A1384,MATCH(B1384,{"enero","febrero","marzo","abril","mayo","junio","julio","agosto","septiembre","octubre","noviembre","diciembre"},0)+1,0))</f>
        <v/>
      </c>
      <c r="E1384" t="str">
        <f>+IFERROR(VLOOKUP(Fact_Administrativa[[#This Row], [Concepto Anterior]],Conceptos_Administrativa[#All],5,0),"")</f>
        <v/>
      </c>
      <c r="F1384" t="str">
        <f>+IFERROR(VLOOKUP(Fact_Administrativa[[#This Row], 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ht="18.75" customHeight="1" x14ac:dyDescent="0.35">
      <c r="C1385" s="100" t="str">
        <f>IF(OR(Fact_Administrativa[[#This Row], [Año]]="",Fact_Administrativa[[#This Row], [Mes]]=""),"",DATE(A1385,MATCH(B1385,{"enero","febrero","marzo","abril","mayo","junio","julio","agosto","septiembre","octubre","noviembre","diciembre"},0)+1,0))</f>
        <v/>
      </c>
      <c r="E1385" t="str">
        <f>+IFERROR(VLOOKUP(Fact_Administrativa[[#This Row], [Concepto Anterior]],Conceptos_Administrativa[#All],5,0),"")</f>
        <v/>
      </c>
      <c r="F1385" t="str">
        <f>+IFERROR(VLOOKUP(Fact_Administrativa[[#This Row], 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ht="18.75" customHeight="1" x14ac:dyDescent="0.35">
      <c r="C1386" s="100" t="str">
        <f>IF(OR(Fact_Administrativa[[#This Row], [Año]]="",Fact_Administrativa[[#This Row], [Mes]]=""),"",DATE(A1386,MATCH(B1386,{"enero","febrero","marzo","abril","mayo","junio","julio","agosto","septiembre","octubre","noviembre","diciembre"},0)+1,0))</f>
        <v/>
      </c>
      <c r="E1386" t="str">
        <f>+IFERROR(VLOOKUP(Fact_Administrativa[[#This Row], [Concepto Anterior]],Conceptos_Administrativa[#All],5,0),"")</f>
        <v/>
      </c>
      <c r="F1386" t="str">
        <f>+IFERROR(VLOOKUP(Fact_Administrativa[[#This Row], 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ht="18.75" customHeight="1" x14ac:dyDescent="0.35">
      <c r="C1387" s="100" t="str">
        <f>IF(OR(Fact_Administrativa[[#This Row], [Año]]="",Fact_Administrativa[[#This Row], [Mes]]=""),"",DATE(A1387,MATCH(B1387,{"enero","febrero","marzo","abril","mayo","junio","julio","agosto","septiembre","octubre","noviembre","diciembre"},0)+1,0))</f>
        <v/>
      </c>
      <c r="E1387" t="str">
        <f>+IFERROR(VLOOKUP(Fact_Administrativa[[#This Row], [Concepto Anterior]],Conceptos_Administrativa[#All],5,0),"")</f>
        <v/>
      </c>
      <c r="F1387" t="str">
        <f>+IFERROR(VLOOKUP(Fact_Administrativa[[#This Row], 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ht="18.75" customHeight="1" x14ac:dyDescent="0.35">
      <c r="C1388" s="100" t="str">
        <f>IF(OR(Fact_Administrativa[[#This Row], [Año]]="",Fact_Administrativa[[#This Row], [Mes]]=""),"",DATE(A1388,MATCH(B1388,{"enero","febrero","marzo","abril","mayo","junio","julio","agosto","septiembre","octubre","noviembre","diciembre"},0)+1,0))</f>
        <v/>
      </c>
      <c r="E1388" t="str">
        <f>+IFERROR(VLOOKUP(Fact_Administrativa[[#This Row], [Concepto Anterior]],Conceptos_Administrativa[#All],5,0),"")</f>
        <v/>
      </c>
      <c r="F1388" t="str">
        <f>+IFERROR(VLOOKUP(Fact_Administrativa[[#This Row], 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ht="18.75" customHeight="1" x14ac:dyDescent="0.35">
      <c r="C1389" s="100" t="str">
        <f>IF(OR(Fact_Administrativa[[#This Row], [Año]]="",Fact_Administrativa[[#This Row], [Mes]]=""),"",DATE(A1389,MATCH(B1389,{"enero","febrero","marzo","abril","mayo","junio","julio","agosto","septiembre","octubre","noviembre","diciembre"},0)+1,0))</f>
        <v/>
      </c>
      <c r="E1389" t="str">
        <f>+IFERROR(VLOOKUP(Fact_Administrativa[[#This Row], [Concepto Anterior]],Conceptos_Administrativa[#All],5,0),"")</f>
        <v/>
      </c>
      <c r="F1389" t="str">
        <f>+IFERROR(VLOOKUP(Fact_Administrativa[[#This Row], 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ht="18.75" customHeight="1" x14ac:dyDescent="0.35">
      <c r="C1390" s="100" t="str">
        <f>IF(OR(Fact_Administrativa[[#This Row], [Año]]="",Fact_Administrativa[[#This Row], [Mes]]=""),"",DATE(A1390,MATCH(B1390,{"enero","febrero","marzo","abril","mayo","junio","julio","agosto","septiembre","octubre","noviembre","diciembre"},0)+1,0))</f>
        <v/>
      </c>
      <c r="E1390" t="str">
        <f>+IFERROR(VLOOKUP(Fact_Administrativa[[#This Row], [Concepto Anterior]],Conceptos_Administrativa[#All],5,0),"")</f>
        <v/>
      </c>
      <c r="F1390" t="str">
        <f>+IFERROR(VLOOKUP(Fact_Administrativa[[#This Row], 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ht="18.75" customHeight="1" x14ac:dyDescent="0.35">
      <c r="C1391" s="100" t="str">
        <f>IF(OR(Fact_Administrativa[[#This Row], [Año]]="",Fact_Administrativa[[#This Row], [Mes]]=""),"",DATE(A1391,MATCH(B1391,{"enero","febrero","marzo","abril","mayo","junio","julio","agosto","septiembre","octubre","noviembre","diciembre"},0)+1,0))</f>
        <v/>
      </c>
      <c r="E1391" t="str">
        <f>+IFERROR(VLOOKUP(Fact_Administrativa[[#This Row], [Concepto Anterior]],Conceptos_Administrativa[#All],5,0),"")</f>
        <v/>
      </c>
      <c r="F1391" t="str">
        <f>+IFERROR(VLOOKUP(Fact_Administrativa[[#This Row], 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ht="18.75" customHeight="1" x14ac:dyDescent="0.35">
      <c r="C1392" s="100" t="str">
        <f>IF(OR(Fact_Administrativa[[#This Row], [Año]]="",Fact_Administrativa[[#This Row], [Mes]]=""),"",DATE(A1392,MATCH(B1392,{"enero","febrero","marzo","abril","mayo","junio","julio","agosto","septiembre","octubre","noviembre","diciembre"},0)+1,0))</f>
        <v/>
      </c>
      <c r="E1392" t="str">
        <f>+IFERROR(VLOOKUP(Fact_Administrativa[[#This Row], [Concepto Anterior]],Conceptos_Administrativa[#All],5,0),"")</f>
        <v/>
      </c>
      <c r="F1392" t="str">
        <f>+IFERROR(VLOOKUP(Fact_Administrativa[[#This Row], 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ht="18.75" customHeight="1" x14ac:dyDescent="0.35">
      <c r="C1393" s="100" t="str">
        <f>IF(OR(Fact_Administrativa[[#This Row], [Año]]="",Fact_Administrativa[[#This Row], [Mes]]=""),"",DATE(A1393,MATCH(B1393,{"enero","febrero","marzo","abril","mayo","junio","julio","agosto","septiembre","octubre","noviembre","diciembre"},0)+1,0))</f>
        <v/>
      </c>
      <c r="E1393" t="str">
        <f>+IFERROR(VLOOKUP(Fact_Administrativa[[#This Row], [Concepto Anterior]],Conceptos_Administrativa[#All],5,0),"")</f>
        <v/>
      </c>
      <c r="F1393" t="str">
        <f>+IFERROR(VLOOKUP(Fact_Administrativa[[#This Row], 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ht="18.75" customHeight="1" x14ac:dyDescent="0.35">
      <c r="C1394" s="100" t="str">
        <f>IF(OR(Fact_Administrativa[[#This Row], [Año]]="",Fact_Administrativa[[#This Row], [Mes]]=""),"",DATE(A1394,MATCH(B1394,{"enero","febrero","marzo","abril","mayo","junio","julio","agosto","septiembre","octubre","noviembre","diciembre"},0)+1,0))</f>
        <v/>
      </c>
      <c r="E1394" t="str">
        <f>+IFERROR(VLOOKUP(Fact_Administrativa[[#This Row], [Concepto Anterior]],Conceptos_Administrativa[#All],5,0),"")</f>
        <v/>
      </c>
      <c r="F1394" t="str">
        <f>+IFERROR(VLOOKUP(Fact_Administrativa[[#This Row], 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ht="18.75" customHeight="1" x14ac:dyDescent="0.35">
      <c r="C1395" s="100" t="str">
        <f>IF(OR(Fact_Administrativa[[#This Row], [Año]]="",Fact_Administrativa[[#This Row], [Mes]]=""),"",DATE(A1395,MATCH(B1395,{"enero","febrero","marzo","abril","mayo","junio","julio","agosto","septiembre","octubre","noviembre","diciembre"},0)+1,0))</f>
        <v/>
      </c>
      <c r="E1395" t="str">
        <f>+IFERROR(VLOOKUP(Fact_Administrativa[[#This Row], [Concepto Anterior]],Conceptos_Administrativa[#All],5,0),"")</f>
        <v/>
      </c>
      <c r="F1395" t="str">
        <f>+IFERROR(VLOOKUP(Fact_Administrativa[[#This Row], 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ht="18.75" customHeight="1" x14ac:dyDescent="0.35">
      <c r="C1396" s="100" t="str">
        <f>IF(OR(Fact_Administrativa[[#This Row], [Año]]="",Fact_Administrativa[[#This Row], [Mes]]=""),"",DATE(A1396,MATCH(B1396,{"enero","febrero","marzo","abril","mayo","junio","julio","agosto","septiembre","octubre","noviembre","diciembre"},0)+1,0))</f>
        <v/>
      </c>
      <c r="E1396" t="str">
        <f>+IFERROR(VLOOKUP(Fact_Administrativa[[#This Row], [Concepto Anterior]],Conceptos_Administrativa[#All],5,0),"")</f>
        <v/>
      </c>
      <c r="F1396" t="str">
        <f>+IFERROR(VLOOKUP(Fact_Administrativa[[#This Row], 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ht="18.75" customHeight="1" x14ac:dyDescent="0.35">
      <c r="C1397" s="100" t="str">
        <f>IF(OR(Fact_Administrativa[[#This Row], [Año]]="",Fact_Administrativa[[#This Row], [Mes]]=""),"",DATE(A1397,MATCH(B1397,{"enero","febrero","marzo","abril","mayo","junio","julio","agosto","septiembre","octubre","noviembre","diciembre"},0)+1,0))</f>
        <v/>
      </c>
      <c r="E1397" t="str">
        <f>+IFERROR(VLOOKUP(Fact_Administrativa[[#This Row], [Concepto Anterior]],Conceptos_Administrativa[#All],5,0),"")</f>
        <v/>
      </c>
      <c r="F1397" t="str">
        <f>+IFERROR(VLOOKUP(Fact_Administrativa[[#This Row], 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ht="18.75" customHeight="1" x14ac:dyDescent="0.35">
      <c r="C1398" s="100" t="str">
        <f>IF(OR(Fact_Administrativa[[#This Row], [Año]]="",Fact_Administrativa[[#This Row], [Mes]]=""),"",DATE(A1398,MATCH(B1398,{"enero","febrero","marzo","abril","mayo","junio","julio","agosto","septiembre","octubre","noviembre","diciembre"},0)+1,0))</f>
        <v/>
      </c>
      <c r="E1398" t="str">
        <f>+IFERROR(VLOOKUP(Fact_Administrativa[[#This Row], [Concepto Anterior]],Conceptos_Administrativa[#All],5,0),"")</f>
        <v/>
      </c>
      <c r="F1398" t="str">
        <f>+IFERROR(VLOOKUP(Fact_Administrativa[[#This Row], 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ht="18.75" customHeight="1" x14ac:dyDescent="0.35">
      <c r="C1399" s="100" t="str">
        <f>IF(OR(Fact_Administrativa[[#This Row], [Año]]="",Fact_Administrativa[[#This Row], [Mes]]=""),"",DATE(A1399,MATCH(B1399,{"enero","febrero","marzo","abril","mayo","junio","julio","agosto","septiembre","octubre","noviembre","diciembre"},0)+1,0))</f>
        <v/>
      </c>
      <c r="E1399" t="str">
        <f>+IFERROR(VLOOKUP(Fact_Administrativa[[#This Row], [Concepto Anterior]],Conceptos_Administrativa[#All],5,0),"")</f>
        <v/>
      </c>
      <c r="F1399" t="str">
        <f>+IFERROR(VLOOKUP(Fact_Administrativa[[#This Row], 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ht="18.75" customHeight="1" x14ac:dyDescent="0.35">
      <c r="C1400" s="100" t="str">
        <f>IF(OR(Fact_Administrativa[[#This Row], [Año]]="",Fact_Administrativa[[#This Row], [Mes]]=""),"",DATE(A1400,MATCH(B1400,{"enero","febrero","marzo","abril","mayo","junio","julio","agosto","septiembre","octubre","noviembre","diciembre"},0)+1,0))</f>
        <v/>
      </c>
      <c r="E1400" t="str">
        <f>+IFERROR(VLOOKUP(Fact_Administrativa[[#This Row], [Concepto Anterior]],Conceptos_Administrativa[#All],5,0),"")</f>
        <v/>
      </c>
      <c r="F1400" t="str">
        <f>+IFERROR(VLOOKUP(Fact_Administrativa[[#This Row], 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ht="18.75" customHeight="1" x14ac:dyDescent="0.35">
      <c r="C1401" s="100" t="str">
        <f>IF(OR(Fact_Administrativa[[#This Row], [Año]]="",Fact_Administrativa[[#This Row], [Mes]]=""),"",DATE(A1401,MATCH(B1401,{"enero","febrero","marzo","abril","mayo","junio","julio","agosto","septiembre","octubre","noviembre","diciembre"},0)+1,0))</f>
        <v/>
      </c>
      <c r="E1401" t="str">
        <f>+IFERROR(VLOOKUP(Fact_Administrativa[[#This Row], [Concepto Anterior]],Conceptos_Administrativa[#All],5,0),"")</f>
        <v/>
      </c>
      <c r="F1401" t="str">
        <f>+IFERROR(VLOOKUP(Fact_Administrativa[[#This Row], 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ht="18.75" customHeight="1" x14ac:dyDescent="0.35">
      <c r="C1402" s="100" t="str">
        <f>IF(OR(Fact_Administrativa[[#This Row], [Año]]="",Fact_Administrativa[[#This Row], [Mes]]=""),"",DATE(A1402,MATCH(B1402,{"enero","febrero","marzo","abril","mayo","junio","julio","agosto","septiembre","octubre","noviembre","diciembre"},0)+1,0))</f>
        <v/>
      </c>
      <c r="E1402" t="str">
        <f>+IFERROR(VLOOKUP(Fact_Administrativa[[#This Row], [Concepto Anterior]],Conceptos_Administrativa[#All],5,0),"")</f>
        <v/>
      </c>
      <c r="F1402" t="str">
        <f>+IFERROR(VLOOKUP(Fact_Administrativa[[#This Row], 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ht="18.75" customHeight="1" x14ac:dyDescent="0.35">
      <c r="C1403" s="100" t="str">
        <f>IF(OR(Fact_Administrativa[[#This Row], [Año]]="",Fact_Administrativa[[#This Row], [Mes]]=""),"",DATE(A1403,MATCH(B1403,{"enero","febrero","marzo","abril","mayo","junio","julio","agosto","septiembre","octubre","noviembre","diciembre"},0)+1,0))</f>
        <v/>
      </c>
      <c r="E1403" t="str">
        <f>+IFERROR(VLOOKUP(Fact_Administrativa[[#This Row], [Concepto Anterior]],Conceptos_Administrativa[#All],5,0),"")</f>
        <v/>
      </c>
      <c r="F1403" t="str">
        <f>+IFERROR(VLOOKUP(Fact_Administrativa[[#This Row], 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ht="18.75" customHeight="1" x14ac:dyDescent="0.35">
      <c r="C1404" s="100" t="str">
        <f>IF(OR(Fact_Administrativa[[#This Row], [Año]]="",Fact_Administrativa[[#This Row], [Mes]]=""),"",DATE(A1404,MATCH(B1404,{"enero","febrero","marzo","abril","mayo","junio","julio","agosto","septiembre","octubre","noviembre","diciembre"},0)+1,0))</f>
        <v/>
      </c>
      <c r="E1404" t="str">
        <f>+IFERROR(VLOOKUP(Fact_Administrativa[[#This Row], [Concepto Anterior]],Conceptos_Administrativa[#All],5,0),"")</f>
        <v/>
      </c>
      <c r="F1404" t="str">
        <f>+IFERROR(VLOOKUP(Fact_Administrativa[[#This Row], 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ht="18.75" customHeight="1" x14ac:dyDescent="0.35">
      <c r="C1405" s="100" t="str">
        <f>IF(OR(Fact_Administrativa[[#This Row], [Año]]="",Fact_Administrativa[[#This Row], [Mes]]=""),"",DATE(A1405,MATCH(B1405,{"enero","febrero","marzo","abril","mayo","junio","julio","agosto","septiembre","octubre","noviembre","diciembre"},0)+1,0))</f>
        <v/>
      </c>
      <c r="E1405" t="str">
        <f>+IFERROR(VLOOKUP(Fact_Administrativa[[#This Row], [Concepto Anterior]],Conceptos_Administrativa[#All],5,0),"")</f>
        <v/>
      </c>
      <c r="F1405" t="str">
        <f>+IFERROR(VLOOKUP(Fact_Administrativa[[#This Row], 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ht="18.75" customHeight="1" x14ac:dyDescent="0.35">
      <c r="C1406" s="100" t="str">
        <f>IF(OR(Fact_Administrativa[[#This Row], [Año]]="",Fact_Administrativa[[#This Row], [Mes]]=""),"",DATE(A1406,MATCH(B1406,{"enero","febrero","marzo","abril","mayo","junio","julio","agosto","septiembre","octubre","noviembre","diciembre"},0)+1,0))</f>
        <v/>
      </c>
      <c r="E1406" t="str">
        <f>+IFERROR(VLOOKUP(Fact_Administrativa[[#This Row], [Concepto Anterior]],Conceptos_Administrativa[#All],5,0),"")</f>
        <v/>
      </c>
      <c r="F1406" t="str">
        <f>+IFERROR(VLOOKUP(Fact_Administrativa[[#This Row], 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ht="18.75" customHeight="1" x14ac:dyDescent="0.35">
      <c r="C1407" s="100" t="str">
        <f>IF(OR(Fact_Administrativa[[#This Row], [Año]]="",Fact_Administrativa[[#This Row], [Mes]]=""),"",DATE(A1407,MATCH(B1407,{"enero","febrero","marzo","abril","mayo","junio","julio","agosto","septiembre","octubre","noviembre","diciembre"},0)+1,0))</f>
        <v/>
      </c>
      <c r="E1407" t="str">
        <f>+IFERROR(VLOOKUP(Fact_Administrativa[[#This Row], [Concepto Anterior]],Conceptos_Administrativa[#All],5,0),"")</f>
        <v/>
      </c>
      <c r="F1407" t="str">
        <f>+IFERROR(VLOOKUP(Fact_Administrativa[[#This Row], 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ht="18.75" customHeight="1" x14ac:dyDescent="0.35">
      <c r="C1408" s="100" t="str">
        <f>IF(OR(Fact_Administrativa[[#This Row], [Año]]="",Fact_Administrativa[[#This Row], [Mes]]=""),"",DATE(A1408,MATCH(B1408,{"enero","febrero","marzo","abril","mayo","junio","julio","agosto","septiembre","octubre","noviembre","diciembre"},0)+1,0))</f>
        <v/>
      </c>
      <c r="E1408" t="str">
        <f>+IFERROR(VLOOKUP(Fact_Administrativa[[#This Row], [Concepto Anterior]],Conceptos_Administrativa[#All],5,0),"")</f>
        <v/>
      </c>
      <c r="F1408" t="str">
        <f>+IFERROR(VLOOKUP(Fact_Administrativa[[#This Row], 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ht="18.75" customHeight="1" x14ac:dyDescent="0.35">
      <c r="C1409" s="100" t="str">
        <f>IF(OR(Fact_Administrativa[[#This Row], [Año]]="",Fact_Administrativa[[#This Row], [Mes]]=""),"",DATE(A1409,MATCH(B1409,{"enero","febrero","marzo","abril","mayo","junio","julio","agosto","septiembre","octubre","noviembre","diciembre"},0)+1,0))</f>
        <v/>
      </c>
      <c r="E1409" t="str">
        <f>+IFERROR(VLOOKUP(Fact_Administrativa[[#This Row], [Concepto Anterior]],Conceptos_Administrativa[#All],5,0),"")</f>
        <v/>
      </c>
      <c r="F1409" t="str">
        <f>+IFERROR(VLOOKUP(Fact_Administrativa[[#This Row], 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ht="18.75" customHeight="1" x14ac:dyDescent="0.35">
      <c r="C1410" s="100" t="str">
        <f>IF(OR(Fact_Administrativa[[#This Row], [Año]]="",Fact_Administrativa[[#This Row], [Mes]]=""),"",DATE(A1410,MATCH(B1410,{"enero","febrero","marzo","abril","mayo","junio","julio","agosto","septiembre","octubre","noviembre","diciembre"},0)+1,0))</f>
        <v/>
      </c>
      <c r="E1410" t="str">
        <f>+IFERROR(VLOOKUP(Fact_Administrativa[[#This Row], [Concepto Anterior]],Conceptos_Administrativa[#All],5,0),"")</f>
        <v/>
      </c>
      <c r="F1410" t="str">
        <f>+IFERROR(VLOOKUP(Fact_Administrativa[[#This Row], 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ht="18.75" customHeight="1" x14ac:dyDescent="0.35">
      <c r="C1411" s="100" t="str">
        <f>IF(OR(Fact_Administrativa[[#This Row], [Año]]="",Fact_Administrativa[[#This Row], [Mes]]=""),"",DATE(A1411,MATCH(B1411,{"enero","febrero","marzo","abril","mayo","junio","julio","agosto","septiembre","octubre","noviembre","diciembre"},0)+1,0))</f>
        <v/>
      </c>
      <c r="E1411" t="str">
        <f>+IFERROR(VLOOKUP(Fact_Administrativa[[#This Row], [Concepto Anterior]],Conceptos_Administrativa[#All],5,0),"")</f>
        <v/>
      </c>
      <c r="F1411" t="str">
        <f>+IFERROR(VLOOKUP(Fact_Administrativa[[#This Row], 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ht="18.75" customHeight="1" x14ac:dyDescent="0.35">
      <c r="C1412" s="100" t="str">
        <f>IF(OR(Fact_Administrativa[[#This Row], [Año]]="",Fact_Administrativa[[#This Row], [Mes]]=""),"",DATE(A1412,MATCH(B1412,{"enero","febrero","marzo","abril","mayo","junio","julio","agosto","septiembre","octubre","noviembre","diciembre"},0)+1,0))</f>
        <v/>
      </c>
      <c r="E1412" t="str">
        <f>+IFERROR(VLOOKUP(Fact_Administrativa[[#This Row], [Concepto Anterior]],Conceptos_Administrativa[#All],5,0),"")</f>
        <v/>
      </c>
      <c r="F1412" t="str">
        <f>+IFERROR(VLOOKUP(Fact_Administrativa[[#This Row], 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ht="18.75" customHeight="1" x14ac:dyDescent="0.35">
      <c r="C1413" s="100" t="str">
        <f>IF(OR(Fact_Administrativa[[#This Row], [Año]]="",Fact_Administrativa[[#This Row], [Mes]]=""),"",DATE(A1413,MATCH(B1413,{"enero","febrero","marzo","abril","mayo","junio","julio","agosto","septiembre","octubre","noviembre","diciembre"},0)+1,0))</f>
        <v/>
      </c>
      <c r="E1413" t="str">
        <f>+IFERROR(VLOOKUP(Fact_Administrativa[[#This Row], [Concepto Anterior]],Conceptos_Administrativa[#All],5,0),"")</f>
        <v/>
      </c>
      <c r="F1413" t="str">
        <f>+IFERROR(VLOOKUP(Fact_Administrativa[[#This Row], 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ht="18.75" customHeight="1" x14ac:dyDescent="0.35">
      <c r="C1414" s="100" t="str">
        <f>IF(OR(Fact_Administrativa[[#This Row], [Año]]="",Fact_Administrativa[[#This Row], [Mes]]=""),"",DATE(A1414,MATCH(B1414,{"enero","febrero","marzo","abril","mayo","junio","julio","agosto","septiembre","octubre","noviembre","diciembre"},0)+1,0))</f>
        <v/>
      </c>
      <c r="E1414" t="str">
        <f>+IFERROR(VLOOKUP(Fact_Administrativa[[#This Row], [Concepto Anterior]],Conceptos_Administrativa[#All],5,0),"")</f>
        <v/>
      </c>
      <c r="F1414" t="str">
        <f>+IFERROR(VLOOKUP(Fact_Administrativa[[#This Row], 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ht="18.75" customHeight="1" x14ac:dyDescent="0.35">
      <c r="C1415" s="100" t="str">
        <f>IF(OR(Fact_Administrativa[[#This Row], [Año]]="",Fact_Administrativa[[#This Row], [Mes]]=""),"",DATE(A1415,MATCH(B1415,{"enero","febrero","marzo","abril","mayo","junio","julio","agosto","septiembre","octubre","noviembre","diciembre"},0)+1,0))</f>
        <v/>
      </c>
      <c r="E1415" t="str">
        <f>+IFERROR(VLOOKUP(Fact_Administrativa[[#This Row], [Concepto Anterior]],Conceptos_Administrativa[#All],5,0),"")</f>
        <v/>
      </c>
      <c r="F1415" t="str">
        <f>+IFERROR(VLOOKUP(Fact_Administrativa[[#This Row], 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ht="18.75" customHeight="1" x14ac:dyDescent="0.35">
      <c r="C1416" s="100" t="str">
        <f>IF(OR(Fact_Administrativa[[#This Row], [Año]]="",Fact_Administrativa[[#This Row], [Mes]]=""),"",DATE(A1416,MATCH(B1416,{"enero","febrero","marzo","abril","mayo","junio","julio","agosto","septiembre","octubre","noviembre","diciembre"},0)+1,0))</f>
        <v/>
      </c>
      <c r="E1416" t="str">
        <f>+IFERROR(VLOOKUP(Fact_Administrativa[[#This Row], [Concepto Anterior]],Conceptos_Administrativa[#All],5,0),"")</f>
        <v/>
      </c>
      <c r="F1416" t="str">
        <f>+IFERROR(VLOOKUP(Fact_Administrativa[[#This Row], 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ht="18.75" customHeight="1" x14ac:dyDescent="0.35">
      <c r="C1417" s="100" t="str">
        <f>IF(OR(Fact_Administrativa[[#This Row], [Año]]="",Fact_Administrativa[[#This Row], [Mes]]=""),"",DATE(A1417,MATCH(B1417,{"enero","febrero","marzo","abril","mayo","junio","julio","agosto","septiembre","octubre","noviembre","diciembre"},0)+1,0))</f>
        <v/>
      </c>
      <c r="E1417" t="str">
        <f>+IFERROR(VLOOKUP(Fact_Administrativa[[#This Row], [Concepto Anterior]],Conceptos_Administrativa[#All],5,0),"")</f>
        <v/>
      </c>
      <c r="F1417" t="str">
        <f>+IFERROR(VLOOKUP(Fact_Administrativa[[#This Row], 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ht="18.75" customHeight="1" x14ac:dyDescent="0.35">
      <c r="C1418" s="100" t="str">
        <f>IF(OR(Fact_Administrativa[[#This Row], [Año]]="",Fact_Administrativa[[#This Row], [Mes]]=""),"",DATE(A1418,MATCH(B1418,{"enero","febrero","marzo","abril","mayo","junio","julio","agosto","septiembre","octubre","noviembre","diciembre"},0)+1,0))</f>
        <v/>
      </c>
      <c r="E1418" t="str">
        <f>+IFERROR(VLOOKUP(Fact_Administrativa[[#This Row], [Concepto Anterior]],Conceptos_Administrativa[#All],5,0),"")</f>
        <v/>
      </c>
      <c r="F1418" t="str">
        <f>+IFERROR(VLOOKUP(Fact_Administrativa[[#This Row], 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ht="18.75" customHeight="1" x14ac:dyDescent="0.35">
      <c r="C1419" s="100" t="str">
        <f>IF(OR(Fact_Administrativa[[#This Row], [Año]]="",Fact_Administrativa[[#This Row], [Mes]]=""),"",DATE(A1419,MATCH(B1419,{"enero","febrero","marzo","abril","mayo","junio","julio","agosto","septiembre","octubre","noviembre","diciembre"},0)+1,0))</f>
        <v/>
      </c>
      <c r="E1419" t="str">
        <f>+IFERROR(VLOOKUP(Fact_Administrativa[[#This Row], [Concepto Anterior]],Conceptos_Administrativa[#All],5,0),"")</f>
        <v/>
      </c>
      <c r="F1419" t="str">
        <f>+IFERROR(VLOOKUP(Fact_Administrativa[[#This Row], 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ht="18.75" customHeight="1" x14ac:dyDescent="0.35">
      <c r="C1420" s="100" t="str">
        <f>IF(OR(Fact_Administrativa[[#This Row], [Año]]="",Fact_Administrativa[[#This Row], [Mes]]=""),"",DATE(A1420,MATCH(B1420,{"enero","febrero","marzo","abril","mayo","junio","julio","agosto","septiembre","octubre","noviembre","diciembre"},0)+1,0))</f>
        <v/>
      </c>
      <c r="E1420" t="str">
        <f>+IFERROR(VLOOKUP(Fact_Administrativa[[#This Row], [Concepto Anterior]],Conceptos_Administrativa[#All],5,0),"")</f>
        <v/>
      </c>
      <c r="F1420" t="str">
        <f>+IFERROR(VLOOKUP(Fact_Administrativa[[#This Row], 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ht="18.75" customHeight="1" x14ac:dyDescent="0.35">
      <c r="C1421" s="100" t="str">
        <f>IF(OR(Fact_Administrativa[[#This Row], [Año]]="",Fact_Administrativa[[#This Row], [Mes]]=""),"",DATE(A1421,MATCH(B1421,{"enero","febrero","marzo","abril","mayo","junio","julio","agosto","septiembre","octubre","noviembre","diciembre"},0)+1,0))</f>
        <v/>
      </c>
      <c r="E1421" t="str">
        <f>+IFERROR(VLOOKUP(Fact_Administrativa[[#This Row], [Concepto Anterior]],Conceptos_Administrativa[#All],5,0),"")</f>
        <v/>
      </c>
      <c r="F1421" t="str">
        <f>+IFERROR(VLOOKUP(Fact_Administrativa[[#This Row], 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ht="18.75" customHeight="1" x14ac:dyDescent="0.35">
      <c r="C1422" s="100" t="str">
        <f>IF(OR(Fact_Administrativa[[#This Row], [Año]]="",Fact_Administrativa[[#This Row], [Mes]]=""),"",DATE(A1422,MATCH(B1422,{"enero","febrero","marzo","abril","mayo","junio","julio","agosto","septiembre","octubre","noviembre","diciembre"},0)+1,0))</f>
        <v/>
      </c>
      <c r="E1422" t="str">
        <f>+IFERROR(VLOOKUP(Fact_Administrativa[[#This Row], [Concepto Anterior]],Conceptos_Administrativa[#All],5,0),"")</f>
        <v/>
      </c>
      <c r="F1422" t="str">
        <f>+IFERROR(VLOOKUP(Fact_Administrativa[[#This Row], 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ht="18.75" customHeight="1" x14ac:dyDescent="0.35">
      <c r="C1423" s="100" t="str">
        <f>IF(OR(Fact_Administrativa[[#This Row], [Año]]="",Fact_Administrativa[[#This Row], [Mes]]=""),"",DATE(A1423,MATCH(B1423,{"enero","febrero","marzo","abril","mayo","junio","julio","agosto","septiembre","octubre","noviembre","diciembre"},0)+1,0))</f>
        <v/>
      </c>
      <c r="E1423" t="str">
        <f>+IFERROR(VLOOKUP(Fact_Administrativa[[#This Row], [Concepto Anterior]],Conceptos_Administrativa[#All],5,0),"")</f>
        <v/>
      </c>
      <c r="F1423" t="str">
        <f>+IFERROR(VLOOKUP(Fact_Administrativa[[#This Row], 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ht="18.75" customHeight="1" x14ac:dyDescent="0.35">
      <c r="C1424" s="100" t="str">
        <f>IF(OR(Fact_Administrativa[[#This Row], [Año]]="",Fact_Administrativa[[#This Row], [Mes]]=""),"",DATE(A1424,MATCH(B1424,{"enero","febrero","marzo","abril","mayo","junio","julio","agosto","septiembre","octubre","noviembre","diciembre"},0)+1,0))</f>
        <v/>
      </c>
      <c r="E1424" t="str">
        <f>+IFERROR(VLOOKUP(Fact_Administrativa[[#This Row], [Concepto Anterior]],Conceptos_Administrativa[#All],5,0),"")</f>
        <v/>
      </c>
      <c r="F1424" t="str">
        <f>+IFERROR(VLOOKUP(Fact_Administrativa[[#This Row], 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ht="18.75" customHeight="1" x14ac:dyDescent="0.35">
      <c r="C1425" s="100" t="str">
        <f>IF(OR(Fact_Administrativa[[#This Row], [Año]]="",Fact_Administrativa[[#This Row], [Mes]]=""),"",DATE(A1425,MATCH(B1425,{"enero","febrero","marzo","abril","mayo","junio","julio","agosto","septiembre","octubre","noviembre","diciembre"},0)+1,0))</f>
        <v/>
      </c>
      <c r="E1425" t="str">
        <f>+IFERROR(VLOOKUP(Fact_Administrativa[[#This Row], [Concepto Anterior]],Conceptos_Administrativa[#All],5,0),"")</f>
        <v/>
      </c>
      <c r="F1425" t="str">
        <f>+IFERROR(VLOOKUP(Fact_Administrativa[[#This Row], 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ht="18.75" customHeight="1" x14ac:dyDescent="0.35">
      <c r="C1426" s="100" t="str">
        <f>IF(OR(Fact_Administrativa[[#This Row], [Año]]="",Fact_Administrativa[[#This Row], [Mes]]=""),"",DATE(A1426,MATCH(B1426,{"enero","febrero","marzo","abril","mayo","junio","julio","agosto","septiembre","octubre","noviembre","diciembre"},0)+1,0))</f>
        <v/>
      </c>
      <c r="E1426" t="str">
        <f>+IFERROR(VLOOKUP(Fact_Administrativa[[#This Row], [Concepto Anterior]],Conceptos_Administrativa[#All],5,0),"")</f>
        <v/>
      </c>
      <c r="F1426" t="str">
        <f>+IFERROR(VLOOKUP(Fact_Administrativa[[#This Row], 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ht="18.75" customHeight="1" x14ac:dyDescent="0.35">
      <c r="C1427" s="100" t="str">
        <f>IF(OR(Fact_Administrativa[[#This Row], [Año]]="",Fact_Administrativa[[#This Row], [Mes]]=""),"",DATE(A1427,MATCH(B1427,{"enero","febrero","marzo","abril","mayo","junio","julio","agosto","septiembre","octubre","noviembre","diciembre"},0)+1,0))</f>
        <v/>
      </c>
      <c r="E1427" t="str">
        <f>+IFERROR(VLOOKUP(Fact_Administrativa[[#This Row], [Concepto Anterior]],Conceptos_Administrativa[#All],5,0),"")</f>
        <v/>
      </c>
      <c r="F1427" t="str">
        <f>+IFERROR(VLOOKUP(Fact_Administrativa[[#This Row], 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ht="18.75" customHeight="1" x14ac:dyDescent="0.35">
      <c r="C1428" s="100" t="str">
        <f>IF(OR(Fact_Administrativa[[#This Row], [Año]]="",Fact_Administrativa[[#This Row], [Mes]]=""),"",DATE(A1428,MATCH(B1428,{"enero","febrero","marzo","abril","mayo","junio","julio","agosto","septiembre","octubre","noviembre","diciembre"},0)+1,0))</f>
        <v/>
      </c>
      <c r="E1428" t="str">
        <f>+IFERROR(VLOOKUP(Fact_Administrativa[[#This Row], [Concepto Anterior]],Conceptos_Administrativa[#All],5,0),"")</f>
        <v/>
      </c>
      <c r="F1428" t="str">
        <f>+IFERROR(VLOOKUP(Fact_Administrativa[[#This Row], 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ht="18.75" customHeight="1" x14ac:dyDescent="0.35">
      <c r="C1429" s="100" t="str">
        <f>IF(OR(Fact_Administrativa[[#This Row], [Año]]="",Fact_Administrativa[[#This Row], [Mes]]=""),"",DATE(A1429,MATCH(B1429,{"enero","febrero","marzo","abril","mayo","junio","julio","agosto","septiembre","octubre","noviembre","diciembre"},0)+1,0))</f>
        <v/>
      </c>
      <c r="E1429" t="str">
        <f>+IFERROR(VLOOKUP(Fact_Administrativa[[#This Row], [Concepto Anterior]],Conceptos_Administrativa[#All],5,0),"")</f>
        <v/>
      </c>
      <c r="F1429" t="str">
        <f>+IFERROR(VLOOKUP(Fact_Administrativa[[#This Row], 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ht="18.75" customHeight="1" x14ac:dyDescent="0.35">
      <c r="C1430" s="100" t="str">
        <f>IF(OR(Fact_Administrativa[[#This Row], [Año]]="",Fact_Administrativa[[#This Row], [Mes]]=""),"",DATE(A1430,MATCH(B1430,{"enero","febrero","marzo","abril","mayo","junio","julio","agosto","septiembre","octubre","noviembre","diciembre"},0)+1,0))</f>
        <v/>
      </c>
      <c r="E1430" t="str">
        <f>+IFERROR(VLOOKUP(Fact_Administrativa[[#This Row], [Concepto Anterior]],Conceptos_Administrativa[#All],5,0),"")</f>
        <v/>
      </c>
      <c r="F1430" t="str">
        <f>+IFERROR(VLOOKUP(Fact_Administrativa[[#This Row], 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ht="18.75" customHeight="1" x14ac:dyDescent="0.35">
      <c r="C1431" s="100" t="str">
        <f>IF(OR(Fact_Administrativa[[#This Row], [Año]]="",Fact_Administrativa[[#This Row], [Mes]]=""),"",DATE(A1431,MATCH(B1431,{"enero","febrero","marzo","abril","mayo","junio","julio","agosto","septiembre","octubre","noviembre","diciembre"},0)+1,0))</f>
        <v/>
      </c>
      <c r="E1431" t="str">
        <f>+IFERROR(VLOOKUP(Fact_Administrativa[[#This Row], [Concepto Anterior]],Conceptos_Administrativa[#All],5,0),"")</f>
        <v/>
      </c>
      <c r="F1431" t="str">
        <f>+IFERROR(VLOOKUP(Fact_Administrativa[[#This Row], 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ht="18.75" customHeight="1" x14ac:dyDescent="0.35">
      <c r="C1432" s="100" t="str">
        <f>IF(OR(Fact_Administrativa[[#This Row], [Año]]="",Fact_Administrativa[[#This Row], [Mes]]=""),"",DATE(A1432,MATCH(B1432,{"enero","febrero","marzo","abril","mayo","junio","julio","agosto","septiembre","octubre","noviembre","diciembre"},0)+1,0))</f>
        <v/>
      </c>
      <c r="E1432" t="str">
        <f>+IFERROR(VLOOKUP(Fact_Administrativa[[#This Row], [Concepto Anterior]],Conceptos_Administrativa[#All],5,0),"")</f>
        <v/>
      </c>
      <c r="F1432" t="str">
        <f>+IFERROR(VLOOKUP(Fact_Administrativa[[#This Row], 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ht="18.75" customHeight="1" x14ac:dyDescent="0.35">
      <c r="C1433" s="100" t="str">
        <f>IF(OR(Fact_Administrativa[[#This Row], [Año]]="",Fact_Administrativa[[#This Row], [Mes]]=""),"",DATE(A1433,MATCH(B1433,{"enero","febrero","marzo","abril","mayo","junio","julio","agosto","septiembre","octubre","noviembre","diciembre"},0)+1,0))</f>
        <v/>
      </c>
      <c r="E1433" t="str">
        <f>+IFERROR(VLOOKUP(Fact_Administrativa[[#This Row], [Concepto Anterior]],Conceptos_Administrativa[#All],5,0),"")</f>
        <v/>
      </c>
      <c r="F1433" t="str">
        <f>+IFERROR(VLOOKUP(Fact_Administrativa[[#This Row], 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ht="18.75" customHeight="1" x14ac:dyDescent="0.35">
      <c r="C1434" s="100" t="str">
        <f>IF(OR(Fact_Administrativa[[#This Row], [Año]]="",Fact_Administrativa[[#This Row], [Mes]]=""),"",DATE(A1434,MATCH(B1434,{"enero","febrero","marzo","abril","mayo","junio","julio","agosto","septiembre","octubre","noviembre","diciembre"},0)+1,0))</f>
        <v/>
      </c>
      <c r="E1434" t="str">
        <f>+IFERROR(VLOOKUP(Fact_Administrativa[[#This Row], [Concepto Anterior]],Conceptos_Administrativa[#All],5,0),"")</f>
        <v/>
      </c>
      <c r="F1434" t="str">
        <f>+IFERROR(VLOOKUP(Fact_Administrativa[[#This Row], 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ht="18.75" customHeight="1" x14ac:dyDescent="0.35">
      <c r="C1435" s="100" t="str">
        <f>IF(OR(Fact_Administrativa[[#This Row], [Año]]="",Fact_Administrativa[[#This Row], [Mes]]=""),"",DATE(A1435,MATCH(B1435,{"enero","febrero","marzo","abril","mayo","junio","julio","agosto","septiembre","octubre","noviembre","diciembre"},0)+1,0))</f>
        <v/>
      </c>
      <c r="E1435" t="str">
        <f>+IFERROR(VLOOKUP(Fact_Administrativa[[#This Row], [Concepto Anterior]],Conceptos_Administrativa[#All],5,0),"")</f>
        <v/>
      </c>
      <c r="F1435" t="str">
        <f>+IFERROR(VLOOKUP(Fact_Administrativa[[#This Row], 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ht="18.75" customHeight="1" x14ac:dyDescent="0.35">
      <c r="C1436" s="100" t="str">
        <f>IF(OR(Fact_Administrativa[[#This Row], [Año]]="",Fact_Administrativa[[#This Row], [Mes]]=""),"",DATE(A1436,MATCH(B1436,{"enero","febrero","marzo","abril","mayo","junio","julio","agosto","septiembre","octubre","noviembre","diciembre"},0)+1,0))</f>
        <v/>
      </c>
      <c r="E1436" t="str">
        <f>+IFERROR(VLOOKUP(Fact_Administrativa[[#This Row], [Concepto Anterior]],Conceptos_Administrativa[#All],5,0),"")</f>
        <v/>
      </c>
      <c r="F1436" t="str">
        <f>+IFERROR(VLOOKUP(Fact_Administrativa[[#This Row], 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ht="18.75" customHeight="1" x14ac:dyDescent="0.35">
      <c r="C1437" s="100" t="str">
        <f>IF(OR(Fact_Administrativa[[#This Row], [Año]]="",Fact_Administrativa[[#This Row], [Mes]]=""),"",DATE(A1437,MATCH(B1437,{"enero","febrero","marzo","abril","mayo","junio","julio","agosto","septiembre","octubre","noviembre","diciembre"},0)+1,0))</f>
        <v/>
      </c>
      <c r="E1437" t="str">
        <f>+IFERROR(VLOOKUP(Fact_Administrativa[[#This Row], [Concepto Anterior]],Conceptos_Administrativa[#All],5,0),"")</f>
        <v/>
      </c>
      <c r="F1437" t="str">
        <f>+IFERROR(VLOOKUP(Fact_Administrativa[[#This Row], 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ht="18.75" customHeight="1" x14ac:dyDescent="0.35">
      <c r="C1438" s="100" t="str">
        <f>IF(OR(Fact_Administrativa[[#This Row], [Año]]="",Fact_Administrativa[[#This Row], [Mes]]=""),"",DATE(A1438,MATCH(B1438,{"enero","febrero","marzo","abril","mayo","junio","julio","agosto","septiembre","octubre","noviembre","diciembre"},0)+1,0))</f>
        <v/>
      </c>
      <c r="E1438" t="str">
        <f>+IFERROR(VLOOKUP(Fact_Administrativa[[#This Row], [Concepto Anterior]],Conceptos_Administrativa[#All],5,0),"")</f>
        <v/>
      </c>
      <c r="F1438" t="str">
        <f>+IFERROR(VLOOKUP(Fact_Administrativa[[#This Row], 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ht="18.75" customHeight="1" x14ac:dyDescent="0.35">
      <c r="C1439" s="100" t="str">
        <f>IF(OR(Fact_Administrativa[[#This Row], [Año]]="",Fact_Administrativa[[#This Row], [Mes]]=""),"",DATE(A1439,MATCH(B1439,{"enero","febrero","marzo","abril","mayo","junio","julio","agosto","septiembre","octubre","noviembre","diciembre"},0)+1,0))</f>
        <v/>
      </c>
      <c r="E1439" t="str">
        <f>+IFERROR(VLOOKUP(Fact_Administrativa[[#This Row], [Concepto Anterior]],Conceptos_Administrativa[#All],5,0),"")</f>
        <v/>
      </c>
      <c r="F1439" t="str">
        <f>+IFERROR(VLOOKUP(Fact_Administrativa[[#This Row], 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ht="18.75" customHeight="1" x14ac:dyDescent="0.35">
      <c r="C1440" s="100" t="str">
        <f>IF(OR(Fact_Administrativa[[#This Row], [Año]]="",Fact_Administrativa[[#This Row], [Mes]]=""),"",DATE(A1440,MATCH(B1440,{"enero","febrero","marzo","abril","mayo","junio","julio","agosto","septiembre","octubre","noviembre","diciembre"},0)+1,0))</f>
        <v/>
      </c>
      <c r="E1440" t="str">
        <f>+IFERROR(VLOOKUP(Fact_Administrativa[[#This Row], [Concepto Anterior]],Conceptos_Administrativa[#All],5,0),"")</f>
        <v/>
      </c>
      <c r="F1440" t="str">
        <f>+IFERROR(VLOOKUP(Fact_Administrativa[[#This Row], 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ht="18.75" customHeight="1" x14ac:dyDescent="0.35">
      <c r="C1441" s="100" t="str">
        <f>IF(OR(Fact_Administrativa[[#This Row], [Año]]="",Fact_Administrativa[[#This Row], [Mes]]=""),"",DATE(A1441,MATCH(B1441,{"enero","febrero","marzo","abril","mayo","junio","julio","agosto","septiembre","octubre","noviembre","diciembre"},0)+1,0))</f>
        <v/>
      </c>
      <c r="E1441" t="str">
        <f>+IFERROR(VLOOKUP(Fact_Administrativa[[#This Row], [Concepto Anterior]],Conceptos_Administrativa[#All],5,0),"")</f>
        <v/>
      </c>
      <c r="F1441" t="str">
        <f>+IFERROR(VLOOKUP(Fact_Administrativa[[#This Row], 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ht="18.75" customHeight="1" x14ac:dyDescent="0.35">
      <c r="C1442" s="100" t="str">
        <f>IF(OR(Fact_Administrativa[[#This Row], [Año]]="",Fact_Administrativa[[#This Row], [Mes]]=""),"",DATE(A1442,MATCH(B1442,{"enero","febrero","marzo","abril","mayo","junio","julio","agosto","septiembre","octubre","noviembre","diciembre"},0)+1,0))</f>
        <v/>
      </c>
      <c r="E1442" t="str">
        <f>+IFERROR(VLOOKUP(Fact_Administrativa[[#This Row], [Concepto Anterior]],Conceptos_Administrativa[#All],5,0),"")</f>
        <v/>
      </c>
      <c r="F1442" t="str">
        <f>+IFERROR(VLOOKUP(Fact_Administrativa[[#This Row], 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ht="18.75" customHeight="1" x14ac:dyDescent="0.35">
      <c r="C1443" s="100" t="str">
        <f>IF(OR(Fact_Administrativa[[#This Row], [Año]]="",Fact_Administrativa[[#This Row], [Mes]]=""),"",DATE(A1443,MATCH(B1443,{"enero","febrero","marzo","abril","mayo","junio","julio","agosto","septiembre","octubre","noviembre","diciembre"},0)+1,0))</f>
        <v/>
      </c>
      <c r="E1443" t="str">
        <f>+IFERROR(VLOOKUP(Fact_Administrativa[[#This Row], [Concepto Anterior]],Conceptos_Administrativa[#All],5,0),"")</f>
        <v/>
      </c>
      <c r="F1443" t="str">
        <f>+IFERROR(VLOOKUP(Fact_Administrativa[[#This Row], 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ht="18.75" customHeight="1" x14ac:dyDescent="0.35">
      <c r="C1444" s="100" t="str">
        <f>IF(OR(Fact_Administrativa[[#This Row], [Año]]="",Fact_Administrativa[[#This Row], [Mes]]=""),"",DATE(A1444,MATCH(B1444,{"enero","febrero","marzo","abril","mayo","junio","julio","agosto","septiembre","octubre","noviembre","diciembre"},0)+1,0))</f>
        <v/>
      </c>
      <c r="E1444" t="str">
        <f>+IFERROR(VLOOKUP(Fact_Administrativa[[#This Row], [Concepto Anterior]],Conceptos_Administrativa[#All],5,0),"")</f>
        <v/>
      </c>
      <c r="F1444" t="str">
        <f>+IFERROR(VLOOKUP(Fact_Administrativa[[#This Row], 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ht="18.75" customHeight="1" x14ac:dyDescent="0.35">
      <c r="C1445" s="100" t="str">
        <f>IF(OR(Fact_Administrativa[[#This Row], [Año]]="",Fact_Administrativa[[#This Row], [Mes]]=""),"",DATE(A1445,MATCH(B1445,{"enero","febrero","marzo","abril","mayo","junio","julio","agosto","septiembre","octubre","noviembre","diciembre"},0)+1,0))</f>
        <v/>
      </c>
      <c r="E1445" t="str">
        <f>+IFERROR(VLOOKUP(Fact_Administrativa[[#This Row], [Concepto Anterior]],Conceptos_Administrativa[#All],5,0),"")</f>
        <v/>
      </c>
      <c r="F1445" t="str">
        <f>+IFERROR(VLOOKUP(Fact_Administrativa[[#This Row], 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ht="18.75" customHeight="1" x14ac:dyDescent="0.35">
      <c r="C1446" s="100" t="str">
        <f>IF(OR(Fact_Administrativa[[#This Row], [Año]]="",Fact_Administrativa[[#This Row], [Mes]]=""),"",DATE(A1446,MATCH(B1446,{"enero","febrero","marzo","abril","mayo","junio","julio","agosto","septiembre","octubre","noviembre","diciembre"},0)+1,0))</f>
        <v/>
      </c>
      <c r="E1446" t="str">
        <f>+IFERROR(VLOOKUP(Fact_Administrativa[[#This Row], [Concepto Anterior]],Conceptos_Administrativa[#All],5,0),"")</f>
        <v/>
      </c>
      <c r="F1446" t="str">
        <f>+IFERROR(VLOOKUP(Fact_Administrativa[[#This Row], 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ht="18.75" customHeight="1" x14ac:dyDescent="0.35">
      <c r="C1447" s="100" t="str">
        <f>IF(OR(Fact_Administrativa[[#This Row], [Año]]="",Fact_Administrativa[[#This Row], [Mes]]=""),"",DATE(A1447,MATCH(B1447,{"enero","febrero","marzo","abril","mayo","junio","julio","agosto","septiembre","octubre","noviembre","diciembre"},0)+1,0))</f>
        <v/>
      </c>
      <c r="E1447" t="str">
        <f>+IFERROR(VLOOKUP(Fact_Administrativa[[#This Row], [Concepto Anterior]],Conceptos_Administrativa[#All],5,0),"")</f>
        <v/>
      </c>
      <c r="F1447" t="str">
        <f>+IFERROR(VLOOKUP(Fact_Administrativa[[#This Row], 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ht="18.75" customHeight="1" x14ac:dyDescent="0.35">
      <c r="C1448" s="100" t="str">
        <f>IF(OR(Fact_Administrativa[[#This Row], [Año]]="",Fact_Administrativa[[#This Row], [Mes]]=""),"",DATE(A1448,MATCH(B1448,{"enero","febrero","marzo","abril","mayo","junio","julio","agosto","septiembre","octubre","noviembre","diciembre"},0)+1,0))</f>
        <v/>
      </c>
      <c r="E1448" t="str">
        <f>+IFERROR(VLOOKUP(Fact_Administrativa[[#This Row], [Concepto Anterior]],Conceptos_Administrativa[#All],5,0),"")</f>
        <v/>
      </c>
      <c r="F1448" t="str">
        <f>+IFERROR(VLOOKUP(Fact_Administrativa[[#This Row], 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ht="18.75" customHeight="1" x14ac:dyDescent="0.35">
      <c r="C1449" s="100" t="str">
        <f>IF(OR(Fact_Administrativa[[#This Row], [Año]]="",Fact_Administrativa[[#This Row], [Mes]]=""),"",DATE(A1449,MATCH(B1449,{"enero","febrero","marzo","abril","mayo","junio","julio","agosto","septiembre","octubre","noviembre","diciembre"},0)+1,0))</f>
        <v/>
      </c>
      <c r="E1449" t="str">
        <f>+IFERROR(VLOOKUP(Fact_Administrativa[[#This Row], [Concepto Anterior]],Conceptos_Administrativa[#All],5,0),"")</f>
        <v/>
      </c>
      <c r="F1449" t="str">
        <f>+IFERROR(VLOOKUP(Fact_Administrativa[[#This Row], 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ht="18.75" customHeight="1" x14ac:dyDescent="0.35">
      <c r="C1450" s="100" t="str">
        <f>IF(OR(Fact_Administrativa[[#This Row], [Año]]="",Fact_Administrativa[[#This Row], [Mes]]=""),"",DATE(A1450,MATCH(B1450,{"enero","febrero","marzo","abril","mayo","junio","julio","agosto","septiembre","octubre","noviembre","diciembre"},0)+1,0))</f>
        <v/>
      </c>
      <c r="E1450" t="str">
        <f>+IFERROR(VLOOKUP(Fact_Administrativa[[#This Row], [Concepto Anterior]],Conceptos_Administrativa[#All],5,0),"")</f>
        <v/>
      </c>
      <c r="F1450" t="str">
        <f>+IFERROR(VLOOKUP(Fact_Administrativa[[#This Row], 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ht="18.75" customHeight="1" x14ac:dyDescent="0.35">
      <c r="C1451" s="100" t="str">
        <f>IF(OR(Fact_Administrativa[[#This Row], [Año]]="",Fact_Administrativa[[#This Row], [Mes]]=""),"",DATE(A1451,MATCH(B1451,{"enero","febrero","marzo","abril","mayo","junio","julio","agosto","septiembre","octubre","noviembre","diciembre"},0)+1,0))</f>
        <v/>
      </c>
      <c r="E1451" t="str">
        <f>+IFERROR(VLOOKUP(Fact_Administrativa[[#This Row], [Concepto Anterior]],Conceptos_Administrativa[#All],5,0),"")</f>
        <v/>
      </c>
      <c r="F1451" t="str">
        <f>+IFERROR(VLOOKUP(Fact_Administrativa[[#This Row], 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ht="18.75" customHeight="1" x14ac:dyDescent="0.35">
      <c r="C1452" s="100" t="str">
        <f>IF(OR(Fact_Administrativa[[#This Row], [Año]]="",Fact_Administrativa[[#This Row], [Mes]]=""),"",DATE(A1452,MATCH(B1452,{"enero","febrero","marzo","abril","mayo","junio","julio","agosto","septiembre","octubre","noviembre","diciembre"},0)+1,0))</f>
        <v/>
      </c>
      <c r="E1452" t="str">
        <f>+IFERROR(VLOOKUP(Fact_Administrativa[[#This Row], [Concepto Anterior]],Conceptos_Administrativa[#All],5,0),"")</f>
        <v/>
      </c>
      <c r="F1452" t="str">
        <f>+IFERROR(VLOOKUP(Fact_Administrativa[[#This Row], 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ht="18.75" customHeight="1" x14ac:dyDescent="0.35">
      <c r="C1453" s="100" t="str">
        <f>IF(OR(Fact_Administrativa[[#This Row], [Año]]="",Fact_Administrativa[[#This Row], [Mes]]=""),"",DATE(A1453,MATCH(B1453,{"enero","febrero","marzo","abril","mayo","junio","julio","agosto","septiembre","octubre","noviembre","diciembre"},0)+1,0))</f>
        <v/>
      </c>
      <c r="E1453" t="str">
        <f>+IFERROR(VLOOKUP(Fact_Administrativa[[#This Row], [Concepto Anterior]],Conceptos_Administrativa[#All],5,0),"")</f>
        <v/>
      </c>
      <c r="F1453" t="str">
        <f>+IFERROR(VLOOKUP(Fact_Administrativa[[#This Row], 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ht="18.75" customHeight="1" x14ac:dyDescent="0.35">
      <c r="C1454" s="100" t="str">
        <f>IF(OR(Fact_Administrativa[[#This Row], [Año]]="",Fact_Administrativa[[#This Row], [Mes]]=""),"",DATE(A1454,MATCH(B1454,{"enero","febrero","marzo","abril","mayo","junio","julio","agosto","septiembre","octubre","noviembre","diciembre"},0)+1,0))</f>
        <v/>
      </c>
      <c r="E1454" t="str">
        <f>+IFERROR(VLOOKUP(Fact_Administrativa[[#This Row], [Concepto Anterior]],Conceptos_Administrativa[#All],5,0),"")</f>
        <v/>
      </c>
      <c r="F1454" t="str">
        <f>+IFERROR(VLOOKUP(Fact_Administrativa[[#This Row], 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ht="18.75" customHeight="1" x14ac:dyDescent="0.35">
      <c r="C1455" s="100" t="str">
        <f>IF(OR(Fact_Administrativa[[#This Row], [Año]]="",Fact_Administrativa[[#This Row], [Mes]]=""),"",DATE(A1455,MATCH(B1455,{"enero","febrero","marzo","abril","mayo","junio","julio","agosto","septiembre","octubre","noviembre","diciembre"},0)+1,0))</f>
        <v/>
      </c>
      <c r="E1455" t="str">
        <f>+IFERROR(VLOOKUP(Fact_Administrativa[[#This Row], [Concepto Anterior]],Conceptos_Administrativa[#All],5,0),"")</f>
        <v/>
      </c>
      <c r="F1455" t="str">
        <f>+IFERROR(VLOOKUP(Fact_Administrativa[[#This Row], 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ht="18.75" customHeight="1" x14ac:dyDescent="0.35">
      <c r="C1456" s="100" t="str">
        <f>IF(OR(Fact_Administrativa[[#This Row], [Año]]="",Fact_Administrativa[[#This Row], [Mes]]=""),"",DATE(A1456,MATCH(B1456,{"enero","febrero","marzo","abril","mayo","junio","julio","agosto","septiembre","octubre","noviembre","diciembre"},0)+1,0))</f>
        <v/>
      </c>
      <c r="E1456" t="str">
        <f>+IFERROR(VLOOKUP(Fact_Administrativa[[#This Row], [Concepto Anterior]],Conceptos_Administrativa[#All],5,0),"")</f>
        <v/>
      </c>
      <c r="F1456" t="str">
        <f>+IFERROR(VLOOKUP(Fact_Administrativa[[#This Row], 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ht="18.75" customHeight="1" x14ac:dyDescent="0.35">
      <c r="C1457" s="100" t="str">
        <f>IF(OR(Fact_Administrativa[[#This Row], [Año]]="",Fact_Administrativa[[#This Row], [Mes]]=""),"",DATE(A1457,MATCH(B1457,{"enero","febrero","marzo","abril","mayo","junio","julio","agosto","septiembre","octubre","noviembre","diciembre"},0)+1,0))</f>
        <v/>
      </c>
      <c r="E1457" t="str">
        <f>+IFERROR(VLOOKUP(Fact_Administrativa[[#This Row], [Concepto Anterior]],Conceptos_Administrativa[#All],5,0),"")</f>
        <v/>
      </c>
      <c r="F1457" t="str">
        <f>+IFERROR(VLOOKUP(Fact_Administrativa[[#This Row], 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ht="18.75" customHeight="1" x14ac:dyDescent="0.35">
      <c r="C1458" s="100" t="str">
        <f>IF(OR(Fact_Administrativa[[#This Row], [Año]]="",Fact_Administrativa[[#This Row], [Mes]]=""),"",DATE(A1458,MATCH(B1458,{"enero","febrero","marzo","abril","mayo","junio","julio","agosto","septiembre","octubre","noviembre","diciembre"},0)+1,0))</f>
        <v/>
      </c>
      <c r="E1458" t="str">
        <f>+IFERROR(VLOOKUP(Fact_Administrativa[[#This Row], [Concepto Anterior]],Conceptos_Administrativa[#All],5,0),"")</f>
        <v/>
      </c>
      <c r="F1458" t="str">
        <f>+IFERROR(VLOOKUP(Fact_Administrativa[[#This Row], 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ht="18.75" customHeight="1" x14ac:dyDescent="0.35">
      <c r="C1459" s="100" t="str">
        <f>IF(OR(Fact_Administrativa[[#This Row], [Año]]="",Fact_Administrativa[[#This Row], [Mes]]=""),"",DATE(A1459,MATCH(B1459,{"enero","febrero","marzo","abril","mayo","junio","julio","agosto","septiembre","octubre","noviembre","diciembre"},0)+1,0))</f>
        <v/>
      </c>
      <c r="E1459" t="str">
        <f>+IFERROR(VLOOKUP(Fact_Administrativa[[#This Row], [Concepto Anterior]],Conceptos_Administrativa[#All],5,0),"")</f>
        <v/>
      </c>
      <c r="F1459" t="str">
        <f>+IFERROR(VLOOKUP(Fact_Administrativa[[#This Row], 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ht="18.75" customHeight="1" x14ac:dyDescent="0.35">
      <c r="C1460" s="100" t="str">
        <f>IF(OR(Fact_Administrativa[[#This Row], [Año]]="",Fact_Administrativa[[#This Row], [Mes]]=""),"",DATE(A1460,MATCH(B1460,{"enero","febrero","marzo","abril","mayo","junio","julio","agosto","septiembre","octubre","noviembre","diciembre"},0)+1,0))</f>
        <v/>
      </c>
      <c r="E1460" t="str">
        <f>+IFERROR(VLOOKUP(Fact_Administrativa[[#This Row], [Concepto Anterior]],Conceptos_Administrativa[#All],5,0),"")</f>
        <v/>
      </c>
      <c r="F1460" t="str">
        <f>+IFERROR(VLOOKUP(Fact_Administrativa[[#This Row], 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ht="18.75" customHeight="1" x14ac:dyDescent="0.35">
      <c r="C1461" s="100" t="str">
        <f>IF(OR(Fact_Administrativa[[#This Row], [Año]]="",Fact_Administrativa[[#This Row], [Mes]]=""),"",DATE(A1461,MATCH(B1461,{"enero","febrero","marzo","abril","mayo","junio","julio","agosto","septiembre","octubre","noviembre","diciembre"},0)+1,0))</f>
        <v/>
      </c>
      <c r="E1461" t="str">
        <f>+IFERROR(VLOOKUP(Fact_Administrativa[[#This Row], [Concepto Anterior]],Conceptos_Administrativa[#All],5,0),"")</f>
        <v/>
      </c>
      <c r="F1461" t="str">
        <f>+IFERROR(VLOOKUP(Fact_Administrativa[[#This Row], 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ht="18.75" customHeight="1" x14ac:dyDescent="0.35">
      <c r="C1462" s="100" t="str">
        <f>IF(OR(Fact_Administrativa[[#This Row], [Año]]="",Fact_Administrativa[[#This Row], [Mes]]=""),"",DATE(A1462,MATCH(B1462,{"enero","febrero","marzo","abril","mayo","junio","julio","agosto","septiembre","octubre","noviembre","diciembre"},0)+1,0))</f>
        <v/>
      </c>
      <c r="E1462" t="str">
        <f>+IFERROR(VLOOKUP(Fact_Administrativa[[#This Row], [Concepto Anterior]],Conceptos_Administrativa[#All],5,0),"")</f>
        <v/>
      </c>
      <c r="F1462" t="str">
        <f>+IFERROR(VLOOKUP(Fact_Administrativa[[#This Row], 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ht="18.75" customHeight="1" x14ac:dyDescent="0.35">
      <c r="C1463" s="100" t="str">
        <f>IF(OR(Fact_Administrativa[[#This Row], [Año]]="",Fact_Administrativa[[#This Row], [Mes]]=""),"",DATE(A1463,MATCH(B1463,{"enero","febrero","marzo","abril","mayo","junio","julio","agosto","septiembre","octubre","noviembre","diciembre"},0)+1,0))</f>
        <v/>
      </c>
      <c r="E1463" t="str">
        <f>+IFERROR(VLOOKUP(Fact_Administrativa[[#This Row], [Concepto Anterior]],Conceptos_Administrativa[#All],5,0),"")</f>
        <v/>
      </c>
      <c r="F1463" t="str">
        <f>+IFERROR(VLOOKUP(Fact_Administrativa[[#This Row], 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ht="18.75" customHeight="1" x14ac:dyDescent="0.35">
      <c r="C1464" s="100" t="str">
        <f>IF(OR(Fact_Administrativa[[#This Row], [Año]]="",Fact_Administrativa[[#This Row], [Mes]]=""),"",DATE(A1464,MATCH(B1464,{"enero","febrero","marzo","abril","mayo","junio","julio","agosto","septiembre","octubre","noviembre","diciembre"},0)+1,0))</f>
        <v/>
      </c>
      <c r="E1464" t="str">
        <f>+IFERROR(VLOOKUP(Fact_Administrativa[[#This Row], [Concepto Anterior]],Conceptos_Administrativa[#All],5,0),"")</f>
        <v/>
      </c>
      <c r="F1464" t="str">
        <f>+IFERROR(VLOOKUP(Fact_Administrativa[[#This Row], 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ht="18.75" customHeight="1" x14ac:dyDescent="0.35">
      <c r="C1465" s="100" t="str">
        <f>IF(OR(Fact_Administrativa[[#This Row], [Año]]="",Fact_Administrativa[[#This Row], [Mes]]=""),"",DATE(A1465,MATCH(B1465,{"enero","febrero","marzo","abril","mayo","junio","julio","agosto","septiembre","octubre","noviembre","diciembre"},0)+1,0))</f>
        <v/>
      </c>
      <c r="E1465" t="str">
        <f>+IFERROR(VLOOKUP(Fact_Administrativa[[#This Row], [Concepto Anterior]],Conceptos_Administrativa[#All],5,0),"")</f>
        <v/>
      </c>
      <c r="F1465" t="str">
        <f>+IFERROR(VLOOKUP(Fact_Administrativa[[#This Row], 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ht="18.75" customHeight="1" x14ac:dyDescent="0.35">
      <c r="C1466" s="100" t="str">
        <f>IF(OR(Fact_Administrativa[[#This Row], [Año]]="",Fact_Administrativa[[#This Row], [Mes]]=""),"",DATE(A1466,MATCH(B1466,{"enero","febrero","marzo","abril","mayo","junio","julio","agosto","septiembre","octubre","noviembre","diciembre"},0)+1,0))</f>
        <v/>
      </c>
      <c r="E1466" t="str">
        <f>+IFERROR(VLOOKUP(Fact_Administrativa[[#This Row], [Concepto Anterior]],Conceptos_Administrativa[#All],5,0),"")</f>
        <v/>
      </c>
      <c r="F1466" t="str">
        <f>+IFERROR(VLOOKUP(Fact_Administrativa[[#This Row], 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ht="18.75" customHeight="1" x14ac:dyDescent="0.35">
      <c r="C1467" s="100" t="str">
        <f>IF(OR(Fact_Administrativa[[#This Row], [Año]]="",Fact_Administrativa[[#This Row], [Mes]]=""),"",DATE(A1467,MATCH(B1467,{"enero","febrero","marzo","abril","mayo","junio","julio","agosto","septiembre","octubre","noviembre","diciembre"},0)+1,0))</f>
        <v/>
      </c>
      <c r="E1467" t="str">
        <f>+IFERROR(VLOOKUP(Fact_Administrativa[[#This Row], [Concepto Anterior]],Conceptos_Administrativa[#All],5,0),"")</f>
        <v/>
      </c>
      <c r="F1467" t="str">
        <f>+IFERROR(VLOOKUP(Fact_Administrativa[[#This Row], 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ht="18.75" customHeight="1" x14ac:dyDescent="0.35">
      <c r="C1468" s="100" t="str">
        <f>IF(OR(Fact_Administrativa[[#This Row], [Año]]="",Fact_Administrativa[[#This Row], [Mes]]=""),"",DATE(A1468,MATCH(B1468,{"enero","febrero","marzo","abril","mayo","junio","julio","agosto","septiembre","octubre","noviembre","diciembre"},0)+1,0))</f>
        <v/>
      </c>
      <c r="E1468" t="str">
        <f>+IFERROR(VLOOKUP(Fact_Administrativa[[#This Row], [Concepto Anterior]],Conceptos_Administrativa[#All],5,0),"")</f>
        <v/>
      </c>
      <c r="F1468" t="str">
        <f>+IFERROR(VLOOKUP(Fact_Administrativa[[#This Row], 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ht="18.75" customHeight="1" x14ac:dyDescent="0.35">
      <c r="C1469" s="100" t="str">
        <f>IF(OR(Fact_Administrativa[[#This Row], [Año]]="",Fact_Administrativa[[#This Row], [Mes]]=""),"",DATE(A1469,MATCH(B1469,{"enero","febrero","marzo","abril","mayo","junio","julio","agosto","septiembre","octubre","noviembre","diciembre"},0)+1,0))</f>
        <v/>
      </c>
      <c r="E1469" t="str">
        <f>+IFERROR(VLOOKUP(Fact_Administrativa[[#This Row], [Concepto Anterior]],Conceptos_Administrativa[#All],5,0),"")</f>
        <v/>
      </c>
      <c r="F1469" t="str">
        <f>+IFERROR(VLOOKUP(Fact_Administrativa[[#This Row], 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ht="18.75" customHeight="1" x14ac:dyDescent="0.35">
      <c r="C1470" s="100" t="str">
        <f>IF(OR(Fact_Administrativa[[#This Row], [Año]]="",Fact_Administrativa[[#This Row], [Mes]]=""),"",DATE(A1470,MATCH(B1470,{"enero","febrero","marzo","abril","mayo","junio","julio","agosto","septiembre","octubre","noviembre","diciembre"},0)+1,0))</f>
        <v/>
      </c>
      <c r="E1470" t="str">
        <f>+IFERROR(VLOOKUP(Fact_Administrativa[[#This Row], [Concepto Anterior]],Conceptos_Administrativa[#All],5,0),"")</f>
        <v/>
      </c>
      <c r="F1470" t="str">
        <f>+IFERROR(VLOOKUP(Fact_Administrativa[[#This Row], 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ht="18.75" customHeight="1" x14ac:dyDescent="0.35">
      <c r="C1471" s="100" t="str">
        <f>IF(OR(Fact_Administrativa[[#This Row], [Año]]="",Fact_Administrativa[[#This Row], [Mes]]=""),"",DATE(A1471,MATCH(B1471,{"enero","febrero","marzo","abril","mayo","junio","julio","agosto","septiembre","octubre","noviembre","diciembre"},0)+1,0))</f>
        <v/>
      </c>
      <c r="E1471" t="str">
        <f>+IFERROR(VLOOKUP(Fact_Administrativa[[#This Row], [Concepto Anterior]],Conceptos_Administrativa[#All],5,0),"")</f>
        <v/>
      </c>
      <c r="F1471" t="str">
        <f>+IFERROR(VLOOKUP(Fact_Administrativa[[#This Row], 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ht="18.75" customHeight="1" x14ac:dyDescent="0.35">
      <c r="C1472" s="100" t="str">
        <f>IF(OR(Fact_Administrativa[[#This Row], [Año]]="",Fact_Administrativa[[#This Row], [Mes]]=""),"",DATE(A1472,MATCH(B1472,{"enero","febrero","marzo","abril","mayo","junio","julio","agosto","septiembre","octubre","noviembre","diciembre"},0)+1,0))</f>
        <v/>
      </c>
      <c r="E1472" t="str">
        <f>+IFERROR(VLOOKUP(Fact_Administrativa[[#This Row], [Concepto Anterior]],Conceptos_Administrativa[#All],5,0),"")</f>
        <v/>
      </c>
      <c r="F1472" t="str">
        <f>+IFERROR(VLOOKUP(Fact_Administrativa[[#This Row], 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ht="18.75" customHeight="1" x14ac:dyDescent="0.35">
      <c r="C1473" s="100" t="str">
        <f>IF(OR(Fact_Administrativa[[#This Row], [Año]]="",Fact_Administrativa[[#This Row], [Mes]]=""),"",DATE(A1473,MATCH(B1473,{"enero","febrero","marzo","abril","mayo","junio","julio","agosto","septiembre","octubre","noviembre","diciembre"},0)+1,0))</f>
        <v/>
      </c>
      <c r="E1473" t="str">
        <f>+IFERROR(VLOOKUP(Fact_Administrativa[[#This Row], [Concepto Anterior]],Conceptos_Administrativa[#All],5,0),"")</f>
        <v/>
      </c>
      <c r="F1473" t="str">
        <f>+IFERROR(VLOOKUP(Fact_Administrativa[[#This Row], 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ht="18.75" customHeight="1" x14ac:dyDescent="0.35">
      <c r="C1474" s="100" t="str">
        <f>IF(OR(Fact_Administrativa[[#This Row], [Año]]="",Fact_Administrativa[[#This Row], [Mes]]=""),"",DATE(A1474,MATCH(B1474,{"enero","febrero","marzo","abril","mayo","junio","julio","agosto","septiembre","octubre","noviembre","diciembre"},0)+1,0))</f>
        <v/>
      </c>
      <c r="E1474" t="str">
        <f>+IFERROR(VLOOKUP(Fact_Administrativa[[#This Row], [Concepto Anterior]],Conceptos_Administrativa[#All],5,0),"")</f>
        <v/>
      </c>
      <c r="F1474" t="str">
        <f>+IFERROR(VLOOKUP(Fact_Administrativa[[#This Row], 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ht="18.75" customHeight="1" x14ac:dyDescent="0.35">
      <c r="C1475" s="100" t="str">
        <f>IF(OR(Fact_Administrativa[[#This Row], [Año]]="",Fact_Administrativa[[#This Row], [Mes]]=""),"",DATE(A1475,MATCH(B1475,{"enero","febrero","marzo","abril","mayo","junio","julio","agosto","septiembre","octubre","noviembre","diciembre"},0)+1,0))</f>
        <v/>
      </c>
      <c r="E1475" t="str">
        <f>+IFERROR(VLOOKUP(Fact_Administrativa[[#This Row], [Concepto Anterior]],Conceptos_Administrativa[#All],5,0),"")</f>
        <v/>
      </c>
      <c r="F1475" t="str">
        <f>+IFERROR(VLOOKUP(Fact_Administrativa[[#This Row], 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ht="18.75" customHeight="1" x14ac:dyDescent="0.35">
      <c r="C1476" s="100" t="str">
        <f>IF(OR(Fact_Administrativa[[#This Row], [Año]]="",Fact_Administrativa[[#This Row], [Mes]]=""),"",DATE(A1476,MATCH(B1476,{"enero","febrero","marzo","abril","mayo","junio","julio","agosto","septiembre","octubre","noviembre","diciembre"},0)+1,0))</f>
        <v/>
      </c>
      <c r="E1476" t="str">
        <f>+IFERROR(VLOOKUP(Fact_Administrativa[[#This Row], [Concepto Anterior]],Conceptos_Administrativa[#All],5,0),"")</f>
        <v/>
      </c>
      <c r="F1476" t="str">
        <f>+IFERROR(VLOOKUP(Fact_Administrativa[[#This Row], 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ht="18.75" customHeight="1" x14ac:dyDescent="0.35">
      <c r="C1477" s="100" t="str">
        <f>IF(OR(Fact_Administrativa[[#This Row], [Año]]="",Fact_Administrativa[[#This Row], [Mes]]=""),"",DATE(A1477,MATCH(B1477,{"enero","febrero","marzo","abril","mayo","junio","julio","agosto","septiembre","octubre","noviembre","diciembre"},0)+1,0))</f>
        <v/>
      </c>
      <c r="E1477" t="str">
        <f>+IFERROR(VLOOKUP(Fact_Administrativa[[#This Row], [Concepto Anterior]],Conceptos_Administrativa[#All],5,0),"")</f>
        <v/>
      </c>
      <c r="F1477" t="str">
        <f>+IFERROR(VLOOKUP(Fact_Administrativa[[#This Row], 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ht="18.75" customHeight="1" x14ac:dyDescent="0.35">
      <c r="C1478" s="100" t="str">
        <f>IF(OR(Fact_Administrativa[[#This Row], [Año]]="",Fact_Administrativa[[#This Row], [Mes]]=""),"",DATE(A1478,MATCH(B1478,{"enero","febrero","marzo","abril","mayo","junio","julio","agosto","septiembre","octubre","noviembre","diciembre"},0)+1,0))</f>
        <v/>
      </c>
      <c r="E1478" t="str">
        <f>+IFERROR(VLOOKUP(Fact_Administrativa[[#This Row], [Concepto Anterior]],Conceptos_Administrativa[#All],5,0),"")</f>
        <v/>
      </c>
      <c r="F1478" t="str">
        <f>+IFERROR(VLOOKUP(Fact_Administrativa[[#This Row], 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ht="18.75" customHeight="1" x14ac:dyDescent="0.35">
      <c r="C1479" s="100" t="str">
        <f>IF(OR(Fact_Administrativa[[#This Row], [Año]]="",Fact_Administrativa[[#This Row], [Mes]]=""),"",DATE(A1479,MATCH(B1479,{"enero","febrero","marzo","abril","mayo","junio","julio","agosto","septiembre","octubre","noviembre","diciembre"},0)+1,0))</f>
        <v/>
      </c>
      <c r="E1479" t="str">
        <f>+IFERROR(VLOOKUP(Fact_Administrativa[[#This Row], [Concepto Anterior]],Conceptos_Administrativa[#All],5,0),"")</f>
        <v/>
      </c>
      <c r="F1479" t="str">
        <f>+IFERROR(VLOOKUP(Fact_Administrativa[[#This Row], 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ht="18.75" customHeight="1" x14ac:dyDescent="0.35">
      <c r="C1480" s="100" t="str">
        <f>IF(OR(Fact_Administrativa[[#This Row], [Año]]="",Fact_Administrativa[[#This Row], [Mes]]=""),"",DATE(A1480,MATCH(B1480,{"enero","febrero","marzo","abril","mayo","junio","julio","agosto","septiembre","octubre","noviembre","diciembre"},0)+1,0))</f>
        <v/>
      </c>
      <c r="E1480" t="str">
        <f>+IFERROR(VLOOKUP(Fact_Administrativa[[#This Row], [Concepto Anterior]],Conceptos_Administrativa[#All],5,0),"")</f>
        <v/>
      </c>
      <c r="F1480" t="str">
        <f>+IFERROR(VLOOKUP(Fact_Administrativa[[#This Row], 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ht="18.75" customHeight="1" x14ac:dyDescent="0.35">
      <c r="C1481" s="100" t="str">
        <f>IF(OR(Fact_Administrativa[[#This Row], [Año]]="",Fact_Administrativa[[#This Row], [Mes]]=""),"",DATE(A1481,MATCH(B1481,{"enero","febrero","marzo","abril","mayo","junio","julio","agosto","septiembre","octubre","noviembre","diciembre"},0)+1,0))</f>
        <v/>
      </c>
      <c r="E1481" t="str">
        <f>+IFERROR(VLOOKUP(Fact_Administrativa[[#This Row], [Concepto Anterior]],Conceptos_Administrativa[#All],5,0),"")</f>
        <v/>
      </c>
      <c r="F1481" t="str">
        <f>+IFERROR(VLOOKUP(Fact_Administrativa[[#This Row], 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ht="18.75" customHeight="1" x14ac:dyDescent="0.35">
      <c r="C1482" s="100" t="str">
        <f>IF(OR(Fact_Administrativa[[#This Row], [Año]]="",Fact_Administrativa[[#This Row], [Mes]]=""),"",DATE(A1482,MATCH(B1482,{"enero","febrero","marzo","abril","mayo","junio","julio","agosto","septiembre","octubre","noviembre","diciembre"},0)+1,0))</f>
        <v/>
      </c>
      <c r="E1482" t="str">
        <f>+IFERROR(VLOOKUP(Fact_Administrativa[[#This Row], [Concepto Anterior]],Conceptos_Administrativa[#All],5,0),"")</f>
        <v/>
      </c>
      <c r="F1482" t="str">
        <f>+IFERROR(VLOOKUP(Fact_Administrativa[[#This Row], 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ht="18.75" customHeight="1" x14ac:dyDescent="0.35">
      <c r="C1483" s="100" t="str">
        <f>IF(OR(Fact_Administrativa[[#This Row], [Año]]="",Fact_Administrativa[[#This Row], [Mes]]=""),"",DATE(A1483,MATCH(B1483,{"enero","febrero","marzo","abril","mayo","junio","julio","agosto","septiembre","octubre","noviembre","diciembre"},0)+1,0))</f>
        <v/>
      </c>
      <c r="E1483" t="str">
        <f>+IFERROR(VLOOKUP(Fact_Administrativa[[#This Row], [Concepto Anterior]],Conceptos_Administrativa[#All],5,0),"")</f>
        <v/>
      </c>
      <c r="F1483" t="str">
        <f>+IFERROR(VLOOKUP(Fact_Administrativa[[#This Row], 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ht="18.75" customHeight="1" x14ac:dyDescent="0.35">
      <c r="C1484" s="100" t="str">
        <f>IF(OR(Fact_Administrativa[[#This Row], [Año]]="",Fact_Administrativa[[#This Row], [Mes]]=""),"",DATE(A1484,MATCH(B1484,{"enero","febrero","marzo","abril","mayo","junio","julio","agosto","septiembre","octubre","noviembre","diciembre"},0)+1,0))</f>
        <v/>
      </c>
      <c r="E1484" t="str">
        <f>+IFERROR(VLOOKUP(Fact_Administrativa[[#This Row], [Concepto Anterior]],Conceptos_Administrativa[#All],5,0),"")</f>
        <v/>
      </c>
      <c r="F1484" t="str">
        <f>+IFERROR(VLOOKUP(Fact_Administrativa[[#This Row], 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ht="18.75" customHeight="1" x14ac:dyDescent="0.35">
      <c r="C1485" s="100" t="str">
        <f>IF(OR(Fact_Administrativa[[#This Row], [Año]]="",Fact_Administrativa[[#This Row], [Mes]]=""),"",DATE(A1485,MATCH(B1485,{"enero","febrero","marzo","abril","mayo","junio","julio","agosto","septiembre","octubre","noviembre","diciembre"},0)+1,0))</f>
        <v/>
      </c>
      <c r="E1485" t="str">
        <f>+IFERROR(VLOOKUP(Fact_Administrativa[[#This Row], [Concepto Anterior]],Conceptos_Administrativa[#All],5,0),"")</f>
        <v/>
      </c>
      <c r="F1485" t="str">
        <f>+IFERROR(VLOOKUP(Fact_Administrativa[[#This Row], 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ht="18.75" customHeight="1" x14ac:dyDescent="0.35">
      <c r="C1486" s="100" t="str">
        <f>IF(OR(Fact_Administrativa[[#This Row], [Año]]="",Fact_Administrativa[[#This Row], [Mes]]=""),"",DATE(A1486,MATCH(B1486,{"enero","febrero","marzo","abril","mayo","junio","julio","agosto","septiembre","octubre","noviembre","diciembre"},0)+1,0))</f>
        <v/>
      </c>
      <c r="E1486" t="str">
        <f>+IFERROR(VLOOKUP(Fact_Administrativa[[#This Row], [Concepto Anterior]],Conceptos_Administrativa[#All],5,0),"")</f>
        <v/>
      </c>
      <c r="F1486" t="str">
        <f>+IFERROR(VLOOKUP(Fact_Administrativa[[#This Row], 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ht="18.75" customHeight="1" x14ac:dyDescent="0.35">
      <c r="C1487" s="100" t="str">
        <f>IF(OR(Fact_Administrativa[[#This Row], [Año]]="",Fact_Administrativa[[#This Row], [Mes]]=""),"",DATE(A1487,MATCH(B1487,{"enero","febrero","marzo","abril","mayo","junio","julio","agosto","septiembre","octubre","noviembre","diciembre"},0)+1,0))</f>
        <v/>
      </c>
      <c r="E1487" t="str">
        <f>+IFERROR(VLOOKUP(Fact_Administrativa[[#This Row], [Concepto Anterior]],Conceptos_Administrativa[#All],5,0),"")</f>
        <v/>
      </c>
      <c r="F1487" t="str">
        <f>+IFERROR(VLOOKUP(Fact_Administrativa[[#This Row], 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ht="18.75" customHeight="1" x14ac:dyDescent="0.35">
      <c r="C1488" s="100" t="str">
        <f>IF(OR(Fact_Administrativa[[#This Row], [Año]]="",Fact_Administrativa[[#This Row], [Mes]]=""),"",DATE(A1488,MATCH(B1488,{"enero","febrero","marzo","abril","mayo","junio","julio","agosto","septiembre","octubre","noviembre","diciembre"},0)+1,0))</f>
        <v/>
      </c>
      <c r="E1488" t="str">
        <f>+IFERROR(VLOOKUP(Fact_Administrativa[[#This Row], [Concepto Anterior]],Conceptos_Administrativa[#All],5,0),"")</f>
        <v/>
      </c>
      <c r="F1488" t="str">
        <f>+IFERROR(VLOOKUP(Fact_Administrativa[[#This Row], 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ht="18.75" customHeight="1" x14ac:dyDescent="0.35">
      <c r="C1489" s="100" t="str">
        <f>IF(OR(Fact_Administrativa[[#This Row], [Año]]="",Fact_Administrativa[[#This Row], [Mes]]=""),"",DATE(A1489,MATCH(B1489,{"enero","febrero","marzo","abril","mayo","junio","julio","agosto","septiembre","octubre","noviembre","diciembre"},0)+1,0))</f>
        <v/>
      </c>
      <c r="E1489" t="str">
        <f>+IFERROR(VLOOKUP(Fact_Administrativa[[#This Row], [Concepto Anterior]],Conceptos_Administrativa[#All],5,0),"")</f>
        <v/>
      </c>
      <c r="F1489" t="str">
        <f>+IFERROR(VLOOKUP(Fact_Administrativa[[#This Row], 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ht="18.75" customHeight="1" x14ac:dyDescent="0.35">
      <c r="C1490" s="100" t="str">
        <f>IF(OR(Fact_Administrativa[[#This Row], [Año]]="",Fact_Administrativa[[#This Row], [Mes]]=""),"",DATE(A1490,MATCH(B1490,{"enero","febrero","marzo","abril","mayo","junio","julio","agosto","septiembre","octubre","noviembre","diciembre"},0)+1,0))</f>
        <v/>
      </c>
      <c r="E1490" t="str">
        <f>+IFERROR(VLOOKUP(Fact_Administrativa[[#This Row], [Concepto Anterior]],Conceptos_Administrativa[#All],5,0),"")</f>
        <v/>
      </c>
      <c r="F1490" t="str">
        <f>+IFERROR(VLOOKUP(Fact_Administrativa[[#This Row], 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ht="18.75" customHeight="1" x14ac:dyDescent="0.35">
      <c r="C1491" s="100" t="str">
        <f>IF(OR(Fact_Administrativa[[#This Row], [Año]]="",Fact_Administrativa[[#This Row], [Mes]]=""),"",DATE(A1491,MATCH(B1491,{"enero","febrero","marzo","abril","mayo","junio","julio","agosto","septiembre","octubre","noviembre","diciembre"},0)+1,0))</f>
        <v/>
      </c>
      <c r="E1491" t="str">
        <f>+IFERROR(VLOOKUP(Fact_Administrativa[[#This Row], [Concepto Anterior]],Conceptos_Administrativa[#All],5,0),"")</f>
        <v/>
      </c>
      <c r="F1491" t="str">
        <f>+IFERROR(VLOOKUP(Fact_Administrativa[[#This Row], 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ht="18.75" customHeight="1" x14ac:dyDescent="0.35">
      <c r="C1492" s="100" t="str">
        <f>IF(OR(Fact_Administrativa[[#This Row], [Año]]="",Fact_Administrativa[[#This Row], [Mes]]=""),"",DATE(A1492,MATCH(B1492,{"enero","febrero","marzo","abril","mayo","junio","julio","agosto","septiembre","octubre","noviembre","diciembre"},0)+1,0))</f>
        <v/>
      </c>
      <c r="E1492" t="str">
        <f>+IFERROR(VLOOKUP(Fact_Administrativa[[#This Row], [Concepto Anterior]],Conceptos_Administrativa[#All],5,0),"")</f>
        <v/>
      </c>
      <c r="F1492" t="str">
        <f>+IFERROR(VLOOKUP(Fact_Administrativa[[#This Row], 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ht="18.75" customHeight="1" x14ac:dyDescent="0.35">
      <c r="C1493" s="100" t="str">
        <f>IF(OR(Fact_Administrativa[[#This Row], [Año]]="",Fact_Administrativa[[#This Row], [Mes]]=""),"",DATE(A1493,MATCH(B1493,{"enero","febrero","marzo","abril","mayo","junio","julio","agosto","septiembre","octubre","noviembre","diciembre"},0)+1,0))</f>
        <v/>
      </c>
      <c r="E1493" t="str">
        <f>+IFERROR(VLOOKUP(Fact_Administrativa[[#This Row], [Concepto Anterior]],Conceptos_Administrativa[#All],5,0),"")</f>
        <v/>
      </c>
      <c r="F1493" t="str">
        <f>+IFERROR(VLOOKUP(Fact_Administrativa[[#This Row], 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ht="18.75" customHeight="1" x14ac:dyDescent="0.35">
      <c r="C1494" s="100" t="str">
        <f>IF(OR(Fact_Administrativa[[#This Row], [Año]]="",Fact_Administrativa[[#This Row], [Mes]]=""),"",DATE(A1494,MATCH(B1494,{"enero","febrero","marzo","abril","mayo","junio","julio","agosto","septiembre","octubre","noviembre","diciembre"},0)+1,0))</f>
        <v/>
      </c>
      <c r="E1494" t="str">
        <f>+IFERROR(VLOOKUP(Fact_Administrativa[[#This Row], [Concepto Anterior]],Conceptos_Administrativa[#All],5,0),"")</f>
        <v/>
      </c>
      <c r="F1494" t="str">
        <f>+IFERROR(VLOOKUP(Fact_Administrativa[[#This Row], 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ht="18.75" customHeight="1" x14ac:dyDescent="0.35">
      <c r="C1495" s="100" t="str">
        <f>IF(OR(Fact_Administrativa[[#This Row], [Año]]="",Fact_Administrativa[[#This Row], [Mes]]=""),"",DATE(A1495,MATCH(B1495,{"enero","febrero","marzo","abril","mayo","junio","julio","agosto","septiembre","octubre","noviembre","diciembre"},0)+1,0))</f>
        <v/>
      </c>
      <c r="E1495" t="str">
        <f>+IFERROR(VLOOKUP(Fact_Administrativa[[#This Row], [Concepto Anterior]],Conceptos_Administrativa[#All],5,0),"")</f>
        <v/>
      </c>
      <c r="F1495" t="str">
        <f>+IFERROR(VLOOKUP(Fact_Administrativa[[#This Row], 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ht="18.75" customHeight="1" x14ac:dyDescent="0.35">
      <c r="C1496" s="100" t="str">
        <f>IF(OR(Fact_Administrativa[[#This Row], [Año]]="",Fact_Administrativa[[#This Row], [Mes]]=""),"",DATE(A1496,MATCH(B1496,{"enero","febrero","marzo","abril","mayo","junio","julio","agosto","septiembre","octubre","noviembre","diciembre"},0)+1,0))</f>
        <v/>
      </c>
      <c r="E1496" t="str">
        <f>+IFERROR(VLOOKUP(Fact_Administrativa[[#This Row], [Concepto Anterior]],Conceptos_Administrativa[#All],5,0),"")</f>
        <v/>
      </c>
      <c r="F1496" t="str">
        <f>+IFERROR(VLOOKUP(Fact_Administrativa[[#This Row], 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ht="18.75" customHeight="1" x14ac:dyDescent="0.35">
      <c r="C1497" s="100" t="str">
        <f>IF(OR(Fact_Administrativa[[#This Row], [Año]]="",Fact_Administrativa[[#This Row], [Mes]]=""),"",DATE(A1497,MATCH(B1497,{"enero","febrero","marzo","abril","mayo","junio","julio","agosto","septiembre","octubre","noviembre","diciembre"},0)+1,0))</f>
        <v/>
      </c>
      <c r="E1497" t="str">
        <f>+IFERROR(VLOOKUP(Fact_Administrativa[[#This Row], [Concepto Anterior]],Conceptos_Administrativa[#All],5,0),"")</f>
        <v/>
      </c>
      <c r="F1497" t="str">
        <f>+IFERROR(VLOOKUP(Fact_Administrativa[[#This Row], 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ht="18.75" customHeight="1" x14ac:dyDescent="0.35">
      <c r="C1498" s="100" t="str">
        <f>IF(OR(Fact_Administrativa[[#This Row], [Año]]="",Fact_Administrativa[[#This Row], [Mes]]=""),"",DATE(A1498,MATCH(B1498,{"enero","febrero","marzo","abril","mayo","junio","julio","agosto","septiembre","octubre","noviembre","diciembre"},0)+1,0))</f>
        <v/>
      </c>
      <c r="E1498" t="str">
        <f>+IFERROR(VLOOKUP(Fact_Administrativa[[#This Row], [Concepto Anterior]],Conceptos_Administrativa[#All],5,0),"")</f>
        <v/>
      </c>
      <c r="F1498" t="str">
        <f>+IFERROR(VLOOKUP(Fact_Administrativa[[#This Row], 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ht="18.75" customHeight="1" x14ac:dyDescent="0.35">
      <c r="C1499" s="100" t="str">
        <f>IF(OR(Fact_Administrativa[[#This Row], [Año]]="",Fact_Administrativa[[#This Row], [Mes]]=""),"",DATE(A1499,MATCH(B1499,{"enero","febrero","marzo","abril","mayo","junio","julio","agosto","septiembre","octubre","noviembre","diciembre"},0)+1,0))</f>
        <v/>
      </c>
      <c r="E1499" t="str">
        <f>+IFERROR(VLOOKUP(Fact_Administrativa[[#This Row], [Concepto Anterior]],Conceptos_Administrativa[#All],5,0),"")</f>
        <v/>
      </c>
      <c r="F1499" t="str">
        <f>+IFERROR(VLOOKUP(Fact_Administrativa[[#This Row], 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ht="18.75" customHeight="1" x14ac:dyDescent="0.35">
      <c r="C1500" s="100" t="str">
        <f>IF(OR(Fact_Administrativa[[#This Row], [Año]]="",Fact_Administrativa[[#This Row], [Mes]]=""),"",DATE(A1500,MATCH(B1500,{"enero","febrero","marzo","abril","mayo","junio","julio","agosto","septiembre","octubre","noviembre","diciembre"},0)+1,0))</f>
        <v/>
      </c>
      <c r="E1500" t="str">
        <f>+IFERROR(VLOOKUP(Fact_Administrativa[[#This Row], [Concepto Anterior]],Conceptos_Administrativa[#All],5,0),"")</f>
        <v/>
      </c>
      <c r="F1500" t="str">
        <f>+IFERROR(VLOOKUP(Fact_Administrativa[[#This Row], 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ht="18.75" customHeight="1" x14ac:dyDescent="0.35">
      <c r="C1501" s="100" t="str">
        <f>IF(OR(Fact_Administrativa[[#This Row], [Año]]="",Fact_Administrativa[[#This Row], [Mes]]=""),"",DATE(A1501,MATCH(B1501,{"enero","febrero","marzo","abril","mayo","junio","julio","agosto","septiembre","octubre","noviembre","diciembre"},0)+1,0))</f>
        <v/>
      </c>
      <c r="E1501" t="str">
        <f>+IFERROR(VLOOKUP(Fact_Administrativa[[#This Row], [Concepto Anterior]],Conceptos_Administrativa[#All],5,0),"")</f>
        <v/>
      </c>
      <c r="F1501" t="str">
        <f>+IFERROR(VLOOKUP(Fact_Administrativa[[#This Row], 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ht="18.75" customHeight="1" x14ac:dyDescent="0.35">
      <c r="C1502" s="100" t="str">
        <f>IF(OR(Fact_Administrativa[[#This Row], [Año]]="",Fact_Administrativa[[#This Row], [Mes]]=""),"",DATE(A1502,MATCH(B1502,{"enero","febrero","marzo","abril","mayo","junio","julio","agosto","septiembre","octubre","noviembre","diciembre"},0)+1,0))</f>
        <v/>
      </c>
      <c r="E1502" t="str">
        <f>+IFERROR(VLOOKUP(Fact_Administrativa[[#This Row], [Concepto Anterior]],Conceptos_Administrativa[#All],5,0),"")</f>
        <v/>
      </c>
      <c r="F1502" t="str">
        <f>+IFERROR(VLOOKUP(Fact_Administrativa[[#This Row], 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ht="18.75" customHeight="1" x14ac:dyDescent="0.35">
      <c r="C1503" s="100" t="str">
        <f>IF(OR(Fact_Administrativa[[#This Row], [Año]]="",Fact_Administrativa[[#This Row], [Mes]]=""),"",DATE(A1503,MATCH(B1503,{"enero","febrero","marzo","abril","mayo","junio","julio","agosto","septiembre","octubre","noviembre","diciembre"},0)+1,0))</f>
        <v/>
      </c>
      <c r="E1503" t="str">
        <f>+IFERROR(VLOOKUP(Fact_Administrativa[[#This Row], [Concepto Anterior]],Conceptos_Administrativa[#All],5,0),"")</f>
        <v/>
      </c>
      <c r="F1503" t="str">
        <f>+IFERROR(VLOOKUP(Fact_Administrativa[[#This Row], 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ht="18.75" customHeight="1" x14ac:dyDescent="0.35">
      <c r="C1504" s="100" t="str">
        <f>IF(OR(Fact_Administrativa[[#This Row], [Año]]="",Fact_Administrativa[[#This Row], [Mes]]=""),"",DATE(A1504,MATCH(B1504,{"enero","febrero","marzo","abril","mayo","junio","julio","agosto","septiembre","octubre","noviembre","diciembre"},0)+1,0))</f>
        <v/>
      </c>
      <c r="E1504" t="str">
        <f>+IFERROR(VLOOKUP(Fact_Administrativa[[#This Row], [Concepto Anterior]],Conceptos_Administrativa[#All],5,0),"")</f>
        <v/>
      </c>
      <c r="F1504" t="str">
        <f>+IFERROR(VLOOKUP(Fact_Administrativa[[#This Row], 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ht="18.75" customHeight="1" x14ac:dyDescent="0.35">
      <c r="C1505" s="100" t="str">
        <f>IF(OR(Fact_Administrativa[[#This Row], [Año]]="",Fact_Administrativa[[#This Row], [Mes]]=""),"",DATE(A1505,MATCH(B1505,{"enero","febrero","marzo","abril","mayo","junio","julio","agosto","septiembre","octubre","noviembre","diciembre"},0)+1,0))</f>
        <v/>
      </c>
      <c r="E1505" t="str">
        <f>+IFERROR(VLOOKUP(Fact_Administrativa[[#This Row], [Concepto Anterior]],Conceptos_Administrativa[#All],5,0),"")</f>
        <v/>
      </c>
      <c r="F1505" t="str">
        <f>+IFERROR(VLOOKUP(Fact_Administrativa[[#This Row], 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ht="18.75" customHeight="1" x14ac:dyDescent="0.35">
      <c r="C1506" s="100" t="str">
        <f>IF(OR(Fact_Administrativa[[#This Row], [Año]]="",Fact_Administrativa[[#This Row], [Mes]]=""),"",DATE(A1506,MATCH(B1506,{"enero","febrero","marzo","abril","mayo","junio","julio","agosto","septiembre","octubre","noviembre","diciembre"},0)+1,0))</f>
        <v/>
      </c>
      <c r="E1506" t="str">
        <f>+IFERROR(VLOOKUP(Fact_Administrativa[[#This Row], [Concepto Anterior]],Conceptos_Administrativa[#All],5,0),"")</f>
        <v/>
      </c>
      <c r="F1506" t="str">
        <f>+IFERROR(VLOOKUP(Fact_Administrativa[[#This Row], 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ht="18.75" customHeight="1" x14ac:dyDescent="0.35">
      <c r="C1507" s="100" t="str">
        <f>IF(OR(Fact_Administrativa[[#This Row], [Año]]="",Fact_Administrativa[[#This Row], [Mes]]=""),"",DATE(A1507,MATCH(B1507,{"enero","febrero","marzo","abril","mayo","junio","julio","agosto","septiembre","octubre","noviembre","diciembre"},0)+1,0))</f>
        <v/>
      </c>
      <c r="E1507" t="str">
        <f>+IFERROR(VLOOKUP(Fact_Administrativa[[#This Row], [Concepto Anterior]],Conceptos_Administrativa[#All],5,0),"")</f>
        <v/>
      </c>
      <c r="F1507" t="str">
        <f>+IFERROR(VLOOKUP(Fact_Administrativa[[#This Row], 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ht="18.75" customHeight="1" x14ac:dyDescent="0.35">
      <c r="C1508" s="100" t="str">
        <f>IF(OR(Fact_Administrativa[[#This Row], [Año]]="",Fact_Administrativa[[#This Row], [Mes]]=""),"",DATE(A1508,MATCH(B1508,{"enero","febrero","marzo","abril","mayo","junio","julio","agosto","septiembre","octubre","noviembre","diciembre"},0)+1,0))</f>
        <v/>
      </c>
      <c r="E1508" t="str">
        <f>+IFERROR(VLOOKUP(Fact_Administrativa[[#This Row], [Concepto Anterior]],Conceptos_Administrativa[#All],5,0),"")</f>
        <v/>
      </c>
      <c r="F1508" t="str">
        <f>+IFERROR(VLOOKUP(Fact_Administrativa[[#This Row], 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ht="18.75" customHeight="1" x14ac:dyDescent="0.35">
      <c r="C1509" s="100" t="str">
        <f>IF(OR(Fact_Administrativa[[#This Row], [Año]]="",Fact_Administrativa[[#This Row], [Mes]]=""),"",DATE(A1509,MATCH(B1509,{"enero","febrero","marzo","abril","mayo","junio","julio","agosto","septiembre","octubre","noviembre","diciembre"},0)+1,0))</f>
        <v/>
      </c>
      <c r="E1509" t="str">
        <f>+IFERROR(VLOOKUP(Fact_Administrativa[[#This Row], [Concepto Anterior]],Conceptos_Administrativa[#All],5,0),"")</f>
        <v/>
      </c>
      <c r="F1509" t="str">
        <f>+IFERROR(VLOOKUP(Fact_Administrativa[[#This Row], 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ht="18.75" customHeight="1" x14ac:dyDescent="0.35">
      <c r="C1510" s="100" t="str">
        <f>IF(OR(Fact_Administrativa[[#This Row], [Año]]="",Fact_Administrativa[[#This Row], [Mes]]=""),"",DATE(A1510,MATCH(B1510,{"enero","febrero","marzo","abril","mayo","junio","julio","agosto","septiembre","octubre","noviembre","diciembre"},0)+1,0))</f>
        <v/>
      </c>
      <c r="E1510" t="str">
        <f>+IFERROR(VLOOKUP(Fact_Administrativa[[#This Row], [Concepto Anterior]],Conceptos_Administrativa[#All],5,0),"")</f>
        <v/>
      </c>
      <c r="F1510" t="str">
        <f>+IFERROR(VLOOKUP(Fact_Administrativa[[#This Row], 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ht="18.75" customHeight="1" x14ac:dyDescent="0.35">
      <c r="C1511" s="100" t="str">
        <f>IF(OR(Fact_Administrativa[[#This Row], [Año]]="",Fact_Administrativa[[#This Row], [Mes]]=""),"",DATE(A1511,MATCH(B1511,{"enero","febrero","marzo","abril","mayo","junio","julio","agosto","septiembre","octubre","noviembre","diciembre"},0)+1,0))</f>
        <v/>
      </c>
      <c r="E1511" t="str">
        <f>+IFERROR(VLOOKUP(Fact_Administrativa[[#This Row], [Concepto Anterior]],Conceptos_Administrativa[#All],5,0),"")</f>
        <v/>
      </c>
      <c r="F1511" t="str">
        <f>+IFERROR(VLOOKUP(Fact_Administrativa[[#This Row], 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ht="18.75" customHeight="1" x14ac:dyDescent="0.35">
      <c r="C1512" s="100" t="str">
        <f>IF(OR(Fact_Administrativa[[#This Row], [Año]]="",Fact_Administrativa[[#This Row], [Mes]]=""),"",DATE(A1512,MATCH(B1512,{"enero","febrero","marzo","abril","mayo","junio","julio","agosto","septiembre","octubre","noviembre","diciembre"},0)+1,0))</f>
        <v/>
      </c>
      <c r="E1512" t="str">
        <f>+IFERROR(VLOOKUP(Fact_Administrativa[[#This Row], [Concepto Anterior]],Conceptos_Administrativa[#All],5,0),"")</f>
        <v/>
      </c>
      <c r="F1512" t="str">
        <f>+IFERROR(VLOOKUP(Fact_Administrativa[[#This Row], 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ht="18.75" customHeight="1" x14ac:dyDescent="0.35">
      <c r="C1513" s="100" t="str">
        <f>IF(OR(Fact_Administrativa[[#This Row], [Año]]="",Fact_Administrativa[[#This Row], [Mes]]=""),"",DATE(A1513,MATCH(B1513,{"enero","febrero","marzo","abril","mayo","junio","julio","agosto","septiembre","octubre","noviembre","diciembre"},0)+1,0))</f>
        <v/>
      </c>
      <c r="E1513" t="str">
        <f>+IFERROR(VLOOKUP(Fact_Administrativa[[#This Row], [Concepto Anterior]],Conceptos_Administrativa[#All],5,0),"")</f>
        <v/>
      </c>
      <c r="F1513" t="str">
        <f>+IFERROR(VLOOKUP(Fact_Administrativa[[#This Row], 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ht="18.75" customHeight="1" x14ac:dyDescent="0.35">
      <c r="C1514" s="100" t="str">
        <f>IF(OR(Fact_Administrativa[[#This Row], [Año]]="",Fact_Administrativa[[#This Row], [Mes]]=""),"",DATE(A1514,MATCH(B1514,{"enero","febrero","marzo","abril","mayo","junio","julio","agosto","septiembre","octubre","noviembre","diciembre"},0)+1,0))</f>
        <v/>
      </c>
      <c r="E1514" t="str">
        <f>+IFERROR(VLOOKUP(Fact_Administrativa[[#This Row], [Concepto Anterior]],Conceptos_Administrativa[#All],5,0),"")</f>
        <v/>
      </c>
      <c r="F1514" t="str">
        <f>+IFERROR(VLOOKUP(Fact_Administrativa[[#This Row], 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ht="18.75" customHeight="1" x14ac:dyDescent="0.35">
      <c r="C1515" s="100" t="str">
        <f>IF(OR(Fact_Administrativa[[#This Row], [Año]]="",Fact_Administrativa[[#This Row], [Mes]]=""),"",DATE(A1515,MATCH(B1515,{"enero","febrero","marzo","abril","mayo","junio","julio","agosto","septiembre","octubre","noviembre","diciembre"},0)+1,0))</f>
        <v/>
      </c>
      <c r="E1515" t="str">
        <f>+IFERROR(VLOOKUP(Fact_Administrativa[[#This Row], [Concepto Anterior]],Conceptos_Administrativa[#All],5,0),"")</f>
        <v/>
      </c>
      <c r="F1515" t="str">
        <f>+IFERROR(VLOOKUP(Fact_Administrativa[[#This Row], 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ht="18.75" customHeight="1" x14ac:dyDescent="0.35">
      <c r="C1516" s="100" t="str">
        <f>IF(OR(Fact_Administrativa[[#This Row], [Año]]="",Fact_Administrativa[[#This Row], [Mes]]=""),"",DATE(A1516,MATCH(B1516,{"enero","febrero","marzo","abril","mayo","junio","julio","agosto","septiembre","octubre","noviembre","diciembre"},0)+1,0))</f>
        <v/>
      </c>
      <c r="E1516" t="str">
        <f>+IFERROR(VLOOKUP(Fact_Administrativa[[#This Row], [Concepto Anterior]],Conceptos_Administrativa[#All],5,0),"")</f>
        <v/>
      </c>
      <c r="F1516" t="str">
        <f>+IFERROR(VLOOKUP(Fact_Administrativa[[#This Row], 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ht="18.75" customHeight="1" x14ac:dyDescent="0.35">
      <c r="C1517" s="100" t="str">
        <f>IF(OR(Fact_Administrativa[[#This Row], [Año]]="",Fact_Administrativa[[#This Row], [Mes]]=""),"",DATE(A1517,MATCH(B1517,{"enero","febrero","marzo","abril","mayo","junio","julio","agosto","septiembre","octubre","noviembre","diciembre"},0)+1,0))</f>
        <v/>
      </c>
      <c r="E1517" t="str">
        <f>+IFERROR(VLOOKUP(Fact_Administrativa[[#This Row], [Concepto Anterior]],Conceptos_Administrativa[#All],5,0),"")</f>
        <v/>
      </c>
      <c r="F1517" t="str">
        <f>+IFERROR(VLOOKUP(Fact_Administrativa[[#This Row], 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ht="18.75" customHeight="1" x14ac:dyDescent="0.35">
      <c r="C1518" s="100" t="str">
        <f>IF(OR(Fact_Administrativa[[#This Row], [Año]]="",Fact_Administrativa[[#This Row], [Mes]]=""),"",DATE(A1518,MATCH(B1518,{"enero","febrero","marzo","abril","mayo","junio","julio","agosto","septiembre","octubre","noviembre","diciembre"},0)+1,0))</f>
        <v/>
      </c>
      <c r="E1518" t="str">
        <f>+IFERROR(VLOOKUP(Fact_Administrativa[[#This Row], [Concepto Anterior]],Conceptos_Administrativa[#All],5,0),"")</f>
        <v/>
      </c>
      <c r="F1518" t="str">
        <f>+IFERROR(VLOOKUP(Fact_Administrativa[[#This Row], 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ht="18.75" customHeight="1" x14ac:dyDescent="0.35">
      <c r="C1519" s="100" t="str">
        <f>IF(OR(Fact_Administrativa[[#This Row], [Año]]="",Fact_Administrativa[[#This Row], [Mes]]=""),"",DATE(A1519,MATCH(B1519,{"enero","febrero","marzo","abril","mayo","junio","julio","agosto","septiembre","octubre","noviembre","diciembre"},0)+1,0))</f>
        <v/>
      </c>
      <c r="E1519" t="str">
        <f>+IFERROR(VLOOKUP(Fact_Administrativa[[#This Row], [Concepto Anterior]],Conceptos_Administrativa[#All],5,0),"")</f>
        <v/>
      </c>
      <c r="F1519" t="str">
        <f>+IFERROR(VLOOKUP(Fact_Administrativa[[#This Row], 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ht="18.75" customHeight="1" x14ac:dyDescent="0.35">
      <c r="C1520" s="100" t="str">
        <f>IF(OR(Fact_Administrativa[[#This Row], [Año]]="",Fact_Administrativa[[#This Row], [Mes]]=""),"",DATE(A1520,MATCH(B1520,{"enero","febrero","marzo","abril","mayo","junio","julio","agosto","septiembre","octubre","noviembre","diciembre"},0)+1,0))</f>
        <v/>
      </c>
      <c r="E1520" t="str">
        <f>+IFERROR(VLOOKUP(Fact_Administrativa[[#This Row], [Concepto Anterior]],Conceptos_Administrativa[#All],5,0),"")</f>
        <v/>
      </c>
      <c r="F1520" t="str">
        <f>+IFERROR(VLOOKUP(Fact_Administrativa[[#This Row], 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ht="18.75" customHeight="1" x14ac:dyDescent="0.35">
      <c r="C1521" s="100" t="str">
        <f>IF(OR(Fact_Administrativa[[#This Row], [Año]]="",Fact_Administrativa[[#This Row], [Mes]]=""),"",DATE(A1521,MATCH(B1521,{"enero","febrero","marzo","abril","mayo","junio","julio","agosto","septiembre","octubre","noviembre","diciembre"},0)+1,0))</f>
        <v/>
      </c>
      <c r="E1521" t="str">
        <f>+IFERROR(VLOOKUP(Fact_Administrativa[[#This Row], [Concepto Anterior]],Conceptos_Administrativa[#All],5,0),"")</f>
        <v/>
      </c>
      <c r="F1521" t="str">
        <f>+IFERROR(VLOOKUP(Fact_Administrativa[[#This Row], 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ht="18.75" customHeight="1" x14ac:dyDescent="0.35">
      <c r="C1522" s="100" t="str">
        <f>IF(OR(Fact_Administrativa[[#This Row], [Año]]="",Fact_Administrativa[[#This Row], [Mes]]=""),"",DATE(A1522,MATCH(B1522,{"enero","febrero","marzo","abril","mayo","junio","julio","agosto","septiembre","octubre","noviembre","diciembre"},0)+1,0))</f>
        <v/>
      </c>
      <c r="E1522" t="str">
        <f>+IFERROR(VLOOKUP(Fact_Administrativa[[#This Row], [Concepto Anterior]],Conceptos_Administrativa[#All],5,0),"")</f>
        <v/>
      </c>
      <c r="F1522" t="str">
        <f>+IFERROR(VLOOKUP(Fact_Administrativa[[#This Row], 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ht="18.75" customHeight="1" x14ac:dyDescent="0.35">
      <c r="C1523" s="100" t="str">
        <f>IF(OR(Fact_Administrativa[[#This Row], [Año]]="",Fact_Administrativa[[#This Row], [Mes]]=""),"",DATE(A1523,MATCH(B1523,{"enero","febrero","marzo","abril","mayo","junio","julio","agosto","septiembre","octubre","noviembre","diciembre"},0)+1,0))</f>
        <v/>
      </c>
      <c r="E1523" t="str">
        <f>+IFERROR(VLOOKUP(Fact_Administrativa[[#This Row], [Concepto Anterior]],Conceptos_Administrativa[#All],5,0),"")</f>
        <v/>
      </c>
      <c r="F1523" t="str">
        <f>+IFERROR(VLOOKUP(Fact_Administrativa[[#This Row], 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ht="18.75" customHeight="1" x14ac:dyDescent="0.35">
      <c r="C1524" s="100" t="str">
        <f>IF(OR(Fact_Administrativa[[#This Row], [Año]]="",Fact_Administrativa[[#This Row], [Mes]]=""),"",DATE(A1524,MATCH(B1524,{"enero","febrero","marzo","abril","mayo","junio","julio","agosto","septiembre","octubre","noviembre","diciembre"},0)+1,0))</f>
        <v/>
      </c>
      <c r="E1524" t="str">
        <f>+IFERROR(VLOOKUP(Fact_Administrativa[[#This Row], [Concepto Anterior]],Conceptos_Administrativa[#All],5,0),"")</f>
        <v/>
      </c>
      <c r="F1524" t="str">
        <f>+IFERROR(VLOOKUP(Fact_Administrativa[[#This Row], 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ht="18.75" customHeight="1" x14ac:dyDescent="0.35">
      <c r="C1525" s="100" t="str">
        <f>IF(OR(Fact_Administrativa[[#This Row], [Año]]="",Fact_Administrativa[[#This Row], [Mes]]=""),"",DATE(A1525,MATCH(B1525,{"enero","febrero","marzo","abril","mayo","junio","julio","agosto","septiembre","octubre","noviembre","diciembre"},0)+1,0))</f>
        <v/>
      </c>
      <c r="E1525" t="str">
        <f>+IFERROR(VLOOKUP(Fact_Administrativa[[#This Row], [Concepto Anterior]],Conceptos_Administrativa[#All],5,0),"")</f>
        <v/>
      </c>
      <c r="F1525" t="str">
        <f>+IFERROR(VLOOKUP(Fact_Administrativa[[#This Row], 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ht="18.75" customHeight="1" x14ac:dyDescent="0.35">
      <c r="C1526" s="100" t="str">
        <f>IF(OR(Fact_Administrativa[[#This Row], [Año]]="",Fact_Administrativa[[#This Row], [Mes]]=""),"",DATE(A1526,MATCH(B1526,{"enero","febrero","marzo","abril","mayo","junio","julio","agosto","septiembre","octubre","noviembre","diciembre"},0)+1,0))</f>
        <v/>
      </c>
      <c r="E1526" t="str">
        <f>+IFERROR(VLOOKUP(Fact_Administrativa[[#This Row], [Concepto Anterior]],Conceptos_Administrativa[#All],5,0),"")</f>
        <v/>
      </c>
      <c r="F1526" t="str">
        <f>+IFERROR(VLOOKUP(Fact_Administrativa[[#This Row], 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ht="18.75" customHeight="1" x14ac:dyDescent="0.35">
      <c r="C1527" s="100" t="str">
        <f>IF(OR(Fact_Administrativa[[#This Row], [Año]]="",Fact_Administrativa[[#This Row], [Mes]]=""),"",DATE(A1527,MATCH(B1527,{"enero","febrero","marzo","abril","mayo","junio","julio","agosto","septiembre","octubre","noviembre","diciembre"},0)+1,0))</f>
        <v/>
      </c>
      <c r="E1527" t="str">
        <f>+IFERROR(VLOOKUP(Fact_Administrativa[[#This Row], [Concepto Anterior]],Conceptos_Administrativa[#All],5,0),"")</f>
        <v/>
      </c>
      <c r="F1527" t="str">
        <f>+IFERROR(VLOOKUP(Fact_Administrativa[[#This Row], 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ht="18.75" customHeight="1" x14ac:dyDescent="0.35">
      <c r="C1528" s="100" t="str">
        <f>IF(OR(Fact_Administrativa[[#This Row], [Año]]="",Fact_Administrativa[[#This Row], [Mes]]=""),"",DATE(A1528,MATCH(B1528,{"enero","febrero","marzo","abril","mayo","junio","julio","agosto","septiembre","octubre","noviembre","diciembre"},0)+1,0))</f>
        <v/>
      </c>
      <c r="E1528" t="str">
        <f>+IFERROR(VLOOKUP(Fact_Administrativa[[#This Row], [Concepto Anterior]],Conceptos_Administrativa[#All],5,0),"")</f>
        <v/>
      </c>
      <c r="F1528" t="str">
        <f>+IFERROR(VLOOKUP(Fact_Administrativa[[#This Row], 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ht="18.75" customHeight="1" x14ac:dyDescent="0.35">
      <c r="C1529" s="100" t="str">
        <f>IF(OR(Fact_Administrativa[[#This Row], [Año]]="",Fact_Administrativa[[#This Row], [Mes]]=""),"",DATE(A1529,MATCH(B1529,{"enero","febrero","marzo","abril","mayo","junio","julio","agosto","septiembre","octubre","noviembre","diciembre"},0)+1,0))</f>
        <v/>
      </c>
      <c r="E1529" t="str">
        <f>+IFERROR(VLOOKUP(Fact_Administrativa[[#This Row], [Concepto Anterior]],Conceptos_Administrativa[#All],5,0),"")</f>
        <v/>
      </c>
      <c r="F1529" t="str">
        <f>+IFERROR(VLOOKUP(Fact_Administrativa[[#This Row], 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ht="18.75" customHeight="1" x14ac:dyDescent="0.35">
      <c r="C1530" s="100" t="str">
        <f>IF(OR(Fact_Administrativa[[#This Row], [Año]]="",Fact_Administrativa[[#This Row], [Mes]]=""),"",DATE(A1530,MATCH(B1530,{"enero","febrero","marzo","abril","mayo","junio","julio","agosto","septiembre","octubre","noviembre","diciembre"},0)+1,0))</f>
        <v/>
      </c>
      <c r="E1530" t="str">
        <f>+IFERROR(VLOOKUP(Fact_Administrativa[[#This Row], [Concepto Anterior]],Conceptos_Administrativa[#All],5,0),"")</f>
        <v/>
      </c>
      <c r="F1530" t="str">
        <f>+IFERROR(VLOOKUP(Fact_Administrativa[[#This Row], 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ht="18.75" customHeight="1" x14ac:dyDescent="0.35">
      <c r="C1531" s="100" t="str">
        <f>IF(OR(Fact_Administrativa[[#This Row], [Año]]="",Fact_Administrativa[[#This Row], [Mes]]=""),"",DATE(A1531,MATCH(B1531,{"enero","febrero","marzo","abril","mayo","junio","julio","agosto","septiembre","octubre","noviembre","diciembre"},0)+1,0))</f>
        <v/>
      </c>
      <c r="E1531" t="str">
        <f>+IFERROR(VLOOKUP(Fact_Administrativa[[#This Row], [Concepto Anterior]],Conceptos_Administrativa[#All],5,0),"")</f>
        <v/>
      </c>
      <c r="F1531" t="str">
        <f>+IFERROR(VLOOKUP(Fact_Administrativa[[#This Row], 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ht="18.75" customHeight="1" x14ac:dyDescent="0.35">
      <c r="C1532" s="100" t="str">
        <f>IF(OR(Fact_Administrativa[[#This Row], [Año]]="",Fact_Administrativa[[#This Row], [Mes]]=""),"",DATE(A1532,MATCH(B1532,{"enero","febrero","marzo","abril","mayo","junio","julio","agosto","septiembre","octubre","noviembre","diciembre"},0)+1,0))</f>
        <v/>
      </c>
      <c r="E1532" t="str">
        <f>+IFERROR(VLOOKUP(Fact_Administrativa[[#This Row], [Concepto Anterior]],Conceptos_Administrativa[#All],5,0),"")</f>
        <v/>
      </c>
      <c r="F1532" t="str">
        <f>+IFERROR(VLOOKUP(Fact_Administrativa[[#This Row], 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ht="18.75" customHeight="1" x14ac:dyDescent="0.35">
      <c r="C1533" s="100" t="str">
        <f>IF(OR(Fact_Administrativa[[#This Row], [Año]]="",Fact_Administrativa[[#This Row], [Mes]]=""),"",DATE(A1533,MATCH(B1533,{"enero","febrero","marzo","abril","mayo","junio","julio","agosto","septiembre","octubre","noviembre","diciembre"},0)+1,0))</f>
        <v/>
      </c>
      <c r="E1533" t="str">
        <f>+IFERROR(VLOOKUP(Fact_Administrativa[[#This Row], [Concepto Anterior]],Conceptos_Administrativa[#All],5,0),"")</f>
        <v/>
      </c>
      <c r="F1533" t="str">
        <f>+IFERROR(VLOOKUP(Fact_Administrativa[[#This Row], 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ht="18.75" customHeight="1" x14ac:dyDescent="0.35">
      <c r="C1534" s="100" t="str">
        <f>IF(OR(Fact_Administrativa[[#This Row], [Año]]="",Fact_Administrativa[[#This Row], [Mes]]=""),"",DATE(A1534,MATCH(B1534,{"enero","febrero","marzo","abril","mayo","junio","julio","agosto","septiembre","octubre","noviembre","diciembre"},0)+1,0))</f>
        <v/>
      </c>
      <c r="E1534" t="str">
        <f>+IFERROR(VLOOKUP(Fact_Administrativa[[#This Row], [Concepto Anterior]],Conceptos_Administrativa[#All],5,0),"")</f>
        <v/>
      </c>
      <c r="F1534" t="str">
        <f>+IFERROR(VLOOKUP(Fact_Administrativa[[#This Row], 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ht="18.75" customHeight="1" x14ac:dyDescent="0.35">
      <c r="C1535" s="100" t="str">
        <f>IF(OR(Fact_Administrativa[[#This Row], [Año]]="",Fact_Administrativa[[#This Row], [Mes]]=""),"",DATE(A1535,MATCH(B1535,{"enero","febrero","marzo","abril","mayo","junio","julio","agosto","septiembre","octubre","noviembre","diciembre"},0)+1,0))</f>
        <v/>
      </c>
      <c r="E1535" t="str">
        <f>+IFERROR(VLOOKUP(Fact_Administrativa[[#This Row], [Concepto Anterior]],Conceptos_Administrativa[#All],5,0),"")</f>
        <v/>
      </c>
      <c r="F1535" t="str">
        <f>+IFERROR(VLOOKUP(Fact_Administrativa[[#This Row], 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ht="18.75" customHeight="1" x14ac:dyDescent="0.35">
      <c r="C1536" s="100" t="str">
        <f>IF(OR(Fact_Administrativa[[#This Row], [Año]]="",Fact_Administrativa[[#This Row], [Mes]]=""),"",DATE(A1536,MATCH(B1536,{"enero","febrero","marzo","abril","mayo","junio","julio","agosto","septiembre","octubre","noviembre","diciembre"},0)+1,0))</f>
        <v/>
      </c>
      <c r="E1536" t="str">
        <f>+IFERROR(VLOOKUP(Fact_Administrativa[[#This Row], [Concepto Anterior]],Conceptos_Administrativa[#All],5,0),"")</f>
        <v/>
      </c>
      <c r="F1536" t="str">
        <f>+IFERROR(VLOOKUP(Fact_Administrativa[[#This Row], 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ht="18.75" customHeight="1" x14ac:dyDescent="0.35">
      <c r="C1537" s="100" t="str">
        <f>IF(OR(Fact_Administrativa[[#This Row], [Año]]="",Fact_Administrativa[[#This Row], [Mes]]=""),"",DATE(A1537,MATCH(B1537,{"enero","febrero","marzo","abril","mayo","junio","julio","agosto","septiembre","octubre","noviembre","diciembre"},0)+1,0))</f>
        <v/>
      </c>
      <c r="E1537" t="str">
        <f>+IFERROR(VLOOKUP(Fact_Administrativa[[#This Row], [Concepto Anterior]],Conceptos_Administrativa[#All],5,0),"")</f>
        <v/>
      </c>
      <c r="F1537" t="str">
        <f>+IFERROR(VLOOKUP(Fact_Administrativa[[#This Row], 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ht="18.75" customHeight="1" x14ac:dyDescent="0.35">
      <c r="C1538" s="100" t="str">
        <f>IF(OR(Fact_Administrativa[[#This Row], [Año]]="",Fact_Administrativa[[#This Row], [Mes]]=""),"",DATE(A1538,MATCH(B1538,{"enero","febrero","marzo","abril","mayo","junio","julio","agosto","septiembre","octubre","noviembre","diciembre"},0)+1,0))</f>
        <v/>
      </c>
      <c r="E1538" t="str">
        <f>+IFERROR(VLOOKUP(Fact_Administrativa[[#This Row], [Concepto Anterior]],Conceptos_Administrativa[#All],5,0),"")</f>
        <v/>
      </c>
      <c r="F1538" t="str">
        <f>+IFERROR(VLOOKUP(Fact_Administrativa[[#This Row], 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ht="18.75" customHeight="1" x14ac:dyDescent="0.35">
      <c r="C1539" s="100" t="str">
        <f>IF(OR(Fact_Administrativa[[#This Row], [Año]]="",Fact_Administrativa[[#This Row], [Mes]]=""),"",DATE(A1539,MATCH(B1539,{"enero","febrero","marzo","abril","mayo","junio","julio","agosto","septiembre","octubre","noviembre","diciembre"},0)+1,0))</f>
        <v/>
      </c>
      <c r="E1539" t="str">
        <f>+IFERROR(VLOOKUP(Fact_Administrativa[[#This Row], [Concepto Anterior]],Conceptos_Administrativa[#All],5,0),"")</f>
        <v/>
      </c>
      <c r="F1539" t="str">
        <f>+IFERROR(VLOOKUP(Fact_Administrativa[[#This Row], 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ht="18.75" customHeight="1" x14ac:dyDescent="0.35">
      <c r="C1540" s="100" t="str">
        <f>IF(OR(Fact_Administrativa[[#This Row], [Año]]="",Fact_Administrativa[[#This Row], [Mes]]=""),"",DATE(A1540,MATCH(B1540,{"enero","febrero","marzo","abril","mayo","junio","julio","agosto","septiembre","octubre","noviembre","diciembre"},0)+1,0))</f>
        <v/>
      </c>
      <c r="E1540" t="str">
        <f>+IFERROR(VLOOKUP(Fact_Administrativa[[#This Row], [Concepto Anterior]],Conceptos_Administrativa[#All],5,0),"")</f>
        <v/>
      </c>
      <c r="F1540" t="str">
        <f>+IFERROR(VLOOKUP(Fact_Administrativa[[#This Row], 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ht="18.75" customHeight="1" x14ac:dyDescent="0.35">
      <c r="C1541" s="100" t="str">
        <f>IF(OR(Fact_Administrativa[[#This Row], [Año]]="",Fact_Administrativa[[#This Row], [Mes]]=""),"",DATE(A1541,MATCH(B1541,{"enero","febrero","marzo","abril","mayo","junio","julio","agosto","septiembre","octubre","noviembre","diciembre"},0)+1,0))</f>
        <v/>
      </c>
      <c r="E1541" t="str">
        <f>+IFERROR(VLOOKUP(Fact_Administrativa[[#This Row], [Concepto Anterior]],Conceptos_Administrativa[#All],5,0),"")</f>
        <v/>
      </c>
      <c r="F1541" t="str">
        <f>+IFERROR(VLOOKUP(Fact_Administrativa[[#This Row], 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ht="18.75" customHeight="1" x14ac:dyDescent="0.35">
      <c r="C1542" s="100" t="str">
        <f>IF(OR(Fact_Administrativa[[#This Row], [Año]]="",Fact_Administrativa[[#This Row], [Mes]]=""),"",DATE(A1542,MATCH(B1542,{"enero","febrero","marzo","abril","mayo","junio","julio","agosto","septiembre","octubre","noviembre","diciembre"},0)+1,0))</f>
        <v/>
      </c>
      <c r="E1542" t="str">
        <f>+IFERROR(VLOOKUP(Fact_Administrativa[[#This Row], [Concepto Anterior]],Conceptos_Administrativa[#All],5,0),"")</f>
        <v/>
      </c>
      <c r="F1542" t="str">
        <f>+IFERROR(VLOOKUP(Fact_Administrativa[[#This Row], 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ht="18.75" customHeight="1" x14ac:dyDescent="0.35">
      <c r="C1543" s="100" t="str">
        <f>IF(OR(Fact_Administrativa[[#This Row], [Año]]="",Fact_Administrativa[[#This Row], [Mes]]=""),"",DATE(A1543,MATCH(B1543,{"enero","febrero","marzo","abril","mayo","junio","julio","agosto","septiembre","octubre","noviembre","diciembre"},0)+1,0))</f>
        <v/>
      </c>
      <c r="E1543" t="str">
        <f>+IFERROR(VLOOKUP(Fact_Administrativa[[#This Row], [Concepto Anterior]],Conceptos_Administrativa[#All],5,0),"")</f>
        <v/>
      </c>
      <c r="F1543" t="str">
        <f>+IFERROR(VLOOKUP(Fact_Administrativa[[#This Row], 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ht="18.75" customHeight="1" x14ac:dyDescent="0.35">
      <c r="C1544" s="100" t="str">
        <f>IF(OR(Fact_Administrativa[[#This Row], [Año]]="",Fact_Administrativa[[#This Row], [Mes]]=""),"",DATE(A1544,MATCH(B1544,{"enero","febrero","marzo","abril","mayo","junio","julio","agosto","septiembre","octubre","noviembre","diciembre"},0)+1,0))</f>
        <v/>
      </c>
      <c r="E1544" t="str">
        <f>+IFERROR(VLOOKUP(Fact_Administrativa[[#This Row], [Concepto Anterior]],Conceptos_Administrativa[#All],5,0),"")</f>
        <v/>
      </c>
      <c r="F1544" t="str">
        <f>+IFERROR(VLOOKUP(Fact_Administrativa[[#This Row], 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ht="18.75" customHeight="1" x14ac:dyDescent="0.35">
      <c r="C1545" s="100" t="str">
        <f>IF(OR(Fact_Administrativa[[#This Row], [Año]]="",Fact_Administrativa[[#This Row], [Mes]]=""),"",DATE(A1545,MATCH(B1545,{"enero","febrero","marzo","abril","mayo","junio","julio","agosto","septiembre","octubre","noviembre","diciembre"},0)+1,0))</f>
        <v/>
      </c>
      <c r="E1545" t="str">
        <f>+IFERROR(VLOOKUP(Fact_Administrativa[[#This Row], [Concepto Anterior]],Conceptos_Administrativa[#All],5,0),"")</f>
        <v/>
      </c>
      <c r="F1545" t="str">
        <f>+IFERROR(VLOOKUP(Fact_Administrativa[[#This Row], 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ht="18.75" customHeight="1" x14ac:dyDescent="0.35">
      <c r="C1546" s="100" t="str">
        <f>IF(OR(Fact_Administrativa[[#This Row], [Año]]="",Fact_Administrativa[[#This Row], [Mes]]=""),"",DATE(A1546,MATCH(B1546,{"enero","febrero","marzo","abril","mayo","junio","julio","agosto","septiembre","octubre","noviembre","diciembre"},0)+1,0))</f>
        <v/>
      </c>
      <c r="E1546" t="str">
        <f>+IFERROR(VLOOKUP(Fact_Administrativa[[#This Row], [Concepto Anterior]],Conceptos_Administrativa[#All],5,0),"")</f>
        <v/>
      </c>
      <c r="F1546" t="str">
        <f>+IFERROR(VLOOKUP(Fact_Administrativa[[#This Row], 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ht="18.75" customHeight="1" x14ac:dyDescent="0.35">
      <c r="C1547" s="100" t="str">
        <f>IF(OR(Fact_Administrativa[[#This Row], [Año]]="",Fact_Administrativa[[#This Row], [Mes]]=""),"",DATE(A1547,MATCH(B1547,{"enero","febrero","marzo","abril","mayo","junio","julio","agosto","septiembre","octubre","noviembre","diciembre"},0)+1,0))</f>
        <v/>
      </c>
      <c r="E1547" t="str">
        <f>+IFERROR(VLOOKUP(Fact_Administrativa[[#This Row], [Concepto Anterior]],Conceptos_Administrativa[#All],5,0),"")</f>
        <v/>
      </c>
      <c r="F1547" t="str">
        <f>+IFERROR(VLOOKUP(Fact_Administrativa[[#This Row], 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ht="18.75" customHeight="1" x14ac:dyDescent="0.35">
      <c r="C1548" s="100" t="str">
        <f>IF(OR(Fact_Administrativa[[#This Row], [Año]]="",Fact_Administrativa[[#This Row], [Mes]]=""),"",DATE(A1548,MATCH(B1548,{"enero","febrero","marzo","abril","mayo","junio","julio","agosto","septiembre","octubre","noviembre","diciembre"},0)+1,0))</f>
        <v/>
      </c>
      <c r="E1548" t="str">
        <f>+IFERROR(VLOOKUP(Fact_Administrativa[[#This Row], [Concepto Anterior]],Conceptos_Administrativa[#All],5,0),"")</f>
        <v/>
      </c>
      <c r="F1548" t="str">
        <f>+IFERROR(VLOOKUP(Fact_Administrativa[[#This Row], 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ht="18.75" customHeight="1" x14ac:dyDescent="0.35">
      <c r="C1549" s="100" t="str">
        <f>IF(OR(Fact_Administrativa[[#This Row], [Año]]="",Fact_Administrativa[[#This Row], [Mes]]=""),"",DATE(A1549,MATCH(B1549,{"enero","febrero","marzo","abril","mayo","junio","julio","agosto","septiembre","octubre","noviembre","diciembre"},0)+1,0))</f>
        <v/>
      </c>
      <c r="E1549" t="str">
        <f>+IFERROR(VLOOKUP(Fact_Administrativa[[#This Row], [Concepto Anterior]],Conceptos_Administrativa[#All],5,0),"")</f>
        <v/>
      </c>
      <c r="F1549" t="str">
        <f>+IFERROR(VLOOKUP(Fact_Administrativa[[#This Row], 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ht="18.75" customHeight="1" x14ac:dyDescent="0.35">
      <c r="C1550" s="100" t="str">
        <f>IF(OR(Fact_Administrativa[[#This Row], [Año]]="",Fact_Administrativa[[#This Row], [Mes]]=""),"",DATE(A1550,MATCH(B1550,{"enero","febrero","marzo","abril","mayo","junio","julio","agosto","septiembre","octubre","noviembre","diciembre"},0)+1,0))</f>
        <v/>
      </c>
      <c r="E1550" t="str">
        <f>+IFERROR(VLOOKUP(Fact_Administrativa[[#This Row], [Concepto Anterior]],Conceptos_Administrativa[#All],5,0),"")</f>
        <v/>
      </c>
      <c r="F1550" t="str">
        <f>+IFERROR(VLOOKUP(Fact_Administrativa[[#This Row], 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ht="18.75" customHeight="1" x14ac:dyDescent="0.35">
      <c r="C1551" s="100" t="str">
        <f>IF(OR(Fact_Administrativa[[#This Row], [Año]]="",Fact_Administrativa[[#This Row], [Mes]]=""),"",DATE(A1551,MATCH(B1551,{"enero","febrero","marzo","abril","mayo","junio","julio","agosto","septiembre","octubre","noviembre","diciembre"},0)+1,0))</f>
        <v/>
      </c>
      <c r="E1551" t="str">
        <f>+IFERROR(VLOOKUP(Fact_Administrativa[[#This Row], [Concepto Anterior]],Conceptos_Administrativa[#All],5,0),"")</f>
        <v/>
      </c>
      <c r="F1551" t="str">
        <f>+IFERROR(VLOOKUP(Fact_Administrativa[[#This Row], 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ht="18.75" customHeight="1" x14ac:dyDescent="0.35">
      <c r="C1552" s="100" t="str">
        <f>IF(OR(Fact_Administrativa[[#This Row], [Año]]="",Fact_Administrativa[[#This Row], [Mes]]=""),"",DATE(A1552,MATCH(B1552,{"enero","febrero","marzo","abril","mayo","junio","julio","agosto","septiembre","octubre","noviembre","diciembre"},0)+1,0))</f>
        <v/>
      </c>
      <c r="E1552" t="str">
        <f>+IFERROR(VLOOKUP(Fact_Administrativa[[#This Row], [Concepto Anterior]],Conceptos_Administrativa[#All],5,0),"")</f>
        <v/>
      </c>
      <c r="F1552" t="str">
        <f>+IFERROR(VLOOKUP(Fact_Administrativa[[#This Row], 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ht="18.75" customHeight="1" x14ac:dyDescent="0.35">
      <c r="C1553" s="100" t="str">
        <f>IF(OR(Fact_Administrativa[[#This Row], [Año]]="",Fact_Administrativa[[#This Row], [Mes]]=""),"",DATE(A1553,MATCH(B1553,{"enero","febrero","marzo","abril","mayo","junio","julio","agosto","septiembre","octubre","noviembre","diciembre"},0)+1,0))</f>
        <v/>
      </c>
      <c r="E1553" t="str">
        <f>+IFERROR(VLOOKUP(Fact_Administrativa[[#This Row], [Concepto Anterior]],Conceptos_Administrativa[#All],5,0),"")</f>
        <v/>
      </c>
      <c r="F1553" t="str">
        <f>+IFERROR(VLOOKUP(Fact_Administrativa[[#This Row], 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ht="18.75" customHeight="1" x14ac:dyDescent="0.35">
      <c r="C1554" s="100" t="str">
        <f>IF(OR(Fact_Administrativa[[#This Row], [Año]]="",Fact_Administrativa[[#This Row], [Mes]]=""),"",DATE(A1554,MATCH(B1554,{"enero","febrero","marzo","abril","mayo","junio","julio","agosto","septiembre","octubre","noviembre","diciembre"},0)+1,0))</f>
        <v/>
      </c>
      <c r="E1554" t="str">
        <f>+IFERROR(VLOOKUP(Fact_Administrativa[[#This Row], [Concepto Anterior]],Conceptos_Administrativa[#All],5,0),"")</f>
        <v/>
      </c>
      <c r="F1554" t="str">
        <f>+IFERROR(VLOOKUP(Fact_Administrativa[[#This Row], 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ht="18.75" customHeight="1" x14ac:dyDescent="0.35">
      <c r="C1555" s="100" t="str">
        <f>IF(OR(Fact_Administrativa[[#This Row], [Año]]="",Fact_Administrativa[[#This Row], [Mes]]=""),"",DATE(A1555,MATCH(B1555,{"enero","febrero","marzo","abril","mayo","junio","julio","agosto","septiembre","octubre","noviembre","diciembre"},0)+1,0))</f>
        <v/>
      </c>
      <c r="E1555" t="str">
        <f>+IFERROR(VLOOKUP(Fact_Administrativa[[#This Row], [Concepto Anterior]],Conceptos_Administrativa[#All],5,0),"")</f>
        <v/>
      </c>
      <c r="F1555" t="str">
        <f>+IFERROR(VLOOKUP(Fact_Administrativa[[#This Row], 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ht="18.75" customHeight="1" x14ac:dyDescent="0.35">
      <c r="C1556" s="100" t="str">
        <f>IF(OR(Fact_Administrativa[[#This Row], [Año]]="",Fact_Administrativa[[#This Row], [Mes]]=""),"",DATE(A1556,MATCH(B1556,{"enero","febrero","marzo","abril","mayo","junio","julio","agosto","septiembre","octubre","noviembre","diciembre"},0)+1,0))</f>
        <v/>
      </c>
      <c r="E1556" t="str">
        <f>+IFERROR(VLOOKUP(Fact_Administrativa[[#This Row], [Concepto Anterior]],Conceptos_Administrativa[#All],5,0),"")</f>
        <v/>
      </c>
      <c r="F1556" t="str">
        <f>+IFERROR(VLOOKUP(Fact_Administrativa[[#This Row], 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ht="18.75" customHeight="1" x14ac:dyDescent="0.35">
      <c r="C1557" s="100" t="str">
        <f>IF(OR(Fact_Administrativa[[#This Row], [Año]]="",Fact_Administrativa[[#This Row], [Mes]]=""),"",DATE(A1557,MATCH(B1557,{"enero","febrero","marzo","abril","mayo","junio","julio","agosto","septiembre","octubre","noviembre","diciembre"},0)+1,0))</f>
        <v/>
      </c>
      <c r="E1557" t="str">
        <f>+IFERROR(VLOOKUP(Fact_Administrativa[[#This Row], [Concepto Anterior]],Conceptos_Administrativa[#All],5,0),"")</f>
        <v/>
      </c>
      <c r="F1557" t="str">
        <f>+IFERROR(VLOOKUP(Fact_Administrativa[[#This Row], 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ht="18.75" customHeight="1" x14ac:dyDescent="0.35">
      <c r="C1558" s="100" t="str">
        <f>IF(OR(Fact_Administrativa[[#This Row], [Año]]="",Fact_Administrativa[[#This Row], [Mes]]=""),"",DATE(A1558,MATCH(B1558,{"enero","febrero","marzo","abril","mayo","junio","julio","agosto","septiembre","octubre","noviembre","diciembre"},0)+1,0))</f>
        <v/>
      </c>
      <c r="E1558" t="str">
        <f>+IFERROR(VLOOKUP(Fact_Administrativa[[#This Row], [Concepto Anterior]],Conceptos_Administrativa[#All],5,0),"")</f>
        <v/>
      </c>
      <c r="F1558" t="str">
        <f>+IFERROR(VLOOKUP(Fact_Administrativa[[#This Row], 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ht="18.75" customHeight="1" x14ac:dyDescent="0.35">
      <c r="C1559" s="100" t="str">
        <f>IF(OR(Fact_Administrativa[[#This Row], [Año]]="",Fact_Administrativa[[#This Row], [Mes]]=""),"",DATE(A1559,MATCH(B1559,{"enero","febrero","marzo","abril","mayo","junio","julio","agosto","septiembre","octubre","noviembre","diciembre"},0)+1,0))</f>
        <v/>
      </c>
      <c r="E1559" t="str">
        <f>+IFERROR(VLOOKUP(Fact_Administrativa[[#This Row], [Concepto Anterior]],Conceptos_Administrativa[#All],5,0),"")</f>
        <v/>
      </c>
      <c r="F1559" t="str">
        <f>+IFERROR(VLOOKUP(Fact_Administrativa[[#This Row], 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ht="18.75" customHeight="1" x14ac:dyDescent="0.35">
      <c r="C1560" s="100" t="str">
        <f>IF(OR(Fact_Administrativa[[#This Row], [Año]]="",Fact_Administrativa[[#This Row], [Mes]]=""),"",DATE(A1560,MATCH(B1560,{"enero","febrero","marzo","abril","mayo","junio","julio","agosto","septiembre","octubre","noviembre","diciembre"},0)+1,0))</f>
        <v/>
      </c>
      <c r="E1560" t="str">
        <f>+IFERROR(VLOOKUP(Fact_Administrativa[[#This Row], [Concepto Anterior]],Conceptos_Administrativa[#All],5,0),"")</f>
        <v/>
      </c>
      <c r="F1560" t="str">
        <f>+IFERROR(VLOOKUP(Fact_Administrativa[[#This Row], 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ht="18.75" customHeight="1" x14ac:dyDescent="0.35">
      <c r="C1561" s="100" t="str">
        <f>IF(OR(Fact_Administrativa[[#This Row], [Año]]="",Fact_Administrativa[[#This Row], [Mes]]=""),"",DATE(A1561,MATCH(B1561,{"enero","febrero","marzo","abril","mayo","junio","julio","agosto","septiembre","octubre","noviembre","diciembre"},0)+1,0))</f>
        <v/>
      </c>
      <c r="E1561" t="str">
        <f>+IFERROR(VLOOKUP(Fact_Administrativa[[#This Row], [Concepto Anterior]],Conceptos_Administrativa[#All],5,0),"")</f>
        <v/>
      </c>
      <c r="F1561" t="str">
        <f>+IFERROR(VLOOKUP(Fact_Administrativa[[#This Row], 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ht="18.75" customHeight="1" x14ac:dyDescent="0.35">
      <c r="C1562" s="100" t="str">
        <f>IF(OR(Fact_Administrativa[[#This Row], [Año]]="",Fact_Administrativa[[#This Row], [Mes]]=""),"",DATE(A1562,MATCH(B1562,{"enero","febrero","marzo","abril","mayo","junio","julio","agosto","septiembre","octubre","noviembre","diciembre"},0)+1,0))</f>
        <v/>
      </c>
      <c r="E1562" t="str">
        <f>+IFERROR(VLOOKUP(Fact_Administrativa[[#This Row], [Concepto Anterior]],Conceptos_Administrativa[#All],5,0),"")</f>
        <v/>
      </c>
      <c r="F1562" t="str">
        <f>+IFERROR(VLOOKUP(Fact_Administrativa[[#This Row], 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ht="18.75" customHeight="1" x14ac:dyDescent="0.35">
      <c r="C1563" s="100" t="str">
        <f>IF(OR(Fact_Administrativa[[#This Row], [Año]]="",Fact_Administrativa[[#This Row], [Mes]]=""),"",DATE(A1563,MATCH(B1563,{"enero","febrero","marzo","abril","mayo","junio","julio","agosto","septiembre","octubre","noviembre","diciembre"},0)+1,0))</f>
        <v/>
      </c>
      <c r="E1563" t="str">
        <f>+IFERROR(VLOOKUP(Fact_Administrativa[[#This Row], [Concepto Anterior]],Conceptos_Administrativa[#All],5,0),"")</f>
        <v/>
      </c>
      <c r="F1563" t="str">
        <f>+IFERROR(VLOOKUP(Fact_Administrativa[[#This Row], 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ht="18.75" customHeight="1" x14ac:dyDescent="0.35">
      <c r="C1564" s="100" t="str">
        <f>IF(OR(Fact_Administrativa[[#This Row], [Año]]="",Fact_Administrativa[[#This Row], [Mes]]=""),"",DATE(A1564,MATCH(B1564,{"enero","febrero","marzo","abril","mayo","junio","julio","agosto","septiembre","octubre","noviembre","diciembre"},0)+1,0))</f>
        <v/>
      </c>
      <c r="E1564" t="str">
        <f>+IFERROR(VLOOKUP(Fact_Administrativa[[#This Row], [Concepto Anterior]],Conceptos_Administrativa[#All],5,0),"")</f>
        <v/>
      </c>
      <c r="F1564" t="str">
        <f>+IFERROR(VLOOKUP(Fact_Administrativa[[#This Row], 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ht="18.75" customHeight="1" x14ac:dyDescent="0.35">
      <c r="C1565" s="100" t="str">
        <f>IF(OR(Fact_Administrativa[[#This Row], [Año]]="",Fact_Administrativa[[#This Row], [Mes]]=""),"",DATE(A1565,MATCH(B1565,{"enero","febrero","marzo","abril","mayo","junio","julio","agosto","septiembre","octubre","noviembre","diciembre"},0)+1,0))</f>
        <v/>
      </c>
      <c r="E1565" t="str">
        <f>+IFERROR(VLOOKUP(Fact_Administrativa[[#This Row], [Concepto Anterior]],Conceptos_Administrativa[#All],5,0),"")</f>
        <v/>
      </c>
      <c r="F1565" t="str">
        <f>+IFERROR(VLOOKUP(Fact_Administrativa[[#This Row], 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ht="18.75" customHeight="1" x14ac:dyDescent="0.35">
      <c r="C1566" s="100" t="str">
        <f>IF(OR(Fact_Administrativa[[#This Row], [Año]]="",Fact_Administrativa[[#This Row], [Mes]]=""),"",DATE(A1566,MATCH(B1566,{"enero","febrero","marzo","abril","mayo","junio","julio","agosto","septiembre","octubre","noviembre","diciembre"},0)+1,0))</f>
        <v/>
      </c>
      <c r="E1566" t="str">
        <f>+IFERROR(VLOOKUP(Fact_Administrativa[[#This Row], [Concepto Anterior]],Conceptos_Administrativa[#All],5,0),"")</f>
        <v/>
      </c>
      <c r="F1566" t="str">
        <f>+IFERROR(VLOOKUP(Fact_Administrativa[[#This Row], 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ht="18.75" customHeight="1" x14ac:dyDescent="0.35">
      <c r="C1567" s="100" t="str">
        <f>IF(OR(Fact_Administrativa[[#This Row], [Año]]="",Fact_Administrativa[[#This Row], [Mes]]=""),"",DATE(A1567,MATCH(B1567,{"enero","febrero","marzo","abril","mayo","junio","julio","agosto","septiembre","octubre","noviembre","diciembre"},0)+1,0))</f>
        <v/>
      </c>
      <c r="E1567" t="str">
        <f>+IFERROR(VLOOKUP(Fact_Administrativa[[#This Row], [Concepto Anterior]],Conceptos_Administrativa[#All],5,0),"")</f>
        <v/>
      </c>
      <c r="F1567" t="str">
        <f>+IFERROR(VLOOKUP(Fact_Administrativa[[#This Row], 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ht="18.75" customHeight="1" x14ac:dyDescent="0.35">
      <c r="C1568" s="100" t="str">
        <f>IF(OR(Fact_Administrativa[[#This Row], [Año]]="",Fact_Administrativa[[#This Row], [Mes]]=""),"",DATE(A1568,MATCH(B1568,{"enero","febrero","marzo","abril","mayo","junio","julio","agosto","septiembre","octubre","noviembre","diciembre"},0)+1,0))</f>
        <v/>
      </c>
      <c r="E1568" t="str">
        <f>+IFERROR(VLOOKUP(Fact_Administrativa[[#This Row], [Concepto Anterior]],Conceptos_Administrativa[#All],5,0),"")</f>
        <v/>
      </c>
      <c r="F1568" t="str">
        <f>+IFERROR(VLOOKUP(Fact_Administrativa[[#This Row], 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ht="18.75" customHeight="1" x14ac:dyDescent="0.35">
      <c r="C1569" s="100" t="str">
        <f>IF(OR(Fact_Administrativa[[#This Row], [Año]]="",Fact_Administrativa[[#This Row], [Mes]]=""),"",DATE(A1569,MATCH(B1569,{"enero","febrero","marzo","abril","mayo","junio","julio","agosto","septiembre","octubre","noviembre","diciembre"},0)+1,0))</f>
        <v/>
      </c>
      <c r="E1569" t="str">
        <f>+IFERROR(VLOOKUP(Fact_Administrativa[[#This Row], [Concepto Anterior]],Conceptos_Administrativa[#All],5,0),"")</f>
        <v/>
      </c>
      <c r="F1569" t="str">
        <f>+IFERROR(VLOOKUP(Fact_Administrativa[[#This Row], 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ht="18.75" customHeight="1" x14ac:dyDescent="0.35">
      <c r="C1570" s="100" t="str">
        <f>IF(OR(Fact_Administrativa[[#This Row], [Año]]="",Fact_Administrativa[[#This Row], [Mes]]=""),"",DATE(A1570,MATCH(B1570,{"enero","febrero","marzo","abril","mayo","junio","julio","agosto","septiembre","octubre","noviembre","diciembre"},0)+1,0))</f>
        <v/>
      </c>
      <c r="E1570" t="str">
        <f>+IFERROR(VLOOKUP(Fact_Administrativa[[#This Row], [Concepto Anterior]],Conceptos_Administrativa[#All],5,0),"")</f>
        <v/>
      </c>
      <c r="F1570" t="str">
        <f>+IFERROR(VLOOKUP(Fact_Administrativa[[#This Row], 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ht="18.75" customHeight="1" x14ac:dyDescent="0.35">
      <c r="C1571" s="100" t="str">
        <f>IF(OR(Fact_Administrativa[[#This Row], [Año]]="",Fact_Administrativa[[#This Row], [Mes]]=""),"",DATE(A1571,MATCH(B1571,{"enero","febrero","marzo","abril","mayo","junio","julio","agosto","septiembre","octubre","noviembre","diciembre"},0)+1,0))</f>
        <v/>
      </c>
      <c r="E1571" t="str">
        <f>+IFERROR(VLOOKUP(Fact_Administrativa[[#This Row], [Concepto Anterior]],Conceptos_Administrativa[#All],5,0),"")</f>
        <v/>
      </c>
      <c r="F1571" t="str">
        <f>+IFERROR(VLOOKUP(Fact_Administrativa[[#This Row], 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ht="18.75" customHeight="1" x14ac:dyDescent="0.35">
      <c r="C1572" s="100" t="str">
        <f>IF(OR(Fact_Administrativa[[#This Row], [Año]]="",Fact_Administrativa[[#This Row], [Mes]]=""),"",DATE(A1572,MATCH(B1572,{"enero","febrero","marzo","abril","mayo","junio","julio","agosto","septiembre","octubre","noviembre","diciembre"},0)+1,0))</f>
        <v/>
      </c>
      <c r="E1572" t="str">
        <f>+IFERROR(VLOOKUP(Fact_Administrativa[[#This Row], [Concepto Anterior]],Conceptos_Administrativa[#All],5,0),"")</f>
        <v/>
      </c>
      <c r="F1572" t="str">
        <f>+IFERROR(VLOOKUP(Fact_Administrativa[[#This Row], 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ht="18.75" customHeight="1" x14ac:dyDescent="0.35">
      <c r="C1573" s="100" t="str">
        <f>IF(OR(Fact_Administrativa[[#This Row], [Año]]="",Fact_Administrativa[[#This Row], [Mes]]=""),"",DATE(A1573,MATCH(B1573,{"enero","febrero","marzo","abril","mayo","junio","julio","agosto","septiembre","octubre","noviembre","diciembre"},0)+1,0))</f>
        <v/>
      </c>
      <c r="E1573" t="str">
        <f>+IFERROR(VLOOKUP(Fact_Administrativa[[#This Row], [Concepto Anterior]],Conceptos_Administrativa[#All],5,0),"")</f>
        <v/>
      </c>
      <c r="F1573" t="str">
        <f>+IFERROR(VLOOKUP(Fact_Administrativa[[#This Row], 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ht="18.75" customHeight="1" x14ac:dyDescent="0.35">
      <c r="C1574" s="100" t="str">
        <f>IF(OR(Fact_Administrativa[[#This Row], [Año]]="",Fact_Administrativa[[#This Row], [Mes]]=""),"",DATE(A1574,MATCH(B1574,{"enero","febrero","marzo","abril","mayo","junio","julio","agosto","septiembre","octubre","noviembre","diciembre"},0)+1,0))</f>
        <v/>
      </c>
      <c r="E1574" t="str">
        <f>+IFERROR(VLOOKUP(Fact_Administrativa[[#This Row], [Concepto Anterior]],Conceptos_Administrativa[#All],5,0),"")</f>
        <v/>
      </c>
      <c r="F1574" t="str">
        <f>+IFERROR(VLOOKUP(Fact_Administrativa[[#This Row], 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ht="18.75" customHeight="1" x14ac:dyDescent="0.35">
      <c r="C1575" s="100" t="str">
        <f>IF(OR(Fact_Administrativa[[#This Row], [Año]]="",Fact_Administrativa[[#This Row], [Mes]]=""),"",DATE(A1575,MATCH(B1575,{"enero","febrero","marzo","abril","mayo","junio","julio","agosto","septiembre","octubre","noviembre","diciembre"},0)+1,0))</f>
        <v/>
      </c>
      <c r="E1575" t="str">
        <f>+IFERROR(VLOOKUP(Fact_Administrativa[[#This Row], [Concepto Anterior]],Conceptos_Administrativa[#All],5,0),"")</f>
        <v/>
      </c>
      <c r="F1575" t="str">
        <f>+IFERROR(VLOOKUP(Fact_Administrativa[[#This Row], 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ht="18.75" customHeight="1" x14ac:dyDescent="0.35">
      <c r="C1576" s="100" t="str">
        <f>IF(OR(Fact_Administrativa[[#This Row], [Año]]="",Fact_Administrativa[[#This Row], [Mes]]=""),"",DATE(A1576,MATCH(B1576,{"enero","febrero","marzo","abril","mayo","junio","julio","agosto","septiembre","octubre","noviembre","diciembre"},0)+1,0))</f>
        <v/>
      </c>
      <c r="E1576" t="str">
        <f>+IFERROR(VLOOKUP(Fact_Administrativa[[#This Row], [Concepto Anterior]],Conceptos_Administrativa[#All],5,0),"")</f>
        <v/>
      </c>
      <c r="F1576" t="str">
        <f>+IFERROR(VLOOKUP(Fact_Administrativa[[#This Row], 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ht="18.75" customHeight="1" x14ac:dyDescent="0.35">
      <c r="C1577" s="100" t="str">
        <f>IF(OR(Fact_Administrativa[[#This Row], [Año]]="",Fact_Administrativa[[#This Row], [Mes]]=""),"",DATE(A1577,MATCH(B1577,{"enero","febrero","marzo","abril","mayo","junio","julio","agosto","septiembre","octubre","noviembre","diciembre"},0)+1,0))</f>
        <v/>
      </c>
      <c r="E1577" t="str">
        <f>+IFERROR(VLOOKUP(Fact_Administrativa[[#This Row], [Concepto Anterior]],Conceptos_Administrativa[#All],5,0),"")</f>
        <v/>
      </c>
      <c r="F1577" t="str">
        <f>+IFERROR(VLOOKUP(Fact_Administrativa[[#This Row], 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ht="18.75" customHeight="1" x14ac:dyDescent="0.35">
      <c r="C1578" s="100" t="str">
        <f>IF(OR(Fact_Administrativa[[#This Row], [Año]]="",Fact_Administrativa[[#This Row], [Mes]]=""),"",DATE(A1578,MATCH(B1578,{"enero","febrero","marzo","abril","mayo","junio","julio","agosto","septiembre","octubre","noviembre","diciembre"},0)+1,0))</f>
        <v/>
      </c>
      <c r="E1578" t="str">
        <f>+IFERROR(VLOOKUP(Fact_Administrativa[[#This Row], [Concepto Anterior]],Conceptos_Administrativa[#All],5,0),"")</f>
        <v/>
      </c>
      <c r="F1578" t="str">
        <f>+IFERROR(VLOOKUP(Fact_Administrativa[[#This Row], 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ht="18.75" customHeight="1" x14ac:dyDescent="0.35">
      <c r="C1579" s="100" t="str">
        <f>IF(OR(Fact_Administrativa[[#This Row], [Año]]="",Fact_Administrativa[[#This Row], [Mes]]=""),"",DATE(A1579,MATCH(B1579,{"enero","febrero","marzo","abril","mayo","junio","julio","agosto","septiembre","octubre","noviembre","diciembre"},0)+1,0))</f>
        <v/>
      </c>
      <c r="E1579" t="str">
        <f>+IFERROR(VLOOKUP(Fact_Administrativa[[#This Row], [Concepto Anterior]],Conceptos_Administrativa[#All],5,0),"")</f>
        <v/>
      </c>
      <c r="F1579" t="str">
        <f>+IFERROR(VLOOKUP(Fact_Administrativa[[#This Row], 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ht="18.75" customHeight="1" x14ac:dyDescent="0.35">
      <c r="C1580" s="100" t="str">
        <f>IF(OR(Fact_Administrativa[[#This Row], [Año]]="",Fact_Administrativa[[#This Row], [Mes]]=""),"",DATE(A1580,MATCH(B1580,{"enero","febrero","marzo","abril","mayo","junio","julio","agosto","septiembre","octubre","noviembre","diciembre"},0)+1,0))</f>
        <v/>
      </c>
      <c r="E1580" t="str">
        <f>+IFERROR(VLOOKUP(Fact_Administrativa[[#This Row], [Concepto Anterior]],Conceptos_Administrativa[#All],5,0),"")</f>
        <v/>
      </c>
      <c r="F1580" t="str">
        <f>+IFERROR(VLOOKUP(Fact_Administrativa[[#This Row], 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ht="18.75" customHeight="1" x14ac:dyDescent="0.35">
      <c r="C1581" s="100" t="str">
        <f>IF(OR(Fact_Administrativa[[#This Row], [Año]]="",Fact_Administrativa[[#This Row], [Mes]]=""),"",DATE(A1581,MATCH(B1581,{"enero","febrero","marzo","abril","mayo","junio","julio","agosto","septiembre","octubre","noviembre","diciembre"},0)+1,0))</f>
        <v/>
      </c>
      <c r="E1581" t="str">
        <f>+IFERROR(VLOOKUP(Fact_Administrativa[[#This Row], [Concepto Anterior]],Conceptos_Administrativa[#All],5,0),"")</f>
        <v/>
      </c>
      <c r="F1581" t="str">
        <f>+IFERROR(VLOOKUP(Fact_Administrativa[[#This Row], 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ht="18.75" customHeight="1" x14ac:dyDescent="0.35">
      <c r="C1582" s="100" t="str">
        <f>IF(OR(Fact_Administrativa[[#This Row], [Año]]="",Fact_Administrativa[[#This Row], [Mes]]=""),"",DATE(A1582,MATCH(B1582,{"enero","febrero","marzo","abril","mayo","junio","julio","agosto","septiembre","octubre","noviembre","diciembre"},0)+1,0))</f>
        <v/>
      </c>
      <c r="E1582" t="str">
        <f>+IFERROR(VLOOKUP(Fact_Administrativa[[#This Row], [Concepto Anterior]],Conceptos_Administrativa[#All],5,0),"")</f>
        <v/>
      </c>
      <c r="F1582" t="str">
        <f>+IFERROR(VLOOKUP(Fact_Administrativa[[#This Row], 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ht="18.75" customHeight="1" x14ac:dyDescent="0.35">
      <c r="C1583" s="100" t="str">
        <f>IF(OR(Fact_Administrativa[[#This Row], [Año]]="",Fact_Administrativa[[#This Row], [Mes]]=""),"",DATE(A1583,MATCH(B1583,{"enero","febrero","marzo","abril","mayo","junio","julio","agosto","septiembre","octubre","noviembre","diciembre"},0)+1,0))</f>
        <v/>
      </c>
      <c r="E1583" t="str">
        <f>+IFERROR(VLOOKUP(Fact_Administrativa[[#This Row], [Concepto Anterior]],Conceptos_Administrativa[#All],5,0),"")</f>
        <v/>
      </c>
      <c r="F1583" t="str">
        <f>+IFERROR(VLOOKUP(Fact_Administrativa[[#This Row], 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ht="18.75" customHeight="1" x14ac:dyDescent="0.35">
      <c r="C1584" s="100" t="str">
        <f>IF(OR(Fact_Administrativa[[#This Row], [Año]]="",Fact_Administrativa[[#This Row], [Mes]]=""),"",DATE(A1584,MATCH(B1584,{"enero","febrero","marzo","abril","mayo","junio","julio","agosto","septiembre","octubre","noviembre","diciembre"},0)+1,0))</f>
        <v/>
      </c>
      <c r="E1584" t="str">
        <f>+IFERROR(VLOOKUP(Fact_Administrativa[[#This Row], [Concepto Anterior]],Conceptos_Administrativa[#All],5,0),"")</f>
        <v/>
      </c>
      <c r="F1584" t="str">
        <f>+IFERROR(VLOOKUP(Fact_Administrativa[[#This Row], 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ht="18.75" customHeight="1" x14ac:dyDescent="0.35">
      <c r="C1585" s="100" t="str">
        <f>IF(OR(Fact_Administrativa[[#This Row], [Año]]="",Fact_Administrativa[[#This Row], [Mes]]=""),"",DATE(A1585,MATCH(B1585,{"enero","febrero","marzo","abril","mayo","junio","julio","agosto","septiembre","octubre","noviembre","diciembre"},0)+1,0))</f>
        <v/>
      </c>
      <c r="E1585" t="str">
        <f>+IFERROR(VLOOKUP(Fact_Administrativa[[#This Row], [Concepto Anterior]],Conceptos_Administrativa[#All],5,0),"")</f>
        <v/>
      </c>
      <c r="F1585" t="str">
        <f>+IFERROR(VLOOKUP(Fact_Administrativa[[#This Row], 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ht="18.75" customHeight="1" x14ac:dyDescent="0.35">
      <c r="C1586" s="100" t="str">
        <f>IF(OR(Fact_Administrativa[[#This Row], [Año]]="",Fact_Administrativa[[#This Row], [Mes]]=""),"",DATE(A1586,MATCH(B1586,{"enero","febrero","marzo","abril","mayo","junio","julio","agosto","septiembre","octubre","noviembre","diciembre"},0)+1,0))</f>
        <v/>
      </c>
      <c r="E1586" t="str">
        <f>+IFERROR(VLOOKUP(Fact_Administrativa[[#This Row], [Concepto Anterior]],Conceptos_Administrativa[#All],5,0),"")</f>
        <v/>
      </c>
      <c r="F1586" t="str">
        <f>+IFERROR(VLOOKUP(Fact_Administrativa[[#This Row], 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ht="18.75" customHeight="1" x14ac:dyDescent="0.35">
      <c r="C1587" s="100" t="str">
        <f>IF(OR(Fact_Administrativa[[#This Row], [Año]]="",Fact_Administrativa[[#This Row], [Mes]]=""),"",DATE(A1587,MATCH(B1587,{"enero","febrero","marzo","abril","mayo","junio","julio","agosto","septiembre","octubre","noviembre","diciembre"},0)+1,0))</f>
        <v/>
      </c>
      <c r="E1587" t="str">
        <f>+IFERROR(VLOOKUP(Fact_Administrativa[[#This Row], [Concepto Anterior]],Conceptos_Administrativa[#All],5,0),"")</f>
        <v/>
      </c>
      <c r="F1587" t="str">
        <f>+IFERROR(VLOOKUP(Fact_Administrativa[[#This Row], 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ht="18.75" customHeight="1" x14ac:dyDescent="0.35">
      <c r="C1588" s="100" t="str">
        <f>IF(OR(Fact_Administrativa[[#This Row], [Año]]="",Fact_Administrativa[[#This Row], [Mes]]=""),"",DATE(A1588,MATCH(B1588,{"enero","febrero","marzo","abril","mayo","junio","julio","agosto","septiembre","octubre","noviembre","diciembre"},0)+1,0))</f>
        <v/>
      </c>
      <c r="E1588" t="str">
        <f>+IFERROR(VLOOKUP(Fact_Administrativa[[#This Row], [Concepto Anterior]],Conceptos_Administrativa[#All],5,0),"")</f>
        <v/>
      </c>
      <c r="F1588" t="str">
        <f>+IFERROR(VLOOKUP(Fact_Administrativa[[#This Row], 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ht="18.75" customHeight="1" x14ac:dyDescent="0.35">
      <c r="C1589" s="100" t="str">
        <f>IF(OR(Fact_Administrativa[[#This Row], [Año]]="",Fact_Administrativa[[#This Row], [Mes]]=""),"",DATE(A1589,MATCH(B1589,{"enero","febrero","marzo","abril","mayo","junio","julio","agosto","septiembre","octubre","noviembre","diciembre"},0)+1,0))</f>
        <v/>
      </c>
      <c r="E1589" t="str">
        <f>+IFERROR(VLOOKUP(Fact_Administrativa[[#This Row], [Concepto Anterior]],Conceptos_Administrativa[#All],5,0),"")</f>
        <v/>
      </c>
      <c r="F1589" t="str">
        <f>+IFERROR(VLOOKUP(Fact_Administrativa[[#This Row], 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ht="18.75" customHeight="1" x14ac:dyDescent="0.35">
      <c r="C1590" s="100" t="str">
        <f>IF(OR(Fact_Administrativa[[#This Row], [Año]]="",Fact_Administrativa[[#This Row], [Mes]]=""),"",DATE(A1590,MATCH(B1590,{"enero","febrero","marzo","abril","mayo","junio","julio","agosto","septiembre","octubre","noviembre","diciembre"},0)+1,0))</f>
        <v/>
      </c>
      <c r="E1590" t="str">
        <f>+IFERROR(VLOOKUP(Fact_Administrativa[[#This Row], [Concepto Anterior]],Conceptos_Administrativa[#All],5,0),"")</f>
        <v/>
      </c>
      <c r="F1590" t="str">
        <f>+IFERROR(VLOOKUP(Fact_Administrativa[[#This Row], 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ht="18.75" customHeight="1" x14ac:dyDescent="0.35">
      <c r="C1591" s="100" t="str">
        <f>IF(OR(Fact_Administrativa[[#This Row], [Año]]="",Fact_Administrativa[[#This Row], [Mes]]=""),"",DATE(A1591,MATCH(B1591,{"enero","febrero","marzo","abril","mayo","junio","julio","agosto","septiembre","octubre","noviembre","diciembre"},0)+1,0))</f>
        <v/>
      </c>
      <c r="E1591" t="str">
        <f>+IFERROR(VLOOKUP(Fact_Administrativa[[#This Row], [Concepto Anterior]],Conceptos_Administrativa[#All],5,0),"")</f>
        <v/>
      </c>
      <c r="F1591" t="str">
        <f>+IFERROR(VLOOKUP(Fact_Administrativa[[#This Row], 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ht="18.75" customHeight="1" x14ac:dyDescent="0.35">
      <c r="C1592" s="100" t="str">
        <f>IF(OR(Fact_Administrativa[[#This Row], [Año]]="",Fact_Administrativa[[#This Row], [Mes]]=""),"",DATE(A1592,MATCH(B1592,{"enero","febrero","marzo","abril","mayo","junio","julio","agosto","septiembre","octubre","noviembre","diciembre"},0)+1,0))</f>
        <v/>
      </c>
      <c r="E1592" t="str">
        <f>+IFERROR(VLOOKUP(Fact_Administrativa[[#This Row], [Concepto Anterior]],Conceptos_Administrativa[#All],5,0),"")</f>
        <v/>
      </c>
      <c r="F1592" t="str">
        <f>+IFERROR(VLOOKUP(Fact_Administrativa[[#This Row], 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ht="18.75" customHeight="1" x14ac:dyDescent="0.35">
      <c r="C1593" s="100" t="str">
        <f>IF(OR(Fact_Administrativa[[#This Row], [Año]]="",Fact_Administrativa[[#This Row], [Mes]]=""),"",DATE(A1593,MATCH(B1593,{"enero","febrero","marzo","abril","mayo","junio","julio","agosto","septiembre","octubre","noviembre","diciembre"},0)+1,0))</f>
        <v/>
      </c>
      <c r="E1593" t="str">
        <f>+IFERROR(VLOOKUP(Fact_Administrativa[[#This Row], [Concepto Anterior]],Conceptos_Administrativa[#All],5,0),"")</f>
        <v/>
      </c>
      <c r="F1593" t="str">
        <f>+IFERROR(VLOOKUP(Fact_Administrativa[[#This Row], 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ht="18.75" customHeight="1" x14ac:dyDescent="0.35">
      <c r="C1594" s="100" t="str">
        <f>IF(OR(Fact_Administrativa[[#This Row], [Año]]="",Fact_Administrativa[[#This Row], [Mes]]=""),"",DATE(A1594,MATCH(B1594,{"enero","febrero","marzo","abril","mayo","junio","julio","agosto","septiembre","octubre","noviembre","diciembre"},0)+1,0))</f>
        <v/>
      </c>
      <c r="E1594" t="str">
        <f>+IFERROR(VLOOKUP(Fact_Administrativa[[#This Row], [Concepto Anterior]],Conceptos_Administrativa[#All],5,0),"")</f>
        <v/>
      </c>
      <c r="F1594" t="str">
        <f>+IFERROR(VLOOKUP(Fact_Administrativa[[#This Row], 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ht="18.75" customHeight="1" x14ac:dyDescent="0.35">
      <c r="C1595" s="100" t="str">
        <f>IF(OR(Fact_Administrativa[[#This Row], [Año]]="",Fact_Administrativa[[#This Row], [Mes]]=""),"",DATE(A1595,MATCH(B1595,{"enero","febrero","marzo","abril","mayo","junio","julio","agosto","septiembre","octubre","noviembre","diciembre"},0)+1,0))</f>
        <v/>
      </c>
      <c r="E1595" t="str">
        <f>+IFERROR(VLOOKUP(Fact_Administrativa[[#This Row], [Concepto Anterior]],Conceptos_Administrativa[#All],5,0),"")</f>
        <v/>
      </c>
      <c r="F1595" t="str">
        <f>+IFERROR(VLOOKUP(Fact_Administrativa[[#This Row], 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ht="18.75" customHeight="1" x14ac:dyDescent="0.35">
      <c r="C1596" s="100" t="str">
        <f>IF(OR(Fact_Administrativa[[#This Row], [Año]]="",Fact_Administrativa[[#This Row], [Mes]]=""),"",DATE(A1596,MATCH(B1596,{"enero","febrero","marzo","abril","mayo","junio","julio","agosto","septiembre","octubre","noviembre","diciembre"},0)+1,0))</f>
        <v/>
      </c>
      <c r="E1596" t="str">
        <f>+IFERROR(VLOOKUP(Fact_Administrativa[[#This Row], [Concepto Anterior]],Conceptos_Administrativa[#All],5,0),"")</f>
        <v/>
      </c>
      <c r="F1596" t="str">
        <f>+IFERROR(VLOOKUP(Fact_Administrativa[[#This Row], 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ht="18.75" customHeight="1" x14ac:dyDescent="0.35">
      <c r="C1597" s="100" t="str">
        <f>IF(OR(Fact_Administrativa[[#This Row], [Año]]="",Fact_Administrativa[[#This Row], [Mes]]=""),"",DATE(A1597,MATCH(B1597,{"enero","febrero","marzo","abril","mayo","junio","julio","agosto","septiembre","octubre","noviembre","diciembre"},0)+1,0))</f>
        <v/>
      </c>
      <c r="E1597" t="str">
        <f>+IFERROR(VLOOKUP(Fact_Administrativa[[#This Row], [Concepto Anterior]],Conceptos_Administrativa[#All],5,0),"")</f>
        <v/>
      </c>
      <c r="F1597" t="str">
        <f>+IFERROR(VLOOKUP(Fact_Administrativa[[#This Row], 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ht="18.75" customHeight="1" x14ac:dyDescent="0.35">
      <c r="C1598" s="100" t="str">
        <f>IF(OR(Fact_Administrativa[[#This Row], [Año]]="",Fact_Administrativa[[#This Row], [Mes]]=""),"",DATE(A1598,MATCH(B1598,{"enero","febrero","marzo","abril","mayo","junio","julio","agosto","septiembre","octubre","noviembre","diciembre"},0)+1,0))</f>
        <v/>
      </c>
      <c r="E1598" t="str">
        <f>+IFERROR(VLOOKUP(Fact_Administrativa[[#This Row], [Concepto Anterior]],Conceptos_Administrativa[#All],5,0),"")</f>
        <v/>
      </c>
      <c r="F1598" t="str">
        <f>+IFERROR(VLOOKUP(Fact_Administrativa[[#This Row], 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ht="18.75" customHeight="1" x14ac:dyDescent="0.35">
      <c r="C1599" s="100" t="str">
        <f>IF(OR(Fact_Administrativa[[#This Row], [Año]]="",Fact_Administrativa[[#This Row], [Mes]]=""),"",DATE(A1599,MATCH(B1599,{"enero","febrero","marzo","abril","mayo","junio","julio","agosto","septiembre","octubre","noviembre","diciembre"},0)+1,0))</f>
        <v/>
      </c>
      <c r="E1599" t="str">
        <f>+IFERROR(VLOOKUP(Fact_Administrativa[[#This Row], [Concepto Anterior]],Conceptos_Administrativa[#All],5,0),"")</f>
        <v/>
      </c>
      <c r="F1599" t="str">
        <f>+IFERROR(VLOOKUP(Fact_Administrativa[[#This Row], 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ht="18.75" customHeight="1" x14ac:dyDescent="0.35">
      <c r="C1600" s="100" t="str">
        <f>IF(OR(Fact_Administrativa[[#This Row], [Año]]="",Fact_Administrativa[[#This Row], [Mes]]=""),"",DATE(A1600,MATCH(B1600,{"enero","febrero","marzo","abril","mayo","junio","julio","agosto","septiembre","octubre","noviembre","diciembre"},0)+1,0))</f>
        <v/>
      </c>
      <c r="E1600" t="str">
        <f>+IFERROR(VLOOKUP(Fact_Administrativa[[#This Row], [Concepto Anterior]],Conceptos_Administrativa[#All],5,0),"")</f>
        <v/>
      </c>
      <c r="F1600" t="str">
        <f>+IFERROR(VLOOKUP(Fact_Administrativa[[#This Row], 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ht="18.75" customHeight="1" x14ac:dyDescent="0.35">
      <c r="C1601" s="100" t="str">
        <f>IF(OR(Fact_Administrativa[[#This Row], [Año]]="",Fact_Administrativa[[#This Row], [Mes]]=""),"",DATE(A1601,MATCH(B1601,{"enero","febrero","marzo","abril","mayo","junio","julio","agosto","septiembre","octubre","noviembre","diciembre"},0)+1,0))</f>
        <v/>
      </c>
      <c r="E1601" t="str">
        <f>+IFERROR(VLOOKUP(Fact_Administrativa[[#This Row], [Concepto Anterior]],Conceptos_Administrativa[#All],5,0),"")</f>
        <v/>
      </c>
      <c r="F1601" t="str">
        <f>+IFERROR(VLOOKUP(Fact_Administrativa[[#This Row], 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ht="18.75" customHeight="1" x14ac:dyDescent="0.35">
      <c r="C1602" s="100" t="str">
        <f>IF(OR(Fact_Administrativa[[#This Row], [Año]]="",Fact_Administrativa[[#This Row], [Mes]]=""),"",DATE(A1602,MATCH(B1602,{"enero","febrero","marzo","abril","mayo","junio","julio","agosto","septiembre","octubre","noviembre","diciembre"},0)+1,0))</f>
        <v/>
      </c>
      <c r="E1602" t="str">
        <f>+IFERROR(VLOOKUP(Fact_Administrativa[[#This Row], [Concepto Anterior]],Conceptos_Administrativa[#All],5,0),"")</f>
        <v/>
      </c>
      <c r="F1602" t="str">
        <f>+IFERROR(VLOOKUP(Fact_Administrativa[[#This Row], 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ht="18.75" customHeight="1" x14ac:dyDescent="0.35">
      <c r="C1603" s="100" t="str">
        <f>IF(OR(Fact_Administrativa[[#This Row], [Año]]="",Fact_Administrativa[[#This Row], [Mes]]=""),"",DATE(A1603,MATCH(B1603,{"enero","febrero","marzo","abril","mayo","junio","julio","agosto","septiembre","octubre","noviembre","diciembre"},0)+1,0))</f>
        <v/>
      </c>
      <c r="E1603" t="str">
        <f>+IFERROR(VLOOKUP(Fact_Administrativa[[#This Row], [Concepto Anterior]],Conceptos_Administrativa[#All],5,0),"")</f>
        <v/>
      </c>
      <c r="F1603" t="str">
        <f>+IFERROR(VLOOKUP(Fact_Administrativa[[#This Row], 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ht="18.75" customHeight="1" x14ac:dyDescent="0.35">
      <c r="C1604" s="100" t="str">
        <f>IF(OR(Fact_Administrativa[[#This Row], [Año]]="",Fact_Administrativa[[#This Row], [Mes]]=""),"",DATE(A1604,MATCH(B1604,{"enero","febrero","marzo","abril","mayo","junio","julio","agosto","septiembre","octubre","noviembre","diciembre"},0)+1,0))</f>
        <v/>
      </c>
      <c r="E1604" t="str">
        <f>+IFERROR(VLOOKUP(Fact_Administrativa[[#This Row], [Concepto Anterior]],Conceptos_Administrativa[#All],5,0),"")</f>
        <v/>
      </c>
      <c r="F1604" t="str">
        <f>+IFERROR(VLOOKUP(Fact_Administrativa[[#This Row], 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ht="18.75" customHeight="1" x14ac:dyDescent="0.35">
      <c r="C1605" s="100" t="str">
        <f>IF(OR(Fact_Administrativa[[#This Row], [Año]]="",Fact_Administrativa[[#This Row], [Mes]]=""),"",DATE(A1605,MATCH(B1605,{"enero","febrero","marzo","abril","mayo","junio","julio","agosto","septiembre","octubre","noviembre","diciembre"},0)+1,0))</f>
        <v/>
      </c>
      <c r="E1605" t="str">
        <f>+IFERROR(VLOOKUP(Fact_Administrativa[[#This Row], [Concepto Anterior]],Conceptos_Administrativa[#All],5,0),"")</f>
        <v/>
      </c>
      <c r="F1605" t="str">
        <f>+IFERROR(VLOOKUP(Fact_Administrativa[[#This Row], 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ht="18.75" customHeight="1" x14ac:dyDescent="0.35">
      <c r="C1606" s="100" t="str">
        <f>IF(OR(Fact_Administrativa[[#This Row], [Año]]="",Fact_Administrativa[[#This Row], [Mes]]=""),"",DATE(A1606,MATCH(B1606,{"enero","febrero","marzo","abril","mayo","junio","julio","agosto","septiembre","octubre","noviembre","diciembre"},0)+1,0))</f>
        <v/>
      </c>
      <c r="E1606" t="str">
        <f>+IFERROR(VLOOKUP(Fact_Administrativa[[#This Row], [Concepto Anterior]],Conceptos_Administrativa[#All],5,0),"")</f>
        <v/>
      </c>
      <c r="F1606" t="str">
        <f>+IFERROR(VLOOKUP(Fact_Administrativa[[#This Row], 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ht="18.75" customHeight="1" x14ac:dyDescent="0.35">
      <c r="C1607" s="100" t="str">
        <f>IF(OR(Fact_Administrativa[[#This Row], [Año]]="",Fact_Administrativa[[#This Row], [Mes]]=""),"",DATE(A1607,MATCH(B1607,{"enero","febrero","marzo","abril","mayo","junio","julio","agosto","septiembre","octubre","noviembre","diciembre"},0)+1,0))</f>
        <v/>
      </c>
      <c r="E1607" t="str">
        <f>+IFERROR(VLOOKUP(Fact_Administrativa[[#This Row], [Concepto Anterior]],Conceptos_Administrativa[#All],5,0),"")</f>
        <v/>
      </c>
      <c r="F1607" t="str">
        <f>+IFERROR(VLOOKUP(Fact_Administrativa[[#This Row], 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ht="18.75" customHeight="1" x14ac:dyDescent="0.35">
      <c r="C1608" s="100" t="str">
        <f>IF(OR(Fact_Administrativa[[#This Row], [Año]]="",Fact_Administrativa[[#This Row], [Mes]]=""),"",DATE(A1608,MATCH(B1608,{"enero","febrero","marzo","abril","mayo","junio","julio","agosto","septiembre","octubre","noviembre","diciembre"},0)+1,0))</f>
        <v/>
      </c>
      <c r="E1608" t="str">
        <f>+IFERROR(VLOOKUP(Fact_Administrativa[[#This Row], [Concepto Anterior]],Conceptos_Administrativa[#All],5,0),"")</f>
        <v/>
      </c>
      <c r="F1608" t="str">
        <f>+IFERROR(VLOOKUP(Fact_Administrativa[[#This Row], 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ht="18.75" customHeight="1" x14ac:dyDescent="0.35">
      <c r="C1609" s="100" t="str">
        <f>IF(OR(Fact_Administrativa[[#This Row], [Año]]="",Fact_Administrativa[[#This Row], [Mes]]=""),"",DATE(A1609,MATCH(B1609,{"enero","febrero","marzo","abril","mayo","junio","julio","agosto","septiembre","octubre","noviembre","diciembre"},0)+1,0))</f>
        <v/>
      </c>
      <c r="E1609" t="str">
        <f>+IFERROR(VLOOKUP(Fact_Administrativa[[#This Row], [Concepto Anterior]],Conceptos_Administrativa[#All],5,0),"")</f>
        <v/>
      </c>
      <c r="F1609" t="str">
        <f>+IFERROR(VLOOKUP(Fact_Administrativa[[#This Row], 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ht="18.75" customHeight="1" x14ac:dyDescent="0.35">
      <c r="C1610" s="100" t="str">
        <f>IF(OR(Fact_Administrativa[[#This Row], [Año]]="",Fact_Administrativa[[#This Row], [Mes]]=""),"",DATE(A1610,MATCH(B1610,{"enero","febrero","marzo","abril","mayo","junio","julio","agosto","septiembre","octubre","noviembre","diciembre"},0)+1,0))</f>
        <v/>
      </c>
      <c r="E1610" t="str">
        <f>+IFERROR(VLOOKUP(Fact_Administrativa[[#This Row], [Concepto Anterior]],Conceptos_Administrativa[#All],5,0),"")</f>
        <v/>
      </c>
      <c r="F1610" t="str">
        <f>+IFERROR(VLOOKUP(Fact_Administrativa[[#This Row], 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ht="18.75" customHeight="1" x14ac:dyDescent="0.35">
      <c r="C1611" s="100" t="str">
        <f>IF(OR(Fact_Administrativa[[#This Row], [Año]]="",Fact_Administrativa[[#This Row], [Mes]]=""),"",DATE(A1611,MATCH(B1611,{"enero","febrero","marzo","abril","mayo","junio","julio","agosto","septiembre","octubre","noviembre","diciembre"},0)+1,0))</f>
        <v/>
      </c>
      <c r="E1611" t="str">
        <f>+IFERROR(VLOOKUP(Fact_Administrativa[[#This Row], [Concepto Anterior]],Conceptos_Administrativa[#All],5,0),"")</f>
        <v/>
      </c>
      <c r="F1611" t="str">
        <f>+IFERROR(VLOOKUP(Fact_Administrativa[[#This Row], 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ht="18.75" customHeight="1" x14ac:dyDescent="0.35">
      <c r="C1612" s="100" t="str">
        <f>IF(OR(Fact_Administrativa[[#This Row], [Año]]="",Fact_Administrativa[[#This Row], [Mes]]=""),"",DATE(A1612,MATCH(B1612,{"enero","febrero","marzo","abril","mayo","junio","julio","agosto","septiembre","octubre","noviembre","diciembre"},0)+1,0))</f>
        <v/>
      </c>
      <c r="E1612" t="str">
        <f>+IFERROR(VLOOKUP(Fact_Administrativa[[#This Row], [Concepto Anterior]],Conceptos_Administrativa[#All],5,0),"")</f>
        <v/>
      </c>
      <c r="F1612" t="str">
        <f>+IFERROR(VLOOKUP(Fact_Administrativa[[#This Row], 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ht="18.75" customHeight="1" x14ac:dyDescent="0.35">
      <c r="C1613" s="100" t="str">
        <f>IF(OR(Fact_Administrativa[[#This Row], [Año]]="",Fact_Administrativa[[#This Row], [Mes]]=""),"",DATE(A1613,MATCH(B1613,{"enero","febrero","marzo","abril","mayo","junio","julio","agosto","septiembre","octubre","noviembre","diciembre"},0)+1,0))</f>
        <v/>
      </c>
      <c r="E1613" t="str">
        <f>+IFERROR(VLOOKUP(Fact_Administrativa[[#This Row], [Concepto Anterior]],Conceptos_Administrativa[#All],5,0),"")</f>
        <v/>
      </c>
      <c r="F1613" t="str">
        <f>+IFERROR(VLOOKUP(Fact_Administrativa[[#This Row], 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ht="18.75" customHeight="1" x14ac:dyDescent="0.35">
      <c r="C1614" s="100" t="str">
        <f>IF(OR(Fact_Administrativa[[#This Row], [Año]]="",Fact_Administrativa[[#This Row], [Mes]]=""),"",DATE(A1614,MATCH(B1614,{"enero","febrero","marzo","abril","mayo","junio","julio","agosto","septiembre","octubre","noviembre","diciembre"},0)+1,0))</f>
        <v/>
      </c>
      <c r="E1614" t="str">
        <f>+IFERROR(VLOOKUP(Fact_Administrativa[[#This Row], [Concepto Anterior]],Conceptos_Administrativa[#All],5,0),"")</f>
        <v/>
      </c>
      <c r="F1614" t="str">
        <f>+IFERROR(VLOOKUP(Fact_Administrativa[[#This Row], 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ht="18.75" customHeight="1" x14ac:dyDescent="0.35">
      <c r="C1615" s="100" t="str">
        <f>IF(OR(Fact_Administrativa[[#This Row], [Año]]="",Fact_Administrativa[[#This Row], [Mes]]=""),"",DATE(A1615,MATCH(B1615,{"enero","febrero","marzo","abril","mayo","junio","julio","agosto","septiembre","octubre","noviembre","diciembre"},0)+1,0))</f>
        <v/>
      </c>
      <c r="E1615" t="str">
        <f>+IFERROR(VLOOKUP(Fact_Administrativa[[#This Row], [Concepto Anterior]],Conceptos_Administrativa[#All],5,0),"")</f>
        <v/>
      </c>
      <c r="F1615" t="str">
        <f>+IFERROR(VLOOKUP(Fact_Administrativa[[#This Row], 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ht="18.75" customHeight="1" x14ac:dyDescent="0.35">
      <c r="C1616" s="100" t="str">
        <f>IF(OR(Fact_Administrativa[[#This Row], [Año]]="",Fact_Administrativa[[#This Row], [Mes]]=""),"",DATE(A1616,MATCH(B1616,{"enero","febrero","marzo","abril","mayo","junio","julio","agosto","septiembre","octubre","noviembre","diciembre"},0)+1,0))</f>
        <v/>
      </c>
      <c r="E1616" t="str">
        <f>+IFERROR(VLOOKUP(Fact_Administrativa[[#This Row], [Concepto Anterior]],Conceptos_Administrativa[#All],5,0),"")</f>
        <v/>
      </c>
      <c r="F1616" t="str">
        <f>+IFERROR(VLOOKUP(Fact_Administrativa[[#This Row], 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ht="18.75" customHeight="1" x14ac:dyDescent="0.35">
      <c r="C1617" s="100" t="str">
        <f>IF(OR(Fact_Administrativa[[#This Row], [Año]]="",Fact_Administrativa[[#This Row], [Mes]]=""),"",DATE(A1617,MATCH(B1617,{"enero","febrero","marzo","abril","mayo","junio","julio","agosto","septiembre","octubre","noviembre","diciembre"},0)+1,0))</f>
        <v/>
      </c>
      <c r="E1617" t="str">
        <f>+IFERROR(VLOOKUP(Fact_Administrativa[[#This Row], [Concepto Anterior]],Conceptos_Administrativa[#All],5,0),"")</f>
        <v/>
      </c>
      <c r="F1617" t="str">
        <f>+IFERROR(VLOOKUP(Fact_Administrativa[[#This Row], 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ht="18.75" customHeight="1" x14ac:dyDescent="0.35">
      <c r="C1618" s="100" t="str">
        <f>IF(OR(Fact_Administrativa[[#This Row], [Año]]="",Fact_Administrativa[[#This Row], [Mes]]=""),"",DATE(A1618,MATCH(B1618,{"enero","febrero","marzo","abril","mayo","junio","julio","agosto","septiembre","octubre","noviembre","diciembre"},0)+1,0))</f>
        <v/>
      </c>
      <c r="E1618" t="str">
        <f>+IFERROR(VLOOKUP(Fact_Administrativa[[#This Row], [Concepto Anterior]],Conceptos_Administrativa[#All],5,0),"")</f>
        <v/>
      </c>
      <c r="F1618" t="str">
        <f>+IFERROR(VLOOKUP(Fact_Administrativa[[#This Row], 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ht="18.75" customHeight="1" x14ac:dyDescent="0.35">
      <c r="C1619" s="100" t="str">
        <f>IF(OR(Fact_Administrativa[[#This Row], [Año]]="",Fact_Administrativa[[#This Row], [Mes]]=""),"",DATE(A1619,MATCH(B1619,{"enero","febrero","marzo","abril","mayo","junio","julio","agosto","septiembre","octubre","noviembre","diciembre"},0)+1,0))</f>
        <v/>
      </c>
      <c r="E1619" t="str">
        <f>+IFERROR(VLOOKUP(Fact_Administrativa[[#This Row], [Concepto Anterior]],Conceptos_Administrativa[#All],5,0),"")</f>
        <v/>
      </c>
      <c r="F1619" t="str">
        <f>+IFERROR(VLOOKUP(Fact_Administrativa[[#This Row], 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ht="18.75" customHeight="1" x14ac:dyDescent="0.35">
      <c r="C1620" s="100" t="str">
        <f>IF(OR(Fact_Administrativa[[#This Row], [Año]]="",Fact_Administrativa[[#This Row], [Mes]]=""),"",DATE(A1620,MATCH(B1620,{"enero","febrero","marzo","abril","mayo","junio","julio","agosto","septiembre","octubre","noviembre","diciembre"},0)+1,0))</f>
        <v/>
      </c>
      <c r="E1620" t="str">
        <f>+IFERROR(VLOOKUP(Fact_Administrativa[[#This Row], [Concepto Anterior]],Conceptos_Administrativa[#All],5,0),"")</f>
        <v/>
      </c>
      <c r="F1620" t="str">
        <f>+IFERROR(VLOOKUP(Fact_Administrativa[[#This Row], 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ht="18.75" customHeight="1" x14ac:dyDescent="0.35">
      <c r="C1621" s="100" t="str">
        <f>IF(OR(Fact_Administrativa[[#This Row], [Año]]="",Fact_Administrativa[[#This Row], [Mes]]=""),"",DATE(A1621,MATCH(B1621,{"enero","febrero","marzo","abril","mayo","junio","julio","agosto","septiembre","octubre","noviembre","diciembre"},0)+1,0))</f>
        <v/>
      </c>
      <c r="E1621" t="str">
        <f>+IFERROR(VLOOKUP(Fact_Administrativa[[#This Row], [Concepto Anterior]],Conceptos_Administrativa[#All],5,0),"")</f>
        <v/>
      </c>
      <c r="F1621" t="str">
        <f>+IFERROR(VLOOKUP(Fact_Administrativa[[#This Row], 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ht="18.75" customHeight="1" x14ac:dyDescent="0.35">
      <c r="C1622" s="100" t="str">
        <f>IF(OR(Fact_Administrativa[[#This Row], [Año]]="",Fact_Administrativa[[#This Row], [Mes]]=""),"",DATE(A1622,MATCH(B1622,{"enero","febrero","marzo","abril","mayo","junio","julio","agosto","septiembre","octubre","noviembre","diciembre"},0)+1,0))</f>
        <v/>
      </c>
      <c r="E1622" t="str">
        <f>+IFERROR(VLOOKUP(Fact_Administrativa[[#This Row], [Concepto Anterior]],Conceptos_Administrativa[#All],5,0),"")</f>
        <v/>
      </c>
      <c r="F1622" t="str">
        <f>+IFERROR(VLOOKUP(Fact_Administrativa[[#This Row], 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ht="18.75" customHeight="1" x14ac:dyDescent="0.35">
      <c r="C1623" s="100" t="str">
        <f>IF(OR(Fact_Administrativa[[#This Row], [Año]]="",Fact_Administrativa[[#This Row], [Mes]]=""),"",DATE(A1623,MATCH(B1623,{"enero","febrero","marzo","abril","mayo","junio","julio","agosto","septiembre","octubre","noviembre","diciembre"},0)+1,0))</f>
        <v/>
      </c>
      <c r="E1623" t="str">
        <f>+IFERROR(VLOOKUP(Fact_Administrativa[[#This Row], [Concepto Anterior]],Conceptos_Administrativa[#All],5,0),"")</f>
        <v/>
      </c>
      <c r="F1623" t="str">
        <f>+IFERROR(VLOOKUP(Fact_Administrativa[[#This Row], 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ht="18.75" customHeight="1" x14ac:dyDescent="0.35">
      <c r="C1624" s="100" t="str">
        <f>IF(OR(Fact_Administrativa[[#This Row], [Año]]="",Fact_Administrativa[[#This Row], [Mes]]=""),"",DATE(A1624,MATCH(B1624,{"enero","febrero","marzo","abril","mayo","junio","julio","agosto","septiembre","octubre","noviembre","diciembre"},0)+1,0))</f>
        <v/>
      </c>
      <c r="E1624" t="str">
        <f>+IFERROR(VLOOKUP(Fact_Administrativa[[#This Row], [Concepto Anterior]],Conceptos_Administrativa[#All],5,0),"")</f>
        <v/>
      </c>
      <c r="F1624" t="str">
        <f>+IFERROR(VLOOKUP(Fact_Administrativa[[#This Row], 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ht="18.75" customHeight="1" x14ac:dyDescent="0.35">
      <c r="C1625" s="100" t="str">
        <f>IF(OR(Fact_Administrativa[[#This Row], [Año]]="",Fact_Administrativa[[#This Row], [Mes]]=""),"",DATE(A1625,MATCH(B1625,{"enero","febrero","marzo","abril","mayo","junio","julio","agosto","septiembre","octubre","noviembre","diciembre"},0)+1,0))</f>
        <v/>
      </c>
      <c r="E1625" t="str">
        <f>+IFERROR(VLOOKUP(Fact_Administrativa[[#This Row], [Concepto Anterior]],Conceptos_Administrativa[#All],5,0),"")</f>
        <v/>
      </c>
      <c r="F1625" t="str">
        <f>+IFERROR(VLOOKUP(Fact_Administrativa[[#This Row], 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ht="18.75" customHeight="1" x14ac:dyDescent="0.35">
      <c r="C1626" s="100" t="str">
        <f>IF(OR(Fact_Administrativa[[#This Row], [Año]]="",Fact_Administrativa[[#This Row], [Mes]]=""),"",DATE(A1626,MATCH(B1626,{"enero","febrero","marzo","abril","mayo","junio","julio","agosto","septiembre","octubre","noviembre","diciembre"},0)+1,0))</f>
        <v/>
      </c>
      <c r="E1626" t="str">
        <f>+IFERROR(VLOOKUP(Fact_Administrativa[[#This Row], [Concepto Anterior]],Conceptos_Administrativa[#All],5,0),"")</f>
        <v/>
      </c>
      <c r="F1626" t="str">
        <f>+IFERROR(VLOOKUP(Fact_Administrativa[[#This Row], 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ht="18.75" customHeight="1" x14ac:dyDescent="0.35">
      <c r="C1627" s="100" t="str">
        <f>IF(OR(Fact_Administrativa[[#This Row], [Año]]="",Fact_Administrativa[[#This Row], [Mes]]=""),"",DATE(A1627,MATCH(B1627,{"enero","febrero","marzo","abril","mayo","junio","julio","agosto","septiembre","octubre","noviembre","diciembre"},0)+1,0))</f>
        <v/>
      </c>
      <c r="E1627" t="str">
        <f>+IFERROR(VLOOKUP(Fact_Administrativa[[#This Row], [Concepto Anterior]],Conceptos_Administrativa[#All],5,0),"")</f>
        <v/>
      </c>
      <c r="F1627" t="str">
        <f>+IFERROR(VLOOKUP(Fact_Administrativa[[#This Row], 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ht="18.75" customHeight="1" x14ac:dyDescent="0.35">
      <c r="C1628" s="100" t="str">
        <f>IF(OR(Fact_Administrativa[[#This Row], [Año]]="",Fact_Administrativa[[#This Row], [Mes]]=""),"",DATE(A1628,MATCH(B1628,{"enero","febrero","marzo","abril","mayo","junio","julio","agosto","septiembre","octubre","noviembre","diciembre"},0)+1,0))</f>
        <v/>
      </c>
      <c r="E1628" t="str">
        <f>+IFERROR(VLOOKUP(Fact_Administrativa[[#This Row], [Concepto Anterior]],Conceptos_Administrativa[#All],5,0),"")</f>
        <v/>
      </c>
      <c r="F1628" t="str">
        <f>+IFERROR(VLOOKUP(Fact_Administrativa[[#This Row], 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ht="18.75" customHeight="1" x14ac:dyDescent="0.35">
      <c r="C1629" s="100" t="str">
        <f>IF(OR(Fact_Administrativa[[#This Row], [Año]]="",Fact_Administrativa[[#This Row], [Mes]]=""),"",DATE(A1629,MATCH(B1629,{"enero","febrero","marzo","abril","mayo","junio","julio","agosto","septiembre","octubre","noviembre","diciembre"},0)+1,0))</f>
        <v/>
      </c>
      <c r="E1629" t="str">
        <f>+IFERROR(VLOOKUP(Fact_Administrativa[[#This Row], [Concepto Anterior]],Conceptos_Administrativa[#All],5,0),"")</f>
        <v/>
      </c>
      <c r="F1629" t="str">
        <f>+IFERROR(VLOOKUP(Fact_Administrativa[[#This Row], 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ht="18.75" customHeight="1" x14ac:dyDescent="0.35">
      <c r="C1630" s="100" t="str">
        <f>IF(OR(Fact_Administrativa[[#This Row], [Año]]="",Fact_Administrativa[[#This Row], [Mes]]=""),"",DATE(A1630,MATCH(B1630,{"enero","febrero","marzo","abril","mayo","junio","julio","agosto","septiembre","octubre","noviembre","diciembre"},0)+1,0))</f>
        <v/>
      </c>
      <c r="E1630" t="str">
        <f>+IFERROR(VLOOKUP(Fact_Administrativa[[#This Row], [Concepto Anterior]],Conceptos_Administrativa[#All],5,0),"")</f>
        <v/>
      </c>
      <c r="F1630" t="str">
        <f>+IFERROR(VLOOKUP(Fact_Administrativa[[#This Row], 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ht="18.75" customHeight="1" x14ac:dyDescent="0.35">
      <c r="C1631" s="100" t="str">
        <f>IF(OR(Fact_Administrativa[[#This Row], [Año]]="",Fact_Administrativa[[#This Row], [Mes]]=""),"",DATE(A1631,MATCH(B1631,{"enero","febrero","marzo","abril","mayo","junio","julio","agosto","septiembre","octubre","noviembre","diciembre"},0)+1,0))</f>
        <v/>
      </c>
      <c r="E1631" t="str">
        <f>+IFERROR(VLOOKUP(Fact_Administrativa[[#This Row], [Concepto Anterior]],Conceptos_Administrativa[#All],5,0),"")</f>
        <v/>
      </c>
      <c r="F1631" t="str">
        <f>+IFERROR(VLOOKUP(Fact_Administrativa[[#This Row], 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ht="18.75" customHeight="1" x14ac:dyDescent="0.35">
      <c r="C1632" s="100" t="str">
        <f>IF(OR(Fact_Administrativa[[#This Row], [Año]]="",Fact_Administrativa[[#This Row], [Mes]]=""),"",DATE(A1632,MATCH(B1632,{"enero","febrero","marzo","abril","mayo","junio","julio","agosto","septiembre","octubre","noviembre","diciembre"},0)+1,0))</f>
        <v/>
      </c>
      <c r="E1632" t="str">
        <f>+IFERROR(VLOOKUP(Fact_Administrativa[[#This Row], [Concepto Anterior]],Conceptos_Administrativa[#All],5,0),"")</f>
        <v/>
      </c>
      <c r="F1632" t="str">
        <f>+IFERROR(VLOOKUP(Fact_Administrativa[[#This Row], 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ht="18.75" customHeight="1" x14ac:dyDescent="0.35">
      <c r="C1633" s="100" t="str">
        <f>IF(OR(Fact_Administrativa[[#This Row], [Año]]="",Fact_Administrativa[[#This Row], [Mes]]=""),"",DATE(A1633,MATCH(B1633,{"enero","febrero","marzo","abril","mayo","junio","julio","agosto","septiembre","octubre","noviembre","diciembre"},0)+1,0))</f>
        <v/>
      </c>
      <c r="E1633" t="str">
        <f>+IFERROR(VLOOKUP(Fact_Administrativa[[#This Row], [Concepto Anterior]],Conceptos_Administrativa[#All],5,0),"")</f>
        <v/>
      </c>
      <c r="F1633" t="str">
        <f>+IFERROR(VLOOKUP(Fact_Administrativa[[#This Row], 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ht="18.75" customHeight="1" x14ac:dyDescent="0.35">
      <c r="C1634" s="100" t="str">
        <f>IF(OR(Fact_Administrativa[[#This Row], [Año]]="",Fact_Administrativa[[#This Row], [Mes]]=""),"",DATE(A1634,MATCH(B1634,{"enero","febrero","marzo","abril","mayo","junio","julio","agosto","septiembre","octubre","noviembre","diciembre"},0)+1,0))</f>
        <v/>
      </c>
      <c r="E1634" t="str">
        <f>+IFERROR(VLOOKUP(Fact_Administrativa[[#This Row], [Concepto Anterior]],Conceptos_Administrativa[#All],5,0),"")</f>
        <v/>
      </c>
      <c r="F1634" t="str">
        <f>+IFERROR(VLOOKUP(Fact_Administrativa[[#This Row], 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ht="18.75" customHeight="1" x14ac:dyDescent="0.35">
      <c r="C1635" s="100" t="str">
        <f>IF(OR(Fact_Administrativa[[#This Row], [Año]]="",Fact_Administrativa[[#This Row], [Mes]]=""),"",DATE(A1635,MATCH(B1635,{"enero","febrero","marzo","abril","mayo","junio","julio","agosto","septiembre","octubre","noviembre","diciembre"},0)+1,0))</f>
        <v/>
      </c>
      <c r="E1635" t="str">
        <f>+IFERROR(VLOOKUP(Fact_Administrativa[[#This Row], [Concepto Anterior]],Conceptos_Administrativa[#All],5,0),"")</f>
        <v/>
      </c>
      <c r="F1635" t="str">
        <f>+IFERROR(VLOOKUP(Fact_Administrativa[[#This Row], 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ht="18.75" customHeight="1" x14ac:dyDescent="0.35">
      <c r="C1636" s="100" t="str">
        <f>IF(OR(Fact_Administrativa[[#This Row], [Año]]="",Fact_Administrativa[[#This Row], [Mes]]=""),"",DATE(A1636,MATCH(B1636,{"enero","febrero","marzo","abril","mayo","junio","julio","agosto","septiembre","octubre","noviembre","diciembre"},0)+1,0))</f>
        <v/>
      </c>
      <c r="E1636" t="str">
        <f>+IFERROR(VLOOKUP(Fact_Administrativa[[#This Row], [Concepto Anterior]],Conceptos_Administrativa[#All],5,0),"")</f>
        <v/>
      </c>
      <c r="F1636" t="str">
        <f>+IFERROR(VLOOKUP(Fact_Administrativa[[#This Row], 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ht="18.75" customHeight="1" x14ac:dyDescent="0.35">
      <c r="C1637" s="100" t="str">
        <f>IF(OR(Fact_Administrativa[[#This Row], [Año]]="",Fact_Administrativa[[#This Row], [Mes]]=""),"",DATE(A1637,MATCH(B1637,{"enero","febrero","marzo","abril","mayo","junio","julio","agosto","septiembre","octubre","noviembre","diciembre"},0)+1,0))</f>
        <v/>
      </c>
      <c r="E1637" t="str">
        <f>+IFERROR(VLOOKUP(Fact_Administrativa[[#This Row], [Concepto Anterior]],Conceptos_Administrativa[#All],5,0),"")</f>
        <v/>
      </c>
      <c r="F1637" t="str">
        <f>+IFERROR(VLOOKUP(Fact_Administrativa[[#This Row], 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ht="18.75" customHeight="1" x14ac:dyDescent="0.35">
      <c r="C1638" s="100" t="str">
        <f>IF(OR(Fact_Administrativa[[#This Row], [Año]]="",Fact_Administrativa[[#This Row], [Mes]]=""),"",DATE(A1638,MATCH(B1638,{"enero","febrero","marzo","abril","mayo","junio","julio","agosto","septiembre","octubre","noviembre","diciembre"},0)+1,0))</f>
        <v/>
      </c>
      <c r="E1638" t="str">
        <f>+IFERROR(VLOOKUP(Fact_Administrativa[[#This Row], [Concepto Anterior]],Conceptos_Administrativa[#All],5,0),"")</f>
        <v/>
      </c>
      <c r="F1638" t="str">
        <f>+IFERROR(VLOOKUP(Fact_Administrativa[[#This Row], 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ht="18.75" customHeight="1" x14ac:dyDescent="0.35">
      <c r="C1639" s="100" t="str">
        <f>IF(OR(Fact_Administrativa[[#This Row], [Año]]="",Fact_Administrativa[[#This Row], [Mes]]=""),"",DATE(A1639,MATCH(B1639,{"enero","febrero","marzo","abril","mayo","junio","julio","agosto","septiembre","octubre","noviembre","diciembre"},0)+1,0))</f>
        <v/>
      </c>
      <c r="E1639" t="str">
        <f>+IFERROR(VLOOKUP(Fact_Administrativa[[#This Row], [Concepto Anterior]],Conceptos_Administrativa[#All],5,0),"")</f>
        <v/>
      </c>
      <c r="F1639" t="str">
        <f>+IFERROR(VLOOKUP(Fact_Administrativa[[#This Row], 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ht="18.75" customHeight="1" x14ac:dyDescent="0.35">
      <c r="C1640" s="100" t="str">
        <f>IF(OR(Fact_Administrativa[[#This Row], [Año]]="",Fact_Administrativa[[#This Row], [Mes]]=""),"",DATE(A1640,MATCH(B1640,{"enero","febrero","marzo","abril","mayo","junio","julio","agosto","septiembre","octubre","noviembre","diciembre"},0)+1,0))</f>
        <v/>
      </c>
      <c r="E1640" t="str">
        <f>+IFERROR(VLOOKUP(Fact_Administrativa[[#This Row], [Concepto Anterior]],Conceptos_Administrativa[#All],5,0),"")</f>
        <v/>
      </c>
      <c r="F1640" t="str">
        <f>+IFERROR(VLOOKUP(Fact_Administrativa[[#This Row], 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ht="18.75" customHeight="1" x14ac:dyDescent="0.35">
      <c r="C1641" s="100" t="str">
        <f>IF(OR(Fact_Administrativa[[#This Row], [Año]]="",Fact_Administrativa[[#This Row], [Mes]]=""),"",DATE(A1641,MATCH(B1641,{"enero","febrero","marzo","abril","mayo","junio","julio","agosto","septiembre","octubre","noviembre","diciembre"},0)+1,0))</f>
        <v/>
      </c>
      <c r="E1641" t="str">
        <f>+IFERROR(VLOOKUP(Fact_Administrativa[[#This Row], [Concepto Anterior]],Conceptos_Administrativa[#All],5,0),"")</f>
        <v/>
      </c>
      <c r="F1641" t="str">
        <f>+IFERROR(VLOOKUP(Fact_Administrativa[[#This Row], 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ht="18.75" customHeight="1" x14ac:dyDescent="0.35">
      <c r="C1642" s="100" t="str">
        <f>IF(OR(Fact_Administrativa[[#This Row], [Año]]="",Fact_Administrativa[[#This Row], [Mes]]=""),"",DATE(A1642,MATCH(B1642,{"enero","febrero","marzo","abril","mayo","junio","julio","agosto","septiembre","octubre","noviembre","diciembre"},0)+1,0))</f>
        <v/>
      </c>
      <c r="E1642" t="str">
        <f>+IFERROR(VLOOKUP(Fact_Administrativa[[#This Row], [Concepto Anterior]],Conceptos_Administrativa[#All],5,0),"")</f>
        <v/>
      </c>
      <c r="F1642" t="str">
        <f>+IFERROR(VLOOKUP(Fact_Administrativa[[#This Row], 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ht="18.75" customHeight="1" x14ac:dyDescent="0.35">
      <c r="C1643" s="100" t="str">
        <f>IF(OR(Fact_Administrativa[[#This Row], [Año]]="",Fact_Administrativa[[#This Row], [Mes]]=""),"",DATE(A1643,MATCH(B1643,{"enero","febrero","marzo","abril","mayo","junio","julio","agosto","septiembre","octubre","noviembre","diciembre"},0)+1,0))</f>
        <v/>
      </c>
      <c r="E1643" t="str">
        <f>+IFERROR(VLOOKUP(Fact_Administrativa[[#This Row], [Concepto Anterior]],Conceptos_Administrativa[#All],5,0),"")</f>
        <v/>
      </c>
      <c r="F1643" t="str">
        <f>+IFERROR(VLOOKUP(Fact_Administrativa[[#This Row], 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ht="18.75" customHeight="1" x14ac:dyDescent="0.35">
      <c r="C1644" s="100" t="str">
        <f>IF(OR(Fact_Administrativa[[#This Row], [Año]]="",Fact_Administrativa[[#This Row], [Mes]]=""),"",DATE(A1644,MATCH(B1644,{"enero","febrero","marzo","abril","mayo","junio","julio","agosto","septiembre","octubre","noviembre","diciembre"},0)+1,0))</f>
        <v/>
      </c>
      <c r="E1644" t="str">
        <f>+IFERROR(VLOOKUP(Fact_Administrativa[[#This Row], [Concepto Anterior]],Conceptos_Administrativa[#All],5,0),"")</f>
        <v/>
      </c>
      <c r="F1644" t="str">
        <f>+IFERROR(VLOOKUP(Fact_Administrativa[[#This Row], 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ht="18.75" customHeight="1" x14ac:dyDescent="0.35">
      <c r="C1645" s="100" t="str">
        <f>IF(OR(Fact_Administrativa[[#This Row], [Año]]="",Fact_Administrativa[[#This Row], [Mes]]=""),"",DATE(A1645,MATCH(B1645,{"enero","febrero","marzo","abril","mayo","junio","julio","agosto","septiembre","octubre","noviembre","diciembre"},0)+1,0))</f>
        <v/>
      </c>
      <c r="E1645" t="str">
        <f>+IFERROR(VLOOKUP(Fact_Administrativa[[#This Row], [Concepto Anterior]],Conceptos_Administrativa[#All],5,0),"")</f>
        <v/>
      </c>
      <c r="F1645" t="str">
        <f>+IFERROR(VLOOKUP(Fact_Administrativa[[#This Row], 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ht="18.75" customHeight="1" x14ac:dyDescent="0.35">
      <c r="C1646" s="100" t="str">
        <f>IF(OR(Fact_Administrativa[[#This Row], [Año]]="",Fact_Administrativa[[#This Row], [Mes]]=""),"",DATE(A1646,MATCH(B1646,{"enero","febrero","marzo","abril","mayo","junio","julio","agosto","septiembre","octubre","noviembre","diciembre"},0)+1,0))</f>
        <v/>
      </c>
      <c r="E1646" t="str">
        <f>+IFERROR(VLOOKUP(Fact_Administrativa[[#This Row], [Concepto Anterior]],Conceptos_Administrativa[#All],5,0),"")</f>
        <v/>
      </c>
      <c r="F1646" t="str">
        <f>+IFERROR(VLOOKUP(Fact_Administrativa[[#This Row], 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ht="18.75" customHeight="1" x14ac:dyDescent="0.35">
      <c r="C1647" s="100" t="str">
        <f>IF(OR(Fact_Administrativa[[#This Row], [Año]]="",Fact_Administrativa[[#This Row], [Mes]]=""),"",DATE(A1647,MATCH(B1647,{"enero","febrero","marzo","abril","mayo","junio","julio","agosto","septiembre","octubre","noviembre","diciembre"},0)+1,0))</f>
        <v/>
      </c>
      <c r="E1647" t="str">
        <f>+IFERROR(VLOOKUP(Fact_Administrativa[[#This Row], [Concepto Anterior]],Conceptos_Administrativa[#All],5,0),"")</f>
        <v/>
      </c>
      <c r="F1647" t="str">
        <f>+IFERROR(VLOOKUP(Fact_Administrativa[[#This Row], 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ht="18.75" customHeight="1" x14ac:dyDescent="0.35">
      <c r="C1648" s="100" t="str">
        <f>IF(OR(Fact_Administrativa[[#This Row], [Año]]="",Fact_Administrativa[[#This Row], [Mes]]=""),"",DATE(A1648,MATCH(B1648,{"enero","febrero","marzo","abril","mayo","junio","julio","agosto","septiembre","octubre","noviembre","diciembre"},0)+1,0))</f>
        <v/>
      </c>
      <c r="E1648" t="str">
        <f>+IFERROR(VLOOKUP(Fact_Administrativa[[#This Row], [Concepto Anterior]],Conceptos_Administrativa[#All],5,0),"")</f>
        <v/>
      </c>
      <c r="F1648" t="str">
        <f>+IFERROR(VLOOKUP(Fact_Administrativa[[#This Row], 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ht="18.75" customHeight="1" x14ac:dyDescent="0.35">
      <c r="C1649" s="100" t="str">
        <f>IF(OR(Fact_Administrativa[[#This Row], [Año]]="",Fact_Administrativa[[#This Row], [Mes]]=""),"",DATE(A1649,MATCH(B1649,{"enero","febrero","marzo","abril","mayo","junio","julio","agosto","septiembre","octubre","noviembre","diciembre"},0)+1,0))</f>
        <v/>
      </c>
      <c r="E1649" t="str">
        <f>+IFERROR(VLOOKUP(Fact_Administrativa[[#This Row], [Concepto Anterior]],Conceptos_Administrativa[#All],5,0),"")</f>
        <v/>
      </c>
      <c r="F1649" t="str">
        <f>+IFERROR(VLOOKUP(Fact_Administrativa[[#This Row], 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ht="18.75" customHeight="1" x14ac:dyDescent="0.35">
      <c r="C1650" s="100" t="str">
        <f>IF(OR(Fact_Administrativa[[#This Row], [Año]]="",Fact_Administrativa[[#This Row], [Mes]]=""),"",DATE(A1650,MATCH(B1650,{"enero","febrero","marzo","abril","mayo","junio","julio","agosto","septiembre","octubre","noviembre","diciembre"},0)+1,0))</f>
        <v/>
      </c>
      <c r="E1650" t="str">
        <f>+IFERROR(VLOOKUP(Fact_Administrativa[[#This Row], [Concepto Anterior]],Conceptos_Administrativa[#All],5,0),"")</f>
        <v/>
      </c>
      <c r="F1650" t="str">
        <f>+IFERROR(VLOOKUP(Fact_Administrativa[[#This Row], 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ht="18.75" customHeight="1" x14ac:dyDescent="0.35">
      <c r="C1651" s="100" t="str">
        <f>IF(OR(Fact_Administrativa[[#This Row], [Año]]="",Fact_Administrativa[[#This Row], [Mes]]=""),"",DATE(A1651,MATCH(B1651,{"enero","febrero","marzo","abril","mayo","junio","julio","agosto","septiembre","octubre","noviembre","diciembre"},0)+1,0))</f>
        <v/>
      </c>
      <c r="E1651" t="str">
        <f>+IFERROR(VLOOKUP(Fact_Administrativa[[#This Row], [Concepto Anterior]],Conceptos_Administrativa[#All],5,0),"")</f>
        <v/>
      </c>
      <c r="F1651" t="str">
        <f>+IFERROR(VLOOKUP(Fact_Administrativa[[#This Row], 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ht="18.75" customHeight="1" x14ac:dyDescent="0.35">
      <c r="C1652" s="100" t="str">
        <f>IF(OR(Fact_Administrativa[[#This Row], [Año]]="",Fact_Administrativa[[#This Row], [Mes]]=""),"",DATE(A1652,MATCH(B1652,{"enero","febrero","marzo","abril","mayo","junio","julio","agosto","septiembre","octubre","noviembre","diciembre"},0)+1,0))</f>
        <v/>
      </c>
      <c r="E1652" t="str">
        <f>+IFERROR(VLOOKUP(Fact_Administrativa[[#This Row], [Concepto Anterior]],Conceptos_Administrativa[#All],5,0),"")</f>
        <v/>
      </c>
      <c r="F1652" t="str">
        <f>+IFERROR(VLOOKUP(Fact_Administrativa[[#This Row], 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ht="18.75" customHeight="1" x14ac:dyDescent="0.35">
      <c r="C1653" s="100" t="str">
        <f>IF(OR(Fact_Administrativa[[#This Row], [Año]]="",Fact_Administrativa[[#This Row], [Mes]]=""),"",DATE(A1653,MATCH(B1653,{"enero","febrero","marzo","abril","mayo","junio","julio","agosto","septiembre","octubre","noviembre","diciembre"},0)+1,0))</f>
        <v/>
      </c>
      <c r="E1653" t="str">
        <f>+IFERROR(VLOOKUP(Fact_Administrativa[[#This Row], [Concepto Anterior]],Conceptos_Administrativa[#All],5,0),"")</f>
        <v/>
      </c>
      <c r="F1653" t="str">
        <f>+IFERROR(VLOOKUP(Fact_Administrativa[[#This Row], 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ht="18.75" customHeight="1" x14ac:dyDescent="0.35">
      <c r="C1654" s="100" t="str">
        <f>IF(OR(Fact_Administrativa[[#This Row], [Año]]="",Fact_Administrativa[[#This Row], [Mes]]=""),"",DATE(A1654,MATCH(B1654,{"enero","febrero","marzo","abril","mayo","junio","julio","agosto","septiembre","octubre","noviembre","diciembre"},0)+1,0))</f>
        <v/>
      </c>
      <c r="E1654" t="str">
        <f>+IFERROR(VLOOKUP(Fact_Administrativa[[#This Row], [Concepto Anterior]],Conceptos_Administrativa[#All],5,0),"")</f>
        <v/>
      </c>
      <c r="F1654" t="str">
        <f>+IFERROR(VLOOKUP(Fact_Administrativa[[#This Row], 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ht="18.75" customHeight="1" x14ac:dyDescent="0.35">
      <c r="C1655" s="100" t="str">
        <f>IF(OR(Fact_Administrativa[[#This Row], [Año]]="",Fact_Administrativa[[#This Row], [Mes]]=""),"",DATE(A1655,MATCH(B1655,{"enero","febrero","marzo","abril","mayo","junio","julio","agosto","septiembre","octubre","noviembre","diciembre"},0)+1,0))</f>
        <v/>
      </c>
      <c r="E1655" t="str">
        <f>+IFERROR(VLOOKUP(Fact_Administrativa[[#This Row], [Concepto Anterior]],Conceptos_Administrativa[#All],5,0),"")</f>
        <v/>
      </c>
      <c r="F1655" t="str">
        <f>+IFERROR(VLOOKUP(Fact_Administrativa[[#This Row], 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ht="18.75" customHeight="1" x14ac:dyDescent="0.35">
      <c r="C1656" s="100" t="str">
        <f>IF(OR(Fact_Administrativa[[#This Row], [Año]]="",Fact_Administrativa[[#This Row], [Mes]]=""),"",DATE(A1656,MATCH(B1656,{"enero","febrero","marzo","abril","mayo","junio","julio","agosto","septiembre","octubre","noviembre","diciembre"},0)+1,0))</f>
        <v/>
      </c>
      <c r="E1656" t="str">
        <f>+IFERROR(VLOOKUP(Fact_Administrativa[[#This Row], [Concepto Anterior]],Conceptos_Administrativa[#All],5,0),"")</f>
        <v/>
      </c>
      <c r="F1656" t="str">
        <f>+IFERROR(VLOOKUP(Fact_Administrativa[[#This Row], 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ht="18.75" customHeight="1" x14ac:dyDescent="0.35">
      <c r="C1657" s="100" t="str">
        <f>IF(OR(Fact_Administrativa[[#This Row], [Año]]="",Fact_Administrativa[[#This Row], [Mes]]=""),"",DATE(A1657,MATCH(B1657,{"enero","febrero","marzo","abril","mayo","junio","julio","agosto","septiembre","octubre","noviembre","diciembre"},0)+1,0))</f>
        <v/>
      </c>
      <c r="E1657" t="str">
        <f>+IFERROR(VLOOKUP(Fact_Administrativa[[#This Row], [Concepto Anterior]],Conceptos_Administrativa[#All],5,0),"")</f>
        <v/>
      </c>
      <c r="F1657" t="str">
        <f>+IFERROR(VLOOKUP(Fact_Administrativa[[#This Row], 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ht="18.75" customHeight="1" x14ac:dyDescent="0.35">
      <c r="C1658" s="100" t="str">
        <f>IF(OR(Fact_Administrativa[[#This Row], [Año]]="",Fact_Administrativa[[#This Row], [Mes]]=""),"",DATE(A1658,MATCH(B1658,{"enero","febrero","marzo","abril","mayo","junio","julio","agosto","septiembre","octubre","noviembre","diciembre"},0)+1,0))</f>
        <v/>
      </c>
      <c r="E1658" t="str">
        <f>+IFERROR(VLOOKUP(Fact_Administrativa[[#This Row], [Concepto Anterior]],Conceptos_Administrativa[#All],5,0),"")</f>
        <v/>
      </c>
      <c r="F1658" t="str">
        <f>+IFERROR(VLOOKUP(Fact_Administrativa[[#This Row], 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ht="18.75" customHeight="1" x14ac:dyDescent="0.35">
      <c r="C1659" s="100" t="str">
        <f>IF(OR(Fact_Administrativa[[#This Row], [Año]]="",Fact_Administrativa[[#This Row], [Mes]]=""),"",DATE(A1659,MATCH(B1659,{"enero","febrero","marzo","abril","mayo","junio","julio","agosto","septiembre","octubre","noviembre","diciembre"},0)+1,0))</f>
        <v/>
      </c>
      <c r="E1659" t="str">
        <f>+IFERROR(VLOOKUP(Fact_Administrativa[[#This Row], [Concepto Anterior]],Conceptos_Administrativa[#All],5,0),"")</f>
        <v/>
      </c>
      <c r="F1659" t="str">
        <f>+IFERROR(VLOOKUP(Fact_Administrativa[[#This Row], 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ht="18.75" customHeight="1" x14ac:dyDescent="0.35">
      <c r="C1660" s="100" t="str">
        <f>IF(OR(Fact_Administrativa[[#This Row], [Año]]="",Fact_Administrativa[[#This Row], [Mes]]=""),"",DATE(A1660,MATCH(B1660,{"enero","febrero","marzo","abril","mayo","junio","julio","agosto","septiembre","octubre","noviembre","diciembre"},0)+1,0))</f>
        <v/>
      </c>
      <c r="E1660" t="str">
        <f>+IFERROR(VLOOKUP(Fact_Administrativa[[#This Row], [Concepto Anterior]],Conceptos_Administrativa[#All],5,0),"")</f>
        <v/>
      </c>
      <c r="F1660" t="str">
        <f>+IFERROR(VLOOKUP(Fact_Administrativa[[#This Row], 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ht="18.75" customHeight="1" x14ac:dyDescent="0.35">
      <c r="C1661" s="100" t="str">
        <f>IF(OR(Fact_Administrativa[[#This Row], [Año]]="",Fact_Administrativa[[#This Row], [Mes]]=""),"",DATE(A1661,MATCH(B1661,{"enero","febrero","marzo","abril","mayo","junio","julio","agosto","septiembre","octubre","noviembre","diciembre"},0)+1,0))</f>
        <v/>
      </c>
      <c r="E1661" t="str">
        <f>+IFERROR(VLOOKUP(Fact_Administrativa[[#This Row], [Concepto Anterior]],Conceptos_Administrativa[#All],5,0),"")</f>
        <v/>
      </c>
      <c r="F1661" t="str">
        <f>+IFERROR(VLOOKUP(Fact_Administrativa[[#This Row], 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ht="18.75" customHeight="1" x14ac:dyDescent="0.35">
      <c r="C1662" s="100" t="str">
        <f>IF(OR(Fact_Administrativa[[#This Row], [Año]]="",Fact_Administrativa[[#This Row], [Mes]]=""),"",DATE(A1662,MATCH(B1662,{"enero","febrero","marzo","abril","mayo","junio","julio","agosto","septiembre","octubre","noviembre","diciembre"},0)+1,0))</f>
        <v/>
      </c>
      <c r="E1662" t="str">
        <f>+IFERROR(VLOOKUP(Fact_Administrativa[[#This Row], [Concepto Anterior]],Conceptos_Administrativa[#All],5,0),"")</f>
        <v/>
      </c>
      <c r="F1662" t="str">
        <f>+IFERROR(VLOOKUP(Fact_Administrativa[[#This Row], 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ht="18.75" customHeight="1" x14ac:dyDescent="0.35">
      <c r="C1663" s="100" t="str">
        <f>IF(OR(Fact_Administrativa[[#This Row], [Año]]="",Fact_Administrativa[[#This Row], [Mes]]=""),"",DATE(A1663,MATCH(B1663,{"enero","febrero","marzo","abril","mayo","junio","julio","agosto","septiembre","octubre","noviembre","diciembre"},0)+1,0))</f>
        <v/>
      </c>
      <c r="E1663" t="str">
        <f>+IFERROR(VLOOKUP(Fact_Administrativa[[#This Row], [Concepto Anterior]],Conceptos_Administrativa[#All],5,0),"")</f>
        <v/>
      </c>
      <c r="F1663" t="str">
        <f>+IFERROR(VLOOKUP(Fact_Administrativa[[#This Row], 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ht="18.75" customHeight="1" x14ac:dyDescent="0.35">
      <c r="C1664" s="100" t="str">
        <f>IF(OR(Fact_Administrativa[[#This Row], [Año]]="",Fact_Administrativa[[#This Row], [Mes]]=""),"",DATE(A1664,MATCH(B1664,{"enero","febrero","marzo","abril","mayo","junio","julio","agosto","septiembre","octubre","noviembre","diciembre"},0)+1,0))</f>
        <v/>
      </c>
      <c r="E1664" t="str">
        <f>+IFERROR(VLOOKUP(Fact_Administrativa[[#This Row], [Concepto Anterior]],Conceptos_Administrativa[#All],5,0),"")</f>
        <v/>
      </c>
      <c r="F1664" t="str">
        <f>+IFERROR(VLOOKUP(Fact_Administrativa[[#This Row], 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ht="18.75" customHeight="1" x14ac:dyDescent="0.35">
      <c r="C1665" s="100" t="str">
        <f>IF(OR(Fact_Administrativa[[#This Row], [Año]]="",Fact_Administrativa[[#This Row], [Mes]]=""),"",DATE(A1665,MATCH(B1665,{"enero","febrero","marzo","abril","mayo","junio","julio","agosto","septiembre","octubre","noviembre","diciembre"},0)+1,0))</f>
        <v/>
      </c>
      <c r="E1665" t="str">
        <f>+IFERROR(VLOOKUP(Fact_Administrativa[[#This Row], [Concepto Anterior]],Conceptos_Administrativa[#All],5,0),"")</f>
        <v/>
      </c>
      <c r="F1665" t="str">
        <f>+IFERROR(VLOOKUP(Fact_Administrativa[[#This Row], 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ht="18.75" customHeight="1" x14ac:dyDescent="0.35">
      <c r="C1666" s="100" t="str">
        <f>IF(OR(Fact_Administrativa[[#This Row], [Año]]="",Fact_Administrativa[[#This Row], [Mes]]=""),"",DATE(A1666,MATCH(B1666,{"enero","febrero","marzo","abril","mayo","junio","julio","agosto","septiembre","octubre","noviembre","diciembre"},0)+1,0))</f>
        <v/>
      </c>
      <c r="E1666" t="str">
        <f>+IFERROR(VLOOKUP(Fact_Administrativa[[#This Row], [Concepto Anterior]],Conceptos_Administrativa[#All],5,0),"")</f>
        <v/>
      </c>
      <c r="F1666" t="str">
        <f>+IFERROR(VLOOKUP(Fact_Administrativa[[#This Row], 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ht="18.75" customHeight="1" x14ac:dyDescent="0.35">
      <c r="C1667" s="100" t="str">
        <f>IF(OR(Fact_Administrativa[[#This Row], [Año]]="",Fact_Administrativa[[#This Row], [Mes]]=""),"",DATE(A1667,MATCH(B1667,{"enero","febrero","marzo","abril","mayo","junio","julio","agosto","septiembre","octubre","noviembre","diciembre"},0)+1,0))</f>
        <v/>
      </c>
      <c r="E1667" t="str">
        <f>+IFERROR(VLOOKUP(Fact_Administrativa[[#This Row], [Concepto Anterior]],Conceptos_Administrativa[#All],5,0),"")</f>
        <v/>
      </c>
      <c r="F1667" t="str">
        <f>+IFERROR(VLOOKUP(Fact_Administrativa[[#This Row], 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ht="18.75" customHeight="1" x14ac:dyDescent="0.35">
      <c r="C1668" s="100" t="str">
        <f>IF(OR(Fact_Administrativa[[#This Row], [Año]]="",Fact_Administrativa[[#This Row], [Mes]]=""),"",DATE(A1668,MATCH(B1668,{"enero","febrero","marzo","abril","mayo","junio","julio","agosto","septiembre","octubre","noviembre","diciembre"},0)+1,0))</f>
        <v/>
      </c>
      <c r="E1668" t="str">
        <f>+IFERROR(VLOOKUP(Fact_Administrativa[[#This Row], [Concepto Anterior]],Conceptos_Administrativa[#All],5,0),"")</f>
        <v/>
      </c>
      <c r="F1668" t="str">
        <f>+IFERROR(VLOOKUP(Fact_Administrativa[[#This Row], 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ht="18.75" customHeight="1" x14ac:dyDescent="0.35">
      <c r="C1669" s="100" t="str">
        <f>IF(OR(Fact_Administrativa[[#This Row], [Año]]="",Fact_Administrativa[[#This Row], [Mes]]=""),"",DATE(A1669,MATCH(B1669,{"enero","febrero","marzo","abril","mayo","junio","julio","agosto","septiembre","octubre","noviembre","diciembre"},0)+1,0))</f>
        <v/>
      </c>
      <c r="E1669" t="str">
        <f>+IFERROR(VLOOKUP(Fact_Administrativa[[#This Row], [Concepto Anterior]],Conceptos_Administrativa[#All],5,0),"")</f>
        <v/>
      </c>
      <c r="F1669" t="str">
        <f>+IFERROR(VLOOKUP(Fact_Administrativa[[#This Row], 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ht="18.75" customHeight="1" x14ac:dyDescent="0.35">
      <c r="C1670" s="100" t="str">
        <f>IF(OR(Fact_Administrativa[[#This Row], [Año]]="",Fact_Administrativa[[#This Row], [Mes]]=""),"",DATE(A1670,MATCH(B1670,{"enero","febrero","marzo","abril","mayo","junio","julio","agosto","septiembre","octubre","noviembre","diciembre"},0)+1,0))</f>
        <v/>
      </c>
      <c r="E1670" t="str">
        <f>+IFERROR(VLOOKUP(Fact_Administrativa[[#This Row], [Concepto Anterior]],Conceptos_Administrativa[#All],5,0),"")</f>
        <v/>
      </c>
      <c r="F1670" t="str">
        <f>+IFERROR(VLOOKUP(Fact_Administrativa[[#This Row], 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ht="18.75" customHeight="1" x14ac:dyDescent="0.35">
      <c r="C1671" s="100" t="str">
        <f>IF(OR(Fact_Administrativa[[#This Row], [Año]]="",Fact_Administrativa[[#This Row], [Mes]]=""),"",DATE(A1671,MATCH(B1671,{"enero","febrero","marzo","abril","mayo","junio","julio","agosto","septiembre","octubre","noviembre","diciembre"},0)+1,0))</f>
        <v/>
      </c>
      <c r="E1671" t="str">
        <f>+IFERROR(VLOOKUP(Fact_Administrativa[[#This Row], [Concepto Anterior]],Conceptos_Administrativa[#All],5,0),"")</f>
        <v/>
      </c>
      <c r="F1671" t="str">
        <f>+IFERROR(VLOOKUP(Fact_Administrativa[[#This Row], 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ht="18.75" customHeight="1" x14ac:dyDescent="0.35">
      <c r="C1672" s="100" t="str">
        <f>IF(OR(Fact_Administrativa[[#This Row], [Año]]="",Fact_Administrativa[[#This Row], [Mes]]=""),"",DATE(A1672,MATCH(B1672,{"enero","febrero","marzo","abril","mayo","junio","julio","agosto","septiembre","octubre","noviembre","diciembre"},0)+1,0))</f>
        <v/>
      </c>
      <c r="E1672" t="str">
        <f>+IFERROR(VLOOKUP(Fact_Administrativa[[#This Row], [Concepto Anterior]],Conceptos_Administrativa[#All],5,0),"")</f>
        <v/>
      </c>
      <c r="F1672" t="str">
        <f>+IFERROR(VLOOKUP(Fact_Administrativa[[#This Row], 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ht="18.75" customHeight="1" x14ac:dyDescent="0.35">
      <c r="C1673" s="100" t="str">
        <f>IF(OR(Fact_Administrativa[[#This Row], [Año]]="",Fact_Administrativa[[#This Row], [Mes]]=""),"",DATE(A1673,MATCH(B1673,{"enero","febrero","marzo","abril","mayo","junio","julio","agosto","septiembre","octubre","noviembre","diciembre"},0)+1,0))</f>
        <v/>
      </c>
      <c r="E1673" t="str">
        <f>+IFERROR(VLOOKUP(Fact_Administrativa[[#This Row], [Concepto Anterior]],Conceptos_Administrativa[#All],5,0),"")</f>
        <v/>
      </c>
      <c r="F1673" t="str">
        <f>+IFERROR(VLOOKUP(Fact_Administrativa[[#This Row], 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ht="18.75" customHeight="1" x14ac:dyDescent="0.35">
      <c r="C1674" s="100" t="str">
        <f>IF(OR(Fact_Administrativa[[#This Row], [Año]]="",Fact_Administrativa[[#This Row], [Mes]]=""),"",DATE(A1674,MATCH(B1674,{"enero","febrero","marzo","abril","mayo","junio","julio","agosto","septiembre","octubre","noviembre","diciembre"},0)+1,0))</f>
        <v/>
      </c>
      <c r="E1674" t="str">
        <f>+IFERROR(VLOOKUP(Fact_Administrativa[[#This Row], [Concepto Anterior]],Conceptos_Administrativa[#All],5,0),"")</f>
        <v/>
      </c>
      <c r="F1674" t="str">
        <f>+IFERROR(VLOOKUP(Fact_Administrativa[[#This Row], 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ht="18.75" customHeight="1" x14ac:dyDescent="0.35">
      <c r="C1675" s="100" t="str">
        <f>IF(OR(Fact_Administrativa[[#This Row], [Año]]="",Fact_Administrativa[[#This Row], [Mes]]=""),"",DATE(A1675,MATCH(B1675,{"enero","febrero","marzo","abril","mayo","junio","julio","agosto","septiembre","octubre","noviembre","diciembre"},0)+1,0))</f>
        <v/>
      </c>
      <c r="E1675" t="str">
        <f>+IFERROR(VLOOKUP(Fact_Administrativa[[#This Row], [Concepto Anterior]],Conceptos_Administrativa[#All],5,0),"")</f>
        <v/>
      </c>
      <c r="F1675" t="str">
        <f>+IFERROR(VLOOKUP(Fact_Administrativa[[#This Row], 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ht="18.75" customHeight="1" x14ac:dyDescent="0.35">
      <c r="C1676" s="100" t="str">
        <f>IF(OR(Fact_Administrativa[[#This Row], [Año]]="",Fact_Administrativa[[#This Row], [Mes]]=""),"",DATE(A1676,MATCH(B1676,{"enero","febrero","marzo","abril","mayo","junio","julio","agosto","septiembre","octubre","noviembre","diciembre"},0)+1,0))</f>
        <v/>
      </c>
      <c r="E1676" t="str">
        <f>+IFERROR(VLOOKUP(Fact_Administrativa[[#This Row], [Concepto Anterior]],Conceptos_Administrativa[#All],5,0),"")</f>
        <v/>
      </c>
      <c r="F1676" t="str">
        <f>+IFERROR(VLOOKUP(Fact_Administrativa[[#This Row], 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ht="18.75" customHeight="1" x14ac:dyDescent="0.35">
      <c r="C1677" s="100" t="str">
        <f>IF(OR(Fact_Administrativa[[#This Row], [Año]]="",Fact_Administrativa[[#This Row], [Mes]]=""),"",DATE(A1677,MATCH(B1677,{"enero","febrero","marzo","abril","mayo","junio","julio","agosto","septiembre","octubre","noviembre","diciembre"},0)+1,0))</f>
        <v/>
      </c>
      <c r="E1677" t="str">
        <f>+IFERROR(VLOOKUP(Fact_Administrativa[[#This Row], [Concepto Anterior]],Conceptos_Administrativa[#All],5,0),"")</f>
        <v/>
      </c>
      <c r="F1677" t="str">
        <f>+IFERROR(VLOOKUP(Fact_Administrativa[[#This Row], 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ht="18.75" customHeight="1" x14ac:dyDescent="0.35">
      <c r="C1678" s="100" t="str">
        <f>IF(OR(Fact_Administrativa[[#This Row], [Año]]="",Fact_Administrativa[[#This Row], [Mes]]=""),"",DATE(A1678,MATCH(B1678,{"enero","febrero","marzo","abril","mayo","junio","julio","agosto","septiembre","octubre","noviembre","diciembre"},0)+1,0))</f>
        <v/>
      </c>
      <c r="E1678" t="str">
        <f>+IFERROR(VLOOKUP(Fact_Administrativa[[#This Row], [Concepto Anterior]],Conceptos_Administrativa[#All],5,0),"")</f>
        <v/>
      </c>
      <c r="F1678" t="str">
        <f>+IFERROR(VLOOKUP(Fact_Administrativa[[#This Row], 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ht="18.75" customHeight="1" x14ac:dyDescent="0.35">
      <c r="C1679" s="100" t="str">
        <f>IF(OR(Fact_Administrativa[[#This Row], [Año]]="",Fact_Administrativa[[#This Row], [Mes]]=""),"",DATE(A1679,MATCH(B1679,{"enero","febrero","marzo","abril","mayo","junio","julio","agosto","septiembre","octubre","noviembre","diciembre"},0)+1,0))</f>
        <v/>
      </c>
      <c r="E1679" t="str">
        <f>+IFERROR(VLOOKUP(Fact_Administrativa[[#This Row], [Concepto Anterior]],Conceptos_Administrativa[#All],5,0),"")</f>
        <v/>
      </c>
      <c r="F1679" t="str">
        <f>+IFERROR(VLOOKUP(Fact_Administrativa[[#This Row], 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ht="18.75" customHeight="1" x14ac:dyDescent="0.35">
      <c r="C1680" s="100" t="str">
        <f>IF(OR(Fact_Administrativa[[#This Row], [Año]]="",Fact_Administrativa[[#This Row], [Mes]]=""),"",DATE(A1680,MATCH(B1680,{"enero","febrero","marzo","abril","mayo","junio","julio","agosto","septiembre","octubre","noviembre","diciembre"},0)+1,0))</f>
        <v/>
      </c>
      <c r="E1680" t="str">
        <f>+IFERROR(VLOOKUP(Fact_Administrativa[[#This Row], [Concepto Anterior]],Conceptos_Administrativa[#All],5,0),"")</f>
        <v/>
      </c>
      <c r="F1680" t="str">
        <f>+IFERROR(VLOOKUP(Fact_Administrativa[[#This Row], 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ht="18.75" customHeight="1" x14ac:dyDescent="0.35">
      <c r="C1681" s="100" t="str">
        <f>IF(OR(Fact_Administrativa[[#This Row], [Año]]="",Fact_Administrativa[[#This Row], [Mes]]=""),"",DATE(A1681,MATCH(B1681,{"enero","febrero","marzo","abril","mayo","junio","julio","agosto","septiembre","octubre","noviembre","diciembre"},0)+1,0))</f>
        <v/>
      </c>
      <c r="E1681" t="str">
        <f>+IFERROR(VLOOKUP(Fact_Administrativa[[#This Row], [Concepto Anterior]],Conceptos_Administrativa[#All],5,0),"")</f>
        <v/>
      </c>
      <c r="F1681" t="str">
        <f>+IFERROR(VLOOKUP(Fact_Administrativa[[#This Row], 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ht="18.75" customHeight="1" x14ac:dyDescent="0.35">
      <c r="C1682" s="100" t="str">
        <f>IF(OR(Fact_Administrativa[[#This Row], [Año]]="",Fact_Administrativa[[#This Row], [Mes]]=""),"",DATE(A1682,MATCH(B1682,{"enero","febrero","marzo","abril","mayo","junio","julio","agosto","septiembre","octubre","noviembre","diciembre"},0)+1,0))</f>
        <v/>
      </c>
      <c r="E1682" t="str">
        <f>+IFERROR(VLOOKUP(Fact_Administrativa[[#This Row], [Concepto Anterior]],Conceptos_Administrativa[#All],5,0),"")</f>
        <v/>
      </c>
      <c r="F1682" t="str">
        <f>+IFERROR(VLOOKUP(Fact_Administrativa[[#This Row], 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ht="18.75" customHeight="1" x14ac:dyDescent="0.35">
      <c r="C1683" s="100" t="str">
        <f>IF(OR(Fact_Administrativa[[#This Row], [Año]]="",Fact_Administrativa[[#This Row], [Mes]]=""),"",DATE(A1683,MATCH(B1683,{"enero","febrero","marzo","abril","mayo","junio","julio","agosto","septiembre","octubre","noviembre","diciembre"},0)+1,0))</f>
        <v/>
      </c>
      <c r="E1683" t="str">
        <f>+IFERROR(VLOOKUP(Fact_Administrativa[[#This Row], [Concepto Anterior]],Conceptos_Administrativa[#All],5,0),"")</f>
        <v/>
      </c>
      <c r="F1683" t="str">
        <f>+IFERROR(VLOOKUP(Fact_Administrativa[[#This Row], 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ht="18.75" customHeight="1" x14ac:dyDescent="0.35">
      <c r="C1684" s="100" t="str">
        <f>IF(OR(Fact_Administrativa[[#This Row], [Año]]="",Fact_Administrativa[[#This Row], [Mes]]=""),"",DATE(A1684,MATCH(B1684,{"enero","febrero","marzo","abril","mayo","junio","julio","agosto","septiembre","octubre","noviembre","diciembre"},0)+1,0))</f>
        <v/>
      </c>
      <c r="E1684" t="str">
        <f>+IFERROR(VLOOKUP(Fact_Administrativa[[#This Row], [Concepto Anterior]],Conceptos_Administrativa[#All],5,0),"")</f>
        <v/>
      </c>
      <c r="F1684" t="str">
        <f>+IFERROR(VLOOKUP(Fact_Administrativa[[#This Row], 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ht="18.75" customHeight="1" x14ac:dyDescent="0.35">
      <c r="C1685" s="100" t="str">
        <f>IF(OR(Fact_Administrativa[[#This Row], [Año]]="",Fact_Administrativa[[#This Row], [Mes]]=""),"",DATE(A1685,MATCH(B1685,{"enero","febrero","marzo","abril","mayo","junio","julio","agosto","septiembre","octubre","noviembre","diciembre"},0)+1,0))</f>
        <v/>
      </c>
      <c r="E1685" t="str">
        <f>+IFERROR(VLOOKUP(Fact_Administrativa[[#This Row], [Concepto Anterior]],Conceptos_Administrativa[#All],5,0),"")</f>
        <v/>
      </c>
      <c r="F1685" t="str">
        <f>+IFERROR(VLOOKUP(Fact_Administrativa[[#This Row], 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ht="18.75" customHeight="1" x14ac:dyDescent="0.35">
      <c r="C1686" s="100" t="str">
        <f>IF(OR(Fact_Administrativa[[#This Row], [Año]]="",Fact_Administrativa[[#This Row], [Mes]]=""),"",DATE(A1686,MATCH(B1686,{"enero","febrero","marzo","abril","mayo","junio","julio","agosto","septiembre","octubre","noviembre","diciembre"},0)+1,0))</f>
        <v/>
      </c>
      <c r="E1686" t="str">
        <f>+IFERROR(VLOOKUP(Fact_Administrativa[[#This Row], [Concepto Anterior]],Conceptos_Administrativa[#All],5,0),"")</f>
        <v/>
      </c>
      <c r="F1686" t="str">
        <f>+IFERROR(VLOOKUP(Fact_Administrativa[[#This Row], 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ht="18.75" customHeight="1" x14ac:dyDescent="0.35">
      <c r="C1687" s="100" t="str">
        <f>IF(OR(Fact_Administrativa[[#This Row], [Año]]="",Fact_Administrativa[[#This Row], [Mes]]=""),"",DATE(A1687,MATCH(B1687,{"enero","febrero","marzo","abril","mayo","junio","julio","agosto","septiembre","octubre","noviembre","diciembre"},0)+1,0))</f>
        <v/>
      </c>
      <c r="E1687" t="str">
        <f>+IFERROR(VLOOKUP(Fact_Administrativa[[#This Row], [Concepto Anterior]],Conceptos_Administrativa[#All],5,0),"")</f>
        <v/>
      </c>
      <c r="F1687" t="str">
        <f>+IFERROR(VLOOKUP(Fact_Administrativa[[#This Row], 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ht="18.75" customHeight="1" x14ac:dyDescent="0.35">
      <c r="C1688" s="100" t="str">
        <f>IF(OR(Fact_Administrativa[[#This Row], [Año]]="",Fact_Administrativa[[#This Row], [Mes]]=""),"",DATE(A1688,MATCH(B1688,{"enero","febrero","marzo","abril","mayo","junio","julio","agosto","septiembre","octubre","noviembre","diciembre"},0)+1,0))</f>
        <v/>
      </c>
      <c r="E1688" t="str">
        <f>+IFERROR(VLOOKUP(Fact_Administrativa[[#This Row], [Concepto Anterior]],Conceptos_Administrativa[#All],5,0),"")</f>
        <v/>
      </c>
      <c r="F1688" t="str">
        <f>+IFERROR(VLOOKUP(Fact_Administrativa[[#This Row], 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ht="18.75" customHeight="1" x14ac:dyDescent="0.35">
      <c r="C1689" s="100" t="str">
        <f>IF(OR(Fact_Administrativa[[#This Row], [Año]]="",Fact_Administrativa[[#This Row], [Mes]]=""),"",DATE(A1689,MATCH(B1689,{"enero","febrero","marzo","abril","mayo","junio","julio","agosto","septiembre","octubre","noviembre","diciembre"},0)+1,0))</f>
        <v/>
      </c>
      <c r="E1689" t="str">
        <f>+IFERROR(VLOOKUP(Fact_Administrativa[[#This Row], [Concepto Anterior]],Conceptos_Administrativa[#All],5,0),"")</f>
        <v/>
      </c>
      <c r="F1689" t="str">
        <f>+IFERROR(VLOOKUP(Fact_Administrativa[[#This Row], 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ht="18.75" customHeight="1" x14ac:dyDescent="0.35">
      <c r="C1690" s="100" t="str">
        <f>IF(OR(Fact_Administrativa[[#This Row], [Año]]="",Fact_Administrativa[[#This Row], [Mes]]=""),"",DATE(A1690,MATCH(B1690,{"enero","febrero","marzo","abril","mayo","junio","julio","agosto","septiembre","octubre","noviembre","diciembre"},0)+1,0))</f>
        <v/>
      </c>
      <c r="E1690" t="str">
        <f>+IFERROR(VLOOKUP(Fact_Administrativa[[#This Row], [Concepto Anterior]],Conceptos_Administrativa[#All],5,0),"")</f>
        <v/>
      </c>
      <c r="F1690" t="str">
        <f>+IFERROR(VLOOKUP(Fact_Administrativa[[#This Row], 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ht="18.75" customHeight="1" x14ac:dyDescent="0.35">
      <c r="C1691" s="100" t="str">
        <f>IF(OR(Fact_Administrativa[[#This Row], [Año]]="",Fact_Administrativa[[#This Row], [Mes]]=""),"",DATE(A1691,MATCH(B1691,{"enero","febrero","marzo","abril","mayo","junio","julio","agosto","septiembre","octubre","noviembre","diciembre"},0)+1,0))</f>
        <v/>
      </c>
      <c r="E1691" t="str">
        <f>+IFERROR(VLOOKUP(Fact_Administrativa[[#This Row], [Concepto Anterior]],Conceptos_Administrativa[#All],5,0),"")</f>
        <v/>
      </c>
      <c r="F1691" t="str">
        <f>+IFERROR(VLOOKUP(Fact_Administrativa[[#This Row], 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ht="18.75" customHeight="1" x14ac:dyDescent="0.35">
      <c r="C1692" s="100" t="str">
        <f>IF(OR(Fact_Administrativa[[#This Row], [Año]]="",Fact_Administrativa[[#This Row], [Mes]]=""),"",DATE(A1692,MATCH(B1692,{"enero","febrero","marzo","abril","mayo","junio","julio","agosto","septiembre","octubre","noviembre","diciembre"},0)+1,0))</f>
        <v/>
      </c>
      <c r="E1692" t="str">
        <f>+IFERROR(VLOOKUP(Fact_Administrativa[[#This Row], [Concepto Anterior]],Conceptos_Administrativa[#All],5,0),"")</f>
        <v/>
      </c>
      <c r="F1692" t="str">
        <f>+IFERROR(VLOOKUP(Fact_Administrativa[[#This Row], 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ht="18.75" customHeight="1" x14ac:dyDescent="0.35">
      <c r="C1693" s="100" t="str">
        <f>IF(OR(Fact_Administrativa[[#This Row], [Año]]="",Fact_Administrativa[[#This Row], [Mes]]=""),"",DATE(A1693,MATCH(B1693,{"enero","febrero","marzo","abril","mayo","junio","julio","agosto","septiembre","octubre","noviembre","diciembre"},0)+1,0))</f>
        <v/>
      </c>
      <c r="E1693" t="str">
        <f>+IFERROR(VLOOKUP(Fact_Administrativa[[#This Row], [Concepto Anterior]],Conceptos_Administrativa[#All],5,0),"")</f>
        <v/>
      </c>
      <c r="F1693" t="str">
        <f>+IFERROR(VLOOKUP(Fact_Administrativa[[#This Row], 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ht="18.75" customHeight="1" x14ac:dyDescent="0.35">
      <c r="C1694" s="100" t="str">
        <f>IF(OR(Fact_Administrativa[[#This Row], [Año]]="",Fact_Administrativa[[#This Row], [Mes]]=""),"",DATE(A1694,MATCH(B1694,{"enero","febrero","marzo","abril","mayo","junio","julio","agosto","septiembre","octubre","noviembre","diciembre"},0)+1,0))</f>
        <v/>
      </c>
      <c r="E1694" t="str">
        <f>+IFERROR(VLOOKUP(Fact_Administrativa[[#This Row], [Concepto Anterior]],Conceptos_Administrativa[#All],5,0),"")</f>
        <v/>
      </c>
      <c r="F1694" t="str">
        <f>+IFERROR(VLOOKUP(Fact_Administrativa[[#This Row], 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ht="18.75" customHeight="1" x14ac:dyDescent="0.35">
      <c r="C1695" s="100" t="str">
        <f>IF(OR(Fact_Administrativa[[#This Row], [Año]]="",Fact_Administrativa[[#This Row], [Mes]]=""),"",DATE(A1695,MATCH(B1695,{"enero","febrero","marzo","abril","mayo","junio","julio","agosto","septiembre","octubre","noviembre","diciembre"},0)+1,0))</f>
        <v/>
      </c>
      <c r="E1695" t="str">
        <f>+IFERROR(VLOOKUP(Fact_Administrativa[[#This Row], [Concepto Anterior]],Conceptos_Administrativa[#All],5,0),"")</f>
        <v/>
      </c>
      <c r="F1695" t="str">
        <f>+IFERROR(VLOOKUP(Fact_Administrativa[[#This Row], 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ht="18.75" customHeight="1" x14ac:dyDescent="0.35">
      <c r="C1696" s="100" t="str">
        <f>IF(OR(Fact_Administrativa[[#This Row], [Año]]="",Fact_Administrativa[[#This Row], [Mes]]=""),"",DATE(A1696,MATCH(B1696,{"enero","febrero","marzo","abril","mayo","junio","julio","agosto","septiembre","octubre","noviembre","diciembre"},0)+1,0))</f>
        <v/>
      </c>
      <c r="E1696" t="str">
        <f>+IFERROR(VLOOKUP(Fact_Administrativa[[#This Row], [Concepto Anterior]],Conceptos_Administrativa[#All],5,0),"")</f>
        <v/>
      </c>
      <c r="F1696" t="str">
        <f>+IFERROR(VLOOKUP(Fact_Administrativa[[#This Row], 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ht="18.75" customHeight="1" x14ac:dyDescent="0.35">
      <c r="C1697" s="100" t="str">
        <f>IF(OR(Fact_Administrativa[[#This Row], [Año]]="",Fact_Administrativa[[#This Row], [Mes]]=""),"",DATE(A1697,MATCH(B1697,{"enero","febrero","marzo","abril","mayo","junio","julio","agosto","septiembre","octubre","noviembre","diciembre"},0)+1,0))</f>
        <v/>
      </c>
      <c r="E1697" t="str">
        <f>+IFERROR(VLOOKUP(Fact_Administrativa[[#This Row], [Concepto Anterior]],Conceptos_Administrativa[#All],5,0),"")</f>
        <v/>
      </c>
      <c r="F1697" t="str">
        <f>+IFERROR(VLOOKUP(Fact_Administrativa[[#This Row], 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ht="18.75" customHeight="1" x14ac:dyDescent="0.35">
      <c r="C1698" s="100" t="str">
        <f>IF(OR(Fact_Administrativa[[#This Row], [Año]]="",Fact_Administrativa[[#This Row], [Mes]]=""),"",DATE(A1698,MATCH(B1698,{"enero","febrero","marzo","abril","mayo","junio","julio","agosto","septiembre","octubre","noviembre","diciembre"},0)+1,0))</f>
        <v/>
      </c>
      <c r="E1698" t="str">
        <f>+IFERROR(VLOOKUP(Fact_Administrativa[[#This Row], [Concepto Anterior]],Conceptos_Administrativa[#All],5,0),"")</f>
        <v/>
      </c>
      <c r="F1698" t="str">
        <f>+IFERROR(VLOOKUP(Fact_Administrativa[[#This Row], 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ht="18.75" customHeight="1" x14ac:dyDescent="0.35">
      <c r="C1699" s="100" t="str">
        <f>IF(OR(Fact_Administrativa[[#This Row], [Año]]="",Fact_Administrativa[[#This Row], [Mes]]=""),"",DATE(A1699,MATCH(B1699,{"enero","febrero","marzo","abril","mayo","junio","julio","agosto","septiembre","octubre","noviembre","diciembre"},0)+1,0))</f>
        <v/>
      </c>
      <c r="E1699" t="str">
        <f>+IFERROR(VLOOKUP(Fact_Administrativa[[#This Row], [Concepto Anterior]],Conceptos_Administrativa[#All],5,0),"")</f>
        <v/>
      </c>
      <c r="F1699" t="str">
        <f>+IFERROR(VLOOKUP(Fact_Administrativa[[#This Row], 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ht="18.75" customHeight="1" x14ac:dyDescent="0.35">
      <c r="C1700" s="100" t="str">
        <f>IF(OR(Fact_Administrativa[[#This Row], [Año]]="",Fact_Administrativa[[#This Row], [Mes]]=""),"",DATE(A1700,MATCH(B1700,{"enero","febrero","marzo","abril","mayo","junio","julio","agosto","septiembre","octubre","noviembre","diciembre"},0)+1,0))</f>
        <v/>
      </c>
      <c r="E1700" t="str">
        <f>+IFERROR(VLOOKUP(Fact_Administrativa[[#This Row], [Concepto Anterior]],Conceptos_Administrativa[#All],5,0),"")</f>
        <v/>
      </c>
      <c r="F1700" t="str">
        <f>+IFERROR(VLOOKUP(Fact_Administrativa[[#This Row], 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ht="18.75" customHeight="1" x14ac:dyDescent="0.35">
      <c r="C1701" s="100" t="str">
        <f>IF(OR(Fact_Administrativa[[#This Row], [Año]]="",Fact_Administrativa[[#This Row], [Mes]]=""),"",DATE(A1701,MATCH(B1701,{"enero","febrero","marzo","abril","mayo","junio","julio","agosto","septiembre","octubre","noviembre","diciembre"},0)+1,0))</f>
        <v/>
      </c>
      <c r="E1701" t="str">
        <f>+IFERROR(VLOOKUP(Fact_Administrativa[[#This Row], [Concepto Anterior]],Conceptos_Administrativa[#All],5,0),"")</f>
        <v/>
      </c>
      <c r="F1701" t="str">
        <f>+IFERROR(VLOOKUP(Fact_Administrativa[[#This Row], 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ht="18.75" customHeight="1" x14ac:dyDescent="0.35">
      <c r="C1702" s="100" t="str">
        <f>IF(OR(Fact_Administrativa[[#This Row], [Año]]="",Fact_Administrativa[[#This Row], [Mes]]=""),"",DATE(A1702,MATCH(B1702,{"enero","febrero","marzo","abril","mayo","junio","julio","agosto","septiembre","octubre","noviembre","diciembre"},0)+1,0))</f>
        <v/>
      </c>
      <c r="E1702" t="str">
        <f>+IFERROR(VLOOKUP(Fact_Administrativa[[#This Row], [Concepto Anterior]],Conceptos_Administrativa[#All],5,0),"")</f>
        <v/>
      </c>
      <c r="F1702" t="str">
        <f>+IFERROR(VLOOKUP(Fact_Administrativa[[#This Row], 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ht="18.75" customHeight="1" x14ac:dyDescent="0.35">
      <c r="C1703" s="100" t="str">
        <f>IF(OR(Fact_Administrativa[[#This Row], [Año]]="",Fact_Administrativa[[#This Row], [Mes]]=""),"",DATE(A1703,MATCH(B1703,{"enero","febrero","marzo","abril","mayo","junio","julio","agosto","septiembre","octubre","noviembre","diciembre"},0)+1,0))</f>
        <v/>
      </c>
      <c r="E1703" t="str">
        <f>+IFERROR(VLOOKUP(Fact_Administrativa[[#This Row], [Concepto Anterior]],Conceptos_Administrativa[#All],5,0),"")</f>
        <v/>
      </c>
      <c r="F1703" t="str">
        <f>+IFERROR(VLOOKUP(Fact_Administrativa[[#This Row], 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ht="18.75" customHeight="1" x14ac:dyDescent="0.35">
      <c r="C1704" s="100" t="str">
        <f>IF(OR(Fact_Administrativa[[#This Row], [Año]]="",Fact_Administrativa[[#This Row], [Mes]]=""),"",DATE(A1704,MATCH(B1704,{"enero","febrero","marzo","abril","mayo","junio","julio","agosto","septiembre","octubre","noviembre","diciembre"},0)+1,0))</f>
        <v/>
      </c>
      <c r="E1704" t="str">
        <f>+IFERROR(VLOOKUP(Fact_Administrativa[[#This Row], [Concepto Anterior]],Conceptos_Administrativa[#All],5,0),"")</f>
        <v/>
      </c>
      <c r="F1704" t="str">
        <f>+IFERROR(VLOOKUP(Fact_Administrativa[[#This Row], 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ht="18.75" customHeight="1" x14ac:dyDescent="0.35">
      <c r="C1705" s="100" t="str">
        <f>IF(OR(Fact_Administrativa[[#This Row], [Año]]="",Fact_Administrativa[[#This Row], [Mes]]=""),"",DATE(A1705,MATCH(B1705,{"enero","febrero","marzo","abril","mayo","junio","julio","agosto","septiembre","octubre","noviembre","diciembre"},0)+1,0))</f>
        <v/>
      </c>
      <c r="E1705" t="str">
        <f>+IFERROR(VLOOKUP(Fact_Administrativa[[#This Row], [Concepto Anterior]],Conceptos_Administrativa[#All],5,0),"")</f>
        <v/>
      </c>
      <c r="F1705" t="str">
        <f>+IFERROR(VLOOKUP(Fact_Administrativa[[#This Row], 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ht="18.75" customHeight="1" x14ac:dyDescent="0.35">
      <c r="C1706" s="100" t="str">
        <f>IF(OR(Fact_Administrativa[[#This Row], [Año]]="",Fact_Administrativa[[#This Row], [Mes]]=""),"",DATE(A1706,MATCH(B1706,{"enero","febrero","marzo","abril","mayo","junio","julio","agosto","septiembre","octubre","noviembre","diciembre"},0)+1,0))</f>
        <v/>
      </c>
      <c r="E1706" t="str">
        <f>+IFERROR(VLOOKUP(Fact_Administrativa[[#This Row], [Concepto Anterior]],Conceptos_Administrativa[#All],5,0),"")</f>
        <v/>
      </c>
      <c r="F1706" t="str">
        <f>+IFERROR(VLOOKUP(Fact_Administrativa[[#This Row], 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ht="18.75" customHeight="1" x14ac:dyDescent="0.35">
      <c r="C1707" s="100" t="str">
        <f>IF(OR(Fact_Administrativa[[#This Row], [Año]]="",Fact_Administrativa[[#This Row], [Mes]]=""),"",DATE(A1707,MATCH(B1707,{"enero","febrero","marzo","abril","mayo","junio","julio","agosto","septiembre","octubre","noviembre","diciembre"},0)+1,0))</f>
        <v/>
      </c>
      <c r="E1707" t="str">
        <f>+IFERROR(VLOOKUP(Fact_Administrativa[[#This Row], [Concepto Anterior]],Conceptos_Administrativa[#All],5,0),"")</f>
        <v/>
      </c>
      <c r="F1707" t="str">
        <f>+IFERROR(VLOOKUP(Fact_Administrativa[[#This Row], 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ht="18.75" customHeight="1" x14ac:dyDescent="0.35">
      <c r="C1708" s="100" t="str">
        <f>IF(OR(Fact_Administrativa[[#This Row], [Año]]="",Fact_Administrativa[[#This Row], [Mes]]=""),"",DATE(A1708,MATCH(B1708,{"enero","febrero","marzo","abril","mayo","junio","julio","agosto","septiembre","octubre","noviembre","diciembre"},0)+1,0))</f>
        <v/>
      </c>
      <c r="E1708" t="str">
        <f>+IFERROR(VLOOKUP(Fact_Administrativa[[#This Row], [Concepto Anterior]],Conceptos_Administrativa[#All],5,0),"")</f>
        <v/>
      </c>
      <c r="F1708" t="str">
        <f>+IFERROR(VLOOKUP(Fact_Administrativa[[#This Row], 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ht="18.75" customHeight="1" x14ac:dyDescent="0.35">
      <c r="C1709" s="100" t="str">
        <f>IF(OR(Fact_Administrativa[[#This Row], [Año]]="",Fact_Administrativa[[#This Row], [Mes]]=""),"",DATE(A1709,MATCH(B1709,{"enero","febrero","marzo","abril","mayo","junio","julio","agosto","septiembre","octubre","noviembre","diciembre"},0)+1,0))</f>
        <v/>
      </c>
      <c r="E1709" t="str">
        <f>+IFERROR(VLOOKUP(Fact_Administrativa[[#This Row], [Concepto Anterior]],Conceptos_Administrativa[#All],5,0),"")</f>
        <v/>
      </c>
      <c r="F1709" t="str">
        <f>+IFERROR(VLOOKUP(Fact_Administrativa[[#This Row], 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ht="18.75" customHeight="1" x14ac:dyDescent="0.35">
      <c r="C1710" s="100" t="str">
        <f>IF(OR(Fact_Administrativa[[#This Row], [Año]]="",Fact_Administrativa[[#This Row], [Mes]]=""),"",DATE(A1710,MATCH(B1710,{"enero","febrero","marzo","abril","mayo","junio","julio","agosto","septiembre","octubre","noviembre","diciembre"},0)+1,0))</f>
        <v/>
      </c>
      <c r="E1710" t="str">
        <f>+IFERROR(VLOOKUP(Fact_Administrativa[[#This Row], [Concepto Anterior]],Conceptos_Administrativa[#All],5,0),"")</f>
        <v/>
      </c>
      <c r="F1710" t="str">
        <f>+IFERROR(VLOOKUP(Fact_Administrativa[[#This Row], 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ht="18.75" customHeight="1" x14ac:dyDescent="0.35">
      <c r="C1711" s="100" t="str">
        <f>IF(OR(Fact_Administrativa[[#This Row], [Año]]="",Fact_Administrativa[[#This Row], [Mes]]=""),"",DATE(A1711,MATCH(B1711,{"enero","febrero","marzo","abril","mayo","junio","julio","agosto","septiembre","octubre","noviembre","diciembre"},0)+1,0))</f>
        <v/>
      </c>
      <c r="E1711" t="str">
        <f>+IFERROR(VLOOKUP(Fact_Administrativa[[#This Row], [Concepto Anterior]],Conceptos_Administrativa[#All],5,0),"")</f>
        <v/>
      </c>
      <c r="F1711" t="str">
        <f>+IFERROR(VLOOKUP(Fact_Administrativa[[#This Row], 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ht="18.75" customHeight="1" x14ac:dyDescent="0.35">
      <c r="C1712" s="100" t="str">
        <f>IF(OR(Fact_Administrativa[[#This Row], [Año]]="",Fact_Administrativa[[#This Row], [Mes]]=""),"",DATE(A1712,MATCH(B1712,{"enero","febrero","marzo","abril","mayo","junio","julio","agosto","septiembre","octubre","noviembre","diciembre"},0)+1,0))</f>
        <v/>
      </c>
      <c r="E1712" t="str">
        <f>+IFERROR(VLOOKUP(Fact_Administrativa[[#This Row], [Concepto Anterior]],Conceptos_Administrativa[#All],5,0),"")</f>
        <v/>
      </c>
      <c r="F1712" t="str">
        <f>+IFERROR(VLOOKUP(Fact_Administrativa[[#This Row], 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ht="18.75" customHeight="1" x14ac:dyDescent="0.35">
      <c r="C1713" s="100" t="str">
        <f>IF(OR(Fact_Administrativa[[#This Row], [Año]]="",Fact_Administrativa[[#This Row], [Mes]]=""),"",DATE(A1713,MATCH(B1713,{"enero","febrero","marzo","abril","mayo","junio","julio","agosto","septiembre","octubre","noviembre","diciembre"},0)+1,0))</f>
        <v/>
      </c>
      <c r="E1713" t="str">
        <f>+IFERROR(VLOOKUP(Fact_Administrativa[[#This Row], [Concepto Anterior]],Conceptos_Administrativa[#All],5,0),"")</f>
        <v/>
      </c>
      <c r="F1713" t="str">
        <f>+IFERROR(VLOOKUP(Fact_Administrativa[[#This Row], 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ht="18.75" customHeight="1" x14ac:dyDescent="0.35">
      <c r="C1714" s="100" t="str">
        <f>IF(OR(Fact_Administrativa[[#This Row], [Año]]="",Fact_Administrativa[[#This Row], [Mes]]=""),"",DATE(A1714,MATCH(B1714,{"enero","febrero","marzo","abril","mayo","junio","julio","agosto","septiembre","octubre","noviembre","diciembre"},0)+1,0))</f>
        <v/>
      </c>
      <c r="E1714" t="str">
        <f>+IFERROR(VLOOKUP(Fact_Administrativa[[#This Row], [Concepto Anterior]],Conceptos_Administrativa[#All],5,0),"")</f>
        <v/>
      </c>
      <c r="F1714" t="str">
        <f>+IFERROR(VLOOKUP(Fact_Administrativa[[#This Row], 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ht="18.75" customHeight="1" x14ac:dyDescent="0.35">
      <c r="C1715" s="100" t="str">
        <f>IF(OR(Fact_Administrativa[[#This Row], [Año]]="",Fact_Administrativa[[#This Row], [Mes]]=""),"",DATE(A1715,MATCH(B1715,{"enero","febrero","marzo","abril","mayo","junio","julio","agosto","septiembre","octubre","noviembre","diciembre"},0)+1,0))</f>
        <v/>
      </c>
      <c r="E1715" t="str">
        <f>+IFERROR(VLOOKUP(Fact_Administrativa[[#This Row], [Concepto Anterior]],Conceptos_Administrativa[#All],5,0),"")</f>
        <v/>
      </c>
      <c r="F1715" t="str">
        <f>+IFERROR(VLOOKUP(Fact_Administrativa[[#This Row], 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ht="18.75" customHeight="1" x14ac:dyDescent="0.35">
      <c r="C1716" s="100" t="str">
        <f>IF(OR(Fact_Administrativa[[#This Row], [Año]]="",Fact_Administrativa[[#This Row], [Mes]]=""),"",DATE(A1716,MATCH(B1716,{"enero","febrero","marzo","abril","mayo","junio","julio","agosto","septiembre","octubre","noviembre","diciembre"},0)+1,0))</f>
        <v/>
      </c>
      <c r="E1716" t="str">
        <f>+IFERROR(VLOOKUP(Fact_Administrativa[[#This Row], [Concepto Anterior]],Conceptos_Administrativa[#All],5,0),"")</f>
        <v/>
      </c>
      <c r="F1716" t="str">
        <f>+IFERROR(VLOOKUP(Fact_Administrativa[[#This Row], 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ht="18.75" customHeight="1" x14ac:dyDescent="0.35">
      <c r="C1717" s="100" t="str">
        <f>IF(OR(Fact_Administrativa[[#This Row], [Año]]="",Fact_Administrativa[[#This Row], [Mes]]=""),"",DATE(A1717,MATCH(B1717,{"enero","febrero","marzo","abril","mayo","junio","julio","agosto","septiembre","octubre","noviembre","diciembre"},0)+1,0))</f>
        <v/>
      </c>
      <c r="E1717" t="str">
        <f>+IFERROR(VLOOKUP(Fact_Administrativa[[#This Row], [Concepto Anterior]],Conceptos_Administrativa[#All],5,0),"")</f>
        <v/>
      </c>
      <c r="F1717" t="str">
        <f>+IFERROR(VLOOKUP(Fact_Administrativa[[#This Row], 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ht="18.75" customHeight="1" x14ac:dyDescent="0.35">
      <c r="C1718" s="100" t="str">
        <f>IF(OR(Fact_Administrativa[[#This Row], [Año]]="",Fact_Administrativa[[#This Row], [Mes]]=""),"",DATE(A1718,MATCH(B1718,{"enero","febrero","marzo","abril","mayo","junio","julio","agosto","septiembre","octubre","noviembre","diciembre"},0)+1,0))</f>
        <v/>
      </c>
      <c r="E1718" t="str">
        <f>+IFERROR(VLOOKUP(Fact_Administrativa[[#This Row], [Concepto Anterior]],Conceptos_Administrativa[#All],5,0),"")</f>
        <v/>
      </c>
      <c r="F1718" t="str">
        <f>+IFERROR(VLOOKUP(Fact_Administrativa[[#This Row], 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ht="18.75" customHeight="1" x14ac:dyDescent="0.35">
      <c r="C1719" s="100" t="str">
        <f>IF(OR(Fact_Administrativa[[#This Row], [Año]]="",Fact_Administrativa[[#This Row], [Mes]]=""),"",DATE(A1719,MATCH(B1719,{"enero","febrero","marzo","abril","mayo","junio","julio","agosto","septiembre","octubre","noviembre","diciembre"},0)+1,0))</f>
        <v/>
      </c>
      <c r="E1719" t="str">
        <f>+IFERROR(VLOOKUP(Fact_Administrativa[[#This Row], [Concepto Anterior]],Conceptos_Administrativa[#All],5,0),"")</f>
        <v/>
      </c>
      <c r="F1719" t="str">
        <f>+IFERROR(VLOOKUP(Fact_Administrativa[[#This Row], 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ht="18.75" customHeight="1" x14ac:dyDescent="0.35">
      <c r="C1720" s="100" t="str">
        <f>IF(OR(Fact_Administrativa[[#This Row], [Año]]="",Fact_Administrativa[[#This Row], [Mes]]=""),"",DATE(A1720,MATCH(B1720,{"enero","febrero","marzo","abril","mayo","junio","julio","agosto","septiembre","octubre","noviembre","diciembre"},0)+1,0))</f>
        <v/>
      </c>
      <c r="E1720" t="str">
        <f>+IFERROR(VLOOKUP(Fact_Administrativa[[#This Row], [Concepto Anterior]],Conceptos_Administrativa[#All],5,0),"")</f>
        <v/>
      </c>
      <c r="F1720" t="str">
        <f>+IFERROR(VLOOKUP(Fact_Administrativa[[#This Row], 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ht="18.75" customHeight="1" x14ac:dyDescent="0.35">
      <c r="C1721" s="100" t="str">
        <f>IF(OR(Fact_Administrativa[[#This Row], [Año]]="",Fact_Administrativa[[#This Row], [Mes]]=""),"",DATE(A1721,MATCH(B1721,{"enero","febrero","marzo","abril","mayo","junio","julio","agosto","septiembre","octubre","noviembre","diciembre"},0)+1,0))</f>
        <v/>
      </c>
      <c r="E1721" t="str">
        <f>+IFERROR(VLOOKUP(Fact_Administrativa[[#This Row], [Concepto Anterior]],Conceptos_Administrativa[#All],5,0),"")</f>
        <v/>
      </c>
      <c r="F1721" t="str">
        <f>+IFERROR(VLOOKUP(Fact_Administrativa[[#This Row], 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ht="18.75" customHeight="1" x14ac:dyDescent="0.35">
      <c r="C1722" s="100" t="str">
        <f>IF(OR(Fact_Administrativa[[#This Row], [Año]]="",Fact_Administrativa[[#This Row], [Mes]]=""),"",DATE(A1722,MATCH(B1722,{"enero","febrero","marzo","abril","mayo","junio","julio","agosto","septiembre","octubre","noviembre","diciembre"},0)+1,0))</f>
        <v/>
      </c>
      <c r="E1722" t="str">
        <f>+IFERROR(VLOOKUP(Fact_Administrativa[[#This Row], [Concepto Anterior]],Conceptos_Administrativa[#All],5,0),"")</f>
        <v/>
      </c>
      <c r="F1722" t="str">
        <f>+IFERROR(VLOOKUP(Fact_Administrativa[[#This Row], 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ht="18.75" customHeight="1" x14ac:dyDescent="0.35">
      <c r="C1723" s="100" t="str">
        <f>IF(OR(Fact_Administrativa[[#This Row], [Año]]="",Fact_Administrativa[[#This Row], [Mes]]=""),"",DATE(A1723,MATCH(B1723,{"enero","febrero","marzo","abril","mayo","junio","julio","agosto","septiembre","octubre","noviembre","diciembre"},0)+1,0))</f>
        <v/>
      </c>
      <c r="E1723" t="str">
        <f>+IFERROR(VLOOKUP(Fact_Administrativa[[#This Row], [Concepto Anterior]],Conceptos_Administrativa[#All],5,0),"")</f>
        <v/>
      </c>
      <c r="F1723" t="str">
        <f>+IFERROR(VLOOKUP(Fact_Administrativa[[#This Row], 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ht="18.75" customHeight="1" x14ac:dyDescent="0.35">
      <c r="C1724" s="100" t="str">
        <f>IF(OR(Fact_Administrativa[[#This Row], [Año]]="",Fact_Administrativa[[#This Row], [Mes]]=""),"",DATE(A1724,MATCH(B1724,{"enero","febrero","marzo","abril","mayo","junio","julio","agosto","septiembre","octubre","noviembre","diciembre"},0)+1,0))</f>
        <v/>
      </c>
      <c r="E1724" t="str">
        <f>+IFERROR(VLOOKUP(Fact_Administrativa[[#This Row], [Concepto Anterior]],Conceptos_Administrativa[#All],5,0),"")</f>
        <v/>
      </c>
      <c r="F1724" t="str">
        <f>+IFERROR(VLOOKUP(Fact_Administrativa[[#This Row], 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ht="18.75" customHeight="1" x14ac:dyDescent="0.35">
      <c r="C1725" s="100" t="str">
        <f>IF(OR(Fact_Administrativa[[#This Row], [Año]]="",Fact_Administrativa[[#This Row], [Mes]]=""),"",DATE(A1725,MATCH(B1725,{"enero","febrero","marzo","abril","mayo","junio","julio","agosto","septiembre","octubre","noviembre","diciembre"},0)+1,0))</f>
        <v/>
      </c>
      <c r="E1725" t="str">
        <f>+IFERROR(VLOOKUP(Fact_Administrativa[[#This Row], [Concepto Anterior]],Conceptos_Administrativa[#All],5,0),"")</f>
        <v/>
      </c>
      <c r="F1725" t="str">
        <f>+IFERROR(VLOOKUP(Fact_Administrativa[[#This Row], 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ht="18.75" customHeight="1" x14ac:dyDescent="0.35">
      <c r="C1726" s="100" t="str">
        <f>IF(OR(Fact_Administrativa[[#This Row], [Año]]="",Fact_Administrativa[[#This Row], [Mes]]=""),"",DATE(A1726,MATCH(B1726,{"enero","febrero","marzo","abril","mayo","junio","julio","agosto","septiembre","octubre","noviembre","diciembre"},0)+1,0))</f>
        <v/>
      </c>
      <c r="E1726" t="str">
        <f>+IFERROR(VLOOKUP(Fact_Administrativa[[#This Row], [Concepto Anterior]],Conceptos_Administrativa[#All],5,0),"")</f>
        <v/>
      </c>
      <c r="F1726" t="str">
        <f>+IFERROR(VLOOKUP(Fact_Administrativa[[#This Row], 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ht="18.75" customHeight="1" x14ac:dyDescent="0.35">
      <c r="C1727" s="100" t="str">
        <f>IF(OR(Fact_Administrativa[[#This Row], [Año]]="",Fact_Administrativa[[#This Row], [Mes]]=""),"",DATE(A1727,MATCH(B1727,{"enero","febrero","marzo","abril","mayo","junio","julio","agosto","septiembre","octubre","noviembre","diciembre"},0)+1,0))</f>
        <v/>
      </c>
      <c r="E1727" t="str">
        <f>+IFERROR(VLOOKUP(Fact_Administrativa[[#This Row], [Concepto Anterior]],Conceptos_Administrativa[#All],5,0),"")</f>
        <v/>
      </c>
      <c r="F1727" t="str">
        <f>+IFERROR(VLOOKUP(Fact_Administrativa[[#This Row], 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ht="18.75" customHeight="1" x14ac:dyDescent="0.35">
      <c r="C1728" s="100" t="str">
        <f>IF(OR(Fact_Administrativa[[#This Row], [Año]]="",Fact_Administrativa[[#This Row], [Mes]]=""),"",DATE(A1728,MATCH(B1728,{"enero","febrero","marzo","abril","mayo","junio","julio","agosto","septiembre","octubre","noviembre","diciembre"},0)+1,0))</f>
        <v/>
      </c>
      <c r="E1728" t="str">
        <f>+IFERROR(VLOOKUP(Fact_Administrativa[[#This Row], [Concepto Anterior]],Conceptos_Administrativa[#All],5,0),"")</f>
        <v/>
      </c>
      <c r="F1728" t="str">
        <f>+IFERROR(VLOOKUP(Fact_Administrativa[[#This Row], 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ht="18.75" customHeight="1" x14ac:dyDescent="0.35">
      <c r="C1729" s="100" t="str">
        <f>IF(OR(Fact_Administrativa[[#This Row], [Año]]="",Fact_Administrativa[[#This Row], [Mes]]=""),"",DATE(A1729,MATCH(B1729,{"enero","febrero","marzo","abril","mayo","junio","julio","agosto","septiembre","octubre","noviembre","diciembre"},0)+1,0))</f>
        <v/>
      </c>
      <c r="E1729" t="str">
        <f>+IFERROR(VLOOKUP(Fact_Administrativa[[#This Row], [Concepto Anterior]],Conceptos_Administrativa[#All],5,0),"")</f>
        <v/>
      </c>
      <c r="F1729" t="str">
        <f>+IFERROR(VLOOKUP(Fact_Administrativa[[#This Row], 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ht="18.75" customHeight="1" x14ac:dyDescent="0.35">
      <c r="C1730" s="100" t="str">
        <f>IF(OR(Fact_Administrativa[[#This Row], [Año]]="",Fact_Administrativa[[#This Row], [Mes]]=""),"",DATE(A1730,MATCH(B1730,{"enero","febrero","marzo","abril","mayo","junio","julio","agosto","septiembre","octubre","noviembre","diciembre"},0)+1,0))</f>
        <v/>
      </c>
      <c r="E1730" t="str">
        <f>+IFERROR(VLOOKUP(Fact_Administrativa[[#This Row], [Concepto Anterior]],Conceptos_Administrativa[#All],5,0),"")</f>
        <v/>
      </c>
      <c r="F1730" t="str">
        <f>+IFERROR(VLOOKUP(Fact_Administrativa[[#This Row], 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ht="18.75" customHeight="1" x14ac:dyDescent="0.35">
      <c r="C1731" s="100" t="str">
        <f>IF(OR(Fact_Administrativa[[#This Row], [Año]]="",Fact_Administrativa[[#This Row], [Mes]]=""),"",DATE(A1731,MATCH(B1731,{"enero","febrero","marzo","abril","mayo","junio","julio","agosto","septiembre","octubre","noviembre","diciembre"},0)+1,0))</f>
        <v/>
      </c>
      <c r="E1731" t="str">
        <f>+IFERROR(VLOOKUP(Fact_Administrativa[[#This Row], [Concepto Anterior]],Conceptos_Administrativa[#All],5,0),"")</f>
        <v/>
      </c>
      <c r="F1731" t="str">
        <f>+IFERROR(VLOOKUP(Fact_Administrativa[[#This Row], 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ht="18.75" customHeight="1" x14ac:dyDescent="0.35">
      <c r="C1732" s="100" t="str">
        <f>IF(OR(Fact_Administrativa[[#This Row], [Año]]="",Fact_Administrativa[[#This Row], [Mes]]=""),"",DATE(A1732,MATCH(B1732,{"enero","febrero","marzo","abril","mayo","junio","julio","agosto","septiembre","octubre","noviembre","diciembre"},0)+1,0))</f>
        <v/>
      </c>
      <c r="E1732" t="str">
        <f>+IFERROR(VLOOKUP(Fact_Administrativa[[#This Row], [Concepto Anterior]],Conceptos_Administrativa[#All],5,0),"")</f>
        <v/>
      </c>
      <c r="F1732" t="str">
        <f>+IFERROR(VLOOKUP(Fact_Administrativa[[#This Row], 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ht="18.75" customHeight="1" x14ac:dyDescent="0.35">
      <c r="C1733" s="100" t="str">
        <f>IF(OR(Fact_Administrativa[[#This Row], [Año]]="",Fact_Administrativa[[#This Row], [Mes]]=""),"",DATE(A1733,MATCH(B1733,{"enero","febrero","marzo","abril","mayo","junio","julio","agosto","septiembre","octubre","noviembre","diciembre"},0)+1,0))</f>
        <v/>
      </c>
      <c r="E1733" t="str">
        <f>+IFERROR(VLOOKUP(Fact_Administrativa[[#This Row], [Concepto Anterior]],Conceptos_Administrativa[#All],5,0),"")</f>
        <v/>
      </c>
      <c r="F1733" t="str">
        <f>+IFERROR(VLOOKUP(Fact_Administrativa[[#This Row], 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ht="18.75" customHeight="1" x14ac:dyDescent="0.35">
      <c r="C1734" s="100" t="str">
        <f>IF(OR(Fact_Administrativa[[#This Row], [Año]]="",Fact_Administrativa[[#This Row], [Mes]]=""),"",DATE(A1734,MATCH(B1734,{"enero","febrero","marzo","abril","mayo","junio","julio","agosto","septiembre","octubre","noviembre","diciembre"},0)+1,0))</f>
        <v/>
      </c>
      <c r="E1734" t="str">
        <f>+IFERROR(VLOOKUP(Fact_Administrativa[[#This Row], [Concepto Anterior]],Conceptos_Administrativa[#All],5,0),"")</f>
        <v/>
      </c>
      <c r="F1734" t="str">
        <f>+IFERROR(VLOOKUP(Fact_Administrativa[[#This Row], 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ht="18.75" customHeight="1" x14ac:dyDescent="0.35">
      <c r="C1735" s="100" t="str">
        <f>IF(OR(Fact_Administrativa[[#This Row], [Año]]="",Fact_Administrativa[[#This Row], [Mes]]=""),"",DATE(A1735,MATCH(B1735,{"enero","febrero","marzo","abril","mayo","junio","julio","agosto","septiembre","octubre","noviembre","diciembre"},0)+1,0))</f>
        <v/>
      </c>
      <c r="E1735" t="str">
        <f>+IFERROR(VLOOKUP(Fact_Administrativa[[#This Row], [Concepto Anterior]],Conceptos_Administrativa[#All],5,0),"")</f>
        <v/>
      </c>
      <c r="F1735" t="str">
        <f>+IFERROR(VLOOKUP(Fact_Administrativa[[#This Row], 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ht="18.75" customHeight="1" x14ac:dyDescent="0.35">
      <c r="C1736" s="100" t="str">
        <f>IF(OR(Fact_Administrativa[[#This Row], [Año]]="",Fact_Administrativa[[#This Row], [Mes]]=""),"",DATE(A1736,MATCH(B1736,{"enero","febrero","marzo","abril","mayo","junio","julio","agosto","septiembre","octubre","noviembre","diciembre"},0)+1,0))</f>
        <v/>
      </c>
      <c r="E1736" t="str">
        <f>+IFERROR(VLOOKUP(Fact_Administrativa[[#This Row], [Concepto Anterior]],Conceptos_Administrativa[#All],5,0),"")</f>
        <v/>
      </c>
      <c r="F1736" t="str">
        <f>+IFERROR(VLOOKUP(Fact_Administrativa[[#This Row], 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ht="18.75" customHeight="1" x14ac:dyDescent="0.35">
      <c r="C1737" s="100" t="str">
        <f>IF(OR(Fact_Administrativa[[#This Row], [Año]]="",Fact_Administrativa[[#This Row], [Mes]]=""),"",DATE(A1737,MATCH(B1737,{"enero","febrero","marzo","abril","mayo","junio","julio","agosto","septiembre","octubre","noviembre","diciembre"},0)+1,0))</f>
        <v/>
      </c>
      <c r="E1737" t="str">
        <f>+IFERROR(VLOOKUP(Fact_Administrativa[[#This Row], [Concepto Anterior]],Conceptos_Administrativa[#All],5,0),"")</f>
        <v/>
      </c>
      <c r="F1737" t="str">
        <f>+IFERROR(VLOOKUP(Fact_Administrativa[[#This Row], 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ht="18.75" customHeight="1" x14ac:dyDescent="0.35">
      <c r="C1738" s="100" t="str">
        <f>IF(OR(Fact_Administrativa[[#This Row], [Año]]="",Fact_Administrativa[[#This Row], [Mes]]=""),"",DATE(A1738,MATCH(B1738,{"enero","febrero","marzo","abril","mayo","junio","julio","agosto","septiembre","octubre","noviembre","diciembre"},0)+1,0))</f>
        <v/>
      </c>
      <c r="E1738" t="str">
        <f>+IFERROR(VLOOKUP(Fact_Administrativa[[#This Row], [Concepto Anterior]],Conceptos_Administrativa[#All],5,0),"")</f>
        <v/>
      </c>
      <c r="F1738" t="str">
        <f>+IFERROR(VLOOKUP(Fact_Administrativa[[#This Row], 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ht="18.75" customHeight="1" x14ac:dyDescent="0.35">
      <c r="C1739" s="100" t="str">
        <f>IF(OR(Fact_Administrativa[[#This Row], [Año]]="",Fact_Administrativa[[#This Row], [Mes]]=""),"",DATE(A1739,MATCH(B1739,{"enero","febrero","marzo","abril","mayo","junio","julio","agosto","septiembre","octubre","noviembre","diciembre"},0)+1,0))</f>
        <v/>
      </c>
      <c r="E1739" t="str">
        <f>+IFERROR(VLOOKUP(Fact_Administrativa[[#This Row], [Concepto Anterior]],Conceptos_Administrativa[#All],5,0),"")</f>
        <v/>
      </c>
      <c r="F1739" t="str">
        <f>+IFERROR(VLOOKUP(Fact_Administrativa[[#This Row], 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ht="18.75" customHeight="1" x14ac:dyDescent="0.35">
      <c r="C1740" s="100" t="str">
        <f>IF(OR(Fact_Administrativa[[#This Row], [Año]]="",Fact_Administrativa[[#This Row], [Mes]]=""),"",DATE(A1740,MATCH(B1740,{"enero","febrero","marzo","abril","mayo","junio","julio","agosto","septiembre","octubre","noviembre","diciembre"},0)+1,0))</f>
        <v/>
      </c>
      <c r="E1740" t="str">
        <f>+IFERROR(VLOOKUP(Fact_Administrativa[[#This Row], [Concepto Anterior]],Conceptos_Administrativa[#All],5,0),"")</f>
        <v/>
      </c>
      <c r="F1740" t="str">
        <f>+IFERROR(VLOOKUP(Fact_Administrativa[[#This Row], 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ht="18.75" customHeight="1" x14ac:dyDescent="0.35">
      <c r="C1741" s="100" t="str">
        <f>IF(OR(Fact_Administrativa[[#This Row], [Año]]="",Fact_Administrativa[[#This Row], [Mes]]=""),"",DATE(A1741,MATCH(B1741,{"enero","febrero","marzo","abril","mayo","junio","julio","agosto","septiembre","octubre","noviembre","diciembre"},0)+1,0))</f>
        <v/>
      </c>
      <c r="E1741" t="str">
        <f>+IFERROR(VLOOKUP(Fact_Administrativa[[#This Row], [Concepto Anterior]],Conceptos_Administrativa[#All],5,0),"")</f>
        <v/>
      </c>
      <c r="F1741" t="str">
        <f>+IFERROR(VLOOKUP(Fact_Administrativa[[#This Row], 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ht="18.75" customHeight="1" x14ac:dyDescent="0.35">
      <c r="C1742" s="100" t="str">
        <f>IF(OR(Fact_Administrativa[[#This Row], [Año]]="",Fact_Administrativa[[#This Row], [Mes]]=""),"",DATE(A1742,MATCH(B1742,{"enero","febrero","marzo","abril","mayo","junio","julio","agosto","septiembre","octubre","noviembre","diciembre"},0)+1,0))</f>
        <v/>
      </c>
      <c r="E1742" t="str">
        <f>+IFERROR(VLOOKUP(Fact_Administrativa[[#This Row], [Concepto Anterior]],Conceptos_Administrativa[#All],5,0),"")</f>
        <v/>
      </c>
      <c r="F1742" t="str">
        <f>+IFERROR(VLOOKUP(Fact_Administrativa[[#This Row], 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ht="18.75" customHeight="1" x14ac:dyDescent="0.35">
      <c r="C1743" s="100" t="str">
        <f>IF(OR(Fact_Administrativa[[#This Row], [Año]]="",Fact_Administrativa[[#This Row], [Mes]]=""),"",DATE(A1743,MATCH(B1743,{"enero","febrero","marzo","abril","mayo","junio","julio","agosto","septiembre","octubre","noviembre","diciembre"},0)+1,0))</f>
        <v/>
      </c>
      <c r="E1743" t="str">
        <f>+IFERROR(VLOOKUP(Fact_Administrativa[[#This Row], [Concepto Anterior]],Conceptos_Administrativa[#All],5,0),"")</f>
        <v/>
      </c>
      <c r="F1743" t="str">
        <f>+IFERROR(VLOOKUP(Fact_Administrativa[[#This Row], 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ht="18.75" customHeight="1" x14ac:dyDescent="0.35">
      <c r="C1744" s="100" t="str">
        <f>IF(OR(Fact_Administrativa[[#This Row], [Año]]="",Fact_Administrativa[[#This Row], [Mes]]=""),"",DATE(A1744,MATCH(B1744,{"enero","febrero","marzo","abril","mayo","junio","julio","agosto","septiembre","octubre","noviembre","diciembre"},0)+1,0))</f>
        <v/>
      </c>
      <c r="E1744" t="str">
        <f>+IFERROR(VLOOKUP(Fact_Administrativa[[#This Row], [Concepto Anterior]],Conceptos_Administrativa[#All],5,0),"")</f>
        <v/>
      </c>
      <c r="F1744" t="str">
        <f>+IFERROR(VLOOKUP(Fact_Administrativa[[#This Row], 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ht="18.75" customHeight="1" x14ac:dyDescent="0.35">
      <c r="C1745" s="100" t="str">
        <f>IF(OR(Fact_Administrativa[[#This Row], [Año]]="",Fact_Administrativa[[#This Row], [Mes]]=""),"",DATE(A1745,MATCH(B1745,{"enero","febrero","marzo","abril","mayo","junio","julio","agosto","septiembre","octubre","noviembre","diciembre"},0)+1,0))</f>
        <v/>
      </c>
      <c r="E1745" t="str">
        <f>+IFERROR(VLOOKUP(Fact_Administrativa[[#This Row], [Concepto Anterior]],Conceptos_Administrativa[#All],5,0),"")</f>
        <v/>
      </c>
      <c r="F1745" t="str">
        <f>+IFERROR(VLOOKUP(Fact_Administrativa[[#This Row], 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ht="18.75" customHeight="1" x14ac:dyDescent="0.35">
      <c r="C1746" s="100" t="str">
        <f>IF(OR(Fact_Administrativa[[#This Row], [Año]]="",Fact_Administrativa[[#This Row], [Mes]]=""),"",DATE(A1746,MATCH(B1746,{"enero","febrero","marzo","abril","mayo","junio","julio","agosto","septiembre","octubre","noviembre","diciembre"},0)+1,0))</f>
        <v/>
      </c>
      <c r="E1746" t="str">
        <f>+IFERROR(VLOOKUP(Fact_Administrativa[[#This Row], [Concepto Anterior]],Conceptos_Administrativa[#All],5,0),"")</f>
        <v/>
      </c>
      <c r="F1746" t="str">
        <f>+IFERROR(VLOOKUP(Fact_Administrativa[[#This Row], 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ht="18.75" customHeight="1" x14ac:dyDescent="0.35">
      <c r="C1747" s="100" t="str">
        <f>IF(OR(Fact_Administrativa[[#This Row], [Año]]="",Fact_Administrativa[[#This Row], [Mes]]=""),"",DATE(A1747,MATCH(B1747,{"enero","febrero","marzo","abril","mayo","junio","julio","agosto","septiembre","octubre","noviembre","diciembre"},0)+1,0))</f>
        <v/>
      </c>
      <c r="E1747" t="str">
        <f>+IFERROR(VLOOKUP(Fact_Administrativa[[#This Row], [Concepto Anterior]],Conceptos_Administrativa[#All],5,0),"")</f>
        <v/>
      </c>
      <c r="F1747" t="str">
        <f>+IFERROR(VLOOKUP(Fact_Administrativa[[#This Row], 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ht="18.75" customHeight="1" x14ac:dyDescent="0.35">
      <c r="C1748" s="100" t="str">
        <f>IF(OR(Fact_Administrativa[[#This Row], [Año]]="",Fact_Administrativa[[#This Row], [Mes]]=""),"",DATE(A1748,MATCH(B1748,{"enero","febrero","marzo","abril","mayo","junio","julio","agosto","septiembre","octubre","noviembre","diciembre"},0)+1,0))</f>
        <v/>
      </c>
      <c r="E1748" t="str">
        <f>+IFERROR(VLOOKUP(Fact_Administrativa[[#This Row], [Concepto Anterior]],Conceptos_Administrativa[#All],5,0),"")</f>
        <v/>
      </c>
      <c r="F1748" t="str">
        <f>+IFERROR(VLOOKUP(Fact_Administrativa[[#This Row], 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ht="18.75" customHeight="1" x14ac:dyDescent="0.35">
      <c r="C1749" s="100" t="str">
        <f>IF(OR(Fact_Administrativa[[#This Row], [Año]]="",Fact_Administrativa[[#This Row], [Mes]]=""),"",DATE(A1749,MATCH(B1749,{"enero","febrero","marzo","abril","mayo","junio","julio","agosto","septiembre","octubre","noviembre","diciembre"},0)+1,0))</f>
        <v/>
      </c>
      <c r="E1749" t="str">
        <f>+IFERROR(VLOOKUP(Fact_Administrativa[[#This Row], [Concepto Anterior]],Conceptos_Administrativa[#All],5,0),"")</f>
        <v/>
      </c>
      <c r="F1749" t="str">
        <f>+IFERROR(VLOOKUP(Fact_Administrativa[[#This Row], 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ht="18.75" customHeight="1" x14ac:dyDescent="0.35">
      <c r="C1750" s="100" t="str">
        <f>IF(OR(Fact_Administrativa[[#This Row], [Año]]="",Fact_Administrativa[[#This Row], [Mes]]=""),"",DATE(A1750,MATCH(B1750,{"enero","febrero","marzo","abril","mayo","junio","julio","agosto","septiembre","octubre","noviembre","diciembre"},0)+1,0))</f>
        <v/>
      </c>
      <c r="E1750" t="str">
        <f>+IFERROR(VLOOKUP(Fact_Administrativa[[#This Row], [Concepto Anterior]],Conceptos_Administrativa[#All],5,0),"")</f>
        <v/>
      </c>
      <c r="F1750" t="str">
        <f>+IFERROR(VLOOKUP(Fact_Administrativa[[#This Row], 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ht="18.75" customHeight="1" x14ac:dyDescent="0.35">
      <c r="C1751" s="100" t="str">
        <f>IF(OR(Fact_Administrativa[[#This Row], [Año]]="",Fact_Administrativa[[#This Row], [Mes]]=""),"",DATE(A1751,MATCH(B1751,{"enero","febrero","marzo","abril","mayo","junio","julio","agosto","septiembre","octubre","noviembre","diciembre"},0)+1,0))</f>
        <v/>
      </c>
      <c r="E1751" t="str">
        <f>+IFERROR(VLOOKUP(Fact_Administrativa[[#This Row], [Concepto Anterior]],Conceptos_Administrativa[#All],5,0),"")</f>
        <v/>
      </c>
      <c r="F1751" t="str">
        <f>+IFERROR(VLOOKUP(Fact_Administrativa[[#This Row], 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ht="18.75" customHeight="1" x14ac:dyDescent="0.35">
      <c r="C1752" s="100" t="str">
        <f>IF(OR(Fact_Administrativa[[#This Row], [Año]]="",Fact_Administrativa[[#This Row], [Mes]]=""),"",DATE(A1752,MATCH(B1752,{"enero","febrero","marzo","abril","mayo","junio","julio","agosto","septiembre","octubre","noviembre","diciembre"},0)+1,0))</f>
        <v/>
      </c>
      <c r="E1752" t="str">
        <f>+IFERROR(VLOOKUP(Fact_Administrativa[[#This Row], [Concepto Anterior]],Conceptos_Administrativa[#All],5,0),"")</f>
        <v/>
      </c>
      <c r="F1752" t="str">
        <f>+IFERROR(VLOOKUP(Fact_Administrativa[[#This Row], 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ht="18.75" customHeight="1" x14ac:dyDescent="0.35">
      <c r="C1753" s="100" t="str">
        <f>IF(OR(Fact_Administrativa[[#This Row], [Año]]="",Fact_Administrativa[[#This Row], [Mes]]=""),"",DATE(A1753,MATCH(B1753,{"enero","febrero","marzo","abril","mayo","junio","julio","agosto","septiembre","octubre","noviembre","diciembre"},0)+1,0))</f>
        <v/>
      </c>
      <c r="E1753" t="str">
        <f>+IFERROR(VLOOKUP(Fact_Administrativa[[#This Row], [Concepto Anterior]],Conceptos_Administrativa[#All],5,0),"")</f>
        <v/>
      </c>
      <c r="F1753" t="str">
        <f>+IFERROR(VLOOKUP(Fact_Administrativa[[#This Row], 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ht="18.75" customHeight="1" x14ac:dyDescent="0.35">
      <c r="C1754" s="100" t="str">
        <f>IF(OR(Fact_Administrativa[[#This Row], [Año]]="",Fact_Administrativa[[#This Row], [Mes]]=""),"",DATE(A1754,MATCH(B1754,{"enero","febrero","marzo","abril","mayo","junio","julio","agosto","septiembre","octubre","noviembre","diciembre"},0)+1,0))</f>
        <v/>
      </c>
      <c r="E1754" t="str">
        <f>+IFERROR(VLOOKUP(Fact_Administrativa[[#This Row], [Concepto Anterior]],Conceptos_Administrativa[#All],5,0),"")</f>
        <v/>
      </c>
      <c r="F1754" t="str">
        <f>+IFERROR(VLOOKUP(Fact_Administrativa[[#This Row], 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ht="18.75" customHeight="1" x14ac:dyDescent="0.35">
      <c r="C1755" s="100" t="str">
        <f>IF(OR(Fact_Administrativa[[#This Row], [Año]]="",Fact_Administrativa[[#This Row], [Mes]]=""),"",DATE(A1755,MATCH(B1755,{"enero","febrero","marzo","abril","mayo","junio","julio","agosto","septiembre","octubre","noviembre","diciembre"},0)+1,0))</f>
        <v/>
      </c>
      <c r="E1755" t="str">
        <f>+IFERROR(VLOOKUP(Fact_Administrativa[[#This Row], [Concepto Anterior]],Conceptos_Administrativa[#All],5,0),"")</f>
        <v/>
      </c>
      <c r="F1755" t="str">
        <f>+IFERROR(VLOOKUP(Fact_Administrativa[[#This Row], 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ht="18.75" customHeight="1" x14ac:dyDescent="0.35">
      <c r="C1756" s="100" t="str">
        <f>IF(OR(Fact_Administrativa[[#This Row], [Año]]="",Fact_Administrativa[[#This Row], [Mes]]=""),"",DATE(A1756,MATCH(B1756,{"enero","febrero","marzo","abril","mayo","junio","julio","agosto","septiembre","octubre","noviembre","diciembre"},0)+1,0))</f>
        <v/>
      </c>
      <c r="E1756" t="str">
        <f>+IFERROR(VLOOKUP(Fact_Administrativa[[#This Row], [Concepto Anterior]],Conceptos_Administrativa[#All],5,0),"")</f>
        <v/>
      </c>
      <c r="F1756" t="str">
        <f>+IFERROR(VLOOKUP(Fact_Administrativa[[#This Row], 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ht="18.75" customHeight="1" x14ac:dyDescent="0.35">
      <c r="C1757" s="100" t="str">
        <f>IF(OR(Fact_Administrativa[[#This Row], [Año]]="",Fact_Administrativa[[#This Row], [Mes]]=""),"",DATE(A1757,MATCH(B1757,{"enero","febrero","marzo","abril","mayo","junio","julio","agosto","septiembre","octubre","noviembre","diciembre"},0)+1,0))</f>
        <v/>
      </c>
      <c r="E1757" t="str">
        <f>+IFERROR(VLOOKUP(Fact_Administrativa[[#This Row], [Concepto Anterior]],Conceptos_Administrativa[#All],5,0),"")</f>
        <v/>
      </c>
      <c r="F1757" t="str">
        <f>+IFERROR(VLOOKUP(Fact_Administrativa[[#This Row], 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ht="18.75" customHeight="1" x14ac:dyDescent="0.35">
      <c r="C1758" s="100" t="str">
        <f>IF(OR(Fact_Administrativa[[#This Row], [Año]]="",Fact_Administrativa[[#This Row], [Mes]]=""),"",DATE(A1758,MATCH(B1758,{"enero","febrero","marzo","abril","mayo","junio","julio","agosto","septiembre","octubre","noviembre","diciembre"},0)+1,0))</f>
        <v/>
      </c>
      <c r="E1758" t="str">
        <f>+IFERROR(VLOOKUP(Fact_Administrativa[[#This Row], [Concepto Anterior]],Conceptos_Administrativa[#All],5,0),"")</f>
        <v/>
      </c>
      <c r="F1758" t="str">
        <f>+IFERROR(VLOOKUP(Fact_Administrativa[[#This Row], 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ht="18.75" customHeight="1" x14ac:dyDescent="0.35">
      <c r="C1759" s="100" t="str">
        <f>IF(OR(Fact_Administrativa[[#This Row], [Año]]="",Fact_Administrativa[[#This Row], [Mes]]=""),"",DATE(A1759,MATCH(B1759,{"enero","febrero","marzo","abril","mayo","junio","julio","agosto","septiembre","octubre","noviembre","diciembre"},0)+1,0))</f>
        <v/>
      </c>
      <c r="E1759" t="str">
        <f>+IFERROR(VLOOKUP(Fact_Administrativa[[#This Row], [Concepto Anterior]],Conceptos_Administrativa[#All],5,0),"")</f>
        <v/>
      </c>
      <c r="F1759" t="str">
        <f>+IFERROR(VLOOKUP(Fact_Administrativa[[#This Row], 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ht="18.75" customHeight="1" x14ac:dyDescent="0.35">
      <c r="C1760" s="100" t="str">
        <f>IF(OR(Fact_Administrativa[[#This Row], [Año]]="",Fact_Administrativa[[#This Row], [Mes]]=""),"",DATE(A1760,MATCH(B1760,{"enero","febrero","marzo","abril","mayo","junio","julio","agosto","septiembre","octubre","noviembre","diciembre"},0)+1,0))</f>
        <v/>
      </c>
      <c r="E1760" t="str">
        <f>+IFERROR(VLOOKUP(Fact_Administrativa[[#This Row], [Concepto Anterior]],Conceptos_Administrativa[#All],5,0),"")</f>
        <v/>
      </c>
      <c r="F1760" t="str">
        <f>+IFERROR(VLOOKUP(Fact_Administrativa[[#This Row], 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ht="18.75" customHeight="1" x14ac:dyDescent="0.35">
      <c r="C1761" s="100" t="str">
        <f>IF(OR(Fact_Administrativa[[#This Row], [Año]]="",Fact_Administrativa[[#This Row], [Mes]]=""),"",DATE(A1761,MATCH(B1761,{"enero","febrero","marzo","abril","mayo","junio","julio","agosto","septiembre","octubre","noviembre","diciembre"},0)+1,0))</f>
        <v/>
      </c>
      <c r="E1761" t="str">
        <f>+IFERROR(VLOOKUP(Fact_Administrativa[[#This Row], [Concepto Anterior]],Conceptos_Administrativa[#All],5,0),"")</f>
        <v/>
      </c>
      <c r="F1761" t="str">
        <f>+IFERROR(VLOOKUP(Fact_Administrativa[[#This Row], 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ht="18.75" customHeight="1" x14ac:dyDescent="0.35">
      <c r="C1762" s="100" t="str">
        <f>IF(OR(Fact_Administrativa[[#This Row], [Año]]="",Fact_Administrativa[[#This Row], [Mes]]=""),"",DATE(A1762,MATCH(B1762,{"enero","febrero","marzo","abril","mayo","junio","julio","agosto","septiembre","octubre","noviembre","diciembre"},0)+1,0))</f>
        <v/>
      </c>
      <c r="E1762" t="str">
        <f>+IFERROR(VLOOKUP(Fact_Administrativa[[#This Row], [Concepto Anterior]],Conceptos_Administrativa[#All],5,0),"")</f>
        <v/>
      </c>
      <c r="F1762" t="str">
        <f>+IFERROR(VLOOKUP(Fact_Administrativa[[#This Row], 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ht="18.75" customHeight="1" x14ac:dyDescent="0.35">
      <c r="C1763" s="100" t="str">
        <f>IF(OR(Fact_Administrativa[[#This Row], [Año]]="",Fact_Administrativa[[#This Row], [Mes]]=""),"",DATE(A1763,MATCH(B1763,{"enero","febrero","marzo","abril","mayo","junio","julio","agosto","septiembre","octubre","noviembre","diciembre"},0)+1,0))</f>
        <v/>
      </c>
      <c r="E1763" t="str">
        <f>+IFERROR(VLOOKUP(Fact_Administrativa[[#This Row], [Concepto Anterior]],Conceptos_Administrativa[#All],5,0),"")</f>
        <v/>
      </c>
      <c r="F1763" t="str">
        <f>+IFERROR(VLOOKUP(Fact_Administrativa[[#This Row], 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ht="18.75" customHeight="1" x14ac:dyDescent="0.35">
      <c r="C1764" s="100" t="str">
        <f>IF(OR(Fact_Administrativa[[#This Row], [Año]]="",Fact_Administrativa[[#This Row], [Mes]]=""),"",DATE(A1764,MATCH(B1764,{"enero","febrero","marzo","abril","mayo","junio","julio","agosto","septiembre","octubre","noviembre","diciembre"},0)+1,0))</f>
        <v/>
      </c>
      <c r="E1764" t="str">
        <f>+IFERROR(VLOOKUP(Fact_Administrativa[[#This Row], [Concepto Anterior]],Conceptos_Administrativa[#All],5,0),"")</f>
        <v/>
      </c>
      <c r="F1764" t="str">
        <f>+IFERROR(VLOOKUP(Fact_Administrativa[[#This Row], 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ht="18.75" customHeight="1" x14ac:dyDescent="0.35">
      <c r="C1765" s="100" t="str">
        <f>IF(OR(Fact_Administrativa[[#This Row], [Año]]="",Fact_Administrativa[[#This Row], [Mes]]=""),"",DATE(A1765,MATCH(B1765,{"enero","febrero","marzo","abril","mayo","junio","julio","agosto","septiembre","octubre","noviembre","diciembre"},0)+1,0))</f>
        <v/>
      </c>
      <c r="E1765" t="str">
        <f>+IFERROR(VLOOKUP(Fact_Administrativa[[#This Row], [Concepto Anterior]],Conceptos_Administrativa[#All],5,0),"")</f>
        <v/>
      </c>
      <c r="F1765" t="str">
        <f>+IFERROR(VLOOKUP(Fact_Administrativa[[#This Row], 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ht="18.75" customHeight="1" x14ac:dyDescent="0.35">
      <c r="C1766" s="100" t="str">
        <f>IF(OR(Fact_Administrativa[[#This Row], [Año]]="",Fact_Administrativa[[#This Row], [Mes]]=""),"",DATE(A1766,MATCH(B1766,{"enero","febrero","marzo","abril","mayo","junio","julio","agosto","septiembre","octubre","noviembre","diciembre"},0)+1,0))</f>
        <v/>
      </c>
      <c r="E1766" t="str">
        <f>+IFERROR(VLOOKUP(Fact_Administrativa[[#This Row], [Concepto Anterior]],Conceptos_Administrativa[#All],5,0),"")</f>
        <v/>
      </c>
      <c r="F1766" t="str">
        <f>+IFERROR(VLOOKUP(Fact_Administrativa[[#This Row], 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ht="18.75" customHeight="1" x14ac:dyDescent="0.35">
      <c r="C1767" s="100" t="str">
        <f>IF(OR(Fact_Administrativa[[#This Row], [Año]]="",Fact_Administrativa[[#This Row], [Mes]]=""),"",DATE(A1767,MATCH(B1767,{"enero","febrero","marzo","abril","mayo","junio","julio","agosto","septiembre","octubre","noviembre","diciembre"},0)+1,0))</f>
        <v/>
      </c>
      <c r="E1767" t="str">
        <f>+IFERROR(VLOOKUP(Fact_Administrativa[[#This Row], [Concepto Anterior]],Conceptos_Administrativa[#All],5,0),"")</f>
        <v/>
      </c>
      <c r="F1767" t="str">
        <f>+IFERROR(VLOOKUP(Fact_Administrativa[[#This Row], 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ht="18.75" customHeight="1" x14ac:dyDescent="0.35">
      <c r="C1768" s="100" t="str">
        <f>IF(OR(Fact_Administrativa[[#This Row], [Año]]="",Fact_Administrativa[[#This Row], [Mes]]=""),"",DATE(A1768,MATCH(B1768,{"enero","febrero","marzo","abril","mayo","junio","julio","agosto","septiembre","octubre","noviembre","diciembre"},0)+1,0))</f>
        <v/>
      </c>
      <c r="E1768" t="str">
        <f>+IFERROR(VLOOKUP(Fact_Administrativa[[#This Row], [Concepto Anterior]],Conceptos_Administrativa[#All],5,0),"")</f>
        <v/>
      </c>
      <c r="F1768" t="str">
        <f>+IFERROR(VLOOKUP(Fact_Administrativa[[#This Row], 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ht="18.75" customHeight="1" x14ac:dyDescent="0.35">
      <c r="C1769" s="100" t="str">
        <f>IF(OR(Fact_Administrativa[[#This Row], [Año]]="",Fact_Administrativa[[#This Row], [Mes]]=""),"",DATE(A1769,MATCH(B1769,{"enero","febrero","marzo","abril","mayo","junio","julio","agosto","septiembre","octubre","noviembre","diciembre"},0)+1,0))</f>
        <v/>
      </c>
      <c r="E1769" t="str">
        <f>+IFERROR(VLOOKUP(Fact_Administrativa[[#This Row], [Concepto Anterior]],Conceptos_Administrativa[#All],5,0),"")</f>
        <v/>
      </c>
      <c r="F1769" t="str">
        <f>+IFERROR(VLOOKUP(Fact_Administrativa[[#This Row], 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ht="18.75" customHeight="1" x14ac:dyDescent="0.35">
      <c r="C1770" s="100" t="str">
        <f>IF(OR(Fact_Administrativa[[#This Row], [Año]]="",Fact_Administrativa[[#This Row], [Mes]]=""),"",DATE(A1770,MATCH(B1770,{"enero","febrero","marzo","abril","mayo","junio","julio","agosto","septiembre","octubre","noviembre","diciembre"},0)+1,0))</f>
        <v/>
      </c>
      <c r="E1770" t="str">
        <f>+IFERROR(VLOOKUP(Fact_Administrativa[[#This Row], [Concepto Anterior]],Conceptos_Administrativa[#All],5,0),"")</f>
        <v/>
      </c>
      <c r="F1770" t="str">
        <f>+IFERROR(VLOOKUP(Fact_Administrativa[[#This Row], 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ht="18.75" customHeight="1" x14ac:dyDescent="0.35">
      <c r="C1771" s="100" t="str">
        <f>IF(OR(Fact_Administrativa[[#This Row], [Año]]="",Fact_Administrativa[[#This Row], [Mes]]=""),"",DATE(A1771,MATCH(B1771,{"enero","febrero","marzo","abril","mayo","junio","julio","agosto","septiembre","octubre","noviembre","diciembre"},0)+1,0))</f>
        <v/>
      </c>
      <c r="E1771" t="str">
        <f>+IFERROR(VLOOKUP(Fact_Administrativa[[#This Row], [Concepto Anterior]],Conceptos_Administrativa[#All],5,0),"")</f>
        <v/>
      </c>
      <c r="F1771" t="str">
        <f>+IFERROR(VLOOKUP(Fact_Administrativa[[#This Row], 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ht="18.75" customHeight="1" x14ac:dyDescent="0.35">
      <c r="C1772" s="100" t="str">
        <f>IF(OR(Fact_Administrativa[[#This Row], [Año]]="",Fact_Administrativa[[#This Row], [Mes]]=""),"",DATE(A1772,MATCH(B1772,{"enero","febrero","marzo","abril","mayo","junio","julio","agosto","septiembre","octubre","noviembre","diciembre"},0)+1,0))</f>
        <v/>
      </c>
      <c r="E1772" t="str">
        <f>+IFERROR(VLOOKUP(Fact_Administrativa[[#This Row], [Concepto Anterior]],Conceptos_Administrativa[#All],5,0),"")</f>
        <v/>
      </c>
      <c r="F1772" t="str">
        <f>+IFERROR(VLOOKUP(Fact_Administrativa[[#This Row], 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ht="18.75" customHeight="1" x14ac:dyDescent="0.35">
      <c r="C1773" s="100" t="str">
        <f>IF(OR(Fact_Administrativa[[#This Row], [Año]]="",Fact_Administrativa[[#This Row], [Mes]]=""),"",DATE(A1773,MATCH(B1773,{"enero","febrero","marzo","abril","mayo","junio","julio","agosto","septiembre","octubre","noviembre","diciembre"},0)+1,0))</f>
        <v/>
      </c>
      <c r="E1773" t="str">
        <f>+IFERROR(VLOOKUP(Fact_Administrativa[[#This Row], [Concepto Anterior]],Conceptos_Administrativa[#All],5,0),"")</f>
        <v/>
      </c>
      <c r="F1773" t="str">
        <f>+IFERROR(VLOOKUP(Fact_Administrativa[[#This Row], 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ht="18.75" customHeight="1" x14ac:dyDescent="0.35">
      <c r="C1774" s="100" t="str">
        <f>IF(OR(Fact_Administrativa[[#This Row], [Año]]="",Fact_Administrativa[[#This Row], [Mes]]=""),"",DATE(A1774,MATCH(B1774,{"enero","febrero","marzo","abril","mayo","junio","julio","agosto","septiembre","octubre","noviembre","diciembre"},0)+1,0))</f>
        <v/>
      </c>
      <c r="E1774" t="str">
        <f>+IFERROR(VLOOKUP(Fact_Administrativa[[#This Row], [Concepto Anterior]],Conceptos_Administrativa[#All],5,0),"")</f>
        <v/>
      </c>
      <c r="F1774" t="str">
        <f>+IFERROR(VLOOKUP(Fact_Administrativa[[#This Row], 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ht="18.75" customHeight="1" x14ac:dyDescent="0.35">
      <c r="C1775" s="100" t="str">
        <f>IF(OR(Fact_Administrativa[[#This Row], [Año]]="",Fact_Administrativa[[#This Row], [Mes]]=""),"",DATE(A1775,MATCH(B1775,{"enero","febrero","marzo","abril","mayo","junio","julio","agosto","septiembre","octubre","noviembre","diciembre"},0)+1,0))</f>
        <v/>
      </c>
      <c r="E1775" t="str">
        <f>+IFERROR(VLOOKUP(Fact_Administrativa[[#This Row], [Concepto Anterior]],Conceptos_Administrativa[#All],5,0),"")</f>
        <v/>
      </c>
      <c r="F1775" t="str">
        <f>+IFERROR(VLOOKUP(Fact_Administrativa[[#This Row], 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ht="18.75" customHeight="1" x14ac:dyDescent="0.35">
      <c r="C1776" s="100" t="str">
        <f>IF(OR(Fact_Administrativa[[#This Row], [Año]]="",Fact_Administrativa[[#This Row], [Mes]]=""),"",DATE(A1776,MATCH(B1776,{"enero","febrero","marzo","abril","mayo","junio","julio","agosto","septiembre","octubre","noviembre","diciembre"},0)+1,0))</f>
        <v/>
      </c>
      <c r="E1776" t="str">
        <f>+IFERROR(VLOOKUP(Fact_Administrativa[[#This Row], [Concepto Anterior]],Conceptos_Administrativa[#All],5,0),"")</f>
        <v/>
      </c>
      <c r="F1776" t="str">
        <f>+IFERROR(VLOOKUP(Fact_Administrativa[[#This Row], 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ht="18.75" customHeight="1" x14ac:dyDescent="0.35">
      <c r="C1777" s="100" t="str">
        <f>IF(OR(Fact_Administrativa[[#This Row], [Año]]="",Fact_Administrativa[[#This Row], [Mes]]=""),"",DATE(A1777,MATCH(B1777,{"enero","febrero","marzo","abril","mayo","junio","julio","agosto","septiembre","octubre","noviembre","diciembre"},0)+1,0))</f>
        <v/>
      </c>
      <c r="E1777" t="str">
        <f>+IFERROR(VLOOKUP(Fact_Administrativa[[#This Row], [Concepto Anterior]],Conceptos_Administrativa[#All],5,0),"")</f>
        <v/>
      </c>
      <c r="F1777" t="str">
        <f>+IFERROR(VLOOKUP(Fact_Administrativa[[#This Row], 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ht="18.75" customHeight="1" x14ac:dyDescent="0.35">
      <c r="C1778" s="100" t="str">
        <f>IF(OR(Fact_Administrativa[[#This Row], [Año]]="",Fact_Administrativa[[#This Row], [Mes]]=""),"",DATE(A1778,MATCH(B1778,{"enero","febrero","marzo","abril","mayo","junio","julio","agosto","septiembre","octubre","noviembre","diciembre"},0)+1,0))</f>
        <v/>
      </c>
      <c r="E1778" t="str">
        <f>+IFERROR(VLOOKUP(Fact_Administrativa[[#This Row], [Concepto Anterior]],Conceptos_Administrativa[#All],5,0),"")</f>
        <v/>
      </c>
      <c r="F1778" t="str">
        <f>+IFERROR(VLOOKUP(Fact_Administrativa[[#This Row], 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ht="18.75" customHeight="1" x14ac:dyDescent="0.35">
      <c r="C1779" s="100" t="str">
        <f>IF(OR(Fact_Administrativa[[#This Row], [Año]]="",Fact_Administrativa[[#This Row], [Mes]]=""),"",DATE(A1779,MATCH(B1779,{"enero","febrero","marzo","abril","mayo","junio","julio","agosto","septiembre","octubre","noviembre","diciembre"},0)+1,0))</f>
        <v/>
      </c>
      <c r="E1779" t="str">
        <f>+IFERROR(VLOOKUP(Fact_Administrativa[[#This Row], [Concepto Anterior]],Conceptos_Administrativa[#All],5,0),"")</f>
        <v/>
      </c>
      <c r="F1779" t="str">
        <f>+IFERROR(VLOOKUP(Fact_Administrativa[[#This Row], 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ht="18.75" customHeight="1" x14ac:dyDescent="0.35">
      <c r="C1780" s="100" t="str">
        <f>IF(OR(Fact_Administrativa[[#This Row], [Año]]="",Fact_Administrativa[[#This Row], [Mes]]=""),"",DATE(A1780,MATCH(B1780,{"enero","febrero","marzo","abril","mayo","junio","julio","agosto","septiembre","octubre","noviembre","diciembre"},0)+1,0))</f>
        <v/>
      </c>
      <c r="E1780" t="str">
        <f>+IFERROR(VLOOKUP(Fact_Administrativa[[#This Row], [Concepto Anterior]],Conceptos_Administrativa[#All],5,0),"")</f>
        <v/>
      </c>
      <c r="F1780" t="str">
        <f>+IFERROR(VLOOKUP(Fact_Administrativa[[#This Row], 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ht="18.75" customHeight="1" x14ac:dyDescent="0.35">
      <c r="C1781" s="100" t="str">
        <f>IF(OR(Fact_Administrativa[[#This Row], [Año]]="",Fact_Administrativa[[#This Row], [Mes]]=""),"",DATE(A1781,MATCH(B1781,{"enero","febrero","marzo","abril","mayo","junio","julio","agosto","septiembre","octubre","noviembre","diciembre"},0)+1,0))</f>
        <v/>
      </c>
      <c r="E1781" t="str">
        <f>+IFERROR(VLOOKUP(Fact_Administrativa[[#This Row], [Concepto Anterior]],Conceptos_Administrativa[#All],5,0),"")</f>
        <v/>
      </c>
      <c r="F1781" t="str">
        <f>+IFERROR(VLOOKUP(Fact_Administrativa[[#This Row], 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ht="18.75" customHeight="1" x14ac:dyDescent="0.35">
      <c r="C1782" s="100" t="str">
        <f>IF(OR(Fact_Administrativa[[#This Row], [Año]]="",Fact_Administrativa[[#This Row], [Mes]]=""),"",DATE(A1782,MATCH(B1782,{"enero","febrero","marzo","abril","mayo","junio","julio","agosto","septiembre","octubre","noviembre","diciembre"},0)+1,0))</f>
        <v/>
      </c>
      <c r="E1782" t="str">
        <f>+IFERROR(VLOOKUP(Fact_Administrativa[[#This Row], [Concepto Anterior]],Conceptos_Administrativa[#All],5,0),"")</f>
        <v/>
      </c>
      <c r="F1782" t="str">
        <f>+IFERROR(VLOOKUP(Fact_Administrativa[[#This Row], 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ht="18.75" customHeight="1" x14ac:dyDescent="0.35">
      <c r="C1783" s="100" t="str">
        <f>IF(OR(Fact_Administrativa[[#This Row], [Año]]="",Fact_Administrativa[[#This Row], [Mes]]=""),"",DATE(A1783,MATCH(B1783,{"enero","febrero","marzo","abril","mayo","junio","julio","agosto","septiembre","octubre","noviembre","diciembre"},0)+1,0))</f>
        <v/>
      </c>
      <c r="E1783" t="str">
        <f>+IFERROR(VLOOKUP(Fact_Administrativa[[#This Row], [Concepto Anterior]],Conceptos_Administrativa[#All],5,0),"")</f>
        <v/>
      </c>
      <c r="F1783" t="str">
        <f>+IFERROR(VLOOKUP(Fact_Administrativa[[#This Row], 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ht="18.75" customHeight="1" x14ac:dyDescent="0.35">
      <c r="C1784" s="100" t="str">
        <f>IF(OR(Fact_Administrativa[[#This Row], [Año]]="",Fact_Administrativa[[#This Row], [Mes]]=""),"",DATE(A1784,MATCH(B1784,{"enero","febrero","marzo","abril","mayo","junio","julio","agosto","septiembre","octubre","noviembre","diciembre"},0)+1,0))</f>
        <v/>
      </c>
      <c r="E1784" t="str">
        <f>+IFERROR(VLOOKUP(Fact_Administrativa[[#This Row], [Concepto Anterior]],Conceptos_Administrativa[#All],5,0),"")</f>
        <v/>
      </c>
      <c r="F1784" t="str">
        <f>+IFERROR(VLOOKUP(Fact_Administrativa[[#This Row], 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ht="18.75" customHeight="1" x14ac:dyDescent="0.35">
      <c r="C1785" s="100" t="str">
        <f>IF(OR(Fact_Administrativa[[#This Row], [Año]]="",Fact_Administrativa[[#This Row], [Mes]]=""),"",DATE(A1785,MATCH(B1785,{"enero","febrero","marzo","abril","mayo","junio","julio","agosto","septiembre","octubre","noviembre","diciembre"},0)+1,0))</f>
        <v/>
      </c>
      <c r="E1785" t="str">
        <f>+IFERROR(VLOOKUP(Fact_Administrativa[[#This Row], [Concepto Anterior]],Conceptos_Administrativa[#All],5,0),"")</f>
        <v/>
      </c>
      <c r="F1785" t="str">
        <f>+IFERROR(VLOOKUP(Fact_Administrativa[[#This Row], 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ht="18.75" customHeight="1" x14ac:dyDescent="0.35">
      <c r="C1786" s="100" t="str">
        <f>IF(OR(Fact_Administrativa[[#This Row], [Año]]="",Fact_Administrativa[[#This Row], [Mes]]=""),"",DATE(A1786,MATCH(B1786,{"enero","febrero","marzo","abril","mayo","junio","julio","agosto","septiembre","octubre","noviembre","diciembre"},0)+1,0))</f>
        <v/>
      </c>
      <c r="E1786" t="str">
        <f>+IFERROR(VLOOKUP(Fact_Administrativa[[#This Row], [Concepto Anterior]],Conceptos_Administrativa[#All],5,0),"")</f>
        <v/>
      </c>
      <c r="F1786" t="str">
        <f>+IFERROR(VLOOKUP(Fact_Administrativa[[#This Row], 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ht="18.75" customHeight="1" x14ac:dyDescent="0.35">
      <c r="C1787" s="100" t="str">
        <f>IF(OR(Fact_Administrativa[[#This Row], [Año]]="",Fact_Administrativa[[#This Row], [Mes]]=""),"",DATE(A1787,MATCH(B1787,{"enero","febrero","marzo","abril","mayo","junio","julio","agosto","septiembre","octubre","noviembre","diciembre"},0)+1,0))</f>
        <v/>
      </c>
      <c r="E1787" t="str">
        <f>+IFERROR(VLOOKUP(Fact_Administrativa[[#This Row], [Concepto Anterior]],Conceptos_Administrativa[#All],5,0),"")</f>
        <v/>
      </c>
      <c r="F1787" t="str">
        <f>+IFERROR(VLOOKUP(Fact_Administrativa[[#This Row], 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ht="18.75" customHeight="1" x14ac:dyDescent="0.35">
      <c r="C1788" s="100" t="str">
        <f>IF(OR(Fact_Administrativa[[#This Row], [Año]]="",Fact_Administrativa[[#This Row], [Mes]]=""),"",DATE(A1788,MATCH(B1788,{"enero","febrero","marzo","abril","mayo","junio","julio","agosto","septiembre","octubre","noviembre","diciembre"},0)+1,0))</f>
        <v/>
      </c>
      <c r="E1788" t="str">
        <f>+IFERROR(VLOOKUP(Fact_Administrativa[[#This Row], [Concepto Anterior]],Conceptos_Administrativa[#All],5,0),"")</f>
        <v/>
      </c>
      <c r="F1788" t="str">
        <f>+IFERROR(VLOOKUP(Fact_Administrativa[[#This Row], 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ht="18.75" customHeight="1" x14ac:dyDescent="0.35">
      <c r="C1789" s="100" t="str">
        <f>IF(OR(Fact_Administrativa[[#This Row], [Año]]="",Fact_Administrativa[[#This Row], [Mes]]=""),"",DATE(A1789,MATCH(B1789,{"enero","febrero","marzo","abril","mayo","junio","julio","agosto","septiembre","octubre","noviembre","diciembre"},0)+1,0))</f>
        <v/>
      </c>
      <c r="E1789" t="str">
        <f>+IFERROR(VLOOKUP(Fact_Administrativa[[#This Row], [Concepto Anterior]],Conceptos_Administrativa[#All],5,0),"")</f>
        <v/>
      </c>
      <c r="F1789" t="str">
        <f>+IFERROR(VLOOKUP(Fact_Administrativa[[#This Row], 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ht="18.75" customHeight="1" x14ac:dyDescent="0.35">
      <c r="C1790" s="100" t="str">
        <f>IF(OR(Fact_Administrativa[[#This Row], [Año]]="",Fact_Administrativa[[#This Row], [Mes]]=""),"",DATE(A1790,MATCH(B1790,{"enero","febrero","marzo","abril","mayo","junio","julio","agosto","septiembre","octubre","noviembre","diciembre"},0)+1,0))</f>
        <v/>
      </c>
      <c r="E1790" t="str">
        <f>+IFERROR(VLOOKUP(Fact_Administrativa[[#This Row], [Concepto Anterior]],Conceptos_Administrativa[#All],5,0),"")</f>
        <v/>
      </c>
      <c r="F1790" t="str">
        <f>+IFERROR(VLOOKUP(Fact_Administrativa[[#This Row], 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ht="18.75" customHeight="1" x14ac:dyDescent="0.35">
      <c r="C1791" s="100" t="str">
        <f>IF(OR(Fact_Administrativa[[#This Row], [Año]]="",Fact_Administrativa[[#This Row], [Mes]]=""),"",DATE(A1791,MATCH(B1791,{"enero","febrero","marzo","abril","mayo","junio","julio","agosto","septiembre","octubre","noviembre","diciembre"},0)+1,0))</f>
        <v/>
      </c>
      <c r="E1791" t="str">
        <f>+IFERROR(VLOOKUP(Fact_Administrativa[[#This Row], [Concepto Anterior]],Conceptos_Administrativa[#All],5,0),"")</f>
        <v/>
      </c>
      <c r="F1791" t="str">
        <f>+IFERROR(VLOOKUP(Fact_Administrativa[[#This Row], 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ht="18.75" customHeight="1" x14ac:dyDescent="0.35">
      <c r="C1792" s="100" t="str">
        <f>IF(OR(Fact_Administrativa[[#This Row], [Año]]="",Fact_Administrativa[[#This Row], [Mes]]=""),"",DATE(A1792,MATCH(B1792,{"enero","febrero","marzo","abril","mayo","junio","julio","agosto","septiembre","octubre","noviembre","diciembre"},0)+1,0))</f>
        <v/>
      </c>
      <c r="E1792" t="str">
        <f>+IFERROR(VLOOKUP(Fact_Administrativa[[#This Row], [Concepto Anterior]],Conceptos_Administrativa[#All],5,0),"")</f>
        <v/>
      </c>
      <c r="F1792" t="str">
        <f>+IFERROR(VLOOKUP(Fact_Administrativa[[#This Row], 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ht="18.75" customHeight="1" x14ac:dyDescent="0.35">
      <c r="C1793" s="100" t="str">
        <f>IF(OR(Fact_Administrativa[[#This Row], [Año]]="",Fact_Administrativa[[#This Row], [Mes]]=""),"",DATE(A1793,MATCH(B1793,{"enero","febrero","marzo","abril","mayo","junio","julio","agosto","septiembre","octubre","noviembre","diciembre"},0)+1,0))</f>
        <v/>
      </c>
      <c r="E1793" t="str">
        <f>+IFERROR(VLOOKUP(Fact_Administrativa[[#This Row], [Concepto Anterior]],Conceptos_Administrativa[#All],5,0),"")</f>
        <v/>
      </c>
      <c r="F1793" t="str">
        <f>+IFERROR(VLOOKUP(Fact_Administrativa[[#This Row], 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ht="18.75" customHeight="1" x14ac:dyDescent="0.35">
      <c r="C1794" s="100" t="str">
        <f>IF(OR(Fact_Administrativa[[#This Row], [Año]]="",Fact_Administrativa[[#This Row], [Mes]]=""),"",DATE(A1794,MATCH(B1794,{"enero","febrero","marzo","abril","mayo","junio","julio","agosto","septiembre","octubre","noviembre","diciembre"},0)+1,0))</f>
        <v/>
      </c>
      <c r="E1794" t="str">
        <f>+IFERROR(VLOOKUP(Fact_Administrativa[[#This Row], [Concepto Anterior]],Conceptos_Administrativa[#All],5,0),"")</f>
        <v/>
      </c>
      <c r="F1794" t="str">
        <f>+IFERROR(VLOOKUP(Fact_Administrativa[[#This Row], 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ht="18.75" customHeight="1" x14ac:dyDescent="0.35">
      <c r="C1795" s="100" t="str">
        <f>IF(OR(Fact_Administrativa[[#This Row], [Año]]="",Fact_Administrativa[[#This Row], [Mes]]=""),"",DATE(A1795,MATCH(B1795,{"enero","febrero","marzo","abril","mayo","junio","julio","agosto","septiembre","octubre","noviembre","diciembre"},0)+1,0))</f>
        <v/>
      </c>
      <c r="E1795" t="str">
        <f>+IFERROR(VLOOKUP(Fact_Administrativa[[#This Row], [Concepto Anterior]],Conceptos_Administrativa[#All],5,0),"")</f>
        <v/>
      </c>
      <c r="F1795" t="str">
        <f>+IFERROR(VLOOKUP(Fact_Administrativa[[#This Row], 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ht="18.75" customHeight="1" x14ac:dyDescent="0.35">
      <c r="C1796" s="100" t="str">
        <f>IF(OR(Fact_Administrativa[[#This Row], [Año]]="",Fact_Administrativa[[#This Row], [Mes]]=""),"",DATE(A1796,MATCH(B1796,{"enero","febrero","marzo","abril","mayo","junio","julio","agosto","septiembre","octubre","noviembre","diciembre"},0)+1,0))</f>
        <v/>
      </c>
      <c r="E1796" t="str">
        <f>+IFERROR(VLOOKUP(Fact_Administrativa[[#This Row], [Concepto Anterior]],Conceptos_Administrativa[#All],5,0),"")</f>
        <v/>
      </c>
      <c r="F1796" t="str">
        <f>+IFERROR(VLOOKUP(Fact_Administrativa[[#This Row], 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ht="18.75" customHeight="1" x14ac:dyDescent="0.35">
      <c r="C1797" s="100" t="str">
        <f>IF(OR(Fact_Administrativa[[#This Row], [Año]]="",Fact_Administrativa[[#This Row], [Mes]]=""),"",DATE(A1797,MATCH(B1797,{"enero","febrero","marzo","abril","mayo","junio","julio","agosto","septiembre","octubre","noviembre","diciembre"},0)+1,0))</f>
        <v/>
      </c>
      <c r="E1797" t="str">
        <f>+IFERROR(VLOOKUP(Fact_Administrativa[[#This Row], [Concepto Anterior]],Conceptos_Administrativa[#All],5,0),"")</f>
        <v/>
      </c>
      <c r="F1797" t="str">
        <f>+IFERROR(VLOOKUP(Fact_Administrativa[[#This Row], 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ht="18.75" customHeight="1" x14ac:dyDescent="0.35">
      <c r="C1798" s="100" t="str">
        <f>IF(OR(Fact_Administrativa[[#This Row], [Año]]="",Fact_Administrativa[[#This Row], [Mes]]=""),"",DATE(A1798,MATCH(B1798,{"enero","febrero","marzo","abril","mayo","junio","julio","agosto","septiembre","octubre","noviembre","diciembre"},0)+1,0))</f>
        <v/>
      </c>
      <c r="E1798" t="str">
        <f>+IFERROR(VLOOKUP(Fact_Administrativa[[#This Row], [Concepto Anterior]],Conceptos_Administrativa[#All],5,0),"")</f>
        <v/>
      </c>
      <c r="F1798" t="str">
        <f>+IFERROR(VLOOKUP(Fact_Administrativa[[#This Row], 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ht="18.75" customHeight="1" x14ac:dyDescent="0.35">
      <c r="C1799" s="100" t="str">
        <f>IF(OR(Fact_Administrativa[[#This Row], [Año]]="",Fact_Administrativa[[#This Row], [Mes]]=""),"",DATE(A1799,MATCH(B1799,{"enero","febrero","marzo","abril","mayo","junio","julio","agosto","septiembre","octubre","noviembre","diciembre"},0)+1,0))</f>
        <v/>
      </c>
      <c r="E1799" t="str">
        <f>+IFERROR(VLOOKUP(Fact_Administrativa[[#This Row], [Concepto Anterior]],Conceptos_Administrativa[#All],5,0),"")</f>
        <v/>
      </c>
      <c r="F1799" t="str">
        <f>+IFERROR(VLOOKUP(Fact_Administrativa[[#This Row], 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ht="18.75" customHeight="1" x14ac:dyDescent="0.35">
      <c r="C1800" s="100" t="str">
        <f>IF(OR(Fact_Administrativa[[#This Row], [Año]]="",Fact_Administrativa[[#This Row], [Mes]]=""),"",DATE(A1800,MATCH(B1800,{"enero","febrero","marzo","abril","mayo","junio","julio","agosto","septiembre","octubre","noviembre","diciembre"},0)+1,0))</f>
        <v/>
      </c>
      <c r="E1800" t="str">
        <f>+IFERROR(VLOOKUP(Fact_Administrativa[[#This Row], [Concepto Anterior]],Conceptos_Administrativa[#All],5,0),"")</f>
        <v/>
      </c>
      <c r="F1800" t="str">
        <f>+IFERROR(VLOOKUP(Fact_Administrativa[[#This Row], 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ht="18.75" customHeight="1" x14ac:dyDescent="0.35">
      <c r="C1801" s="100" t="str">
        <f>IF(OR(Fact_Administrativa[[#This Row], [Año]]="",Fact_Administrativa[[#This Row], [Mes]]=""),"",DATE(A1801,MATCH(B1801,{"enero","febrero","marzo","abril","mayo","junio","julio","agosto","septiembre","octubre","noviembre","diciembre"},0)+1,0))</f>
        <v/>
      </c>
      <c r="E1801" t="str">
        <f>+IFERROR(VLOOKUP(Fact_Administrativa[[#This Row], [Concepto Anterior]],Conceptos_Administrativa[#All],5,0),"")</f>
        <v/>
      </c>
      <c r="F1801" t="str">
        <f>+IFERROR(VLOOKUP(Fact_Administrativa[[#This Row], 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ht="18.75" customHeight="1" x14ac:dyDescent="0.35">
      <c r="C1802" s="100" t="str">
        <f>IF(OR(Fact_Administrativa[[#This Row], [Año]]="",Fact_Administrativa[[#This Row], [Mes]]=""),"",DATE(A1802,MATCH(B1802,{"enero","febrero","marzo","abril","mayo","junio","julio","agosto","septiembre","octubre","noviembre","diciembre"},0)+1,0))</f>
        <v/>
      </c>
      <c r="E1802" t="str">
        <f>+IFERROR(VLOOKUP(Fact_Administrativa[[#This Row], [Concepto Anterior]],Conceptos_Administrativa[#All],5,0),"")</f>
        <v/>
      </c>
      <c r="F1802" t="str">
        <f>+IFERROR(VLOOKUP(Fact_Administrativa[[#This Row], 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ht="18.75" customHeight="1" x14ac:dyDescent="0.35">
      <c r="C1803" s="100" t="str">
        <f>IF(OR(Fact_Administrativa[[#This Row], [Año]]="",Fact_Administrativa[[#This Row], [Mes]]=""),"",DATE(A1803,MATCH(B1803,{"enero","febrero","marzo","abril","mayo","junio","julio","agosto","septiembre","octubre","noviembre","diciembre"},0)+1,0))</f>
        <v/>
      </c>
      <c r="E1803" t="str">
        <f>+IFERROR(VLOOKUP(Fact_Administrativa[[#This Row], [Concepto Anterior]],Conceptos_Administrativa[#All],5,0),"")</f>
        <v/>
      </c>
      <c r="F1803" t="str">
        <f>+IFERROR(VLOOKUP(Fact_Administrativa[[#This Row], 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ht="18.75" customHeight="1" x14ac:dyDescent="0.35">
      <c r="C1804" s="100" t="str">
        <f>IF(OR(Fact_Administrativa[[#This Row], [Año]]="",Fact_Administrativa[[#This Row], [Mes]]=""),"",DATE(A1804,MATCH(B1804,{"enero","febrero","marzo","abril","mayo","junio","julio","agosto","septiembre","octubre","noviembre","diciembre"},0)+1,0))</f>
        <v/>
      </c>
      <c r="E1804" t="str">
        <f>+IFERROR(VLOOKUP(Fact_Administrativa[[#This Row], [Concepto Anterior]],Conceptos_Administrativa[#All],5,0),"")</f>
        <v/>
      </c>
      <c r="F1804" t="str">
        <f>+IFERROR(VLOOKUP(Fact_Administrativa[[#This Row], 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ht="18.75" customHeight="1" x14ac:dyDescent="0.35">
      <c r="C1805" s="100" t="str">
        <f>IF(OR(Fact_Administrativa[[#This Row], [Año]]="",Fact_Administrativa[[#This Row], [Mes]]=""),"",DATE(A1805,MATCH(B1805,{"enero","febrero","marzo","abril","mayo","junio","julio","agosto","septiembre","octubre","noviembre","diciembre"},0)+1,0))</f>
        <v/>
      </c>
      <c r="E1805" t="str">
        <f>+IFERROR(VLOOKUP(Fact_Administrativa[[#This Row], [Concepto Anterior]],Conceptos_Administrativa[#All],5,0),"")</f>
        <v/>
      </c>
      <c r="F1805" t="str">
        <f>+IFERROR(VLOOKUP(Fact_Administrativa[[#This Row], 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ht="18.75" customHeight="1" x14ac:dyDescent="0.35">
      <c r="C1806" s="100" t="str">
        <f>IF(OR(Fact_Administrativa[[#This Row], [Año]]="",Fact_Administrativa[[#This Row], [Mes]]=""),"",DATE(A1806,MATCH(B1806,{"enero","febrero","marzo","abril","mayo","junio","julio","agosto","septiembre","octubre","noviembre","diciembre"},0)+1,0))</f>
        <v/>
      </c>
      <c r="E1806" t="str">
        <f>+IFERROR(VLOOKUP(Fact_Administrativa[[#This Row], [Concepto Anterior]],Conceptos_Administrativa[#All],5,0),"")</f>
        <v/>
      </c>
      <c r="F1806" t="str">
        <f>+IFERROR(VLOOKUP(Fact_Administrativa[[#This Row], 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ht="18.75" customHeight="1" x14ac:dyDescent="0.35">
      <c r="C1807" s="100" t="str">
        <f>IF(OR(Fact_Administrativa[[#This Row], [Año]]="",Fact_Administrativa[[#This Row], [Mes]]=""),"",DATE(A1807,MATCH(B1807,{"enero","febrero","marzo","abril","mayo","junio","julio","agosto","septiembre","octubre","noviembre","diciembre"},0)+1,0))</f>
        <v/>
      </c>
      <c r="E1807" t="str">
        <f>+IFERROR(VLOOKUP(Fact_Administrativa[[#This Row], [Concepto Anterior]],Conceptos_Administrativa[#All],5,0),"")</f>
        <v/>
      </c>
      <c r="F1807" t="str">
        <f>+IFERROR(VLOOKUP(Fact_Administrativa[[#This Row], 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ht="18.75" customHeight="1" x14ac:dyDescent="0.35">
      <c r="C1808" s="100" t="str">
        <f>IF(OR(Fact_Administrativa[[#This Row], [Año]]="",Fact_Administrativa[[#This Row], [Mes]]=""),"",DATE(A1808,MATCH(B1808,{"enero","febrero","marzo","abril","mayo","junio","julio","agosto","septiembre","octubre","noviembre","diciembre"},0)+1,0))</f>
        <v/>
      </c>
      <c r="E1808" t="str">
        <f>+IFERROR(VLOOKUP(Fact_Administrativa[[#This Row], [Concepto Anterior]],Conceptos_Administrativa[#All],5,0),"")</f>
        <v/>
      </c>
      <c r="F1808" t="str">
        <f>+IFERROR(VLOOKUP(Fact_Administrativa[[#This Row], 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ht="18.75" customHeight="1" x14ac:dyDescent="0.35">
      <c r="C1809" s="100" t="str">
        <f>IF(OR(Fact_Administrativa[[#This Row], [Año]]="",Fact_Administrativa[[#This Row], [Mes]]=""),"",DATE(A1809,MATCH(B1809,{"enero","febrero","marzo","abril","mayo","junio","julio","agosto","septiembre","octubre","noviembre","diciembre"},0)+1,0))</f>
        <v/>
      </c>
      <c r="E1809" t="str">
        <f>+IFERROR(VLOOKUP(Fact_Administrativa[[#This Row], [Concepto Anterior]],Conceptos_Administrativa[#All],5,0),"")</f>
        <v/>
      </c>
      <c r="F1809" t="str">
        <f>+IFERROR(VLOOKUP(Fact_Administrativa[[#This Row], 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ht="18.75" customHeight="1" x14ac:dyDescent="0.35">
      <c r="C1810" s="100" t="str">
        <f>IF(OR(Fact_Administrativa[[#This Row], [Año]]="",Fact_Administrativa[[#This Row], [Mes]]=""),"",DATE(A1810,MATCH(B1810,{"enero","febrero","marzo","abril","mayo","junio","julio","agosto","septiembre","octubre","noviembre","diciembre"},0)+1,0))</f>
        <v/>
      </c>
      <c r="E1810" t="str">
        <f>+IFERROR(VLOOKUP(Fact_Administrativa[[#This Row], [Concepto Anterior]],Conceptos_Administrativa[#All],5,0),"")</f>
        <v/>
      </c>
      <c r="F1810" t="str">
        <f>+IFERROR(VLOOKUP(Fact_Administrativa[[#This Row], 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ht="18.75" customHeight="1" x14ac:dyDescent="0.35">
      <c r="C1811" s="100" t="str">
        <f>IF(OR(Fact_Administrativa[[#This Row], [Año]]="",Fact_Administrativa[[#This Row], [Mes]]=""),"",DATE(A1811,MATCH(B1811,{"enero","febrero","marzo","abril","mayo","junio","julio","agosto","septiembre","octubre","noviembre","diciembre"},0)+1,0))</f>
        <v/>
      </c>
      <c r="E1811" t="str">
        <f>+IFERROR(VLOOKUP(Fact_Administrativa[[#This Row], [Concepto Anterior]],Conceptos_Administrativa[#All],5,0),"")</f>
        <v/>
      </c>
      <c r="F1811" t="str">
        <f>+IFERROR(VLOOKUP(Fact_Administrativa[[#This Row], 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ht="18.75" customHeight="1" x14ac:dyDescent="0.35">
      <c r="C1812" s="100" t="str">
        <f>IF(OR(Fact_Administrativa[[#This Row], [Año]]="",Fact_Administrativa[[#This Row], [Mes]]=""),"",DATE(A1812,MATCH(B1812,{"enero","febrero","marzo","abril","mayo","junio","julio","agosto","septiembre","octubre","noviembre","diciembre"},0)+1,0))</f>
        <v/>
      </c>
      <c r="E1812" t="str">
        <f>+IFERROR(VLOOKUP(Fact_Administrativa[[#This Row], [Concepto Anterior]],Conceptos_Administrativa[#All],5,0),"")</f>
        <v/>
      </c>
      <c r="F1812" t="str">
        <f>+IFERROR(VLOOKUP(Fact_Administrativa[[#This Row], 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ht="18.75" customHeight="1" x14ac:dyDescent="0.35">
      <c r="C1813" s="100" t="str">
        <f>IF(OR(Fact_Administrativa[[#This Row], [Año]]="",Fact_Administrativa[[#This Row], [Mes]]=""),"",DATE(A1813,MATCH(B1813,{"enero","febrero","marzo","abril","mayo","junio","julio","agosto","septiembre","octubre","noviembre","diciembre"},0)+1,0))</f>
        <v/>
      </c>
      <c r="E1813" t="str">
        <f>+IFERROR(VLOOKUP(Fact_Administrativa[[#This Row], [Concepto Anterior]],Conceptos_Administrativa[#All],5,0),"")</f>
        <v/>
      </c>
      <c r="F1813" t="str">
        <f>+IFERROR(VLOOKUP(Fact_Administrativa[[#This Row], 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ht="18.75" customHeight="1" x14ac:dyDescent="0.35">
      <c r="C1814" s="100" t="str">
        <f>IF(OR(Fact_Administrativa[[#This Row], [Año]]="",Fact_Administrativa[[#This Row], [Mes]]=""),"",DATE(A1814,MATCH(B1814,{"enero","febrero","marzo","abril","mayo","junio","julio","agosto","septiembre","octubre","noviembre","diciembre"},0)+1,0))</f>
        <v/>
      </c>
      <c r="E1814" t="str">
        <f>+IFERROR(VLOOKUP(Fact_Administrativa[[#This Row], [Concepto Anterior]],Conceptos_Administrativa[#All],5,0),"")</f>
        <v/>
      </c>
      <c r="F1814" t="str">
        <f>+IFERROR(VLOOKUP(Fact_Administrativa[[#This Row], 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ht="18.75" customHeight="1" x14ac:dyDescent="0.35">
      <c r="C1815" s="100" t="str">
        <f>IF(OR(Fact_Administrativa[[#This Row], [Año]]="",Fact_Administrativa[[#This Row], [Mes]]=""),"",DATE(A1815,MATCH(B1815,{"enero","febrero","marzo","abril","mayo","junio","julio","agosto","septiembre","octubre","noviembre","diciembre"},0)+1,0))</f>
        <v/>
      </c>
      <c r="E1815" t="str">
        <f>+IFERROR(VLOOKUP(Fact_Administrativa[[#This Row], [Concepto Anterior]],Conceptos_Administrativa[#All],5,0),"")</f>
        <v/>
      </c>
      <c r="F1815" t="str">
        <f>+IFERROR(VLOOKUP(Fact_Administrativa[[#This Row], 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ht="18.75" customHeight="1" x14ac:dyDescent="0.35">
      <c r="C1816" s="100" t="str">
        <f>IF(OR(Fact_Administrativa[[#This Row], [Año]]="",Fact_Administrativa[[#This Row], [Mes]]=""),"",DATE(A1816,MATCH(B1816,{"enero","febrero","marzo","abril","mayo","junio","julio","agosto","septiembre","octubre","noviembre","diciembre"},0)+1,0))</f>
        <v/>
      </c>
      <c r="E1816" t="str">
        <f>+IFERROR(VLOOKUP(Fact_Administrativa[[#This Row], [Concepto Anterior]],Conceptos_Administrativa[#All],5,0),"")</f>
        <v/>
      </c>
      <c r="F1816" t="str">
        <f>+IFERROR(VLOOKUP(Fact_Administrativa[[#This Row], 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ht="18.75" customHeight="1" x14ac:dyDescent="0.35">
      <c r="C1817" s="100" t="str">
        <f>IF(OR(Fact_Administrativa[[#This Row], [Año]]="",Fact_Administrativa[[#This Row], [Mes]]=""),"",DATE(A1817,MATCH(B1817,{"enero","febrero","marzo","abril","mayo","junio","julio","agosto","septiembre","octubre","noviembre","diciembre"},0)+1,0))</f>
        <v/>
      </c>
      <c r="E1817" t="str">
        <f>+IFERROR(VLOOKUP(Fact_Administrativa[[#This Row], [Concepto Anterior]],Conceptos_Administrativa[#All],5,0),"")</f>
        <v/>
      </c>
      <c r="F1817" t="str">
        <f>+IFERROR(VLOOKUP(Fact_Administrativa[[#This Row], 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ht="18.75" customHeight="1" x14ac:dyDescent="0.35">
      <c r="C1818" s="100" t="str">
        <f>IF(OR(Fact_Administrativa[[#This Row], [Año]]="",Fact_Administrativa[[#This Row], [Mes]]=""),"",DATE(A1818,MATCH(B1818,{"enero","febrero","marzo","abril","mayo","junio","julio","agosto","septiembre","octubre","noviembre","diciembre"},0)+1,0))</f>
        <v/>
      </c>
      <c r="E1818" t="str">
        <f>+IFERROR(VLOOKUP(Fact_Administrativa[[#This Row], [Concepto Anterior]],Conceptos_Administrativa[#All],5,0),"")</f>
        <v/>
      </c>
      <c r="F1818" t="str">
        <f>+IFERROR(VLOOKUP(Fact_Administrativa[[#This Row], 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ht="18.75" customHeight="1" x14ac:dyDescent="0.35">
      <c r="C1819" s="100" t="str">
        <f>IF(OR(Fact_Administrativa[[#This Row], [Año]]="",Fact_Administrativa[[#This Row], [Mes]]=""),"",DATE(A1819,MATCH(B1819,{"enero","febrero","marzo","abril","mayo","junio","julio","agosto","septiembre","octubre","noviembre","diciembre"},0)+1,0))</f>
        <v/>
      </c>
      <c r="E1819" t="str">
        <f>+IFERROR(VLOOKUP(Fact_Administrativa[[#This Row], [Concepto Anterior]],Conceptos_Administrativa[#All],5,0),"")</f>
        <v/>
      </c>
      <c r="F1819" t="str">
        <f>+IFERROR(VLOOKUP(Fact_Administrativa[[#This Row], 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ht="18.75" customHeight="1" x14ac:dyDescent="0.35">
      <c r="C1820" s="100" t="str">
        <f>IF(OR(Fact_Administrativa[[#This Row], [Año]]="",Fact_Administrativa[[#This Row], [Mes]]=""),"",DATE(A1820,MATCH(B1820,{"enero","febrero","marzo","abril","mayo","junio","julio","agosto","septiembre","octubre","noviembre","diciembre"},0)+1,0))</f>
        <v/>
      </c>
      <c r="E1820" t="str">
        <f>+IFERROR(VLOOKUP(Fact_Administrativa[[#This Row], [Concepto Anterior]],Conceptos_Administrativa[#All],5,0),"")</f>
        <v/>
      </c>
      <c r="F1820" t="str">
        <f>+IFERROR(VLOOKUP(Fact_Administrativa[[#This Row], 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ht="18.75" customHeight="1" x14ac:dyDescent="0.35">
      <c r="C1821" s="100" t="str">
        <f>IF(OR(Fact_Administrativa[[#This Row], [Año]]="",Fact_Administrativa[[#This Row], [Mes]]=""),"",DATE(A1821,MATCH(B1821,{"enero","febrero","marzo","abril","mayo","junio","julio","agosto","septiembre","octubre","noviembre","diciembre"},0)+1,0))</f>
        <v/>
      </c>
      <c r="E1821" t="str">
        <f>+IFERROR(VLOOKUP(Fact_Administrativa[[#This Row], [Concepto Anterior]],Conceptos_Administrativa[#All],5,0),"")</f>
        <v/>
      </c>
      <c r="F1821" t="str">
        <f>+IFERROR(VLOOKUP(Fact_Administrativa[[#This Row], 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ht="18.75" customHeight="1" x14ac:dyDescent="0.35">
      <c r="C1822" s="100" t="str">
        <f>IF(OR(Fact_Administrativa[[#This Row], [Año]]="",Fact_Administrativa[[#This Row], [Mes]]=""),"",DATE(A1822,MATCH(B1822,{"enero","febrero","marzo","abril","mayo","junio","julio","agosto","septiembre","octubre","noviembre","diciembre"},0)+1,0))</f>
        <v/>
      </c>
      <c r="E1822" t="str">
        <f>+IFERROR(VLOOKUP(Fact_Administrativa[[#This Row], [Concepto Anterior]],Conceptos_Administrativa[#All],5,0),"")</f>
        <v/>
      </c>
      <c r="F1822" t="str">
        <f>+IFERROR(VLOOKUP(Fact_Administrativa[[#This Row], 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ht="18.75" customHeight="1" x14ac:dyDescent="0.35">
      <c r="C1823" s="100" t="str">
        <f>IF(OR(Fact_Administrativa[[#This Row], [Año]]="",Fact_Administrativa[[#This Row], [Mes]]=""),"",DATE(A1823,MATCH(B1823,{"enero","febrero","marzo","abril","mayo","junio","julio","agosto","septiembre","octubre","noviembre","diciembre"},0)+1,0))</f>
        <v/>
      </c>
      <c r="E1823" t="str">
        <f>+IFERROR(VLOOKUP(Fact_Administrativa[[#This Row], [Concepto Anterior]],Conceptos_Administrativa[#All],5,0),"")</f>
        <v/>
      </c>
      <c r="F1823" t="str">
        <f>+IFERROR(VLOOKUP(Fact_Administrativa[[#This Row], 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ht="18.75" customHeight="1" x14ac:dyDescent="0.35">
      <c r="C1824" s="100" t="str">
        <f>IF(OR(Fact_Administrativa[[#This Row], [Año]]="",Fact_Administrativa[[#This Row], [Mes]]=""),"",DATE(A1824,MATCH(B1824,{"enero","febrero","marzo","abril","mayo","junio","julio","agosto","septiembre","octubre","noviembre","diciembre"},0)+1,0))</f>
        <v/>
      </c>
      <c r="E1824" t="str">
        <f>+IFERROR(VLOOKUP(Fact_Administrativa[[#This Row], [Concepto Anterior]],Conceptos_Administrativa[#All],5,0),"")</f>
        <v/>
      </c>
      <c r="F1824" t="str">
        <f>+IFERROR(VLOOKUP(Fact_Administrativa[[#This Row], 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ht="18.75" customHeight="1" x14ac:dyDescent="0.35">
      <c r="C1825" s="100" t="str">
        <f>IF(OR(Fact_Administrativa[[#This Row], [Año]]="",Fact_Administrativa[[#This Row], [Mes]]=""),"",DATE(A1825,MATCH(B1825,{"enero","febrero","marzo","abril","mayo","junio","julio","agosto","septiembre","octubre","noviembre","diciembre"},0)+1,0))</f>
        <v/>
      </c>
      <c r="E1825" t="str">
        <f>+IFERROR(VLOOKUP(Fact_Administrativa[[#This Row], [Concepto Anterior]],Conceptos_Administrativa[#All],5,0),"")</f>
        <v/>
      </c>
      <c r="F1825" t="str">
        <f>+IFERROR(VLOOKUP(Fact_Administrativa[[#This Row], 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ht="18.75" customHeight="1" x14ac:dyDescent="0.35">
      <c r="C1826" s="100" t="str">
        <f>IF(OR(Fact_Administrativa[[#This Row], [Año]]="",Fact_Administrativa[[#This Row], [Mes]]=""),"",DATE(A1826,MATCH(B1826,{"enero","febrero","marzo","abril","mayo","junio","julio","agosto","septiembre","octubre","noviembre","diciembre"},0)+1,0))</f>
        <v/>
      </c>
      <c r="E1826" t="str">
        <f>+IFERROR(VLOOKUP(Fact_Administrativa[[#This Row], [Concepto Anterior]],Conceptos_Administrativa[#All],5,0),"")</f>
        <v/>
      </c>
      <c r="F1826" t="str">
        <f>+IFERROR(VLOOKUP(Fact_Administrativa[[#This Row], 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ht="18.75" customHeight="1" x14ac:dyDescent="0.35">
      <c r="C1827" s="100" t="str">
        <f>IF(OR(Fact_Administrativa[[#This Row], [Año]]="",Fact_Administrativa[[#This Row], [Mes]]=""),"",DATE(A1827,MATCH(B1827,{"enero","febrero","marzo","abril","mayo","junio","julio","agosto","septiembre","octubre","noviembre","diciembre"},0)+1,0))</f>
        <v/>
      </c>
      <c r="E1827" t="str">
        <f>+IFERROR(VLOOKUP(Fact_Administrativa[[#This Row], [Concepto Anterior]],Conceptos_Administrativa[#All],5,0),"")</f>
        <v/>
      </c>
      <c r="F1827" t="str">
        <f>+IFERROR(VLOOKUP(Fact_Administrativa[[#This Row], 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ht="18.75" customHeight="1" x14ac:dyDescent="0.35">
      <c r="C1828" s="100" t="str">
        <f>IF(OR(Fact_Administrativa[[#This Row], [Año]]="",Fact_Administrativa[[#This Row], [Mes]]=""),"",DATE(A1828,MATCH(B1828,{"enero","febrero","marzo","abril","mayo","junio","julio","agosto","septiembre","octubre","noviembre","diciembre"},0)+1,0))</f>
        <v/>
      </c>
      <c r="E1828" t="str">
        <f>+IFERROR(VLOOKUP(Fact_Administrativa[[#This Row], [Concepto Anterior]],Conceptos_Administrativa[#All],5,0),"")</f>
        <v/>
      </c>
      <c r="F1828" t="str">
        <f>+IFERROR(VLOOKUP(Fact_Administrativa[[#This Row], 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ht="18.75" customHeight="1" x14ac:dyDescent="0.35">
      <c r="C1829" s="100" t="str">
        <f>IF(OR(Fact_Administrativa[[#This Row], [Año]]="",Fact_Administrativa[[#This Row], [Mes]]=""),"",DATE(A1829,MATCH(B1829,{"enero","febrero","marzo","abril","mayo","junio","julio","agosto","septiembre","octubre","noviembre","diciembre"},0)+1,0))</f>
        <v/>
      </c>
      <c r="E1829" t="str">
        <f>+IFERROR(VLOOKUP(Fact_Administrativa[[#This Row], [Concepto Anterior]],Conceptos_Administrativa[#All],5,0),"")</f>
        <v/>
      </c>
      <c r="F1829" t="str">
        <f>+IFERROR(VLOOKUP(Fact_Administrativa[[#This Row], 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ht="18.75" customHeight="1" x14ac:dyDescent="0.35">
      <c r="C1830" s="100" t="str">
        <f>IF(OR(Fact_Administrativa[[#This Row], [Año]]="",Fact_Administrativa[[#This Row], [Mes]]=""),"",DATE(A1830,MATCH(B1830,{"enero","febrero","marzo","abril","mayo","junio","julio","agosto","septiembre","octubre","noviembre","diciembre"},0)+1,0))</f>
        <v/>
      </c>
      <c r="E1830" t="str">
        <f>+IFERROR(VLOOKUP(Fact_Administrativa[[#This Row], [Concepto Anterior]],Conceptos_Administrativa[#All],5,0),"")</f>
        <v/>
      </c>
      <c r="F1830" t="str">
        <f>+IFERROR(VLOOKUP(Fact_Administrativa[[#This Row], 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ht="18.75" customHeight="1" x14ac:dyDescent="0.35">
      <c r="C1831" s="100" t="str">
        <f>IF(OR(Fact_Administrativa[[#This Row], [Año]]="",Fact_Administrativa[[#This Row], [Mes]]=""),"",DATE(A1831,MATCH(B1831,{"enero","febrero","marzo","abril","mayo","junio","julio","agosto","septiembre","octubre","noviembre","diciembre"},0)+1,0))</f>
        <v/>
      </c>
      <c r="E1831" t="str">
        <f>+IFERROR(VLOOKUP(Fact_Administrativa[[#This Row], [Concepto Anterior]],Conceptos_Administrativa[#All],5,0),"")</f>
        <v/>
      </c>
      <c r="F1831" t="str">
        <f>+IFERROR(VLOOKUP(Fact_Administrativa[[#This Row], 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ht="18.75" customHeight="1" x14ac:dyDescent="0.35">
      <c r="C1832" s="100" t="str">
        <f>IF(OR(Fact_Administrativa[[#This Row], [Año]]="",Fact_Administrativa[[#This Row], [Mes]]=""),"",DATE(A1832,MATCH(B1832,{"enero","febrero","marzo","abril","mayo","junio","julio","agosto","septiembre","octubre","noviembre","diciembre"},0)+1,0))</f>
        <v/>
      </c>
      <c r="E1832" t="str">
        <f>+IFERROR(VLOOKUP(Fact_Administrativa[[#This Row], [Concepto Anterior]],Conceptos_Administrativa[#All],5,0),"")</f>
        <v/>
      </c>
      <c r="F1832" t="str">
        <f>+IFERROR(VLOOKUP(Fact_Administrativa[[#This Row], 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ht="18.75" customHeight="1" x14ac:dyDescent="0.35">
      <c r="C1833" s="100" t="str">
        <f>IF(OR(Fact_Administrativa[[#This Row], [Año]]="",Fact_Administrativa[[#This Row], [Mes]]=""),"",DATE(A1833,MATCH(B1833,{"enero","febrero","marzo","abril","mayo","junio","julio","agosto","septiembre","octubre","noviembre","diciembre"},0)+1,0))</f>
        <v/>
      </c>
      <c r="E1833" t="str">
        <f>+IFERROR(VLOOKUP(Fact_Administrativa[[#This Row], [Concepto Anterior]],Conceptos_Administrativa[#All],5,0),"")</f>
        <v/>
      </c>
      <c r="F1833" t="str">
        <f>+IFERROR(VLOOKUP(Fact_Administrativa[[#This Row], 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ht="18.75" customHeight="1" x14ac:dyDescent="0.35">
      <c r="C1834" s="100" t="str">
        <f>IF(OR(Fact_Administrativa[[#This Row], [Año]]="",Fact_Administrativa[[#This Row], [Mes]]=""),"",DATE(A1834,MATCH(B1834,{"enero","febrero","marzo","abril","mayo","junio","julio","agosto","septiembre","octubre","noviembre","diciembre"},0)+1,0))</f>
        <v/>
      </c>
      <c r="E1834" t="str">
        <f>+IFERROR(VLOOKUP(Fact_Administrativa[[#This Row], [Concepto Anterior]],Conceptos_Administrativa[#All],5,0),"")</f>
        <v/>
      </c>
      <c r="F1834" t="str">
        <f>+IFERROR(VLOOKUP(Fact_Administrativa[[#This Row], 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ht="18.75" customHeight="1" x14ac:dyDescent="0.35">
      <c r="C1835" s="100" t="str">
        <f>IF(OR(Fact_Administrativa[[#This Row], [Año]]="",Fact_Administrativa[[#This Row], [Mes]]=""),"",DATE(A1835,MATCH(B1835,{"enero","febrero","marzo","abril","mayo","junio","julio","agosto","septiembre","octubre","noviembre","diciembre"},0)+1,0))</f>
        <v/>
      </c>
      <c r="E1835" t="str">
        <f>+IFERROR(VLOOKUP(Fact_Administrativa[[#This Row], [Concepto Anterior]],Conceptos_Administrativa[#All],5,0),"")</f>
        <v/>
      </c>
      <c r="F1835" t="str">
        <f>+IFERROR(VLOOKUP(Fact_Administrativa[[#This Row], 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ht="18.75" customHeight="1" x14ac:dyDescent="0.35">
      <c r="C1836" s="100" t="str">
        <f>IF(OR(Fact_Administrativa[[#This Row], [Año]]="",Fact_Administrativa[[#This Row], [Mes]]=""),"",DATE(A1836,MATCH(B1836,{"enero","febrero","marzo","abril","mayo","junio","julio","agosto","septiembre","octubre","noviembre","diciembre"},0)+1,0))</f>
        <v/>
      </c>
      <c r="E1836" t="str">
        <f>+IFERROR(VLOOKUP(Fact_Administrativa[[#This Row], [Concepto Anterior]],Conceptos_Administrativa[#All],5,0),"")</f>
        <v/>
      </c>
      <c r="F1836" t="str">
        <f>+IFERROR(VLOOKUP(Fact_Administrativa[[#This Row], 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ht="18.75" customHeight="1" x14ac:dyDescent="0.35">
      <c r="C1837" s="100" t="str">
        <f>IF(OR(Fact_Administrativa[[#This Row], [Año]]="",Fact_Administrativa[[#This Row], [Mes]]=""),"",DATE(A1837,MATCH(B1837,{"enero","febrero","marzo","abril","mayo","junio","julio","agosto","septiembre","octubre","noviembre","diciembre"},0)+1,0))</f>
        <v/>
      </c>
      <c r="E1837" t="str">
        <f>+IFERROR(VLOOKUP(Fact_Administrativa[[#This Row], [Concepto Anterior]],Conceptos_Administrativa[#All],5,0),"")</f>
        <v/>
      </c>
      <c r="F1837" t="str">
        <f>+IFERROR(VLOOKUP(Fact_Administrativa[[#This Row], 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ht="18.75" customHeight="1" x14ac:dyDescent="0.35">
      <c r="C1838" s="100" t="str">
        <f>IF(OR(Fact_Administrativa[[#This Row], [Año]]="",Fact_Administrativa[[#This Row], [Mes]]=""),"",DATE(A1838,MATCH(B1838,{"enero","febrero","marzo","abril","mayo","junio","julio","agosto","septiembre","octubre","noviembre","diciembre"},0)+1,0))</f>
        <v/>
      </c>
      <c r="E1838" t="str">
        <f>+IFERROR(VLOOKUP(Fact_Administrativa[[#This Row], [Concepto Anterior]],Conceptos_Administrativa[#All],5,0),"")</f>
        <v/>
      </c>
      <c r="F1838" t="str">
        <f>+IFERROR(VLOOKUP(Fact_Administrativa[[#This Row], 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ht="18.75" customHeight="1" x14ac:dyDescent="0.35">
      <c r="C1839" s="100" t="str">
        <f>IF(OR(Fact_Administrativa[[#This Row], [Año]]="",Fact_Administrativa[[#This Row], [Mes]]=""),"",DATE(A1839,MATCH(B1839,{"enero","febrero","marzo","abril","mayo","junio","julio","agosto","septiembre","octubre","noviembre","diciembre"},0)+1,0))</f>
        <v/>
      </c>
      <c r="E1839" t="str">
        <f>+IFERROR(VLOOKUP(Fact_Administrativa[[#This Row], [Concepto Anterior]],Conceptos_Administrativa[#All],5,0),"")</f>
        <v/>
      </c>
      <c r="F1839" t="str">
        <f>+IFERROR(VLOOKUP(Fact_Administrativa[[#This Row], 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ht="18.75" customHeight="1" x14ac:dyDescent="0.35">
      <c r="C1840" s="100" t="str">
        <f>IF(OR(Fact_Administrativa[[#This Row], [Año]]="",Fact_Administrativa[[#This Row], [Mes]]=""),"",DATE(A1840,MATCH(B1840,{"enero","febrero","marzo","abril","mayo","junio","julio","agosto","septiembre","octubre","noviembre","diciembre"},0)+1,0))</f>
        <v/>
      </c>
      <c r="E1840" t="str">
        <f>+IFERROR(VLOOKUP(Fact_Administrativa[[#This Row], [Concepto Anterior]],Conceptos_Administrativa[#All],5,0),"")</f>
        <v/>
      </c>
      <c r="F1840" t="str">
        <f>+IFERROR(VLOOKUP(Fact_Administrativa[[#This Row], 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ht="18.75" customHeight="1" x14ac:dyDescent="0.35">
      <c r="C1841" s="100" t="str">
        <f>IF(OR(Fact_Administrativa[[#This Row], [Año]]="",Fact_Administrativa[[#This Row], [Mes]]=""),"",DATE(A1841,MATCH(B1841,{"enero","febrero","marzo","abril","mayo","junio","julio","agosto","septiembre","octubre","noviembre","diciembre"},0)+1,0))</f>
        <v/>
      </c>
      <c r="E1841" t="str">
        <f>+IFERROR(VLOOKUP(Fact_Administrativa[[#This Row], [Concepto Anterior]],Conceptos_Administrativa[#All],5,0),"")</f>
        <v/>
      </c>
      <c r="F1841" t="str">
        <f>+IFERROR(VLOOKUP(Fact_Administrativa[[#This Row], 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ht="18.75" customHeight="1" x14ac:dyDescent="0.35">
      <c r="C1842" s="100" t="str">
        <f>IF(OR(Fact_Administrativa[[#This Row], [Año]]="",Fact_Administrativa[[#This Row], [Mes]]=""),"",DATE(A1842,MATCH(B1842,{"enero","febrero","marzo","abril","mayo","junio","julio","agosto","septiembre","octubre","noviembre","diciembre"},0)+1,0))</f>
        <v/>
      </c>
      <c r="E1842" t="str">
        <f>+IFERROR(VLOOKUP(Fact_Administrativa[[#This Row], [Concepto Anterior]],Conceptos_Administrativa[#All],5,0),"")</f>
        <v/>
      </c>
      <c r="F1842" t="str">
        <f>+IFERROR(VLOOKUP(Fact_Administrativa[[#This Row], 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ht="18.75" customHeight="1" x14ac:dyDescent="0.35">
      <c r="C1843" s="100" t="str">
        <f>IF(OR(Fact_Administrativa[[#This Row], [Año]]="",Fact_Administrativa[[#This Row], [Mes]]=""),"",DATE(A1843,MATCH(B1843,{"enero","febrero","marzo","abril","mayo","junio","julio","agosto","septiembre","octubre","noviembre","diciembre"},0)+1,0))</f>
        <v/>
      </c>
      <c r="E1843" t="str">
        <f>+IFERROR(VLOOKUP(Fact_Administrativa[[#This Row], [Concepto Anterior]],Conceptos_Administrativa[#All],5,0),"")</f>
        <v/>
      </c>
      <c r="F1843" t="str">
        <f>+IFERROR(VLOOKUP(Fact_Administrativa[[#This Row], 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ht="18.75" customHeight="1" x14ac:dyDescent="0.35">
      <c r="C1844" s="100" t="str">
        <f>IF(OR(Fact_Administrativa[[#This Row], [Año]]="",Fact_Administrativa[[#This Row], [Mes]]=""),"",DATE(A1844,MATCH(B1844,{"enero","febrero","marzo","abril","mayo","junio","julio","agosto","septiembre","octubre","noviembre","diciembre"},0)+1,0))</f>
        <v/>
      </c>
      <c r="E1844" t="str">
        <f>+IFERROR(VLOOKUP(Fact_Administrativa[[#This Row], [Concepto Anterior]],Conceptos_Administrativa[#All],5,0),"")</f>
        <v/>
      </c>
      <c r="F1844" t="str">
        <f>+IFERROR(VLOOKUP(Fact_Administrativa[[#This Row], 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ht="18.75" customHeight="1" x14ac:dyDescent="0.35">
      <c r="C1845" s="100" t="str">
        <f>IF(OR(Fact_Administrativa[[#This Row], [Año]]="",Fact_Administrativa[[#This Row], [Mes]]=""),"",DATE(A1845,MATCH(B1845,{"enero","febrero","marzo","abril","mayo","junio","julio","agosto","septiembre","octubre","noviembre","diciembre"},0)+1,0))</f>
        <v/>
      </c>
      <c r="E1845" t="str">
        <f>+IFERROR(VLOOKUP(Fact_Administrativa[[#This Row], [Concepto Anterior]],Conceptos_Administrativa[#All],5,0),"")</f>
        <v/>
      </c>
      <c r="F1845" t="str">
        <f>+IFERROR(VLOOKUP(Fact_Administrativa[[#This Row], 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ht="18.75" customHeight="1" x14ac:dyDescent="0.35">
      <c r="C1846" s="100" t="str">
        <f>IF(OR(Fact_Administrativa[[#This Row], [Año]]="",Fact_Administrativa[[#This Row], [Mes]]=""),"",DATE(A1846,MATCH(B1846,{"enero","febrero","marzo","abril","mayo","junio","julio","agosto","septiembre","octubre","noviembre","diciembre"},0)+1,0))</f>
        <v/>
      </c>
      <c r="E1846" t="str">
        <f>+IFERROR(VLOOKUP(Fact_Administrativa[[#This Row], [Concepto Anterior]],Conceptos_Administrativa[#All],5,0),"")</f>
        <v/>
      </c>
      <c r="F1846" t="str">
        <f>+IFERROR(VLOOKUP(Fact_Administrativa[[#This Row], 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ht="18.75" customHeight="1" x14ac:dyDescent="0.35">
      <c r="C1847" s="100" t="str">
        <f>IF(OR(Fact_Administrativa[[#This Row], [Año]]="",Fact_Administrativa[[#This Row], [Mes]]=""),"",DATE(A1847,MATCH(B1847,{"enero","febrero","marzo","abril","mayo","junio","julio","agosto","septiembre","octubre","noviembre","diciembre"},0)+1,0))</f>
        <v/>
      </c>
      <c r="E1847" t="str">
        <f>+IFERROR(VLOOKUP(Fact_Administrativa[[#This Row], [Concepto Anterior]],Conceptos_Administrativa[#All],5,0),"")</f>
        <v/>
      </c>
      <c r="F1847" t="str">
        <f>+IFERROR(VLOOKUP(Fact_Administrativa[[#This Row], 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ht="18.75" customHeight="1" x14ac:dyDescent="0.35">
      <c r="C1848" s="100" t="str">
        <f>IF(OR(Fact_Administrativa[[#This Row], [Año]]="",Fact_Administrativa[[#This Row], [Mes]]=""),"",DATE(A1848,MATCH(B1848,{"enero","febrero","marzo","abril","mayo","junio","julio","agosto","septiembre","octubre","noviembre","diciembre"},0)+1,0))</f>
        <v/>
      </c>
      <c r="E1848" t="str">
        <f>+IFERROR(VLOOKUP(Fact_Administrativa[[#This Row], [Concepto Anterior]],Conceptos_Administrativa[#All],5,0),"")</f>
        <v/>
      </c>
      <c r="F1848" t="str">
        <f>+IFERROR(VLOOKUP(Fact_Administrativa[[#This Row], 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ht="18.75" customHeight="1" x14ac:dyDescent="0.35">
      <c r="C1849" s="100" t="str">
        <f>IF(OR(Fact_Administrativa[[#This Row], [Año]]="",Fact_Administrativa[[#This Row], [Mes]]=""),"",DATE(A1849,MATCH(B1849,{"enero","febrero","marzo","abril","mayo","junio","julio","agosto","septiembre","octubre","noviembre","diciembre"},0)+1,0))</f>
        <v/>
      </c>
      <c r="E1849" t="str">
        <f>+IFERROR(VLOOKUP(Fact_Administrativa[[#This Row], [Concepto Anterior]],Conceptos_Administrativa[#All],5,0),"")</f>
        <v/>
      </c>
      <c r="F1849" t="str">
        <f>+IFERROR(VLOOKUP(Fact_Administrativa[[#This Row], 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ht="18.75" customHeight="1" x14ac:dyDescent="0.35">
      <c r="C1850" s="100" t="str">
        <f>IF(OR(Fact_Administrativa[[#This Row], [Año]]="",Fact_Administrativa[[#This Row], [Mes]]=""),"",DATE(A1850,MATCH(B1850,{"enero","febrero","marzo","abril","mayo","junio","julio","agosto","septiembre","octubre","noviembre","diciembre"},0)+1,0))</f>
        <v/>
      </c>
      <c r="E1850" t="str">
        <f>+IFERROR(VLOOKUP(Fact_Administrativa[[#This Row], [Concepto Anterior]],Conceptos_Administrativa[#All],5,0),"")</f>
        <v/>
      </c>
      <c r="F1850" t="str">
        <f>+IFERROR(VLOOKUP(Fact_Administrativa[[#This Row], 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ht="18.75" customHeight="1" x14ac:dyDescent="0.35">
      <c r="C1851" s="100" t="str">
        <f>IF(OR(Fact_Administrativa[[#This Row], [Año]]="",Fact_Administrativa[[#This Row], [Mes]]=""),"",DATE(A1851,MATCH(B1851,{"enero","febrero","marzo","abril","mayo","junio","julio","agosto","septiembre","octubre","noviembre","diciembre"},0)+1,0))</f>
        <v/>
      </c>
      <c r="E1851" t="str">
        <f>+IFERROR(VLOOKUP(Fact_Administrativa[[#This Row], [Concepto Anterior]],Conceptos_Administrativa[#All],5,0),"")</f>
        <v/>
      </c>
      <c r="F1851" t="str">
        <f>+IFERROR(VLOOKUP(Fact_Administrativa[[#This Row], 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ht="18.75" customHeight="1" x14ac:dyDescent="0.35">
      <c r="C1852" s="100" t="str">
        <f>IF(OR(Fact_Administrativa[[#This Row], [Año]]="",Fact_Administrativa[[#This Row], [Mes]]=""),"",DATE(A1852,MATCH(B1852,{"enero","febrero","marzo","abril","mayo","junio","julio","agosto","septiembre","octubre","noviembre","diciembre"},0)+1,0))</f>
        <v/>
      </c>
      <c r="E1852" t="str">
        <f>+IFERROR(VLOOKUP(Fact_Administrativa[[#This Row], [Concepto Anterior]],Conceptos_Administrativa[#All],5,0),"")</f>
        <v/>
      </c>
      <c r="F1852" t="str">
        <f>+IFERROR(VLOOKUP(Fact_Administrativa[[#This Row], 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ht="18.75" customHeight="1" x14ac:dyDescent="0.35">
      <c r="C1853" s="100" t="str">
        <f>IF(OR(Fact_Administrativa[[#This Row], [Año]]="",Fact_Administrativa[[#This Row], [Mes]]=""),"",DATE(A1853,MATCH(B1853,{"enero","febrero","marzo","abril","mayo","junio","julio","agosto","septiembre","octubre","noviembre","diciembre"},0)+1,0))</f>
        <v/>
      </c>
      <c r="E1853" t="str">
        <f>+IFERROR(VLOOKUP(Fact_Administrativa[[#This Row], [Concepto Anterior]],Conceptos_Administrativa[#All],5,0),"")</f>
        <v/>
      </c>
      <c r="F1853" t="str">
        <f>+IFERROR(VLOOKUP(Fact_Administrativa[[#This Row], 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ht="18.75" customHeight="1" x14ac:dyDescent="0.35">
      <c r="C1854" s="100" t="str">
        <f>IF(OR(Fact_Administrativa[[#This Row], [Año]]="",Fact_Administrativa[[#This Row], [Mes]]=""),"",DATE(A1854,MATCH(B1854,{"enero","febrero","marzo","abril","mayo","junio","julio","agosto","septiembre","octubre","noviembre","diciembre"},0)+1,0))</f>
        <v/>
      </c>
      <c r="E1854" t="str">
        <f>+IFERROR(VLOOKUP(Fact_Administrativa[[#This Row], [Concepto Anterior]],Conceptos_Administrativa[#All],5,0),"")</f>
        <v/>
      </c>
      <c r="F1854" t="str">
        <f>+IFERROR(VLOOKUP(Fact_Administrativa[[#This Row], 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ht="18.75" customHeight="1" x14ac:dyDescent="0.35">
      <c r="C1855" s="100" t="str">
        <f>IF(OR(Fact_Administrativa[[#This Row], [Año]]="",Fact_Administrativa[[#This Row], [Mes]]=""),"",DATE(A1855,MATCH(B1855,{"enero","febrero","marzo","abril","mayo","junio","julio","agosto","septiembre","octubre","noviembre","diciembre"},0)+1,0))</f>
        <v/>
      </c>
      <c r="E1855" t="str">
        <f>+IFERROR(VLOOKUP(Fact_Administrativa[[#This Row], [Concepto Anterior]],Conceptos_Administrativa[#All],5,0),"")</f>
        <v/>
      </c>
      <c r="F1855" t="str">
        <f>+IFERROR(VLOOKUP(Fact_Administrativa[[#This Row], 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ht="18.75" customHeight="1" x14ac:dyDescent="0.35">
      <c r="C1856" s="100" t="str">
        <f>IF(OR(Fact_Administrativa[[#This Row], [Año]]="",Fact_Administrativa[[#This Row], [Mes]]=""),"",DATE(A1856,MATCH(B1856,{"enero","febrero","marzo","abril","mayo","junio","julio","agosto","septiembre","octubre","noviembre","diciembre"},0)+1,0))</f>
        <v/>
      </c>
      <c r="E1856" t="str">
        <f>+IFERROR(VLOOKUP(Fact_Administrativa[[#This Row], [Concepto Anterior]],Conceptos_Administrativa[#All],5,0),"")</f>
        <v/>
      </c>
      <c r="F1856" t="str">
        <f>+IFERROR(VLOOKUP(Fact_Administrativa[[#This Row], 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ht="18.75" customHeight="1" x14ac:dyDescent="0.35">
      <c r="C1857" s="100" t="str">
        <f>IF(OR(Fact_Administrativa[[#This Row], [Año]]="",Fact_Administrativa[[#This Row], [Mes]]=""),"",DATE(A1857,MATCH(B1857,{"enero","febrero","marzo","abril","mayo","junio","julio","agosto","septiembre","octubre","noviembre","diciembre"},0)+1,0))</f>
        <v/>
      </c>
      <c r="E1857" t="str">
        <f>+IFERROR(VLOOKUP(Fact_Administrativa[[#This Row], [Concepto Anterior]],Conceptos_Administrativa[#All],5,0),"")</f>
        <v/>
      </c>
      <c r="F1857" t="str">
        <f>+IFERROR(VLOOKUP(Fact_Administrativa[[#This Row], 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ht="18.75" customHeight="1" x14ac:dyDescent="0.35">
      <c r="C1858" s="100" t="str">
        <f>IF(OR(Fact_Administrativa[[#This Row], [Año]]="",Fact_Administrativa[[#This Row], [Mes]]=""),"",DATE(A1858,MATCH(B1858,{"enero","febrero","marzo","abril","mayo","junio","julio","agosto","septiembre","octubre","noviembre","diciembre"},0)+1,0))</f>
        <v/>
      </c>
      <c r="E1858" t="str">
        <f>+IFERROR(VLOOKUP(Fact_Administrativa[[#This Row], [Concepto Anterior]],Conceptos_Administrativa[#All],5,0),"")</f>
        <v/>
      </c>
      <c r="F1858" t="str">
        <f>+IFERROR(VLOOKUP(Fact_Administrativa[[#This Row], 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ht="18.75" customHeight="1" x14ac:dyDescent="0.35">
      <c r="C1859" s="100" t="str">
        <f>IF(OR(Fact_Administrativa[[#This Row], [Año]]="",Fact_Administrativa[[#This Row], [Mes]]=""),"",DATE(A1859,MATCH(B1859,{"enero","febrero","marzo","abril","mayo","junio","julio","agosto","septiembre","octubre","noviembre","diciembre"},0)+1,0))</f>
        <v/>
      </c>
      <c r="E1859" t="str">
        <f>+IFERROR(VLOOKUP(Fact_Administrativa[[#This Row], [Concepto Anterior]],Conceptos_Administrativa[#All],5,0),"")</f>
        <v/>
      </c>
      <c r="F1859" t="str">
        <f>+IFERROR(VLOOKUP(Fact_Administrativa[[#This Row], 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ht="18.75" customHeight="1" x14ac:dyDescent="0.35">
      <c r="C1860" s="100" t="str">
        <f>IF(OR(Fact_Administrativa[[#This Row], [Año]]="",Fact_Administrativa[[#This Row], [Mes]]=""),"",DATE(A1860,MATCH(B1860,{"enero","febrero","marzo","abril","mayo","junio","julio","agosto","septiembre","octubre","noviembre","diciembre"},0)+1,0))</f>
        <v/>
      </c>
      <c r="E1860" t="str">
        <f>+IFERROR(VLOOKUP(Fact_Administrativa[[#This Row], [Concepto Anterior]],Conceptos_Administrativa[#All],5,0),"")</f>
        <v/>
      </c>
      <c r="F1860" t="str">
        <f>+IFERROR(VLOOKUP(Fact_Administrativa[[#This Row], 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ht="18.75" customHeight="1" x14ac:dyDescent="0.35">
      <c r="C1861" s="100" t="str">
        <f>IF(OR(Fact_Administrativa[[#This Row], [Año]]="",Fact_Administrativa[[#This Row], [Mes]]=""),"",DATE(A1861,MATCH(B1861,{"enero","febrero","marzo","abril","mayo","junio","julio","agosto","septiembre","octubre","noviembre","diciembre"},0)+1,0))</f>
        <v/>
      </c>
      <c r="E1861" t="str">
        <f>+IFERROR(VLOOKUP(Fact_Administrativa[[#This Row], [Concepto Anterior]],Conceptos_Administrativa[#All],5,0),"")</f>
        <v/>
      </c>
      <c r="F1861" t="str">
        <f>+IFERROR(VLOOKUP(Fact_Administrativa[[#This Row], 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ht="18.75" customHeight="1" x14ac:dyDescent="0.35">
      <c r="C1862" s="100" t="str">
        <f>IF(OR(Fact_Administrativa[[#This Row], [Año]]="",Fact_Administrativa[[#This Row], [Mes]]=""),"",DATE(A1862,MATCH(B1862,{"enero","febrero","marzo","abril","mayo","junio","julio","agosto","septiembre","octubre","noviembre","diciembre"},0)+1,0))</f>
        <v/>
      </c>
      <c r="E1862" t="str">
        <f>+IFERROR(VLOOKUP(Fact_Administrativa[[#This Row], [Concepto Anterior]],Conceptos_Administrativa[#All],5,0),"")</f>
        <v/>
      </c>
      <c r="F1862" t="str">
        <f>+IFERROR(VLOOKUP(Fact_Administrativa[[#This Row], 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ht="18.75" customHeight="1" x14ac:dyDescent="0.35">
      <c r="C1863" s="100" t="str">
        <f>IF(OR(Fact_Administrativa[[#This Row], [Año]]="",Fact_Administrativa[[#This Row], [Mes]]=""),"",DATE(A1863,MATCH(B1863,{"enero","febrero","marzo","abril","mayo","junio","julio","agosto","septiembre","octubre","noviembre","diciembre"},0)+1,0))</f>
        <v/>
      </c>
      <c r="E1863" t="str">
        <f>+IFERROR(VLOOKUP(Fact_Administrativa[[#This Row], [Concepto Anterior]],Conceptos_Administrativa[#All],5,0),"")</f>
        <v/>
      </c>
      <c r="F1863" t="str">
        <f>+IFERROR(VLOOKUP(Fact_Administrativa[[#This Row], 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ht="18.75" customHeight="1" x14ac:dyDescent="0.35">
      <c r="C1864" s="100" t="str">
        <f>IF(OR(Fact_Administrativa[[#This Row], [Año]]="",Fact_Administrativa[[#This Row], [Mes]]=""),"",DATE(A1864,MATCH(B1864,{"enero","febrero","marzo","abril","mayo","junio","julio","agosto","septiembre","octubre","noviembre","diciembre"},0)+1,0))</f>
        <v/>
      </c>
      <c r="E1864" t="str">
        <f>+IFERROR(VLOOKUP(Fact_Administrativa[[#This Row], [Concepto Anterior]],Conceptos_Administrativa[#All],5,0),"")</f>
        <v/>
      </c>
      <c r="F1864" t="str">
        <f>+IFERROR(VLOOKUP(Fact_Administrativa[[#This Row], 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ht="18.75" customHeight="1" x14ac:dyDescent="0.35">
      <c r="C1865" s="100" t="str">
        <f>IF(OR(Fact_Administrativa[[#This Row], [Año]]="",Fact_Administrativa[[#This Row], [Mes]]=""),"",DATE(A1865,MATCH(B1865,{"enero","febrero","marzo","abril","mayo","junio","julio","agosto","septiembre","octubre","noviembre","diciembre"},0)+1,0))</f>
        <v/>
      </c>
      <c r="E1865" t="str">
        <f>+IFERROR(VLOOKUP(Fact_Administrativa[[#This Row], [Concepto Anterior]],Conceptos_Administrativa[#All],5,0),"")</f>
        <v/>
      </c>
      <c r="F1865" t="str">
        <f>+IFERROR(VLOOKUP(Fact_Administrativa[[#This Row], 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ht="18.75" customHeight="1" x14ac:dyDescent="0.35">
      <c r="C1866" s="100" t="str">
        <f>IF(OR(Fact_Administrativa[[#This Row], [Año]]="",Fact_Administrativa[[#This Row], [Mes]]=""),"",DATE(A1866,MATCH(B1866,{"enero","febrero","marzo","abril","mayo","junio","julio","agosto","septiembre","octubre","noviembre","diciembre"},0)+1,0))</f>
        <v/>
      </c>
      <c r="E1866" t="str">
        <f>+IFERROR(VLOOKUP(Fact_Administrativa[[#This Row], [Concepto Anterior]],Conceptos_Administrativa[#All],5,0),"")</f>
        <v/>
      </c>
      <c r="F1866" t="str">
        <f>+IFERROR(VLOOKUP(Fact_Administrativa[[#This Row], 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ht="18.75" customHeight="1" x14ac:dyDescent="0.35">
      <c r="C1867" s="100" t="str">
        <f>IF(OR(Fact_Administrativa[[#This Row], [Año]]="",Fact_Administrativa[[#This Row], [Mes]]=""),"",DATE(A1867,MATCH(B1867,{"enero","febrero","marzo","abril","mayo","junio","julio","agosto","septiembre","octubre","noviembre","diciembre"},0)+1,0))</f>
        <v/>
      </c>
      <c r="E1867" t="str">
        <f>+IFERROR(VLOOKUP(Fact_Administrativa[[#This Row], [Concepto Anterior]],Conceptos_Administrativa[#All],5,0),"")</f>
        <v/>
      </c>
      <c r="F1867" t="str">
        <f>+IFERROR(VLOOKUP(Fact_Administrativa[[#This Row], 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ht="18.75" customHeight="1" x14ac:dyDescent="0.35">
      <c r="C1868" s="100" t="str">
        <f>IF(OR(Fact_Administrativa[[#This Row], [Año]]="",Fact_Administrativa[[#This Row], [Mes]]=""),"",DATE(A1868,MATCH(B1868,{"enero","febrero","marzo","abril","mayo","junio","julio","agosto","septiembre","octubre","noviembre","diciembre"},0)+1,0))</f>
        <v/>
      </c>
      <c r="E1868" t="str">
        <f>+IFERROR(VLOOKUP(Fact_Administrativa[[#This Row], [Concepto Anterior]],Conceptos_Administrativa[#All],5,0),"")</f>
        <v/>
      </c>
      <c r="F1868" t="str">
        <f>+IFERROR(VLOOKUP(Fact_Administrativa[[#This Row], 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ht="18.75" customHeight="1" x14ac:dyDescent="0.35">
      <c r="C1869" s="100" t="str">
        <f>IF(OR(Fact_Administrativa[[#This Row], [Año]]="",Fact_Administrativa[[#This Row], [Mes]]=""),"",DATE(A1869,MATCH(B1869,{"enero","febrero","marzo","abril","mayo","junio","julio","agosto","septiembre","octubre","noviembre","diciembre"},0)+1,0))</f>
        <v/>
      </c>
      <c r="E1869" t="str">
        <f>+IFERROR(VLOOKUP(Fact_Administrativa[[#This Row], [Concepto Anterior]],Conceptos_Administrativa[#All],5,0),"")</f>
        <v/>
      </c>
      <c r="F1869" t="str">
        <f>+IFERROR(VLOOKUP(Fact_Administrativa[[#This Row], 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ht="18.75" customHeight="1" x14ac:dyDescent="0.35">
      <c r="C1870" s="100" t="str">
        <f>IF(OR(Fact_Administrativa[[#This Row], [Año]]="",Fact_Administrativa[[#This Row], [Mes]]=""),"",DATE(A1870,MATCH(B1870,{"enero","febrero","marzo","abril","mayo","junio","julio","agosto","septiembre","octubre","noviembre","diciembre"},0)+1,0))</f>
        <v/>
      </c>
      <c r="E1870" t="str">
        <f>+IFERROR(VLOOKUP(Fact_Administrativa[[#This Row], [Concepto Anterior]],Conceptos_Administrativa[#All],5,0),"")</f>
        <v/>
      </c>
      <c r="F1870" t="str">
        <f>+IFERROR(VLOOKUP(Fact_Administrativa[[#This Row], 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ht="18.75" customHeight="1" x14ac:dyDescent="0.35">
      <c r="C1871" s="100" t="str">
        <f>IF(OR(Fact_Administrativa[[#This Row], [Año]]="",Fact_Administrativa[[#This Row], [Mes]]=""),"",DATE(A1871,MATCH(B1871,{"enero","febrero","marzo","abril","mayo","junio","julio","agosto","septiembre","octubre","noviembre","diciembre"},0)+1,0))</f>
        <v/>
      </c>
      <c r="E1871" t="str">
        <f>+IFERROR(VLOOKUP(Fact_Administrativa[[#This Row], [Concepto Anterior]],Conceptos_Administrativa[#All],5,0),"")</f>
        <v/>
      </c>
      <c r="F1871" t="str">
        <f>+IFERROR(VLOOKUP(Fact_Administrativa[[#This Row], 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ht="18.75" customHeight="1" x14ac:dyDescent="0.35">
      <c r="C1872" s="100" t="str">
        <f>IF(OR(Fact_Administrativa[[#This Row], [Año]]="",Fact_Administrativa[[#This Row], [Mes]]=""),"",DATE(A1872,MATCH(B1872,{"enero","febrero","marzo","abril","mayo","junio","julio","agosto","septiembre","octubre","noviembre","diciembre"},0)+1,0))</f>
        <v/>
      </c>
      <c r="E1872" t="str">
        <f>+IFERROR(VLOOKUP(Fact_Administrativa[[#This Row], [Concepto Anterior]],Conceptos_Administrativa[#All],5,0),"")</f>
        <v/>
      </c>
      <c r="F1872" t="str">
        <f>+IFERROR(VLOOKUP(Fact_Administrativa[[#This Row], 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ht="18.75" customHeight="1" x14ac:dyDescent="0.35">
      <c r="C1873" s="100" t="str">
        <f>IF(OR(Fact_Administrativa[[#This Row], [Año]]="",Fact_Administrativa[[#This Row], [Mes]]=""),"",DATE(A1873,MATCH(B1873,{"enero","febrero","marzo","abril","mayo","junio","julio","agosto","septiembre","octubre","noviembre","diciembre"},0)+1,0))</f>
        <v/>
      </c>
      <c r="E1873" t="str">
        <f>+IFERROR(VLOOKUP(Fact_Administrativa[[#This Row], [Concepto Anterior]],Conceptos_Administrativa[#All],5,0),"")</f>
        <v/>
      </c>
      <c r="F1873" t="str">
        <f>+IFERROR(VLOOKUP(Fact_Administrativa[[#This Row], 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ht="18.75" customHeight="1" x14ac:dyDescent="0.35">
      <c r="C1874" s="100" t="str">
        <f>IF(OR(Fact_Administrativa[[#This Row], [Año]]="",Fact_Administrativa[[#This Row], [Mes]]=""),"",DATE(A1874,MATCH(B1874,{"enero","febrero","marzo","abril","mayo","junio","julio","agosto","septiembre","octubre","noviembre","diciembre"},0)+1,0))</f>
        <v/>
      </c>
      <c r="E1874" t="str">
        <f>+IFERROR(VLOOKUP(Fact_Administrativa[[#This Row], [Concepto Anterior]],Conceptos_Administrativa[#All],5,0),"")</f>
        <v/>
      </c>
      <c r="F1874" t="str">
        <f>+IFERROR(VLOOKUP(Fact_Administrativa[[#This Row], 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ht="18.75" customHeight="1" x14ac:dyDescent="0.35">
      <c r="C1875" s="100" t="str">
        <f>IF(OR(Fact_Administrativa[[#This Row], [Año]]="",Fact_Administrativa[[#This Row], [Mes]]=""),"",DATE(A1875,MATCH(B1875,{"enero","febrero","marzo","abril","mayo","junio","julio","agosto","septiembre","octubre","noviembre","diciembre"},0)+1,0))</f>
        <v/>
      </c>
      <c r="E1875" t="str">
        <f>+IFERROR(VLOOKUP(Fact_Administrativa[[#This Row], [Concepto Anterior]],Conceptos_Administrativa[#All],5,0),"")</f>
        <v/>
      </c>
      <c r="F1875" t="str">
        <f>+IFERROR(VLOOKUP(Fact_Administrativa[[#This Row], 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ht="18.75" customHeight="1" x14ac:dyDescent="0.35">
      <c r="C1876" s="100" t="str">
        <f>IF(OR(Fact_Administrativa[[#This Row], [Año]]="",Fact_Administrativa[[#This Row], [Mes]]=""),"",DATE(A1876,MATCH(B1876,{"enero","febrero","marzo","abril","mayo","junio","julio","agosto","septiembre","octubre","noviembre","diciembre"},0)+1,0))</f>
        <v/>
      </c>
      <c r="E1876" t="str">
        <f>+IFERROR(VLOOKUP(Fact_Administrativa[[#This Row], [Concepto Anterior]],Conceptos_Administrativa[#All],5,0),"")</f>
        <v/>
      </c>
      <c r="F1876" t="str">
        <f>+IFERROR(VLOOKUP(Fact_Administrativa[[#This Row], 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ht="18.75" customHeight="1" x14ac:dyDescent="0.35">
      <c r="C1877" s="100" t="str">
        <f>IF(OR(Fact_Administrativa[[#This Row], [Año]]="",Fact_Administrativa[[#This Row], [Mes]]=""),"",DATE(A1877,MATCH(B1877,{"enero","febrero","marzo","abril","mayo","junio","julio","agosto","septiembre","octubre","noviembre","diciembre"},0)+1,0))</f>
        <v/>
      </c>
      <c r="E1877" t="str">
        <f>+IFERROR(VLOOKUP(Fact_Administrativa[[#This Row], [Concepto Anterior]],Conceptos_Administrativa[#All],5,0),"")</f>
        <v/>
      </c>
      <c r="F1877" t="str">
        <f>+IFERROR(VLOOKUP(Fact_Administrativa[[#This Row], 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ht="18.75" customHeight="1" x14ac:dyDescent="0.35">
      <c r="C1878" s="100" t="str">
        <f>IF(OR(Fact_Administrativa[[#This Row], [Año]]="",Fact_Administrativa[[#This Row], [Mes]]=""),"",DATE(A1878,MATCH(B1878,{"enero","febrero","marzo","abril","mayo","junio","julio","agosto","septiembre","octubre","noviembre","diciembre"},0)+1,0))</f>
        <v/>
      </c>
      <c r="E1878" t="str">
        <f>+IFERROR(VLOOKUP(Fact_Administrativa[[#This Row], [Concepto Anterior]],Conceptos_Administrativa[#All],5,0),"")</f>
        <v/>
      </c>
      <c r="F1878" t="str">
        <f>+IFERROR(VLOOKUP(Fact_Administrativa[[#This Row], 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ht="18.75" customHeight="1" x14ac:dyDescent="0.35">
      <c r="C1879" s="100" t="str">
        <f>IF(OR(Fact_Administrativa[[#This Row], [Año]]="",Fact_Administrativa[[#This Row], [Mes]]=""),"",DATE(A1879,MATCH(B1879,{"enero","febrero","marzo","abril","mayo","junio","julio","agosto","septiembre","octubre","noviembre","diciembre"},0)+1,0))</f>
        <v/>
      </c>
      <c r="E1879" t="str">
        <f>+IFERROR(VLOOKUP(Fact_Administrativa[[#This Row], [Concepto Anterior]],Conceptos_Administrativa[#All],5,0),"")</f>
        <v/>
      </c>
      <c r="F1879" t="str">
        <f>+IFERROR(VLOOKUP(Fact_Administrativa[[#This Row], 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ht="18.75" customHeight="1" x14ac:dyDescent="0.35">
      <c r="C1880" s="100" t="str">
        <f>IF(OR(Fact_Administrativa[[#This Row], [Año]]="",Fact_Administrativa[[#This Row], [Mes]]=""),"",DATE(A1880,MATCH(B1880,{"enero","febrero","marzo","abril","mayo","junio","julio","agosto","septiembre","octubre","noviembre","diciembre"},0)+1,0))</f>
        <v/>
      </c>
      <c r="E1880" t="str">
        <f>+IFERROR(VLOOKUP(Fact_Administrativa[[#This Row], [Concepto Anterior]],Conceptos_Administrativa[#All],5,0),"")</f>
        <v/>
      </c>
      <c r="F1880" t="str">
        <f>+IFERROR(VLOOKUP(Fact_Administrativa[[#This Row], 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ht="18.75" customHeight="1" x14ac:dyDescent="0.35">
      <c r="C1881" s="100" t="str">
        <f>IF(OR(Fact_Administrativa[[#This Row], [Año]]="",Fact_Administrativa[[#This Row], [Mes]]=""),"",DATE(A1881,MATCH(B1881,{"enero","febrero","marzo","abril","mayo","junio","julio","agosto","septiembre","octubre","noviembre","diciembre"},0)+1,0))</f>
        <v/>
      </c>
      <c r="E1881" t="str">
        <f>+IFERROR(VLOOKUP(Fact_Administrativa[[#This Row], [Concepto Anterior]],Conceptos_Administrativa[#All],5,0),"")</f>
        <v/>
      </c>
      <c r="F1881" t="str">
        <f>+IFERROR(VLOOKUP(Fact_Administrativa[[#This Row], 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ht="18.75" customHeight="1" x14ac:dyDescent="0.35">
      <c r="C1882" s="100" t="str">
        <f>IF(OR(Fact_Administrativa[[#This Row], [Año]]="",Fact_Administrativa[[#This Row], [Mes]]=""),"",DATE(A1882,MATCH(B1882,{"enero","febrero","marzo","abril","mayo","junio","julio","agosto","septiembre","octubre","noviembre","diciembre"},0)+1,0))</f>
        <v/>
      </c>
      <c r="E1882" t="str">
        <f>+IFERROR(VLOOKUP(Fact_Administrativa[[#This Row], [Concepto Anterior]],Conceptos_Administrativa[#All],5,0),"")</f>
        <v/>
      </c>
      <c r="F1882" t="str">
        <f>+IFERROR(VLOOKUP(Fact_Administrativa[[#This Row], 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ht="18.75" customHeight="1" x14ac:dyDescent="0.35">
      <c r="C1883" s="100" t="str">
        <f>IF(OR(Fact_Administrativa[[#This Row], [Año]]="",Fact_Administrativa[[#This Row], [Mes]]=""),"",DATE(A1883,MATCH(B1883,{"enero","febrero","marzo","abril","mayo","junio","julio","agosto","septiembre","octubre","noviembre","diciembre"},0)+1,0))</f>
        <v/>
      </c>
      <c r="E1883" t="str">
        <f>+IFERROR(VLOOKUP(Fact_Administrativa[[#This Row], [Concepto Anterior]],Conceptos_Administrativa[#All],5,0),"")</f>
        <v/>
      </c>
      <c r="F1883" t="str">
        <f>+IFERROR(VLOOKUP(Fact_Administrativa[[#This Row], 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ht="18.75" customHeight="1" x14ac:dyDescent="0.35">
      <c r="C1884" s="100" t="str">
        <f>IF(OR(Fact_Administrativa[[#This Row], [Año]]="",Fact_Administrativa[[#This Row], [Mes]]=""),"",DATE(A1884,MATCH(B1884,{"enero","febrero","marzo","abril","mayo","junio","julio","agosto","septiembre","octubre","noviembre","diciembre"},0)+1,0))</f>
        <v/>
      </c>
      <c r="E1884" t="str">
        <f>+IFERROR(VLOOKUP(Fact_Administrativa[[#This Row], [Concepto Anterior]],Conceptos_Administrativa[#All],5,0),"")</f>
        <v/>
      </c>
      <c r="F1884" t="str">
        <f>+IFERROR(VLOOKUP(Fact_Administrativa[[#This Row], 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ht="18.75" customHeight="1" x14ac:dyDescent="0.35">
      <c r="C1885" s="100" t="str">
        <f>IF(OR(Fact_Administrativa[[#This Row], [Año]]="",Fact_Administrativa[[#This Row], [Mes]]=""),"",DATE(A1885,MATCH(B1885,{"enero","febrero","marzo","abril","mayo","junio","julio","agosto","septiembre","octubre","noviembre","diciembre"},0)+1,0))</f>
        <v/>
      </c>
      <c r="E1885" t="str">
        <f>+IFERROR(VLOOKUP(Fact_Administrativa[[#This Row], [Concepto Anterior]],Conceptos_Administrativa[#All],5,0),"")</f>
        <v/>
      </c>
      <c r="F1885" t="str">
        <f>+IFERROR(VLOOKUP(Fact_Administrativa[[#This Row], 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ht="18.75" customHeight="1" x14ac:dyDescent="0.35">
      <c r="C1886" s="100" t="str">
        <f>IF(OR(Fact_Administrativa[[#This Row], [Año]]="",Fact_Administrativa[[#This Row], [Mes]]=""),"",DATE(A1886,MATCH(B1886,{"enero","febrero","marzo","abril","mayo","junio","julio","agosto","septiembre","octubre","noviembre","diciembre"},0)+1,0))</f>
        <v/>
      </c>
      <c r="E1886" t="str">
        <f>+IFERROR(VLOOKUP(Fact_Administrativa[[#This Row], [Concepto Anterior]],Conceptos_Administrativa[#All],5,0),"")</f>
        <v/>
      </c>
      <c r="F1886" t="str">
        <f>+IFERROR(VLOOKUP(Fact_Administrativa[[#This Row], 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ht="18.75" customHeight="1" x14ac:dyDescent="0.35">
      <c r="C1887" s="100" t="str">
        <f>IF(OR(Fact_Administrativa[[#This Row], [Año]]="",Fact_Administrativa[[#This Row], [Mes]]=""),"",DATE(A1887,MATCH(B1887,{"enero","febrero","marzo","abril","mayo","junio","julio","agosto","septiembre","octubre","noviembre","diciembre"},0)+1,0))</f>
        <v/>
      </c>
      <c r="E1887" t="str">
        <f>+IFERROR(VLOOKUP(Fact_Administrativa[[#This Row], [Concepto Anterior]],Conceptos_Administrativa[#All],5,0),"")</f>
        <v/>
      </c>
      <c r="F1887" t="str">
        <f>+IFERROR(VLOOKUP(Fact_Administrativa[[#This Row], 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ht="18.75" customHeight="1" x14ac:dyDescent="0.35">
      <c r="C1888" s="100" t="str">
        <f>IF(OR(Fact_Administrativa[[#This Row], [Año]]="",Fact_Administrativa[[#This Row], [Mes]]=""),"",DATE(A1888,MATCH(B1888,{"enero","febrero","marzo","abril","mayo","junio","julio","agosto","septiembre","octubre","noviembre","diciembre"},0)+1,0))</f>
        <v/>
      </c>
      <c r="E1888" t="str">
        <f>+IFERROR(VLOOKUP(Fact_Administrativa[[#This Row], [Concepto Anterior]],Conceptos_Administrativa[#All],5,0),"")</f>
        <v/>
      </c>
      <c r="F1888" t="str">
        <f>+IFERROR(VLOOKUP(Fact_Administrativa[[#This Row], 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ht="18.75" customHeight="1" x14ac:dyDescent="0.35">
      <c r="C1889" s="100" t="str">
        <f>IF(OR(Fact_Administrativa[[#This Row], [Año]]="",Fact_Administrativa[[#This Row], [Mes]]=""),"",DATE(A1889,MATCH(B1889,{"enero","febrero","marzo","abril","mayo","junio","julio","agosto","septiembre","octubre","noviembre","diciembre"},0)+1,0))</f>
        <v/>
      </c>
      <c r="E1889" t="str">
        <f>+IFERROR(VLOOKUP(Fact_Administrativa[[#This Row], [Concepto Anterior]],Conceptos_Administrativa[#All],5,0),"")</f>
        <v/>
      </c>
      <c r="F1889" t="str">
        <f>+IFERROR(VLOOKUP(Fact_Administrativa[[#This Row], 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ht="18.75" customHeight="1" x14ac:dyDescent="0.35">
      <c r="C1890" s="100" t="str">
        <f>IF(OR(Fact_Administrativa[[#This Row], [Año]]="",Fact_Administrativa[[#This Row], [Mes]]=""),"",DATE(A1890,MATCH(B1890,{"enero","febrero","marzo","abril","mayo","junio","julio","agosto","septiembre","octubre","noviembre","diciembre"},0)+1,0))</f>
        <v/>
      </c>
      <c r="E1890" t="str">
        <f>+IFERROR(VLOOKUP(Fact_Administrativa[[#This Row], [Concepto Anterior]],Conceptos_Administrativa[#All],5,0),"")</f>
        <v/>
      </c>
      <c r="F1890" t="str">
        <f>+IFERROR(VLOOKUP(Fact_Administrativa[[#This Row], 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ht="18.75" customHeight="1" x14ac:dyDescent="0.35">
      <c r="C1891" s="100" t="str">
        <f>IF(OR(Fact_Administrativa[[#This Row], [Año]]="",Fact_Administrativa[[#This Row], [Mes]]=""),"",DATE(A1891,MATCH(B1891,{"enero","febrero","marzo","abril","mayo","junio","julio","agosto","septiembre","octubre","noviembre","diciembre"},0)+1,0))</f>
        <v/>
      </c>
      <c r="E1891" t="str">
        <f>+IFERROR(VLOOKUP(Fact_Administrativa[[#This Row], [Concepto Anterior]],Conceptos_Administrativa[#All],5,0),"")</f>
        <v/>
      </c>
      <c r="F1891" t="str">
        <f>+IFERROR(VLOOKUP(Fact_Administrativa[[#This Row], 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ht="18.75" customHeight="1" x14ac:dyDescent="0.35">
      <c r="C1892" s="100" t="str">
        <f>IF(OR(Fact_Administrativa[[#This Row], [Año]]="",Fact_Administrativa[[#This Row], [Mes]]=""),"",DATE(A1892,MATCH(B1892,{"enero","febrero","marzo","abril","mayo","junio","julio","agosto","septiembre","octubre","noviembre","diciembre"},0)+1,0))</f>
        <v/>
      </c>
      <c r="E1892" t="str">
        <f>+IFERROR(VLOOKUP(Fact_Administrativa[[#This Row], [Concepto Anterior]],Conceptos_Administrativa[#All],5,0),"")</f>
        <v/>
      </c>
      <c r="F1892" t="str">
        <f>+IFERROR(VLOOKUP(Fact_Administrativa[[#This Row], 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ht="18.75" customHeight="1" x14ac:dyDescent="0.35">
      <c r="C1893" s="100" t="str">
        <f>IF(OR(Fact_Administrativa[[#This Row], [Año]]="",Fact_Administrativa[[#This Row], [Mes]]=""),"",DATE(A1893,MATCH(B1893,{"enero","febrero","marzo","abril","mayo","junio","julio","agosto","septiembre","octubre","noviembre","diciembre"},0)+1,0))</f>
        <v/>
      </c>
      <c r="E1893" t="str">
        <f>+IFERROR(VLOOKUP(Fact_Administrativa[[#This Row], [Concepto Anterior]],Conceptos_Administrativa[#All],5,0),"")</f>
        <v/>
      </c>
      <c r="F1893" t="str">
        <f>+IFERROR(VLOOKUP(Fact_Administrativa[[#This Row], 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ht="18.75" customHeight="1" x14ac:dyDescent="0.35">
      <c r="C1894" s="100" t="str">
        <f>IF(OR(Fact_Administrativa[[#This Row], [Año]]="",Fact_Administrativa[[#This Row], [Mes]]=""),"",DATE(A1894,MATCH(B1894,{"enero","febrero","marzo","abril","mayo","junio","julio","agosto","septiembre","octubre","noviembre","diciembre"},0)+1,0))</f>
        <v/>
      </c>
      <c r="E1894" t="str">
        <f>+IFERROR(VLOOKUP(Fact_Administrativa[[#This Row], [Concepto Anterior]],Conceptos_Administrativa[#All],5,0),"")</f>
        <v/>
      </c>
      <c r="F1894" t="str">
        <f>+IFERROR(VLOOKUP(Fact_Administrativa[[#This Row], 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ht="18.75" customHeight="1" x14ac:dyDescent="0.35">
      <c r="C1895" s="100" t="str">
        <f>IF(OR(Fact_Administrativa[[#This Row], [Año]]="",Fact_Administrativa[[#This Row], [Mes]]=""),"",DATE(A1895,MATCH(B1895,{"enero","febrero","marzo","abril","mayo","junio","julio","agosto","septiembre","octubre","noviembre","diciembre"},0)+1,0))</f>
        <v/>
      </c>
      <c r="E1895" t="str">
        <f>+IFERROR(VLOOKUP(Fact_Administrativa[[#This Row], [Concepto Anterior]],Conceptos_Administrativa[#All],5,0),"")</f>
        <v/>
      </c>
      <c r="F1895" t="str">
        <f>+IFERROR(VLOOKUP(Fact_Administrativa[[#This Row], 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ht="18.75" customHeight="1" x14ac:dyDescent="0.35">
      <c r="C1896" s="100" t="str">
        <f>IF(OR(Fact_Administrativa[[#This Row], [Año]]="",Fact_Administrativa[[#This Row], [Mes]]=""),"",DATE(A1896,MATCH(B1896,{"enero","febrero","marzo","abril","mayo","junio","julio","agosto","septiembre","octubre","noviembre","diciembre"},0)+1,0))</f>
        <v/>
      </c>
      <c r="E1896" t="str">
        <f>+IFERROR(VLOOKUP(Fact_Administrativa[[#This Row], [Concepto Anterior]],Conceptos_Administrativa[#All],5,0),"")</f>
        <v/>
      </c>
      <c r="F1896" t="str">
        <f>+IFERROR(VLOOKUP(Fact_Administrativa[[#This Row], 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ht="18.75" customHeight="1" x14ac:dyDescent="0.35">
      <c r="C1897" s="100" t="str">
        <f>IF(OR(Fact_Administrativa[[#This Row], [Año]]="",Fact_Administrativa[[#This Row], [Mes]]=""),"",DATE(A1897,MATCH(B1897,{"enero","febrero","marzo","abril","mayo","junio","julio","agosto","septiembre","octubre","noviembre","diciembre"},0)+1,0))</f>
        <v/>
      </c>
      <c r="E1897" t="str">
        <f>+IFERROR(VLOOKUP(Fact_Administrativa[[#This Row], [Concepto Anterior]],Conceptos_Administrativa[#All],5,0),"")</f>
        <v/>
      </c>
      <c r="F1897" t="str">
        <f>+IFERROR(VLOOKUP(Fact_Administrativa[[#This Row], 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ht="18.75" customHeight="1" x14ac:dyDescent="0.35">
      <c r="C1898" s="100" t="str">
        <f>IF(OR(Fact_Administrativa[[#This Row], [Año]]="",Fact_Administrativa[[#This Row], [Mes]]=""),"",DATE(A1898,MATCH(B1898,{"enero","febrero","marzo","abril","mayo","junio","julio","agosto","septiembre","octubre","noviembre","diciembre"},0)+1,0))</f>
        <v/>
      </c>
      <c r="E1898" t="str">
        <f>+IFERROR(VLOOKUP(Fact_Administrativa[[#This Row], [Concepto Anterior]],Conceptos_Administrativa[#All],5,0),"")</f>
        <v/>
      </c>
      <c r="F1898" t="str">
        <f>+IFERROR(VLOOKUP(Fact_Administrativa[[#This Row], 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ht="18.75" customHeight="1" x14ac:dyDescent="0.35">
      <c r="C1899" s="100" t="str">
        <f>IF(OR(Fact_Administrativa[[#This Row], [Año]]="",Fact_Administrativa[[#This Row], [Mes]]=""),"",DATE(A1899,MATCH(B1899,{"enero","febrero","marzo","abril","mayo","junio","julio","agosto","septiembre","octubre","noviembre","diciembre"},0)+1,0))</f>
        <v/>
      </c>
      <c r="E1899" t="str">
        <f>+IFERROR(VLOOKUP(Fact_Administrativa[[#This Row], [Concepto Anterior]],Conceptos_Administrativa[#All],5,0),"")</f>
        <v/>
      </c>
      <c r="F1899" t="str">
        <f>+IFERROR(VLOOKUP(Fact_Administrativa[[#This Row], 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ht="18.75" customHeight="1" x14ac:dyDescent="0.35">
      <c r="C1900" s="100" t="str">
        <f>IF(OR(Fact_Administrativa[[#This Row], [Año]]="",Fact_Administrativa[[#This Row], [Mes]]=""),"",DATE(A1900,MATCH(B1900,{"enero","febrero","marzo","abril","mayo","junio","julio","agosto","septiembre","octubre","noviembre","diciembre"},0)+1,0))</f>
        <v/>
      </c>
      <c r="E1900" t="str">
        <f>+IFERROR(VLOOKUP(Fact_Administrativa[[#This Row], [Concepto Anterior]],Conceptos_Administrativa[#All],5,0),"")</f>
        <v/>
      </c>
      <c r="F1900" t="str">
        <f>+IFERROR(VLOOKUP(Fact_Administrativa[[#This Row], 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ht="18.75" customHeight="1" x14ac:dyDescent="0.35">
      <c r="C1901" s="100" t="str">
        <f>IF(OR(Fact_Administrativa[[#This Row], [Año]]="",Fact_Administrativa[[#This Row], [Mes]]=""),"",DATE(A1901,MATCH(B1901,{"enero","febrero","marzo","abril","mayo","junio","julio","agosto","septiembre","octubre","noviembre","diciembre"},0)+1,0))</f>
        <v/>
      </c>
      <c r="E1901" t="str">
        <f>+IFERROR(VLOOKUP(Fact_Administrativa[[#This Row], [Concepto Anterior]],Conceptos_Administrativa[#All],5,0),"")</f>
        <v/>
      </c>
      <c r="F1901" t="str">
        <f>+IFERROR(VLOOKUP(Fact_Administrativa[[#This Row], 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ht="18.75" customHeight="1" x14ac:dyDescent="0.35">
      <c r="C1902" s="100" t="str">
        <f>IF(OR(Fact_Administrativa[[#This Row], [Año]]="",Fact_Administrativa[[#This Row], [Mes]]=""),"",DATE(A1902,MATCH(B1902,{"enero","febrero","marzo","abril","mayo","junio","julio","agosto","septiembre","octubre","noviembre","diciembre"},0)+1,0))</f>
        <v/>
      </c>
      <c r="E1902" t="str">
        <f>+IFERROR(VLOOKUP(Fact_Administrativa[[#This Row], [Concepto Anterior]],Conceptos_Administrativa[#All],5,0),"")</f>
        <v/>
      </c>
      <c r="F1902" t="str">
        <f>+IFERROR(VLOOKUP(Fact_Administrativa[[#This Row], 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ht="18.75" customHeight="1" x14ac:dyDescent="0.35">
      <c r="C1903" s="100" t="str">
        <f>IF(OR(Fact_Administrativa[[#This Row], [Año]]="",Fact_Administrativa[[#This Row], [Mes]]=""),"",DATE(A1903,MATCH(B1903,{"enero","febrero","marzo","abril","mayo","junio","julio","agosto","septiembre","octubre","noviembre","diciembre"},0)+1,0))</f>
        <v/>
      </c>
      <c r="E1903" t="str">
        <f>+IFERROR(VLOOKUP(Fact_Administrativa[[#This Row], [Concepto Anterior]],Conceptos_Administrativa[#All],5,0),"")</f>
        <v/>
      </c>
      <c r="F1903" t="str">
        <f>+IFERROR(VLOOKUP(Fact_Administrativa[[#This Row], 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ht="18.75" customHeight="1" x14ac:dyDescent="0.35">
      <c r="C1904" s="100" t="str">
        <f>IF(OR(Fact_Administrativa[[#This Row], [Año]]="",Fact_Administrativa[[#This Row], [Mes]]=""),"",DATE(A1904,MATCH(B1904,{"enero","febrero","marzo","abril","mayo","junio","julio","agosto","septiembre","octubre","noviembre","diciembre"},0)+1,0))</f>
        <v/>
      </c>
      <c r="E1904" t="str">
        <f>+IFERROR(VLOOKUP(Fact_Administrativa[[#This Row], [Concepto Anterior]],Conceptos_Administrativa[#All],5,0),"")</f>
        <v/>
      </c>
      <c r="F1904" t="str">
        <f>+IFERROR(VLOOKUP(Fact_Administrativa[[#This Row], 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ht="18.75" customHeight="1" x14ac:dyDescent="0.35">
      <c r="C1905" s="100" t="str">
        <f>IF(OR(Fact_Administrativa[[#This Row], [Año]]="",Fact_Administrativa[[#This Row], [Mes]]=""),"",DATE(A1905,MATCH(B1905,{"enero","febrero","marzo","abril","mayo","junio","julio","agosto","septiembre","octubre","noviembre","diciembre"},0)+1,0))</f>
        <v/>
      </c>
      <c r="E1905" t="str">
        <f>+IFERROR(VLOOKUP(Fact_Administrativa[[#This Row], [Concepto Anterior]],Conceptos_Administrativa[#All],5,0),"")</f>
        <v/>
      </c>
      <c r="F1905" t="str">
        <f>+IFERROR(VLOOKUP(Fact_Administrativa[[#This Row], 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ht="18.75" customHeight="1" x14ac:dyDescent="0.35">
      <c r="C1906" s="100" t="str">
        <f>IF(OR(Fact_Administrativa[[#This Row], [Año]]="",Fact_Administrativa[[#This Row], [Mes]]=""),"",DATE(A1906,MATCH(B1906,{"enero","febrero","marzo","abril","mayo","junio","julio","agosto","septiembre","octubre","noviembre","diciembre"},0)+1,0))</f>
        <v/>
      </c>
      <c r="E1906" t="str">
        <f>+IFERROR(VLOOKUP(Fact_Administrativa[[#This Row], [Concepto Anterior]],Conceptos_Administrativa[#All],5,0),"")</f>
        <v/>
      </c>
      <c r="F1906" t="str">
        <f>+IFERROR(VLOOKUP(Fact_Administrativa[[#This Row], 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ht="18.75" customHeight="1" x14ac:dyDescent="0.35">
      <c r="C1907" s="100" t="str">
        <f>IF(OR(Fact_Administrativa[[#This Row], [Año]]="",Fact_Administrativa[[#This Row], [Mes]]=""),"",DATE(A1907,MATCH(B1907,{"enero","febrero","marzo","abril","mayo","junio","julio","agosto","septiembre","octubre","noviembre","diciembre"},0)+1,0))</f>
        <v/>
      </c>
      <c r="E1907" t="str">
        <f>+IFERROR(VLOOKUP(Fact_Administrativa[[#This Row], [Concepto Anterior]],Conceptos_Administrativa[#All],5,0),"")</f>
        <v/>
      </c>
      <c r="F1907" t="str">
        <f>+IFERROR(VLOOKUP(Fact_Administrativa[[#This Row], 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ht="18.75" customHeight="1" x14ac:dyDescent="0.35">
      <c r="C1908" s="100" t="str">
        <f>IF(OR(Fact_Administrativa[[#This Row], [Año]]="",Fact_Administrativa[[#This Row], [Mes]]=""),"",DATE(A1908,MATCH(B1908,{"enero","febrero","marzo","abril","mayo","junio","julio","agosto","septiembre","octubre","noviembre","diciembre"},0)+1,0))</f>
        <v/>
      </c>
      <c r="E1908" t="str">
        <f>+IFERROR(VLOOKUP(Fact_Administrativa[[#This Row], [Concepto Anterior]],Conceptos_Administrativa[#All],5,0),"")</f>
        <v/>
      </c>
      <c r="F1908" t="str">
        <f>+IFERROR(VLOOKUP(Fact_Administrativa[[#This Row], 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ht="18.75" customHeight="1" x14ac:dyDescent="0.35">
      <c r="C1909" s="100" t="str">
        <f>IF(OR(Fact_Administrativa[[#This Row], [Año]]="",Fact_Administrativa[[#This Row], [Mes]]=""),"",DATE(A1909,MATCH(B1909,{"enero","febrero","marzo","abril","mayo","junio","julio","agosto","septiembre","octubre","noviembre","diciembre"},0)+1,0))</f>
        <v/>
      </c>
      <c r="E1909" t="str">
        <f>+IFERROR(VLOOKUP(Fact_Administrativa[[#This Row], [Concepto Anterior]],Conceptos_Administrativa[#All],5,0),"")</f>
        <v/>
      </c>
      <c r="F1909" t="str">
        <f>+IFERROR(VLOOKUP(Fact_Administrativa[[#This Row], 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ht="18.75" customHeight="1" x14ac:dyDescent="0.35">
      <c r="C1910" s="100" t="str">
        <f>IF(OR(Fact_Administrativa[[#This Row], [Año]]="",Fact_Administrativa[[#This Row], [Mes]]=""),"",DATE(A1910,MATCH(B1910,{"enero","febrero","marzo","abril","mayo","junio","julio","agosto","septiembre","octubre","noviembre","diciembre"},0)+1,0))</f>
        <v/>
      </c>
      <c r="E1910" t="str">
        <f>+IFERROR(VLOOKUP(Fact_Administrativa[[#This Row], [Concepto Anterior]],Conceptos_Administrativa[#All],5,0),"")</f>
        <v/>
      </c>
      <c r="F1910" t="str">
        <f>+IFERROR(VLOOKUP(Fact_Administrativa[[#This Row], 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ht="18.75" customHeight="1" x14ac:dyDescent="0.35">
      <c r="C1911" s="100" t="str">
        <f>IF(OR(Fact_Administrativa[[#This Row], [Año]]="",Fact_Administrativa[[#This Row], [Mes]]=""),"",DATE(A1911,MATCH(B1911,{"enero","febrero","marzo","abril","mayo","junio","julio","agosto","septiembre","octubre","noviembre","diciembre"},0)+1,0))</f>
        <v/>
      </c>
      <c r="E1911" t="str">
        <f>+IFERROR(VLOOKUP(Fact_Administrativa[[#This Row], [Concepto Anterior]],Conceptos_Administrativa[#All],5,0),"")</f>
        <v/>
      </c>
      <c r="F1911" t="str">
        <f>+IFERROR(VLOOKUP(Fact_Administrativa[[#This Row], 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ht="18.75" customHeight="1" x14ac:dyDescent="0.35">
      <c r="C1912" s="100" t="str">
        <f>IF(OR(Fact_Administrativa[[#This Row], [Año]]="",Fact_Administrativa[[#This Row], [Mes]]=""),"",DATE(A1912,MATCH(B1912,{"enero","febrero","marzo","abril","mayo","junio","julio","agosto","septiembre","octubre","noviembre","diciembre"},0)+1,0))</f>
        <v/>
      </c>
      <c r="E1912" t="str">
        <f>+IFERROR(VLOOKUP(Fact_Administrativa[[#This Row], [Concepto Anterior]],Conceptos_Administrativa[#All],5,0),"")</f>
        <v/>
      </c>
      <c r="F1912" t="str">
        <f>+IFERROR(VLOOKUP(Fact_Administrativa[[#This Row], 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ht="18.75" customHeight="1" x14ac:dyDescent="0.35">
      <c r="C1913" s="100" t="str">
        <f>IF(OR(Fact_Administrativa[[#This Row], [Año]]="",Fact_Administrativa[[#This Row], [Mes]]=""),"",DATE(A1913,MATCH(B1913,{"enero","febrero","marzo","abril","mayo","junio","julio","agosto","septiembre","octubre","noviembre","diciembre"},0)+1,0))</f>
        <v/>
      </c>
      <c r="E1913" t="str">
        <f>+IFERROR(VLOOKUP(Fact_Administrativa[[#This Row], [Concepto Anterior]],Conceptos_Administrativa[#All],5,0),"")</f>
        <v/>
      </c>
      <c r="F1913" t="str">
        <f>+IFERROR(VLOOKUP(Fact_Administrativa[[#This Row], 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ht="18.75" customHeight="1" x14ac:dyDescent="0.35">
      <c r="C1914" s="100" t="str">
        <f>IF(OR(Fact_Administrativa[[#This Row], [Año]]="",Fact_Administrativa[[#This Row], [Mes]]=""),"",DATE(A1914,MATCH(B1914,{"enero","febrero","marzo","abril","mayo","junio","julio","agosto","septiembre","octubre","noviembre","diciembre"},0)+1,0))</f>
        <v/>
      </c>
      <c r="E1914" t="str">
        <f>+IFERROR(VLOOKUP(Fact_Administrativa[[#This Row], [Concepto Anterior]],Conceptos_Administrativa[#All],5,0),"")</f>
        <v/>
      </c>
      <c r="F1914" t="str">
        <f>+IFERROR(VLOOKUP(Fact_Administrativa[[#This Row], 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ht="18.75" customHeight="1" x14ac:dyDescent="0.35">
      <c r="C1915" s="100" t="str">
        <f>IF(OR(Fact_Administrativa[[#This Row], [Año]]="",Fact_Administrativa[[#This Row], [Mes]]=""),"",DATE(A1915,MATCH(B1915,{"enero","febrero","marzo","abril","mayo","junio","julio","agosto","septiembre","octubre","noviembre","diciembre"},0)+1,0))</f>
        <v/>
      </c>
      <c r="E1915" t="str">
        <f>+IFERROR(VLOOKUP(Fact_Administrativa[[#This Row], [Concepto Anterior]],Conceptos_Administrativa[#All],5,0),"")</f>
        <v/>
      </c>
      <c r="F1915" t="str">
        <f>+IFERROR(VLOOKUP(Fact_Administrativa[[#This Row], 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ht="18.75" customHeight="1" x14ac:dyDescent="0.35">
      <c r="C1916" s="100" t="str">
        <f>IF(OR(Fact_Administrativa[[#This Row], [Año]]="",Fact_Administrativa[[#This Row], [Mes]]=""),"",DATE(A1916,MATCH(B1916,{"enero","febrero","marzo","abril","mayo","junio","julio","agosto","septiembre","octubre","noviembre","diciembre"},0)+1,0))</f>
        <v/>
      </c>
      <c r="E1916" t="str">
        <f>+IFERROR(VLOOKUP(Fact_Administrativa[[#This Row], [Concepto Anterior]],Conceptos_Administrativa[#All],5,0),"")</f>
        <v/>
      </c>
      <c r="F1916" t="str">
        <f>+IFERROR(VLOOKUP(Fact_Administrativa[[#This Row], 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ht="18.75" customHeight="1" x14ac:dyDescent="0.35">
      <c r="C1917" s="100" t="str">
        <f>IF(OR(Fact_Administrativa[[#This Row], [Año]]="",Fact_Administrativa[[#This Row], [Mes]]=""),"",DATE(A1917,MATCH(B1917,{"enero","febrero","marzo","abril","mayo","junio","julio","agosto","septiembre","octubre","noviembre","diciembre"},0)+1,0))</f>
        <v/>
      </c>
      <c r="E1917" t="str">
        <f>+IFERROR(VLOOKUP(Fact_Administrativa[[#This Row], [Concepto Anterior]],Conceptos_Administrativa[#All],5,0),"")</f>
        <v/>
      </c>
      <c r="F1917" t="str">
        <f>+IFERROR(VLOOKUP(Fact_Administrativa[[#This Row], 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ht="18.75" customHeight="1" x14ac:dyDescent="0.35">
      <c r="C1918" s="100" t="str">
        <f>IF(OR(Fact_Administrativa[[#This Row], [Año]]="",Fact_Administrativa[[#This Row], [Mes]]=""),"",DATE(A1918,MATCH(B1918,{"enero","febrero","marzo","abril","mayo","junio","julio","agosto","septiembre","octubre","noviembre","diciembre"},0)+1,0))</f>
        <v/>
      </c>
      <c r="E1918" t="str">
        <f>+IFERROR(VLOOKUP(Fact_Administrativa[[#This Row], [Concepto Anterior]],Conceptos_Administrativa[#All],5,0),"")</f>
        <v/>
      </c>
      <c r="F1918" t="str">
        <f>+IFERROR(VLOOKUP(Fact_Administrativa[[#This Row], 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ht="18.75" customHeight="1" x14ac:dyDescent="0.35">
      <c r="C1919" s="100" t="str">
        <f>IF(OR(Fact_Administrativa[[#This Row], [Año]]="",Fact_Administrativa[[#This Row], [Mes]]=""),"",DATE(A1919,MATCH(B1919,{"enero","febrero","marzo","abril","mayo","junio","julio","agosto","septiembre","octubre","noviembre","diciembre"},0)+1,0))</f>
        <v/>
      </c>
      <c r="E1919" t="str">
        <f>+IFERROR(VLOOKUP(Fact_Administrativa[[#This Row], [Concepto Anterior]],Conceptos_Administrativa[#All],5,0),"")</f>
        <v/>
      </c>
      <c r="F1919" t="str">
        <f>+IFERROR(VLOOKUP(Fact_Administrativa[[#This Row], 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ht="18.75" customHeight="1" x14ac:dyDescent="0.35">
      <c r="C1920" s="100" t="str">
        <f>IF(OR(Fact_Administrativa[[#This Row], [Año]]="",Fact_Administrativa[[#This Row], [Mes]]=""),"",DATE(A1920,MATCH(B1920,{"enero","febrero","marzo","abril","mayo","junio","julio","agosto","septiembre","octubre","noviembre","diciembre"},0)+1,0))</f>
        <v/>
      </c>
      <c r="E1920" t="str">
        <f>+IFERROR(VLOOKUP(Fact_Administrativa[[#This Row], [Concepto Anterior]],Conceptos_Administrativa[#All],5,0),"")</f>
        <v/>
      </c>
      <c r="F1920" t="str">
        <f>+IFERROR(VLOOKUP(Fact_Administrativa[[#This Row], 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ht="18.75" customHeight="1" x14ac:dyDescent="0.35">
      <c r="C1921" s="100" t="str">
        <f>IF(OR(Fact_Administrativa[[#This Row], [Año]]="",Fact_Administrativa[[#This Row], [Mes]]=""),"",DATE(A1921,MATCH(B1921,{"enero","febrero","marzo","abril","mayo","junio","julio","agosto","septiembre","octubre","noviembre","diciembre"},0)+1,0))</f>
        <v/>
      </c>
      <c r="E1921" t="str">
        <f>+IFERROR(VLOOKUP(Fact_Administrativa[[#This Row], [Concepto Anterior]],Conceptos_Administrativa[#All],5,0),"")</f>
        <v/>
      </c>
      <c r="F1921" t="str">
        <f>+IFERROR(VLOOKUP(Fact_Administrativa[[#This Row], 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ht="18.75" customHeight="1" x14ac:dyDescent="0.35">
      <c r="C1922" s="100" t="str">
        <f>IF(OR(Fact_Administrativa[[#This Row], [Año]]="",Fact_Administrativa[[#This Row], [Mes]]=""),"",DATE(A1922,MATCH(B1922,{"enero","febrero","marzo","abril","mayo","junio","julio","agosto","septiembre","octubre","noviembre","diciembre"},0)+1,0))</f>
        <v/>
      </c>
      <c r="E1922" t="str">
        <f>+IFERROR(VLOOKUP(Fact_Administrativa[[#This Row], [Concepto Anterior]],Conceptos_Administrativa[#All],5,0),"")</f>
        <v/>
      </c>
      <c r="F1922" t="str">
        <f>+IFERROR(VLOOKUP(Fact_Administrativa[[#This Row], 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ht="18.75" customHeight="1" x14ac:dyDescent="0.35">
      <c r="C1923" s="100" t="str">
        <f>IF(OR(Fact_Administrativa[[#This Row], [Año]]="",Fact_Administrativa[[#This Row], [Mes]]=""),"",DATE(A1923,MATCH(B1923,{"enero","febrero","marzo","abril","mayo","junio","julio","agosto","septiembre","octubre","noviembre","diciembre"},0)+1,0))</f>
        <v/>
      </c>
      <c r="E1923" t="str">
        <f>+IFERROR(VLOOKUP(Fact_Administrativa[[#This Row], [Concepto Anterior]],Conceptos_Administrativa[#All],5,0),"")</f>
        <v/>
      </c>
      <c r="F1923" t="str">
        <f>+IFERROR(VLOOKUP(Fact_Administrativa[[#This Row], 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ht="18.75" customHeight="1" x14ac:dyDescent="0.35">
      <c r="C1924" s="100" t="str">
        <f>IF(OR(Fact_Administrativa[[#This Row], [Año]]="",Fact_Administrativa[[#This Row], [Mes]]=""),"",DATE(A1924,MATCH(B1924,{"enero","febrero","marzo","abril","mayo","junio","julio","agosto","septiembre","octubre","noviembre","diciembre"},0)+1,0))</f>
        <v/>
      </c>
      <c r="E1924" t="str">
        <f>+IFERROR(VLOOKUP(Fact_Administrativa[[#This Row], [Concepto Anterior]],Conceptos_Administrativa[#All],5,0),"")</f>
        <v/>
      </c>
      <c r="F1924" t="str">
        <f>+IFERROR(VLOOKUP(Fact_Administrativa[[#This Row], 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ht="18.75" customHeight="1" x14ac:dyDescent="0.35">
      <c r="C1925" s="100" t="str">
        <f>IF(OR(Fact_Administrativa[[#This Row], [Año]]="",Fact_Administrativa[[#This Row], [Mes]]=""),"",DATE(A1925,MATCH(B1925,{"enero","febrero","marzo","abril","mayo","junio","julio","agosto","septiembre","octubre","noviembre","diciembre"},0)+1,0))</f>
        <v/>
      </c>
      <c r="E1925" t="str">
        <f>+IFERROR(VLOOKUP(Fact_Administrativa[[#This Row], [Concepto Anterior]],Conceptos_Administrativa[#All],5,0),"")</f>
        <v/>
      </c>
      <c r="F1925" t="str">
        <f>+IFERROR(VLOOKUP(Fact_Administrativa[[#This Row], 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ht="18.75" customHeight="1" x14ac:dyDescent="0.35">
      <c r="C1926" s="100" t="str">
        <f>IF(OR(Fact_Administrativa[[#This Row], [Año]]="",Fact_Administrativa[[#This Row], [Mes]]=""),"",DATE(A1926,MATCH(B1926,{"enero","febrero","marzo","abril","mayo","junio","julio","agosto","septiembre","octubre","noviembre","diciembre"},0)+1,0))</f>
        <v/>
      </c>
      <c r="E1926" t="str">
        <f>+IFERROR(VLOOKUP(Fact_Administrativa[[#This Row], [Concepto Anterior]],Conceptos_Administrativa[#All],5,0),"")</f>
        <v/>
      </c>
      <c r="F1926" t="str">
        <f>+IFERROR(VLOOKUP(Fact_Administrativa[[#This Row], 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ht="18.75" customHeight="1" x14ac:dyDescent="0.35">
      <c r="C1927" s="100" t="str">
        <f>IF(OR(Fact_Administrativa[[#This Row], [Año]]="",Fact_Administrativa[[#This Row], [Mes]]=""),"",DATE(A1927,MATCH(B1927,{"enero","febrero","marzo","abril","mayo","junio","julio","agosto","septiembre","octubre","noviembre","diciembre"},0)+1,0))</f>
        <v/>
      </c>
      <c r="E1927" t="str">
        <f>+IFERROR(VLOOKUP(Fact_Administrativa[[#This Row], [Concepto Anterior]],Conceptos_Administrativa[#All],5,0),"")</f>
        <v/>
      </c>
      <c r="F1927" t="str">
        <f>+IFERROR(VLOOKUP(Fact_Administrativa[[#This Row], 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ht="18.75" customHeight="1" x14ac:dyDescent="0.35">
      <c r="C1928" s="100" t="str">
        <f>IF(OR(Fact_Administrativa[[#This Row], [Año]]="",Fact_Administrativa[[#This Row], [Mes]]=""),"",DATE(A1928,MATCH(B1928,{"enero","febrero","marzo","abril","mayo","junio","julio","agosto","septiembre","octubre","noviembre","diciembre"},0)+1,0))</f>
        <v/>
      </c>
      <c r="E1928" t="str">
        <f>+IFERROR(VLOOKUP(Fact_Administrativa[[#This Row], [Concepto Anterior]],Conceptos_Administrativa[#All],5,0),"")</f>
        <v/>
      </c>
      <c r="F1928" t="str">
        <f>+IFERROR(VLOOKUP(Fact_Administrativa[[#This Row], 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ht="18.75" customHeight="1" x14ac:dyDescent="0.35">
      <c r="C1929" s="100" t="str">
        <f>IF(OR(Fact_Administrativa[[#This Row], [Año]]="",Fact_Administrativa[[#This Row], [Mes]]=""),"",DATE(A1929,MATCH(B1929,{"enero","febrero","marzo","abril","mayo","junio","julio","agosto","septiembre","octubre","noviembre","diciembre"},0)+1,0))</f>
        <v/>
      </c>
      <c r="E1929" t="str">
        <f>+IFERROR(VLOOKUP(Fact_Administrativa[[#This Row], [Concepto Anterior]],Conceptos_Administrativa[#All],5,0),"")</f>
        <v/>
      </c>
      <c r="F1929" t="str">
        <f>+IFERROR(VLOOKUP(Fact_Administrativa[[#This Row], 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ht="18.75" customHeight="1" x14ac:dyDescent="0.35">
      <c r="C1930" s="100" t="str">
        <f>IF(OR(Fact_Administrativa[[#This Row], [Año]]="",Fact_Administrativa[[#This Row], [Mes]]=""),"",DATE(A1930,MATCH(B1930,{"enero","febrero","marzo","abril","mayo","junio","julio","agosto","septiembre","octubre","noviembre","diciembre"},0)+1,0))</f>
        <v/>
      </c>
      <c r="E1930" t="str">
        <f>+IFERROR(VLOOKUP(Fact_Administrativa[[#This Row], [Concepto Anterior]],Conceptos_Administrativa[#All],5,0),"")</f>
        <v/>
      </c>
      <c r="F1930" t="str">
        <f>+IFERROR(VLOOKUP(Fact_Administrativa[[#This Row], 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ht="18.75" customHeight="1" x14ac:dyDescent="0.35">
      <c r="C1931" s="100" t="str">
        <f>IF(OR(Fact_Administrativa[[#This Row], [Año]]="",Fact_Administrativa[[#This Row], [Mes]]=""),"",DATE(A1931,MATCH(B1931,{"enero","febrero","marzo","abril","mayo","junio","julio","agosto","septiembre","octubre","noviembre","diciembre"},0)+1,0))</f>
        <v/>
      </c>
      <c r="E1931" t="str">
        <f>+IFERROR(VLOOKUP(Fact_Administrativa[[#This Row], [Concepto Anterior]],Conceptos_Administrativa[#All],5,0),"")</f>
        <v/>
      </c>
      <c r="F1931" t="str">
        <f>+IFERROR(VLOOKUP(Fact_Administrativa[[#This Row], 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ht="18.75" customHeight="1" x14ac:dyDescent="0.35">
      <c r="C1932" s="100" t="str">
        <f>IF(OR(Fact_Administrativa[[#This Row], [Año]]="",Fact_Administrativa[[#This Row], [Mes]]=""),"",DATE(A1932,MATCH(B1932,{"enero","febrero","marzo","abril","mayo","junio","julio","agosto","septiembre","octubre","noviembre","diciembre"},0)+1,0))</f>
        <v/>
      </c>
      <c r="E1932" t="str">
        <f>+IFERROR(VLOOKUP(Fact_Administrativa[[#This Row], [Concepto Anterior]],Conceptos_Administrativa[#All],5,0),"")</f>
        <v/>
      </c>
      <c r="F1932" t="str">
        <f>+IFERROR(VLOOKUP(Fact_Administrativa[[#This Row], 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ht="18.75" customHeight="1" x14ac:dyDescent="0.35">
      <c r="C1933" s="100" t="str">
        <f>IF(OR(Fact_Administrativa[[#This Row], [Año]]="",Fact_Administrativa[[#This Row], [Mes]]=""),"",DATE(A1933,MATCH(B1933,{"enero","febrero","marzo","abril","mayo","junio","julio","agosto","septiembre","octubre","noviembre","diciembre"},0)+1,0))</f>
        <v/>
      </c>
      <c r="E1933" t="str">
        <f>+IFERROR(VLOOKUP(Fact_Administrativa[[#This Row], [Concepto Anterior]],Conceptos_Administrativa[#All],5,0),"")</f>
        <v/>
      </c>
      <c r="F1933" t="str">
        <f>+IFERROR(VLOOKUP(Fact_Administrativa[[#This Row], 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ht="18.75" customHeight="1" x14ac:dyDescent="0.35">
      <c r="C1934" s="100" t="str">
        <f>IF(OR(Fact_Administrativa[[#This Row], [Año]]="",Fact_Administrativa[[#This Row], [Mes]]=""),"",DATE(A1934,MATCH(B1934,{"enero","febrero","marzo","abril","mayo","junio","julio","agosto","septiembre","octubre","noviembre","diciembre"},0)+1,0))</f>
        <v/>
      </c>
      <c r="E1934" t="str">
        <f>+IFERROR(VLOOKUP(Fact_Administrativa[[#This Row], [Concepto Anterior]],Conceptos_Administrativa[#All],5,0),"")</f>
        <v/>
      </c>
      <c r="F1934" t="str">
        <f>+IFERROR(VLOOKUP(Fact_Administrativa[[#This Row], 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ht="18.75" customHeight="1" x14ac:dyDescent="0.35">
      <c r="C1935" s="100" t="str">
        <f>IF(OR(Fact_Administrativa[[#This Row], [Año]]="",Fact_Administrativa[[#This Row], [Mes]]=""),"",DATE(A1935,MATCH(B1935,{"enero","febrero","marzo","abril","mayo","junio","julio","agosto","septiembre","octubre","noviembre","diciembre"},0)+1,0))</f>
        <v/>
      </c>
      <c r="E1935" t="str">
        <f>+IFERROR(VLOOKUP(Fact_Administrativa[[#This Row], [Concepto Anterior]],Conceptos_Administrativa[#All],5,0),"")</f>
        <v/>
      </c>
      <c r="F1935" t="str">
        <f>+IFERROR(VLOOKUP(Fact_Administrativa[[#This Row], 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ht="18.75" customHeight="1" x14ac:dyDescent="0.35">
      <c r="C1936" s="100" t="str">
        <f>IF(OR(Fact_Administrativa[[#This Row], [Año]]="",Fact_Administrativa[[#This Row], [Mes]]=""),"",DATE(A1936,MATCH(B1936,{"enero","febrero","marzo","abril","mayo","junio","julio","agosto","septiembre","octubre","noviembre","diciembre"},0)+1,0))</f>
        <v/>
      </c>
      <c r="E1936" t="str">
        <f>+IFERROR(VLOOKUP(Fact_Administrativa[[#This Row], [Concepto Anterior]],Conceptos_Administrativa[#All],5,0),"")</f>
        <v/>
      </c>
      <c r="F1936" t="str">
        <f>+IFERROR(VLOOKUP(Fact_Administrativa[[#This Row], 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ht="18.75" customHeight="1" x14ac:dyDescent="0.35">
      <c r="C1937" s="100" t="str">
        <f>IF(OR(Fact_Administrativa[[#This Row], [Año]]="",Fact_Administrativa[[#This Row], [Mes]]=""),"",DATE(A1937,MATCH(B1937,{"enero","febrero","marzo","abril","mayo","junio","julio","agosto","septiembre","octubre","noviembre","diciembre"},0)+1,0))</f>
        <v/>
      </c>
      <c r="E1937" t="str">
        <f>+IFERROR(VLOOKUP(Fact_Administrativa[[#This Row], [Concepto Anterior]],Conceptos_Administrativa[#All],5,0),"")</f>
        <v/>
      </c>
      <c r="F1937" t="str">
        <f>+IFERROR(VLOOKUP(Fact_Administrativa[[#This Row], 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ht="18.75" customHeight="1" x14ac:dyDescent="0.35">
      <c r="C1938" s="100" t="str">
        <f>IF(OR(Fact_Administrativa[[#This Row], [Año]]="",Fact_Administrativa[[#This Row], [Mes]]=""),"",DATE(A1938,MATCH(B1938,{"enero","febrero","marzo","abril","mayo","junio","julio","agosto","septiembre","octubre","noviembre","diciembre"},0)+1,0))</f>
        <v/>
      </c>
      <c r="E1938" t="str">
        <f>+IFERROR(VLOOKUP(Fact_Administrativa[[#This Row], [Concepto Anterior]],Conceptos_Administrativa[#All],5,0),"")</f>
        <v/>
      </c>
      <c r="F1938" t="str">
        <f>+IFERROR(VLOOKUP(Fact_Administrativa[[#This Row], 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ht="18.75" customHeight="1" x14ac:dyDescent="0.35">
      <c r="C1939" s="100" t="str">
        <f>IF(OR(Fact_Administrativa[[#This Row], [Año]]="",Fact_Administrativa[[#This Row], [Mes]]=""),"",DATE(A1939,MATCH(B1939,{"enero","febrero","marzo","abril","mayo","junio","julio","agosto","septiembre","octubre","noviembre","diciembre"},0)+1,0))</f>
        <v/>
      </c>
      <c r="E1939" t="str">
        <f>+IFERROR(VLOOKUP(Fact_Administrativa[[#This Row], [Concepto Anterior]],Conceptos_Administrativa[#All],5,0),"")</f>
        <v/>
      </c>
      <c r="F1939" t="str">
        <f>+IFERROR(VLOOKUP(Fact_Administrativa[[#This Row], 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ht="18.75" customHeight="1" x14ac:dyDescent="0.35">
      <c r="C1940" s="100" t="str">
        <f>IF(OR(Fact_Administrativa[[#This Row], [Año]]="",Fact_Administrativa[[#This Row], [Mes]]=""),"",DATE(A1940,MATCH(B1940,{"enero","febrero","marzo","abril","mayo","junio","julio","agosto","septiembre","octubre","noviembre","diciembre"},0)+1,0))</f>
        <v/>
      </c>
      <c r="E1940" t="str">
        <f>+IFERROR(VLOOKUP(Fact_Administrativa[[#This Row], [Concepto Anterior]],Conceptos_Administrativa[#All],5,0),"")</f>
        <v/>
      </c>
      <c r="F1940" t="str">
        <f>+IFERROR(VLOOKUP(Fact_Administrativa[[#This Row], 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ht="18.75" customHeight="1" x14ac:dyDescent="0.35">
      <c r="C1941" s="100" t="str">
        <f>IF(OR(Fact_Administrativa[[#This Row], [Año]]="",Fact_Administrativa[[#This Row], [Mes]]=""),"",DATE(A1941,MATCH(B1941,{"enero","febrero","marzo","abril","mayo","junio","julio","agosto","septiembre","octubre","noviembre","diciembre"},0)+1,0))</f>
        <v/>
      </c>
      <c r="E1941" t="str">
        <f>+IFERROR(VLOOKUP(Fact_Administrativa[[#This Row], [Concepto Anterior]],Conceptos_Administrativa[#All],5,0),"")</f>
        <v/>
      </c>
      <c r="F1941" t="str">
        <f>+IFERROR(VLOOKUP(Fact_Administrativa[[#This Row], 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ht="18.75" customHeight="1" x14ac:dyDescent="0.35">
      <c r="C1942" s="100" t="str">
        <f>IF(OR(Fact_Administrativa[[#This Row], [Año]]="",Fact_Administrativa[[#This Row], [Mes]]=""),"",DATE(A1942,MATCH(B1942,{"enero","febrero","marzo","abril","mayo","junio","julio","agosto","septiembre","octubre","noviembre","diciembre"},0)+1,0))</f>
        <v/>
      </c>
      <c r="E1942" t="str">
        <f>+IFERROR(VLOOKUP(Fact_Administrativa[[#This Row], [Concepto Anterior]],Conceptos_Administrativa[#All],5,0),"")</f>
        <v/>
      </c>
      <c r="F1942" t="str">
        <f>+IFERROR(VLOOKUP(Fact_Administrativa[[#This Row], 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ht="18.75" customHeight="1" x14ac:dyDescent="0.35">
      <c r="C1943" s="100" t="str">
        <f>IF(OR(Fact_Administrativa[[#This Row], [Año]]="",Fact_Administrativa[[#This Row], [Mes]]=""),"",DATE(A1943,MATCH(B1943,{"enero","febrero","marzo","abril","mayo","junio","julio","agosto","septiembre","octubre","noviembre","diciembre"},0)+1,0))</f>
        <v/>
      </c>
      <c r="E1943" t="str">
        <f>+IFERROR(VLOOKUP(Fact_Administrativa[[#This Row], [Concepto Anterior]],Conceptos_Administrativa[#All],5,0),"")</f>
        <v/>
      </c>
      <c r="F1943" t="str">
        <f>+IFERROR(VLOOKUP(Fact_Administrativa[[#This Row], 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ht="18.75" customHeight="1" x14ac:dyDescent="0.35">
      <c r="C1944" s="100" t="str">
        <f>IF(OR(Fact_Administrativa[[#This Row], [Año]]="",Fact_Administrativa[[#This Row], [Mes]]=""),"",DATE(A1944,MATCH(B1944,{"enero","febrero","marzo","abril","mayo","junio","julio","agosto","septiembre","octubre","noviembre","diciembre"},0)+1,0))</f>
        <v/>
      </c>
      <c r="E1944" t="str">
        <f>+IFERROR(VLOOKUP(Fact_Administrativa[[#This Row], [Concepto Anterior]],Conceptos_Administrativa[#All],5,0),"")</f>
        <v/>
      </c>
      <c r="F1944" t="str">
        <f>+IFERROR(VLOOKUP(Fact_Administrativa[[#This Row], 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ht="18.75" customHeight="1" x14ac:dyDescent="0.35">
      <c r="C1945" s="100" t="str">
        <f>IF(OR(Fact_Administrativa[[#This Row], [Año]]="",Fact_Administrativa[[#This Row], [Mes]]=""),"",DATE(A1945,MATCH(B1945,{"enero","febrero","marzo","abril","mayo","junio","julio","agosto","septiembre","octubre","noviembre","diciembre"},0)+1,0))</f>
        <v/>
      </c>
      <c r="E1945" t="str">
        <f>+IFERROR(VLOOKUP(Fact_Administrativa[[#This Row], [Concepto Anterior]],Conceptos_Administrativa[#All],5,0),"")</f>
        <v/>
      </c>
      <c r="F1945" t="str">
        <f>+IFERROR(VLOOKUP(Fact_Administrativa[[#This Row], 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ht="18.75" customHeight="1" x14ac:dyDescent="0.35">
      <c r="C1946" s="100" t="str">
        <f>IF(OR(Fact_Administrativa[[#This Row], [Año]]="",Fact_Administrativa[[#This Row], [Mes]]=""),"",DATE(A1946,MATCH(B1946,{"enero","febrero","marzo","abril","mayo","junio","julio","agosto","septiembre","octubre","noviembre","diciembre"},0)+1,0))</f>
        <v/>
      </c>
      <c r="E1946" t="str">
        <f>+IFERROR(VLOOKUP(Fact_Administrativa[[#This Row], [Concepto Anterior]],Conceptos_Administrativa[#All],5,0),"")</f>
        <v/>
      </c>
      <c r="F1946" t="str">
        <f>+IFERROR(VLOOKUP(Fact_Administrativa[[#This Row], 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ht="18.75" customHeight="1" x14ac:dyDescent="0.35">
      <c r="C1947" s="100" t="str">
        <f>IF(OR(Fact_Administrativa[[#This Row], [Año]]="",Fact_Administrativa[[#This Row], [Mes]]=""),"",DATE(A1947,MATCH(B1947,{"enero","febrero","marzo","abril","mayo","junio","julio","agosto","septiembre","octubre","noviembre","diciembre"},0)+1,0))</f>
        <v/>
      </c>
      <c r="E1947" t="str">
        <f>+IFERROR(VLOOKUP(Fact_Administrativa[[#This Row], [Concepto Anterior]],Conceptos_Administrativa[#All],5,0),"")</f>
        <v/>
      </c>
      <c r="F1947" t="str">
        <f>+IFERROR(VLOOKUP(Fact_Administrativa[[#This Row], 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ht="18.75" customHeight="1" x14ac:dyDescent="0.35">
      <c r="C1948" s="100" t="str">
        <f>IF(OR(Fact_Administrativa[[#This Row], [Año]]="",Fact_Administrativa[[#This Row], [Mes]]=""),"",DATE(A1948,MATCH(B1948,{"enero","febrero","marzo","abril","mayo","junio","julio","agosto","septiembre","octubre","noviembre","diciembre"},0)+1,0))</f>
        <v/>
      </c>
      <c r="E1948" t="str">
        <f>+IFERROR(VLOOKUP(Fact_Administrativa[[#This Row], [Concepto Anterior]],Conceptos_Administrativa[#All],5,0),"")</f>
        <v/>
      </c>
      <c r="F1948" t="str">
        <f>+IFERROR(VLOOKUP(Fact_Administrativa[[#This Row], 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ht="18.75" customHeight="1" x14ac:dyDescent="0.35">
      <c r="C1949" s="100" t="str">
        <f>IF(OR(Fact_Administrativa[[#This Row], [Año]]="",Fact_Administrativa[[#This Row], [Mes]]=""),"",DATE(A1949,MATCH(B1949,{"enero","febrero","marzo","abril","mayo","junio","julio","agosto","septiembre","octubre","noviembre","diciembre"},0)+1,0))</f>
        <v/>
      </c>
      <c r="E1949" t="str">
        <f>+IFERROR(VLOOKUP(Fact_Administrativa[[#This Row], [Concepto Anterior]],Conceptos_Administrativa[#All],5,0),"")</f>
        <v/>
      </c>
      <c r="F1949" t="str">
        <f>+IFERROR(VLOOKUP(Fact_Administrativa[[#This Row], 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ht="18.75" customHeight="1" x14ac:dyDescent="0.35">
      <c r="C1950" s="100" t="str">
        <f>IF(OR(Fact_Administrativa[[#This Row], [Año]]="",Fact_Administrativa[[#This Row], [Mes]]=""),"",DATE(A1950,MATCH(B1950,{"enero","febrero","marzo","abril","mayo","junio","julio","agosto","septiembre","octubre","noviembre","diciembre"},0)+1,0))</f>
        <v/>
      </c>
      <c r="E1950" t="str">
        <f>+IFERROR(VLOOKUP(Fact_Administrativa[[#This Row], [Concepto Anterior]],Conceptos_Administrativa[#All],5,0),"")</f>
        <v/>
      </c>
      <c r="F1950" t="str">
        <f>+IFERROR(VLOOKUP(Fact_Administrativa[[#This Row], 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ht="18.75" customHeight="1" x14ac:dyDescent="0.35">
      <c r="C1951" s="100" t="str">
        <f>IF(OR(Fact_Administrativa[[#This Row], [Año]]="",Fact_Administrativa[[#This Row], [Mes]]=""),"",DATE(A1951,MATCH(B1951,{"enero","febrero","marzo","abril","mayo","junio","julio","agosto","septiembre","octubre","noviembre","diciembre"},0)+1,0))</f>
        <v/>
      </c>
      <c r="E1951" t="str">
        <f>+IFERROR(VLOOKUP(Fact_Administrativa[[#This Row], [Concepto Anterior]],Conceptos_Administrativa[#All],5,0),"")</f>
        <v/>
      </c>
      <c r="F1951" t="str">
        <f>+IFERROR(VLOOKUP(Fact_Administrativa[[#This Row], 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ht="18.75" customHeight="1" x14ac:dyDescent="0.35">
      <c r="C1952" s="100" t="str">
        <f>IF(OR(Fact_Administrativa[[#This Row], [Año]]="",Fact_Administrativa[[#This Row], [Mes]]=""),"",DATE(A1952,MATCH(B1952,{"enero","febrero","marzo","abril","mayo","junio","julio","agosto","septiembre","octubre","noviembre","diciembre"},0)+1,0))</f>
        <v/>
      </c>
      <c r="E1952" t="str">
        <f>+IFERROR(VLOOKUP(Fact_Administrativa[[#This Row], [Concepto Anterior]],Conceptos_Administrativa[#All],5,0),"")</f>
        <v/>
      </c>
      <c r="F1952" t="str">
        <f>+IFERROR(VLOOKUP(Fact_Administrativa[[#This Row], 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ht="18.75" customHeight="1" x14ac:dyDescent="0.35">
      <c r="C1953" s="100" t="str">
        <f>IF(OR(Fact_Administrativa[[#This Row], [Año]]="",Fact_Administrativa[[#This Row], [Mes]]=""),"",DATE(A1953,MATCH(B1953,{"enero","febrero","marzo","abril","mayo","junio","julio","agosto","septiembre","octubre","noviembre","diciembre"},0)+1,0))</f>
        <v/>
      </c>
      <c r="E1953" t="str">
        <f>+IFERROR(VLOOKUP(Fact_Administrativa[[#This Row], [Concepto Anterior]],Conceptos_Administrativa[#All],5,0),"")</f>
        <v/>
      </c>
      <c r="F1953" t="str">
        <f>+IFERROR(VLOOKUP(Fact_Administrativa[[#This Row], 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ht="18.75" customHeight="1" x14ac:dyDescent="0.35">
      <c r="C1954" s="100" t="str">
        <f>IF(OR(Fact_Administrativa[[#This Row], [Año]]="",Fact_Administrativa[[#This Row], [Mes]]=""),"",DATE(A1954,MATCH(B1954,{"enero","febrero","marzo","abril","mayo","junio","julio","agosto","septiembre","octubre","noviembre","diciembre"},0)+1,0))</f>
        <v/>
      </c>
      <c r="E1954" t="str">
        <f>+IFERROR(VLOOKUP(Fact_Administrativa[[#This Row], [Concepto Anterior]],Conceptos_Administrativa[#All],5,0),"")</f>
        <v/>
      </c>
      <c r="F1954" t="str">
        <f>+IFERROR(VLOOKUP(Fact_Administrativa[[#This Row], 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ht="18.75" customHeight="1" x14ac:dyDescent="0.35">
      <c r="C1955" s="100" t="str">
        <f>IF(OR(Fact_Administrativa[[#This Row], [Año]]="",Fact_Administrativa[[#This Row], [Mes]]=""),"",DATE(A1955,MATCH(B1955,{"enero","febrero","marzo","abril","mayo","junio","julio","agosto","septiembre","octubre","noviembre","diciembre"},0)+1,0))</f>
        <v/>
      </c>
      <c r="E1955" t="str">
        <f>+IFERROR(VLOOKUP(Fact_Administrativa[[#This Row], [Concepto Anterior]],Conceptos_Administrativa[#All],5,0),"")</f>
        <v/>
      </c>
      <c r="F1955" t="str">
        <f>+IFERROR(VLOOKUP(Fact_Administrativa[[#This Row], 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ht="18.75" customHeight="1" x14ac:dyDescent="0.35">
      <c r="C1956" s="100" t="str">
        <f>IF(OR(Fact_Administrativa[[#This Row], [Año]]="",Fact_Administrativa[[#This Row], [Mes]]=""),"",DATE(A1956,MATCH(B1956,{"enero","febrero","marzo","abril","mayo","junio","julio","agosto","septiembre","octubre","noviembre","diciembre"},0)+1,0))</f>
        <v/>
      </c>
      <c r="E1956" t="str">
        <f>+IFERROR(VLOOKUP(Fact_Administrativa[[#This Row], [Concepto Anterior]],Conceptos_Administrativa[#All],5,0),"")</f>
        <v/>
      </c>
      <c r="F1956" t="str">
        <f>+IFERROR(VLOOKUP(Fact_Administrativa[[#This Row], 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ht="18.75" customHeight="1" x14ac:dyDescent="0.35">
      <c r="C1957" s="100" t="str">
        <f>IF(OR(Fact_Administrativa[[#This Row], [Año]]="",Fact_Administrativa[[#This Row], [Mes]]=""),"",DATE(A1957,MATCH(B1957,{"enero","febrero","marzo","abril","mayo","junio","julio","agosto","septiembre","octubre","noviembre","diciembre"},0)+1,0))</f>
        <v/>
      </c>
      <c r="E1957" t="str">
        <f>+IFERROR(VLOOKUP(Fact_Administrativa[[#This Row], [Concepto Anterior]],Conceptos_Administrativa[#All],5,0),"")</f>
        <v/>
      </c>
      <c r="F1957" t="str">
        <f>+IFERROR(VLOOKUP(Fact_Administrativa[[#This Row], 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ht="18.75" customHeight="1" x14ac:dyDescent="0.35">
      <c r="C1958" s="100" t="str">
        <f>IF(OR(Fact_Administrativa[[#This Row], [Año]]="",Fact_Administrativa[[#This Row], [Mes]]=""),"",DATE(A1958,MATCH(B1958,{"enero","febrero","marzo","abril","mayo","junio","julio","agosto","septiembre","octubre","noviembre","diciembre"},0)+1,0))</f>
        <v/>
      </c>
      <c r="E1958" t="str">
        <f>+IFERROR(VLOOKUP(Fact_Administrativa[[#This Row], [Concepto Anterior]],Conceptos_Administrativa[#All],5,0),"")</f>
        <v/>
      </c>
      <c r="F1958" t="str">
        <f>+IFERROR(VLOOKUP(Fact_Administrativa[[#This Row], 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ht="18.75" customHeight="1" x14ac:dyDescent="0.35">
      <c r="C1959" s="100" t="str">
        <f>IF(OR(Fact_Administrativa[[#This Row], [Año]]="",Fact_Administrativa[[#This Row], [Mes]]=""),"",DATE(A1959,MATCH(B1959,{"enero","febrero","marzo","abril","mayo","junio","julio","agosto","septiembre","octubre","noviembre","diciembre"},0)+1,0))</f>
        <v/>
      </c>
      <c r="E1959" t="str">
        <f>+IFERROR(VLOOKUP(Fact_Administrativa[[#This Row], [Concepto Anterior]],Conceptos_Administrativa[#All],5,0),"")</f>
        <v/>
      </c>
      <c r="F1959" t="str">
        <f>+IFERROR(VLOOKUP(Fact_Administrativa[[#This Row], 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ht="18.75" customHeight="1" x14ac:dyDescent="0.35">
      <c r="C1960" s="100" t="str">
        <f>IF(OR(Fact_Administrativa[[#This Row], [Año]]="",Fact_Administrativa[[#This Row], [Mes]]=""),"",DATE(A1960,MATCH(B1960,{"enero","febrero","marzo","abril","mayo","junio","julio","agosto","septiembre","octubre","noviembre","diciembre"},0)+1,0))</f>
        <v/>
      </c>
      <c r="E1960" t="str">
        <f>+IFERROR(VLOOKUP(Fact_Administrativa[[#This Row], [Concepto Anterior]],Conceptos_Administrativa[#All],5,0),"")</f>
        <v/>
      </c>
      <c r="F1960" t="str">
        <f>+IFERROR(VLOOKUP(Fact_Administrativa[[#This Row], 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ht="18.75" customHeight="1" x14ac:dyDescent="0.35">
      <c r="C1961" s="100" t="str">
        <f>IF(OR(Fact_Administrativa[[#This Row], [Año]]="",Fact_Administrativa[[#This Row], [Mes]]=""),"",DATE(A1961,MATCH(B1961,{"enero","febrero","marzo","abril","mayo","junio","julio","agosto","septiembre","octubre","noviembre","diciembre"},0)+1,0))</f>
        <v/>
      </c>
      <c r="E1961" t="str">
        <f>+IFERROR(VLOOKUP(Fact_Administrativa[[#This Row], [Concepto Anterior]],Conceptos_Administrativa[#All],5,0),"")</f>
        <v/>
      </c>
      <c r="F1961" t="str">
        <f>+IFERROR(VLOOKUP(Fact_Administrativa[[#This Row], 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ht="18.75" customHeight="1" x14ac:dyDescent="0.35">
      <c r="C1962" s="100" t="str">
        <f>IF(OR(Fact_Administrativa[[#This Row], [Año]]="",Fact_Administrativa[[#This Row], [Mes]]=""),"",DATE(A1962,MATCH(B1962,{"enero","febrero","marzo","abril","mayo","junio","julio","agosto","septiembre","octubre","noviembre","diciembre"},0)+1,0))</f>
        <v/>
      </c>
      <c r="E1962" t="str">
        <f>+IFERROR(VLOOKUP(Fact_Administrativa[[#This Row], [Concepto Anterior]],Conceptos_Administrativa[#All],5,0),"")</f>
        <v/>
      </c>
      <c r="F1962" t="str">
        <f>+IFERROR(VLOOKUP(Fact_Administrativa[[#This Row], 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ht="18.75" customHeight="1" x14ac:dyDescent="0.35">
      <c r="C1963" s="100" t="str">
        <f>IF(OR(Fact_Administrativa[[#This Row], [Año]]="",Fact_Administrativa[[#This Row], [Mes]]=""),"",DATE(A1963,MATCH(B1963,{"enero","febrero","marzo","abril","mayo","junio","julio","agosto","septiembre","octubre","noviembre","diciembre"},0)+1,0))</f>
        <v/>
      </c>
      <c r="E1963" t="str">
        <f>+IFERROR(VLOOKUP(Fact_Administrativa[[#This Row], [Concepto Anterior]],Conceptos_Administrativa[#All],5,0),"")</f>
        <v/>
      </c>
      <c r="F1963" t="str">
        <f>+IFERROR(VLOOKUP(Fact_Administrativa[[#This Row], 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ht="18.75" customHeight="1" x14ac:dyDescent="0.35">
      <c r="C1964" s="100" t="str">
        <f>IF(OR(Fact_Administrativa[[#This Row], [Año]]="",Fact_Administrativa[[#This Row], [Mes]]=""),"",DATE(A1964,MATCH(B1964,{"enero","febrero","marzo","abril","mayo","junio","julio","agosto","septiembre","octubre","noviembre","diciembre"},0)+1,0))</f>
        <v/>
      </c>
      <c r="E1964" t="str">
        <f>+IFERROR(VLOOKUP(Fact_Administrativa[[#This Row], [Concepto Anterior]],Conceptos_Administrativa[#All],5,0),"")</f>
        <v/>
      </c>
      <c r="F1964" t="str">
        <f>+IFERROR(VLOOKUP(Fact_Administrativa[[#This Row], 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ht="18.75" customHeight="1" x14ac:dyDescent="0.35">
      <c r="C1965" s="100" t="str">
        <f>IF(OR(Fact_Administrativa[[#This Row], [Año]]="",Fact_Administrativa[[#This Row], [Mes]]=""),"",DATE(A1965,MATCH(B1965,{"enero","febrero","marzo","abril","mayo","junio","julio","agosto","septiembre","octubre","noviembre","diciembre"},0)+1,0))</f>
        <v/>
      </c>
      <c r="E1965" t="str">
        <f>+IFERROR(VLOOKUP(Fact_Administrativa[[#This Row], [Concepto Anterior]],Conceptos_Administrativa[#All],5,0),"")</f>
        <v/>
      </c>
      <c r="F1965" t="str">
        <f>+IFERROR(VLOOKUP(Fact_Administrativa[[#This Row], 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ht="18.75" customHeight="1" x14ac:dyDescent="0.35">
      <c r="C1966" s="100" t="str">
        <f>IF(OR(Fact_Administrativa[[#This Row], [Año]]="",Fact_Administrativa[[#This Row], [Mes]]=""),"",DATE(A1966,MATCH(B1966,{"enero","febrero","marzo","abril","mayo","junio","julio","agosto","septiembre","octubre","noviembre","diciembre"},0)+1,0))</f>
        <v/>
      </c>
      <c r="E1966" t="str">
        <f>+IFERROR(VLOOKUP(Fact_Administrativa[[#This Row], [Concepto Anterior]],Conceptos_Administrativa[#All],5,0),"")</f>
        <v/>
      </c>
      <c r="F1966" t="str">
        <f>+IFERROR(VLOOKUP(Fact_Administrativa[[#This Row], 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ht="18.75" customHeight="1" x14ac:dyDescent="0.35">
      <c r="C1967" s="100" t="str">
        <f>IF(OR(Fact_Administrativa[[#This Row], [Año]]="",Fact_Administrativa[[#This Row], [Mes]]=""),"",DATE(A1967,MATCH(B1967,{"enero","febrero","marzo","abril","mayo","junio","julio","agosto","septiembre","octubre","noviembre","diciembre"},0)+1,0))</f>
        <v/>
      </c>
      <c r="E1967" t="str">
        <f>+IFERROR(VLOOKUP(Fact_Administrativa[[#This Row], [Concepto Anterior]],Conceptos_Administrativa[#All],5,0),"")</f>
        <v/>
      </c>
      <c r="F1967" t="str">
        <f>+IFERROR(VLOOKUP(Fact_Administrativa[[#This Row], 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ht="18.75" customHeight="1" x14ac:dyDescent="0.35">
      <c r="C1968" s="100" t="str">
        <f>IF(OR(Fact_Administrativa[[#This Row], [Año]]="",Fact_Administrativa[[#This Row], [Mes]]=""),"",DATE(A1968,MATCH(B1968,{"enero","febrero","marzo","abril","mayo","junio","julio","agosto","septiembre","octubre","noviembre","diciembre"},0)+1,0))</f>
        <v/>
      </c>
      <c r="E1968" t="str">
        <f>+IFERROR(VLOOKUP(Fact_Administrativa[[#This Row], [Concepto Anterior]],Conceptos_Administrativa[#All],5,0),"")</f>
        <v/>
      </c>
      <c r="F1968" t="str">
        <f>+IFERROR(VLOOKUP(Fact_Administrativa[[#This Row], 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ht="18.75" customHeight="1" x14ac:dyDescent="0.35">
      <c r="C1969" s="100" t="str">
        <f>IF(OR(Fact_Administrativa[[#This Row], [Año]]="",Fact_Administrativa[[#This Row], [Mes]]=""),"",DATE(A1969,MATCH(B1969,{"enero","febrero","marzo","abril","mayo","junio","julio","agosto","septiembre","octubre","noviembre","diciembre"},0)+1,0))</f>
        <v/>
      </c>
      <c r="E1969" t="str">
        <f>+IFERROR(VLOOKUP(Fact_Administrativa[[#This Row], [Concepto Anterior]],Conceptos_Administrativa[#All],5,0),"")</f>
        <v/>
      </c>
      <c r="F1969" t="str">
        <f>+IFERROR(VLOOKUP(Fact_Administrativa[[#This Row], 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ht="18.75" customHeight="1" x14ac:dyDescent="0.35">
      <c r="C1970" s="100" t="str">
        <f>IF(OR(Fact_Administrativa[[#This Row], [Año]]="",Fact_Administrativa[[#This Row], [Mes]]=""),"",DATE(A1970,MATCH(B1970,{"enero","febrero","marzo","abril","mayo","junio","julio","agosto","septiembre","octubre","noviembre","diciembre"},0)+1,0))</f>
        <v/>
      </c>
      <c r="E1970" t="str">
        <f>+IFERROR(VLOOKUP(Fact_Administrativa[[#This Row], [Concepto Anterior]],Conceptos_Administrativa[#All],5,0),"")</f>
        <v/>
      </c>
      <c r="F1970" t="str">
        <f>+IFERROR(VLOOKUP(Fact_Administrativa[[#This Row], 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ht="18.75" customHeight="1" x14ac:dyDescent="0.35">
      <c r="C1971" s="100" t="str">
        <f>IF(OR(Fact_Administrativa[[#This Row], [Año]]="",Fact_Administrativa[[#This Row], [Mes]]=""),"",DATE(A1971,MATCH(B1971,{"enero","febrero","marzo","abril","mayo","junio","julio","agosto","septiembre","octubre","noviembre","diciembre"},0)+1,0))</f>
        <v/>
      </c>
      <c r="E1971" t="str">
        <f>+IFERROR(VLOOKUP(Fact_Administrativa[[#This Row], [Concepto Anterior]],Conceptos_Administrativa[#All],5,0),"")</f>
        <v/>
      </c>
      <c r="F1971" t="str">
        <f>+IFERROR(VLOOKUP(Fact_Administrativa[[#This Row], 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ht="18.75" customHeight="1" x14ac:dyDescent="0.35">
      <c r="C1972" s="100" t="str">
        <f>IF(OR(Fact_Administrativa[[#This Row], [Año]]="",Fact_Administrativa[[#This Row], [Mes]]=""),"",DATE(A1972,MATCH(B1972,{"enero","febrero","marzo","abril","mayo","junio","julio","agosto","septiembre","octubre","noviembre","diciembre"},0)+1,0))</f>
        <v/>
      </c>
      <c r="E1972" t="str">
        <f>+IFERROR(VLOOKUP(Fact_Administrativa[[#This Row], [Concepto Anterior]],Conceptos_Administrativa[#All],5,0),"")</f>
        <v/>
      </c>
      <c r="F1972" t="str">
        <f>+IFERROR(VLOOKUP(Fact_Administrativa[[#This Row], 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ht="18.75" customHeight="1" x14ac:dyDescent="0.35">
      <c r="C1973" s="100" t="str">
        <f>IF(OR(Fact_Administrativa[[#This Row], [Año]]="",Fact_Administrativa[[#This Row], [Mes]]=""),"",DATE(A1973,MATCH(B1973,{"enero","febrero","marzo","abril","mayo","junio","julio","agosto","septiembre","octubre","noviembre","diciembre"},0)+1,0))</f>
        <v/>
      </c>
      <c r="E1973" t="str">
        <f>+IFERROR(VLOOKUP(Fact_Administrativa[[#This Row], [Concepto Anterior]],Conceptos_Administrativa[#All],5,0),"")</f>
        <v/>
      </c>
      <c r="F1973" t="str">
        <f>+IFERROR(VLOOKUP(Fact_Administrativa[[#This Row], 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ht="18.75" customHeight="1" x14ac:dyDescent="0.35">
      <c r="C1974" s="100" t="str">
        <f>IF(OR(Fact_Administrativa[[#This Row], [Año]]="",Fact_Administrativa[[#This Row], [Mes]]=""),"",DATE(A1974,MATCH(B1974,{"enero","febrero","marzo","abril","mayo","junio","julio","agosto","septiembre","octubre","noviembre","diciembre"},0)+1,0))</f>
        <v/>
      </c>
      <c r="E1974" t="str">
        <f>+IFERROR(VLOOKUP(Fact_Administrativa[[#This Row], [Concepto Anterior]],Conceptos_Administrativa[#All],5,0),"")</f>
        <v/>
      </c>
      <c r="F1974" t="str">
        <f>+IFERROR(VLOOKUP(Fact_Administrativa[[#This Row], 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ht="18.75" customHeight="1" x14ac:dyDescent="0.35">
      <c r="C1975" s="100" t="str">
        <f>IF(OR(Fact_Administrativa[[#This Row], [Año]]="",Fact_Administrativa[[#This Row], [Mes]]=""),"",DATE(A1975,MATCH(B1975,{"enero","febrero","marzo","abril","mayo","junio","julio","agosto","septiembre","octubre","noviembre","diciembre"},0)+1,0))</f>
        <v/>
      </c>
      <c r="E1975" t="str">
        <f>+IFERROR(VLOOKUP(Fact_Administrativa[[#This Row], [Concepto Anterior]],Conceptos_Administrativa[#All],5,0),"")</f>
        <v/>
      </c>
      <c r="F1975" t="str">
        <f>+IFERROR(VLOOKUP(Fact_Administrativa[[#This Row], 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ht="18.75" customHeight="1" x14ac:dyDescent="0.35">
      <c r="C1976" s="100" t="str">
        <f>IF(OR(Fact_Administrativa[[#This Row], [Año]]="",Fact_Administrativa[[#This Row], [Mes]]=""),"",DATE(A1976,MATCH(B1976,{"enero","febrero","marzo","abril","mayo","junio","julio","agosto","septiembre","octubre","noviembre","diciembre"},0)+1,0))</f>
        <v/>
      </c>
      <c r="E1976" t="str">
        <f>+IFERROR(VLOOKUP(Fact_Administrativa[[#This Row], [Concepto Anterior]],Conceptos_Administrativa[#All],5,0),"")</f>
        <v/>
      </c>
      <c r="F1976" t="str">
        <f>+IFERROR(VLOOKUP(Fact_Administrativa[[#This Row], 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ht="18.75" customHeight="1" x14ac:dyDescent="0.35">
      <c r="C1977" s="100" t="str">
        <f>IF(OR(Fact_Administrativa[[#This Row], [Año]]="",Fact_Administrativa[[#This Row], [Mes]]=""),"",DATE(A1977,MATCH(B1977,{"enero","febrero","marzo","abril","mayo","junio","julio","agosto","septiembre","octubre","noviembre","diciembre"},0)+1,0))</f>
        <v/>
      </c>
      <c r="E1977" t="str">
        <f>+IFERROR(VLOOKUP(Fact_Administrativa[[#This Row], [Concepto Anterior]],Conceptos_Administrativa[#All],5,0),"")</f>
        <v/>
      </c>
      <c r="F1977" t="str">
        <f>+IFERROR(VLOOKUP(Fact_Administrativa[[#This Row], 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ht="18.75" customHeight="1" x14ac:dyDescent="0.35">
      <c r="C1978" s="100" t="str">
        <f>IF(OR(Fact_Administrativa[[#This Row], [Año]]="",Fact_Administrativa[[#This Row], [Mes]]=""),"",DATE(A1978,MATCH(B1978,{"enero","febrero","marzo","abril","mayo","junio","julio","agosto","septiembre","octubre","noviembre","diciembre"},0)+1,0))</f>
        <v/>
      </c>
      <c r="E1978" t="str">
        <f>+IFERROR(VLOOKUP(Fact_Administrativa[[#This Row], [Concepto Anterior]],Conceptos_Administrativa[#All],5,0),"")</f>
        <v/>
      </c>
      <c r="F1978" t="str">
        <f>+IFERROR(VLOOKUP(Fact_Administrativa[[#This Row], 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ht="18.75" customHeight="1" x14ac:dyDescent="0.35">
      <c r="C1979" s="100" t="str">
        <f>IF(OR(Fact_Administrativa[[#This Row], [Año]]="",Fact_Administrativa[[#This Row], [Mes]]=""),"",DATE(A1979,MATCH(B1979,{"enero","febrero","marzo","abril","mayo","junio","julio","agosto","septiembre","octubre","noviembre","diciembre"},0)+1,0))</f>
        <v/>
      </c>
      <c r="E1979" t="str">
        <f>+IFERROR(VLOOKUP(Fact_Administrativa[[#This Row], [Concepto Anterior]],Conceptos_Administrativa[#All],5,0),"")</f>
        <v/>
      </c>
      <c r="F1979" t="str">
        <f>+IFERROR(VLOOKUP(Fact_Administrativa[[#This Row], 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ht="18.75" customHeight="1" x14ac:dyDescent="0.35">
      <c r="C1980" s="100" t="str">
        <f>IF(OR(Fact_Administrativa[[#This Row], [Año]]="",Fact_Administrativa[[#This Row], [Mes]]=""),"",DATE(A1980,MATCH(B1980,{"enero","febrero","marzo","abril","mayo","junio","julio","agosto","septiembre","octubre","noviembre","diciembre"},0)+1,0))</f>
        <v/>
      </c>
      <c r="E1980" t="str">
        <f>+IFERROR(VLOOKUP(Fact_Administrativa[[#This Row], [Concepto Anterior]],Conceptos_Administrativa[#All],5,0),"")</f>
        <v/>
      </c>
      <c r="F1980" t="str">
        <f>+IFERROR(VLOOKUP(Fact_Administrativa[[#This Row], 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ht="18.75" customHeight="1" x14ac:dyDescent="0.35">
      <c r="C1981" s="100" t="str">
        <f>IF(OR(Fact_Administrativa[[#This Row], [Año]]="",Fact_Administrativa[[#This Row], [Mes]]=""),"",DATE(A1981,MATCH(B1981,{"enero","febrero","marzo","abril","mayo","junio","julio","agosto","septiembre","octubre","noviembre","diciembre"},0)+1,0))</f>
        <v/>
      </c>
      <c r="E1981" t="str">
        <f>+IFERROR(VLOOKUP(Fact_Administrativa[[#This Row], [Concepto Anterior]],Conceptos_Administrativa[#All],5,0),"")</f>
        <v/>
      </c>
      <c r="F1981" t="str">
        <f>+IFERROR(VLOOKUP(Fact_Administrativa[[#This Row], 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ht="18.75" customHeight="1" x14ac:dyDescent="0.35">
      <c r="C1982" s="100" t="str">
        <f>IF(OR(Fact_Administrativa[[#This Row], [Año]]="",Fact_Administrativa[[#This Row], [Mes]]=""),"",DATE(A1982,MATCH(B1982,{"enero","febrero","marzo","abril","mayo","junio","julio","agosto","septiembre","octubre","noviembre","diciembre"},0)+1,0))</f>
        <v/>
      </c>
      <c r="E1982" t="str">
        <f>+IFERROR(VLOOKUP(Fact_Administrativa[[#This Row], [Concepto Anterior]],Conceptos_Administrativa[#All],5,0),"")</f>
        <v/>
      </c>
      <c r="F1982" t="str">
        <f>+IFERROR(VLOOKUP(Fact_Administrativa[[#This Row], 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ht="18.75" customHeight="1" x14ac:dyDescent="0.35">
      <c r="C1983" s="100" t="str">
        <f>IF(OR(Fact_Administrativa[[#This Row], [Año]]="",Fact_Administrativa[[#This Row], [Mes]]=""),"",DATE(A1983,MATCH(B1983,{"enero","febrero","marzo","abril","mayo","junio","julio","agosto","septiembre","octubre","noviembre","diciembre"},0)+1,0))</f>
        <v/>
      </c>
      <c r="E1983" t="str">
        <f>+IFERROR(VLOOKUP(Fact_Administrativa[[#This Row], [Concepto Anterior]],Conceptos_Administrativa[#All],5,0),"")</f>
        <v/>
      </c>
      <c r="F1983" t="str">
        <f>+IFERROR(VLOOKUP(Fact_Administrativa[[#This Row], 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ht="18.75" customHeight="1" x14ac:dyDescent="0.35">
      <c r="C1984" s="100" t="str">
        <f>IF(OR(Fact_Administrativa[[#This Row], [Año]]="",Fact_Administrativa[[#This Row], [Mes]]=""),"",DATE(A1984,MATCH(B1984,{"enero","febrero","marzo","abril","mayo","junio","julio","agosto","septiembre","octubre","noviembre","diciembre"},0)+1,0))</f>
        <v/>
      </c>
      <c r="E1984" t="str">
        <f>+IFERROR(VLOOKUP(Fact_Administrativa[[#This Row], [Concepto Anterior]],Conceptos_Administrativa[#All],5,0),"")</f>
        <v/>
      </c>
      <c r="F1984" t="str">
        <f>+IFERROR(VLOOKUP(Fact_Administrativa[[#This Row], 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ht="18.75" customHeight="1" x14ac:dyDescent="0.35">
      <c r="C1985" s="100" t="str">
        <f>IF(OR(Fact_Administrativa[[#This Row], [Año]]="",Fact_Administrativa[[#This Row], [Mes]]=""),"",DATE(A1985,MATCH(B1985,{"enero","febrero","marzo","abril","mayo","junio","julio","agosto","septiembre","octubre","noviembre","diciembre"},0)+1,0))</f>
        <v/>
      </c>
      <c r="E1985" t="str">
        <f>+IFERROR(VLOOKUP(Fact_Administrativa[[#This Row], [Concepto Anterior]],Conceptos_Administrativa[#All],5,0),"")</f>
        <v/>
      </c>
      <c r="F1985" t="str">
        <f>+IFERROR(VLOOKUP(Fact_Administrativa[[#This Row], 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ht="18.75" customHeight="1" x14ac:dyDescent="0.35">
      <c r="C1986" s="100" t="str">
        <f>IF(OR(Fact_Administrativa[[#This Row], [Año]]="",Fact_Administrativa[[#This Row], [Mes]]=""),"",DATE(A1986,MATCH(B1986,{"enero","febrero","marzo","abril","mayo","junio","julio","agosto","septiembre","octubre","noviembre","diciembre"},0)+1,0))</f>
        <v/>
      </c>
      <c r="E1986" t="str">
        <f>+IFERROR(VLOOKUP(Fact_Administrativa[[#This Row], [Concepto Anterior]],Conceptos_Administrativa[#All],5,0),"")</f>
        <v/>
      </c>
      <c r="F1986" t="str">
        <f>+IFERROR(VLOOKUP(Fact_Administrativa[[#This Row], 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ht="18.75" customHeight="1" x14ac:dyDescent="0.35">
      <c r="C1987" s="100" t="str">
        <f>IF(OR(Fact_Administrativa[[#This Row], [Año]]="",Fact_Administrativa[[#This Row], [Mes]]=""),"",DATE(A1987,MATCH(B1987,{"enero","febrero","marzo","abril","mayo","junio","julio","agosto","septiembre","octubre","noviembre","diciembre"},0)+1,0))</f>
        <v/>
      </c>
      <c r="E1987" t="str">
        <f>+IFERROR(VLOOKUP(Fact_Administrativa[[#This Row], [Concepto Anterior]],Conceptos_Administrativa[#All],5,0),"")</f>
        <v/>
      </c>
      <c r="F1987" t="str">
        <f>+IFERROR(VLOOKUP(Fact_Administrativa[[#This Row], 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ht="18.75" customHeight="1" x14ac:dyDescent="0.35">
      <c r="C1988" s="100" t="str">
        <f>IF(OR(Fact_Administrativa[[#This Row], [Año]]="",Fact_Administrativa[[#This Row], [Mes]]=""),"",DATE(A1988,MATCH(B1988,{"enero","febrero","marzo","abril","mayo","junio","julio","agosto","septiembre","octubre","noviembre","diciembre"},0)+1,0))</f>
        <v/>
      </c>
      <c r="E1988" t="str">
        <f>+IFERROR(VLOOKUP(Fact_Administrativa[[#This Row], [Concepto Anterior]],Conceptos_Administrativa[#All],5,0),"")</f>
        <v/>
      </c>
      <c r="F1988" t="str">
        <f>+IFERROR(VLOOKUP(Fact_Administrativa[[#This Row], 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ht="18.75" customHeight="1" x14ac:dyDescent="0.35">
      <c r="C1989" s="100" t="str">
        <f>IF(OR(Fact_Administrativa[[#This Row], [Año]]="",Fact_Administrativa[[#This Row], [Mes]]=""),"",DATE(A1989,MATCH(B1989,{"enero","febrero","marzo","abril","mayo","junio","julio","agosto","septiembre","octubre","noviembre","diciembre"},0)+1,0))</f>
        <v/>
      </c>
      <c r="E1989" t="str">
        <f>+IFERROR(VLOOKUP(Fact_Administrativa[[#This Row], [Concepto Anterior]],Conceptos_Administrativa[#All],5,0),"")</f>
        <v/>
      </c>
      <c r="F1989" t="str">
        <f>+IFERROR(VLOOKUP(Fact_Administrativa[[#This Row], 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ht="18.75" customHeight="1" x14ac:dyDescent="0.35">
      <c r="C1990" s="100" t="str">
        <f>IF(OR(Fact_Administrativa[[#This Row], [Año]]="",Fact_Administrativa[[#This Row], [Mes]]=""),"",DATE(A1990,MATCH(B1990,{"enero","febrero","marzo","abril","mayo","junio","julio","agosto","septiembre","octubre","noviembre","diciembre"},0)+1,0))</f>
        <v/>
      </c>
      <c r="E1990" t="str">
        <f>+IFERROR(VLOOKUP(Fact_Administrativa[[#This Row], [Concepto Anterior]],Conceptos_Administrativa[#All],5,0),"")</f>
        <v/>
      </c>
      <c r="F1990" t="str">
        <f>+IFERROR(VLOOKUP(Fact_Administrativa[[#This Row], 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ht="18.75" customHeight="1" x14ac:dyDescent="0.35">
      <c r="C1991" s="100" t="str">
        <f>IF(OR(Fact_Administrativa[[#This Row], [Año]]="",Fact_Administrativa[[#This Row], [Mes]]=""),"",DATE(A1991,MATCH(B1991,{"enero","febrero","marzo","abril","mayo","junio","julio","agosto","septiembre","octubre","noviembre","diciembre"},0)+1,0))</f>
        <v/>
      </c>
      <c r="E1991" t="str">
        <f>+IFERROR(VLOOKUP(Fact_Administrativa[[#This Row], [Concepto Anterior]],Conceptos_Administrativa[#All],5,0),"")</f>
        <v/>
      </c>
      <c r="F1991" t="str">
        <f>+IFERROR(VLOOKUP(Fact_Administrativa[[#This Row], 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ht="18.75" customHeight="1" x14ac:dyDescent="0.35">
      <c r="C1992" s="100" t="str">
        <f>IF(OR(Fact_Administrativa[[#This Row], [Año]]="",Fact_Administrativa[[#This Row], [Mes]]=""),"",DATE(A1992,MATCH(B1992,{"enero","febrero","marzo","abril","mayo","junio","julio","agosto","septiembre","octubre","noviembre","diciembre"},0)+1,0))</f>
        <v/>
      </c>
      <c r="E1992" t="str">
        <f>+IFERROR(VLOOKUP(Fact_Administrativa[[#This Row], [Concepto Anterior]],Conceptos_Administrativa[#All],5,0),"")</f>
        <v/>
      </c>
      <c r="F1992" t="str">
        <f>+IFERROR(VLOOKUP(Fact_Administrativa[[#This Row], 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ht="18.75" customHeight="1" x14ac:dyDescent="0.35">
      <c r="C1993" s="100" t="str">
        <f>IF(OR(Fact_Administrativa[[#This Row], [Año]]="",Fact_Administrativa[[#This Row], [Mes]]=""),"",DATE(A1993,MATCH(B1993,{"enero","febrero","marzo","abril","mayo","junio","julio","agosto","septiembre","octubre","noviembre","diciembre"},0)+1,0))</f>
        <v/>
      </c>
      <c r="E1993" t="str">
        <f>+IFERROR(VLOOKUP(Fact_Administrativa[[#This Row], [Concepto Anterior]],Conceptos_Administrativa[#All],5,0),"")</f>
        <v/>
      </c>
      <c r="F1993" t="str">
        <f>+IFERROR(VLOOKUP(Fact_Administrativa[[#This Row], 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ht="18.75" customHeight="1" x14ac:dyDescent="0.35">
      <c r="C1994" s="100" t="str">
        <f>IF(OR(Fact_Administrativa[[#This Row], [Año]]="",Fact_Administrativa[[#This Row], [Mes]]=""),"",DATE(A1994,MATCH(B1994,{"enero","febrero","marzo","abril","mayo","junio","julio","agosto","septiembre","octubre","noviembre","diciembre"},0)+1,0))</f>
        <v/>
      </c>
      <c r="E1994" t="str">
        <f>+IFERROR(VLOOKUP(Fact_Administrativa[[#This Row], [Concepto Anterior]],Conceptos_Administrativa[#All],5,0),"")</f>
        <v/>
      </c>
      <c r="F1994" t="str">
        <f>+IFERROR(VLOOKUP(Fact_Administrativa[[#This Row], 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ht="18.75" customHeight="1" x14ac:dyDescent="0.35">
      <c r="C1995" s="100" t="str">
        <f>IF(OR(Fact_Administrativa[[#This Row], [Año]]="",Fact_Administrativa[[#This Row], [Mes]]=""),"",DATE(A1995,MATCH(B1995,{"enero","febrero","marzo","abril","mayo","junio","julio","agosto","septiembre","octubre","noviembre","diciembre"},0)+1,0))</f>
        <v/>
      </c>
      <c r="E1995" t="str">
        <f>+IFERROR(VLOOKUP(Fact_Administrativa[[#This Row], [Concepto Anterior]],Conceptos_Administrativa[#All],5,0),"")</f>
        <v/>
      </c>
      <c r="F1995" t="str">
        <f>+IFERROR(VLOOKUP(Fact_Administrativa[[#This Row], 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ht="18.75" customHeight="1" x14ac:dyDescent="0.35">
      <c r="C1996" s="100" t="str">
        <f>IF(OR(Fact_Administrativa[[#This Row], [Año]]="",Fact_Administrativa[[#This Row], [Mes]]=""),"",DATE(A1996,MATCH(B1996,{"enero","febrero","marzo","abril","mayo","junio","julio","agosto","septiembre","octubre","noviembre","diciembre"},0)+1,0))</f>
        <v/>
      </c>
      <c r="E1996" t="str">
        <f>+IFERROR(VLOOKUP(Fact_Administrativa[[#This Row], [Concepto Anterior]],Conceptos_Administrativa[#All],5,0),"")</f>
        <v/>
      </c>
      <c r="F1996" t="str">
        <f>+IFERROR(VLOOKUP(Fact_Administrativa[[#This Row], 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ht="18.75" customHeight="1" x14ac:dyDescent="0.35">
      <c r="C1997" s="100" t="str">
        <f>IF(OR(Fact_Administrativa[[#This Row], [Año]]="",Fact_Administrativa[[#This Row], [Mes]]=""),"",DATE(A1997,MATCH(B1997,{"enero","febrero","marzo","abril","mayo","junio","julio","agosto","septiembre","octubre","noviembre","diciembre"},0)+1,0))</f>
        <v/>
      </c>
      <c r="E1997" t="str">
        <f>+IFERROR(VLOOKUP(Fact_Administrativa[[#This Row], [Concepto Anterior]],Conceptos_Administrativa[#All],5,0),"")</f>
        <v/>
      </c>
      <c r="F1997" t="str">
        <f>+IFERROR(VLOOKUP(Fact_Administrativa[[#This Row], 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ht="18.75" customHeight="1" x14ac:dyDescent="0.35">
      <c r="C1998" s="100" t="str">
        <f>IF(OR(Fact_Administrativa[[#This Row], [Año]]="",Fact_Administrativa[[#This Row], [Mes]]=""),"",DATE(A1998,MATCH(B1998,{"enero","febrero","marzo","abril","mayo","junio","julio","agosto","septiembre","octubre","noviembre","diciembre"},0)+1,0))</f>
        <v/>
      </c>
      <c r="E1998" t="str">
        <f>+IFERROR(VLOOKUP(Fact_Administrativa[[#This Row], [Concepto Anterior]],Conceptos_Administrativa[#All],5,0),"")</f>
        <v/>
      </c>
      <c r="F1998" t="str">
        <f>+IFERROR(VLOOKUP(Fact_Administrativa[[#This Row], 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ht="18.75" customHeight="1" x14ac:dyDescent="0.35">
      <c r="C1999" s="100" t="str">
        <f>IF(OR(Fact_Administrativa[[#This Row], [Año]]="",Fact_Administrativa[[#This Row], [Mes]]=""),"",DATE(A1999,MATCH(B1999,{"enero","febrero","marzo","abril","mayo","junio","julio","agosto","septiembre","octubre","noviembre","diciembre"},0)+1,0))</f>
        <v/>
      </c>
      <c r="E1999" t="str">
        <f>+IFERROR(VLOOKUP(Fact_Administrativa[[#This Row], [Concepto Anterior]],Conceptos_Administrativa[#All],5,0),"")</f>
        <v/>
      </c>
      <c r="F1999" t="str">
        <f>+IFERROR(VLOOKUP(Fact_Administrativa[[#This Row], 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ht="18.75" customHeight="1" x14ac:dyDescent="0.35">
      <c r="C2000" s="100" t="str">
        <f>IF(OR(Fact_Administrativa[[#This Row], [Año]]="",Fact_Administrativa[[#This Row], [Mes]]=""),"",DATE(A2000,MATCH(B2000,{"enero","febrero","marzo","abril","mayo","junio","julio","agosto","septiembre","octubre","noviembre","diciembre"},0)+1,0))</f>
        <v/>
      </c>
      <c r="E2000" t="str">
        <f>+IFERROR(VLOOKUP(Fact_Administrativa[[#This Row], [Concepto Anterior]],Conceptos_Administrativa[#All],5,0),"")</f>
        <v/>
      </c>
      <c r="F2000" t="str">
        <f>+IFERROR(VLOOKUP(Fact_Administrativa[[#This Row], 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ht="18.75" customHeight="1" x14ac:dyDescent="0.35">
      <c r="C2001" s="100" t="str">
        <f>IF(OR(Fact_Administrativa[[#This Row], [Año]]="",Fact_Administrativa[[#This Row], [Mes]]=""),"",DATE(A2001,MATCH(B2001,{"enero","febrero","marzo","abril","mayo","junio","julio","agosto","septiembre","octubre","noviembre","diciembre"},0)+1,0))</f>
        <v/>
      </c>
      <c r="E2001" t="str">
        <f>+IFERROR(VLOOKUP(Fact_Administrativa[[#This Row], [Concepto Anterior]],Conceptos_Administrativa[#All],5,0),"")</f>
        <v/>
      </c>
      <c r="F2001" t="str">
        <f>+IFERROR(VLOOKUP(Fact_Administrativa[[#This Row], 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ht="18.75" customHeight="1" x14ac:dyDescent="0.35">
      <c r="C2002" s="100" t="str">
        <f>IF(OR(Fact_Administrativa[[#This Row], [Año]]="",Fact_Administrativa[[#This Row], [Mes]]=""),"",DATE(A2002,MATCH(B2002,{"enero","febrero","marzo","abril","mayo","junio","julio","agosto","septiembre","octubre","noviembre","diciembre"},0)+1,0))</f>
        <v/>
      </c>
      <c r="E2002" t="str">
        <f>+IFERROR(VLOOKUP(Fact_Administrativa[[#This Row], [Concepto Anterior]],Conceptos_Administrativa[#All],5,0),"")</f>
        <v/>
      </c>
      <c r="F2002" t="str">
        <f>+IFERROR(VLOOKUP(Fact_Administrativa[[#This Row], 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ht="18.75" customHeight="1" x14ac:dyDescent="0.35">
      <c r="C2003" s="100" t="str">
        <f>IF(OR(Fact_Administrativa[[#This Row], [Año]]="",Fact_Administrativa[[#This Row], [Mes]]=""),"",DATE(A2003,MATCH(B2003,{"enero","febrero","marzo","abril","mayo","junio","julio","agosto","septiembre","octubre","noviembre","diciembre"},0)+1,0))</f>
        <v/>
      </c>
      <c r="E2003" t="str">
        <f>+IFERROR(VLOOKUP(Fact_Administrativa[[#This Row], [Concepto Anterior]],Conceptos_Administrativa[#All],5,0),"")</f>
        <v/>
      </c>
      <c r="F2003" t="str">
        <f>+IFERROR(VLOOKUP(Fact_Administrativa[[#This Row], 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ht="18.75" customHeight="1" x14ac:dyDescent="0.35">
      <c r="C2004" s="100" t="str">
        <f>IF(OR(Fact_Administrativa[[#This Row], [Año]]="",Fact_Administrativa[[#This Row], [Mes]]=""),"",DATE(A2004,MATCH(B2004,{"enero","febrero","marzo","abril","mayo","junio","julio","agosto","septiembre","octubre","noviembre","diciembre"},0)+1,0))</f>
        <v/>
      </c>
      <c r="E2004" t="str">
        <f>+IFERROR(VLOOKUP(Fact_Administrativa[[#This Row], [Concepto Anterior]],Conceptos_Administrativa[#All],5,0),"")</f>
        <v/>
      </c>
      <c r="F2004" t="str">
        <f>+IFERROR(VLOOKUP(Fact_Administrativa[[#This Row], 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ht="18.75" customHeight="1" x14ac:dyDescent="0.35">
      <c r="C2005" s="100" t="str">
        <f>IF(OR(Fact_Administrativa[[#This Row], [Año]]="",Fact_Administrativa[[#This Row], [Mes]]=""),"",DATE(A2005,MATCH(B2005,{"enero","febrero","marzo","abril","mayo","junio","julio","agosto","septiembre","octubre","noviembre","diciembre"},0)+1,0))</f>
        <v/>
      </c>
      <c r="E2005" t="str">
        <f>+IFERROR(VLOOKUP(Fact_Administrativa[[#This Row], [Concepto Anterior]],Conceptos_Administrativa[#All],5,0),"")</f>
        <v/>
      </c>
      <c r="F2005" t="str">
        <f>+IFERROR(VLOOKUP(Fact_Administrativa[[#This Row], 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ht="18.75" customHeight="1" x14ac:dyDescent="0.35">
      <c r="C2006" s="100" t="str">
        <f>IF(OR(Fact_Administrativa[[#This Row], [Año]]="",Fact_Administrativa[[#This Row], [Mes]]=""),"",DATE(A2006,MATCH(B2006,{"enero","febrero","marzo","abril","mayo","junio","julio","agosto","septiembre","octubre","noviembre","diciembre"},0)+1,0))</f>
        <v/>
      </c>
      <c r="E2006" t="str">
        <f>+IFERROR(VLOOKUP(Fact_Administrativa[[#This Row], [Concepto Anterior]],Conceptos_Administrativa[#All],5,0),"")</f>
        <v/>
      </c>
      <c r="F2006" t="str">
        <f>+IFERROR(VLOOKUP(Fact_Administrativa[[#This Row], 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ht="18.75" customHeight="1" x14ac:dyDescent="0.35">
      <c r="C2007" s="100" t="str">
        <f>IF(OR(Fact_Administrativa[[#This Row], [Año]]="",Fact_Administrativa[[#This Row], [Mes]]=""),"",DATE(A2007,MATCH(B2007,{"enero","febrero","marzo","abril","mayo","junio","julio","agosto","septiembre","octubre","noviembre","diciembre"},0)+1,0))</f>
        <v/>
      </c>
      <c r="E2007" t="str">
        <f>+IFERROR(VLOOKUP(Fact_Administrativa[[#This Row], [Concepto Anterior]],Conceptos_Administrativa[#All],5,0),"")</f>
        <v/>
      </c>
      <c r="F2007" t="str">
        <f>+IFERROR(VLOOKUP(Fact_Administrativa[[#This Row], 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ht="18.75" customHeight="1" x14ac:dyDescent="0.35">
      <c r="C2008" s="100" t="str">
        <f>IF(OR(Fact_Administrativa[[#This Row], [Año]]="",Fact_Administrativa[[#This Row], [Mes]]=""),"",DATE(A2008,MATCH(B2008,{"enero","febrero","marzo","abril","mayo","junio","julio","agosto","septiembre","octubre","noviembre","diciembre"},0)+1,0))</f>
        <v/>
      </c>
      <c r="E2008" t="str">
        <f>+IFERROR(VLOOKUP(Fact_Administrativa[[#This Row], [Concepto Anterior]],Conceptos_Administrativa[#All],5,0),"")</f>
        <v/>
      </c>
      <c r="F2008" t="str">
        <f>+IFERROR(VLOOKUP(Fact_Administrativa[[#This Row], 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ht="18.75" customHeight="1" x14ac:dyDescent="0.35">
      <c r="C2009" s="100" t="str">
        <f>IF(OR(Fact_Administrativa[[#This Row], [Año]]="",Fact_Administrativa[[#This Row], [Mes]]=""),"",DATE(A2009,MATCH(B2009,{"enero","febrero","marzo","abril","mayo","junio","julio","agosto","septiembre","octubre","noviembre","diciembre"},0)+1,0))</f>
        <v/>
      </c>
      <c r="E2009" t="str">
        <f>+IFERROR(VLOOKUP(Fact_Administrativa[[#This Row], [Concepto Anterior]],Conceptos_Administrativa[#All],5,0),"")</f>
        <v/>
      </c>
      <c r="F2009" t="str">
        <f>+IFERROR(VLOOKUP(Fact_Administrativa[[#This Row], 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ht="18.75" customHeight="1" x14ac:dyDescent="0.35">
      <c r="C2010" s="100" t="str">
        <f>IF(OR(Fact_Administrativa[[#This Row], [Año]]="",Fact_Administrativa[[#This Row], [Mes]]=""),"",DATE(A2010,MATCH(B2010,{"enero","febrero","marzo","abril","mayo","junio","julio","agosto","septiembre","octubre","noviembre","diciembre"},0)+1,0))</f>
        <v/>
      </c>
      <c r="E2010" t="str">
        <f>+IFERROR(VLOOKUP(Fact_Administrativa[[#This Row], [Concepto Anterior]],Conceptos_Administrativa[#All],5,0),"")</f>
        <v/>
      </c>
      <c r="F2010" t="str">
        <f>+IFERROR(VLOOKUP(Fact_Administrativa[[#This Row], 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ht="18.75" customHeight="1" x14ac:dyDescent="0.35">
      <c r="C2011" s="100" t="str">
        <f>IF(OR(Fact_Administrativa[[#This Row], [Año]]="",Fact_Administrativa[[#This Row], [Mes]]=""),"",DATE(A2011,MATCH(B2011,{"enero","febrero","marzo","abril","mayo","junio","julio","agosto","septiembre","octubre","noviembre","diciembre"},0)+1,0))</f>
        <v/>
      </c>
      <c r="E2011" t="str">
        <f>+IFERROR(VLOOKUP(Fact_Administrativa[[#This Row], [Concepto Anterior]],Conceptos_Administrativa[#All],5,0),"")</f>
        <v/>
      </c>
      <c r="F2011" t="str">
        <f>+IFERROR(VLOOKUP(Fact_Administrativa[[#This Row], 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ht="18.75" customHeight="1" x14ac:dyDescent="0.35">
      <c r="C2012" s="100" t="str">
        <f>IF(OR(Fact_Administrativa[[#This Row], [Año]]="",Fact_Administrativa[[#This Row], [Mes]]=""),"",DATE(A2012,MATCH(B2012,{"enero","febrero","marzo","abril","mayo","junio","julio","agosto","septiembre","octubre","noviembre","diciembre"},0)+1,0))</f>
        <v/>
      </c>
      <c r="E2012" t="str">
        <f>+IFERROR(VLOOKUP(Fact_Administrativa[[#This Row], [Concepto Anterior]],Conceptos_Administrativa[#All],5,0),"")</f>
        <v/>
      </c>
      <c r="F2012" t="str">
        <f>+IFERROR(VLOOKUP(Fact_Administrativa[[#This Row], 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ht="18.75" customHeight="1" x14ac:dyDescent="0.35">
      <c r="C2013" s="100" t="str">
        <f>IF(OR(Fact_Administrativa[[#This Row], [Año]]="",Fact_Administrativa[[#This Row], [Mes]]=""),"",DATE(A2013,MATCH(B2013,{"enero","febrero","marzo","abril","mayo","junio","julio","agosto","septiembre","octubre","noviembre","diciembre"},0)+1,0))</f>
        <v/>
      </c>
      <c r="E2013" t="str">
        <f>+IFERROR(VLOOKUP(Fact_Administrativa[[#This Row], [Concepto Anterior]],Conceptos_Administrativa[#All],5,0),"")</f>
        <v/>
      </c>
      <c r="F2013" t="str">
        <f>+IFERROR(VLOOKUP(Fact_Administrativa[[#This Row], 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ht="18.75" customHeight="1" x14ac:dyDescent="0.35">
      <c r="C2014" s="100" t="str">
        <f>IF(OR(Fact_Administrativa[[#This Row], [Año]]="",Fact_Administrativa[[#This Row], [Mes]]=""),"",DATE(A2014,MATCH(B2014,{"enero","febrero","marzo","abril","mayo","junio","julio","agosto","septiembre","octubre","noviembre","diciembre"},0)+1,0))</f>
        <v/>
      </c>
      <c r="E2014" t="str">
        <f>+IFERROR(VLOOKUP(Fact_Administrativa[[#This Row], [Concepto Anterior]],Conceptos_Administrativa[#All],5,0),"")</f>
        <v/>
      </c>
      <c r="F2014" t="str">
        <f>+IFERROR(VLOOKUP(Fact_Administrativa[[#This Row], 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ht="18.75" customHeight="1" x14ac:dyDescent="0.35">
      <c r="C2015" s="100" t="str">
        <f>IF(OR(Fact_Administrativa[[#This Row], [Año]]="",Fact_Administrativa[[#This Row], [Mes]]=""),"",DATE(A2015,MATCH(B2015,{"enero","febrero","marzo","abril","mayo","junio","julio","agosto","septiembre","octubre","noviembre","diciembre"},0)+1,0))</f>
        <v/>
      </c>
      <c r="E2015" t="str">
        <f>+IFERROR(VLOOKUP(Fact_Administrativa[[#This Row], [Concepto Anterior]],Conceptos_Administrativa[#All],5,0),"")</f>
        <v/>
      </c>
      <c r="F2015" t="str">
        <f>+IFERROR(VLOOKUP(Fact_Administrativa[[#This Row], 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ht="18.75" customHeight="1" x14ac:dyDescent="0.35">
      <c r="C2016" s="100" t="str">
        <f>IF(OR(Fact_Administrativa[[#This Row], [Año]]="",Fact_Administrativa[[#This Row], [Mes]]=""),"",DATE(A2016,MATCH(B2016,{"enero","febrero","marzo","abril","mayo","junio","julio","agosto","septiembre","octubre","noviembre","diciembre"},0)+1,0))</f>
        <v/>
      </c>
      <c r="E2016" t="str">
        <f>+IFERROR(VLOOKUP(Fact_Administrativa[[#This Row], [Concepto Anterior]],Conceptos_Administrativa[#All],5,0),"")</f>
        <v/>
      </c>
      <c r="F2016" t="str">
        <f>+IFERROR(VLOOKUP(Fact_Administrativa[[#This Row], 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ht="18.75" customHeight="1" x14ac:dyDescent="0.35">
      <c r="C2017" s="100" t="str">
        <f>IF(OR(Fact_Administrativa[[#This Row], [Año]]="",Fact_Administrativa[[#This Row], [Mes]]=""),"",DATE(A2017,MATCH(B2017,{"enero","febrero","marzo","abril","mayo","junio","julio","agosto","septiembre","octubre","noviembre","diciembre"},0)+1,0))</f>
        <v/>
      </c>
      <c r="E2017" t="str">
        <f>+IFERROR(VLOOKUP(Fact_Administrativa[[#This Row], [Concepto Anterior]],Conceptos_Administrativa[#All],5,0),"")</f>
        <v/>
      </c>
      <c r="F2017" t="str">
        <f>+IFERROR(VLOOKUP(Fact_Administrativa[[#This Row], 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ht="18.75" customHeight="1" x14ac:dyDescent="0.35">
      <c r="C2018" s="100" t="str">
        <f>IF(OR(Fact_Administrativa[[#This Row], [Año]]="",Fact_Administrativa[[#This Row], [Mes]]=""),"",DATE(A2018,MATCH(B2018,{"enero","febrero","marzo","abril","mayo","junio","julio","agosto","septiembre","octubre","noviembre","diciembre"},0)+1,0))</f>
        <v/>
      </c>
      <c r="E2018" t="str">
        <f>+IFERROR(VLOOKUP(Fact_Administrativa[[#This Row], [Concepto Anterior]],Conceptos_Administrativa[#All],5,0),"")</f>
        <v/>
      </c>
      <c r="F2018" t="str">
        <f>+IFERROR(VLOOKUP(Fact_Administrativa[[#This Row], 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ht="18.75" customHeight="1" x14ac:dyDescent="0.35">
      <c r="C2019" s="100" t="str">
        <f>IF(OR(Fact_Administrativa[[#This Row], [Año]]="",Fact_Administrativa[[#This Row], [Mes]]=""),"",DATE(A2019,MATCH(B2019,{"enero","febrero","marzo","abril","mayo","junio","julio","agosto","septiembre","octubre","noviembre","diciembre"},0)+1,0))</f>
        <v/>
      </c>
      <c r="E2019" t="str">
        <f>+IFERROR(VLOOKUP(Fact_Administrativa[[#This Row], [Concepto Anterior]],Conceptos_Administrativa[#All],5,0),"")</f>
        <v/>
      </c>
      <c r="F2019" t="str">
        <f>+IFERROR(VLOOKUP(Fact_Administrativa[[#This Row], 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ht="18.75" customHeight="1" x14ac:dyDescent="0.35">
      <c r="C2020" s="100" t="str">
        <f>IF(OR(Fact_Administrativa[[#This Row], [Año]]="",Fact_Administrativa[[#This Row], [Mes]]=""),"",DATE(A2020,MATCH(B2020,{"enero","febrero","marzo","abril","mayo","junio","julio","agosto","septiembre","octubre","noviembre","diciembre"},0)+1,0))</f>
        <v/>
      </c>
      <c r="E2020" t="str">
        <f>+IFERROR(VLOOKUP(Fact_Administrativa[[#This Row], [Concepto Anterior]],Conceptos_Administrativa[#All],5,0),"")</f>
        <v/>
      </c>
      <c r="F2020" t="str">
        <f>+IFERROR(VLOOKUP(Fact_Administrativa[[#This Row], 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ht="18.75" customHeight="1" x14ac:dyDescent="0.35">
      <c r="C2021" s="100" t="str">
        <f>IF(OR(Fact_Administrativa[[#This Row], [Año]]="",Fact_Administrativa[[#This Row], [Mes]]=""),"",DATE(A2021,MATCH(B2021,{"enero","febrero","marzo","abril","mayo","junio","julio","agosto","septiembre","octubre","noviembre","diciembre"},0)+1,0))</f>
        <v/>
      </c>
      <c r="E2021" t="str">
        <f>+IFERROR(VLOOKUP(Fact_Administrativa[[#This Row], [Concepto Anterior]],Conceptos_Administrativa[#All],5,0),"")</f>
        <v/>
      </c>
      <c r="F2021" t="str">
        <f>+IFERROR(VLOOKUP(Fact_Administrativa[[#This Row], 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ht="18.75" customHeight="1" x14ac:dyDescent="0.35">
      <c r="C2022" s="100" t="str">
        <f>IF(OR(Fact_Administrativa[[#This Row], [Año]]="",Fact_Administrativa[[#This Row], [Mes]]=""),"",DATE(A2022,MATCH(B2022,{"enero","febrero","marzo","abril","mayo","junio","julio","agosto","septiembre","octubre","noviembre","diciembre"},0)+1,0))</f>
        <v/>
      </c>
      <c r="E2022" t="str">
        <f>+IFERROR(VLOOKUP(Fact_Administrativa[[#This Row], [Concepto Anterior]],Conceptos_Administrativa[#All],5,0),"")</f>
        <v/>
      </c>
      <c r="F2022" t="str">
        <f>+IFERROR(VLOOKUP(Fact_Administrativa[[#This Row], 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ht="18.75" customHeight="1" x14ac:dyDescent="0.35">
      <c r="C2023" s="100" t="str">
        <f>IF(OR(Fact_Administrativa[[#This Row], [Año]]="",Fact_Administrativa[[#This Row], [Mes]]=""),"",DATE(A2023,MATCH(B2023,{"enero","febrero","marzo","abril","mayo","junio","julio","agosto","septiembre","octubre","noviembre","diciembre"},0)+1,0))</f>
        <v/>
      </c>
      <c r="E2023" t="str">
        <f>+IFERROR(VLOOKUP(Fact_Administrativa[[#This Row], [Concepto Anterior]],Conceptos_Administrativa[#All],5,0),"")</f>
        <v/>
      </c>
      <c r="F2023" t="str">
        <f>+IFERROR(VLOOKUP(Fact_Administrativa[[#This Row], 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ht="18.75" customHeight="1" x14ac:dyDescent="0.35">
      <c r="C2024" s="100" t="str">
        <f>IF(OR(Fact_Administrativa[[#This Row], [Año]]="",Fact_Administrativa[[#This Row], [Mes]]=""),"",DATE(A2024,MATCH(B2024,{"enero","febrero","marzo","abril","mayo","junio","julio","agosto","septiembre","octubre","noviembre","diciembre"},0)+1,0))</f>
        <v/>
      </c>
      <c r="E2024" t="str">
        <f>+IFERROR(VLOOKUP(Fact_Administrativa[[#This Row], [Concepto Anterior]],Conceptos_Administrativa[#All],5,0),"")</f>
        <v/>
      </c>
      <c r="F2024" t="str">
        <f>+IFERROR(VLOOKUP(Fact_Administrativa[[#This Row], 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ht="18.75" customHeight="1" x14ac:dyDescent="0.35">
      <c r="C2025" s="100" t="str">
        <f>IF(OR(Fact_Administrativa[[#This Row], [Año]]="",Fact_Administrativa[[#This Row], [Mes]]=""),"",DATE(A2025,MATCH(B2025,{"enero","febrero","marzo","abril","mayo","junio","julio","agosto","septiembre","octubre","noviembre","diciembre"},0)+1,0))</f>
        <v/>
      </c>
      <c r="E2025" t="str">
        <f>+IFERROR(VLOOKUP(Fact_Administrativa[[#This Row], [Concepto Anterior]],Conceptos_Administrativa[#All],5,0),"")</f>
        <v/>
      </c>
      <c r="F2025" t="str">
        <f>+IFERROR(VLOOKUP(Fact_Administrativa[[#This Row], 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ht="18.75" customHeight="1" x14ac:dyDescent="0.35">
      <c r="C2026" s="100" t="str">
        <f>IF(OR(Fact_Administrativa[[#This Row], [Año]]="",Fact_Administrativa[[#This Row], [Mes]]=""),"",DATE(A2026,MATCH(B2026,{"enero","febrero","marzo","abril","mayo","junio","julio","agosto","septiembre","octubre","noviembre","diciembre"},0)+1,0))</f>
        <v/>
      </c>
      <c r="E2026" t="str">
        <f>+IFERROR(VLOOKUP(Fact_Administrativa[[#This Row], [Concepto Anterior]],Conceptos_Administrativa[#All],5,0),"")</f>
        <v/>
      </c>
      <c r="F2026" t="str">
        <f>+IFERROR(VLOOKUP(Fact_Administrativa[[#This Row], 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ht="18.75" customHeight="1" x14ac:dyDescent="0.35">
      <c r="C2027" s="100" t="str">
        <f>IF(OR(Fact_Administrativa[[#This Row], [Año]]="",Fact_Administrativa[[#This Row], [Mes]]=""),"",DATE(A2027,MATCH(B2027,{"enero","febrero","marzo","abril","mayo","junio","julio","agosto","septiembre","octubre","noviembre","diciembre"},0)+1,0))</f>
        <v/>
      </c>
      <c r="E2027" t="str">
        <f>+IFERROR(VLOOKUP(Fact_Administrativa[[#This Row], [Concepto Anterior]],Conceptos_Administrativa[#All],5,0),"")</f>
        <v/>
      </c>
      <c r="F2027" t="str">
        <f>+IFERROR(VLOOKUP(Fact_Administrativa[[#This Row], 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ht="18.75" customHeight="1" x14ac:dyDescent="0.35">
      <c r="C2028" s="100" t="str">
        <f>IF(OR(Fact_Administrativa[[#This Row], [Año]]="",Fact_Administrativa[[#This Row], [Mes]]=""),"",DATE(A2028,MATCH(B2028,{"enero","febrero","marzo","abril","mayo","junio","julio","agosto","septiembre","octubre","noviembre","diciembre"},0)+1,0))</f>
        <v/>
      </c>
      <c r="E2028" t="str">
        <f>+IFERROR(VLOOKUP(Fact_Administrativa[[#This Row], [Concepto Anterior]],Conceptos_Administrativa[#All],5,0),"")</f>
        <v/>
      </c>
      <c r="F2028" t="str">
        <f>+IFERROR(VLOOKUP(Fact_Administrativa[[#This Row], 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ht="18.75" customHeight="1" x14ac:dyDescent="0.35">
      <c r="C2029" s="100" t="str">
        <f>IF(OR(Fact_Administrativa[[#This Row], [Año]]="",Fact_Administrativa[[#This Row], [Mes]]=""),"",DATE(A2029,MATCH(B2029,{"enero","febrero","marzo","abril","mayo","junio","julio","agosto","septiembre","octubre","noviembre","diciembre"},0)+1,0))</f>
        <v/>
      </c>
      <c r="E2029" t="str">
        <f>+IFERROR(VLOOKUP(Fact_Administrativa[[#This Row], [Concepto Anterior]],Conceptos_Administrativa[#All],5,0),"")</f>
        <v/>
      </c>
      <c r="F2029" t="str">
        <f>+IFERROR(VLOOKUP(Fact_Administrativa[[#This Row], 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ht="18.75" customHeight="1" x14ac:dyDescent="0.35">
      <c r="C2030" s="100" t="str">
        <f>IF(OR(Fact_Administrativa[[#This Row], [Año]]="",Fact_Administrativa[[#This Row], [Mes]]=""),"",DATE(A2030,MATCH(B2030,{"enero","febrero","marzo","abril","mayo","junio","julio","agosto","septiembre","octubre","noviembre","diciembre"},0)+1,0))</f>
        <v/>
      </c>
      <c r="E2030" t="str">
        <f>+IFERROR(VLOOKUP(Fact_Administrativa[[#This Row], [Concepto Anterior]],Conceptos_Administrativa[#All],5,0),"")</f>
        <v/>
      </c>
      <c r="F2030" t="str">
        <f>+IFERROR(VLOOKUP(Fact_Administrativa[[#This Row], 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ht="18.75" customHeight="1" x14ac:dyDescent="0.35">
      <c r="C2031" s="100" t="str">
        <f>IF(OR(Fact_Administrativa[[#This Row], [Año]]="",Fact_Administrativa[[#This Row], [Mes]]=""),"",DATE(A2031,MATCH(B2031,{"enero","febrero","marzo","abril","mayo","junio","julio","agosto","septiembre","octubre","noviembre","diciembre"},0)+1,0))</f>
        <v/>
      </c>
      <c r="E2031" t="str">
        <f>+IFERROR(VLOOKUP(Fact_Administrativa[[#This Row], [Concepto Anterior]],Conceptos_Administrativa[#All],5,0),"")</f>
        <v/>
      </c>
      <c r="F2031" t="str">
        <f>+IFERROR(VLOOKUP(Fact_Administrativa[[#This Row], 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ht="18.75" customHeight="1" x14ac:dyDescent="0.35">
      <c r="C2032" s="100" t="str">
        <f>IF(OR(Fact_Administrativa[[#This Row], [Año]]="",Fact_Administrativa[[#This Row], [Mes]]=""),"",DATE(A2032,MATCH(B2032,{"enero","febrero","marzo","abril","mayo","junio","julio","agosto","septiembre","octubre","noviembre","diciembre"},0)+1,0))</f>
        <v/>
      </c>
      <c r="E2032" t="str">
        <f>+IFERROR(VLOOKUP(Fact_Administrativa[[#This Row], [Concepto Anterior]],Conceptos_Administrativa[#All],5,0),"")</f>
        <v/>
      </c>
      <c r="F2032" t="str">
        <f>+IFERROR(VLOOKUP(Fact_Administrativa[[#This Row], 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ht="18.75" customHeight="1" x14ac:dyDescent="0.35">
      <c r="C2033" s="100" t="str">
        <f>IF(OR(Fact_Administrativa[[#This Row], [Año]]="",Fact_Administrativa[[#This Row], [Mes]]=""),"",DATE(A2033,MATCH(B2033,{"enero","febrero","marzo","abril","mayo","junio","julio","agosto","septiembre","octubre","noviembre","diciembre"},0)+1,0))</f>
        <v/>
      </c>
      <c r="E2033" t="str">
        <f>+IFERROR(VLOOKUP(Fact_Administrativa[[#This Row], [Concepto Anterior]],Conceptos_Administrativa[#All],5,0),"")</f>
        <v/>
      </c>
      <c r="F2033" t="str">
        <f>+IFERROR(VLOOKUP(Fact_Administrativa[[#This Row], 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ht="18.75" customHeight="1" x14ac:dyDescent="0.35">
      <c r="C2034" s="100" t="str">
        <f>IF(OR(Fact_Administrativa[[#This Row], [Año]]="",Fact_Administrativa[[#This Row], [Mes]]=""),"",DATE(A2034,MATCH(B2034,{"enero","febrero","marzo","abril","mayo","junio","julio","agosto","septiembre","octubre","noviembre","diciembre"},0)+1,0))</f>
        <v/>
      </c>
      <c r="E2034" t="str">
        <f>+IFERROR(VLOOKUP(Fact_Administrativa[[#This Row], [Concepto Anterior]],Conceptos_Administrativa[#All],5,0),"")</f>
        <v/>
      </c>
      <c r="F2034" t="str">
        <f>+IFERROR(VLOOKUP(Fact_Administrativa[[#This Row], 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ht="18.75" customHeight="1" x14ac:dyDescent="0.35">
      <c r="C2035" s="100" t="str">
        <f>IF(OR(Fact_Administrativa[[#This Row], [Año]]="",Fact_Administrativa[[#This Row], [Mes]]=""),"",DATE(A2035,MATCH(B2035,{"enero","febrero","marzo","abril","mayo","junio","julio","agosto","septiembre","octubre","noviembre","diciembre"},0)+1,0))</f>
        <v/>
      </c>
      <c r="E2035" t="str">
        <f>+IFERROR(VLOOKUP(Fact_Administrativa[[#This Row], [Concepto Anterior]],Conceptos_Administrativa[#All],5,0),"")</f>
        <v/>
      </c>
      <c r="F2035" t="str">
        <f>+IFERROR(VLOOKUP(Fact_Administrativa[[#This Row], 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ht="18.75" customHeight="1" x14ac:dyDescent="0.35">
      <c r="C2036" s="100" t="str">
        <f>IF(OR(Fact_Administrativa[[#This Row], [Año]]="",Fact_Administrativa[[#This Row], [Mes]]=""),"",DATE(A2036,MATCH(B2036,{"enero","febrero","marzo","abril","mayo","junio","julio","agosto","septiembre","octubre","noviembre","diciembre"},0)+1,0))</f>
        <v/>
      </c>
      <c r="E2036" t="str">
        <f>+IFERROR(VLOOKUP(Fact_Administrativa[[#This Row], [Concepto Anterior]],Conceptos_Administrativa[#All],5,0),"")</f>
        <v/>
      </c>
      <c r="F2036" t="str">
        <f>+IFERROR(VLOOKUP(Fact_Administrativa[[#This Row], 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ht="18.75" customHeight="1" x14ac:dyDescent="0.35">
      <c r="C2037" s="100" t="str">
        <f>IF(OR(Fact_Administrativa[[#This Row], [Año]]="",Fact_Administrativa[[#This Row], [Mes]]=""),"",DATE(A2037,MATCH(B2037,{"enero","febrero","marzo","abril","mayo","junio","julio","agosto","septiembre","octubre","noviembre","diciembre"},0)+1,0))</f>
        <v/>
      </c>
      <c r="E2037" t="str">
        <f>+IFERROR(VLOOKUP(Fact_Administrativa[[#This Row], [Concepto Anterior]],Conceptos_Administrativa[#All],5,0),"")</f>
        <v/>
      </c>
      <c r="F2037" t="str">
        <f>+IFERROR(VLOOKUP(Fact_Administrativa[[#This Row], 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ht="18.75" customHeight="1" x14ac:dyDescent="0.35">
      <c r="C2038" s="100" t="str">
        <f>IF(OR(Fact_Administrativa[[#This Row], [Año]]="",Fact_Administrativa[[#This Row], [Mes]]=""),"",DATE(A2038,MATCH(B2038,{"enero","febrero","marzo","abril","mayo","junio","julio","agosto","septiembre","octubre","noviembre","diciembre"},0)+1,0))</f>
        <v/>
      </c>
      <c r="E2038" t="str">
        <f>+IFERROR(VLOOKUP(Fact_Administrativa[[#This Row], [Concepto Anterior]],Conceptos_Administrativa[#All],5,0),"")</f>
        <v/>
      </c>
      <c r="F2038" t="str">
        <f>+IFERROR(VLOOKUP(Fact_Administrativa[[#This Row], 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ht="18.75" customHeight="1" x14ac:dyDescent="0.35">
      <c r="C2039" s="100" t="str">
        <f>IF(OR(Fact_Administrativa[[#This Row], [Año]]="",Fact_Administrativa[[#This Row], [Mes]]=""),"",DATE(A2039,MATCH(B2039,{"enero","febrero","marzo","abril","mayo","junio","julio","agosto","septiembre","octubre","noviembre","diciembre"},0)+1,0))</f>
        <v/>
      </c>
      <c r="E2039" t="str">
        <f>+IFERROR(VLOOKUP(Fact_Administrativa[[#This Row], [Concepto Anterior]],Conceptos_Administrativa[#All],5,0),"")</f>
        <v/>
      </c>
      <c r="F2039" t="str">
        <f>+IFERROR(VLOOKUP(Fact_Administrativa[[#This Row], 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ht="18.75" customHeight="1" x14ac:dyDescent="0.35">
      <c r="C2040" s="100" t="str">
        <f>IF(OR(Fact_Administrativa[[#This Row], [Año]]="",Fact_Administrativa[[#This Row], [Mes]]=""),"",DATE(A2040,MATCH(B2040,{"enero","febrero","marzo","abril","mayo","junio","julio","agosto","septiembre","octubre","noviembre","diciembre"},0)+1,0))</f>
        <v/>
      </c>
      <c r="E2040" t="str">
        <f>+IFERROR(VLOOKUP(Fact_Administrativa[[#This Row], [Concepto Anterior]],Conceptos_Administrativa[#All],5,0),"")</f>
        <v/>
      </c>
      <c r="F2040" t="str">
        <f>+IFERROR(VLOOKUP(Fact_Administrativa[[#This Row], 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ht="18.75" customHeight="1" x14ac:dyDescent="0.35">
      <c r="C2041" s="100" t="str">
        <f>IF(OR(Fact_Administrativa[[#This Row], [Año]]="",Fact_Administrativa[[#This Row], [Mes]]=""),"",DATE(A2041,MATCH(B2041,{"enero","febrero","marzo","abril","mayo","junio","julio","agosto","septiembre","octubre","noviembre","diciembre"},0)+1,0))</f>
        <v/>
      </c>
      <c r="E2041" t="str">
        <f>+IFERROR(VLOOKUP(Fact_Administrativa[[#This Row], [Concepto Anterior]],Conceptos_Administrativa[#All],5,0),"")</f>
        <v/>
      </c>
      <c r="F2041" t="str">
        <f>+IFERROR(VLOOKUP(Fact_Administrativa[[#This Row], 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ht="18.75" customHeight="1" x14ac:dyDescent="0.35">
      <c r="C2042" s="100" t="str">
        <f>IF(OR(Fact_Administrativa[[#This Row], [Año]]="",Fact_Administrativa[[#This Row], [Mes]]=""),"",DATE(A2042,MATCH(B2042,{"enero","febrero","marzo","abril","mayo","junio","julio","agosto","septiembre","octubre","noviembre","diciembre"},0)+1,0))</f>
        <v/>
      </c>
      <c r="E2042" t="str">
        <f>+IFERROR(VLOOKUP(Fact_Administrativa[[#This Row], [Concepto Anterior]],Conceptos_Administrativa[#All],5,0),"")</f>
        <v/>
      </c>
      <c r="F2042" t="str">
        <f>+IFERROR(VLOOKUP(Fact_Administrativa[[#This Row], 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ht="18.75" customHeight="1" x14ac:dyDescent="0.35">
      <c r="C2043" s="100" t="str">
        <f>IF(OR(Fact_Administrativa[[#This Row], [Año]]="",Fact_Administrativa[[#This Row], [Mes]]=""),"",DATE(A2043,MATCH(B2043,{"enero","febrero","marzo","abril","mayo","junio","julio","agosto","septiembre","octubre","noviembre","diciembre"},0)+1,0))</f>
        <v/>
      </c>
      <c r="E2043" t="str">
        <f>+IFERROR(VLOOKUP(Fact_Administrativa[[#This Row], [Concepto Anterior]],Conceptos_Administrativa[#All],5,0),"")</f>
        <v/>
      </c>
      <c r="F2043" t="str">
        <f>+IFERROR(VLOOKUP(Fact_Administrativa[[#This Row], 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ht="18.75" customHeight="1" x14ac:dyDescent="0.35">
      <c r="C2044" s="100" t="str">
        <f>IF(OR(Fact_Administrativa[[#This Row], [Año]]="",Fact_Administrativa[[#This Row], [Mes]]=""),"",DATE(A2044,MATCH(B2044,{"enero","febrero","marzo","abril","mayo","junio","julio","agosto","septiembre","octubre","noviembre","diciembre"},0)+1,0))</f>
        <v/>
      </c>
      <c r="E2044" t="str">
        <f>+IFERROR(VLOOKUP(Fact_Administrativa[[#This Row], [Concepto Anterior]],Conceptos_Administrativa[#All],5,0),"")</f>
        <v/>
      </c>
      <c r="F2044" t="str">
        <f>+IFERROR(VLOOKUP(Fact_Administrativa[[#This Row], 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ht="18.75" customHeight="1" x14ac:dyDescent="0.35">
      <c r="C2045" s="100" t="str">
        <f>IF(OR(Fact_Administrativa[[#This Row], [Año]]="",Fact_Administrativa[[#This Row], [Mes]]=""),"",DATE(A2045,MATCH(B2045,{"enero","febrero","marzo","abril","mayo","junio","julio","agosto","septiembre","octubre","noviembre","diciembre"},0)+1,0))</f>
        <v/>
      </c>
      <c r="E2045" t="str">
        <f>+IFERROR(VLOOKUP(Fact_Administrativa[[#This Row], [Concepto Anterior]],Conceptos_Administrativa[#All],5,0),"")</f>
        <v/>
      </c>
      <c r="F2045" t="str">
        <f>+IFERROR(VLOOKUP(Fact_Administrativa[[#This Row], 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ht="18.75" customHeight="1" x14ac:dyDescent="0.35">
      <c r="C2046" s="100" t="str">
        <f>IF(OR(Fact_Administrativa[[#This Row], [Año]]="",Fact_Administrativa[[#This Row], [Mes]]=""),"",DATE(A2046,MATCH(B2046,{"enero","febrero","marzo","abril","mayo","junio","julio","agosto","septiembre","octubre","noviembre","diciembre"},0)+1,0))</f>
        <v/>
      </c>
      <c r="E2046" t="str">
        <f>+IFERROR(VLOOKUP(Fact_Administrativa[[#This Row], [Concepto Anterior]],Conceptos_Administrativa[#All],5,0),"")</f>
        <v/>
      </c>
      <c r="F2046" t="str">
        <f>+IFERROR(VLOOKUP(Fact_Administrativa[[#This Row], 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ht="18.75" customHeight="1" x14ac:dyDescent="0.35">
      <c r="C2047" s="100" t="str">
        <f>IF(OR(Fact_Administrativa[[#This Row], [Año]]="",Fact_Administrativa[[#This Row], [Mes]]=""),"",DATE(A2047,MATCH(B2047,{"enero","febrero","marzo","abril","mayo","junio","julio","agosto","septiembre","octubre","noviembre","diciembre"},0)+1,0))</f>
        <v/>
      </c>
      <c r="E2047" t="str">
        <f>+IFERROR(VLOOKUP(Fact_Administrativa[[#This Row], [Concepto Anterior]],Conceptos_Administrativa[#All],5,0),"")</f>
        <v/>
      </c>
      <c r="F2047" t="str">
        <f>+IFERROR(VLOOKUP(Fact_Administrativa[[#This Row], 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ht="18.75" customHeight="1" x14ac:dyDescent="0.35">
      <c r="C2048" s="100" t="str">
        <f>IF(OR(Fact_Administrativa[[#This Row], [Año]]="",Fact_Administrativa[[#This Row], [Mes]]=""),"",DATE(A2048,MATCH(B2048,{"enero","febrero","marzo","abril","mayo","junio","julio","agosto","septiembre","octubre","noviembre","diciembre"},0)+1,0))</f>
        <v/>
      </c>
      <c r="E2048" t="str">
        <f>+IFERROR(VLOOKUP(Fact_Administrativa[[#This Row], [Concepto Anterior]],Conceptos_Administrativa[#All],5,0),"")</f>
        <v/>
      </c>
      <c r="F2048" t="str">
        <f>+IFERROR(VLOOKUP(Fact_Administrativa[[#This Row], 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ht="18.75" customHeight="1" x14ac:dyDescent="0.35">
      <c r="C2049" s="100" t="str">
        <f>IF(OR(Fact_Administrativa[[#This Row], [Año]]="",Fact_Administrativa[[#This Row], [Mes]]=""),"",DATE(A2049,MATCH(B2049,{"enero","febrero","marzo","abril","mayo","junio","julio","agosto","septiembre","octubre","noviembre","diciembre"},0)+1,0))</f>
        <v/>
      </c>
      <c r="E2049" t="str">
        <f>+IFERROR(VLOOKUP(Fact_Administrativa[[#This Row], [Concepto Anterior]],Conceptos_Administrativa[#All],5,0),"")</f>
        <v/>
      </c>
      <c r="F2049" t="str">
        <f>+IFERROR(VLOOKUP(Fact_Administrativa[[#This Row], 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ht="18.75" customHeight="1" x14ac:dyDescent="0.35">
      <c r="C2050" s="100" t="str">
        <f>IF(OR(Fact_Administrativa[[#This Row], [Año]]="",Fact_Administrativa[[#This Row], [Mes]]=""),"",DATE(A2050,MATCH(B2050,{"enero","febrero","marzo","abril","mayo","junio","julio","agosto","septiembre","octubre","noviembre","diciembre"},0)+1,0))</f>
        <v/>
      </c>
      <c r="E2050" t="str">
        <f>+IFERROR(VLOOKUP(Fact_Administrativa[[#This Row], [Concepto Anterior]],Conceptos_Administrativa[#All],5,0),"")</f>
        <v/>
      </c>
      <c r="F2050" t="str">
        <f>+IFERROR(VLOOKUP(Fact_Administrativa[[#This Row], 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ht="18.75" customHeight="1" x14ac:dyDescent="0.35">
      <c r="C2051" s="100" t="str">
        <f>IF(OR(Fact_Administrativa[[#This Row], [Año]]="",Fact_Administrativa[[#This Row], [Mes]]=""),"",DATE(A2051,MATCH(B2051,{"enero","febrero","marzo","abril","mayo","junio","julio","agosto","septiembre","octubre","noviembre","diciembre"},0)+1,0))</f>
        <v/>
      </c>
      <c r="E2051" t="str">
        <f>+IFERROR(VLOOKUP(Fact_Administrativa[[#This Row], [Concepto Anterior]],Conceptos_Administrativa[#All],5,0),"")</f>
        <v/>
      </c>
      <c r="F2051" t="str">
        <f>+IFERROR(VLOOKUP(Fact_Administrativa[[#This Row], 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ht="18.75" customHeight="1" x14ac:dyDescent="0.35">
      <c r="C2052" s="100" t="str">
        <f>IF(OR(Fact_Administrativa[[#This Row], [Año]]="",Fact_Administrativa[[#This Row], [Mes]]=""),"",DATE(A2052,MATCH(B2052,{"enero","febrero","marzo","abril","mayo","junio","julio","agosto","septiembre","octubre","noviembre","diciembre"},0)+1,0))</f>
        <v/>
      </c>
      <c r="E2052" t="str">
        <f>+IFERROR(VLOOKUP(Fact_Administrativa[[#This Row], [Concepto Anterior]],Conceptos_Administrativa[#All],5,0),"")</f>
        <v/>
      </c>
      <c r="F2052" t="str">
        <f>+IFERROR(VLOOKUP(Fact_Administrativa[[#This Row], 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ht="18.75" customHeight="1" x14ac:dyDescent="0.35">
      <c r="C2053" s="100" t="str">
        <f>IF(OR(Fact_Administrativa[[#This Row], [Año]]="",Fact_Administrativa[[#This Row], [Mes]]=""),"",DATE(A2053,MATCH(B2053,{"enero","febrero","marzo","abril","mayo","junio","julio","agosto","septiembre","octubre","noviembre","diciembre"},0)+1,0))</f>
        <v/>
      </c>
      <c r="E2053" t="str">
        <f>+IFERROR(VLOOKUP(Fact_Administrativa[[#This Row], [Concepto Anterior]],Conceptos_Administrativa[#All],5,0),"")</f>
        <v/>
      </c>
      <c r="F2053" t="str">
        <f>+IFERROR(VLOOKUP(Fact_Administrativa[[#This Row], 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ht="18.75" customHeight="1" x14ac:dyDescent="0.35">
      <c r="C2054" s="100" t="str">
        <f>IF(OR(Fact_Administrativa[[#This Row], [Año]]="",Fact_Administrativa[[#This Row], [Mes]]=""),"",DATE(A2054,MATCH(B2054,{"enero","febrero","marzo","abril","mayo","junio","julio","agosto","septiembre","octubre","noviembre","diciembre"},0)+1,0))</f>
        <v/>
      </c>
      <c r="E2054" t="str">
        <f>+IFERROR(VLOOKUP(Fact_Administrativa[[#This Row], [Concepto Anterior]],Conceptos_Administrativa[#All],5,0),"")</f>
        <v/>
      </c>
      <c r="F2054" t="str">
        <f>+IFERROR(VLOOKUP(Fact_Administrativa[[#This Row], 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ht="18.75" customHeight="1" x14ac:dyDescent="0.35">
      <c r="C2055" s="100" t="str">
        <f>IF(OR(Fact_Administrativa[[#This Row], [Año]]="",Fact_Administrativa[[#This Row], [Mes]]=""),"",DATE(A2055,MATCH(B2055,{"enero","febrero","marzo","abril","mayo","junio","julio","agosto","septiembre","octubre","noviembre","diciembre"},0)+1,0))</f>
        <v/>
      </c>
      <c r="E2055" t="str">
        <f>+IFERROR(VLOOKUP(Fact_Administrativa[[#This Row], [Concepto Anterior]],Conceptos_Administrativa[#All],5,0),"")</f>
        <v/>
      </c>
      <c r="F2055" t="str">
        <f>+IFERROR(VLOOKUP(Fact_Administrativa[[#This Row], 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ht="18.75" customHeight="1" x14ac:dyDescent="0.35">
      <c r="C2056" s="100" t="str">
        <f>IF(OR(Fact_Administrativa[[#This Row], [Año]]="",Fact_Administrativa[[#This Row], [Mes]]=""),"",DATE(A2056,MATCH(B2056,{"enero","febrero","marzo","abril","mayo","junio","julio","agosto","septiembre","octubre","noviembre","diciembre"},0)+1,0))</f>
        <v/>
      </c>
      <c r="E2056" t="str">
        <f>+IFERROR(VLOOKUP(Fact_Administrativa[[#This Row], [Concepto Anterior]],Conceptos_Administrativa[#All],5,0),"")</f>
        <v/>
      </c>
      <c r="F2056" t="str">
        <f>+IFERROR(VLOOKUP(Fact_Administrativa[[#This Row], 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ht="18.75" customHeight="1" x14ac:dyDescent="0.35">
      <c r="C2057" s="100" t="str">
        <f>IF(OR(Fact_Administrativa[[#This Row], [Año]]="",Fact_Administrativa[[#This Row], [Mes]]=""),"",DATE(A2057,MATCH(B2057,{"enero","febrero","marzo","abril","mayo","junio","julio","agosto","septiembre","octubre","noviembre","diciembre"},0)+1,0))</f>
        <v/>
      </c>
      <c r="E2057" t="str">
        <f>+IFERROR(VLOOKUP(Fact_Administrativa[[#This Row], [Concepto Anterior]],Conceptos_Administrativa[#All],5,0),"")</f>
        <v/>
      </c>
      <c r="F2057" t="str">
        <f>+IFERROR(VLOOKUP(Fact_Administrativa[[#This Row], 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ht="18.75" customHeight="1" x14ac:dyDescent="0.35">
      <c r="C2058" s="100" t="str">
        <f>IF(OR(Fact_Administrativa[[#This Row], [Año]]="",Fact_Administrativa[[#This Row], [Mes]]=""),"",DATE(A2058,MATCH(B2058,{"enero","febrero","marzo","abril","mayo","junio","julio","agosto","septiembre","octubre","noviembre","diciembre"},0)+1,0))</f>
        <v/>
      </c>
      <c r="E2058" t="str">
        <f>+IFERROR(VLOOKUP(Fact_Administrativa[[#This Row], [Concepto Anterior]],Conceptos_Administrativa[#All],5,0),"")</f>
        <v/>
      </c>
      <c r="F2058" t="str">
        <f>+IFERROR(VLOOKUP(Fact_Administrativa[[#This Row], 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ht="18.75" customHeight="1" x14ac:dyDescent="0.35">
      <c r="C2059" s="100" t="str">
        <f>IF(OR(Fact_Administrativa[[#This Row], [Año]]="",Fact_Administrativa[[#This Row], [Mes]]=""),"",DATE(A2059,MATCH(B2059,{"enero","febrero","marzo","abril","mayo","junio","julio","agosto","septiembre","octubre","noviembre","diciembre"},0)+1,0))</f>
        <v/>
      </c>
      <c r="E2059" t="str">
        <f>+IFERROR(VLOOKUP(Fact_Administrativa[[#This Row], [Concepto Anterior]],Conceptos_Administrativa[#All],5,0),"")</f>
        <v/>
      </c>
      <c r="F2059" t="str">
        <f>+IFERROR(VLOOKUP(Fact_Administrativa[[#This Row], 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ht="18.75" customHeight="1" x14ac:dyDescent="0.35">
      <c r="C2060" s="100" t="str">
        <f>IF(OR(Fact_Administrativa[[#This Row], [Año]]="",Fact_Administrativa[[#This Row], [Mes]]=""),"",DATE(A2060,MATCH(B2060,{"enero","febrero","marzo","abril","mayo","junio","julio","agosto","septiembre","octubre","noviembre","diciembre"},0)+1,0))</f>
        <v/>
      </c>
      <c r="E2060" t="str">
        <f>+IFERROR(VLOOKUP(Fact_Administrativa[[#This Row], [Concepto Anterior]],Conceptos_Administrativa[#All],5,0),"")</f>
        <v/>
      </c>
      <c r="F2060" t="str">
        <f>+IFERROR(VLOOKUP(Fact_Administrativa[[#This Row], 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ht="18.75" customHeight="1" x14ac:dyDescent="0.35">
      <c r="C2061" s="100" t="str">
        <f>IF(OR(Fact_Administrativa[[#This Row], [Año]]="",Fact_Administrativa[[#This Row], [Mes]]=""),"",DATE(A2061,MATCH(B2061,{"enero","febrero","marzo","abril","mayo","junio","julio","agosto","septiembre","octubre","noviembre","diciembre"},0)+1,0))</f>
        <v/>
      </c>
      <c r="E2061" t="str">
        <f>+IFERROR(VLOOKUP(Fact_Administrativa[[#This Row], [Concepto Anterior]],Conceptos_Administrativa[#All],5,0),"")</f>
        <v/>
      </c>
      <c r="F2061" t="str">
        <f>+IFERROR(VLOOKUP(Fact_Administrativa[[#This Row], 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ht="18.75" customHeight="1" x14ac:dyDescent="0.35">
      <c r="C2062" s="100" t="str">
        <f>IF(OR(Fact_Administrativa[[#This Row], [Año]]="",Fact_Administrativa[[#This Row], [Mes]]=""),"",DATE(A2062,MATCH(B2062,{"enero","febrero","marzo","abril","mayo","junio","julio","agosto","septiembre","octubre","noviembre","diciembre"},0)+1,0))</f>
        <v/>
      </c>
      <c r="E2062" t="str">
        <f>+IFERROR(VLOOKUP(Fact_Administrativa[[#This Row], [Concepto Anterior]],Conceptos_Administrativa[#All],5,0),"")</f>
        <v/>
      </c>
      <c r="F2062" t="str">
        <f>+IFERROR(VLOOKUP(Fact_Administrativa[[#This Row], 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ht="18.75" customHeight="1" x14ac:dyDescent="0.35">
      <c r="C2063" s="100" t="str">
        <f>IF(OR(Fact_Administrativa[[#This Row], [Año]]="",Fact_Administrativa[[#This Row], [Mes]]=""),"",DATE(A2063,MATCH(B2063,{"enero","febrero","marzo","abril","mayo","junio","julio","agosto","septiembre","octubre","noviembre","diciembre"},0)+1,0))</f>
        <v/>
      </c>
      <c r="E2063" t="str">
        <f>+IFERROR(VLOOKUP(Fact_Administrativa[[#This Row], [Concepto Anterior]],Conceptos_Administrativa[#All],5,0),"")</f>
        <v/>
      </c>
      <c r="F2063" t="str">
        <f>+IFERROR(VLOOKUP(Fact_Administrativa[[#This Row], 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ht="18.75" customHeight="1" x14ac:dyDescent="0.35">
      <c r="C2064" s="100" t="str">
        <f>IF(OR(Fact_Administrativa[[#This Row], [Año]]="",Fact_Administrativa[[#This Row], [Mes]]=""),"",DATE(A2064,MATCH(B2064,{"enero","febrero","marzo","abril","mayo","junio","julio","agosto","septiembre","octubre","noviembre","diciembre"},0)+1,0))</f>
        <v/>
      </c>
      <c r="E2064" t="str">
        <f>+IFERROR(VLOOKUP(Fact_Administrativa[[#This Row], [Concepto Anterior]],Conceptos_Administrativa[#All],5,0),"")</f>
        <v/>
      </c>
      <c r="F2064" t="str">
        <f>+IFERROR(VLOOKUP(Fact_Administrativa[[#This Row], 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ht="18.75" customHeight="1" x14ac:dyDescent="0.35">
      <c r="C2065" s="100" t="str">
        <f>IF(OR(Fact_Administrativa[[#This Row], [Año]]="",Fact_Administrativa[[#This Row], [Mes]]=""),"",DATE(A2065,MATCH(B2065,{"enero","febrero","marzo","abril","mayo","junio","julio","agosto","septiembre","octubre","noviembre","diciembre"},0)+1,0))</f>
        <v/>
      </c>
      <c r="E2065" t="str">
        <f>+IFERROR(VLOOKUP(Fact_Administrativa[[#This Row], [Concepto Anterior]],Conceptos_Administrativa[#All],5,0),"")</f>
        <v/>
      </c>
      <c r="F2065" t="str">
        <f>+IFERROR(VLOOKUP(Fact_Administrativa[[#This Row], 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ht="18.75" customHeight="1" x14ac:dyDescent="0.35">
      <c r="C2066" s="100" t="str">
        <f>IF(OR(Fact_Administrativa[[#This Row], [Año]]="",Fact_Administrativa[[#This Row], [Mes]]=""),"",DATE(A2066,MATCH(B2066,{"enero","febrero","marzo","abril","mayo","junio","julio","agosto","septiembre","octubre","noviembre","diciembre"},0)+1,0))</f>
        <v/>
      </c>
      <c r="E2066" t="str">
        <f>+IFERROR(VLOOKUP(Fact_Administrativa[[#This Row], [Concepto Anterior]],Conceptos_Administrativa[#All],5,0),"")</f>
        <v/>
      </c>
      <c r="F2066" t="str">
        <f>+IFERROR(VLOOKUP(Fact_Administrativa[[#This Row], 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ht="18.75" customHeight="1" x14ac:dyDescent="0.35">
      <c r="C2067" s="100" t="str">
        <f>IF(OR(Fact_Administrativa[[#This Row], [Año]]="",Fact_Administrativa[[#This Row], [Mes]]=""),"",DATE(A2067,MATCH(B2067,{"enero","febrero","marzo","abril","mayo","junio","julio","agosto","septiembre","octubre","noviembre","diciembre"},0)+1,0))</f>
        <v/>
      </c>
      <c r="E2067" t="str">
        <f>+IFERROR(VLOOKUP(Fact_Administrativa[[#This Row], [Concepto Anterior]],Conceptos_Administrativa[#All],5,0),"")</f>
        <v/>
      </c>
      <c r="F2067" t="str">
        <f>+IFERROR(VLOOKUP(Fact_Administrativa[[#This Row], 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ht="18.75" customHeight="1" x14ac:dyDescent="0.35">
      <c r="C2068" s="100" t="str">
        <f>IF(OR(Fact_Administrativa[[#This Row], [Año]]="",Fact_Administrativa[[#This Row], [Mes]]=""),"",DATE(A2068,MATCH(B2068,{"enero","febrero","marzo","abril","mayo","junio","julio","agosto","septiembre","octubre","noviembre","diciembre"},0)+1,0))</f>
        <v/>
      </c>
      <c r="E2068" t="str">
        <f>+IFERROR(VLOOKUP(Fact_Administrativa[[#This Row], [Concepto Anterior]],Conceptos_Administrativa[#All],5,0),"")</f>
        <v/>
      </c>
      <c r="F2068" t="str">
        <f>+IFERROR(VLOOKUP(Fact_Administrativa[[#This Row], 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ht="18.75" customHeight="1" x14ac:dyDescent="0.35">
      <c r="C2069" s="100" t="str">
        <f>IF(OR(Fact_Administrativa[[#This Row], [Año]]="",Fact_Administrativa[[#This Row], [Mes]]=""),"",DATE(A2069,MATCH(B2069,{"enero","febrero","marzo","abril","mayo","junio","julio","agosto","septiembre","octubre","noviembre","diciembre"},0)+1,0))</f>
        <v/>
      </c>
      <c r="E2069" t="str">
        <f>+IFERROR(VLOOKUP(Fact_Administrativa[[#This Row], [Concepto Anterior]],Conceptos_Administrativa[#All],5,0),"")</f>
        <v/>
      </c>
      <c r="F2069" t="str">
        <f>+IFERROR(VLOOKUP(Fact_Administrativa[[#This Row], 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ht="18.75" customHeight="1" x14ac:dyDescent="0.35">
      <c r="C2070" s="100" t="str">
        <f>IF(OR(Fact_Administrativa[[#This Row], [Año]]="",Fact_Administrativa[[#This Row], [Mes]]=""),"",DATE(A2070,MATCH(B2070,{"enero","febrero","marzo","abril","mayo","junio","julio","agosto","septiembre","octubre","noviembre","diciembre"},0)+1,0))</f>
        <v/>
      </c>
      <c r="E2070" t="str">
        <f>+IFERROR(VLOOKUP(Fact_Administrativa[[#This Row], [Concepto Anterior]],Conceptos_Administrativa[#All],5,0),"")</f>
        <v/>
      </c>
      <c r="F2070" t="str">
        <f>+IFERROR(VLOOKUP(Fact_Administrativa[[#This Row], 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ht="18.75" customHeight="1" x14ac:dyDescent="0.35">
      <c r="C2071" s="100" t="str">
        <f>IF(OR(Fact_Administrativa[[#This Row], [Año]]="",Fact_Administrativa[[#This Row], [Mes]]=""),"",DATE(A2071,MATCH(B2071,{"enero","febrero","marzo","abril","mayo","junio","julio","agosto","septiembre","octubre","noviembre","diciembre"},0)+1,0))</f>
        <v/>
      </c>
      <c r="E2071" t="str">
        <f>+IFERROR(VLOOKUP(Fact_Administrativa[[#This Row], [Concepto Anterior]],Conceptos_Administrativa[#All],5,0),"")</f>
        <v/>
      </c>
      <c r="F2071" t="str">
        <f>+IFERROR(VLOOKUP(Fact_Administrativa[[#This Row], 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ht="18.75" customHeight="1" x14ac:dyDescent="0.35">
      <c r="C2072" s="100" t="str">
        <f>IF(OR(Fact_Administrativa[[#This Row], [Año]]="",Fact_Administrativa[[#This Row], [Mes]]=""),"",DATE(A2072,MATCH(B2072,{"enero","febrero","marzo","abril","mayo","junio","julio","agosto","septiembre","octubre","noviembre","diciembre"},0)+1,0))</f>
        <v/>
      </c>
      <c r="E2072" t="str">
        <f>+IFERROR(VLOOKUP(Fact_Administrativa[[#This Row], [Concepto Anterior]],Conceptos_Administrativa[#All],5,0),"")</f>
        <v/>
      </c>
      <c r="F2072" t="str">
        <f>+IFERROR(VLOOKUP(Fact_Administrativa[[#This Row], 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ht="18.75" customHeight="1" x14ac:dyDescent="0.35">
      <c r="C2073" s="100" t="str">
        <f>IF(OR(Fact_Administrativa[[#This Row], [Año]]="",Fact_Administrativa[[#This Row], [Mes]]=""),"",DATE(A2073,MATCH(B2073,{"enero","febrero","marzo","abril","mayo","junio","julio","agosto","septiembre","octubre","noviembre","diciembre"},0)+1,0))</f>
        <v/>
      </c>
      <c r="E2073" t="str">
        <f>+IFERROR(VLOOKUP(Fact_Administrativa[[#This Row], [Concepto Anterior]],Conceptos_Administrativa[#All],5,0),"")</f>
        <v/>
      </c>
      <c r="F2073" t="str">
        <f>+IFERROR(VLOOKUP(Fact_Administrativa[[#This Row], 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ht="18.75" customHeight="1" x14ac:dyDescent="0.35">
      <c r="C2074" s="100" t="str">
        <f>IF(OR(Fact_Administrativa[[#This Row], [Año]]="",Fact_Administrativa[[#This Row], [Mes]]=""),"",DATE(A2074,MATCH(B2074,{"enero","febrero","marzo","abril","mayo","junio","julio","agosto","septiembre","octubre","noviembre","diciembre"},0)+1,0))</f>
        <v/>
      </c>
      <c r="E2074" t="str">
        <f>+IFERROR(VLOOKUP(Fact_Administrativa[[#This Row], [Concepto Anterior]],Conceptos_Administrativa[#All],5,0),"")</f>
        <v/>
      </c>
      <c r="F2074" t="str">
        <f>+IFERROR(VLOOKUP(Fact_Administrativa[[#This Row], 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ht="18.75" customHeight="1" x14ac:dyDescent="0.35">
      <c r="C2075" s="100" t="str">
        <f>IF(OR(Fact_Administrativa[[#This Row], [Año]]="",Fact_Administrativa[[#This Row], [Mes]]=""),"",DATE(A2075,MATCH(B2075,{"enero","febrero","marzo","abril","mayo","junio","julio","agosto","septiembre","octubre","noviembre","diciembre"},0)+1,0))</f>
        <v/>
      </c>
      <c r="E2075" t="str">
        <f>+IFERROR(VLOOKUP(Fact_Administrativa[[#This Row], [Concepto Anterior]],Conceptos_Administrativa[#All],5,0),"")</f>
        <v/>
      </c>
      <c r="F2075" t="str">
        <f>+IFERROR(VLOOKUP(Fact_Administrativa[[#This Row], 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ht="18.75" customHeight="1" x14ac:dyDescent="0.35">
      <c r="C2076" s="100" t="str">
        <f>IF(OR(Fact_Administrativa[[#This Row], [Año]]="",Fact_Administrativa[[#This Row], [Mes]]=""),"",DATE(A2076,MATCH(B2076,{"enero","febrero","marzo","abril","mayo","junio","julio","agosto","septiembre","octubre","noviembre","diciembre"},0)+1,0))</f>
        <v/>
      </c>
      <c r="E2076" t="str">
        <f>+IFERROR(VLOOKUP(Fact_Administrativa[[#This Row], [Concepto Anterior]],Conceptos_Administrativa[#All],5,0),"")</f>
        <v/>
      </c>
      <c r="F2076" t="str">
        <f>+IFERROR(VLOOKUP(Fact_Administrativa[[#This Row], 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ht="18.75" customHeight="1" x14ac:dyDescent="0.35">
      <c r="C2077" s="100" t="str">
        <f>IF(OR(Fact_Administrativa[[#This Row], [Año]]="",Fact_Administrativa[[#This Row], [Mes]]=""),"",DATE(A2077,MATCH(B2077,{"enero","febrero","marzo","abril","mayo","junio","julio","agosto","septiembre","octubre","noviembre","diciembre"},0)+1,0))</f>
        <v/>
      </c>
      <c r="E2077" t="str">
        <f>+IFERROR(VLOOKUP(Fact_Administrativa[[#This Row], [Concepto Anterior]],Conceptos_Administrativa[#All],5,0),"")</f>
        <v/>
      </c>
      <c r="F2077" t="str">
        <f>+IFERROR(VLOOKUP(Fact_Administrativa[[#This Row], 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ht="18.75" customHeight="1" x14ac:dyDescent="0.35">
      <c r="C2078" s="100" t="str">
        <f>IF(OR(Fact_Administrativa[[#This Row], [Año]]="",Fact_Administrativa[[#This Row], [Mes]]=""),"",DATE(A2078,MATCH(B2078,{"enero","febrero","marzo","abril","mayo","junio","julio","agosto","septiembre","octubre","noviembre","diciembre"},0)+1,0))</f>
        <v/>
      </c>
      <c r="E2078" t="str">
        <f>+IFERROR(VLOOKUP(Fact_Administrativa[[#This Row], [Concepto Anterior]],Conceptos_Administrativa[#All],5,0),"")</f>
        <v/>
      </c>
      <c r="F2078" t="str">
        <f>+IFERROR(VLOOKUP(Fact_Administrativa[[#This Row], 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ht="18.75" customHeight="1" x14ac:dyDescent="0.35">
      <c r="C2079" s="100" t="str">
        <f>IF(OR(Fact_Administrativa[[#This Row], [Año]]="",Fact_Administrativa[[#This Row], [Mes]]=""),"",DATE(A2079,MATCH(B2079,{"enero","febrero","marzo","abril","mayo","junio","julio","agosto","septiembre","octubre","noviembre","diciembre"},0)+1,0))</f>
        <v/>
      </c>
      <c r="E2079" t="str">
        <f>+IFERROR(VLOOKUP(Fact_Administrativa[[#This Row], [Concepto Anterior]],Conceptos_Administrativa[#All],5,0),"")</f>
        <v/>
      </c>
      <c r="F2079" t="str">
        <f>+IFERROR(VLOOKUP(Fact_Administrativa[[#This Row], 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ht="18.75" customHeight="1" x14ac:dyDescent="0.35">
      <c r="C2080" s="100" t="str">
        <f>IF(OR(Fact_Administrativa[[#This Row], [Año]]="",Fact_Administrativa[[#This Row], [Mes]]=""),"",DATE(A2080,MATCH(B2080,{"enero","febrero","marzo","abril","mayo","junio","julio","agosto","septiembre","octubre","noviembre","diciembre"},0)+1,0))</f>
        <v/>
      </c>
      <c r="E2080" t="str">
        <f>+IFERROR(VLOOKUP(Fact_Administrativa[[#This Row], [Concepto Anterior]],Conceptos_Administrativa[#All],5,0),"")</f>
        <v/>
      </c>
      <c r="F2080" t="str">
        <f>+IFERROR(VLOOKUP(Fact_Administrativa[[#This Row], 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ht="18.75" customHeight="1" x14ac:dyDescent="0.35">
      <c r="C2081" s="100" t="str">
        <f>IF(OR(Fact_Administrativa[[#This Row], [Año]]="",Fact_Administrativa[[#This Row], [Mes]]=""),"",DATE(A2081,MATCH(B2081,{"enero","febrero","marzo","abril","mayo","junio","julio","agosto","septiembre","octubre","noviembre","diciembre"},0)+1,0))</f>
        <v/>
      </c>
      <c r="E2081" t="str">
        <f>+IFERROR(VLOOKUP(Fact_Administrativa[[#This Row], [Concepto Anterior]],Conceptos_Administrativa[#All],5,0),"")</f>
        <v/>
      </c>
      <c r="F2081" t="str">
        <f>+IFERROR(VLOOKUP(Fact_Administrativa[[#This Row], 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ht="18.75" customHeight="1" x14ac:dyDescent="0.35">
      <c r="C2082" s="100" t="str">
        <f>IF(OR(Fact_Administrativa[[#This Row], [Año]]="",Fact_Administrativa[[#This Row], [Mes]]=""),"",DATE(A2082,MATCH(B2082,{"enero","febrero","marzo","abril","mayo","junio","julio","agosto","septiembre","octubre","noviembre","diciembre"},0)+1,0))</f>
        <v/>
      </c>
      <c r="E2082" t="str">
        <f>+IFERROR(VLOOKUP(Fact_Administrativa[[#This Row], [Concepto Anterior]],Conceptos_Administrativa[#All],5,0),"")</f>
        <v/>
      </c>
      <c r="F2082" t="str">
        <f>+IFERROR(VLOOKUP(Fact_Administrativa[[#This Row], 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ht="18.75" customHeight="1" x14ac:dyDescent="0.35">
      <c r="C2083" s="100" t="str">
        <f>IF(OR(Fact_Administrativa[[#This Row], [Año]]="",Fact_Administrativa[[#This Row], [Mes]]=""),"",DATE(A2083,MATCH(B2083,{"enero","febrero","marzo","abril","mayo","junio","julio","agosto","septiembre","octubre","noviembre","diciembre"},0)+1,0))</f>
        <v/>
      </c>
      <c r="E2083" t="str">
        <f>+IFERROR(VLOOKUP(Fact_Administrativa[[#This Row], [Concepto Anterior]],Conceptos_Administrativa[#All],5,0),"")</f>
        <v/>
      </c>
      <c r="F2083" t="str">
        <f>+IFERROR(VLOOKUP(Fact_Administrativa[[#This Row], 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ht="18.75" customHeight="1" x14ac:dyDescent="0.35">
      <c r="C2084" s="100" t="str">
        <f>IF(OR(Fact_Administrativa[[#This Row], [Año]]="",Fact_Administrativa[[#This Row], [Mes]]=""),"",DATE(A2084,MATCH(B2084,{"enero","febrero","marzo","abril","mayo","junio","julio","agosto","septiembre","octubre","noviembre","diciembre"},0)+1,0))</f>
        <v/>
      </c>
      <c r="E2084" t="str">
        <f>+IFERROR(VLOOKUP(Fact_Administrativa[[#This Row], [Concepto Anterior]],Conceptos_Administrativa[#All],5,0),"")</f>
        <v/>
      </c>
      <c r="F2084" t="str">
        <f>+IFERROR(VLOOKUP(Fact_Administrativa[[#This Row], 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ht="18.75" customHeight="1" x14ac:dyDescent="0.35">
      <c r="C2085" s="100" t="str">
        <f>IF(OR(Fact_Administrativa[[#This Row], [Año]]="",Fact_Administrativa[[#This Row], [Mes]]=""),"",DATE(A2085,MATCH(B2085,{"enero","febrero","marzo","abril","mayo","junio","julio","agosto","septiembre","octubre","noviembre","diciembre"},0)+1,0))</f>
        <v/>
      </c>
      <c r="E2085" t="str">
        <f>+IFERROR(VLOOKUP(Fact_Administrativa[[#This Row], [Concepto Anterior]],Conceptos_Administrativa[#All],5,0),"")</f>
        <v/>
      </c>
      <c r="F2085" t="str">
        <f>+IFERROR(VLOOKUP(Fact_Administrativa[[#This Row], 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ht="18.75" customHeight="1" x14ac:dyDescent="0.35">
      <c r="C2086" s="100" t="str">
        <f>IF(OR(Fact_Administrativa[[#This Row], [Año]]="",Fact_Administrativa[[#This Row], [Mes]]=""),"",DATE(A2086,MATCH(B2086,{"enero","febrero","marzo","abril","mayo","junio","julio","agosto","septiembre","octubre","noviembre","diciembre"},0)+1,0))</f>
        <v/>
      </c>
      <c r="E2086" t="str">
        <f>+IFERROR(VLOOKUP(Fact_Administrativa[[#This Row], [Concepto Anterior]],Conceptos_Administrativa[#All],5,0),"")</f>
        <v/>
      </c>
      <c r="F2086" t="str">
        <f>+IFERROR(VLOOKUP(Fact_Administrativa[[#This Row], 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ht="18.75" customHeight="1" x14ac:dyDescent="0.35">
      <c r="C2087" s="100" t="str">
        <f>IF(OR(Fact_Administrativa[[#This Row], [Año]]="",Fact_Administrativa[[#This Row], [Mes]]=""),"",DATE(A2087,MATCH(B2087,{"enero","febrero","marzo","abril","mayo","junio","julio","agosto","septiembre","octubre","noviembre","diciembre"},0)+1,0))</f>
        <v/>
      </c>
      <c r="E2087" t="str">
        <f>+IFERROR(VLOOKUP(Fact_Administrativa[[#This Row], [Concepto Anterior]],Conceptos_Administrativa[#All],5,0),"")</f>
        <v/>
      </c>
      <c r="F2087" t="str">
        <f>+IFERROR(VLOOKUP(Fact_Administrativa[[#This Row], 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ht="18.75" customHeight="1" x14ac:dyDescent="0.35">
      <c r="C2088" s="100" t="str">
        <f>IF(OR(Fact_Administrativa[[#This Row], [Año]]="",Fact_Administrativa[[#This Row], [Mes]]=""),"",DATE(A2088,MATCH(B2088,{"enero","febrero","marzo","abril","mayo","junio","julio","agosto","septiembre","octubre","noviembre","diciembre"},0)+1,0))</f>
        <v/>
      </c>
      <c r="E2088" t="str">
        <f>+IFERROR(VLOOKUP(Fact_Administrativa[[#This Row], [Concepto Anterior]],Conceptos_Administrativa[#All],5,0),"")</f>
        <v/>
      </c>
      <c r="F2088" t="str">
        <f>+IFERROR(VLOOKUP(Fact_Administrativa[[#This Row], 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ht="18.75" customHeight="1" x14ac:dyDescent="0.35">
      <c r="C2089" s="100" t="str">
        <f>IF(OR(Fact_Administrativa[[#This Row], [Año]]="",Fact_Administrativa[[#This Row], [Mes]]=""),"",DATE(A2089,MATCH(B2089,{"enero","febrero","marzo","abril","mayo","junio","julio","agosto","septiembre","octubre","noviembre","diciembre"},0)+1,0))</f>
        <v/>
      </c>
      <c r="E2089" t="str">
        <f>+IFERROR(VLOOKUP(Fact_Administrativa[[#This Row], [Concepto Anterior]],Conceptos_Administrativa[#All],5,0),"")</f>
        <v/>
      </c>
      <c r="F2089" t="str">
        <f>+IFERROR(VLOOKUP(Fact_Administrativa[[#This Row], 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ht="18.75" customHeight="1" x14ac:dyDescent="0.35">
      <c r="C2090" s="100" t="str">
        <f>IF(OR(Fact_Administrativa[[#This Row], [Año]]="",Fact_Administrativa[[#This Row], [Mes]]=""),"",DATE(A2090,MATCH(B2090,{"enero","febrero","marzo","abril","mayo","junio","julio","agosto","septiembre","octubre","noviembre","diciembre"},0)+1,0))</f>
        <v/>
      </c>
      <c r="E2090" t="str">
        <f>+IFERROR(VLOOKUP(Fact_Administrativa[[#This Row], [Concepto Anterior]],Conceptos_Administrativa[#All],5,0),"")</f>
        <v/>
      </c>
      <c r="F2090" t="str">
        <f>+IFERROR(VLOOKUP(Fact_Administrativa[[#This Row], 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ht="18.75" customHeight="1" x14ac:dyDescent="0.35">
      <c r="C2091" s="100" t="str">
        <f>IF(OR(Fact_Administrativa[[#This Row], [Año]]="",Fact_Administrativa[[#This Row], [Mes]]=""),"",DATE(A2091,MATCH(B2091,{"enero","febrero","marzo","abril","mayo","junio","julio","agosto","septiembre","octubre","noviembre","diciembre"},0)+1,0))</f>
        <v/>
      </c>
      <c r="E2091" t="str">
        <f>+IFERROR(VLOOKUP(Fact_Administrativa[[#This Row], [Concepto Anterior]],Conceptos_Administrativa[#All],5,0),"")</f>
        <v/>
      </c>
      <c r="F2091" t="str">
        <f>+IFERROR(VLOOKUP(Fact_Administrativa[[#This Row], 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ht="18.75" customHeight="1" x14ac:dyDescent="0.35">
      <c r="C2092" s="100" t="str">
        <f>IF(OR(Fact_Administrativa[[#This Row], [Año]]="",Fact_Administrativa[[#This Row], [Mes]]=""),"",DATE(A2092,MATCH(B2092,{"enero","febrero","marzo","abril","mayo","junio","julio","agosto","septiembre","octubre","noviembre","diciembre"},0)+1,0))</f>
        <v/>
      </c>
      <c r="E2092" t="str">
        <f>+IFERROR(VLOOKUP(Fact_Administrativa[[#This Row], [Concepto Anterior]],Conceptos_Administrativa[#All],5,0),"")</f>
        <v/>
      </c>
      <c r="F2092" t="str">
        <f>+IFERROR(VLOOKUP(Fact_Administrativa[[#This Row], 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ht="18.75" customHeight="1" x14ac:dyDescent="0.35">
      <c r="C2093" s="100" t="str">
        <f>IF(OR(Fact_Administrativa[[#This Row], [Año]]="",Fact_Administrativa[[#This Row], [Mes]]=""),"",DATE(A2093,MATCH(B2093,{"enero","febrero","marzo","abril","mayo","junio","julio","agosto","septiembre","octubre","noviembre","diciembre"},0)+1,0))</f>
        <v/>
      </c>
      <c r="E2093" t="str">
        <f>+IFERROR(VLOOKUP(Fact_Administrativa[[#This Row], [Concepto Anterior]],Conceptos_Administrativa[#All],5,0),"")</f>
        <v/>
      </c>
      <c r="F2093" t="str">
        <f>+IFERROR(VLOOKUP(Fact_Administrativa[[#This Row], 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ht="18.75" customHeight="1" x14ac:dyDescent="0.35">
      <c r="C2094" s="100" t="str">
        <f>IF(OR(Fact_Administrativa[[#This Row], [Año]]="",Fact_Administrativa[[#This Row], [Mes]]=""),"",DATE(A2094,MATCH(B2094,{"enero","febrero","marzo","abril","mayo","junio","julio","agosto","septiembre","octubre","noviembre","diciembre"},0)+1,0))</f>
        <v/>
      </c>
      <c r="E2094" t="str">
        <f>+IFERROR(VLOOKUP(Fact_Administrativa[[#This Row], [Concepto Anterior]],Conceptos_Administrativa[#All],5,0),"")</f>
        <v/>
      </c>
      <c r="F2094" t="str">
        <f>+IFERROR(VLOOKUP(Fact_Administrativa[[#This Row], 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ht="18.75" customHeight="1" x14ac:dyDescent="0.35">
      <c r="C2095" s="100" t="str">
        <f>IF(OR(Fact_Administrativa[[#This Row], [Año]]="",Fact_Administrativa[[#This Row], [Mes]]=""),"",DATE(A2095,MATCH(B2095,{"enero","febrero","marzo","abril","mayo","junio","julio","agosto","septiembre","octubre","noviembre","diciembre"},0)+1,0))</f>
        <v/>
      </c>
      <c r="E2095" t="str">
        <f>+IFERROR(VLOOKUP(Fact_Administrativa[[#This Row], [Concepto Anterior]],Conceptos_Administrativa[#All],5,0),"")</f>
        <v/>
      </c>
      <c r="F2095" t="str">
        <f>+IFERROR(VLOOKUP(Fact_Administrativa[[#This Row], 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ht="18.75" customHeight="1" x14ac:dyDescent="0.35">
      <c r="C2096" s="100" t="str">
        <f>IF(OR(Fact_Administrativa[[#This Row], [Año]]="",Fact_Administrativa[[#This Row], [Mes]]=""),"",DATE(A2096,MATCH(B2096,{"enero","febrero","marzo","abril","mayo","junio","julio","agosto","septiembre","octubre","noviembre","diciembre"},0)+1,0))</f>
        <v/>
      </c>
      <c r="E2096" t="str">
        <f>+IFERROR(VLOOKUP(Fact_Administrativa[[#This Row], [Concepto Anterior]],Conceptos_Administrativa[#All],5,0),"")</f>
        <v/>
      </c>
      <c r="F2096" t="str">
        <f>+IFERROR(VLOOKUP(Fact_Administrativa[[#This Row], 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ht="18.75" customHeight="1" x14ac:dyDescent="0.35">
      <c r="C2097" s="100" t="str">
        <f>IF(OR(Fact_Administrativa[[#This Row], [Año]]="",Fact_Administrativa[[#This Row], [Mes]]=""),"",DATE(A2097,MATCH(B2097,{"enero","febrero","marzo","abril","mayo","junio","julio","agosto","septiembre","octubre","noviembre","diciembre"},0)+1,0))</f>
        <v/>
      </c>
      <c r="E2097" t="str">
        <f>+IFERROR(VLOOKUP(Fact_Administrativa[[#This Row], [Concepto Anterior]],Conceptos_Administrativa[#All],5,0),"")</f>
        <v/>
      </c>
      <c r="F2097" t="str">
        <f>+IFERROR(VLOOKUP(Fact_Administrativa[[#This Row], 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ht="18.75" customHeight="1" x14ac:dyDescent="0.35">
      <c r="C2098" s="100" t="str">
        <f>IF(OR(Fact_Administrativa[[#This Row], [Año]]="",Fact_Administrativa[[#This Row], [Mes]]=""),"",DATE(A2098,MATCH(B2098,{"enero","febrero","marzo","abril","mayo","junio","julio","agosto","septiembre","octubre","noviembre","diciembre"},0)+1,0))</f>
        <v/>
      </c>
      <c r="E2098" t="str">
        <f>+IFERROR(VLOOKUP(Fact_Administrativa[[#This Row], [Concepto Anterior]],Conceptos_Administrativa[#All],5,0),"")</f>
        <v/>
      </c>
      <c r="F2098" t="str">
        <f>+IFERROR(VLOOKUP(Fact_Administrativa[[#This Row], 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ht="18.75" customHeight="1" x14ac:dyDescent="0.35">
      <c r="C2099" s="100" t="str">
        <f>IF(OR(Fact_Administrativa[[#This Row], [Año]]="",Fact_Administrativa[[#This Row], [Mes]]=""),"",DATE(A2099,MATCH(B2099,{"enero","febrero","marzo","abril","mayo","junio","julio","agosto","septiembre","octubre","noviembre","diciembre"},0)+1,0))</f>
        <v/>
      </c>
      <c r="E2099" t="str">
        <f>+IFERROR(VLOOKUP(Fact_Administrativa[[#This Row], [Concepto Anterior]],Conceptos_Administrativa[#All],5,0),"")</f>
        <v/>
      </c>
      <c r="F2099" t="str">
        <f>+IFERROR(VLOOKUP(Fact_Administrativa[[#This Row], 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ht="18.75" customHeight="1" x14ac:dyDescent="0.35">
      <c r="C2100" s="100" t="str">
        <f>IF(OR(Fact_Administrativa[[#This Row], [Año]]="",Fact_Administrativa[[#This Row], [Mes]]=""),"",DATE(A2100,MATCH(B2100,{"enero","febrero","marzo","abril","mayo","junio","julio","agosto","septiembre","octubre","noviembre","diciembre"},0)+1,0))</f>
        <v/>
      </c>
      <c r="E2100" t="str">
        <f>+IFERROR(VLOOKUP(Fact_Administrativa[[#This Row], [Concepto Anterior]],Conceptos_Administrativa[#All],5,0),"")</f>
        <v/>
      </c>
      <c r="F2100" t="str">
        <f>+IFERROR(VLOOKUP(Fact_Administrativa[[#This Row], 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ht="18.75" customHeight="1" x14ac:dyDescent="0.35">
      <c r="C2101" s="100" t="str">
        <f>IF(OR(Fact_Administrativa[[#This Row], [Año]]="",Fact_Administrativa[[#This Row], [Mes]]=""),"",DATE(A2101,MATCH(B2101,{"enero","febrero","marzo","abril","mayo","junio","julio","agosto","septiembre","octubre","noviembre","diciembre"},0)+1,0))</f>
        <v/>
      </c>
      <c r="E2101" t="str">
        <f>+IFERROR(VLOOKUP(Fact_Administrativa[[#This Row], [Concepto Anterior]],Conceptos_Administrativa[#All],5,0),"")</f>
        <v/>
      </c>
      <c r="F2101" t="str">
        <f>+IFERROR(VLOOKUP(Fact_Administrativa[[#This Row], 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ht="18.75" customHeight="1" x14ac:dyDescent="0.35">
      <c r="C2102" s="100" t="str">
        <f>IF(OR(Fact_Administrativa[[#This Row], [Año]]="",Fact_Administrativa[[#This Row], [Mes]]=""),"",DATE(A2102,MATCH(B2102,{"enero","febrero","marzo","abril","mayo","junio","julio","agosto","septiembre","octubre","noviembre","diciembre"},0)+1,0))</f>
        <v/>
      </c>
      <c r="E2102" t="str">
        <f>+IFERROR(VLOOKUP(Fact_Administrativa[[#This Row], [Concepto Anterior]],Conceptos_Administrativa[#All],5,0),"")</f>
        <v/>
      </c>
      <c r="F2102" t="str">
        <f>+IFERROR(VLOOKUP(Fact_Administrativa[[#This Row], 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ht="18.75" customHeight="1" x14ac:dyDescent="0.35">
      <c r="C2103" s="100" t="str">
        <f>IF(OR(Fact_Administrativa[[#This Row], [Año]]="",Fact_Administrativa[[#This Row], [Mes]]=""),"",DATE(A2103,MATCH(B2103,{"enero","febrero","marzo","abril","mayo","junio","julio","agosto","septiembre","octubre","noviembre","diciembre"},0)+1,0))</f>
        <v/>
      </c>
      <c r="E2103" t="str">
        <f>+IFERROR(VLOOKUP(Fact_Administrativa[[#This Row], [Concepto Anterior]],Conceptos_Administrativa[#All],5,0),"")</f>
        <v/>
      </c>
      <c r="F2103" t="str">
        <f>+IFERROR(VLOOKUP(Fact_Administrativa[[#This Row], 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ht="18.75" customHeight="1" x14ac:dyDescent="0.35">
      <c r="C2104" s="100" t="str">
        <f>IF(OR(Fact_Administrativa[[#This Row], [Año]]="",Fact_Administrativa[[#This Row], [Mes]]=""),"",DATE(A2104,MATCH(B2104,{"enero","febrero","marzo","abril","mayo","junio","julio","agosto","septiembre","octubre","noviembre","diciembre"},0)+1,0))</f>
        <v/>
      </c>
      <c r="E2104" t="str">
        <f>+IFERROR(VLOOKUP(Fact_Administrativa[[#This Row], [Concepto Anterior]],Conceptos_Administrativa[#All],5,0),"")</f>
        <v/>
      </c>
      <c r="F2104" t="str">
        <f>+IFERROR(VLOOKUP(Fact_Administrativa[[#This Row], 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ht="18.75" customHeight="1" x14ac:dyDescent="0.35">
      <c r="C2105" s="100" t="str">
        <f>IF(OR(Fact_Administrativa[[#This Row], [Año]]="",Fact_Administrativa[[#This Row], [Mes]]=""),"",DATE(A2105,MATCH(B2105,{"enero","febrero","marzo","abril","mayo","junio","julio","agosto","septiembre","octubre","noviembre","diciembre"},0)+1,0))</f>
        <v/>
      </c>
      <c r="E2105" t="str">
        <f>+IFERROR(VLOOKUP(Fact_Administrativa[[#This Row], [Concepto Anterior]],Conceptos_Administrativa[#All],5,0),"")</f>
        <v/>
      </c>
      <c r="F2105" t="str">
        <f>+IFERROR(VLOOKUP(Fact_Administrativa[[#This Row], 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ht="18.75" customHeight="1" x14ac:dyDescent="0.35">
      <c r="C2106" s="100" t="str">
        <f>IF(OR(Fact_Administrativa[[#This Row], [Año]]="",Fact_Administrativa[[#This Row], [Mes]]=""),"",DATE(A2106,MATCH(B2106,{"enero","febrero","marzo","abril","mayo","junio","julio","agosto","septiembre","octubre","noviembre","diciembre"},0)+1,0))</f>
        <v/>
      </c>
      <c r="E2106" t="str">
        <f>+IFERROR(VLOOKUP(Fact_Administrativa[[#This Row], [Concepto Anterior]],Conceptos_Administrativa[#All],5,0),"")</f>
        <v/>
      </c>
      <c r="F2106" t="str">
        <f>+IFERROR(VLOOKUP(Fact_Administrativa[[#This Row], 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ht="18.75" customHeight="1" x14ac:dyDescent="0.35">
      <c r="C2107" s="100" t="str">
        <f>IF(OR(Fact_Administrativa[[#This Row], [Año]]="",Fact_Administrativa[[#This Row], [Mes]]=""),"",DATE(A2107,MATCH(B2107,{"enero","febrero","marzo","abril","mayo","junio","julio","agosto","septiembre","octubre","noviembre","diciembre"},0)+1,0))</f>
        <v/>
      </c>
      <c r="E2107" t="str">
        <f>+IFERROR(VLOOKUP(Fact_Administrativa[[#This Row], [Concepto Anterior]],Conceptos_Administrativa[#All],5,0),"")</f>
        <v/>
      </c>
      <c r="F2107" t="str">
        <f>+IFERROR(VLOOKUP(Fact_Administrativa[[#This Row], 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ht="18.75" customHeight="1" x14ac:dyDescent="0.35">
      <c r="C2108" s="100" t="str">
        <f>IF(OR(Fact_Administrativa[[#This Row], [Año]]="",Fact_Administrativa[[#This Row], [Mes]]=""),"",DATE(A2108,MATCH(B2108,{"enero","febrero","marzo","abril","mayo","junio","julio","agosto","septiembre","octubre","noviembre","diciembre"},0)+1,0))</f>
        <v/>
      </c>
      <c r="E2108" t="str">
        <f>+IFERROR(VLOOKUP(Fact_Administrativa[[#This Row], [Concepto Anterior]],Conceptos_Administrativa[#All],5,0),"")</f>
        <v/>
      </c>
      <c r="F2108" t="str">
        <f>+IFERROR(VLOOKUP(Fact_Administrativa[[#This Row], 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ht="18.75" customHeight="1" x14ac:dyDescent="0.35">
      <c r="C2109" s="100" t="str">
        <f>IF(OR(Fact_Administrativa[[#This Row], [Año]]="",Fact_Administrativa[[#This Row], [Mes]]=""),"",DATE(A2109,MATCH(B2109,{"enero","febrero","marzo","abril","mayo","junio","julio","agosto","septiembre","octubre","noviembre","diciembre"},0)+1,0))</f>
        <v/>
      </c>
      <c r="E2109" t="str">
        <f>+IFERROR(VLOOKUP(Fact_Administrativa[[#This Row], [Concepto Anterior]],Conceptos_Administrativa[#All],5,0),"")</f>
        <v/>
      </c>
      <c r="F2109" t="str">
        <f>+IFERROR(VLOOKUP(Fact_Administrativa[[#This Row], 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ht="18.75" customHeight="1" x14ac:dyDescent="0.35">
      <c r="C2110" s="100" t="str">
        <f>IF(OR(Fact_Administrativa[[#This Row], [Año]]="",Fact_Administrativa[[#This Row], [Mes]]=""),"",DATE(A2110,MATCH(B2110,{"enero","febrero","marzo","abril","mayo","junio","julio","agosto","septiembre","octubre","noviembre","diciembre"},0)+1,0))</f>
        <v/>
      </c>
      <c r="E2110" t="str">
        <f>+IFERROR(VLOOKUP(Fact_Administrativa[[#This Row], [Concepto Anterior]],Conceptos_Administrativa[#All],5,0),"")</f>
        <v/>
      </c>
      <c r="F2110" t="str">
        <f>+IFERROR(VLOOKUP(Fact_Administrativa[[#This Row], 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ht="18.75" customHeight="1" x14ac:dyDescent="0.35">
      <c r="C2111" s="100" t="str">
        <f>IF(OR(Fact_Administrativa[[#This Row], [Año]]="",Fact_Administrativa[[#This Row], [Mes]]=""),"",DATE(A2111,MATCH(B2111,{"enero","febrero","marzo","abril","mayo","junio","julio","agosto","septiembre","octubre","noviembre","diciembre"},0)+1,0))</f>
        <v/>
      </c>
      <c r="E2111" t="str">
        <f>+IFERROR(VLOOKUP(Fact_Administrativa[[#This Row], [Concepto Anterior]],Conceptos_Administrativa[#All],5,0),"")</f>
        <v/>
      </c>
      <c r="F2111" t="str">
        <f>+IFERROR(VLOOKUP(Fact_Administrativa[[#This Row], 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ht="18.75" customHeight="1" x14ac:dyDescent="0.35">
      <c r="C2112" s="100" t="str">
        <f>IF(OR(Fact_Administrativa[[#This Row], [Año]]="",Fact_Administrativa[[#This Row], [Mes]]=""),"",DATE(A2112,MATCH(B2112,{"enero","febrero","marzo","abril","mayo","junio","julio","agosto","septiembre","octubre","noviembre","diciembre"},0)+1,0))</f>
        <v/>
      </c>
      <c r="E2112" t="str">
        <f>+IFERROR(VLOOKUP(Fact_Administrativa[[#This Row], [Concepto Anterior]],Conceptos_Administrativa[#All],5,0),"")</f>
        <v/>
      </c>
      <c r="F2112" t="str">
        <f>+IFERROR(VLOOKUP(Fact_Administrativa[[#This Row], 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ht="18.75" customHeight="1" x14ac:dyDescent="0.35">
      <c r="C2113" s="100" t="str">
        <f>IF(OR(Fact_Administrativa[[#This Row], [Año]]="",Fact_Administrativa[[#This Row], [Mes]]=""),"",DATE(A2113,MATCH(B2113,{"enero","febrero","marzo","abril","mayo","junio","julio","agosto","septiembre","octubre","noviembre","diciembre"},0)+1,0))</f>
        <v/>
      </c>
      <c r="E2113" t="str">
        <f>+IFERROR(VLOOKUP(Fact_Administrativa[[#This Row], [Concepto Anterior]],Conceptos_Administrativa[#All],5,0),"")</f>
        <v/>
      </c>
      <c r="F2113" t="str">
        <f>+IFERROR(VLOOKUP(Fact_Administrativa[[#This Row], 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ht="18.75" customHeight="1" x14ac:dyDescent="0.35">
      <c r="C2114" s="100" t="str">
        <f>IF(OR(Fact_Administrativa[[#This Row], [Año]]="",Fact_Administrativa[[#This Row], [Mes]]=""),"",DATE(A2114,MATCH(B2114,{"enero","febrero","marzo","abril","mayo","junio","julio","agosto","septiembre","octubre","noviembre","diciembre"},0)+1,0))</f>
        <v/>
      </c>
      <c r="E2114" t="str">
        <f>+IFERROR(VLOOKUP(Fact_Administrativa[[#This Row], [Concepto Anterior]],Conceptos_Administrativa[#All],5,0),"")</f>
        <v/>
      </c>
      <c r="F2114" t="str">
        <f>+IFERROR(VLOOKUP(Fact_Administrativa[[#This Row], 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ht="18.75" customHeight="1" x14ac:dyDescent="0.35">
      <c r="C2115" s="100" t="str">
        <f>IF(OR(Fact_Administrativa[[#This Row], [Año]]="",Fact_Administrativa[[#This Row], [Mes]]=""),"",DATE(A2115,MATCH(B2115,{"enero","febrero","marzo","abril","mayo","junio","julio","agosto","septiembre","octubre","noviembre","diciembre"},0)+1,0))</f>
        <v/>
      </c>
      <c r="E2115" t="str">
        <f>+IFERROR(VLOOKUP(Fact_Administrativa[[#This Row], [Concepto Anterior]],Conceptos_Administrativa[#All],5,0),"")</f>
        <v/>
      </c>
      <c r="F2115" t="str">
        <f>+IFERROR(VLOOKUP(Fact_Administrativa[[#This Row], 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ht="18.75" customHeight="1" x14ac:dyDescent="0.35">
      <c r="C2116" s="100" t="str">
        <f>IF(OR(Fact_Administrativa[[#This Row], [Año]]="",Fact_Administrativa[[#This Row], [Mes]]=""),"",DATE(A2116,MATCH(B2116,{"enero","febrero","marzo","abril","mayo","junio","julio","agosto","septiembre","octubre","noviembre","diciembre"},0)+1,0))</f>
        <v/>
      </c>
      <c r="E2116" t="str">
        <f>+IFERROR(VLOOKUP(Fact_Administrativa[[#This Row], [Concepto Anterior]],Conceptos_Administrativa[#All],5,0),"")</f>
        <v/>
      </c>
      <c r="F2116" t="str">
        <f>+IFERROR(VLOOKUP(Fact_Administrativa[[#This Row], 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ht="18.75" customHeight="1" x14ac:dyDescent="0.35">
      <c r="C2117" s="100" t="str">
        <f>IF(OR(Fact_Administrativa[[#This Row], [Año]]="",Fact_Administrativa[[#This Row], [Mes]]=""),"",DATE(A2117,MATCH(B2117,{"enero","febrero","marzo","abril","mayo","junio","julio","agosto","septiembre","octubre","noviembre","diciembre"},0)+1,0))</f>
        <v/>
      </c>
      <c r="E2117" t="str">
        <f>+IFERROR(VLOOKUP(Fact_Administrativa[[#This Row], [Concepto Anterior]],Conceptos_Administrativa[#All],5,0),"")</f>
        <v/>
      </c>
      <c r="F2117" t="str">
        <f>+IFERROR(VLOOKUP(Fact_Administrativa[[#This Row], 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ht="18.75" customHeight="1" x14ac:dyDescent="0.35">
      <c r="C2118" s="100" t="str">
        <f>IF(OR(Fact_Administrativa[[#This Row], [Año]]="",Fact_Administrativa[[#This Row], [Mes]]=""),"",DATE(A2118,MATCH(B2118,{"enero","febrero","marzo","abril","mayo","junio","julio","agosto","septiembre","octubre","noviembre","diciembre"},0)+1,0))</f>
        <v/>
      </c>
      <c r="E2118" t="str">
        <f>+IFERROR(VLOOKUP(Fact_Administrativa[[#This Row], [Concepto Anterior]],Conceptos_Administrativa[#All],5,0),"")</f>
        <v/>
      </c>
      <c r="F2118" t="str">
        <f>+IFERROR(VLOOKUP(Fact_Administrativa[[#This Row], 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ht="18.75" customHeight="1" x14ac:dyDescent="0.35">
      <c r="C2119" s="100" t="str">
        <f>IF(OR(Fact_Administrativa[[#This Row], [Año]]="",Fact_Administrativa[[#This Row], [Mes]]=""),"",DATE(A2119,MATCH(B2119,{"enero","febrero","marzo","abril","mayo","junio","julio","agosto","septiembre","octubre","noviembre","diciembre"},0)+1,0))</f>
        <v/>
      </c>
      <c r="E2119" t="str">
        <f>+IFERROR(VLOOKUP(Fact_Administrativa[[#This Row], [Concepto Anterior]],Conceptos_Administrativa[#All],5,0),"")</f>
        <v/>
      </c>
      <c r="F2119" t="str">
        <f>+IFERROR(VLOOKUP(Fact_Administrativa[[#This Row], 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ht="18.75" customHeight="1" x14ac:dyDescent="0.35">
      <c r="C2120" s="100" t="str">
        <f>IF(OR(Fact_Administrativa[[#This Row], [Año]]="",Fact_Administrativa[[#This Row], [Mes]]=""),"",DATE(A2120,MATCH(B2120,{"enero","febrero","marzo","abril","mayo","junio","julio","agosto","septiembre","octubre","noviembre","diciembre"},0)+1,0))</f>
        <v/>
      </c>
      <c r="E2120" t="str">
        <f>+IFERROR(VLOOKUP(Fact_Administrativa[[#This Row], [Concepto Anterior]],Conceptos_Administrativa[#All],5,0),"")</f>
        <v/>
      </c>
      <c r="F2120" t="str">
        <f>+IFERROR(VLOOKUP(Fact_Administrativa[[#This Row], 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ht="18.75" customHeight="1" x14ac:dyDescent="0.35">
      <c r="C2121" s="100" t="str">
        <f>IF(OR(Fact_Administrativa[[#This Row], [Año]]="",Fact_Administrativa[[#This Row], [Mes]]=""),"",DATE(A2121,MATCH(B2121,{"enero","febrero","marzo","abril","mayo","junio","julio","agosto","septiembre","octubre","noviembre","diciembre"},0)+1,0))</f>
        <v/>
      </c>
      <c r="E2121" t="str">
        <f>+IFERROR(VLOOKUP(Fact_Administrativa[[#This Row], [Concepto Anterior]],Conceptos_Administrativa[#All],5,0),"")</f>
        <v/>
      </c>
      <c r="F2121" t="str">
        <f>+IFERROR(VLOOKUP(Fact_Administrativa[[#This Row], 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ht="18.75" customHeight="1" x14ac:dyDescent="0.35">
      <c r="C2122" s="100" t="str">
        <f>IF(OR(Fact_Administrativa[[#This Row], [Año]]="",Fact_Administrativa[[#This Row], [Mes]]=""),"",DATE(A2122,MATCH(B2122,{"enero","febrero","marzo","abril","mayo","junio","julio","agosto","septiembre","octubre","noviembre","diciembre"},0)+1,0))</f>
        <v/>
      </c>
      <c r="E2122" t="str">
        <f>+IFERROR(VLOOKUP(Fact_Administrativa[[#This Row], [Concepto Anterior]],Conceptos_Administrativa[#All],5,0),"")</f>
        <v/>
      </c>
      <c r="F2122" t="str">
        <f>+IFERROR(VLOOKUP(Fact_Administrativa[[#This Row], 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ht="18.75" customHeight="1" x14ac:dyDescent="0.35">
      <c r="C2123" s="100" t="str">
        <f>IF(OR(Fact_Administrativa[[#This Row], [Año]]="",Fact_Administrativa[[#This Row], [Mes]]=""),"",DATE(A2123,MATCH(B2123,{"enero","febrero","marzo","abril","mayo","junio","julio","agosto","septiembre","octubre","noviembre","diciembre"},0)+1,0))</f>
        <v/>
      </c>
      <c r="E2123" t="str">
        <f>+IFERROR(VLOOKUP(Fact_Administrativa[[#This Row], [Concepto Anterior]],Conceptos_Administrativa[#All],5,0),"")</f>
        <v/>
      </c>
      <c r="F2123" t="str">
        <f>+IFERROR(VLOOKUP(Fact_Administrativa[[#This Row], 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ht="18.75" customHeight="1" x14ac:dyDescent="0.35">
      <c r="C2124" s="100" t="str">
        <f>IF(OR(Fact_Administrativa[[#This Row], [Año]]="",Fact_Administrativa[[#This Row], [Mes]]=""),"",DATE(A2124,MATCH(B2124,{"enero","febrero","marzo","abril","mayo","junio","julio","agosto","septiembre","octubre","noviembre","diciembre"},0)+1,0))</f>
        <v/>
      </c>
      <c r="E2124" t="str">
        <f>+IFERROR(VLOOKUP(Fact_Administrativa[[#This Row], [Concepto Anterior]],Conceptos_Administrativa[#All],5,0),"")</f>
        <v/>
      </c>
      <c r="F2124" t="str">
        <f>+IFERROR(VLOOKUP(Fact_Administrativa[[#This Row], 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ht="18.75" customHeight="1" x14ac:dyDescent="0.35">
      <c r="C2125" s="100" t="str">
        <f>IF(OR(Fact_Administrativa[[#This Row], [Año]]="",Fact_Administrativa[[#This Row], [Mes]]=""),"",DATE(A2125,MATCH(B2125,{"enero","febrero","marzo","abril","mayo","junio","julio","agosto","septiembre","octubre","noviembre","diciembre"},0)+1,0))</f>
        <v/>
      </c>
      <c r="E2125" t="str">
        <f>+IFERROR(VLOOKUP(Fact_Administrativa[[#This Row], [Concepto Anterior]],Conceptos_Administrativa[#All],5,0),"")</f>
        <v/>
      </c>
      <c r="F2125" t="str">
        <f>+IFERROR(VLOOKUP(Fact_Administrativa[[#This Row], 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ht="18.75" customHeight="1" x14ac:dyDescent="0.35">
      <c r="C2126" s="100" t="str">
        <f>IF(OR(Fact_Administrativa[[#This Row], [Año]]="",Fact_Administrativa[[#This Row], [Mes]]=""),"",DATE(A2126,MATCH(B2126,{"enero","febrero","marzo","abril","mayo","junio","julio","agosto","septiembre","octubre","noviembre","diciembre"},0)+1,0))</f>
        <v/>
      </c>
      <c r="E2126" t="str">
        <f>+IFERROR(VLOOKUP(Fact_Administrativa[[#This Row], [Concepto Anterior]],Conceptos_Administrativa[#All],5,0),"")</f>
        <v/>
      </c>
      <c r="F2126" t="str">
        <f>+IFERROR(VLOOKUP(Fact_Administrativa[[#This Row], 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ht="18.75" customHeight="1" x14ac:dyDescent="0.35">
      <c r="C2127" s="100" t="str">
        <f>IF(OR(Fact_Administrativa[[#This Row], [Año]]="",Fact_Administrativa[[#This Row], [Mes]]=""),"",DATE(A2127,MATCH(B2127,{"enero","febrero","marzo","abril","mayo","junio","julio","agosto","septiembre","octubre","noviembre","diciembre"},0)+1,0))</f>
        <v/>
      </c>
      <c r="E2127" t="str">
        <f>+IFERROR(VLOOKUP(Fact_Administrativa[[#This Row], [Concepto Anterior]],Conceptos_Administrativa[#All],5,0),"")</f>
        <v/>
      </c>
      <c r="F2127" t="str">
        <f>+IFERROR(VLOOKUP(Fact_Administrativa[[#This Row], 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ht="18.75" customHeight="1" x14ac:dyDescent="0.35">
      <c r="C2128" s="100" t="str">
        <f>IF(OR(Fact_Administrativa[[#This Row], [Año]]="",Fact_Administrativa[[#This Row], [Mes]]=""),"",DATE(A2128,MATCH(B2128,{"enero","febrero","marzo","abril","mayo","junio","julio","agosto","septiembre","octubre","noviembre","diciembre"},0)+1,0))</f>
        <v/>
      </c>
      <c r="E2128" t="str">
        <f>+IFERROR(VLOOKUP(Fact_Administrativa[[#This Row], [Concepto Anterior]],Conceptos_Administrativa[#All],5,0),"")</f>
        <v/>
      </c>
      <c r="F2128" t="str">
        <f>+IFERROR(VLOOKUP(Fact_Administrativa[[#This Row], 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ht="18.75" customHeight="1" x14ac:dyDescent="0.35">
      <c r="C2129" s="100" t="str">
        <f>IF(OR(Fact_Administrativa[[#This Row], [Año]]="",Fact_Administrativa[[#This Row], [Mes]]=""),"",DATE(A2129,MATCH(B2129,{"enero","febrero","marzo","abril","mayo","junio","julio","agosto","septiembre","octubre","noviembre","diciembre"},0)+1,0))</f>
        <v/>
      </c>
      <c r="E2129" t="str">
        <f>+IFERROR(VLOOKUP(Fact_Administrativa[[#This Row], [Concepto Anterior]],Conceptos_Administrativa[#All],5,0),"")</f>
        <v/>
      </c>
      <c r="F2129" t="str">
        <f>+IFERROR(VLOOKUP(Fact_Administrativa[[#This Row], 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ht="18.75" customHeight="1" x14ac:dyDescent="0.35">
      <c r="C2130" s="100" t="str">
        <f>IF(OR(Fact_Administrativa[[#This Row], [Año]]="",Fact_Administrativa[[#This Row], [Mes]]=""),"",DATE(A2130,MATCH(B2130,{"enero","febrero","marzo","abril","mayo","junio","julio","agosto","septiembre","octubre","noviembre","diciembre"},0)+1,0))</f>
        <v/>
      </c>
      <c r="E2130" t="str">
        <f>+IFERROR(VLOOKUP(Fact_Administrativa[[#This Row], [Concepto Anterior]],Conceptos_Administrativa[#All],5,0),"")</f>
        <v/>
      </c>
      <c r="F2130" t="str">
        <f>+IFERROR(VLOOKUP(Fact_Administrativa[[#This Row], 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ht="18.75" customHeight="1" x14ac:dyDescent="0.35">
      <c r="C2131" s="100" t="str">
        <f>IF(OR(Fact_Administrativa[[#This Row], [Año]]="",Fact_Administrativa[[#This Row], [Mes]]=""),"",DATE(A2131,MATCH(B2131,{"enero","febrero","marzo","abril","mayo","junio","julio","agosto","septiembre","octubre","noviembre","diciembre"},0)+1,0))</f>
        <v/>
      </c>
      <c r="E2131" t="str">
        <f>+IFERROR(VLOOKUP(Fact_Administrativa[[#This Row], [Concepto Anterior]],Conceptos_Administrativa[#All],5,0),"")</f>
        <v/>
      </c>
      <c r="F2131" t="str">
        <f>+IFERROR(VLOOKUP(Fact_Administrativa[[#This Row], 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ht="18.75" customHeight="1" x14ac:dyDescent="0.35">
      <c r="C2132" s="100" t="str">
        <f>IF(OR(Fact_Administrativa[[#This Row], [Año]]="",Fact_Administrativa[[#This Row], [Mes]]=""),"",DATE(A2132,MATCH(B2132,{"enero","febrero","marzo","abril","mayo","junio","julio","agosto","septiembre","octubre","noviembre","diciembre"},0)+1,0))</f>
        <v/>
      </c>
      <c r="E2132" t="str">
        <f>+IFERROR(VLOOKUP(Fact_Administrativa[[#This Row], [Concepto Anterior]],Conceptos_Administrativa[#All],5,0),"")</f>
        <v/>
      </c>
      <c r="F2132" t="str">
        <f>+IFERROR(VLOOKUP(Fact_Administrativa[[#This Row], 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ht="18.75" customHeight="1" x14ac:dyDescent="0.35">
      <c r="C2133" s="100" t="str">
        <f>IF(OR(Fact_Administrativa[[#This Row], [Año]]="",Fact_Administrativa[[#This Row], [Mes]]=""),"",DATE(A2133,MATCH(B2133,{"enero","febrero","marzo","abril","mayo","junio","julio","agosto","septiembre","octubre","noviembre","diciembre"},0)+1,0))</f>
        <v/>
      </c>
      <c r="E2133" t="str">
        <f>+IFERROR(VLOOKUP(Fact_Administrativa[[#This Row], [Concepto Anterior]],Conceptos_Administrativa[#All],5,0),"")</f>
        <v/>
      </c>
      <c r="F2133" t="str">
        <f>+IFERROR(VLOOKUP(Fact_Administrativa[[#This Row], 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ht="18.75" customHeight="1" x14ac:dyDescent="0.35">
      <c r="C2134" s="100" t="str">
        <f>IF(OR(Fact_Administrativa[[#This Row], [Año]]="",Fact_Administrativa[[#This Row], [Mes]]=""),"",DATE(A2134,MATCH(B2134,{"enero","febrero","marzo","abril","mayo","junio","julio","agosto","septiembre","octubre","noviembre","diciembre"},0)+1,0))</f>
        <v/>
      </c>
      <c r="E2134" t="str">
        <f>+IFERROR(VLOOKUP(Fact_Administrativa[[#This Row], [Concepto Anterior]],Conceptos_Administrativa[#All],5,0),"")</f>
        <v/>
      </c>
      <c r="F2134" t="str">
        <f>+IFERROR(VLOOKUP(Fact_Administrativa[[#This Row], 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ht="18.75" customHeight="1" x14ac:dyDescent="0.35">
      <c r="C2135" s="100" t="str">
        <f>IF(OR(Fact_Administrativa[[#This Row], [Año]]="",Fact_Administrativa[[#This Row], [Mes]]=""),"",DATE(A2135,MATCH(B2135,{"enero","febrero","marzo","abril","mayo","junio","julio","agosto","septiembre","octubre","noviembre","diciembre"},0)+1,0))</f>
        <v/>
      </c>
      <c r="E2135" t="str">
        <f>+IFERROR(VLOOKUP(Fact_Administrativa[[#This Row], [Concepto Anterior]],Conceptos_Administrativa[#All],5,0),"")</f>
        <v/>
      </c>
      <c r="F2135" t="str">
        <f>+IFERROR(VLOOKUP(Fact_Administrativa[[#This Row], 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ht="18.75" customHeight="1" x14ac:dyDescent="0.35">
      <c r="C2136" s="100" t="str">
        <f>IF(OR(Fact_Administrativa[[#This Row], [Año]]="",Fact_Administrativa[[#This Row], [Mes]]=""),"",DATE(A2136,MATCH(B2136,{"enero","febrero","marzo","abril","mayo","junio","julio","agosto","septiembre","octubre","noviembre","diciembre"},0)+1,0))</f>
        <v/>
      </c>
      <c r="E2136" t="str">
        <f>+IFERROR(VLOOKUP(Fact_Administrativa[[#This Row], [Concepto Anterior]],Conceptos_Administrativa[#All],5,0),"")</f>
        <v/>
      </c>
      <c r="F2136" t="str">
        <f>+IFERROR(VLOOKUP(Fact_Administrativa[[#This Row], 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ht="18.75" customHeight="1" x14ac:dyDescent="0.35">
      <c r="C2137" s="100" t="str">
        <f>IF(OR(Fact_Administrativa[[#This Row], [Año]]="",Fact_Administrativa[[#This Row], [Mes]]=""),"",DATE(A2137,MATCH(B2137,{"enero","febrero","marzo","abril","mayo","junio","julio","agosto","septiembre","octubre","noviembre","diciembre"},0)+1,0))</f>
        <v/>
      </c>
      <c r="E2137" t="str">
        <f>+IFERROR(VLOOKUP(Fact_Administrativa[[#This Row], [Concepto Anterior]],Conceptos_Administrativa[#All],5,0),"")</f>
        <v/>
      </c>
      <c r="F2137" t="str">
        <f>+IFERROR(VLOOKUP(Fact_Administrativa[[#This Row], 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ht="18.75" customHeight="1" x14ac:dyDescent="0.35">
      <c r="C2138" s="100" t="str">
        <f>IF(OR(Fact_Administrativa[[#This Row], [Año]]="",Fact_Administrativa[[#This Row], [Mes]]=""),"",DATE(A2138,MATCH(B2138,{"enero","febrero","marzo","abril","mayo","junio","julio","agosto","septiembre","octubre","noviembre","diciembre"},0)+1,0))</f>
        <v/>
      </c>
      <c r="E2138" t="str">
        <f>+IFERROR(VLOOKUP(Fact_Administrativa[[#This Row], [Concepto Anterior]],Conceptos_Administrativa[#All],5,0),"")</f>
        <v/>
      </c>
      <c r="F2138" t="str">
        <f>+IFERROR(VLOOKUP(Fact_Administrativa[[#This Row], 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ht="18.75" customHeight="1" x14ac:dyDescent="0.35">
      <c r="C2139" s="100" t="str">
        <f>IF(OR(Fact_Administrativa[[#This Row], [Año]]="",Fact_Administrativa[[#This Row], [Mes]]=""),"",DATE(A2139,MATCH(B2139,{"enero","febrero","marzo","abril","mayo","junio","julio","agosto","septiembre","octubre","noviembre","diciembre"},0)+1,0))</f>
        <v/>
      </c>
      <c r="E2139" t="str">
        <f>+IFERROR(VLOOKUP(Fact_Administrativa[[#This Row], [Concepto Anterior]],Conceptos_Administrativa[#All],5,0),"")</f>
        <v/>
      </c>
      <c r="F2139" t="str">
        <f>+IFERROR(VLOOKUP(Fact_Administrativa[[#This Row], 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ht="18.75" customHeight="1" x14ac:dyDescent="0.35">
      <c r="C2140" s="100" t="str">
        <f>IF(OR(Fact_Administrativa[[#This Row], [Año]]="",Fact_Administrativa[[#This Row], [Mes]]=""),"",DATE(A2140,MATCH(B2140,{"enero","febrero","marzo","abril","mayo","junio","julio","agosto","septiembre","octubre","noviembre","diciembre"},0)+1,0))</f>
        <v/>
      </c>
      <c r="E2140" t="str">
        <f>+IFERROR(VLOOKUP(Fact_Administrativa[[#This Row], [Concepto Anterior]],Conceptos_Administrativa[#All],5,0),"")</f>
        <v/>
      </c>
      <c r="F2140" t="str">
        <f>+IFERROR(VLOOKUP(Fact_Administrativa[[#This Row], 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ht="18.75" customHeight="1" x14ac:dyDescent="0.35">
      <c r="C2141" s="100" t="str">
        <f>IF(OR(Fact_Administrativa[[#This Row], [Año]]="",Fact_Administrativa[[#This Row], [Mes]]=""),"",DATE(A2141,MATCH(B2141,{"enero","febrero","marzo","abril","mayo","junio","julio","agosto","septiembre","octubre","noviembre","diciembre"},0)+1,0))</f>
        <v/>
      </c>
      <c r="E2141" t="str">
        <f>+IFERROR(VLOOKUP(Fact_Administrativa[[#This Row], [Concepto Anterior]],Conceptos_Administrativa[#All],5,0),"")</f>
        <v/>
      </c>
      <c r="F2141" t="str">
        <f>+IFERROR(VLOOKUP(Fact_Administrativa[[#This Row], 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ht="18.75" customHeight="1" x14ac:dyDescent="0.35">
      <c r="C2142" s="100" t="str">
        <f>IF(OR(Fact_Administrativa[[#This Row], [Año]]="",Fact_Administrativa[[#This Row], [Mes]]=""),"",DATE(A2142,MATCH(B2142,{"enero","febrero","marzo","abril","mayo","junio","julio","agosto","septiembre","octubre","noviembre","diciembre"},0)+1,0))</f>
        <v/>
      </c>
      <c r="E2142" t="str">
        <f>+IFERROR(VLOOKUP(Fact_Administrativa[[#This Row], [Concepto Anterior]],Conceptos_Administrativa[#All],5,0),"")</f>
        <v/>
      </c>
      <c r="F2142" t="str">
        <f>+IFERROR(VLOOKUP(Fact_Administrativa[[#This Row], 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ht="18.75" customHeight="1" x14ac:dyDescent="0.35">
      <c r="C2143" s="100" t="str">
        <f>IF(OR(Fact_Administrativa[[#This Row], [Año]]="",Fact_Administrativa[[#This Row], [Mes]]=""),"",DATE(A2143,MATCH(B2143,{"enero","febrero","marzo","abril","mayo","junio","julio","agosto","septiembre","octubre","noviembre","diciembre"},0)+1,0))</f>
        <v/>
      </c>
      <c r="E2143" t="str">
        <f>+IFERROR(VLOOKUP(Fact_Administrativa[[#This Row], [Concepto Anterior]],Conceptos_Administrativa[#All],5,0),"")</f>
        <v/>
      </c>
      <c r="F2143" t="str">
        <f>+IFERROR(VLOOKUP(Fact_Administrativa[[#This Row], 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ht="18.75" customHeight="1" x14ac:dyDescent="0.35">
      <c r="C2144" s="100" t="str">
        <f>IF(OR(Fact_Administrativa[[#This Row], [Año]]="",Fact_Administrativa[[#This Row], [Mes]]=""),"",DATE(A2144,MATCH(B2144,{"enero","febrero","marzo","abril","mayo","junio","julio","agosto","septiembre","octubre","noviembre","diciembre"},0)+1,0))</f>
        <v/>
      </c>
      <c r="E2144" t="str">
        <f>+IFERROR(VLOOKUP(Fact_Administrativa[[#This Row], [Concepto Anterior]],Conceptos_Administrativa[#All],5,0),"")</f>
        <v/>
      </c>
      <c r="F2144" t="str">
        <f>+IFERROR(VLOOKUP(Fact_Administrativa[[#This Row], 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ht="18.75" customHeight="1" x14ac:dyDescent="0.35">
      <c r="C2145" s="100" t="str">
        <f>IF(OR(Fact_Administrativa[[#This Row], [Año]]="",Fact_Administrativa[[#This Row], [Mes]]=""),"",DATE(A2145,MATCH(B2145,{"enero","febrero","marzo","abril","mayo","junio","julio","agosto","septiembre","octubre","noviembre","diciembre"},0)+1,0))</f>
        <v/>
      </c>
      <c r="E2145" t="str">
        <f>+IFERROR(VLOOKUP(Fact_Administrativa[[#This Row], [Concepto Anterior]],Conceptos_Administrativa[#All],5,0),"")</f>
        <v/>
      </c>
      <c r="F2145" t="str">
        <f>+IFERROR(VLOOKUP(Fact_Administrativa[[#This Row], 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ht="18.75" customHeight="1" x14ac:dyDescent="0.35">
      <c r="C2146" s="100" t="str">
        <f>IF(OR(Fact_Administrativa[[#This Row], [Año]]="",Fact_Administrativa[[#This Row], [Mes]]=""),"",DATE(A2146,MATCH(B2146,{"enero","febrero","marzo","abril","mayo","junio","julio","agosto","septiembre","octubre","noviembre","diciembre"},0)+1,0))</f>
        <v/>
      </c>
      <c r="E2146" t="str">
        <f>+IFERROR(VLOOKUP(Fact_Administrativa[[#This Row], [Concepto Anterior]],Conceptos_Administrativa[#All],5,0),"")</f>
        <v/>
      </c>
      <c r="F2146" t="str">
        <f>+IFERROR(VLOOKUP(Fact_Administrativa[[#This Row], 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ht="18.75" customHeight="1" x14ac:dyDescent="0.35">
      <c r="C2147" s="100" t="str">
        <f>IF(OR(Fact_Administrativa[[#This Row], [Año]]="",Fact_Administrativa[[#This Row], [Mes]]=""),"",DATE(A2147,MATCH(B2147,{"enero","febrero","marzo","abril","mayo","junio","julio","agosto","septiembre","octubre","noviembre","diciembre"},0)+1,0))</f>
        <v/>
      </c>
      <c r="E2147" t="str">
        <f>+IFERROR(VLOOKUP(Fact_Administrativa[[#This Row], [Concepto Anterior]],Conceptos_Administrativa[#All],5,0),"")</f>
        <v/>
      </c>
      <c r="F2147" t="str">
        <f>+IFERROR(VLOOKUP(Fact_Administrativa[[#This Row], 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ht="18.75" customHeight="1" x14ac:dyDescent="0.35">
      <c r="C2148" s="100" t="str">
        <f>IF(OR(Fact_Administrativa[[#This Row], [Año]]="",Fact_Administrativa[[#This Row], [Mes]]=""),"",DATE(A2148,MATCH(B2148,{"enero","febrero","marzo","abril","mayo","junio","julio","agosto","septiembre","octubre","noviembre","diciembre"},0)+1,0))</f>
        <v/>
      </c>
      <c r="E2148" t="str">
        <f>+IFERROR(VLOOKUP(Fact_Administrativa[[#This Row], [Concepto Anterior]],Conceptos_Administrativa[#All],5,0),"")</f>
        <v/>
      </c>
      <c r="F2148" t="str">
        <f>+IFERROR(VLOOKUP(Fact_Administrativa[[#This Row], 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ht="18.75" customHeight="1" x14ac:dyDescent="0.35">
      <c r="C2149" s="100" t="str">
        <f>IF(OR(Fact_Administrativa[[#This Row], [Año]]="",Fact_Administrativa[[#This Row], [Mes]]=""),"",DATE(A2149,MATCH(B2149,{"enero","febrero","marzo","abril","mayo","junio","julio","agosto","septiembre","octubre","noviembre","diciembre"},0)+1,0))</f>
        <v/>
      </c>
      <c r="E2149" t="str">
        <f>+IFERROR(VLOOKUP(Fact_Administrativa[[#This Row], [Concepto Anterior]],Conceptos_Administrativa[#All],5,0),"")</f>
        <v/>
      </c>
      <c r="F2149" t="str">
        <f>+IFERROR(VLOOKUP(Fact_Administrativa[[#This Row], 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ht="18.75" customHeight="1" x14ac:dyDescent="0.35">
      <c r="C2150" s="100" t="str">
        <f>IF(OR(Fact_Administrativa[[#This Row], [Año]]="",Fact_Administrativa[[#This Row], [Mes]]=""),"",DATE(A2150,MATCH(B2150,{"enero","febrero","marzo","abril","mayo","junio","julio","agosto","septiembre","octubre","noviembre","diciembre"},0)+1,0))</f>
        <v/>
      </c>
      <c r="E2150" t="str">
        <f>+IFERROR(VLOOKUP(Fact_Administrativa[[#This Row], [Concepto Anterior]],Conceptos_Administrativa[#All],5,0),"")</f>
        <v/>
      </c>
      <c r="F2150" t="str">
        <f>+IFERROR(VLOOKUP(Fact_Administrativa[[#This Row], 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ht="18.75" customHeight="1" x14ac:dyDescent="0.35">
      <c r="C2151" s="100" t="str">
        <f>IF(OR(Fact_Administrativa[[#This Row], [Año]]="",Fact_Administrativa[[#This Row], [Mes]]=""),"",DATE(A2151,MATCH(B2151,{"enero","febrero","marzo","abril","mayo","junio","julio","agosto","septiembre","octubre","noviembre","diciembre"},0)+1,0))</f>
        <v/>
      </c>
      <c r="E2151" t="str">
        <f>+IFERROR(VLOOKUP(Fact_Administrativa[[#This Row], [Concepto Anterior]],Conceptos_Administrativa[#All],5,0),"")</f>
        <v/>
      </c>
      <c r="F2151" t="str">
        <f>+IFERROR(VLOOKUP(Fact_Administrativa[[#This Row], 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ht="18.75" customHeight="1" x14ac:dyDescent="0.35">
      <c r="C2152" s="100" t="str">
        <f>IF(OR(Fact_Administrativa[[#This Row], [Año]]="",Fact_Administrativa[[#This Row], [Mes]]=""),"",DATE(A2152,MATCH(B2152,{"enero","febrero","marzo","abril","mayo","junio","julio","agosto","septiembre","octubre","noviembre","diciembre"},0)+1,0))</f>
        <v/>
      </c>
      <c r="E2152" t="str">
        <f>+IFERROR(VLOOKUP(Fact_Administrativa[[#This Row], [Concepto Anterior]],Conceptos_Administrativa[#All],5,0),"")</f>
        <v/>
      </c>
      <c r="F2152" t="str">
        <f>+IFERROR(VLOOKUP(Fact_Administrativa[[#This Row], 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ht="18.75" customHeight="1" x14ac:dyDescent="0.35">
      <c r="C2153" s="100" t="str">
        <f>IF(OR(Fact_Administrativa[[#This Row], [Año]]="",Fact_Administrativa[[#This Row], [Mes]]=""),"",DATE(A2153,MATCH(B2153,{"enero","febrero","marzo","abril","mayo","junio","julio","agosto","septiembre","octubre","noviembre","diciembre"},0)+1,0))</f>
        <v/>
      </c>
      <c r="E2153" t="str">
        <f>+IFERROR(VLOOKUP(Fact_Administrativa[[#This Row], [Concepto Anterior]],Conceptos_Administrativa[#All],5,0),"")</f>
        <v/>
      </c>
      <c r="F2153" t="str">
        <f>+IFERROR(VLOOKUP(Fact_Administrativa[[#This Row], 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ht="18.75" customHeight="1" x14ac:dyDescent="0.35">
      <c r="C2154" s="100" t="str">
        <f>IF(OR(Fact_Administrativa[[#This Row], [Año]]="",Fact_Administrativa[[#This Row], [Mes]]=""),"",DATE(A2154,MATCH(B2154,{"enero","febrero","marzo","abril","mayo","junio","julio","agosto","septiembre","octubre","noviembre","diciembre"},0)+1,0))</f>
        <v/>
      </c>
      <c r="E2154" t="str">
        <f>+IFERROR(VLOOKUP(Fact_Administrativa[[#This Row], [Concepto Anterior]],Conceptos_Administrativa[#All],5,0),"")</f>
        <v/>
      </c>
      <c r="F2154" t="str">
        <f>+IFERROR(VLOOKUP(Fact_Administrativa[[#This Row], 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ht="18.75" customHeight="1" x14ac:dyDescent="0.35">
      <c r="C2155" s="100" t="str">
        <f>IF(OR(Fact_Administrativa[[#This Row], [Año]]="",Fact_Administrativa[[#This Row], [Mes]]=""),"",DATE(A2155,MATCH(B2155,{"enero","febrero","marzo","abril","mayo","junio","julio","agosto","septiembre","octubre","noviembre","diciembre"},0)+1,0))</f>
        <v/>
      </c>
      <c r="E2155" t="str">
        <f>+IFERROR(VLOOKUP(Fact_Administrativa[[#This Row], [Concepto Anterior]],Conceptos_Administrativa[#All],5,0),"")</f>
        <v/>
      </c>
      <c r="F2155" t="str">
        <f>+IFERROR(VLOOKUP(Fact_Administrativa[[#This Row], 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ht="18.75" customHeight="1" x14ac:dyDescent="0.35">
      <c r="C2156" s="100" t="str">
        <f>IF(OR(Fact_Administrativa[[#This Row], [Año]]="",Fact_Administrativa[[#This Row], [Mes]]=""),"",DATE(A2156,MATCH(B2156,{"enero","febrero","marzo","abril","mayo","junio","julio","agosto","septiembre","octubre","noviembre","diciembre"},0)+1,0))</f>
        <v/>
      </c>
      <c r="E2156" t="str">
        <f>+IFERROR(VLOOKUP(Fact_Administrativa[[#This Row], [Concepto Anterior]],Conceptos_Administrativa[#All],5,0),"")</f>
        <v/>
      </c>
      <c r="F2156" t="str">
        <f>+IFERROR(VLOOKUP(Fact_Administrativa[[#This Row], 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ht="18.75" customHeight="1" x14ac:dyDescent="0.35">
      <c r="C2157" s="100" t="str">
        <f>IF(OR(Fact_Administrativa[[#This Row], [Año]]="",Fact_Administrativa[[#This Row], [Mes]]=""),"",DATE(A2157,MATCH(B2157,{"enero","febrero","marzo","abril","mayo","junio","julio","agosto","septiembre","octubre","noviembre","diciembre"},0)+1,0))</f>
        <v/>
      </c>
      <c r="E2157" t="str">
        <f>+IFERROR(VLOOKUP(Fact_Administrativa[[#This Row], [Concepto Anterior]],Conceptos_Administrativa[#All],5,0),"")</f>
        <v/>
      </c>
      <c r="F2157" t="str">
        <f>+IFERROR(VLOOKUP(Fact_Administrativa[[#This Row], 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ht="18.75" customHeight="1" x14ac:dyDescent="0.35">
      <c r="C2158" s="100" t="str">
        <f>IF(OR(Fact_Administrativa[[#This Row], [Año]]="",Fact_Administrativa[[#This Row], [Mes]]=""),"",DATE(A2158,MATCH(B2158,{"enero","febrero","marzo","abril","mayo","junio","julio","agosto","septiembre","octubre","noviembre","diciembre"},0)+1,0))</f>
        <v/>
      </c>
      <c r="E2158" t="str">
        <f>+IFERROR(VLOOKUP(Fact_Administrativa[[#This Row], [Concepto Anterior]],Conceptos_Administrativa[#All],5,0),"")</f>
        <v/>
      </c>
      <c r="F2158" t="str">
        <f>+IFERROR(VLOOKUP(Fact_Administrativa[[#This Row], 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ht="18.75" customHeight="1" x14ac:dyDescent="0.35">
      <c r="C2159" s="100" t="str">
        <f>IF(OR(Fact_Administrativa[[#This Row], [Año]]="",Fact_Administrativa[[#This Row], [Mes]]=""),"",DATE(A2159,MATCH(B2159,{"enero","febrero","marzo","abril","mayo","junio","julio","agosto","septiembre","octubre","noviembre","diciembre"},0)+1,0))</f>
        <v/>
      </c>
      <c r="E2159" t="str">
        <f>+IFERROR(VLOOKUP(Fact_Administrativa[[#This Row], [Concepto Anterior]],Conceptos_Administrativa[#All],5,0),"")</f>
        <v/>
      </c>
      <c r="F2159" t="str">
        <f>+IFERROR(VLOOKUP(Fact_Administrativa[[#This Row], 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ht="18.75" customHeight="1" x14ac:dyDescent="0.35">
      <c r="C2160" s="100" t="str">
        <f>IF(OR(Fact_Administrativa[[#This Row], [Año]]="",Fact_Administrativa[[#This Row], [Mes]]=""),"",DATE(A2160,MATCH(B2160,{"enero","febrero","marzo","abril","mayo","junio","julio","agosto","septiembre","octubre","noviembre","diciembre"},0)+1,0))</f>
        <v/>
      </c>
      <c r="E2160" t="str">
        <f>+IFERROR(VLOOKUP(Fact_Administrativa[[#This Row], [Concepto Anterior]],Conceptos_Administrativa[#All],5,0),"")</f>
        <v/>
      </c>
      <c r="F2160" t="str">
        <f>+IFERROR(VLOOKUP(Fact_Administrativa[[#This Row], 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ht="18.75" customHeight="1" x14ac:dyDescent="0.35">
      <c r="C2161" s="100" t="str">
        <f>IF(OR(Fact_Administrativa[[#This Row], [Año]]="",Fact_Administrativa[[#This Row], [Mes]]=""),"",DATE(A2161,MATCH(B2161,{"enero","febrero","marzo","abril","mayo","junio","julio","agosto","septiembre","octubre","noviembre","diciembre"},0)+1,0))</f>
        <v/>
      </c>
      <c r="E2161" t="str">
        <f>+IFERROR(VLOOKUP(Fact_Administrativa[[#This Row], [Concepto Anterior]],Conceptos_Administrativa[#All],5,0),"")</f>
        <v/>
      </c>
      <c r="F2161" t="str">
        <f>+IFERROR(VLOOKUP(Fact_Administrativa[[#This Row], 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ht="18.75" customHeight="1" x14ac:dyDescent="0.35">
      <c r="C2162" s="100" t="str">
        <f>IF(OR(Fact_Administrativa[[#This Row], [Año]]="",Fact_Administrativa[[#This Row], [Mes]]=""),"",DATE(A2162,MATCH(B2162,{"enero","febrero","marzo","abril","mayo","junio","julio","agosto","septiembre","octubre","noviembre","diciembre"},0)+1,0))</f>
        <v/>
      </c>
      <c r="E2162" t="str">
        <f>+IFERROR(VLOOKUP(Fact_Administrativa[[#This Row], [Concepto Anterior]],Conceptos_Administrativa[#All],5,0),"")</f>
        <v/>
      </c>
      <c r="F2162" t="str">
        <f>+IFERROR(VLOOKUP(Fact_Administrativa[[#This Row], 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ht="18.75" customHeight="1" x14ac:dyDescent="0.35">
      <c r="C2163" s="100" t="str">
        <f>IF(OR(Fact_Administrativa[[#This Row], [Año]]="",Fact_Administrativa[[#This Row], [Mes]]=""),"",DATE(A2163,MATCH(B2163,{"enero","febrero","marzo","abril","mayo","junio","julio","agosto","septiembre","octubre","noviembre","diciembre"},0)+1,0))</f>
        <v/>
      </c>
      <c r="E2163" t="str">
        <f>+IFERROR(VLOOKUP(Fact_Administrativa[[#This Row], [Concepto Anterior]],Conceptos_Administrativa[#All],5,0),"")</f>
        <v/>
      </c>
      <c r="F2163" t="str">
        <f>+IFERROR(VLOOKUP(Fact_Administrativa[[#This Row], 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ht="18.75" customHeight="1" x14ac:dyDescent="0.35">
      <c r="C2164" s="100" t="str">
        <f>IF(OR(Fact_Administrativa[[#This Row], [Año]]="",Fact_Administrativa[[#This Row], [Mes]]=""),"",DATE(A2164,MATCH(B2164,{"enero","febrero","marzo","abril","mayo","junio","julio","agosto","septiembre","octubre","noviembre","diciembre"},0)+1,0))</f>
        <v/>
      </c>
      <c r="E2164" t="str">
        <f>+IFERROR(VLOOKUP(Fact_Administrativa[[#This Row], [Concepto Anterior]],Conceptos_Administrativa[#All],5,0),"")</f>
        <v/>
      </c>
      <c r="F2164" t="str">
        <f>+IFERROR(VLOOKUP(Fact_Administrativa[[#This Row], 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ht="18.75" customHeight="1" x14ac:dyDescent="0.35">
      <c r="C2165" s="100" t="str">
        <f>IF(OR(Fact_Administrativa[[#This Row], [Año]]="",Fact_Administrativa[[#This Row], [Mes]]=""),"",DATE(A2165,MATCH(B2165,{"enero","febrero","marzo","abril","mayo","junio","julio","agosto","septiembre","octubre","noviembre","diciembre"},0)+1,0))</f>
        <v/>
      </c>
      <c r="E2165" t="str">
        <f>+IFERROR(VLOOKUP(Fact_Administrativa[[#This Row], [Concepto Anterior]],Conceptos_Administrativa[#All],5,0),"")</f>
        <v/>
      </c>
      <c r="F2165" t="str">
        <f>+IFERROR(VLOOKUP(Fact_Administrativa[[#This Row], 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ht="18.75" customHeight="1" x14ac:dyDescent="0.35">
      <c r="C2166" s="100" t="str">
        <f>IF(OR(Fact_Administrativa[[#This Row], [Año]]="",Fact_Administrativa[[#This Row], [Mes]]=""),"",DATE(A2166,MATCH(B2166,{"enero","febrero","marzo","abril","mayo","junio","julio","agosto","septiembre","octubre","noviembre","diciembre"},0)+1,0))</f>
        <v/>
      </c>
      <c r="E2166" t="str">
        <f>+IFERROR(VLOOKUP(Fact_Administrativa[[#This Row], [Concepto Anterior]],Conceptos_Administrativa[#All],5,0),"")</f>
        <v/>
      </c>
      <c r="F2166" t="str">
        <f>+IFERROR(VLOOKUP(Fact_Administrativa[[#This Row], 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ht="18.75" customHeight="1" x14ac:dyDescent="0.35">
      <c r="C2167" s="100" t="str">
        <f>IF(OR(Fact_Administrativa[[#This Row], [Año]]="",Fact_Administrativa[[#This Row], [Mes]]=""),"",DATE(A2167,MATCH(B2167,{"enero","febrero","marzo","abril","mayo","junio","julio","agosto","septiembre","octubre","noviembre","diciembre"},0)+1,0))</f>
        <v/>
      </c>
      <c r="E2167" t="str">
        <f>+IFERROR(VLOOKUP(Fact_Administrativa[[#This Row], [Concepto Anterior]],Conceptos_Administrativa[#All],5,0),"")</f>
        <v/>
      </c>
      <c r="F2167" t="str">
        <f>+IFERROR(VLOOKUP(Fact_Administrativa[[#This Row], 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ht="18.75" customHeight="1" x14ac:dyDescent="0.35">
      <c r="C2168" s="100" t="str">
        <f>IF(OR(Fact_Administrativa[[#This Row], [Año]]="",Fact_Administrativa[[#This Row], [Mes]]=""),"",DATE(A2168,MATCH(B2168,{"enero","febrero","marzo","abril","mayo","junio","julio","agosto","septiembre","octubre","noviembre","diciembre"},0)+1,0))</f>
        <v/>
      </c>
      <c r="E2168" t="str">
        <f>+IFERROR(VLOOKUP(Fact_Administrativa[[#This Row], [Concepto Anterior]],Conceptos_Administrativa[#All],5,0),"")</f>
        <v/>
      </c>
      <c r="F2168" t="str">
        <f>+IFERROR(VLOOKUP(Fact_Administrativa[[#This Row], 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ht="18.75" customHeight="1" x14ac:dyDescent="0.35">
      <c r="C2169" s="100" t="str">
        <f>IF(OR(Fact_Administrativa[[#This Row], [Año]]="",Fact_Administrativa[[#This Row], [Mes]]=""),"",DATE(A2169,MATCH(B2169,{"enero","febrero","marzo","abril","mayo","junio","julio","agosto","septiembre","octubre","noviembre","diciembre"},0)+1,0))</f>
        <v/>
      </c>
      <c r="E2169" t="str">
        <f>+IFERROR(VLOOKUP(Fact_Administrativa[[#This Row], [Concepto Anterior]],Conceptos_Administrativa[#All],5,0),"")</f>
        <v/>
      </c>
      <c r="F2169" t="str">
        <f>+IFERROR(VLOOKUP(Fact_Administrativa[[#This Row], 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ht="18.75" customHeight="1" x14ac:dyDescent="0.35">
      <c r="C2170" s="100" t="str">
        <f>IF(OR(Fact_Administrativa[[#This Row], [Año]]="",Fact_Administrativa[[#This Row], [Mes]]=""),"",DATE(A2170,MATCH(B2170,{"enero","febrero","marzo","abril","mayo","junio","julio","agosto","septiembre","octubre","noviembre","diciembre"},0)+1,0))</f>
        <v/>
      </c>
      <c r="E2170" t="str">
        <f>+IFERROR(VLOOKUP(Fact_Administrativa[[#This Row], [Concepto Anterior]],Conceptos_Administrativa[#All],5,0),"")</f>
        <v/>
      </c>
      <c r="F2170" t="str">
        <f>+IFERROR(VLOOKUP(Fact_Administrativa[[#This Row], 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ht="18.75" customHeight="1" x14ac:dyDescent="0.35">
      <c r="C2171" s="100" t="str">
        <f>IF(OR(Fact_Administrativa[[#This Row], [Año]]="",Fact_Administrativa[[#This Row], [Mes]]=""),"",DATE(A2171,MATCH(B2171,{"enero","febrero","marzo","abril","mayo","junio","julio","agosto","septiembre","octubre","noviembre","diciembre"},0)+1,0))</f>
        <v/>
      </c>
      <c r="E2171" t="str">
        <f>+IFERROR(VLOOKUP(Fact_Administrativa[[#This Row], [Concepto Anterior]],Conceptos_Administrativa[#All],5,0),"")</f>
        <v/>
      </c>
      <c r="F2171" t="str">
        <f>+IFERROR(VLOOKUP(Fact_Administrativa[[#This Row], 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ht="18.75" customHeight="1" x14ac:dyDescent="0.35">
      <c r="C2172" s="100" t="str">
        <f>IF(OR(Fact_Administrativa[[#This Row], [Año]]="",Fact_Administrativa[[#This Row], [Mes]]=""),"",DATE(A2172,MATCH(B2172,{"enero","febrero","marzo","abril","mayo","junio","julio","agosto","septiembre","octubre","noviembre","diciembre"},0)+1,0))</f>
        <v/>
      </c>
      <c r="E2172" t="str">
        <f>+IFERROR(VLOOKUP(Fact_Administrativa[[#This Row], [Concepto Anterior]],Conceptos_Administrativa[#All],5,0),"")</f>
        <v/>
      </c>
      <c r="F2172" t="str">
        <f>+IFERROR(VLOOKUP(Fact_Administrativa[[#This Row], 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ht="18.75" customHeight="1" x14ac:dyDescent="0.35">
      <c r="C2173" s="100" t="str">
        <f>IF(OR(Fact_Administrativa[[#This Row], [Año]]="",Fact_Administrativa[[#This Row], [Mes]]=""),"",DATE(A2173,MATCH(B2173,{"enero","febrero","marzo","abril","mayo","junio","julio","agosto","septiembre","octubre","noviembre","diciembre"},0)+1,0))</f>
        <v/>
      </c>
      <c r="E2173" t="str">
        <f>+IFERROR(VLOOKUP(Fact_Administrativa[[#This Row], [Concepto Anterior]],Conceptos_Administrativa[#All],5,0),"")</f>
        <v/>
      </c>
      <c r="F2173" t="str">
        <f>+IFERROR(VLOOKUP(Fact_Administrativa[[#This Row], 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ht="18.75" customHeight="1" x14ac:dyDescent="0.35">
      <c r="C2174" s="100" t="str">
        <f>IF(OR(Fact_Administrativa[[#This Row], [Año]]="",Fact_Administrativa[[#This Row], [Mes]]=""),"",DATE(A2174,MATCH(B2174,{"enero","febrero","marzo","abril","mayo","junio","julio","agosto","septiembre","octubre","noviembre","diciembre"},0)+1,0))</f>
        <v/>
      </c>
      <c r="E2174" t="str">
        <f>+IFERROR(VLOOKUP(Fact_Administrativa[[#This Row], [Concepto Anterior]],Conceptos_Administrativa[#All],5,0),"")</f>
        <v/>
      </c>
      <c r="F2174" t="str">
        <f>+IFERROR(VLOOKUP(Fact_Administrativa[[#This Row], 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ht="18.75" customHeight="1" x14ac:dyDescent="0.35">
      <c r="C2175" s="100" t="str">
        <f>IF(OR(Fact_Administrativa[[#This Row], [Año]]="",Fact_Administrativa[[#This Row], [Mes]]=""),"",DATE(A2175,MATCH(B2175,{"enero","febrero","marzo","abril","mayo","junio","julio","agosto","septiembre","octubre","noviembre","diciembre"},0)+1,0))</f>
        <v/>
      </c>
      <c r="E2175" t="str">
        <f>+IFERROR(VLOOKUP(Fact_Administrativa[[#This Row], [Concepto Anterior]],Conceptos_Administrativa[#All],5,0),"")</f>
        <v/>
      </c>
      <c r="F2175" t="str">
        <f>+IFERROR(VLOOKUP(Fact_Administrativa[[#This Row], 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ht="18.75" customHeight="1" x14ac:dyDescent="0.35">
      <c r="C2176" s="100" t="str">
        <f>IF(OR(Fact_Administrativa[[#This Row], [Año]]="",Fact_Administrativa[[#This Row], [Mes]]=""),"",DATE(A2176,MATCH(B2176,{"enero","febrero","marzo","abril","mayo","junio","julio","agosto","septiembre","octubre","noviembre","diciembre"},0)+1,0))</f>
        <v/>
      </c>
      <c r="E2176" t="str">
        <f>+IFERROR(VLOOKUP(Fact_Administrativa[[#This Row], [Concepto Anterior]],Conceptos_Administrativa[#All],5,0),"")</f>
        <v/>
      </c>
      <c r="F2176" t="str">
        <f>+IFERROR(VLOOKUP(Fact_Administrativa[[#This Row], 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ht="18.75" customHeight="1" x14ac:dyDescent="0.35">
      <c r="C2177" s="100" t="str">
        <f>IF(OR(Fact_Administrativa[[#This Row], [Año]]="",Fact_Administrativa[[#This Row], [Mes]]=""),"",DATE(A2177,MATCH(B2177,{"enero","febrero","marzo","abril","mayo","junio","julio","agosto","septiembre","octubre","noviembre","diciembre"},0)+1,0))</f>
        <v/>
      </c>
      <c r="E2177" t="str">
        <f>+IFERROR(VLOOKUP(Fact_Administrativa[[#This Row], [Concepto Anterior]],Conceptos_Administrativa[#All],5,0),"")</f>
        <v/>
      </c>
      <c r="F2177" t="str">
        <f>+IFERROR(VLOOKUP(Fact_Administrativa[[#This Row], 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ht="18.75" customHeight="1" x14ac:dyDescent="0.35">
      <c r="C2178" s="100" t="str">
        <f>IF(OR(Fact_Administrativa[[#This Row], [Año]]="",Fact_Administrativa[[#This Row], [Mes]]=""),"",DATE(A2178,MATCH(B2178,{"enero","febrero","marzo","abril","mayo","junio","julio","agosto","septiembre","octubre","noviembre","diciembre"},0)+1,0))</f>
        <v/>
      </c>
      <c r="E2178" t="str">
        <f>+IFERROR(VLOOKUP(Fact_Administrativa[[#This Row], [Concepto Anterior]],Conceptos_Administrativa[#All],5,0),"")</f>
        <v/>
      </c>
      <c r="F2178" t="str">
        <f>+IFERROR(VLOOKUP(Fact_Administrativa[[#This Row], 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ht="18.75" customHeight="1" x14ac:dyDescent="0.35">
      <c r="C2179" s="100" t="str">
        <f>IF(OR(Fact_Administrativa[[#This Row], [Año]]="",Fact_Administrativa[[#This Row], [Mes]]=""),"",DATE(A2179,MATCH(B2179,{"enero","febrero","marzo","abril","mayo","junio","julio","agosto","septiembre","octubre","noviembre","diciembre"},0)+1,0))</f>
        <v/>
      </c>
      <c r="E2179" t="str">
        <f>+IFERROR(VLOOKUP(Fact_Administrativa[[#This Row], [Concepto Anterior]],Conceptos_Administrativa[#All],5,0),"")</f>
        <v/>
      </c>
      <c r="F2179" t="str">
        <f>+IFERROR(VLOOKUP(Fact_Administrativa[[#This Row], 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ht="18.75" customHeight="1" x14ac:dyDescent="0.35">
      <c r="C2180" s="100" t="str">
        <f>IF(OR(Fact_Administrativa[[#This Row], [Año]]="",Fact_Administrativa[[#This Row], [Mes]]=""),"",DATE(A2180,MATCH(B2180,{"enero","febrero","marzo","abril","mayo","junio","julio","agosto","septiembre","octubre","noviembre","diciembre"},0)+1,0))</f>
        <v/>
      </c>
      <c r="E2180" t="str">
        <f>+IFERROR(VLOOKUP(Fact_Administrativa[[#This Row], [Concepto Anterior]],Conceptos_Administrativa[#All],5,0),"")</f>
        <v/>
      </c>
      <c r="F2180" t="str">
        <f>+IFERROR(VLOOKUP(Fact_Administrativa[[#This Row], 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ht="18.75" customHeight="1" x14ac:dyDescent="0.35">
      <c r="C2181" s="100" t="str">
        <f>IF(OR(Fact_Administrativa[[#This Row], [Año]]="",Fact_Administrativa[[#This Row], [Mes]]=""),"",DATE(A2181,MATCH(B2181,{"enero","febrero","marzo","abril","mayo","junio","julio","agosto","septiembre","octubre","noviembre","diciembre"},0)+1,0))</f>
        <v/>
      </c>
      <c r="E2181" t="str">
        <f>+IFERROR(VLOOKUP(Fact_Administrativa[[#This Row], [Concepto Anterior]],Conceptos_Administrativa[#All],5,0),"")</f>
        <v/>
      </c>
      <c r="F2181" t="str">
        <f>+IFERROR(VLOOKUP(Fact_Administrativa[[#This Row], 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ht="18.75" customHeight="1" x14ac:dyDescent="0.35">
      <c r="C2182" s="100" t="str">
        <f>IF(OR(Fact_Administrativa[[#This Row], [Año]]="",Fact_Administrativa[[#This Row], [Mes]]=""),"",DATE(A2182,MATCH(B2182,{"enero","febrero","marzo","abril","mayo","junio","julio","agosto","septiembre","octubre","noviembre","diciembre"},0)+1,0))</f>
        <v/>
      </c>
      <c r="E2182" t="str">
        <f>+IFERROR(VLOOKUP(Fact_Administrativa[[#This Row], [Concepto Anterior]],Conceptos_Administrativa[#All],5,0),"")</f>
        <v/>
      </c>
      <c r="F2182" t="str">
        <f>+IFERROR(VLOOKUP(Fact_Administrativa[[#This Row], 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ht="18.75" customHeight="1" x14ac:dyDescent="0.35">
      <c r="C2183" s="100" t="str">
        <f>IF(OR(Fact_Administrativa[[#This Row], [Año]]="",Fact_Administrativa[[#This Row], [Mes]]=""),"",DATE(A2183,MATCH(B2183,{"enero","febrero","marzo","abril","mayo","junio","julio","agosto","septiembre","octubre","noviembre","diciembre"},0)+1,0))</f>
        <v/>
      </c>
      <c r="E2183" t="str">
        <f>+IFERROR(VLOOKUP(Fact_Administrativa[[#This Row], [Concepto Anterior]],Conceptos_Administrativa[#All],5,0),"")</f>
        <v/>
      </c>
      <c r="F2183" t="str">
        <f>+IFERROR(VLOOKUP(Fact_Administrativa[[#This Row], 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ht="18.75" customHeight="1" x14ac:dyDescent="0.35">
      <c r="C2184" s="100" t="str">
        <f>IF(OR(Fact_Administrativa[[#This Row], [Año]]="",Fact_Administrativa[[#This Row], [Mes]]=""),"",DATE(A2184,MATCH(B2184,{"enero","febrero","marzo","abril","mayo","junio","julio","agosto","septiembre","octubre","noviembre","diciembre"},0)+1,0))</f>
        <v/>
      </c>
      <c r="E2184" t="str">
        <f>+IFERROR(VLOOKUP(Fact_Administrativa[[#This Row], [Concepto Anterior]],Conceptos_Administrativa[#All],5,0),"")</f>
        <v/>
      </c>
      <c r="F2184" t="str">
        <f>+IFERROR(VLOOKUP(Fact_Administrativa[[#This Row], 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ht="18.75" customHeight="1" x14ac:dyDescent="0.35">
      <c r="C2185" s="100" t="str">
        <f>IF(OR(Fact_Administrativa[[#This Row], [Año]]="",Fact_Administrativa[[#This Row], [Mes]]=""),"",DATE(A2185,MATCH(B2185,{"enero","febrero","marzo","abril","mayo","junio","julio","agosto","septiembre","octubre","noviembre","diciembre"},0)+1,0))</f>
        <v/>
      </c>
      <c r="E2185" t="str">
        <f>+IFERROR(VLOOKUP(Fact_Administrativa[[#This Row], [Concepto Anterior]],Conceptos_Administrativa[#All],5,0),"")</f>
        <v/>
      </c>
      <c r="F2185" t="str">
        <f>+IFERROR(VLOOKUP(Fact_Administrativa[[#This Row], 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ht="18.75" customHeight="1" x14ac:dyDescent="0.35">
      <c r="C2186" s="100" t="str">
        <f>IF(OR(Fact_Administrativa[[#This Row], [Año]]="",Fact_Administrativa[[#This Row], [Mes]]=""),"",DATE(A2186,MATCH(B2186,{"enero","febrero","marzo","abril","mayo","junio","julio","agosto","septiembre","octubre","noviembre","diciembre"},0)+1,0))</f>
        <v/>
      </c>
      <c r="E2186" t="str">
        <f>+IFERROR(VLOOKUP(Fact_Administrativa[[#This Row], [Concepto Anterior]],Conceptos_Administrativa[#All],5,0),"")</f>
        <v/>
      </c>
      <c r="F2186" t="str">
        <f>+IFERROR(VLOOKUP(Fact_Administrativa[[#This Row], 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ht="18.75" customHeight="1" x14ac:dyDescent="0.35">
      <c r="C2187" s="100" t="str">
        <f>IF(OR(Fact_Administrativa[[#This Row], [Año]]="",Fact_Administrativa[[#This Row], [Mes]]=""),"",DATE(A2187,MATCH(B2187,{"enero","febrero","marzo","abril","mayo","junio","julio","agosto","septiembre","octubre","noviembre","diciembre"},0)+1,0))</f>
        <v/>
      </c>
      <c r="E2187" t="str">
        <f>+IFERROR(VLOOKUP(Fact_Administrativa[[#This Row], [Concepto Anterior]],Conceptos_Administrativa[#All],5,0),"")</f>
        <v/>
      </c>
      <c r="F2187" t="str">
        <f>+IFERROR(VLOOKUP(Fact_Administrativa[[#This Row], 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ht="18.75" customHeight="1" x14ac:dyDescent="0.35">
      <c r="C2188" s="100" t="str">
        <f>IF(OR(Fact_Administrativa[[#This Row], [Año]]="",Fact_Administrativa[[#This Row], [Mes]]=""),"",DATE(A2188,MATCH(B2188,{"enero","febrero","marzo","abril","mayo","junio","julio","agosto","septiembre","octubre","noviembre","diciembre"},0)+1,0))</f>
        <v/>
      </c>
      <c r="E2188" t="str">
        <f>+IFERROR(VLOOKUP(Fact_Administrativa[[#This Row], [Concepto Anterior]],Conceptos_Administrativa[#All],5,0),"")</f>
        <v/>
      </c>
      <c r="F2188" t="str">
        <f>+IFERROR(VLOOKUP(Fact_Administrativa[[#This Row], 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ht="18.75" customHeight="1" x14ac:dyDescent="0.35">
      <c r="C2189" s="100" t="str">
        <f>IF(OR(Fact_Administrativa[[#This Row], [Año]]="",Fact_Administrativa[[#This Row], [Mes]]=""),"",DATE(A2189,MATCH(B2189,{"enero","febrero","marzo","abril","mayo","junio","julio","agosto","septiembre","octubre","noviembre","diciembre"},0)+1,0))</f>
        <v/>
      </c>
      <c r="E2189" t="str">
        <f>+IFERROR(VLOOKUP(Fact_Administrativa[[#This Row], [Concepto Anterior]],Conceptos_Administrativa[#All],5,0),"")</f>
        <v/>
      </c>
      <c r="F2189" t="str">
        <f>+IFERROR(VLOOKUP(Fact_Administrativa[[#This Row], 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ht="18.75" customHeight="1" x14ac:dyDescent="0.35">
      <c r="C2190" s="100" t="str">
        <f>IF(OR(Fact_Administrativa[[#This Row], [Año]]="",Fact_Administrativa[[#This Row], [Mes]]=""),"",DATE(A2190,MATCH(B2190,{"enero","febrero","marzo","abril","mayo","junio","julio","agosto","septiembre","octubre","noviembre","diciembre"},0)+1,0))</f>
        <v/>
      </c>
      <c r="E2190" t="str">
        <f>+IFERROR(VLOOKUP(Fact_Administrativa[[#This Row], [Concepto Anterior]],Conceptos_Administrativa[#All],5,0),"")</f>
        <v/>
      </c>
      <c r="F2190" t="str">
        <f>+IFERROR(VLOOKUP(Fact_Administrativa[[#This Row], 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ht="18.75" customHeight="1" x14ac:dyDescent="0.35">
      <c r="C2191" s="100" t="str">
        <f>IF(OR(Fact_Administrativa[[#This Row], [Año]]="",Fact_Administrativa[[#This Row], [Mes]]=""),"",DATE(A2191,MATCH(B2191,{"enero","febrero","marzo","abril","mayo","junio","julio","agosto","septiembre","octubre","noviembre","diciembre"},0)+1,0))</f>
        <v/>
      </c>
      <c r="E2191" t="str">
        <f>+IFERROR(VLOOKUP(Fact_Administrativa[[#This Row], [Concepto Anterior]],Conceptos_Administrativa[#All],5,0),"")</f>
        <v/>
      </c>
      <c r="F2191" t="str">
        <f>+IFERROR(VLOOKUP(Fact_Administrativa[[#This Row], 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ht="18.75" customHeight="1" x14ac:dyDescent="0.35">
      <c r="C2192" s="100" t="str">
        <f>IF(OR(Fact_Administrativa[[#This Row], [Año]]="",Fact_Administrativa[[#This Row], [Mes]]=""),"",DATE(A2192,MATCH(B2192,{"enero","febrero","marzo","abril","mayo","junio","julio","agosto","septiembre","octubre","noviembre","diciembre"},0)+1,0))</f>
        <v/>
      </c>
      <c r="E2192" t="str">
        <f>+IFERROR(VLOOKUP(Fact_Administrativa[[#This Row], [Concepto Anterior]],Conceptos_Administrativa[#All],5,0),"")</f>
        <v/>
      </c>
      <c r="F2192" t="str">
        <f>+IFERROR(VLOOKUP(Fact_Administrativa[[#This Row], 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ht="18.75" customHeight="1" x14ac:dyDescent="0.35">
      <c r="C2193" s="100" t="str">
        <f>IF(OR(Fact_Administrativa[[#This Row], [Año]]="",Fact_Administrativa[[#This Row], [Mes]]=""),"",DATE(A2193,MATCH(B2193,{"enero","febrero","marzo","abril","mayo","junio","julio","agosto","septiembre","octubre","noviembre","diciembre"},0)+1,0))</f>
        <v/>
      </c>
      <c r="E2193" t="str">
        <f>+IFERROR(VLOOKUP(Fact_Administrativa[[#This Row], [Concepto Anterior]],Conceptos_Administrativa[#All],5,0),"")</f>
        <v/>
      </c>
      <c r="F2193" t="str">
        <f>+IFERROR(VLOOKUP(Fact_Administrativa[[#This Row], 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ht="18.75" customHeight="1" x14ac:dyDescent="0.35">
      <c r="C2194" s="100" t="str">
        <f>IF(OR(Fact_Administrativa[[#This Row], [Año]]="",Fact_Administrativa[[#This Row], [Mes]]=""),"",DATE(A2194,MATCH(B2194,{"enero","febrero","marzo","abril","mayo","junio","julio","agosto","septiembre","octubre","noviembre","diciembre"},0)+1,0))</f>
        <v/>
      </c>
      <c r="E2194" t="str">
        <f>+IFERROR(VLOOKUP(Fact_Administrativa[[#This Row], [Concepto Anterior]],Conceptos_Administrativa[#All],5,0),"")</f>
        <v/>
      </c>
      <c r="F2194" t="str">
        <f>+IFERROR(VLOOKUP(Fact_Administrativa[[#This Row], 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ht="18.75" customHeight="1" x14ac:dyDescent="0.35">
      <c r="C2195" s="100" t="str">
        <f>IF(OR(Fact_Administrativa[[#This Row], [Año]]="",Fact_Administrativa[[#This Row], [Mes]]=""),"",DATE(A2195,MATCH(B2195,{"enero","febrero","marzo","abril","mayo","junio","julio","agosto","septiembre","octubre","noviembre","diciembre"},0)+1,0))</f>
        <v/>
      </c>
      <c r="E2195" t="str">
        <f>+IFERROR(VLOOKUP(Fact_Administrativa[[#This Row], [Concepto Anterior]],Conceptos_Administrativa[#All],5,0),"")</f>
        <v/>
      </c>
      <c r="F2195" t="str">
        <f>+IFERROR(VLOOKUP(Fact_Administrativa[[#This Row], 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ht="18.75" customHeight="1" x14ac:dyDescent="0.35">
      <c r="C2196" s="100" t="str">
        <f>IF(OR(Fact_Administrativa[[#This Row], [Año]]="",Fact_Administrativa[[#This Row], [Mes]]=""),"",DATE(A2196,MATCH(B2196,{"enero","febrero","marzo","abril","mayo","junio","julio","agosto","septiembre","octubre","noviembre","diciembre"},0)+1,0))</f>
        <v/>
      </c>
      <c r="E2196" t="str">
        <f>+IFERROR(VLOOKUP(Fact_Administrativa[[#This Row], [Concepto Anterior]],Conceptos_Administrativa[#All],5,0),"")</f>
        <v/>
      </c>
      <c r="F2196" t="str">
        <f>+IFERROR(VLOOKUP(Fact_Administrativa[[#This Row], 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ht="18.75" customHeight="1" x14ac:dyDescent="0.35">
      <c r="C2197" s="100" t="str">
        <f>IF(OR(Fact_Administrativa[[#This Row], [Año]]="",Fact_Administrativa[[#This Row], [Mes]]=""),"",DATE(A2197,MATCH(B2197,{"enero","febrero","marzo","abril","mayo","junio","julio","agosto","septiembre","octubre","noviembre","diciembre"},0)+1,0))</f>
        <v/>
      </c>
      <c r="E2197" t="str">
        <f>+IFERROR(VLOOKUP(Fact_Administrativa[[#This Row], [Concepto Anterior]],Conceptos_Administrativa[#All],5,0),"")</f>
        <v/>
      </c>
      <c r="F2197" t="str">
        <f>+IFERROR(VLOOKUP(Fact_Administrativa[[#This Row], 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ht="18.75" customHeight="1" x14ac:dyDescent="0.35">
      <c r="C2198" s="100" t="str">
        <f>IF(OR(Fact_Administrativa[[#This Row], [Año]]="",Fact_Administrativa[[#This Row], [Mes]]=""),"",DATE(A2198,MATCH(B2198,{"enero","febrero","marzo","abril","mayo","junio","julio","agosto","septiembre","octubre","noviembre","diciembre"},0)+1,0))</f>
        <v/>
      </c>
      <c r="E2198" t="str">
        <f>+IFERROR(VLOOKUP(Fact_Administrativa[[#This Row], [Concepto Anterior]],Conceptos_Administrativa[#All],5,0),"")</f>
        <v/>
      </c>
      <c r="F2198" t="str">
        <f>+IFERROR(VLOOKUP(Fact_Administrativa[[#This Row], 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ht="18.75" customHeight="1" x14ac:dyDescent="0.35">
      <c r="C2199" s="100" t="str">
        <f>IF(OR(Fact_Administrativa[[#This Row], [Año]]="",Fact_Administrativa[[#This Row], [Mes]]=""),"",DATE(A2199,MATCH(B2199,{"enero","febrero","marzo","abril","mayo","junio","julio","agosto","septiembre","octubre","noviembre","diciembre"},0)+1,0))</f>
        <v/>
      </c>
      <c r="E2199" t="str">
        <f>+IFERROR(VLOOKUP(Fact_Administrativa[[#This Row], [Concepto Anterior]],Conceptos_Administrativa[#All],5,0),"")</f>
        <v/>
      </c>
      <c r="F2199" t="str">
        <f>+IFERROR(VLOOKUP(Fact_Administrativa[[#This Row], 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ht="18.75" customHeight="1" x14ac:dyDescent="0.35">
      <c r="C2200" s="100" t="str">
        <f>IF(OR(Fact_Administrativa[[#This Row], [Año]]="",Fact_Administrativa[[#This Row], [Mes]]=""),"",DATE(A2200,MATCH(B2200,{"enero","febrero","marzo","abril","mayo","junio","julio","agosto","septiembre","octubre","noviembre","diciembre"},0)+1,0))</f>
        <v/>
      </c>
      <c r="E2200" t="str">
        <f>+IFERROR(VLOOKUP(Fact_Administrativa[[#This Row], [Concepto Anterior]],Conceptos_Administrativa[#All],5,0),"")</f>
        <v/>
      </c>
      <c r="F2200" t="str">
        <f>+IFERROR(VLOOKUP(Fact_Administrativa[[#This Row], 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ht="18.75" customHeight="1" x14ac:dyDescent="0.35">
      <c r="C2201" s="100" t="str">
        <f>IF(OR(Fact_Administrativa[[#This Row], [Año]]="",Fact_Administrativa[[#This Row], [Mes]]=""),"",DATE(A2201,MATCH(B2201,{"enero","febrero","marzo","abril","mayo","junio","julio","agosto","septiembre","octubre","noviembre","diciembre"},0)+1,0))</f>
        <v/>
      </c>
      <c r="E2201" t="str">
        <f>+IFERROR(VLOOKUP(Fact_Administrativa[[#This Row], [Concepto Anterior]],Conceptos_Administrativa[#All],5,0),"")</f>
        <v/>
      </c>
      <c r="F2201" t="str">
        <f>+IFERROR(VLOOKUP(Fact_Administrativa[[#This Row], 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ht="18.75" customHeight="1" x14ac:dyDescent="0.35">
      <c r="C2202" s="100" t="str">
        <f>IF(OR(Fact_Administrativa[[#This Row], [Año]]="",Fact_Administrativa[[#This Row], [Mes]]=""),"",DATE(A2202,MATCH(B2202,{"enero","febrero","marzo","abril","mayo","junio","julio","agosto","septiembre","octubre","noviembre","diciembre"},0)+1,0))</f>
        <v/>
      </c>
      <c r="E2202" t="str">
        <f>+IFERROR(VLOOKUP(Fact_Administrativa[[#This Row], [Concepto Anterior]],Conceptos_Administrativa[#All],5,0),"")</f>
        <v/>
      </c>
      <c r="F2202" t="str">
        <f>+IFERROR(VLOOKUP(Fact_Administrativa[[#This Row], 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ht="18.75" customHeight="1" x14ac:dyDescent="0.35">
      <c r="C2203" s="100" t="str">
        <f>IF(OR(Fact_Administrativa[[#This Row], [Año]]="",Fact_Administrativa[[#This Row], [Mes]]=""),"",DATE(A2203,MATCH(B2203,{"enero","febrero","marzo","abril","mayo","junio","julio","agosto","septiembre","octubre","noviembre","diciembre"},0)+1,0))</f>
        <v/>
      </c>
      <c r="E2203" t="str">
        <f>+IFERROR(VLOOKUP(Fact_Administrativa[[#This Row], [Concepto Anterior]],Conceptos_Administrativa[#All],5,0),"")</f>
        <v/>
      </c>
      <c r="F2203" t="str">
        <f>+IFERROR(VLOOKUP(Fact_Administrativa[[#This Row], 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ht="18.75" customHeight="1" x14ac:dyDescent="0.35">
      <c r="C2204" s="100" t="str">
        <f>IF(OR(Fact_Administrativa[[#This Row], [Año]]="",Fact_Administrativa[[#This Row], [Mes]]=""),"",DATE(A2204,MATCH(B2204,{"enero","febrero","marzo","abril","mayo","junio","julio","agosto","septiembre","octubre","noviembre","diciembre"},0)+1,0))</f>
        <v/>
      </c>
      <c r="E2204" t="str">
        <f>+IFERROR(VLOOKUP(Fact_Administrativa[[#This Row], [Concepto Anterior]],Conceptos_Administrativa[#All],5,0),"")</f>
        <v/>
      </c>
      <c r="F2204" t="str">
        <f>+IFERROR(VLOOKUP(Fact_Administrativa[[#This Row], 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ht="18.75" customHeight="1" x14ac:dyDescent="0.35">
      <c r="C2205" s="100" t="str">
        <f>IF(OR(Fact_Administrativa[[#This Row], [Año]]="",Fact_Administrativa[[#This Row], [Mes]]=""),"",DATE(A2205,MATCH(B2205,{"enero","febrero","marzo","abril","mayo","junio","julio","agosto","septiembre","octubre","noviembre","diciembre"},0)+1,0))</f>
        <v/>
      </c>
      <c r="E2205" t="str">
        <f>+IFERROR(VLOOKUP(Fact_Administrativa[[#This Row], [Concepto Anterior]],Conceptos_Administrativa[#All],5,0),"")</f>
        <v/>
      </c>
      <c r="F2205" t="str">
        <f>+IFERROR(VLOOKUP(Fact_Administrativa[[#This Row], 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ht="18.75" customHeight="1" x14ac:dyDescent="0.35">
      <c r="C2206" s="100" t="str">
        <f>IF(OR(Fact_Administrativa[[#This Row], [Año]]="",Fact_Administrativa[[#This Row], [Mes]]=""),"",DATE(A2206,MATCH(B2206,{"enero","febrero","marzo","abril","mayo","junio","julio","agosto","septiembre","octubre","noviembre","diciembre"},0)+1,0))</f>
        <v/>
      </c>
      <c r="E2206" t="str">
        <f>+IFERROR(VLOOKUP(Fact_Administrativa[[#This Row], [Concepto Anterior]],Conceptos_Administrativa[#All],5,0),"")</f>
        <v/>
      </c>
      <c r="F2206" t="str">
        <f>+IFERROR(VLOOKUP(Fact_Administrativa[[#This Row], 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ht="18.75" customHeight="1" x14ac:dyDescent="0.35">
      <c r="C2207" s="100" t="str">
        <f>IF(OR(Fact_Administrativa[[#This Row], [Año]]="",Fact_Administrativa[[#This Row], [Mes]]=""),"",DATE(A2207,MATCH(B2207,{"enero","febrero","marzo","abril","mayo","junio","julio","agosto","septiembre","octubre","noviembre","diciembre"},0)+1,0))</f>
        <v/>
      </c>
      <c r="E2207" t="str">
        <f>+IFERROR(VLOOKUP(Fact_Administrativa[[#This Row], [Concepto Anterior]],Conceptos_Administrativa[#All],5,0),"")</f>
        <v/>
      </c>
      <c r="F2207" t="str">
        <f>+IFERROR(VLOOKUP(Fact_Administrativa[[#This Row], 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ht="18.75" customHeight="1" x14ac:dyDescent="0.35">
      <c r="C2208" s="100" t="str">
        <f>IF(OR(Fact_Administrativa[[#This Row], [Año]]="",Fact_Administrativa[[#This Row], [Mes]]=""),"",DATE(A2208,MATCH(B2208,{"enero","febrero","marzo","abril","mayo","junio","julio","agosto","septiembre","octubre","noviembre","diciembre"},0)+1,0))</f>
        <v/>
      </c>
      <c r="E2208" t="str">
        <f>+IFERROR(VLOOKUP(Fact_Administrativa[[#This Row], [Concepto Anterior]],Conceptos_Administrativa[#All],5,0),"")</f>
        <v/>
      </c>
      <c r="F2208" t="str">
        <f>+IFERROR(VLOOKUP(Fact_Administrativa[[#This Row], 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ht="18.75" customHeight="1" x14ac:dyDescent="0.35">
      <c r="C2209" s="100" t="str">
        <f>IF(OR(Fact_Administrativa[[#This Row], [Año]]="",Fact_Administrativa[[#This Row], [Mes]]=""),"",DATE(A2209,MATCH(B2209,{"enero","febrero","marzo","abril","mayo","junio","julio","agosto","septiembre","octubre","noviembre","diciembre"},0)+1,0))</f>
        <v/>
      </c>
      <c r="E2209" t="str">
        <f>+IFERROR(VLOOKUP(Fact_Administrativa[[#This Row], [Concepto Anterior]],Conceptos_Administrativa[#All],5,0),"")</f>
        <v/>
      </c>
      <c r="F2209" t="str">
        <f>+IFERROR(VLOOKUP(Fact_Administrativa[[#This Row], 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ht="18.75" customHeight="1" x14ac:dyDescent="0.35">
      <c r="C2210" s="100" t="str">
        <f>IF(OR(Fact_Administrativa[[#This Row], [Año]]="",Fact_Administrativa[[#This Row], [Mes]]=""),"",DATE(A2210,MATCH(B2210,{"enero","febrero","marzo","abril","mayo","junio","julio","agosto","septiembre","octubre","noviembre","diciembre"},0)+1,0))</f>
        <v/>
      </c>
      <c r="E2210" t="str">
        <f>+IFERROR(VLOOKUP(Fact_Administrativa[[#This Row], [Concepto Anterior]],Conceptos_Administrativa[#All],5,0),"")</f>
        <v/>
      </c>
      <c r="F2210" t="str">
        <f>+IFERROR(VLOOKUP(Fact_Administrativa[[#This Row], 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ht="18.75" customHeight="1" x14ac:dyDescent="0.35">
      <c r="C2211" s="100" t="str">
        <f>IF(OR(Fact_Administrativa[[#This Row], [Año]]="",Fact_Administrativa[[#This Row], [Mes]]=""),"",DATE(A2211,MATCH(B2211,{"enero","febrero","marzo","abril","mayo","junio","julio","agosto","septiembre","octubre","noviembre","diciembre"},0)+1,0))</f>
        <v/>
      </c>
      <c r="E2211" t="str">
        <f>+IFERROR(VLOOKUP(Fact_Administrativa[[#This Row], [Concepto Anterior]],Conceptos_Administrativa[#All],5,0),"")</f>
        <v/>
      </c>
      <c r="F2211" t="str">
        <f>+IFERROR(VLOOKUP(Fact_Administrativa[[#This Row], 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ht="18.75" customHeight="1" x14ac:dyDescent="0.35">
      <c r="C2212" s="100" t="str">
        <f>IF(OR(Fact_Administrativa[[#This Row], [Año]]="",Fact_Administrativa[[#This Row], [Mes]]=""),"",DATE(A2212,MATCH(B2212,{"enero","febrero","marzo","abril","mayo","junio","julio","agosto","septiembre","octubre","noviembre","diciembre"},0)+1,0))</f>
        <v/>
      </c>
      <c r="E2212" t="str">
        <f>+IFERROR(VLOOKUP(Fact_Administrativa[[#This Row], [Concepto Anterior]],Conceptos_Administrativa[#All],5,0),"")</f>
        <v/>
      </c>
      <c r="F2212" t="str">
        <f>+IFERROR(VLOOKUP(Fact_Administrativa[[#This Row], 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ht="18.75" customHeight="1" x14ac:dyDescent="0.35">
      <c r="C2213" s="100" t="str">
        <f>IF(OR(Fact_Administrativa[[#This Row], [Año]]="",Fact_Administrativa[[#This Row], [Mes]]=""),"",DATE(A2213,MATCH(B2213,{"enero","febrero","marzo","abril","mayo","junio","julio","agosto","septiembre","octubre","noviembre","diciembre"},0)+1,0))</f>
        <v/>
      </c>
      <c r="E2213" t="str">
        <f>+IFERROR(VLOOKUP(Fact_Administrativa[[#This Row], [Concepto Anterior]],Conceptos_Administrativa[#All],5,0),"")</f>
        <v/>
      </c>
      <c r="F2213" t="str">
        <f>+IFERROR(VLOOKUP(Fact_Administrativa[[#This Row], 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ht="18.75" customHeight="1" x14ac:dyDescent="0.35">
      <c r="C2214" s="100" t="str">
        <f>IF(OR(Fact_Administrativa[[#This Row], [Año]]="",Fact_Administrativa[[#This Row], [Mes]]=""),"",DATE(A2214,MATCH(B2214,{"enero","febrero","marzo","abril","mayo","junio","julio","agosto","septiembre","octubre","noviembre","diciembre"},0)+1,0))</f>
        <v/>
      </c>
      <c r="E2214" t="str">
        <f>+IFERROR(VLOOKUP(Fact_Administrativa[[#This Row], [Concepto Anterior]],Conceptos_Administrativa[#All],5,0),"")</f>
        <v/>
      </c>
      <c r="F2214" t="str">
        <f>+IFERROR(VLOOKUP(Fact_Administrativa[[#This Row], 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ht="18.75" customHeight="1" x14ac:dyDescent="0.35">
      <c r="C2215" s="100" t="str">
        <f>IF(OR(Fact_Administrativa[[#This Row], [Año]]="",Fact_Administrativa[[#This Row], [Mes]]=""),"",DATE(A2215,MATCH(B2215,{"enero","febrero","marzo","abril","mayo","junio","julio","agosto","septiembre","octubre","noviembre","diciembre"},0)+1,0))</f>
        <v/>
      </c>
      <c r="E2215" t="str">
        <f>+IFERROR(VLOOKUP(Fact_Administrativa[[#This Row], [Concepto Anterior]],Conceptos_Administrativa[#All],5,0),"")</f>
        <v/>
      </c>
      <c r="F2215" t="str">
        <f>+IFERROR(VLOOKUP(Fact_Administrativa[[#This Row], 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ht="18.75" customHeight="1" x14ac:dyDescent="0.35">
      <c r="C2216" s="100" t="str">
        <f>IF(OR(Fact_Administrativa[[#This Row], [Año]]="",Fact_Administrativa[[#This Row], [Mes]]=""),"",DATE(A2216,MATCH(B2216,{"enero","febrero","marzo","abril","mayo","junio","julio","agosto","septiembre","octubre","noviembre","diciembre"},0)+1,0))</f>
        <v/>
      </c>
      <c r="E2216" t="str">
        <f>+IFERROR(VLOOKUP(Fact_Administrativa[[#This Row], [Concepto Anterior]],Conceptos_Administrativa[#All],5,0),"")</f>
        <v/>
      </c>
      <c r="F2216" t="str">
        <f>+IFERROR(VLOOKUP(Fact_Administrativa[[#This Row], 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ht="18.75" customHeight="1" x14ac:dyDescent="0.35">
      <c r="C2217" s="100" t="str">
        <f>IF(OR(Fact_Administrativa[[#This Row], [Año]]="",Fact_Administrativa[[#This Row], [Mes]]=""),"",DATE(A2217,MATCH(B2217,{"enero","febrero","marzo","abril","mayo","junio","julio","agosto","septiembre","octubre","noviembre","diciembre"},0)+1,0))</f>
        <v/>
      </c>
      <c r="E2217" t="str">
        <f>+IFERROR(VLOOKUP(Fact_Administrativa[[#This Row], [Concepto Anterior]],Conceptos_Administrativa[#All],5,0),"")</f>
        <v/>
      </c>
      <c r="F2217" t="str">
        <f>+IFERROR(VLOOKUP(Fact_Administrativa[[#This Row], 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ht="18.75" customHeight="1" x14ac:dyDescent="0.35">
      <c r="C2218" s="100" t="str">
        <f>IF(OR(Fact_Administrativa[[#This Row], [Año]]="",Fact_Administrativa[[#This Row], [Mes]]=""),"",DATE(A2218,MATCH(B2218,{"enero","febrero","marzo","abril","mayo","junio","julio","agosto","septiembre","octubre","noviembre","diciembre"},0)+1,0))</f>
        <v/>
      </c>
      <c r="E2218" t="str">
        <f>+IFERROR(VLOOKUP(Fact_Administrativa[[#This Row], [Concepto Anterior]],Conceptos_Administrativa[#All],5,0),"")</f>
        <v/>
      </c>
      <c r="F2218" t="str">
        <f>+IFERROR(VLOOKUP(Fact_Administrativa[[#This Row], 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ht="18.75" customHeight="1" x14ac:dyDescent="0.35">
      <c r="C2219" s="100" t="str">
        <f>IF(OR(Fact_Administrativa[[#This Row], [Año]]="",Fact_Administrativa[[#This Row], [Mes]]=""),"",DATE(A2219,MATCH(B2219,{"enero","febrero","marzo","abril","mayo","junio","julio","agosto","septiembre","octubre","noviembre","diciembre"},0)+1,0))</f>
        <v/>
      </c>
      <c r="E2219" t="str">
        <f>+IFERROR(VLOOKUP(Fact_Administrativa[[#This Row], [Concepto Anterior]],Conceptos_Administrativa[#All],5,0),"")</f>
        <v/>
      </c>
      <c r="F2219" t="str">
        <f>+IFERROR(VLOOKUP(Fact_Administrativa[[#This Row], 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ht="18.75" customHeight="1" x14ac:dyDescent="0.35">
      <c r="C2220" s="100" t="str">
        <f>IF(OR(Fact_Administrativa[[#This Row], [Año]]="",Fact_Administrativa[[#This Row], [Mes]]=""),"",DATE(A2220,MATCH(B2220,{"enero","febrero","marzo","abril","mayo","junio","julio","agosto","septiembre","octubre","noviembre","diciembre"},0)+1,0))</f>
        <v/>
      </c>
      <c r="E2220" t="str">
        <f>+IFERROR(VLOOKUP(Fact_Administrativa[[#This Row], [Concepto Anterior]],Conceptos_Administrativa[#All],5,0),"")</f>
        <v/>
      </c>
      <c r="F2220" t="str">
        <f>+IFERROR(VLOOKUP(Fact_Administrativa[[#This Row], 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ht="18.75" customHeight="1" x14ac:dyDescent="0.35">
      <c r="C2221" s="100" t="str">
        <f>IF(OR(Fact_Administrativa[[#This Row], [Año]]="",Fact_Administrativa[[#This Row], [Mes]]=""),"",DATE(A2221,MATCH(B2221,{"enero","febrero","marzo","abril","mayo","junio","julio","agosto","septiembre","octubre","noviembre","diciembre"},0)+1,0))</f>
        <v/>
      </c>
      <c r="E2221" t="str">
        <f>+IFERROR(VLOOKUP(Fact_Administrativa[[#This Row], [Concepto Anterior]],Conceptos_Administrativa[#All],5,0),"")</f>
        <v/>
      </c>
      <c r="F2221" t="str">
        <f>+IFERROR(VLOOKUP(Fact_Administrativa[[#This Row], 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ht="18.75" customHeight="1" x14ac:dyDescent="0.35">
      <c r="C2222" s="100" t="str">
        <f>IF(OR(Fact_Administrativa[[#This Row], [Año]]="",Fact_Administrativa[[#This Row], [Mes]]=""),"",DATE(A2222,MATCH(B2222,{"enero","febrero","marzo","abril","mayo","junio","julio","agosto","septiembre","octubre","noviembre","diciembre"},0)+1,0))</f>
        <v/>
      </c>
      <c r="E2222" t="str">
        <f>+IFERROR(VLOOKUP(Fact_Administrativa[[#This Row], [Concepto Anterior]],Conceptos_Administrativa[#All],5,0),"")</f>
        <v/>
      </c>
      <c r="F2222" t="str">
        <f>+IFERROR(VLOOKUP(Fact_Administrativa[[#This Row], 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ht="18.75" customHeight="1" x14ac:dyDescent="0.35">
      <c r="C2223" s="100" t="str">
        <f>IF(OR(Fact_Administrativa[[#This Row], [Año]]="",Fact_Administrativa[[#This Row], [Mes]]=""),"",DATE(A2223,MATCH(B2223,{"enero","febrero","marzo","abril","mayo","junio","julio","agosto","septiembre","octubre","noviembre","diciembre"},0)+1,0))</f>
        <v/>
      </c>
      <c r="E2223" t="str">
        <f>+IFERROR(VLOOKUP(Fact_Administrativa[[#This Row], [Concepto Anterior]],Conceptos_Administrativa[#All],5,0),"")</f>
        <v/>
      </c>
      <c r="F2223" t="str">
        <f>+IFERROR(VLOOKUP(Fact_Administrativa[[#This Row], 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ht="18.75" customHeight="1" x14ac:dyDescent="0.35">
      <c r="C2224" s="100" t="str">
        <f>IF(OR(Fact_Administrativa[[#This Row], [Año]]="",Fact_Administrativa[[#This Row], [Mes]]=""),"",DATE(A2224,MATCH(B2224,{"enero","febrero","marzo","abril","mayo","junio","julio","agosto","septiembre","octubre","noviembre","diciembre"},0)+1,0))</f>
        <v/>
      </c>
      <c r="E2224" t="str">
        <f>+IFERROR(VLOOKUP(Fact_Administrativa[[#This Row], [Concepto Anterior]],Conceptos_Administrativa[#All],5,0),"")</f>
        <v/>
      </c>
      <c r="F2224" t="str">
        <f>+IFERROR(VLOOKUP(Fact_Administrativa[[#This Row], 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ht="18.75" customHeight="1" x14ac:dyDescent="0.35">
      <c r="C2225" s="100" t="str">
        <f>IF(OR(Fact_Administrativa[[#This Row], [Año]]="",Fact_Administrativa[[#This Row], [Mes]]=""),"",DATE(A2225,MATCH(B2225,{"enero","febrero","marzo","abril","mayo","junio","julio","agosto","septiembre","octubre","noviembre","diciembre"},0)+1,0))</f>
        <v/>
      </c>
      <c r="E2225" t="str">
        <f>+IFERROR(VLOOKUP(Fact_Administrativa[[#This Row], [Concepto Anterior]],Conceptos_Administrativa[#All],5,0),"")</f>
        <v/>
      </c>
      <c r="F2225" t="str">
        <f>+IFERROR(VLOOKUP(Fact_Administrativa[[#This Row], 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ht="18.75" customHeight="1" x14ac:dyDescent="0.35">
      <c r="C2226" s="100" t="str">
        <f>IF(OR(Fact_Administrativa[[#This Row], [Año]]="",Fact_Administrativa[[#This Row], [Mes]]=""),"",DATE(A2226,MATCH(B2226,{"enero","febrero","marzo","abril","mayo","junio","julio","agosto","septiembre","octubre","noviembre","diciembre"},0)+1,0))</f>
        <v/>
      </c>
      <c r="E2226" t="str">
        <f>+IFERROR(VLOOKUP(Fact_Administrativa[[#This Row], [Concepto Anterior]],Conceptos_Administrativa[#All],5,0),"")</f>
        <v/>
      </c>
      <c r="F2226" t="str">
        <f>+IFERROR(VLOOKUP(Fact_Administrativa[[#This Row], 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ht="18.75" customHeight="1" x14ac:dyDescent="0.35">
      <c r="C2227" s="100" t="str">
        <f>IF(OR(Fact_Administrativa[[#This Row], [Año]]="",Fact_Administrativa[[#This Row], [Mes]]=""),"",DATE(A2227,MATCH(B2227,{"enero","febrero","marzo","abril","mayo","junio","julio","agosto","septiembre","octubre","noviembre","diciembre"},0)+1,0))</f>
        <v/>
      </c>
      <c r="E2227" t="str">
        <f>+IFERROR(VLOOKUP(Fact_Administrativa[[#This Row], [Concepto Anterior]],Conceptos_Administrativa[#All],5,0),"")</f>
        <v/>
      </c>
      <c r="F2227" t="str">
        <f>+IFERROR(VLOOKUP(Fact_Administrativa[[#This Row], 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ht="18.75" customHeight="1" x14ac:dyDescent="0.35">
      <c r="C2228" s="100" t="str">
        <f>IF(OR(Fact_Administrativa[[#This Row], [Año]]="",Fact_Administrativa[[#This Row], [Mes]]=""),"",DATE(A2228,MATCH(B2228,{"enero","febrero","marzo","abril","mayo","junio","julio","agosto","septiembre","octubre","noviembre","diciembre"},0)+1,0))</f>
        <v/>
      </c>
      <c r="E2228" t="str">
        <f>+IFERROR(VLOOKUP(Fact_Administrativa[[#This Row], [Concepto Anterior]],Conceptos_Administrativa[#All],5,0),"")</f>
        <v/>
      </c>
      <c r="F2228" t="str">
        <f>+IFERROR(VLOOKUP(Fact_Administrativa[[#This Row], 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ht="18.75" customHeight="1" x14ac:dyDescent="0.35">
      <c r="C2229" s="100" t="str">
        <f>IF(OR(Fact_Administrativa[[#This Row], [Año]]="",Fact_Administrativa[[#This Row], [Mes]]=""),"",DATE(A2229,MATCH(B2229,{"enero","febrero","marzo","abril","mayo","junio","julio","agosto","septiembre","octubre","noviembre","diciembre"},0)+1,0))</f>
        <v/>
      </c>
      <c r="E2229" t="str">
        <f>+IFERROR(VLOOKUP(Fact_Administrativa[[#This Row], [Concepto Anterior]],Conceptos_Administrativa[#All],5,0),"")</f>
        <v/>
      </c>
      <c r="F2229" t="str">
        <f>+IFERROR(VLOOKUP(Fact_Administrativa[[#This Row], 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ht="18.75" customHeight="1" x14ac:dyDescent="0.35">
      <c r="C2230" s="100" t="str">
        <f>IF(OR(Fact_Administrativa[[#This Row], [Año]]="",Fact_Administrativa[[#This Row], [Mes]]=""),"",DATE(A2230,MATCH(B2230,{"enero","febrero","marzo","abril","mayo","junio","julio","agosto","septiembre","octubre","noviembre","diciembre"},0)+1,0))</f>
        <v/>
      </c>
      <c r="E2230" t="str">
        <f>+IFERROR(VLOOKUP(Fact_Administrativa[[#This Row], [Concepto Anterior]],Conceptos_Administrativa[#All],5,0),"")</f>
        <v/>
      </c>
      <c r="F2230" t="str">
        <f>+IFERROR(VLOOKUP(Fact_Administrativa[[#This Row], 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ht="18.75" customHeight="1" x14ac:dyDescent="0.35">
      <c r="C2231" s="100" t="str">
        <f>IF(OR(Fact_Administrativa[[#This Row], [Año]]="",Fact_Administrativa[[#This Row], [Mes]]=""),"",DATE(A2231,MATCH(B2231,{"enero","febrero","marzo","abril","mayo","junio","julio","agosto","septiembre","octubre","noviembre","diciembre"},0)+1,0))</f>
        <v/>
      </c>
      <c r="E2231" t="str">
        <f>+IFERROR(VLOOKUP(Fact_Administrativa[[#This Row], [Concepto Anterior]],Conceptos_Administrativa[#All],5,0),"")</f>
        <v/>
      </c>
      <c r="F2231" t="str">
        <f>+IFERROR(VLOOKUP(Fact_Administrativa[[#This Row], 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ht="18.75" customHeight="1" x14ac:dyDescent="0.35">
      <c r="C2232" s="100" t="str">
        <f>IF(OR(Fact_Administrativa[[#This Row], [Año]]="",Fact_Administrativa[[#This Row], [Mes]]=""),"",DATE(A2232,MATCH(B2232,{"enero","febrero","marzo","abril","mayo","junio","julio","agosto","septiembre","octubre","noviembre","diciembre"},0)+1,0))</f>
        <v/>
      </c>
      <c r="E2232" t="str">
        <f>+IFERROR(VLOOKUP(Fact_Administrativa[[#This Row], [Concepto Anterior]],Conceptos_Administrativa[#All],5,0),"")</f>
        <v/>
      </c>
      <c r="F2232" t="str">
        <f>+IFERROR(VLOOKUP(Fact_Administrativa[[#This Row], 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ht="18.75" customHeight="1" x14ac:dyDescent="0.35">
      <c r="C2233" s="100" t="str">
        <f>IF(OR(Fact_Administrativa[[#This Row], [Año]]="",Fact_Administrativa[[#This Row], [Mes]]=""),"",DATE(A2233,MATCH(B2233,{"enero","febrero","marzo","abril","mayo","junio","julio","agosto","septiembre","octubre","noviembre","diciembre"},0)+1,0))</f>
        <v/>
      </c>
      <c r="E2233" t="str">
        <f>+IFERROR(VLOOKUP(Fact_Administrativa[[#This Row], [Concepto Anterior]],Conceptos_Administrativa[#All],5,0),"")</f>
        <v/>
      </c>
      <c r="F2233" t="str">
        <f>+IFERROR(VLOOKUP(Fact_Administrativa[[#This Row], 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ht="18.75" customHeight="1" x14ac:dyDescent="0.35">
      <c r="C2234" s="100" t="str">
        <f>IF(OR(Fact_Administrativa[[#This Row], [Año]]="",Fact_Administrativa[[#This Row], [Mes]]=""),"",DATE(A2234,MATCH(B2234,{"enero","febrero","marzo","abril","mayo","junio","julio","agosto","septiembre","octubre","noviembre","diciembre"},0)+1,0))</f>
        <v/>
      </c>
      <c r="E2234" t="str">
        <f>+IFERROR(VLOOKUP(Fact_Administrativa[[#This Row], [Concepto Anterior]],Conceptos_Administrativa[#All],5,0),"")</f>
        <v/>
      </c>
      <c r="F2234" t="str">
        <f>+IFERROR(VLOOKUP(Fact_Administrativa[[#This Row], 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ht="18.75" customHeight="1" x14ac:dyDescent="0.35">
      <c r="C2235" s="100" t="str">
        <f>IF(OR(Fact_Administrativa[[#This Row], [Año]]="",Fact_Administrativa[[#This Row], [Mes]]=""),"",DATE(A2235,MATCH(B2235,{"enero","febrero","marzo","abril","mayo","junio","julio","agosto","septiembre","octubre","noviembre","diciembre"},0)+1,0))</f>
        <v/>
      </c>
      <c r="E2235" t="str">
        <f>+IFERROR(VLOOKUP(Fact_Administrativa[[#This Row], [Concepto Anterior]],Conceptos_Administrativa[#All],5,0),"")</f>
        <v/>
      </c>
      <c r="F2235" t="str">
        <f>+IFERROR(VLOOKUP(Fact_Administrativa[[#This Row], 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ht="18.75" customHeight="1" x14ac:dyDescent="0.35">
      <c r="C2236" s="100" t="str">
        <f>IF(OR(Fact_Administrativa[[#This Row], [Año]]="",Fact_Administrativa[[#This Row], [Mes]]=""),"",DATE(A2236,MATCH(B2236,{"enero","febrero","marzo","abril","mayo","junio","julio","agosto","septiembre","octubre","noviembre","diciembre"},0)+1,0))</f>
        <v/>
      </c>
      <c r="E2236" t="str">
        <f>+IFERROR(VLOOKUP(Fact_Administrativa[[#This Row], [Concepto Anterior]],Conceptos_Administrativa[#All],5,0),"")</f>
        <v/>
      </c>
      <c r="F2236" t="str">
        <f>+IFERROR(VLOOKUP(Fact_Administrativa[[#This Row], 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ht="18.75" customHeight="1" x14ac:dyDescent="0.35">
      <c r="C2237" s="100" t="str">
        <f>IF(OR(Fact_Administrativa[[#This Row], [Año]]="",Fact_Administrativa[[#This Row], [Mes]]=""),"",DATE(A2237,MATCH(B2237,{"enero","febrero","marzo","abril","mayo","junio","julio","agosto","septiembre","octubre","noviembre","diciembre"},0)+1,0))</f>
        <v/>
      </c>
      <c r="E2237" t="str">
        <f>+IFERROR(VLOOKUP(Fact_Administrativa[[#This Row], [Concepto Anterior]],Conceptos_Administrativa[#All],5,0),"")</f>
        <v/>
      </c>
      <c r="F2237" t="str">
        <f>+IFERROR(VLOOKUP(Fact_Administrativa[[#This Row], 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ht="18.75" customHeight="1" x14ac:dyDescent="0.35">
      <c r="C2238" s="100" t="str">
        <f>IF(OR(Fact_Administrativa[[#This Row], [Año]]="",Fact_Administrativa[[#This Row], [Mes]]=""),"",DATE(A2238,MATCH(B2238,{"enero","febrero","marzo","abril","mayo","junio","julio","agosto","septiembre","octubre","noviembre","diciembre"},0)+1,0))</f>
        <v/>
      </c>
      <c r="E2238" t="str">
        <f>+IFERROR(VLOOKUP(Fact_Administrativa[[#This Row], [Concepto Anterior]],Conceptos_Administrativa[#All],5,0),"")</f>
        <v/>
      </c>
      <c r="F2238" t="str">
        <f>+IFERROR(VLOOKUP(Fact_Administrativa[[#This Row], 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ht="18.75" customHeight="1" x14ac:dyDescent="0.35">
      <c r="C2239" s="100" t="str">
        <f>IF(OR(Fact_Administrativa[[#This Row], [Año]]="",Fact_Administrativa[[#This Row], [Mes]]=""),"",DATE(A2239,MATCH(B2239,{"enero","febrero","marzo","abril","mayo","junio","julio","agosto","septiembre","octubre","noviembre","diciembre"},0)+1,0))</f>
        <v/>
      </c>
      <c r="E2239" t="str">
        <f>+IFERROR(VLOOKUP(Fact_Administrativa[[#This Row], [Concepto Anterior]],Conceptos_Administrativa[#All],5,0),"")</f>
        <v/>
      </c>
      <c r="F2239" t="str">
        <f>+IFERROR(VLOOKUP(Fact_Administrativa[[#This Row], 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ht="18.75" customHeight="1" x14ac:dyDescent="0.35">
      <c r="C2240" s="100" t="str">
        <f>IF(OR(Fact_Administrativa[[#This Row], [Año]]="",Fact_Administrativa[[#This Row], [Mes]]=""),"",DATE(A2240,MATCH(B2240,{"enero","febrero","marzo","abril","mayo","junio","julio","agosto","septiembre","octubre","noviembre","diciembre"},0)+1,0))</f>
        <v/>
      </c>
      <c r="E2240" t="str">
        <f>+IFERROR(VLOOKUP(Fact_Administrativa[[#This Row], [Concepto Anterior]],Conceptos_Administrativa[#All],5,0),"")</f>
        <v/>
      </c>
      <c r="F2240" t="str">
        <f>+IFERROR(VLOOKUP(Fact_Administrativa[[#This Row], 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ht="18.75" customHeight="1" x14ac:dyDescent="0.35">
      <c r="C2241" s="100" t="str">
        <f>IF(OR(Fact_Administrativa[[#This Row], [Año]]="",Fact_Administrativa[[#This Row], [Mes]]=""),"",DATE(A2241,MATCH(B2241,{"enero","febrero","marzo","abril","mayo","junio","julio","agosto","septiembre","octubre","noviembre","diciembre"},0)+1,0))</f>
        <v/>
      </c>
      <c r="E2241" t="str">
        <f>+IFERROR(VLOOKUP(Fact_Administrativa[[#This Row], [Concepto Anterior]],Conceptos_Administrativa[#All],5,0),"")</f>
        <v/>
      </c>
      <c r="F2241" t="str">
        <f>+IFERROR(VLOOKUP(Fact_Administrativa[[#This Row], 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ht="18.75" customHeight="1" x14ac:dyDescent="0.35">
      <c r="C2242" s="100" t="str">
        <f>IF(OR(Fact_Administrativa[[#This Row], [Año]]="",Fact_Administrativa[[#This Row], [Mes]]=""),"",DATE(A2242,MATCH(B2242,{"enero","febrero","marzo","abril","mayo","junio","julio","agosto","septiembre","octubre","noviembre","diciembre"},0)+1,0))</f>
        <v/>
      </c>
      <c r="E2242" t="str">
        <f>+IFERROR(VLOOKUP(Fact_Administrativa[[#This Row], [Concepto Anterior]],Conceptos_Administrativa[#All],5,0),"")</f>
        <v/>
      </c>
      <c r="F2242" t="str">
        <f>+IFERROR(VLOOKUP(Fact_Administrativa[[#This Row], 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ht="18.75" customHeight="1" x14ac:dyDescent="0.35">
      <c r="C2243" s="100" t="str">
        <f>IF(OR(Fact_Administrativa[[#This Row], [Año]]="",Fact_Administrativa[[#This Row], [Mes]]=""),"",DATE(A2243,MATCH(B2243,{"enero","febrero","marzo","abril","mayo","junio","julio","agosto","septiembre","octubre","noviembre","diciembre"},0)+1,0))</f>
        <v/>
      </c>
      <c r="E2243" t="str">
        <f>+IFERROR(VLOOKUP(Fact_Administrativa[[#This Row], [Concepto Anterior]],Conceptos_Administrativa[#All],5,0),"")</f>
        <v/>
      </c>
      <c r="F2243" t="str">
        <f>+IFERROR(VLOOKUP(Fact_Administrativa[[#This Row], 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ht="18.75" customHeight="1" x14ac:dyDescent="0.35">
      <c r="C2244" s="100" t="str">
        <f>IF(OR(Fact_Administrativa[[#This Row], [Año]]="",Fact_Administrativa[[#This Row], [Mes]]=""),"",DATE(A2244,MATCH(B2244,{"enero","febrero","marzo","abril","mayo","junio","julio","agosto","septiembre","octubre","noviembre","diciembre"},0)+1,0))</f>
        <v/>
      </c>
      <c r="E2244" t="str">
        <f>+IFERROR(VLOOKUP(Fact_Administrativa[[#This Row], [Concepto Anterior]],Conceptos_Administrativa[#All],5,0),"")</f>
        <v/>
      </c>
      <c r="F2244" t="str">
        <f>+IFERROR(VLOOKUP(Fact_Administrativa[[#This Row], 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ht="18.75" customHeight="1" x14ac:dyDescent="0.35">
      <c r="C2245" s="100" t="str">
        <f>IF(OR(Fact_Administrativa[[#This Row], [Año]]="",Fact_Administrativa[[#This Row], [Mes]]=""),"",DATE(A2245,MATCH(B2245,{"enero","febrero","marzo","abril","mayo","junio","julio","agosto","septiembre","octubre","noviembre","diciembre"},0)+1,0))</f>
        <v/>
      </c>
      <c r="E2245" t="str">
        <f>+IFERROR(VLOOKUP(Fact_Administrativa[[#This Row], [Concepto Anterior]],Conceptos_Administrativa[#All],5,0),"")</f>
        <v/>
      </c>
      <c r="F2245" t="str">
        <f>+IFERROR(VLOOKUP(Fact_Administrativa[[#This Row], 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ht="18.75" customHeight="1" x14ac:dyDescent="0.35">
      <c r="C2246" s="100" t="str">
        <f>IF(OR(Fact_Administrativa[[#This Row], [Año]]="",Fact_Administrativa[[#This Row], [Mes]]=""),"",DATE(A2246,MATCH(B2246,{"enero","febrero","marzo","abril","mayo","junio","julio","agosto","septiembre","octubre","noviembre","diciembre"},0)+1,0))</f>
        <v/>
      </c>
      <c r="E2246" t="str">
        <f>+IFERROR(VLOOKUP(Fact_Administrativa[[#This Row], [Concepto Anterior]],Conceptos_Administrativa[#All],5,0),"")</f>
        <v/>
      </c>
      <c r="F2246" t="str">
        <f>+IFERROR(VLOOKUP(Fact_Administrativa[[#This Row], 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ht="18.75" customHeight="1" x14ac:dyDescent="0.35">
      <c r="C2247" s="100" t="str">
        <f>IF(OR(Fact_Administrativa[[#This Row], [Año]]="",Fact_Administrativa[[#This Row], [Mes]]=""),"",DATE(A2247,MATCH(B2247,{"enero","febrero","marzo","abril","mayo","junio","julio","agosto","septiembre","octubre","noviembre","diciembre"},0)+1,0))</f>
        <v/>
      </c>
      <c r="E2247" t="str">
        <f>+IFERROR(VLOOKUP(Fact_Administrativa[[#This Row], [Concepto Anterior]],Conceptos_Administrativa[#All],5,0),"")</f>
        <v/>
      </c>
      <c r="F2247" t="str">
        <f>+IFERROR(VLOOKUP(Fact_Administrativa[[#This Row], 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ht="18.75" customHeight="1" x14ac:dyDescent="0.35">
      <c r="C2248" s="100" t="str">
        <f>IF(OR(Fact_Administrativa[[#This Row], [Año]]="",Fact_Administrativa[[#This Row], [Mes]]=""),"",DATE(A2248,MATCH(B2248,{"enero","febrero","marzo","abril","mayo","junio","julio","agosto","septiembre","octubre","noviembre","diciembre"},0)+1,0))</f>
        <v/>
      </c>
      <c r="E2248" t="str">
        <f>+IFERROR(VLOOKUP(Fact_Administrativa[[#This Row], [Concepto Anterior]],Conceptos_Administrativa[#All],5,0),"")</f>
        <v/>
      </c>
      <c r="F2248" t="str">
        <f>+IFERROR(VLOOKUP(Fact_Administrativa[[#This Row], 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ht="18.75" customHeight="1" x14ac:dyDescent="0.35">
      <c r="C2249" s="100" t="str">
        <f>IF(OR(Fact_Administrativa[[#This Row], [Año]]="",Fact_Administrativa[[#This Row], [Mes]]=""),"",DATE(A2249,MATCH(B2249,{"enero","febrero","marzo","abril","mayo","junio","julio","agosto","septiembre","octubre","noviembre","diciembre"},0)+1,0))</f>
        <v/>
      </c>
      <c r="E2249" t="str">
        <f>+IFERROR(VLOOKUP(Fact_Administrativa[[#This Row], [Concepto Anterior]],Conceptos_Administrativa[#All],5,0),"")</f>
        <v/>
      </c>
      <c r="F2249" t="str">
        <f>+IFERROR(VLOOKUP(Fact_Administrativa[[#This Row], 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ht="18.75" customHeight="1" x14ac:dyDescent="0.35">
      <c r="C2250" s="100" t="str">
        <f>IF(OR(Fact_Administrativa[[#This Row], [Año]]="",Fact_Administrativa[[#This Row], [Mes]]=""),"",DATE(A2250,MATCH(B2250,{"enero","febrero","marzo","abril","mayo","junio","julio","agosto","septiembre","octubre","noviembre","diciembre"},0)+1,0))</f>
        <v/>
      </c>
      <c r="E2250" t="str">
        <f>+IFERROR(VLOOKUP(Fact_Administrativa[[#This Row], [Concepto Anterior]],Conceptos_Administrativa[#All],5,0),"")</f>
        <v/>
      </c>
      <c r="F2250" t="str">
        <f>+IFERROR(VLOOKUP(Fact_Administrativa[[#This Row], 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ht="18.75" customHeight="1" x14ac:dyDescent="0.35">
      <c r="C2251" s="100" t="str">
        <f>IF(OR(Fact_Administrativa[[#This Row], [Año]]="",Fact_Administrativa[[#This Row], [Mes]]=""),"",DATE(A2251,MATCH(B2251,{"enero","febrero","marzo","abril","mayo","junio","julio","agosto","septiembre","octubre","noviembre","diciembre"},0)+1,0))</f>
        <v/>
      </c>
      <c r="E2251" t="str">
        <f>+IFERROR(VLOOKUP(Fact_Administrativa[[#This Row], [Concepto Anterior]],Conceptos_Administrativa[#All],5,0),"")</f>
        <v/>
      </c>
      <c r="F2251" t="str">
        <f>+IFERROR(VLOOKUP(Fact_Administrativa[[#This Row], 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ht="18.75" customHeight="1" x14ac:dyDescent="0.35">
      <c r="C2252" s="100" t="str">
        <f>IF(OR(Fact_Administrativa[[#This Row], [Año]]="",Fact_Administrativa[[#This Row], [Mes]]=""),"",DATE(A2252,MATCH(B2252,{"enero","febrero","marzo","abril","mayo","junio","julio","agosto","septiembre","octubre","noviembre","diciembre"},0)+1,0))</f>
        <v/>
      </c>
      <c r="E2252" t="str">
        <f>+IFERROR(VLOOKUP(Fact_Administrativa[[#This Row], [Concepto Anterior]],Conceptos_Administrativa[#All],5,0),"")</f>
        <v/>
      </c>
      <c r="F2252" t="str">
        <f>+IFERROR(VLOOKUP(Fact_Administrativa[[#This Row], 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ht="18.75" customHeight="1" x14ac:dyDescent="0.35">
      <c r="C2253" s="100" t="str">
        <f>IF(OR(Fact_Administrativa[[#This Row], [Año]]="",Fact_Administrativa[[#This Row], [Mes]]=""),"",DATE(A2253,MATCH(B2253,{"enero","febrero","marzo","abril","mayo","junio","julio","agosto","septiembre","octubre","noviembre","diciembre"},0)+1,0))</f>
        <v/>
      </c>
      <c r="E2253" t="str">
        <f>+IFERROR(VLOOKUP(Fact_Administrativa[[#This Row], [Concepto Anterior]],Conceptos_Administrativa[#All],5,0),"")</f>
        <v/>
      </c>
      <c r="F2253" t="str">
        <f>+IFERROR(VLOOKUP(Fact_Administrativa[[#This Row], 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ht="18.75" customHeight="1" x14ac:dyDescent="0.35">
      <c r="C2254" s="100" t="str">
        <f>IF(OR(Fact_Administrativa[[#This Row], [Año]]="",Fact_Administrativa[[#This Row], [Mes]]=""),"",DATE(A2254,MATCH(B2254,{"enero","febrero","marzo","abril","mayo","junio","julio","agosto","septiembre","octubre","noviembre","diciembre"},0)+1,0))</f>
        <v/>
      </c>
      <c r="E2254" t="str">
        <f>+IFERROR(VLOOKUP(Fact_Administrativa[[#This Row], [Concepto Anterior]],Conceptos_Administrativa[#All],5,0),"")</f>
        <v/>
      </c>
      <c r="F2254" t="str">
        <f>+IFERROR(VLOOKUP(Fact_Administrativa[[#This Row], 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ht="18.75" customHeight="1" x14ac:dyDescent="0.35">
      <c r="C2255" s="100" t="str">
        <f>IF(OR(Fact_Administrativa[[#This Row], [Año]]="",Fact_Administrativa[[#This Row], [Mes]]=""),"",DATE(A2255,MATCH(B2255,{"enero","febrero","marzo","abril","mayo","junio","julio","agosto","septiembre","octubre","noviembre","diciembre"},0)+1,0))</f>
        <v/>
      </c>
      <c r="E2255" t="str">
        <f>+IFERROR(VLOOKUP(Fact_Administrativa[[#This Row], [Concepto Anterior]],Conceptos_Administrativa[#All],5,0),"")</f>
        <v/>
      </c>
      <c r="F2255" t="str">
        <f>+IFERROR(VLOOKUP(Fact_Administrativa[[#This Row], 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ht="18.75" customHeight="1" x14ac:dyDescent="0.35">
      <c r="C2256" s="100" t="str">
        <f>IF(OR(Fact_Administrativa[[#This Row], [Año]]="",Fact_Administrativa[[#This Row], [Mes]]=""),"",DATE(A2256,MATCH(B2256,{"enero","febrero","marzo","abril","mayo","junio","julio","agosto","septiembre","octubre","noviembre","diciembre"},0)+1,0))</f>
        <v/>
      </c>
      <c r="E2256" t="str">
        <f>+IFERROR(VLOOKUP(Fact_Administrativa[[#This Row], [Concepto Anterior]],Conceptos_Administrativa[#All],5,0),"")</f>
        <v/>
      </c>
      <c r="F2256" t="str">
        <f>+IFERROR(VLOOKUP(Fact_Administrativa[[#This Row], 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ht="18.75" customHeight="1" x14ac:dyDescent="0.35">
      <c r="C2257" s="100" t="str">
        <f>IF(OR(Fact_Administrativa[[#This Row], [Año]]="",Fact_Administrativa[[#This Row], [Mes]]=""),"",DATE(A2257,MATCH(B2257,{"enero","febrero","marzo","abril","mayo","junio","julio","agosto","septiembre","octubre","noviembre","diciembre"},0)+1,0))</f>
        <v/>
      </c>
      <c r="E2257" t="str">
        <f>+IFERROR(VLOOKUP(Fact_Administrativa[[#This Row], [Concepto Anterior]],Conceptos_Administrativa[#All],5,0),"")</f>
        <v/>
      </c>
      <c r="F2257" t="str">
        <f>+IFERROR(VLOOKUP(Fact_Administrativa[[#This Row], 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ht="18.75" customHeight="1" x14ac:dyDescent="0.35">
      <c r="C2258" s="100" t="str">
        <f>IF(OR(Fact_Administrativa[[#This Row], [Año]]="",Fact_Administrativa[[#This Row], [Mes]]=""),"",DATE(A2258,MATCH(B2258,{"enero","febrero","marzo","abril","mayo","junio","julio","agosto","septiembre","octubre","noviembre","diciembre"},0)+1,0))</f>
        <v/>
      </c>
      <c r="E2258" t="str">
        <f>+IFERROR(VLOOKUP(Fact_Administrativa[[#This Row], [Concepto Anterior]],Conceptos_Administrativa[#All],5,0),"")</f>
        <v/>
      </c>
      <c r="F2258" t="str">
        <f>+IFERROR(VLOOKUP(Fact_Administrativa[[#This Row], 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ht="18.75" customHeight="1" x14ac:dyDescent="0.35">
      <c r="C2259" s="100" t="str">
        <f>IF(OR(Fact_Administrativa[[#This Row], [Año]]="",Fact_Administrativa[[#This Row], [Mes]]=""),"",DATE(A2259,MATCH(B2259,{"enero","febrero","marzo","abril","mayo","junio","julio","agosto","septiembre","octubre","noviembre","diciembre"},0)+1,0))</f>
        <v/>
      </c>
      <c r="E2259" t="str">
        <f>+IFERROR(VLOOKUP(Fact_Administrativa[[#This Row], [Concepto Anterior]],Conceptos_Administrativa[#All],5,0),"")</f>
        <v/>
      </c>
      <c r="F2259" t="str">
        <f>+IFERROR(VLOOKUP(Fact_Administrativa[[#This Row], 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ht="18.75" customHeight="1" x14ac:dyDescent="0.35">
      <c r="C2260" s="100" t="str">
        <f>IF(OR(Fact_Administrativa[[#This Row], [Año]]="",Fact_Administrativa[[#This Row], [Mes]]=""),"",DATE(A2260,MATCH(B2260,{"enero","febrero","marzo","abril","mayo","junio","julio","agosto","septiembre","octubre","noviembre","diciembre"},0)+1,0))</f>
        <v/>
      </c>
      <c r="E2260" t="str">
        <f>+IFERROR(VLOOKUP(Fact_Administrativa[[#This Row], [Concepto Anterior]],Conceptos_Administrativa[#All],5,0),"")</f>
        <v/>
      </c>
      <c r="F2260" t="str">
        <f>+IFERROR(VLOOKUP(Fact_Administrativa[[#This Row], 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ht="18.75" customHeight="1" x14ac:dyDescent="0.35">
      <c r="C2261" s="100" t="str">
        <f>IF(OR(Fact_Administrativa[[#This Row], [Año]]="",Fact_Administrativa[[#This Row], [Mes]]=""),"",DATE(A2261,MATCH(B2261,{"enero","febrero","marzo","abril","mayo","junio","julio","agosto","septiembre","octubre","noviembre","diciembre"},0)+1,0))</f>
        <v/>
      </c>
      <c r="E2261" t="str">
        <f>+IFERROR(VLOOKUP(Fact_Administrativa[[#This Row], [Concepto Anterior]],Conceptos_Administrativa[#All],5,0),"")</f>
        <v/>
      </c>
      <c r="F2261" t="str">
        <f>+IFERROR(VLOOKUP(Fact_Administrativa[[#This Row], 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ht="18.75" customHeight="1" x14ac:dyDescent="0.35">
      <c r="C2262" s="100" t="str">
        <f>IF(OR(Fact_Administrativa[[#This Row], [Año]]="",Fact_Administrativa[[#This Row], [Mes]]=""),"",DATE(A2262,MATCH(B2262,{"enero","febrero","marzo","abril","mayo","junio","julio","agosto","septiembre","octubre","noviembre","diciembre"},0)+1,0))</f>
        <v/>
      </c>
      <c r="E2262" t="str">
        <f>+IFERROR(VLOOKUP(Fact_Administrativa[[#This Row], [Concepto Anterior]],Conceptos_Administrativa[#All],5,0),"")</f>
        <v/>
      </c>
      <c r="F2262" t="str">
        <f>+IFERROR(VLOOKUP(Fact_Administrativa[[#This Row], 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ht="18.75" customHeight="1" x14ac:dyDescent="0.35">
      <c r="C2263" s="100" t="str">
        <f>IF(OR(Fact_Administrativa[[#This Row], [Año]]="",Fact_Administrativa[[#This Row], [Mes]]=""),"",DATE(A2263,MATCH(B2263,{"enero","febrero","marzo","abril","mayo","junio","julio","agosto","septiembre","octubre","noviembre","diciembre"},0)+1,0))</f>
        <v/>
      </c>
      <c r="E2263" t="str">
        <f>+IFERROR(VLOOKUP(Fact_Administrativa[[#This Row], [Concepto Anterior]],Conceptos_Administrativa[#All],5,0),"")</f>
        <v/>
      </c>
      <c r="F2263" t="str">
        <f>+IFERROR(VLOOKUP(Fact_Administrativa[[#This Row], 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ht="18.75" customHeight="1" x14ac:dyDescent="0.35">
      <c r="C2264" s="100" t="str">
        <f>IF(OR(Fact_Administrativa[[#This Row], [Año]]="",Fact_Administrativa[[#This Row], [Mes]]=""),"",DATE(A2264,MATCH(B2264,{"enero","febrero","marzo","abril","mayo","junio","julio","agosto","septiembre","octubre","noviembre","diciembre"},0)+1,0))</f>
        <v/>
      </c>
      <c r="E2264" t="str">
        <f>+IFERROR(VLOOKUP(Fact_Administrativa[[#This Row], [Concepto Anterior]],Conceptos_Administrativa[#All],5,0),"")</f>
        <v/>
      </c>
      <c r="F2264" t="str">
        <f>+IFERROR(VLOOKUP(Fact_Administrativa[[#This Row], 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ht="18.75" customHeight="1" x14ac:dyDescent="0.35">
      <c r="C2265" s="100" t="str">
        <f>IF(OR(Fact_Administrativa[[#This Row], [Año]]="",Fact_Administrativa[[#This Row], [Mes]]=""),"",DATE(A2265,MATCH(B2265,{"enero","febrero","marzo","abril","mayo","junio","julio","agosto","septiembre","octubre","noviembre","diciembre"},0)+1,0))</f>
        <v/>
      </c>
      <c r="E2265" t="str">
        <f>+IFERROR(VLOOKUP(Fact_Administrativa[[#This Row], [Concepto Anterior]],Conceptos_Administrativa[#All],5,0),"")</f>
        <v/>
      </c>
      <c r="F2265" t="str">
        <f>+IFERROR(VLOOKUP(Fact_Administrativa[[#This Row], 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ht="18.75" customHeight="1" x14ac:dyDescent="0.35">
      <c r="C2266" s="100" t="str">
        <f>IF(OR(Fact_Administrativa[[#This Row], [Año]]="",Fact_Administrativa[[#This Row], [Mes]]=""),"",DATE(A2266,MATCH(B2266,{"enero","febrero","marzo","abril","mayo","junio","julio","agosto","septiembre","octubre","noviembre","diciembre"},0)+1,0))</f>
        <v/>
      </c>
      <c r="E2266" t="str">
        <f>+IFERROR(VLOOKUP(Fact_Administrativa[[#This Row], [Concepto Anterior]],Conceptos_Administrativa[#All],5,0),"")</f>
        <v/>
      </c>
      <c r="F2266" t="str">
        <f>+IFERROR(VLOOKUP(Fact_Administrativa[[#This Row], 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ht="18.75" customHeight="1" x14ac:dyDescent="0.35">
      <c r="C2267" s="100" t="str">
        <f>IF(OR(Fact_Administrativa[[#This Row], [Año]]="",Fact_Administrativa[[#This Row], [Mes]]=""),"",DATE(A2267,MATCH(B2267,{"enero","febrero","marzo","abril","mayo","junio","julio","agosto","septiembre","octubre","noviembre","diciembre"},0)+1,0))</f>
        <v/>
      </c>
      <c r="E2267" t="str">
        <f>+IFERROR(VLOOKUP(Fact_Administrativa[[#This Row], [Concepto Anterior]],Conceptos_Administrativa[#All],5,0),"")</f>
        <v/>
      </c>
      <c r="F2267" t="str">
        <f>+IFERROR(VLOOKUP(Fact_Administrativa[[#This Row], 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ht="18.75" customHeight="1" x14ac:dyDescent="0.35">
      <c r="C2268" s="100" t="str">
        <f>IF(OR(Fact_Administrativa[[#This Row], [Año]]="",Fact_Administrativa[[#This Row], [Mes]]=""),"",DATE(A2268,MATCH(B2268,{"enero","febrero","marzo","abril","mayo","junio","julio","agosto","septiembre","octubre","noviembre","diciembre"},0)+1,0))</f>
        <v/>
      </c>
      <c r="E2268" t="str">
        <f>+IFERROR(VLOOKUP(Fact_Administrativa[[#This Row], [Concepto Anterior]],Conceptos_Administrativa[#All],5,0),"")</f>
        <v/>
      </c>
      <c r="F2268" t="str">
        <f>+IFERROR(VLOOKUP(Fact_Administrativa[[#This Row], 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ht="18.75" customHeight="1" x14ac:dyDescent="0.35">
      <c r="C2269" s="100" t="str">
        <f>IF(OR(Fact_Administrativa[[#This Row], [Año]]="",Fact_Administrativa[[#This Row], [Mes]]=""),"",DATE(A2269,MATCH(B2269,{"enero","febrero","marzo","abril","mayo","junio","julio","agosto","septiembre","octubre","noviembre","diciembre"},0)+1,0))</f>
        <v/>
      </c>
      <c r="E2269" t="str">
        <f>+IFERROR(VLOOKUP(Fact_Administrativa[[#This Row], [Concepto Anterior]],Conceptos_Administrativa[#All],5,0),"")</f>
        <v/>
      </c>
      <c r="F2269" t="str">
        <f>+IFERROR(VLOOKUP(Fact_Administrativa[[#This Row], 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ht="18.75" customHeight="1" x14ac:dyDescent="0.35">
      <c r="C2270" s="100" t="str">
        <f>IF(OR(Fact_Administrativa[[#This Row], [Año]]="",Fact_Administrativa[[#This Row], [Mes]]=""),"",DATE(A2270,MATCH(B2270,{"enero","febrero","marzo","abril","mayo","junio","julio","agosto","septiembre","octubre","noviembre","diciembre"},0)+1,0))</f>
        <v/>
      </c>
      <c r="E2270" t="str">
        <f>+IFERROR(VLOOKUP(Fact_Administrativa[[#This Row], [Concepto Anterior]],Conceptos_Administrativa[#All],5,0),"")</f>
        <v/>
      </c>
      <c r="F2270" t="str">
        <f>+IFERROR(VLOOKUP(Fact_Administrativa[[#This Row], 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ht="18.75" customHeight="1" x14ac:dyDescent="0.35">
      <c r="C2271" s="100" t="str">
        <f>IF(OR(Fact_Administrativa[[#This Row], [Año]]="",Fact_Administrativa[[#This Row], [Mes]]=""),"",DATE(A2271,MATCH(B2271,{"enero","febrero","marzo","abril","mayo","junio","julio","agosto","septiembre","octubre","noviembre","diciembre"},0)+1,0))</f>
        <v/>
      </c>
      <c r="E2271" t="str">
        <f>+IFERROR(VLOOKUP(Fact_Administrativa[[#This Row], [Concepto Anterior]],Conceptos_Administrativa[#All],5,0),"")</f>
        <v/>
      </c>
      <c r="F2271" t="str">
        <f>+IFERROR(VLOOKUP(Fact_Administrativa[[#This Row], 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ht="18.75" customHeight="1" x14ac:dyDescent="0.35">
      <c r="C2272" s="100" t="str">
        <f>IF(OR(Fact_Administrativa[[#This Row], [Año]]="",Fact_Administrativa[[#This Row], [Mes]]=""),"",DATE(A2272,MATCH(B2272,{"enero","febrero","marzo","abril","mayo","junio","julio","agosto","septiembre","octubre","noviembre","diciembre"},0)+1,0))</f>
        <v/>
      </c>
      <c r="E2272" t="str">
        <f>+IFERROR(VLOOKUP(Fact_Administrativa[[#This Row], [Concepto Anterior]],Conceptos_Administrativa[#All],5,0),"")</f>
        <v/>
      </c>
      <c r="F2272" t="str">
        <f>+IFERROR(VLOOKUP(Fact_Administrativa[[#This Row], 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ht="18.75" customHeight="1" x14ac:dyDescent="0.35">
      <c r="C2273" s="100" t="str">
        <f>IF(OR(Fact_Administrativa[[#This Row], [Año]]="",Fact_Administrativa[[#This Row], [Mes]]=""),"",DATE(A2273,MATCH(B2273,{"enero","febrero","marzo","abril","mayo","junio","julio","agosto","septiembre","octubre","noviembre","diciembre"},0)+1,0))</f>
        <v/>
      </c>
      <c r="E2273" t="str">
        <f>+IFERROR(VLOOKUP(Fact_Administrativa[[#This Row], [Concepto Anterior]],Conceptos_Administrativa[#All],5,0),"")</f>
        <v/>
      </c>
      <c r="F2273" t="str">
        <f>+IFERROR(VLOOKUP(Fact_Administrativa[[#This Row], 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ht="18.75" customHeight="1" x14ac:dyDescent="0.35">
      <c r="C2274" s="100" t="str">
        <f>IF(OR(Fact_Administrativa[[#This Row], [Año]]="",Fact_Administrativa[[#This Row], [Mes]]=""),"",DATE(A2274,MATCH(B2274,{"enero","febrero","marzo","abril","mayo","junio","julio","agosto","septiembre","octubre","noviembre","diciembre"},0)+1,0))</f>
        <v/>
      </c>
      <c r="E2274" t="str">
        <f>+IFERROR(VLOOKUP(Fact_Administrativa[[#This Row], [Concepto Anterior]],Conceptos_Administrativa[#All],5,0),"")</f>
        <v/>
      </c>
      <c r="F2274" t="str">
        <f>+IFERROR(VLOOKUP(Fact_Administrativa[[#This Row], 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ht="18.75" customHeight="1" x14ac:dyDescent="0.35">
      <c r="C2275" s="100" t="str">
        <f>IF(OR(Fact_Administrativa[[#This Row], [Año]]="",Fact_Administrativa[[#This Row], [Mes]]=""),"",DATE(A2275,MATCH(B2275,{"enero","febrero","marzo","abril","mayo","junio","julio","agosto","septiembre","octubre","noviembre","diciembre"},0)+1,0))</f>
        <v/>
      </c>
      <c r="E2275" t="str">
        <f>+IFERROR(VLOOKUP(Fact_Administrativa[[#This Row], [Concepto Anterior]],Conceptos_Administrativa[#All],5,0),"")</f>
        <v/>
      </c>
      <c r="F2275" t="str">
        <f>+IFERROR(VLOOKUP(Fact_Administrativa[[#This Row], 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ht="18.75" customHeight="1" x14ac:dyDescent="0.35">
      <c r="C2276" s="100" t="str">
        <f>IF(OR(Fact_Administrativa[[#This Row], [Año]]="",Fact_Administrativa[[#This Row], [Mes]]=""),"",DATE(A2276,MATCH(B2276,{"enero","febrero","marzo","abril","mayo","junio","julio","agosto","septiembre","octubre","noviembre","diciembre"},0)+1,0))</f>
        <v/>
      </c>
      <c r="E2276" t="str">
        <f>+IFERROR(VLOOKUP(Fact_Administrativa[[#This Row], [Concepto Anterior]],Conceptos_Administrativa[#All],5,0),"")</f>
        <v/>
      </c>
      <c r="F2276" t="str">
        <f>+IFERROR(VLOOKUP(Fact_Administrativa[[#This Row], 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ht="18.75" customHeight="1" x14ac:dyDescent="0.35">
      <c r="C2277" s="100" t="str">
        <f>IF(OR(Fact_Administrativa[[#This Row], [Año]]="",Fact_Administrativa[[#This Row], [Mes]]=""),"",DATE(A2277,MATCH(B2277,{"enero","febrero","marzo","abril","mayo","junio","julio","agosto","septiembre","octubre","noviembre","diciembre"},0)+1,0))</f>
        <v/>
      </c>
      <c r="E2277" t="str">
        <f>+IFERROR(VLOOKUP(Fact_Administrativa[[#This Row], [Concepto Anterior]],Conceptos_Administrativa[#All],5,0),"")</f>
        <v/>
      </c>
      <c r="F2277" t="str">
        <f>+IFERROR(VLOOKUP(Fact_Administrativa[[#This Row], 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ht="18.75" customHeight="1" x14ac:dyDescent="0.35">
      <c r="C2278" s="100" t="str">
        <f>IF(OR(Fact_Administrativa[[#This Row], [Año]]="",Fact_Administrativa[[#This Row], [Mes]]=""),"",DATE(A2278,MATCH(B2278,{"enero","febrero","marzo","abril","mayo","junio","julio","agosto","septiembre","octubre","noviembre","diciembre"},0)+1,0))</f>
        <v/>
      </c>
      <c r="E2278" t="str">
        <f>+IFERROR(VLOOKUP(Fact_Administrativa[[#This Row], [Concepto Anterior]],Conceptos_Administrativa[#All],5,0),"")</f>
        <v/>
      </c>
      <c r="F2278" t="str">
        <f>+IFERROR(VLOOKUP(Fact_Administrativa[[#This Row], 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ht="18.75" customHeight="1" x14ac:dyDescent="0.35">
      <c r="C2279" s="100" t="str">
        <f>IF(OR(Fact_Administrativa[[#This Row], [Año]]="",Fact_Administrativa[[#This Row], [Mes]]=""),"",DATE(A2279,MATCH(B2279,{"enero","febrero","marzo","abril","mayo","junio","julio","agosto","septiembre","octubre","noviembre","diciembre"},0)+1,0))</f>
        <v/>
      </c>
      <c r="E2279" t="str">
        <f>+IFERROR(VLOOKUP(Fact_Administrativa[[#This Row], [Concepto Anterior]],Conceptos_Administrativa[#All],5,0),"")</f>
        <v/>
      </c>
      <c r="F2279" t="str">
        <f>+IFERROR(VLOOKUP(Fact_Administrativa[[#This Row], 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ht="18.75" customHeight="1" x14ac:dyDescent="0.35">
      <c r="C2280" s="100" t="str">
        <f>IF(OR(Fact_Administrativa[[#This Row], [Año]]="",Fact_Administrativa[[#This Row], [Mes]]=""),"",DATE(A2280,MATCH(B2280,{"enero","febrero","marzo","abril","mayo","junio","julio","agosto","septiembre","octubre","noviembre","diciembre"},0)+1,0))</f>
        <v/>
      </c>
      <c r="E2280" t="str">
        <f>+IFERROR(VLOOKUP(Fact_Administrativa[[#This Row], [Concepto Anterior]],Conceptos_Administrativa[#All],5,0),"")</f>
        <v/>
      </c>
      <c r="F2280" t="str">
        <f>+IFERROR(VLOOKUP(Fact_Administrativa[[#This Row], 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ht="18.75" customHeight="1" x14ac:dyDescent="0.35">
      <c r="C2281" s="100" t="str">
        <f>IF(OR(Fact_Administrativa[[#This Row], [Año]]="",Fact_Administrativa[[#This Row], [Mes]]=""),"",DATE(A2281,MATCH(B2281,{"enero","febrero","marzo","abril","mayo","junio","julio","agosto","septiembre","octubre","noviembre","diciembre"},0)+1,0))</f>
        <v/>
      </c>
      <c r="E2281" t="str">
        <f>+IFERROR(VLOOKUP(Fact_Administrativa[[#This Row], [Concepto Anterior]],Conceptos_Administrativa[#All],5,0),"")</f>
        <v/>
      </c>
      <c r="F2281" t="str">
        <f>+IFERROR(VLOOKUP(Fact_Administrativa[[#This Row], 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ht="18.75" customHeight="1" x14ac:dyDescent="0.35">
      <c r="C2282" s="100" t="str">
        <f>IF(OR(Fact_Administrativa[[#This Row], [Año]]="",Fact_Administrativa[[#This Row], [Mes]]=""),"",DATE(A2282,MATCH(B2282,{"enero","febrero","marzo","abril","mayo","junio","julio","agosto","septiembre","octubre","noviembre","diciembre"},0)+1,0))</f>
        <v/>
      </c>
      <c r="E2282" t="str">
        <f>+IFERROR(VLOOKUP(Fact_Administrativa[[#This Row], [Concepto Anterior]],Conceptos_Administrativa[#All],5,0),"")</f>
        <v/>
      </c>
      <c r="F2282" t="str">
        <f>+IFERROR(VLOOKUP(Fact_Administrativa[[#This Row], 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ht="18.75" customHeight="1" x14ac:dyDescent="0.35">
      <c r="C2283" s="100" t="str">
        <f>IF(OR(Fact_Administrativa[[#This Row], [Año]]="",Fact_Administrativa[[#This Row], [Mes]]=""),"",DATE(A2283,MATCH(B2283,{"enero","febrero","marzo","abril","mayo","junio","julio","agosto","septiembre","octubre","noviembre","diciembre"},0)+1,0))</f>
        <v/>
      </c>
      <c r="E2283" t="str">
        <f>+IFERROR(VLOOKUP(Fact_Administrativa[[#This Row], [Concepto Anterior]],Conceptos_Administrativa[#All],5,0),"")</f>
        <v/>
      </c>
      <c r="F2283" t="str">
        <f>+IFERROR(VLOOKUP(Fact_Administrativa[[#This Row], 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ht="18.75" customHeight="1" x14ac:dyDescent="0.35">
      <c r="C2284" s="100" t="str">
        <f>IF(OR(Fact_Administrativa[[#This Row], [Año]]="",Fact_Administrativa[[#This Row], [Mes]]=""),"",DATE(A2284,MATCH(B2284,{"enero","febrero","marzo","abril","mayo","junio","julio","agosto","septiembre","octubre","noviembre","diciembre"},0)+1,0))</f>
        <v/>
      </c>
      <c r="E2284" t="str">
        <f>+IFERROR(VLOOKUP(Fact_Administrativa[[#This Row], [Concepto Anterior]],Conceptos_Administrativa[#All],5,0),"")</f>
        <v/>
      </c>
      <c r="F2284" t="str">
        <f>+IFERROR(VLOOKUP(Fact_Administrativa[[#This Row], 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ht="18.75" customHeight="1" x14ac:dyDescent="0.35">
      <c r="C2285" s="100" t="str">
        <f>IF(OR(Fact_Administrativa[[#This Row], [Año]]="",Fact_Administrativa[[#This Row], [Mes]]=""),"",DATE(A2285,MATCH(B2285,{"enero","febrero","marzo","abril","mayo","junio","julio","agosto","septiembre","octubre","noviembre","diciembre"},0)+1,0))</f>
        <v/>
      </c>
      <c r="E2285" t="str">
        <f>+IFERROR(VLOOKUP(Fact_Administrativa[[#This Row], [Concepto Anterior]],Conceptos_Administrativa[#All],5,0),"")</f>
        <v/>
      </c>
      <c r="F2285" t="str">
        <f>+IFERROR(VLOOKUP(Fact_Administrativa[[#This Row], 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ht="18.75" customHeight="1" x14ac:dyDescent="0.35">
      <c r="C2286" s="100" t="str">
        <f>IF(OR(Fact_Administrativa[[#This Row], [Año]]="",Fact_Administrativa[[#This Row], [Mes]]=""),"",DATE(A2286,MATCH(B2286,{"enero","febrero","marzo","abril","mayo","junio","julio","agosto","septiembre","octubre","noviembre","diciembre"},0)+1,0))</f>
        <v/>
      </c>
      <c r="E2286" t="str">
        <f>+IFERROR(VLOOKUP(Fact_Administrativa[[#This Row], [Concepto Anterior]],Conceptos_Administrativa[#All],5,0),"")</f>
        <v/>
      </c>
      <c r="F2286" t="str">
        <f>+IFERROR(VLOOKUP(Fact_Administrativa[[#This Row], 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ht="18.75" customHeight="1" x14ac:dyDescent="0.35">
      <c r="C2287" s="100" t="str">
        <f>IF(OR(Fact_Administrativa[[#This Row], [Año]]="",Fact_Administrativa[[#This Row], [Mes]]=""),"",DATE(A2287,MATCH(B2287,{"enero","febrero","marzo","abril","mayo","junio","julio","agosto","septiembre","octubre","noviembre","diciembre"},0)+1,0))</f>
        <v/>
      </c>
      <c r="E2287" t="str">
        <f>+IFERROR(VLOOKUP(Fact_Administrativa[[#This Row], [Concepto Anterior]],Conceptos_Administrativa[#All],5,0),"")</f>
        <v/>
      </c>
      <c r="F2287" t="str">
        <f>+IFERROR(VLOOKUP(Fact_Administrativa[[#This Row], 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ht="18.75" customHeight="1" x14ac:dyDescent="0.35">
      <c r="C2288" s="100" t="str">
        <f>IF(OR(Fact_Administrativa[[#This Row], [Año]]="",Fact_Administrativa[[#This Row], [Mes]]=""),"",DATE(A2288,MATCH(B2288,{"enero","febrero","marzo","abril","mayo","junio","julio","agosto","septiembre","octubre","noviembre","diciembre"},0)+1,0))</f>
        <v/>
      </c>
      <c r="E2288" t="str">
        <f>+IFERROR(VLOOKUP(Fact_Administrativa[[#This Row], [Concepto Anterior]],Conceptos_Administrativa[#All],5,0),"")</f>
        <v/>
      </c>
      <c r="F2288" t="str">
        <f>+IFERROR(VLOOKUP(Fact_Administrativa[[#This Row], 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ht="18.75" customHeight="1" x14ac:dyDescent="0.35">
      <c r="C2289" s="100" t="str">
        <f>IF(OR(Fact_Administrativa[[#This Row], [Año]]="",Fact_Administrativa[[#This Row], [Mes]]=""),"",DATE(A2289,MATCH(B2289,{"enero","febrero","marzo","abril","mayo","junio","julio","agosto","septiembre","octubre","noviembre","diciembre"},0)+1,0))</f>
        <v/>
      </c>
      <c r="E2289" t="str">
        <f>+IFERROR(VLOOKUP(Fact_Administrativa[[#This Row], [Concepto Anterior]],Conceptos_Administrativa[#All],5,0),"")</f>
        <v/>
      </c>
      <c r="F2289" t="str">
        <f>+IFERROR(VLOOKUP(Fact_Administrativa[[#This Row], 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ht="18.75" customHeight="1" x14ac:dyDescent="0.35">
      <c r="C2290" s="100" t="str">
        <f>IF(OR(Fact_Administrativa[[#This Row], [Año]]="",Fact_Administrativa[[#This Row], [Mes]]=""),"",DATE(A2290,MATCH(B2290,{"enero","febrero","marzo","abril","mayo","junio","julio","agosto","septiembre","octubre","noviembre","diciembre"},0)+1,0))</f>
        <v/>
      </c>
      <c r="E2290" t="str">
        <f>+IFERROR(VLOOKUP(Fact_Administrativa[[#This Row], [Concepto Anterior]],Conceptos_Administrativa[#All],5,0),"")</f>
        <v/>
      </c>
      <c r="F2290" t="str">
        <f>+IFERROR(VLOOKUP(Fact_Administrativa[[#This Row], 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ht="18.75" customHeight="1" x14ac:dyDescent="0.35">
      <c r="C2291" s="100" t="str">
        <f>IF(OR(Fact_Administrativa[[#This Row], [Año]]="",Fact_Administrativa[[#This Row], [Mes]]=""),"",DATE(A2291,MATCH(B2291,{"enero","febrero","marzo","abril","mayo","junio","julio","agosto","septiembre","octubre","noviembre","diciembre"},0)+1,0))</f>
        <v/>
      </c>
      <c r="E2291" t="str">
        <f>+IFERROR(VLOOKUP(Fact_Administrativa[[#This Row], [Concepto Anterior]],Conceptos_Administrativa[#All],5,0),"")</f>
        <v/>
      </c>
      <c r="F2291" t="str">
        <f>+IFERROR(VLOOKUP(Fact_Administrativa[[#This Row], 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ht="18.75" customHeight="1" x14ac:dyDescent="0.35">
      <c r="C2292" s="100" t="str">
        <f>IF(OR(Fact_Administrativa[[#This Row], [Año]]="",Fact_Administrativa[[#This Row], [Mes]]=""),"",DATE(A2292,MATCH(B2292,{"enero","febrero","marzo","abril","mayo","junio","julio","agosto","septiembre","octubre","noviembre","diciembre"},0)+1,0))</f>
        <v/>
      </c>
      <c r="E2292" t="str">
        <f>+IFERROR(VLOOKUP(Fact_Administrativa[[#This Row], [Concepto Anterior]],Conceptos_Administrativa[#All],5,0),"")</f>
        <v/>
      </c>
      <c r="F2292" t="str">
        <f>+IFERROR(VLOOKUP(Fact_Administrativa[[#This Row], 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ht="18.75" customHeight="1" x14ac:dyDescent="0.35">
      <c r="C2293" s="100" t="str">
        <f>IF(OR(Fact_Administrativa[[#This Row], [Año]]="",Fact_Administrativa[[#This Row], [Mes]]=""),"",DATE(A2293,MATCH(B2293,{"enero","febrero","marzo","abril","mayo","junio","julio","agosto","septiembre","octubre","noviembre","diciembre"},0)+1,0))</f>
        <v/>
      </c>
      <c r="E2293" t="str">
        <f>+IFERROR(VLOOKUP(Fact_Administrativa[[#This Row], [Concepto Anterior]],Conceptos_Administrativa[#All],5,0),"")</f>
        <v/>
      </c>
      <c r="F2293" t="str">
        <f>+IFERROR(VLOOKUP(Fact_Administrativa[[#This Row], 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ht="18.75" customHeight="1" x14ac:dyDescent="0.35">
      <c r="C2294" s="100" t="str">
        <f>IF(OR(Fact_Administrativa[[#This Row], [Año]]="",Fact_Administrativa[[#This Row], [Mes]]=""),"",DATE(A2294,MATCH(B2294,{"enero","febrero","marzo","abril","mayo","junio","julio","agosto","septiembre","octubre","noviembre","diciembre"},0)+1,0))</f>
        <v/>
      </c>
      <c r="E2294" t="str">
        <f>+IFERROR(VLOOKUP(Fact_Administrativa[[#This Row], [Concepto Anterior]],Conceptos_Administrativa[#All],5,0),"")</f>
        <v/>
      </c>
      <c r="F2294" t="str">
        <f>+IFERROR(VLOOKUP(Fact_Administrativa[[#This Row], 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ht="18.75" customHeight="1" x14ac:dyDescent="0.35">
      <c r="C2295" s="100" t="str">
        <f>IF(OR(Fact_Administrativa[[#This Row], [Año]]="",Fact_Administrativa[[#This Row], [Mes]]=""),"",DATE(A2295,MATCH(B2295,{"enero","febrero","marzo","abril","mayo","junio","julio","agosto","septiembre","octubre","noviembre","diciembre"},0)+1,0))</f>
        <v/>
      </c>
      <c r="E2295" t="str">
        <f>+IFERROR(VLOOKUP(Fact_Administrativa[[#This Row], [Concepto Anterior]],Conceptos_Administrativa[#All],5,0),"")</f>
        <v/>
      </c>
      <c r="F2295" t="str">
        <f>+IFERROR(VLOOKUP(Fact_Administrativa[[#This Row], 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ht="18.75" customHeight="1" x14ac:dyDescent="0.35">
      <c r="C2296" s="100" t="str">
        <f>IF(OR(Fact_Administrativa[[#This Row], [Año]]="",Fact_Administrativa[[#This Row], [Mes]]=""),"",DATE(A2296,MATCH(B2296,{"enero","febrero","marzo","abril","mayo","junio","julio","agosto","septiembre","octubre","noviembre","diciembre"},0)+1,0))</f>
        <v/>
      </c>
      <c r="E2296" t="str">
        <f>+IFERROR(VLOOKUP(Fact_Administrativa[[#This Row], [Concepto Anterior]],Conceptos_Administrativa[#All],5,0),"")</f>
        <v/>
      </c>
      <c r="F2296" t="str">
        <f>+IFERROR(VLOOKUP(Fact_Administrativa[[#This Row], 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ht="18.75" customHeight="1" x14ac:dyDescent="0.35">
      <c r="C2297" s="100" t="str">
        <f>IF(OR(Fact_Administrativa[[#This Row], [Año]]="",Fact_Administrativa[[#This Row], [Mes]]=""),"",DATE(A2297,MATCH(B2297,{"enero","febrero","marzo","abril","mayo","junio","julio","agosto","septiembre","octubre","noviembre","diciembre"},0)+1,0))</f>
        <v/>
      </c>
      <c r="E2297" t="str">
        <f>+IFERROR(VLOOKUP(Fact_Administrativa[[#This Row], [Concepto Anterior]],Conceptos_Administrativa[#All],5,0),"")</f>
        <v/>
      </c>
      <c r="F2297" t="str">
        <f>+IFERROR(VLOOKUP(Fact_Administrativa[[#This Row], 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ht="18.75" customHeight="1" x14ac:dyDescent="0.35">
      <c r="C2298" s="100" t="str">
        <f>IF(OR(Fact_Administrativa[[#This Row], [Año]]="",Fact_Administrativa[[#This Row], [Mes]]=""),"",DATE(A2298,MATCH(B2298,{"enero","febrero","marzo","abril","mayo","junio","julio","agosto","septiembre","octubre","noviembre","diciembre"},0)+1,0))</f>
        <v/>
      </c>
      <c r="E2298" t="str">
        <f>+IFERROR(VLOOKUP(Fact_Administrativa[[#This Row], [Concepto Anterior]],Conceptos_Administrativa[#All],5,0),"")</f>
        <v/>
      </c>
      <c r="F2298" t="str">
        <f>+IFERROR(VLOOKUP(Fact_Administrativa[[#This Row], 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ht="18.75" customHeight="1" x14ac:dyDescent="0.35">
      <c r="C2299" s="100" t="str">
        <f>IF(OR(Fact_Administrativa[[#This Row], [Año]]="",Fact_Administrativa[[#This Row], [Mes]]=""),"",DATE(A2299,MATCH(B2299,{"enero","febrero","marzo","abril","mayo","junio","julio","agosto","septiembre","octubre","noviembre","diciembre"},0)+1,0))</f>
        <v/>
      </c>
      <c r="E2299" t="str">
        <f>+IFERROR(VLOOKUP(Fact_Administrativa[[#This Row], [Concepto Anterior]],Conceptos_Administrativa[#All],5,0),"")</f>
        <v/>
      </c>
      <c r="F2299" t="str">
        <f>+IFERROR(VLOOKUP(Fact_Administrativa[[#This Row], 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ht="18.75" customHeight="1" x14ac:dyDescent="0.35">
      <c r="C2300" s="100" t="str">
        <f>IF(OR(Fact_Administrativa[[#This Row], [Año]]="",Fact_Administrativa[[#This Row], [Mes]]=""),"",DATE(A2300,MATCH(B2300,{"enero","febrero","marzo","abril","mayo","junio","julio","agosto","septiembre","octubre","noviembre","diciembre"},0)+1,0))</f>
        <v/>
      </c>
      <c r="E2300" t="str">
        <f>+IFERROR(VLOOKUP(Fact_Administrativa[[#This Row], [Concepto Anterior]],Conceptos_Administrativa[#All],5,0),"")</f>
        <v/>
      </c>
      <c r="F2300" t="str">
        <f>+IFERROR(VLOOKUP(Fact_Administrativa[[#This Row], 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ht="18.75" customHeight="1" x14ac:dyDescent="0.35">
      <c r="C2301" s="100" t="str">
        <f>IF(OR(Fact_Administrativa[[#This Row], [Año]]="",Fact_Administrativa[[#This Row], [Mes]]=""),"",DATE(A2301,MATCH(B2301,{"enero","febrero","marzo","abril","mayo","junio","julio","agosto","septiembre","octubre","noviembre","diciembre"},0)+1,0))</f>
        <v/>
      </c>
      <c r="E2301" t="str">
        <f>+IFERROR(VLOOKUP(Fact_Administrativa[[#This Row], [Concepto Anterior]],Conceptos_Administrativa[#All],5,0),"")</f>
        <v/>
      </c>
      <c r="F2301" t="str">
        <f>+IFERROR(VLOOKUP(Fact_Administrativa[[#This Row], 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ht="18.75" customHeight="1" x14ac:dyDescent="0.35">
      <c r="C2302" s="100" t="str">
        <f>IF(OR(Fact_Administrativa[[#This Row], [Año]]="",Fact_Administrativa[[#This Row], [Mes]]=""),"",DATE(A2302,MATCH(B2302,{"enero","febrero","marzo","abril","mayo","junio","julio","agosto","septiembre","octubre","noviembre","diciembre"},0)+1,0))</f>
        <v/>
      </c>
      <c r="E2302" t="str">
        <f>+IFERROR(VLOOKUP(Fact_Administrativa[[#This Row], [Concepto Anterior]],Conceptos_Administrativa[#All],5,0),"")</f>
        <v/>
      </c>
      <c r="F2302" t="str">
        <f>+IFERROR(VLOOKUP(Fact_Administrativa[[#This Row], 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ht="18.75" customHeight="1" x14ac:dyDescent="0.35">
      <c r="C2303" s="100" t="str">
        <f>IF(OR(Fact_Administrativa[[#This Row], [Año]]="",Fact_Administrativa[[#This Row], [Mes]]=""),"",DATE(A2303,MATCH(B2303,{"enero","febrero","marzo","abril","mayo","junio","julio","agosto","septiembre","octubre","noviembre","diciembre"},0)+1,0))</f>
        <v/>
      </c>
      <c r="E2303" t="str">
        <f>+IFERROR(VLOOKUP(Fact_Administrativa[[#This Row], [Concepto Anterior]],Conceptos_Administrativa[#All],5,0),"")</f>
        <v/>
      </c>
      <c r="F2303" t="str">
        <f>+IFERROR(VLOOKUP(Fact_Administrativa[[#This Row], 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ht="18.75" customHeight="1" x14ac:dyDescent="0.35">
      <c r="C2304" s="100" t="str">
        <f>IF(OR(Fact_Administrativa[[#This Row], [Año]]="",Fact_Administrativa[[#This Row], [Mes]]=""),"",DATE(A2304,MATCH(B2304,{"enero","febrero","marzo","abril","mayo","junio","julio","agosto","septiembre","octubre","noviembre","diciembre"},0)+1,0))</f>
        <v/>
      </c>
      <c r="E2304" t="str">
        <f>+IFERROR(VLOOKUP(Fact_Administrativa[[#This Row], [Concepto Anterior]],Conceptos_Administrativa[#All],5,0),"")</f>
        <v/>
      </c>
      <c r="F2304" t="str">
        <f>+IFERROR(VLOOKUP(Fact_Administrativa[[#This Row], 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ht="18.75" customHeight="1" x14ac:dyDescent="0.35">
      <c r="C2305" s="100" t="str">
        <f>IF(OR(Fact_Administrativa[[#This Row], [Año]]="",Fact_Administrativa[[#This Row], [Mes]]=""),"",DATE(A2305,MATCH(B2305,{"enero","febrero","marzo","abril","mayo","junio","julio","agosto","septiembre","octubre","noviembre","diciembre"},0)+1,0))</f>
        <v/>
      </c>
      <c r="E2305" t="str">
        <f>+IFERROR(VLOOKUP(Fact_Administrativa[[#This Row], [Concepto Anterior]],Conceptos_Administrativa[#All],5,0),"")</f>
        <v/>
      </c>
      <c r="F2305" t="str">
        <f>+IFERROR(VLOOKUP(Fact_Administrativa[[#This Row], 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ht="18.75" customHeight="1" x14ac:dyDescent="0.35">
      <c r="C2306" s="100" t="str">
        <f>IF(OR(Fact_Administrativa[[#This Row], [Año]]="",Fact_Administrativa[[#This Row], [Mes]]=""),"",DATE(A2306,MATCH(B2306,{"enero","febrero","marzo","abril","mayo","junio","julio","agosto","septiembre","octubre","noviembre","diciembre"},0)+1,0))</f>
        <v/>
      </c>
      <c r="E2306" t="str">
        <f>+IFERROR(VLOOKUP(Fact_Administrativa[[#This Row], [Concepto Anterior]],Conceptos_Administrativa[#All],5,0),"")</f>
        <v/>
      </c>
      <c r="F2306" t="str">
        <f>+IFERROR(VLOOKUP(Fact_Administrativa[[#This Row], 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ht="18.75" customHeight="1" x14ac:dyDescent="0.35">
      <c r="C2307" s="100" t="str">
        <f>IF(OR(Fact_Administrativa[[#This Row], [Año]]="",Fact_Administrativa[[#This Row], [Mes]]=""),"",DATE(A2307,MATCH(B2307,{"enero","febrero","marzo","abril","mayo","junio","julio","agosto","septiembre","octubre","noviembre","diciembre"},0)+1,0))</f>
        <v/>
      </c>
      <c r="E2307" t="str">
        <f>+IFERROR(VLOOKUP(Fact_Administrativa[[#This Row], [Concepto Anterior]],Conceptos_Administrativa[#All],5,0),"")</f>
        <v/>
      </c>
      <c r="F2307" t="str">
        <f>+IFERROR(VLOOKUP(Fact_Administrativa[[#This Row], 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ht="18.75" customHeight="1" x14ac:dyDescent="0.35">
      <c r="C2308" s="100" t="str">
        <f>IF(OR(Fact_Administrativa[[#This Row], [Año]]="",Fact_Administrativa[[#This Row], [Mes]]=""),"",DATE(A2308,MATCH(B2308,{"enero","febrero","marzo","abril","mayo","junio","julio","agosto","septiembre","octubre","noviembre","diciembre"},0)+1,0))</f>
        <v/>
      </c>
      <c r="E2308" t="str">
        <f>+IFERROR(VLOOKUP(Fact_Administrativa[[#This Row], [Concepto Anterior]],Conceptos_Administrativa[#All],5,0),"")</f>
        <v/>
      </c>
      <c r="F2308" t="str">
        <f>+IFERROR(VLOOKUP(Fact_Administrativa[[#This Row], 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ht="18.75" customHeight="1" x14ac:dyDescent="0.35">
      <c r="C2309" s="100" t="str">
        <f>IF(OR(Fact_Administrativa[[#This Row], [Año]]="",Fact_Administrativa[[#This Row], [Mes]]=""),"",DATE(A2309,MATCH(B2309,{"enero","febrero","marzo","abril","mayo","junio","julio","agosto","septiembre","octubre","noviembre","diciembre"},0)+1,0))</f>
        <v/>
      </c>
      <c r="E2309" t="str">
        <f>+IFERROR(VLOOKUP(Fact_Administrativa[[#This Row], [Concepto Anterior]],Conceptos_Administrativa[#All],5,0),"")</f>
        <v/>
      </c>
      <c r="F2309" t="str">
        <f>+IFERROR(VLOOKUP(Fact_Administrativa[[#This Row], 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ht="18.75" customHeight="1" x14ac:dyDescent="0.35">
      <c r="C2310" s="100" t="str">
        <f>IF(OR(Fact_Administrativa[[#This Row], [Año]]="",Fact_Administrativa[[#This Row], [Mes]]=""),"",DATE(A2310,MATCH(B2310,{"enero","febrero","marzo","abril","mayo","junio","julio","agosto","septiembre","octubre","noviembre","diciembre"},0)+1,0))</f>
        <v/>
      </c>
      <c r="E2310" t="str">
        <f>+IFERROR(VLOOKUP(Fact_Administrativa[[#This Row], [Concepto Anterior]],Conceptos_Administrativa[#All],5,0),"")</f>
        <v/>
      </c>
      <c r="F2310" t="str">
        <f>+IFERROR(VLOOKUP(Fact_Administrativa[[#This Row], 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ht="18.75" customHeight="1" x14ac:dyDescent="0.35">
      <c r="C2311" s="100" t="str">
        <f>IF(OR(Fact_Administrativa[[#This Row], [Año]]="",Fact_Administrativa[[#This Row], [Mes]]=""),"",DATE(A2311,MATCH(B2311,{"enero","febrero","marzo","abril","mayo","junio","julio","agosto","septiembre","octubre","noviembre","diciembre"},0)+1,0))</f>
        <v/>
      </c>
      <c r="E2311" t="str">
        <f>+IFERROR(VLOOKUP(Fact_Administrativa[[#This Row], [Concepto Anterior]],Conceptos_Administrativa[#All],5,0),"")</f>
        <v/>
      </c>
      <c r="F2311" t="str">
        <f>+IFERROR(VLOOKUP(Fact_Administrativa[[#This Row], 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ht="18.75" customHeight="1" x14ac:dyDescent="0.35">
      <c r="C2312" s="100" t="str">
        <f>IF(OR(Fact_Administrativa[[#This Row], [Año]]="",Fact_Administrativa[[#This Row], [Mes]]=""),"",DATE(A2312,MATCH(B2312,{"enero","febrero","marzo","abril","mayo","junio","julio","agosto","septiembre","octubre","noviembre","diciembre"},0)+1,0))</f>
        <v/>
      </c>
      <c r="E2312" t="str">
        <f>+IFERROR(VLOOKUP(Fact_Administrativa[[#This Row], [Concepto Anterior]],Conceptos_Administrativa[#All],5,0),"")</f>
        <v/>
      </c>
      <c r="F2312" t="str">
        <f>+IFERROR(VLOOKUP(Fact_Administrativa[[#This Row], 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ht="18.75" customHeight="1" x14ac:dyDescent="0.35">
      <c r="C2313" s="100" t="str">
        <f>IF(OR(Fact_Administrativa[[#This Row], [Año]]="",Fact_Administrativa[[#This Row], [Mes]]=""),"",DATE(A2313,MATCH(B2313,{"enero","febrero","marzo","abril","mayo","junio","julio","agosto","septiembre","octubre","noviembre","diciembre"},0)+1,0))</f>
        <v/>
      </c>
      <c r="E2313" t="str">
        <f>+IFERROR(VLOOKUP(Fact_Administrativa[[#This Row], [Concepto Anterior]],Conceptos_Administrativa[#All],5,0),"")</f>
        <v/>
      </c>
      <c r="F2313" t="str">
        <f>+IFERROR(VLOOKUP(Fact_Administrativa[[#This Row], 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ht="18.75" customHeight="1" x14ac:dyDescent="0.35">
      <c r="C2314" s="100" t="str">
        <f>IF(OR(Fact_Administrativa[[#This Row], [Año]]="",Fact_Administrativa[[#This Row], [Mes]]=""),"",DATE(A2314,MATCH(B2314,{"enero","febrero","marzo","abril","mayo","junio","julio","agosto","septiembre","octubre","noviembre","diciembre"},0)+1,0))</f>
        <v/>
      </c>
      <c r="E2314" t="str">
        <f>+IFERROR(VLOOKUP(Fact_Administrativa[[#This Row], [Concepto Anterior]],Conceptos_Administrativa[#All],5,0),"")</f>
        <v/>
      </c>
      <c r="F2314" t="str">
        <f>+IFERROR(VLOOKUP(Fact_Administrativa[[#This Row], 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ht="18.75" customHeight="1" x14ac:dyDescent="0.35">
      <c r="C2315" s="100" t="str">
        <f>IF(OR(Fact_Administrativa[[#This Row], [Año]]="",Fact_Administrativa[[#This Row], [Mes]]=""),"",DATE(A2315,MATCH(B2315,{"enero","febrero","marzo","abril","mayo","junio","julio","agosto","septiembre","octubre","noviembre","diciembre"},0)+1,0))</f>
        <v/>
      </c>
      <c r="E2315" t="str">
        <f>+IFERROR(VLOOKUP(Fact_Administrativa[[#This Row], [Concepto Anterior]],Conceptos_Administrativa[#All],5,0),"")</f>
        <v/>
      </c>
      <c r="F2315" t="str">
        <f>+IFERROR(VLOOKUP(Fact_Administrativa[[#This Row], 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ht="18.75" customHeight="1" x14ac:dyDescent="0.35">
      <c r="C2316" s="100" t="str">
        <f>IF(OR(Fact_Administrativa[[#This Row], [Año]]="",Fact_Administrativa[[#This Row], [Mes]]=""),"",DATE(A2316,MATCH(B2316,{"enero","febrero","marzo","abril","mayo","junio","julio","agosto","septiembre","octubre","noviembre","diciembre"},0)+1,0))</f>
        <v/>
      </c>
      <c r="E2316" t="str">
        <f>+IFERROR(VLOOKUP(Fact_Administrativa[[#This Row], [Concepto Anterior]],Conceptos_Administrativa[#All],5,0),"")</f>
        <v/>
      </c>
      <c r="F2316" t="str">
        <f>+IFERROR(VLOOKUP(Fact_Administrativa[[#This Row], 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ht="18.75" customHeight="1" x14ac:dyDescent="0.35">
      <c r="C2317" s="100" t="str">
        <f>IF(OR(Fact_Administrativa[[#This Row], [Año]]="",Fact_Administrativa[[#This Row], [Mes]]=""),"",DATE(A2317,MATCH(B2317,{"enero","febrero","marzo","abril","mayo","junio","julio","agosto","septiembre","octubre","noviembre","diciembre"},0)+1,0))</f>
        <v/>
      </c>
      <c r="E2317" t="str">
        <f>+IFERROR(VLOOKUP(Fact_Administrativa[[#This Row], [Concepto Anterior]],Conceptos_Administrativa[#All],5,0),"")</f>
        <v/>
      </c>
      <c r="F2317" t="str">
        <f>+IFERROR(VLOOKUP(Fact_Administrativa[[#This Row], 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ht="18.75" customHeight="1" x14ac:dyDescent="0.35">
      <c r="C2318" s="100" t="str">
        <f>IF(OR(Fact_Administrativa[[#This Row], [Año]]="",Fact_Administrativa[[#This Row], [Mes]]=""),"",DATE(A2318,MATCH(B2318,{"enero","febrero","marzo","abril","mayo","junio","julio","agosto","septiembre","octubre","noviembre","diciembre"},0)+1,0))</f>
        <v/>
      </c>
      <c r="E2318" t="str">
        <f>+IFERROR(VLOOKUP(Fact_Administrativa[[#This Row], [Concepto Anterior]],Conceptos_Administrativa[#All],5,0),"")</f>
        <v/>
      </c>
      <c r="F2318" t="str">
        <f>+IFERROR(VLOOKUP(Fact_Administrativa[[#This Row], 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ht="18.75" customHeight="1" x14ac:dyDescent="0.35">
      <c r="C2319" s="100" t="str">
        <f>IF(OR(Fact_Administrativa[[#This Row], [Año]]="",Fact_Administrativa[[#This Row], [Mes]]=""),"",DATE(A2319,MATCH(B2319,{"enero","febrero","marzo","abril","mayo","junio","julio","agosto","septiembre","octubre","noviembre","diciembre"},0)+1,0))</f>
        <v/>
      </c>
      <c r="E2319" t="str">
        <f>+IFERROR(VLOOKUP(Fact_Administrativa[[#This Row], [Concepto Anterior]],Conceptos_Administrativa[#All],5,0),"")</f>
        <v/>
      </c>
      <c r="F2319" t="str">
        <f>+IFERROR(VLOOKUP(Fact_Administrativa[[#This Row], 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ht="18.75" customHeight="1" x14ac:dyDescent="0.35">
      <c r="C2320" s="100" t="str">
        <f>IF(OR(Fact_Administrativa[[#This Row], [Año]]="",Fact_Administrativa[[#This Row], [Mes]]=""),"",DATE(A2320,MATCH(B2320,{"enero","febrero","marzo","abril","mayo","junio","julio","agosto","septiembre","octubre","noviembre","diciembre"},0)+1,0))</f>
        <v/>
      </c>
      <c r="E2320" t="str">
        <f>+IFERROR(VLOOKUP(Fact_Administrativa[[#This Row], [Concepto Anterior]],Conceptos_Administrativa[#All],5,0),"")</f>
        <v/>
      </c>
      <c r="F2320" t="str">
        <f>+IFERROR(VLOOKUP(Fact_Administrativa[[#This Row], 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ht="18.75" customHeight="1" x14ac:dyDescent="0.35">
      <c r="C2321" s="100" t="str">
        <f>IF(OR(Fact_Administrativa[[#This Row], [Año]]="",Fact_Administrativa[[#This Row], [Mes]]=""),"",DATE(A2321,MATCH(B2321,{"enero","febrero","marzo","abril","mayo","junio","julio","agosto","septiembre","octubre","noviembre","diciembre"},0)+1,0))</f>
        <v/>
      </c>
      <c r="E2321" t="str">
        <f>+IFERROR(VLOOKUP(Fact_Administrativa[[#This Row], [Concepto Anterior]],Conceptos_Administrativa[#All],5,0),"")</f>
        <v/>
      </c>
      <c r="F2321" t="str">
        <f>+IFERROR(VLOOKUP(Fact_Administrativa[[#This Row], 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ht="18.75" customHeight="1" x14ac:dyDescent="0.35">
      <c r="C2322" s="100" t="str">
        <f>IF(OR(Fact_Administrativa[[#This Row], [Año]]="",Fact_Administrativa[[#This Row], [Mes]]=""),"",DATE(A2322,MATCH(B2322,{"enero","febrero","marzo","abril","mayo","junio","julio","agosto","septiembre","octubre","noviembre","diciembre"},0)+1,0))</f>
        <v/>
      </c>
      <c r="E2322" t="str">
        <f>+IFERROR(VLOOKUP(Fact_Administrativa[[#This Row], [Concepto Anterior]],Conceptos_Administrativa[#All],5,0),"")</f>
        <v/>
      </c>
      <c r="F2322" t="str">
        <f>+IFERROR(VLOOKUP(Fact_Administrativa[[#This Row], 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ht="18.75" customHeight="1" x14ac:dyDescent="0.35">
      <c r="C2323" s="100" t="str">
        <f>IF(OR(Fact_Administrativa[[#This Row], [Año]]="",Fact_Administrativa[[#This Row], [Mes]]=""),"",DATE(A2323,MATCH(B2323,{"enero","febrero","marzo","abril","mayo","junio","julio","agosto","septiembre","octubre","noviembre","diciembre"},0)+1,0))</f>
        <v/>
      </c>
      <c r="E2323" t="str">
        <f>+IFERROR(VLOOKUP(Fact_Administrativa[[#This Row], [Concepto Anterior]],Conceptos_Administrativa[#All],5,0),"")</f>
        <v/>
      </c>
      <c r="F2323" t="str">
        <f>+IFERROR(VLOOKUP(Fact_Administrativa[[#This Row], 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ht="18.75" customHeight="1" x14ac:dyDescent="0.35">
      <c r="C2324" s="100" t="str">
        <f>IF(OR(Fact_Administrativa[[#This Row], [Año]]="",Fact_Administrativa[[#This Row], [Mes]]=""),"",DATE(A2324,MATCH(B2324,{"enero","febrero","marzo","abril","mayo","junio","julio","agosto","septiembre","octubre","noviembre","diciembre"},0)+1,0))</f>
        <v/>
      </c>
      <c r="E2324" t="str">
        <f>+IFERROR(VLOOKUP(Fact_Administrativa[[#This Row], [Concepto Anterior]],Conceptos_Administrativa[#All],5,0),"")</f>
        <v/>
      </c>
      <c r="F2324" t="str">
        <f>+IFERROR(VLOOKUP(Fact_Administrativa[[#This Row], 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ht="18.75" customHeight="1" x14ac:dyDescent="0.35">
      <c r="C2325" s="100" t="str">
        <f>IF(OR(Fact_Administrativa[[#This Row], [Año]]="",Fact_Administrativa[[#This Row], [Mes]]=""),"",DATE(A2325,MATCH(B2325,{"enero","febrero","marzo","abril","mayo","junio","julio","agosto","septiembre","octubre","noviembre","diciembre"},0)+1,0))</f>
        <v/>
      </c>
      <c r="E2325" t="str">
        <f>+IFERROR(VLOOKUP(Fact_Administrativa[[#This Row], [Concepto Anterior]],Conceptos_Administrativa[#All],5,0),"")</f>
        <v/>
      </c>
      <c r="F2325" t="str">
        <f>+IFERROR(VLOOKUP(Fact_Administrativa[[#This Row], 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ht="18.75" customHeight="1" x14ac:dyDescent="0.35">
      <c r="C2326" s="100" t="str">
        <f>IF(OR(Fact_Administrativa[[#This Row], [Año]]="",Fact_Administrativa[[#This Row], [Mes]]=""),"",DATE(A2326,MATCH(B2326,{"enero","febrero","marzo","abril","mayo","junio","julio","agosto","septiembre","octubre","noviembre","diciembre"},0)+1,0))</f>
        <v/>
      </c>
      <c r="E2326" t="str">
        <f>+IFERROR(VLOOKUP(Fact_Administrativa[[#This Row], [Concepto Anterior]],Conceptos_Administrativa[#All],5,0),"")</f>
        <v/>
      </c>
      <c r="F2326" t="str">
        <f>+IFERROR(VLOOKUP(Fact_Administrativa[[#This Row], 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ht="18.75" customHeight="1" x14ac:dyDescent="0.35">
      <c r="C2327" s="100" t="str">
        <f>IF(OR(Fact_Administrativa[[#This Row], [Año]]="",Fact_Administrativa[[#This Row], [Mes]]=""),"",DATE(A2327,MATCH(B2327,{"enero","febrero","marzo","abril","mayo","junio","julio","agosto","septiembre","octubre","noviembre","diciembre"},0)+1,0))</f>
        <v/>
      </c>
      <c r="E2327" t="str">
        <f>+IFERROR(VLOOKUP(Fact_Administrativa[[#This Row], [Concepto Anterior]],Conceptos_Administrativa[#All],5,0),"")</f>
        <v/>
      </c>
      <c r="F2327" t="str">
        <f>+IFERROR(VLOOKUP(Fact_Administrativa[[#This Row], 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ht="18.75" customHeight="1" x14ac:dyDescent="0.35">
      <c r="C2328" s="100" t="str">
        <f>IF(OR(Fact_Administrativa[[#This Row], [Año]]="",Fact_Administrativa[[#This Row], [Mes]]=""),"",DATE(A2328,MATCH(B2328,{"enero","febrero","marzo","abril","mayo","junio","julio","agosto","septiembre","octubre","noviembre","diciembre"},0)+1,0))</f>
        <v/>
      </c>
      <c r="E2328" t="str">
        <f>+IFERROR(VLOOKUP(Fact_Administrativa[[#This Row], [Concepto Anterior]],Conceptos_Administrativa[#All],5,0),"")</f>
        <v/>
      </c>
      <c r="F2328" t="str">
        <f>+IFERROR(VLOOKUP(Fact_Administrativa[[#This Row], 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ht="18.75" customHeight="1" x14ac:dyDescent="0.35">
      <c r="C2329" s="100" t="str">
        <f>IF(OR(Fact_Administrativa[[#This Row], [Año]]="",Fact_Administrativa[[#This Row], [Mes]]=""),"",DATE(A2329,MATCH(B2329,{"enero","febrero","marzo","abril","mayo","junio","julio","agosto","septiembre","octubre","noviembre","diciembre"},0)+1,0))</f>
        <v/>
      </c>
      <c r="E2329" t="str">
        <f>+IFERROR(VLOOKUP(Fact_Administrativa[[#This Row], [Concepto Anterior]],Conceptos_Administrativa[#All],5,0),"")</f>
        <v/>
      </c>
      <c r="F2329" t="str">
        <f>+IFERROR(VLOOKUP(Fact_Administrativa[[#This Row], 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ht="18.75" customHeight="1" x14ac:dyDescent="0.35">
      <c r="C2330" s="100" t="str">
        <f>IF(OR(Fact_Administrativa[[#This Row], [Año]]="",Fact_Administrativa[[#This Row], [Mes]]=""),"",DATE(A2330,MATCH(B2330,{"enero","febrero","marzo","abril","mayo","junio","julio","agosto","septiembre","octubre","noviembre","diciembre"},0)+1,0))</f>
        <v/>
      </c>
      <c r="E2330" t="str">
        <f>+IFERROR(VLOOKUP(Fact_Administrativa[[#This Row], [Concepto Anterior]],Conceptos_Administrativa[#All],5,0),"")</f>
        <v/>
      </c>
      <c r="F2330" t="str">
        <f>+IFERROR(VLOOKUP(Fact_Administrativa[[#This Row], 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ht="18.75" customHeight="1" x14ac:dyDescent="0.35">
      <c r="C2331" s="100" t="str">
        <f>IF(OR(Fact_Administrativa[[#This Row], [Año]]="",Fact_Administrativa[[#This Row], [Mes]]=""),"",DATE(A2331,MATCH(B2331,{"enero","febrero","marzo","abril","mayo","junio","julio","agosto","septiembre","octubre","noviembre","diciembre"},0)+1,0))</f>
        <v/>
      </c>
      <c r="E2331" t="str">
        <f>+IFERROR(VLOOKUP(Fact_Administrativa[[#This Row], [Concepto Anterior]],Conceptos_Administrativa[#All],5,0),"")</f>
        <v/>
      </c>
      <c r="F2331" t="str">
        <f>+IFERROR(VLOOKUP(Fact_Administrativa[[#This Row], 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ht="18.75" customHeight="1" x14ac:dyDescent="0.35">
      <c r="C2332" s="100" t="str">
        <f>IF(OR(Fact_Administrativa[[#This Row], [Año]]="",Fact_Administrativa[[#This Row], [Mes]]=""),"",DATE(A2332,MATCH(B2332,{"enero","febrero","marzo","abril","mayo","junio","julio","agosto","septiembre","octubre","noviembre","diciembre"},0)+1,0))</f>
        <v/>
      </c>
      <c r="E2332" t="str">
        <f>+IFERROR(VLOOKUP(Fact_Administrativa[[#This Row], [Concepto Anterior]],Conceptos_Administrativa[#All],5,0),"")</f>
        <v/>
      </c>
      <c r="F2332" t="str">
        <f>+IFERROR(VLOOKUP(Fact_Administrativa[[#This Row], 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ht="18.75" customHeight="1" x14ac:dyDescent="0.35">
      <c r="C2333" s="100" t="str">
        <f>IF(OR(Fact_Administrativa[[#This Row], [Año]]="",Fact_Administrativa[[#This Row], [Mes]]=""),"",DATE(A2333,MATCH(B2333,{"enero","febrero","marzo","abril","mayo","junio","julio","agosto","septiembre","octubre","noviembre","diciembre"},0)+1,0))</f>
        <v/>
      </c>
      <c r="E2333" t="str">
        <f>+IFERROR(VLOOKUP(Fact_Administrativa[[#This Row], [Concepto Anterior]],Conceptos_Administrativa[#All],5,0),"")</f>
        <v/>
      </c>
      <c r="F2333" t="str">
        <f>+IFERROR(VLOOKUP(Fact_Administrativa[[#This Row], 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ht="18.75" customHeight="1" x14ac:dyDescent="0.35">
      <c r="C2334" s="100" t="str">
        <f>IF(OR(Fact_Administrativa[[#This Row], [Año]]="",Fact_Administrativa[[#This Row], [Mes]]=""),"",DATE(A2334,MATCH(B2334,{"enero","febrero","marzo","abril","mayo","junio","julio","agosto","septiembre","octubre","noviembre","diciembre"},0)+1,0))</f>
        <v/>
      </c>
      <c r="E2334" t="str">
        <f>+IFERROR(VLOOKUP(Fact_Administrativa[[#This Row], [Concepto Anterior]],Conceptos_Administrativa[#All],5,0),"")</f>
        <v/>
      </c>
      <c r="F2334" t="str">
        <f>+IFERROR(VLOOKUP(Fact_Administrativa[[#This Row], 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ht="18.75" customHeight="1" x14ac:dyDescent="0.35">
      <c r="C2335" s="100" t="str">
        <f>IF(OR(Fact_Administrativa[[#This Row], [Año]]="",Fact_Administrativa[[#This Row], [Mes]]=""),"",DATE(A2335,MATCH(B2335,{"enero","febrero","marzo","abril","mayo","junio","julio","agosto","septiembre","octubre","noviembre","diciembre"},0)+1,0))</f>
        <v/>
      </c>
      <c r="E2335" t="str">
        <f>+IFERROR(VLOOKUP(Fact_Administrativa[[#This Row], [Concepto Anterior]],Conceptos_Administrativa[#All],5,0),"")</f>
        <v/>
      </c>
      <c r="F2335" t="str">
        <f>+IFERROR(VLOOKUP(Fact_Administrativa[[#This Row], 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ht="18.75" customHeight="1" x14ac:dyDescent="0.35">
      <c r="C2336" s="100" t="str">
        <f>IF(OR(Fact_Administrativa[[#This Row], [Año]]="",Fact_Administrativa[[#This Row], [Mes]]=""),"",DATE(A2336,MATCH(B2336,{"enero","febrero","marzo","abril","mayo","junio","julio","agosto","septiembre","octubre","noviembre","diciembre"},0)+1,0))</f>
        <v/>
      </c>
      <c r="E2336" t="str">
        <f>+IFERROR(VLOOKUP(Fact_Administrativa[[#This Row], [Concepto Anterior]],Conceptos_Administrativa[#All],5,0),"")</f>
        <v/>
      </c>
      <c r="F2336" t="str">
        <f>+IFERROR(VLOOKUP(Fact_Administrativa[[#This Row], 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ht="18.75" customHeight="1" x14ac:dyDescent="0.35">
      <c r="C2337" s="100" t="str">
        <f>IF(OR(Fact_Administrativa[[#This Row], [Año]]="",Fact_Administrativa[[#This Row], [Mes]]=""),"",DATE(A2337,MATCH(B2337,{"enero","febrero","marzo","abril","mayo","junio","julio","agosto","septiembre","octubre","noviembre","diciembre"},0)+1,0))</f>
        <v/>
      </c>
      <c r="E2337" t="str">
        <f>+IFERROR(VLOOKUP(Fact_Administrativa[[#This Row], [Concepto Anterior]],Conceptos_Administrativa[#All],5,0),"")</f>
        <v/>
      </c>
      <c r="F2337" t="str">
        <f>+IFERROR(VLOOKUP(Fact_Administrativa[[#This Row], 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ht="18.75" customHeight="1" x14ac:dyDescent="0.35">
      <c r="C2338" s="100" t="str">
        <f>IF(OR(Fact_Administrativa[[#This Row], [Año]]="",Fact_Administrativa[[#This Row], [Mes]]=""),"",DATE(A2338,MATCH(B2338,{"enero","febrero","marzo","abril","mayo","junio","julio","agosto","septiembre","octubre","noviembre","diciembre"},0)+1,0))</f>
        <v/>
      </c>
      <c r="E2338" t="str">
        <f>+IFERROR(VLOOKUP(Fact_Administrativa[[#This Row], [Concepto Anterior]],Conceptos_Administrativa[#All],5,0),"")</f>
        <v/>
      </c>
      <c r="F2338" t="str">
        <f>+IFERROR(VLOOKUP(Fact_Administrativa[[#This Row], 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ht="18.75" customHeight="1" x14ac:dyDescent="0.35">
      <c r="C2339" s="100" t="str">
        <f>IF(OR(Fact_Administrativa[[#This Row], [Año]]="",Fact_Administrativa[[#This Row], [Mes]]=""),"",DATE(A2339,MATCH(B2339,{"enero","febrero","marzo","abril","mayo","junio","julio","agosto","septiembre","octubre","noviembre","diciembre"},0)+1,0))</f>
        <v/>
      </c>
      <c r="E2339" t="str">
        <f>+IFERROR(VLOOKUP(Fact_Administrativa[[#This Row], [Concepto Anterior]],Conceptos_Administrativa[#All],5,0),"")</f>
        <v/>
      </c>
      <c r="F2339" t="str">
        <f>+IFERROR(VLOOKUP(Fact_Administrativa[[#This Row], 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ht="18.75" customHeight="1" x14ac:dyDescent="0.35">
      <c r="C2340" s="100" t="str">
        <f>IF(OR(Fact_Administrativa[[#This Row], [Año]]="",Fact_Administrativa[[#This Row], [Mes]]=""),"",DATE(A2340,MATCH(B2340,{"enero","febrero","marzo","abril","mayo","junio","julio","agosto","septiembre","octubre","noviembre","diciembre"},0)+1,0))</f>
        <v/>
      </c>
      <c r="E2340" t="str">
        <f>+IFERROR(VLOOKUP(Fact_Administrativa[[#This Row], [Concepto Anterior]],Conceptos_Administrativa[#All],5,0),"")</f>
        <v/>
      </c>
      <c r="F2340" t="str">
        <f>+IFERROR(VLOOKUP(Fact_Administrativa[[#This Row], 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ht="18.75" customHeight="1" x14ac:dyDescent="0.35">
      <c r="C2341" s="100" t="str">
        <f>IF(OR(Fact_Administrativa[[#This Row], [Año]]="",Fact_Administrativa[[#This Row], [Mes]]=""),"",DATE(A2341,MATCH(B2341,{"enero","febrero","marzo","abril","mayo","junio","julio","agosto","septiembre","octubre","noviembre","diciembre"},0)+1,0))</f>
        <v/>
      </c>
      <c r="E2341" t="str">
        <f>+IFERROR(VLOOKUP(Fact_Administrativa[[#This Row], [Concepto Anterior]],Conceptos_Administrativa[#All],5,0),"")</f>
        <v/>
      </c>
      <c r="F2341" t="str">
        <f>+IFERROR(VLOOKUP(Fact_Administrativa[[#This Row], 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ht="18.75" customHeight="1" x14ac:dyDescent="0.35">
      <c r="C2342" s="100" t="str">
        <f>IF(OR(Fact_Administrativa[[#This Row], [Año]]="",Fact_Administrativa[[#This Row], [Mes]]=""),"",DATE(A2342,MATCH(B2342,{"enero","febrero","marzo","abril","mayo","junio","julio","agosto","septiembre","octubre","noviembre","diciembre"},0)+1,0))</f>
        <v/>
      </c>
      <c r="E2342" t="str">
        <f>+IFERROR(VLOOKUP(Fact_Administrativa[[#This Row], [Concepto Anterior]],Conceptos_Administrativa[#All],5,0),"")</f>
        <v/>
      </c>
      <c r="F2342" t="str">
        <f>+IFERROR(VLOOKUP(Fact_Administrativa[[#This Row], 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ht="18.75" customHeight="1" x14ac:dyDescent="0.35">
      <c r="C2343" s="100" t="str">
        <f>IF(OR(Fact_Administrativa[[#This Row], [Año]]="",Fact_Administrativa[[#This Row], [Mes]]=""),"",DATE(A2343,MATCH(B2343,{"enero","febrero","marzo","abril","mayo","junio","julio","agosto","septiembre","octubre","noviembre","diciembre"},0)+1,0))</f>
        <v/>
      </c>
      <c r="E2343" t="str">
        <f>+IFERROR(VLOOKUP(Fact_Administrativa[[#This Row], [Concepto Anterior]],Conceptos_Administrativa[#All],5,0),"")</f>
        <v/>
      </c>
      <c r="F2343" t="str">
        <f>+IFERROR(VLOOKUP(Fact_Administrativa[[#This Row], 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ht="18.75" customHeight="1" x14ac:dyDescent="0.35">
      <c r="C2344" s="100" t="str">
        <f>IF(OR(Fact_Administrativa[[#This Row], [Año]]="",Fact_Administrativa[[#This Row], [Mes]]=""),"",DATE(A2344,MATCH(B2344,{"enero","febrero","marzo","abril","mayo","junio","julio","agosto","septiembre","octubre","noviembre","diciembre"},0)+1,0))</f>
        <v/>
      </c>
      <c r="E2344" t="str">
        <f>+IFERROR(VLOOKUP(Fact_Administrativa[[#This Row], [Concepto Anterior]],Conceptos_Administrativa[#All],5,0),"")</f>
        <v/>
      </c>
      <c r="F2344" t="str">
        <f>+IFERROR(VLOOKUP(Fact_Administrativa[[#This Row], 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ht="18.75" customHeight="1" x14ac:dyDescent="0.35">
      <c r="C2345" s="100" t="str">
        <f>IF(OR(Fact_Administrativa[[#This Row], [Año]]="",Fact_Administrativa[[#This Row], [Mes]]=""),"",DATE(A2345,MATCH(B2345,{"enero","febrero","marzo","abril","mayo","junio","julio","agosto","septiembre","octubre","noviembre","diciembre"},0)+1,0))</f>
        <v/>
      </c>
      <c r="E2345" t="str">
        <f>+IFERROR(VLOOKUP(Fact_Administrativa[[#This Row], [Concepto Anterior]],Conceptos_Administrativa[#All],5,0),"")</f>
        <v/>
      </c>
      <c r="F2345" t="str">
        <f>+IFERROR(VLOOKUP(Fact_Administrativa[[#This Row], 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ht="18.75" customHeight="1" x14ac:dyDescent="0.35">
      <c r="C2346" s="100" t="str">
        <f>IF(OR(Fact_Administrativa[[#This Row], [Año]]="",Fact_Administrativa[[#This Row], [Mes]]=""),"",DATE(A2346,MATCH(B2346,{"enero","febrero","marzo","abril","mayo","junio","julio","agosto","septiembre","octubre","noviembre","diciembre"},0)+1,0))</f>
        <v/>
      </c>
      <c r="E2346" t="str">
        <f>+IFERROR(VLOOKUP(Fact_Administrativa[[#This Row], [Concepto Anterior]],Conceptos_Administrativa[#All],5,0),"")</f>
        <v/>
      </c>
      <c r="F2346" t="str">
        <f>+IFERROR(VLOOKUP(Fact_Administrativa[[#This Row], 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ht="18.75" customHeight="1" x14ac:dyDescent="0.35">
      <c r="C2347" s="100" t="str">
        <f>IF(OR(Fact_Administrativa[[#This Row], [Año]]="",Fact_Administrativa[[#This Row], [Mes]]=""),"",DATE(A2347,MATCH(B2347,{"enero","febrero","marzo","abril","mayo","junio","julio","agosto","septiembre","octubre","noviembre","diciembre"},0)+1,0))</f>
        <v/>
      </c>
      <c r="E2347" t="str">
        <f>+IFERROR(VLOOKUP(Fact_Administrativa[[#This Row], [Concepto Anterior]],Conceptos_Administrativa[#All],5,0),"")</f>
        <v/>
      </c>
      <c r="F2347" t="str">
        <f>+IFERROR(VLOOKUP(Fact_Administrativa[[#This Row], 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ht="18.75" customHeight="1" x14ac:dyDescent="0.35">
      <c r="C2348" s="100" t="str">
        <f>IF(OR(Fact_Administrativa[[#This Row], [Año]]="",Fact_Administrativa[[#This Row], [Mes]]=""),"",DATE(A2348,MATCH(B2348,{"enero","febrero","marzo","abril","mayo","junio","julio","agosto","septiembre","octubre","noviembre","diciembre"},0)+1,0))</f>
        <v/>
      </c>
      <c r="E2348" t="str">
        <f>+IFERROR(VLOOKUP(Fact_Administrativa[[#This Row], [Concepto Anterior]],Conceptos_Administrativa[#All],5,0),"")</f>
        <v/>
      </c>
      <c r="F2348" t="str">
        <f>+IFERROR(VLOOKUP(Fact_Administrativa[[#This Row], 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ht="18.75" customHeight="1" x14ac:dyDescent="0.35">
      <c r="C2349" s="100" t="str">
        <f>IF(OR(Fact_Administrativa[[#This Row], [Año]]="",Fact_Administrativa[[#This Row], [Mes]]=""),"",DATE(A2349,MATCH(B2349,{"enero","febrero","marzo","abril","mayo","junio","julio","agosto","septiembre","octubre","noviembre","diciembre"},0)+1,0))</f>
        <v/>
      </c>
      <c r="E2349" t="str">
        <f>+IFERROR(VLOOKUP(Fact_Administrativa[[#This Row], [Concepto Anterior]],Conceptos_Administrativa[#All],5,0),"")</f>
        <v/>
      </c>
      <c r="F2349" t="str">
        <f>+IFERROR(VLOOKUP(Fact_Administrativa[[#This Row], 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ht="18.75" customHeight="1" x14ac:dyDescent="0.35">
      <c r="C2350" s="100" t="str">
        <f>IF(OR(Fact_Administrativa[[#This Row], [Año]]="",Fact_Administrativa[[#This Row], [Mes]]=""),"",DATE(A2350,MATCH(B2350,{"enero","febrero","marzo","abril","mayo","junio","julio","agosto","septiembre","octubre","noviembre","diciembre"},0)+1,0))</f>
        <v/>
      </c>
      <c r="E2350" t="str">
        <f>+IFERROR(VLOOKUP(Fact_Administrativa[[#This Row], [Concepto Anterior]],Conceptos_Administrativa[#All],5,0),"")</f>
        <v/>
      </c>
      <c r="F2350" t="str">
        <f>+IFERROR(VLOOKUP(Fact_Administrativa[[#This Row], 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ht="18.75" customHeight="1" x14ac:dyDescent="0.35">
      <c r="C2351" s="100" t="str">
        <f>IF(OR(Fact_Administrativa[[#This Row], [Año]]="",Fact_Administrativa[[#This Row], [Mes]]=""),"",DATE(A2351,MATCH(B2351,{"enero","febrero","marzo","abril","mayo","junio","julio","agosto","septiembre","octubre","noviembre","diciembre"},0)+1,0))</f>
        <v/>
      </c>
      <c r="E2351" t="str">
        <f>+IFERROR(VLOOKUP(Fact_Administrativa[[#This Row], [Concepto Anterior]],Conceptos_Administrativa[#All],5,0),"")</f>
        <v/>
      </c>
      <c r="F2351" t="str">
        <f>+IFERROR(VLOOKUP(Fact_Administrativa[[#This Row], 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ht="18.75" customHeight="1" x14ac:dyDescent="0.35">
      <c r="C2352" s="100" t="str">
        <f>IF(OR(Fact_Administrativa[[#This Row], [Año]]="",Fact_Administrativa[[#This Row], [Mes]]=""),"",DATE(A2352,MATCH(B2352,{"enero","febrero","marzo","abril","mayo","junio","julio","agosto","septiembre","octubre","noviembre","diciembre"},0)+1,0))</f>
        <v/>
      </c>
      <c r="E2352" t="str">
        <f>+IFERROR(VLOOKUP(Fact_Administrativa[[#This Row], [Concepto Anterior]],Conceptos_Administrativa[#All],5,0),"")</f>
        <v/>
      </c>
      <c r="F2352" t="str">
        <f>+IFERROR(VLOOKUP(Fact_Administrativa[[#This Row], 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ht="18.75" customHeight="1" x14ac:dyDescent="0.35">
      <c r="C2353" s="100" t="str">
        <f>IF(OR(Fact_Administrativa[[#This Row], [Año]]="",Fact_Administrativa[[#This Row], [Mes]]=""),"",DATE(A2353,MATCH(B2353,{"enero","febrero","marzo","abril","mayo","junio","julio","agosto","septiembre","octubre","noviembre","diciembre"},0)+1,0))</f>
        <v/>
      </c>
      <c r="E2353" t="str">
        <f>+IFERROR(VLOOKUP(Fact_Administrativa[[#This Row], [Concepto Anterior]],Conceptos_Administrativa[#All],5,0),"")</f>
        <v/>
      </c>
      <c r="F2353" t="str">
        <f>+IFERROR(VLOOKUP(Fact_Administrativa[[#This Row], 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ht="18.75" customHeight="1" x14ac:dyDescent="0.35">
      <c r="C2354" s="100" t="str">
        <f>IF(OR(Fact_Administrativa[[#This Row], [Año]]="",Fact_Administrativa[[#This Row], [Mes]]=""),"",DATE(A2354,MATCH(B2354,{"enero","febrero","marzo","abril","mayo","junio","julio","agosto","septiembre","octubre","noviembre","diciembre"},0)+1,0))</f>
        <v/>
      </c>
      <c r="E2354" t="str">
        <f>+IFERROR(VLOOKUP(Fact_Administrativa[[#This Row], [Concepto Anterior]],Conceptos_Administrativa[#All],5,0),"")</f>
        <v/>
      </c>
      <c r="F2354" t="str">
        <f>+IFERROR(VLOOKUP(Fact_Administrativa[[#This Row], 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ht="18.75" customHeight="1" x14ac:dyDescent="0.35">
      <c r="C2355" s="100" t="str">
        <f>IF(OR(Fact_Administrativa[[#This Row], [Año]]="",Fact_Administrativa[[#This Row], [Mes]]=""),"",DATE(A2355,MATCH(B2355,{"enero","febrero","marzo","abril","mayo","junio","julio","agosto","septiembre","octubre","noviembre","diciembre"},0)+1,0))</f>
        <v/>
      </c>
      <c r="E2355" t="str">
        <f>+IFERROR(VLOOKUP(Fact_Administrativa[[#This Row], [Concepto Anterior]],Conceptos_Administrativa[#All],5,0),"")</f>
        <v/>
      </c>
      <c r="F2355" t="str">
        <f>+IFERROR(VLOOKUP(Fact_Administrativa[[#This Row], 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ht="18.75" customHeight="1" x14ac:dyDescent="0.35">
      <c r="C2356" s="100" t="str">
        <f>IF(OR(Fact_Administrativa[[#This Row], [Año]]="",Fact_Administrativa[[#This Row], [Mes]]=""),"",DATE(A2356,MATCH(B2356,{"enero","febrero","marzo","abril","mayo","junio","julio","agosto","septiembre","octubre","noviembre","diciembre"},0)+1,0))</f>
        <v/>
      </c>
      <c r="E2356" t="str">
        <f>+IFERROR(VLOOKUP(Fact_Administrativa[[#This Row], [Concepto Anterior]],Conceptos_Administrativa[#All],5,0),"")</f>
        <v/>
      </c>
      <c r="F2356" t="str">
        <f>+IFERROR(VLOOKUP(Fact_Administrativa[[#This Row], 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ht="18.75" customHeight="1" x14ac:dyDescent="0.35">
      <c r="C2357" s="100" t="str">
        <f>IF(OR(Fact_Administrativa[[#This Row], [Año]]="",Fact_Administrativa[[#This Row], [Mes]]=""),"",DATE(A2357,MATCH(B2357,{"enero","febrero","marzo","abril","mayo","junio","julio","agosto","septiembre","octubre","noviembre","diciembre"},0)+1,0))</f>
        <v/>
      </c>
      <c r="E2357" t="str">
        <f>+IFERROR(VLOOKUP(Fact_Administrativa[[#This Row], [Concepto Anterior]],Conceptos_Administrativa[#All],5,0),"")</f>
        <v/>
      </c>
      <c r="F2357" t="str">
        <f>+IFERROR(VLOOKUP(Fact_Administrativa[[#This Row], 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ht="18.75" customHeight="1" x14ac:dyDescent="0.35">
      <c r="C2358" s="100" t="str">
        <f>IF(OR(Fact_Administrativa[[#This Row], [Año]]="",Fact_Administrativa[[#This Row], [Mes]]=""),"",DATE(A2358,MATCH(B2358,{"enero","febrero","marzo","abril","mayo","junio","julio","agosto","septiembre","octubre","noviembre","diciembre"},0)+1,0))</f>
        <v/>
      </c>
      <c r="E2358" t="str">
        <f>+IFERROR(VLOOKUP(Fact_Administrativa[[#This Row], [Concepto Anterior]],Conceptos_Administrativa[#All],5,0),"")</f>
        <v/>
      </c>
      <c r="F2358" t="str">
        <f>+IFERROR(VLOOKUP(Fact_Administrativa[[#This Row], 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ht="18.75" customHeight="1" x14ac:dyDescent="0.35">
      <c r="C2359" s="100" t="str">
        <f>IF(OR(Fact_Administrativa[[#This Row], [Año]]="",Fact_Administrativa[[#This Row], [Mes]]=""),"",DATE(A2359,MATCH(B2359,{"enero","febrero","marzo","abril","mayo","junio","julio","agosto","septiembre","octubre","noviembre","diciembre"},0)+1,0))</f>
        <v/>
      </c>
      <c r="E2359" t="str">
        <f>+IFERROR(VLOOKUP(Fact_Administrativa[[#This Row], [Concepto Anterior]],Conceptos_Administrativa[#All],5,0),"")</f>
        <v/>
      </c>
      <c r="F2359" t="str">
        <f>+IFERROR(VLOOKUP(Fact_Administrativa[[#This Row], 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ht="18.75" customHeight="1" x14ac:dyDescent="0.35">
      <c r="C2360" s="100" t="str">
        <f>IF(OR(Fact_Administrativa[[#This Row], [Año]]="",Fact_Administrativa[[#This Row], [Mes]]=""),"",DATE(A2360,MATCH(B2360,{"enero","febrero","marzo","abril","mayo","junio","julio","agosto","septiembre","octubre","noviembre","diciembre"},0)+1,0))</f>
        <v/>
      </c>
      <c r="E2360" t="str">
        <f>+IFERROR(VLOOKUP(Fact_Administrativa[[#This Row], [Concepto Anterior]],Conceptos_Administrativa[#All],5,0),"")</f>
        <v/>
      </c>
      <c r="F2360" t="str">
        <f>+IFERROR(VLOOKUP(Fact_Administrativa[[#This Row], 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ht="18.75" customHeight="1" x14ac:dyDescent="0.35">
      <c r="C2361" s="100" t="str">
        <f>IF(OR(Fact_Administrativa[[#This Row], [Año]]="",Fact_Administrativa[[#This Row], [Mes]]=""),"",DATE(A2361,MATCH(B2361,{"enero","febrero","marzo","abril","mayo","junio","julio","agosto","septiembre","octubre","noviembre","diciembre"},0)+1,0))</f>
        <v/>
      </c>
      <c r="E2361" t="str">
        <f>+IFERROR(VLOOKUP(Fact_Administrativa[[#This Row], [Concepto Anterior]],Conceptos_Administrativa[#All],5,0),"")</f>
        <v/>
      </c>
      <c r="F2361" t="str">
        <f>+IFERROR(VLOOKUP(Fact_Administrativa[[#This Row], 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ht="18.75" customHeight="1" x14ac:dyDescent="0.35">
      <c r="C2362" s="100" t="str">
        <f>IF(OR(Fact_Administrativa[[#This Row], [Año]]="",Fact_Administrativa[[#This Row], [Mes]]=""),"",DATE(A2362,MATCH(B2362,{"enero","febrero","marzo","abril","mayo","junio","julio","agosto","septiembre","octubre","noviembre","diciembre"},0)+1,0))</f>
        <v/>
      </c>
      <c r="E2362" t="str">
        <f>+IFERROR(VLOOKUP(Fact_Administrativa[[#This Row], [Concepto Anterior]],Conceptos_Administrativa[#All],5,0),"")</f>
        <v/>
      </c>
      <c r="F2362" t="str">
        <f>+IFERROR(VLOOKUP(Fact_Administrativa[[#This Row], 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ht="18.75" customHeight="1" x14ac:dyDescent="0.35">
      <c r="C2363" s="100" t="str">
        <f>IF(OR(Fact_Administrativa[[#This Row], [Año]]="",Fact_Administrativa[[#This Row], [Mes]]=""),"",DATE(A2363,MATCH(B2363,{"enero","febrero","marzo","abril","mayo","junio","julio","agosto","septiembre","octubre","noviembre","diciembre"},0)+1,0))</f>
        <v/>
      </c>
      <c r="E2363" t="str">
        <f>+IFERROR(VLOOKUP(Fact_Administrativa[[#This Row], [Concepto Anterior]],Conceptos_Administrativa[#All],5,0),"")</f>
        <v/>
      </c>
      <c r="F2363" t="str">
        <f>+IFERROR(VLOOKUP(Fact_Administrativa[[#This Row], 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ht="18.75" customHeight="1" x14ac:dyDescent="0.35">
      <c r="C2364" s="100" t="str">
        <f>IF(OR(Fact_Administrativa[[#This Row], [Año]]="",Fact_Administrativa[[#This Row], [Mes]]=""),"",DATE(A2364,MATCH(B2364,{"enero","febrero","marzo","abril","mayo","junio","julio","agosto","septiembre","octubre","noviembre","diciembre"},0)+1,0))</f>
        <v/>
      </c>
      <c r="E2364" t="str">
        <f>+IFERROR(VLOOKUP(Fact_Administrativa[[#This Row], [Concepto Anterior]],Conceptos_Administrativa[#All],5,0),"")</f>
        <v/>
      </c>
      <c r="F2364" t="str">
        <f>+IFERROR(VLOOKUP(Fact_Administrativa[[#This Row], 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ht="18.75" customHeight="1" x14ac:dyDescent="0.35">
      <c r="C2365" s="100" t="str">
        <f>IF(OR(Fact_Administrativa[[#This Row], [Año]]="",Fact_Administrativa[[#This Row], [Mes]]=""),"",DATE(A2365,MATCH(B2365,{"enero","febrero","marzo","abril","mayo","junio","julio","agosto","septiembre","octubre","noviembre","diciembre"},0)+1,0))</f>
        <v/>
      </c>
      <c r="E2365" t="str">
        <f>+IFERROR(VLOOKUP(Fact_Administrativa[[#This Row], [Concepto Anterior]],Conceptos_Administrativa[#All],5,0),"")</f>
        <v/>
      </c>
      <c r="F2365" t="str">
        <f>+IFERROR(VLOOKUP(Fact_Administrativa[[#This Row], 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ht="18.75" customHeight="1" x14ac:dyDescent="0.35">
      <c r="C2366" s="100" t="str">
        <f>IF(OR(Fact_Administrativa[[#This Row], [Año]]="",Fact_Administrativa[[#This Row], [Mes]]=""),"",DATE(A2366,MATCH(B2366,{"enero","febrero","marzo","abril","mayo","junio","julio","agosto","septiembre","octubre","noviembre","diciembre"},0)+1,0))</f>
        <v/>
      </c>
      <c r="E2366" t="str">
        <f>+IFERROR(VLOOKUP(Fact_Administrativa[[#This Row], [Concepto Anterior]],Conceptos_Administrativa[#All],5,0),"")</f>
        <v/>
      </c>
      <c r="F2366" t="str">
        <f>+IFERROR(VLOOKUP(Fact_Administrativa[[#This Row], 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ht="18.75" customHeight="1" x14ac:dyDescent="0.35">
      <c r="C2367" s="100" t="str">
        <f>IF(OR(Fact_Administrativa[[#This Row], [Año]]="",Fact_Administrativa[[#This Row], [Mes]]=""),"",DATE(A2367,MATCH(B2367,{"enero","febrero","marzo","abril","mayo","junio","julio","agosto","septiembre","octubre","noviembre","diciembre"},0)+1,0))</f>
        <v/>
      </c>
      <c r="E2367" t="str">
        <f>+IFERROR(VLOOKUP(Fact_Administrativa[[#This Row], [Concepto Anterior]],Conceptos_Administrativa[#All],5,0),"")</f>
        <v/>
      </c>
      <c r="F2367" t="str">
        <f>+IFERROR(VLOOKUP(Fact_Administrativa[[#This Row], 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ht="18.75" customHeight="1" x14ac:dyDescent="0.35">
      <c r="C2368" s="100" t="str">
        <f>IF(OR(Fact_Administrativa[[#This Row], [Año]]="",Fact_Administrativa[[#This Row], [Mes]]=""),"",DATE(A2368,MATCH(B2368,{"enero","febrero","marzo","abril","mayo","junio","julio","agosto","septiembre","octubre","noviembre","diciembre"},0)+1,0))</f>
        <v/>
      </c>
      <c r="E2368" t="str">
        <f>+IFERROR(VLOOKUP(Fact_Administrativa[[#This Row], [Concepto Anterior]],Conceptos_Administrativa[#All],5,0),"")</f>
        <v/>
      </c>
      <c r="F2368" t="str">
        <f>+IFERROR(VLOOKUP(Fact_Administrativa[[#This Row], 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ht="18.75" customHeight="1" x14ac:dyDescent="0.35">
      <c r="C2369" s="100" t="str">
        <f>IF(OR(Fact_Administrativa[[#This Row], [Año]]="",Fact_Administrativa[[#This Row], [Mes]]=""),"",DATE(A2369,MATCH(B2369,{"enero","febrero","marzo","abril","mayo","junio","julio","agosto","septiembre","octubre","noviembre","diciembre"},0)+1,0))</f>
        <v/>
      </c>
      <c r="E2369" t="str">
        <f>+IFERROR(VLOOKUP(Fact_Administrativa[[#This Row], [Concepto Anterior]],Conceptos_Administrativa[#All],5,0),"")</f>
        <v/>
      </c>
      <c r="F2369" t="str">
        <f>+IFERROR(VLOOKUP(Fact_Administrativa[[#This Row], 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ht="18.75" customHeight="1" x14ac:dyDescent="0.35">
      <c r="C2370" s="100" t="str">
        <f>IF(OR(Fact_Administrativa[[#This Row], [Año]]="",Fact_Administrativa[[#This Row], [Mes]]=""),"",DATE(A2370,MATCH(B2370,{"enero","febrero","marzo","abril","mayo","junio","julio","agosto","septiembre","octubre","noviembre","diciembre"},0)+1,0))</f>
        <v/>
      </c>
      <c r="E2370" t="str">
        <f>+IFERROR(VLOOKUP(Fact_Administrativa[[#This Row], [Concepto Anterior]],Conceptos_Administrativa[#All],5,0),"")</f>
        <v/>
      </c>
      <c r="F2370" t="str">
        <f>+IFERROR(VLOOKUP(Fact_Administrativa[[#This Row], 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ht="18.75" customHeight="1" x14ac:dyDescent="0.35">
      <c r="C2371" s="100" t="str">
        <f>IF(OR(Fact_Administrativa[[#This Row], [Año]]="",Fact_Administrativa[[#This Row], [Mes]]=""),"",DATE(A2371,MATCH(B2371,{"enero","febrero","marzo","abril","mayo","junio","julio","agosto","septiembre","octubre","noviembre","diciembre"},0)+1,0))</f>
        <v/>
      </c>
      <c r="E2371" t="str">
        <f>+IFERROR(VLOOKUP(Fact_Administrativa[[#This Row], [Concepto Anterior]],Conceptos_Administrativa[#All],5,0),"")</f>
        <v/>
      </c>
      <c r="F2371" t="str">
        <f>+IFERROR(VLOOKUP(Fact_Administrativa[[#This Row], 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ht="18.75" customHeight="1" x14ac:dyDescent="0.35">
      <c r="C2372" s="100" t="str">
        <f>IF(OR(Fact_Administrativa[[#This Row], [Año]]="",Fact_Administrativa[[#This Row], [Mes]]=""),"",DATE(A2372,MATCH(B2372,{"enero","febrero","marzo","abril","mayo","junio","julio","agosto","septiembre","octubre","noviembre","diciembre"},0)+1,0))</f>
        <v/>
      </c>
      <c r="E2372" t="str">
        <f>+IFERROR(VLOOKUP(Fact_Administrativa[[#This Row], [Concepto Anterior]],Conceptos_Administrativa[#All],5,0),"")</f>
        <v/>
      </c>
      <c r="F2372" t="str">
        <f>+IFERROR(VLOOKUP(Fact_Administrativa[[#This Row], 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ht="18.75" customHeight="1" x14ac:dyDescent="0.35">
      <c r="C2373" s="100" t="str">
        <f>IF(OR(Fact_Administrativa[[#This Row], [Año]]="",Fact_Administrativa[[#This Row], [Mes]]=""),"",DATE(A2373,MATCH(B2373,{"enero","febrero","marzo","abril","mayo","junio","julio","agosto","septiembre","octubre","noviembre","diciembre"},0)+1,0))</f>
        <v/>
      </c>
      <c r="E2373" t="str">
        <f>+IFERROR(VLOOKUP(Fact_Administrativa[[#This Row], [Concepto Anterior]],Conceptos_Administrativa[#All],5,0),"")</f>
        <v/>
      </c>
      <c r="F2373" t="str">
        <f>+IFERROR(VLOOKUP(Fact_Administrativa[[#This Row], 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ht="18.75" customHeight="1" x14ac:dyDescent="0.35">
      <c r="C2374" s="100" t="str">
        <f>IF(OR(Fact_Administrativa[[#This Row], [Año]]="",Fact_Administrativa[[#This Row], [Mes]]=""),"",DATE(A2374,MATCH(B2374,{"enero","febrero","marzo","abril","mayo","junio","julio","agosto","septiembre","octubre","noviembre","diciembre"},0)+1,0))</f>
        <v/>
      </c>
      <c r="E2374" t="str">
        <f>+IFERROR(VLOOKUP(Fact_Administrativa[[#This Row], [Concepto Anterior]],Conceptos_Administrativa[#All],5,0),"")</f>
        <v/>
      </c>
      <c r="F2374" t="str">
        <f>+IFERROR(VLOOKUP(Fact_Administrativa[[#This Row], 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ht="18.75" customHeight="1" x14ac:dyDescent="0.35">
      <c r="C2375" s="100" t="str">
        <f>IF(OR(Fact_Administrativa[[#This Row], [Año]]="",Fact_Administrativa[[#This Row], [Mes]]=""),"",DATE(A2375,MATCH(B2375,{"enero","febrero","marzo","abril","mayo","junio","julio","agosto","septiembre","octubre","noviembre","diciembre"},0)+1,0))</f>
        <v/>
      </c>
      <c r="E2375" t="str">
        <f>+IFERROR(VLOOKUP(Fact_Administrativa[[#This Row], [Concepto Anterior]],Conceptos_Administrativa[#All],5,0),"")</f>
        <v/>
      </c>
      <c r="F2375" t="str">
        <f>+IFERROR(VLOOKUP(Fact_Administrativa[[#This Row], 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ht="18.75" customHeight="1" x14ac:dyDescent="0.35">
      <c r="C2376" s="100" t="str">
        <f>IF(OR(Fact_Administrativa[[#This Row], [Año]]="",Fact_Administrativa[[#This Row], [Mes]]=""),"",DATE(A2376,MATCH(B2376,{"enero","febrero","marzo","abril","mayo","junio","julio","agosto","septiembre","octubre","noviembre","diciembre"},0)+1,0))</f>
        <v/>
      </c>
      <c r="E2376" t="str">
        <f>+IFERROR(VLOOKUP(Fact_Administrativa[[#This Row], [Concepto Anterior]],Conceptos_Administrativa[#All],5,0),"")</f>
        <v/>
      </c>
      <c r="F2376" t="str">
        <f>+IFERROR(VLOOKUP(Fact_Administrativa[[#This Row], 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ht="18.75" customHeight="1" x14ac:dyDescent="0.35">
      <c r="C2377" s="100" t="str">
        <f>IF(OR(Fact_Administrativa[[#This Row], [Año]]="",Fact_Administrativa[[#This Row], [Mes]]=""),"",DATE(A2377,MATCH(B2377,{"enero","febrero","marzo","abril","mayo","junio","julio","agosto","septiembre","octubre","noviembre","diciembre"},0)+1,0))</f>
        <v/>
      </c>
      <c r="E2377" t="str">
        <f>+IFERROR(VLOOKUP(Fact_Administrativa[[#This Row], [Concepto Anterior]],Conceptos_Administrativa[#All],5,0),"")</f>
        <v/>
      </c>
      <c r="F2377" t="str">
        <f>+IFERROR(VLOOKUP(Fact_Administrativa[[#This Row], 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ht="18.75" customHeight="1" x14ac:dyDescent="0.35">
      <c r="C2378" s="100" t="str">
        <f>IF(OR(Fact_Administrativa[[#This Row], [Año]]="",Fact_Administrativa[[#This Row], [Mes]]=""),"",DATE(A2378,MATCH(B2378,{"enero","febrero","marzo","abril","mayo","junio","julio","agosto","septiembre","octubre","noviembre","diciembre"},0)+1,0))</f>
        <v/>
      </c>
      <c r="E2378" t="str">
        <f>+IFERROR(VLOOKUP(Fact_Administrativa[[#This Row], [Concepto Anterior]],Conceptos_Administrativa[#All],5,0),"")</f>
        <v/>
      </c>
      <c r="F2378" t="str">
        <f>+IFERROR(VLOOKUP(Fact_Administrativa[[#This Row], 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ht="18.75" customHeight="1" x14ac:dyDescent="0.35">
      <c r="C2379" s="100" t="str">
        <f>IF(OR(Fact_Administrativa[[#This Row], [Año]]="",Fact_Administrativa[[#This Row], [Mes]]=""),"",DATE(A2379,MATCH(B2379,{"enero","febrero","marzo","abril","mayo","junio","julio","agosto","septiembre","octubre","noviembre","diciembre"},0)+1,0))</f>
        <v/>
      </c>
      <c r="E2379" t="str">
        <f>+IFERROR(VLOOKUP(Fact_Administrativa[[#This Row], [Concepto Anterior]],Conceptos_Administrativa[#All],5,0),"")</f>
        <v/>
      </c>
      <c r="F2379" t="str">
        <f>+IFERROR(VLOOKUP(Fact_Administrativa[[#This Row], 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ht="18.75" customHeight="1" x14ac:dyDescent="0.35">
      <c r="C2380" s="100" t="str">
        <f>IF(OR(Fact_Administrativa[[#This Row], [Año]]="",Fact_Administrativa[[#This Row], [Mes]]=""),"",DATE(A2380,MATCH(B2380,{"enero","febrero","marzo","abril","mayo","junio","julio","agosto","septiembre","octubre","noviembre","diciembre"},0)+1,0))</f>
        <v/>
      </c>
      <c r="E2380" t="str">
        <f>+IFERROR(VLOOKUP(Fact_Administrativa[[#This Row], [Concepto Anterior]],Conceptos_Administrativa[#All],5,0),"")</f>
        <v/>
      </c>
      <c r="F2380" t="str">
        <f>+IFERROR(VLOOKUP(Fact_Administrativa[[#This Row], 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ht="18.75" customHeight="1" x14ac:dyDescent="0.35">
      <c r="C2381" s="100" t="str">
        <f>IF(OR(Fact_Administrativa[[#This Row], [Año]]="",Fact_Administrativa[[#This Row], [Mes]]=""),"",DATE(A2381,MATCH(B2381,{"enero","febrero","marzo","abril","mayo","junio","julio","agosto","septiembre","octubre","noviembre","diciembre"},0)+1,0))</f>
        <v/>
      </c>
      <c r="E2381" t="str">
        <f>+IFERROR(VLOOKUP(Fact_Administrativa[[#This Row], [Concepto Anterior]],Conceptos_Administrativa[#All],5,0),"")</f>
        <v/>
      </c>
      <c r="F2381" t="str">
        <f>+IFERROR(VLOOKUP(Fact_Administrativa[[#This Row], 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ht="18.75" customHeight="1" x14ac:dyDescent="0.35">
      <c r="C2382" s="100" t="str">
        <f>IF(OR(Fact_Administrativa[[#This Row], [Año]]="",Fact_Administrativa[[#This Row], [Mes]]=""),"",DATE(A2382,MATCH(B2382,{"enero","febrero","marzo","abril","mayo","junio","julio","agosto","septiembre","octubre","noviembre","diciembre"},0)+1,0))</f>
        <v/>
      </c>
      <c r="E2382" t="str">
        <f>+IFERROR(VLOOKUP(Fact_Administrativa[[#This Row], [Concepto Anterior]],Conceptos_Administrativa[#All],5,0),"")</f>
        <v/>
      </c>
      <c r="F2382" t="str">
        <f>+IFERROR(VLOOKUP(Fact_Administrativa[[#This Row], 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ht="18.75" customHeight="1" x14ac:dyDescent="0.35">
      <c r="C2383" s="100" t="str">
        <f>IF(OR(Fact_Administrativa[[#This Row], [Año]]="",Fact_Administrativa[[#This Row], [Mes]]=""),"",DATE(A2383,MATCH(B2383,{"enero","febrero","marzo","abril","mayo","junio","julio","agosto","septiembre","octubre","noviembre","diciembre"},0)+1,0))</f>
        <v/>
      </c>
      <c r="E2383" t="str">
        <f>+IFERROR(VLOOKUP(Fact_Administrativa[[#This Row], [Concepto Anterior]],Conceptos_Administrativa[#All],5,0),"")</f>
        <v/>
      </c>
      <c r="F2383" t="str">
        <f>+IFERROR(VLOOKUP(Fact_Administrativa[[#This Row], 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ht="18.75" customHeight="1" x14ac:dyDescent="0.35">
      <c r="C2384" s="100" t="str">
        <f>IF(OR(Fact_Administrativa[[#This Row], [Año]]="",Fact_Administrativa[[#This Row], [Mes]]=""),"",DATE(A2384,MATCH(B2384,{"enero","febrero","marzo","abril","mayo","junio","julio","agosto","septiembre","octubre","noviembre","diciembre"},0)+1,0))</f>
        <v/>
      </c>
      <c r="E2384" t="str">
        <f>+IFERROR(VLOOKUP(Fact_Administrativa[[#This Row], [Concepto Anterior]],Conceptos_Administrativa[#All],5,0),"")</f>
        <v/>
      </c>
      <c r="F2384" t="str">
        <f>+IFERROR(VLOOKUP(Fact_Administrativa[[#This Row], 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ht="18.75" customHeight="1" x14ac:dyDescent="0.35">
      <c r="C2385" s="100" t="str">
        <f>IF(OR(Fact_Administrativa[[#This Row], [Año]]="",Fact_Administrativa[[#This Row], [Mes]]=""),"",DATE(A2385,MATCH(B2385,{"enero","febrero","marzo","abril","mayo","junio","julio","agosto","septiembre","octubre","noviembre","diciembre"},0)+1,0))</f>
        <v/>
      </c>
      <c r="E2385" t="str">
        <f>+IFERROR(VLOOKUP(Fact_Administrativa[[#This Row], [Concepto Anterior]],Conceptos_Administrativa[#All],5,0),"")</f>
        <v/>
      </c>
      <c r="F2385" t="str">
        <f>+IFERROR(VLOOKUP(Fact_Administrativa[[#This Row], 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ht="18.75" customHeight="1" x14ac:dyDescent="0.35">
      <c r="C2386" s="100" t="str">
        <f>IF(OR(Fact_Administrativa[[#This Row], [Año]]="",Fact_Administrativa[[#This Row], [Mes]]=""),"",DATE(A2386,MATCH(B2386,{"enero","febrero","marzo","abril","mayo","junio","julio","agosto","septiembre","octubre","noviembre","diciembre"},0)+1,0))</f>
        <v/>
      </c>
      <c r="E2386" t="str">
        <f>+IFERROR(VLOOKUP(Fact_Administrativa[[#This Row], [Concepto Anterior]],Conceptos_Administrativa[#All],5,0),"")</f>
        <v/>
      </c>
      <c r="F2386" t="str">
        <f>+IFERROR(VLOOKUP(Fact_Administrativa[[#This Row], 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ht="18.75" customHeight="1" x14ac:dyDescent="0.35">
      <c r="C2387" s="100" t="str">
        <f>IF(OR(Fact_Administrativa[[#This Row], [Año]]="",Fact_Administrativa[[#This Row], [Mes]]=""),"",DATE(A2387,MATCH(B2387,{"enero","febrero","marzo","abril","mayo","junio","julio","agosto","septiembre","octubre","noviembre","diciembre"},0)+1,0))</f>
        <v/>
      </c>
      <c r="E2387" t="str">
        <f>+IFERROR(VLOOKUP(Fact_Administrativa[[#This Row], [Concepto Anterior]],Conceptos_Administrativa[#All],5,0),"")</f>
        <v/>
      </c>
      <c r="F2387" t="str">
        <f>+IFERROR(VLOOKUP(Fact_Administrativa[[#This Row], 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ht="18.75" customHeight="1" x14ac:dyDescent="0.35">
      <c r="C2388" s="100" t="str">
        <f>IF(OR(Fact_Administrativa[[#This Row], [Año]]="",Fact_Administrativa[[#This Row], [Mes]]=""),"",DATE(A2388,MATCH(B2388,{"enero","febrero","marzo","abril","mayo","junio","julio","agosto","septiembre","octubre","noviembre","diciembre"},0)+1,0))</f>
        <v/>
      </c>
      <c r="E2388" t="str">
        <f>+IFERROR(VLOOKUP(Fact_Administrativa[[#This Row], [Concepto Anterior]],Conceptos_Administrativa[#All],5,0),"")</f>
        <v/>
      </c>
      <c r="F2388" t="str">
        <f>+IFERROR(VLOOKUP(Fact_Administrativa[[#This Row], 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ht="18.75" customHeight="1" x14ac:dyDescent="0.35">
      <c r="C2389" s="100" t="str">
        <f>IF(OR(Fact_Administrativa[[#This Row], [Año]]="",Fact_Administrativa[[#This Row], [Mes]]=""),"",DATE(A2389,MATCH(B2389,{"enero","febrero","marzo","abril","mayo","junio","julio","agosto","septiembre","octubre","noviembre","diciembre"},0)+1,0))</f>
        <v/>
      </c>
      <c r="E2389" t="str">
        <f>+IFERROR(VLOOKUP(Fact_Administrativa[[#This Row], [Concepto Anterior]],Conceptos_Administrativa[#All],5,0),"")</f>
        <v/>
      </c>
      <c r="F2389" t="str">
        <f>+IFERROR(VLOOKUP(Fact_Administrativa[[#This Row], 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ht="18.75" customHeight="1" x14ac:dyDescent="0.35">
      <c r="C2390" s="100" t="str">
        <f>IF(OR(Fact_Administrativa[[#This Row], [Año]]="",Fact_Administrativa[[#This Row], [Mes]]=""),"",DATE(A2390,MATCH(B2390,{"enero","febrero","marzo","abril","mayo","junio","julio","agosto","septiembre","octubre","noviembre","diciembre"},0)+1,0))</f>
        <v/>
      </c>
      <c r="E2390" t="str">
        <f>+IFERROR(VLOOKUP(Fact_Administrativa[[#This Row], [Concepto Anterior]],Conceptos_Administrativa[#All],5,0),"")</f>
        <v/>
      </c>
      <c r="F2390" t="str">
        <f>+IFERROR(VLOOKUP(Fact_Administrativa[[#This Row], 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ht="18.75" customHeight="1" x14ac:dyDescent="0.35">
      <c r="C2391" s="100" t="str">
        <f>IF(OR(Fact_Administrativa[[#This Row], [Año]]="",Fact_Administrativa[[#This Row], [Mes]]=""),"",DATE(A2391,MATCH(B2391,{"enero","febrero","marzo","abril","mayo","junio","julio","agosto","septiembre","octubre","noviembre","diciembre"},0)+1,0))</f>
        <v/>
      </c>
      <c r="E2391" t="str">
        <f>+IFERROR(VLOOKUP(Fact_Administrativa[[#This Row], [Concepto Anterior]],Conceptos_Administrativa[#All],5,0),"")</f>
        <v/>
      </c>
      <c r="F2391" t="str">
        <f>+IFERROR(VLOOKUP(Fact_Administrativa[[#This Row], 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ht="18.75" customHeight="1" x14ac:dyDescent="0.35">
      <c r="C2392" s="100" t="str">
        <f>IF(OR(Fact_Administrativa[[#This Row], [Año]]="",Fact_Administrativa[[#This Row], [Mes]]=""),"",DATE(A2392,MATCH(B2392,{"enero","febrero","marzo","abril","mayo","junio","julio","agosto","septiembre","octubre","noviembre","diciembre"},0)+1,0))</f>
        <v/>
      </c>
      <c r="E2392" t="str">
        <f>+IFERROR(VLOOKUP(Fact_Administrativa[[#This Row], [Concepto Anterior]],Conceptos_Administrativa[#All],5,0),"")</f>
        <v/>
      </c>
      <c r="F2392" t="str">
        <f>+IFERROR(VLOOKUP(Fact_Administrativa[[#This Row], 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ht="18.75" customHeight="1" x14ac:dyDescent="0.35">
      <c r="C2393" s="100" t="str">
        <f>IF(OR(Fact_Administrativa[[#This Row], [Año]]="",Fact_Administrativa[[#This Row], [Mes]]=""),"",DATE(A2393,MATCH(B2393,{"enero","febrero","marzo","abril","mayo","junio","julio","agosto","septiembre","octubre","noviembre","diciembre"},0)+1,0))</f>
        <v/>
      </c>
      <c r="E2393" t="str">
        <f>+IFERROR(VLOOKUP(Fact_Administrativa[[#This Row], [Concepto Anterior]],Conceptos_Administrativa[#All],5,0),"")</f>
        <v/>
      </c>
      <c r="F2393" t="str">
        <f>+IFERROR(VLOOKUP(Fact_Administrativa[[#This Row], 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ht="18.75" customHeight="1" x14ac:dyDescent="0.35">
      <c r="C2394" s="100" t="str">
        <f>IF(OR(Fact_Administrativa[[#This Row], [Año]]="",Fact_Administrativa[[#This Row], [Mes]]=""),"",DATE(A2394,MATCH(B2394,{"enero","febrero","marzo","abril","mayo","junio","julio","agosto","septiembre","octubre","noviembre","diciembre"},0)+1,0))</f>
        <v/>
      </c>
      <c r="E2394" t="str">
        <f>+IFERROR(VLOOKUP(Fact_Administrativa[[#This Row], [Concepto Anterior]],Conceptos_Administrativa[#All],5,0),"")</f>
        <v/>
      </c>
      <c r="F2394" t="str">
        <f>+IFERROR(VLOOKUP(Fact_Administrativa[[#This Row], 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ht="18.75" customHeight="1" x14ac:dyDescent="0.35">
      <c r="C2395" s="100" t="str">
        <f>IF(OR(Fact_Administrativa[[#This Row], [Año]]="",Fact_Administrativa[[#This Row], [Mes]]=""),"",DATE(A2395,MATCH(B2395,{"enero","febrero","marzo","abril","mayo","junio","julio","agosto","septiembre","octubre","noviembre","diciembre"},0)+1,0))</f>
        <v/>
      </c>
      <c r="E2395" t="str">
        <f>+IFERROR(VLOOKUP(Fact_Administrativa[[#This Row], [Concepto Anterior]],Conceptos_Administrativa[#All],5,0),"")</f>
        <v/>
      </c>
      <c r="F2395" t="str">
        <f>+IFERROR(VLOOKUP(Fact_Administrativa[[#This Row], 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ht="18.75" customHeight="1" x14ac:dyDescent="0.35">
      <c r="C2396" s="100" t="str">
        <f>IF(OR(Fact_Administrativa[[#This Row], [Año]]="",Fact_Administrativa[[#This Row], [Mes]]=""),"",DATE(A2396,MATCH(B2396,{"enero","febrero","marzo","abril","mayo","junio","julio","agosto","septiembre","octubre","noviembre","diciembre"},0)+1,0))</f>
        <v/>
      </c>
      <c r="E2396" t="str">
        <f>+IFERROR(VLOOKUP(Fact_Administrativa[[#This Row], [Concepto Anterior]],Conceptos_Administrativa[#All],5,0),"")</f>
        <v/>
      </c>
      <c r="F2396" t="str">
        <f>+IFERROR(VLOOKUP(Fact_Administrativa[[#This Row], 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ht="18.75" customHeight="1" x14ac:dyDescent="0.35">
      <c r="C2397" s="100" t="str">
        <f>IF(OR(Fact_Administrativa[[#This Row], [Año]]="",Fact_Administrativa[[#This Row], [Mes]]=""),"",DATE(A2397,MATCH(B2397,{"enero","febrero","marzo","abril","mayo","junio","julio","agosto","septiembre","octubre","noviembre","diciembre"},0)+1,0))</f>
        <v/>
      </c>
      <c r="E2397" t="str">
        <f>+IFERROR(VLOOKUP(Fact_Administrativa[[#This Row], [Concepto Anterior]],Conceptos_Administrativa[#All],5,0),"")</f>
        <v/>
      </c>
      <c r="F2397" t="str">
        <f>+IFERROR(VLOOKUP(Fact_Administrativa[[#This Row], 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ht="18.75" customHeight="1" x14ac:dyDescent="0.35">
      <c r="C2398" s="100" t="str">
        <f>IF(OR(Fact_Administrativa[[#This Row], [Año]]="",Fact_Administrativa[[#This Row], [Mes]]=""),"",DATE(A2398,MATCH(B2398,{"enero","febrero","marzo","abril","mayo","junio","julio","agosto","septiembre","octubre","noviembre","diciembre"},0)+1,0))</f>
        <v/>
      </c>
      <c r="E2398" t="str">
        <f>+IFERROR(VLOOKUP(Fact_Administrativa[[#This Row], [Concepto Anterior]],Conceptos_Administrativa[#All],5,0),"")</f>
        <v/>
      </c>
      <c r="F2398" t="str">
        <f>+IFERROR(VLOOKUP(Fact_Administrativa[[#This Row], 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ht="18.75" customHeight="1" x14ac:dyDescent="0.35">
      <c r="C2399" s="100" t="str">
        <f>IF(OR(Fact_Administrativa[[#This Row], [Año]]="",Fact_Administrativa[[#This Row], [Mes]]=""),"",DATE(A2399,MATCH(B2399,{"enero","febrero","marzo","abril","mayo","junio","julio","agosto","septiembre","octubre","noviembre","diciembre"},0)+1,0))</f>
        <v/>
      </c>
      <c r="E2399" t="str">
        <f>+IFERROR(VLOOKUP(Fact_Administrativa[[#This Row], [Concepto Anterior]],Conceptos_Administrativa[#All],5,0),"")</f>
        <v/>
      </c>
      <c r="F2399" t="str">
        <f>+IFERROR(VLOOKUP(Fact_Administrativa[[#This Row], 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ht="18.75" customHeight="1" x14ac:dyDescent="0.35">
      <c r="C2400" s="100" t="str">
        <f>IF(OR(Fact_Administrativa[[#This Row], [Año]]="",Fact_Administrativa[[#This Row], [Mes]]=""),"",DATE(A2400,MATCH(B2400,{"enero","febrero","marzo","abril","mayo","junio","julio","agosto","septiembre","octubre","noviembre","diciembre"},0)+1,0))</f>
        <v/>
      </c>
      <c r="E2400" t="str">
        <f>+IFERROR(VLOOKUP(Fact_Administrativa[[#This Row], [Concepto Anterior]],Conceptos_Administrativa[#All],5,0),"")</f>
        <v/>
      </c>
      <c r="F2400" t="str">
        <f>+IFERROR(VLOOKUP(Fact_Administrativa[[#This Row], 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ht="18.75" customHeight="1" x14ac:dyDescent="0.35">
      <c r="C2401" s="100" t="str">
        <f>IF(OR(Fact_Administrativa[[#This Row], [Año]]="",Fact_Administrativa[[#This Row], [Mes]]=""),"",DATE(A2401,MATCH(B2401,{"enero","febrero","marzo","abril","mayo","junio","julio","agosto","septiembre","octubre","noviembre","diciembre"},0)+1,0))</f>
        <v/>
      </c>
      <c r="E2401" t="str">
        <f>+IFERROR(VLOOKUP(Fact_Administrativa[[#This Row], [Concepto Anterior]],Conceptos_Administrativa[#All],5,0),"")</f>
        <v/>
      </c>
      <c r="F2401" t="str">
        <f>+IFERROR(VLOOKUP(Fact_Administrativa[[#This Row], 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ht="18.75" customHeight="1" x14ac:dyDescent="0.35">
      <c r="C2402" s="100" t="str">
        <f>IF(OR(Fact_Administrativa[[#This Row], [Año]]="",Fact_Administrativa[[#This Row], [Mes]]=""),"",DATE(A2402,MATCH(B2402,{"enero","febrero","marzo","abril","mayo","junio","julio","agosto","septiembre","octubre","noviembre","diciembre"},0)+1,0))</f>
        <v/>
      </c>
      <c r="E2402" t="str">
        <f>+IFERROR(VLOOKUP(Fact_Administrativa[[#This Row], [Concepto Anterior]],Conceptos_Administrativa[#All],5,0),"")</f>
        <v/>
      </c>
      <c r="F2402" t="str">
        <f>+IFERROR(VLOOKUP(Fact_Administrativa[[#This Row], 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ht="18.75" customHeight="1" x14ac:dyDescent="0.35">
      <c r="C2403" s="100" t="str">
        <f>IF(OR(Fact_Administrativa[[#This Row], [Año]]="",Fact_Administrativa[[#This Row], [Mes]]=""),"",DATE(A2403,MATCH(B2403,{"enero","febrero","marzo","abril","mayo","junio","julio","agosto","septiembre","octubre","noviembre","diciembre"},0)+1,0))</f>
        <v/>
      </c>
      <c r="E2403" t="str">
        <f>+IFERROR(VLOOKUP(Fact_Administrativa[[#This Row], [Concepto Anterior]],Conceptos_Administrativa[#All],5,0),"")</f>
        <v/>
      </c>
      <c r="F2403" t="str">
        <f>+IFERROR(VLOOKUP(Fact_Administrativa[[#This Row], 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ht="18.75" customHeight="1" x14ac:dyDescent="0.35">
      <c r="C2404" s="100" t="str">
        <f>IF(OR(Fact_Administrativa[[#This Row], [Año]]="",Fact_Administrativa[[#This Row], [Mes]]=""),"",DATE(A2404,MATCH(B2404,{"enero","febrero","marzo","abril","mayo","junio","julio","agosto","septiembre","octubre","noviembre","diciembre"},0)+1,0))</f>
        <v/>
      </c>
      <c r="E2404" t="str">
        <f>+IFERROR(VLOOKUP(Fact_Administrativa[[#This Row], [Concepto Anterior]],Conceptos_Administrativa[#All],5,0),"")</f>
        <v/>
      </c>
      <c r="F2404" t="str">
        <f>+IFERROR(VLOOKUP(Fact_Administrativa[[#This Row], 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ht="18.75" customHeight="1" x14ac:dyDescent="0.35">
      <c r="C2405" s="100" t="str">
        <f>IF(OR(Fact_Administrativa[[#This Row], [Año]]="",Fact_Administrativa[[#This Row], [Mes]]=""),"",DATE(A2405,MATCH(B2405,{"enero","febrero","marzo","abril","mayo","junio","julio","agosto","septiembre","octubre","noviembre","diciembre"},0)+1,0))</f>
        <v/>
      </c>
      <c r="E2405" t="str">
        <f>+IFERROR(VLOOKUP(Fact_Administrativa[[#This Row], [Concepto Anterior]],Conceptos_Administrativa[#All],5,0),"")</f>
        <v/>
      </c>
      <c r="F2405" t="str">
        <f>+IFERROR(VLOOKUP(Fact_Administrativa[[#This Row], 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ht="18.75" customHeight="1" x14ac:dyDescent="0.35">
      <c r="C2406" s="100" t="str">
        <f>IF(OR(Fact_Administrativa[[#This Row], [Año]]="",Fact_Administrativa[[#This Row], [Mes]]=""),"",DATE(A2406,MATCH(B2406,{"enero","febrero","marzo","abril","mayo","junio","julio","agosto","septiembre","octubre","noviembre","diciembre"},0)+1,0))</f>
        <v/>
      </c>
      <c r="E2406" t="str">
        <f>+IFERROR(VLOOKUP(Fact_Administrativa[[#This Row], [Concepto Anterior]],Conceptos_Administrativa[#All],5,0),"")</f>
        <v/>
      </c>
      <c r="F2406" t="str">
        <f>+IFERROR(VLOOKUP(Fact_Administrativa[[#This Row], 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ht="18.75" customHeight="1" x14ac:dyDescent="0.35">
      <c r="C2407" s="100" t="str">
        <f>IF(OR(Fact_Administrativa[[#This Row], [Año]]="",Fact_Administrativa[[#This Row], [Mes]]=""),"",DATE(A2407,MATCH(B2407,{"enero","febrero","marzo","abril","mayo","junio","julio","agosto","septiembre","octubre","noviembre","diciembre"},0)+1,0))</f>
        <v/>
      </c>
      <c r="E2407" t="str">
        <f>+IFERROR(VLOOKUP(Fact_Administrativa[[#This Row], [Concepto Anterior]],Conceptos_Administrativa[#All],5,0),"")</f>
        <v/>
      </c>
      <c r="F2407" t="str">
        <f>+IFERROR(VLOOKUP(Fact_Administrativa[[#This Row], 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ht="18.75" customHeight="1" x14ac:dyDescent="0.35">
      <c r="C2408" s="100" t="str">
        <f>IF(OR(Fact_Administrativa[[#This Row], [Año]]="",Fact_Administrativa[[#This Row], [Mes]]=""),"",DATE(A2408,MATCH(B2408,{"enero","febrero","marzo","abril","mayo","junio","julio","agosto","septiembre","octubre","noviembre","diciembre"},0)+1,0))</f>
        <v/>
      </c>
      <c r="E2408" t="str">
        <f>+IFERROR(VLOOKUP(Fact_Administrativa[[#This Row], [Concepto Anterior]],Conceptos_Administrativa[#All],5,0),"")</f>
        <v/>
      </c>
      <c r="F2408" t="str">
        <f>+IFERROR(VLOOKUP(Fact_Administrativa[[#This Row], 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ht="18.75" customHeight="1" x14ac:dyDescent="0.35">
      <c r="C2409" s="100" t="str">
        <f>IF(OR(Fact_Administrativa[[#This Row], [Año]]="",Fact_Administrativa[[#This Row], [Mes]]=""),"",DATE(A2409,MATCH(B2409,{"enero","febrero","marzo","abril","mayo","junio","julio","agosto","septiembre","octubre","noviembre","diciembre"},0)+1,0))</f>
        <v/>
      </c>
      <c r="E2409" t="str">
        <f>+IFERROR(VLOOKUP(Fact_Administrativa[[#This Row], [Concepto Anterior]],Conceptos_Administrativa[#All],5,0),"")</f>
        <v/>
      </c>
      <c r="F2409" t="str">
        <f>+IFERROR(VLOOKUP(Fact_Administrativa[[#This Row], 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ht="18.75" customHeight="1" x14ac:dyDescent="0.35">
      <c r="C2410" s="100" t="str">
        <f>IF(OR(Fact_Administrativa[[#This Row], [Año]]="",Fact_Administrativa[[#This Row], [Mes]]=""),"",DATE(A2410,MATCH(B2410,{"enero","febrero","marzo","abril","mayo","junio","julio","agosto","septiembre","octubre","noviembre","diciembre"},0)+1,0))</f>
        <v/>
      </c>
      <c r="E2410" t="str">
        <f>+IFERROR(VLOOKUP(Fact_Administrativa[[#This Row], [Concepto Anterior]],Conceptos_Administrativa[#All],5,0),"")</f>
        <v/>
      </c>
      <c r="F2410" t="str">
        <f>+IFERROR(VLOOKUP(Fact_Administrativa[[#This Row], 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ht="18.75" customHeight="1" x14ac:dyDescent="0.35">
      <c r="C2411" s="100" t="str">
        <f>IF(OR(Fact_Administrativa[[#This Row], [Año]]="",Fact_Administrativa[[#This Row], [Mes]]=""),"",DATE(A2411,MATCH(B2411,{"enero","febrero","marzo","abril","mayo","junio","julio","agosto","septiembre","octubre","noviembre","diciembre"},0)+1,0))</f>
        <v/>
      </c>
      <c r="E2411" t="str">
        <f>+IFERROR(VLOOKUP(Fact_Administrativa[[#This Row], [Concepto Anterior]],Conceptos_Administrativa[#All],5,0),"")</f>
        <v/>
      </c>
      <c r="F2411" t="str">
        <f>+IFERROR(VLOOKUP(Fact_Administrativa[[#This Row], 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ht="18.75" customHeight="1" x14ac:dyDescent="0.35">
      <c r="C2412" s="100" t="str">
        <f>IF(OR(Fact_Administrativa[[#This Row], [Año]]="",Fact_Administrativa[[#This Row], [Mes]]=""),"",DATE(A2412,MATCH(B2412,{"enero","febrero","marzo","abril","mayo","junio","julio","agosto","septiembre","octubre","noviembre","diciembre"},0)+1,0))</f>
        <v/>
      </c>
      <c r="E2412" t="str">
        <f>+IFERROR(VLOOKUP(Fact_Administrativa[[#This Row], [Concepto Anterior]],Conceptos_Administrativa[#All],5,0),"")</f>
        <v/>
      </c>
      <c r="F2412" t="str">
        <f>+IFERROR(VLOOKUP(Fact_Administrativa[[#This Row], 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ht="18.75" customHeight="1" x14ac:dyDescent="0.35">
      <c r="C2413" s="100" t="str">
        <f>IF(OR(Fact_Administrativa[[#This Row], [Año]]="",Fact_Administrativa[[#This Row], [Mes]]=""),"",DATE(A2413,MATCH(B2413,{"enero","febrero","marzo","abril","mayo","junio","julio","agosto","septiembre","octubre","noviembre","diciembre"},0)+1,0))</f>
        <v/>
      </c>
      <c r="E2413" t="str">
        <f>+IFERROR(VLOOKUP(Fact_Administrativa[[#This Row], [Concepto Anterior]],Conceptos_Administrativa[#All],5,0),"")</f>
        <v/>
      </c>
      <c r="F2413" t="str">
        <f>+IFERROR(VLOOKUP(Fact_Administrativa[[#This Row], 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ht="18.75" customHeight="1" x14ac:dyDescent="0.35">
      <c r="C2414" s="100" t="str">
        <f>IF(OR(Fact_Administrativa[[#This Row], [Año]]="",Fact_Administrativa[[#This Row], [Mes]]=""),"",DATE(A2414,MATCH(B2414,{"enero","febrero","marzo","abril","mayo","junio","julio","agosto","septiembre","octubre","noviembre","diciembre"},0)+1,0))</f>
        <v/>
      </c>
      <c r="E2414" t="str">
        <f>+IFERROR(VLOOKUP(Fact_Administrativa[[#This Row], [Concepto Anterior]],Conceptos_Administrativa[#All],5,0),"")</f>
        <v/>
      </c>
      <c r="F2414" t="str">
        <f>+IFERROR(VLOOKUP(Fact_Administrativa[[#This Row], 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ht="18.75" customHeight="1" x14ac:dyDescent="0.35">
      <c r="C2415" s="100" t="str">
        <f>IF(OR(Fact_Administrativa[[#This Row], [Año]]="",Fact_Administrativa[[#This Row], [Mes]]=""),"",DATE(A2415,MATCH(B2415,{"enero","febrero","marzo","abril","mayo","junio","julio","agosto","septiembre","octubre","noviembre","diciembre"},0)+1,0))</f>
        <v/>
      </c>
      <c r="E2415" t="str">
        <f>+IFERROR(VLOOKUP(Fact_Administrativa[[#This Row], [Concepto Anterior]],Conceptos_Administrativa[#All],5,0),"")</f>
        <v/>
      </c>
      <c r="F2415" t="str">
        <f>+IFERROR(VLOOKUP(Fact_Administrativa[[#This Row], 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ht="18.75" customHeight="1" x14ac:dyDescent="0.35">
      <c r="C2416" s="100" t="str">
        <f>IF(OR(Fact_Administrativa[[#This Row], [Año]]="",Fact_Administrativa[[#This Row], [Mes]]=""),"",DATE(A2416,MATCH(B2416,{"enero","febrero","marzo","abril","mayo","junio","julio","agosto","septiembre","octubre","noviembre","diciembre"},0)+1,0))</f>
        <v/>
      </c>
      <c r="E2416" t="str">
        <f>+IFERROR(VLOOKUP(Fact_Administrativa[[#This Row], [Concepto Anterior]],Conceptos_Administrativa[#All],5,0),"")</f>
        <v/>
      </c>
      <c r="F2416" t="str">
        <f>+IFERROR(VLOOKUP(Fact_Administrativa[[#This Row], 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ht="18.75" customHeight="1" x14ac:dyDescent="0.35">
      <c r="C2417" s="100" t="str">
        <f>IF(OR(Fact_Administrativa[[#This Row], [Año]]="",Fact_Administrativa[[#This Row], [Mes]]=""),"",DATE(A2417,MATCH(B2417,{"enero","febrero","marzo","abril","mayo","junio","julio","agosto","septiembre","octubre","noviembre","diciembre"},0)+1,0))</f>
        <v/>
      </c>
      <c r="E2417" t="str">
        <f>+IFERROR(VLOOKUP(Fact_Administrativa[[#This Row], [Concepto Anterior]],Conceptos_Administrativa[#All],5,0),"")</f>
        <v/>
      </c>
      <c r="F2417" t="str">
        <f>+IFERROR(VLOOKUP(Fact_Administrativa[[#This Row], 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ht="18.75" customHeight="1" x14ac:dyDescent="0.35">
      <c r="C2418" s="100" t="str">
        <f>IF(OR(Fact_Administrativa[[#This Row], [Año]]="",Fact_Administrativa[[#This Row], [Mes]]=""),"",DATE(A2418,MATCH(B2418,{"enero","febrero","marzo","abril","mayo","junio","julio","agosto","septiembre","octubre","noviembre","diciembre"},0)+1,0))</f>
        <v/>
      </c>
      <c r="E2418" t="str">
        <f>+IFERROR(VLOOKUP(Fact_Administrativa[[#This Row], [Concepto Anterior]],Conceptos_Administrativa[#All],5,0),"")</f>
        <v/>
      </c>
      <c r="F2418" t="str">
        <f>+IFERROR(VLOOKUP(Fact_Administrativa[[#This Row], 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ht="18.75" customHeight="1" x14ac:dyDescent="0.35">
      <c r="C2419" s="100" t="str">
        <f>IF(OR(Fact_Administrativa[[#This Row], [Año]]="",Fact_Administrativa[[#This Row], [Mes]]=""),"",DATE(A2419,MATCH(B2419,{"enero","febrero","marzo","abril","mayo","junio","julio","agosto","septiembre","octubre","noviembre","diciembre"},0)+1,0))</f>
        <v/>
      </c>
      <c r="E2419" t="str">
        <f>+IFERROR(VLOOKUP(Fact_Administrativa[[#This Row], [Concepto Anterior]],Conceptos_Administrativa[#All],5,0),"")</f>
        <v/>
      </c>
      <c r="F2419" t="str">
        <f>+IFERROR(VLOOKUP(Fact_Administrativa[[#This Row], 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ht="18.75" customHeight="1" x14ac:dyDescent="0.35">
      <c r="C2420" s="100" t="str">
        <f>IF(OR(Fact_Administrativa[[#This Row], [Año]]="",Fact_Administrativa[[#This Row], [Mes]]=""),"",DATE(A2420,MATCH(B2420,{"enero","febrero","marzo","abril","mayo","junio","julio","agosto","septiembre","octubre","noviembre","diciembre"},0)+1,0))</f>
        <v/>
      </c>
      <c r="E2420" t="str">
        <f>+IFERROR(VLOOKUP(Fact_Administrativa[[#This Row], [Concepto Anterior]],Conceptos_Administrativa[#All],5,0),"")</f>
        <v/>
      </c>
      <c r="F2420" t="str">
        <f>+IFERROR(VLOOKUP(Fact_Administrativa[[#This Row], 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ht="18.75" customHeight="1" x14ac:dyDescent="0.35">
      <c r="C2421" s="100" t="str">
        <f>IF(OR(Fact_Administrativa[[#This Row], [Año]]="",Fact_Administrativa[[#This Row], [Mes]]=""),"",DATE(A2421,MATCH(B2421,{"enero","febrero","marzo","abril","mayo","junio","julio","agosto","septiembre","octubre","noviembre","diciembre"},0)+1,0))</f>
        <v/>
      </c>
      <c r="E2421" t="str">
        <f>+IFERROR(VLOOKUP(Fact_Administrativa[[#This Row], [Concepto Anterior]],Conceptos_Administrativa[#All],5,0),"")</f>
        <v/>
      </c>
      <c r="F2421" t="str">
        <f>+IFERROR(VLOOKUP(Fact_Administrativa[[#This Row], 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ht="18.75" customHeight="1" x14ac:dyDescent="0.35">
      <c r="C2422" s="100" t="str">
        <f>IF(OR(Fact_Administrativa[[#This Row], [Año]]="",Fact_Administrativa[[#This Row], [Mes]]=""),"",DATE(A2422,MATCH(B2422,{"enero","febrero","marzo","abril","mayo","junio","julio","agosto","septiembre","octubre","noviembre","diciembre"},0)+1,0))</f>
        <v/>
      </c>
      <c r="E2422" t="str">
        <f>+IFERROR(VLOOKUP(Fact_Administrativa[[#This Row], [Concepto Anterior]],Conceptos_Administrativa[#All],5,0),"")</f>
        <v/>
      </c>
      <c r="F2422" t="str">
        <f>+IFERROR(VLOOKUP(Fact_Administrativa[[#This Row], 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ht="18.75" customHeight="1" x14ac:dyDescent="0.35">
      <c r="C2423" s="100" t="str">
        <f>IF(OR(Fact_Administrativa[[#This Row], [Año]]="",Fact_Administrativa[[#This Row], [Mes]]=""),"",DATE(A2423,MATCH(B2423,{"enero","febrero","marzo","abril","mayo","junio","julio","agosto","septiembre","octubre","noviembre","diciembre"},0)+1,0))</f>
        <v/>
      </c>
      <c r="E2423" t="str">
        <f>+IFERROR(VLOOKUP(Fact_Administrativa[[#This Row], [Concepto Anterior]],Conceptos_Administrativa[#All],5,0),"")</f>
        <v/>
      </c>
      <c r="F2423" t="str">
        <f>+IFERROR(VLOOKUP(Fact_Administrativa[[#This Row], 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ht="18.75" customHeight="1" x14ac:dyDescent="0.35">
      <c r="C2424" s="100" t="str">
        <f>IF(OR(Fact_Administrativa[[#This Row], [Año]]="",Fact_Administrativa[[#This Row], [Mes]]=""),"",DATE(A2424,MATCH(B2424,{"enero","febrero","marzo","abril","mayo","junio","julio","agosto","septiembre","octubre","noviembre","diciembre"},0)+1,0))</f>
        <v/>
      </c>
      <c r="E2424" t="str">
        <f>+IFERROR(VLOOKUP(Fact_Administrativa[[#This Row], [Concepto Anterior]],Conceptos_Administrativa[#All],5,0),"")</f>
        <v/>
      </c>
      <c r="F2424" t="str">
        <f>+IFERROR(VLOOKUP(Fact_Administrativa[[#This Row], 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ht="18.75" customHeight="1" x14ac:dyDescent="0.35">
      <c r="C2425" s="100" t="str">
        <f>IF(OR(Fact_Administrativa[[#This Row], [Año]]="",Fact_Administrativa[[#This Row], [Mes]]=""),"",DATE(A2425,MATCH(B2425,{"enero","febrero","marzo","abril","mayo","junio","julio","agosto","septiembre","octubre","noviembre","diciembre"},0)+1,0))</f>
        <v/>
      </c>
      <c r="E2425" t="str">
        <f>+IFERROR(VLOOKUP(Fact_Administrativa[[#This Row], [Concepto Anterior]],Conceptos_Administrativa[#All],5,0),"")</f>
        <v/>
      </c>
      <c r="F2425" t="str">
        <f>+IFERROR(VLOOKUP(Fact_Administrativa[[#This Row], 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ht="18.75" customHeight="1" x14ac:dyDescent="0.35">
      <c r="C2426" s="100" t="str">
        <f>IF(OR(Fact_Administrativa[[#This Row], [Año]]="",Fact_Administrativa[[#This Row], [Mes]]=""),"",DATE(A2426,MATCH(B2426,{"enero","febrero","marzo","abril","mayo","junio","julio","agosto","septiembre","octubre","noviembre","diciembre"},0)+1,0))</f>
        <v/>
      </c>
      <c r="E2426" t="str">
        <f>+IFERROR(VLOOKUP(Fact_Administrativa[[#This Row], [Concepto Anterior]],Conceptos_Administrativa[#All],5,0),"")</f>
        <v/>
      </c>
      <c r="F2426" t="str">
        <f>+IFERROR(VLOOKUP(Fact_Administrativa[[#This Row], 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ht="18.75" customHeight="1" x14ac:dyDescent="0.35">
      <c r="C2427" s="100" t="str">
        <f>IF(OR(Fact_Administrativa[[#This Row], [Año]]="",Fact_Administrativa[[#This Row], [Mes]]=""),"",DATE(A2427,MATCH(B2427,{"enero","febrero","marzo","abril","mayo","junio","julio","agosto","septiembre","octubre","noviembre","diciembre"},0)+1,0))</f>
        <v/>
      </c>
      <c r="E2427" t="str">
        <f>+IFERROR(VLOOKUP(Fact_Administrativa[[#This Row], [Concepto Anterior]],Conceptos_Administrativa[#All],5,0),"")</f>
        <v/>
      </c>
      <c r="F2427" t="str">
        <f>+IFERROR(VLOOKUP(Fact_Administrativa[[#This Row], 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ht="18.75" customHeight="1" x14ac:dyDescent="0.35">
      <c r="C2428" s="100" t="str">
        <f>IF(OR(Fact_Administrativa[[#This Row], [Año]]="",Fact_Administrativa[[#This Row], [Mes]]=""),"",DATE(A2428,MATCH(B2428,{"enero","febrero","marzo","abril","mayo","junio","julio","agosto","septiembre","octubre","noviembre","diciembre"},0)+1,0))</f>
        <v/>
      </c>
      <c r="E2428" t="str">
        <f>+IFERROR(VLOOKUP(Fact_Administrativa[[#This Row], [Concepto Anterior]],Conceptos_Administrativa[#All],5,0),"")</f>
        <v/>
      </c>
      <c r="F2428" t="str">
        <f>+IFERROR(VLOOKUP(Fact_Administrativa[[#This Row], 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ht="18.75" customHeight="1" x14ac:dyDescent="0.35">
      <c r="C2429" s="100" t="str">
        <f>IF(OR(Fact_Administrativa[[#This Row], [Año]]="",Fact_Administrativa[[#This Row], [Mes]]=""),"",DATE(A2429,MATCH(B2429,{"enero","febrero","marzo","abril","mayo","junio","julio","agosto","septiembre","octubre","noviembre","diciembre"},0)+1,0))</f>
        <v/>
      </c>
      <c r="E2429" t="str">
        <f>+IFERROR(VLOOKUP(Fact_Administrativa[[#This Row], [Concepto Anterior]],Conceptos_Administrativa[#All],5,0),"")</f>
        <v/>
      </c>
      <c r="F2429" t="str">
        <f>+IFERROR(VLOOKUP(Fact_Administrativa[[#This Row], 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ht="18.75" customHeight="1" x14ac:dyDescent="0.35">
      <c r="C2430" s="100" t="str">
        <f>IF(OR(Fact_Administrativa[[#This Row], [Año]]="",Fact_Administrativa[[#This Row], [Mes]]=""),"",DATE(A2430,MATCH(B2430,{"enero","febrero","marzo","abril","mayo","junio","julio","agosto","septiembre","octubre","noviembre","diciembre"},0)+1,0))</f>
        <v/>
      </c>
      <c r="E2430" t="str">
        <f>+IFERROR(VLOOKUP(Fact_Administrativa[[#This Row], [Concepto Anterior]],Conceptos_Administrativa[#All],5,0),"")</f>
        <v/>
      </c>
      <c r="F2430" t="str">
        <f>+IFERROR(VLOOKUP(Fact_Administrativa[[#This Row], 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ht="18.75" customHeight="1" x14ac:dyDescent="0.35">
      <c r="C2431" s="100" t="str">
        <f>IF(OR(Fact_Administrativa[[#This Row], [Año]]="",Fact_Administrativa[[#This Row], [Mes]]=""),"",DATE(A2431,MATCH(B2431,{"enero","febrero","marzo","abril","mayo","junio","julio","agosto","septiembre","octubre","noviembre","diciembre"},0)+1,0))</f>
        <v/>
      </c>
      <c r="E2431" t="str">
        <f>+IFERROR(VLOOKUP(Fact_Administrativa[[#This Row], [Concepto Anterior]],Conceptos_Administrativa[#All],5,0),"")</f>
        <v/>
      </c>
      <c r="F2431" t="str">
        <f>+IFERROR(VLOOKUP(Fact_Administrativa[[#This Row], 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ht="18.75" customHeight="1" x14ac:dyDescent="0.35">
      <c r="C2432" s="100" t="str">
        <f>IF(OR(Fact_Administrativa[[#This Row], [Año]]="",Fact_Administrativa[[#This Row], [Mes]]=""),"",DATE(A2432,MATCH(B2432,{"enero","febrero","marzo","abril","mayo","junio","julio","agosto","septiembre","octubre","noviembre","diciembre"},0)+1,0))</f>
        <v/>
      </c>
      <c r="E2432" t="str">
        <f>+IFERROR(VLOOKUP(Fact_Administrativa[[#This Row], [Concepto Anterior]],Conceptos_Administrativa[#All],5,0),"")</f>
        <v/>
      </c>
      <c r="F2432" t="str">
        <f>+IFERROR(VLOOKUP(Fact_Administrativa[[#This Row], 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ht="18.75" customHeight="1" x14ac:dyDescent="0.35">
      <c r="C2433" s="100" t="str">
        <f>IF(OR(Fact_Administrativa[[#This Row], [Año]]="",Fact_Administrativa[[#This Row], [Mes]]=""),"",DATE(A2433,MATCH(B2433,{"enero","febrero","marzo","abril","mayo","junio","julio","agosto","septiembre","octubre","noviembre","diciembre"},0)+1,0))</f>
        <v/>
      </c>
      <c r="E2433" t="str">
        <f>+IFERROR(VLOOKUP(Fact_Administrativa[[#This Row], [Concepto Anterior]],Conceptos_Administrativa[#All],5,0),"")</f>
        <v/>
      </c>
      <c r="F2433" t="str">
        <f>+IFERROR(VLOOKUP(Fact_Administrativa[[#This Row], 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ht="18.75" customHeight="1" x14ac:dyDescent="0.35">
      <c r="C2434" s="100" t="str">
        <f>IF(OR(Fact_Administrativa[[#This Row], [Año]]="",Fact_Administrativa[[#This Row], [Mes]]=""),"",DATE(A2434,MATCH(B2434,{"enero","febrero","marzo","abril","mayo","junio","julio","agosto","septiembre","octubre","noviembre","diciembre"},0)+1,0))</f>
        <v/>
      </c>
      <c r="E2434" t="str">
        <f>+IFERROR(VLOOKUP(Fact_Administrativa[[#This Row], [Concepto Anterior]],Conceptos_Administrativa[#All],5,0),"")</f>
        <v/>
      </c>
      <c r="F2434" t="str">
        <f>+IFERROR(VLOOKUP(Fact_Administrativa[[#This Row], 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ht="18.75" customHeight="1" x14ac:dyDescent="0.35">
      <c r="C2435" s="100" t="str">
        <f>IF(OR(Fact_Administrativa[[#This Row], [Año]]="",Fact_Administrativa[[#This Row], [Mes]]=""),"",DATE(A2435,MATCH(B2435,{"enero","febrero","marzo","abril","mayo","junio","julio","agosto","septiembre","octubre","noviembre","diciembre"},0)+1,0))</f>
        <v/>
      </c>
      <c r="E2435" t="str">
        <f>+IFERROR(VLOOKUP(Fact_Administrativa[[#This Row], [Concepto Anterior]],Conceptos_Administrativa[#All],5,0),"")</f>
        <v/>
      </c>
      <c r="F2435" t="str">
        <f>+IFERROR(VLOOKUP(Fact_Administrativa[[#This Row], 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ht="18.75" customHeight="1" x14ac:dyDescent="0.35">
      <c r="C2436" s="100" t="str">
        <f>IF(OR(Fact_Administrativa[[#This Row], [Año]]="",Fact_Administrativa[[#This Row], [Mes]]=""),"",DATE(A2436,MATCH(B2436,{"enero","febrero","marzo","abril","mayo","junio","julio","agosto","septiembre","octubre","noviembre","diciembre"},0)+1,0))</f>
        <v/>
      </c>
      <c r="E2436" t="str">
        <f>+IFERROR(VLOOKUP(Fact_Administrativa[[#This Row], [Concepto Anterior]],Conceptos_Administrativa[#All],5,0),"")</f>
        <v/>
      </c>
      <c r="F2436" t="str">
        <f>+IFERROR(VLOOKUP(Fact_Administrativa[[#This Row], 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ht="18.75" customHeight="1" x14ac:dyDescent="0.35">
      <c r="C2437" s="100" t="str">
        <f>IF(OR(Fact_Administrativa[[#This Row], [Año]]="",Fact_Administrativa[[#This Row], [Mes]]=""),"",DATE(A2437,MATCH(B2437,{"enero","febrero","marzo","abril","mayo","junio","julio","agosto","septiembre","octubre","noviembre","diciembre"},0)+1,0))</f>
        <v/>
      </c>
      <c r="E2437" t="str">
        <f>+IFERROR(VLOOKUP(Fact_Administrativa[[#This Row], [Concepto Anterior]],Conceptos_Administrativa[#All],5,0),"")</f>
        <v/>
      </c>
      <c r="F2437" t="str">
        <f>+IFERROR(VLOOKUP(Fact_Administrativa[[#This Row], 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ht="18.75" customHeight="1" x14ac:dyDescent="0.35">
      <c r="C2438" s="100" t="str">
        <f>IF(OR(Fact_Administrativa[[#This Row], [Año]]="",Fact_Administrativa[[#This Row], [Mes]]=""),"",DATE(A2438,MATCH(B2438,{"enero","febrero","marzo","abril","mayo","junio","julio","agosto","septiembre","octubre","noviembre","diciembre"},0)+1,0))</f>
        <v/>
      </c>
      <c r="E2438" t="str">
        <f>+IFERROR(VLOOKUP(Fact_Administrativa[[#This Row], [Concepto Anterior]],Conceptos_Administrativa[#All],5,0),"")</f>
        <v/>
      </c>
      <c r="F2438" t="str">
        <f>+IFERROR(VLOOKUP(Fact_Administrativa[[#This Row], 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ht="18.75" customHeight="1" x14ac:dyDescent="0.35">
      <c r="C2439" s="100" t="str">
        <f>IF(OR(Fact_Administrativa[[#This Row], [Año]]="",Fact_Administrativa[[#This Row], [Mes]]=""),"",DATE(A2439,MATCH(B2439,{"enero","febrero","marzo","abril","mayo","junio","julio","agosto","septiembre","octubre","noviembre","diciembre"},0)+1,0))</f>
        <v/>
      </c>
      <c r="E2439" t="str">
        <f>+IFERROR(VLOOKUP(Fact_Administrativa[[#This Row], [Concepto Anterior]],Conceptos_Administrativa[#All],5,0),"")</f>
        <v/>
      </c>
      <c r="F2439" t="str">
        <f>+IFERROR(VLOOKUP(Fact_Administrativa[[#This Row], 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ht="18.75" customHeight="1" x14ac:dyDescent="0.35">
      <c r="C2440" s="100" t="str">
        <f>IF(OR(Fact_Administrativa[[#This Row], [Año]]="",Fact_Administrativa[[#This Row], [Mes]]=""),"",DATE(A2440,MATCH(B2440,{"enero","febrero","marzo","abril","mayo","junio","julio","agosto","septiembre","octubre","noviembre","diciembre"},0)+1,0))</f>
        <v/>
      </c>
      <c r="E2440" t="str">
        <f>+IFERROR(VLOOKUP(Fact_Administrativa[[#This Row], [Concepto Anterior]],Conceptos_Administrativa[#All],5,0),"")</f>
        <v/>
      </c>
      <c r="F2440" t="str">
        <f>+IFERROR(VLOOKUP(Fact_Administrativa[[#This Row], 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ht="18.75" customHeight="1" x14ac:dyDescent="0.35">
      <c r="C2441" s="100" t="str">
        <f>IF(OR(Fact_Administrativa[[#This Row], [Año]]="",Fact_Administrativa[[#This Row], [Mes]]=""),"",DATE(A2441,MATCH(B2441,{"enero","febrero","marzo","abril","mayo","junio","julio","agosto","septiembre","octubre","noviembre","diciembre"},0)+1,0))</f>
        <v/>
      </c>
      <c r="E2441" t="str">
        <f>+IFERROR(VLOOKUP(Fact_Administrativa[[#This Row], [Concepto Anterior]],Conceptos_Administrativa[#All],5,0),"")</f>
        <v/>
      </c>
      <c r="F2441" t="str">
        <f>+IFERROR(VLOOKUP(Fact_Administrativa[[#This Row], 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ht="18.75" customHeight="1" x14ac:dyDescent="0.35">
      <c r="C2442" s="100" t="str">
        <f>IF(OR(Fact_Administrativa[[#This Row], [Año]]="",Fact_Administrativa[[#This Row], [Mes]]=""),"",DATE(A2442,MATCH(B2442,{"enero","febrero","marzo","abril","mayo","junio","julio","agosto","septiembre","octubre","noviembre","diciembre"},0)+1,0))</f>
        <v/>
      </c>
      <c r="E2442" t="str">
        <f>+IFERROR(VLOOKUP(Fact_Administrativa[[#This Row], [Concepto Anterior]],Conceptos_Administrativa[#All],5,0),"")</f>
        <v/>
      </c>
      <c r="F2442" t="str">
        <f>+IFERROR(VLOOKUP(Fact_Administrativa[[#This Row], 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ht="18.75" customHeight="1" x14ac:dyDescent="0.35">
      <c r="C2443" s="100" t="str">
        <f>IF(OR(Fact_Administrativa[[#This Row], [Año]]="",Fact_Administrativa[[#This Row], [Mes]]=""),"",DATE(A2443,MATCH(B2443,{"enero","febrero","marzo","abril","mayo","junio","julio","agosto","septiembre","octubre","noviembre","diciembre"},0)+1,0))</f>
        <v/>
      </c>
      <c r="E2443" t="str">
        <f>+IFERROR(VLOOKUP(Fact_Administrativa[[#This Row], [Concepto Anterior]],Conceptos_Administrativa[#All],5,0),"")</f>
        <v/>
      </c>
      <c r="F2443" t="str">
        <f>+IFERROR(VLOOKUP(Fact_Administrativa[[#This Row], 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ht="18.75" customHeight="1" x14ac:dyDescent="0.35">
      <c r="C2444" s="100" t="str">
        <f>IF(OR(Fact_Administrativa[[#This Row], [Año]]="",Fact_Administrativa[[#This Row], [Mes]]=""),"",DATE(A2444,MATCH(B2444,{"enero","febrero","marzo","abril","mayo","junio","julio","agosto","septiembre","octubre","noviembre","diciembre"},0)+1,0))</f>
        <v/>
      </c>
      <c r="E2444" t="str">
        <f>+IFERROR(VLOOKUP(Fact_Administrativa[[#This Row], [Concepto Anterior]],Conceptos_Administrativa[#All],5,0),"")</f>
        <v/>
      </c>
      <c r="F2444" t="str">
        <f>+IFERROR(VLOOKUP(Fact_Administrativa[[#This Row], 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ht="18.75" customHeight="1" x14ac:dyDescent="0.35">
      <c r="C2445" s="100" t="str">
        <f>IF(OR(Fact_Administrativa[[#This Row], [Año]]="",Fact_Administrativa[[#This Row], [Mes]]=""),"",DATE(A2445,MATCH(B2445,{"enero","febrero","marzo","abril","mayo","junio","julio","agosto","septiembre","octubre","noviembre","diciembre"},0)+1,0))</f>
        <v/>
      </c>
      <c r="E2445" t="str">
        <f>+IFERROR(VLOOKUP(Fact_Administrativa[[#This Row], [Concepto Anterior]],Conceptos_Administrativa[#All],5,0),"")</f>
        <v/>
      </c>
      <c r="F2445" t="str">
        <f>+IFERROR(VLOOKUP(Fact_Administrativa[[#This Row], 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ht="18.75" customHeight="1" x14ac:dyDescent="0.35">
      <c r="C2446" s="100" t="str">
        <f>IF(OR(Fact_Administrativa[[#This Row], [Año]]="",Fact_Administrativa[[#This Row], [Mes]]=""),"",DATE(A2446,MATCH(B2446,{"enero","febrero","marzo","abril","mayo","junio","julio","agosto","septiembre","octubre","noviembre","diciembre"},0)+1,0))</f>
        <v/>
      </c>
      <c r="E2446" t="str">
        <f>+IFERROR(VLOOKUP(Fact_Administrativa[[#This Row], [Concepto Anterior]],Conceptos_Administrativa[#All],5,0),"")</f>
        <v/>
      </c>
      <c r="F2446" t="str">
        <f>+IFERROR(VLOOKUP(Fact_Administrativa[[#This Row], 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ht="18.75" customHeight="1" x14ac:dyDescent="0.35">
      <c r="C2447" s="100" t="str">
        <f>IF(OR(Fact_Administrativa[[#This Row], [Año]]="",Fact_Administrativa[[#This Row], [Mes]]=""),"",DATE(A2447,MATCH(B2447,{"enero","febrero","marzo","abril","mayo","junio","julio","agosto","septiembre","octubre","noviembre","diciembre"},0)+1,0))</f>
        <v/>
      </c>
      <c r="E2447" t="str">
        <f>+IFERROR(VLOOKUP(Fact_Administrativa[[#This Row], [Concepto Anterior]],Conceptos_Administrativa[#All],5,0),"")</f>
        <v/>
      </c>
      <c r="F2447" t="str">
        <f>+IFERROR(VLOOKUP(Fact_Administrativa[[#This Row], 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ht="18.75" customHeight="1" x14ac:dyDescent="0.35">
      <c r="C2448" s="100" t="str">
        <f>IF(OR(Fact_Administrativa[[#This Row], [Año]]="",Fact_Administrativa[[#This Row], [Mes]]=""),"",DATE(A2448,MATCH(B2448,{"enero","febrero","marzo","abril","mayo","junio","julio","agosto","septiembre","octubre","noviembre","diciembre"},0)+1,0))</f>
        <v/>
      </c>
      <c r="E2448" t="str">
        <f>+IFERROR(VLOOKUP(Fact_Administrativa[[#This Row], [Concepto Anterior]],Conceptos_Administrativa[#All],5,0),"")</f>
        <v/>
      </c>
      <c r="F2448" t="str">
        <f>+IFERROR(VLOOKUP(Fact_Administrativa[[#This Row], 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ht="18.75" customHeight="1" x14ac:dyDescent="0.35">
      <c r="C2449" s="100" t="str">
        <f>IF(OR(Fact_Administrativa[[#This Row], [Año]]="",Fact_Administrativa[[#This Row], [Mes]]=""),"",DATE(A2449,MATCH(B2449,{"enero","febrero","marzo","abril","mayo","junio","julio","agosto","septiembre","octubre","noviembre","diciembre"},0)+1,0))</f>
        <v/>
      </c>
      <c r="E2449" t="str">
        <f>+IFERROR(VLOOKUP(Fact_Administrativa[[#This Row], [Concepto Anterior]],Conceptos_Administrativa[#All],5,0),"")</f>
        <v/>
      </c>
      <c r="F2449" t="str">
        <f>+IFERROR(VLOOKUP(Fact_Administrativa[[#This Row], 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ht="18.75" customHeight="1" x14ac:dyDescent="0.35">
      <c r="C2450" s="100" t="str">
        <f>IF(OR(Fact_Administrativa[[#This Row], [Año]]="",Fact_Administrativa[[#This Row], [Mes]]=""),"",DATE(A2450,MATCH(B2450,{"enero","febrero","marzo","abril","mayo","junio","julio","agosto","septiembre","octubre","noviembre","diciembre"},0)+1,0))</f>
        <v/>
      </c>
      <c r="E2450" t="str">
        <f>+IFERROR(VLOOKUP(Fact_Administrativa[[#This Row], [Concepto Anterior]],Conceptos_Administrativa[#All],5,0),"")</f>
        <v/>
      </c>
      <c r="F2450" t="str">
        <f>+IFERROR(VLOOKUP(Fact_Administrativa[[#This Row], 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ht="18.75" customHeight="1" x14ac:dyDescent="0.35">
      <c r="C2451" s="100" t="str">
        <f>IF(OR(Fact_Administrativa[[#This Row], [Año]]="",Fact_Administrativa[[#This Row], [Mes]]=""),"",DATE(A2451,MATCH(B2451,{"enero","febrero","marzo","abril","mayo","junio","julio","agosto","septiembre","octubre","noviembre","diciembre"},0)+1,0))</f>
        <v/>
      </c>
      <c r="E2451" t="str">
        <f>+IFERROR(VLOOKUP(Fact_Administrativa[[#This Row], [Concepto Anterior]],Conceptos_Administrativa[#All],5,0),"")</f>
        <v/>
      </c>
      <c r="F2451" t="str">
        <f>+IFERROR(VLOOKUP(Fact_Administrativa[[#This Row], 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ht="18.75" customHeight="1" x14ac:dyDescent="0.35">
      <c r="C2452" s="100" t="str">
        <f>IF(OR(Fact_Administrativa[[#This Row], [Año]]="",Fact_Administrativa[[#This Row], [Mes]]=""),"",DATE(A2452,MATCH(B2452,{"enero","febrero","marzo","abril","mayo","junio","julio","agosto","septiembre","octubre","noviembre","diciembre"},0)+1,0))</f>
        <v/>
      </c>
      <c r="E2452" t="str">
        <f>+IFERROR(VLOOKUP(Fact_Administrativa[[#This Row], [Concepto Anterior]],Conceptos_Administrativa[#All],5,0),"")</f>
        <v/>
      </c>
      <c r="F2452" t="str">
        <f>+IFERROR(VLOOKUP(Fact_Administrativa[[#This Row], 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ht="18.75" customHeight="1" x14ac:dyDescent="0.35">
      <c r="C2453" s="100" t="str">
        <f>IF(OR(Fact_Administrativa[[#This Row], [Año]]="",Fact_Administrativa[[#This Row], [Mes]]=""),"",DATE(A2453,MATCH(B2453,{"enero","febrero","marzo","abril","mayo","junio","julio","agosto","septiembre","octubre","noviembre","diciembre"},0)+1,0))</f>
        <v/>
      </c>
      <c r="E2453" t="str">
        <f>+IFERROR(VLOOKUP(Fact_Administrativa[[#This Row], [Concepto Anterior]],Conceptos_Administrativa[#All],5,0),"")</f>
        <v/>
      </c>
      <c r="F2453" t="str">
        <f>+IFERROR(VLOOKUP(Fact_Administrativa[[#This Row], 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ht="18.75" customHeight="1" x14ac:dyDescent="0.35">
      <c r="C2454" s="100" t="str">
        <f>IF(OR(Fact_Administrativa[[#This Row], [Año]]="",Fact_Administrativa[[#This Row], [Mes]]=""),"",DATE(A2454,MATCH(B2454,{"enero","febrero","marzo","abril","mayo","junio","julio","agosto","septiembre","octubre","noviembre","diciembre"},0)+1,0))</f>
        <v/>
      </c>
      <c r="E2454" t="str">
        <f>+IFERROR(VLOOKUP(Fact_Administrativa[[#This Row], [Concepto Anterior]],Conceptos_Administrativa[#All],5,0),"")</f>
        <v/>
      </c>
      <c r="F2454" t="str">
        <f>+IFERROR(VLOOKUP(Fact_Administrativa[[#This Row], 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ht="18.75" customHeight="1" x14ac:dyDescent="0.35">
      <c r="C2455" s="100" t="str">
        <f>IF(OR(Fact_Administrativa[[#This Row], [Año]]="",Fact_Administrativa[[#This Row], [Mes]]=""),"",DATE(A2455,MATCH(B2455,{"enero","febrero","marzo","abril","mayo","junio","julio","agosto","septiembre","octubre","noviembre","diciembre"},0)+1,0))</f>
        <v/>
      </c>
      <c r="E2455" t="str">
        <f>+IFERROR(VLOOKUP(Fact_Administrativa[[#This Row], [Concepto Anterior]],Conceptos_Administrativa[#All],5,0),"")</f>
        <v/>
      </c>
      <c r="F2455" t="str">
        <f>+IFERROR(VLOOKUP(Fact_Administrativa[[#This Row], 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ht="18.75" customHeight="1" x14ac:dyDescent="0.35">
      <c r="C2456" s="100" t="str">
        <f>IF(OR(Fact_Administrativa[[#This Row], [Año]]="",Fact_Administrativa[[#This Row], [Mes]]=""),"",DATE(A2456,MATCH(B2456,{"enero","febrero","marzo","abril","mayo","junio","julio","agosto","septiembre","octubre","noviembre","diciembre"},0)+1,0))</f>
        <v/>
      </c>
      <c r="E2456" t="str">
        <f>+IFERROR(VLOOKUP(Fact_Administrativa[[#This Row], [Concepto Anterior]],Conceptos_Administrativa[#All],5,0),"")</f>
        <v/>
      </c>
      <c r="F2456" t="str">
        <f>+IFERROR(VLOOKUP(Fact_Administrativa[[#This Row], 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ht="18.75" customHeight="1" x14ac:dyDescent="0.35">
      <c r="C2457" s="100" t="str">
        <f>IF(OR(Fact_Administrativa[[#This Row], [Año]]="",Fact_Administrativa[[#This Row], [Mes]]=""),"",DATE(A2457,MATCH(B2457,{"enero","febrero","marzo","abril","mayo","junio","julio","agosto","septiembre","octubre","noviembre","diciembre"},0)+1,0))</f>
        <v/>
      </c>
      <c r="E2457" t="str">
        <f>+IFERROR(VLOOKUP(Fact_Administrativa[[#This Row], [Concepto Anterior]],Conceptos_Administrativa[#All],5,0),"")</f>
        <v/>
      </c>
      <c r="F2457" t="str">
        <f>+IFERROR(VLOOKUP(Fact_Administrativa[[#This Row], 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ht="18.75" customHeight="1" x14ac:dyDescent="0.35">
      <c r="C2458" s="100" t="str">
        <f>IF(OR(Fact_Administrativa[[#This Row], [Año]]="",Fact_Administrativa[[#This Row], [Mes]]=""),"",DATE(A2458,MATCH(B2458,{"enero","febrero","marzo","abril","mayo","junio","julio","agosto","septiembre","octubre","noviembre","diciembre"},0)+1,0))</f>
        <v/>
      </c>
      <c r="E2458" t="str">
        <f>+IFERROR(VLOOKUP(Fact_Administrativa[[#This Row], [Concepto Anterior]],Conceptos_Administrativa[#All],5,0),"")</f>
        <v/>
      </c>
      <c r="F2458" t="str">
        <f>+IFERROR(VLOOKUP(Fact_Administrativa[[#This Row], 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ht="18.75" customHeight="1" x14ac:dyDescent="0.35">
      <c r="C2459" s="100" t="str">
        <f>IF(OR(Fact_Administrativa[[#This Row], [Año]]="",Fact_Administrativa[[#This Row], [Mes]]=""),"",DATE(A2459,MATCH(B2459,{"enero","febrero","marzo","abril","mayo","junio","julio","agosto","septiembre","octubre","noviembre","diciembre"},0)+1,0))</f>
        <v/>
      </c>
      <c r="E2459" t="str">
        <f>+IFERROR(VLOOKUP(Fact_Administrativa[[#This Row], [Concepto Anterior]],Conceptos_Administrativa[#All],5,0),"")</f>
        <v/>
      </c>
      <c r="F2459" t="str">
        <f>+IFERROR(VLOOKUP(Fact_Administrativa[[#This Row], 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ht="18.75" customHeight="1" x14ac:dyDescent="0.35">
      <c r="C2460" s="100" t="str">
        <f>IF(OR(Fact_Administrativa[[#This Row], [Año]]="",Fact_Administrativa[[#This Row], [Mes]]=""),"",DATE(A2460,MATCH(B2460,{"enero","febrero","marzo","abril","mayo","junio","julio","agosto","septiembre","octubre","noviembre","diciembre"},0)+1,0))</f>
        <v/>
      </c>
      <c r="E2460" t="str">
        <f>+IFERROR(VLOOKUP(Fact_Administrativa[[#This Row], [Concepto Anterior]],Conceptos_Administrativa[#All],5,0),"")</f>
        <v/>
      </c>
      <c r="F2460" t="str">
        <f>+IFERROR(VLOOKUP(Fact_Administrativa[[#This Row], 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ht="18.75" customHeight="1" x14ac:dyDescent="0.35">
      <c r="C2461" s="100" t="str">
        <f>IF(OR(Fact_Administrativa[[#This Row], [Año]]="",Fact_Administrativa[[#This Row], [Mes]]=""),"",DATE(A2461,MATCH(B2461,{"enero","febrero","marzo","abril","mayo","junio","julio","agosto","septiembre","octubre","noviembre","diciembre"},0)+1,0))</f>
        <v/>
      </c>
      <c r="E2461" t="str">
        <f>+IFERROR(VLOOKUP(Fact_Administrativa[[#This Row], [Concepto Anterior]],Conceptos_Administrativa[#All],5,0),"")</f>
        <v/>
      </c>
      <c r="F2461" t="str">
        <f>+IFERROR(VLOOKUP(Fact_Administrativa[[#This Row], 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ht="18.75" customHeight="1" x14ac:dyDescent="0.35">
      <c r="C2462" s="100" t="str">
        <f>IF(OR(Fact_Administrativa[[#This Row], [Año]]="",Fact_Administrativa[[#This Row], [Mes]]=""),"",DATE(A2462,MATCH(B2462,{"enero","febrero","marzo","abril","mayo","junio","julio","agosto","septiembre","octubre","noviembre","diciembre"},0)+1,0))</f>
        <v/>
      </c>
      <c r="E2462" t="str">
        <f>+IFERROR(VLOOKUP(Fact_Administrativa[[#This Row], [Concepto Anterior]],Conceptos_Administrativa[#All],5,0),"")</f>
        <v/>
      </c>
      <c r="F2462" t="str">
        <f>+IFERROR(VLOOKUP(Fact_Administrativa[[#This Row], 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ht="18.75" customHeight="1" x14ac:dyDescent="0.35">
      <c r="C2463" s="100" t="str">
        <f>IF(OR(Fact_Administrativa[[#This Row], [Año]]="",Fact_Administrativa[[#This Row], [Mes]]=""),"",DATE(A2463,MATCH(B2463,{"enero","febrero","marzo","abril","mayo","junio","julio","agosto","septiembre","octubre","noviembre","diciembre"},0)+1,0))</f>
        <v/>
      </c>
      <c r="E2463" t="str">
        <f>+IFERROR(VLOOKUP(Fact_Administrativa[[#This Row], [Concepto Anterior]],Conceptos_Administrativa[#All],5,0),"")</f>
        <v/>
      </c>
      <c r="F2463" t="str">
        <f>+IFERROR(VLOOKUP(Fact_Administrativa[[#This Row], 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ht="18.75" customHeight="1" x14ac:dyDescent="0.35">
      <c r="C2464" s="100" t="str">
        <f>IF(OR(Fact_Administrativa[[#This Row], [Año]]="",Fact_Administrativa[[#This Row], [Mes]]=""),"",DATE(A2464,MATCH(B2464,{"enero","febrero","marzo","abril","mayo","junio","julio","agosto","septiembre","octubre","noviembre","diciembre"},0)+1,0))</f>
        <v/>
      </c>
      <c r="E2464" t="str">
        <f>+IFERROR(VLOOKUP(Fact_Administrativa[[#This Row], [Concepto Anterior]],Conceptos_Administrativa[#All],5,0),"")</f>
        <v/>
      </c>
      <c r="F2464" t="str">
        <f>+IFERROR(VLOOKUP(Fact_Administrativa[[#This Row], 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ht="18.75" customHeight="1" x14ac:dyDescent="0.35">
      <c r="C2465" s="100" t="str">
        <f>IF(OR(Fact_Administrativa[[#This Row], [Año]]="",Fact_Administrativa[[#This Row], [Mes]]=""),"",DATE(A2465,MATCH(B2465,{"enero","febrero","marzo","abril","mayo","junio","julio","agosto","septiembre","octubre","noviembre","diciembre"},0)+1,0))</f>
        <v/>
      </c>
      <c r="E2465" t="str">
        <f>+IFERROR(VLOOKUP(Fact_Administrativa[[#This Row], [Concepto Anterior]],Conceptos_Administrativa[#All],5,0),"")</f>
        <v/>
      </c>
      <c r="F2465" t="str">
        <f>+IFERROR(VLOOKUP(Fact_Administrativa[[#This Row], 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ht="18.75" customHeight="1" x14ac:dyDescent="0.35">
      <c r="C2466" s="100" t="str">
        <f>IF(OR(Fact_Administrativa[[#This Row], [Año]]="",Fact_Administrativa[[#This Row], [Mes]]=""),"",DATE(A2466,MATCH(B2466,{"enero","febrero","marzo","abril","mayo","junio","julio","agosto","septiembre","octubre","noviembre","diciembre"},0)+1,0))</f>
        <v/>
      </c>
      <c r="E2466" t="str">
        <f>+IFERROR(VLOOKUP(Fact_Administrativa[[#This Row], [Concepto Anterior]],Conceptos_Administrativa[#All],5,0),"")</f>
        <v/>
      </c>
      <c r="F2466" t="str">
        <f>+IFERROR(VLOOKUP(Fact_Administrativa[[#This Row], 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ht="18.75" customHeight="1" x14ac:dyDescent="0.35">
      <c r="C2467" s="100" t="str">
        <f>IF(OR(Fact_Administrativa[[#This Row], [Año]]="",Fact_Administrativa[[#This Row], [Mes]]=""),"",DATE(A2467,MATCH(B2467,{"enero","febrero","marzo","abril","mayo","junio","julio","agosto","septiembre","octubre","noviembre","diciembre"},0)+1,0))</f>
        <v/>
      </c>
      <c r="E2467" t="str">
        <f>+IFERROR(VLOOKUP(Fact_Administrativa[[#This Row], [Concepto Anterior]],Conceptos_Administrativa[#All],5,0),"")</f>
        <v/>
      </c>
      <c r="F2467" t="str">
        <f>+IFERROR(VLOOKUP(Fact_Administrativa[[#This Row], 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ht="18.75" customHeight="1" x14ac:dyDescent="0.35">
      <c r="C2468" s="100" t="str">
        <f>IF(OR(Fact_Administrativa[[#This Row], [Año]]="",Fact_Administrativa[[#This Row], [Mes]]=""),"",DATE(A2468,MATCH(B2468,{"enero","febrero","marzo","abril","mayo","junio","julio","agosto","septiembre","octubre","noviembre","diciembre"},0)+1,0))</f>
        <v/>
      </c>
      <c r="E2468" t="str">
        <f>+IFERROR(VLOOKUP(Fact_Administrativa[[#This Row], [Concepto Anterior]],Conceptos_Administrativa[#All],5,0),"")</f>
        <v/>
      </c>
      <c r="F2468" t="str">
        <f>+IFERROR(VLOOKUP(Fact_Administrativa[[#This Row], 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ht="18.75" customHeight="1" x14ac:dyDescent="0.35">
      <c r="C2469" s="100" t="str">
        <f>IF(OR(Fact_Administrativa[[#This Row], [Año]]="",Fact_Administrativa[[#This Row], [Mes]]=""),"",DATE(A2469,MATCH(B2469,{"enero","febrero","marzo","abril","mayo","junio","julio","agosto","septiembre","octubre","noviembre","diciembre"},0)+1,0))</f>
        <v/>
      </c>
      <c r="E2469" t="str">
        <f>+IFERROR(VLOOKUP(Fact_Administrativa[[#This Row], [Concepto Anterior]],Conceptos_Administrativa[#All],5,0),"")</f>
        <v/>
      </c>
      <c r="F2469" t="str">
        <f>+IFERROR(VLOOKUP(Fact_Administrativa[[#This Row], 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ht="18.75" customHeight="1" x14ac:dyDescent="0.35">
      <c r="C2470" s="100" t="str">
        <f>IF(OR(Fact_Administrativa[[#This Row], [Año]]="",Fact_Administrativa[[#This Row], [Mes]]=""),"",DATE(A2470,MATCH(B2470,{"enero","febrero","marzo","abril","mayo","junio","julio","agosto","septiembre","octubre","noviembre","diciembre"},0)+1,0))</f>
        <v/>
      </c>
      <c r="E2470" t="str">
        <f>+IFERROR(VLOOKUP(Fact_Administrativa[[#This Row], [Concepto Anterior]],Conceptos_Administrativa[#All],5,0),"")</f>
        <v/>
      </c>
      <c r="F2470" t="str">
        <f>+IFERROR(VLOOKUP(Fact_Administrativa[[#This Row], 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ht="18.75" customHeight="1" x14ac:dyDescent="0.35">
      <c r="C2471" s="100" t="str">
        <f>IF(OR(Fact_Administrativa[[#This Row], [Año]]="",Fact_Administrativa[[#This Row], [Mes]]=""),"",DATE(A2471,MATCH(B2471,{"enero","febrero","marzo","abril","mayo","junio","julio","agosto","septiembre","octubre","noviembre","diciembre"},0)+1,0))</f>
        <v/>
      </c>
      <c r="E2471" t="str">
        <f>+IFERROR(VLOOKUP(Fact_Administrativa[[#This Row], [Concepto Anterior]],Conceptos_Administrativa[#All],5,0),"")</f>
        <v/>
      </c>
      <c r="F2471" t="str">
        <f>+IFERROR(VLOOKUP(Fact_Administrativa[[#This Row], 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ht="18.75" customHeight="1" x14ac:dyDescent="0.35">
      <c r="C2472" s="100" t="str">
        <f>IF(OR(Fact_Administrativa[[#This Row], [Año]]="",Fact_Administrativa[[#This Row], [Mes]]=""),"",DATE(A2472,MATCH(B2472,{"enero","febrero","marzo","abril","mayo","junio","julio","agosto","septiembre","octubre","noviembre","diciembre"},0)+1,0))</f>
        <v/>
      </c>
      <c r="E2472" t="str">
        <f>+IFERROR(VLOOKUP(Fact_Administrativa[[#This Row], [Concepto Anterior]],Conceptos_Administrativa[#All],5,0),"")</f>
        <v/>
      </c>
      <c r="F2472" t="str">
        <f>+IFERROR(VLOOKUP(Fact_Administrativa[[#This Row], 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ht="18.75" customHeight="1" x14ac:dyDescent="0.35">
      <c r="C2473" s="100" t="str">
        <f>IF(OR(Fact_Administrativa[[#This Row], [Año]]="",Fact_Administrativa[[#This Row], [Mes]]=""),"",DATE(A2473,MATCH(B2473,{"enero","febrero","marzo","abril","mayo","junio","julio","agosto","septiembre","octubre","noviembre","diciembre"},0)+1,0))</f>
        <v/>
      </c>
      <c r="E2473" t="str">
        <f>+IFERROR(VLOOKUP(Fact_Administrativa[[#This Row], [Concepto Anterior]],Conceptos_Administrativa[#All],5,0),"")</f>
        <v/>
      </c>
      <c r="F2473" t="str">
        <f>+IFERROR(VLOOKUP(Fact_Administrativa[[#This Row], 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ht="18.75" customHeight="1" x14ac:dyDescent="0.35">
      <c r="C2474" s="100" t="str">
        <f>IF(OR(Fact_Administrativa[[#This Row], [Año]]="",Fact_Administrativa[[#This Row], [Mes]]=""),"",DATE(A2474,MATCH(B2474,{"enero","febrero","marzo","abril","mayo","junio","julio","agosto","septiembre","octubre","noviembre","diciembre"},0)+1,0))</f>
        <v/>
      </c>
      <c r="E2474" t="str">
        <f>+IFERROR(VLOOKUP(Fact_Administrativa[[#This Row], [Concepto Anterior]],Conceptos_Administrativa[#All],5,0),"")</f>
        <v/>
      </c>
      <c r="F2474" t="str">
        <f>+IFERROR(VLOOKUP(Fact_Administrativa[[#This Row], 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ht="18.75" customHeight="1" x14ac:dyDescent="0.35">
      <c r="C2475" s="100" t="str">
        <f>IF(OR(Fact_Administrativa[[#This Row], [Año]]="",Fact_Administrativa[[#This Row], [Mes]]=""),"",DATE(A2475,MATCH(B2475,{"enero","febrero","marzo","abril","mayo","junio","julio","agosto","septiembre","octubre","noviembre","diciembre"},0)+1,0))</f>
        <v/>
      </c>
      <c r="E2475" t="str">
        <f>+IFERROR(VLOOKUP(Fact_Administrativa[[#This Row], [Concepto Anterior]],Conceptos_Administrativa[#All],5,0),"")</f>
        <v/>
      </c>
      <c r="F2475" t="str">
        <f>+IFERROR(VLOOKUP(Fact_Administrativa[[#This Row], 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ht="18.75" customHeight="1" x14ac:dyDescent="0.35">
      <c r="C2476" s="100" t="str">
        <f>IF(OR(Fact_Administrativa[[#This Row], [Año]]="",Fact_Administrativa[[#This Row], [Mes]]=""),"",DATE(A2476,MATCH(B2476,{"enero","febrero","marzo","abril","mayo","junio","julio","agosto","septiembre","octubre","noviembre","diciembre"},0)+1,0))</f>
        <v/>
      </c>
      <c r="E2476" t="str">
        <f>+IFERROR(VLOOKUP(Fact_Administrativa[[#This Row], [Concepto Anterior]],Conceptos_Administrativa[#All],5,0),"")</f>
        <v/>
      </c>
      <c r="F2476" t="str">
        <f>+IFERROR(VLOOKUP(Fact_Administrativa[[#This Row], 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ht="18.75" customHeight="1" x14ac:dyDescent="0.35">
      <c r="C2477" s="100" t="str">
        <f>IF(OR(Fact_Administrativa[[#This Row], [Año]]="",Fact_Administrativa[[#This Row], [Mes]]=""),"",DATE(A2477,MATCH(B2477,{"enero","febrero","marzo","abril","mayo","junio","julio","agosto","septiembre","octubre","noviembre","diciembre"},0)+1,0))</f>
        <v/>
      </c>
      <c r="E2477" t="str">
        <f>+IFERROR(VLOOKUP(Fact_Administrativa[[#This Row], [Concepto Anterior]],Conceptos_Administrativa[#All],5,0),"")</f>
        <v/>
      </c>
      <c r="F2477" t="str">
        <f>+IFERROR(VLOOKUP(Fact_Administrativa[[#This Row], 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ht="18.75" customHeight="1" x14ac:dyDescent="0.35">
      <c r="C2478" s="100" t="str">
        <f>IF(OR(Fact_Administrativa[[#This Row], [Año]]="",Fact_Administrativa[[#This Row], [Mes]]=""),"",DATE(A2478,MATCH(B2478,{"enero","febrero","marzo","abril","mayo","junio","julio","agosto","septiembre","octubre","noviembre","diciembre"},0)+1,0))</f>
        <v/>
      </c>
      <c r="E2478" t="str">
        <f>+IFERROR(VLOOKUP(Fact_Administrativa[[#This Row], [Concepto Anterior]],Conceptos_Administrativa[#All],5,0),"")</f>
        <v/>
      </c>
      <c r="F2478" t="str">
        <f>+IFERROR(VLOOKUP(Fact_Administrativa[[#This Row], 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ht="18.75" customHeight="1" x14ac:dyDescent="0.35">
      <c r="C2479" s="100" t="str">
        <f>IF(OR(Fact_Administrativa[[#This Row], [Año]]="",Fact_Administrativa[[#This Row], [Mes]]=""),"",DATE(A2479,MATCH(B2479,{"enero","febrero","marzo","abril","mayo","junio","julio","agosto","septiembre","octubre","noviembre","diciembre"},0)+1,0))</f>
        <v/>
      </c>
      <c r="E2479" t="str">
        <f>+IFERROR(VLOOKUP(Fact_Administrativa[[#This Row], [Concepto Anterior]],Conceptos_Administrativa[#All],5,0),"")</f>
        <v/>
      </c>
      <c r="F2479" t="str">
        <f>+IFERROR(VLOOKUP(Fact_Administrativa[[#This Row], 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ht="18.75" customHeight="1" x14ac:dyDescent="0.35">
      <c r="C2480" s="100" t="str">
        <f>IF(OR(Fact_Administrativa[[#This Row], [Año]]="",Fact_Administrativa[[#This Row], [Mes]]=""),"",DATE(A2480,MATCH(B2480,{"enero","febrero","marzo","abril","mayo","junio","julio","agosto","septiembre","octubre","noviembre","diciembre"},0)+1,0))</f>
        <v/>
      </c>
      <c r="E2480" t="str">
        <f>+IFERROR(VLOOKUP(Fact_Administrativa[[#This Row], [Concepto Anterior]],Conceptos_Administrativa[#All],5,0),"")</f>
        <v/>
      </c>
      <c r="F2480" t="str">
        <f>+IFERROR(VLOOKUP(Fact_Administrativa[[#This Row], 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ht="18.75" customHeight="1" x14ac:dyDescent="0.35">
      <c r="C2481" s="100" t="str">
        <f>IF(OR(Fact_Administrativa[[#This Row], [Año]]="",Fact_Administrativa[[#This Row], [Mes]]=""),"",DATE(A2481,MATCH(B2481,{"enero","febrero","marzo","abril","mayo","junio","julio","agosto","septiembre","octubre","noviembre","diciembre"},0)+1,0))</f>
        <v/>
      </c>
      <c r="E2481" t="str">
        <f>+IFERROR(VLOOKUP(Fact_Administrativa[[#This Row], [Concepto Anterior]],Conceptos_Administrativa[#All],5,0),"")</f>
        <v/>
      </c>
      <c r="F2481" t="str">
        <f>+IFERROR(VLOOKUP(Fact_Administrativa[[#This Row], 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ht="18.75" customHeight="1" x14ac:dyDescent="0.35">
      <c r="C2482" s="100" t="str">
        <f>IF(OR(Fact_Administrativa[[#This Row], [Año]]="",Fact_Administrativa[[#This Row], [Mes]]=""),"",DATE(A2482,MATCH(B2482,{"enero","febrero","marzo","abril","mayo","junio","julio","agosto","septiembre","octubre","noviembre","diciembre"},0)+1,0))</f>
        <v/>
      </c>
      <c r="E2482" t="str">
        <f>+IFERROR(VLOOKUP(Fact_Administrativa[[#This Row], [Concepto Anterior]],Conceptos_Administrativa[#All],5,0),"")</f>
        <v/>
      </c>
      <c r="F2482" t="str">
        <f>+IFERROR(VLOOKUP(Fact_Administrativa[[#This Row], 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ht="18.75" customHeight="1" x14ac:dyDescent="0.35">
      <c r="C2483" s="100" t="str">
        <f>IF(OR(Fact_Administrativa[[#This Row], [Año]]="",Fact_Administrativa[[#This Row], [Mes]]=""),"",DATE(A2483,MATCH(B2483,{"enero","febrero","marzo","abril","mayo","junio","julio","agosto","septiembre","octubre","noviembre","diciembre"},0)+1,0))</f>
        <v/>
      </c>
      <c r="E2483" t="str">
        <f>+IFERROR(VLOOKUP(Fact_Administrativa[[#This Row], [Concepto Anterior]],Conceptos_Administrativa[#All],5,0),"")</f>
        <v/>
      </c>
      <c r="F2483" t="str">
        <f>+IFERROR(VLOOKUP(Fact_Administrativa[[#This Row], 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ht="18.75" customHeight="1" x14ac:dyDescent="0.35">
      <c r="C2484" s="100" t="str">
        <f>IF(OR(Fact_Administrativa[[#This Row], [Año]]="",Fact_Administrativa[[#This Row], [Mes]]=""),"",DATE(A2484,MATCH(B2484,{"enero","febrero","marzo","abril","mayo","junio","julio","agosto","septiembre","octubre","noviembre","diciembre"},0)+1,0))</f>
        <v/>
      </c>
      <c r="E2484" t="str">
        <f>+IFERROR(VLOOKUP(Fact_Administrativa[[#This Row], [Concepto Anterior]],Conceptos_Administrativa[#All],5,0),"")</f>
        <v/>
      </c>
      <c r="F2484" t="str">
        <f>+IFERROR(VLOOKUP(Fact_Administrativa[[#This Row], 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ht="18.75" customHeight="1" x14ac:dyDescent="0.35">
      <c r="C2485" s="100" t="str">
        <f>IF(OR(Fact_Administrativa[[#This Row], [Año]]="",Fact_Administrativa[[#This Row], [Mes]]=""),"",DATE(A2485,MATCH(B2485,{"enero","febrero","marzo","abril","mayo","junio","julio","agosto","septiembre","octubre","noviembre","diciembre"},0)+1,0))</f>
        <v/>
      </c>
      <c r="E2485" t="str">
        <f>+IFERROR(VLOOKUP(Fact_Administrativa[[#This Row], [Concepto Anterior]],Conceptos_Administrativa[#All],5,0),"")</f>
        <v/>
      </c>
      <c r="F2485" t="str">
        <f>+IFERROR(VLOOKUP(Fact_Administrativa[[#This Row], 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ht="18.75" customHeight="1" x14ac:dyDescent="0.35">
      <c r="C2486" s="100" t="str">
        <f>IF(OR(Fact_Administrativa[[#This Row], [Año]]="",Fact_Administrativa[[#This Row], [Mes]]=""),"",DATE(A2486,MATCH(B2486,{"enero","febrero","marzo","abril","mayo","junio","julio","agosto","septiembre","octubre","noviembre","diciembre"},0)+1,0))</f>
        <v/>
      </c>
      <c r="E2486" t="str">
        <f>+IFERROR(VLOOKUP(Fact_Administrativa[[#This Row], [Concepto Anterior]],Conceptos_Administrativa[#All],5,0),"")</f>
        <v/>
      </c>
      <c r="F2486" t="str">
        <f>+IFERROR(VLOOKUP(Fact_Administrativa[[#This Row], 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ht="18.75" customHeight="1" x14ac:dyDescent="0.35">
      <c r="C2487" s="100" t="str">
        <f>IF(OR(Fact_Administrativa[[#This Row], [Año]]="",Fact_Administrativa[[#This Row], [Mes]]=""),"",DATE(A2487,MATCH(B2487,{"enero","febrero","marzo","abril","mayo","junio","julio","agosto","septiembre","octubre","noviembre","diciembre"},0)+1,0))</f>
        <v/>
      </c>
      <c r="E2487" t="str">
        <f>+IFERROR(VLOOKUP(Fact_Administrativa[[#This Row], [Concepto Anterior]],Conceptos_Administrativa[#All],5,0),"")</f>
        <v/>
      </c>
      <c r="F2487" t="str">
        <f>+IFERROR(VLOOKUP(Fact_Administrativa[[#This Row], 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ht="18.75" customHeight="1" x14ac:dyDescent="0.35">
      <c r="C2488" s="100" t="str">
        <f>IF(OR(Fact_Administrativa[[#This Row], [Año]]="",Fact_Administrativa[[#This Row], [Mes]]=""),"",DATE(A2488,MATCH(B2488,{"enero","febrero","marzo","abril","mayo","junio","julio","agosto","septiembre","octubre","noviembre","diciembre"},0)+1,0))</f>
        <v/>
      </c>
      <c r="E2488" t="str">
        <f>+IFERROR(VLOOKUP(Fact_Administrativa[[#This Row], [Concepto Anterior]],Conceptos_Administrativa[#All],5,0),"")</f>
        <v/>
      </c>
      <c r="F2488" t="str">
        <f>+IFERROR(VLOOKUP(Fact_Administrativa[[#This Row], 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ht="18.75" customHeight="1" x14ac:dyDescent="0.35">
      <c r="C2489" s="100" t="str">
        <f>IF(OR(Fact_Administrativa[[#This Row], [Año]]="",Fact_Administrativa[[#This Row], [Mes]]=""),"",DATE(A2489,MATCH(B2489,{"enero","febrero","marzo","abril","mayo","junio","julio","agosto","septiembre","octubre","noviembre","diciembre"},0)+1,0))</f>
        <v/>
      </c>
      <c r="E2489" t="str">
        <f>+IFERROR(VLOOKUP(Fact_Administrativa[[#This Row], [Concepto Anterior]],Conceptos_Administrativa[#All],5,0),"")</f>
        <v/>
      </c>
      <c r="F2489" t="str">
        <f>+IFERROR(VLOOKUP(Fact_Administrativa[[#This Row], 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ht="18.75" customHeight="1" x14ac:dyDescent="0.35">
      <c r="C2490" s="100" t="str">
        <f>IF(OR(Fact_Administrativa[[#This Row], [Año]]="",Fact_Administrativa[[#This Row], [Mes]]=""),"",DATE(A2490,MATCH(B2490,{"enero","febrero","marzo","abril","mayo","junio","julio","agosto","septiembre","octubre","noviembre","diciembre"},0)+1,0))</f>
        <v/>
      </c>
      <c r="E2490" t="str">
        <f>+IFERROR(VLOOKUP(Fact_Administrativa[[#This Row], [Concepto Anterior]],Conceptos_Administrativa[#All],5,0),"")</f>
        <v/>
      </c>
      <c r="F2490" t="str">
        <f>+IFERROR(VLOOKUP(Fact_Administrativa[[#This Row], 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ht="18.75" customHeight="1" x14ac:dyDescent="0.35">
      <c r="C2491" s="100" t="str">
        <f>IF(OR(Fact_Administrativa[[#This Row], [Año]]="",Fact_Administrativa[[#This Row], [Mes]]=""),"",DATE(A2491,MATCH(B2491,{"enero","febrero","marzo","abril","mayo","junio","julio","agosto","septiembre","octubre","noviembre","diciembre"},0)+1,0))</f>
        <v/>
      </c>
      <c r="E2491" t="str">
        <f>+IFERROR(VLOOKUP(Fact_Administrativa[[#This Row], [Concepto Anterior]],Conceptos_Administrativa[#All],5,0),"")</f>
        <v/>
      </c>
      <c r="F2491" t="str">
        <f>+IFERROR(VLOOKUP(Fact_Administrativa[[#This Row], 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ht="18.75" customHeight="1" x14ac:dyDescent="0.35">
      <c r="C2492" s="100" t="str">
        <f>IF(OR(Fact_Administrativa[[#This Row], [Año]]="",Fact_Administrativa[[#This Row], [Mes]]=""),"",DATE(A2492,MATCH(B2492,{"enero","febrero","marzo","abril","mayo","junio","julio","agosto","septiembre","octubre","noviembre","diciembre"},0)+1,0))</f>
        <v/>
      </c>
      <c r="E2492" t="str">
        <f>+IFERROR(VLOOKUP(Fact_Administrativa[[#This Row], [Concepto Anterior]],Conceptos_Administrativa[#All],5,0),"")</f>
        <v/>
      </c>
      <c r="F2492" t="str">
        <f>+IFERROR(VLOOKUP(Fact_Administrativa[[#This Row], 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ht="18.75" customHeight="1" x14ac:dyDescent="0.35">
      <c r="C2493" s="100" t="str">
        <f>IF(OR(Fact_Administrativa[[#This Row], [Año]]="",Fact_Administrativa[[#This Row], [Mes]]=""),"",DATE(A2493,MATCH(B2493,{"enero","febrero","marzo","abril","mayo","junio","julio","agosto","septiembre","octubre","noviembre","diciembre"},0)+1,0))</f>
        <v/>
      </c>
      <c r="E2493" t="str">
        <f>+IFERROR(VLOOKUP(Fact_Administrativa[[#This Row], [Concepto Anterior]],Conceptos_Administrativa[#All],5,0),"")</f>
        <v/>
      </c>
      <c r="F2493" t="str">
        <f>+IFERROR(VLOOKUP(Fact_Administrativa[[#This Row], 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ht="18.75" customHeight="1" x14ac:dyDescent="0.35">
      <c r="C2494" s="100" t="str">
        <f>IF(OR(Fact_Administrativa[[#This Row], [Año]]="",Fact_Administrativa[[#This Row], [Mes]]=""),"",DATE(A2494,MATCH(B2494,{"enero","febrero","marzo","abril","mayo","junio","julio","agosto","septiembre","octubre","noviembre","diciembre"},0)+1,0))</f>
        <v/>
      </c>
      <c r="E2494" t="str">
        <f>+IFERROR(VLOOKUP(Fact_Administrativa[[#This Row], [Concepto Anterior]],Conceptos_Administrativa[#All],5,0),"")</f>
        <v/>
      </c>
      <c r="F2494" t="str">
        <f>+IFERROR(VLOOKUP(Fact_Administrativa[[#This Row], 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ht="18.75" customHeight="1" x14ac:dyDescent="0.35">
      <c r="C2495" s="100" t="str">
        <f>IF(OR(Fact_Administrativa[[#This Row], [Año]]="",Fact_Administrativa[[#This Row], [Mes]]=""),"",DATE(A2495,MATCH(B2495,{"enero","febrero","marzo","abril","mayo","junio","julio","agosto","septiembre","octubre","noviembre","diciembre"},0)+1,0))</f>
        <v/>
      </c>
      <c r="E2495" t="str">
        <f>+IFERROR(VLOOKUP(Fact_Administrativa[[#This Row], [Concepto Anterior]],Conceptos_Administrativa[#All],5,0),"")</f>
        <v/>
      </c>
      <c r="F2495" t="str">
        <f>+IFERROR(VLOOKUP(Fact_Administrativa[[#This Row], 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ht="18.75" customHeight="1" x14ac:dyDescent="0.35">
      <c r="C2496" s="100" t="str">
        <f>IF(OR(Fact_Administrativa[[#This Row], [Año]]="",Fact_Administrativa[[#This Row], [Mes]]=""),"",DATE(A2496,MATCH(B2496,{"enero","febrero","marzo","abril","mayo","junio","julio","agosto","septiembre","octubre","noviembre","diciembre"},0)+1,0))</f>
        <v/>
      </c>
      <c r="E2496" t="str">
        <f>+IFERROR(VLOOKUP(Fact_Administrativa[[#This Row], [Concepto Anterior]],Conceptos_Administrativa[#All],5,0),"")</f>
        <v/>
      </c>
      <c r="F2496" t="str">
        <f>+IFERROR(VLOOKUP(Fact_Administrativa[[#This Row], 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ht="18.75" customHeight="1" x14ac:dyDescent="0.35">
      <c r="C2497" s="100" t="str">
        <f>IF(OR(Fact_Administrativa[[#This Row], [Año]]="",Fact_Administrativa[[#This Row], [Mes]]=""),"",DATE(A2497,MATCH(B2497,{"enero","febrero","marzo","abril","mayo","junio","julio","agosto","septiembre","octubre","noviembre","diciembre"},0)+1,0))</f>
        <v/>
      </c>
      <c r="E2497" t="str">
        <f>+IFERROR(VLOOKUP(Fact_Administrativa[[#This Row], [Concepto Anterior]],Conceptos_Administrativa[#All],5,0),"")</f>
        <v/>
      </c>
      <c r="F2497" t="str">
        <f>+IFERROR(VLOOKUP(Fact_Administrativa[[#This Row], 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ht="18.75" customHeight="1" x14ac:dyDescent="0.35">
      <c r="C2498" s="100" t="str">
        <f>IF(OR(Fact_Administrativa[[#This Row], [Año]]="",Fact_Administrativa[[#This Row], [Mes]]=""),"",DATE(A2498,MATCH(B2498,{"enero","febrero","marzo","abril","mayo","junio","julio","agosto","septiembre","octubre","noviembre","diciembre"},0)+1,0))</f>
        <v/>
      </c>
      <c r="E2498" t="str">
        <f>+IFERROR(VLOOKUP(Fact_Administrativa[[#This Row], [Concepto Anterior]],Conceptos_Administrativa[#All],5,0),"")</f>
        <v/>
      </c>
      <c r="F2498" t="str">
        <f>+IFERROR(VLOOKUP(Fact_Administrativa[[#This Row], 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ht="18.75" customHeight="1" x14ac:dyDescent="0.35">
      <c r="C2499" s="100" t="str">
        <f>IF(OR(Fact_Administrativa[[#This Row], [Año]]="",Fact_Administrativa[[#This Row], [Mes]]=""),"",DATE(A2499,MATCH(B2499,{"enero","febrero","marzo","abril","mayo","junio","julio","agosto","septiembre","octubre","noviembre","diciembre"},0)+1,0))</f>
        <v/>
      </c>
      <c r="E2499" t="str">
        <f>+IFERROR(VLOOKUP(Fact_Administrativa[[#This Row], [Concepto Anterior]],Conceptos_Administrativa[#All],5,0),"")</f>
        <v/>
      </c>
      <c r="F2499" t="str">
        <f>+IFERROR(VLOOKUP(Fact_Administrativa[[#This Row], 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ht="18.75" customHeight="1" x14ac:dyDescent="0.35">
      <c r="C2500" s="100" t="str">
        <f>IF(OR(Fact_Administrativa[[#This Row], [Año]]="",Fact_Administrativa[[#This Row], [Mes]]=""),"",DATE(A2500,MATCH(B2500,{"enero","febrero","marzo","abril","mayo","junio","julio","agosto","septiembre","octubre","noviembre","diciembre"},0)+1,0))</f>
        <v/>
      </c>
      <c r="E2500" t="str">
        <f>+IFERROR(VLOOKUP(Fact_Administrativa[[#This Row], [Concepto Anterior]],Conceptos_Administrativa[#All],5,0),"")</f>
        <v/>
      </c>
      <c r="F2500" t="str">
        <f>+IFERROR(VLOOKUP(Fact_Administrativa[[#This Row], 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ht="18.75" customHeight="1" x14ac:dyDescent="0.35">
      <c r="C2501" s="100" t="str">
        <f>IF(OR(Fact_Administrativa[[#This Row], [Año]]="",Fact_Administrativa[[#This Row], [Mes]]=""),"",DATE(A2501,MATCH(B2501,{"enero","febrero","marzo","abril","mayo","junio","julio","agosto","septiembre","octubre","noviembre","diciembre"},0)+1,0))</f>
        <v/>
      </c>
      <c r="E2501" t="str">
        <f>+IFERROR(VLOOKUP(Fact_Administrativa[[#This Row], [Concepto Anterior]],Conceptos_Administrativa[#All],5,0),"")</f>
        <v/>
      </c>
      <c r="F2501" t="str">
        <f>+IFERROR(VLOOKUP(Fact_Administrativa[[#This Row], 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ht="18.75" customHeight="1" x14ac:dyDescent="0.35">
      <c r="C2502" s="100" t="str">
        <f>IF(OR(Fact_Administrativa[[#This Row], [Año]]="",Fact_Administrativa[[#This Row], [Mes]]=""),"",DATE(A2502,MATCH(B2502,{"enero","febrero","marzo","abril","mayo","junio","julio","agosto","septiembre","octubre","noviembre","diciembre"},0)+1,0))</f>
        <v/>
      </c>
      <c r="E2502" t="str">
        <f>+IFERROR(VLOOKUP(Fact_Administrativa[[#This Row], [Concepto Anterior]],Conceptos_Administrativa[#All],5,0),"")</f>
        <v/>
      </c>
      <c r="F2502" t="str">
        <f>+IFERROR(VLOOKUP(Fact_Administrativa[[#This Row], 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ht="18.75" customHeight="1" x14ac:dyDescent="0.35">
      <c r="C2503" s="100" t="str">
        <f>IF(OR(Fact_Administrativa[[#This Row], [Año]]="",Fact_Administrativa[[#This Row], [Mes]]=""),"",DATE(A2503,MATCH(B2503,{"enero","febrero","marzo","abril","mayo","junio","julio","agosto","septiembre","octubre","noviembre","diciembre"},0)+1,0))</f>
        <v/>
      </c>
      <c r="E2503" t="str">
        <f>+IFERROR(VLOOKUP(Fact_Administrativa[[#This Row], [Concepto Anterior]],Conceptos_Administrativa[#All],5,0),"")</f>
        <v/>
      </c>
      <c r="F2503" t="str">
        <f>+IFERROR(VLOOKUP(Fact_Administrativa[[#This Row], 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ht="18.75" customHeight="1" x14ac:dyDescent="0.35">
      <c r="C2504" s="100" t="str">
        <f>IF(OR(Fact_Administrativa[[#This Row], [Año]]="",Fact_Administrativa[[#This Row], [Mes]]=""),"",DATE(A2504,MATCH(B2504,{"enero","febrero","marzo","abril","mayo","junio","julio","agosto","septiembre","octubre","noviembre","diciembre"},0)+1,0))</f>
        <v/>
      </c>
      <c r="E2504" t="str">
        <f>+IFERROR(VLOOKUP(Fact_Administrativa[[#This Row], [Concepto Anterior]],Conceptos_Administrativa[#All],5,0),"")</f>
        <v/>
      </c>
      <c r="F2504" t="str">
        <f>+IFERROR(VLOOKUP(Fact_Administrativa[[#This Row], 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ht="18.75" customHeight="1" x14ac:dyDescent="0.35">
      <c r="C2505" s="100" t="str">
        <f>IF(OR(Fact_Administrativa[[#This Row], [Año]]="",Fact_Administrativa[[#This Row], [Mes]]=""),"",DATE(A2505,MATCH(B2505,{"enero","febrero","marzo","abril","mayo","junio","julio","agosto","septiembre","octubre","noviembre","diciembre"},0)+1,0))</f>
        <v/>
      </c>
      <c r="E2505" t="str">
        <f>+IFERROR(VLOOKUP(Fact_Administrativa[[#This Row], [Concepto Anterior]],Conceptos_Administrativa[#All],5,0),"")</f>
        <v/>
      </c>
      <c r="F2505" t="str">
        <f>+IFERROR(VLOOKUP(Fact_Administrativa[[#This Row], 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ht="18.75" customHeight="1" x14ac:dyDescent="0.35">
      <c r="C2506" s="100" t="str">
        <f>IF(OR(Fact_Administrativa[[#This Row], [Año]]="",Fact_Administrativa[[#This Row], [Mes]]=""),"",DATE(A2506,MATCH(B2506,{"enero","febrero","marzo","abril","mayo","junio","julio","agosto","septiembre","octubre","noviembre","diciembre"},0)+1,0))</f>
        <v/>
      </c>
      <c r="E2506" t="str">
        <f>+IFERROR(VLOOKUP(Fact_Administrativa[[#This Row], [Concepto Anterior]],Conceptos_Administrativa[#All],5,0),"")</f>
        <v/>
      </c>
      <c r="F2506" t="str">
        <f>+IFERROR(VLOOKUP(Fact_Administrativa[[#This Row], 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ht="18.75" customHeight="1" x14ac:dyDescent="0.35">
      <c r="C2507" s="100" t="str">
        <f>IF(OR(Fact_Administrativa[[#This Row], [Año]]="",Fact_Administrativa[[#This Row], [Mes]]=""),"",DATE(A2507,MATCH(B2507,{"enero","febrero","marzo","abril","mayo","junio","julio","agosto","septiembre","octubre","noviembre","diciembre"},0)+1,0))</f>
        <v/>
      </c>
      <c r="E2507" t="str">
        <f>+IFERROR(VLOOKUP(Fact_Administrativa[[#This Row], [Concepto Anterior]],Conceptos_Administrativa[#All],5,0),"")</f>
        <v/>
      </c>
      <c r="F2507" t="str">
        <f>+IFERROR(VLOOKUP(Fact_Administrativa[[#This Row], 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ht="18.75" customHeight="1" x14ac:dyDescent="0.35">
      <c r="C2508" s="100" t="str">
        <f>IF(OR(Fact_Administrativa[[#This Row], [Año]]="",Fact_Administrativa[[#This Row], [Mes]]=""),"",DATE(A2508,MATCH(B2508,{"enero","febrero","marzo","abril","mayo","junio","julio","agosto","septiembre","octubre","noviembre","diciembre"},0)+1,0))</f>
        <v/>
      </c>
      <c r="E2508" t="str">
        <f>+IFERROR(VLOOKUP(Fact_Administrativa[[#This Row], [Concepto Anterior]],Conceptos_Administrativa[#All],5,0),"")</f>
        <v/>
      </c>
      <c r="F2508" t="str">
        <f>+IFERROR(VLOOKUP(Fact_Administrativa[[#This Row], 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ht="18.75" customHeight="1" x14ac:dyDescent="0.35">
      <c r="C2509" s="100" t="str">
        <f>IF(OR(Fact_Administrativa[[#This Row], [Año]]="",Fact_Administrativa[[#This Row], [Mes]]=""),"",DATE(A2509,MATCH(B2509,{"enero","febrero","marzo","abril","mayo","junio","julio","agosto","septiembre","octubre","noviembre","diciembre"},0)+1,0))</f>
        <v/>
      </c>
      <c r="E2509" t="str">
        <f>+IFERROR(VLOOKUP(Fact_Administrativa[[#This Row], [Concepto Anterior]],Conceptos_Administrativa[#All],5,0),"")</f>
        <v/>
      </c>
      <c r="F2509" t="str">
        <f>+IFERROR(VLOOKUP(Fact_Administrativa[[#This Row], 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ht="18.75" customHeight="1" x14ac:dyDescent="0.35">
      <c r="C2510" s="100" t="str">
        <f>IF(OR(Fact_Administrativa[[#This Row], [Año]]="",Fact_Administrativa[[#This Row], [Mes]]=""),"",DATE(A2510,MATCH(B2510,{"enero","febrero","marzo","abril","mayo","junio","julio","agosto","septiembre","octubre","noviembre","diciembre"},0)+1,0))</f>
        <v/>
      </c>
      <c r="E2510" t="str">
        <f>+IFERROR(VLOOKUP(Fact_Administrativa[[#This Row], [Concepto Anterior]],Conceptos_Administrativa[#All],5,0),"")</f>
        <v/>
      </c>
      <c r="F2510" t="str">
        <f>+IFERROR(VLOOKUP(Fact_Administrativa[[#This Row], 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ht="18.75" customHeight="1" x14ac:dyDescent="0.35">
      <c r="C2511" s="100" t="str">
        <f>IF(OR(Fact_Administrativa[[#This Row], [Año]]="",Fact_Administrativa[[#This Row], [Mes]]=""),"",DATE(A2511,MATCH(B2511,{"enero","febrero","marzo","abril","mayo","junio","julio","agosto","septiembre","octubre","noviembre","diciembre"},0)+1,0))</f>
        <v/>
      </c>
      <c r="E2511" t="str">
        <f>+IFERROR(VLOOKUP(Fact_Administrativa[[#This Row], [Concepto Anterior]],Conceptos_Administrativa[#All],5,0),"")</f>
        <v/>
      </c>
      <c r="F2511" t="str">
        <f>+IFERROR(VLOOKUP(Fact_Administrativa[[#This Row], 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ht="18.75" customHeight="1" x14ac:dyDescent="0.35">
      <c r="C2512" s="100" t="str">
        <f>IF(OR(Fact_Administrativa[[#This Row], [Año]]="",Fact_Administrativa[[#This Row], [Mes]]=""),"",DATE(A2512,MATCH(B2512,{"enero","febrero","marzo","abril","mayo","junio","julio","agosto","septiembre","octubre","noviembre","diciembre"},0)+1,0))</f>
        <v/>
      </c>
      <c r="E2512" t="str">
        <f>+IFERROR(VLOOKUP(Fact_Administrativa[[#This Row], [Concepto Anterior]],Conceptos_Administrativa[#All],5,0),"")</f>
        <v/>
      </c>
      <c r="F2512" t="str">
        <f>+IFERROR(VLOOKUP(Fact_Administrativa[[#This Row], 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ht="18.75" customHeight="1" x14ac:dyDescent="0.35">
      <c r="C2513" s="100" t="str">
        <f>IF(OR(Fact_Administrativa[[#This Row], [Año]]="",Fact_Administrativa[[#This Row], [Mes]]=""),"",DATE(A2513,MATCH(B2513,{"enero","febrero","marzo","abril","mayo","junio","julio","agosto","septiembre","octubre","noviembre","diciembre"},0)+1,0))</f>
        <v/>
      </c>
      <c r="E2513" t="str">
        <f>+IFERROR(VLOOKUP(Fact_Administrativa[[#This Row], [Concepto Anterior]],Conceptos_Administrativa[#All],5,0),"")</f>
        <v/>
      </c>
      <c r="F2513" t="str">
        <f>+IFERROR(VLOOKUP(Fact_Administrativa[[#This Row], 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ht="18.75" customHeight="1" x14ac:dyDescent="0.35">
      <c r="C2514" s="100" t="str">
        <f>IF(OR(Fact_Administrativa[[#This Row], [Año]]="",Fact_Administrativa[[#This Row], [Mes]]=""),"",DATE(A2514,MATCH(B2514,{"enero","febrero","marzo","abril","mayo","junio","julio","agosto","septiembre","octubre","noviembre","diciembre"},0)+1,0))</f>
        <v/>
      </c>
      <c r="E2514" t="str">
        <f>+IFERROR(VLOOKUP(Fact_Administrativa[[#This Row], [Concepto Anterior]],Conceptos_Administrativa[#All],5,0),"")</f>
        <v/>
      </c>
      <c r="F2514" t="str">
        <f>+IFERROR(VLOOKUP(Fact_Administrativa[[#This Row], 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ht="18.75" customHeight="1" x14ac:dyDescent="0.35">
      <c r="C2515" s="100" t="str">
        <f>IF(OR(Fact_Administrativa[[#This Row], [Año]]="",Fact_Administrativa[[#This Row], [Mes]]=""),"",DATE(A2515,MATCH(B2515,{"enero","febrero","marzo","abril","mayo","junio","julio","agosto","septiembre","octubre","noviembre","diciembre"},0)+1,0))</f>
        <v/>
      </c>
      <c r="E2515" t="str">
        <f>+IFERROR(VLOOKUP(Fact_Administrativa[[#This Row], [Concepto Anterior]],Conceptos_Administrativa[#All],5,0),"")</f>
        <v/>
      </c>
      <c r="F2515" t="str">
        <f>+IFERROR(VLOOKUP(Fact_Administrativa[[#This Row], 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ht="18.75" customHeight="1" x14ac:dyDescent="0.35">
      <c r="C2516" s="100" t="str">
        <f>IF(OR(Fact_Administrativa[[#This Row], [Año]]="",Fact_Administrativa[[#This Row], [Mes]]=""),"",DATE(A2516,MATCH(B2516,{"enero","febrero","marzo","abril","mayo","junio","julio","agosto","septiembre","octubre","noviembre","diciembre"},0)+1,0))</f>
        <v/>
      </c>
      <c r="E2516" t="str">
        <f>+IFERROR(VLOOKUP(Fact_Administrativa[[#This Row], [Concepto Anterior]],Conceptos_Administrativa[#All],5,0),"")</f>
        <v/>
      </c>
      <c r="F2516" t="str">
        <f>+IFERROR(VLOOKUP(Fact_Administrativa[[#This Row], 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ht="18.75" customHeight="1" x14ac:dyDescent="0.35">
      <c r="C2517" s="100" t="str">
        <f>IF(OR(Fact_Administrativa[[#This Row], [Año]]="",Fact_Administrativa[[#This Row], [Mes]]=""),"",DATE(A2517,MATCH(B2517,{"enero","febrero","marzo","abril","mayo","junio","julio","agosto","septiembre","octubre","noviembre","diciembre"},0)+1,0))</f>
        <v/>
      </c>
      <c r="E2517" t="str">
        <f>+IFERROR(VLOOKUP(Fact_Administrativa[[#This Row], [Concepto Anterior]],Conceptos_Administrativa[#All],5,0),"")</f>
        <v/>
      </c>
      <c r="F2517" t="str">
        <f>+IFERROR(VLOOKUP(Fact_Administrativa[[#This Row], 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ht="18.75" customHeight="1" x14ac:dyDescent="0.35">
      <c r="C2518" s="100" t="str">
        <f>IF(OR(Fact_Administrativa[[#This Row], [Año]]="",Fact_Administrativa[[#This Row], [Mes]]=""),"",DATE(A2518,MATCH(B2518,{"enero","febrero","marzo","abril","mayo","junio","julio","agosto","septiembre","octubre","noviembre","diciembre"},0)+1,0))</f>
        <v/>
      </c>
      <c r="E2518" t="str">
        <f>+IFERROR(VLOOKUP(Fact_Administrativa[[#This Row], [Concepto Anterior]],Conceptos_Administrativa[#All],5,0),"")</f>
        <v/>
      </c>
      <c r="F2518" t="str">
        <f>+IFERROR(VLOOKUP(Fact_Administrativa[[#This Row], 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ht="18.75" customHeight="1" x14ac:dyDescent="0.35">
      <c r="C2519" s="100" t="str">
        <f>IF(OR(Fact_Administrativa[[#This Row], [Año]]="",Fact_Administrativa[[#This Row], [Mes]]=""),"",DATE(A2519,MATCH(B2519,{"enero","febrero","marzo","abril","mayo","junio","julio","agosto","septiembre","octubre","noviembre","diciembre"},0)+1,0))</f>
        <v/>
      </c>
      <c r="E2519" t="str">
        <f>+IFERROR(VLOOKUP(Fact_Administrativa[[#This Row], [Concepto Anterior]],Conceptos_Administrativa[#All],5,0),"")</f>
        <v/>
      </c>
      <c r="F2519" t="str">
        <f>+IFERROR(VLOOKUP(Fact_Administrativa[[#This Row], 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ht="18.75" customHeight="1" x14ac:dyDescent="0.35">
      <c r="C2520" s="100" t="str">
        <f>IF(OR(Fact_Administrativa[[#This Row], [Año]]="",Fact_Administrativa[[#This Row], [Mes]]=""),"",DATE(A2520,MATCH(B2520,{"enero","febrero","marzo","abril","mayo","junio","julio","agosto","septiembre","octubre","noviembre","diciembre"},0)+1,0))</f>
        <v/>
      </c>
      <c r="E2520" t="str">
        <f>+IFERROR(VLOOKUP(Fact_Administrativa[[#This Row], [Concepto Anterior]],Conceptos_Administrativa[#All],5,0),"")</f>
        <v/>
      </c>
      <c r="F2520" t="str">
        <f>+IFERROR(VLOOKUP(Fact_Administrativa[[#This Row], 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ht="18.75" customHeight="1" x14ac:dyDescent="0.35">
      <c r="C2521" s="100" t="str">
        <f>IF(OR(Fact_Administrativa[[#This Row], [Año]]="",Fact_Administrativa[[#This Row], [Mes]]=""),"",DATE(A2521,MATCH(B2521,{"enero","febrero","marzo","abril","mayo","junio","julio","agosto","septiembre","octubre","noviembre","diciembre"},0)+1,0))</f>
        <v/>
      </c>
      <c r="E2521" t="str">
        <f>+IFERROR(VLOOKUP(Fact_Administrativa[[#This Row], [Concepto Anterior]],Conceptos_Administrativa[#All],5,0),"")</f>
        <v/>
      </c>
      <c r="F2521" t="str">
        <f>+IFERROR(VLOOKUP(Fact_Administrativa[[#This Row], 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ht="18.75" customHeight="1" x14ac:dyDescent="0.35">
      <c r="C2522" s="100" t="str">
        <f>IF(OR(Fact_Administrativa[[#This Row], [Año]]="",Fact_Administrativa[[#This Row], [Mes]]=""),"",DATE(A2522,MATCH(B2522,{"enero","febrero","marzo","abril","mayo","junio","julio","agosto","septiembre","octubre","noviembre","diciembre"},0)+1,0))</f>
        <v/>
      </c>
      <c r="E2522" t="str">
        <f>+IFERROR(VLOOKUP(Fact_Administrativa[[#This Row], [Concepto Anterior]],Conceptos_Administrativa[#All],5,0),"")</f>
        <v/>
      </c>
      <c r="F2522" t="str">
        <f>+IFERROR(VLOOKUP(Fact_Administrativa[[#This Row], 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ht="18.75" customHeight="1" x14ac:dyDescent="0.35">
      <c r="C2523" s="100" t="str">
        <f>IF(OR(Fact_Administrativa[[#This Row], [Año]]="",Fact_Administrativa[[#This Row], [Mes]]=""),"",DATE(A2523,MATCH(B2523,{"enero","febrero","marzo","abril","mayo","junio","julio","agosto","septiembre","octubre","noviembre","diciembre"},0)+1,0))</f>
        <v/>
      </c>
      <c r="E2523" t="str">
        <f>+IFERROR(VLOOKUP(Fact_Administrativa[[#This Row], [Concepto Anterior]],Conceptos_Administrativa[#All],5,0),"")</f>
        <v/>
      </c>
      <c r="F2523" t="str">
        <f>+IFERROR(VLOOKUP(Fact_Administrativa[[#This Row], 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ht="18.75" customHeight="1" x14ac:dyDescent="0.35">
      <c r="C2524" s="100" t="str">
        <f>IF(OR(Fact_Administrativa[[#This Row], [Año]]="",Fact_Administrativa[[#This Row], [Mes]]=""),"",DATE(A2524,MATCH(B2524,{"enero","febrero","marzo","abril","mayo","junio","julio","agosto","septiembre","octubre","noviembre","diciembre"},0)+1,0))</f>
        <v/>
      </c>
      <c r="E2524" t="str">
        <f>+IFERROR(VLOOKUP(Fact_Administrativa[[#This Row], [Concepto Anterior]],Conceptos_Administrativa[#All],5,0),"")</f>
        <v/>
      </c>
      <c r="F2524" t="str">
        <f>+IFERROR(VLOOKUP(Fact_Administrativa[[#This Row], 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ht="18.75" customHeight="1" x14ac:dyDescent="0.35">
      <c r="C2525" s="100" t="str">
        <f>IF(OR(Fact_Administrativa[[#This Row], [Año]]="",Fact_Administrativa[[#This Row], [Mes]]=""),"",DATE(A2525,MATCH(B2525,{"enero","febrero","marzo","abril","mayo","junio","julio","agosto","septiembre","octubre","noviembre","diciembre"},0)+1,0))</f>
        <v/>
      </c>
      <c r="E2525" t="str">
        <f>+IFERROR(VLOOKUP(Fact_Administrativa[[#This Row], [Concepto Anterior]],Conceptos_Administrativa[#All],5,0),"")</f>
        <v/>
      </c>
      <c r="F2525" t="str">
        <f>+IFERROR(VLOOKUP(Fact_Administrativa[[#This Row], 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ht="18.75" customHeight="1" x14ac:dyDescent="0.35">
      <c r="C2526" s="100" t="str">
        <f>IF(OR(Fact_Administrativa[[#This Row], [Año]]="",Fact_Administrativa[[#This Row], [Mes]]=""),"",DATE(A2526,MATCH(B2526,{"enero","febrero","marzo","abril","mayo","junio","julio","agosto","septiembre","octubre","noviembre","diciembre"},0)+1,0))</f>
        <v/>
      </c>
      <c r="E2526" t="str">
        <f>+IFERROR(VLOOKUP(Fact_Administrativa[[#This Row], [Concepto Anterior]],Conceptos_Administrativa[#All],5,0),"")</f>
        <v/>
      </c>
      <c r="F2526" t="str">
        <f>+IFERROR(VLOOKUP(Fact_Administrativa[[#This Row], 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ht="18.75" customHeight="1" x14ac:dyDescent="0.35">
      <c r="C2527" s="100" t="str">
        <f>IF(OR(Fact_Administrativa[[#This Row], [Año]]="",Fact_Administrativa[[#This Row], [Mes]]=""),"",DATE(A2527,MATCH(B2527,{"enero","febrero","marzo","abril","mayo","junio","julio","agosto","septiembre","octubre","noviembre","diciembre"},0)+1,0))</f>
        <v/>
      </c>
      <c r="E2527" t="str">
        <f>+IFERROR(VLOOKUP(Fact_Administrativa[[#This Row], [Concepto Anterior]],Conceptos_Administrativa[#All],5,0),"")</f>
        <v/>
      </c>
      <c r="F2527" t="str">
        <f>+IFERROR(VLOOKUP(Fact_Administrativa[[#This Row], 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ht="18.75" customHeight="1" x14ac:dyDescent="0.35">
      <c r="C2528" s="100" t="str">
        <f>IF(OR(Fact_Administrativa[[#This Row], [Año]]="",Fact_Administrativa[[#This Row], [Mes]]=""),"",DATE(A2528,MATCH(B2528,{"enero","febrero","marzo","abril","mayo","junio","julio","agosto","septiembre","octubre","noviembre","diciembre"},0)+1,0))</f>
        <v/>
      </c>
      <c r="E2528" t="str">
        <f>+IFERROR(VLOOKUP(Fact_Administrativa[[#This Row], [Concepto Anterior]],Conceptos_Administrativa[#All],5,0),"")</f>
        <v/>
      </c>
      <c r="F2528" t="str">
        <f>+IFERROR(VLOOKUP(Fact_Administrativa[[#This Row], 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ht="18.75" customHeight="1" x14ac:dyDescent="0.35">
      <c r="C2529" s="100" t="str">
        <f>IF(OR(Fact_Administrativa[[#This Row], [Año]]="",Fact_Administrativa[[#This Row], [Mes]]=""),"",DATE(A2529,MATCH(B2529,{"enero","febrero","marzo","abril","mayo","junio","julio","agosto","septiembre","octubre","noviembre","diciembre"},0)+1,0))</f>
        <v/>
      </c>
      <c r="E2529" t="str">
        <f>+IFERROR(VLOOKUP(Fact_Administrativa[[#This Row], [Concepto Anterior]],Conceptos_Administrativa[#All],5,0),"")</f>
        <v/>
      </c>
      <c r="F2529" t="str">
        <f>+IFERROR(VLOOKUP(Fact_Administrativa[[#This Row], 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ht="18.75" customHeight="1" x14ac:dyDescent="0.35">
      <c r="C2530" s="100" t="str">
        <f>IF(OR(Fact_Administrativa[[#This Row], [Año]]="",Fact_Administrativa[[#This Row], [Mes]]=""),"",DATE(A2530,MATCH(B2530,{"enero","febrero","marzo","abril","mayo","junio","julio","agosto","septiembre","octubre","noviembre","diciembre"},0)+1,0))</f>
        <v/>
      </c>
      <c r="E2530" t="str">
        <f>+IFERROR(VLOOKUP(Fact_Administrativa[[#This Row], [Concepto Anterior]],Conceptos_Administrativa[#All],5,0),"")</f>
        <v/>
      </c>
      <c r="F2530" t="str">
        <f>+IFERROR(VLOOKUP(Fact_Administrativa[[#This Row], 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ht="18.75" customHeight="1" x14ac:dyDescent="0.35">
      <c r="C2531" s="100" t="str">
        <f>IF(OR(Fact_Administrativa[[#This Row], [Año]]="",Fact_Administrativa[[#This Row], [Mes]]=""),"",DATE(A2531,MATCH(B2531,{"enero","febrero","marzo","abril","mayo","junio","julio","agosto","septiembre","octubre","noviembre","diciembre"},0)+1,0))</f>
        <v/>
      </c>
      <c r="E2531" t="str">
        <f>+IFERROR(VLOOKUP(Fact_Administrativa[[#This Row], [Concepto Anterior]],Conceptos_Administrativa[#All],5,0),"")</f>
        <v/>
      </c>
      <c r="F2531" t="str">
        <f>+IFERROR(VLOOKUP(Fact_Administrativa[[#This Row], 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ht="18.75" customHeight="1" x14ac:dyDescent="0.35">
      <c r="C2532" s="100" t="str">
        <f>IF(OR(Fact_Administrativa[[#This Row], [Año]]="",Fact_Administrativa[[#This Row], [Mes]]=""),"",DATE(A2532,MATCH(B2532,{"enero","febrero","marzo","abril","mayo","junio","julio","agosto","septiembre","octubre","noviembre","diciembre"},0)+1,0))</f>
        <v/>
      </c>
      <c r="E2532" t="str">
        <f>+IFERROR(VLOOKUP(Fact_Administrativa[[#This Row], [Concepto Anterior]],Conceptos_Administrativa[#All],5,0),"")</f>
        <v/>
      </c>
      <c r="F2532" t="str">
        <f>+IFERROR(VLOOKUP(Fact_Administrativa[[#This Row], 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ht="18.75" customHeight="1" x14ac:dyDescent="0.35">
      <c r="C2533" s="100" t="str">
        <f>IF(OR(Fact_Administrativa[[#This Row], [Año]]="",Fact_Administrativa[[#This Row], [Mes]]=""),"",DATE(A2533,MATCH(B2533,{"enero","febrero","marzo","abril","mayo","junio","julio","agosto","septiembre","octubre","noviembre","diciembre"},0)+1,0))</f>
        <v/>
      </c>
      <c r="E2533" t="str">
        <f>+IFERROR(VLOOKUP(Fact_Administrativa[[#This Row], [Concepto Anterior]],Conceptos_Administrativa[#All],5,0),"")</f>
        <v/>
      </c>
      <c r="F2533" t="str">
        <f>+IFERROR(VLOOKUP(Fact_Administrativa[[#This Row], 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ht="18.75" customHeight="1" x14ac:dyDescent="0.35">
      <c r="C2534" s="100" t="str">
        <f>IF(OR(Fact_Administrativa[[#This Row], [Año]]="",Fact_Administrativa[[#This Row], [Mes]]=""),"",DATE(A2534,MATCH(B2534,{"enero","febrero","marzo","abril","mayo","junio","julio","agosto","septiembre","octubre","noviembre","diciembre"},0)+1,0))</f>
        <v/>
      </c>
      <c r="E2534" t="str">
        <f>+IFERROR(VLOOKUP(Fact_Administrativa[[#This Row], [Concepto Anterior]],Conceptos_Administrativa[#All],5,0),"")</f>
        <v/>
      </c>
      <c r="F2534" t="str">
        <f>+IFERROR(VLOOKUP(Fact_Administrativa[[#This Row], 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ht="18.75" customHeight="1" x14ac:dyDescent="0.35">
      <c r="C2535" s="100" t="str">
        <f>IF(OR(Fact_Administrativa[[#This Row], [Año]]="",Fact_Administrativa[[#This Row], [Mes]]=""),"",DATE(A2535,MATCH(B2535,{"enero","febrero","marzo","abril","mayo","junio","julio","agosto","septiembre","octubre","noviembre","diciembre"},0)+1,0))</f>
        <v/>
      </c>
      <c r="E2535" t="str">
        <f>+IFERROR(VLOOKUP(Fact_Administrativa[[#This Row], [Concepto Anterior]],Conceptos_Administrativa[#All],5,0),"")</f>
        <v/>
      </c>
      <c r="F2535" t="str">
        <f>+IFERROR(VLOOKUP(Fact_Administrativa[[#This Row], 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ht="18.75" customHeight="1" x14ac:dyDescent="0.35">
      <c r="C2536" s="100" t="str">
        <f>IF(OR(Fact_Administrativa[[#This Row], [Año]]="",Fact_Administrativa[[#This Row], [Mes]]=""),"",DATE(A2536,MATCH(B2536,{"enero","febrero","marzo","abril","mayo","junio","julio","agosto","septiembre","octubre","noviembre","diciembre"},0)+1,0))</f>
        <v/>
      </c>
      <c r="E2536" t="str">
        <f>+IFERROR(VLOOKUP(Fact_Administrativa[[#This Row], [Concepto Anterior]],Conceptos_Administrativa[#All],5,0),"")</f>
        <v/>
      </c>
      <c r="F2536" t="str">
        <f>+IFERROR(VLOOKUP(Fact_Administrativa[[#This Row], 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ht="18.75" customHeight="1" x14ac:dyDescent="0.35">
      <c r="C2537" s="100" t="str">
        <f>IF(OR(Fact_Administrativa[[#This Row], [Año]]="",Fact_Administrativa[[#This Row], [Mes]]=""),"",DATE(A2537,MATCH(B2537,{"enero","febrero","marzo","abril","mayo","junio","julio","agosto","septiembre","octubre","noviembre","diciembre"},0)+1,0))</f>
        <v/>
      </c>
      <c r="E2537" t="str">
        <f>+IFERROR(VLOOKUP(Fact_Administrativa[[#This Row], [Concepto Anterior]],Conceptos_Administrativa[#All],5,0),"")</f>
        <v/>
      </c>
      <c r="F2537" t="str">
        <f>+IFERROR(VLOOKUP(Fact_Administrativa[[#This Row], 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ht="18.75" customHeight="1" x14ac:dyDescent="0.35">
      <c r="C2538" s="100" t="str">
        <f>IF(OR(Fact_Administrativa[[#This Row], [Año]]="",Fact_Administrativa[[#This Row], [Mes]]=""),"",DATE(A2538,MATCH(B2538,{"enero","febrero","marzo","abril","mayo","junio","julio","agosto","septiembre","octubre","noviembre","diciembre"},0)+1,0))</f>
        <v/>
      </c>
      <c r="E2538" t="str">
        <f>+IFERROR(VLOOKUP(Fact_Administrativa[[#This Row], [Concepto Anterior]],Conceptos_Administrativa[#All],5,0),"")</f>
        <v/>
      </c>
      <c r="F2538" t="str">
        <f>+IFERROR(VLOOKUP(Fact_Administrativa[[#This Row], 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ht="18.75" customHeight="1" x14ac:dyDescent="0.35">
      <c r="C2539" s="100" t="str">
        <f>IF(OR(Fact_Administrativa[[#This Row], [Año]]="",Fact_Administrativa[[#This Row], [Mes]]=""),"",DATE(A2539,MATCH(B2539,{"enero","febrero","marzo","abril","mayo","junio","julio","agosto","septiembre","octubre","noviembre","diciembre"},0)+1,0))</f>
        <v/>
      </c>
      <c r="E2539" t="str">
        <f>+IFERROR(VLOOKUP(Fact_Administrativa[[#This Row], [Concepto Anterior]],Conceptos_Administrativa[#All],5,0),"")</f>
        <v/>
      </c>
      <c r="F2539" t="str">
        <f>+IFERROR(VLOOKUP(Fact_Administrativa[[#This Row], 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ht="18.75" customHeight="1" x14ac:dyDescent="0.35">
      <c r="C2540" s="100" t="str">
        <f>IF(OR(Fact_Administrativa[[#This Row], [Año]]="",Fact_Administrativa[[#This Row], [Mes]]=""),"",DATE(A2540,MATCH(B2540,{"enero","febrero","marzo","abril","mayo","junio","julio","agosto","septiembre","octubre","noviembre","diciembre"},0)+1,0))</f>
        <v/>
      </c>
      <c r="E2540" t="str">
        <f>+IFERROR(VLOOKUP(Fact_Administrativa[[#This Row], [Concepto Anterior]],Conceptos_Administrativa[#All],5,0),"")</f>
        <v/>
      </c>
      <c r="F2540" t="str">
        <f>+IFERROR(VLOOKUP(Fact_Administrativa[[#This Row], 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ht="18.75" customHeight="1" x14ac:dyDescent="0.35">
      <c r="C2541" s="100" t="str">
        <f>IF(OR(Fact_Administrativa[[#This Row], [Año]]="",Fact_Administrativa[[#This Row], [Mes]]=""),"",DATE(A2541,MATCH(B2541,{"enero","febrero","marzo","abril","mayo","junio","julio","agosto","septiembre","octubre","noviembre","diciembre"},0)+1,0))</f>
        <v/>
      </c>
      <c r="E2541" t="str">
        <f>+IFERROR(VLOOKUP(Fact_Administrativa[[#This Row], [Concepto Anterior]],Conceptos_Administrativa[#All],5,0),"")</f>
        <v/>
      </c>
      <c r="F2541" t="str">
        <f>+IFERROR(VLOOKUP(Fact_Administrativa[[#This Row], 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ht="18.75" customHeight="1" x14ac:dyDescent="0.35">
      <c r="C2542" s="100" t="str">
        <f>IF(OR(Fact_Administrativa[[#This Row], [Año]]="",Fact_Administrativa[[#This Row], [Mes]]=""),"",DATE(A2542,MATCH(B2542,{"enero","febrero","marzo","abril","mayo","junio","julio","agosto","septiembre","octubre","noviembre","diciembre"},0)+1,0))</f>
        <v/>
      </c>
      <c r="E2542" t="str">
        <f>+IFERROR(VLOOKUP(Fact_Administrativa[[#This Row], [Concepto Anterior]],Conceptos_Administrativa[#All],5,0),"")</f>
        <v/>
      </c>
      <c r="F2542" t="str">
        <f>+IFERROR(VLOOKUP(Fact_Administrativa[[#This Row], 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ht="18.75" customHeight="1" x14ac:dyDescent="0.35">
      <c r="C2543" s="100" t="str">
        <f>IF(OR(Fact_Administrativa[[#This Row], [Año]]="",Fact_Administrativa[[#This Row], [Mes]]=""),"",DATE(A2543,MATCH(B2543,{"enero","febrero","marzo","abril","mayo","junio","julio","agosto","septiembre","octubre","noviembre","diciembre"},0)+1,0))</f>
        <v/>
      </c>
      <c r="E2543" t="str">
        <f>+IFERROR(VLOOKUP(Fact_Administrativa[[#This Row], [Concepto Anterior]],Conceptos_Administrativa[#All],5,0),"")</f>
        <v/>
      </c>
      <c r="F2543" t="str">
        <f>+IFERROR(VLOOKUP(Fact_Administrativa[[#This Row], 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ht="18.75" customHeight="1" x14ac:dyDescent="0.35">
      <c r="C2544" s="100" t="str">
        <f>IF(OR(Fact_Administrativa[[#This Row], [Año]]="",Fact_Administrativa[[#This Row], [Mes]]=""),"",DATE(A2544,MATCH(B2544,{"enero","febrero","marzo","abril","mayo","junio","julio","agosto","septiembre","octubre","noviembre","diciembre"},0)+1,0))</f>
        <v/>
      </c>
      <c r="E2544" t="str">
        <f>+IFERROR(VLOOKUP(Fact_Administrativa[[#This Row], [Concepto Anterior]],Conceptos_Administrativa[#All],5,0),"")</f>
        <v/>
      </c>
      <c r="F2544" t="str">
        <f>+IFERROR(VLOOKUP(Fact_Administrativa[[#This Row], 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ht="18.75" customHeight="1" x14ac:dyDescent="0.35">
      <c r="C2545" s="100" t="str">
        <f>IF(OR(Fact_Administrativa[[#This Row], [Año]]="",Fact_Administrativa[[#This Row], [Mes]]=""),"",DATE(A2545,MATCH(B2545,{"enero","febrero","marzo","abril","mayo","junio","julio","agosto","septiembre","octubre","noviembre","diciembre"},0)+1,0))</f>
        <v/>
      </c>
      <c r="E2545" t="str">
        <f>+IFERROR(VLOOKUP(Fact_Administrativa[[#This Row], [Concepto Anterior]],Conceptos_Administrativa[#All],5,0),"")</f>
        <v/>
      </c>
      <c r="F2545" t="str">
        <f>+IFERROR(VLOOKUP(Fact_Administrativa[[#This Row], 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ht="18.75" customHeight="1" x14ac:dyDescent="0.35">
      <c r="C2546" s="100" t="str">
        <f>IF(OR(Fact_Administrativa[[#This Row], [Año]]="",Fact_Administrativa[[#This Row], [Mes]]=""),"",DATE(A2546,MATCH(B2546,{"enero","febrero","marzo","abril","mayo","junio","julio","agosto","septiembre","octubre","noviembre","diciembre"},0)+1,0))</f>
        <v/>
      </c>
      <c r="E2546" t="str">
        <f>+IFERROR(VLOOKUP(Fact_Administrativa[[#This Row], [Concepto Anterior]],Conceptos_Administrativa[#All],5,0),"")</f>
        <v/>
      </c>
      <c r="F2546" t="str">
        <f>+IFERROR(VLOOKUP(Fact_Administrativa[[#This Row], 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ht="18.75" customHeight="1" x14ac:dyDescent="0.35">
      <c r="C2547" s="100" t="str">
        <f>IF(OR(Fact_Administrativa[[#This Row], [Año]]="",Fact_Administrativa[[#This Row], [Mes]]=""),"",DATE(A2547,MATCH(B2547,{"enero","febrero","marzo","abril","mayo","junio","julio","agosto","septiembre","octubre","noviembre","diciembre"},0)+1,0))</f>
        <v/>
      </c>
      <c r="E2547" t="str">
        <f>+IFERROR(VLOOKUP(Fact_Administrativa[[#This Row], [Concepto Anterior]],Conceptos_Administrativa[#All],5,0),"")</f>
        <v/>
      </c>
      <c r="F2547" t="str">
        <f>+IFERROR(VLOOKUP(Fact_Administrativa[[#This Row], 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ht="18.75" customHeight="1" x14ac:dyDescent="0.35">
      <c r="C2548" s="100" t="str">
        <f>IF(OR(Fact_Administrativa[[#This Row], [Año]]="",Fact_Administrativa[[#This Row], [Mes]]=""),"",DATE(A2548,MATCH(B2548,{"enero","febrero","marzo","abril","mayo","junio","julio","agosto","septiembre","octubre","noviembre","diciembre"},0)+1,0))</f>
        <v/>
      </c>
      <c r="E2548" t="str">
        <f>+IFERROR(VLOOKUP(Fact_Administrativa[[#This Row], [Concepto Anterior]],Conceptos_Administrativa[#All],5,0),"")</f>
        <v/>
      </c>
      <c r="F2548" t="str">
        <f>+IFERROR(VLOOKUP(Fact_Administrativa[[#This Row], 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ht="18.75" customHeight="1" x14ac:dyDescent="0.35">
      <c r="C2549" s="100" t="str">
        <f>IF(OR(Fact_Administrativa[[#This Row], [Año]]="",Fact_Administrativa[[#This Row], [Mes]]=""),"",DATE(A2549,MATCH(B2549,{"enero","febrero","marzo","abril","mayo","junio","julio","agosto","septiembre","octubre","noviembre","diciembre"},0)+1,0))</f>
        <v/>
      </c>
      <c r="E2549" t="str">
        <f>+IFERROR(VLOOKUP(Fact_Administrativa[[#This Row], [Concepto Anterior]],Conceptos_Administrativa[#All],5,0),"")</f>
        <v/>
      </c>
      <c r="F2549" t="str">
        <f>+IFERROR(VLOOKUP(Fact_Administrativa[[#This Row], 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ht="18.75" customHeight="1" x14ac:dyDescent="0.35">
      <c r="C2550" s="100" t="str">
        <f>IF(OR(Fact_Administrativa[[#This Row], [Año]]="",Fact_Administrativa[[#This Row], [Mes]]=""),"",DATE(A2550,MATCH(B2550,{"enero","febrero","marzo","abril","mayo","junio","julio","agosto","septiembre","octubre","noviembre","diciembre"},0)+1,0))</f>
        <v/>
      </c>
      <c r="E2550" t="str">
        <f>+IFERROR(VLOOKUP(Fact_Administrativa[[#This Row], [Concepto Anterior]],Conceptos_Administrativa[#All],5,0),"")</f>
        <v/>
      </c>
      <c r="F2550" t="str">
        <f>+IFERROR(VLOOKUP(Fact_Administrativa[[#This Row], 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ht="18.75" customHeight="1" x14ac:dyDescent="0.35">
      <c r="C2551" s="100" t="str">
        <f>IF(OR(Fact_Administrativa[[#This Row], [Año]]="",Fact_Administrativa[[#This Row], [Mes]]=""),"",DATE(A2551,MATCH(B2551,{"enero","febrero","marzo","abril","mayo","junio","julio","agosto","septiembre","octubre","noviembre","diciembre"},0)+1,0))</f>
        <v/>
      </c>
      <c r="E2551" t="str">
        <f>+IFERROR(VLOOKUP(Fact_Administrativa[[#This Row], [Concepto Anterior]],Conceptos_Administrativa[#All],5,0),"")</f>
        <v/>
      </c>
      <c r="F2551" t="str">
        <f>+IFERROR(VLOOKUP(Fact_Administrativa[[#This Row], 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ht="18.75" customHeight="1" x14ac:dyDescent="0.35">
      <c r="C2552" s="100" t="str">
        <f>IF(OR(Fact_Administrativa[[#This Row], [Año]]="",Fact_Administrativa[[#This Row], [Mes]]=""),"",DATE(A2552,MATCH(B2552,{"enero","febrero","marzo","abril","mayo","junio","julio","agosto","septiembre","octubre","noviembre","diciembre"},0)+1,0))</f>
        <v/>
      </c>
      <c r="E2552" t="str">
        <f>+IFERROR(VLOOKUP(Fact_Administrativa[[#This Row], [Concepto Anterior]],Conceptos_Administrativa[#All],5,0),"")</f>
        <v/>
      </c>
      <c r="F2552" t="str">
        <f>+IFERROR(VLOOKUP(Fact_Administrativa[[#This Row], 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ht="18.75" customHeight="1" x14ac:dyDescent="0.35">
      <c r="C2553" s="100" t="str">
        <f>IF(OR(Fact_Administrativa[[#This Row], [Año]]="",Fact_Administrativa[[#This Row], [Mes]]=""),"",DATE(A2553,MATCH(B2553,{"enero","febrero","marzo","abril","mayo","junio","julio","agosto","septiembre","octubre","noviembre","diciembre"},0)+1,0))</f>
        <v/>
      </c>
      <c r="E2553" t="str">
        <f>+IFERROR(VLOOKUP(Fact_Administrativa[[#This Row], [Concepto Anterior]],Conceptos_Administrativa[#All],5,0),"")</f>
        <v/>
      </c>
      <c r="F2553" t="str">
        <f>+IFERROR(VLOOKUP(Fact_Administrativa[[#This Row], 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ht="18.75" customHeight="1" x14ac:dyDescent="0.35">
      <c r="C2554" s="100" t="str">
        <f>IF(OR(Fact_Administrativa[[#This Row], [Año]]="",Fact_Administrativa[[#This Row], [Mes]]=""),"",DATE(A2554,MATCH(B2554,{"enero","febrero","marzo","abril","mayo","junio","julio","agosto","septiembre","octubre","noviembre","diciembre"},0)+1,0))</f>
        <v/>
      </c>
      <c r="E2554" t="str">
        <f>+IFERROR(VLOOKUP(Fact_Administrativa[[#This Row], [Concepto Anterior]],Conceptos_Administrativa[#All],5,0),"")</f>
        <v/>
      </c>
      <c r="F2554" t="str">
        <f>+IFERROR(VLOOKUP(Fact_Administrativa[[#This Row], 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ht="18.75" customHeight="1" x14ac:dyDescent="0.35">
      <c r="C2555" s="100" t="str">
        <f>IF(OR(Fact_Administrativa[[#This Row], [Año]]="",Fact_Administrativa[[#This Row], [Mes]]=""),"",DATE(A2555,MATCH(B2555,{"enero","febrero","marzo","abril","mayo","junio","julio","agosto","septiembre","octubre","noviembre","diciembre"},0)+1,0))</f>
        <v/>
      </c>
      <c r="E2555" t="str">
        <f>+IFERROR(VLOOKUP(Fact_Administrativa[[#This Row], [Concepto Anterior]],Conceptos_Administrativa[#All],5,0),"")</f>
        <v/>
      </c>
      <c r="F2555" t="str">
        <f>+IFERROR(VLOOKUP(Fact_Administrativa[[#This Row], 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ht="18.75" customHeight="1" x14ac:dyDescent="0.35">
      <c r="C2556" s="100" t="str">
        <f>IF(OR(Fact_Administrativa[[#This Row], [Año]]="",Fact_Administrativa[[#This Row], [Mes]]=""),"",DATE(A2556,MATCH(B2556,{"enero","febrero","marzo","abril","mayo","junio","julio","agosto","septiembre","octubre","noviembre","diciembre"},0)+1,0))</f>
        <v/>
      </c>
      <c r="E2556" t="str">
        <f>+IFERROR(VLOOKUP(Fact_Administrativa[[#This Row], [Concepto Anterior]],Conceptos_Administrativa[#All],5,0),"")</f>
        <v/>
      </c>
      <c r="F2556" t="str">
        <f>+IFERROR(VLOOKUP(Fact_Administrativa[[#This Row], 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ht="18.75" customHeight="1" x14ac:dyDescent="0.35">
      <c r="C2557" s="100" t="str">
        <f>IF(OR(Fact_Administrativa[[#This Row], [Año]]="",Fact_Administrativa[[#This Row], [Mes]]=""),"",DATE(A2557,MATCH(B2557,{"enero","febrero","marzo","abril","mayo","junio","julio","agosto","septiembre","octubre","noviembre","diciembre"},0)+1,0))</f>
        <v/>
      </c>
      <c r="E2557" t="str">
        <f>+IFERROR(VLOOKUP(Fact_Administrativa[[#This Row], [Concepto Anterior]],Conceptos_Administrativa[#All],5,0),"")</f>
        <v/>
      </c>
      <c r="F2557" t="str">
        <f>+IFERROR(VLOOKUP(Fact_Administrativa[[#This Row], 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ht="18.75" customHeight="1" x14ac:dyDescent="0.35">
      <c r="C2558" s="100" t="str">
        <f>IF(OR(Fact_Administrativa[[#This Row], [Año]]="",Fact_Administrativa[[#This Row], [Mes]]=""),"",DATE(A2558,MATCH(B2558,{"enero","febrero","marzo","abril","mayo","junio","julio","agosto","septiembre","octubre","noviembre","diciembre"},0)+1,0))</f>
        <v/>
      </c>
      <c r="E2558" t="str">
        <f>+IFERROR(VLOOKUP(Fact_Administrativa[[#This Row], [Concepto Anterior]],Conceptos_Administrativa[#All],5,0),"")</f>
        <v/>
      </c>
      <c r="F2558" t="str">
        <f>+IFERROR(VLOOKUP(Fact_Administrativa[[#This Row], 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ht="18.75" customHeight="1" x14ac:dyDescent="0.35">
      <c r="C2559" s="100" t="str">
        <f>IF(OR(Fact_Administrativa[[#This Row], [Año]]="",Fact_Administrativa[[#This Row], [Mes]]=""),"",DATE(A2559,MATCH(B2559,{"enero","febrero","marzo","abril","mayo","junio","julio","agosto","septiembre","octubre","noviembre","diciembre"},0)+1,0))</f>
        <v/>
      </c>
      <c r="E2559" t="str">
        <f>+IFERROR(VLOOKUP(Fact_Administrativa[[#This Row], [Concepto Anterior]],Conceptos_Administrativa[#All],5,0),"")</f>
        <v/>
      </c>
      <c r="F2559" t="str">
        <f>+IFERROR(VLOOKUP(Fact_Administrativa[[#This Row], 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ht="18.75" customHeight="1" x14ac:dyDescent="0.35">
      <c r="C2560" s="100" t="str">
        <f>IF(OR(Fact_Administrativa[[#This Row], [Año]]="",Fact_Administrativa[[#This Row], [Mes]]=""),"",DATE(A2560,MATCH(B2560,{"enero","febrero","marzo","abril","mayo","junio","julio","agosto","septiembre","octubre","noviembre","diciembre"},0)+1,0))</f>
        <v/>
      </c>
      <c r="E2560" t="str">
        <f>+IFERROR(VLOOKUP(Fact_Administrativa[[#This Row], [Concepto Anterior]],Conceptos_Administrativa[#All],5,0),"")</f>
        <v/>
      </c>
      <c r="F2560" t="str">
        <f>+IFERROR(VLOOKUP(Fact_Administrativa[[#This Row], 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ht="18.75" customHeight="1" x14ac:dyDescent="0.35">
      <c r="C2561" s="100" t="str">
        <f>IF(OR(Fact_Administrativa[[#This Row], [Año]]="",Fact_Administrativa[[#This Row], [Mes]]=""),"",DATE(A2561,MATCH(B2561,{"enero","febrero","marzo","abril","mayo","junio","julio","agosto","septiembre","octubre","noviembre","diciembre"},0)+1,0))</f>
        <v/>
      </c>
      <c r="E2561" t="str">
        <f>+IFERROR(VLOOKUP(Fact_Administrativa[[#This Row], [Concepto Anterior]],Conceptos_Administrativa[#All],5,0),"")</f>
        <v/>
      </c>
      <c r="F2561" t="str">
        <f>+IFERROR(VLOOKUP(Fact_Administrativa[[#This Row], 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ht="18.75" customHeight="1" x14ac:dyDescent="0.35">
      <c r="C2562" s="100" t="str">
        <f>IF(OR(Fact_Administrativa[[#This Row], [Año]]="",Fact_Administrativa[[#This Row], [Mes]]=""),"",DATE(A2562,MATCH(B2562,{"enero","febrero","marzo","abril","mayo","junio","julio","agosto","septiembre","octubre","noviembre","diciembre"},0)+1,0))</f>
        <v/>
      </c>
      <c r="E2562" t="str">
        <f>+IFERROR(VLOOKUP(Fact_Administrativa[[#This Row], [Concepto Anterior]],Conceptos_Administrativa[#All],5,0),"")</f>
        <v/>
      </c>
      <c r="F2562" t="str">
        <f>+IFERROR(VLOOKUP(Fact_Administrativa[[#This Row], 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ht="18.75" customHeight="1" x14ac:dyDescent="0.35">
      <c r="C2563" s="100" t="str">
        <f>IF(OR(Fact_Administrativa[[#This Row], [Año]]="",Fact_Administrativa[[#This Row], [Mes]]=""),"",DATE(A2563,MATCH(B2563,{"enero","febrero","marzo","abril","mayo","junio","julio","agosto","septiembre","octubre","noviembre","diciembre"},0)+1,0))</f>
        <v/>
      </c>
      <c r="E2563" t="str">
        <f>+IFERROR(VLOOKUP(Fact_Administrativa[[#This Row], [Concepto Anterior]],Conceptos_Administrativa[#All],5,0),"")</f>
        <v/>
      </c>
      <c r="F2563" t="str">
        <f>+IFERROR(VLOOKUP(Fact_Administrativa[[#This Row], 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ht="18.75" customHeight="1" x14ac:dyDescent="0.35">
      <c r="C2564" s="100" t="str">
        <f>IF(OR(Fact_Administrativa[[#This Row], [Año]]="",Fact_Administrativa[[#This Row], [Mes]]=""),"",DATE(A2564,MATCH(B2564,{"enero","febrero","marzo","abril","mayo","junio","julio","agosto","septiembre","octubre","noviembre","diciembre"},0)+1,0))</f>
        <v/>
      </c>
      <c r="E2564" t="str">
        <f>+IFERROR(VLOOKUP(Fact_Administrativa[[#This Row], [Concepto Anterior]],Conceptos_Administrativa[#All],5,0),"")</f>
        <v/>
      </c>
      <c r="F2564" t="str">
        <f>+IFERROR(VLOOKUP(Fact_Administrativa[[#This Row], 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ht="18.75" customHeight="1" x14ac:dyDescent="0.35">
      <c r="C2565" s="100" t="str">
        <f>IF(OR(Fact_Administrativa[[#This Row], [Año]]="",Fact_Administrativa[[#This Row], [Mes]]=""),"",DATE(A2565,MATCH(B2565,{"enero","febrero","marzo","abril","mayo","junio","julio","agosto","septiembre","octubre","noviembre","diciembre"},0)+1,0))</f>
        <v/>
      </c>
      <c r="E2565" t="str">
        <f>+IFERROR(VLOOKUP(Fact_Administrativa[[#This Row], [Concepto Anterior]],Conceptos_Administrativa[#All],5,0),"")</f>
        <v/>
      </c>
      <c r="F2565" t="str">
        <f>+IFERROR(VLOOKUP(Fact_Administrativa[[#This Row], 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ht="18.75" customHeight="1" x14ac:dyDescent="0.35">
      <c r="C2566" s="100" t="str">
        <f>IF(OR(Fact_Administrativa[[#This Row], [Año]]="",Fact_Administrativa[[#This Row], [Mes]]=""),"",DATE(A2566,MATCH(B2566,{"enero","febrero","marzo","abril","mayo","junio","julio","agosto","septiembre","octubre","noviembre","diciembre"},0)+1,0))</f>
        <v/>
      </c>
      <c r="E2566" t="str">
        <f>+IFERROR(VLOOKUP(Fact_Administrativa[[#This Row], [Concepto Anterior]],Conceptos_Administrativa[#All],5,0),"")</f>
        <v/>
      </c>
      <c r="F2566" t="str">
        <f>+IFERROR(VLOOKUP(Fact_Administrativa[[#This Row], 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ht="18.75" customHeight="1" x14ac:dyDescent="0.35">
      <c r="C2567" s="100" t="str">
        <f>IF(OR(Fact_Administrativa[[#This Row], [Año]]="",Fact_Administrativa[[#This Row], [Mes]]=""),"",DATE(A2567,MATCH(B2567,{"enero","febrero","marzo","abril","mayo","junio","julio","agosto","septiembre","octubre","noviembre","diciembre"},0)+1,0))</f>
        <v/>
      </c>
      <c r="E2567" t="str">
        <f>+IFERROR(VLOOKUP(Fact_Administrativa[[#This Row], [Concepto Anterior]],Conceptos_Administrativa[#All],5,0),"")</f>
        <v/>
      </c>
      <c r="F2567" t="str">
        <f>+IFERROR(VLOOKUP(Fact_Administrativa[[#This Row], 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ht="18.75" customHeight="1" x14ac:dyDescent="0.35">
      <c r="C2568" s="100" t="str">
        <f>IF(OR(Fact_Administrativa[[#This Row], [Año]]="",Fact_Administrativa[[#This Row], [Mes]]=""),"",DATE(A2568,MATCH(B2568,{"enero","febrero","marzo","abril","mayo","junio","julio","agosto","septiembre","octubre","noviembre","diciembre"},0)+1,0))</f>
        <v/>
      </c>
      <c r="E2568" t="str">
        <f>+IFERROR(VLOOKUP(Fact_Administrativa[[#This Row], [Concepto Anterior]],Conceptos_Administrativa[#All],5,0),"")</f>
        <v/>
      </c>
      <c r="F2568" t="str">
        <f>+IFERROR(VLOOKUP(Fact_Administrativa[[#This Row], 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ht="18.75" customHeight="1" x14ac:dyDescent="0.35">
      <c r="C2569" s="100" t="str">
        <f>IF(OR(Fact_Administrativa[[#This Row], [Año]]="",Fact_Administrativa[[#This Row], [Mes]]=""),"",DATE(A2569,MATCH(B2569,{"enero","febrero","marzo","abril","mayo","junio","julio","agosto","septiembre","octubre","noviembre","diciembre"},0)+1,0))</f>
        <v/>
      </c>
      <c r="E2569" t="str">
        <f>+IFERROR(VLOOKUP(Fact_Administrativa[[#This Row], [Concepto Anterior]],Conceptos_Administrativa[#All],5,0),"")</f>
        <v/>
      </c>
      <c r="F2569" t="str">
        <f>+IFERROR(VLOOKUP(Fact_Administrativa[[#This Row], 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ht="18.75" customHeight="1" x14ac:dyDescent="0.35">
      <c r="C2570" s="100" t="str">
        <f>IF(OR(Fact_Administrativa[[#This Row], [Año]]="",Fact_Administrativa[[#This Row], [Mes]]=""),"",DATE(A2570,MATCH(B2570,{"enero","febrero","marzo","abril","mayo","junio","julio","agosto","septiembre","octubre","noviembre","diciembre"},0)+1,0))</f>
        <v/>
      </c>
      <c r="E2570" t="str">
        <f>+IFERROR(VLOOKUP(Fact_Administrativa[[#This Row], [Concepto Anterior]],Conceptos_Administrativa[#All],5,0),"")</f>
        <v/>
      </c>
      <c r="F2570" t="str">
        <f>+IFERROR(VLOOKUP(Fact_Administrativa[[#This Row], 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ht="18.75" customHeight="1" x14ac:dyDescent="0.35">
      <c r="C2571" s="100" t="str">
        <f>IF(OR(Fact_Administrativa[[#This Row], [Año]]="",Fact_Administrativa[[#This Row], [Mes]]=""),"",DATE(A2571,MATCH(B2571,{"enero","febrero","marzo","abril","mayo","junio","julio","agosto","septiembre","octubre","noviembre","diciembre"},0)+1,0))</f>
        <v/>
      </c>
      <c r="E2571" t="str">
        <f>+IFERROR(VLOOKUP(Fact_Administrativa[[#This Row], [Concepto Anterior]],Conceptos_Administrativa[#All],5,0),"")</f>
        <v/>
      </c>
      <c r="F2571" t="str">
        <f>+IFERROR(VLOOKUP(Fact_Administrativa[[#This Row], 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ht="18.75" customHeight="1" x14ac:dyDescent="0.35">
      <c r="C2572" s="100" t="str">
        <f>IF(OR(Fact_Administrativa[[#This Row], [Año]]="",Fact_Administrativa[[#This Row], [Mes]]=""),"",DATE(A2572,MATCH(B2572,{"enero","febrero","marzo","abril","mayo","junio","julio","agosto","septiembre","octubre","noviembre","diciembre"},0)+1,0))</f>
        <v/>
      </c>
      <c r="E2572" t="str">
        <f>+IFERROR(VLOOKUP(Fact_Administrativa[[#This Row], [Concepto Anterior]],Conceptos_Administrativa[#All],5,0),"")</f>
        <v/>
      </c>
      <c r="F2572" t="str">
        <f>+IFERROR(VLOOKUP(Fact_Administrativa[[#This Row], 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ht="18.75" customHeight="1" x14ac:dyDescent="0.35">
      <c r="C2573" s="100" t="str">
        <f>IF(OR(Fact_Administrativa[[#This Row], [Año]]="",Fact_Administrativa[[#This Row], [Mes]]=""),"",DATE(A2573,MATCH(B2573,{"enero","febrero","marzo","abril","mayo","junio","julio","agosto","septiembre","octubre","noviembre","diciembre"},0)+1,0))</f>
        <v/>
      </c>
      <c r="E2573" t="str">
        <f>+IFERROR(VLOOKUP(Fact_Administrativa[[#This Row], [Concepto Anterior]],Conceptos_Administrativa[#All],5,0),"")</f>
        <v/>
      </c>
      <c r="F2573" t="str">
        <f>+IFERROR(VLOOKUP(Fact_Administrativa[[#This Row], 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ht="18.75" customHeight="1" x14ac:dyDescent="0.35">
      <c r="C2574" s="100" t="str">
        <f>IF(OR(Fact_Administrativa[[#This Row], [Año]]="",Fact_Administrativa[[#This Row], [Mes]]=""),"",DATE(A2574,MATCH(B2574,{"enero","febrero","marzo","abril","mayo","junio","julio","agosto","septiembre","octubre","noviembre","diciembre"},0)+1,0))</f>
        <v/>
      </c>
      <c r="E2574" t="str">
        <f>+IFERROR(VLOOKUP(Fact_Administrativa[[#This Row], [Concepto Anterior]],Conceptos_Administrativa[#All],5,0),"")</f>
        <v/>
      </c>
      <c r="F2574" t="str">
        <f>+IFERROR(VLOOKUP(Fact_Administrativa[[#This Row], 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ht="18.75" customHeight="1" x14ac:dyDescent="0.35">
      <c r="C2575" s="100" t="str">
        <f>IF(OR(Fact_Administrativa[[#This Row], [Año]]="",Fact_Administrativa[[#This Row], [Mes]]=""),"",DATE(A2575,MATCH(B2575,{"enero","febrero","marzo","abril","mayo","junio","julio","agosto","septiembre","octubre","noviembre","diciembre"},0)+1,0))</f>
        <v/>
      </c>
      <c r="E2575" t="str">
        <f>+IFERROR(VLOOKUP(Fact_Administrativa[[#This Row], [Concepto Anterior]],Conceptos_Administrativa[#All],5,0),"")</f>
        <v/>
      </c>
      <c r="F2575" t="str">
        <f>+IFERROR(VLOOKUP(Fact_Administrativa[[#This Row], 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ht="18.75" customHeight="1" x14ac:dyDescent="0.35">
      <c r="C2576" s="100" t="str">
        <f>IF(OR(Fact_Administrativa[[#This Row], [Año]]="",Fact_Administrativa[[#This Row], [Mes]]=""),"",DATE(A2576,MATCH(B2576,{"enero","febrero","marzo","abril","mayo","junio","julio","agosto","septiembre","octubre","noviembre","diciembre"},0)+1,0))</f>
        <v/>
      </c>
      <c r="E2576" t="str">
        <f>+IFERROR(VLOOKUP(Fact_Administrativa[[#This Row], [Concepto Anterior]],Conceptos_Administrativa[#All],5,0),"")</f>
        <v/>
      </c>
      <c r="F2576" t="str">
        <f>+IFERROR(VLOOKUP(Fact_Administrativa[[#This Row], 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ht="18.75" customHeight="1" x14ac:dyDescent="0.35">
      <c r="C2577" s="100" t="str">
        <f>IF(OR(Fact_Administrativa[[#This Row], [Año]]="",Fact_Administrativa[[#This Row], [Mes]]=""),"",DATE(A2577,MATCH(B2577,{"enero","febrero","marzo","abril","mayo","junio","julio","agosto","septiembre","octubre","noviembre","diciembre"},0)+1,0))</f>
        <v/>
      </c>
      <c r="E2577" t="str">
        <f>+IFERROR(VLOOKUP(Fact_Administrativa[[#This Row], [Concepto Anterior]],Conceptos_Administrativa[#All],5,0),"")</f>
        <v/>
      </c>
      <c r="F2577" t="str">
        <f>+IFERROR(VLOOKUP(Fact_Administrativa[[#This Row], 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ht="18.75" customHeight="1" x14ac:dyDescent="0.35">
      <c r="C2578" s="100" t="str">
        <f>IF(OR(Fact_Administrativa[[#This Row], [Año]]="",Fact_Administrativa[[#This Row], [Mes]]=""),"",DATE(A2578,MATCH(B2578,{"enero","febrero","marzo","abril","mayo","junio","julio","agosto","septiembre","octubre","noviembre","diciembre"},0)+1,0))</f>
        <v/>
      </c>
      <c r="E2578" t="str">
        <f>+IFERROR(VLOOKUP(Fact_Administrativa[[#This Row], [Concepto Anterior]],Conceptos_Administrativa[#All],5,0),"")</f>
        <v/>
      </c>
      <c r="F2578" t="str">
        <f>+IFERROR(VLOOKUP(Fact_Administrativa[[#This Row], 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ht="18.75" customHeight="1" x14ac:dyDescent="0.35">
      <c r="C2579" s="100" t="str">
        <f>IF(OR(Fact_Administrativa[[#This Row], [Año]]="",Fact_Administrativa[[#This Row], [Mes]]=""),"",DATE(A2579,MATCH(B2579,{"enero","febrero","marzo","abril","mayo","junio","julio","agosto","septiembre","octubre","noviembre","diciembre"},0)+1,0))</f>
        <v/>
      </c>
      <c r="E2579" t="str">
        <f>+IFERROR(VLOOKUP(Fact_Administrativa[[#This Row], [Concepto Anterior]],Conceptos_Administrativa[#All],5,0),"")</f>
        <v/>
      </c>
      <c r="F2579" t="str">
        <f>+IFERROR(VLOOKUP(Fact_Administrativa[[#This Row], 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ht="18.75" customHeight="1" x14ac:dyDescent="0.35">
      <c r="C2580" s="100" t="str">
        <f>IF(OR(Fact_Administrativa[[#This Row], [Año]]="",Fact_Administrativa[[#This Row], [Mes]]=""),"",DATE(A2580,MATCH(B2580,{"enero","febrero","marzo","abril","mayo","junio","julio","agosto","septiembre","octubre","noviembre","diciembre"},0)+1,0))</f>
        <v/>
      </c>
      <c r="E2580" t="str">
        <f>+IFERROR(VLOOKUP(Fact_Administrativa[[#This Row], [Concepto Anterior]],Conceptos_Administrativa[#All],5,0),"")</f>
        <v/>
      </c>
      <c r="F2580" t="str">
        <f>+IFERROR(VLOOKUP(Fact_Administrativa[[#This Row], 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ht="18.75" customHeight="1" x14ac:dyDescent="0.35">
      <c r="C2581" s="100" t="str">
        <f>IF(OR(Fact_Administrativa[[#This Row], [Año]]="",Fact_Administrativa[[#This Row], [Mes]]=""),"",DATE(A2581,MATCH(B2581,{"enero","febrero","marzo","abril","mayo","junio","julio","agosto","septiembre","octubre","noviembre","diciembre"},0)+1,0))</f>
        <v/>
      </c>
      <c r="E2581" t="str">
        <f>+IFERROR(VLOOKUP(Fact_Administrativa[[#This Row], [Concepto Anterior]],Conceptos_Administrativa[#All],5,0),"")</f>
        <v/>
      </c>
      <c r="F2581" t="str">
        <f>+IFERROR(VLOOKUP(Fact_Administrativa[[#This Row], 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ht="18.75" customHeight="1" x14ac:dyDescent="0.35">
      <c r="C2582" s="100" t="str">
        <f>IF(OR(Fact_Administrativa[[#This Row], [Año]]="",Fact_Administrativa[[#This Row], [Mes]]=""),"",DATE(A2582,MATCH(B2582,{"enero","febrero","marzo","abril","mayo","junio","julio","agosto","septiembre","octubre","noviembre","diciembre"},0)+1,0))</f>
        <v/>
      </c>
      <c r="E2582" t="str">
        <f>+IFERROR(VLOOKUP(Fact_Administrativa[[#This Row], [Concepto Anterior]],Conceptos_Administrativa[#All],5,0),"")</f>
        <v/>
      </c>
      <c r="F2582" t="str">
        <f>+IFERROR(VLOOKUP(Fact_Administrativa[[#This Row], 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ht="18.75" customHeight="1" x14ac:dyDescent="0.35">
      <c r="C2583" s="100" t="str">
        <f>IF(OR(Fact_Administrativa[[#This Row], [Año]]="",Fact_Administrativa[[#This Row], [Mes]]=""),"",DATE(A2583,MATCH(B2583,{"enero","febrero","marzo","abril","mayo","junio","julio","agosto","septiembre","octubre","noviembre","diciembre"},0)+1,0))</f>
        <v/>
      </c>
      <c r="E2583" t="str">
        <f>+IFERROR(VLOOKUP(Fact_Administrativa[[#This Row], [Concepto Anterior]],Conceptos_Administrativa[#All],5,0),"")</f>
        <v/>
      </c>
      <c r="F2583" t="str">
        <f>+IFERROR(VLOOKUP(Fact_Administrativa[[#This Row], 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ht="18.75" customHeight="1" x14ac:dyDescent="0.35">
      <c r="C2584" s="100" t="str">
        <f>IF(OR(Fact_Administrativa[[#This Row], [Año]]="",Fact_Administrativa[[#This Row], [Mes]]=""),"",DATE(A2584,MATCH(B2584,{"enero","febrero","marzo","abril","mayo","junio","julio","agosto","septiembre","octubre","noviembre","diciembre"},0)+1,0))</f>
        <v/>
      </c>
      <c r="E2584" t="str">
        <f>+IFERROR(VLOOKUP(Fact_Administrativa[[#This Row], [Concepto Anterior]],Conceptos_Administrativa[#All],5,0),"")</f>
        <v/>
      </c>
      <c r="F2584" t="str">
        <f>+IFERROR(VLOOKUP(Fact_Administrativa[[#This Row], 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ht="18.75" customHeight="1" x14ac:dyDescent="0.35">
      <c r="C2585" s="100" t="str">
        <f>IF(OR(Fact_Administrativa[[#This Row], [Año]]="",Fact_Administrativa[[#This Row], [Mes]]=""),"",DATE(A2585,MATCH(B2585,{"enero","febrero","marzo","abril","mayo","junio","julio","agosto","septiembre","octubre","noviembre","diciembre"},0)+1,0))</f>
        <v/>
      </c>
      <c r="E2585" t="str">
        <f>+IFERROR(VLOOKUP(Fact_Administrativa[[#This Row], [Concepto Anterior]],Conceptos_Administrativa[#All],5,0),"")</f>
        <v/>
      </c>
      <c r="F2585" t="str">
        <f>+IFERROR(VLOOKUP(Fact_Administrativa[[#This Row], 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ht="18.75" customHeight="1" x14ac:dyDescent="0.35">
      <c r="C2586" s="100" t="str">
        <f>IF(OR(Fact_Administrativa[[#This Row], [Año]]="",Fact_Administrativa[[#This Row], [Mes]]=""),"",DATE(A2586,MATCH(B2586,{"enero","febrero","marzo","abril","mayo","junio","julio","agosto","septiembre","octubre","noviembre","diciembre"},0)+1,0))</f>
        <v/>
      </c>
      <c r="E2586" t="str">
        <f>+IFERROR(VLOOKUP(Fact_Administrativa[[#This Row], [Concepto Anterior]],Conceptos_Administrativa[#All],5,0),"")</f>
        <v/>
      </c>
      <c r="F2586" t="str">
        <f>+IFERROR(VLOOKUP(Fact_Administrativa[[#This Row], 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ht="18.75" customHeight="1" x14ac:dyDescent="0.35">
      <c r="C2587" s="100" t="str">
        <f>IF(OR(Fact_Administrativa[[#This Row], [Año]]="",Fact_Administrativa[[#This Row], [Mes]]=""),"",DATE(A2587,MATCH(B2587,{"enero","febrero","marzo","abril","mayo","junio","julio","agosto","septiembre","octubre","noviembre","diciembre"},0)+1,0))</f>
        <v/>
      </c>
      <c r="E2587" t="str">
        <f>+IFERROR(VLOOKUP(Fact_Administrativa[[#This Row], [Concepto Anterior]],Conceptos_Administrativa[#All],5,0),"")</f>
        <v/>
      </c>
      <c r="F2587" t="str">
        <f>+IFERROR(VLOOKUP(Fact_Administrativa[[#This Row], 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ht="18.75" customHeight="1" x14ac:dyDescent="0.35">
      <c r="C2588" s="100" t="str">
        <f>IF(OR(Fact_Administrativa[[#This Row], [Año]]="",Fact_Administrativa[[#This Row], [Mes]]=""),"",DATE(A2588,MATCH(B2588,{"enero","febrero","marzo","abril","mayo","junio","julio","agosto","septiembre","octubre","noviembre","diciembre"},0)+1,0))</f>
        <v/>
      </c>
      <c r="E2588" t="str">
        <f>+IFERROR(VLOOKUP(Fact_Administrativa[[#This Row], [Concepto Anterior]],Conceptos_Administrativa[#All],5,0),"")</f>
        <v/>
      </c>
      <c r="F2588" t="str">
        <f>+IFERROR(VLOOKUP(Fact_Administrativa[[#This Row], 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ht="18.75" customHeight="1" x14ac:dyDescent="0.35">
      <c r="C2589" s="100" t="str">
        <f>IF(OR(Fact_Administrativa[[#This Row], [Año]]="",Fact_Administrativa[[#This Row], [Mes]]=""),"",DATE(A2589,MATCH(B2589,{"enero","febrero","marzo","abril","mayo","junio","julio","agosto","septiembre","octubre","noviembre","diciembre"},0)+1,0))</f>
        <v/>
      </c>
      <c r="E2589" t="str">
        <f>+IFERROR(VLOOKUP(Fact_Administrativa[[#This Row], [Concepto Anterior]],Conceptos_Administrativa[#All],5,0),"")</f>
        <v/>
      </c>
      <c r="F2589" t="str">
        <f>+IFERROR(VLOOKUP(Fact_Administrativa[[#This Row], 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ht="18.75" customHeight="1" x14ac:dyDescent="0.35">
      <c r="C2590" s="100" t="str">
        <f>IF(OR(Fact_Administrativa[[#This Row], [Año]]="",Fact_Administrativa[[#This Row], [Mes]]=""),"",DATE(A2590,MATCH(B2590,{"enero","febrero","marzo","abril","mayo","junio","julio","agosto","septiembre","octubre","noviembre","diciembre"},0)+1,0))</f>
        <v/>
      </c>
      <c r="E2590" t="str">
        <f>+IFERROR(VLOOKUP(Fact_Administrativa[[#This Row], [Concepto Anterior]],Conceptos_Administrativa[#All],5,0),"")</f>
        <v/>
      </c>
      <c r="F2590" t="str">
        <f>+IFERROR(VLOOKUP(Fact_Administrativa[[#This Row], 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ht="18.75" customHeight="1" x14ac:dyDescent="0.35">
      <c r="C2591" s="100" t="str">
        <f>IF(OR(Fact_Administrativa[[#This Row], [Año]]="",Fact_Administrativa[[#This Row], [Mes]]=""),"",DATE(A2591,MATCH(B2591,{"enero","febrero","marzo","abril","mayo","junio","julio","agosto","septiembre","octubre","noviembre","diciembre"},0)+1,0))</f>
        <v/>
      </c>
      <c r="E2591" t="str">
        <f>+IFERROR(VLOOKUP(Fact_Administrativa[[#This Row], [Concepto Anterior]],Conceptos_Administrativa[#All],5,0),"")</f>
        <v/>
      </c>
      <c r="F2591" t="str">
        <f>+IFERROR(VLOOKUP(Fact_Administrativa[[#This Row], 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ht="18.75" customHeight="1" x14ac:dyDescent="0.35">
      <c r="C2592" s="100" t="str">
        <f>IF(OR(Fact_Administrativa[[#This Row], [Año]]="",Fact_Administrativa[[#This Row], [Mes]]=""),"",DATE(A2592,MATCH(B2592,{"enero","febrero","marzo","abril","mayo","junio","julio","agosto","septiembre","octubre","noviembre","diciembre"},0)+1,0))</f>
        <v/>
      </c>
      <c r="E2592" t="str">
        <f>+IFERROR(VLOOKUP(Fact_Administrativa[[#This Row], [Concepto Anterior]],Conceptos_Administrativa[#All],5,0),"")</f>
        <v/>
      </c>
      <c r="F2592" t="str">
        <f>+IFERROR(VLOOKUP(Fact_Administrativa[[#This Row], 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ht="18.75" customHeight="1" x14ac:dyDescent="0.35">
      <c r="C2593" s="100" t="str">
        <f>IF(OR(Fact_Administrativa[[#This Row], [Año]]="",Fact_Administrativa[[#This Row], [Mes]]=""),"",DATE(A2593,MATCH(B2593,{"enero","febrero","marzo","abril","mayo","junio","julio","agosto","septiembre","octubre","noviembre","diciembre"},0)+1,0))</f>
        <v/>
      </c>
      <c r="E2593" t="str">
        <f>+IFERROR(VLOOKUP(Fact_Administrativa[[#This Row], [Concepto Anterior]],Conceptos_Administrativa[#All],5,0),"")</f>
        <v/>
      </c>
      <c r="F2593" t="str">
        <f>+IFERROR(VLOOKUP(Fact_Administrativa[[#This Row], 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ht="18.75" customHeight="1" x14ac:dyDescent="0.35">
      <c r="C2594" s="100" t="str">
        <f>IF(OR(Fact_Administrativa[[#This Row], [Año]]="",Fact_Administrativa[[#This Row], [Mes]]=""),"",DATE(A2594,MATCH(B2594,{"enero","febrero","marzo","abril","mayo","junio","julio","agosto","septiembre","octubre","noviembre","diciembre"},0)+1,0))</f>
        <v/>
      </c>
      <c r="E2594" t="str">
        <f>+IFERROR(VLOOKUP(Fact_Administrativa[[#This Row], [Concepto Anterior]],Conceptos_Administrativa[#All],5,0),"")</f>
        <v/>
      </c>
      <c r="F2594" t="str">
        <f>+IFERROR(VLOOKUP(Fact_Administrativa[[#This Row], 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ht="18.75" customHeight="1" x14ac:dyDescent="0.35">
      <c r="C2595" s="100" t="str">
        <f>IF(OR(Fact_Administrativa[[#This Row], [Año]]="",Fact_Administrativa[[#This Row], [Mes]]=""),"",DATE(A2595,MATCH(B2595,{"enero","febrero","marzo","abril","mayo","junio","julio","agosto","septiembre","octubre","noviembre","diciembre"},0)+1,0))</f>
        <v/>
      </c>
      <c r="E2595" t="str">
        <f>+IFERROR(VLOOKUP(Fact_Administrativa[[#This Row], [Concepto Anterior]],Conceptos_Administrativa[#All],5,0),"")</f>
        <v/>
      </c>
      <c r="F2595" t="str">
        <f>+IFERROR(VLOOKUP(Fact_Administrativa[[#This Row], 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ht="18.75" customHeight="1" x14ac:dyDescent="0.35">
      <c r="C2596" s="100" t="str">
        <f>IF(OR(Fact_Administrativa[[#This Row], [Año]]="",Fact_Administrativa[[#This Row], [Mes]]=""),"",DATE(A2596,MATCH(B2596,{"enero","febrero","marzo","abril","mayo","junio","julio","agosto","septiembre","octubre","noviembre","diciembre"},0)+1,0))</f>
        <v/>
      </c>
      <c r="E2596" t="str">
        <f>+IFERROR(VLOOKUP(Fact_Administrativa[[#This Row], [Concepto Anterior]],Conceptos_Administrativa[#All],5,0),"")</f>
        <v/>
      </c>
      <c r="F2596" t="str">
        <f>+IFERROR(VLOOKUP(Fact_Administrativa[[#This Row], 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ht="18.75" customHeight="1" x14ac:dyDescent="0.35">
      <c r="C2597" s="100" t="str">
        <f>IF(OR(Fact_Administrativa[[#This Row], [Año]]="",Fact_Administrativa[[#This Row], [Mes]]=""),"",DATE(A2597,MATCH(B2597,{"enero","febrero","marzo","abril","mayo","junio","julio","agosto","septiembre","octubre","noviembre","diciembre"},0)+1,0))</f>
        <v/>
      </c>
      <c r="E2597" t="str">
        <f>+IFERROR(VLOOKUP(Fact_Administrativa[[#This Row], [Concepto Anterior]],Conceptos_Administrativa[#All],5,0),"")</f>
        <v/>
      </c>
      <c r="F2597" t="str">
        <f>+IFERROR(VLOOKUP(Fact_Administrativa[[#This Row], 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ht="18.75" customHeight="1" x14ac:dyDescent="0.35">
      <c r="C2598" s="100" t="str">
        <f>IF(OR(Fact_Administrativa[[#This Row], [Año]]="",Fact_Administrativa[[#This Row], [Mes]]=""),"",DATE(A2598,MATCH(B2598,{"enero","febrero","marzo","abril","mayo","junio","julio","agosto","septiembre","octubre","noviembre","diciembre"},0)+1,0))</f>
        <v/>
      </c>
      <c r="E2598" t="str">
        <f>+IFERROR(VLOOKUP(Fact_Administrativa[[#This Row], [Concepto Anterior]],Conceptos_Administrativa[#All],5,0),"")</f>
        <v/>
      </c>
      <c r="F2598" t="str">
        <f>+IFERROR(VLOOKUP(Fact_Administrativa[[#This Row], 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ht="18.75" customHeight="1" x14ac:dyDescent="0.35">
      <c r="C2599" s="100" t="str">
        <f>IF(OR(Fact_Administrativa[[#This Row], [Año]]="",Fact_Administrativa[[#This Row], [Mes]]=""),"",DATE(A2599,MATCH(B2599,{"enero","febrero","marzo","abril","mayo","junio","julio","agosto","septiembre","octubre","noviembre","diciembre"},0)+1,0))</f>
        <v/>
      </c>
      <c r="E2599" t="str">
        <f>+IFERROR(VLOOKUP(Fact_Administrativa[[#This Row], [Concepto Anterior]],Conceptos_Administrativa[#All],5,0),"")</f>
        <v/>
      </c>
      <c r="F2599" t="str">
        <f>+IFERROR(VLOOKUP(Fact_Administrativa[[#This Row], 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ht="18.75" customHeight="1" x14ac:dyDescent="0.35">
      <c r="C2600" s="100" t="str">
        <f>IF(OR(Fact_Administrativa[[#This Row], [Año]]="",Fact_Administrativa[[#This Row], [Mes]]=""),"",DATE(A2600,MATCH(B2600,{"enero","febrero","marzo","abril","mayo","junio","julio","agosto","septiembre","octubre","noviembre","diciembre"},0)+1,0))</f>
        <v/>
      </c>
      <c r="E2600" t="str">
        <f>+IFERROR(VLOOKUP(Fact_Administrativa[[#This Row], [Concepto Anterior]],Conceptos_Administrativa[#All],5,0),"")</f>
        <v/>
      </c>
      <c r="F2600" t="str">
        <f>+IFERROR(VLOOKUP(Fact_Administrativa[[#This Row], 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ht="18.75" customHeight="1" x14ac:dyDescent="0.35">
      <c r="C2601" s="100" t="str">
        <f>IF(OR(Fact_Administrativa[[#This Row], [Año]]="",Fact_Administrativa[[#This Row], [Mes]]=""),"",DATE(A2601,MATCH(B2601,{"enero","febrero","marzo","abril","mayo","junio","julio","agosto","septiembre","octubre","noviembre","diciembre"},0)+1,0))</f>
        <v/>
      </c>
      <c r="E2601" t="str">
        <f>+IFERROR(VLOOKUP(Fact_Administrativa[[#This Row], [Concepto Anterior]],Conceptos_Administrativa[#All],5,0),"")</f>
        <v/>
      </c>
      <c r="F2601" t="str">
        <f>+IFERROR(VLOOKUP(Fact_Administrativa[[#This Row], 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ht="18.75" customHeight="1" x14ac:dyDescent="0.35">
      <c r="C2602" s="100" t="str">
        <f>IF(OR(Fact_Administrativa[[#This Row], [Año]]="",Fact_Administrativa[[#This Row], [Mes]]=""),"",DATE(A2602,MATCH(B2602,{"enero","febrero","marzo","abril","mayo","junio","julio","agosto","septiembre","octubre","noviembre","diciembre"},0)+1,0))</f>
        <v/>
      </c>
      <c r="E2602" t="str">
        <f>+IFERROR(VLOOKUP(Fact_Administrativa[[#This Row], [Concepto Anterior]],Conceptos_Administrativa[#All],5,0),"")</f>
        <v/>
      </c>
      <c r="F2602" t="str">
        <f>+IFERROR(VLOOKUP(Fact_Administrativa[[#This Row], 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ht="18.75" customHeight="1" x14ac:dyDescent="0.35">
      <c r="C2603" s="100" t="str">
        <f>IF(OR(Fact_Administrativa[[#This Row], [Año]]="",Fact_Administrativa[[#This Row], [Mes]]=""),"",DATE(A2603,MATCH(B2603,{"enero","febrero","marzo","abril","mayo","junio","julio","agosto","septiembre","octubre","noviembre","diciembre"},0)+1,0))</f>
        <v/>
      </c>
      <c r="E2603" t="str">
        <f>+IFERROR(VLOOKUP(Fact_Administrativa[[#This Row], [Concepto Anterior]],Conceptos_Administrativa[#All],5,0),"")</f>
        <v/>
      </c>
      <c r="F2603" t="str">
        <f>+IFERROR(VLOOKUP(Fact_Administrativa[[#This Row], 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ht="18.75" customHeight="1" x14ac:dyDescent="0.35">
      <c r="C2604" s="100" t="str">
        <f>IF(OR(Fact_Administrativa[[#This Row], [Año]]="",Fact_Administrativa[[#This Row], [Mes]]=""),"",DATE(A2604,MATCH(B2604,{"enero","febrero","marzo","abril","mayo","junio","julio","agosto","septiembre","octubre","noviembre","diciembre"},0)+1,0))</f>
        <v/>
      </c>
      <c r="E2604" t="str">
        <f>+IFERROR(VLOOKUP(Fact_Administrativa[[#This Row], [Concepto Anterior]],Conceptos_Administrativa[#All],5,0),"")</f>
        <v/>
      </c>
      <c r="F2604" t="str">
        <f>+IFERROR(VLOOKUP(Fact_Administrativa[[#This Row], 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ht="18.75" customHeight="1" x14ac:dyDescent="0.35">
      <c r="C2605" s="100" t="str">
        <f>IF(OR(Fact_Administrativa[[#This Row], [Año]]="",Fact_Administrativa[[#This Row], [Mes]]=""),"",DATE(A2605,MATCH(B2605,{"enero","febrero","marzo","abril","mayo","junio","julio","agosto","septiembre","octubre","noviembre","diciembre"},0)+1,0))</f>
        <v/>
      </c>
      <c r="E2605" t="str">
        <f>+IFERROR(VLOOKUP(Fact_Administrativa[[#This Row], [Concepto Anterior]],Conceptos_Administrativa[#All],5,0),"")</f>
        <v/>
      </c>
      <c r="F2605" t="str">
        <f>+IFERROR(VLOOKUP(Fact_Administrativa[[#This Row], 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ht="18.75" customHeight="1" x14ac:dyDescent="0.35">
      <c r="C2606" s="100" t="str">
        <f>IF(OR(Fact_Administrativa[[#This Row], [Año]]="",Fact_Administrativa[[#This Row], [Mes]]=""),"",DATE(A2606,MATCH(B2606,{"enero","febrero","marzo","abril","mayo","junio","julio","agosto","septiembre","octubre","noviembre","diciembre"},0)+1,0))</f>
        <v/>
      </c>
      <c r="E2606" t="str">
        <f>+IFERROR(VLOOKUP(Fact_Administrativa[[#This Row], [Concepto Anterior]],Conceptos_Administrativa[#All],5,0),"")</f>
        <v/>
      </c>
      <c r="F2606" t="str">
        <f>+IFERROR(VLOOKUP(Fact_Administrativa[[#This Row], 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ht="18.75" customHeight="1" x14ac:dyDescent="0.35">
      <c r="C2607" s="100" t="str">
        <f>IF(OR(Fact_Administrativa[[#This Row], [Año]]="",Fact_Administrativa[[#This Row], [Mes]]=""),"",DATE(A2607,MATCH(B2607,{"enero","febrero","marzo","abril","mayo","junio","julio","agosto","septiembre","octubre","noviembre","diciembre"},0)+1,0))</f>
        <v/>
      </c>
      <c r="E2607" t="str">
        <f>+IFERROR(VLOOKUP(Fact_Administrativa[[#This Row], [Concepto Anterior]],Conceptos_Administrativa[#All],5,0),"")</f>
        <v/>
      </c>
      <c r="F2607" t="str">
        <f>+IFERROR(VLOOKUP(Fact_Administrativa[[#This Row], 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ht="18.75" customHeight="1" x14ac:dyDescent="0.35">
      <c r="C2608" s="100" t="str">
        <f>IF(OR(Fact_Administrativa[[#This Row], [Año]]="",Fact_Administrativa[[#This Row], [Mes]]=""),"",DATE(A2608,MATCH(B2608,{"enero","febrero","marzo","abril","mayo","junio","julio","agosto","septiembre","octubre","noviembre","diciembre"},0)+1,0))</f>
        <v/>
      </c>
      <c r="E2608" t="str">
        <f>+IFERROR(VLOOKUP(Fact_Administrativa[[#This Row], [Concepto Anterior]],Conceptos_Administrativa[#All],5,0),"")</f>
        <v/>
      </c>
      <c r="F2608" t="str">
        <f>+IFERROR(VLOOKUP(Fact_Administrativa[[#This Row], 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ht="18.75" customHeight="1" x14ac:dyDescent="0.35">
      <c r="C2609" s="100" t="str">
        <f>IF(OR(Fact_Administrativa[[#This Row], [Año]]="",Fact_Administrativa[[#This Row], [Mes]]=""),"",DATE(A2609,MATCH(B2609,{"enero","febrero","marzo","abril","mayo","junio","julio","agosto","septiembre","octubre","noviembre","diciembre"},0)+1,0))</f>
        <v/>
      </c>
      <c r="E2609" t="str">
        <f>+IFERROR(VLOOKUP(Fact_Administrativa[[#This Row], [Concepto Anterior]],Conceptos_Administrativa[#All],5,0),"")</f>
        <v/>
      </c>
      <c r="F2609" t="str">
        <f>+IFERROR(VLOOKUP(Fact_Administrativa[[#This Row], 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ht="18.75" customHeight="1" x14ac:dyDescent="0.35">
      <c r="C2610" s="100" t="str">
        <f>IF(OR(Fact_Administrativa[[#This Row], [Año]]="",Fact_Administrativa[[#This Row], [Mes]]=""),"",DATE(A2610,MATCH(B2610,{"enero","febrero","marzo","abril","mayo","junio","julio","agosto","septiembre","octubre","noviembre","diciembre"},0)+1,0))</f>
        <v/>
      </c>
      <c r="E2610" t="str">
        <f>+IFERROR(VLOOKUP(Fact_Administrativa[[#This Row], [Concepto Anterior]],Conceptos_Administrativa[#All],5,0),"")</f>
        <v/>
      </c>
      <c r="F2610" t="str">
        <f>+IFERROR(VLOOKUP(Fact_Administrativa[[#This Row], 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ht="18.75" customHeight="1" x14ac:dyDescent="0.35">
      <c r="C2611" s="100" t="str">
        <f>IF(OR(Fact_Administrativa[[#This Row], [Año]]="",Fact_Administrativa[[#This Row], [Mes]]=""),"",DATE(A2611,MATCH(B2611,{"enero","febrero","marzo","abril","mayo","junio","julio","agosto","septiembre","octubre","noviembre","diciembre"},0)+1,0))</f>
        <v/>
      </c>
      <c r="E2611" t="str">
        <f>+IFERROR(VLOOKUP(Fact_Administrativa[[#This Row], [Concepto Anterior]],Conceptos_Administrativa[#All],5,0),"")</f>
        <v/>
      </c>
      <c r="F2611" t="str">
        <f>+IFERROR(VLOOKUP(Fact_Administrativa[[#This Row], 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ht="18.75" customHeight="1" x14ac:dyDescent="0.35">
      <c r="C2612" s="100" t="str">
        <f>IF(OR(Fact_Administrativa[[#This Row], [Año]]="",Fact_Administrativa[[#This Row], [Mes]]=""),"",DATE(A2612,MATCH(B2612,{"enero","febrero","marzo","abril","mayo","junio","julio","agosto","septiembre","octubre","noviembre","diciembre"},0)+1,0))</f>
        <v/>
      </c>
      <c r="E2612" t="str">
        <f>+IFERROR(VLOOKUP(Fact_Administrativa[[#This Row], [Concepto Anterior]],Conceptos_Administrativa[#All],5,0),"")</f>
        <v/>
      </c>
      <c r="F2612" t="str">
        <f>+IFERROR(VLOOKUP(Fact_Administrativa[[#This Row], 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ht="18.75" customHeight="1" x14ac:dyDescent="0.35">
      <c r="C2613" s="100" t="str">
        <f>IF(OR(Fact_Administrativa[[#This Row], [Año]]="",Fact_Administrativa[[#This Row], [Mes]]=""),"",DATE(A2613,MATCH(B2613,{"enero","febrero","marzo","abril","mayo","junio","julio","agosto","septiembre","octubre","noviembre","diciembre"},0)+1,0))</f>
        <v/>
      </c>
      <c r="E2613" t="str">
        <f>+IFERROR(VLOOKUP(Fact_Administrativa[[#This Row], [Concepto Anterior]],Conceptos_Administrativa[#All],5,0),"")</f>
        <v/>
      </c>
      <c r="F2613" t="str">
        <f>+IFERROR(VLOOKUP(Fact_Administrativa[[#This Row], 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ht="18.75" customHeight="1" x14ac:dyDescent="0.35">
      <c r="C2614" s="100" t="str">
        <f>IF(OR(Fact_Administrativa[[#This Row], [Año]]="",Fact_Administrativa[[#This Row], [Mes]]=""),"",DATE(A2614,MATCH(B2614,{"enero","febrero","marzo","abril","mayo","junio","julio","agosto","septiembre","octubre","noviembre","diciembre"},0)+1,0))</f>
        <v/>
      </c>
      <c r="E2614" t="str">
        <f>+IFERROR(VLOOKUP(Fact_Administrativa[[#This Row], [Concepto Anterior]],Conceptos_Administrativa[#All],5,0),"")</f>
        <v/>
      </c>
      <c r="F2614" t="str">
        <f>+IFERROR(VLOOKUP(Fact_Administrativa[[#This Row], 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ht="18.75" customHeight="1" x14ac:dyDescent="0.35">
      <c r="C2615" s="100" t="str">
        <f>IF(OR(Fact_Administrativa[[#This Row], [Año]]="",Fact_Administrativa[[#This Row], [Mes]]=""),"",DATE(A2615,MATCH(B2615,{"enero","febrero","marzo","abril","mayo","junio","julio","agosto","septiembre","octubre","noviembre","diciembre"},0)+1,0))</f>
        <v/>
      </c>
      <c r="E2615" t="str">
        <f>+IFERROR(VLOOKUP(Fact_Administrativa[[#This Row], [Concepto Anterior]],Conceptos_Administrativa[#All],5,0),"")</f>
        <v/>
      </c>
      <c r="F2615" t="str">
        <f>+IFERROR(VLOOKUP(Fact_Administrativa[[#This Row], 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ht="18.75" customHeight="1" x14ac:dyDescent="0.35">
      <c r="C2616" s="100" t="str">
        <f>IF(OR(Fact_Administrativa[[#This Row], [Año]]="",Fact_Administrativa[[#This Row], [Mes]]=""),"",DATE(A2616,MATCH(B2616,{"enero","febrero","marzo","abril","mayo","junio","julio","agosto","septiembre","octubre","noviembre","diciembre"},0)+1,0))</f>
        <v/>
      </c>
      <c r="E2616" t="str">
        <f>+IFERROR(VLOOKUP(Fact_Administrativa[[#This Row], [Concepto Anterior]],Conceptos_Administrativa[#All],5,0),"")</f>
        <v/>
      </c>
      <c r="F2616" t="str">
        <f>+IFERROR(VLOOKUP(Fact_Administrativa[[#This Row], 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ht="18.75" customHeight="1" x14ac:dyDescent="0.35">
      <c r="C2617" s="100" t="str">
        <f>IF(OR(Fact_Administrativa[[#This Row], [Año]]="",Fact_Administrativa[[#This Row], [Mes]]=""),"",DATE(A2617,MATCH(B2617,{"enero","febrero","marzo","abril","mayo","junio","julio","agosto","septiembre","octubre","noviembre","diciembre"},0)+1,0))</f>
        <v/>
      </c>
      <c r="E2617" t="str">
        <f>+IFERROR(VLOOKUP(Fact_Administrativa[[#This Row], [Concepto Anterior]],Conceptos_Administrativa[#All],5,0),"")</f>
        <v/>
      </c>
      <c r="F2617" t="str">
        <f>+IFERROR(VLOOKUP(Fact_Administrativa[[#This Row], 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ht="18.75" customHeight="1" x14ac:dyDescent="0.35">
      <c r="C2618" s="100" t="str">
        <f>IF(OR(Fact_Administrativa[[#This Row], [Año]]="",Fact_Administrativa[[#This Row], [Mes]]=""),"",DATE(A2618,MATCH(B2618,{"enero","febrero","marzo","abril","mayo","junio","julio","agosto","septiembre","octubre","noviembre","diciembre"},0)+1,0))</f>
        <v/>
      </c>
      <c r="E2618" t="str">
        <f>+IFERROR(VLOOKUP(Fact_Administrativa[[#This Row], [Concepto Anterior]],Conceptos_Administrativa[#All],5,0),"")</f>
        <v/>
      </c>
      <c r="F2618" t="str">
        <f>+IFERROR(VLOOKUP(Fact_Administrativa[[#This Row], 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ht="18.75" customHeight="1" x14ac:dyDescent="0.35">
      <c r="C2619" s="100" t="str">
        <f>IF(OR(Fact_Administrativa[[#This Row], [Año]]="",Fact_Administrativa[[#This Row], [Mes]]=""),"",DATE(A2619,MATCH(B2619,{"enero","febrero","marzo","abril","mayo","junio","julio","agosto","septiembre","octubre","noviembre","diciembre"},0)+1,0))</f>
        <v/>
      </c>
      <c r="E2619" t="str">
        <f>+IFERROR(VLOOKUP(Fact_Administrativa[[#This Row], [Concepto Anterior]],Conceptos_Administrativa[#All],5,0),"")</f>
        <v/>
      </c>
      <c r="F2619" t="str">
        <f>+IFERROR(VLOOKUP(Fact_Administrativa[[#This Row], 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ht="18.75" customHeight="1" x14ac:dyDescent="0.35">
      <c r="C2620" s="100" t="str">
        <f>IF(OR(Fact_Administrativa[[#This Row], [Año]]="",Fact_Administrativa[[#This Row], [Mes]]=""),"",DATE(A2620,MATCH(B2620,{"enero","febrero","marzo","abril","mayo","junio","julio","agosto","septiembre","octubre","noviembre","diciembre"},0)+1,0))</f>
        <v/>
      </c>
      <c r="E2620" t="str">
        <f>+IFERROR(VLOOKUP(Fact_Administrativa[[#This Row], [Concepto Anterior]],Conceptos_Administrativa[#All],5,0),"")</f>
        <v/>
      </c>
      <c r="F2620" t="str">
        <f>+IFERROR(VLOOKUP(Fact_Administrativa[[#This Row], 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ht="18.75" customHeight="1" x14ac:dyDescent="0.35">
      <c r="C2621" s="100" t="str">
        <f>IF(OR(Fact_Administrativa[[#This Row], [Año]]="",Fact_Administrativa[[#This Row], [Mes]]=""),"",DATE(A2621,MATCH(B2621,{"enero","febrero","marzo","abril","mayo","junio","julio","agosto","septiembre","octubre","noviembre","diciembre"},0)+1,0))</f>
        <v/>
      </c>
      <c r="E2621" t="str">
        <f>+IFERROR(VLOOKUP(Fact_Administrativa[[#This Row], [Concepto Anterior]],Conceptos_Administrativa[#All],5,0),"")</f>
        <v/>
      </c>
      <c r="F2621" t="str">
        <f>+IFERROR(VLOOKUP(Fact_Administrativa[[#This Row], 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ht="18.75" customHeight="1" x14ac:dyDescent="0.35">
      <c r="C2622" s="100" t="str">
        <f>IF(OR(Fact_Administrativa[[#This Row], [Año]]="",Fact_Administrativa[[#This Row], [Mes]]=""),"",DATE(A2622,MATCH(B2622,{"enero","febrero","marzo","abril","mayo","junio","julio","agosto","septiembre","octubre","noviembre","diciembre"},0)+1,0))</f>
        <v/>
      </c>
      <c r="E2622" t="str">
        <f>+IFERROR(VLOOKUP(Fact_Administrativa[[#This Row], [Concepto Anterior]],Conceptos_Administrativa[#All],5,0),"")</f>
        <v/>
      </c>
      <c r="F2622" t="str">
        <f>+IFERROR(VLOOKUP(Fact_Administrativa[[#This Row], 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ht="18.75" customHeight="1" x14ac:dyDescent="0.35">
      <c r="C2623" s="100" t="str">
        <f>IF(OR(Fact_Administrativa[[#This Row], [Año]]="",Fact_Administrativa[[#This Row], [Mes]]=""),"",DATE(A2623,MATCH(B2623,{"enero","febrero","marzo","abril","mayo","junio","julio","agosto","septiembre","octubre","noviembre","diciembre"},0)+1,0))</f>
        <v/>
      </c>
      <c r="E2623" t="str">
        <f>+IFERROR(VLOOKUP(Fact_Administrativa[[#This Row], [Concepto Anterior]],Conceptos_Administrativa[#All],5,0),"")</f>
        <v/>
      </c>
      <c r="F2623" t="str">
        <f>+IFERROR(VLOOKUP(Fact_Administrativa[[#This Row], 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ht="18.75" customHeight="1" x14ac:dyDescent="0.35">
      <c r="C2624" s="100" t="str">
        <f>IF(OR(Fact_Administrativa[[#This Row], [Año]]="",Fact_Administrativa[[#This Row], [Mes]]=""),"",DATE(A2624,MATCH(B2624,{"enero","febrero","marzo","abril","mayo","junio","julio","agosto","septiembre","octubre","noviembre","diciembre"},0)+1,0))</f>
        <v/>
      </c>
      <c r="E2624" t="str">
        <f>+IFERROR(VLOOKUP(Fact_Administrativa[[#This Row], [Concepto Anterior]],Conceptos_Administrativa[#All],5,0),"")</f>
        <v/>
      </c>
      <c r="F2624" t="str">
        <f>+IFERROR(VLOOKUP(Fact_Administrativa[[#This Row], 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ht="18.75" customHeight="1" x14ac:dyDescent="0.35">
      <c r="C2625" s="100" t="str">
        <f>IF(OR(Fact_Administrativa[[#This Row], [Año]]="",Fact_Administrativa[[#This Row], [Mes]]=""),"",DATE(A2625,MATCH(B2625,{"enero","febrero","marzo","abril","mayo","junio","julio","agosto","septiembre","octubre","noviembre","diciembre"},0)+1,0))</f>
        <v/>
      </c>
      <c r="E2625" t="str">
        <f>+IFERROR(VLOOKUP(Fact_Administrativa[[#This Row], [Concepto Anterior]],Conceptos_Administrativa[#All],5,0),"")</f>
        <v/>
      </c>
      <c r="F2625" t="str">
        <f>+IFERROR(VLOOKUP(Fact_Administrativa[[#This Row], 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ht="18.75" customHeight="1" x14ac:dyDescent="0.35">
      <c r="C2626" s="100" t="str">
        <f>IF(OR(Fact_Administrativa[[#This Row], [Año]]="",Fact_Administrativa[[#This Row], [Mes]]=""),"",DATE(A2626,MATCH(B2626,{"enero","febrero","marzo","abril","mayo","junio","julio","agosto","septiembre","octubre","noviembre","diciembre"},0)+1,0))</f>
        <v/>
      </c>
      <c r="E2626" t="str">
        <f>+IFERROR(VLOOKUP(Fact_Administrativa[[#This Row], [Concepto Anterior]],Conceptos_Administrativa[#All],5,0),"")</f>
        <v/>
      </c>
      <c r="F2626" t="str">
        <f>+IFERROR(VLOOKUP(Fact_Administrativa[[#This Row], 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ht="18.75" customHeight="1" x14ac:dyDescent="0.35">
      <c r="C2627" s="100" t="str">
        <f>IF(OR(Fact_Administrativa[[#This Row], [Año]]="",Fact_Administrativa[[#This Row], [Mes]]=""),"",DATE(A2627,MATCH(B2627,{"enero","febrero","marzo","abril","mayo","junio","julio","agosto","septiembre","octubre","noviembre","diciembre"},0)+1,0))</f>
        <v/>
      </c>
      <c r="E2627" t="str">
        <f>+IFERROR(VLOOKUP(Fact_Administrativa[[#This Row], [Concepto Anterior]],Conceptos_Administrativa[#All],5,0),"")</f>
        <v/>
      </c>
      <c r="F2627" t="str">
        <f>+IFERROR(VLOOKUP(Fact_Administrativa[[#This Row], 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ht="18.75" customHeight="1" x14ac:dyDescent="0.35">
      <c r="C2628" s="100" t="str">
        <f>IF(OR(Fact_Administrativa[[#This Row], [Año]]="",Fact_Administrativa[[#This Row], [Mes]]=""),"",DATE(A2628,MATCH(B2628,{"enero","febrero","marzo","abril","mayo","junio","julio","agosto","septiembre","octubre","noviembre","diciembre"},0)+1,0))</f>
        <v/>
      </c>
      <c r="E2628" t="str">
        <f>+IFERROR(VLOOKUP(Fact_Administrativa[[#This Row], [Concepto Anterior]],Conceptos_Administrativa[#All],5,0),"")</f>
        <v/>
      </c>
      <c r="F2628" t="str">
        <f>+IFERROR(VLOOKUP(Fact_Administrativa[[#This Row], 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ht="18.75" customHeight="1" x14ac:dyDescent="0.35">
      <c r="C2629" s="100" t="str">
        <f>IF(OR(Fact_Administrativa[[#This Row], [Año]]="",Fact_Administrativa[[#This Row], [Mes]]=""),"",DATE(A2629,MATCH(B2629,{"enero","febrero","marzo","abril","mayo","junio","julio","agosto","septiembre","octubre","noviembre","diciembre"},0)+1,0))</f>
        <v/>
      </c>
      <c r="E2629" t="str">
        <f>+IFERROR(VLOOKUP(Fact_Administrativa[[#This Row], [Concepto Anterior]],Conceptos_Administrativa[#All],5,0),"")</f>
        <v/>
      </c>
      <c r="F2629" t="str">
        <f>+IFERROR(VLOOKUP(Fact_Administrativa[[#This Row], 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ht="18.75" customHeight="1" x14ac:dyDescent="0.35">
      <c r="C2630" s="100" t="str">
        <f>IF(OR(Fact_Administrativa[[#This Row], [Año]]="",Fact_Administrativa[[#This Row], [Mes]]=""),"",DATE(A2630,MATCH(B2630,{"enero","febrero","marzo","abril","mayo","junio","julio","agosto","septiembre","octubre","noviembre","diciembre"},0)+1,0))</f>
        <v/>
      </c>
      <c r="E2630" t="str">
        <f>+IFERROR(VLOOKUP(Fact_Administrativa[[#This Row], [Concepto Anterior]],Conceptos_Administrativa[#All],5,0),"")</f>
        <v/>
      </c>
      <c r="F2630" t="str">
        <f>+IFERROR(VLOOKUP(Fact_Administrativa[[#This Row], 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ht="18.75" customHeight="1" x14ac:dyDescent="0.35">
      <c r="C2631" s="100" t="str">
        <f>IF(OR(Fact_Administrativa[[#This Row], [Año]]="",Fact_Administrativa[[#This Row], [Mes]]=""),"",DATE(A2631,MATCH(B2631,{"enero","febrero","marzo","abril","mayo","junio","julio","agosto","septiembre","octubre","noviembre","diciembre"},0)+1,0))</f>
        <v/>
      </c>
      <c r="E2631" t="str">
        <f>+IFERROR(VLOOKUP(Fact_Administrativa[[#This Row], [Concepto Anterior]],Conceptos_Administrativa[#All],5,0),"")</f>
        <v/>
      </c>
      <c r="F2631" t="str">
        <f>+IFERROR(VLOOKUP(Fact_Administrativa[[#This Row], 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ht="18.75" customHeight="1" x14ac:dyDescent="0.35">
      <c r="C2632" s="100" t="str">
        <f>IF(OR(Fact_Administrativa[[#This Row], [Año]]="",Fact_Administrativa[[#This Row], [Mes]]=""),"",DATE(A2632,MATCH(B2632,{"enero","febrero","marzo","abril","mayo","junio","julio","agosto","septiembre","octubre","noviembre","diciembre"},0)+1,0))</f>
        <v/>
      </c>
      <c r="E2632" t="str">
        <f>+IFERROR(VLOOKUP(Fact_Administrativa[[#This Row], [Concepto Anterior]],Conceptos_Administrativa[#All],5,0),"")</f>
        <v/>
      </c>
      <c r="F2632" t="str">
        <f>+IFERROR(VLOOKUP(Fact_Administrativa[[#This Row], 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ht="18.75" customHeight="1" x14ac:dyDescent="0.35">
      <c r="C2633" s="100" t="str">
        <f>IF(OR(Fact_Administrativa[[#This Row], [Año]]="",Fact_Administrativa[[#This Row], [Mes]]=""),"",DATE(A2633,MATCH(B2633,{"enero","febrero","marzo","abril","mayo","junio","julio","agosto","septiembre","octubre","noviembre","diciembre"},0)+1,0))</f>
        <v/>
      </c>
      <c r="E2633" t="str">
        <f>+IFERROR(VLOOKUP(Fact_Administrativa[[#This Row], [Concepto Anterior]],Conceptos_Administrativa[#All],5,0),"")</f>
        <v/>
      </c>
      <c r="F2633" t="str">
        <f>+IFERROR(VLOOKUP(Fact_Administrativa[[#This Row], 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ht="18.75" customHeight="1" x14ac:dyDescent="0.35">
      <c r="C2634" s="100" t="str">
        <f>IF(OR(Fact_Administrativa[[#This Row], [Año]]="",Fact_Administrativa[[#This Row], [Mes]]=""),"",DATE(A2634,MATCH(B2634,{"enero","febrero","marzo","abril","mayo","junio","julio","agosto","septiembre","octubre","noviembre","diciembre"},0)+1,0))</f>
        <v/>
      </c>
      <c r="E2634" t="str">
        <f>+IFERROR(VLOOKUP(Fact_Administrativa[[#This Row], [Concepto Anterior]],Conceptos_Administrativa[#All],5,0),"")</f>
        <v/>
      </c>
      <c r="F2634" t="str">
        <f>+IFERROR(VLOOKUP(Fact_Administrativa[[#This Row], 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ht="18.75" customHeight="1" x14ac:dyDescent="0.35">
      <c r="C2635" s="100" t="str">
        <f>IF(OR(Fact_Administrativa[[#This Row], [Año]]="",Fact_Administrativa[[#This Row], [Mes]]=""),"",DATE(A2635,MATCH(B2635,{"enero","febrero","marzo","abril","mayo","junio","julio","agosto","septiembre","octubre","noviembre","diciembre"},0)+1,0))</f>
        <v/>
      </c>
      <c r="E2635" t="str">
        <f>+IFERROR(VLOOKUP(Fact_Administrativa[[#This Row], [Concepto Anterior]],Conceptos_Administrativa[#All],5,0),"")</f>
        <v/>
      </c>
      <c r="F2635" t="str">
        <f>+IFERROR(VLOOKUP(Fact_Administrativa[[#This Row], 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ht="18.75" customHeight="1" x14ac:dyDescent="0.35">
      <c r="C2636" s="100" t="str">
        <f>IF(OR(Fact_Administrativa[[#This Row], [Año]]="",Fact_Administrativa[[#This Row], [Mes]]=""),"",DATE(A2636,MATCH(B2636,{"enero","febrero","marzo","abril","mayo","junio","julio","agosto","septiembre","octubre","noviembre","diciembre"},0)+1,0))</f>
        <v/>
      </c>
      <c r="E2636" t="str">
        <f>+IFERROR(VLOOKUP(Fact_Administrativa[[#This Row], [Concepto Anterior]],Conceptos_Administrativa[#All],5,0),"")</f>
        <v/>
      </c>
      <c r="F2636" t="str">
        <f>+IFERROR(VLOOKUP(Fact_Administrativa[[#This Row], 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ht="18.75" customHeight="1" x14ac:dyDescent="0.35">
      <c r="C2637" s="100" t="str">
        <f>IF(OR(Fact_Administrativa[[#This Row], [Año]]="",Fact_Administrativa[[#This Row], [Mes]]=""),"",DATE(A2637,MATCH(B2637,{"enero","febrero","marzo","abril","mayo","junio","julio","agosto","septiembre","octubre","noviembre","diciembre"},0)+1,0))</f>
        <v/>
      </c>
      <c r="E2637" t="str">
        <f>+IFERROR(VLOOKUP(Fact_Administrativa[[#This Row], [Concepto Anterior]],Conceptos_Administrativa[#All],5,0),"")</f>
        <v/>
      </c>
      <c r="F2637" t="str">
        <f>+IFERROR(VLOOKUP(Fact_Administrativa[[#This Row], 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ht="18.75" customHeight="1" x14ac:dyDescent="0.35">
      <c r="C2638" s="100" t="str">
        <f>IF(OR(Fact_Administrativa[[#This Row], [Año]]="",Fact_Administrativa[[#This Row], [Mes]]=""),"",DATE(A2638,MATCH(B2638,{"enero","febrero","marzo","abril","mayo","junio","julio","agosto","septiembre","octubre","noviembre","diciembre"},0)+1,0))</f>
        <v/>
      </c>
      <c r="E2638" t="str">
        <f>+IFERROR(VLOOKUP(Fact_Administrativa[[#This Row], [Concepto Anterior]],Conceptos_Administrativa[#All],5,0),"")</f>
        <v/>
      </c>
      <c r="F2638" t="str">
        <f>+IFERROR(VLOOKUP(Fact_Administrativa[[#This Row], 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ht="18.75" customHeight="1" x14ac:dyDescent="0.35">
      <c r="C2639" s="100" t="str">
        <f>IF(OR(Fact_Administrativa[[#This Row], [Año]]="",Fact_Administrativa[[#This Row], [Mes]]=""),"",DATE(A2639,MATCH(B2639,{"enero","febrero","marzo","abril","mayo","junio","julio","agosto","septiembre","octubre","noviembre","diciembre"},0)+1,0))</f>
        <v/>
      </c>
      <c r="E2639" t="str">
        <f>+IFERROR(VLOOKUP(Fact_Administrativa[[#This Row], [Concepto Anterior]],Conceptos_Administrativa[#All],5,0),"")</f>
        <v/>
      </c>
      <c r="F2639" t="str">
        <f>+IFERROR(VLOOKUP(Fact_Administrativa[[#This Row], 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ht="18.75" customHeight="1" x14ac:dyDescent="0.35">
      <c r="C2640" s="100" t="str">
        <f>IF(OR(Fact_Administrativa[[#This Row], [Año]]="",Fact_Administrativa[[#This Row], [Mes]]=""),"",DATE(A2640,MATCH(B2640,{"enero","febrero","marzo","abril","mayo","junio","julio","agosto","septiembre","octubre","noviembre","diciembre"},0)+1,0))</f>
        <v/>
      </c>
      <c r="E2640" t="str">
        <f>+IFERROR(VLOOKUP(Fact_Administrativa[[#This Row], [Concepto Anterior]],Conceptos_Administrativa[#All],5,0),"")</f>
        <v/>
      </c>
      <c r="F2640" t="str">
        <f>+IFERROR(VLOOKUP(Fact_Administrativa[[#This Row], 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ht="18.75" customHeight="1" x14ac:dyDescent="0.35">
      <c r="C2641" s="100" t="str">
        <f>IF(OR(Fact_Administrativa[[#This Row], [Año]]="",Fact_Administrativa[[#This Row], [Mes]]=""),"",DATE(A2641,MATCH(B2641,{"enero","febrero","marzo","abril","mayo","junio","julio","agosto","septiembre","octubre","noviembre","diciembre"},0)+1,0))</f>
        <v/>
      </c>
      <c r="E2641" t="str">
        <f>+IFERROR(VLOOKUP(Fact_Administrativa[[#This Row], [Concepto Anterior]],Conceptos_Administrativa[#All],5,0),"")</f>
        <v/>
      </c>
      <c r="F2641" t="str">
        <f>+IFERROR(VLOOKUP(Fact_Administrativa[[#This Row], 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ht="18.75" customHeight="1" x14ac:dyDescent="0.35">
      <c r="C2642" s="100" t="str">
        <f>IF(OR(Fact_Administrativa[[#This Row], [Año]]="",Fact_Administrativa[[#This Row], [Mes]]=""),"",DATE(A2642,MATCH(B2642,{"enero","febrero","marzo","abril","mayo","junio","julio","agosto","septiembre","octubre","noviembre","diciembre"},0)+1,0))</f>
        <v/>
      </c>
      <c r="E2642" t="str">
        <f>+IFERROR(VLOOKUP(Fact_Administrativa[[#This Row], [Concepto Anterior]],Conceptos_Administrativa[#All],5,0),"")</f>
        <v/>
      </c>
      <c r="F2642" t="str">
        <f>+IFERROR(VLOOKUP(Fact_Administrativa[[#This Row], 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ht="18.75" customHeight="1" x14ac:dyDescent="0.35">
      <c r="C2643" s="100" t="str">
        <f>IF(OR(Fact_Administrativa[[#This Row], [Año]]="",Fact_Administrativa[[#This Row], [Mes]]=""),"",DATE(A2643,MATCH(B2643,{"enero","febrero","marzo","abril","mayo","junio","julio","agosto","septiembre","octubre","noviembre","diciembre"},0)+1,0))</f>
        <v/>
      </c>
      <c r="E2643" t="str">
        <f>+IFERROR(VLOOKUP(Fact_Administrativa[[#This Row], [Concepto Anterior]],Conceptos_Administrativa[#All],5,0),"")</f>
        <v/>
      </c>
      <c r="F2643" t="str">
        <f>+IFERROR(VLOOKUP(Fact_Administrativa[[#This Row], 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ht="18.75" customHeight="1" x14ac:dyDescent="0.35">
      <c r="C2644" s="100" t="str">
        <f>IF(OR(Fact_Administrativa[[#This Row], [Año]]="",Fact_Administrativa[[#This Row], [Mes]]=""),"",DATE(A2644,MATCH(B2644,{"enero","febrero","marzo","abril","mayo","junio","julio","agosto","septiembre","octubre","noviembre","diciembre"},0)+1,0))</f>
        <v/>
      </c>
      <c r="E2644" t="str">
        <f>+IFERROR(VLOOKUP(Fact_Administrativa[[#This Row], [Concepto Anterior]],Conceptos_Administrativa[#All],5,0),"")</f>
        <v/>
      </c>
      <c r="F2644" t="str">
        <f>+IFERROR(VLOOKUP(Fact_Administrativa[[#This Row], 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ht="18.75" customHeight="1" x14ac:dyDescent="0.35">
      <c r="C2645" s="100" t="str">
        <f>IF(OR(Fact_Administrativa[[#This Row], [Año]]="",Fact_Administrativa[[#This Row], [Mes]]=""),"",DATE(A2645,MATCH(B2645,{"enero","febrero","marzo","abril","mayo","junio","julio","agosto","septiembre","octubre","noviembre","diciembre"},0)+1,0))</f>
        <v/>
      </c>
      <c r="E2645" t="str">
        <f>+IFERROR(VLOOKUP(Fact_Administrativa[[#This Row], [Concepto Anterior]],Conceptos_Administrativa[#All],5,0),"")</f>
        <v/>
      </c>
      <c r="F2645" t="str">
        <f>+IFERROR(VLOOKUP(Fact_Administrativa[[#This Row], 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ht="18.75" customHeight="1" x14ac:dyDescent="0.35">
      <c r="C2646" s="100" t="str">
        <f>IF(OR(Fact_Administrativa[[#This Row], [Año]]="",Fact_Administrativa[[#This Row], [Mes]]=""),"",DATE(A2646,MATCH(B2646,{"enero","febrero","marzo","abril","mayo","junio","julio","agosto","septiembre","octubre","noviembre","diciembre"},0)+1,0))</f>
        <v/>
      </c>
      <c r="E2646" t="str">
        <f>+IFERROR(VLOOKUP(Fact_Administrativa[[#This Row], [Concepto Anterior]],Conceptos_Administrativa[#All],5,0),"")</f>
        <v/>
      </c>
      <c r="F2646" t="str">
        <f>+IFERROR(VLOOKUP(Fact_Administrativa[[#This Row], 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ht="18.75" customHeight="1" x14ac:dyDescent="0.35">
      <c r="C2647" s="100" t="str">
        <f>IF(OR(Fact_Administrativa[[#This Row], [Año]]="",Fact_Administrativa[[#This Row], [Mes]]=""),"",DATE(A2647,MATCH(B2647,{"enero","febrero","marzo","abril","mayo","junio","julio","agosto","septiembre","octubre","noviembre","diciembre"},0)+1,0))</f>
        <v/>
      </c>
      <c r="E2647" t="str">
        <f>+IFERROR(VLOOKUP(Fact_Administrativa[[#This Row], [Concepto Anterior]],Conceptos_Administrativa[#All],5,0),"")</f>
        <v/>
      </c>
      <c r="F2647" t="str">
        <f>+IFERROR(VLOOKUP(Fact_Administrativa[[#This Row], 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ht="18.75" customHeight="1" x14ac:dyDescent="0.35">
      <c r="C2648" s="100" t="str">
        <f>IF(OR(Fact_Administrativa[[#This Row], [Año]]="",Fact_Administrativa[[#This Row], [Mes]]=""),"",DATE(A2648,MATCH(B2648,{"enero","febrero","marzo","abril","mayo","junio","julio","agosto","septiembre","octubre","noviembre","diciembre"},0)+1,0))</f>
        <v/>
      </c>
      <c r="E2648" t="str">
        <f>+IFERROR(VLOOKUP(Fact_Administrativa[[#This Row], [Concepto Anterior]],Conceptos_Administrativa[#All],5,0),"")</f>
        <v/>
      </c>
      <c r="F2648" t="str">
        <f>+IFERROR(VLOOKUP(Fact_Administrativa[[#This Row], 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ht="18.75" customHeight="1" x14ac:dyDescent="0.35">
      <c r="C2649" s="100" t="str">
        <f>IF(OR(Fact_Administrativa[[#This Row], [Año]]="",Fact_Administrativa[[#This Row], [Mes]]=""),"",DATE(A2649,MATCH(B2649,{"enero","febrero","marzo","abril","mayo","junio","julio","agosto","septiembre","octubre","noviembre","diciembre"},0)+1,0))</f>
        <v/>
      </c>
      <c r="E2649" t="str">
        <f>+IFERROR(VLOOKUP(Fact_Administrativa[[#This Row], [Concepto Anterior]],Conceptos_Administrativa[#All],5,0),"")</f>
        <v/>
      </c>
      <c r="F2649" t="str">
        <f>+IFERROR(VLOOKUP(Fact_Administrativa[[#This Row], 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ht="18.75" customHeight="1" x14ac:dyDescent="0.35">
      <c r="C2650" s="100" t="str">
        <f>IF(OR(Fact_Administrativa[[#This Row], [Año]]="",Fact_Administrativa[[#This Row], [Mes]]=""),"",DATE(A2650,MATCH(B2650,{"enero","febrero","marzo","abril","mayo","junio","julio","agosto","septiembre","octubre","noviembre","diciembre"},0)+1,0))</f>
        <v/>
      </c>
      <c r="E2650" t="str">
        <f>+IFERROR(VLOOKUP(Fact_Administrativa[[#This Row], [Concepto Anterior]],Conceptos_Administrativa[#All],5,0),"")</f>
        <v/>
      </c>
      <c r="F2650" t="str">
        <f>+IFERROR(VLOOKUP(Fact_Administrativa[[#This Row], 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ht="18.75" customHeight="1" x14ac:dyDescent="0.35">
      <c r="C2651" s="100" t="str">
        <f>IF(OR(Fact_Administrativa[[#This Row], [Año]]="",Fact_Administrativa[[#This Row], [Mes]]=""),"",DATE(A2651,MATCH(B2651,{"enero","febrero","marzo","abril","mayo","junio","julio","agosto","septiembre","octubre","noviembre","diciembre"},0)+1,0))</f>
        <v/>
      </c>
      <c r="E2651" t="str">
        <f>+IFERROR(VLOOKUP(Fact_Administrativa[[#This Row], [Concepto Anterior]],Conceptos_Administrativa[#All],5,0),"")</f>
        <v/>
      </c>
      <c r="F2651" t="str">
        <f>+IFERROR(VLOOKUP(Fact_Administrativa[[#This Row], 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ht="18.75" customHeight="1" x14ac:dyDescent="0.35">
      <c r="C2652" s="100" t="str">
        <f>IF(OR(Fact_Administrativa[[#This Row], [Año]]="",Fact_Administrativa[[#This Row], [Mes]]=""),"",DATE(A2652,MATCH(B2652,{"enero","febrero","marzo","abril","mayo","junio","julio","agosto","septiembre","octubre","noviembre","diciembre"},0)+1,0))</f>
        <v/>
      </c>
      <c r="E2652" t="str">
        <f>+IFERROR(VLOOKUP(Fact_Administrativa[[#This Row], [Concepto Anterior]],Conceptos_Administrativa[#All],5,0),"")</f>
        <v/>
      </c>
      <c r="F2652" t="str">
        <f>+IFERROR(VLOOKUP(Fact_Administrativa[[#This Row], 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ht="18.75" customHeight="1" x14ac:dyDescent="0.35">
      <c r="C2653" s="100" t="str">
        <f>IF(OR(Fact_Administrativa[[#This Row], [Año]]="",Fact_Administrativa[[#This Row], [Mes]]=""),"",DATE(A2653,MATCH(B2653,{"enero","febrero","marzo","abril","mayo","junio","julio","agosto","septiembre","octubre","noviembre","diciembre"},0)+1,0))</f>
        <v/>
      </c>
      <c r="E2653" t="str">
        <f>+IFERROR(VLOOKUP(Fact_Administrativa[[#This Row], [Concepto Anterior]],Conceptos_Administrativa[#All],5,0),"")</f>
        <v/>
      </c>
      <c r="F2653" t="str">
        <f>+IFERROR(VLOOKUP(Fact_Administrativa[[#This Row], 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ht="18.75" customHeight="1" x14ac:dyDescent="0.35">
      <c r="C2654" s="100" t="str">
        <f>IF(OR(Fact_Administrativa[[#This Row], [Año]]="",Fact_Administrativa[[#This Row], [Mes]]=""),"",DATE(A2654,MATCH(B2654,{"enero","febrero","marzo","abril","mayo","junio","julio","agosto","septiembre","octubre","noviembre","diciembre"},0)+1,0))</f>
        <v/>
      </c>
      <c r="E2654" t="str">
        <f>+IFERROR(VLOOKUP(Fact_Administrativa[[#This Row], [Concepto Anterior]],Conceptos_Administrativa[#All],5,0),"")</f>
        <v/>
      </c>
      <c r="F2654" t="str">
        <f>+IFERROR(VLOOKUP(Fact_Administrativa[[#This Row], 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ht="18.75" customHeight="1" x14ac:dyDescent="0.35">
      <c r="C2655" s="100" t="str">
        <f>IF(OR(Fact_Administrativa[[#This Row], [Año]]="",Fact_Administrativa[[#This Row], [Mes]]=""),"",DATE(A2655,MATCH(B2655,{"enero","febrero","marzo","abril","mayo","junio","julio","agosto","septiembre","octubre","noviembre","diciembre"},0)+1,0))</f>
        <v/>
      </c>
      <c r="E2655" t="str">
        <f>+IFERROR(VLOOKUP(Fact_Administrativa[[#This Row], [Concepto Anterior]],Conceptos_Administrativa[#All],5,0),"")</f>
        <v/>
      </c>
      <c r="F2655" t="str">
        <f>+IFERROR(VLOOKUP(Fact_Administrativa[[#This Row], 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ht="18.75" customHeight="1" x14ac:dyDescent="0.35">
      <c r="C2656" s="100" t="str">
        <f>IF(OR(Fact_Administrativa[[#This Row], [Año]]="",Fact_Administrativa[[#This Row], [Mes]]=""),"",DATE(A2656,MATCH(B2656,{"enero","febrero","marzo","abril","mayo","junio","julio","agosto","septiembre","octubre","noviembre","diciembre"},0)+1,0))</f>
        <v/>
      </c>
      <c r="E2656" t="str">
        <f>+IFERROR(VLOOKUP(Fact_Administrativa[[#This Row], [Concepto Anterior]],Conceptos_Administrativa[#All],5,0),"")</f>
        <v/>
      </c>
      <c r="F2656" t="str">
        <f>+IFERROR(VLOOKUP(Fact_Administrativa[[#This Row], 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ht="18.75" customHeight="1" x14ac:dyDescent="0.35">
      <c r="C2657" s="100" t="str">
        <f>IF(OR(Fact_Administrativa[[#This Row], [Año]]="",Fact_Administrativa[[#This Row], [Mes]]=""),"",DATE(A2657,MATCH(B2657,{"enero","febrero","marzo","abril","mayo","junio","julio","agosto","septiembre","octubre","noviembre","diciembre"},0)+1,0))</f>
        <v/>
      </c>
      <c r="E2657" t="str">
        <f>+IFERROR(VLOOKUP(Fact_Administrativa[[#This Row], [Concepto Anterior]],Conceptos_Administrativa[#All],5,0),"")</f>
        <v/>
      </c>
      <c r="F2657" t="str">
        <f>+IFERROR(VLOOKUP(Fact_Administrativa[[#This Row], 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ht="18.75" customHeight="1" x14ac:dyDescent="0.35">
      <c r="C2658" s="100" t="str">
        <f>IF(OR(Fact_Administrativa[[#This Row], [Año]]="",Fact_Administrativa[[#This Row], [Mes]]=""),"",DATE(A2658,MATCH(B2658,{"enero","febrero","marzo","abril","mayo","junio","julio","agosto","septiembre","octubre","noviembre","diciembre"},0)+1,0))</f>
        <v/>
      </c>
      <c r="E2658" t="str">
        <f>+IFERROR(VLOOKUP(Fact_Administrativa[[#This Row], [Concepto Anterior]],Conceptos_Administrativa[#All],5,0),"")</f>
        <v/>
      </c>
      <c r="F2658" t="str">
        <f>+IFERROR(VLOOKUP(Fact_Administrativa[[#This Row], 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ht="18.75" customHeight="1" x14ac:dyDescent="0.35">
      <c r="C2659" s="100" t="str">
        <f>IF(OR(Fact_Administrativa[[#This Row], [Año]]="",Fact_Administrativa[[#This Row], [Mes]]=""),"",DATE(A2659,MATCH(B2659,{"enero","febrero","marzo","abril","mayo","junio","julio","agosto","septiembre","octubre","noviembre","diciembre"},0)+1,0))</f>
        <v/>
      </c>
      <c r="E2659" t="str">
        <f>+IFERROR(VLOOKUP(Fact_Administrativa[[#This Row], [Concepto Anterior]],Conceptos_Administrativa[#All],5,0),"")</f>
        <v/>
      </c>
      <c r="F2659" t="str">
        <f>+IFERROR(VLOOKUP(Fact_Administrativa[[#This Row], 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ht="18.75" customHeight="1" x14ac:dyDescent="0.35">
      <c r="C2660" s="100" t="str">
        <f>IF(OR(Fact_Administrativa[[#This Row], [Año]]="",Fact_Administrativa[[#This Row], [Mes]]=""),"",DATE(A2660,MATCH(B2660,{"enero","febrero","marzo","abril","mayo","junio","julio","agosto","septiembre","octubre","noviembre","diciembre"},0)+1,0))</f>
        <v/>
      </c>
      <c r="E2660" t="str">
        <f>+IFERROR(VLOOKUP(Fact_Administrativa[[#This Row], [Concepto Anterior]],Conceptos_Administrativa[#All],5,0),"")</f>
        <v/>
      </c>
      <c r="F2660" t="str">
        <f>+IFERROR(VLOOKUP(Fact_Administrativa[[#This Row], 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ht="18.75" customHeight="1" x14ac:dyDescent="0.35">
      <c r="C2661" s="100" t="str">
        <f>IF(OR(Fact_Administrativa[[#This Row], [Año]]="",Fact_Administrativa[[#This Row], [Mes]]=""),"",DATE(A2661,MATCH(B2661,{"enero","febrero","marzo","abril","mayo","junio","julio","agosto","septiembre","octubre","noviembre","diciembre"},0)+1,0))</f>
        <v/>
      </c>
      <c r="E2661" t="str">
        <f>+IFERROR(VLOOKUP(Fact_Administrativa[[#This Row], [Concepto Anterior]],Conceptos_Administrativa[#All],5,0),"")</f>
        <v/>
      </c>
      <c r="F2661" t="str">
        <f>+IFERROR(VLOOKUP(Fact_Administrativa[[#This Row], 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ht="18.75" customHeight="1" x14ac:dyDescent="0.35">
      <c r="C2662" s="100" t="str">
        <f>IF(OR(Fact_Administrativa[[#This Row], [Año]]="",Fact_Administrativa[[#This Row], [Mes]]=""),"",DATE(A2662,MATCH(B2662,{"enero","febrero","marzo","abril","mayo","junio","julio","agosto","septiembre","octubre","noviembre","diciembre"},0)+1,0))</f>
        <v/>
      </c>
      <c r="E2662" t="str">
        <f>+IFERROR(VLOOKUP(Fact_Administrativa[[#This Row], [Concepto Anterior]],Conceptos_Administrativa[#All],5,0),"")</f>
        <v/>
      </c>
      <c r="F2662" t="str">
        <f>+IFERROR(VLOOKUP(Fact_Administrativa[[#This Row], 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ht="18.75" customHeight="1" x14ac:dyDescent="0.35">
      <c r="C2663" s="100" t="str">
        <f>IF(OR(Fact_Administrativa[[#This Row], [Año]]="",Fact_Administrativa[[#This Row], [Mes]]=""),"",DATE(A2663,MATCH(B2663,{"enero","febrero","marzo","abril","mayo","junio","julio","agosto","septiembre","octubre","noviembre","diciembre"},0)+1,0))</f>
        <v/>
      </c>
      <c r="E2663" t="str">
        <f>+IFERROR(VLOOKUP(Fact_Administrativa[[#This Row], [Concepto Anterior]],Conceptos_Administrativa[#All],5,0),"")</f>
        <v/>
      </c>
      <c r="F2663" t="str">
        <f>+IFERROR(VLOOKUP(Fact_Administrativa[[#This Row], 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ht="18.75" customHeight="1" x14ac:dyDescent="0.35">
      <c r="C2664" s="100" t="str">
        <f>IF(OR(Fact_Administrativa[[#This Row], [Año]]="",Fact_Administrativa[[#This Row], [Mes]]=""),"",DATE(A2664,MATCH(B2664,{"enero","febrero","marzo","abril","mayo","junio","julio","agosto","septiembre","octubre","noviembre","diciembre"},0)+1,0))</f>
        <v/>
      </c>
      <c r="E2664" t="str">
        <f>+IFERROR(VLOOKUP(Fact_Administrativa[[#This Row], [Concepto Anterior]],Conceptos_Administrativa[#All],5,0),"")</f>
        <v/>
      </c>
      <c r="F2664" t="str">
        <f>+IFERROR(VLOOKUP(Fact_Administrativa[[#This Row], 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ht="18.75" customHeight="1" x14ac:dyDescent="0.35">
      <c r="C2665" s="100" t="str">
        <f>IF(OR(Fact_Administrativa[[#This Row], [Año]]="",Fact_Administrativa[[#This Row], [Mes]]=""),"",DATE(A2665,MATCH(B2665,{"enero","febrero","marzo","abril","mayo","junio","julio","agosto","septiembre","octubre","noviembre","diciembre"},0)+1,0))</f>
        <v/>
      </c>
      <c r="E2665" t="str">
        <f>+IFERROR(VLOOKUP(Fact_Administrativa[[#This Row], [Concepto Anterior]],Conceptos_Administrativa[#All],5,0),"")</f>
        <v/>
      </c>
      <c r="F2665" t="str">
        <f>+IFERROR(VLOOKUP(Fact_Administrativa[[#This Row], 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ht="18.75" customHeight="1" x14ac:dyDescent="0.35">
      <c r="C2666" s="100" t="str">
        <f>IF(OR(Fact_Administrativa[[#This Row], [Año]]="",Fact_Administrativa[[#This Row], [Mes]]=""),"",DATE(A2666,MATCH(B2666,{"enero","febrero","marzo","abril","mayo","junio","julio","agosto","septiembre","octubre","noviembre","diciembre"},0)+1,0))</f>
        <v/>
      </c>
      <c r="E2666" t="str">
        <f>+IFERROR(VLOOKUP(Fact_Administrativa[[#This Row], [Concepto Anterior]],Conceptos_Administrativa[#All],5,0),"")</f>
        <v/>
      </c>
      <c r="F2666" t="str">
        <f>+IFERROR(VLOOKUP(Fact_Administrativa[[#This Row], 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ht="18.75" customHeight="1" x14ac:dyDescent="0.35">
      <c r="C2667" s="100" t="str">
        <f>IF(OR(Fact_Administrativa[[#This Row], [Año]]="",Fact_Administrativa[[#This Row], [Mes]]=""),"",DATE(A2667,MATCH(B2667,{"enero","febrero","marzo","abril","mayo","junio","julio","agosto","septiembre","octubre","noviembre","diciembre"},0)+1,0))</f>
        <v/>
      </c>
      <c r="E2667" t="str">
        <f>+IFERROR(VLOOKUP(Fact_Administrativa[[#This Row], [Concepto Anterior]],Conceptos_Administrativa[#All],5,0),"")</f>
        <v/>
      </c>
      <c r="F2667" t="str">
        <f>+IFERROR(VLOOKUP(Fact_Administrativa[[#This Row], 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ht="18.75" customHeight="1" x14ac:dyDescent="0.35">
      <c r="C2668" s="100" t="str">
        <f>IF(OR(Fact_Administrativa[[#This Row], [Año]]="",Fact_Administrativa[[#This Row], [Mes]]=""),"",DATE(A2668,MATCH(B2668,{"enero","febrero","marzo","abril","mayo","junio","julio","agosto","septiembre","octubre","noviembre","diciembre"},0)+1,0))</f>
        <v/>
      </c>
      <c r="E2668" t="str">
        <f>+IFERROR(VLOOKUP(Fact_Administrativa[[#This Row], [Concepto Anterior]],Conceptos_Administrativa[#All],5,0),"")</f>
        <v/>
      </c>
      <c r="F2668" t="str">
        <f>+IFERROR(VLOOKUP(Fact_Administrativa[[#This Row], 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ht="18.75" customHeight="1" x14ac:dyDescent="0.35">
      <c r="C2669" s="100" t="str">
        <f>IF(OR(Fact_Administrativa[[#This Row], [Año]]="",Fact_Administrativa[[#This Row], [Mes]]=""),"",DATE(A2669,MATCH(B2669,{"enero","febrero","marzo","abril","mayo","junio","julio","agosto","septiembre","octubre","noviembre","diciembre"},0)+1,0))</f>
        <v/>
      </c>
      <c r="E2669" t="str">
        <f>+IFERROR(VLOOKUP(Fact_Administrativa[[#This Row], [Concepto Anterior]],Conceptos_Administrativa[#All],5,0),"")</f>
        <v/>
      </c>
      <c r="F2669" t="str">
        <f>+IFERROR(VLOOKUP(Fact_Administrativa[[#This Row], 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ht="18.75" customHeight="1" x14ac:dyDescent="0.35">
      <c r="C2670" s="100" t="str">
        <f>IF(OR(Fact_Administrativa[[#This Row], [Año]]="",Fact_Administrativa[[#This Row], [Mes]]=""),"",DATE(A2670,MATCH(B2670,{"enero","febrero","marzo","abril","mayo","junio","julio","agosto","septiembre","octubre","noviembre","diciembre"},0)+1,0))</f>
        <v/>
      </c>
      <c r="E2670" t="str">
        <f>+IFERROR(VLOOKUP(Fact_Administrativa[[#This Row], [Concepto Anterior]],Conceptos_Administrativa[#All],5,0),"")</f>
        <v/>
      </c>
      <c r="F2670" t="str">
        <f>+IFERROR(VLOOKUP(Fact_Administrativa[[#This Row], 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ht="18.75" customHeight="1" x14ac:dyDescent="0.35">
      <c r="C2671" s="100" t="str">
        <f>IF(OR(Fact_Administrativa[[#This Row], [Año]]="",Fact_Administrativa[[#This Row], [Mes]]=""),"",DATE(A2671,MATCH(B2671,{"enero","febrero","marzo","abril","mayo","junio","julio","agosto","septiembre","octubre","noviembre","diciembre"},0)+1,0))</f>
        <v/>
      </c>
      <c r="E2671" t="str">
        <f>+IFERROR(VLOOKUP(Fact_Administrativa[[#This Row], [Concepto Anterior]],Conceptos_Administrativa[#All],5,0),"")</f>
        <v/>
      </c>
      <c r="F2671" t="str">
        <f>+IFERROR(VLOOKUP(Fact_Administrativa[[#This Row], 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ht="18.75" customHeight="1" x14ac:dyDescent="0.35">
      <c r="C2672" s="100" t="str">
        <f>IF(OR(Fact_Administrativa[[#This Row], [Año]]="",Fact_Administrativa[[#This Row], [Mes]]=""),"",DATE(A2672,MATCH(B2672,{"enero","febrero","marzo","abril","mayo","junio","julio","agosto","septiembre","octubre","noviembre","diciembre"},0)+1,0))</f>
        <v/>
      </c>
      <c r="E2672" t="str">
        <f>+IFERROR(VLOOKUP(Fact_Administrativa[[#This Row], [Concepto Anterior]],Conceptos_Administrativa[#All],5,0),"")</f>
        <v/>
      </c>
      <c r="F2672" t="str">
        <f>+IFERROR(VLOOKUP(Fact_Administrativa[[#This Row], 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ht="18.75" customHeight="1" x14ac:dyDescent="0.35">
      <c r="C2673" s="100" t="str">
        <f>IF(OR(Fact_Administrativa[[#This Row], [Año]]="",Fact_Administrativa[[#This Row], [Mes]]=""),"",DATE(A2673,MATCH(B2673,{"enero","febrero","marzo","abril","mayo","junio","julio","agosto","septiembre","octubre","noviembre","diciembre"},0)+1,0))</f>
        <v/>
      </c>
      <c r="E2673" t="str">
        <f>+IFERROR(VLOOKUP(Fact_Administrativa[[#This Row], [Concepto Anterior]],Conceptos_Administrativa[#All],5,0),"")</f>
        <v/>
      </c>
      <c r="F2673" t="str">
        <f>+IFERROR(VLOOKUP(Fact_Administrativa[[#This Row], 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ht="18.75" customHeight="1" x14ac:dyDescent="0.35">
      <c r="C2674" s="100" t="str">
        <f>IF(OR(Fact_Administrativa[[#This Row], [Año]]="",Fact_Administrativa[[#This Row], [Mes]]=""),"",DATE(A2674,MATCH(B2674,{"enero","febrero","marzo","abril","mayo","junio","julio","agosto","septiembre","octubre","noviembre","diciembre"},0)+1,0))</f>
        <v/>
      </c>
      <c r="E2674" t="str">
        <f>+IFERROR(VLOOKUP(Fact_Administrativa[[#This Row], [Concepto Anterior]],Conceptos_Administrativa[#All],5,0),"")</f>
        <v/>
      </c>
      <c r="F2674" t="str">
        <f>+IFERROR(VLOOKUP(Fact_Administrativa[[#This Row], 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ht="18.75" customHeight="1" x14ac:dyDescent="0.35">
      <c r="C2675" s="100" t="str">
        <f>IF(OR(Fact_Administrativa[[#This Row], [Año]]="",Fact_Administrativa[[#This Row], [Mes]]=""),"",DATE(A2675,MATCH(B2675,{"enero","febrero","marzo","abril","mayo","junio","julio","agosto","septiembre","octubre","noviembre","diciembre"},0)+1,0))</f>
        <v/>
      </c>
      <c r="E2675" t="str">
        <f>+IFERROR(VLOOKUP(Fact_Administrativa[[#This Row], [Concepto Anterior]],Conceptos_Administrativa[#All],5,0),"")</f>
        <v/>
      </c>
      <c r="F2675" t="str">
        <f>+IFERROR(VLOOKUP(Fact_Administrativa[[#This Row], 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ht="18.75" customHeight="1" x14ac:dyDescent="0.35">
      <c r="C2676" s="100" t="str">
        <f>IF(OR(Fact_Administrativa[[#This Row], [Año]]="",Fact_Administrativa[[#This Row], [Mes]]=""),"",DATE(A2676,MATCH(B2676,{"enero","febrero","marzo","abril","mayo","junio","julio","agosto","septiembre","octubre","noviembre","diciembre"},0)+1,0))</f>
        <v/>
      </c>
      <c r="E2676" t="str">
        <f>+IFERROR(VLOOKUP(Fact_Administrativa[[#This Row], [Concepto Anterior]],Conceptos_Administrativa[#All],5,0),"")</f>
        <v/>
      </c>
      <c r="F2676" t="str">
        <f>+IFERROR(VLOOKUP(Fact_Administrativa[[#This Row], 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ht="18.75" customHeight="1" x14ac:dyDescent="0.35">
      <c r="C2677" s="100" t="str">
        <f>IF(OR(Fact_Administrativa[[#This Row], [Año]]="",Fact_Administrativa[[#This Row], [Mes]]=""),"",DATE(A2677,MATCH(B2677,{"enero","febrero","marzo","abril","mayo","junio","julio","agosto","septiembre","octubre","noviembre","diciembre"},0)+1,0))</f>
        <v/>
      </c>
      <c r="E2677" t="str">
        <f>+IFERROR(VLOOKUP(Fact_Administrativa[[#This Row], [Concepto Anterior]],Conceptos_Administrativa[#All],5,0),"")</f>
        <v/>
      </c>
      <c r="F2677" t="str">
        <f>+IFERROR(VLOOKUP(Fact_Administrativa[[#This Row], 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ht="18.75" customHeight="1" x14ac:dyDescent="0.35">
      <c r="C2678" s="100" t="str">
        <f>IF(OR(Fact_Administrativa[[#This Row], [Año]]="",Fact_Administrativa[[#This Row], [Mes]]=""),"",DATE(A2678,MATCH(B2678,{"enero","febrero","marzo","abril","mayo","junio","julio","agosto","septiembre","octubre","noviembre","diciembre"},0)+1,0))</f>
        <v/>
      </c>
      <c r="E2678" t="str">
        <f>+IFERROR(VLOOKUP(Fact_Administrativa[[#This Row], [Concepto Anterior]],Conceptos_Administrativa[#All],5,0),"")</f>
        <v/>
      </c>
      <c r="F2678" t="str">
        <f>+IFERROR(VLOOKUP(Fact_Administrativa[[#This Row], 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ht="18.75" customHeight="1" x14ac:dyDescent="0.35">
      <c r="C2679" s="100" t="str">
        <f>IF(OR(Fact_Administrativa[[#This Row], [Año]]="",Fact_Administrativa[[#This Row], [Mes]]=""),"",DATE(A2679,MATCH(B2679,{"enero","febrero","marzo","abril","mayo","junio","julio","agosto","septiembre","octubre","noviembre","diciembre"},0)+1,0))</f>
        <v/>
      </c>
      <c r="E2679" t="str">
        <f>+IFERROR(VLOOKUP(Fact_Administrativa[[#This Row], [Concepto Anterior]],Conceptos_Administrativa[#All],5,0),"")</f>
        <v/>
      </c>
      <c r="F2679" t="str">
        <f>+IFERROR(VLOOKUP(Fact_Administrativa[[#This Row], 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ht="18.75" customHeight="1" x14ac:dyDescent="0.35">
      <c r="C2680" s="100" t="str">
        <f>IF(OR(Fact_Administrativa[[#This Row], [Año]]="",Fact_Administrativa[[#This Row], [Mes]]=""),"",DATE(A2680,MATCH(B2680,{"enero","febrero","marzo","abril","mayo","junio","julio","agosto","septiembre","octubre","noviembre","diciembre"},0)+1,0))</f>
        <v/>
      </c>
      <c r="E2680" t="str">
        <f>+IFERROR(VLOOKUP(Fact_Administrativa[[#This Row], [Concepto Anterior]],Conceptos_Administrativa[#All],5,0),"")</f>
        <v/>
      </c>
      <c r="F2680" t="str">
        <f>+IFERROR(VLOOKUP(Fact_Administrativa[[#This Row], 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ht="18.75" customHeight="1" x14ac:dyDescent="0.35">
      <c r="C2681" s="100" t="str">
        <f>IF(OR(Fact_Administrativa[[#This Row], [Año]]="",Fact_Administrativa[[#This Row], [Mes]]=""),"",DATE(A2681,MATCH(B2681,{"enero","febrero","marzo","abril","mayo","junio","julio","agosto","septiembre","octubre","noviembre","diciembre"},0)+1,0))</f>
        <v/>
      </c>
      <c r="E2681" t="str">
        <f>+IFERROR(VLOOKUP(Fact_Administrativa[[#This Row], [Concepto Anterior]],Conceptos_Administrativa[#All],5,0),"")</f>
        <v/>
      </c>
      <c r="F2681" t="str">
        <f>+IFERROR(VLOOKUP(Fact_Administrativa[[#This Row], 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ht="18.75" customHeight="1" x14ac:dyDescent="0.35">
      <c r="C2682" s="100" t="str">
        <f>IF(OR(Fact_Administrativa[[#This Row], [Año]]="",Fact_Administrativa[[#This Row], [Mes]]=""),"",DATE(A2682,MATCH(B2682,{"enero","febrero","marzo","abril","mayo","junio","julio","agosto","septiembre","octubre","noviembre","diciembre"},0)+1,0))</f>
        <v/>
      </c>
      <c r="E2682" t="str">
        <f>+IFERROR(VLOOKUP(Fact_Administrativa[[#This Row], [Concepto Anterior]],Conceptos_Administrativa[#All],5,0),"")</f>
        <v/>
      </c>
      <c r="F2682" t="str">
        <f>+IFERROR(VLOOKUP(Fact_Administrativa[[#This Row], 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ht="18.75" customHeight="1" x14ac:dyDescent="0.35">
      <c r="C2683" s="100" t="str">
        <f>IF(OR(Fact_Administrativa[[#This Row], [Año]]="",Fact_Administrativa[[#This Row], [Mes]]=""),"",DATE(A2683,MATCH(B2683,{"enero","febrero","marzo","abril","mayo","junio","julio","agosto","septiembre","octubre","noviembre","diciembre"},0)+1,0))</f>
        <v/>
      </c>
      <c r="E2683" t="str">
        <f>+IFERROR(VLOOKUP(Fact_Administrativa[[#This Row], [Concepto Anterior]],Conceptos_Administrativa[#All],5,0),"")</f>
        <v/>
      </c>
      <c r="F2683" t="str">
        <f>+IFERROR(VLOOKUP(Fact_Administrativa[[#This Row], 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ht="18.75" customHeight="1" x14ac:dyDescent="0.35">
      <c r="C2684" s="100" t="str">
        <f>IF(OR(Fact_Administrativa[[#This Row], [Año]]="",Fact_Administrativa[[#This Row], [Mes]]=""),"",DATE(A2684,MATCH(B2684,{"enero","febrero","marzo","abril","mayo","junio","julio","agosto","septiembre","octubre","noviembre","diciembre"},0)+1,0))</f>
        <v/>
      </c>
      <c r="E2684" t="str">
        <f>+IFERROR(VLOOKUP(Fact_Administrativa[[#This Row], [Concepto Anterior]],Conceptos_Administrativa[#All],5,0),"")</f>
        <v/>
      </c>
      <c r="F2684" t="str">
        <f>+IFERROR(VLOOKUP(Fact_Administrativa[[#This Row], 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ht="18.75" customHeight="1" x14ac:dyDescent="0.35">
      <c r="C2685" s="100" t="str">
        <f>IF(OR(Fact_Administrativa[[#This Row], [Año]]="",Fact_Administrativa[[#This Row], [Mes]]=""),"",DATE(A2685,MATCH(B2685,{"enero","febrero","marzo","abril","mayo","junio","julio","agosto","septiembre","octubre","noviembre","diciembre"},0)+1,0))</f>
        <v/>
      </c>
      <c r="E2685" t="str">
        <f>+IFERROR(VLOOKUP(Fact_Administrativa[[#This Row], [Concepto Anterior]],Conceptos_Administrativa[#All],5,0),"")</f>
        <v/>
      </c>
      <c r="F2685" t="str">
        <f>+IFERROR(VLOOKUP(Fact_Administrativa[[#This Row], 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ht="18.75" customHeight="1" x14ac:dyDescent="0.35">
      <c r="C2686" s="100" t="str">
        <f>IF(OR(Fact_Administrativa[[#This Row], [Año]]="",Fact_Administrativa[[#This Row], [Mes]]=""),"",DATE(A2686,MATCH(B2686,{"enero","febrero","marzo","abril","mayo","junio","julio","agosto","septiembre","octubre","noviembre","diciembre"},0)+1,0))</f>
        <v/>
      </c>
      <c r="E2686" t="str">
        <f>+IFERROR(VLOOKUP(Fact_Administrativa[[#This Row], [Concepto Anterior]],Conceptos_Administrativa[#All],5,0),"")</f>
        <v/>
      </c>
      <c r="F2686" t="str">
        <f>+IFERROR(VLOOKUP(Fact_Administrativa[[#This Row], 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ht="18.75" customHeight="1" x14ac:dyDescent="0.35">
      <c r="C2687" s="100" t="str">
        <f>IF(OR(Fact_Administrativa[[#This Row], [Año]]="",Fact_Administrativa[[#This Row], [Mes]]=""),"",DATE(A2687,MATCH(B2687,{"enero","febrero","marzo","abril","mayo","junio","julio","agosto","septiembre","octubre","noviembre","diciembre"},0)+1,0))</f>
        <v/>
      </c>
      <c r="E2687" t="str">
        <f>+IFERROR(VLOOKUP(Fact_Administrativa[[#This Row], [Concepto Anterior]],Conceptos_Administrativa[#All],5,0),"")</f>
        <v/>
      </c>
      <c r="F2687" t="str">
        <f>+IFERROR(VLOOKUP(Fact_Administrativa[[#This Row], 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ht="18.75" customHeight="1" x14ac:dyDescent="0.35">
      <c r="C2688" s="100" t="str">
        <f>IF(OR(Fact_Administrativa[[#This Row], [Año]]="",Fact_Administrativa[[#This Row], [Mes]]=""),"",DATE(A2688,MATCH(B2688,{"enero","febrero","marzo","abril","mayo","junio","julio","agosto","septiembre","octubre","noviembre","diciembre"},0)+1,0))</f>
        <v/>
      </c>
      <c r="E2688" t="str">
        <f>+IFERROR(VLOOKUP(Fact_Administrativa[[#This Row], [Concepto Anterior]],Conceptos_Administrativa[#All],5,0),"")</f>
        <v/>
      </c>
      <c r="F2688" t="str">
        <f>+IFERROR(VLOOKUP(Fact_Administrativa[[#This Row], 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ht="18.75" customHeight="1" x14ac:dyDescent="0.35">
      <c r="C2689" s="100" t="str">
        <f>IF(OR(Fact_Administrativa[[#This Row], [Año]]="",Fact_Administrativa[[#This Row], [Mes]]=""),"",DATE(A2689,MATCH(B2689,{"enero","febrero","marzo","abril","mayo","junio","julio","agosto","septiembre","octubre","noviembre","diciembre"},0)+1,0))</f>
        <v/>
      </c>
      <c r="E2689" t="str">
        <f>+IFERROR(VLOOKUP(Fact_Administrativa[[#This Row], [Concepto Anterior]],Conceptos_Administrativa[#All],5,0),"")</f>
        <v/>
      </c>
      <c r="F2689" t="str">
        <f>+IFERROR(VLOOKUP(Fact_Administrativa[[#This Row], 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ht="18.75" customHeight="1" x14ac:dyDescent="0.35">
      <c r="C2690" s="100" t="str">
        <f>IF(OR(Fact_Administrativa[[#This Row], [Año]]="",Fact_Administrativa[[#This Row], [Mes]]=""),"",DATE(A2690,MATCH(B2690,{"enero","febrero","marzo","abril","mayo","junio","julio","agosto","septiembre","octubre","noviembre","diciembre"},0)+1,0))</f>
        <v/>
      </c>
      <c r="E2690" t="str">
        <f>+IFERROR(VLOOKUP(Fact_Administrativa[[#This Row], [Concepto Anterior]],Conceptos_Administrativa[#All],5,0),"")</f>
        <v/>
      </c>
      <c r="F2690" t="str">
        <f>+IFERROR(VLOOKUP(Fact_Administrativa[[#This Row], 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ht="18.75" customHeight="1" x14ac:dyDescent="0.35">
      <c r="C2691" s="100" t="str">
        <f>IF(OR(Fact_Administrativa[[#This Row], [Año]]="",Fact_Administrativa[[#This Row], [Mes]]=""),"",DATE(A2691,MATCH(B2691,{"enero","febrero","marzo","abril","mayo","junio","julio","agosto","septiembre","octubre","noviembre","diciembre"},0)+1,0))</f>
        <v/>
      </c>
      <c r="E2691" t="str">
        <f>+IFERROR(VLOOKUP(Fact_Administrativa[[#This Row], [Concepto Anterior]],Conceptos_Administrativa[#All],5,0),"")</f>
        <v/>
      </c>
      <c r="F2691" t="str">
        <f>+IFERROR(VLOOKUP(Fact_Administrativa[[#This Row], 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ht="18.75" customHeight="1" x14ac:dyDescent="0.35">
      <c r="C2692" s="100" t="str">
        <f>IF(OR(Fact_Administrativa[[#This Row], [Año]]="",Fact_Administrativa[[#This Row], [Mes]]=""),"",DATE(A2692,MATCH(B2692,{"enero","febrero","marzo","abril","mayo","junio","julio","agosto","septiembre","octubre","noviembre","diciembre"},0)+1,0))</f>
        <v/>
      </c>
      <c r="E2692" t="str">
        <f>+IFERROR(VLOOKUP(Fact_Administrativa[[#This Row], [Concepto Anterior]],Conceptos_Administrativa[#All],5,0),"")</f>
        <v/>
      </c>
      <c r="F2692" t="str">
        <f>+IFERROR(VLOOKUP(Fact_Administrativa[[#This Row], 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ht="18.75" customHeight="1" x14ac:dyDescent="0.35">
      <c r="C2693" s="100" t="str">
        <f>IF(OR(Fact_Administrativa[[#This Row], [Año]]="",Fact_Administrativa[[#This Row], [Mes]]=""),"",DATE(A2693,MATCH(B2693,{"enero","febrero","marzo","abril","mayo","junio","julio","agosto","septiembre","octubre","noviembre","diciembre"},0)+1,0))</f>
        <v/>
      </c>
      <c r="E2693" t="str">
        <f>+IFERROR(VLOOKUP(Fact_Administrativa[[#This Row], [Concepto Anterior]],Conceptos_Administrativa[#All],5,0),"")</f>
        <v/>
      </c>
      <c r="F2693" t="str">
        <f>+IFERROR(VLOOKUP(Fact_Administrativa[[#This Row], 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ht="18.75" customHeight="1" x14ac:dyDescent="0.35">
      <c r="C2694" s="100" t="str">
        <f>IF(OR(Fact_Administrativa[[#This Row], [Año]]="",Fact_Administrativa[[#This Row], [Mes]]=""),"",DATE(A2694,MATCH(B2694,{"enero","febrero","marzo","abril","mayo","junio","julio","agosto","septiembre","octubre","noviembre","diciembre"},0)+1,0))</f>
        <v/>
      </c>
      <c r="E2694" t="str">
        <f>+IFERROR(VLOOKUP(Fact_Administrativa[[#This Row], [Concepto Anterior]],Conceptos_Administrativa[#All],5,0),"")</f>
        <v/>
      </c>
      <c r="F2694" t="str">
        <f>+IFERROR(VLOOKUP(Fact_Administrativa[[#This Row], 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ht="18.75" customHeight="1" x14ac:dyDescent="0.35">
      <c r="C2695" s="100" t="str">
        <f>IF(OR(Fact_Administrativa[[#This Row], [Año]]="",Fact_Administrativa[[#This Row], [Mes]]=""),"",DATE(A2695,MATCH(B2695,{"enero","febrero","marzo","abril","mayo","junio","julio","agosto","septiembre","octubre","noviembre","diciembre"},0)+1,0))</f>
        <v/>
      </c>
      <c r="E2695" t="str">
        <f>+IFERROR(VLOOKUP(Fact_Administrativa[[#This Row], [Concepto Anterior]],Conceptos_Administrativa[#All],5,0),"")</f>
        <v/>
      </c>
      <c r="F2695" t="str">
        <f>+IFERROR(VLOOKUP(Fact_Administrativa[[#This Row], 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ht="18.75" customHeight="1" x14ac:dyDescent="0.35">
      <c r="C2696" s="100" t="str">
        <f>IF(OR(Fact_Administrativa[[#This Row], [Año]]="",Fact_Administrativa[[#This Row], [Mes]]=""),"",DATE(A2696,MATCH(B2696,{"enero","febrero","marzo","abril","mayo","junio","julio","agosto","septiembre","octubre","noviembre","diciembre"},0)+1,0))</f>
        <v/>
      </c>
      <c r="E2696" t="str">
        <f>+IFERROR(VLOOKUP(Fact_Administrativa[[#This Row], [Concepto Anterior]],Conceptos_Administrativa[#All],5,0),"")</f>
        <v/>
      </c>
      <c r="F2696" t="str">
        <f>+IFERROR(VLOOKUP(Fact_Administrativa[[#This Row], 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ht="18.75" customHeight="1" x14ac:dyDescent="0.35">
      <c r="C2697" s="100" t="str">
        <f>IF(OR(Fact_Administrativa[[#This Row], [Año]]="",Fact_Administrativa[[#This Row], [Mes]]=""),"",DATE(A2697,MATCH(B2697,{"enero","febrero","marzo","abril","mayo","junio","julio","agosto","septiembre","octubre","noviembre","diciembre"},0)+1,0))</f>
        <v/>
      </c>
      <c r="E2697" t="str">
        <f>+IFERROR(VLOOKUP(Fact_Administrativa[[#This Row], [Concepto Anterior]],Conceptos_Administrativa[#All],5,0),"")</f>
        <v/>
      </c>
      <c r="F2697" t="str">
        <f>+IFERROR(VLOOKUP(Fact_Administrativa[[#This Row], 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ht="18.75" customHeight="1" x14ac:dyDescent="0.35">
      <c r="C2698" s="100" t="str">
        <f>IF(OR(Fact_Administrativa[[#This Row], [Año]]="",Fact_Administrativa[[#This Row], [Mes]]=""),"",DATE(A2698,MATCH(B2698,{"enero","febrero","marzo","abril","mayo","junio","julio","agosto","septiembre","octubre","noviembre","diciembre"},0)+1,0))</f>
        <v/>
      </c>
      <c r="E2698" t="str">
        <f>+IFERROR(VLOOKUP(Fact_Administrativa[[#This Row], [Concepto Anterior]],Conceptos_Administrativa[#All],5,0),"")</f>
        <v/>
      </c>
      <c r="F2698" t="str">
        <f>+IFERROR(VLOOKUP(Fact_Administrativa[[#This Row], 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ht="18.75" customHeight="1" x14ac:dyDescent="0.35">
      <c r="C2699" s="100" t="str">
        <f>IF(OR(Fact_Administrativa[[#This Row], [Año]]="",Fact_Administrativa[[#This Row], [Mes]]=""),"",DATE(A2699,MATCH(B2699,{"enero","febrero","marzo","abril","mayo","junio","julio","agosto","septiembre","octubre","noviembre","diciembre"},0)+1,0))</f>
        <v/>
      </c>
      <c r="E2699" t="str">
        <f>+IFERROR(VLOOKUP(Fact_Administrativa[[#This Row], [Concepto Anterior]],Conceptos_Administrativa[#All],5,0),"")</f>
        <v/>
      </c>
      <c r="F2699" t="str">
        <f>+IFERROR(VLOOKUP(Fact_Administrativa[[#This Row], 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ht="18.75" customHeight="1" x14ac:dyDescent="0.35">
      <c r="C2700" s="100" t="str">
        <f>IF(OR(Fact_Administrativa[[#This Row], [Año]]="",Fact_Administrativa[[#This Row], [Mes]]=""),"",DATE(A2700,MATCH(B2700,{"enero","febrero","marzo","abril","mayo","junio","julio","agosto","septiembre","octubre","noviembre","diciembre"},0)+1,0))</f>
        <v/>
      </c>
      <c r="E2700" t="str">
        <f>+IFERROR(VLOOKUP(Fact_Administrativa[[#This Row], [Concepto Anterior]],Conceptos_Administrativa[#All],5,0),"")</f>
        <v/>
      </c>
      <c r="F2700" t="str">
        <f>+IFERROR(VLOOKUP(Fact_Administrativa[[#This Row], 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ht="18.75" customHeight="1" x14ac:dyDescent="0.35">
      <c r="C2701" s="100" t="str">
        <f>IF(OR(Fact_Administrativa[[#This Row], [Año]]="",Fact_Administrativa[[#This Row], [Mes]]=""),"",DATE(A2701,MATCH(B2701,{"enero","febrero","marzo","abril","mayo","junio","julio","agosto","septiembre","octubre","noviembre","diciembre"},0)+1,0))</f>
        <v/>
      </c>
      <c r="E2701" t="str">
        <f>+IFERROR(VLOOKUP(Fact_Administrativa[[#This Row], [Concepto Anterior]],Conceptos_Administrativa[#All],5,0),"")</f>
        <v/>
      </c>
      <c r="F2701" t="str">
        <f>+IFERROR(VLOOKUP(Fact_Administrativa[[#This Row], 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ht="18.75" customHeight="1" x14ac:dyDescent="0.35">
      <c r="C2702" s="100" t="str">
        <f>IF(OR(Fact_Administrativa[[#This Row], [Año]]="",Fact_Administrativa[[#This Row], [Mes]]=""),"",DATE(A2702,MATCH(B2702,{"enero","febrero","marzo","abril","mayo","junio","julio","agosto","septiembre","octubre","noviembre","diciembre"},0)+1,0))</f>
        <v/>
      </c>
      <c r="E2702" t="str">
        <f>+IFERROR(VLOOKUP(Fact_Administrativa[[#This Row], [Concepto Anterior]],Conceptos_Administrativa[#All],5,0),"")</f>
        <v/>
      </c>
      <c r="F2702" t="str">
        <f>+IFERROR(VLOOKUP(Fact_Administrativa[[#This Row], 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ht="18.75" customHeight="1" x14ac:dyDescent="0.35">
      <c r="C2703" s="100" t="str">
        <f>IF(OR(Fact_Administrativa[[#This Row], [Año]]="",Fact_Administrativa[[#This Row], [Mes]]=""),"",DATE(A2703,MATCH(B2703,{"enero","febrero","marzo","abril","mayo","junio","julio","agosto","septiembre","octubre","noviembre","diciembre"},0)+1,0))</f>
        <v/>
      </c>
      <c r="E2703" t="str">
        <f>+IFERROR(VLOOKUP(Fact_Administrativa[[#This Row], [Concepto Anterior]],Conceptos_Administrativa[#All],5,0),"")</f>
        <v/>
      </c>
      <c r="F2703" t="str">
        <f>+IFERROR(VLOOKUP(Fact_Administrativa[[#This Row], 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ht="18.75" customHeight="1" x14ac:dyDescent="0.35">
      <c r="C2704" s="100" t="str">
        <f>IF(OR(Fact_Administrativa[[#This Row], [Año]]="",Fact_Administrativa[[#This Row], [Mes]]=""),"",DATE(A2704,MATCH(B2704,{"enero","febrero","marzo","abril","mayo","junio","julio","agosto","septiembre","octubre","noviembre","diciembre"},0)+1,0))</f>
        <v/>
      </c>
      <c r="E2704" t="str">
        <f>+IFERROR(VLOOKUP(Fact_Administrativa[[#This Row], [Concepto Anterior]],Conceptos_Administrativa[#All],5,0),"")</f>
        <v/>
      </c>
      <c r="F2704" t="str">
        <f>+IFERROR(VLOOKUP(Fact_Administrativa[[#This Row], 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ht="18.75" customHeight="1" x14ac:dyDescent="0.35">
      <c r="C2705" s="100" t="str">
        <f>IF(OR(Fact_Administrativa[[#This Row], [Año]]="",Fact_Administrativa[[#This Row], [Mes]]=""),"",DATE(A2705,MATCH(B2705,{"enero","febrero","marzo","abril","mayo","junio","julio","agosto","septiembre","octubre","noviembre","diciembre"},0)+1,0))</f>
        <v/>
      </c>
      <c r="E2705" t="str">
        <f>+IFERROR(VLOOKUP(Fact_Administrativa[[#This Row], [Concepto Anterior]],Conceptos_Administrativa[#All],5,0),"")</f>
        <v/>
      </c>
      <c r="F2705" t="str">
        <f>+IFERROR(VLOOKUP(Fact_Administrativa[[#This Row], 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ht="18.75" customHeight="1" x14ac:dyDescent="0.35">
      <c r="C2706" s="100" t="str">
        <f>IF(OR(Fact_Administrativa[[#This Row], [Año]]="",Fact_Administrativa[[#This Row], [Mes]]=""),"",DATE(A2706,MATCH(B2706,{"enero","febrero","marzo","abril","mayo","junio","julio","agosto","septiembre","octubre","noviembre","diciembre"},0)+1,0))</f>
        <v/>
      </c>
      <c r="E2706" t="str">
        <f>+IFERROR(VLOOKUP(Fact_Administrativa[[#This Row], [Concepto Anterior]],Conceptos_Administrativa[#All],5,0),"")</f>
        <v/>
      </c>
      <c r="F2706" t="str">
        <f>+IFERROR(VLOOKUP(Fact_Administrativa[[#This Row], 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ht="18.75" customHeight="1" x14ac:dyDescent="0.35">
      <c r="C2707" s="100" t="str">
        <f>IF(OR(Fact_Administrativa[[#This Row], [Año]]="",Fact_Administrativa[[#This Row], [Mes]]=""),"",DATE(A2707,MATCH(B2707,{"enero","febrero","marzo","abril","mayo","junio","julio","agosto","septiembre","octubre","noviembre","diciembre"},0)+1,0))</f>
        <v/>
      </c>
      <c r="E2707" t="str">
        <f>+IFERROR(VLOOKUP(Fact_Administrativa[[#This Row], [Concepto Anterior]],Conceptos_Administrativa[#All],5,0),"")</f>
        <v/>
      </c>
      <c r="F2707" t="str">
        <f>+IFERROR(VLOOKUP(Fact_Administrativa[[#This Row], 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ht="18.75" customHeight="1" x14ac:dyDescent="0.35">
      <c r="C2708" s="100" t="str">
        <f>IF(OR(Fact_Administrativa[[#This Row], [Año]]="",Fact_Administrativa[[#This Row], [Mes]]=""),"",DATE(A2708,MATCH(B2708,{"enero","febrero","marzo","abril","mayo","junio","julio","agosto","septiembre","octubre","noviembre","diciembre"},0)+1,0))</f>
        <v/>
      </c>
      <c r="E2708" t="str">
        <f>+IFERROR(VLOOKUP(Fact_Administrativa[[#This Row], [Concepto Anterior]],Conceptos_Administrativa[#All],5,0),"")</f>
        <v/>
      </c>
      <c r="F2708" t="str">
        <f>+IFERROR(VLOOKUP(Fact_Administrativa[[#This Row], 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ht="18.75" customHeight="1" x14ac:dyDescent="0.35">
      <c r="C2709" s="100" t="str">
        <f>IF(OR(Fact_Administrativa[[#This Row], [Año]]="",Fact_Administrativa[[#This Row], [Mes]]=""),"",DATE(A2709,MATCH(B2709,{"enero","febrero","marzo","abril","mayo","junio","julio","agosto","septiembre","octubre","noviembre","diciembre"},0)+1,0))</f>
        <v/>
      </c>
      <c r="E2709" t="str">
        <f>+IFERROR(VLOOKUP(Fact_Administrativa[[#This Row], [Concepto Anterior]],Conceptos_Administrativa[#All],5,0),"")</f>
        <v/>
      </c>
      <c r="F2709" t="str">
        <f>+IFERROR(VLOOKUP(Fact_Administrativa[[#This Row], 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ht="18.75" customHeight="1" x14ac:dyDescent="0.35">
      <c r="C2710" s="100" t="str">
        <f>IF(OR(Fact_Administrativa[[#This Row], [Año]]="",Fact_Administrativa[[#This Row], [Mes]]=""),"",DATE(A2710,MATCH(B2710,{"enero","febrero","marzo","abril","mayo","junio","julio","agosto","septiembre","octubre","noviembre","diciembre"},0)+1,0))</f>
        <v/>
      </c>
      <c r="E2710" t="str">
        <f>+IFERROR(VLOOKUP(Fact_Administrativa[[#This Row], [Concepto Anterior]],Conceptos_Administrativa[#All],5,0),"")</f>
        <v/>
      </c>
      <c r="F2710" t="str">
        <f>+IFERROR(VLOOKUP(Fact_Administrativa[[#This Row], 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ht="18.75" customHeight="1" x14ac:dyDescent="0.35">
      <c r="C2711" s="100" t="str">
        <f>IF(OR(Fact_Administrativa[[#This Row], [Año]]="",Fact_Administrativa[[#This Row], [Mes]]=""),"",DATE(A2711,MATCH(B2711,{"enero","febrero","marzo","abril","mayo","junio","julio","agosto","septiembre","octubre","noviembre","diciembre"},0)+1,0))</f>
        <v/>
      </c>
      <c r="E2711" t="str">
        <f>+IFERROR(VLOOKUP(Fact_Administrativa[[#This Row], [Concepto Anterior]],Conceptos_Administrativa[#All],5,0),"")</f>
        <v/>
      </c>
      <c r="F2711" t="str">
        <f>+IFERROR(VLOOKUP(Fact_Administrativa[[#This Row], 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ht="18.75" customHeight="1" x14ac:dyDescent="0.35">
      <c r="C2712" s="100" t="str">
        <f>IF(OR(Fact_Administrativa[[#This Row], [Año]]="",Fact_Administrativa[[#This Row], [Mes]]=""),"",DATE(A2712,MATCH(B2712,{"enero","febrero","marzo","abril","mayo","junio","julio","agosto","septiembre","octubre","noviembre","diciembre"},0)+1,0))</f>
        <v/>
      </c>
      <c r="E2712" t="str">
        <f>+IFERROR(VLOOKUP(Fact_Administrativa[[#This Row], [Concepto Anterior]],Conceptos_Administrativa[#All],5,0),"")</f>
        <v/>
      </c>
      <c r="F2712" t="str">
        <f>+IFERROR(VLOOKUP(Fact_Administrativa[[#This Row], 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ht="18.75" customHeight="1" x14ac:dyDescent="0.35">
      <c r="C2713" s="100" t="str">
        <f>IF(OR(Fact_Administrativa[[#This Row], [Año]]="",Fact_Administrativa[[#This Row], [Mes]]=""),"",DATE(A2713,MATCH(B2713,{"enero","febrero","marzo","abril","mayo","junio","julio","agosto","septiembre","octubre","noviembre","diciembre"},0)+1,0))</f>
        <v/>
      </c>
      <c r="E2713" t="str">
        <f>+IFERROR(VLOOKUP(Fact_Administrativa[[#This Row], [Concepto Anterior]],Conceptos_Administrativa[#All],5,0),"")</f>
        <v/>
      </c>
      <c r="F2713" t="str">
        <f>+IFERROR(VLOOKUP(Fact_Administrativa[[#This Row], 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ht="18.75" customHeight="1" x14ac:dyDescent="0.35">
      <c r="C2714" s="100" t="str">
        <f>IF(OR(Fact_Administrativa[[#This Row], [Año]]="",Fact_Administrativa[[#This Row], [Mes]]=""),"",DATE(A2714,MATCH(B2714,{"enero","febrero","marzo","abril","mayo","junio","julio","agosto","septiembre","octubre","noviembre","diciembre"},0)+1,0))</f>
        <v/>
      </c>
      <c r="E2714" t="str">
        <f>+IFERROR(VLOOKUP(Fact_Administrativa[[#This Row], [Concepto Anterior]],Conceptos_Administrativa[#All],5,0),"")</f>
        <v/>
      </c>
      <c r="F2714" t="str">
        <f>+IFERROR(VLOOKUP(Fact_Administrativa[[#This Row], 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ht="18.75" customHeight="1" x14ac:dyDescent="0.35">
      <c r="C2715" s="100" t="str">
        <f>IF(OR(Fact_Administrativa[[#This Row], [Año]]="",Fact_Administrativa[[#This Row], [Mes]]=""),"",DATE(A2715,MATCH(B2715,{"enero","febrero","marzo","abril","mayo","junio","julio","agosto","septiembre","octubre","noviembre","diciembre"},0)+1,0))</f>
        <v/>
      </c>
      <c r="E2715" t="str">
        <f>+IFERROR(VLOOKUP(Fact_Administrativa[[#This Row], [Concepto Anterior]],Conceptos_Administrativa[#All],5,0),"")</f>
        <v/>
      </c>
      <c r="F2715" t="str">
        <f>+IFERROR(VLOOKUP(Fact_Administrativa[[#This Row], 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ht="18.75" customHeight="1" x14ac:dyDescent="0.35">
      <c r="C2716" s="100" t="str">
        <f>IF(OR(Fact_Administrativa[[#This Row], [Año]]="",Fact_Administrativa[[#This Row], [Mes]]=""),"",DATE(A2716,MATCH(B2716,{"enero","febrero","marzo","abril","mayo","junio","julio","agosto","septiembre","octubre","noviembre","diciembre"},0)+1,0))</f>
        <v/>
      </c>
      <c r="E2716" t="str">
        <f>+IFERROR(VLOOKUP(Fact_Administrativa[[#This Row], [Concepto Anterior]],Conceptos_Administrativa[#All],5,0),"")</f>
        <v/>
      </c>
      <c r="F2716" t="str">
        <f>+IFERROR(VLOOKUP(Fact_Administrativa[[#This Row], 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ht="18.75" customHeight="1" x14ac:dyDescent="0.35">
      <c r="C2717" s="100" t="str">
        <f>IF(OR(Fact_Administrativa[[#This Row], [Año]]="",Fact_Administrativa[[#This Row], [Mes]]=""),"",DATE(A2717,MATCH(B2717,{"enero","febrero","marzo","abril","mayo","junio","julio","agosto","septiembre","octubre","noviembre","diciembre"},0)+1,0))</f>
        <v/>
      </c>
      <c r="E2717" t="str">
        <f>+IFERROR(VLOOKUP(Fact_Administrativa[[#This Row], [Concepto Anterior]],Conceptos_Administrativa[#All],5,0),"")</f>
        <v/>
      </c>
      <c r="F2717" t="str">
        <f>+IFERROR(VLOOKUP(Fact_Administrativa[[#This Row], 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ht="18.75" customHeight="1" x14ac:dyDescent="0.35">
      <c r="C2718" s="100" t="str">
        <f>IF(OR(Fact_Administrativa[[#This Row], [Año]]="",Fact_Administrativa[[#This Row], [Mes]]=""),"",DATE(A2718,MATCH(B2718,{"enero","febrero","marzo","abril","mayo","junio","julio","agosto","septiembre","octubre","noviembre","diciembre"},0)+1,0))</f>
        <v/>
      </c>
      <c r="E2718" t="str">
        <f>+IFERROR(VLOOKUP(Fact_Administrativa[[#This Row], [Concepto Anterior]],Conceptos_Administrativa[#All],5,0),"")</f>
        <v/>
      </c>
      <c r="F2718" t="str">
        <f>+IFERROR(VLOOKUP(Fact_Administrativa[[#This Row], 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ht="18.75" customHeight="1" x14ac:dyDescent="0.35">
      <c r="C2719" s="100" t="str">
        <f>IF(OR(Fact_Administrativa[[#This Row], [Año]]="",Fact_Administrativa[[#This Row], [Mes]]=""),"",DATE(A2719,MATCH(B2719,{"enero","febrero","marzo","abril","mayo","junio","julio","agosto","septiembre","octubre","noviembre","diciembre"},0)+1,0))</f>
        <v/>
      </c>
      <c r="E2719" t="str">
        <f>+IFERROR(VLOOKUP(Fact_Administrativa[[#This Row], [Concepto Anterior]],Conceptos_Administrativa[#All],5,0),"")</f>
        <v/>
      </c>
      <c r="F2719" t="str">
        <f>+IFERROR(VLOOKUP(Fact_Administrativa[[#This Row], 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ht="18.75" customHeight="1" x14ac:dyDescent="0.35">
      <c r="C2720" s="100" t="str">
        <f>IF(OR(Fact_Administrativa[[#This Row], [Año]]="",Fact_Administrativa[[#This Row], [Mes]]=""),"",DATE(A2720,MATCH(B2720,{"enero","febrero","marzo","abril","mayo","junio","julio","agosto","septiembre","octubre","noviembre","diciembre"},0)+1,0))</f>
        <v/>
      </c>
      <c r="E2720" t="str">
        <f>+IFERROR(VLOOKUP(Fact_Administrativa[[#This Row], [Concepto Anterior]],Conceptos_Administrativa[#All],5,0),"")</f>
        <v/>
      </c>
      <c r="F2720" t="str">
        <f>+IFERROR(VLOOKUP(Fact_Administrativa[[#This Row], 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ht="18.75" customHeight="1" x14ac:dyDescent="0.35">
      <c r="C2721" s="100" t="str">
        <f>IF(OR(Fact_Administrativa[[#This Row], [Año]]="",Fact_Administrativa[[#This Row], [Mes]]=""),"",DATE(A2721,MATCH(B2721,{"enero","febrero","marzo","abril","mayo","junio","julio","agosto","septiembre","octubre","noviembre","diciembre"},0)+1,0))</f>
        <v/>
      </c>
      <c r="E2721" t="str">
        <f>+IFERROR(VLOOKUP(Fact_Administrativa[[#This Row], [Concepto Anterior]],Conceptos_Administrativa[#All],5,0),"")</f>
        <v/>
      </c>
      <c r="F2721" t="str">
        <f>+IFERROR(VLOOKUP(Fact_Administrativa[[#This Row], 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ht="18.75" customHeight="1" x14ac:dyDescent="0.35">
      <c r="C2722" s="100" t="str">
        <f>IF(OR(Fact_Administrativa[[#This Row], [Año]]="",Fact_Administrativa[[#This Row], [Mes]]=""),"",DATE(A2722,MATCH(B2722,{"enero","febrero","marzo","abril","mayo","junio","julio","agosto","septiembre","octubre","noviembre","diciembre"},0)+1,0))</f>
        <v/>
      </c>
      <c r="E2722" t="str">
        <f>+IFERROR(VLOOKUP(Fact_Administrativa[[#This Row], [Concepto Anterior]],Conceptos_Administrativa[#All],5,0),"")</f>
        <v/>
      </c>
      <c r="F2722" t="str">
        <f>+IFERROR(VLOOKUP(Fact_Administrativa[[#This Row], 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ht="18.75" customHeight="1" x14ac:dyDescent="0.35">
      <c r="C2723" s="100" t="str">
        <f>IF(OR(Fact_Administrativa[[#This Row], [Año]]="",Fact_Administrativa[[#This Row], [Mes]]=""),"",DATE(A2723,MATCH(B2723,{"enero","febrero","marzo","abril","mayo","junio","julio","agosto","septiembre","octubre","noviembre","diciembre"},0)+1,0))</f>
        <v/>
      </c>
      <c r="E2723" t="str">
        <f>+IFERROR(VLOOKUP(Fact_Administrativa[[#This Row], [Concepto Anterior]],Conceptos_Administrativa[#All],5,0),"")</f>
        <v/>
      </c>
      <c r="F2723" t="str">
        <f>+IFERROR(VLOOKUP(Fact_Administrativa[[#This Row], 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ht="18.75" customHeight="1" x14ac:dyDescent="0.35">
      <c r="C2724" s="100" t="str">
        <f>IF(OR(Fact_Administrativa[[#This Row], [Año]]="",Fact_Administrativa[[#This Row], [Mes]]=""),"",DATE(A2724,MATCH(B2724,{"enero","febrero","marzo","abril","mayo","junio","julio","agosto","septiembre","octubre","noviembre","diciembre"},0)+1,0))</f>
        <v/>
      </c>
      <c r="E2724" t="str">
        <f>+IFERROR(VLOOKUP(Fact_Administrativa[[#This Row], [Concepto Anterior]],Conceptos_Administrativa[#All],5,0),"")</f>
        <v/>
      </c>
      <c r="F2724" t="str">
        <f>+IFERROR(VLOOKUP(Fact_Administrativa[[#This Row], 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ht="18.75" customHeight="1" x14ac:dyDescent="0.35">
      <c r="C2725" s="100" t="str">
        <f>IF(OR(Fact_Administrativa[[#This Row], [Año]]="",Fact_Administrativa[[#This Row], [Mes]]=""),"",DATE(A2725,MATCH(B2725,{"enero","febrero","marzo","abril","mayo","junio","julio","agosto","septiembre","octubre","noviembre","diciembre"},0)+1,0))</f>
        <v/>
      </c>
      <c r="E2725" t="str">
        <f>+IFERROR(VLOOKUP(Fact_Administrativa[[#This Row], [Concepto Anterior]],Conceptos_Administrativa[#All],5,0),"")</f>
        <v/>
      </c>
      <c r="F2725" t="str">
        <f>+IFERROR(VLOOKUP(Fact_Administrativa[[#This Row], 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ht="18.75" customHeight="1" x14ac:dyDescent="0.35">
      <c r="C2726" s="100" t="str">
        <f>IF(OR(Fact_Administrativa[[#This Row], [Año]]="",Fact_Administrativa[[#This Row], [Mes]]=""),"",DATE(A2726,MATCH(B2726,{"enero","febrero","marzo","abril","mayo","junio","julio","agosto","septiembre","octubre","noviembre","diciembre"},0)+1,0))</f>
        <v/>
      </c>
      <c r="E2726" t="str">
        <f>+IFERROR(VLOOKUP(Fact_Administrativa[[#This Row], [Concepto Anterior]],Conceptos_Administrativa[#All],5,0),"")</f>
        <v/>
      </c>
      <c r="F2726" t="str">
        <f>+IFERROR(VLOOKUP(Fact_Administrativa[[#This Row], 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ht="18.75" customHeight="1" x14ac:dyDescent="0.35">
      <c r="C2727" s="100" t="str">
        <f>IF(OR(Fact_Administrativa[[#This Row], [Año]]="",Fact_Administrativa[[#This Row], [Mes]]=""),"",DATE(A2727,MATCH(B2727,{"enero","febrero","marzo","abril","mayo","junio","julio","agosto","septiembre","octubre","noviembre","diciembre"},0)+1,0))</f>
        <v/>
      </c>
      <c r="E2727" t="str">
        <f>+IFERROR(VLOOKUP(Fact_Administrativa[[#This Row], [Concepto Anterior]],Conceptos_Administrativa[#All],5,0),"")</f>
        <v/>
      </c>
      <c r="F2727" t="str">
        <f>+IFERROR(VLOOKUP(Fact_Administrativa[[#This Row], 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ht="18.75" customHeight="1" x14ac:dyDescent="0.35">
      <c r="C2728" s="100" t="str">
        <f>IF(OR(Fact_Administrativa[[#This Row], [Año]]="",Fact_Administrativa[[#This Row], [Mes]]=""),"",DATE(A2728,MATCH(B2728,{"enero","febrero","marzo","abril","mayo","junio","julio","agosto","septiembre","octubre","noviembre","diciembre"},0)+1,0))</f>
        <v/>
      </c>
      <c r="E2728" t="str">
        <f>+IFERROR(VLOOKUP(Fact_Administrativa[[#This Row], [Concepto Anterior]],Conceptos_Administrativa[#All],5,0),"")</f>
        <v/>
      </c>
      <c r="F2728" t="str">
        <f>+IFERROR(VLOOKUP(Fact_Administrativa[[#This Row], 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ht="18.75" customHeight="1" x14ac:dyDescent="0.35">
      <c r="C2729" s="100" t="str">
        <f>IF(OR(Fact_Administrativa[[#This Row], [Año]]="",Fact_Administrativa[[#This Row], [Mes]]=""),"",DATE(A2729,MATCH(B2729,{"enero","febrero","marzo","abril","mayo","junio","julio","agosto","septiembre","octubre","noviembre","diciembre"},0)+1,0))</f>
        <v/>
      </c>
      <c r="E2729" t="str">
        <f>+IFERROR(VLOOKUP(Fact_Administrativa[[#This Row], [Concepto Anterior]],Conceptos_Administrativa[#All],5,0),"")</f>
        <v/>
      </c>
      <c r="F2729" t="str">
        <f>+IFERROR(VLOOKUP(Fact_Administrativa[[#This Row], 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ht="18.75" customHeight="1" x14ac:dyDescent="0.35">
      <c r="C2730" s="100" t="str">
        <f>IF(OR(Fact_Administrativa[[#This Row], [Año]]="",Fact_Administrativa[[#This Row], [Mes]]=""),"",DATE(A2730,MATCH(B2730,{"enero","febrero","marzo","abril","mayo","junio","julio","agosto","septiembre","octubre","noviembre","diciembre"},0)+1,0))</f>
        <v/>
      </c>
      <c r="E2730" t="str">
        <f>+IFERROR(VLOOKUP(Fact_Administrativa[[#This Row], [Concepto Anterior]],Conceptos_Administrativa[#All],5,0),"")</f>
        <v/>
      </c>
      <c r="F2730" t="str">
        <f>+IFERROR(VLOOKUP(Fact_Administrativa[[#This Row], 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ht="18.75" customHeight="1" x14ac:dyDescent="0.35">
      <c r="C2731" s="100" t="str">
        <f>IF(OR(Fact_Administrativa[[#This Row], [Año]]="",Fact_Administrativa[[#This Row], [Mes]]=""),"",DATE(A2731,MATCH(B2731,{"enero","febrero","marzo","abril","mayo","junio","julio","agosto","septiembre","octubre","noviembre","diciembre"},0)+1,0))</f>
        <v/>
      </c>
      <c r="E2731" t="str">
        <f>+IFERROR(VLOOKUP(Fact_Administrativa[[#This Row], [Concepto Anterior]],Conceptos_Administrativa[#All],5,0),"")</f>
        <v/>
      </c>
      <c r="F2731" t="str">
        <f>+IFERROR(VLOOKUP(Fact_Administrativa[[#This Row], 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ht="18.75" customHeight="1" x14ac:dyDescent="0.35">
      <c r="C2732" s="100" t="str">
        <f>IF(OR(Fact_Administrativa[[#This Row], [Año]]="",Fact_Administrativa[[#This Row], [Mes]]=""),"",DATE(A2732,MATCH(B2732,{"enero","febrero","marzo","abril","mayo","junio","julio","agosto","septiembre","octubre","noviembre","diciembre"},0)+1,0))</f>
        <v/>
      </c>
      <c r="E2732" t="str">
        <f>+IFERROR(VLOOKUP(Fact_Administrativa[[#This Row], [Concepto Anterior]],Conceptos_Administrativa[#All],5,0),"")</f>
        <v/>
      </c>
      <c r="F2732" t="str">
        <f>+IFERROR(VLOOKUP(Fact_Administrativa[[#This Row], 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ht="18.75" customHeight="1" x14ac:dyDescent="0.35">
      <c r="C2733" s="100" t="str">
        <f>IF(OR(Fact_Administrativa[[#This Row], [Año]]="",Fact_Administrativa[[#This Row], [Mes]]=""),"",DATE(A2733,MATCH(B2733,{"enero","febrero","marzo","abril","mayo","junio","julio","agosto","septiembre","octubre","noviembre","diciembre"},0)+1,0))</f>
        <v/>
      </c>
      <c r="E2733" t="str">
        <f>+IFERROR(VLOOKUP(Fact_Administrativa[[#This Row], [Concepto Anterior]],Conceptos_Administrativa[#All],5,0),"")</f>
        <v/>
      </c>
      <c r="F2733" t="str">
        <f>+IFERROR(VLOOKUP(Fact_Administrativa[[#This Row], 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ht="18.75" customHeight="1" x14ac:dyDescent="0.35">
      <c r="C2734" s="100" t="str">
        <f>IF(OR(Fact_Administrativa[[#This Row], [Año]]="",Fact_Administrativa[[#This Row], [Mes]]=""),"",DATE(A2734,MATCH(B2734,{"enero","febrero","marzo","abril","mayo","junio","julio","agosto","septiembre","octubre","noviembre","diciembre"},0)+1,0))</f>
        <v/>
      </c>
      <c r="E2734" t="str">
        <f>+IFERROR(VLOOKUP(Fact_Administrativa[[#This Row], [Concepto Anterior]],Conceptos_Administrativa[#All],5,0),"")</f>
        <v/>
      </c>
      <c r="F2734" t="str">
        <f>+IFERROR(VLOOKUP(Fact_Administrativa[[#This Row], 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ht="18.75" customHeight="1" x14ac:dyDescent="0.35">
      <c r="C2735" s="100" t="str">
        <f>IF(OR(Fact_Administrativa[[#This Row], [Año]]="",Fact_Administrativa[[#This Row], [Mes]]=""),"",DATE(A2735,MATCH(B2735,{"enero","febrero","marzo","abril","mayo","junio","julio","agosto","septiembre","octubre","noviembre","diciembre"},0)+1,0))</f>
        <v/>
      </c>
      <c r="E2735" t="str">
        <f>+IFERROR(VLOOKUP(Fact_Administrativa[[#This Row], [Concepto Anterior]],Conceptos_Administrativa[#All],5,0),"")</f>
        <v/>
      </c>
      <c r="F2735" t="str">
        <f>+IFERROR(VLOOKUP(Fact_Administrativa[[#This Row], 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ht="18.75" customHeight="1" x14ac:dyDescent="0.35">
      <c r="C2736" s="100" t="str">
        <f>IF(OR(Fact_Administrativa[[#This Row], [Año]]="",Fact_Administrativa[[#This Row], [Mes]]=""),"",DATE(A2736,MATCH(B2736,{"enero","febrero","marzo","abril","mayo","junio","julio","agosto","septiembre","octubre","noviembre","diciembre"},0)+1,0))</f>
        <v/>
      </c>
      <c r="E2736" t="str">
        <f>+IFERROR(VLOOKUP(Fact_Administrativa[[#This Row], [Concepto Anterior]],Conceptos_Administrativa[#All],5,0),"")</f>
        <v/>
      </c>
      <c r="F2736" t="str">
        <f>+IFERROR(VLOOKUP(Fact_Administrativa[[#This Row], 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ht="18.75" customHeight="1" x14ac:dyDescent="0.35">
      <c r="C2737" s="100" t="str">
        <f>IF(OR(Fact_Administrativa[[#This Row], [Año]]="",Fact_Administrativa[[#This Row], [Mes]]=""),"",DATE(A2737,MATCH(B2737,{"enero","febrero","marzo","abril","mayo","junio","julio","agosto","septiembre","octubre","noviembre","diciembre"},0)+1,0))</f>
        <v/>
      </c>
      <c r="E2737" t="str">
        <f>+IFERROR(VLOOKUP(Fact_Administrativa[[#This Row], [Concepto Anterior]],Conceptos_Administrativa[#All],5,0),"")</f>
        <v/>
      </c>
      <c r="F2737" t="str">
        <f>+IFERROR(VLOOKUP(Fact_Administrativa[[#This Row], 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ht="18.75" customHeight="1" x14ac:dyDescent="0.35">
      <c r="C2738" s="100" t="str">
        <f>IF(OR(Fact_Administrativa[[#This Row], [Año]]="",Fact_Administrativa[[#This Row], [Mes]]=""),"",DATE(A2738,MATCH(B2738,{"enero","febrero","marzo","abril","mayo","junio","julio","agosto","septiembre","octubre","noviembre","diciembre"},0)+1,0))</f>
        <v/>
      </c>
      <c r="E2738" t="str">
        <f>+IFERROR(VLOOKUP(Fact_Administrativa[[#This Row], [Concepto Anterior]],Conceptos_Administrativa[#All],5,0),"")</f>
        <v/>
      </c>
      <c r="F2738" t="str">
        <f>+IFERROR(VLOOKUP(Fact_Administrativa[[#This Row], 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ht="18.75" customHeight="1" x14ac:dyDescent="0.35">
      <c r="C2739" s="100" t="str">
        <f>IF(OR(Fact_Administrativa[[#This Row], [Año]]="",Fact_Administrativa[[#This Row], [Mes]]=""),"",DATE(A2739,MATCH(B2739,{"enero","febrero","marzo","abril","mayo","junio","julio","agosto","septiembre","octubre","noviembre","diciembre"},0)+1,0))</f>
        <v/>
      </c>
      <c r="E2739" t="str">
        <f>+IFERROR(VLOOKUP(Fact_Administrativa[[#This Row], [Concepto Anterior]],Conceptos_Administrativa[#All],5,0),"")</f>
        <v/>
      </c>
      <c r="F2739" t="str">
        <f>+IFERROR(VLOOKUP(Fact_Administrativa[[#This Row], 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ht="18.75" customHeight="1" x14ac:dyDescent="0.35">
      <c r="C2740" s="100" t="str">
        <f>IF(OR(Fact_Administrativa[[#This Row], [Año]]="",Fact_Administrativa[[#This Row], [Mes]]=""),"",DATE(A2740,MATCH(B2740,{"enero","febrero","marzo","abril","mayo","junio","julio","agosto","septiembre","octubre","noviembre","diciembre"},0)+1,0))</f>
        <v/>
      </c>
      <c r="E2740" t="str">
        <f>+IFERROR(VLOOKUP(Fact_Administrativa[[#This Row], [Concepto Anterior]],Conceptos_Administrativa[#All],5,0),"")</f>
        <v/>
      </c>
      <c r="F2740" t="str">
        <f>+IFERROR(VLOOKUP(Fact_Administrativa[[#This Row], 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ht="18.75" customHeight="1" x14ac:dyDescent="0.35">
      <c r="C2741" s="100" t="str">
        <f>IF(OR(Fact_Administrativa[[#This Row], [Año]]="",Fact_Administrativa[[#This Row], [Mes]]=""),"",DATE(A2741,MATCH(B2741,{"enero","febrero","marzo","abril","mayo","junio","julio","agosto","septiembre","octubre","noviembre","diciembre"},0)+1,0))</f>
        <v/>
      </c>
      <c r="E2741" t="str">
        <f>+IFERROR(VLOOKUP(Fact_Administrativa[[#This Row], [Concepto Anterior]],Conceptos_Administrativa[#All],5,0),"")</f>
        <v/>
      </c>
      <c r="F2741" t="str">
        <f>+IFERROR(VLOOKUP(Fact_Administrativa[[#This Row], 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ht="18.75" customHeight="1" x14ac:dyDescent="0.35">
      <c r="C2742" s="100" t="str">
        <f>IF(OR(Fact_Administrativa[[#This Row], [Año]]="",Fact_Administrativa[[#This Row], [Mes]]=""),"",DATE(A2742,MATCH(B2742,{"enero","febrero","marzo","abril","mayo","junio","julio","agosto","septiembre","octubre","noviembre","diciembre"},0)+1,0))</f>
        <v/>
      </c>
      <c r="E2742" t="str">
        <f>+IFERROR(VLOOKUP(Fact_Administrativa[[#This Row], [Concepto Anterior]],Conceptos_Administrativa[#All],5,0),"")</f>
        <v/>
      </c>
      <c r="F2742" t="str">
        <f>+IFERROR(VLOOKUP(Fact_Administrativa[[#This Row], 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ht="18.75" customHeight="1" x14ac:dyDescent="0.35">
      <c r="C2743" s="100" t="str">
        <f>IF(OR(Fact_Administrativa[[#This Row], [Año]]="",Fact_Administrativa[[#This Row], [Mes]]=""),"",DATE(A2743,MATCH(B2743,{"enero","febrero","marzo","abril","mayo","junio","julio","agosto","septiembre","octubre","noviembre","diciembre"},0)+1,0))</f>
        <v/>
      </c>
      <c r="E2743" t="str">
        <f>+IFERROR(VLOOKUP(Fact_Administrativa[[#This Row], [Concepto Anterior]],Conceptos_Administrativa[#All],5,0),"")</f>
        <v/>
      </c>
      <c r="F2743" t="str">
        <f>+IFERROR(VLOOKUP(Fact_Administrativa[[#This Row], 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ht="18.75" customHeight="1" x14ac:dyDescent="0.35">
      <c r="C2744" s="100" t="str">
        <f>IF(OR(Fact_Administrativa[[#This Row], [Año]]="",Fact_Administrativa[[#This Row], [Mes]]=""),"",DATE(A2744,MATCH(B2744,{"enero","febrero","marzo","abril","mayo","junio","julio","agosto","septiembre","octubre","noviembre","diciembre"},0)+1,0))</f>
        <v/>
      </c>
      <c r="E2744" t="str">
        <f>+IFERROR(VLOOKUP(Fact_Administrativa[[#This Row], [Concepto Anterior]],Conceptos_Administrativa[#All],5,0),"")</f>
        <v/>
      </c>
      <c r="F2744" t="str">
        <f>+IFERROR(VLOOKUP(Fact_Administrativa[[#This Row], 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ht="18.75" customHeight="1" x14ac:dyDescent="0.35">
      <c r="C2745" s="100" t="str">
        <f>IF(OR(Fact_Administrativa[[#This Row], [Año]]="",Fact_Administrativa[[#This Row], [Mes]]=""),"",DATE(A2745,MATCH(B2745,{"enero","febrero","marzo","abril","mayo","junio","julio","agosto","septiembre","octubre","noviembre","diciembre"},0)+1,0))</f>
        <v/>
      </c>
      <c r="E2745" t="str">
        <f>+IFERROR(VLOOKUP(Fact_Administrativa[[#This Row], [Concepto Anterior]],Conceptos_Administrativa[#All],5,0),"")</f>
        <v/>
      </c>
      <c r="F2745" t="str">
        <f>+IFERROR(VLOOKUP(Fact_Administrativa[[#This Row], 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ht="18.75" customHeight="1" x14ac:dyDescent="0.35">
      <c r="C2746" s="100" t="str">
        <f>IF(OR(Fact_Administrativa[[#This Row], [Año]]="",Fact_Administrativa[[#This Row], [Mes]]=""),"",DATE(A2746,MATCH(B2746,{"enero","febrero","marzo","abril","mayo","junio","julio","agosto","septiembre","octubre","noviembre","diciembre"},0)+1,0))</f>
        <v/>
      </c>
      <c r="E2746" t="str">
        <f>+IFERROR(VLOOKUP(Fact_Administrativa[[#This Row], [Concepto Anterior]],Conceptos_Administrativa[#All],5,0),"")</f>
        <v/>
      </c>
      <c r="F2746" t="str">
        <f>+IFERROR(VLOOKUP(Fact_Administrativa[[#This Row], 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ht="18.75" customHeight="1" x14ac:dyDescent="0.35">
      <c r="C2747" s="100" t="str">
        <f>IF(OR(Fact_Administrativa[[#This Row], [Año]]="",Fact_Administrativa[[#This Row], [Mes]]=""),"",DATE(A2747,MATCH(B2747,{"enero","febrero","marzo","abril","mayo","junio","julio","agosto","septiembre","octubre","noviembre","diciembre"},0)+1,0))</f>
        <v/>
      </c>
      <c r="E2747" t="str">
        <f>+IFERROR(VLOOKUP(Fact_Administrativa[[#This Row], [Concepto Anterior]],Conceptos_Administrativa[#All],5,0),"")</f>
        <v/>
      </c>
      <c r="F2747" t="str">
        <f>+IFERROR(VLOOKUP(Fact_Administrativa[[#This Row], 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ht="18.75" customHeight="1" x14ac:dyDescent="0.35">
      <c r="C2748" s="100" t="str">
        <f>IF(OR(Fact_Administrativa[[#This Row], [Año]]="",Fact_Administrativa[[#This Row], [Mes]]=""),"",DATE(A2748,MATCH(B2748,{"enero","febrero","marzo","abril","mayo","junio","julio","agosto","septiembre","octubre","noviembre","diciembre"},0)+1,0))</f>
        <v/>
      </c>
      <c r="E2748" t="str">
        <f>+IFERROR(VLOOKUP(Fact_Administrativa[[#This Row], [Concepto Anterior]],Conceptos_Administrativa[#All],5,0),"")</f>
        <v/>
      </c>
      <c r="F2748" t="str">
        <f>+IFERROR(VLOOKUP(Fact_Administrativa[[#This Row], 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ht="18.75" customHeight="1" x14ac:dyDescent="0.35">
      <c r="C2749" s="100" t="str">
        <f>IF(OR(Fact_Administrativa[[#This Row], [Año]]="",Fact_Administrativa[[#This Row], [Mes]]=""),"",DATE(A2749,MATCH(B2749,{"enero","febrero","marzo","abril","mayo","junio","julio","agosto","septiembre","octubre","noviembre","diciembre"},0)+1,0))</f>
        <v/>
      </c>
      <c r="E2749" t="str">
        <f>+IFERROR(VLOOKUP(Fact_Administrativa[[#This Row], [Concepto Anterior]],Conceptos_Administrativa[#All],5,0),"")</f>
        <v/>
      </c>
      <c r="F2749" t="str">
        <f>+IFERROR(VLOOKUP(Fact_Administrativa[[#This Row], 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ht="18.75" customHeight="1" x14ac:dyDescent="0.35">
      <c r="C2750" s="100" t="str">
        <f>IF(OR(Fact_Administrativa[[#This Row], [Año]]="",Fact_Administrativa[[#This Row], [Mes]]=""),"",DATE(A2750,MATCH(B2750,{"enero","febrero","marzo","abril","mayo","junio","julio","agosto","septiembre","octubre","noviembre","diciembre"},0)+1,0))</f>
        <v/>
      </c>
      <c r="E2750" t="str">
        <f>+IFERROR(VLOOKUP(Fact_Administrativa[[#This Row], [Concepto Anterior]],Conceptos_Administrativa[#All],5,0),"")</f>
        <v/>
      </c>
      <c r="F2750" t="str">
        <f>+IFERROR(VLOOKUP(Fact_Administrativa[[#This Row], 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ht="18.75" customHeight="1" x14ac:dyDescent="0.35">
      <c r="C2751" s="100" t="str">
        <f>IF(OR(Fact_Administrativa[[#This Row], [Año]]="",Fact_Administrativa[[#This Row], [Mes]]=""),"",DATE(A2751,MATCH(B2751,{"enero","febrero","marzo","abril","mayo","junio","julio","agosto","septiembre","octubre","noviembre","diciembre"},0)+1,0))</f>
        <v/>
      </c>
      <c r="E2751" t="str">
        <f>+IFERROR(VLOOKUP(Fact_Administrativa[[#This Row], [Concepto Anterior]],Conceptos_Administrativa[#All],5,0),"")</f>
        <v/>
      </c>
      <c r="F2751" t="str">
        <f>+IFERROR(VLOOKUP(Fact_Administrativa[[#This Row], 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ht="18.75" customHeight="1" x14ac:dyDescent="0.35">
      <c r="C2752" s="100" t="str">
        <f>IF(OR(Fact_Administrativa[[#This Row], [Año]]="",Fact_Administrativa[[#This Row], [Mes]]=""),"",DATE(A2752,MATCH(B2752,{"enero","febrero","marzo","abril","mayo","junio","julio","agosto","septiembre","octubre","noviembre","diciembre"},0)+1,0))</f>
        <v/>
      </c>
      <c r="E2752" t="str">
        <f>+IFERROR(VLOOKUP(Fact_Administrativa[[#This Row], [Concepto Anterior]],Conceptos_Administrativa[#All],5,0),"")</f>
        <v/>
      </c>
      <c r="F2752" t="str">
        <f>+IFERROR(VLOOKUP(Fact_Administrativa[[#This Row], 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ht="18.75" customHeight="1" x14ac:dyDescent="0.35">
      <c r="C2753" s="100" t="str">
        <f>IF(OR(Fact_Administrativa[[#This Row], [Año]]="",Fact_Administrativa[[#This Row], [Mes]]=""),"",DATE(A2753,MATCH(B2753,{"enero","febrero","marzo","abril","mayo","junio","julio","agosto","septiembre","octubre","noviembre","diciembre"},0)+1,0))</f>
        <v/>
      </c>
      <c r="E2753" t="str">
        <f>+IFERROR(VLOOKUP(Fact_Administrativa[[#This Row], [Concepto Anterior]],Conceptos_Administrativa[#All],5,0),"")</f>
        <v/>
      </c>
      <c r="F2753" t="str">
        <f>+IFERROR(VLOOKUP(Fact_Administrativa[[#This Row], 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ht="18.75" customHeight="1" x14ac:dyDescent="0.35">
      <c r="C2754" s="100" t="str">
        <f>IF(OR(Fact_Administrativa[[#This Row], [Año]]="",Fact_Administrativa[[#This Row], [Mes]]=""),"",DATE(A2754,MATCH(B2754,{"enero","febrero","marzo","abril","mayo","junio","julio","agosto","septiembre","octubre","noviembre","diciembre"},0)+1,0))</f>
        <v/>
      </c>
      <c r="E2754" t="str">
        <f>+IFERROR(VLOOKUP(Fact_Administrativa[[#This Row], [Concepto Anterior]],Conceptos_Administrativa[#All],5,0),"")</f>
        <v/>
      </c>
      <c r="F2754" t="str">
        <f>+IFERROR(VLOOKUP(Fact_Administrativa[[#This Row], 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ht="18.75" customHeight="1" x14ac:dyDescent="0.35">
      <c r="C2755" s="100" t="str">
        <f>IF(OR(Fact_Administrativa[[#This Row], [Año]]="",Fact_Administrativa[[#This Row], [Mes]]=""),"",DATE(A2755,MATCH(B2755,{"enero","febrero","marzo","abril","mayo","junio","julio","agosto","septiembre","octubre","noviembre","diciembre"},0)+1,0))</f>
        <v/>
      </c>
      <c r="E2755" t="str">
        <f>+IFERROR(VLOOKUP(Fact_Administrativa[[#This Row], [Concepto Anterior]],Conceptos_Administrativa[#All],5,0),"")</f>
        <v/>
      </c>
      <c r="F2755" t="str">
        <f>+IFERROR(VLOOKUP(Fact_Administrativa[[#This Row], 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ht="18.75" customHeight="1" x14ac:dyDescent="0.35">
      <c r="C2756" s="100" t="str">
        <f>IF(OR(Fact_Administrativa[[#This Row], [Año]]="",Fact_Administrativa[[#This Row], [Mes]]=""),"",DATE(A2756,MATCH(B2756,{"enero","febrero","marzo","abril","mayo","junio","julio","agosto","septiembre","octubre","noviembre","diciembre"},0)+1,0))</f>
        <v/>
      </c>
      <c r="E2756" t="str">
        <f>+IFERROR(VLOOKUP(Fact_Administrativa[[#This Row], [Concepto Anterior]],Conceptos_Administrativa[#All],5,0),"")</f>
        <v/>
      </c>
      <c r="F2756" t="str">
        <f>+IFERROR(VLOOKUP(Fact_Administrativa[[#This Row], 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ht="18.75" customHeight="1" x14ac:dyDescent="0.35">
      <c r="C2757" s="100" t="str">
        <f>IF(OR(Fact_Administrativa[[#This Row], [Año]]="",Fact_Administrativa[[#This Row], [Mes]]=""),"",DATE(A2757,MATCH(B2757,{"enero","febrero","marzo","abril","mayo","junio","julio","agosto","septiembre","octubre","noviembre","diciembre"},0)+1,0))</f>
        <v/>
      </c>
      <c r="E2757" t="str">
        <f>+IFERROR(VLOOKUP(Fact_Administrativa[[#This Row], [Concepto Anterior]],Conceptos_Administrativa[#All],5,0),"")</f>
        <v/>
      </c>
      <c r="F2757" t="str">
        <f>+IFERROR(VLOOKUP(Fact_Administrativa[[#This Row], 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ht="18.75" customHeight="1" x14ac:dyDescent="0.35">
      <c r="C2758" s="100" t="str">
        <f>IF(OR(Fact_Administrativa[[#This Row], [Año]]="",Fact_Administrativa[[#This Row], [Mes]]=""),"",DATE(A2758,MATCH(B2758,{"enero","febrero","marzo","abril","mayo","junio","julio","agosto","septiembre","octubre","noviembre","diciembre"},0)+1,0))</f>
        <v/>
      </c>
      <c r="E2758" t="str">
        <f>+IFERROR(VLOOKUP(Fact_Administrativa[[#This Row], [Concepto Anterior]],Conceptos_Administrativa[#All],5,0),"")</f>
        <v/>
      </c>
      <c r="F2758" t="str">
        <f>+IFERROR(VLOOKUP(Fact_Administrativa[[#This Row], 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ht="18.75" customHeight="1" x14ac:dyDescent="0.35">
      <c r="C2759" s="100" t="str">
        <f>IF(OR(Fact_Administrativa[[#This Row], [Año]]="",Fact_Administrativa[[#This Row], [Mes]]=""),"",DATE(A2759,MATCH(B2759,{"enero","febrero","marzo","abril","mayo","junio","julio","agosto","septiembre","octubre","noviembre","diciembre"},0)+1,0))</f>
        <v/>
      </c>
      <c r="E2759" t="str">
        <f>+IFERROR(VLOOKUP(Fact_Administrativa[[#This Row], [Concepto Anterior]],Conceptos_Administrativa[#All],5,0),"")</f>
        <v/>
      </c>
      <c r="F2759" t="str">
        <f>+IFERROR(VLOOKUP(Fact_Administrativa[[#This Row], 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ht="18.75" customHeight="1" x14ac:dyDescent="0.35">
      <c r="C2760" s="100" t="str">
        <f>IF(OR(Fact_Administrativa[[#This Row], [Año]]="",Fact_Administrativa[[#This Row], [Mes]]=""),"",DATE(A2760,MATCH(B2760,{"enero","febrero","marzo","abril","mayo","junio","julio","agosto","septiembre","octubre","noviembre","diciembre"},0)+1,0))</f>
        <v/>
      </c>
      <c r="E2760" t="str">
        <f>+IFERROR(VLOOKUP(Fact_Administrativa[[#This Row], [Concepto Anterior]],Conceptos_Administrativa[#All],5,0),"")</f>
        <v/>
      </c>
      <c r="F2760" t="str">
        <f>+IFERROR(VLOOKUP(Fact_Administrativa[[#This Row], 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ht="18.75" customHeight="1" x14ac:dyDescent="0.35">
      <c r="C2761" s="100" t="str">
        <f>IF(OR(Fact_Administrativa[[#This Row], [Año]]="",Fact_Administrativa[[#This Row], [Mes]]=""),"",DATE(A2761,MATCH(B2761,{"enero","febrero","marzo","abril","mayo","junio","julio","agosto","septiembre","octubre","noviembre","diciembre"},0)+1,0))</f>
        <v/>
      </c>
      <c r="E2761" t="str">
        <f>+IFERROR(VLOOKUP(Fact_Administrativa[[#This Row], [Concepto Anterior]],Conceptos_Administrativa[#All],5,0),"")</f>
        <v/>
      </c>
      <c r="F2761" t="str">
        <f>+IFERROR(VLOOKUP(Fact_Administrativa[[#This Row], 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ht="18.75" customHeight="1" x14ac:dyDescent="0.35">
      <c r="C2762" s="100" t="str">
        <f>IF(OR(Fact_Administrativa[[#This Row], [Año]]="",Fact_Administrativa[[#This Row], [Mes]]=""),"",DATE(A2762,MATCH(B2762,{"enero","febrero","marzo","abril","mayo","junio","julio","agosto","septiembre","octubre","noviembre","diciembre"},0)+1,0))</f>
        <v/>
      </c>
      <c r="E2762" t="str">
        <f>+IFERROR(VLOOKUP(Fact_Administrativa[[#This Row], [Concepto Anterior]],Conceptos_Administrativa[#All],5,0),"")</f>
        <v/>
      </c>
      <c r="F2762" t="str">
        <f>+IFERROR(VLOOKUP(Fact_Administrativa[[#This Row], 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ht="18.75" customHeight="1" x14ac:dyDescent="0.35">
      <c r="C2763" s="100" t="str">
        <f>IF(OR(Fact_Administrativa[[#This Row], [Año]]="",Fact_Administrativa[[#This Row], [Mes]]=""),"",DATE(A2763,MATCH(B2763,{"enero","febrero","marzo","abril","mayo","junio","julio","agosto","septiembre","octubre","noviembre","diciembre"},0)+1,0))</f>
        <v/>
      </c>
      <c r="E2763" t="str">
        <f>+IFERROR(VLOOKUP(Fact_Administrativa[[#This Row], [Concepto Anterior]],Conceptos_Administrativa[#All],5,0),"")</f>
        <v/>
      </c>
      <c r="F2763" t="str">
        <f>+IFERROR(VLOOKUP(Fact_Administrativa[[#This Row], 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ht="18.75" customHeight="1" x14ac:dyDescent="0.35">
      <c r="C2764" s="100" t="str">
        <f>IF(OR(Fact_Administrativa[[#This Row], [Año]]="",Fact_Administrativa[[#This Row], [Mes]]=""),"",DATE(A2764,MATCH(B2764,{"enero","febrero","marzo","abril","mayo","junio","julio","agosto","septiembre","octubre","noviembre","diciembre"},0)+1,0))</f>
        <v/>
      </c>
      <c r="E2764" t="str">
        <f>+IFERROR(VLOOKUP(Fact_Administrativa[[#This Row], [Concepto Anterior]],Conceptos_Administrativa[#All],5,0),"")</f>
        <v/>
      </c>
      <c r="F2764" t="str">
        <f>+IFERROR(VLOOKUP(Fact_Administrativa[[#This Row], 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ht="18.75" customHeight="1" x14ac:dyDescent="0.35">
      <c r="C2765" s="100" t="str">
        <f>IF(OR(Fact_Administrativa[[#This Row], [Año]]="",Fact_Administrativa[[#This Row], [Mes]]=""),"",DATE(A2765,MATCH(B2765,{"enero","febrero","marzo","abril","mayo","junio","julio","agosto","septiembre","octubre","noviembre","diciembre"},0)+1,0))</f>
        <v/>
      </c>
      <c r="E2765" t="str">
        <f>+IFERROR(VLOOKUP(Fact_Administrativa[[#This Row], [Concepto Anterior]],Conceptos_Administrativa[#All],5,0),"")</f>
        <v/>
      </c>
      <c r="F2765" t="str">
        <f>+IFERROR(VLOOKUP(Fact_Administrativa[[#This Row], 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ht="18.75" customHeight="1" x14ac:dyDescent="0.35">
      <c r="C2766" s="100" t="str">
        <f>IF(OR(Fact_Administrativa[[#This Row], [Año]]="",Fact_Administrativa[[#This Row], [Mes]]=""),"",DATE(A2766,MATCH(B2766,{"enero","febrero","marzo","abril","mayo","junio","julio","agosto","septiembre","octubre","noviembre","diciembre"},0)+1,0))</f>
        <v/>
      </c>
      <c r="E2766" t="str">
        <f>+IFERROR(VLOOKUP(Fact_Administrativa[[#This Row], [Concepto Anterior]],Conceptos_Administrativa[#All],5,0),"")</f>
        <v/>
      </c>
      <c r="F2766" t="str">
        <f>+IFERROR(VLOOKUP(Fact_Administrativa[[#This Row], 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ht="18.75" customHeight="1" x14ac:dyDescent="0.35">
      <c r="C2767" s="100" t="str">
        <f>IF(OR(Fact_Administrativa[[#This Row], [Año]]="",Fact_Administrativa[[#This Row], [Mes]]=""),"",DATE(A2767,MATCH(B2767,{"enero","febrero","marzo","abril","mayo","junio","julio","agosto","septiembre","octubre","noviembre","diciembre"},0)+1,0))</f>
        <v/>
      </c>
      <c r="E2767" t="str">
        <f>+IFERROR(VLOOKUP(Fact_Administrativa[[#This Row], [Concepto Anterior]],Conceptos_Administrativa[#All],5,0),"")</f>
        <v/>
      </c>
      <c r="F2767" t="str">
        <f>+IFERROR(VLOOKUP(Fact_Administrativa[[#This Row], 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ht="18.75" customHeight="1" x14ac:dyDescent="0.35">
      <c r="C2768" s="100" t="str">
        <f>IF(OR(Fact_Administrativa[[#This Row], [Año]]="",Fact_Administrativa[[#This Row], [Mes]]=""),"",DATE(A2768,MATCH(B2768,{"enero","febrero","marzo","abril","mayo","junio","julio","agosto","septiembre","octubre","noviembre","diciembre"},0)+1,0))</f>
        <v/>
      </c>
      <c r="E2768" t="str">
        <f>+IFERROR(VLOOKUP(Fact_Administrativa[[#This Row], [Concepto Anterior]],Conceptos_Administrativa[#All],5,0),"")</f>
        <v/>
      </c>
      <c r="F2768" t="str">
        <f>+IFERROR(VLOOKUP(Fact_Administrativa[[#This Row], 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ht="18.75" customHeight="1" x14ac:dyDescent="0.35">
      <c r="C2769" s="100" t="str">
        <f>IF(OR(Fact_Administrativa[[#This Row], [Año]]="",Fact_Administrativa[[#This Row], [Mes]]=""),"",DATE(A2769,MATCH(B2769,{"enero","febrero","marzo","abril","mayo","junio","julio","agosto","septiembre","octubre","noviembre","diciembre"},0)+1,0))</f>
        <v/>
      </c>
      <c r="E2769" t="str">
        <f>+IFERROR(VLOOKUP(Fact_Administrativa[[#This Row], [Concepto Anterior]],Conceptos_Administrativa[#All],5,0),"")</f>
        <v/>
      </c>
      <c r="F2769" t="str">
        <f>+IFERROR(VLOOKUP(Fact_Administrativa[[#This Row], 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ht="18.75" customHeight="1" x14ac:dyDescent="0.35">
      <c r="C2770" s="100" t="str">
        <f>IF(OR(Fact_Administrativa[[#This Row], [Año]]="",Fact_Administrativa[[#This Row], [Mes]]=""),"",DATE(A2770,MATCH(B2770,{"enero","febrero","marzo","abril","mayo","junio","julio","agosto","septiembre","octubre","noviembre","diciembre"},0)+1,0))</f>
        <v/>
      </c>
      <c r="E2770" t="str">
        <f>+IFERROR(VLOOKUP(Fact_Administrativa[[#This Row], [Concepto Anterior]],Conceptos_Administrativa[#All],5,0),"")</f>
        <v/>
      </c>
      <c r="F2770" t="str">
        <f>+IFERROR(VLOOKUP(Fact_Administrativa[[#This Row], 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ht="18.75" customHeight="1" x14ac:dyDescent="0.35">
      <c r="C2771" s="100" t="str">
        <f>IF(OR(Fact_Administrativa[[#This Row], [Año]]="",Fact_Administrativa[[#This Row], [Mes]]=""),"",DATE(A2771,MATCH(B2771,{"enero","febrero","marzo","abril","mayo","junio","julio","agosto","septiembre","octubre","noviembre","diciembre"},0)+1,0))</f>
        <v/>
      </c>
      <c r="E2771" t="str">
        <f>+IFERROR(VLOOKUP(Fact_Administrativa[[#This Row], [Concepto Anterior]],Conceptos_Administrativa[#All],5,0),"")</f>
        <v/>
      </c>
      <c r="F2771" t="str">
        <f>+IFERROR(VLOOKUP(Fact_Administrativa[[#This Row], 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ht="18.75" customHeight="1" x14ac:dyDescent="0.35">
      <c r="C2772" s="100" t="str">
        <f>IF(OR(Fact_Administrativa[[#This Row], [Año]]="",Fact_Administrativa[[#This Row], [Mes]]=""),"",DATE(A2772,MATCH(B2772,{"enero","febrero","marzo","abril","mayo","junio","julio","agosto","septiembre","octubre","noviembre","diciembre"},0)+1,0))</f>
        <v/>
      </c>
      <c r="E2772" t="str">
        <f>+IFERROR(VLOOKUP(Fact_Administrativa[[#This Row], [Concepto Anterior]],Conceptos_Administrativa[#All],5,0),"")</f>
        <v/>
      </c>
      <c r="F2772" t="str">
        <f>+IFERROR(VLOOKUP(Fact_Administrativa[[#This Row], 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ht="18.75" customHeight="1" x14ac:dyDescent="0.35">
      <c r="C2773" s="100" t="str">
        <f>IF(OR(Fact_Administrativa[[#This Row], [Año]]="",Fact_Administrativa[[#This Row], [Mes]]=""),"",DATE(A2773,MATCH(B2773,{"enero","febrero","marzo","abril","mayo","junio","julio","agosto","septiembre","octubre","noviembre","diciembre"},0)+1,0))</f>
        <v/>
      </c>
      <c r="E2773" t="str">
        <f>+IFERROR(VLOOKUP(Fact_Administrativa[[#This Row], [Concepto Anterior]],Conceptos_Administrativa[#All],5,0),"")</f>
        <v/>
      </c>
      <c r="F2773" t="str">
        <f>+IFERROR(VLOOKUP(Fact_Administrativa[[#This Row], 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ht="18.75" customHeight="1" x14ac:dyDescent="0.35">
      <c r="C2774" s="100" t="str">
        <f>IF(OR(Fact_Administrativa[[#This Row], [Año]]="",Fact_Administrativa[[#This Row], [Mes]]=""),"",DATE(A2774,MATCH(B2774,{"enero","febrero","marzo","abril","mayo","junio","julio","agosto","septiembre","octubre","noviembre","diciembre"},0)+1,0))</f>
        <v/>
      </c>
      <c r="E2774" t="str">
        <f>+IFERROR(VLOOKUP(Fact_Administrativa[[#This Row], [Concepto Anterior]],Conceptos_Administrativa[#All],5,0),"")</f>
        <v/>
      </c>
      <c r="F2774" t="str">
        <f>+IFERROR(VLOOKUP(Fact_Administrativa[[#This Row], 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ht="18.75" customHeight="1" x14ac:dyDescent="0.35">
      <c r="C2775" s="100" t="str">
        <f>IF(OR(Fact_Administrativa[[#This Row], [Año]]="",Fact_Administrativa[[#This Row], [Mes]]=""),"",DATE(A2775,MATCH(B2775,{"enero","febrero","marzo","abril","mayo","junio","julio","agosto","septiembre","octubre","noviembre","diciembre"},0)+1,0))</f>
        <v/>
      </c>
      <c r="E2775" t="str">
        <f>+IFERROR(VLOOKUP(Fact_Administrativa[[#This Row], [Concepto Anterior]],Conceptos_Administrativa[#All],5,0),"")</f>
        <v/>
      </c>
      <c r="F2775" t="str">
        <f>+IFERROR(VLOOKUP(Fact_Administrativa[[#This Row], 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ht="18.75" customHeight="1" x14ac:dyDescent="0.35">
      <c r="C2776" s="100" t="str">
        <f>IF(OR(Fact_Administrativa[[#This Row], [Año]]="",Fact_Administrativa[[#This Row], [Mes]]=""),"",DATE(A2776,MATCH(B2776,{"enero","febrero","marzo","abril","mayo","junio","julio","agosto","septiembre","octubre","noviembre","diciembre"},0)+1,0))</f>
        <v/>
      </c>
      <c r="E2776" t="str">
        <f>+IFERROR(VLOOKUP(Fact_Administrativa[[#This Row], [Concepto Anterior]],Conceptos_Administrativa[#All],5,0),"")</f>
        <v/>
      </c>
      <c r="F2776" t="str">
        <f>+IFERROR(VLOOKUP(Fact_Administrativa[[#This Row], 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ht="18.75" customHeight="1" x14ac:dyDescent="0.35">
      <c r="C2777" s="100" t="str">
        <f>IF(OR(Fact_Administrativa[[#This Row], [Año]]="",Fact_Administrativa[[#This Row], [Mes]]=""),"",DATE(A2777,MATCH(B2777,{"enero","febrero","marzo","abril","mayo","junio","julio","agosto","septiembre","octubre","noviembre","diciembre"},0)+1,0))</f>
        <v/>
      </c>
      <c r="E2777" t="str">
        <f>+IFERROR(VLOOKUP(Fact_Administrativa[[#This Row], [Concepto Anterior]],Conceptos_Administrativa[#All],5,0),"")</f>
        <v/>
      </c>
      <c r="F2777" t="str">
        <f>+IFERROR(VLOOKUP(Fact_Administrativa[[#This Row], 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ht="18.75" customHeight="1" x14ac:dyDescent="0.35">
      <c r="C2778" s="100" t="str">
        <f>IF(OR(Fact_Administrativa[[#This Row], [Año]]="",Fact_Administrativa[[#This Row], [Mes]]=""),"",DATE(A2778,MATCH(B2778,{"enero","febrero","marzo","abril","mayo","junio","julio","agosto","septiembre","octubre","noviembre","diciembre"},0)+1,0))</f>
        <v/>
      </c>
      <c r="E2778" t="str">
        <f>+IFERROR(VLOOKUP(Fact_Administrativa[[#This Row], [Concepto Anterior]],Conceptos_Administrativa[#All],5,0),"")</f>
        <v/>
      </c>
      <c r="F2778" t="str">
        <f>+IFERROR(VLOOKUP(Fact_Administrativa[[#This Row], 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ht="18.75" customHeight="1" x14ac:dyDescent="0.35">
      <c r="C2779" s="100" t="str">
        <f>IF(OR(Fact_Administrativa[[#This Row], [Año]]="",Fact_Administrativa[[#This Row], [Mes]]=""),"",DATE(A2779,MATCH(B2779,{"enero","febrero","marzo","abril","mayo","junio","julio","agosto","septiembre","octubre","noviembre","diciembre"},0)+1,0))</f>
        <v/>
      </c>
      <c r="E2779" t="str">
        <f>+IFERROR(VLOOKUP(Fact_Administrativa[[#This Row], [Concepto Anterior]],Conceptos_Administrativa[#All],5,0),"")</f>
        <v/>
      </c>
      <c r="F2779" t="str">
        <f>+IFERROR(VLOOKUP(Fact_Administrativa[[#This Row], 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ht="18.75" customHeight="1" x14ac:dyDescent="0.35">
      <c r="C2780" s="100" t="str">
        <f>IF(OR(Fact_Administrativa[[#This Row], [Año]]="",Fact_Administrativa[[#This Row], [Mes]]=""),"",DATE(A2780,MATCH(B2780,{"enero","febrero","marzo","abril","mayo","junio","julio","agosto","septiembre","octubre","noviembre","diciembre"},0)+1,0))</f>
        <v/>
      </c>
      <c r="E2780" t="str">
        <f>+IFERROR(VLOOKUP(Fact_Administrativa[[#This Row], [Concepto Anterior]],Conceptos_Administrativa[#All],5,0),"")</f>
        <v/>
      </c>
      <c r="F2780" t="str">
        <f>+IFERROR(VLOOKUP(Fact_Administrativa[[#This Row], 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ht="18.75" customHeight="1" x14ac:dyDescent="0.35">
      <c r="C2781" s="100" t="str">
        <f>IF(OR(Fact_Administrativa[[#This Row], [Año]]="",Fact_Administrativa[[#This Row], [Mes]]=""),"",DATE(A2781,MATCH(B2781,{"enero","febrero","marzo","abril","mayo","junio","julio","agosto","septiembre","octubre","noviembre","diciembre"},0)+1,0))</f>
        <v/>
      </c>
      <c r="E2781" t="str">
        <f>+IFERROR(VLOOKUP(Fact_Administrativa[[#This Row], [Concepto Anterior]],Conceptos_Administrativa[#All],5,0),"")</f>
        <v/>
      </c>
      <c r="F2781" t="str">
        <f>+IFERROR(VLOOKUP(Fact_Administrativa[[#This Row], 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ht="18.75" customHeight="1" x14ac:dyDescent="0.35">
      <c r="C2782" s="100" t="str">
        <f>IF(OR(Fact_Administrativa[[#This Row], [Año]]="",Fact_Administrativa[[#This Row], [Mes]]=""),"",DATE(A2782,MATCH(B2782,{"enero","febrero","marzo","abril","mayo","junio","julio","agosto","septiembre","octubre","noviembre","diciembre"},0)+1,0))</f>
        <v/>
      </c>
      <c r="E2782" t="str">
        <f>+IFERROR(VLOOKUP(Fact_Administrativa[[#This Row], [Concepto Anterior]],Conceptos_Administrativa[#All],5,0),"")</f>
        <v/>
      </c>
      <c r="F2782" t="str">
        <f>+IFERROR(VLOOKUP(Fact_Administrativa[[#This Row], 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ht="18.75" customHeight="1" x14ac:dyDescent="0.35">
      <c r="C2783" s="100" t="str">
        <f>IF(OR(Fact_Administrativa[[#This Row], [Año]]="",Fact_Administrativa[[#This Row], [Mes]]=""),"",DATE(A2783,MATCH(B2783,{"enero","febrero","marzo","abril","mayo","junio","julio","agosto","septiembre","octubre","noviembre","diciembre"},0)+1,0))</f>
        <v/>
      </c>
      <c r="E2783" t="str">
        <f>+IFERROR(VLOOKUP(Fact_Administrativa[[#This Row], [Concepto Anterior]],Conceptos_Administrativa[#All],5,0),"")</f>
        <v/>
      </c>
      <c r="F2783" t="str">
        <f>+IFERROR(VLOOKUP(Fact_Administrativa[[#This Row], 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ht="18.75" customHeight="1" x14ac:dyDescent="0.35">
      <c r="C2784" s="100" t="str">
        <f>IF(OR(Fact_Administrativa[[#This Row], [Año]]="",Fact_Administrativa[[#This Row], [Mes]]=""),"",DATE(A2784,MATCH(B2784,{"enero","febrero","marzo","abril","mayo","junio","julio","agosto","septiembre","octubre","noviembre","diciembre"},0)+1,0))</f>
        <v/>
      </c>
      <c r="E2784" t="str">
        <f>+IFERROR(VLOOKUP(Fact_Administrativa[[#This Row], [Concepto Anterior]],Conceptos_Administrativa[#All],5,0),"")</f>
        <v/>
      </c>
      <c r="F2784" t="str">
        <f>+IFERROR(VLOOKUP(Fact_Administrativa[[#This Row], 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ht="18.75" customHeight="1" x14ac:dyDescent="0.35">
      <c r="C2785" s="100" t="str">
        <f>IF(OR(Fact_Administrativa[[#This Row], [Año]]="",Fact_Administrativa[[#This Row], [Mes]]=""),"",DATE(A2785,MATCH(B2785,{"enero","febrero","marzo","abril","mayo","junio","julio","agosto","septiembre","octubre","noviembre","diciembre"},0)+1,0))</f>
        <v/>
      </c>
      <c r="E2785" t="str">
        <f>+IFERROR(VLOOKUP(Fact_Administrativa[[#This Row], [Concepto Anterior]],Conceptos_Administrativa[#All],5,0),"")</f>
        <v/>
      </c>
      <c r="F2785" t="str">
        <f>+IFERROR(VLOOKUP(Fact_Administrativa[[#This Row], 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ht="18.75" customHeight="1" x14ac:dyDescent="0.35">
      <c r="C2786" s="100" t="str">
        <f>IF(OR(Fact_Administrativa[[#This Row], [Año]]="",Fact_Administrativa[[#This Row], [Mes]]=""),"",DATE(A2786,MATCH(B2786,{"enero","febrero","marzo","abril","mayo","junio","julio","agosto","septiembre","octubre","noviembre","diciembre"},0)+1,0))</f>
        <v/>
      </c>
      <c r="E2786" t="str">
        <f>+IFERROR(VLOOKUP(Fact_Administrativa[[#This Row], [Concepto Anterior]],Conceptos_Administrativa[#All],5,0),"")</f>
        <v/>
      </c>
      <c r="F2786" t="str">
        <f>+IFERROR(VLOOKUP(Fact_Administrativa[[#This Row], 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ht="18.75" customHeight="1" x14ac:dyDescent="0.35">
      <c r="C2787" s="100" t="str">
        <f>IF(OR(Fact_Administrativa[[#This Row], [Año]]="",Fact_Administrativa[[#This Row], [Mes]]=""),"",DATE(A2787,MATCH(B2787,{"enero","febrero","marzo","abril","mayo","junio","julio","agosto","septiembre","octubre","noviembre","diciembre"},0)+1,0))</f>
        <v/>
      </c>
      <c r="E2787" t="str">
        <f>+IFERROR(VLOOKUP(Fact_Administrativa[[#This Row], [Concepto Anterior]],Conceptos_Administrativa[#All],5,0),"")</f>
        <v/>
      </c>
      <c r="F2787" t="str">
        <f>+IFERROR(VLOOKUP(Fact_Administrativa[[#This Row], 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ht="18.75" customHeight="1" x14ac:dyDescent="0.35">
      <c r="C2788" s="100" t="str">
        <f>IF(OR(Fact_Administrativa[[#This Row], [Año]]="",Fact_Administrativa[[#This Row], [Mes]]=""),"",DATE(A2788,MATCH(B2788,{"enero","febrero","marzo","abril","mayo","junio","julio","agosto","septiembre","octubre","noviembre","diciembre"},0)+1,0))</f>
        <v/>
      </c>
      <c r="E2788" t="str">
        <f>+IFERROR(VLOOKUP(Fact_Administrativa[[#This Row], [Concepto Anterior]],Conceptos_Administrativa[#All],5,0),"")</f>
        <v/>
      </c>
      <c r="F2788" t="str">
        <f>+IFERROR(VLOOKUP(Fact_Administrativa[[#This Row], 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ht="18.75" customHeight="1" x14ac:dyDescent="0.35">
      <c r="C2789" s="100" t="str">
        <f>IF(OR(Fact_Administrativa[[#This Row], [Año]]="",Fact_Administrativa[[#This Row], [Mes]]=""),"",DATE(A2789,MATCH(B2789,{"enero","febrero","marzo","abril","mayo","junio","julio","agosto","septiembre","octubre","noviembre","diciembre"},0)+1,0))</f>
        <v/>
      </c>
      <c r="E2789" t="str">
        <f>+IFERROR(VLOOKUP(Fact_Administrativa[[#This Row], [Concepto Anterior]],Conceptos_Administrativa[#All],5,0),"")</f>
        <v/>
      </c>
      <c r="F2789" t="str">
        <f>+IFERROR(VLOOKUP(Fact_Administrativa[[#This Row], 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ht="18.75" customHeight="1" x14ac:dyDescent="0.35">
      <c r="C2790" s="100" t="str">
        <f>IF(OR(Fact_Administrativa[[#This Row], [Año]]="",Fact_Administrativa[[#This Row], [Mes]]=""),"",DATE(A2790,MATCH(B2790,{"enero","febrero","marzo","abril","mayo","junio","julio","agosto","septiembre","octubre","noviembre","diciembre"},0)+1,0))</f>
        <v/>
      </c>
      <c r="E2790" t="str">
        <f>+IFERROR(VLOOKUP(Fact_Administrativa[[#This Row], [Concepto Anterior]],Conceptos_Administrativa[#All],5,0),"")</f>
        <v/>
      </c>
      <c r="F2790" t="str">
        <f>+IFERROR(VLOOKUP(Fact_Administrativa[[#This Row], 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ht="18.75" customHeight="1" x14ac:dyDescent="0.35">
      <c r="C2791" s="100" t="str">
        <f>IF(OR(Fact_Administrativa[[#This Row], [Año]]="",Fact_Administrativa[[#This Row], [Mes]]=""),"",DATE(A2791,MATCH(B2791,{"enero","febrero","marzo","abril","mayo","junio","julio","agosto","septiembre","octubre","noviembre","diciembre"},0)+1,0))</f>
        <v/>
      </c>
      <c r="E2791" t="str">
        <f>+IFERROR(VLOOKUP(Fact_Administrativa[[#This Row], [Concepto Anterior]],Conceptos_Administrativa[#All],5,0),"")</f>
        <v/>
      </c>
      <c r="F2791" t="str">
        <f>+IFERROR(VLOOKUP(Fact_Administrativa[[#This Row], 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ht="18.75" customHeight="1" x14ac:dyDescent="0.35">
      <c r="C2792" s="100" t="str">
        <f>IF(OR(Fact_Administrativa[[#This Row], [Año]]="",Fact_Administrativa[[#This Row], [Mes]]=""),"",DATE(A2792,MATCH(B2792,{"enero","febrero","marzo","abril","mayo","junio","julio","agosto","septiembre","octubre","noviembre","diciembre"},0)+1,0))</f>
        <v/>
      </c>
      <c r="E2792" t="str">
        <f>+IFERROR(VLOOKUP(Fact_Administrativa[[#This Row], [Concepto Anterior]],Conceptos_Administrativa[#All],5,0),"")</f>
        <v/>
      </c>
      <c r="F2792" t="str">
        <f>+IFERROR(VLOOKUP(Fact_Administrativa[[#This Row], 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ht="18.75" customHeight="1" x14ac:dyDescent="0.35">
      <c r="C2793" s="100" t="str">
        <f>IF(OR(Fact_Administrativa[[#This Row], [Año]]="",Fact_Administrativa[[#This Row], [Mes]]=""),"",DATE(A2793,MATCH(B2793,{"enero","febrero","marzo","abril","mayo","junio","julio","agosto","septiembre","octubre","noviembre","diciembre"},0)+1,0))</f>
        <v/>
      </c>
      <c r="E2793" t="str">
        <f>+IFERROR(VLOOKUP(Fact_Administrativa[[#This Row], [Concepto Anterior]],Conceptos_Administrativa[#All],5,0),"")</f>
        <v/>
      </c>
      <c r="F2793" t="str">
        <f>+IFERROR(VLOOKUP(Fact_Administrativa[[#This Row], 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ht="18.75" customHeight="1" x14ac:dyDescent="0.35">
      <c r="C2794" s="100" t="str">
        <f>IF(OR(Fact_Administrativa[[#This Row], [Año]]="",Fact_Administrativa[[#This Row], [Mes]]=""),"",DATE(A2794,MATCH(B2794,{"enero","febrero","marzo","abril","mayo","junio","julio","agosto","septiembre","octubre","noviembre","diciembre"},0)+1,0))</f>
        <v/>
      </c>
      <c r="E2794" t="str">
        <f>+IFERROR(VLOOKUP(Fact_Administrativa[[#This Row], [Concepto Anterior]],Conceptos_Administrativa[#All],5,0),"")</f>
        <v/>
      </c>
      <c r="F2794" t="str">
        <f>+IFERROR(VLOOKUP(Fact_Administrativa[[#This Row], 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ht="18.75" customHeight="1" x14ac:dyDescent="0.35">
      <c r="C2795" s="100" t="str">
        <f>IF(OR(Fact_Administrativa[[#This Row], [Año]]="",Fact_Administrativa[[#This Row], [Mes]]=""),"",DATE(A2795,MATCH(B2795,{"enero","febrero","marzo","abril","mayo","junio","julio","agosto","septiembre","octubre","noviembre","diciembre"},0)+1,0))</f>
        <v/>
      </c>
      <c r="E2795" t="str">
        <f>+IFERROR(VLOOKUP(Fact_Administrativa[[#This Row], [Concepto Anterior]],Conceptos_Administrativa[#All],5,0),"")</f>
        <v/>
      </c>
      <c r="F2795" t="str">
        <f>+IFERROR(VLOOKUP(Fact_Administrativa[[#This Row], 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ht="18.75" customHeight="1" x14ac:dyDescent="0.35">
      <c r="C2796" s="100" t="str">
        <f>IF(OR(Fact_Administrativa[[#This Row], [Año]]="",Fact_Administrativa[[#This Row], [Mes]]=""),"",DATE(A2796,MATCH(B2796,{"enero","febrero","marzo","abril","mayo","junio","julio","agosto","septiembre","octubre","noviembre","diciembre"},0)+1,0))</f>
        <v/>
      </c>
      <c r="E2796" t="str">
        <f>+IFERROR(VLOOKUP(Fact_Administrativa[[#This Row], [Concepto Anterior]],Conceptos_Administrativa[#All],5,0),"")</f>
        <v/>
      </c>
      <c r="F2796" t="str">
        <f>+IFERROR(VLOOKUP(Fact_Administrativa[[#This Row], 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ht="18.75" customHeight="1" x14ac:dyDescent="0.35">
      <c r="C2797" s="100" t="str">
        <f>IF(OR(Fact_Administrativa[[#This Row], [Año]]="",Fact_Administrativa[[#This Row], [Mes]]=""),"",DATE(A2797,MATCH(B2797,{"enero","febrero","marzo","abril","mayo","junio","julio","agosto","septiembre","octubre","noviembre","diciembre"},0)+1,0))</f>
        <v/>
      </c>
      <c r="E2797" t="str">
        <f>+IFERROR(VLOOKUP(Fact_Administrativa[[#This Row], [Concepto Anterior]],Conceptos_Administrativa[#All],5,0),"")</f>
        <v/>
      </c>
      <c r="F2797" t="str">
        <f>+IFERROR(VLOOKUP(Fact_Administrativa[[#This Row], 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ht="18.75" customHeight="1" x14ac:dyDescent="0.35">
      <c r="C2798" s="100" t="str">
        <f>IF(OR(Fact_Administrativa[[#This Row], [Año]]="",Fact_Administrativa[[#This Row], [Mes]]=""),"",DATE(A2798,MATCH(B2798,{"enero","febrero","marzo","abril","mayo","junio","julio","agosto","septiembre","octubre","noviembre","diciembre"},0)+1,0))</f>
        <v/>
      </c>
      <c r="E2798" t="str">
        <f>+IFERROR(VLOOKUP(Fact_Administrativa[[#This Row], [Concepto Anterior]],Conceptos_Administrativa[#All],5,0),"")</f>
        <v/>
      </c>
      <c r="F2798" t="str">
        <f>+IFERROR(VLOOKUP(Fact_Administrativa[[#This Row], 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ht="18.75" customHeight="1" x14ac:dyDescent="0.35">
      <c r="C2799" s="100" t="str">
        <f>IF(OR(Fact_Administrativa[[#This Row], [Año]]="",Fact_Administrativa[[#This Row], [Mes]]=""),"",DATE(A2799,MATCH(B2799,{"enero","febrero","marzo","abril","mayo","junio","julio","agosto","septiembre","octubre","noviembre","diciembre"},0)+1,0))</f>
        <v/>
      </c>
      <c r="E2799" t="str">
        <f>+IFERROR(VLOOKUP(Fact_Administrativa[[#This Row], [Concepto Anterior]],Conceptos_Administrativa[#All],5,0),"")</f>
        <v/>
      </c>
      <c r="F2799" t="str">
        <f>+IFERROR(VLOOKUP(Fact_Administrativa[[#This Row], 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ht="18.75" customHeight="1" x14ac:dyDescent="0.35">
      <c r="C2800" s="100" t="str">
        <f>IF(OR(Fact_Administrativa[[#This Row], [Año]]="",Fact_Administrativa[[#This Row], [Mes]]=""),"",DATE(A2800,MATCH(B2800,{"enero","febrero","marzo","abril","mayo","junio","julio","agosto","septiembre","octubre","noviembre","diciembre"},0)+1,0))</f>
        <v/>
      </c>
      <c r="E2800" t="str">
        <f>+IFERROR(VLOOKUP(Fact_Administrativa[[#This Row], [Concepto Anterior]],Conceptos_Administrativa[#All],5,0),"")</f>
        <v/>
      </c>
      <c r="F2800" t="str">
        <f>+IFERROR(VLOOKUP(Fact_Administrativa[[#This Row], 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ht="18.75" customHeight="1" x14ac:dyDescent="0.35">
      <c r="C2801" s="100" t="str">
        <f>IF(OR(Fact_Administrativa[[#This Row], [Año]]="",Fact_Administrativa[[#This Row], [Mes]]=""),"",DATE(A2801,MATCH(B2801,{"enero","febrero","marzo","abril","mayo","junio","julio","agosto","septiembre","octubre","noviembre","diciembre"},0)+1,0))</f>
        <v/>
      </c>
      <c r="E2801" t="str">
        <f>+IFERROR(VLOOKUP(Fact_Administrativa[[#This Row], [Concepto Anterior]],Conceptos_Administrativa[#All],5,0),"")</f>
        <v/>
      </c>
      <c r="F2801" t="str">
        <f>+IFERROR(VLOOKUP(Fact_Administrativa[[#This Row], 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ht="18.75" customHeight="1" x14ac:dyDescent="0.35">
      <c r="C2802" s="100" t="str">
        <f>IF(OR(Fact_Administrativa[[#This Row], [Año]]="",Fact_Administrativa[[#This Row], [Mes]]=""),"",DATE(A2802,MATCH(B2802,{"enero","febrero","marzo","abril","mayo","junio","julio","agosto","septiembre","octubre","noviembre","diciembre"},0)+1,0))</f>
        <v/>
      </c>
      <c r="E2802" t="str">
        <f>+IFERROR(VLOOKUP(Fact_Administrativa[[#This Row], [Concepto Anterior]],Conceptos_Administrativa[#All],5,0),"")</f>
        <v/>
      </c>
      <c r="F2802" t="str">
        <f>+IFERROR(VLOOKUP(Fact_Administrativa[[#This Row], 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ht="18.75" customHeight="1" x14ac:dyDescent="0.35">
      <c r="C2803" s="100" t="str">
        <f>IF(OR(Fact_Administrativa[[#This Row], [Año]]="",Fact_Administrativa[[#This Row], [Mes]]=""),"",DATE(A2803,MATCH(B2803,{"enero","febrero","marzo","abril","mayo","junio","julio","agosto","septiembre","octubre","noviembre","diciembre"},0)+1,0))</f>
        <v/>
      </c>
      <c r="E2803" t="str">
        <f>+IFERROR(VLOOKUP(Fact_Administrativa[[#This Row], [Concepto Anterior]],Conceptos_Administrativa[#All],5,0),"")</f>
        <v/>
      </c>
      <c r="F2803" t="str">
        <f>+IFERROR(VLOOKUP(Fact_Administrativa[[#This Row], 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ht="18.75" customHeight="1" x14ac:dyDescent="0.35">
      <c r="C2804" s="100" t="str">
        <f>IF(OR(Fact_Administrativa[[#This Row], [Año]]="",Fact_Administrativa[[#This Row], [Mes]]=""),"",DATE(A2804,MATCH(B2804,{"enero","febrero","marzo","abril","mayo","junio","julio","agosto","septiembre","octubre","noviembre","diciembre"},0)+1,0))</f>
        <v/>
      </c>
      <c r="E2804" t="str">
        <f>+IFERROR(VLOOKUP(Fact_Administrativa[[#This Row], [Concepto Anterior]],Conceptos_Administrativa[#All],5,0),"")</f>
        <v/>
      </c>
      <c r="F2804" t="str">
        <f>+IFERROR(VLOOKUP(Fact_Administrativa[[#This Row], 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ht="18.75" customHeight="1" x14ac:dyDescent="0.35">
      <c r="C2805" s="100" t="str">
        <f>IF(OR(Fact_Administrativa[[#This Row], [Año]]="",Fact_Administrativa[[#This Row], [Mes]]=""),"",DATE(A2805,MATCH(B2805,{"enero","febrero","marzo","abril","mayo","junio","julio","agosto","septiembre","octubre","noviembre","diciembre"},0)+1,0))</f>
        <v/>
      </c>
      <c r="E2805" t="str">
        <f>+IFERROR(VLOOKUP(Fact_Administrativa[[#This Row], [Concepto Anterior]],Conceptos_Administrativa[#All],5,0),"")</f>
        <v/>
      </c>
      <c r="F2805" t="str">
        <f>+IFERROR(VLOOKUP(Fact_Administrativa[[#This Row], 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ht="18.75" customHeight="1" x14ac:dyDescent="0.35">
      <c r="C2806" s="100" t="str">
        <f>IF(OR(Fact_Administrativa[[#This Row], [Año]]="",Fact_Administrativa[[#This Row], [Mes]]=""),"",DATE(A2806,MATCH(B2806,{"enero","febrero","marzo","abril","mayo","junio","julio","agosto","septiembre","octubre","noviembre","diciembre"},0)+1,0))</f>
        <v/>
      </c>
      <c r="E2806" t="str">
        <f>+IFERROR(VLOOKUP(Fact_Administrativa[[#This Row], [Concepto Anterior]],Conceptos_Administrativa[#All],5,0),"")</f>
        <v/>
      </c>
      <c r="F2806" t="str">
        <f>+IFERROR(VLOOKUP(Fact_Administrativa[[#This Row], 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ht="18.75" customHeight="1" x14ac:dyDescent="0.35">
      <c r="C2807" s="100" t="str">
        <f>IF(OR(Fact_Administrativa[[#This Row], [Año]]="",Fact_Administrativa[[#This Row], [Mes]]=""),"",DATE(A2807,MATCH(B2807,{"enero","febrero","marzo","abril","mayo","junio","julio","agosto","septiembre","octubre","noviembre","diciembre"},0)+1,0))</f>
        <v/>
      </c>
      <c r="E2807" t="str">
        <f>+IFERROR(VLOOKUP(Fact_Administrativa[[#This Row], [Concepto Anterior]],Conceptos_Administrativa[#All],5,0),"")</f>
        <v/>
      </c>
      <c r="F2807" t="str">
        <f>+IFERROR(VLOOKUP(Fact_Administrativa[[#This Row], 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ht="18.75" customHeight="1" x14ac:dyDescent="0.35">
      <c r="C2808" s="100" t="str">
        <f>IF(OR(Fact_Administrativa[[#This Row], [Año]]="",Fact_Administrativa[[#This Row], [Mes]]=""),"",DATE(A2808,MATCH(B2808,{"enero","febrero","marzo","abril","mayo","junio","julio","agosto","septiembre","octubre","noviembre","diciembre"},0)+1,0))</f>
        <v/>
      </c>
      <c r="E2808" t="str">
        <f>+IFERROR(VLOOKUP(Fact_Administrativa[[#This Row], [Concepto Anterior]],Conceptos_Administrativa[#All],5,0),"")</f>
        <v/>
      </c>
      <c r="F2808" t="str">
        <f>+IFERROR(VLOOKUP(Fact_Administrativa[[#This Row], 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ht="18.75" customHeight="1" x14ac:dyDescent="0.35">
      <c r="C2809" s="100" t="str">
        <f>IF(OR(Fact_Administrativa[[#This Row], [Año]]="",Fact_Administrativa[[#This Row], [Mes]]=""),"",DATE(A2809,MATCH(B2809,{"enero","febrero","marzo","abril","mayo","junio","julio","agosto","septiembre","octubre","noviembre","diciembre"},0)+1,0))</f>
        <v/>
      </c>
      <c r="E2809" t="str">
        <f>+IFERROR(VLOOKUP(Fact_Administrativa[[#This Row], [Concepto Anterior]],Conceptos_Administrativa[#All],5,0),"")</f>
        <v/>
      </c>
      <c r="F2809" t="str">
        <f>+IFERROR(VLOOKUP(Fact_Administrativa[[#This Row], 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ht="18.75" customHeight="1" x14ac:dyDescent="0.35">
      <c r="C2810" s="100" t="str">
        <f>IF(OR(Fact_Administrativa[[#This Row], [Año]]="",Fact_Administrativa[[#This Row], [Mes]]=""),"",DATE(A2810,MATCH(B2810,{"enero","febrero","marzo","abril","mayo","junio","julio","agosto","septiembre","octubre","noviembre","diciembre"},0)+1,0))</f>
        <v/>
      </c>
      <c r="E2810" t="str">
        <f>+IFERROR(VLOOKUP(Fact_Administrativa[[#This Row], [Concepto Anterior]],Conceptos_Administrativa[#All],5,0),"")</f>
        <v/>
      </c>
      <c r="F2810" t="str">
        <f>+IFERROR(VLOOKUP(Fact_Administrativa[[#This Row], 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ht="18.75" customHeight="1" x14ac:dyDescent="0.35">
      <c r="C2811" s="100" t="str">
        <f>IF(OR(Fact_Administrativa[[#This Row], [Año]]="",Fact_Administrativa[[#This Row], [Mes]]=""),"",DATE(A2811,MATCH(B2811,{"enero","febrero","marzo","abril","mayo","junio","julio","agosto","septiembre","octubre","noviembre","diciembre"},0)+1,0))</f>
        <v/>
      </c>
      <c r="E2811" t="str">
        <f>+IFERROR(VLOOKUP(Fact_Administrativa[[#This Row], [Concepto Anterior]],Conceptos_Administrativa[#All],5,0),"")</f>
        <v/>
      </c>
      <c r="F2811" t="str">
        <f>+IFERROR(VLOOKUP(Fact_Administrativa[[#This Row], 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ht="18.75" customHeight="1" x14ac:dyDescent="0.35">
      <c r="C2812" s="100" t="str">
        <f>IF(OR(Fact_Administrativa[[#This Row], [Año]]="",Fact_Administrativa[[#This Row], [Mes]]=""),"",DATE(A2812,MATCH(B2812,{"enero","febrero","marzo","abril","mayo","junio","julio","agosto","septiembre","octubre","noviembre","diciembre"},0)+1,0))</f>
        <v/>
      </c>
      <c r="E2812" t="str">
        <f>+IFERROR(VLOOKUP(Fact_Administrativa[[#This Row], [Concepto Anterior]],Conceptos_Administrativa[#All],5,0),"")</f>
        <v/>
      </c>
      <c r="F2812" t="str">
        <f>+IFERROR(VLOOKUP(Fact_Administrativa[[#This Row], 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ht="18.75" customHeight="1" x14ac:dyDescent="0.35">
      <c r="C2813" s="100" t="str">
        <f>IF(OR(Fact_Administrativa[[#This Row], [Año]]="",Fact_Administrativa[[#This Row], [Mes]]=""),"",DATE(A2813,MATCH(B2813,{"enero","febrero","marzo","abril","mayo","junio","julio","agosto","septiembre","octubre","noviembre","diciembre"},0)+1,0))</f>
        <v/>
      </c>
      <c r="E2813" t="str">
        <f>+IFERROR(VLOOKUP(Fact_Administrativa[[#This Row], [Concepto Anterior]],Conceptos_Administrativa[#All],5,0),"")</f>
        <v/>
      </c>
      <c r="F2813" t="str">
        <f>+IFERROR(VLOOKUP(Fact_Administrativa[[#This Row], 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ht="18.75" customHeight="1" x14ac:dyDescent="0.35">
      <c r="C2814" s="100" t="str">
        <f>IF(OR(Fact_Administrativa[[#This Row], [Año]]="",Fact_Administrativa[[#This Row], [Mes]]=""),"",DATE(A2814,MATCH(B2814,{"enero","febrero","marzo","abril","mayo","junio","julio","agosto","septiembre","octubre","noviembre","diciembre"},0)+1,0))</f>
        <v/>
      </c>
      <c r="E2814" t="str">
        <f>+IFERROR(VLOOKUP(Fact_Administrativa[[#This Row], [Concepto Anterior]],Conceptos_Administrativa[#All],5,0),"")</f>
        <v/>
      </c>
      <c r="F2814" t="str">
        <f>+IFERROR(VLOOKUP(Fact_Administrativa[[#This Row], 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ht="18.75" customHeight="1" x14ac:dyDescent="0.35">
      <c r="C2815" s="100" t="str">
        <f>IF(OR(Fact_Administrativa[[#This Row], [Año]]="",Fact_Administrativa[[#This Row], [Mes]]=""),"",DATE(A2815,MATCH(B2815,{"enero","febrero","marzo","abril","mayo","junio","julio","agosto","septiembre","octubre","noviembre","diciembre"},0)+1,0))</f>
        <v/>
      </c>
      <c r="E2815" t="str">
        <f>+IFERROR(VLOOKUP(Fact_Administrativa[[#This Row], [Concepto Anterior]],Conceptos_Administrativa[#All],5,0),"")</f>
        <v/>
      </c>
      <c r="F2815" t="str">
        <f>+IFERROR(VLOOKUP(Fact_Administrativa[[#This Row], 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ht="18.75" customHeight="1" x14ac:dyDescent="0.35">
      <c r="C2816" s="100" t="str">
        <f>IF(OR(Fact_Administrativa[[#This Row], [Año]]="",Fact_Administrativa[[#This Row], [Mes]]=""),"",DATE(A2816,MATCH(B2816,{"enero","febrero","marzo","abril","mayo","junio","julio","agosto","septiembre","octubre","noviembre","diciembre"},0)+1,0))</f>
        <v/>
      </c>
      <c r="E2816" t="str">
        <f>+IFERROR(VLOOKUP(Fact_Administrativa[[#This Row], [Concepto Anterior]],Conceptos_Administrativa[#All],5,0),"")</f>
        <v/>
      </c>
      <c r="F2816" t="str">
        <f>+IFERROR(VLOOKUP(Fact_Administrativa[[#This Row], 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ht="18.75" customHeight="1" x14ac:dyDescent="0.35">
      <c r="C2817" s="100" t="str">
        <f>IF(OR(Fact_Administrativa[[#This Row], [Año]]="",Fact_Administrativa[[#This Row], [Mes]]=""),"",DATE(A2817,MATCH(B2817,{"enero","febrero","marzo","abril","mayo","junio","julio","agosto","septiembre","octubre","noviembre","diciembre"},0)+1,0))</f>
        <v/>
      </c>
      <c r="E2817" t="str">
        <f>+IFERROR(VLOOKUP(Fact_Administrativa[[#This Row], [Concepto Anterior]],Conceptos_Administrativa[#All],5,0),"")</f>
        <v/>
      </c>
      <c r="F2817" t="str">
        <f>+IFERROR(VLOOKUP(Fact_Administrativa[[#This Row], 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ht="18.75" customHeight="1" x14ac:dyDescent="0.35">
      <c r="C2818" s="100" t="str">
        <f>IF(OR(Fact_Administrativa[[#This Row], [Año]]="",Fact_Administrativa[[#This Row], [Mes]]=""),"",DATE(A2818,MATCH(B2818,{"enero","febrero","marzo","abril","mayo","junio","julio","agosto","septiembre","octubre","noviembre","diciembre"},0)+1,0))</f>
        <v/>
      </c>
      <c r="E2818" t="str">
        <f>+IFERROR(VLOOKUP(Fact_Administrativa[[#This Row], [Concepto Anterior]],Conceptos_Administrativa[#All],5,0),"")</f>
        <v/>
      </c>
      <c r="F2818" t="str">
        <f>+IFERROR(VLOOKUP(Fact_Administrativa[[#This Row], 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ht="18.75" customHeight="1" x14ac:dyDescent="0.35">
      <c r="C2819" s="100" t="str">
        <f>IF(OR(Fact_Administrativa[[#This Row], [Año]]="",Fact_Administrativa[[#This Row], [Mes]]=""),"",DATE(A2819,MATCH(B2819,{"enero","febrero","marzo","abril","mayo","junio","julio","agosto","septiembre","octubre","noviembre","diciembre"},0)+1,0))</f>
        <v/>
      </c>
      <c r="E2819" t="str">
        <f>+IFERROR(VLOOKUP(Fact_Administrativa[[#This Row], [Concepto Anterior]],Conceptos_Administrativa[#All],5,0),"")</f>
        <v/>
      </c>
      <c r="F2819" t="str">
        <f>+IFERROR(VLOOKUP(Fact_Administrativa[[#This Row], 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ht="18.75" customHeight="1" x14ac:dyDescent="0.35">
      <c r="C2820" s="100" t="str">
        <f>IF(OR(Fact_Administrativa[[#This Row], [Año]]="",Fact_Administrativa[[#This Row], [Mes]]=""),"",DATE(A2820,MATCH(B2820,{"enero","febrero","marzo","abril","mayo","junio","julio","agosto","septiembre","octubre","noviembre","diciembre"},0)+1,0))</f>
        <v/>
      </c>
      <c r="E2820" t="str">
        <f>+IFERROR(VLOOKUP(Fact_Administrativa[[#This Row], [Concepto Anterior]],Conceptos_Administrativa[#All],5,0),"")</f>
        <v/>
      </c>
      <c r="F2820" t="str">
        <f>+IFERROR(VLOOKUP(Fact_Administrativa[[#This Row], 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ht="18.75" customHeight="1" x14ac:dyDescent="0.35">
      <c r="C2821" s="100" t="str">
        <f>IF(OR(Fact_Administrativa[[#This Row], [Año]]="",Fact_Administrativa[[#This Row], [Mes]]=""),"",DATE(A2821,MATCH(B2821,{"enero","febrero","marzo","abril","mayo","junio","julio","agosto","septiembre","octubre","noviembre","diciembre"},0)+1,0))</f>
        <v/>
      </c>
      <c r="E2821" t="str">
        <f>+IFERROR(VLOOKUP(Fact_Administrativa[[#This Row], [Concepto Anterior]],Conceptos_Administrativa[#All],5,0),"")</f>
        <v/>
      </c>
      <c r="F2821" t="str">
        <f>+IFERROR(VLOOKUP(Fact_Administrativa[[#This Row], 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ht="18.75" customHeight="1" x14ac:dyDescent="0.35">
      <c r="C2822" s="100" t="str">
        <f>IF(OR(Fact_Administrativa[[#This Row], [Año]]="",Fact_Administrativa[[#This Row], [Mes]]=""),"",DATE(A2822,MATCH(B2822,{"enero","febrero","marzo","abril","mayo","junio","julio","agosto","septiembre","octubre","noviembre","diciembre"},0)+1,0))</f>
        <v/>
      </c>
      <c r="E2822" t="str">
        <f>+IFERROR(VLOOKUP(Fact_Administrativa[[#This Row], [Concepto Anterior]],Conceptos_Administrativa[#All],5,0),"")</f>
        <v/>
      </c>
      <c r="F2822" t="str">
        <f>+IFERROR(VLOOKUP(Fact_Administrativa[[#This Row], 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ht="18.75" customHeight="1" x14ac:dyDescent="0.35">
      <c r="C2823" s="100" t="str">
        <f>IF(OR(Fact_Administrativa[[#This Row], [Año]]="",Fact_Administrativa[[#This Row], [Mes]]=""),"",DATE(A2823,MATCH(B2823,{"enero","febrero","marzo","abril","mayo","junio","julio","agosto","septiembre","octubre","noviembre","diciembre"},0)+1,0))</f>
        <v/>
      </c>
      <c r="E2823" t="str">
        <f>+IFERROR(VLOOKUP(Fact_Administrativa[[#This Row], [Concepto Anterior]],Conceptos_Administrativa[#All],5,0),"")</f>
        <v/>
      </c>
      <c r="F2823" t="str">
        <f>+IFERROR(VLOOKUP(Fact_Administrativa[[#This Row], 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ht="18.75" customHeight="1" x14ac:dyDescent="0.35">
      <c r="C2824" s="100" t="str">
        <f>IF(OR(Fact_Administrativa[[#This Row], [Año]]="",Fact_Administrativa[[#This Row], [Mes]]=""),"",DATE(A2824,MATCH(B2824,{"enero","febrero","marzo","abril","mayo","junio","julio","agosto","septiembre","octubre","noviembre","diciembre"},0)+1,0))</f>
        <v/>
      </c>
      <c r="E2824" t="str">
        <f>+IFERROR(VLOOKUP(Fact_Administrativa[[#This Row], [Concepto Anterior]],Conceptos_Administrativa[#All],5,0),"")</f>
        <v/>
      </c>
      <c r="F2824" t="str">
        <f>+IFERROR(VLOOKUP(Fact_Administrativa[[#This Row], 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ht="18.75" customHeight="1" x14ac:dyDescent="0.35">
      <c r="C2825" s="100" t="str">
        <f>IF(OR(Fact_Administrativa[[#This Row], [Año]]="",Fact_Administrativa[[#This Row], [Mes]]=""),"",DATE(A2825,MATCH(B2825,{"enero","febrero","marzo","abril","mayo","junio","julio","agosto","septiembre","octubre","noviembre","diciembre"},0)+1,0))</f>
        <v/>
      </c>
      <c r="E2825" t="str">
        <f>+IFERROR(VLOOKUP(Fact_Administrativa[[#This Row], [Concepto Anterior]],Conceptos_Administrativa[#All],5,0),"")</f>
        <v/>
      </c>
      <c r="F2825" t="str">
        <f>+IFERROR(VLOOKUP(Fact_Administrativa[[#This Row], 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ht="18.75" customHeight="1" x14ac:dyDescent="0.35">
      <c r="C2826" s="100" t="str">
        <f>IF(OR(Fact_Administrativa[[#This Row], [Año]]="",Fact_Administrativa[[#This Row], [Mes]]=""),"",DATE(A2826,MATCH(B2826,{"enero","febrero","marzo","abril","mayo","junio","julio","agosto","septiembre","octubre","noviembre","diciembre"},0)+1,0))</f>
        <v/>
      </c>
      <c r="E2826" t="str">
        <f>+IFERROR(VLOOKUP(Fact_Administrativa[[#This Row], [Concepto Anterior]],Conceptos_Administrativa[#All],5,0),"")</f>
        <v/>
      </c>
      <c r="F2826" t="str">
        <f>+IFERROR(VLOOKUP(Fact_Administrativa[[#This Row], 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ht="18.75" customHeight="1" x14ac:dyDescent="0.35">
      <c r="C2827" s="100" t="str">
        <f>IF(OR(Fact_Administrativa[[#This Row], [Año]]="",Fact_Administrativa[[#This Row], [Mes]]=""),"",DATE(A2827,MATCH(B2827,{"enero","febrero","marzo","abril","mayo","junio","julio","agosto","septiembre","octubre","noviembre","diciembre"},0)+1,0))</f>
        <v/>
      </c>
      <c r="E2827" t="str">
        <f>+IFERROR(VLOOKUP(Fact_Administrativa[[#This Row], [Concepto Anterior]],Conceptos_Administrativa[#All],5,0),"")</f>
        <v/>
      </c>
      <c r="F2827" t="str">
        <f>+IFERROR(VLOOKUP(Fact_Administrativa[[#This Row], 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ht="18.75" customHeight="1" x14ac:dyDescent="0.35">
      <c r="C2828" s="100" t="str">
        <f>IF(OR(Fact_Administrativa[[#This Row], [Año]]="",Fact_Administrativa[[#This Row], [Mes]]=""),"",DATE(A2828,MATCH(B2828,{"enero","febrero","marzo","abril","mayo","junio","julio","agosto","septiembre","octubre","noviembre","diciembre"},0)+1,0))</f>
        <v/>
      </c>
      <c r="E2828" t="str">
        <f>+IFERROR(VLOOKUP(Fact_Administrativa[[#This Row], [Concepto Anterior]],Conceptos_Administrativa[#All],5,0),"")</f>
        <v/>
      </c>
      <c r="F2828" t="str">
        <f>+IFERROR(VLOOKUP(Fact_Administrativa[[#This Row], 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ht="18.75" customHeight="1" x14ac:dyDescent="0.35">
      <c r="C2829" s="100" t="str">
        <f>IF(OR(Fact_Administrativa[[#This Row], [Año]]="",Fact_Administrativa[[#This Row], [Mes]]=""),"",DATE(A2829,MATCH(B2829,{"enero","febrero","marzo","abril","mayo","junio","julio","agosto","septiembre","octubre","noviembre","diciembre"},0)+1,0))</f>
        <v/>
      </c>
      <c r="E2829" t="str">
        <f>+IFERROR(VLOOKUP(Fact_Administrativa[[#This Row], [Concepto Anterior]],Conceptos_Administrativa[#All],5,0),"")</f>
        <v/>
      </c>
      <c r="F2829" t="str">
        <f>+IFERROR(VLOOKUP(Fact_Administrativa[[#This Row], 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ht="18.75" customHeight="1" x14ac:dyDescent="0.35">
      <c r="C2830" s="100" t="str">
        <f>IF(OR(Fact_Administrativa[[#This Row], [Año]]="",Fact_Administrativa[[#This Row], [Mes]]=""),"",DATE(A2830,MATCH(B2830,{"enero","febrero","marzo","abril","mayo","junio","julio","agosto","septiembre","octubre","noviembre","diciembre"},0)+1,0))</f>
        <v/>
      </c>
      <c r="E2830" t="str">
        <f>+IFERROR(VLOOKUP(Fact_Administrativa[[#This Row], [Concepto Anterior]],Conceptos_Administrativa[#All],5,0),"")</f>
        <v/>
      </c>
      <c r="F2830" t="str">
        <f>+IFERROR(VLOOKUP(Fact_Administrativa[[#This Row], 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ht="18.75" customHeight="1" x14ac:dyDescent="0.35">
      <c r="C2831" s="100" t="str">
        <f>IF(OR(Fact_Administrativa[[#This Row], [Año]]="",Fact_Administrativa[[#This Row], [Mes]]=""),"",DATE(A2831,MATCH(B2831,{"enero","febrero","marzo","abril","mayo","junio","julio","agosto","septiembre","octubre","noviembre","diciembre"},0)+1,0))</f>
        <v/>
      </c>
      <c r="E2831" t="str">
        <f>+IFERROR(VLOOKUP(Fact_Administrativa[[#This Row], [Concepto Anterior]],Conceptos_Administrativa[#All],5,0),"")</f>
        <v/>
      </c>
      <c r="F2831" t="str">
        <f>+IFERROR(VLOOKUP(Fact_Administrativa[[#This Row], 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ht="18.75" customHeight="1" x14ac:dyDescent="0.35">
      <c r="C2832" s="100" t="str">
        <f>IF(OR(Fact_Administrativa[[#This Row], [Año]]="",Fact_Administrativa[[#This Row], [Mes]]=""),"",DATE(A2832,MATCH(B2832,{"enero","febrero","marzo","abril","mayo","junio","julio","agosto","septiembre","octubre","noviembre","diciembre"},0)+1,0))</f>
        <v/>
      </c>
      <c r="E2832" t="str">
        <f>+IFERROR(VLOOKUP(Fact_Administrativa[[#This Row], [Concepto Anterior]],Conceptos_Administrativa[#All],5,0),"")</f>
        <v/>
      </c>
      <c r="F2832" t="str">
        <f>+IFERROR(VLOOKUP(Fact_Administrativa[[#This Row], 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ht="18.75" customHeight="1" x14ac:dyDescent="0.35">
      <c r="C2833" s="100" t="str">
        <f>IF(OR(Fact_Administrativa[[#This Row], [Año]]="",Fact_Administrativa[[#This Row], [Mes]]=""),"",DATE(A2833,MATCH(B2833,{"enero","febrero","marzo","abril","mayo","junio","julio","agosto","septiembre","octubre","noviembre","diciembre"},0)+1,0))</f>
        <v/>
      </c>
      <c r="E2833" t="str">
        <f>+IFERROR(VLOOKUP(Fact_Administrativa[[#This Row], [Concepto Anterior]],Conceptos_Administrativa[#All],5,0),"")</f>
        <v/>
      </c>
      <c r="F2833" t="str">
        <f>+IFERROR(VLOOKUP(Fact_Administrativa[[#This Row], 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ht="18.75" customHeight="1" x14ac:dyDescent="0.35">
      <c r="C2834" s="100" t="str">
        <f>IF(OR(Fact_Administrativa[[#This Row], [Año]]="",Fact_Administrativa[[#This Row], [Mes]]=""),"",DATE(A2834,MATCH(B2834,{"enero","febrero","marzo","abril","mayo","junio","julio","agosto","septiembre","octubre","noviembre","diciembre"},0)+1,0))</f>
        <v/>
      </c>
      <c r="E2834" t="str">
        <f>+IFERROR(VLOOKUP(Fact_Administrativa[[#This Row], [Concepto Anterior]],Conceptos_Administrativa[#All],5,0),"")</f>
        <v/>
      </c>
      <c r="F2834" t="str">
        <f>+IFERROR(VLOOKUP(Fact_Administrativa[[#This Row], 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ht="18.75" customHeight="1" x14ac:dyDescent="0.35">
      <c r="C2835" s="100" t="str">
        <f>IF(OR(Fact_Administrativa[[#This Row], [Año]]="",Fact_Administrativa[[#This Row], [Mes]]=""),"",DATE(A2835,MATCH(B2835,{"enero","febrero","marzo","abril","mayo","junio","julio","agosto","septiembre","octubre","noviembre","diciembre"},0)+1,0))</f>
        <v/>
      </c>
      <c r="E2835" t="str">
        <f>+IFERROR(VLOOKUP(Fact_Administrativa[[#This Row], [Concepto Anterior]],Conceptos_Administrativa[#All],5,0),"")</f>
        <v/>
      </c>
      <c r="F2835" t="str">
        <f>+IFERROR(VLOOKUP(Fact_Administrativa[[#This Row], 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ht="18.75" customHeight="1" x14ac:dyDescent="0.35">
      <c r="C2836" s="100" t="str">
        <f>IF(OR(Fact_Administrativa[[#This Row], [Año]]="",Fact_Administrativa[[#This Row], [Mes]]=""),"",DATE(A2836,MATCH(B2836,{"enero","febrero","marzo","abril","mayo","junio","julio","agosto","septiembre","octubre","noviembre","diciembre"},0)+1,0))</f>
        <v/>
      </c>
      <c r="E2836" t="str">
        <f>+IFERROR(VLOOKUP(Fact_Administrativa[[#This Row], [Concepto Anterior]],Conceptos_Administrativa[#All],5,0),"")</f>
        <v/>
      </c>
      <c r="F2836" t="str">
        <f>+IFERROR(VLOOKUP(Fact_Administrativa[[#This Row], 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ht="18.75" customHeight="1" x14ac:dyDescent="0.35">
      <c r="C2837" s="100" t="str">
        <f>IF(OR(Fact_Administrativa[[#This Row], [Año]]="",Fact_Administrativa[[#This Row], [Mes]]=""),"",DATE(A2837,MATCH(B2837,{"enero","febrero","marzo","abril","mayo","junio","julio","agosto","septiembre","octubre","noviembre","diciembre"},0)+1,0))</f>
        <v/>
      </c>
      <c r="E2837" t="str">
        <f>+IFERROR(VLOOKUP(Fact_Administrativa[[#This Row], [Concepto Anterior]],Conceptos_Administrativa[#All],5,0),"")</f>
        <v/>
      </c>
      <c r="F2837" t="str">
        <f>+IFERROR(VLOOKUP(Fact_Administrativa[[#This Row], 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ht="18.75" customHeight="1" x14ac:dyDescent="0.35">
      <c r="C2838" s="100" t="str">
        <f>IF(OR(Fact_Administrativa[[#This Row], [Año]]="",Fact_Administrativa[[#This Row], [Mes]]=""),"",DATE(A2838,MATCH(B2838,{"enero","febrero","marzo","abril","mayo","junio","julio","agosto","septiembre","octubre","noviembre","diciembre"},0)+1,0))</f>
        <v/>
      </c>
      <c r="E2838" t="str">
        <f>+IFERROR(VLOOKUP(Fact_Administrativa[[#This Row], [Concepto Anterior]],Conceptos_Administrativa[#All],5,0),"")</f>
        <v/>
      </c>
      <c r="F2838" t="str">
        <f>+IFERROR(VLOOKUP(Fact_Administrativa[[#This Row], 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ht="18.75" customHeight="1" x14ac:dyDescent="0.35">
      <c r="C2839" s="100" t="str">
        <f>IF(OR(Fact_Administrativa[[#This Row], [Año]]="",Fact_Administrativa[[#This Row], [Mes]]=""),"",DATE(A2839,MATCH(B2839,{"enero","febrero","marzo","abril","mayo","junio","julio","agosto","septiembre","octubre","noviembre","diciembre"},0)+1,0))</f>
        <v/>
      </c>
      <c r="E2839" t="str">
        <f>+IFERROR(VLOOKUP(Fact_Administrativa[[#This Row], [Concepto Anterior]],Conceptos_Administrativa[#All],5,0),"")</f>
        <v/>
      </c>
      <c r="F2839" t="str">
        <f>+IFERROR(VLOOKUP(Fact_Administrativa[[#This Row], 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ht="18.75" customHeight="1" x14ac:dyDescent="0.35">
      <c r="C2840" s="100" t="str">
        <f>IF(OR(Fact_Administrativa[[#This Row], [Año]]="",Fact_Administrativa[[#This Row], [Mes]]=""),"",DATE(A2840,MATCH(B2840,{"enero","febrero","marzo","abril","mayo","junio","julio","agosto","septiembre","octubre","noviembre","diciembre"},0)+1,0))</f>
        <v/>
      </c>
      <c r="E2840" t="str">
        <f>+IFERROR(VLOOKUP(Fact_Administrativa[[#This Row], [Concepto Anterior]],Conceptos_Administrativa[#All],5,0),"")</f>
        <v/>
      </c>
      <c r="F2840" t="str">
        <f>+IFERROR(VLOOKUP(Fact_Administrativa[[#This Row], 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ht="18.75" customHeight="1" x14ac:dyDescent="0.35">
      <c r="C2841" s="100" t="str">
        <f>IF(OR(Fact_Administrativa[[#This Row], [Año]]="",Fact_Administrativa[[#This Row], [Mes]]=""),"",DATE(A2841,MATCH(B2841,{"enero","febrero","marzo","abril","mayo","junio","julio","agosto","septiembre","octubre","noviembre","diciembre"},0)+1,0))</f>
        <v/>
      </c>
      <c r="E2841" t="str">
        <f>+IFERROR(VLOOKUP(Fact_Administrativa[[#This Row], [Concepto Anterior]],Conceptos_Administrativa[#All],5,0),"")</f>
        <v/>
      </c>
      <c r="F2841" t="str">
        <f>+IFERROR(VLOOKUP(Fact_Administrativa[[#This Row], 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ht="18.75" customHeight="1" x14ac:dyDescent="0.35">
      <c r="C2842" s="100" t="str">
        <f>IF(OR(Fact_Administrativa[[#This Row], [Año]]="",Fact_Administrativa[[#This Row], [Mes]]=""),"",DATE(A2842,MATCH(B2842,{"enero","febrero","marzo","abril","mayo","junio","julio","agosto","septiembre","octubre","noviembre","diciembre"},0)+1,0))</f>
        <v/>
      </c>
      <c r="E2842" t="str">
        <f>+IFERROR(VLOOKUP(Fact_Administrativa[[#This Row], [Concepto Anterior]],Conceptos_Administrativa[#All],5,0),"")</f>
        <v/>
      </c>
      <c r="F2842" t="str">
        <f>+IFERROR(VLOOKUP(Fact_Administrativa[[#This Row], 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ht="18.75" customHeight="1" x14ac:dyDescent="0.35">
      <c r="C2843" s="100" t="str">
        <f>IF(OR(Fact_Administrativa[[#This Row], [Año]]="",Fact_Administrativa[[#This Row], [Mes]]=""),"",DATE(A2843,MATCH(B2843,{"enero","febrero","marzo","abril","mayo","junio","julio","agosto","septiembre","octubre","noviembre","diciembre"},0)+1,0))</f>
        <v/>
      </c>
      <c r="E2843" t="str">
        <f>+IFERROR(VLOOKUP(Fact_Administrativa[[#This Row], [Concepto Anterior]],Conceptos_Administrativa[#All],5,0),"")</f>
        <v/>
      </c>
      <c r="F2843" t="str">
        <f>+IFERROR(VLOOKUP(Fact_Administrativa[[#This Row], 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ht="18.75" customHeight="1" x14ac:dyDescent="0.35">
      <c r="C2844" s="100" t="str">
        <f>IF(OR(Fact_Administrativa[[#This Row], [Año]]="",Fact_Administrativa[[#This Row], [Mes]]=""),"",DATE(A2844,MATCH(B2844,{"enero","febrero","marzo","abril","mayo","junio","julio","agosto","septiembre","octubre","noviembre","diciembre"},0)+1,0))</f>
        <v/>
      </c>
      <c r="E2844" t="str">
        <f>+IFERROR(VLOOKUP(Fact_Administrativa[[#This Row], [Concepto Anterior]],Conceptos_Administrativa[#All],5,0),"")</f>
        <v/>
      </c>
      <c r="F2844" t="str">
        <f>+IFERROR(VLOOKUP(Fact_Administrativa[[#This Row], 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ht="18.75" customHeight="1" x14ac:dyDescent="0.35">
      <c r="C2845" s="100" t="str">
        <f>IF(OR(Fact_Administrativa[[#This Row], [Año]]="",Fact_Administrativa[[#This Row], [Mes]]=""),"",DATE(A2845,MATCH(B2845,{"enero","febrero","marzo","abril","mayo","junio","julio","agosto","septiembre","octubre","noviembre","diciembre"},0)+1,0))</f>
        <v/>
      </c>
      <c r="E2845" t="str">
        <f>+IFERROR(VLOOKUP(Fact_Administrativa[[#This Row], [Concepto Anterior]],Conceptos_Administrativa[#All],5,0),"")</f>
        <v/>
      </c>
      <c r="F2845" t="str">
        <f>+IFERROR(VLOOKUP(Fact_Administrativa[[#This Row], 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ht="18.75" customHeight="1" x14ac:dyDescent="0.35">
      <c r="C2846" s="100" t="str">
        <f>IF(OR(Fact_Administrativa[[#This Row], [Año]]="",Fact_Administrativa[[#This Row], [Mes]]=""),"",DATE(A2846,MATCH(B2846,{"enero","febrero","marzo","abril","mayo","junio","julio","agosto","septiembre","octubre","noviembre","diciembre"},0)+1,0))</f>
        <v/>
      </c>
      <c r="E2846" t="str">
        <f>+IFERROR(VLOOKUP(Fact_Administrativa[[#This Row], [Concepto Anterior]],Conceptos_Administrativa[#All],5,0),"")</f>
        <v/>
      </c>
      <c r="F2846" t="str">
        <f>+IFERROR(VLOOKUP(Fact_Administrativa[[#This Row], 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ht="18.75" customHeight="1" x14ac:dyDescent="0.35">
      <c r="C2847" s="100" t="str">
        <f>IF(OR(Fact_Administrativa[[#This Row], [Año]]="",Fact_Administrativa[[#This Row], [Mes]]=""),"",DATE(A2847,MATCH(B2847,{"enero","febrero","marzo","abril","mayo","junio","julio","agosto","septiembre","octubre","noviembre","diciembre"},0)+1,0))</f>
        <v/>
      </c>
      <c r="E2847" t="str">
        <f>+IFERROR(VLOOKUP(Fact_Administrativa[[#This Row], [Concepto Anterior]],Conceptos_Administrativa[#All],5,0),"")</f>
        <v/>
      </c>
      <c r="F2847" t="str">
        <f>+IFERROR(VLOOKUP(Fact_Administrativa[[#This Row], 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ht="18.75" customHeight="1" x14ac:dyDescent="0.35">
      <c r="C2848" s="100" t="str">
        <f>IF(OR(Fact_Administrativa[[#This Row], [Año]]="",Fact_Administrativa[[#This Row], [Mes]]=""),"",DATE(A2848,MATCH(B2848,{"enero","febrero","marzo","abril","mayo","junio","julio","agosto","septiembre","octubre","noviembre","diciembre"},0)+1,0))</f>
        <v/>
      </c>
      <c r="E2848" t="str">
        <f>+IFERROR(VLOOKUP(Fact_Administrativa[[#This Row], [Concepto Anterior]],Conceptos_Administrativa[#All],5,0),"")</f>
        <v/>
      </c>
      <c r="F2848" t="str">
        <f>+IFERROR(VLOOKUP(Fact_Administrativa[[#This Row], 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ht="18.75" customHeight="1" x14ac:dyDescent="0.35">
      <c r="C2849" s="100" t="str">
        <f>IF(OR(Fact_Administrativa[[#This Row], [Año]]="",Fact_Administrativa[[#This Row], [Mes]]=""),"",DATE(A2849,MATCH(B2849,{"enero","febrero","marzo","abril","mayo","junio","julio","agosto","septiembre","octubre","noviembre","diciembre"},0)+1,0))</f>
        <v/>
      </c>
      <c r="E2849" t="str">
        <f>+IFERROR(VLOOKUP(Fact_Administrativa[[#This Row], [Concepto Anterior]],Conceptos_Administrativa[#All],5,0),"")</f>
        <v/>
      </c>
      <c r="F2849" t="str">
        <f>+IFERROR(VLOOKUP(Fact_Administrativa[[#This Row], 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ht="18.75" customHeight="1" x14ac:dyDescent="0.35">
      <c r="C2850" s="100" t="str">
        <f>IF(OR(Fact_Administrativa[[#This Row], [Año]]="",Fact_Administrativa[[#This Row], [Mes]]=""),"",DATE(A2850,MATCH(B2850,{"enero","febrero","marzo","abril","mayo","junio","julio","agosto","septiembre","octubre","noviembre","diciembre"},0)+1,0))</f>
        <v/>
      </c>
      <c r="E2850" t="str">
        <f>+IFERROR(VLOOKUP(Fact_Administrativa[[#This Row], [Concepto Anterior]],Conceptos_Administrativa[#All],5,0),"")</f>
        <v/>
      </c>
      <c r="F2850" t="str">
        <f>+IFERROR(VLOOKUP(Fact_Administrativa[[#This Row], 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ht="18.75" customHeight="1" x14ac:dyDescent="0.35">
      <c r="C2851" s="100" t="str">
        <f>IF(OR(Fact_Administrativa[[#This Row], [Año]]="",Fact_Administrativa[[#This Row], [Mes]]=""),"",DATE(A2851,MATCH(B2851,{"enero","febrero","marzo","abril","mayo","junio","julio","agosto","septiembre","octubre","noviembre","diciembre"},0)+1,0))</f>
        <v/>
      </c>
      <c r="E2851" t="str">
        <f>+IFERROR(VLOOKUP(Fact_Administrativa[[#This Row], [Concepto Anterior]],Conceptos_Administrativa[#All],5,0),"")</f>
        <v/>
      </c>
      <c r="F2851" t="str">
        <f>+IFERROR(VLOOKUP(Fact_Administrativa[[#This Row], 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ht="18.75" customHeight="1" x14ac:dyDescent="0.35">
      <c r="C2852" s="100" t="str">
        <f>IF(OR(Fact_Administrativa[[#This Row], [Año]]="",Fact_Administrativa[[#This Row], [Mes]]=""),"",DATE(A2852,MATCH(B2852,{"enero","febrero","marzo","abril","mayo","junio","julio","agosto","septiembre","octubre","noviembre","diciembre"},0)+1,0))</f>
        <v/>
      </c>
      <c r="E2852" t="str">
        <f>+IFERROR(VLOOKUP(Fact_Administrativa[[#This Row], [Concepto Anterior]],Conceptos_Administrativa[#All],5,0),"")</f>
        <v/>
      </c>
      <c r="F2852" t="str">
        <f>+IFERROR(VLOOKUP(Fact_Administrativa[[#This Row], 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ht="18.75" customHeight="1" x14ac:dyDescent="0.35">
      <c r="C2853" s="100" t="str">
        <f>IF(OR(Fact_Administrativa[[#This Row], [Año]]="",Fact_Administrativa[[#This Row], [Mes]]=""),"",DATE(A2853,MATCH(B2853,{"enero","febrero","marzo","abril","mayo","junio","julio","agosto","septiembre","octubre","noviembre","diciembre"},0)+1,0))</f>
        <v/>
      </c>
      <c r="E2853" t="str">
        <f>+IFERROR(VLOOKUP(Fact_Administrativa[[#This Row], [Concepto Anterior]],Conceptos_Administrativa[#All],5,0),"")</f>
        <v/>
      </c>
      <c r="F2853" t="str">
        <f>+IFERROR(VLOOKUP(Fact_Administrativa[[#This Row], 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ht="18.75" customHeight="1" x14ac:dyDescent="0.35">
      <c r="C2854" s="100" t="str">
        <f>IF(OR(Fact_Administrativa[[#This Row], [Año]]="",Fact_Administrativa[[#This Row], [Mes]]=""),"",DATE(A2854,MATCH(B2854,{"enero","febrero","marzo","abril","mayo","junio","julio","agosto","septiembre","octubre","noviembre","diciembre"},0)+1,0))</f>
        <v/>
      </c>
      <c r="E2854" t="str">
        <f>+IFERROR(VLOOKUP(Fact_Administrativa[[#This Row], [Concepto Anterior]],Conceptos_Administrativa[#All],5,0),"")</f>
        <v/>
      </c>
      <c r="F2854" t="str">
        <f>+IFERROR(VLOOKUP(Fact_Administrativa[[#This Row], 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ht="18.75" customHeight="1" x14ac:dyDescent="0.35">
      <c r="C2855" s="100" t="str">
        <f>IF(OR(Fact_Administrativa[[#This Row], [Año]]="",Fact_Administrativa[[#This Row], [Mes]]=""),"",DATE(A2855,MATCH(B2855,{"enero","febrero","marzo","abril","mayo","junio","julio","agosto","septiembre","octubre","noviembre","diciembre"},0)+1,0))</f>
        <v/>
      </c>
      <c r="E2855" t="str">
        <f>+IFERROR(VLOOKUP(Fact_Administrativa[[#This Row], [Concepto Anterior]],Conceptos_Administrativa[#All],5,0),"")</f>
        <v/>
      </c>
      <c r="F2855" t="str">
        <f>+IFERROR(VLOOKUP(Fact_Administrativa[[#This Row], 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ht="18.75" customHeight="1" x14ac:dyDescent="0.35">
      <c r="C2856" s="100" t="str">
        <f>IF(OR(Fact_Administrativa[[#This Row], [Año]]="",Fact_Administrativa[[#This Row], [Mes]]=""),"",DATE(A2856,MATCH(B2856,{"enero","febrero","marzo","abril","mayo","junio","julio","agosto","septiembre","octubre","noviembre","diciembre"},0)+1,0))</f>
        <v/>
      </c>
      <c r="E2856" t="str">
        <f>+IFERROR(VLOOKUP(Fact_Administrativa[[#This Row], [Concepto Anterior]],Conceptos_Administrativa[#All],5,0),"")</f>
        <v/>
      </c>
      <c r="F2856" t="str">
        <f>+IFERROR(VLOOKUP(Fact_Administrativa[[#This Row], 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ht="18.75" customHeight="1" x14ac:dyDescent="0.35">
      <c r="C2857" s="100" t="str">
        <f>IF(OR(Fact_Administrativa[[#This Row], [Año]]="",Fact_Administrativa[[#This Row], [Mes]]=""),"",DATE(A2857,MATCH(B2857,{"enero","febrero","marzo","abril","mayo","junio","julio","agosto","septiembre","octubre","noviembre","diciembre"},0)+1,0))</f>
        <v/>
      </c>
      <c r="E2857" t="str">
        <f>+IFERROR(VLOOKUP(Fact_Administrativa[[#This Row], [Concepto Anterior]],Conceptos_Administrativa[#All],5,0),"")</f>
        <v/>
      </c>
      <c r="F2857" t="str">
        <f>+IFERROR(VLOOKUP(Fact_Administrativa[[#This Row], 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ht="18.75" customHeight="1" x14ac:dyDescent="0.35">
      <c r="C2858" s="100" t="str">
        <f>IF(OR(Fact_Administrativa[[#This Row], [Año]]="",Fact_Administrativa[[#This Row], [Mes]]=""),"",DATE(A2858,MATCH(B2858,{"enero","febrero","marzo","abril","mayo","junio","julio","agosto","septiembre","octubre","noviembre","diciembre"},0)+1,0))</f>
        <v/>
      </c>
      <c r="E2858" t="str">
        <f>+IFERROR(VLOOKUP(Fact_Administrativa[[#This Row], [Concepto Anterior]],Conceptos_Administrativa[#All],5,0),"")</f>
        <v/>
      </c>
      <c r="F2858" t="str">
        <f>+IFERROR(VLOOKUP(Fact_Administrativa[[#This Row], 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ht="18.75" customHeight="1" x14ac:dyDescent="0.35">
      <c r="C2859" s="100" t="str">
        <f>IF(OR(Fact_Administrativa[[#This Row], [Año]]="",Fact_Administrativa[[#This Row], [Mes]]=""),"",DATE(A2859,MATCH(B2859,{"enero","febrero","marzo","abril","mayo","junio","julio","agosto","septiembre","octubre","noviembre","diciembre"},0)+1,0))</f>
        <v/>
      </c>
      <c r="E2859" t="str">
        <f>+IFERROR(VLOOKUP(Fact_Administrativa[[#This Row], [Concepto Anterior]],Conceptos_Administrativa[#All],5,0),"")</f>
        <v/>
      </c>
      <c r="F2859" t="str">
        <f>+IFERROR(VLOOKUP(Fact_Administrativa[[#This Row], 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ht="18.75" customHeight="1" x14ac:dyDescent="0.35">
      <c r="C2860" s="100" t="str">
        <f>IF(OR(Fact_Administrativa[[#This Row], [Año]]="",Fact_Administrativa[[#This Row], [Mes]]=""),"",DATE(A2860,MATCH(B2860,{"enero","febrero","marzo","abril","mayo","junio","julio","agosto","septiembre","octubre","noviembre","diciembre"},0)+1,0))</f>
        <v/>
      </c>
      <c r="E2860" t="str">
        <f>+IFERROR(VLOOKUP(Fact_Administrativa[[#This Row], [Concepto Anterior]],Conceptos_Administrativa[#All],5,0),"")</f>
        <v/>
      </c>
      <c r="F2860" t="str">
        <f>+IFERROR(VLOOKUP(Fact_Administrativa[[#This Row], 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ht="18.75" customHeight="1" x14ac:dyDescent="0.35">
      <c r="C2861" s="100" t="str">
        <f>IF(OR(Fact_Administrativa[[#This Row], [Año]]="",Fact_Administrativa[[#This Row], [Mes]]=""),"",DATE(A2861,MATCH(B2861,{"enero","febrero","marzo","abril","mayo","junio","julio","agosto","septiembre","octubre","noviembre","diciembre"},0)+1,0))</f>
        <v/>
      </c>
      <c r="E2861" t="str">
        <f>+IFERROR(VLOOKUP(Fact_Administrativa[[#This Row], [Concepto Anterior]],Conceptos_Administrativa[#All],5,0),"")</f>
        <v/>
      </c>
      <c r="F2861" t="str">
        <f>+IFERROR(VLOOKUP(Fact_Administrativa[[#This Row], 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ht="18.75" customHeight="1" x14ac:dyDescent="0.35">
      <c r="C2862" s="100" t="str">
        <f>IF(OR(Fact_Administrativa[[#This Row], [Año]]="",Fact_Administrativa[[#This Row], [Mes]]=""),"",DATE(A2862,MATCH(B2862,{"enero","febrero","marzo","abril","mayo","junio","julio","agosto","septiembre","octubre","noviembre","diciembre"},0)+1,0))</f>
        <v/>
      </c>
      <c r="E2862" t="str">
        <f>+IFERROR(VLOOKUP(Fact_Administrativa[[#This Row], [Concepto Anterior]],Conceptos_Administrativa[#All],5,0),"")</f>
        <v/>
      </c>
      <c r="F2862" t="str">
        <f>+IFERROR(VLOOKUP(Fact_Administrativa[[#This Row], 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ht="18.75" customHeight="1" x14ac:dyDescent="0.35">
      <c r="C2863" s="100" t="str">
        <f>IF(OR(Fact_Administrativa[[#This Row], [Año]]="",Fact_Administrativa[[#This Row], [Mes]]=""),"",DATE(A2863,MATCH(B2863,{"enero","febrero","marzo","abril","mayo","junio","julio","agosto","septiembre","octubre","noviembre","diciembre"},0)+1,0))</f>
        <v/>
      </c>
      <c r="E2863" t="str">
        <f>+IFERROR(VLOOKUP(Fact_Administrativa[[#This Row], [Concepto Anterior]],Conceptos_Administrativa[#All],5,0),"")</f>
        <v/>
      </c>
      <c r="F2863" t="str">
        <f>+IFERROR(VLOOKUP(Fact_Administrativa[[#This Row], 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ht="18.75" customHeight="1" x14ac:dyDescent="0.35">
      <c r="C2864" s="100" t="str">
        <f>IF(OR(Fact_Administrativa[[#This Row], [Año]]="",Fact_Administrativa[[#This Row], [Mes]]=""),"",DATE(A2864,MATCH(B2864,{"enero","febrero","marzo","abril","mayo","junio","julio","agosto","septiembre","octubre","noviembre","diciembre"},0)+1,0))</f>
        <v/>
      </c>
      <c r="E2864" t="str">
        <f>+IFERROR(VLOOKUP(Fact_Administrativa[[#This Row], [Concepto Anterior]],Conceptos_Administrativa[#All],5,0),"")</f>
        <v/>
      </c>
      <c r="F2864" t="str">
        <f>+IFERROR(VLOOKUP(Fact_Administrativa[[#This Row], 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ht="18.75" customHeight="1" x14ac:dyDescent="0.35">
      <c r="C2865" s="100" t="str">
        <f>IF(OR(Fact_Administrativa[[#This Row], [Año]]="",Fact_Administrativa[[#This Row], [Mes]]=""),"",DATE(A2865,MATCH(B2865,{"enero","febrero","marzo","abril","mayo","junio","julio","agosto","septiembre","octubre","noviembre","diciembre"},0)+1,0))</f>
        <v/>
      </c>
      <c r="E2865" t="str">
        <f>+IFERROR(VLOOKUP(Fact_Administrativa[[#This Row], [Concepto Anterior]],Conceptos_Administrativa[#All],5,0),"")</f>
        <v/>
      </c>
      <c r="F2865" t="str">
        <f>+IFERROR(VLOOKUP(Fact_Administrativa[[#This Row], 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ht="18.75" customHeight="1" x14ac:dyDescent="0.35">
      <c r="C2866" s="100" t="str">
        <f>IF(OR(Fact_Administrativa[[#This Row], [Año]]="",Fact_Administrativa[[#This Row], [Mes]]=""),"",DATE(A2866,MATCH(B2866,{"enero","febrero","marzo","abril","mayo","junio","julio","agosto","septiembre","octubre","noviembre","diciembre"},0)+1,0))</f>
        <v/>
      </c>
      <c r="E2866" t="str">
        <f>+IFERROR(VLOOKUP(Fact_Administrativa[[#This Row], [Concepto Anterior]],Conceptos_Administrativa[#All],5,0),"")</f>
        <v/>
      </c>
      <c r="F2866" t="str">
        <f>+IFERROR(VLOOKUP(Fact_Administrativa[[#This Row], 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ht="18.75" customHeight="1" x14ac:dyDescent="0.35">
      <c r="C2867" s="100" t="str">
        <f>IF(OR(Fact_Administrativa[[#This Row], [Año]]="",Fact_Administrativa[[#This Row], [Mes]]=""),"",DATE(A2867,MATCH(B2867,{"enero","febrero","marzo","abril","mayo","junio","julio","agosto","septiembre","octubre","noviembre","diciembre"},0)+1,0))</f>
        <v/>
      </c>
      <c r="E2867" t="str">
        <f>+IFERROR(VLOOKUP(Fact_Administrativa[[#This Row], [Concepto Anterior]],Conceptos_Administrativa[#All],5,0),"")</f>
        <v/>
      </c>
      <c r="F2867" t="str">
        <f>+IFERROR(VLOOKUP(Fact_Administrativa[[#This Row], 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ht="18.75" customHeight="1" x14ac:dyDescent="0.35">
      <c r="C2868" s="100" t="str">
        <f>IF(OR(Fact_Administrativa[[#This Row], [Año]]="",Fact_Administrativa[[#This Row], [Mes]]=""),"",DATE(A2868,MATCH(B2868,{"enero","febrero","marzo","abril","mayo","junio","julio","agosto","septiembre","octubre","noviembre","diciembre"},0)+1,0))</f>
        <v/>
      </c>
      <c r="E2868" t="str">
        <f>+IFERROR(VLOOKUP(Fact_Administrativa[[#This Row], [Concepto Anterior]],Conceptos_Administrativa[#All],5,0),"")</f>
        <v/>
      </c>
      <c r="F2868" t="str">
        <f>+IFERROR(VLOOKUP(Fact_Administrativa[[#This Row], 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ht="18.75" customHeight="1" x14ac:dyDescent="0.35">
      <c r="C2869" s="100" t="str">
        <f>IF(OR(Fact_Administrativa[[#This Row], [Año]]="",Fact_Administrativa[[#This Row], [Mes]]=""),"",DATE(A2869,MATCH(B2869,{"enero","febrero","marzo","abril","mayo","junio","julio","agosto","septiembre","octubre","noviembre","diciembre"},0)+1,0))</f>
        <v/>
      </c>
      <c r="E2869" t="str">
        <f>+IFERROR(VLOOKUP(Fact_Administrativa[[#This Row], [Concepto Anterior]],Conceptos_Administrativa[#All],5,0),"")</f>
        <v/>
      </c>
      <c r="F2869" t="str">
        <f>+IFERROR(VLOOKUP(Fact_Administrativa[[#This Row], 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ht="18.75" customHeight="1" x14ac:dyDescent="0.35">
      <c r="C2870" s="100" t="str">
        <f>IF(OR(Fact_Administrativa[[#This Row], [Año]]="",Fact_Administrativa[[#This Row], [Mes]]=""),"",DATE(A2870,MATCH(B2870,{"enero","febrero","marzo","abril","mayo","junio","julio","agosto","septiembre","octubre","noviembre","diciembre"},0)+1,0))</f>
        <v/>
      </c>
      <c r="E2870" t="str">
        <f>+IFERROR(VLOOKUP(Fact_Administrativa[[#This Row], [Concepto Anterior]],Conceptos_Administrativa[#All],5,0),"")</f>
        <v/>
      </c>
      <c r="F2870" t="str">
        <f>+IFERROR(VLOOKUP(Fact_Administrativa[[#This Row], 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ht="18.75" customHeight="1" x14ac:dyDescent="0.35">
      <c r="C2871" s="100" t="str">
        <f>IF(OR(Fact_Administrativa[[#This Row], [Año]]="",Fact_Administrativa[[#This Row], [Mes]]=""),"",DATE(A2871,MATCH(B2871,{"enero","febrero","marzo","abril","mayo","junio","julio","agosto","septiembre","octubre","noviembre","diciembre"},0)+1,0))</f>
        <v/>
      </c>
      <c r="E2871" t="str">
        <f>+IFERROR(VLOOKUP(Fact_Administrativa[[#This Row], [Concepto Anterior]],Conceptos_Administrativa[#All],5,0),"")</f>
        <v/>
      </c>
      <c r="F2871" t="str">
        <f>+IFERROR(VLOOKUP(Fact_Administrativa[[#This Row], 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ht="18.75" customHeight="1" x14ac:dyDescent="0.35">
      <c r="C2872" s="100" t="str">
        <f>IF(OR(Fact_Administrativa[[#This Row], [Año]]="",Fact_Administrativa[[#This Row], [Mes]]=""),"",DATE(A2872,MATCH(B2872,{"enero","febrero","marzo","abril","mayo","junio","julio","agosto","septiembre","octubre","noviembre","diciembre"},0)+1,0))</f>
        <v/>
      </c>
      <c r="E2872" t="str">
        <f>+IFERROR(VLOOKUP(Fact_Administrativa[[#This Row], [Concepto Anterior]],Conceptos_Administrativa[#All],5,0),"")</f>
        <v/>
      </c>
      <c r="F2872" t="str">
        <f>+IFERROR(VLOOKUP(Fact_Administrativa[[#This Row], 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ht="18.75" customHeight="1" x14ac:dyDescent="0.35">
      <c r="C2873" s="100" t="str">
        <f>IF(OR(Fact_Administrativa[[#This Row], [Año]]="",Fact_Administrativa[[#This Row], [Mes]]=""),"",DATE(A2873,MATCH(B2873,{"enero","febrero","marzo","abril","mayo","junio","julio","agosto","septiembre","octubre","noviembre","diciembre"},0)+1,0))</f>
        <v/>
      </c>
      <c r="E2873" t="str">
        <f>+IFERROR(VLOOKUP(Fact_Administrativa[[#This Row], [Concepto Anterior]],Conceptos_Administrativa[#All],5,0),"")</f>
        <v/>
      </c>
      <c r="F2873" t="str">
        <f>+IFERROR(VLOOKUP(Fact_Administrativa[[#This Row], 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ht="18.75" customHeight="1" x14ac:dyDescent="0.35">
      <c r="C2874" s="100" t="str">
        <f>IF(OR(Fact_Administrativa[[#This Row], [Año]]="",Fact_Administrativa[[#This Row], [Mes]]=""),"",DATE(A2874,MATCH(B2874,{"enero","febrero","marzo","abril","mayo","junio","julio","agosto","septiembre","octubre","noviembre","diciembre"},0)+1,0))</f>
        <v/>
      </c>
      <c r="E2874" t="str">
        <f>+IFERROR(VLOOKUP(Fact_Administrativa[[#This Row], [Concepto Anterior]],Conceptos_Administrativa[#All],5,0),"")</f>
        <v/>
      </c>
      <c r="F2874" t="str">
        <f>+IFERROR(VLOOKUP(Fact_Administrativa[[#This Row], 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ht="18.75" customHeight="1" x14ac:dyDescent="0.35">
      <c r="C2875" s="100" t="str">
        <f>IF(OR(Fact_Administrativa[[#This Row], [Año]]="",Fact_Administrativa[[#This Row], [Mes]]=""),"",DATE(A2875,MATCH(B2875,{"enero","febrero","marzo","abril","mayo","junio","julio","agosto","septiembre","octubre","noviembre","diciembre"},0)+1,0))</f>
        <v/>
      </c>
      <c r="E2875" t="str">
        <f>+IFERROR(VLOOKUP(Fact_Administrativa[[#This Row], [Concepto Anterior]],Conceptos_Administrativa[#All],5,0),"")</f>
        <v/>
      </c>
      <c r="F2875" t="str">
        <f>+IFERROR(VLOOKUP(Fact_Administrativa[[#This Row], 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ht="18.75" customHeight="1" x14ac:dyDescent="0.35">
      <c r="C2876" s="100" t="str">
        <f>IF(OR(Fact_Administrativa[[#This Row], [Año]]="",Fact_Administrativa[[#This Row], [Mes]]=""),"",DATE(A2876,MATCH(B2876,{"enero","febrero","marzo","abril","mayo","junio","julio","agosto","septiembre","octubre","noviembre","diciembre"},0)+1,0))</f>
        <v/>
      </c>
      <c r="E2876" t="str">
        <f>+IFERROR(VLOOKUP(Fact_Administrativa[[#This Row], [Concepto Anterior]],Conceptos_Administrativa[#All],5,0),"")</f>
        <v/>
      </c>
      <c r="F2876" t="str">
        <f>+IFERROR(VLOOKUP(Fact_Administrativa[[#This Row], 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ht="18.75" customHeight="1" x14ac:dyDescent="0.35">
      <c r="C2877" s="100" t="str">
        <f>IF(OR(Fact_Administrativa[[#This Row], [Año]]="",Fact_Administrativa[[#This Row], [Mes]]=""),"",DATE(A2877,MATCH(B2877,{"enero","febrero","marzo","abril","mayo","junio","julio","agosto","septiembre","octubre","noviembre","diciembre"},0)+1,0))</f>
        <v/>
      </c>
      <c r="E2877" t="str">
        <f>+IFERROR(VLOOKUP(Fact_Administrativa[[#This Row], [Concepto Anterior]],Conceptos_Administrativa[#All],5,0),"")</f>
        <v/>
      </c>
      <c r="F2877" t="str">
        <f>+IFERROR(VLOOKUP(Fact_Administrativa[[#This Row], 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ht="18.75" customHeight="1" x14ac:dyDescent="0.35">
      <c r="C2878" s="100" t="str">
        <f>IF(OR(Fact_Administrativa[[#This Row], [Año]]="",Fact_Administrativa[[#This Row], [Mes]]=""),"",DATE(A2878,MATCH(B2878,{"enero","febrero","marzo","abril","mayo","junio","julio","agosto","septiembre","octubre","noviembre","diciembre"},0)+1,0))</f>
        <v/>
      </c>
      <c r="E2878" t="str">
        <f>+IFERROR(VLOOKUP(Fact_Administrativa[[#This Row], [Concepto Anterior]],Conceptos_Administrativa[#All],5,0),"")</f>
        <v/>
      </c>
      <c r="F2878" t="str">
        <f>+IFERROR(VLOOKUP(Fact_Administrativa[[#This Row], 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ht="18.75" customHeight="1" x14ac:dyDescent="0.35">
      <c r="C2879" s="100" t="str">
        <f>IF(OR(Fact_Administrativa[[#This Row], [Año]]="",Fact_Administrativa[[#This Row], [Mes]]=""),"",DATE(A2879,MATCH(B2879,{"enero","febrero","marzo","abril","mayo","junio","julio","agosto","septiembre","octubre","noviembre","diciembre"},0)+1,0))</f>
        <v/>
      </c>
      <c r="E2879" t="str">
        <f>+IFERROR(VLOOKUP(Fact_Administrativa[[#This Row], [Concepto Anterior]],Conceptos_Administrativa[#All],5,0),"")</f>
        <v/>
      </c>
      <c r="F2879" t="str">
        <f>+IFERROR(VLOOKUP(Fact_Administrativa[[#This Row], 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ht="18.75" customHeight="1" x14ac:dyDescent="0.35">
      <c r="C2880" s="100" t="str">
        <f>IF(OR(Fact_Administrativa[[#This Row], [Año]]="",Fact_Administrativa[[#This Row], [Mes]]=""),"",DATE(A2880,MATCH(B2880,{"enero","febrero","marzo","abril","mayo","junio","julio","agosto","septiembre","octubre","noviembre","diciembre"},0)+1,0))</f>
        <v/>
      </c>
      <c r="E2880" t="str">
        <f>+IFERROR(VLOOKUP(Fact_Administrativa[[#This Row], [Concepto Anterior]],Conceptos_Administrativa[#All],5,0),"")</f>
        <v/>
      </c>
      <c r="F2880" t="str">
        <f>+IFERROR(VLOOKUP(Fact_Administrativa[[#This Row], 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ht="18.75" customHeight="1" x14ac:dyDescent="0.35">
      <c r="C2881" s="100" t="str">
        <f>IF(OR(Fact_Administrativa[[#This Row], [Año]]="",Fact_Administrativa[[#This Row], [Mes]]=""),"",DATE(A2881,MATCH(B2881,{"enero","febrero","marzo","abril","mayo","junio","julio","agosto","septiembre","octubre","noviembre","diciembre"},0)+1,0))</f>
        <v/>
      </c>
      <c r="E2881" t="str">
        <f>+IFERROR(VLOOKUP(Fact_Administrativa[[#This Row], [Concepto Anterior]],Conceptos_Administrativa[#All],5,0),"")</f>
        <v/>
      </c>
      <c r="F2881" t="str">
        <f>+IFERROR(VLOOKUP(Fact_Administrativa[[#This Row], 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ht="18.75" customHeight="1" x14ac:dyDescent="0.35">
      <c r="C2882" s="100" t="str">
        <f>IF(OR(Fact_Administrativa[[#This Row], [Año]]="",Fact_Administrativa[[#This Row], [Mes]]=""),"",DATE(A2882,MATCH(B2882,{"enero","febrero","marzo","abril","mayo","junio","julio","agosto","septiembre","octubre","noviembre","diciembre"},0)+1,0))</f>
        <v/>
      </c>
      <c r="E2882" t="str">
        <f>+IFERROR(VLOOKUP(Fact_Administrativa[[#This Row], [Concepto Anterior]],Conceptos_Administrativa[#All],5,0),"")</f>
        <v/>
      </c>
      <c r="F2882" t="str">
        <f>+IFERROR(VLOOKUP(Fact_Administrativa[[#This Row], 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ht="18.75" customHeight="1" x14ac:dyDescent="0.35">
      <c r="C2883" s="100" t="str">
        <f>IF(OR(Fact_Administrativa[[#This Row], [Año]]="",Fact_Administrativa[[#This Row], [Mes]]=""),"",DATE(A2883,MATCH(B2883,{"enero","febrero","marzo","abril","mayo","junio","julio","agosto","septiembre","octubre","noviembre","diciembre"},0)+1,0))</f>
        <v/>
      </c>
      <c r="E2883" t="str">
        <f>+IFERROR(VLOOKUP(Fact_Administrativa[[#This Row], [Concepto Anterior]],Conceptos_Administrativa[#All],5,0),"")</f>
        <v/>
      </c>
      <c r="F2883" t="str">
        <f>+IFERROR(VLOOKUP(Fact_Administrativa[[#This Row], 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ht="18.75" customHeight="1" x14ac:dyDescent="0.35">
      <c r="C2884" s="100" t="str">
        <f>IF(OR(Fact_Administrativa[[#This Row], [Año]]="",Fact_Administrativa[[#This Row], [Mes]]=""),"",DATE(A2884,MATCH(B2884,{"enero","febrero","marzo","abril","mayo","junio","julio","agosto","septiembre","octubre","noviembre","diciembre"},0)+1,0))</f>
        <v/>
      </c>
      <c r="E2884" t="str">
        <f>+IFERROR(VLOOKUP(Fact_Administrativa[[#This Row], [Concepto Anterior]],Conceptos_Administrativa[#All],5,0),"")</f>
        <v/>
      </c>
      <c r="F2884" t="str">
        <f>+IFERROR(VLOOKUP(Fact_Administrativa[[#This Row], 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ht="18.75" customHeight="1" x14ac:dyDescent="0.35">
      <c r="C2885" s="100" t="str">
        <f>IF(OR(Fact_Administrativa[[#This Row], [Año]]="",Fact_Administrativa[[#This Row], [Mes]]=""),"",DATE(A2885,MATCH(B2885,{"enero","febrero","marzo","abril","mayo","junio","julio","agosto","septiembre","octubre","noviembre","diciembre"},0)+1,0))</f>
        <v/>
      </c>
      <c r="E2885" t="str">
        <f>+IFERROR(VLOOKUP(Fact_Administrativa[[#This Row], [Concepto Anterior]],Conceptos_Administrativa[#All],5,0),"")</f>
        <v/>
      </c>
      <c r="F2885" t="str">
        <f>+IFERROR(VLOOKUP(Fact_Administrativa[[#This Row], 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ht="18.75" customHeight="1" x14ac:dyDescent="0.35">
      <c r="C2886" s="100" t="str">
        <f>IF(OR(Fact_Administrativa[[#This Row], [Año]]="",Fact_Administrativa[[#This Row], [Mes]]=""),"",DATE(A2886,MATCH(B2886,{"enero","febrero","marzo","abril","mayo","junio","julio","agosto","septiembre","octubre","noviembre","diciembre"},0)+1,0))</f>
        <v/>
      </c>
      <c r="E2886" t="str">
        <f>+IFERROR(VLOOKUP(Fact_Administrativa[[#This Row], [Concepto Anterior]],Conceptos_Administrativa[#All],5,0),"")</f>
        <v/>
      </c>
      <c r="F2886" t="str">
        <f>+IFERROR(VLOOKUP(Fact_Administrativa[[#This Row], 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ht="18.75" customHeight="1" x14ac:dyDescent="0.35">
      <c r="C2887" s="100" t="str">
        <f>IF(OR(Fact_Administrativa[[#This Row], [Año]]="",Fact_Administrativa[[#This Row], [Mes]]=""),"",DATE(A2887,MATCH(B2887,{"enero","febrero","marzo","abril","mayo","junio","julio","agosto","septiembre","octubre","noviembre","diciembre"},0)+1,0))</f>
        <v/>
      </c>
      <c r="E2887" t="str">
        <f>+IFERROR(VLOOKUP(Fact_Administrativa[[#This Row], [Concepto Anterior]],Conceptos_Administrativa[#All],5,0),"")</f>
        <v/>
      </c>
      <c r="F2887" t="str">
        <f>+IFERROR(VLOOKUP(Fact_Administrativa[[#This Row], 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ht="18.75" customHeight="1" x14ac:dyDescent="0.35">
      <c r="C2888" s="100" t="str">
        <f>IF(OR(Fact_Administrativa[[#This Row], [Año]]="",Fact_Administrativa[[#This Row], [Mes]]=""),"",DATE(A2888,MATCH(B2888,{"enero","febrero","marzo","abril","mayo","junio","julio","agosto","septiembre","octubre","noviembre","diciembre"},0)+1,0))</f>
        <v/>
      </c>
      <c r="E2888" t="str">
        <f>+IFERROR(VLOOKUP(Fact_Administrativa[[#This Row], [Concepto Anterior]],Conceptos_Administrativa[#All],5,0),"")</f>
        <v/>
      </c>
      <c r="F2888" t="str">
        <f>+IFERROR(VLOOKUP(Fact_Administrativa[[#This Row], 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ht="18.75" customHeight="1" x14ac:dyDescent="0.35">
      <c r="C2889" s="100" t="str">
        <f>IF(OR(Fact_Administrativa[[#This Row], [Año]]="",Fact_Administrativa[[#This Row], [Mes]]=""),"",DATE(A2889,MATCH(B2889,{"enero","febrero","marzo","abril","mayo","junio","julio","agosto","septiembre","octubre","noviembre","diciembre"},0)+1,0))</f>
        <v/>
      </c>
      <c r="E2889" t="str">
        <f>+IFERROR(VLOOKUP(Fact_Administrativa[[#This Row], [Concepto Anterior]],Conceptos_Administrativa[#All],5,0),"")</f>
        <v/>
      </c>
      <c r="F2889" t="str">
        <f>+IFERROR(VLOOKUP(Fact_Administrativa[[#This Row], 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ht="18.75" customHeight="1" x14ac:dyDescent="0.35">
      <c r="C2890" s="100" t="str">
        <f>IF(OR(Fact_Administrativa[[#This Row], [Año]]="",Fact_Administrativa[[#This Row], [Mes]]=""),"",DATE(A2890,MATCH(B2890,{"enero","febrero","marzo","abril","mayo","junio","julio","agosto","septiembre","octubre","noviembre","diciembre"},0)+1,0))</f>
        <v/>
      </c>
      <c r="E2890" t="str">
        <f>+IFERROR(VLOOKUP(Fact_Administrativa[[#This Row], [Concepto Anterior]],Conceptos_Administrativa[#All],5,0),"")</f>
        <v/>
      </c>
      <c r="F2890" t="str">
        <f>+IFERROR(VLOOKUP(Fact_Administrativa[[#This Row], 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ht="18.75" customHeight="1" x14ac:dyDescent="0.35">
      <c r="C2891" s="100" t="str">
        <f>IF(OR(Fact_Administrativa[[#This Row], [Año]]="",Fact_Administrativa[[#This Row], [Mes]]=""),"",DATE(A2891,MATCH(B2891,{"enero","febrero","marzo","abril","mayo","junio","julio","agosto","septiembre","octubre","noviembre","diciembre"},0)+1,0))</f>
        <v/>
      </c>
      <c r="E2891" t="str">
        <f>+IFERROR(VLOOKUP(Fact_Administrativa[[#This Row], [Concepto Anterior]],Conceptos_Administrativa[#All],5,0),"")</f>
        <v/>
      </c>
      <c r="F2891" t="str">
        <f>+IFERROR(VLOOKUP(Fact_Administrativa[[#This Row], 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ht="18.75" customHeight="1" x14ac:dyDescent="0.35">
      <c r="C2892" s="100" t="str">
        <f>IF(OR(Fact_Administrativa[[#This Row], [Año]]="",Fact_Administrativa[[#This Row], [Mes]]=""),"",DATE(A2892,MATCH(B2892,{"enero","febrero","marzo","abril","mayo","junio","julio","agosto","septiembre","octubre","noviembre","diciembre"},0)+1,0))</f>
        <v/>
      </c>
      <c r="E2892" t="str">
        <f>+IFERROR(VLOOKUP(Fact_Administrativa[[#This Row], [Concepto Anterior]],Conceptos_Administrativa[#All],5,0),"")</f>
        <v/>
      </c>
      <c r="F2892" t="str">
        <f>+IFERROR(VLOOKUP(Fact_Administrativa[[#This Row], 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ht="18.75" customHeight="1" x14ac:dyDescent="0.35">
      <c r="C2893" s="100" t="str">
        <f>IF(OR(Fact_Administrativa[[#This Row], [Año]]="",Fact_Administrativa[[#This Row], [Mes]]=""),"",DATE(A2893,MATCH(B2893,{"enero","febrero","marzo","abril","mayo","junio","julio","agosto","septiembre","octubre","noviembre","diciembre"},0)+1,0))</f>
        <v/>
      </c>
      <c r="E2893" t="str">
        <f>+IFERROR(VLOOKUP(Fact_Administrativa[[#This Row], [Concepto Anterior]],Conceptos_Administrativa[#All],5,0),"")</f>
        <v/>
      </c>
      <c r="F2893" t="str">
        <f>+IFERROR(VLOOKUP(Fact_Administrativa[[#This Row], 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ht="18.75" customHeight="1" x14ac:dyDescent="0.35">
      <c r="C2894" s="100" t="str">
        <f>IF(OR(Fact_Administrativa[[#This Row], [Año]]="",Fact_Administrativa[[#This Row], [Mes]]=""),"",DATE(A2894,MATCH(B2894,{"enero","febrero","marzo","abril","mayo","junio","julio","agosto","septiembre","octubre","noviembre","diciembre"},0)+1,0))</f>
        <v/>
      </c>
      <c r="E2894" t="str">
        <f>+IFERROR(VLOOKUP(Fact_Administrativa[[#This Row], [Concepto Anterior]],Conceptos_Administrativa[#All],5,0),"")</f>
        <v/>
      </c>
      <c r="F2894" t="str">
        <f>+IFERROR(VLOOKUP(Fact_Administrativa[[#This Row], 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ht="18.75" customHeight="1" x14ac:dyDescent="0.35">
      <c r="C2895" s="100" t="str">
        <f>IF(OR(Fact_Administrativa[[#This Row], [Año]]="",Fact_Administrativa[[#This Row], [Mes]]=""),"",DATE(A2895,MATCH(B2895,{"enero","febrero","marzo","abril","mayo","junio","julio","agosto","septiembre","octubre","noviembre","diciembre"},0)+1,0))</f>
        <v/>
      </c>
      <c r="E2895" t="str">
        <f>+IFERROR(VLOOKUP(Fact_Administrativa[[#This Row], [Concepto Anterior]],Conceptos_Administrativa[#All],5,0),"")</f>
        <v/>
      </c>
      <c r="F2895" t="str">
        <f>+IFERROR(VLOOKUP(Fact_Administrativa[[#This Row], 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ht="18.75" customHeight="1" x14ac:dyDescent="0.35">
      <c r="C2896" s="100" t="str">
        <f>IF(OR(Fact_Administrativa[[#This Row], [Año]]="",Fact_Administrativa[[#This Row], [Mes]]=""),"",DATE(A2896,MATCH(B2896,{"enero","febrero","marzo","abril","mayo","junio","julio","agosto","septiembre","octubre","noviembre","diciembre"},0)+1,0))</f>
        <v/>
      </c>
      <c r="E2896" t="str">
        <f>+IFERROR(VLOOKUP(Fact_Administrativa[[#This Row], [Concepto Anterior]],Conceptos_Administrativa[#All],5,0),"")</f>
        <v/>
      </c>
      <c r="F2896" t="str">
        <f>+IFERROR(VLOOKUP(Fact_Administrativa[[#This Row], 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ht="18.75" customHeight="1" x14ac:dyDescent="0.35">
      <c r="C2897" s="100" t="str">
        <f>IF(OR(Fact_Administrativa[[#This Row], [Año]]="",Fact_Administrativa[[#This Row], [Mes]]=""),"",DATE(A2897,MATCH(B2897,{"enero","febrero","marzo","abril","mayo","junio","julio","agosto","septiembre","octubre","noviembre","diciembre"},0)+1,0))</f>
        <v/>
      </c>
      <c r="E2897" t="str">
        <f>+IFERROR(VLOOKUP(Fact_Administrativa[[#This Row], [Concepto Anterior]],Conceptos_Administrativa[#All],5,0),"")</f>
        <v/>
      </c>
      <c r="F2897" t="str">
        <f>+IFERROR(VLOOKUP(Fact_Administrativa[[#This Row], 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ht="18.75" customHeight="1" x14ac:dyDescent="0.35">
      <c r="C2898" s="100" t="str">
        <f>IF(OR(Fact_Administrativa[[#This Row], [Año]]="",Fact_Administrativa[[#This Row], [Mes]]=""),"",DATE(A2898,MATCH(B2898,{"enero","febrero","marzo","abril","mayo","junio","julio","agosto","septiembre","octubre","noviembre","diciembre"},0)+1,0))</f>
        <v/>
      </c>
      <c r="E2898" t="str">
        <f>+IFERROR(VLOOKUP(Fact_Administrativa[[#This Row], [Concepto Anterior]],Conceptos_Administrativa[#All],5,0),"")</f>
        <v/>
      </c>
      <c r="F2898" t="str">
        <f>+IFERROR(VLOOKUP(Fact_Administrativa[[#This Row], 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ht="18.75" customHeight="1" x14ac:dyDescent="0.35">
      <c r="C2899" s="100" t="str">
        <f>IF(OR(Fact_Administrativa[[#This Row], [Año]]="",Fact_Administrativa[[#This Row], [Mes]]=""),"",DATE(A2899,MATCH(B2899,{"enero","febrero","marzo","abril","mayo","junio","julio","agosto","septiembre","octubre","noviembre","diciembre"},0)+1,0))</f>
        <v/>
      </c>
      <c r="E2899" t="str">
        <f>+IFERROR(VLOOKUP(Fact_Administrativa[[#This Row], [Concepto Anterior]],Conceptos_Administrativa[#All],5,0),"")</f>
        <v/>
      </c>
      <c r="F2899" t="str">
        <f>+IFERROR(VLOOKUP(Fact_Administrativa[[#This Row], 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ht="18.75" customHeight="1" x14ac:dyDescent="0.35">
      <c r="C2900" s="100" t="str">
        <f>IF(OR(Fact_Administrativa[[#This Row], [Año]]="",Fact_Administrativa[[#This Row], [Mes]]=""),"",DATE(A2900,MATCH(B2900,{"enero","febrero","marzo","abril","mayo","junio","julio","agosto","septiembre","octubre","noviembre","diciembre"},0)+1,0))</f>
        <v/>
      </c>
      <c r="E2900" t="str">
        <f>+IFERROR(VLOOKUP(Fact_Administrativa[[#This Row], [Concepto Anterior]],Conceptos_Administrativa[#All],5,0),"")</f>
        <v/>
      </c>
      <c r="F2900" t="str">
        <f>+IFERROR(VLOOKUP(Fact_Administrativa[[#This Row], 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ht="18.75" customHeight="1" x14ac:dyDescent="0.35">
      <c r="C2901" s="100" t="str">
        <f>IF(OR(Fact_Administrativa[[#This Row], [Año]]="",Fact_Administrativa[[#This Row], [Mes]]=""),"",DATE(A2901,MATCH(B2901,{"enero","febrero","marzo","abril","mayo","junio","julio","agosto","septiembre","octubre","noviembre","diciembre"},0)+1,0))</f>
        <v/>
      </c>
      <c r="E2901" t="str">
        <f>+IFERROR(VLOOKUP(Fact_Administrativa[[#This Row], [Concepto Anterior]],Conceptos_Administrativa[#All],5,0),"")</f>
        <v/>
      </c>
      <c r="F2901" t="str">
        <f>+IFERROR(VLOOKUP(Fact_Administrativa[[#This Row], 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ht="18.75" customHeight="1" x14ac:dyDescent="0.35">
      <c r="C2902" s="100" t="str">
        <f>IF(OR(Fact_Administrativa[[#This Row], [Año]]="",Fact_Administrativa[[#This Row], [Mes]]=""),"",DATE(A2902,MATCH(B2902,{"enero","febrero","marzo","abril","mayo","junio","julio","agosto","septiembre","octubre","noviembre","diciembre"},0)+1,0))</f>
        <v/>
      </c>
      <c r="E2902" t="str">
        <f>+IFERROR(VLOOKUP(Fact_Administrativa[[#This Row], [Concepto Anterior]],Conceptos_Administrativa[#All],5,0),"")</f>
        <v/>
      </c>
      <c r="F2902" t="str">
        <f>+IFERROR(VLOOKUP(Fact_Administrativa[[#This Row], 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ht="18.75" customHeight="1" x14ac:dyDescent="0.35">
      <c r="C2903" s="100" t="str">
        <f>IF(OR(Fact_Administrativa[[#This Row], [Año]]="",Fact_Administrativa[[#This Row], [Mes]]=""),"",DATE(A2903,MATCH(B2903,{"enero","febrero","marzo","abril","mayo","junio","julio","agosto","septiembre","octubre","noviembre","diciembre"},0)+1,0))</f>
        <v/>
      </c>
      <c r="E2903" t="str">
        <f>+IFERROR(VLOOKUP(Fact_Administrativa[[#This Row], [Concepto Anterior]],Conceptos_Administrativa[#All],5,0),"")</f>
        <v/>
      </c>
      <c r="F2903" t="str">
        <f>+IFERROR(VLOOKUP(Fact_Administrativa[[#This Row], 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ht="18.75" customHeight="1" x14ac:dyDescent="0.35">
      <c r="C2904" s="100" t="str">
        <f>IF(OR(Fact_Administrativa[[#This Row], [Año]]="",Fact_Administrativa[[#This Row], [Mes]]=""),"",DATE(A2904,MATCH(B2904,{"enero","febrero","marzo","abril","mayo","junio","julio","agosto","septiembre","octubre","noviembre","diciembre"},0)+1,0))</f>
        <v/>
      </c>
      <c r="E2904" t="str">
        <f>+IFERROR(VLOOKUP(Fact_Administrativa[[#This Row], [Concepto Anterior]],Conceptos_Administrativa[#All],5,0),"")</f>
        <v/>
      </c>
      <c r="F2904" t="str">
        <f>+IFERROR(VLOOKUP(Fact_Administrativa[[#This Row], 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ht="18.75" customHeight="1" x14ac:dyDescent="0.35">
      <c r="C2905" s="100" t="str">
        <f>IF(OR(Fact_Administrativa[[#This Row], [Año]]="",Fact_Administrativa[[#This Row], [Mes]]=""),"",DATE(A2905,MATCH(B2905,{"enero","febrero","marzo","abril","mayo","junio","julio","agosto","septiembre","octubre","noviembre","diciembre"},0)+1,0))</f>
        <v/>
      </c>
      <c r="E2905" t="str">
        <f>+IFERROR(VLOOKUP(Fact_Administrativa[[#This Row], [Concepto Anterior]],Conceptos_Administrativa[#All],5,0),"")</f>
        <v/>
      </c>
      <c r="F2905" t="str">
        <f>+IFERROR(VLOOKUP(Fact_Administrativa[[#This Row], 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ht="18.75" customHeight="1" x14ac:dyDescent="0.35">
      <c r="C2906" s="100" t="str">
        <f>IF(OR(Fact_Administrativa[[#This Row], [Año]]="",Fact_Administrativa[[#This Row], [Mes]]=""),"",DATE(A2906,MATCH(B2906,{"enero","febrero","marzo","abril","mayo","junio","julio","agosto","septiembre","octubre","noviembre","diciembre"},0)+1,0))</f>
        <v/>
      </c>
      <c r="E2906" t="str">
        <f>+IFERROR(VLOOKUP(Fact_Administrativa[[#This Row], [Concepto Anterior]],Conceptos_Administrativa[#All],5,0),"")</f>
        <v/>
      </c>
      <c r="F2906" t="str">
        <f>+IFERROR(VLOOKUP(Fact_Administrativa[[#This Row], 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ht="18.75" customHeight="1" x14ac:dyDescent="0.35">
      <c r="C2907" s="100" t="str">
        <f>IF(OR(Fact_Administrativa[[#This Row], [Año]]="",Fact_Administrativa[[#This Row], [Mes]]=""),"",DATE(A2907,MATCH(B2907,{"enero","febrero","marzo","abril","mayo","junio","julio","agosto","septiembre","octubre","noviembre","diciembre"},0)+1,0))</f>
        <v/>
      </c>
      <c r="E2907" t="str">
        <f>+IFERROR(VLOOKUP(Fact_Administrativa[[#This Row], [Concepto Anterior]],Conceptos_Administrativa[#All],5,0),"")</f>
        <v/>
      </c>
      <c r="F2907" t="str">
        <f>+IFERROR(VLOOKUP(Fact_Administrativa[[#This Row], 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ht="18.75" customHeight="1" x14ac:dyDescent="0.35">
      <c r="C2908" s="100" t="str">
        <f>IF(OR(Fact_Administrativa[[#This Row], [Año]]="",Fact_Administrativa[[#This Row], [Mes]]=""),"",DATE(A2908,MATCH(B2908,{"enero","febrero","marzo","abril","mayo","junio","julio","agosto","septiembre","octubre","noviembre","diciembre"},0)+1,0))</f>
        <v/>
      </c>
      <c r="E2908" t="str">
        <f>+IFERROR(VLOOKUP(Fact_Administrativa[[#This Row], [Concepto Anterior]],Conceptos_Administrativa[#All],5,0),"")</f>
        <v/>
      </c>
      <c r="F2908" t="str">
        <f>+IFERROR(VLOOKUP(Fact_Administrativa[[#This Row], 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ht="18.75" customHeight="1" x14ac:dyDescent="0.35">
      <c r="C2909" s="100" t="str">
        <f>IF(OR(Fact_Administrativa[[#This Row], [Año]]="",Fact_Administrativa[[#This Row], [Mes]]=""),"",DATE(A2909,MATCH(B2909,{"enero","febrero","marzo","abril","mayo","junio","julio","agosto","septiembre","octubre","noviembre","diciembre"},0)+1,0))</f>
        <v/>
      </c>
      <c r="E2909" t="str">
        <f>+IFERROR(VLOOKUP(Fact_Administrativa[[#This Row], [Concepto Anterior]],Conceptos_Administrativa[#All],5,0),"")</f>
        <v/>
      </c>
      <c r="F2909" t="str">
        <f>+IFERROR(VLOOKUP(Fact_Administrativa[[#This Row], 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ht="18.75" customHeight="1" x14ac:dyDescent="0.35">
      <c r="C2910" s="100" t="str">
        <f>IF(OR(Fact_Administrativa[[#This Row], [Año]]="",Fact_Administrativa[[#This Row], [Mes]]=""),"",DATE(A2910,MATCH(B2910,{"enero","febrero","marzo","abril","mayo","junio","julio","agosto","septiembre","octubre","noviembre","diciembre"},0)+1,0))</f>
        <v/>
      </c>
      <c r="E2910" t="str">
        <f>+IFERROR(VLOOKUP(Fact_Administrativa[[#This Row], [Concepto Anterior]],Conceptos_Administrativa[#All],5,0),"")</f>
        <v/>
      </c>
      <c r="F2910" t="str">
        <f>+IFERROR(VLOOKUP(Fact_Administrativa[[#This Row], 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ht="18.75" customHeight="1" x14ac:dyDescent="0.35">
      <c r="C2911" s="100" t="str">
        <f>IF(OR(Fact_Administrativa[[#This Row], [Año]]="",Fact_Administrativa[[#This Row], [Mes]]=""),"",DATE(A2911,MATCH(B2911,{"enero","febrero","marzo","abril","mayo","junio","julio","agosto","septiembre","octubre","noviembre","diciembre"},0)+1,0))</f>
        <v/>
      </c>
      <c r="E2911" t="str">
        <f>+IFERROR(VLOOKUP(Fact_Administrativa[[#This Row], [Concepto Anterior]],Conceptos_Administrativa[#All],5,0),"")</f>
        <v/>
      </c>
      <c r="F2911" t="str">
        <f>+IFERROR(VLOOKUP(Fact_Administrativa[[#This Row], 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ht="18.75" customHeight="1" x14ac:dyDescent="0.35">
      <c r="C2912" s="100" t="str">
        <f>IF(OR(Fact_Administrativa[[#This Row], [Año]]="",Fact_Administrativa[[#This Row], [Mes]]=""),"",DATE(A2912,MATCH(B2912,{"enero","febrero","marzo","abril","mayo","junio","julio","agosto","septiembre","octubre","noviembre","diciembre"},0)+1,0))</f>
        <v/>
      </c>
      <c r="E2912" t="str">
        <f>+IFERROR(VLOOKUP(Fact_Administrativa[[#This Row], [Concepto Anterior]],Conceptos_Administrativa[#All],5,0),"")</f>
        <v/>
      </c>
      <c r="F2912" t="str">
        <f>+IFERROR(VLOOKUP(Fact_Administrativa[[#This Row], 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ht="18.75" customHeight="1" x14ac:dyDescent="0.35">
      <c r="C2913" s="100" t="str">
        <f>IF(OR(Fact_Administrativa[[#This Row], [Año]]="",Fact_Administrativa[[#This Row], [Mes]]=""),"",DATE(A2913,MATCH(B2913,{"enero","febrero","marzo","abril","mayo","junio","julio","agosto","septiembre","octubre","noviembre","diciembre"},0)+1,0))</f>
        <v/>
      </c>
      <c r="E2913" t="str">
        <f>+IFERROR(VLOOKUP(Fact_Administrativa[[#This Row], [Concepto Anterior]],Conceptos_Administrativa[#All],5,0),"")</f>
        <v/>
      </c>
      <c r="F2913" t="str">
        <f>+IFERROR(VLOOKUP(Fact_Administrativa[[#This Row], 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ht="18.75" customHeight="1" x14ac:dyDescent="0.35">
      <c r="C2914" s="100" t="str">
        <f>IF(OR(Fact_Administrativa[[#This Row], [Año]]="",Fact_Administrativa[[#This Row], [Mes]]=""),"",DATE(A2914,MATCH(B2914,{"enero","febrero","marzo","abril","mayo","junio","julio","agosto","septiembre","octubre","noviembre","diciembre"},0)+1,0))</f>
        <v/>
      </c>
      <c r="E2914" t="str">
        <f>+IFERROR(VLOOKUP(Fact_Administrativa[[#This Row], [Concepto Anterior]],Conceptos_Administrativa[#All],5,0),"")</f>
        <v/>
      </c>
      <c r="F2914" t="str">
        <f>+IFERROR(VLOOKUP(Fact_Administrativa[[#This Row], 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ht="18.75" customHeight="1" x14ac:dyDescent="0.35">
      <c r="C2915" s="100" t="str">
        <f>IF(OR(Fact_Administrativa[[#This Row], [Año]]="",Fact_Administrativa[[#This Row], [Mes]]=""),"",DATE(A2915,MATCH(B2915,{"enero","febrero","marzo","abril","mayo","junio","julio","agosto","septiembre","octubre","noviembre","diciembre"},0)+1,0))</f>
        <v/>
      </c>
      <c r="E2915" t="str">
        <f>+IFERROR(VLOOKUP(Fact_Administrativa[[#This Row], [Concepto Anterior]],Conceptos_Administrativa[#All],5,0),"")</f>
        <v/>
      </c>
      <c r="F2915" t="str">
        <f>+IFERROR(VLOOKUP(Fact_Administrativa[[#This Row], 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ht="18.75" customHeight="1" x14ac:dyDescent="0.35">
      <c r="C2916" s="100" t="str">
        <f>IF(OR(Fact_Administrativa[[#This Row], [Año]]="",Fact_Administrativa[[#This Row], [Mes]]=""),"",DATE(A2916,MATCH(B2916,{"enero","febrero","marzo","abril","mayo","junio","julio","agosto","septiembre","octubre","noviembre","diciembre"},0)+1,0))</f>
        <v/>
      </c>
      <c r="E2916" t="str">
        <f>+IFERROR(VLOOKUP(Fact_Administrativa[[#This Row], [Concepto Anterior]],Conceptos_Administrativa[#All],5,0),"")</f>
        <v/>
      </c>
      <c r="F2916" t="str">
        <f>+IFERROR(VLOOKUP(Fact_Administrativa[[#This Row], 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ht="18.75" customHeight="1" x14ac:dyDescent="0.35">
      <c r="C2917" s="100" t="str">
        <f>IF(OR(Fact_Administrativa[[#This Row], [Año]]="",Fact_Administrativa[[#This Row], [Mes]]=""),"",DATE(A2917,MATCH(B2917,{"enero","febrero","marzo","abril","mayo","junio","julio","agosto","septiembre","octubre","noviembre","diciembre"},0)+1,0))</f>
        <v/>
      </c>
      <c r="E2917" t="str">
        <f>+IFERROR(VLOOKUP(Fact_Administrativa[[#This Row], [Concepto Anterior]],Conceptos_Administrativa[#All],5,0),"")</f>
        <v/>
      </c>
      <c r="F2917" t="str">
        <f>+IFERROR(VLOOKUP(Fact_Administrativa[[#This Row], 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ht="18.75" customHeight="1" x14ac:dyDescent="0.35">
      <c r="C2918" s="100" t="str">
        <f>IF(OR(Fact_Administrativa[[#This Row], [Año]]="",Fact_Administrativa[[#This Row], [Mes]]=""),"",DATE(A2918,MATCH(B2918,{"enero","febrero","marzo","abril","mayo","junio","julio","agosto","septiembre","octubre","noviembre","diciembre"},0)+1,0))</f>
        <v/>
      </c>
      <c r="E2918" t="str">
        <f>+IFERROR(VLOOKUP(Fact_Administrativa[[#This Row], [Concepto Anterior]],Conceptos_Administrativa[#All],5,0),"")</f>
        <v/>
      </c>
      <c r="F2918" t="str">
        <f>+IFERROR(VLOOKUP(Fact_Administrativa[[#This Row], 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ht="18.75" customHeight="1" x14ac:dyDescent="0.35">
      <c r="C2919" s="100" t="str">
        <f>IF(OR(Fact_Administrativa[[#This Row], [Año]]="",Fact_Administrativa[[#This Row], [Mes]]=""),"",DATE(A2919,MATCH(B2919,{"enero","febrero","marzo","abril","mayo","junio","julio","agosto","septiembre","octubre","noviembre","diciembre"},0)+1,0))</f>
        <v/>
      </c>
      <c r="E2919" t="str">
        <f>+IFERROR(VLOOKUP(Fact_Administrativa[[#This Row], [Concepto Anterior]],Conceptos_Administrativa[#All],5,0),"")</f>
        <v/>
      </c>
      <c r="F2919" t="str">
        <f>+IFERROR(VLOOKUP(Fact_Administrativa[[#This Row], 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ht="18.75" customHeight="1" x14ac:dyDescent="0.35">
      <c r="C2920" s="100" t="str">
        <f>IF(OR(Fact_Administrativa[[#This Row], [Año]]="",Fact_Administrativa[[#This Row], [Mes]]=""),"",DATE(A2920,MATCH(B2920,{"enero","febrero","marzo","abril","mayo","junio","julio","agosto","septiembre","octubre","noviembre","diciembre"},0)+1,0))</f>
        <v/>
      </c>
      <c r="E2920" t="str">
        <f>+IFERROR(VLOOKUP(Fact_Administrativa[[#This Row], [Concepto Anterior]],Conceptos_Administrativa[#All],5,0),"")</f>
        <v/>
      </c>
      <c r="F2920" t="str">
        <f>+IFERROR(VLOOKUP(Fact_Administrativa[[#This Row], 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ht="18.75" customHeight="1" x14ac:dyDescent="0.35">
      <c r="C2921" s="100" t="str">
        <f>IF(OR(Fact_Administrativa[[#This Row], [Año]]="",Fact_Administrativa[[#This Row], [Mes]]=""),"",DATE(A2921,MATCH(B2921,{"enero","febrero","marzo","abril","mayo","junio","julio","agosto","septiembre","octubre","noviembre","diciembre"},0)+1,0))</f>
        <v/>
      </c>
      <c r="E2921" t="str">
        <f>+IFERROR(VLOOKUP(Fact_Administrativa[[#This Row], [Concepto Anterior]],Conceptos_Administrativa[#All],5,0),"")</f>
        <v/>
      </c>
      <c r="F2921" t="str">
        <f>+IFERROR(VLOOKUP(Fact_Administrativa[[#This Row], 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ht="18.75" customHeight="1" x14ac:dyDescent="0.35">
      <c r="C2922" s="100" t="str">
        <f>IF(OR(Fact_Administrativa[[#This Row], [Año]]="",Fact_Administrativa[[#This Row], [Mes]]=""),"",DATE(A2922,MATCH(B2922,{"enero","febrero","marzo","abril","mayo","junio","julio","agosto","septiembre","octubre","noviembre","diciembre"},0)+1,0))</f>
        <v/>
      </c>
      <c r="E2922" t="str">
        <f>+IFERROR(VLOOKUP(Fact_Administrativa[[#This Row], [Concepto Anterior]],Conceptos_Administrativa[#All],5,0),"")</f>
        <v/>
      </c>
      <c r="F2922" t="str">
        <f>+IFERROR(VLOOKUP(Fact_Administrativa[[#This Row], 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ht="18.75" customHeight="1" x14ac:dyDescent="0.35">
      <c r="C2923" s="100" t="str">
        <f>IF(OR(Fact_Administrativa[[#This Row], [Año]]="",Fact_Administrativa[[#This Row], [Mes]]=""),"",DATE(A2923,MATCH(B2923,{"enero","febrero","marzo","abril","mayo","junio","julio","agosto","septiembre","octubre","noviembre","diciembre"},0)+1,0))</f>
        <v/>
      </c>
      <c r="E2923" t="str">
        <f>+IFERROR(VLOOKUP(Fact_Administrativa[[#This Row], [Concepto Anterior]],Conceptos_Administrativa[#All],5,0),"")</f>
        <v/>
      </c>
      <c r="F2923" t="str">
        <f>+IFERROR(VLOOKUP(Fact_Administrativa[[#This Row], 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ht="18.75" customHeight="1" x14ac:dyDescent="0.35">
      <c r="C2924" s="100" t="str">
        <f>IF(OR(Fact_Administrativa[[#This Row], [Año]]="",Fact_Administrativa[[#This Row], [Mes]]=""),"",DATE(A2924,MATCH(B2924,{"enero","febrero","marzo","abril","mayo","junio","julio","agosto","septiembre","octubre","noviembre","diciembre"},0)+1,0))</f>
        <v/>
      </c>
      <c r="E2924" t="str">
        <f>+IFERROR(VLOOKUP(Fact_Administrativa[[#This Row], [Concepto Anterior]],Conceptos_Administrativa[#All],5,0),"")</f>
        <v/>
      </c>
      <c r="F2924" t="str">
        <f>+IFERROR(VLOOKUP(Fact_Administrativa[[#This Row], 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ht="18.75" customHeight="1" x14ac:dyDescent="0.35">
      <c r="C2925" s="100" t="str">
        <f>IF(OR(Fact_Administrativa[[#This Row], [Año]]="",Fact_Administrativa[[#This Row], [Mes]]=""),"",DATE(A2925,MATCH(B2925,{"enero","febrero","marzo","abril","mayo","junio","julio","agosto","septiembre","octubre","noviembre","diciembre"},0)+1,0))</f>
        <v/>
      </c>
      <c r="E2925" t="str">
        <f>+IFERROR(VLOOKUP(Fact_Administrativa[[#This Row], [Concepto Anterior]],Conceptos_Administrativa[#All],5,0),"")</f>
        <v/>
      </c>
      <c r="F2925" t="str">
        <f>+IFERROR(VLOOKUP(Fact_Administrativa[[#This Row], 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ht="18.75" customHeight="1" x14ac:dyDescent="0.35">
      <c r="C2926" s="100" t="str">
        <f>IF(OR(Fact_Administrativa[[#This Row], [Año]]="",Fact_Administrativa[[#This Row], [Mes]]=""),"",DATE(A2926,MATCH(B2926,{"enero","febrero","marzo","abril","mayo","junio","julio","agosto","septiembre","octubre","noviembre","diciembre"},0)+1,0))</f>
        <v/>
      </c>
      <c r="E2926" t="str">
        <f>+IFERROR(VLOOKUP(Fact_Administrativa[[#This Row], [Concepto Anterior]],Conceptos_Administrativa[#All],5,0),"")</f>
        <v/>
      </c>
      <c r="F2926" t="str">
        <f>+IFERROR(VLOOKUP(Fact_Administrativa[[#This Row], 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ht="18.75" customHeight="1" x14ac:dyDescent="0.35">
      <c r="C2927" s="100" t="str">
        <f>IF(OR(Fact_Administrativa[[#This Row], [Año]]="",Fact_Administrativa[[#This Row], [Mes]]=""),"",DATE(A2927,MATCH(B2927,{"enero","febrero","marzo","abril","mayo","junio","julio","agosto","septiembre","octubre","noviembre","diciembre"},0)+1,0))</f>
        <v/>
      </c>
      <c r="E2927" t="str">
        <f>+IFERROR(VLOOKUP(Fact_Administrativa[[#This Row], [Concepto Anterior]],Conceptos_Administrativa[#All],5,0),"")</f>
        <v/>
      </c>
      <c r="F2927" t="str">
        <f>+IFERROR(VLOOKUP(Fact_Administrativa[[#This Row], 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ht="18.75" customHeight="1" x14ac:dyDescent="0.35">
      <c r="C2928" s="100" t="str">
        <f>IF(OR(Fact_Administrativa[[#This Row], [Año]]="",Fact_Administrativa[[#This Row], [Mes]]=""),"",DATE(A2928,MATCH(B2928,{"enero","febrero","marzo","abril","mayo","junio","julio","agosto","septiembre","octubre","noviembre","diciembre"},0)+1,0))</f>
        <v/>
      </c>
      <c r="E2928" t="str">
        <f>+IFERROR(VLOOKUP(Fact_Administrativa[[#This Row], [Concepto Anterior]],Conceptos_Administrativa[#All],5,0),"")</f>
        <v/>
      </c>
      <c r="F2928" t="str">
        <f>+IFERROR(VLOOKUP(Fact_Administrativa[[#This Row], 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ht="18.75" customHeight="1" x14ac:dyDescent="0.35">
      <c r="C2929" s="100" t="str">
        <f>IF(OR(Fact_Administrativa[[#This Row], [Año]]="",Fact_Administrativa[[#This Row], [Mes]]=""),"",DATE(A2929,MATCH(B2929,{"enero","febrero","marzo","abril","mayo","junio","julio","agosto","septiembre","octubre","noviembre","diciembre"},0)+1,0))</f>
        <v/>
      </c>
      <c r="E2929" t="str">
        <f>+IFERROR(VLOOKUP(Fact_Administrativa[[#This Row], [Concepto Anterior]],Conceptos_Administrativa[#All],5,0),"")</f>
        <v/>
      </c>
      <c r="F2929" t="str">
        <f>+IFERROR(VLOOKUP(Fact_Administrativa[[#This Row], 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ht="18.75" customHeight="1" x14ac:dyDescent="0.35">
      <c r="C2930" s="100" t="str">
        <f>IF(OR(Fact_Administrativa[[#This Row], [Año]]="",Fact_Administrativa[[#This Row], [Mes]]=""),"",DATE(A2930,MATCH(B2930,{"enero","febrero","marzo","abril","mayo","junio","julio","agosto","septiembre","octubre","noviembre","diciembre"},0)+1,0))</f>
        <v/>
      </c>
      <c r="E2930" t="str">
        <f>+IFERROR(VLOOKUP(Fact_Administrativa[[#This Row], [Concepto Anterior]],Conceptos_Administrativa[#All],5,0),"")</f>
        <v/>
      </c>
      <c r="F2930" t="str">
        <f>+IFERROR(VLOOKUP(Fact_Administrativa[[#This Row], 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ht="18.75" customHeight="1" x14ac:dyDescent="0.35">
      <c r="C2931" s="100" t="str">
        <f>IF(OR(Fact_Administrativa[[#This Row], [Año]]="",Fact_Administrativa[[#This Row], [Mes]]=""),"",DATE(A2931,MATCH(B2931,{"enero","febrero","marzo","abril","mayo","junio","julio","agosto","septiembre","octubre","noviembre","diciembre"},0)+1,0))</f>
        <v/>
      </c>
      <c r="E2931" t="str">
        <f>+IFERROR(VLOOKUP(Fact_Administrativa[[#This Row], [Concepto Anterior]],Conceptos_Administrativa[#All],5,0),"")</f>
        <v/>
      </c>
      <c r="F2931" t="str">
        <f>+IFERROR(VLOOKUP(Fact_Administrativa[[#This Row], 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ht="18.75" customHeight="1" x14ac:dyDescent="0.35">
      <c r="C2932" s="100" t="str">
        <f>IF(OR(Fact_Administrativa[[#This Row], [Año]]="",Fact_Administrativa[[#This Row], [Mes]]=""),"",DATE(A2932,MATCH(B2932,{"enero","febrero","marzo","abril","mayo","junio","julio","agosto","septiembre","octubre","noviembre","diciembre"},0)+1,0))</f>
        <v/>
      </c>
      <c r="E2932" t="str">
        <f>+IFERROR(VLOOKUP(Fact_Administrativa[[#This Row], [Concepto Anterior]],Conceptos_Administrativa[#All],5,0),"")</f>
        <v/>
      </c>
      <c r="F2932" t="str">
        <f>+IFERROR(VLOOKUP(Fact_Administrativa[[#This Row], 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ht="18.75" customHeight="1" x14ac:dyDescent="0.35">
      <c r="C2933" s="100" t="str">
        <f>IF(OR(Fact_Administrativa[[#This Row], [Año]]="",Fact_Administrativa[[#This Row], [Mes]]=""),"",DATE(A2933,MATCH(B2933,{"enero","febrero","marzo","abril","mayo","junio","julio","agosto","septiembre","octubre","noviembre","diciembre"},0)+1,0))</f>
        <v/>
      </c>
      <c r="E2933" t="str">
        <f>+IFERROR(VLOOKUP(Fact_Administrativa[[#This Row], [Concepto Anterior]],Conceptos_Administrativa[#All],5,0),"")</f>
        <v/>
      </c>
      <c r="F2933" t="str">
        <f>+IFERROR(VLOOKUP(Fact_Administrativa[[#This Row], 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ht="18.75" customHeight="1" x14ac:dyDescent="0.35">
      <c r="C2934" s="100" t="str">
        <f>IF(OR(Fact_Administrativa[[#This Row], [Año]]="",Fact_Administrativa[[#This Row], [Mes]]=""),"",DATE(A2934,MATCH(B2934,{"enero","febrero","marzo","abril","mayo","junio","julio","agosto","septiembre","octubre","noviembre","diciembre"},0)+1,0))</f>
        <v/>
      </c>
      <c r="E2934" t="str">
        <f>+IFERROR(VLOOKUP(Fact_Administrativa[[#This Row], [Concepto Anterior]],Conceptos_Administrativa[#All],5,0),"")</f>
        <v/>
      </c>
      <c r="F2934" t="str">
        <f>+IFERROR(VLOOKUP(Fact_Administrativa[[#This Row], 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ht="18.75" customHeight="1" x14ac:dyDescent="0.35">
      <c r="C2935" s="100" t="str">
        <f>IF(OR(Fact_Administrativa[[#This Row], [Año]]="",Fact_Administrativa[[#This Row], [Mes]]=""),"",DATE(A2935,MATCH(B2935,{"enero","febrero","marzo","abril","mayo","junio","julio","agosto","septiembre","octubre","noviembre","diciembre"},0)+1,0))</f>
        <v/>
      </c>
      <c r="E2935" t="str">
        <f>+IFERROR(VLOOKUP(Fact_Administrativa[[#This Row], [Concepto Anterior]],Conceptos_Administrativa[#All],5,0),"")</f>
        <v/>
      </c>
      <c r="F2935" t="str">
        <f>+IFERROR(VLOOKUP(Fact_Administrativa[[#This Row], 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ht="18.75" customHeight="1" x14ac:dyDescent="0.35">
      <c r="C2936" s="100" t="str">
        <f>IF(OR(Fact_Administrativa[[#This Row], [Año]]="",Fact_Administrativa[[#This Row], [Mes]]=""),"",DATE(A2936,MATCH(B2936,{"enero","febrero","marzo","abril","mayo","junio","julio","agosto","septiembre","octubre","noviembre","diciembre"},0)+1,0))</f>
        <v/>
      </c>
      <c r="E2936" t="str">
        <f>+IFERROR(VLOOKUP(Fact_Administrativa[[#This Row], [Concepto Anterior]],Conceptos_Administrativa[#All],5,0),"")</f>
        <v/>
      </c>
      <c r="F2936" t="str">
        <f>+IFERROR(VLOOKUP(Fact_Administrativa[[#This Row], 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ht="18.75" customHeight="1" x14ac:dyDescent="0.35">
      <c r="C2937" s="100" t="str">
        <f>IF(OR(Fact_Administrativa[[#This Row], [Año]]="",Fact_Administrativa[[#This Row], [Mes]]=""),"",DATE(A2937,MATCH(B2937,{"enero","febrero","marzo","abril","mayo","junio","julio","agosto","septiembre","octubre","noviembre","diciembre"},0)+1,0))</f>
        <v/>
      </c>
      <c r="E2937" t="str">
        <f>+IFERROR(VLOOKUP(Fact_Administrativa[[#This Row], [Concepto Anterior]],Conceptos_Administrativa[#All],5,0),"")</f>
        <v/>
      </c>
      <c r="F2937" t="str">
        <f>+IFERROR(VLOOKUP(Fact_Administrativa[[#This Row], 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ht="18.75" customHeight="1" x14ac:dyDescent="0.35">
      <c r="C2938" s="100" t="str">
        <f>IF(OR(Fact_Administrativa[[#This Row], [Año]]="",Fact_Administrativa[[#This Row], [Mes]]=""),"",DATE(A2938,MATCH(B2938,{"enero","febrero","marzo","abril","mayo","junio","julio","agosto","septiembre","octubre","noviembre","diciembre"},0)+1,0))</f>
        <v/>
      </c>
      <c r="E2938" t="str">
        <f>+IFERROR(VLOOKUP(Fact_Administrativa[[#This Row], [Concepto Anterior]],Conceptos_Administrativa[#All],5,0),"")</f>
        <v/>
      </c>
      <c r="F2938" t="str">
        <f>+IFERROR(VLOOKUP(Fact_Administrativa[[#This Row], 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ht="18.75" customHeight="1" x14ac:dyDescent="0.35">
      <c r="C2939" s="100" t="str">
        <f>IF(OR(Fact_Administrativa[[#This Row], [Año]]="",Fact_Administrativa[[#This Row], [Mes]]=""),"",DATE(A2939,MATCH(B2939,{"enero","febrero","marzo","abril","mayo","junio","julio","agosto","septiembre","octubre","noviembre","diciembre"},0)+1,0))</f>
        <v/>
      </c>
      <c r="E2939" t="str">
        <f>+IFERROR(VLOOKUP(Fact_Administrativa[[#This Row], [Concepto Anterior]],Conceptos_Administrativa[#All],5,0),"")</f>
        <v/>
      </c>
      <c r="F2939" t="str">
        <f>+IFERROR(VLOOKUP(Fact_Administrativa[[#This Row], 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ht="18.75" customHeight="1" x14ac:dyDescent="0.35">
      <c r="C2940" s="100" t="str">
        <f>IF(OR(Fact_Administrativa[[#This Row], [Año]]="",Fact_Administrativa[[#This Row], [Mes]]=""),"",DATE(A2940,MATCH(B2940,{"enero","febrero","marzo","abril","mayo","junio","julio","agosto","septiembre","octubre","noviembre","diciembre"},0)+1,0))</f>
        <v/>
      </c>
      <c r="E2940" t="str">
        <f>+IFERROR(VLOOKUP(Fact_Administrativa[[#This Row], [Concepto Anterior]],Conceptos_Administrativa[#All],5,0),"")</f>
        <v/>
      </c>
      <c r="F2940" t="str">
        <f>+IFERROR(VLOOKUP(Fact_Administrativa[[#This Row], 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ht="18.75" customHeight="1" x14ac:dyDescent="0.35">
      <c r="C2941" s="100" t="str">
        <f>IF(OR(Fact_Administrativa[[#This Row], [Año]]="",Fact_Administrativa[[#This Row], [Mes]]=""),"",DATE(A2941,MATCH(B2941,{"enero","febrero","marzo","abril","mayo","junio","julio","agosto","septiembre","octubre","noviembre","diciembre"},0)+1,0))</f>
        <v/>
      </c>
      <c r="E2941" t="str">
        <f>+IFERROR(VLOOKUP(Fact_Administrativa[[#This Row], [Concepto Anterior]],Conceptos_Administrativa[#All],5,0),"")</f>
        <v/>
      </c>
      <c r="F2941" t="str">
        <f>+IFERROR(VLOOKUP(Fact_Administrativa[[#This Row], 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ht="18.75" customHeight="1" x14ac:dyDescent="0.35">
      <c r="C2942" s="100" t="str">
        <f>IF(OR(Fact_Administrativa[[#This Row], [Año]]="",Fact_Administrativa[[#This Row], [Mes]]=""),"",DATE(A2942,MATCH(B2942,{"enero","febrero","marzo","abril","mayo","junio","julio","agosto","septiembre","octubre","noviembre","diciembre"},0)+1,0))</f>
        <v/>
      </c>
      <c r="E2942" t="str">
        <f>+IFERROR(VLOOKUP(Fact_Administrativa[[#This Row], [Concepto Anterior]],Conceptos_Administrativa[#All],5,0),"")</f>
        <v/>
      </c>
      <c r="F2942" t="str">
        <f>+IFERROR(VLOOKUP(Fact_Administrativa[[#This Row], 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ht="18.75" customHeight="1" x14ac:dyDescent="0.35">
      <c r="C2943" s="100" t="str">
        <f>IF(OR(Fact_Administrativa[[#This Row], [Año]]="",Fact_Administrativa[[#This Row], [Mes]]=""),"",DATE(A2943,MATCH(B2943,{"enero","febrero","marzo","abril","mayo","junio","julio","agosto","septiembre","octubre","noviembre","diciembre"},0)+1,0))</f>
        <v/>
      </c>
      <c r="E2943" t="str">
        <f>+IFERROR(VLOOKUP(Fact_Administrativa[[#This Row], [Concepto Anterior]],Conceptos_Administrativa[#All],5,0),"")</f>
        <v/>
      </c>
      <c r="F2943" t="str">
        <f>+IFERROR(VLOOKUP(Fact_Administrativa[[#This Row], 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ht="18.75" customHeight="1" x14ac:dyDescent="0.35">
      <c r="C2944" s="100" t="str">
        <f>IF(OR(Fact_Administrativa[[#This Row], [Año]]="",Fact_Administrativa[[#This Row], [Mes]]=""),"",DATE(A2944,MATCH(B2944,{"enero","febrero","marzo","abril","mayo","junio","julio","agosto","septiembre","octubre","noviembre","diciembre"},0)+1,0))</f>
        <v/>
      </c>
      <c r="E2944" t="str">
        <f>+IFERROR(VLOOKUP(Fact_Administrativa[[#This Row], [Concepto Anterior]],Conceptos_Administrativa[#All],5,0),"")</f>
        <v/>
      </c>
      <c r="F2944" t="str">
        <f>+IFERROR(VLOOKUP(Fact_Administrativa[[#This Row], 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ht="18.75" customHeight="1" x14ac:dyDescent="0.35">
      <c r="C2945" s="100" t="str">
        <f>IF(OR(Fact_Administrativa[[#This Row], [Año]]="",Fact_Administrativa[[#This Row], [Mes]]=""),"",DATE(A2945,MATCH(B2945,{"enero","febrero","marzo","abril","mayo","junio","julio","agosto","septiembre","octubre","noviembre","diciembre"},0)+1,0))</f>
        <v/>
      </c>
      <c r="E2945" t="str">
        <f>+IFERROR(VLOOKUP(Fact_Administrativa[[#This Row], [Concepto Anterior]],Conceptos_Administrativa[#All],5,0),"")</f>
        <v/>
      </c>
      <c r="F2945" t="str">
        <f>+IFERROR(VLOOKUP(Fact_Administrativa[[#This Row], 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ht="18.75" customHeight="1" x14ac:dyDescent="0.35">
      <c r="C2946" s="100" t="str">
        <f>IF(OR(Fact_Administrativa[[#This Row], [Año]]="",Fact_Administrativa[[#This Row], [Mes]]=""),"",DATE(A2946,MATCH(B2946,{"enero","febrero","marzo","abril","mayo","junio","julio","agosto","septiembre","octubre","noviembre","diciembre"},0)+1,0))</f>
        <v/>
      </c>
      <c r="E2946" t="str">
        <f>+IFERROR(VLOOKUP(Fact_Administrativa[[#This Row], [Concepto Anterior]],Conceptos_Administrativa[#All],5,0),"")</f>
        <v/>
      </c>
      <c r="F2946" t="str">
        <f>+IFERROR(VLOOKUP(Fact_Administrativa[[#This Row], 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ht="18.75" customHeight="1" x14ac:dyDescent="0.35">
      <c r="C2947" s="100" t="str">
        <f>IF(OR(Fact_Administrativa[[#This Row], [Año]]="",Fact_Administrativa[[#This Row], [Mes]]=""),"",DATE(A2947,MATCH(B2947,{"enero","febrero","marzo","abril","mayo","junio","julio","agosto","septiembre","octubre","noviembre","diciembre"},0)+1,0))</f>
        <v/>
      </c>
      <c r="E2947" t="str">
        <f>+IFERROR(VLOOKUP(Fact_Administrativa[[#This Row], [Concepto Anterior]],Conceptos_Administrativa[#All],5,0),"")</f>
        <v/>
      </c>
      <c r="F2947" t="str">
        <f>+IFERROR(VLOOKUP(Fact_Administrativa[[#This Row], 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ht="18.75" customHeight="1" x14ac:dyDescent="0.35">
      <c r="C2948" s="100" t="str">
        <f>IF(OR(Fact_Administrativa[[#This Row], [Año]]="",Fact_Administrativa[[#This Row], [Mes]]=""),"",DATE(A2948,MATCH(B2948,{"enero","febrero","marzo","abril","mayo","junio","julio","agosto","septiembre","octubre","noviembre","diciembre"},0)+1,0))</f>
        <v/>
      </c>
      <c r="E2948" t="str">
        <f>+IFERROR(VLOOKUP(Fact_Administrativa[[#This Row], [Concepto Anterior]],Conceptos_Administrativa[#All],5,0),"")</f>
        <v/>
      </c>
      <c r="F2948" t="str">
        <f>+IFERROR(VLOOKUP(Fact_Administrativa[[#This Row], 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ht="18.75" customHeight="1" x14ac:dyDescent="0.35">
      <c r="C2949" s="100" t="str">
        <f>IF(OR(Fact_Administrativa[[#This Row], [Año]]="",Fact_Administrativa[[#This Row], [Mes]]=""),"",DATE(A2949,MATCH(B2949,{"enero","febrero","marzo","abril","mayo","junio","julio","agosto","septiembre","octubre","noviembre","diciembre"},0)+1,0))</f>
        <v/>
      </c>
      <c r="E2949" t="str">
        <f>+IFERROR(VLOOKUP(Fact_Administrativa[[#This Row], [Concepto Anterior]],Conceptos_Administrativa[#All],5,0),"")</f>
        <v/>
      </c>
      <c r="F2949" t="str">
        <f>+IFERROR(VLOOKUP(Fact_Administrativa[[#This Row], 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ht="18.75" customHeight="1" x14ac:dyDescent="0.35">
      <c r="C2950" s="100" t="str">
        <f>IF(OR(Fact_Administrativa[[#This Row], [Año]]="",Fact_Administrativa[[#This Row], [Mes]]=""),"",DATE(A2950,MATCH(B2950,{"enero","febrero","marzo","abril","mayo","junio","julio","agosto","septiembre","octubre","noviembre","diciembre"},0)+1,0))</f>
        <v/>
      </c>
      <c r="E2950" t="str">
        <f>+IFERROR(VLOOKUP(Fact_Administrativa[[#This Row], [Concepto Anterior]],Conceptos_Administrativa[#All],5,0),"")</f>
        <v/>
      </c>
      <c r="F2950" t="str">
        <f>+IFERROR(VLOOKUP(Fact_Administrativa[[#This Row], 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ht="18.75" customHeight="1" x14ac:dyDescent="0.35">
      <c r="C2951" s="100" t="str">
        <f>IF(OR(Fact_Administrativa[[#This Row], [Año]]="",Fact_Administrativa[[#This Row], [Mes]]=""),"",DATE(A2951,MATCH(B2951,{"enero","febrero","marzo","abril","mayo","junio","julio","agosto","septiembre","octubre","noviembre","diciembre"},0)+1,0))</f>
        <v/>
      </c>
      <c r="E2951" t="str">
        <f>+IFERROR(VLOOKUP(Fact_Administrativa[[#This Row], [Concepto Anterior]],Conceptos_Administrativa[#All],5,0),"")</f>
        <v/>
      </c>
      <c r="F2951" t="str">
        <f>+IFERROR(VLOOKUP(Fact_Administrativa[[#This Row], 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ht="18.75" customHeight="1" x14ac:dyDescent="0.35">
      <c r="C2952" s="100" t="str">
        <f>IF(OR(Fact_Administrativa[[#This Row], [Año]]="",Fact_Administrativa[[#This Row], [Mes]]=""),"",DATE(A2952,MATCH(B2952,{"enero","febrero","marzo","abril","mayo","junio","julio","agosto","septiembre","octubre","noviembre","diciembre"},0)+1,0))</f>
        <v/>
      </c>
      <c r="E2952" t="str">
        <f>+IFERROR(VLOOKUP(Fact_Administrativa[[#This Row], [Concepto Anterior]],Conceptos_Administrativa[#All],5,0),"")</f>
        <v/>
      </c>
      <c r="F2952" t="str">
        <f>+IFERROR(VLOOKUP(Fact_Administrativa[[#This Row], 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ht="18.75" customHeight="1" x14ac:dyDescent="0.35">
      <c r="C2953" s="100" t="str">
        <f>IF(OR(Fact_Administrativa[[#This Row], [Año]]="",Fact_Administrativa[[#This Row], [Mes]]=""),"",DATE(A2953,MATCH(B2953,{"enero","febrero","marzo","abril","mayo","junio","julio","agosto","septiembre","octubre","noviembre","diciembre"},0)+1,0))</f>
        <v/>
      </c>
      <c r="E2953" t="str">
        <f>+IFERROR(VLOOKUP(Fact_Administrativa[[#This Row], [Concepto Anterior]],Conceptos_Administrativa[#All],5,0),"")</f>
        <v/>
      </c>
      <c r="F2953" t="str">
        <f>+IFERROR(VLOOKUP(Fact_Administrativa[[#This Row], 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ht="18.75" customHeight="1" x14ac:dyDescent="0.35">
      <c r="C2954" s="100" t="str">
        <f>IF(OR(Fact_Administrativa[[#This Row], [Año]]="",Fact_Administrativa[[#This Row], [Mes]]=""),"",DATE(A2954,MATCH(B2954,{"enero","febrero","marzo","abril","mayo","junio","julio","agosto","septiembre","octubre","noviembre","diciembre"},0)+1,0))</f>
        <v/>
      </c>
      <c r="E2954" t="str">
        <f>+IFERROR(VLOOKUP(Fact_Administrativa[[#This Row], [Concepto Anterior]],Conceptos_Administrativa[#All],5,0),"")</f>
        <v/>
      </c>
      <c r="F2954" t="str">
        <f>+IFERROR(VLOOKUP(Fact_Administrativa[[#This Row], 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ht="18.75" customHeight="1" x14ac:dyDescent="0.35">
      <c r="C2955" s="100" t="str">
        <f>IF(OR(Fact_Administrativa[[#This Row], [Año]]="",Fact_Administrativa[[#This Row], [Mes]]=""),"",DATE(A2955,MATCH(B2955,{"enero","febrero","marzo","abril","mayo","junio","julio","agosto","septiembre","octubre","noviembre","diciembre"},0)+1,0))</f>
        <v/>
      </c>
      <c r="E2955" t="str">
        <f>+IFERROR(VLOOKUP(Fact_Administrativa[[#This Row], [Concepto Anterior]],Conceptos_Administrativa[#All],5,0),"")</f>
        <v/>
      </c>
      <c r="F2955" t="str">
        <f>+IFERROR(VLOOKUP(Fact_Administrativa[[#This Row], 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ht="18.75" customHeight="1" x14ac:dyDescent="0.35">
      <c r="C2956" s="100" t="str">
        <f>IF(OR(Fact_Administrativa[[#This Row], [Año]]="",Fact_Administrativa[[#This Row], [Mes]]=""),"",DATE(A2956,MATCH(B2956,{"enero","febrero","marzo","abril","mayo","junio","julio","agosto","septiembre","octubre","noviembre","diciembre"},0)+1,0))</f>
        <v/>
      </c>
      <c r="E2956" t="str">
        <f>+IFERROR(VLOOKUP(Fact_Administrativa[[#This Row], [Concepto Anterior]],Conceptos_Administrativa[#All],5,0),"")</f>
        <v/>
      </c>
      <c r="F2956" t="str">
        <f>+IFERROR(VLOOKUP(Fact_Administrativa[[#This Row], 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ht="18.75" customHeight="1" x14ac:dyDescent="0.35">
      <c r="C2957" s="100" t="str">
        <f>IF(OR(Fact_Administrativa[[#This Row], [Año]]="",Fact_Administrativa[[#This Row], [Mes]]=""),"",DATE(A2957,MATCH(B2957,{"enero","febrero","marzo","abril","mayo","junio","julio","agosto","septiembre","octubre","noviembre","diciembre"},0)+1,0))</f>
        <v/>
      </c>
      <c r="E2957" t="str">
        <f>+IFERROR(VLOOKUP(Fact_Administrativa[[#This Row], [Concepto Anterior]],Conceptos_Administrativa[#All],5,0),"")</f>
        <v/>
      </c>
      <c r="F2957" t="str">
        <f>+IFERROR(VLOOKUP(Fact_Administrativa[[#This Row], 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ht="18.75" customHeight="1" x14ac:dyDescent="0.35">
      <c r="C2958" s="100" t="str">
        <f>IF(OR(Fact_Administrativa[[#This Row], [Año]]="",Fact_Administrativa[[#This Row], [Mes]]=""),"",DATE(A2958,MATCH(B2958,{"enero","febrero","marzo","abril","mayo","junio","julio","agosto","septiembre","octubre","noviembre","diciembre"},0)+1,0))</f>
        <v/>
      </c>
      <c r="E2958" t="str">
        <f>+IFERROR(VLOOKUP(Fact_Administrativa[[#This Row], [Concepto Anterior]],Conceptos_Administrativa[#All],5,0),"")</f>
        <v/>
      </c>
      <c r="F2958" t="str">
        <f>+IFERROR(VLOOKUP(Fact_Administrativa[[#This Row], 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ht="18.75" customHeight="1" x14ac:dyDescent="0.35">
      <c r="C2959" s="100" t="str">
        <f>IF(OR(Fact_Administrativa[[#This Row], [Año]]="",Fact_Administrativa[[#This Row], [Mes]]=""),"",DATE(A2959,MATCH(B2959,{"enero","febrero","marzo","abril","mayo","junio","julio","agosto","septiembre","octubre","noviembre","diciembre"},0)+1,0))</f>
        <v/>
      </c>
      <c r="E2959" t="str">
        <f>+IFERROR(VLOOKUP(Fact_Administrativa[[#This Row], [Concepto Anterior]],Conceptos_Administrativa[#All],5,0),"")</f>
        <v/>
      </c>
      <c r="F2959" t="str">
        <f>+IFERROR(VLOOKUP(Fact_Administrativa[[#This Row], 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ht="18.75" customHeight="1" x14ac:dyDescent="0.35">
      <c r="C2960" s="100" t="str">
        <f>IF(OR(Fact_Administrativa[[#This Row], [Año]]="",Fact_Administrativa[[#This Row], [Mes]]=""),"",DATE(A2960,MATCH(B2960,{"enero","febrero","marzo","abril","mayo","junio","julio","agosto","septiembre","octubre","noviembre","diciembre"},0)+1,0))</f>
        <v/>
      </c>
      <c r="E2960" t="str">
        <f>+IFERROR(VLOOKUP(Fact_Administrativa[[#This Row], [Concepto Anterior]],Conceptos_Administrativa[#All],5,0),"")</f>
        <v/>
      </c>
      <c r="F2960" t="str">
        <f>+IFERROR(VLOOKUP(Fact_Administrativa[[#This Row], 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ht="18.75" customHeight="1" x14ac:dyDescent="0.35">
      <c r="C2961" s="100" t="str">
        <f>IF(OR(Fact_Administrativa[[#This Row], [Año]]="",Fact_Administrativa[[#This Row], [Mes]]=""),"",DATE(A2961,MATCH(B2961,{"enero","febrero","marzo","abril","mayo","junio","julio","agosto","septiembre","octubre","noviembre","diciembre"},0)+1,0))</f>
        <v/>
      </c>
      <c r="E2961" t="str">
        <f>+IFERROR(VLOOKUP(Fact_Administrativa[[#This Row], [Concepto Anterior]],Conceptos_Administrativa[#All],5,0),"")</f>
        <v/>
      </c>
      <c r="F2961" t="str">
        <f>+IFERROR(VLOOKUP(Fact_Administrativa[[#This Row], 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ht="18.75" customHeight="1" x14ac:dyDescent="0.35">
      <c r="C2962" s="100" t="str">
        <f>IF(OR(Fact_Administrativa[[#This Row], [Año]]="",Fact_Administrativa[[#This Row], [Mes]]=""),"",DATE(A2962,MATCH(B2962,{"enero","febrero","marzo","abril","mayo","junio","julio","agosto","septiembre","octubre","noviembre","diciembre"},0)+1,0))</f>
        <v/>
      </c>
      <c r="E2962" t="str">
        <f>+IFERROR(VLOOKUP(Fact_Administrativa[[#This Row], [Concepto Anterior]],Conceptos_Administrativa[#All],5,0),"")</f>
        <v/>
      </c>
      <c r="F2962" t="str">
        <f>+IFERROR(VLOOKUP(Fact_Administrativa[[#This Row], 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ht="18.75" customHeight="1" x14ac:dyDescent="0.35">
      <c r="C2963" s="100" t="str">
        <f>IF(OR(Fact_Administrativa[[#This Row], [Año]]="",Fact_Administrativa[[#This Row], [Mes]]=""),"",DATE(A2963,MATCH(B2963,{"enero","febrero","marzo","abril","mayo","junio","julio","agosto","septiembre","octubre","noviembre","diciembre"},0)+1,0))</f>
        <v/>
      </c>
      <c r="E2963" t="str">
        <f>+IFERROR(VLOOKUP(Fact_Administrativa[[#This Row], [Concepto Anterior]],Conceptos_Administrativa[#All],5,0),"")</f>
        <v/>
      </c>
      <c r="F2963" t="str">
        <f>+IFERROR(VLOOKUP(Fact_Administrativa[[#This Row], 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ht="18.75" customHeight="1" x14ac:dyDescent="0.35">
      <c r="C2964" s="100" t="str">
        <f>IF(OR(Fact_Administrativa[[#This Row], [Año]]="",Fact_Administrativa[[#This Row], [Mes]]=""),"",DATE(A2964,MATCH(B2964,{"enero","febrero","marzo","abril","mayo","junio","julio","agosto","septiembre","octubre","noviembre","diciembre"},0)+1,0))</f>
        <v/>
      </c>
      <c r="E2964" t="str">
        <f>+IFERROR(VLOOKUP(Fact_Administrativa[[#This Row], [Concepto Anterior]],Conceptos_Administrativa[#All],5,0),"")</f>
        <v/>
      </c>
      <c r="F2964" t="str">
        <f>+IFERROR(VLOOKUP(Fact_Administrativa[[#This Row], 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ht="18.75" customHeight="1" x14ac:dyDescent="0.35">
      <c r="C2965" s="100" t="str">
        <f>IF(OR(Fact_Administrativa[[#This Row], [Año]]="",Fact_Administrativa[[#This Row], [Mes]]=""),"",DATE(A2965,MATCH(B2965,{"enero","febrero","marzo","abril","mayo","junio","julio","agosto","septiembre","octubre","noviembre","diciembre"},0)+1,0))</f>
        <v/>
      </c>
      <c r="E2965" t="str">
        <f>+IFERROR(VLOOKUP(Fact_Administrativa[[#This Row], [Concepto Anterior]],Conceptos_Administrativa[#All],5,0),"")</f>
        <v/>
      </c>
      <c r="F2965" t="str">
        <f>+IFERROR(VLOOKUP(Fact_Administrativa[[#This Row], 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ht="18.75" customHeight="1" x14ac:dyDescent="0.35">
      <c r="C2966" s="100" t="str">
        <f>IF(OR(Fact_Administrativa[[#This Row], [Año]]="",Fact_Administrativa[[#This Row], [Mes]]=""),"",DATE(A2966,MATCH(B2966,{"enero","febrero","marzo","abril","mayo","junio","julio","agosto","septiembre","octubre","noviembre","diciembre"},0)+1,0))</f>
        <v/>
      </c>
      <c r="E2966" t="str">
        <f>+IFERROR(VLOOKUP(Fact_Administrativa[[#This Row], [Concepto Anterior]],Conceptos_Administrativa[#All],5,0),"")</f>
        <v/>
      </c>
      <c r="F2966" t="str">
        <f>+IFERROR(VLOOKUP(Fact_Administrativa[[#This Row], 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ht="18.75" customHeight="1" x14ac:dyDescent="0.35">
      <c r="C2967" s="100" t="str">
        <f>IF(OR(Fact_Administrativa[[#This Row], [Año]]="",Fact_Administrativa[[#This Row], [Mes]]=""),"",DATE(A2967,MATCH(B2967,{"enero","febrero","marzo","abril","mayo","junio","julio","agosto","septiembre","octubre","noviembre","diciembre"},0)+1,0))</f>
        <v/>
      </c>
      <c r="E2967" t="str">
        <f>+IFERROR(VLOOKUP(Fact_Administrativa[[#This Row], [Concepto Anterior]],Conceptos_Administrativa[#All],5,0),"")</f>
        <v/>
      </c>
      <c r="F2967" t="str">
        <f>+IFERROR(VLOOKUP(Fact_Administrativa[[#This Row], 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ht="18.75" customHeight="1" x14ac:dyDescent="0.35">
      <c r="C2968" s="100" t="str">
        <f>IF(OR(Fact_Administrativa[[#This Row], [Año]]="",Fact_Administrativa[[#This Row], [Mes]]=""),"",DATE(A2968,MATCH(B2968,{"enero","febrero","marzo","abril","mayo","junio","julio","agosto","septiembre","octubre","noviembre","diciembre"},0)+1,0))</f>
        <v/>
      </c>
      <c r="E2968" t="str">
        <f>+IFERROR(VLOOKUP(Fact_Administrativa[[#This Row], [Concepto Anterior]],Conceptos_Administrativa[#All],5,0),"")</f>
        <v/>
      </c>
      <c r="F2968" t="str">
        <f>+IFERROR(VLOOKUP(Fact_Administrativa[[#This Row], 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ht="18.75" customHeight="1" x14ac:dyDescent="0.35">
      <c r="C2969" s="100" t="str">
        <f>IF(OR(Fact_Administrativa[[#This Row], [Año]]="",Fact_Administrativa[[#This Row], [Mes]]=""),"",DATE(A2969,MATCH(B2969,{"enero","febrero","marzo","abril","mayo","junio","julio","agosto","septiembre","octubre","noviembre","diciembre"},0)+1,0))</f>
        <v/>
      </c>
      <c r="E2969" t="str">
        <f>+IFERROR(VLOOKUP(Fact_Administrativa[[#This Row], [Concepto Anterior]],Conceptos_Administrativa[#All],5,0),"")</f>
        <v/>
      </c>
      <c r="F2969" t="str">
        <f>+IFERROR(VLOOKUP(Fact_Administrativa[[#This Row], 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ht="18.75" customHeight="1" x14ac:dyDescent="0.35">
      <c r="C2970" s="100" t="str">
        <f>IF(OR(Fact_Administrativa[[#This Row], [Año]]="",Fact_Administrativa[[#This Row], [Mes]]=""),"",DATE(A2970,MATCH(B2970,{"enero","febrero","marzo","abril","mayo","junio","julio","agosto","septiembre","octubre","noviembre","diciembre"},0)+1,0))</f>
        <v/>
      </c>
      <c r="E2970" t="str">
        <f>+IFERROR(VLOOKUP(Fact_Administrativa[[#This Row], [Concepto Anterior]],Conceptos_Administrativa[#All],5,0),"")</f>
        <v/>
      </c>
      <c r="F2970" t="str">
        <f>+IFERROR(VLOOKUP(Fact_Administrativa[[#This Row], 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ht="18.75" customHeight="1" x14ac:dyDescent="0.35">
      <c r="C2971" s="100" t="str">
        <f>IF(OR(Fact_Administrativa[[#This Row], [Año]]="",Fact_Administrativa[[#This Row], [Mes]]=""),"",DATE(A2971,MATCH(B2971,{"enero","febrero","marzo","abril","mayo","junio","julio","agosto","septiembre","octubre","noviembre","diciembre"},0)+1,0))</f>
        <v/>
      </c>
      <c r="E2971" t="str">
        <f>+IFERROR(VLOOKUP(Fact_Administrativa[[#This Row], [Concepto Anterior]],Conceptos_Administrativa[#All],5,0),"")</f>
        <v/>
      </c>
      <c r="F2971" t="str">
        <f>+IFERROR(VLOOKUP(Fact_Administrativa[[#This Row], 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ht="18.75" customHeight="1" x14ac:dyDescent="0.35">
      <c r="C2972" s="100" t="str">
        <f>IF(OR(Fact_Administrativa[[#This Row], [Año]]="",Fact_Administrativa[[#This Row], [Mes]]=""),"",DATE(A2972,MATCH(B2972,{"enero","febrero","marzo","abril","mayo","junio","julio","agosto","septiembre","octubre","noviembre","diciembre"},0)+1,0))</f>
        <v/>
      </c>
      <c r="E2972" t="str">
        <f>+IFERROR(VLOOKUP(Fact_Administrativa[[#This Row], [Concepto Anterior]],Conceptos_Administrativa[#All],5,0),"")</f>
        <v/>
      </c>
      <c r="F2972" t="str">
        <f>+IFERROR(VLOOKUP(Fact_Administrativa[[#This Row], 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ht="18.75" customHeight="1" x14ac:dyDescent="0.35">
      <c r="C2973" s="100" t="str">
        <f>IF(OR(Fact_Administrativa[[#This Row], [Año]]="",Fact_Administrativa[[#This Row], [Mes]]=""),"",DATE(A2973,MATCH(B2973,{"enero","febrero","marzo","abril","mayo","junio","julio","agosto","septiembre","octubre","noviembre","diciembre"},0)+1,0))</f>
        <v/>
      </c>
      <c r="E2973" t="str">
        <f>+IFERROR(VLOOKUP(Fact_Administrativa[[#This Row], [Concepto Anterior]],Conceptos_Administrativa[#All],5,0),"")</f>
        <v/>
      </c>
      <c r="F2973" t="str">
        <f>+IFERROR(VLOOKUP(Fact_Administrativa[[#This Row], 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ht="18.75" customHeight="1" x14ac:dyDescent="0.35">
      <c r="C2974" s="100" t="str">
        <f>IF(OR(Fact_Administrativa[[#This Row], [Año]]="",Fact_Administrativa[[#This Row], [Mes]]=""),"",DATE(A2974,MATCH(B2974,{"enero","febrero","marzo","abril","mayo","junio","julio","agosto","septiembre","octubre","noviembre","diciembre"},0)+1,0))</f>
        <v/>
      </c>
      <c r="E2974" t="str">
        <f>+IFERROR(VLOOKUP(Fact_Administrativa[[#This Row], [Concepto Anterior]],Conceptos_Administrativa[#All],5,0),"")</f>
        <v/>
      </c>
      <c r="F2974" t="str">
        <f>+IFERROR(VLOOKUP(Fact_Administrativa[[#This Row], 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ht="18.75" customHeight="1" x14ac:dyDescent="0.35">
      <c r="C2975" s="100" t="str">
        <f>IF(OR(Fact_Administrativa[[#This Row], [Año]]="",Fact_Administrativa[[#This Row], [Mes]]=""),"",DATE(A2975,MATCH(B2975,{"enero","febrero","marzo","abril","mayo","junio","julio","agosto","septiembre","octubre","noviembre","diciembre"},0)+1,0))</f>
        <v/>
      </c>
      <c r="E2975" t="str">
        <f>+IFERROR(VLOOKUP(Fact_Administrativa[[#This Row], [Concepto Anterior]],Conceptos_Administrativa[#All],5,0),"")</f>
        <v/>
      </c>
      <c r="F2975" t="str">
        <f>+IFERROR(VLOOKUP(Fact_Administrativa[[#This Row], 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ht="18.75" customHeight="1" x14ac:dyDescent="0.35">
      <c r="C2976" s="100" t="str">
        <f>IF(OR(Fact_Administrativa[[#This Row], [Año]]="",Fact_Administrativa[[#This Row], [Mes]]=""),"",DATE(A2976,MATCH(B2976,{"enero","febrero","marzo","abril","mayo","junio","julio","agosto","septiembre","octubre","noviembre","diciembre"},0)+1,0))</f>
        <v/>
      </c>
      <c r="E2976" t="str">
        <f>+IFERROR(VLOOKUP(Fact_Administrativa[[#This Row], [Concepto Anterior]],Conceptos_Administrativa[#All],5,0),"")</f>
        <v/>
      </c>
      <c r="F2976" t="str">
        <f>+IFERROR(VLOOKUP(Fact_Administrativa[[#This Row], 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ht="18.75" customHeight="1" x14ac:dyDescent="0.35">
      <c r="C2977" s="100" t="str">
        <f>IF(OR(Fact_Administrativa[[#This Row], [Año]]="",Fact_Administrativa[[#This Row], [Mes]]=""),"",DATE(A2977,MATCH(B2977,{"enero","febrero","marzo","abril","mayo","junio","julio","agosto","septiembre","octubre","noviembre","diciembre"},0)+1,0))</f>
        <v/>
      </c>
      <c r="E2977" t="str">
        <f>+IFERROR(VLOOKUP(Fact_Administrativa[[#This Row], [Concepto Anterior]],Conceptos_Administrativa[#All],5,0),"")</f>
        <v/>
      </c>
      <c r="F2977" t="str">
        <f>+IFERROR(VLOOKUP(Fact_Administrativa[[#This Row], 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ht="18.75" customHeight="1" x14ac:dyDescent="0.35">
      <c r="C2978" s="100" t="str">
        <f>IF(OR(Fact_Administrativa[[#This Row], [Año]]="",Fact_Administrativa[[#This Row], [Mes]]=""),"",DATE(A2978,MATCH(B2978,{"enero","febrero","marzo","abril","mayo","junio","julio","agosto","septiembre","octubre","noviembre","diciembre"},0)+1,0))</f>
        <v/>
      </c>
      <c r="E2978" t="str">
        <f>+IFERROR(VLOOKUP(Fact_Administrativa[[#This Row], [Concepto Anterior]],Conceptos_Administrativa[#All],5,0),"")</f>
        <v/>
      </c>
      <c r="F2978" t="str">
        <f>+IFERROR(VLOOKUP(Fact_Administrativa[[#This Row], 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ht="18.75" customHeight="1" x14ac:dyDescent="0.35">
      <c r="C2979" s="100" t="str">
        <f>IF(OR(Fact_Administrativa[[#This Row], [Año]]="",Fact_Administrativa[[#This Row], [Mes]]=""),"",DATE(A2979,MATCH(B2979,{"enero","febrero","marzo","abril","mayo","junio","julio","agosto","septiembre","octubre","noviembre","diciembre"},0)+1,0))</f>
        <v/>
      </c>
      <c r="E2979" t="str">
        <f>+IFERROR(VLOOKUP(Fact_Administrativa[[#This Row], [Concepto Anterior]],Conceptos_Administrativa[#All],5,0),"")</f>
        <v/>
      </c>
      <c r="F2979" t="str">
        <f>+IFERROR(VLOOKUP(Fact_Administrativa[[#This Row], 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ht="18.75" customHeight="1" x14ac:dyDescent="0.35">
      <c r="C2980" s="100" t="str">
        <f>IF(OR(Fact_Administrativa[[#This Row], [Año]]="",Fact_Administrativa[[#This Row], [Mes]]=""),"",DATE(A2980,MATCH(B2980,{"enero","febrero","marzo","abril","mayo","junio","julio","agosto","septiembre","octubre","noviembre","diciembre"},0)+1,0))</f>
        <v/>
      </c>
      <c r="E2980" t="str">
        <f>+IFERROR(VLOOKUP(Fact_Administrativa[[#This Row], [Concepto Anterior]],Conceptos_Administrativa[#All],5,0),"")</f>
        <v/>
      </c>
      <c r="F2980" t="str">
        <f>+IFERROR(VLOOKUP(Fact_Administrativa[[#This Row], 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ht="18.75" customHeight="1" x14ac:dyDescent="0.35">
      <c r="C2981" s="100" t="str">
        <f>IF(OR(Fact_Administrativa[[#This Row], [Año]]="",Fact_Administrativa[[#This Row], [Mes]]=""),"",DATE(A2981,MATCH(B2981,{"enero","febrero","marzo","abril","mayo","junio","julio","agosto","septiembre","octubre","noviembre","diciembre"},0)+1,0))</f>
        <v/>
      </c>
      <c r="E2981" t="str">
        <f>+IFERROR(VLOOKUP(Fact_Administrativa[[#This Row], [Concepto Anterior]],Conceptos_Administrativa[#All],5,0),"")</f>
        <v/>
      </c>
      <c r="F2981" t="str">
        <f>+IFERROR(VLOOKUP(Fact_Administrativa[[#This Row], 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ht="18.75" customHeight="1" x14ac:dyDescent="0.35">
      <c r="C2982" s="100" t="str">
        <f>IF(OR(Fact_Administrativa[[#This Row], [Año]]="",Fact_Administrativa[[#This Row], [Mes]]=""),"",DATE(A2982,MATCH(B2982,{"enero","febrero","marzo","abril","mayo","junio","julio","agosto","septiembre","octubre","noviembre","diciembre"},0)+1,0))</f>
        <v/>
      </c>
      <c r="E2982" t="str">
        <f>+IFERROR(VLOOKUP(Fact_Administrativa[[#This Row], [Concepto Anterior]],Conceptos_Administrativa[#All],5,0),"")</f>
        <v/>
      </c>
      <c r="F2982" t="str">
        <f>+IFERROR(VLOOKUP(Fact_Administrativa[[#This Row], 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ht="18.75" customHeight="1" x14ac:dyDescent="0.35">
      <c r="C2983" s="100" t="str">
        <f>IF(OR(Fact_Administrativa[[#This Row], [Año]]="",Fact_Administrativa[[#This Row], [Mes]]=""),"",DATE(A2983,MATCH(B2983,{"enero","febrero","marzo","abril","mayo","junio","julio","agosto","septiembre","octubre","noviembre","diciembre"},0)+1,0))</f>
        <v/>
      </c>
      <c r="E2983" t="str">
        <f>+IFERROR(VLOOKUP(Fact_Administrativa[[#This Row], [Concepto Anterior]],Conceptos_Administrativa[#All],5,0),"")</f>
        <v/>
      </c>
      <c r="F2983" t="str">
        <f>+IFERROR(VLOOKUP(Fact_Administrativa[[#This Row], 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ht="18.75" customHeight="1" x14ac:dyDescent="0.35">
      <c r="C2984" s="100" t="str">
        <f>IF(OR(Fact_Administrativa[[#This Row], [Año]]="",Fact_Administrativa[[#This Row], [Mes]]=""),"",DATE(A2984,MATCH(B2984,{"enero","febrero","marzo","abril","mayo","junio","julio","agosto","septiembre","octubre","noviembre","diciembre"},0)+1,0))</f>
        <v/>
      </c>
      <c r="E2984" t="str">
        <f>+IFERROR(VLOOKUP(Fact_Administrativa[[#This Row], [Concepto Anterior]],Conceptos_Administrativa[#All],5,0),"")</f>
        <v/>
      </c>
      <c r="F2984" t="str">
        <f>+IFERROR(VLOOKUP(Fact_Administrativa[[#This Row], 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ht="18.75" customHeight="1" x14ac:dyDescent="0.35">
      <c r="C2985" s="100" t="str">
        <f>IF(OR(Fact_Administrativa[[#This Row], [Año]]="",Fact_Administrativa[[#This Row], [Mes]]=""),"",DATE(A2985,MATCH(B2985,{"enero","febrero","marzo","abril","mayo","junio","julio","agosto","septiembre","octubre","noviembre","diciembre"},0)+1,0))</f>
        <v/>
      </c>
      <c r="E2985" t="str">
        <f>+IFERROR(VLOOKUP(Fact_Administrativa[[#This Row], [Concepto Anterior]],Conceptos_Administrativa[#All],5,0),"")</f>
        <v/>
      </c>
      <c r="F2985" t="str">
        <f>+IFERROR(VLOOKUP(Fact_Administrativa[[#This Row], 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ht="18.75" customHeight="1" x14ac:dyDescent="0.35">
      <c r="C2986" s="100" t="str">
        <f>IF(OR(Fact_Administrativa[[#This Row], [Año]]="",Fact_Administrativa[[#This Row], [Mes]]=""),"",DATE(A2986,MATCH(B2986,{"enero","febrero","marzo","abril","mayo","junio","julio","agosto","septiembre","octubre","noviembre","diciembre"},0)+1,0))</f>
        <v/>
      </c>
      <c r="E2986" t="str">
        <f>+IFERROR(VLOOKUP(Fact_Administrativa[[#This Row], [Concepto Anterior]],Conceptos_Administrativa[#All],5,0),"")</f>
        <v/>
      </c>
      <c r="F2986" t="str">
        <f>+IFERROR(VLOOKUP(Fact_Administrativa[[#This Row], 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ht="18.75" customHeight="1" x14ac:dyDescent="0.35">
      <c r="C2987" s="100" t="str">
        <f>IF(OR(Fact_Administrativa[[#This Row], [Año]]="",Fact_Administrativa[[#This Row], [Mes]]=""),"",DATE(A2987,MATCH(B2987,{"enero","febrero","marzo","abril","mayo","junio","julio","agosto","septiembre","octubre","noviembre","diciembre"},0)+1,0))</f>
        <v/>
      </c>
      <c r="E2987" t="str">
        <f>+IFERROR(VLOOKUP(Fact_Administrativa[[#This Row], [Concepto Anterior]],Conceptos_Administrativa[#All],5,0),"")</f>
        <v/>
      </c>
      <c r="F2987" t="str">
        <f>+IFERROR(VLOOKUP(Fact_Administrativa[[#This Row], 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ht="18.75" customHeight="1" x14ac:dyDescent="0.35">
      <c r="C2988" s="100" t="str">
        <f>IF(OR(Fact_Administrativa[[#This Row], [Año]]="",Fact_Administrativa[[#This Row], [Mes]]=""),"",DATE(A2988,MATCH(B2988,{"enero","febrero","marzo","abril","mayo","junio","julio","agosto","septiembre","octubre","noviembre","diciembre"},0)+1,0))</f>
        <v/>
      </c>
      <c r="E2988" t="str">
        <f>+IFERROR(VLOOKUP(Fact_Administrativa[[#This Row], [Concepto Anterior]],Conceptos_Administrativa[#All],5,0),"")</f>
        <v/>
      </c>
      <c r="F2988" t="str">
        <f>+IFERROR(VLOOKUP(Fact_Administrativa[[#This Row], 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ht="18.75" customHeight="1" x14ac:dyDescent="0.35">
      <c r="C2989" s="100" t="str">
        <f>IF(OR(Fact_Administrativa[[#This Row], [Año]]="",Fact_Administrativa[[#This Row], [Mes]]=""),"",DATE(A2989,MATCH(B2989,{"enero","febrero","marzo","abril","mayo","junio","julio","agosto","septiembre","octubre","noviembre","diciembre"},0)+1,0))</f>
        <v/>
      </c>
      <c r="E2989" t="str">
        <f>+IFERROR(VLOOKUP(Fact_Administrativa[[#This Row], [Concepto Anterior]],Conceptos_Administrativa[#All],5,0),"")</f>
        <v/>
      </c>
      <c r="F2989" t="str">
        <f>+IFERROR(VLOOKUP(Fact_Administrativa[[#This Row], 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ht="18.75" customHeight="1" x14ac:dyDescent="0.35">
      <c r="C2990" s="100" t="str">
        <f>IF(OR(Fact_Administrativa[[#This Row], [Año]]="",Fact_Administrativa[[#This Row], [Mes]]=""),"",DATE(A2990,MATCH(B2990,{"enero","febrero","marzo","abril","mayo","junio","julio","agosto","septiembre","octubre","noviembre","diciembre"},0)+1,0))</f>
        <v/>
      </c>
      <c r="E2990" t="str">
        <f>+IFERROR(VLOOKUP(Fact_Administrativa[[#This Row], [Concepto Anterior]],Conceptos_Administrativa[#All],5,0),"")</f>
        <v/>
      </c>
      <c r="F2990" t="str">
        <f>+IFERROR(VLOOKUP(Fact_Administrativa[[#This Row], 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ht="18.75" customHeight="1" x14ac:dyDescent="0.35">
      <c r="C2991" s="100" t="str">
        <f>IF(OR(Fact_Administrativa[[#This Row], [Año]]="",Fact_Administrativa[[#This Row], [Mes]]=""),"",DATE(A2991,MATCH(B2991,{"enero","febrero","marzo","abril","mayo","junio","julio","agosto","septiembre","octubre","noviembre","diciembre"},0)+1,0))</f>
        <v/>
      </c>
      <c r="E2991" t="str">
        <f>+IFERROR(VLOOKUP(Fact_Administrativa[[#This Row], [Concepto Anterior]],Conceptos_Administrativa[#All],5,0),"")</f>
        <v/>
      </c>
      <c r="F2991" t="str">
        <f>+IFERROR(VLOOKUP(Fact_Administrativa[[#This Row], 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ht="18.75" customHeight="1" x14ac:dyDescent="0.35">
      <c r="C2992" s="100" t="str">
        <f>IF(OR(Fact_Administrativa[[#This Row], [Año]]="",Fact_Administrativa[[#This Row], [Mes]]=""),"",DATE(A2992,MATCH(B2992,{"enero","febrero","marzo","abril","mayo","junio","julio","agosto","septiembre","octubre","noviembre","diciembre"},0)+1,0))</f>
        <v/>
      </c>
      <c r="E2992" t="str">
        <f>+IFERROR(VLOOKUP(Fact_Administrativa[[#This Row], [Concepto Anterior]],Conceptos_Administrativa[#All],5,0),"")</f>
        <v/>
      </c>
      <c r="F2992" t="str">
        <f>+IFERROR(VLOOKUP(Fact_Administrativa[[#This Row], 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ht="18.75" customHeight="1" x14ac:dyDescent="0.35">
      <c r="C2993" s="100" t="str">
        <f>IF(OR(Fact_Administrativa[[#This Row], [Año]]="",Fact_Administrativa[[#This Row], [Mes]]=""),"",DATE(A2993,MATCH(B2993,{"enero","febrero","marzo","abril","mayo","junio","julio","agosto","septiembre","octubre","noviembre","diciembre"},0)+1,0))</f>
        <v/>
      </c>
      <c r="E2993" t="str">
        <f>+IFERROR(VLOOKUP(Fact_Administrativa[[#This Row], [Concepto Anterior]],Conceptos_Administrativa[#All],5,0),"")</f>
        <v/>
      </c>
      <c r="F2993" t="str">
        <f>+IFERROR(VLOOKUP(Fact_Administrativa[[#This Row], 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ht="18.75" customHeight="1" x14ac:dyDescent="0.35">
      <c r="C2994" s="100" t="str">
        <f>IF(OR(Fact_Administrativa[[#This Row], [Año]]="",Fact_Administrativa[[#This Row], [Mes]]=""),"",DATE(A2994,MATCH(B2994,{"enero","febrero","marzo","abril","mayo","junio","julio","agosto","septiembre","octubre","noviembre","diciembre"},0)+1,0))</f>
        <v/>
      </c>
      <c r="E2994" t="str">
        <f>+IFERROR(VLOOKUP(Fact_Administrativa[[#This Row], [Concepto Anterior]],Conceptos_Administrativa[#All],5,0),"")</f>
        <v/>
      </c>
      <c r="F2994" t="str">
        <f>+IFERROR(VLOOKUP(Fact_Administrativa[[#This Row], 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ht="18.75" customHeight="1" x14ac:dyDescent="0.35">
      <c r="C2995" s="100" t="str">
        <f>IF(OR(Fact_Administrativa[[#This Row], [Año]]="",Fact_Administrativa[[#This Row], [Mes]]=""),"",DATE(A2995,MATCH(B2995,{"enero","febrero","marzo","abril","mayo","junio","julio","agosto","septiembre","octubre","noviembre","diciembre"},0)+1,0))</f>
        <v/>
      </c>
      <c r="E2995" t="str">
        <f>+IFERROR(VLOOKUP(Fact_Administrativa[[#This Row], [Concepto Anterior]],Conceptos_Administrativa[#All],5,0),"")</f>
        <v/>
      </c>
      <c r="F2995" t="str">
        <f>+IFERROR(VLOOKUP(Fact_Administrativa[[#This Row], 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ht="18.75" customHeight="1" x14ac:dyDescent="0.35">
      <c r="C2996" s="100" t="str">
        <f>IF(OR(Fact_Administrativa[[#This Row], [Año]]="",Fact_Administrativa[[#This Row], [Mes]]=""),"",DATE(A2996,MATCH(B2996,{"enero","febrero","marzo","abril","mayo","junio","julio","agosto","septiembre","octubre","noviembre","diciembre"},0)+1,0))</f>
        <v/>
      </c>
      <c r="E2996" t="str">
        <f>+IFERROR(VLOOKUP(Fact_Administrativa[[#This Row], [Concepto Anterior]],Conceptos_Administrativa[#All],5,0),"")</f>
        <v/>
      </c>
      <c r="F2996" t="str">
        <f>+IFERROR(VLOOKUP(Fact_Administrativa[[#This Row], 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ht="18.75" customHeight="1" x14ac:dyDescent="0.35">
      <c r="C2997" s="100" t="str">
        <f>IF(OR(Fact_Administrativa[[#This Row], [Año]]="",Fact_Administrativa[[#This Row], [Mes]]=""),"",DATE(A2997,MATCH(B2997,{"enero","febrero","marzo","abril","mayo","junio","julio","agosto","septiembre","octubre","noviembre","diciembre"},0)+1,0))</f>
        <v/>
      </c>
      <c r="E2997" t="str">
        <f>+IFERROR(VLOOKUP(Fact_Administrativa[[#This Row], [Concepto Anterior]],Conceptos_Administrativa[#All],5,0),"")</f>
        <v/>
      </c>
      <c r="F2997" t="str">
        <f>+IFERROR(VLOOKUP(Fact_Administrativa[[#This Row], 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ht="18.75" customHeight="1" x14ac:dyDescent="0.35">
      <c r="C2998" s="100" t="str">
        <f>IF(OR(Fact_Administrativa[[#This Row], [Año]]="",Fact_Administrativa[[#This Row], [Mes]]=""),"",DATE(A2998,MATCH(B2998,{"enero","febrero","marzo","abril","mayo","junio","julio","agosto","septiembre","octubre","noviembre","diciembre"},0)+1,0))</f>
        <v/>
      </c>
      <c r="E2998" t="str">
        <f>+IFERROR(VLOOKUP(Fact_Administrativa[[#This Row], [Concepto Anterior]],Conceptos_Administrativa[#All],5,0),"")</f>
        <v/>
      </c>
      <c r="F2998" t="str">
        <f>+IFERROR(VLOOKUP(Fact_Administrativa[[#This Row], 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ht="18.75" customHeight="1" x14ac:dyDescent="0.35">
      <c r="C2999" s="100" t="str">
        <f>IF(OR(Fact_Administrativa[[#This Row], [Año]]="",Fact_Administrativa[[#This Row], [Mes]]=""),"",DATE(A2999,MATCH(B2999,{"enero","febrero","marzo","abril","mayo","junio","julio","agosto","septiembre","octubre","noviembre","diciembre"},0)+1,0))</f>
        <v/>
      </c>
      <c r="E2999" t="str">
        <f>+IFERROR(VLOOKUP(Fact_Administrativa[[#This Row], [Concepto Anterior]],Conceptos_Administrativa[#All],5,0),"")</f>
        <v/>
      </c>
      <c r="F2999" t="str">
        <f>+IFERROR(VLOOKUP(Fact_Administrativa[[#This Row], 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ht="18.75" customHeight="1" x14ac:dyDescent="0.35">
      <c r="C3000" s="100" t="str">
        <f>IF(OR(Fact_Administrativa[[#This Row], [Año]]="",Fact_Administrativa[[#This Row], [Mes]]=""),"",DATE(A3000,MATCH(B3000,{"enero","febrero","marzo","abril","mayo","junio","julio","agosto","septiembre","octubre","noviembre","diciembre"},0)+1,0))</f>
        <v/>
      </c>
      <c r="E3000" t="str">
        <f>+IFERROR(VLOOKUP(Fact_Administrativa[[#This Row], [Concepto Anterior]],Conceptos_Administrativa[#All],5,0),"")</f>
        <v/>
      </c>
      <c r="F3000" t="str">
        <f>+IFERROR(VLOOKUP(Fact_Administrativa[[#This Row], 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K3000"/>
  <sheetViews>
    <sheetView tabSelected="1"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style="87" bestFit="1" customWidth="1"/>
    <col min="3" max="3" width="15.453125" style="101" bestFit="1" customWidth="1"/>
    <col min="4" max="4" width="72.81640625" bestFit="1" customWidth="1"/>
    <col min="5" max="5" width="63.81640625" bestFit="1" customWidth="1"/>
    <col min="6" max="6" width="3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5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s="85" t="s">
        <v>171</v>
      </c>
      <c r="C2" s="100">
        <f>IF(OR(Fact_Analitica[[#This Row], [Año]]="",Fact_Analitica[[#This Row], [Mes]]=""),"",DATE(A2,MATCH(B2,{"enero","febrero","marzo","abril","mayo","junio","julio","agosto","septiembre","octubre","noviembre","diciembre"},0)+1,0))</f>
        <v>45322</v>
      </c>
      <c r="D2" t="s">
        <v>203</v>
      </c>
      <c r="E2" t="str">
        <f>+IFERROR(VLOOKUP(Fact_Analitica[[#This Row], [Concepto Anterior]],Conceptos_Analítica_contraloría[#All],5,0),"")</f>
        <v>Ajustes Inventarios Cíclico</v>
      </c>
      <c r="F2" t="str">
        <f ca="1">+IFERROR(VLOOKUP(Fact_Analitica[[#This Row], [Concepto Anterior]],Conceptos_Analítica_contraloría[#All],7,0),"")</f>
        <v/>
      </c>
      <c r="G2" t="s">
        <v>172</v>
      </c>
      <c r="H2" t="s">
        <v>172</v>
      </c>
      <c r="I2" t="str">
        <f>+IFERROR(VLOOKUP(D2,Conceptos_Analítica_contraloría[#All],2,0),"")</f>
        <v>Volumetria</v>
      </c>
      <c r="J2" s="84" t="str">
        <f>+IFERROR(VLOOKUP(D2,Conceptos_Analítica_contraloría[#All],3,0),"")</f>
        <v>Cantidad</v>
      </c>
      <c r="K2" s="93">
        <v>0</v>
      </c>
    </row>
    <row r="3" spans="1:11" ht="18.75" customHeight="1" x14ac:dyDescent="0.35">
      <c r="A3" s="93">
        <v>2024</v>
      </c>
      <c r="B3" s="85" t="s">
        <v>171</v>
      </c>
      <c r="C3" s="100">
        <f>IF(OR(Fact_Analitica[[#This Row], [Año]]="",Fact_Analitica[[#This Row], [Mes]]=""),"",DATE(A3,MATCH(B3,{"enero","febrero","marzo","abril","mayo","junio","julio","agosto","septiembre","octubre","noviembre","diciembre"},0)+1,0))</f>
        <v>45322</v>
      </c>
      <c r="D3" t="s">
        <v>60</v>
      </c>
      <c r="E3" t="str">
        <f>+IFERROR(VLOOKUP(Fact_Analitica[[#This Row], [Concepto Anterior]],Conceptos_Analítica_contraloría[#All],5,0),"")</f>
        <v>Ajustes sobrevaloración acumulada de inventarios "Unified"</v>
      </c>
      <c r="F3" t="str">
        <f ca="1">+IFERROR(VLOOKUP(Fact_Analitica[[#This Row], [Concepto Anterior]],Conceptos_Analítica_contraloría[#All],7,0),"")</f>
        <v/>
      </c>
      <c r="G3" t="s">
        <v>172</v>
      </c>
      <c r="H3" t="s">
        <v>172</v>
      </c>
      <c r="I3" t="str">
        <f>+IFERROR(VLOOKUP(D3,Conceptos_Analítica_contraloría[#All],2,0),"")</f>
        <v>Eficiencia</v>
      </c>
      <c r="J3" s="84" t="str">
        <f>+IFERROR(VLOOKUP(D3,Conceptos_Analítica_contraloría[#All],3,0),"")</f>
        <v>Pesos</v>
      </c>
      <c r="K3" s="93">
        <v>0</v>
      </c>
    </row>
    <row r="4" spans="1:11" ht="18.75" customHeight="1" x14ac:dyDescent="0.35">
      <c r="A4" s="93">
        <v>2024</v>
      </c>
      <c r="B4" s="85" t="s">
        <v>171</v>
      </c>
      <c r="C4" s="100">
        <f>IF(OR(Fact_Analitica[[#This Row], [Año]]="",Fact_Analitica[[#This Row], [Mes]]=""),"",DATE(A4,MATCH(B4,{"enero","febrero","marzo","abril","mayo","junio","julio","agosto","septiembre","octubre","noviembre","diciembre"},0)+1,0))</f>
        <v>45322</v>
      </c>
      <c r="D4" t="s">
        <v>62</v>
      </c>
      <c r="E4" t="str">
        <f>+IFERROR(VLOOKUP(Fact_Analitica[[#This Row], [Concepto Anterior]],Conceptos_Analítica_contraloría[#All],5,0),"")</f>
        <v>Automatizaciones descarga y reconversión archivos stock España Mango</v>
      </c>
      <c r="F4" t="str">
        <f ca="1">+IFERROR(VLOOKUP(Fact_Analitica[[#This Row], [Concepto Anterior]],Conceptos_Analítica_contraloría[#All],7,0),"")</f>
        <v/>
      </c>
      <c r="G4" t="s">
        <v>172</v>
      </c>
      <c r="H4" t="s">
        <v>172</v>
      </c>
      <c r="I4" t="str">
        <f>+IFERROR(VLOOKUP(D4,Conceptos_Analítica_contraloría[#All],2,0),"")</f>
        <v>Volumetria</v>
      </c>
      <c r="J4" s="84" t="str">
        <f>+IFERROR(VLOOKUP(D4,Conceptos_Analítica_contraloría[#All],3,0),"")</f>
        <v>Cantidad</v>
      </c>
      <c r="K4" s="93">
        <v>0</v>
      </c>
    </row>
    <row r="5" spans="1:11" ht="18.75" customHeight="1" x14ac:dyDescent="0.35">
      <c r="A5" s="93">
        <v>2024</v>
      </c>
      <c r="B5" s="85" t="s">
        <v>171</v>
      </c>
      <c r="C5" s="100">
        <f>IF(OR(Fact_Analitica[[#This Row], [Año]]="",Fact_Analitica[[#This Row], [Mes]]=""),"",DATE(A5,MATCH(B5,{"enero","febrero","marzo","abril","mayo","junio","julio","agosto","septiembre","octubre","noviembre","diciembre"},0)+1,0))</f>
        <v>45322</v>
      </c>
      <c r="D5" t="s">
        <v>66</v>
      </c>
      <c r="E5" t="str">
        <f>+IFERROR(VLOOKUP(Fact_Analitica[[#This Row], [Concepto Anterior]],Conceptos_Analítica_contraloría[#All],5,0),"")</f>
        <v>Cantidad de registros (consecutivos) a conciliar (Facturas 94%, otros movimientos 6%)</v>
      </c>
      <c r="F5" t="str">
        <f ca="1">+IFERROR(VLOOKUP(Fact_Analitica[[#This Row], [Concepto Anterior]],Conceptos_Analítica_contraloría[#All],7,0),"")</f>
        <v/>
      </c>
      <c r="G5" t="s">
        <v>172</v>
      </c>
      <c r="H5" t="s">
        <v>172</v>
      </c>
      <c r="I5" t="str">
        <f>+IFERROR(VLOOKUP(D5,Conceptos_Analítica_contraloría[#All],2,0),"")</f>
        <v>Volumetria</v>
      </c>
      <c r="J5" s="84" t="str">
        <f>+IFERROR(VLOOKUP(D5,Conceptos_Analítica_contraloría[#All],3,0),"")</f>
        <v>Cantidad</v>
      </c>
      <c r="K5" s="93">
        <v>0</v>
      </c>
    </row>
    <row r="6" spans="1:11" ht="18.75" customHeight="1" x14ac:dyDescent="0.35">
      <c r="A6" s="93">
        <v>2024</v>
      </c>
      <c r="B6" s="85" t="s">
        <v>171</v>
      </c>
      <c r="C6" s="100">
        <f>IF(OR(Fact_Analitica[[#This Row], [Año]]="",Fact_Analitica[[#This Row], [Mes]]=""),"",DATE(A6,MATCH(B6,{"enero","febrero","marzo","abril","mayo","junio","julio","agosto","septiembre","octubre","noviembre","diciembre"},0)+1,0))</f>
        <v>45322</v>
      </c>
      <c r="D6" t="s">
        <v>67</v>
      </c>
      <c r="E6" t="str">
        <f>+IFERROR(VLOOKUP(Fact_Analitica[[#This Row], [Concepto Anterior]],Conceptos_Analítica_contraloría[#All],5,0),"")</f>
        <v>Cantidad de unds a conciliar</v>
      </c>
      <c r="F6" t="str">
        <f ca="1">+IFERROR(VLOOKUP(Fact_Analitica[[#This Row], [Concepto Anterior]],Conceptos_Analítica_contraloría[#All],7,0),"")</f>
        <v/>
      </c>
      <c r="G6" t="s">
        <v>172</v>
      </c>
      <c r="H6" t="s">
        <v>172</v>
      </c>
      <c r="I6" t="str">
        <f>+IFERROR(VLOOKUP(D6,Conceptos_Analítica_contraloría[#All],2,0),"")</f>
        <v>Volumetria</v>
      </c>
      <c r="J6" s="84" t="str">
        <f>+IFERROR(VLOOKUP(D6,Conceptos_Analítica_contraloría[#All],3,0),"")</f>
        <v>Cantidad</v>
      </c>
      <c r="K6" s="93">
        <v>0</v>
      </c>
    </row>
    <row r="7" spans="1:11" ht="18.75" customHeight="1" x14ac:dyDescent="0.35">
      <c r="A7" s="93">
        <v>2024</v>
      </c>
      <c r="B7" s="85" t="s">
        <v>171</v>
      </c>
      <c r="C7" s="100">
        <f>IF(OR(Fact_Analitica[[#This Row], [Año]]="",Fact_Analitica[[#This Row], [Mes]]=""),"",DATE(A7,MATCH(B7,{"enero","febrero","marzo","abril","mayo","junio","julio","agosto","septiembre","octubre","noviembre","diciembre"},0)+1,0))</f>
        <v>45322</v>
      </c>
      <c r="D7" t="s">
        <v>68</v>
      </c>
      <c r="E7" t="str">
        <f>+IFERROR(VLOOKUP(Fact_Analitica[[#This Row], [Concepto Anterior]],Conceptos_Analítica_contraloría[#All],5,0),"")</f>
        <v>Desatrase de facturación merma franquicias</v>
      </c>
      <c r="F7" t="str">
        <f ca="1">+IFERROR(VLOOKUP(Fact_Analitica[[#This Row], [Concepto Anterior]],Conceptos_Analítica_contraloría[#All],7,0),"")</f>
        <v/>
      </c>
      <c r="G7" t="s">
        <v>172</v>
      </c>
      <c r="H7" t="s">
        <v>172</v>
      </c>
      <c r="I7" t="str">
        <f>+IFERROR(VLOOKUP(D7,Conceptos_Analítica_contraloría[#All],2,0),"")</f>
        <v>Eficiencia</v>
      </c>
      <c r="J7" s="84" t="str">
        <f>+IFERROR(VLOOKUP(D7,Conceptos_Analítica_contraloría[#All],3,0),"")</f>
        <v>Pesos</v>
      </c>
      <c r="K7" s="93">
        <v>0</v>
      </c>
    </row>
    <row r="8" spans="1:11" ht="18.75" customHeight="1" x14ac:dyDescent="0.35">
      <c r="A8" s="93">
        <v>2024</v>
      </c>
      <c r="B8" s="85" t="s">
        <v>171</v>
      </c>
      <c r="C8" s="100">
        <f>IF(OR(Fact_Analitica[[#This Row], [Año]]="",Fact_Analitica[[#This Row], [Mes]]=""),"",DATE(A8,MATCH(B8,{"enero","febrero","marzo","abril","mayo","junio","julio","agosto","septiembre","octubre","noviembre","diciembre"},0)+1,0))</f>
        <v>45322</v>
      </c>
      <c r="D8" t="s">
        <v>64</v>
      </c>
      <c r="E8" t="str">
        <f>+IFERROR(VLOOKUP(Fact_Analitica[[#This Row], [Concepto Anterior]],Conceptos_Analítica_contraloría[#All],5,0),"")</f>
        <v>Puntos a conciliar</v>
      </c>
      <c r="F8" t="str">
        <f ca="1">+IFERROR(VLOOKUP(Fact_Analitica[[#This Row], [Concepto Anterior]],Conceptos_Analítica_contraloría[#All],7,0),"")</f>
        <v/>
      </c>
      <c r="G8" t="s">
        <v>172</v>
      </c>
      <c r="H8" t="s">
        <v>172</v>
      </c>
      <c r="I8" t="str">
        <f>+IFERROR(VLOOKUP(D8,Conceptos_Analítica_contraloría[#All],2,0),"")</f>
        <v>Volumetria</v>
      </c>
      <c r="J8" s="84" t="str">
        <f>+IFERROR(VLOOKUP(D8,Conceptos_Analítica_contraloría[#All],3,0),"")</f>
        <v>Cantidad</v>
      </c>
      <c r="K8" s="93">
        <v>0</v>
      </c>
    </row>
    <row r="9" spans="1:11" ht="18.75" customHeight="1" x14ac:dyDescent="0.35">
      <c r="A9" s="93">
        <v>2024</v>
      </c>
      <c r="B9" s="85" t="s">
        <v>171</v>
      </c>
      <c r="C9" s="100">
        <f>IF(OR(Fact_Analitica[[#This Row], [Año]]="",Fact_Analitica[[#This Row], [Mes]]=""),"",DATE(A9,MATCH(B9,{"enero","febrero","marzo","abril","mayo","junio","julio","agosto","septiembre","octubre","noviembre","diciembre"},0)+1,0))</f>
        <v>45322</v>
      </c>
      <c r="D9" t="s">
        <v>65</v>
      </c>
      <c r="E9" t="str">
        <f>+IFERROR(VLOOKUP(Fact_Analitica[[#This Row], [Concepto Anterior]],Conceptos_Analítica_contraloría[#All],5,0),"")</f>
        <v>Puntos x marca a conciliar</v>
      </c>
      <c r="F9" t="str">
        <f ca="1">+IFERROR(VLOOKUP(Fact_Analitica[[#This Row], [Concepto Anterior]],Conceptos_Analítica_contraloría[#All],7,0),"")</f>
        <v/>
      </c>
      <c r="G9" t="s">
        <v>172</v>
      </c>
      <c r="H9" t="s">
        <v>172</v>
      </c>
      <c r="I9" t="str">
        <f>+IFERROR(VLOOKUP(D9,Conceptos_Analítica_contraloría[#All],2,0),"")</f>
        <v>Volumetria</v>
      </c>
      <c r="J9" s="84" t="str">
        <f>+IFERROR(VLOOKUP(D9,Conceptos_Analítica_contraloría[#All],3,0),"")</f>
        <v>Cantidad</v>
      </c>
      <c r="K9" s="93">
        <v>0</v>
      </c>
    </row>
    <row r="10" spans="1:11" ht="18.75" customHeight="1" x14ac:dyDescent="0.35">
      <c r="A10" s="93">
        <v>2024</v>
      </c>
      <c r="B10" s="85" t="s">
        <v>171</v>
      </c>
      <c r="C10" s="100">
        <f>IF(OR(Fact_Analitica[[#This Row], [Año]]="",Fact_Analitica[[#This Row], [Mes]]=""),"",DATE(A10,MATCH(B10,{"enero","febrero","marzo","abril","mayo","junio","julio","agosto","septiembre","octubre","noviembre","diciembre"},0)+1,0))</f>
        <v>45322</v>
      </c>
      <c r="D10" t="s">
        <v>128</v>
      </c>
      <c r="E10" t="str">
        <f>+IFERROR(VLOOKUP(Fact_Analitica[[#This Row], [Concepto Anterior]],Conceptos_Analítica_contraloría[#All],5,0),"")</f>
        <v>Ajuste Costo Merma Desconocida - Tiendas y Grandes S.</v>
      </c>
      <c r="F10" t="str">
        <f ca="1">+IFERROR(VLOOKUP(Fact_Analitica[[#This Row], [Concepto Anterior]],Conceptos_Analítica_contraloría[#All],7,0),"")</f>
        <v/>
      </c>
      <c r="G10" t="s">
        <v>172</v>
      </c>
      <c r="H10" t="s">
        <v>172</v>
      </c>
      <c r="I10" t="str">
        <f>+IFERROR(VLOOKUP(D10,Conceptos_Analítica_contraloría[#All],2,0),"")</f>
        <v>Volumetria</v>
      </c>
      <c r="J10" s="84" t="str">
        <f>+IFERROR(VLOOKUP(D10,Conceptos_Analítica_contraloría[#All],3,0),"")</f>
        <v>Cantidad</v>
      </c>
      <c r="K10" s="93">
        <v>-65877111</v>
      </c>
    </row>
    <row r="11" spans="1:11" ht="18.75" customHeight="1" x14ac:dyDescent="0.35">
      <c r="A11" s="93">
        <v>2024</v>
      </c>
      <c r="B11" s="87" t="s">
        <v>174</v>
      </c>
      <c r="C11" s="100">
        <f>IF(OR(Fact_Analitica[[#This Row], [Año]]="",Fact_Analitica[[#This Row], [Mes]]=""),"",DATE(A11,MATCH(B11,{"enero","febrero","marzo","abril","mayo","junio","julio","agosto","septiembre","octubre","noviembre","diciembre"},0)+1,0))</f>
        <v>45351</v>
      </c>
      <c r="D11" t="s">
        <v>203</v>
      </c>
      <c r="E11" t="str">
        <f>+IFERROR(VLOOKUP(Fact_Analitica[[#This Row], [Concepto Anterior]],Conceptos_Analítica_contraloría[#All],5,0),"")</f>
        <v>Ajustes Inventarios Cíclico</v>
      </c>
      <c r="F11" t="str">
        <f ca="1">+IFERROR(VLOOKUP(Fact_Analitica[[#This Row], [Concepto Anterior]],Conceptos_Analítica_contraloría[#All],7,0),"")</f>
        <v/>
      </c>
      <c r="G11" t="s">
        <v>172</v>
      </c>
      <c r="H11" t="s">
        <v>172</v>
      </c>
      <c r="I11" t="str">
        <f>+IFERROR(VLOOKUP(D11,Conceptos_Analítica_contraloría[#All],2,0),"")</f>
        <v>Volumetria</v>
      </c>
      <c r="J11" s="84" t="str">
        <f>+IFERROR(VLOOKUP(D11,Conceptos_Analítica_contraloría[#All],3,0),"")</f>
        <v>Cantidad</v>
      </c>
      <c r="K11" s="93">
        <v>43</v>
      </c>
    </row>
    <row r="12" spans="1:11" ht="18.75" customHeight="1" x14ac:dyDescent="0.35">
      <c r="A12" s="93">
        <v>2024</v>
      </c>
      <c r="B12" s="87" t="s">
        <v>174</v>
      </c>
      <c r="C12" s="100">
        <f>IF(OR(Fact_Analitica[[#This Row], [Año]]="",Fact_Analitica[[#This Row], [Mes]]=""),"",DATE(A12,MATCH(B12,{"enero","febrero","marzo","abril","mayo","junio","julio","agosto","septiembre","octubre","noviembre","diciembre"},0)+1,0))</f>
        <v>45351</v>
      </c>
      <c r="D12" t="s">
        <v>60</v>
      </c>
      <c r="E12" t="str">
        <f>+IFERROR(VLOOKUP(Fact_Analitica[[#This Row], [Concepto Anterior]],Conceptos_Analítica_contraloría[#All],5,0),"")</f>
        <v>Ajustes sobrevaloración acumulada de inventarios "Unified"</v>
      </c>
      <c r="F12" t="str">
        <f ca="1">+IFERROR(VLOOKUP(Fact_Analitica[[#This Row], [Concepto Anterior]],Conceptos_Analítica_contraloría[#All],7,0),"")</f>
        <v/>
      </c>
      <c r="G12" t="s">
        <v>172</v>
      </c>
      <c r="H12" t="s">
        <v>172</v>
      </c>
      <c r="I12" t="str">
        <f>+IFERROR(VLOOKUP(D12,Conceptos_Analítica_contraloría[#All],2,0),"")</f>
        <v>Eficiencia</v>
      </c>
      <c r="J12" s="84" t="str">
        <f>+IFERROR(VLOOKUP(D12,Conceptos_Analítica_contraloría[#All],3,0),"")</f>
        <v>Pesos</v>
      </c>
      <c r="K12" s="93">
        <v>0</v>
      </c>
    </row>
    <row r="13" spans="1:11" ht="18.75" customHeight="1" x14ac:dyDescent="0.35">
      <c r="A13" s="93">
        <v>2024</v>
      </c>
      <c r="B13" s="87" t="s">
        <v>174</v>
      </c>
      <c r="C13" s="100">
        <f>IF(OR(Fact_Analitica[[#This Row], [Año]]="",Fact_Analitica[[#This Row], [Mes]]=""),"",DATE(A13,MATCH(B13,{"enero","febrero","marzo","abril","mayo","junio","julio","agosto","septiembre","octubre","noviembre","diciembre"},0)+1,0))</f>
        <v>45351</v>
      </c>
      <c r="D13" t="s">
        <v>62</v>
      </c>
      <c r="E13" t="str">
        <f>+IFERROR(VLOOKUP(Fact_Analitica[[#This Row], [Concepto Anterior]],Conceptos_Analítica_contraloría[#All],5,0),"")</f>
        <v>Automatizaciones descarga y reconversión archivos stock España Mango</v>
      </c>
      <c r="F13" t="str">
        <f ca="1">+IFERROR(VLOOKUP(Fact_Analitica[[#This Row], [Concepto Anterior]],Conceptos_Analítica_contraloría[#All],7,0),"")</f>
        <v/>
      </c>
      <c r="G13" t="s">
        <v>172</v>
      </c>
      <c r="H13" t="s">
        <v>172</v>
      </c>
      <c r="I13" t="str">
        <f>+IFERROR(VLOOKUP(D13,Conceptos_Analítica_contraloría[#All],2,0),"")</f>
        <v>Volumetria</v>
      </c>
      <c r="J13" s="84" t="str">
        <f>+IFERROR(VLOOKUP(D13,Conceptos_Analítica_contraloría[#All],3,0),"")</f>
        <v>Cantidad</v>
      </c>
      <c r="K13" s="93">
        <v>0</v>
      </c>
    </row>
    <row r="14" spans="1:11" ht="18.75" customHeight="1" x14ac:dyDescent="0.35">
      <c r="A14" s="93">
        <v>2024</v>
      </c>
      <c r="B14" s="87" t="s">
        <v>174</v>
      </c>
      <c r="C14" s="100">
        <f>IF(OR(Fact_Analitica[[#This Row], [Año]]="",Fact_Analitica[[#This Row], [Mes]]=""),"",DATE(A14,MATCH(B14,{"enero","febrero","marzo","abril","mayo","junio","julio","agosto","septiembre","octubre","noviembre","diciembre"},0)+1,0))</f>
        <v>45351</v>
      </c>
      <c r="D14" t="s">
        <v>66</v>
      </c>
      <c r="E14" t="str">
        <f>+IFERROR(VLOOKUP(Fact_Analitica[[#This Row], [Concepto Anterior]],Conceptos_Analítica_contraloría[#All],5,0),"")</f>
        <v>Cantidad de registros (consecutivos) a conciliar (Facturas 94%, otros movimientos 6%)</v>
      </c>
      <c r="F14" t="str">
        <f ca="1">+IFERROR(VLOOKUP(Fact_Analitica[[#This Row], [Concepto Anterior]],Conceptos_Analítica_contraloría[#All],7,0),"")</f>
        <v/>
      </c>
      <c r="G14" t="s">
        <v>172</v>
      </c>
      <c r="H14" t="s">
        <v>172</v>
      </c>
      <c r="I14" t="str">
        <f>+IFERROR(VLOOKUP(D14,Conceptos_Analítica_contraloría[#All],2,0),"")</f>
        <v>Volumetria</v>
      </c>
      <c r="J14" s="84" t="str">
        <f>+IFERROR(VLOOKUP(D14,Conceptos_Analítica_contraloría[#All],3,0),"")</f>
        <v>Cantidad</v>
      </c>
      <c r="K14" s="93">
        <v>0</v>
      </c>
    </row>
    <row r="15" spans="1:11" ht="18.75" customHeight="1" x14ac:dyDescent="0.35">
      <c r="A15" s="93">
        <v>2024</v>
      </c>
      <c r="B15" s="87" t="s">
        <v>174</v>
      </c>
      <c r="C15" s="100">
        <f>IF(OR(Fact_Analitica[[#This Row], [Año]]="",Fact_Analitica[[#This Row], [Mes]]=""),"",DATE(A15,MATCH(B15,{"enero","febrero","marzo","abril","mayo","junio","julio","agosto","septiembre","octubre","noviembre","diciembre"},0)+1,0))</f>
        <v>45351</v>
      </c>
      <c r="D15" t="s">
        <v>67</v>
      </c>
      <c r="E15" t="str">
        <f>+IFERROR(VLOOKUP(Fact_Analitica[[#This Row], [Concepto Anterior]],Conceptos_Analítica_contraloría[#All],5,0),"")</f>
        <v>Cantidad de unds a conciliar</v>
      </c>
      <c r="F15" t="str">
        <f ca="1">+IFERROR(VLOOKUP(Fact_Analitica[[#This Row], [Concepto Anterior]],Conceptos_Analítica_contraloría[#All],7,0),"")</f>
        <v/>
      </c>
      <c r="G15" t="s">
        <v>172</v>
      </c>
      <c r="H15" t="s">
        <v>172</v>
      </c>
      <c r="I15" t="str">
        <f>+IFERROR(VLOOKUP(D15,Conceptos_Analítica_contraloría[#All],2,0),"")</f>
        <v>Volumetria</v>
      </c>
      <c r="J15" s="84" t="str">
        <f>+IFERROR(VLOOKUP(D15,Conceptos_Analítica_contraloría[#All],3,0),"")</f>
        <v>Cantidad</v>
      </c>
      <c r="K15" s="93">
        <v>0</v>
      </c>
    </row>
    <row r="16" spans="1:11" ht="18.75" customHeight="1" x14ac:dyDescent="0.35">
      <c r="A16" s="93">
        <v>2024</v>
      </c>
      <c r="B16" s="87" t="s">
        <v>174</v>
      </c>
      <c r="C16" s="100">
        <f>IF(OR(Fact_Analitica[[#This Row], [Año]]="",Fact_Analitica[[#This Row], [Mes]]=""),"",DATE(A16,MATCH(B16,{"enero","febrero","marzo","abril","mayo","junio","julio","agosto","septiembre","octubre","noviembre","diciembre"},0)+1,0))</f>
        <v>45351</v>
      </c>
      <c r="D16" t="s">
        <v>68</v>
      </c>
      <c r="E16" t="str">
        <f>+IFERROR(VLOOKUP(Fact_Analitica[[#This Row], [Concepto Anterior]],Conceptos_Analítica_contraloría[#All],5,0),"")</f>
        <v>Desatrase de facturación merma franquicias</v>
      </c>
      <c r="F16" t="str">
        <f ca="1">+IFERROR(VLOOKUP(Fact_Analitica[[#This Row], [Concepto Anterior]],Conceptos_Analítica_contraloría[#All],7,0),"")</f>
        <v/>
      </c>
      <c r="G16" t="s">
        <v>172</v>
      </c>
      <c r="H16" t="s">
        <v>172</v>
      </c>
      <c r="I16" t="str">
        <f>+IFERROR(VLOOKUP(D16,Conceptos_Analítica_contraloría[#All],2,0),"")</f>
        <v>Eficiencia</v>
      </c>
      <c r="J16" s="84" t="str">
        <f>+IFERROR(VLOOKUP(D16,Conceptos_Analítica_contraloría[#All],3,0),"")</f>
        <v>Pesos</v>
      </c>
      <c r="K16" s="93">
        <v>0</v>
      </c>
    </row>
    <row r="17" spans="1:11" ht="18.75" customHeight="1" x14ac:dyDescent="0.35">
      <c r="A17" s="93">
        <v>2024</v>
      </c>
      <c r="B17" s="87" t="s">
        <v>174</v>
      </c>
      <c r="C17" s="100">
        <f>IF(OR(Fact_Analitica[[#This Row], [Año]]="",Fact_Analitica[[#This Row], [Mes]]=""),"",DATE(A17,MATCH(B17,{"enero","febrero","marzo","abril","mayo","junio","julio","agosto","septiembre","octubre","noviembre","diciembre"},0)+1,0))</f>
        <v>45351</v>
      </c>
      <c r="D17" t="s">
        <v>64</v>
      </c>
      <c r="E17" t="str">
        <f>+IFERROR(VLOOKUP(Fact_Analitica[[#This Row], [Concepto Anterior]],Conceptos_Analítica_contraloría[#All],5,0),"")</f>
        <v>Puntos a conciliar</v>
      </c>
      <c r="F17" t="str">
        <f ca="1">+IFERROR(VLOOKUP(Fact_Analitica[[#This Row], [Concepto Anterior]],Conceptos_Analítica_contraloría[#All],7,0),"")</f>
        <v/>
      </c>
      <c r="G17" t="s">
        <v>172</v>
      </c>
      <c r="H17" t="s">
        <v>172</v>
      </c>
      <c r="I17" t="str">
        <f>+IFERROR(VLOOKUP(D17,Conceptos_Analítica_contraloría[#All],2,0),"")</f>
        <v>Volumetria</v>
      </c>
      <c r="J17" s="84" t="str">
        <f>+IFERROR(VLOOKUP(D17,Conceptos_Analítica_contraloría[#All],3,0),"")</f>
        <v>Cantidad</v>
      </c>
      <c r="K17" s="93">
        <v>0</v>
      </c>
    </row>
    <row r="18" spans="1:11" ht="18.75" customHeight="1" x14ac:dyDescent="0.35">
      <c r="A18" s="93">
        <v>2024</v>
      </c>
      <c r="B18" s="87" t="s">
        <v>174</v>
      </c>
      <c r="C18" s="100">
        <f>IF(OR(Fact_Analitica[[#This Row], [Año]]="",Fact_Analitica[[#This Row], [Mes]]=""),"",DATE(A18,MATCH(B18,{"enero","febrero","marzo","abril","mayo","junio","julio","agosto","septiembre","octubre","noviembre","diciembre"},0)+1,0))</f>
        <v>45351</v>
      </c>
      <c r="D18" t="s">
        <v>65</v>
      </c>
      <c r="E18" t="str">
        <f>+IFERROR(VLOOKUP(Fact_Analitica[[#This Row], [Concepto Anterior]],Conceptos_Analítica_contraloría[#All],5,0),"")</f>
        <v>Puntos x marca a conciliar</v>
      </c>
      <c r="F18" t="str">
        <f ca="1">+IFERROR(VLOOKUP(Fact_Analitica[[#This Row], [Concepto Anterior]],Conceptos_Analítica_contraloría[#All],7,0),"")</f>
        <v/>
      </c>
      <c r="G18" t="s">
        <v>172</v>
      </c>
      <c r="H18" t="s">
        <v>172</v>
      </c>
      <c r="I18" t="str">
        <f>+IFERROR(VLOOKUP(D18,Conceptos_Analítica_contraloría[#All],2,0),"")</f>
        <v>Volumetria</v>
      </c>
      <c r="J18" s="84" t="str">
        <f>+IFERROR(VLOOKUP(D18,Conceptos_Analítica_contraloría[#All],3,0),"")</f>
        <v>Cantidad</v>
      </c>
      <c r="K18" s="93">
        <v>0</v>
      </c>
    </row>
    <row r="19" spans="1:11" ht="18.75" customHeight="1" x14ac:dyDescent="0.35">
      <c r="A19" s="93">
        <v>2024</v>
      </c>
      <c r="B19" s="87" t="s">
        <v>174</v>
      </c>
      <c r="C19" s="100">
        <f>IF(OR(Fact_Analitica[[#This Row], [Año]]="",Fact_Analitica[[#This Row], [Mes]]=""),"",DATE(A19,MATCH(B19,{"enero","febrero","marzo","abril","mayo","junio","julio","agosto","septiembre","octubre","noviembre","diciembre"},0)+1,0))</f>
        <v>45351</v>
      </c>
      <c r="D19" t="s">
        <v>128</v>
      </c>
      <c r="E19" t="str">
        <f>+IFERROR(VLOOKUP(Fact_Analitica[[#This Row], [Concepto Anterior]],Conceptos_Analítica_contraloría[#All],5,0),"")</f>
        <v>Ajuste Costo Merma Desconocida - Tiendas y Grandes S.</v>
      </c>
      <c r="F19" t="str">
        <f ca="1">+IFERROR(VLOOKUP(Fact_Analitica[[#This Row], [Concepto Anterior]],Conceptos_Analítica_contraloría[#All],7,0),"")</f>
        <v/>
      </c>
      <c r="G19" t="s">
        <v>172</v>
      </c>
      <c r="H19" t="s">
        <v>172</v>
      </c>
      <c r="I19" t="str">
        <f>+IFERROR(VLOOKUP(D19,Conceptos_Analítica_contraloría[#All],2,0),"")</f>
        <v>Volumetria</v>
      </c>
      <c r="J19" s="84" t="str">
        <f>+IFERROR(VLOOKUP(D19,Conceptos_Analítica_contraloría[#All],3,0),"")</f>
        <v>Cantidad</v>
      </c>
      <c r="K19" s="93">
        <v>-774238725</v>
      </c>
    </row>
    <row r="20" spans="1:11" ht="18.75" customHeight="1" x14ac:dyDescent="0.35">
      <c r="A20" s="93">
        <v>2024</v>
      </c>
      <c r="B20" s="87" t="s">
        <v>175</v>
      </c>
      <c r="C20" s="100">
        <f>IF(OR(Fact_Analitica[[#This Row], [Año]]="",Fact_Analitica[[#This Row], [Mes]]=""),"",DATE(A20,MATCH(B20,{"enero","febrero","marzo","abril","mayo","junio","julio","agosto","septiembre","octubre","noviembre","diciembre"},0)+1,0))</f>
        <v>45382</v>
      </c>
      <c r="D20" t="s">
        <v>203</v>
      </c>
      <c r="E20" t="str">
        <f>+IFERROR(VLOOKUP(Fact_Analitica[[#This Row], [Concepto Anterior]],Conceptos_Analítica_contraloría[#All],5,0),"")</f>
        <v>Ajustes Inventarios Cíclico</v>
      </c>
      <c r="F20" t="str">
        <f ca="1">+IFERROR(VLOOKUP(Fact_Analitica[[#This Row], [Concepto Anterior]],Conceptos_Analítica_contraloría[#All],7,0),"")</f>
        <v/>
      </c>
      <c r="G20" t="s">
        <v>172</v>
      </c>
      <c r="H20" t="s">
        <v>172</v>
      </c>
      <c r="I20" t="str">
        <f>+IFERROR(VLOOKUP(D20,Conceptos_Analítica_contraloría[#All],2,0),"")</f>
        <v>Volumetria</v>
      </c>
      <c r="J20" s="84" t="str">
        <f>+IFERROR(VLOOKUP(D20,Conceptos_Analítica_contraloría[#All],3,0),"")</f>
        <v>Cantidad</v>
      </c>
      <c r="K20" s="93">
        <v>41</v>
      </c>
    </row>
    <row r="21" spans="1:11" ht="18.75" customHeight="1" x14ac:dyDescent="0.35">
      <c r="A21" s="93">
        <v>2024</v>
      </c>
      <c r="B21" s="87" t="s">
        <v>175</v>
      </c>
      <c r="C21" s="100">
        <f>IF(OR(Fact_Analitica[[#This Row], [Año]]="",Fact_Analitica[[#This Row], [Mes]]=""),"",DATE(A21,MATCH(B21,{"enero","febrero","marzo","abril","mayo","junio","julio","agosto","septiembre","octubre","noviembre","diciembre"},0)+1,0))</f>
        <v>45382</v>
      </c>
      <c r="D21" t="s">
        <v>60</v>
      </c>
      <c r="E21" t="str">
        <f>+IFERROR(VLOOKUP(Fact_Analitica[[#This Row], [Concepto Anterior]],Conceptos_Analítica_contraloría[#All],5,0),"")</f>
        <v>Ajustes sobrevaloración acumulada de inventarios "Unified"</v>
      </c>
      <c r="F21" t="str">
        <f ca="1">+IFERROR(VLOOKUP(Fact_Analitica[[#This Row], [Concepto Anterior]],Conceptos_Analítica_contraloría[#All],7,0),"")</f>
        <v/>
      </c>
      <c r="G21" t="s">
        <v>172</v>
      </c>
      <c r="H21" t="s">
        <v>172</v>
      </c>
      <c r="I21" t="str">
        <f>+IFERROR(VLOOKUP(D21,Conceptos_Analítica_contraloría[#All],2,0),"")</f>
        <v>Eficiencia</v>
      </c>
      <c r="J21" s="84" t="str">
        <f>+IFERROR(VLOOKUP(D21,Conceptos_Analítica_contraloría[#All],3,0),"")</f>
        <v>Pesos</v>
      </c>
      <c r="K21" s="93">
        <v>0</v>
      </c>
    </row>
    <row r="22" spans="1:11" ht="18.75" customHeight="1" x14ac:dyDescent="0.35">
      <c r="A22" s="93">
        <v>2024</v>
      </c>
      <c r="B22" s="87" t="s">
        <v>175</v>
      </c>
      <c r="C22" s="100">
        <f>IF(OR(Fact_Analitica[[#This Row], [Año]]="",Fact_Analitica[[#This Row], [Mes]]=""),"",DATE(A22,MATCH(B22,{"enero","febrero","marzo","abril","mayo","junio","julio","agosto","septiembre","octubre","noviembre","diciembre"},0)+1,0))</f>
        <v>45382</v>
      </c>
      <c r="D22" t="s">
        <v>62</v>
      </c>
      <c r="E22" t="str">
        <f>+IFERROR(VLOOKUP(Fact_Analitica[[#This Row], [Concepto Anterior]],Conceptos_Analítica_contraloría[#All],5,0),"")</f>
        <v>Automatizaciones descarga y reconversión archivos stock España Mango</v>
      </c>
      <c r="F22" t="str">
        <f ca="1">+IFERROR(VLOOKUP(Fact_Analitica[[#This Row], [Concepto Anterior]],Conceptos_Analítica_contraloría[#All],7,0),"")</f>
        <v/>
      </c>
      <c r="G22" t="s">
        <v>172</v>
      </c>
      <c r="H22" t="s">
        <v>172</v>
      </c>
      <c r="I22" t="str">
        <f>+IFERROR(VLOOKUP(D22,Conceptos_Analítica_contraloría[#All],2,0),"")</f>
        <v>Volumetria</v>
      </c>
      <c r="J22" s="84" t="str">
        <f>+IFERROR(VLOOKUP(D22,Conceptos_Analítica_contraloría[#All],3,0),"")</f>
        <v>Cantidad</v>
      </c>
      <c r="K22" s="93">
        <v>0</v>
      </c>
    </row>
    <row r="23" spans="1:11" ht="18.75" customHeight="1" x14ac:dyDescent="0.35">
      <c r="A23" s="93">
        <v>2024</v>
      </c>
      <c r="B23" s="87" t="s">
        <v>175</v>
      </c>
      <c r="C23" s="100">
        <f>IF(OR(Fact_Analitica[[#This Row], [Año]]="",Fact_Analitica[[#This Row], [Mes]]=""),"",DATE(A23,MATCH(B23,{"enero","febrero","marzo","abril","mayo","junio","julio","agosto","septiembre","octubre","noviembre","diciembre"},0)+1,0))</f>
        <v>45382</v>
      </c>
      <c r="D23" t="s">
        <v>66</v>
      </c>
      <c r="E23" t="str">
        <f>+IFERROR(VLOOKUP(Fact_Analitica[[#This Row], [Concepto Anterior]],Conceptos_Analítica_contraloría[#All],5,0),"")</f>
        <v>Cantidad de registros (consecutivos) a conciliar (Facturas 94%, otros movimientos 6%)</v>
      </c>
      <c r="F23" t="str">
        <f ca="1">+IFERROR(VLOOKUP(Fact_Analitica[[#This Row], [Concepto Anterior]],Conceptos_Analítica_contraloría[#All],7,0),"")</f>
        <v/>
      </c>
      <c r="G23" t="s">
        <v>172</v>
      </c>
      <c r="H23" t="s">
        <v>172</v>
      </c>
      <c r="I23" t="str">
        <f>+IFERROR(VLOOKUP(D23,Conceptos_Analítica_contraloría[#All],2,0),"")</f>
        <v>Volumetria</v>
      </c>
      <c r="J23" s="84" t="str">
        <f>+IFERROR(VLOOKUP(D23,Conceptos_Analítica_contraloría[#All],3,0),"")</f>
        <v>Cantidad</v>
      </c>
      <c r="K23" s="93">
        <v>0</v>
      </c>
    </row>
    <row r="24" spans="1:11" ht="18.75" customHeight="1" x14ac:dyDescent="0.35">
      <c r="A24" s="93">
        <v>2024</v>
      </c>
      <c r="B24" s="87" t="s">
        <v>175</v>
      </c>
      <c r="C24" s="100">
        <f>IF(OR(Fact_Analitica[[#This Row], [Año]]="",Fact_Analitica[[#This Row], [Mes]]=""),"",DATE(A24,MATCH(B24,{"enero","febrero","marzo","abril","mayo","junio","julio","agosto","septiembre","octubre","noviembre","diciembre"},0)+1,0))</f>
        <v>45382</v>
      </c>
      <c r="D24" t="s">
        <v>67</v>
      </c>
      <c r="E24" t="str">
        <f>+IFERROR(VLOOKUP(Fact_Analitica[[#This Row], [Concepto Anterior]],Conceptos_Analítica_contraloría[#All],5,0),"")</f>
        <v>Cantidad de unds a conciliar</v>
      </c>
      <c r="F24" t="str">
        <f ca="1">+IFERROR(VLOOKUP(Fact_Analitica[[#This Row], [Concepto Anterior]],Conceptos_Analítica_contraloría[#All],7,0),"")</f>
        <v/>
      </c>
      <c r="G24" t="s">
        <v>172</v>
      </c>
      <c r="H24" t="s">
        <v>172</v>
      </c>
      <c r="I24" t="str">
        <f>+IFERROR(VLOOKUP(D24,Conceptos_Analítica_contraloría[#All],2,0),"")</f>
        <v>Volumetria</v>
      </c>
      <c r="J24" s="84" t="str">
        <f>+IFERROR(VLOOKUP(D24,Conceptos_Analítica_contraloría[#All],3,0),"")</f>
        <v>Cantidad</v>
      </c>
      <c r="K24" s="93">
        <v>0</v>
      </c>
    </row>
    <row r="25" spans="1:11" ht="18.75" customHeight="1" x14ac:dyDescent="0.35">
      <c r="A25" s="93">
        <v>2024</v>
      </c>
      <c r="B25" s="87" t="s">
        <v>175</v>
      </c>
      <c r="C25" s="100">
        <f>IF(OR(Fact_Analitica[[#This Row], [Año]]="",Fact_Analitica[[#This Row], [Mes]]=""),"",DATE(A25,MATCH(B25,{"enero","febrero","marzo","abril","mayo","junio","julio","agosto","septiembre","octubre","noviembre","diciembre"},0)+1,0))</f>
        <v>45382</v>
      </c>
      <c r="D25" t="s">
        <v>68</v>
      </c>
      <c r="E25" t="str">
        <f>+IFERROR(VLOOKUP(Fact_Analitica[[#This Row], [Concepto Anterior]],Conceptos_Analítica_contraloría[#All],5,0),"")</f>
        <v>Desatrase de facturación merma franquicias</v>
      </c>
      <c r="F25" t="str">
        <f ca="1">+IFERROR(VLOOKUP(Fact_Analitica[[#This Row], [Concepto Anterior]],Conceptos_Analítica_contraloría[#All],7,0),"")</f>
        <v/>
      </c>
      <c r="G25" t="s">
        <v>172</v>
      </c>
      <c r="H25" t="s">
        <v>172</v>
      </c>
      <c r="I25" t="str">
        <f>+IFERROR(VLOOKUP(D25,Conceptos_Analítica_contraloría[#All],2,0),"")</f>
        <v>Eficiencia</v>
      </c>
      <c r="J25" s="84" t="str">
        <f>+IFERROR(VLOOKUP(D25,Conceptos_Analítica_contraloría[#All],3,0),"")</f>
        <v>Pesos</v>
      </c>
      <c r="K25" s="93">
        <v>0</v>
      </c>
    </row>
    <row r="26" spans="1:11" ht="18.75" customHeight="1" x14ac:dyDescent="0.35">
      <c r="A26" s="93">
        <v>2024</v>
      </c>
      <c r="B26" s="87" t="s">
        <v>175</v>
      </c>
      <c r="C26" s="100">
        <f>IF(OR(Fact_Analitica[[#This Row], [Año]]="",Fact_Analitica[[#This Row], [Mes]]=""),"",DATE(A26,MATCH(B26,{"enero","febrero","marzo","abril","mayo","junio","julio","agosto","septiembre","octubre","noviembre","diciembre"},0)+1,0))</f>
        <v>45382</v>
      </c>
      <c r="D26" t="s">
        <v>64</v>
      </c>
      <c r="E26" t="str">
        <f>+IFERROR(VLOOKUP(Fact_Analitica[[#This Row], [Concepto Anterior]],Conceptos_Analítica_contraloría[#All],5,0),"")</f>
        <v>Puntos a conciliar</v>
      </c>
      <c r="F26" t="str">
        <f ca="1">+IFERROR(VLOOKUP(Fact_Analitica[[#This Row], [Concepto Anterior]],Conceptos_Analítica_contraloría[#All],7,0),"")</f>
        <v/>
      </c>
      <c r="G26" t="s">
        <v>172</v>
      </c>
      <c r="H26" t="s">
        <v>172</v>
      </c>
      <c r="I26" t="str">
        <f>+IFERROR(VLOOKUP(D26,Conceptos_Analítica_contraloría[#All],2,0),"")</f>
        <v>Volumetria</v>
      </c>
      <c r="J26" s="84" t="str">
        <f>+IFERROR(VLOOKUP(D26,Conceptos_Analítica_contraloría[#All],3,0),"")</f>
        <v>Cantidad</v>
      </c>
      <c r="K26" s="93">
        <v>0</v>
      </c>
    </row>
    <row r="27" spans="1:11" ht="18.75" customHeight="1" x14ac:dyDescent="0.35">
      <c r="A27" s="93">
        <v>2024</v>
      </c>
      <c r="B27" s="87" t="s">
        <v>175</v>
      </c>
      <c r="C27" s="100">
        <f>IF(OR(Fact_Analitica[[#This Row], [Año]]="",Fact_Analitica[[#This Row], [Mes]]=""),"",DATE(A27,MATCH(B27,{"enero","febrero","marzo","abril","mayo","junio","julio","agosto","septiembre","octubre","noviembre","diciembre"},0)+1,0))</f>
        <v>45382</v>
      </c>
      <c r="D27" t="s">
        <v>65</v>
      </c>
      <c r="E27" t="str">
        <f>+IFERROR(VLOOKUP(Fact_Analitica[[#This Row], [Concepto Anterior]],Conceptos_Analítica_contraloría[#All],5,0),"")</f>
        <v>Puntos x marca a conciliar</v>
      </c>
      <c r="F27" t="str">
        <f ca="1">+IFERROR(VLOOKUP(Fact_Analitica[[#This Row], [Concepto Anterior]],Conceptos_Analítica_contraloría[#All],7,0),"")</f>
        <v/>
      </c>
      <c r="G27" t="s">
        <v>172</v>
      </c>
      <c r="H27" t="s">
        <v>172</v>
      </c>
      <c r="I27" t="str">
        <f>+IFERROR(VLOOKUP(D27,Conceptos_Analítica_contraloría[#All],2,0),"")</f>
        <v>Volumetria</v>
      </c>
      <c r="J27" s="84" t="str">
        <f>+IFERROR(VLOOKUP(D27,Conceptos_Analítica_contraloría[#All],3,0),"")</f>
        <v>Cantidad</v>
      </c>
      <c r="K27" s="93">
        <v>0</v>
      </c>
    </row>
    <row r="28" spans="1:11" ht="18.75" customHeight="1" x14ac:dyDescent="0.35">
      <c r="A28" s="93">
        <v>2024</v>
      </c>
      <c r="B28" s="87" t="s">
        <v>176</v>
      </c>
      <c r="C28" s="100">
        <f>IF(OR(Fact_Analitica[[#This Row], [Año]]="",Fact_Analitica[[#This Row], [Mes]]=""),"",DATE(A28,MATCH(B28,{"enero","febrero","marzo","abril","mayo","junio","julio","agosto","septiembre","octubre","noviembre","diciembre"},0)+1,0))</f>
        <v>45412</v>
      </c>
      <c r="D28" t="s">
        <v>203</v>
      </c>
      <c r="E28" t="str">
        <f>+IFERROR(VLOOKUP(Fact_Analitica[[#This Row], [Concepto Anterior]],Conceptos_Analítica_contraloría[#All],5,0),"")</f>
        <v>Ajustes Inventarios Cíclico</v>
      </c>
      <c r="F28" t="str">
        <f ca="1">+IFERROR(VLOOKUP(Fact_Analitica[[#This Row], [Concepto Anterior]],Conceptos_Analítica_contraloría[#All],7,0),"")</f>
        <v/>
      </c>
      <c r="G28" t="s">
        <v>172</v>
      </c>
      <c r="H28" t="s">
        <v>172</v>
      </c>
      <c r="I28" t="str">
        <f>+IFERROR(VLOOKUP(D28,Conceptos_Analítica_contraloría[#All],2,0),"")</f>
        <v>Volumetria</v>
      </c>
      <c r="J28" s="84" t="str">
        <f>+IFERROR(VLOOKUP(D28,Conceptos_Analítica_contraloría[#All],3,0),"")</f>
        <v>Cantidad</v>
      </c>
      <c r="K28" s="93">
        <v>66</v>
      </c>
    </row>
    <row r="29" spans="1:11" ht="18.75" customHeight="1" x14ac:dyDescent="0.35">
      <c r="A29" s="93">
        <v>2024</v>
      </c>
      <c r="B29" s="87" t="s">
        <v>176</v>
      </c>
      <c r="C29" s="100">
        <f>IF(OR(Fact_Analitica[[#This Row], [Año]]="",Fact_Analitica[[#This Row], [Mes]]=""),"",DATE(A29,MATCH(B29,{"enero","febrero","marzo","abril","mayo","junio","julio","agosto","septiembre","octubre","noviembre","diciembre"},0)+1,0))</f>
        <v>45412</v>
      </c>
      <c r="D29" t="s">
        <v>60</v>
      </c>
      <c r="E29" t="str">
        <f>+IFERROR(VLOOKUP(Fact_Analitica[[#This Row], [Concepto Anterior]],Conceptos_Analítica_contraloría[#All],5,0),"")</f>
        <v>Ajustes sobrevaloración acumulada de inventarios "Unified"</v>
      </c>
      <c r="F29" t="str">
        <f ca="1">+IFERROR(VLOOKUP(Fact_Analitica[[#This Row], [Concepto Anterior]],Conceptos_Analítica_contraloría[#All],7,0),"")</f>
        <v/>
      </c>
      <c r="G29" t="s">
        <v>172</v>
      </c>
      <c r="H29" t="s">
        <v>172</v>
      </c>
      <c r="I29" t="str">
        <f>+IFERROR(VLOOKUP(D29,Conceptos_Analítica_contraloría[#All],2,0),"")</f>
        <v>Eficiencia</v>
      </c>
      <c r="J29" s="84" t="str">
        <f>+IFERROR(VLOOKUP(D29,Conceptos_Analítica_contraloría[#All],3,0),"")</f>
        <v>Pesos</v>
      </c>
      <c r="K29" s="93">
        <v>0</v>
      </c>
    </row>
    <row r="30" spans="1:11" ht="18.75" customHeight="1" x14ac:dyDescent="0.35">
      <c r="A30" s="93">
        <v>2024</v>
      </c>
      <c r="B30" s="87" t="s">
        <v>176</v>
      </c>
      <c r="C30" s="100">
        <f>IF(OR(Fact_Analitica[[#This Row], [Año]]="",Fact_Analitica[[#This Row], [Mes]]=""),"",DATE(A30,MATCH(B30,{"enero","febrero","marzo","abril","mayo","junio","julio","agosto","septiembre","octubre","noviembre","diciembre"},0)+1,0))</f>
        <v>45412</v>
      </c>
      <c r="D30" t="s">
        <v>62</v>
      </c>
      <c r="E30" t="str">
        <f>+IFERROR(VLOOKUP(Fact_Analitica[[#This Row], [Concepto Anterior]],Conceptos_Analítica_contraloría[#All],5,0),"")</f>
        <v>Automatizaciones descarga y reconversión archivos stock España Mango</v>
      </c>
      <c r="F30" t="str">
        <f ca="1">+IFERROR(VLOOKUP(Fact_Analitica[[#This Row], [Concepto Anterior]],Conceptos_Analítica_contraloría[#All],7,0),"")</f>
        <v/>
      </c>
      <c r="G30" t="s">
        <v>172</v>
      </c>
      <c r="H30" t="s">
        <v>172</v>
      </c>
      <c r="I30" t="str">
        <f>+IFERROR(VLOOKUP(D30,Conceptos_Analítica_contraloría[#All],2,0),"")</f>
        <v>Volumetria</v>
      </c>
      <c r="J30" s="84" t="str">
        <f>+IFERROR(VLOOKUP(D30,Conceptos_Analítica_contraloría[#All],3,0),"")</f>
        <v>Cantidad</v>
      </c>
      <c r="K30" s="93">
        <v>0</v>
      </c>
    </row>
    <row r="31" spans="1:11" ht="18.75" customHeight="1" x14ac:dyDescent="0.35">
      <c r="A31" s="93">
        <v>2024</v>
      </c>
      <c r="B31" s="87" t="s">
        <v>176</v>
      </c>
      <c r="C31" s="100">
        <f>IF(OR(Fact_Analitica[[#This Row], [Año]]="",Fact_Analitica[[#This Row], [Mes]]=""),"",DATE(A31,MATCH(B31,{"enero","febrero","marzo","abril","mayo","junio","julio","agosto","septiembre","octubre","noviembre","diciembre"},0)+1,0))</f>
        <v>45412</v>
      </c>
      <c r="D31" t="s">
        <v>66</v>
      </c>
      <c r="E31" t="str">
        <f>+IFERROR(VLOOKUP(Fact_Analitica[[#This Row], [Concepto Anterior]],Conceptos_Analítica_contraloría[#All],5,0),"")</f>
        <v>Cantidad de registros (consecutivos) a conciliar (Facturas 94%, otros movimientos 6%)</v>
      </c>
      <c r="F31" t="str">
        <f ca="1">+IFERROR(VLOOKUP(Fact_Analitica[[#This Row], [Concepto Anterior]],Conceptos_Analítica_contraloría[#All],7,0),"")</f>
        <v/>
      </c>
      <c r="G31" t="s">
        <v>172</v>
      </c>
      <c r="H31" t="s">
        <v>172</v>
      </c>
      <c r="I31" t="str">
        <f>+IFERROR(VLOOKUP(D31,Conceptos_Analítica_contraloría[#All],2,0),"")</f>
        <v>Volumetria</v>
      </c>
      <c r="J31" s="84" t="str">
        <f>+IFERROR(VLOOKUP(D31,Conceptos_Analítica_contraloría[#All],3,0),"")</f>
        <v>Cantidad</v>
      </c>
      <c r="K31" s="93">
        <v>0</v>
      </c>
    </row>
    <row r="32" spans="1:11" ht="18.75" customHeight="1" x14ac:dyDescent="0.35">
      <c r="A32" s="93">
        <v>2024</v>
      </c>
      <c r="B32" s="87" t="s">
        <v>176</v>
      </c>
      <c r="C32" s="100">
        <f>IF(OR(Fact_Analitica[[#This Row], [Año]]="",Fact_Analitica[[#This Row], [Mes]]=""),"",DATE(A32,MATCH(B32,{"enero","febrero","marzo","abril","mayo","junio","julio","agosto","septiembre","octubre","noviembre","diciembre"},0)+1,0))</f>
        <v>45412</v>
      </c>
      <c r="D32" t="s">
        <v>67</v>
      </c>
      <c r="E32" t="str">
        <f>+IFERROR(VLOOKUP(Fact_Analitica[[#This Row], [Concepto Anterior]],Conceptos_Analítica_contraloría[#All],5,0),"")</f>
        <v>Cantidad de unds a conciliar</v>
      </c>
      <c r="F32" t="str">
        <f ca="1">+IFERROR(VLOOKUP(Fact_Analitica[[#This Row], [Concepto Anterior]],Conceptos_Analítica_contraloría[#All],7,0),"")</f>
        <v/>
      </c>
      <c r="G32" t="s">
        <v>172</v>
      </c>
      <c r="H32" t="s">
        <v>172</v>
      </c>
      <c r="I32" t="str">
        <f>+IFERROR(VLOOKUP(D32,Conceptos_Analítica_contraloría[#All],2,0),"")</f>
        <v>Volumetria</v>
      </c>
      <c r="J32" s="84" t="str">
        <f>+IFERROR(VLOOKUP(D32,Conceptos_Analítica_contraloría[#All],3,0),"")</f>
        <v>Cantidad</v>
      </c>
      <c r="K32" s="93">
        <v>0</v>
      </c>
    </row>
    <row r="33" spans="1:11" ht="18.75" customHeight="1" x14ac:dyDescent="0.35">
      <c r="A33" s="93">
        <v>2024</v>
      </c>
      <c r="B33" s="87" t="s">
        <v>176</v>
      </c>
      <c r="C33" s="100">
        <f>IF(OR(Fact_Analitica[[#This Row], [Año]]="",Fact_Analitica[[#This Row], [Mes]]=""),"",DATE(A33,MATCH(B33,{"enero","febrero","marzo","abril","mayo","junio","julio","agosto","septiembre","octubre","noviembre","diciembre"},0)+1,0))</f>
        <v>45412</v>
      </c>
      <c r="D33" t="s">
        <v>68</v>
      </c>
      <c r="E33" t="str">
        <f>+IFERROR(VLOOKUP(Fact_Analitica[[#This Row], [Concepto Anterior]],Conceptos_Analítica_contraloría[#All],5,0),"")</f>
        <v>Desatrase de facturación merma franquicias</v>
      </c>
      <c r="F33" t="str">
        <f ca="1">+IFERROR(VLOOKUP(Fact_Analitica[[#This Row], [Concepto Anterior]],Conceptos_Analítica_contraloría[#All],7,0),"")</f>
        <v/>
      </c>
      <c r="G33" t="s">
        <v>172</v>
      </c>
      <c r="H33" t="s">
        <v>172</v>
      </c>
      <c r="I33" t="str">
        <f>+IFERROR(VLOOKUP(D33,Conceptos_Analítica_contraloría[#All],2,0),"")</f>
        <v>Eficiencia</v>
      </c>
      <c r="J33" s="84" t="str">
        <f>+IFERROR(VLOOKUP(D33,Conceptos_Analítica_contraloría[#All],3,0),"")</f>
        <v>Pesos</v>
      </c>
      <c r="K33" s="93">
        <v>0</v>
      </c>
    </row>
    <row r="34" spans="1:11" ht="18.75" customHeight="1" x14ac:dyDescent="0.35">
      <c r="A34" s="93">
        <v>2024</v>
      </c>
      <c r="B34" s="87" t="s">
        <v>176</v>
      </c>
      <c r="C34" s="100">
        <f>IF(OR(Fact_Analitica[[#This Row], [Año]]="",Fact_Analitica[[#This Row], [Mes]]=""),"",DATE(A34,MATCH(B34,{"enero","febrero","marzo","abril","mayo","junio","julio","agosto","septiembre","octubre","noviembre","diciembre"},0)+1,0))</f>
        <v>45412</v>
      </c>
      <c r="D34" t="s">
        <v>64</v>
      </c>
      <c r="E34" t="str">
        <f>+IFERROR(VLOOKUP(Fact_Analitica[[#This Row], [Concepto Anterior]],Conceptos_Analítica_contraloría[#All],5,0),"")</f>
        <v>Puntos a conciliar</v>
      </c>
      <c r="F34" t="str">
        <f ca="1">+IFERROR(VLOOKUP(Fact_Analitica[[#This Row], [Concepto Anterior]],Conceptos_Analítica_contraloría[#All],7,0),"")</f>
        <v/>
      </c>
      <c r="G34" t="s">
        <v>172</v>
      </c>
      <c r="H34" t="s">
        <v>172</v>
      </c>
      <c r="I34" t="str">
        <f>+IFERROR(VLOOKUP(D34,Conceptos_Analítica_contraloría[#All],2,0),"")</f>
        <v>Volumetria</v>
      </c>
      <c r="J34" s="84" t="str">
        <f>+IFERROR(VLOOKUP(D34,Conceptos_Analítica_contraloría[#All],3,0),"")</f>
        <v>Cantidad</v>
      </c>
      <c r="K34" s="93">
        <v>0</v>
      </c>
    </row>
    <row r="35" spans="1:11" ht="18.75" customHeight="1" x14ac:dyDescent="0.35">
      <c r="A35" s="93">
        <v>2024</v>
      </c>
      <c r="B35" s="87" t="s">
        <v>176</v>
      </c>
      <c r="C35" s="100">
        <f>IF(OR(Fact_Analitica[[#This Row], [Año]]="",Fact_Analitica[[#This Row], [Mes]]=""),"",DATE(A35,MATCH(B35,{"enero","febrero","marzo","abril","mayo","junio","julio","agosto","septiembre","octubre","noviembre","diciembre"},0)+1,0))</f>
        <v>45412</v>
      </c>
      <c r="D35" t="s">
        <v>65</v>
      </c>
      <c r="E35" t="str">
        <f>+IFERROR(VLOOKUP(Fact_Analitica[[#This Row], [Concepto Anterior]],Conceptos_Analítica_contraloría[#All],5,0),"")</f>
        <v>Puntos x marca a conciliar</v>
      </c>
      <c r="F35" t="str">
        <f ca="1">+IFERROR(VLOOKUP(Fact_Analitica[[#This Row], [Concepto Anterior]],Conceptos_Analítica_contraloría[#All],7,0),"")</f>
        <v/>
      </c>
      <c r="G35" t="s">
        <v>172</v>
      </c>
      <c r="H35" t="s">
        <v>172</v>
      </c>
      <c r="I35" t="str">
        <f>+IFERROR(VLOOKUP(D35,Conceptos_Analítica_contraloría[#All],2,0),"")</f>
        <v>Volumetria</v>
      </c>
      <c r="J35" s="84" t="str">
        <f>+IFERROR(VLOOKUP(D35,Conceptos_Analítica_contraloría[#All],3,0),"")</f>
        <v>Cantidad</v>
      </c>
      <c r="K35" s="93">
        <v>0</v>
      </c>
    </row>
    <row r="36" spans="1:11" ht="18.75" customHeight="1" x14ac:dyDescent="0.35">
      <c r="A36" s="93">
        <v>2024</v>
      </c>
      <c r="B36" s="87" t="s">
        <v>176</v>
      </c>
      <c r="C36" s="100">
        <f>IF(OR(Fact_Analitica[[#This Row], [Año]]="",Fact_Analitica[[#This Row], [Mes]]=""),"",DATE(A36,MATCH(B36,{"enero","febrero","marzo","abril","mayo","junio","julio","agosto","septiembre","octubre","noviembre","diciembre"},0)+1,0))</f>
        <v>45412</v>
      </c>
      <c r="D36" t="s">
        <v>128</v>
      </c>
      <c r="E36" t="str">
        <f>+IFERROR(VLOOKUP(Fact_Analitica[[#This Row], [Concepto Anterior]],Conceptos_Analítica_contraloría[#All],5,0),"")</f>
        <v>Ajuste Costo Merma Desconocida - Tiendas y Grandes S.</v>
      </c>
      <c r="F36" t="str">
        <f ca="1">+IFERROR(VLOOKUP(Fact_Analitica[[#This Row], [Concepto Anterior]],Conceptos_Analítica_contraloría[#All],7,0),"")</f>
        <v/>
      </c>
      <c r="G36" t="s">
        <v>172</v>
      </c>
      <c r="H36" t="s">
        <v>172</v>
      </c>
      <c r="I36" t="str">
        <f>+IFERROR(VLOOKUP(D36,Conceptos_Analítica_contraloría[#All],2,0),"")</f>
        <v>Volumetria</v>
      </c>
      <c r="J36" s="84" t="str">
        <f>+IFERROR(VLOOKUP(D36,Conceptos_Analítica_contraloría[#All],3,0),"")</f>
        <v>Cantidad</v>
      </c>
      <c r="K36" s="93">
        <v>-392312925</v>
      </c>
    </row>
    <row r="37" spans="1:11" ht="18.75" customHeight="1" x14ac:dyDescent="0.35">
      <c r="A37" s="93">
        <v>2024</v>
      </c>
      <c r="B37" s="87" t="s">
        <v>177</v>
      </c>
      <c r="C37" s="100">
        <f>IF(OR(Fact_Analitica[[#This Row], [Año]]="",Fact_Analitica[[#This Row], [Mes]]=""),"",DATE(A37,MATCH(B37,{"enero","febrero","marzo","abril","mayo","junio","julio","agosto","septiembre","octubre","noviembre","diciembre"},0)+1,0))</f>
        <v>45443</v>
      </c>
      <c r="D37" t="s">
        <v>203</v>
      </c>
      <c r="E37" t="str">
        <f>+IFERROR(VLOOKUP(Fact_Analitica[[#This Row], [Concepto Anterior]],Conceptos_Analítica_contraloría[#All],5,0),"")</f>
        <v>Ajustes Inventarios Cíclico</v>
      </c>
      <c r="F37" t="str">
        <f ca="1">+IFERROR(VLOOKUP(Fact_Analitica[[#This Row], [Concepto Anterior]],Conceptos_Analítica_contraloría[#All],7,0),"")</f>
        <v/>
      </c>
      <c r="G37" t="s">
        <v>172</v>
      </c>
      <c r="H37" t="s">
        <v>172</v>
      </c>
      <c r="I37" t="str">
        <f>+IFERROR(VLOOKUP(D37,Conceptos_Analítica_contraloría[#All],2,0),"")</f>
        <v>Volumetria</v>
      </c>
      <c r="J37" s="84" t="str">
        <f>+IFERROR(VLOOKUP(D37,Conceptos_Analítica_contraloría[#All],3,0),"")</f>
        <v>Cantidad</v>
      </c>
      <c r="K37" s="93">
        <v>69</v>
      </c>
    </row>
    <row r="38" spans="1:11" ht="18.75" customHeight="1" x14ac:dyDescent="0.35">
      <c r="A38" s="93">
        <v>2024</v>
      </c>
      <c r="B38" s="87" t="s">
        <v>177</v>
      </c>
      <c r="C38" s="100">
        <f>IF(OR(Fact_Analitica[[#This Row], [Año]]="",Fact_Analitica[[#This Row], [Mes]]=""),"",DATE(A38,MATCH(B38,{"enero","febrero","marzo","abril","mayo","junio","julio","agosto","septiembre","octubre","noviembre","diciembre"},0)+1,0))</f>
        <v>45443</v>
      </c>
      <c r="D38" t="s">
        <v>60</v>
      </c>
      <c r="E38" t="str">
        <f>+IFERROR(VLOOKUP(Fact_Analitica[[#This Row], [Concepto Anterior]],Conceptos_Analítica_contraloría[#All],5,0),"")</f>
        <v>Ajustes sobrevaloración acumulada de inventarios "Unified"</v>
      </c>
      <c r="F38" t="str">
        <f ca="1">+IFERROR(VLOOKUP(Fact_Analitica[[#This Row], [Concepto Anterior]],Conceptos_Analítica_contraloría[#All],7,0),"")</f>
        <v/>
      </c>
      <c r="G38" t="s">
        <v>172</v>
      </c>
      <c r="H38" t="s">
        <v>172</v>
      </c>
      <c r="I38" t="str">
        <f>+IFERROR(VLOOKUP(D38,Conceptos_Analítica_contraloría[#All],2,0),"")</f>
        <v>Eficiencia</v>
      </c>
      <c r="J38" s="84" t="str">
        <f>+IFERROR(VLOOKUP(D38,Conceptos_Analítica_contraloría[#All],3,0),"")</f>
        <v>Pesos</v>
      </c>
      <c r="K38" s="93">
        <v>0</v>
      </c>
    </row>
    <row r="39" spans="1:11" ht="18.75" customHeight="1" x14ac:dyDescent="0.35">
      <c r="A39" s="93">
        <v>2024</v>
      </c>
      <c r="B39" s="87" t="s">
        <v>177</v>
      </c>
      <c r="C39" s="100">
        <f>IF(OR(Fact_Analitica[[#This Row], [Año]]="",Fact_Analitica[[#This Row], [Mes]]=""),"",DATE(A39,MATCH(B39,{"enero","febrero","marzo","abril","mayo","junio","julio","agosto","septiembre","octubre","noviembre","diciembre"},0)+1,0))</f>
        <v>45443</v>
      </c>
      <c r="D39" t="s">
        <v>62</v>
      </c>
      <c r="E39" t="str">
        <f>+IFERROR(VLOOKUP(Fact_Analitica[[#This Row], [Concepto Anterior]],Conceptos_Analítica_contraloría[#All],5,0),"")</f>
        <v>Automatizaciones descarga y reconversión archivos stock España Mango</v>
      </c>
      <c r="F39" t="str">
        <f ca="1">+IFERROR(VLOOKUP(Fact_Analitica[[#This Row], [Concepto Anterior]],Conceptos_Analítica_contraloría[#All],7,0),"")</f>
        <v/>
      </c>
      <c r="G39" t="s">
        <v>172</v>
      </c>
      <c r="H39" t="s">
        <v>172</v>
      </c>
      <c r="I39" t="str">
        <f>+IFERROR(VLOOKUP(D39,Conceptos_Analítica_contraloría[#All],2,0),"")</f>
        <v>Volumetria</v>
      </c>
      <c r="J39" s="84" t="str">
        <f>+IFERROR(VLOOKUP(D39,Conceptos_Analítica_contraloría[#All],3,0),"")</f>
        <v>Cantidad</v>
      </c>
      <c r="K39" s="93">
        <v>0</v>
      </c>
    </row>
    <row r="40" spans="1:11" ht="18.75" customHeight="1" x14ac:dyDescent="0.35">
      <c r="A40" s="93">
        <v>2024</v>
      </c>
      <c r="B40" s="87" t="s">
        <v>177</v>
      </c>
      <c r="C40" s="100">
        <f>IF(OR(Fact_Analitica[[#This Row], [Año]]="",Fact_Analitica[[#This Row], [Mes]]=""),"",DATE(A40,MATCH(B40,{"enero","febrero","marzo","abril","mayo","junio","julio","agosto","septiembre","octubre","noviembre","diciembre"},0)+1,0))</f>
        <v>45443</v>
      </c>
      <c r="D40" t="s">
        <v>66</v>
      </c>
      <c r="E40" t="str">
        <f>+IFERROR(VLOOKUP(Fact_Analitica[[#This Row], [Concepto Anterior]],Conceptos_Analítica_contraloría[#All],5,0),"")</f>
        <v>Cantidad de registros (consecutivos) a conciliar (Facturas 94%, otros movimientos 6%)</v>
      </c>
      <c r="F40" t="str">
        <f ca="1">+IFERROR(VLOOKUP(Fact_Analitica[[#This Row], [Concepto Anterior]],Conceptos_Analítica_contraloría[#All],7,0),"")</f>
        <v/>
      </c>
      <c r="G40" t="s">
        <v>172</v>
      </c>
      <c r="H40" t="s">
        <v>172</v>
      </c>
      <c r="I40" t="str">
        <f>+IFERROR(VLOOKUP(D40,Conceptos_Analítica_contraloría[#All],2,0),"")</f>
        <v>Volumetria</v>
      </c>
      <c r="J40" s="84" t="str">
        <f>+IFERROR(VLOOKUP(D40,Conceptos_Analítica_contraloría[#All],3,0),"")</f>
        <v>Cantidad</v>
      </c>
      <c r="K40" s="93">
        <v>0</v>
      </c>
    </row>
    <row r="41" spans="1:11" ht="18.75" customHeight="1" x14ac:dyDescent="0.35">
      <c r="A41" s="93">
        <v>2024</v>
      </c>
      <c r="B41" s="87" t="s">
        <v>177</v>
      </c>
      <c r="C41" s="100">
        <f>IF(OR(Fact_Analitica[[#This Row], [Año]]="",Fact_Analitica[[#This Row], [Mes]]=""),"",DATE(A41,MATCH(B41,{"enero","febrero","marzo","abril","mayo","junio","julio","agosto","septiembre","octubre","noviembre","diciembre"},0)+1,0))</f>
        <v>45443</v>
      </c>
      <c r="D41" t="s">
        <v>67</v>
      </c>
      <c r="E41" t="str">
        <f>+IFERROR(VLOOKUP(Fact_Analitica[[#This Row], [Concepto Anterior]],Conceptos_Analítica_contraloría[#All],5,0),"")</f>
        <v>Cantidad de unds a conciliar</v>
      </c>
      <c r="F41" t="str">
        <f ca="1">+IFERROR(VLOOKUP(Fact_Analitica[[#This Row], [Concepto Anterior]],Conceptos_Analítica_contraloría[#All],7,0),"")</f>
        <v/>
      </c>
      <c r="G41" t="s">
        <v>172</v>
      </c>
      <c r="H41" t="s">
        <v>172</v>
      </c>
      <c r="I41" t="str">
        <f>+IFERROR(VLOOKUP(D41,Conceptos_Analítica_contraloría[#All],2,0),"")</f>
        <v>Volumetria</v>
      </c>
      <c r="J41" s="84" t="str">
        <f>+IFERROR(VLOOKUP(D41,Conceptos_Analítica_contraloría[#All],3,0),"")</f>
        <v>Cantidad</v>
      </c>
      <c r="K41" s="93">
        <v>0</v>
      </c>
    </row>
    <row r="42" spans="1:11" ht="18.75" customHeight="1" x14ac:dyDescent="0.35">
      <c r="A42" s="93">
        <v>2024</v>
      </c>
      <c r="B42" s="87" t="s">
        <v>177</v>
      </c>
      <c r="C42" s="100">
        <f>IF(OR(Fact_Analitica[[#This Row], [Año]]="",Fact_Analitica[[#This Row], [Mes]]=""),"",DATE(A42,MATCH(B42,{"enero","febrero","marzo","abril","mayo","junio","julio","agosto","septiembre","octubre","noviembre","diciembre"},0)+1,0))</f>
        <v>45443</v>
      </c>
      <c r="D42" t="s">
        <v>68</v>
      </c>
      <c r="E42" t="str">
        <f>+IFERROR(VLOOKUP(Fact_Analitica[[#This Row], [Concepto Anterior]],Conceptos_Analítica_contraloría[#All],5,0),"")</f>
        <v>Desatrase de facturación merma franquicias</v>
      </c>
      <c r="F42" t="str">
        <f ca="1">+IFERROR(VLOOKUP(Fact_Analitica[[#This Row], [Concepto Anterior]],Conceptos_Analítica_contraloría[#All],7,0),"")</f>
        <v/>
      </c>
      <c r="G42" t="s">
        <v>172</v>
      </c>
      <c r="H42" t="s">
        <v>172</v>
      </c>
      <c r="I42" t="str">
        <f>+IFERROR(VLOOKUP(D42,Conceptos_Analítica_contraloría[#All],2,0),"")</f>
        <v>Eficiencia</v>
      </c>
      <c r="J42" s="84" t="str">
        <f>+IFERROR(VLOOKUP(D42,Conceptos_Analítica_contraloría[#All],3,0),"")</f>
        <v>Pesos</v>
      </c>
      <c r="K42" s="93">
        <v>0</v>
      </c>
    </row>
    <row r="43" spans="1:11" ht="18.75" customHeight="1" x14ac:dyDescent="0.35">
      <c r="A43" s="93">
        <v>2024</v>
      </c>
      <c r="B43" s="87" t="s">
        <v>177</v>
      </c>
      <c r="C43" s="100">
        <f>IF(OR(Fact_Analitica[[#This Row], [Año]]="",Fact_Analitica[[#This Row], [Mes]]=""),"",DATE(A43,MATCH(B43,{"enero","febrero","marzo","abril","mayo","junio","julio","agosto","septiembre","octubre","noviembre","diciembre"},0)+1,0))</f>
        <v>45443</v>
      </c>
      <c r="D43" t="s">
        <v>64</v>
      </c>
      <c r="E43" t="str">
        <f>+IFERROR(VLOOKUP(Fact_Analitica[[#This Row], [Concepto Anterior]],Conceptos_Analítica_contraloría[#All],5,0),"")</f>
        <v>Puntos a conciliar</v>
      </c>
      <c r="F43" t="str">
        <f ca="1">+IFERROR(VLOOKUP(Fact_Analitica[[#This Row], [Concepto Anterior]],Conceptos_Analítica_contraloría[#All],7,0),"")</f>
        <v/>
      </c>
      <c r="G43" t="s">
        <v>172</v>
      </c>
      <c r="H43" t="s">
        <v>172</v>
      </c>
      <c r="I43" t="str">
        <f>+IFERROR(VLOOKUP(D43,Conceptos_Analítica_contraloría[#All],2,0),"")</f>
        <v>Volumetria</v>
      </c>
      <c r="J43" s="84" t="str">
        <f>+IFERROR(VLOOKUP(D43,Conceptos_Analítica_contraloría[#All],3,0),"")</f>
        <v>Cantidad</v>
      </c>
      <c r="K43" s="93">
        <v>0</v>
      </c>
    </row>
    <row r="44" spans="1:11" ht="18.75" customHeight="1" x14ac:dyDescent="0.35">
      <c r="A44" s="93">
        <v>2024</v>
      </c>
      <c r="B44" s="87" t="s">
        <v>177</v>
      </c>
      <c r="C44" s="100">
        <f>IF(OR(Fact_Analitica[[#This Row], [Año]]="",Fact_Analitica[[#This Row], [Mes]]=""),"",DATE(A44,MATCH(B44,{"enero","febrero","marzo","abril","mayo","junio","julio","agosto","septiembre","octubre","noviembre","diciembre"},0)+1,0))</f>
        <v>45443</v>
      </c>
      <c r="D44" t="s">
        <v>65</v>
      </c>
      <c r="E44" t="str">
        <f>+IFERROR(VLOOKUP(Fact_Analitica[[#This Row], [Concepto Anterior]],Conceptos_Analítica_contraloría[#All],5,0),"")</f>
        <v>Puntos x marca a conciliar</v>
      </c>
      <c r="F44" t="str">
        <f ca="1">+IFERROR(VLOOKUP(Fact_Analitica[[#This Row], [Concepto Anterior]],Conceptos_Analítica_contraloría[#All],7,0),"")</f>
        <v/>
      </c>
      <c r="G44" t="s">
        <v>172</v>
      </c>
      <c r="H44" t="s">
        <v>172</v>
      </c>
      <c r="I44" t="str">
        <f>+IFERROR(VLOOKUP(D44,Conceptos_Analítica_contraloría[#All],2,0),"")</f>
        <v>Volumetria</v>
      </c>
      <c r="J44" s="84" t="str">
        <f>+IFERROR(VLOOKUP(D44,Conceptos_Analítica_contraloría[#All],3,0),"")</f>
        <v>Cantidad</v>
      </c>
      <c r="K44" s="93">
        <v>0</v>
      </c>
    </row>
    <row r="45" spans="1:11" ht="18.75" customHeight="1" x14ac:dyDescent="0.35">
      <c r="A45" s="93">
        <v>2024</v>
      </c>
      <c r="B45" s="87" t="s">
        <v>178</v>
      </c>
      <c r="C45" s="100">
        <f>IF(OR(Fact_Analitica[[#This Row], [Año]]="",Fact_Analitica[[#This Row], [Mes]]=""),"",DATE(A45,MATCH(B45,{"enero","febrero","marzo","abril","mayo","junio","julio","agosto","septiembre","octubre","noviembre","diciembre"},0)+1,0))</f>
        <v>45473</v>
      </c>
      <c r="D45" t="s">
        <v>203</v>
      </c>
      <c r="E45" t="str">
        <f>+IFERROR(VLOOKUP(Fact_Analitica[[#This Row], [Concepto Anterior]],Conceptos_Analítica_contraloría[#All],5,0),"")</f>
        <v>Ajustes Inventarios Cíclico</v>
      </c>
      <c r="F45" t="str">
        <f ca="1">+IFERROR(VLOOKUP(Fact_Analitica[[#This Row], [Concepto Anterior]],Conceptos_Analítica_contraloría[#All],7,0),"")</f>
        <v/>
      </c>
      <c r="G45" t="s">
        <v>172</v>
      </c>
      <c r="H45" t="s">
        <v>172</v>
      </c>
      <c r="I45" t="str">
        <f>+IFERROR(VLOOKUP(D45,Conceptos_Analítica_contraloría[#All],2,0),"")</f>
        <v>Volumetria</v>
      </c>
      <c r="J45" s="84" t="str">
        <f>+IFERROR(VLOOKUP(D45,Conceptos_Analítica_contraloría[#All],3,0),"")</f>
        <v>Cantidad</v>
      </c>
      <c r="K45" s="93">
        <v>76</v>
      </c>
    </row>
    <row r="46" spans="1:11" ht="18.75" customHeight="1" x14ac:dyDescent="0.35">
      <c r="A46" s="93">
        <v>2024</v>
      </c>
      <c r="B46" s="87" t="s">
        <v>178</v>
      </c>
      <c r="C46" s="100">
        <f>IF(OR(Fact_Analitica[[#This Row], [Año]]="",Fact_Analitica[[#This Row], [Mes]]=""),"",DATE(A46,MATCH(B46,{"enero","febrero","marzo","abril","mayo","junio","julio","agosto","septiembre","octubre","noviembre","diciembre"},0)+1,0))</f>
        <v>45473</v>
      </c>
      <c r="D46" t="s">
        <v>60</v>
      </c>
      <c r="E46" t="str">
        <f>+IFERROR(VLOOKUP(Fact_Analitica[[#This Row], [Concepto Anterior]],Conceptos_Analítica_contraloría[#All],5,0),"")</f>
        <v>Ajustes sobrevaloración acumulada de inventarios "Unified"</v>
      </c>
      <c r="F46" t="str">
        <f ca="1">+IFERROR(VLOOKUP(Fact_Analitica[[#This Row], [Concepto Anterior]],Conceptos_Analítica_contraloría[#All],7,0),"")</f>
        <v/>
      </c>
      <c r="G46" t="s">
        <v>172</v>
      </c>
      <c r="H46" t="s">
        <v>172</v>
      </c>
      <c r="I46" t="str">
        <f>+IFERROR(VLOOKUP(D46,Conceptos_Analítica_contraloría[#All],2,0),"")</f>
        <v>Eficiencia</v>
      </c>
      <c r="J46" s="84" t="str">
        <f>+IFERROR(VLOOKUP(D46,Conceptos_Analítica_contraloría[#All],3,0),"")</f>
        <v>Pesos</v>
      </c>
      <c r="K46" s="93">
        <v>0</v>
      </c>
    </row>
    <row r="47" spans="1:11" ht="18.75" customHeight="1" x14ac:dyDescent="0.35">
      <c r="A47" s="93">
        <v>2024</v>
      </c>
      <c r="B47" s="87" t="s">
        <v>178</v>
      </c>
      <c r="C47" s="100">
        <f>IF(OR(Fact_Analitica[[#This Row], [Año]]="",Fact_Analitica[[#This Row], [Mes]]=""),"",DATE(A47,MATCH(B47,{"enero","febrero","marzo","abril","mayo","junio","julio","agosto","septiembre","octubre","noviembre","diciembre"},0)+1,0))</f>
        <v>45473</v>
      </c>
      <c r="D47" t="s">
        <v>62</v>
      </c>
      <c r="E47" t="str">
        <f>+IFERROR(VLOOKUP(Fact_Analitica[[#This Row], [Concepto Anterior]],Conceptos_Analítica_contraloría[#All],5,0),"")</f>
        <v>Automatizaciones descarga y reconversión archivos stock España Mango</v>
      </c>
      <c r="F47" t="str">
        <f ca="1">+IFERROR(VLOOKUP(Fact_Analitica[[#This Row], [Concepto Anterior]],Conceptos_Analítica_contraloría[#All],7,0),"")</f>
        <v/>
      </c>
      <c r="G47" t="s">
        <v>172</v>
      </c>
      <c r="H47" t="s">
        <v>172</v>
      </c>
      <c r="I47" t="str">
        <f>+IFERROR(VLOOKUP(D47,Conceptos_Analítica_contraloría[#All],2,0),"")</f>
        <v>Volumetria</v>
      </c>
      <c r="J47" s="84" t="str">
        <f>+IFERROR(VLOOKUP(D47,Conceptos_Analítica_contraloría[#All],3,0),"")</f>
        <v>Cantidad</v>
      </c>
      <c r="K47" s="93">
        <v>0</v>
      </c>
    </row>
    <row r="48" spans="1:11" ht="18.75" customHeight="1" x14ac:dyDescent="0.35">
      <c r="A48" s="93">
        <v>2024</v>
      </c>
      <c r="B48" s="87" t="s">
        <v>178</v>
      </c>
      <c r="C48" s="100">
        <f>IF(OR(Fact_Analitica[[#This Row], [Año]]="",Fact_Analitica[[#This Row], [Mes]]=""),"",DATE(A48,MATCH(B48,{"enero","febrero","marzo","abril","mayo","junio","julio","agosto","septiembre","octubre","noviembre","diciembre"},0)+1,0))</f>
        <v>45473</v>
      </c>
      <c r="D48" t="s">
        <v>66</v>
      </c>
      <c r="E48" t="str">
        <f>+IFERROR(VLOOKUP(Fact_Analitica[[#This Row], [Concepto Anterior]],Conceptos_Analítica_contraloría[#All],5,0),"")</f>
        <v>Cantidad de registros (consecutivos) a conciliar (Facturas 94%, otros movimientos 6%)</v>
      </c>
      <c r="F48" t="str">
        <f ca="1">+IFERROR(VLOOKUP(Fact_Analitica[[#This Row], [Concepto Anterior]],Conceptos_Analítica_contraloría[#All],7,0),"")</f>
        <v/>
      </c>
      <c r="G48" t="s">
        <v>172</v>
      </c>
      <c r="H48" t="s">
        <v>172</v>
      </c>
      <c r="I48" t="str">
        <f>+IFERROR(VLOOKUP(D48,Conceptos_Analítica_contraloría[#All],2,0),"")</f>
        <v>Volumetria</v>
      </c>
      <c r="J48" s="84" t="str">
        <f>+IFERROR(VLOOKUP(D48,Conceptos_Analítica_contraloría[#All],3,0),"")</f>
        <v>Cantidad</v>
      </c>
      <c r="K48" s="93">
        <v>0</v>
      </c>
    </row>
    <row r="49" spans="1:11" ht="18.75" customHeight="1" x14ac:dyDescent="0.35">
      <c r="A49" s="93">
        <v>2024</v>
      </c>
      <c r="B49" s="87" t="s">
        <v>178</v>
      </c>
      <c r="C49" s="100">
        <f>IF(OR(Fact_Analitica[[#This Row], [Año]]="",Fact_Analitica[[#This Row], [Mes]]=""),"",DATE(A49,MATCH(B49,{"enero","febrero","marzo","abril","mayo","junio","julio","agosto","septiembre","octubre","noviembre","diciembre"},0)+1,0))</f>
        <v>45473</v>
      </c>
      <c r="D49" t="s">
        <v>67</v>
      </c>
      <c r="E49" t="str">
        <f>+IFERROR(VLOOKUP(Fact_Analitica[[#This Row], [Concepto Anterior]],Conceptos_Analítica_contraloría[#All],5,0),"")</f>
        <v>Cantidad de unds a conciliar</v>
      </c>
      <c r="F49" t="str">
        <f ca="1">+IFERROR(VLOOKUP(Fact_Analitica[[#This Row], [Concepto Anterior]],Conceptos_Analítica_contraloría[#All],7,0),"")</f>
        <v/>
      </c>
      <c r="G49" t="s">
        <v>172</v>
      </c>
      <c r="H49" t="s">
        <v>172</v>
      </c>
      <c r="I49" t="str">
        <f>+IFERROR(VLOOKUP(D49,Conceptos_Analítica_contraloría[#All],2,0),"")</f>
        <v>Volumetria</v>
      </c>
      <c r="J49" s="84" t="str">
        <f>+IFERROR(VLOOKUP(D49,Conceptos_Analítica_contraloría[#All],3,0),"")</f>
        <v>Cantidad</v>
      </c>
      <c r="K49" s="93">
        <v>0</v>
      </c>
    </row>
    <row r="50" spans="1:11" ht="18.75" customHeight="1" x14ac:dyDescent="0.35">
      <c r="A50" s="93">
        <v>2024</v>
      </c>
      <c r="B50" s="87" t="s">
        <v>178</v>
      </c>
      <c r="C50" s="100">
        <f>IF(OR(Fact_Analitica[[#This Row], [Año]]="",Fact_Analitica[[#This Row], [Mes]]=""),"",DATE(A50,MATCH(B50,{"enero","febrero","marzo","abril","mayo","junio","julio","agosto","septiembre","octubre","noviembre","diciembre"},0)+1,0))</f>
        <v>45473</v>
      </c>
      <c r="D50" t="s">
        <v>68</v>
      </c>
      <c r="E50" t="str">
        <f>+IFERROR(VLOOKUP(Fact_Analitica[[#This Row], [Concepto Anterior]],Conceptos_Analítica_contraloría[#All],5,0),"")</f>
        <v>Desatrase de facturación merma franquicias</v>
      </c>
      <c r="F50" t="str">
        <f ca="1">+IFERROR(VLOOKUP(Fact_Analitica[[#This Row], [Concepto Anterior]],Conceptos_Analítica_contraloría[#All],7,0),"")</f>
        <v/>
      </c>
      <c r="G50" t="s">
        <v>172</v>
      </c>
      <c r="H50" t="s">
        <v>172</v>
      </c>
      <c r="I50" t="str">
        <f>+IFERROR(VLOOKUP(D50,Conceptos_Analítica_contraloría[#All],2,0),"")</f>
        <v>Eficiencia</v>
      </c>
      <c r="J50" s="84" t="str">
        <f>+IFERROR(VLOOKUP(D50,Conceptos_Analítica_contraloría[#All],3,0),"")</f>
        <v>Pesos</v>
      </c>
      <c r="K50" s="93">
        <v>0</v>
      </c>
    </row>
    <row r="51" spans="1:11" ht="18.75" customHeight="1" x14ac:dyDescent="0.35">
      <c r="A51" s="93">
        <v>2024</v>
      </c>
      <c r="B51" s="87" t="s">
        <v>178</v>
      </c>
      <c r="C51" s="100">
        <f>IF(OR(Fact_Analitica[[#This Row], [Año]]="",Fact_Analitica[[#This Row], [Mes]]=""),"",DATE(A51,MATCH(B51,{"enero","febrero","marzo","abril","mayo","junio","julio","agosto","septiembre","octubre","noviembre","diciembre"},0)+1,0))</f>
        <v>45473</v>
      </c>
      <c r="D51" t="s">
        <v>64</v>
      </c>
      <c r="E51" t="str">
        <f>+IFERROR(VLOOKUP(Fact_Analitica[[#This Row], [Concepto Anterior]],Conceptos_Analítica_contraloría[#All],5,0),"")</f>
        <v>Puntos a conciliar</v>
      </c>
      <c r="F51" t="str">
        <f ca="1">+IFERROR(VLOOKUP(Fact_Analitica[[#This Row], [Concepto Anterior]],Conceptos_Analítica_contraloría[#All],7,0),"")</f>
        <v/>
      </c>
      <c r="G51" t="s">
        <v>172</v>
      </c>
      <c r="H51" t="s">
        <v>172</v>
      </c>
      <c r="I51" t="str">
        <f>+IFERROR(VLOOKUP(D51,Conceptos_Analítica_contraloría[#All],2,0),"")</f>
        <v>Volumetria</v>
      </c>
      <c r="J51" s="84" t="str">
        <f>+IFERROR(VLOOKUP(D51,Conceptos_Analítica_contraloría[#All],3,0),"")</f>
        <v>Cantidad</v>
      </c>
      <c r="K51" s="93">
        <v>0</v>
      </c>
    </row>
    <row r="52" spans="1:11" ht="18.75" customHeight="1" x14ac:dyDescent="0.35">
      <c r="A52" s="93">
        <v>2024</v>
      </c>
      <c r="B52" s="87" t="s">
        <v>178</v>
      </c>
      <c r="C52" s="100">
        <f>IF(OR(Fact_Analitica[[#This Row], [Año]]="",Fact_Analitica[[#This Row], [Mes]]=""),"",DATE(A52,MATCH(B52,{"enero","febrero","marzo","abril","mayo","junio","julio","agosto","septiembre","octubre","noviembre","diciembre"},0)+1,0))</f>
        <v>45473</v>
      </c>
      <c r="D52" t="s">
        <v>65</v>
      </c>
      <c r="E52" t="str">
        <f>+IFERROR(VLOOKUP(Fact_Analitica[[#This Row], [Concepto Anterior]],Conceptos_Analítica_contraloría[#All],5,0),"")</f>
        <v>Puntos x marca a conciliar</v>
      </c>
      <c r="F52" t="str">
        <f ca="1">+IFERROR(VLOOKUP(Fact_Analitica[[#This Row], [Concepto Anterior]],Conceptos_Analítica_contraloría[#All],7,0),"")</f>
        <v/>
      </c>
      <c r="G52" t="s">
        <v>172</v>
      </c>
      <c r="H52" t="s">
        <v>172</v>
      </c>
      <c r="I52" t="str">
        <f>+IFERROR(VLOOKUP(D52,Conceptos_Analítica_contraloría[#All],2,0),"")</f>
        <v>Volumetria</v>
      </c>
      <c r="J52" s="84" t="str">
        <f>+IFERROR(VLOOKUP(D52,Conceptos_Analítica_contraloría[#All],3,0),"")</f>
        <v>Cantidad</v>
      </c>
      <c r="K52" s="93">
        <v>0</v>
      </c>
    </row>
    <row r="53" spans="1:11" ht="18.75" customHeight="1" x14ac:dyDescent="0.35">
      <c r="A53" s="93">
        <v>2024</v>
      </c>
      <c r="B53" s="87" t="s">
        <v>179</v>
      </c>
      <c r="C53" s="100">
        <f>IF(OR(Fact_Analitica[[#This Row], [Año]]="",Fact_Analitica[[#This Row], [Mes]]=""),"",DATE(A53,MATCH(B53,{"enero","febrero","marzo","abril","mayo","junio","julio","agosto","septiembre","octubre","noviembre","diciembre"},0)+1,0))</f>
        <v>45504</v>
      </c>
      <c r="D53" t="s">
        <v>203</v>
      </c>
      <c r="E53" t="str">
        <f>+IFERROR(VLOOKUP(Fact_Analitica[[#This Row], [Concepto Anterior]],Conceptos_Analítica_contraloría[#All],5,0),"")</f>
        <v>Ajustes Inventarios Cíclico</v>
      </c>
      <c r="F53" t="str">
        <f ca="1">+IFERROR(VLOOKUP(Fact_Analitica[[#This Row], [Concepto Anterior]],Conceptos_Analítica_contraloría[#All],7,0),"")</f>
        <v/>
      </c>
      <c r="G53" t="s">
        <v>172</v>
      </c>
      <c r="H53" t="s">
        <v>172</v>
      </c>
      <c r="I53" t="str">
        <f>+IFERROR(VLOOKUP(D53,Conceptos_Analítica_contraloría[#All],2,0),"")</f>
        <v>Volumetria</v>
      </c>
      <c r="J53" s="84" t="str">
        <f>+IFERROR(VLOOKUP(D53,Conceptos_Analítica_contraloría[#All],3,0),"")</f>
        <v>Cantidad</v>
      </c>
      <c r="K53" s="93">
        <v>75</v>
      </c>
    </row>
    <row r="54" spans="1:11" ht="18.75" customHeight="1" x14ac:dyDescent="0.35">
      <c r="A54" s="93">
        <v>2024</v>
      </c>
      <c r="B54" s="87" t="s">
        <v>179</v>
      </c>
      <c r="C54" s="100">
        <f>IF(OR(Fact_Analitica[[#This Row], [Año]]="",Fact_Analitica[[#This Row], [Mes]]=""),"",DATE(A54,MATCH(B54,{"enero","febrero","marzo","abril","mayo","junio","julio","agosto","septiembre","octubre","noviembre","diciembre"},0)+1,0))</f>
        <v>45504</v>
      </c>
      <c r="D54" t="s">
        <v>60</v>
      </c>
      <c r="E54" t="str">
        <f>+IFERROR(VLOOKUP(Fact_Analitica[[#This Row], [Concepto Anterior]],Conceptos_Analítica_contraloría[#All],5,0),"")</f>
        <v>Ajustes sobrevaloración acumulada de inventarios "Unified"</v>
      </c>
      <c r="F54" t="str">
        <f ca="1">+IFERROR(VLOOKUP(Fact_Analitica[[#This Row], [Concepto Anterior]],Conceptos_Analítica_contraloría[#All],7,0),"")</f>
        <v/>
      </c>
      <c r="G54" t="s">
        <v>172</v>
      </c>
      <c r="H54" t="s">
        <v>172</v>
      </c>
      <c r="I54" t="str">
        <f>+IFERROR(VLOOKUP(D54,Conceptos_Analítica_contraloría[#All],2,0),"")</f>
        <v>Eficiencia</v>
      </c>
      <c r="J54" s="84" t="str">
        <f>+IFERROR(VLOOKUP(D54,Conceptos_Analítica_contraloría[#All],3,0),"")</f>
        <v>Pesos</v>
      </c>
      <c r="K54" s="93">
        <v>1874782402</v>
      </c>
    </row>
    <row r="55" spans="1:11" ht="18.75" customHeight="1" x14ac:dyDescent="0.35">
      <c r="A55" s="93">
        <v>2024</v>
      </c>
      <c r="B55" s="87" t="s">
        <v>179</v>
      </c>
      <c r="C55" s="100">
        <f>IF(OR(Fact_Analitica[[#This Row], [Año]]="",Fact_Analitica[[#This Row], [Mes]]=""),"",DATE(A55,MATCH(B55,{"enero","febrero","marzo","abril","mayo","junio","julio","agosto","septiembre","octubre","noviembre","diciembre"},0)+1,0))</f>
        <v>45504</v>
      </c>
      <c r="D55" t="s">
        <v>62</v>
      </c>
      <c r="E55" t="str">
        <f>+IFERROR(VLOOKUP(Fact_Analitica[[#This Row], [Concepto Anterior]],Conceptos_Analítica_contraloría[#All],5,0),"")</f>
        <v>Automatizaciones descarga y reconversión archivos stock España Mango</v>
      </c>
      <c r="F55" t="str">
        <f ca="1">+IFERROR(VLOOKUP(Fact_Analitica[[#This Row], [Concepto Anterior]],Conceptos_Analítica_contraloría[#All],7,0),"")</f>
        <v/>
      </c>
      <c r="G55" t="s">
        <v>172</v>
      </c>
      <c r="H55" t="s">
        <v>172</v>
      </c>
      <c r="I55" t="str">
        <f>+IFERROR(VLOOKUP(D55,Conceptos_Analítica_contraloría[#All],2,0),"")</f>
        <v>Volumetria</v>
      </c>
      <c r="J55" s="84" t="str">
        <f>+IFERROR(VLOOKUP(D55,Conceptos_Analítica_contraloría[#All],3,0),"")</f>
        <v>Cantidad</v>
      </c>
      <c r="K55" s="93">
        <v>216</v>
      </c>
    </row>
    <row r="56" spans="1:11" ht="18.75" customHeight="1" x14ac:dyDescent="0.35">
      <c r="A56" s="93">
        <v>2024</v>
      </c>
      <c r="B56" s="87" t="s">
        <v>179</v>
      </c>
      <c r="C56" s="100">
        <f>IF(OR(Fact_Analitica[[#This Row], [Año]]="",Fact_Analitica[[#This Row], [Mes]]=""),"",DATE(A56,MATCH(B56,{"enero","febrero","marzo","abril","mayo","junio","julio","agosto","septiembre","octubre","noviembre","diciembre"},0)+1,0))</f>
        <v>45504</v>
      </c>
      <c r="D56" t="s">
        <v>66</v>
      </c>
      <c r="E56" t="str">
        <f>+IFERROR(VLOOKUP(Fact_Analitica[[#This Row], [Concepto Anterior]],Conceptos_Analítica_contraloría[#All],5,0),"")</f>
        <v>Cantidad de registros (consecutivos) a conciliar (Facturas 94%, otros movimientos 6%)</v>
      </c>
      <c r="F56" t="str">
        <f ca="1">+IFERROR(VLOOKUP(Fact_Analitica[[#This Row], [Concepto Anterior]],Conceptos_Analítica_contraloría[#All],7,0),"")</f>
        <v/>
      </c>
      <c r="G56" t="s">
        <v>172</v>
      </c>
      <c r="H56" t="s">
        <v>172</v>
      </c>
      <c r="I56" t="str">
        <f>+IFERROR(VLOOKUP(D56,Conceptos_Analítica_contraloría[#All],2,0),"")</f>
        <v>Volumetria</v>
      </c>
      <c r="J56" s="84" t="str">
        <f>+IFERROR(VLOOKUP(D56,Conceptos_Analítica_contraloría[#All],3,0),"")</f>
        <v>Cantidad</v>
      </c>
      <c r="K56" s="93">
        <v>0</v>
      </c>
    </row>
    <row r="57" spans="1:11" ht="18.75" customHeight="1" x14ac:dyDescent="0.35">
      <c r="A57" s="93">
        <v>2024</v>
      </c>
      <c r="B57" s="87" t="s">
        <v>179</v>
      </c>
      <c r="C57" s="100">
        <f>IF(OR(Fact_Analitica[[#This Row], [Año]]="",Fact_Analitica[[#This Row], [Mes]]=""),"",DATE(A57,MATCH(B57,{"enero","febrero","marzo","abril","mayo","junio","julio","agosto","septiembre","octubre","noviembre","diciembre"},0)+1,0))</f>
        <v>45504</v>
      </c>
      <c r="D57" t="s">
        <v>67</v>
      </c>
      <c r="E57" t="str">
        <f>+IFERROR(VLOOKUP(Fact_Analitica[[#This Row], [Concepto Anterior]],Conceptos_Analítica_contraloría[#All],5,0),"")</f>
        <v>Cantidad de unds a conciliar</v>
      </c>
      <c r="F57" t="str">
        <f ca="1">+IFERROR(VLOOKUP(Fact_Analitica[[#This Row], [Concepto Anterior]],Conceptos_Analítica_contraloría[#All],7,0),"")</f>
        <v/>
      </c>
      <c r="G57" t="s">
        <v>172</v>
      </c>
      <c r="H57" t="s">
        <v>172</v>
      </c>
      <c r="I57" t="str">
        <f>+IFERROR(VLOOKUP(D57,Conceptos_Analítica_contraloría[#All],2,0),"")</f>
        <v>Volumetria</v>
      </c>
      <c r="J57" s="84" t="str">
        <f>+IFERROR(VLOOKUP(D57,Conceptos_Analítica_contraloría[#All],3,0),"")</f>
        <v>Cantidad</v>
      </c>
      <c r="K57" s="93">
        <v>0</v>
      </c>
    </row>
    <row r="58" spans="1:11" ht="18.75" customHeight="1" x14ac:dyDescent="0.35">
      <c r="A58" s="93">
        <v>2024</v>
      </c>
      <c r="B58" s="87" t="s">
        <v>179</v>
      </c>
      <c r="C58" s="100">
        <f>IF(OR(Fact_Analitica[[#This Row], [Año]]="",Fact_Analitica[[#This Row], [Mes]]=""),"",DATE(A58,MATCH(B58,{"enero","febrero","marzo","abril","mayo","junio","julio","agosto","septiembre","octubre","noviembre","diciembre"},0)+1,0))</f>
        <v>45504</v>
      </c>
      <c r="D58" t="s">
        <v>68</v>
      </c>
      <c r="E58" t="str">
        <f>+IFERROR(VLOOKUP(Fact_Analitica[[#This Row], [Concepto Anterior]],Conceptos_Analítica_contraloría[#All],5,0),"")</f>
        <v>Desatrase de facturación merma franquicias</v>
      </c>
      <c r="F58" t="str">
        <f ca="1">+IFERROR(VLOOKUP(Fact_Analitica[[#This Row], [Concepto Anterior]],Conceptos_Analítica_contraloría[#All],7,0),"")</f>
        <v/>
      </c>
      <c r="G58" t="s">
        <v>172</v>
      </c>
      <c r="H58" t="s">
        <v>172</v>
      </c>
      <c r="I58" t="str">
        <f>+IFERROR(VLOOKUP(D58,Conceptos_Analítica_contraloría[#All],2,0),"")</f>
        <v>Eficiencia</v>
      </c>
      <c r="J58" s="84" t="str">
        <f>+IFERROR(VLOOKUP(D58,Conceptos_Analítica_contraloría[#All],3,0),"")</f>
        <v>Pesos</v>
      </c>
      <c r="K58" s="93">
        <v>0</v>
      </c>
    </row>
    <row r="59" spans="1:11" ht="18.75" customHeight="1" x14ac:dyDescent="0.35">
      <c r="A59" s="93">
        <v>2024</v>
      </c>
      <c r="B59" s="87" t="s">
        <v>179</v>
      </c>
      <c r="C59" s="100">
        <f>IF(OR(Fact_Analitica[[#This Row], [Año]]="",Fact_Analitica[[#This Row], [Mes]]=""),"",DATE(A59,MATCH(B59,{"enero","febrero","marzo","abril","mayo","junio","julio","agosto","septiembre","octubre","noviembre","diciembre"},0)+1,0))</f>
        <v>45504</v>
      </c>
      <c r="D59" t="s">
        <v>64</v>
      </c>
      <c r="E59" t="str">
        <f>+IFERROR(VLOOKUP(Fact_Analitica[[#This Row], [Concepto Anterior]],Conceptos_Analítica_contraloría[#All],5,0),"")</f>
        <v>Puntos a conciliar</v>
      </c>
      <c r="F59" t="str">
        <f ca="1">+IFERROR(VLOOKUP(Fact_Analitica[[#This Row], [Concepto Anterior]],Conceptos_Analítica_contraloría[#All],7,0),"")</f>
        <v/>
      </c>
      <c r="G59" t="s">
        <v>172</v>
      </c>
      <c r="H59" t="s">
        <v>172</v>
      </c>
      <c r="I59" t="str">
        <f>+IFERROR(VLOOKUP(D59,Conceptos_Analítica_contraloría[#All],2,0),"")</f>
        <v>Volumetria</v>
      </c>
      <c r="J59" s="84" t="str">
        <f>+IFERROR(VLOOKUP(D59,Conceptos_Analítica_contraloría[#All],3,0),"")</f>
        <v>Cantidad</v>
      </c>
      <c r="K59" s="93">
        <v>0</v>
      </c>
    </row>
    <row r="60" spans="1:11" ht="18.75" customHeight="1" x14ac:dyDescent="0.35">
      <c r="A60" s="93">
        <v>2024</v>
      </c>
      <c r="B60" s="87" t="s">
        <v>179</v>
      </c>
      <c r="C60" s="100">
        <f>IF(OR(Fact_Analitica[[#This Row], [Año]]="",Fact_Analitica[[#This Row], [Mes]]=""),"",DATE(A60,MATCH(B60,{"enero","febrero","marzo","abril","mayo","junio","julio","agosto","septiembre","octubre","noviembre","diciembre"},0)+1,0))</f>
        <v>45504</v>
      </c>
      <c r="D60" t="s">
        <v>65</v>
      </c>
      <c r="E60" t="str">
        <f>+IFERROR(VLOOKUP(Fact_Analitica[[#This Row], [Concepto Anterior]],Conceptos_Analítica_contraloría[#All],5,0),"")</f>
        <v>Puntos x marca a conciliar</v>
      </c>
      <c r="F60" t="str">
        <f ca="1">+IFERROR(VLOOKUP(Fact_Analitica[[#This Row], [Concepto Anterior]],Conceptos_Analítica_contraloría[#All],7,0),"")</f>
        <v/>
      </c>
      <c r="G60" t="s">
        <v>172</v>
      </c>
      <c r="H60" t="s">
        <v>172</v>
      </c>
      <c r="I60" t="str">
        <f>+IFERROR(VLOOKUP(D60,Conceptos_Analítica_contraloría[#All],2,0),"")</f>
        <v>Volumetria</v>
      </c>
      <c r="J60" s="84" t="str">
        <f>+IFERROR(VLOOKUP(D60,Conceptos_Analítica_contraloría[#All],3,0),"")</f>
        <v>Cantidad</v>
      </c>
      <c r="K60" s="93">
        <v>0</v>
      </c>
    </row>
    <row r="61" spans="1:11" ht="18.75" customHeight="1" x14ac:dyDescent="0.35">
      <c r="A61" s="93">
        <v>2024</v>
      </c>
      <c r="B61" s="87" t="s">
        <v>180</v>
      </c>
      <c r="C61" s="100">
        <f>IF(OR(Fact_Analitica[[#This Row], [Año]]="",Fact_Analitica[[#This Row], [Mes]]=""),"",DATE(A61,MATCH(B61,{"enero","febrero","marzo","abril","mayo","junio","julio","agosto","septiembre","octubre","noviembre","diciembre"},0)+1,0))</f>
        <v>45535</v>
      </c>
      <c r="D61" t="s">
        <v>203</v>
      </c>
      <c r="E61" t="str">
        <f>+IFERROR(VLOOKUP(Fact_Analitica[[#This Row], [Concepto Anterior]],Conceptos_Analítica_contraloría[#All],5,0),"")</f>
        <v>Ajustes Inventarios Cíclico</v>
      </c>
      <c r="F61" t="str">
        <f ca="1">+IFERROR(VLOOKUP(Fact_Analitica[[#This Row], [Concepto Anterior]],Conceptos_Analítica_contraloría[#All],7,0),"")</f>
        <v/>
      </c>
      <c r="G61" t="s">
        <v>172</v>
      </c>
      <c r="H61" t="s">
        <v>172</v>
      </c>
      <c r="I61" t="str">
        <f>+IFERROR(VLOOKUP(D61,Conceptos_Analítica_contraloría[#All],2,0),"")</f>
        <v>Volumetria</v>
      </c>
      <c r="J61" s="84" t="str">
        <f>+IFERROR(VLOOKUP(D61,Conceptos_Analítica_contraloría[#All],3,0),"")</f>
        <v>Cantidad</v>
      </c>
      <c r="K61" s="93">
        <v>64</v>
      </c>
    </row>
    <row r="62" spans="1:11" ht="18.75" customHeight="1" x14ac:dyDescent="0.35">
      <c r="A62" s="93">
        <v>2024</v>
      </c>
      <c r="B62" s="87" t="s">
        <v>180</v>
      </c>
      <c r="C62" s="100">
        <f>IF(OR(Fact_Analitica[[#This Row], [Año]]="",Fact_Analitica[[#This Row], [Mes]]=""),"",DATE(A62,MATCH(B62,{"enero","febrero","marzo","abril","mayo","junio","julio","agosto","septiembre","octubre","noviembre","diciembre"},0)+1,0))</f>
        <v>45535</v>
      </c>
      <c r="D62" t="s">
        <v>60</v>
      </c>
      <c r="E62" t="str">
        <f>+IFERROR(VLOOKUP(Fact_Analitica[[#This Row], [Concepto Anterior]],Conceptos_Analítica_contraloría[#All],5,0),"")</f>
        <v>Ajustes sobrevaloración acumulada de inventarios "Unified"</v>
      </c>
      <c r="F62" t="str">
        <f ca="1">+IFERROR(VLOOKUP(Fact_Analitica[[#This Row], [Concepto Anterior]],Conceptos_Analítica_contraloría[#All],7,0),"")</f>
        <v/>
      </c>
      <c r="G62" t="s">
        <v>172</v>
      </c>
      <c r="H62" t="s">
        <v>172</v>
      </c>
      <c r="I62" t="str">
        <f>+IFERROR(VLOOKUP(D62,Conceptos_Analítica_contraloría[#All],2,0),"")</f>
        <v>Eficiencia</v>
      </c>
      <c r="J62" s="84" t="str">
        <f>+IFERROR(VLOOKUP(D62,Conceptos_Analítica_contraloría[#All],3,0),"")</f>
        <v>Pesos</v>
      </c>
      <c r="K62" s="93">
        <v>153065829</v>
      </c>
    </row>
    <row r="63" spans="1:11" ht="18.75" customHeight="1" x14ac:dyDescent="0.35">
      <c r="A63" s="93">
        <v>2024</v>
      </c>
      <c r="B63" s="87" t="s">
        <v>180</v>
      </c>
      <c r="C63" s="100">
        <f>IF(OR(Fact_Analitica[[#This Row], [Año]]="",Fact_Analitica[[#This Row], [Mes]]=""),"",DATE(A63,MATCH(B63,{"enero","febrero","marzo","abril","mayo","junio","julio","agosto","septiembre","octubre","noviembre","diciembre"},0)+1,0))</f>
        <v>45535</v>
      </c>
      <c r="D63" t="s">
        <v>62</v>
      </c>
      <c r="E63" t="str">
        <f>+IFERROR(VLOOKUP(Fact_Analitica[[#This Row], [Concepto Anterior]],Conceptos_Analítica_contraloría[#All],5,0),"")</f>
        <v>Automatizaciones descarga y reconversión archivos stock España Mango</v>
      </c>
      <c r="F63" t="str">
        <f ca="1">+IFERROR(VLOOKUP(Fact_Analitica[[#This Row], [Concepto Anterior]],Conceptos_Analítica_contraloría[#All],7,0),"")</f>
        <v/>
      </c>
      <c r="G63" t="s">
        <v>172</v>
      </c>
      <c r="H63" t="s">
        <v>172</v>
      </c>
      <c r="I63" t="str">
        <f>+IFERROR(VLOOKUP(D63,Conceptos_Analítica_contraloría[#All],2,0),"")</f>
        <v>Volumetria</v>
      </c>
      <c r="J63" s="84" t="str">
        <f>+IFERROR(VLOOKUP(D63,Conceptos_Analítica_contraloría[#All],3,0),"")</f>
        <v>Cantidad</v>
      </c>
      <c r="K63" s="93">
        <v>216</v>
      </c>
    </row>
    <row r="64" spans="1:11" ht="18.75" customHeight="1" x14ac:dyDescent="0.35">
      <c r="A64" s="93">
        <v>2024</v>
      </c>
      <c r="B64" s="87" t="s">
        <v>180</v>
      </c>
      <c r="C64" s="100">
        <f>IF(OR(Fact_Analitica[[#This Row], [Año]]="",Fact_Analitica[[#This Row], [Mes]]=""),"",DATE(A64,MATCH(B64,{"enero","febrero","marzo","abril","mayo","junio","julio","agosto","septiembre","octubre","noviembre","diciembre"},0)+1,0))</f>
        <v>45535</v>
      </c>
      <c r="D64" t="s">
        <v>66</v>
      </c>
      <c r="E64" t="str">
        <f>+IFERROR(VLOOKUP(Fact_Analitica[[#This Row], [Concepto Anterior]],Conceptos_Analítica_contraloría[#All],5,0),"")</f>
        <v>Cantidad de registros (consecutivos) a conciliar (Facturas 94%, otros movimientos 6%)</v>
      </c>
      <c r="F64" t="str">
        <f ca="1">+IFERROR(VLOOKUP(Fact_Analitica[[#This Row], [Concepto Anterior]],Conceptos_Analítica_contraloría[#All],7,0),"")</f>
        <v/>
      </c>
      <c r="G64" t="s">
        <v>172</v>
      </c>
      <c r="H64" t="s">
        <v>172</v>
      </c>
      <c r="I64" t="str">
        <f>+IFERROR(VLOOKUP(D64,Conceptos_Analítica_contraloría[#All],2,0),"")</f>
        <v>Volumetria</v>
      </c>
      <c r="J64" s="84" t="str">
        <f>+IFERROR(VLOOKUP(D64,Conceptos_Analítica_contraloría[#All],3,0),"")</f>
        <v>Cantidad</v>
      </c>
      <c r="K64" s="93">
        <v>0</v>
      </c>
    </row>
    <row r="65" spans="1:11" ht="18.75" customHeight="1" x14ac:dyDescent="0.35">
      <c r="A65" s="93">
        <v>2024</v>
      </c>
      <c r="B65" s="87" t="s">
        <v>180</v>
      </c>
      <c r="C65" s="100">
        <f>IF(OR(Fact_Analitica[[#This Row], [Año]]="",Fact_Analitica[[#This Row], [Mes]]=""),"",DATE(A65,MATCH(B65,{"enero","febrero","marzo","abril","mayo","junio","julio","agosto","septiembre","octubre","noviembre","diciembre"},0)+1,0))</f>
        <v>45535</v>
      </c>
      <c r="D65" t="s">
        <v>67</v>
      </c>
      <c r="E65" t="str">
        <f>+IFERROR(VLOOKUP(Fact_Analitica[[#This Row], [Concepto Anterior]],Conceptos_Analítica_contraloría[#All],5,0),"")</f>
        <v>Cantidad de unds a conciliar</v>
      </c>
      <c r="F65" t="str">
        <f ca="1">+IFERROR(VLOOKUP(Fact_Analitica[[#This Row], [Concepto Anterior]],Conceptos_Analítica_contraloría[#All],7,0),"")</f>
        <v/>
      </c>
      <c r="G65" t="s">
        <v>172</v>
      </c>
      <c r="H65" t="s">
        <v>172</v>
      </c>
      <c r="I65" t="str">
        <f>+IFERROR(VLOOKUP(D65,Conceptos_Analítica_contraloría[#All],2,0),"")</f>
        <v>Volumetria</v>
      </c>
      <c r="J65" s="84" t="str">
        <f>+IFERROR(VLOOKUP(D65,Conceptos_Analítica_contraloría[#All],3,0),"")</f>
        <v>Cantidad</v>
      </c>
      <c r="K65" s="93">
        <v>0</v>
      </c>
    </row>
    <row r="66" spans="1:11" ht="18.75" customHeight="1" x14ac:dyDescent="0.35">
      <c r="A66" s="93">
        <v>2024</v>
      </c>
      <c r="B66" s="87" t="s">
        <v>180</v>
      </c>
      <c r="C66" s="100">
        <f>IF(OR(Fact_Analitica[[#This Row], [Año]]="",Fact_Analitica[[#This Row], [Mes]]=""),"",DATE(A66,MATCH(B66,{"enero","febrero","marzo","abril","mayo","junio","julio","agosto","septiembre","octubre","noviembre","diciembre"},0)+1,0))</f>
        <v>45535</v>
      </c>
      <c r="D66" t="s">
        <v>68</v>
      </c>
      <c r="E66" t="str">
        <f>+IFERROR(VLOOKUP(Fact_Analitica[[#This Row], [Concepto Anterior]],Conceptos_Analítica_contraloría[#All],5,0),"")</f>
        <v>Desatrase de facturación merma franquicias</v>
      </c>
      <c r="F66" t="str">
        <f ca="1">+IFERROR(VLOOKUP(Fact_Analitica[[#This Row], [Concepto Anterior]],Conceptos_Analítica_contraloría[#All],7,0),"")</f>
        <v/>
      </c>
      <c r="G66" t="s">
        <v>172</v>
      </c>
      <c r="H66" t="s">
        <v>172</v>
      </c>
      <c r="I66" t="str">
        <f>+IFERROR(VLOOKUP(D66,Conceptos_Analítica_contraloría[#All],2,0),"")</f>
        <v>Eficiencia</v>
      </c>
      <c r="J66" s="84" t="str">
        <f>+IFERROR(VLOOKUP(D66,Conceptos_Analítica_contraloría[#All],3,0),"")</f>
        <v>Pesos</v>
      </c>
      <c r="K66" s="93">
        <v>0</v>
      </c>
    </row>
    <row r="67" spans="1:11" ht="18.75" customHeight="1" x14ac:dyDescent="0.35">
      <c r="A67" s="93">
        <v>2024</v>
      </c>
      <c r="B67" s="87" t="s">
        <v>180</v>
      </c>
      <c r="C67" s="100">
        <f>IF(OR(Fact_Analitica[[#This Row], [Año]]="",Fact_Analitica[[#This Row], [Mes]]=""),"",DATE(A67,MATCH(B67,{"enero","febrero","marzo","abril","mayo","junio","julio","agosto","septiembre","octubre","noviembre","diciembre"},0)+1,0))</f>
        <v>45535</v>
      </c>
      <c r="D67" t="s">
        <v>64</v>
      </c>
      <c r="E67" t="str">
        <f>+IFERROR(VLOOKUP(Fact_Analitica[[#This Row], [Concepto Anterior]],Conceptos_Analítica_contraloría[#All],5,0),"")</f>
        <v>Puntos a conciliar</v>
      </c>
      <c r="F67" t="str">
        <f ca="1">+IFERROR(VLOOKUP(Fact_Analitica[[#This Row], [Concepto Anterior]],Conceptos_Analítica_contraloría[#All],7,0),"")</f>
        <v/>
      </c>
      <c r="G67" t="s">
        <v>172</v>
      </c>
      <c r="H67" t="s">
        <v>172</v>
      </c>
      <c r="I67" t="str">
        <f>+IFERROR(VLOOKUP(D67,Conceptos_Analítica_contraloría[#All],2,0),"")</f>
        <v>Volumetria</v>
      </c>
      <c r="J67" s="84" t="str">
        <f>+IFERROR(VLOOKUP(D67,Conceptos_Analítica_contraloría[#All],3,0),"")</f>
        <v>Cantidad</v>
      </c>
      <c r="K67" s="93">
        <v>0</v>
      </c>
    </row>
    <row r="68" spans="1:11" ht="18.75" customHeight="1" x14ac:dyDescent="0.35">
      <c r="A68" s="93">
        <v>2024</v>
      </c>
      <c r="B68" s="87" t="s">
        <v>180</v>
      </c>
      <c r="C68" s="100">
        <f>IF(OR(Fact_Analitica[[#This Row], [Año]]="",Fact_Analitica[[#This Row], [Mes]]=""),"",DATE(A68,MATCH(B68,{"enero","febrero","marzo","abril","mayo","junio","julio","agosto","septiembre","octubre","noviembre","diciembre"},0)+1,0))</f>
        <v>45535</v>
      </c>
      <c r="D68" t="s">
        <v>65</v>
      </c>
      <c r="E68" t="str">
        <f>+IFERROR(VLOOKUP(Fact_Analitica[[#This Row], [Concepto Anterior]],Conceptos_Analítica_contraloría[#All],5,0),"")</f>
        <v>Puntos x marca a conciliar</v>
      </c>
      <c r="F68" t="str">
        <f ca="1">+IFERROR(VLOOKUP(Fact_Analitica[[#This Row], [Concepto Anterior]],Conceptos_Analítica_contraloría[#All],7,0),"")</f>
        <v/>
      </c>
      <c r="G68" t="s">
        <v>172</v>
      </c>
      <c r="H68" t="s">
        <v>172</v>
      </c>
      <c r="I68" t="str">
        <f>+IFERROR(VLOOKUP(D68,Conceptos_Analítica_contraloría[#All],2,0),"")</f>
        <v>Volumetria</v>
      </c>
      <c r="J68" s="84" t="str">
        <f>+IFERROR(VLOOKUP(D68,Conceptos_Analítica_contraloría[#All],3,0),"")</f>
        <v>Cantidad</v>
      </c>
      <c r="K68" s="93">
        <v>0</v>
      </c>
    </row>
    <row r="69" spans="1:11" ht="18.75" customHeight="1" x14ac:dyDescent="0.35">
      <c r="A69" s="93">
        <v>2024</v>
      </c>
      <c r="B69" s="87" t="s">
        <v>181</v>
      </c>
      <c r="C69" s="100">
        <f>IF(OR(Fact_Analitica[[#This Row], [Año]]="",Fact_Analitica[[#This Row], [Mes]]=""),"",DATE(A69,MATCH(B69,{"enero","febrero","marzo","abril","mayo","junio","julio","agosto","septiembre","octubre","noviembre","diciembre"},0)+1,0))</f>
        <v>45565</v>
      </c>
      <c r="D69" t="s">
        <v>203</v>
      </c>
      <c r="E69" t="str">
        <f>+IFERROR(VLOOKUP(Fact_Analitica[[#This Row], [Concepto Anterior]],Conceptos_Analítica_contraloría[#All],5,0),"")</f>
        <v>Ajustes Inventarios Cíclico</v>
      </c>
      <c r="F69" t="str">
        <f ca="1">+IFERROR(VLOOKUP(Fact_Analitica[[#This Row], [Concepto Anterior]],Conceptos_Analítica_contraloría[#All],7,0),"")</f>
        <v/>
      </c>
      <c r="G69" t="s">
        <v>172</v>
      </c>
      <c r="H69" t="s">
        <v>172</v>
      </c>
      <c r="I69" t="str">
        <f>+IFERROR(VLOOKUP(D69,Conceptos_Analítica_contraloría[#All],2,0),"")</f>
        <v>Volumetria</v>
      </c>
      <c r="J69" s="84" t="str">
        <f>+IFERROR(VLOOKUP(D69,Conceptos_Analítica_contraloría[#All],3,0),"")</f>
        <v>Cantidad</v>
      </c>
      <c r="K69" s="93">
        <v>39</v>
      </c>
    </row>
    <row r="70" spans="1:11" ht="18.75" customHeight="1" x14ac:dyDescent="0.35">
      <c r="A70" s="93">
        <v>2024</v>
      </c>
      <c r="B70" s="87" t="s">
        <v>181</v>
      </c>
      <c r="C70" s="100">
        <f>IF(OR(Fact_Analitica[[#This Row], [Año]]="",Fact_Analitica[[#This Row], [Mes]]=""),"",DATE(A70,MATCH(B70,{"enero","febrero","marzo","abril","mayo","junio","julio","agosto","septiembre","octubre","noviembre","diciembre"},0)+1,0))</f>
        <v>45565</v>
      </c>
      <c r="D70" t="s">
        <v>60</v>
      </c>
      <c r="E70" t="str">
        <f>+IFERROR(VLOOKUP(Fact_Analitica[[#This Row], [Concepto Anterior]],Conceptos_Analítica_contraloría[#All],5,0),"")</f>
        <v>Ajustes sobrevaloración acumulada de inventarios "Unified"</v>
      </c>
      <c r="F70" t="str">
        <f ca="1">+IFERROR(VLOOKUP(Fact_Analitica[[#This Row], [Concepto Anterior]],Conceptos_Analítica_contraloría[#All],7,0),"")</f>
        <v/>
      </c>
      <c r="G70" t="s">
        <v>172</v>
      </c>
      <c r="H70" t="s">
        <v>172</v>
      </c>
      <c r="I70" t="str">
        <f>+IFERROR(VLOOKUP(D70,Conceptos_Analítica_contraloría[#All],2,0),"")</f>
        <v>Eficiencia</v>
      </c>
      <c r="J70" s="84" t="str">
        <f>+IFERROR(VLOOKUP(D70,Conceptos_Analítica_contraloría[#All],3,0),"")</f>
        <v>Pesos</v>
      </c>
      <c r="K70" s="93">
        <v>0</v>
      </c>
    </row>
    <row r="71" spans="1:11" ht="18.75" customHeight="1" x14ac:dyDescent="0.35">
      <c r="A71" s="93">
        <v>2024</v>
      </c>
      <c r="B71" s="87" t="s">
        <v>181</v>
      </c>
      <c r="C71" s="100">
        <f>IF(OR(Fact_Analitica[[#This Row], [Año]]="",Fact_Analitica[[#This Row], [Mes]]=""),"",DATE(A71,MATCH(B71,{"enero","febrero","marzo","abril","mayo","junio","julio","agosto","septiembre","octubre","noviembre","diciembre"},0)+1,0))</f>
        <v>45565</v>
      </c>
      <c r="D71" t="s">
        <v>62</v>
      </c>
      <c r="E71" t="str">
        <f>+IFERROR(VLOOKUP(Fact_Analitica[[#This Row], [Concepto Anterior]],Conceptos_Analítica_contraloría[#All],5,0),"")</f>
        <v>Automatizaciones descarga y reconversión archivos stock España Mango</v>
      </c>
      <c r="F71" t="str">
        <f ca="1">+IFERROR(VLOOKUP(Fact_Analitica[[#This Row], [Concepto Anterior]],Conceptos_Analítica_contraloría[#All],7,0),"")</f>
        <v/>
      </c>
      <c r="G71" t="s">
        <v>172</v>
      </c>
      <c r="H71" t="s">
        <v>172</v>
      </c>
      <c r="I71" t="str">
        <f>+IFERROR(VLOOKUP(D71,Conceptos_Analítica_contraloría[#All],2,0),"")</f>
        <v>Volumetria</v>
      </c>
      <c r="J71" s="84" t="str">
        <f>+IFERROR(VLOOKUP(D71,Conceptos_Analítica_contraloría[#All],3,0),"")</f>
        <v>Cantidad</v>
      </c>
      <c r="K71" s="93">
        <v>216</v>
      </c>
    </row>
    <row r="72" spans="1:11" ht="18.75" customHeight="1" x14ac:dyDescent="0.35">
      <c r="A72" s="93">
        <v>2024</v>
      </c>
      <c r="B72" s="87" t="s">
        <v>181</v>
      </c>
      <c r="C72" s="100">
        <f>IF(OR(Fact_Analitica[[#This Row], [Año]]="",Fact_Analitica[[#This Row], [Mes]]=""),"",DATE(A72,MATCH(B72,{"enero","febrero","marzo","abril","mayo","junio","julio","agosto","septiembre","octubre","noviembre","diciembre"},0)+1,0))</f>
        <v>45565</v>
      </c>
      <c r="D72" t="s">
        <v>66</v>
      </c>
      <c r="E72" t="str">
        <f>+IFERROR(VLOOKUP(Fact_Analitica[[#This Row], [Concepto Anterior]],Conceptos_Analítica_contraloría[#All],5,0),"")</f>
        <v>Cantidad de registros (consecutivos) a conciliar (Facturas 94%, otros movimientos 6%)</v>
      </c>
      <c r="F72" t="str">
        <f ca="1">+IFERROR(VLOOKUP(Fact_Analitica[[#This Row], [Concepto Anterior]],Conceptos_Analítica_contraloría[#All],7,0),"")</f>
        <v/>
      </c>
      <c r="G72" t="s">
        <v>172</v>
      </c>
      <c r="H72" t="s">
        <v>172</v>
      </c>
      <c r="I72" t="str">
        <f>+IFERROR(VLOOKUP(D72,Conceptos_Analítica_contraloría[#All],2,0),"")</f>
        <v>Volumetria</v>
      </c>
      <c r="J72" s="84" t="str">
        <f>+IFERROR(VLOOKUP(D72,Conceptos_Analítica_contraloría[#All],3,0),"")</f>
        <v>Cantidad</v>
      </c>
      <c r="K72" s="93">
        <v>0</v>
      </c>
    </row>
    <row r="73" spans="1:11" ht="18.75" customHeight="1" x14ac:dyDescent="0.35">
      <c r="A73" s="93">
        <v>2024</v>
      </c>
      <c r="B73" s="87" t="s">
        <v>181</v>
      </c>
      <c r="C73" s="100">
        <f>IF(OR(Fact_Analitica[[#This Row], [Año]]="",Fact_Analitica[[#This Row], [Mes]]=""),"",DATE(A73,MATCH(B73,{"enero","febrero","marzo","abril","mayo","junio","julio","agosto","septiembre","octubre","noviembre","diciembre"},0)+1,0))</f>
        <v>45565</v>
      </c>
      <c r="D73" t="s">
        <v>67</v>
      </c>
      <c r="E73" t="str">
        <f>+IFERROR(VLOOKUP(Fact_Analitica[[#This Row], [Concepto Anterior]],Conceptos_Analítica_contraloría[#All],5,0),"")</f>
        <v>Cantidad de unds a conciliar</v>
      </c>
      <c r="F73" t="str">
        <f ca="1">+IFERROR(VLOOKUP(Fact_Analitica[[#This Row], [Concepto Anterior]],Conceptos_Analítica_contraloría[#All],7,0),"")</f>
        <v/>
      </c>
      <c r="G73" t="s">
        <v>172</v>
      </c>
      <c r="H73" t="s">
        <v>172</v>
      </c>
      <c r="I73" t="str">
        <f>+IFERROR(VLOOKUP(D73,Conceptos_Analítica_contraloría[#All],2,0),"")</f>
        <v>Volumetria</v>
      </c>
      <c r="J73" s="84" t="str">
        <f>+IFERROR(VLOOKUP(D73,Conceptos_Analítica_contraloría[#All],3,0),"")</f>
        <v>Cantidad</v>
      </c>
      <c r="K73" s="93">
        <v>0</v>
      </c>
    </row>
    <row r="74" spans="1:11" ht="18.75" customHeight="1" x14ac:dyDescent="0.35">
      <c r="A74" s="93">
        <v>2024</v>
      </c>
      <c r="B74" s="87" t="s">
        <v>181</v>
      </c>
      <c r="C74" s="100">
        <f>IF(OR(Fact_Analitica[[#This Row], [Año]]="",Fact_Analitica[[#This Row], [Mes]]=""),"",DATE(A74,MATCH(B74,{"enero","febrero","marzo","abril","mayo","junio","julio","agosto","septiembre","octubre","noviembre","diciembre"},0)+1,0))</f>
        <v>45565</v>
      </c>
      <c r="D74" t="s">
        <v>68</v>
      </c>
      <c r="E74" t="str">
        <f>+IFERROR(VLOOKUP(Fact_Analitica[[#This Row], [Concepto Anterior]],Conceptos_Analítica_contraloría[#All],5,0),"")</f>
        <v>Desatrase de facturación merma franquicias</v>
      </c>
      <c r="F74" t="str">
        <f ca="1">+IFERROR(VLOOKUP(Fact_Analitica[[#This Row], [Concepto Anterior]],Conceptos_Analítica_contraloría[#All],7,0),"")</f>
        <v/>
      </c>
      <c r="G74" t="s">
        <v>172</v>
      </c>
      <c r="H74" t="s">
        <v>172</v>
      </c>
      <c r="I74" t="str">
        <f>+IFERROR(VLOOKUP(D74,Conceptos_Analítica_contraloría[#All],2,0),"")</f>
        <v>Eficiencia</v>
      </c>
      <c r="J74" s="84" t="str">
        <f>+IFERROR(VLOOKUP(D74,Conceptos_Analítica_contraloría[#All],3,0),"")</f>
        <v>Pesos</v>
      </c>
      <c r="K74" s="93">
        <v>0</v>
      </c>
    </row>
    <row r="75" spans="1:11" ht="18.75" customHeight="1" x14ac:dyDescent="0.35">
      <c r="A75" s="93">
        <v>2024</v>
      </c>
      <c r="B75" s="87" t="s">
        <v>181</v>
      </c>
      <c r="C75" s="100">
        <f>IF(OR(Fact_Analitica[[#This Row], [Año]]="",Fact_Analitica[[#This Row], [Mes]]=""),"",DATE(A75,MATCH(B75,{"enero","febrero","marzo","abril","mayo","junio","julio","agosto","septiembre","octubre","noviembre","diciembre"},0)+1,0))</f>
        <v>45565</v>
      </c>
      <c r="D75" t="s">
        <v>64</v>
      </c>
      <c r="E75" t="str">
        <f>+IFERROR(VLOOKUP(Fact_Analitica[[#This Row], [Concepto Anterior]],Conceptos_Analítica_contraloría[#All],5,0),"")</f>
        <v>Puntos a conciliar</v>
      </c>
      <c r="F75" t="str">
        <f ca="1">+IFERROR(VLOOKUP(Fact_Analitica[[#This Row], [Concepto Anterior]],Conceptos_Analítica_contraloría[#All],7,0),"")</f>
        <v/>
      </c>
      <c r="G75" t="s">
        <v>172</v>
      </c>
      <c r="H75" t="s">
        <v>172</v>
      </c>
      <c r="I75" t="str">
        <f>+IFERROR(VLOOKUP(D75,Conceptos_Analítica_contraloría[#All],2,0),"")</f>
        <v>Volumetria</v>
      </c>
      <c r="J75" s="84" t="str">
        <f>+IFERROR(VLOOKUP(D75,Conceptos_Analítica_contraloría[#All],3,0),"")</f>
        <v>Cantidad</v>
      </c>
      <c r="K75" s="93">
        <v>0</v>
      </c>
    </row>
    <row r="76" spans="1:11" ht="18.75" customHeight="1" x14ac:dyDescent="0.35">
      <c r="A76" s="93">
        <v>2024</v>
      </c>
      <c r="B76" s="87" t="s">
        <v>181</v>
      </c>
      <c r="C76" s="100">
        <f>IF(OR(Fact_Analitica[[#This Row], [Año]]="",Fact_Analitica[[#This Row], [Mes]]=""),"",DATE(A76,MATCH(B76,{"enero","febrero","marzo","abril","mayo","junio","julio","agosto","septiembre","octubre","noviembre","diciembre"},0)+1,0))</f>
        <v>45565</v>
      </c>
      <c r="D76" t="s">
        <v>65</v>
      </c>
      <c r="E76" t="str">
        <f>+IFERROR(VLOOKUP(Fact_Analitica[[#This Row], [Concepto Anterior]],Conceptos_Analítica_contraloría[#All],5,0),"")</f>
        <v>Puntos x marca a conciliar</v>
      </c>
      <c r="F76" t="str">
        <f ca="1">+IFERROR(VLOOKUP(Fact_Analitica[[#This Row], [Concepto Anterior]],Conceptos_Analítica_contraloría[#All],7,0),"")</f>
        <v/>
      </c>
      <c r="G76" t="s">
        <v>172</v>
      </c>
      <c r="H76" t="s">
        <v>172</v>
      </c>
      <c r="I76" t="str">
        <f>+IFERROR(VLOOKUP(D76,Conceptos_Analítica_contraloría[#All],2,0),"")</f>
        <v>Volumetria</v>
      </c>
      <c r="J76" s="84" t="str">
        <f>+IFERROR(VLOOKUP(D76,Conceptos_Analítica_contraloría[#All],3,0),"")</f>
        <v>Cantidad</v>
      </c>
      <c r="K76" s="93">
        <v>0</v>
      </c>
    </row>
    <row r="77" spans="1:11" ht="18.75" customHeight="1" x14ac:dyDescent="0.35">
      <c r="A77" s="93">
        <v>2024</v>
      </c>
      <c r="B77" s="87" t="s">
        <v>182</v>
      </c>
      <c r="C77" s="100">
        <f>IF(OR(Fact_Analitica[[#This Row], [Año]]="",Fact_Analitica[[#This Row], [Mes]]=""),"",DATE(A77,MATCH(B77,{"enero","febrero","marzo","abril","mayo","junio","julio","agosto","septiembre","octubre","noviembre","diciembre"},0)+1,0))</f>
        <v>45596</v>
      </c>
      <c r="D77" t="s">
        <v>203</v>
      </c>
      <c r="E77" t="str">
        <f>+IFERROR(VLOOKUP(Fact_Analitica[[#This Row], [Concepto Anterior]],Conceptos_Analítica_contraloría[#All],5,0),"")</f>
        <v>Ajustes Inventarios Cíclico</v>
      </c>
      <c r="F77" t="str">
        <f ca="1">+IFERROR(VLOOKUP(Fact_Analitica[[#This Row], [Concepto Anterior]],Conceptos_Analítica_contraloría[#All],7,0),"")</f>
        <v/>
      </c>
      <c r="G77" t="s">
        <v>172</v>
      </c>
      <c r="H77" t="s">
        <v>172</v>
      </c>
      <c r="I77" t="str">
        <f>+IFERROR(VLOOKUP(D77,Conceptos_Analítica_contraloría[#All],2,0),"")</f>
        <v>Volumetria</v>
      </c>
      <c r="J77" s="84" t="str">
        <f>+IFERROR(VLOOKUP(D77,Conceptos_Analítica_contraloría[#All],3,0),"")</f>
        <v>Cantidad</v>
      </c>
      <c r="K77" s="93">
        <v>43</v>
      </c>
    </row>
    <row r="78" spans="1:11" ht="18.75" customHeight="1" x14ac:dyDescent="0.35">
      <c r="A78" s="93">
        <v>2024</v>
      </c>
      <c r="B78" s="87" t="s">
        <v>182</v>
      </c>
      <c r="C78" s="100">
        <f>IF(OR(Fact_Analitica[[#This Row], [Año]]="",Fact_Analitica[[#This Row], [Mes]]=""),"",DATE(A78,MATCH(B78,{"enero","febrero","marzo","abril","mayo","junio","julio","agosto","septiembre","octubre","noviembre","diciembre"},0)+1,0))</f>
        <v>45596</v>
      </c>
      <c r="D78" t="s">
        <v>60</v>
      </c>
      <c r="E78" t="str">
        <f>+IFERROR(VLOOKUP(Fact_Analitica[[#This Row], [Concepto Anterior]],Conceptos_Analítica_contraloría[#All],5,0),"")</f>
        <v>Ajustes sobrevaloración acumulada de inventarios "Unified"</v>
      </c>
      <c r="F78" t="str">
        <f ca="1">+IFERROR(VLOOKUP(Fact_Analitica[[#This Row], [Concepto Anterior]],Conceptos_Analítica_contraloría[#All],7,0),"")</f>
        <v/>
      </c>
      <c r="G78" t="s">
        <v>172</v>
      </c>
      <c r="H78" t="s">
        <v>172</v>
      </c>
      <c r="I78" t="str">
        <f>+IFERROR(VLOOKUP(D78,Conceptos_Analítica_contraloría[#All],2,0),"")</f>
        <v>Eficiencia</v>
      </c>
      <c r="J78" s="84" t="str">
        <f>+IFERROR(VLOOKUP(D78,Conceptos_Analítica_contraloría[#All],3,0),"")</f>
        <v>Pesos</v>
      </c>
      <c r="K78" s="93">
        <v>0</v>
      </c>
    </row>
    <row r="79" spans="1:11" ht="18.75" customHeight="1" x14ac:dyDescent="0.35">
      <c r="A79" s="93">
        <v>2024</v>
      </c>
      <c r="B79" s="87" t="s">
        <v>182</v>
      </c>
      <c r="C79" s="100">
        <f>IF(OR(Fact_Analitica[[#This Row], [Año]]="",Fact_Analitica[[#This Row], [Mes]]=""),"",DATE(A79,MATCH(B79,{"enero","febrero","marzo","abril","mayo","junio","julio","agosto","septiembre","octubre","noviembre","diciembre"},0)+1,0))</f>
        <v>45596</v>
      </c>
      <c r="D79" t="s">
        <v>62</v>
      </c>
      <c r="E79" t="str">
        <f>+IFERROR(VLOOKUP(Fact_Analitica[[#This Row], [Concepto Anterior]],Conceptos_Analítica_contraloría[#All],5,0),"")</f>
        <v>Automatizaciones descarga y reconversión archivos stock España Mango</v>
      </c>
      <c r="F79" t="str">
        <f ca="1">+IFERROR(VLOOKUP(Fact_Analitica[[#This Row], [Concepto Anterior]],Conceptos_Analítica_contraloría[#All],7,0),"")</f>
        <v/>
      </c>
      <c r="G79" t="s">
        <v>172</v>
      </c>
      <c r="H79" t="s">
        <v>172</v>
      </c>
      <c r="I79" t="str">
        <f>+IFERROR(VLOOKUP(D79,Conceptos_Analítica_contraloría[#All],2,0),"")</f>
        <v>Volumetria</v>
      </c>
      <c r="J79" s="84" t="str">
        <f>+IFERROR(VLOOKUP(D79,Conceptos_Analítica_contraloría[#All],3,0),"")</f>
        <v>Cantidad</v>
      </c>
      <c r="K79" s="93">
        <v>216</v>
      </c>
    </row>
    <row r="80" spans="1:11" ht="18.75" customHeight="1" x14ac:dyDescent="0.35">
      <c r="A80" s="93">
        <v>2024</v>
      </c>
      <c r="B80" s="87" t="s">
        <v>182</v>
      </c>
      <c r="C80" s="100">
        <f>IF(OR(Fact_Analitica[[#This Row], [Año]]="",Fact_Analitica[[#This Row], [Mes]]=""),"",DATE(A80,MATCH(B80,{"enero","febrero","marzo","abril","mayo","junio","julio","agosto","septiembre","octubre","noviembre","diciembre"},0)+1,0))</f>
        <v>45596</v>
      </c>
      <c r="D80" t="s">
        <v>66</v>
      </c>
      <c r="E80" t="str">
        <f>+IFERROR(VLOOKUP(Fact_Analitica[[#This Row], [Concepto Anterior]],Conceptos_Analítica_contraloría[#All],5,0),"")</f>
        <v>Cantidad de registros (consecutivos) a conciliar (Facturas 94%, otros movimientos 6%)</v>
      </c>
      <c r="F80" t="str">
        <f ca="1">+IFERROR(VLOOKUP(Fact_Analitica[[#This Row], [Concepto Anterior]],Conceptos_Analítica_contraloría[#All],7,0),"")</f>
        <v/>
      </c>
      <c r="G80" t="s">
        <v>172</v>
      </c>
      <c r="H80" t="s">
        <v>172</v>
      </c>
      <c r="I80" t="str">
        <f>+IFERROR(VLOOKUP(D80,Conceptos_Analítica_contraloría[#All],2,0),"")</f>
        <v>Volumetria</v>
      </c>
      <c r="J80" s="84" t="str">
        <f>+IFERROR(VLOOKUP(D80,Conceptos_Analítica_contraloría[#All],3,0),"")</f>
        <v>Cantidad</v>
      </c>
      <c r="K80" s="93">
        <v>0</v>
      </c>
    </row>
    <row r="81" spans="1:11" ht="18.75" customHeight="1" x14ac:dyDescent="0.35">
      <c r="A81" s="93">
        <v>2024</v>
      </c>
      <c r="B81" s="87" t="s">
        <v>182</v>
      </c>
      <c r="C81" s="100">
        <f>IF(OR(Fact_Analitica[[#This Row], [Año]]="",Fact_Analitica[[#This Row], [Mes]]=""),"",DATE(A81,MATCH(B81,{"enero","febrero","marzo","abril","mayo","junio","julio","agosto","septiembre","octubre","noviembre","diciembre"},0)+1,0))</f>
        <v>45596</v>
      </c>
      <c r="D81" t="s">
        <v>67</v>
      </c>
      <c r="E81" t="str">
        <f>+IFERROR(VLOOKUP(Fact_Analitica[[#This Row], [Concepto Anterior]],Conceptos_Analítica_contraloría[#All],5,0),"")</f>
        <v>Cantidad de unds a conciliar</v>
      </c>
      <c r="F81" t="str">
        <f ca="1">+IFERROR(VLOOKUP(Fact_Analitica[[#This Row], [Concepto Anterior]],Conceptos_Analítica_contraloría[#All],7,0),"")</f>
        <v/>
      </c>
      <c r="G81" t="s">
        <v>172</v>
      </c>
      <c r="H81" t="s">
        <v>172</v>
      </c>
      <c r="I81" t="str">
        <f>+IFERROR(VLOOKUP(D81,Conceptos_Analítica_contraloría[#All],2,0),"")</f>
        <v>Volumetria</v>
      </c>
      <c r="J81" s="84" t="str">
        <f>+IFERROR(VLOOKUP(D81,Conceptos_Analítica_contraloría[#All],3,0),"")</f>
        <v>Cantidad</v>
      </c>
      <c r="K81" s="93">
        <v>0</v>
      </c>
    </row>
    <row r="82" spans="1:11" ht="18.75" customHeight="1" x14ac:dyDescent="0.35">
      <c r="A82" s="93">
        <v>2024</v>
      </c>
      <c r="B82" s="87" t="s">
        <v>182</v>
      </c>
      <c r="C82" s="100">
        <f>IF(OR(Fact_Analitica[[#This Row], [Año]]="",Fact_Analitica[[#This Row], [Mes]]=""),"",DATE(A82,MATCH(B82,{"enero","febrero","marzo","abril","mayo","junio","julio","agosto","septiembre","octubre","noviembre","diciembre"},0)+1,0))</f>
        <v>45596</v>
      </c>
      <c r="D82" t="s">
        <v>68</v>
      </c>
      <c r="E82" t="str">
        <f>+IFERROR(VLOOKUP(Fact_Analitica[[#This Row], [Concepto Anterior]],Conceptos_Analítica_contraloría[#All],5,0),"")</f>
        <v>Desatrase de facturación merma franquicias</v>
      </c>
      <c r="F82" t="str">
        <f ca="1">+IFERROR(VLOOKUP(Fact_Analitica[[#This Row], [Concepto Anterior]],Conceptos_Analítica_contraloría[#All],7,0),"")</f>
        <v/>
      </c>
      <c r="G82" t="s">
        <v>172</v>
      </c>
      <c r="H82" t="s">
        <v>172</v>
      </c>
      <c r="I82" t="str">
        <f>+IFERROR(VLOOKUP(D82,Conceptos_Analítica_contraloría[#All],2,0),"")</f>
        <v>Eficiencia</v>
      </c>
      <c r="J82" s="84" t="str">
        <f>+IFERROR(VLOOKUP(D82,Conceptos_Analítica_contraloría[#All],3,0),"")</f>
        <v>Pesos</v>
      </c>
      <c r="K82" s="93">
        <v>0</v>
      </c>
    </row>
    <row r="83" spans="1:11" ht="18.75" customHeight="1" x14ac:dyDescent="0.35">
      <c r="A83" s="93">
        <v>2024</v>
      </c>
      <c r="B83" s="87" t="s">
        <v>182</v>
      </c>
      <c r="C83" s="100">
        <f>IF(OR(Fact_Analitica[[#This Row], [Año]]="",Fact_Analitica[[#This Row], [Mes]]=""),"",DATE(A83,MATCH(B83,{"enero","febrero","marzo","abril","mayo","junio","julio","agosto","septiembre","octubre","noviembre","diciembre"},0)+1,0))</f>
        <v>45596</v>
      </c>
      <c r="D83" t="s">
        <v>64</v>
      </c>
      <c r="E83" t="str">
        <f>+IFERROR(VLOOKUP(Fact_Analitica[[#This Row], [Concepto Anterior]],Conceptos_Analítica_contraloría[#All],5,0),"")</f>
        <v>Puntos a conciliar</v>
      </c>
      <c r="F83" t="str">
        <f ca="1">+IFERROR(VLOOKUP(Fact_Analitica[[#This Row], [Concepto Anterior]],Conceptos_Analítica_contraloría[#All],7,0),"")</f>
        <v/>
      </c>
      <c r="G83" t="s">
        <v>172</v>
      </c>
      <c r="H83" t="s">
        <v>172</v>
      </c>
      <c r="I83" t="str">
        <f>+IFERROR(VLOOKUP(D83,Conceptos_Analítica_contraloría[#All],2,0),"")</f>
        <v>Volumetria</v>
      </c>
      <c r="J83" s="84" t="str">
        <f>+IFERROR(VLOOKUP(D83,Conceptos_Analítica_contraloría[#All],3,0),"")</f>
        <v>Cantidad</v>
      </c>
      <c r="K83" s="93">
        <v>0</v>
      </c>
    </row>
    <row r="84" spans="1:11" ht="18.75" customHeight="1" x14ac:dyDescent="0.35">
      <c r="A84" s="93">
        <v>2024</v>
      </c>
      <c r="B84" s="87" t="s">
        <v>182</v>
      </c>
      <c r="C84" s="100">
        <f>IF(OR(Fact_Analitica[[#This Row], [Año]]="",Fact_Analitica[[#This Row], [Mes]]=""),"",DATE(A84,MATCH(B84,{"enero","febrero","marzo","abril","mayo","junio","julio","agosto","septiembre","octubre","noviembre","diciembre"},0)+1,0))</f>
        <v>45596</v>
      </c>
      <c r="D84" t="s">
        <v>65</v>
      </c>
      <c r="E84" t="str">
        <f>+IFERROR(VLOOKUP(Fact_Analitica[[#This Row], [Concepto Anterior]],Conceptos_Analítica_contraloría[#All],5,0),"")</f>
        <v>Puntos x marca a conciliar</v>
      </c>
      <c r="F84" t="str">
        <f ca="1">+IFERROR(VLOOKUP(Fact_Analitica[[#This Row], [Concepto Anterior]],Conceptos_Analítica_contraloría[#All],7,0),"")</f>
        <v/>
      </c>
      <c r="G84" t="s">
        <v>172</v>
      </c>
      <c r="H84" t="s">
        <v>172</v>
      </c>
      <c r="I84" t="str">
        <f>+IFERROR(VLOOKUP(D84,Conceptos_Analítica_contraloría[#All],2,0),"")</f>
        <v>Volumetria</v>
      </c>
      <c r="J84" s="84" t="str">
        <f>+IFERROR(VLOOKUP(D84,Conceptos_Analítica_contraloría[#All],3,0),"")</f>
        <v>Cantidad</v>
      </c>
      <c r="K84" s="93">
        <v>0</v>
      </c>
    </row>
    <row r="85" spans="1:11" ht="18.75" customHeight="1" x14ac:dyDescent="0.35">
      <c r="A85" s="93">
        <v>2024</v>
      </c>
      <c r="B85" s="87" t="s">
        <v>183</v>
      </c>
      <c r="C85" s="100">
        <f>IF(OR(Fact_Analitica[[#This Row], [Año]]="",Fact_Analitica[[#This Row], [Mes]]=""),"",DATE(A85,MATCH(B85,{"enero","febrero","marzo","abril","mayo","junio","julio","agosto","septiembre","octubre","noviembre","diciembre"},0)+1,0))</f>
        <v>45626</v>
      </c>
      <c r="D85" t="s">
        <v>203</v>
      </c>
      <c r="E85" t="str">
        <f>+IFERROR(VLOOKUP(Fact_Analitica[[#This Row], [Concepto Anterior]],Conceptos_Analítica_contraloría[#All],5,0),"")</f>
        <v>Ajustes Inventarios Cíclico</v>
      </c>
      <c r="F85" t="str">
        <f ca="1">+IFERROR(VLOOKUP(Fact_Analitica[[#This Row], [Concepto Anterior]],Conceptos_Analítica_contraloría[#All],7,0),"")</f>
        <v/>
      </c>
      <c r="G85" t="s">
        <v>172</v>
      </c>
      <c r="H85" t="s">
        <v>172</v>
      </c>
      <c r="I85" t="str">
        <f>+IFERROR(VLOOKUP(D85,Conceptos_Analítica_contraloría[#All],2,0),"")</f>
        <v>Volumetria</v>
      </c>
      <c r="J85" s="84" t="str">
        <f>+IFERROR(VLOOKUP(D85,Conceptos_Analítica_contraloría[#All],3,0),"")</f>
        <v>Cantidad</v>
      </c>
      <c r="K85" s="93">
        <v>28</v>
      </c>
    </row>
    <row r="86" spans="1:11" ht="18.75" customHeight="1" x14ac:dyDescent="0.35">
      <c r="A86" s="93">
        <v>2024</v>
      </c>
      <c r="B86" s="87" t="s">
        <v>183</v>
      </c>
      <c r="C86" s="100">
        <f>IF(OR(Fact_Analitica[[#This Row], [Año]]="",Fact_Analitica[[#This Row], [Mes]]=""),"",DATE(A86,MATCH(B86,{"enero","febrero","marzo","abril","mayo","junio","julio","agosto","septiembre","octubre","noviembre","diciembre"},0)+1,0))</f>
        <v>45626</v>
      </c>
      <c r="D86" t="s">
        <v>60</v>
      </c>
      <c r="E86" t="str">
        <f>+IFERROR(VLOOKUP(Fact_Analitica[[#This Row], [Concepto Anterior]],Conceptos_Analítica_contraloría[#All],5,0),"")</f>
        <v>Ajustes sobrevaloración acumulada de inventarios "Unified"</v>
      </c>
      <c r="F86" t="str">
        <f ca="1">+IFERROR(VLOOKUP(Fact_Analitica[[#This Row], [Concepto Anterior]],Conceptos_Analítica_contraloría[#All],7,0),"")</f>
        <v/>
      </c>
      <c r="G86" t="s">
        <v>172</v>
      </c>
      <c r="H86" t="s">
        <v>172</v>
      </c>
      <c r="I86" t="str">
        <f>+IFERROR(VLOOKUP(D86,Conceptos_Analítica_contraloría[#All],2,0),"")</f>
        <v>Eficiencia</v>
      </c>
      <c r="J86" s="84" t="str">
        <f>+IFERROR(VLOOKUP(D86,Conceptos_Analítica_contraloría[#All],3,0),"")</f>
        <v>Pesos</v>
      </c>
      <c r="K86" s="93">
        <v>0</v>
      </c>
    </row>
    <row r="87" spans="1:11" ht="18.75" customHeight="1" x14ac:dyDescent="0.35">
      <c r="A87" s="93">
        <v>2024</v>
      </c>
      <c r="B87" s="87" t="s">
        <v>183</v>
      </c>
      <c r="C87" s="100">
        <f>IF(OR(Fact_Analitica[[#This Row], [Año]]="",Fact_Analitica[[#This Row], [Mes]]=""),"",DATE(A87,MATCH(B87,{"enero","febrero","marzo","abril","mayo","junio","julio","agosto","septiembre","octubre","noviembre","diciembre"},0)+1,0))</f>
        <v>45626</v>
      </c>
      <c r="D87" t="s">
        <v>62</v>
      </c>
      <c r="E87" t="str">
        <f>+IFERROR(VLOOKUP(Fact_Analitica[[#This Row], [Concepto Anterior]],Conceptos_Analítica_contraloría[#All],5,0),"")</f>
        <v>Automatizaciones descarga y reconversión archivos stock España Mango</v>
      </c>
      <c r="F87" t="str">
        <f ca="1">+IFERROR(VLOOKUP(Fact_Analitica[[#This Row], [Concepto Anterior]],Conceptos_Analítica_contraloría[#All],7,0),"")</f>
        <v/>
      </c>
      <c r="G87" t="s">
        <v>172</v>
      </c>
      <c r="H87" t="s">
        <v>172</v>
      </c>
      <c r="I87" t="str">
        <f>+IFERROR(VLOOKUP(D87,Conceptos_Analítica_contraloría[#All],2,0),"")</f>
        <v>Volumetria</v>
      </c>
      <c r="J87" s="84" t="str">
        <f>+IFERROR(VLOOKUP(D87,Conceptos_Analítica_contraloría[#All],3,0),"")</f>
        <v>Cantidad</v>
      </c>
      <c r="K87" s="93">
        <v>216</v>
      </c>
    </row>
    <row r="88" spans="1:11" ht="18.75" customHeight="1" x14ac:dyDescent="0.35">
      <c r="A88" s="93">
        <v>2024</v>
      </c>
      <c r="B88" s="87" t="s">
        <v>183</v>
      </c>
      <c r="C88" s="100">
        <f>IF(OR(Fact_Analitica[[#This Row], [Año]]="",Fact_Analitica[[#This Row], [Mes]]=""),"",DATE(A88,MATCH(B88,{"enero","febrero","marzo","abril","mayo","junio","julio","agosto","septiembre","octubre","noviembre","diciembre"},0)+1,0))</f>
        <v>45626</v>
      </c>
      <c r="D88" t="s">
        <v>66</v>
      </c>
      <c r="E88" t="str">
        <f>+IFERROR(VLOOKUP(Fact_Analitica[[#This Row], [Concepto Anterior]],Conceptos_Analítica_contraloría[#All],5,0),"")</f>
        <v>Cantidad de registros (consecutivos) a conciliar (Facturas 94%, otros movimientos 6%)</v>
      </c>
      <c r="F88" t="str">
        <f ca="1">+IFERROR(VLOOKUP(Fact_Analitica[[#This Row], [Concepto Anterior]],Conceptos_Analítica_contraloría[#All],7,0),"")</f>
        <v/>
      </c>
      <c r="G88" t="s">
        <v>172</v>
      </c>
      <c r="H88" t="s">
        <v>172</v>
      </c>
      <c r="I88" t="str">
        <f>+IFERROR(VLOOKUP(D88,Conceptos_Analítica_contraloría[#All],2,0),"")</f>
        <v>Volumetria</v>
      </c>
      <c r="J88" s="84" t="str">
        <f>+IFERROR(VLOOKUP(D88,Conceptos_Analítica_contraloría[#All],3,0),"")</f>
        <v>Cantidad</v>
      </c>
      <c r="K88" s="93">
        <v>3586186</v>
      </c>
    </row>
    <row r="89" spans="1:11" ht="18.75" customHeight="1" x14ac:dyDescent="0.35">
      <c r="A89" s="93">
        <v>2024</v>
      </c>
      <c r="B89" s="87" t="s">
        <v>183</v>
      </c>
      <c r="C89" s="100">
        <f>IF(OR(Fact_Analitica[[#This Row], [Año]]="",Fact_Analitica[[#This Row], [Mes]]=""),"",DATE(A89,MATCH(B89,{"enero","febrero","marzo","abril","mayo","junio","julio","agosto","septiembre","octubre","noviembre","diciembre"},0)+1,0))</f>
        <v>45626</v>
      </c>
      <c r="D89" t="s">
        <v>67</v>
      </c>
      <c r="E89" t="str">
        <f>+IFERROR(VLOOKUP(Fact_Analitica[[#This Row], [Concepto Anterior]],Conceptos_Analítica_contraloría[#All],5,0),"")</f>
        <v>Cantidad de unds a conciliar</v>
      </c>
      <c r="F89" t="str">
        <f ca="1">+IFERROR(VLOOKUP(Fact_Analitica[[#This Row], [Concepto Anterior]],Conceptos_Analítica_contraloría[#All],7,0),"")</f>
        <v/>
      </c>
      <c r="G89" t="s">
        <v>172</v>
      </c>
      <c r="H89" t="s">
        <v>172</v>
      </c>
      <c r="I89" t="str">
        <f>+IFERROR(VLOOKUP(D89,Conceptos_Analítica_contraloría[#All],2,0),"")</f>
        <v>Volumetria</v>
      </c>
      <c r="J89" s="84" t="str">
        <f>+IFERROR(VLOOKUP(D89,Conceptos_Analítica_contraloría[#All],3,0),"")</f>
        <v>Cantidad</v>
      </c>
      <c r="K89" s="93">
        <v>21358806</v>
      </c>
    </row>
    <row r="90" spans="1:11" ht="18.75" customHeight="1" x14ac:dyDescent="0.35">
      <c r="A90" s="93">
        <v>2024</v>
      </c>
      <c r="B90" s="87" t="s">
        <v>183</v>
      </c>
      <c r="C90" s="100">
        <f>IF(OR(Fact_Analitica[[#This Row], [Año]]="",Fact_Analitica[[#This Row], [Mes]]=""),"",DATE(A90,MATCH(B90,{"enero","febrero","marzo","abril","mayo","junio","julio","agosto","septiembre","octubre","noviembre","diciembre"},0)+1,0))</f>
        <v>45626</v>
      </c>
      <c r="D90" t="s">
        <v>68</v>
      </c>
      <c r="E90" t="str">
        <f>+IFERROR(VLOOKUP(Fact_Analitica[[#This Row], [Concepto Anterior]],Conceptos_Analítica_contraloría[#All],5,0),"")</f>
        <v>Desatrase de facturación merma franquicias</v>
      </c>
      <c r="F90" t="str">
        <f ca="1">+IFERROR(VLOOKUP(Fact_Analitica[[#This Row], [Concepto Anterior]],Conceptos_Analítica_contraloría[#All],7,0),"")</f>
        <v/>
      </c>
      <c r="G90" t="s">
        <v>172</v>
      </c>
      <c r="H90" t="s">
        <v>172</v>
      </c>
      <c r="I90" t="str">
        <f>+IFERROR(VLOOKUP(D90,Conceptos_Analítica_contraloría[#All],2,0),"")</f>
        <v>Eficiencia</v>
      </c>
      <c r="J90" s="84" t="str">
        <f>+IFERROR(VLOOKUP(D90,Conceptos_Analítica_contraloría[#All],3,0),"")</f>
        <v>Pesos</v>
      </c>
      <c r="K90" s="93">
        <v>0</v>
      </c>
    </row>
    <row r="91" spans="1:11" ht="18.75" customHeight="1" x14ac:dyDescent="0.35">
      <c r="A91" s="93">
        <v>2024</v>
      </c>
      <c r="B91" s="87" t="s">
        <v>183</v>
      </c>
      <c r="C91" s="100">
        <f>IF(OR(Fact_Analitica[[#This Row], [Año]]="",Fact_Analitica[[#This Row], [Mes]]=""),"",DATE(A91,MATCH(B91,{"enero","febrero","marzo","abril","mayo","junio","julio","agosto","septiembre","octubre","noviembre","diciembre"},0)+1,0))</f>
        <v>45626</v>
      </c>
      <c r="D91" t="s">
        <v>64</v>
      </c>
      <c r="E91" t="str">
        <f>+IFERROR(VLOOKUP(Fact_Analitica[[#This Row], [Concepto Anterior]],Conceptos_Analítica_contraloría[#All],5,0),"")</f>
        <v>Puntos a conciliar</v>
      </c>
      <c r="F91" t="str">
        <f ca="1">+IFERROR(VLOOKUP(Fact_Analitica[[#This Row], [Concepto Anterior]],Conceptos_Analítica_contraloría[#All],7,0),"")</f>
        <v/>
      </c>
      <c r="G91" t="s">
        <v>172</v>
      </c>
      <c r="H91" t="s">
        <v>172</v>
      </c>
      <c r="I91" t="str">
        <f>+IFERROR(VLOOKUP(D91,Conceptos_Analítica_contraloría[#All],2,0),"")</f>
        <v>Volumetria</v>
      </c>
      <c r="J91" s="84" t="str">
        <f>+IFERROR(VLOOKUP(D91,Conceptos_Analítica_contraloría[#All],3,0),"")</f>
        <v>Cantidad</v>
      </c>
      <c r="K91" s="93">
        <v>762</v>
      </c>
    </row>
    <row r="92" spans="1:11" ht="18.75" customHeight="1" x14ac:dyDescent="0.35">
      <c r="A92" s="93">
        <v>2024</v>
      </c>
      <c r="B92" s="87" t="s">
        <v>183</v>
      </c>
      <c r="C92" s="100">
        <f>IF(OR(Fact_Analitica[[#This Row], [Año]]="",Fact_Analitica[[#This Row], [Mes]]=""),"",DATE(A92,MATCH(B92,{"enero","febrero","marzo","abril","mayo","junio","julio","agosto","septiembre","octubre","noviembre","diciembre"},0)+1,0))</f>
        <v>45626</v>
      </c>
      <c r="D92" t="s">
        <v>65</v>
      </c>
      <c r="E92" t="str">
        <f>+IFERROR(VLOOKUP(Fact_Analitica[[#This Row], [Concepto Anterior]],Conceptos_Analítica_contraloría[#All],5,0),"")</f>
        <v>Puntos x marca a conciliar</v>
      </c>
      <c r="F92" t="str">
        <f ca="1">+IFERROR(VLOOKUP(Fact_Analitica[[#This Row], [Concepto Anterior]],Conceptos_Analítica_contraloría[#All],7,0),"")</f>
        <v/>
      </c>
      <c r="G92" t="s">
        <v>172</v>
      </c>
      <c r="H92" t="s">
        <v>172</v>
      </c>
      <c r="I92" t="str">
        <f>+IFERROR(VLOOKUP(D92,Conceptos_Analítica_contraloría[#All],2,0),"")</f>
        <v>Volumetria</v>
      </c>
      <c r="J92" s="84" t="str">
        <f>+IFERROR(VLOOKUP(D92,Conceptos_Analítica_contraloría[#All],3,0),"")</f>
        <v>Cantidad</v>
      </c>
      <c r="K92" s="93">
        <v>1246</v>
      </c>
    </row>
    <row r="93" spans="1:11" ht="18.75" customHeight="1" x14ac:dyDescent="0.35">
      <c r="A93" s="93">
        <v>2024</v>
      </c>
      <c r="B93" s="87" t="s">
        <v>184</v>
      </c>
      <c r="C93" s="100">
        <f>IF(OR(Fact_Analitica[[#This Row], [Año]]="",Fact_Analitica[[#This Row], [Mes]]=""),"",DATE(A93,MATCH(B93,{"enero","febrero","marzo","abril","mayo","junio","julio","agosto","septiembre","octubre","noviembre","diciembre"},0)+1,0))</f>
        <v>45657</v>
      </c>
      <c r="D93" t="s">
        <v>203</v>
      </c>
      <c r="E93" t="str">
        <f>+IFERROR(VLOOKUP(Fact_Analitica[[#This Row], [Concepto Anterior]],Conceptos_Analítica_contraloría[#All],5,0),"")</f>
        <v>Ajustes Inventarios Cíclico</v>
      </c>
      <c r="F93" t="str">
        <f ca="1">+IFERROR(VLOOKUP(Fact_Analitica[[#This Row], [Concepto Anterior]],Conceptos_Analítica_contraloría[#All],7,0),"")</f>
        <v/>
      </c>
      <c r="G93" t="s">
        <v>172</v>
      </c>
      <c r="H93" t="s">
        <v>172</v>
      </c>
      <c r="I93" t="str">
        <f>+IFERROR(VLOOKUP(D93,Conceptos_Analítica_contraloría[#All],2,0),"")</f>
        <v>Volumetria</v>
      </c>
      <c r="J93" s="84" t="str">
        <f>+IFERROR(VLOOKUP(D93,Conceptos_Analítica_contraloría[#All],3,0),"")</f>
        <v>Cantidad</v>
      </c>
      <c r="K93" s="93">
        <v>11</v>
      </c>
    </row>
    <row r="94" spans="1:11" ht="18.75" customHeight="1" x14ac:dyDescent="0.35">
      <c r="A94" s="93">
        <v>2024</v>
      </c>
      <c r="B94" s="87" t="s">
        <v>184</v>
      </c>
      <c r="C94" s="100">
        <f>IF(OR(Fact_Analitica[[#This Row], [Año]]="",Fact_Analitica[[#This Row], [Mes]]=""),"",DATE(A94,MATCH(B94,{"enero","febrero","marzo","abril","mayo","junio","julio","agosto","septiembre","octubre","noviembre","diciembre"},0)+1,0))</f>
        <v>45657</v>
      </c>
      <c r="D94" t="s">
        <v>60</v>
      </c>
      <c r="E94" t="str">
        <f>+IFERROR(VLOOKUP(Fact_Analitica[[#This Row], [Concepto Anterior]],Conceptos_Analítica_contraloría[#All],5,0),"")</f>
        <v>Ajustes sobrevaloración acumulada de inventarios "Unified"</v>
      </c>
      <c r="F94" t="str">
        <f ca="1">+IFERROR(VLOOKUP(Fact_Analitica[[#This Row], [Concepto Anterior]],Conceptos_Analítica_contraloría[#All],7,0),"")</f>
        <v/>
      </c>
      <c r="G94" t="s">
        <v>172</v>
      </c>
      <c r="H94" t="s">
        <v>172</v>
      </c>
      <c r="I94" t="str">
        <f>+IFERROR(VLOOKUP(D94,Conceptos_Analítica_contraloría[#All],2,0),"")</f>
        <v>Eficiencia</v>
      </c>
      <c r="J94" s="84" t="str">
        <f>+IFERROR(VLOOKUP(D94,Conceptos_Analítica_contraloría[#All],3,0),"")</f>
        <v>Pesos</v>
      </c>
      <c r="K94" s="93">
        <v>287387483</v>
      </c>
    </row>
    <row r="95" spans="1:11" ht="18.75" customHeight="1" x14ac:dyDescent="0.35">
      <c r="A95" s="93">
        <v>2024</v>
      </c>
      <c r="B95" s="87" t="s">
        <v>184</v>
      </c>
      <c r="C95" s="100">
        <f>IF(OR(Fact_Analitica[[#This Row], [Año]]="",Fact_Analitica[[#This Row], [Mes]]=""),"",DATE(A95,MATCH(B95,{"enero","febrero","marzo","abril","mayo","junio","julio","agosto","septiembre","octubre","noviembre","diciembre"},0)+1,0))</f>
        <v>45657</v>
      </c>
      <c r="D95" t="s">
        <v>62</v>
      </c>
      <c r="E95" t="str">
        <f>+IFERROR(VLOOKUP(Fact_Analitica[[#This Row], [Concepto Anterior]],Conceptos_Analítica_contraloría[#All],5,0),"")</f>
        <v>Automatizaciones descarga y reconversión archivos stock España Mango</v>
      </c>
      <c r="F95" t="str">
        <f ca="1">+IFERROR(VLOOKUP(Fact_Analitica[[#This Row], [Concepto Anterior]],Conceptos_Analítica_contraloría[#All],7,0),"")</f>
        <v/>
      </c>
      <c r="G95" t="s">
        <v>172</v>
      </c>
      <c r="H95" t="s">
        <v>172</v>
      </c>
      <c r="I95" t="str">
        <f>+IFERROR(VLOOKUP(D95,Conceptos_Analítica_contraloría[#All],2,0),"")</f>
        <v>Volumetria</v>
      </c>
      <c r="J95" s="84" t="str">
        <f>+IFERROR(VLOOKUP(D95,Conceptos_Analítica_contraloría[#All],3,0),"")</f>
        <v>Cantidad</v>
      </c>
      <c r="K95" s="93">
        <v>216</v>
      </c>
    </row>
    <row r="96" spans="1:11" ht="18.75" customHeight="1" x14ac:dyDescent="0.35">
      <c r="A96" s="93">
        <v>2024</v>
      </c>
      <c r="B96" s="87" t="s">
        <v>184</v>
      </c>
      <c r="C96" s="100">
        <f>IF(OR(Fact_Analitica[[#This Row], [Año]]="",Fact_Analitica[[#This Row], [Mes]]=""),"",DATE(A96,MATCH(B96,{"enero","febrero","marzo","abril","mayo","junio","julio","agosto","septiembre","octubre","noviembre","diciembre"},0)+1,0))</f>
        <v>45657</v>
      </c>
      <c r="D96" t="s">
        <v>66</v>
      </c>
      <c r="E96" t="str">
        <f>+IFERROR(VLOOKUP(Fact_Analitica[[#This Row], [Concepto Anterior]],Conceptos_Analítica_contraloría[#All],5,0),"")</f>
        <v>Cantidad de registros (consecutivos) a conciliar (Facturas 94%, otros movimientos 6%)</v>
      </c>
      <c r="F96" t="str">
        <f ca="1">+IFERROR(VLOOKUP(Fact_Analitica[[#This Row], [Concepto Anterior]],Conceptos_Analítica_contraloría[#All],7,0),"")</f>
        <v/>
      </c>
      <c r="G96" t="s">
        <v>172</v>
      </c>
      <c r="H96" t="s">
        <v>172</v>
      </c>
      <c r="I96" t="str">
        <f>+IFERROR(VLOOKUP(D96,Conceptos_Analítica_contraloría[#All],2,0),"")</f>
        <v>Volumetria</v>
      </c>
      <c r="J96" s="84" t="str">
        <f>+IFERROR(VLOOKUP(D96,Conceptos_Analítica_contraloría[#All],3,0),"")</f>
        <v>Cantidad</v>
      </c>
      <c r="K96" s="93">
        <v>1111518</v>
      </c>
    </row>
    <row r="97" spans="1:11" ht="18.75" customHeight="1" x14ac:dyDescent="0.35">
      <c r="A97" s="93">
        <v>2024</v>
      </c>
      <c r="B97" s="87" t="s">
        <v>184</v>
      </c>
      <c r="C97" s="100">
        <f>IF(OR(Fact_Analitica[[#This Row], [Año]]="",Fact_Analitica[[#This Row], [Mes]]=""),"",DATE(A97,MATCH(B97,{"enero","febrero","marzo","abril","mayo","junio","julio","agosto","septiembre","octubre","noviembre","diciembre"},0)+1,0))</f>
        <v>45657</v>
      </c>
      <c r="D97" t="s">
        <v>67</v>
      </c>
      <c r="E97" t="str">
        <f>+IFERROR(VLOOKUP(Fact_Analitica[[#This Row], [Concepto Anterior]],Conceptos_Analítica_contraloría[#All],5,0),"")</f>
        <v>Cantidad de unds a conciliar</v>
      </c>
      <c r="F97" t="str">
        <f ca="1">+IFERROR(VLOOKUP(Fact_Analitica[[#This Row], [Concepto Anterior]],Conceptos_Analítica_contraloría[#All],7,0),"")</f>
        <v/>
      </c>
      <c r="G97" t="s">
        <v>172</v>
      </c>
      <c r="H97" t="s">
        <v>172</v>
      </c>
      <c r="I97" t="str">
        <f>+IFERROR(VLOOKUP(D97,Conceptos_Analítica_contraloría[#All],2,0),"")</f>
        <v>Volumetria</v>
      </c>
      <c r="J97" s="84" t="str">
        <f>+IFERROR(VLOOKUP(D97,Conceptos_Analítica_contraloría[#All],3,0),"")</f>
        <v>Cantidad</v>
      </c>
      <c r="K97" s="93">
        <v>2581513</v>
      </c>
    </row>
    <row r="98" spans="1:11" ht="18.75" customHeight="1" x14ac:dyDescent="0.35">
      <c r="A98" s="93">
        <v>2024</v>
      </c>
      <c r="B98" s="87" t="s">
        <v>184</v>
      </c>
      <c r="C98" s="100">
        <f>IF(OR(Fact_Analitica[[#This Row], [Año]]="",Fact_Analitica[[#This Row], [Mes]]=""),"",DATE(A98,MATCH(B98,{"enero","febrero","marzo","abril","mayo","junio","julio","agosto","septiembre","octubre","noviembre","diciembre"},0)+1,0))</f>
        <v>45657</v>
      </c>
      <c r="D98" t="s">
        <v>68</v>
      </c>
      <c r="E98" t="str">
        <f>+IFERROR(VLOOKUP(Fact_Analitica[[#This Row], [Concepto Anterior]],Conceptos_Analítica_contraloría[#All],5,0),"")</f>
        <v>Desatrase de facturación merma franquicias</v>
      </c>
      <c r="F98" t="str">
        <f ca="1">+IFERROR(VLOOKUP(Fact_Analitica[[#This Row], [Concepto Anterior]],Conceptos_Analítica_contraloría[#All],7,0),"")</f>
        <v/>
      </c>
      <c r="G98" t="s">
        <v>172</v>
      </c>
      <c r="H98" t="s">
        <v>172</v>
      </c>
      <c r="I98" t="str">
        <f>+IFERROR(VLOOKUP(D98,Conceptos_Analítica_contraloría[#All],2,0),"")</f>
        <v>Eficiencia</v>
      </c>
      <c r="J98" s="84" t="str">
        <f>+IFERROR(VLOOKUP(D98,Conceptos_Analítica_contraloría[#All],3,0),"")</f>
        <v>Pesos</v>
      </c>
      <c r="K98" s="93">
        <v>96825026</v>
      </c>
    </row>
    <row r="99" spans="1:11" ht="18.75" customHeight="1" x14ac:dyDescent="0.35">
      <c r="A99" s="93">
        <v>2024</v>
      </c>
      <c r="B99" s="87" t="s">
        <v>184</v>
      </c>
      <c r="C99" s="100">
        <f>IF(OR(Fact_Analitica[[#This Row], [Año]]="",Fact_Analitica[[#This Row], [Mes]]=""),"",DATE(A99,MATCH(B99,{"enero","febrero","marzo","abril","mayo","junio","julio","agosto","septiembre","octubre","noviembre","diciembre"},0)+1,0))</f>
        <v>45657</v>
      </c>
      <c r="D99" t="s">
        <v>64</v>
      </c>
      <c r="E99" t="str">
        <f>+IFERROR(VLOOKUP(Fact_Analitica[[#This Row], [Concepto Anterior]],Conceptos_Analítica_contraloría[#All],5,0),"")</f>
        <v>Puntos a conciliar</v>
      </c>
      <c r="F99" t="str">
        <f ca="1">+IFERROR(VLOOKUP(Fact_Analitica[[#This Row], [Concepto Anterior]],Conceptos_Analítica_contraloría[#All],7,0),"")</f>
        <v/>
      </c>
      <c r="G99" t="s">
        <v>172</v>
      </c>
      <c r="H99" t="s">
        <v>172</v>
      </c>
      <c r="I99" t="str">
        <f>+IFERROR(VLOOKUP(D99,Conceptos_Analítica_contraloría[#All],2,0),"")</f>
        <v>Volumetria</v>
      </c>
      <c r="J99" s="84" t="str">
        <f>+IFERROR(VLOOKUP(D99,Conceptos_Analítica_contraloría[#All],3,0),"")</f>
        <v>Cantidad</v>
      </c>
      <c r="K99" s="93">
        <v>796</v>
      </c>
    </row>
    <row r="100" spans="1:11" ht="18.75" customHeight="1" x14ac:dyDescent="0.35">
      <c r="A100" s="93">
        <v>2024</v>
      </c>
      <c r="B100" s="87" t="s">
        <v>184</v>
      </c>
      <c r="C100" s="100">
        <f>IF(OR(Fact_Analitica[[#This Row], [Año]]="",Fact_Analitica[[#This Row], [Mes]]=""),"",DATE(A100,MATCH(B100,{"enero","febrero","marzo","abril","mayo","junio","julio","agosto","septiembre","octubre","noviembre","diciembre"},0)+1,0))</f>
        <v>45657</v>
      </c>
      <c r="D100" t="s">
        <v>65</v>
      </c>
      <c r="E100" t="str">
        <f>+IFERROR(VLOOKUP(Fact_Analitica[[#This Row], [Concepto Anterior]],Conceptos_Analítica_contraloría[#All],5,0),"")</f>
        <v>Puntos x marca a conciliar</v>
      </c>
      <c r="F100" t="str">
        <f ca="1">+IFERROR(VLOOKUP(Fact_Analitica[[#This Row], [Concepto Anterior]],Conceptos_Analítica_contraloría[#All],7,0),"")</f>
        <v/>
      </c>
      <c r="G100" t="s">
        <v>172</v>
      </c>
      <c r="H100" t="s">
        <v>172</v>
      </c>
      <c r="I100" t="str">
        <f>+IFERROR(VLOOKUP(D100,Conceptos_Analítica_contraloría[#All],2,0),"")</f>
        <v>Volumetria</v>
      </c>
      <c r="J100" s="84" t="str">
        <f>+IFERROR(VLOOKUP(D100,Conceptos_Analítica_contraloría[#All],3,0),"")</f>
        <v>Cantidad</v>
      </c>
      <c r="K100" s="93">
        <v>1423</v>
      </c>
    </row>
    <row r="101" spans="1:11" ht="18.75" customHeight="1" x14ac:dyDescent="0.35">
      <c r="A101" s="93">
        <v>2025</v>
      </c>
      <c r="B101" s="85" t="s">
        <v>171</v>
      </c>
      <c r="C101" s="100">
        <f>IF(OR(Fact_Analitica[[#This Row], [Año]]="",Fact_Analitica[[#This Row], [Mes]]=""),"",DATE(A101,MATCH(B101,{"enero","febrero","marzo","abril","mayo","junio","julio","agosto","septiembre","octubre","noviembre","diciembre"},0)+1,0))</f>
        <v>45688</v>
      </c>
      <c r="D101" t="s">
        <v>127</v>
      </c>
      <c r="E101" t="str">
        <f>+IFERROR(VLOOKUP(Fact_Analitica[[#This Row], [Concepto Anterior]],Conceptos_Analítica_contraloría[#All],5,0),"")</f>
        <v>Ajuste Unds Merma Desconocida - Tiendas y Grandes S.</v>
      </c>
      <c r="F101" t="str">
        <f ca="1">+IFERROR(VLOOKUP(Fact_Analitica[[#This Row], [Concepto Anterior]],Conceptos_Analítica_contraloría[#All],7,0),"")</f>
        <v/>
      </c>
      <c r="G101" t="s">
        <v>172</v>
      </c>
      <c r="H101" t="s">
        <v>172</v>
      </c>
      <c r="I101" t="str">
        <f>+IFERROR(VLOOKUP(D101,Conceptos_Analítica_contraloría[#All],2,0),"")</f>
        <v>Volumetria</v>
      </c>
      <c r="J101" s="84" t="str">
        <f>+IFERROR(VLOOKUP(D101,Conceptos_Analítica_contraloría[#All],3,0),"")</f>
        <v>Cantidad</v>
      </c>
      <c r="K101" s="93">
        <v>-1163</v>
      </c>
    </row>
    <row r="102" spans="1:11" ht="18.75" customHeight="1" x14ac:dyDescent="0.35">
      <c r="A102" s="93">
        <v>2025</v>
      </c>
      <c r="B102" s="85" t="s">
        <v>171</v>
      </c>
      <c r="C102" s="100">
        <f>IF(OR(Fact_Analitica[[#This Row], [Año]]="",Fact_Analitica[[#This Row], [Mes]]=""),"",DATE(A102,MATCH(B102,{"enero","febrero","marzo","abril","mayo","junio","julio","agosto","septiembre","octubre","noviembre","diciembre"},0)+1,0))</f>
        <v>45688</v>
      </c>
      <c r="D102" t="s">
        <v>203</v>
      </c>
      <c r="E102" t="str">
        <f>+IFERROR(VLOOKUP(Fact_Analitica[[#This Row], [Concepto Anterior]],Conceptos_Analítica_contraloría[#All],5,0),"")</f>
        <v>Ajustes Inventarios Cíclico</v>
      </c>
      <c r="F102" t="str">
        <f ca="1">+IFERROR(VLOOKUP(Fact_Analitica[[#This Row], [Concepto Anterior]],Conceptos_Analítica_contraloría[#All],7,0),"")</f>
        <v/>
      </c>
      <c r="G102" t="s">
        <v>172</v>
      </c>
      <c r="H102" t="s">
        <v>172</v>
      </c>
      <c r="I102" t="str">
        <f>+IFERROR(VLOOKUP(D102,Conceptos_Analítica_contraloría[#All],2,0),"")</f>
        <v>Volumetria</v>
      </c>
      <c r="J102" s="84" t="str">
        <f>+IFERROR(VLOOKUP(D102,Conceptos_Analítica_contraloría[#All],3,0),"")</f>
        <v>Cantidad</v>
      </c>
      <c r="K102" s="93">
        <v>18</v>
      </c>
    </row>
    <row r="103" spans="1:11" ht="18.75" customHeight="1" x14ac:dyDescent="0.35">
      <c r="A103" s="93">
        <v>2025</v>
      </c>
      <c r="B103" s="85" t="s">
        <v>171</v>
      </c>
      <c r="C103" s="100">
        <f>IF(OR(Fact_Analitica[[#This Row], [Año]]="",Fact_Analitica[[#This Row], [Mes]]=""),"",DATE(A103,MATCH(B103,{"enero","febrero","marzo","abril","mayo","junio","julio","agosto","septiembre","octubre","noviembre","diciembre"},0)+1,0))</f>
        <v>45688</v>
      </c>
      <c r="D103" t="s">
        <v>66</v>
      </c>
      <c r="E103" t="str">
        <f>+IFERROR(VLOOKUP(Fact_Analitica[[#This Row], [Concepto Anterior]],Conceptos_Analítica_contraloría[#All],5,0),"")</f>
        <v>Cantidad de registros (consecutivos) a conciliar (Facturas 94%, otros movimientos 6%)</v>
      </c>
      <c r="F103" t="str">
        <f ca="1">+IFERROR(VLOOKUP(Fact_Analitica[[#This Row], [Concepto Anterior]],Conceptos_Analítica_contraloría[#All],7,0),"")</f>
        <v/>
      </c>
      <c r="G103" t="s">
        <v>172</v>
      </c>
      <c r="H103" t="s">
        <v>172</v>
      </c>
      <c r="I103" t="str">
        <f>+IFERROR(VLOOKUP(D103,Conceptos_Analítica_contraloría[#All],2,0),"")</f>
        <v>Volumetria</v>
      </c>
      <c r="J103" s="84" t="str">
        <f>+IFERROR(VLOOKUP(D103,Conceptos_Analítica_contraloría[#All],3,0),"")</f>
        <v>Cantidad</v>
      </c>
      <c r="K103" s="93">
        <v>464433</v>
      </c>
    </row>
    <row r="104" spans="1:11" ht="18.75" customHeight="1" x14ac:dyDescent="0.35">
      <c r="A104" s="93">
        <v>2025</v>
      </c>
      <c r="B104" s="85" t="s">
        <v>171</v>
      </c>
      <c r="C104" s="100">
        <f>IF(OR(Fact_Analitica[[#This Row], [Año]]="",Fact_Analitica[[#This Row], [Mes]]=""),"",DATE(A104,MATCH(B104,{"enero","febrero","marzo","abril","mayo","junio","julio","agosto","septiembre","octubre","noviembre","diciembre"},0)+1,0))</f>
        <v>45688</v>
      </c>
      <c r="D104" t="s">
        <v>125</v>
      </c>
      <c r="E104" t="str">
        <f>+IFERROR(VLOOKUP(Fact_Analitica[[#This Row], [Concepto Anterior]],Conceptos_Analítica_contraloría[#All],5,0),"")</f>
        <v>Cantidad de unidades a conciliar</v>
      </c>
      <c r="F104" t="str">
        <f ca="1">+IFERROR(VLOOKUP(Fact_Analitica[[#This Row], [Concepto Anterior]],Conceptos_Analítica_contraloría[#All],7,0),"")</f>
        <v/>
      </c>
      <c r="G104" t="s">
        <v>172</v>
      </c>
      <c r="H104" t="s">
        <v>172</v>
      </c>
      <c r="I104" t="str">
        <f>+IFERROR(VLOOKUP(D104,Conceptos_Analítica_contraloría[#All],2,0),"")</f>
        <v>Volumetria</v>
      </c>
      <c r="J104" s="84" t="str">
        <f>+IFERROR(VLOOKUP(D104,Conceptos_Analítica_contraloría[#All],3,0),"")</f>
        <v>Cantidad</v>
      </c>
      <c r="K104" s="93">
        <v>4133594</v>
      </c>
    </row>
    <row r="105" spans="1:11" ht="18.75" customHeight="1" x14ac:dyDescent="0.35">
      <c r="A105" s="93">
        <v>2025</v>
      </c>
      <c r="B105" s="85" t="s">
        <v>171</v>
      </c>
      <c r="C105" s="100">
        <f>IF(OR(Fact_Analitica[[#This Row], [Año]]="",Fact_Analitica[[#This Row], [Mes]]=""),"",DATE(A105,MATCH(B105,{"enero","febrero","marzo","abril","mayo","junio","julio","agosto","septiembre","octubre","noviembre","diciembre"},0)+1,0))</f>
        <v>45688</v>
      </c>
      <c r="D105" t="s">
        <v>204</v>
      </c>
      <c r="E105" t="str">
        <f>+IFERROR(VLOOKUP(Fact_Analitica[[#This Row], [Concepto Anterior]],Conceptos_Analítica_contraloría[#All],5,0),"")</f>
        <v>Presentación Resultados Inventarios a Dirección Comercial</v>
      </c>
      <c r="F105" t="str">
        <f ca="1">+IFERROR(VLOOKUP(Fact_Analitica[[#This Row], [Concepto Anterior]],Conceptos_Analítica_contraloría[#All],7,0),"")</f>
        <v/>
      </c>
      <c r="G105" t="s">
        <v>172</v>
      </c>
      <c r="H105" t="s">
        <v>172</v>
      </c>
      <c r="I105" t="str">
        <f>+IFERROR(VLOOKUP(D105,Conceptos_Analítica_contraloría[#All],2,0),"")</f>
        <v>Volumetria</v>
      </c>
      <c r="J105" s="84" t="str">
        <f>+IFERROR(VLOOKUP(D105,Conceptos_Analítica_contraloría[#All],3,0),"")</f>
        <v>Cantidad</v>
      </c>
      <c r="K105" s="93">
        <v>0</v>
      </c>
    </row>
    <row r="106" spans="1:11" ht="18.75" customHeight="1" x14ac:dyDescent="0.35">
      <c r="A106" s="93">
        <v>2025</v>
      </c>
      <c r="B106" s="85" t="s">
        <v>171</v>
      </c>
      <c r="C106" s="100">
        <f>IF(OR(Fact_Analitica[[#This Row], [Año]]="",Fact_Analitica[[#This Row], [Mes]]=""),"",DATE(A106,MATCH(B106,{"enero","febrero","marzo","abril","mayo","junio","julio","agosto","septiembre","octubre","noviembre","diciembre"},0)+1,0))</f>
        <v>45688</v>
      </c>
      <c r="D106" t="s">
        <v>64</v>
      </c>
      <c r="E106" t="str">
        <f>+IFERROR(VLOOKUP(Fact_Analitica[[#This Row], [Concepto Anterior]],Conceptos_Analítica_contraloría[#All],5,0),"")</f>
        <v>Puntos a conciliar</v>
      </c>
      <c r="F106" t="str">
        <f ca="1">+IFERROR(VLOOKUP(Fact_Analitica[[#This Row], [Concepto Anterior]],Conceptos_Analítica_contraloría[#All],7,0),"")</f>
        <v/>
      </c>
      <c r="G106" t="s">
        <v>172</v>
      </c>
      <c r="H106" t="s">
        <v>172</v>
      </c>
      <c r="I106" t="str">
        <f>+IFERROR(VLOOKUP(D106,Conceptos_Analítica_contraloría[#All],2,0),"")</f>
        <v>Volumetria</v>
      </c>
      <c r="J106" s="84" t="str">
        <f>+IFERROR(VLOOKUP(D106,Conceptos_Analítica_contraloría[#All],3,0),"")</f>
        <v>Cantidad</v>
      </c>
      <c r="K106" s="93">
        <v>798</v>
      </c>
    </row>
    <row r="107" spans="1:11" ht="18.75" customHeight="1" x14ac:dyDescent="0.35">
      <c r="A107" s="93">
        <v>2025</v>
      </c>
      <c r="B107" s="85" t="s">
        <v>171</v>
      </c>
      <c r="C107" s="100">
        <f>IF(OR(Fact_Analitica[[#This Row], [Año]]="",Fact_Analitica[[#This Row], [Mes]]=""),"",DATE(A107,MATCH(B107,{"enero","febrero","marzo","abril","mayo","junio","julio","agosto","septiembre","octubre","noviembre","diciembre"},0)+1,0))</f>
        <v>45688</v>
      </c>
      <c r="D107" t="s">
        <v>124</v>
      </c>
      <c r="E107" t="str">
        <f>+IFERROR(VLOOKUP(Fact_Analitica[[#This Row], [Concepto Anterior]],Conceptos_Analítica_contraloría[#All],5,0),"")</f>
        <v>Puntos Conciliados</v>
      </c>
      <c r="F107" t="str">
        <f ca="1">+IFERROR(VLOOKUP(Fact_Analitica[[#This Row], [Concepto Anterior]],Conceptos_Analítica_contraloría[#All],7,0),"")</f>
        <v/>
      </c>
      <c r="G107" t="s">
        <v>172</v>
      </c>
      <c r="H107" t="s">
        <v>172</v>
      </c>
      <c r="I107" t="str">
        <f>+IFERROR(VLOOKUP(D107,Conceptos_Analítica_contraloría[#All],2,0),"")</f>
        <v>Volumetria</v>
      </c>
      <c r="J107" s="84" t="str">
        <f>+IFERROR(VLOOKUP(D107,Conceptos_Analítica_contraloría[#All],3,0),"")</f>
        <v>Cantidad</v>
      </c>
      <c r="K107" s="93">
        <v>29</v>
      </c>
    </row>
    <row r="108" spans="1:11" ht="18.75" customHeight="1" x14ac:dyDescent="0.35">
      <c r="A108" s="93">
        <v>2025</v>
      </c>
      <c r="B108" s="85" t="s">
        <v>171</v>
      </c>
      <c r="C108" s="100">
        <f>IF(OR(Fact_Analitica[[#This Row], [Año]]="",Fact_Analitica[[#This Row], [Mes]]=""),"",DATE(A108,MATCH(B108,{"enero","febrero","marzo","abril","mayo","junio","julio","agosto","septiembre","octubre","noviembre","diciembre"},0)+1,0))</f>
        <v>45688</v>
      </c>
      <c r="D108" t="s">
        <v>65</v>
      </c>
      <c r="E108" t="str">
        <f>+IFERROR(VLOOKUP(Fact_Analitica[[#This Row], [Concepto Anterior]],Conceptos_Analítica_contraloría[#All],5,0),"")</f>
        <v>Puntos x marca a conciliar</v>
      </c>
      <c r="F108" t="str">
        <f ca="1">+IFERROR(VLOOKUP(Fact_Analitica[[#This Row], [Concepto Anterior]],Conceptos_Analítica_contraloría[#All],7,0),"")</f>
        <v/>
      </c>
      <c r="G108" t="s">
        <v>172</v>
      </c>
      <c r="H108" t="s">
        <v>172</v>
      </c>
      <c r="I108" t="str">
        <f>+IFERROR(VLOOKUP(D108,Conceptos_Analítica_contraloría[#All],2,0),"")</f>
        <v>Volumetria</v>
      </c>
      <c r="J108" s="84" t="str">
        <f>+IFERROR(VLOOKUP(D108,Conceptos_Analítica_contraloría[#All],3,0),"")</f>
        <v>Cantidad</v>
      </c>
      <c r="K108" s="93">
        <v>1476</v>
      </c>
    </row>
    <row r="109" spans="1:11" ht="18.75" customHeight="1" x14ac:dyDescent="0.35">
      <c r="A109" s="93">
        <v>2025</v>
      </c>
      <c r="B109" s="85" t="s">
        <v>171</v>
      </c>
      <c r="C109" s="100">
        <f>IF(OR(Fact_Analitica[[#This Row], [Año]]="",Fact_Analitica[[#This Row], [Mes]]=""),"",DATE(A109,MATCH(B109,{"enero","febrero","marzo","abril","mayo","junio","julio","agosto","septiembre","octubre","noviembre","diciembre"},0)+1,0))</f>
        <v>45688</v>
      </c>
      <c r="D109" t="s">
        <v>126</v>
      </c>
      <c r="E109" t="str">
        <f>+IFERROR(VLOOKUP(Fact_Analitica[[#This Row], [Concepto Anterior]],Conceptos_Analítica_contraloría[#All],5,0),"")</f>
        <v>Recuperación de la merma franquicias y grandes superficies</v>
      </c>
      <c r="F109" t="str">
        <f ca="1">+IFERROR(VLOOKUP(Fact_Analitica[[#This Row], [Concepto Anterior]],Conceptos_Analítica_contraloría[#All],7,0),"")</f>
        <v/>
      </c>
      <c r="G109" t="s">
        <v>172</v>
      </c>
      <c r="H109" t="s">
        <v>172</v>
      </c>
      <c r="I109" t="str">
        <f>+IFERROR(VLOOKUP(D109,Conceptos_Analítica_contraloría[#All],2,0),"")</f>
        <v>Eficiencia</v>
      </c>
      <c r="J109" s="84" t="str">
        <f>+IFERROR(VLOOKUP(D109,Conceptos_Analítica_contraloría[#All],3,0),"")</f>
        <v>Pesos</v>
      </c>
      <c r="K109" s="93">
        <v>19426375</v>
      </c>
    </row>
    <row r="110" spans="1:11" ht="18.75" customHeight="1" x14ac:dyDescent="0.35">
      <c r="A110" s="93">
        <v>2025</v>
      </c>
      <c r="B110" s="87" t="s">
        <v>174</v>
      </c>
      <c r="C110" s="100">
        <f>IF(OR(Fact_Analitica[[#This Row], [Año]]="",Fact_Analitica[[#This Row], [Mes]]=""),"",DATE(A110,MATCH(B110,{"enero","febrero","marzo","abril","mayo","junio","julio","agosto","septiembre","octubre","noviembre","diciembre"},0)+1,0))</f>
        <v>45716</v>
      </c>
      <c r="D110" t="s">
        <v>127</v>
      </c>
      <c r="E110" t="str">
        <f>+IFERROR(VLOOKUP(Fact_Analitica[[#This Row], [Concepto Anterior]],Conceptos_Analítica_contraloría[#All],5,0),"")</f>
        <v>Ajuste Unds Merma Desconocida - Tiendas y Grandes S.</v>
      </c>
      <c r="F110" t="str">
        <f ca="1">+IFERROR(VLOOKUP(Fact_Analitica[[#This Row], [Concepto Anterior]],Conceptos_Analítica_contraloría[#All],7,0),"")</f>
        <v/>
      </c>
      <c r="G110" t="s">
        <v>172</v>
      </c>
      <c r="H110" t="s">
        <v>172</v>
      </c>
      <c r="I110" t="str">
        <f>+IFERROR(VLOOKUP(D110,Conceptos_Analítica_contraloría[#All],2,0),"")</f>
        <v>Volumetria</v>
      </c>
      <c r="J110" s="84" t="str">
        <f>+IFERROR(VLOOKUP(D110,Conceptos_Analítica_contraloría[#All],3,0),"")</f>
        <v>Cantidad</v>
      </c>
      <c r="K110" s="93">
        <v>-14071</v>
      </c>
    </row>
    <row r="111" spans="1:11" ht="18.75" customHeight="1" x14ac:dyDescent="0.35">
      <c r="A111" s="93">
        <v>2025</v>
      </c>
      <c r="B111" s="87" t="s">
        <v>174</v>
      </c>
      <c r="C111" s="100">
        <f>IF(OR(Fact_Analitica[[#This Row], [Año]]="",Fact_Analitica[[#This Row], [Mes]]=""),"",DATE(A111,MATCH(B111,{"enero","febrero","marzo","abril","mayo","junio","julio","agosto","septiembre","octubre","noviembre","diciembre"},0)+1,0))</f>
        <v>45716</v>
      </c>
      <c r="D111" t="s">
        <v>203</v>
      </c>
      <c r="E111" t="str">
        <f>+IFERROR(VLOOKUP(Fact_Analitica[[#This Row], [Concepto Anterior]],Conceptos_Analítica_contraloría[#All],5,0),"")</f>
        <v>Ajustes Inventarios Cíclico</v>
      </c>
      <c r="F111" t="str">
        <f ca="1">+IFERROR(VLOOKUP(Fact_Analitica[[#This Row], [Concepto Anterior]],Conceptos_Analítica_contraloría[#All],7,0),"")</f>
        <v/>
      </c>
      <c r="G111" t="s">
        <v>172</v>
      </c>
      <c r="H111" t="s">
        <v>172</v>
      </c>
      <c r="I111" t="str">
        <f>+IFERROR(VLOOKUP(D111,Conceptos_Analítica_contraloría[#All],2,0),"")</f>
        <v>Volumetria</v>
      </c>
      <c r="J111" s="84" t="str">
        <f>+IFERROR(VLOOKUP(D111,Conceptos_Analítica_contraloría[#All],3,0),"")</f>
        <v>Cantidad</v>
      </c>
      <c r="K111" s="93">
        <v>20</v>
      </c>
    </row>
    <row r="112" spans="1:11" ht="18.75" customHeight="1" x14ac:dyDescent="0.35">
      <c r="A112" s="93">
        <v>2025</v>
      </c>
      <c r="B112" s="87" t="s">
        <v>174</v>
      </c>
      <c r="C112" s="100">
        <f>IF(OR(Fact_Analitica[[#This Row], [Año]]="",Fact_Analitica[[#This Row], [Mes]]=""),"",DATE(A112,MATCH(B112,{"enero","febrero","marzo","abril","mayo","junio","julio","agosto","septiembre","octubre","noviembre","diciembre"},0)+1,0))</f>
        <v>45716</v>
      </c>
      <c r="D112" t="s">
        <v>66</v>
      </c>
      <c r="E112" t="str">
        <f>+IFERROR(VLOOKUP(Fact_Analitica[[#This Row], [Concepto Anterior]],Conceptos_Analítica_contraloría[#All],5,0),"")</f>
        <v>Cantidad de registros (consecutivos) a conciliar (Facturas 94%, otros movimientos 6%)</v>
      </c>
      <c r="F112" t="str">
        <f ca="1">+IFERROR(VLOOKUP(Fact_Analitica[[#This Row], [Concepto Anterior]],Conceptos_Analítica_contraloría[#All],7,0),"")</f>
        <v/>
      </c>
      <c r="G112" t="s">
        <v>172</v>
      </c>
      <c r="H112" t="s">
        <v>172</v>
      </c>
      <c r="I112" t="str">
        <f>+IFERROR(VLOOKUP(D112,Conceptos_Analítica_contraloría[#All],2,0),"")</f>
        <v>Volumetria</v>
      </c>
      <c r="J112" s="84" t="str">
        <f>+IFERROR(VLOOKUP(D112,Conceptos_Analítica_contraloría[#All],3,0),"")</f>
        <v>Cantidad</v>
      </c>
      <c r="K112" s="93">
        <v>353711</v>
      </c>
    </row>
    <row r="113" spans="1:11" ht="18.75" customHeight="1" x14ac:dyDescent="0.35">
      <c r="A113" s="93">
        <v>2025</v>
      </c>
      <c r="B113" s="87" t="s">
        <v>174</v>
      </c>
      <c r="C113" s="100">
        <f>IF(OR(Fact_Analitica[[#This Row], [Año]]="",Fact_Analitica[[#This Row], [Mes]]=""),"",DATE(A113,MATCH(B113,{"enero","febrero","marzo","abril","mayo","junio","julio","agosto","septiembre","octubre","noviembre","diciembre"},0)+1,0))</f>
        <v>45716</v>
      </c>
      <c r="D113" t="s">
        <v>125</v>
      </c>
      <c r="E113" t="str">
        <f>+IFERROR(VLOOKUP(Fact_Analitica[[#This Row], [Concepto Anterior]],Conceptos_Analítica_contraloría[#All],5,0),"")</f>
        <v>Cantidad de unidades a conciliar</v>
      </c>
      <c r="F113" t="str">
        <f ca="1">+IFERROR(VLOOKUP(Fact_Analitica[[#This Row], [Concepto Anterior]],Conceptos_Analítica_contraloría[#All],7,0),"")</f>
        <v/>
      </c>
      <c r="G113" t="s">
        <v>172</v>
      </c>
      <c r="H113" t="s">
        <v>172</v>
      </c>
      <c r="I113" t="str">
        <f>+IFERROR(VLOOKUP(D113,Conceptos_Analítica_contraloría[#All],2,0),"")</f>
        <v>Volumetria</v>
      </c>
      <c r="J113" s="84" t="str">
        <f>+IFERROR(VLOOKUP(D113,Conceptos_Analítica_contraloría[#All],3,0),"")</f>
        <v>Cantidad</v>
      </c>
      <c r="K113" s="93">
        <v>4146127</v>
      </c>
    </row>
    <row r="114" spans="1:11" ht="18.75" customHeight="1" x14ac:dyDescent="0.35">
      <c r="A114" s="93">
        <v>2025</v>
      </c>
      <c r="B114" s="87" t="s">
        <v>174</v>
      </c>
      <c r="C114" s="100">
        <f>IF(OR(Fact_Analitica[[#This Row], [Año]]="",Fact_Analitica[[#This Row], [Mes]]=""),"",DATE(A114,MATCH(B114,{"enero","febrero","marzo","abril","mayo","junio","julio","agosto","septiembre","octubre","noviembre","diciembre"},0)+1,0))</f>
        <v>45716</v>
      </c>
      <c r="D114" t="s">
        <v>204</v>
      </c>
      <c r="E114" t="str">
        <f>+IFERROR(VLOOKUP(Fact_Analitica[[#This Row], [Concepto Anterior]],Conceptos_Analítica_contraloría[#All],5,0),"")</f>
        <v>Presentación Resultados Inventarios a Dirección Comercial</v>
      </c>
      <c r="F114" t="str">
        <f ca="1">+IFERROR(VLOOKUP(Fact_Analitica[[#This Row], [Concepto Anterior]],Conceptos_Analítica_contraloría[#All],7,0),"")</f>
        <v/>
      </c>
      <c r="G114" t="s">
        <v>172</v>
      </c>
      <c r="H114" t="s">
        <v>172</v>
      </c>
      <c r="I114" t="str">
        <f>+IFERROR(VLOOKUP(D114,Conceptos_Analítica_contraloría[#All],2,0),"")</f>
        <v>Volumetria</v>
      </c>
      <c r="J114" s="84" t="str">
        <f>+IFERROR(VLOOKUP(D114,Conceptos_Analítica_contraloría[#All],3,0),"")</f>
        <v>Cantidad</v>
      </c>
      <c r="K114" s="93">
        <v>2</v>
      </c>
    </row>
    <row r="115" spans="1:11" ht="18.75" customHeight="1" x14ac:dyDescent="0.35">
      <c r="A115" s="93">
        <v>2025</v>
      </c>
      <c r="B115" s="87" t="s">
        <v>174</v>
      </c>
      <c r="C115" s="100">
        <f>IF(OR(Fact_Analitica[[#This Row], [Año]]="",Fact_Analitica[[#This Row], [Mes]]=""),"",DATE(A115,MATCH(B115,{"enero","febrero","marzo","abril","mayo","junio","julio","agosto","septiembre","octubre","noviembre","diciembre"},0)+1,0))</f>
        <v>45716</v>
      </c>
      <c r="D115" t="s">
        <v>64</v>
      </c>
      <c r="E115" t="str">
        <f>+IFERROR(VLOOKUP(Fact_Analitica[[#This Row], [Concepto Anterior]],Conceptos_Analítica_contraloría[#All],5,0),"")</f>
        <v>Puntos a conciliar</v>
      </c>
      <c r="F115" t="str">
        <f ca="1">+IFERROR(VLOOKUP(Fact_Analitica[[#This Row], [Concepto Anterior]],Conceptos_Analítica_contraloría[#All],7,0),"")</f>
        <v/>
      </c>
      <c r="G115" t="s">
        <v>172</v>
      </c>
      <c r="H115" t="s">
        <v>172</v>
      </c>
      <c r="I115" t="str">
        <f>+IFERROR(VLOOKUP(D115,Conceptos_Analítica_contraloría[#All],2,0),"")</f>
        <v>Volumetria</v>
      </c>
      <c r="J115" s="84" t="str">
        <f>+IFERROR(VLOOKUP(D115,Conceptos_Analítica_contraloría[#All],3,0),"")</f>
        <v>Cantidad</v>
      </c>
      <c r="K115" s="93">
        <v>788</v>
      </c>
    </row>
    <row r="116" spans="1:11" ht="18.75" customHeight="1" x14ac:dyDescent="0.35">
      <c r="A116" s="93">
        <v>2025</v>
      </c>
      <c r="B116" s="87" t="s">
        <v>174</v>
      </c>
      <c r="C116" s="100">
        <f>IF(OR(Fact_Analitica[[#This Row], [Año]]="",Fact_Analitica[[#This Row], [Mes]]=""),"",DATE(A116,MATCH(B116,{"enero","febrero","marzo","abril","mayo","junio","julio","agosto","septiembre","octubre","noviembre","diciembre"},0)+1,0))</f>
        <v>45716</v>
      </c>
      <c r="D116" t="s">
        <v>124</v>
      </c>
      <c r="E116" t="str">
        <f>+IFERROR(VLOOKUP(Fact_Analitica[[#This Row], [Concepto Anterior]],Conceptos_Analítica_contraloría[#All],5,0),"")</f>
        <v>Puntos Conciliados</v>
      </c>
      <c r="F116" t="str">
        <f ca="1">+IFERROR(VLOOKUP(Fact_Analitica[[#This Row], [Concepto Anterior]],Conceptos_Analítica_contraloría[#All],7,0),"")</f>
        <v/>
      </c>
      <c r="G116" t="s">
        <v>172</v>
      </c>
      <c r="H116" t="s">
        <v>172</v>
      </c>
      <c r="I116" t="str">
        <f>+IFERROR(VLOOKUP(D116,Conceptos_Analítica_contraloría[#All],2,0),"")</f>
        <v>Volumetria</v>
      </c>
      <c r="J116" s="84" t="str">
        <f>+IFERROR(VLOOKUP(D116,Conceptos_Analítica_contraloría[#All],3,0),"")</f>
        <v>Cantidad</v>
      </c>
      <c r="K116" s="93">
        <v>145</v>
      </c>
    </row>
    <row r="117" spans="1:11" ht="18.75" customHeight="1" x14ac:dyDescent="0.35">
      <c r="A117" s="93">
        <v>2025</v>
      </c>
      <c r="B117" s="87" t="s">
        <v>174</v>
      </c>
      <c r="C117" s="100">
        <f>IF(OR(Fact_Analitica[[#This Row], [Año]]="",Fact_Analitica[[#This Row], [Mes]]=""),"",DATE(A117,MATCH(B117,{"enero","febrero","marzo","abril","mayo","junio","julio","agosto","septiembre","octubre","noviembre","diciembre"},0)+1,0))</f>
        <v>45716</v>
      </c>
      <c r="D117" t="s">
        <v>65</v>
      </c>
      <c r="E117" t="str">
        <f>+IFERROR(VLOOKUP(Fact_Analitica[[#This Row], [Concepto Anterior]],Conceptos_Analítica_contraloría[#All],5,0),"")</f>
        <v>Puntos x marca a conciliar</v>
      </c>
      <c r="F117" t="str">
        <f ca="1">+IFERROR(VLOOKUP(Fact_Analitica[[#This Row], [Concepto Anterior]],Conceptos_Analítica_contraloría[#All],7,0),"")</f>
        <v/>
      </c>
      <c r="G117" t="s">
        <v>172</v>
      </c>
      <c r="H117" t="s">
        <v>172</v>
      </c>
      <c r="I117" t="str">
        <f>+IFERROR(VLOOKUP(D117,Conceptos_Analítica_contraloría[#All],2,0),"")</f>
        <v>Volumetria</v>
      </c>
      <c r="J117" s="84" t="str">
        <f>+IFERROR(VLOOKUP(D117,Conceptos_Analítica_contraloría[#All],3,0),"")</f>
        <v>Cantidad</v>
      </c>
      <c r="K117" s="93">
        <v>1474</v>
      </c>
    </row>
    <row r="118" spans="1:11" ht="18.75" customHeight="1" x14ac:dyDescent="0.35">
      <c r="A118" s="93">
        <v>2025</v>
      </c>
      <c r="B118" s="87" t="s">
        <v>174</v>
      </c>
      <c r="C118" s="100">
        <f>IF(OR(Fact_Analitica[[#This Row], [Año]]="",Fact_Analitica[[#This Row], [Mes]]=""),"",DATE(A118,MATCH(B118,{"enero","febrero","marzo","abril","mayo","junio","julio","agosto","septiembre","octubre","noviembre","diciembre"},0)+1,0))</f>
        <v>45716</v>
      </c>
      <c r="D118" t="s">
        <v>126</v>
      </c>
      <c r="E118" t="str">
        <f>+IFERROR(VLOOKUP(Fact_Analitica[[#This Row], [Concepto Anterior]],Conceptos_Analítica_contraloría[#All],5,0),"")</f>
        <v>Recuperación de la merma franquicias y grandes superficies</v>
      </c>
      <c r="F118" t="str">
        <f ca="1">+IFERROR(VLOOKUP(Fact_Analitica[[#This Row], [Concepto Anterior]],Conceptos_Analítica_contraloría[#All],7,0),"")</f>
        <v/>
      </c>
      <c r="G118" t="s">
        <v>172</v>
      </c>
      <c r="H118" t="s">
        <v>172</v>
      </c>
      <c r="I118" t="str">
        <f>+IFERROR(VLOOKUP(D118,Conceptos_Analítica_contraloría[#All],2,0),"")</f>
        <v>Eficiencia</v>
      </c>
      <c r="J118" s="84" t="str">
        <f>+IFERROR(VLOOKUP(D118,Conceptos_Analítica_contraloría[#All],3,0),"")</f>
        <v>Pesos</v>
      </c>
      <c r="K118" s="93">
        <v>11107955</v>
      </c>
    </row>
    <row r="119" spans="1:11" ht="18.75" customHeight="1" x14ac:dyDescent="0.35">
      <c r="A119" s="93">
        <v>2025</v>
      </c>
      <c r="B119" s="87" t="s">
        <v>175</v>
      </c>
      <c r="C119" s="100">
        <f>IF(OR(Fact_Analitica[[#This Row], [Año]]="",Fact_Analitica[[#This Row], [Mes]]=""),"",DATE(A119,MATCH(B119,{"enero","febrero","marzo","abril","mayo","junio","julio","agosto","septiembre","octubre","noviembre","diciembre"},0)+1,0))</f>
        <v>45747</v>
      </c>
      <c r="D119" t="s">
        <v>128</v>
      </c>
      <c r="E119" t="str">
        <f>+IFERROR(VLOOKUP(Fact_Analitica[[#This Row], [Concepto Anterior]],Conceptos_Analítica_contraloría[#All],5,0),"")</f>
        <v>Ajuste Costo Merma Desconocida - Tiendas y Grandes S.</v>
      </c>
      <c r="F119" t="str">
        <f ca="1">+IFERROR(VLOOKUP(Fact_Analitica[[#This Row], [Concepto Anterior]],Conceptos_Analítica_contraloría[#All],7,0),"")</f>
        <v/>
      </c>
      <c r="G119" t="s">
        <v>172</v>
      </c>
      <c r="H119" t="s">
        <v>172</v>
      </c>
      <c r="I119" t="str">
        <f>+IFERROR(VLOOKUP(D119,Conceptos_Analítica_contraloría[#All],2,0),"")</f>
        <v>Volumetria</v>
      </c>
      <c r="J119" s="84" t="str">
        <f>+IFERROR(VLOOKUP(D119,Conceptos_Analítica_contraloría[#All],3,0),"")</f>
        <v>Cantidad</v>
      </c>
      <c r="K119" s="93">
        <v>-447104588</v>
      </c>
    </row>
    <row r="120" spans="1:11" ht="18.75" customHeight="1" x14ac:dyDescent="0.35">
      <c r="A120" s="93">
        <v>2025</v>
      </c>
      <c r="B120" s="87" t="s">
        <v>175</v>
      </c>
      <c r="C120" s="100">
        <f>IF(OR(Fact_Analitica[[#This Row], [Año]]="",Fact_Analitica[[#This Row], [Mes]]=""),"",DATE(A120,MATCH(B120,{"enero","febrero","marzo","abril","mayo","junio","julio","agosto","septiembre","octubre","noviembre","diciembre"},0)+1,0))</f>
        <v>45747</v>
      </c>
      <c r="D120" t="s">
        <v>127</v>
      </c>
      <c r="E120" t="str">
        <f>+IFERROR(VLOOKUP(Fact_Analitica[[#This Row], [Concepto Anterior]],Conceptos_Analítica_contraloría[#All],5,0),"")</f>
        <v>Ajuste Unds Merma Desconocida - Tiendas y Grandes S.</v>
      </c>
      <c r="F120" t="str">
        <f ca="1">+IFERROR(VLOOKUP(Fact_Analitica[[#This Row], [Concepto Anterior]],Conceptos_Analítica_contraloría[#All],7,0),"")</f>
        <v/>
      </c>
      <c r="G120" t="s">
        <v>172</v>
      </c>
      <c r="H120" t="s">
        <v>172</v>
      </c>
      <c r="I120" t="str">
        <f>+IFERROR(VLOOKUP(D120,Conceptos_Analítica_contraloría[#All],2,0),"")</f>
        <v>Volumetria</v>
      </c>
      <c r="J120" s="84" t="str">
        <f>+IFERROR(VLOOKUP(D120,Conceptos_Analítica_contraloría[#All],3,0),"")</f>
        <v>Cantidad</v>
      </c>
      <c r="K120" s="93">
        <v>-5822</v>
      </c>
    </row>
    <row r="121" spans="1:11" ht="18.75" customHeight="1" x14ac:dyDescent="0.35">
      <c r="A121" s="93">
        <v>2025</v>
      </c>
      <c r="B121" s="87" t="s">
        <v>175</v>
      </c>
      <c r="C121" s="100">
        <f>IF(OR(Fact_Analitica[[#This Row], [Año]]="",Fact_Analitica[[#This Row], [Mes]]=""),"",DATE(A121,MATCH(B121,{"enero","febrero","marzo","abril","mayo","junio","julio","agosto","septiembre","octubre","noviembre","diciembre"},0)+1,0))</f>
        <v>45747</v>
      </c>
      <c r="D121" t="s">
        <v>203</v>
      </c>
      <c r="E121" t="str">
        <f>+IFERROR(VLOOKUP(Fact_Analitica[[#This Row], [Concepto Anterior]],Conceptos_Analítica_contraloría[#All],5,0),"")</f>
        <v>Ajustes Inventarios Cíclico</v>
      </c>
      <c r="F121" t="str">
        <f ca="1">+IFERROR(VLOOKUP(Fact_Analitica[[#This Row], [Concepto Anterior]],Conceptos_Analítica_contraloría[#All],7,0),"")</f>
        <v/>
      </c>
      <c r="G121" t="s">
        <v>172</v>
      </c>
      <c r="H121" t="s">
        <v>172</v>
      </c>
      <c r="I121" t="str">
        <f>+IFERROR(VLOOKUP(D121,Conceptos_Analítica_contraloría[#All],2,0),"")</f>
        <v>Volumetria</v>
      </c>
      <c r="J121" s="84" t="str">
        <f>+IFERROR(VLOOKUP(D121,Conceptos_Analítica_contraloría[#All],3,0),"")</f>
        <v>Cantidad</v>
      </c>
      <c r="K121" s="93">
        <v>22</v>
      </c>
    </row>
    <row r="122" spans="1:11" ht="18.75" customHeight="1" x14ac:dyDescent="0.35">
      <c r="A122" s="93">
        <v>2025</v>
      </c>
      <c r="B122" s="87" t="s">
        <v>175</v>
      </c>
      <c r="C122" s="100">
        <f>IF(OR(Fact_Analitica[[#This Row], [Año]]="",Fact_Analitica[[#This Row], [Mes]]=""),"",DATE(A122,MATCH(B122,{"enero","febrero","marzo","abril","mayo","junio","julio","agosto","septiembre","octubre","noviembre","diciembre"},0)+1,0))</f>
        <v>45747</v>
      </c>
      <c r="D122" t="s">
        <v>66</v>
      </c>
      <c r="E122" t="str">
        <f>+IFERROR(VLOOKUP(Fact_Analitica[[#This Row], [Concepto Anterior]],Conceptos_Analítica_contraloría[#All],5,0),"")</f>
        <v>Cantidad de registros (consecutivos) a conciliar (Facturas 94%, otros movimientos 6%)</v>
      </c>
      <c r="F122" t="str">
        <f ca="1">+IFERROR(VLOOKUP(Fact_Analitica[[#This Row], [Concepto Anterior]],Conceptos_Analítica_contraloría[#All],7,0),"")</f>
        <v/>
      </c>
      <c r="G122" t="s">
        <v>172</v>
      </c>
      <c r="H122" t="s">
        <v>172</v>
      </c>
      <c r="I122" t="str">
        <f>+IFERROR(VLOOKUP(D122,Conceptos_Analítica_contraloría[#All],2,0),"")</f>
        <v>Volumetria</v>
      </c>
      <c r="J122" s="84" t="str">
        <f>+IFERROR(VLOOKUP(D122,Conceptos_Analítica_contraloría[#All],3,0),"")</f>
        <v>Cantidad</v>
      </c>
      <c r="K122" s="93">
        <v>398908</v>
      </c>
    </row>
    <row r="123" spans="1:11" ht="18.75" customHeight="1" x14ac:dyDescent="0.35">
      <c r="A123" s="93">
        <v>2025</v>
      </c>
      <c r="B123" s="87" t="s">
        <v>175</v>
      </c>
      <c r="C123" s="100">
        <f>IF(OR(Fact_Analitica[[#This Row], [Año]]="",Fact_Analitica[[#This Row], [Mes]]=""),"",DATE(A123,MATCH(B123,{"enero","febrero","marzo","abril","mayo","junio","julio","agosto","septiembre","octubre","noviembre","diciembre"},0)+1,0))</f>
        <v>45747</v>
      </c>
      <c r="D123" t="s">
        <v>125</v>
      </c>
      <c r="E123" t="str">
        <f>+IFERROR(VLOOKUP(Fact_Analitica[[#This Row], [Concepto Anterior]],Conceptos_Analítica_contraloría[#All],5,0),"")</f>
        <v>Cantidad de unidades a conciliar</v>
      </c>
      <c r="F123" t="str">
        <f ca="1">+IFERROR(VLOOKUP(Fact_Analitica[[#This Row], [Concepto Anterior]],Conceptos_Analítica_contraloría[#All],7,0),"")</f>
        <v/>
      </c>
      <c r="G123" t="s">
        <v>172</v>
      </c>
      <c r="H123" t="s">
        <v>172</v>
      </c>
      <c r="I123" t="str">
        <f>+IFERROR(VLOOKUP(D123,Conceptos_Analítica_contraloría[#All],2,0),"")</f>
        <v>Volumetria</v>
      </c>
      <c r="J123" s="84" t="str">
        <f>+IFERROR(VLOOKUP(D123,Conceptos_Analítica_contraloría[#All],3,0),"")</f>
        <v>Cantidad</v>
      </c>
      <c r="K123" s="93">
        <v>4268233</v>
      </c>
    </row>
    <row r="124" spans="1:11" ht="18.75" customHeight="1" x14ac:dyDescent="0.35">
      <c r="A124" s="93">
        <v>2025</v>
      </c>
      <c r="B124" s="87" t="s">
        <v>175</v>
      </c>
      <c r="C124" s="100">
        <f>IF(OR(Fact_Analitica[[#This Row], [Año]]="",Fact_Analitica[[#This Row], [Mes]]=""),"",DATE(A124,MATCH(B124,{"enero","febrero","marzo","abril","mayo","junio","julio","agosto","septiembre","octubre","noviembre","diciembre"},0)+1,0))</f>
        <v>45747</v>
      </c>
      <c r="D124" t="s">
        <v>204</v>
      </c>
      <c r="E124" t="str">
        <f>+IFERROR(VLOOKUP(Fact_Analitica[[#This Row], [Concepto Anterior]],Conceptos_Analítica_contraloría[#All],5,0),"")</f>
        <v>Presentación Resultados Inventarios a Dirección Comercial</v>
      </c>
      <c r="F124" t="str">
        <f ca="1">+IFERROR(VLOOKUP(Fact_Analitica[[#This Row], [Concepto Anterior]],Conceptos_Analítica_contraloría[#All],7,0),"")</f>
        <v/>
      </c>
      <c r="G124" t="s">
        <v>172</v>
      </c>
      <c r="H124" t="s">
        <v>172</v>
      </c>
      <c r="I124" t="str">
        <f>+IFERROR(VLOOKUP(D124,Conceptos_Analítica_contraloría[#All],2,0),"")</f>
        <v>Volumetria</v>
      </c>
      <c r="J124" s="84" t="str">
        <f>+IFERROR(VLOOKUP(D124,Conceptos_Analítica_contraloría[#All],3,0),"")</f>
        <v>Cantidad</v>
      </c>
      <c r="K124" s="93">
        <v>2</v>
      </c>
    </row>
    <row r="125" spans="1:11" ht="18.75" customHeight="1" x14ac:dyDescent="0.35">
      <c r="A125" s="93">
        <v>2025</v>
      </c>
      <c r="B125" s="87" t="s">
        <v>175</v>
      </c>
      <c r="C125" s="100">
        <f>IF(OR(Fact_Analitica[[#This Row], [Año]]="",Fact_Analitica[[#This Row], [Mes]]=""),"",DATE(A125,MATCH(B125,{"enero","febrero","marzo","abril","mayo","junio","julio","agosto","septiembre","octubre","noviembre","diciembre"},0)+1,0))</f>
        <v>45747</v>
      </c>
      <c r="D125" t="s">
        <v>64</v>
      </c>
      <c r="E125" t="str">
        <f>+IFERROR(VLOOKUP(Fact_Analitica[[#This Row], [Concepto Anterior]],Conceptos_Analítica_contraloría[#All],5,0),"")</f>
        <v>Puntos a conciliar</v>
      </c>
      <c r="F125" t="str">
        <f ca="1">+IFERROR(VLOOKUP(Fact_Analitica[[#This Row], [Concepto Anterior]],Conceptos_Analítica_contraloría[#All],7,0),"")</f>
        <v/>
      </c>
      <c r="G125" t="s">
        <v>172</v>
      </c>
      <c r="H125" t="s">
        <v>172</v>
      </c>
      <c r="I125" t="str">
        <f>+IFERROR(VLOOKUP(D125,Conceptos_Analítica_contraloría[#All],2,0),"")</f>
        <v>Volumetria</v>
      </c>
      <c r="J125" s="84" t="str">
        <f>+IFERROR(VLOOKUP(D125,Conceptos_Analítica_contraloría[#All],3,0),"")</f>
        <v>Cantidad</v>
      </c>
      <c r="K125" s="93">
        <v>791</v>
      </c>
    </row>
    <row r="126" spans="1:11" ht="18.75" customHeight="1" x14ac:dyDescent="0.35">
      <c r="A126" s="93">
        <v>2025</v>
      </c>
      <c r="B126" s="87" t="s">
        <v>175</v>
      </c>
      <c r="C126" s="100">
        <f>IF(OR(Fact_Analitica[[#This Row], [Año]]="",Fact_Analitica[[#This Row], [Mes]]=""),"",DATE(A126,MATCH(B126,{"enero","febrero","marzo","abril","mayo","junio","julio","agosto","septiembre","octubre","noviembre","diciembre"},0)+1,0))</f>
        <v>45747</v>
      </c>
      <c r="D126" t="s">
        <v>124</v>
      </c>
      <c r="E126" t="str">
        <f>+IFERROR(VLOOKUP(Fact_Analitica[[#This Row], [Concepto Anterior]],Conceptos_Analítica_contraloría[#All],5,0),"")</f>
        <v>Puntos Conciliados</v>
      </c>
      <c r="F126" t="str">
        <f ca="1">+IFERROR(VLOOKUP(Fact_Analitica[[#This Row], [Concepto Anterior]],Conceptos_Analítica_contraloría[#All],7,0),"")</f>
        <v/>
      </c>
      <c r="G126" t="s">
        <v>172</v>
      </c>
      <c r="H126" t="s">
        <v>172</v>
      </c>
      <c r="I126" t="str">
        <f>+IFERROR(VLOOKUP(D126,Conceptos_Analítica_contraloría[#All],2,0),"")</f>
        <v>Volumetria</v>
      </c>
      <c r="J126" s="84" t="str">
        <f>+IFERROR(VLOOKUP(D126,Conceptos_Analítica_contraloría[#All],3,0),"")</f>
        <v>Cantidad</v>
      </c>
      <c r="K126" s="93">
        <v>88</v>
      </c>
    </row>
    <row r="127" spans="1:11" ht="18.75" customHeight="1" x14ac:dyDescent="0.35">
      <c r="A127" s="93">
        <v>2025</v>
      </c>
      <c r="B127" s="87" t="s">
        <v>175</v>
      </c>
      <c r="C127" s="100">
        <f>IF(OR(Fact_Analitica[[#This Row], [Año]]="",Fact_Analitica[[#This Row], [Mes]]=""),"",DATE(A127,MATCH(B127,{"enero","febrero","marzo","abril","mayo","junio","julio","agosto","septiembre","octubre","noviembre","diciembre"},0)+1,0))</f>
        <v>45747</v>
      </c>
      <c r="D127" t="s">
        <v>65</v>
      </c>
      <c r="E127" t="str">
        <f>+IFERROR(VLOOKUP(Fact_Analitica[[#This Row], [Concepto Anterior]],Conceptos_Analítica_contraloría[#All],5,0),"")</f>
        <v>Puntos x marca a conciliar</v>
      </c>
      <c r="F127" t="str">
        <f ca="1">+IFERROR(VLOOKUP(Fact_Analitica[[#This Row], [Concepto Anterior]],Conceptos_Analítica_contraloría[#All],7,0),"")</f>
        <v/>
      </c>
      <c r="G127" t="s">
        <v>172</v>
      </c>
      <c r="H127" t="s">
        <v>172</v>
      </c>
      <c r="I127" t="str">
        <f>+IFERROR(VLOOKUP(D127,Conceptos_Analítica_contraloría[#All],2,0),"")</f>
        <v>Volumetria</v>
      </c>
      <c r="J127" s="84" t="str">
        <f>+IFERROR(VLOOKUP(D127,Conceptos_Analítica_contraloría[#All],3,0),"")</f>
        <v>Cantidad</v>
      </c>
      <c r="K127" s="93">
        <v>1464</v>
      </c>
    </row>
    <row r="128" spans="1:11" ht="18.75" customHeight="1" x14ac:dyDescent="0.35">
      <c r="A128" s="93">
        <v>2025</v>
      </c>
      <c r="B128" s="87" t="s">
        <v>175</v>
      </c>
      <c r="C128" s="100">
        <f>IF(OR(Fact_Analitica[[#This Row], [Año]]="",Fact_Analitica[[#This Row], [Mes]]=""),"",DATE(A128,MATCH(B128,{"enero","febrero","marzo","abril","mayo","junio","julio","agosto","septiembre","octubre","noviembre","diciembre"},0)+1,0))</f>
        <v>45747</v>
      </c>
      <c r="D128" t="s">
        <v>126</v>
      </c>
      <c r="E128" t="str">
        <f>+IFERROR(VLOOKUP(Fact_Analitica[[#This Row], [Concepto Anterior]],Conceptos_Analítica_contraloría[#All],5,0),"")</f>
        <v>Recuperación de la merma franquicias y grandes superficies</v>
      </c>
      <c r="F128" t="str">
        <f ca="1">+IFERROR(VLOOKUP(Fact_Analitica[[#This Row], [Concepto Anterior]],Conceptos_Analítica_contraloría[#All],7,0),"")</f>
        <v/>
      </c>
      <c r="G128" t="s">
        <v>172</v>
      </c>
      <c r="H128" t="s">
        <v>172</v>
      </c>
      <c r="I128" t="str">
        <f>+IFERROR(VLOOKUP(D128,Conceptos_Analítica_contraloría[#All],2,0),"")</f>
        <v>Eficiencia</v>
      </c>
      <c r="J128" s="84" t="str">
        <f>+IFERROR(VLOOKUP(D128,Conceptos_Analítica_contraloría[#All],3,0),"")</f>
        <v>Pesos</v>
      </c>
      <c r="K128" s="93">
        <v>18463922</v>
      </c>
    </row>
    <row r="129" spans="1:11" ht="18.75" customHeight="1" x14ac:dyDescent="0.35">
      <c r="A129" s="93">
        <v>2025</v>
      </c>
      <c r="B129" s="87" t="s">
        <v>176</v>
      </c>
      <c r="C129" s="100">
        <f>IF(OR(Fact_Analitica[[#This Row], [Año]]="",Fact_Analitica[[#This Row], [Mes]]=""),"",DATE(A129,MATCH(B129,{"enero","febrero","marzo","abril","mayo","junio","julio","agosto","septiembre","octubre","noviembre","diciembre"},0)+1,0))</f>
        <v>45777</v>
      </c>
      <c r="D129" t="s">
        <v>127</v>
      </c>
      <c r="E129" t="str">
        <f>+IFERROR(VLOOKUP(Fact_Analitica[[#This Row], [Concepto Anterior]],Conceptos_Analítica_contraloría[#All],5,0),"")</f>
        <v>Ajuste Unds Merma Desconocida - Tiendas y Grandes S.</v>
      </c>
      <c r="F129" t="str">
        <f ca="1">+IFERROR(VLOOKUP(Fact_Analitica[[#This Row], [Concepto Anterior]],Conceptos_Analítica_contraloría[#All],7,0),"")</f>
        <v/>
      </c>
      <c r="G129" t="s">
        <v>172</v>
      </c>
      <c r="H129" t="s">
        <v>172</v>
      </c>
      <c r="I129" t="str">
        <f>+IFERROR(VLOOKUP(D129,Conceptos_Analítica_contraloría[#All],2,0),"")</f>
        <v>Volumetria</v>
      </c>
      <c r="J129" s="84" t="str">
        <f>+IFERROR(VLOOKUP(D129,Conceptos_Analítica_contraloría[#All],3,0),"")</f>
        <v>Cantidad</v>
      </c>
      <c r="K129" s="93">
        <v>-8024</v>
      </c>
    </row>
    <row r="130" spans="1:11" ht="18.75" customHeight="1" x14ac:dyDescent="0.35">
      <c r="A130" s="93">
        <v>2025</v>
      </c>
      <c r="B130" s="87" t="s">
        <v>176</v>
      </c>
      <c r="C130" s="100">
        <f>IF(OR(Fact_Analitica[[#This Row], [Año]]="",Fact_Analitica[[#This Row], [Mes]]=""),"",DATE(A130,MATCH(B130,{"enero","febrero","marzo","abril","mayo","junio","julio","agosto","septiembre","octubre","noviembre","diciembre"},0)+1,0))</f>
        <v>45777</v>
      </c>
      <c r="D130" t="s">
        <v>203</v>
      </c>
      <c r="E130" t="str">
        <f>+IFERROR(VLOOKUP(Fact_Analitica[[#This Row], [Concepto Anterior]],Conceptos_Analítica_contraloría[#All],5,0),"")</f>
        <v>Ajustes Inventarios Cíclico</v>
      </c>
      <c r="F130" t="str">
        <f ca="1">+IFERROR(VLOOKUP(Fact_Analitica[[#This Row], [Concepto Anterior]],Conceptos_Analítica_contraloría[#All],7,0),"")</f>
        <v/>
      </c>
      <c r="G130" t="s">
        <v>172</v>
      </c>
      <c r="H130" t="s">
        <v>172</v>
      </c>
      <c r="I130" t="str">
        <f>+IFERROR(VLOOKUP(D130,Conceptos_Analítica_contraloría[#All],2,0),"")</f>
        <v>Volumetria</v>
      </c>
      <c r="J130" s="84" t="str">
        <f>+IFERROR(VLOOKUP(D130,Conceptos_Analítica_contraloría[#All],3,0),"")</f>
        <v>Cantidad</v>
      </c>
      <c r="K130" s="93">
        <v>11</v>
      </c>
    </row>
    <row r="131" spans="1:11" ht="18.75" customHeight="1" x14ac:dyDescent="0.35">
      <c r="A131" s="93">
        <v>2025</v>
      </c>
      <c r="B131" s="87" t="s">
        <v>176</v>
      </c>
      <c r="C131" s="100">
        <f>IF(OR(Fact_Analitica[[#This Row], [Año]]="",Fact_Analitica[[#This Row], [Mes]]=""),"",DATE(A131,MATCH(B131,{"enero","febrero","marzo","abril","mayo","junio","julio","agosto","septiembre","octubre","noviembre","diciembre"},0)+1,0))</f>
        <v>45777</v>
      </c>
      <c r="D131" t="s">
        <v>66</v>
      </c>
      <c r="E131" t="str">
        <f>+IFERROR(VLOOKUP(Fact_Analitica[[#This Row], [Concepto Anterior]],Conceptos_Analítica_contraloría[#All],5,0),"")</f>
        <v>Cantidad de registros (consecutivos) a conciliar (Facturas 94%, otros movimientos 6%)</v>
      </c>
      <c r="F131" t="str">
        <f ca="1">+IFERROR(VLOOKUP(Fact_Analitica[[#This Row], [Concepto Anterior]],Conceptos_Analítica_contraloría[#All],7,0),"")</f>
        <v/>
      </c>
      <c r="G131" t="s">
        <v>172</v>
      </c>
      <c r="H131" t="s">
        <v>172</v>
      </c>
      <c r="I131" t="str">
        <f>+IFERROR(VLOOKUP(D131,Conceptos_Analítica_contraloría[#All],2,0),"")</f>
        <v>Volumetria</v>
      </c>
      <c r="J131" s="84" t="str">
        <f>+IFERROR(VLOOKUP(D131,Conceptos_Analítica_contraloría[#All],3,0),"")</f>
        <v>Cantidad</v>
      </c>
      <c r="K131" s="93">
        <v>394034</v>
      </c>
    </row>
    <row r="132" spans="1:11" ht="18.75" customHeight="1" x14ac:dyDescent="0.35">
      <c r="A132" s="93">
        <v>2025</v>
      </c>
      <c r="B132" s="87" t="s">
        <v>176</v>
      </c>
      <c r="C132" s="100">
        <f>IF(OR(Fact_Analitica[[#This Row], [Año]]="",Fact_Analitica[[#This Row], [Mes]]=""),"",DATE(A132,MATCH(B132,{"enero","febrero","marzo","abril","mayo","junio","julio","agosto","septiembre","octubre","noviembre","diciembre"},0)+1,0))</f>
        <v>45777</v>
      </c>
      <c r="D132" t="s">
        <v>125</v>
      </c>
      <c r="E132" t="str">
        <f>+IFERROR(VLOOKUP(Fact_Analitica[[#This Row], [Concepto Anterior]],Conceptos_Analítica_contraloría[#All],5,0),"")</f>
        <v>Cantidad de unidades a conciliar</v>
      </c>
      <c r="F132" t="str">
        <f ca="1">+IFERROR(VLOOKUP(Fact_Analitica[[#This Row], [Concepto Anterior]],Conceptos_Analítica_contraloría[#All],7,0),"")</f>
        <v/>
      </c>
      <c r="G132" t="s">
        <v>172</v>
      </c>
      <c r="H132" t="s">
        <v>172</v>
      </c>
      <c r="I132" t="str">
        <f>+IFERROR(VLOOKUP(D132,Conceptos_Analítica_contraloría[#All],2,0),"")</f>
        <v>Volumetria</v>
      </c>
      <c r="J132" s="84" t="str">
        <f>+IFERROR(VLOOKUP(D132,Conceptos_Analítica_contraloría[#All],3,0),"")</f>
        <v>Cantidad</v>
      </c>
      <c r="K132" s="93">
        <v>4548433</v>
      </c>
    </row>
    <row r="133" spans="1:11" ht="18.75" customHeight="1" x14ac:dyDescent="0.35">
      <c r="A133" s="93">
        <v>2025</v>
      </c>
      <c r="B133" s="87" t="s">
        <v>176</v>
      </c>
      <c r="C133" s="100">
        <f>IF(OR(Fact_Analitica[[#This Row], [Año]]="",Fact_Analitica[[#This Row], [Mes]]=""),"",DATE(A133,MATCH(B133,{"enero","febrero","marzo","abril","mayo","junio","julio","agosto","septiembre","octubre","noviembre","diciembre"},0)+1,0))</f>
        <v>45777</v>
      </c>
      <c r="D133" t="s">
        <v>204</v>
      </c>
      <c r="E133" t="str">
        <f>+IFERROR(VLOOKUP(Fact_Analitica[[#This Row], [Concepto Anterior]],Conceptos_Analítica_contraloría[#All],5,0),"")</f>
        <v>Presentación Resultados Inventarios a Dirección Comercial</v>
      </c>
      <c r="F133" t="str">
        <f ca="1">+IFERROR(VLOOKUP(Fact_Analitica[[#This Row], [Concepto Anterior]],Conceptos_Analítica_contraloría[#All],7,0),"")</f>
        <v/>
      </c>
      <c r="G133" t="s">
        <v>172</v>
      </c>
      <c r="H133" t="s">
        <v>172</v>
      </c>
      <c r="I133" t="str">
        <f>+IFERROR(VLOOKUP(D133,Conceptos_Analítica_contraloría[#All],2,0),"")</f>
        <v>Volumetria</v>
      </c>
      <c r="J133" s="84" t="str">
        <f>+IFERROR(VLOOKUP(D133,Conceptos_Analítica_contraloría[#All],3,0),"")</f>
        <v>Cantidad</v>
      </c>
      <c r="K133" s="93">
        <v>2</v>
      </c>
    </row>
    <row r="134" spans="1:11" ht="18.75" customHeight="1" x14ac:dyDescent="0.35">
      <c r="A134" s="93">
        <v>2025</v>
      </c>
      <c r="B134" s="87" t="s">
        <v>176</v>
      </c>
      <c r="C134" s="100">
        <f>IF(OR(Fact_Analitica[[#This Row], [Año]]="",Fact_Analitica[[#This Row], [Mes]]=""),"",DATE(A134,MATCH(B134,{"enero","febrero","marzo","abril","mayo","junio","julio","agosto","septiembre","octubre","noviembre","diciembre"},0)+1,0))</f>
        <v>45777</v>
      </c>
      <c r="D134" t="s">
        <v>64</v>
      </c>
      <c r="E134" t="str">
        <f>+IFERROR(VLOOKUP(Fact_Analitica[[#This Row], [Concepto Anterior]],Conceptos_Analítica_contraloría[#All],5,0),"")</f>
        <v>Puntos a conciliar</v>
      </c>
      <c r="F134" t="str">
        <f ca="1">+IFERROR(VLOOKUP(Fact_Analitica[[#This Row], [Concepto Anterior]],Conceptos_Analítica_contraloría[#All],7,0),"")</f>
        <v/>
      </c>
      <c r="G134" t="s">
        <v>172</v>
      </c>
      <c r="H134" t="s">
        <v>172</v>
      </c>
      <c r="I134" t="str">
        <f>+IFERROR(VLOOKUP(D134,Conceptos_Analítica_contraloría[#All],2,0),"")</f>
        <v>Volumetria</v>
      </c>
      <c r="J134" s="84" t="str">
        <f>+IFERROR(VLOOKUP(D134,Conceptos_Analítica_contraloría[#All],3,0),"")</f>
        <v>Cantidad</v>
      </c>
      <c r="K134" s="93">
        <v>812</v>
      </c>
    </row>
    <row r="135" spans="1:11" ht="18.75" customHeight="1" x14ac:dyDescent="0.35">
      <c r="A135" s="93">
        <v>2025</v>
      </c>
      <c r="B135" s="87" t="s">
        <v>176</v>
      </c>
      <c r="C135" s="100">
        <f>IF(OR(Fact_Analitica[[#This Row], [Año]]="",Fact_Analitica[[#This Row], [Mes]]=""),"",DATE(A135,MATCH(B135,{"enero","febrero","marzo","abril","mayo","junio","julio","agosto","septiembre","octubre","noviembre","diciembre"},0)+1,0))</f>
        <v>45777</v>
      </c>
      <c r="D135" t="s">
        <v>124</v>
      </c>
      <c r="E135" t="str">
        <f>+IFERROR(VLOOKUP(Fact_Analitica[[#This Row], [Concepto Anterior]],Conceptos_Analítica_contraloría[#All],5,0),"")</f>
        <v>Puntos Conciliados</v>
      </c>
      <c r="F135" t="str">
        <f ca="1">+IFERROR(VLOOKUP(Fact_Analitica[[#This Row], [Concepto Anterior]],Conceptos_Analítica_contraloría[#All],7,0),"")</f>
        <v/>
      </c>
      <c r="G135" t="s">
        <v>172</v>
      </c>
      <c r="H135" t="s">
        <v>172</v>
      </c>
      <c r="I135" t="str">
        <f>+IFERROR(VLOOKUP(D135,Conceptos_Analítica_contraloría[#All],2,0),"")</f>
        <v>Volumetria</v>
      </c>
      <c r="J135" s="84" t="str">
        <f>+IFERROR(VLOOKUP(D135,Conceptos_Analítica_contraloría[#All],3,0),"")</f>
        <v>Cantidad</v>
      </c>
      <c r="K135" s="93">
        <v>37</v>
      </c>
    </row>
    <row r="136" spans="1:11" ht="18.75" customHeight="1" x14ac:dyDescent="0.35">
      <c r="A136" s="93">
        <v>2025</v>
      </c>
      <c r="B136" s="87" t="s">
        <v>176</v>
      </c>
      <c r="C136" s="100">
        <f>IF(OR(Fact_Analitica[[#This Row], [Año]]="",Fact_Analitica[[#This Row], [Mes]]=""),"",DATE(A136,MATCH(B136,{"enero","febrero","marzo","abril","mayo","junio","julio","agosto","septiembre","octubre","noviembre","diciembre"},0)+1,0))</f>
        <v>45777</v>
      </c>
      <c r="D136" t="s">
        <v>65</v>
      </c>
      <c r="E136" t="str">
        <f>+IFERROR(VLOOKUP(Fact_Analitica[[#This Row], [Concepto Anterior]],Conceptos_Analítica_contraloría[#All],5,0),"")</f>
        <v>Puntos x marca a conciliar</v>
      </c>
      <c r="F136" t="str">
        <f ca="1">+IFERROR(VLOOKUP(Fact_Analitica[[#This Row], [Concepto Anterior]],Conceptos_Analítica_contraloría[#All],7,0),"")</f>
        <v/>
      </c>
      <c r="G136" t="s">
        <v>172</v>
      </c>
      <c r="H136" t="s">
        <v>172</v>
      </c>
      <c r="I136" t="str">
        <f>+IFERROR(VLOOKUP(D136,Conceptos_Analítica_contraloría[#All],2,0),"")</f>
        <v>Volumetria</v>
      </c>
      <c r="J136" s="84" t="str">
        <f>+IFERROR(VLOOKUP(D136,Conceptos_Analítica_contraloría[#All],3,0),"")</f>
        <v>Cantidad</v>
      </c>
      <c r="K136" s="93">
        <v>1500</v>
      </c>
    </row>
    <row r="137" spans="1:11" ht="18.75" customHeight="1" x14ac:dyDescent="0.35">
      <c r="A137" s="93">
        <v>2025</v>
      </c>
      <c r="B137" s="87" t="s">
        <v>176</v>
      </c>
      <c r="C137" s="100">
        <f>IF(OR(Fact_Analitica[[#This Row], [Año]]="",Fact_Analitica[[#This Row], [Mes]]=""),"",DATE(A137,MATCH(B137,{"enero","febrero","marzo","abril","mayo","junio","julio","agosto","septiembre","octubre","noviembre","diciembre"},0)+1,0))</f>
        <v>45777</v>
      </c>
      <c r="D137" t="s">
        <v>126</v>
      </c>
      <c r="E137" t="str">
        <f>+IFERROR(VLOOKUP(Fact_Analitica[[#This Row], [Concepto Anterior]],Conceptos_Analítica_contraloría[#All],5,0),"")</f>
        <v>Recuperación de la merma franquicias y grandes superficies</v>
      </c>
      <c r="F137" t="str">
        <f ca="1">+IFERROR(VLOOKUP(Fact_Analitica[[#This Row], [Concepto Anterior]],Conceptos_Analítica_contraloría[#All],7,0),"")</f>
        <v/>
      </c>
      <c r="G137" t="s">
        <v>172</v>
      </c>
      <c r="H137" t="s">
        <v>172</v>
      </c>
      <c r="I137" t="str">
        <f>+IFERROR(VLOOKUP(D137,Conceptos_Analítica_contraloría[#All],2,0),"")</f>
        <v>Eficiencia</v>
      </c>
      <c r="J137" s="84" t="str">
        <f>+IFERROR(VLOOKUP(D137,Conceptos_Analítica_contraloría[#All],3,0),"")</f>
        <v>Pesos</v>
      </c>
      <c r="K137" s="93">
        <v>267586905</v>
      </c>
    </row>
    <row r="138" spans="1:11" ht="18.75" customHeight="1" x14ac:dyDescent="0.35">
      <c r="A138" s="93">
        <v>2025</v>
      </c>
      <c r="B138" s="87" t="s">
        <v>10</v>
      </c>
      <c r="C138" s="100">
        <f>IF(OR(Fact_Analitica[[#This Row], [Año]]="",Fact_Analitica[[#This Row], [Mes]]=""),"",DATE(A138,MATCH(B138,{"enero","febrero","marzo","abril","mayo","junio","julio","agosto","septiembre","octubre","noviembre","diciembre"},0)+1,0))</f>
        <v>45808</v>
      </c>
      <c r="D138" t="s">
        <v>127</v>
      </c>
      <c r="E138" t="str">
        <f>+IFERROR(VLOOKUP(Fact_Analitica[[#This Row], [Concepto Anterior]],Conceptos_Analítica_contraloría[#All],5,0),"")</f>
        <v>Ajuste Unds Merma Desconocida - Tiendas y Grandes S.</v>
      </c>
      <c r="F138" t="str">
        <f ca="1">+IFERROR(VLOOKUP(Fact_Analitica[[#This Row], [Concepto Anterior]],Conceptos_Analítica_contraloría[#All],7,0),"")</f>
        <v/>
      </c>
      <c r="G138" t="s">
        <v>172</v>
      </c>
      <c r="H138" t="s">
        <v>172</v>
      </c>
      <c r="I138" t="str">
        <f>+IFERROR(VLOOKUP(D138,Conceptos_Analítica_contraloría[#All],2,0),"")</f>
        <v>Volumetria</v>
      </c>
      <c r="J138" s="84" t="str">
        <f>+IFERROR(VLOOKUP(D138,Conceptos_Analítica_contraloría[#All],3,0),"")</f>
        <v>Cantidad</v>
      </c>
      <c r="K138" s="93">
        <v>-2618</v>
      </c>
    </row>
    <row r="139" spans="1:11" ht="18.75" customHeight="1" x14ac:dyDescent="0.35">
      <c r="A139" s="93">
        <v>2025</v>
      </c>
      <c r="B139" s="87" t="s">
        <v>10</v>
      </c>
      <c r="C139" s="100">
        <f>IF(OR(Fact_Analitica[[#This Row], [Año]]="",Fact_Analitica[[#This Row], [Mes]]=""),"",DATE(A139,MATCH(B139,{"enero","febrero","marzo","abril","mayo","junio","julio","agosto","septiembre","octubre","noviembre","diciembre"},0)+1,0))</f>
        <v>45808</v>
      </c>
      <c r="D139" t="s">
        <v>203</v>
      </c>
      <c r="E139" t="str">
        <f>+IFERROR(VLOOKUP(Fact_Analitica[[#This Row], [Concepto Anterior]],Conceptos_Analítica_contraloría[#All],5,0),"")</f>
        <v>Ajustes Inventarios Cíclico</v>
      </c>
      <c r="F139" t="str">
        <f ca="1">+IFERROR(VLOOKUP(Fact_Analitica[[#This Row], [Concepto Anterior]],Conceptos_Analítica_contraloría[#All],7,0),"")</f>
        <v/>
      </c>
      <c r="G139" t="s">
        <v>172</v>
      </c>
      <c r="H139" t="s">
        <v>172</v>
      </c>
      <c r="I139" t="str">
        <f>+IFERROR(VLOOKUP(D139,Conceptos_Analítica_contraloría[#All],2,0),"")</f>
        <v>Volumetria</v>
      </c>
      <c r="J139" s="84" t="str">
        <f>+IFERROR(VLOOKUP(D139,Conceptos_Analítica_contraloría[#All],3,0),"")</f>
        <v>Cantidad</v>
      </c>
      <c r="K139" s="93">
        <v>6</v>
      </c>
    </row>
    <row r="140" spans="1:11" ht="18.75" customHeight="1" x14ac:dyDescent="0.35">
      <c r="A140" s="93">
        <v>2025</v>
      </c>
      <c r="B140" s="87" t="s">
        <v>10</v>
      </c>
      <c r="C140" s="100">
        <f>IF(OR(Fact_Analitica[[#This Row], [Año]]="",Fact_Analitica[[#This Row], [Mes]]=""),"",DATE(A140,MATCH(B140,{"enero","febrero","marzo","abril","mayo","junio","julio","agosto","septiembre","octubre","noviembre","diciembre"},0)+1,0))</f>
        <v>45808</v>
      </c>
      <c r="D140" t="s">
        <v>66</v>
      </c>
      <c r="E140" t="str">
        <f>+IFERROR(VLOOKUP(Fact_Analitica[[#This Row], [Concepto Anterior]],Conceptos_Analítica_contraloría[#All],5,0),"")</f>
        <v>Cantidad de registros (consecutivos) a conciliar (Facturas 94%, otros movimientos 6%)</v>
      </c>
      <c r="F140" t="str">
        <f ca="1">+IFERROR(VLOOKUP(Fact_Analitica[[#This Row], [Concepto Anterior]],Conceptos_Analítica_contraloría[#All],7,0),"")</f>
        <v/>
      </c>
      <c r="G140" t="s">
        <v>172</v>
      </c>
      <c r="H140" t="s">
        <v>172</v>
      </c>
      <c r="I140" t="str">
        <f>+IFERROR(VLOOKUP(D140,Conceptos_Analítica_contraloría[#All],2,0),"")</f>
        <v>Volumetria</v>
      </c>
      <c r="J140" s="84" t="str">
        <f>+IFERROR(VLOOKUP(D140,Conceptos_Analítica_contraloría[#All],3,0),"")</f>
        <v>Cantidad</v>
      </c>
      <c r="K140" s="93">
        <v>394034</v>
      </c>
    </row>
    <row r="141" spans="1:11" ht="18.75" customHeight="1" x14ac:dyDescent="0.35">
      <c r="A141" s="93">
        <v>2025</v>
      </c>
      <c r="B141" s="87" t="s">
        <v>10</v>
      </c>
      <c r="C141" s="100">
        <f>IF(OR(Fact_Analitica[[#This Row], [Año]]="",Fact_Analitica[[#This Row], [Mes]]=""),"",DATE(A141,MATCH(B141,{"enero","febrero","marzo","abril","mayo","junio","julio","agosto","septiembre","octubre","noviembre","diciembre"},0)+1,0))</f>
        <v>45808</v>
      </c>
      <c r="D141" t="s">
        <v>125</v>
      </c>
      <c r="E141" t="str">
        <f>+IFERROR(VLOOKUP(Fact_Analitica[[#This Row], [Concepto Anterior]],Conceptos_Analítica_contraloría[#All],5,0),"")</f>
        <v>Cantidad de unidades a conciliar</v>
      </c>
      <c r="F141" t="str">
        <f ca="1">+IFERROR(VLOOKUP(Fact_Analitica[[#This Row], [Concepto Anterior]],Conceptos_Analítica_contraloría[#All],7,0),"")</f>
        <v/>
      </c>
      <c r="G141" t="s">
        <v>172</v>
      </c>
      <c r="H141" t="s">
        <v>172</v>
      </c>
      <c r="I141" t="str">
        <f>+IFERROR(VLOOKUP(D141,Conceptos_Analítica_contraloría[#All],2,0),"")</f>
        <v>Volumetria</v>
      </c>
      <c r="J141" s="84" t="str">
        <f>+IFERROR(VLOOKUP(D141,Conceptos_Analítica_contraloría[#All],3,0),"")</f>
        <v>Cantidad</v>
      </c>
      <c r="K141" s="93">
        <v>4548433</v>
      </c>
    </row>
    <row r="142" spans="1:11" ht="18.75" customHeight="1" x14ac:dyDescent="0.35">
      <c r="A142" s="93">
        <v>2025</v>
      </c>
      <c r="B142" s="87" t="s">
        <v>10</v>
      </c>
      <c r="C142" s="100">
        <f>IF(OR(Fact_Analitica[[#This Row], [Año]]="",Fact_Analitica[[#This Row], [Mes]]=""),"",DATE(A142,MATCH(B142,{"enero","febrero","marzo","abril","mayo","junio","julio","agosto","septiembre","octubre","noviembre","diciembre"},0)+1,0))</f>
        <v>45808</v>
      </c>
      <c r="D142" t="s">
        <v>64</v>
      </c>
      <c r="E142" t="str">
        <f>+IFERROR(VLOOKUP(Fact_Analitica[[#This Row], [Concepto Anterior]],Conceptos_Analítica_contraloría[#All],5,0),"")</f>
        <v>Puntos a conciliar</v>
      </c>
      <c r="F142" t="str">
        <f ca="1">+IFERROR(VLOOKUP(Fact_Analitica[[#This Row], [Concepto Anterior]],Conceptos_Analítica_contraloría[#All],7,0),"")</f>
        <v/>
      </c>
      <c r="G142" t="s">
        <v>172</v>
      </c>
      <c r="H142" t="s">
        <v>172</v>
      </c>
      <c r="I142" t="str">
        <f>+IFERROR(VLOOKUP(D142,Conceptos_Analítica_contraloría[#All],2,0),"")</f>
        <v>Volumetria</v>
      </c>
      <c r="J142" s="84" t="str">
        <f>+IFERROR(VLOOKUP(D142,Conceptos_Analítica_contraloría[#All],3,0),"")</f>
        <v>Cantidad</v>
      </c>
      <c r="K142" s="93">
        <v>564</v>
      </c>
    </row>
    <row r="143" spans="1:11" ht="18.75" customHeight="1" x14ac:dyDescent="0.35">
      <c r="A143" s="93">
        <v>2025</v>
      </c>
      <c r="B143" s="87" t="s">
        <v>10</v>
      </c>
      <c r="C143" s="100">
        <f>IF(OR(Fact_Analitica[[#This Row], [Año]]="",Fact_Analitica[[#This Row], [Mes]]=""),"",DATE(A143,MATCH(B143,{"enero","febrero","marzo","abril","mayo","junio","julio","agosto","septiembre","octubre","noviembre","diciembre"},0)+1,0))</f>
        <v>45808</v>
      </c>
      <c r="D143" t="s">
        <v>124</v>
      </c>
      <c r="E143" t="str">
        <f>+IFERROR(VLOOKUP(Fact_Analitica[[#This Row], [Concepto Anterior]],Conceptos_Analítica_contraloría[#All],5,0),"")</f>
        <v>Puntos Conciliados</v>
      </c>
      <c r="F143" t="str">
        <f ca="1">+IFERROR(VLOOKUP(Fact_Analitica[[#This Row], [Concepto Anterior]],Conceptos_Analítica_contraloría[#All],7,0),"")</f>
        <v/>
      </c>
      <c r="G143" t="s">
        <v>172</v>
      </c>
      <c r="H143" t="s">
        <v>172</v>
      </c>
      <c r="I143" t="str">
        <f>+IFERROR(VLOOKUP(D143,Conceptos_Analítica_contraloría[#All],2,0),"")</f>
        <v>Volumetria</v>
      </c>
      <c r="J143" s="84" t="str">
        <f>+IFERROR(VLOOKUP(D143,Conceptos_Analítica_contraloría[#All],3,0),"")</f>
        <v>Cantidad</v>
      </c>
      <c r="K143" s="93">
        <v>37</v>
      </c>
    </row>
    <row r="144" spans="1:11" ht="18.75" customHeight="1" x14ac:dyDescent="0.35">
      <c r="A144" s="93">
        <v>2025</v>
      </c>
      <c r="B144" s="87" t="s">
        <v>10</v>
      </c>
      <c r="C144" s="100">
        <f>IF(OR(Fact_Analitica[[#This Row], [Año]]="",Fact_Analitica[[#This Row], [Mes]]=""),"",DATE(A144,MATCH(B144,{"enero","febrero","marzo","abril","mayo","junio","julio","agosto","septiembre","octubre","noviembre","diciembre"},0)+1,0))</f>
        <v>45808</v>
      </c>
      <c r="D144" t="s">
        <v>65</v>
      </c>
      <c r="E144" t="str">
        <f>+IFERROR(VLOOKUP(Fact_Analitica[[#This Row], [Concepto Anterior]],Conceptos_Analítica_contraloría[#All],5,0),"")</f>
        <v>Puntos x marca a conciliar</v>
      </c>
      <c r="F144" t="str">
        <f ca="1">+IFERROR(VLOOKUP(Fact_Analitica[[#This Row], [Concepto Anterior]],Conceptos_Analítica_contraloría[#All],7,0),"")</f>
        <v/>
      </c>
      <c r="G144" t="s">
        <v>172</v>
      </c>
      <c r="H144" t="s">
        <v>172</v>
      </c>
      <c r="I144" t="str">
        <f>+IFERROR(VLOOKUP(D144,Conceptos_Analítica_contraloría[#All],2,0),"")</f>
        <v>Volumetria</v>
      </c>
      <c r="J144" s="84" t="str">
        <f>+IFERROR(VLOOKUP(D144,Conceptos_Analítica_contraloría[#All],3,0),"")</f>
        <v>Cantidad</v>
      </c>
      <c r="K144" s="93">
        <v>1351</v>
      </c>
    </row>
    <row r="145" spans="1:11" ht="18.75" customHeight="1" x14ac:dyDescent="0.35">
      <c r="A145" s="93">
        <v>2025</v>
      </c>
      <c r="B145" s="87" t="s">
        <v>10</v>
      </c>
      <c r="C145" s="100">
        <f>IF(OR(Fact_Analitica[[#This Row], [Año]]="",Fact_Analitica[[#This Row], [Mes]]=""),"",DATE(A145,MATCH(B145,{"enero","febrero","marzo","abril","mayo","junio","julio","agosto","septiembre","octubre","noviembre","diciembre"},0)+1,0))</f>
        <v>45808</v>
      </c>
      <c r="D145" t="s">
        <v>128</v>
      </c>
      <c r="E145" t="str">
        <f>+IFERROR(VLOOKUP(Fact_Analitica[[#This Row], [Concepto Anterior]],Conceptos_Analítica_contraloría[#All],5,0),"")</f>
        <v>Ajuste Costo Merma Desconocida - Tiendas y Grandes S.</v>
      </c>
      <c r="F145" t="str">
        <f ca="1">+IFERROR(VLOOKUP(Fact_Analitica[[#This Row], [Concepto Anterior]],Conceptos_Analítica_contraloría[#All],7,0),"")</f>
        <v/>
      </c>
      <c r="G145" t="s">
        <v>172</v>
      </c>
      <c r="H145" t="s">
        <v>172</v>
      </c>
      <c r="I145" t="str">
        <f>+IFERROR(VLOOKUP(D145,Conceptos_Analítica_contraloría[#All],2,0),"")</f>
        <v>Volumetria</v>
      </c>
      <c r="J145" s="84" t="str">
        <f>+IFERROR(VLOOKUP(D145,Conceptos_Analítica_contraloría[#All],3,0),"")</f>
        <v>Cantidad</v>
      </c>
      <c r="K145" s="93">
        <v>1047808</v>
      </c>
    </row>
    <row r="146" spans="1:11" ht="18.75" customHeight="1" x14ac:dyDescent="0.35">
      <c r="A146" s="93">
        <v>2025</v>
      </c>
      <c r="B146" s="87" t="s">
        <v>10</v>
      </c>
      <c r="C146" s="100">
        <f>IF(OR(Fact_Analitica[[#This Row], [Año]]="",Fact_Analitica[[#This Row], [Mes]]=""),"",DATE(A146,MATCH(B146,{"enero","febrero","marzo","abril","mayo","junio","julio","agosto","septiembre","octubre","noviembre","diciembre"},0)+1,0))</f>
        <v>45808</v>
      </c>
      <c r="D146" t="s">
        <v>205</v>
      </c>
      <c r="E146" t="str">
        <f>+IFERROR(VLOOKUP(Fact_Analitica[[#This Row], [Concepto Anterior]],Conceptos_Analítica_contraloría[#All],5,0),"")</f>
        <v>Cierres de tienda</v>
      </c>
      <c r="F146" t="str">
        <f ca="1">+IFERROR(VLOOKUP(Fact_Analitica[[#This Row], [Concepto Anterior]],Conceptos_Analítica_contraloría[#All],7,0),"")</f>
        <v/>
      </c>
      <c r="G146" t="s">
        <v>172</v>
      </c>
      <c r="H146" t="s">
        <v>172</v>
      </c>
      <c r="I146" t="str">
        <f>+IFERROR(VLOOKUP(D146,Conceptos_Analítica_contraloría[#All],2,0),"")</f>
        <v>Volumetria</v>
      </c>
      <c r="J146" s="84" t="str">
        <f>+IFERROR(VLOOKUP(D146,Conceptos_Analítica_contraloría[#All],3,0),"")</f>
        <v>Cantidad</v>
      </c>
      <c r="K146" s="93">
        <v>1</v>
      </c>
    </row>
    <row r="147" spans="1:11" ht="18.75" customHeight="1" x14ac:dyDescent="0.35">
      <c r="A147" s="93">
        <v>2025</v>
      </c>
      <c r="B147" s="87" t="s">
        <v>10</v>
      </c>
      <c r="C147" s="100">
        <f>IF(OR(Fact_Analitica[[#This Row], [Año]]="",Fact_Analitica[[#This Row], [Mes]]=""),"",DATE(A147,MATCH(B147,{"enero","febrero","marzo","abril","mayo","junio","julio","agosto","septiembre","octubre","noviembre","diciembre"},0)+1,0))</f>
        <v>45808</v>
      </c>
      <c r="D147" t="s">
        <v>204</v>
      </c>
      <c r="E147" t="str">
        <f>+IFERROR(VLOOKUP(Fact_Analitica[[#This Row], [Concepto Anterior]],Conceptos_Analítica_contraloría[#All],5,0),"")</f>
        <v>Presentación Resultados Inventarios a Dirección Comercial</v>
      </c>
      <c r="F147" t="str">
        <f ca="1">+IFERROR(VLOOKUP(Fact_Analitica[[#This Row], [Concepto Anterior]],Conceptos_Analítica_contraloría[#All],7,0),"")</f>
        <v/>
      </c>
      <c r="G147" t="s">
        <v>172</v>
      </c>
      <c r="H147" t="s">
        <v>172</v>
      </c>
      <c r="I147" t="str">
        <f>+IFERROR(VLOOKUP(D147,Conceptos_Analítica_contraloría[#All],2,0),"")</f>
        <v>Volumetria</v>
      </c>
      <c r="J147" s="84" t="str">
        <f>+IFERROR(VLOOKUP(D147,Conceptos_Analítica_contraloría[#All],3,0),"")</f>
        <v>Cantidad</v>
      </c>
      <c r="K147" s="93">
        <v>3</v>
      </c>
    </row>
    <row r="148" spans="1:11" ht="18.75" customHeight="1" x14ac:dyDescent="0.35">
      <c r="A148" s="93">
        <v>2025</v>
      </c>
      <c r="B148" s="87" t="s">
        <v>10</v>
      </c>
      <c r="C148" s="100">
        <f>IF(OR(Fact_Analitica[[#This Row], [Año]]="",Fact_Analitica[[#This Row], [Mes]]=""),"",DATE(A148,MATCH(B148,{"enero","febrero","marzo","abril","mayo","junio","julio","agosto","septiembre","octubre","noviembre","diciembre"},0)+1,0))</f>
        <v>45808</v>
      </c>
      <c r="D148" t="s">
        <v>206</v>
      </c>
      <c r="E148" t="str">
        <f>+IFERROR(VLOOKUP(Fact_Analitica[[#This Row], [Concepto Anterior]],Conceptos_Analítica_contraloría[#All],5,0),"")</f>
        <v>Cambios de Razón Social</v>
      </c>
      <c r="F148" t="str">
        <f ca="1">+IFERROR(VLOOKUP(Fact_Analitica[[#This Row], [Concepto Anterior]],Conceptos_Analítica_contraloría[#All],7,0),"")</f>
        <v/>
      </c>
      <c r="G148" t="s">
        <v>172</v>
      </c>
      <c r="H148" t="s">
        <v>172</v>
      </c>
      <c r="I148" t="str">
        <f>+IFERROR(VLOOKUP(D148,Conceptos_Analítica_contraloría[#All],2,0),"")</f>
        <v>Volumetria</v>
      </c>
      <c r="J148" s="84" t="str">
        <f>+IFERROR(VLOOKUP(D148,Conceptos_Analítica_contraloría[#All],3,0),"")</f>
        <v>Cantidad</v>
      </c>
      <c r="K148" s="93">
        <v>0</v>
      </c>
    </row>
    <row r="149" spans="1:11" ht="18.75" customHeight="1" x14ac:dyDescent="0.35">
      <c r="A149" s="93">
        <v>2025</v>
      </c>
      <c r="B149" s="87" t="s">
        <v>10</v>
      </c>
      <c r="C149" s="100">
        <f>IF(OR(Fact_Analitica[[#This Row], [Año]]="",Fact_Analitica[[#This Row], [Mes]]=""),"",DATE(A149,MATCH(B149,{"enero","febrero","marzo","abril","mayo","junio","julio","agosto","septiembre","octubre","noviembre","diciembre"},0)+1,0))</f>
        <v>45808</v>
      </c>
      <c r="D149" t="s">
        <v>207</v>
      </c>
      <c r="E149" t="str">
        <f>+IFERROR(VLOOKUP(Fact_Analitica[[#This Row], [Concepto Anterior]],Conceptos_Analítica_contraloría[#All],5,0),"")</f>
        <v>Inventarios Maestra</v>
      </c>
      <c r="F149" t="str">
        <f ca="1">+IFERROR(VLOOKUP(Fact_Analitica[[#This Row], [Concepto Anterior]],Conceptos_Analítica_contraloría[#All],7,0),"")</f>
        <v/>
      </c>
      <c r="G149" t="s">
        <v>172</v>
      </c>
      <c r="H149" t="s">
        <v>172</v>
      </c>
      <c r="I149" t="str">
        <f>+IFERROR(VLOOKUP(D149,Conceptos_Analítica_contraloría[#All],2,0),"")</f>
        <v>Volumetria</v>
      </c>
      <c r="J149" s="84" t="str">
        <f>+IFERROR(VLOOKUP(D149,Conceptos_Analítica_contraloría[#All],3,0),"")</f>
        <v>Cantidad</v>
      </c>
      <c r="K149" s="93">
        <v>27</v>
      </c>
    </row>
    <row r="150" spans="1:11" ht="18.75" customHeight="1" x14ac:dyDescent="0.35">
      <c r="A150" s="93">
        <v>2025</v>
      </c>
      <c r="B150" s="87" t="s">
        <v>10</v>
      </c>
      <c r="C150" s="100">
        <f>IF(OR(Fact_Analitica[[#This Row], [Año]]="",Fact_Analitica[[#This Row], [Mes]]=""),"",DATE(A150,MATCH(B150,{"enero","febrero","marzo","abril","mayo","junio","julio","agosto","septiembre","octubre","noviembre","diciembre"},0)+1,0))</f>
        <v>45808</v>
      </c>
      <c r="D150" t="s">
        <v>208</v>
      </c>
      <c r="E150" t="str">
        <f>+IFERROR(VLOOKUP(Fact_Analitica[[#This Row], [Concepto Anterior]],Conceptos_Analítica_contraloría[#All],5,0),"")</f>
        <v>Automatizaciones</v>
      </c>
      <c r="F150" t="str">
        <f ca="1">+IFERROR(VLOOKUP(Fact_Analitica[[#This Row], [Concepto Anterior]],Conceptos_Analítica_contraloría[#All],7,0),"")</f>
        <v/>
      </c>
      <c r="G150" t="s">
        <v>172</v>
      </c>
      <c r="H150" t="s">
        <v>172</v>
      </c>
      <c r="I150" t="str">
        <f>+IFERROR(VLOOKUP(D150,Conceptos_Analítica_contraloría[#All],2,0),"")</f>
        <v>Volumetria</v>
      </c>
      <c r="J150" s="84" t="str">
        <f>+IFERROR(VLOOKUP(D150,Conceptos_Analítica_contraloría[#All],3,0),"")</f>
        <v>Cantidad</v>
      </c>
      <c r="K150" s="93">
        <v>0</v>
      </c>
    </row>
    <row r="151" spans="1:11" ht="18.75" customHeight="1" x14ac:dyDescent="0.35">
      <c r="A151" s="93">
        <v>2025</v>
      </c>
      <c r="B151" s="87" t="s">
        <v>11</v>
      </c>
      <c r="C151" s="100">
        <f>IF(OR(Fact_Analitica[[#This Row], [Año]]="",Fact_Analitica[[#This Row], [Mes]]=""),"",DATE(A151,MATCH(B151,{"enero","febrero","marzo","abril","mayo","junio","julio","agosto","septiembre","octubre","noviembre","diciembre"},0)+1,0))</f>
        <v>45838</v>
      </c>
      <c r="D151" t="s">
        <v>127</v>
      </c>
      <c r="E151" t="str">
        <f>+IFERROR(VLOOKUP(Fact_Analitica[[#This Row], [Concepto Anterior]],Conceptos_Analítica_contraloría[#All],5,0),"")</f>
        <v>Ajuste Unds Merma Desconocida - Tiendas y Grandes S.</v>
      </c>
      <c r="F151" t="str">
        <f ca="1">+IFERROR(VLOOKUP(Fact_Analitica[[#This Row], [Concepto Anterior]],Conceptos_Analítica_contraloría[#All],7,0),"")</f>
        <v/>
      </c>
      <c r="G151" t="s">
        <v>172</v>
      </c>
      <c r="H151" t="s">
        <v>172</v>
      </c>
      <c r="I151" t="str">
        <f>+IFERROR(VLOOKUP(D151,Conceptos_Analítica_contraloría[#All],2,0),"")</f>
        <v>Volumetria</v>
      </c>
      <c r="J151" s="84" t="str">
        <f>+IFERROR(VLOOKUP(D151,Conceptos_Analítica_contraloría[#All],3,0),"")</f>
        <v>Cantidad</v>
      </c>
      <c r="K151" s="93">
        <v>-1408</v>
      </c>
    </row>
    <row r="152" spans="1:11" ht="18.75" customHeight="1" x14ac:dyDescent="0.35">
      <c r="A152" s="93">
        <v>2025</v>
      </c>
      <c r="B152" s="87" t="s">
        <v>11</v>
      </c>
      <c r="C152" s="100">
        <f>IF(OR(Fact_Analitica[[#This Row], [Año]]="",Fact_Analitica[[#This Row], [Mes]]=""),"",DATE(A152,MATCH(B152,{"enero","febrero","marzo","abril","mayo","junio","julio","agosto","septiembre","octubre","noviembre","diciembre"},0)+1,0))</f>
        <v>45838</v>
      </c>
      <c r="D152" t="s">
        <v>203</v>
      </c>
      <c r="E152" t="str">
        <f>+IFERROR(VLOOKUP(Fact_Analitica[[#This Row], [Concepto Anterior]],Conceptos_Analítica_contraloría[#All],5,0),"")</f>
        <v>Ajustes Inventarios Cíclico</v>
      </c>
      <c r="F152" t="str">
        <f ca="1">+IFERROR(VLOOKUP(Fact_Analitica[[#This Row], [Concepto Anterior]],Conceptos_Analítica_contraloría[#All],7,0),"")</f>
        <v/>
      </c>
      <c r="G152" t="s">
        <v>172</v>
      </c>
      <c r="H152" t="s">
        <v>172</v>
      </c>
      <c r="I152" t="str">
        <f>+IFERROR(VLOOKUP(D152,Conceptos_Analítica_contraloría[#All],2,0),"")</f>
        <v>Volumetria</v>
      </c>
      <c r="J152" s="84" t="str">
        <f>+IFERROR(VLOOKUP(D152,Conceptos_Analítica_contraloría[#All],3,0),"")</f>
        <v>Cantidad</v>
      </c>
      <c r="K152" s="93">
        <v>10</v>
      </c>
    </row>
    <row r="153" spans="1:11" ht="18.75" customHeight="1" x14ac:dyDescent="0.35">
      <c r="A153" s="93">
        <v>2025</v>
      </c>
      <c r="B153" s="87" t="s">
        <v>11</v>
      </c>
      <c r="C153" s="100">
        <f>IF(OR(Fact_Analitica[[#This Row], [Año]]="",Fact_Analitica[[#This Row], [Mes]]=""),"",DATE(A153,MATCH(B153,{"enero","febrero","marzo","abril","mayo","junio","julio","agosto","septiembre","octubre","noviembre","diciembre"},0)+1,0))</f>
        <v>45838</v>
      </c>
      <c r="D153" t="s">
        <v>66</v>
      </c>
      <c r="E153" t="str">
        <f>+IFERROR(VLOOKUP(Fact_Analitica[[#This Row], [Concepto Anterior]],Conceptos_Analítica_contraloría[#All],5,0),"")</f>
        <v>Cantidad de registros (consecutivos) a conciliar (Facturas 94%, otros movimientos 6%)</v>
      </c>
      <c r="F153" t="str">
        <f ca="1">+IFERROR(VLOOKUP(Fact_Analitica[[#This Row], [Concepto Anterior]],Conceptos_Analítica_contraloría[#All],7,0),"")</f>
        <v/>
      </c>
      <c r="G153" t="s">
        <v>172</v>
      </c>
      <c r="H153" t="s">
        <v>172</v>
      </c>
      <c r="I153" t="str">
        <f>+IFERROR(VLOOKUP(D153,Conceptos_Analítica_contraloría[#All],2,0),"")</f>
        <v>Volumetria</v>
      </c>
      <c r="J153" s="84" t="str">
        <f>+IFERROR(VLOOKUP(D153,Conceptos_Analítica_contraloría[#All],3,0),"")</f>
        <v>Cantidad</v>
      </c>
      <c r="K153" s="93">
        <v>394034</v>
      </c>
    </row>
    <row r="154" spans="1:11" ht="18.75" customHeight="1" x14ac:dyDescent="0.35">
      <c r="A154" s="93">
        <v>2025</v>
      </c>
      <c r="B154" s="87" t="s">
        <v>11</v>
      </c>
      <c r="C154" s="100">
        <f>IF(OR(Fact_Analitica[[#This Row], [Año]]="",Fact_Analitica[[#This Row], [Mes]]=""),"",DATE(A154,MATCH(B154,{"enero","febrero","marzo","abril","mayo","junio","julio","agosto","septiembre","octubre","noviembre","diciembre"},0)+1,0))</f>
        <v>45838</v>
      </c>
      <c r="D154" t="s">
        <v>125</v>
      </c>
      <c r="E154" t="str">
        <f>+IFERROR(VLOOKUP(Fact_Analitica[[#This Row], [Concepto Anterior]],Conceptos_Analítica_contraloría[#All],5,0),"")</f>
        <v>Cantidad de unidades a conciliar</v>
      </c>
      <c r="F154" t="str">
        <f ca="1">+IFERROR(VLOOKUP(Fact_Analitica[[#This Row], [Concepto Anterior]],Conceptos_Analítica_contraloría[#All],7,0),"")</f>
        <v/>
      </c>
      <c r="G154" t="s">
        <v>172</v>
      </c>
      <c r="H154" t="s">
        <v>172</v>
      </c>
      <c r="I154" t="str">
        <f>+IFERROR(VLOOKUP(D154,Conceptos_Analítica_contraloría[#All],2,0),"")</f>
        <v>Volumetria</v>
      </c>
      <c r="J154" s="84" t="str">
        <f>+IFERROR(VLOOKUP(D154,Conceptos_Analítica_contraloría[#All],3,0),"")</f>
        <v>Cantidad</v>
      </c>
      <c r="K154" s="93">
        <v>4548433</v>
      </c>
    </row>
    <row r="155" spans="1:11" ht="18.75" customHeight="1" x14ac:dyDescent="0.35">
      <c r="A155" s="93">
        <v>2025</v>
      </c>
      <c r="B155" s="87" t="s">
        <v>11</v>
      </c>
      <c r="C155" s="100">
        <f>IF(OR(Fact_Analitica[[#This Row], [Año]]="",Fact_Analitica[[#This Row], [Mes]]=""),"",DATE(A155,MATCH(B155,{"enero","febrero","marzo","abril","mayo","junio","julio","agosto","septiembre","octubre","noviembre","diciembre"},0)+1,0))</f>
        <v>45838</v>
      </c>
      <c r="D155" t="s">
        <v>204</v>
      </c>
      <c r="E155" t="str">
        <f>+IFERROR(VLOOKUP(Fact_Analitica[[#This Row], [Concepto Anterior]],Conceptos_Analítica_contraloría[#All],5,0),"")</f>
        <v>Presentación Resultados Inventarios a Dirección Comercial</v>
      </c>
      <c r="F155" t="str">
        <f ca="1">+IFERROR(VLOOKUP(Fact_Analitica[[#This Row], [Concepto Anterior]],Conceptos_Analítica_contraloría[#All],7,0),"")</f>
        <v/>
      </c>
      <c r="G155" t="s">
        <v>172</v>
      </c>
      <c r="H155" t="s">
        <v>172</v>
      </c>
      <c r="I155" t="str">
        <f>+IFERROR(VLOOKUP(D155,Conceptos_Analítica_contraloría[#All],2,0),"")</f>
        <v>Volumetria</v>
      </c>
      <c r="J155" s="84" t="str">
        <f>+IFERROR(VLOOKUP(D155,Conceptos_Analítica_contraloría[#All],3,0),"")</f>
        <v>Cantidad</v>
      </c>
      <c r="K155" s="93">
        <v>0</v>
      </c>
    </row>
    <row r="156" spans="1:11" ht="18.75" customHeight="1" x14ac:dyDescent="0.35">
      <c r="A156" s="93">
        <v>2025</v>
      </c>
      <c r="B156" s="87" t="s">
        <v>11</v>
      </c>
      <c r="C156" s="100">
        <f>IF(OR(Fact_Analitica[[#This Row], [Año]]="",Fact_Analitica[[#This Row], [Mes]]=""),"",DATE(A156,MATCH(B156,{"enero","febrero","marzo","abril","mayo","junio","julio","agosto","septiembre","octubre","noviembre","diciembre"},0)+1,0))</f>
        <v>45838</v>
      </c>
      <c r="D156" t="s">
        <v>64</v>
      </c>
      <c r="E156" t="str">
        <f>+IFERROR(VLOOKUP(Fact_Analitica[[#This Row], [Concepto Anterior]],Conceptos_Analítica_contraloría[#All],5,0),"")</f>
        <v>Puntos a conciliar</v>
      </c>
      <c r="F156" t="str">
        <f ca="1">+IFERROR(VLOOKUP(Fact_Analitica[[#This Row], [Concepto Anterior]],Conceptos_Analítica_contraloría[#All],7,0),"")</f>
        <v/>
      </c>
      <c r="G156" t="s">
        <v>172</v>
      </c>
      <c r="H156" t="s">
        <v>172</v>
      </c>
      <c r="I156" t="str">
        <f>+IFERROR(VLOOKUP(D156,Conceptos_Analítica_contraloría[#All],2,0),"")</f>
        <v>Volumetria</v>
      </c>
      <c r="J156" s="84" t="str">
        <f>+IFERROR(VLOOKUP(D156,Conceptos_Analítica_contraloría[#All],3,0),"")</f>
        <v>Cantidad</v>
      </c>
      <c r="K156" s="93">
        <v>554</v>
      </c>
    </row>
    <row r="157" spans="1:11" ht="18.75" customHeight="1" x14ac:dyDescent="0.35">
      <c r="A157" s="93">
        <v>2025</v>
      </c>
      <c r="B157" s="87" t="s">
        <v>11</v>
      </c>
      <c r="C157" s="100">
        <f>IF(OR(Fact_Analitica[[#This Row], [Año]]="",Fact_Analitica[[#This Row], [Mes]]=""),"",DATE(A157,MATCH(B157,{"enero","febrero","marzo","abril","mayo","junio","julio","agosto","septiembre","octubre","noviembre","diciembre"},0)+1,0))</f>
        <v>45838</v>
      </c>
      <c r="D157" t="s">
        <v>124</v>
      </c>
      <c r="E157" t="str">
        <f>+IFERROR(VLOOKUP(Fact_Analitica[[#This Row], [Concepto Anterior]],Conceptos_Analítica_contraloría[#All],5,0),"")</f>
        <v>Puntos Conciliados</v>
      </c>
      <c r="F157" t="str">
        <f ca="1">+IFERROR(VLOOKUP(Fact_Analitica[[#This Row], [Concepto Anterior]],Conceptos_Analítica_contraloría[#All],7,0),"")</f>
        <v/>
      </c>
      <c r="G157" t="s">
        <v>172</v>
      </c>
      <c r="H157" t="s">
        <v>172</v>
      </c>
      <c r="I157" t="str">
        <f>+IFERROR(VLOOKUP(D157,Conceptos_Analítica_contraloría[#All],2,0),"")</f>
        <v>Volumetria</v>
      </c>
      <c r="J157" s="84" t="str">
        <f>+IFERROR(VLOOKUP(D157,Conceptos_Analítica_contraloría[#All],3,0),"")</f>
        <v>Cantidad</v>
      </c>
      <c r="K157" s="93">
        <v>37</v>
      </c>
    </row>
    <row r="158" spans="1:11" ht="18.75" customHeight="1" x14ac:dyDescent="0.35">
      <c r="A158" s="93">
        <v>2025</v>
      </c>
      <c r="B158" s="87" t="s">
        <v>11</v>
      </c>
      <c r="C158" s="100">
        <f>IF(OR(Fact_Analitica[[#This Row], [Año]]="",Fact_Analitica[[#This Row], [Mes]]=""),"",DATE(A158,MATCH(B158,{"enero","febrero","marzo","abril","mayo","junio","julio","agosto","septiembre","octubre","noviembre","diciembre"},0)+1,0))</f>
        <v>45838</v>
      </c>
      <c r="D158" t="s">
        <v>65</v>
      </c>
      <c r="E158" t="str">
        <f>+IFERROR(VLOOKUP(Fact_Analitica[[#This Row], [Concepto Anterior]],Conceptos_Analítica_contraloría[#All],5,0),"")</f>
        <v>Puntos x marca a conciliar</v>
      </c>
      <c r="F158" t="str">
        <f ca="1">+IFERROR(VLOOKUP(Fact_Analitica[[#This Row], [Concepto Anterior]],Conceptos_Analítica_contraloría[#All],7,0),"")</f>
        <v/>
      </c>
      <c r="G158" t="s">
        <v>172</v>
      </c>
      <c r="H158" t="s">
        <v>172</v>
      </c>
      <c r="I158" t="str">
        <f>+IFERROR(VLOOKUP(D158,Conceptos_Analítica_contraloría[#All],2,0),"")</f>
        <v>Volumetria</v>
      </c>
      <c r="J158" s="84" t="str">
        <f>+IFERROR(VLOOKUP(D158,Conceptos_Analítica_contraloría[#All],3,0),"")</f>
        <v>Cantidad</v>
      </c>
      <c r="K158" s="93">
        <v>1349</v>
      </c>
    </row>
    <row r="159" spans="1:11" ht="18.75" customHeight="1" x14ac:dyDescent="0.35">
      <c r="A159" s="93">
        <v>2025</v>
      </c>
      <c r="B159" s="87" t="s">
        <v>11</v>
      </c>
      <c r="C159" s="100">
        <f>IF(OR(Fact_Analitica[[#This Row], [Año]]="",Fact_Analitica[[#This Row], [Mes]]=""),"",DATE(A159,MATCH(B159,{"enero","febrero","marzo","abril","mayo","junio","julio","agosto","septiembre","octubre","noviembre","diciembre"},0)+1,0))</f>
        <v>45838</v>
      </c>
      <c r="D159" t="s">
        <v>128</v>
      </c>
      <c r="E159" t="str">
        <f>+IFERROR(VLOOKUP(Fact_Analitica[[#This Row], [Concepto Anterior]],Conceptos_Analítica_contraloría[#All],5,0),"")</f>
        <v>Ajuste Costo Merma Desconocida - Tiendas y Grandes S.</v>
      </c>
      <c r="F159" t="str">
        <f ca="1">+IFERROR(VLOOKUP(Fact_Analitica[[#This Row], [Concepto Anterior]],Conceptos_Analítica_contraloría[#All],7,0),"")</f>
        <v/>
      </c>
      <c r="G159" t="s">
        <v>172</v>
      </c>
      <c r="H159" t="s">
        <v>172</v>
      </c>
      <c r="I159" t="str">
        <f>+IFERROR(VLOOKUP(D159,Conceptos_Analítica_contraloría[#All],2,0),"")</f>
        <v>Volumetria</v>
      </c>
      <c r="J159" s="84" t="str">
        <f>+IFERROR(VLOOKUP(D159,Conceptos_Analítica_contraloría[#All],3,0),"")</f>
        <v>Cantidad</v>
      </c>
      <c r="K159" s="93">
        <v>14860443</v>
      </c>
    </row>
    <row r="160" spans="1:11" ht="18.75" customHeight="1" x14ac:dyDescent="0.35">
      <c r="A160" s="93">
        <v>2025</v>
      </c>
      <c r="B160" s="87" t="s">
        <v>11</v>
      </c>
      <c r="C160" s="100">
        <f>IF(OR(Fact_Analitica[[#This Row], [Año]]="",Fact_Analitica[[#This Row], [Mes]]=""),"",DATE(A160,MATCH(B160,{"enero","febrero","marzo","abril","mayo","junio","julio","agosto","septiembre","octubre","noviembre","diciembre"},0)+1,0))</f>
        <v>45838</v>
      </c>
      <c r="D160" t="s">
        <v>205</v>
      </c>
      <c r="E160" t="str">
        <f>+IFERROR(VLOOKUP(Fact_Analitica[[#This Row], [Concepto Anterior]],Conceptos_Analítica_contraloría[#All],5,0),"")</f>
        <v>Cierres de tienda</v>
      </c>
      <c r="F160" t="str">
        <f ca="1">+IFERROR(VLOOKUP(Fact_Analitica[[#This Row], [Concepto Anterior]],Conceptos_Analítica_contraloría[#All],7,0),"")</f>
        <v/>
      </c>
      <c r="G160" t="s">
        <v>172</v>
      </c>
      <c r="H160" t="s">
        <v>172</v>
      </c>
      <c r="I160" t="str">
        <f>+IFERROR(VLOOKUP(D160,Conceptos_Analítica_contraloría[#All],2,0),"")</f>
        <v>Volumetria</v>
      </c>
      <c r="J160" s="84" t="str">
        <f>+IFERROR(VLOOKUP(D160,Conceptos_Analítica_contraloría[#All],3,0),"")</f>
        <v>Cantidad</v>
      </c>
      <c r="K160" s="93">
        <v>0</v>
      </c>
    </row>
    <row r="161" spans="1:11" ht="18.75" customHeight="1" x14ac:dyDescent="0.35">
      <c r="A161" s="93">
        <v>2025</v>
      </c>
      <c r="B161" s="87" t="s">
        <v>11</v>
      </c>
      <c r="C161" s="100">
        <f>IF(OR(Fact_Analitica[[#This Row], [Año]]="",Fact_Analitica[[#This Row], [Mes]]=""),"",DATE(A161,MATCH(B161,{"enero","febrero","marzo","abril","mayo","junio","julio","agosto","septiembre","octubre","noviembre","diciembre"},0)+1,0))</f>
        <v>45838</v>
      </c>
      <c r="D161" t="s">
        <v>206</v>
      </c>
      <c r="E161" t="str">
        <f>+IFERROR(VLOOKUP(Fact_Analitica[[#This Row], [Concepto Anterior]],Conceptos_Analítica_contraloría[#All],5,0),"")</f>
        <v>Cambios de Razón Social</v>
      </c>
      <c r="F161" t="str">
        <f ca="1">+IFERROR(VLOOKUP(Fact_Analitica[[#This Row], [Concepto Anterior]],Conceptos_Analítica_contraloría[#All],7,0),"")</f>
        <v/>
      </c>
      <c r="G161" t="s">
        <v>172</v>
      </c>
      <c r="H161" t="s">
        <v>172</v>
      </c>
      <c r="I161" t="str">
        <f>+IFERROR(VLOOKUP(D161,Conceptos_Analítica_contraloría[#All],2,0),"")</f>
        <v>Volumetria</v>
      </c>
      <c r="J161" s="84" t="str">
        <f>+IFERROR(VLOOKUP(D161,Conceptos_Analítica_contraloría[#All],3,0),"")</f>
        <v>Cantidad</v>
      </c>
      <c r="K161" s="93">
        <v>0</v>
      </c>
    </row>
    <row r="162" spans="1:11" ht="18.75" customHeight="1" x14ac:dyDescent="0.35">
      <c r="A162" s="93">
        <v>2025</v>
      </c>
      <c r="B162" s="87" t="s">
        <v>11</v>
      </c>
      <c r="C162" s="100">
        <f>IF(OR(Fact_Analitica[[#This Row], [Año]]="",Fact_Analitica[[#This Row], [Mes]]=""),"",DATE(A162,MATCH(B162,{"enero","febrero","marzo","abril","mayo","junio","julio","agosto","septiembre","octubre","noviembre","diciembre"},0)+1,0))</f>
        <v>45838</v>
      </c>
      <c r="D162" t="s">
        <v>208</v>
      </c>
      <c r="E162" t="str">
        <f>+IFERROR(VLOOKUP(Fact_Analitica[[#This Row], [Concepto Anterior]],Conceptos_Analítica_contraloría[#All],5,0),"")</f>
        <v>Automatizaciones</v>
      </c>
      <c r="F162" t="str">
        <f ca="1">+IFERROR(VLOOKUP(Fact_Analitica[[#This Row], [Concepto Anterior]],Conceptos_Analítica_contraloría[#All],7,0),"")</f>
        <v/>
      </c>
      <c r="G162" t="s">
        <v>172</v>
      </c>
      <c r="H162" t="s">
        <v>172</v>
      </c>
      <c r="I162" t="str">
        <f>+IFERROR(VLOOKUP(D162,Conceptos_Analítica_contraloría[#All],2,0),"")</f>
        <v>Volumetria</v>
      </c>
      <c r="J162" s="84" t="str">
        <f>+IFERROR(VLOOKUP(D162,Conceptos_Analítica_contraloría[#All],3,0),"")</f>
        <v>Cantidad</v>
      </c>
      <c r="K162" s="93">
        <v>0</v>
      </c>
    </row>
    <row r="163" spans="1:11" ht="18.75" customHeight="1" x14ac:dyDescent="0.35">
      <c r="A163" s="93">
        <v>2025</v>
      </c>
      <c r="B163" s="87" t="s">
        <v>11</v>
      </c>
      <c r="C163" s="100">
        <f>IF(OR(Fact_Analitica[[#This Row], [Año]]="",Fact_Analitica[[#This Row], [Mes]]=""),"",DATE(A163,MATCH(B163,{"enero","febrero","marzo","abril","mayo","junio","julio","agosto","septiembre","octubre","noviembre","diciembre"},0)+1,0))</f>
        <v>45838</v>
      </c>
      <c r="D163" t="s">
        <v>207</v>
      </c>
      <c r="E163" t="str">
        <f>+IFERROR(VLOOKUP(Fact_Analitica[[#This Row], [Concepto Anterior]],Conceptos_Analítica_contraloría[#All],5,0),"")</f>
        <v>Inventarios Maestra</v>
      </c>
      <c r="F163" t="str">
        <f ca="1">+IFERROR(VLOOKUP(Fact_Analitica[[#This Row], [Concepto Anterior]],Conceptos_Analítica_contraloría[#All],7,0),"")</f>
        <v/>
      </c>
      <c r="G163" t="s">
        <v>172</v>
      </c>
      <c r="H163" t="s">
        <v>172</v>
      </c>
      <c r="I163" t="str">
        <f>+IFERROR(VLOOKUP(D163,Conceptos_Analítica_contraloría[#All],2,0),"")</f>
        <v>Volumetria</v>
      </c>
      <c r="J163" s="84" t="str">
        <f>+IFERROR(VLOOKUP(D163,Conceptos_Analítica_contraloría[#All],3,0),"")</f>
        <v>Cantidad</v>
      </c>
      <c r="K163" s="93">
        <v>22</v>
      </c>
    </row>
    <row r="164" spans="1:11" ht="18.75" customHeight="1" x14ac:dyDescent="0.35">
      <c r="A164" s="93">
        <v>2025</v>
      </c>
      <c r="B164" s="87" t="s">
        <v>12</v>
      </c>
      <c r="C164" s="100">
        <f>IF(OR(Fact_Analitica[[#This Row], [Año]]="",Fact_Analitica[[#This Row], [Mes]]=""),"",DATE(A164,MATCH(B164,{"enero","febrero","marzo","abril","mayo","junio","julio","agosto","septiembre","octubre","noviembre","diciembre"},0)+1,0))</f>
        <v>45869</v>
      </c>
      <c r="D164" t="s">
        <v>127</v>
      </c>
      <c r="E164" t="str">
        <f>+IFERROR(VLOOKUP(Fact_Analitica[[#This Row], [Concepto Anterior]],Conceptos_Analítica_contraloría[#All],5,0),"")</f>
        <v>Ajuste Unds Merma Desconocida - Tiendas y Grandes S.</v>
      </c>
      <c r="F164" t="str">
        <f ca="1">+IFERROR(VLOOKUP(Fact_Analitica[[#This Row], [Concepto Anterior]],Conceptos_Analítica_contraloría[#All],7,0),"")</f>
        <v/>
      </c>
      <c r="G164" t="s">
        <v>172</v>
      </c>
      <c r="H164" t="s">
        <v>172</v>
      </c>
      <c r="I164" t="str">
        <f>+IFERROR(VLOOKUP(D164,Conceptos_Analítica_contraloría[#All],2,0),"")</f>
        <v>Volumetria</v>
      </c>
      <c r="J164" s="84" t="str">
        <f>+IFERROR(VLOOKUP(D164,Conceptos_Analítica_contraloría[#All],3,0),"")</f>
        <v>Cantidad</v>
      </c>
      <c r="K164" s="93">
        <v>-1817</v>
      </c>
    </row>
    <row r="165" spans="1:11" ht="18.75" customHeight="1" x14ac:dyDescent="0.35">
      <c r="A165" s="93">
        <v>2025</v>
      </c>
      <c r="B165" s="87" t="s">
        <v>12</v>
      </c>
      <c r="C165" s="100">
        <f>IF(OR(Fact_Analitica[[#This Row], [Año]]="",Fact_Analitica[[#This Row], [Mes]]=""),"",DATE(A165,MATCH(B165,{"enero","febrero","marzo","abril","mayo","junio","julio","agosto","septiembre","octubre","noviembre","diciembre"},0)+1,0))</f>
        <v>45869</v>
      </c>
      <c r="D165" t="s">
        <v>203</v>
      </c>
      <c r="E165" t="str">
        <f>+IFERROR(VLOOKUP(Fact_Analitica[[#This Row], [Concepto Anterior]],Conceptos_Analítica_contraloría[#All],5,0),"")</f>
        <v>Ajustes Inventarios Cíclico</v>
      </c>
      <c r="F165" t="str">
        <f ca="1">+IFERROR(VLOOKUP(Fact_Analitica[[#This Row], [Concepto Anterior]],Conceptos_Analítica_contraloría[#All],7,0),"")</f>
        <v/>
      </c>
      <c r="G165" t="s">
        <v>172</v>
      </c>
      <c r="H165" t="s">
        <v>172</v>
      </c>
      <c r="I165" t="str">
        <f>+IFERROR(VLOOKUP(D165,Conceptos_Analítica_contraloría[#All],2,0),"")</f>
        <v>Volumetria</v>
      </c>
      <c r="J165" s="84" t="str">
        <f>+IFERROR(VLOOKUP(D165,Conceptos_Analítica_contraloría[#All],3,0),"")</f>
        <v>Cantidad</v>
      </c>
      <c r="K165" s="93">
        <v>15</v>
      </c>
    </row>
    <row r="166" spans="1:11" ht="18.75" customHeight="1" x14ac:dyDescent="0.35">
      <c r="A166" s="93">
        <v>2025</v>
      </c>
      <c r="B166" s="87" t="s">
        <v>12</v>
      </c>
      <c r="C166" s="100">
        <f>IF(OR(Fact_Analitica[[#This Row], [Año]]="",Fact_Analitica[[#This Row], [Mes]]=""),"",DATE(A166,MATCH(B166,{"enero","febrero","marzo","abril","mayo","junio","julio","agosto","septiembre","octubre","noviembre","diciembre"},0)+1,0))</f>
        <v>45869</v>
      </c>
      <c r="D166" t="s">
        <v>66</v>
      </c>
      <c r="E166" t="str">
        <f>+IFERROR(VLOOKUP(Fact_Analitica[[#This Row], [Concepto Anterior]],Conceptos_Analítica_contraloría[#All],5,0),"")</f>
        <v>Cantidad de registros (consecutivos) a conciliar (Facturas 94%, otros movimientos 6%)</v>
      </c>
      <c r="F166" t="str">
        <f ca="1">+IFERROR(VLOOKUP(Fact_Analitica[[#This Row], [Concepto Anterior]],Conceptos_Analítica_contraloría[#All],7,0),"")</f>
        <v/>
      </c>
      <c r="G166" t="s">
        <v>172</v>
      </c>
      <c r="H166" t="s">
        <v>172</v>
      </c>
      <c r="I166" t="str">
        <f>+IFERROR(VLOOKUP(D166,Conceptos_Analítica_contraloría[#All],2,0),"")</f>
        <v>Volumetria</v>
      </c>
      <c r="J166" s="84" t="str">
        <f>+IFERROR(VLOOKUP(D166,Conceptos_Analítica_contraloría[#All],3,0),"")</f>
        <v>Cantidad</v>
      </c>
      <c r="K166" s="93">
        <v>394034</v>
      </c>
    </row>
    <row r="167" spans="1:11" ht="18.75" customHeight="1" x14ac:dyDescent="0.35">
      <c r="A167" s="93">
        <v>2025</v>
      </c>
      <c r="B167" s="87" t="s">
        <v>12</v>
      </c>
      <c r="C167" s="100">
        <f>IF(OR(Fact_Analitica[[#This Row], [Año]]="",Fact_Analitica[[#This Row], [Mes]]=""),"",DATE(A167,MATCH(B167,{"enero","febrero","marzo","abril","mayo","junio","julio","agosto","septiembre","octubre","noviembre","diciembre"},0)+1,0))</f>
        <v>45869</v>
      </c>
      <c r="D167" t="s">
        <v>125</v>
      </c>
      <c r="E167" t="str">
        <f>+IFERROR(VLOOKUP(Fact_Analitica[[#This Row], [Concepto Anterior]],Conceptos_Analítica_contraloría[#All],5,0),"")</f>
        <v>Cantidad de unidades a conciliar</v>
      </c>
      <c r="F167" t="str">
        <f ca="1">+IFERROR(VLOOKUP(Fact_Analitica[[#This Row], [Concepto Anterior]],Conceptos_Analítica_contraloría[#All],7,0),"")</f>
        <v/>
      </c>
      <c r="G167" t="s">
        <v>172</v>
      </c>
      <c r="H167" t="s">
        <v>172</v>
      </c>
      <c r="I167" t="str">
        <f>+IFERROR(VLOOKUP(D167,Conceptos_Analítica_contraloría[#All],2,0),"")</f>
        <v>Volumetria</v>
      </c>
      <c r="J167" s="84" t="str">
        <f>+IFERROR(VLOOKUP(D167,Conceptos_Analítica_contraloría[#All],3,0),"")</f>
        <v>Cantidad</v>
      </c>
      <c r="K167" s="93">
        <v>4548433</v>
      </c>
    </row>
    <row r="168" spans="1:11" ht="18.75" customHeight="1" x14ac:dyDescent="0.35">
      <c r="A168" s="93">
        <v>2025</v>
      </c>
      <c r="B168" s="87" t="s">
        <v>12</v>
      </c>
      <c r="C168" s="100">
        <f>IF(OR(Fact_Analitica[[#This Row], [Año]]="",Fact_Analitica[[#This Row], [Mes]]=""),"",DATE(A168,MATCH(B168,{"enero","febrero","marzo","abril","mayo","junio","julio","agosto","septiembre","octubre","noviembre","diciembre"},0)+1,0))</f>
        <v>45869</v>
      </c>
      <c r="D168" t="s">
        <v>64</v>
      </c>
      <c r="E168" t="str">
        <f>+IFERROR(VLOOKUP(Fact_Analitica[[#This Row], [Concepto Anterior]],Conceptos_Analítica_contraloría[#All],5,0),"")</f>
        <v>Puntos a conciliar</v>
      </c>
      <c r="F168" t="str">
        <f ca="1">+IFERROR(VLOOKUP(Fact_Analitica[[#This Row], [Concepto Anterior]],Conceptos_Analítica_contraloría[#All],7,0),"")</f>
        <v/>
      </c>
      <c r="G168" t="s">
        <v>172</v>
      </c>
      <c r="H168" t="s">
        <v>172</v>
      </c>
      <c r="I168" t="str">
        <f>+IFERROR(VLOOKUP(D168,Conceptos_Analítica_contraloría[#All],2,0),"")</f>
        <v>Volumetria</v>
      </c>
      <c r="J168" s="84" t="str">
        <f>+IFERROR(VLOOKUP(D168,Conceptos_Analítica_contraloría[#All],3,0),"")</f>
        <v>Cantidad</v>
      </c>
      <c r="K168" s="93">
        <v>550</v>
      </c>
    </row>
    <row r="169" spans="1:11" ht="18.75" customHeight="1" x14ac:dyDescent="0.35">
      <c r="A169" s="93">
        <v>2025</v>
      </c>
      <c r="B169" s="87" t="s">
        <v>12</v>
      </c>
      <c r="C169" s="100">
        <f>IF(OR(Fact_Analitica[[#This Row], [Año]]="",Fact_Analitica[[#This Row], [Mes]]=""),"",DATE(A169,MATCH(B169,{"enero","febrero","marzo","abril","mayo","junio","julio","agosto","septiembre","octubre","noviembre","diciembre"},0)+1,0))</f>
        <v>45869</v>
      </c>
      <c r="D169" t="s">
        <v>124</v>
      </c>
      <c r="E169" t="str">
        <f>+IFERROR(VLOOKUP(Fact_Analitica[[#This Row], [Concepto Anterior]],Conceptos_Analítica_contraloría[#All],5,0),"")</f>
        <v>Puntos Conciliados</v>
      </c>
      <c r="F169" t="str">
        <f ca="1">+IFERROR(VLOOKUP(Fact_Analitica[[#This Row], [Concepto Anterior]],Conceptos_Analítica_contraloría[#All],7,0),"")</f>
        <v/>
      </c>
      <c r="G169" t="s">
        <v>172</v>
      </c>
      <c r="H169" t="s">
        <v>172</v>
      </c>
      <c r="I169" t="str">
        <f>+IFERROR(VLOOKUP(D169,Conceptos_Analítica_contraloría[#All],2,0),"")</f>
        <v>Volumetria</v>
      </c>
      <c r="J169" s="84" t="str">
        <f>+IFERROR(VLOOKUP(D169,Conceptos_Analítica_contraloría[#All],3,0),"")</f>
        <v>Cantidad</v>
      </c>
      <c r="K169" s="93">
        <v>37</v>
      </c>
    </row>
    <row r="170" spans="1:11" ht="18.75" customHeight="1" x14ac:dyDescent="0.35">
      <c r="A170" s="93">
        <v>2025</v>
      </c>
      <c r="B170" s="87" t="s">
        <v>12</v>
      </c>
      <c r="C170" s="100">
        <f>IF(OR(Fact_Analitica[[#This Row], [Año]]="",Fact_Analitica[[#This Row], [Mes]]=""),"",DATE(A170,MATCH(B170,{"enero","febrero","marzo","abril","mayo","junio","julio","agosto","septiembre","octubre","noviembre","diciembre"},0)+1,0))</f>
        <v>45869</v>
      </c>
      <c r="D170" t="s">
        <v>65</v>
      </c>
      <c r="E170" t="str">
        <f>+IFERROR(VLOOKUP(Fact_Analitica[[#This Row], [Concepto Anterior]],Conceptos_Analítica_contraloría[#All],5,0),"")</f>
        <v>Puntos x marca a conciliar</v>
      </c>
      <c r="F170" t="str">
        <f ca="1">+IFERROR(VLOOKUP(Fact_Analitica[[#This Row], [Concepto Anterior]],Conceptos_Analítica_contraloría[#All],7,0),"")</f>
        <v/>
      </c>
      <c r="G170" t="s">
        <v>172</v>
      </c>
      <c r="H170" t="s">
        <v>172</v>
      </c>
      <c r="I170" t="str">
        <f>+IFERROR(VLOOKUP(D170,Conceptos_Analítica_contraloría[#All],2,0),"")</f>
        <v>Volumetria</v>
      </c>
      <c r="J170" s="84" t="str">
        <f>+IFERROR(VLOOKUP(D170,Conceptos_Analítica_contraloría[#All],3,0),"")</f>
        <v>Cantidad</v>
      </c>
      <c r="K170" s="93">
        <v>1323</v>
      </c>
    </row>
    <row r="171" spans="1:11" ht="18.75" customHeight="1" x14ac:dyDescent="0.35">
      <c r="A171" s="93">
        <v>2025</v>
      </c>
      <c r="B171" s="87" t="s">
        <v>12</v>
      </c>
      <c r="C171" s="100">
        <f>IF(OR(Fact_Analitica[[#This Row], [Año]]="",Fact_Analitica[[#This Row], [Mes]]=""),"",DATE(A171,MATCH(B171,{"enero","febrero","marzo","abril","mayo","junio","julio","agosto","septiembre","octubre","noviembre","diciembre"},0)+1,0))</f>
        <v>45869</v>
      </c>
      <c r="D171" t="s">
        <v>128</v>
      </c>
      <c r="E171" t="str">
        <f>+IFERROR(VLOOKUP(Fact_Analitica[[#This Row], [Concepto Anterior]],Conceptos_Analítica_contraloría[#All],5,0),"")</f>
        <v>Ajuste Costo Merma Desconocida - Tiendas y Grandes S.</v>
      </c>
      <c r="F171" t="str">
        <f ca="1">+IFERROR(VLOOKUP(Fact_Analitica[[#This Row], [Concepto Anterior]],Conceptos_Analítica_contraloría[#All],7,0),"")</f>
        <v/>
      </c>
      <c r="G171" t="s">
        <v>172</v>
      </c>
      <c r="H171" t="s">
        <v>172</v>
      </c>
      <c r="I171" t="str">
        <f>+IFERROR(VLOOKUP(D171,Conceptos_Analítica_contraloría[#All],2,0),"")</f>
        <v>Volumetria</v>
      </c>
      <c r="J171" s="84" t="str">
        <f>+IFERROR(VLOOKUP(D171,Conceptos_Analítica_contraloría[#All],3,0),"")</f>
        <v>Cantidad</v>
      </c>
      <c r="K171" s="93">
        <v>15642727</v>
      </c>
    </row>
    <row r="172" spans="1:11" ht="18.75" customHeight="1" x14ac:dyDescent="0.35">
      <c r="A172" s="93">
        <v>2025</v>
      </c>
      <c r="B172" s="87" t="s">
        <v>12</v>
      </c>
      <c r="C172" s="100">
        <f>IF(OR(Fact_Analitica[[#This Row], [Año]]="",Fact_Analitica[[#This Row], [Mes]]=""),"",DATE(A172,MATCH(B172,{"enero","febrero","marzo","abril","mayo","junio","julio","agosto","septiembre","octubre","noviembre","diciembre"},0)+1,0))</f>
        <v>45869</v>
      </c>
      <c r="D172" t="s">
        <v>205</v>
      </c>
      <c r="E172" t="str">
        <f>+IFERROR(VLOOKUP(Fact_Analitica[[#This Row], [Concepto Anterior]],Conceptos_Analítica_contraloría[#All],5,0),"")</f>
        <v>Cierres de tienda</v>
      </c>
      <c r="F172" t="str">
        <f ca="1">+IFERROR(VLOOKUP(Fact_Analitica[[#This Row], [Concepto Anterior]],Conceptos_Analítica_contraloría[#All],7,0),"")</f>
        <v/>
      </c>
      <c r="G172" t="s">
        <v>172</v>
      </c>
      <c r="H172" t="s">
        <v>172</v>
      </c>
      <c r="I172" t="str">
        <f>+IFERROR(VLOOKUP(D172,Conceptos_Analítica_contraloría[#All],2,0),"")</f>
        <v>Volumetria</v>
      </c>
      <c r="J172" s="84" t="str">
        <f>+IFERROR(VLOOKUP(D172,Conceptos_Analítica_contraloría[#All],3,0),"")</f>
        <v>Cantidad</v>
      </c>
      <c r="K172" s="93">
        <v>4</v>
      </c>
    </row>
    <row r="173" spans="1:11" ht="18.75" customHeight="1" x14ac:dyDescent="0.35">
      <c r="A173" s="93">
        <v>2025</v>
      </c>
      <c r="B173" s="87" t="s">
        <v>12</v>
      </c>
      <c r="C173" s="100">
        <f>IF(OR(Fact_Analitica[[#This Row], [Año]]="",Fact_Analitica[[#This Row], [Mes]]=""),"",DATE(A173,MATCH(B173,{"enero","febrero","marzo","abril","mayo","junio","julio","agosto","septiembre","octubre","noviembre","diciembre"},0)+1,0))</f>
        <v>45869</v>
      </c>
      <c r="D173" t="s">
        <v>204</v>
      </c>
      <c r="E173" t="str">
        <f>+IFERROR(VLOOKUP(Fact_Analitica[[#This Row], [Concepto Anterior]],Conceptos_Analítica_contraloría[#All],5,0),"")</f>
        <v>Presentación Resultados Inventarios a Dirección Comercial</v>
      </c>
      <c r="F173" t="str">
        <f ca="1">+IFERROR(VLOOKUP(Fact_Analitica[[#This Row], [Concepto Anterior]],Conceptos_Analítica_contraloría[#All],7,0),"")</f>
        <v/>
      </c>
      <c r="G173" t="s">
        <v>172</v>
      </c>
      <c r="H173" t="s">
        <v>172</v>
      </c>
      <c r="I173" t="str">
        <f>+IFERROR(VLOOKUP(D173,Conceptos_Analítica_contraloría[#All],2,0),"")</f>
        <v>Volumetria</v>
      </c>
      <c r="J173" s="84" t="str">
        <f>+IFERROR(VLOOKUP(D173,Conceptos_Analítica_contraloría[#All],3,0),"")</f>
        <v>Cantidad</v>
      </c>
      <c r="K173" s="93">
        <v>2</v>
      </c>
    </row>
    <row r="174" spans="1:11" ht="18.75" customHeight="1" x14ac:dyDescent="0.35">
      <c r="A174" s="93">
        <v>2025</v>
      </c>
      <c r="B174" s="87" t="s">
        <v>12</v>
      </c>
      <c r="C174" s="100">
        <f>IF(OR(Fact_Analitica[[#This Row], [Año]]="",Fact_Analitica[[#This Row], [Mes]]=""),"",DATE(A174,MATCH(B174,{"enero","febrero","marzo","abril","mayo","junio","julio","agosto","septiembre","octubre","noviembre","diciembre"},0)+1,0))</f>
        <v>45869</v>
      </c>
      <c r="D174" t="s">
        <v>206</v>
      </c>
      <c r="E174" t="str">
        <f>+IFERROR(VLOOKUP(Fact_Analitica[[#This Row], [Concepto Anterior]],Conceptos_Analítica_contraloría[#All],5,0),"")</f>
        <v>Cambios de Razón Social</v>
      </c>
      <c r="F174" t="str">
        <f ca="1">+IFERROR(VLOOKUP(Fact_Analitica[[#This Row], [Concepto Anterior]],Conceptos_Analítica_contraloría[#All],7,0),"")</f>
        <v/>
      </c>
      <c r="G174" t="s">
        <v>172</v>
      </c>
      <c r="H174" t="s">
        <v>172</v>
      </c>
      <c r="I174" t="str">
        <f>+IFERROR(VLOOKUP(D174,Conceptos_Analítica_contraloría[#All],2,0),"")</f>
        <v>Volumetria</v>
      </c>
      <c r="J174" s="84" t="str">
        <f>+IFERROR(VLOOKUP(D174,Conceptos_Analítica_contraloría[#All],3,0),"")</f>
        <v>Cantidad</v>
      </c>
      <c r="K174" s="93">
        <v>1</v>
      </c>
    </row>
    <row r="175" spans="1:11" ht="18.75" customHeight="1" x14ac:dyDescent="0.35">
      <c r="A175" s="93">
        <v>2025</v>
      </c>
      <c r="B175" s="87" t="s">
        <v>12</v>
      </c>
      <c r="C175" s="100">
        <f>IF(OR(Fact_Analitica[[#This Row], [Año]]="",Fact_Analitica[[#This Row], [Mes]]=""),"",DATE(A175,MATCH(B175,{"enero","febrero","marzo","abril","mayo","junio","julio","agosto","septiembre","octubre","noviembre","diciembre"},0)+1,0))</f>
        <v>45869</v>
      </c>
      <c r="D175" t="s">
        <v>207</v>
      </c>
      <c r="E175" t="str">
        <f>+IFERROR(VLOOKUP(Fact_Analitica[[#This Row], [Concepto Anterior]],Conceptos_Analítica_contraloría[#All],5,0),"")</f>
        <v>Inventarios Maestra</v>
      </c>
      <c r="F175" t="str">
        <f ca="1">+IFERROR(VLOOKUP(Fact_Analitica[[#This Row], [Concepto Anterior]],Conceptos_Analítica_contraloría[#All],7,0),"")</f>
        <v/>
      </c>
      <c r="G175" t="s">
        <v>172</v>
      </c>
      <c r="H175" t="s">
        <v>172</v>
      </c>
      <c r="I175" t="str">
        <f>+IFERROR(VLOOKUP(D175,Conceptos_Analítica_contraloría[#All],2,0),"")</f>
        <v>Volumetria</v>
      </c>
      <c r="J175" s="84" t="str">
        <f>+IFERROR(VLOOKUP(D175,Conceptos_Analítica_contraloría[#All],3,0),"")</f>
        <v>Cantidad</v>
      </c>
      <c r="K175" s="93">
        <v>21</v>
      </c>
    </row>
    <row r="176" spans="1:11" ht="18.75" customHeight="1" x14ac:dyDescent="0.35">
      <c r="A176" s="93">
        <v>2025</v>
      </c>
      <c r="B176" s="87" t="s">
        <v>12</v>
      </c>
      <c r="C176" s="100">
        <f>IF(OR(Fact_Analitica[[#This Row], [Año]]="",Fact_Analitica[[#This Row], [Mes]]=""),"",DATE(A176,MATCH(B176,{"enero","febrero","marzo","abril","mayo","junio","julio","agosto","septiembre","octubre","noviembre","diciembre"},0)+1,0))</f>
        <v>45869</v>
      </c>
      <c r="D176" t="s">
        <v>208</v>
      </c>
      <c r="E176" t="str">
        <f>+IFERROR(VLOOKUP(Fact_Analitica[[#This Row], [Concepto Anterior]],Conceptos_Analítica_contraloría[#All],5,0),"")</f>
        <v>Automatizaciones</v>
      </c>
      <c r="F176" t="str">
        <f ca="1">+IFERROR(VLOOKUP(Fact_Analitica[[#This Row], [Concepto Anterior]],Conceptos_Analítica_contraloría[#All],7,0),"")</f>
        <v/>
      </c>
      <c r="G176" t="s">
        <v>172</v>
      </c>
      <c r="H176" t="s">
        <v>172</v>
      </c>
      <c r="I176" t="str">
        <f>+IFERROR(VLOOKUP(D176,Conceptos_Analítica_contraloría[#All],2,0),"")</f>
        <v>Volumetria</v>
      </c>
      <c r="J176" s="84" t="str">
        <f>+IFERROR(VLOOKUP(D176,Conceptos_Analítica_contraloría[#All],3,0),"")</f>
        <v>Cantidad</v>
      </c>
      <c r="K176" s="93">
        <v>2</v>
      </c>
    </row>
    <row r="177" spans="1:11" ht="18.75" customHeight="1" x14ac:dyDescent="0.35">
      <c r="A177" s="93">
        <v>2025</v>
      </c>
      <c r="B177" s="87" t="s">
        <v>13</v>
      </c>
      <c r="C177" s="100">
        <f>IF(OR(Fact_Analitica[[#This Row], [Año]]="",Fact_Analitica[[#This Row], [Mes]]=""),"",DATE(A177,MATCH(B177,{"enero","febrero","marzo","abril","mayo","junio","julio","agosto","septiembre","octubre","noviembre","diciembre"},0)+1,0))</f>
        <v>45900</v>
      </c>
      <c r="D177" t="s">
        <v>127</v>
      </c>
      <c r="E177" t="str">
        <f>+IFERROR(VLOOKUP(Fact_Analitica[[#This Row], [Concepto Anterior]],Conceptos_Analítica_contraloría[#All],5,0),"")</f>
        <v>Ajuste Unds Merma Desconocida - Tiendas y Grandes S.</v>
      </c>
      <c r="F177" t="str">
        <f ca="1">+IFERROR(VLOOKUP(Fact_Analitica[[#This Row], [Concepto Anterior]],Conceptos_Analítica_contraloría[#All],7,0),"")</f>
        <v/>
      </c>
      <c r="G177" t="s">
        <v>172</v>
      </c>
      <c r="H177" t="s">
        <v>172</v>
      </c>
      <c r="I177" t="str">
        <f>+IFERROR(VLOOKUP(D177,Conceptos_Analítica_contraloría[#All],2,0),"")</f>
        <v>Volumetria</v>
      </c>
      <c r="J177" s="84" t="str">
        <f>+IFERROR(VLOOKUP(D177,Conceptos_Analítica_contraloría[#All],3,0),"")</f>
        <v>Cantidad</v>
      </c>
      <c r="K177" s="93">
        <v>-3157</v>
      </c>
    </row>
    <row r="178" spans="1:11" ht="18.75" customHeight="1" x14ac:dyDescent="0.35">
      <c r="A178" s="93">
        <v>2025</v>
      </c>
      <c r="B178" s="87" t="s">
        <v>13</v>
      </c>
      <c r="C178" s="100">
        <f>IF(OR(Fact_Analitica[[#This Row], [Año]]="",Fact_Analitica[[#This Row], [Mes]]=""),"",DATE(A178,MATCH(B178,{"enero","febrero","marzo","abril","mayo","junio","julio","agosto","septiembre","octubre","noviembre","diciembre"},0)+1,0))</f>
        <v>45900</v>
      </c>
      <c r="D178" t="s">
        <v>203</v>
      </c>
      <c r="E178" t="str">
        <f>+IFERROR(VLOOKUP(Fact_Analitica[[#This Row], [Concepto Anterior]],Conceptos_Analítica_contraloría[#All],5,0),"")</f>
        <v>Ajustes Inventarios Cíclico</v>
      </c>
      <c r="F178" t="str">
        <f ca="1">+IFERROR(VLOOKUP(Fact_Analitica[[#This Row], [Concepto Anterior]],Conceptos_Analítica_contraloría[#All],7,0),"")</f>
        <v/>
      </c>
      <c r="G178" t="s">
        <v>172</v>
      </c>
      <c r="H178" t="s">
        <v>172</v>
      </c>
      <c r="I178" t="str">
        <f>+IFERROR(VLOOKUP(D178,Conceptos_Analítica_contraloría[#All],2,0),"")</f>
        <v>Volumetria</v>
      </c>
      <c r="J178" s="84" t="str">
        <f>+IFERROR(VLOOKUP(D178,Conceptos_Analítica_contraloría[#All],3,0),"")</f>
        <v>Cantidad</v>
      </c>
      <c r="K178" s="93">
        <v>14</v>
      </c>
    </row>
    <row r="179" spans="1:11" ht="18.75" customHeight="1" x14ac:dyDescent="0.35">
      <c r="A179" s="93">
        <v>2025</v>
      </c>
      <c r="B179" s="87" t="s">
        <v>13</v>
      </c>
      <c r="C179" s="100">
        <f>IF(OR(Fact_Analitica[[#This Row], [Año]]="",Fact_Analitica[[#This Row], [Mes]]=""),"",DATE(A179,MATCH(B179,{"enero","febrero","marzo","abril","mayo","junio","julio","agosto","septiembre","octubre","noviembre","diciembre"},0)+1,0))</f>
        <v>45900</v>
      </c>
      <c r="D179" t="s">
        <v>66</v>
      </c>
      <c r="E179" t="str">
        <f>+IFERROR(VLOOKUP(Fact_Analitica[[#This Row], [Concepto Anterior]],Conceptos_Analítica_contraloría[#All],5,0),"")</f>
        <v>Cantidad de registros (consecutivos) a conciliar (Facturas 94%, otros movimientos 6%)</v>
      </c>
      <c r="F179" t="str">
        <f ca="1">+IFERROR(VLOOKUP(Fact_Analitica[[#This Row], [Concepto Anterior]],Conceptos_Analítica_contraloría[#All],7,0),"")</f>
        <v/>
      </c>
      <c r="G179" t="s">
        <v>172</v>
      </c>
      <c r="H179" t="s">
        <v>172</v>
      </c>
      <c r="I179" t="str">
        <f>+IFERROR(VLOOKUP(D179,Conceptos_Analítica_contraloría[#All],2,0),"")</f>
        <v>Volumetria</v>
      </c>
      <c r="J179" s="84" t="str">
        <f>+IFERROR(VLOOKUP(D179,Conceptos_Analítica_contraloría[#All],3,0),"")</f>
        <v>Cantidad</v>
      </c>
      <c r="K179" s="93">
        <v>394034</v>
      </c>
    </row>
    <row r="180" spans="1:11" ht="18.75" customHeight="1" x14ac:dyDescent="0.35">
      <c r="A180" s="93">
        <v>2025</v>
      </c>
      <c r="B180" s="87" t="s">
        <v>13</v>
      </c>
      <c r="C180" s="100">
        <f>IF(OR(Fact_Analitica[[#This Row], [Año]]="",Fact_Analitica[[#This Row], [Mes]]=""),"",DATE(A180,MATCH(B180,{"enero","febrero","marzo","abril","mayo","junio","julio","agosto","septiembre","octubre","noviembre","diciembre"},0)+1,0))</f>
        <v>45900</v>
      </c>
      <c r="D180" t="s">
        <v>125</v>
      </c>
      <c r="E180" t="str">
        <f>+IFERROR(VLOOKUP(Fact_Analitica[[#This Row], [Concepto Anterior]],Conceptos_Analítica_contraloría[#All],5,0),"")</f>
        <v>Cantidad de unidades a conciliar</v>
      </c>
      <c r="F180" t="str">
        <f ca="1">+IFERROR(VLOOKUP(Fact_Analitica[[#This Row], [Concepto Anterior]],Conceptos_Analítica_contraloría[#All],7,0),"")</f>
        <v/>
      </c>
      <c r="G180" t="s">
        <v>172</v>
      </c>
      <c r="H180" t="s">
        <v>172</v>
      </c>
      <c r="I180" t="str">
        <f>+IFERROR(VLOOKUP(D180,Conceptos_Analítica_contraloría[#All],2,0),"")</f>
        <v>Volumetria</v>
      </c>
      <c r="J180" s="84" t="str">
        <f>+IFERROR(VLOOKUP(D180,Conceptos_Analítica_contraloría[#All],3,0),"")</f>
        <v>Cantidad</v>
      </c>
      <c r="K180" s="93">
        <v>4548433</v>
      </c>
    </row>
    <row r="181" spans="1:11" ht="18.75" customHeight="1" x14ac:dyDescent="0.35">
      <c r="A181" s="93">
        <v>2025</v>
      </c>
      <c r="B181" s="87" t="s">
        <v>13</v>
      </c>
      <c r="C181" s="100">
        <f>IF(OR(Fact_Analitica[[#This Row], [Año]]="",Fact_Analitica[[#This Row], [Mes]]=""),"",DATE(A181,MATCH(B181,{"enero","febrero","marzo","abril","mayo","junio","julio","agosto","septiembre","octubre","noviembre","diciembre"},0)+1,0))</f>
        <v>45900</v>
      </c>
      <c r="D181" t="s">
        <v>204</v>
      </c>
      <c r="E181" t="str">
        <f>+IFERROR(VLOOKUP(Fact_Analitica[[#This Row], [Concepto Anterior]],Conceptos_Analítica_contraloría[#All],5,0),"")</f>
        <v>Presentación Resultados Inventarios a Dirección Comercial</v>
      </c>
      <c r="F181" t="str">
        <f ca="1">+IFERROR(VLOOKUP(Fact_Analitica[[#This Row], [Concepto Anterior]],Conceptos_Analítica_contraloría[#All],7,0),"")</f>
        <v/>
      </c>
      <c r="G181" t="s">
        <v>172</v>
      </c>
      <c r="H181" t="s">
        <v>172</v>
      </c>
      <c r="I181" t="str">
        <f>+IFERROR(VLOOKUP(D181,Conceptos_Analítica_contraloría[#All],2,0),"")</f>
        <v>Volumetria</v>
      </c>
      <c r="J181" s="84" t="str">
        <f>+IFERROR(VLOOKUP(D181,Conceptos_Analítica_contraloría[#All],3,0),"")</f>
        <v>Cantidad</v>
      </c>
      <c r="K181" s="93">
        <v>6</v>
      </c>
    </row>
    <row r="182" spans="1:11" ht="18.75" customHeight="1" x14ac:dyDescent="0.35">
      <c r="A182" s="93">
        <v>2025</v>
      </c>
      <c r="B182" s="87" t="s">
        <v>13</v>
      </c>
      <c r="C182" s="100">
        <f>IF(OR(Fact_Analitica[[#This Row], [Año]]="",Fact_Analitica[[#This Row], [Mes]]=""),"",DATE(A182,MATCH(B182,{"enero","febrero","marzo","abril","mayo","junio","julio","agosto","septiembre","octubre","noviembre","diciembre"},0)+1,0))</f>
        <v>45900</v>
      </c>
      <c r="D182" t="s">
        <v>64</v>
      </c>
      <c r="E182" t="str">
        <f>+IFERROR(VLOOKUP(Fact_Analitica[[#This Row], [Concepto Anterior]],Conceptos_Analítica_contraloría[#All],5,0),"")</f>
        <v>Puntos a conciliar</v>
      </c>
      <c r="F182" t="str">
        <f ca="1">+IFERROR(VLOOKUP(Fact_Analitica[[#This Row], [Concepto Anterior]],Conceptos_Analítica_contraloría[#All],7,0),"")</f>
        <v/>
      </c>
      <c r="G182" t="s">
        <v>172</v>
      </c>
      <c r="H182" t="s">
        <v>172</v>
      </c>
      <c r="I182" t="str">
        <f>+IFERROR(VLOOKUP(D182,Conceptos_Analítica_contraloría[#All],2,0),"")</f>
        <v>Volumetria</v>
      </c>
      <c r="J182" s="84" t="str">
        <f>+IFERROR(VLOOKUP(D182,Conceptos_Analítica_contraloría[#All],3,0),"")</f>
        <v>Cantidad</v>
      </c>
      <c r="K182" s="93">
        <v>570</v>
      </c>
    </row>
    <row r="183" spans="1:11" ht="18.75" customHeight="1" x14ac:dyDescent="0.35">
      <c r="A183" s="93">
        <v>2025</v>
      </c>
      <c r="B183" s="87" t="s">
        <v>13</v>
      </c>
      <c r="C183" s="100">
        <f>IF(OR(Fact_Analitica[[#This Row], [Año]]="",Fact_Analitica[[#This Row], [Mes]]=""),"",DATE(A183,MATCH(B183,{"enero","febrero","marzo","abril","mayo","junio","julio","agosto","septiembre","octubre","noviembre","diciembre"},0)+1,0))</f>
        <v>45900</v>
      </c>
      <c r="D183" t="s">
        <v>124</v>
      </c>
      <c r="E183" t="str">
        <f>+IFERROR(VLOOKUP(Fact_Analitica[[#This Row], [Concepto Anterior]],Conceptos_Analítica_contraloría[#All],5,0),"")</f>
        <v>Puntos Conciliados</v>
      </c>
      <c r="F183" t="str">
        <f ca="1">+IFERROR(VLOOKUP(Fact_Analitica[[#This Row], [Concepto Anterior]],Conceptos_Analítica_contraloría[#All],7,0),"")</f>
        <v/>
      </c>
      <c r="G183" t="s">
        <v>172</v>
      </c>
      <c r="H183" t="s">
        <v>172</v>
      </c>
      <c r="I183" t="str">
        <f>+IFERROR(VLOOKUP(D183,Conceptos_Analítica_contraloría[#All],2,0),"")</f>
        <v>Volumetria</v>
      </c>
      <c r="J183" s="84" t="str">
        <f>+IFERROR(VLOOKUP(D183,Conceptos_Analítica_contraloría[#All],3,0),"")</f>
        <v>Cantidad</v>
      </c>
      <c r="K183" s="93">
        <v>37</v>
      </c>
    </row>
    <row r="184" spans="1:11" ht="18.75" customHeight="1" x14ac:dyDescent="0.35">
      <c r="A184" s="93">
        <v>2025</v>
      </c>
      <c r="B184" s="87" t="s">
        <v>13</v>
      </c>
      <c r="C184" s="100">
        <f>IF(OR(Fact_Analitica[[#This Row], [Año]]="",Fact_Analitica[[#This Row], [Mes]]=""),"",DATE(A184,MATCH(B184,{"enero","febrero","marzo","abril","mayo","junio","julio","agosto","septiembre","octubre","noviembre","diciembre"},0)+1,0))</f>
        <v>45900</v>
      </c>
      <c r="D184" t="s">
        <v>65</v>
      </c>
      <c r="E184" t="str">
        <f>+IFERROR(VLOOKUP(Fact_Analitica[[#This Row], [Concepto Anterior]],Conceptos_Analítica_contraloría[#All],5,0),"")</f>
        <v>Puntos x marca a conciliar</v>
      </c>
      <c r="F184" t="str">
        <f ca="1">+IFERROR(VLOOKUP(Fact_Analitica[[#This Row], [Concepto Anterior]],Conceptos_Analítica_contraloría[#All],7,0),"")</f>
        <v/>
      </c>
      <c r="G184" t="s">
        <v>172</v>
      </c>
      <c r="H184" t="s">
        <v>172</v>
      </c>
      <c r="I184" t="str">
        <f>+IFERROR(VLOOKUP(D184,Conceptos_Analítica_contraloría[#All],2,0),"")</f>
        <v>Volumetria</v>
      </c>
      <c r="J184" s="84" t="str">
        <f>+IFERROR(VLOOKUP(D184,Conceptos_Analítica_contraloría[#All],3,0),"")</f>
        <v>Cantidad</v>
      </c>
      <c r="K184" s="93">
        <v>1350</v>
      </c>
    </row>
    <row r="185" spans="1:11" ht="18.75" customHeight="1" x14ac:dyDescent="0.35">
      <c r="A185" s="93">
        <v>2025</v>
      </c>
      <c r="B185" s="87" t="s">
        <v>13</v>
      </c>
      <c r="C185" s="100">
        <f>IF(OR(Fact_Analitica[[#This Row], [Año]]="",Fact_Analitica[[#This Row], [Mes]]=""),"",DATE(A185,MATCH(B185,{"enero","febrero","marzo","abril","mayo","junio","julio","agosto","septiembre","octubre","noviembre","diciembre"},0)+1,0))</f>
        <v>45900</v>
      </c>
      <c r="D185" t="s">
        <v>128</v>
      </c>
      <c r="E185" t="str">
        <f>+IFERROR(VLOOKUP(Fact_Analitica[[#This Row], [Concepto Anterior]],Conceptos_Analítica_contraloría[#All],5,0),"")</f>
        <v>Ajuste Costo Merma Desconocida - Tiendas y Grandes S.</v>
      </c>
      <c r="F185" t="str">
        <f ca="1">+IFERROR(VLOOKUP(Fact_Analitica[[#This Row], [Concepto Anterior]],Conceptos_Analítica_contraloría[#All],7,0),"")</f>
        <v/>
      </c>
      <c r="G185" t="s">
        <v>172</v>
      </c>
      <c r="H185" t="s">
        <v>172</v>
      </c>
      <c r="I185" t="str">
        <f>+IFERROR(VLOOKUP(D185,Conceptos_Analítica_contraloría[#All],2,0),"")</f>
        <v>Volumetria</v>
      </c>
      <c r="J185" s="84" t="str">
        <f>+IFERROR(VLOOKUP(D185,Conceptos_Analítica_contraloría[#All],3,0),"")</f>
        <v>Cantidad</v>
      </c>
      <c r="K185" s="93">
        <v>8888922</v>
      </c>
    </row>
    <row r="186" spans="1:11" ht="19.5" customHeight="1" x14ac:dyDescent="0.35">
      <c r="A186" s="93">
        <v>2025</v>
      </c>
      <c r="B186" s="87" t="s">
        <v>13</v>
      </c>
      <c r="C186" s="100">
        <f>IF(OR(Fact_Analitica[[#This Row], [Año]]="",Fact_Analitica[[#This Row], [Mes]]=""),"",DATE(A186,MATCH(B186,{"enero","febrero","marzo","abril","mayo","junio","julio","agosto","septiembre","octubre","noviembre","diciembre"},0)+1,0))</f>
        <v>45900</v>
      </c>
      <c r="D186" t="s">
        <v>206</v>
      </c>
      <c r="E186" t="str">
        <f>+IFERROR(VLOOKUP(Fact_Analitica[[#This Row], [Concepto Anterior]],Conceptos_Analítica_contraloría[#All],5,0),"")</f>
        <v>Cambios de Razón Social</v>
      </c>
      <c r="F186" t="str">
        <f ca="1">+IFERROR(VLOOKUP(Fact_Analitica[[#This Row], [Concepto Anterior]],Conceptos_Analítica_contraloría[#All],7,0),"")</f>
        <v/>
      </c>
      <c r="G186" t="s">
        <v>172</v>
      </c>
      <c r="H186" t="s">
        <v>172</v>
      </c>
      <c r="I186" t="str">
        <f>+IFERROR(VLOOKUP(D186,Conceptos_Analítica_contraloría[#All],2,0),"")</f>
        <v>Volumetria</v>
      </c>
      <c r="J186" s="84" t="str">
        <f>+IFERROR(VLOOKUP(D186,Conceptos_Analítica_contraloría[#All],3,0),"")</f>
        <v>Cantidad</v>
      </c>
      <c r="K186" s="93">
        <v>1</v>
      </c>
    </row>
    <row r="187" spans="1:11" ht="19.5" customHeight="1" x14ac:dyDescent="0.35">
      <c r="A187" s="93">
        <v>2025</v>
      </c>
      <c r="B187" s="87" t="s">
        <v>13</v>
      </c>
      <c r="C187" s="100">
        <f>IF(OR(Fact_Analitica[[#This Row], [Año]]="",Fact_Analitica[[#This Row], [Mes]]=""),"",DATE(A187,MATCH(B187,{"enero","febrero","marzo","abril","mayo","junio","julio","agosto","septiembre","octubre","noviembre","diciembre"},0)+1,0))</f>
        <v>45900</v>
      </c>
      <c r="D187" t="s">
        <v>205</v>
      </c>
      <c r="E187" t="str">
        <f>+IFERROR(VLOOKUP(Fact_Analitica[[#This Row], [Concepto Anterior]],Conceptos_Analítica_contraloría[#All],5,0),"")</f>
        <v>Cierres de tienda</v>
      </c>
      <c r="F187" t="str">
        <f ca="1">+IFERROR(VLOOKUP(Fact_Analitica[[#This Row], [Concepto Anterior]],Conceptos_Analítica_contraloría[#All],7,0),"")</f>
        <v/>
      </c>
      <c r="G187" t="s">
        <v>172</v>
      </c>
      <c r="H187" t="s">
        <v>172</v>
      </c>
      <c r="I187" t="str">
        <f>+IFERROR(VLOOKUP(D187,Conceptos_Analítica_contraloría[#All],2,0),"")</f>
        <v>Volumetria</v>
      </c>
      <c r="J187" s="84" t="str">
        <f>+IFERROR(VLOOKUP(D187,Conceptos_Analítica_contraloría[#All],3,0),"")</f>
        <v>Cantidad</v>
      </c>
      <c r="K187" s="93">
        <v>0</v>
      </c>
    </row>
    <row r="188" spans="1:11" ht="19.5" customHeight="1" x14ac:dyDescent="0.35">
      <c r="A188" s="93">
        <v>2025</v>
      </c>
      <c r="B188" s="87" t="s">
        <v>13</v>
      </c>
      <c r="C188" s="100">
        <f>IF(OR(Fact_Analitica[[#This Row], [Año]]="",Fact_Analitica[[#This Row], [Mes]]=""),"",DATE(A188,MATCH(B188,{"enero","febrero","marzo","abril","mayo","junio","julio","agosto","septiembre","octubre","noviembre","diciembre"},0)+1,0))</f>
        <v>45900</v>
      </c>
      <c r="D188" t="s">
        <v>208</v>
      </c>
      <c r="E188" t="str">
        <f>+IFERROR(VLOOKUP(Fact_Analitica[[#This Row], [Concepto Anterior]],Conceptos_Analítica_contraloría[#All],5,0),"")</f>
        <v>Automatizaciones</v>
      </c>
      <c r="F188" t="str">
        <f ca="1">+IFERROR(VLOOKUP(Fact_Analitica[[#This Row], [Concepto Anterior]],Conceptos_Analítica_contraloría[#All],7,0),"")</f>
        <v/>
      </c>
      <c r="G188" t="s">
        <v>172</v>
      </c>
      <c r="H188" t="s">
        <v>172</v>
      </c>
      <c r="I188" t="str">
        <f>+IFERROR(VLOOKUP(D188,Conceptos_Analítica_contraloría[#All],2,0),"")</f>
        <v>Volumetria</v>
      </c>
      <c r="J188" s="84" t="str">
        <f>+IFERROR(VLOOKUP(D188,Conceptos_Analítica_contraloría[#All],3,0),"")</f>
        <v>Cantidad</v>
      </c>
      <c r="K188" s="93">
        <v>1</v>
      </c>
    </row>
    <row r="189" spans="1:11" ht="19.5" customHeight="1" x14ac:dyDescent="0.35">
      <c r="A189" s="93">
        <v>2025</v>
      </c>
      <c r="B189" s="87" t="s">
        <v>13</v>
      </c>
      <c r="C189" s="100">
        <f>IF(OR(Fact_Analitica[[#This Row], [Año]]="",Fact_Analitica[[#This Row], [Mes]]=""),"",DATE(A189,MATCH(B189,{"enero","febrero","marzo","abril","mayo","junio","julio","agosto","septiembre","octubre","noviembre","diciembre"},0)+1,0))</f>
        <v>45900</v>
      </c>
      <c r="D189" t="s">
        <v>207</v>
      </c>
      <c r="E189" t="str">
        <f>+IFERROR(VLOOKUP(Fact_Analitica[[#This Row], [Concepto Anterior]],Conceptos_Analítica_contraloría[#All],5,0),"")</f>
        <v>Inventarios Maestra</v>
      </c>
      <c r="F189" t="str">
        <f ca="1">+IFERROR(VLOOKUP(Fact_Analitica[[#This Row], [Concepto Anterior]],Conceptos_Analítica_contraloría[#All],7,0),"")</f>
        <v/>
      </c>
      <c r="G189" t="s">
        <v>172</v>
      </c>
      <c r="H189" t="s">
        <v>172</v>
      </c>
      <c r="I189" t="str">
        <f>+IFERROR(VLOOKUP(D189,Conceptos_Analítica_contraloría[#All],2,0),"")</f>
        <v>Volumetria</v>
      </c>
      <c r="J189" s="84" t="str">
        <f>+IFERROR(VLOOKUP(D189,Conceptos_Analítica_contraloría[#All],3,0),"")</f>
        <v>Cantidad</v>
      </c>
      <c r="K189" s="93">
        <v>34</v>
      </c>
    </row>
    <row r="190" spans="1:11" ht="19.5" customHeight="1" x14ac:dyDescent="0.35">
      <c r="A190" s="93">
        <v>2025</v>
      </c>
      <c r="B190" s="87" t="s">
        <v>14</v>
      </c>
      <c r="C190" s="100">
        <f>IF(OR(Fact_Analitica[[#This Row], [Año]]="",Fact_Analitica[[#This Row], [Mes]]=""),"",DATE(A190,MATCH(B190,{"enero","febrero","marzo","abril","mayo","junio","julio","agosto","septiembre","octubre","noviembre","diciembre"},0)+1,0))</f>
        <v>45930</v>
      </c>
      <c r="D190" t="s">
        <v>127</v>
      </c>
      <c r="E190" t="str">
        <f>+IFERROR(VLOOKUP(Fact_Analitica[[#This Row], [Concepto Anterior]],Conceptos_Analítica_contraloría[#All],5,0),"")</f>
        <v>Ajuste Unds Merma Desconocida - Tiendas y Grandes S.</v>
      </c>
      <c r="F190" t="str">
        <f ca="1">+IFERROR(VLOOKUP(Fact_Analitica[[#This Row], [Concepto Anterior]],Conceptos_Analítica_contraloría[#All],7,0),"")</f>
        <v/>
      </c>
      <c r="G190" t="s">
        <v>172</v>
      </c>
      <c r="H190" t="s">
        <v>172</v>
      </c>
      <c r="I190" t="str">
        <f>+IFERROR(VLOOKUP(D190,Conceptos_Analítica_contraloría[#All],2,0),"")</f>
        <v>Volumetria</v>
      </c>
      <c r="J190" s="84" t="str">
        <f>+IFERROR(VLOOKUP(D190,Conceptos_Analítica_contraloría[#All],3,0),"")</f>
        <v>Cantidad</v>
      </c>
      <c r="K190" s="93">
        <v>-2848</v>
      </c>
    </row>
    <row r="191" spans="1:11" ht="19.5" customHeight="1" x14ac:dyDescent="0.35">
      <c r="A191" s="93">
        <v>2025</v>
      </c>
      <c r="B191" s="87" t="s">
        <v>14</v>
      </c>
      <c r="C191" s="100">
        <f>IF(OR(Fact_Analitica[[#This Row], [Año]]="",Fact_Analitica[[#This Row], [Mes]]=""),"",DATE(A191,MATCH(B191,{"enero","febrero","marzo","abril","mayo","junio","julio","agosto","septiembre","octubre","noviembre","diciembre"},0)+1,0))</f>
        <v>45930</v>
      </c>
      <c r="D191" t="s">
        <v>203</v>
      </c>
      <c r="E191" t="str">
        <f>+IFERROR(VLOOKUP(Fact_Analitica[[#This Row], [Concepto Anterior]],Conceptos_Analítica_contraloría[#All],5,0),"")</f>
        <v>Ajustes Inventarios Cíclico</v>
      </c>
      <c r="F191" t="str">
        <f ca="1">+IFERROR(VLOOKUP(Fact_Analitica[[#This Row], [Concepto Anterior]],Conceptos_Analítica_contraloría[#All],7,0),"")</f>
        <v/>
      </c>
      <c r="G191" t="s">
        <v>172</v>
      </c>
      <c r="H191" t="s">
        <v>172</v>
      </c>
      <c r="I191" t="str">
        <f>+IFERROR(VLOOKUP(D191,Conceptos_Analítica_contraloría[#All],2,0),"")</f>
        <v>Volumetria</v>
      </c>
      <c r="J191" s="84" t="str">
        <f>+IFERROR(VLOOKUP(D191,Conceptos_Analítica_contraloría[#All],3,0),"")</f>
        <v>Cantidad</v>
      </c>
      <c r="K191" s="93">
        <v>12</v>
      </c>
    </row>
    <row r="192" spans="1:11" ht="19.5" customHeight="1" x14ac:dyDescent="0.35">
      <c r="A192" s="93">
        <v>2025</v>
      </c>
      <c r="B192" s="87" t="s">
        <v>14</v>
      </c>
      <c r="C192" s="100">
        <f>IF(OR(Fact_Analitica[[#This Row], [Año]]="",Fact_Analitica[[#This Row], [Mes]]=""),"",DATE(A192,MATCH(B192,{"enero","febrero","marzo","abril","mayo","junio","julio","agosto","septiembre","octubre","noviembre","diciembre"},0)+1,0))</f>
        <v>45930</v>
      </c>
      <c r="D192" t="s">
        <v>66</v>
      </c>
      <c r="E192" t="str">
        <f>+IFERROR(VLOOKUP(Fact_Analitica[[#This Row], [Concepto Anterior]],Conceptos_Analítica_contraloría[#All],5,0),"")</f>
        <v>Cantidad de registros (consecutivos) a conciliar (Facturas 94%, otros movimientos 6%)</v>
      </c>
      <c r="F192" t="str">
        <f ca="1">+IFERROR(VLOOKUP(Fact_Analitica[[#This Row], [Concepto Anterior]],Conceptos_Analítica_contraloría[#All],7,0),"")</f>
        <v/>
      </c>
      <c r="G192" t="s">
        <v>172</v>
      </c>
      <c r="H192" t="s">
        <v>172</v>
      </c>
      <c r="I192" t="str">
        <f>+IFERROR(VLOOKUP(D192,Conceptos_Analítica_contraloría[#All],2,0),"")</f>
        <v>Volumetria</v>
      </c>
      <c r="J192" s="84" t="str">
        <f>+IFERROR(VLOOKUP(D192,Conceptos_Analítica_contraloría[#All],3,0),"")</f>
        <v>Cantidad</v>
      </c>
      <c r="K192" s="93">
        <v>394034</v>
      </c>
    </row>
    <row r="193" spans="1:11" ht="19.5" customHeight="1" x14ac:dyDescent="0.35">
      <c r="A193" s="93">
        <v>2025</v>
      </c>
      <c r="B193" s="87" t="s">
        <v>14</v>
      </c>
      <c r="C193" s="100">
        <f>IF(OR(Fact_Analitica[[#This Row], [Año]]="",Fact_Analitica[[#This Row], [Mes]]=""),"",DATE(A193,MATCH(B193,{"enero","febrero","marzo","abril","mayo","junio","julio","agosto","septiembre","octubre","noviembre","diciembre"},0)+1,0))</f>
        <v>45930</v>
      </c>
      <c r="D193" t="s">
        <v>125</v>
      </c>
      <c r="E193" t="str">
        <f>+IFERROR(VLOOKUP(Fact_Analitica[[#This Row], [Concepto Anterior]],Conceptos_Analítica_contraloría[#All],5,0),"")</f>
        <v>Cantidad de unidades a conciliar</v>
      </c>
      <c r="F193" t="str">
        <f ca="1">+IFERROR(VLOOKUP(Fact_Analitica[[#This Row], [Concepto Anterior]],Conceptos_Analítica_contraloría[#All],7,0),"")</f>
        <v/>
      </c>
      <c r="G193" t="s">
        <v>172</v>
      </c>
      <c r="H193" t="s">
        <v>172</v>
      </c>
      <c r="I193" t="str">
        <f>+IFERROR(VLOOKUP(D193,Conceptos_Analítica_contraloría[#All],2,0),"")</f>
        <v>Volumetria</v>
      </c>
      <c r="J193" s="84" t="str">
        <f>+IFERROR(VLOOKUP(D193,Conceptos_Analítica_contraloría[#All],3,0),"")</f>
        <v>Cantidad</v>
      </c>
      <c r="K193" s="93">
        <v>4548433</v>
      </c>
    </row>
    <row r="194" spans="1:11" ht="19.5" customHeight="1" x14ac:dyDescent="0.35">
      <c r="A194" s="93">
        <v>2025</v>
      </c>
      <c r="B194" s="87" t="s">
        <v>14</v>
      </c>
      <c r="C194" s="100">
        <f>IF(OR(Fact_Analitica[[#This Row], [Año]]="",Fact_Analitica[[#This Row], [Mes]]=""),"",DATE(A194,MATCH(B194,{"enero","febrero","marzo","abril","mayo","junio","julio","agosto","septiembre","octubre","noviembre","diciembre"},0)+1,0))</f>
        <v>45930</v>
      </c>
      <c r="D194" t="s">
        <v>64</v>
      </c>
      <c r="E194" t="str">
        <f>+IFERROR(VLOOKUP(Fact_Analitica[[#This Row], [Concepto Anterior]],Conceptos_Analítica_contraloría[#All],5,0),"")</f>
        <v>Puntos a conciliar</v>
      </c>
      <c r="F194" t="str">
        <f ca="1">+IFERROR(VLOOKUP(Fact_Analitica[[#This Row], [Concepto Anterior]],Conceptos_Analítica_contraloría[#All],7,0),"")</f>
        <v/>
      </c>
      <c r="G194" t="s">
        <v>172</v>
      </c>
      <c r="H194" t="s">
        <v>172</v>
      </c>
      <c r="I194" t="str">
        <f>+IFERROR(VLOOKUP(D194,Conceptos_Analítica_contraloría[#All],2,0),"")</f>
        <v>Volumetria</v>
      </c>
      <c r="J194" s="84" t="str">
        <f>+IFERROR(VLOOKUP(D194,Conceptos_Analítica_contraloría[#All],3,0),"")</f>
        <v>Cantidad</v>
      </c>
      <c r="K194" s="93">
        <v>572</v>
      </c>
    </row>
    <row r="195" spans="1:11" ht="19.5" customHeight="1" x14ac:dyDescent="0.35">
      <c r="A195" s="93">
        <v>2025</v>
      </c>
      <c r="B195" s="87" t="s">
        <v>14</v>
      </c>
      <c r="C195" s="100">
        <f>IF(OR(Fact_Analitica[[#This Row], [Año]]="",Fact_Analitica[[#This Row], [Mes]]=""),"",DATE(A195,MATCH(B195,{"enero","febrero","marzo","abril","mayo","junio","julio","agosto","septiembre","octubre","noviembre","diciembre"},0)+1,0))</f>
        <v>45930</v>
      </c>
      <c r="D195" t="s">
        <v>124</v>
      </c>
      <c r="E195" t="str">
        <f>+IFERROR(VLOOKUP(Fact_Analitica[[#This Row], [Concepto Anterior]],Conceptos_Analítica_contraloría[#All],5,0),"")</f>
        <v>Puntos Conciliados</v>
      </c>
      <c r="F195" t="str">
        <f ca="1">+IFERROR(VLOOKUP(Fact_Analitica[[#This Row], [Concepto Anterior]],Conceptos_Analítica_contraloría[#All],7,0),"")</f>
        <v/>
      </c>
      <c r="G195" t="s">
        <v>172</v>
      </c>
      <c r="H195" t="s">
        <v>172</v>
      </c>
      <c r="I195" t="str">
        <f>+IFERROR(VLOOKUP(D195,Conceptos_Analítica_contraloría[#All],2,0),"")</f>
        <v>Volumetria</v>
      </c>
      <c r="J195" s="84" t="str">
        <f>+IFERROR(VLOOKUP(D195,Conceptos_Analítica_contraloría[#All],3,0),"")</f>
        <v>Cantidad</v>
      </c>
      <c r="K195" s="93">
        <v>37</v>
      </c>
    </row>
    <row r="196" spans="1:11" ht="19.5" customHeight="1" x14ac:dyDescent="0.35">
      <c r="A196" s="93">
        <v>2025</v>
      </c>
      <c r="B196" s="87" t="s">
        <v>14</v>
      </c>
      <c r="C196" s="100">
        <f>IF(OR(Fact_Analitica[[#This Row], [Año]]="",Fact_Analitica[[#This Row], [Mes]]=""),"",DATE(A196,MATCH(B196,{"enero","febrero","marzo","abril","mayo","junio","julio","agosto","septiembre","octubre","noviembre","diciembre"},0)+1,0))</f>
        <v>45930</v>
      </c>
      <c r="D196" t="s">
        <v>65</v>
      </c>
      <c r="E196" t="str">
        <f>+IFERROR(VLOOKUP(Fact_Analitica[[#This Row], [Concepto Anterior]],Conceptos_Analítica_contraloría[#All],5,0),"")</f>
        <v>Puntos x marca a conciliar</v>
      </c>
      <c r="F196" t="str">
        <f ca="1">+IFERROR(VLOOKUP(Fact_Analitica[[#This Row], [Concepto Anterior]],Conceptos_Analítica_contraloría[#All],7,0),"")</f>
        <v/>
      </c>
      <c r="G196" t="s">
        <v>172</v>
      </c>
      <c r="H196" t="s">
        <v>172</v>
      </c>
      <c r="I196" t="str">
        <f>+IFERROR(VLOOKUP(D196,Conceptos_Analítica_contraloría[#All],2,0),"")</f>
        <v>Volumetria</v>
      </c>
      <c r="J196" s="84" t="str">
        <f>+IFERROR(VLOOKUP(D196,Conceptos_Analítica_contraloría[#All],3,0),"")</f>
        <v>Cantidad</v>
      </c>
      <c r="K196" s="93">
        <v>1379</v>
      </c>
    </row>
    <row r="197" spans="1:11" ht="19.5" customHeight="1" x14ac:dyDescent="0.35">
      <c r="A197" s="93">
        <v>2025</v>
      </c>
      <c r="B197" s="87" t="s">
        <v>14</v>
      </c>
      <c r="C197" s="100">
        <f>IF(OR(Fact_Analitica[[#This Row], [Año]]="",Fact_Analitica[[#This Row], [Mes]]=""),"",DATE(A197,MATCH(B197,{"enero","febrero","marzo","abril","mayo","junio","julio","agosto","septiembre","octubre","noviembre","diciembre"},0)+1,0))</f>
        <v>45930</v>
      </c>
      <c r="D197" t="s">
        <v>128</v>
      </c>
      <c r="E197" t="str">
        <f>+IFERROR(VLOOKUP(Fact_Analitica[[#This Row], [Concepto Anterior]],Conceptos_Analítica_contraloría[#All],5,0),"")</f>
        <v>Ajuste Costo Merma Desconocida - Tiendas y Grandes S.</v>
      </c>
      <c r="F197" t="str">
        <f ca="1">+IFERROR(VLOOKUP(Fact_Analitica[[#This Row], [Concepto Anterior]],Conceptos_Analítica_contraloría[#All],7,0),"")</f>
        <v/>
      </c>
      <c r="G197" t="s">
        <v>172</v>
      </c>
      <c r="H197" t="s">
        <v>172</v>
      </c>
      <c r="I197" t="str">
        <f>+IFERROR(VLOOKUP(D197,Conceptos_Analítica_contraloría[#All],2,0),"")</f>
        <v>Volumetria</v>
      </c>
      <c r="J197" s="84" t="str">
        <f>+IFERROR(VLOOKUP(D197,Conceptos_Analítica_contraloría[#All],3,0),"")</f>
        <v>Cantidad</v>
      </c>
      <c r="K197" s="93">
        <v>25651648</v>
      </c>
    </row>
    <row r="198" spans="1:11" ht="19.5" customHeight="1" x14ac:dyDescent="0.35">
      <c r="A198" s="93">
        <v>2025</v>
      </c>
      <c r="B198" s="87" t="s">
        <v>14</v>
      </c>
      <c r="C198" s="100">
        <f>IF(OR(Fact_Analitica[[#This Row], [Año]]="",Fact_Analitica[[#This Row], [Mes]]=""),"",DATE(A198,MATCH(B198,{"enero","febrero","marzo","abril","mayo","junio","julio","agosto","septiembre","octubre","noviembre","diciembre"},0)+1,0))</f>
        <v>45930</v>
      </c>
      <c r="D198" t="s">
        <v>204</v>
      </c>
      <c r="E198" t="str">
        <f>+IFERROR(VLOOKUP(Fact_Analitica[[#This Row], [Concepto Anterior]],Conceptos_Analítica_contraloría[#All],5,0),"")</f>
        <v>Presentación Resultados Inventarios a Dirección Comercial</v>
      </c>
      <c r="F198" t="str">
        <f ca="1">+IFERROR(VLOOKUP(Fact_Analitica[[#This Row], [Concepto Anterior]],Conceptos_Analítica_contraloría[#All],7,0),"")</f>
        <v/>
      </c>
      <c r="G198" t="s">
        <v>172</v>
      </c>
      <c r="H198" t="s">
        <v>172</v>
      </c>
      <c r="I198" t="str">
        <f>+IFERROR(VLOOKUP(D198,Conceptos_Analítica_contraloría[#All],2,0),"")</f>
        <v>Volumetria</v>
      </c>
      <c r="J198" s="84" t="str">
        <f>+IFERROR(VLOOKUP(D198,Conceptos_Analítica_contraloría[#All],3,0),"")</f>
        <v>Cantidad</v>
      </c>
      <c r="K198" s="93">
        <v>2</v>
      </c>
    </row>
    <row r="199" spans="1:11" ht="19.5" customHeight="1" x14ac:dyDescent="0.35">
      <c r="A199" s="93">
        <v>2025</v>
      </c>
      <c r="B199" s="87" t="s">
        <v>14</v>
      </c>
      <c r="C199" s="100">
        <f>IF(OR(Fact_Analitica[[#This Row], [Año]]="",Fact_Analitica[[#This Row], [Mes]]=""),"",DATE(A199,MATCH(B199,{"enero","febrero","marzo","abril","mayo","junio","julio","agosto","septiembre","octubre","noviembre","diciembre"},0)+1,0))</f>
        <v>45930</v>
      </c>
      <c r="D199" t="s">
        <v>206</v>
      </c>
      <c r="E199" t="str">
        <f>+IFERROR(VLOOKUP(Fact_Analitica[[#This Row], [Concepto Anterior]],Conceptos_Analítica_contraloría[#All],5,0),"")</f>
        <v>Cambios de Razón Social</v>
      </c>
      <c r="F199" t="str">
        <f ca="1">+IFERROR(VLOOKUP(Fact_Analitica[[#This Row], [Concepto Anterior]],Conceptos_Analítica_contraloría[#All],7,0),"")</f>
        <v/>
      </c>
      <c r="G199" t="s">
        <v>172</v>
      </c>
      <c r="H199" t="s">
        <v>172</v>
      </c>
      <c r="I199" t="str">
        <f>+IFERROR(VLOOKUP(D199,Conceptos_Analítica_contraloría[#All],2,0),"")</f>
        <v>Volumetria</v>
      </c>
      <c r="J199" s="84" t="str">
        <f>+IFERROR(VLOOKUP(D199,Conceptos_Analítica_contraloría[#All],3,0),"")</f>
        <v>Cantidad</v>
      </c>
      <c r="K199" s="93">
        <v>3</v>
      </c>
    </row>
    <row r="200" spans="1:11" ht="19.5" customHeight="1" x14ac:dyDescent="0.35">
      <c r="A200" s="93">
        <v>2025</v>
      </c>
      <c r="B200" s="87" t="s">
        <v>14</v>
      </c>
      <c r="C200" s="100">
        <f>IF(OR(Fact_Analitica[[#This Row], [Año]]="",Fact_Analitica[[#This Row], [Mes]]=""),"",DATE(A200,MATCH(B200,{"enero","febrero","marzo","abril","mayo","junio","julio","agosto","septiembre","octubre","noviembre","diciembre"},0)+1,0))</f>
        <v>45930</v>
      </c>
      <c r="D200" t="s">
        <v>205</v>
      </c>
      <c r="E200" t="str">
        <f>+IFERROR(VLOOKUP(Fact_Analitica[[#This Row], [Concepto Anterior]],Conceptos_Analítica_contraloría[#All],5,0),"")</f>
        <v>Cierres de tienda</v>
      </c>
      <c r="F200" t="str">
        <f ca="1">+IFERROR(VLOOKUP(Fact_Analitica[[#This Row], [Concepto Anterior]],Conceptos_Analítica_contraloría[#All],7,0),"")</f>
        <v/>
      </c>
      <c r="G200" t="s">
        <v>172</v>
      </c>
      <c r="H200" t="s">
        <v>172</v>
      </c>
      <c r="I200" t="str">
        <f>+IFERROR(VLOOKUP(D200,Conceptos_Analítica_contraloría[#All],2,0),"")</f>
        <v>Volumetria</v>
      </c>
      <c r="J200" s="84" t="str">
        <f>+IFERROR(VLOOKUP(D200,Conceptos_Analítica_contraloría[#All],3,0),"")</f>
        <v>Cantidad</v>
      </c>
      <c r="K200" s="93">
        <v>1</v>
      </c>
    </row>
    <row r="201" spans="1:11" ht="19.5" customHeight="1" x14ac:dyDescent="0.35">
      <c r="A201" s="93">
        <v>2025</v>
      </c>
      <c r="B201" s="87" t="s">
        <v>14</v>
      </c>
      <c r="C201" s="100">
        <f>IF(OR(Fact_Analitica[[#This Row], [Año]]="",Fact_Analitica[[#This Row], [Mes]]=""),"",DATE(A201,MATCH(B201,{"enero","febrero","marzo","abril","mayo","junio","julio","agosto","septiembre","octubre","noviembre","diciembre"},0)+1,0))</f>
        <v>45930</v>
      </c>
      <c r="D201" t="s">
        <v>207</v>
      </c>
      <c r="E201" t="str">
        <f>+IFERROR(VLOOKUP(Fact_Analitica[[#This Row], [Concepto Anterior]],Conceptos_Analítica_contraloría[#All],5,0),"")</f>
        <v>Inventarios Maestra</v>
      </c>
      <c r="F201" t="str">
        <f ca="1">+IFERROR(VLOOKUP(Fact_Analitica[[#This Row], [Concepto Anterior]],Conceptos_Analítica_contraloría[#All],7,0),"")</f>
        <v/>
      </c>
      <c r="G201" t="s">
        <v>172</v>
      </c>
      <c r="H201" t="s">
        <v>172</v>
      </c>
      <c r="I201" t="str">
        <f>+IFERROR(VLOOKUP(D201,Conceptos_Analítica_contraloría[#All],2,0),"")</f>
        <v>Volumetria</v>
      </c>
      <c r="J201" s="84" t="str">
        <f>+IFERROR(VLOOKUP(D201,Conceptos_Analítica_contraloría[#All],3,0),"")</f>
        <v>Cantidad</v>
      </c>
      <c r="K201" s="93">
        <v>32</v>
      </c>
    </row>
    <row r="202" spans="1:11" ht="18.75" customHeight="1" x14ac:dyDescent="0.35">
      <c r="A202" s="93">
        <v>2025</v>
      </c>
      <c r="B202" s="87" t="s">
        <v>14</v>
      </c>
      <c r="C202" s="100">
        <f>IF(OR(Fact_Analitica[[#This Row], [Año]]="",Fact_Analitica[[#This Row], [Mes]]=""),"",DATE(A202,MATCH(B202,{"enero","febrero","marzo","abril","mayo","junio","julio","agosto","septiembre","octubre","noviembre","diciembre"},0)+1,0))</f>
        <v>45930</v>
      </c>
      <c r="D202" t="s">
        <v>208</v>
      </c>
      <c r="E202" t="str">
        <f>+IFERROR(VLOOKUP(Fact_Analitica[[#This Row], [Concepto Anterior]],Conceptos_Analítica_contraloría[#All],5,0),"")</f>
        <v>Automatizaciones</v>
      </c>
      <c r="F202" t="str">
        <f ca="1">+IFERROR(VLOOKUP(Fact_Analitica[[#This Row], [Concepto Anterior]],Conceptos_Analítica_contraloría[#All],7,0),"")</f>
        <v/>
      </c>
      <c r="G202" t="s">
        <v>172</v>
      </c>
      <c r="H202" t="s">
        <v>172</v>
      </c>
      <c r="I202" t="str">
        <f>+IFERROR(VLOOKUP(D202,Conceptos_Analítica_contraloría[#All],2,0),"")</f>
        <v>Volumetria</v>
      </c>
      <c r="J202" s="84" t="str">
        <f>+IFERROR(VLOOKUP(D202,Conceptos_Analítica_contraloría[#All],3,0),"")</f>
        <v>Cantidad</v>
      </c>
      <c r="K202" s="93">
        <v>2</v>
      </c>
    </row>
    <row r="203" spans="1:11" ht="18.75" customHeight="1" x14ac:dyDescent="0.35">
      <c r="A203" s="104" t="s">
        <v>68</v>
      </c>
      <c r="B203" s="105">
        <v>2026</v>
      </c>
      <c r="C203" s="100" t="e">
        <f>IF(OR(Fact_Analitica[[#This Row], [Año]]="",Fact_Analitica[[#This Row], [Mes]]=""),"",DATE(A203,MATCH(B203,{"enero","febrero","marzo","abril","mayo","junio","julio","agosto","septiembre","octubre","noviembre","diciembre"},0)+1,0))</f>
        <v>#VALUE!</v>
      </c>
      <c r="D203" t="s">
        <v>6</v>
      </c>
      <c r="E203" t="str">
        <f>+IFERROR(VLOOKUP(Fact_Analitica[[#This Row], [Concepto Anterior]],Conceptos_Analítica_contraloría[#All],5,0),"")</f>
        <v/>
      </c>
      <c r="F203" t="str">
        <f>+IFERROR(VLOOKUP(Fact_Analitica[[#This Row], [Concepto Anterior]],Conceptos_Analítica_contraloría[#All],7,0),"")</f>
        <v/>
      </c>
      <c r="G203" t="s">
        <v>172</v>
      </c>
      <c r="H203" t="s">
        <v>172</v>
      </c>
      <c r="I203" t="str">
        <f>+IFERROR(VLOOKUP(D203,Conceptos_Analítica_contraloría[#All],2,0),"")</f>
        <v/>
      </c>
      <c r="J203" s="84" t="str">
        <f>+IFERROR(VLOOKUP(D203,Conceptos_Analítica_contraloría[#All],3,0),"")</f>
        <v/>
      </c>
      <c r="K203" s="105">
        <v>1</v>
      </c>
    </row>
    <row r="204" spans="1:11" ht="18.75" customHeight="1" x14ac:dyDescent="0.35">
      <c r="A204" s="104" t="s">
        <v>64</v>
      </c>
      <c r="B204" s="105">
        <v>2026</v>
      </c>
      <c r="C204" s="100" t="e">
        <f>IF(OR(Fact_Analitica[[#This Row], [Año]]="",Fact_Analitica[[#This Row], [Mes]]=""),"",DATE(A204,MATCH(B204,{"enero","febrero","marzo","abril","mayo","junio","julio","agosto","septiembre","octubre","noviembre","diciembre"},0)+1,0))</f>
        <v>#VALUE!</v>
      </c>
      <c r="D204" t="s">
        <v>6</v>
      </c>
      <c r="E204" t="str">
        <f>+IFERROR(VLOOKUP(Fact_Analitica[[#This Row], [Concepto Anterior]],Conceptos_Analítica_contraloría[#All],5,0),"")</f>
        <v/>
      </c>
      <c r="F204" t="str">
        <f>+IFERROR(VLOOKUP(Fact_Analitica[[#This Row], [Concepto Anterior]],Conceptos_Analítica_contraloría[#All],7,0),"")</f>
        <v/>
      </c>
      <c r="G204" t="s">
        <v>172</v>
      </c>
      <c r="H204" t="s">
        <v>172</v>
      </c>
      <c r="I204" t="str">
        <f>+IFERROR(VLOOKUP(D204,Conceptos_Analítica_contraloría[#All],2,0),"")</f>
        <v/>
      </c>
      <c r="J204" s="84" t="str">
        <f>+IFERROR(VLOOKUP(D204,Conceptos_Analítica_contraloría[#All],3,0),"")</f>
        <v/>
      </c>
      <c r="K204" s="105">
        <v>2</v>
      </c>
    </row>
    <row r="205" spans="1:11" ht="18.75" customHeight="1" x14ac:dyDescent="0.35">
      <c r="A205" s="104" t="s">
        <v>67</v>
      </c>
      <c r="B205" s="105">
        <v>2026</v>
      </c>
      <c r="C205" s="100" t="e">
        <f>IF(OR(Fact_Analitica[[#This Row], [Año]]="",Fact_Analitica[[#This Row], [Mes]]=""),"",DATE(A205,MATCH(B205,{"enero","febrero","marzo","abril","mayo","junio","julio","agosto","septiembre","octubre","noviembre","diciembre"},0)+1,0))</f>
        <v>#VALUE!</v>
      </c>
      <c r="D205" t="s">
        <v>6</v>
      </c>
      <c r="E205" t="str">
        <f>+IFERROR(VLOOKUP(Fact_Analitica[[#This Row], [Concepto Anterior]],Conceptos_Analítica_contraloría[#All],5,0),"")</f>
        <v/>
      </c>
      <c r="F205" t="str">
        <f>+IFERROR(VLOOKUP(Fact_Analitica[[#This Row], [Concepto Anterior]],Conceptos_Analítica_contraloría[#All],7,0),"")</f>
        <v/>
      </c>
      <c r="G205" t="s">
        <v>172</v>
      </c>
      <c r="H205" t="s">
        <v>172</v>
      </c>
      <c r="I205" t="str">
        <f>+IFERROR(VLOOKUP(D205,Conceptos_Analítica_contraloría[#All],2,0),"")</f>
        <v/>
      </c>
      <c r="J205" s="84" t="str">
        <f>+IFERROR(VLOOKUP(D205,Conceptos_Analítica_contraloría[#All],3,0),"")</f>
        <v/>
      </c>
      <c r="K205" s="105">
        <v>3</v>
      </c>
    </row>
    <row r="206" spans="1:11" ht="18.75" customHeight="1" x14ac:dyDescent="0.35">
      <c r="A206" s="87">
        <v>2026</v>
      </c>
      <c r="B206" s="87" t="s">
        <v>6</v>
      </c>
      <c r="C206" s="100">
        <f>IF(OR(Fact_Analitica[[#This Row], [Año]]="",Fact_Analitica[[#This Row], [Mes]]=""),"",DATE(A206,MATCH(B206,{"enero","febrero","marzo","abril","mayo","junio","julio","agosto","septiembre","octubre","noviembre","diciembre"},0)+1,0))</f>
        <v>46053</v>
      </c>
      <c r="D206" t="s">
        <v>68</v>
      </c>
      <c r="E206" t="str">
        <f>+IFERROR(VLOOKUP(Fact_Analitica[[#This Row], [Concepto Anterior]],Conceptos_Analítica_contraloría[#All],5,0),"")</f>
        <v>Desatrase de facturación merma franquicias</v>
      </c>
      <c r="F206" t="str">
        <f ca="1">+IFERROR(VLOOKUP(Fact_Analitica[[#This Row], [Concepto Anterior]],Conceptos_Analítica_contraloría[#All],7,0),"")</f>
        <v/>
      </c>
      <c r="G206" t="s">
        <v>172</v>
      </c>
      <c r="H206" t="s">
        <v>172</v>
      </c>
      <c r="I206" t="str">
        <f>+IFERROR(VLOOKUP(D206,Conceptos_Analítica_contraloría[#All],2,0),"")</f>
        <v>Eficiencia</v>
      </c>
      <c r="J206" s="84" t="str">
        <f>+IFERROR(VLOOKUP(D206,Conceptos_Analítica_contraloría[#All],3,0),"")</f>
        <v>Pesos</v>
      </c>
      <c r="K206" s="87">
        <v>1</v>
      </c>
    </row>
    <row r="207" spans="1:11" ht="18.75" customHeight="1" x14ac:dyDescent="0.35">
      <c r="A207" s="87">
        <v>2026</v>
      </c>
      <c r="B207" s="87" t="s">
        <v>6</v>
      </c>
      <c r="C207" s="100">
        <f>IF(OR(Fact_Analitica[[#This Row], [Año]]="",Fact_Analitica[[#This Row], [Mes]]=""),"",DATE(A207,MATCH(B207,{"enero","febrero","marzo","abril","mayo","junio","julio","agosto","septiembre","octubre","noviembre","diciembre"},0)+1,0))</f>
        <v>46053</v>
      </c>
      <c r="D207" t="s">
        <v>64</v>
      </c>
      <c r="E207" t="str">
        <f>+IFERROR(VLOOKUP(Fact_Analitica[[#This Row], [Concepto Anterior]],Conceptos_Analítica_contraloría[#All],5,0),"")</f>
        <v>Puntos a conciliar</v>
      </c>
      <c r="F207" t="str">
        <f ca="1">+IFERROR(VLOOKUP(Fact_Analitica[[#This Row], [Concepto Anterior]],Conceptos_Analítica_contraloría[#All],7,0),"")</f>
        <v/>
      </c>
      <c r="G207" t="s">
        <v>172</v>
      </c>
      <c r="H207" t="s">
        <v>172</v>
      </c>
      <c r="I207" t="str">
        <f>+IFERROR(VLOOKUP(D207,Conceptos_Analítica_contraloría[#All],2,0),"")</f>
        <v>Volumetria</v>
      </c>
      <c r="J207" s="84" t="str">
        <f>+IFERROR(VLOOKUP(D207,Conceptos_Analítica_contraloría[#All],3,0),"")</f>
        <v>Cantidad</v>
      </c>
      <c r="K207" s="87">
        <v>2</v>
      </c>
    </row>
    <row r="208" spans="1:11" ht="18.75" customHeight="1" x14ac:dyDescent="0.35">
      <c r="A208" s="87">
        <v>2026</v>
      </c>
      <c r="B208" s="87" t="s">
        <v>6</v>
      </c>
      <c r="C208" s="100">
        <f>IF(OR(Fact_Analitica[[#This Row], [Año]]="",Fact_Analitica[[#This Row], [Mes]]=""),"",DATE(A208,MATCH(B208,{"enero","febrero","marzo","abril","mayo","junio","julio","agosto","septiembre","octubre","noviembre","diciembre"},0)+1,0))</f>
        <v>46053</v>
      </c>
      <c r="D208" t="s">
        <v>67</v>
      </c>
      <c r="E208" t="str">
        <f>+IFERROR(VLOOKUP(Fact_Analitica[[#This Row], [Concepto Anterior]],Conceptos_Analítica_contraloría[#All],5,0),"")</f>
        <v>Cantidad de unds a conciliar</v>
      </c>
      <c r="F208" t="str">
        <f ca="1">+IFERROR(VLOOKUP(Fact_Analitica[[#This Row], [Concepto Anterior]],Conceptos_Analítica_contraloría[#All],7,0),"")</f>
        <v/>
      </c>
      <c r="G208" t="s">
        <v>172</v>
      </c>
      <c r="H208" t="s">
        <v>172</v>
      </c>
      <c r="I208" t="str">
        <f>+IFERROR(VLOOKUP(D208,Conceptos_Analítica_contraloría[#All],2,0),"")</f>
        <v>Volumetria</v>
      </c>
      <c r="J208" s="84" t="str">
        <f>+IFERROR(VLOOKUP(D208,Conceptos_Analítica_contraloría[#All],3,0),"")</f>
        <v>Cantidad</v>
      </c>
      <c r="K208" s="87">
        <v>3</v>
      </c>
    </row>
    <row r="209" spans="1:11" ht="18.75" customHeight="1" x14ac:dyDescent="0.35">
      <c r="A209" s="87">
        <v>2026</v>
      </c>
      <c r="B209" s="87" t="s">
        <v>6</v>
      </c>
      <c r="C209" s="100">
        <f>IF(OR(Fact_Analitica[[#This Row], [Año]]="",Fact_Analitica[[#This Row], [Mes]]=""),"",DATE(A209,MATCH(B209,{"enero","febrero","marzo","abril","mayo","junio","julio","agosto","septiembre","octubre","noviembre","diciembre"},0)+1,0))</f>
        <v>46053</v>
      </c>
      <c r="D209" t="s">
        <v>205</v>
      </c>
      <c r="E209" t="str">
        <f>+IFERROR(VLOOKUP(Fact_Analitica[[#This Row], [Concepto Anterior]],Conceptos_Analítica_contraloría[#All],5,0),"")</f>
        <v>Cierres de tienda</v>
      </c>
      <c r="F209" t="str">
        <f ca="1">+IFERROR(VLOOKUP(Fact_Analitica[[#This Row], [Concepto Anterior]],Conceptos_Analítica_contraloría[#All],7,0),"")</f>
        <v/>
      </c>
      <c r="G209" t="s">
        <v>172</v>
      </c>
      <c r="H209" t="s">
        <v>172</v>
      </c>
      <c r="I209" t="str">
        <f>+IFERROR(VLOOKUP(D209,Conceptos_Analítica_contraloría[#All],2,0),"")</f>
        <v>Volumetria</v>
      </c>
      <c r="J209" s="84" t="str">
        <f>+IFERROR(VLOOKUP(D209,Conceptos_Analítica_contraloría[#All],3,0),"")</f>
        <v>Cantidad</v>
      </c>
      <c r="K209" s="87">
        <v>30</v>
      </c>
    </row>
    <row r="210" spans="1:11" ht="18.75" customHeight="1" x14ac:dyDescent="0.35">
      <c r="A210" s="87">
        <v>2026</v>
      </c>
      <c r="B210" s="87" t="s">
        <v>6</v>
      </c>
      <c r="C210" s="100">
        <f>IF(OR(Fact_Analitica[[#This Row], [Año]]="",Fact_Analitica[[#This Row], [Mes]]=""),"",DATE(A210,MATCH(B210,{"enero","febrero","marzo","abril","mayo","junio","julio","agosto","septiembre","octubre","noviembre","diciembre"},0)+1,0))</f>
        <v>46053</v>
      </c>
      <c r="D210" t="s">
        <v>205</v>
      </c>
      <c r="E210" t="str">
        <f>+IFERROR(VLOOKUP(Fact_Analitica[[#This Row], [Concepto Anterior]],Conceptos_Analítica_contraloría[#All],5,0),"")</f>
        <v>Cierres de tienda</v>
      </c>
      <c r="F210" t="str">
        <f ca="1">+IFERROR(VLOOKUP(Fact_Analitica[[#This Row], [Concepto Anterior]],Conceptos_Analítica_contraloría[#All],7,0),"")</f>
        <v/>
      </c>
      <c r="G210" t="s">
        <v>172</v>
      </c>
      <c r="H210" t="s">
        <v>172</v>
      </c>
      <c r="I210" t="str">
        <f>+IFERROR(VLOOKUP(D210,Conceptos_Analítica_contraloría[#All],2,0),"")</f>
        <v>Volumetria</v>
      </c>
      <c r="J210" s="84" t="str">
        <f>+IFERROR(VLOOKUP(D210,Conceptos_Analítica_contraloría[#All],3,0),"")</f>
        <v>Cantidad</v>
      </c>
      <c r="K210" s="87">
        <v>1</v>
      </c>
    </row>
    <row r="211" spans="1:11" ht="18.75" customHeight="1" x14ac:dyDescent="0.35">
      <c r="A211" s="87">
        <v>2026</v>
      </c>
      <c r="B211" s="87" t="s">
        <v>6</v>
      </c>
      <c r="C211" s="100">
        <f>IF(OR(Fact_Analitica[[#This Row], [Año]]="",Fact_Analitica[[#This Row], [Mes]]=""),"",DATE(A211,MATCH(B211,{"enero","febrero","marzo","abril","mayo","junio","julio","agosto","septiembre","octubre","noviembre","diciembre"},0)+1,0))</f>
        <v>46053</v>
      </c>
      <c r="D211" t="s">
        <v>205</v>
      </c>
      <c r="E211" t="str">
        <f>+IFERROR(VLOOKUP(Fact_Analitica[[#This Row], [Concepto Anterior]],Conceptos_Analítica_contraloría[#All],5,0),"")</f>
        <v>Cierres de tienda</v>
      </c>
      <c r="F211" t="str">
        <f ca="1">+IFERROR(VLOOKUP(Fact_Analitica[[#This Row], [Concepto Anterior]],Conceptos_Analítica_contraloría[#All],7,0),"")</f>
        <v/>
      </c>
      <c r="G211" t="s">
        <v>172</v>
      </c>
      <c r="H211" t="s">
        <v>172</v>
      </c>
      <c r="I211" t="str">
        <f>+IFERROR(VLOOKUP(D211,Conceptos_Analítica_contraloría[#All],2,0),"")</f>
        <v>Volumetria</v>
      </c>
      <c r="J211" s="84" t="str">
        <f>+IFERROR(VLOOKUP(D211,Conceptos_Analítica_contraloría[#All],3,0),"")</f>
        <v>Cantidad</v>
      </c>
      <c r="K211" s="87">
        <v>32</v>
      </c>
    </row>
    <row r="212" spans="1:11" ht="18.75" customHeight="1" x14ac:dyDescent="0.35">
      <c r="A212" s="87">
        <v>2026</v>
      </c>
      <c r="B212" s="87" t="s">
        <v>6</v>
      </c>
      <c r="C212" s="100">
        <f>IF(OR(Fact_Analitica[[#This Row], [Año]]="",Fact_Analitica[[#This Row], [Mes]]=""),"",DATE(A212,MATCH(B212,{"enero","febrero","marzo","abril","mayo","junio","julio","agosto","septiembre","octubre","noviembre","diciembre"},0)+1,0))</f>
        <v>46053</v>
      </c>
      <c r="D212" t="s">
        <v>208</v>
      </c>
      <c r="E212" t="str">
        <f>+IFERROR(VLOOKUP(Fact_Analitica[[#This Row], [Concepto Anterior]],Conceptos_Analítica_contraloría[#All],5,0),"")</f>
        <v>Automatizaciones</v>
      </c>
      <c r="F212" t="str">
        <f ca="1">+IFERROR(VLOOKUP(Fact_Analitica[[#This Row], [Concepto Anterior]],Conceptos_Analítica_contraloría[#All],7,0),"")</f>
        <v/>
      </c>
      <c r="G212" t="s">
        <v>172</v>
      </c>
      <c r="H212" t="s">
        <v>172</v>
      </c>
      <c r="I212" t="str">
        <f>+IFERROR(VLOOKUP(D212,Conceptos_Analítica_contraloría[#All],2,0),"")</f>
        <v>Volumetria</v>
      </c>
      <c r="J212" s="84" t="str">
        <f>+IFERROR(VLOOKUP(D212,Conceptos_Analítica_contraloría[#All],3,0),"")</f>
        <v>Cantidad</v>
      </c>
      <c r="K212" s="87">
        <v>8</v>
      </c>
    </row>
    <row r="213" spans="1:11" ht="18.75" customHeight="1" x14ac:dyDescent="0.35">
      <c r="A213" s="87">
        <v>2026</v>
      </c>
      <c r="B213" s="87" t="s">
        <v>6</v>
      </c>
      <c r="C213" s="100">
        <f>IF(OR(Fact_Analitica[[#This Row], [Año]]="",Fact_Analitica[[#This Row], [Mes]]=""),"",DATE(A213,MATCH(B213,{"enero","febrero","marzo","abril","mayo","junio","julio","agosto","septiembre","octubre","noviembre","diciembre"},0)+1,0))</f>
        <v>46053</v>
      </c>
      <c r="D213" t="s">
        <v>208</v>
      </c>
      <c r="E213" t="str">
        <f>+IFERROR(VLOOKUP(Fact_Analitica[[#This Row], [Concepto Anterior]],Conceptos_Analítica_contraloría[#All],5,0),"")</f>
        <v>Automatizaciones</v>
      </c>
      <c r="F213" t="str">
        <f ca="1">+IFERROR(VLOOKUP(Fact_Analitica[[#This Row], [Concepto Anterior]],Conceptos_Analítica_contraloría[#All],7,0),"")</f>
        <v/>
      </c>
      <c r="G213" t="s">
        <v>172</v>
      </c>
      <c r="H213" t="s">
        <v>172</v>
      </c>
      <c r="I213" t="str">
        <f>+IFERROR(VLOOKUP(D213,Conceptos_Analítica_contraloría[#All],2,0),"")</f>
        <v>Volumetria</v>
      </c>
      <c r="J213" s="84" t="str">
        <f>+IFERROR(VLOOKUP(D213,Conceptos_Analítica_contraloría[#All],3,0),"")</f>
        <v>Cantidad</v>
      </c>
      <c r="K213" s="87">
        <v>22</v>
      </c>
    </row>
    <row r="214" spans="1:11" ht="18.75" customHeight="1" x14ac:dyDescent="0.35">
      <c r="A214" s="87">
        <v>2026</v>
      </c>
      <c r="B214" s="87" t="s">
        <v>6</v>
      </c>
      <c r="C214" s="100">
        <f>IF(OR(Fact_Analitica[[#This Row], [Año]]="",Fact_Analitica[[#This Row], [Mes]]=""),"",DATE(A214,MATCH(B214,{"enero","febrero","marzo","abril","mayo","junio","julio","agosto","septiembre","octubre","noviembre","diciembre"},0)+1,0))</f>
        <v>46053</v>
      </c>
      <c r="D214" t="s">
        <v>208</v>
      </c>
      <c r="E214" t="str">
        <f>+IFERROR(VLOOKUP(Fact_Analitica[[#This Row], [Concepto Anterior]],Conceptos_Analítica_contraloría[#All],5,0),"")</f>
        <v>Automatizaciones</v>
      </c>
      <c r="F214" t="str">
        <f ca="1">+IFERROR(VLOOKUP(Fact_Analitica[[#This Row], [Concepto Anterior]],Conceptos_Analítica_contraloría[#All],7,0),"")</f>
        <v/>
      </c>
      <c r="G214" t="s">
        <v>172</v>
      </c>
      <c r="H214" t="s">
        <v>172</v>
      </c>
      <c r="I214" t="str">
        <f>+IFERROR(VLOOKUP(D214,Conceptos_Analítica_contraloría[#All],2,0),"")</f>
        <v>Volumetria</v>
      </c>
      <c r="J214" s="84" t="str">
        <f>+IFERROR(VLOOKUP(D214,Conceptos_Analítica_contraloría[#All],3,0),"")</f>
        <v>Cantidad</v>
      </c>
      <c r="K214" s="87">
        <v>7777</v>
      </c>
    </row>
    <row r="215" spans="1:11" ht="18.75" customHeight="1" x14ac:dyDescent="0.35">
      <c r="A215" s="87">
        <v>2026</v>
      </c>
      <c r="B215" s="87" t="s">
        <v>6</v>
      </c>
      <c r="C215" s="100">
        <f>IF(OR(Fact_Analitica[[#This Row], [Año]]="",Fact_Analitica[[#This Row], [Mes]]=""),"",DATE(A215,MATCH(B215,{"enero","febrero","marzo","abril","mayo","junio","julio","agosto","septiembre","octubre","noviembre","diciembre"},0)+1,0))</f>
        <v>46053</v>
      </c>
      <c r="D215" t="s">
        <v>208</v>
      </c>
      <c r="E215" t="str">
        <f>+IFERROR(VLOOKUP(Fact_Analitica[[#This Row], [Concepto Anterior]],Conceptos_Analítica_contraloría[#All],5,0),"")</f>
        <v>Automatizaciones</v>
      </c>
      <c r="F215" t="str">
        <f ca="1">+IFERROR(VLOOKUP(Fact_Analitica[[#This Row], [Concepto Anterior]],Conceptos_Analítica_contraloría[#All],7,0),"")</f>
        <v/>
      </c>
      <c r="G215" t="s">
        <v>172</v>
      </c>
      <c r="H215" t="s">
        <v>172</v>
      </c>
      <c r="I215" t="str">
        <f>+IFERROR(VLOOKUP(D215,Conceptos_Analítica_contraloría[#All],2,0),"")</f>
        <v>Volumetria</v>
      </c>
      <c r="J215" s="84" t="str">
        <f>+IFERROR(VLOOKUP(D215,Conceptos_Analítica_contraloría[#All],3,0),"")</f>
        <v>Cantidad</v>
      </c>
      <c r="K215" s="87">
        <v>45</v>
      </c>
    </row>
    <row r="216" spans="1:11" ht="18.75" customHeight="1" x14ac:dyDescent="0.35">
      <c r="A216" s="87">
        <v>2026</v>
      </c>
      <c r="B216" s="87" t="s">
        <v>6</v>
      </c>
      <c r="C216" s="100">
        <f>IF(OR(Fact_Analitica[[#This Row], [Año]]="",Fact_Analitica[[#This Row], [Mes]]=""),"",DATE(A216,MATCH(B216,{"enero","febrero","marzo","abril","mayo","junio","julio","agosto","septiembre","octubre","noviembre","diciembre"},0)+1,0))</f>
        <v>46053</v>
      </c>
      <c r="D216" t="s">
        <v>203</v>
      </c>
      <c r="E216" t="str">
        <f>+IFERROR(VLOOKUP(Fact_Analitica[[#This Row], [Concepto Anterior]],Conceptos_Analítica_contraloría[#All],5,0),"")</f>
        <v>Ajustes Inventarios Cíclico</v>
      </c>
      <c r="F216" t="str">
        <f ca="1">+IFERROR(VLOOKUP(Fact_Analitica[[#This Row], [Concepto Anterior]],Conceptos_Analítica_contraloría[#All],7,0),"")</f>
        <v/>
      </c>
      <c r="G216" t="s">
        <v>172</v>
      </c>
      <c r="H216" t="s">
        <v>172</v>
      </c>
      <c r="I216" t="str">
        <f>+IFERROR(VLOOKUP(D216,Conceptos_Analítica_contraloría[#All],2,0),"")</f>
        <v>Volumetria</v>
      </c>
      <c r="J216" s="84" t="str">
        <f>+IFERROR(VLOOKUP(D216,Conceptos_Analítica_contraloría[#All],3,0),"")</f>
        <v>Cantidad</v>
      </c>
      <c r="K216" s="87">
        <v>0</v>
      </c>
    </row>
    <row r="217" spans="1:11" ht="18.75" customHeight="1" x14ac:dyDescent="0.35">
      <c r="A217" s="87">
        <v>2026</v>
      </c>
      <c r="B217" s="87" t="s">
        <v>6</v>
      </c>
      <c r="C217" s="100">
        <f>IF(OR(Fact_Analitica[[#This Row], [Año]]="",Fact_Analitica[[#This Row], [Mes]]=""),"",DATE(A217,MATCH(B217,{"enero","febrero","marzo","abril","mayo","junio","julio","agosto","septiembre","octubre","noviembre","diciembre"},0)+1,0))</f>
        <v>46053</v>
      </c>
      <c r="D217" t="s">
        <v>203</v>
      </c>
      <c r="E217" t="str">
        <f>+IFERROR(VLOOKUP(Fact_Analitica[[#This Row], [Concepto Anterior]],Conceptos_Analítica_contraloría[#All],5,0),"")</f>
        <v>Ajustes Inventarios Cíclico</v>
      </c>
      <c r="F217" t="str">
        <f ca="1">+IFERROR(VLOOKUP(Fact_Analitica[[#This Row], [Concepto Anterior]],Conceptos_Analítica_contraloría[#All],7,0),"")</f>
        <v/>
      </c>
      <c r="G217" t="s">
        <v>172</v>
      </c>
      <c r="H217" t="s">
        <v>172</v>
      </c>
      <c r="I217" t="str">
        <f>+IFERROR(VLOOKUP(D217,Conceptos_Analítica_contraloría[#All],2,0),"")</f>
        <v>Volumetria</v>
      </c>
      <c r="J217" s="84" t="str">
        <f>+IFERROR(VLOOKUP(D217,Conceptos_Analítica_contraloría[#All],3,0),"")</f>
        <v>Cantidad</v>
      </c>
      <c r="K217" s="87">
        <v>0</v>
      </c>
    </row>
    <row r="218" spans="1:11" ht="18.75" customHeight="1" x14ac:dyDescent="0.35">
      <c r="A218" s="87">
        <v>2026</v>
      </c>
      <c r="B218" s="87" t="s">
        <v>6</v>
      </c>
      <c r="C218" s="100">
        <f>IF(OR(Fact_Analitica[[#This Row], [Año]]="",Fact_Analitica[[#This Row], [Mes]]=""),"",DATE(A218,MATCH(B218,{"enero","febrero","marzo","abril","mayo","junio","julio","agosto","septiembre","octubre","noviembre","diciembre"},0)+1,0))</f>
        <v>46053</v>
      </c>
      <c r="D218" t="s">
        <v>207</v>
      </c>
      <c r="E218" t="str">
        <f>+IFERROR(VLOOKUP(Fact_Analitica[[#This Row], [Concepto Anterior]],Conceptos_Analítica_contraloría[#All],5,0),"")</f>
        <v>Inventarios Maestra</v>
      </c>
      <c r="F218" t="str">
        <f ca="1">+IFERROR(VLOOKUP(Fact_Analitica[[#This Row], [Concepto Anterior]],Conceptos_Analítica_contraloría[#All],7,0),"")</f>
        <v/>
      </c>
      <c r="G218" t="s">
        <v>172</v>
      </c>
      <c r="H218" t="s">
        <v>172</v>
      </c>
      <c r="I218" t="str">
        <f>+IFERROR(VLOOKUP(D218,Conceptos_Analítica_contraloría[#All],2,0),"")</f>
        <v>Volumetria</v>
      </c>
      <c r="J218" s="84" t="str">
        <f>+IFERROR(VLOOKUP(D218,Conceptos_Analítica_contraloría[#All],3,0),"")</f>
        <v>Cantidad</v>
      </c>
      <c r="K218" s="87">
        <v>33</v>
      </c>
    </row>
    <row r="219" spans="1:11" ht="18.75" customHeight="1" x14ac:dyDescent="0.35">
      <c r="A219" s="87">
        <v>2026</v>
      </c>
      <c r="B219" s="87" t="s">
        <v>6</v>
      </c>
      <c r="C219" s="100">
        <f>IF(OR(Fact_Analitica[[#This Row], [Año]]="",Fact_Analitica[[#This Row], [Mes]]=""),"",DATE(A219,MATCH(B219,{"enero","febrero","marzo","abril","mayo","junio","julio","agosto","septiembre","octubre","noviembre","diciembre"},0)+1,0))</f>
        <v>46053</v>
      </c>
      <c r="D219" t="s">
        <v>207</v>
      </c>
      <c r="E219" t="str">
        <f>+IFERROR(VLOOKUP(Fact_Analitica[[#This Row], [Concepto Anterior]],Conceptos_Analítica_contraloría[#All],5,0),"")</f>
        <v>Inventarios Maestra</v>
      </c>
      <c r="F219" t="str">
        <f ca="1">+IFERROR(VLOOKUP(Fact_Analitica[[#This Row], [Concepto Anterior]],Conceptos_Analítica_contraloría[#All],7,0),"")</f>
        <v/>
      </c>
      <c r="G219" t="s">
        <v>172</v>
      </c>
      <c r="H219" t="s">
        <v>172</v>
      </c>
      <c r="I219" t="str">
        <f>+IFERROR(VLOOKUP(D219,Conceptos_Analítica_contraloría[#All],2,0),"")</f>
        <v>Volumetria</v>
      </c>
      <c r="J219" s="84" t="str">
        <f>+IFERROR(VLOOKUP(D219,Conceptos_Analítica_contraloría[#All],3,0),"")</f>
        <v>Cantidad</v>
      </c>
      <c r="K219" s="87">
        <v>12</v>
      </c>
    </row>
    <row r="220" spans="1:11" ht="18.75" customHeight="1" x14ac:dyDescent="0.35">
      <c r="A220" s="87">
        <v>2026</v>
      </c>
      <c r="B220" s="87" t="s">
        <v>6</v>
      </c>
      <c r="C220" s="100">
        <f>IF(OR(Fact_Analitica[[#This Row], [Año]]="",Fact_Analitica[[#This Row], [Mes]]=""),"",DATE(A220,MATCH(B220,{"enero","febrero","marzo","abril","mayo","junio","julio","agosto","septiembre","octubre","noviembre","diciembre"},0)+1,0))</f>
        <v>46053</v>
      </c>
      <c r="D220" t="s">
        <v>207</v>
      </c>
      <c r="E220" t="str">
        <f>+IFERROR(VLOOKUP(Fact_Analitica[[#This Row], [Concepto Anterior]],Conceptos_Analítica_contraloría[#All],5,0),"")</f>
        <v>Inventarios Maestra</v>
      </c>
      <c r="F220" t="str">
        <f ca="1">+IFERROR(VLOOKUP(Fact_Analitica[[#This Row], [Concepto Anterior]],Conceptos_Analítica_contraloría[#All],7,0),"")</f>
        <v/>
      </c>
      <c r="G220" t="s">
        <v>172</v>
      </c>
      <c r="H220" t="s">
        <v>172</v>
      </c>
      <c r="I220" t="str">
        <f>+IFERROR(VLOOKUP(D220,Conceptos_Analítica_contraloría[#All],2,0),"")</f>
        <v>Volumetria</v>
      </c>
      <c r="J220" s="84" t="str">
        <f>+IFERROR(VLOOKUP(D220,Conceptos_Analítica_contraloría[#All],3,0),"")</f>
        <v>Cantidad</v>
      </c>
      <c r="K220" s="87">
        <v>77</v>
      </c>
    </row>
    <row r="221" spans="1:11" ht="18.75" customHeight="1" x14ac:dyDescent="0.35">
      <c r="A221" s="87">
        <v>2026</v>
      </c>
      <c r="B221" s="87" t="s">
        <v>6</v>
      </c>
      <c r="C221" s="100">
        <f>IF(OR(Fact_Analitica[[#This Row], [Año]]="",Fact_Analitica[[#This Row], [Mes]]=""),"",DATE(A221,MATCH(B221,{"enero","febrero","marzo","abril","mayo","junio","julio","agosto","septiembre","octubre","noviembre","diciembre"},0)+1,0))</f>
        <v>46053</v>
      </c>
      <c r="D221" t="s">
        <v>68</v>
      </c>
      <c r="E221" t="str">
        <f>+IFERROR(VLOOKUP(Fact_Analitica[[#This Row], [Concepto Anterior]],Conceptos_Analítica_contraloría[#All],5,0),"")</f>
        <v>Desatrase de facturación merma franquicias</v>
      </c>
      <c r="F221" t="str">
        <f ca="1">+IFERROR(VLOOKUP(Fact_Analitica[[#This Row], [Concepto Anterior]],Conceptos_Analítica_contraloría[#All],7,0),"")</f>
        <v/>
      </c>
      <c r="G221" t="s">
        <v>172</v>
      </c>
      <c r="H221" t="s">
        <v>172</v>
      </c>
      <c r="I221" t="str">
        <f>+IFERROR(VLOOKUP(D221,Conceptos_Analítica_contraloría[#All],2,0),"")</f>
        <v>Eficiencia</v>
      </c>
      <c r="J221" s="84" t="str">
        <f>+IFERROR(VLOOKUP(D221,Conceptos_Analítica_contraloría[#All],3,0),"")</f>
        <v>Pesos</v>
      </c>
      <c r="K221" s="87">
        <v>11</v>
      </c>
    </row>
    <row r="222" spans="1:11" ht="18.75" customHeight="1" x14ac:dyDescent="0.35">
      <c r="A222" s="87">
        <v>2026</v>
      </c>
      <c r="B222" s="87" t="s">
        <v>6</v>
      </c>
      <c r="C222" s="100">
        <f>IF(OR(Fact_Analitica[[#This Row], [Año]]="",Fact_Analitica[[#This Row], [Mes]]=""),"",DATE(A222,MATCH(B222,{"enero","febrero","marzo","abril","mayo","junio","julio","agosto","septiembre","octubre","noviembre","diciembre"},0)+1,0))</f>
        <v>46053</v>
      </c>
      <c r="D222" t="s">
        <v>68</v>
      </c>
      <c r="E222" t="str">
        <f>+IFERROR(VLOOKUP(Fact_Analitica[[#This Row], [Concepto Anterior]],Conceptos_Analítica_contraloría[#All],5,0),"")</f>
        <v>Desatrase de facturación merma franquicias</v>
      </c>
      <c r="F222" t="str">
        <f ca="1">+IFERROR(VLOOKUP(Fact_Analitica[[#This Row], [Concepto Anterior]],Conceptos_Analítica_contraloría[#All],7,0),"")</f>
        <v/>
      </c>
      <c r="G222" t="s">
        <v>172</v>
      </c>
      <c r="H222" t="s">
        <v>172</v>
      </c>
      <c r="I222" t="str">
        <f>+IFERROR(VLOOKUP(D222,Conceptos_Analítica_contraloría[#All],2,0),"")</f>
        <v>Eficiencia</v>
      </c>
      <c r="J222" s="84" t="str">
        <f>+IFERROR(VLOOKUP(D222,Conceptos_Analítica_contraloría[#All],3,0),"")</f>
        <v>Pesos</v>
      </c>
      <c r="K222" s="87">
        <v>0</v>
      </c>
    </row>
    <row r="223" spans="1:11" ht="18.75" customHeight="1" x14ac:dyDescent="0.35">
      <c r="A223" s="87">
        <v>2026</v>
      </c>
      <c r="B223" s="87" t="s">
        <v>6</v>
      </c>
      <c r="C223" s="100">
        <f>IF(OR(Fact_Analitica[[#This Row], [Año]]="",Fact_Analitica[[#This Row], [Mes]]=""),"",DATE(A223,MATCH(B223,{"enero","febrero","marzo","abril","mayo","junio","julio","agosto","septiembre","octubre","noviembre","diciembre"},0)+1,0))</f>
        <v>46053</v>
      </c>
      <c r="D223" t="s">
        <v>205</v>
      </c>
      <c r="E223" t="str">
        <f>+IFERROR(VLOOKUP(Fact_Analitica[[#This Row], [Concepto Anterior]],Conceptos_Analítica_contraloría[#All],5,0),"")</f>
        <v>Cierres de tienda</v>
      </c>
      <c r="F223" t="str">
        <f ca="1">+IFERROR(VLOOKUP(Fact_Analitica[[#This Row], [Concepto Anterior]],Conceptos_Analítica_contraloría[#All],7,0),"")</f>
        <v/>
      </c>
      <c r="G223" t="s">
        <v>172</v>
      </c>
      <c r="H223" t="s">
        <v>172</v>
      </c>
      <c r="I223" t="str">
        <f>+IFERROR(VLOOKUP(D223,Conceptos_Analítica_contraloría[#All],2,0),"")</f>
        <v>Volumetria</v>
      </c>
      <c r="J223" s="84" t="str">
        <f>+IFERROR(VLOOKUP(D223,Conceptos_Analítica_contraloría[#All],3,0),"")</f>
        <v>Cantidad</v>
      </c>
      <c r="K223" s="87">
        <v>80</v>
      </c>
    </row>
    <row r="224" spans="1:11" ht="18.75" customHeight="1" x14ac:dyDescent="0.35">
      <c r="A224" s="87">
        <v>2026</v>
      </c>
      <c r="B224" s="87" t="s">
        <v>6</v>
      </c>
      <c r="C224" s="100">
        <f>IF(OR(Fact_Analitica[[#This Row], [Año]]="",Fact_Analitica[[#This Row], [Mes]]=""),"",DATE(A224,MATCH(B224,{"enero","febrero","marzo","abril","mayo","junio","julio","agosto","septiembre","octubre","noviembre","diciembre"},0)+1,0))</f>
        <v>46053</v>
      </c>
      <c r="D224" t="s">
        <v>204</v>
      </c>
      <c r="E224" t="str">
        <f>+IFERROR(VLOOKUP(Fact_Analitica[[#This Row], [Concepto Anterior]],Conceptos_Analítica_contraloría[#All],5,0),"")</f>
        <v>Presentación Resultados Inventarios a Dirección Comercial</v>
      </c>
      <c r="F224" t="str">
        <f ca="1">+IFERROR(VLOOKUP(Fact_Analitica[[#This Row], [Concepto Anterior]],Conceptos_Analítica_contraloría[#All],7,0),"")</f>
        <v/>
      </c>
      <c r="G224" t="s">
        <v>172</v>
      </c>
      <c r="H224" t="s">
        <v>172</v>
      </c>
      <c r="I224" t="str">
        <f>+IFERROR(VLOOKUP(D224,Conceptos_Analítica_contraloría[#All],2,0),"")</f>
        <v>Volumetria</v>
      </c>
      <c r="J224" s="84" t="str">
        <f>+IFERROR(VLOOKUP(D224,Conceptos_Analítica_contraloría[#All],3,0),"")</f>
        <v>Cantidad</v>
      </c>
      <c r="K224" s="87">
        <v>40</v>
      </c>
    </row>
    <row r="225" spans="1:11" ht="18.75" customHeight="1" x14ac:dyDescent="0.35">
      <c r="A225" s="87">
        <v>2026</v>
      </c>
      <c r="B225" s="87" t="s">
        <v>6</v>
      </c>
      <c r="C225" s="100">
        <f>IF(OR(Fact_Analitica[[#This Row], [Año]]="",Fact_Analitica[[#This Row], [Mes]]=""),"",DATE(A225,MATCH(B225,{"enero","febrero","marzo","abril","mayo","junio","julio","agosto","septiembre","octubre","noviembre","diciembre"},0)+1,0))</f>
        <v>46053</v>
      </c>
      <c r="D225" t="s">
        <v>126</v>
      </c>
      <c r="E225" t="str">
        <f>+IFERROR(VLOOKUP(Fact_Analitica[[#This Row], [Concepto Anterior]],Conceptos_Analítica_contraloría[#All],5,0),"")</f>
        <v>Recuperación de la merma franquicias y grandes superficies</v>
      </c>
      <c r="F225" t="str">
        <f ca="1">+IFERROR(VLOOKUP(Fact_Analitica[[#This Row], [Concepto Anterior]],Conceptos_Analítica_contraloría[#All],7,0),"")</f>
        <v/>
      </c>
      <c r="G225" t="s">
        <v>172</v>
      </c>
      <c r="H225" t="s">
        <v>172</v>
      </c>
      <c r="I225" t="str">
        <f>+IFERROR(VLOOKUP(D225,Conceptos_Analítica_contraloría[#All],2,0),"")</f>
        <v>Eficiencia</v>
      </c>
      <c r="J225" s="84" t="str">
        <f>+IFERROR(VLOOKUP(D225,Conceptos_Analítica_contraloría[#All],3,0),"")</f>
        <v>Pesos</v>
      </c>
      <c r="K225" s="87">
        <v>2000</v>
      </c>
    </row>
    <row r="226" spans="1:11" ht="18.75" customHeight="1" x14ac:dyDescent="0.35">
      <c r="A226" s="87">
        <v>2026</v>
      </c>
      <c r="B226" s="87" t="s">
        <v>6</v>
      </c>
      <c r="C226" s="100">
        <f>IF(OR(Fact_Analitica[[#This Row], [Año]]="",Fact_Analitica[[#This Row], [Mes]]=""),"",DATE(A226,MATCH(B226,{"enero","febrero","marzo","abril","mayo","junio","julio","agosto","septiembre","octubre","noviembre","diciembre"},0)+1,0))</f>
        <v>46053</v>
      </c>
      <c r="D226" t="s">
        <v>126</v>
      </c>
      <c r="E226" t="str">
        <f>+IFERROR(VLOOKUP(Fact_Analitica[[#This Row], [Concepto Anterior]],Conceptos_Analítica_contraloría[#All],5,0),"")</f>
        <v>Recuperación de la merma franquicias y grandes superficies</v>
      </c>
      <c r="F226" t="str">
        <f ca="1">+IFERROR(VLOOKUP(Fact_Analitica[[#This Row], [Concepto Anterior]],Conceptos_Analítica_contraloría[#All],7,0),"")</f>
        <v/>
      </c>
      <c r="G226" t="s">
        <v>172</v>
      </c>
      <c r="H226" t="s">
        <v>172</v>
      </c>
      <c r="I226" t="str">
        <f>+IFERROR(VLOOKUP(D226,Conceptos_Analítica_contraloría[#All],2,0),"")</f>
        <v>Eficiencia</v>
      </c>
      <c r="J226" s="84" t="str">
        <f>+IFERROR(VLOOKUP(D226,Conceptos_Analítica_contraloría[#All],3,0),"")</f>
        <v>Pesos</v>
      </c>
      <c r="K226" s="87">
        <v>10000</v>
      </c>
    </row>
    <row r="227" spans="1:11" ht="18.75" customHeight="1" x14ac:dyDescent="0.35">
      <c r="C227" s="100" t="str">
        <f>IF(OR(Fact_Analitica[[#This Row], [Año]]="",Fact_Analitica[[#This Row], [Mes]]=""),"",DATE(A227,MATCH(B227,{"enero","febrero","marzo","abril","mayo","junio","julio","agosto","septiembre","octubre","noviembre","diciembre"},0)+1,0))</f>
        <v/>
      </c>
      <c r="E227" t="str">
        <f>+IFERROR(VLOOKUP(Fact_Analitica[[#This Row], [Concepto Anterior]],Conceptos_Analítica_contraloría[#All],5,0),"")</f>
        <v/>
      </c>
      <c r="F227" t="str">
        <f>+IFERROR(VLOOKUP(Fact_Analitica[[#This Row], [Concepto Anterior]],Conceptos_Analítica_contraloría[#All],7,0),"")</f>
        <v/>
      </c>
      <c r="I227" t="str">
        <f>+IFERROR(VLOOKUP(D227,Conceptos_Analítica_contraloría[#All],2,0),"")</f>
        <v/>
      </c>
      <c r="J227" s="84" t="str">
        <f>+IFERROR(VLOOKUP(D227,Conceptos_Analítica_contraloría[#All],3,0),"")</f>
        <v/>
      </c>
    </row>
    <row r="228" spans="1:11" ht="18.75" customHeight="1" x14ac:dyDescent="0.35">
      <c r="C228" s="100" t="str">
        <f>IF(OR(Fact_Analitica[[#This Row], [Año]]="",Fact_Analitica[[#This Row], [Mes]]=""),"",DATE(A228,MATCH(B228,{"enero","febrero","marzo","abril","mayo","junio","julio","agosto","septiembre","octubre","noviembre","diciembre"},0)+1,0))</f>
        <v/>
      </c>
      <c r="E228" t="str">
        <f>+IFERROR(VLOOKUP(Fact_Analitica[[#This Row], [Concepto Anterior]],Conceptos_Analítica_contraloría[#All],5,0),"")</f>
        <v/>
      </c>
      <c r="F228" t="str">
        <f>+IFERROR(VLOOKUP(Fact_Analitica[[#This Row], [Concepto Anterior]],Conceptos_Analítica_contraloría[#All],7,0),"")</f>
        <v/>
      </c>
      <c r="I228" t="str">
        <f>+IFERROR(VLOOKUP(D228,Conceptos_Analítica_contraloría[#All],2,0),"")</f>
        <v/>
      </c>
      <c r="J228" s="84" t="str">
        <f>+IFERROR(VLOOKUP(D228,Conceptos_Analítica_contraloría[#All],3,0),"")</f>
        <v/>
      </c>
    </row>
    <row r="229" spans="1:11" ht="18.75" customHeight="1" x14ac:dyDescent="0.35">
      <c r="C229" s="100" t="str">
        <f>IF(OR(Fact_Analitica[[#This Row], [Año]]="",Fact_Analitica[[#This Row], [Mes]]=""),"",DATE(A229,MATCH(B229,{"enero","febrero","marzo","abril","mayo","junio","julio","agosto","septiembre","octubre","noviembre","diciembre"},0)+1,0))</f>
        <v/>
      </c>
      <c r="E229" t="str">
        <f>+IFERROR(VLOOKUP(Fact_Analitica[[#This Row], [Concepto Anterior]],Conceptos_Analítica_contraloría[#All],5,0),"")</f>
        <v/>
      </c>
      <c r="F229" t="str">
        <f>+IFERROR(VLOOKUP(Fact_Analitica[[#This Row], [Concepto Anterior]],Conceptos_Analítica_contraloría[#All],7,0),"")</f>
        <v/>
      </c>
      <c r="I229" t="str">
        <f>+IFERROR(VLOOKUP(D229,Conceptos_Analítica_contraloría[#All],2,0),"")</f>
        <v/>
      </c>
      <c r="J229" s="84" t="str">
        <f>+IFERROR(VLOOKUP(D229,Conceptos_Analítica_contraloría[#All],3,0),"")</f>
        <v/>
      </c>
    </row>
    <row r="230" spans="1:11" ht="18.75" customHeight="1" x14ac:dyDescent="0.35">
      <c r="C230" s="100" t="str">
        <f>IF(OR(Fact_Analitica[[#This Row], [Año]]="",Fact_Analitica[[#This Row], [Mes]]=""),"",DATE(A230,MATCH(B230,{"enero","febrero","marzo","abril","mayo","junio","julio","agosto","septiembre","octubre","noviembre","diciembre"},0)+1,0))</f>
        <v/>
      </c>
      <c r="E230" t="str">
        <f>+IFERROR(VLOOKUP(Fact_Analitica[[#This Row], [Concepto Anterior]],Conceptos_Analítica_contraloría[#All],5,0),"")</f>
        <v/>
      </c>
      <c r="F230" t="str">
        <f>+IFERROR(VLOOKUP(Fact_Analitica[[#This Row], [Concepto Anterior]],Conceptos_Analítica_contraloría[#All],7,0),"")</f>
        <v/>
      </c>
      <c r="I230" t="str">
        <f>+IFERROR(VLOOKUP(D230,Conceptos_Analítica_contraloría[#All],2,0),"")</f>
        <v/>
      </c>
      <c r="J230" s="84" t="str">
        <f>+IFERROR(VLOOKUP(D230,Conceptos_Analítica_contraloría[#All],3,0),"")</f>
        <v/>
      </c>
    </row>
    <row r="231" spans="1:11" ht="18.75" customHeight="1" x14ac:dyDescent="0.35">
      <c r="C231" s="100" t="str">
        <f>IF(OR(Fact_Analitica[[#This Row], [Año]]="",Fact_Analitica[[#This Row], [Mes]]=""),"",DATE(A231,MATCH(B231,{"enero","febrero","marzo","abril","mayo","junio","julio","agosto","septiembre","octubre","noviembre","diciembre"},0)+1,0))</f>
        <v/>
      </c>
      <c r="E231" t="str">
        <f>+IFERROR(VLOOKUP(Fact_Analitica[[#This Row], [Concepto Anterior]],Conceptos_Analítica_contraloría[#All],5,0),"")</f>
        <v/>
      </c>
      <c r="F231" t="str">
        <f>+IFERROR(VLOOKUP(Fact_Analitica[[#This Row], [Concepto Anterior]],Conceptos_Analítica_contraloría[#All],7,0),"")</f>
        <v/>
      </c>
      <c r="I231" t="str">
        <f>+IFERROR(VLOOKUP(D231,Conceptos_Analítica_contraloría[#All],2,0),"")</f>
        <v/>
      </c>
      <c r="J231" s="84" t="str">
        <f>+IFERROR(VLOOKUP(D231,Conceptos_Analítica_contraloría[#All],3,0),"")</f>
        <v/>
      </c>
    </row>
    <row r="232" spans="1:11" ht="18.75" customHeight="1" x14ac:dyDescent="0.35">
      <c r="C232" s="100" t="str">
        <f>IF(OR(Fact_Analitica[[#This Row], [Año]]="",Fact_Analitica[[#This Row], [Mes]]=""),"",DATE(A232,MATCH(B232,{"enero","febrero","marzo","abril","mayo","junio","julio","agosto","septiembre","octubre","noviembre","diciembre"},0)+1,0))</f>
        <v/>
      </c>
      <c r="E232" t="str">
        <f>+IFERROR(VLOOKUP(Fact_Analitica[[#This Row], [Concepto Anterior]],Conceptos_Analítica_contraloría[#All],5,0),"")</f>
        <v/>
      </c>
      <c r="F232" t="str">
        <f>+IFERROR(VLOOKUP(Fact_Analitica[[#This Row], [Concepto Anterior]],Conceptos_Analítica_contraloría[#All],7,0),"")</f>
        <v/>
      </c>
      <c r="I232" t="str">
        <f>+IFERROR(VLOOKUP(D232,Conceptos_Analítica_contraloría[#All],2,0),"")</f>
        <v/>
      </c>
      <c r="J232" s="84" t="str">
        <f>+IFERROR(VLOOKUP(D232,Conceptos_Analítica_contraloría[#All],3,0),"")</f>
        <v/>
      </c>
    </row>
    <row r="233" spans="1:11" ht="18.75" customHeight="1" x14ac:dyDescent="0.35">
      <c r="C233" s="100" t="str">
        <f>IF(OR(Fact_Analitica[[#This Row], [Año]]="",Fact_Analitica[[#This Row], [Mes]]=""),"",DATE(A233,MATCH(B233,{"enero","febrero","marzo","abril","mayo","junio","julio","agosto","septiembre","octubre","noviembre","diciembre"},0)+1,0))</f>
        <v/>
      </c>
      <c r="E233" t="str">
        <f>+IFERROR(VLOOKUP(Fact_Analitica[[#This Row], [Concepto Anterior]],Conceptos_Analítica_contraloría[#All],5,0),"")</f>
        <v/>
      </c>
      <c r="F233" t="str">
        <f>+IFERROR(VLOOKUP(Fact_Analitica[[#This Row], [Concepto Anterior]],Conceptos_Analítica_contraloría[#All],7,0),"")</f>
        <v/>
      </c>
      <c r="I233" t="str">
        <f>+IFERROR(VLOOKUP(D233,Conceptos_Analítica_contraloría[#All],2,0),"")</f>
        <v/>
      </c>
      <c r="J233" s="84" t="str">
        <f>+IFERROR(VLOOKUP(D233,Conceptos_Analítica_contraloría[#All],3,0),"")</f>
        <v/>
      </c>
    </row>
    <row r="234" spans="1:11" ht="18.75" customHeight="1" x14ac:dyDescent="0.35">
      <c r="C234" s="100" t="str">
        <f>IF(OR(Fact_Analitica[[#This Row], [Año]]="",Fact_Analitica[[#This Row], [Mes]]=""),"",DATE(A234,MATCH(B234,{"enero","febrero","marzo","abril","mayo","junio","julio","agosto","septiembre","octubre","noviembre","diciembre"},0)+1,0))</f>
        <v/>
      </c>
      <c r="E234" t="str">
        <f>+IFERROR(VLOOKUP(Fact_Analitica[[#This Row], [Concepto Anterior]],Conceptos_Analítica_contraloría[#All],5,0),"")</f>
        <v/>
      </c>
      <c r="F234" t="str">
        <f>+IFERROR(VLOOKUP(Fact_Analitica[[#This Row], [Concepto Anterior]],Conceptos_Analítica_contraloría[#All],7,0),"")</f>
        <v/>
      </c>
      <c r="I234" t="str">
        <f>+IFERROR(VLOOKUP(D234,Conceptos_Analítica_contraloría[#All],2,0),"")</f>
        <v/>
      </c>
      <c r="J234" s="84" t="str">
        <f>+IFERROR(VLOOKUP(D234,Conceptos_Analítica_contraloría[#All],3,0),"")</f>
        <v/>
      </c>
    </row>
    <row r="235" spans="1:11" ht="18.75" customHeight="1" x14ac:dyDescent="0.35">
      <c r="C235" s="100" t="str">
        <f>IF(OR(Fact_Analitica[[#This Row], [Año]]="",Fact_Analitica[[#This Row], [Mes]]=""),"",DATE(A235,MATCH(B235,{"enero","febrero","marzo","abril","mayo","junio","julio","agosto","septiembre","octubre","noviembre","diciembre"},0)+1,0))</f>
        <v/>
      </c>
      <c r="E235" t="str">
        <f>+IFERROR(VLOOKUP(Fact_Analitica[[#This Row], [Concepto Anterior]],Conceptos_Analítica_contraloría[#All],5,0),"")</f>
        <v/>
      </c>
      <c r="F235" t="str">
        <f>+IFERROR(VLOOKUP(Fact_Analitica[[#This Row], [Concepto Anterior]],Conceptos_Analítica_contraloría[#All],7,0),"")</f>
        <v/>
      </c>
      <c r="I235" t="str">
        <f>+IFERROR(VLOOKUP(D235,Conceptos_Analítica_contraloría[#All],2,0),"")</f>
        <v/>
      </c>
      <c r="J235" s="84" t="str">
        <f>+IFERROR(VLOOKUP(D235,Conceptos_Analítica_contraloría[#All],3,0),"")</f>
        <v/>
      </c>
    </row>
    <row r="236" spans="1:11" ht="18.75" customHeight="1" x14ac:dyDescent="0.35">
      <c r="C236" s="100" t="str">
        <f>IF(OR(Fact_Analitica[[#This Row], [Año]]="",Fact_Analitica[[#This Row], [Mes]]=""),"",DATE(A236,MATCH(B236,{"enero","febrero","marzo","abril","mayo","junio","julio","agosto","septiembre","octubre","noviembre","diciembre"},0)+1,0))</f>
        <v/>
      </c>
      <c r="E236" t="str">
        <f>+IFERROR(VLOOKUP(Fact_Analitica[[#This Row], [Concepto Anterior]],Conceptos_Analítica_contraloría[#All],5,0),"")</f>
        <v/>
      </c>
      <c r="F236" t="str">
        <f>+IFERROR(VLOOKUP(Fact_Analitica[[#This Row], [Concepto Anterior]],Conceptos_Analítica_contraloría[#All],7,0),"")</f>
        <v/>
      </c>
      <c r="I236" t="str">
        <f>+IFERROR(VLOOKUP(D236,Conceptos_Analítica_contraloría[#All],2,0),"")</f>
        <v/>
      </c>
      <c r="J236" s="84" t="str">
        <f>+IFERROR(VLOOKUP(D236,Conceptos_Analítica_contraloría[#All],3,0),"")</f>
        <v/>
      </c>
    </row>
    <row r="237" spans="1:11" ht="18.75" customHeight="1" x14ac:dyDescent="0.35">
      <c r="C237" s="100" t="str">
        <f>IF(OR(Fact_Analitica[[#This Row], [Año]]="",Fact_Analitica[[#This Row], [Mes]]=""),"",DATE(A237,MATCH(B237,{"enero","febrero","marzo","abril","mayo","junio","julio","agosto","septiembre","octubre","noviembre","diciembre"},0)+1,0))</f>
        <v/>
      </c>
      <c r="E237" t="str">
        <f>+IFERROR(VLOOKUP(Fact_Analitica[[#This Row], [Concepto Anterior]],Conceptos_Analítica_contraloría[#All],5,0),"")</f>
        <v/>
      </c>
      <c r="F237" t="str">
        <f>+IFERROR(VLOOKUP(Fact_Analitica[[#This Row], [Concepto Anterior]],Conceptos_Analítica_contraloría[#All],7,0),"")</f>
        <v/>
      </c>
      <c r="I237" t="str">
        <f>+IFERROR(VLOOKUP(D237,Conceptos_Analítica_contraloría[#All],2,0),"")</f>
        <v/>
      </c>
      <c r="J237" s="84" t="str">
        <f>+IFERROR(VLOOKUP(D237,Conceptos_Analítica_contraloría[#All],3,0),"")</f>
        <v/>
      </c>
    </row>
    <row r="238" spans="1:11" ht="18.75" customHeight="1" x14ac:dyDescent="0.35">
      <c r="C238" s="100" t="str">
        <f>IF(OR(Fact_Analitica[[#This Row], [Año]]="",Fact_Analitica[[#This Row], [Mes]]=""),"",DATE(A238,MATCH(B238,{"enero","febrero","marzo","abril","mayo","junio","julio","agosto","septiembre","octubre","noviembre","diciembre"},0)+1,0))</f>
        <v/>
      </c>
      <c r="E238" t="str">
        <f>+IFERROR(VLOOKUP(Fact_Analitica[[#This Row], [Concepto Anterior]],Conceptos_Analítica_contraloría[#All],5,0),"")</f>
        <v/>
      </c>
      <c r="F238" t="str">
        <f>+IFERROR(VLOOKUP(Fact_Analitica[[#This Row], [Concepto Anterior]],Conceptos_Analítica_contraloría[#All],7,0),"")</f>
        <v/>
      </c>
      <c r="I238" t="str">
        <f>+IFERROR(VLOOKUP(D238,Conceptos_Analítica_contraloría[#All],2,0),"")</f>
        <v/>
      </c>
      <c r="J238" s="84" t="str">
        <f>+IFERROR(VLOOKUP(D238,Conceptos_Analítica_contraloría[#All],3,0),"")</f>
        <v/>
      </c>
    </row>
    <row r="239" spans="1:11" ht="18.75" customHeight="1" x14ac:dyDescent="0.35">
      <c r="C239" s="100" t="str">
        <f>IF(OR(Fact_Analitica[[#This Row], [Año]]="",Fact_Analitica[[#This Row], [Mes]]=""),"",DATE(A239,MATCH(B239,{"enero","febrero","marzo","abril","mayo","junio","julio","agosto","septiembre","octubre","noviembre","diciembre"},0)+1,0))</f>
        <v/>
      </c>
      <c r="E239" t="str">
        <f>+IFERROR(VLOOKUP(Fact_Analitica[[#This Row], [Concepto Anterior]],Conceptos_Analítica_contraloría[#All],5,0),"")</f>
        <v/>
      </c>
      <c r="F239" t="str">
        <f>+IFERROR(VLOOKUP(Fact_Analitica[[#This Row], [Concepto Anterior]],Conceptos_Analítica_contraloría[#All],7,0),"")</f>
        <v/>
      </c>
      <c r="I239" t="str">
        <f>+IFERROR(VLOOKUP(D239,Conceptos_Analítica_contraloría[#All],2,0),"")</f>
        <v/>
      </c>
      <c r="J239" s="84" t="str">
        <f>+IFERROR(VLOOKUP(D239,Conceptos_Analítica_contraloría[#All],3,0),"")</f>
        <v/>
      </c>
    </row>
    <row r="240" spans="1:11" ht="18.75" customHeight="1" x14ac:dyDescent="0.35">
      <c r="C240" s="100" t="str">
        <f>IF(OR(Fact_Analitica[[#This Row], [Año]]="",Fact_Analitica[[#This Row], [Mes]]=""),"",DATE(A240,MATCH(B240,{"enero","febrero","marzo","abril","mayo","junio","julio","agosto","septiembre","octubre","noviembre","diciembre"},0)+1,0))</f>
        <v/>
      </c>
      <c r="E240" t="str">
        <f>+IFERROR(VLOOKUP(Fact_Analitica[[#This Row], [Concepto Anterior]],Conceptos_Analítica_contraloría[#All],5,0),"")</f>
        <v/>
      </c>
      <c r="F240" t="str">
        <f>+IFERROR(VLOOKUP(Fact_Analitica[[#This Row], [Concepto Anterior]],Conceptos_Analítica_contraloría[#All],7,0),"")</f>
        <v/>
      </c>
      <c r="I240" t="str">
        <f>+IFERROR(VLOOKUP(D240,Conceptos_Analítica_contraloría[#All],2,0),"")</f>
        <v/>
      </c>
      <c r="J240" s="84" t="str">
        <f>+IFERROR(VLOOKUP(D240,Conceptos_Analítica_contraloría[#All],3,0),"")</f>
        <v/>
      </c>
    </row>
    <row r="241" spans="3:10" ht="18.75" customHeight="1" x14ac:dyDescent="0.35">
      <c r="C241" s="100" t="str">
        <f>IF(OR(Fact_Analitica[[#This Row], [Año]]="",Fact_Analitica[[#This Row], [Mes]]=""),"",DATE(A241,MATCH(B241,{"enero","febrero","marzo","abril","mayo","junio","julio","agosto","septiembre","octubre","noviembre","diciembre"},0)+1,0))</f>
        <v/>
      </c>
      <c r="E241" t="str">
        <f>+IFERROR(VLOOKUP(Fact_Analitica[[#This Row], [Concepto Anterior]],Conceptos_Analítica_contraloría[#All],5,0),"")</f>
        <v/>
      </c>
      <c r="F241" t="str">
        <f>+IFERROR(VLOOKUP(Fact_Analitica[[#This Row], [Concepto Anterior]],Conceptos_Analítica_contraloría[#All],7,0),"")</f>
        <v/>
      </c>
      <c r="I241" t="str">
        <f>+IFERROR(VLOOKUP(D241,Conceptos_Analítica_contraloría[#All],2,0),"")</f>
        <v/>
      </c>
      <c r="J241" s="84" t="str">
        <f>+IFERROR(VLOOKUP(D241,Conceptos_Analítica_contraloría[#All],3,0),"")</f>
        <v/>
      </c>
    </row>
    <row r="242" spans="3:10" ht="18.75" customHeight="1" x14ac:dyDescent="0.35">
      <c r="C242" s="100" t="str">
        <f>IF(OR(Fact_Analitica[[#This Row], [Año]]="",Fact_Analitica[[#This Row], [Mes]]=""),"",DATE(A242,MATCH(B242,{"enero","febrero","marzo","abril","mayo","junio","julio","agosto","septiembre","octubre","noviembre","diciembre"},0)+1,0))</f>
        <v/>
      </c>
      <c r="E242" t="str">
        <f>+IFERROR(VLOOKUP(Fact_Analitica[[#This Row], [Concepto Anterior]],Conceptos_Analítica_contraloría[#All],5,0),"")</f>
        <v/>
      </c>
      <c r="F242" t="str">
        <f>+IFERROR(VLOOKUP(Fact_Analitica[[#This Row], [Concepto Anterior]],Conceptos_Analítica_contraloría[#All],7,0),"")</f>
        <v/>
      </c>
      <c r="I242" t="str">
        <f>+IFERROR(VLOOKUP(D242,Conceptos_Analítica_contraloría[#All],2,0),"")</f>
        <v/>
      </c>
      <c r="J242" s="84" t="str">
        <f>+IFERROR(VLOOKUP(D242,Conceptos_Analítica_contraloría[#All],3,0),"")</f>
        <v/>
      </c>
    </row>
    <row r="243" spans="3:10" ht="18.75" customHeight="1" x14ac:dyDescent="0.35">
      <c r="C243" s="100" t="str">
        <f>IF(OR(Fact_Analitica[[#This Row], [Año]]="",Fact_Analitica[[#This Row], [Mes]]=""),"",DATE(A243,MATCH(B243,{"enero","febrero","marzo","abril","mayo","junio","julio","agosto","septiembre","octubre","noviembre","diciembre"},0)+1,0))</f>
        <v/>
      </c>
      <c r="E243" t="str">
        <f>+IFERROR(VLOOKUP(Fact_Analitica[[#This Row], [Concepto Anterior]],Conceptos_Analítica_contraloría[#All],5,0),"")</f>
        <v/>
      </c>
      <c r="F243" t="str">
        <f>+IFERROR(VLOOKUP(Fact_Analitica[[#This Row], [Concepto Anterior]],Conceptos_Analítica_contraloría[#All],7,0),"")</f>
        <v/>
      </c>
      <c r="I243" t="str">
        <f>+IFERROR(VLOOKUP(D243,Conceptos_Analítica_contraloría[#All],2,0),"")</f>
        <v/>
      </c>
      <c r="J243" s="84" t="str">
        <f>+IFERROR(VLOOKUP(D243,Conceptos_Analítica_contraloría[#All],3,0),"")</f>
        <v/>
      </c>
    </row>
    <row r="244" spans="3:10" ht="18.75" customHeight="1" x14ac:dyDescent="0.35">
      <c r="C244" s="100" t="str">
        <f>IF(OR(Fact_Analitica[[#This Row], [Año]]="",Fact_Analitica[[#This Row], [Mes]]=""),"",DATE(A244,MATCH(B244,{"enero","febrero","marzo","abril","mayo","junio","julio","agosto","septiembre","octubre","noviembre","diciembre"},0)+1,0))</f>
        <v/>
      </c>
      <c r="E244" t="str">
        <f>+IFERROR(VLOOKUP(Fact_Analitica[[#This Row], [Concepto Anterior]],Conceptos_Analítica_contraloría[#All],5,0),"")</f>
        <v/>
      </c>
      <c r="F244" t="str">
        <f>+IFERROR(VLOOKUP(Fact_Analitica[[#This Row], [Concepto Anterior]],Conceptos_Analítica_contraloría[#All],7,0),"")</f>
        <v/>
      </c>
      <c r="I244" t="str">
        <f>+IFERROR(VLOOKUP(D244,Conceptos_Analítica_contraloría[#All],2,0),"")</f>
        <v/>
      </c>
      <c r="J244" s="84" t="str">
        <f>+IFERROR(VLOOKUP(D244,Conceptos_Analítica_contraloría[#All],3,0),"")</f>
        <v/>
      </c>
    </row>
    <row r="245" spans="3:10" ht="18.75" customHeight="1" x14ac:dyDescent="0.35">
      <c r="C245" s="100" t="str">
        <f>IF(OR(Fact_Analitica[[#This Row], [Año]]="",Fact_Analitica[[#This Row], [Mes]]=""),"",DATE(A245,MATCH(B245,{"enero","febrero","marzo","abril","mayo","junio","julio","agosto","septiembre","octubre","noviembre","diciembre"},0)+1,0))</f>
        <v/>
      </c>
      <c r="E245" t="str">
        <f>+IFERROR(VLOOKUP(Fact_Analitica[[#This Row], [Concepto Anterior]],Conceptos_Analítica_contraloría[#All],5,0),"")</f>
        <v/>
      </c>
      <c r="F245" t="str">
        <f>+IFERROR(VLOOKUP(Fact_Analitica[[#This Row], [Concepto Anterior]],Conceptos_Analítica_contraloría[#All],7,0),"")</f>
        <v/>
      </c>
      <c r="I245" t="str">
        <f>+IFERROR(VLOOKUP(D245,Conceptos_Analítica_contraloría[#All],2,0),"")</f>
        <v/>
      </c>
      <c r="J245" s="84" t="str">
        <f>+IFERROR(VLOOKUP(D245,Conceptos_Analítica_contraloría[#All],3,0),"")</f>
        <v/>
      </c>
    </row>
    <row r="246" spans="3:10" ht="18.75" customHeight="1" x14ac:dyDescent="0.35">
      <c r="C246" s="100" t="str">
        <f>IF(OR(Fact_Analitica[[#This Row], [Año]]="",Fact_Analitica[[#This Row], [Mes]]=""),"",DATE(A246,MATCH(B246,{"enero","febrero","marzo","abril","mayo","junio","julio","agosto","septiembre","octubre","noviembre","diciembre"},0)+1,0))</f>
        <v/>
      </c>
      <c r="E246" t="str">
        <f>+IFERROR(VLOOKUP(Fact_Analitica[[#This Row], [Concepto Anterior]],Conceptos_Analítica_contraloría[#All],5,0),"")</f>
        <v/>
      </c>
      <c r="F246" t="str">
        <f>+IFERROR(VLOOKUP(Fact_Analitica[[#This Row], [Concepto Anterior]],Conceptos_Analítica_contraloría[#All],7,0),"")</f>
        <v/>
      </c>
      <c r="I246" t="str">
        <f>+IFERROR(VLOOKUP(D246,Conceptos_Analítica_contraloría[#All],2,0),"")</f>
        <v/>
      </c>
      <c r="J246" s="84" t="str">
        <f>+IFERROR(VLOOKUP(D246,Conceptos_Analítica_contraloría[#All],3,0),"")</f>
        <v/>
      </c>
    </row>
    <row r="247" spans="3:10" ht="18.75" customHeight="1" x14ac:dyDescent="0.35">
      <c r="C247" s="100" t="str">
        <f>IF(OR(Fact_Analitica[[#This Row], [Año]]="",Fact_Analitica[[#This Row], [Mes]]=""),"",DATE(A247,MATCH(B247,{"enero","febrero","marzo","abril","mayo","junio","julio","agosto","septiembre","octubre","noviembre","diciembre"},0)+1,0))</f>
        <v/>
      </c>
      <c r="E247" t="str">
        <f>+IFERROR(VLOOKUP(Fact_Analitica[[#This Row], [Concepto Anterior]],Conceptos_Analítica_contraloría[#All],5,0),"")</f>
        <v/>
      </c>
      <c r="F247" t="str">
        <f>+IFERROR(VLOOKUP(Fact_Analitica[[#This Row], [Concepto Anterior]],Conceptos_Analítica_contraloría[#All],7,0),"")</f>
        <v/>
      </c>
      <c r="I247" t="str">
        <f>+IFERROR(VLOOKUP(D247,Conceptos_Analítica_contraloría[#All],2,0),"")</f>
        <v/>
      </c>
      <c r="J247" s="84" t="str">
        <f>+IFERROR(VLOOKUP(D247,Conceptos_Analítica_contraloría[#All],3,0),"")</f>
        <v/>
      </c>
    </row>
    <row r="248" spans="3:10" ht="18.75" customHeight="1" x14ac:dyDescent="0.35">
      <c r="C248" s="100" t="str">
        <f>IF(OR(Fact_Analitica[[#This Row], [Año]]="",Fact_Analitica[[#This Row], [Mes]]=""),"",DATE(A248,MATCH(B248,{"enero","febrero","marzo","abril","mayo","junio","julio","agosto","septiembre","octubre","noviembre","diciembre"},0)+1,0))</f>
        <v/>
      </c>
      <c r="E248" t="str">
        <f>+IFERROR(VLOOKUP(Fact_Analitica[[#This Row], [Concepto Anterior]],Conceptos_Analítica_contraloría[#All],5,0),"")</f>
        <v/>
      </c>
      <c r="F248" t="str">
        <f>+IFERROR(VLOOKUP(Fact_Analitica[[#This Row], [Concepto Anterior]],Conceptos_Analítica_contraloría[#All],7,0),"")</f>
        <v/>
      </c>
      <c r="I248" t="str">
        <f>+IFERROR(VLOOKUP(D248,Conceptos_Analítica_contraloría[#All],2,0),"")</f>
        <v/>
      </c>
      <c r="J248" s="84" t="str">
        <f>+IFERROR(VLOOKUP(D248,Conceptos_Analítica_contraloría[#All],3,0),"")</f>
        <v/>
      </c>
    </row>
    <row r="249" spans="3:10" ht="18.75" customHeight="1" x14ac:dyDescent="0.35">
      <c r="C249" s="100" t="str">
        <f>IF(OR(Fact_Analitica[[#This Row], [Año]]="",Fact_Analitica[[#This Row], [Mes]]=""),"",DATE(A249,MATCH(B249,{"enero","febrero","marzo","abril","mayo","junio","julio","agosto","septiembre","octubre","noviembre","diciembre"},0)+1,0))</f>
        <v/>
      </c>
      <c r="E249" t="str">
        <f>+IFERROR(VLOOKUP(Fact_Analitica[[#This Row], [Concepto Anterior]],Conceptos_Analítica_contraloría[#All],5,0),"")</f>
        <v/>
      </c>
      <c r="F249" t="str">
        <f>+IFERROR(VLOOKUP(Fact_Analitica[[#This Row], [Concepto Anterior]],Conceptos_Analítica_contraloría[#All],7,0),"")</f>
        <v/>
      </c>
      <c r="I249" t="str">
        <f>+IFERROR(VLOOKUP(D249,Conceptos_Analítica_contraloría[#All],2,0),"")</f>
        <v/>
      </c>
      <c r="J249" s="84" t="str">
        <f>+IFERROR(VLOOKUP(D249,Conceptos_Analítica_contraloría[#All],3,0),"")</f>
        <v/>
      </c>
    </row>
    <row r="250" spans="3:10" ht="18.75" customHeight="1" x14ac:dyDescent="0.35">
      <c r="C250" s="100" t="str">
        <f>IF(OR(Fact_Analitica[[#This Row], [Año]]="",Fact_Analitica[[#This Row], [Mes]]=""),"",DATE(A250,MATCH(B250,{"enero","febrero","marzo","abril","mayo","junio","julio","agosto","septiembre","octubre","noviembre","diciembre"},0)+1,0))</f>
        <v/>
      </c>
      <c r="E250" t="str">
        <f>+IFERROR(VLOOKUP(Fact_Analitica[[#This Row], [Concepto Anterior]],Conceptos_Analítica_contraloría[#All],5,0),"")</f>
        <v/>
      </c>
      <c r="F250" t="str">
        <f>+IFERROR(VLOOKUP(Fact_Analitica[[#This Row], [Concepto Anterior]],Conceptos_Analítica_contraloría[#All],7,0),"")</f>
        <v/>
      </c>
      <c r="I250" t="str">
        <f>+IFERROR(VLOOKUP(D250,Conceptos_Analítica_contraloría[#All],2,0),"")</f>
        <v/>
      </c>
      <c r="J250" s="84" t="str">
        <f>+IFERROR(VLOOKUP(D250,Conceptos_Analítica_contraloría[#All],3,0),"")</f>
        <v/>
      </c>
    </row>
    <row r="251" spans="3:10" ht="18.75" customHeight="1" x14ac:dyDescent="0.35">
      <c r="C251" s="100" t="str">
        <f>IF(OR(Fact_Analitica[[#This Row], [Año]]="",Fact_Analitica[[#This Row], [Mes]]=""),"",DATE(A251,MATCH(B251,{"enero","febrero","marzo","abril","mayo","junio","julio","agosto","septiembre","octubre","noviembre","diciembre"},0)+1,0))</f>
        <v/>
      </c>
      <c r="E251" t="str">
        <f>+IFERROR(VLOOKUP(Fact_Analitica[[#This Row], [Concepto Anterior]],Conceptos_Analítica_contraloría[#All],5,0),"")</f>
        <v/>
      </c>
      <c r="F251" t="str">
        <f>+IFERROR(VLOOKUP(Fact_Analitica[[#This Row], [Concepto Anterior]],Conceptos_Analítica_contraloría[#All],7,0),"")</f>
        <v/>
      </c>
      <c r="I251" t="str">
        <f>+IFERROR(VLOOKUP(D251,Conceptos_Analítica_contraloría[#All],2,0),"")</f>
        <v/>
      </c>
      <c r="J251" s="84" t="str">
        <f>+IFERROR(VLOOKUP(D251,Conceptos_Analítica_contraloría[#All],3,0),"")</f>
        <v/>
      </c>
    </row>
    <row r="252" spans="3:10" ht="18.75" customHeight="1" x14ac:dyDescent="0.35">
      <c r="C252" s="100" t="str">
        <f>IF(OR(Fact_Analitica[[#This Row], [Año]]="",Fact_Analitica[[#This Row], [Mes]]=""),"",DATE(A252,MATCH(B252,{"enero","febrero","marzo","abril","mayo","junio","julio","agosto","septiembre","octubre","noviembre","diciembre"},0)+1,0))</f>
        <v/>
      </c>
      <c r="E252" t="str">
        <f>+IFERROR(VLOOKUP(Fact_Analitica[[#This Row], [Concepto Anterior]],Conceptos_Analítica_contraloría[#All],5,0),"")</f>
        <v/>
      </c>
      <c r="F252" t="str">
        <f>+IFERROR(VLOOKUP(Fact_Analitica[[#This Row], [Concepto Anterior]],Conceptos_Analítica_contraloría[#All],7,0),"")</f>
        <v/>
      </c>
      <c r="I252" t="str">
        <f>+IFERROR(VLOOKUP(D252,Conceptos_Analítica_contraloría[#All],2,0),"")</f>
        <v/>
      </c>
      <c r="J252" s="84" t="str">
        <f>+IFERROR(VLOOKUP(D252,Conceptos_Analítica_contraloría[#All],3,0),"")</f>
        <v/>
      </c>
    </row>
    <row r="253" spans="3:10" ht="18.75" customHeight="1" x14ac:dyDescent="0.35">
      <c r="C253" s="100" t="str">
        <f>IF(OR(Fact_Analitica[[#This Row], [Año]]="",Fact_Analitica[[#This Row], [Mes]]=""),"",DATE(A253,MATCH(B253,{"enero","febrero","marzo","abril","mayo","junio","julio","agosto","septiembre","octubre","noviembre","diciembre"},0)+1,0))</f>
        <v/>
      </c>
      <c r="E253" t="str">
        <f>+IFERROR(VLOOKUP(Fact_Analitica[[#This Row], [Concepto Anterior]],Conceptos_Analítica_contraloría[#All],5,0),"")</f>
        <v/>
      </c>
      <c r="F253" t="str">
        <f>+IFERROR(VLOOKUP(Fact_Analitica[[#This Row], [Concepto Anterior]],Conceptos_Analítica_contraloría[#All],7,0),"")</f>
        <v/>
      </c>
      <c r="I253" t="str">
        <f>+IFERROR(VLOOKUP(D253,Conceptos_Analítica_contraloría[#All],2,0),"")</f>
        <v/>
      </c>
      <c r="J253" s="84" t="str">
        <f>+IFERROR(VLOOKUP(D253,Conceptos_Analítica_contraloría[#All],3,0),"")</f>
        <v/>
      </c>
    </row>
    <row r="254" spans="3:10" ht="18.75" customHeight="1" x14ac:dyDescent="0.35">
      <c r="C254" s="100" t="str">
        <f>IF(OR(Fact_Analitica[[#This Row], [Año]]="",Fact_Analitica[[#This Row], [Mes]]=""),"",DATE(A254,MATCH(B254,{"enero","febrero","marzo","abril","mayo","junio","julio","agosto","septiembre","octubre","noviembre","diciembre"},0)+1,0))</f>
        <v/>
      </c>
      <c r="E254" t="str">
        <f>+IFERROR(VLOOKUP(Fact_Analitica[[#This Row], [Concepto Anterior]],Conceptos_Analítica_contraloría[#All],5,0),"")</f>
        <v/>
      </c>
      <c r="F254" t="str">
        <f>+IFERROR(VLOOKUP(Fact_Analitica[[#This Row], [Concepto Anterior]],Conceptos_Analítica_contraloría[#All],7,0),"")</f>
        <v/>
      </c>
      <c r="I254" t="str">
        <f>+IFERROR(VLOOKUP(D254,Conceptos_Analítica_contraloría[#All],2,0),"")</f>
        <v/>
      </c>
      <c r="J254" s="84" t="str">
        <f>+IFERROR(VLOOKUP(D254,Conceptos_Analítica_contraloría[#All],3,0),"")</f>
        <v/>
      </c>
    </row>
    <row r="255" spans="3:10" ht="18.75" customHeight="1" x14ac:dyDescent="0.35">
      <c r="C255" s="100" t="str">
        <f>IF(OR(Fact_Analitica[[#This Row], [Año]]="",Fact_Analitica[[#This Row], [Mes]]=""),"",DATE(A255,MATCH(B255,{"enero","febrero","marzo","abril","mayo","junio","julio","agosto","septiembre","octubre","noviembre","diciembre"},0)+1,0))</f>
        <v/>
      </c>
      <c r="E255" t="str">
        <f>+IFERROR(VLOOKUP(Fact_Analitica[[#This Row], [Concepto Anterior]],Conceptos_Analítica_contraloría[#All],5,0),"")</f>
        <v/>
      </c>
      <c r="F255" t="str">
        <f>+IFERROR(VLOOKUP(Fact_Analitica[[#This Row], [Concepto Anterior]],Conceptos_Analítica_contraloría[#All],7,0),"")</f>
        <v/>
      </c>
      <c r="I255" t="str">
        <f>+IFERROR(VLOOKUP(D255,Conceptos_Analítica_contraloría[#All],2,0),"")</f>
        <v/>
      </c>
      <c r="J255" s="84" t="str">
        <f>+IFERROR(VLOOKUP(D255,Conceptos_Analítica_contraloría[#All],3,0),"")</f>
        <v/>
      </c>
    </row>
    <row r="256" spans="3:10" ht="18.75" customHeight="1" x14ac:dyDescent="0.35">
      <c r="C256" s="100" t="str">
        <f>IF(OR(Fact_Analitica[[#This Row], [Año]]="",Fact_Analitica[[#This Row], [Mes]]=""),"",DATE(A256,MATCH(B256,{"enero","febrero","marzo","abril","mayo","junio","julio","agosto","septiembre","octubre","noviembre","diciembre"},0)+1,0))</f>
        <v/>
      </c>
      <c r="E256" t="str">
        <f>+IFERROR(VLOOKUP(Fact_Analitica[[#This Row], [Concepto Anterior]],Conceptos_Analítica_contraloría[#All],5,0),"")</f>
        <v/>
      </c>
      <c r="F256" t="str">
        <f>+IFERROR(VLOOKUP(Fact_Analitica[[#This Row], [Concepto Anterior]],Conceptos_Analítica_contraloría[#All],7,0),"")</f>
        <v/>
      </c>
      <c r="I256" t="str">
        <f>+IFERROR(VLOOKUP(D256,Conceptos_Analítica_contraloría[#All],2,0),"")</f>
        <v/>
      </c>
      <c r="J256" s="84" t="str">
        <f>+IFERROR(VLOOKUP(D256,Conceptos_Analítica_contraloría[#All],3,0),"")</f>
        <v/>
      </c>
    </row>
    <row r="257" spans="3:10" ht="18.75" customHeight="1" x14ac:dyDescent="0.35">
      <c r="C257" s="100" t="str">
        <f>IF(OR(Fact_Analitica[[#This Row], [Año]]="",Fact_Analitica[[#This Row], [Mes]]=""),"",DATE(A257,MATCH(B257,{"enero","febrero","marzo","abril","mayo","junio","julio","agosto","septiembre","octubre","noviembre","diciembre"},0)+1,0))</f>
        <v/>
      </c>
      <c r="E257" t="str">
        <f>+IFERROR(VLOOKUP(Fact_Analitica[[#This Row], [Concepto Anterior]],Conceptos_Analítica_contraloría[#All],5,0),"")</f>
        <v/>
      </c>
      <c r="F257" t="str">
        <f>+IFERROR(VLOOKUP(Fact_Analitica[[#This Row], [Concepto Anterior]],Conceptos_Analítica_contraloría[#All],7,0),"")</f>
        <v/>
      </c>
      <c r="I257" t="str">
        <f>+IFERROR(VLOOKUP(D257,Conceptos_Analítica_contraloría[#All],2,0),"")</f>
        <v/>
      </c>
      <c r="J257" s="84" t="str">
        <f>+IFERROR(VLOOKUP(D257,Conceptos_Analítica_contraloría[#All],3,0),"")</f>
        <v/>
      </c>
    </row>
    <row r="258" spans="3:10" ht="18.75" customHeight="1" x14ac:dyDescent="0.35">
      <c r="C258" s="100" t="str">
        <f>IF(OR(Fact_Analitica[[#This Row], [Año]]="",Fact_Analitica[[#This Row], [Mes]]=""),"",DATE(A258,MATCH(B258,{"enero","febrero","marzo","abril","mayo","junio","julio","agosto","septiembre","octubre","noviembre","diciembre"},0)+1,0))</f>
        <v/>
      </c>
      <c r="E258" t="str">
        <f>+IFERROR(VLOOKUP(Fact_Analitica[[#This Row], [Concepto Anterior]],Conceptos_Analítica_contraloría[#All],5,0),"")</f>
        <v/>
      </c>
      <c r="F258" t="str">
        <f>+IFERROR(VLOOKUP(Fact_Analitica[[#This Row], [Concepto Anterior]],Conceptos_Analítica_contraloría[#All],7,0),"")</f>
        <v/>
      </c>
      <c r="I258" t="str">
        <f>+IFERROR(VLOOKUP(D258,Conceptos_Analítica_contraloría[#All],2,0),"")</f>
        <v/>
      </c>
      <c r="J258" s="84" t="str">
        <f>+IFERROR(VLOOKUP(D258,Conceptos_Analítica_contraloría[#All],3,0),"")</f>
        <v/>
      </c>
    </row>
    <row r="259" spans="3:10" ht="18.75" customHeight="1" x14ac:dyDescent="0.35">
      <c r="C259" s="100" t="str">
        <f>IF(OR(Fact_Analitica[[#This Row], [Año]]="",Fact_Analitica[[#This Row], [Mes]]=""),"",DATE(A259,MATCH(B259,{"enero","febrero","marzo","abril","mayo","junio","julio","agosto","septiembre","octubre","noviembre","diciembre"},0)+1,0))</f>
        <v/>
      </c>
      <c r="E259" t="str">
        <f>+IFERROR(VLOOKUP(Fact_Analitica[[#This Row], [Concepto Anterior]],Conceptos_Analítica_contraloría[#All],5,0),"")</f>
        <v/>
      </c>
      <c r="F259" t="str">
        <f>+IFERROR(VLOOKUP(Fact_Analitica[[#This Row], [Concepto Anterior]],Conceptos_Analítica_contraloría[#All],7,0),"")</f>
        <v/>
      </c>
      <c r="I259" t="str">
        <f>+IFERROR(VLOOKUP(D259,Conceptos_Analítica_contraloría[#All],2,0),"")</f>
        <v/>
      </c>
      <c r="J259" s="84" t="str">
        <f>+IFERROR(VLOOKUP(D259,Conceptos_Analítica_contraloría[#All],3,0),"")</f>
        <v/>
      </c>
    </row>
    <row r="260" spans="3:10" ht="18.75" customHeight="1" x14ac:dyDescent="0.35">
      <c r="C260" s="100" t="str">
        <f>IF(OR(Fact_Analitica[[#This Row], [Año]]="",Fact_Analitica[[#This Row], [Mes]]=""),"",DATE(A260,MATCH(B260,{"enero","febrero","marzo","abril","mayo","junio","julio","agosto","septiembre","octubre","noviembre","diciembre"},0)+1,0))</f>
        <v/>
      </c>
      <c r="E260" t="str">
        <f>+IFERROR(VLOOKUP(Fact_Analitica[[#This Row], [Concepto Anterior]],Conceptos_Analítica_contraloría[#All],5,0),"")</f>
        <v/>
      </c>
      <c r="F260" t="str">
        <f>+IFERROR(VLOOKUP(Fact_Analitica[[#This Row], [Concepto Anterior]],Conceptos_Analítica_contraloría[#All],7,0),"")</f>
        <v/>
      </c>
      <c r="I260" t="str">
        <f>+IFERROR(VLOOKUP(D260,Conceptos_Analítica_contraloría[#All],2,0),"")</f>
        <v/>
      </c>
      <c r="J260" s="84" t="str">
        <f>+IFERROR(VLOOKUP(D260,Conceptos_Analítica_contraloría[#All],3,0),"")</f>
        <v/>
      </c>
    </row>
    <row r="261" spans="3:10" ht="18.75" customHeight="1" x14ac:dyDescent="0.35">
      <c r="C261" s="100" t="str">
        <f>IF(OR(Fact_Analitica[[#This Row], [Año]]="",Fact_Analitica[[#This Row], [Mes]]=""),"",DATE(A261,MATCH(B261,{"enero","febrero","marzo","abril","mayo","junio","julio","agosto","septiembre","octubre","noviembre","diciembre"},0)+1,0))</f>
        <v/>
      </c>
      <c r="E261" t="str">
        <f>+IFERROR(VLOOKUP(Fact_Analitica[[#This Row], [Concepto Anterior]],Conceptos_Analítica_contraloría[#All],5,0),"")</f>
        <v/>
      </c>
      <c r="F261" t="str">
        <f>+IFERROR(VLOOKUP(Fact_Analitica[[#This Row], [Concepto Anterior]],Conceptos_Analítica_contraloría[#All],7,0),"")</f>
        <v/>
      </c>
      <c r="I261" t="str">
        <f>+IFERROR(VLOOKUP(D261,Conceptos_Analítica_contraloría[#All],2,0),"")</f>
        <v/>
      </c>
      <c r="J261" s="84" t="str">
        <f>+IFERROR(VLOOKUP(D261,Conceptos_Analítica_contraloría[#All],3,0),"")</f>
        <v/>
      </c>
    </row>
    <row r="262" spans="3:10" ht="18.75" customHeight="1" x14ac:dyDescent="0.35">
      <c r="C262" s="100" t="str">
        <f>IF(OR(Fact_Analitica[[#This Row], [Año]]="",Fact_Analitica[[#This Row], [Mes]]=""),"",DATE(A262,MATCH(B262,{"enero","febrero","marzo","abril","mayo","junio","julio","agosto","septiembre","octubre","noviembre","diciembre"},0)+1,0))</f>
        <v/>
      </c>
      <c r="E262" t="str">
        <f>+IFERROR(VLOOKUP(Fact_Analitica[[#This Row], [Concepto Anterior]],Conceptos_Analítica_contraloría[#All],5,0),"")</f>
        <v/>
      </c>
      <c r="F262" t="str">
        <f>+IFERROR(VLOOKUP(Fact_Analitica[[#This Row], [Concepto Anterior]],Conceptos_Analítica_contraloría[#All],7,0),"")</f>
        <v/>
      </c>
      <c r="I262" t="str">
        <f>+IFERROR(VLOOKUP(D262,Conceptos_Analítica_contraloría[#All],2,0),"")</f>
        <v/>
      </c>
      <c r="J262" s="84" t="str">
        <f>+IFERROR(VLOOKUP(D262,Conceptos_Analítica_contraloría[#All],3,0),"")</f>
        <v/>
      </c>
    </row>
    <row r="263" spans="3:10" ht="18.75" customHeight="1" x14ac:dyDescent="0.35">
      <c r="C263" s="100" t="str">
        <f>IF(OR(Fact_Analitica[[#This Row], [Año]]="",Fact_Analitica[[#This Row], [Mes]]=""),"",DATE(A263,MATCH(B263,{"enero","febrero","marzo","abril","mayo","junio","julio","agosto","septiembre","octubre","noviembre","diciembre"},0)+1,0))</f>
        <v/>
      </c>
      <c r="E263" t="str">
        <f>+IFERROR(VLOOKUP(Fact_Analitica[[#This Row], [Concepto Anterior]],Conceptos_Analítica_contraloría[#All],5,0),"")</f>
        <v/>
      </c>
      <c r="F263" t="str">
        <f>+IFERROR(VLOOKUP(Fact_Analitica[[#This Row], [Concepto Anterior]],Conceptos_Analítica_contraloría[#All],7,0),"")</f>
        <v/>
      </c>
      <c r="I263" t="str">
        <f>+IFERROR(VLOOKUP(D263,Conceptos_Analítica_contraloría[#All],2,0),"")</f>
        <v/>
      </c>
      <c r="J263" s="84" t="str">
        <f>+IFERROR(VLOOKUP(D263,Conceptos_Analítica_contraloría[#All],3,0),"")</f>
        <v/>
      </c>
    </row>
    <row r="264" spans="3:10" ht="18.75" customHeight="1" x14ac:dyDescent="0.35">
      <c r="C264" s="100" t="str">
        <f>IF(OR(Fact_Analitica[[#This Row], [Año]]="",Fact_Analitica[[#This Row], [Mes]]=""),"",DATE(A264,MATCH(B264,{"enero","febrero","marzo","abril","mayo","junio","julio","agosto","septiembre","octubre","noviembre","diciembre"},0)+1,0))</f>
        <v/>
      </c>
      <c r="E264" t="str">
        <f>+IFERROR(VLOOKUP(Fact_Analitica[[#This Row], [Concepto Anterior]],Conceptos_Analítica_contraloría[#All],5,0),"")</f>
        <v/>
      </c>
      <c r="F264" t="str">
        <f>+IFERROR(VLOOKUP(Fact_Analitica[[#This Row], [Concepto Anterior]],Conceptos_Analítica_contraloría[#All],7,0),"")</f>
        <v/>
      </c>
      <c r="I264" t="str">
        <f>+IFERROR(VLOOKUP(D264,Conceptos_Analítica_contraloría[#All],2,0),"")</f>
        <v/>
      </c>
      <c r="J264" s="84" t="str">
        <f>+IFERROR(VLOOKUP(D264,Conceptos_Analítica_contraloría[#All],3,0),"")</f>
        <v/>
      </c>
    </row>
    <row r="265" spans="3:10" ht="18.75" customHeight="1" x14ac:dyDescent="0.35">
      <c r="C265" s="100" t="str">
        <f>IF(OR(Fact_Analitica[[#This Row], [Año]]="",Fact_Analitica[[#This Row], [Mes]]=""),"",DATE(A265,MATCH(B265,{"enero","febrero","marzo","abril","mayo","junio","julio","agosto","septiembre","octubre","noviembre","diciembre"},0)+1,0))</f>
        <v/>
      </c>
      <c r="E265" t="str">
        <f>+IFERROR(VLOOKUP(Fact_Analitica[[#This Row], [Concepto Anterior]],Conceptos_Analítica_contraloría[#All],5,0),"")</f>
        <v/>
      </c>
      <c r="F265" t="str">
        <f>+IFERROR(VLOOKUP(Fact_Analitica[[#This Row], [Concepto Anterior]],Conceptos_Analítica_contraloría[#All],7,0),"")</f>
        <v/>
      </c>
      <c r="I265" t="str">
        <f>+IFERROR(VLOOKUP(D265,Conceptos_Analítica_contraloría[#All],2,0),"")</f>
        <v/>
      </c>
      <c r="J265" s="84" t="str">
        <f>+IFERROR(VLOOKUP(D265,Conceptos_Analítica_contraloría[#All],3,0),"")</f>
        <v/>
      </c>
    </row>
    <row r="266" spans="3:10" ht="18.75" customHeight="1" x14ac:dyDescent="0.35">
      <c r="C266" s="100" t="str">
        <f>IF(OR(Fact_Analitica[[#This Row], [Año]]="",Fact_Analitica[[#This Row], [Mes]]=""),"",DATE(A266,MATCH(B266,{"enero","febrero","marzo","abril","mayo","junio","julio","agosto","septiembre","octubre","noviembre","diciembre"},0)+1,0))</f>
        <v/>
      </c>
      <c r="E266" t="str">
        <f>+IFERROR(VLOOKUP(Fact_Analitica[[#This Row], [Concepto Anterior]],Conceptos_Analítica_contraloría[#All],5,0),"")</f>
        <v/>
      </c>
      <c r="F266" t="str">
        <f>+IFERROR(VLOOKUP(Fact_Analitica[[#This Row], [Concepto Anterior]],Conceptos_Analítica_contraloría[#All],7,0),"")</f>
        <v/>
      </c>
      <c r="I266" t="str">
        <f>+IFERROR(VLOOKUP(D266,Conceptos_Analítica_contraloría[#All],2,0),"")</f>
        <v/>
      </c>
      <c r="J266" s="84" t="str">
        <f>+IFERROR(VLOOKUP(D266,Conceptos_Analítica_contraloría[#All],3,0),"")</f>
        <v/>
      </c>
    </row>
    <row r="267" spans="3:10" ht="18.75" customHeight="1" x14ac:dyDescent="0.35">
      <c r="C267" s="100" t="str">
        <f>IF(OR(Fact_Analitica[[#This Row], [Año]]="",Fact_Analitica[[#This Row], [Mes]]=""),"",DATE(A267,MATCH(B267,{"enero","febrero","marzo","abril","mayo","junio","julio","agosto","septiembre","octubre","noviembre","diciembre"},0)+1,0))</f>
        <v/>
      </c>
      <c r="E267" t="str">
        <f>+IFERROR(VLOOKUP(Fact_Analitica[[#This Row], [Concepto Anterior]],Conceptos_Analítica_contraloría[#All],5,0),"")</f>
        <v/>
      </c>
      <c r="F267" t="str">
        <f>+IFERROR(VLOOKUP(Fact_Analitica[[#This Row], [Concepto Anterior]],Conceptos_Analítica_contraloría[#All],7,0),"")</f>
        <v/>
      </c>
      <c r="I267" t="str">
        <f>+IFERROR(VLOOKUP(D267,Conceptos_Analítica_contraloría[#All],2,0),"")</f>
        <v/>
      </c>
      <c r="J267" s="84" t="str">
        <f>+IFERROR(VLOOKUP(D267,Conceptos_Analítica_contraloría[#All],3,0),"")</f>
        <v/>
      </c>
    </row>
    <row r="268" spans="3:10" ht="18.75" customHeight="1" x14ac:dyDescent="0.35">
      <c r="C268" s="100" t="str">
        <f>IF(OR(Fact_Analitica[[#This Row], [Año]]="",Fact_Analitica[[#This Row], [Mes]]=""),"",DATE(A268,MATCH(B268,{"enero","febrero","marzo","abril","mayo","junio","julio","agosto","septiembre","octubre","noviembre","diciembre"},0)+1,0))</f>
        <v/>
      </c>
      <c r="E268" t="str">
        <f>+IFERROR(VLOOKUP(Fact_Analitica[[#This Row], [Concepto Anterior]],Conceptos_Analítica_contraloría[#All],5,0),"")</f>
        <v/>
      </c>
      <c r="F268" t="str">
        <f>+IFERROR(VLOOKUP(Fact_Analitica[[#This Row], [Concepto Anterior]],Conceptos_Analítica_contraloría[#All],7,0),"")</f>
        <v/>
      </c>
      <c r="I268" t="str">
        <f>+IFERROR(VLOOKUP(D268,Conceptos_Analítica_contraloría[#All],2,0),"")</f>
        <v/>
      </c>
      <c r="J268" s="84" t="str">
        <f>+IFERROR(VLOOKUP(D268,Conceptos_Analítica_contraloría[#All],3,0),"")</f>
        <v/>
      </c>
    </row>
    <row r="269" spans="3:10" ht="18.75" customHeight="1" x14ac:dyDescent="0.35">
      <c r="C269" s="100" t="str">
        <f>IF(OR(Fact_Analitica[[#This Row], [Año]]="",Fact_Analitica[[#This Row], [Mes]]=""),"",DATE(A269,MATCH(B269,{"enero","febrero","marzo","abril","mayo","junio","julio","agosto","septiembre","octubre","noviembre","diciembre"},0)+1,0))</f>
        <v/>
      </c>
      <c r="E269" t="str">
        <f>+IFERROR(VLOOKUP(Fact_Analitica[[#This Row], [Concepto Anterior]],Conceptos_Analítica_contraloría[#All],5,0),"")</f>
        <v/>
      </c>
      <c r="F269" t="str">
        <f>+IFERROR(VLOOKUP(Fact_Analitica[[#This Row], [Concepto Anterior]],Conceptos_Analítica_contraloría[#All],7,0),"")</f>
        <v/>
      </c>
      <c r="I269" t="str">
        <f>+IFERROR(VLOOKUP(D269,Conceptos_Analítica_contraloría[#All],2,0),"")</f>
        <v/>
      </c>
      <c r="J269" s="84" t="str">
        <f>+IFERROR(VLOOKUP(D269,Conceptos_Analítica_contraloría[#All],3,0),"")</f>
        <v/>
      </c>
    </row>
    <row r="270" spans="3:10" ht="18.75" customHeight="1" x14ac:dyDescent="0.35">
      <c r="C270" s="100" t="str">
        <f>IF(OR(Fact_Analitica[[#This Row], [Año]]="",Fact_Analitica[[#This Row], [Mes]]=""),"",DATE(A270,MATCH(B270,{"enero","febrero","marzo","abril","mayo","junio","julio","agosto","septiembre","octubre","noviembre","diciembre"},0)+1,0))</f>
        <v/>
      </c>
      <c r="E270" t="str">
        <f>+IFERROR(VLOOKUP(Fact_Analitica[[#This Row], [Concepto Anterior]],Conceptos_Analítica_contraloría[#All],5,0),"")</f>
        <v/>
      </c>
      <c r="F270" t="str">
        <f>+IFERROR(VLOOKUP(Fact_Analitica[[#This Row], [Concepto Anterior]],Conceptos_Analítica_contraloría[#All],7,0),"")</f>
        <v/>
      </c>
      <c r="I270" t="str">
        <f>+IFERROR(VLOOKUP(D270,Conceptos_Analítica_contraloría[#All],2,0),"")</f>
        <v/>
      </c>
      <c r="J270" s="84" t="str">
        <f>+IFERROR(VLOOKUP(D270,Conceptos_Analítica_contraloría[#All],3,0),"")</f>
        <v/>
      </c>
    </row>
    <row r="271" spans="3:10" ht="18.75" customHeight="1" x14ac:dyDescent="0.35">
      <c r="C271" s="100" t="str">
        <f>IF(OR(Fact_Analitica[[#This Row], [Año]]="",Fact_Analitica[[#This Row], [Mes]]=""),"",DATE(A271,MATCH(B271,{"enero","febrero","marzo","abril","mayo","junio","julio","agosto","septiembre","octubre","noviembre","diciembre"},0)+1,0))</f>
        <v/>
      </c>
      <c r="E271" t="str">
        <f>+IFERROR(VLOOKUP(Fact_Analitica[[#This Row], [Concepto Anterior]],Conceptos_Analítica_contraloría[#All],5,0),"")</f>
        <v/>
      </c>
      <c r="F271" t="str">
        <f>+IFERROR(VLOOKUP(Fact_Analitica[[#This Row], [Concepto Anterior]],Conceptos_Analítica_contraloría[#All],7,0),"")</f>
        <v/>
      </c>
      <c r="I271" t="str">
        <f>+IFERROR(VLOOKUP(D271,Conceptos_Analítica_contraloría[#All],2,0),"")</f>
        <v/>
      </c>
      <c r="J271" s="84" t="str">
        <f>+IFERROR(VLOOKUP(D271,Conceptos_Analítica_contraloría[#All],3,0),"")</f>
        <v/>
      </c>
    </row>
    <row r="272" spans="3:10" ht="18.75" customHeight="1" x14ac:dyDescent="0.35">
      <c r="C272" s="100" t="str">
        <f>IF(OR(Fact_Analitica[[#This Row], [Año]]="",Fact_Analitica[[#This Row], [Mes]]=""),"",DATE(A272,MATCH(B272,{"enero","febrero","marzo","abril","mayo","junio","julio","agosto","septiembre","octubre","noviembre","diciembre"},0)+1,0))</f>
        <v/>
      </c>
      <c r="E272" t="str">
        <f>+IFERROR(VLOOKUP(Fact_Analitica[[#This Row], [Concepto Anterior]],Conceptos_Analítica_contraloría[#All],5,0),"")</f>
        <v/>
      </c>
      <c r="F272" t="str">
        <f>+IFERROR(VLOOKUP(Fact_Analitica[[#This Row], [Concepto Anterior]],Conceptos_Analítica_contraloría[#All],7,0),"")</f>
        <v/>
      </c>
      <c r="I272" t="str">
        <f>+IFERROR(VLOOKUP(D272,Conceptos_Analítica_contraloría[#All],2,0),"")</f>
        <v/>
      </c>
      <c r="J272" s="84" t="str">
        <f>+IFERROR(VLOOKUP(D272,Conceptos_Analítica_contraloría[#All],3,0),"")</f>
        <v/>
      </c>
    </row>
    <row r="273" spans="3:10" ht="18.75" customHeight="1" x14ac:dyDescent="0.35">
      <c r="C273" s="100" t="str">
        <f>IF(OR(Fact_Analitica[[#This Row], [Año]]="",Fact_Analitica[[#This Row], [Mes]]=""),"",DATE(A273,MATCH(B273,{"enero","febrero","marzo","abril","mayo","junio","julio","agosto","septiembre","octubre","noviembre","diciembre"},0)+1,0))</f>
        <v/>
      </c>
      <c r="E273" t="str">
        <f>+IFERROR(VLOOKUP(Fact_Analitica[[#This Row], [Concepto Anterior]],Conceptos_Analítica_contraloría[#All],5,0),"")</f>
        <v/>
      </c>
      <c r="F273" t="str">
        <f>+IFERROR(VLOOKUP(Fact_Analitica[[#This Row], [Concepto Anterior]],Conceptos_Analítica_contraloría[#All],7,0),"")</f>
        <v/>
      </c>
      <c r="I273" t="str">
        <f>+IFERROR(VLOOKUP(D273,Conceptos_Analítica_contraloría[#All],2,0),"")</f>
        <v/>
      </c>
      <c r="J273" s="84" t="str">
        <f>+IFERROR(VLOOKUP(D273,Conceptos_Analítica_contraloría[#All],3,0),"")</f>
        <v/>
      </c>
    </row>
    <row r="274" spans="3:10" ht="18.75" customHeight="1" x14ac:dyDescent="0.35">
      <c r="C274" s="100" t="str">
        <f>IF(OR(Fact_Analitica[[#This Row], [Año]]="",Fact_Analitica[[#This Row], [Mes]]=""),"",DATE(A274,MATCH(B274,{"enero","febrero","marzo","abril","mayo","junio","julio","agosto","septiembre","octubre","noviembre","diciembre"},0)+1,0))</f>
        <v/>
      </c>
      <c r="E274" t="str">
        <f>+IFERROR(VLOOKUP(Fact_Analitica[[#This Row], [Concepto Anterior]],Conceptos_Analítica_contraloría[#All],5,0),"")</f>
        <v/>
      </c>
      <c r="F274" t="str">
        <f>+IFERROR(VLOOKUP(Fact_Analitica[[#This Row], [Concepto Anterior]],Conceptos_Analítica_contraloría[#All],7,0),"")</f>
        <v/>
      </c>
      <c r="I274" t="str">
        <f>+IFERROR(VLOOKUP(D274,Conceptos_Analítica_contraloría[#All],2,0),"")</f>
        <v/>
      </c>
      <c r="J274" s="84" t="str">
        <f>+IFERROR(VLOOKUP(D274,Conceptos_Analítica_contraloría[#All],3,0),"")</f>
        <v/>
      </c>
    </row>
    <row r="275" spans="3:10" ht="18.75" customHeight="1" x14ac:dyDescent="0.35">
      <c r="C275" s="100" t="str">
        <f>IF(OR(Fact_Analitica[[#This Row], [Año]]="",Fact_Analitica[[#This Row], [Mes]]=""),"",DATE(A275,MATCH(B275,{"enero","febrero","marzo","abril","mayo","junio","julio","agosto","septiembre","octubre","noviembre","diciembre"},0)+1,0))</f>
        <v/>
      </c>
      <c r="E275" t="str">
        <f>+IFERROR(VLOOKUP(Fact_Analitica[[#This Row], [Concepto Anterior]],Conceptos_Analítica_contraloría[#All],5,0),"")</f>
        <v/>
      </c>
      <c r="F275" t="str">
        <f>+IFERROR(VLOOKUP(Fact_Analitica[[#This Row], [Concepto Anterior]],Conceptos_Analítica_contraloría[#All],7,0),"")</f>
        <v/>
      </c>
      <c r="I275" t="str">
        <f>+IFERROR(VLOOKUP(D275,Conceptos_Analítica_contraloría[#All],2,0),"")</f>
        <v/>
      </c>
      <c r="J275" s="84" t="str">
        <f>+IFERROR(VLOOKUP(D275,Conceptos_Analítica_contraloría[#All],3,0),"")</f>
        <v/>
      </c>
    </row>
    <row r="276" spans="3:10" ht="18.75" customHeight="1" x14ac:dyDescent="0.35">
      <c r="C276" s="100" t="str">
        <f>IF(OR(Fact_Analitica[[#This Row], [Año]]="",Fact_Analitica[[#This Row], [Mes]]=""),"",DATE(A276,MATCH(B276,{"enero","febrero","marzo","abril","mayo","junio","julio","agosto","septiembre","octubre","noviembre","diciembre"},0)+1,0))</f>
        <v/>
      </c>
      <c r="E276" t="str">
        <f>+IFERROR(VLOOKUP(Fact_Analitica[[#This Row], [Concepto Anterior]],Conceptos_Analítica_contraloría[#All],5,0),"")</f>
        <v/>
      </c>
      <c r="F276" t="str">
        <f>+IFERROR(VLOOKUP(Fact_Analitica[[#This Row], [Concepto Anterior]],Conceptos_Analítica_contraloría[#All],7,0),"")</f>
        <v/>
      </c>
      <c r="I276" t="str">
        <f>+IFERROR(VLOOKUP(D276,Conceptos_Analítica_contraloría[#All],2,0),"")</f>
        <v/>
      </c>
      <c r="J276" s="84" t="str">
        <f>+IFERROR(VLOOKUP(D276,Conceptos_Analítica_contraloría[#All],3,0),"")</f>
        <v/>
      </c>
    </row>
    <row r="277" spans="3:10" ht="18.75" customHeight="1" x14ac:dyDescent="0.35">
      <c r="C277" s="100" t="str">
        <f>IF(OR(Fact_Analitica[[#This Row], [Año]]="",Fact_Analitica[[#This Row], [Mes]]=""),"",DATE(A277,MATCH(B277,{"enero","febrero","marzo","abril","mayo","junio","julio","agosto","septiembre","octubre","noviembre","diciembre"},0)+1,0))</f>
        <v/>
      </c>
      <c r="E277" t="str">
        <f>+IFERROR(VLOOKUP(Fact_Analitica[[#This Row], [Concepto Anterior]],Conceptos_Analítica_contraloría[#All],5,0),"")</f>
        <v/>
      </c>
      <c r="F277" t="str">
        <f>+IFERROR(VLOOKUP(Fact_Analitica[[#This Row], [Concepto Anterior]],Conceptos_Analítica_contraloría[#All],7,0),"")</f>
        <v/>
      </c>
      <c r="I277" t="str">
        <f>+IFERROR(VLOOKUP(D277,Conceptos_Analítica_contraloría[#All],2,0),"")</f>
        <v/>
      </c>
      <c r="J277" s="84" t="str">
        <f>+IFERROR(VLOOKUP(D277,Conceptos_Analítica_contraloría[#All],3,0),"")</f>
        <v/>
      </c>
    </row>
    <row r="278" spans="3:10" ht="18.75" customHeight="1" x14ac:dyDescent="0.35">
      <c r="C278" s="100" t="str">
        <f>IF(OR(Fact_Analitica[[#This Row], [Año]]="",Fact_Analitica[[#This Row], [Mes]]=""),"",DATE(A278,MATCH(B278,{"enero","febrero","marzo","abril","mayo","junio","julio","agosto","septiembre","octubre","noviembre","diciembre"},0)+1,0))</f>
        <v/>
      </c>
      <c r="E278" t="str">
        <f>+IFERROR(VLOOKUP(Fact_Analitica[[#This Row], [Concepto Anterior]],Conceptos_Analítica_contraloría[#All],5,0),"")</f>
        <v/>
      </c>
      <c r="F278" t="str">
        <f>+IFERROR(VLOOKUP(Fact_Analitica[[#This Row], [Concepto Anterior]],Conceptos_Analítica_contraloría[#All],7,0),"")</f>
        <v/>
      </c>
      <c r="I278" t="str">
        <f>+IFERROR(VLOOKUP(D278,Conceptos_Analítica_contraloría[#All],2,0),"")</f>
        <v/>
      </c>
      <c r="J278" s="84" t="str">
        <f>+IFERROR(VLOOKUP(D278,Conceptos_Analítica_contraloría[#All],3,0),"")</f>
        <v/>
      </c>
    </row>
    <row r="279" spans="3:10" ht="18.75" customHeight="1" x14ac:dyDescent="0.35">
      <c r="C279" s="100" t="str">
        <f>IF(OR(Fact_Analitica[[#This Row], [Año]]="",Fact_Analitica[[#This Row], [Mes]]=""),"",DATE(A279,MATCH(B279,{"enero","febrero","marzo","abril","mayo","junio","julio","agosto","septiembre","octubre","noviembre","diciembre"},0)+1,0))</f>
        <v/>
      </c>
      <c r="E279" t="str">
        <f>+IFERROR(VLOOKUP(Fact_Analitica[[#This Row], [Concepto Anterior]],Conceptos_Analítica_contraloría[#All],5,0),"")</f>
        <v/>
      </c>
      <c r="F279" t="str">
        <f>+IFERROR(VLOOKUP(Fact_Analitica[[#This Row], [Concepto Anterior]],Conceptos_Analítica_contraloría[#All],7,0),"")</f>
        <v/>
      </c>
      <c r="I279" t="str">
        <f>+IFERROR(VLOOKUP(D279,Conceptos_Analítica_contraloría[#All],2,0),"")</f>
        <v/>
      </c>
      <c r="J279" s="84" t="str">
        <f>+IFERROR(VLOOKUP(D279,Conceptos_Analítica_contraloría[#All],3,0),"")</f>
        <v/>
      </c>
    </row>
    <row r="280" spans="3:10" ht="18.75" customHeight="1" x14ac:dyDescent="0.35">
      <c r="C280" s="100" t="str">
        <f>IF(OR(Fact_Analitica[[#This Row], [Año]]="",Fact_Analitica[[#This Row], [Mes]]=""),"",DATE(A280,MATCH(B280,{"enero","febrero","marzo","abril","mayo","junio","julio","agosto","septiembre","octubre","noviembre","diciembre"},0)+1,0))</f>
        <v/>
      </c>
      <c r="E280" t="str">
        <f>+IFERROR(VLOOKUP(Fact_Analitica[[#This Row], [Concepto Anterior]],Conceptos_Analítica_contraloría[#All],5,0),"")</f>
        <v/>
      </c>
      <c r="F280" t="str">
        <f>+IFERROR(VLOOKUP(Fact_Analitica[[#This Row], [Concepto Anterior]],Conceptos_Analítica_contraloría[#All],7,0),"")</f>
        <v/>
      </c>
      <c r="I280" t="str">
        <f>+IFERROR(VLOOKUP(D280,Conceptos_Analítica_contraloría[#All],2,0),"")</f>
        <v/>
      </c>
      <c r="J280" s="84" t="str">
        <f>+IFERROR(VLOOKUP(D280,Conceptos_Analítica_contraloría[#All],3,0),"")</f>
        <v/>
      </c>
    </row>
    <row r="281" spans="3:10" ht="18.75" customHeight="1" x14ac:dyDescent="0.35">
      <c r="C281" s="100" t="str">
        <f>IF(OR(Fact_Analitica[[#This Row], [Año]]="",Fact_Analitica[[#This Row], [Mes]]=""),"",DATE(A281,MATCH(B281,{"enero","febrero","marzo","abril","mayo","junio","julio","agosto","septiembre","octubre","noviembre","diciembre"},0)+1,0))</f>
        <v/>
      </c>
      <c r="E281" t="str">
        <f>+IFERROR(VLOOKUP(Fact_Analitica[[#This Row], [Concepto Anterior]],Conceptos_Analítica_contraloría[#All],5,0),"")</f>
        <v/>
      </c>
      <c r="F281" t="str">
        <f>+IFERROR(VLOOKUP(Fact_Analitica[[#This Row], [Concepto Anterior]],Conceptos_Analítica_contraloría[#All],7,0),"")</f>
        <v/>
      </c>
      <c r="I281" t="str">
        <f>+IFERROR(VLOOKUP(D281,Conceptos_Analítica_contraloría[#All],2,0),"")</f>
        <v/>
      </c>
      <c r="J281" s="84" t="str">
        <f>+IFERROR(VLOOKUP(D281,Conceptos_Analítica_contraloría[#All],3,0),"")</f>
        <v/>
      </c>
    </row>
    <row r="282" spans="3:10" ht="18.75" customHeight="1" x14ac:dyDescent="0.35">
      <c r="C282" s="100" t="str">
        <f>IF(OR(Fact_Analitica[[#This Row], [Año]]="",Fact_Analitica[[#This Row], [Mes]]=""),"",DATE(A282,MATCH(B282,{"enero","febrero","marzo","abril","mayo","junio","julio","agosto","septiembre","octubre","noviembre","diciembre"},0)+1,0))</f>
        <v/>
      </c>
      <c r="E282" t="str">
        <f>+IFERROR(VLOOKUP(Fact_Analitica[[#This Row], [Concepto Anterior]],Conceptos_Analítica_contraloría[#All],5,0),"")</f>
        <v/>
      </c>
      <c r="F282" t="str">
        <f>+IFERROR(VLOOKUP(Fact_Analitica[[#This Row], [Concepto Anterior]],Conceptos_Analítica_contraloría[#All],7,0),"")</f>
        <v/>
      </c>
      <c r="I282" t="str">
        <f>+IFERROR(VLOOKUP(D282,Conceptos_Analítica_contraloría[#All],2,0),"")</f>
        <v/>
      </c>
      <c r="J282" s="84" t="str">
        <f>+IFERROR(VLOOKUP(D282,Conceptos_Analítica_contraloría[#All],3,0),"")</f>
        <v/>
      </c>
    </row>
    <row r="283" spans="3:10" ht="18.75" customHeight="1" x14ac:dyDescent="0.35">
      <c r="C283" s="100" t="str">
        <f>IF(OR(Fact_Analitica[[#This Row], [Año]]="",Fact_Analitica[[#This Row], [Mes]]=""),"",DATE(A283,MATCH(B283,{"enero","febrero","marzo","abril","mayo","junio","julio","agosto","septiembre","octubre","noviembre","diciembre"},0)+1,0))</f>
        <v/>
      </c>
      <c r="E283" t="str">
        <f>+IFERROR(VLOOKUP(Fact_Analitica[[#This Row], [Concepto Anterior]],Conceptos_Analítica_contraloría[#All],5,0),"")</f>
        <v/>
      </c>
      <c r="F283" t="str">
        <f>+IFERROR(VLOOKUP(Fact_Analitica[[#This Row], [Concepto Anterior]],Conceptos_Analítica_contraloría[#All],7,0),"")</f>
        <v/>
      </c>
      <c r="I283" t="str">
        <f>+IFERROR(VLOOKUP(D283,Conceptos_Analítica_contraloría[#All],2,0),"")</f>
        <v/>
      </c>
      <c r="J283" s="84" t="str">
        <f>+IFERROR(VLOOKUP(D283,Conceptos_Analítica_contraloría[#All],3,0),"")</f>
        <v/>
      </c>
    </row>
    <row r="284" spans="3:10" ht="18.75" customHeight="1" x14ac:dyDescent="0.35">
      <c r="C284" s="100" t="str">
        <f>IF(OR(Fact_Analitica[[#This Row], [Año]]="",Fact_Analitica[[#This Row], [Mes]]=""),"",DATE(A284,MATCH(B284,{"enero","febrero","marzo","abril","mayo","junio","julio","agosto","septiembre","octubre","noviembre","diciembre"},0)+1,0))</f>
        <v/>
      </c>
      <c r="E284" t="str">
        <f>+IFERROR(VLOOKUP(Fact_Analitica[[#This Row], [Concepto Anterior]],Conceptos_Analítica_contraloría[#All],5,0),"")</f>
        <v/>
      </c>
      <c r="F284" t="str">
        <f>+IFERROR(VLOOKUP(Fact_Analitica[[#This Row], [Concepto Anterior]],Conceptos_Analítica_contraloría[#All],7,0),"")</f>
        <v/>
      </c>
      <c r="I284" t="str">
        <f>+IFERROR(VLOOKUP(D284,Conceptos_Analítica_contraloría[#All],2,0),"")</f>
        <v/>
      </c>
      <c r="J284" s="84" t="str">
        <f>+IFERROR(VLOOKUP(D284,Conceptos_Analítica_contraloría[#All],3,0),"")</f>
        <v/>
      </c>
    </row>
    <row r="285" spans="3:10" ht="18.75" customHeight="1" x14ac:dyDescent="0.35">
      <c r="C285" s="100" t="str">
        <f>IF(OR(Fact_Analitica[[#This Row], [Año]]="",Fact_Analitica[[#This Row], [Mes]]=""),"",DATE(A285,MATCH(B285,{"enero","febrero","marzo","abril","mayo","junio","julio","agosto","septiembre","octubre","noviembre","diciembre"},0)+1,0))</f>
        <v/>
      </c>
      <c r="E285" t="str">
        <f>+IFERROR(VLOOKUP(Fact_Analitica[[#This Row], [Concepto Anterior]],Conceptos_Analítica_contraloría[#All],5,0),"")</f>
        <v/>
      </c>
      <c r="F285" t="str">
        <f>+IFERROR(VLOOKUP(Fact_Analitica[[#This Row], [Concepto Anterior]],Conceptos_Analítica_contraloría[#All],7,0),"")</f>
        <v/>
      </c>
      <c r="I285" t="str">
        <f>+IFERROR(VLOOKUP(D285,Conceptos_Analítica_contraloría[#All],2,0),"")</f>
        <v/>
      </c>
      <c r="J285" s="84" t="str">
        <f>+IFERROR(VLOOKUP(D285,Conceptos_Analítica_contraloría[#All],3,0),"")</f>
        <v/>
      </c>
    </row>
    <row r="286" spans="3:10" ht="18.75" customHeight="1" x14ac:dyDescent="0.35">
      <c r="C286" s="100" t="str">
        <f>IF(OR(Fact_Analitica[[#This Row], [Año]]="",Fact_Analitica[[#This Row], [Mes]]=""),"",DATE(A286,MATCH(B286,{"enero","febrero","marzo","abril","mayo","junio","julio","agosto","septiembre","octubre","noviembre","diciembre"},0)+1,0))</f>
        <v/>
      </c>
      <c r="E286" t="str">
        <f>+IFERROR(VLOOKUP(Fact_Analitica[[#This Row], [Concepto Anterior]],Conceptos_Analítica_contraloría[#All],5,0),"")</f>
        <v/>
      </c>
      <c r="F286" t="str">
        <f>+IFERROR(VLOOKUP(Fact_Analitica[[#This Row], [Concepto Anterior]],Conceptos_Analítica_contraloría[#All],7,0),"")</f>
        <v/>
      </c>
      <c r="I286" t="str">
        <f>+IFERROR(VLOOKUP(D286,Conceptos_Analítica_contraloría[#All],2,0),"")</f>
        <v/>
      </c>
      <c r="J286" s="84" t="str">
        <f>+IFERROR(VLOOKUP(D286,Conceptos_Analítica_contraloría[#All],3,0),"")</f>
        <v/>
      </c>
    </row>
    <row r="287" spans="3:10" ht="18.75" customHeight="1" x14ac:dyDescent="0.35">
      <c r="C287" s="100" t="str">
        <f>IF(OR(Fact_Analitica[[#This Row], [Año]]="",Fact_Analitica[[#This Row], [Mes]]=""),"",DATE(A287,MATCH(B287,{"enero","febrero","marzo","abril","mayo","junio","julio","agosto","septiembre","octubre","noviembre","diciembre"},0)+1,0))</f>
        <v/>
      </c>
      <c r="E287" t="str">
        <f>+IFERROR(VLOOKUP(Fact_Analitica[[#This Row], [Concepto Anterior]],Conceptos_Analítica_contraloría[#All],5,0),"")</f>
        <v/>
      </c>
      <c r="F287" t="str">
        <f>+IFERROR(VLOOKUP(Fact_Analitica[[#This Row], [Concepto Anterior]],Conceptos_Analítica_contraloría[#All],7,0),"")</f>
        <v/>
      </c>
      <c r="I287" t="str">
        <f>+IFERROR(VLOOKUP(D287,Conceptos_Analítica_contraloría[#All],2,0),"")</f>
        <v/>
      </c>
      <c r="J287" s="84" t="str">
        <f>+IFERROR(VLOOKUP(D287,Conceptos_Analítica_contraloría[#All],3,0),"")</f>
        <v/>
      </c>
    </row>
    <row r="288" spans="3:10" ht="18.75" customHeight="1" x14ac:dyDescent="0.35">
      <c r="C288" s="100" t="str">
        <f>IF(OR(Fact_Analitica[[#This Row], [Año]]="",Fact_Analitica[[#This Row], [Mes]]=""),"",DATE(A288,MATCH(B288,{"enero","febrero","marzo","abril","mayo","junio","julio","agosto","septiembre","octubre","noviembre","diciembre"},0)+1,0))</f>
        <v/>
      </c>
      <c r="E288" t="str">
        <f>+IFERROR(VLOOKUP(Fact_Analitica[[#This Row], [Concepto Anterior]],Conceptos_Analítica_contraloría[#All],5,0),"")</f>
        <v/>
      </c>
      <c r="F288" t="str">
        <f>+IFERROR(VLOOKUP(Fact_Analitica[[#This Row], [Concepto Anterior]],Conceptos_Analítica_contraloría[#All],7,0),"")</f>
        <v/>
      </c>
      <c r="I288" t="str">
        <f>+IFERROR(VLOOKUP(D288,Conceptos_Analítica_contraloría[#All],2,0),"")</f>
        <v/>
      </c>
      <c r="J288" s="84" t="str">
        <f>+IFERROR(VLOOKUP(D288,Conceptos_Analítica_contraloría[#All],3,0),"")</f>
        <v/>
      </c>
    </row>
    <row r="289" spans="3:10" ht="18.75" customHeight="1" x14ac:dyDescent="0.35">
      <c r="C289" s="100" t="str">
        <f>IF(OR(Fact_Analitica[[#This Row], [Año]]="",Fact_Analitica[[#This Row], [Mes]]=""),"",DATE(A289,MATCH(B289,{"enero","febrero","marzo","abril","mayo","junio","julio","agosto","septiembre","octubre","noviembre","diciembre"},0)+1,0))</f>
        <v/>
      </c>
      <c r="E289" t="str">
        <f>+IFERROR(VLOOKUP(Fact_Analitica[[#This Row], [Concepto Anterior]],Conceptos_Analítica_contraloría[#All],5,0),"")</f>
        <v/>
      </c>
      <c r="F289" t="str">
        <f>+IFERROR(VLOOKUP(Fact_Analitica[[#This Row], [Concepto Anterior]],Conceptos_Analítica_contraloría[#All],7,0),"")</f>
        <v/>
      </c>
      <c r="I289" t="str">
        <f>+IFERROR(VLOOKUP(D289,Conceptos_Analítica_contraloría[#All],2,0),"")</f>
        <v/>
      </c>
      <c r="J289" s="84" t="str">
        <f>+IFERROR(VLOOKUP(D289,Conceptos_Analítica_contraloría[#All],3,0),"")</f>
        <v/>
      </c>
    </row>
    <row r="290" spans="3:10" ht="18.75" customHeight="1" x14ac:dyDescent="0.35">
      <c r="C290" s="100" t="str">
        <f>IF(OR(Fact_Analitica[[#This Row], [Año]]="",Fact_Analitica[[#This Row], [Mes]]=""),"",DATE(A290,MATCH(B290,{"enero","febrero","marzo","abril","mayo","junio","julio","agosto","septiembre","octubre","noviembre","diciembre"},0)+1,0))</f>
        <v/>
      </c>
      <c r="E290" t="str">
        <f>+IFERROR(VLOOKUP(Fact_Analitica[[#This Row], [Concepto Anterior]],Conceptos_Analítica_contraloría[#All],5,0),"")</f>
        <v/>
      </c>
      <c r="F290" t="str">
        <f>+IFERROR(VLOOKUP(Fact_Analitica[[#This Row], [Concepto Anterior]],Conceptos_Analítica_contraloría[#All],7,0),"")</f>
        <v/>
      </c>
      <c r="I290" t="str">
        <f>+IFERROR(VLOOKUP(D290,Conceptos_Analítica_contraloría[#All],2,0),"")</f>
        <v/>
      </c>
      <c r="J290" s="84" t="str">
        <f>+IFERROR(VLOOKUP(D290,Conceptos_Analítica_contraloría[#All],3,0),"")</f>
        <v/>
      </c>
    </row>
    <row r="291" spans="3:10" ht="18.75" customHeight="1" x14ac:dyDescent="0.35">
      <c r="C291" s="100" t="str">
        <f>IF(OR(Fact_Analitica[[#This Row], [Año]]="",Fact_Analitica[[#This Row], [Mes]]=""),"",DATE(A291,MATCH(B291,{"enero","febrero","marzo","abril","mayo","junio","julio","agosto","septiembre","octubre","noviembre","diciembre"},0)+1,0))</f>
        <v/>
      </c>
      <c r="E291" t="str">
        <f>+IFERROR(VLOOKUP(Fact_Analitica[[#This Row], [Concepto Anterior]],Conceptos_Analítica_contraloría[#All],5,0),"")</f>
        <v/>
      </c>
      <c r="F291" t="str">
        <f>+IFERROR(VLOOKUP(Fact_Analitica[[#This Row], [Concepto Anterior]],Conceptos_Analítica_contraloría[#All],7,0),"")</f>
        <v/>
      </c>
      <c r="I291" t="str">
        <f>+IFERROR(VLOOKUP(D291,Conceptos_Analítica_contraloría[#All],2,0),"")</f>
        <v/>
      </c>
      <c r="J291" s="84" t="str">
        <f>+IFERROR(VLOOKUP(D291,Conceptos_Analítica_contraloría[#All],3,0),"")</f>
        <v/>
      </c>
    </row>
    <row r="292" spans="3:10" ht="18.75" customHeight="1" x14ac:dyDescent="0.35">
      <c r="C292" s="100" t="str">
        <f>IF(OR(Fact_Analitica[[#This Row], [Año]]="",Fact_Analitica[[#This Row], [Mes]]=""),"",DATE(A292,MATCH(B292,{"enero","febrero","marzo","abril","mayo","junio","julio","agosto","septiembre","octubre","noviembre","diciembre"},0)+1,0))</f>
        <v/>
      </c>
      <c r="E292" t="str">
        <f>+IFERROR(VLOOKUP(Fact_Analitica[[#This Row], [Concepto Anterior]],Conceptos_Analítica_contraloría[#All],5,0),"")</f>
        <v/>
      </c>
      <c r="F292" t="str">
        <f>+IFERROR(VLOOKUP(Fact_Analitica[[#This Row], [Concepto Anterior]],Conceptos_Analítica_contraloría[#All],7,0),"")</f>
        <v/>
      </c>
      <c r="I292" t="str">
        <f>+IFERROR(VLOOKUP(D292,Conceptos_Analítica_contraloría[#All],2,0),"")</f>
        <v/>
      </c>
      <c r="J292" s="84" t="str">
        <f>+IFERROR(VLOOKUP(D292,Conceptos_Analítica_contraloría[#All],3,0),"")</f>
        <v/>
      </c>
    </row>
    <row r="293" spans="3:10" ht="18.75" customHeight="1" x14ac:dyDescent="0.35">
      <c r="C293" s="100" t="str">
        <f>IF(OR(Fact_Analitica[[#This Row], [Año]]="",Fact_Analitica[[#This Row], [Mes]]=""),"",DATE(A293,MATCH(B293,{"enero","febrero","marzo","abril","mayo","junio","julio","agosto","septiembre","octubre","noviembre","diciembre"},0)+1,0))</f>
        <v/>
      </c>
      <c r="E293" t="str">
        <f>+IFERROR(VLOOKUP(Fact_Analitica[[#This Row], [Concepto Anterior]],Conceptos_Analítica_contraloría[#All],5,0),"")</f>
        <v/>
      </c>
      <c r="F293" t="str">
        <f>+IFERROR(VLOOKUP(Fact_Analitica[[#This Row], [Concepto Anterior]],Conceptos_Analítica_contraloría[#All],7,0),"")</f>
        <v/>
      </c>
      <c r="I293" t="str">
        <f>+IFERROR(VLOOKUP(D293,Conceptos_Analítica_contraloría[#All],2,0),"")</f>
        <v/>
      </c>
      <c r="J293" s="84" t="str">
        <f>+IFERROR(VLOOKUP(D293,Conceptos_Analítica_contraloría[#All],3,0),"")</f>
        <v/>
      </c>
    </row>
    <row r="294" spans="3:10" ht="18.75" customHeight="1" x14ac:dyDescent="0.35">
      <c r="C294" s="100" t="str">
        <f>IF(OR(Fact_Analitica[[#This Row], [Año]]="",Fact_Analitica[[#This Row], [Mes]]=""),"",DATE(A294,MATCH(B294,{"enero","febrero","marzo","abril","mayo","junio","julio","agosto","septiembre","octubre","noviembre","diciembre"},0)+1,0))</f>
        <v/>
      </c>
      <c r="E294" t="str">
        <f>+IFERROR(VLOOKUP(Fact_Analitica[[#This Row], [Concepto Anterior]],Conceptos_Analítica_contraloría[#All],5,0),"")</f>
        <v/>
      </c>
      <c r="F294" t="str">
        <f>+IFERROR(VLOOKUP(Fact_Analitica[[#This Row], [Concepto Anterior]],Conceptos_Analítica_contraloría[#All],7,0),"")</f>
        <v/>
      </c>
      <c r="I294" t="str">
        <f>+IFERROR(VLOOKUP(D294,Conceptos_Analítica_contraloría[#All],2,0),"")</f>
        <v/>
      </c>
      <c r="J294" s="84" t="str">
        <f>+IFERROR(VLOOKUP(D294,Conceptos_Analítica_contraloría[#All],3,0),"")</f>
        <v/>
      </c>
    </row>
    <row r="295" spans="3:10" ht="18.75" customHeight="1" x14ac:dyDescent="0.35">
      <c r="C295" s="100" t="str">
        <f>IF(OR(Fact_Analitica[[#This Row], [Año]]="",Fact_Analitica[[#This Row], [Mes]]=""),"",DATE(A295,MATCH(B295,{"enero","febrero","marzo","abril","mayo","junio","julio","agosto","septiembre","octubre","noviembre","diciembre"},0)+1,0))</f>
        <v/>
      </c>
      <c r="E295" t="str">
        <f>+IFERROR(VLOOKUP(Fact_Analitica[[#This Row], [Concepto Anterior]],Conceptos_Analítica_contraloría[#All],5,0),"")</f>
        <v/>
      </c>
      <c r="F295" t="str">
        <f>+IFERROR(VLOOKUP(Fact_Analitica[[#This Row], [Concepto Anterior]],Conceptos_Analítica_contraloría[#All],7,0),"")</f>
        <v/>
      </c>
      <c r="I295" t="str">
        <f>+IFERROR(VLOOKUP(D295,Conceptos_Analítica_contraloría[#All],2,0),"")</f>
        <v/>
      </c>
      <c r="J295" s="84" t="str">
        <f>+IFERROR(VLOOKUP(D295,Conceptos_Analítica_contraloría[#All],3,0),"")</f>
        <v/>
      </c>
    </row>
    <row r="296" spans="3:10" ht="18.75" customHeight="1" x14ac:dyDescent="0.35">
      <c r="C296" s="100" t="str">
        <f>IF(OR(Fact_Analitica[[#This Row], [Año]]="",Fact_Analitica[[#This Row], [Mes]]=""),"",DATE(A296,MATCH(B296,{"enero","febrero","marzo","abril","mayo","junio","julio","agosto","septiembre","octubre","noviembre","diciembre"},0)+1,0))</f>
        <v/>
      </c>
      <c r="E296" t="str">
        <f>+IFERROR(VLOOKUP(Fact_Analitica[[#This Row], [Concepto Anterior]],Conceptos_Analítica_contraloría[#All],5,0),"")</f>
        <v/>
      </c>
      <c r="F296" t="str">
        <f>+IFERROR(VLOOKUP(Fact_Analitica[[#This Row], [Concepto Anterior]],Conceptos_Analítica_contraloría[#All],7,0),"")</f>
        <v/>
      </c>
      <c r="I296" t="str">
        <f>+IFERROR(VLOOKUP(D296,Conceptos_Analítica_contraloría[#All],2,0),"")</f>
        <v/>
      </c>
      <c r="J296" s="84" t="str">
        <f>+IFERROR(VLOOKUP(D296,Conceptos_Analítica_contraloría[#All],3,0),"")</f>
        <v/>
      </c>
    </row>
    <row r="297" spans="3:10" ht="18.75" customHeight="1" x14ac:dyDescent="0.35">
      <c r="C297" s="100" t="str">
        <f>IF(OR(Fact_Analitica[[#This Row], [Año]]="",Fact_Analitica[[#This Row], [Mes]]=""),"",DATE(A297,MATCH(B297,{"enero","febrero","marzo","abril","mayo","junio","julio","agosto","septiembre","octubre","noviembre","diciembre"},0)+1,0))</f>
        <v/>
      </c>
      <c r="E297" t="str">
        <f>+IFERROR(VLOOKUP(Fact_Analitica[[#This Row], [Concepto Anterior]],Conceptos_Analítica_contraloría[#All],5,0),"")</f>
        <v/>
      </c>
      <c r="F297" t="str">
        <f>+IFERROR(VLOOKUP(Fact_Analitica[[#This Row], [Concepto Anterior]],Conceptos_Analítica_contraloría[#All],7,0),"")</f>
        <v/>
      </c>
      <c r="I297" t="str">
        <f>+IFERROR(VLOOKUP(D297,Conceptos_Analítica_contraloría[#All],2,0),"")</f>
        <v/>
      </c>
      <c r="J297" s="84" t="str">
        <f>+IFERROR(VLOOKUP(D297,Conceptos_Analítica_contraloría[#All],3,0),"")</f>
        <v/>
      </c>
    </row>
    <row r="298" spans="3:10" ht="18.75" customHeight="1" x14ac:dyDescent="0.35">
      <c r="C298" s="100" t="str">
        <f>IF(OR(Fact_Analitica[[#This Row], [Año]]="",Fact_Analitica[[#This Row], [Mes]]=""),"",DATE(A298,MATCH(B298,{"enero","febrero","marzo","abril","mayo","junio","julio","agosto","septiembre","octubre","noviembre","diciembre"},0)+1,0))</f>
        <v/>
      </c>
      <c r="E298" t="str">
        <f>+IFERROR(VLOOKUP(Fact_Analitica[[#This Row], [Concepto Anterior]],Conceptos_Analítica_contraloría[#All],5,0),"")</f>
        <v/>
      </c>
      <c r="F298" t="str">
        <f>+IFERROR(VLOOKUP(Fact_Analitica[[#This Row], [Concepto Anterior]],Conceptos_Analítica_contraloría[#All],7,0),"")</f>
        <v/>
      </c>
      <c r="I298" t="str">
        <f>+IFERROR(VLOOKUP(D298,Conceptos_Analítica_contraloría[#All],2,0),"")</f>
        <v/>
      </c>
      <c r="J298" s="84" t="str">
        <f>+IFERROR(VLOOKUP(D298,Conceptos_Analítica_contraloría[#All],3,0),"")</f>
        <v/>
      </c>
    </row>
    <row r="299" spans="3:10" ht="18.75" customHeight="1" x14ac:dyDescent="0.35">
      <c r="C299" s="100" t="str">
        <f>IF(OR(Fact_Analitica[[#This Row], [Año]]="",Fact_Analitica[[#This Row], [Mes]]=""),"",DATE(A299,MATCH(B299,{"enero","febrero","marzo","abril","mayo","junio","julio","agosto","septiembre","octubre","noviembre","diciembre"},0)+1,0))</f>
        <v/>
      </c>
      <c r="E299" t="str">
        <f>+IFERROR(VLOOKUP(Fact_Analitica[[#This Row], [Concepto Anterior]],Conceptos_Analítica_contraloría[#All],5,0),"")</f>
        <v/>
      </c>
      <c r="F299" t="str">
        <f>+IFERROR(VLOOKUP(Fact_Analitica[[#This Row], [Concepto Anterior]],Conceptos_Analítica_contraloría[#All],7,0),"")</f>
        <v/>
      </c>
      <c r="I299" t="str">
        <f>+IFERROR(VLOOKUP(D299,Conceptos_Analítica_contraloría[#All],2,0),"")</f>
        <v/>
      </c>
      <c r="J299" s="84" t="str">
        <f>+IFERROR(VLOOKUP(D299,Conceptos_Analítica_contraloría[#All],3,0),"")</f>
        <v/>
      </c>
    </row>
    <row r="300" spans="3:10" ht="18.75" customHeight="1" x14ac:dyDescent="0.35">
      <c r="C300" s="100" t="str">
        <f>IF(OR(Fact_Analitica[[#This Row], [Año]]="",Fact_Analitica[[#This Row], [Mes]]=""),"",DATE(A300,MATCH(B300,{"enero","febrero","marzo","abril","mayo","junio","julio","agosto","septiembre","octubre","noviembre","diciembre"},0)+1,0))</f>
        <v/>
      </c>
      <c r="E300" t="str">
        <f>+IFERROR(VLOOKUP(Fact_Analitica[[#This Row], [Concepto Anterior]],Conceptos_Analítica_contraloría[#All],5,0),"")</f>
        <v/>
      </c>
      <c r="F300" t="str">
        <f>+IFERROR(VLOOKUP(Fact_Analitica[[#This Row], [Concepto Anterior]],Conceptos_Analítica_contraloría[#All],7,0),"")</f>
        <v/>
      </c>
      <c r="I300" t="str">
        <f>+IFERROR(VLOOKUP(D300,Conceptos_Analítica_contraloría[#All],2,0),"")</f>
        <v/>
      </c>
      <c r="J300" s="84" t="str">
        <f>+IFERROR(VLOOKUP(D300,Conceptos_Analítica_contraloría[#All],3,0),"")</f>
        <v/>
      </c>
    </row>
    <row r="301" spans="3:10" ht="18.75" customHeight="1" x14ac:dyDescent="0.35">
      <c r="C301" s="100" t="str">
        <f>IF(OR(Fact_Analitica[[#This Row], [Año]]="",Fact_Analitica[[#This Row], [Mes]]=""),"",DATE(A301,MATCH(B301,{"enero","febrero","marzo","abril","mayo","junio","julio","agosto","septiembre","octubre","noviembre","diciembre"},0)+1,0))</f>
        <v/>
      </c>
      <c r="E301" t="str">
        <f>+IFERROR(VLOOKUP(Fact_Analitica[[#This Row], [Concepto Anterior]],Conceptos_Analítica_contraloría[#All],5,0),"")</f>
        <v/>
      </c>
      <c r="F301" t="str">
        <f>+IFERROR(VLOOKUP(Fact_Analitica[[#This Row], [Concepto Anterior]],Conceptos_Analítica_contraloría[#All],7,0),"")</f>
        <v/>
      </c>
      <c r="I301" t="str">
        <f>+IFERROR(VLOOKUP(D301,Conceptos_Analítica_contraloría[#All],2,0),"")</f>
        <v/>
      </c>
      <c r="J301" s="84" t="str">
        <f>+IFERROR(VLOOKUP(D301,Conceptos_Analítica_contraloría[#All],3,0),"")</f>
        <v/>
      </c>
    </row>
    <row r="302" spans="3:10" ht="18.75" customHeight="1" x14ac:dyDescent="0.35">
      <c r="C302" s="100" t="str">
        <f>IF(OR(Fact_Analitica[[#This Row], [Año]]="",Fact_Analitica[[#This Row], [Mes]]=""),"",DATE(A302,MATCH(B302,{"enero","febrero","marzo","abril","mayo","junio","julio","agosto","septiembre","octubre","noviembre","diciembre"},0)+1,0))</f>
        <v/>
      </c>
      <c r="E302" t="str">
        <f>+IFERROR(VLOOKUP(Fact_Analitica[[#This Row], [Concepto Anterior]],Conceptos_Analítica_contraloría[#All],5,0),"")</f>
        <v/>
      </c>
      <c r="F302" t="str">
        <f>+IFERROR(VLOOKUP(Fact_Analitica[[#This Row], [Concepto Anterior]],Conceptos_Analítica_contraloría[#All],7,0),"")</f>
        <v/>
      </c>
      <c r="I302" t="str">
        <f>+IFERROR(VLOOKUP(D302,Conceptos_Analítica_contraloría[#All],2,0),"")</f>
        <v/>
      </c>
      <c r="J302" s="84" t="str">
        <f>+IFERROR(VLOOKUP(D302,Conceptos_Analítica_contraloría[#All],3,0),"")</f>
        <v/>
      </c>
    </row>
    <row r="303" spans="3:10" ht="18.75" customHeight="1" x14ac:dyDescent="0.35">
      <c r="C303" s="100" t="str">
        <f>IF(OR(Fact_Analitica[[#This Row], [Año]]="",Fact_Analitica[[#This Row], [Mes]]=""),"",DATE(A303,MATCH(B303,{"enero","febrero","marzo","abril","mayo","junio","julio","agosto","septiembre","octubre","noviembre","diciembre"},0)+1,0))</f>
        <v/>
      </c>
      <c r="E303" t="str">
        <f>+IFERROR(VLOOKUP(Fact_Analitica[[#This Row], [Concepto Anterior]],Conceptos_Analítica_contraloría[#All],5,0),"")</f>
        <v/>
      </c>
      <c r="F303" t="str">
        <f>+IFERROR(VLOOKUP(Fact_Analitica[[#This Row], [Concepto Anterior]],Conceptos_Analítica_contraloría[#All],7,0),"")</f>
        <v/>
      </c>
      <c r="I303" t="str">
        <f>+IFERROR(VLOOKUP(D303,Conceptos_Analítica_contraloría[#All],2,0),"")</f>
        <v/>
      </c>
      <c r="J303" s="84" t="str">
        <f>+IFERROR(VLOOKUP(D303,Conceptos_Analítica_contraloría[#All],3,0),"")</f>
        <v/>
      </c>
    </row>
    <row r="304" spans="3:10" ht="18.75" customHeight="1" x14ac:dyDescent="0.35">
      <c r="C304" s="100" t="str">
        <f>IF(OR(Fact_Analitica[[#This Row], [Año]]="",Fact_Analitica[[#This Row], [Mes]]=""),"",DATE(A304,MATCH(B304,{"enero","febrero","marzo","abril","mayo","junio","julio","agosto","septiembre","octubre","noviembre","diciembre"},0)+1,0))</f>
        <v/>
      </c>
      <c r="E304" t="str">
        <f>+IFERROR(VLOOKUP(Fact_Analitica[[#This Row], [Concepto Anterior]],Conceptos_Analítica_contraloría[#All],5,0),"")</f>
        <v/>
      </c>
      <c r="F304" t="str">
        <f>+IFERROR(VLOOKUP(Fact_Analitica[[#This Row], [Concepto Anterior]],Conceptos_Analítica_contraloría[#All],7,0),"")</f>
        <v/>
      </c>
      <c r="I304" t="str">
        <f>+IFERROR(VLOOKUP(D304,Conceptos_Analítica_contraloría[#All],2,0),"")</f>
        <v/>
      </c>
      <c r="J304" s="84" t="str">
        <f>+IFERROR(VLOOKUP(D304,Conceptos_Analítica_contraloría[#All],3,0),"")</f>
        <v/>
      </c>
    </row>
    <row r="305" spans="3:10" ht="18.75" customHeight="1" x14ac:dyDescent="0.35">
      <c r="C305" s="100" t="str">
        <f>IF(OR(Fact_Analitica[[#This Row], [Año]]="",Fact_Analitica[[#This Row], [Mes]]=""),"",DATE(A305,MATCH(B305,{"enero","febrero","marzo","abril","mayo","junio","julio","agosto","septiembre","octubre","noviembre","diciembre"},0)+1,0))</f>
        <v/>
      </c>
      <c r="E305" t="str">
        <f>+IFERROR(VLOOKUP(Fact_Analitica[[#This Row], [Concepto Anterior]],Conceptos_Analítica_contraloría[#All],5,0),"")</f>
        <v/>
      </c>
      <c r="F305" t="str">
        <f>+IFERROR(VLOOKUP(Fact_Analitica[[#This Row], [Concepto Anterior]],Conceptos_Analítica_contraloría[#All],7,0),"")</f>
        <v/>
      </c>
      <c r="I305" t="str">
        <f>+IFERROR(VLOOKUP(D305,Conceptos_Analítica_contraloría[#All],2,0),"")</f>
        <v/>
      </c>
      <c r="J305" s="84" t="str">
        <f>+IFERROR(VLOOKUP(D305,Conceptos_Analítica_contraloría[#All],3,0),"")</f>
        <v/>
      </c>
    </row>
    <row r="306" spans="3:10" ht="18.75" customHeight="1" x14ac:dyDescent="0.35">
      <c r="C306" s="100" t="str">
        <f>IF(OR(Fact_Analitica[[#This Row], [Año]]="",Fact_Analitica[[#This Row], [Mes]]=""),"",DATE(A306,MATCH(B306,{"enero","febrero","marzo","abril","mayo","junio","julio","agosto","septiembre","octubre","noviembre","diciembre"},0)+1,0))</f>
        <v/>
      </c>
      <c r="E306" t="str">
        <f>+IFERROR(VLOOKUP(Fact_Analitica[[#This Row], [Concepto Anterior]],Conceptos_Analítica_contraloría[#All],5,0),"")</f>
        <v/>
      </c>
      <c r="F306" t="str">
        <f>+IFERROR(VLOOKUP(Fact_Analitica[[#This Row], [Concepto Anterior]],Conceptos_Analítica_contraloría[#All],7,0),"")</f>
        <v/>
      </c>
      <c r="I306" t="str">
        <f>+IFERROR(VLOOKUP(D306,Conceptos_Analítica_contraloría[#All],2,0),"")</f>
        <v/>
      </c>
      <c r="J306" s="84" t="str">
        <f>+IFERROR(VLOOKUP(D306,Conceptos_Analítica_contraloría[#All],3,0),"")</f>
        <v/>
      </c>
    </row>
    <row r="307" spans="3:10" ht="18.75" customHeight="1" x14ac:dyDescent="0.35">
      <c r="C307" s="100" t="str">
        <f>IF(OR(Fact_Analitica[[#This Row], [Año]]="",Fact_Analitica[[#This Row], [Mes]]=""),"",DATE(A307,MATCH(B307,{"enero","febrero","marzo","abril","mayo","junio","julio","agosto","septiembre","octubre","noviembre","diciembre"},0)+1,0))</f>
        <v/>
      </c>
      <c r="E307" t="str">
        <f>+IFERROR(VLOOKUP(Fact_Analitica[[#This Row], [Concepto Anterior]],Conceptos_Analítica_contraloría[#All],5,0),"")</f>
        <v/>
      </c>
      <c r="F307" t="str">
        <f>+IFERROR(VLOOKUP(Fact_Analitica[[#This Row], [Concepto Anterior]],Conceptos_Analítica_contraloría[#All],7,0),"")</f>
        <v/>
      </c>
      <c r="I307" t="str">
        <f>+IFERROR(VLOOKUP(D307,Conceptos_Analítica_contraloría[#All],2,0),"")</f>
        <v/>
      </c>
      <c r="J307" s="84" t="str">
        <f>+IFERROR(VLOOKUP(D307,Conceptos_Analítica_contraloría[#All],3,0),"")</f>
        <v/>
      </c>
    </row>
    <row r="308" spans="3:10" ht="18.75" customHeight="1" x14ac:dyDescent="0.35">
      <c r="C308" s="100" t="str">
        <f>IF(OR(Fact_Analitica[[#This Row], [Año]]="",Fact_Analitica[[#This Row], [Mes]]=""),"",DATE(A308,MATCH(B308,{"enero","febrero","marzo","abril","mayo","junio","julio","agosto","septiembre","octubre","noviembre","diciembre"},0)+1,0))</f>
        <v/>
      </c>
      <c r="E308" t="str">
        <f>+IFERROR(VLOOKUP(Fact_Analitica[[#This Row], [Concepto Anterior]],Conceptos_Analítica_contraloría[#All],5,0),"")</f>
        <v/>
      </c>
      <c r="F308" t="str">
        <f>+IFERROR(VLOOKUP(Fact_Analitica[[#This Row], [Concepto Anterior]],Conceptos_Analítica_contraloría[#All],7,0),"")</f>
        <v/>
      </c>
      <c r="I308" t="str">
        <f>+IFERROR(VLOOKUP(D308,Conceptos_Analítica_contraloría[#All],2,0),"")</f>
        <v/>
      </c>
      <c r="J308" s="84" t="str">
        <f>+IFERROR(VLOOKUP(D308,Conceptos_Analítica_contraloría[#All],3,0),"")</f>
        <v/>
      </c>
    </row>
    <row r="309" spans="3:10" ht="18.75" customHeight="1" x14ac:dyDescent="0.35">
      <c r="C309" s="100" t="str">
        <f>IF(OR(Fact_Analitica[[#This Row], [Año]]="",Fact_Analitica[[#This Row], [Mes]]=""),"",DATE(A309,MATCH(B309,{"enero","febrero","marzo","abril","mayo","junio","julio","agosto","septiembre","octubre","noviembre","diciembre"},0)+1,0))</f>
        <v/>
      </c>
      <c r="E309" t="str">
        <f>+IFERROR(VLOOKUP(Fact_Analitica[[#This Row], [Concepto Anterior]],Conceptos_Analítica_contraloría[#All],5,0),"")</f>
        <v/>
      </c>
      <c r="F309" t="str">
        <f>+IFERROR(VLOOKUP(Fact_Analitica[[#This Row], [Concepto Anterior]],Conceptos_Analítica_contraloría[#All],7,0),"")</f>
        <v/>
      </c>
      <c r="I309" t="str">
        <f>+IFERROR(VLOOKUP(D309,Conceptos_Analítica_contraloría[#All],2,0),"")</f>
        <v/>
      </c>
      <c r="J309" s="84" t="str">
        <f>+IFERROR(VLOOKUP(D309,Conceptos_Analítica_contraloría[#All],3,0),"")</f>
        <v/>
      </c>
    </row>
    <row r="310" spans="3:10" ht="18.75" customHeight="1" x14ac:dyDescent="0.35">
      <c r="C310" s="100" t="str">
        <f>IF(OR(Fact_Analitica[[#This Row], [Año]]="",Fact_Analitica[[#This Row], [Mes]]=""),"",DATE(A310,MATCH(B310,{"enero","febrero","marzo","abril","mayo","junio","julio","agosto","septiembre","octubre","noviembre","diciembre"},0)+1,0))</f>
        <v/>
      </c>
      <c r="E310" t="str">
        <f>+IFERROR(VLOOKUP(Fact_Analitica[[#This Row], [Concepto Anterior]],Conceptos_Analítica_contraloría[#All],5,0),"")</f>
        <v/>
      </c>
      <c r="F310" t="str">
        <f>+IFERROR(VLOOKUP(Fact_Analitica[[#This Row], [Concepto Anterior]],Conceptos_Analítica_contraloría[#All],7,0),"")</f>
        <v/>
      </c>
      <c r="I310" t="str">
        <f>+IFERROR(VLOOKUP(D310,Conceptos_Analítica_contraloría[#All],2,0),"")</f>
        <v/>
      </c>
      <c r="J310" s="84" t="str">
        <f>+IFERROR(VLOOKUP(D310,Conceptos_Analítica_contraloría[#All],3,0),"")</f>
        <v/>
      </c>
    </row>
    <row r="311" spans="3:10" ht="18.75" customHeight="1" x14ac:dyDescent="0.35">
      <c r="C311" s="100" t="str">
        <f>IF(OR(Fact_Analitica[[#This Row], [Año]]="",Fact_Analitica[[#This Row], [Mes]]=""),"",DATE(A311,MATCH(B311,{"enero","febrero","marzo","abril","mayo","junio","julio","agosto","septiembre","octubre","noviembre","diciembre"},0)+1,0))</f>
        <v/>
      </c>
      <c r="E311" t="str">
        <f>+IFERROR(VLOOKUP(Fact_Analitica[[#This Row], [Concepto Anterior]],Conceptos_Analítica_contraloría[#All],5,0),"")</f>
        <v/>
      </c>
      <c r="F311" t="str">
        <f>+IFERROR(VLOOKUP(Fact_Analitica[[#This Row], [Concepto Anterior]],Conceptos_Analítica_contraloría[#All],7,0),"")</f>
        <v/>
      </c>
      <c r="I311" t="str">
        <f>+IFERROR(VLOOKUP(D311,Conceptos_Analítica_contraloría[#All],2,0),"")</f>
        <v/>
      </c>
      <c r="J311" s="84" t="str">
        <f>+IFERROR(VLOOKUP(D311,Conceptos_Analítica_contraloría[#All],3,0),"")</f>
        <v/>
      </c>
    </row>
    <row r="312" spans="3:10" ht="18.75" customHeight="1" x14ac:dyDescent="0.35">
      <c r="C312" s="100" t="str">
        <f>IF(OR(Fact_Analitica[[#This Row], [Año]]="",Fact_Analitica[[#This Row], [Mes]]=""),"",DATE(A312,MATCH(B312,{"enero","febrero","marzo","abril","mayo","junio","julio","agosto","septiembre","octubre","noviembre","diciembre"},0)+1,0))</f>
        <v/>
      </c>
      <c r="E312" t="str">
        <f>+IFERROR(VLOOKUP(Fact_Analitica[[#This Row], [Concepto Anterior]],Conceptos_Analítica_contraloría[#All],5,0),"")</f>
        <v/>
      </c>
      <c r="F312" t="str">
        <f>+IFERROR(VLOOKUP(Fact_Analitica[[#This Row], [Concepto Anterior]],Conceptos_Analítica_contraloría[#All],7,0),"")</f>
        <v/>
      </c>
      <c r="I312" t="str">
        <f>+IFERROR(VLOOKUP(D312,Conceptos_Analítica_contraloría[#All],2,0),"")</f>
        <v/>
      </c>
      <c r="J312" s="84" t="str">
        <f>+IFERROR(VLOOKUP(D312,Conceptos_Analítica_contraloría[#All],3,0),"")</f>
        <v/>
      </c>
    </row>
    <row r="313" spans="3:10" ht="18.75" customHeight="1" x14ac:dyDescent="0.35">
      <c r="C313" s="100" t="str">
        <f>IF(OR(Fact_Analitica[[#This Row], [Año]]="",Fact_Analitica[[#This Row], [Mes]]=""),"",DATE(A313,MATCH(B313,{"enero","febrero","marzo","abril","mayo","junio","julio","agosto","septiembre","octubre","noviembre","diciembre"},0)+1,0))</f>
        <v/>
      </c>
      <c r="E313" t="str">
        <f>+IFERROR(VLOOKUP(Fact_Analitica[[#This Row], [Concepto Anterior]],Conceptos_Analítica_contraloría[#All],5,0),"")</f>
        <v/>
      </c>
      <c r="F313" t="str">
        <f>+IFERROR(VLOOKUP(Fact_Analitica[[#This Row], [Concepto Anterior]],Conceptos_Analítica_contraloría[#All],7,0),"")</f>
        <v/>
      </c>
      <c r="I313" t="str">
        <f>+IFERROR(VLOOKUP(D313,Conceptos_Analítica_contraloría[#All],2,0),"")</f>
        <v/>
      </c>
      <c r="J313" s="84" t="str">
        <f>+IFERROR(VLOOKUP(D313,Conceptos_Analítica_contraloría[#All],3,0),"")</f>
        <v/>
      </c>
    </row>
    <row r="314" spans="3:10" ht="18.75" customHeight="1" x14ac:dyDescent="0.35">
      <c r="C314" s="100" t="str">
        <f>IF(OR(Fact_Analitica[[#This Row], [Año]]="",Fact_Analitica[[#This Row], [Mes]]=""),"",DATE(A314,MATCH(B314,{"enero","febrero","marzo","abril","mayo","junio","julio","agosto","septiembre","octubre","noviembre","diciembre"},0)+1,0))</f>
        <v/>
      </c>
      <c r="E314" t="str">
        <f>+IFERROR(VLOOKUP(Fact_Analitica[[#This Row], [Concepto Anterior]],Conceptos_Analítica_contraloría[#All],5,0),"")</f>
        <v/>
      </c>
      <c r="F314" t="str">
        <f>+IFERROR(VLOOKUP(Fact_Analitica[[#This Row], [Concepto Anterior]],Conceptos_Analítica_contraloría[#All],7,0),"")</f>
        <v/>
      </c>
      <c r="I314" t="str">
        <f>+IFERROR(VLOOKUP(D314,Conceptos_Analítica_contraloría[#All],2,0),"")</f>
        <v/>
      </c>
      <c r="J314" s="84" t="str">
        <f>+IFERROR(VLOOKUP(D314,Conceptos_Analítica_contraloría[#All],3,0),"")</f>
        <v/>
      </c>
    </row>
    <row r="315" spans="3:10" ht="18.75" customHeight="1" x14ac:dyDescent="0.35">
      <c r="C315" s="100" t="str">
        <f>IF(OR(Fact_Analitica[[#This Row], [Año]]="",Fact_Analitica[[#This Row], [Mes]]=""),"",DATE(A315,MATCH(B315,{"enero","febrero","marzo","abril","mayo","junio","julio","agosto","septiembre","octubre","noviembre","diciembre"},0)+1,0))</f>
        <v/>
      </c>
      <c r="E315" t="str">
        <f>+IFERROR(VLOOKUP(Fact_Analitica[[#This Row], [Concepto Anterior]],Conceptos_Analítica_contraloría[#All],5,0),"")</f>
        <v/>
      </c>
      <c r="F315" t="str">
        <f>+IFERROR(VLOOKUP(Fact_Analitica[[#This Row], [Concepto Anterior]],Conceptos_Analítica_contraloría[#All],7,0),"")</f>
        <v/>
      </c>
      <c r="I315" t="str">
        <f>+IFERROR(VLOOKUP(D315,Conceptos_Analítica_contraloría[#All],2,0),"")</f>
        <v/>
      </c>
      <c r="J315" s="84" t="str">
        <f>+IFERROR(VLOOKUP(D315,Conceptos_Analítica_contraloría[#All],3,0),"")</f>
        <v/>
      </c>
    </row>
    <row r="316" spans="3:10" ht="18.75" customHeight="1" x14ac:dyDescent="0.35">
      <c r="C316" s="100" t="str">
        <f>IF(OR(Fact_Analitica[[#This Row], [Año]]="",Fact_Analitica[[#This Row], [Mes]]=""),"",DATE(A316,MATCH(B316,{"enero","febrero","marzo","abril","mayo","junio","julio","agosto","septiembre","octubre","noviembre","diciembre"},0)+1,0))</f>
        <v/>
      </c>
      <c r="E316" t="str">
        <f>+IFERROR(VLOOKUP(Fact_Analitica[[#This Row], [Concepto Anterior]],Conceptos_Analítica_contraloría[#All],5,0),"")</f>
        <v/>
      </c>
      <c r="F316" t="str">
        <f>+IFERROR(VLOOKUP(Fact_Analitica[[#This Row], [Concepto Anterior]],Conceptos_Analítica_contraloría[#All],7,0),"")</f>
        <v/>
      </c>
      <c r="I316" t="str">
        <f>+IFERROR(VLOOKUP(D316,Conceptos_Analítica_contraloría[#All],2,0),"")</f>
        <v/>
      </c>
      <c r="J316" s="84" t="str">
        <f>+IFERROR(VLOOKUP(D316,Conceptos_Analítica_contraloría[#All],3,0),"")</f>
        <v/>
      </c>
    </row>
    <row r="317" spans="3:10" ht="18.75" customHeight="1" x14ac:dyDescent="0.35">
      <c r="C317" s="100" t="str">
        <f>IF(OR(Fact_Analitica[[#This Row], [Año]]="",Fact_Analitica[[#This Row], [Mes]]=""),"",DATE(A317,MATCH(B317,{"enero","febrero","marzo","abril","mayo","junio","julio","agosto","septiembre","octubre","noviembre","diciembre"},0)+1,0))</f>
        <v/>
      </c>
      <c r="E317" t="str">
        <f>+IFERROR(VLOOKUP(Fact_Analitica[[#This Row], [Concepto Anterior]],Conceptos_Analítica_contraloría[#All],5,0),"")</f>
        <v/>
      </c>
      <c r="F317" t="str">
        <f>+IFERROR(VLOOKUP(Fact_Analitica[[#This Row], [Concepto Anterior]],Conceptos_Analítica_contraloría[#All],7,0),"")</f>
        <v/>
      </c>
      <c r="I317" t="str">
        <f>+IFERROR(VLOOKUP(D317,Conceptos_Analítica_contraloría[#All],2,0),"")</f>
        <v/>
      </c>
      <c r="J317" s="84" t="str">
        <f>+IFERROR(VLOOKUP(D317,Conceptos_Analítica_contraloría[#All],3,0),"")</f>
        <v/>
      </c>
    </row>
    <row r="318" spans="3:10" ht="18.75" customHeight="1" x14ac:dyDescent="0.35">
      <c r="C318" s="100" t="str">
        <f>IF(OR(Fact_Analitica[[#This Row], [Año]]="",Fact_Analitica[[#This Row], [Mes]]=""),"",DATE(A318,MATCH(B318,{"enero","febrero","marzo","abril","mayo","junio","julio","agosto","septiembre","octubre","noviembre","diciembre"},0)+1,0))</f>
        <v/>
      </c>
      <c r="E318" t="str">
        <f>+IFERROR(VLOOKUP(Fact_Analitica[[#This Row], [Concepto Anterior]],Conceptos_Analítica_contraloría[#All],5,0),"")</f>
        <v/>
      </c>
      <c r="F318" t="str">
        <f>+IFERROR(VLOOKUP(Fact_Analitica[[#This Row], [Concepto Anterior]],Conceptos_Analítica_contraloría[#All],7,0),"")</f>
        <v/>
      </c>
      <c r="I318" t="str">
        <f>+IFERROR(VLOOKUP(D318,Conceptos_Analítica_contraloría[#All],2,0),"")</f>
        <v/>
      </c>
      <c r="J318" s="84" t="str">
        <f>+IFERROR(VLOOKUP(D318,Conceptos_Analítica_contraloría[#All],3,0),"")</f>
        <v/>
      </c>
    </row>
    <row r="319" spans="3:10" ht="18.75" customHeight="1" x14ac:dyDescent="0.35">
      <c r="C319" s="100" t="str">
        <f>IF(OR(Fact_Analitica[[#This Row], [Año]]="",Fact_Analitica[[#This Row], [Mes]]=""),"",DATE(A319,MATCH(B319,{"enero","febrero","marzo","abril","mayo","junio","julio","agosto","septiembre","octubre","noviembre","diciembre"},0)+1,0))</f>
        <v/>
      </c>
      <c r="E319" t="str">
        <f>+IFERROR(VLOOKUP(Fact_Analitica[[#This Row], [Concepto Anterior]],Conceptos_Analítica_contraloría[#All],5,0),"")</f>
        <v/>
      </c>
      <c r="F319" t="str">
        <f>+IFERROR(VLOOKUP(Fact_Analitica[[#This Row], [Concepto Anterior]],Conceptos_Analítica_contraloría[#All],7,0),"")</f>
        <v/>
      </c>
      <c r="I319" t="str">
        <f>+IFERROR(VLOOKUP(D319,Conceptos_Analítica_contraloría[#All],2,0),"")</f>
        <v/>
      </c>
      <c r="J319" s="84" t="str">
        <f>+IFERROR(VLOOKUP(D319,Conceptos_Analítica_contraloría[#All],3,0),"")</f>
        <v/>
      </c>
    </row>
    <row r="320" spans="3:10" ht="18.75" customHeight="1" x14ac:dyDescent="0.35">
      <c r="C320" s="100" t="str">
        <f>IF(OR(Fact_Analitica[[#This Row], [Año]]="",Fact_Analitica[[#This Row], [Mes]]=""),"",DATE(A320,MATCH(B320,{"enero","febrero","marzo","abril","mayo","junio","julio","agosto","septiembre","octubre","noviembre","diciembre"},0)+1,0))</f>
        <v/>
      </c>
      <c r="E320" t="str">
        <f>+IFERROR(VLOOKUP(Fact_Analitica[[#This Row], [Concepto Anterior]],Conceptos_Analítica_contraloría[#All],5,0),"")</f>
        <v/>
      </c>
      <c r="F320" t="str">
        <f>+IFERROR(VLOOKUP(Fact_Analitica[[#This Row], [Concepto Anterior]],Conceptos_Analítica_contraloría[#All],7,0),"")</f>
        <v/>
      </c>
      <c r="I320" t="str">
        <f>+IFERROR(VLOOKUP(D320,Conceptos_Analítica_contraloría[#All],2,0),"")</f>
        <v/>
      </c>
      <c r="J320" s="84" t="str">
        <f>+IFERROR(VLOOKUP(D320,Conceptos_Analítica_contraloría[#All],3,0),"")</f>
        <v/>
      </c>
    </row>
    <row r="321" spans="3:10" ht="18.75" customHeight="1" x14ac:dyDescent="0.35">
      <c r="C321" s="100" t="str">
        <f>IF(OR(Fact_Analitica[[#This Row], [Año]]="",Fact_Analitica[[#This Row], [Mes]]=""),"",DATE(A321,MATCH(B321,{"enero","febrero","marzo","abril","mayo","junio","julio","agosto","septiembre","octubre","noviembre","diciembre"},0)+1,0))</f>
        <v/>
      </c>
      <c r="E321" t="str">
        <f>+IFERROR(VLOOKUP(Fact_Analitica[[#This Row], [Concepto Anterior]],Conceptos_Analítica_contraloría[#All],5,0),"")</f>
        <v/>
      </c>
      <c r="F321" t="str">
        <f>+IFERROR(VLOOKUP(Fact_Analitica[[#This Row], [Concepto Anterior]],Conceptos_Analítica_contraloría[#All],7,0),"")</f>
        <v/>
      </c>
      <c r="I321" t="str">
        <f>+IFERROR(VLOOKUP(D321,Conceptos_Analítica_contraloría[#All],2,0),"")</f>
        <v/>
      </c>
      <c r="J321" s="84" t="str">
        <f>+IFERROR(VLOOKUP(D321,Conceptos_Analítica_contraloría[#All],3,0),"")</f>
        <v/>
      </c>
    </row>
    <row r="322" spans="3:10" ht="18.75" customHeight="1" x14ac:dyDescent="0.35">
      <c r="C322" s="100" t="str">
        <f>IF(OR(Fact_Analitica[[#This Row], [Año]]="",Fact_Analitica[[#This Row], [Mes]]=""),"",DATE(A322,MATCH(B322,{"enero","febrero","marzo","abril","mayo","junio","julio","agosto","septiembre","octubre","noviembre","diciembre"},0)+1,0))</f>
        <v/>
      </c>
      <c r="E322" t="str">
        <f>+IFERROR(VLOOKUP(Fact_Analitica[[#This Row], [Concepto Anterior]],Conceptos_Analítica_contraloría[#All],5,0),"")</f>
        <v/>
      </c>
      <c r="F322" t="str">
        <f>+IFERROR(VLOOKUP(Fact_Analitica[[#This Row], [Concepto Anterior]],Conceptos_Analítica_contraloría[#All],7,0),"")</f>
        <v/>
      </c>
      <c r="I322" t="str">
        <f>+IFERROR(VLOOKUP(D322,Conceptos_Analítica_contraloría[#All],2,0),"")</f>
        <v/>
      </c>
      <c r="J322" s="84" t="str">
        <f>+IFERROR(VLOOKUP(D322,Conceptos_Analítica_contraloría[#All],3,0),"")</f>
        <v/>
      </c>
    </row>
    <row r="323" spans="3:10" ht="18.75" customHeight="1" x14ac:dyDescent="0.35">
      <c r="C323" s="100" t="str">
        <f>IF(OR(Fact_Analitica[[#This Row], [Año]]="",Fact_Analitica[[#This Row], [Mes]]=""),"",DATE(A323,MATCH(B323,{"enero","febrero","marzo","abril","mayo","junio","julio","agosto","septiembre","octubre","noviembre","diciembre"},0)+1,0))</f>
        <v/>
      </c>
      <c r="E323" t="str">
        <f>+IFERROR(VLOOKUP(Fact_Analitica[[#This Row], [Concepto Anterior]],Conceptos_Analítica_contraloría[#All],5,0),"")</f>
        <v/>
      </c>
      <c r="F323" t="str">
        <f>+IFERROR(VLOOKUP(Fact_Analitica[[#This Row], [Concepto Anterior]],Conceptos_Analítica_contraloría[#All],7,0),"")</f>
        <v/>
      </c>
      <c r="I323" t="str">
        <f>+IFERROR(VLOOKUP(D323,Conceptos_Analítica_contraloría[#All],2,0),"")</f>
        <v/>
      </c>
      <c r="J323" s="84" t="str">
        <f>+IFERROR(VLOOKUP(D323,Conceptos_Analítica_contraloría[#All],3,0),"")</f>
        <v/>
      </c>
    </row>
    <row r="324" spans="3:10" ht="18.75" customHeight="1" x14ac:dyDescent="0.35">
      <c r="C324" s="100" t="str">
        <f>IF(OR(Fact_Analitica[[#This Row], [Año]]="",Fact_Analitica[[#This Row], [Mes]]=""),"",DATE(A324,MATCH(B324,{"enero","febrero","marzo","abril","mayo","junio","julio","agosto","septiembre","octubre","noviembre","diciembre"},0)+1,0))</f>
        <v/>
      </c>
      <c r="E324" t="str">
        <f>+IFERROR(VLOOKUP(Fact_Analitica[[#This Row], [Concepto Anterior]],Conceptos_Analítica_contraloría[#All],5,0),"")</f>
        <v/>
      </c>
      <c r="F324" t="str">
        <f>+IFERROR(VLOOKUP(Fact_Analitica[[#This Row], [Concepto Anterior]],Conceptos_Analítica_contraloría[#All],7,0),"")</f>
        <v/>
      </c>
      <c r="I324" t="str">
        <f>+IFERROR(VLOOKUP(D324,Conceptos_Analítica_contraloría[#All],2,0),"")</f>
        <v/>
      </c>
      <c r="J324" s="84" t="str">
        <f>+IFERROR(VLOOKUP(D324,Conceptos_Analítica_contraloría[#All],3,0),"")</f>
        <v/>
      </c>
    </row>
    <row r="325" spans="3:10" ht="18.75" customHeight="1" x14ac:dyDescent="0.35">
      <c r="C325" s="100" t="str">
        <f>IF(OR(Fact_Analitica[[#This Row], [Año]]="",Fact_Analitica[[#This Row], [Mes]]=""),"",DATE(A325,MATCH(B325,{"enero","febrero","marzo","abril","mayo","junio","julio","agosto","septiembre","octubre","noviembre","diciembre"},0)+1,0))</f>
        <v/>
      </c>
      <c r="E325" t="str">
        <f>+IFERROR(VLOOKUP(Fact_Analitica[[#This Row], [Concepto Anterior]],Conceptos_Analítica_contraloría[#All],5,0),"")</f>
        <v/>
      </c>
      <c r="F325" t="str">
        <f>+IFERROR(VLOOKUP(Fact_Analitica[[#This Row], [Concepto Anterior]],Conceptos_Analítica_contraloría[#All],7,0),"")</f>
        <v/>
      </c>
      <c r="I325" t="str">
        <f>+IFERROR(VLOOKUP(D325,Conceptos_Analítica_contraloría[#All],2,0),"")</f>
        <v/>
      </c>
      <c r="J325" s="84" t="str">
        <f>+IFERROR(VLOOKUP(D325,Conceptos_Analítica_contraloría[#All],3,0),"")</f>
        <v/>
      </c>
    </row>
    <row r="326" spans="3:10" ht="18.75" customHeight="1" x14ac:dyDescent="0.35">
      <c r="C326" s="100" t="str">
        <f>IF(OR(Fact_Analitica[[#This Row], [Año]]="",Fact_Analitica[[#This Row], [Mes]]=""),"",DATE(A326,MATCH(B326,{"enero","febrero","marzo","abril","mayo","junio","julio","agosto","septiembre","octubre","noviembre","diciembre"},0)+1,0))</f>
        <v/>
      </c>
      <c r="E326" t="str">
        <f>+IFERROR(VLOOKUP(Fact_Analitica[[#This Row], [Concepto Anterior]],Conceptos_Analítica_contraloría[#All],5,0),"")</f>
        <v/>
      </c>
      <c r="F326" t="str">
        <f>+IFERROR(VLOOKUP(Fact_Analitica[[#This Row], [Concepto Anterior]],Conceptos_Analítica_contraloría[#All],7,0),"")</f>
        <v/>
      </c>
      <c r="I326" t="str">
        <f>+IFERROR(VLOOKUP(D326,Conceptos_Analítica_contraloría[#All],2,0),"")</f>
        <v/>
      </c>
      <c r="J326" s="84" t="str">
        <f>+IFERROR(VLOOKUP(D326,Conceptos_Analítica_contraloría[#All],3,0),"")</f>
        <v/>
      </c>
    </row>
    <row r="327" spans="3:10" ht="18.75" customHeight="1" x14ac:dyDescent="0.35">
      <c r="C327" s="100" t="str">
        <f>IF(OR(Fact_Analitica[[#This Row], [Año]]="",Fact_Analitica[[#This Row], [Mes]]=""),"",DATE(A327,MATCH(B327,{"enero","febrero","marzo","abril","mayo","junio","julio","agosto","septiembre","octubre","noviembre","diciembre"},0)+1,0))</f>
        <v/>
      </c>
      <c r="E327" t="str">
        <f>+IFERROR(VLOOKUP(Fact_Analitica[[#This Row], [Concepto Anterior]],Conceptos_Analítica_contraloría[#All],5,0),"")</f>
        <v/>
      </c>
      <c r="F327" t="str">
        <f>+IFERROR(VLOOKUP(Fact_Analitica[[#This Row], [Concepto Anterior]],Conceptos_Analítica_contraloría[#All],7,0),"")</f>
        <v/>
      </c>
      <c r="I327" t="str">
        <f>+IFERROR(VLOOKUP(D327,Conceptos_Analítica_contraloría[#All],2,0),"")</f>
        <v/>
      </c>
      <c r="J327" s="84" t="str">
        <f>+IFERROR(VLOOKUP(D327,Conceptos_Analítica_contraloría[#All],3,0),"")</f>
        <v/>
      </c>
    </row>
    <row r="328" spans="3:10" ht="18.75" customHeight="1" x14ac:dyDescent="0.35">
      <c r="C328" s="100" t="str">
        <f>IF(OR(Fact_Analitica[[#This Row], [Año]]="",Fact_Analitica[[#This Row], [Mes]]=""),"",DATE(A328,MATCH(B328,{"enero","febrero","marzo","abril","mayo","junio","julio","agosto","septiembre","octubre","noviembre","diciembre"},0)+1,0))</f>
        <v/>
      </c>
      <c r="E328" t="str">
        <f>+IFERROR(VLOOKUP(Fact_Analitica[[#This Row], [Concepto Anterior]],Conceptos_Analítica_contraloría[#All],5,0),"")</f>
        <v/>
      </c>
      <c r="F328" t="str">
        <f>+IFERROR(VLOOKUP(Fact_Analitica[[#This Row], [Concepto Anterior]],Conceptos_Analítica_contraloría[#All],7,0),"")</f>
        <v/>
      </c>
      <c r="I328" t="str">
        <f>+IFERROR(VLOOKUP(D328,Conceptos_Analítica_contraloría[#All],2,0),"")</f>
        <v/>
      </c>
      <c r="J328" s="84" t="str">
        <f>+IFERROR(VLOOKUP(D328,Conceptos_Analítica_contraloría[#All],3,0),"")</f>
        <v/>
      </c>
    </row>
    <row r="329" spans="3:10" ht="18.75" customHeight="1" x14ac:dyDescent="0.35">
      <c r="C329" s="100" t="str">
        <f>IF(OR(Fact_Analitica[[#This Row], [Año]]="",Fact_Analitica[[#This Row], [Mes]]=""),"",DATE(A329,MATCH(B329,{"enero","febrero","marzo","abril","mayo","junio","julio","agosto","septiembre","octubre","noviembre","diciembre"},0)+1,0))</f>
        <v/>
      </c>
      <c r="E329" t="str">
        <f>+IFERROR(VLOOKUP(Fact_Analitica[[#This Row], [Concepto Anterior]],Conceptos_Analítica_contraloría[#All],5,0),"")</f>
        <v/>
      </c>
      <c r="F329" t="str">
        <f>+IFERROR(VLOOKUP(Fact_Analitica[[#This Row], [Concepto Anterior]],Conceptos_Analítica_contraloría[#All],7,0),"")</f>
        <v/>
      </c>
      <c r="I329" t="str">
        <f>+IFERROR(VLOOKUP(D329,Conceptos_Analítica_contraloría[#All],2,0),"")</f>
        <v/>
      </c>
      <c r="J329" s="84" t="str">
        <f>+IFERROR(VLOOKUP(D329,Conceptos_Analítica_contraloría[#All],3,0),"")</f>
        <v/>
      </c>
    </row>
    <row r="330" spans="3:10" ht="18.75" customHeight="1" x14ac:dyDescent="0.35">
      <c r="C330" s="100" t="str">
        <f>IF(OR(Fact_Analitica[[#This Row], [Año]]="",Fact_Analitica[[#This Row], [Mes]]=""),"",DATE(A330,MATCH(B330,{"enero","febrero","marzo","abril","mayo","junio","julio","agosto","septiembre","octubre","noviembre","diciembre"},0)+1,0))</f>
        <v/>
      </c>
      <c r="E330" t="str">
        <f>+IFERROR(VLOOKUP(Fact_Analitica[[#This Row], [Concepto Anterior]],Conceptos_Analítica_contraloría[#All],5,0),"")</f>
        <v/>
      </c>
      <c r="F330" t="str">
        <f>+IFERROR(VLOOKUP(Fact_Analitica[[#This Row], [Concepto Anterior]],Conceptos_Analítica_contraloría[#All],7,0),"")</f>
        <v/>
      </c>
      <c r="I330" t="str">
        <f>+IFERROR(VLOOKUP(D330,Conceptos_Analítica_contraloría[#All],2,0),"")</f>
        <v/>
      </c>
      <c r="J330" s="84" t="str">
        <f>+IFERROR(VLOOKUP(D330,Conceptos_Analítica_contraloría[#All],3,0),"")</f>
        <v/>
      </c>
    </row>
    <row r="331" spans="3:10" ht="18.75" customHeight="1" x14ac:dyDescent="0.35">
      <c r="C331" s="100" t="str">
        <f>IF(OR(Fact_Analitica[[#This Row], [Año]]="",Fact_Analitica[[#This Row], [Mes]]=""),"",DATE(A331,MATCH(B331,{"enero","febrero","marzo","abril","mayo","junio","julio","agosto","septiembre","octubre","noviembre","diciembre"},0)+1,0))</f>
        <v/>
      </c>
      <c r="E331" t="str">
        <f>+IFERROR(VLOOKUP(Fact_Analitica[[#This Row], [Concepto Anterior]],Conceptos_Analítica_contraloría[#All],5,0),"")</f>
        <v/>
      </c>
      <c r="F331" t="str">
        <f>+IFERROR(VLOOKUP(Fact_Analitica[[#This Row], [Concepto Anterior]],Conceptos_Analítica_contraloría[#All],7,0),"")</f>
        <v/>
      </c>
      <c r="I331" t="str">
        <f>+IFERROR(VLOOKUP(D331,Conceptos_Analítica_contraloría[#All],2,0),"")</f>
        <v/>
      </c>
      <c r="J331" s="84" t="str">
        <f>+IFERROR(VLOOKUP(D331,Conceptos_Analítica_contraloría[#All],3,0),"")</f>
        <v/>
      </c>
    </row>
    <row r="332" spans="3:10" ht="18.75" customHeight="1" x14ac:dyDescent="0.35">
      <c r="C332" s="100" t="str">
        <f>IF(OR(Fact_Analitica[[#This Row], [Año]]="",Fact_Analitica[[#This Row], [Mes]]=""),"",DATE(A332,MATCH(B332,{"enero","febrero","marzo","abril","mayo","junio","julio","agosto","septiembre","octubre","noviembre","diciembre"},0)+1,0))</f>
        <v/>
      </c>
      <c r="E332" t="str">
        <f>+IFERROR(VLOOKUP(Fact_Analitica[[#This Row], [Concepto Anterior]],Conceptos_Analítica_contraloría[#All],5,0),"")</f>
        <v/>
      </c>
      <c r="F332" t="str">
        <f>+IFERROR(VLOOKUP(Fact_Analitica[[#This Row], [Concepto Anterior]],Conceptos_Analítica_contraloría[#All],7,0),"")</f>
        <v/>
      </c>
      <c r="I332" t="str">
        <f>+IFERROR(VLOOKUP(D332,Conceptos_Analítica_contraloría[#All],2,0),"")</f>
        <v/>
      </c>
      <c r="J332" s="84" t="str">
        <f>+IFERROR(VLOOKUP(D332,Conceptos_Analítica_contraloría[#All],3,0),"")</f>
        <v/>
      </c>
    </row>
    <row r="333" spans="3:10" ht="18.75" customHeight="1" x14ac:dyDescent="0.35">
      <c r="C333" s="100" t="str">
        <f>IF(OR(Fact_Analitica[[#This Row], [Año]]="",Fact_Analitica[[#This Row], [Mes]]=""),"",DATE(A333,MATCH(B333,{"enero","febrero","marzo","abril","mayo","junio","julio","agosto","septiembre","octubre","noviembre","diciembre"},0)+1,0))</f>
        <v/>
      </c>
      <c r="E333" t="str">
        <f>+IFERROR(VLOOKUP(Fact_Analitica[[#This Row], [Concepto Anterior]],Conceptos_Analítica_contraloría[#All],5,0),"")</f>
        <v/>
      </c>
      <c r="F333" t="str">
        <f>+IFERROR(VLOOKUP(Fact_Analitica[[#This Row], [Concepto Anterior]],Conceptos_Analítica_contraloría[#All],7,0),"")</f>
        <v/>
      </c>
      <c r="I333" t="str">
        <f>+IFERROR(VLOOKUP(D333,Conceptos_Analítica_contraloría[#All],2,0),"")</f>
        <v/>
      </c>
      <c r="J333" s="84" t="str">
        <f>+IFERROR(VLOOKUP(D333,Conceptos_Analítica_contraloría[#All],3,0),"")</f>
        <v/>
      </c>
    </row>
    <row r="334" spans="3:10" ht="18.75" customHeight="1" x14ac:dyDescent="0.35">
      <c r="C334" s="100" t="str">
        <f>IF(OR(Fact_Analitica[[#This Row], [Año]]="",Fact_Analitica[[#This Row], [Mes]]=""),"",DATE(A334,MATCH(B334,{"enero","febrero","marzo","abril","mayo","junio","julio","agosto","septiembre","octubre","noviembre","diciembre"},0)+1,0))</f>
        <v/>
      </c>
      <c r="E334" t="str">
        <f>+IFERROR(VLOOKUP(Fact_Analitica[[#This Row], [Concepto Anterior]],Conceptos_Analítica_contraloría[#All],5,0),"")</f>
        <v/>
      </c>
      <c r="F334" t="str">
        <f>+IFERROR(VLOOKUP(Fact_Analitica[[#This Row], [Concepto Anterior]],Conceptos_Analítica_contraloría[#All],7,0),"")</f>
        <v/>
      </c>
      <c r="I334" t="str">
        <f>+IFERROR(VLOOKUP(D334,Conceptos_Analítica_contraloría[#All],2,0),"")</f>
        <v/>
      </c>
      <c r="J334" s="84" t="str">
        <f>+IFERROR(VLOOKUP(D334,Conceptos_Analítica_contraloría[#All],3,0),"")</f>
        <v/>
      </c>
    </row>
    <row r="335" spans="3:10" ht="18.75" customHeight="1" x14ac:dyDescent="0.35">
      <c r="C335" s="100" t="str">
        <f>IF(OR(Fact_Analitica[[#This Row], [Año]]="",Fact_Analitica[[#This Row], [Mes]]=""),"",DATE(A335,MATCH(B335,{"enero","febrero","marzo","abril","mayo","junio","julio","agosto","septiembre","octubre","noviembre","diciembre"},0)+1,0))</f>
        <v/>
      </c>
      <c r="E335" t="str">
        <f>+IFERROR(VLOOKUP(Fact_Analitica[[#This Row], [Concepto Anterior]],Conceptos_Analítica_contraloría[#All],5,0),"")</f>
        <v/>
      </c>
      <c r="F335" t="str">
        <f>+IFERROR(VLOOKUP(Fact_Analitica[[#This Row], [Concepto Anterior]],Conceptos_Analítica_contraloría[#All],7,0),"")</f>
        <v/>
      </c>
      <c r="I335" t="str">
        <f>+IFERROR(VLOOKUP(D335,Conceptos_Analítica_contraloría[#All],2,0),"")</f>
        <v/>
      </c>
      <c r="J335" s="84" t="str">
        <f>+IFERROR(VLOOKUP(D335,Conceptos_Analítica_contraloría[#All],3,0),"")</f>
        <v/>
      </c>
    </row>
    <row r="336" spans="3:10" ht="18.75" customHeight="1" x14ac:dyDescent="0.35">
      <c r="C336" s="100" t="str">
        <f>IF(OR(Fact_Analitica[[#This Row], [Año]]="",Fact_Analitica[[#This Row], [Mes]]=""),"",DATE(A336,MATCH(B336,{"enero","febrero","marzo","abril","mayo","junio","julio","agosto","septiembre","octubre","noviembre","diciembre"},0)+1,0))</f>
        <v/>
      </c>
      <c r="E336" t="str">
        <f>+IFERROR(VLOOKUP(Fact_Analitica[[#This Row], [Concepto Anterior]],Conceptos_Analítica_contraloría[#All],5,0),"")</f>
        <v/>
      </c>
      <c r="F336" t="str">
        <f>+IFERROR(VLOOKUP(Fact_Analitica[[#This Row], [Concepto Anterior]],Conceptos_Analítica_contraloría[#All],7,0),"")</f>
        <v/>
      </c>
      <c r="I336" t="str">
        <f>+IFERROR(VLOOKUP(D336,Conceptos_Analítica_contraloría[#All],2,0),"")</f>
        <v/>
      </c>
      <c r="J336" s="84" t="str">
        <f>+IFERROR(VLOOKUP(D336,Conceptos_Analítica_contraloría[#All],3,0),"")</f>
        <v/>
      </c>
    </row>
    <row r="337" spans="3:10" ht="18.75" customHeight="1" x14ac:dyDescent="0.35">
      <c r="C337" s="100" t="str">
        <f>IF(OR(Fact_Analitica[[#This Row], [Año]]="",Fact_Analitica[[#This Row], [Mes]]=""),"",DATE(A337,MATCH(B337,{"enero","febrero","marzo","abril","mayo","junio","julio","agosto","septiembre","octubre","noviembre","diciembre"},0)+1,0))</f>
        <v/>
      </c>
      <c r="E337" t="str">
        <f>+IFERROR(VLOOKUP(Fact_Analitica[[#This Row], [Concepto Anterior]],Conceptos_Analítica_contraloría[#All],5,0),"")</f>
        <v/>
      </c>
      <c r="F337" t="str">
        <f>+IFERROR(VLOOKUP(Fact_Analitica[[#This Row], [Concepto Anterior]],Conceptos_Analítica_contraloría[#All],7,0),"")</f>
        <v/>
      </c>
      <c r="I337" t="str">
        <f>+IFERROR(VLOOKUP(D337,Conceptos_Analítica_contraloría[#All],2,0),"")</f>
        <v/>
      </c>
      <c r="J337" s="84" t="str">
        <f>+IFERROR(VLOOKUP(D337,Conceptos_Analítica_contraloría[#All],3,0),"")</f>
        <v/>
      </c>
    </row>
    <row r="338" spans="3:10" ht="18.75" customHeight="1" x14ac:dyDescent="0.35">
      <c r="C338" s="100" t="str">
        <f>IF(OR(Fact_Analitica[[#This Row], [Año]]="",Fact_Analitica[[#This Row], [Mes]]=""),"",DATE(A338,MATCH(B338,{"enero","febrero","marzo","abril","mayo","junio","julio","agosto","septiembre","octubre","noviembre","diciembre"},0)+1,0))</f>
        <v/>
      </c>
      <c r="E338" t="str">
        <f>+IFERROR(VLOOKUP(Fact_Analitica[[#This Row], [Concepto Anterior]],Conceptos_Analítica_contraloría[#All],5,0),"")</f>
        <v/>
      </c>
      <c r="F338" t="str">
        <f>+IFERROR(VLOOKUP(Fact_Analitica[[#This Row], [Concepto Anterior]],Conceptos_Analítica_contraloría[#All],7,0),"")</f>
        <v/>
      </c>
      <c r="I338" t="str">
        <f>+IFERROR(VLOOKUP(D338,Conceptos_Analítica_contraloría[#All],2,0),"")</f>
        <v/>
      </c>
      <c r="J338" s="84" t="str">
        <f>+IFERROR(VLOOKUP(D338,Conceptos_Analítica_contraloría[#All],3,0),"")</f>
        <v/>
      </c>
    </row>
    <row r="339" spans="3:10" ht="18.75" customHeight="1" x14ac:dyDescent="0.35">
      <c r="C339" s="100" t="str">
        <f>IF(OR(Fact_Analitica[[#This Row], [Año]]="",Fact_Analitica[[#This Row], [Mes]]=""),"",DATE(A339,MATCH(B339,{"enero","febrero","marzo","abril","mayo","junio","julio","agosto","septiembre","octubre","noviembre","diciembre"},0)+1,0))</f>
        <v/>
      </c>
      <c r="E339" t="str">
        <f>+IFERROR(VLOOKUP(Fact_Analitica[[#This Row], [Concepto Anterior]],Conceptos_Analítica_contraloría[#All],5,0),"")</f>
        <v/>
      </c>
      <c r="F339" t="str">
        <f>+IFERROR(VLOOKUP(Fact_Analitica[[#This Row], [Concepto Anterior]],Conceptos_Analítica_contraloría[#All],7,0),"")</f>
        <v/>
      </c>
      <c r="I339" t="str">
        <f>+IFERROR(VLOOKUP(D339,Conceptos_Analítica_contraloría[#All],2,0),"")</f>
        <v/>
      </c>
      <c r="J339" s="84" t="str">
        <f>+IFERROR(VLOOKUP(D339,Conceptos_Analítica_contraloría[#All],3,0),"")</f>
        <v/>
      </c>
    </row>
    <row r="340" spans="3:10" ht="18.75" customHeight="1" x14ac:dyDescent="0.35">
      <c r="C340" s="100" t="str">
        <f>IF(OR(Fact_Analitica[[#This Row], [Año]]="",Fact_Analitica[[#This Row], [Mes]]=""),"",DATE(A340,MATCH(B340,{"enero","febrero","marzo","abril","mayo","junio","julio","agosto","septiembre","octubre","noviembre","diciembre"},0)+1,0))</f>
        <v/>
      </c>
      <c r="E340" t="str">
        <f>+IFERROR(VLOOKUP(Fact_Analitica[[#This Row], [Concepto Anterior]],Conceptos_Analítica_contraloría[#All],5,0),"")</f>
        <v/>
      </c>
      <c r="F340" t="str">
        <f>+IFERROR(VLOOKUP(Fact_Analitica[[#This Row], [Concepto Anterior]],Conceptos_Analítica_contraloría[#All],7,0),"")</f>
        <v/>
      </c>
      <c r="I340" t="str">
        <f>+IFERROR(VLOOKUP(D340,Conceptos_Analítica_contraloría[#All],2,0),"")</f>
        <v/>
      </c>
      <c r="J340" s="84" t="str">
        <f>+IFERROR(VLOOKUP(D340,Conceptos_Analítica_contraloría[#All],3,0),"")</f>
        <v/>
      </c>
    </row>
    <row r="341" spans="3:10" ht="18.75" customHeight="1" x14ac:dyDescent="0.35">
      <c r="C341" s="100" t="str">
        <f>IF(OR(Fact_Analitica[[#This Row], [Año]]="",Fact_Analitica[[#This Row], [Mes]]=""),"",DATE(A341,MATCH(B341,{"enero","febrero","marzo","abril","mayo","junio","julio","agosto","septiembre","octubre","noviembre","diciembre"},0)+1,0))</f>
        <v/>
      </c>
      <c r="E341" t="str">
        <f>+IFERROR(VLOOKUP(Fact_Analitica[[#This Row], [Concepto Anterior]],Conceptos_Analítica_contraloría[#All],5,0),"")</f>
        <v/>
      </c>
      <c r="F341" t="str">
        <f>+IFERROR(VLOOKUP(Fact_Analitica[[#This Row], [Concepto Anterior]],Conceptos_Analítica_contraloría[#All],7,0),"")</f>
        <v/>
      </c>
      <c r="I341" t="str">
        <f>+IFERROR(VLOOKUP(D341,Conceptos_Analítica_contraloría[#All],2,0),"")</f>
        <v/>
      </c>
      <c r="J341" s="84" t="str">
        <f>+IFERROR(VLOOKUP(D341,Conceptos_Analítica_contraloría[#All],3,0),"")</f>
        <v/>
      </c>
    </row>
    <row r="342" spans="3:10" ht="18.75" customHeight="1" x14ac:dyDescent="0.35">
      <c r="C342" s="100" t="str">
        <f>IF(OR(Fact_Analitica[[#This Row], [Año]]="",Fact_Analitica[[#This Row], [Mes]]=""),"",DATE(A342,MATCH(B342,{"enero","febrero","marzo","abril","mayo","junio","julio","agosto","septiembre","octubre","noviembre","diciembre"},0)+1,0))</f>
        <v/>
      </c>
      <c r="E342" t="str">
        <f>+IFERROR(VLOOKUP(Fact_Analitica[[#This Row], [Concepto Anterior]],Conceptos_Analítica_contraloría[#All],5,0),"")</f>
        <v/>
      </c>
      <c r="F342" t="str">
        <f>+IFERROR(VLOOKUP(Fact_Analitica[[#This Row], [Concepto Anterior]],Conceptos_Analítica_contraloría[#All],7,0),"")</f>
        <v/>
      </c>
      <c r="I342" t="str">
        <f>+IFERROR(VLOOKUP(D342,Conceptos_Analítica_contraloría[#All],2,0),"")</f>
        <v/>
      </c>
      <c r="J342" s="84" t="str">
        <f>+IFERROR(VLOOKUP(D342,Conceptos_Analítica_contraloría[#All],3,0),"")</f>
        <v/>
      </c>
    </row>
    <row r="343" spans="3:10" ht="18.75" customHeight="1" x14ac:dyDescent="0.35">
      <c r="C343" s="100" t="str">
        <f>IF(OR(Fact_Analitica[[#This Row], [Año]]="",Fact_Analitica[[#This Row], [Mes]]=""),"",DATE(A343,MATCH(B343,{"enero","febrero","marzo","abril","mayo","junio","julio","agosto","septiembre","octubre","noviembre","diciembre"},0)+1,0))</f>
        <v/>
      </c>
      <c r="E343" t="str">
        <f>+IFERROR(VLOOKUP(Fact_Analitica[[#This Row], [Concepto Anterior]],Conceptos_Analítica_contraloría[#All],5,0),"")</f>
        <v/>
      </c>
      <c r="F343" t="str">
        <f>+IFERROR(VLOOKUP(Fact_Analitica[[#This Row], [Concepto Anterior]],Conceptos_Analítica_contraloría[#All],7,0),"")</f>
        <v/>
      </c>
      <c r="I343" t="str">
        <f>+IFERROR(VLOOKUP(D343,Conceptos_Analítica_contraloría[#All],2,0),"")</f>
        <v/>
      </c>
      <c r="J343" s="84" t="str">
        <f>+IFERROR(VLOOKUP(D343,Conceptos_Analítica_contraloría[#All],3,0),"")</f>
        <v/>
      </c>
    </row>
    <row r="344" spans="3:10" ht="18.75" customHeight="1" x14ac:dyDescent="0.35">
      <c r="C344" s="100" t="str">
        <f>IF(OR(Fact_Analitica[[#This Row], [Año]]="",Fact_Analitica[[#This Row], [Mes]]=""),"",DATE(A344,MATCH(B344,{"enero","febrero","marzo","abril","mayo","junio","julio","agosto","septiembre","octubre","noviembre","diciembre"},0)+1,0))</f>
        <v/>
      </c>
      <c r="E344" t="str">
        <f>+IFERROR(VLOOKUP(Fact_Analitica[[#This Row], [Concepto Anterior]],Conceptos_Analítica_contraloría[#All],5,0),"")</f>
        <v/>
      </c>
      <c r="F344" t="str">
        <f>+IFERROR(VLOOKUP(Fact_Analitica[[#This Row], [Concepto Anterior]],Conceptos_Analítica_contraloría[#All],7,0),"")</f>
        <v/>
      </c>
      <c r="I344" t="str">
        <f>+IFERROR(VLOOKUP(D344,Conceptos_Analítica_contraloría[#All],2,0),"")</f>
        <v/>
      </c>
      <c r="J344" s="84" t="str">
        <f>+IFERROR(VLOOKUP(D344,Conceptos_Analítica_contraloría[#All],3,0),"")</f>
        <v/>
      </c>
    </row>
    <row r="345" spans="3:10" ht="18.75" customHeight="1" x14ac:dyDescent="0.35">
      <c r="C345" s="100" t="str">
        <f>IF(OR(Fact_Analitica[[#This Row], [Año]]="",Fact_Analitica[[#This Row], [Mes]]=""),"",DATE(A345,MATCH(B345,{"enero","febrero","marzo","abril","mayo","junio","julio","agosto","septiembre","octubre","noviembre","diciembre"},0)+1,0))</f>
        <v/>
      </c>
      <c r="E345" t="str">
        <f>+IFERROR(VLOOKUP(Fact_Analitica[[#This Row], [Concepto Anterior]],Conceptos_Analítica_contraloría[#All],5,0),"")</f>
        <v/>
      </c>
      <c r="F345" t="str">
        <f>+IFERROR(VLOOKUP(Fact_Analitica[[#This Row], [Concepto Anterior]],Conceptos_Analítica_contraloría[#All],7,0),"")</f>
        <v/>
      </c>
      <c r="I345" t="str">
        <f>+IFERROR(VLOOKUP(D345,Conceptos_Analítica_contraloría[#All],2,0),"")</f>
        <v/>
      </c>
      <c r="J345" s="84" t="str">
        <f>+IFERROR(VLOOKUP(D345,Conceptos_Analítica_contraloría[#All],3,0),"")</f>
        <v/>
      </c>
    </row>
    <row r="346" spans="3:10" ht="18.75" customHeight="1" x14ac:dyDescent="0.35">
      <c r="C346" s="100" t="str">
        <f>IF(OR(Fact_Analitica[[#This Row], [Año]]="",Fact_Analitica[[#This Row], [Mes]]=""),"",DATE(A346,MATCH(B346,{"enero","febrero","marzo","abril","mayo","junio","julio","agosto","septiembre","octubre","noviembre","diciembre"},0)+1,0))</f>
        <v/>
      </c>
      <c r="E346" t="str">
        <f>+IFERROR(VLOOKUP(Fact_Analitica[[#This Row], [Concepto Anterior]],Conceptos_Analítica_contraloría[#All],5,0),"")</f>
        <v/>
      </c>
      <c r="F346" t="str">
        <f>+IFERROR(VLOOKUP(Fact_Analitica[[#This Row], [Concepto Anterior]],Conceptos_Analítica_contraloría[#All],7,0),"")</f>
        <v/>
      </c>
      <c r="I346" t="str">
        <f>+IFERROR(VLOOKUP(D346,Conceptos_Analítica_contraloría[#All],2,0),"")</f>
        <v/>
      </c>
      <c r="J346" s="84" t="str">
        <f>+IFERROR(VLOOKUP(D346,Conceptos_Analítica_contraloría[#All],3,0),"")</f>
        <v/>
      </c>
    </row>
    <row r="347" spans="3:10" ht="18.75" customHeight="1" x14ac:dyDescent="0.35">
      <c r="C347" s="100" t="str">
        <f>IF(OR(Fact_Analitica[[#This Row], [Año]]="",Fact_Analitica[[#This Row], [Mes]]=""),"",DATE(A347,MATCH(B347,{"enero","febrero","marzo","abril","mayo","junio","julio","agosto","septiembre","octubre","noviembre","diciembre"},0)+1,0))</f>
        <v/>
      </c>
      <c r="E347" t="str">
        <f>+IFERROR(VLOOKUP(Fact_Analitica[[#This Row], [Concepto Anterior]],Conceptos_Analítica_contraloría[#All],5,0),"")</f>
        <v/>
      </c>
      <c r="F347" t="str">
        <f>+IFERROR(VLOOKUP(Fact_Analitica[[#This Row], [Concepto Anterior]],Conceptos_Analítica_contraloría[#All],7,0),"")</f>
        <v/>
      </c>
      <c r="I347" t="str">
        <f>+IFERROR(VLOOKUP(D347,Conceptos_Analítica_contraloría[#All],2,0),"")</f>
        <v/>
      </c>
      <c r="J347" s="84" t="str">
        <f>+IFERROR(VLOOKUP(D347,Conceptos_Analítica_contraloría[#All],3,0),"")</f>
        <v/>
      </c>
    </row>
    <row r="348" spans="3:10" ht="18.75" customHeight="1" x14ac:dyDescent="0.35">
      <c r="C348" s="100" t="str">
        <f>IF(OR(Fact_Analitica[[#This Row], [Año]]="",Fact_Analitica[[#This Row], [Mes]]=""),"",DATE(A348,MATCH(B348,{"enero","febrero","marzo","abril","mayo","junio","julio","agosto","septiembre","octubre","noviembre","diciembre"},0)+1,0))</f>
        <v/>
      </c>
      <c r="E348" t="str">
        <f>+IFERROR(VLOOKUP(Fact_Analitica[[#This Row], [Concepto Anterior]],Conceptos_Analítica_contraloría[#All],5,0),"")</f>
        <v/>
      </c>
      <c r="F348" t="str">
        <f>+IFERROR(VLOOKUP(Fact_Analitica[[#This Row], [Concepto Anterior]],Conceptos_Analítica_contraloría[#All],7,0),"")</f>
        <v/>
      </c>
      <c r="I348" t="str">
        <f>+IFERROR(VLOOKUP(D348,Conceptos_Analítica_contraloría[#All],2,0),"")</f>
        <v/>
      </c>
      <c r="J348" s="84" t="str">
        <f>+IFERROR(VLOOKUP(D348,Conceptos_Analítica_contraloría[#All],3,0),"")</f>
        <v/>
      </c>
    </row>
    <row r="349" spans="3:10" ht="18.75" customHeight="1" x14ac:dyDescent="0.35">
      <c r="C349" s="100" t="str">
        <f>IF(OR(Fact_Analitica[[#This Row], [Año]]="",Fact_Analitica[[#This Row], [Mes]]=""),"",DATE(A349,MATCH(B349,{"enero","febrero","marzo","abril","mayo","junio","julio","agosto","septiembre","octubre","noviembre","diciembre"},0)+1,0))</f>
        <v/>
      </c>
      <c r="E349" t="str">
        <f>+IFERROR(VLOOKUP(Fact_Analitica[[#This Row], [Concepto Anterior]],Conceptos_Analítica_contraloría[#All],5,0),"")</f>
        <v/>
      </c>
      <c r="F349" t="str">
        <f>+IFERROR(VLOOKUP(Fact_Analitica[[#This Row], [Concepto Anterior]],Conceptos_Analítica_contraloría[#All],7,0),"")</f>
        <v/>
      </c>
      <c r="I349" t="str">
        <f>+IFERROR(VLOOKUP(D349,Conceptos_Analítica_contraloría[#All],2,0),"")</f>
        <v/>
      </c>
      <c r="J349" s="84" t="str">
        <f>+IFERROR(VLOOKUP(D349,Conceptos_Analítica_contraloría[#All],3,0),"")</f>
        <v/>
      </c>
    </row>
    <row r="350" spans="3:10" ht="18.75" customHeight="1" x14ac:dyDescent="0.35">
      <c r="C350" s="100" t="str">
        <f>IF(OR(Fact_Analitica[[#This Row], [Año]]="",Fact_Analitica[[#This Row], [Mes]]=""),"",DATE(A350,MATCH(B350,{"enero","febrero","marzo","abril","mayo","junio","julio","agosto","septiembre","octubre","noviembre","diciembre"},0)+1,0))</f>
        <v/>
      </c>
      <c r="E350" t="str">
        <f>+IFERROR(VLOOKUP(Fact_Analitica[[#This Row], [Concepto Anterior]],Conceptos_Analítica_contraloría[#All],5,0),"")</f>
        <v/>
      </c>
      <c r="F350" t="str">
        <f>+IFERROR(VLOOKUP(Fact_Analitica[[#This Row], [Concepto Anterior]],Conceptos_Analítica_contraloría[#All],7,0),"")</f>
        <v/>
      </c>
      <c r="I350" t="str">
        <f>+IFERROR(VLOOKUP(D350,Conceptos_Analítica_contraloría[#All],2,0),"")</f>
        <v/>
      </c>
      <c r="J350" s="84" t="str">
        <f>+IFERROR(VLOOKUP(D350,Conceptos_Analítica_contraloría[#All],3,0),"")</f>
        <v/>
      </c>
    </row>
    <row r="351" spans="3:10" ht="18.75" customHeight="1" x14ac:dyDescent="0.35">
      <c r="C351" s="100" t="str">
        <f>IF(OR(Fact_Analitica[[#This Row], [Año]]="",Fact_Analitica[[#This Row], [Mes]]=""),"",DATE(A351,MATCH(B351,{"enero","febrero","marzo","abril","mayo","junio","julio","agosto","septiembre","octubre","noviembre","diciembre"},0)+1,0))</f>
        <v/>
      </c>
      <c r="E351" t="str">
        <f>+IFERROR(VLOOKUP(Fact_Analitica[[#This Row], [Concepto Anterior]],Conceptos_Analítica_contraloría[#All],5,0),"")</f>
        <v/>
      </c>
      <c r="F351" t="str">
        <f>+IFERROR(VLOOKUP(Fact_Analitica[[#This Row], [Concepto Anterior]],Conceptos_Analítica_contraloría[#All],7,0),"")</f>
        <v/>
      </c>
      <c r="I351" t="str">
        <f>+IFERROR(VLOOKUP(D351,Conceptos_Analítica_contraloría[#All],2,0),"")</f>
        <v/>
      </c>
      <c r="J351" s="84" t="str">
        <f>+IFERROR(VLOOKUP(D351,Conceptos_Analítica_contraloría[#All],3,0),"")</f>
        <v/>
      </c>
    </row>
    <row r="352" spans="3:10" ht="18.75" customHeight="1" x14ac:dyDescent="0.35">
      <c r="C352" s="100" t="str">
        <f>IF(OR(Fact_Analitica[[#This Row], [Año]]="",Fact_Analitica[[#This Row], [Mes]]=""),"",DATE(A352,MATCH(B352,{"enero","febrero","marzo","abril","mayo","junio","julio","agosto","septiembre","octubre","noviembre","diciembre"},0)+1,0))</f>
        <v/>
      </c>
      <c r="E352" t="str">
        <f>+IFERROR(VLOOKUP(Fact_Analitica[[#This Row], [Concepto Anterior]],Conceptos_Analítica_contraloría[#All],5,0),"")</f>
        <v/>
      </c>
      <c r="F352" t="str">
        <f>+IFERROR(VLOOKUP(Fact_Analitica[[#This Row], [Concepto Anterior]],Conceptos_Analítica_contraloría[#All],7,0),"")</f>
        <v/>
      </c>
      <c r="I352" t="str">
        <f>+IFERROR(VLOOKUP(D352,Conceptos_Analítica_contraloría[#All],2,0),"")</f>
        <v/>
      </c>
      <c r="J352" s="84" t="str">
        <f>+IFERROR(VLOOKUP(D352,Conceptos_Analítica_contraloría[#All],3,0),"")</f>
        <v/>
      </c>
    </row>
    <row r="353" spans="3:10" ht="18.75" customHeight="1" x14ac:dyDescent="0.35">
      <c r="C353" s="100" t="str">
        <f>IF(OR(Fact_Analitica[[#This Row], [Año]]="",Fact_Analitica[[#This Row], [Mes]]=""),"",DATE(A353,MATCH(B353,{"enero","febrero","marzo","abril","mayo","junio","julio","agosto","septiembre","octubre","noviembre","diciembre"},0)+1,0))</f>
        <v/>
      </c>
      <c r="E353" t="str">
        <f>+IFERROR(VLOOKUP(Fact_Analitica[[#This Row], [Concepto Anterior]],Conceptos_Analítica_contraloría[#All],5,0),"")</f>
        <v/>
      </c>
      <c r="F353" t="str">
        <f>+IFERROR(VLOOKUP(Fact_Analitica[[#This Row], [Concepto Anterior]],Conceptos_Analítica_contraloría[#All],7,0),"")</f>
        <v/>
      </c>
      <c r="I353" t="str">
        <f>+IFERROR(VLOOKUP(D353,Conceptos_Analítica_contraloría[#All],2,0),"")</f>
        <v/>
      </c>
      <c r="J353" s="84" t="str">
        <f>+IFERROR(VLOOKUP(D353,Conceptos_Analítica_contraloría[#All],3,0),"")</f>
        <v/>
      </c>
    </row>
    <row r="354" spans="3:10" ht="18.75" customHeight="1" x14ac:dyDescent="0.35">
      <c r="C354" s="100" t="str">
        <f>IF(OR(Fact_Analitica[[#This Row], [Año]]="",Fact_Analitica[[#This Row], [Mes]]=""),"",DATE(A354,MATCH(B354,{"enero","febrero","marzo","abril","mayo","junio","julio","agosto","septiembre","octubre","noviembre","diciembre"},0)+1,0))</f>
        <v/>
      </c>
      <c r="E354" t="str">
        <f>+IFERROR(VLOOKUP(Fact_Analitica[[#This Row], [Concepto Anterior]],Conceptos_Analítica_contraloría[#All],5,0),"")</f>
        <v/>
      </c>
      <c r="F354" t="str">
        <f>+IFERROR(VLOOKUP(Fact_Analitica[[#This Row], [Concepto Anterior]],Conceptos_Analítica_contraloría[#All],7,0),"")</f>
        <v/>
      </c>
      <c r="I354" t="str">
        <f>+IFERROR(VLOOKUP(D354,Conceptos_Analítica_contraloría[#All],2,0),"")</f>
        <v/>
      </c>
      <c r="J354" s="84" t="str">
        <f>+IFERROR(VLOOKUP(D354,Conceptos_Analítica_contraloría[#All],3,0),"")</f>
        <v/>
      </c>
    </row>
    <row r="355" spans="3:10" ht="18.75" customHeight="1" x14ac:dyDescent="0.35">
      <c r="C355" s="100" t="str">
        <f>IF(OR(Fact_Analitica[[#This Row], [Año]]="",Fact_Analitica[[#This Row], [Mes]]=""),"",DATE(A355,MATCH(B355,{"enero","febrero","marzo","abril","mayo","junio","julio","agosto","septiembre","octubre","noviembre","diciembre"},0)+1,0))</f>
        <v/>
      </c>
      <c r="E355" t="str">
        <f>+IFERROR(VLOOKUP(Fact_Analitica[[#This Row], [Concepto Anterior]],Conceptos_Analítica_contraloría[#All],5,0),"")</f>
        <v/>
      </c>
      <c r="F355" t="str">
        <f>+IFERROR(VLOOKUP(Fact_Analitica[[#This Row], [Concepto Anterior]],Conceptos_Analítica_contraloría[#All],7,0),"")</f>
        <v/>
      </c>
      <c r="I355" t="str">
        <f>+IFERROR(VLOOKUP(D355,Conceptos_Analítica_contraloría[#All],2,0),"")</f>
        <v/>
      </c>
      <c r="J355" s="84" t="str">
        <f>+IFERROR(VLOOKUP(D355,Conceptos_Analítica_contraloría[#All],3,0),"")</f>
        <v/>
      </c>
    </row>
    <row r="356" spans="3:10" ht="18.75" customHeight="1" x14ac:dyDescent="0.35">
      <c r="C356" s="100" t="str">
        <f>IF(OR(Fact_Analitica[[#This Row], [Año]]="",Fact_Analitica[[#This Row], [Mes]]=""),"",DATE(A356,MATCH(B356,{"enero","febrero","marzo","abril","mayo","junio","julio","agosto","septiembre","octubre","noviembre","diciembre"},0)+1,0))</f>
        <v/>
      </c>
      <c r="E356" t="str">
        <f>+IFERROR(VLOOKUP(Fact_Analitica[[#This Row], [Concepto Anterior]],Conceptos_Analítica_contraloría[#All],5,0),"")</f>
        <v/>
      </c>
      <c r="F356" t="str">
        <f>+IFERROR(VLOOKUP(Fact_Analitica[[#This Row], [Concepto Anterior]],Conceptos_Analítica_contraloría[#All],7,0),"")</f>
        <v/>
      </c>
      <c r="I356" t="str">
        <f>+IFERROR(VLOOKUP(D356,Conceptos_Analítica_contraloría[#All],2,0),"")</f>
        <v/>
      </c>
      <c r="J356" s="84" t="str">
        <f>+IFERROR(VLOOKUP(D356,Conceptos_Analítica_contraloría[#All],3,0),"")</f>
        <v/>
      </c>
    </row>
    <row r="357" spans="3:10" ht="18.75" customHeight="1" x14ac:dyDescent="0.35">
      <c r="C357" s="100" t="str">
        <f>IF(OR(Fact_Analitica[[#This Row], [Año]]="",Fact_Analitica[[#This Row], [Mes]]=""),"",DATE(A357,MATCH(B357,{"enero","febrero","marzo","abril","mayo","junio","julio","agosto","septiembre","octubre","noviembre","diciembre"},0)+1,0))</f>
        <v/>
      </c>
      <c r="E357" t="str">
        <f>+IFERROR(VLOOKUP(Fact_Analitica[[#This Row], [Concepto Anterior]],Conceptos_Analítica_contraloría[#All],5,0),"")</f>
        <v/>
      </c>
      <c r="F357" t="str">
        <f>+IFERROR(VLOOKUP(Fact_Analitica[[#This Row], [Concepto Anterior]],Conceptos_Analítica_contraloría[#All],7,0),"")</f>
        <v/>
      </c>
      <c r="I357" t="str">
        <f>+IFERROR(VLOOKUP(D357,Conceptos_Analítica_contraloría[#All],2,0),"")</f>
        <v/>
      </c>
      <c r="J357" s="84" t="str">
        <f>+IFERROR(VLOOKUP(D357,Conceptos_Analítica_contraloría[#All],3,0),"")</f>
        <v/>
      </c>
    </row>
    <row r="358" spans="3:10" ht="18.75" customHeight="1" x14ac:dyDescent="0.35">
      <c r="C358" s="100" t="str">
        <f>IF(OR(Fact_Analitica[[#This Row], [Año]]="",Fact_Analitica[[#This Row], [Mes]]=""),"",DATE(A358,MATCH(B358,{"enero","febrero","marzo","abril","mayo","junio","julio","agosto","septiembre","octubre","noviembre","diciembre"},0)+1,0))</f>
        <v/>
      </c>
      <c r="E358" t="str">
        <f>+IFERROR(VLOOKUP(Fact_Analitica[[#This Row], [Concepto Anterior]],Conceptos_Analítica_contraloría[#All],5,0),"")</f>
        <v/>
      </c>
      <c r="F358" t="str">
        <f>+IFERROR(VLOOKUP(Fact_Analitica[[#This Row], [Concepto Anterior]],Conceptos_Analítica_contraloría[#All],7,0),"")</f>
        <v/>
      </c>
      <c r="I358" t="str">
        <f>+IFERROR(VLOOKUP(D358,Conceptos_Analítica_contraloría[#All],2,0),"")</f>
        <v/>
      </c>
      <c r="J358" s="84" t="str">
        <f>+IFERROR(VLOOKUP(D358,Conceptos_Analítica_contraloría[#All],3,0),"")</f>
        <v/>
      </c>
    </row>
    <row r="359" spans="3:10" ht="18.75" customHeight="1" x14ac:dyDescent="0.35">
      <c r="C359" s="100" t="str">
        <f>IF(OR(Fact_Analitica[[#This Row], [Año]]="",Fact_Analitica[[#This Row], [Mes]]=""),"",DATE(A359,MATCH(B359,{"enero","febrero","marzo","abril","mayo","junio","julio","agosto","septiembre","octubre","noviembre","diciembre"},0)+1,0))</f>
        <v/>
      </c>
      <c r="E359" t="str">
        <f>+IFERROR(VLOOKUP(Fact_Analitica[[#This Row], [Concepto Anterior]],Conceptos_Analítica_contraloría[#All],5,0),"")</f>
        <v/>
      </c>
      <c r="F359" t="str">
        <f>+IFERROR(VLOOKUP(Fact_Analitica[[#This Row], [Concepto Anterior]],Conceptos_Analítica_contraloría[#All],7,0),"")</f>
        <v/>
      </c>
      <c r="I359" t="str">
        <f>+IFERROR(VLOOKUP(D359,Conceptos_Analítica_contraloría[#All],2,0),"")</f>
        <v/>
      </c>
      <c r="J359" s="84" t="str">
        <f>+IFERROR(VLOOKUP(D359,Conceptos_Analítica_contraloría[#All],3,0),"")</f>
        <v/>
      </c>
    </row>
    <row r="360" spans="3:10" ht="18.75" customHeight="1" x14ac:dyDescent="0.35">
      <c r="C360" s="100" t="str">
        <f>IF(OR(Fact_Analitica[[#This Row], [Año]]="",Fact_Analitica[[#This Row], [Mes]]=""),"",DATE(A360,MATCH(B360,{"enero","febrero","marzo","abril","mayo","junio","julio","agosto","septiembre","octubre","noviembre","diciembre"},0)+1,0))</f>
        <v/>
      </c>
      <c r="E360" t="str">
        <f>+IFERROR(VLOOKUP(Fact_Analitica[[#This Row], [Concepto Anterior]],Conceptos_Analítica_contraloría[#All],5,0),"")</f>
        <v/>
      </c>
      <c r="F360" t="str">
        <f>+IFERROR(VLOOKUP(Fact_Analitica[[#This Row], [Concepto Anterior]],Conceptos_Analítica_contraloría[#All],7,0),"")</f>
        <v/>
      </c>
      <c r="I360" t="str">
        <f>+IFERROR(VLOOKUP(D360,Conceptos_Analítica_contraloría[#All],2,0),"")</f>
        <v/>
      </c>
      <c r="J360" s="84" t="str">
        <f>+IFERROR(VLOOKUP(D360,Conceptos_Analítica_contraloría[#All],3,0),"")</f>
        <v/>
      </c>
    </row>
    <row r="361" spans="3:10" ht="18.75" customHeight="1" x14ac:dyDescent="0.35">
      <c r="C361" s="100" t="str">
        <f>IF(OR(Fact_Analitica[[#This Row], [Año]]="",Fact_Analitica[[#This Row], [Mes]]=""),"",DATE(A361,MATCH(B361,{"enero","febrero","marzo","abril","mayo","junio","julio","agosto","septiembre","octubre","noviembre","diciembre"},0)+1,0))</f>
        <v/>
      </c>
      <c r="E361" t="str">
        <f>+IFERROR(VLOOKUP(Fact_Analitica[[#This Row], [Concepto Anterior]],Conceptos_Analítica_contraloría[#All],5,0),"")</f>
        <v/>
      </c>
      <c r="F361" t="str">
        <f>+IFERROR(VLOOKUP(Fact_Analitica[[#This Row], [Concepto Anterior]],Conceptos_Analítica_contraloría[#All],7,0),"")</f>
        <v/>
      </c>
      <c r="I361" t="str">
        <f>+IFERROR(VLOOKUP(D361,Conceptos_Analítica_contraloría[#All],2,0),"")</f>
        <v/>
      </c>
      <c r="J361" s="84" t="str">
        <f>+IFERROR(VLOOKUP(D361,Conceptos_Analítica_contraloría[#All],3,0),"")</f>
        <v/>
      </c>
    </row>
    <row r="362" spans="3:10" ht="18.75" customHeight="1" x14ac:dyDescent="0.35">
      <c r="C362" s="100" t="str">
        <f>IF(OR(Fact_Analitica[[#This Row], [Año]]="",Fact_Analitica[[#This Row], [Mes]]=""),"",DATE(A362,MATCH(B362,{"enero","febrero","marzo","abril","mayo","junio","julio","agosto","septiembre","octubre","noviembre","diciembre"},0)+1,0))</f>
        <v/>
      </c>
      <c r="E362" t="str">
        <f>+IFERROR(VLOOKUP(Fact_Analitica[[#This Row], [Concepto Anterior]],Conceptos_Analítica_contraloría[#All],5,0),"")</f>
        <v/>
      </c>
      <c r="F362" t="str">
        <f>+IFERROR(VLOOKUP(Fact_Analitica[[#This Row], [Concepto Anterior]],Conceptos_Analítica_contraloría[#All],7,0),"")</f>
        <v/>
      </c>
      <c r="I362" t="str">
        <f>+IFERROR(VLOOKUP(D362,Conceptos_Analítica_contraloría[#All],2,0),"")</f>
        <v/>
      </c>
      <c r="J362" s="84" t="str">
        <f>+IFERROR(VLOOKUP(D362,Conceptos_Analítica_contraloría[#All],3,0),"")</f>
        <v/>
      </c>
    </row>
    <row r="363" spans="3:10" ht="18.75" customHeight="1" x14ac:dyDescent="0.35">
      <c r="C363" s="100" t="str">
        <f>IF(OR(Fact_Analitica[[#This Row], [Año]]="",Fact_Analitica[[#This Row], [Mes]]=""),"",DATE(A363,MATCH(B363,{"enero","febrero","marzo","abril","mayo","junio","julio","agosto","septiembre","octubre","noviembre","diciembre"},0)+1,0))</f>
        <v/>
      </c>
      <c r="E363" t="str">
        <f>+IFERROR(VLOOKUP(Fact_Analitica[[#This Row], [Concepto Anterior]],Conceptos_Analítica_contraloría[#All],5,0),"")</f>
        <v/>
      </c>
      <c r="F363" t="str">
        <f>+IFERROR(VLOOKUP(Fact_Analitica[[#This Row], [Concepto Anterior]],Conceptos_Analítica_contraloría[#All],7,0),"")</f>
        <v/>
      </c>
      <c r="I363" t="str">
        <f>+IFERROR(VLOOKUP(D363,Conceptos_Analítica_contraloría[#All],2,0),"")</f>
        <v/>
      </c>
      <c r="J363" s="84" t="str">
        <f>+IFERROR(VLOOKUP(D363,Conceptos_Analítica_contraloría[#All],3,0),"")</f>
        <v/>
      </c>
    </row>
    <row r="364" spans="3:10" ht="18.75" customHeight="1" x14ac:dyDescent="0.35">
      <c r="C364" s="100" t="str">
        <f>IF(OR(Fact_Analitica[[#This Row], [Año]]="",Fact_Analitica[[#This Row], [Mes]]=""),"",DATE(A364,MATCH(B364,{"enero","febrero","marzo","abril","mayo","junio","julio","agosto","septiembre","octubre","noviembre","diciembre"},0)+1,0))</f>
        <v/>
      </c>
      <c r="E364" t="str">
        <f>+IFERROR(VLOOKUP(Fact_Analitica[[#This Row], [Concepto Anterior]],Conceptos_Analítica_contraloría[#All],5,0),"")</f>
        <v/>
      </c>
      <c r="F364" t="str">
        <f>+IFERROR(VLOOKUP(Fact_Analitica[[#This Row], [Concepto Anterior]],Conceptos_Analítica_contraloría[#All],7,0),"")</f>
        <v/>
      </c>
      <c r="I364" t="str">
        <f>+IFERROR(VLOOKUP(D364,Conceptos_Analítica_contraloría[#All],2,0),"")</f>
        <v/>
      </c>
      <c r="J364" s="84" t="str">
        <f>+IFERROR(VLOOKUP(D364,Conceptos_Analítica_contraloría[#All],3,0),"")</f>
        <v/>
      </c>
    </row>
    <row r="365" spans="3:10" ht="18.75" customHeight="1" x14ac:dyDescent="0.35">
      <c r="C365" s="100" t="str">
        <f>IF(OR(Fact_Analitica[[#This Row], [Año]]="",Fact_Analitica[[#This Row], [Mes]]=""),"",DATE(A365,MATCH(B365,{"enero","febrero","marzo","abril","mayo","junio","julio","agosto","septiembre","octubre","noviembre","diciembre"},0)+1,0))</f>
        <v/>
      </c>
      <c r="E365" t="str">
        <f>+IFERROR(VLOOKUP(Fact_Analitica[[#This Row], [Concepto Anterior]],Conceptos_Analítica_contraloría[#All],5,0),"")</f>
        <v/>
      </c>
      <c r="F365" t="str">
        <f>+IFERROR(VLOOKUP(Fact_Analitica[[#This Row], [Concepto Anterior]],Conceptos_Analítica_contraloría[#All],7,0),"")</f>
        <v/>
      </c>
      <c r="I365" t="str">
        <f>+IFERROR(VLOOKUP(D365,Conceptos_Analítica_contraloría[#All],2,0),"")</f>
        <v/>
      </c>
      <c r="J365" s="84" t="str">
        <f>+IFERROR(VLOOKUP(D365,Conceptos_Analítica_contraloría[#All],3,0),"")</f>
        <v/>
      </c>
    </row>
    <row r="366" spans="3:10" ht="18.75" customHeight="1" x14ac:dyDescent="0.35">
      <c r="C366" s="100" t="str">
        <f>IF(OR(Fact_Analitica[[#This Row], [Año]]="",Fact_Analitica[[#This Row], [Mes]]=""),"",DATE(A366,MATCH(B366,{"enero","febrero","marzo","abril","mayo","junio","julio","agosto","septiembre","octubre","noviembre","diciembre"},0)+1,0))</f>
        <v/>
      </c>
      <c r="E366" t="str">
        <f>+IFERROR(VLOOKUP(Fact_Analitica[[#This Row], [Concepto Anterior]],Conceptos_Analítica_contraloría[#All],5,0),"")</f>
        <v/>
      </c>
      <c r="F366" t="str">
        <f>+IFERROR(VLOOKUP(Fact_Analitica[[#This Row], [Concepto Anterior]],Conceptos_Analítica_contraloría[#All],7,0),"")</f>
        <v/>
      </c>
      <c r="I366" t="str">
        <f>+IFERROR(VLOOKUP(D366,Conceptos_Analítica_contraloría[#All],2,0),"")</f>
        <v/>
      </c>
      <c r="J366" s="84" t="str">
        <f>+IFERROR(VLOOKUP(D366,Conceptos_Analítica_contraloría[#All],3,0),"")</f>
        <v/>
      </c>
    </row>
    <row r="367" spans="3:10" ht="18.75" customHeight="1" x14ac:dyDescent="0.35">
      <c r="C367" s="100" t="str">
        <f>IF(OR(Fact_Analitica[[#This Row], [Año]]="",Fact_Analitica[[#This Row], [Mes]]=""),"",DATE(A367,MATCH(B367,{"enero","febrero","marzo","abril","mayo","junio","julio","agosto","septiembre","octubre","noviembre","diciembre"},0)+1,0))</f>
        <v/>
      </c>
      <c r="E367" t="str">
        <f>+IFERROR(VLOOKUP(Fact_Analitica[[#This Row], [Concepto Anterior]],Conceptos_Analítica_contraloría[#All],5,0),"")</f>
        <v/>
      </c>
      <c r="F367" t="str">
        <f>+IFERROR(VLOOKUP(Fact_Analitica[[#This Row], [Concepto Anterior]],Conceptos_Analítica_contraloría[#All],7,0),"")</f>
        <v/>
      </c>
      <c r="I367" t="str">
        <f>+IFERROR(VLOOKUP(D367,Conceptos_Analítica_contraloría[#All],2,0),"")</f>
        <v/>
      </c>
      <c r="J367" s="84" t="str">
        <f>+IFERROR(VLOOKUP(D367,Conceptos_Analítica_contraloría[#All],3,0),"")</f>
        <v/>
      </c>
    </row>
    <row r="368" spans="3:10" ht="18.75" customHeight="1" x14ac:dyDescent="0.35">
      <c r="C368" s="100" t="str">
        <f>IF(OR(Fact_Analitica[[#This Row], [Año]]="",Fact_Analitica[[#This Row], [Mes]]=""),"",DATE(A368,MATCH(B368,{"enero","febrero","marzo","abril","mayo","junio","julio","agosto","septiembre","octubre","noviembre","diciembre"},0)+1,0))</f>
        <v/>
      </c>
      <c r="E368" t="str">
        <f>+IFERROR(VLOOKUP(Fact_Analitica[[#This Row], [Concepto Anterior]],Conceptos_Analítica_contraloría[#All],5,0),"")</f>
        <v/>
      </c>
      <c r="F368" t="str">
        <f>+IFERROR(VLOOKUP(Fact_Analitica[[#This Row], [Concepto Anterior]],Conceptos_Analítica_contraloría[#All],7,0),"")</f>
        <v/>
      </c>
      <c r="I368" t="str">
        <f>+IFERROR(VLOOKUP(D368,Conceptos_Analítica_contraloría[#All],2,0),"")</f>
        <v/>
      </c>
      <c r="J368" s="84" t="str">
        <f>+IFERROR(VLOOKUP(D368,Conceptos_Analítica_contraloría[#All],3,0),"")</f>
        <v/>
      </c>
    </row>
    <row r="369" spans="3:10" ht="18.75" customHeight="1" x14ac:dyDescent="0.35">
      <c r="C369" s="100" t="str">
        <f>IF(OR(Fact_Analitica[[#This Row], [Año]]="",Fact_Analitica[[#This Row], [Mes]]=""),"",DATE(A369,MATCH(B369,{"enero","febrero","marzo","abril","mayo","junio","julio","agosto","septiembre","octubre","noviembre","diciembre"},0)+1,0))</f>
        <v/>
      </c>
      <c r="E369" t="str">
        <f>+IFERROR(VLOOKUP(Fact_Analitica[[#This Row], [Concepto Anterior]],Conceptos_Analítica_contraloría[#All],5,0),"")</f>
        <v/>
      </c>
      <c r="F369" t="str">
        <f>+IFERROR(VLOOKUP(Fact_Analitica[[#This Row], [Concepto Anterior]],Conceptos_Analítica_contraloría[#All],7,0),"")</f>
        <v/>
      </c>
      <c r="I369" t="str">
        <f>+IFERROR(VLOOKUP(D369,Conceptos_Analítica_contraloría[#All],2,0),"")</f>
        <v/>
      </c>
      <c r="J369" s="84" t="str">
        <f>+IFERROR(VLOOKUP(D369,Conceptos_Analítica_contraloría[#All],3,0),"")</f>
        <v/>
      </c>
    </row>
    <row r="370" spans="3:10" ht="18.75" customHeight="1" x14ac:dyDescent="0.35">
      <c r="C370" s="100" t="str">
        <f>IF(OR(Fact_Analitica[[#This Row], [Año]]="",Fact_Analitica[[#This Row], [Mes]]=""),"",DATE(A370,MATCH(B370,{"enero","febrero","marzo","abril","mayo","junio","julio","agosto","septiembre","octubre","noviembre","diciembre"},0)+1,0))</f>
        <v/>
      </c>
      <c r="E370" t="str">
        <f>+IFERROR(VLOOKUP(Fact_Analitica[[#This Row], [Concepto Anterior]],Conceptos_Analítica_contraloría[#All],5,0),"")</f>
        <v/>
      </c>
      <c r="F370" t="str">
        <f>+IFERROR(VLOOKUP(Fact_Analitica[[#This Row], [Concepto Anterior]],Conceptos_Analítica_contraloría[#All],7,0),"")</f>
        <v/>
      </c>
      <c r="I370" t="str">
        <f>+IFERROR(VLOOKUP(D370,Conceptos_Analítica_contraloría[#All],2,0),"")</f>
        <v/>
      </c>
      <c r="J370" s="84" t="str">
        <f>+IFERROR(VLOOKUP(D370,Conceptos_Analítica_contraloría[#All],3,0),"")</f>
        <v/>
      </c>
    </row>
    <row r="371" spans="3:10" ht="18.75" customHeight="1" x14ac:dyDescent="0.35">
      <c r="C371" s="100" t="str">
        <f>IF(OR(Fact_Analitica[[#This Row], [Año]]="",Fact_Analitica[[#This Row], [Mes]]=""),"",DATE(A371,MATCH(B371,{"enero","febrero","marzo","abril","mayo","junio","julio","agosto","septiembre","octubre","noviembre","diciembre"},0)+1,0))</f>
        <v/>
      </c>
      <c r="E371" t="str">
        <f>+IFERROR(VLOOKUP(Fact_Analitica[[#This Row], [Concepto Anterior]],Conceptos_Analítica_contraloría[#All],5,0),"")</f>
        <v/>
      </c>
      <c r="F371" t="str">
        <f>+IFERROR(VLOOKUP(Fact_Analitica[[#This Row], [Concepto Anterior]],Conceptos_Analítica_contraloría[#All],7,0),"")</f>
        <v/>
      </c>
      <c r="I371" t="str">
        <f>+IFERROR(VLOOKUP(D371,Conceptos_Analítica_contraloría[#All],2,0),"")</f>
        <v/>
      </c>
      <c r="J371" s="84" t="str">
        <f>+IFERROR(VLOOKUP(D371,Conceptos_Analítica_contraloría[#All],3,0),"")</f>
        <v/>
      </c>
    </row>
    <row r="372" spans="3:10" ht="18.75" customHeight="1" x14ac:dyDescent="0.35">
      <c r="C372" s="100" t="str">
        <f>IF(OR(Fact_Analitica[[#This Row], [Año]]="",Fact_Analitica[[#This Row], [Mes]]=""),"",DATE(A372,MATCH(B372,{"enero","febrero","marzo","abril","mayo","junio","julio","agosto","septiembre","octubre","noviembre","diciembre"},0)+1,0))</f>
        <v/>
      </c>
      <c r="E372" t="str">
        <f>+IFERROR(VLOOKUP(Fact_Analitica[[#This Row], [Concepto Anterior]],Conceptos_Analítica_contraloría[#All],5,0),"")</f>
        <v/>
      </c>
      <c r="F372" t="str">
        <f>+IFERROR(VLOOKUP(Fact_Analitica[[#This Row], [Concepto Anterior]],Conceptos_Analítica_contraloría[#All],7,0),"")</f>
        <v/>
      </c>
      <c r="I372" t="str">
        <f>+IFERROR(VLOOKUP(D372,Conceptos_Analítica_contraloría[#All],2,0),"")</f>
        <v/>
      </c>
      <c r="J372" s="84" t="str">
        <f>+IFERROR(VLOOKUP(D372,Conceptos_Analítica_contraloría[#All],3,0),"")</f>
        <v/>
      </c>
    </row>
    <row r="373" spans="3:10" ht="18.75" customHeight="1" x14ac:dyDescent="0.35">
      <c r="C373" s="100" t="str">
        <f>IF(OR(Fact_Analitica[[#This Row], [Año]]="",Fact_Analitica[[#This Row], [Mes]]=""),"",DATE(A373,MATCH(B373,{"enero","febrero","marzo","abril","mayo","junio","julio","agosto","septiembre","octubre","noviembre","diciembre"},0)+1,0))</f>
        <v/>
      </c>
      <c r="E373" t="str">
        <f>+IFERROR(VLOOKUP(Fact_Analitica[[#This Row], [Concepto Anterior]],Conceptos_Analítica_contraloría[#All],5,0),"")</f>
        <v/>
      </c>
      <c r="F373" t="str">
        <f>+IFERROR(VLOOKUP(Fact_Analitica[[#This Row], [Concepto Anterior]],Conceptos_Analítica_contraloría[#All],7,0),"")</f>
        <v/>
      </c>
      <c r="I373" t="str">
        <f>+IFERROR(VLOOKUP(D373,Conceptos_Analítica_contraloría[#All],2,0),"")</f>
        <v/>
      </c>
      <c r="J373" s="84" t="str">
        <f>+IFERROR(VLOOKUP(D373,Conceptos_Analítica_contraloría[#All],3,0),"")</f>
        <v/>
      </c>
    </row>
    <row r="374" spans="3:10" ht="18.75" customHeight="1" x14ac:dyDescent="0.35">
      <c r="C374" s="100" t="str">
        <f>IF(OR(Fact_Analitica[[#This Row], [Año]]="",Fact_Analitica[[#This Row], [Mes]]=""),"",DATE(A374,MATCH(B374,{"enero","febrero","marzo","abril","mayo","junio","julio","agosto","septiembre","octubre","noviembre","diciembre"},0)+1,0))</f>
        <v/>
      </c>
      <c r="E374" t="str">
        <f>+IFERROR(VLOOKUP(Fact_Analitica[[#This Row], [Concepto Anterior]],Conceptos_Analítica_contraloría[#All],5,0),"")</f>
        <v/>
      </c>
      <c r="F374" t="str">
        <f>+IFERROR(VLOOKUP(Fact_Analitica[[#This Row], [Concepto Anterior]],Conceptos_Analítica_contraloría[#All],7,0),"")</f>
        <v/>
      </c>
      <c r="I374" t="str">
        <f>+IFERROR(VLOOKUP(D374,Conceptos_Analítica_contraloría[#All],2,0),"")</f>
        <v/>
      </c>
      <c r="J374" s="84" t="str">
        <f>+IFERROR(VLOOKUP(D374,Conceptos_Analítica_contraloría[#All],3,0),"")</f>
        <v/>
      </c>
    </row>
    <row r="375" spans="3:10" ht="18.75" customHeight="1" x14ac:dyDescent="0.35">
      <c r="C375" s="100" t="str">
        <f>IF(OR(Fact_Analitica[[#This Row], [Año]]="",Fact_Analitica[[#This Row], [Mes]]=""),"",DATE(A375,MATCH(B375,{"enero","febrero","marzo","abril","mayo","junio","julio","agosto","septiembre","octubre","noviembre","diciembre"},0)+1,0))</f>
        <v/>
      </c>
      <c r="E375" t="str">
        <f>+IFERROR(VLOOKUP(Fact_Analitica[[#This Row], [Concepto Anterior]],Conceptos_Analítica_contraloría[#All],5,0),"")</f>
        <v/>
      </c>
      <c r="F375" t="str">
        <f>+IFERROR(VLOOKUP(Fact_Analitica[[#This Row], [Concepto Anterior]],Conceptos_Analítica_contraloría[#All],7,0),"")</f>
        <v/>
      </c>
      <c r="I375" t="str">
        <f>+IFERROR(VLOOKUP(D375,Conceptos_Analítica_contraloría[#All],2,0),"")</f>
        <v/>
      </c>
      <c r="J375" s="84" t="str">
        <f>+IFERROR(VLOOKUP(D375,Conceptos_Analítica_contraloría[#All],3,0),"")</f>
        <v/>
      </c>
    </row>
    <row r="376" spans="3:10" ht="18.75" customHeight="1" x14ac:dyDescent="0.35">
      <c r="C376" s="100" t="str">
        <f>IF(OR(Fact_Analitica[[#This Row], [Año]]="",Fact_Analitica[[#This Row], [Mes]]=""),"",DATE(A376,MATCH(B376,{"enero","febrero","marzo","abril","mayo","junio","julio","agosto","septiembre","octubre","noviembre","diciembre"},0)+1,0))</f>
        <v/>
      </c>
      <c r="E376" t="str">
        <f>+IFERROR(VLOOKUP(Fact_Analitica[[#This Row], [Concepto Anterior]],Conceptos_Analítica_contraloría[#All],5,0),"")</f>
        <v/>
      </c>
      <c r="F376" t="str">
        <f>+IFERROR(VLOOKUP(Fact_Analitica[[#This Row], [Concepto Anterior]],Conceptos_Analítica_contraloría[#All],7,0),"")</f>
        <v/>
      </c>
      <c r="I376" t="str">
        <f>+IFERROR(VLOOKUP(D376,Conceptos_Analítica_contraloría[#All],2,0),"")</f>
        <v/>
      </c>
      <c r="J376" s="84" t="str">
        <f>+IFERROR(VLOOKUP(D376,Conceptos_Analítica_contraloría[#All],3,0),"")</f>
        <v/>
      </c>
    </row>
    <row r="377" spans="3:10" ht="18.75" customHeight="1" x14ac:dyDescent="0.35">
      <c r="C377" s="100" t="str">
        <f>IF(OR(Fact_Analitica[[#This Row], [Año]]="",Fact_Analitica[[#This Row], [Mes]]=""),"",DATE(A377,MATCH(B377,{"enero","febrero","marzo","abril","mayo","junio","julio","agosto","septiembre","octubre","noviembre","diciembre"},0)+1,0))</f>
        <v/>
      </c>
      <c r="E377" t="str">
        <f>+IFERROR(VLOOKUP(Fact_Analitica[[#This Row], [Concepto Anterior]],Conceptos_Analítica_contraloría[#All],5,0),"")</f>
        <v/>
      </c>
      <c r="F377" t="str">
        <f>+IFERROR(VLOOKUP(Fact_Analitica[[#This Row], [Concepto Anterior]],Conceptos_Analítica_contraloría[#All],7,0),"")</f>
        <v/>
      </c>
      <c r="I377" t="str">
        <f>+IFERROR(VLOOKUP(D377,Conceptos_Analítica_contraloría[#All],2,0),"")</f>
        <v/>
      </c>
      <c r="J377" s="84" t="str">
        <f>+IFERROR(VLOOKUP(D377,Conceptos_Analítica_contraloría[#All],3,0),"")</f>
        <v/>
      </c>
    </row>
    <row r="378" spans="3:10" ht="18.75" customHeight="1" x14ac:dyDescent="0.35">
      <c r="C378" s="100" t="str">
        <f>IF(OR(Fact_Analitica[[#This Row], [Año]]="",Fact_Analitica[[#This Row], [Mes]]=""),"",DATE(A378,MATCH(B378,{"enero","febrero","marzo","abril","mayo","junio","julio","agosto","septiembre","octubre","noviembre","diciembre"},0)+1,0))</f>
        <v/>
      </c>
      <c r="E378" t="str">
        <f>+IFERROR(VLOOKUP(Fact_Analitica[[#This Row], [Concepto Anterior]],Conceptos_Analítica_contraloría[#All],5,0),"")</f>
        <v/>
      </c>
      <c r="F378" t="str">
        <f>+IFERROR(VLOOKUP(Fact_Analitica[[#This Row], [Concepto Anterior]],Conceptos_Analítica_contraloría[#All],7,0),"")</f>
        <v/>
      </c>
      <c r="I378" t="str">
        <f>+IFERROR(VLOOKUP(D378,Conceptos_Analítica_contraloría[#All],2,0),"")</f>
        <v/>
      </c>
      <c r="J378" s="84" t="str">
        <f>+IFERROR(VLOOKUP(D378,Conceptos_Analítica_contraloría[#All],3,0),"")</f>
        <v/>
      </c>
    </row>
    <row r="379" spans="3:10" ht="18.75" customHeight="1" x14ac:dyDescent="0.35">
      <c r="C379" s="100" t="str">
        <f>IF(OR(Fact_Analitica[[#This Row], [Año]]="",Fact_Analitica[[#This Row], [Mes]]=""),"",DATE(A379,MATCH(B379,{"enero","febrero","marzo","abril","mayo","junio","julio","agosto","septiembre","octubre","noviembre","diciembre"},0)+1,0))</f>
        <v/>
      </c>
      <c r="E379" t="str">
        <f>+IFERROR(VLOOKUP(Fact_Analitica[[#This Row], [Concepto Anterior]],Conceptos_Analítica_contraloría[#All],5,0),"")</f>
        <v/>
      </c>
      <c r="F379" t="str">
        <f>+IFERROR(VLOOKUP(Fact_Analitica[[#This Row], [Concepto Anterior]],Conceptos_Analítica_contraloría[#All],7,0),"")</f>
        <v/>
      </c>
      <c r="I379" t="str">
        <f>+IFERROR(VLOOKUP(D379,Conceptos_Analítica_contraloría[#All],2,0),"")</f>
        <v/>
      </c>
      <c r="J379" s="84" t="str">
        <f>+IFERROR(VLOOKUP(D379,Conceptos_Analítica_contraloría[#All],3,0),"")</f>
        <v/>
      </c>
    </row>
    <row r="380" spans="3:10" ht="18.75" customHeight="1" x14ac:dyDescent="0.35">
      <c r="C380" s="100" t="str">
        <f>IF(OR(Fact_Analitica[[#This Row], [Año]]="",Fact_Analitica[[#This Row], [Mes]]=""),"",DATE(A380,MATCH(B380,{"enero","febrero","marzo","abril","mayo","junio","julio","agosto","septiembre","octubre","noviembre","diciembre"},0)+1,0))</f>
        <v/>
      </c>
      <c r="E380" t="str">
        <f>+IFERROR(VLOOKUP(Fact_Analitica[[#This Row], [Concepto Anterior]],Conceptos_Analítica_contraloría[#All],5,0),"")</f>
        <v/>
      </c>
      <c r="F380" t="str">
        <f>+IFERROR(VLOOKUP(Fact_Analitica[[#This Row], [Concepto Anterior]],Conceptos_Analítica_contraloría[#All],7,0),"")</f>
        <v/>
      </c>
      <c r="I380" t="str">
        <f>+IFERROR(VLOOKUP(D380,Conceptos_Analítica_contraloría[#All],2,0),"")</f>
        <v/>
      </c>
      <c r="J380" s="84" t="str">
        <f>+IFERROR(VLOOKUP(D380,Conceptos_Analítica_contraloría[#All],3,0),"")</f>
        <v/>
      </c>
    </row>
    <row r="381" spans="3:10" ht="18.75" customHeight="1" x14ac:dyDescent="0.35">
      <c r="C381" s="100" t="str">
        <f>IF(OR(Fact_Analitica[[#This Row], [Año]]="",Fact_Analitica[[#This Row], [Mes]]=""),"",DATE(A381,MATCH(B381,{"enero","febrero","marzo","abril","mayo","junio","julio","agosto","septiembre","octubre","noviembre","diciembre"},0)+1,0))</f>
        <v/>
      </c>
      <c r="E381" t="str">
        <f>+IFERROR(VLOOKUP(Fact_Analitica[[#This Row], [Concepto Anterior]],Conceptos_Analítica_contraloría[#All],5,0),"")</f>
        <v/>
      </c>
      <c r="F381" t="str">
        <f>+IFERROR(VLOOKUP(Fact_Analitica[[#This Row], [Concepto Anterior]],Conceptos_Analítica_contraloría[#All],7,0),"")</f>
        <v/>
      </c>
      <c r="I381" t="str">
        <f>+IFERROR(VLOOKUP(D381,Conceptos_Analítica_contraloría[#All],2,0),"")</f>
        <v/>
      </c>
      <c r="J381" s="84" t="str">
        <f>+IFERROR(VLOOKUP(D381,Conceptos_Analítica_contraloría[#All],3,0),"")</f>
        <v/>
      </c>
    </row>
    <row r="382" spans="3:10" ht="18.75" customHeight="1" x14ac:dyDescent="0.35">
      <c r="C382" s="100" t="str">
        <f>IF(OR(Fact_Analitica[[#This Row], [Año]]="",Fact_Analitica[[#This Row], [Mes]]=""),"",DATE(A382,MATCH(B382,{"enero","febrero","marzo","abril","mayo","junio","julio","agosto","septiembre","octubre","noviembre","diciembre"},0)+1,0))</f>
        <v/>
      </c>
      <c r="E382" t="str">
        <f>+IFERROR(VLOOKUP(Fact_Analitica[[#This Row], [Concepto Anterior]],Conceptos_Analítica_contraloría[#All],5,0),"")</f>
        <v/>
      </c>
      <c r="F382" t="str">
        <f>+IFERROR(VLOOKUP(Fact_Analitica[[#This Row], [Concepto Anterior]],Conceptos_Analítica_contraloría[#All],7,0),"")</f>
        <v/>
      </c>
      <c r="I382" t="str">
        <f>+IFERROR(VLOOKUP(D382,Conceptos_Analítica_contraloría[#All],2,0),"")</f>
        <v/>
      </c>
      <c r="J382" s="84" t="str">
        <f>+IFERROR(VLOOKUP(D382,Conceptos_Analítica_contraloría[#All],3,0),"")</f>
        <v/>
      </c>
    </row>
    <row r="383" spans="3:10" ht="18.75" customHeight="1" x14ac:dyDescent="0.35">
      <c r="C383" s="100" t="str">
        <f>IF(OR(Fact_Analitica[[#This Row], [Año]]="",Fact_Analitica[[#This Row], [Mes]]=""),"",DATE(A383,MATCH(B383,{"enero","febrero","marzo","abril","mayo","junio","julio","agosto","septiembre","octubre","noviembre","diciembre"},0)+1,0))</f>
        <v/>
      </c>
      <c r="E383" t="str">
        <f>+IFERROR(VLOOKUP(Fact_Analitica[[#This Row], [Concepto Anterior]],Conceptos_Analítica_contraloría[#All],5,0),"")</f>
        <v/>
      </c>
      <c r="F383" t="str">
        <f>+IFERROR(VLOOKUP(Fact_Analitica[[#This Row], [Concepto Anterior]],Conceptos_Analítica_contraloría[#All],7,0),"")</f>
        <v/>
      </c>
      <c r="I383" t="str">
        <f>+IFERROR(VLOOKUP(D383,Conceptos_Analítica_contraloría[#All],2,0),"")</f>
        <v/>
      </c>
      <c r="J383" s="84" t="str">
        <f>+IFERROR(VLOOKUP(D383,Conceptos_Analítica_contraloría[#All],3,0),"")</f>
        <v/>
      </c>
    </row>
    <row r="384" spans="3:10" ht="18.75" customHeight="1" x14ac:dyDescent="0.35">
      <c r="C384" s="100" t="str">
        <f>IF(OR(Fact_Analitica[[#This Row], [Año]]="",Fact_Analitica[[#This Row], [Mes]]=""),"",DATE(A384,MATCH(B384,{"enero","febrero","marzo","abril","mayo","junio","julio","agosto","septiembre","octubre","noviembre","diciembre"},0)+1,0))</f>
        <v/>
      </c>
      <c r="E384" t="str">
        <f>+IFERROR(VLOOKUP(Fact_Analitica[[#This Row], [Concepto Anterior]],Conceptos_Analítica_contraloría[#All],5,0),"")</f>
        <v/>
      </c>
      <c r="F384" t="str">
        <f>+IFERROR(VLOOKUP(Fact_Analitica[[#This Row], [Concepto Anterior]],Conceptos_Analítica_contraloría[#All],7,0),"")</f>
        <v/>
      </c>
      <c r="I384" t="str">
        <f>+IFERROR(VLOOKUP(D384,Conceptos_Analítica_contraloría[#All],2,0),"")</f>
        <v/>
      </c>
      <c r="J384" s="84" t="str">
        <f>+IFERROR(VLOOKUP(D384,Conceptos_Analítica_contraloría[#All],3,0),"")</f>
        <v/>
      </c>
    </row>
    <row r="385" spans="3:10" ht="18.75" customHeight="1" x14ac:dyDescent="0.35">
      <c r="C385" s="100" t="str">
        <f>IF(OR(Fact_Analitica[[#This Row], [Año]]="",Fact_Analitica[[#This Row], [Mes]]=""),"",DATE(A385,MATCH(B385,{"enero","febrero","marzo","abril","mayo","junio","julio","agosto","septiembre","octubre","noviembre","diciembre"},0)+1,0))</f>
        <v/>
      </c>
      <c r="E385" t="str">
        <f>+IFERROR(VLOOKUP(Fact_Analitica[[#This Row], [Concepto Anterior]],Conceptos_Analítica_contraloría[#All],5,0),"")</f>
        <v/>
      </c>
      <c r="F385" t="str">
        <f>+IFERROR(VLOOKUP(Fact_Analitica[[#This Row], [Concepto Anterior]],Conceptos_Analítica_contraloría[#All],7,0),"")</f>
        <v/>
      </c>
      <c r="I385" t="str">
        <f>+IFERROR(VLOOKUP(D385,Conceptos_Analítica_contraloría[#All],2,0),"")</f>
        <v/>
      </c>
      <c r="J385" s="84" t="str">
        <f>+IFERROR(VLOOKUP(D385,Conceptos_Analítica_contraloría[#All],3,0),"")</f>
        <v/>
      </c>
    </row>
    <row r="386" spans="3:10" ht="18.75" customHeight="1" x14ac:dyDescent="0.35">
      <c r="C386" s="100" t="str">
        <f>IF(OR(Fact_Analitica[[#This Row], [Año]]="",Fact_Analitica[[#This Row], [Mes]]=""),"",DATE(A386,MATCH(B386,{"enero","febrero","marzo","abril","mayo","junio","julio","agosto","septiembre","octubre","noviembre","diciembre"},0)+1,0))</f>
        <v/>
      </c>
      <c r="E386" t="str">
        <f>+IFERROR(VLOOKUP(Fact_Analitica[[#This Row], [Concepto Anterior]],Conceptos_Analítica_contraloría[#All],5,0),"")</f>
        <v/>
      </c>
      <c r="F386" t="str">
        <f>+IFERROR(VLOOKUP(Fact_Analitica[[#This Row], [Concepto Anterior]],Conceptos_Analítica_contraloría[#All],7,0),"")</f>
        <v/>
      </c>
      <c r="I386" t="str">
        <f>+IFERROR(VLOOKUP(D386,Conceptos_Analítica_contraloría[#All],2,0),"")</f>
        <v/>
      </c>
      <c r="J386" s="84" t="str">
        <f>+IFERROR(VLOOKUP(D386,Conceptos_Analítica_contraloría[#All],3,0),"")</f>
        <v/>
      </c>
    </row>
    <row r="387" spans="3:10" ht="18.75" customHeight="1" x14ac:dyDescent="0.35">
      <c r="C387" s="100" t="str">
        <f>IF(OR(Fact_Analitica[[#This Row], [Año]]="",Fact_Analitica[[#This Row], [Mes]]=""),"",DATE(A387,MATCH(B387,{"enero","febrero","marzo","abril","mayo","junio","julio","agosto","septiembre","octubre","noviembre","diciembre"},0)+1,0))</f>
        <v/>
      </c>
      <c r="E387" t="str">
        <f>+IFERROR(VLOOKUP(Fact_Analitica[[#This Row], [Concepto Anterior]],Conceptos_Analítica_contraloría[#All],5,0),"")</f>
        <v/>
      </c>
      <c r="F387" t="str">
        <f>+IFERROR(VLOOKUP(Fact_Analitica[[#This Row], [Concepto Anterior]],Conceptos_Analítica_contraloría[#All],7,0),"")</f>
        <v/>
      </c>
      <c r="I387" t="str">
        <f>+IFERROR(VLOOKUP(D387,Conceptos_Analítica_contraloría[#All],2,0),"")</f>
        <v/>
      </c>
      <c r="J387" s="84" t="str">
        <f>+IFERROR(VLOOKUP(D387,Conceptos_Analítica_contraloría[#All],3,0),"")</f>
        <v/>
      </c>
    </row>
    <row r="388" spans="3:10" ht="18.75" customHeight="1" x14ac:dyDescent="0.35">
      <c r="C388" s="100" t="str">
        <f>IF(OR(Fact_Analitica[[#This Row], [Año]]="",Fact_Analitica[[#This Row], [Mes]]=""),"",DATE(A388,MATCH(B388,{"enero","febrero","marzo","abril","mayo","junio","julio","agosto","septiembre","octubre","noviembre","diciembre"},0)+1,0))</f>
        <v/>
      </c>
      <c r="E388" t="str">
        <f>+IFERROR(VLOOKUP(Fact_Analitica[[#This Row], [Concepto Anterior]],Conceptos_Analítica_contraloría[#All],5,0),"")</f>
        <v/>
      </c>
      <c r="F388" t="str">
        <f>+IFERROR(VLOOKUP(Fact_Analitica[[#This Row], [Concepto Anterior]],Conceptos_Analítica_contraloría[#All],7,0),"")</f>
        <v/>
      </c>
      <c r="I388" t="str">
        <f>+IFERROR(VLOOKUP(D388,Conceptos_Analítica_contraloría[#All],2,0),"")</f>
        <v/>
      </c>
      <c r="J388" s="84" t="str">
        <f>+IFERROR(VLOOKUP(D388,Conceptos_Analítica_contraloría[#All],3,0),"")</f>
        <v/>
      </c>
    </row>
    <row r="389" spans="3:10" ht="18.75" customHeight="1" x14ac:dyDescent="0.35">
      <c r="C389" s="100" t="str">
        <f>IF(OR(Fact_Analitica[[#This Row], [Año]]="",Fact_Analitica[[#This Row], [Mes]]=""),"",DATE(A389,MATCH(B389,{"enero","febrero","marzo","abril","mayo","junio","julio","agosto","septiembre","octubre","noviembre","diciembre"},0)+1,0))</f>
        <v/>
      </c>
      <c r="E389" t="str">
        <f>+IFERROR(VLOOKUP(Fact_Analitica[[#This Row], [Concepto Anterior]],Conceptos_Analítica_contraloría[#All],5,0),"")</f>
        <v/>
      </c>
      <c r="F389" t="str">
        <f>+IFERROR(VLOOKUP(Fact_Analitica[[#This Row], [Concepto Anterior]],Conceptos_Analítica_contraloría[#All],7,0),"")</f>
        <v/>
      </c>
      <c r="I389" t="str">
        <f>+IFERROR(VLOOKUP(D389,Conceptos_Analítica_contraloría[#All],2,0),"")</f>
        <v/>
      </c>
      <c r="J389" s="84" t="str">
        <f>+IFERROR(VLOOKUP(D389,Conceptos_Analítica_contraloría[#All],3,0),"")</f>
        <v/>
      </c>
    </row>
    <row r="390" spans="3:10" ht="18.75" customHeight="1" x14ac:dyDescent="0.35">
      <c r="C390" s="100" t="str">
        <f>IF(OR(Fact_Analitica[[#This Row], [Año]]="",Fact_Analitica[[#This Row], [Mes]]=""),"",DATE(A390,MATCH(B390,{"enero","febrero","marzo","abril","mayo","junio","julio","agosto","septiembre","octubre","noviembre","diciembre"},0)+1,0))</f>
        <v/>
      </c>
      <c r="E390" t="str">
        <f>+IFERROR(VLOOKUP(Fact_Analitica[[#This Row], [Concepto Anterior]],Conceptos_Analítica_contraloría[#All],5,0),"")</f>
        <v/>
      </c>
      <c r="F390" t="str">
        <f>+IFERROR(VLOOKUP(Fact_Analitica[[#This Row], [Concepto Anterior]],Conceptos_Analítica_contraloría[#All],7,0),"")</f>
        <v/>
      </c>
      <c r="I390" t="str">
        <f>+IFERROR(VLOOKUP(D390,Conceptos_Analítica_contraloría[#All],2,0),"")</f>
        <v/>
      </c>
      <c r="J390" s="84" t="str">
        <f>+IFERROR(VLOOKUP(D390,Conceptos_Analítica_contraloría[#All],3,0),"")</f>
        <v/>
      </c>
    </row>
    <row r="391" spans="3:10" ht="18.75" customHeight="1" x14ac:dyDescent="0.35">
      <c r="C391" s="100" t="str">
        <f>IF(OR(Fact_Analitica[[#This Row], [Año]]="",Fact_Analitica[[#This Row], [Mes]]=""),"",DATE(A391,MATCH(B391,{"enero","febrero","marzo","abril","mayo","junio","julio","agosto","septiembre","octubre","noviembre","diciembre"},0)+1,0))</f>
        <v/>
      </c>
      <c r="E391" t="str">
        <f>+IFERROR(VLOOKUP(Fact_Analitica[[#This Row], [Concepto Anterior]],Conceptos_Analítica_contraloría[#All],5,0),"")</f>
        <v/>
      </c>
      <c r="F391" t="str">
        <f>+IFERROR(VLOOKUP(Fact_Analitica[[#This Row], [Concepto Anterior]],Conceptos_Analítica_contraloría[#All],7,0),"")</f>
        <v/>
      </c>
      <c r="I391" t="str">
        <f>+IFERROR(VLOOKUP(D391,Conceptos_Analítica_contraloría[#All],2,0),"")</f>
        <v/>
      </c>
      <c r="J391" s="84" t="str">
        <f>+IFERROR(VLOOKUP(D391,Conceptos_Analítica_contraloría[#All],3,0),"")</f>
        <v/>
      </c>
    </row>
    <row r="392" spans="3:10" ht="18.75" customHeight="1" x14ac:dyDescent="0.35">
      <c r="C392" s="100" t="str">
        <f>IF(OR(Fact_Analitica[[#This Row], [Año]]="",Fact_Analitica[[#This Row], [Mes]]=""),"",DATE(A392,MATCH(B392,{"enero","febrero","marzo","abril","mayo","junio","julio","agosto","septiembre","octubre","noviembre","diciembre"},0)+1,0))</f>
        <v/>
      </c>
      <c r="E392" t="str">
        <f>+IFERROR(VLOOKUP(Fact_Analitica[[#This Row], [Concepto Anterior]],Conceptos_Analítica_contraloría[#All],5,0),"")</f>
        <v/>
      </c>
      <c r="F392" t="str">
        <f>+IFERROR(VLOOKUP(Fact_Analitica[[#This Row], [Concepto Anterior]],Conceptos_Analítica_contraloría[#All],7,0),"")</f>
        <v/>
      </c>
      <c r="I392" t="str">
        <f>+IFERROR(VLOOKUP(D392,Conceptos_Analítica_contraloría[#All],2,0),"")</f>
        <v/>
      </c>
      <c r="J392" s="84" t="str">
        <f>+IFERROR(VLOOKUP(D392,Conceptos_Analítica_contraloría[#All],3,0),"")</f>
        <v/>
      </c>
    </row>
    <row r="393" spans="3:10" ht="18.75" customHeight="1" x14ac:dyDescent="0.35">
      <c r="C393" s="100" t="str">
        <f>IF(OR(Fact_Analitica[[#This Row], [Año]]="",Fact_Analitica[[#This Row], [Mes]]=""),"",DATE(A393,MATCH(B393,{"enero","febrero","marzo","abril","mayo","junio","julio","agosto","septiembre","octubre","noviembre","diciembre"},0)+1,0))</f>
        <v/>
      </c>
      <c r="E393" t="str">
        <f>+IFERROR(VLOOKUP(Fact_Analitica[[#This Row], [Concepto Anterior]],Conceptos_Analítica_contraloría[#All],5,0),"")</f>
        <v/>
      </c>
      <c r="F393" t="str">
        <f>+IFERROR(VLOOKUP(Fact_Analitica[[#This Row], [Concepto Anterior]],Conceptos_Analítica_contraloría[#All],7,0),"")</f>
        <v/>
      </c>
      <c r="I393" t="str">
        <f>+IFERROR(VLOOKUP(D393,Conceptos_Analítica_contraloría[#All],2,0),"")</f>
        <v/>
      </c>
      <c r="J393" s="84" t="str">
        <f>+IFERROR(VLOOKUP(D393,Conceptos_Analítica_contraloría[#All],3,0),"")</f>
        <v/>
      </c>
    </row>
    <row r="394" spans="3:10" ht="18.75" customHeight="1" x14ac:dyDescent="0.35">
      <c r="C394" s="100" t="str">
        <f>IF(OR(Fact_Analitica[[#This Row], [Año]]="",Fact_Analitica[[#This Row], [Mes]]=""),"",DATE(A394,MATCH(B394,{"enero","febrero","marzo","abril","mayo","junio","julio","agosto","septiembre","octubre","noviembre","diciembre"},0)+1,0))</f>
        <v/>
      </c>
      <c r="E394" t="str">
        <f>+IFERROR(VLOOKUP(Fact_Analitica[[#This Row], [Concepto Anterior]],Conceptos_Analítica_contraloría[#All],5,0),"")</f>
        <v/>
      </c>
      <c r="F394" t="str">
        <f>+IFERROR(VLOOKUP(Fact_Analitica[[#This Row], [Concepto Anterior]],Conceptos_Analítica_contraloría[#All],7,0),"")</f>
        <v/>
      </c>
      <c r="I394" t="str">
        <f>+IFERROR(VLOOKUP(D394,Conceptos_Analítica_contraloría[#All],2,0),"")</f>
        <v/>
      </c>
      <c r="J394" s="84" t="str">
        <f>+IFERROR(VLOOKUP(D394,Conceptos_Analítica_contraloría[#All],3,0),"")</f>
        <v/>
      </c>
    </row>
    <row r="395" spans="3:10" ht="18.75" customHeight="1" x14ac:dyDescent="0.35">
      <c r="C395" s="100" t="str">
        <f>IF(OR(Fact_Analitica[[#This Row], [Año]]="",Fact_Analitica[[#This Row], [Mes]]=""),"",DATE(A395,MATCH(B395,{"enero","febrero","marzo","abril","mayo","junio","julio","agosto","septiembre","octubre","noviembre","diciembre"},0)+1,0))</f>
        <v/>
      </c>
      <c r="E395" t="str">
        <f>+IFERROR(VLOOKUP(Fact_Analitica[[#This Row], [Concepto Anterior]],Conceptos_Analítica_contraloría[#All],5,0),"")</f>
        <v/>
      </c>
      <c r="F395" t="str">
        <f>+IFERROR(VLOOKUP(Fact_Analitica[[#This Row], [Concepto Anterior]],Conceptos_Analítica_contraloría[#All],7,0),"")</f>
        <v/>
      </c>
      <c r="I395" t="str">
        <f>+IFERROR(VLOOKUP(D395,Conceptos_Analítica_contraloría[#All],2,0),"")</f>
        <v/>
      </c>
      <c r="J395" s="84" t="str">
        <f>+IFERROR(VLOOKUP(D395,Conceptos_Analítica_contraloría[#All],3,0),"")</f>
        <v/>
      </c>
    </row>
    <row r="396" spans="3:10" ht="18.75" customHeight="1" x14ac:dyDescent="0.35">
      <c r="C396" s="100" t="str">
        <f>IF(OR(Fact_Analitica[[#This Row], [Año]]="",Fact_Analitica[[#This Row], [Mes]]=""),"",DATE(A396,MATCH(B396,{"enero","febrero","marzo","abril","mayo","junio","julio","agosto","septiembre","octubre","noviembre","diciembre"},0)+1,0))</f>
        <v/>
      </c>
      <c r="E396" t="str">
        <f>+IFERROR(VLOOKUP(Fact_Analitica[[#This Row], [Concepto Anterior]],Conceptos_Analítica_contraloría[#All],5,0),"")</f>
        <v/>
      </c>
      <c r="F396" t="str">
        <f>+IFERROR(VLOOKUP(Fact_Analitica[[#This Row], [Concepto Anterior]],Conceptos_Analítica_contraloría[#All],7,0),"")</f>
        <v/>
      </c>
      <c r="I396" t="str">
        <f>+IFERROR(VLOOKUP(D396,Conceptos_Analítica_contraloría[#All],2,0),"")</f>
        <v/>
      </c>
      <c r="J396" s="84" t="str">
        <f>+IFERROR(VLOOKUP(D396,Conceptos_Analítica_contraloría[#All],3,0),"")</f>
        <v/>
      </c>
    </row>
    <row r="397" spans="3:10" ht="18.75" customHeight="1" x14ac:dyDescent="0.35">
      <c r="C397" s="100" t="str">
        <f>IF(OR(Fact_Analitica[[#This Row], [Año]]="",Fact_Analitica[[#This Row], [Mes]]=""),"",DATE(A397,MATCH(B397,{"enero","febrero","marzo","abril","mayo","junio","julio","agosto","septiembre","octubre","noviembre","diciembre"},0)+1,0))</f>
        <v/>
      </c>
      <c r="E397" t="str">
        <f>+IFERROR(VLOOKUP(Fact_Analitica[[#This Row], [Concepto Anterior]],Conceptos_Analítica_contraloría[#All],5,0),"")</f>
        <v/>
      </c>
      <c r="F397" t="str">
        <f>+IFERROR(VLOOKUP(Fact_Analitica[[#This Row], [Concepto Anterior]],Conceptos_Analítica_contraloría[#All],7,0),"")</f>
        <v/>
      </c>
      <c r="I397" t="str">
        <f>+IFERROR(VLOOKUP(D397,Conceptos_Analítica_contraloría[#All],2,0),"")</f>
        <v/>
      </c>
      <c r="J397" s="84" t="str">
        <f>+IFERROR(VLOOKUP(D397,Conceptos_Analítica_contraloría[#All],3,0),"")</f>
        <v/>
      </c>
    </row>
    <row r="398" spans="3:10" ht="18.75" customHeight="1" x14ac:dyDescent="0.35">
      <c r="C398" s="100" t="str">
        <f>IF(OR(Fact_Analitica[[#This Row], [Año]]="",Fact_Analitica[[#This Row], [Mes]]=""),"",DATE(A398,MATCH(B398,{"enero","febrero","marzo","abril","mayo","junio","julio","agosto","septiembre","octubre","noviembre","diciembre"},0)+1,0))</f>
        <v/>
      </c>
      <c r="E398" t="str">
        <f>+IFERROR(VLOOKUP(Fact_Analitica[[#This Row], [Concepto Anterior]],Conceptos_Analítica_contraloría[#All],5,0),"")</f>
        <v/>
      </c>
      <c r="F398" t="str">
        <f>+IFERROR(VLOOKUP(Fact_Analitica[[#This Row], [Concepto Anterior]],Conceptos_Analítica_contraloría[#All],7,0),"")</f>
        <v/>
      </c>
      <c r="I398" t="str">
        <f>+IFERROR(VLOOKUP(D398,Conceptos_Analítica_contraloría[#All],2,0),"")</f>
        <v/>
      </c>
      <c r="J398" s="84" t="str">
        <f>+IFERROR(VLOOKUP(D398,Conceptos_Analítica_contraloría[#All],3,0),"")</f>
        <v/>
      </c>
    </row>
    <row r="399" spans="3:10" ht="18.75" customHeight="1" x14ac:dyDescent="0.35">
      <c r="C399" s="100" t="str">
        <f>IF(OR(Fact_Analitica[[#This Row], [Año]]="",Fact_Analitica[[#This Row], [Mes]]=""),"",DATE(A399,MATCH(B399,{"enero","febrero","marzo","abril","mayo","junio","julio","agosto","septiembre","octubre","noviembre","diciembre"},0)+1,0))</f>
        <v/>
      </c>
      <c r="E399" t="str">
        <f>+IFERROR(VLOOKUP(Fact_Analitica[[#This Row], [Concepto Anterior]],Conceptos_Analítica_contraloría[#All],5,0),"")</f>
        <v/>
      </c>
      <c r="F399" t="str">
        <f>+IFERROR(VLOOKUP(Fact_Analitica[[#This Row], [Concepto Anterior]],Conceptos_Analítica_contraloría[#All],7,0),"")</f>
        <v/>
      </c>
      <c r="I399" t="str">
        <f>+IFERROR(VLOOKUP(D399,Conceptos_Analítica_contraloría[#All],2,0),"")</f>
        <v/>
      </c>
      <c r="J399" s="84" t="str">
        <f>+IFERROR(VLOOKUP(D399,Conceptos_Analítica_contraloría[#All],3,0),"")</f>
        <v/>
      </c>
    </row>
    <row r="400" spans="3:10" ht="18.75" customHeight="1" x14ac:dyDescent="0.35">
      <c r="C400" s="100" t="str">
        <f>IF(OR(Fact_Analitica[[#This Row], [Año]]="",Fact_Analitica[[#This Row], [Mes]]=""),"",DATE(A400,MATCH(B400,{"enero","febrero","marzo","abril","mayo","junio","julio","agosto","septiembre","octubre","noviembre","diciembre"},0)+1,0))</f>
        <v/>
      </c>
      <c r="E400" t="str">
        <f>+IFERROR(VLOOKUP(Fact_Analitica[[#This Row], [Concepto Anterior]],Conceptos_Analítica_contraloría[#All],5,0),"")</f>
        <v/>
      </c>
      <c r="F400" t="str">
        <f>+IFERROR(VLOOKUP(Fact_Analitica[[#This Row], [Concepto Anterior]],Conceptos_Analítica_contraloría[#All],7,0),"")</f>
        <v/>
      </c>
      <c r="I400" t="str">
        <f>+IFERROR(VLOOKUP(D400,Conceptos_Analítica_contraloría[#All],2,0),"")</f>
        <v/>
      </c>
      <c r="J400" s="84" t="str">
        <f>+IFERROR(VLOOKUP(D400,Conceptos_Analítica_contraloría[#All],3,0),"")</f>
        <v/>
      </c>
    </row>
    <row r="401" spans="3:10" ht="18.75" customHeight="1" x14ac:dyDescent="0.35">
      <c r="C401" s="100" t="str">
        <f>IF(OR(Fact_Analitica[[#This Row], [Año]]="",Fact_Analitica[[#This Row], [Mes]]=""),"",DATE(A401,MATCH(B401,{"enero","febrero","marzo","abril","mayo","junio","julio","agosto","septiembre","octubre","noviembre","diciembre"},0)+1,0))</f>
        <v/>
      </c>
      <c r="E401" t="str">
        <f>+IFERROR(VLOOKUP(Fact_Analitica[[#This Row], [Concepto Anterior]],Conceptos_Analítica_contraloría[#All],5,0),"")</f>
        <v/>
      </c>
      <c r="F401" t="str">
        <f>+IFERROR(VLOOKUP(Fact_Analitica[[#This Row], [Concepto Anterior]],Conceptos_Analítica_contraloría[#All],7,0),"")</f>
        <v/>
      </c>
      <c r="I401" t="str">
        <f>+IFERROR(VLOOKUP(D401,Conceptos_Analítica_contraloría[#All],2,0),"")</f>
        <v/>
      </c>
      <c r="J401" s="84" t="str">
        <f>+IFERROR(VLOOKUP(D401,Conceptos_Analítica_contraloría[#All],3,0),"")</f>
        <v/>
      </c>
    </row>
    <row r="402" spans="3:10" ht="18.75" customHeight="1" x14ac:dyDescent="0.35">
      <c r="C402" s="100" t="str">
        <f>IF(OR(Fact_Analitica[[#This Row], [Año]]="",Fact_Analitica[[#This Row], [Mes]]=""),"",DATE(A402,MATCH(B402,{"enero","febrero","marzo","abril","mayo","junio","julio","agosto","septiembre","octubre","noviembre","diciembre"},0)+1,0))</f>
        <v/>
      </c>
      <c r="E402" t="str">
        <f>+IFERROR(VLOOKUP(Fact_Analitica[[#This Row], [Concepto Anterior]],Conceptos_Analítica_contraloría[#All],5,0),"")</f>
        <v/>
      </c>
      <c r="F402" t="str">
        <f>+IFERROR(VLOOKUP(Fact_Analitica[[#This Row], [Concepto Anterior]],Conceptos_Analítica_contraloría[#All],7,0),"")</f>
        <v/>
      </c>
      <c r="I402" t="str">
        <f>+IFERROR(VLOOKUP(D402,Conceptos_Analítica_contraloría[#All],2,0),"")</f>
        <v/>
      </c>
      <c r="J402" s="84" t="str">
        <f>+IFERROR(VLOOKUP(D402,Conceptos_Analítica_contraloría[#All],3,0),"")</f>
        <v/>
      </c>
    </row>
    <row r="403" spans="3:10" ht="18.75" customHeight="1" x14ac:dyDescent="0.35">
      <c r="C403" s="100" t="str">
        <f>IF(OR(Fact_Analitica[[#This Row], [Año]]="",Fact_Analitica[[#This Row], [Mes]]=""),"",DATE(A403,MATCH(B403,{"enero","febrero","marzo","abril","mayo","junio","julio","agosto","septiembre","octubre","noviembre","diciembre"},0)+1,0))</f>
        <v/>
      </c>
      <c r="E403" t="str">
        <f>+IFERROR(VLOOKUP(Fact_Analitica[[#This Row], [Concepto Anterior]],Conceptos_Analítica_contraloría[#All],5,0),"")</f>
        <v/>
      </c>
      <c r="F403" t="str">
        <f>+IFERROR(VLOOKUP(Fact_Analitica[[#This Row], [Concepto Anterior]],Conceptos_Analítica_contraloría[#All],7,0),"")</f>
        <v/>
      </c>
      <c r="I403" t="str">
        <f>+IFERROR(VLOOKUP(D403,Conceptos_Analítica_contraloría[#All],2,0),"")</f>
        <v/>
      </c>
      <c r="J403" s="84" t="str">
        <f>+IFERROR(VLOOKUP(D403,Conceptos_Analítica_contraloría[#All],3,0),"")</f>
        <v/>
      </c>
    </row>
    <row r="404" spans="3:10" ht="18.75" customHeight="1" x14ac:dyDescent="0.35">
      <c r="C404" s="100" t="str">
        <f>IF(OR(Fact_Analitica[[#This Row], [Año]]="",Fact_Analitica[[#This Row], [Mes]]=""),"",DATE(A404,MATCH(B404,{"enero","febrero","marzo","abril","mayo","junio","julio","agosto","septiembre","octubre","noviembre","diciembre"},0)+1,0))</f>
        <v/>
      </c>
      <c r="E404" t="str">
        <f>+IFERROR(VLOOKUP(Fact_Analitica[[#This Row], [Concepto Anterior]],Conceptos_Analítica_contraloría[#All],5,0),"")</f>
        <v/>
      </c>
      <c r="F404" t="str">
        <f>+IFERROR(VLOOKUP(Fact_Analitica[[#This Row], [Concepto Anterior]],Conceptos_Analítica_contraloría[#All],7,0),"")</f>
        <v/>
      </c>
      <c r="I404" t="str">
        <f>+IFERROR(VLOOKUP(D404,Conceptos_Analítica_contraloría[#All],2,0),"")</f>
        <v/>
      </c>
      <c r="J404" s="84" t="str">
        <f>+IFERROR(VLOOKUP(D404,Conceptos_Analítica_contraloría[#All],3,0),"")</f>
        <v/>
      </c>
    </row>
    <row r="405" spans="3:10" ht="18.75" customHeight="1" x14ac:dyDescent="0.35">
      <c r="C405" s="100" t="str">
        <f>IF(OR(Fact_Analitica[[#This Row], [Año]]="",Fact_Analitica[[#This Row], [Mes]]=""),"",DATE(A405,MATCH(B405,{"enero","febrero","marzo","abril","mayo","junio","julio","agosto","septiembre","octubre","noviembre","diciembre"},0)+1,0))</f>
        <v/>
      </c>
      <c r="E405" t="str">
        <f>+IFERROR(VLOOKUP(Fact_Analitica[[#This Row], [Concepto Anterior]],Conceptos_Analítica_contraloría[#All],5,0),"")</f>
        <v/>
      </c>
      <c r="F405" t="str">
        <f>+IFERROR(VLOOKUP(Fact_Analitica[[#This Row], [Concepto Anterior]],Conceptos_Analítica_contraloría[#All],7,0),"")</f>
        <v/>
      </c>
      <c r="I405" t="str">
        <f>+IFERROR(VLOOKUP(D405,Conceptos_Analítica_contraloría[#All],2,0),"")</f>
        <v/>
      </c>
      <c r="J405" s="84" t="str">
        <f>+IFERROR(VLOOKUP(D405,Conceptos_Analítica_contraloría[#All],3,0),"")</f>
        <v/>
      </c>
    </row>
    <row r="406" spans="3:10" ht="18.75" customHeight="1" x14ac:dyDescent="0.35">
      <c r="C406" s="100" t="str">
        <f>IF(OR(Fact_Analitica[[#This Row], [Año]]="",Fact_Analitica[[#This Row], [Mes]]=""),"",DATE(A406,MATCH(B406,{"enero","febrero","marzo","abril","mayo","junio","julio","agosto","septiembre","octubre","noviembre","diciembre"},0)+1,0))</f>
        <v/>
      </c>
      <c r="E406" t="str">
        <f>+IFERROR(VLOOKUP(Fact_Analitica[[#This Row], [Concepto Anterior]],Conceptos_Analítica_contraloría[#All],5,0),"")</f>
        <v/>
      </c>
      <c r="F406" t="str">
        <f>+IFERROR(VLOOKUP(Fact_Analitica[[#This Row], [Concepto Anterior]],Conceptos_Analítica_contraloría[#All],7,0),"")</f>
        <v/>
      </c>
      <c r="I406" t="str">
        <f>+IFERROR(VLOOKUP(D406,Conceptos_Analítica_contraloría[#All],2,0),"")</f>
        <v/>
      </c>
      <c r="J406" s="84" t="str">
        <f>+IFERROR(VLOOKUP(D406,Conceptos_Analítica_contraloría[#All],3,0),"")</f>
        <v/>
      </c>
    </row>
    <row r="407" spans="3:10" ht="18.75" customHeight="1" x14ac:dyDescent="0.35">
      <c r="C407" s="100" t="str">
        <f>IF(OR(Fact_Analitica[[#This Row], [Año]]="",Fact_Analitica[[#This Row], [Mes]]=""),"",DATE(A407,MATCH(B407,{"enero","febrero","marzo","abril","mayo","junio","julio","agosto","septiembre","octubre","noviembre","diciembre"},0)+1,0))</f>
        <v/>
      </c>
      <c r="E407" t="str">
        <f>+IFERROR(VLOOKUP(Fact_Analitica[[#This Row], [Concepto Anterior]],Conceptos_Analítica_contraloría[#All],5,0),"")</f>
        <v/>
      </c>
      <c r="F407" t="str">
        <f>+IFERROR(VLOOKUP(Fact_Analitica[[#This Row], [Concepto Anterior]],Conceptos_Analítica_contraloría[#All],7,0),"")</f>
        <v/>
      </c>
      <c r="I407" t="str">
        <f>+IFERROR(VLOOKUP(D407,Conceptos_Analítica_contraloría[#All],2,0),"")</f>
        <v/>
      </c>
      <c r="J407" s="84" t="str">
        <f>+IFERROR(VLOOKUP(D407,Conceptos_Analítica_contraloría[#All],3,0),"")</f>
        <v/>
      </c>
    </row>
    <row r="408" spans="3:10" ht="18.75" customHeight="1" x14ac:dyDescent="0.35">
      <c r="C408" s="100" t="str">
        <f>IF(OR(Fact_Analitica[[#This Row], [Año]]="",Fact_Analitica[[#This Row], [Mes]]=""),"",DATE(A408,MATCH(B408,{"enero","febrero","marzo","abril","mayo","junio","julio","agosto","septiembre","octubre","noviembre","diciembre"},0)+1,0))</f>
        <v/>
      </c>
      <c r="E408" t="str">
        <f>+IFERROR(VLOOKUP(Fact_Analitica[[#This Row], [Concepto Anterior]],Conceptos_Analítica_contraloría[#All],5,0),"")</f>
        <v/>
      </c>
      <c r="F408" t="str">
        <f>+IFERROR(VLOOKUP(Fact_Analitica[[#This Row], [Concepto Anterior]],Conceptos_Analítica_contraloría[#All],7,0),"")</f>
        <v/>
      </c>
      <c r="I408" t="str">
        <f>+IFERROR(VLOOKUP(D408,Conceptos_Analítica_contraloría[#All],2,0),"")</f>
        <v/>
      </c>
      <c r="J408" s="84" t="str">
        <f>+IFERROR(VLOOKUP(D408,Conceptos_Analítica_contraloría[#All],3,0),"")</f>
        <v/>
      </c>
    </row>
    <row r="409" spans="3:10" ht="18.75" customHeight="1" x14ac:dyDescent="0.35">
      <c r="C409" s="100" t="str">
        <f>IF(OR(Fact_Analitica[[#This Row], [Año]]="",Fact_Analitica[[#This Row], [Mes]]=""),"",DATE(A409,MATCH(B409,{"enero","febrero","marzo","abril","mayo","junio","julio","agosto","septiembre","octubre","noviembre","diciembre"},0)+1,0))</f>
        <v/>
      </c>
      <c r="E409" t="str">
        <f>+IFERROR(VLOOKUP(Fact_Analitica[[#This Row], [Concepto Anterior]],Conceptos_Analítica_contraloría[#All],5,0),"")</f>
        <v/>
      </c>
      <c r="F409" t="str">
        <f>+IFERROR(VLOOKUP(Fact_Analitica[[#This Row], [Concepto Anterior]],Conceptos_Analítica_contraloría[#All],7,0),"")</f>
        <v/>
      </c>
      <c r="I409" t="str">
        <f>+IFERROR(VLOOKUP(D409,Conceptos_Analítica_contraloría[#All],2,0),"")</f>
        <v/>
      </c>
      <c r="J409" s="84" t="str">
        <f>+IFERROR(VLOOKUP(D409,Conceptos_Analítica_contraloría[#All],3,0),"")</f>
        <v/>
      </c>
    </row>
    <row r="410" spans="3:10" ht="18.75" customHeight="1" x14ac:dyDescent="0.35">
      <c r="C410" s="100" t="str">
        <f>IF(OR(Fact_Analitica[[#This Row], [Año]]="",Fact_Analitica[[#This Row], [Mes]]=""),"",DATE(A410,MATCH(B410,{"enero","febrero","marzo","abril","mayo","junio","julio","agosto","septiembre","octubre","noviembre","diciembre"},0)+1,0))</f>
        <v/>
      </c>
      <c r="E410" t="str">
        <f>+IFERROR(VLOOKUP(Fact_Analitica[[#This Row], [Concepto Anterior]],Conceptos_Analítica_contraloría[#All],5,0),"")</f>
        <v/>
      </c>
      <c r="F410" t="str">
        <f>+IFERROR(VLOOKUP(Fact_Analitica[[#This Row], [Concepto Anterior]],Conceptos_Analítica_contraloría[#All],7,0),"")</f>
        <v/>
      </c>
      <c r="I410" t="str">
        <f>+IFERROR(VLOOKUP(D410,Conceptos_Analítica_contraloría[#All],2,0),"")</f>
        <v/>
      </c>
      <c r="J410" s="84" t="str">
        <f>+IFERROR(VLOOKUP(D410,Conceptos_Analítica_contraloría[#All],3,0),"")</f>
        <v/>
      </c>
    </row>
    <row r="411" spans="3:10" ht="18.75" customHeight="1" x14ac:dyDescent="0.35">
      <c r="C411" s="100" t="str">
        <f>IF(OR(Fact_Analitica[[#This Row], [Año]]="",Fact_Analitica[[#This Row], [Mes]]=""),"",DATE(A411,MATCH(B411,{"enero","febrero","marzo","abril","mayo","junio","julio","agosto","septiembre","octubre","noviembre","diciembre"},0)+1,0))</f>
        <v/>
      </c>
      <c r="E411" t="str">
        <f>+IFERROR(VLOOKUP(Fact_Analitica[[#This Row], [Concepto Anterior]],Conceptos_Analítica_contraloría[#All],5,0),"")</f>
        <v/>
      </c>
      <c r="F411" t="str">
        <f>+IFERROR(VLOOKUP(Fact_Analitica[[#This Row], [Concepto Anterior]],Conceptos_Analítica_contraloría[#All],7,0),"")</f>
        <v/>
      </c>
      <c r="I411" t="str">
        <f>+IFERROR(VLOOKUP(D411,Conceptos_Analítica_contraloría[#All],2,0),"")</f>
        <v/>
      </c>
      <c r="J411" s="84" t="str">
        <f>+IFERROR(VLOOKUP(D411,Conceptos_Analítica_contraloría[#All],3,0),"")</f>
        <v/>
      </c>
    </row>
    <row r="412" spans="3:10" ht="18.75" customHeight="1" x14ac:dyDescent="0.35">
      <c r="C412" s="100" t="str">
        <f>IF(OR(Fact_Analitica[[#This Row], [Año]]="",Fact_Analitica[[#This Row], [Mes]]=""),"",DATE(A412,MATCH(B412,{"enero","febrero","marzo","abril","mayo","junio","julio","agosto","septiembre","octubre","noviembre","diciembre"},0)+1,0))</f>
        <v/>
      </c>
      <c r="E412" t="str">
        <f>+IFERROR(VLOOKUP(Fact_Analitica[[#This Row], [Concepto Anterior]],Conceptos_Analítica_contraloría[#All],5,0),"")</f>
        <v/>
      </c>
      <c r="F412" t="str">
        <f>+IFERROR(VLOOKUP(Fact_Analitica[[#This Row], [Concepto Anterior]],Conceptos_Analítica_contraloría[#All],7,0),"")</f>
        <v/>
      </c>
      <c r="I412" t="str">
        <f>+IFERROR(VLOOKUP(D412,Conceptos_Analítica_contraloría[#All],2,0),"")</f>
        <v/>
      </c>
      <c r="J412" s="84" t="str">
        <f>+IFERROR(VLOOKUP(D412,Conceptos_Analítica_contraloría[#All],3,0),"")</f>
        <v/>
      </c>
    </row>
    <row r="413" spans="3:10" ht="18.75" customHeight="1" x14ac:dyDescent="0.35">
      <c r="C413" s="100" t="str">
        <f>IF(OR(Fact_Analitica[[#This Row], [Año]]="",Fact_Analitica[[#This Row], [Mes]]=""),"",DATE(A413,MATCH(B413,{"enero","febrero","marzo","abril","mayo","junio","julio","agosto","septiembre","octubre","noviembre","diciembre"},0)+1,0))</f>
        <v/>
      </c>
      <c r="E413" t="str">
        <f>+IFERROR(VLOOKUP(Fact_Analitica[[#This Row], [Concepto Anterior]],Conceptos_Analítica_contraloría[#All],5,0),"")</f>
        <v/>
      </c>
      <c r="F413" t="str">
        <f>+IFERROR(VLOOKUP(Fact_Analitica[[#This Row], [Concepto Anterior]],Conceptos_Analítica_contraloría[#All],7,0),"")</f>
        <v/>
      </c>
      <c r="I413" t="str">
        <f>+IFERROR(VLOOKUP(D413,Conceptos_Analítica_contraloría[#All],2,0),"")</f>
        <v/>
      </c>
      <c r="J413" s="84" t="str">
        <f>+IFERROR(VLOOKUP(D413,Conceptos_Analítica_contraloría[#All],3,0),"")</f>
        <v/>
      </c>
    </row>
    <row r="414" spans="3:10" ht="18.75" customHeight="1" x14ac:dyDescent="0.35">
      <c r="C414" s="100" t="str">
        <f>IF(OR(Fact_Analitica[[#This Row], [Año]]="",Fact_Analitica[[#This Row], [Mes]]=""),"",DATE(A414,MATCH(B414,{"enero","febrero","marzo","abril","mayo","junio","julio","agosto","septiembre","octubre","noviembre","diciembre"},0)+1,0))</f>
        <v/>
      </c>
      <c r="E414" t="str">
        <f>+IFERROR(VLOOKUP(Fact_Analitica[[#This Row], [Concepto Anterior]],Conceptos_Analítica_contraloría[#All],5,0),"")</f>
        <v/>
      </c>
      <c r="F414" t="str">
        <f>+IFERROR(VLOOKUP(Fact_Analitica[[#This Row], [Concepto Anterior]],Conceptos_Analítica_contraloría[#All],7,0),"")</f>
        <v/>
      </c>
      <c r="I414" t="str">
        <f>+IFERROR(VLOOKUP(D414,Conceptos_Analítica_contraloría[#All],2,0),"")</f>
        <v/>
      </c>
      <c r="J414" s="84" t="str">
        <f>+IFERROR(VLOOKUP(D414,Conceptos_Analítica_contraloría[#All],3,0),"")</f>
        <v/>
      </c>
    </row>
    <row r="415" spans="3:10" ht="18.75" customHeight="1" x14ac:dyDescent="0.35">
      <c r="C415" s="100" t="str">
        <f>IF(OR(Fact_Analitica[[#This Row], [Año]]="",Fact_Analitica[[#This Row], [Mes]]=""),"",DATE(A415,MATCH(B415,{"enero","febrero","marzo","abril","mayo","junio","julio","agosto","septiembre","octubre","noviembre","diciembre"},0)+1,0))</f>
        <v/>
      </c>
      <c r="E415" t="str">
        <f>+IFERROR(VLOOKUP(Fact_Analitica[[#This Row], [Concepto Anterior]],Conceptos_Analítica_contraloría[#All],5,0),"")</f>
        <v/>
      </c>
      <c r="F415" t="str">
        <f>+IFERROR(VLOOKUP(Fact_Analitica[[#This Row], [Concepto Anterior]],Conceptos_Analítica_contraloría[#All],7,0),"")</f>
        <v/>
      </c>
      <c r="I415" t="str">
        <f>+IFERROR(VLOOKUP(D415,Conceptos_Analítica_contraloría[#All],2,0),"")</f>
        <v/>
      </c>
      <c r="J415" s="84" t="str">
        <f>+IFERROR(VLOOKUP(D415,Conceptos_Analítica_contraloría[#All],3,0),"")</f>
        <v/>
      </c>
    </row>
    <row r="416" spans="3:10" ht="18.75" customHeight="1" x14ac:dyDescent="0.35">
      <c r="C416" s="100" t="str">
        <f>IF(OR(Fact_Analitica[[#This Row], [Año]]="",Fact_Analitica[[#This Row], [Mes]]=""),"",DATE(A416,MATCH(B416,{"enero","febrero","marzo","abril","mayo","junio","julio","agosto","septiembre","octubre","noviembre","diciembre"},0)+1,0))</f>
        <v/>
      </c>
      <c r="E416" t="str">
        <f>+IFERROR(VLOOKUP(Fact_Analitica[[#This Row], [Concepto Anterior]],Conceptos_Analítica_contraloría[#All],5,0),"")</f>
        <v/>
      </c>
      <c r="F416" t="str">
        <f>+IFERROR(VLOOKUP(Fact_Analitica[[#This Row], [Concepto Anterior]],Conceptos_Analítica_contraloría[#All],7,0),"")</f>
        <v/>
      </c>
      <c r="I416" t="str">
        <f>+IFERROR(VLOOKUP(D416,Conceptos_Analítica_contraloría[#All],2,0),"")</f>
        <v/>
      </c>
      <c r="J416" s="84" t="str">
        <f>+IFERROR(VLOOKUP(D416,Conceptos_Analítica_contraloría[#All],3,0),"")</f>
        <v/>
      </c>
    </row>
    <row r="417" spans="3:10" ht="18.75" customHeight="1" x14ac:dyDescent="0.35">
      <c r="C417" s="100" t="str">
        <f>IF(OR(Fact_Analitica[[#This Row], [Año]]="",Fact_Analitica[[#This Row], [Mes]]=""),"",DATE(A417,MATCH(B417,{"enero","febrero","marzo","abril","mayo","junio","julio","agosto","septiembre","octubre","noviembre","diciembre"},0)+1,0))</f>
        <v/>
      </c>
      <c r="E417" t="str">
        <f>+IFERROR(VLOOKUP(Fact_Analitica[[#This Row], [Concepto Anterior]],Conceptos_Analítica_contraloría[#All],5,0),"")</f>
        <v/>
      </c>
      <c r="F417" t="str">
        <f>+IFERROR(VLOOKUP(Fact_Analitica[[#This Row], [Concepto Anterior]],Conceptos_Analítica_contraloría[#All],7,0),"")</f>
        <v/>
      </c>
      <c r="I417" t="str">
        <f>+IFERROR(VLOOKUP(D417,Conceptos_Analítica_contraloría[#All],2,0),"")</f>
        <v/>
      </c>
      <c r="J417" s="84" t="str">
        <f>+IFERROR(VLOOKUP(D417,Conceptos_Analítica_contraloría[#All],3,0),"")</f>
        <v/>
      </c>
    </row>
    <row r="418" spans="3:10" ht="18.75" customHeight="1" x14ac:dyDescent="0.35">
      <c r="C418" s="100" t="str">
        <f>IF(OR(Fact_Analitica[[#This Row], [Año]]="",Fact_Analitica[[#This Row], [Mes]]=""),"",DATE(A418,MATCH(B418,{"enero","febrero","marzo","abril","mayo","junio","julio","agosto","septiembre","octubre","noviembre","diciembre"},0)+1,0))</f>
        <v/>
      </c>
      <c r="E418" t="str">
        <f>+IFERROR(VLOOKUP(Fact_Analitica[[#This Row], [Concepto Anterior]],Conceptos_Analítica_contraloría[#All],5,0),"")</f>
        <v/>
      </c>
      <c r="F418" t="str">
        <f>+IFERROR(VLOOKUP(Fact_Analitica[[#This Row], [Concepto Anterior]],Conceptos_Analítica_contraloría[#All],7,0),"")</f>
        <v/>
      </c>
      <c r="I418" t="str">
        <f>+IFERROR(VLOOKUP(D418,Conceptos_Analítica_contraloría[#All],2,0),"")</f>
        <v/>
      </c>
      <c r="J418" s="84" t="str">
        <f>+IFERROR(VLOOKUP(D418,Conceptos_Analítica_contraloría[#All],3,0),"")</f>
        <v/>
      </c>
    </row>
    <row r="419" spans="3:10" ht="18.75" customHeight="1" x14ac:dyDescent="0.35">
      <c r="C419" s="100" t="str">
        <f>IF(OR(Fact_Analitica[[#This Row], [Año]]="",Fact_Analitica[[#This Row], [Mes]]=""),"",DATE(A419,MATCH(B419,{"enero","febrero","marzo","abril","mayo","junio","julio","agosto","septiembre","octubre","noviembre","diciembre"},0)+1,0))</f>
        <v/>
      </c>
      <c r="E419" t="str">
        <f>+IFERROR(VLOOKUP(Fact_Analitica[[#This Row], [Concepto Anterior]],Conceptos_Analítica_contraloría[#All],5,0),"")</f>
        <v/>
      </c>
      <c r="F419" t="str">
        <f>+IFERROR(VLOOKUP(Fact_Analitica[[#This Row], [Concepto Anterior]],Conceptos_Analítica_contraloría[#All],7,0),"")</f>
        <v/>
      </c>
      <c r="I419" t="str">
        <f>+IFERROR(VLOOKUP(D419,Conceptos_Analítica_contraloría[#All],2,0),"")</f>
        <v/>
      </c>
      <c r="J419" s="84" t="str">
        <f>+IFERROR(VLOOKUP(D419,Conceptos_Analítica_contraloría[#All],3,0),"")</f>
        <v/>
      </c>
    </row>
    <row r="420" spans="3:10" ht="18.75" customHeight="1" x14ac:dyDescent="0.35">
      <c r="C420" s="100" t="str">
        <f>IF(OR(Fact_Analitica[[#This Row], [Año]]="",Fact_Analitica[[#This Row], [Mes]]=""),"",DATE(A420,MATCH(B420,{"enero","febrero","marzo","abril","mayo","junio","julio","agosto","septiembre","octubre","noviembre","diciembre"},0)+1,0))</f>
        <v/>
      </c>
      <c r="E420" t="str">
        <f>+IFERROR(VLOOKUP(Fact_Analitica[[#This Row], [Concepto Anterior]],Conceptos_Analítica_contraloría[#All],5,0),"")</f>
        <v/>
      </c>
      <c r="F420" t="str">
        <f>+IFERROR(VLOOKUP(Fact_Analitica[[#This Row], [Concepto Anterior]],Conceptos_Analítica_contraloría[#All],7,0),"")</f>
        <v/>
      </c>
      <c r="I420" t="str">
        <f>+IFERROR(VLOOKUP(D420,Conceptos_Analítica_contraloría[#All],2,0),"")</f>
        <v/>
      </c>
      <c r="J420" s="84" t="str">
        <f>+IFERROR(VLOOKUP(D420,Conceptos_Analítica_contraloría[#All],3,0),"")</f>
        <v/>
      </c>
    </row>
    <row r="421" spans="3:10" ht="18.75" customHeight="1" x14ac:dyDescent="0.35">
      <c r="C421" s="100" t="str">
        <f>IF(OR(Fact_Analitica[[#This Row], [Año]]="",Fact_Analitica[[#This Row], [Mes]]=""),"",DATE(A421,MATCH(B421,{"enero","febrero","marzo","abril","mayo","junio","julio","agosto","septiembre","octubre","noviembre","diciembre"},0)+1,0))</f>
        <v/>
      </c>
      <c r="E421" t="str">
        <f>+IFERROR(VLOOKUP(Fact_Analitica[[#This Row], [Concepto Anterior]],Conceptos_Analítica_contraloría[#All],5,0),"")</f>
        <v/>
      </c>
      <c r="F421" t="str">
        <f>+IFERROR(VLOOKUP(Fact_Analitica[[#This Row], [Concepto Anterior]],Conceptos_Analítica_contraloría[#All],7,0),"")</f>
        <v/>
      </c>
      <c r="I421" t="str">
        <f>+IFERROR(VLOOKUP(D421,Conceptos_Analítica_contraloría[#All],2,0),"")</f>
        <v/>
      </c>
      <c r="J421" s="84" t="str">
        <f>+IFERROR(VLOOKUP(D421,Conceptos_Analítica_contraloría[#All],3,0),"")</f>
        <v/>
      </c>
    </row>
    <row r="422" spans="3:10" ht="18.75" customHeight="1" x14ac:dyDescent="0.35">
      <c r="C422" s="100" t="str">
        <f>IF(OR(Fact_Analitica[[#This Row], [Año]]="",Fact_Analitica[[#This Row], [Mes]]=""),"",DATE(A422,MATCH(B422,{"enero","febrero","marzo","abril","mayo","junio","julio","agosto","septiembre","octubre","noviembre","diciembre"},0)+1,0))</f>
        <v/>
      </c>
      <c r="E422" t="str">
        <f>+IFERROR(VLOOKUP(Fact_Analitica[[#This Row], [Concepto Anterior]],Conceptos_Analítica_contraloría[#All],5,0),"")</f>
        <v/>
      </c>
      <c r="F422" t="str">
        <f>+IFERROR(VLOOKUP(Fact_Analitica[[#This Row], [Concepto Anterior]],Conceptos_Analítica_contraloría[#All],7,0),"")</f>
        <v/>
      </c>
      <c r="I422" t="str">
        <f>+IFERROR(VLOOKUP(D422,Conceptos_Analítica_contraloría[#All],2,0),"")</f>
        <v/>
      </c>
      <c r="J422" s="84" t="str">
        <f>+IFERROR(VLOOKUP(D422,Conceptos_Analítica_contraloría[#All],3,0),"")</f>
        <v/>
      </c>
    </row>
    <row r="423" spans="3:10" ht="18.75" customHeight="1" x14ac:dyDescent="0.35">
      <c r="C423" s="100" t="str">
        <f>IF(OR(Fact_Analitica[[#This Row], [Año]]="",Fact_Analitica[[#This Row], [Mes]]=""),"",DATE(A423,MATCH(B423,{"enero","febrero","marzo","abril","mayo","junio","julio","agosto","septiembre","octubre","noviembre","diciembre"},0)+1,0))</f>
        <v/>
      </c>
      <c r="E423" t="str">
        <f>+IFERROR(VLOOKUP(Fact_Analitica[[#This Row], [Concepto Anterior]],Conceptos_Analítica_contraloría[#All],5,0),"")</f>
        <v/>
      </c>
      <c r="F423" t="str">
        <f>+IFERROR(VLOOKUP(Fact_Analitica[[#This Row], [Concepto Anterior]],Conceptos_Analítica_contraloría[#All],7,0),"")</f>
        <v/>
      </c>
      <c r="I423" t="str">
        <f>+IFERROR(VLOOKUP(D423,Conceptos_Analítica_contraloría[#All],2,0),"")</f>
        <v/>
      </c>
      <c r="J423" s="84" t="str">
        <f>+IFERROR(VLOOKUP(D423,Conceptos_Analítica_contraloría[#All],3,0),"")</f>
        <v/>
      </c>
    </row>
    <row r="424" spans="3:10" ht="18.75" customHeight="1" x14ac:dyDescent="0.35">
      <c r="C424" s="100" t="str">
        <f>IF(OR(Fact_Analitica[[#This Row], [Año]]="",Fact_Analitica[[#This Row], [Mes]]=""),"",DATE(A424,MATCH(B424,{"enero","febrero","marzo","abril","mayo","junio","julio","agosto","septiembre","octubre","noviembre","diciembre"},0)+1,0))</f>
        <v/>
      </c>
      <c r="E424" t="str">
        <f>+IFERROR(VLOOKUP(Fact_Analitica[[#This Row], [Concepto Anterior]],Conceptos_Analítica_contraloría[#All],5,0),"")</f>
        <v/>
      </c>
      <c r="F424" t="str">
        <f>+IFERROR(VLOOKUP(Fact_Analitica[[#This Row], [Concepto Anterior]],Conceptos_Analítica_contraloría[#All],7,0),"")</f>
        <v/>
      </c>
      <c r="I424" t="str">
        <f>+IFERROR(VLOOKUP(D424,Conceptos_Analítica_contraloría[#All],2,0),"")</f>
        <v/>
      </c>
      <c r="J424" s="84" t="str">
        <f>+IFERROR(VLOOKUP(D424,Conceptos_Analítica_contraloría[#All],3,0),"")</f>
        <v/>
      </c>
    </row>
    <row r="425" spans="3:10" ht="18.75" customHeight="1" x14ac:dyDescent="0.35">
      <c r="C425" s="100" t="str">
        <f>IF(OR(Fact_Analitica[[#This Row], [Año]]="",Fact_Analitica[[#This Row], [Mes]]=""),"",DATE(A425,MATCH(B425,{"enero","febrero","marzo","abril","mayo","junio","julio","agosto","septiembre","octubre","noviembre","diciembre"},0)+1,0))</f>
        <v/>
      </c>
      <c r="E425" t="str">
        <f>+IFERROR(VLOOKUP(Fact_Analitica[[#This Row], [Concepto Anterior]],Conceptos_Analítica_contraloría[#All],5,0),"")</f>
        <v/>
      </c>
      <c r="F425" t="str">
        <f>+IFERROR(VLOOKUP(Fact_Analitica[[#This Row], [Concepto Anterior]],Conceptos_Analítica_contraloría[#All],7,0),"")</f>
        <v/>
      </c>
      <c r="I425" t="str">
        <f>+IFERROR(VLOOKUP(D425,Conceptos_Analítica_contraloría[#All],2,0),"")</f>
        <v/>
      </c>
      <c r="J425" s="84" t="str">
        <f>+IFERROR(VLOOKUP(D425,Conceptos_Analítica_contraloría[#All],3,0),"")</f>
        <v/>
      </c>
    </row>
    <row r="426" spans="3:10" ht="18.75" customHeight="1" x14ac:dyDescent="0.35">
      <c r="C426" s="100" t="str">
        <f>IF(OR(Fact_Analitica[[#This Row], [Año]]="",Fact_Analitica[[#This Row], [Mes]]=""),"",DATE(A426,MATCH(B426,{"enero","febrero","marzo","abril","mayo","junio","julio","agosto","septiembre","octubre","noviembre","diciembre"},0)+1,0))</f>
        <v/>
      </c>
      <c r="E426" t="str">
        <f>+IFERROR(VLOOKUP(Fact_Analitica[[#This Row], [Concepto Anterior]],Conceptos_Analítica_contraloría[#All],5,0),"")</f>
        <v/>
      </c>
      <c r="F426" t="str">
        <f>+IFERROR(VLOOKUP(Fact_Analitica[[#This Row], [Concepto Anterior]],Conceptos_Analítica_contraloría[#All],7,0),"")</f>
        <v/>
      </c>
      <c r="I426" t="str">
        <f>+IFERROR(VLOOKUP(D426,Conceptos_Analítica_contraloría[#All],2,0),"")</f>
        <v/>
      </c>
      <c r="J426" s="84" t="str">
        <f>+IFERROR(VLOOKUP(D426,Conceptos_Analítica_contraloría[#All],3,0),"")</f>
        <v/>
      </c>
    </row>
    <row r="427" spans="3:10" ht="18.75" customHeight="1" x14ac:dyDescent="0.35">
      <c r="C427" s="100" t="str">
        <f>IF(OR(Fact_Analitica[[#This Row], [Año]]="",Fact_Analitica[[#This Row], [Mes]]=""),"",DATE(A427,MATCH(B427,{"enero","febrero","marzo","abril","mayo","junio","julio","agosto","septiembre","octubre","noviembre","diciembre"},0)+1,0))</f>
        <v/>
      </c>
      <c r="E427" t="str">
        <f>+IFERROR(VLOOKUP(Fact_Analitica[[#This Row], [Concepto Anterior]],Conceptos_Analítica_contraloría[#All],5,0),"")</f>
        <v/>
      </c>
      <c r="F427" t="str">
        <f>+IFERROR(VLOOKUP(Fact_Analitica[[#This Row], [Concepto Anterior]],Conceptos_Analítica_contraloría[#All],7,0),"")</f>
        <v/>
      </c>
      <c r="I427" t="str">
        <f>+IFERROR(VLOOKUP(D427,Conceptos_Analítica_contraloría[#All],2,0),"")</f>
        <v/>
      </c>
      <c r="J427" s="84" t="str">
        <f>+IFERROR(VLOOKUP(D427,Conceptos_Analítica_contraloría[#All],3,0),"")</f>
        <v/>
      </c>
    </row>
    <row r="428" spans="3:10" ht="18.75" customHeight="1" x14ac:dyDescent="0.35">
      <c r="C428" s="100" t="str">
        <f>IF(OR(Fact_Analitica[[#This Row], [Año]]="",Fact_Analitica[[#This Row], [Mes]]=""),"",DATE(A428,MATCH(B428,{"enero","febrero","marzo","abril","mayo","junio","julio","agosto","septiembre","octubre","noviembre","diciembre"},0)+1,0))</f>
        <v/>
      </c>
      <c r="E428" t="str">
        <f>+IFERROR(VLOOKUP(Fact_Analitica[[#This Row], [Concepto Anterior]],Conceptos_Analítica_contraloría[#All],5,0),"")</f>
        <v/>
      </c>
      <c r="F428" t="str">
        <f>+IFERROR(VLOOKUP(Fact_Analitica[[#This Row], [Concepto Anterior]],Conceptos_Analítica_contraloría[#All],7,0),"")</f>
        <v/>
      </c>
      <c r="I428" t="str">
        <f>+IFERROR(VLOOKUP(D428,Conceptos_Analítica_contraloría[#All],2,0),"")</f>
        <v/>
      </c>
      <c r="J428" s="84" t="str">
        <f>+IFERROR(VLOOKUP(D428,Conceptos_Analítica_contraloría[#All],3,0),"")</f>
        <v/>
      </c>
    </row>
    <row r="429" spans="3:10" ht="18.75" customHeight="1" x14ac:dyDescent="0.35">
      <c r="C429" s="100" t="str">
        <f>IF(OR(Fact_Analitica[[#This Row], [Año]]="",Fact_Analitica[[#This Row], [Mes]]=""),"",DATE(A429,MATCH(B429,{"enero","febrero","marzo","abril","mayo","junio","julio","agosto","septiembre","octubre","noviembre","diciembre"},0)+1,0))</f>
        <v/>
      </c>
      <c r="E429" t="str">
        <f>+IFERROR(VLOOKUP(Fact_Analitica[[#This Row], [Concepto Anterior]],Conceptos_Analítica_contraloría[#All],5,0),"")</f>
        <v/>
      </c>
      <c r="F429" t="str">
        <f>+IFERROR(VLOOKUP(Fact_Analitica[[#This Row], [Concepto Anterior]],Conceptos_Analítica_contraloría[#All],7,0),"")</f>
        <v/>
      </c>
      <c r="I429" t="str">
        <f>+IFERROR(VLOOKUP(D429,Conceptos_Analítica_contraloría[#All],2,0),"")</f>
        <v/>
      </c>
      <c r="J429" s="84" t="str">
        <f>+IFERROR(VLOOKUP(D429,Conceptos_Analítica_contraloría[#All],3,0),"")</f>
        <v/>
      </c>
    </row>
    <row r="430" spans="3:10" ht="18.75" customHeight="1" x14ac:dyDescent="0.35">
      <c r="C430" s="100" t="str">
        <f>IF(OR(Fact_Analitica[[#This Row], [Año]]="",Fact_Analitica[[#This Row], [Mes]]=""),"",DATE(A430,MATCH(B430,{"enero","febrero","marzo","abril","mayo","junio","julio","agosto","septiembre","octubre","noviembre","diciembre"},0)+1,0))</f>
        <v/>
      </c>
      <c r="E430" t="str">
        <f>+IFERROR(VLOOKUP(Fact_Analitica[[#This Row], [Concepto Anterior]],Conceptos_Analítica_contraloría[#All],5,0),"")</f>
        <v/>
      </c>
      <c r="F430" t="str">
        <f>+IFERROR(VLOOKUP(Fact_Analitica[[#This Row], [Concepto Anterior]],Conceptos_Analítica_contraloría[#All],7,0),"")</f>
        <v/>
      </c>
      <c r="I430" t="str">
        <f>+IFERROR(VLOOKUP(D430,Conceptos_Analítica_contraloría[#All],2,0),"")</f>
        <v/>
      </c>
      <c r="J430" s="84" t="str">
        <f>+IFERROR(VLOOKUP(D430,Conceptos_Analítica_contraloría[#All],3,0),"")</f>
        <v/>
      </c>
    </row>
    <row r="431" spans="3:10" ht="18.75" customHeight="1" x14ac:dyDescent="0.35">
      <c r="C431" s="100" t="str">
        <f>IF(OR(Fact_Analitica[[#This Row], [Año]]="",Fact_Analitica[[#This Row], [Mes]]=""),"",DATE(A431,MATCH(B431,{"enero","febrero","marzo","abril","mayo","junio","julio","agosto","septiembre","octubre","noviembre","diciembre"},0)+1,0))</f>
        <v/>
      </c>
      <c r="E431" t="str">
        <f>+IFERROR(VLOOKUP(Fact_Analitica[[#This Row], [Concepto Anterior]],Conceptos_Analítica_contraloría[#All],5,0),"")</f>
        <v/>
      </c>
      <c r="F431" t="str">
        <f>+IFERROR(VLOOKUP(Fact_Analitica[[#This Row], [Concepto Anterior]],Conceptos_Analítica_contraloría[#All],7,0),"")</f>
        <v/>
      </c>
      <c r="I431" t="str">
        <f>+IFERROR(VLOOKUP(D431,Conceptos_Analítica_contraloría[#All],2,0),"")</f>
        <v/>
      </c>
      <c r="J431" s="84" t="str">
        <f>+IFERROR(VLOOKUP(D431,Conceptos_Analítica_contraloría[#All],3,0),"")</f>
        <v/>
      </c>
    </row>
    <row r="432" spans="3:10" ht="18.75" customHeight="1" x14ac:dyDescent="0.35">
      <c r="C432" s="100" t="str">
        <f>IF(OR(Fact_Analitica[[#This Row], [Año]]="",Fact_Analitica[[#This Row], [Mes]]=""),"",DATE(A432,MATCH(B432,{"enero","febrero","marzo","abril","mayo","junio","julio","agosto","septiembre","octubre","noviembre","diciembre"},0)+1,0))</f>
        <v/>
      </c>
      <c r="E432" t="str">
        <f>+IFERROR(VLOOKUP(Fact_Analitica[[#This Row], [Concepto Anterior]],Conceptos_Analítica_contraloría[#All],5,0),"")</f>
        <v/>
      </c>
      <c r="F432" t="str">
        <f>+IFERROR(VLOOKUP(Fact_Analitica[[#This Row], [Concepto Anterior]],Conceptos_Analítica_contraloría[#All],7,0),"")</f>
        <v/>
      </c>
      <c r="I432" t="str">
        <f>+IFERROR(VLOOKUP(D432,Conceptos_Analítica_contraloría[#All],2,0),"")</f>
        <v/>
      </c>
      <c r="J432" s="84" t="str">
        <f>+IFERROR(VLOOKUP(D432,Conceptos_Analítica_contraloría[#All],3,0),"")</f>
        <v/>
      </c>
    </row>
    <row r="433" spans="3:10" ht="18.75" customHeight="1" x14ac:dyDescent="0.35">
      <c r="C433" s="100" t="str">
        <f>IF(OR(Fact_Analitica[[#This Row], [Año]]="",Fact_Analitica[[#This Row], [Mes]]=""),"",DATE(A433,MATCH(B433,{"enero","febrero","marzo","abril","mayo","junio","julio","agosto","septiembre","octubre","noviembre","diciembre"},0)+1,0))</f>
        <v/>
      </c>
      <c r="E433" t="str">
        <f>+IFERROR(VLOOKUP(Fact_Analitica[[#This Row], [Concepto Anterior]],Conceptos_Analítica_contraloría[#All],5,0),"")</f>
        <v/>
      </c>
      <c r="F433" t="str">
        <f>+IFERROR(VLOOKUP(Fact_Analitica[[#This Row], [Concepto Anterior]],Conceptos_Analítica_contraloría[#All],7,0),"")</f>
        <v/>
      </c>
      <c r="I433" t="str">
        <f>+IFERROR(VLOOKUP(D433,Conceptos_Analítica_contraloría[#All],2,0),"")</f>
        <v/>
      </c>
      <c r="J433" s="84" t="str">
        <f>+IFERROR(VLOOKUP(D433,Conceptos_Analítica_contraloría[#All],3,0),"")</f>
        <v/>
      </c>
    </row>
    <row r="434" spans="3:10" ht="18.75" customHeight="1" x14ac:dyDescent="0.35">
      <c r="C434" s="100" t="str">
        <f>IF(OR(Fact_Analitica[[#This Row], [Año]]="",Fact_Analitica[[#This Row], [Mes]]=""),"",DATE(A434,MATCH(B434,{"enero","febrero","marzo","abril","mayo","junio","julio","agosto","septiembre","octubre","noviembre","diciembre"},0)+1,0))</f>
        <v/>
      </c>
      <c r="E434" t="str">
        <f>+IFERROR(VLOOKUP(Fact_Analitica[[#This Row], [Concepto Anterior]],Conceptos_Analítica_contraloría[#All],5,0),"")</f>
        <v/>
      </c>
      <c r="F434" t="str">
        <f>+IFERROR(VLOOKUP(Fact_Analitica[[#This Row], [Concepto Anterior]],Conceptos_Analítica_contraloría[#All],7,0),"")</f>
        <v/>
      </c>
      <c r="I434" t="str">
        <f>+IFERROR(VLOOKUP(D434,Conceptos_Analítica_contraloría[#All],2,0),"")</f>
        <v/>
      </c>
      <c r="J434" s="84" t="str">
        <f>+IFERROR(VLOOKUP(D434,Conceptos_Analítica_contraloría[#All],3,0),"")</f>
        <v/>
      </c>
    </row>
    <row r="435" spans="3:10" ht="18.75" customHeight="1" x14ac:dyDescent="0.35">
      <c r="C435" s="100" t="str">
        <f>IF(OR(Fact_Analitica[[#This Row], [Año]]="",Fact_Analitica[[#This Row], [Mes]]=""),"",DATE(A435,MATCH(B435,{"enero","febrero","marzo","abril","mayo","junio","julio","agosto","septiembre","octubre","noviembre","diciembre"},0)+1,0))</f>
        <v/>
      </c>
      <c r="E435" t="str">
        <f>+IFERROR(VLOOKUP(Fact_Analitica[[#This Row], [Concepto Anterior]],Conceptos_Analítica_contraloría[#All],5,0),"")</f>
        <v/>
      </c>
      <c r="F435" t="str">
        <f>+IFERROR(VLOOKUP(Fact_Analitica[[#This Row], [Concepto Anterior]],Conceptos_Analítica_contraloría[#All],7,0),"")</f>
        <v/>
      </c>
      <c r="I435" t="str">
        <f>+IFERROR(VLOOKUP(D435,Conceptos_Analítica_contraloría[#All],2,0),"")</f>
        <v/>
      </c>
      <c r="J435" s="84" t="str">
        <f>+IFERROR(VLOOKUP(D435,Conceptos_Analítica_contraloría[#All],3,0),"")</f>
        <v/>
      </c>
    </row>
    <row r="436" spans="3:10" ht="18.75" customHeight="1" x14ac:dyDescent="0.35">
      <c r="C436" s="100" t="str">
        <f>IF(OR(Fact_Analitica[[#This Row], [Año]]="",Fact_Analitica[[#This Row], [Mes]]=""),"",DATE(A436,MATCH(B436,{"enero","febrero","marzo","abril","mayo","junio","julio","agosto","septiembre","octubre","noviembre","diciembre"},0)+1,0))</f>
        <v/>
      </c>
      <c r="E436" t="str">
        <f>+IFERROR(VLOOKUP(Fact_Analitica[[#This Row], [Concepto Anterior]],Conceptos_Analítica_contraloría[#All],5,0),"")</f>
        <v/>
      </c>
      <c r="F436" t="str">
        <f>+IFERROR(VLOOKUP(Fact_Analitica[[#This Row], [Concepto Anterior]],Conceptos_Analítica_contraloría[#All],7,0),"")</f>
        <v/>
      </c>
      <c r="I436" t="str">
        <f>+IFERROR(VLOOKUP(D436,Conceptos_Analítica_contraloría[#All],2,0),"")</f>
        <v/>
      </c>
      <c r="J436" s="84" t="str">
        <f>+IFERROR(VLOOKUP(D436,Conceptos_Analítica_contraloría[#All],3,0),"")</f>
        <v/>
      </c>
    </row>
    <row r="437" spans="3:10" ht="18.75" customHeight="1" x14ac:dyDescent="0.35">
      <c r="C437" s="100" t="str">
        <f>IF(OR(Fact_Analitica[[#This Row], [Año]]="",Fact_Analitica[[#This Row], [Mes]]=""),"",DATE(A437,MATCH(B437,{"enero","febrero","marzo","abril","mayo","junio","julio","agosto","septiembre","octubre","noviembre","diciembre"},0)+1,0))</f>
        <v/>
      </c>
      <c r="E437" t="str">
        <f>+IFERROR(VLOOKUP(Fact_Analitica[[#This Row], [Concepto Anterior]],Conceptos_Analítica_contraloría[#All],5,0),"")</f>
        <v/>
      </c>
      <c r="F437" t="str">
        <f>+IFERROR(VLOOKUP(Fact_Analitica[[#This Row], [Concepto Anterior]],Conceptos_Analítica_contraloría[#All],7,0),"")</f>
        <v/>
      </c>
      <c r="I437" t="str">
        <f>+IFERROR(VLOOKUP(D437,Conceptos_Analítica_contraloría[#All],2,0),"")</f>
        <v/>
      </c>
      <c r="J437" s="84" t="str">
        <f>+IFERROR(VLOOKUP(D437,Conceptos_Analítica_contraloría[#All],3,0),"")</f>
        <v/>
      </c>
    </row>
    <row r="438" spans="3:10" ht="18.75" customHeight="1" x14ac:dyDescent="0.35">
      <c r="C438" s="100" t="str">
        <f>IF(OR(Fact_Analitica[[#This Row], [Año]]="",Fact_Analitica[[#This Row], [Mes]]=""),"",DATE(A438,MATCH(B438,{"enero","febrero","marzo","abril","mayo","junio","julio","agosto","septiembre","octubre","noviembre","diciembre"},0)+1,0))</f>
        <v/>
      </c>
      <c r="E438" t="str">
        <f>+IFERROR(VLOOKUP(Fact_Analitica[[#This Row], [Concepto Anterior]],Conceptos_Analítica_contraloría[#All],5,0),"")</f>
        <v/>
      </c>
      <c r="F438" t="str">
        <f>+IFERROR(VLOOKUP(Fact_Analitica[[#This Row], [Concepto Anterior]],Conceptos_Analítica_contraloría[#All],7,0),"")</f>
        <v/>
      </c>
      <c r="I438" t="str">
        <f>+IFERROR(VLOOKUP(D438,Conceptos_Analítica_contraloría[#All],2,0),"")</f>
        <v/>
      </c>
      <c r="J438" s="84" t="str">
        <f>+IFERROR(VLOOKUP(D438,Conceptos_Analítica_contraloría[#All],3,0),"")</f>
        <v/>
      </c>
    </row>
    <row r="439" spans="3:10" ht="18.75" customHeight="1" x14ac:dyDescent="0.35">
      <c r="C439" s="100" t="str">
        <f>IF(OR(Fact_Analitica[[#This Row], [Año]]="",Fact_Analitica[[#This Row], [Mes]]=""),"",DATE(A439,MATCH(B439,{"enero","febrero","marzo","abril","mayo","junio","julio","agosto","septiembre","octubre","noviembre","diciembre"},0)+1,0))</f>
        <v/>
      </c>
      <c r="E439" t="str">
        <f>+IFERROR(VLOOKUP(Fact_Analitica[[#This Row], [Concepto Anterior]],Conceptos_Analítica_contraloría[#All],5,0),"")</f>
        <v/>
      </c>
      <c r="F439" t="str">
        <f>+IFERROR(VLOOKUP(Fact_Analitica[[#This Row], [Concepto Anterior]],Conceptos_Analítica_contraloría[#All],7,0),"")</f>
        <v/>
      </c>
      <c r="I439" t="str">
        <f>+IFERROR(VLOOKUP(D439,Conceptos_Analítica_contraloría[#All],2,0),"")</f>
        <v/>
      </c>
      <c r="J439" s="84" t="str">
        <f>+IFERROR(VLOOKUP(D439,Conceptos_Analítica_contraloría[#All],3,0),"")</f>
        <v/>
      </c>
    </row>
    <row r="440" spans="3:10" ht="18.75" customHeight="1" x14ac:dyDescent="0.35">
      <c r="C440" s="100" t="str">
        <f>IF(OR(Fact_Analitica[[#This Row], [Año]]="",Fact_Analitica[[#This Row], [Mes]]=""),"",DATE(A440,MATCH(B440,{"enero","febrero","marzo","abril","mayo","junio","julio","agosto","septiembre","octubre","noviembre","diciembre"},0)+1,0))</f>
        <v/>
      </c>
      <c r="E440" t="str">
        <f>+IFERROR(VLOOKUP(Fact_Analitica[[#This Row], [Concepto Anterior]],Conceptos_Analítica_contraloría[#All],5,0),"")</f>
        <v/>
      </c>
      <c r="F440" t="str">
        <f>+IFERROR(VLOOKUP(Fact_Analitica[[#This Row], [Concepto Anterior]],Conceptos_Analítica_contraloría[#All],7,0),"")</f>
        <v/>
      </c>
      <c r="I440" t="str">
        <f>+IFERROR(VLOOKUP(D440,Conceptos_Analítica_contraloría[#All],2,0),"")</f>
        <v/>
      </c>
      <c r="J440" s="84" t="str">
        <f>+IFERROR(VLOOKUP(D440,Conceptos_Analítica_contraloría[#All],3,0),"")</f>
        <v/>
      </c>
    </row>
    <row r="441" spans="3:10" ht="18.75" customHeight="1" x14ac:dyDescent="0.35">
      <c r="C441" s="100" t="str">
        <f>IF(OR(Fact_Analitica[[#This Row], [Año]]="",Fact_Analitica[[#This Row], [Mes]]=""),"",DATE(A441,MATCH(B441,{"enero","febrero","marzo","abril","mayo","junio","julio","agosto","septiembre","octubre","noviembre","diciembre"},0)+1,0))</f>
        <v/>
      </c>
      <c r="E441" t="str">
        <f>+IFERROR(VLOOKUP(Fact_Analitica[[#This Row], [Concepto Anterior]],Conceptos_Analítica_contraloría[#All],5,0),"")</f>
        <v/>
      </c>
      <c r="F441" t="str">
        <f>+IFERROR(VLOOKUP(Fact_Analitica[[#This Row], [Concepto Anterior]],Conceptos_Analítica_contraloría[#All],7,0),"")</f>
        <v/>
      </c>
      <c r="I441" t="str">
        <f>+IFERROR(VLOOKUP(D441,Conceptos_Analítica_contraloría[#All],2,0),"")</f>
        <v/>
      </c>
      <c r="J441" s="84" t="str">
        <f>+IFERROR(VLOOKUP(D441,Conceptos_Analítica_contraloría[#All],3,0),"")</f>
        <v/>
      </c>
    </row>
    <row r="442" spans="3:10" ht="18.75" customHeight="1" x14ac:dyDescent="0.35">
      <c r="C442" s="100" t="str">
        <f>IF(OR(Fact_Analitica[[#This Row], [Año]]="",Fact_Analitica[[#This Row], [Mes]]=""),"",DATE(A442,MATCH(B442,{"enero","febrero","marzo","abril","mayo","junio","julio","agosto","septiembre","octubre","noviembre","diciembre"},0)+1,0))</f>
        <v/>
      </c>
      <c r="E442" t="str">
        <f>+IFERROR(VLOOKUP(Fact_Analitica[[#This Row], [Concepto Anterior]],Conceptos_Analítica_contraloría[#All],5,0),"")</f>
        <v/>
      </c>
      <c r="F442" t="str">
        <f>+IFERROR(VLOOKUP(Fact_Analitica[[#This Row], [Concepto Anterior]],Conceptos_Analítica_contraloría[#All],7,0),"")</f>
        <v/>
      </c>
      <c r="I442" t="str">
        <f>+IFERROR(VLOOKUP(D442,Conceptos_Analítica_contraloría[#All],2,0),"")</f>
        <v/>
      </c>
      <c r="J442" s="84" t="str">
        <f>+IFERROR(VLOOKUP(D442,Conceptos_Analítica_contraloría[#All],3,0),"")</f>
        <v/>
      </c>
    </row>
    <row r="443" spans="3:10" ht="18.75" customHeight="1" x14ac:dyDescent="0.35">
      <c r="C443" s="100" t="str">
        <f>IF(OR(Fact_Analitica[[#This Row], [Año]]="",Fact_Analitica[[#This Row], [Mes]]=""),"",DATE(A443,MATCH(B443,{"enero","febrero","marzo","abril","mayo","junio","julio","agosto","septiembre","octubre","noviembre","diciembre"},0)+1,0))</f>
        <v/>
      </c>
      <c r="E443" t="str">
        <f>+IFERROR(VLOOKUP(Fact_Analitica[[#This Row], [Concepto Anterior]],Conceptos_Analítica_contraloría[#All],5,0),"")</f>
        <v/>
      </c>
      <c r="F443" t="str">
        <f>+IFERROR(VLOOKUP(Fact_Analitica[[#This Row], [Concepto Anterior]],Conceptos_Analítica_contraloría[#All],7,0),"")</f>
        <v/>
      </c>
      <c r="I443" t="str">
        <f>+IFERROR(VLOOKUP(D443,Conceptos_Analítica_contraloría[#All],2,0),"")</f>
        <v/>
      </c>
      <c r="J443" s="84" t="str">
        <f>+IFERROR(VLOOKUP(D443,Conceptos_Analítica_contraloría[#All],3,0),"")</f>
        <v/>
      </c>
    </row>
    <row r="444" spans="3:10" ht="18.75" customHeight="1" x14ac:dyDescent="0.35">
      <c r="C444" s="100" t="str">
        <f>IF(OR(Fact_Analitica[[#This Row], [Año]]="",Fact_Analitica[[#This Row], [Mes]]=""),"",DATE(A444,MATCH(B444,{"enero","febrero","marzo","abril","mayo","junio","julio","agosto","septiembre","octubre","noviembre","diciembre"},0)+1,0))</f>
        <v/>
      </c>
      <c r="E444" t="str">
        <f>+IFERROR(VLOOKUP(Fact_Analitica[[#This Row], [Concepto Anterior]],Conceptos_Analítica_contraloría[#All],5,0),"")</f>
        <v/>
      </c>
      <c r="F444" t="str">
        <f>+IFERROR(VLOOKUP(Fact_Analitica[[#This Row], [Concepto Anterior]],Conceptos_Analítica_contraloría[#All],7,0),"")</f>
        <v/>
      </c>
      <c r="I444" t="str">
        <f>+IFERROR(VLOOKUP(D444,Conceptos_Analítica_contraloría[#All],2,0),"")</f>
        <v/>
      </c>
      <c r="J444" s="84" t="str">
        <f>+IFERROR(VLOOKUP(D444,Conceptos_Analítica_contraloría[#All],3,0),"")</f>
        <v/>
      </c>
    </row>
    <row r="445" spans="3:10" ht="18.75" customHeight="1" x14ac:dyDescent="0.35">
      <c r="C445" s="100" t="str">
        <f>IF(OR(Fact_Analitica[[#This Row], [Año]]="",Fact_Analitica[[#This Row], [Mes]]=""),"",DATE(A445,MATCH(B445,{"enero","febrero","marzo","abril","mayo","junio","julio","agosto","septiembre","octubre","noviembre","diciembre"},0)+1,0))</f>
        <v/>
      </c>
      <c r="E445" t="str">
        <f>+IFERROR(VLOOKUP(Fact_Analitica[[#This Row], [Concepto Anterior]],Conceptos_Analítica_contraloría[#All],5,0),"")</f>
        <v/>
      </c>
      <c r="F445" t="str">
        <f>+IFERROR(VLOOKUP(Fact_Analitica[[#This Row], [Concepto Anterior]],Conceptos_Analítica_contraloría[#All],7,0),"")</f>
        <v/>
      </c>
      <c r="I445" t="str">
        <f>+IFERROR(VLOOKUP(D445,Conceptos_Analítica_contraloría[#All],2,0),"")</f>
        <v/>
      </c>
      <c r="J445" s="84" t="str">
        <f>+IFERROR(VLOOKUP(D445,Conceptos_Analítica_contraloría[#All],3,0),"")</f>
        <v/>
      </c>
    </row>
    <row r="446" spans="3:10" ht="18.75" customHeight="1" x14ac:dyDescent="0.35">
      <c r="C446" s="100" t="str">
        <f>IF(OR(Fact_Analitica[[#This Row], [Año]]="",Fact_Analitica[[#This Row], [Mes]]=""),"",DATE(A446,MATCH(B446,{"enero","febrero","marzo","abril","mayo","junio","julio","agosto","septiembre","octubre","noviembre","diciembre"},0)+1,0))</f>
        <v/>
      </c>
      <c r="E446" t="str">
        <f>+IFERROR(VLOOKUP(Fact_Analitica[[#This Row], [Concepto Anterior]],Conceptos_Analítica_contraloría[#All],5,0),"")</f>
        <v/>
      </c>
      <c r="F446" t="str">
        <f>+IFERROR(VLOOKUP(Fact_Analitica[[#This Row], [Concepto Anterior]],Conceptos_Analítica_contraloría[#All],7,0),"")</f>
        <v/>
      </c>
      <c r="I446" t="str">
        <f>+IFERROR(VLOOKUP(D446,Conceptos_Analítica_contraloría[#All],2,0),"")</f>
        <v/>
      </c>
      <c r="J446" s="84" t="str">
        <f>+IFERROR(VLOOKUP(D446,Conceptos_Analítica_contraloría[#All],3,0),"")</f>
        <v/>
      </c>
    </row>
    <row r="447" spans="3:10" ht="18.75" customHeight="1" x14ac:dyDescent="0.35">
      <c r="C447" s="100" t="str">
        <f>IF(OR(Fact_Analitica[[#This Row], [Año]]="",Fact_Analitica[[#This Row], [Mes]]=""),"",DATE(A447,MATCH(B447,{"enero","febrero","marzo","abril","mayo","junio","julio","agosto","septiembre","octubre","noviembre","diciembre"},0)+1,0))</f>
        <v/>
      </c>
      <c r="E447" t="str">
        <f>+IFERROR(VLOOKUP(Fact_Analitica[[#This Row], [Concepto Anterior]],Conceptos_Analítica_contraloría[#All],5,0),"")</f>
        <v/>
      </c>
      <c r="F447" t="str">
        <f>+IFERROR(VLOOKUP(Fact_Analitica[[#This Row], [Concepto Anterior]],Conceptos_Analítica_contraloría[#All],7,0),"")</f>
        <v/>
      </c>
      <c r="I447" t="str">
        <f>+IFERROR(VLOOKUP(D447,Conceptos_Analítica_contraloría[#All],2,0),"")</f>
        <v/>
      </c>
      <c r="J447" s="84" t="str">
        <f>+IFERROR(VLOOKUP(D447,Conceptos_Analítica_contraloría[#All],3,0),"")</f>
        <v/>
      </c>
    </row>
    <row r="448" spans="3:10" ht="18.75" customHeight="1" x14ac:dyDescent="0.35">
      <c r="C448" s="100" t="str">
        <f>IF(OR(Fact_Analitica[[#This Row], [Año]]="",Fact_Analitica[[#This Row], [Mes]]=""),"",DATE(A448,MATCH(B448,{"enero","febrero","marzo","abril","mayo","junio","julio","agosto","septiembre","octubre","noviembre","diciembre"},0)+1,0))</f>
        <v/>
      </c>
      <c r="E448" t="str">
        <f>+IFERROR(VLOOKUP(Fact_Analitica[[#This Row], [Concepto Anterior]],Conceptos_Analítica_contraloría[#All],5,0),"")</f>
        <v/>
      </c>
      <c r="F448" t="str">
        <f>+IFERROR(VLOOKUP(Fact_Analitica[[#This Row], [Concepto Anterior]],Conceptos_Analítica_contraloría[#All],7,0),"")</f>
        <v/>
      </c>
      <c r="I448" t="str">
        <f>+IFERROR(VLOOKUP(D448,Conceptos_Analítica_contraloría[#All],2,0),"")</f>
        <v/>
      </c>
      <c r="J448" s="84" t="str">
        <f>+IFERROR(VLOOKUP(D448,Conceptos_Analítica_contraloría[#All],3,0),"")</f>
        <v/>
      </c>
    </row>
    <row r="449" spans="3:10" ht="18.75" customHeight="1" x14ac:dyDescent="0.35">
      <c r="C449" s="100" t="str">
        <f>IF(OR(Fact_Analitica[[#This Row], [Año]]="",Fact_Analitica[[#This Row], [Mes]]=""),"",DATE(A449,MATCH(B449,{"enero","febrero","marzo","abril","mayo","junio","julio","agosto","septiembre","octubre","noviembre","diciembre"},0)+1,0))</f>
        <v/>
      </c>
      <c r="E449" t="str">
        <f>+IFERROR(VLOOKUP(Fact_Analitica[[#This Row], [Concepto Anterior]],Conceptos_Analítica_contraloría[#All],5,0),"")</f>
        <v/>
      </c>
      <c r="F449" t="str">
        <f>+IFERROR(VLOOKUP(Fact_Analitica[[#This Row], [Concepto Anterior]],Conceptos_Analítica_contraloría[#All],7,0),"")</f>
        <v/>
      </c>
      <c r="I449" t="str">
        <f>+IFERROR(VLOOKUP(D449,Conceptos_Analítica_contraloría[#All],2,0),"")</f>
        <v/>
      </c>
      <c r="J449" s="84" t="str">
        <f>+IFERROR(VLOOKUP(D449,Conceptos_Analítica_contraloría[#All],3,0),"")</f>
        <v/>
      </c>
    </row>
    <row r="450" spans="3:10" ht="18.75" customHeight="1" x14ac:dyDescent="0.35">
      <c r="C450" s="100" t="str">
        <f>IF(OR(Fact_Analitica[[#This Row], [Año]]="",Fact_Analitica[[#This Row], [Mes]]=""),"",DATE(A450,MATCH(B450,{"enero","febrero","marzo","abril","mayo","junio","julio","agosto","septiembre","octubre","noviembre","diciembre"},0)+1,0))</f>
        <v/>
      </c>
      <c r="E450" t="str">
        <f>+IFERROR(VLOOKUP(Fact_Analitica[[#This Row], [Concepto Anterior]],Conceptos_Analítica_contraloría[#All],5,0),"")</f>
        <v/>
      </c>
      <c r="F450" t="str">
        <f>+IFERROR(VLOOKUP(Fact_Analitica[[#This Row], [Concepto Anterior]],Conceptos_Analítica_contraloría[#All],7,0),"")</f>
        <v/>
      </c>
      <c r="I450" t="str">
        <f>+IFERROR(VLOOKUP(D450,Conceptos_Analítica_contraloría[#All],2,0),"")</f>
        <v/>
      </c>
      <c r="J450" s="84" t="str">
        <f>+IFERROR(VLOOKUP(D450,Conceptos_Analítica_contraloría[#All],3,0),"")</f>
        <v/>
      </c>
    </row>
    <row r="451" spans="3:10" ht="18.75" customHeight="1" x14ac:dyDescent="0.35">
      <c r="C451" s="100" t="str">
        <f>IF(OR(Fact_Analitica[[#This Row], [Año]]="",Fact_Analitica[[#This Row], [Mes]]=""),"",DATE(A451,MATCH(B451,{"enero","febrero","marzo","abril","mayo","junio","julio","agosto","septiembre","octubre","noviembre","diciembre"},0)+1,0))</f>
        <v/>
      </c>
      <c r="E451" t="str">
        <f>+IFERROR(VLOOKUP(Fact_Analitica[[#This Row], [Concepto Anterior]],Conceptos_Analítica_contraloría[#All],5,0),"")</f>
        <v/>
      </c>
      <c r="F451" t="str">
        <f>+IFERROR(VLOOKUP(Fact_Analitica[[#This Row], [Concepto Anterior]],Conceptos_Analítica_contraloría[#All],7,0),"")</f>
        <v/>
      </c>
      <c r="I451" t="str">
        <f>+IFERROR(VLOOKUP(D451,Conceptos_Analítica_contraloría[#All],2,0),"")</f>
        <v/>
      </c>
      <c r="J451" s="84" t="str">
        <f>+IFERROR(VLOOKUP(D451,Conceptos_Analítica_contraloría[#All],3,0),"")</f>
        <v/>
      </c>
    </row>
    <row r="452" spans="3:10" ht="18.75" customHeight="1" x14ac:dyDescent="0.35">
      <c r="C452" s="100" t="str">
        <f>IF(OR(Fact_Analitica[[#This Row], [Año]]="",Fact_Analitica[[#This Row], [Mes]]=""),"",DATE(A452,MATCH(B452,{"enero","febrero","marzo","abril","mayo","junio","julio","agosto","septiembre","octubre","noviembre","diciembre"},0)+1,0))</f>
        <v/>
      </c>
      <c r="E452" t="str">
        <f>+IFERROR(VLOOKUP(Fact_Analitica[[#This Row], [Concepto Anterior]],Conceptos_Analítica_contraloría[#All],5,0),"")</f>
        <v/>
      </c>
      <c r="F452" t="str">
        <f>+IFERROR(VLOOKUP(Fact_Analitica[[#This Row], [Concepto Anterior]],Conceptos_Analítica_contraloría[#All],7,0),"")</f>
        <v/>
      </c>
      <c r="I452" t="str">
        <f>+IFERROR(VLOOKUP(D452,Conceptos_Analítica_contraloría[#All],2,0),"")</f>
        <v/>
      </c>
      <c r="J452" s="84" t="str">
        <f>+IFERROR(VLOOKUP(D452,Conceptos_Analítica_contraloría[#All],3,0),"")</f>
        <v/>
      </c>
    </row>
    <row r="453" spans="3:10" ht="18.75" customHeight="1" x14ac:dyDescent="0.35">
      <c r="C453" s="100" t="str">
        <f>IF(OR(Fact_Analitica[[#This Row], [Año]]="",Fact_Analitica[[#This Row], [Mes]]=""),"",DATE(A453,MATCH(B453,{"enero","febrero","marzo","abril","mayo","junio","julio","agosto","septiembre","octubre","noviembre","diciembre"},0)+1,0))</f>
        <v/>
      </c>
      <c r="E453" t="str">
        <f>+IFERROR(VLOOKUP(Fact_Analitica[[#This Row], [Concepto Anterior]],Conceptos_Analítica_contraloría[#All],5,0),"")</f>
        <v/>
      </c>
      <c r="F453" t="str">
        <f>+IFERROR(VLOOKUP(Fact_Analitica[[#This Row], [Concepto Anterior]],Conceptos_Analítica_contraloría[#All],7,0),"")</f>
        <v/>
      </c>
      <c r="I453" t="str">
        <f>+IFERROR(VLOOKUP(D453,Conceptos_Analítica_contraloría[#All],2,0),"")</f>
        <v/>
      </c>
      <c r="J453" s="84" t="str">
        <f>+IFERROR(VLOOKUP(D453,Conceptos_Analítica_contraloría[#All],3,0),"")</f>
        <v/>
      </c>
    </row>
    <row r="454" spans="3:10" ht="18.75" customHeight="1" x14ac:dyDescent="0.35">
      <c r="C454" s="100" t="str">
        <f>IF(OR(Fact_Analitica[[#This Row], [Año]]="",Fact_Analitica[[#This Row], [Mes]]=""),"",DATE(A454,MATCH(B454,{"enero","febrero","marzo","abril","mayo","junio","julio","agosto","septiembre","octubre","noviembre","diciembre"},0)+1,0))</f>
        <v/>
      </c>
      <c r="E454" t="str">
        <f>+IFERROR(VLOOKUP(Fact_Analitica[[#This Row], [Concepto Anterior]],Conceptos_Analítica_contraloría[#All],5,0),"")</f>
        <v/>
      </c>
      <c r="F454" t="str">
        <f>+IFERROR(VLOOKUP(Fact_Analitica[[#This Row], [Concepto Anterior]],Conceptos_Analítica_contraloría[#All],7,0),"")</f>
        <v/>
      </c>
      <c r="I454" t="str">
        <f>+IFERROR(VLOOKUP(D454,Conceptos_Analítica_contraloría[#All],2,0),"")</f>
        <v/>
      </c>
      <c r="J454" s="84" t="str">
        <f>+IFERROR(VLOOKUP(D454,Conceptos_Analítica_contraloría[#All],3,0),"")</f>
        <v/>
      </c>
    </row>
    <row r="455" spans="3:10" ht="18.75" customHeight="1" x14ac:dyDescent="0.35">
      <c r="C455" s="100" t="str">
        <f>IF(OR(Fact_Analitica[[#This Row], [Año]]="",Fact_Analitica[[#This Row], [Mes]]=""),"",DATE(A455,MATCH(B455,{"enero","febrero","marzo","abril","mayo","junio","julio","agosto","septiembre","octubre","noviembre","diciembre"},0)+1,0))</f>
        <v/>
      </c>
      <c r="E455" t="str">
        <f>+IFERROR(VLOOKUP(Fact_Analitica[[#This Row], [Concepto Anterior]],Conceptos_Analítica_contraloría[#All],5,0),"")</f>
        <v/>
      </c>
      <c r="F455" t="str">
        <f>+IFERROR(VLOOKUP(Fact_Analitica[[#This Row], [Concepto Anterior]],Conceptos_Analítica_contraloría[#All],7,0),"")</f>
        <v/>
      </c>
      <c r="I455" t="str">
        <f>+IFERROR(VLOOKUP(D455,Conceptos_Analítica_contraloría[#All],2,0),"")</f>
        <v/>
      </c>
      <c r="J455" s="84" t="str">
        <f>+IFERROR(VLOOKUP(D455,Conceptos_Analítica_contraloría[#All],3,0),"")</f>
        <v/>
      </c>
    </row>
    <row r="456" spans="3:10" ht="18.75" customHeight="1" x14ac:dyDescent="0.35">
      <c r="C456" s="100" t="str">
        <f>IF(OR(Fact_Analitica[[#This Row], [Año]]="",Fact_Analitica[[#This Row], [Mes]]=""),"",DATE(A456,MATCH(B456,{"enero","febrero","marzo","abril","mayo","junio","julio","agosto","septiembre","octubre","noviembre","diciembre"},0)+1,0))</f>
        <v/>
      </c>
      <c r="E456" t="str">
        <f>+IFERROR(VLOOKUP(Fact_Analitica[[#This Row], [Concepto Anterior]],Conceptos_Analítica_contraloría[#All],5,0),"")</f>
        <v/>
      </c>
      <c r="F456" t="str">
        <f>+IFERROR(VLOOKUP(Fact_Analitica[[#This Row], [Concepto Anterior]],Conceptos_Analítica_contraloría[#All],7,0),"")</f>
        <v/>
      </c>
      <c r="I456" t="str">
        <f>+IFERROR(VLOOKUP(D456,Conceptos_Analítica_contraloría[#All],2,0),"")</f>
        <v/>
      </c>
      <c r="J456" s="84" t="str">
        <f>+IFERROR(VLOOKUP(D456,Conceptos_Analítica_contraloría[#All],3,0),"")</f>
        <v/>
      </c>
    </row>
    <row r="457" spans="3:10" ht="18.75" customHeight="1" x14ac:dyDescent="0.35">
      <c r="C457" s="100" t="str">
        <f>IF(OR(Fact_Analitica[[#This Row], [Año]]="",Fact_Analitica[[#This Row], [Mes]]=""),"",DATE(A457,MATCH(B457,{"enero","febrero","marzo","abril","mayo","junio","julio","agosto","septiembre","octubre","noviembre","diciembre"},0)+1,0))</f>
        <v/>
      </c>
      <c r="E457" t="str">
        <f>+IFERROR(VLOOKUP(Fact_Analitica[[#This Row], [Concepto Anterior]],Conceptos_Analítica_contraloría[#All],5,0),"")</f>
        <v/>
      </c>
      <c r="F457" t="str">
        <f>+IFERROR(VLOOKUP(Fact_Analitica[[#This Row], [Concepto Anterior]],Conceptos_Analítica_contraloría[#All],7,0),"")</f>
        <v/>
      </c>
      <c r="I457" t="str">
        <f>+IFERROR(VLOOKUP(D457,Conceptos_Analítica_contraloría[#All],2,0),"")</f>
        <v/>
      </c>
      <c r="J457" s="84" t="str">
        <f>+IFERROR(VLOOKUP(D457,Conceptos_Analítica_contraloría[#All],3,0),"")</f>
        <v/>
      </c>
    </row>
    <row r="458" spans="3:10" ht="18.75" customHeight="1" x14ac:dyDescent="0.35">
      <c r="C458" s="100" t="str">
        <f>IF(OR(Fact_Analitica[[#This Row], [Año]]="",Fact_Analitica[[#This Row], [Mes]]=""),"",DATE(A458,MATCH(B458,{"enero","febrero","marzo","abril","mayo","junio","julio","agosto","septiembre","octubre","noviembre","diciembre"},0)+1,0))</f>
        <v/>
      </c>
      <c r="E458" t="str">
        <f>+IFERROR(VLOOKUP(Fact_Analitica[[#This Row], [Concepto Anterior]],Conceptos_Analítica_contraloría[#All],5,0),"")</f>
        <v/>
      </c>
      <c r="F458" t="str">
        <f>+IFERROR(VLOOKUP(Fact_Analitica[[#This Row], [Concepto Anterior]],Conceptos_Analítica_contraloría[#All],7,0),"")</f>
        <v/>
      </c>
      <c r="I458" t="str">
        <f>+IFERROR(VLOOKUP(D458,Conceptos_Analítica_contraloría[#All],2,0),"")</f>
        <v/>
      </c>
      <c r="J458" s="84" t="str">
        <f>+IFERROR(VLOOKUP(D458,Conceptos_Analítica_contraloría[#All],3,0),"")</f>
        <v/>
      </c>
    </row>
    <row r="459" spans="3:10" ht="18.75" customHeight="1" x14ac:dyDescent="0.35">
      <c r="C459" s="100" t="str">
        <f>IF(OR(Fact_Analitica[[#This Row], [Año]]="",Fact_Analitica[[#This Row], [Mes]]=""),"",DATE(A459,MATCH(B459,{"enero","febrero","marzo","abril","mayo","junio","julio","agosto","septiembre","octubre","noviembre","diciembre"},0)+1,0))</f>
        <v/>
      </c>
      <c r="E459" t="str">
        <f>+IFERROR(VLOOKUP(Fact_Analitica[[#This Row], [Concepto Anterior]],Conceptos_Analítica_contraloría[#All],5,0),"")</f>
        <v/>
      </c>
      <c r="F459" t="str">
        <f>+IFERROR(VLOOKUP(Fact_Analitica[[#This Row], [Concepto Anterior]],Conceptos_Analítica_contraloría[#All],7,0),"")</f>
        <v/>
      </c>
      <c r="I459" t="str">
        <f>+IFERROR(VLOOKUP(D459,Conceptos_Analítica_contraloría[#All],2,0),"")</f>
        <v/>
      </c>
      <c r="J459" s="84" t="str">
        <f>+IFERROR(VLOOKUP(D459,Conceptos_Analítica_contraloría[#All],3,0),"")</f>
        <v/>
      </c>
    </row>
    <row r="460" spans="3:10" ht="18.75" customHeight="1" x14ac:dyDescent="0.35">
      <c r="C460" s="100" t="str">
        <f>IF(OR(Fact_Analitica[[#This Row], [Año]]="",Fact_Analitica[[#This Row], [Mes]]=""),"",DATE(A460,MATCH(B460,{"enero","febrero","marzo","abril","mayo","junio","julio","agosto","septiembre","octubre","noviembre","diciembre"},0)+1,0))</f>
        <v/>
      </c>
      <c r="E460" t="str">
        <f>+IFERROR(VLOOKUP(Fact_Analitica[[#This Row], [Concepto Anterior]],Conceptos_Analítica_contraloría[#All],5,0),"")</f>
        <v/>
      </c>
      <c r="F460" t="str">
        <f>+IFERROR(VLOOKUP(Fact_Analitica[[#This Row], [Concepto Anterior]],Conceptos_Analítica_contraloría[#All],7,0),"")</f>
        <v/>
      </c>
      <c r="I460" t="str">
        <f>+IFERROR(VLOOKUP(D460,Conceptos_Analítica_contraloría[#All],2,0),"")</f>
        <v/>
      </c>
      <c r="J460" s="84" t="str">
        <f>+IFERROR(VLOOKUP(D460,Conceptos_Analítica_contraloría[#All],3,0),"")</f>
        <v/>
      </c>
    </row>
    <row r="461" spans="3:10" ht="18.75" customHeight="1" x14ac:dyDescent="0.35">
      <c r="C461" s="100" t="str">
        <f>IF(OR(Fact_Analitica[[#This Row], [Año]]="",Fact_Analitica[[#This Row], [Mes]]=""),"",DATE(A461,MATCH(B461,{"enero","febrero","marzo","abril","mayo","junio","julio","agosto","septiembre","octubre","noviembre","diciembre"},0)+1,0))</f>
        <v/>
      </c>
      <c r="E461" t="str">
        <f>+IFERROR(VLOOKUP(Fact_Analitica[[#This Row], [Concepto Anterior]],Conceptos_Analítica_contraloría[#All],5,0),"")</f>
        <v/>
      </c>
      <c r="F461" t="str">
        <f>+IFERROR(VLOOKUP(Fact_Analitica[[#This Row], [Concepto Anterior]],Conceptos_Analítica_contraloría[#All],7,0),"")</f>
        <v/>
      </c>
      <c r="I461" t="str">
        <f>+IFERROR(VLOOKUP(D461,Conceptos_Analítica_contraloría[#All],2,0),"")</f>
        <v/>
      </c>
      <c r="J461" s="84" t="str">
        <f>+IFERROR(VLOOKUP(D461,Conceptos_Analítica_contraloría[#All],3,0),"")</f>
        <v/>
      </c>
    </row>
    <row r="462" spans="3:10" ht="18.75" customHeight="1" x14ac:dyDescent="0.35">
      <c r="C462" s="100" t="str">
        <f>IF(OR(Fact_Analitica[[#This Row], [Año]]="",Fact_Analitica[[#This Row], [Mes]]=""),"",DATE(A462,MATCH(B462,{"enero","febrero","marzo","abril","mayo","junio","julio","agosto","septiembre","octubre","noviembre","diciembre"},0)+1,0))</f>
        <v/>
      </c>
      <c r="E462" t="str">
        <f>+IFERROR(VLOOKUP(Fact_Analitica[[#This Row], [Concepto Anterior]],Conceptos_Analítica_contraloría[#All],5,0),"")</f>
        <v/>
      </c>
      <c r="F462" t="str">
        <f>+IFERROR(VLOOKUP(Fact_Analitica[[#This Row], [Concepto Anterior]],Conceptos_Analítica_contraloría[#All],7,0),"")</f>
        <v/>
      </c>
      <c r="I462" t="str">
        <f>+IFERROR(VLOOKUP(D462,Conceptos_Analítica_contraloría[#All],2,0),"")</f>
        <v/>
      </c>
      <c r="J462" s="84" t="str">
        <f>+IFERROR(VLOOKUP(D462,Conceptos_Analítica_contraloría[#All],3,0),"")</f>
        <v/>
      </c>
    </row>
    <row r="463" spans="3:10" ht="18.75" customHeight="1" x14ac:dyDescent="0.35">
      <c r="C463" s="100" t="str">
        <f>IF(OR(Fact_Analitica[[#This Row], [Año]]="",Fact_Analitica[[#This Row], [Mes]]=""),"",DATE(A463,MATCH(B463,{"enero","febrero","marzo","abril","mayo","junio","julio","agosto","septiembre","octubre","noviembre","diciembre"},0)+1,0))</f>
        <v/>
      </c>
      <c r="E463" t="str">
        <f>+IFERROR(VLOOKUP(Fact_Analitica[[#This Row], [Concepto Anterior]],Conceptos_Analítica_contraloría[#All],5,0),"")</f>
        <v/>
      </c>
      <c r="F463" t="str">
        <f>+IFERROR(VLOOKUP(Fact_Analitica[[#This Row], [Concepto Anterior]],Conceptos_Analítica_contraloría[#All],7,0),"")</f>
        <v/>
      </c>
      <c r="I463" t="str">
        <f>+IFERROR(VLOOKUP(D463,Conceptos_Analítica_contraloría[#All],2,0),"")</f>
        <v/>
      </c>
      <c r="J463" s="84" t="str">
        <f>+IFERROR(VLOOKUP(D463,Conceptos_Analítica_contraloría[#All],3,0),"")</f>
        <v/>
      </c>
    </row>
    <row r="464" spans="3:10" ht="18.75" customHeight="1" x14ac:dyDescent="0.35">
      <c r="C464" s="100" t="str">
        <f>IF(OR(Fact_Analitica[[#This Row], [Año]]="",Fact_Analitica[[#This Row], [Mes]]=""),"",DATE(A464,MATCH(B464,{"enero","febrero","marzo","abril","mayo","junio","julio","agosto","septiembre","octubre","noviembre","diciembre"},0)+1,0))</f>
        <v/>
      </c>
      <c r="E464" t="str">
        <f>+IFERROR(VLOOKUP(Fact_Analitica[[#This Row], [Concepto Anterior]],Conceptos_Analítica_contraloría[#All],5,0),"")</f>
        <v/>
      </c>
      <c r="F464" t="str">
        <f>+IFERROR(VLOOKUP(Fact_Analitica[[#This Row], [Concepto Anterior]],Conceptos_Analítica_contraloría[#All],7,0),"")</f>
        <v/>
      </c>
      <c r="I464" t="str">
        <f>+IFERROR(VLOOKUP(D464,Conceptos_Analítica_contraloría[#All],2,0),"")</f>
        <v/>
      </c>
      <c r="J464" s="84" t="str">
        <f>+IFERROR(VLOOKUP(D464,Conceptos_Analítica_contraloría[#All],3,0),"")</f>
        <v/>
      </c>
    </row>
    <row r="465" spans="3:10" ht="18.75" customHeight="1" x14ac:dyDescent="0.35">
      <c r="C465" s="100" t="str">
        <f>IF(OR(Fact_Analitica[[#This Row], [Año]]="",Fact_Analitica[[#This Row], [Mes]]=""),"",DATE(A465,MATCH(B465,{"enero","febrero","marzo","abril","mayo","junio","julio","agosto","septiembre","octubre","noviembre","diciembre"},0)+1,0))</f>
        <v/>
      </c>
      <c r="E465" t="str">
        <f>+IFERROR(VLOOKUP(Fact_Analitica[[#This Row], [Concepto Anterior]],Conceptos_Analítica_contraloría[#All],5,0),"")</f>
        <v/>
      </c>
      <c r="F465" t="str">
        <f>+IFERROR(VLOOKUP(Fact_Analitica[[#This Row], [Concepto Anterior]],Conceptos_Analítica_contraloría[#All],7,0),"")</f>
        <v/>
      </c>
      <c r="I465" t="str">
        <f>+IFERROR(VLOOKUP(D465,Conceptos_Analítica_contraloría[#All],2,0),"")</f>
        <v/>
      </c>
      <c r="J465" s="84" t="str">
        <f>+IFERROR(VLOOKUP(D465,Conceptos_Analítica_contraloría[#All],3,0),"")</f>
        <v/>
      </c>
    </row>
    <row r="466" spans="3:10" ht="18.75" customHeight="1" x14ac:dyDescent="0.35">
      <c r="C466" s="100" t="str">
        <f>IF(OR(Fact_Analitica[[#This Row], [Año]]="",Fact_Analitica[[#This Row], [Mes]]=""),"",DATE(A466,MATCH(B466,{"enero","febrero","marzo","abril","mayo","junio","julio","agosto","septiembre","octubre","noviembre","diciembre"},0)+1,0))</f>
        <v/>
      </c>
      <c r="E466" t="str">
        <f>+IFERROR(VLOOKUP(Fact_Analitica[[#This Row], [Concepto Anterior]],Conceptos_Analítica_contraloría[#All],5,0),"")</f>
        <v/>
      </c>
      <c r="F466" t="str">
        <f>+IFERROR(VLOOKUP(Fact_Analitica[[#This Row], [Concepto Anterior]],Conceptos_Analítica_contraloría[#All],7,0),"")</f>
        <v/>
      </c>
      <c r="I466" t="str">
        <f>+IFERROR(VLOOKUP(D466,Conceptos_Analítica_contraloría[#All],2,0),"")</f>
        <v/>
      </c>
      <c r="J466" s="84" t="str">
        <f>+IFERROR(VLOOKUP(D466,Conceptos_Analítica_contraloría[#All],3,0),"")</f>
        <v/>
      </c>
    </row>
    <row r="467" spans="3:10" ht="18.75" customHeight="1" x14ac:dyDescent="0.35">
      <c r="C467" s="100" t="str">
        <f>IF(OR(Fact_Analitica[[#This Row], [Año]]="",Fact_Analitica[[#This Row], [Mes]]=""),"",DATE(A467,MATCH(B467,{"enero","febrero","marzo","abril","mayo","junio","julio","agosto","septiembre","octubre","noviembre","diciembre"},0)+1,0))</f>
        <v/>
      </c>
      <c r="E467" t="str">
        <f>+IFERROR(VLOOKUP(Fact_Analitica[[#This Row], [Concepto Anterior]],Conceptos_Analítica_contraloría[#All],5,0),"")</f>
        <v/>
      </c>
      <c r="F467" t="str">
        <f>+IFERROR(VLOOKUP(Fact_Analitica[[#This Row], [Concepto Anterior]],Conceptos_Analítica_contraloría[#All],7,0),"")</f>
        <v/>
      </c>
      <c r="I467" t="str">
        <f>+IFERROR(VLOOKUP(D467,Conceptos_Analítica_contraloría[#All],2,0),"")</f>
        <v/>
      </c>
      <c r="J467" s="84" t="str">
        <f>+IFERROR(VLOOKUP(D467,Conceptos_Analítica_contraloría[#All],3,0),"")</f>
        <v/>
      </c>
    </row>
    <row r="468" spans="3:10" ht="18.75" customHeight="1" x14ac:dyDescent="0.35">
      <c r="C468" s="100" t="str">
        <f>IF(OR(Fact_Analitica[[#This Row], [Año]]="",Fact_Analitica[[#This Row], [Mes]]=""),"",DATE(A468,MATCH(B468,{"enero","febrero","marzo","abril","mayo","junio","julio","agosto","septiembre","octubre","noviembre","diciembre"},0)+1,0))</f>
        <v/>
      </c>
      <c r="E468" t="str">
        <f>+IFERROR(VLOOKUP(Fact_Analitica[[#This Row], [Concepto Anterior]],Conceptos_Analítica_contraloría[#All],5,0),"")</f>
        <v/>
      </c>
      <c r="F468" t="str">
        <f>+IFERROR(VLOOKUP(Fact_Analitica[[#This Row], [Concepto Anterior]],Conceptos_Analítica_contraloría[#All],7,0),"")</f>
        <v/>
      </c>
      <c r="I468" t="str">
        <f>+IFERROR(VLOOKUP(D468,Conceptos_Analítica_contraloría[#All],2,0),"")</f>
        <v/>
      </c>
      <c r="J468" s="84" t="str">
        <f>+IFERROR(VLOOKUP(D468,Conceptos_Analítica_contraloría[#All],3,0),"")</f>
        <v/>
      </c>
    </row>
    <row r="469" spans="3:10" ht="18.75" customHeight="1" x14ac:dyDescent="0.35">
      <c r="C469" s="100" t="str">
        <f>IF(OR(Fact_Analitica[[#This Row], [Año]]="",Fact_Analitica[[#This Row], [Mes]]=""),"",DATE(A469,MATCH(B469,{"enero","febrero","marzo","abril","mayo","junio","julio","agosto","septiembre","octubre","noviembre","diciembre"},0)+1,0))</f>
        <v/>
      </c>
      <c r="E469" t="str">
        <f>+IFERROR(VLOOKUP(Fact_Analitica[[#This Row], [Concepto Anterior]],Conceptos_Analítica_contraloría[#All],5,0),"")</f>
        <v/>
      </c>
      <c r="F469" t="str">
        <f>+IFERROR(VLOOKUP(Fact_Analitica[[#This Row], [Concepto Anterior]],Conceptos_Analítica_contraloría[#All],7,0),"")</f>
        <v/>
      </c>
      <c r="I469" t="str">
        <f>+IFERROR(VLOOKUP(D469,Conceptos_Analítica_contraloría[#All],2,0),"")</f>
        <v/>
      </c>
      <c r="J469" s="84" t="str">
        <f>+IFERROR(VLOOKUP(D469,Conceptos_Analítica_contraloría[#All],3,0),"")</f>
        <v/>
      </c>
    </row>
    <row r="470" spans="3:10" ht="18.75" customHeight="1" x14ac:dyDescent="0.35">
      <c r="C470" s="100" t="str">
        <f>IF(OR(Fact_Analitica[[#This Row], [Año]]="",Fact_Analitica[[#This Row], [Mes]]=""),"",DATE(A470,MATCH(B470,{"enero","febrero","marzo","abril","mayo","junio","julio","agosto","septiembre","octubre","noviembre","diciembre"},0)+1,0))</f>
        <v/>
      </c>
      <c r="E470" t="str">
        <f>+IFERROR(VLOOKUP(Fact_Analitica[[#This Row], [Concepto Anterior]],Conceptos_Analítica_contraloría[#All],5,0),"")</f>
        <v/>
      </c>
      <c r="F470" t="str">
        <f>+IFERROR(VLOOKUP(Fact_Analitica[[#This Row], [Concepto Anterior]],Conceptos_Analítica_contraloría[#All],7,0),"")</f>
        <v/>
      </c>
      <c r="I470" t="str">
        <f>+IFERROR(VLOOKUP(D470,Conceptos_Analítica_contraloría[#All],2,0),"")</f>
        <v/>
      </c>
      <c r="J470" s="84" t="str">
        <f>+IFERROR(VLOOKUP(D470,Conceptos_Analítica_contraloría[#All],3,0),"")</f>
        <v/>
      </c>
    </row>
    <row r="471" spans="3:10" ht="18.75" customHeight="1" x14ac:dyDescent="0.35">
      <c r="C471" s="100" t="str">
        <f>IF(OR(Fact_Analitica[[#This Row], [Año]]="",Fact_Analitica[[#This Row], [Mes]]=""),"",DATE(A471,MATCH(B471,{"enero","febrero","marzo","abril","mayo","junio","julio","agosto","septiembre","octubre","noviembre","diciembre"},0)+1,0))</f>
        <v/>
      </c>
      <c r="E471" t="str">
        <f>+IFERROR(VLOOKUP(Fact_Analitica[[#This Row], [Concepto Anterior]],Conceptos_Analítica_contraloría[#All],5,0),"")</f>
        <v/>
      </c>
      <c r="F471" t="str">
        <f>+IFERROR(VLOOKUP(Fact_Analitica[[#This Row], [Concepto Anterior]],Conceptos_Analítica_contraloría[#All],7,0),"")</f>
        <v/>
      </c>
      <c r="I471" t="str">
        <f>+IFERROR(VLOOKUP(D471,Conceptos_Analítica_contraloría[#All],2,0),"")</f>
        <v/>
      </c>
      <c r="J471" s="84" t="str">
        <f>+IFERROR(VLOOKUP(D471,Conceptos_Analítica_contraloría[#All],3,0),"")</f>
        <v/>
      </c>
    </row>
    <row r="472" spans="3:10" ht="18.75" customHeight="1" x14ac:dyDescent="0.35">
      <c r="C472" s="100" t="str">
        <f>IF(OR(Fact_Analitica[[#This Row], [Año]]="",Fact_Analitica[[#This Row], [Mes]]=""),"",DATE(A472,MATCH(B472,{"enero","febrero","marzo","abril","mayo","junio","julio","agosto","septiembre","octubre","noviembre","diciembre"},0)+1,0))</f>
        <v/>
      </c>
      <c r="E472" t="str">
        <f>+IFERROR(VLOOKUP(Fact_Analitica[[#This Row], [Concepto Anterior]],Conceptos_Analítica_contraloría[#All],5,0),"")</f>
        <v/>
      </c>
      <c r="F472" t="str">
        <f>+IFERROR(VLOOKUP(Fact_Analitica[[#This Row], [Concepto Anterior]],Conceptos_Analítica_contraloría[#All],7,0),"")</f>
        <v/>
      </c>
      <c r="I472" t="str">
        <f>+IFERROR(VLOOKUP(D472,Conceptos_Analítica_contraloría[#All],2,0),"")</f>
        <v/>
      </c>
      <c r="J472" s="84" t="str">
        <f>+IFERROR(VLOOKUP(D472,Conceptos_Analítica_contraloría[#All],3,0),"")</f>
        <v/>
      </c>
    </row>
    <row r="473" spans="3:10" ht="18.75" customHeight="1" x14ac:dyDescent="0.35">
      <c r="C473" s="100" t="str">
        <f>IF(OR(Fact_Analitica[[#This Row], [Año]]="",Fact_Analitica[[#This Row], [Mes]]=""),"",DATE(A473,MATCH(B473,{"enero","febrero","marzo","abril","mayo","junio","julio","agosto","septiembre","octubre","noviembre","diciembre"},0)+1,0))</f>
        <v/>
      </c>
      <c r="E473" t="str">
        <f>+IFERROR(VLOOKUP(Fact_Analitica[[#This Row], [Concepto Anterior]],Conceptos_Analítica_contraloría[#All],5,0),"")</f>
        <v/>
      </c>
      <c r="F473" t="str">
        <f>+IFERROR(VLOOKUP(Fact_Analitica[[#This Row], [Concepto Anterior]],Conceptos_Analítica_contraloría[#All],7,0),"")</f>
        <v/>
      </c>
      <c r="I473" t="str">
        <f>+IFERROR(VLOOKUP(D473,Conceptos_Analítica_contraloría[#All],2,0),"")</f>
        <v/>
      </c>
      <c r="J473" s="84" t="str">
        <f>+IFERROR(VLOOKUP(D473,Conceptos_Analítica_contraloría[#All],3,0),"")</f>
        <v/>
      </c>
    </row>
    <row r="474" spans="3:10" ht="18.75" customHeight="1" x14ac:dyDescent="0.35">
      <c r="C474" s="100" t="str">
        <f>IF(OR(Fact_Analitica[[#This Row], [Año]]="",Fact_Analitica[[#This Row], [Mes]]=""),"",DATE(A474,MATCH(B474,{"enero","febrero","marzo","abril","mayo","junio","julio","agosto","septiembre","octubre","noviembre","diciembre"},0)+1,0))</f>
        <v/>
      </c>
      <c r="E474" t="str">
        <f>+IFERROR(VLOOKUP(Fact_Analitica[[#This Row], [Concepto Anterior]],Conceptos_Analítica_contraloría[#All],5,0),"")</f>
        <v/>
      </c>
      <c r="F474" t="str">
        <f>+IFERROR(VLOOKUP(Fact_Analitica[[#This Row], [Concepto Anterior]],Conceptos_Analítica_contraloría[#All],7,0),"")</f>
        <v/>
      </c>
      <c r="I474" t="str">
        <f>+IFERROR(VLOOKUP(D474,Conceptos_Analítica_contraloría[#All],2,0),"")</f>
        <v/>
      </c>
      <c r="J474" s="84" t="str">
        <f>+IFERROR(VLOOKUP(D474,Conceptos_Analítica_contraloría[#All],3,0),"")</f>
        <v/>
      </c>
    </row>
    <row r="475" spans="3:10" ht="18.75" customHeight="1" x14ac:dyDescent="0.35">
      <c r="C475" s="100" t="str">
        <f>IF(OR(Fact_Analitica[[#This Row], [Año]]="",Fact_Analitica[[#This Row], [Mes]]=""),"",DATE(A475,MATCH(B475,{"enero","febrero","marzo","abril","mayo","junio","julio","agosto","septiembre","octubre","noviembre","diciembre"},0)+1,0))</f>
        <v/>
      </c>
      <c r="E475" t="str">
        <f>+IFERROR(VLOOKUP(Fact_Analitica[[#This Row], [Concepto Anterior]],Conceptos_Analítica_contraloría[#All],5,0),"")</f>
        <v/>
      </c>
      <c r="F475" t="str">
        <f>+IFERROR(VLOOKUP(Fact_Analitica[[#This Row], [Concepto Anterior]],Conceptos_Analítica_contraloría[#All],7,0),"")</f>
        <v/>
      </c>
      <c r="I475" t="str">
        <f>+IFERROR(VLOOKUP(D475,Conceptos_Analítica_contraloría[#All],2,0),"")</f>
        <v/>
      </c>
      <c r="J475" s="84" t="str">
        <f>+IFERROR(VLOOKUP(D475,Conceptos_Analítica_contraloría[#All],3,0),"")</f>
        <v/>
      </c>
    </row>
    <row r="476" spans="3:10" ht="18.75" customHeight="1" x14ac:dyDescent="0.35">
      <c r="C476" s="100" t="str">
        <f>IF(OR(Fact_Analitica[[#This Row], [Año]]="",Fact_Analitica[[#This Row], [Mes]]=""),"",DATE(A476,MATCH(B476,{"enero","febrero","marzo","abril","mayo","junio","julio","agosto","septiembre","octubre","noviembre","diciembre"},0)+1,0))</f>
        <v/>
      </c>
      <c r="E476" t="str">
        <f>+IFERROR(VLOOKUP(Fact_Analitica[[#This Row], [Concepto Anterior]],Conceptos_Analítica_contraloría[#All],5,0),"")</f>
        <v/>
      </c>
      <c r="F476" t="str">
        <f>+IFERROR(VLOOKUP(Fact_Analitica[[#This Row], [Concepto Anterior]],Conceptos_Analítica_contraloría[#All],7,0),"")</f>
        <v/>
      </c>
      <c r="I476" t="str">
        <f>+IFERROR(VLOOKUP(D476,Conceptos_Analítica_contraloría[#All],2,0),"")</f>
        <v/>
      </c>
      <c r="J476" s="84" t="str">
        <f>+IFERROR(VLOOKUP(D476,Conceptos_Analítica_contraloría[#All],3,0),"")</f>
        <v/>
      </c>
    </row>
    <row r="477" spans="3:10" ht="18.75" customHeight="1" x14ac:dyDescent="0.35">
      <c r="C477" s="100" t="str">
        <f>IF(OR(Fact_Analitica[[#This Row], [Año]]="",Fact_Analitica[[#This Row], [Mes]]=""),"",DATE(A477,MATCH(B477,{"enero","febrero","marzo","abril","mayo","junio","julio","agosto","septiembre","octubre","noviembre","diciembre"},0)+1,0))</f>
        <v/>
      </c>
      <c r="E477" t="str">
        <f>+IFERROR(VLOOKUP(Fact_Analitica[[#This Row], [Concepto Anterior]],Conceptos_Analítica_contraloría[#All],5,0),"")</f>
        <v/>
      </c>
      <c r="F477" t="str">
        <f>+IFERROR(VLOOKUP(Fact_Analitica[[#This Row], [Concepto Anterior]],Conceptos_Analítica_contraloría[#All],7,0),"")</f>
        <v/>
      </c>
      <c r="I477" t="str">
        <f>+IFERROR(VLOOKUP(D477,Conceptos_Analítica_contraloría[#All],2,0),"")</f>
        <v/>
      </c>
      <c r="J477" s="84" t="str">
        <f>+IFERROR(VLOOKUP(D477,Conceptos_Analítica_contraloría[#All],3,0),"")</f>
        <v/>
      </c>
    </row>
    <row r="478" spans="3:10" ht="18.75" customHeight="1" x14ac:dyDescent="0.35">
      <c r="C478" s="100" t="str">
        <f>IF(OR(Fact_Analitica[[#This Row], [Año]]="",Fact_Analitica[[#This Row], [Mes]]=""),"",DATE(A478,MATCH(B478,{"enero","febrero","marzo","abril","mayo","junio","julio","agosto","septiembre","octubre","noviembre","diciembre"},0)+1,0))</f>
        <v/>
      </c>
      <c r="E478" t="str">
        <f>+IFERROR(VLOOKUP(Fact_Analitica[[#This Row], [Concepto Anterior]],Conceptos_Analítica_contraloría[#All],5,0),"")</f>
        <v/>
      </c>
      <c r="F478" t="str">
        <f>+IFERROR(VLOOKUP(Fact_Analitica[[#This Row], [Concepto Anterior]],Conceptos_Analítica_contraloría[#All],7,0),"")</f>
        <v/>
      </c>
      <c r="I478" t="str">
        <f>+IFERROR(VLOOKUP(D478,Conceptos_Analítica_contraloría[#All],2,0),"")</f>
        <v/>
      </c>
      <c r="J478" s="84" t="str">
        <f>+IFERROR(VLOOKUP(D478,Conceptos_Analítica_contraloría[#All],3,0),"")</f>
        <v/>
      </c>
    </row>
    <row r="479" spans="3:10" ht="18.75" customHeight="1" x14ac:dyDescent="0.35">
      <c r="C479" s="100" t="str">
        <f>IF(OR(Fact_Analitica[[#This Row], [Año]]="",Fact_Analitica[[#This Row], [Mes]]=""),"",DATE(A479,MATCH(B479,{"enero","febrero","marzo","abril","mayo","junio","julio","agosto","septiembre","octubre","noviembre","diciembre"},0)+1,0))</f>
        <v/>
      </c>
      <c r="E479" t="str">
        <f>+IFERROR(VLOOKUP(Fact_Analitica[[#This Row], [Concepto Anterior]],Conceptos_Analítica_contraloría[#All],5,0),"")</f>
        <v/>
      </c>
      <c r="F479" t="str">
        <f>+IFERROR(VLOOKUP(Fact_Analitica[[#This Row], [Concepto Anterior]],Conceptos_Analítica_contraloría[#All],7,0),"")</f>
        <v/>
      </c>
      <c r="I479" t="str">
        <f>+IFERROR(VLOOKUP(D479,Conceptos_Analítica_contraloría[#All],2,0),"")</f>
        <v/>
      </c>
      <c r="J479" s="84" t="str">
        <f>+IFERROR(VLOOKUP(D479,Conceptos_Analítica_contraloría[#All],3,0),"")</f>
        <v/>
      </c>
    </row>
    <row r="480" spans="3:10" ht="18.75" customHeight="1" x14ac:dyDescent="0.35">
      <c r="C480" s="100" t="str">
        <f>IF(OR(Fact_Analitica[[#This Row], [Año]]="",Fact_Analitica[[#This Row], [Mes]]=""),"",DATE(A480,MATCH(B480,{"enero","febrero","marzo","abril","mayo","junio","julio","agosto","septiembre","octubre","noviembre","diciembre"},0)+1,0))</f>
        <v/>
      </c>
      <c r="E480" t="str">
        <f>+IFERROR(VLOOKUP(Fact_Analitica[[#This Row], [Concepto Anterior]],Conceptos_Analítica_contraloría[#All],5,0),"")</f>
        <v/>
      </c>
      <c r="F480" t="str">
        <f>+IFERROR(VLOOKUP(Fact_Analitica[[#This Row], [Concepto Anterior]],Conceptos_Analítica_contraloría[#All],7,0),"")</f>
        <v/>
      </c>
      <c r="I480" t="str">
        <f>+IFERROR(VLOOKUP(D480,Conceptos_Analítica_contraloría[#All],2,0),"")</f>
        <v/>
      </c>
      <c r="J480" s="84" t="str">
        <f>+IFERROR(VLOOKUP(D480,Conceptos_Analítica_contraloría[#All],3,0),"")</f>
        <v/>
      </c>
    </row>
    <row r="481" spans="3:10" ht="18.75" customHeight="1" x14ac:dyDescent="0.35">
      <c r="C481" s="100" t="str">
        <f>IF(OR(Fact_Analitica[[#This Row], [Año]]="",Fact_Analitica[[#This Row], [Mes]]=""),"",DATE(A481,MATCH(B481,{"enero","febrero","marzo","abril","mayo","junio","julio","agosto","septiembre","octubre","noviembre","diciembre"},0)+1,0))</f>
        <v/>
      </c>
      <c r="E481" t="str">
        <f>+IFERROR(VLOOKUP(Fact_Analitica[[#This Row], [Concepto Anterior]],Conceptos_Analítica_contraloría[#All],5,0),"")</f>
        <v/>
      </c>
      <c r="F481" t="str">
        <f>+IFERROR(VLOOKUP(Fact_Analitica[[#This Row], [Concepto Anterior]],Conceptos_Analítica_contraloría[#All],7,0),"")</f>
        <v/>
      </c>
      <c r="I481" t="str">
        <f>+IFERROR(VLOOKUP(D481,Conceptos_Analítica_contraloría[#All],2,0),"")</f>
        <v/>
      </c>
      <c r="J481" s="84" t="str">
        <f>+IFERROR(VLOOKUP(D481,Conceptos_Analítica_contraloría[#All],3,0),"")</f>
        <v/>
      </c>
    </row>
    <row r="482" spans="3:10" ht="18.75" customHeight="1" x14ac:dyDescent="0.35">
      <c r="C482" s="100" t="str">
        <f>IF(OR(Fact_Analitica[[#This Row], [Año]]="",Fact_Analitica[[#This Row], [Mes]]=""),"",DATE(A482,MATCH(B482,{"enero","febrero","marzo","abril","mayo","junio","julio","agosto","septiembre","octubre","noviembre","diciembre"},0)+1,0))</f>
        <v/>
      </c>
      <c r="E482" t="str">
        <f>+IFERROR(VLOOKUP(Fact_Analitica[[#This Row], [Concepto Anterior]],Conceptos_Analítica_contraloría[#All],5,0),"")</f>
        <v/>
      </c>
      <c r="F482" t="str">
        <f>+IFERROR(VLOOKUP(Fact_Analitica[[#This Row], [Concepto Anterior]],Conceptos_Analítica_contraloría[#All],7,0),"")</f>
        <v/>
      </c>
      <c r="I482" t="str">
        <f>+IFERROR(VLOOKUP(D482,Conceptos_Analítica_contraloría[#All],2,0),"")</f>
        <v/>
      </c>
      <c r="J482" s="84" t="str">
        <f>+IFERROR(VLOOKUP(D482,Conceptos_Analítica_contraloría[#All],3,0),"")</f>
        <v/>
      </c>
    </row>
    <row r="483" spans="3:10" ht="18.75" customHeight="1" x14ac:dyDescent="0.35">
      <c r="C483" s="100" t="str">
        <f>IF(OR(Fact_Analitica[[#This Row], [Año]]="",Fact_Analitica[[#This Row], [Mes]]=""),"",DATE(A483,MATCH(B483,{"enero","febrero","marzo","abril","mayo","junio","julio","agosto","septiembre","octubre","noviembre","diciembre"},0)+1,0))</f>
        <v/>
      </c>
      <c r="E483" t="str">
        <f>+IFERROR(VLOOKUP(Fact_Analitica[[#This Row], [Concepto Anterior]],Conceptos_Analítica_contraloría[#All],5,0),"")</f>
        <v/>
      </c>
      <c r="F483" t="str">
        <f>+IFERROR(VLOOKUP(Fact_Analitica[[#This Row], [Concepto Anterior]],Conceptos_Analítica_contraloría[#All],7,0),"")</f>
        <v/>
      </c>
      <c r="I483" t="str">
        <f>+IFERROR(VLOOKUP(D483,Conceptos_Analítica_contraloría[#All],2,0),"")</f>
        <v/>
      </c>
      <c r="J483" s="84" t="str">
        <f>+IFERROR(VLOOKUP(D483,Conceptos_Analítica_contraloría[#All],3,0),"")</f>
        <v/>
      </c>
    </row>
    <row r="484" spans="3:10" ht="18.75" customHeight="1" x14ac:dyDescent="0.35">
      <c r="C484" s="100" t="str">
        <f>IF(OR(Fact_Analitica[[#This Row], [Año]]="",Fact_Analitica[[#This Row], [Mes]]=""),"",DATE(A484,MATCH(B484,{"enero","febrero","marzo","abril","mayo","junio","julio","agosto","septiembre","octubre","noviembre","diciembre"},0)+1,0))</f>
        <v/>
      </c>
      <c r="E484" t="str">
        <f>+IFERROR(VLOOKUP(Fact_Analitica[[#This Row], [Concepto Anterior]],Conceptos_Analítica_contraloría[#All],5,0),"")</f>
        <v/>
      </c>
      <c r="F484" t="str">
        <f>+IFERROR(VLOOKUP(Fact_Analitica[[#This Row], [Concepto Anterior]],Conceptos_Analítica_contraloría[#All],7,0),"")</f>
        <v/>
      </c>
      <c r="I484" t="str">
        <f>+IFERROR(VLOOKUP(D484,Conceptos_Analítica_contraloría[#All],2,0),"")</f>
        <v/>
      </c>
      <c r="J484" s="84" t="str">
        <f>+IFERROR(VLOOKUP(D484,Conceptos_Analítica_contraloría[#All],3,0),"")</f>
        <v/>
      </c>
    </row>
    <row r="485" spans="3:10" ht="18.75" customHeight="1" x14ac:dyDescent="0.35">
      <c r="C485" s="100" t="str">
        <f>IF(OR(Fact_Analitica[[#This Row], [Año]]="",Fact_Analitica[[#This Row], [Mes]]=""),"",DATE(A485,MATCH(B485,{"enero","febrero","marzo","abril","mayo","junio","julio","agosto","septiembre","octubre","noviembre","diciembre"},0)+1,0))</f>
        <v/>
      </c>
      <c r="E485" t="str">
        <f>+IFERROR(VLOOKUP(Fact_Analitica[[#This Row], [Concepto Anterior]],Conceptos_Analítica_contraloría[#All],5,0),"")</f>
        <v/>
      </c>
      <c r="F485" t="str">
        <f>+IFERROR(VLOOKUP(Fact_Analitica[[#This Row], [Concepto Anterior]],Conceptos_Analítica_contraloría[#All],7,0),"")</f>
        <v/>
      </c>
      <c r="I485" t="str">
        <f>+IFERROR(VLOOKUP(D485,Conceptos_Analítica_contraloría[#All],2,0),"")</f>
        <v/>
      </c>
      <c r="J485" s="84" t="str">
        <f>+IFERROR(VLOOKUP(D485,Conceptos_Analítica_contraloría[#All],3,0),"")</f>
        <v/>
      </c>
    </row>
    <row r="486" spans="3:10" ht="18.75" customHeight="1" x14ac:dyDescent="0.35">
      <c r="C486" s="100" t="str">
        <f>IF(OR(Fact_Analitica[[#This Row], [Año]]="",Fact_Analitica[[#This Row], [Mes]]=""),"",DATE(A486,MATCH(B486,{"enero","febrero","marzo","abril","mayo","junio","julio","agosto","septiembre","octubre","noviembre","diciembre"},0)+1,0))</f>
        <v/>
      </c>
      <c r="E486" t="str">
        <f>+IFERROR(VLOOKUP(Fact_Analitica[[#This Row], [Concepto Anterior]],Conceptos_Analítica_contraloría[#All],5,0),"")</f>
        <v/>
      </c>
      <c r="F486" t="str">
        <f>+IFERROR(VLOOKUP(Fact_Analitica[[#This Row], [Concepto Anterior]],Conceptos_Analítica_contraloría[#All],7,0),"")</f>
        <v/>
      </c>
      <c r="I486" t="str">
        <f>+IFERROR(VLOOKUP(D486,Conceptos_Analítica_contraloría[#All],2,0),"")</f>
        <v/>
      </c>
      <c r="J486" s="84" t="str">
        <f>+IFERROR(VLOOKUP(D486,Conceptos_Analítica_contraloría[#All],3,0),"")</f>
        <v/>
      </c>
    </row>
    <row r="487" spans="3:10" ht="18.75" customHeight="1" x14ac:dyDescent="0.35">
      <c r="C487" s="100" t="str">
        <f>IF(OR(Fact_Analitica[[#This Row], [Año]]="",Fact_Analitica[[#This Row], [Mes]]=""),"",DATE(A487,MATCH(B487,{"enero","febrero","marzo","abril","mayo","junio","julio","agosto","septiembre","octubre","noviembre","diciembre"},0)+1,0))</f>
        <v/>
      </c>
      <c r="E487" t="str">
        <f>+IFERROR(VLOOKUP(Fact_Analitica[[#This Row], [Concepto Anterior]],Conceptos_Analítica_contraloría[#All],5,0),"")</f>
        <v/>
      </c>
      <c r="F487" t="str">
        <f>+IFERROR(VLOOKUP(Fact_Analitica[[#This Row], [Concepto Anterior]],Conceptos_Analítica_contraloría[#All],7,0),"")</f>
        <v/>
      </c>
      <c r="I487" t="str">
        <f>+IFERROR(VLOOKUP(D487,Conceptos_Analítica_contraloría[#All],2,0),"")</f>
        <v/>
      </c>
      <c r="J487" s="84" t="str">
        <f>+IFERROR(VLOOKUP(D487,Conceptos_Analítica_contraloría[#All],3,0),"")</f>
        <v/>
      </c>
    </row>
    <row r="488" spans="3:10" ht="18.75" customHeight="1" x14ac:dyDescent="0.35">
      <c r="C488" s="100" t="str">
        <f>IF(OR(Fact_Analitica[[#This Row], [Año]]="",Fact_Analitica[[#This Row], [Mes]]=""),"",DATE(A488,MATCH(B488,{"enero","febrero","marzo","abril","mayo","junio","julio","agosto","septiembre","octubre","noviembre","diciembre"},0)+1,0))</f>
        <v/>
      </c>
      <c r="E488" t="str">
        <f>+IFERROR(VLOOKUP(Fact_Analitica[[#This Row], [Concepto Anterior]],Conceptos_Analítica_contraloría[#All],5,0),"")</f>
        <v/>
      </c>
      <c r="F488" t="str">
        <f>+IFERROR(VLOOKUP(Fact_Analitica[[#This Row], [Concepto Anterior]],Conceptos_Analítica_contraloría[#All],7,0),"")</f>
        <v/>
      </c>
      <c r="I488" t="str">
        <f>+IFERROR(VLOOKUP(D488,Conceptos_Analítica_contraloría[#All],2,0),"")</f>
        <v/>
      </c>
      <c r="J488" s="84" t="str">
        <f>+IFERROR(VLOOKUP(D488,Conceptos_Analítica_contraloría[#All],3,0),"")</f>
        <v/>
      </c>
    </row>
    <row r="489" spans="3:10" ht="18.75" customHeight="1" x14ac:dyDescent="0.35">
      <c r="C489" s="100" t="str">
        <f>IF(OR(Fact_Analitica[[#This Row], [Año]]="",Fact_Analitica[[#This Row], [Mes]]=""),"",DATE(A489,MATCH(B489,{"enero","febrero","marzo","abril","mayo","junio","julio","agosto","septiembre","octubre","noviembre","diciembre"},0)+1,0))</f>
        <v/>
      </c>
      <c r="E489" t="str">
        <f>+IFERROR(VLOOKUP(Fact_Analitica[[#This Row], [Concepto Anterior]],Conceptos_Analítica_contraloría[#All],5,0),"")</f>
        <v/>
      </c>
      <c r="F489" t="str">
        <f>+IFERROR(VLOOKUP(Fact_Analitica[[#This Row], [Concepto Anterior]],Conceptos_Analítica_contraloría[#All],7,0),"")</f>
        <v/>
      </c>
      <c r="I489" t="str">
        <f>+IFERROR(VLOOKUP(D489,Conceptos_Analítica_contraloría[#All],2,0),"")</f>
        <v/>
      </c>
      <c r="J489" s="84" t="str">
        <f>+IFERROR(VLOOKUP(D489,Conceptos_Analítica_contraloría[#All],3,0),"")</f>
        <v/>
      </c>
    </row>
    <row r="490" spans="3:10" ht="18.75" customHeight="1" x14ac:dyDescent="0.35">
      <c r="C490" s="100" t="str">
        <f>IF(OR(Fact_Analitica[[#This Row], [Año]]="",Fact_Analitica[[#This Row], [Mes]]=""),"",DATE(A490,MATCH(B490,{"enero","febrero","marzo","abril","mayo","junio","julio","agosto","septiembre","octubre","noviembre","diciembre"},0)+1,0))</f>
        <v/>
      </c>
      <c r="E490" t="str">
        <f>+IFERROR(VLOOKUP(Fact_Analitica[[#This Row], [Concepto Anterior]],Conceptos_Analítica_contraloría[#All],5,0),"")</f>
        <v/>
      </c>
      <c r="F490" t="str">
        <f>+IFERROR(VLOOKUP(Fact_Analitica[[#This Row], [Concepto Anterior]],Conceptos_Analítica_contraloría[#All],7,0),"")</f>
        <v/>
      </c>
      <c r="I490" t="str">
        <f>+IFERROR(VLOOKUP(D490,Conceptos_Analítica_contraloría[#All],2,0),"")</f>
        <v/>
      </c>
      <c r="J490" s="84" t="str">
        <f>+IFERROR(VLOOKUP(D490,Conceptos_Analítica_contraloría[#All],3,0),"")</f>
        <v/>
      </c>
    </row>
    <row r="491" spans="3:10" ht="18.75" customHeight="1" x14ac:dyDescent="0.35">
      <c r="C491" s="100" t="str">
        <f>IF(OR(Fact_Analitica[[#This Row], [Año]]="",Fact_Analitica[[#This Row], [Mes]]=""),"",DATE(A491,MATCH(B491,{"enero","febrero","marzo","abril","mayo","junio","julio","agosto","septiembre","octubre","noviembre","diciembre"},0)+1,0))</f>
        <v/>
      </c>
      <c r="E491" t="str">
        <f>+IFERROR(VLOOKUP(Fact_Analitica[[#This Row], [Concepto Anterior]],Conceptos_Analítica_contraloría[#All],5,0),"")</f>
        <v/>
      </c>
      <c r="F491" t="str">
        <f>+IFERROR(VLOOKUP(Fact_Analitica[[#This Row], [Concepto Anterior]],Conceptos_Analítica_contraloría[#All],7,0),"")</f>
        <v/>
      </c>
      <c r="I491" t="str">
        <f>+IFERROR(VLOOKUP(D491,Conceptos_Analítica_contraloría[#All],2,0),"")</f>
        <v/>
      </c>
      <c r="J491" s="84" t="str">
        <f>+IFERROR(VLOOKUP(D491,Conceptos_Analítica_contraloría[#All],3,0),"")</f>
        <v/>
      </c>
    </row>
    <row r="492" spans="3:10" ht="18.75" customHeight="1" x14ac:dyDescent="0.35">
      <c r="C492" s="100" t="str">
        <f>IF(OR(Fact_Analitica[[#This Row], [Año]]="",Fact_Analitica[[#This Row], [Mes]]=""),"",DATE(A492,MATCH(B492,{"enero","febrero","marzo","abril","mayo","junio","julio","agosto","septiembre","octubre","noviembre","diciembre"},0)+1,0))</f>
        <v/>
      </c>
      <c r="E492" t="str">
        <f>+IFERROR(VLOOKUP(Fact_Analitica[[#This Row], [Concepto Anterior]],Conceptos_Analítica_contraloría[#All],5,0),"")</f>
        <v/>
      </c>
      <c r="F492" t="str">
        <f>+IFERROR(VLOOKUP(Fact_Analitica[[#This Row], [Concepto Anterior]],Conceptos_Analítica_contraloría[#All],7,0),"")</f>
        <v/>
      </c>
      <c r="I492" t="str">
        <f>+IFERROR(VLOOKUP(D492,Conceptos_Analítica_contraloría[#All],2,0),"")</f>
        <v/>
      </c>
      <c r="J492" s="84" t="str">
        <f>+IFERROR(VLOOKUP(D492,Conceptos_Analítica_contraloría[#All],3,0),"")</f>
        <v/>
      </c>
    </row>
    <row r="493" spans="3:10" ht="18.75" customHeight="1" x14ac:dyDescent="0.35">
      <c r="C493" s="100" t="str">
        <f>IF(OR(Fact_Analitica[[#This Row], [Año]]="",Fact_Analitica[[#This Row], [Mes]]=""),"",DATE(A493,MATCH(B493,{"enero","febrero","marzo","abril","mayo","junio","julio","agosto","septiembre","octubre","noviembre","diciembre"},0)+1,0))</f>
        <v/>
      </c>
      <c r="E493" t="str">
        <f>+IFERROR(VLOOKUP(Fact_Analitica[[#This Row], [Concepto Anterior]],Conceptos_Analítica_contraloría[#All],5,0),"")</f>
        <v/>
      </c>
      <c r="F493" t="str">
        <f>+IFERROR(VLOOKUP(Fact_Analitica[[#This Row], [Concepto Anterior]],Conceptos_Analítica_contraloría[#All],7,0),"")</f>
        <v/>
      </c>
      <c r="I493" t="str">
        <f>+IFERROR(VLOOKUP(D493,Conceptos_Analítica_contraloría[#All],2,0),"")</f>
        <v/>
      </c>
      <c r="J493" s="84" t="str">
        <f>+IFERROR(VLOOKUP(D493,Conceptos_Analítica_contraloría[#All],3,0),"")</f>
        <v/>
      </c>
    </row>
    <row r="494" spans="3:10" ht="18.75" customHeight="1" x14ac:dyDescent="0.35">
      <c r="C494" s="100" t="str">
        <f>IF(OR(Fact_Analitica[[#This Row], [Año]]="",Fact_Analitica[[#This Row], [Mes]]=""),"",DATE(A494,MATCH(B494,{"enero","febrero","marzo","abril","mayo","junio","julio","agosto","septiembre","octubre","noviembre","diciembre"},0)+1,0))</f>
        <v/>
      </c>
      <c r="E494" t="str">
        <f>+IFERROR(VLOOKUP(Fact_Analitica[[#This Row], [Concepto Anterior]],Conceptos_Analítica_contraloría[#All],5,0),"")</f>
        <v/>
      </c>
      <c r="F494" t="str">
        <f>+IFERROR(VLOOKUP(Fact_Analitica[[#This Row], [Concepto Anterior]],Conceptos_Analítica_contraloría[#All],7,0),"")</f>
        <v/>
      </c>
      <c r="I494" t="str">
        <f>+IFERROR(VLOOKUP(D494,Conceptos_Analítica_contraloría[#All],2,0),"")</f>
        <v/>
      </c>
      <c r="J494" s="84" t="str">
        <f>+IFERROR(VLOOKUP(D494,Conceptos_Analítica_contraloría[#All],3,0),"")</f>
        <v/>
      </c>
    </row>
    <row r="495" spans="3:10" ht="18.75" customHeight="1" x14ac:dyDescent="0.35">
      <c r="C495" s="100" t="str">
        <f>IF(OR(Fact_Analitica[[#This Row], [Año]]="",Fact_Analitica[[#This Row], [Mes]]=""),"",DATE(A495,MATCH(B495,{"enero","febrero","marzo","abril","mayo","junio","julio","agosto","septiembre","octubre","noviembre","diciembre"},0)+1,0))</f>
        <v/>
      </c>
      <c r="E495" t="str">
        <f>+IFERROR(VLOOKUP(Fact_Analitica[[#This Row], [Concepto Anterior]],Conceptos_Analítica_contraloría[#All],5,0),"")</f>
        <v/>
      </c>
      <c r="F495" t="str">
        <f>+IFERROR(VLOOKUP(Fact_Analitica[[#This Row], [Concepto Anterior]],Conceptos_Analítica_contraloría[#All],7,0),"")</f>
        <v/>
      </c>
      <c r="I495" t="str">
        <f>+IFERROR(VLOOKUP(D495,Conceptos_Analítica_contraloría[#All],2,0),"")</f>
        <v/>
      </c>
      <c r="J495" s="84" t="str">
        <f>+IFERROR(VLOOKUP(D495,Conceptos_Analítica_contraloría[#All],3,0),"")</f>
        <v/>
      </c>
    </row>
    <row r="496" spans="3:10" ht="18.75" customHeight="1" x14ac:dyDescent="0.35">
      <c r="C496" s="100" t="str">
        <f>IF(OR(Fact_Analitica[[#This Row], [Año]]="",Fact_Analitica[[#This Row], [Mes]]=""),"",DATE(A496,MATCH(B496,{"enero","febrero","marzo","abril","mayo","junio","julio","agosto","septiembre","octubre","noviembre","diciembre"},0)+1,0))</f>
        <v/>
      </c>
      <c r="E496" t="str">
        <f>+IFERROR(VLOOKUP(Fact_Analitica[[#This Row], [Concepto Anterior]],Conceptos_Analítica_contraloría[#All],5,0),"")</f>
        <v/>
      </c>
      <c r="F496" t="str">
        <f>+IFERROR(VLOOKUP(Fact_Analitica[[#This Row], [Concepto Anterior]],Conceptos_Analítica_contraloría[#All],7,0),"")</f>
        <v/>
      </c>
      <c r="I496" t="str">
        <f>+IFERROR(VLOOKUP(D496,Conceptos_Analítica_contraloría[#All],2,0),"")</f>
        <v/>
      </c>
      <c r="J496" s="84" t="str">
        <f>+IFERROR(VLOOKUP(D496,Conceptos_Analítica_contraloría[#All],3,0),"")</f>
        <v/>
      </c>
    </row>
    <row r="497" spans="3:10" ht="18.75" customHeight="1" x14ac:dyDescent="0.35">
      <c r="C497" s="100" t="str">
        <f>IF(OR(Fact_Analitica[[#This Row], [Año]]="",Fact_Analitica[[#This Row], [Mes]]=""),"",DATE(A497,MATCH(B497,{"enero","febrero","marzo","abril","mayo","junio","julio","agosto","septiembre","octubre","noviembre","diciembre"},0)+1,0))</f>
        <v/>
      </c>
      <c r="E497" t="str">
        <f>+IFERROR(VLOOKUP(Fact_Analitica[[#This Row], [Concepto Anterior]],Conceptos_Analítica_contraloría[#All],5,0),"")</f>
        <v/>
      </c>
      <c r="F497" t="str">
        <f>+IFERROR(VLOOKUP(Fact_Analitica[[#This Row], [Concepto Anterior]],Conceptos_Analítica_contraloría[#All],7,0),"")</f>
        <v/>
      </c>
      <c r="I497" t="str">
        <f>+IFERROR(VLOOKUP(D497,Conceptos_Analítica_contraloría[#All],2,0),"")</f>
        <v/>
      </c>
      <c r="J497" s="84" t="str">
        <f>+IFERROR(VLOOKUP(D497,Conceptos_Analítica_contraloría[#All],3,0),"")</f>
        <v/>
      </c>
    </row>
    <row r="498" spans="3:10" ht="18.75" customHeight="1" x14ac:dyDescent="0.35">
      <c r="C498" s="100" t="str">
        <f>IF(OR(Fact_Analitica[[#This Row], [Año]]="",Fact_Analitica[[#This Row], [Mes]]=""),"",DATE(A498,MATCH(B498,{"enero","febrero","marzo","abril","mayo","junio","julio","agosto","septiembre","octubre","noviembre","diciembre"},0)+1,0))</f>
        <v/>
      </c>
      <c r="E498" t="str">
        <f>+IFERROR(VLOOKUP(Fact_Analitica[[#This Row], [Concepto Anterior]],Conceptos_Analítica_contraloría[#All],5,0),"")</f>
        <v/>
      </c>
      <c r="F498" t="str">
        <f>+IFERROR(VLOOKUP(Fact_Analitica[[#This Row], [Concepto Anterior]],Conceptos_Analítica_contraloría[#All],7,0),"")</f>
        <v/>
      </c>
      <c r="I498" t="str">
        <f>+IFERROR(VLOOKUP(D498,Conceptos_Analítica_contraloría[#All],2,0),"")</f>
        <v/>
      </c>
      <c r="J498" s="84" t="str">
        <f>+IFERROR(VLOOKUP(D498,Conceptos_Analítica_contraloría[#All],3,0),"")</f>
        <v/>
      </c>
    </row>
    <row r="499" spans="3:10" ht="18.75" customHeight="1" x14ac:dyDescent="0.35">
      <c r="C499" s="100" t="str">
        <f>IF(OR(Fact_Analitica[[#This Row], [Año]]="",Fact_Analitica[[#This Row], [Mes]]=""),"",DATE(A499,MATCH(B499,{"enero","febrero","marzo","abril","mayo","junio","julio","agosto","septiembre","octubre","noviembre","diciembre"},0)+1,0))</f>
        <v/>
      </c>
      <c r="E499" t="str">
        <f>+IFERROR(VLOOKUP(Fact_Analitica[[#This Row], [Concepto Anterior]],Conceptos_Analítica_contraloría[#All],5,0),"")</f>
        <v/>
      </c>
      <c r="F499" t="str">
        <f>+IFERROR(VLOOKUP(Fact_Analitica[[#This Row], [Concepto Anterior]],Conceptos_Analítica_contraloría[#All],7,0),"")</f>
        <v/>
      </c>
      <c r="I499" t="str">
        <f>+IFERROR(VLOOKUP(D499,Conceptos_Analítica_contraloría[#All],2,0),"")</f>
        <v/>
      </c>
      <c r="J499" s="84" t="str">
        <f>+IFERROR(VLOOKUP(D499,Conceptos_Analítica_contraloría[#All],3,0),"")</f>
        <v/>
      </c>
    </row>
    <row r="500" spans="3:10" ht="18.75" customHeight="1" x14ac:dyDescent="0.35">
      <c r="C500" s="100" t="str">
        <f>IF(OR(Fact_Analitica[[#This Row], [Año]]="",Fact_Analitica[[#This Row], [Mes]]=""),"",DATE(A500,MATCH(B500,{"enero","febrero","marzo","abril","mayo","junio","julio","agosto","septiembre","octubre","noviembre","diciembre"},0)+1,0))</f>
        <v/>
      </c>
      <c r="E500" t="str">
        <f>+IFERROR(VLOOKUP(Fact_Analitica[[#This Row], [Concepto Anterior]],Conceptos_Analítica_contraloría[#All],5,0),"")</f>
        <v/>
      </c>
      <c r="F500" t="str">
        <f>+IFERROR(VLOOKUP(Fact_Analitica[[#This Row], [Concepto Anterior]],Conceptos_Analítica_contraloría[#All],7,0),"")</f>
        <v/>
      </c>
      <c r="I500" t="str">
        <f>+IFERROR(VLOOKUP(D500,Conceptos_Analítica_contraloría[#All],2,0),"")</f>
        <v/>
      </c>
      <c r="J500" s="84" t="str">
        <f>+IFERROR(VLOOKUP(D500,Conceptos_Analítica_contraloría[#All],3,0),"")</f>
        <v/>
      </c>
    </row>
    <row r="501" spans="3:10" ht="18.75" customHeight="1" x14ac:dyDescent="0.35">
      <c r="C501" s="100" t="str">
        <f>IF(OR(Fact_Analitica[[#This Row], [Año]]="",Fact_Analitica[[#This Row], [Mes]]=""),"",DATE(A501,MATCH(B501,{"enero","febrero","marzo","abril","mayo","junio","julio","agosto","septiembre","octubre","noviembre","diciembre"},0)+1,0))</f>
        <v/>
      </c>
      <c r="E501" t="str">
        <f>+IFERROR(VLOOKUP(Fact_Analitica[[#This Row], [Concepto Anterior]],Conceptos_Analítica_contraloría[#All],5,0),"")</f>
        <v/>
      </c>
      <c r="F501" t="str">
        <f>+IFERROR(VLOOKUP(Fact_Analitica[[#This Row], [Concepto Anterior]],Conceptos_Analítica_contraloría[#All],7,0),"")</f>
        <v/>
      </c>
      <c r="I501" t="str">
        <f>+IFERROR(VLOOKUP(D501,Conceptos_Analítica_contraloría[#All],2,0),"")</f>
        <v/>
      </c>
      <c r="J501" s="84" t="str">
        <f>+IFERROR(VLOOKUP(D501,Conceptos_Analítica_contraloría[#All],3,0),"")</f>
        <v/>
      </c>
    </row>
    <row r="502" spans="3:10" ht="18.75" customHeight="1" x14ac:dyDescent="0.35">
      <c r="C502" s="100" t="str">
        <f>IF(OR(Fact_Analitica[[#This Row], [Año]]="",Fact_Analitica[[#This Row], [Mes]]=""),"",DATE(A502,MATCH(B502,{"enero","febrero","marzo","abril","mayo","junio","julio","agosto","septiembre","octubre","noviembre","diciembre"},0)+1,0))</f>
        <v/>
      </c>
      <c r="E502" t="str">
        <f>+IFERROR(VLOOKUP(Fact_Analitica[[#This Row], [Concepto Anterior]],Conceptos_Analítica_contraloría[#All],5,0),"")</f>
        <v/>
      </c>
      <c r="F502" t="str">
        <f>+IFERROR(VLOOKUP(Fact_Analitica[[#This Row], [Concepto Anterior]],Conceptos_Analítica_contraloría[#All],7,0),"")</f>
        <v/>
      </c>
      <c r="I502" t="str">
        <f>+IFERROR(VLOOKUP(D502,Conceptos_Analítica_contraloría[#All],2,0),"")</f>
        <v/>
      </c>
      <c r="J502" s="84" t="str">
        <f>+IFERROR(VLOOKUP(D502,Conceptos_Analítica_contraloría[#All],3,0),"")</f>
        <v/>
      </c>
    </row>
    <row r="503" spans="3:10" ht="18.75" customHeight="1" x14ac:dyDescent="0.35">
      <c r="C503" s="100" t="str">
        <f>IF(OR(Fact_Analitica[[#This Row], [Año]]="",Fact_Analitica[[#This Row], [Mes]]=""),"",DATE(A503,MATCH(B503,{"enero","febrero","marzo","abril","mayo","junio","julio","agosto","septiembre","octubre","noviembre","diciembre"},0)+1,0))</f>
        <v/>
      </c>
      <c r="E503" t="str">
        <f>+IFERROR(VLOOKUP(Fact_Analitica[[#This Row], [Concepto Anterior]],Conceptos_Analítica_contraloría[#All],5,0),"")</f>
        <v/>
      </c>
      <c r="F503" t="str">
        <f>+IFERROR(VLOOKUP(Fact_Analitica[[#This Row], [Concepto Anterior]],Conceptos_Analítica_contraloría[#All],7,0),"")</f>
        <v/>
      </c>
      <c r="I503" t="str">
        <f>+IFERROR(VLOOKUP(D503,Conceptos_Analítica_contraloría[#All],2,0),"")</f>
        <v/>
      </c>
      <c r="J503" s="84" t="str">
        <f>+IFERROR(VLOOKUP(D503,Conceptos_Analítica_contraloría[#All],3,0),"")</f>
        <v/>
      </c>
    </row>
    <row r="504" spans="3:10" ht="18.75" customHeight="1" x14ac:dyDescent="0.35">
      <c r="C504" s="100" t="str">
        <f>IF(OR(Fact_Analitica[[#This Row], [Año]]="",Fact_Analitica[[#This Row], [Mes]]=""),"",DATE(A504,MATCH(B504,{"enero","febrero","marzo","abril","mayo","junio","julio","agosto","septiembre","octubre","noviembre","diciembre"},0)+1,0))</f>
        <v/>
      </c>
      <c r="E504" t="str">
        <f>+IFERROR(VLOOKUP(Fact_Analitica[[#This Row], [Concepto Anterior]],Conceptos_Analítica_contraloría[#All],5,0),"")</f>
        <v/>
      </c>
      <c r="F504" t="str">
        <f>+IFERROR(VLOOKUP(Fact_Analitica[[#This Row], [Concepto Anterior]],Conceptos_Analítica_contraloría[#All],7,0),"")</f>
        <v/>
      </c>
      <c r="I504" t="str">
        <f>+IFERROR(VLOOKUP(D504,Conceptos_Analítica_contraloría[#All],2,0),"")</f>
        <v/>
      </c>
      <c r="J504" s="84" t="str">
        <f>+IFERROR(VLOOKUP(D504,Conceptos_Analítica_contraloría[#All],3,0),"")</f>
        <v/>
      </c>
    </row>
    <row r="505" spans="3:10" ht="18.75" customHeight="1" x14ac:dyDescent="0.35">
      <c r="C505" s="100" t="str">
        <f>IF(OR(Fact_Analitica[[#This Row], [Año]]="",Fact_Analitica[[#This Row], [Mes]]=""),"",DATE(A505,MATCH(B505,{"enero","febrero","marzo","abril","mayo","junio","julio","agosto","septiembre","octubre","noviembre","diciembre"},0)+1,0))</f>
        <v/>
      </c>
      <c r="E505" t="str">
        <f>+IFERROR(VLOOKUP(Fact_Analitica[[#This Row], [Concepto Anterior]],Conceptos_Analítica_contraloría[#All],5,0),"")</f>
        <v/>
      </c>
      <c r="F505" t="str">
        <f>+IFERROR(VLOOKUP(Fact_Analitica[[#This Row], [Concepto Anterior]],Conceptos_Analítica_contraloría[#All],7,0),"")</f>
        <v/>
      </c>
      <c r="I505" t="str">
        <f>+IFERROR(VLOOKUP(D505,Conceptos_Analítica_contraloría[#All],2,0),"")</f>
        <v/>
      </c>
      <c r="J505" s="84" t="str">
        <f>+IFERROR(VLOOKUP(D505,Conceptos_Analítica_contraloría[#All],3,0),"")</f>
        <v/>
      </c>
    </row>
    <row r="506" spans="3:10" ht="18.75" customHeight="1" x14ac:dyDescent="0.35">
      <c r="C506" s="100" t="str">
        <f>IF(OR(Fact_Analitica[[#This Row], [Año]]="",Fact_Analitica[[#This Row], [Mes]]=""),"",DATE(A506,MATCH(B506,{"enero","febrero","marzo","abril","mayo","junio","julio","agosto","septiembre","octubre","noviembre","diciembre"},0)+1,0))</f>
        <v/>
      </c>
      <c r="E506" t="str">
        <f>+IFERROR(VLOOKUP(Fact_Analitica[[#This Row], [Concepto Anterior]],Conceptos_Analítica_contraloría[#All],5,0),"")</f>
        <v/>
      </c>
      <c r="F506" t="str">
        <f>+IFERROR(VLOOKUP(Fact_Analitica[[#This Row], [Concepto Anterior]],Conceptos_Analítica_contraloría[#All],7,0),"")</f>
        <v/>
      </c>
      <c r="I506" t="str">
        <f>+IFERROR(VLOOKUP(D506,Conceptos_Analítica_contraloría[#All],2,0),"")</f>
        <v/>
      </c>
      <c r="J506" s="84" t="str">
        <f>+IFERROR(VLOOKUP(D506,Conceptos_Analítica_contraloría[#All],3,0),"")</f>
        <v/>
      </c>
    </row>
    <row r="507" spans="3:10" ht="18.75" customHeight="1" x14ac:dyDescent="0.35">
      <c r="C507" s="100" t="str">
        <f>IF(OR(Fact_Analitica[[#This Row], [Año]]="",Fact_Analitica[[#This Row], [Mes]]=""),"",DATE(A507,MATCH(B507,{"enero","febrero","marzo","abril","mayo","junio","julio","agosto","septiembre","octubre","noviembre","diciembre"},0)+1,0))</f>
        <v/>
      </c>
      <c r="E507" t="str">
        <f>+IFERROR(VLOOKUP(Fact_Analitica[[#This Row], [Concepto Anterior]],Conceptos_Analítica_contraloría[#All],5,0),"")</f>
        <v/>
      </c>
      <c r="F507" t="str">
        <f>+IFERROR(VLOOKUP(Fact_Analitica[[#This Row], [Concepto Anterior]],Conceptos_Analítica_contraloría[#All],7,0),"")</f>
        <v/>
      </c>
      <c r="I507" t="str">
        <f>+IFERROR(VLOOKUP(D507,Conceptos_Analítica_contraloría[#All],2,0),"")</f>
        <v/>
      </c>
      <c r="J507" s="84" t="str">
        <f>+IFERROR(VLOOKUP(D507,Conceptos_Analítica_contraloría[#All],3,0),"")</f>
        <v/>
      </c>
    </row>
    <row r="508" spans="3:10" ht="18.75" customHeight="1" x14ac:dyDescent="0.35">
      <c r="C508" s="100" t="str">
        <f>IF(OR(Fact_Analitica[[#This Row], [Año]]="",Fact_Analitica[[#This Row], [Mes]]=""),"",DATE(A508,MATCH(B508,{"enero","febrero","marzo","abril","mayo","junio","julio","agosto","septiembre","octubre","noviembre","diciembre"},0)+1,0))</f>
        <v/>
      </c>
      <c r="E508" t="str">
        <f>+IFERROR(VLOOKUP(Fact_Analitica[[#This Row], [Concepto Anterior]],Conceptos_Analítica_contraloría[#All],5,0),"")</f>
        <v/>
      </c>
      <c r="F508" t="str">
        <f>+IFERROR(VLOOKUP(Fact_Analitica[[#This Row], [Concepto Anterior]],Conceptos_Analítica_contraloría[#All],7,0),"")</f>
        <v/>
      </c>
      <c r="I508" t="str">
        <f>+IFERROR(VLOOKUP(D508,Conceptos_Analítica_contraloría[#All],2,0),"")</f>
        <v/>
      </c>
      <c r="J508" s="84" t="str">
        <f>+IFERROR(VLOOKUP(D508,Conceptos_Analítica_contraloría[#All],3,0),"")</f>
        <v/>
      </c>
    </row>
    <row r="509" spans="3:10" ht="18.75" customHeight="1" x14ac:dyDescent="0.35">
      <c r="C509" s="100" t="str">
        <f>IF(OR(Fact_Analitica[[#This Row], [Año]]="",Fact_Analitica[[#This Row], [Mes]]=""),"",DATE(A509,MATCH(B509,{"enero","febrero","marzo","abril","mayo","junio","julio","agosto","septiembre","octubre","noviembre","diciembre"},0)+1,0))</f>
        <v/>
      </c>
      <c r="E509" t="str">
        <f>+IFERROR(VLOOKUP(Fact_Analitica[[#This Row], [Concepto Anterior]],Conceptos_Analítica_contraloría[#All],5,0),"")</f>
        <v/>
      </c>
      <c r="F509" t="str">
        <f>+IFERROR(VLOOKUP(Fact_Analitica[[#This Row], [Concepto Anterior]],Conceptos_Analítica_contraloría[#All],7,0),"")</f>
        <v/>
      </c>
      <c r="I509" t="str">
        <f>+IFERROR(VLOOKUP(D509,Conceptos_Analítica_contraloría[#All],2,0),"")</f>
        <v/>
      </c>
      <c r="J509" s="84" t="str">
        <f>+IFERROR(VLOOKUP(D509,Conceptos_Analítica_contraloría[#All],3,0),"")</f>
        <v/>
      </c>
    </row>
    <row r="510" spans="3:10" ht="18.75" customHeight="1" x14ac:dyDescent="0.35">
      <c r="C510" s="100" t="str">
        <f>IF(OR(Fact_Analitica[[#This Row], [Año]]="",Fact_Analitica[[#This Row], [Mes]]=""),"",DATE(A510,MATCH(B510,{"enero","febrero","marzo","abril","mayo","junio","julio","agosto","septiembre","octubre","noviembre","diciembre"},0)+1,0))</f>
        <v/>
      </c>
      <c r="E510" t="str">
        <f>+IFERROR(VLOOKUP(Fact_Analitica[[#This Row], [Concepto Anterior]],Conceptos_Analítica_contraloría[#All],5,0),"")</f>
        <v/>
      </c>
      <c r="F510" t="str">
        <f>+IFERROR(VLOOKUP(Fact_Analitica[[#This Row], [Concepto Anterior]],Conceptos_Analítica_contraloría[#All],7,0),"")</f>
        <v/>
      </c>
      <c r="I510" t="str">
        <f>+IFERROR(VLOOKUP(D510,Conceptos_Analítica_contraloría[#All],2,0),"")</f>
        <v/>
      </c>
      <c r="J510" s="84" t="str">
        <f>+IFERROR(VLOOKUP(D510,Conceptos_Analítica_contraloría[#All],3,0),"")</f>
        <v/>
      </c>
    </row>
    <row r="511" spans="3:10" ht="18.75" customHeight="1" x14ac:dyDescent="0.35">
      <c r="C511" s="100" t="str">
        <f>IF(OR(Fact_Analitica[[#This Row], [Año]]="",Fact_Analitica[[#This Row], [Mes]]=""),"",DATE(A511,MATCH(B511,{"enero","febrero","marzo","abril","mayo","junio","julio","agosto","septiembre","octubre","noviembre","diciembre"},0)+1,0))</f>
        <v/>
      </c>
      <c r="E511" t="str">
        <f>+IFERROR(VLOOKUP(Fact_Analitica[[#This Row], [Concepto Anterior]],Conceptos_Analítica_contraloría[#All],5,0),"")</f>
        <v/>
      </c>
      <c r="F511" t="str">
        <f>+IFERROR(VLOOKUP(Fact_Analitica[[#This Row], [Concepto Anterior]],Conceptos_Analítica_contraloría[#All],7,0),"")</f>
        <v/>
      </c>
      <c r="I511" t="str">
        <f>+IFERROR(VLOOKUP(D511,Conceptos_Analítica_contraloría[#All],2,0),"")</f>
        <v/>
      </c>
      <c r="J511" s="84" t="str">
        <f>+IFERROR(VLOOKUP(D511,Conceptos_Analítica_contraloría[#All],3,0),"")</f>
        <v/>
      </c>
    </row>
    <row r="512" spans="3:10" ht="18.75" customHeight="1" x14ac:dyDescent="0.35">
      <c r="C512" s="100" t="str">
        <f>IF(OR(Fact_Analitica[[#This Row], [Año]]="",Fact_Analitica[[#This Row], [Mes]]=""),"",DATE(A512,MATCH(B512,{"enero","febrero","marzo","abril","mayo","junio","julio","agosto","septiembre","octubre","noviembre","diciembre"},0)+1,0))</f>
        <v/>
      </c>
      <c r="E512" t="str">
        <f>+IFERROR(VLOOKUP(Fact_Analitica[[#This Row], [Concepto Anterior]],Conceptos_Analítica_contraloría[#All],5,0),"")</f>
        <v/>
      </c>
      <c r="F512" t="str">
        <f>+IFERROR(VLOOKUP(Fact_Analitica[[#This Row], [Concepto Anterior]],Conceptos_Analítica_contraloría[#All],7,0),"")</f>
        <v/>
      </c>
      <c r="I512" t="str">
        <f>+IFERROR(VLOOKUP(D512,Conceptos_Analítica_contraloría[#All],2,0),"")</f>
        <v/>
      </c>
      <c r="J512" s="84" t="str">
        <f>+IFERROR(VLOOKUP(D512,Conceptos_Analítica_contraloría[#All],3,0),"")</f>
        <v/>
      </c>
    </row>
    <row r="513" spans="3:10" ht="18.75" customHeight="1" x14ac:dyDescent="0.35">
      <c r="C513" s="100" t="str">
        <f>IF(OR(Fact_Analitica[[#This Row], [Año]]="",Fact_Analitica[[#This Row], [Mes]]=""),"",DATE(A513,MATCH(B513,{"enero","febrero","marzo","abril","mayo","junio","julio","agosto","septiembre","octubre","noviembre","diciembre"},0)+1,0))</f>
        <v/>
      </c>
      <c r="E513" t="str">
        <f>+IFERROR(VLOOKUP(Fact_Analitica[[#This Row], [Concepto Anterior]],Conceptos_Analítica_contraloría[#All],5,0),"")</f>
        <v/>
      </c>
      <c r="F513" t="str">
        <f>+IFERROR(VLOOKUP(Fact_Analitica[[#This Row], [Concepto Anterior]],Conceptos_Analítica_contraloría[#All],7,0),"")</f>
        <v/>
      </c>
      <c r="I513" t="str">
        <f>+IFERROR(VLOOKUP(D513,Conceptos_Analítica_contraloría[#All],2,0),"")</f>
        <v/>
      </c>
      <c r="J513" s="84" t="str">
        <f>+IFERROR(VLOOKUP(D513,Conceptos_Analítica_contraloría[#All],3,0),"")</f>
        <v/>
      </c>
    </row>
    <row r="514" spans="3:10" ht="18.75" customHeight="1" x14ac:dyDescent="0.35">
      <c r="C514" s="100" t="str">
        <f>IF(OR(Fact_Analitica[[#This Row], [Año]]="",Fact_Analitica[[#This Row], [Mes]]=""),"",DATE(A514,MATCH(B514,{"enero","febrero","marzo","abril","mayo","junio","julio","agosto","septiembre","octubre","noviembre","diciembre"},0)+1,0))</f>
        <v/>
      </c>
      <c r="E514" t="str">
        <f>+IFERROR(VLOOKUP(Fact_Analitica[[#This Row], [Concepto Anterior]],Conceptos_Analítica_contraloría[#All],5,0),"")</f>
        <v/>
      </c>
      <c r="F514" t="str">
        <f>+IFERROR(VLOOKUP(Fact_Analitica[[#This Row], [Concepto Anterior]],Conceptos_Analítica_contraloría[#All],7,0),"")</f>
        <v/>
      </c>
      <c r="I514" t="str">
        <f>+IFERROR(VLOOKUP(D514,Conceptos_Analítica_contraloría[#All],2,0),"")</f>
        <v/>
      </c>
      <c r="J514" s="84" t="str">
        <f>+IFERROR(VLOOKUP(D514,Conceptos_Analítica_contraloría[#All],3,0),"")</f>
        <v/>
      </c>
    </row>
    <row r="515" spans="3:10" ht="18.75" customHeight="1" x14ac:dyDescent="0.35">
      <c r="C515" s="100" t="str">
        <f>IF(OR(Fact_Analitica[[#This Row], [Año]]="",Fact_Analitica[[#This Row], [Mes]]=""),"",DATE(A515,MATCH(B515,{"enero","febrero","marzo","abril","mayo","junio","julio","agosto","septiembre","octubre","noviembre","diciembre"},0)+1,0))</f>
        <v/>
      </c>
      <c r="E515" t="str">
        <f>+IFERROR(VLOOKUP(Fact_Analitica[[#This Row], [Concepto Anterior]],Conceptos_Analítica_contraloría[#All],5,0),"")</f>
        <v/>
      </c>
      <c r="F515" t="str">
        <f>+IFERROR(VLOOKUP(Fact_Analitica[[#This Row], [Concepto Anterior]],Conceptos_Analítica_contraloría[#All],7,0),"")</f>
        <v/>
      </c>
      <c r="I515" t="str">
        <f>+IFERROR(VLOOKUP(D515,Conceptos_Analítica_contraloría[#All],2,0),"")</f>
        <v/>
      </c>
      <c r="J515" s="84" t="str">
        <f>+IFERROR(VLOOKUP(D515,Conceptos_Analítica_contraloría[#All],3,0),"")</f>
        <v/>
      </c>
    </row>
    <row r="516" spans="3:10" ht="18.75" customHeight="1" x14ac:dyDescent="0.35">
      <c r="C516" s="100" t="str">
        <f>IF(OR(Fact_Analitica[[#This Row], [Año]]="",Fact_Analitica[[#This Row], [Mes]]=""),"",DATE(A516,MATCH(B516,{"enero","febrero","marzo","abril","mayo","junio","julio","agosto","septiembre","octubre","noviembre","diciembre"},0)+1,0))</f>
        <v/>
      </c>
      <c r="E516" t="str">
        <f>+IFERROR(VLOOKUP(Fact_Analitica[[#This Row], [Concepto Anterior]],Conceptos_Analítica_contraloría[#All],5,0),"")</f>
        <v/>
      </c>
      <c r="F516" t="str">
        <f>+IFERROR(VLOOKUP(Fact_Analitica[[#This Row], [Concepto Anterior]],Conceptos_Analítica_contraloría[#All],7,0),"")</f>
        <v/>
      </c>
      <c r="I516" t="str">
        <f>+IFERROR(VLOOKUP(D516,Conceptos_Analítica_contraloría[#All],2,0),"")</f>
        <v/>
      </c>
      <c r="J516" s="84" t="str">
        <f>+IFERROR(VLOOKUP(D516,Conceptos_Analítica_contraloría[#All],3,0),"")</f>
        <v/>
      </c>
    </row>
    <row r="517" spans="3:10" ht="18.75" customHeight="1" x14ac:dyDescent="0.35">
      <c r="C517" s="100" t="str">
        <f>IF(OR(Fact_Analitica[[#This Row], [Año]]="",Fact_Analitica[[#This Row], [Mes]]=""),"",DATE(A517,MATCH(B517,{"enero","febrero","marzo","abril","mayo","junio","julio","agosto","septiembre","octubre","noviembre","diciembre"},0)+1,0))</f>
        <v/>
      </c>
      <c r="E517" t="str">
        <f>+IFERROR(VLOOKUP(Fact_Analitica[[#This Row], [Concepto Anterior]],Conceptos_Analítica_contraloría[#All],5,0),"")</f>
        <v/>
      </c>
      <c r="F517" t="str">
        <f>+IFERROR(VLOOKUP(Fact_Analitica[[#This Row], [Concepto Anterior]],Conceptos_Analítica_contraloría[#All],7,0),"")</f>
        <v/>
      </c>
      <c r="I517" t="str">
        <f>+IFERROR(VLOOKUP(D517,Conceptos_Analítica_contraloría[#All],2,0),"")</f>
        <v/>
      </c>
      <c r="J517" s="84" t="str">
        <f>+IFERROR(VLOOKUP(D517,Conceptos_Analítica_contraloría[#All],3,0),"")</f>
        <v/>
      </c>
    </row>
    <row r="518" spans="3:10" ht="18.75" customHeight="1" x14ac:dyDescent="0.35">
      <c r="C518" s="100" t="str">
        <f>IF(OR(Fact_Analitica[[#This Row], [Año]]="",Fact_Analitica[[#This Row], [Mes]]=""),"",DATE(A518,MATCH(B518,{"enero","febrero","marzo","abril","mayo","junio","julio","agosto","septiembre","octubre","noviembre","diciembre"},0)+1,0))</f>
        <v/>
      </c>
      <c r="E518" t="str">
        <f>+IFERROR(VLOOKUP(Fact_Analitica[[#This Row], [Concepto Anterior]],Conceptos_Analítica_contraloría[#All],5,0),"")</f>
        <v/>
      </c>
      <c r="F518" t="str">
        <f>+IFERROR(VLOOKUP(Fact_Analitica[[#This Row], [Concepto Anterior]],Conceptos_Analítica_contraloría[#All],7,0),"")</f>
        <v/>
      </c>
      <c r="I518" t="str">
        <f>+IFERROR(VLOOKUP(D518,Conceptos_Analítica_contraloría[#All],2,0),"")</f>
        <v/>
      </c>
      <c r="J518" s="84" t="str">
        <f>+IFERROR(VLOOKUP(D518,Conceptos_Analítica_contraloría[#All],3,0),"")</f>
        <v/>
      </c>
    </row>
    <row r="519" spans="3:10" ht="18.75" customHeight="1" x14ac:dyDescent="0.35">
      <c r="C519" s="100" t="str">
        <f>IF(OR(Fact_Analitica[[#This Row], [Año]]="",Fact_Analitica[[#This Row], [Mes]]=""),"",DATE(A519,MATCH(B519,{"enero","febrero","marzo","abril","mayo","junio","julio","agosto","septiembre","octubre","noviembre","diciembre"},0)+1,0))</f>
        <v/>
      </c>
      <c r="E519" t="str">
        <f>+IFERROR(VLOOKUP(Fact_Analitica[[#This Row], [Concepto Anterior]],Conceptos_Analítica_contraloría[#All],5,0),"")</f>
        <v/>
      </c>
      <c r="F519" t="str">
        <f>+IFERROR(VLOOKUP(Fact_Analitica[[#This Row], [Concepto Anterior]],Conceptos_Analítica_contraloría[#All],7,0),"")</f>
        <v/>
      </c>
      <c r="I519" t="str">
        <f>+IFERROR(VLOOKUP(D519,Conceptos_Analítica_contraloría[#All],2,0),"")</f>
        <v/>
      </c>
      <c r="J519" s="84" t="str">
        <f>+IFERROR(VLOOKUP(D519,Conceptos_Analítica_contraloría[#All],3,0),"")</f>
        <v/>
      </c>
    </row>
    <row r="520" spans="3:10" ht="18.75" customHeight="1" x14ac:dyDescent="0.35">
      <c r="C520" s="100" t="str">
        <f>IF(OR(Fact_Analitica[[#This Row], [Año]]="",Fact_Analitica[[#This Row], [Mes]]=""),"",DATE(A520,MATCH(B520,{"enero","febrero","marzo","abril","mayo","junio","julio","agosto","septiembre","octubre","noviembre","diciembre"},0)+1,0))</f>
        <v/>
      </c>
      <c r="E520" t="str">
        <f>+IFERROR(VLOOKUP(Fact_Analitica[[#This Row], [Concepto Anterior]],Conceptos_Analítica_contraloría[#All],5,0),"")</f>
        <v/>
      </c>
      <c r="F520" t="str">
        <f>+IFERROR(VLOOKUP(Fact_Analitica[[#This Row], [Concepto Anterior]],Conceptos_Analítica_contraloría[#All],7,0),"")</f>
        <v/>
      </c>
      <c r="I520" t="str">
        <f>+IFERROR(VLOOKUP(D520,Conceptos_Analítica_contraloría[#All],2,0),"")</f>
        <v/>
      </c>
      <c r="J520" s="84" t="str">
        <f>+IFERROR(VLOOKUP(D520,Conceptos_Analítica_contraloría[#All],3,0),"")</f>
        <v/>
      </c>
    </row>
    <row r="521" spans="3:10" ht="18.75" customHeight="1" x14ac:dyDescent="0.35">
      <c r="C521" s="100" t="str">
        <f>IF(OR(Fact_Analitica[[#This Row], [Año]]="",Fact_Analitica[[#This Row], [Mes]]=""),"",DATE(A521,MATCH(B521,{"enero","febrero","marzo","abril","mayo","junio","julio","agosto","septiembre","octubre","noviembre","diciembre"},0)+1,0))</f>
        <v/>
      </c>
      <c r="E521" t="str">
        <f>+IFERROR(VLOOKUP(Fact_Analitica[[#This Row], [Concepto Anterior]],Conceptos_Analítica_contraloría[#All],5,0),"")</f>
        <v/>
      </c>
      <c r="F521" t="str">
        <f>+IFERROR(VLOOKUP(Fact_Analitica[[#This Row], [Concepto Anterior]],Conceptos_Analítica_contraloría[#All],7,0),"")</f>
        <v/>
      </c>
      <c r="I521" t="str">
        <f>+IFERROR(VLOOKUP(D521,Conceptos_Analítica_contraloría[#All],2,0),"")</f>
        <v/>
      </c>
      <c r="J521" s="84" t="str">
        <f>+IFERROR(VLOOKUP(D521,Conceptos_Analítica_contraloría[#All],3,0),"")</f>
        <v/>
      </c>
    </row>
    <row r="522" spans="3:10" ht="18.75" customHeight="1" x14ac:dyDescent="0.35">
      <c r="C522" s="100" t="str">
        <f>IF(OR(Fact_Analitica[[#This Row], [Año]]="",Fact_Analitica[[#This Row], [Mes]]=""),"",DATE(A522,MATCH(B522,{"enero","febrero","marzo","abril","mayo","junio","julio","agosto","septiembre","octubre","noviembre","diciembre"},0)+1,0))</f>
        <v/>
      </c>
      <c r="E522" t="str">
        <f>+IFERROR(VLOOKUP(Fact_Analitica[[#This Row], [Concepto Anterior]],Conceptos_Analítica_contraloría[#All],5,0),"")</f>
        <v/>
      </c>
      <c r="F522" t="str">
        <f>+IFERROR(VLOOKUP(Fact_Analitica[[#This Row], [Concepto Anterior]],Conceptos_Analítica_contraloría[#All],7,0),"")</f>
        <v/>
      </c>
      <c r="I522" t="str">
        <f>+IFERROR(VLOOKUP(D522,Conceptos_Analítica_contraloría[#All],2,0),"")</f>
        <v/>
      </c>
      <c r="J522" s="84" t="str">
        <f>+IFERROR(VLOOKUP(D522,Conceptos_Analítica_contraloría[#All],3,0),"")</f>
        <v/>
      </c>
    </row>
    <row r="523" spans="3:10" ht="18.75" customHeight="1" x14ac:dyDescent="0.35">
      <c r="C523" s="100" t="str">
        <f>IF(OR(Fact_Analitica[[#This Row], [Año]]="",Fact_Analitica[[#This Row], [Mes]]=""),"",DATE(A523,MATCH(B523,{"enero","febrero","marzo","abril","mayo","junio","julio","agosto","septiembre","octubre","noviembre","diciembre"},0)+1,0))</f>
        <v/>
      </c>
      <c r="E523" t="str">
        <f>+IFERROR(VLOOKUP(Fact_Analitica[[#This Row], [Concepto Anterior]],Conceptos_Analítica_contraloría[#All],5,0),"")</f>
        <v/>
      </c>
      <c r="F523" t="str">
        <f>+IFERROR(VLOOKUP(Fact_Analitica[[#This Row], [Concepto Anterior]],Conceptos_Analítica_contraloría[#All],7,0),"")</f>
        <v/>
      </c>
      <c r="I523" t="str">
        <f>+IFERROR(VLOOKUP(D523,Conceptos_Analítica_contraloría[#All],2,0),"")</f>
        <v/>
      </c>
      <c r="J523" s="84" t="str">
        <f>+IFERROR(VLOOKUP(D523,Conceptos_Analítica_contraloría[#All],3,0),"")</f>
        <v/>
      </c>
    </row>
    <row r="524" spans="3:10" ht="18.75" customHeight="1" x14ac:dyDescent="0.35">
      <c r="C524" s="100" t="str">
        <f>IF(OR(Fact_Analitica[[#This Row], [Año]]="",Fact_Analitica[[#This Row], [Mes]]=""),"",DATE(A524,MATCH(B524,{"enero","febrero","marzo","abril","mayo","junio","julio","agosto","septiembre","octubre","noviembre","diciembre"},0)+1,0))</f>
        <v/>
      </c>
      <c r="E524" t="str">
        <f>+IFERROR(VLOOKUP(Fact_Analitica[[#This Row], [Concepto Anterior]],Conceptos_Analítica_contraloría[#All],5,0),"")</f>
        <v/>
      </c>
      <c r="F524" t="str">
        <f>+IFERROR(VLOOKUP(Fact_Analitica[[#This Row], [Concepto Anterior]],Conceptos_Analítica_contraloría[#All],7,0),"")</f>
        <v/>
      </c>
      <c r="I524" t="str">
        <f>+IFERROR(VLOOKUP(D524,Conceptos_Analítica_contraloría[#All],2,0),"")</f>
        <v/>
      </c>
      <c r="J524" s="84" t="str">
        <f>+IFERROR(VLOOKUP(D524,Conceptos_Analítica_contraloría[#All],3,0),"")</f>
        <v/>
      </c>
    </row>
    <row r="525" spans="3:10" ht="18.75" customHeight="1" x14ac:dyDescent="0.35">
      <c r="C525" s="100" t="str">
        <f>IF(OR(Fact_Analitica[[#This Row], [Año]]="",Fact_Analitica[[#This Row], [Mes]]=""),"",DATE(A525,MATCH(B525,{"enero","febrero","marzo","abril","mayo","junio","julio","agosto","septiembre","octubre","noviembre","diciembre"},0)+1,0))</f>
        <v/>
      </c>
      <c r="E525" t="str">
        <f>+IFERROR(VLOOKUP(Fact_Analitica[[#This Row], [Concepto Anterior]],Conceptos_Analítica_contraloría[#All],5,0),"")</f>
        <v/>
      </c>
      <c r="F525" t="str">
        <f>+IFERROR(VLOOKUP(Fact_Analitica[[#This Row], [Concepto Anterior]],Conceptos_Analítica_contraloría[#All],7,0),"")</f>
        <v/>
      </c>
      <c r="I525" t="str">
        <f>+IFERROR(VLOOKUP(D525,Conceptos_Analítica_contraloría[#All],2,0),"")</f>
        <v/>
      </c>
      <c r="J525" s="84" t="str">
        <f>+IFERROR(VLOOKUP(D525,Conceptos_Analítica_contraloría[#All],3,0),"")</f>
        <v/>
      </c>
    </row>
    <row r="526" spans="3:10" ht="18.75" customHeight="1" x14ac:dyDescent="0.35">
      <c r="C526" s="100" t="str">
        <f>IF(OR(Fact_Analitica[[#This Row], [Año]]="",Fact_Analitica[[#This Row], [Mes]]=""),"",DATE(A526,MATCH(B526,{"enero","febrero","marzo","abril","mayo","junio","julio","agosto","septiembre","octubre","noviembre","diciembre"},0)+1,0))</f>
        <v/>
      </c>
      <c r="E526" t="str">
        <f>+IFERROR(VLOOKUP(Fact_Analitica[[#This Row], [Concepto Anterior]],Conceptos_Analítica_contraloría[#All],5,0),"")</f>
        <v/>
      </c>
      <c r="F526" t="str">
        <f>+IFERROR(VLOOKUP(Fact_Analitica[[#This Row], [Concepto Anterior]],Conceptos_Analítica_contraloría[#All],7,0),"")</f>
        <v/>
      </c>
      <c r="I526" t="str">
        <f>+IFERROR(VLOOKUP(D526,Conceptos_Analítica_contraloría[#All],2,0),"")</f>
        <v/>
      </c>
      <c r="J526" s="84" t="str">
        <f>+IFERROR(VLOOKUP(D526,Conceptos_Analítica_contraloría[#All],3,0),"")</f>
        <v/>
      </c>
    </row>
    <row r="527" spans="3:10" ht="18.75" customHeight="1" x14ac:dyDescent="0.35">
      <c r="C527" s="100" t="str">
        <f>IF(OR(Fact_Analitica[[#This Row], [Año]]="",Fact_Analitica[[#This Row], [Mes]]=""),"",DATE(A527,MATCH(B527,{"enero","febrero","marzo","abril","mayo","junio","julio","agosto","septiembre","octubre","noviembre","diciembre"},0)+1,0))</f>
        <v/>
      </c>
      <c r="E527" t="str">
        <f>+IFERROR(VLOOKUP(Fact_Analitica[[#This Row], [Concepto Anterior]],Conceptos_Analítica_contraloría[#All],5,0),"")</f>
        <v/>
      </c>
      <c r="F527" t="str">
        <f>+IFERROR(VLOOKUP(Fact_Analitica[[#This Row], [Concepto Anterior]],Conceptos_Analítica_contraloría[#All],7,0),"")</f>
        <v/>
      </c>
      <c r="I527" t="str">
        <f>+IFERROR(VLOOKUP(D527,Conceptos_Analítica_contraloría[#All],2,0),"")</f>
        <v/>
      </c>
      <c r="J527" s="84" t="str">
        <f>+IFERROR(VLOOKUP(D527,Conceptos_Analítica_contraloría[#All],3,0),"")</f>
        <v/>
      </c>
    </row>
    <row r="528" spans="3:10" ht="18.75" customHeight="1" x14ac:dyDescent="0.35">
      <c r="C528" s="100" t="str">
        <f>IF(OR(Fact_Analitica[[#This Row], [Año]]="",Fact_Analitica[[#This Row], [Mes]]=""),"",DATE(A528,MATCH(B528,{"enero","febrero","marzo","abril","mayo","junio","julio","agosto","septiembre","octubre","noviembre","diciembre"},0)+1,0))</f>
        <v/>
      </c>
      <c r="E528" t="str">
        <f>+IFERROR(VLOOKUP(Fact_Analitica[[#This Row], [Concepto Anterior]],Conceptos_Analítica_contraloría[#All],5,0),"")</f>
        <v/>
      </c>
      <c r="F528" t="str">
        <f>+IFERROR(VLOOKUP(Fact_Analitica[[#This Row], [Concepto Anterior]],Conceptos_Analítica_contraloría[#All],7,0),"")</f>
        <v/>
      </c>
      <c r="I528" t="str">
        <f>+IFERROR(VLOOKUP(D528,Conceptos_Analítica_contraloría[#All],2,0),"")</f>
        <v/>
      </c>
      <c r="J528" s="84" t="str">
        <f>+IFERROR(VLOOKUP(D528,Conceptos_Analítica_contraloría[#All],3,0),"")</f>
        <v/>
      </c>
    </row>
    <row r="529" spans="3:10" ht="18.75" customHeight="1" x14ac:dyDescent="0.35">
      <c r="C529" s="100" t="str">
        <f>IF(OR(Fact_Analitica[[#This Row], [Año]]="",Fact_Analitica[[#This Row], [Mes]]=""),"",DATE(A529,MATCH(B529,{"enero","febrero","marzo","abril","mayo","junio","julio","agosto","septiembre","octubre","noviembre","diciembre"},0)+1,0))</f>
        <v/>
      </c>
      <c r="E529" t="str">
        <f>+IFERROR(VLOOKUP(Fact_Analitica[[#This Row], [Concepto Anterior]],Conceptos_Analítica_contraloría[#All],5,0),"")</f>
        <v/>
      </c>
      <c r="F529" t="str">
        <f>+IFERROR(VLOOKUP(Fact_Analitica[[#This Row], [Concepto Anterior]],Conceptos_Analítica_contraloría[#All],7,0),"")</f>
        <v/>
      </c>
      <c r="I529" t="str">
        <f>+IFERROR(VLOOKUP(D529,Conceptos_Analítica_contraloría[#All],2,0),"")</f>
        <v/>
      </c>
      <c r="J529" s="84" t="str">
        <f>+IFERROR(VLOOKUP(D529,Conceptos_Analítica_contraloría[#All],3,0),"")</f>
        <v/>
      </c>
    </row>
    <row r="530" spans="3:10" ht="18.75" customHeight="1" x14ac:dyDescent="0.35">
      <c r="C530" s="100" t="str">
        <f>IF(OR(Fact_Analitica[[#This Row], [Año]]="",Fact_Analitica[[#This Row], [Mes]]=""),"",DATE(A530,MATCH(B530,{"enero","febrero","marzo","abril","mayo","junio","julio","agosto","septiembre","octubre","noviembre","diciembre"},0)+1,0))</f>
        <v/>
      </c>
      <c r="E530" t="str">
        <f>+IFERROR(VLOOKUP(Fact_Analitica[[#This Row], [Concepto Anterior]],Conceptos_Analítica_contraloría[#All],5,0),"")</f>
        <v/>
      </c>
      <c r="F530" t="str">
        <f>+IFERROR(VLOOKUP(Fact_Analitica[[#This Row], [Concepto Anterior]],Conceptos_Analítica_contraloría[#All],7,0),"")</f>
        <v/>
      </c>
      <c r="I530" t="str">
        <f>+IFERROR(VLOOKUP(D530,Conceptos_Analítica_contraloría[#All],2,0),"")</f>
        <v/>
      </c>
      <c r="J530" s="84" t="str">
        <f>+IFERROR(VLOOKUP(D530,Conceptos_Analítica_contraloría[#All],3,0),"")</f>
        <v/>
      </c>
    </row>
    <row r="531" spans="3:10" ht="18.75" customHeight="1" x14ac:dyDescent="0.35">
      <c r="C531" s="100" t="str">
        <f>IF(OR(Fact_Analitica[[#This Row], [Año]]="",Fact_Analitica[[#This Row], [Mes]]=""),"",DATE(A531,MATCH(B531,{"enero","febrero","marzo","abril","mayo","junio","julio","agosto","septiembre","octubre","noviembre","diciembre"},0)+1,0))</f>
        <v/>
      </c>
      <c r="E531" t="str">
        <f>+IFERROR(VLOOKUP(Fact_Analitica[[#This Row], [Concepto Anterior]],Conceptos_Analítica_contraloría[#All],5,0),"")</f>
        <v/>
      </c>
      <c r="F531" t="str">
        <f>+IFERROR(VLOOKUP(Fact_Analitica[[#This Row], [Concepto Anterior]],Conceptos_Analítica_contraloría[#All],7,0),"")</f>
        <v/>
      </c>
      <c r="I531" t="str">
        <f>+IFERROR(VLOOKUP(D531,Conceptos_Analítica_contraloría[#All],2,0),"")</f>
        <v/>
      </c>
      <c r="J531" s="84" t="str">
        <f>+IFERROR(VLOOKUP(D531,Conceptos_Analítica_contraloría[#All],3,0),"")</f>
        <v/>
      </c>
    </row>
    <row r="532" spans="3:10" ht="18.75" customHeight="1" x14ac:dyDescent="0.35">
      <c r="C532" s="100" t="str">
        <f>IF(OR(Fact_Analitica[[#This Row], [Año]]="",Fact_Analitica[[#This Row], [Mes]]=""),"",DATE(A532,MATCH(B532,{"enero","febrero","marzo","abril","mayo","junio","julio","agosto","septiembre","octubre","noviembre","diciembre"},0)+1,0))</f>
        <v/>
      </c>
      <c r="E532" t="str">
        <f>+IFERROR(VLOOKUP(Fact_Analitica[[#This Row], [Concepto Anterior]],Conceptos_Analítica_contraloría[#All],5,0),"")</f>
        <v/>
      </c>
      <c r="F532" t="str">
        <f>+IFERROR(VLOOKUP(Fact_Analitica[[#This Row], [Concepto Anterior]],Conceptos_Analítica_contraloría[#All],7,0),"")</f>
        <v/>
      </c>
      <c r="I532" t="str">
        <f>+IFERROR(VLOOKUP(D532,Conceptos_Analítica_contraloría[#All],2,0),"")</f>
        <v/>
      </c>
      <c r="J532" s="84" t="str">
        <f>+IFERROR(VLOOKUP(D532,Conceptos_Analítica_contraloría[#All],3,0),"")</f>
        <v/>
      </c>
    </row>
    <row r="533" spans="3:10" ht="18.75" customHeight="1" x14ac:dyDescent="0.35">
      <c r="C533" s="100" t="str">
        <f>IF(OR(Fact_Analitica[[#This Row], [Año]]="",Fact_Analitica[[#This Row], [Mes]]=""),"",DATE(A533,MATCH(B533,{"enero","febrero","marzo","abril","mayo","junio","julio","agosto","septiembre","octubre","noviembre","diciembre"},0)+1,0))</f>
        <v/>
      </c>
      <c r="E533" t="str">
        <f>+IFERROR(VLOOKUP(Fact_Analitica[[#This Row], [Concepto Anterior]],Conceptos_Analítica_contraloría[#All],5,0),"")</f>
        <v/>
      </c>
      <c r="F533" t="str">
        <f>+IFERROR(VLOOKUP(Fact_Analitica[[#This Row], [Concepto Anterior]],Conceptos_Analítica_contraloría[#All],7,0),"")</f>
        <v/>
      </c>
      <c r="I533" t="str">
        <f>+IFERROR(VLOOKUP(D533,Conceptos_Analítica_contraloría[#All],2,0),"")</f>
        <v/>
      </c>
      <c r="J533" s="84" t="str">
        <f>+IFERROR(VLOOKUP(D533,Conceptos_Analítica_contraloría[#All],3,0),"")</f>
        <v/>
      </c>
    </row>
    <row r="534" spans="3:10" ht="18.75" customHeight="1" x14ac:dyDescent="0.35">
      <c r="C534" s="100" t="str">
        <f>IF(OR(Fact_Analitica[[#This Row], [Año]]="",Fact_Analitica[[#This Row], [Mes]]=""),"",DATE(A534,MATCH(B534,{"enero","febrero","marzo","abril","mayo","junio","julio","agosto","septiembre","octubre","noviembre","diciembre"},0)+1,0))</f>
        <v/>
      </c>
      <c r="E534" t="str">
        <f>+IFERROR(VLOOKUP(Fact_Analitica[[#This Row], [Concepto Anterior]],Conceptos_Analítica_contraloría[#All],5,0),"")</f>
        <v/>
      </c>
      <c r="F534" t="str">
        <f>+IFERROR(VLOOKUP(Fact_Analitica[[#This Row], [Concepto Anterior]],Conceptos_Analítica_contraloría[#All],7,0),"")</f>
        <v/>
      </c>
      <c r="I534" t="str">
        <f>+IFERROR(VLOOKUP(D534,Conceptos_Analítica_contraloría[#All],2,0),"")</f>
        <v/>
      </c>
      <c r="J534" s="84" t="str">
        <f>+IFERROR(VLOOKUP(D534,Conceptos_Analítica_contraloría[#All],3,0),"")</f>
        <v/>
      </c>
    </row>
    <row r="535" spans="3:10" ht="18.75" customHeight="1" x14ac:dyDescent="0.35">
      <c r="C535" s="100" t="str">
        <f>IF(OR(Fact_Analitica[[#This Row], [Año]]="",Fact_Analitica[[#This Row], [Mes]]=""),"",DATE(A535,MATCH(B535,{"enero","febrero","marzo","abril","mayo","junio","julio","agosto","septiembre","octubre","noviembre","diciembre"},0)+1,0))</f>
        <v/>
      </c>
      <c r="E535" t="str">
        <f>+IFERROR(VLOOKUP(Fact_Analitica[[#This Row], [Concepto Anterior]],Conceptos_Analítica_contraloría[#All],5,0),"")</f>
        <v/>
      </c>
      <c r="F535" t="str">
        <f>+IFERROR(VLOOKUP(Fact_Analitica[[#This Row], [Concepto Anterior]],Conceptos_Analítica_contraloría[#All],7,0),"")</f>
        <v/>
      </c>
      <c r="I535" t="str">
        <f>+IFERROR(VLOOKUP(D535,Conceptos_Analítica_contraloría[#All],2,0),"")</f>
        <v/>
      </c>
      <c r="J535" s="84" t="str">
        <f>+IFERROR(VLOOKUP(D535,Conceptos_Analítica_contraloría[#All],3,0),"")</f>
        <v/>
      </c>
    </row>
    <row r="536" spans="3:10" ht="18.75" customHeight="1" x14ac:dyDescent="0.35">
      <c r="C536" s="100" t="str">
        <f>IF(OR(Fact_Analitica[[#This Row], [Año]]="",Fact_Analitica[[#This Row], [Mes]]=""),"",DATE(A536,MATCH(B536,{"enero","febrero","marzo","abril","mayo","junio","julio","agosto","septiembre","octubre","noviembre","diciembre"},0)+1,0))</f>
        <v/>
      </c>
      <c r="E536" t="str">
        <f>+IFERROR(VLOOKUP(Fact_Analitica[[#This Row], [Concepto Anterior]],Conceptos_Analítica_contraloría[#All],5,0),"")</f>
        <v/>
      </c>
      <c r="F536" t="str">
        <f>+IFERROR(VLOOKUP(Fact_Analitica[[#This Row], [Concepto Anterior]],Conceptos_Analítica_contraloría[#All],7,0),"")</f>
        <v/>
      </c>
      <c r="I536" t="str">
        <f>+IFERROR(VLOOKUP(D536,Conceptos_Analítica_contraloría[#All],2,0),"")</f>
        <v/>
      </c>
      <c r="J536" s="84" t="str">
        <f>+IFERROR(VLOOKUP(D536,Conceptos_Analítica_contraloría[#All],3,0),"")</f>
        <v/>
      </c>
    </row>
    <row r="537" spans="3:10" ht="18.75" customHeight="1" x14ac:dyDescent="0.35">
      <c r="C537" s="100" t="str">
        <f>IF(OR(Fact_Analitica[[#This Row], [Año]]="",Fact_Analitica[[#This Row], [Mes]]=""),"",DATE(A537,MATCH(B537,{"enero","febrero","marzo","abril","mayo","junio","julio","agosto","septiembre","octubre","noviembre","diciembre"},0)+1,0))</f>
        <v/>
      </c>
      <c r="E537" t="str">
        <f>+IFERROR(VLOOKUP(Fact_Analitica[[#This Row], [Concepto Anterior]],Conceptos_Analítica_contraloría[#All],5,0),"")</f>
        <v/>
      </c>
      <c r="F537" t="str">
        <f>+IFERROR(VLOOKUP(Fact_Analitica[[#This Row], [Concepto Anterior]],Conceptos_Analítica_contraloría[#All],7,0),"")</f>
        <v/>
      </c>
      <c r="I537" t="str">
        <f>+IFERROR(VLOOKUP(D537,Conceptos_Analítica_contraloría[#All],2,0),"")</f>
        <v/>
      </c>
      <c r="J537" s="84" t="str">
        <f>+IFERROR(VLOOKUP(D537,Conceptos_Analítica_contraloría[#All],3,0),"")</f>
        <v/>
      </c>
    </row>
    <row r="538" spans="3:10" ht="18.75" customHeight="1" x14ac:dyDescent="0.35">
      <c r="C538" s="100" t="str">
        <f>IF(OR(Fact_Analitica[[#This Row], [Año]]="",Fact_Analitica[[#This Row], [Mes]]=""),"",DATE(A538,MATCH(B538,{"enero","febrero","marzo","abril","mayo","junio","julio","agosto","septiembre","octubre","noviembre","diciembre"},0)+1,0))</f>
        <v/>
      </c>
      <c r="E538" t="str">
        <f>+IFERROR(VLOOKUP(Fact_Analitica[[#This Row], [Concepto Anterior]],Conceptos_Analítica_contraloría[#All],5,0),"")</f>
        <v/>
      </c>
      <c r="F538" t="str">
        <f>+IFERROR(VLOOKUP(Fact_Analitica[[#This Row], [Concepto Anterior]],Conceptos_Analítica_contraloría[#All],7,0),"")</f>
        <v/>
      </c>
      <c r="I538" t="str">
        <f>+IFERROR(VLOOKUP(D538,Conceptos_Analítica_contraloría[#All],2,0),"")</f>
        <v/>
      </c>
      <c r="J538" s="84" t="str">
        <f>+IFERROR(VLOOKUP(D538,Conceptos_Analítica_contraloría[#All],3,0),"")</f>
        <v/>
      </c>
    </row>
    <row r="539" spans="3:10" ht="18.75" customHeight="1" x14ac:dyDescent="0.35">
      <c r="C539" s="100" t="str">
        <f>IF(OR(Fact_Analitica[[#This Row], [Año]]="",Fact_Analitica[[#This Row], [Mes]]=""),"",DATE(A539,MATCH(B539,{"enero","febrero","marzo","abril","mayo","junio","julio","agosto","septiembre","octubre","noviembre","diciembre"},0)+1,0))</f>
        <v/>
      </c>
      <c r="E539" t="str">
        <f>+IFERROR(VLOOKUP(Fact_Analitica[[#This Row], [Concepto Anterior]],Conceptos_Analítica_contraloría[#All],5,0),"")</f>
        <v/>
      </c>
      <c r="F539" t="str">
        <f>+IFERROR(VLOOKUP(Fact_Analitica[[#This Row], [Concepto Anterior]],Conceptos_Analítica_contraloría[#All],7,0),"")</f>
        <v/>
      </c>
      <c r="I539" t="str">
        <f>+IFERROR(VLOOKUP(D539,Conceptos_Analítica_contraloría[#All],2,0),"")</f>
        <v/>
      </c>
      <c r="J539" s="84" t="str">
        <f>+IFERROR(VLOOKUP(D539,Conceptos_Analítica_contraloría[#All],3,0),"")</f>
        <v/>
      </c>
    </row>
    <row r="540" spans="3:10" ht="18.75" customHeight="1" x14ac:dyDescent="0.35">
      <c r="C540" s="100" t="str">
        <f>IF(OR(Fact_Analitica[[#This Row], [Año]]="",Fact_Analitica[[#This Row], [Mes]]=""),"",DATE(A540,MATCH(B540,{"enero","febrero","marzo","abril","mayo","junio","julio","agosto","septiembre","octubre","noviembre","diciembre"},0)+1,0))</f>
        <v/>
      </c>
      <c r="E540" t="str">
        <f>+IFERROR(VLOOKUP(Fact_Analitica[[#This Row], [Concepto Anterior]],Conceptos_Analítica_contraloría[#All],5,0),"")</f>
        <v/>
      </c>
      <c r="F540" t="str">
        <f>+IFERROR(VLOOKUP(Fact_Analitica[[#This Row], [Concepto Anterior]],Conceptos_Analítica_contraloría[#All],7,0),"")</f>
        <v/>
      </c>
      <c r="I540" t="str">
        <f>+IFERROR(VLOOKUP(D540,Conceptos_Analítica_contraloría[#All],2,0),"")</f>
        <v/>
      </c>
      <c r="J540" s="84" t="str">
        <f>+IFERROR(VLOOKUP(D540,Conceptos_Analítica_contraloría[#All],3,0),"")</f>
        <v/>
      </c>
    </row>
    <row r="541" spans="3:10" ht="18.75" customHeight="1" x14ac:dyDescent="0.35">
      <c r="C541" s="100" t="str">
        <f>IF(OR(Fact_Analitica[[#This Row], [Año]]="",Fact_Analitica[[#This Row], [Mes]]=""),"",DATE(A541,MATCH(B541,{"enero","febrero","marzo","abril","mayo","junio","julio","agosto","septiembre","octubre","noviembre","diciembre"},0)+1,0))</f>
        <v/>
      </c>
      <c r="E541" t="str">
        <f>+IFERROR(VLOOKUP(Fact_Analitica[[#This Row], [Concepto Anterior]],Conceptos_Analítica_contraloría[#All],5,0),"")</f>
        <v/>
      </c>
      <c r="F541" t="str">
        <f>+IFERROR(VLOOKUP(Fact_Analitica[[#This Row], [Concepto Anterior]],Conceptos_Analítica_contraloría[#All],7,0),"")</f>
        <v/>
      </c>
      <c r="I541" t="str">
        <f>+IFERROR(VLOOKUP(D541,Conceptos_Analítica_contraloría[#All],2,0),"")</f>
        <v/>
      </c>
      <c r="J541" s="84" t="str">
        <f>+IFERROR(VLOOKUP(D541,Conceptos_Analítica_contraloría[#All],3,0),"")</f>
        <v/>
      </c>
    </row>
    <row r="542" spans="3:10" ht="18.75" customHeight="1" x14ac:dyDescent="0.35">
      <c r="C542" s="100" t="str">
        <f>IF(OR(Fact_Analitica[[#This Row], [Año]]="",Fact_Analitica[[#This Row], [Mes]]=""),"",DATE(A542,MATCH(B542,{"enero","febrero","marzo","abril","mayo","junio","julio","agosto","septiembre","octubre","noviembre","diciembre"},0)+1,0))</f>
        <v/>
      </c>
      <c r="E542" t="str">
        <f>+IFERROR(VLOOKUP(Fact_Analitica[[#This Row], [Concepto Anterior]],Conceptos_Analítica_contraloría[#All],5,0),"")</f>
        <v/>
      </c>
      <c r="F542" t="str">
        <f>+IFERROR(VLOOKUP(Fact_Analitica[[#This Row], [Concepto Anterior]],Conceptos_Analítica_contraloría[#All],7,0),"")</f>
        <v/>
      </c>
      <c r="I542" t="str">
        <f>+IFERROR(VLOOKUP(D542,Conceptos_Analítica_contraloría[#All],2,0),"")</f>
        <v/>
      </c>
      <c r="J542" s="84" t="str">
        <f>+IFERROR(VLOOKUP(D542,Conceptos_Analítica_contraloría[#All],3,0),"")</f>
        <v/>
      </c>
    </row>
    <row r="543" spans="3:10" ht="18.75" customHeight="1" x14ac:dyDescent="0.35">
      <c r="C543" s="100" t="str">
        <f>IF(OR(Fact_Analitica[[#This Row], [Año]]="",Fact_Analitica[[#This Row], [Mes]]=""),"",DATE(A543,MATCH(B543,{"enero","febrero","marzo","abril","mayo","junio","julio","agosto","septiembre","octubre","noviembre","diciembre"},0)+1,0))</f>
        <v/>
      </c>
      <c r="E543" t="str">
        <f>+IFERROR(VLOOKUP(Fact_Analitica[[#This Row], [Concepto Anterior]],Conceptos_Analítica_contraloría[#All],5,0),"")</f>
        <v/>
      </c>
      <c r="F543" t="str">
        <f>+IFERROR(VLOOKUP(Fact_Analitica[[#This Row], [Concepto Anterior]],Conceptos_Analítica_contraloría[#All],7,0),"")</f>
        <v/>
      </c>
      <c r="I543" t="str">
        <f>+IFERROR(VLOOKUP(D543,Conceptos_Analítica_contraloría[#All],2,0),"")</f>
        <v/>
      </c>
      <c r="J543" s="84" t="str">
        <f>+IFERROR(VLOOKUP(D543,Conceptos_Analítica_contraloría[#All],3,0),"")</f>
        <v/>
      </c>
    </row>
    <row r="544" spans="3:10" ht="18.75" customHeight="1" x14ac:dyDescent="0.35">
      <c r="C544" s="100" t="str">
        <f>IF(OR(Fact_Analitica[[#This Row], [Año]]="",Fact_Analitica[[#This Row], [Mes]]=""),"",DATE(A544,MATCH(B544,{"enero","febrero","marzo","abril","mayo","junio","julio","agosto","septiembre","octubre","noviembre","diciembre"},0)+1,0))</f>
        <v/>
      </c>
      <c r="E544" t="str">
        <f>+IFERROR(VLOOKUP(Fact_Analitica[[#This Row], [Concepto Anterior]],Conceptos_Analítica_contraloría[#All],5,0),"")</f>
        <v/>
      </c>
      <c r="F544" t="str">
        <f>+IFERROR(VLOOKUP(Fact_Analitica[[#This Row], [Concepto Anterior]],Conceptos_Analítica_contraloría[#All],7,0),"")</f>
        <v/>
      </c>
      <c r="I544" t="str">
        <f>+IFERROR(VLOOKUP(D544,Conceptos_Analítica_contraloría[#All],2,0),"")</f>
        <v/>
      </c>
      <c r="J544" s="84" t="str">
        <f>+IFERROR(VLOOKUP(D544,Conceptos_Analítica_contraloría[#All],3,0),"")</f>
        <v/>
      </c>
    </row>
    <row r="545" spans="3:10" ht="18.75" customHeight="1" x14ac:dyDescent="0.35">
      <c r="C545" s="100" t="str">
        <f>IF(OR(Fact_Analitica[[#This Row], [Año]]="",Fact_Analitica[[#This Row], [Mes]]=""),"",DATE(A545,MATCH(B545,{"enero","febrero","marzo","abril","mayo","junio","julio","agosto","septiembre","octubre","noviembre","diciembre"},0)+1,0))</f>
        <v/>
      </c>
      <c r="E545" t="str">
        <f>+IFERROR(VLOOKUP(Fact_Analitica[[#This Row], [Concepto Anterior]],Conceptos_Analítica_contraloría[#All],5,0),"")</f>
        <v/>
      </c>
      <c r="F545" t="str">
        <f>+IFERROR(VLOOKUP(Fact_Analitica[[#This Row], [Concepto Anterior]],Conceptos_Analítica_contraloría[#All],7,0),"")</f>
        <v/>
      </c>
      <c r="I545" t="str">
        <f>+IFERROR(VLOOKUP(D545,Conceptos_Analítica_contraloría[#All],2,0),"")</f>
        <v/>
      </c>
      <c r="J545" s="84" t="str">
        <f>+IFERROR(VLOOKUP(D545,Conceptos_Analítica_contraloría[#All],3,0),"")</f>
        <v/>
      </c>
    </row>
    <row r="546" spans="3:10" ht="18.75" customHeight="1" x14ac:dyDescent="0.35">
      <c r="C546" s="100" t="str">
        <f>IF(OR(Fact_Analitica[[#This Row], [Año]]="",Fact_Analitica[[#This Row], [Mes]]=""),"",DATE(A546,MATCH(B546,{"enero","febrero","marzo","abril","mayo","junio","julio","agosto","septiembre","octubre","noviembre","diciembre"},0)+1,0))</f>
        <v/>
      </c>
      <c r="E546" t="str">
        <f>+IFERROR(VLOOKUP(Fact_Analitica[[#This Row], [Concepto Anterior]],Conceptos_Analítica_contraloría[#All],5,0),"")</f>
        <v/>
      </c>
      <c r="F546" t="str">
        <f>+IFERROR(VLOOKUP(Fact_Analitica[[#This Row], [Concepto Anterior]],Conceptos_Analítica_contraloría[#All],7,0),"")</f>
        <v/>
      </c>
      <c r="I546" t="str">
        <f>+IFERROR(VLOOKUP(D546,Conceptos_Analítica_contraloría[#All],2,0),"")</f>
        <v/>
      </c>
      <c r="J546" s="84" t="str">
        <f>+IFERROR(VLOOKUP(D546,Conceptos_Analítica_contraloría[#All],3,0),"")</f>
        <v/>
      </c>
    </row>
    <row r="547" spans="3:10" ht="18.75" customHeight="1" x14ac:dyDescent="0.35">
      <c r="C547" s="100" t="str">
        <f>IF(OR(Fact_Analitica[[#This Row], [Año]]="",Fact_Analitica[[#This Row], [Mes]]=""),"",DATE(A547,MATCH(B547,{"enero","febrero","marzo","abril","mayo","junio","julio","agosto","septiembre","octubre","noviembre","diciembre"},0)+1,0))</f>
        <v/>
      </c>
      <c r="E547" t="str">
        <f>+IFERROR(VLOOKUP(Fact_Analitica[[#This Row], [Concepto Anterior]],Conceptos_Analítica_contraloría[#All],5,0),"")</f>
        <v/>
      </c>
      <c r="F547" t="str">
        <f>+IFERROR(VLOOKUP(Fact_Analitica[[#This Row], [Concepto Anterior]],Conceptos_Analítica_contraloría[#All],7,0),"")</f>
        <v/>
      </c>
      <c r="I547" t="str">
        <f>+IFERROR(VLOOKUP(D547,Conceptos_Analítica_contraloría[#All],2,0),"")</f>
        <v/>
      </c>
      <c r="J547" s="84" t="str">
        <f>+IFERROR(VLOOKUP(D547,Conceptos_Analítica_contraloría[#All],3,0),"")</f>
        <v/>
      </c>
    </row>
    <row r="548" spans="3:10" ht="18.75" customHeight="1" x14ac:dyDescent="0.35">
      <c r="C548" s="100" t="str">
        <f>IF(OR(Fact_Analitica[[#This Row], [Año]]="",Fact_Analitica[[#This Row], [Mes]]=""),"",DATE(A548,MATCH(B548,{"enero","febrero","marzo","abril","mayo","junio","julio","agosto","septiembre","octubre","noviembre","diciembre"},0)+1,0))</f>
        <v/>
      </c>
      <c r="E548" t="str">
        <f>+IFERROR(VLOOKUP(Fact_Analitica[[#This Row], [Concepto Anterior]],Conceptos_Analítica_contraloría[#All],5,0),"")</f>
        <v/>
      </c>
      <c r="F548" t="str">
        <f>+IFERROR(VLOOKUP(Fact_Analitica[[#This Row], [Concepto Anterior]],Conceptos_Analítica_contraloría[#All],7,0),"")</f>
        <v/>
      </c>
      <c r="I548" t="str">
        <f>+IFERROR(VLOOKUP(D548,Conceptos_Analítica_contraloría[#All],2,0),"")</f>
        <v/>
      </c>
      <c r="J548" s="84" t="str">
        <f>+IFERROR(VLOOKUP(D548,Conceptos_Analítica_contraloría[#All],3,0),"")</f>
        <v/>
      </c>
    </row>
    <row r="549" spans="3:10" ht="18.75" customHeight="1" x14ac:dyDescent="0.35">
      <c r="C549" s="100" t="str">
        <f>IF(OR(Fact_Analitica[[#This Row], [Año]]="",Fact_Analitica[[#This Row], [Mes]]=""),"",DATE(A549,MATCH(B549,{"enero","febrero","marzo","abril","mayo","junio","julio","agosto","septiembre","octubre","noviembre","diciembre"},0)+1,0))</f>
        <v/>
      </c>
      <c r="E549" t="str">
        <f>+IFERROR(VLOOKUP(Fact_Analitica[[#This Row], [Concepto Anterior]],Conceptos_Analítica_contraloría[#All],5,0),"")</f>
        <v/>
      </c>
      <c r="F549" t="str">
        <f>+IFERROR(VLOOKUP(Fact_Analitica[[#This Row], [Concepto Anterior]],Conceptos_Analítica_contraloría[#All],7,0),"")</f>
        <v/>
      </c>
      <c r="I549" t="str">
        <f>+IFERROR(VLOOKUP(D549,Conceptos_Analítica_contraloría[#All],2,0),"")</f>
        <v/>
      </c>
      <c r="J549" s="84" t="str">
        <f>+IFERROR(VLOOKUP(D549,Conceptos_Analítica_contraloría[#All],3,0),"")</f>
        <v/>
      </c>
    </row>
    <row r="550" spans="3:10" ht="18.75" customHeight="1" x14ac:dyDescent="0.35">
      <c r="C550" s="100" t="str">
        <f>IF(OR(Fact_Analitica[[#This Row], [Año]]="",Fact_Analitica[[#This Row], [Mes]]=""),"",DATE(A550,MATCH(B550,{"enero","febrero","marzo","abril","mayo","junio","julio","agosto","septiembre","octubre","noviembre","diciembre"},0)+1,0))</f>
        <v/>
      </c>
      <c r="E550" t="str">
        <f>+IFERROR(VLOOKUP(Fact_Analitica[[#This Row], [Concepto Anterior]],Conceptos_Analítica_contraloría[#All],5,0),"")</f>
        <v/>
      </c>
      <c r="F550" t="str">
        <f>+IFERROR(VLOOKUP(Fact_Analitica[[#This Row], [Concepto Anterior]],Conceptos_Analítica_contraloría[#All],7,0),"")</f>
        <v/>
      </c>
      <c r="I550" t="str">
        <f>+IFERROR(VLOOKUP(D550,Conceptos_Analítica_contraloría[#All],2,0),"")</f>
        <v/>
      </c>
      <c r="J550" s="84" t="str">
        <f>+IFERROR(VLOOKUP(D550,Conceptos_Analítica_contraloría[#All],3,0),"")</f>
        <v/>
      </c>
    </row>
    <row r="551" spans="3:10" ht="18.75" customHeight="1" x14ac:dyDescent="0.35">
      <c r="C551" s="100" t="str">
        <f>IF(OR(Fact_Analitica[[#This Row], [Año]]="",Fact_Analitica[[#This Row], [Mes]]=""),"",DATE(A551,MATCH(B551,{"enero","febrero","marzo","abril","mayo","junio","julio","agosto","septiembre","octubre","noviembre","diciembre"},0)+1,0))</f>
        <v/>
      </c>
      <c r="E551" t="str">
        <f>+IFERROR(VLOOKUP(Fact_Analitica[[#This Row], [Concepto Anterior]],Conceptos_Analítica_contraloría[#All],5,0),"")</f>
        <v/>
      </c>
      <c r="F551" t="str">
        <f>+IFERROR(VLOOKUP(Fact_Analitica[[#This Row], [Concepto Anterior]],Conceptos_Analítica_contraloría[#All],7,0),"")</f>
        <v/>
      </c>
      <c r="I551" t="str">
        <f>+IFERROR(VLOOKUP(D551,Conceptos_Analítica_contraloría[#All],2,0),"")</f>
        <v/>
      </c>
      <c r="J551" s="84" t="str">
        <f>+IFERROR(VLOOKUP(D551,Conceptos_Analítica_contraloría[#All],3,0),"")</f>
        <v/>
      </c>
    </row>
    <row r="552" spans="3:10" ht="18.75" customHeight="1" x14ac:dyDescent="0.35">
      <c r="C552" s="100" t="str">
        <f>IF(OR(Fact_Analitica[[#This Row], [Año]]="",Fact_Analitica[[#This Row], [Mes]]=""),"",DATE(A552,MATCH(B552,{"enero","febrero","marzo","abril","mayo","junio","julio","agosto","septiembre","octubre","noviembre","diciembre"},0)+1,0))</f>
        <v/>
      </c>
      <c r="E552" t="str">
        <f>+IFERROR(VLOOKUP(Fact_Analitica[[#This Row], [Concepto Anterior]],Conceptos_Analítica_contraloría[#All],5,0),"")</f>
        <v/>
      </c>
      <c r="F552" t="str">
        <f>+IFERROR(VLOOKUP(Fact_Analitica[[#This Row], [Concepto Anterior]],Conceptos_Analítica_contraloría[#All],7,0),"")</f>
        <v/>
      </c>
      <c r="I552" t="str">
        <f>+IFERROR(VLOOKUP(D552,Conceptos_Analítica_contraloría[#All],2,0),"")</f>
        <v/>
      </c>
      <c r="J552" s="84" t="str">
        <f>+IFERROR(VLOOKUP(D552,Conceptos_Analítica_contraloría[#All],3,0),"")</f>
        <v/>
      </c>
    </row>
    <row r="553" spans="3:10" ht="18.75" customHeight="1" x14ac:dyDescent="0.35">
      <c r="C553" s="100" t="str">
        <f>IF(OR(Fact_Analitica[[#This Row], [Año]]="",Fact_Analitica[[#This Row], [Mes]]=""),"",DATE(A553,MATCH(B553,{"enero","febrero","marzo","abril","mayo","junio","julio","agosto","septiembre","octubre","noviembre","diciembre"},0)+1,0))</f>
        <v/>
      </c>
      <c r="E553" t="str">
        <f>+IFERROR(VLOOKUP(Fact_Analitica[[#This Row], [Concepto Anterior]],Conceptos_Analítica_contraloría[#All],5,0),"")</f>
        <v/>
      </c>
      <c r="F553" t="str">
        <f>+IFERROR(VLOOKUP(Fact_Analitica[[#This Row], [Concepto Anterior]],Conceptos_Analítica_contraloría[#All],7,0),"")</f>
        <v/>
      </c>
      <c r="I553" t="str">
        <f>+IFERROR(VLOOKUP(D553,Conceptos_Analítica_contraloría[#All],2,0),"")</f>
        <v/>
      </c>
      <c r="J553" s="84" t="str">
        <f>+IFERROR(VLOOKUP(D553,Conceptos_Analítica_contraloría[#All],3,0),"")</f>
        <v/>
      </c>
    </row>
    <row r="554" spans="3:10" ht="18.75" customHeight="1" x14ac:dyDescent="0.35">
      <c r="C554" s="100" t="str">
        <f>IF(OR(Fact_Analitica[[#This Row], [Año]]="",Fact_Analitica[[#This Row], [Mes]]=""),"",DATE(A554,MATCH(B554,{"enero","febrero","marzo","abril","mayo","junio","julio","agosto","septiembre","octubre","noviembre","diciembre"},0)+1,0))</f>
        <v/>
      </c>
      <c r="E554" t="str">
        <f>+IFERROR(VLOOKUP(Fact_Analitica[[#This Row], [Concepto Anterior]],Conceptos_Analítica_contraloría[#All],5,0),"")</f>
        <v/>
      </c>
      <c r="F554" t="str">
        <f>+IFERROR(VLOOKUP(Fact_Analitica[[#This Row], [Concepto Anterior]],Conceptos_Analítica_contraloría[#All],7,0),"")</f>
        <v/>
      </c>
      <c r="I554" t="str">
        <f>+IFERROR(VLOOKUP(D554,Conceptos_Analítica_contraloría[#All],2,0),"")</f>
        <v/>
      </c>
      <c r="J554" s="84" t="str">
        <f>+IFERROR(VLOOKUP(D554,Conceptos_Analítica_contraloría[#All],3,0),"")</f>
        <v/>
      </c>
    </row>
    <row r="555" spans="3:10" ht="18.75" customHeight="1" x14ac:dyDescent="0.35">
      <c r="C555" s="100" t="str">
        <f>IF(OR(Fact_Analitica[[#This Row], [Año]]="",Fact_Analitica[[#This Row], [Mes]]=""),"",DATE(A555,MATCH(B555,{"enero","febrero","marzo","abril","mayo","junio","julio","agosto","septiembre","octubre","noviembre","diciembre"},0)+1,0))</f>
        <v/>
      </c>
      <c r="E555" t="str">
        <f>+IFERROR(VLOOKUP(Fact_Analitica[[#This Row], [Concepto Anterior]],Conceptos_Analítica_contraloría[#All],5,0),"")</f>
        <v/>
      </c>
      <c r="F555" t="str">
        <f>+IFERROR(VLOOKUP(Fact_Analitica[[#This Row], [Concepto Anterior]],Conceptos_Analítica_contraloría[#All],7,0),"")</f>
        <v/>
      </c>
      <c r="I555" t="str">
        <f>+IFERROR(VLOOKUP(D555,Conceptos_Analítica_contraloría[#All],2,0),"")</f>
        <v/>
      </c>
      <c r="J555" s="84" t="str">
        <f>+IFERROR(VLOOKUP(D555,Conceptos_Analítica_contraloría[#All],3,0),"")</f>
        <v/>
      </c>
    </row>
    <row r="556" spans="3:10" ht="18.75" customHeight="1" x14ac:dyDescent="0.35">
      <c r="C556" s="100" t="str">
        <f>IF(OR(Fact_Analitica[[#This Row], [Año]]="",Fact_Analitica[[#This Row], [Mes]]=""),"",DATE(A556,MATCH(B556,{"enero","febrero","marzo","abril","mayo","junio","julio","agosto","septiembre","octubre","noviembre","diciembre"},0)+1,0))</f>
        <v/>
      </c>
      <c r="E556" t="str">
        <f>+IFERROR(VLOOKUP(Fact_Analitica[[#This Row], [Concepto Anterior]],Conceptos_Analítica_contraloría[#All],5,0),"")</f>
        <v/>
      </c>
      <c r="F556" t="str">
        <f>+IFERROR(VLOOKUP(Fact_Analitica[[#This Row], [Concepto Anterior]],Conceptos_Analítica_contraloría[#All],7,0),"")</f>
        <v/>
      </c>
      <c r="I556" t="str">
        <f>+IFERROR(VLOOKUP(D556,Conceptos_Analítica_contraloría[#All],2,0),"")</f>
        <v/>
      </c>
      <c r="J556" s="84" t="str">
        <f>+IFERROR(VLOOKUP(D556,Conceptos_Analítica_contraloría[#All],3,0),"")</f>
        <v/>
      </c>
    </row>
    <row r="557" spans="3:10" ht="18.75" customHeight="1" x14ac:dyDescent="0.35">
      <c r="C557" s="100" t="str">
        <f>IF(OR(Fact_Analitica[[#This Row], [Año]]="",Fact_Analitica[[#This Row], [Mes]]=""),"",DATE(A557,MATCH(B557,{"enero","febrero","marzo","abril","mayo","junio","julio","agosto","septiembre","octubre","noviembre","diciembre"},0)+1,0))</f>
        <v/>
      </c>
      <c r="E557" t="str">
        <f>+IFERROR(VLOOKUP(Fact_Analitica[[#This Row], [Concepto Anterior]],Conceptos_Analítica_contraloría[#All],5,0),"")</f>
        <v/>
      </c>
      <c r="F557" t="str">
        <f>+IFERROR(VLOOKUP(Fact_Analitica[[#This Row], [Concepto Anterior]],Conceptos_Analítica_contraloría[#All],7,0),"")</f>
        <v/>
      </c>
      <c r="I557" t="str">
        <f>+IFERROR(VLOOKUP(D557,Conceptos_Analítica_contraloría[#All],2,0),"")</f>
        <v/>
      </c>
      <c r="J557" s="84" t="str">
        <f>+IFERROR(VLOOKUP(D557,Conceptos_Analítica_contraloría[#All],3,0),"")</f>
        <v/>
      </c>
    </row>
    <row r="558" spans="3:10" ht="18.75" customHeight="1" x14ac:dyDescent="0.35">
      <c r="C558" s="100" t="str">
        <f>IF(OR(Fact_Analitica[[#This Row], [Año]]="",Fact_Analitica[[#This Row], [Mes]]=""),"",DATE(A558,MATCH(B558,{"enero","febrero","marzo","abril","mayo","junio","julio","agosto","septiembre","octubre","noviembre","diciembre"},0)+1,0))</f>
        <v/>
      </c>
      <c r="E558" t="str">
        <f>+IFERROR(VLOOKUP(Fact_Analitica[[#This Row], [Concepto Anterior]],Conceptos_Analítica_contraloría[#All],5,0),"")</f>
        <v/>
      </c>
      <c r="F558" t="str">
        <f>+IFERROR(VLOOKUP(Fact_Analitica[[#This Row], [Concepto Anterior]],Conceptos_Analítica_contraloría[#All],7,0),"")</f>
        <v/>
      </c>
      <c r="I558" t="str">
        <f>+IFERROR(VLOOKUP(D558,Conceptos_Analítica_contraloría[#All],2,0),"")</f>
        <v/>
      </c>
      <c r="J558" s="84" t="str">
        <f>+IFERROR(VLOOKUP(D558,Conceptos_Analítica_contraloría[#All],3,0),"")</f>
        <v/>
      </c>
    </row>
    <row r="559" spans="3:10" ht="18.75" customHeight="1" x14ac:dyDescent="0.35">
      <c r="C559" s="100" t="str">
        <f>IF(OR(Fact_Analitica[[#This Row], [Año]]="",Fact_Analitica[[#This Row], [Mes]]=""),"",DATE(A559,MATCH(B559,{"enero","febrero","marzo","abril","mayo","junio","julio","agosto","septiembre","octubre","noviembre","diciembre"},0)+1,0))</f>
        <v/>
      </c>
      <c r="E559" t="str">
        <f>+IFERROR(VLOOKUP(Fact_Analitica[[#This Row], [Concepto Anterior]],Conceptos_Analítica_contraloría[#All],5,0),"")</f>
        <v/>
      </c>
      <c r="F559" t="str">
        <f>+IFERROR(VLOOKUP(Fact_Analitica[[#This Row], [Concepto Anterior]],Conceptos_Analítica_contraloría[#All],7,0),"")</f>
        <v/>
      </c>
      <c r="I559" t="str">
        <f>+IFERROR(VLOOKUP(D559,Conceptos_Analítica_contraloría[#All],2,0),"")</f>
        <v/>
      </c>
      <c r="J559" s="84" t="str">
        <f>+IFERROR(VLOOKUP(D559,Conceptos_Analítica_contraloría[#All],3,0),"")</f>
        <v/>
      </c>
    </row>
    <row r="560" spans="3:10" ht="18.75" customHeight="1" x14ac:dyDescent="0.35">
      <c r="C560" s="100" t="str">
        <f>IF(OR(Fact_Analitica[[#This Row], [Año]]="",Fact_Analitica[[#This Row], [Mes]]=""),"",DATE(A560,MATCH(B560,{"enero","febrero","marzo","abril","mayo","junio","julio","agosto","septiembre","octubre","noviembre","diciembre"},0)+1,0))</f>
        <v/>
      </c>
      <c r="E560" t="str">
        <f>+IFERROR(VLOOKUP(Fact_Analitica[[#This Row], [Concepto Anterior]],Conceptos_Analítica_contraloría[#All],5,0),"")</f>
        <v/>
      </c>
      <c r="F560" t="str">
        <f>+IFERROR(VLOOKUP(Fact_Analitica[[#This Row], [Concepto Anterior]],Conceptos_Analítica_contraloría[#All],7,0),"")</f>
        <v/>
      </c>
      <c r="I560" t="str">
        <f>+IFERROR(VLOOKUP(D560,Conceptos_Analítica_contraloría[#All],2,0),"")</f>
        <v/>
      </c>
      <c r="J560" s="84" t="str">
        <f>+IFERROR(VLOOKUP(D560,Conceptos_Analítica_contraloría[#All],3,0),"")</f>
        <v/>
      </c>
    </row>
    <row r="561" spans="3:10" ht="18.75" customHeight="1" x14ac:dyDescent="0.35">
      <c r="C561" s="100" t="str">
        <f>IF(OR(Fact_Analitica[[#This Row], [Año]]="",Fact_Analitica[[#This Row], [Mes]]=""),"",DATE(A561,MATCH(B561,{"enero","febrero","marzo","abril","mayo","junio","julio","agosto","septiembre","octubre","noviembre","diciembre"},0)+1,0))</f>
        <v/>
      </c>
      <c r="E561" t="str">
        <f>+IFERROR(VLOOKUP(Fact_Analitica[[#This Row], [Concepto Anterior]],Conceptos_Analítica_contraloría[#All],5,0),"")</f>
        <v/>
      </c>
      <c r="F561" t="str">
        <f>+IFERROR(VLOOKUP(Fact_Analitica[[#This Row], [Concepto Anterior]],Conceptos_Analítica_contraloría[#All],7,0),"")</f>
        <v/>
      </c>
      <c r="I561" t="str">
        <f>+IFERROR(VLOOKUP(D561,Conceptos_Analítica_contraloría[#All],2,0),"")</f>
        <v/>
      </c>
      <c r="J561" s="84" t="str">
        <f>+IFERROR(VLOOKUP(D561,Conceptos_Analítica_contraloría[#All],3,0),"")</f>
        <v/>
      </c>
    </row>
    <row r="562" spans="3:10" ht="18.75" customHeight="1" x14ac:dyDescent="0.35">
      <c r="C562" s="100" t="str">
        <f>IF(OR(Fact_Analitica[[#This Row], [Año]]="",Fact_Analitica[[#This Row], [Mes]]=""),"",DATE(A562,MATCH(B562,{"enero","febrero","marzo","abril","mayo","junio","julio","agosto","septiembre","octubre","noviembre","diciembre"},0)+1,0))</f>
        <v/>
      </c>
      <c r="E562" t="str">
        <f>+IFERROR(VLOOKUP(Fact_Analitica[[#This Row], [Concepto Anterior]],Conceptos_Analítica_contraloría[#All],5,0),"")</f>
        <v/>
      </c>
      <c r="F562" t="str">
        <f>+IFERROR(VLOOKUP(Fact_Analitica[[#This Row], [Concepto Anterior]],Conceptos_Analítica_contraloría[#All],7,0),"")</f>
        <v/>
      </c>
      <c r="I562" t="str">
        <f>+IFERROR(VLOOKUP(D562,Conceptos_Analítica_contraloría[#All],2,0),"")</f>
        <v/>
      </c>
      <c r="J562" s="84" t="str">
        <f>+IFERROR(VLOOKUP(D562,Conceptos_Analítica_contraloría[#All],3,0),"")</f>
        <v/>
      </c>
    </row>
    <row r="563" spans="3:10" ht="18.75" customHeight="1" x14ac:dyDescent="0.35">
      <c r="C563" s="100" t="str">
        <f>IF(OR(Fact_Analitica[[#This Row], [Año]]="",Fact_Analitica[[#This Row], [Mes]]=""),"",DATE(A563,MATCH(B563,{"enero","febrero","marzo","abril","mayo","junio","julio","agosto","septiembre","octubre","noviembre","diciembre"},0)+1,0))</f>
        <v/>
      </c>
      <c r="E563" t="str">
        <f>+IFERROR(VLOOKUP(Fact_Analitica[[#This Row], [Concepto Anterior]],Conceptos_Analítica_contraloría[#All],5,0),"")</f>
        <v/>
      </c>
      <c r="F563" t="str">
        <f>+IFERROR(VLOOKUP(Fact_Analitica[[#This Row], [Concepto Anterior]],Conceptos_Analítica_contraloría[#All],7,0),"")</f>
        <v/>
      </c>
      <c r="I563" t="str">
        <f>+IFERROR(VLOOKUP(D563,Conceptos_Analítica_contraloría[#All],2,0),"")</f>
        <v/>
      </c>
      <c r="J563" s="84" t="str">
        <f>+IFERROR(VLOOKUP(D563,Conceptos_Analítica_contraloría[#All],3,0),"")</f>
        <v/>
      </c>
    </row>
    <row r="564" spans="3:10" ht="18.75" customHeight="1" x14ac:dyDescent="0.35">
      <c r="C564" s="100" t="str">
        <f>IF(OR(Fact_Analitica[[#This Row], [Año]]="",Fact_Analitica[[#This Row], [Mes]]=""),"",DATE(A564,MATCH(B564,{"enero","febrero","marzo","abril","mayo","junio","julio","agosto","septiembre","octubre","noviembre","diciembre"},0)+1,0))</f>
        <v/>
      </c>
      <c r="E564" t="str">
        <f>+IFERROR(VLOOKUP(Fact_Analitica[[#This Row], [Concepto Anterior]],Conceptos_Analítica_contraloría[#All],5,0),"")</f>
        <v/>
      </c>
      <c r="F564" t="str">
        <f>+IFERROR(VLOOKUP(Fact_Analitica[[#This Row], [Concepto Anterior]],Conceptos_Analítica_contraloría[#All],7,0),"")</f>
        <v/>
      </c>
      <c r="I564" t="str">
        <f>+IFERROR(VLOOKUP(D564,Conceptos_Analítica_contraloría[#All],2,0),"")</f>
        <v/>
      </c>
      <c r="J564" s="84" t="str">
        <f>+IFERROR(VLOOKUP(D564,Conceptos_Analítica_contraloría[#All],3,0),"")</f>
        <v/>
      </c>
    </row>
    <row r="565" spans="3:10" ht="18.75" customHeight="1" x14ac:dyDescent="0.35">
      <c r="C565" s="100" t="str">
        <f>IF(OR(Fact_Analitica[[#This Row], [Año]]="",Fact_Analitica[[#This Row], [Mes]]=""),"",DATE(A565,MATCH(B565,{"enero","febrero","marzo","abril","mayo","junio","julio","agosto","septiembre","octubre","noviembre","diciembre"},0)+1,0))</f>
        <v/>
      </c>
      <c r="E565" t="str">
        <f>+IFERROR(VLOOKUP(Fact_Analitica[[#This Row], [Concepto Anterior]],Conceptos_Analítica_contraloría[#All],5,0),"")</f>
        <v/>
      </c>
      <c r="F565" t="str">
        <f>+IFERROR(VLOOKUP(Fact_Analitica[[#This Row], [Concepto Anterior]],Conceptos_Analítica_contraloría[#All],7,0),"")</f>
        <v/>
      </c>
      <c r="I565" t="str">
        <f>+IFERROR(VLOOKUP(D565,Conceptos_Analítica_contraloría[#All],2,0),"")</f>
        <v/>
      </c>
      <c r="J565" s="84" t="str">
        <f>+IFERROR(VLOOKUP(D565,Conceptos_Analítica_contraloría[#All],3,0),"")</f>
        <v/>
      </c>
    </row>
    <row r="566" spans="3:10" ht="18.75" customHeight="1" x14ac:dyDescent="0.35">
      <c r="C566" s="100" t="str">
        <f>IF(OR(Fact_Analitica[[#This Row], [Año]]="",Fact_Analitica[[#This Row], [Mes]]=""),"",DATE(A566,MATCH(B566,{"enero","febrero","marzo","abril","mayo","junio","julio","agosto","septiembre","octubre","noviembre","diciembre"},0)+1,0))</f>
        <v/>
      </c>
      <c r="E566" t="str">
        <f>+IFERROR(VLOOKUP(Fact_Analitica[[#This Row], [Concepto Anterior]],Conceptos_Analítica_contraloría[#All],5,0),"")</f>
        <v/>
      </c>
      <c r="F566" t="str">
        <f>+IFERROR(VLOOKUP(Fact_Analitica[[#This Row], [Concepto Anterior]],Conceptos_Analítica_contraloría[#All],7,0),"")</f>
        <v/>
      </c>
      <c r="I566" t="str">
        <f>+IFERROR(VLOOKUP(D566,Conceptos_Analítica_contraloría[#All],2,0),"")</f>
        <v/>
      </c>
      <c r="J566" s="84" t="str">
        <f>+IFERROR(VLOOKUP(D566,Conceptos_Analítica_contraloría[#All],3,0),"")</f>
        <v/>
      </c>
    </row>
    <row r="567" spans="3:10" ht="18.75" customHeight="1" x14ac:dyDescent="0.35">
      <c r="C567" s="100" t="str">
        <f>IF(OR(Fact_Analitica[[#This Row], [Año]]="",Fact_Analitica[[#This Row], [Mes]]=""),"",DATE(A567,MATCH(B567,{"enero","febrero","marzo","abril","mayo","junio","julio","agosto","septiembre","octubre","noviembre","diciembre"},0)+1,0))</f>
        <v/>
      </c>
      <c r="E567" t="str">
        <f>+IFERROR(VLOOKUP(Fact_Analitica[[#This Row], [Concepto Anterior]],Conceptos_Analítica_contraloría[#All],5,0),"")</f>
        <v/>
      </c>
      <c r="F567" t="str">
        <f>+IFERROR(VLOOKUP(Fact_Analitica[[#This Row], [Concepto Anterior]],Conceptos_Analítica_contraloría[#All],7,0),"")</f>
        <v/>
      </c>
      <c r="I567" t="str">
        <f>+IFERROR(VLOOKUP(D567,Conceptos_Analítica_contraloría[#All],2,0),"")</f>
        <v/>
      </c>
      <c r="J567" s="84" t="str">
        <f>+IFERROR(VLOOKUP(D567,Conceptos_Analítica_contraloría[#All],3,0),"")</f>
        <v/>
      </c>
    </row>
    <row r="568" spans="3:10" ht="18.75" customHeight="1" x14ac:dyDescent="0.35">
      <c r="C568" s="100" t="str">
        <f>IF(OR(Fact_Analitica[[#This Row], [Año]]="",Fact_Analitica[[#This Row], [Mes]]=""),"",DATE(A568,MATCH(B568,{"enero","febrero","marzo","abril","mayo","junio","julio","agosto","septiembre","octubre","noviembre","diciembre"},0)+1,0))</f>
        <v/>
      </c>
      <c r="E568" t="str">
        <f>+IFERROR(VLOOKUP(Fact_Analitica[[#This Row], [Concepto Anterior]],Conceptos_Analítica_contraloría[#All],5,0),"")</f>
        <v/>
      </c>
      <c r="F568" t="str">
        <f>+IFERROR(VLOOKUP(Fact_Analitica[[#This Row], [Concepto Anterior]],Conceptos_Analítica_contraloría[#All],7,0),"")</f>
        <v/>
      </c>
      <c r="I568" t="str">
        <f>+IFERROR(VLOOKUP(D568,Conceptos_Analítica_contraloría[#All],2,0),"")</f>
        <v/>
      </c>
      <c r="J568" s="84" t="str">
        <f>+IFERROR(VLOOKUP(D568,Conceptos_Analítica_contraloría[#All],3,0),"")</f>
        <v/>
      </c>
    </row>
    <row r="569" spans="3:10" ht="18.75" customHeight="1" x14ac:dyDescent="0.35">
      <c r="C569" s="100" t="str">
        <f>IF(OR(Fact_Analitica[[#This Row], [Año]]="",Fact_Analitica[[#This Row], [Mes]]=""),"",DATE(A569,MATCH(B569,{"enero","febrero","marzo","abril","mayo","junio","julio","agosto","septiembre","octubre","noviembre","diciembre"},0)+1,0))</f>
        <v/>
      </c>
      <c r="E569" t="str">
        <f>+IFERROR(VLOOKUP(Fact_Analitica[[#This Row], [Concepto Anterior]],Conceptos_Analítica_contraloría[#All],5,0),"")</f>
        <v/>
      </c>
      <c r="F569" t="str">
        <f>+IFERROR(VLOOKUP(Fact_Analitica[[#This Row], [Concepto Anterior]],Conceptos_Analítica_contraloría[#All],7,0),"")</f>
        <v/>
      </c>
      <c r="I569" t="str">
        <f>+IFERROR(VLOOKUP(D569,Conceptos_Analítica_contraloría[#All],2,0),"")</f>
        <v/>
      </c>
      <c r="J569" s="84" t="str">
        <f>+IFERROR(VLOOKUP(D569,Conceptos_Analítica_contraloría[#All],3,0),"")</f>
        <v/>
      </c>
    </row>
    <row r="570" spans="3:10" ht="18.75" customHeight="1" x14ac:dyDescent="0.35">
      <c r="C570" s="100" t="str">
        <f>IF(OR(Fact_Analitica[[#This Row], [Año]]="",Fact_Analitica[[#This Row], [Mes]]=""),"",DATE(A570,MATCH(B570,{"enero","febrero","marzo","abril","mayo","junio","julio","agosto","septiembre","octubre","noviembre","diciembre"},0)+1,0))</f>
        <v/>
      </c>
      <c r="E570" t="str">
        <f>+IFERROR(VLOOKUP(Fact_Analitica[[#This Row], [Concepto Anterior]],Conceptos_Analítica_contraloría[#All],5,0),"")</f>
        <v/>
      </c>
      <c r="F570" t="str">
        <f>+IFERROR(VLOOKUP(Fact_Analitica[[#This Row], [Concepto Anterior]],Conceptos_Analítica_contraloría[#All],7,0),"")</f>
        <v/>
      </c>
      <c r="I570" t="str">
        <f>+IFERROR(VLOOKUP(D570,Conceptos_Analítica_contraloría[#All],2,0),"")</f>
        <v/>
      </c>
      <c r="J570" s="84" t="str">
        <f>+IFERROR(VLOOKUP(D570,Conceptos_Analítica_contraloría[#All],3,0),"")</f>
        <v/>
      </c>
    </row>
    <row r="571" spans="3:10" ht="18.75" customHeight="1" x14ac:dyDescent="0.35">
      <c r="C571" s="100" t="str">
        <f>IF(OR(Fact_Analitica[[#This Row], [Año]]="",Fact_Analitica[[#This Row], [Mes]]=""),"",DATE(A571,MATCH(B571,{"enero","febrero","marzo","abril","mayo","junio","julio","agosto","septiembre","octubre","noviembre","diciembre"},0)+1,0))</f>
        <v/>
      </c>
      <c r="E571" t="str">
        <f>+IFERROR(VLOOKUP(Fact_Analitica[[#This Row], [Concepto Anterior]],Conceptos_Analítica_contraloría[#All],5,0),"")</f>
        <v/>
      </c>
      <c r="F571" t="str">
        <f>+IFERROR(VLOOKUP(Fact_Analitica[[#This Row], [Concepto Anterior]],Conceptos_Analítica_contraloría[#All],7,0),"")</f>
        <v/>
      </c>
      <c r="I571" t="str">
        <f>+IFERROR(VLOOKUP(D571,Conceptos_Analítica_contraloría[#All],2,0),"")</f>
        <v/>
      </c>
      <c r="J571" s="84" t="str">
        <f>+IFERROR(VLOOKUP(D571,Conceptos_Analítica_contraloría[#All],3,0),"")</f>
        <v/>
      </c>
    </row>
    <row r="572" spans="3:10" ht="18.75" customHeight="1" x14ac:dyDescent="0.35">
      <c r="C572" s="100" t="str">
        <f>IF(OR(Fact_Analitica[[#This Row], [Año]]="",Fact_Analitica[[#This Row], [Mes]]=""),"",DATE(A572,MATCH(B572,{"enero","febrero","marzo","abril","mayo","junio","julio","agosto","septiembre","octubre","noviembre","diciembre"},0)+1,0))</f>
        <v/>
      </c>
      <c r="E572" t="str">
        <f>+IFERROR(VLOOKUP(Fact_Analitica[[#This Row], [Concepto Anterior]],Conceptos_Analítica_contraloría[#All],5,0),"")</f>
        <v/>
      </c>
      <c r="F572" t="str">
        <f>+IFERROR(VLOOKUP(Fact_Analitica[[#This Row], [Concepto Anterior]],Conceptos_Analítica_contraloría[#All],7,0),"")</f>
        <v/>
      </c>
      <c r="I572" t="str">
        <f>+IFERROR(VLOOKUP(D572,Conceptos_Analítica_contraloría[#All],2,0),"")</f>
        <v/>
      </c>
      <c r="J572" s="84" t="str">
        <f>+IFERROR(VLOOKUP(D572,Conceptos_Analítica_contraloría[#All],3,0),"")</f>
        <v/>
      </c>
    </row>
    <row r="573" spans="3:10" ht="18.75" customHeight="1" x14ac:dyDescent="0.35">
      <c r="C573" s="100" t="str">
        <f>IF(OR(Fact_Analitica[[#This Row], [Año]]="",Fact_Analitica[[#This Row], [Mes]]=""),"",DATE(A573,MATCH(B573,{"enero","febrero","marzo","abril","mayo","junio","julio","agosto","septiembre","octubre","noviembre","diciembre"},0)+1,0))</f>
        <v/>
      </c>
      <c r="E573" t="str">
        <f>+IFERROR(VLOOKUP(Fact_Analitica[[#This Row], [Concepto Anterior]],Conceptos_Analítica_contraloría[#All],5,0),"")</f>
        <v/>
      </c>
      <c r="F573" t="str">
        <f>+IFERROR(VLOOKUP(Fact_Analitica[[#This Row], [Concepto Anterior]],Conceptos_Analítica_contraloría[#All],7,0),"")</f>
        <v/>
      </c>
      <c r="I573" t="str">
        <f>+IFERROR(VLOOKUP(D573,Conceptos_Analítica_contraloría[#All],2,0),"")</f>
        <v/>
      </c>
      <c r="J573" s="84" t="str">
        <f>+IFERROR(VLOOKUP(D573,Conceptos_Analítica_contraloría[#All],3,0),"")</f>
        <v/>
      </c>
    </row>
    <row r="574" spans="3:10" ht="18.75" customHeight="1" x14ac:dyDescent="0.35">
      <c r="C574" s="100" t="str">
        <f>IF(OR(Fact_Analitica[[#This Row], [Año]]="",Fact_Analitica[[#This Row], [Mes]]=""),"",DATE(A574,MATCH(B574,{"enero","febrero","marzo","abril","mayo","junio","julio","agosto","septiembre","octubre","noviembre","diciembre"},0)+1,0))</f>
        <v/>
      </c>
      <c r="E574" t="str">
        <f>+IFERROR(VLOOKUP(Fact_Analitica[[#This Row], [Concepto Anterior]],Conceptos_Analítica_contraloría[#All],5,0),"")</f>
        <v/>
      </c>
      <c r="F574" t="str">
        <f>+IFERROR(VLOOKUP(Fact_Analitica[[#This Row], [Concepto Anterior]],Conceptos_Analítica_contraloría[#All],7,0),"")</f>
        <v/>
      </c>
      <c r="I574" t="str">
        <f>+IFERROR(VLOOKUP(D574,Conceptos_Analítica_contraloría[#All],2,0),"")</f>
        <v/>
      </c>
      <c r="J574" s="84" t="str">
        <f>+IFERROR(VLOOKUP(D574,Conceptos_Analítica_contraloría[#All],3,0),"")</f>
        <v/>
      </c>
    </row>
    <row r="575" spans="3:10" ht="18.75" customHeight="1" x14ac:dyDescent="0.35">
      <c r="C575" s="100" t="str">
        <f>IF(OR(Fact_Analitica[[#This Row], [Año]]="",Fact_Analitica[[#This Row], [Mes]]=""),"",DATE(A575,MATCH(B575,{"enero","febrero","marzo","abril","mayo","junio","julio","agosto","septiembre","octubre","noviembre","diciembre"},0)+1,0))</f>
        <v/>
      </c>
      <c r="E575" t="str">
        <f>+IFERROR(VLOOKUP(Fact_Analitica[[#This Row], [Concepto Anterior]],Conceptos_Analítica_contraloría[#All],5,0),"")</f>
        <v/>
      </c>
      <c r="F575" t="str">
        <f>+IFERROR(VLOOKUP(Fact_Analitica[[#This Row], [Concepto Anterior]],Conceptos_Analítica_contraloría[#All],7,0),"")</f>
        <v/>
      </c>
      <c r="I575" t="str">
        <f>+IFERROR(VLOOKUP(D575,Conceptos_Analítica_contraloría[#All],2,0),"")</f>
        <v/>
      </c>
      <c r="J575" s="84" t="str">
        <f>+IFERROR(VLOOKUP(D575,Conceptos_Analítica_contraloría[#All],3,0),"")</f>
        <v/>
      </c>
    </row>
    <row r="576" spans="3:10" ht="18.75" customHeight="1" x14ac:dyDescent="0.35">
      <c r="C576" s="100" t="str">
        <f>IF(OR(Fact_Analitica[[#This Row], [Año]]="",Fact_Analitica[[#This Row], [Mes]]=""),"",DATE(A576,MATCH(B576,{"enero","febrero","marzo","abril","mayo","junio","julio","agosto","septiembre","octubre","noviembre","diciembre"},0)+1,0))</f>
        <v/>
      </c>
      <c r="E576" t="str">
        <f>+IFERROR(VLOOKUP(Fact_Analitica[[#This Row], [Concepto Anterior]],Conceptos_Analítica_contraloría[#All],5,0),"")</f>
        <v/>
      </c>
      <c r="F576" t="str">
        <f>+IFERROR(VLOOKUP(Fact_Analitica[[#This Row], [Concepto Anterior]],Conceptos_Analítica_contraloría[#All],7,0),"")</f>
        <v/>
      </c>
      <c r="I576" t="str">
        <f>+IFERROR(VLOOKUP(D576,Conceptos_Analítica_contraloría[#All],2,0),"")</f>
        <v/>
      </c>
      <c r="J576" s="84" t="str">
        <f>+IFERROR(VLOOKUP(D576,Conceptos_Analítica_contraloría[#All],3,0),"")</f>
        <v/>
      </c>
    </row>
    <row r="577" spans="3:10" ht="18.75" customHeight="1" x14ac:dyDescent="0.35">
      <c r="C577" s="100" t="str">
        <f>IF(OR(Fact_Analitica[[#This Row], [Año]]="",Fact_Analitica[[#This Row], [Mes]]=""),"",DATE(A577,MATCH(B577,{"enero","febrero","marzo","abril","mayo","junio","julio","agosto","septiembre","octubre","noviembre","diciembre"},0)+1,0))</f>
        <v/>
      </c>
      <c r="E577" t="str">
        <f>+IFERROR(VLOOKUP(Fact_Analitica[[#This Row], [Concepto Anterior]],Conceptos_Analítica_contraloría[#All],5,0),"")</f>
        <v/>
      </c>
      <c r="F577" t="str">
        <f>+IFERROR(VLOOKUP(Fact_Analitica[[#This Row], [Concepto Anterior]],Conceptos_Analítica_contraloría[#All],7,0),"")</f>
        <v/>
      </c>
      <c r="I577" t="str">
        <f>+IFERROR(VLOOKUP(D577,Conceptos_Analítica_contraloría[#All],2,0),"")</f>
        <v/>
      </c>
      <c r="J577" s="84" t="str">
        <f>+IFERROR(VLOOKUP(D577,Conceptos_Analítica_contraloría[#All],3,0),"")</f>
        <v/>
      </c>
    </row>
    <row r="578" spans="3:10" ht="18.75" customHeight="1" x14ac:dyDescent="0.35">
      <c r="C578" s="100" t="str">
        <f>IF(OR(Fact_Analitica[[#This Row], [Año]]="",Fact_Analitica[[#This Row], [Mes]]=""),"",DATE(A578,MATCH(B578,{"enero","febrero","marzo","abril","mayo","junio","julio","agosto","septiembre","octubre","noviembre","diciembre"},0)+1,0))</f>
        <v/>
      </c>
      <c r="E578" t="str">
        <f>+IFERROR(VLOOKUP(Fact_Analitica[[#This Row], [Concepto Anterior]],Conceptos_Analítica_contraloría[#All],5,0),"")</f>
        <v/>
      </c>
      <c r="F578" t="str">
        <f>+IFERROR(VLOOKUP(Fact_Analitica[[#This Row], [Concepto Anterior]],Conceptos_Analítica_contraloría[#All],7,0),"")</f>
        <v/>
      </c>
      <c r="I578" t="str">
        <f>+IFERROR(VLOOKUP(D578,Conceptos_Analítica_contraloría[#All],2,0),"")</f>
        <v/>
      </c>
      <c r="J578" s="84" t="str">
        <f>+IFERROR(VLOOKUP(D578,Conceptos_Analítica_contraloría[#All],3,0),"")</f>
        <v/>
      </c>
    </row>
    <row r="579" spans="3:10" ht="18.75" customHeight="1" x14ac:dyDescent="0.35">
      <c r="C579" s="100" t="str">
        <f>IF(OR(Fact_Analitica[[#This Row], [Año]]="",Fact_Analitica[[#This Row], [Mes]]=""),"",DATE(A579,MATCH(B579,{"enero","febrero","marzo","abril","mayo","junio","julio","agosto","septiembre","octubre","noviembre","diciembre"},0)+1,0))</f>
        <v/>
      </c>
      <c r="E579" t="str">
        <f>+IFERROR(VLOOKUP(Fact_Analitica[[#This Row], [Concepto Anterior]],Conceptos_Analítica_contraloría[#All],5,0),"")</f>
        <v/>
      </c>
      <c r="F579" t="str">
        <f>+IFERROR(VLOOKUP(Fact_Analitica[[#This Row], [Concepto Anterior]],Conceptos_Analítica_contraloría[#All],7,0),"")</f>
        <v/>
      </c>
      <c r="I579" t="str">
        <f>+IFERROR(VLOOKUP(D579,Conceptos_Analítica_contraloría[#All],2,0),"")</f>
        <v/>
      </c>
      <c r="J579" s="84" t="str">
        <f>+IFERROR(VLOOKUP(D579,Conceptos_Analítica_contraloría[#All],3,0),"")</f>
        <v/>
      </c>
    </row>
    <row r="580" spans="3:10" ht="18.75" customHeight="1" x14ac:dyDescent="0.35">
      <c r="C580" s="100" t="str">
        <f>IF(OR(Fact_Analitica[[#This Row], [Año]]="",Fact_Analitica[[#This Row], [Mes]]=""),"",DATE(A580,MATCH(B580,{"enero","febrero","marzo","abril","mayo","junio","julio","agosto","septiembre","octubre","noviembre","diciembre"},0)+1,0))</f>
        <v/>
      </c>
      <c r="E580" t="str">
        <f>+IFERROR(VLOOKUP(Fact_Analitica[[#This Row], [Concepto Anterior]],Conceptos_Analítica_contraloría[#All],5,0),"")</f>
        <v/>
      </c>
      <c r="F580" t="str">
        <f>+IFERROR(VLOOKUP(Fact_Analitica[[#This Row], [Concepto Anterior]],Conceptos_Analítica_contraloría[#All],7,0),"")</f>
        <v/>
      </c>
      <c r="I580" t="str">
        <f>+IFERROR(VLOOKUP(D580,Conceptos_Analítica_contraloría[#All],2,0),"")</f>
        <v/>
      </c>
      <c r="J580" s="84" t="str">
        <f>+IFERROR(VLOOKUP(D580,Conceptos_Analítica_contraloría[#All],3,0),"")</f>
        <v/>
      </c>
    </row>
    <row r="581" spans="3:10" ht="18.75" customHeight="1" x14ac:dyDescent="0.35">
      <c r="C581" s="100" t="str">
        <f>IF(OR(Fact_Analitica[[#This Row], [Año]]="",Fact_Analitica[[#This Row], [Mes]]=""),"",DATE(A581,MATCH(B581,{"enero","febrero","marzo","abril","mayo","junio","julio","agosto","septiembre","octubre","noviembre","diciembre"},0)+1,0))</f>
        <v/>
      </c>
      <c r="E581" t="str">
        <f>+IFERROR(VLOOKUP(Fact_Analitica[[#This Row], [Concepto Anterior]],Conceptos_Analítica_contraloría[#All],5,0),"")</f>
        <v/>
      </c>
      <c r="F581" t="str">
        <f>+IFERROR(VLOOKUP(Fact_Analitica[[#This Row], [Concepto Anterior]],Conceptos_Analítica_contraloría[#All],7,0),"")</f>
        <v/>
      </c>
      <c r="I581" t="str">
        <f>+IFERROR(VLOOKUP(D581,Conceptos_Analítica_contraloría[#All],2,0),"")</f>
        <v/>
      </c>
      <c r="J581" s="84" t="str">
        <f>+IFERROR(VLOOKUP(D581,Conceptos_Analítica_contraloría[#All],3,0),"")</f>
        <v/>
      </c>
    </row>
    <row r="582" spans="3:10" ht="18.75" customHeight="1" x14ac:dyDescent="0.35">
      <c r="C582" s="100" t="str">
        <f>IF(OR(Fact_Analitica[[#This Row], [Año]]="",Fact_Analitica[[#This Row], [Mes]]=""),"",DATE(A582,MATCH(B582,{"enero","febrero","marzo","abril","mayo","junio","julio","agosto","septiembre","octubre","noviembre","diciembre"},0)+1,0))</f>
        <v/>
      </c>
      <c r="E582" t="str">
        <f>+IFERROR(VLOOKUP(Fact_Analitica[[#This Row], [Concepto Anterior]],Conceptos_Analítica_contraloría[#All],5,0),"")</f>
        <v/>
      </c>
      <c r="F582" t="str">
        <f>+IFERROR(VLOOKUP(Fact_Analitica[[#This Row], [Concepto Anterior]],Conceptos_Analítica_contraloría[#All],7,0),"")</f>
        <v/>
      </c>
      <c r="I582" t="str">
        <f>+IFERROR(VLOOKUP(D582,Conceptos_Analítica_contraloría[#All],2,0),"")</f>
        <v/>
      </c>
      <c r="J582" s="84" t="str">
        <f>+IFERROR(VLOOKUP(D582,Conceptos_Analítica_contraloría[#All],3,0),"")</f>
        <v/>
      </c>
    </row>
    <row r="583" spans="3:10" ht="18.75" customHeight="1" x14ac:dyDescent="0.35">
      <c r="C583" s="100" t="str">
        <f>IF(OR(Fact_Analitica[[#This Row], [Año]]="",Fact_Analitica[[#This Row], [Mes]]=""),"",DATE(A583,MATCH(B583,{"enero","febrero","marzo","abril","mayo","junio","julio","agosto","septiembre","octubre","noviembre","diciembre"},0)+1,0))</f>
        <v/>
      </c>
      <c r="E583" t="str">
        <f>+IFERROR(VLOOKUP(Fact_Analitica[[#This Row], [Concepto Anterior]],Conceptos_Analítica_contraloría[#All],5,0),"")</f>
        <v/>
      </c>
      <c r="F583" t="str">
        <f>+IFERROR(VLOOKUP(Fact_Analitica[[#This Row], [Concepto Anterior]],Conceptos_Analítica_contraloría[#All],7,0),"")</f>
        <v/>
      </c>
      <c r="I583" t="str">
        <f>+IFERROR(VLOOKUP(D583,Conceptos_Analítica_contraloría[#All],2,0),"")</f>
        <v/>
      </c>
      <c r="J583" s="84" t="str">
        <f>+IFERROR(VLOOKUP(D583,Conceptos_Analítica_contraloría[#All],3,0),"")</f>
        <v/>
      </c>
    </row>
    <row r="584" spans="3:10" ht="18.75" customHeight="1" x14ac:dyDescent="0.35">
      <c r="C584" s="100" t="str">
        <f>IF(OR(Fact_Analitica[[#This Row], [Año]]="",Fact_Analitica[[#This Row], [Mes]]=""),"",DATE(A584,MATCH(B584,{"enero","febrero","marzo","abril","mayo","junio","julio","agosto","septiembre","octubre","noviembre","diciembre"},0)+1,0))</f>
        <v/>
      </c>
      <c r="E584" t="str">
        <f>+IFERROR(VLOOKUP(Fact_Analitica[[#This Row], [Concepto Anterior]],Conceptos_Analítica_contraloría[#All],5,0),"")</f>
        <v/>
      </c>
      <c r="F584" t="str">
        <f>+IFERROR(VLOOKUP(Fact_Analitica[[#This Row], [Concepto Anterior]],Conceptos_Analítica_contraloría[#All],7,0),"")</f>
        <v/>
      </c>
      <c r="I584" t="str">
        <f>+IFERROR(VLOOKUP(D584,Conceptos_Analítica_contraloría[#All],2,0),"")</f>
        <v/>
      </c>
      <c r="J584" s="84" t="str">
        <f>+IFERROR(VLOOKUP(D584,Conceptos_Analítica_contraloría[#All],3,0),"")</f>
        <v/>
      </c>
    </row>
    <row r="585" spans="3:10" ht="18.75" customHeight="1" x14ac:dyDescent="0.35">
      <c r="C585" s="100" t="str">
        <f>IF(OR(Fact_Analitica[[#This Row], [Año]]="",Fact_Analitica[[#This Row], [Mes]]=""),"",DATE(A585,MATCH(B585,{"enero","febrero","marzo","abril","mayo","junio","julio","agosto","septiembre","octubre","noviembre","diciembre"},0)+1,0))</f>
        <v/>
      </c>
      <c r="E585" t="str">
        <f>+IFERROR(VLOOKUP(Fact_Analitica[[#This Row], [Concepto Anterior]],Conceptos_Analítica_contraloría[#All],5,0),"")</f>
        <v/>
      </c>
      <c r="F585" t="str">
        <f>+IFERROR(VLOOKUP(Fact_Analitica[[#This Row], [Concepto Anterior]],Conceptos_Analítica_contraloría[#All],7,0),"")</f>
        <v/>
      </c>
      <c r="I585" t="str">
        <f>+IFERROR(VLOOKUP(D585,Conceptos_Analítica_contraloría[#All],2,0),"")</f>
        <v/>
      </c>
      <c r="J585" s="84" t="str">
        <f>+IFERROR(VLOOKUP(D585,Conceptos_Analítica_contraloría[#All],3,0),"")</f>
        <v/>
      </c>
    </row>
    <row r="586" spans="3:10" ht="18.75" customHeight="1" x14ac:dyDescent="0.35">
      <c r="C586" s="100" t="str">
        <f>IF(OR(Fact_Analitica[[#This Row], [Año]]="",Fact_Analitica[[#This Row], [Mes]]=""),"",DATE(A586,MATCH(B586,{"enero","febrero","marzo","abril","mayo","junio","julio","agosto","septiembre","octubre","noviembre","diciembre"},0)+1,0))</f>
        <v/>
      </c>
      <c r="E586" t="str">
        <f>+IFERROR(VLOOKUP(Fact_Analitica[[#This Row], [Concepto Anterior]],Conceptos_Analítica_contraloría[#All],5,0),"")</f>
        <v/>
      </c>
      <c r="F586" t="str">
        <f>+IFERROR(VLOOKUP(Fact_Analitica[[#This Row], [Concepto Anterior]],Conceptos_Analítica_contraloría[#All],7,0),"")</f>
        <v/>
      </c>
      <c r="I586" t="str">
        <f>+IFERROR(VLOOKUP(D586,Conceptos_Analítica_contraloría[#All],2,0),"")</f>
        <v/>
      </c>
      <c r="J586" s="84" t="str">
        <f>+IFERROR(VLOOKUP(D586,Conceptos_Analítica_contraloría[#All],3,0),"")</f>
        <v/>
      </c>
    </row>
    <row r="587" spans="3:10" ht="18.75" customHeight="1" x14ac:dyDescent="0.35">
      <c r="C587" s="100" t="str">
        <f>IF(OR(Fact_Analitica[[#This Row], [Año]]="",Fact_Analitica[[#This Row], [Mes]]=""),"",DATE(A587,MATCH(B587,{"enero","febrero","marzo","abril","mayo","junio","julio","agosto","septiembre","octubre","noviembre","diciembre"},0)+1,0))</f>
        <v/>
      </c>
      <c r="E587" t="str">
        <f>+IFERROR(VLOOKUP(Fact_Analitica[[#This Row], [Concepto Anterior]],Conceptos_Analítica_contraloría[#All],5,0),"")</f>
        <v/>
      </c>
      <c r="F587" t="str">
        <f>+IFERROR(VLOOKUP(Fact_Analitica[[#This Row], [Concepto Anterior]],Conceptos_Analítica_contraloría[#All],7,0),"")</f>
        <v/>
      </c>
      <c r="I587" t="str">
        <f>+IFERROR(VLOOKUP(D587,Conceptos_Analítica_contraloría[#All],2,0),"")</f>
        <v/>
      </c>
      <c r="J587" s="84" t="str">
        <f>+IFERROR(VLOOKUP(D587,Conceptos_Analítica_contraloría[#All],3,0),"")</f>
        <v/>
      </c>
    </row>
    <row r="588" spans="3:10" ht="18.75" customHeight="1" x14ac:dyDescent="0.35">
      <c r="C588" s="100" t="str">
        <f>IF(OR(Fact_Analitica[[#This Row], [Año]]="",Fact_Analitica[[#This Row], [Mes]]=""),"",DATE(A588,MATCH(B588,{"enero","febrero","marzo","abril","mayo","junio","julio","agosto","septiembre","octubre","noviembre","diciembre"},0)+1,0))</f>
        <v/>
      </c>
      <c r="E588" t="str">
        <f>+IFERROR(VLOOKUP(Fact_Analitica[[#This Row], [Concepto Anterior]],Conceptos_Analítica_contraloría[#All],5,0),"")</f>
        <v/>
      </c>
      <c r="F588" t="str">
        <f>+IFERROR(VLOOKUP(Fact_Analitica[[#This Row], [Concepto Anterior]],Conceptos_Analítica_contraloría[#All],7,0),"")</f>
        <v/>
      </c>
      <c r="I588" t="str">
        <f>+IFERROR(VLOOKUP(D588,Conceptos_Analítica_contraloría[#All],2,0),"")</f>
        <v/>
      </c>
      <c r="J588" s="84" t="str">
        <f>+IFERROR(VLOOKUP(D588,Conceptos_Analítica_contraloría[#All],3,0),"")</f>
        <v/>
      </c>
    </row>
    <row r="589" spans="3:10" ht="18.75" customHeight="1" x14ac:dyDescent="0.35">
      <c r="C589" s="100" t="str">
        <f>IF(OR(Fact_Analitica[[#This Row], [Año]]="",Fact_Analitica[[#This Row], [Mes]]=""),"",DATE(A589,MATCH(B589,{"enero","febrero","marzo","abril","mayo","junio","julio","agosto","septiembre","octubre","noviembre","diciembre"},0)+1,0))</f>
        <v/>
      </c>
      <c r="E589" t="str">
        <f>+IFERROR(VLOOKUP(Fact_Analitica[[#This Row], [Concepto Anterior]],Conceptos_Analítica_contraloría[#All],5,0),"")</f>
        <v/>
      </c>
      <c r="F589" t="str">
        <f>+IFERROR(VLOOKUP(Fact_Analitica[[#This Row], [Concepto Anterior]],Conceptos_Analítica_contraloría[#All],7,0),"")</f>
        <v/>
      </c>
      <c r="I589" t="str">
        <f>+IFERROR(VLOOKUP(D589,Conceptos_Analítica_contraloría[#All],2,0),"")</f>
        <v/>
      </c>
      <c r="J589" s="84" t="str">
        <f>+IFERROR(VLOOKUP(D589,Conceptos_Analítica_contraloría[#All],3,0),"")</f>
        <v/>
      </c>
    </row>
    <row r="590" spans="3:10" ht="18.75" customHeight="1" x14ac:dyDescent="0.35">
      <c r="C590" s="100" t="str">
        <f>IF(OR(Fact_Analitica[[#This Row], [Año]]="",Fact_Analitica[[#This Row], [Mes]]=""),"",DATE(A590,MATCH(B590,{"enero","febrero","marzo","abril","mayo","junio","julio","agosto","septiembre","octubre","noviembre","diciembre"},0)+1,0))</f>
        <v/>
      </c>
      <c r="E590" t="str">
        <f>+IFERROR(VLOOKUP(Fact_Analitica[[#This Row], [Concepto Anterior]],Conceptos_Analítica_contraloría[#All],5,0),"")</f>
        <v/>
      </c>
      <c r="F590" t="str">
        <f>+IFERROR(VLOOKUP(Fact_Analitica[[#This Row], [Concepto Anterior]],Conceptos_Analítica_contraloría[#All],7,0),"")</f>
        <v/>
      </c>
      <c r="I590" t="str">
        <f>+IFERROR(VLOOKUP(D590,Conceptos_Analítica_contraloría[#All],2,0),"")</f>
        <v/>
      </c>
      <c r="J590" s="84" t="str">
        <f>+IFERROR(VLOOKUP(D590,Conceptos_Analítica_contraloría[#All],3,0),"")</f>
        <v/>
      </c>
    </row>
    <row r="591" spans="3:10" ht="18.75" customHeight="1" x14ac:dyDescent="0.35">
      <c r="C591" s="100" t="str">
        <f>IF(OR(Fact_Analitica[[#This Row], [Año]]="",Fact_Analitica[[#This Row], [Mes]]=""),"",DATE(A591,MATCH(B591,{"enero","febrero","marzo","abril","mayo","junio","julio","agosto","septiembre","octubre","noviembre","diciembre"},0)+1,0))</f>
        <v/>
      </c>
      <c r="E591" t="str">
        <f>+IFERROR(VLOOKUP(Fact_Analitica[[#This Row], [Concepto Anterior]],Conceptos_Analítica_contraloría[#All],5,0),"")</f>
        <v/>
      </c>
      <c r="F591" t="str">
        <f>+IFERROR(VLOOKUP(Fact_Analitica[[#This Row], [Concepto Anterior]],Conceptos_Analítica_contraloría[#All],7,0),"")</f>
        <v/>
      </c>
      <c r="I591" t="str">
        <f>+IFERROR(VLOOKUP(D591,Conceptos_Analítica_contraloría[#All],2,0),"")</f>
        <v/>
      </c>
      <c r="J591" s="84" t="str">
        <f>+IFERROR(VLOOKUP(D591,Conceptos_Analítica_contraloría[#All],3,0),"")</f>
        <v/>
      </c>
    </row>
    <row r="592" spans="3:10" ht="18.75" customHeight="1" x14ac:dyDescent="0.35">
      <c r="C592" s="100" t="str">
        <f>IF(OR(Fact_Analitica[[#This Row], [Año]]="",Fact_Analitica[[#This Row], [Mes]]=""),"",DATE(A592,MATCH(B592,{"enero","febrero","marzo","abril","mayo","junio","julio","agosto","septiembre","octubre","noviembre","diciembre"},0)+1,0))</f>
        <v/>
      </c>
      <c r="E592" t="str">
        <f>+IFERROR(VLOOKUP(Fact_Analitica[[#This Row], [Concepto Anterior]],Conceptos_Analítica_contraloría[#All],5,0),"")</f>
        <v/>
      </c>
      <c r="F592" t="str">
        <f>+IFERROR(VLOOKUP(Fact_Analitica[[#This Row], [Concepto Anterior]],Conceptos_Analítica_contraloría[#All],7,0),"")</f>
        <v/>
      </c>
      <c r="I592" t="str">
        <f>+IFERROR(VLOOKUP(D592,Conceptos_Analítica_contraloría[#All],2,0),"")</f>
        <v/>
      </c>
      <c r="J592" s="84" t="str">
        <f>+IFERROR(VLOOKUP(D592,Conceptos_Analítica_contraloría[#All],3,0),"")</f>
        <v/>
      </c>
    </row>
    <row r="593" spans="3:10" ht="18.75" customHeight="1" x14ac:dyDescent="0.35">
      <c r="C593" s="100" t="str">
        <f>IF(OR(Fact_Analitica[[#This Row], [Año]]="",Fact_Analitica[[#This Row], [Mes]]=""),"",DATE(A593,MATCH(B593,{"enero","febrero","marzo","abril","mayo","junio","julio","agosto","septiembre","octubre","noviembre","diciembre"},0)+1,0))</f>
        <v/>
      </c>
      <c r="E593" t="str">
        <f>+IFERROR(VLOOKUP(Fact_Analitica[[#This Row], [Concepto Anterior]],Conceptos_Analítica_contraloría[#All],5,0),"")</f>
        <v/>
      </c>
      <c r="F593" t="str">
        <f>+IFERROR(VLOOKUP(Fact_Analitica[[#This Row], [Concepto Anterior]],Conceptos_Analítica_contraloría[#All],7,0),"")</f>
        <v/>
      </c>
      <c r="I593" t="str">
        <f>+IFERROR(VLOOKUP(D593,Conceptos_Analítica_contraloría[#All],2,0),"")</f>
        <v/>
      </c>
      <c r="J593" s="84" t="str">
        <f>+IFERROR(VLOOKUP(D593,Conceptos_Analítica_contraloría[#All],3,0),"")</f>
        <v/>
      </c>
    </row>
    <row r="594" spans="3:10" ht="18.75" customHeight="1" x14ac:dyDescent="0.35">
      <c r="C594" s="100" t="str">
        <f>IF(OR(Fact_Analitica[[#This Row], [Año]]="",Fact_Analitica[[#This Row], [Mes]]=""),"",DATE(A594,MATCH(B594,{"enero","febrero","marzo","abril","mayo","junio","julio","agosto","septiembre","octubre","noviembre","diciembre"},0)+1,0))</f>
        <v/>
      </c>
      <c r="E594" t="str">
        <f>+IFERROR(VLOOKUP(Fact_Analitica[[#This Row], [Concepto Anterior]],Conceptos_Analítica_contraloría[#All],5,0),"")</f>
        <v/>
      </c>
      <c r="F594" t="str">
        <f>+IFERROR(VLOOKUP(Fact_Analitica[[#This Row], [Concepto Anterior]],Conceptos_Analítica_contraloría[#All],7,0),"")</f>
        <v/>
      </c>
      <c r="I594" t="str">
        <f>+IFERROR(VLOOKUP(D594,Conceptos_Analítica_contraloría[#All],2,0),"")</f>
        <v/>
      </c>
      <c r="J594" s="84" t="str">
        <f>+IFERROR(VLOOKUP(D594,Conceptos_Analítica_contraloría[#All],3,0),"")</f>
        <v/>
      </c>
    </row>
    <row r="595" spans="3:10" ht="18.75" customHeight="1" x14ac:dyDescent="0.35">
      <c r="C595" s="100" t="str">
        <f>IF(OR(Fact_Analitica[[#This Row], [Año]]="",Fact_Analitica[[#This Row], [Mes]]=""),"",DATE(A595,MATCH(B595,{"enero","febrero","marzo","abril","mayo","junio","julio","agosto","septiembre","octubre","noviembre","diciembre"},0)+1,0))</f>
        <v/>
      </c>
      <c r="E595" t="str">
        <f>+IFERROR(VLOOKUP(Fact_Analitica[[#This Row], [Concepto Anterior]],Conceptos_Analítica_contraloría[#All],5,0),"")</f>
        <v/>
      </c>
      <c r="F595" t="str">
        <f>+IFERROR(VLOOKUP(Fact_Analitica[[#This Row], [Concepto Anterior]],Conceptos_Analítica_contraloría[#All],7,0),"")</f>
        <v/>
      </c>
      <c r="I595" t="str">
        <f>+IFERROR(VLOOKUP(D595,Conceptos_Analítica_contraloría[#All],2,0),"")</f>
        <v/>
      </c>
      <c r="J595" s="84" t="str">
        <f>+IFERROR(VLOOKUP(D595,Conceptos_Analítica_contraloría[#All],3,0),"")</f>
        <v/>
      </c>
    </row>
    <row r="596" spans="3:10" ht="18.75" customHeight="1" x14ac:dyDescent="0.35">
      <c r="C596" s="100" t="str">
        <f>IF(OR(Fact_Analitica[[#This Row], [Año]]="",Fact_Analitica[[#This Row], [Mes]]=""),"",DATE(A596,MATCH(B596,{"enero","febrero","marzo","abril","mayo","junio","julio","agosto","septiembre","octubre","noviembre","diciembre"},0)+1,0))</f>
        <v/>
      </c>
      <c r="E596" t="str">
        <f>+IFERROR(VLOOKUP(Fact_Analitica[[#This Row], [Concepto Anterior]],Conceptos_Analítica_contraloría[#All],5,0),"")</f>
        <v/>
      </c>
      <c r="F596" t="str">
        <f>+IFERROR(VLOOKUP(Fact_Analitica[[#This Row], [Concepto Anterior]],Conceptos_Analítica_contraloría[#All],7,0),"")</f>
        <v/>
      </c>
      <c r="I596" t="str">
        <f>+IFERROR(VLOOKUP(D596,Conceptos_Analítica_contraloría[#All],2,0),"")</f>
        <v/>
      </c>
      <c r="J596" s="84" t="str">
        <f>+IFERROR(VLOOKUP(D596,Conceptos_Analítica_contraloría[#All],3,0),"")</f>
        <v/>
      </c>
    </row>
    <row r="597" spans="3:10" ht="18.75" customHeight="1" x14ac:dyDescent="0.35">
      <c r="C597" s="100" t="str">
        <f>IF(OR(Fact_Analitica[[#This Row], [Año]]="",Fact_Analitica[[#This Row], [Mes]]=""),"",DATE(A597,MATCH(B597,{"enero","febrero","marzo","abril","mayo","junio","julio","agosto","septiembre","octubre","noviembre","diciembre"},0)+1,0))</f>
        <v/>
      </c>
      <c r="E597" t="str">
        <f>+IFERROR(VLOOKUP(Fact_Analitica[[#This Row], [Concepto Anterior]],Conceptos_Analítica_contraloría[#All],5,0),"")</f>
        <v/>
      </c>
      <c r="F597" t="str">
        <f>+IFERROR(VLOOKUP(Fact_Analitica[[#This Row], [Concepto Anterior]],Conceptos_Analítica_contraloría[#All],7,0),"")</f>
        <v/>
      </c>
      <c r="I597" t="str">
        <f>+IFERROR(VLOOKUP(D597,Conceptos_Analítica_contraloría[#All],2,0),"")</f>
        <v/>
      </c>
      <c r="J597" s="84" t="str">
        <f>+IFERROR(VLOOKUP(D597,Conceptos_Analítica_contraloría[#All],3,0),"")</f>
        <v/>
      </c>
    </row>
    <row r="598" spans="3:10" ht="18.75" customHeight="1" x14ac:dyDescent="0.35">
      <c r="C598" s="100" t="str">
        <f>IF(OR(Fact_Analitica[[#This Row], [Año]]="",Fact_Analitica[[#This Row], [Mes]]=""),"",DATE(A598,MATCH(B598,{"enero","febrero","marzo","abril","mayo","junio","julio","agosto","septiembre","octubre","noviembre","diciembre"},0)+1,0))</f>
        <v/>
      </c>
      <c r="E598" t="str">
        <f>+IFERROR(VLOOKUP(Fact_Analitica[[#This Row], [Concepto Anterior]],Conceptos_Analítica_contraloría[#All],5,0),"")</f>
        <v/>
      </c>
      <c r="F598" t="str">
        <f>+IFERROR(VLOOKUP(Fact_Analitica[[#This Row], [Concepto Anterior]],Conceptos_Analítica_contraloría[#All],7,0),"")</f>
        <v/>
      </c>
      <c r="I598" t="str">
        <f>+IFERROR(VLOOKUP(D598,Conceptos_Analítica_contraloría[#All],2,0),"")</f>
        <v/>
      </c>
      <c r="J598" s="84" t="str">
        <f>+IFERROR(VLOOKUP(D598,Conceptos_Analítica_contraloría[#All],3,0),"")</f>
        <v/>
      </c>
    </row>
    <row r="599" spans="3:10" ht="18.75" customHeight="1" x14ac:dyDescent="0.35">
      <c r="C599" s="100" t="str">
        <f>IF(OR(Fact_Analitica[[#This Row], [Año]]="",Fact_Analitica[[#This Row], [Mes]]=""),"",DATE(A599,MATCH(B599,{"enero","febrero","marzo","abril","mayo","junio","julio","agosto","septiembre","octubre","noviembre","diciembre"},0)+1,0))</f>
        <v/>
      </c>
      <c r="E599" t="str">
        <f>+IFERROR(VLOOKUP(Fact_Analitica[[#This Row], [Concepto Anterior]],Conceptos_Analítica_contraloría[#All],5,0),"")</f>
        <v/>
      </c>
      <c r="F599" t="str">
        <f>+IFERROR(VLOOKUP(Fact_Analitica[[#This Row], [Concepto Anterior]],Conceptos_Analítica_contraloría[#All],7,0),"")</f>
        <v/>
      </c>
      <c r="I599" t="str">
        <f>+IFERROR(VLOOKUP(D599,Conceptos_Analítica_contraloría[#All],2,0),"")</f>
        <v/>
      </c>
      <c r="J599" s="84" t="str">
        <f>+IFERROR(VLOOKUP(D599,Conceptos_Analítica_contraloría[#All],3,0),"")</f>
        <v/>
      </c>
    </row>
    <row r="600" spans="3:10" ht="18.75" customHeight="1" x14ac:dyDescent="0.35">
      <c r="C600" s="100" t="str">
        <f>IF(OR(Fact_Analitica[[#This Row], [Año]]="",Fact_Analitica[[#This Row], [Mes]]=""),"",DATE(A600,MATCH(B600,{"enero","febrero","marzo","abril","mayo","junio","julio","agosto","septiembre","octubre","noviembre","diciembre"},0)+1,0))</f>
        <v/>
      </c>
      <c r="E600" t="str">
        <f>+IFERROR(VLOOKUP(Fact_Analitica[[#This Row], [Concepto Anterior]],Conceptos_Analítica_contraloría[#All],5,0),"")</f>
        <v/>
      </c>
      <c r="F600" t="str">
        <f>+IFERROR(VLOOKUP(Fact_Analitica[[#This Row], [Concepto Anterior]],Conceptos_Analítica_contraloría[#All],7,0),"")</f>
        <v/>
      </c>
      <c r="I600" t="str">
        <f>+IFERROR(VLOOKUP(D600,Conceptos_Analítica_contraloría[#All],2,0),"")</f>
        <v/>
      </c>
      <c r="J600" s="84" t="str">
        <f>+IFERROR(VLOOKUP(D600,Conceptos_Analítica_contraloría[#All],3,0),"")</f>
        <v/>
      </c>
    </row>
    <row r="601" spans="3:10" ht="18.75" customHeight="1" x14ac:dyDescent="0.35">
      <c r="C601" s="100" t="str">
        <f>IF(OR(Fact_Analitica[[#This Row], [Año]]="",Fact_Analitica[[#This Row], [Mes]]=""),"",DATE(A601,MATCH(B601,{"enero","febrero","marzo","abril","mayo","junio","julio","agosto","septiembre","octubre","noviembre","diciembre"},0)+1,0))</f>
        <v/>
      </c>
      <c r="E601" t="str">
        <f>+IFERROR(VLOOKUP(Fact_Analitica[[#This Row], [Concepto Anterior]],Conceptos_Analítica_contraloría[#All],5,0),"")</f>
        <v/>
      </c>
      <c r="F601" t="str">
        <f>+IFERROR(VLOOKUP(Fact_Analitica[[#This Row], [Concepto Anterior]],Conceptos_Analítica_contraloría[#All],7,0),"")</f>
        <v/>
      </c>
      <c r="I601" t="str">
        <f>+IFERROR(VLOOKUP(D601,Conceptos_Analítica_contraloría[#All],2,0),"")</f>
        <v/>
      </c>
      <c r="J601" s="84" t="str">
        <f>+IFERROR(VLOOKUP(D601,Conceptos_Analítica_contraloría[#All],3,0),"")</f>
        <v/>
      </c>
    </row>
    <row r="602" spans="3:10" ht="18.75" customHeight="1" x14ac:dyDescent="0.35">
      <c r="C602" s="100" t="str">
        <f>IF(OR(Fact_Analitica[[#This Row], [Año]]="",Fact_Analitica[[#This Row], [Mes]]=""),"",DATE(A602,MATCH(B602,{"enero","febrero","marzo","abril","mayo","junio","julio","agosto","septiembre","octubre","noviembre","diciembre"},0)+1,0))</f>
        <v/>
      </c>
      <c r="E602" t="str">
        <f>+IFERROR(VLOOKUP(Fact_Analitica[[#This Row], [Concepto Anterior]],Conceptos_Analítica_contraloría[#All],5,0),"")</f>
        <v/>
      </c>
      <c r="F602" t="str">
        <f>+IFERROR(VLOOKUP(Fact_Analitica[[#This Row], [Concepto Anterior]],Conceptos_Analítica_contraloría[#All],7,0),"")</f>
        <v/>
      </c>
      <c r="I602" t="str">
        <f>+IFERROR(VLOOKUP(D602,Conceptos_Analítica_contraloría[#All],2,0),"")</f>
        <v/>
      </c>
      <c r="J602" s="84" t="str">
        <f>+IFERROR(VLOOKUP(D602,Conceptos_Analítica_contraloría[#All],3,0),"")</f>
        <v/>
      </c>
    </row>
    <row r="603" spans="3:10" ht="18.75" customHeight="1" x14ac:dyDescent="0.35">
      <c r="C603" s="100" t="str">
        <f>IF(OR(Fact_Analitica[[#This Row], [Año]]="",Fact_Analitica[[#This Row], [Mes]]=""),"",DATE(A603,MATCH(B603,{"enero","febrero","marzo","abril","mayo","junio","julio","agosto","septiembre","octubre","noviembre","diciembre"},0)+1,0))</f>
        <v/>
      </c>
      <c r="E603" t="str">
        <f>+IFERROR(VLOOKUP(Fact_Analitica[[#This Row], [Concepto Anterior]],Conceptos_Analítica_contraloría[#All],5,0),"")</f>
        <v/>
      </c>
      <c r="F603" t="str">
        <f>+IFERROR(VLOOKUP(Fact_Analitica[[#This Row], [Concepto Anterior]],Conceptos_Analítica_contraloría[#All],7,0),"")</f>
        <v/>
      </c>
      <c r="I603" t="str">
        <f>+IFERROR(VLOOKUP(D603,Conceptos_Analítica_contraloría[#All],2,0),"")</f>
        <v/>
      </c>
      <c r="J603" s="84" t="str">
        <f>+IFERROR(VLOOKUP(D603,Conceptos_Analítica_contraloría[#All],3,0),"")</f>
        <v/>
      </c>
    </row>
    <row r="604" spans="3:10" ht="18.75" customHeight="1" x14ac:dyDescent="0.35">
      <c r="C604" s="100" t="str">
        <f>IF(OR(Fact_Analitica[[#This Row], [Año]]="",Fact_Analitica[[#This Row], [Mes]]=""),"",DATE(A604,MATCH(B604,{"enero","febrero","marzo","abril","mayo","junio","julio","agosto","septiembre","octubre","noviembre","diciembre"},0)+1,0))</f>
        <v/>
      </c>
      <c r="E604" t="str">
        <f>+IFERROR(VLOOKUP(Fact_Analitica[[#This Row], [Concepto Anterior]],Conceptos_Analítica_contraloría[#All],5,0),"")</f>
        <v/>
      </c>
      <c r="F604" t="str">
        <f>+IFERROR(VLOOKUP(Fact_Analitica[[#This Row], [Concepto Anterior]],Conceptos_Analítica_contraloría[#All],7,0),"")</f>
        <v/>
      </c>
      <c r="I604" t="str">
        <f>+IFERROR(VLOOKUP(D604,Conceptos_Analítica_contraloría[#All],2,0),"")</f>
        <v/>
      </c>
      <c r="J604" s="84" t="str">
        <f>+IFERROR(VLOOKUP(D604,Conceptos_Analítica_contraloría[#All],3,0),"")</f>
        <v/>
      </c>
    </row>
    <row r="605" spans="3:10" ht="18.75" customHeight="1" x14ac:dyDescent="0.35">
      <c r="C605" s="100" t="str">
        <f>IF(OR(Fact_Analitica[[#This Row], [Año]]="",Fact_Analitica[[#This Row], [Mes]]=""),"",DATE(A605,MATCH(B605,{"enero","febrero","marzo","abril","mayo","junio","julio","agosto","septiembre","octubre","noviembre","diciembre"},0)+1,0))</f>
        <v/>
      </c>
      <c r="E605" t="str">
        <f>+IFERROR(VLOOKUP(Fact_Analitica[[#This Row], [Concepto Anterior]],Conceptos_Analítica_contraloría[#All],5,0),"")</f>
        <v/>
      </c>
      <c r="F605" t="str">
        <f>+IFERROR(VLOOKUP(Fact_Analitica[[#This Row], [Concepto Anterior]],Conceptos_Analítica_contraloría[#All],7,0),"")</f>
        <v/>
      </c>
      <c r="I605" t="str">
        <f>+IFERROR(VLOOKUP(D605,Conceptos_Analítica_contraloría[#All],2,0),"")</f>
        <v/>
      </c>
      <c r="J605" s="84" t="str">
        <f>+IFERROR(VLOOKUP(D605,Conceptos_Analítica_contraloría[#All],3,0),"")</f>
        <v/>
      </c>
    </row>
    <row r="606" spans="3:10" ht="18.75" customHeight="1" x14ac:dyDescent="0.35">
      <c r="C606" s="100" t="str">
        <f>IF(OR(Fact_Analitica[[#This Row], [Año]]="",Fact_Analitica[[#This Row], [Mes]]=""),"",DATE(A606,MATCH(B606,{"enero","febrero","marzo","abril","mayo","junio","julio","agosto","septiembre","octubre","noviembre","diciembre"},0)+1,0))</f>
        <v/>
      </c>
      <c r="E606" t="str">
        <f>+IFERROR(VLOOKUP(Fact_Analitica[[#This Row], [Concepto Anterior]],Conceptos_Analítica_contraloría[#All],5,0),"")</f>
        <v/>
      </c>
      <c r="F606" t="str">
        <f>+IFERROR(VLOOKUP(Fact_Analitica[[#This Row], [Concepto Anterior]],Conceptos_Analítica_contraloría[#All],7,0),"")</f>
        <v/>
      </c>
      <c r="I606" t="str">
        <f>+IFERROR(VLOOKUP(D606,Conceptos_Analítica_contraloría[#All],2,0),"")</f>
        <v/>
      </c>
      <c r="J606" s="84" t="str">
        <f>+IFERROR(VLOOKUP(D606,Conceptos_Analítica_contraloría[#All],3,0),"")</f>
        <v/>
      </c>
    </row>
    <row r="607" spans="3:10" ht="18.75" customHeight="1" x14ac:dyDescent="0.35">
      <c r="C607" s="100" t="str">
        <f>IF(OR(Fact_Analitica[[#This Row], [Año]]="",Fact_Analitica[[#This Row], [Mes]]=""),"",DATE(A607,MATCH(B607,{"enero","febrero","marzo","abril","mayo","junio","julio","agosto","septiembre","octubre","noviembre","diciembre"},0)+1,0))</f>
        <v/>
      </c>
      <c r="E607" t="str">
        <f>+IFERROR(VLOOKUP(Fact_Analitica[[#This Row], [Concepto Anterior]],Conceptos_Analítica_contraloría[#All],5,0),"")</f>
        <v/>
      </c>
      <c r="F607" t="str">
        <f>+IFERROR(VLOOKUP(Fact_Analitica[[#This Row], [Concepto Anterior]],Conceptos_Analítica_contraloría[#All],7,0),"")</f>
        <v/>
      </c>
      <c r="I607" t="str">
        <f>+IFERROR(VLOOKUP(D607,Conceptos_Analítica_contraloría[#All],2,0),"")</f>
        <v/>
      </c>
      <c r="J607" s="84" t="str">
        <f>+IFERROR(VLOOKUP(D607,Conceptos_Analítica_contraloría[#All],3,0),"")</f>
        <v/>
      </c>
    </row>
    <row r="608" spans="3:10" ht="18.75" customHeight="1" x14ac:dyDescent="0.35">
      <c r="C608" s="100" t="str">
        <f>IF(OR(Fact_Analitica[[#This Row], [Año]]="",Fact_Analitica[[#This Row], [Mes]]=""),"",DATE(A608,MATCH(B608,{"enero","febrero","marzo","abril","mayo","junio","julio","agosto","septiembre","octubre","noviembre","diciembre"},0)+1,0))</f>
        <v/>
      </c>
      <c r="E608" t="str">
        <f>+IFERROR(VLOOKUP(Fact_Analitica[[#This Row], [Concepto Anterior]],Conceptos_Analítica_contraloría[#All],5,0),"")</f>
        <v/>
      </c>
      <c r="F608" t="str">
        <f>+IFERROR(VLOOKUP(Fact_Analitica[[#This Row], [Concepto Anterior]],Conceptos_Analítica_contraloría[#All],7,0),"")</f>
        <v/>
      </c>
      <c r="I608" t="str">
        <f>+IFERROR(VLOOKUP(D608,Conceptos_Analítica_contraloría[#All],2,0),"")</f>
        <v/>
      </c>
      <c r="J608" s="84" t="str">
        <f>+IFERROR(VLOOKUP(D608,Conceptos_Analítica_contraloría[#All],3,0),"")</f>
        <v/>
      </c>
    </row>
    <row r="609" spans="3:10" ht="18.75" customHeight="1" x14ac:dyDescent="0.35">
      <c r="C609" s="100" t="str">
        <f>IF(OR(Fact_Analitica[[#This Row], [Año]]="",Fact_Analitica[[#This Row], [Mes]]=""),"",DATE(A609,MATCH(B609,{"enero","febrero","marzo","abril","mayo","junio","julio","agosto","septiembre","octubre","noviembre","diciembre"},0)+1,0))</f>
        <v/>
      </c>
      <c r="E609" t="str">
        <f>+IFERROR(VLOOKUP(Fact_Analitica[[#This Row], [Concepto Anterior]],Conceptos_Analítica_contraloría[#All],5,0),"")</f>
        <v/>
      </c>
      <c r="F609" t="str">
        <f>+IFERROR(VLOOKUP(Fact_Analitica[[#This Row], [Concepto Anterior]],Conceptos_Analítica_contraloría[#All],7,0),"")</f>
        <v/>
      </c>
      <c r="I609" t="str">
        <f>+IFERROR(VLOOKUP(D609,Conceptos_Analítica_contraloría[#All],2,0),"")</f>
        <v/>
      </c>
      <c r="J609" s="84" t="str">
        <f>+IFERROR(VLOOKUP(D609,Conceptos_Analítica_contraloría[#All],3,0),"")</f>
        <v/>
      </c>
    </row>
    <row r="610" spans="3:10" ht="18.75" customHeight="1" x14ac:dyDescent="0.35">
      <c r="C610" s="100" t="str">
        <f>IF(OR(Fact_Analitica[[#This Row], [Año]]="",Fact_Analitica[[#This Row], [Mes]]=""),"",DATE(A610,MATCH(B610,{"enero","febrero","marzo","abril","mayo","junio","julio","agosto","septiembre","octubre","noviembre","diciembre"},0)+1,0))</f>
        <v/>
      </c>
      <c r="E610" t="str">
        <f>+IFERROR(VLOOKUP(Fact_Analitica[[#This Row], [Concepto Anterior]],Conceptos_Analítica_contraloría[#All],5,0),"")</f>
        <v/>
      </c>
      <c r="F610" t="str">
        <f>+IFERROR(VLOOKUP(Fact_Analitica[[#This Row], [Concepto Anterior]],Conceptos_Analítica_contraloría[#All],7,0),"")</f>
        <v/>
      </c>
      <c r="I610" t="str">
        <f>+IFERROR(VLOOKUP(D610,Conceptos_Analítica_contraloría[#All],2,0),"")</f>
        <v/>
      </c>
      <c r="J610" s="84" t="str">
        <f>+IFERROR(VLOOKUP(D610,Conceptos_Analítica_contraloría[#All],3,0),"")</f>
        <v/>
      </c>
    </row>
    <row r="611" spans="3:10" ht="18.75" customHeight="1" x14ac:dyDescent="0.35">
      <c r="C611" s="100" t="str">
        <f>IF(OR(Fact_Analitica[[#This Row], [Año]]="",Fact_Analitica[[#This Row], [Mes]]=""),"",DATE(A611,MATCH(B611,{"enero","febrero","marzo","abril","mayo","junio","julio","agosto","septiembre","octubre","noviembre","diciembre"},0)+1,0))</f>
        <v/>
      </c>
      <c r="E611" t="str">
        <f>+IFERROR(VLOOKUP(Fact_Analitica[[#This Row], [Concepto Anterior]],Conceptos_Analítica_contraloría[#All],5,0),"")</f>
        <v/>
      </c>
      <c r="F611" t="str">
        <f>+IFERROR(VLOOKUP(Fact_Analitica[[#This Row], [Concepto Anterior]],Conceptos_Analítica_contraloría[#All],7,0),"")</f>
        <v/>
      </c>
      <c r="I611" t="str">
        <f>+IFERROR(VLOOKUP(D611,Conceptos_Analítica_contraloría[#All],2,0),"")</f>
        <v/>
      </c>
      <c r="J611" s="84" t="str">
        <f>+IFERROR(VLOOKUP(D611,Conceptos_Analítica_contraloría[#All],3,0),"")</f>
        <v/>
      </c>
    </row>
    <row r="612" spans="3:10" ht="18.75" customHeight="1" x14ac:dyDescent="0.35">
      <c r="C612" s="100" t="str">
        <f>IF(OR(Fact_Analitica[[#This Row], [Año]]="",Fact_Analitica[[#This Row], [Mes]]=""),"",DATE(A612,MATCH(B612,{"enero","febrero","marzo","abril","mayo","junio","julio","agosto","septiembre","octubre","noviembre","diciembre"},0)+1,0))</f>
        <v/>
      </c>
      <c r="E612" t="str">
        <f>+IFERROR(VLOOKUP(Fact_Analitica[[#This Row], [Concepto Anterior]],Conceptos_Analítica_contraloría[#All],5,0),"")</f>
        <v/>
      </c>
      <c r="F612" t="str">
        <f>+IFERROR(VLOOKUP(Fact_Analitica[[#This Row], [Concepto Anterior]],Conceptos_Analítica_contraloría[#All],7,0),"")</f>
        <v/>
      </c>
      <c r="I612" t="str">
        <f>+IFERROR(VLOOKUP(D612,Conceptos_Analítica_contraloría[#All],2,0),"")</f>
        <v/>
      </c>
      <c r="J612" s="84" t="str">
        <f>+IFERROR(VLOOKUP(D612,Conceptos_Analítica_contraloría[#All],3,0),"")</f>
        <v/>
      </c>
    </row>
    <row r="613" spans="3:10" ht="18.75" customHeight="1" x14ac:dyDescent="0.35">
      <c r="C613" s="100" t="str">
        <f>IF(OR(Fact_Analitica[[#This Row], [Año]]="",Fact_Analitica[[#This Row], [Mes]]=""),"",DATE(A613,MATCH(B613,{"enero","febrero","marzo","abril","mayo","junio","julio","agosto","septiembre","octubre","noviembre","diciembre"},0)+1,0))</f>
        <v/>
      </c>
      <c r="E613" t="str">
        <f>+IFERROR(VLOOKUP(Fact_Analitica[[#This Row], [Concepto Anterior]],Conceptos_Analítica_contraloría[#All],5,0),"")</f>
        <v/>
      </c>
      <c r="F613" t="str">
        <f>+IFERROR(VLOOKUP(Fact_Analitica[[#This Row], [Concepto Anterior]],Conceptos_Analítica_contraloría[#All],7,0),"")</f>
        <v/>
      </c>
      <c r="I613" t="str">
        <f>+IFERROR(VLOOKUP(D613,Conceptos_Analítica_contraloría[#All],2,0),"")</f>
        <v/>
      </c>
      <c r="J613" s="84" t="str">
        <f>+IFERROR(VLOOKUP(D613,Conceptos_Analítica_contraloría[#All],3,0),"")</f>
        <v/>
      </c>
    </row>
    <row r="614" spans="3:10" ht="18.75" customHeight="1" x14ac:dyDescent="0.35">
      <c r="C614" s="100" t="str">
        <f>IF(OR(Fact_Analitica[[#This Row], [Año]]="",Fact_Analitica[[#This Row], [Mes]]=""),"",DATE(A614,MATCH(B614,{"enero","febrero","marzo","abril","mayo","junio","julio","agosto","septiembre","octubre","noviembre","diciembre"},0)+1,0))</f>
        <v/>
      </c>
      <c r="E614" t="str">
        <f>+IFERROR(VLOOKUP(Fact_Analitica[[#This Row], [Concepto Anterior]],Conceptos_Analítica_contraloría[#All],5,0),"")</f>
        <v/>
      </c>
      <c r="F614" t="str">
        <f>+IFERROR(VLOOKUP(Fact_Analitica[[#This Row], [Concepto Anterior]],Conceptos_Analítica_contraloría[#All],7,0),"")</f>
        <v/>
      </c>
      <c r="I614" t="str">
        <f>+IFERROR(VLOOKUP(D614,Conceptos_Analítica_contraloría[#All],2,0),"")</f>
        <v/>
      </c>
      <c r="J614" s="84" t="str">
        <f>+IFERROR(VLOOKUP(D614,Conceptos_Analítica_contraloría[#All],3,0),"")</f>
        <v/>
      </c>
    </row>
    <row r="615" spans="3:10" ht="18.75" customHeight="1" x14ac:dyDescent="0.35">
      <c r="C615" s="100" t="str">
        <f>IF(OR(Fact_Analitica[[#This Row], [Año]]="",Fact_Analitica[[#This Row], [Mes]]=""),"",DATE(A615,MATCH(B615,{"enero","febrero","marzo","abril","mayo","junio","julio","agosto","septiembre","octubre","noviembre","diciembre"},0)+1,0))</f>
        <v/>
      </c>
      <c r="E615" t="str">
        <f>+IFERROR(VLOOKUP(Fact_Analitica[[#This Row], [Concepto Anterior]],Conceptos_Analítica_contraloría[#All],5,0),"")</f>
        <v/>
      </c>
      <c r="F615" t="str">
        <f>+IFERROR(VLOOKUP(Fact_Analitica[[#This Row], [Concepto Anterior]],Conceptos_Analítica_contraloría[#All],7,0),"")</f>
        <v/>
      </c>
      <c r="I615" t="str">
        <f>+IFERROR(VLOOKUP(D615,Conceptos_Analítica_contraloría[#All],2,0),"")</f>
        <v/>
      </c>
      <c r="J615" s="84" t="str">
        <f>+IFERROR(VLOOKUP(D615,Conceptos_Analítica_contraloría[#All],3,0),"")</f>
        <v/>
      </c>
    </row>
    <row r="616" spans="3:10" ht="18.75" customHeight="1" x14ac:dyDescent="0.35">
      <c r="C616" s="100" t="str">
        <f>IF(OR(Fact_Analitica[[#This Row], [Año]]="",Fact_Analitica[[#This Row], [Mes]]=""),"",DATE(A616,MATCH(B616,{"enero","febrero","marzo","abril","mayo","junio","julio","agosto","septiembre","octubre","noviembre","diciembre"},0)+1,0))</f>
        <v/>
      </c>
      <c r="E616" t="str">
        <f>+IFERROR(VLOOKUP(Fact_Analitica[[#This Row], [Concepto Anterior]],Conceptos_Analítica_contraloría[#All],5,0),"")</f>
        <v/>
      </c>
      <c r="F616" t="str">
        <f>+IFERROR(VLOOKUP(Fact_Analitica[[#This Row], [Concepto Anterior]],Conceptos_Analítica_contraloría[#All],7,0),"")</f>
        <v/>
      </c>
      <c r="I616" t="str">
        <f>+IFERROR(VLOOKUP(D616,Conceptos_Analítica_contraloría[#All],2,0),"")</f>
        <v/>
      </c>
      <c r="J616" s="84" t="str">
        <f>+IFERROR(VLOOKUP(D616,Conceptos_Analítica_contraloría[#All],3,0),"")</f>
        <v/>
      </c>
    </row>
    <row r="617" spans="3:10" ht="18.75" customHeight="1" x14ac:dyDescent="0.35">
      <c r="C617" s="100" t="str">
        <f>IF(OR(Fact_Analitica[[#This Row], [Año]]="",Fact_Analitica[[#This Row], [Mes]]=""),"",DATE(A617,MATCH(B617,{"enero","febrero","marzo","abril","mayo","junio","julio","agosto","septiembre","octubre","noviembre","diciembre"},0)+1,0))</f>
        <v/>
      </c>
      <c r="E617" t="str">
        <f>+IFERROR(VLOOKUP(Fact_Analitica[[#This Row], [Concepto Anterior]],Conceptos_Analítica_contraloría[#All],5,0),"")</f>
        <v/>
      </c>
      <c r="F617" t="str">
        <f>+IFERROR(VLOOKUP(Fact_Analitica[[#This Row], [Concepto Anterior]],Conceptos_Analítica_contraloría[#All],7,0),"")</f>
        <v/>
      </c>
      <c r="I617" t="str">
        <f>+IFERROR(VLOOKUP(D617,Conceptos_Analítica_contraloría[#All],2,0),"")</f>
        <v/>
      </c>
      <c r="J617" s="84" t="str">
        <f>+IFERROR(VLOOKUP(D617,Conceptos_Analítica_contraloría[#All],3,0),"")</f>
        <v/>
      </c>
    </row>
    <row r="618" spans="3:10" ht="18.75" customHeight="1" x14ac:dyDescent="0.35">
      <c r="C618" s="100" t="str">
        <f>IF(OR(Fact_Analitica[[#This Row], [Año]]="",Fact_Analitica[[#This Row], [Mes]]=""),"",DATE(A618,MATCH(B618,{"enero","febrero","marzo","abril","mayo","junio","julio","agosto","septiembre","octubre","noviembre","diciembre"},0)+1,0))</f>
        <v/>
      </c>
      <c r="E618" t="str">
        <f>+IFERROR(VLOOKUP(Fact_Analitica[[#This Row], [Concepto Anterior]],Conceptos_Analítica_contraloría[#All],5,0),"")</f>
        <v/>
      </c>
      <c r="F618" t="str">
        <f>+IFERROR(VLOOKUP(Fact_Analitica[[#This Row], [Concepto Anterior]],Conceptos_Analítica_contraloría[#All],7,0),"")</f>
        <v/>
      </c>
      <c r="I618" t="str">
        <f>+IFERROR(VLOOKUP(D618,Conceptos_Analítica_contraloría[#All],2,0),"")</f>
        <v/>
      </c>
      <c r="J618" s="84" t="str">
        <f>+IFERROR(VLOOKUP(D618,Conceptos_Analítica_contraloría[#All],3,0),"")</f>
        <v/>
      </c>
    </row>
    <row r="619" spans="3:10" ht="18.75" customHeight="1" x14ac:dyDescent="0.35">
      <c r="C619" s="100" t="str">
        <f>IF(OR(Fact_Analitica[[#This Row], [Año]]="",Fact_Analitica[[#This Row], [Mes]]=""),"",DATE(A619,MATCH(B619,{"enero","febrero","marzo","abril","mayo","junio","julio","agosto","septiembre","octubre","noviembre","diciembre"},0)+1,0))</f>
        <v/>
      </c>
      <c r="E619" t="str">
        <f>+IFERROR(VLOOKUP(Fact_Analitica[[#This Row], [Concepto Anterior]],Conceptos_Analítica_contraloría[#All],5,0),"")</f>
        <v/>
      </c>
      <c r="F619" t="str">
        <f>+IFERROR(VLOOKUP(Fact_Analitica[[#This Row], [Concepto Anterior]],Conceptos_Analítica_contraloría[#All],7,0),"")</f>
        <v/>
      </c>
      <c r="I619" t="str">
        <f>+IFERROR(VLOOKUP(D619,Conceptos_Analítica_contraloría[#All],2,0),"")</f>
        <v/>
      </c>
      <c r="J619" s="84" t="str">
        <f>+IFERROR(VLOOKUP(D619,Conceptos_Analítica_contraloría[#All],3,0),"")</f>
        <v/>
      </c>
    </row>
    <row r="620" spans="3:10" ht="18.75" customHeight="1" x14ac:dyDescent="0.35">
      <c r="C620" s="100" t="str">
        <f>IF(OR(Fact_Analitica[[#This Row], [Año]]="",Fact_Analitica[[#This Row], [Mes]]=""),"",DATE(A620,MATCH(B620,{"enero","febrero","marzo","abril","mayo","junio","julio","agosto","septiembre","octubre","noviembre","diciembre"},0)+1,0))</f>
        <v/>
      </c>
      <c r="E620" t="str">
        <f>+IFERROR(VLOOKUP(Fact_Analitica[[#This Row], [Concepto Anterior]],Conceptos_Analítica_contraloría[#All],5,0),"")</f>
        <v/>
      </c>
      <c r="F620" t="str">
        <f>+IFERROR(VLOOKUP(Fact_Analitica[[#This Row], [Concepto Anterior]],Conceptos_Analítica_contraloría[#All],7,0),"")</f>
        <v/>
      </c>
      <c r="I620" t="str">
        <f>+IFERROR(VLOOKUP(D620,Conceptos_Analítica_contraloría[#All],2,0),"")</f>
        <v/>
      </c>
      <c r="J620" s="84" t="str">
        <f>+IFERROR(VLOOKUP(D620,Conceptos_Analítica_contraloría[#All],3,0),"")</f>
        <v/>
      </c>
    </row>
    <row r="621" spans="3:10" ht="18.75" customHeight="1" x14ac:dyDescent="0.35">
      <c r="C621" s="100" t="str">
        <f>IF(OR(Fact_Analitica[[#This Row], [Año]]="",Fact_Analitica[[#This Row], [Mes]]=""),"",DATE(A621,MATCH(B621,{"enero","febrero","marzo","abril","mayo","junio","julio","agosto","septiembre","octubre","noviembre","diciembre"},0)+1,0))</f>
        <v/>
      </c>
      <c r="E621" t="str">
        <f>+IFERROR(VLOOKUP(Fact_Analitica[[#This Row], [Concepto Anterior]],Conceptos_Analítica_contraloría[#All],5,0),"")</f>
        <v/>
      </c>
      <c r="F621" t="str">
        <f>+IFERROR(VLOOKUP(Fact_Analitica[[#This Row], [Concepto Anterior]],Conceptos_Analítica_contraloría[#All],7,0),"")</f>
        <v/>
      </c>
      <c r="I621" t="str">
        <f>+IFERROR(VLOOKUP(D621,Conceptos_Analítica_contraloría[#All],2,0),"")</f>
        <v/>
      </c>
      <c r="J621" s="84" t="str">
        <f>+IFERROR(VLOOKUP(D621,Conceptos_Analítica_contraloría[#All],3,0),"")</f>
        <v/>
      </c>
    </row>
    <row r="622" spans="3:10" ht="18.75" customHeight="1" x14ac:dyDescent="0.35">
      <c r="C622" s="100" t="str">
        <f>IF(OR(Fact_Analitica[[#This Row], [Año]]="",Fact_Analitica[[#This Row], [Mes]]=""),"",DATE(A622,MATCH(B622,{"enero","febrero","marzo","abril","mayo","junio","julio","agosto","septiembre","octubre","noviembre","diciembre"},0)+1,0))</f>
        <v/>
      </c>
      <c r="E622" t="str">
        <f>+IFERROR(VLOOKUP(Fact_Analitica[[#This Row], [Concepto Anterior]],Conceptos_Analítica_contraloría[#All],5,0),"")</f>
        <v/>
      </c>
      <c r="F622" t="str">
        <f>+IFERROR(VLOOKUP(Fact_Analitica[[#This Row], [Concepto Anterior]],Conceptos_Analítica_contraloría[#All],7,0),"")</f>
        <v/>
      </c>
      <c r="I622" t="str">
        <f>+IFERROR(VLOOKUP(D622,Conceptos_Analítica_contraloría[#All],2,0),"")</f>
        <v/>
      </c>
      <c r="J622" s="84" t="str">
        <f>+IFERROR(VLOOKUP(D622,Conceptos_Analítica_contraloría[#All],3,0),"")</f>
        <v/>
      </c>
    </row>
    <row r="623" spans="3:10" ht="18.75" customHeight="1" x14ac:dyDescent="0.35">
      <c r="C623" s="100" t="str">
        <f>IF(OR(Fact_Analitica[[#This Row], [Año]]="",Fact_Analitica[[#This Row], [Mes]]=""),"",DATE(A623,MATCH(B623,{"enero","febrero","marzo","abril","mayo","junio","julio","agosto","septiembre","octubre","noviembre","diciembre"},0)+1,0))</f>
        <v/>
      </c>
      <c r="E623" t="str">
        <f>+IFERROR(VLOOKUP(Fact_Analitica[[#This Row], [Concepto Anterior]],Conceptos_Analítica_contraloría[#All],5,0),"")</f>
        <v/>
      </c>
      <c r="F623" t="str">
        <f>+IFERROR(VLOOKUP(Fact_Analitica[[#This Row], [Concepto Anterior]],Conceptos_Analítica_contraloría[#All],7,0),"")</f>
        <v/>
      </c>
      <c r="I623" t="str">
        <f>+IFERROR(VLOOKUP(D623,Conceptos_Analítica_contraloría[#All],2,0),"")</f>
        <v/>
      </c>
      <c r="J623" s="84" t="str">
        <f>+IFERROR(VLOOKUP(D623,Conceptos_Analítica_contraloría[#All],3,0),"")</f>
        <v/>
      </c>
    </row>
    <row r="624" spans="3:10" ht="18.75" customHeight="1" x14ac:dyDescent="0.35">
      <c r="C624" s="100" t="str">
        <f>IF(OR(Fact_Analitica[[#This Row], [Año]]="",Fact_Analitica[[#This Row], [Mes]]=""),"",DATE(A624,MATCH(B624,{"enero","febrero","marzo","abril","mayo","junio","julio","agosto","septiembre","octubre","noviembre","diciembre"},0)+1,0))</f>
        <v/>
      </c>
      <c r="E624" t="str">
        <f>+IFERROR(VLOOKUP(Fact_Analitica[[#This Row], [Concepto Anterior]],Conceptos_Analítica_contraloría[#All],5,0),"")</f>
        <v/>
      </c>
      <c r="F624" t="str">
        <f>+IFERROR(VLOOKUP(Fact_Analitica[[#This Row], [Concepto Anterior]],Conceptos_Analítica_contraloría[#All],7,0),"")</f>
        <v/>
      </c>
      <c r="I624" t="str">
        <f>+IFERROR(VLOOKUP(D624,Conceptos_Analítica_contraloría[#All],2,0),"")</f>
        <v/>
      </c>
      <c r="J624" s="84" t="str">
        <f>+IFERROR(VLOOKUP(D624,Conceptos_Analítica_contraloría[#All],3,0),"")</f>
        <v/>
      </c>
    </row>
    <row r="625" spans="3:10" ht="18.75" customHeight="1" x14ac:dyDescent="0.35">
      <c r="C625" s="100" t="str">
        <f>IF(OR(Fact_Analitica[[#This Row], [Año]]="",Fact_Analitica[[#This Row], [Mes]]=""),"",DATE(A625,MATCH(B625,{"enero","febrero","marzo","abril","mayo","junio","julio","agosto","septiembre","octubre","noviembre","diciembre"},0)+1,0))</f>
        <v/>
      </c>
      <c r="E625" t="str">
        <f>+IFERROR(VLOOKUP(Fact_Analitica[[#This Row], [Concepto Anterior]],Conceptos_Analítica_contraloría[#All],5,0),"")</f>
        <v/>
      </c>
      <c r="F625" t="str">
        <f>+IFERROR(VLOOKUP(Fact_Analitica[[#This Row], [Concepto Anterior]],Conceptos_Analítica_contraloría[#All],7,0),"")</f>
        <v/>
      </c>
      <c r="I625" t="str">
        <f>+IFERROR(VLOOKUP(D625,Conceptos_Analítica_contraloría[#All],2,0),"")</f>
        <v/>
      </c>
      <c r="J625" s="84" t="str">
        <f>+IFERROR(VLOOKUP(D625,Conceptos_Analítica_contraloría[#All],3,0),"")</f>
        <v/>
      </c>
    </row>
    <row r="626" spans="3:10" ht="18.75" customHeight="1" x14ac:dyDescent="0.35">
      <c r="C626" s="100" t="str">
        <f>IF(OR(Fact_Analitica[[#This Row], [Año]]="",Fact_Analitica[[#This Row], [Mes]]=""),"",DATE(A626,MATCH(B626,{"enero","febrero","marzo","abril","mayo","junio","julio","agosto","septiembre","octubre","noviembre","diciembre"},0)+1,0))</f>
        <v/>
      </c>
      <c r="E626" t="str">
        <f>+IFERROR(VLOOKUP(Fact_Analitica[[#This Row], [Concepto Anterior]],Conceptos_Analítica_contraloría[#All],5,0),"")</f>
        <v/>
      </c>
      <c r="F626" t="str">
        <f>+IFERROR(VLOOKUP(Fact_Analitica[[#This Row], [Concepto Anterior]],Conceptos_Analítica_contraloría[#All],7,0),"")</f>
        <v/>
      </c>
      <c r="I626" t="str">
        <f>+IFERROR(VLOOKUP(D626,Conceptos_Analítica_contraloría[#All],2,0),"")</f>
        <v/>
      </c>
      <c r="J626" s="84" t="str">
        <f>+IFERROR(VLOOKUP(D626,Conceptos_Analítica_contraloría[#All],3,0),"")</f>
        <v/>
      </c>
    </row>
    <row r="627" spans="3:10" ht="18.75" customHeight="1" x14ac:dyDescent="0.35">
      <c r="C627" s="100" t="str">
        <f>IF(OR(Fact_Analitica[[#This Row], [Año]]="",Fact_Analitica[[#This Row], [Mes]]=""),"",DATE(A627,MATCH(B627,{"enero","febrero","marzo","abril","mayo","junio","julio","agosto","septiembre","octubre","noviembre","diciembre"},0)+1,0))</f>
        <v/>
      </c>
      <c r="E627" t="str">
        <f>+IFERROR(VLOOKUP(Fact_Analitica[[#This Row], [Concepto Anterior]],Conceptos_Analítica_contraloría[#All],5,0),"")</f>
        <v/>
      </c>
      <c r="F627" t="str">
        <f>+IFERROR(VLOOKUP(Fact_Analitica[[#This Row], [Concepto Anterior]],Conceptos_Analítica_contraloría[#All],7,0),"")</f>
        <v/>
      </c>
      <c r="I627" t="str">
        <f>+IFERROR(VLOOKUP(D627,Conceptos_Analítica_contraloría[#All],2,0),"")</f>
        <v/>
      </c>
      <c r="J627" s="84" t="str">
        <f>+IFERROR(VLOOKUP(D627,Conceptos_Analítica_contraloría[#All],3,0),"")</f>
        <v/>
      </c>
    </row>
    <row r="628" spans="3:10" ht="18.75" customHeight="1" x14ac:dyDescent="0.35">
      <c r="C628" s="100" t="str">
        <f>IF(OR(Fact_Analitica[[#This Row], [Año]]="",Fact_Analitica[[#This Row], [Mes]]=""),"",DATE(A628,MATCH(B628,{"enero","febrero","marzo","abril","mayo","junio","julio","agosto","septiembre","octubre","noviembre","diciembre"},0)+1,0))</f>
        <v/>
      </c>
      <c r="E628" t="str">
        <f>+IFERROR(VLOOKUP(Fact_Analitica[[#This Row], [Concepto Anterior]],Conceptos_Analítica_contraloría[#All],5,0),"")</f>
        <v/>
      </c>
      <c r="F628" t="str">
        <f>+IFERROR(VLOOKUP(Fact_Analitica[[#This Row], [Concepto Anterior]],Conceptos_Analítica_contraloría[#All],7,0),"")</f>
        <v/>
      </c>
      <c r="I628" t="str">
        <f>+IFERROR(VLOOKUP(D628,Conceptos_Analítica_contraloría[#All],2,0),"")</f>
        <v/>
      </c>
      <c r="J628" s="84" t="str">
        <f>+IFERROR(VLOOKUP(D628,Conceptos_Analítica_contraloría[#All],3,0),"")</f>
        <v/>
      </c>
    </row>
    <row r="629" spans="3:10" ht="18.75" customHeight="1" x14ac:dyDescent="0.35">
      <c r="C629" s="100" t="str">
        <f>IF(OR(Fact_Analitica[[#This Row], [Año]]="",Fact_Analitica[[#This Row], [Mes]]=""),"",DATE(A629,MATCH(B629,{"enero","febrero","marzo","abril","mayo","junio","julio","agosto","septiembre","octubre","noviembre","diciembre"},0)+1,0))</f>
        <v/>
      </c>
      <c r="E629" t="str">
        <f>+IFERROR(VLOOKUP(Fact_Analitica[[#This Row], [Concepto Anterior]],Conceptos_Analítica_contraloría[#All],5,0),"")</f>
        <v/>
      </c>
      <c r="F629" t="str">
        <f>+IFERROR(VLOOKUP(Fact_Analitica[[#This Row], [Concepto Anterior]],Conceptos_Analítica_contraloría[#All],7,0),"")</f>
        <v/>
      </c>
      <c r="I629" t="str">
        <f>+IFERROR(VLOOKUP(D629,Conceptos_Analítica_contraloría[#All],2,0),"")</f>
        <v/>
      </c>
      <c r="J629" s="84" t="str">
        <f>+IFERROR(VLOOKUP(D629,Conceptos_Analítica_contraloría[#All],3,0),"")</f>
        <v/>
      </c>
    </row>
    <row r="630" spans="3:10" ht="18.75" customHeight="1" x14ac:dyDescent="0.35">
      <c r="C630" s="100" t="str">
        <f>IF(OR(Fact_Analitica[[#This Row], [Año]]="",Fact_Analitica[[#This Row], [Mes]]=""),"",DATE(A630,MATCH(B630,{"enero","febrero","marzo","abril","mayo","junio","julio","agosto","septiembre","octubre","noviembre","diciembre"},0)+1,0))</f>
        <v/>
      </c>
      <c r="E630" t="str">
        <f>+IFERROR(VLOOKUP(Fact_Analitica[[#This Row], [Concepto Anterior]],Conceptos_Analítica_contraloría[#All],5,0),"")</f>
        <v/>
      </c>
      <c r="F630" t="str">
        <f>+IFERROR(VLOOKUP(Fact_Analitica[[#This Row], [Concepto Anterior]],Conceptos_Analítica_contraloría[#All],7,0),"")</f>
        <v/>
      </c>
      <c r="I630" t="str">
        <f>+IFERROR(VLOOKUP(D630,Conceptos_Analítica_contraloría[#All],2,0),"")</f>
        <v/>
      </c>
      <c r="J630" s="84" t="str">
        <f>+IFERROR(VLOOKUP(D630,Conceptos_Analítica_contraloría[#All],3,0),"")</f>
        <v/>
      </c>
    </row>
    <row r="631" spans="3:10" ht="18.75" customHeight="1" x14ac:dyDescent="0.35">
      <c r="C631" s="100" t="str">
        <f>IF(OR(Fact_Analitica[[#This Row], [Año]]="",Fact_Analitica[[#This Row], [Mes]]=""),"",DATE(A631,MATCH(B631,{"enero","febrero","marzo","abril","mayo","junio","julio","agosto","septiembre","octubre","noviembre","diciembre"},0)+1,0))</f>
        <v/>
      </c>
      <c r="E631" t="str">
        <f>+IFERROR(VLOOKUP(Fact_Analitica[[#This Row], [Concepto Anterior]],Conceptos_Analítica_contraloría[#All],5,0),"")</f>
        <v/>
      </c>
      <c r="F631" t="str">
        <f>+IFERROR(VLOOKUP(Fact_Analitica[[#This Row], [Concepto Anterior]],Conceptos_Analítica_contraloría[#All],7,0),"")</f>
        <v/>
      </c>
      <c r="I631" t="str">
        <f>+IFERROR(VLOOKUP(D631,Conceptos_Analítica_contraloría[#All],2,0),"")</f>
        <v/>
      </c>
      <c r="J631" s="84" t="str">
        <f>+IFERROR(VLOOKUP(D631,Conceptos_Analítica_contraloría[#All],3,0),"")</f>
        <v/>
      </c>
    </row>
    <row r="632" spans="3:10" ht="18.75" customHeight="1" x14ac:dyDescent="0.35">
      <c r="C632" s="100" t="str">
        <f>IF(OR(Fact_Analitica[[#This Row], [Año]]="",Fact_Analitica[[#This Row], [Mes]]=""),"",DATE(A632,MATCH(B632,{"enero","febrero","marzo","abril","mayo","junio","julio","agosto","septiembre","octubre","noviembre","diciembre"},0)+1,0))</f>
        <v/>
      </c>
      <c r="E632" t="str">
        <f>+IFERROR(VLOOKUP(Fact_Analitica[[#This Row], [Concepto Anterior]],Conceptos_Analítica_contraloría[#All],5,0),"")</f>
        <v/>
      </c>
      <c r="F632" t="str">
        <f>+IFERROR(VLOOKUP(Fact_Analitica[[#This Row], [Concepto Anterior]],Conceptos_Analítica_contraloría[#All],7,0),"")</f>
        <v/>
      </c>
      <c r="I632" t="str">
        <f>+IFERROR(VLOOKUP(D632,Conceptos_Analítica_contraloría[#All],2,0),"")</f>
        <v/>
      </c>
      <c r="J632" s="84" t="str">
        <f>+IFERROR(VLOOKUP(D632,Conceptos_Analítica_contraloría[#All],3,0),"")</f>
        <v/>
      </c>
    </row>
    <row r="633" spans="3:10" ht="18.75" customHeight="1" x14ac:dyDescent="0.35">
      <c r="C633" s="100" t="str">
        <f>IF(OR(Fact_Analitica[[#This Row], [Año]]="",Fact_Analitica[[#This Row], [Mes]]=""),"",DATE(A633,MATCH(B633,{"enero","febrero","marzo","abril","mayo","junio","julio","agosto","septiembre","octubre","noviembre","diciembre"},0)+1,0))</f>
        <v/>
      </c>
      <c r="E633" t="str">
        <f>+IFERROR(VLOOKUP(Fact_Analitica[[#This Row], [Concepto Anterior]],Conceptos_Analítica_contraloría[#All],5,0),"")</f>
        <v/>
      </c>
      <c r="F633" t="str">
        <f>+IFERROR(VLOOKUP(Fact_Analitica[[#This Row], [Concepto Anterior]],Conceptos_Analítica_contraloría[#All],7,0),"")</f>
        <v/>
      </c>
      <c r="I633" t="str">
        <f>+IFERROR(VLOOKUP(D633,Conceptos_Analítica_contraloría[#All],2,0),"")</f>
        <v/>
      </c>
      <c r="J633" s="84" t="str">
        <f>+IFERROR(VLOOKUP(D633,Conceptos_Analítica_contraloría[#All],3,0),"")</f>
        <v/>
      </c>
    </row>
    <row r="634" spans="3:10" ht="18.75" customHeight="1" x14ac:dyDescent="0.35">
      <c r="C634" s="100" t="str">
        <f>IF(OR(Fact_Analitica[[#This Row], [Año]]="",Fact_Analitica[[#This Row], [Mes]]=""),"",DATE(A634,MATCH(B634,{"enero","febrero","marzo","abril","mayo","junio","julio","agosto","septiembre","octubre","noviembre","diciembre"},0)+1,0))</f>
        <v/>
      </c>
      <c r="E634" t="str">
        <f>+IFERROR(VLOOKUP(Fact_Analitica[[#This Row], [Concepto Anterior]],Conceptos_Analítica_contraloría[#All],5,0),"")</f>
        <v/>
      </c>
      <c r="F634" t="str">
        <f>+IFERROR(VLOOKUP(Fact_Analitica[[#This Row], [Concepto Anterior]],Conceptos_Analítica_contraloría[#All],7,0),"")</f>
        <v/>
      </c>
      <c r="I634" t="str">
        <f>+IFERROR(VLOOKUP(D634,Conceptos_Analítica_contraloría[#All],2,0),"")</f>
        <v/>
      </c>
      <c r="J634" s="84" t="str">
        <f>+IFERROR(VLOOKUP(D634,Conceptos_Analítica_contraloría[#All],3,0),"")</f>
        <v/>
      </c>
    </row>
    <row r="635" spans="3:10" ht="18.75" customHeight="1" x14ac:dyDescent="0.35">
      <c r="C635" s="100" t="str">
        <f>IF(OR(Fact_Analitica[[#This Row], [Año]]="",Fact_Analitica[[#This Row], [Mes]]=""),"",DATE(A635,MATCH(B635,{"enero","febrero","marzo","abril","mayo","junio","julio","agosto","septiembre","octubre","noviembre","diciembre"},0)+1,0))</f>
        <v/>
      </c>
      <c r="E635" t="str">
        <f>+IFERROR(VLOOKUP(Fact_Analitica[[#This Row], [Concepto Anterior]],Conceptos_Analítica_contraloría[#All],5,0),"")</f>
        <v/>
      </c>
      <c r="F635" t="str">
        <f>+IFERROR(VLOOKUP(Fact_Analitica[[#This Row], [Concepto Anterior]],Conceptos_Analítica_contraloría[#All],7,0),"")</f>
        <v/>
      </c>
      <c r="I635" t="str">
        <f>+IFERROR(VLOOKUP(D635,Conceptos_Analítica_contraloría[#All],2,0),"")</f>
        <v/>
      </c>
      <c r="J635" s="84" t="str">
        <f>+IFERROR(VLOOKUP(D635,Conceptos_Analítica_contraloría[#All],3,0),"")</f>
        <v/>
      </c>
    </row>
    <row r="636" spans="3:10" ht="18.75" customHeight="1" x14ac:dyDescent="0.35">
      <c r="C636" s="100" t="str">
        <f>IF(OR(Fact_Analitica[[#This Row], [Año]]="",Fact_Analitica[[#This Row], [Mes]]=""),"",DATE(A636,MATCH(B636,{"enero","febrero","marzo","abril","mayo","junio","julio","agosto","septiembre","octubre","noviembre","diciembre"},0)+1,0))</f>
        <v/>
      </c>
      <c r="E636" t="str">
        <f>+IFERROR(VLOOKUP(Fact_Analitica[[#This Row], [Concepto Anterior]],Conceptos_Analítica_contraloría[#All],5,0),"")</f>
        <v/>
      </c>
      <c r="F636" t="str">
        <f>+IFERROR(VLOOKUP(Fact_Analitica[[#This Row], [Concepto Anterior]],Conceptos_Analítica_contraloría[#All],7,0),"")</f>
        <v/>
      </c>
      <c r="I636" t="str">
        <f>+IFERROR(VLOOKUP(D636,Conceptos_Analítica_contraloría[#All],2,0),"")</f>
        <v/>
      </c>
      <c r="J636" s="84" t="str">
        <f>+IFERROR(VLOOKUP(D636,Conceptos_Analítica_contraloría[#All],3,0),"")</f>
        <v/>
      </c>
    </row>
    <row r="637" spans="3:10" ht="18.75" customHeight="1" x14ac:dyDescent="0.35">
      <c r="C637" s="100" t="str">
        <f>IF(OR(Fact_Analitica[[#This Row], [Año]]="",Fact_Analitica[[#This Row], [Mes]]=""),"",DATE(A637,MATCH(B637,{"enero","febrero","marzo","abril","mayo","junio","julio","agosto","septiembre","octubre","noviembre","diciembre"},0)+1,0))</f>
        <v/>
      </c>
      <c r="E637" t="str">
        <f>+IFERROR(VLOOKUP(Fact_Analitica[[#This Row], [Concepto Anterior]],Conceptos_Analítica_contraloría[#All],5,0),"")</f>
        <v/>
      </c>
      <c r="F637" t="str">
        <f>+IFERROR(VLOOKUP(Fact_Analitica[[#This Row], [Concepto Anterior]],Conceptos_Analítica_contraloría[#All],7,0),"")</f>
        <v/>
      </c>
      <c r="I637" t="str">
        <f>+IFERROR(VLOOKUP(D637,Conceptos_Analítica_contraloría[#All],2,0),"")</f>
        <v/>
      </c>
      <c r="J637" s="84" t="str">
        <f>+IFERROR(VLOOKUP(D637,Conceptos_Analítica_contraloría[#All],3,0),"")</f>
        <v/>
      </c>
    </row>
    <row r="638" spans="3:10" ht="18.75" customHeight="1" x14ac:dyDescent="0.35">
      <c r="C638" s="100" t="str">
        <f>IF(OR(Fact_Analitica[[#This Row], [Año]]="",Fact_Analitica[[#This Row], [Mes]]=""),"",DATE(A638,MATCH(B638,{"enero","febrero","marzo","abril","mayo","junio","julio","agosto","septiembre","octubre","noviembre","diciembre"},0)+1,0))</f>
        <v/>
      </c>
      <c r="E638" t="str">
        <f>+IFERROR(VLOOKUP(Fact_Analitica[[#This Row], [Concepto Anterior]],Conceptos_Analítica_contraloría[#All],5,0),"")</f>
        <v/>
      </c>
      <c r="F638" t="str">
        <f>+IFERROR(VLOOKUP(Fact_Analitica[[#This Row], [Concepto Anterior]],Conceptos_Analítica_contraloría[#All],7,0),"")</f>
        <v/>
      </c>
      <c r="I638" t="str">
        <f>+IFERROR(VLOOKUP(D638,Conceptos_Analítica_contraloría[#All],2,0),"")</f>
        <v/>
      </c>
      <c r="J638" s="84" t="str">
        <f>+IFERROR(VLOOKUP(D638,Conceptos_Analítica_contraloría[#All],3,0),"")</f>
        <v/>
      </c>
    </row>
    <row r="639" spans="3:10" ht="18.75" customHeight="1" x14ac:dyDescent="0.35">
      <c r="C639" s="100" t="str">
        <f>IF(OR(Fact_Analitica[[#This Row], [Año]]="",Fact_Analitica[[#This Row], [Mes]]=""),"",DATE(A639,MATCH(B639,{"enero","febrero","marzo","abril","mayo","junio","julio","agosto","septiembre","octubre","noviembre","diciembre"},0)+1,0))</f>
        <v/>
      </c>
      <c r="E639" t="str">
        <f>+IFERROR(VLOOKUP(Fact_Analitica[[#This Row], [Concepto Anterior]],Conceptos_Analítica_contraloría[#All],5,0),"")</f>
        <v/>
      </c>
      <c r="F639" t="str">
        <f>+IFERROR(VLOOKUP(Fact_Analitica[[#This Row], [Concepto Anterior]],Conceptos_Analítica_contraloría[#All],7,0),"")</f>
        <v/>
      </c>
      <c r="I639" t="str">
        <f>+IFERROR(VLOOKUP(D639,Conceptos_Analítica_contraloría[#All],2,0),"")</f>
        <v/>
      </c>
      <c r="J639" s="84" t="str">
        <f>+IFERROR(VLOOKUP(D639,Conceptos_Analítica_contraloría[#All],3,0),"")</f>
        <v/>
      </c>
    </row>
    <row r="640" spans="3:10" ht="18.75" customHeight="1" x14ac:dyDescent="0.35">
      <c r="C640" s="100" t="str">
        <f>IF(OR(Fact_Analitica[[#This Row], [Año]]="",Fact_Analitica[[#This Row], [Mes]]=""),"",DATE(A640,MATCH(B640,{"enero","febrero","marzo","abril","mayo","junio","julio","agosto","septiembre","octubre","noviembre","diciembre"},0)+1,0))</f>
        <v/>
      </c>
      <c r="E640" t="str">
        <f>+IFERROR(VLOOKUP(Fact_Analitica[[#This Row], [Concepto Anterior]],Conceptos_Analítica_contraloría[#All],5,0),"")</f>
        <v/>
      </c>
      <c r="F640" t="str">
        <f>+IFERROR(VLOOKUP(Fact_Analitica[[#This Row], [Concepto Anterior]],Conceptos_Analítica_contraloría[#All],7,0),"")</f>
        <v/>
      </c>
      <c r="I640" t="str">
        <f>+IFERROR(VLOOKUP(D640,Conceptos_Analítica_contraloría[#All],2,0),"")</f>
        <v/>
      </c>
      <c r="J640" s="84" t="str">
        <f>+IFERROR(VLOOKUP(D640,Conceptos_Analítica_contraloría[#All],3,0),"")</f>
        <v/>
      </c>
    </row>
    <row r="641" spans="3:10" ht="18.75" customHeight="1" x14ac:dyDescent="0.35">
      <c r="C641" s="100" t="str">
        <f>IF(OR(Fact_Analitica[[#This Row], [Año]]="",Fact_Analitica[[#This Row], [Mes]]=""),"",DATE(A641,MATCH(B641,{"enero","febrero","marzo","abril","mayo","junio","julio","agosto","septiembre","octubre","noviembre","diciembre"},0)+1,0))</f>
        <v/>
      </c>
      <c r="E641" t="str">
        <f>+IFERROR(VLOOKUP(Fact_Analitica[[#This Row], [Concepto Anterior]],Conceptos_Analítica_contraloría[#All],5,0),"")</f>
        <v/>
      </c>
      <c r="F641" t="str">
        <f>+IFERROR(VLOOKUP(Fact_Analitica[[#This Row], [Concepto Anterior]],Conceptos_Analítica_contraloría[#All],7,0),"")</f>
        <v/>
      </c>
      <c r="I641" t="str">
        <f>+IFERROR(VLOOKUP(D641,Conceptos_Analítica_contraloría[#All],2,0),"")</f>
        <v/>
      </c>
      <c r="J641" s="84" t="str">
        <f>+IFERROR(VLOOKUP(D641,Conceptos_Analítica_contraloría[#All],3,0),"")</f>
        <v/>
      </c>
    </row>
    <row r="642" spans="3:10" ht="18.75" customHeight="1" x14ac:dyDescent="0.35">
      <c r="C642" s="100" t="str">
        <f>IF(OR(Fact_Analitica[[#This Row], [Año]]="",Fact_Analitica[[#This Row], [Mes]]=""),"",DATE(A642,MATCH(B642,{"enero","febrero","marzo","abril","mayo","junio","julio","agosto","septiembre","octubre","noviembre","diciembre"},0)+1,0))</f>
        <v/>
      </c>
      <c r="E642" t="str">
        <f>+IFERROR(VLOOKUP(Fact_Analitica[[#This Row], [Concepto Anterior]],Conceptos_Analítica_contraloría[#All],5,0),"")</f>
        <v/>
      </c>
      <c r="F642" t="str">
        <f>+IFERROR(VLOOKUP(Fact_Analitica[[#This Row], [Concepto Anterior]],Conceptos_Analítica_contraloría[#All],7,0),"")</f>
        <v/>
      </c>
      <c r="I642" t="str">
        <f>+IFERROR(VLOOKUP(D642,Conceptos_Analítica_contraloría[#All],2,0),"")</f>
        <v/>
      </c>
      <c r="J642" s="84" t="str">
        <f>+IFERROR(VLOOKUP(D642,Conceptos_Analítica_contraloría[#All],3,0),"")</f>
        <v/>
      </c>
    </row>
    <row r="643" spans="3:10" ht="18.75" customHeight="1" x14ac:dyDescent="0.35">
      <c r="C643" s="100" t="str">
        <f>IF(OR(Fact_Analitica[[#This Row], [Año]]="",Fact_Analitica[[#This Row], [Mes]]=""),"",DATE(A643,MATCH(B643,{"enero","febrero","marzo","abril","mayo","junio","julio","agosto","septiembre","octubre","noviembre","diciembre"},0)+1,0))</f>
        <v/>
      </c>
      <c r="E643" t="str">
        <f>+IFERROR(VLOOKUP(Fact_Analitica[[#This Row], [Concepto Anterior]],Conceptos_Analítica_contraloría[#All],5,0),"")</f>
        <v/>
      </c>
      <c r="F643" t="str">
        <f>+IFERROR(VLOOKUP(Fact_Analitica[[#This Row], [Concepto Anterior]],Conceptos_Analítica_contraloría[#All],7,0),"")</f>
        <v/>
      </c>
      <c r="I643" t="str">
        <f>+IFERROR(VLOOKUP(D643,Conceptos_Analítica_contraloría[#All],2,0),"")</f>
        <v/>
      </c>
      <c r="J643" s="84" t="str">
        <f>+IFERROR(VLOOKUP(D643,Conceptos_Analítica_contraloría[#All],3,0),"")</f>
        <v/>
      </c>
    </row>
    <row r="644" spans="3:10" ht="18.75" customHeight="1" x14ac:dyDescent="0.35">
      <c r="C644" s="100" t="str">
        <f>IF(OR(Fact_Analitica[[#This Row], [Año]]="",Fact_Analitica[[#This Row], [Mes]]=""),"",DATE(A644,MATCH(B644,{"enero","febrero","marzo","abril","mayo","junio","julio","agosto","septiembre","octubre","noviembre","diciembre"},0)+1,0))</f>
        <v/>
      </c>
      <c r="E644" t="str">
        <f>+IFERROR(VLOOKUP(Fact_Analitica[[#This Row], [Concepto Anterior]],Conceptos_Analítica_contraloría[#All],5,0),"")</f>
        <v/>
      </c>
      <c r="F644" t="str">
        <f>+IFERROR(VLOOKUP(Fact_Analitica[[#This Row], [Concepto Anterior]],Conceptos_Analítica_contraloría[#All],7,0),"")</f>
        <v/>
      </c>
      <c r="I644" t="str">
        <f>+IFERROR(VLOOKUP(D644,Conceptos_Analítica_contraloría[#All],2,0),"")</f>
        <v/>
      </c>
      <c r="J644" s="84" t="str">
        <f>+IFERROR(VLOOKUP(D644,Conceptos_Analítica_contraloría[#All],3,0),"")</f>
        <v/>
      </c>
    </row>
    <row r="645" spans="3:10" ht="18.75" customHeight="1" x14ac:dyDescent="0.35">
      <c r="C645" s="100" t="str">
        <f>IF(OR(Fact_Analitica[[#This Row], [Año]]="",Fact_Analitica[[#This Row], [Mes]]=""),"",DATE(A645,MATCH(B645,{"enero","febrero","marzo","abril","mayo","junio","julio","agosto","septiembre","octubre","noviembre","diciembre"},0)+1,0))</f>
        <v/>
      </c>
      <c r="E645" t="str">
        <f>+IFERROR(VLOOKUP(Fact_Analitica[[#This Row], [Concepto Anterior]],Conceptos_Analítica_contraloría[#All],5,0),"")</f>
        <v/>
      </c>
      <c r="F645" t="str">
        <f>+IFERROR(VLOOKUP(Fact_Analitica[[#This Row], [Concepto Anterior]],Conceptos_Analítica_contraloría[#All],7,0),"")</f>
        <v/>
      </c>
      <c r="I645" t="str">
        <f>+IFERROR(VLOOKUP(D645,Conceptos_Analítica_contraloría[#All],2,0),"")</f>
        <v/>
      </c>
      <c r="J645" s="84" t="str">
        <f>+IFERROR(VLOOKUP(D645,Conceptos_Analítica_contraloría[#All],3,0),"")</f>
        <v/>
      </c>
    </row>
    <row r="646" spans="3:10" ht="18.75" customHeight="1" x14ac:dyDescent="0.35">
      <c r="C646" s="100" t="str">
        <f>IF(OR(Fact_Analitica[[#This Row], [Año]]="",Fact_Analitica[[#This Row], [Mes]]=""),"",DATE(A646,MATCH(B646,{"enero","febrero","marzo","abril","mayo","junio","julio","agosto","septiembre","octubre","noviembre","diciembre"},0)+1,0))</f>
        <v/>
      </c>
      <c r="E646" t="str">
        <f>+IFERROR(VLOOKUP(Fact_Analitica[[#This Row], [Concepto Anterior]],Conceptos_Analítica_contraloría[#All],5,0),"")</f>
        <v/>
      </c>
      <c r="F646" t="str">
        <f>+IFERROR(VLOOKUP(Fact_Analitica[[#This Row], [Concepto Anterior]],Conceptos_Analítica_contraloría[#All],7,0),"")</f>
        <v/>
      </c>
      <c r="I646" t="str">
        <f>+IFERROR(VLOOKUP(D646,Conceptos_Analítica_contraloría[#All],2,0),"")</f>
        <v/>
      </c>
      <c r="J646" s="84" t="str">
        <f>+IFERROR(VLOOKUP(D646,Conceptos_Analítica_contraloría[#All],3,0),"")</f>
        <v/>
      </c>
    </row>
    <row r="647" spans="3:10" ht="18.75" customHeight="1" x14ac:dyDescent="0.35">
      <c r="C647" s="100" t="str">
        <f>IF(OR(Fact_Analitica[[#This Row], [Año]]="",Fact_Analitica[[#This Row], [Mes]]=""),"",DATE(A647,MATCH(B647,{"enero","febrero","marzo","abril","mayo","junio","julio","agosto","septiembre","octubre","noviembre","diciembre"},0)+1,0))</f>
        <v/>
      </c>
      <c r="E647" t="str">
        <f>+IFERROR(VLOOKUP(Fact_Analitica[[#This Row], [Concepto Anterior]],Conceptos_Analítica_contraloría[#All],5,0),"")</f>
        <v/>
      </c>
      <c r="F647" t="str">
        <f>+IFERROR(VLOOKUP(Fact_Analitica[[#This Row], [Concepto Anterior]],Conceptos_Analítica_contraloría[#All],7,0),"")</f>
        <v/>
      </c>
      <c r="I647" t="str">
        <f>+IFERROR(VLOOKUP(D647,Conceptos_Analítica_contraloría[#All],2,0),"")</f>
        <v/>
      </c>
      <c r="J647" s="84" t="str">
        <f>+IFERROR(VLOOKUP(D647,Conceptos_Analítica_contraloría[#All],3,0),"")</f>
        <v/>
      </c>
    </row>
    <row r="648" spans="3:10" ht="18.75" customHeight="1" x14ac:dyDescent="0.35">
      <c r="C648" s="100" t="str">
        <f>IF(OR(Fact_Analitica[[#This Row], [Año]]="",Fact_Analitica[[#This Row], [Mes]]=""),"",DATE(A648,MATCH(B648,{"enero","febrero","marzo","abril","mayo","junio","julio","agosto","septiembre","octubre","noviembre","diciembre"},0)+1,0))</f>
        <v/>
      </c>
      <c r="E648" t="str">
        <f>+IFERROR(VLOOKUP(Fact_Analitica[[#This Row], [Concepto Anterior]],Conceptos_Analítica_contraloría[#All],5,0),"")</f>
        <v/>
      </c>
      <c r="F648" t="str">
        <f>+IFERROR(VLOOKUP(Fact_Analitica[[#This Row], [Concepto Anterior]],Conceptos_Analítica_contraloría[#All],7,0),"")</f>
        <v/>
      </c>
      <c r="I648" t="str">
        <f>+IFERROR(VLOOKUP(D648,Conceptos_Analítica_contraloría[#All],2,0),"")</f>
        <v/>
      </c>
      <c r="J648" s="84" t="str">
        <f>+IFERROR(VLOOKUP(D648,Conceptos_Analítica_contraloría[#All],3,0),"")</f>
        <v/>
      </c>
    </row>
    <row r="649" spans="3:10" ht="18.75" customHeight="1" x14ac:dyDescent="0.35">
      <c r="C649" s="100" t="str">
        <f>IF(OR(Fact_Analitica[[#This Row], [Año]]="",Fact_Analitica[[#This Row], [Mes]]=""),"",DATE(A649,MATCH(B649,{"enero","febrero","marzo","abril","mayo","junio","julio","agosto","septiembre","octubre","noviembre","diciembre"},0)+1,0))</f>
        <v/>
      </c>
      <c r="E649" t="str">
        <f>+IFERROR(VLOOKUP(Fact_Analitica[[#This Row], [Concepto Anterior]],Conceptos_Analítica_contraloría[#All],5,0),"")</f>
        <v/>
      </c>
      <c r="F649" t="str">
        <f>+IFERROR(VLOOKUP(Fact_Analitica[[#This Row], [Concepto Anterior]],Conceptos_Analítica_contraloría[#All],7,0),"")</f>
        <v/>
      </c>
      <c r="I649" t="str">
        <f>+IFERROR(VLOOKUP(D649,Conceptos_Analítica_contraloría[#All],2,0),"")</f>
        <v/>
      </c>
      <c r="J649" s="84" t="str">
        <f>+IFERROR(VLOOKUP(D649,Conceptos_Analítica_contraloría[#All],3,0),"")</f>
        <v/>
      </c>
    </row>
    <row r="650" spans="3:10" ht="18.75" customHeight="1" x14ac:dyDescent="0.35">
      <c r="C650" s="100" t="str">
        <f>IF(OR(Fact_Analitica[[#This Row], [Año]]="",Fact_Analitica[[#This Row], [Mes]]=""),"",DATE(A650,MATCH(B650,{"enero","febrero","marzo","abril","mayo","junio","julio","agosto","septiembre","octubre","noviembre","diciembre"},0)+1,0))</f>
        <v/>
      </c>
      <c r="E650" t="str">
        <f>+IFERROR(VLOOKUP(Fact_Analitica[[#This Row], [Concepto Anterior]],Conceptos_Analítica_contraloría[#All],5,0),"")</f>
        <v/>
      </c>
      <c r="F650" t="str">
        <f>+IFERROR(VLOOKUP(Fact_Analitica[[#This Row], [Concepto Anterior]],Conceptos_Analítica_contraloría[#All],7,0),"")</f>
        <v/>
      </c>
      <c r="I650" t="str">
        <f>+IFERROR(VLOOKUP(D650,Conceptos_Analítica_contraloría[#All],2,0),"")</f>
        <v/>
      </c>
      <c r="J650" s="84" t="str">
        <f>+IFERROR(VLOOKUP(D650,Conceptos_Analítica_contraloría[#All],3,0),"")</f>
        <v/>
      </c>
    </row>
    <row r="651" spans="3:10" ht="18.75" customHeight="1" x14ac:dyDescent="0.35">
      <c r="C651" s="100" t="str">
        <f>IF(OR(Fact_Analitica[[#This Row], [Año]]="",Fact_Analitica[[#This Row], [Mes]]=""),"",DATE(A651,MATCH(B651,{"enero","febrero","marzo","abril","mayo","junio","julio","agosto","septiembre","octubre","noviembre","diciembre"},0)+1,0))</f>
        <v/>
      </c>
      <c r="E651" t="str">
        <f>+IFERROR(VLOOKUP(Fact_Analitica[[#This Row], [Concepto Anterior]],Conceptos_Analítica_contraloría[#All],5,0),"")</f>
        <v/>
      </c>
      <c r="F651" t="str">
        <f>+IFERROR(VLOOKUP(Fact_Analitica[[#This Row], [Concepto Anterior]],Conceptos_Analítica_contraloría[#All],7,0),"")</f>
        <v/>
      </c>
      <c r="I651" t="str">
        <f>+IFERROR(VLOOKUP(D651,Conceptos_Analítica_contraloría[#All],2,0),"")</f>
        <v/>
      </c>
      <c r="J651" s="84" t="str">
        <f>+IFERROR(VLOOKUP(D651,Conceptos_Analítica_contraloría[#All],3,0),"")</f>
        <v/>
      </c>
    </row>
    <row r="652" spans="3:10" ht="18.75" customHeight="1" x14ac:dyDescent="0.35">
      <c r="C652" s="100" t="str">
        <f>IF(OR(Fact_Analitica[[#This Row], [Año]]="",Fact_Analitica[[#This Row], [Mes]]=""),"",DATE(A652,MATCH(B652,{"enero","febrero","marzo","abril","mayo","junio","julio","agosto","septiembre","octubre","noviembre","diciembre"},0)+1,0))</f>
        <v/>
      </c>
      <c r="E652" t="str">
        <f>+IFERROR(VLOOKUP(Fact_Analitica[[#This Row], [Concepto Anterior]],Conceptos_Analítica_contraloría[#All],5,0),"")</f>
        <v/>
      </c>
      <c r="F652" t="str">
        <f>+IFERROR(VLOOKUP(Fact_Analitica[[#This Row], [Concepto Anterior]],Conceptos_Analítica_contraloría[#All],7,0),"")</f>
        <v/>
      </c>
      <c r="I652" t="str">
        <f>+IFERROR(VLOOKUP(D652,Conceptos_Analítica_contraloría[#All],2,0),"")</f>
        <v/>
      </c>
      <c r="J652" s="84" t="str">
        <f>+IFERROR(VLOOKUP(D652,Conceptos_Analítica_contraloría[#All],3,0),"")</f>
        <v/>
      </c>
    </row>
    <row r="653" spans="3:10" ht="18.75" customHeight="1" x14ac:dyDescent="0.35">
      <c r="C653" s="100" t="str">
        <f>IF(OR(Fact_Analitica[[#This Row], [Año]]="",Fact_Analitica[[#This Row], [Mes]]=""),"",DATE(A653,MATCH(B653,{"enero","febrero","marzo","abril","mayo","junio","julio","agosto","septiembre","octubre","noviembre","diciembre"},0)+1,0))</f>
        <v/>
      </c>
      <c r="E653" t="str">
        <f>+IFERROR(VLOOKUP(Fact_Analitica[[#This Row], [Concepto Anterior]],Conceptos_Analítica_contraloría[#All],5,0),"")</f>
        <v/>
      </c>
      <c r="F653" t="str">
        <f>+IFERROR(VLOOKUP(Fact_Analitica[[#This Row], [Concepto Anterior]],Conceptos_Analítica_contraloría[#All],7,0),"")</f>
        <v/>
      </c>
      <c r="I653" t="str">
        <f>+IFERROR(VLOOKUP(D653,Conceptos_Analítica_contraloría[#All],2,0),"")</f>
        <v/>
      </c>
      <c r="J653" s="84" t="str">
        <f>+IFERROR(VLOOKUP(D653,Conceptos_Analítica_contraloría[#All],3,0),"")</f>
        <v/>
      </c>
    </row>
    <row r="654" spans="3:10" ht="18.75" customHeight="1" x14ac:dyDescent="0.35">
      <c r="C654" s="100" t="str">
        <f>IF(OR(Fact_Analitica[[#This Row], [Año]]="",Fact_Analitica[[#This Row], [Mes]]=""),"",DATE(A654,MATCH(B654,{"enero","febrero","marzo","abril","mayo","junio","julio","agosto","septiembre","octubre","noviembre","diciembre"},0)+1,0))</f>
        <v/>
      </c>
      <c r="E654" t="str">
        <f>+IFERROR(VLOOKUP(Fact_Analitica[[#This Row], [Concepto Anterior]],Conceptos_Analítica_contraloría[#All],5,0),"")</f>
        <v/>
      </c>
      <c r="F654" t="str">
        <f>+IFERROR(VLOOKUP(Fact_Analitica[[#This Row], [Concepto Anterior]],Conceptos_Analítica_contraloría[#All],7,0),"")</f>
        <v/>
      </c>
      <c r="I654" t="str">
        <f>+IFERROR(VLOOKUP(D654,Conceptos_Analítica_contraloría[#All],2,0),"")</f>
        <v/>
      </c>
      <c r="J654" s="84" t="str">
        <f>+IFERROR(VLOOKUP(D654,Conceptos_Analítica_contraloría[#All],3,0),"")</f>
        <v/>
      </c>
    </row>
    <row r="655" spans="3:10" ht="18.75" customHeight="1" x14ac:dyDescent="0.35">
      <c r="C655" s="100" t="str">
        <f>IF(OR(Fact_Analitica[[#This Row], [Año]]="",Fact_Analitica[[#This Row], [Mes]]=""),"",DATE(A655,MATCH(B655,{"enero","febrero","marzo","abril","mayo","junio","julio","agosto","septiembre","octubre","noviembre","diciembre"},0)+1,0))</f>
        <v/>
      </c>
      <c r="E655" t="str">
        <f>+IFERROR(VLOOKUP(Fact_Analitica[[#This Row], [Concepto Anterior]],Conceptos_Analítica_contraloría[#All],5,0),"")</f>
        <v/>
      </c>
      <c r="F655" t="str">
        <f>+IFERROR(VLOOKUP(Fact_Analitica[[#This Row], [Concepto Anterior]],Conceptos_Analítica_contraloría[#All],7,0),"")</f>
        <v/>
      </c>
      <c r="I655" t="str">
        <f>+IFERROR(VLOOKUP(D655,Conceptos_Analítica_contraloría[#All],2,0),"")</f>
        <v/>
      </c>
      <c r="J655" s="84" t="str">
        <f>+IFERROR(VLOOKUP(D655,Conceptos_Analítica_contraloría[#All],3,0),"")</f>
        <v/>
      </c>
    </row>
    <row r="656" spans="3:10" ht="18.75" customHeight="1" x14ac:dyDescent="0.35">
      <c r="C656" s="100" t="str">
        <f>IF(OR(Fact_Analitica[[#This Row], [Año]]="",Fact_Analitica[[#This Row], [Mes]]=""),"",DATE(A656,MATCH(B656,{"enero","febrero","marzo","abril","mayo","junio","julio","agosto","septiembre","octubre","noviembre","diciembre"},0)+1,0))</f>
        <v/>
      </c>
      <c r="E656" t="str">
        <f>+IFERROR(VLOOKUP(Fact_Analitica[[#This Row], [Concepto Anterior]],Conceptos_Analítica_contraloría[#All],5,0),"")</f>
        <v/>
      </c>
      <c r="F656" t="str">
        <f>+IFERROR(VLOOKUP(Fact_Analitica[[#This Row], [Concepto Anterior]],Conceptos_Analítica_contraloría[#All],7,0),"")</f>
        <v/>
      </c>
      <c r="I656" t="str">
        <f>+IFERROR(VLOOKUP(D656,Conceptos_Analítica_contraloría[#All],2,0),"")</f>
        <v/>
      </c>
      <c r="J656" s="84" t="str">
        <f>+IFERROR(VLOOKUP(D656,Conceptos_Analítica_contraloría[#All],3,0),"")</f>
        <v/>
      </c>
    </row>
    <row r="657" spans="3:10" ht="18.75" customHeight="1" x14ac:dyDescent="0.35">
      <c r="C657" s="100" t="str">
        <f>IF(OR(Fact_Analitica[[#This Row], [Año]]="",Fact_Analitica[[#This Row], [Mes]]=""),"",DATE(A657,MATCH(B657,{"enero","febrero","marzo","abril","mayo","junio","julio","agosto","septiembre","octubre","noviembre","diciembre"},0)+1,0))</f>
        <v/>
      </c>
      <c r="E657" t="str">
        <f>+IFERROR(VLOOKUP(Fact_Analitica[[#This Row], [Concepto Anterior]],Conceptos_Analítica_contraloría[#All],5,0),"")</f>
        <v/>
      </c>
      <c r="F657" t="str">
        <f>+IFERROR(VLOOKUP(Fact_Analitica[[#This Row], [Concepto Anterior]],Conceptos_Analítica_contraloría[#All],7,0),"")</f>
        <v/>
      </c>
      <c r="I657" t="str">
        <f>+IFERROR(VLOOKUP(D657,Conceptos_Analítica_contraloría[#All],2,0),"")</f>
        <v/>
      </c>
      <c r="J657" s="84" t="str">
        <f>+IFERROR(VLOOKUP(D657,Conceptos_Analítica_contraloría[#All],3,0),"")</f>
        <v/>
      </c>
    </row>
    <row r="658" spans="3:10" ht="18.75" customHeight="1" x14ac:dyDescent="0.35">
      <c r="C658" s="100" t="str">
        <f>IF(OR(Fact_Analitica[[#This Row], [Año]]="",Fact_Analitica[[#This Row], [Mes]]=""),"",DATE(A658,MATCH(B658,{"enero","febrero","marzo","abril","mayo","junio","julio","agosto","septiembre","octubre","noviembre","diciembre"},0)+1,0))</f>
        <v/>
      </c>
      <c r="E658" t="str">
        <f>+IFERROR(VLOOKUP(Fact_Analitica[[#This Row], [Concepto Anterior]],Conceptos_Analítica_contraloría[#All],5,0),"")</f>
        <v/>
      </c>
      <c r="F658" t="str">
        <f>+IFERROR(VLOOKUP(Fact_Analitica[[#This Row], [Concepto Anterior]],Conceptos_Analítica_contraloría[#All],7,0),"")</f>
        <v/>
      </c>
      <c r="I658" t="str">
        <f>+IFERROR(VLOOKUP(D658,Conceptos_Analítica_contraloría[#All],2,0),"")</f>
        <v/>
      </c>
      <c r="J658" s="84" t="str">
        <f>+IFERROR(VLOOKUP(D658,Conceptos_Analítica_contraloría[#All],3,0),"")</f>
        <v/>
      </c>
    </row>
    <row r="659" spans="3:10" ht="18.75" customHeight="1" x14ac:dyDescent="0.35">
      <c r="C659" s="100" t="str">
        <f>IF(OR(Fact_Analitica[[#This Row], [Año]]="",Fact_Analitica[[#This Row], [Mes]]=""),"",DATE(A659,MATCH(B659,{"enero","febrero","marzo","abril","mayo","junio","julio","agosto","septiembre","octubre","noviembre","diciembre"},0)+1,0))</f>
        <v/>
      </c>
      <c r="E659" t="str">
        <f>+IFERROR(VLOOKUP(Fact_Analitica[[#This Row], [Concepto Anterior]],Conceptos_Analítica_contraloría[#All],5,0),"")</f>
        <v/>
      </c>
      <c r="F659" t="str">
        <f>+IFERROR(VLOOKUP(Fact_Analitica[[#This Row], [Concepto Anterior]],Conceptos_Analítica_contraloría[#All],7,0),"")</f>
        <v/>
      </c>
      <c r="I659" t="str">
        <f>+IFERROR(VLOOKUP(D659,Conceptos_Analítica_contraloría[#All],2,0),"")</f>
        <v/>
      </c>
      <c r="J659" s="84" t="str">
        <f>+IFERROR(VLOOKUP(D659,Conceptos_Analítica_contraloría[#All],3,0),"")</f>
        <v/>
      </c>
    </row>
    <row r="660" spans="3:10" ht="18.75" customHeight="1" x14ac:dyDescent="0.35">
      <c r="C660" s="100" t="str">
        <f>IF(OR(Fact_Analitica[[#This Row], [Año]]="",Fact_Analitica[[#This Row], [Mes]]=""),"",DATE(A660,MATCH(B660,{"enero","febrero","marzo","abril","mayo","junio","julio","agosto","septiembre","octubre","noviembre","diciembre"},0)+1,0))</f>
        <v/>
      </c>
      <c r="E660" t="str">
        <f>+IFERROR(VLOOKUP(Fact_Analitica[[#This Row], [Concepto Anterior]],Conceptos_Analítica_contraloría[#All],5,0),"")</f>
        <v/>
      </c>
      <c r="F660" t="str">
        <f>+IFERROR(VLOOKUP(Fact_Analitica[[#This Row], [Concepto Anterior]],Conceptos_Analítica_contraloría[#All],7,0),"")</f>
        <v/>
      </c>
      <c r="I660" t="str">
        <f>+IFERROR(VLOOKUP(D660,Conceptos_Analítica_contraloría[#All],2,0),"")</f>
        <v/>
      </c>
      <c r="J660" s="84" t="str">
        <f>+IFERROR(VLOOKUP(D660,Conceptos_Analítica_contraloría[#All],3,0),"")</f>
        <v/>
      </c>
    </row>
    <row r="661" spans="3:10" ht="18.75" customHeight="1" x14ac:dyDescent="0.35">
      <c r="C661" s="100" t="str">
        <f>IF(OR(Fact_Analitica[[#This Row], [Año]]="",Fact_Analitica[[#This Row], [Mes]]=""),"",DATE(A661,MATCH(B661,{"enero","febrero","marzo","abril","mayo","junio","julio","agosto","septiembre","octubre","noviembre","diciembre"},0)+1,0))</f>
        <v/>
      </c>
      <c r="E661" t="str">
        <f>+IFERROR(VLOOKUP(Fact_Analitica[[#This Row], [Concepto Anterior]],Conceptos_Analítica_contraloría[#All],5,0),"")</f>
        <v/>
      </c>
      <c r="F661" t="str">
        <f>+IFERROR(VLOOKUP(Fact_Analitica[[#This Row], [Concepto Anterior]],Conceptos_Analítica_contraloría[#All],7,0),"")</f>
        <v/>
      </c>
      <c r="I661" t="str">
        <f>+IFERROR(VLOOKUP(D661,Conceptos_Analítica_contraloría[#All],2,0),"")</f>
        <v/>
      </c>
      <c r="J661" s="84" t="str">
        <f>+IFERROR(VLOOKUP(D661,Conceptos_Analítica_contraloría[#All],3,0),"")</f>
        <v/>
      </c>
    </row>
    <row r="662" spans="3:10" ht="18.75" customHeight="1" x14ac:dyDescent="0.35">
      <c r="C662" s="100" t="str">
        <f>IF(OR(Fact_Analitica[[#This Row], [Año]]="",Fact_Analitica[[#This Row], [Mes]]=""),"",DATE(A662,MATCH(B662,{"enero","febrero","marzo","abril","mayo","junio","julio","agosto","septiembre","octubre","noviembre","diciembre"},0)+1,0))</f>
        <v/>
      </c>
      <c r="E662" t="str">
        <f>+IFERROR(VLOOKUP(Fact_Analitica[[#This Row], [Concepto Anterior]],Conceptos_Analítica_contraloría[#All],5,0),"")</f>
        <v/>
      </c>
      <c r="F662" t="str">
        <f>+IFERROR(VLOOKUP(Fact_Analitica[[#This Row], [Concepto Anterior]],Conceptos_Analítica_contraloría[#All],7,0),"")</f>
        <v/>
      </c>
      <c r="I662" t="str">
        <f>+IFERROR(VLOOKUP(D662,Conceptos_Analítica_contraloría[#All],2,0),"")</f>
        <v/>
      </c>
      <c r="J662" s="84" t="str">
        <f>+IFERROR(VLOOKUP(D662,Conceptos_Analítica_contraloría[#All],3,0),"")</f>
        <v/>
      </c>
    </row>
    <row r="663" spans="3:10" ht="18.75" customHeight="1" x14ac:dyDescent="0.35">
      <c r="C663" s="100" t="str">
        <f>IF(OR(Fact_Analitica[[#This Row], [Año]]="",Fact_Analitica[[#This Row], [Mes]]=""),"",DATE(A663,MATCH(B663,{"enero","febrero","marzo","abril","mayo","junio","julio","agosto","septiembre","octubre","noviembre","diciembre"},0)+1,0))</f>
        <v/>
      </c>
      <c r="E663" t="str">
        <f>+IFERROR(VLOOKUP(Fact_Analitica[[#This Row], [Concepto Anterior]],Conceptos_Analítica_contraloría[#All],5,0),"")</f>
        <v/>
      </c>
      <c r="F663" t="str">
        <f>+IFERROR(VLOOKUP(Fact_Analitica[[#This Row], [Concepto Anterior]],Conceptos_Analítica_contraloría[#All],7,0),"")</f>
        <v/>
      </c>
      <c r="I663" t="str">
        <f>+IFERROR(VLOOKUP(D663,Conceptos_Analítica_contraloría[#All],2,0),"")</f>
        <v/>
      </c>
      <c r="J663" s="84" t="str">
        <f>+IFERROR(VLOOKUP(D663,Conceptos_Analítica_contraloría[#All],3,0),"")</f>
        <v/>
      </c>
    </row>
    <row r="664" spans="3:10" ht="18.75" customHeight="1" x14ac:dyDescent="0.35">
      <c r="C664" s="100" t="str">
        <f>IF(OR(Fact_Analitica[[#This Row], [Año]]="",Fact_Analitica[[#This Row], [Mes]]=""),"",DATE(A664,MATCH(B664,{"enero","febrero","marzo","abril","mayo","junio","julio","agosto","septiembre","octubre","noviembre","diciembre"},0)+1,0))</f>
        <v/>
      </c>
      <c r="E664" t="str">
        <f>+IFERROR(VLOOKUP(Fact_Analitica[[#This Row], [Concepto Anterior]],Conceptos_Analítica_contraloría[#All],5,0),"")</f>
        <v/>
      </c>
      <c r="F664" t="str">
        <f>+IFERROR(VLOOKUP(Fact_Analitica[[#This Row], [Concepto Anterior]],Conceptos_Analítica_contraloría[#All],7,0),"")</f>
        <v/>
      </c>
      <c r="I664" t="str">
        <f>+IFERROR(VLOOKUP(D664,Conceptos_Analítica_contraloría[#All],2,0),"")</f>
        <v/>
      </c>
      <c r="J664" s="84" t="str">
        <f>+IFERROR(VLOOKUP(D664,Conceptos_Analítica_contraloría[#All],3,0),"")</f>
        <v/>
      </c>
    </row>
    <row r="665" spans="3:10" ht="18.75" customHeight="1" x14ac:dyDescent="0.35">
      <c r="C665" s="100" t="str">
        <f>IF(OR(Fact_Analitica[[#This Row], [Año]]="",Fact_Analitica[[#This Row], [Mes]]=""),"",DATE(A665,MATCH(B665,{"enero","febrero","marzo","abril","mayo","junio","julio","agosto","septiembre","octubre","noviembre","diciembre"},0)+1,0))</f>
        <v/>
      </c>
      <c r="E665" t="str">
        <f>+IFERROR(VLOOKUP(Fact_Analitica[[#This Row], [Concepto Anterior]],Conceptos_Analítica_contraloría[#All],5,0),"")</f>
        <v/>
      </c>
      <c r="F665" t="str">
        <f>+IFERROR(VLOOKUP(Fact_Analitica[[#This Row], [Concepto Anterior]],Conceptos_Analítica_contraloría[#All],7,0),"")</f>
        <v/>
      </c>
      <c r="I665" t="str">
        <f>+IFERROR(VLOOKUP(D665,Conceptos_Analítica_contraloría[#All],2,0),"")</f>
        <v/>
      </c>
      <c r="J665" s="84" t="str">
        <f>+IFERROR(VLOOKUP(D665,Conceptos_Analítica_contraloría[#All],3,0),"")</f>
        <v/>
      </c>
    </row>
    <row r="666" spans="3:10" ht="18.75" customHeight="1" x14ac:dyDescent="0.35">
      <c r="C666" s="100" t="str">
        <f>IF(OR(Fact_Analitica[[#This Row], [Año]]="",Fact_Analitica[[#This Row], [Mes]]=""),"",DATE(A666,MATCH(B666,{"enero","febrero","marzo","abril","mayo","junio","julio","agosto","septiembre","octubre","noviembre","diciembre"},0)+1,0))</f>
        <v/>
      </c>
      <c r="E666" t="str">
        <f>+IFERROR(VLOOKUP(Fact_Analitica[[#This Row], [Concepto Anterior]],Conceptos_Analítica_contraloría[#All],5,0),"")</f>
        <v/>
      </c>
      <c r="F666" t="str">
        <f>+IFERROR(VLOOKUP(Fact_Analitica[[#This Row], [Concepto Anterior]],Conceptos_Analítica_contraloría[#All],7,0),"")</f>
        <v/>
      </c>
      <c r="I666" t="str">
        <f>+IFERROR(VLOOKUP(D666,Conceptos_Analítica_contraloría[#All],2,0),"")</f>
        <v/>
      </c>
      <c r="J666" s="84" t="str">
        <f>+IFERROR(VLOOKUP(D666,Conceptos_Analítica_contraloría[#All],3,0),"")</f>
        <v/>
      </c>
    </row>
    <row r="667" spans="3:10" ht="18.75" customHeight="1" x14ac:dyDescent="0.35">
      <c r="C667" s="100" t="str">
        <f>IF(OR(Fact_Analitica[[#This Row], [Año]]="",Fact_Analitica[[#This Row], [Mes]]=""),"",DATE(A667,MATCH(B667,{"enero","febrero","marzo","abril","mayo","junio","julio","agosto","septiembre","octubre","noviembre","diciembre"},0)+1,0))</f>
        <v/>
      </c>
      <c r="E667" t="str">
        <f>+IFERROR(VLOOKUP(Fact_Analitica[[#This Row], [Concepto Anterior]],Conceptos_Analítica_contraloría[#All],5,0),"")</f>
        <v/>
      </c>
      <c r="F667" t="str">
        <f>+IFERROR(VLOOKUP(Fact_Analitica[[#This Row], [Concepto Anterior]],Conceptos_Analítica_contraloría[#All],7,0),"")</f>
        <v/>
      </c>
      <c r="I667" t="str">
        <f>+IFERROR(VLOOKUP(D667,Conceptos_Analítica_contraloría[#All],2,0),"")</f>
        <v/>
      </c>
      <c r="J667" s="84" t="str">
        <f>+IFERROR(VLOOKUP(D667,Conceptos_Analítica_contraloría[#All],3,0),"")</f>
        <v/>
      </c>
    </row>
    <row r="668" spans="3:10" ht="18.75" customHeight="1" x14ac:dyDescent="0.35">
      <c r="C668" s="100" t="str">
        <f>IF(OR(Fact_Analitica[[#This Row], [Año]]="",Fact_Analitica[[#This Row], [Mes]]=""),"",DATE(A668,MATCH(B668,{"enero","febrero","marzo","abril","mayo","junio","julio","agosto","septiembre","octubre","noviembre","diciembre"},0)+1,0))</f>
        <v/>
      </c>
      <c r="E668" t="str">
        <f>+IFERROR(VLOOKUP(Fact_Analitica[[#This Row], [Concepto Anterior]],Conceptos_Analítica_contraloría[#All],5,0),"")</f>
        <v/>
      </c>
      <c r="F668" t="str">
        <f>+IFERROR(VLOOKUP(Fact_Analitica[[#This Row], [Concepto Anterior]],Conceptos_Analítica_contraloría[#All],7,0),"")</f>
        <v/>
      </c>
      <c r="I668" t="str">
        <f>+IFERROR(VLOOKUP(D668,Conceptos_Analítica_contraloría[#All],2,0),"")</f>
        <v/>
      </c>
      <c r="J668" s="84" t="str">
        <f>+IFERROR(VLOOKUP(D668,Conceptos_Analítica_contraloría[#All],3,0),"")</f>
        <v/>
      </c>
    </row>
    <row r="669" spans="3:10" ht="18.75" customHeight="1" x14ac:dyDescent="0.35">
      <c r="C669" s="100" t="str">
        <f>IF(OR(Fact_Analitica[[#This Row], [Año]]="",Fact_Analitica[[#This Row], [Mes]]=""),"",DATE(A669,MATCH(B669,{"enero","febrero","marzo","abril","mayo","junio","julio","agosto","septiembre","octubre","noviembre","diciembre"},0)+1,0))</f>
        <v/>
      </c>
      <c r="E669" t="str">
        <f>+IFERROR(VLOOKUP(Fact_Analitica[[#This Row], [Concepto Anterior]],Conceptos_Analítica_contraloría[#All],5,0),"")</f>
        <v/>
      </c>
      <c r="F669" t="str">
        <f>+IFERROR(VLOOKUP(Fact_Analitica[[#This Row], [Concepto Anterior]],Conceptos_Analítica_contraloría[#All],7,0),"")</f>
        <v/>
      </c>
      <c r="I669" t="str">
        <f>+IFERROR(VLOOKUP(D669,Conceptos_Analítica_contraloría[#All],2,0),"")</f>
        <v/>
      </c>
      <c r="J669" s="84" t="str">
        <f>+IFERROR(VLOOKUP(D669,Conceptos_Analítica_contraloría[#All],3,0),"")</f>
        <v/>
      </c>
    </row>
    <row r="670" spans="3:10" ht="18.75" customHeight="1" x14ac:dyDescent="0.35">
      <c r="C670" s="100" t="str">
        <f>IF(OR(Fact_Analitica[[#This Row], [Año]]="",Fact_Analitica[[#This Row], [Mes]]=""),"",DATE(A670,MATCH(B670,{"enero","febrero","marzo","abril","mayo","junio","julio","agosto","septiembre","octubre","noviembre","diciembre"},0)+1,0))</f>
        <v/>
      </c>
      <c r="E670" t="str">
        <f>+IFERROR(VLOOKUP(Fact_Analitica[[#This Row], [Concepto Anterior]],Conceptos_Analítica_contraloría[#All],5,0),"")</f>
        <v/>
      </c>
      <c r="F670" t="str">
        <f>+IFERROR(VLOOKUP(Fact_Analitica[[#This Row], [Concepto Anterior]],Conceptos_Analítica_contraloría[#All],7,0),"")</f>
        <v/>
      </c>
      <c r="I670" t="str">
        <f>+IFERROR(VLOOKUP(D670,Conceptos_Analítica_contraloría[#All],2,0),"")</f>
        <v/>
      </c>
      <c r="J670" s="84" t="str">
        <f>+IFERROR(VLOOKUP(D670,Conceptos_Analítica_contraloría[#All],3,0),"")</f>
        <v/>
      </c>
    </row>
    <row r="671" spans="3:10" ht="18.75" customHeight="1" x14ac:dyDescent="0.35">
      <c r="C671" s="100" t="str">
        <f>IF(OR(Fact_Analitica[[#This Row], [Año]]="",Fact_Analitica[[#This Row], [Mes]]=""),"",DATE(A671,MATCH(B671,{"enero","febrero","marzo","abril","mayo","junio","julio","agosto","septiembre","octubre","noviembre","diciembre"},0)+1,0))</f>
        <v/>
      </c>
      <c r="E671" t="str">
        <f>+IFERROR(VLOOKUP(Fact_Analitica[[#This Row], [Concepto Anterior]],Conceptos_Analítica_contraloría[#All],5,0),"")</f>
        <v/>
      </c>
      <c r="F671" t="str">
        <f>+IFERROR(VLOOKUP(Fact_Analitica[[#This Row], [Concepto Anterior]],Conceptos_Analítica_contraloría[#All],7,0),"")</f>
        <v/>
      </c>
      <c r="I671" t="str">
        <f>+IFERROR(VLOOKUP(D671,Conceptos_Analítica_contraloría[#All],2,0),"")</f>
        <v/>
      </c>
      <c r="J671" s="84" t="str">
        <f>+IFERROR(VLOOKUP(D671,Conceptos_Analítica_contraloría[#All],3,0),"")</f>
        <v/>
      </c>
    </row>
    <row r="672" spans="3:10" ht="18.75" customHeight="1" x14ac:dyDescent="0.35">
      <c r="C672" s="100" t="str">
        <f>IF(OR(Fact_Analitica[[#This Row], [Año]]="",Fact_Analitica[[#This Row], [Mes]]=""),"",DATE(A672,MATCH(B672,{"enero","febrero","marzo","abril","mayo","junio","julio","agosto","septiembre","octubre","noviembre","diciembre"},0)+1,0))</f>
        <v/>
      </c>
      <c r="E672" t="str">
        <f>+IFERROR(VLOOKUP(Fact_Analitica[[#This Row], [Concepto Anterior]],Conceptos_Analítica_contraloría[#All],5,0),"")</f>
        <v/>
      </c>
      <c r="F672" t="str">
        <f>+IFERROR(VLOOKUP(Fact_Analitica[[#This Row], [Concepto Anterior]],Conceptos_Analítica_contraloría[#All],7,0),"")</f>
        <v/>
      </c>
      <c r="I672" t="str">
        <f>+IFERROR(VLOOKUP(D672,Conceptos_Analítica_contraloría[#All],2,0),"")</f>
        <v/>
      </c>
      <c r="J672" s="84" t="str">
        <f>+IFERROR(VLOOKUP(D672,Conceptos_Analítica_contraloría[#All],3,0),"")</f>
        <v/>
      </c>
    </row>
    <row r="673" spans="3:10" ht="18.75" customHeight="1" x14ac:dyDescent="0.35">
      <c r="C673" s="100" t="str">
        <f>IF(OR(Fact_Analitica[[#This Row], [Año]]="",Fact_Analitica[[#This Row], [Mes]]=""),"",DATE(A673,MATCH(B673,{"enero","febrero","marzo","abril","mayo","junio","julio","agosto","septiembre","octubre","noviembre","diciembre"},0)+1,0))</f>
        <v/>
      </c>
      <c r="E673" t="str">
        <f>+IFERROR(VLOOKUP(Fact_Analitica[[#This Row], [Concepto Anterior]],Conceptos_Analítica_contraloría[#All],5,0),"")</f>
        <v/>
      </c>
      <c r="F673" t="str">
        <f>+IFERROR(VLOOKUP(Fact_Analitica[[#This Row], [Concepto Anterior]],Conceptos_Analítica_contraloría[#All],7,0),"")</f>
        <v/>
      </c>
      <c r="I673" t="str">
        <f>+IFERROR(VLOOKUP(D673,Conceptos_Analítica_contraloría[#All],2,0),"")</f>
        <v/>
      </c>
      <c r="J673" s="84" t="str">
        <f>+IFERROR(VLOOKUP(D673,Conceptos_Analítica_contraloría[#All],3,0),"")</f>
        <v/>
      </c>
    </row>
    <row r="674" spans="3:10" ht="18.75" customHeight="1" x14ac:dyDescent="0.35">
      <c r="C674" s="100" t="str">
        <f>IF(OR(Fact_Analitica[[#This Row], [Año]]="",Fact_Analitica[[#This Row], [Mes]]=""),"",DATE(A674,MATCH(B674,{"enero","febrero","marzo","abril","mayo","junio","julio","agosto","septiembre","octubre","noviembre","diciembre"},0)+1,0))</f>
        <v/>
      </c>
      <c r="E674" t="str">
        <f>+IFERROR(VLOOKUP(Fact_Analitica[[#This Row], [Concepto Anterior]],Conceptos_Analítica_contraloría[#All],5,0),"")</f>
        <v/>
      </c>
      <c r="F674" t="str">
        <f>+IFERROR(VLOOKUP(Fact_Analitica[[#This Row], [Concepto Anterior]],Conceptos_Analítica_contraloría[#All],7,0),"")</f>
        <v/>
      </c>
      <c r="I674" t="str">
        <f>+IFERROR(VLOOKUP(D674,Conceptos_Analítica_contraloría[#All],2,0),"")</f>
        <v/>
      </c>
      <c r="J674" s="84" t="str">
        <f>+IFERROR(VLOOKUP(D674,Conceptos_Analítica_contraloría[#All],3,0),"")</f>
        <v/>
      </c>
    </row>
    <row r="675" spans="3:10" ht="18.75" customHeight="1" x14ac:dyDescent="0.35">
      <c r="C675" s="100" t="str">
        <f>IF(OR(Fact_Analitica[[#This Row], [Año]]="",Fact_Analitica[[#This Row], [Mes]]=""),"",DATE(A675,MATCH(B675,{"enero","febrero","marzo","abril","mayo","junio","julio","agosto","septiembre","octubre","noviembre","diciembre"},0)+1,0))</f>
        <v/>
      </c>
      <c r="E675" t="str">
        <f>+IFERROR(VLOOKUP(Fact_Analitica[[#This Row], [Concepto Anterior]],Conceptos_Analítica_contraloría[#All],5,0),"")</f>
        <v/>
      </c>
      <c r="F675" t="str">
        <f>+IFERROR(VLOOKUP(Fact_Analitica[[#This Row], [Concepto Anterior]],Conceptos_Analítica_contraloría[#All],7,0),"")</f>
        <v/>
      </c>
      <c r="I675" t="str">
        <f>+IFERROR(VLOOKUP(D675,Conceptos_Analítica_contraloría[#All],2,0),"")</f>
        <v/>
      </c>
      <c r="J675" s="84" t="str">
        <f>+IFERROR(VLOOKUP(D675,Conceptos_Analítica_contraloría[#All],3,0),"")</f>
        <v/>
      </c>
    </row>
    <row r="676" spans="3:10" ht="18.75" customHeight="1" x14ac:dyDescent="0.35">
      <c r="C676" s="100" t="str">
        <f>IF(OR(Fact_Analitica[[#This Row], [Año]]="",Fact_Analitica[[#This Row], [Mes]]=""),"",DATE(A676,MATCH(B676,{"enero","febrero","marzo","abril","mayo","junio","julio","agosto","septiembre","octubre","noviembre","diciembre"},0)+1,0))</f>
        <v/>
      </c>
      <c r="E676" t="str">
        <f>+IFERROR(VLOOKUP(Fact_Analitica[[#This Row], [Concepto Anterior]],Conceptos_Analítica_contraloría[#All],5,0),"")</f>
        <v/>
      </c>
      <c r="F676" t="str">
        <f>+IFERROR(VLOOKUP(Fact_Analitica[[#This Row], [Concepto Anterior]],Conceptos_Analítica_contraloría[#All],7,0),"")</f>
        <v/>
      </c>
      <c r="I676" t="str">
        <f>+IFERROR(VLOOKUP(D676,Conceptos_Analítica_contraloría[#All],2,0),"")</f>
        <v/>
      </c>
      <c r="J676" s="84" t="str">
        <f>+IFERROR(VLOOKUP(D676,Conceptos_Analítica_contraloría[#All],3,0),"")</f>
        <v/>
      </c>
    </row>
    <row r="677" spans="3:10" ht="18.75" customHeight="1" x14ac:dyDescent="0.35">
      <c r="C677" s="100" t="str">
        <f>IF(OR(Fact_Analitica[[#This Row], [Año]]="",Fact_Analitica[[#This Row], [Mes]]=""),"",DATE(A677,MATCH(B677,{"enero","febrero","marzo","abril","mayo","junio","julio","agosto","septiembre","octubre","noviembre","diciembre"},0)+1,0))</f>
        <v/>
      </c>
      <c r="E677" t="str">
        <f>+IFERROR(VLOOKUP(Fact_Analitica[[#This Row], [Concepto Anterior]],Conceptos_Analítica_contraloría[#All],5,0),"")</f>
        <v/>
      </c>
      <c r="F677" t="str">
        <f>+IFERROR(VLOOKUP(Fact_Analitica[[#This Row], [Concepto Anterior]],Conceptos_Analítica_contraloría[#All],7,0),"")</f>
        <v/>
      </c>
      <c r="I677" t="str">
        <f>+IFERROR(VLOOKUP(D677,Conceptos_Analítica_contraloría[#All],2,0),"")</f>
        <v/>
      </c>
      <c r="J677" s="84" t="str">
        <f>+IFERROR(VLOOKUP(D677,Conceptos_Analítica_contraloría[#All],3,0),"")</f>
        <v/>
      </c>
    </row>
    <row r="678" spans="3:10" ht="18.75" customHeight="1" x14ac:dyDescent="0.35">
      <c r="C678" s="100" t="str">
        <f>IF(OR(Fact_Analitica[[#This Row], [Año]]="",Fact_Analitica[[#This Row], [Mes]]=""),"",DATE(A678,MATCH(B678,{"enero","febrero","marzo","abril","mayo","junio","julio","agosto","septiembre","octubre","noviembre","diciembre"},0)+1,0))</f>
        <v/>
      </c>
      <c r="E678" t="str">
        <f>+IFERROR(VLOOKUP(Fact_Analitica[[#This Row], [Concepto Anterior]],Conceptos_Analítica_contraloría[#All],5,0),"")</f>
        <v/>
      </c>
      <c r="F678" t="str">
        <f>+IFERROR(VLOOKUP(Fact_Analitica[[#This Row], [Concepto Anterior]],Conceptos_Analítica_contraloría[#All],7,0),"")</f>
        <v/>
      </c>
      <c r="I678" t="str">
        <f>+IFERROR(VLOOKUP(D678,Conceptos_Analítica_contraloría[#All],2,0),"")</f>
        <v/>
      </c>
      <c r="J678" s="84" t="str">
        <f>+IFERROR(VLOOKUP(D678,Conceptos_Analítica_contraloría[#All],3,0),"")</f>
        <v/>
      </c>
    </row>
    <row r="679" spans="3:10" ht="18.75" customHeight="1" x14ac:dyDescent="0.35">
      <c r="C679" s="100" t="str">
        <f>IF(OR(Fact_Analitica[[#This Row], [Año]]="",Fact_Analitica[[#This Row], [Mes]]=""),"",DATE(A679,MATCH(B679,{"enero","febrero","marzo","abril","mayo","junio","julio","agosto","septiembre","octubre","noviembre","diciembre"},0)+1,0))</f>
        <v/>
      </c>
      <c r="E679" t="str">
        <f>+IFERROR(VLOOKUP(Fact_Analitica[[#This Row], [Concepto Anterior]],Conceptos_Analítica_contraloría[#All],5,0),"")</f>
        <v/>
      </c>
      <c r="F679" t="str">
        <f>+IFERROR(VLOOKUP(Fact_Analitica[[#This Row], [Concepto Anterior]],Conceptos_Analítica_contraloría[#All],7,0),"")</f>
        <v/>
      </c>
      <c r="I679" t="str">
        <f>+IFERROR(VLOOKUP(D679,Conceptos_Analítica_contraloría[#All],2,0),"")</f>
        <v/>
      </c>
      <c r="J679" s="84" t="str">
        <f>+IFERROR(VLOOKUP(D679,Conceptos_Analítica_contraloría[#All],3,0),"")</f>
        <v/>
      </c>
    </row>
    <row r="680" spans="3:10" ht="18.75" customHeight="1" x14ac:dyDescent="0.35">
      <c r="C680" s="100" t="str">
        <f>IF(OR(Fact_Analitica[[#This Row], [Año]]="",Fact_Analitica[[#This Row], [Mes]]=""),"",DATE(A680,MATCH(B680,{"enero","febrero","marzo","abril","mayo","junio","julio","agosto","septiembre","octubre","noviembre","diciembre"},0)+1,0))</f>
        <v/>
      </c>
      <c r="E680" t="str">
        <f>+IFERROR(VLOOKUP(Fact_Analitica[[#This Row], [Concepto Anterior]],Conceptos_Analítica_contraloría[#All],5,0),"")</f>
        <v/>
      </c>
      <c r="F680" t="str">
        <f>+IFERROR(VLOOKUP(Fact_Analitica[[#This Row], [Concepto Anterior]],Conceptos_Analítica_contraloría[#All],7,0),"")</f>
        <v/>
      </c>
      <c r="I680" t="str">
        <f>+IFERROR(VLOOKUP(D680,Conceptos_Analítica_contraloría[#All],2,0),"")</f>
        <v/>
      </c>
      <c r="J680" s="84" t="str">
        <f>+IFERROR(VLOOKUP(D680,Conceptos_Analítica_contraloría[#All],3,0),"")</f>
        <v/>
      </c>
    </row>
    <row r="681" spans="3:10" ht="18.75" customHeight="1" x14ac:dyDescent="0.35">
      <c r="C681" s="100" t="str">
        <f>IF(OR(Fact_Analitica[[#This Row], [Año]]="",Fact_Analitica[[#This Row], [Mes]]=""),"",DATE(A681,MATCH(B681,{"enero","febrero","marzo","abril","mayo","junio","julio","agosto","septiembre","octubre","noviembre","diciembre"},0)+1,0))</f>
        <v/>
      </c>
      <c r="E681" t="str">
        <f>+IFERROR(VLOOKUP(Fact_Analitica[[#This Row], [Concepto Anterior]],Conceptos_Analítica_contraloría[#All],5,0),"")</f>
        <v/>
      </c>
      <c r="F681" t="str">
        <f>+IFERROR(VLOOKUP(Fact_Analitica[[#This Row], [Concepto Anterior]],Conceptos_Analítica_contraloría[#All],7,0),"")</f>
        <v/>
      </c>
      <c r="I681" t="str">
        <f>+IFERROR(VLOOKUP(D681,Conceptos_Analítica_contraloría[#All],2,0),"")</f>
        <v/>
      </c>
      <c r="J681" s="84" t="str">
        <f>+IFERROR(VLOOKUP(D681,Conceptos_Analítica_contraloría[#All],3,0),"")</f>
        <v/>
      </c>
    </row>
    <row r="682" spans="3:10" ht="18.75" customHeight="1" x14ac:dyDescent="0.35">
      <c r="C682" s="100" t="str">
        <f>IF(OR(Fact_Analitica[[#This Row], [Año]]="",Fact_Analitica[[#This Row], [Mes]]=""),"",DATE(A682,MATCH(B682,{"enero","febrero","marzo","abril","mayo","junio","julio","agosto","septiembre","octubre","noviembre","diciembre"},0)+1,0))</f>
        <v/>
      </c>
      <c r="E682" t="str">
        <f>+IFERROR(VLOOKUP(Fact_Analitica[[#This Row], [Concepto Anterior]],Conceptos_Analítica_contraloría[#All],5,0),"")</f>
        <v/>
      </c>
      <c r="F682" t="str">
        <f>+IFERROR(VLOOKUP(Fact_Analitica[[#This Row], [Concepto Anterior]],Conceptos_Analítica_contraloría[#All],7,0),"")</f>
        <v/>
      </c>
      <c r="I682" t="str">
        <f>+IFERROR(VLOOKUP(D682,Conceptos_Analítica_contraloría[#All],2,0),"")</f>
        <v/>
      </c>
      <c r="J682" s="84" t="str">
        <f>+IFERROR(VLOOKUP(D682,Conceptos_Analítica_contraloría[#All],3,0),"")</f>
        <v/>
      </c>
    </row>
    <row r="683" spans="3:10" ht="18.75" customHeight="1" x14ac:dyDescent="0.35">
      <c r="C683" s="100" t="str">
        <f>IF(OR(Fact_Analitica[[#This Row], [Año]]="",Fact_Analitica[[#This Row], [Mes]]=""),"",DATE(A683,MATCH(B683,{"enero","febrero","marzo","abril","mayo","junio","julio","agosto","septiembre","octubre","noviembre","diciembre"},0)+1,0))</f>
        <v/>
      </c>
      <c r="E683" t="str">
        <f>+IFERROR(VLOOKUP(Fact_Analitica[[#This Row], [Concepto Anterior]],Conceptos_Analítica_contraloría[#All],5,0),"")</f>
        <v/>
      </c>
      <c r="F683" t="str">
        <f>+IFERROR(VLOOKUP(Fact_Analitica[[#This Row], [Concepto Anterior]],Conceptos_Analítica_contraloría[#All],7,0),"")</f>
        <v/>
      </c>
      <c r="I683" t="str">
        <f>+IFERROR(VLOOKUP(D683,Conceptos_Analítica_contraloría[#All],2,0),"")</f>
        <v/>
      </c>
      <c r="J683" s="84" t="str">
        <f>+IFERROR(VLOOKUP(D683,Conceptos_Analítica_contraloría[#All],3,0),"")</f>
        <v/>
      </c>
    </row>
    <row r="684" spans="3:10" ht="18.75" customHeight="1" x14ac:dyDescent="0.35">
      <c r="C684" s="100" t="str">
        <f>IF(OR(Fact_Analitica[[#This Row], [Año]]="",Fact_Analitica[[#This Row], [Mes]]=""),"",DATE(A684,MATCH(B684,{"enero","febrero","marzo","abril","mayo","junio","julio","agosto","septiembre","octubre","noviembre","diciembre"},0)+1,0))</f>
        <v/>
      </c>
      <c r="E684" t="str">
        <f>+IFERROR(VLOOKUP(Fact_Analitica[[#This Row], [Concepto Anterior]],Conceptos_Analítica_contraloría[#All],5,0),"")</f>
        <v/>
      </c>
      <c r="F684" t="str">
        <f>+IFERROR(VLOOKUP(Fact_Analitica[[#This Row], [Concepto Anterior]],Conceptos_Analítica_contraloría[#All],7,0),"")</f>
        <v/>
      </c>
      <c r="I684" t="str">
        <f>+IFERROR(VLOOKUP(D684,Conceptos_Analítica_contraloría[#All],2,0),"")</f>
        <v/>
      </c>
      <c r="J684" s="84" t="str">
        <f>+IFERROR(VLOOKUP(D684,Conceptos_Analítica_contraloría[#All],3,0),"")</f>
        <v/>
      </c>
    </row>
    <row r="685" spans="3:10" ht="18.75" customHeight="1" x14ac:dyDescent="0.35">
      <c r="C685" s="100" t="str">
        <f>IF(OR(Fact_Analitica[[#This Row], [Año]]="",Fact_Analitica[[#This Row], [Mes]]=""),"",DATE(A685,MATCH(B685,{"enero","febrero","marzo","abril","mayo","junio","julio","agosto","septiembre","octubre","noviembre","diciembre"},0)+1,0))</f>
        <v/>
      </c>
      <c r="E685" t="str">
        <f>+IFERROR(VLOOKUP(Fact_Analitica[[#This Row], [Concepto Anterior]],Conceptos_Analítica_contraloría[#All],5,0),"")</f>
        <v/>
      </c>
      <c r="F685" t="str">
        <f>+IFERROR(VLOOKUP(Fact_Analitica[[#This Row], [Concepto Anterior]],Conceptos_Analítica_contraloría[#All],7,0),"")</f>
        <v/>
      </c>
      <c r="I685" t="str">
        <f>+IFERROR(VLOOKUP(D685,Conceptos_Analítica_contraloría[#All],2,0),"")</f>
        <v/>
      </c>
      <c r="J685" s="84" t="str">
        <f>+IFERROR(VLOOKUP(D685,Conceptos_Analítica_contraloría[#All],3,0),"")</f>
        <v/>
      </c>
    </row>
    <row r="686" spans="3:10" ht="18.75" customHeight="1" x14ac:dyDescent="0.35">
      <c r="C686" s="100" t="str">
        <f>IF(OR(Fact_Analitica[[#This Row], [Año]]="",Fact_Analitica[[#This Row], [Mes]]=""),"",DATE(A686,MATCH(B686,{"enero","febrero","marzo","abril","mayo","junio","julio","agosto","septiembre","octubre","noviembre","diciembre"},0)+1,0))</f>
        <v/>
      </c>
      <c r="E686" t="str">
        <f>+IFERROR(VLOOKUP(Fact_Analitica[[#This Row], [Concepto Anterior]],Conceptos_Analítica_contraloría[#All],5,0),"")</f>
        <v/>
      </c>
      <c r="F686" t="str">
        <f>+IFERROR(VLOOKUP(Fact_Analitica[[#This Row], [Concepto Anterior]],Conceptos_Analítica_contraloría[#All],7,0),"")</f>
        <v/>
      </c>
      <c r="I686" t="str">
        <f>+IFERROR(VLOOKUP(D686,Conceptos_Analítica_contraloría[#All],2,0),"")</f>
        <v/>
      </c>
      <c r="J686" s="84" t="str">
        <f>+IFERROR(VLOOKUP(D686,Conceptos_Analítica_contraloría[#All],3,0),"")</f>
        <v/>
      </c>
    </row>
    <row r="687" spans="3:10" ht="18.75" customHeight="1" x14ac:dyDescent="0.35">
      <c r="C687" s="100" t="str">
        <f>IF(OR(Fact_Analitica[[#This Row], [Año]]="",Fact_Analitica[[#This Row], [Mes]]=""),"",DATE(A687,MATCH(B687,{"enero","febrero","marzo","abril","mayo","junio","julio","agosto","septiembre","octubre","noviembre","diciembre"},0)+1,0))</f>
        <v/>
      </c>
      <c r="E687" t="str">
        <f>+IFERROR(VLOOKUP(Fact_Analitica[[#This Row], [Concepto Anterior]],Conceptos_Analítica_contraloría[#All],5,0),"")</f>
        <v/>
      </c>
      <c r="F687" t="str">
        <f>+IFERROR(VLOOKUP(Fact_Analitica[[#This Row], [Concepto Anterior]],Conceptos_Analítica_contraloría[#All],7,0),"")</f>
        <v/>
      </c>
      <c r="I687" t="str">
        <f>+IFERROR(VLOOKUP(D687,Conceptos_Analítica_contraloría[#All],2,0),"")</f>
        <v/>
      </c>
      <c r="J687" s="84" t="str">
        <f>+IFERROR(VLOOKUP(D687,Conceptos_Analítica_contraloría[#All],3,0),"")</f>
        <v/>
      </c>
    </row>
    <row r="688" spans="3:10" ht="18.75" customHeight="1" x14ac:dyDescent="0.35">
      <c r="C688" s="100" t="str">
        <f>IF(OR(Fact_Analitica[[#This Row], [Año]]="",Fact_Analitica[[#This Row], [Mes]]=""),"",DATE(A688,MATCH(B688,{"enero","febrero","marzo","abril","mayo","junio","julio","agosto","septiembre","octubre","noviembre","diciembre"},0)+1,0))</f>
        <v/>
      </c>
      <c r="E688" t="str">
        <f>+IFERROR(VLOOKUP(Fact_Analitica[[#This Row], [Concepto Anterior]],Conceptos_Analítica_contraloría[#All],5,0),"")</f>
        <v/>
      </c>
      <c r="F688" t="str">
        <f>+IFERROR(VLOOKUP(Fact_Analitica[[#This Row], [Concepto Anterior]],Conceptos_Analítica_contraloría[#All],7,0),"")</f>
        <v/>
      </c>
      <c r="I688" t="str">
        <f>+IFERROR(VLOOKUP(D688,Conceptos_Analítica_contraloría[#All],2,0),"")</f>
        <v/>
      </c>
      <c r="J688" s="84" t="str">
        <f>+IFERROR(VLOOKUP(D688,Conceptos_Analítica_contraloría[#All],3,0),"")</f>
        <v/>
      </c>
    </row>
    <row r="689" spans="3:10" ht="18.75" customHeight="1" x14ac:dyDescent="0.35">
      <c r="C689" s="100" t="str">
        <f>IF(OR(Fact_Analitica[[#This Row], [Año]]="",Fact_Analitica[[#This Row], [Mes]]=""),"",DATE(A689,MATCH(B689,{"enero","febrero","marzo","abril","mayo","junio","julio","agosto","septiembre","octubre","noviembre","diciembre"},0)+1,0))</f>
        <v/>
      </c>
      <c r="E689" t="str">
        <f>+IFERROR(VLOOKUP(Fact_Analitica[[#This Row], [Concepto Anterior]],Conceptos_Analítica_contraloría[#All],5,0),"")</f>
        <v/>
      </c>
      <c r="F689" t="str">
        <f>+IFERROR(VLOOKUP(Fact_Analitica[[#This Row], [Concepto Anterior]],Conceptos_Analítica_contraloría[#All],7,0),"")</f>
        <v/>
      </c>
      <c r="I689" t="str">
        <f>+IFERROR(VLOOKUP(D689,Conceptos_Analítica_contraloría[#All],2,0),"")</f>
        <v/>
      </c>
      <c r="J689" s="84" t="str">
        <f>+IFERROR(VLOOKUP(D689,Conceptos_Analítica_contraloría[#All],3,0),"")</f>
        <v/>
      </c>
    </row>
    <row r="690" spans="3:10" ht="18.75" customHeight="1" x14ac:dyDescent="0.35">
      <c r="C690" s="100" t="str">
        <f>IF(OR(Fact_Analitica[[#This Row], [Año]]="",Fact_Analitica[[#This Row], [Mes]]=""),"",DATE(A690,MATCH(B690,{"enero","febrero","marzo","abril","mayo","junio","julio","agosto","septiembre","octubre","noviembre","diciembre"},0)+1,0))</f>
        <v/>
      </c>
      <c r="E690" t="str">
        <f>+IFERROR(VLOOKUP(Fact_Analitica[[#This Row], [Concepto Anterior]],Conceptos_Analítica_contraloría[#All],5,0),"")</f>
        <v/>
      </c>
      <c r="F690" t="str">
        <f>+IFERROR(VLOOKUP(Fact_Analitica[[#This Row], [Concepto Anterior]],Conceptos_Analítica_contraloría[#All],7,0),"")</f>
        <v/>
      </c>
      <c r="I690" t="str">
        <f>+IFERROR(VLOOKUP(D690,Conceptos_Analítica_contraloría[#All],2,0),"")</f>
        <v/>
      </c>
      <c r="J690" s="84" t="str">
        <f>+IFERROR(VLOOKUP(D690,Conceptos_Analítica_contraloría[#All],3,0),"")</f>
        <v/>
      </c>
    </row>
    <row r="691" spans="3:10" ht="18.75" customHeight="1" x14ac:dyDescent="0.35">
      <c r="C691" s="100" t="str">
        <f>IF(OR(Fact_Analitica[[#This Row], [Año]]="",Fact_Analitica[[#This Row], [Mes]]=""),"",DATE(A691,MATCH(B691,{"enero","febrero","marzo","abril","mayo","junio","julio","agosto","septiembre","octubre","noviembre","diciembre"},0)+1,0))</f>
        <v/>
      </c>
      <c r="E691" t="str">
        <f>+IFERROR(VLOOKUP(Fact_Analitica[[#This Row], [Concepto Anterior]],Conceptos_Analítica_contraloría[#All],5,0),"")</f>
        <v/>
      </c>
      <c r="F691" t="str">
        <f>+IFERROR(VLOOKUP(Fact_Analitica[[#This Row], [Concepto Anterior]],Conceptos_Analítica_contraloría[#All],7,0),"")</f>
        <v/>
      </c>
      <c r="I691" t="str">
        <f>+IFERROR(VLOOKUP(D691,Conceptos_Analítica_contraloría[#All],2,0),"")</f>
        <v/>
      </c>
      <c r="J691" s="84" t="str">
        <f>+IFERROR(VLOOKUP(D691,Conceptos_Analítica_contraloría[#All],3,0),"")</f>
        <v/>
      </c>
    </row>
    <row r="692" spans="3:10" ht="18.75" customHeight="1" x14ac:dyDescent="0.35">
      <c r="C692" s="100" t="str">
        <f>IF(OR(Fact_Analitica[[#This Row], [Año]]="",Fact_Analitica[[#This Row], [Mes]]=""),"",DATE(A692,MATCH(B692,{"enero","febrero","marzo","abril","mayo","junio","julio","agosto","septiembre","octubre","noviembre","diciembre"},0)+1,0))</f>
        <v/>
      </c>
      <c r="E692" t="str">
        <f>+IFERROR(VLOOKUP(Fact_Analitica[[#This Row], [Concepto Anterior]],Conceptos_Analítica_contraloría[#All],5,0),"")</f>
        <v/>
      </c>
      <c r="F692" t="str">
        <f>+IFERROR(VLOOKUP(Fact_Analitica[[#This Row], [Concepto Anterior]],Conceptos_Analítica_contraloría[#All],7,0),"")</f>
        <v/>
      </c>
      <c r="I692" t="str">
        <f>+IFERROR(VLOOKUP(D692,Conceptos_Analítica_contraloría[#All],2,0),"")</f>
        <v/>
      </c>
      <c r="J692" s="84" t="str">
        <f>+IFERROR(VLOOKUP(D692,Conceptos_Analítica_contraloría[#All],3,0),"")</f>
        <v/>
      </c>
    </row>
    <row r="693" spans="3:10" ht="18.75" customHeight="1" x14ac:dyDescent="0.35">
      <c r="C693" s="100" t="str">
        <f>IF(OR(Fact_Analitica[[#This Row], [Año]]="",Fact_Analitica[[#This Row], [Mes]]=""),"",DATE(A693,MATCH(B693,{"enero","febrero","marzo","abril","mayo","junio","julio","agosto","septiembre","octubre","noviembre","diciembre"},0)+1,0))</f>
        <v/>
      </c>
      <c r="E693" t="str">
        <f>+IFERROR(VLOOKUP(Fact_Analitica[[#This Row], [Concepto Anterior]],Conceptos_Analítica_contraloría[#All],5,0),"")</f>
        <v/>
      </c>
      <c r="F693" t="str">
        <f>+IFERROR(VLOOKUP(Fact_Analitica[[#This Row], [Concepto Anterior]],Conceptos_Analítica_contraloría[#All],7,0),"")</f>
        <v/>
      </c>
      <c r="I693" t="str">
        <f>+IFERROR(VLOOKUP(D693,Conceptos_Analítica_contraloría[#All],2,0),"")</f>
        <v/>
      </c>
      <c r="J693" s="84" t="str">
        <f>+IFERROR(VLOOKUP(D693,Conceptos_Analítica_contraloría[#All],3,0),"")</f>
        <v/>
      </c>
    </row>
    <row r="694" spans="3:10" ht="18.75" customHeight="1" x14ac:dyDescent="0.35">
      <c r="C694" s="100" t="str">
        <f>IF(OR(Fact_Analitica[[#This Row], [Año]]="",Fact_Analitica[[#This Row], [Mes]]=""),"",DATE(A694,MATCH(B694,{"enero","febrero","marzo","abril","mayo","junio","julio","agosto","septiembre","octubre","noviembre","diciembre"},0)+1,0))</f>
        <v/>
      </c>
      <c r="E694" t="str">
        <f>+IFERROR(VLOOKUP(Fact_Analitica[[#This Row], [Concepto Anterior]],Conceptos_Analítica_contraloría[#All],5,0),"")</f>
        <v/>
      </c>
      <c r="F694" t="str">
        <f>+IFERROR(VLOOKUP(Fact_Analitica[[#This Row], [Concepto Anterior]],Conceptos_Analítica_contraloría[#All],7,0),"")</f>
        <v/>
      </c>
      <c r="I694" t="str">
        <f>+IFERROR(VLOOKUP(D694,Conceptos_Analítica_contraloría[#All],2,0),"")</f>
        <v/>
      </c>
      <c r="J694" s="84" t="str">
        <f>+IFERROR(VLOOKUP(D694,Conceptos_Analítica_contraloría[#All],3,0),"")</f>
        <v/>
      </c>
    </row>
    <row r="695" spans="3:10" ht="18.75" customHeight="1" x14ac:dyDescent="0.35">
      <c r="C695" s="100" t="str">
        <f>IF(OR(Fact_Analitica[[#This Row], [Año]]="",Fact_Analitica[[#This Row], [Mes]]=""),"",DATE(A695,MATCH(B695,{"enero","febrero","marzo","abril","mayo","junio","julio","agosto","septiembre","octubre","noviembre","diciembre"},0)+1,0))</f>
        <v/>
      </c>
      <c r="E695" t="str">
        <f>+IFERROR(VLOOKUP(Fact_Analitica[[#This Row], [Concepto Anterior]],Conceptos_Analítica_contraloría[#All],5,0),"")</f>
        <v/>
      </c>
      <c r="F695" t="str">
        <f>+IFERROR(VLOOKUP(Fact_Analitica[[#This Row], [Concepto Anterior]],Conceptos_Analítica_contraloría[#All],7,0),"")</f>
        <v/>
      </c>
      <c r="I695" t="str">
        <f>+IFERROR(VLOOKUP(D695,Conceptos_Analítica_contraloría[#All],2,0),"")</f>
        <v/>
      </c>
      <c r="J695" s="84" t="str">
        <f>+IFERROR(VLOOKUP(D695,Conceptos_Analítica_contraloría[#All],3,0),"")</f>
        <v/>
      </c>
    </row>
    <row r="696" spans="3:10" ht="18.75" customHeight="1" x14ac:dyDescent="0.35">
      <c r="C696" s="100" t="str">
        <f>IF(OR(Fact_Analitica[[#This Row], [Año]]="",Fact_Analitica[[#This Row], [Mes]]=""),"",DATE(A696,MATCH(B696,{"enero","febrero","marzo","abril","mayo","junio","julio","agosto","septiembre","octubre","noviembre","diciembre"},0)+1,0))</f>
        <v/>
      </c>
      <c r="E696" t="str">
        <f>+IFERROR(VLOOKUP(Fact_Analitica[[#This Row], [Concepto Anterior]],Conceptos_Analítica_contraloría[#All],5,0),"")</f>
        <v/>
      </c>
      <c r="F696" t="str">
        <f>+IFERROR(VLOOKUP(Fact_Analitica[[#This Row], [Concepto Anterior]],Conceptos_Analítica_contraloría[#All],7,0),"")</f>
        <v/>
      </c>
      <c r="I696" t="str">
        <f>+IFERROR(VLOOKUP(D696,Conceptos_Analítica_contraloría[#All],2,0),"")</f>
        <v/>
      </c>
      <c r="J696" s="84" t="str">
        <f>+IFERROR(VLOOKUP(D696,Conceptos_Analítica_contraloría[#All],3,0),"")</f>
        <v/>
      </c>
    </row>
    <row r="697" spans="3:10" ht="18.75" customHeight="1" x14ac:dyDescent="0.35">
      <c r="C697" s="100" t="str">
        <f>IF(OR(Fact_Analitica[[#This Row], [Año]]="",Fact_Analitica[[#This Row], [Mes]]=""),"",DATE(A697,MATCH(B697,{"enero","febrero","marzo","abril","mayo","junio","julio","agosto","septiembre","octubre","noviembre","diciembre"},0)+1,0))</f>
        <v/>
      </c>
      <c r="E697" t="str">
        <f>+IFERROR(VLOOKUP(Fact_Analitica[[#This Row], [Concepto Anterior]],Conceptos_Analítica_contraloría[#All],5,0),"")</f>
        <v/>
      </c>
      <c r="F697" t="str">
        <f>+IFERROR(VLOOKUP(Fact_Analitica[[#This Row], [Concepto Anterior]],Conceptos_Analítica_contraloría[#All],7,0),"")</f>
        <v/>
      </c>
      <c r="I697" t="str">
        <f>+IFERROR(VLOOKUP(D697,Conceptos_Analítica_contraloría[#All],2,0),"")</f>
        <v/>
      </c>
      <c r="J697" s="84" t="str">
        <f>+IFERROR(VLOOKUP(D697,Conceptos_Analítica_contraloría[#All],3,0),"")</f>
        <v/>
      </c>
    </row>
    <row r="698" spans="3:10" ht="18.75" customHeight="1" x14ac:dyDescent="0.35">
      <c r="C698" s="100" t="str">
        <f>IF(OR(Fact_Analitica[[#This Row], [Año]]="",Fact_Analitica[[#This Row], [Mes]]=""),"",DATE(A698,MATCH(B698,{"enero","febrero","marzo","abril","mayo","junio","julio","agosto","septiembre","octubre","noviembre","diciembre"},0)+1,0))</f>
        <v/>
      </c>
      <c r="E698" t="str">
        <f>+IFERROR(VLOOKUP(Fact_Analitica[[#This Row], [Concepto Anterior]],Conceptos_Analítica_contraloría[#All],5,0),"")</f>
        <v/>
      </c>
      <c r="F698" t="str">
        <f>+IFERROR(VLOOKUP(Fact_Analitica[[#This Row], [Concepto Anterior]],Conceptos_Analítica_contraloría[#All],7,0),"")</f>
        <v/>
      </c>
      <c r="I698" t="str">
        <f>+IFERROR(VLOOKUP(D698,Conceptos_Analítica_contraloría[#All],2,0),"")</f>
        <v/>
      </c>
      <c r="J698" s="84" t="str">
        <f>+IFERROR(VLOOKUP(D698,Conceptos_Analítica_contraloría[#All],3,0),"")</f>
        <v/>
      </c>
    </row>
    <row r="699" spans="3:10" ht="18.75" customHeight="1" x14ac:dyDescent="0.35">
      <c r="C699" s="100" t="str">
        <f>IF(OR(Fact_Analitica[[#This Row], [Año]]="",Fact_Analitica[[#This Row], [Mes]]=""),"",DATE(A699,MATCH(B699,{"enero","febrero","marzo","abril","mayo","junio","julio","agosto","septiembre","octubre","noviembre","diciembre"},0)+1,0))</f>
        <v/>
      </c>
      <c r="E699" t="str">
        <f>+IFERROR(VLOOKUP(Fact_Analitica[[#This Row], [Concepto Anterior]],Conceptos_Analítica_contraloría[#All],5,0),"")</f>
        <v/>
      </c>
      <c r="F699" t="str">
        <f>+IFERROR(VLOOKUP(Fact_Analitica[[#This Row], [Concepto Anterior]],Conceptos_Analítica_contraloría[#All],7,0),"")</f>
        <v/>
      </c>
      <c r="I699" t="str">
        <f>+IFERROR(VLOOKUP(D699,Conceptos_Analítica_contraloría[#All],2,0),"")</f>
        <v/>
      </c>
      <c r="J699" s="84" t="str">
        <f>+IFERROR(VLOOKUP(D699,Conceptos_Analítica_contraloría[#All],3,0),"")</f>
        <v/>
      </c>
    </row>
    <row r="700" spans="3:10" ht="18.75" customHeight="1" x14ac:dyDescent="0.35">
      <c r="C700" s="100" t="str">
        <f>IF(OR(Fact_Analitica[[#This Row], [Año]]="",Fact_Analitica[[#This Row], [Mes]]=""),"",DATE(A700,MATCH(B700,{"enero","febrero","marzo","abril","mayo","junio","julio","agosto","septiembre","octubre","noviembre","diciembre"},0)+1,0))</f>
        <v/>
      </c>
      <c r="E700" t="str">
        <f>+IFERROR(VLOOKUP(Fact_Analitica[[#This Row], [Concepto Anterior]],Conceptos_Analítica_contraloría[#All],5,0),"")</f>
        <v/>
      </c>
      <c r="F700" t="str">
        <f>+IFERROR(VLOOKUP(Fact_Analitica[[#This Row], [Concepto Anterior]],Conceptos_Analítica_contraloría[#All],7,0),"")</f>
        <v/>
      </c>
      <c r="I700" t="str">
        <f>+IFERROR(VLOOKUP(D700,Conceptos_Analítica_contraloría[#All],2,0),"")</f>
        <v/>
      </c>
      <c r="J700" s="84" t="str">
        <f>+IFERROR(VLOOKUP(D700,Conceptos_Analítica_contraloría[#All],3,0),"")</f>
        <v/>
      </c>
    </row>
    <row r="701" spans="3:10" ht="18.75" customHeight="1" x14ac:dyDescent="0.35">
      <c r="C701" s="100" t="str">
        <f>IF(OR(Fact_Analitica[[#This Row], [Año]]="",Fact_Analitica[[#This Row], [Mes]]=""),"",DATE(A701,MATCH(B701,{"enero","febrero","marzo","abril","mayo","junio","julio","agosto","septiembre","octubre","noviembre","diciembre"},0)+1,0))</f>
        <v/>
      </c>
      <c r="E701" t="str">
        <f>+IFERROR(VLOOKUP(Fact_Analitica[[#This Row], [Concepto Anterior]],Conceptos_Analítica_contraloría[#All],5,0),"")</f>
        <v/>
      </c>
      <c r="F701" t="str">
        <f>+IFERROR(VLOOKUP(Fact_Analitica[[#This Row], [Concepto Anterior]],Conceptos_Analítica_contraloría[#All],7,0),"")</f>
        <v/>
      </c>
      <c r="I701" t="str">
        <f>+IFERROR(VLOOKUP(D701,Conceptos_Analítica_contraloría[#All],2,0),"")</f>
        <v/>
      </c>
      <c r="J701" s="84" t="str">
        <f>+IFERROR(VLOOKUP(D701,Conceptos_Analítica_contraloría[#All],3,0),"")</f>
        <v/>
      </c>
    </row>
    <row r="702" spans="3:10" ht="18.75" customHeight="1" x14ac:dyDescent="0.35">
      <c r="C702" s="100" t="str">
        <f>IF(OR(Fact_Analitica[[#This Row], [Año]]="",Fact_Analitica[[#This Row], [Mes]]=""),"",DATE(A702,MATCH(B702,{"enero","febrero","marzo","abril","mayo","junio","julio","agosto","septiembre","octubre","noviembre","diciembre"},0)+1,0))</f>
        <v/>
      </c>
      <c r="E702" t="str">
        <f>+IFERROR(VLOOKUP(Fact_Analitica[[#This Row], [Concepto Anterior]],Conceptos_Analítica_contraloría[#All],5,0),"")</f>
        <v/>
      </c>
      <c r="F702" t="str">
        <f>+IFERROR(VLOOKUP(Fact_Analitica[[#This Row], [Concepto Anterior]],Conceptos_Analítica_contraloría[#All],7,0),"")</f>
        <v/>
      </c>
      <c r="I702" t="str">
        <f>+IFERROR(VLOOKUP(D702,Conceptos_Analítica_contraloría[#All],2,0),"")</f>
        <v/>
      </c>
      <c r="J702" s="84" t="str">
        <f>+IFERROR(VLOOKUP(D702,Conceptos_Analítica_contraloría[#All],3,0),"")</f>
        <v/>
      </c>
    </row>
    <row r="703" spans="3:10" ht="18.75" customHeight="1" x14ac:dyDescent="0.35">
      <c r="C703" s="100" t="str">
        <f>IF(OR(Fact_Analitica[[#This Row], [Año]]="",Fact_Analitica[[#This Row], [Mes]]=""),"",DATE(A703,MATCH(B703,{"enero","febrero","marzo","abril","mayo","junio","julio","agosto","septiembre","octubre","noviembre","diciembre"},0)+1,0))</f>
        <v/>
      </c>
      <c r="E703" t="str">
        <f>+IFERROR(VLOOKUP(Fact_Analitica[[#This Row], [Concepto Anterior]],Conceptos_Analítica_contraloría[#All],5,0),"")</f>
        <v/>
      </c>
      <c r="F703" t="str">
        <f>+IFERROR(VLOOKUP(Fact_Analitica[[#This Row], [Concepto Anterior]],Conceptos_Analítica_contraloría[#All],7,0),"")</f>
        <v/>
      </c>
      <c r="I703" t="str">
        <f>+IFERROR(VLOOKUP(D703,Conceptos_Analítica_contraloría[#All],2,0),"")</f>
        <v/>
      </c>
      <c r="J703" s="84" t="str">
        <f>+IFERROR(VLOOKUP(D703,Conceptos_Analítica_contraloría[#All],3,0),"")</f>
        <v/>
      </c>
    </row>
    <row r="704" spans="3:10" ht="18.75" customHeight="1" x14ac:dyDescent="0.35">
      <c r="C704" s="100" t="str">
        <f>IF(OR(Fact_Analitica[[#This Row], [Año]]="",Fact_Analitica[[#This Row], [Mes]]=""),"",DATE(A704,MATCH(B704,{"enero","febrero","marzo","abril","mayo","junio","julio","agosto","septiembre","octubre","noviembre","diciembre"},0)+1,0))</f>
        <v/>
      </c>
      <c r="E704" t="str">
        <f>+IFERROR(VLOOKUP(Fact_Analitica[[#This Row], [Concepto Anterior]],Conceptos_Analítica_contraloría[#All],5,0),"")</f>
        <v/>
      </c>
      <c r="F704" t="str">
        <f>+IFERROR(VLOOKUP(Fact_Analitica[[#This Row], [Concepto Anterior]],Conceptos_Analítica_contraloría[#All],7,0),"")</f>
        <v/>
      </c>
      <c r="I704" t="str">
        <f>+IFERROR(VLOOKUP(D704,Conceptos_Analítica_contraloría[#All],2,0),"")</f>
        <v/>
      </c>
      <c r="J704" s="84" t="str">
        <f>+IFERROR(VLOOKUP(D704,Conceptos_Analítica_contraloría[#All],3,0),"")</f>
        <v/>
      </c>
    </row>
    <row r="705" spans="3:10" ht="18.75" customHeight="1" x14ac:dyDescent="0.35">
      <c r="C705" s="100" t="str">
        <f>IF(OR(Fact_Analitica[[#This Row], [Año]]="",Fact_Analitica[[#This Row], [Mes]]=""),"",DATE(A705,MATCH(B705,{"enero","febrero","marzo","abril","mayo","junio","julio","agosto","septiembre","octubre","noviembre","diciembre"},0)+1,0))</f>
        <v/>
      </c>
      <c r="E705" t="str">
        <f>+IFERROR(VLOOKUP(Fact_Analitica[[#This Row], [Concepto Anterior]],Conceptos_Analítica_contraloría[#All],5,0),"")</f>
        <v/>
      </c>
      <c r="F705" t="str">
        <f>+IFERROR(VLOOKUP(Fact_Analitica[[#This Row], [Concepto Anterior]],Conceptos_Analítica_contraloría[#All],7,0),"")</f>
        <v/>
      </c>
      <c r="I705" t="str">
        <f>+IFERROR(VLOOKUP(D705,Conceptos_Analítica_contraloría[#All],2,0),"")</f>
        <v/>
      </c>
      <c r="J705" s="84" t="str">
        <f>+IFERROR(VLOOKUP(D705,Conceptos_Analítica_contraloría[#All],3,0),"")</f>
        <v/>
      </c>
    </row>
    <row r="706" spans="3:10" ht="18.75" customHeight="1" x14ac:dyDescent="0.35">
      <c r="C706" s="100" t="str">
        <f>IF(OR(Fact_Analitica[[#This Row], [Año]]="",Fact_Analitica[[#This Row], [Mes]]=""),"",DATE(A706,MATCH(B706,{"enero","febrero","marzo","abril","mayo","junio","julio","agosto","septiembre","octubre","noviembre","diciembre"},0)+1,0))</f>
        <v/>
      </c>
      <c r="E706" t="str">
        <f>+IFERROR(VLOOKUP(Fact_Analitica[[#This Row], [Concepto Anterior]],Conceptos_Analítica_contraloría[#All],5,0),"")</f>
        <v/>
      </c>
      <c r="F706" t="str">
        <f>+IFERROR(VLOOKUP(Fact_Analitica[[#This Row], [Concepto Anterior]],Conceptos_Analítica_contraloría[#All],7,0),"")</f>
        <v/>
      </c>
      <c r="I706" t="str">
        <f>+IFERROR(VLOOKUP(D706,Conceptos_Analítica_contraloría[#All],2,0),"")</f>
        <v/>
      </c>
      <c r="J706" s="84" t="str">
        <f>+IFERROR(VLOOKUP(D706,Conceptos_Analítica_contraloría[#All],3,0),"")</f>
        <v/>
      </c>
    </row>
    <row r="707" spans="3:10" ht="18.75" customHeight="1" x14ac:dyDescent="0.35">
      <c r="C707" s="100" t="str">
        <f>IF(OR(Fact_Analitica[[#This Row], [Año]]="",Fact_Analitica[[#This Row], [Mes]]=""),"",DATE(A707,MATCH(B707,{"enero","febrero","marzo","abril","mayo","junio","julio","agosto","septiembre","octubre","noviembre","diciembre"},0)+1,0))</f>
        <v/>
      </c>
      <c r="E707" t="str">
        <f>+IFERROR(VLOOKUP(Fact_Analitica[[#This Row], [Concepto Anterior]],Conceptos_Analítica_contraloría[#All],5,0),"")</f>
        <v/>
      </c>
      <c r="F707" t="str">
        <f>+IFERROR(VLOOKUP(Fact_Analitica[[#This Row], [Concepto Anterior]],Conceptos_Analítica_contraloría[#All],7,0),"")</f>
        <v/>
      </c>
      <c r="I707" t="str">
        <f>+IFERROR(VLOOKUP(D707,Conceptos_Analítica_contraloría[#All],2,0),"")</f>
        <v/>
      </c>
      <c r="J707" s="84" t="str">
        <f>+IFERROR(VLOOKUP(D707,Conceptos_Analítica_contraloría[#All],3,0),"")</f>
        <v/>
      </c>
    </row>
    <row r="708" spans="3:10" ht="18.75" customHeight="1" x14ac:dyDescent="0.35">
      <c r="C708" s="100" t="str">
        <f>IF(OR(Fact_Analitica[[#This Row], [Año]]="",Fact_Analitica[[#This Row], [Mes]]=""),"",DATE(A708,MATCH(B708,{"enero","febrero","marzo","abril","mayo","junio","julio","agosto","septiembre","octubre","noviembre","diciembre"},0)+1,0))</f>
        <v/>
      </c>
      <c r="E708" t="str">
        <f>+IFERROR(VLOOKUP(Fact_Analitica[[#This Row], [Concepto Anterior]],Conceptos_Analítica_contraloría[#All],5,0),"")</f>
        <v/>
      </c>
      <c r="F708" t="str">
        <f>+IFERROR(VLOOKUP(Fact_Analitica[[#This Row], [Concepto Anterior]],Conceptos_Analítica_contraloría[#All],7,0),"")</f>
        <v/>
      </c>
      <c r="I708" t="str">
        <f>+IFERROR(VLOOKUP(D708,Conceptos_Analítica_contraloría[#All],2,0),"")</f>
        <v/>
      </c>
      <c r="J708" s="84" t="str">
        <f>+IFERROR(VLOOKUP(D708,Conceptos_Analítica_contraloría[#All],3,0),"")</f>
        <v/>
      </c>
    </row>
    <row r="709" spans="3:10" ht="18.75" customHeight="1" x14ac:dyDescent="0.35">
      <c r="C709" s="100" t="str">
        <f>IF(OR(Fact_Analitica[[#This Row], [Año]]="",Fact_Analitica[[#This Row], [Mes]]=""),"",DATE(A709,MATCH(B709,{"enero","febrero","marzo","abril","mayo","junio","julio","agosto","septiembre","octubre","noviembre","diciembre"},0)+1,0))</f>
        <v/>
      </c>
      <c r="E709" t="str">
        <f>+IFERROR(VLOOKUP(Fact_Analitica[[#This Row], [Concepto Anterior]],Conceptos_Analítica_contraloría[#All],5,0),"")</f>
        <v/>
      </c>
      <c r="F709" t="str">
        <f>+IFERROR(VLOOKUP(Fact_Analitica[[#This Row], [Concepto Anterior]],Conceptos_Analítica_contraloría[#All],7,0),"")</f>
        <v/>
      </c>
      <c r="I709" t="str">
        <f>+IFERROR(VLOOKUP(D709,Conceptos_Analítica_contraloría[#All],2,0),"")</f>
        <v/>
      </c>
      <c r="J709" s="84" t="str">
        <f>+IFERROR(VLOOKUP(D709,Conceptos_Analítica_contraloría[#All],3,0),"")</f>
        <v/>
      </c>
    </row>
    <row r="710" spans="3:10" ht="18.75" customHeight="1" x14ac:dyDescent="0.35">
      <c r="C710" s="100" t="str">
        <f>IF(OR(Fact_Analitica[[#This Row], [Año]]="",Fact_Analitica[[#This Row], [Mes]]=""),"",DATE(A710,MATCH(B710,{"enero","febrero","marzo","abril","mayo","junio","julio","agosto","septiembre","octubre","noviembre","diciembre"},0)+1,0))</f>
        <v/>
      </c>
      <c r="E710" t="str">
        <f>+IFERROR(VLOOKUP(Fact_Analitica[[#This Row], [Concepto Anterior]],Conceptos_Analítica_contraloría[#All],5,0),"")</f>
        <v/>
      </c>
      <c r="F710" t="str">
        <f>+IFERROR(VLOOKUP(Fact_Analitica[[#This Row], [Concepto Anterior]],Conceptos_Analítica_contraloría[#All],7,0),"")</f>
        <v/>
      </c>
      <c r="I710" t="str">
        <f>+IFERROR(VLOOKUP(D710,Conceptos_Analítica_contraloría[#All],2,0),"")</f>
        <v/>
      </c>
      <c r="J710" s="84" t="str">
        <f>+IFERROR(VLOOKUP(D710,Conceptos_Analítica_contraloría[#All],3,0),"")</f>
        <v/>
      </c>
    </row>
    <row r="711" spans="3:10" ht="18.75" customHeight="1" x14ac:dyDescent="0.35">
      <c r="C711" s="100" t="str">
        <f>IF(OR(Fact_Analitica[[#This Row], [Año]]="",Fact_Analitica[[#This Row], [Mes]]=""),"",DATE(A711,MATCH(B711,{"enero","febrero","marzo","abril","mayo","junio","julio","agosto","septiembre","octubre","noviembre","diciembre"},0)+1,0))</f>
        <v/>
      </c>
      <c r="E711" t="str">
        <f>+IFERROR(VLOOKUP(Fact_Analitica[[#This Row], [Concepto Anterior]],Conceptos_Analítica_contraloría[#All],5,0),"")</f>
        <v/>
      </c>
      <c r="F711" t="str">
        <f>+IFERROR(VLOOKUP(Fact_Analitica[[#This Row], [Concepto Anterior]],Conceptos_Analítica_contraloría[#All],7,0),"")</f>
        <v/>
      </c>
      <c r="I711" t="str">
        <f>+IFERROR(VLOOKUP(D711,Conceptos_Analítica_contraloría[#All],2,0),"")</f>
        <v/>
      </c>
      <c r="J711" s="84" t="str">
        <f>+IFERROR(VLOOKUP(D711,Conceptos_Analítica_contraloría[#All],3,0),"")</f>
        <v/>
      </c>
    </row>
    <row r="712" spans="3:10" ht="18.75" customHeight="1" x14ac:dyDescent="0.35">
      <c r="C712" s="100" t="str">
        <f>IF(OR(Fact_Analitica[[#This Row], [Año]]="",Fact_Analitica[[#This Row], [Mes]]=""),"",DATE(A712,MATCH(B712,{"enero","febrero","marzo","abril","mayo","junio","julio","agosto","septiembre","octubre","noviembre","diciembre"},0)+1,0))</f>
        <v/>
      </c>
      <c r="E712" t="str">
        <f>+IFERROR(VLOOKUP(Fact_Analitica[[#This Row], [Concepto Anterior]],Conceptos_Analítica_contraloría[#All],5,0),"")</f>
        <v/>
      </c>
      <c r="F712" t="str">
        <f>+IFERROR(VLOOKUP(Fact_Analitica[[#This Row], [Concepto Anterior]],Conceptos_Analítica_contraloría[#All],7,0),"")</f>
        <v/>
      </c>
      <c r="I712" t="str">
        <f>+IFERROR(VLOOKUP(D712,Conceptos_Analítica_contraloría[#All],2,0),"")</f>
        <v/>
      </c>
      <c r="J712" s="84" t="str">
        <f>+IFERROR(VLOOKUP(D712,Conceptos_Analítica_contraloría[#All],3,0),"")</f>
        <v/>
      </c>
    </row>
    <row r="713" spans="3:10" ht="18.75" customHeight="1" x14ac:dyDescent="0.35">
      <c r="C713" s="100" t="str">
        <f>IF(OR(Fact_Analitica[[#This Row], [Año]]="",Fact_Analitica[[#This Row], [Mes]]=""),"",DATE(A713,MATCH(B713,{"enero","febrero","marzo","abril","mayo","junio","julio","agosto","septiembre","octubre","noviembre","diciembre"},0)+1,0))</f>
        <v/>
      </c>
      <c r="E713" t="str">
        <f>+IFERROR(VLOOKUP(Fact_Analitica[[#This Row], [Concepto Anterior]],Conceptos_Analítica_contraloría[#All],5,0),"")</f>
        <v/>
      </c>
      <c r="F713" t="str">
        <f>+IFERROR(VLOOKUP(Fact_Analitica[[#This Row], [Concepto Anterior]],Conceptos_Analítica_contraloría[#All],7,0),"")</f>
        <v/>
      </c>
      <c r="I713" t="str">
        <f>+IFERROR(VLOOKUP(D713,Conceptos_Analítica_contraloría[#All],2,0),"")</f>
        <v/>
      </c>
      <c r="J713" s="84" t="str">
        <f>+IFERROR(VLOOKUP(D713,Conceptos_Analítica_contraloría[#All],3,0),"")</f>
        <v/>
      </c>
    </row>
    <row r="714" spans="3:10" ht="18.75" customHeight="1" x14ac:dyDescent="0.35">
      <c r="C714" s="100" t="str">
        <f>IF(OR(Fact_Analitica[[#This Row], [Año]]="",Fact_Analitica[[#This Row], [Mes]]=""),"",DATE(A714,MATCH(B714,{"enero","febrero","marzo","abril","mayo","junio","julio","agosto","septiembre","octubre","noviembre","diciembre"},0)+1,0))</f>
        <v/>
      </c>
      <c r="E714" t="str">
        <f>+IFERROR(VLOOKUP(Fact_Analitica[[#This Row], [Concepto Anterior]],Conceptos_Analítica_contraloría[#All],5,0),"")</f>
        <v/>
      </c>
      <c r="F714" t="str">
        <f>+IFERROR(VLOOKUP(Fact_Analitica[[#This Row], [Concepto Anterior]],Conceptos_Analítica_contraloría[#All],7,0),"")</f>
        <v/>
      </c>
      <c r="I714" t="str">
        <f>+IFERROR(VLOOKUP(D714,Conceptos_Analítica_contraloría[#All],2,0),"")</f>
        <v/>
      </c>
      <c r="J714" s="84" t="str">
        <f>+IFERROR(VLOOKUP(D714,Conceptos_Analítica_contraloría[#All],3,0),"")</f>
        <v/>
      </c>
    </row>
    <row r="715" spans="3:10" ht="18.75" customHeight="1" x14ac:dyDescent="0.35">
      <c r="C715" s="100" t="str">
        <f>IF(OR(Fact_Analitica[[#This Row], [Año]]="",Fact_Analitica[[#This Row], [Mes]]=""),"",DATE(A715,MATCH(B715,{"enero","febrero","marzo","abril","mayo","junio","julio","agosto","septiembre","octubre","noviembre","diciembre"},0)+1,0))</f>
        <v/>
      </c>
      <c r="E715" t="str">
        <f>+IFERROR(VLOOKUP(Fact_Analitica[[#This Row], [Concepto Anterior]],Conceptos_Analítica_contraloría[#All],5,0),"")</f>
        <v/>
      </c>
      <c r="F715" t="str">
        <f>+IFERROR(VLOOKUP(Fact_Analitica[[#This Row], [Concepto Anterior]],Conceptos_Analítica_contraloría[#All],7,0),"")</f>
        <v/>
      </c>
      <c r="I715" t="str">
        <f>+IFERROR(VLOOKUP(D715,Conceptos_Analítica_contraloría[#All],2,0),"")</f>
        <v/>
      </c>
      <c r="J715" s="84" t="str">
        <f>+IFERROR(VLOOKUP(D715,Conceptos_Analítica_contraloría[#All],3,0),"")</f>
        <v/>
      </c>
    </row>
    <row r="716" spans="3:10" ht="18.75" customHeight="1" x14ac:dyDescent="0.35">
      <c r="C716" s="100" t="str">
        <f>IF(OR(Fact_Analitica[[#This Row], [Año]]="",Fact_Analitica[[#This Row], [Mes]]=""),"",DATE(A716,MATCH(B716,{"enero","febrero","marzo","abril","mayo","junio","julio","agosto","septiembre","octubre","noviembre","diciembre"},0)+1,0))</f>
        <v/>
      </c>
      <c r="E716" t="str">
        <f>+IFERROR(VLOOKUP(Fact_Analitica[[#This Row], [Concepto Anterior]],Conceptos_Analítica_contraloría[#All],5,0),"")</f>
        <v/>
      </c>
      <c r="F716" t="str">
        <f>+IFERROR(VLOOKUP(Fact_Analitica[[#This Row], [Concepto Anterior]],Conceptos_Analítica_contraloría[#All],7,0),"")</f>
        <v/>
      </c>
      <c r="I716" t="str">
        <f>+IFERROR(VLOOKUP(D716,Conceptos_Analítica_contraloría[#All],2,0),"")</f>
        <v/>
      </c>
      <c r="J716" s="84" t="str">
        <f>+IFERROR(VLOOKUP(D716,Conceptos_Analítica_contraloría[#All],3,0),"")</f>
        <v/>
      </c>
    </row>
    <row r="717" spans="3:10" ht="18.75" customHeight="1" x14ac:dyDescent="0.35">
      <c r="C717" s="100" t="str">
        <f>IF(OR(Fact_Analitica[[#This Row], [Año]]="",Fact_Analitica[[#This Row], [Mes]]=""),"",DATE(A717,MATCH(B717,{"enero","febrero","marzo","abril","mayo","junio","julio","agosto","septiembre","octubre","noviembre","diciembre"},0)+1,0))</f>
        <v/>
      </c>
      <c r="E717" t="str">
        <f>+IFERROR(VLOOKUP(Fact_Analitica[[#This Row], [Concepto Anterior]],Conceptos_Analítica_contraloría[#All],5,0),"")</f>
        <v/>
      </c>
      <c r="F717" t="str">
        <f>+IFERROR(VLOOKUP(Fact_Analitica[[#This Row], [Concepto Anterior]],Conceptos_Analítica_contraloría[#All],7,0),"")</f>
        <v/>
      </c>
      <c r="I717" t="str">
        <f>+IFERROR(VLOOKUP(D717,Conceptos_Analítica_contraloría[#All],2,0),"")</f>
        <v/>
      </c>
      <c r="J717" s="84" t="str">
        <f>+IFERROR(VLOOKUP(D717,Conceptos_Analítica_contraloría[#All],3,0),"")</f>
        <v/>
      </c>
    </row>
    <row r="718" spans="3:10" ht="18.75" customHeight="1" x14ac:dyDescent="0.35">
      <c r="C718" s="100" t="str">
        <f>IF(OR(Fact_Analitica[[#This Row], [Año]]="",Fact_Analitica[[#This Row], [Mes]]=""),"",DATE(A718,MATCH(B718,{"enero","febrero","marzo","abril","mayo","junio","julio","agosto","septiembre","octubre","noviembre","diciembre"},0)+1,0))</f>
        <v/>
      </c>
      <c r="E718" t="str">
        <f>+IFERROR(VLOOKUP(Fact_Analitica[[#This Row], [Concepto Anterior]],Conceptos_Analítica_contraloría[#All],5,0),"")</f>
        <v/>
      </c>
      <c r="F718" t="str">
        <f>+IFERROR(VLOOKUP(Fact_Analitica[[#This Row], [Concepto Anterior]],Conceptos_Analítica_contraloría[#All],7,0),"")</f>
        <v/>
      </c>
      <c r="I718" t="str">
        <f>+IFERROR(VLOOKUP(D718,Conceptos_Analítica_contraloría[#All],2,0),"")</f>
        <v/>
      </c>
      <c r="J718" s="84" t="str">
        <f>+IFERROR(VLOOKUP(D718,Conceptos_Analítica_contraloría[#All],3,0),"")</f>
        <v/>
      </c>
    </row>
    <row r="719" spans="3:10" ht="18.75" customHeight="1" x14ac:dyDescent="0.35">
      <c r="C719" s="100" t="str">
        <f>IF(OR(Fact_Analitica[[#This Row], [Año]]="",Fact_Analitica[[#This Row], [Mes]]=""),"",DATE(A719,MATCH(B719,{"enero","febrero","marzo","abril","mayo","junio","julio","agosto","septiembre","octubre","noviembre","diciembre"},0)+1,0))</f>
        <v/>
      </c>
      <c r="E719" t="str">
        <f>+IFERROR(VLOOKUP(Fact_Analitica[[#This Row], [Concepto Anterior]],Conceptos_Analítica_contraloría[#All],5,0),"")</f>
        <v/>
      </c>
      <c r="F719" t="str">
        <f>+IFERROR(VLOOKUP(Fact_Analitica[[#This Row], [Concepto Anterior]],Conceptos_Analítica_contraloría[#All],7,0),"")</f>
        <v/>
      </c>
      <c r="I719" t="str">
        <f>+IFERROR(VLOOKUP(D719,Conceptos_Analítica_contraloría[#All],2,0),"")</f>
        <v/>
      </c>
      <c r="J719" s="84" t="str">
        <f>+IFERROR(VLOOKUP(D719,Conceptos_Analítica_contraloría[#All],3,0),"")</f>
        <v/>
      </c>
    </row>
    <row r="720" spans="3:10" ht="18.75" customHeight="1" x14ac:dyDescent="0.35">
      <c r="C720" s="100" t="str">
        <f>IF(OR(Fact_Analitica[[#This Row], [Año]]="",Fact_Analitica[[#This Row], [Mes]]=""),"",DATE(A720,MATCH(B720,{"enero","febrero","marzo","abril","mayo","junio","julio","agosto","septiembre","octubre","noviembre","diciembre"},0)+1,0))</f>
        <v/>
      </c>
      <c r="E720" t="str">
        <f>+IFERROR(VLOOKUP(Fact_Analitica[[#This Row], [Concepto Anterior]],Conceptos_Analítica_contraloría[#All],5,0),"")</f>
        <v/>
      </c>
      <c r="F720" t="str">
        <f>+IFERROR(VLOOKUP(Fact_Analitica[[#This Row], [Concepto Anterior]],Conceptos_Analítica_contraloría[#All],7,0),"")</f>
        <v/>
      </c>
      <c r="I720" t="str">
        <f>+IFERROR(VLOOKUP(D720,Conceptos_Analítica_contraloría[#All],2,0),"")</f>
        <v/>
      </c>
      <c r="J720" s="84" t="str">
        <f>+IFERROR(VLOOKUP(D720,Conceptos_Analítica_contraloría[#All],3,0),"")</f>
        <v/>
      </c>
    </row>
    <row r="721" spans="3:10" ht="18.75" customHeight="1" x14ac:dyDescent="0.35">
      <c r="C721" s="100" t="str">
        <f>IF(OR(Fact_Analitica[[#This Row], [Año]]="",Fact_Analitica[[#This Row], [Mes]]=""),"",DATE(A721,MATCH(B721,{"enero","febrero","marzo","abril","mayo","junio","julio","agosto","septiembre","octubre","noviembre","diciembre"},0)+1,0))</f>
        <v/>
      </c>
      <c r="E721" t="str">
        <f>+IFERROR(VLOOKUP(Fact_Analitica[[#This Row], [Concepto Anterior]],Conceptos_Analítica_contraloría[#All],5,0),"")</f>
        <v/>
      </c>
      <c r="F721" t="str">
        <f>+IFERROR(VLOOKUP(Fact_Analitica[[#This Row], [Concepto Anterior]],Conceptos_Analítica_contraloría[#All],7,0),"")</f>
        <v/>
      </c>
      <c r="I721" t="str">
        <f>+IFERROR(VLOOKUP(D721,Conceptos_Analítica_contraloría[#All],2,0),"")</f>
        <v/>
      </c>
      <c r="J721" s="84" t="str">
        <f>+IFERROR(VLOOKUP(D721,Conceptos_Analítica_contraloría[#All],3,0),"")</f>
        <v/>
      </c>
    </row>
    <row r="722" spans="3:10" ht="18.75" customHeight="1" x14ac:dyDescent="0.35">
      <c r="C722" s="100" t="str">
        <f>IF(OR(Fact_Analitica[[#This Row], [Año]]="",Fact_Analitica[[#This Row], [Mes]]=""),"",DATE(A722,MATCH(B722,{"enero","febrero","marzo","abril","mayo","junio","julio","agosto","septiembre","octubre","noviembre","diciembre"},0)+1,0))</f>
        <v/>
      </c>
      <c r="E722" t="str">
        <f>+IFERROR(VLOOKUP(Fact_Analitica[[#This Row], [Concepto Anterior]],Conceptos_Analítica_contraloría[#All],5,0),"")</f>
        <v/>
      </c>
      <c r="F722" t="str">
        <f>+IFERROR(VLOOKUP(Fact_Analitica[[#This Row], [Concepto Anterior]],Conceptos_Analítica_contraloría[#All],7,0),"")</f>
        <v/>
      </c>
      <c r="I722" t="str">
        <f>+IFERROR(VLOOKUP(D722,Conceptos_Analítica_contraloría[#All],2,0),"")</f>
        <v/>
      </c>
      <c r="J722" s="84" t="str">
        <f>+IFERROR(VLOOKUP(D722,Conceptos_Analítica_contraloría[#All],3,0),"")</f>
        <v/>
      </c>
    </row>
    <row r="723" spans="3:10" ht="18.75" customHeight="1" x14ac:dyDescent="0.35">
      <c r="C723" s="100" t="str">
        <f>IF(OR(Fact_Analitica[[#This Row], [Año]]="",Fact_Analitica[[#This Row], [Mes]]=""),"",DATE(A723,MATCH(B723,{"enero","febrero","marzo","abril","mayo","junio","julio","agosto","septiembre","octubre","noviembre","diciembre"},0)+1,0))</f>
        <v/>
      </c>
      <c r="E723" t="str">
        <f>+IFERROR(VLOOKUP(Fact_Analitica[[#This Row], [Concepto Anterior]],Conceptos_Analítica_contraloría[#All],5,0),"")</f>
        <v/>
      </c>
      <c r="F723" t="str">
        <f>+IFERROR(VLOOKUP(Fact_Analitica[[#This Row], [Concepto Anterior]],Conceptos_Analítica_contraloría[#All],7,0),"")</f>
        <v/>
      </c>
      <c r="I723" t="str">
        <f>+IFERROR(VLOOKUP(D723,Conceptos_Analítica_contraloría[#All],2,0),"")</f>
        <v/>
      </c>
      <c r="J723" s="84" t="str">
        <f>+IFERROR(VLOOKUP(D723,Conceptos_Analítica_contraloría[#All],3,0),"")</f>
        <v/>
      </c>
    </row>
    <row r="724" spans="3:10" ht="18.75" customHeight="1" x14ac:dyDescent="0.35">
      <c r="C724" s="100" t="str">
        <f>IF(OR(Fact_Analitica[[#This Row], [Año]]="",Fact_Analitica[[#This Row], [Mes]]=""),"",DATE(A724,MATCH(B724,{"enero","febrero","marzo","abril","mayo","junio","julio","agosto","septiembre","octubre","noviembre","diciembre"},0)+1,0))</f>
        <v/>
      </c>
      <c r="E724" t="str">
        <f>+IFERROR(VLOOKUP(Fact_Analitica[[#This Row], [Concepto Anterior]],Conceptos_Analítica_contraloría[#All],5,0),"")</f>
        <v/>
      </c>
      <c r="F724" t="str">
        <f>+IFERROR(VLOOKUP(Fact_Analitica[[#This Row], [Concepto Anterior]],Conceptos_Analítica_contraloría[#All],7,0),"")</f>
        <v/>
      </c>
      <c r="I724" t="str">
        <f>+IFERROR(VLOOKUP(D724,Conceptos_Analítica_contraloría[#All],2,0),"")</f>
        <v/>
      </c>
      <c r="J724" s="84" t="str">
        <f>+IFERROR(VLOOKUP(D724,Conceptos_Analítica_contraloría[#All],3,0),"")</f>
        <v/>
      </c>
    </row>
    <row r="725" spans="3:10" ht="18.75" customHeight="1" x14ac:dyDescent="0.35">
      <c r="C725" s="100" t="str">
        <f>IF(OR(Fact_Analitica[[#This Row], [Año]]="",Fact_Analitica[[#This Row], [Mes]]=""),"",DATE(A725,MATCH(B725,{"enero","febrero","marzo","abril","mayo","junio","julio","agosto","septiembre","octubre","noviembre","diciembre"},0)+1,0))</f>
        <v/>
      </c>
      <c r="E725" t="str">
        <f>+IFERROR(VLOOKUP(Fact_Analitica[[#This Row], [Concepto Anterior]],Conceptos_Analítica_contraloría[#All],5,0),"")</f>
        <v/>
      </c>
      <c r="F725" t="str">
        <f>+IFERROR(VLOOKUP(Fact_Analitica[[#This Row], [Concepto Anterior]],Conceptos_Analítica_contraloría[#All],7,0),"")</f>
        <v/>
      </c>
      <c r="I725" t="str">
        <f>+IFERROR(VLOOKUP(D725,Conceptos_Analítica_contraloría[#All],2,0),"")</f>
        <v/>
      </c>
      <c r="J725" s="84" t="str">
        <f>+IFERROR(VLOOKUP(D725,Conceptos_Analítica_contraloría[#All],3,0),"")</f>
        <v/>
      </c>
    </row>
    <row r="726" spans="3:10" ht="18.75" customHeight="1" x14ac:dyDescent="0.35">
      <c r="C726" s="100" t="str">
        <f>IF(OR(Fact_Analitica[[#This Row], [Año]]="",Fact_Analitica[[#This Row], [Mes]]=""),"",DATE(A726,MATCH(B726,{"enero","febrero","marzo","abril","mayo","junio","julio","agosto","septiembre","octubre","noviembre","diciembre"},0)+1,0))</f>
        <v/>
      </c>
      <c r="E726" t="str">
        <f>+IFERROR(VLOOKUP(Fact_Analitica[[#This Row], [Concepto Anterior]],Conceptos_Analítica_contraloría[#All],5,0),"")</f>
        <v/>
      </c>
      <c r="F726" t="str">
        <f>+IFERROR(VLOOKUP(Fact_Analitica[[#This Row], [Concepto Anterior]],Conceptos_Analítica_contraloría[#All],7,0),"")</f>
        <v/>
      </c>
      <c r="I726" t="str">
        <f>+IFERROR(VLOOKUP(D726,Conceptos_Analítica_contraloría[#All],2,0),"")</f>
        <v/>
      </c>
      <c r="J726" s="84" t="str">
        <f>+IFERROR(VLOOKUP(D726,Conceptos_Analítica_contraloría[#All],3,0),"")</f>
        <v/>
      </c>
    </row>
    <row r="727" spans="3:10" ht="18.75" customHeight="1" x14ac:dyDescent="0.35">
      <c r="C727" s="100" t="str">
        <f>IF(OR(Fact_Analitica[[#This Row], [Año]]="",Fact_Analitica[[#This Row], [Mes]]=""),"",DATE(A727,MATCH(B727,{"enero","febrero","marzo","abril","mayo","junio","julio","agosto","septiembre","octubre","noviembre","diciembre"},0)+1,0))</f>
        <v/>
      </c>
      <c r="E727" t="str">
        <f>+IFERROR(VLOOKUP(Fact_Analitica[[#This Row], [Concepto Anterior]],Conceptos_Analítica_contraloría[#All],5,0),"")</f>
        <v/>
      </c>
      <c r="F727" t="str">
        <f>+IFERROR(VLOOKUP(Fact_Analitica[[#This Row], [Concepto Anterior]],Conceptos_Analítica_contraloría[#All],7,0),"")</f>
        <v/>
      </c>
      <c r="I727" t="str">
        <f>+IFERROR(VLOOKUP(D727,Conceptos_Analítica_contraloría[#All],2,0),"")</f>
        <v/>
      </c>
      <c r="J727" s="84" t="str">
        <f>+IFERROR(VLOOKUP(D727,Conceptos_Analítica_contraloría[#All],3,0),"")</f>
        <v/>
      </c>
    </row>
    <row r="728" spans="3:10" ht="18.75" customHeight="1" x14ac:dyDescent="0.35">
      <c r="C728" s="100" t="str">
        <f>IF(OR(Fact_Analitica[[#This Row], [Año]]="",Fact_Analitica[[#This Row], [Mes]]=""),"",DATE(A728,MATCH(B728,{"enero","febrero","marzo","abril","mayo","junio","julio","agosto","septiembre","octubre","noviembre","diciembre"},0)+1,0))</f>
        <v/>
      </c>
      <c r="E728" t="str">
        <f>+IFERROR(VLOOKUP(Fact_Analitica[[#This Row], [Concepto Anterior]],Conceptos_Analítica_contraloría[#All],5,0),"")</f>
        <v/>
      </c>
      <c r="F728" t="str">
        <f>+IFERROR(VLOOKUP(Fact_Analitica[[#This Row], [Concepto Anterior]],Conceptos_Analítica_contraloría[#All],7,0),"")</f>
        <v/>
      </c>
      <c r="I728" t="str">
        <f>+IFERROR(VLOOKUP(D728,Conceptos_Analítica_contraloría[#All],2,0),"")</f>
        <v/>
      </c>
      <c r="J728" s="84" t="str">
        <f>+IFERROR(VLOOKUP(D728,Conceptos_Analítica_contraloría[#All],3,0),"")</f>
        <v/>
      </c>
    </row>
    <row r="729" spans="3:10" ht="18.75" customHeight="1" x14ac:dyDescent="0.35">
      <c r="C729" s="100" t="str">
        <f>IF(OR(Fact_Analitica[[#This Row], [Año]]="",Fact_Analitica[[#This Row], [Mes]]=""),"",DATE(A729,MATCH(B729,{"enero","febrero","marzo","abril","mayo","junio","julio","agosto","septiembre","octubre","noviembre","diciembre"},0)+1,0))</f>
        <v/>
      </c>
      <c r="E729" t="str">
        <f>+IFERROR(VLOOKUP(Fact_Analitica[[#This Row], [Concepto Anterior]],Conceptos_Analítica_contraloría[#All],5,0),"")</f>
        <v/>
      </c>
      <c r="F729" t="str">
        <f>+IFERROR(VLOOKUP(Fact_Analitica[[#This Row], [Concepto Anterior]],Conceptos_Analítica_contraloría[#All],7,0),"")</f>
        <v/>
      </c>
      <c r="I729" t="str">
        <f>+IFERROR(VLOOKUP(D729,Conceptos_Analítica_contraloría[#All],2,0),"")</f>
        <v/>
      </c>
      <c r="J729" s="84" t="str">
        <f>+IFERROR(VLOOKUP(D729,Conceptos_Analítica_contraloría[#All],3,0),"")</f>
        <v/>
      </c>
    </row>
    <row r="730" spans="3:10" ht="18.75" customHeight="1" x14ac:dyDescent="0.35">
      <c r="C730" s="100" t="str">
        <f>IF(OR(Fact_Analitica[[#This Row], [Año]]="",Fact_Analitica[[#This Row], [Mes]]=""),"",DATE(A730,MATCH(B730,{"enero","febrero","marzo","abril","mayo","junio","julio","agosto","septiembre","octubre","noviembre","diciembre"},0)+1,0))</f>
        <v/>
      </c>
      <c r="E730" t="str">
        <f>+IFERROR(VLOOKUP(Fact_Analitica[[#This Row], [Concepto Anterior]],Conceptos_Analítica_contraloría[#All],5,0),"")</f>
        <v/>
      </c>
      <c r="F730" t="str">
        <f>+IFERROR(VLOOKUP(Fact_Analitica[[#This Row], [Concepto Anterior]],Conceptos_Analítica_contraloría[#All],7,0),"")</f>
        <v/>
      </c>
      <c r="I730" t="str">
        <f>+IFERROR(VLOOKUP(D730,Conceptos_Analítica_contraloría[#All],2,0),"")</f>
        <v/>
      </c>
      <c r="J730" s="84" t="str">
        <f>+IFERROR(VLOOKUP(D730,Conceptos_Analítica_contraloría[#All],3,0),"")</f>
        <v/>
      </c>
    </row>
    <row r="731" spans="3:10" ht="18.75" customHeight="1" x14ac:dyDescent="0.35">
      <c r="C731" s="100" t="str">
        <f>IF(OR(Fact_Analitica[[#This Row], [Año]]="",Fact_Analitica[[#This Row], [Mes]]=""),"",DATE(A731,MATCH(B731,{"enero","febrero","marzo","abril","mayo","junio","julio","agosto","septiembre","octubre","noviembre","diciembre"},0)+1,0))</f>
        <v/>
      </c>
      <c r="E731" t="str">
        <f>+IFERROR(VLOOKUP(Fact_Analitica[[#This Row], [Concepto Anterior]],Conceptos_Analítica_contraloría[#All],5,0),"")</f>
        <v/>
      </c>
      <c r="F731" t="str">
        <f>+IFERROR(VLOOKUP(Fact_Analitica[[#This Row], [Concepto Anterior]],Conceptos_Analítica_contraloría[#All],7,0),"")</f>
        <v/>
      </c>
      <c r="I731" t="str">
        <f>+IFERROR(VLOOKUP(D731,Conceptos_Analítica_contraloría[#All],2,0),"")</f>
        <v/>
      </c>
      <c r="J731" s="84" t="str">
        <f>+IFERROR(VLOOKUP(D731,Conceptos_Analítica_contraloría[#All],3,0),"")</f>
        <v/>
      </c>
    </row>
    <row r="732" spans="3:10" ht="18.75" customHeight="1" x14ac:dyDescent="0.35">
      <c r="C732" s="100" t="str">
        <f>IF(OR(Fact_Analitica[[#This Row], [Año]]="",Fact_Analitica[[#This Row], [Mes]]=""),"",DATE(A732,MATCH(B732,{"enero","febrero","marzo","abril","mayo","junio","julio","agosto","septiembre","octubre","noviembre","diciembre"},0)+1,0))</f>
        <v/>
      </c>
      <c r="E732" t="str">
        <f>+IFERROR(VLOOKUP(Fact_Analitica[[#This Row], [Concepto Anterior]],Conceptos_Analítica_contraloría[#All],5,0),"")</f>
        <v/>
      </c>
      <c r="F732" t="str">
        <f>+IFERROR(VLOOKUP(Fact_Analitica[[#This Row], [Concepto Anterior]],Conceptos_Analítica_contraloría[#All],7,0),"")</f>
        <v/>
      </c>
      <c r="I732" t="str">
        <f>+IFERROR(VLOOKUP(D732,Conceptos_Analítica_contraloría[#All],2,0),"")</f>
        <v/>
      </c>
      <c r="J732" s="84" t="str">
        <f>+IFERROR(VLOOKUP(D732,Conceptos_Analítica_contraloría[#All],3,0),"")</f>
        <v/>
      </c>
    </row>
    <row r="733" spans="3:10" ht="18.75" customHeight="1" x14ac:dyDescent="0.35">
      <c r="C733" s="100" t="str">
        <f>IF(OR(Fact_Analitica[[#This Row], [Año]]="",Fact_Analitica[[#This Row], [Mes]]=""),"",DATE(A733,MATCH(B733,{"enero","febrero","marzo","abril","mayo","junio","julio","agosto","septiembre","octubre","noviembre","diciembre"},0)+1,0))</f>
        <v/>
      </c>
      <c r="E733" t="str">
        <f>+IFERROR(VLOOKUP(Fact_Analitica[[#This Row], [Concepto Anterior]],Conceptos_Analítica_contraloría[#All],5,0),"")</f>
        <v/>
      </c>
      <c r="F733" t="str">
        <f>+IFERROR(VLOOKUP(Fact_Analitica[[#This Row], [Concepto Anterior]],Conceptos_Analítica_contraloría[#All],7,0),"")</f>
        <v/>
      </c>
      <c r="I733" t="str">
        <f>+IFERROR(VLOOKUP(D733,Conceptos_Analítica_contraloría[#All],2,0),"")</f>
        <v/>
      </c>
      <c r="J733" s="84" t="str">
        <f>+IFERROR(VLOOKUP(D733,Conceptos_Analítica_contraloría[#All],3,0),"")</f>
        <v/>
      </c>
    </row>
    <row r="734" spans="3:10" ht="18.75" customHeight="1" x14ac:dyDescent="0.35">
      <c r="C734" s="100" t="str">
        <f>IF(OR(Fact_Analitica[[#This Row], [Año]]="",Fact_Analitica[[#This Row], [Mes]]=""),"",DATE(A734,MATCH(B734,{"enero","febrero","marzo","abril","mayo","junio","julio","agosto","septiembre","octubre","noviembre","diciembre"},0)+1,0))</f>
        <v/>
      </c>
      <c r="E734" t="str">
        <f>+IFERROR(VLOOKUP(Fact_Analitica[[#This Row], [Concepto Anterior]],Conceptos_Analítica_contraloría[#All],5,0),"")</f>
        <v/>
      </c>
      <c r="F734" t="str">
        <f>+IFERROR(VLOOKUP(Fact_Analitica[[#This Row], [Concepto Anterior]],Conceptos_Analítica_contraloría[#All],7,0),"")</f>
        <v/>
      </c>
      <c r="I734" t="str">
        <f>+IFERROR(VLOOKUP(D734,Conceptos_Analítica_contraloría[#All],2,0),"")</f>
        <v/>
      </c>
      <c r="J734" s="84" t="str">
        <f>+IFERROR(VLOOKUP(D734,Conceptos_Analítica_contraloría[#All],3,0),"")</f>
        <v/>
      </c>
    </row>
    <row r="735" spans="3:10" ht="18.75" customHeight="1" x14ac:dyDescent="0.35">
      <c r="C735" s="100" t="str">
        <f>IF(OR(Fact_Analitica[[#This Row], [Año]]="",Fact_Analitica[[#This Row], [Mes]]=""),"",DATE(A735,MATCH(B735,{"enero","febrero","marzo","abril","mayo","junio","julio","agosto","septiembre","octubre","noviembre","diciembre"},0)+1,0))</f>
        <v/>
      </c>
      <c r="E735" t="str">
        <f>+IFERROR(VLOOKUP(Fact_Analitica[[#This Row], [Concepto Anterior]],Conceptos_Analítica_contraloría[#All],5,0),"")</f>
        <v/>
      </c>
      <c r="F735" t="str">
        <f>+IFERROR(VLOOKUP(Fact_Analitica[[#This Row], [Concepto Anterior]],Conceptos_Analítica_contraloría[#All],7,0),"")</f>
        <v/>
      </c>
      <c r="I735" t="str">
        <f>+IFERROR(VLOOKUP(D735,Conceptos_Analítica_contraloría[#All],2,0),"")</f>
        <v/>
      </c>
      <c r="J735" s="84" t="str">
        <f>+IFERROR(VLOOKUP(D735,Conceptos_Analítica_contraloría[#All],3,0),"")</f>
        <v/>
      </c>
    </row>
    <row r="736" spans="3:10" ht="18.75" customHeight="1" x14ac:dyDescent="0.35">
      <c r="C736" s="100" t="str">
        <f>IF(OR(Fact_Analitica[[#This Row], [Año]]="",Fact_Analitica[[#This Row], [Mes]]=""),"",DATE(A736,MATCH(B736,{"enero","febrero","marzo","abril","mayo","junio","julio","agosto","septiembre","octubre","noviembre","diciembre"},0)+1,0))</f>
        <v/>
      </c>
      <c r="E736" t="str">
        <f>+IFERROR(VLOOKUP(Fact_Analitica[[#This Row], [Concepto Anterior]],Conceptos_Analítica_contraloría[#All],5,0),"")</f>
        <v/>
      </c>
      <c r="F736" t="str">
        <f>+IFERROR(VLOOKUP(Fact_Analitica[[#This Row], [Concepto Anterior]],Conceptos_Analítica_contraloría[#All],7,0),"")</f>
        <v/>
      </c>
      <c r="I736" t="str">
        <f>+IFERROR(VLOOKUP(D736,Conceptos_Analítica_contraloría[#All],2,0),"")</f>
        <v/>
      </c>
      <c r="J736" s="84" t="str">
        <f>+IFERROR(VLOOKUP(D736,Conceptos_Analítica_contraloría[#All],3,0),"")</f>
        <v/>
      </c>
    </row>
    <row r="737" spans="3:10" ht="18.75" customHeight="1" x14ac:dyDescent="0.35">
      <c r="C737" s="100" t="str">
        <f>IF(OR(Fact_Analitica[[#This Row], [Año]]="",Fact_Analitica[[#This Row], [Mes]]=""),"",DATE(A737,MATCH(B737,{"enero","febrero","marzo","abril","mayo","junio","julio","agosto","septiembre","octubre","noviembre","diciembre"},0)+1,0))</f>
        <v/>
      </c>
      <c r="E737" t="str">
        <f>+IFERROR(VLOOKUP(Fact_Analitica[[#This Row], [Concepto Anterior]],Conceptos_Analítica_contraloría[#All],5,0),"")</f>
        <v/>
      </c>
      <c r="F737" t="str">
        <f>+IFERROR(VLOOKUP(Fact_Analitica[[#This Row], [Concepto Anterior]],Conceptos_Analítica_contraloría[#All],7,0),"")</f>
        <v/>
      </c>
      <c r="I737" t="str">
        <f>+IFERROR(VLOOKUP(D737,Conceptos_Analítica_contraloría[#All],2,0),"")</f>
        <v/>
      </c>
      <c r="J737" s="84" t="str">
        <f>+IFERROR(VLOOKUP(D737,Conceptos_Analítica_contraloría[#All],3,0),"")</f>
        <v/>
      </c>
    </row>
    <row r="738" spans="3:10" ht="18.75" customHeight="1" x14ac:dyDescent="0.35">
      <c r="C738" s="100" t="str">
        <f>IF(OR(Fact_Analitica[[#This Row], [Año]]="",Fact_Analitica[[#This Row], [Mes]]=""),"",DATE(A738,MATCH(B738,{"enero","febrero","marzo","abril","mayo","junio","julio","agosto","septiembre","octubre","noviembre","diciembre"},0)+1,0))</f>
        <v/>
      </c>
      <c r="E738" t="str">
        <f>+IFERROR(VLOOKUP(Fact_Analitica[[#This Row], [Concepto Anterior]],Conceptos_Analítica_contraloría[#All],5,0),"")</f>
        <v/>
      </c>
      <c r="F738" t="str">
        <f>+IFERROR(VLOOKUP(Fact_Analitica[[#This Row], [Concepto Anterior]],Conceptos_Analítica_contraloría[#All],7,0),"")</f>
        <v/>
      </c>
      <c r="I738" t="str">
        <f>+IFERROR(VLOOKUP(D738,Conceptos_Analítica_contraloría[#All],2,0),"")</f>
        <v/>
      </c>
      <c r="J738" s="84" t="str">
        <f>+IFERROR(VLOOKUP(D738,Conceptos_Analítica_contraloría[#All],3,0),"")</f>
        <v/>
      </c>
    </row>
    <row r="739" spans="3:10" ht="18.75" customHeight="1" x14ac:dyDescent="0.35">
      <c r="C739" s="100" t="str">
        <f>IF(OR(Fact_Analitica[[#This Row], [Año]]="",Fact_Analitica[[#This Row], [Mes]]=""),"",DATE(A739,MATCH(B739,{"enero","febrero","marzo","abril","mayo","junio","julio","agosto","septiembre","octubre","noviembre","diciembre"},0)+1,0))</f>
        <v/>
      </c>
      <c r="E739" t="str">
        <f>+IFERROR(VLOOKUP(Fact_Analitica[[#This Row], [Concepto Anterior]],Conceptos_Analítica_contraloría[#All],5,0),"")</f>
        <v/>
      </c>
      <c r="F739" t="str">
        <f>+IFERROR(VLOOKUP(Fact_Analitica[[#This Row], [Concepto Anterior]],Conceptos_Analítica_contraloría[#All],7,0),"")</f>
        <v/>
      </c>
      <c r="I739" t="str">
        <f>+IFERROR(VLOOKUP(D739,Conceptos_Analítica_contraloría[#All],2,0),"")</f>
        <v/>
      </c>
      <c r="J739" s="84" t="str">
        <f>+IFERROR(VLOOKUP(D739,Conceptos_Analítica_contraloría[#All],3,0),"")</f>
        <v/>
      </c>
    </row>
    <row r="740" spans="3:10" ht="18.75" customHeight="1" x14ac:dyDescent="0.35">
      <c r="C740" s="100" t="str">
        <f>IF(OR(Fact_Analitica[[#This Row], [Año]]="",Fact_Analitica[[#This Row], [Mes]]=""),"",DATE(A740,MATCH(B740,{"enero","febrero","marzo","abril","mayo","junio","julio","agosto","septiembre","octubre","noviembre","diciembre"},0)+1,0))</f>
        <v/>
      </c>
      <c r="E740" t="str">
        <f>+IFERROR(VLOOKUP(Fact_Analitica[[#This Row], [Concepto Anterior]],Conceptos_Analítica_contraloría[#All],5,0),"")</f>
        <v/>
      </c>
      <c r="F740" t="str">
        <f>+IFERROR(VLOOKUP(Fact_Analitica[[#This Row], [Concepto Anterior]],Conceptos_Analítica_contraloría[#All],7,0),"")</f>
        <v/>
      </c>
      <c r="I740" t="str">
        <f>+IFERROR(VLOOKUP(D740,Conceptos_Analítica_contraloría[#All],2,0),"")</f>
        <v/>
      </c>
      <c r="J740" s="84" t="str">
        <f>+IFERROR(VLOOKUP(D740,Conceptos_Analítica_contraloría[#All],3,0),"")</f>
        <v/>
      </c>
    </row>
    <row r="741" spans="3:10" ht="18.75" customHeight="1" x14ac:dyDescent="0.35">
      <c r="C741" s="100" t="str">
        <f>IF(OR(Fact_Analitica[[#This Row], [Año]]="",Fact_Analitica[[#This Row], [Mes]]=""),"",DATE(A741,MATCH(B741,{"enero","febrero","marzo","abril","mayo","junio","julio","agosto","septiembre","octubre","noviembre","diciembre"},0)+1,0))</f>
        <v/>
      </c>
      <c r="E741" t="str">
        <f>+IFERROR(VLOOKUP(Fact_Analitica[[#This Row], [Concepto Anterior]],Conceptos_Analítica_contraloría[#All],5,0),"")</f>
        <v/>
      </c>
      <c r="F741" t="str">
        <f>+IFERROR(VLOOKUP(Fact_Analitica[[#This Row], [Concepto Anterior]],Conceptos_Analítica_contraloría[#All],7,0),"")</f>
        <v/>
      </c>
      <c r="I741" t="str">
        <f>+IFERROR(VLOOKUP(D741,Conceptos_Analítica_contraloría[#All],2,0),"")</f>
        <v/>
      </c>
      <c r="J741" s="84" t="str">
        <f>+IFERROR(VLOOKUP(D741,Conceptos_Analítica_contraloría[#All],3,0),"")</f>
        <v/>
      </c>
    </row>
    <row r="742" spans="3:10" ht="18.75" customHeight="1" x14ac:dyDescent="0.35">
      <c r="C742" s="100" t="str">
        <f>IF(OR(Fact_Analitica[[#This Row], [Año]]="",Fact_Analitica[[#This Row], [Mes]]=""),"",DATE(A742,MATCH(B742,{"enero","febrero","marzo","abril","mayo","junio","julio","agosto","septiembre","octubre","noviembre","diciembre"},0)+1,0))</f>
        <v/>
      </c>
      <c r="E742" t="str">
        <f>+IFERROR(VLOOKUP(Fact_Analitica[[#This Row], [Concepto Anterior]],Conceptos_Analítica_contraloría[#All],5,0),"")</f>
        <v/>
      </c>
      <c r="F742" t="str">
        <f>+IFERROR(VLOOKUP(Fact_Analitica[[#This Row], [Concepto Anterior]],Conceptos_Analítica_contraloría[#All],7,0),"")</f>
        <v/>
      </c>
      <c r="I742" t="str">
        <f>+IFERROR(VLOOKUP(D742,Conceptos_Analítica_contraloría[#All],2,0),"")</f>
        <v/>
      </c>
      <c r="J742" s="84" t="str">
        <f>+IFERROR(VLOOKUP(D742,Conceptos_Analítica_contraloría[#All],3,0),"")</f>
        <v/>
      </c>
    </row>
    <row r="743" spans="3:10" ht="18.75" customHeight="1" x14ac:dyDescent="0.35">
      <c r="C743" s="100" t="str">
        <f>IF(OR(Fact_Analitica[[#This Row], [Año]]="",Fact_Analitica[[#This Row], [Mes]]=""),"",DATE(A743,MATCH(B743,{"enero","febrero","marzo","abril","mayo","junio","julio","agosto","septiembre","octubre","noviembre","diciembre"},0)+1,0))</f>
        <v/>
      </c>
      <c r="E743" t="str">
        <f>+IFERROR(VLOOKUP(Fact_Analitica[[#This Row], [Concepto Anterior]],Conceptos_Analítica_contraloría[#All],5,0),"")</f>
        <v/>
      </c>
      <c r="F743" t="str">
        <f>+IFERROR(VLOOKUP(Fact_Analitica[[#This Row], [Concepto Anterior]],Conceptos_Analítica_contraloría[#All],7,0),"")</f>
        <v/>
      </c>
      <c r="I743" t="str">
        <f>+IFERROR(VLOOKUP(D743,Conceptos_Analítica_contraloría[#All],2,0),"")</f>
        <v/>
      </c>
      <c r="J743" s="84" t="str">
        <f>+IFERROR(VLOOKUP(D743,Conceptos_Analítica_contraloría[#All],3,0),"")</f>
        <v/>
      </c>
    </row>
    <row r="744" spans="3:10" ht="18.75" customHeight="1" x14ac:dyDescent="0.35">
      <c r="C744" s="100" t="str">
        <f>IF(OR(Fact_Analitica[[#This Row], [Año]]="",Fact_Analitica[[#This Row], [Mes]]=""),"",DATE(A744,MATCH(B744,{"enero","febrero","marzo","abril","mayo","junio","julio","agosto","septiembre","octubre","noviembre","diciembre"},0)+1,0))</f>
        <v/>
      </c>
      <c r="E744" t="str">
        <f>+IFERROR(VLOOKUP(Fact_Analitica[[#This Row], [Concepto Anterior]],Conceptos_Analítica_contraloría[#All],5,0),"")</f>
        <v/>
      </c>
      <c r="F744" t="str">
        <f>+IFERROR(VLOOKUP(Fact_Analitica[[#This Row], [Concepto Anterior]],Conceptos_Analítica_contraloría[#All],7,0),"")</f>
        <v/>
      </c>
      <c r="I744" t="str">
        <f>+IFERROR(VLOOKUP(D744,Conceptos_Analítica_contraloría[#All],2,0),"")</f>
        <v/>
      </c>
      <c r="J744" s="84" t="str">
        <f>+IFERROR(VLOOKUP(D744,Conceptos_Analítica_contraloría[#All],3,0),"")</f>
        <v/>
      </c>
    </row>
    <row r="745" spans="3:10" ht="18.75" customHeight="1" x14ac:dyDescent="0.35">
      <c r="C745" s="100" t="str">
        <f>IF(OR(Fact_Analitica[[#This Row], [Año]]="",Fact_Analitica[[#This Row], [Mes]]=""),"",DATE(A745,MATCH(B745,{"enero","febrero","marzo","abril","mayo","junio","julio","agosto","septiembre","octubre","noviembre","diciembre"},0)+1,0))</f>
        <v/>
      </c>
      <c r="E745" t="str">
        <f>+IFERROR(VLOOKUP(Fact_Analitica[[#This Row], [Concepto Anterior]],Conceptos_Analítica_contraloría[#All],5,0),"")</f>
        <v/>
      </c>
      <c r="F745" t="str">
        <f>+IFERROR(VLOOKUP(Fact_Analitica[[#This Row], [Concepto Anterior]],Conceptos_Analítica_contraloría[#All],7,0),"")</f>
        <v/>
      </c>
      <c r="I745" t="str">
        <f>+IFERROR(VLOOKUP(D745,Conceptos_Analítica_contraloría[#All],2,0),"")</f>
        <v/>
      </c>
      <c r="J745" s="84" t="str">
        <f>+IFERROR(VLOOKUP(D745,Conceptos_Analítica_contraloría[#All],3,0),"")</f>
        <v/>
      </c>
    </row>
    <row r="746" spans="3:10" ht="18.75" customHeight="1" x14ac:dyDescent="0.35">
      <c r="C746" s="100" t="str">
        <f>IF(OR(Fact_Analitica[[#This Row], [Año]]="",Fact_Analitica[[#This Row], [Mes]]=""),"",DATE(A746,MATCH(B746,{"enero","febrero","marzo","abril","mayo","junio","julio","agosto","septiembre","octubre","noviembre","diciembre"},0)+1,0))</f>
        <v/>
      </c>
      <c r="E746" t="str">
        <f>+IFERROR(VLOOKUP(Fact_Analitica[[#This Row], [Concepto Anterior]],Conceptos_Analítica_contraloría[#All],5,0),"")</f>
        <v/>
      </c>
      <c r="F746" t="str">
        <f>+IFERROR(VLOOKUP(Fact_Analitica[[#This Row], [Concepto Anterior]],Conceptos_Analítica_contraloría[#All],7,0),"")</f>
        <v/>
      </c>
      <c r="I746" t="str">
        <f>+IFERROR(VLOOKUP(D746,Conceptos_Analítica_contraloría[#All],2,0),"")</f>
        <v/>
      </c>
      <c r="J746" s="84" t="str">
        <f>+IFERROR(VLOOKUP(D746,Conceptos_Analítica_contraloría[#All],3,0),"")</f>
        <v/>
      </c>
    </row>
    <row r="747" spans="3:10" ht="18.75" customHeight="1" x14ac:dyDescent="0.35">
      <c r="C747" s="100" t="str">
        <f>IF(OR(Fact_Analitica[[#This Row], [Año]]="",Fact_Analitica[[#This Row], [Mes]]=""),"",DATE(A747,MATCH(B747,{"enero","febrero","marzo","abril","mayo","junio","julio","agosto","septiembre","octubre","noviembre","diciembre"},0)+1,0))</f>
        <v/>
      </c>
      <c r="E747" t="str">
        <f>+IFERROR(VLOOKUP(Fact_Analitica[[#This Row], [Concepto Anterior]],Conceptos_Analítica_contraloría[#All],5,0),"")</f>
        <v/>
      </c>
      <c r="F747" t="str">
        <f>+IFERROR(VLOOKUP(Fact_Analitica[[#This Row], [Concepto Anterior]],Conceptos_Analítica_contraloría[#All],7,0),"")</f>
        <v/>
      </c>
      <c r="I747" t="str">
        <f>+IFERROR(VLOOKUP(D747,Conceptos_Analítica_contraloría[#All],2,0),"")</f>
        <v/>
      </c>
      <c r="J747" s="84" t="str">
        <f>+IFERROR(VLOOKUP(D747,Conceptos_Analítica_contraloría[#All],3,0),"")</f>
        <v/>
      </c>
    </row>
    <row r="748" spans="3:10" ht="18.75" customHeight="1" x14ac:dyDescent="0.35">
      <c r="C748" s="100" t="str">
        <f>IF(OR(Fact_Analitica[[#This Row], [Año]]="",Fact_Analitica[[#This Row], [Mes]]=""),"",DATE(A748,MATCH(B748,{"enero","febrero","marzo","abril","mayo","junio","julio","agosto","septiembre","octubre","noviembre","diciembre"},0)+1,0))</f>
        <v/>
      </c>
      <c r="E748" t="str">
        <f>+IFERROR(VLOOKUP(Fact_Analitica[[#This Row], [Concepto Anterior]],Conceptos_Analítica_contraloría[#All],5,0),"")</f>
        <v/>
      </c>
      <c r="F748" t="str">
        <f>+IFERROR(VLOOKUP(Fact_Analitica[[#This Row], [Concepto Anterior]],Conceptos_Analítica_contraloría[#All],7,0),"")</f>
        <v/>
      </c>
      <c r="I748" t="str">
        <f>+IFERROR(VLOOKUP(D748,Conceptos_Analítica_contraloría[#All],2,0),"")</f>
        <v/>
      </c>
      <c r="J748" s="84" t="str">
        <f>+IFERROR(VLOOKUP(D748,Conceptos_Analítica_contraloría[#All],3,0),"")</f>
        <v/>
      </c>
    </row>
    <row r="749" spans="3:10" ht="18.75" customHeight="1" x14ac:dyDescent="0.35">
      <c r="C749" s="100" t="str">
        <f>IF(OR(Fact_Analitica[[#This Row], [Año]]="",Fact_Analitica[[#This Row], [Mes]]=""),"",DATE(A749,MATCH(B749,{"enero","febrero","marzo","abril","mayo","junio","julio","agosto","septiembre","octubre","noviembre","diciembre"},0)+1,0))</f>
        <v/>
      </c>
      <c r="E749" t="str">
        <f>+IFERROR(VLOOKUP(Fact_Analitica[[#This Row], [Concepto Anterior]],Conceptos_Analítica_contraloría[#All],5,0),"")</f>
        <v/>
      </c>
      <c r="F749" t="str">
        <f>+IFERROR(VLOOKUP(Fact_Analitica[[#This Row], [Concepto Anterior]],Conceptos_Analítica_contraloría[#All],7,0),"")</f>
        <v/>
      </c>
      <c r="I749" t="str">
        <f>+IFERROR(VLOOKUP(D749,Conceptos_Analítica_contraloría[#All],2,0),"")</f>
        <v/>
      </c>
      <c r="J749" s="84" t="str">
        <f>+IFERROR(VLOOKUP(D749,Conceptos_Analítica_contraloría[#All],3,0),"")</f>
        <v/>
      </c>
    </row>
    <row r="750" spans="3:10" ht="18.75" customHeight="1" x14ac:dyDescent="0.35">
      <c r="C750" s="100" t="str">
        <f>IF(OR(Fact_Analitica[[#This Row], [Año]]="",Fact_Analitica[[#This Row], [Mes]]=""),"",DATE(A750,MATCH(B750,{"enero","febrero","marzo","abril","mayo","junio","julio","agosto","septiembre","octubre","noviembre","diciembre"},0)+1,0))</f>
        <v/>
      </c>
      <c r="E750" t="str">
        <f>+IFERROR(VLOOKUP(Fact_Analitica[[#This Row], [Concepto Anterior]],Conceptos_Analítica_contraloría[#All],5,0),"")</f>
        <v/>
      </c>
      <c r="F750" t="str">
        <f>+IFERROR(VLOOKUP(Fact_Analitica[[#This Row], [Concepto Anterior]],Conceptos_Analítica_contraloría[#All],7,0),"")</f>
        <v/>
      </c>
      <c r="I750" t="str">
        <f>+IFERROR(VLOOKUP(D750,Conceptos_Analítica_contraloría[#All],2,0),"")</f>
        <v/>
      </c>
      <c r="J750" s="84" t="str">
        <f>+IFERROR(VLOOKUP(D750,Conceptos_Analítica_contraloría[#All],3,0),"")</f>
        <v/>
      </c>
    </row>
    <row r="751" spans="3:10" ht="18.75" customHeight="1" x14ac:dyDescent="0.35">
      <c r="C751" s="100" t="str">
        <f>IF(OR(Fact_Analitica[[#This Row], [Año]]="",Fact_Analitica[[#This Row], [Mes]]=""),"",DATE(A751,MATCH(B751,{"enero","febrero","marzo","abril","mayo","junio","julio","agosto","septiembre","octubre","noviembre","diciembre"},0)+1,0))</f>
        <v/>
      </c>
      <c r="E751" t="str">
        <f>+IFERROR(VLOOKUP(Fact_Analitica[[#This Row], [Concepto Anterior]],Conceptos_Analítica_contraloría[#All],5,0),"")</f>
        <v/>
      </c>
      <c r="F751" t="str">
        <f>+IFERROR(VLOOKUP(Fact_Analitica[[#This Row], [Concepto Anterior]],Conceptos_Analítica_contraloría[#All],7,0),"")</f>
        <v/>
      </c>
      <c r="I751" t="str">
        <f>+IFERROR(VLOOKUP(D751,Conceptos_Analítica_contraloría[#All],2,0),"")</f>
        <v/>
      </c>
      <c r="J751" s="84" t="str">
        <f>+IFERROR(VLOOKUP(D751,Conceptos_Analítica_contraloría[#All],3,0),"")</f>
        <v/>
      </c>
    </row>
    <row r="752" spans="3:10" ht="18.75" customHeight="1" x14ac:dyDescent="0.35">
      <c r="C752" s="100" t="str">
        <f>IF(OR(Fact_Analitica[[#This Row], [Año]]="",Fact_Analitica[[#This Row], [Mes]]=""),"",DATE(A752,MATCH(B752,{"enero","febrero","marzo","abril","mayo","junio","julio","agosto","septiembre","octubre","noviembre","diciembre"},0)+1,0))</f>
        <v/>
      </c>
      <c r="E752" t="str">
        <f>+IFERROR(VLOOKUP(Fact_Analitica[[#This Row], [Concepto Anterior]],Conceptos_Analítica_contraloría[#All],5,0),"")</f>
        <v/>
      </c>
      <c r="F752" t="str">
        <f>+IFERROR(VLOOKUP(Fact_Analitica[[#This Row], [Concepto Anterior]],Conceptos_Analítica_contraloría[#All],7,0),"")</f>
        <v/>
      </c>
      <c r="I752" t="str">
        <f>+IFERROR(VLOOKUP(D752,Conceptos_Analítica_contraloría[#All],2,0),"")</f>
        <v/>
      </c>
      <c r="J752" s="84" t="str">
        <f>+IFERROR(VLOOKUP(D752,Conceptos_Analítica_contraloría[#All],3,0),"")</f>
        <v/>
      </c>
    </row>
    <row r="753" spans="3:10" ht="18.75" customHeight="1" x14ac:dyDescent="0.35">
      <c r="C753" s="100" t="str">
        <f>IF(OR(Fact_Analitica[[#This Row], [Año]]="",Fact_Analitica[[#This Row], [Mes]]=""),"",DATE(A753,MATCH(B753,{"enero","febrero","marzo","abril","mayo","junio","julio","agosto","septiembre","octubre","noviembre","diciembre"},0)+1,0))</f>
        <v/>
      </c>
      <c r="E753" t="str">
        <f>+IFERROR(VLOOKUP(Fact_Analitica[[#This Row], [Concepto Anterior]],Conceptos_Analítica_contraloría[#All],5,0),"")</f>
        <v/>
      </c>
      <c r="F753" t="str">
        <f>+IFERROR(VLOOKUP(Fact_Analitica[[#This Row], [Concepto Anterior]],Conceptos_Analítica_contraloría[#All],7,0),"")</f>
        <v/>
      </c>
      <c r="I753" t="str">
        <f>+IFERROR(VLOOKUP(D753,Conceptos_Analítica_contraloría[#All],2,0),"")</f>
        <v/>
      </c>
      <c r="J753" s="84" t="str">
        <f>+IFERROR(VLOOKUP(D753,Conceptos_Analítica_contraloría[#All],3,0),"")</f>
        <v/>
      </c>
    </row>
    <row r="754" spans="3:10" ht="18.75" customHeight="1" x14ac:dyDescent="0.35">
      <c r="C754" s="100" t="str">
        <f>IF(OR(Fact_Analitica[[#This Row], [Año]]="",Fact_Analitica[[#This Row], [Mes]]=""),"",DATE(A754,MATCH(B754,{"enero","febrero","marzo","abril","mayo","junio","julio","agosto","septiembre","octubre","noviembre","diciembre"},0)+1,0))</f>
        <v/>
      </c>
      <c r="E754" t="str">
        <f>+IFERROR(VLOOKUP(Fact_Analitica[[#This Row], [Concepto Anterior]],Conceptos_Analítica_contraloría[#All],5,0),"")</f>
        <v/>
      </c>
      <c r="F754" t="str">
        <f>+IFERROR(VLOOKUP(Fact_Analitica[[#This Row], [Concepto Anterior]],Conceptos_Analítica_contraloría[#All],7,0),"")</f>
        <v/>
      </c>
      <c r="I754" t="str">
        <f>+IFERROR(VLOOKUP(D754,Conceptos_Analítica_contraloría[#All],2,0),"")</f>
        <v/>
      </c>
      <c r="J754" s="84" t="str">
        <f>+IFERROR(VLOOKUP(D754,Conceptos_Analítica_contraloría[#All],3,0),"")</f>
        <v/>
      </c>
    </row>
    <row r="755" spans="3:10" ht="18.75" customHeight="1" x14ac:dyDescent="0.35">
      <c r="C755" s="100" t="str">
        <f>IF(OR(Fact_Analitica[[#This Row], [Año]]="",Fact_Analitica[[#This Row], [Mes]]=""),"",DATE(A755,MATCH(B755,{"enero","febrero","marzo","abril","mayo","junio","julio","agosto","septiembre","octubre","noviembre","diciembre"},0)+1,0))</f>
        <v/>
      </c>
      <c r="E755" t="str">
        <f>+IFERROR(VLOOKUP(Fact_Analitica[[#This Row], [Concepto Anterior]],Conceptos_Analítica_contraloría[#All],5,0),"")</f>
        <v/>
      </c>
      <c r="F755" t="str">
        <f>+IFERROR(VLOOKUP(Fact_Analitica[[#This Row], [Concepto Anterior]],Conceptos_Analítica_contraloría[#All],7,0),"")</f>
        <v/>
      </c>
      <c r="I755" t="str">
        <f>+IFERROR(VLOOKUP(D755,Conceptos_Analítica_contraloría[#All],2,0),"")</f>
        <v/>
      </c>
      <c r="J755" s="84" t="str">
        <f>+IFERROR(VLOOKUP(D755,Conceptos_Analítica_contraloría[#All],3,0),"")</f>
        <v/>
      </c>
    </row>
    <row r="756" spans="3:10" ht="18.75" customHeight="1" x14ac:dyDescent="0.35">
      <c r="C756" s="100" t="str">
        <f>IF(OR(Fact_Analitica[[#This Row], [Año]]="",Fact_Analitica[[#This Row], [Mes]]=""),"",DATE(A756,MATCH(B756,{"enero","febrero","marzo","abril","mayo","junio","julio","agosto","septiembre","octubre","noviembre","diciembre"},0)+1,0))</f>
        <v/>
      </c>
      <c r="E756" t="str">
        <f>+IFERROR(VLOOKUP(Fact_Analitica[[#This Row], [Concepto Anterior]],Conceptos_Analítica_contraloría[#All],5,0),"")</f>
        <v/>
      </c>
      <c r="F756" t="str">
        <f>+IFERROR(VLOOKUP(Fact_Analitica[[#This Row], [Concepto Anterior]],Conceptos_Analítica_contraloría[#All],7,0),"")</f>
        <v/>
      </c>
      <c r="I756" t="str">
        <f>+IFERROR(VLOOKUP(D756,Conceptos_Analítica_contraloría[#All],2,0),"")</f>
        <v/>
      </c>
      <c r="J756" s="84" t="str">
        <f>+IFERROR(VLOOKUP(D756,Conceptos_Analítica_contraloría[#All],3,0),"")</f>
        <v/>
      </c>
    </row>
    <row r="757" spans="3:10" ht="18.75" customHeight="1" x14ac:dyDescent="0.35">
      <c r="C757" s="100" t="str">
        <f>IF(OR(Fact_Analitica[[#This Row], [Año]]="",Fact_Analitica[[#This Row], [Mes]]=""),"",DATE(A757,MATCH(B757,{"enero","febrero","marzo","abril","mayo","junio","julio","agosto","septiembre","octubre","noviembre","diciembre"},0)+1,0))</f>
        <v/>
      </c>
      <c r="E757" t="str">
        <f>+IFERROR(VLOOKUP(Fact_Analitica[[#This Row], [Concepto Anterior]],Conceptos_Analítica_contraloría[#All],5,0),"")</f>
        <v/>
      </c>
      <c r="F757" t="str">
        <f>+IFERROR(VLOOKUP(Fact_Analitica[[#This Row], [Concepto Anterior]],Conceptos_Analítica_contraloría[#All],7,0),"")</f>
        <v/>
      </c>
      <c r="I757" t="str">
        <f>+IFERROR(VLOOKUP(D757,Conceptos_Analítica_contraloría[#All],2,0),"")</f>
        <v/>
      </c>
      <c r="J757" s="84" t="str">
        <f>+IFERROR(VLOOKUP(D757,Conceptos_Analítica_contraloría[#All],3,0),"")</f>
        <v/>
      </c>
    </row>
    <row r="758" spans="3:10" ht="18.75" customHeight="1" x14ac:dyDescent="0.35">
      <c r="C758" s="100" t="str">
        <f>IF(OR(Fact_Analitica[[#This Row], [Año]]="",Fact_Analitica[[#This Row], [Mes]]=""),"",DATE(A758,MATCH(B758,{"enero","febrero","marzo","abril","mayo","junio","julio","agosto","septiembre","octubre","noviembre","diciembre"},0)+1,0))</f>
        <v/>
      </c>
      <c r="E758" t="str">
        <f>+IFERROR(VLOOKUP(Fact_Analitica[[#This Row], [Concepto Anterior]],Conceptos_Analítica_contraloría[#All],5,0),"")</f>
        <v/>
      </c>
      <c r="F758" t="str">
        <f>+IFERROR(VLOOKUP(Fact_Analitica[[#This Row], [Concepto Anterior]],Conceptos_Analítica_contraloría[#All],7,0),"")</f>
        <v/>
      </c>
      <c r="I758" t="str">
        <f>+IFERROR(VLOOKUP(D758,Conceptos_Analítica_contraloría[#All],2,0),"")</f>
        <v/>
      </c>
      <c r="J758" s="84" t="str">
        <f>+IFERROR(VLOOKUP(D758,Conceptos_Analítica_contraloría[#All],3,0),"")</f>
        <v/>
      </c>
    </row>
    <row r="759" spans="3:10" ht="18.75" customHeight="1" x14ac:dyDescent="0.35">
      <c r="C759" s="100" t="str">
        <f>IF(OR(Fact_Analitica[[#This Row], [Año]]="",Fact_Analitica[[#This Row], [Mes]]=""),"",DATE(A759,MATCH(B759,{"enero","febrero","marzo","abril","mayo","junio","julio","agosto","septiembre","octubre","noviembre","diciembre"},0)+1,0))</f>
        <v/>
      </c>
      <c r="E759" t="str">
        <f>+IFERROR(VLOOKUP(Fact_Analitica[[#This Row], [Concepto Anterior]],Conceptos_Analítica_contraloría[#All],5,0),"")</f>
        <v/>
      </c>
      <c r="F759" t="str">
        <f>+IFERROR(VLOOKUP(Fact_Analitica[[#This Row], [Concepto Anterior]],Conceptos_Analítica_contraloría[#All],7,0),"")</f>
        <v/>
      </c>
      <c r="I759" t="str">
        <f>+IFERROR(VLOOKUP(D759,Conceptos_Analítica_contraloría[#All],2,0),"")</f>
        <v/>
      </c>
      <c r="J759" s="84" t="str">
        <f>+IFERROR(VLOOKUP(D759,Conceptos_Analítica_contraloría[#All],3,0),"")</f>
        <v/>
      </c>
    </row>
    <row r="760" spans="3:10" ht="18.75" customHeight="1" x14ac:dyDescent="0.35">
      <c r="C760" s="100" t="str">
        <f>IF(OR(Fact_Analitica[[#This Row], [Año]]="",Fact_Analitica[[#This Row], [Mes]]=""),"",DATE(A760,MATCH(B760,{"enero","febrero","marzo","abril","mayo","junio","julio","agosto","septiembre","octubre","noviembre","diciembre"},0)+1,0))</f>
        <v/>
      </c>
      <c r="E760" t="str">
        <f>+IFERROR(VLOOKUP(Fact_Analitica[[#This Row], [Concepto Anterior]],Conceptos_Analítica_contraloría[#All],5,0),"")</f>
        <v/>
      </c>
      <c r="F760" t="str">
        <f>+IFERROR(VLOOKUP(Fact_Analitica[[#This Row], [Concepto Anterior]],Conceptos_Analítica_contraloría[#All],7,0),"")</f>
        <v/>
      </c>
      <c r="I760" t="str">
        <f>+IFERROR(VLOOKUP(D760,Conceptos_Analítica_contraloría[#All],2,0),"")</f>
        <v/>
      </c>
      <c r="J760" s="84" t="str">
        <f>+IFERROR(VLOOKUP(D760,Conceptos_Analítica_contraloría[#All],3,0),"")</f>
        <v/>
      </c>
    </row>
    <row r="761" spans="3:10" ht="18.75" customHeight="1" x14ac:dyDescent="0.35">
      <c r="C761" s="100" t="str">
        <f>IF(OR(Fact_Analitica[[#This Row], [Año]]="",Fact_Analitica[[#This Row], [Mes]]=""),"",DATE(A761,MATCH(B761,{"enero","febrero","marzo","abril","mayo","junio","julio","agosto","septiembre","octubre","noviembre","diciembre"},0)+1,0))</f>
        <v/>
      </c>
      <c r="E761" t="str">
        <f>+IFERROR(VLOOKUP(Fact_Analitica[[#This Row], [Concepto Anterior]],Conceptos_Analítica_contraloría[#All],5,0),"")</f>
        <v/>
      </c>
      <c r="F761" t="str">
        <f>+IFERROR(VLOOKUP(Fact_Analitica[[#This Row], [Concepto Anterior]],Conceptos_Analítica_contraloría[#All],7,0),"")</f>
        <v/>
      </c>
      <c r="I761" t="str">
        <f>+IFERROR(VLOOKUP(D761,Conceptos_Analítica_contraloría[#All],2,0),"")</f>
        <v/>
      </c>
      <c r="J761" s="84" t="str">
        <f>+IFERROR(VLOOKUP(D761,Conceptos_Analítica_contraloría[#All],3,0),"")</f>
        <v/>
      </c>
    </row>
    <row r="762" spans="3:10" ht="18.75" customHeight="1" x14ac:dyDescent="0.35">
      <c r="C762" s="100" t="str">
        <f>IF(OR(Fact_Analitica[[#This Row], [Año]]="",Fact_Analitica[[#This Row], [Mes]]=""),"",DATE(A762,MATCH(B762,{"enero","febrero","marzo","abril","mayo","junio","julio","agosto","septiembre","octubre","noviembre","diciembre"},0)+1,0))</f>
        <v/>
      </c>
      <c r="E762" t="str">
        <f>+IFERROR(VLOOKUP(Fact_Analitica[[#This Row], [Concepto Anterior]],Conceptos_Analítica_contraloría[#All],5,0),"")</f>
        <v/>
      </c>
      <c r="F762" t="str">
        <f>+IFERROR(VLOOKUP(Fact_Analitica[[#This Row], [Concepto Anterior]],Conceptos_Analítica_contraloría[#All],7,0),"")</f>
        <v/>
      </c>
      <c r="I762" t="str">
        <f>+IFERROR(VLOOKUP(D762,Conceptos_Analítica_contraloría[#All],2,0),"")</f>
        <v/>
      </c>
      <c r="J762" s="84" t="str">
        <f>+IFERROR(VLOOKUP(D762,Conceptos_Analítica_contraloría[#All],3,0),"")</f>
        <v/>
      </c>
    </row>
    <row r="763" spans="3:10" ht="18.75" customHeight="1" x14ac:dyDescent="0.35">
      <c r="C763" s="100" t="str">
        <f>IF(OR(Fact_Analitica[[#This Row], [Año]]="",Fact_Analitica[[#This Row], [Mes]]=""),"",DATE(A763,MATCH(B763,{"enero","febrero","marzo","abril","mayo","junio","julio","agosto","septiembre","octubre","noviembre","diciembre"},0)+1,0))</f>
        <v/>
      </c>
      <c r="E763" t="str">
        <f>+IFERROR(VLOOKUP(Fact_Analitica[[#This Row], [Concepto Anterior]],Conceptos_Analítica_contraloría[#All],5,0),"")</f>
        <v/>
      </c>
      <c r="F763" t="str">
        <f>+IFERROR(VLOOKUP(Fact_Analitica[[#This Row], [Concepto Anterior]],Conceptos_Analítica_contraloría[#All],7,0),"")</f>
        <v/>
      </c>
      <c r="I763" t="str">
        <f>+IFERROR(VLOOKUP(D763,Conceptos_Analítica_contraloría[#All],2,0),"")</f>
        <v/>
      </c>
      <c r="J763" s="84" t="str">
        <f>+IFERROR(VLOOKUP(D763,Conceptos_Analítica_contraloría[#All],3,0),"")</f>
        <v/>
      </c>
    </row>
    <row r="764" spans="3:10" ht="18.75" customHeight="1" x14ac:dyDescent="0.35">
      <c r="C764" s="100" t="str">
        <f>IF(OR(Fact_Analitica[[#This Row], [Año]]="",Fact_Analitica[[#This Row], [Mes]]=""),"",DATE(A764,MATCH(B764,{"enero","febrero","marzo","abril","mayo","junio","julio","agosto","septiembre","octubre","noviembre","diciembre"},0)+1,0))</f>
        <v/>
      </c>
      <c r="E764" t="str">
        <f>+IFERROR(VLOOKUP(Fact_Analitica[[#This Row], [Concepto Anterior]],Conceptos_Analítica_contraloría[#All],5,0),"")</f>
        <v/>
      </c>
      <c r="F764" t="str">
        <f>+IFERROR(VLOOKUP(Fact_Analitica[[#This Row], [Concepto Anterior]],Conceptos_Analítica_contraloría[#All],7,0),"")</f>
        <v/>
      </c>
      <c r="I764" t="str">
        <f>+IFERROR(VLOOKUP(D764,Conceptos_Analítica_contraloría[#All],2,0),"")</f>
        <v/>
      </c>
      <c r="J764" s="84" t="str">
        <f>+IFERROR(VLOOKUP(D764,Conceptos_Analítica_contraloría[#All],3,0),"")</f>
        <v/>
      </c>
    </row>
    <row r="765" spans="3:10" ht="18.75" customHeight="1" x14ac:dyDescent="0.35">
      <c r="C765" s="100" t="str">
        <f>IF(OR(Fact_Analitica[[#This Row], [Año]]="",Fact_Analitica[[#This Row], [Mes]]=""),"",DATE(A765,MATCH(B765,{"enero","febrero","marzo","abril","mayo","junio","julio","agosto","septiembre","octubre","noviembre","diciembre"},0)+1,0))</f>
        <v/>
      </c>
      <c r="E765" t="str">
        <f>+IFERROR(VLOOKUP(Fact_Analitica[[#This Row], [Concepto Anterior]],Conceptos_Analítica_contraloría[#All],5,0),"")</f>
        <v/>
      </c>
      <c r="F765" t="str">
        <f>+IFERROR(VLOOKUP(Fact_Analitica[[#This Row], [Concepto Anterior]],Conceptos_Analítica_contraloría[#All],7,0),"")</f>
        <v/>
      </c>
      <c r="I765" t="str">
        <f>+IFERROR(VLOOKUP(D765,Conceptos_Analítica_contraloría[#All],2,0),"")</f>
        <v/>
      </c>
      <c r="J765" s="84" t="str">
        <f>+IFERROR(VLOOKUP(D765,Conceptos_Analítica_contraloría[#All],3,0),"")</f>
        <v/>
      </c>
    </row>
    <row r="766" spans="3:10" ht="18.75" customHeight="1" x14ac:dyDescent="0.35">
      <c r="C766" s="100" t="str">
        <f>IF(OR(Fact_Analitica[[#This Row], [Año]]="",Fact_Analitica[[#This Row], [Mes]]=""),"",DATE(A766,MATCH(B766,{"enero","febrero","marzo","abril","mayo","junio","julio","agosto","septiembre","octubre","noviembre","diciembre"},0)+1,0))</f>
        <v/>
      </c>
      <c r="E766" t="str">
        <f>+IFERROR(VLOOKUP(Fact_Analitica[[#This Row], [Concepto Anterior]],Conceptos_Analítica_contraloría[#All],5,0),"")</f>
        <v/>
      </c>
      <c r="F766" t="str">
        <f>+IFERROR(VLOOKUP(Fact_Analitica[[#This Row], [Concepto Anterior]],Conceptos_Analítica_contraloría[#All],7,0),"")</f>
        <v/>
      </c>
      <c r="I766" t="str">
        <f>+IFERROR(VLOOKUP(D766,Conceptos_Analítica_contraloría[#All],2,0),"")</f>
        <v/>
      </c>
      <c r="J766" s="84" t="str">
        <f>+IFERROR(VLOOKUP(D766,Conceptos_Analítica_contraloría[#All],3,0),"")</f>
        <v/>
      </c>
    </row>
    <row r="767" spans="3:10" ht="18.75" customHeight="1" x14ac:dyDescent="0.35">
      <c r="C767" s="100" t="str">
        <f>IF(OR(Fact_Analitica[[#This Row], [Año]]="",Fact_Analitica[[#This Row], [Mes]]=""),"",DATE(A767,MATCH(B767,{"enero","febrero","marzo","abril","mayo","junio","julio","agosto","septiembre","octubre","noviembre","diciembre"},0)+1,0))</f>
        <v/>
      </c>
      <c r="E767" t="str">
        <f>+IFERROR(VLOOKUP(Fact_Analitica[[#This Row], [Concepto Anterior]],Conceptos_Analítica_contraloría[#All],5,0),"")</f>
        <v/>
      </c>
      <c r="F767" t="str">
        <f>+IFERROR(VLOOKUP(Fact_Analitica[[#This Row], [Concepto Anterior]],Conceptos_Analítica_contraloría[#All],7,0),"")</f>
        <v/>
      </c>
      <c r="I767" t="str">
        <f>+IFERROR(VLOOKUP(D767,Conceptos_Analítica_contraloría[#All],2,0),"")</f>
        <v/>
      </c>
      <c r="J767" s="84" t="str">
        <f>+IFERROR(VLOOKUP(D767,Conceptos_Analítica_contraloría[#All],3,0),"")</f>
        <v/>
      </c>
    </row>
    <row r="768" spans="3:10" ht="18.75" customHeight="1" x14ac:dyDescent="0.35">
      <c r="C768" s="100" t="str">
        <f>IF(OR(Fact_Analitica[[#This Row], [Año]]="",Fact_Analitica[[#This Row], [Mes]]=""),"",DATE(A768,MATCH(B768,{"enero","febrero","marzo","abril","mayo","junio","julio","agosto","septiembre","octubre","noviembre","diciembre"},0)+1,0))</f>
        <v/>
      </c>
      <c r="E768" t="str">
        <f>+IFERROR(VLOOKUP(Fact_Analitica[[#This Row], [Concepto Anterior]],Conceptos_Analítica_contraloría[#All],5,0),"")</f>
        <v/>
      </c>
      <c r="F768" t="str">
        <f>+IFERROR(VLOOKUP(Fact_Analitica[[#This Row], [Concepto Anterior]],Conceptos_Analítica_contraloría[#All],7,0),"")</f>
        <v/>
      </c>
      <c r="I768" t="str">
        <f>+IFERROR(VLOOKUP(D768,Conceptos_Analítica_contraloría[#All],2,0),"")</f>
        <v/>
      </c>
      <c r="J768" s="84" t="str">
        <f>+IFERROR(VLOOKUP(D768,Conceptos_Analítica_contraloría[#All],3,0),"")</f>
        <v/>
      </c>
    </row>
    <row r="769" spans="3:10" ht="18.75" customHeight="1" x14ac:dyDescent="0.35">
      <c r="C769" s="100" t="str">
        <f>IF(OR(Fact_Analitica[[#This Row], [Año]]="",Fact_Analitica[[#This Row], [Mes]]=""),"",DATE(A769,MATCH(B769,{"enero","febrero","marzo","abril","mayo","junio","julio","agosto","septiembre","octubre","noviembre","diciembre"},0)+1,0))</f>
        <v/>
      </c>
      <c r="E769" t="str">
        <f>+IFERROR(VLOOKUP(Fact_Analitica[[#This Row], [Concepto Anterior]],Conceptos_Analítica_contraloría[#All],5,0),"")</f>
        <v/>
      </c>
      <c r="F769" t="str">
        <f>+IFERROR(VLOOKUP(Fact_Analitica[[#This Row], [Concepto Anterior]],Conceptos_Analítica_contraloría[#All],7,0),"")</f>
        <v/>
      </c>
      <c r="I769" t="str">
        <f>+IFERROR(VLOOKUP(D769,Conceptos_Analítica_contraloría[#All],2,0),"")</f>
        <v/>
      </c>
      <c r="J769" s="84" t="str">
        <f>+IFERROR(VLOOKUP(D769,Conceptos_Analítica_contraloría[#All],3,0),"")</f>
        <v/>
      </c>
    </row>
    <row r="770" spans="3:10" ht="18.75" customHeight="1" x14ac:dyDescent="0.35">
      <c r="C770" s="100" t="str">
        <f>IF(OR(Fact_Analitica[[#This Row], [Año]]="",Fact_Analitica[[#This Row], [Mes]]=""),"",DATE(A770,MATCH(B770,{"enero","febrero","marzo","abril","mayo","junio","julio","agosto","septiembre","octubre","noviembre","diciembre"},0)+1,0))</f>
        <v/>
      </c>
      <c r="E770" t="str">
        <f>+IFERROR(VLOOKUP(Fact_Analitica[[#This Row], [Concepto Anterior]],Conceptos_Analítica_contraloría[#All],5,0),"")</f>
        <v/>
      </c>
      <c r="F770" t="str">
        <f>+IFERROR(VLOOKUP(Fact_Analitica[[#This Row], [Concepto Anterior]],Conceptos_Analítica_contraloría[#All],7,0),"")</f>
        <v/>
      </c>
      <c r="I770" t="str">
        <f>+IFERROR(VLOOKUP(D770,Conceptos_Analítica_contraloría[#All],2,0),"")</f>
        <v/>
      </c>
      <c r="J770" s="84" t="str">
        <f>+IFERROR(VLOOKUP(D770,Conceptos_Analítica_contraloría[#All],3,0),"")</f>
        <v/>
      </c>
    </row>
    <row r="771" spans="3:10" ht="18.75" customHeight="1" x14ac:dyDescent="0.35">
      <c r="C771" s="100" t="str">
        <f>IF(OR(Fact_Analitica[[#This Row], [Año]]="",Fact_Analitica[[#This Row], [Mes]]=""),"",DATE(A771,MATCH(B771,{"enero","febrero","marzo","abril","mayo","junio","julio","agosto","septiembre","octubre","noviembre","diciembre"},0)+1,0))</f>
        <v/>
      </c>
      <c r="E771" t="str">
        <f>+IFERROR(VLOOKUP(Fact_Analitica[[#This Row], [Concepto Anterior]],Conceptos_Analítica_contraloría[#All],5,0),"")</f>
        <v/>
      </c>
      <c r="F771" t="str">
        <f>+IFERROR(VLOOKUP(Fact_Analitica[[#This Row], [Concepto Anterior]],Conceptos_Analítica_contraloría[#All],7,0),"")</f>
        <v/>
      </c>
      <c r="I771" t="str">
        <f>+IFERROR(VLOOKUP(D771,Conceptos_Analítica_contraloría[#All],2,0),"")</f>
        <v/>
      </c>
      <c r="J771" s="84" t="str">
        <f>+IFERROR(VLOOKUP(D771,Conceptos_Analítica_contraloría[#All],3,0),"")</f>
        <v/>
      </c>
    </row>
    <row r="772" spans="3:10" ht="18.75" customHeight="1" x14ac:dyDescent="0.35">
      <c r="C772" s="100" t="str">
        <f>IF(OR(Fact_Analitica[[#This Row], [Año]]="",Fact_Analitica[[#This Row], [Mes]]=""),"",DATE(A772,MATCH(B772,{"enero","febrero","marzo","abril","mayo","junio","julio","agosto","septiembre","octubre","noviembre","diciembre"},0)+1,0))</f>
        <v/>
      </c>
      <c r="E772" t="str">
        <f>+IFERROR(VLOOKUP(Fact_Analitica[[#This Row], [Concepto Anterior]],Conceptos_Analítica_contraloría[#All],5,0),"")</f>
        <v/>
      </c>
      <c r="F772" t="str">
        <f>+IFERROR(VLOOKUP(Fact_Analitica[[#This Row], [Concepto Anterior]],Conceptos_Analítica_contraloría[#All],7,0),"")</f>
        <v/>
      </c>
      <c r="I772" t="str">
        <f>+IFERROR(VLOOKUP(D772,Conceptos_Analítica_contraloría[#All],2,0),"")</f>
        <v/>
      </c>
      <c r="J772" s="84" t="str">
        <f>+IFERROR(VLOOKUP(D772,Conceptos_Analítica_contraloría[#All],3,0),"")</f>
        <v/>
      </c>
    </row>
    <row r="773" spans="3:10" ht="18.75" customHeight="1" x14ac:dyDescent="0.35">
      <c r="C773" s="100" t="str">
        <f>IF(OR(Fact_Analitica[[#This Row], [Año]]="",Fact_Analitica[[#This Row], [Mes]]=""),"",DATE(A773,MATCH(B773,{"enero","febrero","marzo","abril","mayo","junio","julio","agosto","septiembre","octubre","noviembre","diciembre"},0)+1,0))</f>
        <v/>
      </c>
      <c r="E773" t="str">
        <f>+IFERROR(VLOOKUP(Fact_Analitica[[#This Row], [Concepto Anterior]],Conceptos_Analítica_contraloría[#All],5,0),"")</f>
        <v/>
      </c>
      <c r="F773" t="str">
        <f>+IFERROR(VLOOKUP(Fact_Analitica[[#This Row], [Concepto Anterior]],Conceptos_Analítica_contraloría[#All],7,0),"")</f>
        <v/>
      </c>
      <c r="I773" t="str">
        <f>+IFERROR(VLOOKUP(D773,Conceptos_Analítica_contraloría[#All],2,0),"")</f>
        <v/>
      </c>
      <c r="J773" s="84" t="str">
        <f>+IFERROR(VLOOKUP(D773,Conceptos_Analítica_contraloría[#All],3,0),"")</f>
        <v/>
      </c>
    </row>
    <row r="774" spans="3:10" ht="18.75" customHeight="1" x14ac:dyDescent="0.35">
      <c r="C774" s="100" t="str">
        <f>IF(OR(Fact_Analitica[[#This Row], [Año]]="",Fact_Analitica[[#This Row], [Mes]]=""),"",DATE(A774,MATCH(B774,{"enero","febrero","marzo","abril","mayo","junio","julio","agosto","septiembre","octubre","noviembre","diciembre"},0)+1,0))</f>
        <v/>
      </c>
      <c r="E774" t="str">
        <f>+IFERROR(VLOOKUP(Fact_Analitica[[#This Row], [Concepto Anterior]],Conceptos_Analítica_contraloría[#All],5,0),"")</f>
        <v/>
      </c>
      <c r="F774" t="str">
        <f>+IFERROR(VLOOKUP(Fact_Analitica[[#This Row], [Concepto Anterior]],Conceptos_Analítica_contraloría[#All],7,0),"")</f>
        <v/>
      </c>
      <c r="I774" t="str">
        <f>+IFERROR(VLOOKUP(D774,Conceptos_Analítica_contraloría[#All],2,0),"")</f>
        <v/>
      </c>
      <c r="J774" s="84" t="str">
        <f>+IFERROR(VLOOKUP(D774,Conceptos_Analítica_contraloría[#All],3,0),"")</f>
        <v/>
      </c>
    </row>
    <row r="775" spans="3:10" ht="18.75" customHeight="1" x14ac:dyDescent="0.35">
      <c r="C775" s="100" t="str">
        <f>IF(OR(Fact_Analitica[[#This Row], [Año]]="",Fact_Analitica[[#This Row], [Mes]]=""),"",DATE(A775,MATCH(B775,{"enero","febrero","marzo","abril","mayo","junio","julio","agosto","septiembre","octubre","noviembre","diciembre"},0)+1,0))</f>
        <v/>
      </c>
      <c r="E775" t="str">
        <f>+IFERROR(VLOOKUP(Fact_Analitica[[#This Row], [Concepto Anterior]],Conceptos_Analítica_contraloría[#All],5,0),"")</f>
        <v/>
      </c>
      <c r="F775" t="str">
        <f>+IFERROR(VLOOKUP(Fact_Analitica[[#This Row], [Concepto Anterior]],Conceptos_Analítica_contraloría[#All],7,0),"")</f>
        <v/>
      </c>
      <c r="I775" t="str">
        <f>+IFERROR(VLOOKUP(D775,Conceptos_Analítica_contraloría[#All],2,0),"")</f>
        <v/>
      </c>
      <c r="J775" s="84" t="str">
        <f>+IFERROR(VLOOKUP(D775,Conceptos_Analítica_contraloría[#All],3,0),"")</f>
        <v/>
      </c>
    </row>
    <row r="776" spans="3:10" ht="18.75" customHeight="1" x14ac:dyDescent="0.35">
      <c r="C776" s="100" t="str">
        <f>IF(OR(Fact_Analitica[[#This Row], [Año]]="",Fact_Analitica[[#This Row], [Mes]]=""),"",DATE(A776,MATCH(B776,{"enero","febrero","marzo","abril","mayo","junio","julio","agosto","septiembre","octubre","noviembre","diciembre"},0)+1,0))</f>
        <v/>
      </c>
      <c r="E776" t="str">
        <f>+IFERROR(VLOOKUP(Fact_Analitica[[#This Row], [Concepto Anterior]],Conceptos_Analítica_contraloría[#All],5,0),"")</f>
        <v/>
      </c>
      <c r="F776" t="str">
        <f>+IFERROR(VLOOKUP(Fact_Analitica[[#This Row], [Concepto Anterior]],Conceptos_Analítica_contraloría[#All],7,0),"")</f>
        <v/>
      </c>
      <c r="I776" t="str">
        <f>+IFERROR(VLOOKUP(D776,Conceptos_Analítica_contraloría[#All],2,0),"")</f>
        <v/>
      </c>
      <c r="J776" s="84" t="str">
        <f>+IFERROR(VLOOKUP(D776,Conceptos_Analítica_contraloría[#All],3,0),"")</f>
        <v/>
      </c>
    </row>
    <row r="777" spans="3:10" ht="18.75" customHeight="1" x14ac:dyDescent="0.35">
      <c r="C777" s="100" t="str">
        <f>IF(OR(Fact_Analitica[[#This Row], [Año]]="",Fact_Analitica[[#This Row], [Mes]]=""),"",DATE(A777,MATCH(B777,{"enero","febrero","marzo","abril","mayo","junio","julio","agosto","septiembre","octubre","noviembre","diciembre"},0)+1,0))</f>
        <v/>
      </c>
      <c r="E777" t="str">
        <f>+IFERROR(VLOOKUP(Fact_Analitica[[#This Row], [Concepto Anterior]],Conceptos_Analítica_contraloría[#All],5,0),"")</f>
        <v/>
      </c>
      <c r="F777" t="str">
        <f>+IFERROR(VLOOKUP(Fact_Analitica[[#This Row], [Concepto Anterior]],Conceptos_Analítica_contraloría[#All],7,0),"")</f>
        <v/>
      </c>
      <c r="I777" t="str">
        <f>+IFERROR(VLOOKUP(D777,Conceptos_Analítica_contraloría[#All],2,0),"")</f>
        <v/>
      </c>
      <c r="J777" s="84" t="str">
        <f>+IFERROR(VLOOKUP(D777,Conceptos_Analítica_contraloría[#All],3,0),"")</f>
        <v/>
      </c>
    </row>
    <row r="778" spans="3:10" ht="18.75" customHeight="1" x14ac:dyDescent="0.35">
      <c r="C778" s="100" t="str">
        <f>IF(OR(Fact_Analitica[[#This Row], [Año]]="",Fact_Analitica[[#This Row], [Mes]]=""),"",DATE(A778,MATCH(B778,{"enero","febrero","marzo","abril","mayo","junio","julio","agosto","septiembre","octubre","noviembre","diciembre"},0)+1,0))</f>
        <v/>
      </c>
      <c r="E778" t="str">
        <f>+IFERROR(VLOOKUP(Fact_Analitica[[#This Row], [Concepto Anterior]],Conceptos_Analítica_contraloría[#All],5,0),"")</f>
        <v/>
      </c>
      <c r="F778" t="str">
        <f>+IFERROR(VLOOKUP(Fact_Analitica[[#This Row], [Concepto Anterior]],Conceptos_Analítica_contraloría[#All],7,0),"")</f>
        <v/>
      </c>
      <c r="I778" t="str">
        <f>+IFERROR(VLOOKUP(D778,Conceptos_Analítica_contraloría[#All],2,0),"")</f>
        <v/>
      </c>
      <c r="J778" s="84" t="str">
        <f>+IFERROR(VLOOKUP(D778,Conceptos_Analítica_contraloría[#All],3,0),"")</f>
        <v/>
      </c>
    </row>
    <row r="779" spans="3:10" ht="18.75" customHeight="1" x14ac:dyDescent="0.35">
      <c r="C779" s="100" t="str">
        <f>IF(OR(Fact_Analitica[[#This Row], [Año]]="",Fact_Analitica[[#This Row], [Mes]]=""),"",DATE(A779,MATCH(B779,{"enero","febrero","marzo","abril","mayo","junio","julio","agosto","septiembre","octubre","noviembre","diciembre"},0)+1,0))</f>
        <v/>
      </c>
      <c r="E779" t="str">
        <f>+IFERROR(VLOOKUP(Fact_Analitica[[#This Row], [Concepto Anterior]],Conceptos_Analítica_contraloría[#All],5,0),"")</f>
        <v/>
      </c>
      <c r="F779" t="str">
        <f>+IFERROR(VLOOKUP(Fact_Analitica[[#This Row], [Concepto Anterior]],Conceptos_Analítica_contraloría[#All],7,0),"")</f>
        <v/>
      </c>
      <c r="I779" t="str">
        <f>+IFERROR(VLOOKUP(D779,Conceptos_Analítica_contraloría[#All],2,0),"")</f>
        <v/>
      </c>
      <c r="J779" s="84" t="str">
        <f>+IFERROR(VLOOKUP(D779,Conceptos_Analítica_contraloría[#All],3,0),"")</f>
        <v/>
      </c>
    </row>
    <row r="780" spans="3:10" ht="18.75" customHeight="1" x14ac:dyDescent="0.35">
      <c r="C780" s="100" t="str">
        <f>IF(OR(Fact_Analitica[[#This Row], [Año]]="",Fact_Analitica[[#This Row], [Mes]]=""),"",DATE(A780,MATCH(B780,{"enero","febrero","marzo","abril","mayo","junio","julio","agosto","septiembre","octubre","noviembre","diciembre"},0)+1,0))</f>
        <v/>
      </c>
      <c r="E780" t="str">
        <f>+IFERROR(VLOOKUP(Fact_Analitica[[#This Row], [Concepto Anterior]],Conceptos_Analítica_contraloría[#All],5,0),"")</f>
        <v/>
      </c>
      <c r="F780" t="str">
        <f>+IFERROR(VLOOKUP(Fact_Analitica[[#This Row], [Concepto Anterior]],Conceptos_Analítica_contraloría[#All],7,0),"")</f>
        <v/>
      </c>
      <c r="I780" t="str">
        <f>+IFERROR(VLOOKUP(D780,Conceptos_Analítica_contraloría[#All],2,0),"")</f>
        <v/>
      </c>
      <c r="J780" s="84" t="str">
        <f>+IFERROR(VLOOKUP(D780,Conceptos_Analítica_contraloría[#All],3,0),"")</f>
        <v/>
      </c>
    </row>
    <row r="781" spans="3:10" ht="18.75" customHeight="1" x14ac:dyDescent="0.35">
      <c r="C781" s="100" t="str">
        <f>IF(OR(Fact_Analitica[[#This Row], [Año]]="",Fact_Analitica[[#This Row], [Mes]]=""),"",DATE(A781,MATCH(B781,{"enero","febrero","marzo","abril","mayo","junio","julio","agosto","septiembre","octubre","noviembre","diciembre"},0)+1,0))</f>
        <v/>
      </c>
      <c r="E781" t="str">
        <f>+IFERROR(VLOOKUP(Fact_Analitica[[#This Row], [Concepto Anterior]],Conceptos_Analítica_contraloría[#All],5,0),"")</f>
        <v/>
      </c>
      <c r="F781" t="str">
        <f>+IFERROR(VLOOKUP(Fact_Analitica[[#This Row], [Concepto Anterior]],Conceptos_Analítica_contraloría[#All],7,0),"")</f>
        <v/>
      </c>
      <c r="I781" t="str">
        <f>+IFERROR(VLOOKUP(D781,Conceptos_Analítica_contraloría[#All],2,0),"")</f>
        <v/>
      </c>
      <c r="J781" s="84" t="str">
        <f>+IFERROR(VLOOKUP(D781,Conceptos_Analítica_contraloría[#All],3,0),"")</f>
        <v/>
      </c>
    </row>
    <row r="782" spans="3:10" ht="18.75" customHeight="1" x14ac:dyDescent="0.35">
      <c r="C782" s="100" t="str">
        <f>IF(OR(Fact_Analitica[[#This Row], [Año]]="",Fact_Analitica[[#This Row], [Mes]]=""),"",DATE(A782,MATCH(B782,{"enero","febrero","marzo","abril","mayo","junio","julio","agosto","septiembre","octubre","noviembre","diciembre"},0)+1,0))</f>
        <v/>
      </c>
      <c r="E782" t="str">
        <f>+IFERROR(VLOOKUP(Fact_Analitica[[#This Row], [Concepto Anterior]],Conceptos_Analítica_contraloría[#All],5,0),"")</f>
        <v/>
      </c>
      <c r="F782" t="str">
        <f>+IFERROR(VLOOKUP(Fact_Analitica[[#This Row], [Concepto Anterior]],Conceptos_Analítica_contraloría[#All],7,0),"")</f>
        <v/>
      </c>
      <c r="I782" t="str">
        <f>+IFERROR(VLOOKUP(D782,Conceptos_Analítica_contraloría[#All],2,0),"")</f>
        <v/>
      </c>
      <c r="J782" s="84" t="str">
        <f>+IFERROR(VLOOKUP(D782,Conceptos_Analítica_contraloría[#All],3,0),"")</f>
        <v/>
      </c>
    </row>
    <row r="783" spans="3:10" ht="18.75" customHeight="1" x14ac:dyDescent="0.35">
      <c r="C783" s="100" t="str">
        <f>IF(OR(Fact_Analitica[[#This Row], [Año]]="",Fact_Analitica[[#This Row], [Mes]]=""),"",DATE(A783,MATCH(B783,{"enero","febrero","marzo","abril","mayo","junio","julio","agosto","septiembre","octubre","noviembre","diciembre"},0)+1,0))</f>
        <v/>
      </c>
      <c r="E783" t="str">
        <f>+IFERROR(VLOOKUP(Fact_Analitica[[#This Row], [Concepto Anterior]],Conceptos_Analítica_contraloría[#All],5,0),"")</f>
        <v/>
      </c>
      <c r="F783" t="str">
        <f>+IFERROR(VLOOKUP(Fact_Analitica[[#This Row], [Concepto Anterior]],Conceptos_Analítica_contraloría[#All],7,0),"")</f>
        <v/>
      </c>
      <c r="I783" t="str">
        <f>+IFERROR(VLOOKUP(D783,Conceptos_Analítica_contraloría[#All],2,0),"")</f>
        <v/>
      </c>
      <c r="J783" s="84" t="str">
        <f>+IFERROR(VLOOKUP(D783,Conceptos_Analítica_contraloría[#All],3,0),"")</f>
        <v/>
      </c>
    </row>
    <row r="784" spans="3:10" ht="18.75" customHeight="1" x14ac:dyDescent="0.35">
      <c r="C784" s="100" t="str">
        <f>IF(OR(Fact_Analitica[[#This Row], [Año]]="",Fact_Analitica[[#This Row], [Mes]]=""),"",DATE(A784,MATCH(B784,{"enero","febrero","marzo","abril","mayo","junio","julio","agosto","septiembre","octubre","noviembre","diciembre"},0)+1,0))</f>
        <v/>
      </c>
      <c r="E784" t="str">
        <f>+IFERROR(VLOOKUP(Fact_Analitica[[#This Row], [Concepto Anterior]],Conceptos_Analítica_contraloría[#All],5,0),"")</f>
        <v/>
      </c>
      <c r="F784" t="str">
        <f>+IFERROR(VLOOKUP(Fact_Analitica[[#This Row], [Concepto Anterior]],Conceptos_Analítica_contraloría[#All],7,0),"")</f>
        <v/>
      </c>
      <c r="I784" t="str">
        <f>+IFERROR(VLOOKUP(D784,Conceptos_Analítica_contraloría[#All],2,0),"")</f>
        <v/>
      </c>
      <c r="J784" s="84" t="str">
        <f>+IFERROR(VLOOKUP(D784,Conceptos_Analítica_contraloría[#All],3,0),"")</f>
        <v/>
      </c>
    </row>
    <row r="785" spans="3:10" ht="18.75" customHeight="1" x14ac:dyDescent="0.35">
      <c r="C785" s="100" t="str">
        <f>IF(OR(Fact_Analitica[[#This Row], [Año]]="",Fact_Analitica[[#This Row], [Mes]]=""),"",DATE(A785,MATCH(B785,{"enero","febrero","marzo","abril","mayo","junio","julio","agosto","septiembre","octubre","noviembre","diciembre"},0)+1,0))</f>
        <v/>
      </c>
      <c r="E785" t="str">
        <f>+IFERROR(VLOOKUP(Fact_Analitica[[#This Row], [Concepto Anterior]],Conceptos_Analítica_contraloría[#All],5,0),"")</f>
        <v/>
      </c>
      <c r="F785" t="str">
        <f>+IFERROR(VLOOKUP(Fact_Analitica[[#This Row], [Concepto Anterior]],Conceptos_Analítica_contraloría[#All],7,0),"")</f>
        <v/>
      </c>
      <c r="I785" t="str">
        <f>+IFERROR(VLOOKUP(D785,Conceptos_Analítica_contraloría[#All],2,0),"")</f>
        <v/>
      </c>
      <c r="J785" s="84" t="str">
        <f>+IFERROR(VLOOKUP(D785,Conceptos_Analítica_contraloría[#All],3,0),"")</f>
        <v/>
      </c>
    </row>
    <row r="786" spans="3:10" ht="18.75" customHeight="1" x14ac:dyDescent="0.35">
      <c r="C786" s="100" t="str">
        <f>IF(OR(Fact_Analitica[[#This Row], [Año]]="",Fact_Analitica[[#This Row], [Mes]]=""),"",DATE(A786,MATCH(B786,{"enero","febrero","marzo","abril","mayo","junio","julio","agosto","septiembre","octubre","noviembre","diciembre"},0)+1,0))</f>
        <v/>
      </c>
      <c r="E786" t="str">
        <f>+IFERROR(VLOOKUP(Fact_Analitica[[#This Row], [Concepto Anterior]],Conceptos_Analítica_contraloría[#All],5,0),"")</f>
        <v/>
      </c>
      <c r="F786" t="str">
        <f>+IFERROR(VLOOKUP(Fact_Analitica[[#This Row], [Concepto Anterior]],Conceptos_Analítica_contraloría[#All],7,0),"")</f>
        <v/>
      </c>
      <c r="I786" t="str">
        <f>+IFERROR(VLOOKUP(D786,Conceptos_Analítica_contraloría[#All],2,0),"")</f>
        <v/>
      </c>
      <c r="J786" s="84" t="str">
        <f>+IFERROR(VLOOKUP(D786,Conceptos_Analítica_contraloría[#All],3,0),"")</f>
        <v/>
      </c>
    </row>
    <row r="787" spans="3:10" ht="18.75" customHeight="1" x14ac:dyDescent="0.35">
      <c r="C787" s="100" t="str">
        <f>IF(OR(Fact_Analitica[[#This Row], [Año]]="",Fact_Analitica[[#This Row], [Mes]]=""),"",DATE(A787,MATCH(B787,{"enero","febrero","marzo","abril","mayo","junio","julio","agosto","septiembre","octubre","noviembre","diciembre"},0)+1,0))</f>
        <v/>
      </c>
      <c r="E787" t="str">
        <f>+IFERROR(VLOOKUP(Fact_Analitica[[#This Row], [Concepto Anterior]],Conceptos_Analítica_contraloría[#All],5,0),"")</f>
        <v/>
      </c>
      <c r="F787" t="str">
        <f>+IFERROR(VLOOKUP(Fact_Analitica[[#This Row], [Concepto Anterior]],Conceptos_Analítica_contraloría[#All],7,0),"")</f>
        <v/>
      </c>
      <c r="I787" t="str">
        <f>+IFERROR(VLOOKUP(D787,Conceptos_Analítica_contraloría[#All],2,0),"")</f>
        <v/>
      </c>
      <c r="J787" s="84" t="str">
        <f>+IFERROR(VLOOKUP(D787,Conceptos_Analítica_contraloría[#All],3,0),"")</f>
        <v/>
      </c>
    </row>
    <row r="788" spans="3:10" ht="18.75" customHeight="1" x14ac:dyDescent="0.35">
      <c r="C788" s="100" t="str">
        <f>IF(OR(Fact_Analitica[[#This Row], [Año]]="",Fact_Analitica[[#This Row], [Mes]]=""),"",DATE(A788,MATCH(B788,{"enero","febrero","marzo","abril","mayo","junio","julio","agosto","septiembre","octubre","noviembre","diciembre"},0)+1,0))</f>
        <v/>
      </c>
      <c r="E788" t="str">
        <f>+IFERROR(VLOOKUP(Fact_Analitica[[#This Row], [Concepto Anterior]],Conceptos_Analítica_contraloría[#All],5,0),"")</f>
        <v/>
      </c>
      <c r="F788" t="str">
        <f>+IFERROR(VLOOKUP(Fact_Analitica[[#This Row], [Concepto Anterior]],Conceptos_Analítica_contraloría[#All],7,0),"")</f>
        <v/>
      </c>
      <c r="I788" t="str">
        <f>+IFERROR(VLOOKUP(D788,Conceptos_Analítica_contraloría[#All],2,0),"")</f>
        <v/>
      </c>
      <c r="J788" s="84" t="str">
        <f>+IFERROR(VLOOKUP(D788,Conceptos_Analítica_contraloría[#All],3,0),"")</f>
        <v/>
      </c>
    </row>
    <row r="789" spans="3:10" ht="18.75" customHeight="1" x14ac:dyDescent="0.35">
      <c r="C789" s="100" t="str">
        <f>IF(OR(Fact_Analitica[[#This Row], [Año]]="",Fact_Analitica[[#This Row], [Mes]]=""),"",DATE(A789,MATCH(B789,{"enero","febrero","marzo","abril","mayo","junio","julio","agosto","septiembre","octubre","noviembre","diciembre"},0)+1,0))</f>
        <v/>
      </c>
      <c r="E789" t="str">
        <f>+IFERROR(VLOOKUP(Fact_Analitica[[#This Row], [Concepto Anterior]],Conceptos_Analítica_contraloría[#All],5,0),"")</f>
        <v/>
      </c>
      <c r="F789" t="str">
        <f>+IFERROR(VLOOKUP(Fact_Analitica[[#This Row], [Concepto Anterior]],Conceptos_Analítica_contraloría[#All],7,0),"")</f>
        <v/>
      </c>
      <c r="I789" t="str">
        <f>+IFERROR(VLOOKUP(D789,Conceptos_Analítica_contraloría[#All],2,0),"")</f>
        <v/>
      </c>
      <c r="J789" s="84" t="str">
        <f>+IFERROR(VLOOKUP(D789,Conceptos_Analítica_contraloría[#All],3,0),"")</f>
        <v/>
      </c>
    </row>
    <row r="790" spans="3:10" ht="18.75" customHeight="1" x14ac:dyDescent="0.35">
      <c r="C790" s="100" t="str">
        <f>IF(OR(Fact_Analitica[[#This Row], [Año]]="",Fact_Analitica[[#This Row], [Mes]]=""),"",DATE(A790,MATCH(B790,{"enero","febrero","marzo","abril","mayo","junio","julio","agosto","septiembre","octubre","noviembre","diciembre"},0)+1,0))</f>
        <v/>
      </c>
      <c r="E790" t="str">
        <f>+IFERROR(VLOOKUP(Fact_Analitica[[#This Row], [Concepto Anterior]],Conceptos_Analítica_contraloría[#All],5,0),"")</f>
        <v/>
      </c>
      <c r="F790" t="str">
        <f>+IFERROR(VLOOKUP(Fact_Analitica[[#This Row], [Concepto Anterior]],Conceptos_Analítica_contraloría[#All],7,0),"")</f>
        <v/>
      </c>
      <c r="I790" t="str">
        <f>+IFERROR(VLOOKUP(D790,Conceptos_Analítica_contraloría[#All],2,0),"")</f>
        <v/>
      </c>
      <c r="J790" s="84" t="str">
        <f>+IFERROR(VLOOKUP(D790,Conceptos_Analítica_contraloría[#All],3,0),"")</f>
        <v/>
      </c>
    </row>
    <row r="791" spans="3:10" ht="18.75" customHeight="1" x14ac:dyDescent="0.35">
      <c r="C791" s="100" t="str">
        <f>IF(OR(Fact_Analitica[[#This Row], [Año]]="",Fact_Analitica[[#This Row], [Mes]]=""),"",DATE(A791,MATCH(B791,{"enero","febrero","marzo","abril","mayo","junio","julio","agosto","septiembre","octubre","noviembre","diciembre"},0)+1,0))</f>
        <v/>
      </c>
      <c r="E791" t="str">
        <f>+IFERROR(VLOOKUP(Fact_Analitica[[#This Row], [Concepto Anterior]],Conceptos_Analítica_contraloría[#All],5,0),"")</f>
        <v/>
      </c>
      <c r="F791" t="str">
        <f>+IFERROR(VLOOKUP(Fact_Analitica[[#This Row], [Concepto Anterior]],Conceptos_Analítica_contraloría[#All],7,0),"")</f>
        <v/>
      </c>
      <c r="I791" t="str">
        <f>+IFERROR(VLOOKUP(D791,Conceptos_Analítica_contraloría[#All],2,0),"")</f>
        <v/>
      </c>
      <c r="J791" s="84" t="str">
        <f>+IFERROR(VLOOKUP(D791,Conceptos_Analítica_contraloría[#All],3,0),"")</f>
        <v/>
      </c>
    </row>
    <row r="792" spans="3:10" ht="18.75" customHeight="1" x14ac:dyDescent="0.35">
      <c r="C792" s="100" t="str">
        <f>IF(OR(Fact_Analitica[[#This Row], [Año]]="",Fact_Analitica[[#This Row], [Mes]]=""),"",DATE(A792,MATCH(B792,{"enero","febrero","marzo","abril","mayo","junio","julio","agosto","septiembre","octubre","noviembre","diciembre"},0)+1,0))</f>
        <v/>
      </c>
      <c r="E792" t="str">
        <f>+IFERROR(VLOOKUP(Fact_Analitica[[#This Row], [Concepto Anterior]],Conceptos_Analítica_contraloría[#All],5,0),"")</f>
        <v/>
      </c>
      <c r="F792" t="str">
        <f>+IFERROR(VLOOKUP(Fact_Analitica[[#This Row], [Concepto Anterior]],Conceptos_Analítica_contraloría[#All],7,0),"")</f>
        <v/>
      </c>
      <c r="I792" t="str">
        <f>+IFERROR(VLOOKUP(D792,Conceptos_Analítica_contraloría[#All],2,0),"")</f>
        <v/>
      </c>
      <c r="J792" s="84" t="str">
        <f>+IFERROR(VLOOKUP(D792,Conceptos_Analítica_contraloría[#All],3,0),"")</f>
        <v/>
      </c>
    </row>
    <row r="793" spans="3:10" ht="18.75" customHeight="1" x14ac:dyDescent="0.35">
      <c r="C793" s="100" t="str">
        <f>IF(OR(Fact_Analitica[[#This Row], [Año]]="",Fact_Analitica[[#This Row], [Mes]]=""),"",DATE(A793,MATCH(B793,{"enero","febrero","marzo","abril","mayo","junio","julio","agosto","septiembre","octubre","noviembre","diciembre"},0)+1,0))</f>
        <v/>
      </c>
      <c r="E793" t="str">
        <f>+IFERROR(VLOOKUP(Fact_Analitica[[#This Row], [Concepto Anterior]],Conceptos_Analítica_contraloría[#All],5,0),"")</f>
        <v/>
      </c>
      <c r="F793" t="str">
        <f>+IFERROR(VLOOKUP(Fact_Analitica[[#This Row], [Concepto Anterior]],Conceptos_Analítica_contraloría[#All],7,0),"")</f>
        <v/>
      </c>
      <c r="I793" t="str">
        <f>+IFERROR(VLOOKUP(D793,Conceptos_Analítica_contraloría[#All],2,0),"")</f>
        <v/>
      </c>
      <c r="J793" s="84" t="str">
        <f>+IFERROR(VLOOKUP(D793,Conceptos_Analítica_contraloría[#All],3,0),"")</f>
        <v/>
      </c>
    </row>
    <row r="794" spans="3:10" ht="18.75" customHeight="1" x14ac:dyDescent="0.35">
      <c r="C794" s="100" t="str">
        <f>IF(OR(Fact_Analitica[[#This Row], [Año]]="",Fact_Analitica[[#This Row], [Mes]]=""),"",DATE(A794,MATCH(B794,{"enero","febrero","marzo","abril","mayo","junio","julio","agosto","septiembre","octubre","noviembre","diciembre"},0)+1,0))</f>
        <v/>
      </c>
      <c r="E794" t="str">
        <f>+IFERROR(VLOOKUP(Fact_Analitica[[#This Row], [Concepto Anterior]],Conceptos_Analítica_contraloría[#All],5,0),"")</f>
        <v/>
      </c>
      <c r="F794" t="str">
        <f>+IFERROR(VLOOKUP(Fact_Analitica[[#This Row], [Concepto Anterior]],Conceptos_Analítica_contraloría[#All],7,0),"")</f>
        <v/>
      </c>
      <c r="I794" t="str">
        <f>+IFERROR(VLOOKUP(D794,Conceptos_Analítica_contraloría[#All],2,0),"")</f>
        <v/>
      </c>
      <c r="J794" s="84" t="str">
        <f>+IFERROR(VLOOKUP(D794,Conceptos_Analítica_contraloría[#All],3,0),"")</f>
        <v/>
      </c>
    </row>
    <row r="795" spans="3:10" ht="18.75" customHeight="1" x14ac:dyDescent="0.35">
      <c r="C795" s="100" t="str">
        <f>IF(OR(Fact_Analitica[[#This Row], [Año]]="",Fact_Analitica[[#This Row], [Mes]]=""),"",DATE(A795,MATCH(B795,{"enero","febrero","marzo","abril","mayo","junio","julio","agosto","septiembre","octubre","noviembre","diciembre"},0)+1,0))</f>
        <v/>
      </c>
      <c r="E795" t="str">
        <f>+IFERROR(VLOOKUP(Fact_Analitica[[#This Row], [Concepto Anterior]],Conceptos_Analítica_contraloría[#All],5,0),"")</f>
        <v/>
      </c>
      <c r="F795" t="str">
        <f>+IFERROR(VLOOKUP(Fact_Analitica[[#This Row], [Concepto Anterior]],Conceptos_Analítica_contraloría[#All],7,0),"")</f>
        <v/>
      </c>
      <c r="I795" t="str">
        <f>+IFERROR(VLOOKUP(D795,Conceptos_Analítica_contraloría[#All],2,0),"")</f>
        <v/>
      </c>
      <c r="J795" s="84" t="str">
        <f>+IFERROR(VLOOKUP(D795,Conceptos_Analítica_contraloría[#All],3,0),"")</f>
        <v/>
      </c>
    </row>
    <row r="796" spans="3:10" ht="18.75" customHeight="1" x14ac:dyDescent="0.35">
      <c r="C796" s="100" t="str">
        <f>IF(OR(Fact_Analitica[[#This Row], [Año]]="",Fact_Analitica[[#This Row], [Mes]]=""),"",DATE(A796,MATCH(B796,{"enero","febrero","marzo","abril","mayo","junio","julio","agosto","septiembre","octubre","noviembre","diciembre"},0)+1,0))</f>
        <v/>
      </c>
      <c r="E796" t="str">
        <f>+IFERROR(VLOOKUP(Fact_Analitica[[#This Row], [Concepto Anterior]],Conceptos_Analítica_contraloría[#All],5,0),"")</f>
        <v/>
      </c>
      <c r="F796" t="str">
        <f>+IFERROR(VLOOKUP(Fact_Analitica[[#This Row], [Concepto Anterior]],Conceptos_Analítica_contraloría[#All],7,0),"")</f>
        <v/>
      </c>
      <c r="I796" t="str">
        <f>+IFERROR(VLOOKUP(D796,Conceptos_Analítica_contraloría[#All],2,0),"")</f>
        <v/>
      </c>
      <c r="J796" s="84" t="str">
        <f>+IFERROR(VLOOKUP(D796,Conceptos_Analítica_contraloría[#All],3,0),"")</f>
        <v/>
      </c>
    </row>
    <row r="797" spans="3:10" ht="18.75" customHeight="1" x14ac:dyDescent="0.35">
      <c r="C797" s="100" t="str">
        <f>IF(OR(Fact_Analitica[[#This Row], [Año]]="",Fact_Analitica[[#This Row], [Mes]]=""),"",DATE(A797,MATCH(B797,{"enero","febrero","marzo","abril","mayo","junio","julio","agosto","septiembre","octubre","noviembre","diciembre"},0)+1,0))</f>
        <v/>
      </c>
      <c r="E797" t="str">
        <f>+IFERROR(VLOOKUP(Fact_Analitica[[#This Row], [Concepto Anterior]],Conceptos_Analítica_contraloría[#All],5,0),"")</f>
        <v/>
      </c>
      <c r="F797" t="str">
        <f>+IFERROR(VLOOKUP(Fact_Analitica[[#This Row], [Concepto Anterior]],Conceptos_Analítica_contraloría[#All],7,0),"")</f>
        <v/>
      </c>
      <c r="I797" t="str">
        <f>+IFERROR(VLOOKUP(D797,Conceptos_Analítica_contraloría[#All],2,0),"")</f>
        <v/>
      </c>
      <c r="J797" s="84" t="str">
        <f>+IFERROR(VLOOKUP(D797,Conceptos_Analítica_contraloría[#All],3,0),"")</f>
        <v/>
      </c>
    </row>
    <row r="798" spans="3:10" ht="18.75" customHeight="1" x14ac:dyDescent="0.35">
      <c r="C798" s="100" t="str">
        <f>IF(OR(Fact_Analitica[[#This Row], [Año]]="",Fact_Analitica[[#This Row], [Mes]]=""),"",DATE(A798,MATCH(B798,{"enero","febrero","marzo","abril","mayo","junio","julio","agosto","septiembre","octubre","noviembre","diciembre"},0)+1,0))</f>
        <v/>
      </c>
      <c r="E798" t="str">
        <f>+IFERROR(VLOOKUP(Fact_Analitica[[#This Row], [Concepto Anterior]],Conceptos_Analítica_contraloría[#All],5,0),"")</f>
        <v/>
      </c>
      <c r="F798" t="str">
        <f>+IFERROR(VLOOKUP(Fact_Analitica[[#This Row], [Concepto Anterior]],Conceptos_Analítica_contraloría[#All],7,0),"")</f>
        <v/>
      </c>
      <c r="I798" t="str">
        <f>+IFERROR(VLOOKUP(D798,Conceptos_Analítica_contraloría[#All],2,0),"")</f>
        <v/>
      </c>
      <c r="J798" s="84" t="str">
        <f>+IFERROR(VLOOKUP(D798,Conceptos_Analítica_contraloría[#All],3,0),"")</f>
        <v/>
      </c>
    </row>
    <row r="799" spans="3:10" ht="18.75" customHeight="1" x14ac:dyDescent="0.35">
      <c r="C799" s="100" t="str">
        <f>IF(OR(Fact_Analitica[[#This Row], [Año]]="",Fact_Analitica[[#This Row], [Mes]]=""),"",DATE(A799,MATCH(B799,{"enero","febrero","marzo","abril","mayo","junio","julio","agosto","septiembre","octubre","noviembre","diciembre"},0)+1,0))</f>
        <v/>
      </c>
      <c r="E799" t="str">
        <f>+IFERROR(VLOOKUP(Fact_Analitica[[#This Row], [Concepto Anterior]],Conceptos_Analítica_contraloría[#All],5,0),"")</f>
        <v/>
      </c>
      <c r="F799" t="str">
        <f>+IFERROR(VLOOKUP(Fact_Analitica[[#This Row], [Concepto Anterior]],Conceptos_Analítica_contraloría[#All],7,0),"")</f>
        <v/>
      </c>
      <c r="I799" t="str">
        <f>+IFERROR(VLOOKUP(D799,Conceptos_Analítica_contraloría[#All],2,0),"")</f>
        <v/>
      </c>
      <c r="J799" s="84" t="str">
        <f>+IFERROR(VLOOKUP(D799,Conceptos_Analítica_contraloría[#All],3,0),"")</f>
        <v/>
      </c>
    </row>
    <row r="800" spans="3:10" ht="18.75" customHeight="1" x14ac:dyDescent="0.35">
      <c r="C800" s="100" t="str">
        <f>IF(OR(Fact_Analitica[[#This Row], [Año]]="",Fact_Analitica[[#This Row], [Mes]]=""),"",DATE(A800,MATCH(B800,{"enero","febrero","marzo","abril","mayo","junio","julio","agosto","septiembre","octubre","noviembre","diciembre"},0)+1,0))</f>
        <v/>
      </c>
      <c r="E800" t="str">
        <f>+IFERROR(VLOOKUP(Fact_Analitica[[#This Row], [Concepto Anterior]],Conceptos_Analítica_contraloría[#All],5,0),"")</f>
        <v/>
      </c>
      <c r="F800" t="str">
        <f>+IFERROR(VLOOKUP(Fact_Analitica[[#This Row], [Concepto Anterior]],Conceptos_Analítica_contraloría[#All],7,0),"")</f>
        <v/>
      </c>
      <c r="I800" t="str">
        <f>+IFERROR(VLOOKUP(D800,Conceptos_Analítica_contraloría[#All],2,0),"")</f>
        <v/>
      </c>
      <c r="J800" s="84" t="str">
        <f>+IFERROR(VLOOKUP(D800,Conceptos_Analítica_contraloría[#All],3,0),"")</f>
        <v/>
      </c>
    </row>
    <row r="801" spans="3:10" ht="18.75" customHeight="1" x14ac:dyDescent="0.35">
      <c r="C801" s="100" t="str">
        <f>IF(OR(Fact_Analitica[[#This Row], [Año]]="",Fact_Analitica[[#This Row], [Mes]]=""),"",DATE(A801,MATCH(B801,{"enero","febrero","marzo","abril","mayo","junio","julio","agosto","septiembre","octubre","noviembre","diciembre"},0)+1,0))</f>
        <v/>
      </c>
      <c r="E801" t="str">
        <f>+IFERROR(VLOOKUP(Fact_Analitica[[#This Row], [Concepto Anterior]],Conceptos_Analítica_contraloría[#All],5,0),"")</f>
        <v/>
      </c>
      <c r="F801" t="str">
        <f>+IFERROR(VLOOKUP(Fact_Analitica[[#This Row], [Concepto Anterior]],Conceptos_Analítica_contraloría[#All],7,0),"")</f>
        <v/>
      </c>
      <c r="I801" t="str">
        <f>+IFERROR(VLOOKUP(D801,Conceptos_Analítica_contraloría[#All],2,0),"")</f>
        <v/>
      </c>
      <c r="J801" s="84" t="str">
        <f>+IFERROR(VLOOKUP(D801,Conceptos_Analítica_contraloría[#All],3,0),"")</f>
        <v/>
      </c>
    </row>
    <row r="802" spans="3:10" ht="18.75" customHeight="1" x14ac:dyDescent="0.35">
      <c r="C802" s="100" t="str">
        <f>IF(OR(Fact_Analitica[[#This Row], [Año]]="",Fact_Analitica[[#This Row], [Mes]]=""),"",DATE(A802,MATCH(B802,{"enero","febrero","marzo","abril","mayo","junio","julio","agosto","septiembre","octubre","noviembre","diciembre"},0)+1,0))</f>
        <v/>
      </c>
      <c r="E802" t="str">
        <f>+IFERROR(VLOOKUP(Fact_Analitica[[#This Row], [Concepto Anterior]],Conceptos_Analítica_contraloría[#All],5,0),"")</f>
        <v/>
      </c>
      <c r="F802" t="str">
        <f>+IFERROR(VLOOKUP(Fact_Analitica[[#This Row], [Concepto Anterior]],Conceptos_Analítica_contraloría[#All],7,0),"")</f>
        <v/>
      </c>
      <c r="I802" t="str">
        <f>+IFERROR(VLOOKUP(D802,Conceptos_Analítica_contraloría[#All],2,0),"")</f>
        <v/>
      </c>
      <c r="J802" s="84" t="str">
        <f>+IFERROR(VLOOKUP(D802,Conceptos_Analítica_contraloría[#All],3,0),"")</f>
        <v/>
      </c>
    </row>
    <row r="803" spans="3:10" ht="18.75" customHeight="1" x14ac:dyDescent="0.35">
      <c r="C803" s="100" t="str">
        <f>IF(OR(Fact_Analitica[[#This Row], [Año]]="",Fact_Analitica[[#This Row], [Mes]]=""),"",DATE(A803,MATCH(B803,{"enero","febrero","marzo","abril","mayo","junio","julio","agosto","septiembre","octubre","noviembre","diciembre"},0)+1,0))</f>
        <v/>
      </c>
      <c r="E803" t="str">
        <f>+IFERROR(VLOOKUP(Fact_Analitica[[#This Row], [Concepto Anterior]],Conceptos_Analítica_contraloría[#All],5,0),"")</f>
        <v/>
      </c>
      <c r="F803" t="str">
        <f>+IFERROR(VLOOKUP(Fact_Analitica[[#This Row], [Concepto Anterior]],Conceptos_Analítica_contraloría[#All],7,0),"")</f>
        <v/>
      </c>
      <c r="I803" t="str">
        <f>+IFERROR(VLOOKUP(D803,Conceptos_Analítica_contraloría[#All],2,0),"")</f>
        <v/>
      </c>
      <c r="J803" s="84" t="str">
        <f>+IFERROR(VLOOKUP(D803,Conceptos_Analítica_contraloría[#All],3,0),"")</f>
        <v/>
      </c>
    </row>
    <row r="804" spans="3:10" ht="18.75" customHeight="1" x14ac:dyDescent="0.35">
      <c r="C804" s="100" t="str">
        <f>IF(OR(Fact_Analitica[[#This Row], [Año]]="",Fact_Analitica[[#This Row], [Mes]]=""),"",DATE(A804,MATCH(B804,{"enero","febrero","marzo","abril","mayo","junio","julio","agosto","septiembre","octubre","noviembre","diciembre"},0)+1,0))</f>
        <v/>
      </c>
      <c r="E804" t="str">
        <f>+IFERROR(VLOOKUP(Fact_Analitica[[#This Row], [Concepto Anterior]],Conceptos_Analítica_contraloría[#All],5,0),"")</f>
        <v/>
      </c>
      <c r="F804" t="str">
        <f>+IFERROR(VLOOKUP(Fact_Analitica[[#This Row], [Concepto Anterior]],Conceptos_Analítica_contraloría[#All],7,0),"")</f>
        <v/>
      </c>
      <c r="I804" t="str">
        <f>+IFERROR(VLOOKUP(D804,Conceptos_Analítica_contraloría[#All],2,0),"")</f>
        <v/>
      </c>
      <c r="J804" s="84" t="str">
        <f>+IFERROR(VLOOKUP(D804,Conceptos_Analítica_contraloría[#All],3,0),"")</f>
        <v/>
      </c>
    </row>
    <row r="805" spans="3:10" ht="18.75" customHeight="1" x14ac:dyDescent="0.35">
      <c r="C805" s="100" t="str">
        <f>IF(OR(Fact_Analitica[[#This Row], [Año]]="",Fact_Analitica[[#This Row], [Mes]]=""),"",DATE(A805,MATCH(B805,{"enero","febrero","marzo","abril","mayo","junio","julio","agosto","septiembre","octubre","noviembre","diciembre"},0)+1,0))</f>
        <v/>
      </c>
      <c r="E805" t="str">
        <f>+IFERROR(VLOOKUP(Fact_Analitica[[#This Row], [Concepto Anterior]],Conceptos_Analítica_contraloría[#All],5,0),"")</f>
        <v/>
      </c>
      <c r="F805" t="str">
        <f>+IFERROR(VLOOKUP(Fact_Analitica[[#This Row], [Concepto Anterior]],Conceptos_Analítica_contraloría[#All],7,0),"")</f>
        <v/>
      </c>
      <c r="I805" t="str">
        <f>+IFERROR(VLOOKUP(D805,Conceptos_Analítica_contraloría[#All],2,0),"")</f>
        <v/>
      </c>
      <c r="J805" s="84" t="str">
        <f>+IFERROR(VLOOKUP(D805,Conceptos_Analítica_contraloría[#All],3,0),"")</f>
        <v/>
      </c>
    </row>
    <row r="806" spans="3:10" ht="18.75" customHeight="1" x14ac:dyDescent="0.35">
      <c r="C806" s="100" t="str">
        <f>IF(OR(Fact_Analitica[[#This Row], [Año]]="",Fact_Analitica[[#This Row], [Mes]]=""),"",DATE(A806,MATCH(B806,{"enero","febrero","marzo","abril","mayo","junio","julio","agosto","septiembre","octubre","noviembre","diciembre"},0)+1,0))</f>
        <v/>
      </c>
      <c r="E806" t="str">
        <f>+IFERROR(VLOOKUP(Fact_Analitica[[#This Row], [Concepto Anterior]],Conceptos_Analítica_contraloría[#All],5,0),"")</f>
        <v/>
      </c>
      <c r="F806" t="str">
        <f>+IFERROR(VLOOKUP(Fact_Analitica[[#This Row], [Concepto Anterior]],Conceptos_Analítica_contraloría[#All],7,0),"")</f>
        <v/>
      </c>
      <c r="I806" t="str">
        <f>+IFERROR(VLOOKUP(D806,Conceptos_Analítica_contraloría[#All],2,0),"")</f>
        <v/>
      </c>
      <c r="J806" s="84" t="str">
        <f>+IFERROR(VLOOKUP(D806,Conceptos_Analítica_contraloría[#All],3,0),"")</f>
        <v/>
      </c>
    </row>
    <row r="807" spans="3:10" ht="18.75" customHeight="1" x14ac:dyDescent="0.35">
      <c r="C807" s="100" t="str">
        <f>IF(OR(Fact_Analitica[[#This Row], [Año]]="",Fact_Analitica[[#This Row], [Mes]]=""),"",DATE(A807,MATCH(B807,{"enero","febrero","marzo","abril","mayo","junio","julio","agosto","septiembre","octubre","noviembre","diciembre"},0)+1,0))</f>
        <v/>
      </c>
      <c r="E807" t="str">
        <f>+IFERROR(VLOOKUP(Fact_Analitica[[#This Row], [Concepto Anterior]],Conceptos_Analítica_contraloría[#All],5,0),"")</f>
        <v/>
      </c>
      <c r="F807" t="str">
        <f>+IFERROR(VLOOKUP(Fact_Analitica[[#This Row], [Concepto Anterior]],Conceptos_Analítica_contraloría[#All],7,0),"")</f>
        <v/>
      </c>
      <c r="I807" t="str">
        <f>+IFERROR(VLOOKUP(D807,Conceptos_Analítica_contraloría[#All],2,0),"")</f>
        <v/>
      </c>
      <c r="J807" s="84" t="str">
        <f>+IFERROR(VLOOKUP(D807,Conceptos_Analítica_contraloría[#All],3,0),"")</f>
        <v/>
      </c>
    </row>
    <row r="808" spans="3:10" ht="18.75" customHeight="1" x14ac:dyDescent="0.35">
      <c r="C808" s="100" t="str">
        <f>IF(OR(Fact_Analitica[[#This Row], [Año]]="",Fact_Analitica[[#This Row], [Mes]]=""),"",DATE(A808,MATCH(B808,{"enero","febrero","marzo","abril","mayo","junio","julio","agosto","septiembre","octubre","noviembre","diciembre"},0)+1,0))</f>
        <v/>
      </c>
      <c r="E808" t="str">
        <f>+IFERROR(VLOOKUP(Fact_Analitica[[#This Row], [Concepto Anterior]],Conceptos_Analítica_contraloría[#All],5,0),"")</f>
        <v/>
      </c>
      <c r="F808" t="str">
        <f>+IFERROR(VLOOKUP(Fact_Analitica[[#This Row], [Concepto Anterior]],Conceptos_Analítica_contraloría[#All],7,0),"")</f>
        <v/>
      </c>
      <c r="I808" t="str">
        <f>+IFERROR(VLOOKUP(D808,Conceptos_Analítica_contraloría[#All],2,0),"")</f>
        <v/>
      </c>
      <c r="J808" s="84" t="str">
        <f>+IFERROR(VLOOKUP(D808,Conceptos_Analítica_contraloría[#All],3,0),"")</f>
        <v/>
      </c>
    </row>
    <row r="809" spans="3:10" ht="18.75" customHeight="1" x14ac:dyDescent="0.35">
      <c r="C809" s="100" t="str">
        <f>IF(OR(Fact_Analitica[[#This Row], [Año]]="",Fact_Analitica[[#This Row], [Mes]]=""),"",DATE(A809,MATCH(B809,{"enero","febrero","marzo","abril","mayo","junio","julio","agosto","septiembre","octubre","noviembre","diciembre"},0)+1,0))</f>
        <v/>
      </c>
      <c r="E809" t="str">
        <f>+IFERROR(VLOOKUP(Fact_Analitica[[#This Row], [Concepto Anterior]],Conceptos_Analítica_contraloría[#All],5,0),"")</f>
        <v/>
      </c>
      <c r="F809" t="str">
        <f>+IFERROR(VLOOKUP(Fact_Analitica[[#This Row], [Concepto Anterior]],Conceptos_Analítica_contraloría[#All],7,0),"")</f>
        <v/>
      </c>
      <c r="I809" t="str">
        <f>+IFERROR(VLOOKUP(D809,Conceptos_Analítica_contraloría[#All],2,0),"")</f>
        <v/>
      </c>
      <c r="J809" s="84" t="str">
        <f>+IFERROR(VLOOKUP(D809,Conceptos_Analítica_contraloría[#All],3,0),"")</f>
        <v/>
      </c>
    </row>
    <row r="810" spans="3:10" ht="18.75" customHeight="1" x14ac:dyDescent="0.35">
      <c r="C810" s="100" t="str">
        <f>IF(OR(Fact_Analitica[[#This Row], [Año]]="",Fact_Analitica[[#This Row], [Mes]]=""),"",DATE(A810,MATCH(B810,{"enero","febrero","marzo","abril","mayo","junio","julio","agosto","septiembre","octubre","noviembre","diciembre"},0)+1,0))</f>
        <v/>
      </c>
      <c r="E810" t="str">
        <f>+IFERROR(VLOOKUP(Fact_Analitica[[#This Row], [Concepto Anterior]],Conceptos_Analítica_contraloría[#All],5,0),"")</f>
        <v/>
      </c>
      <c r="F810" t="str">
        <f>+IFERROR(VLOOKUP(Fact_Analitica[[#This Row], [Concepto Anterior]],Conceptos_Analítica_contraloría[#All],7,0),"")</f>
        <v/>
      </c>
      <c r="I810" t="str">
        <f>+IFERROR(VLOOKUP(D810,Conceptos_Analítica_contraloría[#All],2,0),"")</f>
        <v/>
      </c>
      <c r="J810" s="84" t="str">
        <f>+IFERROR(VLOOKUP(D810,Conceptos_Analítica_contraloría[#All],3,0),"")</f>
        <v/>
      </c>
    </row>
    <row r="811" spans="3:10" ht="18.75" customHeight="1" x14ac:dyDescent="0.35">
      <c r="C811" s="100" t="str">
        <f>IF(OR(Fact_Analitica[[#This Row], [Año]]="",Fact_Analitica[[#This Row], [Mes]]=""),"",DATE(A811,MATCH(B811,{"enero","febrero","marzo","abril","mayo","junio","julio","agosto","septiembre","octubre","noviembre","diciembre"},0)+1,0))</f>
        <v/>
      </c>
      <c r="E811" t="str">
        <f>+IFERROR(VLOOKUP(Fact_Analitica[[#This Row], [Concepto Anterior]],Conceptos_Analítica_contraloría[#All],5,0),"")</f>
        <v/>
      </c>
      <c r="F811" t="str">
        <f>+IFERROR(VLOOKUP(Fact_Analitica[[#This Row], [Concepto Anterior]],Conceptos_Analítica_contraloría[#All],7,0),"")</f>
        <v/>
      </c>
      <c r="I811" t="str">
        <f>+IFERROR(VLOOKUP(D811,Conceptos_Analítica_contraloría[#All],2,0),"")</f>
        <v/>
      </c>
      <c r="J811" s="84" t="str">
        <f>+IFERROR(VLOOKUP(D811,Conceptos_Analítica_contraloría[#All],3,0),"")</f>
        <v/>
      </c>
    </row>
    <row r="812" spans="3:10" ht="18.75" customHeight="1" x14ac:dyDescent="0.35">
      <c r="C812" s="100" t="str">
        <f>IF(OR(Fact_Analitica[[#This Row], [Año]]="",Fact_Analitica[[#This Row], [Mes]]=""),"",DATE(A812,MATCH(B812,{"enero","febrero","marzo","abril","mayo","junio","julio","agosto","septiembre","octubre","noviembre","diciembre"},0)+1,0))</f>
        <v/>
      </c>
      <c r="E812" t="str">
        <f>+IFERROR(VLOOKUP(Fact_Analitica[[#This Row], [Concepto Anterior]],Conceptos_Analítica_contraloría[#All],5,0),"")</f>
        <v/>
      </c>
      <c r="F812" t="str">
        <f>+IFERROR(VLOOKUP(Fact_Analitica[[#This Row], [Concepto Anterior]],Conceptos_Analítica_contraloría[#All],7,0),"")</f>
        <v/>
      </c>
      <c r="I812" t="str">
        <f>+IFERROR(VLOOKUP(D812,Conceptos_Analítica_contraloría[#All],2,0),"")</f>
        <v/>
      </c>
      <c r="J812" s="84" t="str">
        <f>+IFERROR(VLOOKUP(D812,Conceptos_Analítica_contraloría[#All],3,0),"")</f>
        <v/>
      </c>
    </row>
    <row r="813" spans="3:10" ht="18.75" customHeight="1" x14ac:dyDescent="0.35">
      <c r="C813" s="100" t="str">
        <f>IF(OR(Fact_Analitica[[#This Row], [Año]]="",Fact_Analitica[[#This Row], [Mes]]=""),"",DATE(A813,MATCH(B813,{"enero","febrero","marzo","abril","mayo","junio","julio","agosto","septiembre","octubre","noviembre","diciembre"},0)+1,0))</f>
        <v/>
      </c>
      <c r="E813" t="str">
        <f>+IFERROR(VLOOKUP(Fact_Analitica[[#This Row], [Concepto Anterior]],Conceptos_Analítica_contraloría[#All],5,0),"")</f>
        <v/>
      </c>
      <c r="F813" t="str">
        <f>+IFERROR(VLOOKUP(Fact_Analitica[[#This Row], [Concepto Anterior]],Conceptos_Analítica_contraloría[#All],7,0),"")</f>
        <v/>
      </c>
      <c r="I813" t="str">
        <f>+IFERROR(VLOOKUP(D813,Conceptos_Analítica_contraloría[#All],2,0),"")</f>
        <v/>
      </c>
      <c r="J813" s="84" t="str">
        <f>+IFERROR(VLOOKUP(D813,Conceptos_Analítica_contraloría[#All],3,0),"")</f>
        <v/>
      </c>
    </row>
    <row r="814" spans="3:10" ht="18.75" customHeight="1" x14ac:dyDescent="0.35">
      <c r="C814" s="100" t="str">
        <f>IF(OR(Fact_Analitica[[#This Row], [Año]]="",Fact_Analitica[[#This Row], [Mes]]=""),"",DATE(A814,MATCH(B814,{"enero","febrero","marzo","abril","mayo","junio","julio","agosto","septiembre","octubre","noviembre","diciembre"},0)+1,0))</f>
        <v/>
      </c>
      <c r="E814" t="str">
        <f>+IFERROR(VLOOKUP(Fact_Analitica[[#This Row], [Concepto Anterior]],Conceptos_Analítica_contraloría[#All],5,0),"")</f>
        <v/>
      </c>
      <c r="F814" t="str">
        <f>+IFERROR(VLOOKUP(Fact_Analitica[[#This Row], [Concepto Anterior]],Conceptos_Analítica_contraloría[#All],7,0),"")</f>
        <v/>
      </c>
      <c r="I814" t="str">
        <f>+IFERROR(VLOOKUP(D814,Conceptos_Analítica_contraloría[#All],2,0),"")</f>
        <v/>
      </c>
      <c r="J814" s="84" t="str">
        <f>+IFERROR(VLOOKUP(D814,Conceptos_Analítica_contraloría[#All],3,0),"")</f>
        <v/>
      </c>
    </row>
    <row r="815" spans="3:10" ht="18.75" customHeight="1" x14ac:dyDescent="0.35">
      <c r="C815" s="100" t="str">
        <f>IF(OR(Fact_Analitica[[#This Row], [Año]]="",Fact_Analitica[[#This Row], [Mes]]=""),"",DATE(A815,MATCH(B815,{"enero","febrero","marzo","abril","mayo","junio","julio","agosto","septiembre","octubre","noviembre","diciembre"},0)+1,0))</f>
        <v/>
      </c>
      <c r="E815" t="str">
        <f>+IFERROR(VLOOKUP(Fact_Analitica[[#This Row], [Concepto Anterior]],Conceptos_Analítica_contraloría[#All],5,0),"")</f>
        <v/>
      </c>
      <c r="F815" t="str">
        <f>+IFERROR(VLOOKUP(Fact_Analitica[[#This Row], [Concepto Anterior]],Conceptos_Analítica_contraloría[#All],7,0),"")</f>
        <v/>
      </c>
      <c r="I815" t="str">
        <f>+IFERROR(VLOOKUP(D815,Conceptos_Analítica_contraloría[#All],2,0),"")</f>
        <v/>
      </c>
      <c r="J815" s="84" t="str">
        <f>+IFERROR(VLOOKUP(D815,Conceptos_Analítica_contraloría[#All],3,0),"")</f>
        <v/>
      </c>
    </row>
    <row r="816" spans="3:10" ht="18.75" customHeight="1" x14ac:dyDescent="0.35">
      <c r="C816" s="100" t="str">
        <f>IF(OR(Fact_Analitica[[#This Row], [Año]]="",Fact_Analitica[[#This Row], [Mes]]=""),"",DATE(A816,MATCH(B816,{"enero","febrero","marzo","abril","mayo","junio","julio","agosto","septiembre","octubre","noviembre","diciembre"},0)+1,0))</f>
        <v/>
      </c>
      <c r="E816" t="str">
        <f>+IFERROR(VLOOKUP(Fact_Analitica[[#This Row], [Concepto Anterior]],Conceptos_Analítica_contraloría[#All],5,0),"")</f>
        <v/>
      </c>
      <c r="F816" t="str">
        <f>+IFERROR(VLOOKUP(Fact_Analitica[[#This Row], [Concepto Anterior]],Conceptos_Analítica_contraloría[#All],7,0),"")</f>
        <v/>
      </c>
      <c r="I816" t="str">
        <f>+IFERROR(VLOOKUP(D816,Conceptos_Analítica_contraloría[#All],2,0),"")</f>
        <v/>
      </c>
      <c r="J816" s="84" t="str">
        <f>+IFERROR(VLOOKUP(D816,Conceptos_Analítica_contraloría[#All],3,0),"")</f>
        <v/>
      </c>
    </row>
    <row r="817" spans="3:10" ht="18.75" customHeight="1" x14ac:dyDescent="0.35">
      <c r="C817" s="100" t="str">
        <f>IF(OR(Fact_Analitica[[#This Row], [Año]]="",Fact_Analitica[[#This Row], [Mes]]=""),"",DATE(A817,MATCH(B817,{"enero","febrero","marzo","abril","mayo","junio","julio","agosto","septiembre","octubre","noviembre","diciembre"},0)+1,0))</f>
        <v/>
      </c>
      <c r="E817" t="str">
        <f>+IFERROR(VLOOKUP(Fact_Analitica[[#This Row], [Concepto Anterior]],Conceptos_Analítica_contraloría[#All],5,0),"")</f>
        <v/>
      </c>
      <c r="F817" t="str">
        <f>+IFERROR(VLOOKUP(Fact_Analitica[[#This Row], [Concepto Anterior]],Conceptos_Analítica_contraloría[#All],7,0),"")</f>
        <v/>
      </c>
      <c r="I817" t="str">
        <f>+IFERROR(VLOOKUP(D817,Conceptos_Analítica_contraloría[#All],2,0),"")</f>
        <v/>
      </c>
      <c r="J817" s="84" t="str">
        <f>+IFERROR(VLOOKUP(D817,Conceptos_Analítica_contraloría[#All],3,0),"")</f>
        <v/>
      </c>
    </row>
    <row r="818" spans="3:10" ht="18.75" customHeight="1" x14ac:dyDescent="0.35">
      <c r="C818" s="100" t="str">
        <f>IF(OR(Fact_Analitica[[#This Row], [Año]]="",Fact_Analitica[[#This Row], [Mes]]=""),"",DATE(A818,MATCH(B818,{"enero","febrero","marzo","abril","mayo","junio","julio","agosto","septiembre","octubre","noviembre","diciembre"},0)+1,0))</f>
        <v/>
      </c>
      <c r="E818" t="str">
        <f>+IFERROR(VLOOKUP(Fact_Analitica[[#This Row], [Concepto Anterior]],Conceptos_Analítica_contraloría[#All],5,0),"")</f>
        <v/>
      </c>
      <c r="F818" t="str">
        <f>+IFERROR(VLOOKUP(Fact_Analitica[[#This Row], [Concepto Anterior]],Conceptos_Analítica_contraloría[#All],7,0),"")</f>
        <v/>
      </c>
      <c r="I818" t="str">
        <f>+IFERROR(VLOOKUP(D818,Conceptos_Analítica_contraloría[#All],2,0),"")</f>
        <v/>
      </c>
      <c r="J818" s="84" t="str">
        <f>+IFERROR(VLOOKUP(D818,Conceptos_Analítica_contraloría[#All],3,0),"")</f>
        <v/>
      </c>
    </row>
    <row r="819" spans="3:10" ht="18.75" customHeight="1" x14ac:dyDescent="0.35">
      <c r="C819" s="100" t="str">
        <f>IF(OR(Fact_Analitica[[#This Row], [Año]]="",Fact_Analitica[[#This Row], [Mes]]=""),"",DATE(A819,MATCH(B819,{"enero","febrero","marzo","abril","mayo","junio","julio","agosto","septiembre","octubre","noviembre","diciembre"},0)+1,0))</f>
        <v/>
      </c>
      <c r="E819" t="str">
        <f>+IFERROR(VLOOKUP(Fact_Analitica[[#This Row], [Concepto Anterior]],Conceptos_Analítica_contraloría[#All],5,0),"")</f>
        <v/>
      </c>
      <c r="F819" t="str">
        <f>+IFERROR(VLOOKUP(Fact_Analitica[[#This Row], [Concepto Anterior]],Conceptos_Analítica_contraloría[#All],7,0),"")</f>
        <v/>
      </c>
      <c r="I819" t="str">
        <f>+IFERROR(VLOOKUP(D819,Conceptos_Analítica_contraloría[#All],2,0),"")</f>
        <v/>
      </c>
      <c r="J819" s="84" t="str">
        <f>+IFERROR(VLOOKUP(D819,Conceptos_Analítica_contraloría[#All],3,0),"")</f>
        <v/>
      </c>
    </row>
    <row r="820" spans="3:10" ht="18.75" customHeight="1" x14ac:dyDescent="0.35">
      <c r="C820" s="100" t="str">
        <f>IF(OR(Fact_Analitica[[#This Row], [Año]]="",Fact_Analitica[[#This Row], [Mes]]=""),"",DATE(A820,MATCH(B820,{"enero","febrero","marzo","abril","mayo","junio","julio","agosto","septiembre","octubre","noviembre","diciembre"},0)+1,0))</f>
        <v/>
      </c>
      <c r="E820" t="str">
        <f>+IFERROR(VLOOKUP(Fact_Analitica[[#This Row], [Concepto Anterior]],Conceptos_Analítica_contraloría[#All],5,0),"")</f>
        <v/>
      </c>
      <c r="F820" t="str">
        <f>+IFERROR(VLOOKUP(Fact_Analitica[[#This Row], [Concepto Anterior]],Conceptos_Analítica_contraloría[#All],7,0),"")</f>
        <v/>
      </c>
      <c r="I820" t="str">
        <f>+IFERROR(VLOOKUP(D820,Conceptos_Analítica_contraloría[#All],2,0),"")</f>
        <v/>
      </c>
      <c r="J820" s="84" t="str">
        <f>+IFERROR(VLOOKUP(D820,Conceptos_Analítica_contraloría[#All],3,0),"")</f>
        <v/>
      </c>
    </row>
    <row r="821" spans="3:10" ht="18.75" customHeight="1" x14ac:dyDescent="0.35">
      <c r="C821" s="100" t="str">
        <f>IF(OR(Fact_Analitica[[#This Row], [Año]]="",Fact_Analitica[[#This Row], [Mes]]=""),"",DATE(A821,MATCH(B821,{"enero","febrero","marzo","abril","mayo","junio","julio","agosto","septiembre","octubre","noviembre","diciembre"},0)+1,0))</f>
        <v/>
      </c>
      <c r="E821" t="str">
        <f>+IFERROR(VLOOKUP(Fact_Analitica[[#This Row], [Concepto Anterior]],Conceptos_Analítica_contraloría[#All],5,0),"")</f>
        <v/>
      </c>
      <c r="F821" t="str">
        <f>+IFERROR(VLOOKUP(Fact_Analitica[[#This Row], [Concepto Anterior]],Conceptos_Analítica_contraloría[#All],7,0),"")</f>
        <v/>
      </c>
      <c r="I821" t="str">
        <f>+IFERROR(VLOOKUP(D821,Conceptos_Analítica_contraloría[#All],2,0),"")</f>
        <v/>
      </c>
      <c r="J821" s="84" t="str">
        <f>+IFERROR(VLOOKUP(D821,Conceptos_Analítica_contraloría[#All],3,0),"")</f>
        <v/>
      </c>
    </row>
    <row r="822" spans="3:10" ht="18.75" customHeight="1" x14ac:dyDescent="0.35">
      <c r="C822" s="100" t="str">
        <f>IF(OR(Fact_Analitica[[#This Row], [Año]]="",Fact_Analitica[[#This Row], [Mes]]=""),"",DATE(A822,MATCH(B822,{"enero","febrero","marzo","abril","mayo","junio","julio","agosto","septiembre","octubre","noviembre","diciembre"},0)+1,0))</f>
        <v/>
      </c>
      <c r="E822" t="str">
        <f>+IFERROR(VLOOKUP(Fact_Analitica[[#This Row], [Concepto Anterior]],Conceptos_Analítica_contraloría[#All],5,0),"")</f>
        <v/>
      </c>
      <c r="F822" t="str">
        <f>+IFERROR(VLOOKUP(Fact_Analitica[[#This Row], [Concepto Anterior]],Conceptos_Analítica_contraloría[#All],7,0),"")</f>
        <v/>
      </c>
      <c r="I822" t="str">
        <f>+IFERROR(VLOOKUP(D822,Conceptos_Analítica_contraloría[#All],2,0),"")</f>
        <v/>
      </c>
      <c r="J822" s="84" t="str">
        <f>+IFERROR(VLOOKUP(D822,Conceptos_Analítica_contraloría[#All],3,0),"")</f>
        <v/>
      </c>
    </row>
    <row r="823" spans="3:10" ht="18.75" customHeight="1" x14ac:dyDescent="0.35">
      <c r="C823" s="100" t="str">
        <f>IF(OR(Fact_Analitica[[#This Row], [Año]]="",Fact_Analitica[[#This Row], [Mes]]=""),"",DATE(A823,MATCH(B823,{"enero","febrero","marzo","abril","mayo","junio","julio","agosto","septiembre","octubre","noviembre","diciembre"},0)+1,0))</f>
        <v/>
      </c>
      <c r="E823" t="str">
        <f>+IFERROR(VLOOKUP(Fact_Analitica[[#This Row], [Concepto Anterior]],Conceptos_Analítica_contraloría[#All],5,0),"")</f>
        <v/>
      </c>
      <c r="F823" t="str">
        <f>+IFERROR(VLOOKUP(Fact_Analitica[[#This Row], [Concepto Anterior]],Conceptos_Analítica_contraloría[#All],7,0),"")</f>
        <v/>
      </c>
      <c r="I823" t="str">
        <f>+IFERROR(VLOOKUP(D823,Conceptos_Analítica_contraloría[#All],2,0),"")</f>
        <v/>
      </c>
      <c r="J823" s="84" t="str">
        <f>+IFERROR(VLOOKUP(D823,Conceptos_Analítica_contraloría[#All],3,0),"")</f>
        <v/>
      </c>
    </row>
    <row r="824" spans="3:10" ht="18.75" customHeight="1" x14ac:dyDescent="0.35">
      <c r="C824" s="100" t="str">
        <f>IF(OR(Fact_Analitica[[#This Row], [Año]]="",Fact_Analitica[[#This Row], [Mes]]=""),"",DATE(A824,MATCH(B824,{"enero","febrero","marzo","abril","mayo","junio","julio","agosto","septiembre","octubre","noviembre","diciembre"},0)+1,0))</f>
        <v/>
      </c>
      <c r="E824" t="str">
        <f>+IFERROR(VLOOKUP(Fact_Analitica[[#This Row], [Concepto Anterior]],Conceptos_Analítica_contraloría[#All],5,0),"")</f>
        <v/>
      </c>
      <c r="F824" t="str">
        <f>+IFERROR(VLOOKUP(Fact_Analitica[[#This Row], [Concepto Anterior]],Conceptos_Analítica_contraloría[#All],7,0),"")</f>
        <v/>
      </c>
      <c r="I824" t="str">
        <f>+IFERROR(VLOOKUP(D824,Conceptos_Analítica_contraloría[#All],2,0),"")</f>
        <v/>
      </c>
      <c r="J824" s="84" t="str">
        <f>+IFERROR(VLOOKUP(D824,Conceptos_Analítica_contraloría[#All],3,0),"")</f>
        <v/>
      </c>
    </row>
    <row r="825" spans="3:10" ht="18.75" customHeight="1" x14ac:dyDescent="0.35">
      <c r="C825" s="100" t="str">
        <f>IF(OR(Fact_Analitica[[#This Row], [Año]]="",Fact_Analitica[[#This Row], [Mes]]=""),"",DATE(A825,MATCH(B825,{"enero","febrero","marzo","abril","mayo","junio","julio","agosto","septiembre","octubre","noviembre","diciembre"},0)+1,0))</f>
        <v/>
      </c>
      <c r="E825" t="str">
        <f>+IFERROR(VLOOKUP(Fact_Analitica[[#This Row], [Concepto Anterior]],Conceptos_Analítica_contraloría[#All],5,0),"")</f>
        <v/>
      </c>
      <c r="F825" t="str">
        <f>+IFERROR(VLOOKUP(Fact_Analitica[[#This Row], [Concepto Anterior]],Conceptos_Analítica_contraloría[#All],7,0),"")</f>
        <v/>
      </c>
      <c r="I825" t="str">
        <f>+IFERROR(VLOOKUP(D825,Conceptos_Analítica_contraloría[#All],2,0),"")</f>
        <v/>
      </c>
      <c r="J825" s="84" t="str">
        <f>+IFERROR(VLOOKUP(D825,Conceptos_Analítica_contraloría[#All],3,0),"")</f>
        <v/>
      </c>
    </row>
    <row r="826" spans="3:10" ht="18.75" customHeight="1" x14ac:dyDescent="0.35">
      <c r="C826" s="100" t="str">
        <f>IF(OR(Fact_Analitica[[#This Row], [Año]]="",Fact_Analitica[[#This Row], [Mes]]=""),"",DATE(A826,MATCH(B826,{"enero","febrero","marzo","abril","mayo","junio","julio","agosto","septiembre","octubre","noviembre","diciembre"},0)+1,0))</f>
        <v/>
      </c>
      <c r="E826" t="str">
        <f>+IFERROR(VLOOKUP(Fact_Analitica[[#This Row], [Concepto Anterior]],Conceptos_Analítica_contraloría[#All],5,0),"")</f>
        <v/>
      </c>
      <c r="F826" t="str">
        <f>+IFERROR(VLOOKUP(Fact_Analitica[[#This Row], [Concepto Anterior]],Conceptos_Analítica_contraloría[#All],7,0),"")</f>
        <v/>
      </c>
      <c r="I826" t="str">
        <f>+IFERROR(VLOOKUP(D826,Conceptos_Analítica_contraloría[#All],2,0),"")</f>
        <v/>
      </c>
      <c r="J826" s="84" t="str">
        <f>+IFERROR(VLOOKUP(D826,Conceptos_Analítica_contraloría[#All],3,0),"")</f>
        <v/>
      </c>
    </row>
    <row r="827" spans="3:10" ht="18.75" customHeight="1" x14ac:dyDescent="0.35">
      <c r="C827" s="100" t="str">
        <f>IF(OR(Fact_Analitica[[#This Row], [Año]]="",Fact_Analitica[[#This Row], [Mes]]=""),"",DATE(A827,MATCH(B827,{"enero","febrero","marzo","abril","mayo","junio","julio","agosto","septiembre","octubre","noviembre","diciembre"},0)+1,0))</f>
        <v/>
      </c>
      <c r="E827" t="str">
        <f>+IFERROR(VLOOKUP(Fact_Analitica[[#This Row], [Concepto Anterior]],Conceptos_Analítica_contraloría[#All],5,0),"")</f>
        <v/>
      </c>
      <c r="F827" t="str">
        <f>+IFERROR(VLOOKUP(Fact_Analitica[[#This Row], [Concepto Anterior]],Conceptos_Analítica_contraloría[#All],7,0),"")</f>
        <v/>
      </c>
      <c r="I827" t="str">
        <f>+IFERROR(VLOOKUP(D827,Conceptos_Analítica_contraloría[#All],2,0),"")</f>
        <v/>
      </c>
      <c r="J827" s="84" t="str">
        <f>+IFERROR(VLOOKUP(D827,Conceptos_Analítica_contraloría[#All],3,0),"")</f>
        <v/>
      </c>
    </row>
    <row r="828" spans="3:10" ht="18.75" customHeight="1" x14ac:dyDescent="0.35">
      <c r="C828" s="100" t="str">
        <f>IF(OR(Fact_Analitica[[#This Row], [Año]]="",Fact_Analitica[[#This Row], [Mes]]=""),"",DATE(A828,MATCH(B828,{"enero","febrero","marzo","abril","mayo","junio","julio","agosto","septiembre","octubre","noviembre","diciembre"},0)+1,0))</f>
        <v/>
      </c>
      <c r="E828" t="str">
        <f>+IFERROR(VLOOKUP(Fact_Analitica[[#This Row], [Concepto Anterior]],Conceptos_Analítica_contraloría[#All],5,0),"")</f>
        <v/>
      </c>
      <c r="F828" t="str">
        <f>+IFERROR(VLOOKUP(Fact_Analitica[[#This Row], [Concepto Anterior]],Conceptos_Analítica_contraloría[#All],7,0),"")</f>
        <v/>
      </c>
      <c r="I828" t="str">
        <f>+IFERROR(VLOOKUP(D828,Conceptos_Analítica_contraloría[#All],2,0),"")</f>
        <v/>
      </c>
      <c r="J828" s="84" t="str">
        <f>+IFERROR(VLOOKUP(D828,Conceptos_Analítica_contraloría[#All],3,0),"")</f>
        <v/>
      </c>
    </row>
    <row r="829" spans="3:10" ht="18.75" customHeight="1" x14ac:dyDescent="0.35">
      <c r="C829" s="100" t="str">
        <f>IF(OR(Fact_Analitica[[#This Row], [Año]]="",Fact_Analitica[[#This Row], [Mes]]=""),"",DATE(A829,MATCH(B829,{"enero","febrero","marzo","abril","mayo","junio","julio","agosto","septiembre","octubre","noviembre","diciembre"},0)+1,0))</f>
        <v/>
      </c>
      <c r="E829" t="str">
        <f>+IFERROR(VLOOKUP(Fact_Analitica[[#This Row], [Concepto Anterior]],Conceptos_Analítica_contraloría[#All],5,0),"")</f>
        <v/>
      </c>
      <c r="F829" t="str">
        <f>+IFERROR(VLOOKUP(Fact_Analitica[[#This Row], [Concepto Anterior]],Conceptos_Analítica_contraloría[#All],7,0),"")</f>
        <v/>
      </c>
      <c r="I829" t="str">
        <f>+IFERROR(VLOOKUP(D829,Conceptos_Analítica_contraloría[#All],2,0),"")</f>
        <v/>
      </c>
      <c r="J829" s="84" t="str">
        <f>+IFERROR(VLOOKUP(D829,Conceptos_Analítica_contraloría[#All],3,0),"")</f>
        <v/>
      </c>
    </row>
    <row r="830" spans="3:10" ht="18.75" customHeight="1" x14ac:dyDescent="0.35">
      <c r="C830" s="100" t="str">
        <f>IF(OR(Fact_Analitica[[#This Row], [Año]]="",Fact_Analitica[[#This Row], [Mes]]=""),"",DATE(A830,MATCH(B830,{"enero","febrero","marzo","abril","mayo","junio","julio","agosto","septiembre","octubre","noviembre","diciembre"},0)+1,0))</f>
        <v/>
      </c>
      <c r="E830" t="str">
        <f>+IFERROR(VLOOKUP(Fact_Analitica[[#This Row], [Concepto Anterior]],Conceptos_Analítica_contraloría[#All],5,0),"")</f>
        <v/>
      </c>
      <c r="F830" t="str">
        <f>+IFERROR(VLOOKUP(Fact_Analitica[[#This Row], [Concepto Anterior]],Conceptos_Analítica_contraloría[#All],7,0),"")</f>
        <v/>
      </c>
      <c r="I830" t="str">
        <f>+IFERROR(VLOOKUP(D830,Conceptos_Analítica_contraloría[#All],2,0),"")</f>
        <v/>
      </c>
      <c r="J830" s="84" t="str">
        <f>+IFERROR(VLOOKUP(D830,Conceptos_Analítica_contraloría[#All],3,0),"")</f>
        <v/>
      </c>
    </row>
    <row r="831" spans="3:10" ht="18.75" customHeight="1" x14ac:dyDescent="0.35">
      <c r="C831" s="100" t="str">
        <f>IF(OR(Fact_Analitica[[#This Row], [Año]]="",Fact_Analitica[[#This Row], [Mes]]=""),"",DATE(A831,MATCH(B831,{"enero","febrero","marzo","abril","mayo","junio","julio","agosto","septiembre","octubre","noviembre","diciembre"},0)+1,0))</f>
        <v/>
      </c>
      <c r="E831" t="str">
        <f>+IFERROR(VLOOKUP(Fact_Analitica[[#This Row], [Concepto Anterior]],Conceptos_Analítica_contraloría[#All],5,0),"")</f>
        <v/>
      </c>
      <c r="F831" t="str">
        <f>+IFERROR(VLOOKUP(Fact_Analitica[[#This Row], [Concepto Anterior]],Conceptos_Analítica_contraloría[#All],7,0),"")</f>
        <v/>
      </c>
      <c r="I831" t="str">
        <f>+IFERROR(VLOOKUP(D831,Conceptos_Analítica_contraloría[#All],2,0),"")</f>
        <v/>
      </c>
      <c r="J831" s="84" t="str">
        <f>+IFERROR(VLOOKUP(D831,Conceptos_Analítica_contraloría[#All],3,0),"")</f>
        <v/>
      </c>
    </row>
    <row r="832" spans="3:10" ht="18.75" customHeight="1" x14ac:dyDescent="0.35">
      <c r="C832" s="100" t="str">
        <f>IF(OR(Fact_Analitica[[#This Row], [Año]]="",Fact_Analitica[[#This Row], [Mes]]=""),"",DATE(A832,MATCH(B832,{"enero","febrero","marzo","abril","mayo","junio","julio","agosto","septiembre","octubre","noviembre","diciembre"},0)+1,0))</f>
        <v/>
      </c>
      <c r="E832" t="str">
        <f>+IFERROR(VLOOKUP(Fact_Analitica[[#This Row], [Concepto Anterior]],Conceptos_Analítica_contraloría[#All],5,0),"")</f>
        <v/>
      </c>
      <c r="F832" t="str">
        <f>+IFERROR(VLOOKUP(Fact_Analitica[[#This Row], [Concepto Anterior]],Conceptos_Analítica_contraloría[#All],7,0),"")</f>
        <v/>
      </c>
      <c r="I832" t="str">
        <f>+IFERROR(VLOOKUP(D832,Conceptos_Analítica_contraloría[#All],2,0),"")</f>
        <v/>
      </c>
      <c r="J832" s="84" t="str">
        <f>+IFERROR(VLOOKUP(D832,Conceptos_Analítica_contraloría[#All],3,0),"")</f>
        <v/>
      </c>
    </row>
    <row r="833" spans="3:10" ht="18.75" customHeight="1" x14ac:dyDescent="0.35">
      <c r="C833" s="100" t="str">
        <f>IF(OR(Fact_Analitica[[#This Row], [Año]]="",Fact_Analitica[[#This Row], [Mes]]=""),"",DATE(A833,MATCH(B833,{"enero","febrero","marzo","abril","mayo","junio","julio","agosto","septiembre","octubre","noviembre","diciembre"},0)+1,0))</f>
        <v/>
      </c>
      <c r="E833" t="str">
        <f>+IFERROR(VLOOKUP(Fact_Analitica[[#This Row], [Concepto Anterior]],Conceptos_Analítica_contraloría[#All],5,0),"")</f>
        <v/>
      </c>
      <c r="F833" t="str">
        <f>+IFERROR(VLOOKUP(Fact_Analitica[[#This Row], [Concepto Anterior]],Conceptos_Analítica_contraloría[#All],7,0),"")</f>
        <v/>
      </c>
      <c r="I833" t="str">
        <f>+IFERROR(VLOOKUP(D833,Conceptos_Analítica_contraloría[#All],2,0),"")</f>
        <v/>
      </c>
      <c r="J833" s="84" t="str">
        <f>+IFERROR(VLOOKUP(D833,Conceptos_Analítica_contraloría[#All],3,0),"")</f>
        <v/>
      </c>
    </row>
    <row r="834" spans="3:10" ht="18.75" customHeight="1" x14ac:dyDescent="0.35">
      <c r="C834" s="100" t="str">
        <f>IF(OR(Fact_Analitica[[#This Row], [Año]]="",Fact_Analitica[[#This Row], [Mes]]=""),"",DATE(A834,MATCH(B834,{"enero","febrero","marzo","abril","mayo","junio","julio","agosto","septiembre","octubre","noviembre","diciembre"},0)+1,0))</f>
        <v/>
      </c>
      <c r="E834" t="str">
        <f>+IFERROR(VLOOKUP(Fact_Analitica[[#This Row], [Concepto Anterior]],Conceptos_Analítica_contraloría[#All],5,0),"")</f>
        <v/>
      </c>
      <c r="F834" t="str">
        <f>+IFERROR(VLOOKUP(Fact_Analitica[[#This Row], [Concepto Anterior]],Conceptos_Analítica_contraloría[#All],7,0),"")</f>
        <v/>
      </c>
      <c r="I834" t="str">
        <f>+IFERROR(VLOOKUP(D834,Conceptos_Analítica_contraloría[#All],2,0),"")</f>
        <v/>
      </c>
      <c r="J834" s="84" t="str">
        <f>+IFERROR(VLOOKUP(D834,Conceptos_Analítica_contraloría[#All],3,0),"")</f>
        <v/>
      </c>
    </row>
    <row r="835" spans="3:10" ht="18.75" customHeight="1" x14ac:dyDescent="0.35">
      <c r="C835" s="100" t="str">
        <f>IF(OR(Fact_Analitica[[#This Row], [Año]]="",Fact_Analitica[[#This Row], [Mes]]=""),"",DATE(A835,MATCH(B835,{"enero","febrero","marzo","abril","mayo","junio","julio","agosto","septiembre","octubre","noviembre","diciembre"},0)+1,0))</f>
        <v/>
      </c>
      <c r="E835" t="str">
        <f>+IFERROR(VLOOKUP(Fact_Analitica[[#This Row], [Concepto Anterior]],Conceptos_Analítica_contraloría[#All],5,0),"")</f>
        <v/>
      </c>
      <c r="F835" t="str">
        <f>+IFERROR(VLOOKUP(Fact_Analitica[[#This Row], [Concepto Anterior]],Conceptos_Analítica_contraloría[#All],7,0),"")</f>
        <v/>
      </c>
      <c r="I835" t="str">
        <f>+IFERROR(VLOOKUP(D835,Conceptos_Analítica_contraloría[#All],2,0),"")</f>
        <v/>
      </c>
      <c r="J835" s="84" t="str">
        <f>+IFERROR(VLOOKUP(D835,Conceptos_Analítica_contraloría[#All],3,0),"")</f>
        <v/>
      </c>
    </row>
    <row r="836" spans="3:10" ht="18.75" customHeight="1" x14ac:dyDescent="0.35">
      <c r="C836" s="100" t="str">
        <f>IF(OR(Fact_Analitica[[#This Row], [Año]]="",Fact_Analitica[[#This Row], [Mes]]=""),"",DATE(A836,MATCH(B836,{"enero","febrero","marzo","abril","mayo","junio","julio","agosto","septiembre","octubre","noviembre","diciembre"},0)+1,0))</f>
        <v/>
      </c>
      <c r="E836" t="str">
        <f>+IFERROR(VLOOKUP(Fact_Analitica[[#This Row], [Concepto Anterior]],Conceptos_Analítica_contraloría[#All],5,0),"")</f>
        <v/>
      </c>
      <c r="F836" t="str">
        <f>+IFERROR(VLOOKUP(Fact_Analitica[[#This Row], [Concepto Anterior]],Conceptos_Analítica_contraloría[#All],7,0),"")</f>
        <v/>
      </c>
      <c r="I836" t="str">
        <f>+IFERROR(VLOOKUP(D836,Conceptos_Analítica_contraloría[#All],2,0),"")</f>
        <v/>
      </c>
      <c r="J836" s="84" t="str">
        <f>+IFERROR(VLOOKUP(D836,Conceptos_Analítica_contraloría[#All],3,0),"")</f>
        <v/>
      </c>
    </row>
    <row r="837" spans="3:10" ht="18.75" customHeight="1" x14ac:dyDescent="0.35">
      <c r="C837" s="100" t="str">
        <f>IF(OR(Fact_Analitica[[#This Row], [Año]]="",Fact_Analitica[[#This Row], [Mes]]=""),"",DATE(A837,MATCH(B837,{"enero","febrero","marzo","abril","mayo","junio","julio","agosto","septiembre","octubre","noviembre","diciembre"},0)+1,0))</f>
        <v/>
      </c>
      <c r="E837" t="str">
        <f>+IFERROR(VLOOKUP(Fact_Analitica[[#This Row], [Concepto Anterior]],Conceptos_Analítica_contraloría[#All],5,0),"")</f>
        <v/>
      </c>
      <c r="F837" t="str">
        <f>+IFERROR(VLOOKUP(Fact_Analitica[[#This Row], [Concepto Anterior]],Conceptos_Analítica_contraloría[#All],7,0),"")</f>
        <v/>
      </c>
      <c r="I837" t="str">
        <f>+IFERROR(VLOOKUP(D837,Conceptos_Analítica_contraloría[#All],2,0),"")</f>
        <v/>
      </c>
      <c r="J837" s="84" t="str">
        <f>+IFERROR(VLOOKUP(D837,Conceptos_Analítica_contraloría[#All],3,0),"")</f>
        <v/>
      </c>
    </row>
    <row r="838" spans="3:10" ht="18.75" customHeight="1" x14ac:dyDescent="0.35">
      <c r="C838" s="100" t="str">
        <f>IF(OR(Fact_Analitica[[#This Row], [Año]]="",Fact_Analitica[[#This Row], [Mes]]=""),"",DATE(A838,MATCH(B838,{"enero","febrero","marzo","abril","mayo","junio","julio","agosto","septiembre","octubre","noviembre","diciembre"},0)+1,0))</f>
        <v/>
      </c>
      <c r="E838" t="str">
        <f>+IFERROR(VLOOKUP(Fact_Analitica[[#This Row], [Concepto Anterior]],Conceptos_Analítica_contraloría[#All],5,0),"")</f>
        <v/>
      </c>
      <c r="F838" t="str">
        <f>+IFERROR(VLOOKUP(Fact_Analitica[[#This Row], [Concepto Anterior]],Conceptos_Analítica_contraloría[#All],7,0),"")</f>
        <v/>
      </c>
      <c r="I838" t="str">
        <f>+IFERROR(VLOOKUP(D838,Conceptos_Analítica_contraloría[#All],2,0),"")</f>
        <v/>
      </c>
      <c r="J838" s="84" t="str">
        <f>+IFERROR(VLOOKUP(D838,Conceptos_Analítica_contraloría[#All],3,0),"")</f>
        <v/>
      </c>
    </row>
    <row r="839" spans="3:10" ht="18.75" customHeight="1" x14ac:dyDescent="0.35">
      <c r="C839" s="100" t="str">
        <f>IF(OR(Fact_Analitica[[#This Row], [Año]]="",Fact_Analitica[[#This Row], [Mes]]=""),"",DATE(A839,MATCH(B839,{"enero","febrero","marzo","abril","mayo","junio","julio","agosto","septiembre","octubre","noviembre","diciembre"},0)+1,0))</f>
        <v/>
      </c>
      <c r="E839" t="str">
        <f>+IFERROR(VLOOKUP(Fact_Analitica[[#This Row], [Concepto Anterior]],Conceptos_Analítica_contraloría[#All],5,0),"")</f>
        <v/>
      </c>
      <c r="F839" t="str">
        <f>+IFERROR(VLOOKUP(Fact_Analitica[[#This Row], [Concepto Anterior]],Conceptos_Analítica_contraloría[#All],7,0),"")</f>
        <v/>
      </c>
      <c r="I839" t="str">
        <f>+IFERROR(VLOOKUP(D839,Conceptos_Analítica_contraloría[#All],2,0),"")</f>
        <v/>
      </c>
      <c r="J839" s="84" t="str">
        <f>+IFERROR(VLOOKUP(D839,Conceptos_Analítica_contraloría[#All],3,0),"")</f>
        <v/>
      </c>
    </row>
    <row r="840" spans="3:10" ht="18.75" customHeight="1" x14ac:dyDescent="0.35">
      <c r="C840" s="100" t="str">
        <f>IF(OR(Fact_Analitica[[#This Row], [Año]]="",Fact_Analitica[[#This Row], [Mes]]=""),"",DATE(A840,MATCH(B840,{"enero","febrero","marzo","abril","mayo","junio","julio","agosto","septiembre","octubre","noviembre","diciembre"},0)+1,0))</f>
        <v/>
      </c>
      <c r="E840" t="str">
        <f>+IFERROR(VLOOKUP(Fact_Analitica[[#This Row], [Concepto Anterior]],Conceptos_Analítica_contraloría[#All],5,0),"")</f>
        <v/>
      </c>
      <c r="F840" t="str">
        <f>+IFERROR(VLOOKUP(Fact_Analitica[[#This Row], [Concepto Anterior]],Conceptos_Analítica_contraloría[#All],7,0),"")</f>
        <v/>
      </c>
      <c r="I840" t="str">
        <f>+IFERROR(VLOOKUP(D840,Conceptos_Analítica_contraloría[#All],2,0),"")</f>
        <v/>
      </c>
      <c r="J840" s="84" t="str">
        <f>+IFERROR(VLOOKUP(D840,Conceptos_Analítica_contraloría[#All],3,0),"")</f>
        <v/>
      </c>
    </row>
    <row r="841" spans="3:10" ht="18.75" customHeight="1" x14ac:dyDescent="0.35">
      <c r="C841" s="100" t="str">
        <f>IF(OR(Fact_Analitica[[#This Row], [Año]]="",Fact_Analitica[[#This Row], [Mes]]=""),"",DATE(A841,MATCH(B841,{"enero","febrero","marzo","abril","mayo","junio","julio","agosto","septiembre","octubre","noviembre","diciembre"},0)+1,0))</f>
        <v/>
      </c>
      <c r="E841" t="str">
        <f>+IFERROR(VLOOKUP(Fact_Analitica[[#This Row], [Concepto Anterior]],Conceptos_Analítica_contraloría[#All],5,0),"")</f>
        <v/>
      </c>
      <c r="F841" t="str">
        <f>+IFERROR(VLOOKUP(Fact_Analitica[[#This Row], [Concepto Anterior]],Conceptos_Analítica_contraloría[#All],7,0),"")</f>
        <v/>
      </c>
      <c r="I841" t="str">
        <f>+IFERROR(VLOOKUP(D841,Conceptos_Analítica_contraloría[#All],2,0),"")</f>
        <v/>
      </c>
      <c r="J841" s="84" t="str">
        <f>+IFERROR(VLOOKUP(D841,Conceptos_Analítica_contraloría[#All],3,0),"")</f>
        <v/>
      </c>
    </row>
    <row r="842" spans="3:10" ht="18.75" customHeight="1" x14ac:dyDescent="0.35">
      <c r="C842" s="100" t="str">
        <f>IF(OR(Fact_Analitica[[#This Row], [Año]]="",Fact_Analitica[[#This Row], [Mes]]=""),"",DATE(A842,MATCH(B842,{"enero","febrero","marzo","abril","mayo","junio","julio","agosto","septiembre","octubre","noviembre","diciembre"},0)+1,0))</f>
        <v/>
      </c>
      <c r="E842" t="str">
        <f>+IFERROR(VLOOKUP(Fact_Analitica[[#This Row], [Concepto Anterior]],Conceptos_Analítica_contraloría[#All],5,0),"")</f>
        <v/>
      </c>
      <c r="F842" t="str">
        <f>+IFERROR(VLOOKUP(Fact_Analitica[[#This Row], [Concepto Anterior]],Conceptos_Analítica_contraloría[#All],7,0),"")</f>
        <v/>
      </c>
      <c r="I842" t="str">
        <f>+IFERROR(VLOOKUP(D842,Conceptos_Analítica_contraloría[#All],2,0),"")</f>
        <v/>
      </c>
      <c r="J842" s="84" t="str">
        <f>+IFERROR(VLOOKUP(D842,Conceptos_Analítica_contraloría[#All],3,0),"")</f>
        <v/>
      </c>
    </row>
    <row r="843" spans="3:10" ht="18.75" customHeight="1" x14ac:dyDescent="0.35">
      <c r="C843" s="100" t="str">
        <f>IF(OR(Fact_Analitica[[#This Row], [Año]]="",Fact_Analitica[[#This Row], [Mes]]=""),"",DATE(A843,MATCH(B843,{"enero","febrero","marzo","abril","mayo","junio","julio","agosto","septiembre","octubre","noviembre","diciembre"},0)+1,0))</f>
        <v/>
      </c>
      <c r="E843" t="str">
        <f>+IFERROR(VLOOKUP(Fact_Analitica[[#This Row], [Concepto Anterior]],Conceptos_Analítica_contraloría[#All],5,0),"")</f>
        <v/>
      </c>
      <c r="F843" t="str">
        <f>+IFERROR(VLOOKUP(Fact_Analitica[[#This Row], [Concepto Anterior]],Conceptos_Analítica_contraloría[#All],7,0),"")</f>
        <v/>
      </c>
      <c r="I843" t="str">
        <f>+IFERROR(VLOOKUP(D843,Conceptos_Analítica_contraloría[#All],2,0),"")</f>
        <v/>
      </c>
      <c r="J843" s="84" t="str">
        <f>+IFERROR(VLOOKUP(D843,Conceptos_Analítica_contraloría[#All],3,0),"")</f>
        <v/>
      </c>
    </row>
    <row r="844" spans="3:10" ht="18.75" customHeight="1" x14ac:dyDescent="0.35">
      <c r="C844" s="100" t="str">
        <f>IF(OR(Fact_Analitica[[#This Row], [Año]]="",Fact_Analitica[[#This Row], [Mes]]=""),"",DATE(A844,MATCH(B844,{"enero","febrero","marzo","abril","mayo","junio","julio","agosto","septiembre","octubre","noviembre","diciembre"},0)+1,0))</f>
        <v/>
      </c>
      <c r="E844" t="str">
        <f>+IFERROR(VLOOKUP(Fact_Analitica[[#This Row], [Concepto Anterior]],Conceptos_Analítica_contraloría[#All],5,0),"")</f>
        <v/>
      </c>
      <c r="F844" t="str">
        <f>+IFERROR(VLOOKUP(Fact_Analitica[[#This Row], [Concepto Anterior]],Conceptos_Analítica_contraloría[#All],7,0),"")</f>
        <v/>
      </c>
      <c r="I844" t="str">
        <f>+IFERROR(VLOOKUP(D844,Conceptos_Analítica_contraloría[#All],2,0),"")</f>
        <v/>
      </c>
      <c r="J844" s="84" t="str">
        <f>+IFERROR(VLOOKUP(D844,Conceptos_Analítica_contraloría[#All],3,0),"")</f>
        <v/>
      </c>
    </row>
    <row r="845" spans="3:10" ht="18.75" customHeight="1" x14ac:dyDescent="0.35">
      <c r="C845" s="100" t="str">
        <f>IF(OR(Fact_Analitica[[#This Row], [Año]]="",Fact_Analitica[[#This Row], [Mes]]=""),"",DATE(A845,MATCH(B845,{"enero","febrero","marzo","abril","mayo","junio","julio","agosto","septiembre","octubre","noviembre","diciembre"},0)+1,0))</f>
        <v/>
      </c>
      <c r="E845" t="str">
        <f>+IFERROR(VLOOKUP(Fact_Analitica[[#This Row], [Concepto Anterior]],Conceptos_Analítica_contraloría[#All],5,0),"")</f>
        <v/>
      </c>
      <c r="F845" t="str">
        <f>+IFERROR(VLOOKUP(Fact_Analitica[[#This Row], [Concepto Anterior]],Conceptos_Analítica_contraloría[#All],7,0),"")</f>
        <v/>
      </c>
      <c r="I845" t="str">
        <f>+IFERROR(VLOOKUP(D845,Conceptos_Analítica_contraloría[#All],2,0),"")</f>
        <v/>
      </c>
      <c r="J845" s="84" t="str">
        <f>+IFERROR(VLOOKUP(D845,Conceptos_Analítica_contraloría[#All],3,0),"")</f>
        <v/>
      </c>
    </row>
    <row r="846" spans="3:10" ht="18.75" customHeight="1" x14ac:dyDescent="0.35">
      <c r="C846" s="100" t="str">
        <f>IF(OR(Fact_Analitica[[#This Row], [Año]]="",Fact_Analitica[[#This Row], [Mes]]=""),"",DATE(A846,MATCH(B846,{"enero","febrero","marzo","abril","mayo","junio","julio","agosto","septiembre","octubre","noviembre","diciembre"},0)+1,0))</f>
        <v/>
      </c>
      <c r="E846" t="str">
        <f>+IFERROR(VLOOKUP(Fact_Analitica[[#This Row], [Concepto Anterior]],Conceptos_Analítica_contraloría[#All],5,0),"")</f>
        <v/>
      </c>
      <c r="F846" t="str">
        <f>+IFERROR(VLOOKUP(Fact_Analitica[[#This Row], [Concepto Anterior]],Conceptos_Analítica_contraloría[#All],7,0),"")</f>
        <v/>
      </c>
      <c r="I846" t="str">
        <f>+IFERROR(VLOOKUP(D846,Conceptos_Analítica_contraloría[#All],2,0),"")</f>
        <v/>
      </c>
      <c r="J846" s="84" t="str">
        <f>+IFERROR(VLOOKUP(D846,Conceptos_Analítica_contraloría[#All],3,0),"")</f>
        <v/>
      </c>
    </row>
    <row r="847" spans="3:10" ht="18.75" customHeight="1" x14ac:dyDescent="0.35">
      <c r="C847" s="100" t="str">
        <f>IF(OR(Fact_Analitica[[#This Row], [Año]]="",Fact_Analitica[[#This Row], [Mes]]=""),"",DATE(A847,MATCH(B847,{"enero","febrero","marzo","abril","mayo","junio","julio","agosto","septiembre","octubre","noviembre","diciembre"},0)+1,0))</f>
        <v/>
      </c>
      <c r="E847" t="str">
        <f>+IFERROR(VLOOKUP(Fact_Analitica[[#This Row], [Concepto Anterior]],Conceptos_Analítica_contraloría[#All],5,0),"")</f>
        <v/>
      </c>
      <c r="F847" t="str">
        <f>+IFERROR(VLOOKUP(Fact_Analitica[[#This Row], [Concepto Anterior]],Conceptos_Analítica_contraloría[#All],7,0),"")</f>
        <v/>
      </c>
      <c r="I847" t="str">
        <f>+IFERROR(VLOOKUP(D847,Conceptos_Analítica_contraloría[#All],2,0),"")</f>
        <v/>
      </c>
      <c r="J847" s="84" t="str">
        <f>+IFERROR(VLOOKUP(D847,Conceptos_Analítica_contraloría[#All],3,0),"")</f>
        <v/>
      </c>
    </row>
    <row r="848" spans="3:10" ht="18.75" customHeight="1" x14ac:dyDescent="0.35">
      <c r="C848" s="100" t="str">
        <f>IF(OR(Fact_Analitica[[#This Row], [Año]]="",Fact_Analitica[[#This Row], [Mes]]=""),"",DATE(A848,MATCH(B848,{"enero","febrero","marzo","abril","mayo","junio","julio","agosto","septiembre","octubre","noviembre","diciembre"},0)+1,0))</f>
        <v/>
      </c>
      <c r="E848" t="str">
        <f>+IFERROR(VLOOKUP(Fact_Analitica[[#This Row], [Concepto Anterior]],Conceptos_Analítica_contraloría[#All],5,0),"")</f>
        <v/>
      </c>
      <c r="F848" t="str">
        <f>+IFERROR(VLOOKUP(Fact_Analitica[[#This Row], [Concepto Anterior]],Conceptos_Analítica_contraloría[#All],7,0),"")</f>
        <v/>
      </c>
      <c r="I848" t="str">
        <f>+IFERROR(VLOOKUP(D848,Conceptos_Analítica_contraloría[#All],2,0),"")</f>
        <v/>
      </c>
      <c r="J848" s="84" t="str">
        <f>+IFERROR(VLOOKUP(D848,Conceptos_Analítica_contraloría[#All],3,0),"")</f>
        <v/>
      </c>
    </row>
    <row r="849" spans="3:10" ht="18.75" customHeight="1" x14ac:dyDescent="0.35">
      <c r="C849" s="100" t="str">
        <f>IF(OR(Fact_Analitica[[#This Row], [Año]]="",Fact_Analitica[[#This Row], [Mes]]=""),"",DATE(A849,MATCH(B849,{"enero","febrero","marzo","abril","mayo","junio","julio","agosto","septiembre","octubre","noviembre","diciembre"},0)+1,0))</f>
        <v/>
      </c>
      <c r="E849" t="str">
        <f>+IFERROR(VLOOKUP(Fact_Analitica[[#This Row], [Concepto Anterior]],Conceptos_Analítica_contraloría[#All],5,0),"")</f>
        <v/>
      </c>
      <c r="F849" t="str">
        <f>+IFERROR(VLOOKUP(Fact_Analitica[[#This Row], [Concepto Anterior]],Conceptos_Analítica_contraloría[#All],7,0),"")</f>
        <v/>
      </c>
      <c r="I849" t="str">
        <f>+IFERROR(VLOOKUP(D849,Conceptos_Analítica_contraloría[#All],2,0),"")</f>
        <v/>
      </c>
      <c r="J849" s="84" t="str">
        <f>+IFERROR(VLOOKUP(D849,Conceptos_Analítica_contraloría[#All],3,0),"")</f>
        <v/>
      </c>
    </row>
    <row r="850" spans="3:10" ht="18.75" customHeight="1" x14ac:dyDescent="0.35">
      <c r="C850" s="100" t="str">
        <f>IF(OR(Fact_Analitica[[#This Row], [Año]]="",Fact_Analitica[[#This Row], [Mes]]=""),"",DATE(A850,MATCH(B850,{"enero","febrero","marzo","abril","mayo","junio","julio","agosto","septiembre","octubre","noviembre","diciembre"},0)+1,0))</f>
        <v/>
      </c>
      <c r="E850" t="str">
        <f>+IFERROR(VLOOKUP(Fact_Analitica[[#This Row], [Concepto Anterior]],Conceptos_Analítica_contraloría[#All],5,0),"")</f>
        <v/>
      </c>
      <c r="F850" t="str">
        <f>+IFERROR(VLOOKUP(Fact_Analitica[[#This Row], [Concepto Anterior]],Conceptos_Analítica_contraloría[#All],7,0),"")</f>
        <v/>
      </c>
      <c r="I850" t="str">
        <f>+IFERROR(VLOOKUP(D850,Conceptos_Analítica_contraloría[#All],2,0),"")</f>
        <v/>
      </c>
      <c r="J850" s="84" t="str">
        <f>+IFERROR(VLOOKUP(D850,Conceptos_Analítica_contraloría[#All],3,0),"")</f>
        <v/>
      </c>
    </row>
    <row r="851" spans="3:10" ht="18.75" customHeight="1" x14ac:dyDescent="0.35">
      <c r="C851" s="100" t="str">
        <f>IF(OR(Fact_Analitica[[#This Row], [Año]]="",Fact_Analitica[[#This Row], [Mes]]=""),"",DATE(A851,MATCH(B851,{"enero","febrero","marzo","abril","mayo","junio","julio","agosto","septiembre","octubre","noviembre","diciembre"},0)+1,0))</f>
        <v/>
      </c>
      <c r="E851" t="str">
        <f>+IFERROR(VLOOKUP(Fact_Analitica[[#This Row], [Concepto Anterior]],Conceptos_Analítica_contraloría[#All],5,0),"")</f>
        <v/>
      </c>
      <c r="F851" t="str">
        <f>+IFERROR(VLOOKUP(Fact_Analitica[[#This Row], [Concepto Anterior]],Conceptos_Analítica_contraloría[#All],7,0),"")</f>
        <v/>
      </c>
      <c r="I851" t="str">
        <f>+IFERROR(VLOOKUP(D851,Conceptos_Analítica_contraloría[#All],2,0),"")</f>
        <v/>
      </c>
      <c r="J851" s="84" t="str">
        <f>+IFERROR(VLOOKUP(D851,Conceptos_Analítica_contraloría[#All],3,0),"")</f>
        <v/>
      </c>
    </row>
    <row r="852" spans="3:10" ht="18.75" customHeight="1" x14ac:dyDescent="0.35">
      <c r="C852" s="100" t="str">
        <f>IF(OR(Fact_Analitica[[#This Row], [Año]]="",Fact_Analitica[[#This Row], [Mes]]=""),"",DATE(A852,MATCH(B852,{"enero","febrero","marzo","abril","mayo","junio","julio","agosto","septiembre","octubre","noviembre","diciembre"},0)+1,0))</f>
        <v/>
      </c>
      <c r="E852" t="str">
        <f>+IFERROR(VLOOKUP(Fact_Analitica[[#This Row], [Concepto Anterior]],Conceptos_Analítica_contraloría[#All],5,0),"")</f>
        <v/>
      </c>
      <c r="F852" t="str">
        <f>+IFERROR(VLOOKUP(Fact_Analitica[[#This Row], [Concepto Anterior]],Conceptos_Analítica_contraloría[#All],7,0),"")</f>
        <v/>
      </c>
      <c r="I852" t="str">
        <f>+IFERROR(VLOOKUP(D852,Conceptos_Analítica_contraloría[#All],2,0),"")</f>
        <v/>
      </c>
      <c r="J852" s="84" t="str">
        <f>+IFERROR(VLOOKUP(D852,Conceptos_Analítica_contraloría[#All],3,0),"")</f>
        <v/>
      </c>
    </row>
    <row r="853" spans="3:10" ht="18.75" customHeight="1" x14ac:dyDescent="0.35">
      <c r="C853" s="100" t="str">
        <f>IF(OR(Fact_Analitica[[#This Row], [Año]]="",Fact_Analitica[[#This Row], [Mes]]=""),"",DATE(A853,MATCH(B853,{"enero","febrero","marzo","abril","mayo","junio","julio","agosto","septiembre","octubre","noviembre","diciembre"},0)+1,0))</f>
        <v/>
      </c>
      <c r="E853" t="str">
        <f>+IFERROR(VLOOKUP(Fact_Analitica[[#This Row], [Concepto Anterior]],Conceptos_Analítica_contraloría[#All],5,0),"")</f>
        <v/>
      </c>
      <c r="F853" t="str">
        <f>+IFERROR(VLOOKUP(Fact_Analitica[[#This Row], [Concepto Anterior]],Conceptos_Analítica_contraloría[#All],7,0),"")</f>
        <v/>
      </c>
      <c r="I853" t="str">
        <f>+IFERROR(VLOOKUP(D853,Conceptos_Analítica_contraloría[#All],2,0),"")</f>
        <v/>
      </c>
      <c r="J853" s="84" t="str">
        <f>+IFERROR(VLOOKUP(D853,Conceptos_Analítica_contraloría[#All],3,0),"")</f>
        <v/>
      </c>
    </row>
    <row r="854" spans="3:10" ht="18.75" customHeight="1" x14ac:dyDescent="0.35">
      <c r="C854" s="100" t="str">
        <f>IF(OR(Fact_Analitica[[#This Row], [Año]]="",Fact_Analitica[[#This Row], [Mes]]=""),"",DATE(A854,MATCH(B854,{"enero","febrero","marzo","abril","mayo","junio","julio","agosto","septiembre","octubre","noviembre","diciembre"},0)+1,0))</f>
        <v/>
      </c>
      <c r="E854" t="str">
        <f>+IFERROR(VLOOKUP(Fact_Analitica[[#This Row], [Concepto Anterior]],Conceptos_Analítica_contraloría[#All],5,0),"")</f>
        <v/>
      </c>
      <c r="F854" t="str">
        <f>+IFERROR(VLOOKUP(Fact_Analitica[[#This Row], [Concepto Anterior]],Conceptos_Analítica_contraloría[#All],7,0),"")</f>
        <v/>
      </c>
      <c r="I854" t="str">
        <f>+IFERROR(VLOOKUP(D854,Conceptos_Analítica_contraloría[#All],2,0),"")</f>
        <v/>
      </c>
      <c r="J854" s="84" t="str">
        <f>+IFERROR(VLOOKUP(D854,Conceptos_Analítica_contraloría[#All],3,0),"")</f>
        <v/>
      </c>
    </row>
    <row r="855" spans="3:10" ht="18.75" customHeight="1" x14ac:dyDescent="0.35">
      <c r="C855" s="100" t="str">
        <f>IF(OR(Fact_Analitica[[#This Row], [Año]]="",Fact_Analitica[[#This Row], [Mes]]=""),"",DATE(A855,MATCH(B855,{"enero","febrero","marzo","abril","mayo","junio","julio","agosto","septiembre","octubre","noviembre","diciembre"},0)+1,0))</f>
        <v/>
      </c>
      <c r="E855" t="str">
        <f>+IFERROR(VLOOKUP(Fact_Analitica[[#This Row], [Concepto Anterior]],Conceptos_Analítica_contraloría[#All],5,0),"")</f>
        <v/>
      </c>
      <c r="F855" t="str">
        <f>+IFERROR(VLOOKUP(Fact_Analitica[[#This Row], [Concepto Anterior]],Conceptos_Analítica_contraloría[#All],7,0),"")</f>
        <v/>
      </c>
      <c r="I855" t="str">
        <f>+IFERROR(VLOOKUP(D855,Conceptos_Analítica_contraloría[#All],2,0),"")</f>
        <v/>
      </c>
      <c r="J855" s="84" t="str">
        <f>+IFERROR(VLOOKUP(D855,Conceptos_Analítica_contraloría[#All],3,0),"")</f>
        <v/>
      </c>
    </row>
    <row r="856" spans="3:10" ht="18.75" customHeight="1" x14ac:dyDescent="0.35">
      <c r="C856" s="100" t="str">
        <f>IF(OR(Fact_Analitica[[#This Row], [Año]]="",Fact_Analitica[[#This Row], [Mes]]=""),"",DATE(A856,MATCH(B856,{"enero","febrero","marzo","abril","mayo","junio","julio","agosto","septiembre","octubre","noviembre","diciembre"},0)+1,0))</f>
        <v/>
      </c>
      <c r="E856" t="str">
        <f>+IFERROR(VLOOKUP(Fact_Analitica[[#This Row], [Concepto Anterior]],Conceptos_Analítica_contraloría[#All],5,0),"")</f>
        <v/>
      </c>
      <c r="F856" t="str">
        <f>+IFERROR(VLOOKUP(Fact_Analitica[[#This Row], [Concepto Anterior]],Conceptos_Analítica_contraloría[#All],7,0),"")</f>
        <v/>
      </c>
      <c r="I856" t="str">
        <f>+IFERROR(VLOOKUP(D856,Conceptos_Analítica_contraloría[#All],2,0),"")</f>
        <v/>
      </c>
      <c r="J856" s="84" t="str">
        <f>+IFERROR(VLOOKUP(D856,Conceptos_Analítica_contraloría[#All],3,0),"")</f>
        <v/>
      </c>
    </row>
    <row r="857" spans="3:10" ht="18.75" customHeight="1" x14ac:dyDescent="0.35">
      <c r="C857" s="100" t="str">
        <f>IF(OR(Fact_Analitica[[#This Row], [Año]]="",Fact_Analitica[[#This Row], [Mes]]=""),"",DATE(A857,MATCH(B857,{"enero","febrero","marzo","abril","mayo","junio","julio","agosto","septiembre","octubre","noviembre","diciembre"},0)+1,0))</f>
        <v/>
      </c>
      <c r="E857" t="str">
        <f>+IFERROR(VLOOKUP(Fact_Analitica[[#This Row], [Concepto Anterior]],Conceptos_Analítica_contraloría[#All],5,0),"")</f>
        <v/>
      </c>
      <c r="F857" t="str">
        <f>+IFERROR(VLOOKUP(Fact_Analitica[[#This Row], [Concepto Anterior]],Conceptos_Analítica_contraloría[#All],7,0),"")</f>
        <v/>
      </c>
      <c r="I857" t="str">
        <f>+IFERROR(VLOOKUP(D857,Conceptos_Analítica_contraloría[#All],2,0),"")</f>
        <v/>
      </c>
      <c r="J857" s="84" t="str">
        <f>+IFERROR(VLOOKUP(D857,Conceptos_Analítica_contraloría[#All],3,0),"")</f>
        <v/>
      </c>
    </row>
    <row r="858" spans="3:10" ht="18.75" customHeight="1" x14ac:dyDescent="0.35">
      <c r="C858" s="100" t="str">
        <f>IF(OR(Fact_Analitica[[#This Row], [Año]]="",Fact_Analitica[[#This Row], [Mes]]=""),"",DATE(A858,MATCH(B858,{"enero","febrero","marzo","abril","mayo","junio","julio","agosto","septiembre","octubre","noviembre","diciembre"},0)+1,0))</f>
        <v/>
      </c>
      <c r="E858" t="str">
        <f>+IFERROR(VLOOKUP(Fact_Analitica[[#This Row], [Concepto Anterior]],Conceptos_Analítica_contraloría[#All],5,0),"")</f>
        <v/>
      </c>
      <c r="F858" t="str">
        <f>+IFERROR(VLOOKUP(Fact_Analitica[[#This Row], [Concepto Anterior]],Conceptos_Analítica_contraloría[#All],7,0),"")</f>
        <v/>
      </c>
      <c r="I858" t="str">
        <f>+IFERROR(VLOOKUP(D858,Conceptos_Analítica_contraloría[#All],2,0),"")</f>
        <v/>
      </c>
      <c r="J858" s="84" t="str">
        <f>+IFERROR(VLOOKUP(D858,Conceptos_Analítica_contraloría[#All],3,0),"")</f>
        <v/>
      </c>
    </row>
    <row r="859" spans="3:10" ht="18.75" customHeight="1" x14ac:dyDescent="0.35">
      <c r="C859" s="100" t="str">
        <f>IF(OR(Fact_Analitica[[#This Row], [Año]]="",Fact_Analitica[[#This Row], [Mes]]=""),"",DATE(A859,MATCH(B859,{"enero","febrero","marzo","abril","mayo","junio","julio","agosto","septiembre","octubre","noviembre","diciembre"},0)+1,0))</f>
        <v/>
      </c>
      <c r="E859" t="str">
        <f>+IFERROR(VLOOKUP(Fact_Analitica[[#This Row], [Concepto Anterior]],Conceptos_Analítica_contraloría[#All],5,0),"")</f>
        <v/>
      </c>
      <c r="F859" t="str">
        <f>+IFERROR(VLOOKUP(Fact_Analitica[[#This Row], [Concepto Anterior]],Conceptos_Analítica_contraloría[#All],7,0),"")</f>
        <v/>
      </c>
      <c r="I859" t="str">
        <f>+IFERROR(VLOOKUP(D859,Conceptos_Analítica_contraloría[#All],2,0),"")</f>
        <v/>
      </c>
      <c r="J859" s="84" t="str">
        <f>+IFERROR(VLOOKUP(D859,Conceptos_Analítica_contraloría[#All],3,0),"")</f>
        <v/>
      </c>
    </row>
    <row r="860" spans="3:10" ht="18.75" customHeight="1" x14ac:dyDescent="0.35">
      <c r="C860" s="100" t="str">
        <f>IF(OR(Fact_Analitica[[#This Row], [Año]]="",Fact_Analitica[[#This Row], [Mes]]=""),"",DATE(A860,MATCH(B860,{"enero","febrero","marzo","abril","mayo","junio","julio","agosto","septiembre","octubre","noviembre","diciembre"},0)+1,0))</f>
        <v/>
      </c>
      <c r="E860" t="str">
        <f>+IFERROR(VLOOKUP(Fact_Analitica[[#This Row], [Concepto Anterior]],Conceptos_Analítica_contraloría[#All],5,0),"")</f>
        <v/>
      </c>
      <c r="F860" t="str">
        <f>+IFERROR(VLOOKUP(Fact_Analitica[[#This Row], [Concepto Anterior]],Conceptos_Analítica_contraloría[#All],7,0),"")</f>
        <v/>
      </c>
      <c r="I860" t="str">
        <f>+IFERROR(VLOOKUP(D860,Conceptos_Analítica_contraloría[#All],2,0),"")</f>
        <v/>
      </c>
      <c r="J860" s="84" t="str">
        <f>+IFERROR(VLOOKUP(D860,Conceptos_Analítica_contraloría[#All],3,0),"")</f>
        <v/>
      </c>
    </row>
    <row r="861" spans="3:10" ht="18.75" customHeight="1" x14ac:dyDescent="0.35">
      <c r="C861" s="100" t="str">
        <f>IF(OR(Fact_Analitica[[#This Row], [Año]]="",Fact_Analitica[[#This Row], [Mes]]=""),"",DATE(A861,MATCH(B861,{"enero","febrero","marzo","abril","mayo","junio","julio","agosto","septiembre","octubre","noviembre","diciembre"},0)+1,0))</f>
        <v/>
      </c>
      <c r="E861" t="str">
        <f>+IFERROR(VLOOKUP(Fact_Analitica[[#This Row], [Concepto Anterior]],Conceptos_Analítica_contraloría[#All],5,0),"")</f>
        <v/>
      </c>
      <c r="F861" t="str">
        <f>+IFERROR(VLOOKUP(Fact_Analitica[[#This Row], [Concepto Anterior]],Conceptos_Analítica_contraloría[#All],7,0),"")</f>
        <v/>
      </c>
      <c r="I861" t="str">
        <f>+IFERROR(VLOOKUP(D861,Conceptos_Analítica_contraloría[#All],2,0),"")</f>
        <v/>
      </c>
      <c r="J861" s="84" t="str">
        <f>+IFERROR(VLOOKUP(D861,Conceptos_Analítica_contraloría[#All],3,0),"")</f>
        <v/>
      </c>
    </row>
    <row r="862" spans="3:10" ht="18.75" customHeight="1" x14ac:dyDescent="0.35">
      <c r="C862" s="100" t="str">
        <f>IF(OR(Fact_Analitica[[#This Row], [Año]]="",Fact_Analitica[[#This Row], [Mes]]=""),"",DATE(A862,MATCH(B862,{"enero","febrero","marzo","abril","mayo","junio","julio","agosto","septiembre","octubre","noviembre","diciembre"},0)+1,0))</f>
        <v/>
      </c>
      <c r="E862" t="str">
        <f>+IFERROR(VLOOKUP(Fact_Analitica[[#This Row], [Concepto Anterior]],Conceptos_Analítica_contraloría[#All],5,0),"")</f>
        <v/>
      </c>
      <c r="F862" t="str">
        <f>+IFERROR(VLOOKUP(Fact_Analitica[[#This Row], [Concepto Anterior]],Conceptos_Analítica_contraloría[#All],7,0),"")</f>
        <v/>
      </c>
      <c r="I862" t="str">
        <f>+IFERROR(VLOOKUP(D862,Conceptos_Analítica_contraloría[#All],2,0),"")</f>
        <v/>
      </c>
      <c r="J862" s="84" t="str">
        <f>+IFERROR(VLOOKUP(D862,Conceptos_Analítica_contraloría[#All],3,0),"")</f>
        <v/>
      </c>
    </row>
    <row r="863" spans="3:10" ht="18.75" customHeight="1" x14ac:dyDescent="0.35">
      <c r="C863" s="100" t="str">
        <f>IF(OR(Fact_Analitica[[#This Row], [Año]]="",Fact_Analitica[[#This Row], [Mes]]=""),"",DATE(A863,MATCH(B863,{"enero","febrero","marzo","abril","mayo","junio","julio","agosto","septiembre","octubre","noviembre","diciembre"},0)+1,0))</f>
        <v/>
      </c>
      <c r="E863" t="str">
        <f>+IFERROR(VLOOKUP(Fact_Analitica[[#This Row], [Concepto Anterior]],Conceptos_Analítica_contraloría[#All],5,0),"")</f>
        <v/>
      </c>
      <c r="F863" t="str">
        <f>+IFERROR(VLOOKUP(Fact_Analitica[[#This Row], [Concepto Anterior]],Conceptos_Analítica_contraloría[#All],7,0),"")</f>
        <v/>
      </c>
      <c r="I863" t="str">
        <f>+IFERROR(VLOOKUP(D863,Conceptos_Analítica_contraloría[#All],2,0),"")</f>
        <v/>
      </c>
      <c r="J863" s="84" t="str">
        <f>+IFERROR(VLOOKUP(D863,Conceptos_Analítica_contraloría[#All],3,0),"")</f>
        <v/>
      </c>
    </row>
    <row r="864" spans="3:10" ht="18.75" customHeight="1" x14ac:dyDescent="0.35">
      <c r="C864" s="100" t="str">
        <f>IF(OR(Fact_Analitica[[#This Row], [Año]]="",Fact_Analitica[[#This Row], [Mes]]=""),"",DATE(A864,MATCH(B864,{"enero","febrero","marzo","abril","mayo","junio","julio","agosto","septiembre","octubre","noviembre","diciembre"},0)+1,0))</f>
        <v/>
      </c>
      <c r="E864" t="str">
        <f>+IFERROR(VLOOKUP(Fact_Analitica[[#This Row], [Concepto Anterior]],Conceptos_Analítica_contraloría[#All],5,0),"")</f>
        <v/>
      </c>
      <c r="F864" t="str">
        <f>+IFERROR(VLOOKUP(Fact_Analitica[[#This Row], [Concepto Anterior]],Conceptos_Analítica_contraloría[#All],7,0),"")</f>
        <v/>
      </c>
      <c r="I864" t="str">
        <f>+IFERROR(VLOOKUP(D864,Conceptos_Analítica_contraloría[#All],2,0),"")</f>
        <v/>
      </c>
      <c r="J864" s="84" t="str">
        <f>+IFERROR(VLOOKUP(D864,Conceptos_Analítica_contraloría[#All],3,0),"")</f>
        <v/>
      </c>
    </row>
    <row r="865" spans="3:10" ht="18.75" customHeight="1" x14ac:dyDescent="0.35">
      <c r="C865" s="100" t="str">
        <f>IF(OR(Fact_Analitica[[#This Row], [Año]]="",Fact_Analitica[[#This Row], [Mes]]=""),"",DATE(A865,MATCH(B865,{"enero","febrero","marzo","abril","mayo","junio","julio","agosto","septiembre","octubre","noviembre","diciembre"},0)+1,0))</f>
        <v/>
      </c>
      <c r="E865" t="str">
        <f>+IFERROR(VLOOKUP(Fact_Analitica[[#This Row], [Concepto Anterior]],Conceptos_Analítica_contraloría[#All],5,0),"")</f>
        <v/>
      </c>
      <c r="F865" t="str">
        <f>+IFERROR(VLOOKUP(Fact_Analitica[[#This Row], [Concepto Anterior]],Conceptos_Analítica_contraloría[#All],7,0),"")</f>
        <v/>
      </c>
      <c r="I865" t="str">
        <f>+IFERROR(VLOOKUP(D865,Conceptos_Analítica_contraloría[#All],2,0),"")</f>
        <v/>
      </c>
      <c r="J865" s="84" t="str">
        <f>+IFERROR(VLOOKUP(D865,Conceptos_Analítica_contraloría[#All],3,0),"")</f>
        <v/>
      </c>
    </row>
    <row r="866" spans="3:10" ht="18.75" customHeight="1" x14ac:dyDescent="0.35">
      <c r="C866" s="100" t="str">
        <f>IF(OR(Fact_Analitica[[#This Row], [Año]]="",Fact_Analitica[[#This Row], [Mes]]=""),"",DATE(A866,MATCH(B866,{"enero","febrero","marzo","abril","mayo","junio","julio","agosto","septiembre","octubre","noviembre","diciembre"},0)+1,0))</f>
        <v/>
      </c>
      <c r="E866" t="str">
        <f>+IFERROR(VLOOKUP(Fact_Analitica[[#This Row], [Concepto Anterior]],Conceptos_Analítica_contraloría[#All],5,0),"")</f>
        <v/>
      </c>
      <c r="F866" t="str">
        <f>+IFERROR(VLOOKUP(Fact_Analitica[[#This Row], [Concepto Anterior]],Conceptos_Analítica_contraloría[#All],7,0),"")</f>
        <v/>
      </c>
      <c r="I866" t="str">
        <f>+IFERROR(VLOOKUP(D866,Conceptos_Analítica_contraloría[#All],2,0),"")</f>
        <v/>
      </c>
      <c r="J866" s="84" t="str">
        <f>+IFERROR(VLOOKUP(D866,Conceptos_Analítica_contraloría[#All],3,0),"")</f>
        <v/>
      </c>
    </row>
    <row r="867" spans="3:10" ht="18.75" customHeight="1" x14ac:dyDescent="0.35">
      <c r="C867" s="100" t="str">
        <f>IF(OR(Fact_Analitica[[#This Row], [Año]]="",Fact_Analitica[[#This Row], [Mes]]=""),"",DATE(A867,MATCH(B867,{"enero","febrero","marzo","abril","mayo","junio","julio","agosto","septiembre","octubre","noviembre","diciembre"},0)+1,0))</f>
        <v/>
      </c>
      <c r="E867" t="str">
        <f>+IFERROR(VLOOKUP(Fact_Analitica[[#This Row], [Concepto Anterior]],Conceptos_Analítica_contraloría[#All],5,0),"")</f>
        <v/>
      </c>
      <c r="F867" t="str">
        <f>+IFERROR(VLOOKUP(Fact_Analitica[[#This Row], [Concepto Anterior]],Conceptos_Analítica_contraloría[#All],7,0),"")</f>
        <v/>
      </c>
      <c r="I867" t="str">
        <f>+IFERROR(VLOOKUP(D867,Conceptos_Analítica_contraloría[#All],2,0),"")</f>
        <v/>
      </c>
      <c r="J867" s="84" t="str">
        <f>+IFERROR(VLOOKUP(D867,Conceptos_Analítica_contraloría[#All],3,0),"")</f>
        <v/>
      </c>
    </row>
    <row r="868" spans="3:10" ht="18.75" customHeight="1" x14ac:dyDescent="0.35">
      <c r="C868" s="100" t="str">
        <f>IF(OR(Fact_Analitica[[#This Row], [Año]]="",Fact_Analitica[[#This Row], [Mes]]=""),"",DATE(A868,MATCH(B868,{"enero","febrero","marzo","abril","mayo","junio","julio","agosto","septiembre","octubre","noviembre","diciembre"},0)+1,0))</f>
        <v/>
      </c>
      <c r="E868" t="str">
        <f>+IFERROR(VLOOKUP(Fact_Analitica[[#This Row], [Concepto Anterior]],Conceptos_Analítica_contraloría[#All],5,0),"")</f>
        <v/>
      </c>
      <c r="F868" t="str">
        <f>+IFERROR(VLOOKUP(Fact_Analitica[[#This Row], [Concepto Anterior]],Conceptos_Analítica_contraloría[#All],7,0),"")</f>
        <v/>
      </c>
      <c r="I868" t="str">
        <f>+IFERROR(VLOOKUP(D868,Conceptos_Analítica_contraloría[#All],2,0),"")</f>
        <v/>
      </c>
      <c r="J868" s="84" t="str">
        <f>+IFERROR(VLOOKUP(D868,Conceptos_Analítica_contraloría[#All],3,0),"")</f>
        <v/>
      </c>
    </row>
    <row r="869" spans="3:10" ht="18.75" customHeight="1" x14ac:dyDescent="0.35">
      <c r="C869" s="100" t="str">
        <f>IF(OR(Fact_Analitica[[#This Row], [Año]]="",Fact_Analitica[[#This Row], [Mes]]=""),"",DATE(A869,MATCH(B869,{"enero","febrero","marzo","abril","mayo","junio","julio","agosto","septiembre","octubre","noviembre","diciembre"},0)+1,0))</f>
        <v/>
      </c>
      <c r="E869" t="str">
        <f>+IFERROR(VLOOKUP(Fact_Analitica[[#This Row], [Concepto Anterior]],Conceptos_Analítica_contraloría[#All],5,0),"")</f>
        <v/>
      </c>
      <c r="F869" t="str">
        <f>+IFERROR(VLOOKUP(Fact_Analitica[[#This Row], [Concepto Anterior]],Conceptos_Analítica_contraloría[#All],7,0),"")</f>
        <v/>
      </c>
      <c r="I869" t="str">
        <f>+IFERROR(VLOOKUP(D869,Conceptos_Analítica_contraloría[#All],2,0),"")</f>
        <v/>
      </c>
      <c r="J869" s="84" t="str">
        <f>+IFERROR(VLOOKUP(D869,Conceptos_Analítica_contraloría[#All],3,0),"")</f>
        <v/>
      </c>
    </row>
    <row r="870" spans="3:10" ht="18.75" customHeight="1" x14ac:dyDescent="0.35">
      <c r="C870" s="100" t="str">
        <f>IF(OR(Fact_Analitica[[#This Row], [Año]]="",Fact_Analitica[[#This Row], [Mes]]=""),"",DATE(A870,MATCH(B870,{"enero","febrero","marzo","abril","mayo","junio","julio","agosto","septiembre","octubre","noviembre","diciembre"},0)+1,0))</f>
        <v/>
      </c>
      <c r="E870" t="str">
        <f>+IFERROR(VLOOKUP(Fact_Analitica[[#This Row], [Concepto Anterior]],Conceptos_Analítica_contraloría[#All],5,0),"")</f>
        <v/>
      </c>
      <c r="F870" t="str">
        <f>+IFERROR(VLOOKUP(Fact_Analitica[[#This Row], [Concepto Anterior]],Conceptos_Analítica_contraloría[#All],7,0),"")</f>
        <v/>
      </c>
      <c r="I870" t="str">
        <f>+IFERROR(VLOOKUP(D870,Conceptos_Analítica_contraloría[#All],2,0),"")</f>
        <v/>
      </c>
      <c r="J870" s="84" t="str">
        <f>+IFERROR(VLOOKUP(D870,Conceptos_Analítica_contraloría[#All],3,0),"")</f>
        <v/>
      </c>
    </row>
    <row r="871" spans="3:10" ht="18.75" customHeight="1" x14ac:dyDescent="0.35">
      <c r="C871" s="100" t="str">
        <f>IF(OR(Fact_Analitica[[#This Row], [Año]]="",Fact_Analitica[[#This Row], [Mes]]=""),"",DATE(A871,MATCH(B871,{"enero","febrero","marzo","abril","mayo","junio","julio","agosto","septiembre","octubre","noviembre","diciembre"},0)+1,0))</f>
        <v/>
      </c>
      <c r="E871" t="str">
        <f>+IFERROR(VLOOKUP(Fact_Analitica[[#This Row], [Concepto Anterior]],Conceptos_Analítica_contraloría[#All],5,0),"")</f>
        <v/>
      </c>
      <c r="F871" t="str">
        <f>+IFERROR(VLOOKUP(Fact_Analitica[[#This Row], [Concepto Anterior]],Conceptos_Analítica_contraloría[#All],7,0),"")</f>
        <v/>
      </c>
      <c r="I871" t="str">
        <f>+IFERROR(VLOOKUP(D871,Conceptos_Analítica_contraloría[#All],2,0),"")</f>
        <v/>
      </c>
      <c r="J871" s="84" t="str">
        <f>+IFERROR(VLOOKUP(D871,Conceptos_Analítica_contraloría[#All],3,0),"")</f>
        <v/>
      </c>
    </row>
    <row r="872" spans="3:10" ht="18.75" customHeight="1" x14ac:dyDescent="0.35">
      <c r="C872" s="100" t="str">
        <f>IF(OR(Fact_Analitica[[#This Row], [Año]]="",Fact_Analitica[[#This Row], [Mes]]=""),"",DATE(A872,MATCH(B872,{"enero","febrero","marzo","abril","mayo","junio","julio","agosto","septiembre","octubre","noviembre","diciembre"},0)+1,0))</f>
        <v/>
      </c>
      <c r="E872" t="str">
        <f>+IFERROR(VLOOKUP(Fact_Analitica[[#This Row], [Concepto Anterior]],Conceptos_Analítica_contraloría[#All],5,0),"")</f>
        <v/>
      </c>
      <c r="F872" t="str">
        <f>+IFERROR(VLOOKUP(Fact_Analitica[[#This Row], [Concepto Anterior]],Conceptos_Analítica_contraloría[#All],7,0),"")</f>
        <v/>
      </c>
      <c r="I872" t="str">
        <f>+IFERROR(VLOOKUP(D872,Conceptos_Analítica_contraloría[#All],2,0),"")</f>
        <v/>
      </c>
      <c r="J872" s="84" t="str">
        <f>+IFERROR(VLOOKUP(D872,Conceptos_Analítica_contraloría[#All],3,0),"")</f>
        <v/>
      </c>
    </row>
    <row r="873" spans="3:10" ht="18.75" customHeight="1" x14ac:dyDescent="0.35">
      <c r="C873" s="100" t="str">
        <f>IF(OR(Fact_Analitica[[#This Row], [Año]]="",Fact_Analitica[[#This Row], [Mes]]=""),"",DATE(A873,MATCH(B873,{"enero","febrero","marzo","abril","mayo","junio","julio","agosto","septiembre","octubre","noviembre","diciembre"},0)+1,0))</f>
        <v/>
      </c>
      <c r="E873" t="str">
        <f>+IFERROR(VLOOKUP(Fact_Analitica[[#This Row], [Concepto Anterior]],Conceptos_Analítica_contraloría[#All],5,0),"")</f>
        <v/>
      </c>
      <c r="F873" t="str">
        <f>+IFERROR(VLOOKUP(Fact_Analitica[[#This Row], [Concepto Anterior]],Conceptos_Analítica_contraloría[#All],7,0),"")</f>
        <v/>
      </c>
      <c r="I873" t="str">
        <f>+IFERROR(VLOOKUP(D873,Conceptos_Analítica_contraloría[#All],2,0),"")</f>
        <v/>
      </c>
      <c r="J873" s="84" t="str">
        <f>+IFERROR(VLOOKUP(D873,Conceptos_Analítica_contraloría[#All],3,0),"")</f>
        <v/>
      </c>
    </row>
    <row r="874" spans="3:10" ht="18.75" customHeight="1" x14ac:dyDescent="0.35">
      <c r="C874" s="100" t="str">
        <f>IF(OR(Fact_Analitica[[#This Row], [Año]]="",Fact_Analitica[[#This Row], [Mes]]=""),"",DATE(A874,MATCH(B874,{"enero","febrero","marzo","abril","mayo","junio","julio","agosto","septiembre","octubre","noviembre","diciembre"},0)+1,0))</f>
        <v/>
      </c>
      <c r="E874" t="str">
        <f>+IFERROR(VLOOKUP(Fact_Analitica[[#This Row], [Concepto Anterior]],Conceptos_Analítica_contraloría[#All],5,0),"")</f>
        <v/>
      </c>
      <c r="F874" t="str">
        <f>+IFERROR(VLOOKUP(Fact_Analitica[[#This Row], [Concepto Anterior]],Conceptos_Analítica_contraloría[#All],7,0),"")</f>
        <v/>
      </c>
      <c r="I874" t="str">
        <f>+IFERROR(VLOOKUP(D874,Conceptos_Analítica_contraloría[#All],2,0),"")</f>
        <v/>
      </c>
      <c r="J874" s="84" t="str">
        <f>+IFERROR(VLOOKUP(D874,Conceptos_Analítica_contraloría[#All],3,0),"")</f>
        <v/>
      </c>
    </row>
    <row r="875" spans="3:10" ht="18.75" customHeight="1" x14ac:dyDescent="0.35">
      <c r="C875" s="100" t="str">
        <f>IF(OR(Fact_Analitica[[#This Row], [Año]]="",Fact_Analitica[[#This Row], [Mes]]=""),"",DATE(A875,MATCH(B875,{"enero","febrero","marzo","abril","mayo","junio","julio","agosto","septiembre","octubre","noviembre","diciembre"},0)+1,0))</f>
        <v/>
      </c>
      <c r="E875" t="str">
        <f>+IFERROR(VLOOKUP(Fact_Analitica[[#This Row], [Concepto Anterior]],Conceptos_Analítica_contraloría[#All],5,0),"")</f>
        <v/>
      </c>
      <c r="F875" t="str">
        <f>+IFERROR(VLOOKUP(Fact_Analitica[[#This Row], [Concepto Anterior]],Conceptos_Analítica_contraloría[#All],7,0),"")</f>
        <v/>
      </c>
      <c r="I875" t="str">
        <f>+IFERROR(VLOOKUP(D875,Conceptos_Analítica_contraloría[#All],2,0),"")</f>
        <v/>
      </c>
      <c r="J875" s="84" t="str">
        <f>+IFERROR(VLOOKUP(D875,Conceptos_Analítica_contraloría[#All],3,0),"")</f>
        <v/>
      </c>
    </row>
    <row r="876" spans="3:10" ht="18.75" customHeight="1" x14ac:dyDescent="0.35">
      <c r="C876" s="100" t="str">
        <f>IF(OR(Fact_Analitica[[#This Row], [Año]]="",Fact_Analitica[[#This Row], [Mes]]=""),"",DATE(A876,MATCH(B876,{"enero","febrero","marzo","abril","mayo","junio","julio","agosto","septiembre","octubre","noviembre","diciembre"},0)+1,0))</f>
        <v/>
      </c>
      <c r="E876" t="str">
        <f>+IFERROR(VLOOKUP(Fact_Analitica[[#This Row], [Concepto Anterior]],Conceptos_Analítica_contraloría[#All],5,0),"")</f>
        <v/>
      </c>
      <c r="F876" t="str">
        <f>+IFERROR(VLOOKUP(Fact_Analitica[[#This Row], [Concepto Anterior]],Conceptos_Analítica_contraloría[#All],7,0),"")</f>
        <v/>
      </c>
      <c r="I876" t="str">
        <f>+IFERROR(VLOOKUP(D876,Conceptos_Analítica_contraloría[#All],2,0),"")</f>
        <v/>
      </c>
      <c r="J876" s="84" t="str">
        <f>+IFERROR(VLOOKUP(D876,Conceptos_Analítica_contraloría[#All],3,0),"")</f>
        <v/>
      </c>
    </row>
    <row r="877" spans="3:10" ht="18.75" customHeight="1" x14ac:dyDescent="0.35">
      <c r="C877" s="100" t="str">
        <f>IF(OR(Fact_Analitica[[#This Row], [Año]]="",Fact_Analitica[[#This Row], [Mes]]=""),"",DATE(A877,MATCH(B877,{"enero","febrero","marzo","abril","mayo","junio","julio","agosto","septiembre","octubre","noviembre","diciembre"},0)+1,0))</f>
        <v/>
      </c>
      <c r="E877" t="str">
        <f>+IFERROR(VLOOKUP(Fact_Analitica[[#This Row], [Concepto Anterior]],Conceptos_Analítica_contraloría[#All],5,0),"")</f>
        <v/>
      </c>
      <c r="F877" t="str">
        <f>+IFERROR(VLOOKUP(Fact_Analitica[[#This Row], [Concepto Anterior]],Conceptos_Analítica_contraloría[#All],7,0),"")</f>
        <v/>
      </c>
      <c r="I877" t="str">
        <f>+IFERROR(VLOOKUP(D877,Conceptos_Analítica_contraloría[#All],2,0),"")</f>
        <v/>
      </c>
      <c r="J877" s="84" t="str">
        <f>+IFERROR(VLOOKUP(D877,Conceptos_Analítica_contraloría[#All],3,0),"")</f>
        <v/>
      </c>
    </row>
    <row r="878" spans="3:10" ht="18.75" customHeight="1" x14ac:dyDescent="0.35">
      <c r="C878" s="100" t="str">
        <f>IF(OR(Fact_Analitica[[#This Row], [Año]]="",Fact_Analitica[[#This Row], [Mes]]=""),"",DATE(A878,MATCH(B878,{"enero","febrero","marzo","abril","mayo","junio","julio","agosto","septiembre","octubre","noviembre","diciembre"},0)+1,0))</f>
        <v/>
      </c>
      <c r="E878" t="str">
        <f>+IFERROR(VLOOKUP(Fact_Analitica[[#This Row], [Concepto Anterior]],Conceptos_Analítica_contraloría[#All],5,0),"")</f>
        <v/>
      </c>
      <c r="F878" t="str">
        <f>+IFERROR(VLOOKUP(Fact_Analitica[[#This Row], [Concepto Anterior]],Conceptos_Analítica_contraloría[#All],7,0),"")</f>
        <v/>
      </c>
      <c r="I878" t="str">
        <f>+IFERROR(VLOOKUP(D878,Conceptos_Analítica_contraloría[#All],2,0),"")</f>
        <v/>
      </c>
      <c r="J878" s="84" t="str">
        <f>+IFERROR(VLOOKUP(D878,Conceptos_Analítica_contraloría[#All],3,0),"")</f>
        <v/>
      </c>
    </row>
    <row r="879" spans="3:10" ht="18.75" customHeight="1" x14ac:dyDescent="0.35">
      <c r="C879" s="100" t="str">
        <f>IF(OR(Fact_Analitica[[#This Row], [Año]]="",Fact_Analitica[[#This Row], [Mes]]=""),"",DATE(A879,MATCH(B879,{"enero","febrero","marzo","abril","mayo","junio","julio","agosto","septiembre","octubre","noviembre","diciembre"},0)+1,0))</f>
        <v/>
      </c>
      <c r="E879" t="str">
        <f>+IFERROR(VLOOKUP(Fact_Analitica[[#This Row], [Concepto Anterior]],Conceptos_Analítica_contraloría[#All],5,0),"")</f>
        <v/>
      </c>
      <c r="F879" t="str">
        <f>+IFERROR(VLOOKUP(Fact_Analitica[[#This Row], [Concepto Anterior]],Conceptos_Analítica_contraloría[#All],7,0),"")</f>
        <v/>
      </c>
      <c r="I879" t="str">
        <f>+IFERROR(VLOOKUP(D879,Conceptos_Analítica_contraloría[#All],2,0),"")</f>
        <v/>
      </c>
      <c r="J879" s="84" t="str">
        <f>+IFERROR(VLOOKUP(D879,Conceptos_Analítica_contraloría[#All],3,0),"")</f>
        <v/>
      </c>
    </row>
    <row r="880" spans="3:10" ht="18.75" customHeight="1" x14ac:dyDescent="0.35">
      <c r="C880" s="100" t="str">
        <f>IF(OR(Fact_Analitica[[#This Row], [Año]]="",Fact_Analitica[[#This Row], [Mes]]=""),"",DATE(A880,MATCH(B880,{"enero","febrero","marzo","abril","mayo","junio","julio","agosto","septiembre","octubre","noviembre","diciembre"},0)+1,0))</f>
        <v/>
      </c>
      <c r="E880" t="str">
        <f>+IFERROR(VLOOKUP(Fact_Analitica[[#This Row], [Concepto Anterior]],Conceptos_Analítica_contraloría[#All],5,0),"")</f>
        <v/>
      </c>
      <c r="F880" t="str">
        <f>+IFERROR(VLOOKUP(Fact_Analitica[[#This Row], [Concepto Anterior]],Conceptos_Analítica_contraloría[#All],7,0),"")</f>
        <v/>
      </c>
      <c r="I880" t="str">
        <f>+IFERROR(VLOOKUP(D880,Conceptos_Analítica_contraloría[#All],2,0),"")</f>
        <v/>
      </c>
      <c r="J880" s="84" t="str">
        <f>+IFERROR(VLOOKUP(D880,Conceptos_Analítica_contraloría[#All],3,0),"")</f>
        <v/>
      </c>
    </row>
    <row r="881" spans="3:10" ht="18.75" customHeight="1" x14ac:dyDescent="0.35">
      <c r="C881" s="100" t="str">
        <f>IF(OR(Fact_Analitica[[#This Row], [Año]]="",Fact_Analitica[[#This Row], [Mes]]=""),"",DATE(A881,MATCH(B881,{"enero","febrero","marzo","abril","mayo","junio","julio","agosto","septiembre","octubre","noviembre","diciembre"},0)+1,0))</f>
        <v/>
      </c>
      <c r="E881" t="str">
        <f>+IFERROR(VLOOKUP(Fact_Analitica[[#This Row], [Concepto Anterior]],Conceptos_Analítica_contraloría[#All],5,0),"")</f>
        <v/>
      </c>
      <c r="F881" t="str">
        <f>+IFERROR(VLOOKUP(Fact_Analitica[[#This Row], [Concepto Anterior]],Conceptos_Analítica_contraloría[#All],7,0),"")</f>
        <v/>
      </c>
      <c r="I881" t="str">
        <f>+IFERROR(VLOOKUP(D881,Conceptos_Analítica_contraloría[#All],2,0),"")</f>
        <v/>
      </c>
      <c r="J881" s="84" t="str">
        <f>+IFERROR(VLOOKUP(D881,Conceptos_Analítica_contraloría[#All],3,0),"")</f>
        <v/>
      </c>
    </row>
    <row r="882" spans="3:10" ht="18.75" customHeight="1" x14ac:dyDescent="0.35">
      <c r="C882" s="100" t="str">
        <f>IF(OR(Fact_Analitica[[#This Row], [Año]]="",Fact_Analitica[[#This Row], [Mes]]=""),"",DATE(A882,MATCH(B882,{"enero","febrero","marzo","abril","mayo","junio","julio","agosto","septiembre","octubre","noviembre","diciembre"},0)+1,0))</f>
        <v/>
      </c>
      <c r="E882" t="str">
        <f>+IFERROR(VLOOKUP(Fact_Analitica[[#This Row], [Concepto Anterior]],Conceptos_Analítica_contraloría[#All],5,0),"")</f>
        <v/>
      </c>
      <c r="F882" t="str">
        <f>+IFERROR(VLOOKUP(Fact_Analitica[[#This Row], [Concepto Anterior]],Conceptos_Analítica_contraloría[#All],7,0),"")</f>
        <v/>
      </c>
      <c r="I882" t="str">
        <f>+IFERROR(VLOOKUP(D882,Conceptos_Analítica_contraloría[#All],2,0),"")</f>
        <v/>
      </c>
      <c r="J882" s="84" t="str">
        <f>+IFERROR(VLOOKUP(D882,Conceptos_Analítica_contraloría[#All],3,0),"")</f>
        <v/>
      </c>
    </row>
    <row r="883" spans="3:10" ht="18.75" customHeight="1" x14ac:dyDescent="0.35">
      <c r="C883" s="100" t="str">
        <f>IF(OR(Fact_Analitica[[#This Row], [Año]]="",Fact_Analitica[[#This Row], [Mes]]=""),"",DATE(A883,MATCH(B883,{"enero","febrero","marzo","abril","mayo","junio","julio","agosto","septiembre","octubre","noviembre","diciembre"},0)+1,0))</f>
        <v/>
      </c>
      <c r="E883" t="str">
        <f>+IFERROR(VLOOKUP(Fact_Analitica[[#This Row], [Concepto Anterior]],Conceptos_Analítica_contraloría[#All],5,0),"")</f>
        <v/>
      </c>
      <c r="F883" t="str">
        <f>+IFERROR(VLOOKUP(Fact_Analitica[[#This Row], [Concepto Anterior]],Conceptos_Analítica_contraloría[#All],7,0),"")</f>
        <v/>
      </c>
      <c r="I883" t="str">
        <f>+IFERROR(VLOOKUP(D883,Conceptos_Analítica_contraloría[#All],2,0),"")</f>
        <v/>
      </c>
      <c r="J883" s="84" t="str">
        <f>+IFERROR(VLOOKUP(D883,Conceptos_Analítica_contraloría[#All],3,0),"")</f>
        <v/>
      </c>
    </row>
    <row r="884" spans="3:10" ht="18.75" customHeight="1" x14ac:dyDescent="0.35">
      <c r="C884" s="100" t="str">
        <f>IF(OR(Fact_Analitica[[#This Row], [Año]]="",Fact_Analitica[[#This Row], [Mes]]=""),"",DATE(A884,MATCH(B884,{"enero","febrero","marzo","abril","mayo","junio","julio","agosto","septiembre","octubre","noviembre","diciembre"},0)+1,0))</f>
        <v/>
      </c>
      <c r="E884" t="str">
        <f>+IFERROR(VLOOKUP(Fact_Analitica[[#This Row], [Concepto Anterior]],Conceptos_Analítica_contraloría[#All],5,0),"")</f>
        <v/>
      </c>
      <c r="F884" t="str">
        <f>+IFERROR(VLOOKUP(Fact_Analitica[[#This Row], [Concepto Anterior]],Conceptos_Analítica_contraloría[#All],7,0),"")</f>
        <v/>
      </c>
      <c r="I884" t="str">
        <f>+IFERROR(VLOOKUP(D884,Conceptos_Analítica_contraloría[#All],2,0),"")</f>
        <v/>
      </c>
      <c r="J884" s="84" t="str">
        <f>+IFERROR(VLOOKUP(D884,Conceptos_Analítica_contraloría[#All],3,0),"")</f>
        <v/>
      </c>
    </row>
    <row r="885" spans="3:10" ht="18.75" customHeight="1" x14ac:dyDescent="0.35">
      <c r="C885" s="100" t="str">
        <f>IF(OR(Fact_Analitica[[#This Row], [Año]]="",Fact_Analitica[[#This Row], [Mes]]=""),"",DATE(A885,MATCH(B885,{"enero","febrero","marzo","abril","mayo","junio","julio","agosto","septiembre","octubre","noviembre","diciembre"},0)+1,0))</f>
        <v/>
      </c>
      <c r="E885" t="str">
        <f>+IFERROR(VLOOKUP(Fact_Analitica[[#This Row], [Concepto Anterior]],Conceptos_Analítica_contraloría[#All],5,0),"")</f>
        <v/>
      </c>
      <c r="F885" t="str">
        <f>+IFERROR(VLOOKUP(Fact_Analitica[[#This Row], [Concepto Anterior]],Conceptos_Analítica_contraloría[#All],7,0),"")</f>
        <v/>
      </c>
      <c r="I885" t="str">
        <f>+IFERROR(VLOOKUP(D885,Conceptos_Analítica_contraloría[#All],2,0),"")</f>
        <v/>
      </c>
      <c r="J885" s="84" t="str">
        <f>+IFERROR(VLOOKUP(D885,Conceptos_Analítica_contraloría[#All],3,0),"")</f>
        <v/>
      </c>
    </row>
    <row r="886" spans="3:10" ht="18.75" customHeight="1" x14ac:dyDescent="0.35">
      <c r="C886" s="100" t="str">
        <f>IF(OR(Fact_Analitica[[#This Row], [Año]]="",Fact_Analitica[[#This Row], [Mes]]=""),"",DATE(A886,MATCH(B886,{"enero","febrero","marzo","abril","mayo","junio","julio","agosto","septiembre","octubre","noviembre","diciembre"},0)+1,0))</f>
        <v/>
      </c>
      <c r="E886" t="str">
        <f>+IFERROR(VLOOKUP(Fact_Analitica[[#This Row], [Concepto Anterior]],Conceptos_Analítica_contraloría[#All],5,0),"")</f>
        <v/>
      </c>
      <c r="F886" t="str">
        <f>+IFERROR(VLOOKUP(Fact_Analitica[[#This Row], [Concepto Anterior]],Conceptos_Analítica_contraloría[#All],7,0),"")</f>
        <v/>
      </c>
      <c r="I886" t="str">
        <f>+IFERROR(VLOOKUP(D886,Conceptos_Analítica_contraloría[#All],2,0),"")</f>
        <v/>
      </c>
      <c r="J886" s="84" t="str">
        <f>+IFERROR(VLOOKUP(D886,Conceptos_Analítica_contraloría[#All],3,0),"")</f>
        <v/>
      </c>
    </row>
    <row r="887" spans="3:10" ht="18.75" customHeight="1" x14ac:dyDescent="0.35">
      <c r="C887" s="100" t="str">
        <f>IF(OR(Fact_Analitica[[#This Row], [Año]]="",Fact_Analitica[[#This Row], [Mes]]=""),"",DATE(A887,MATCH(B887,{"enero","febrero","marzo","abril","mayo","junio","julio","agosto","septiembre","octubre","noviembre","diciembre"},0)+1,0))</f>
        <v/>
      </c>
      <c r="E887" t="str">
        <f>+IFERROR(VLOOKUP(Fact_Analitica[[#This Row], [Concepto Anterior]],Conceptos_Analítica_contraloría[#All],5,0),"")</f>
        <v/>
      </c>
      <c r="F887" t="str">
        <f>+IFERROR(VLOOKUP(Fact_Analitica[[#This Row], [Concepto Anterior]],Conceptos_Analítica_contraloría[#All],7,0),"")</f>
        <v/>
      </c>
      <c r="I887" t="str">
        <f>+IFERROR(VLOOKUP(D887,Conceptos_Analítica_contraloría[#All],2,0),"")</f>
        <v/>
      </c>
      <c r="J887" s="84" t="str">
        <f>+IFERROR(VLOOKUP(D887,Conceptos_Analítica_contraloría[#All],3,0),"")</f>
        <v/>
      </c>
    </row>
    <row r="888" spans="3:10" ht="18.75" customHeight="1" x14ac:dyDescent="0.35">
      <c r="C888" s="100" t="str">
        <f>IF(OR(Fact_Analitica[[#This Row], [Año]]="",Fact_Analitica[[#This Row], [Mes]]=""),"",DATE(A888,MATCH(B888,{"enero","febrero","marzo","abril","mayo","junio","julio","agosto","septiembre","octubre","noviembre","diciembre"},0)+1,0))</f>
        <v/>
      </c>
      <c r="E888" t="str">
        <f>+IFERROR(VLOOKUP(Fact_Analitica[[#This Row], [Concepto Anterior]],Conceptos_Analítica_contraloría[#All],5,0),"")</f>
        <v/>
      </c>
      <c r="F888" t="str">
        <f>+IFERROR(VLOOKUP(Fact_Analitica[[#This Row], [Concepto Anterior]],Conceptos_Analítica_contraloría[#All],7,0),"")</f>
        <v/>
      </c>
      <c r="I888" t="str">
        <f>+IFERROR(VLOOKUP(D888,Conceptos_Analítica_contraloría[#All],2,0),"")</f>
        <v/>
      </c>
      <c r="J888" s="84" t="str">
        <f>+IFERROR(VLOOKUP(D888,Conceptos_Analítica_contraloría[#All],3,0),"")</f>
        <v/>
      </c>
    </row>
    <row r="889" spans="3:10" ht="18.75" customHeight="1" x14ac:dyDescent="0.35">
      <c r="C889" s="100" t="str">
        <f>IF(OR(Fact_Analitica[[#This Row], [Año]]="",Fact_Analitica[[#This Row], [Mes]]=""),"",DATE(A889,MATCH(B889,{"enero","febrero","marzo","abril","mayo","junio","julio","agosto","septiembre","octubre","noviembre","diciembre"},0)+1,0))</f>
        <v/>
      </c>
      <c r="E889" t="str">
        <f>+IFERROR(VLOOKUP(Fact_Analitica[[#This Row], [Concepto Anterior]],Conceptos_Analítica_contraloría[#All],5,0),"")</f>
        <v/>
      </c>
      <c r="F889" t="str">
        <f>+IFERROR(VLOOKUP(Fact_Analitica[[#This Row], [Concepto Anterior]],Conceptos_Analítica_contraloría[#All],7,0),"")</f>
        <v/>
      </c>
      <c r="I889" t="str">
        <f>+IFERROR(VLOOKUP(D889,Conceptos_Analítica_contraloría[#All],2,0),"")</f>
        <v/>
      </c>
      <c r="J889" s="84" t="str">
        <f>+IFERROR(VLOOKUP(D889,Conceptos_Analítica_contraloría[#All],3,0),"")</f>
        <v/>
      </c>
    </row>
    <row r="890" spans="3:10" ht="18.75" customHeight="1" x14ac:dyDescent="0.35">
      <c r="C890" s="100" t="str">
        <f>IF(OR(Fact_Analitica[[#This Row], [Año]]="",Fact_Analitica[[#This Row], [Mes]]=""),"",DATE(A890,MATCH(B890,{"enero","febrero","marzo","abril","mayo","junio","julio","agosto","septiembre","octubre","noviembre","diciembre"},0)+1,0))</f>
        <v/>
      </c>
      <c r="E890" t="str">
        <f>+IFERROR(VLOOKUP(Fact_Analitica[[#This Row], [Concepto Anterior]],Conceptos_Analítica_contraloría[#All],5,0),"")</f>
        <v/>
      </c>
      <c r="F890" t="str">
        <f>+IFERROR(VLOOKUP(Fact_Analitica[[#This Row], [Concepto Anterior]],Conceptos_Analítica_contraloría[#All],7,0),"")</f>
        <v/>
      </c>
      <c r="I890" t="str">
        <f>+IFERROR(VLOOKUP(D890,Conceptos_Analítica_contraloría[#All],2,0),"")</f>
        <v/>
      </c>
      <c r="J890" s="84" t="str">
        <f>+IFERROR(VLOOKUP(D890,Conceptos_Analítica_contraloría[#All],3,0),"")</f>
        <v/>
      </c>
    </row>
    <row r="891" spans="3:10" ht="18.75" customHeight="1" x14ac:dyDescent="0.35">
      <c r="C891" s="100" t="str">
        <f>IF(OR(Fact_Analitica[[#This Row], [Año]]="",Fact_Analitica[[#This Row], [Mes]]=""),"",DATE(A891,MATCH(B891,{"enero","febrero","marzo","abril","mayo","junio","julio","agosto","septiembre","octubre","noviembre","diciembre"},0)+1,0))</f>
        <v/>
      </c>
      <c r="E891" t="str">
        <f>+IFERROR(VLOOKUP(Fact_Analitica[[#This Row], [Concepto Anterior]],Conceptos_Analítica_contraloría[#All],5,0),"")</f>
        <v/>
      </c>
      <c r="F891" t="str">
        <f>+IFERROR(VLOOKUP(Fact_Analitica[[#This Row], [Concepto Anterior]],Conceptos_Analítica_contraloría[#All],7,0),"")</f>
        <v/>
      </c>
      <c r="I891" t="str">
        <f>+IFERROR(VLOOKUP(D891,Conceptos_Analítica_contraloría[#All],2,0),"")</f>
        <v/>
      </c>
      <c r="J891" s="84" t="str">
        <f>+IFERROR(VLOOKUP(D891,Conceptos_Analítica_contraloría[#All],3,0),"")</f>
        <v/>
      </c>
    </row>
    <row r="892" spans="3:10" ht="18.75" customHeight="1" x14ac:dyDescent="0.35">
      <c r="C892" s="100" t="str">
        <f>IF(OR(Fact_Analitica[[#This Row], [Año]]="",Fact_Analitica[[#This Row], [Mes]]=""),"",DATE(A892,MATCH(B892,{"enero","febrero","marzo","abril","mayo","junio","julio","agosto","septiembre","octubre","noviembre","diciembre"},0)+1,0))</f>
        <v/>
      </c>
      <c r="E892" t="str">
        <f>+IFERROR(VLOOKUP(Fact_Analitica[[#This Row], [Concepto Anterior]],Conceptos_Analítica_contraloría[#All],5,0),"")</f>
        <v/>
      </c>
      <c r="F892" t="str">
        <f>+IFERROR(VLOOKUP(Fact_Analitica[[#This Row], [Concepto Anterior]],Conceptos_Analítica_contraloría[#All],7,0),"")</f>
        <v/>
      </c>
      <c r="I892" t="str">
        <f>+IFERROR(VLOOKUP(D892,Conceptos_Analítica_contraloría[#All],2,0),"")</f>
        <v/>
      </c>
      <c r="J892" s="84" t="str">
        <f>+IFERROR(VLOOKUP(D892,Conceptos_Analítica_contraloría[#All],3,0),"")</f>
        <v/>
      </c>
    </row>
    <row r="893" spans="3:10" ht="18.75" customHeight="1" x14ac:dyDescent="0.35">
      <c r="C893" s="100" t="str">
        <f>IF(OR(Fact_Analitica[[#This Row], [Año]]="",Fact_Analitica[[#This Row], [Mes]]=""),"",DATE(A893,MATCH(B893,{"enero","febrero","marzo","abril","mayo","junio","julio","agosto","septiembre","octubre","noviembre","diciembre"},0)+1,0))</f>
        <v/>
      </c>
      <c r="E893" t="str">
        <f>+IFERROR(VLOOKUP(Fact_Analitica[[#This Row], [Concepto Anterior]],Conceptos_Analítica_contraloría[#All],5,0),"")</f>
        <v/>
      </c>
      <c r="F893" t="str">
        <f>+IFERROR(VLOOKUP(Fact_Analitica[[#This Row], [Concepto Anterior]],Conceptos_Analítica_contraloría[#All],7,0),"")</f>
        <v/>
      </c>
      <c r="I893" t="str">
        <f>+IFERROR(VLOOKUP(D893,Conceptos_Analítica_contraloría[#All],2,0),"")</f>
        <v/>
      </c>
      <c r="J893" s="84" t="str">
        <f>+IFERROR(VLOOKUP(D893,Conceptos_Analítica_contraloría[#All],3,0),"")</f>
        <v/>
      </c>
    </row>
    <row r="894" spans="3:10" ht="18.75" customHeight="1" x14ac:dyDescent="0.35">
      <c r="C894" s="100" t="str">
        <f>IF(OR(Fact_Analitica[[#This Row], [Año]]="",Fact_Analitica[[#This Row], [Mes]]=""),"",DATE(A894,MATCH(B894,{"enero","febrero","marzo","abril","mayo","junio","julio","agosto","septiembre","octubre","noviembre","diciembre"},0)+1,0))</f>
        <v/>
      </c>
      <c r="E894" t="str">
        <f>+IFERROR(VLOOKUP(Fact_Analitica[[#This Row], [Concepto Anterior]],Conceptos_Analítica_contraloría[#All],5,0),"")</f>
        <v/>
      </c>
      <c r="F894" t="str">
        <f>+IFERROR(VLOOKUP(Fact_Analitica[[#This Row], [Concepto Anterior]],Conceptos_Analítica_contraloría[#All],7,0),"")</f>
        <v/>
      </c>
      <c r="I894" t="str">
        <f>+IFERROR(VLOOKUP(D894,Conceptos_Analítica_contraloría[#All],2,0),"")</f>
        <v/>
      </c>
      <c r="J894" s="84" t="str">
        <f>+IFERROR(VLOOKUP(D894,Conceptos_Analítica_contraloría[#All],3,0),"")</f>
        <v/>
      </c>
    </row>
    <row r="895" spans="3:10" ht="18.75" customHeight="1" x14ac:dyDescent="0.35">
      <c r="C895" s="100" t="str">
        <f>IF(OR(Fact_Analitica[[#This Row], [Año]]="",Fact_Analitica[[#This Row], [Mes]]=""),"",DATE(A895,MATCH(B895,{"enero","febrero","marzo","abril","mayo","junio","julio","agosto","septiembre","octubre","noviembre","diciembre"},0)+1,0))</f>
        <v/>
      </c>
      <c r="E895" t="str">
        <f>+IFERROR(VLOOKUP(Fact_Analitica[[#This Row], [Concepto Anterior]],Conceptos_Analítica_contraloría[#All],5,0),"")</f>
        <v/>
      </c>
      <c r="F895" t="str">
        <f>+IFERROR(VLOOKUP(Fact_Analitica[[#This Row], [Concepto Anterior]],Conceptos_Analítica_contraloría[#All],7,0),"")</f>
        <v/>
      </c>
      <c r="I895" t="str">
        <f>+IFERROR(VLOOKUP(D895,Conceptos_Analítica_contraloría[#All],2,0),"")</f>
        <v/>
      </c>
      <c r="J895" s="84" t="str">
        <f>+IFERROR(VLOOKUP(D895,Conceptos_Analítica_contraloría[#All],3,0),"")</f>
        <v/>
      </c>
    </row>
    <row r="896" spans="3:10" ht="18.75" customHeight="1" x14ac:dyDescent="0.35">
      <c r="C896" s="100" t="str">
        <f>IF(OR(Fact_Analitica[[#This Row], [Año]]="",Fact_Analitica[[#This Row], [Mes]]=""),"",DATE(A896,MATCH(B896,{"enero","febrero","marzo","abril","mayo","junio","julio","agosto","septiembre","octubre","noviembre","diciembre"},0)+1,0))</f>
        <v/>
      </c>
      <c r="E896" t="str">
        <f>+IFERROR(VLOOKUP(Fact_Analitica[[#This Row], [Concepto Anterior]],Conceptos_Analítica_contraloría[#All],5,0),"")</f>
        <v/>
      </c>
      <c r="F896" t="str">
        <f>+IFERROR(VLOOKUP(Fact_Analitica[[#This Row], [Concepto Anterior]],Conceptos_Analítica_contraloría[#All],7,0),"")</f>
        <v/>
      </c>
      <c r="I896" t="str">
        <f>+IFERROR(VLOOKUP(D896,Conceptos_Analítica_contraloría[#All],2,0),"")</f>
        <v/>
      </c>
      <c r="J896" s="84" t="str">
        <f>+IFERROR(VLOOKUP(D896,Conceptos_Analítica_contraloría[#All],3,0),"")</f>
        <v/>
      </c>
    </row>
    <row r="897" spans="3:10" ht="18.75" customHeight="1" x14ac:dyDescent="0.35">
      <c r="C897" s="100" t="str">
        <f>IF(OR(Fact_Analitica[[#This Row], [Año]]="",Fact_Analitica[[#This Row], [Mes]]=""),"",DATE(A897,MATCH(B897,{"enero","febrero","marzo","abril","mayo","junio","julio","agosto","septiembre","octubre","noviembre","diciembre"},0)+1,0))</f>
        <v/>
      </c>
      <c r="E897" t="str">
        <f>+IFERROR(VLOOKUP(Fact_Analitica[[#This Row], [Concepto Anterior]],Conceptos_Analítica_contraloría[#All],5,0),"")</f>
        <v/>
      </c>
      <c r="F897" t="str">
        <f>+IFERROR(VLOOKUP(Fact_Analitica[[#This Row], [Concepto Anterior]],Conceptos_Analítica_contraloría[#All],7,0),"")</f>
        <v/>
      </c>
      <c r="I897" t="str">
        <f>+IFERROR(VLOOKUP(D897,Conceptos_Analítica_contraloría[#All],2,0),"")</f>
        <v/>
      </c>
      <c r="J897" s="84" t="str">
        <f>+IFERROR(VLOOKUP(D897,Conceptos_Analítica_contraloría[#All],3,0),"")</f>
        <v/>
      </c>
    </row>
    <row r="898" spans="3:10" ht="18.75" customHeight="1" x14ac:dyDescent="0.35">
      <c r="C898" s="100" t="str">
        <f>IF(OR(Fact_Analitica[[#This Row], [Año]]="",Fact_Analitica[[#This Row], [Mes]]=""),"",DATE(A898,MATCH(B898,{"enero","febrero","marzo","abril","mayo","junio","julio","agosto","septiembre","octubre","noviembre","diciembre"},0)+1,0))</f>
        <v/>
      </c>
      <c r="E898" t="str">
        <f>+IFERROR(VLOOKUP(Fact_Analitica[[#This Row], [Concepto Anterior]],Conceptos_Analítica_contraloría[#All],5,0),"")</f>
        <v/>
      </c>
      <c r="F898" t="str">
        <f>+IFERROR(VLOOKUP(Fact_Analitica[[#This Row], [Concepto Anterior]],Conceptos_Analítica_contraloría[#All],7,0),"")</f>
        <v/>
      </c>
      <c r="I898" t="str">
        <f>+IFERROR(VLOOKUP(D898,Conceptos_Analítica_contraloría[#All],2,0),"")</f>
        <v/>
      </c>
      <c r="J898" s="84" t="str">
        <f>+IFERROR(VLOOKUP(D898,Conceptos_Analítica_contraloría[#All],3,0),"")</f>
        <v/>
      </c>
    </row>
    <row r="899" spans="3:10" ht="18.75" customHeight="1" x14ac:dyDescent="0.35">
      <c r="C899" s="100" t="str">
        <f>IF(OR(Fact_Analitica[[#This Row], [Año]]="",Fact_Analitica[[#This Row], [Mes]]=""),"",DATE(A899,MATCH(B899,{"enero","febrero","marzo","abril","mayo","junio","julio","agosto","septiembre","octubre","noviembre","diciembre"},0)+1,0))</f>
        <v/>
      </c>
      <c r="E899" t="str">
        <f>+IFERROR(VLOOKUP(Fact_Analitica[[#This Row], [Concepto Anterior]],Conceptos_Analítica_contraloría[#All],5,0),"")</f>
        <v/>
      </c>
      <c r="F899" t="str">
        <f>+IFERROR(VLOOKUP(Fact_Analitica[[#This Row], [Concepto Anterior]],Conceptos_Analítica_contraloría[#All],7,0),"")</f>
        <v/>
      </c>
      <c r="I899" t="str">
        <f>+IFERROR(VLOOKUP(D899,Conceptos_Analítica_contraloría[#All],2,0),"")</f>
        <v/>
      </c>
      <c r="J899" s="84" t="str">
        <f>+IFERROR(VLOOKUP(D899,Conceptos_Analítica_contraloría[#All],3,0),"")</f>
        <v/>
      </c>
    </row>
    <row r="900" spans="3:10" ht="18.75" customHeight="1" x14ac:dyDescent="0.35">
      <c r="C900" s="100" t="str">
        <f>IF(OR(Fact_Analitica[[#This Row], [Año]]="",Fact_Analitica[[#This Row], [Mes]]=""),"",DATE(A900,MATCH(B900,{"enero","febrero","marzo","abril","mayo","junio","julio","agosto","septiembre","octubre","noviembre","diciembre"},0)+1,0))</f>
        <v/>
      </c>
      <c r="E900" t="str">
        <f>+IFERROR(VLOOKUP(Fact_Analitica[[#This Row], [Concepto Anterior]],Conceptos_Analítica_contraloría[#All],5,0),"")</f>
        <v/>
      </c>
      <c r="F900" t="str">
        <f>+IFERROR(VLOOKUP(Fact_Analitica[[#This Row], [Concepto Anterior]],Conceptos_Analítica_contraloría[#All],7,0),"")</f>
        <v/>
      </c>
      <c r="I900" t="str">
        <f>+IFERROR(VLOOKUP(D900,Conceptos_Analítica_contraloría[#All],2,0),"")</f>
        <v/>
      </c>
      <c r="J900" s="84" t="str">
        <f>+IFERROR(VLOOKUP(D900,Conceptos_Analítica_contraloría[#All],3,0),"")</f>
        <v/>
      </c>
    </row>
    <row r="901" spans="3:10" ht="18.75" customHeight="1" x14ac:dyDescent="0.35">
      <c r="C901" s="100" t="str">
        <f>IF(OR(Fact_Analitica[[#This Row], [Año]]="",Fact_Analitica[[#This Row], [Mes]]=""),"",DATE(A901,MATCH(B901,{"enero","febrero","marzo","abril","mayo","junio","julio","agosto","septiembre","octubre","noviembre","diciembre"},0)+1,0))</f>
        <v/>
      </c>
      <c r="E901" t="str">
        <f>+IFERROR(VLOOKUP(Fact_Analitica[[#This Row], [Concepto Anterior]],Conceptos_Analítica_contraloría[#All],5,0),"")</f>
        <v/>
      </c>
      <c r="F901" t="str">
        <f>+IFERROR(VLOOKUP(Fact_Analitica[[#This Row], [Concepto Anterior]],Conceptos_Analítica_contraloría[#All],7,0),"")</f>
        <v/>
      </c>
      <c r="I901" t="str">
        <f>+IFERROR(VLOOKUP(D901,Conceptos_Analítica_contraloría[#All],2,0),"")</f>
        <v/>
      </c>
      <c r="J901" s="84" t="str">
        <f>+IFERROR(VLOOKUP(D901,Conceptos_Analítica_contraloría[#All],3,0),"")</f>
        <v/>
      </c>
    </row>
    <row r="902" spans="3:10" ht="18.75" customHeight="1" x14ac:dyDescent="0.35">
      <c r="C902" s="100" t="str">
        <f>IF(OR(Fact_Analitica[[#This Row], [Año]]="",Fact_Analitica[[#This Row], [Mes]]=""),"",DATE(A902,MATCH(B902,{"enero","febrero","marzo","abril","mayo","junio","julio","agosto","septiembre","octubre","noviembre","diciembre"},0)+1,0))</f>
        <v/>
      </c>
      <c r="E902" t="str">
        <f>+IFERROR(VLOOKUP(Fact_Analitica[[#This Row], [Concepto Anterior]],Conceptos_Analítica_contraloría[#All],5,0),"")</f>
        <v/>
      </c>
      <c r="F902" t="str">
        <f>+IFERROR(VLOOKUP(Fact_Analitica[[#This Row], [Concepto Anterior]],Conceptos_Analítica_contraloría[#All],7,0),"")</f>
        <v/>
      </c>
      <c r="I902" t="str">
        <f>+IFERROR(VLOOKUP(D902,Conceptos_Analítica_contraloría[#All],2,0),"")</f>
        <v/>
      </c>
      <c r="J902" s="84" t="str">
        <f>+IFERROR(VLOOKUP(D902,Conceptos_Analítica_contraloría[#All],3,0),"")</f>
        <v/>
      </c>
    </row>
    <row r="903" spans="3:10" ht="18.75" customHeight="1" x14ac:dyDescent="0.35">
      <c r="C903" s="100" t="str">
        <f>IF(OR(Fact_Analitica[[#This Row], [Año]]="",Fact_Analitica[[#This Row], [Mes]]=""),"",DATE(A903,MATCH(B903,{"enero","febrero","marzo","abril","mayo","junio","julio","agosto","septiembre","octubre","noviembre","diciembre"},0)+1,0))</f>
        <v/>
      </c>
      <c r="E903" t="str">
        <f>+IFERROR(VLOOKUP(Fact_Analitica[[#This Row], [Concepto Anterior]],Conceptos_Analítica_contraloría[#All],5,0),"")</f>
        <v/>
      </c>
      <c r="F903" t="str">
        <f>+IFERROR(VLOOKUP(Fact_Analitica[[#This Row], [Concepto Anterior]],Conceptos_Analítica_contraloría[#All],7,0),"")</f>
        <v/>
      </c>
      <c r="I903" t="str">
        <f>+IFERROR(VLOOKUP(D903,Conceptos_Analítica_contraloría[#All],2,0),"")</f>
        <v/>
      </c>
      <c r="J903" s="84" t="str">
        <f>+IFERROR(VLOOKUP(D903,Conceptos_Analítica_contraloría[#All],3,0),"")</f>
        <v/>
      </c>
    </row>
    <row r="904" spans="3:10" ht="18.75" customHeight="1" x14ac:dyDescent="0.35">
      <c r="C904" s="100" t="str">
        <f>IF(OR(Fact_Analitica[[#This Row], [Año]]="",Fact_Analitica[[#This Row], [Mes]]=""),"",DATE(A904,MATCH(B904,{"enero","febrero","marzo","abril","mayo","junio","julio","agosto","septiembre","octubre","noviembre","diciembre"},0)+1,0))</f>
        <v/>
      </c>
      <c r="E904" t="str">
        <f>+IFERROR(VLOOKUP(Fact_Analitica[[#This Row], [Concepto Anterior]],Conceptos_Analítica_contraloría[#All],5,0),"")</f>
        <v/>
      </c>
      <c r="F904" t="str">
        <f>+IFERROR(VLOOKUP(Fact_Analitica[[#This Row], [Concepto Anterior]],Conceptos_Analítica_contraloría[#All],7,0),"")</f>
        <v/>
      </c>
      <c r="I904" t="str">
        <f>+IFERROR(VLOOKUP(D904,Conceptos_Analítica_contraloría[#All],2,0),"")</f>
        <v/>
      </c>
      <c r="J904" s="84" t="str">
        <f>+IFERROR(VLOOKUP(D904,Conceptos_Analítica_contraloría[#All],3,0),"")</f>
        <v/>
      </c>
    </row>
    <row r="905" spans="3:10" ht="18.75" customHeight="1" x14ac:dyDescent="0.35">
      <c r="C905" s="100" t="str">
        <f>IF(OR(Fact_Analitica[[#This Row], [Año]]="",Fact_Analitica[[#This Row], [Mes]]=""),"",DATE(A905,MATCH(B905,{"enero","febrero","marzo","abril","mayo","junio","julio","agosto","septiembre","octubre","noviembre","diciembre"},0)+1,0))</f>
        <v/>
      </c>
      <c r="E905" t="str">
        <f>+IFERROR(VLOOKUP(Fact_Analitica[[#This Row], [Concepto Anterior]],Conceptos_Analítica_contraloría[#All],5,0),"")</f>
        <v/>
      </c>
      <c r="F905" t="str">
        <f>+IFERROR(VLOOKUP(Fact_Analitica[[#This Row], [Concepto Anterior]],Conceptos_Analítica_contraloría[#All],7,0),"")</f>
        <v/>
      </c>
      <c r="I905" t="str">
        <f>+IFERROR(VLOOKUP(D905,Conceptos_Analítica_contraloría[#All],2,0),"")</f>
        <v/>
      </c>
      <c r="J905" s="84" t="str">
        <f>+IFERROR(VLOOKUP(D905,Conceptos_Analítica_contraloría[#All],3,0),"")</f>
        <v/>
      </c>
    </row>
    <row r="906" spans="3:10" ht="18.75" customHeight="1" x14ac:dyDescent="0.35">
      <c r="C906" s="100" t="str">
        <f>IF(OR(Fact_Analitica[[#This Row], [Año]]="",Fact_Analitica[[#This Row], [Mes]]=""),"",DATE(A906,MATCH(B906,{"enero","febrero","marzo","abril","mayo","junio","julio","agosto","septiembre","octubre","noviembre","diciembre"},0)+1,0))</f>
        <v/>
      </c>
      <c r="E906" t="str">
        <f>+IFERROR(VLOOKUP(Fact_Analitica[[#This Row], [Concepto Anterior]],Conceptos_Analítica_contraloría[#All],5,0),"")</f>
        <v/>
      </c>
      <c r="F906" t="str">
        <f>+IFERROR(VLOOKUP(Fact_Analitica[[#This Row], [Concepto Anterior]],Conceptos_Analítica_contraloría[#All],7,0),"")</f>
        <v/>
      </c>
      <c r="I906" t="str">
        <f>+IFERROR(VLOOKUP(D906,Conceptos_Analítica_contraloría[#All],2,0),"")</f>
        <v/>
      </c>
      <c r="J906" s="84" t="str">
        <f>+IFERROR(VLOOKUP(D906,Conceptos_Analítica_contraloría[#All],3,0),"")</f>
        <v/>
      </c>
    </row>
    <row r="907" spans="3:10" ht="18.75" customHeight="1" x14ac:dyDescent="0.35">
      <c r="C907" s="100" t="str">
        <f>IF(OR(Fact_Analitica[[#This Row], [Año]]="",Fact_Analitica[[#This Row], [Mes]]=""),"",DATE(A907,MATCH(B907,{"enero","febrero","marzo","abril","mayo","junio","julio","agosto","septiembre","octubre","noviembre","diciembre"},0)+1,0))</f>
        <v/>
      </c>
      <c r="E907" t="str">
        <f>+IFERROR(VLOOKUP(Fact_Analitica[[#This Row], [Concepto Anterior]],Conceptos_Analítica_contraloría[#All],5,0),"")</f>
        <v/>
      </c>
      <c r="F907" t="str">
        <f>+IFERROR(VLOOKUP(Fact_Analitica[[#This Row], [Concepto Anterior]],Conceptos_Analítica_contraloría[#All],7,0),"")</f>
        <v/>
      </c>
      <c r="I907" t="str">
        <f>+IFERROR(VLOOKUP(D907,Conceptos_Analítica_contraloría[#All],2,0),"")</f>
        <v/>
      </c>
      <c r="J907" s="84" t="str">
        <f>+IFERROR(VLOOKUP(D907,Conceptos_Analítica_contraloría[#All],3,0),"")</f>
        <v/>
      </c>
    </row>
    <row r="908" spans="3:10" ht="18.75" customHeight="1" x14ac:dyDescent="0.35">
      <c r="C908" s="100" t="str">
        <f>IF(OR(Fact_Analitica[[#This Row], [Año]]="",Fact_Analitica[[#This Row], [Mes]]=""),"",DATE(A908,MATCH(B908,{"enero","febrero","marzo","abril","mayo","junio","julio","agosto","septiembre","octubre","noviembre","diciembre"},0)+1,0))</f>
        <v/>
      </c>
      <c r="E908" t="str">
        <f>+IFERROR(VLOOKUP(Fact_Analitica[[#This Row], [Concepto Anterior]],Conceptos_Analítica_contraloría[#All],5,0),"")</f>
        <v/>
      </c>
      <c r="F908" t="str">
        <f>+IFERROR(VLOOKUP(Fact_Analitica[[#This Row], [Concepto Anterior]],Conceptos_Analítica_contraloría[#All],7,0),"")</f>
        <v/>
      </c>
      <c r="I908" t="str">
        <f>+IFERROR(VLOOKUP(D908,Conceptos_Analítica_contraloría[#All],2,0),"")</f>
        <v/>
      </c>
      <c r="J908" s="84" t="str">
        <f>+IFERROR(VLOOKUP(D908,Conceptos_Analítica_contraloría[#All],3,0),"")</f>
        <v/>
      </c>
    </row>
    <row r="909" spans="3:10" ht="18.75" customHeight="1" x14ac:dyDescent="0.35">
      <c r="C909" s="100" t="str">
        <f>IF(OR(Fact_Analitica[[#This Row], [Año]]="",Fact_Analitica[[#This Row], [Mes]]=""),"",DATE(A909,MATCH(B909,{"enero","febrero","marzo","abril","mayo","junio","julio","agosto","septiembre","octubre","noviembre","diciembre"},0)+1,0))</f>
        <v/>
      </c>
      <c r="E909" t="str">
        <f>+IFERROR(VLOOKUP(Fact_Analitica[[#This Row], [Concepto Anterior]],Conceptos_Analítica_contraloría[#All],5,0),"")</f>
        <v/>
      </c>
      <c r="F909" t="str">
        <f>+IFERROR(VLOOKUP(Fact_Analitica[[#This Row], [Concepto Anterior]],Conceptos_Analítica_contraloría[#All],7,0),"")</f>
        <v/>
      </c>
      <c r="I909" t="str">
        <f>+IFERROR(VLOOKUP(D909,Conceptos_Analítica_contraloría[#All],2,0),"")</f>
        <v/>
      </c>
      <c r="J909" s="84" t="str">
        <f>+IFERROR(VLOOKUP(D909,Conceptos_Analítica_contraloría[#All],3,0),"")</f>
        <v/>
      </c>
    </row>
    <row r="910" spans="3:10" ht="18.75" customHeight="1" x14ac:dyDescent="0.35">
      <c r="C910" s="100" t="str">
        <f>IF(OR(Fact_Analitica[[#This Row], [Año]]="",Fact_Analitica[[#This Row], [Mes]]=""),"",DATE(A910,MATCH(B910,{"enero","febrero","marzo","abril","mayo","junio","julio","agosto","septiembre","octubre","noviembre","diciembre"},0)+1,0))</f>
        <v/>
      </c>
      <c r="E910" t="str">
        <f>+IFERROR(VLOOKUP(Fact_Analitica[[#This Row], [Concepto Anterior]],Conceptos_Analítica_contraloría[#All],5,0),"")</f>
        <v/>
      </c>
      <c r="F910" t="str">
        <f>+IFERROR(VLOOKUP(Fact_Analitica[[#This Row], [Concepto Anterior]],Conceptos_Analítica_contraloría[#All],7,0),"")</f>
        <v/>
      </c>
      <c r="I910" t="str">
        <f>+IFERROR(VLOOKUP(D910,Conceptos_Analítica_contraloría[#All],2,0),"")</f>
        <v/>
      </c>
      <c r="J910" s="84" t="str">
        <f>+IFERROR(VLOOKUP(D910,Conceptos_Analítica_contraloría[#All],3,0),"")</f>
        <v/>
      </c>
    </row>
    <row r="911" spans="3:10" ht="18.75" customHeight="1" x14ac:dyDescent="0.35">
      <c r="C911" s="100" t="str">
        <f>IF(OR(Fact_Analitica[[#This Row], [Año]]="",Fact_Analitica[[#This Row], [Mes]]=""),"",DATE(A911,MATCH(B911,{"enero","febrero","marzo","abril","mayo","junio","julio","agosto","septiembre","octubre","noviembre","diciembre"},0)+1,0))</f>
        <v/>
      </c>
      <c r="E911" t="str">
        <f>+IFERROR(VLOOKUP(Fact_Analitica[[#This Row], [Concepto Anterior]],Conceptos_Analítica_contraloría[#All],5,0),"")</f>
        <v/>
      </c>
      <c r="F911" t="str">
        <f>+IFERROR(VLOOKUP(Fact_Analitica[[#This Row], [Concepto Anterior]],Conceptos_Analítica_contraloría[#All],7,0),"")</f>
        <v/>
      </c>
      <c r="I911" t="str">
        <f>+IFERROR(VLOOKUP(D911,Conceptos_Analítica_contraloría[#All],2,0),"")</f>
        <v/>
      </c>
      <c r="J911" s="84" t="str">
        <f>+IFERROR(VLOOKUP(D911,Conceptos_Analítica_contraloría[#All],3,0),"")</f>
        <v/>
      </c>
    </row>
    <row r="912" spans="3:10" ht="18.75" customHeight="1" x14ac:dyDescent="0.35">
      <c r="C912" s="100" t="str">
        <f>IF(OR(Fact_Analitica[[#This Row], [Año]]="",Fact_Analitica[[#This Row], [Mes]]=""),"",DATE(A912,MATCH(B912,{"enero","febrero","marzo","abril","mayo","junio","julio","agosto","septiembre","octubre","noviembre","diciembre"},0)+1,0))</f>
        <v/>
      </c>
      <c r="E912" t="str">
        <f>+IFERROR(VLOOKUP(Fact_Analitica[[#This Row], [Concepto Anterior]],Conceptos_Analítica_contraloría[#All],5,0),"")</f>
        <v/>
      </c>
      <c r="F912" t="str">
        <f>+IFERROR(VLOOKUP(Fact_Analitica[[#This Row], [Concepto Anterior]],Conceptos_Analítica_contraloría[#All],7,0),"")</f>
        <v/>
      </c>
      <c r="I912" t="str">
        <f>+IFERROR(VLOOKUP(D912,Conceptos_Analítica_contraloría[#All],2,0),"")</f>
        <v/>
      </c>
      <c r="J912" s="84" t="str">
        <f>+IFERROR(VLOOKUP(D912,Conceptos_Analítica_contraloría[#All],3,0),"")</f>
        <v/>
      </c>
    </row>
    <row r="913" spans="3:10" ht="18.75" customHeight="1" x14ac:dyDescent="0.35">
      <c r="C913" s="100" t="str">
        <f>IF(OR(Fact_Analitica[[#This Row], [Año]]="",Fact_Analitica[[#This Row], [Mes]]=""),"",DATE(A913,MATCH(B913,{"enero","febrero","marzo","abril","mayo","junio","julio","agosto","septiembre","octubre","noviembre","diciembre"},0)+1,0))</f>
        <v/>
      </c>
      <c r="E913" t="str">
        <f>+IFERROR(VLOOKUP(Fact_Analitica[[#This Row], [Concepto Anterior]],Conceptos_Analítica_contraloría[#All],5,0),"")</f>
        <v/>
      </c>
      <c r="F913" t="str">
        <f>+IFERROR(VLOOKUP(Fact_Analitica[[#This Row], [Concepto Anterior]],Conceptos_Analítica_contraloría[#All],7,0),"")</f>
        <v/>
      </c>
      <c r="I913" t="str">
        <f>+IFERROR(VLOOKUP(D913,Conceptos_Analítica_contraloría[#All],2,0),"")</f>
        <v/>
      </c>
      <c r="J913" s="84" t="str">
        <f>+IFERROR(VLOOKUP(D913,Conceptos_Analítica_contraloría[#All],3,0),"")</f>
        <v/>
      </c>
    </row>
    <row r="914" spans="3:10" ht="18.75" customHeight="1" x14ac:dyDescent="0.35">
      <c r="C914" s="100" t="str">
        <f>IF(OR(Fact_Analitica[[#This Row], [Año]]="",Fact_Analitica[[#This Row], [Mes]]=""),"",DATE(A914,MATCH(B914,{"enero","febrero","marzo","abril","mayo","junio","julio","agosto","septiembre","octubre","noviembre","diciembre"},0)+1,0))</f>
        <v/>
      </c>
      <c r="E914" t="str">
        <f>+IFERROR(VLOOKUP(Fact_Analitica[[#This Row], [Concepto Anterior]],Conceptos_Analítica_contraloría[#All],5,0),"")</f>
        <v/>
      </c>
      <c r="F914" t="str">
        <f>+IFERROR(VLOOKUP(Fact_Analitica[[#This Row], [Concepto Anterior]],Conceptos_Analítica_contraloría[#All],7,0),"")</f>
        <v/>
      </c>
      <c r="I914" t="str">
        <f>+IFERROR(VLOOKUP(D914,Conceptos_Analítica_contraloría[#All],2,0),"")</f>
        <v/>
      </c>
      <c r="J914" s="84" t="str">
        <f>+IFERROR(VLOOKUP(D914,Conceptos_Analítica_contraloría[#All],3,0),"")</f>
        <v/>
      </c>
    </row>
    <row r="915" spans="3:10" ht="18.75" customHeight="1" x14ac:dyDescent="0.35">
      <c r="C915" s="100" t="str">
        <f>IF(OR(Fact_Analitica[[#This Row], [Año]]="",Fact_Analitica[[#This Row], [Mes]]=""),"",DATE(A915,MATCH(B915,{"enero","febrero","marzo","abril","mayo","junio","julio","agosto","septiembre","octubre","noviembre","diciembre"},0)+1,0))</f>
        <v/>
      </c>
      <c r="E915" t="str">
        <f>+IFERROR(VLOOKUP(Fact_Analitica[[#This Row], [Concepto Anterior]],Conceptos_Analítica_contraloría[#All],5,0),"")</f>
        <v/>
      </c>
      <c r="F915" t="str">
        <f>+IFERROR(VLOOKUP(Fact_Analitica[[#This Row], [Concepto Anterior]],Conceptos_Analítica_contraloría[#All],7,0),"")</f>
        <v/>
      </c>
      <c r="I915" t="str">
        <f>+IFERROR(VLOOKUP(D915,Conceptos_Analítica_contraloría[#All],2,0),"")</f>
        <v/>
      </c>
      <c r="J915" s="84" t="str">
        <f>+IFERROR(VLOOKUP(D915,Conceptos_Analítica_contraloría[#All],3,0),"")</f>
        <v/>
      </c>
    </row>
    <row r="916" spans="3:10" ht="18.75" customHeight="1" x14ac:dyDescent="0.35">
      <c r="C916" s="100" t="str">
        <f>IF(OR(Fact_Analitica[[#This Row], [Año]]="",Fact_Analitica[[#This Row], [Mes]]=""),"",DATE(A916,MATCH(B916,{"enero","febrero","marzo","abril","mayo","junio","julio","agosto","septiembre","octubre","noviembre","diciembre"},0)+1,0))</f>
        <v/>
      </c>
      <c r="E916" t="str">
        <f>+IFERROR(VLOOKUP(Fact_Analitica[[#This Row], [Concepto Anterior]],Conceptos_Analítica_contraloría[#All],5,0),"")</f>
        <v/>
      </c>
      <c r="F916" t="str">
        <f>+IFERROR(VLOOKUP(Fact_Analitica[[#This Row], [Concepto Anterior]],Conceptos_Analítica_contraloría[#All],7,0),"")</f>
        <v/>
      </c>
      <c r="I916" t="str">
        <f>+IFERROR(VLOOKUP(D916,Conceptos_Analítica_contraloría[#All],2,0),"")</f>
        <v/>
      </c>
      <c r="J916" s="84" t="str">
        <f>+IFERROR(VLOOKUP(D916,Conceptos_Analítica_contraloría[#All],3,0),"")</f>
        <v/>
      </c>
    </row>
    <row r="917" spans="3:10" ht="18.75" customHeight="1" x14ac:dyDescent="0.35">
      <c r="C917" s="100" t="str">
        <f>IF(OR(Fact_Analitica[[#This Row], [Año]]="",Fact_Analitica[[#This Row], [Mes]]=""),"",DATE(A917,MATCH(B917,{"enero","febrero","marzo","abril","mayo","junio","julio","agosto","septiembre","octubre","noviembre","diciembre"},0)+1,0))</f>
        <v/>
      </c>
      <c r="E917" t="str">
        <f>+IFERROR(VLOOKUP(Fact_Analitica[[#This Row], [Concepto Anterior]],Conceptos_Analítica_contraloría[#All],5,0),"")</f>
        <v/>
      </c>
      <c r="F917" t="str">
        <f>+IFERROR(VLOOKUP(Fact_Analitica[[#This Row], [Concepto Anterior]],Conceptos_Analítica_contraloría[#All],7,0),"")</f>
        <v/>
      </c>
      <c r="I917" t="str">
        <f>+IFERROR(VLOOKUP(D917,Conceptos_Analítica_contraloría[#All],2,0),"")</f>
        <v/>
      </c>
      <c r="J917" s="84" t="str">
        <f>+IFERROR(VLOOKUP(D917,Conceptos_Analítica_contraloría[#All],3,0),"")</f>
        <v/>
      </c>
    </row>
    <row r="918" spans="3:10" ht="18.75" customHeight="1" x14ac:dyDescent="0.35">
      <c r="C918" s="100" t="str">
        <f>IF(OR(Fact_Analitica[[#This Row], [Año]]="",Fact_Analitica[[#This Row], [Mes]]=""),"",DATE(A918,MATCH(B918,{"enero","febrero","marzo","abril","mayo","junio","julio","agosto","septiembre","octubre","noviembre","diciembre"},0)+1,0))</f>
        <v/>
      </c>
      <c r="E918" t="str">
        <f>+IFERROR(VLOOKUP(Fact_Analitica[[#This Row], [Concepto Anterior]],Conceptos_Analítica_contraloría[#All],5,0),"")</f>
        <v/>
      </c>
      <c r="F918" t="str">
        <f>+IFERROR(VLOOKUP(Fact_Analitica[[#This Row], [Concepto Anterior]],Conceptos_Analítica_contraloría[#All],7,0),"")</f>
        <v/>
      </c>
      <c r="I918" t="str">
        <f>+IFERROR(VLOOKUP(D918,Conceptos_Analítica_contraloría[#All],2,0),"")</f>
        <v/>
      </c>
      <c r="J918" s="84" t="str">
        <f>+IFERROR(VLOOKUP(D918,Conceptos_Analítica_contraloría[#All],3,0),"")</f>
        <v/>
      </c>
    </row>
    <row r="919" spans="3:10" ht="18.75" customHeight="1" x14ac:dyDescent="0.35">
      <c r="C919" s="100" t="str">
        <f>IF(OR(Fact_Analitica[[#This Row], [Año]]="",Fact_Analitica[[#This Row], [Mes]]=""),"",DATE(A919,MATCH(B919,{"enero","febrero","marzo","abril","mayo","junio","julio","agosto","septiembre","octubre","noviembre","diciembre"},0)+1,0))</f>
        <v/>
      </c>
      <c r="E919" t="str">
        <f>+IFERROR(VLOOKUP(Fact_Analitica[[#This Row], [Concepto Anterior]],Conceptos_Analítica_contraloría[#All],5,0),"")</f>
        <v/>
      </c>
      <c r="F919" t="str">
        <f>+IFERROR(VLOOKUP(Fact_Analitica[[#This Row], [Concepto Anterior]],Conceptos_Analítica_contraloría[#All],7,0),"")</f>
        <v/>
      </c>
      <c r="I919" t="str">
        <f>+IFERROR(VLOOKUP(D919,Conceptos_Analítica_contraloría[#All],2,0),"")</f>
        <v/>
      </c>
      <c r="J919" s="84" t="str">
        <f>+IFERROR(VLOOKUP(D919,Conceptos_Analítica_contraloría[#All],3,0),"")</f>
        <v/>
      </c>
    </row>
    <row r="920" spans="3:10" ht="18.75" customHeight="1" x14ac:dyDescent="0.35">
      <c r="C920" s="100" t="str">
        <f>IF(OR(Fact_Analitica[[#This Row], [Año]]="",Fact_Analitica[[#This Row], [Mes]]=""),"",DATE(A920,MATCH(B920,{"enero","febrero","marzo","abril","mayo","junio","julio","agosto","septiembre","octubre","noviembre","diciembre"},0)+1,0))</f>
        <v/>
      </c>
      <c r="E920" t="str">
        <f>+IFERROR(VLOOKUP(Fact_Analitica[[#This Row], [Concepto Anterior]],Conceptos_Analítica_contraloría[#All],5,0),"")</f>
        <v/>
      </c>
      <c r="F920" t="str">
        <f>+IFERROR(VLOOKUP(Fact_Analitica[[#This Row], [Concepto Anterior]],Conceptos_Analítica_contraloría[#All],7,0),"")</f>
        <v/>
      </c>
      <c r="I920" t="str">
        <f>+IFERROR(VLOOKUP(D920,Conceptos_Analítica_contraloría[#All],2,0),"")</f>
        <v/>
      </c>
      <c r="J920" s="84" t="str">
        <f>+IFERROR(VLOOKUP(D920,Conceptos_Analítica_contraloría[#All],3,0),"")</f>
        <v/>
      </c>
    </row>
    <row r="921" spans="3:10" ht="18.75" customHeight="1" x14ac:dyDescent="0.35">
      <c r="C921" s="100" t="str">
        <f>IF(OR(Fact_Analitica[[#This Row], [Año]]="",Fact_Analitica[[#This Row], [Mes]]=""),"",DATE(A921,MATCH(B921,{"enero","febrero","marzo","abril","mayo","junio","julio","agosto","septiembre","octubre","noviembre","diciembre"},0)+1,0))</f>
        <v/>
      </c>
      <c r="E921" t="str">
        <f>+IFERROR(VLOOKUP(Fact_Analitica[[#This Row], [Concepto Anterior]],Conceptos_Analítica_contraloría[#All],5,0),"")</f>
        <v/>
      </c>
      <c r="F921" t="str">
        <f>+IFERROR(VLOOKUP(Fact_Analitica[[#This Row], [Concepto Anterior]],Conceptos_Analítica_contraloría[#All],7,0),"")</f>
        <v/>
      </c>
      <c r="I921" t="str">
        <f>+IFERROR(VLOOKUP(D921,Conceptos_Analítica_contraloría[#All],2,0),"")</f>
        <v/>
      </c>
      <c r="J921" s="84" t="str">
        <f>+IFERROR(VLOOKUP(D921,Conceptos_Analítica_contraloría[#All],3,0),"")</f>
        <v/>
      </c>
    </row>
    <row r="922" spans="3:10" ht="18.75" customHeight="1" x14ac:dyDescent="0.35">
      <c r="C922" s="100" t="str">
        <f>IF(OR(Fact_Analitica[[#This Row], [Año]]="",Fact_Analitica[[#This Row], [Mes]]=""),"",DATE(A922,MATCH(B922,{"enero","febrero","marzo","abril","mayo","junio","julio","agosto","septiembre","octubre","noviembre","diciembre"},0)+1,0))</f>
        <v/>
      </c>
      <c r="E922" t="str">
        <f>+IFERROR(VLOOKUP(Fact_Analitica[[#This Row], [Concepto Anterior]],Conceptos_Analítica_contraloría[#All],5,0),"")</f>
        <v/>
      </c>
      <c r="F922" t="str">
        <f>+IFERROR(VLOOKUP(Fact_Analitica[[#This Row], [Concepto Anterior]],Conceptos_Analítica_contraloría[#All],7,0),"")</f>
        <v/>
      </c>
      <c r="I922" t="str">
        <f>+IFERROR(VLOOKUP(D922,Conceptos_Analítica_contraloría[#All],2,0),"")</f>
        <v/>
      </c>
      <c r="J922" s="84" t="str">
        <f>+IFERROR(VLOOKUP(D922,Conceptos_Analítica_contraloría[#All],3,0),"")</f>
        <v/>
      </c>
    </row>
    <row r="923" spans="3:10" ht="18.75" customHeight="1" x14ac:dyDescent="0.35">
      <c r="C923" s="100" t="str">
        <f>IF(OR(Fact_Analitica[[#This Row], [Año]]="",Fact_Analitica[[#This Row], [Mes]]=""),"",DATE(A923,MATCH(B923,{"enero","febrero","marzo","abril","mayo","junio","julio","agosto","septiembre","octubre","noviembre","diciembre"},0)+1,0))</f>
        <v/>
      </c>
      <c r="E923" t="str">
        <f>+IFERROR(VLOOKUP(Fact_Analitica[[#This Row], [Concepto Anterior]],Conceptos_Analítica_contraloría[#All],5,0),"")</f>
        <v/>
      </c>
      <c r="F923" t="str">
        <f>+IFERROR(VLOOKUP(Fact_Analitica[[#This Row], [Concepto Anterior]],Conceptos_Analítica_contraloría[#All],7,0),"")</f>
        <v/>
      </c>
      <c r="I923" t="str">
        <f>+IFERROR(VLOOKUP(D923,Conceptos_Analítica_contraloría[#All],2,0),"")</f>
        <v/>
      </c>
      <c r="J923" s="84" t="str">
        <f>+IFERROR(VLOOKUP(D923,Conceptos_Analítica_contraloría[#All],3,0),"")</f>
        <v/>
      </c>
    </row>
    <row r="924" spans="3:10" ht="18.75" customHeight="1" x14ac:dyDescent="0.35">
      <c r="C924" s="100" t="str">
        <f>IF(OR(Fact_Analitica[[#This Row], [Año]]="",Fact_Analitica[[#This Row], [Mes]]=""),"",DATE(A924,MATCH(B924,{"enero","febrero","marzo","abril","mayo","junio","julio","agosto","septiembre","octubre","noviembre","diciembre"},0)+1,0))</f>
        <v/>
      </c>
      <c r="E924" t="str">
        <f>+IFERROR(VLOOKUP(Fact_Analitica[[#This Row], [Concepto Anterior]],Conceptos_Analítica_contraloría[#All],5,0),"")</f>
        <v/>
      </c>
      <c r="F924" t="str">
        <f>+IFERROR(VLOOKUP(Fact_Analitica[[#This Row], [Concepto Anterior]],Conceptos_Analítica_contraloría[#All],7,0),"")</f>
        <v/>
      </c>
      <c r="I924" t="str">
        <f>+IFERROR(VLOOKUP(D924,Conceptos_Analítica_contraloría[#All],2,0),"")</f>
        <v/>
      </c>
      <c r="J924" s="84" t="str">
        <f>+IFERROR(VLOOKUP(D924,Conceptos_Analítica_contraloría[#All],3,0),"")</f>
        <v/>
      </c>
    </row>
    <row r="925" spans="3:10" ht="18.75" customHeight="1" x14ac:dyDescent="0.35">
      <c r="C925" s="100" t="str">
        <f>IF(OR(Fact_Analitica[[#This Row], [Año]]="",Fact_Analitica[[#This Row], [Mes]]=""),"",DATE(A925,MATCH(B925,{"enero","febrero","marzo","abril","mayo","junio","julio","agosto","septiembre","octubre","noviembre","diciembre"},0)+1,0))</f>
        <v/>
      </c>
      <c r="E925" t="str">
        <f>+IFERROR(VLOOKUP(Fact_Analitica[[#This Row], [Concepto Anterior]],Conceptos_Analítica_contraloría[#All],5,0),"")</f>
        <v/>
      </c>
      <c r="F925" t="str">
        <f>+IFERROR(VLOOKUP(Fact_Analitica[[#This Row], [Concepto Anterior]],Conceptos_Analítica_contraloría[#All],7,0),"")</f>
        <v/>
      </c>
      <c r="I925" t="str">
        <f>+IFERROR(VLOOKUP(D925,Conceptos_Analítica_contraloría[#All],2,0),"")</f>
        <v/>
      </c>
      <c r="J925" s="84" t="str">
        <f>+IFERROR(VLOOKUP(D925,Conceptos_Analítica_contraloría[#All],3,0),"")</f>
        <v/>
      </c>
    </row>
    <row r="926" spans="3:10" ht="18.75" customHeight="1" x14ac:dyDescent="0.35">
      <c r="C926" s="100" t="str">
        <f>IF(OR(Fact_Analitica[[#This Row], [Año]]="",Fact_Analitica[[#This Row], [Mes]]=""),"",DATE(A926,MATCH(B926,{"enero","febrero","marzo","abril","mayo","junio","julio","agosto","septiembre","octubre","noviembre","diciembre"},0)+1,0))</f>
        <v/>
      </c>
      <c r="E926" t="str">
        <f>+IFERROR(VLOOKUP(Fact_Analitica[[#This Row], [Concepto Anterior]],Conceptos_Analítica_contraloría[#All],5,0),"")</f>
        <v/>
      </c>
      <c r="F926" t="str">
        <f>+IFERROR(VLOOKUP(Fact_Analitica[[#This Row], [Concepto Anterior]],Conceptos_Analítica_contraloría[#All],7,0),"")</f>
        <v/>
      </c>
      <c r="I926" t="str">
        <f>+IFERROR(VLOOKUP(D926,Conceptos_Analítica_contraloría[#All],2,0),"")</f>
        <v/>
      </c>
      <c r="J926" s="84" t="str">
        <f>+IFERROR(VLOOKUP(D926,Conceptos_Analítica_contraloría[#All],3,0),"")</f>
        <v/>
      </c>
    </row>
    <row r="927" spans="3:10" ht="18.75" customHeight="1" x14ac:dyDescent="0.35">
      <c r="C927" s="100" t="str">
        <f>IF(OR(Fact_Analitica[[#This Row], [Año]]="",Fact_Analitica[[#This Row], [Mes]]=""),"",DATE(A927,MATCH(B927,{"enero","febrero","marzo","abril","mayo","junio","julio","agosto","septiembre","octubre","noviembre","diciembre"},0)+1,0))</f>
        <v/>
      </c>
      <c r="E927" t="str">
        <f>+IFERROR(VLOOKUP(Fact_Analitica[[#This Row], [Concepto Anterior]],Conceptos_Analítica_contraloría[#All],5,0),"")</f>
        <v/>
      </c>
      <c r="F927" t="str">
        <f>+IFERROR(VLOOKUP(Fact_Analitica[[#This Row], [Concepto Anterior]],Conceptos_Analítica_contraloría[#All],7,0),"")</f>
        <v/>
      </c>
      <c r="I927" t="str">
        <f>+IFERROR(VLOOKUP(D927,Conceptos_Analítica_contraloría[#All],2,0),"")</f>
        <v/>
      </c>
      <c r="J927" s="84" t="str">
        <f>+IFERROR(VLOOKUP(D927,Conceptos_Analítica_contraloría[#All],3,0),"")</f>
        <v/>
      </c>
    </row>
    <row r="928" spans="3:10" ht="18.75" customHeight="1" x14ac:dyDescent="0.35">
      <c r="C928" s="100" t="str">
        <f>IF(OR(Fact_Analitica[[#This Row], [Año]]="",Fact_Analitica[[#This Row], [Mes]]=""),"",DATE(A928,MATCH(B928,{"enero","febrero","marzo","abril","mayo","junio","julio","agosto","septiembre","octubre","noviembre","diciembre"},0)+1,0))</f>
        <v/>
      </c>
      <c r="E928" t="str">
        <f>+IFERROR(VLOOKUP(Fact_Analitica[[#This Row], [Concepto Anterior]],Conceptos_Analítica_contraloría[#All],5,0),"")</f>
        <v/>
      </c>
      <c r="F928" t="str">
        <f>+IFERROR(VLOOKUP(Fact_Analitica[[#This Row], [Concepto Anterior]],Conceptos_Analítica_contraloría[#All],7,0),"")</f>
        <v/>
      </c>
      <c r="I928" t="str">
        <f>+IFERROR(VLOOKUP(D928,Conceptos_Analítica_contraloría[#All],2,0),"")</f>
        <v/>
      </c>
      <c r="J928" s="84" t="str">
        <f>+IFERROR(VLOOKUP(D928,Conceptos_Analítica_contraloría[#All],3,0),"")</f>
        <v/>
      </c>
    </row>
    <row r="929" spans="3:10" ht="18.75" customHeight="1" x14ac:dyDescent="0.35">
      <c r="C929" s="100" t="str">
        <f>IF(OR(Fact_Analitica[[#This Row], [Año]]="",Fact_Analitica[[#This Row], [Mes]]=""),"",DATE(A929,MATCH(B929,{"enero","febrero","marzo","abril","mayo","junio","julio","agosto","septiembre","octubre","noviembre","diciembre"},0)+1,0))</f>
        <v/>
      </c>
      <c r="E929" t="str">
        <f>+IFERROR(VLOOKUP(Fact_Analitica[[#This Row], [Concepto Anterior]],Conceptos_Analítica_contraloría[#All],5,0),"")</f>
        <v/>
      </c>
      <c r="F929" t="str">
        <f>+IFERROR(VLOOKUP(Fact_Analitica[[#This Row], [Concepto Anterior]],Conceptos_Analítica_contraloría[#All],7,0),"")</f>
        <v/>
      </c>
      <c r="I929" t="str">
        <f>+IFERROR(VLOOKUP(D929,Conceptos_Analítica_contraloría[#All],2,0),"")</f>
        <v/>
      </c>
      <c r="J929" s="84" t="str">
        <f>+IFERROR(VLOOKUP(D929,Conceptos_Analítica_contraloría[#All],3,0),"")</f>
        <v/>
      </c>
    </row>
    <row r="930" spans="3:10" ht="18.75" customHeight="1" x14ac:dyDescent="0.35">
      <c r="C930" s="100" t="str">
        <f>IF(OR(Fact_Analitica[[#This Row], [Año]]="",Fact_Analitica[[#This Row], [Mes]]=""),"",DATE(A930,MATCH(B930,{"enero","febrero","marzo","abril","mayo","junio","julio","agosto","septiembre","octubre","noviembre","diciembre"},0)+1,0))</f>
        <v/>
      </c>
      <c r="E930" t="str">
        <f>+IFERROR(VLOOKUP(Fact_Analitica[[#This Row], [Concepto Anterior]],Conceptos_Analítica_contraloría[#All],5,0),"")</f>
        <v/>
      </c>
      <c r="F930" t="str">
        <f>+IFERROR(VLOOKUP(Fact_Analitica[[#This Row], [Concepto Anterior]],Conceptos_Analítica_contraloría[#All],7,0),"")</f>
        <v/>
      </c>
      <c r="I930" t="str">
        <f>+IFERROR(VLOOKUP(D930,Conceptos_Analítica_contraloría[#All],2,0),"")</f>
        <v/>
      </c>
      <c r="J930" s="84" t="str">
        <f>+IFERROR(VLOOKUP(D930,Conceptos_Analítica_contraloría[#All],3,0),"")</f>
        <v/>
      </c>
    </row>
    <row r="931" spans="3:10" ht="18.75" customHeight="1" x14ac:dyDescent="0.35">
      <c r="C931" s="100" t="str">
        <f>IF(OR(Fact_Analitica[[#This Row], [Año]]="",Fact_Analitica[[#This Row], [Mes]]=""),"",DATE(A931,MATCH(B931,{"enero","febrero","marzo","abril","mayo","junio","julio","agosto","septiembre","octubre","noviembre","diciembre"},0)+1,0))</f>
        <v/>
      </c>
      <c r="E931" t="str">
        <f>+IFERROR(VLOOKUP(Fact_Analitica[[#This Row], [Concepto Anterior]],Conceptos_Analítica_contraloría[#All],5,0),"")</f>
        <v/>
      </c>
      <c r="F931" t="str">
        <f>+IFERROR(VLOOKUP(Fact_Analitica[[#This Row], [Concepto Anterior]],Conceptos_Analítica_contraloría[#All],7,0),"")</f>
        <v/>
      </c>
      <c r="I931" t="str">
        <f>+IFERROR(VLOOKUP(D931,Conceptos_Analítica_contraloría[#All],2,0),"")</f>
        <v/>
      </c>
      <c r="J931" s="84" t="str">
        <f>+IFERROR(VLOOKUP(D931,Conceptos_Analítica_contraloría[#All],3,0),"")</f>
        <v/>
      </c>
    </row>
    <row r="932" spans="3:10" ht="18.75" customHeight="1" x14ac:dyDescent="0.35">
      <c r="C932" s="100" t="str">
        <f>IF(OR(Fact_Analitica[[#This Row], [Año]]="",Fact_Analitica[[#This Row], [Mes]]=""),"",DATE(A932,MATCH(B932,{"enero","febrero","marzo","abril","mayo","junio","julio","agosto","septiembre","octubre","noviembre","diciembre"},0)+1,0))</f>
        <v/>
      </c>
      <c r="E932" t="str">
        <f>+IFERROR(VLOOKUP(Fact_Analitica[[#This Row], [Concepto Anterior]],Conceptos_Analítica_contraloría[#All],5,0),"")</f>
        <v/>
      </c>
      <c r="F932" t="str">
        <f>+IFERROR(VLOOKUP(Fact_Analitica[[#This Row], [Concepto Anterior]],Conceptos_Analítica_contraloría[#All],7,0),"")</f>
        <v/>
      </c>
      <c r="I932" t="str">
        <f>+IFERROR(VLOOKUP(D932,Conceptos_Analítica_contraloría[#All],2,0),"")</f>
        <v/>
      </c>
      <c r="J932" s="84" t="str">
        <f>+IFERROR(VLOOKUP(D932,Conceptos_Analítica_contraloría[#All],3,0),"")</f>
        <v/>
      </c>
    </row>
    <row r="933" spans="3:10" ht="18.75" customHeight="1" x14ac:dyDescent="0.35">
      <c r="C933" s="100" t="str">
        <f>IF(OR(Fact_Analitica[[#This Row], [Año]]="",Fact_Analitica[[#This Row], [Mes]]=""),"",DATE(A933,MATCH(B933,{"enero","febrero","marzo","abril","mayo","junio","julio","agosto","septiembre","octubre","noviembre","diciembre"},0)+1,0))</f>
        <v/>
      </c>
      <c r="E933" t="str">
        <f>+IFERROR(VLOOKUP(Fact_Analitica[[#This Row], [Concepto Anterior]],Conceptos_Analítica_contraloría[#All],5,0),"")</f>
        <v/>
      </c>
      <c r="F933" t="str">
        <f>+IFERROR(VLOOKUP(Fact_Analitica[[#This Row], [Concepto Anterior]],Conceptos_Analítica_contraloría[#All],7,0),"")</f>
        <v/>
      </c>
      <c r="I933" t="str">
        <f>+IFERROR(VLOOKUP(D933,Conceptos_Analítica_contraloría[#All],2,0),"")</f>
        <v/>
      </c>
      <c r="J933" s="84" t="str">
        <f>+IFERROR(VLOOKUP(D933,Conceptos_Analítica_contraloría[#All],3,0),"")</f>
        <v/>
      </c>
    </row>
    <row r="934" spans="3:10" ht="18.75" customHeight="1" x14ac:dyDescent="0.35">
      <c r="C934" s="100" t="str">
        <f>IF(OR(Fact_Analitica[[#This Row], [Año]]="",Fact_Analitica[[#This Row], [Mes]]=""),"",DATE(A934,MATCH(B934,{"enero","febrero","marzo","abril","mayo","junio","julio","agosto","septiembre","octubre","noviembre","diciembre"},0)+1,0))</f>
        <v/>
      </c>
      <c r="E934" t="str">
        <f>+IFERROR(VLOOKUP(Fact_Analitica[[#This Row], [Concepto Anterior]],Conceptos_Analítica_contraloría[#All],5,0),"")</f>
        <v/>
      </c>
      <c r="F934" t="str">
        <f>+IFERROR(VLOOKUP(Fact_Analitica[[#This Row], [Concepto Anterior]],Conceptos_Analítica_contraloría[#All],7,0),"")</f>
        <v/>
      </c>
      <c r="I934" t="str">
        <f>+IFERROR(VLOOKUP(D934,Conceptos_Analítica_contraloría[#All],2,0),"")</f>
        <v/>
      </c>
      <c r="J934" s="84" t="str">
        <f>+IFERROR(VLOOKUP(D934,Conceptos_Analítica_contraloría[#All],3,0),"")</f>
        <v/>
      </c>
    </row>
    <row r="935" spans="3:10" ht="18.75" customHeight="1" x14ac:dyDescent="0.35">
      <c r="C935" s="100" t="str">
        <f>IF(OR(Fact_Analitica[[#This Row], [Año]]="",Fact_Analitica[[#This Row], [Mes]]=""),"",DATE(A935,MATCH(B935,{"enero","febrero","marzo","abril","mayo","junio","julio","agosto","septiembre","octubre","noviembre","diciembre"},0)+1,0))</f>
        <v/>
      </c>
      <c r="E935" t="str">
        <f>+IFERROR(VLOOKUP(Fact_Analitica[[#This Row], [Concepto Anterior]],Conceptos_Analítica_contraloría[#All],5,0),"")</f>
        <v/>
      </c>
      <c r="F935" t="str">
        <f>+IFERROR(VLOOKUP(Fact_Analitica[[#This Row], [Concepto Anterior]],Conceptos_Analítica_contraloría[#All],7,0),"")</f>
        <v/>
      </c>
      <c r="I935" t="str">
        <f>+IFERROR(VLOOKUP(D935,Conceptos_Analítica_contraloría[#All],2,0),"")</f>
        <v/>
      </c>
      <c r="J935" s="84" t="str">
        <f>+IFERROR(VLOOKUP(D935,Conceptos_Analítica_contraloría[#All],3,0),"")</f>
        <v/>
      </c>
    </row>
    <row r="936" spans="3:10" ht="18.75" customHeight="1" x14ac:dyDescent="0.35">
      <c r="C936" s="100" t="str">
        <f>IF(OR(Fact_Analitica[[#This Row], [Año]]="",Fact_Analitica[[#This Row], [Mes]]=""),"",DATE(A936,MATCH(B936,{"enero","febrero","marzo","abril","mayo","junio","julio","agosto","septiembre","octubre","noviembre","diciembre"},0)+1,0))</f>
        <v/>
      </c>
      <c r="E936" t="str">
        <f>+IFERROR(VLOOKUP(Fact_Analitica[[#This Row], [Concepto Anterior]],Conceptos_Analítica_contraloría[#All],5,0),"")</f>
        <v/>
      </c>
      <c r="F936" t="str">
        <f>+IFERROR(VLOOKUP(Fact_Analitica[[#This Row], [Concepto Anterior]],Conceptos_Analítica_contraloría[#All],7,0),"")</f>
        <v/>
      </c>
      <c r="I936" t="str">
        <f>+IFERROR(VLOOKUP(D936,Conceptos_Analítica_contraloría[#All],2,0),"")</f>
        <v/>
      </c>
      <c r="J936" s="84" t="str">
        <f>+IFERROR(VLOOKUP(D936,Conceptos_Analítica_contraloría[#All],3,0),"")</f>
        <v/>
      </c>
    </row>
    <row r="937" spans="3:10" ht="18.75" customHeight="1" x14ac:dyDescent="0.35">
      <c r="C937" s="100" t="str">
        <f>IF(OR(Fact_Analitica[[#This Row], [Año]]="",Fact_Analitica[[#This Row], [Mes]]=""),"",DATE(A937,MATCH(B937,{"enero","febrero","marzo","abril","mayo","junio","julio","agosto","septiembre","octubre","noviembre","diciembre"},0)+1,0))</f>
        <v/>
      </c>
      <c r="E937" t="str">
        <f>+IFERROR(VLOOKUP(Fact_Analitica[[#This Row], [Concepto Anterior]],Conceptos_Analítica_contraloría[#All],5,0),"")</f>
        <v/>
      </c>
      <c r="F937" t="str">
        <f>+IFERROR(VLOOKUP(Fact_Analitica[[#This Row], [Concepto Anterior]],Conceptos_Analítica_contraloría[#All],7,0),"")</f>
        <v/>
      </c>
      <c r="I937" t="str">
        <f>+IFERROR(VLOOKUP(D937,Conceptos_Analítica_contraloría[#All],2,0),"")</f>
        <v/>
      </c>
      <c r="J937" s="84" t="str">
        <f>+IFERROR(VLOOKUP(D937,Conceptos_Analítica_contraloría[#All],3,0),"")</f>
        <v/>
      </c>
    </row>
    <row r="938" spans="3:10" ht="18.75" customHeight="1" x14ac:dyDescent="0.35">
      <c r="C938" s="100" t="str">
        <f>IF(OR(Fact_Analitica[[#This Row], [Año]]="",Fact_Analitica[[#This Row], [Mes]]=""),"",DATE(A938,MATCH(B938,{"enero","febrero","marzo","abril","mayo","junio","julio","agosto","septiembre","octubre","noviembre","diciembre"},0)+1,0))</f>
        <v/>
      </c>
      <c r="E938" t="str">
        <f>+IFERROR(VLOOKUP(Fact_Analitica[[#This Row], [Concepto Anterior]],Conceptos_Analítica_contraloría[#All],5,0),"")</f>
        <v/>
      </c>
      <c r="F938" t="str">
        <f>+IFERROR(VLOOKUP(Fact_Analitica[[#This Row], [Concepto Anterior]],Conceptos_Analítica_contraloría[#All],7,0),"")</f>
        <v/>
      </c>
      <c r="I938" t="str">
        <f>+IFERROR(VLOOKUP(D938,Conceptos_Analítica_contraloría[#All],2,0),"")</f>
        <v/>
      </c>
      <c r="J938" s="84" t="str">
        <f>+IFERROR(VLOOKUP(D938,Conceptos_Analítica_contraloría[#All],3,0),"")</f>
        <v/>
      </c>
    </row>
    <row r="939" spans="3:10" ht="18.75" customHeight="1" x14ac:dyDescent="0.35">
      <c r="C939" s="100" t="str">
        <f>IF(OR(Fact_Analitica[[#This Row], [Año]]="",Fact_Analitica[[#This Row], [Mes]]=""),"",DATE(A939,MATCH(B939,{"enero","febrero","marzo","abril","mayo","junio","julio","agosto","septiembre","octubre","noviembre","diciembre"},0)+1,0))</f>
        <v/>
      </c>
      <c r="E939" t="str">
        <f>+IFERROR(VLOOKUP(Fact_Analitica[[#This Row], [Concepto Anterior]],Conceptos_Analítica_contraloría[#All],5,0),"")</f>
        <v/>
      </c>
      <c r="F939" t="str">
        <f>+IFERROR(VLOOKUP(Fact_Analitica[[#This Row], [Concepto Anterior]],Conceptos_Analítica_contraloría[#All],7,0),"")</f>
        <v/>
      </c>
      <c r="I939" t="str">
        <f>+IFERROR(VLOOKUP(D939,Conceptos_Analítica_contraloría[#All],2,0),"")</f>
        <v/>
      </c>
      <c r="J939" s="84" t="str">
        <f>+IFERROR(VLOOKUP(D939,Conceptos_Analítica_contraloría[#All],3,0),"")</f>
        <v/>
      </c>
    </row>
    <row r="940" spans="3:10" ht="18.75" customHeight="1" x14ac:dyDescent="0.35">
      <c r="C940" s="100" t="str">
        <f>IF(OR(Fact_Analitica[[#This Row], [Año]]="",Fact_Analitica[[#This Row], [Mes]]=""),"",DATE(A940,MATCH(B940,{"enero","febrero","marzo","abril","mayo","junio","julio","agosto","septiembre","octubre","noviembre","diciembre"},0)+1,0))</f>
        <v/>
      </c>
      <c r="E940" t="str">
        <f>+IFERROR(VLOOKUP(Fact_Analitica[[#This Row], [Concepto Anterior]],Conceptos_Analítica_contraloría[#All],5,0),"")</f>
        <v/>
      </c>
      <c r="F940" t="str">
        <f>+IFERROR(VLOOKUP(Fact_Analitica[[#This Row], [Concepto Anterior]],Conceptos_Analítica_contraloría[#All],7,0),"")</f>
        <v/>
      </c>
      <c r="I940" t="str">
        <f>+IFERROR(VLOOKUP(D940,Conceptos_Analítica_contraloría[#All],2,0),"")</f>
        <v/>
      </c>
      <c r="J940" s="84" t="str">
        <f>+IFERROR(VLOOKUP(D940,Conceptos_Analítica_contraloría[#All],3,0),"")</f>
        <v/>
      </c>
    </row>
    <row r="941" spans="3:10" ht="18.75" customHeight="1" x14ac:dyDescent="0.35">
      <c r="C941" s="100" t="str">
        <f>IF(OR(Fact_Analitica[[#This Row], [Año]]="",Fact_Analitica[[#This Row], [Mes]]=""),"",DATE(A941,MATCH(B941,{"enero","febrero","marzo","abril","mayo","junio","julio","agosto","septiembre","octubre","noviembre","diciembre"},0)+1,0))</f>
        <v/>
      </c>
      <c r="E941" t="str">
        <f>+IFERROR(VLOOKUP(Fact_Analitica[[#This Row], [Concepto Anterior]],Conceptos_Analítica_contraloría[#All],5,0),"")</f>
        <v/>
      </c>
      <c r="F941" t="str">
        <f>+IFERROR(VLOOKUP(Fact_Analitica[[#This Row], [Concepto Anterior]],Conceptos_Analítica_contraloría[#All],7,0),"")</f>
        <v/>
      </c>
      <c r="I941" t="str">
        <f>+IFERROR(VLOOKUP(D941,Conceptos_Analítica_contraloría[#All],2,0),"")</f>
        <v/>
      </c>
      <c r="J941" s="84" t="str">
        <f>+IFERROR(VLOOKUP(D941,Conceptos_Analítica_contraloría[#All],3,0),"")</f>
        <v/>
      </c>
    </row>
    <row r="942" spans="3:10" ht="18.75" customHeight="1" x14ac:dyDescent="0.35">
      <c r="C942" s="100" t="str">
        <f>IF(OR(Fact_Analitica[[#This Row], [Año]]="",Fact_Analitica[[#This Row], [Mes]]=""),"",DATE(A942,MATCH(B942,{"enero","febrero","marzo","abril","mayo","junio","julio","agosto","septiembre","octubre","noviembre","diciembre"},0)+1,0))</f>
        <v/>
      </c>
      <c r="E942" t="str">
        <f>+IFERROR(VLOOKUP(Fact_Analitica[[#This Row], [Concepto Anterior]],Conceptos_Analítica_contraloría[#All],5,0),"")</f>
        <v/>
      </c>
      <c r="F942" t="str">
        <f>+IFERROR(VLOOKUP(Fact_Analitica[[#This Row], [Concepto Anterior]],Conceptos_Analítica_contraloría[#All],7,0),"")</f>
        <v/>
      </c>
      <c r="I942" t="str">
        <f>+IFERROR(VLOOKUP(D942,Conceptos_Analítica_contraloría[#All],2,0),"")</f>
        <v/>
      </c>
      <c r="J942" s="84" t="str">
        <f>+IFERROR(VLOOKUP(D942,Conceptos_Analítica_contraloría[#All],3,0),"")</f>
        <v/>
      </c>
    </row>
    <row r="943" spans="3:10" ht="18.75" customHeight="1" x14ac:dyDescent="0.35">
      <c r="C943" s="100" t="str">
        <f>IF(OR(Fact_Analitica[[#This Row], [Año]]="",Fact_Analitica[[#This Row], [Mes]]=""),"",DATE(A943,MATCH(B943,{"enero","febrero","marzo","abril","mayo","junio","julio","agosto","septiembre","octubre","noviembre","diciembre"},0)+1,0))</f>
        <v/>
      </c>
      <c r="E943" t="str">
        <f>+IFERROR(VLOOKUP(Fact_Analitica[[#This Row], [Concepto Anterior]],Conceptos_Analítica_contraloría[#All],5,0),"")</f>
        <v/>
      </c>
      <c r="F943" t="str">
        <f>+IFERROR(VLOOKUP(Fact_Analitica[[#This Row], [Concepto Anterior]],Conceptos_Analítica_contraloría[#All],7,0),"")</f>
        <v/>
      </c>
      <c r="I943" t="str">
        <f>+IFERROR(VLOOKUP(D943,Conceptos_Analítica_contraloría[#All],2,0),"")</f>
        <v/>
      </c>
      <c r="J943" s="84" t="str">
        <f>+IFERROR(VLOOKUP(D943,Conceptos_Analítica_contraloría[#All],3,0),"")</f>
        <v/>
      </c>
    </row>
    <row r="944" spans="3:10" ht="18.75" customHeight="1" x14ac:dyDescent="0.35">
      <c r="C944" s="100" t="str">
        <f>IF(OR(Fact_Analitica[[#This Row], [Año]]="",Fact_Analitica[[#This Row], [Mes]]=""),"",DATE(A944,MATCH(B944,{"enero","febrero","marzo","abril","mayo","junio","julio","agosto","septiembre","octubre","noviembre","diciembre"},0)+1,0))</f>
        <v/>
      </c>
      <c r="E944" t="str">
        <f>+IFERROR(VLOOKUP(Fact_Analitica[[#This Row], [Concepto Anterior]],Conceptos_Analítica_contraloría[#All],5,0),"")</f>
        <v/>
      </c>
      <c r="F944" t="str">
        <f>+IFERROR(VLOOKUP(Fact_Analitica[[#This Row], [Concepto Anterior]],Conceptos_Analítica_contraloría[#All],7,0),"")</f>
        <v/>
      </c>
      <c r="I944" t="str">
        <f>+IFERROR(VLOOKUP(D944,Conceptos_Analítica_contraloría[#All],2,0),"")</f>
        <v/>
      </c>
      <c r="J944" s="84" t="str">
        <f>+IFERROR(VLOOKUP(D944,Conceptos_Analítica_contraloría[#All],3,0),"")</f>
        <v/>
      </c>
    </row>
    <row r="945" spans="3:10" ht="18.75" customHeight="1" x14ac:dyDescent="0.35">
      <c r="C945" s="100" t="str">
        <f>IF(OR(Fact_Analitica[[#This Row], [Año]]="",Fact_Analitica[[#This Row], [Mes]]=""),"",DATE(A945,MATCH(B945,{"enero","febrero","marzo","abril","mayo","junio","julio","agosto","septiembre","octubre","noviembre","diciembre"},0)+1,0))</f>
        <v/>
      </c>
      <c r="E945" t="str">
        <f>+IFERROR(VLOOKUP(Fact_Analitica[[#This Row], [Concepto Anterior]],Conceptos_Analítica_contraloría[#All],5,0),"")</f>
        <v/>
      </c>
      <c r="F945" t="str">
        <f>+IFERROR(VLOOKUP(Fact_Analitica[[#This Row], [Concepto Anterior]],Conceptos_Analítica_contraloría[#All],7,0),"")</f>
        <v/>
      </c>
      <c r="I945" t="str">
        <f>+IFERROR(VLOOKUP(D945,Conceptos_Analítica_contraloría[#All],2,0),"")</f>
        <v/>
      </c>
      <c r="J945" s="84" t="str">
        <f>+IFERROR(VLOOKUP(D945,Conceptos_Analítica_contraloría[#All],3,0),"")</f>
        <v/>
      </c>
    </row>
    <row r="946" spans="3:10" ht="18.75" customHeight="1" x14ac:dyDescent="0.35">
      <c r="C946" s="100" t="str">
        <f>IF(OR(Fact_Analitica[[#This Row], [Año]]="",Fact_Analitica[[#This Row], [Mes]]=""),"",DATE(A946,MATCH(B946,{"enero","febrero","marzo","abril","mayo","junio","julio","agosto","septiembre","octubre","noviembre","diciembre"},0)+1,0))</f>
        <v/>
      </c>
      <c r="E946" t="str">
        <f>+IFERROR(VLOOKUP(Fact_Analitica[[#This Row], [Concepto Anterior]],Conceptos_Analítica_contraloría[#All],5,0),"")</f>
        <v/>
      </c>
      <c r="F946" t="str">
        <f>+IFERROR(VLOOKUP(Fact_Analitica[[#This Row], [Concepto Anterior]],Conceptos_Analítica_contraloría[#All],7,0),"")</f>
        <v/>
      </c>
      <c r="I946" t="str">
        <f>+IFERROR(VLOOKUP(D946,Conceptos_Analítica_contraloría[#All],2,0),"")</f>
        <v/>
      </c>
      <c r="J946" s="84" t="str">
        <f>+IFERROR(VLOOKUP(D946,Conceptos_Analítica_contraloría[#All],3,0),"")</f>
        <v/>
      </c>
    </row>
    <row r="947" spans="3:10" ht="18.75" customHeight="1" x14ac:dyDescent="0.35">
      <c r="C947" s="100" t="str">
        <f>IF(OR(Fact_Analitica[[#This Row], [Año]]="",Fact_Analitica[[#This Row], [Mes]]=""),"",DATE(A947,MATCH(B947,{"enero","febrero","marzo","abril","mayo","junio","julio","agosto","septiembre","octubre","noviembre","diciembre"},0)+1,0))</f>
        <v/>
      </c>
      <c r="E947" t="str">
        <f>+IFERROR(VLOOKUP(Fact_Analitica[[#This Row], [Concepto Anterior]],Conceptos_Analítica_contraloría[#All],5,0),"")</f>
        <v/>
      </c>
      <c r="F947" t="str">
        <f>+IFERROR(VLOOKUP(Fact_Analitica[[#This Row], [Concepto Anterior]],Conceptos_Analítica_contraloría[#All],7,0),"")</f>
        <v/>
      </c>
      <c r="I947" t="str">
        <f>+IFERROR(VLOOKUP(D947,Conceptos_Analítica_contraloría[#All],2,0),"")</f>
        <v/>
      </c>
      <c r="J947" s="84" t="str">
        <f>+IFERROR(VLOOKUP(D947,Conceptos_Analítica_contraloría[#All],3,0),"")</f>
        <v/>
      </c>
    </row>
    <row r="948" spans="3:10" ht="18.75" customHeight="1" x14ac:dyDescent="0.35">
      <c r="C948" s="100" t="str">
        <f>IF(OR(Fact_Analitica[[#This Row], [Año]]="",Fact_Analitica[[#This Row], [Mes]]=""),"",DATE(A948,MATCH(B948,{"enero","febrero","marzo","abril","mayo","junio","julio","agosto","septiembre","octubre","noviembre","diciembre"},0)+1,0))</f>
        <v/>
      </c>
      <c r="E948" t="str">
        <f>+IFERROR(VLOOKUP(Fact_Analitica[[#This Row], [Concepto Anterior]],Conceptos_Analítica_contraloría[#All],5,0),"")</f>
        <v/>
      </c>
      <c r="F948" t="str">
        <f>+IFERROR(VLOOKUP(Fact_Analitica[[#This Row], [Concepto Anterior]],Conceptos_Analítica_contraloría[#All],7,0),"")</f>
        <v/>
      </c>
      <c r="I948" t="str">
        <f>+IFERROR(VLOOKUP(D948,Conceptos_Analítica_contraloría[#All],2,0),"")</f>
        <v/>
      </c>
      <c r="J948" s="84" t="str">
        <f>+IFERROR(VLOOKUP(D948,Conceptos_Analítica_contraloría[#All],3,0),"")</f>
        <v/>
      </c>
    </row>
    <row r="949" spans="3:10" ht="18.75" customHeight="1" x14ac:dyDescent="0.35">
      <c r="C949" s="100" t="str">
        <f>IF(OR(Fact_Analitica[[#This Row], [Año]]="",Fact_Analitica[[#This Row], [Mes]]=""),"",DATE(A949,MATCH(B949,{"enero","febrero","marzo","abril","mayo","junio","julio","agosto","septiembre","octubre","noviembre","diciembre"},0)+1,0))</f>
        <v/>
      </c>
      <c r="E949" t="str">
        <f>+IFERROR(VLOOKUP(Fact_Analitica[[#This Row], [Concepto Anterior]],Conceptos_Analítica_contraloría[#All],5,0),"")</f>
        <v/>
      </c>
      <c r="F949" t="str">
        <f>+IFERROR(VLOOKUP(Fact_Analitica[[#This Row], [Concepto Anterior]],Conceptos_Analítica_contraloría[#All],7,0),"")</f>
        <v/>
      </c>
      <c r="I949" t="str">
        <f>+IFERROR(VLOOKUP(D949,Conceptos_Analítica_contraloría[#All],2,0),"")</f>
        <v/>
      </c>
      <c r="J949" s="84" t="str">
        <f>+IFERROR(VLOOKUP(D949,Conceptos_Analítica_contraloría[#All],3,0),"")</f>
        <v/>
      </c>
    </row>
    <row r="950" spans="3:10" ht="18.75" customHeight="1" x14ac:dyDescent="0.35">
      <c r="C950" s="100" t="str">
        <f>IF(OR(Fact_Analitica[[#This Row], [Año]]="",Fact_Analitica[[#This Row], [Mes]]=""),"",DATE(A950,MATCH(B950,{"enero","febrero","marzo","abril","mayo","junio","julio","agosto","septiembre","octubre","noviembre","diciembre"},0)+1,0))</f>
        <v/>
      </c>
      <c r="E950" t="str">
        <f>+IFERROR(VLOOKUP(Fact_Analitica[[#This Row], [Concepto Anterior]],Conceptos_Analítica_contraloría[#All],5,0),"")</f>
        <v/>
      </c>
      <c r="F950" t="str">
        <f>+IFERROR(VLOOKUP(Fact_Analitica[[#This Row], [Concepto Anterior]],Conceptos_Analítica_contraloría[#All],7,0),"")</f>
        <v/>
      </c>
      <c r="I950" t="str">
        <f>+IFERROR(VLOOKUP(D950,Conceptos_Analítica_contraloría[#All],2,0),"")</f>
        <v/>
      </c>
      <c r="J950" s="84" t="str">
        <f>+IFERROR(VLOOKUP(D950,Conceptos_Analítica_contraloría[#All],3,0),"")</f>
        <v/>
      </c>
    </row>
    <row r="951" spans="3:10" ht="18.75" customHeight="1" x14ac:dyDescent="0.35">
      <c r="C951" s="100" t="str">
        <f>IF(OR(Fact_Analitica[[#This Row], [Año]]="",Fact_Analitica[[#This Row], [Mes]]=""),"",DATE(A951,MATCH(B951,{"enero","febrero","marzo","abril","mayo","junio","julio","agosto","septiembre","octubre","noviembre","diciembre"},0)+1,0))</f>
        <v/>
      </c>
      <c r="E951" t="str">
        <f>+IFERROR(VLOOKUP(Fact_Analitica[[#This Row], [Concepto Anterior]],Conceptos_Analítica_contraloría[#All],5,0),"")</f>
        <v/>
      </c>
      <c r="F951" t="str">
        <f>+IFERROR(VLOOKUP(Fact_Analitica[[#This Row], [Concepto Anterior]],Conceptos_Analítica_contraloría[#All],7,0),"")</f>
        <v/>
      </c>
      <c r="I951" t="str">
        <f>+IFERROR(VLOOKUP(D951,Conceptos_Analítica_contraloría[#All],2,0),"")</f>
        <v/>
      </c>
      <c r="J951" s="84" t="str">
        <f>+IFERROR(VLOOKUP(D951,Conceptos_Analítica_contraloría[#All],3,0),"")</f>
        <v/>
      </c>
    </row>
    <row r="952" spans="3:10" ht="18.75" customHeight="1" x14ac:dyDescent="0.35">
      <c r="C952" s="100" t="str">
        <f>IF(OR(Fact_Analitica[[#This Row], [Año]]="",Fact_Analitica[[#This Row], [Mes]]=""),"",DATE(A952,MATCH(B952,{"enero","febrero","marzo","abril","mayo","junio","julio","agosto","septiembre","octubre","noviembre","diciembre"},0)+1,0))</f>
        <v/>
      </c>
      <c r="E952" t="str">
        <f>+IFERROR(VLOOKUP(Fact_Analitica[[#This Row], [Concepto Anterior]],Conceptos_Analítica_contraloría[#All],5,0),"")</f>
        <v/>
      </c>
      <c r="F952" t="str">
        <f>+IFERROR(VLOOKUP(Fact_Analitica[[#This Row], [Concepto Anterior]],Conceptos_Analítica_contraloría[#All],7,0),"")</f>
        <v/>
      </c>
      <c r="I952" t="str">
        <f>+IFERROR(VLOOKUP(D952,Conceptos_Analítica_contraloría[#All],2,0),"")</f>
        <v/>
      </c>
      <c r="J952" s="84" t="str">
        <f>+IFERROR(VLOOKUP(D952,Conceptos_Analítica_contraloría[#All],3,0),"")</f>
        <v/>
      </c>
    </row>
    <row r="953" spans="3:10" ht="18.75" customHeight="1" x14ac:dyDescent="0.35">
      <c r="C953" s="100" t="str">
        <f>IF(OR(Fact_Analitica[[#This Row], [Año]]="",Fact_Analitica[[#This Row], [Mes]]=""),"",DATE(A953,MATCH(B953,{"enero","febrero","marzo","abril","mayo","junio","julio","agosto","septiembre","octubre","noviembre","diciembre"},0)+1,0))</f>
        <v/>
      </c>
      <c r="E953" t="str">
        <f>+IFERROR(VLOOKUP(Fact_Analitica[[#This Row], [Concepto Anterior]],Conceptos_Analítica_contraloría[#All],5,0),"")</f>
        <v/>
      </c>
      <c r="F953" t="str">
        <f>+IFERROR(VLOOKUP(Fact_Analitica[[#This Row], [Concepto Anterior]],Conceptos_Analítica_contraloría[#All],7,0),"")</f>
        <v/>
      </c>
      <c r="I953" t="str">
        <f>+IFERROR(VLOOKUP(D953,Conceptos_Analítica_contraloría[#All],2,0),"")</f>
        <v/>
      </c>
      <c r="J953" s="84" t="str">
        <f>+IFERROR(VLOOKUP(D953,Conceptos_Analítica_contraloría[#All],3,0),"")</f>
        <v/>
      </c>
    </row>
    <row r="954" spans="3:10" ht="18.75" customHeight="1" x14ac:dyDescent="0.35">
      <c r="C954" s="100" t="str">
        <f>IF(OR(Fact_Analitica[[#This Row], [Año]]="",Fact_Analitica[[#This Row], [Mes]]=""),"",DATE(A954,MATCH(B954,{"enero","febrero","marzo","abril","mayo","junio","julio","agosto","septiembre","octubre","noviembre","diciembre"},0)+1,0))</f>
        <v/>
      </c>
      <c r="E954" t="str">
        <f>+IFERROR(VLOOKUP(Fact_Analitica[[#This Row], [Concepto Anterior]],Conceptos_Analítica_contraloría[#All],5,0),"")</f>
        <v/>
      </c>
      <c r="F954" t="str">
        <f>+IFERROR(VLOOKUP(Fact_Analitica[[#This Row], [Concepto Anterior]],Conceptos_Analítica_contraloría[#All],7,0),"")</f>
        <v/>
      </c>
      <c r="I954" t="str">
        <f>+IFERROR(VLOOKUP(D954,Conceptos_Analítica_contraloría[#All],2,0),"")</f>
        <v/>
      </c>
      <c r="J954" s="84" t="str">
        <f>+IFERROR(VLOOKUP(D954,Conceptos_Analítica_contraloría[#All],3,0),"")</f>
        <v/>
      </c>
    </row>
    <row r="955" spans="3:10" ht="18.75" customHeight="1" x14ac:dyDescent="0.35">
      <c r="C955" s="100" t="str">
        <f>IF(OR(Fact_Analitica[[#This Row], [Año]]="",Fact_Analitica[[#This Row], [Mes]]=""),"",DATE(A955,MATCH(B955,{"enero","febrero","marzo","abril","mayo","junio","julio","agosto","septiembre","octubre","noviembre","diciembre"},0)+1,0))</f>
        <v/>
      </c>
      <c r="E955" t="str">
        <f>+IFERROR(VLOOKUP(Fact_Analitica[[#This Row], [Concepto Anterior]],Conceptos_Analítica_contraloría[#All],5,0),"")</f>
        <v/>
      </c>
      <c r="F955" t="str">
        <f>+IFERROR(VLOOKUP(Fact_Analitica[[#This Row], [Concepto Anterior]],Conceptos_Analítica_contraloría[#All],7,0),"")</f>
        <v/>
      </c>
      <c r="I955" t="str">
        <f>+IFERROR(VLOOKUP(D955,Conceptos_Analítica_contraloría[#All],2,0),"")</f>
        <v/>
      </c>
      <c r="J955" s="84" t="str">
        <f>+IFERROR(VLOOKUP(D955,Conceptos_Analítica_contraloría[#All],3,0),"")</f>
        <v/>
      </c>
    </row>
    <row r="956" spans="3:10" ht="18.75" customHeight="1" x14ac:dyDescent="0.35">
      <c r="C956" s="100" t="str">
        <f>IF(OR(Fact_Analitica[[#This Row], [Año]]="",Fact_Analitica[[#This Row], [Mes]]=""),"",DATE(A956,MATCH(B956,{"enero","febrero","marzo","abril","mayo","junio","julio","agosto","septiembre","octubre","noviembre","diciembre"},0)+1,0))</f>
        <v/>
      </c>
      <c r="E956" t="str">
        <f>+IFERROR(VLOOKUP(Fact_Analitica[[#This Row], [Concepto Anterior]],Conceptos_Analítica_contraloría[#All],5,0),"")</f>
        <v/>
      </c>
      <c r="F956" t="str">
        <f>+IFERROR(VLOOKUP(Fact_Analitica[[#This Row], [Concepto Anterior]],Conceptos_Analítica_contraloría[#All],7,0),"")</f>
        <v/>
      </c>
      <c r="I956" t="str">
        <f>+IFERROR(VLOOKUP(D956,Conceptos_Analítica_contraloría[#All],2,0),"")</f>
        <v/>
      </c>
      <c r="J956" s="84" t="str">
        <f>+IFERROR(VLOOKUP(D956,Conceptos_Analítica_contraloría[#All],3,0),"")</f>
        <v/>
      </c>
    </row>
    <row r="957" spans="3:10" ht="18.75" customHeight="1" x14ac:dyDescent="0.35">
      <c r="C957" s="100" t="str">
        <f>IF(OR(Fact_Analitica[[#This Row], [Año]]="",Fact_Analitica[[#This Row], [Mes]]=""),"",DATE(A957,MATCH(B957,{"enero","febrero","marzo","abril","mayo","junio","julio","agosto","septiembre","octubre","noviembre","diciembre"},0)+1,0))</f>
        <v/>
      </c>
      <c r="E957" t="str">
        <f>+IFERROR(VLOOKUP(Fact_Analitica[[#This Row], [Concepto Anterior]],Conceptos_Analítica_contraloría[#All],5,0),"")</f>
        <v/>
      </c>
      <c r="F957" t="str">
        <f>+IFERROR(VLOOKUP(Fact_Analitica[[#This Row], [Concepto Anterior]],Conceptos_Analítica_contraloría[#All],7,0),"")</f>
        <v/>
      </c>
      <c r="I957" t="str">
        <f>+IFERROR(VLOOKUP(D957,Conceptos_Analítica_contraloría[#All],2,0),"")</f>
        <v/>
      </c>
      <c r="J957" s="84" t="str">
        <f>+IFERROR(VLOOKUP(D957,Conceptos_Analítica_contraloría[#All],3,0),"")</f>
        <v/>
      </c>
    </row>
    <row r="958" spans="3:10" ht="18.75" customHeight="1" x14ac:dyDescent="0.35">
      <c r="C958" s="100" t="str">
        <f>IF(OR(Fact_Analitica[[#This Row], [Año]]="",Fact_Analitica[[#This Row], [Mes]]=""),"",DATE(A958,MATCH(B958,{"enero","febrero","marzo","abril","mayo","junio","julio","agosto","septiembre","octubre","noviembre","diciembre"},0)+1,0))</f>
        <v/>
      </c>
      <c r="E958" t="str">
        <f>+IFERROR(VLOOKUP(Fact_Analitica[[#This Row], [Concepto Anterior]],Conceptos_Analítica_contraloría[#All],5,0),"")</f>
        <v/>
      </c>
      <c r="F958" t="str">
        <f>+IFERROR(VLOOKUP(Fact_Analitica[[#This Row], [Concepto Anterior]],Conceptos_Analítica_contraloría[#All],7,0),"")</f>
        <v/>
      </c>
      <c r="I958" t="str">
        <f>+IFERROR(VLOOKUP(D958,Conceptos_Analítica_contraloría[#All],2,0),"")</f>
        <v/>
      </c>
      <c r="J958" s="84" t="str">
        <f>+IFERROR(VLOOKUP(D958,Conceptos_Analítica_contraloría[#All],3,0),"")</f>
        <v/>
      </c>
    </row>
    <row r="959" spans="3:10" ht="18.75" customHeight="1" x14ac:dyDescent="0.35">
      <c r="C959" s="100" t="str">
        <f>IF(OR(Fact_Analitica[[#This Row], [Año]]="",Fact_Analitica[[#This Row], [Mes]]=""),"",DATE(A959,MATCH(B959,{"enero","febrero","marzo","abril","mayo","junio","julio","agosto","septiembre","octubre","noviembre","diciembre"},0)+1,0))</f>
        <v/>
      </c>
      <c r="E959" t="str">
        <f>+IFERROR(VLOOKUP(Fact_Analitica[[#This Row], [Concepto Anterior]],Conceptos_Analítica_contraloría[#All],5,0),"")</f>
        <v/>
      </c>
      <c r="F959" t="str">
        <f>+IFERROR(VLOOKUP(Fact_Analitica[[#This Row], [Concepto Anterior]],Conceptos_Analítica_contraloría[#All],7,0),"")</f>
        <v/>
      </c>
      <c r="I959" t="str">
        <f>+IFERROR(VLOOKUP(D959,Conceptos_Analítica_contraloría[#All],2,0),"")</f>
        <v/>
      </c>
      <c r="J959" s="84" t="str">
        <f>+IFERROR(VLOOKUP(D959,Conceptos_Analítica_contraloría[#All],3,0),"")</f>
        <v/>
      </c>
    </row>
    <row r="960" spans="3:10" ht="18.75" customHeight="1" x14ac:dyDescent="0.35">
      <c r="C960" s="100" t="str">
        <f>IF(OR(Fact_Analitica[[#This Row], [Año]]="",Fact_Analitica[[#This Row], [Mes]]=""),"",DATE(A960,MATCH(B960,{"enero","febrero","marzo","abril","mayo","junio","julio","agosto","septiembre","octubre","noviembre","diciembre"},0)+1,0))</f>
        <v/>
      </c>
      <c r="E960" t="str">
        <f>+IFERROR(VLOOKUP(Fact_Analitica[[#This Row], [Concepto Anterior]],Conceptos_Analítica_contraloría[#All],5,0),"")</f>
        <v/>
      </c>
      <c r="F960" t="str">
        <f>+IFERROR(VLOOKUP(Fact_Analitica[[#This Row], [Concepto Anterior]],Conceptos_Analítica_contraloría[#All],7,0),"")</f>
        <v/>
      </c>
      <c r="I960" t="str">
        <f>+IFERROR(VLOOKUP(D960,Conceptos_Analítica_contraloría[#All],2,0),"")</f>
        <v/>
      </c>
      <c r="J960" s="84" t="str">
        <f>+IFERROR(VLOOKUP(D960,Conceptos_Analítica_contraloría[#All],3,0),"")</f>
        <v/>
      </c>
    </row>
    <row r="961" spans="3:10" ht="18.75" customHeight="1" x14ac:dyDescent="0.35">
      <c r="C961" s="100" t="str">
        <f>IF(OR(Fact_Analitica[[#This Row], [Año]]="",Fact_Analitica[[#This Row], [Mes]]=""),"",DATE(A961,MATCH(B961,{"enero","febrero","marzo","abril","mayo","junio","julio","agosto","septiembre","octubre","noviembre","diciembre"},0)+1,0))</f>
        <v/>
      </c>
      <c r="E961" t="str">
        <f>+IFERROR(VLOOKUP(Fact_Analitica[[#This Row], [Concepto Anterior]],Conceptos_Analítica_contraloría[#All],5,0),"")</f>
        <v/>
      </c>
      <c r="F961" t="str">
        <f>+IFERROR(VLOOKUP(Fact_Analitica[[#This Row], [Concepto Anterior]],Conceptos_Analítica_contraloría[#All],7,0),"")</f>
        <v/>
      </c>
      <c r="I961" t="str">
        <f>+IFERROR(VLOOKUP(D961,Conceptos_Analítica_contraloría[#All],2,0),"")</f>
        <v/>
      </c>
      <c r="J961" s="84" t="str">
        <f>+IFERROR(VLOOKUP(D961,Conceptos_Analítica_contraloría[#All],3,0),"")</f>
        <v/>
      </c>
    </row>
    <row r="962" spans="3:10" ht="18.75" customHeight="1" x14ac:dyDescent="0.35">
      <c r="C962" s="100" t="str">
        <f>IF(OR(Fact_Analitica[[#This Row], [Año]]="",Fact_Analitica[[#This Row], [Mes]]=""),"",DATE(A962,MATCH(B962,{"enero","febrero","marzo","abril","mayo","junio","julio","agosto","septiembre","octubre","noviembre","diciembre"},0)+1,0))</f>
        <v/>
      </c>
      <c r="E962" t="str">
        <f>+IFERROR(VLOOKUP(Fact_Analitica[[#This Row], [Concepto Anterior]],Conceptos_Analítica_contraloría[#All],5,0),"")</f>
        <v/>
      </c>
      <c r="F962" t="str">
        <f>+IFERROR(VLOOKUP(Fact_Analitica[[#This Row], [Concepto Anterior]],Conceptos_Analítica_contraloría[#All],7,0),"")</f>
        <v/>
      </c>
      <c r="I962" t="str">
        <f>+IFERROR(VLOOKUP(D962,Conceptos_Analítica_contraloría[#All],2,0),"")</f>
        <v/>
      </c>
      <c r="J962" s="84" t="str">
        <f>+IFERROR(VLOOKUP(D962,Conceptos_Analítica_contraloría[#All],3,0),"")</f>
        <v/>
      </c>
    </row>
    <row r="963" spans="3:10" ht="18.75" customHeight="1" x14ac:dyDescent="0.35">
      <c r="C963" s="100" t="str">
        <f>IF(OR(Fact_Analitica[[#This Row], [Año]]="",Fact_Analitica[[#This Row], [Mes]]=""),"",DATE(A963,MATCH(B963,{"enero","febrero","marzo","abril","mayo","junio","julio","agosto","septiembre","octubre","noviembre","diciembre"},0)+1,0))</f>
        <v/>
      </c>
      <c r="E963" t="str">
        <f>+IFERROR(VLOOKUP(Fact_Analitica[[#This Row], [Concepto Anterior]],Conceptos_Analítica_contraloría[#All],5,0),"")</f>
        <v/>
      </c>
      <c r="F963" t="str">
        <f>+IFERROR(VLOOKUP(Fact_Analitica[[#This Row], [Concepto Anterior]],Conceptos_Analítica_contraloría[#All],7,0),"")</f>
        <v/>
      </c>
      <c r="I963" t="str">
        <f>+IFERROR(VLOOKUP(D963,Conceptos_Analítica_contraloría[#All],2,0),"")</f>
        <v/>
      </c>
      <c r="J963" s="84" t="str">
        <f>+IFERROR(VLOOKUP(D963,Conceptos_Analítica_contraloría[#All],3,0),"")</f>
        <v/>
      </c>
    </row>
    <row r="964" spans="3:10" ht="18.75" customHeight="1" x14ac:dyDescent="0.35">
      <c r="C964" s="100" t="str">
        <f>IF(OR(Fact_Analitica[[#This Row], [Año]]="",Fact_Analitica[[#This Row], [Mes]]=""),"",DATE(A964,MATCH(B964,{"enero","febrero","marzo","abril","mayo","junio","julio","agosto","septiembre","octubre","noviembre","diciembre"},0)+1,0))</f>
        <v/>
      </c>
      <c r="E964" t="str">
        <f>+IFERROR(VLOOKUP(Fact_Analitica[[#This Row], [Concepto Anterior]],Conceptos_Analítica_contraloría[#All],5,0),"")</f>
        <v/>
      </c>
      <c r="F964" t="str">
        <f>+IFERROR(VLOOKUP(Fact_Analitica[[#This Row], [Concepto Anterior]],Conceptos_Analítica_contraloría[#All],7,0),"")</f>
        <v/>
      </c>
      <c r="I964" t="str">
        <f>+IFERROR(VLOOKUP(D964,Conceptos_Analítica_contraloría[#All],2,0),"")</f>
        <v/>
      </c>
      <c r="J964" s="84" t="str">
        <f>+IFERROR(VLOOKUP(D964,Conceptos_Analítica_contraloría[#All],3,0),"")</f>
        <v/>
      </c>
    </row>
    <row r="965" spans="3:10" ht="18.75" customHeight="1" x14ac:dyDescent="0.35">
      <c r="C965" s="100" t="str">
        <f>IF(OR(Fact_Analitica[[#This Row], [Año]]="",Fact_Analitica[[#This Row], [Mes]]=""),"",DATE(A965,MATCH(B965,{"enero","febrero","marzo","abril","mayo","junio","julio","agosto","septiembre","octubre","noviembre","diciembre"},0)+1,0))</f>
        <v/>
      </c>
      <c r="E965" t="str">
        <f>+IFERROR(VLOOKUP(Fact_Analitica[[#This Row], [Concepto Anterior]],Conceptos_Analítica_contraloría[#All],5,0),"")</f>
        <v/>
      </c>
      <c r="F965" t="str">
        <f>+IFERROR(VLOOKUP(Fact_Analitica[[#This Row], [Concepto Anterior]],Conceptos_Analítica_contraloría[#All],7,0),"")</f>
        <v/>
      </c>
      <c r="I965" t="str">
        <f>+IFERROR(VLOOKUP(D965,Conceptos_Analítica_contraloría[#All],2,0),"")</f>
        <v/>
      </c>
      <c r="J965" s="84" t="str">
        <f>+IFERROR(VLOOKUP(D965,Conceptos_Analítica_contraloría[#All],3,0),"")</f>
        <v/>
      </c>
    </row>
    <row r="966" spans="3:10" ht="18.75" customHeight="1" x14ac:dyDescent="0.35">
      <c r="C966" s="100" t="str">
        <f>IF(OR(Fact_Analitica[[#This Row], [Año]]="",Fact_Analitica[[#This Row], [Mes]]=""),"",DATE(A966,MATCH(B966,{"enero","febrero","marzo","abril","mayo","junio","julio","agosto","septiembre","octubre","noviembre","diciembre"},0)+1,0))</f>
        <v/>
      </c>
      <c r="E966" t="str">
        <f>+IFERROR(VLOOKUP(Fact_Analitica[[#This Row], [Concepto Anterior]],Conceptos_Analítica_contraloría[#All],5,0),"")</f>
        <v/>
      </c>
      <c r="F966" t="str">
        <f>+IFERROR(VLOOKUP(Fact_Analitica[[#This Row], [Concepto Anterior]],Conceptos_Analítica_contraloría[#All],7,0),"")</f>
        <v/>
      </c>
      <c r="I966" t="str">
        <f>+IFERROR(VLOOKUP(D966,Conceptos_Analítica_contraloría[#All],2,0),"")</f>
        <v/>
      </c>
      <c r="J966" s="84" t="str">
        <f>+IFERROR(VLOOKUP(D966,Conceptos_Analítica_contraloría[#All],3,0),"")</f>
        <v/>
      </c>
    </row>
    <row r="967" spans="3:10" ht="18.75" customHeight="1" x14ac:dyDescent="0.35">
      <c r="C967" s="100" t="str">
        <f>IF(OR(Fact_Analitica[[#This Row], [Año]]="",Fact_Analitica[[#This Row], [Mes]]=""),"",DATE(A967,MATCH(B967,{"enero","febrero","marzo","abril","mayo","junio","julio","agosto","septiembre","octubre","noviembre","diciembre"},0)+1,0))</f>
        <v/>
      </c>
      <c r="E967" t="str">
        <f>+IFERROR(VLOOKUP(Fact_Analitica[[#This Row], [Concepto Anterior]],Conceptos_Analítica_contraloría[#All],5,0),"")</f>
        <v/>
      </c>
      <c r="F967" t="str">
        <f>+IFERROR(VLOOKUP(Fact_Analitica[[#This Row], [Concepto Anterior]],Conceptos_Analítica_contraloría[#All],7,0),"")</f>
        <v/>
      </c>
      <c r="I967" t="str">
        <f>+IFERROR(VLOOKUP(D967,Conceptos_Analítica_contraloría[#All],2,0),"")</f>
        <v/>
      </c>
      <c r="J967" s="84" t="str">
        <f>+IFERROR(VLOOKUP(D967,Conceptos_Analítica_contraloría[#All],3,0),"")</f>
        <v/>
      </c>
    </row>
    <row r="968" spans="3:10" ht="18.75" customHeight="1" x14ac:dyDescent="0.35">
      <c r="C968" s="100" t="str">
        <f>IF(OR(Fact_Analitica[[#This Row], [Año]]="",Fact_Analitica[[#This Row], [Mes]]=""),"",DATE(A968,MATCH(B968,{"enero","febrero","marzo","abril","mayo","junio","julio","agosto","septiembre","octubre","noviembre","diciembre"},0)+1,0))</f>
        <v/>
      </c>
      <c r="E968" t="str">
        <f>+IFERROR(VLOOKUP(Fact_Analitica[[#This Row], [Concepto Anterior]],Conceptos_Analítica_contraloría[#All],5,0),"")</f>
        <v/>
      </c>
      <c r="F968" t="str">
        <f>+IFERROR(VLOOKUP(Fact_Analitica[[#This Row], [Concepto Anterior]],Conceptos_Analítica_contraloría[#All],7,0),"")</f>
        <v/>
      </c>
      <c r="I968" t="str">
        <f>+IFERROR(VLOOKUP(D968,Conceptos_Analítica_contraloría[#All],2,0),"")</f>
        <v/>
      </c>
      <c r="J968" s="84" t="str">
        <f>+IFERROR(VLOOKUP(D968,Conceptos_Analítica_contraloría[#All],3,0),"")</f>
        <v/>
      </c>
    </row>
    <row r="969" spans="3:10" ht="18.75" customHeight="1" x14ac:dyDescent="0.35">
      <c r="C969" s="100" t="str">
        <f>IF(OR(Fact_Analitica[[#This Row], [Año]]="",Fact_Analitica[[#This Row], [Mes]]=""),"",DATE(A969,MATCH(B969,{"enero","febrero","marzo","abril","mayo","junio","julio","agosto","septiembre","octubre","noviembre","diciembre"},0)+1,0))</f>
        <v/>
      </c>
      <c r="E969" t="str">
        <f>+IFERROR(VLOOKUP(Fact_Analitica[[#This Row], [Concepto Anterior]],Conceptos_Analítica_contraloría[#All],5,0),"")</f>
        <v/>
      </c>
      <c r="F969" t="str">
        <f>+IFERROR(VLOOKUP(Fact_Analitica[[#This Row], [Concepto Anterior]],Conceptos_Analítica_contraloría[#All],7,0),"")</f>
        <v/>
      </c>
      <c r="I969" t="str">
        <f>+IFERROR(VLOOKUP(D969,Conceptos_Analítica_contraloría[#All],2,0),"")</f>
        <v/>
      </c>
      <c r="J969" s="84" t="str">
        <f>+IFERROR(VLOOKUP(D969,Conceptos_Analítica_contraloría[#All],3,0),"")</f>
        <v/>
      </c>
    </row>
    <row r="970" spans="3:10" ht="18.75" customHeight="1" x14ac:dyDescent="0.35">
      <c r="C970" s="100" t="str">
        <f>IF(OR(Fact_Analitica[[#This Row], [Año]]="",Fact_Analitica[[#This Row], [Mes]]=""),"",DATE(A970,MATCH(B970,{"enero","febrero","marzo","abril","mayo","junio","julio","agosto","septiembre","octubre","noviembre","diciembre"},0)+1,0))</f>
        <v/>
      </c>
      <c r="E970" t="str">
        <f>+IFERROR(VLOOKUP(Fact_Analitica[[#This Row], [Concepto Anterior]],Conceptos_Analítica_contraloría[#All],5,0),"")</f>
        <v/>
      </c>
      <c r="F970" t="str">
        <f>+IFERROR(VLOOKUP(Fact_Analitica[[#This Row], [Concepto Anterior]],Conceptos_Analítica_contraloría[#All],7,0),"")</f>
        <v/>
      </c>
      <c r="I970" t="str">
        <f>+IFERROR(VLOOKUP(D970,Conceptos_Analítica_contraloría[#All],2,0),"")</f>
        <v/>
      </c>
      <c r="J970" s="84" t="str">
        <f>+IFERROR(VLOOKUP(D970,Conceptos_Analítica_contraloría[#All],3,0),"")</f>
        <v/>
      </c>
    </row>
    <row r="971" spans="3:10" ht="18.75" customHeight="1" x14ac:dyDescent="0.35">
      <c r="C971" s="100" t="str">
        <f>IF(OR(Fact_Analitica[[#This Row], [Año]]="",Fact_Analitica[[#This Row], [Mes]]=""),"",DATE(A971,MATCH(B971,{"enero","febrero","marzo","abril","mayo","junio","julio","agosto","septiembre","octubre","noviembre","diciembre"},0)+1,0))</f>
        <v/>
      </c>
      <c r="E971" t="str">
        <f>+IFERROR(VLOOKUP(Fact_Analitica[[#This Row], [Concepto Anterior]],Conceptos_Analítica_contraloría[#All],5,0),"")</f>
        <v/>
      </c>
      <c r="F971" t="str">
        <f>+IFERROR(VLOOKUP(Fact_Analitica[[#This Row], [Concepto Anterior]],Conceptos_Analítica_contraloría[#All],7,0),"")</f>
        <v/>
      </c>
      <c r="I971" t="str">
        <f>+IFERROR(VLOOKUP(D971,Conceptos_Analítica_contraloría[#All],2,0),"")</f>
        <v/>
      </c>
      <c r="J971" s="84" t="str">
        <f>+IFERROR(VLOOKUP(D971,Conceptos_Analítica_contraloría[#All],3,0),"")</f>
        <v/>
      </c>
    </row>
    <row r="972" spans="3:10" ht="18.75" customHeight="1" x14ac:dyDescent="0.35">
      <c r="C972" s="100" t="str">
        <f>IF(OR(Fact_Analitica[[#This Row], [Año]]="",Fact_Analitica[[#This Row], [Mes]]=""),"",DATE(A972,MATCH(B972,{"enero","febrero","marzo","abril","mayo","junio","julio","agosto","septiembre","octubre","noviembre","diciembre"},0)+1,0))</f>
        <v/>
      </c>
      <c r="E972" t="str">
        <f>+IFERROR(VLOOKUP(Fact_Analitica[[#This Row], [Concepto Anterior]],Conceptos_Analítica_contraloría[#All],5,0),"")</f>
        <v/>
      </c>
      <c r="F972" t="str">
        <f>+IFERROR(VLOOKUP(Fact_Analitica[[#This Row], [Concepto Anterior]],Conceptos_Analítica_contraloría[#All],7,0),"")</f>
        <v/>
      </c>
      <c r="I972" t="str">
        <f>+IFERROR(VLOOKUP(D972,Conceptos_Analítica_contraloría[#All],2,0),"")</f>
        <v/>
      </c>
      <c r="J972" s="84" t="str">
        <f>+IFERROR(VLOOKUP(D972,Conceptos_Analítica_contraloría[#All],3,0),"")</f>
        <v/>
      </c>
    </row>
    <row r="973" spans="3:10" ht="18.75" customHeight="1" x14ac:dyDescent="0.35">
      <c r="C973" s="100" t="str">
        <f>IF(OR(Fact_Analitica[[#This Row], [Año]]="",Fact_Analitica[[#This Row], [Mes]]=""),"",DATE(A973,MATCH(B973,{"enero","febrero","marzo","abril","mayo","junio","julio","agosto","septiembre","octubre","noviembre","diciembre"},0)+1,0))</f>
        <v/>
      </c>
      <c r="E973" t="str">
        <f>+IFERROR(VLOOKUP(Fact_Analitica[[#This Row], [Concepto Anterior]],Conceptos_Analítica_contraloría[#All],5,0),"")</f>
        <v/>
      </c>
      <c r="F973" t="str">
        <f>+IFERROR(VLOOKUP(Fact_Analitica[[#This Row], [Concepto Anterior]],Conceptos_Analítica_contraloría[#All],7,0),"")</f>
        <v/>
      </c>
      <c r="I973" t="str">
        <f>+IFERROR(VLOOKUP(D973,Conceptos_Analítica_contraloría[#All],2,0),"")</f>
        <v/>
      </c>
      <c r="J973" s="84" t="str">
        <f>+IFERROR(VLOOKUP(D973,Conceptos_Analítica_contraloría[#All],3,0),"")</f>
        <v/>
      </c>
    </row>
    <row r="974" spans="3:10" ht="18.75" customHeight="1" x14ac:dyDescent="0.35">
      <c r="C974" s="100" t="str">
        <f>IF(OR(Fact_Analitica[[#This Row], [Año]]="",Fact_Analitica[[#This Row], [Mes]]=""),"",DATE(A974,MATCH(B974,{"enero","febrero","marzo","abril","mayo","junio","julio","agosto","septiembre","octubre","noviembre","diciembre"},0)+1,0))</f>
        <v/>
      </c>
      <c r="E974" t="str">
        <f>+IFERROR(VLOOKUP(Fact_Analitica[[#This Row], [Concepto Anterior]],Conceptos_Analítica_contraloría[#All],5,0),"")</f>
        <v/>
      </c>
      <c r="F974" t="str">
        <f>+IFERROR(VLOOKUP(Fact_Analitica[[#This Row], [Concepto Anterior]],Conceptos_Analítica_contraloría[#All],7,0),"")</f>
        <v/>
      </c>
      <c r="I974" t="str">
        <f>+IFERROR(VLOOKUP(D974,Conceptos_Analítica_contraloría[#All],2,0),"")</f>
        <v/>
      </c>
      <c r="J974" s="84" t="str">
        <f>+IFERROR(VLOOKUP(D974,Conceptos_Analítica_contraloría[#All],3,0),"")</f>
        <v/>
      </c>
    </row>
    <row r="975" spans="3:10" ht="18.75" customHeight="1" x14ac:dyDescent="0.35">
      <c r="C975" s="100" t="str">
        <f>IF(OR(Fact_Analitica[[#This Row], [Año]]="",Fact_Analitica[[#This Row], [Mes]]=""),"",DATE(A975,MATCH(B975,{"enero","febrero","marzo","abril","mayo","junio","julio","agosto","septiembre","octubre","noviembre","diciembre"},0)+1,0))</f>
        <v/>
      </c>
      <c r="E975" t="str">
        <f>+IFERROR(VLOOKUP(Fact_Analitica[[#This Row], [Concepto Anterior]],Conceptos_Analítica_contraloría[#All],5,0),"")</f>
        <v/>
      </c>
      <c r="F975" t="str">
        <f>+IFERROR(VLOOKUP(Fact_Analitica[[#This Row], [Concepto Anterior]],Conceptos_Analítica_contraloría[#All],7,0),"")</f>
        <v/>
      </c>
      <c r="I975" t="str">
        <f>+IFERROR(VLOOKUP(D975,Conceptos_Analítica_contraloría[#All],2,0),"")</f>
        <v/>
      </c>
      <c r="J975" s="84" t="str">
        <f>+IFERROR(VLOOKUP(D975,Conceptos_Analítica_contraloría[#All],3,0),"")</f>
        <v/>
      </c>
    </row>
    <row r="976" spans="3:10" ht="18.75" customHeight="1" x14ac:dyDescent="0.35">
      <c r="C976" s="100" t="str">
        <f>IF(OR(Fact_Analitica[[#This Row], [Año]]="",Fact_Analitica[[#This Row], [Mes]]=""),"",DATE(A976,MATCH(B976,{"enero","febrero","marzo","abril","mayo","junio","julio","agosto","septiembre","octubre","noviembre","diciembre"},0)+1,0))</f>
        <v/>
      </c>
      <c r="E976" t="str">
        <f>+IFERROR(VLOOKUP(Fact_Analitica[[#This Row], [Concepto Anterior]],Conceptos_Analítica_contraloría[#All],5,0),"")</f>
        <v/>
      </c>
      <c r="F976" t="str">
        <f>+IFERROR(VLOOKUP(Fact_Analitica[[#This Row], [Concepto Anterior]],Conceptos_Analítica_contraloría[#All],7,0),"")</f>
        <v/>
      </c>
      <c r="I976" t="str">
        <f>+IFERROR(VLOOKUP(D976,Conceptos_Analítica_contraloría[#All],2,0),"")</f>
        <v/>
      </c>
      <c r="J976" s="84" t="str">
        <f>+IFERROR(VLOOKUP(D976,Conceptos_Analítica_contraloría[#All],3,0),"")</f>
        <v/>
      </c>
    </row>
    <row r="977" spans="3:10" ht="18.75" customHeight="1" x14ac:dyDescent="0.35">
      <c r="C977" s="100" t="str">
        <f>IF(OR(Fact_Analitica[[#This Row], [Año]]="",Fact_Analitica[[#This Row], [Mes]]=""),"",DATE(A977,MATCH(B977,{"enero","febrero","marzo","abril","mayo","junio","julio","agosto","septiembre","octubre","noviembre","diciembre"},0)+1,0))</f>
        <v/>
      </c>
      <c r="E977" t="str">
        <f>+IFERROR(VLOOKUP(Fact_Analitica[[#This Row], [Concepto Anterior]],Conceptos_Analítica_contraloría[#All],5,0),"")</f>
        <v/>
      </c>
      <c r="F977" t="str">
        <f>+IFERROR(VLOOKUP(Fact_Analitica[[#This Row], [Concepto Anterior]],Conceptos_Analítica_contraloría[#All],7,0),"")</f>
        <v/>
      </c>
      <c r="I977" t="str">
        <f>+IFERROR(VLOOKUP(D977,Conceptos_Analítica_contraloría[#All],2,0),"")</f>
        <v/>
      </c>
      <c r="J977" s="84" t="str">
        <f>+IFERROR(VLOOKUP(D977,Conceptos_Analítica_contraloría[#All],3,0),"")</f>
        <v/>
      </c>
    </row>
    <row r="978" spans="3:10" ht="18.75" customHeight="1" x14ac:dyDescent="0.35">
      <c r="C978" s="100" t="str">
        <f>IF(OR(Fact_Analitica[[#This Row], [Año]]="",Fact_Analitica[[#This Row], [Mes]]=""),"",DATE(A978,MATCH(B978,{"enero","febrero","marzo","abril","mayo","junio","julio","agosto","septiembre","octubre","noviembre","diciembre"},0)+1,0))</f>
        <v/>
      </c>
      <c r="E978" t="str">
        <f>+IFERROR(VLOOKUP(Fact_Analitica[[#This Row], [Concepto Anterior]],Conceptos_Analítica_contraloría[#All],5,0),"")</f>
        <v/>
      </c>
      <c r="F978" t="str">
        <f>+IFERROR(VLOOKUP(Fact_Analitica[[#This Row], [Concepto Anterior]],Conceptos_Analítica_contraloría[#All],7,0),"")</f>
        <v/>
      </c>
      <c r="I978" t="str">
        <f>+IFERROR(VLOOKUP(D978,Conceptos_Analítica_contraloría[#All],2,0),"")</f>
        <v/>
      </c>
      <c r="J978" s="84" t="str">
        <f>+IFERROR(VLOOKUP(D978,Conceptos_Analítica_contraloría[#All],3,0),"")</f>
        <v/>
      </c>
    </row>
    <row r="979" spans="3:10" ht="18.75" customHeight="1" x14ac:dyDescent="0.35">
      <c r="C979" s="100" t="str">
        <f>IF(OR(Fact_Analitica[[#This Row], [Año]]="",Fact_Analitica[[#This Row], [Mes]]=""),"",DATE(A979,MATCH(B979,{"enero","febrero","marzo","abril","mayo","junio","julio","agosto","septiembre","octubre","noviembre","diciembre"},0)+1,0))</f>
        <v/>
      </c>
      <c r="E979" t="str">
        <f>+IFERROR(VLOOKUP(Fact_Analitica[[#This Row], [Concepto Anterior]],Conceptos_Analítica_contraloría[#All],5,0),"")</f>
        <v/>
      </c>
      <c r="F979" t="str">
        <f>+IFERROR(VLOOKUP(Fact_Analitica[[#This Row], [Concepto Anterior]],Conceptos_Analítica_contraloría[#All],7,0),"")</f>
        <v/>
      </c>
      <c r="I979" t="str">
        <f>+IFERROR(VLOOKUP(D979,Conceptos_Analítica_contraloría[#All],2,0),"")</f>
        <v/>
      </c>
      <c r="J979" s="84" t="str">
        <f>+IFERROR(VLOOKUP(D979,Conceptos_Analítica_contraloría[#All],3,0),"")</f>
        <v/>
      </c>
    </row>
    <row r="980" spans="3:10" ht="18.75" customHeight="1" x14ac:dyDescent="0.35">
      <c r="C980" s="100" t="str">
        <f>IF(OR(Fact_Analitica[[#This Row], [Año]]="",Fact_Analitica[[#This Row], [Mes]]=""),"",DATE(A980,MATCH(B980,{"enero","febrero","marzo","abril","mayo","junio","julio","agosto","septiembre","octubre","noviembre","diciembre"},0)+1,0))</f>
        <v/>
      </c>
      <c r="E980" t="str">
        <f>+IFERROR(VLOOKUP(Fact_Analitica[[#This Row], [Concepto Anterior]],Conceptos_Analítica_contraloría[#All],5,0),"")</f>
        <v/>
      </c>
      <c r="F980" t="str">
        <f>+IFERROR(VLOOKUP(Fact_Analitica[[#This Row], [Concepto Anterior]],Conceptos_Analítica_contraloría[#All],7,0),"")</f>
        <v/>
      </c>
      <c r="I980" t="str">
        <f>+IFERROR(VLOOKUP(D980,Conceptos_Analítica_contraloría[#All],2,0),"")</f>
        <v/>
      </c>
      <c r="J980" s="84" t="str">
        <f>+IFERROR(VLOOKUP(D980,Conceptos_Analítica_contraloría[#All],3,0),"")</f>
        <v/>
      </c>
    </row>
    <row r="981" spans="3:10" ht="18.75" customHeight="1" x14ac:dyDescent="0.35">
      <c r="C981" s="100" t="str">
        <f>IF(OR(Fact_Analitica[[#This Row], [Año]]="",Fact_Analitica[[#This Row], [Mes]]=""),"",DATE(A981,MATCH(B981,{"enero","febrero","marzo","abril","mayo","junio","julio","agosto","septiembre","octubre","noviembre","diciembre"},0)+1,0))</f>
        <v/>
      </c>
      <c r="E981" t="str">
        <f>+IFERROR(VLOOKUP(Fact_Analitica[[#This Row], [Concepto Anterior]],Conceptos_Analítica_contraloría[#All],5,0),"")</f>
        <v/>
      </c>
      <c r="F981" t="str">
        <f>+IFERROR(VLOOKUP(Fact_Analitica[[#This Row], [Concepto Anterior]],Conceptos_Analítica_contraloría[#All],7,0),"")</f>
        <v/>
      </c>
      <c r="I981" t="str">
        <f>+IFERROR(VLOOKUP(D981,Conceptos_Analítica_contraloría[#All],2,0),"")</f>
        <v/>
      </c>
      <c r="J981" s="84" t="str">
        <f>+IFERROR(VLOOKUP(D981,Conceptos_Analítica_contraloría[#All],3,0),"")</f>
        <v/>
      </c>
    </row>
    <row r="982" spans="3:10" ht="18.75" customHeight="1" x14ac:dyDescent="0.35">
      <c r="C982" s="100" t="str">
        <f>IF(OR(Fact_Analitica[[#This Row], [Año]]="",Fact_Analitica[[#This Row], [Mes]]=""),"",DATE(A982,MATCH(B982,{"enero","febrero","marzo","abril","mayo","junio","julio","agosto","septiembre","octubre","noviembre","diciembre"},0)+1,0))</f>
        <v/>
      </c>
      <c r="E982" t="str">
        <f>+IFERROR(VLOOKUP(Fact_Analitica[[#This Row], [Concepto Anterior]],Conceptos_Analítica_contraloría[#All],5,0),"")</f>
        <v/>
      </c>
      <c r="F982" t="str">
        <f>+IFERROR(VLOOKUP(Fact_Analitica[[#This Row], [Concepto Anterior]],Conceptos_Analítica_contraloría[#All],7,0),"")</f>
        <v/>
      </c>
      <c r="I982" t="str">
        <f>+IFERROR(VLOOKUP(D982,Conceptos_Analítica_contraloría[#All],2,0),"")</f>
        <v/>
      </c>
      <c r="J982" s="84" t="str">
        <f>+IFERROR(VLOOKUP(D982,Conceptos_Analítica_contraloría[#All],3,0),"")</f>
        <v/>
      </c>
    </row>
    <row r="983" spans="3:10" ht="18.75" customHeight="1" x14ac:dyDescent="0.35">
      <c r="C983" s="100" t="str">
        <f>IF(OR(Fact_Analitica[[#This Row], [Año]]="",Fact_Analitica[[#This Row], [Mes]]=""),"",DATE(A983,MATCH(B983,{"enero","febrero","marzo","abril","mayo","junio","julio","agosto","septiembre","octubre","noviembre","diciembre"},0)+1,0))</f>
        <v/>
      </c>
      <c r="E983" t="str">
        <f>+IFERROR(VLOOKUP(Fact_Analitica[[#This Row], [Concepto Anterior]],Conceptos_Analítica_contraloría[#All],5,0),"")</f>
        <v/>
      </c>
      <c r="F983" t="str">
        <f>+IFERROR(VLOOKUP(Fact_Analitica[[#This Row], [Concepto Anterior]],Conceptos_Analítica_contraloría[#All],7,0),"")</f>
        <v/>
      </c>
      <c r="I983" t="str">
        <f>+IFERROR(VLOOKUP(D983,Conceptos_Analítica_contraloría[#All],2,0),"")</f>
        <v/>
      </c>
      <c r="J983" s="84" t="str">
        <f>+IFERROR(VLOOKUP(D983,Conceptos_Analítica_contraloría[#All],3,0),"")</f>
        <v/>
      </c>
    </row>
    <row r="984" spans="3:10" ht="18.75" customHeight="1" x14ac:dyDescent="0.35">
      <c r="C984" s="100" t="str">
        <f>IF(OR(Fact_Analitica[[#This Row], [Año]]="",Fact_Analitica[[#This Row], [Mes]]=""),"",DATE(A984,MATCH(B984,{"enero","febrero","marzo","abril","mayo","junio","julio","agosto","septiembre","octubre","noviembre","diciembre"},0)+1,0))</f>
        <v/>
      </c>
      <c r="E984" t="str">
        <f>+IFERROR(VLOOKUP(Fact_Analitica[[#This Row], [Concepto Anterior]],Conceptos_Analítica_contraloría[#All],5,0),"")</f>
        <v/>
      </c>
      <c r="F984" t="str">
        <f>+IFERROR(VLOOKUP(Fact_Analitica[[#This Row], [Concepto Anterior]],Conceptos_Analítica_contraloría[#All],7,0),"")</f>
        <v/>
      </c>
      <c r="I984" t="str">
        <f>+IFERROR(VLOOKUP(D984,Conceptos_Analítica_contraloría[#All],2,0),"")</f>
        <v/>
      </c>
      <c r="J984" s="84" t="str">
        <f>+IFERROR(VLOOKUP(D984,Conceptos_Analítica_contraloría[#All],3,0),"")</f>
        <v/>
      </c>
    </row>
    <row r="985" spans="3:10" ht="18.75" customHeight="1" x14ac:dyDescent="0.35">
      <c r="C985" s="100" t="str">
        <f>IF(OR(Fact_Analitica[[#This Row], [Año]]="",Fact_Analitica[[#This Row], [Mes]]=""),"",DATE(A985,MATCH(B985,{"enero","febrero","marzo","abril","mayo","junio","julio","agosto","septiembre","octubre","noviembre","diciembre"},0)+1,0))</f>
        <v/>
      </c>
      <c r="E985" t="str">
        <f>+IFERROR(VLOOKUP(Fact_Analitica[[#This Row], [Concepto Anterior]],Conceptos_Analítica_contraloría[#All],5,0),"")</f>
        <v/>
      </c>
      <c r="F985" t="str">
        <f>+IFERROR(VLOOKUP(Fact_Analitica[[#This Row], [Concepto Anterior]],Conceptos_Analítica_contraloría[#All],7,0),"")</f>
        <v/>
      </c>
      <c r="I985" t="str">
        <f>+IFERROR(VLOOKUP(D985,Conceptos_Analítica_contraloría[#All],2,0),"")</f>
        <v/>
      </c>
      <c r="J985" s="84" t="str">
        <f>+IFERROR(VLOOKUP(D985,Conceptos_Analítica_contraloría[#All],3,0),"")</f>
        <v/>
      </c>
    </row>
    <row r="986" spans="3:10" ht="18.75" customHeight="1" x14ac:dyDescent="0.35">
      <c r="C986" s="100" t="str">
        <f>IF(OR(Fact_Analitica[[#This Row], [Año]]="",Fact_Analitica[[#This Row], [Mes]]=""),"",DATE(A986,MATCH(B986,{"enero","febrero","marzo","abril","mayo","junio","julio","agosto","septiembre","octubre","noviembre","diciembre"},0)+1,0))</f>
        <v/>
      </c>
      <c r="E986" t="str">
        <f>+IFERROR(VLOOKUP(Fact_Analitica[[#This Row], [Concepto Anterior]],Conceptos_Analítica_contraloría[#All],5,0),"")</f>
        <v/>
      </c>
      <c r="F986" t="str">
        <f>+IFERROR(VLOOKUP(Fact_Analitica[[#This Row], [Concepto Anterior]],Conceptos_Analítica_contraloría[#All],7,0),"")</f>
        <v/>
      </c>
      <c r="I986" t="str">
        <f>+IFERROR(VLOOKUP(D986,Conceptos_Analítica_contraloría[#All],2,0),"")</f>
        <v/>
      </c>
      <c r="J986" s="84" t="str">
        <f>+IFERROR(VLOOKUP(D986,Conceptos_Analítica_contraloría[#All],3,0),"")</f>
        <v/>
      </c>
    </row>
    <row r="987" spans="3:10" ht="18.75" customHeight="1" x14ac:dyDescent="0.35">
      <c r="C987" s="100" t="str">
        <f>IF(OR(Fact_Analitica[[#This Row], [Año]]="",Fact_Analitica[[#This Row], [Mes]]=""),"",DATE(A987,MATCH(B987,{"enero","febrero","marzo","abril","mayo","junio","julio","agosto","septiembre","octubre","noviembre","diciembre"},0)+1,0))</f>
        <v/>
      </c>
      <c r="E987" t="str">
        <f>+IFERROR(VLOOKUP(Fact_Analitica[[#This Row], [Concepto Anterior]],Conceptos_Analítica_contraloría[#All],5,0),"")</f>
        <v/>
      </c>
      <c r="F987" t="str">
        <f>+IFERROR(VLOOKUP(Fact_Analitica[[#This Row], [Concepto Anterior]],Conceptos_Analítica_contraloría[#All],7,0),"")</f>
        <v/>
      </c>
      <c r="I987" t="str">
        <f>+IFERROR(VLOOKUP(D987,Conceptos_Analítica_contraloría[#All],2,0),"")</f>
        <v/>
      </c>
      <c r="J987" s="84" t="str">
        <f>+IFERROR(VLOOKUP(D987,Conceptos_Analítica_contraloría[#All],3,0),"")</f>
        <v/>
      </c>
    </row>
    <row r="988" spans="3:10" ht="18.75" customHeight="1" x14ac:dyDescent="0.35">
      <c r="C988" s="100" t="str">
        <f>IF(OR(Fact_Analitica[[#This Row], [Año]]="",Fact_Analitica[[#This Row], [Mes]]=""),"",DATE(A988,MATCH(B988,{"enero","febrero","marzo","abril","mayo","junio","julio","agosto","septiembre","octubre","noviembre","diciembre"},0)+1,0))</f>
        <v/>
      </c>
      <c r="E988" t="str">
        <f>+IFERROR(VLOOKUP(Fact_Analitica[[#This Row], [Concepto Anterior]],Conceptos_Analítica_contraloría[#All],5,0),"")</f>
        <v/>
      </c>
      <c r="F988" t="str">
        <f>+IFERROR(VLOOKUP(Fact_Analitica[[#This Row], [Concepto Anterior]],Conceptos_Analítica_contraloría[#All],7,0),"")</f>
        <v/>
      </c>
      <c r="I988" t="str">
        <f>+IFERROR(VLOOKUP(D988,Conceptos_Analítica_contraloría[#All],2,0),"")</f>
        <v/>
      </c>
      <c r="J988" s="84" t="str">
        <f>+IFERROR(VLOOKUP(D988,Conceptos_Analítica_contraloría[#All],3,0),"")</f>
        <v/>
      </c>
    </row>
    <row r="989" spans="3:10" ht="18.75" customHeight="1" x14ac:dyDescent="0.35">
      <c r="C989" s="100" t="str">
        <f>IF(OR(Fact_Analitica[[#This Row], [Año]]="",Fact_Analitica[[#This Row], [Mes]]=""),"",DATE(A989,MATCH(B989,{"enero","febrero","marzo","abril","mayo","junio","julio","agosto","septiembre","octubre","noviembre","diciembre"},0)+1,0))</f>
        <v/>
      </c>
      <c r="E989" t="str">
        <f>+IFERROR(VLOOKUP(Fact_Analitica[[#This Row], [Concepto Anterior]],Conceptos_Analítica_contraloría[#All],5,0),"")</f>
        <v/>
      </c>
      <c r="F989" t="str">
        <f>+IFERROR(VLOOKUP(Fact_Analitica[[#This Row], [Concepto Anterior]],Conceptos_Analítica_contraloría[#All],7,0),"")</f>
        <v/>
      </c>
      <c r="I989" t="str">
        <f>+IFERROR(VLOOKUP(D989,Conceptos_Analítica_contraloría[#All],2,0),"")</f>
        <v/>
      </c>
      <c r="J989" s="84" t="str">
        <f>+IFERROR(VLOOKUP(D989,Conceptos_Analítica_contraloría[#All],3,0),"")</f>
        <v/>
      </c>
    </row>
    <row r="990" spans="3:10" ht="18.75" customHeight="1" x14ac:dyDescent="0.35">
      <c r="C990" s="100" t="str">
        <f>IF(OR(Fact_Analitica[[#This Row], [Año]]="",Fact_Analitica[[#This Row], [Mes]]=""),"",DATE(A990,MATCH(B990,{"enero","febrero","marzo","abril","mayo","junio","julio","agosto","septiembre","octubre","noviembre","diciembre"},0)+1,0))</f>
        <v/>
      </c>
      <c r="E990" t="str">
        <f>+IFERROR(VLOOKUP(Fact_Analitica[[#This Row], [Concepto Anterior]],Conceptos_Analítica_contraloría[#All],5,0),"")</f>
        <v/>
      </c>
      <c r="F990" t="str">
        <f>+IFERROR(VLOOKUP(Fact_Analitica[[#This Row], [Concepto Anterior]],Conceptos_Analítica_contraloría[#All],7,0),"")</f>
        <v/>
      </c>
      <c r="I990" t="str">
        <f>+IFERROR(VLOOKUP(D990,Conceptos_Analítica_contraloría[#All],2,0),"")</f>
        <v/>
      </c>
      <c r="J990" s="84" t="str">
        <f>+IFERROR(VLOOKUP(D990,Conceptos_Analítica_contraloría[#All],3,0),"")</f>
        <v/>
      </c>
    </row>
    <row r="991" spans="3:10" ht="18.75" customHeight="1" x14ac:dyDescent="0.35">
      <c r="C991" s="100" t="str">
        <f>IF(OR(Fact_Analitica[[#This Row], [Año]]="",Fact_Analitica[[#This Row], [Mes]]=""),"",DATE(A991,MATCH(B991,{"enero","febrero","marzo","abril","mayo","junio","julio","agosto","septiembre","octubre","noviembre","diciembre"},0)+1,0))</f>
        <v/>
      </c>
      <c r="E991" t="str">
        <f>+IFERROR(VLOOKUP(Fact_Analitica[[#This Row], [Concepto Anterior]],Conceptos_Analítica_contraloría[#All],5,0),"")</f>
        <v/>
      </c>
      <c r="F991" t="str">
        <f>+IFERROR(VLOOKUP(Fact_Analitica[[#This Row], [Concepto Anterior]],Conceptos_Analítica_contraloría[#All],7,0),"")</f>
        <v/>
      </c>
      <c r="I991" t="str">
        <f>+IFERROR(VLOOKUP(D991,Conceptos_Analítica_contraloría[#All],2,0),"")</f>
        <v/>
      </c>
      <c r="J991" s="84" t="str">
        <f>+IFERROR(VLOOKUP(D991,Conceptos_Analítica_contraloría[#All],3,0),"")</f>
        <v/>
      </c>
    </row>
    <row r="992" spans="3:10" ht="18.75" customHeight="1" x14ac:dyDescent="0.35">
      <c r="C992" s="100" t="str">
        <f>IF(OR(Fact_Analitica[[#This Row], [Año]]="",Fact_Analitica[[#This Row], [Mes]]=""),"",DATE(A992,MATCH(B992,{"enero","febrero","marzo","abril","mayo","junio","julio","agosto","septiembre","octubre","noviembre","diciembre"},0)+1,0))</f>
        <v/>
      </c>
      <c r="E992" t="str">
        <f>+IFERROR(VLOOKUP(Fact_Analitica[[#This Row], [Concepto Anterior]],Conceptos_Analítica_contraloría[#All],5,0),"")</f>
        <v/>
      </c>
      <c r="F992" t="str">
        <f>+IFERROR(VLOOKUP(Fact_Analitica[[#This Row], [Concepto Anterior]],Conceptos_Analítica_contraloría[#All],7,0),"")</f>
        <v/>
      </c>
      <c r="I992" t="str">
        <f>+IFERROR(VLOOKUP(D992,Conceptos_Analítica_contraloría[#All],2,0),"")</f>
        <v/>
      </c>
      <c r="J992" s="84" t="str">
        <f>+IFERROR(VLOOKUP(D992,Conceptos_Analítica_contraloría[#All],3,0),"")</f>
        <v/>
      </c>
    </row>
    <row r="993" spans="3:10" ht="18.75" customHeight="1" x14ac:dyDescent="0.35">
      <c r="C993" s="100" t="str">
        <f>IF(OR(Fact_Analitica[[#This Row], [Año]]="",Fact_Analitica[[#This Row], [Mes]]=""),"",DATE(A993,MATCH(B993,{"enero","febrero","marzo","abril","mayo","junio","julio","agosto","septiembre","octubre","noviembre","diciembre"},0)+1,0))</f>
        <v/>
      </c>
      <c r="E993" t="str">
        <f>+IFERROR(VLOOKUP(Fact_Analitica[[#This Row], [Concepto Anterior]],Conceptos_Analítica_contraloría[#All],5,0),"")</f>
        <v/>
      </c>
      <c r="F993" t="str">
        <f>+IFERROR(VLOOKUP(Fact_Analitica[[#This Row], [Concepto Anterior]],Conceptos_Analítica_contraloría[#All],7,0),"")</f>
        <v/>
      </c>
      <c r="I993" t="str">
        <f>+IFERROR(VLOOKUP(D993,Conceptos_Analítica_contraloría[#All],2,0),"")</f>
        <v/>
      </c>
      <c r="J993" s="84" t="str">
        <f>+IFERROR(VLOOKUP(D993,Conceptos_Analítica_contraloría[#All],3,0),"")</f>
        <v/>
      </c>
    </row>
    <row r="994" spans="3:10" ht="18.75" customHeight="1" x14ac:dyDescent="0.35">
      <c r="C994" s="100" t="str">
        <f>IF(OR(Fact_Analitica[[#This Row], [Año]]="",Fact_Analitica[[#This Row], [Mes]]=""),"",DATE(A994,MATCH(B994,{"enero","febrero","marzo","abril","mayo","junio","julio","agosto","septiembre","octubre","noviembre","diciembre"},0)+1,0))</f>
        <v/>
      </c>
      <c r="E994" t="str">
        <f>+IFERROR(VLOOKUP(Fact_Analitica[[#This Row], [Concepto Anterior]],Conceptos_Analítica_contraloría[#All],5,0),"")</f>
        <v/>
      </c>
      <c r="F994" t="str">
        <f>+IFERROR(VLOOKUP(Fact_Analitica[[#This Row], [Concepto Anterior]],Conceptos_Analítica_contraloría[#All],7,0),"")</f>
        <v/>
      </c>
      <c r="I994" t="str">
        <f>+IFERROR(VLOOKUP(D994,Conceptos_Analítica_contraloría[#All],2,0),"")</f>
        <v/>
      </c>
      <c r="J994" s="84" t="str">
        <f>+IFERROR(VLOOKUP(D994,Conceptos_Analítica_contraloría[#All],3,0),"")</f>
        <v/>
      </c>
    </row>
    <row r="995" spans="3:10" ht="18.75" customHeight="1" x14ac:dyDescent="0.35">
      <c r="C995" s="100" t="str">
        <f>IF(OR(Fact_Analitica[[#This Row], [Año]]="",Fact_Analitica[[#This Row], [Mes]]=""),"",DATE(A995,MATCH(B995,{"enero","febrero","marzo","abril","mayo","junio","julio","agosto","septiembre","octubre","noviembre","diciembre"},0)+1,0))</f>
        <v/>
      </c>
      <c r="E995" t="str">
        <f>+IFERROR(VLOOKUP(Fact_Analitica[[#This Row], [Concepto Anterior]],Conceptos_Analítica_contraloría[#All],5,0),"")</f>
        <v/>
      </c>
      <c r="F995" t="str">
        <f>+IFERROR(VLOOKUP(Fact_Analitica[[#This Row], [Concepto Anterior]],Conceptos_Analítica_contraloría[#All],7,0),"")</f>
        <v/>
      </c>
      <c r="I995" t="str">
        <f>+IFERROR(VLOOKUP(D995,Conceptos_Analítica_contraloría[#All],2,0),"")</f>
        <v/>
      </c>
      <c r="J995" s="84" t="str">
        <f>+IFERROR(VLOOKUP(D995,Conceptos_Analítica_contraloría[#All],3,0),"")</f>
        <v/>
      </c>
    </row>
    <row r="996" spans="3:10" ht="18.75" customHeight="1" x14ac:dyDescent="0.35">
      <c r="C996" s="100" t="str">
        <f>IF(OR(Fact_Analitica[[#This Row], [Año]]="",Fact_Analitica[[#This Row], [Mes]]=""),"",DATE(A996,MATCH(B996,{"enero","febrero","marzo","abril","mayo","junio","julio","agosto","septiembre","octubre","noviembre","diciembre"},0)+1,0))</f>
        <v/>
      </c>
      <c r="E996" t="str">
        <f>+IFERROR(VLOOKUP(Fact_Analitica[[#This Row], [Concepto Anterior]],Conceptos_Analítica_contraloría[#All],5,0),"")</f>
        <v/>
      </c>
      <c r="F996" t="str">
        <f>+IFERROR(VLOOKUP(Fact_Analitica[[#This Row], [Concepto Anterior]],Conceptos_Analítica_contraloría[#All],7,0),"")</f>
        <v/>
      </c>
      <c r="I996" t="str">
        <f>+IFERROR(VLOOKUP(D996,Conceptos_Analítica_contraloría[#All],2,0),"")</f>
        <v/>
      </c>
      <c r="J996" s="84" t="str">
        <f>+IFERROR(VLOOKUP(D996,Conceptos_Analítica_contraloría[#All],3,0),"")</f>
        <v/>
      </c>
    </row>
    <row r="997" spans="3:10" ht="18.75" customHeight="1" x14ac:dyDescent="0.35">
      <c r="C997" s="100" t="str">
        <f>IF(OR(Fact_Analitica[[#This Row], [Año]]="",Fact_Analitica[[#This Row], [Mes]]=""),"",DATE(A997,MATCH(B997,{"enero","febrero","marzo","abril","mayo","junio","julio","agosto","septiembre","octubre","noviembre","diciembre"},0)+1,0))</f>
        <v/>
      </c>
      <c r="E997" t="str">
        <f>+IFERROR(VLOOKUP(Fact_Analitica[[#This Row], [Concepto Anterior]],Conceptos_Analítica_contraloría[#All],5,0),"")</f>
        <v/>
      </c>
      <c r="F997" t="str">
        <f>+IFERROR(VLOOKUP(Fact_Analitica[[#This Row], [Concepto Anterior]],Conceptos_Analítica_contraloría[#All],7,0),"")</f>
        <v/>
      </c>
      <c r="I997" t="str">
        <f>+IFERROR(VLOOKUP(D997,Conceptos_Analítica_contraloría[#All],2,0),"")</f>
        <v/>
      </c>
      <c r="J997" s="84" t="str">
        <f>+IFERROR(VLOOKUP(D997,Conceptos_Analítica_contraloría[#All],3,0),"")</f>
        <v/>
      </c>
    </row>
    <row r="998" spans="3:10" ht="18.75" customHeight="1" x14ac:dyDescent="0.35">
      <c r="C998" s="100" t="str">
        <f>IF(OR(Fact_Analitica[[#This Row], [Año]]="",Fact_Analitica[[#This Row], [Mes]]=""),"",DATE(A998,MATCH(B998,{"enero","febrero","marzo","abril","mayo","junio","julio","agosto","septiembre","octubre","noviembre","diciembre"},0)+1,0))</f>
        <v/>
      </c>
      <c r="E998" t="str">
        <f>+IFERROR(VLOOKUP(Fact_Analitica[[#This Row], [Concepto Anterior]],Conceptos_Analítica_contraloría[#All],5,0),"")</f>
        <v/>
      </c>
      <c r="F998" t="str">
        <f>+IFERROR(VLOOKUP(Fact_Analitica[[#This Row], [Concepto Anterior]],Conceptos_Analítica_contraloría[#All],7,0),"")</f>
        <v/>
      </c>
      <c r="I998" t="str">
        <f>+IFERROR(VLOOKUP(D998,Conceptos_Analítica_contraloría[#All],2,0),"")</f>
        <v/>
      </c>
      <c r="J998" s="84" t="str">
        <f>+IFERROR(VLOOKUP(D998,Conceptos_Analítica_contraloría[#All],3,0),"")</f>
        <v/>
      </c>
    </row>
    <row r="999" spans="3:10" ht="18.75" customHeight="1" x14ac:dyDescent="0.35">
      <c r="C999" s="100" t="str">
        <f>IF(OR(Fact_Analitica[[#This Row], [Año]]="",Fact_Analitica[[#This Row], [Mes]]=""),"",DATE(A999,MATCH(B999,{"enero","febrero","marzo","abril","mayo","junio","julio","agosto","septiembre","octubre","noviembre","diciembre"},0)+1,0))</f>
        <v/>
      </c>
      <c r="E999" t="str">
        <f>+IFERROR(VLOOKUP(Fact_Analitica[[#This Row], [Concepto Anterior]],Conceptos_Analítica_contraloría[#All],5,0),"")</f>
        <v/>
      </c>
      <c r="F999" t="str">
        <f>+IFERROR(VLOOKUP(Fact_Analitica[[#This Row], [Concepto Anterior]],Conceptos_Analítica_contraloría[#All],7,0),"")</f>
        <v/>
      </c>
      <c r="I999" t="str">
        <f>+IFERROR(VLOOKUP(D999,Conceptos_Analítica_contraloría[#All],2,0),"")</f>
        <v/>
      </c>
      <c r="J999" s="84" t="str">
        <f>+IFERROR(VLOOKUP(D999,Conceptos_Analítica_contraloría[#All],3,0),"")</f>
        <v/>
      </c>
    </row>
    <row r="1000" spans="3:10" ht="18.75" customHeight="1" x14ac:dyDescent="0.35">
      <c r="C1000" s="100" t="str">
        <f>IF(OR(Fact_Analitica[[#This Row], [Año]]="",Fact_Analitica[[#This Row], [Mes]]=""),"",DATE(A1000,MATCH(B1000,{"enero","febrero","marzo","abril","mayo","junio","julio","agosto","septiembre","octubre","noviembre","diciembre"},0)+1,0))</f>
        <v/>
      </c>
      <c r="E1000" t="str">
        <f>+IFERROR(VLOOKUP(Fact_Analitica[[#This Row], [Concepto Anterior]],Conceptos_Analítica_contraloría[#All],5,0),"")</f>
        <v/>
      </c>
      <c r="F1000" t="str">
        <f>+IFERROR(VLOOKUP(Fact_Analitica[[#This Row], [Concepto Anterior]],Conceptos_Analítica_contraloría[#All],7,0),"")</f>
        <v/>
      </c>
      <c r="I1000" t="str">
        <f>+IFERROR(VLOOKUP(D1000,Conceptos_Analítica_contraloría[#All],2,0),"")</f>
        <v/>
      </c>
      <c r="J1000" s="84" t="str">
        <f>+IFERROR(VLOOKUP(D1000,Conceptos_Analítica_contraloría[#All],3,0),"")</f>
        <v/>
      </c>
    </row>
    <row r="1001" spans="3:10" ht="18.75" customHeight="1" x14ac:dyDescent="0.35">
      <c r="C1001" s="100" t="str">
        <f>IF(OR(Fact_Analitica[[#This Row], [Año]]="",Fact_Analitica[[#This Row], [Mes]]=""),"",DATE(A1001,MATCH(B1001,{"enero","febrero","marzo","abril","mayo","junio","julio","agosto","septiembre","octubre","noviembre","diciembre"},0)+1,0))</f>
        <v/>
      </c>
      <c r="E1001" t="str">
        <f>+IFERROR(VLOOKUP(Fact_Analitica[[#This Row], [Concepto Anterior]],Conceptos_Analítica_contraloría[#All],5,0),"")</f>
        <v/>
      </c>
      <c r="F1001" t="str">
        <f>+IFERROR(VLOOKUP(Fact_Analitica[[#This Row], [Concepto Anterior]],Conceptos_Analítica_contraloría[#All],7,0),"")</f>
        <v/>
      </c>
      <c r="I1001" t="str">
        <f>+IFERROR(VLOOKUP(D1001,Conceptos_Analítica_contraloría[#All],2,0),"")</f>
        <v/>
      </c>
      <c r="J1001" s="84" t="str">
        <f>+IFERROR(VLOOKUP(D1001,Conceptos_Analítica_contraloría[#All],3,0),"")</f>
        <v/>
      </c>
    </row>
    <row r="1002" spans="3:10" ht="18.75" customHeight="1" x14ac:dyDescent="0.35">
      <c r="C1002" s="100" t="str">
        <f>IF(OR(Fact_Analitica[[#This Row], [Año]]="",Fact_Analitica[[#This Row], [Mes]]=""),"",DATE(A1002,MATCH(B1002,{"enero","febrero","marzo","abril","mayo","junio","julio","agosto","septiembre","octubre","noviembre","diciembre"},0)+1,0))</f>
        <v/>
      </c>
      <c r="E1002" t="str">
        <f>+IFERROR(VLOOKUP(Fact_Analitica[[#This Row], [Concepto Anterior]],Conceptos_Analítica_contraloría[#All],5,0),"")</f>
        <v/>
      </c>
      <c r="F1002" t="str">
        <f>+IFERROR(VLOOKUP(Fact_Analitica[[#This Row], [Concepto Anterior]],Conceptos_Analítica_contraloría[#All],7,0),"")</f>
        <v/>
      </c>
      <c r="I1002" t="str">
        <f>+IFERROR(VLOOKUP(D1002,Conceptos_Analítica_contraloría[#All],2,0),"")</f>
        <v/>
      </c>
      <c r="J1002" s="84" t="str">
        <f>+IFERROR(VLOOKUP(D1002,Conceptos_Analítica_contraloría[#All],3,0),"")</f>
        <v/>
      </c>
    </row>
    <row r="1003" spans="3:10" ht="18.75" customHeight="1" x14ac:dyDescent="0.35">
      <c r="C1003" s="100" t="str">
        <f>IF(OR(Fact_Analitica[[#This Row], [Año]]="",Fact_Analitica[[#This Row], [Mes]]=""),"",DATE(A1003,MATCH(B1003,{"enero","febrero","marzo","abril","mayo","junio","julio","agosto","septiembre","octubre","noviembre","diciembre"},0)+1,0))</f>
        <v/>
      </c>
      <c r="E1003" t="str">
        <f>+IFERROR(VLOOKUP(Fact_Analitica[[#This Row], [Concepto Anterior]],Conceptos_Analítica_contraloría[#All],5,0),"")</f>
        <v/>
      </c>
      <c r="F1003" t="str">
        <f>+IFERROR(VLOOKUP(Fact_Analitica[[#This Row], [Concepto Anterior]],Conceptos_Analítica_contraloría[#All],7,0),"")</f>
        <v/>
      </c>
      <c r="I1003" t="str">
        <f>+IFERROR(VLOOKUP(D1003,Conceptos_Analítica_contraloría[#All],2,0),"")</f>
        <v/>
      </c>
      <c r="J1003" s="84" t="str">
        <f>+IFERROR(VLOOKUP(D1003,Conceptos_Analítica_contraloría[#All],3,0),"")</f>
        <v/>
      </c>
    </row>
    <row r="1004" spans="3:10" ht="18.75" customHeight="1" x14ac:dyDescent="0.35">
      <c r="C1004" s="100" t="str">
        <f>IF(OR(Fact_Analitica[[#This Row], [Año]]="",Fact_Analitica[[#This Row], [Mes]]=""),"",DATE(A1004,MATCH(B1004,{"enero","febrero","marzo","abril","mayo","junio","julio","agosto","septiembre","octubre","noviembre","diciembre"},0)+1,0))</f>
        <v/>
      </c>
      <c r="E1004" t="str">
        <f>+IFERROR(VLOOKUP(Fact_Analitica[[#This Row], [Concepto Anterior]],Conceptos_Analítica_contraloría[#All],5,0),"")</f>
        <v/>
      </c>
      <c r="F1004" t="str">
        <f>+IFERROR(VLOOKUP(Fact_Analitica[[#This Row], [Concepto Anterior]],Conceptos_Analítica_contraloría[#All],7,0),"")</f>
        <v/>
      </c>
      <c r="I1004" t="str">
        <f>+IFERROR(VLOOKUP(D1004,Conceptos_Analítica_contraloría[#All],2,0),"")</f>
        <v/>
      </c>
      <c r="J1004" s="84" t="str">
        <f>+IFERROR(VLOOKUP(D1004,Conceptos_Analítica_contraloría[#All],3,0),"")</f>
        <v/>
      </c>
    </row>
    <row r="1005" spans="3:10" ht="18.75" customHeight="1" x14ac:dyDescent="0.35">
      <c r="C1005" s="100" t="str">
        <f>IF(OR(Fact_Analitica[[#This Row], [Año]]="",Fact_Analitica[[#This Row], [Mes]]=""),"",DATE(A1005,MATCH(B1005,{"enero","febrero","marzo","abril","mayo","junio","julio","agosto","septiembre","octubre","noviembre","diciembre"},0)+1,0))</f>
        <v/>
      </c>
      <c r="E1005" t="str">
        <f>+IFERROR(VLOOKUP(Fact_Analitica[[#This Row], [Concepto Anterior]],Conceptos_Analítica_contraloría[#All],5,0),"")</f>
        <v/>
      </c>
      <c r="F1005" t="str">
        <f>+IFERROR(VLOOKUP(Fact_Analitica[[#This Row], [Concepto Anterior]],Conceptos_Analítica_contraloría[#All],7,0),"")</f>
        <v/>
      </c>
      <c r="I1005" t="str">
        <f>+IFERROR(VLOOKUP(D1005,Conceptos_Analítica_contraloría[#All],2,0),"")</f>
        <v/>
      </c>
      <c r="J1005" s="84" t="str">
        <f>+IFERROR(VLOOKUP(D1005,Conceptos_Analítica_contraloría[#All],3,0),"")</f>
        <v/>
      </c>
    </row>
    <row r="1006" spans="3:10" ht="18.75" customHeight="1" x14ac:dyDescent="0.35">
      <c r="C1006" s="100" t="str">
        <f>IF(OR(Fact_Analitica[[#This Row], [Año]]="",Fact_Analitica[[#This Row], [Mes]]=""),"",DATE(A1006,MATCH(B1006,{"enero","febrero","marzo","abril","mayo","junio","julio","agosto","septiembre","octubre","noviembre","diciembre"},0)+1,0))</f>
        <v/>
      </c>
      <c r="E1006" t="str">
        <f>+IFERROR(VLOOKUP(Fact_Analitica[[#This Row], [Concepto Anterior]],Conceptos_Analítica_contraloría[#All],5,0),"")</f>
        <v/>
      </c>
      <c r="F1006" t="str">
        <f>+IFERROR(VLOOKUP(Fact_Analitica[[#This Row], [Concepto Anterior]],Conceptos_Analítica_contraloría[#All],7,0),"")</f>
        <v/>
      </c>
      <c r="I1006" t="str">
        <f>+IFERROR(VLOOKUP(D1006,Conceptos_Analítica_contraloría[#All],2,0),"")</f>
        <v/>
      </c>
      <c r="J1006" s="84" t="str">
        <f>+IFERROR(VLOOKUP(D1006,Conceptos_Analítica_contraloría[#All],3,0),"")</f>
        <v/>
      </c>
    </row>
    <row r="1007" spans="3:10" ht="18.75" customHeight="1" x14ac:dyDescent="0.35">
      <c r="C1007" s="100" t="str">
        <f>IF(OR(Fact_Analitica[[#This Row], [Año]]="",Fact_Analitica[[#This Row], [Mes]]=""),"",DATE(A1007,MATCH(B1007,{"enero","febrero","marzo","abril","mayo","junio","julio","agosto","septiembre","octubre","noviembre","diciembre"},0)+1,0))</f>
        <v/>
      </c>
      <c r="E1007" t="str">
        <f>+IFERROR(VLOOKUP(Fact_Analitica[[#This Row], [Concepto Anterior]],Conceptos_Analítica_contraloría[#All],5,0),"")</f>
        <v/>
      </c>
      <c r="F1007" t="str">
        <f>+IFERROR(VLOOKUP(Fact_Analitica[[#This Row], [Concepto Anterior]],Conceptos_Analítica_contraloría[#All],7,0),"")</f>
        <v/>
      </c>
      <c r="I1007" t="str">
        <f>+IFERROR(VLOOKUP(D1007,Conceptos_Analítica_contraloría[#All],2,0),"")</f>
        <v/>
      </c>
      <c r="J1007" s="84" t="str">
        <f>+IFERROR(VLOOKUP(D1007,Conceptos_Analítica_contraloría[#All],3,0),"")</f>
        <v/>
      </c>
    </row>
    <row r="1008" spans="3:10" ht="18.75" customHeight="1" x14ac:dyDescent="0.35">
      <c r="C1008" s="100" t="str">
        <f>IF(OR(Fact_Analitica[[#This Row], [Año]]="",Fact_Analitica[[#This Row], [Mes]]=""),"",DATE(A1008,MATCH(B1008,{"enero","febrero","marzo","abril","mayo","junio","julio","agosto","septiembre","octubre","noviembre","diciembre"},0)+1,0))</f>
        <v/>
      </c>
      <c r="E1008" t="str">
        <f>+IFERROR(VLOOKUP(Fact_Analitica[[#This Row], [Concepto Anterior]],Conceptos_Analítica_contraloría[#All],5,0),"")</f>
        <v/>
      </c>
      <c r="F1008" t="str">
        <f>+IFERROR(VLOOKUP(Fact_Analitica[[#This Row], [Concepto Anterior]],Conceptos_Analítica_contraloría[#All],7,0),"")</f>
        <v/>
      </c>
      <c r="I1008" t="str">
        <f>+IFERROR(VLOOKUP(D1008,Conceptos_Analítica_contraloría[#All],2,0),"")</f>
        <v/>
      </c>
      <c r="J1008" s="84" t="str">
        <f>+IFERROR(VLOOKUP(D1008,Conceptos_Analítica_contraloría[#All],3,0),"")</f>
        <v/>
      </c>
    </row>
    <row r="1009" spans="3:10" ht="18.75" customHeight="1" x14ac:dyDescent="0.35">
      <c r="C1009" s="100" t="str">
        <f>IF(OR(Fact_Analitica[[#This Row], [Año]]="",Fact_Analitica[[#This Row], [Mes]]=""),"",DATE(A1009,MATCH(B1009,{"enero","febrero","marzo","abril","mayo","junio","julio","agosto","septiembre","octubre","noviembre","diciembre"},0)+1,0))</f>
        <v/>
      </c>
      <c r="E1009" t="str">
        <f>+IFERROR(VLOOKUP(Fact_Analitica[[#This Row], [Concepto Anterior]],Conceptos_Analítica_contraloría[#All],5,0),"")</f>
        <v/>
      </c>
      <c r="F1009" t="str">
        <f>+IFERROR(VLOOKUP(Fact_Analitica[[#This Row], [Concepto Anterior]],Conceptos_Analítica_contraloría[#All],7,0),"")</f>
        <v/>
      </c>
      <c r="I1009" t="str">
        <f>+IFERROR(VLOOKUP(D1009,Conceptos_Analítica_contraloría[#All],2,0),"")</f>
        <v/>
      </c>
      <c r="J1009" s="84" t="str">
        <f>+IFERROR(VLOOKUP(D1009,Conceptos_Analítica_contraloría[#All],3,0),"")</f>
        <v/>
      </c>
    </row>
    <row r="1010" spans="3:10" ht="18.75" customHeight="1" x14ac:dyDescent="0.35">
      <c r="C1010" s="100" t="str">
        <f>IF(OR(Fact_Analitica[[#This Row], [Año]]="",Fact_Analitica[[#This Row], [Mes]]=""),"",DATE(A1010,MATCH(B1010,{"enero","febrero","marzo","abril","mayo","junio","julio","agosto","septiembre","octubre","noviembre","diciembre"},0)+1,0))</f>
        <v/>
      </c>
      <c r="E1010" t="str">
        <f>+IFERROR(VLOOKUP(Fact_Analitica[[#This Row], [Concepto Anterior]],Conceptos_Analítica_contraloría[#All],5,0),"")</f>
        <v/>
      </c>
      <c r="F1010" t="str">
        <f>+IFERROR(VLOOKUP(Fact_Analitica[[#This Row], [Concepto Anterior]],Conceptos_Analítica_contraloría[#All],7,0),"")</f>
        <v/>
      </c>
      <c r="I1010" t="str">
        <f>+IFERROR(VLOOKUP(D1010,Conceptos_Analítica_contraloría[#All],2,0),"")</f>
        <v/>
      </c>
      <c r="J1010" s="84" t="str">
        <f>+IFERROR(VLOOKUP(D1010,Conceptos_Analítica_contraloría[#All],3,0),"")</f>
        <v/>
      </c>
    </row>
    <row r="1011" spans="3:10" ht="18.75" customHeight="1" x14ac:dyDescent="0.35">
      <c r="C1011" s="100" t="str">
        <f>IF(OR(Fact_Analitica[[#This Row], [Año]]="",Fact_Analitica[[#This Row], [Mes]]=""),"",DATE(A1011,MATCH(B1011,{"enero","febrero","marzo","abril","mayo","junio","julio","agosto","septiembre","octubre","noviembre","diciembre"},0)+1,0))</f>
        <v/>
      </c>
      <c r="E1011" t="str">
        <f>+IFERROR(VLOOKUP(Fact_Analitica[[#This Row], [Concepto Anterior]],Conceptos_Analítica_contraloría[#All],5,0),"")</f>
        <v/>
      </c>
      <c r="F1011" t="str">
        <f>+IFERROR(VLOOKUP(Fact_Analitica[[#This Row], [Concepto Anterior]],Conceptos_Analítica_contraloría[#All],7,0),"")</f>
        <v/>
      </c>
      <c r="I1011" t="str">
        <f>+IFERROR(VLOOKUP(D1011,Conceptos_Analítica_contraloría[#All],2,0),"")</f>
        <v/>
      </c>
      <c r="J1011" s="84" t="str">
        <f>+IFERROR(VLOOKUP(D1011,Conceptos_Analítica_contraloría[#All],3,0),"")</f>
        <v/>
      </c>
    </row>
    <row r="1012" spans="3:10" ht="18.75" customHeight="1" x14ac:dyDescent="0.35">
      <c r="C1012" s="100" t="str">
        <f>IF(OR(Fact_Analitica[[#This Row], [Año]]="",Fact_Analitica[[#This Row], [Mes]]=""),"",DATE(A1012,MATCH(B1012,{"enero","febrero","marzo","abril","mayo","junio","julio","agosto","septiembre","octubre","noviembre","diciembre"},0)+1,0))</f>
        <v/>
      </c>
      <c r="E1012" t="str">
        <f>+IFERROR(VLOOKUP(Fact_Analitica[[#This Row], [Concepto Anterior]],Conceptos_Analítica_contraloría[#All],5,0),"")</f>
        <v/>
      </c>
      <c r="F1012" t="str">
        <f>+IFERROR(VLOOKUP(Fact_Analitica[[#This Row], [Concepto Anterior]],Conceptos_Analítica_contraloría[#All],7,0),"")</f>
        <v/>
      </c>
      <c r="I1012" t="str">
        <f>+IFERROR(VLOOKUP(D1012,Conceptos_Analítica_contraloría[#All],2,0),"")</f>
        <v/>
      </c>
      <c r="J1012" s="84" t="str">
        <f>+IFERROR(VLOOKUP(D1012,Conceptos_Analítica_contraloría[#All],3,0),"")</f>
        <v/>
      </c>
    </row>
    <row r="1013" spans="3:10" ht="18.75" customHeight="1" x14ac:dyDescent="0.35">
      <c r="C1013" s="100" t="str">
        <f>IF(OR(Fact_Analitica[[#This Row], [Año]]="",Fact_Analitica[[#This Row], [Mes]]=""),"",DATE(A1013,MATCH(B1013,{"enero","febrero","marzo","abril","mayo","junio","julio","agosto","septiembre","octubre","noviembre","diciembre"},0)+1,0))</f>
        <v/>
      </c>
      <c r="E1013" t="str">
        <f>+IFERROR(VLOOKUP(Fact_Analitica[[#This Row], [Concepto Anterior]],Conceptos_Analítica_contraloría[#All],5,0),"")</f>
        <v/>
      </c>
      <c r="F1013" t="str">
        <f>+IFERROR(VLOOKUP(Fact_Analitica[[#This Row], [Concepto Anterior]],Conceptos_Analítica_contraloría[#All],7,0),"")</f>
        <v/>
      </c>
      <c r="I1013" t="str">
        <f>+IFERROR(VLOOKUP(D1013,Conceptos_Analítica_contraloría[#All],2,0),"")</f>
        <v/>
      </c>
      <c r="J1013" s="84" t="str">
        <f>+IFERROR(VLOOKUP(D1013,Conceptos_Analítica_contraloría[#All],3,0),"")</f>
        <v/>
      </c>
    </row>
    <row r="1014" spans="3:10" ht="18.75" customHeight="1" x14ac:dyDescent="0.35">
      <c r="C1014" s="100" t="str">
        <f>IF(OR(Fact_Analitica[[#This Row], [Año]]="",Fact_Analitica[[#This Row], [Mes]]=""),"",DATE(A1014,MATCH(B1014,{"enero","febrero","marzo","abril","mayo","junio","julio","agosto","septiembre","octubre","noviembre","diciembre"},0)+1,0))</f>
        <v/>
      </c>
      <c r="E1014" t="str">
        <f>+IFERROR(VLOOKUP(Fact_Analitica[[#This Row], [Concepto Anterior]],Conceptos_Analítica_contraloría[#All],5,0),"")</f>
        <v/>
      </c>
      <c r="F1014" t="str">
        <f>+IFERROR(VLOOKUP(Fact_Analitica[[#This Row], [Concepto Anterior]],Conceptos_Analítica_contraloría[#All],7,0),"")</f>
        <v/>
      </c>
      <c r="I1014" t="str">
        <f>+IFERROR(VLOOKUP(D1014,Conceptos_Analítica_contraloría[#All],2,0),"")</f>
        <v/>
      </c>
      <c r="J1014" s="84" t="str">
        <f>+IFERROR(VLOOKUP(D1014,Conceptos_Analítica_contraloría[#All],3,0),"")</f>
        <v/>
      </c>
    </row>
    <row r="1015" spans="3:10" ht="18.75" customHeight="1" x14ac:dyDescent="0.35">
      <c r="C1015" s="100" t="str">
        <f>IF(OR(Fact_Analitica[[#This Row], [Año]]="",Fact_Analitica[[#This Row], [Mes]]=""),"",DATE(A1015,MATCH(B1015,{"enero","febrero","marzo","abril","mayo","junio","julio","agosto","septiembre","octubre","noviembre","diciembre"},0)+1,0))</f>
        <v/>
      </c>
      <c r="E1015" t="str">
        <f>+IFERROR(VLOOKUP(Fact_Analitica[[#This Row], [Concepto Anterior]],Conceptos_Analítica_contraloría[#All],5,0),"")</f>
        <v/>
      </c>
      <c r="F1015" t="str">
        <f>+IFERROR(VLOOKUP(Fact_Analitica[[#This Row], [Concepto Anterior]],Conceptos_Analítica_contraloría[#All],7,0),"")</f>
        <v/>
      </c>
      <c r="I1015" t="str">
        <f>+IFERROR(VLOOKUP(D1015,Conceptos_Analítica_contraloría[#All],2,0),"")</f>
        <v/>
      </c>
      <c r="J1015" s="84" t="str">
        <f>+IFERROR(VLOOKUP(D1015,Conceptos_Analítica_contraloría[#All],3,0),"")</f>
        <v/>
      </c>
    </row>
    <row r="1016" spans="3:10" ht="18.75" customHeight="1" x14ac:dyDescent="0.35">
      <c r="C1016" s="100" t="str">
        <f>IF(OR(Fact_Analitica[[#This Row], [Año]]="",Fact_Analitica[[#This Row], [Mes]]=""),"",DATE(A1016,MATCH(B1016,{"enero","febrero","marzo","abril","mayo","junio","julio","agosto","septiembre","octubre","noviembre","diciembre"},0)+1,0))</f>
        <v/>
      </c>
      <c r="E1016" t="str">
        <f>+IFERROR(VLOOKUP(Fact_Analitica[[#This Row], [Concepto Anterior]],Conceptos_Analítica_contraloría[#All],5,0),"")</f>
        <v/>
      </c>
      <c r="F1016" t="str">
        <f>+IFERROR(VLOOKUP(Fact_Analitica[[#This Row], [Concepto Anterior]],Conceptos_Analítica_contraloría[#All],7,0),"")</f>
        <v/>
      </c>
      <c r="I1016" t="str">
        <f>+IFERROR(VLOOKUP(D1016,Conceptos_Analítica_contraloría[#All],2,0),"")</f>
        <v/>
      </c>
      <c r="J1016" s="84" t="str">
        <f>+IFERROR(VLOOKUP(D1016,Conceptos_Analítica_contraloría[#All],3,0),"")</f>
        <v/>
      </c>
    </row>
    <row r="1017" spans="3:10" ht="18.75" customHeight="1" x14ac:dyDescent="0.35">
      <c r="C1017" s="100" t="str">
        <f>IF(OR(Fact_Analitica[[#This Row], [Año]]="",Fact_Analitica[[#This Row], [Mes]]=""),"",DATE(A1017,MATCH(B1017,{"enero","febrero","marzo","abril","mayo","junio","julio","agosto","septiembre","octubre","noviembre","diciembre"},0)+1,0))</f>
        <v/>
      </c>
      <c r="E1017" t="str">
        <f>+IFERROR(VLOOKUP(Fact_Analitica[[#This Row], [Concepto Anterior]],Conceptos_Analítica_contraloría[#All],5,0),"")</f>
        <v/>
      </c>
      <c r="F1017" t="str">
        <f>+IFERROR(VLOOKUP(Fact_Analitica[[#This Row], [Concepto Anterior]],Conceptos_Analítica_contraloría[#All],7,0),"")</f>
        <v/>
      </c>
      <c r="I1017" t="str">
        <f>+IFERROR(VLOOKUP(D1017,Conceptos_Analítica_contraloría[#All],2,0),"")</f>
        <v/>
      </c>
      <c r="J1017" s="84" t="str">
        <f>+IFERROR(VLOOKUP(D1017,Conceptos_Analítica_contraloría[#All],3,0),"")</f>
        <v/>
      </c>
    </row>
    <row r="1018" spans="3:10" ht="18.75" customHeight="1" x14ac:dyDescent="0.35">
      <c r="C1018" s="100" t="str">
        <f>IF(OR(Fact_Analitica[[#This Row], [Año]]="",Fact_Analitica[[#This Row], [Mes]]=""),"",DATE(A1018,MATCH(B1018,{"enero","febrero","marzo","abril","mayo","junio","julio","agosto","septiembre","octubre","noviembre","diciembre"},0)+1,0))</f>
        <v/>
      </c>
      <c r="E1018" t="str">
        <f>+IFERROR(VLOOKUP(Fact_Analitica[[#This Row], [Concepto Anterior]],Conceptos_Analítica_contraloría[#All],5,0),"")</f>
        <v/>
      </c>
      <c r="F1018" t="str">
        <f>+IFERROR(VLOOKUP(Fact_Analitica[[#This Row], [Concepto Anterior]],Conceptos_Analítica_contraloría[#All],7,0),"")</f>
        <v/>
      </c>
      <c r="I1018" t="str">
        <f>+IFERROR(VLOOKUP(D1018,Conceptos_Analítica_contraloría[#All],2,0),"")</f>
        <v/>
      </c>
      <c r="J1018" s="84" t="str">
        <f>+IFERROR(VLOOKUP(D1018,Conceptos_Analítica_contraloría[#All],3,0),"")</f>
        <v/>
      </c>
    </row>
    <row r="1019" spans="3:10" ht="18.75" customHeight="1" x14ac:dyDescent="0.35">
      <c r="C1019" s="100" t="str">
        <f>IF(OR(Fact_Analitica[[#This Row], [Año]]="",Fact_Analitica[[#This Row], [Mes]]=""),"",DATE(A1019,MATCH(B1019,{"enero","febrero","marzo","abril","mayo","junio","julio","agosto","septiembre","octubre","noviembre","diciembre"},0)+1,0))</f>
        <v/>
      </c>
      <c r="E1019" t="str">
        <f>+IFERROR(VLOOKUP(Fact_Analitica[[#This Row], [Concepto Anterior]],Conceptos_Analítica_contraloría[#All],5,0),"")</f>
        <v/>
      </c>
      <c r="F1019" t="str">
        <f>+IFERROR(VLOOKUP(Fact_Analitica[[#This Row], [Concepto Anterior]],Conceptos_Analítica_contraloría[#All],7,0),"")</f>
        <v/>
      </c>
      <c r="I1019" t="str">
        <f>+IFERROR(VLOOKUP(D1019,Conceptos_Analítica_contraloría[#All],2,0),"")</f>
        <v/>
      </c>
      <c r="J1019" s="84" t="str">
        <f>+IFERROR(VLOOKUP(D1019,Conceptos_Analítica_contraloría[#All],3,0),"")</f>
        <v/>
      </c>
    </row>
    <row r="1020" spans="3:10" ht="18.75" customHeight="1" x14ac:dyDescent="0.35">
      <c r="C1020" s="100" t="str">
        <f>IF(OR(Fact_Analitica[[#This Row], [Año]]="",Fact_Analitica[[#This Row], [Mes]]=""),"",DATE(A1020,MATCH(B1020,{"enero","febrero","marzo","abril","mayo","junio","julio","agosto","septiembre","octubre","noviembre","diciembre"},0)+1,0))</f>
        <v/>
      </c>
      <c r="E1020" t="str">
        <f>+IFERROR(VLOOKUP(Fact_Analitica[[#This Row], [Concepto Anterior]],Conceptos_Analítica_contraloría[#All],5,0),"")</f>
        <v/>
      </c>
      <c r="F1020" t="str">
        <f>+IFERROR(VLOOKUP(Fact_Analitica[[#This Row], [Concepto Anterior]],Conceptos_Analítica_contraloría[#All],7,0),"")</f>
        <v/>
      </c>
      <c r="I1020" t="str">
        <f>+IFERROR(VLOOKUP(D1020,Conceptos_Analítica_contraloría[#All],2,0),"")</f>
        <v/>
      </c>
      <c r="J1020" s="84" t="str">
        <f>+IFERROR(VLOOKUP(D1020,Conceptos_Analítica_contraloría[#All],3,0),"")</f>
        <v/>
      </c>
    </row>
    <row r="1021" spans="3:10" ht="18.75" customHeight="1" x14ac:dyDescent="0.35">
      <c r="C1021" s="100" t="str">
        <f>IF(OR(Fact_Analitica[[#This Row], [Año]]="",Fact_Analitica[[#This Row], [Mes]]=""),"",DATE(A1021,MATCH(B1021,{"enero","febrero","marzo","abril","mayo","junio","julio","agosto","septiembre","octubre","noviembre","diciembre"},0)+1,0))</f>
        <v/>
      </c>
      <c r="E1021" t="str">
        <f>+IFERROR(VLOOKUP(Fact_Analitica[[#This Row], [Concepto Anterior]],Conceptos_Analítica_contraloría[#All],5,0),"")</f>
        <v/>
      </c>
      <c r="F1021" t="str">
        <f>+IFERROR(VLOOKUP(Fact_Analitica[[#This Row], [Concepto Anterior]],Conceptos_Analítica_contraloría[#All],7,0),"")</f>
        <v/>
      </c>
      <c r="I1021" t="str">
        <f>+IFERROR(VLOOKUP(D1021,Conceptos_Analítica_contraloría[#All],2,0),"")</f>
        <v/>
      </c>
      <c r="J1021" s="84" t="str">
        <f>+IFERROR(VLOOKUP(D1021,Conceptos_Analítica_contraloría[#All],3,0),"")</f>
        <v/>
      </c>
    </row>
    <row r="1022" spans="3:10" ht="18.75" customHeight="1" x14ac:dyDescent="0.35">
      <c r="C1022" s="100" t="str">
        <f>IF(OR(Fact_Analitica[[#This Row], [Año]]="",Fact_Analitica[[#This Row], [Mes]]=""),"",DATE(A1022,MATCH(B1022,{"enero","febrero","marzo","abril","mayo","junio","julio","agosto","septiembre","octubre","noviembre","diciembre"},0)+1,0))</f>
        <v/>
      </c>
      <c r="E1022" t="str">
        <f>+IFERROR(VLOOKUP(Fact_Analitica[[#This Row], [Concepto Anterior]],Conceptos_Analítica_contraloría[#All],5,0),"")</f>
        <v/>
      </c>
      <c r="F1022" t="str">
        <f>+IFERROR(VLOOKUP(Fact_Analitica[[#This Row], [Concepto Anterior]],Conceptos_Analítica_contraloría[#All],7,0),"")</f>
        <v/>
      </c>
      <c r="I1022" t="str">
        <f>+IFERROR(VLOOKUP(D1022,Conceptos_Analítica_contraloría[#All],2,0),"")</f>
        <v/>
      </c>
      <c r="J1022" s="84" t="str">
        <f>+IFERROR(VLOOKUP(D1022,Conceptos_Analítica_contraloría[#All],3,0),"")</f>
        <v/>
      </c>
    </row>
    <row r="1023" spans="3:10" ht="18.75" customHeight="1" x14ac:dyDescent="0.35">
      <c r="C1023" s="100" t="str">
        <f>IF(OR(Fact_Analitica[[#This Row], [Año]]="",Fact_Analitica[[#This Row], [Mes]]=""),"",DATE(A1023,MATCH(B1023,{"enero","febrero","marzo","abril","mayo","junio","julio","agosto","septiembre","octubre","noviembre","diciembre"},0)+1,0))</f>
        <v/>
      </c>
      <c r="E1023" t="str">
        <f>+IFERROR(VLOOKUP(Fact_Analitica[[#This Row], [Concepto Anterior]],Conceptos_Analítica_contraloría[#All],5,0),"")</f>
        <v/>
      </c>
      <c r="F1023" t="str">
        <f>+IFERROR(VLOOKUP(Fact_Analitica[[#This Row], [Concepto Anterior]],Conceptos_Analítica_contraloría[#All],7,0),"")</f>
        <v/>
      </c>
      <c r="I1023" t="str">
        <f>+IFERROR(VLOOKUP(D1023,Conceptos_Analítica_contraloría[#All],2,0),"")</f>
        <v/>
      </c>
      <c r="J1023" s="84" t="str">
        <f>+IFERROR(VLOOKUP(D1023,Conceptos_Analítica_contraloría[#All],3,0),"")</f>
        <v/>
      </c>
    </row>
    <row r="1024" spans="3:10" ht="18.75" customHeight="1" x14ac:dyDescent="0.35">
      <c r="C1024" s="100" t="str">
        <f>IF(OR(Fact_Analitica[[#This Row], [Año]]="",Fact_Analitica[[#This Row], [Mes]]=""),"",DATE(A1024,MATCH(B1024,{"enero","febrero","marzo","abril","mayo","junio","julio","agosto","septiembre","octubre","noviembre","diciembre"},0)+1,0))</f>
        <v/>
      </c>
      <c r="E1024" t="str">
        <f>+IFERROR(VLOOKUP(Fact_Analitica[[#This Row], [Concepto Anterior]],Conceptos_Analítica_contraloría[#All],5,0),"")</f>
        <v/>
      </c>
      <c r="F1024" t="str">
        <f>+IFERROR(VLOOKUP(Fact_Analitica[[#This Row], [Concepto Anterior]],Conceptos_Analítica_contraloría[#All],7,0),"")</f>
        <v/>
      </c>
      <c r="I1024" t="str">
        <f>+IFERROR(VLOOKUP(D1024,Conceptos_Analítica_contraloría[#All],2,0),"")</f>
        <v/>
      </c>
      <c r="J1024" s="84" t="str">
        <f>+IFERROR(VLOOKUP(D1024,Conceptos_Analítica_contraloría[#All],3,0),"")</f>
        <v/>
      </c>
    </row>
    <row r="1025" spans="3:10" ht="18.75" customHeight="1" x14ac:dyDescent="0.35">
      <c r="C1025" s="100" t="str">
        <f>IF(OR(Fact_Analitica[[#This Row], [Año]]="",Fact_Analitica[[#This Row], [Mes]]=""),"",DATE(A1025,MATCH(B1025,{"enero","febrero","marzo","abril","mayo","junio","julio","agosto","septiembre","octubre","noviembre","diciembre"},0)+1,0))</f>
        <v/>
      </c>
      <c r="E1025" t="str">
        <f>+IFERROR(VLOOKUP(Fact_Analitica[[#This Row], [Concepto Anterior]],Conceptos_Analítica_contraloría[#All],5,0),"")</f>
        <v/>
      </c>
      <c r="F1025" t="str">
        <f>+IFERROR(VLOOKUP(Fact_Analitica[[#This Row], [Concepto Anterior]],Conceptos_Analítica_contraloría[#All],7,0),"")</f>
        <v/>
      </c>
      <c r="I1025" t="str">
        <f>+IFERROR(VLOOKUP(D1025,Conceptos_Analítica_contraloría[#All],2,0),"")</f>
        <v/>
      </c>
      <c r="J1025" s="84" t="str">
        <f>+IFERROR(VLOOKUP(D1025,Conceptos_Analítica_contraloría[#All],3,0),"")</f>
        <v/>
      </c>
    </row>
    <row r="1026" spans="3:10" ht="18.75" customHeight="1" x14ac:dyDescent="0.35">
      <c r="C1026" s="100" t="str">
        <f>IF(OR(Fact_Analitica[[#This Row], [Año]]="",Fact_Analitica[[#This Row], [Mes]]=""),"",DATE(A1026,MATCH(B1026,{"enero","febrero","marzo","abril","mayo","junio","julio","agosto","septiembre","octubre","noviembre","diciembre"},0)+1,0))</f>
        <v/>
      </c>
      <c r="E1026" t="str">
        <f>+IFERROR(VLOOKUP(Fact_Analitica[[#This Row], [Concepto Anterior]],Conceptos_Analítica_contraloría[#All],5,0),"")</f>
        <v/>
      </c>
      <c r="F1026" t="str">
        <f>+IFERROR(VLOOKUP(Fact_Analitica[[#This Row], [Concepto Anterior]],Conceptos_Analítica_contraloría[#All],7,0),"")</f>
        <v/>
      </c>
      <c r="I1026" t="str">
        <f>+IFERROR(VLOOKUP(D1026,Conceptos_Analítica_contraloría[#All],2,0),"")</f>
        <v/>
      </c>
      <c r="J1026" s="84" t="str">
        <f>+IFERROR(VLOOKUP(D1026,Conceptos_Analítica_contraloría[#All],3,0),"")</f>
        <v/>
      </c>
    </row>
    <row r="1027" spans="3:10" ht="18.75" customHeight="1" x14ac:dyDescent="0.35">
      <c r="C1027" s="100" t="str">
        <f>IF(OR(Fact_Analitica[[#This Row], [Año]]="",Fact_Analitica[[#This Row], [Mes]]=""),"",DATE(A1027,MATCH(B1027,{"enero","febrero","marzo","abril","mayo","junio","julio","agosto","septiembre","octubre","noviembre","diciembre"},0)+1,0))</f>
        <v/>
      </c>
      <c r="E1027" t="str">
        <f>+IFERROR(VLOOKUP(Fact_Analitica[[#This Row], [Concepto Anterior]],Conceptos_Analítica_contraloría[#All],5,0),"")</f>
        <v/>
      </c>
      <c r="F1027" t="str">
        <f>+IFERROR(VLOOKUP(Fact_Analitica[[#This Row], [Concepto Anterior]],Conceptos_Analítica_contraloría[#All],7,0),"")</f>
        <v/>
      </c>
      <c r="I1027" t="str">
        <f>+IFERROR(VLOOKUP(D1027,Conceptos_Analítica_contraloría[#All],2,0),"")</f>
        <v/>
      </c>
      <c r="J1027" s="84" t="str">
        <f>+IFERROR(VLOOKUP(D1027,Conceptos_Analítica_contraloría[#All],3,0),"")</f>
        <v/>
      </c>
    </row>
    <row r="1028" spans="3:10" ht="18.75" customHeight="1" x14ac:dyDescent="0.35">
      <c r="C1028" s="100" t="str">
        <f>IF(OR(Fact_Analitica[[#This Row], [Año]]="",Fact_Analitica[[#This Row], [Mes]]=""),"",DATE(A1028,MATCH(B1028,{"enero","febrero","marzo","abril","mayo","junio","julio","agosto","septiembre","octubre","noviembre","diciembre"},0)+1,0))</f>
        <v/>
      </c>
      <c r="E1028" t="str">
        <f>+IFERROR(VLOOKUP(Fact_Analitica[[#This Row], [Concepto Anterior]],Conceptos_Analítica_contraloría[#All],5,0),"")</f>
        <v/>
      </c>
      <c r="F1028" t="str">
        <f>+IFERROR(VLOOKUP(Fact_Analitica[[#This Row], [Concepto Anterior]],Conceptos_Analítica_contraloría[#All],7,0),"")</f>
        <v/>
      </c>
      <c r="I1028" t="str">
        <f>+IFERROR(VLOOKUP(D1028,Conceptos_Analítica_contraloría[#All],2,0),"")</f>
        <v/>
      </c>
      <c r="J1028" s="84" t="str">
        <f>+IFERROR(VLOOKUP(D1028,Conceptos_Analítica_contraloría[#All],3,0),"")</f>
        <v/>
      </c>
    </row>
    <row r="1029" spans="3:10" ht="18.75" customHeight="1" x14ac:dyDescent="0.35">
      <c r="C1029" s="100" t="str">
        <f>IF(OR(Fact_Analitica[[#This Row], [Año]]="",Fact_Analitica[[#This Row], [Mes]]=""),"",DATE(A1029,MATCH(B1029,{"enero","febrero","marzo","abril","mayo","junio","julio","agosto","septiembre","octubre","noviembre","diciembre"},0)+1,0))</f>
        <v/>
      </c>
      <c r="E1029" t="str">
        <f>+IFERROR(VLOOKUP(Fact_Analitica[[#This Row], [Concepto Anterior]],Conceptos_Analítica_contraloría[#All],5,0),"")</f>
        <v/>
      </c>
      <c r="F1029" t="str">
        <f>+IFERROR(VLOOKUP(Fact_Analitica[[#This Row], [Concepto Anterior]],Conceptos_Analítica_contraloría[#All],7,0),"")</f>
        <v/>
      </c>
      <c r="I1029" t="str">
        <f>+IFERROR(VLOOKUP(D1029,Conceptos_Analítica_contraloría[#All],2,0),"")</f>
        <v/>
      </c>
      <c r="J1029" s="84" t="str">
        <f>+IFERROR(VLOOKUP(D1029,Conceptos_Analítica_contraloría[#All],3,0),"")</f>
        <v/>
      </c>
    </row>
    <row r="1030" spans="3:10" ht="18.75" customHeight="1" x14ac:dyDescent="0.35">
      <c r="C1030" s="100" t="str">
        <f>IF(OR(Fact_Analitica[[#This Row], [Año]]="",Fact_Analitica[[#This Row], [Mes]]=""),"",DATE(A1030,MATCH(B1030,{"enero","febrero","marzo","abril","mayo","junio","julio","agosto","septiembre","octubre","noviembre","diciembre"},0)+1,0))</f>
        <v/>
      </c>
      <c r="E1030" t="str">
        <f>+IFERROR(VLOOKUP(Fact_Analitica[[#This Row], [Concepto Anterior]],Conceptos_Analítica_contraloría[#All],5,0),"")</f>
        <v/>
      </c>
      <c r="F1030" t="str">
        <f>+IFERROR(VLOOKUP(Fact_Analitica[[#This Row], [Concepto Anterior]],Conceptos_Analítica_contraloría[#All],7,0),"")</f>
        <v/>
      </c>
      <c r="I1030" t="str">
        <f>+IFERROR(VLOOKUP(D1030,Conceptos_Analítica_contraloría[#All],2,0),"")</f>
        <v/>
      </c>
      <c r="J1030" s="84" t="str">
        <f>+IFERROR(VLOOKUP(D1030,Conceptos_Analítica_contraloría[#All],3,0),"")</f>
        <v/>
      </c>
    </row>
    <row r="1031" spans="3:10" ht="18.75" customHeight="1" x14ac:dyDescent="0.35">
      <c r="C1031" s="100" t="str">
        <f>IF(OR(Fact_Analitica[[#This Row], [Año]]="",Fact_Analitica[[#This Row], [Mes]]=""),"",DATE(A1031,MATCH(B1031,{"enero","febrero","marzo","abril","mayo","junio","julio","agosto","septiembre","octubre","noviembre","diciembre"},0)+1,0))</f>
        <v/>
      </c>
      <c r="E1031" t="str">
        <f>+IFERROR(VLOOKUP(Fact_Analitica[[#This Row], [Concepto Anterior]],Conceptos_Analítica_contraloría[#All],5,0),"")</f>
        <v/>
      </c>
      <c r="F1031" t="str">
        <f>+IFERROR(VLOOKUP(Fact_Analitica[[#This Row], [Concepto Anterior]],Conceptos_Analítica_contraloría[#All],7,0),"")</f>
        <v/>
      </c>
      <c r="I1031" t="str">
        <f>+IFERROR(VLOOKUP(D1031,Conceptos_Analítica_contraloría[#All],2,0),"")</f>
        <v/>
      </c>
      <c r="J1031" s="84" t="str">
        <f>+IFERROR(VLOOKUP(D1031,Conceptos_Analítica_contraloría[#All],3,0),"")</f>
        <v/>
      </c>
    </row>
    <row r="1032" spans="3:10" ht="18.75" customHeight="1" x14ac:dyDescent="0.35">
      <c r="C1032" s="100" t="str">
        <f>IF(OR(Fact_Analitica[[#This Row], [Año]]="",Fact_Analitica[[#This Row], [Mes]]=""),"",DATE(A1032,MATCH(B1032,{"enero","febrero","marzo","abril","mayo","junio","julio","agosto","septiembre","octubre","noviembre","diciembre"},0)+1,0))</f>
        <v/>
      </c>
      <c r="E1032" t="str">
        <f>+IFERROR(VLOOKUP(Fact_Analitica[[#This Row], [Concepto Anterior]],Conceptos_Analítica_contraloría[#All],5,0),"")</f>
        <v/>
      </c>
      <c r="F1032" t="str">
        <f>+IFERROR(VLOOKUP(Fact_Analitica[[#This Row], [Concepto Anterior]],Conceptos_Analítica_contraloría[#All],7,0),"")</f>
        <v/>
      </c>
      <c r="I1032" t="str">
        <f>+IFERROR(VLOOKUP(D1032,Conceptos_Analítica_contraloría[#All],2,0),"")</f>
        <v/>
      </c>
      <c r="J1032" s="84" t="str">
        <f>+IFERROR(VLOOKUP(D1032,Conceptos_Analítica_contraloría[#All],3,0),"")</f>
        <v/>
      </c>
    </row>
    <row r="1033" spans="3:10" ht="18.75" customHeight="1" x14ac:dyDescent="0.35">
      <c r="C1033" s="100" t="str">
        <f>IF(OR(Fact_Analitica[[#This Row], [Año]]="",Fact_Analitica[[#This Row], [Mes]]=""),"",DATE(A1033,MATCH(B1033,{"enero","febrero","marzo","abril","mayo","junio","julio","agosto","septiembre","octubre","noviembre","diciembre"},0)+1,0))</f>
        <v/>
      </c>
      <c r="E1033" t="str">
        <f>+IFERROR(VLOOKUP(Fact_Analitica[[#This Row], [Concepto Anterior]],Conceptos_Analítica_contraloría[#All],5,0),"")</f>
        <v/>
      </c>
      <c r="F1033" t="str">
        <f>+IFERROR(VLOOKUP(Fact_Analitica[[#This Row], [Concepto Anterior]],Conceptos_Analítica_contraloría[#All],7,0),"")</f>
        <v/>
      </c>
      <c r="I1033" t="str">
        <f>+IFERROR(VLOOKUP(D1033,Conceptos_Analítica_contraloría[#All],2,0),"")</f>
        <v/>
      </c>
      <c r="J1033" s="84" t="str">
        <f>+IFERROR(VLOOKUP(D1033,Conceptos_Analítica_contraloría[#All],3,0),"")</f>
        <v/>
      </c>
    </row>
    <row r="1034" spans="3:10" ht="18.75" customHeight="1" x14ac:dyDescent="0.35">
      <c r="C1034" s="100" t="str">
        <f>IF(OR(Fact_Analitica[[#This Row], [Año]]="",Fact_Analitica[[#This Row], [Mes]]=""),"",DATE(A1034,MATCH(B1034,{"enero","febrero","marzo","abril","mayo","junio","julio","agosto","septiembre","octubre","noviembre","diciembre"},0)+1,0))</f>
        <v/>
      </c>
      <c r="E1034" t="str">
        <f>+IFERROR(VLOOKUP(Fact_Analitica[[#This Row], [Concepto Anterior]],Conceptos_Analítica_contraloría[#All],5,0),"")</f>
        <v/>
      </c>
      <c r="F1034" t="str">
        <f>+IFERROR(VLOOKUP(Fact_Analitica[[#This Row], [Concepto Anterior]],Conceptos_Analítica_contraloría[#All],7,0),"")</f>
        <v/>
      </c>
      <c r="I1034" t="str">
        <f>+IFERROR(VLOOKUP(D1034,Conceptos_Analítica_contraloría[#All],2,0),"")</f>
        <v/>
      </c>
      <c r="J1034" s="84" t="str">
        <f>+IFERROR(VLOOKUP(D1034,Conceptos_Analítica_contraloría[#All],3,0),"")</f>
        <v/>
      </c>
    </row>
    <row r="1035" spans="3:10" ht="18.75" customHeight="1" x14ac:dyDescent="0.35">
      <c r="C1035" s="100" t="str">
        <f>IF(OR(Fact_Analitica[[#This Row], [Año]]="",Fact_Analitica[[#This Row], [Mes]]=""),"",DATE(A1035,MATCH(B1035,{"enero","febrero","marzo","abril","mayo","junio","julio","agosto","septiembre","octubre","noviembre","diciembre"},0)+1,0))</f>
        <v/>
      </c>
      <c r="E1035" t="str">
        <f>+IFERROR(VLOOKUP(Fact_Analitica[[#This Row], [Concepto Anterior]],Conceptos_Analítica_contraloría[#All],5,0),"")</f>
        <v/>
      </c>
      <c r="F1035" t="str">
        <f>+IFERROR(VLOOKUP(Fact_Analitica[[#This Row], [Concepto Anterior]],Conceptos_Analítica_contraloría[#All],7,0),"")</f>
        <v/>
      </c>
      <c r="I1035" t="str">
        <f>+IFERROR(VLOOKUP(D1035,Conceptos_Analítica_contraloría[#All],2,0),"")</f>
        <v/>
      </c>
      <c r="J1035" s="84" t="str">
        <f>+IFERROR(VLOOKUP(D1035,Conceptos_Analítica_contraloría[#All],3,0),"")</f>
        <v/>
      </c>
    </row>
    <row r="1036" spans="3:10" ht="18.75" customHeight="1" x14ac:dyDescent="0.35">
      <c r="C1036" s="100" t="str">
        <f>IF(OR(Fact_Analitica[[#This Row], [Año]]="",Fact_Analitica[[#This Row], [Mes]]=""),"",DATE(A1036,MATCH(B1036,{"enero","febrero","marzo","abril","mayo","junio","julio","agosto","septiembre","octubre","noviembre","diciembre"},0)+1,0))</f>
        <v/>
      </c>
      <c r="E1036" t="str">
        <f>+IFERROR(VLOOKUP(Fact_Analitica[[#This Row], [Concepto Anterior]],Conceptos_Analítica_contraloría[#All],5,0),"")</f>
        <v/>
      </c>
      <c r="F1036" t="str">
        <f>+IFERROR(VLOOKUP(Fact_Analitica[[#This Row], [Concepto Anterior]],Conceptos_Analítica_contraloría[#All],7,0),"")</f>
        <v/>
      </c>
      <c r="I1036" t="str">
        <f>+IFERROR(VLOOKUP(D1036,Conceptos_Analítica_contraloría[#All],2,0),"")</f>
        <v/>
      </c>
      <c r="J1036" s="84" t="str">
        <f>+IFERROR(VLOOKUP(D1036,Conceptos_Analítica_contraloría[#All],3,0),"")</f>
        <v/>
      </c>
    </row>
    <row r="1037" spans="3:10" ht="18.75" customHeight="1" x14ac:dyDescent="0.35">
      <c r="C1037" s="100" t="str">
        <f>IF(OR(Fact_Analitica[[#This Row], [Año]]="",Fact_Analitica[[#This Row], [Mes]]=""),"",DATE(A1037,MATCH(B1037,{"enero","febrero","marzo","abril","mayo","junio","julio","agosto","septiembre","octubre","noviembre","diciembre"},0)+1,0))</f>
        <v/>
      </c>
      <c r="E1037" t="str">
        <f>+IFERROR(VLOOKUP(Fact_Analitica[[#This Row], [Concepto Anterior]],Conceptos_Analítica_contraloría[#All],5,0),"")</f>
        <v/>
      </c>
      <c r="F1037" t="str">
        <f>+IFERROR(VLOOKUP(Fact_Analitica[[#This Row], [Concepto Anterior]],Conceptos_Analítica_contraloría[#All],7,0),"")</f>
        <v/>
      </c>
      <c r="I1037" t="str">
        <f>+IFERROR(VLOOKUP(D1037,Conceptos_Analítica_contraloría[#All],2,0),"")</f>
        <v/>
      </c>
      <c r="J1037" s="84" t="str">
        <f>+IFERROR(VLOOKUP(D1037,Conceptos_Analítica_contraloría[#All],3,0),"")</f>
        <v/>
      </c>
    </row>
    <row r="1038" spans="3:10" ht="18.75" customHeight="1" x14ac:dyDescent="0.35">
      <c r="C1038" s="100" t="str">
        <f>IF(OR(Fact_Analitica[[#This Row], [Año]]="",Fact_Analitica[[#This Row], [Mes]]=""),"",DATE(A1038,MATCH(B1038,{"enero","febrero","marzo","abril","mayo","junio","julio","agosto","septiembre","octubre","noviembre","diciembre"},0)+1,0))</f>
        <v/>
      </c>
      <c r="E1038" t="str">
        <f>+IFERROR(VLOOKUP(Fact_Analitica[[#This Row], [Concepto Anterior]],Conceptos_Analítica_contraloría[#All],5,0),"")</f>
        <v/>
      </c>
      <c r="F1038" t="str">
        <f>+IFERROR(VLOOKUP(Fact_Analitica[[#This Row], [Concepto Anterior]],Conceptos_Analítica_contraloría[#All],7,0),"")</f>
        <v/>
      </c>
      <c r="I1038" t="str">
        <f>+IFERROR(VLOOKUP(D1038,Conceptos_Analítica_contraloría[#All],2,0),"")</f>
        <v/>
      </c>
      <c r="J1038" s="84" t="str">
        <f>+IFERROR(VLOOKUP(D1038,Conceptos_Analítica_contraloría[#All],3,0),"")</f>
        <v/>
      </c>
    </row>
    <row r="1039" spans="3:10" ht="18.75" customHeight="1" x14ac:dyDescent="0.35">
      <c r="C1039" s="100" t="str">
        <f>IF(OR(Fact_Analitica[[#This Row], [Año]]="",Fact_Analitica[[#This Row], [Mes]]=""),"",DATE(A1039,MATCH(B1039,{"enero","febrero","marzo","abril","mayo","junio","julio","agosto","septiembre","octubre","noviembre","diciembre"},0)+1,0))</f>
        <v/>
      </c>
      <c r="E1039" t="str">
        <f>+IFERROR(VLOOKUP(Fact_Analitica[[#This Row], [Concepto Anterior]],Conceptos_Analítica_contraloría[#All],5,0),"")</f>
        <v/>
      </c>
      <c r="F1039" t="str">
        <f>+IFERROR(VLOOKUP(Fact_Analitica[[#This Row], [Concepto Anterior]],Conceptos_Analítica_contraloría[#All],7,0),"")</f>
        <v/>
      </c>
      <c r="I1039" t="str">
        <f>+IFERROR(VLOOKUP(D1039,Conceptos_Analítica_contraloría[#All],2,0),"")</f>
        <v/>
      </c>
      <c r="J1039" s="84" t="str">
        <f>+IFERROR(VLOOKUP(D1039,Conceptos_Analítica_contraloría[#All],3,0),"")</f>
        <v/>
      </c>
    </row>
    <row r="1040" spans="3:10" ht="18.75" customHeight="1" x14ac:dyDescent="0.35">
      <c r="C1040" s="100" t="str">
        <f>IF(OR(Fact_Analitica[[#This Row], [Año]]="",Fact_Analitica[[#This Row], [Mes]]=""),"",DATE(A1040,MATCH(B1040,{"enero","febrero","marzo","abril","mayo","junio","julio","agosto","septiembre","octubre","noviembre","diciembre"},0)+1,0))</f>
        <v/>
      </c>
      <c r="E1040" t="str">
        <f>+IFERROR(VLOOKUP(Fact_Analitica[[#This Row], [Concepto Anterior]],Conceptos_Analítica_contraloría[#All],5,0),"")</f>
        <v/>
      </c>
      <c r="F1040" t="str">
        <f>+IFERROR(VLOOKUP(Fact_Analitica[[#This Row], [Concepto Anterior]],Conceptos_Analítica_contraloría[#All],7,0),"")</f>
        <v/>
      </c>
      <c r="I1040" t="str">
        <f>+IFERROR(VLOOKUP(D1040,Conceptos_Analítica_contraloría[#All],2,0),"")</f>
        <v/>
      </c>
      <c r="J1040" s="84" t="str">
        <f>+IFERROR(VLOOKUP(D1040,Conceptos_Analítica_contraloría[#All],3,0),"")</f>
        <v/>
      </c>
    </row>
    <row r="1041" spans="3:10" ht="18.75" customHeight="1" x14ac:dyDescent="0.35">
      <c r="C1041" s="100" t="str">
        <f>IF(OR(Fact_Analitica[[#This Row], [Año]]="",Fact_Analitica[[#This Row], [Mes]]=""),"",DATE(A1041,MATCH(B1041,{"enero","febrero","marzo","abril","mayo","junio","julio","agosto","septiembre","octubre","noviembre","diciembre"},0)+1,0))</f>
        <v/>
      </c>
      <c r="E1041" t="str">
        <f>+IFERROR(VLOOKUP(Fact_Analitica[[#This Row], [Concepto Anterior]],Conceptos_Analítica_contraloría[#All],5,0),"")</f>
        <v/>
      </c>
      <c r="F1041" t="str">
        <f>+IFERROR(VLOOKUP(Fact_Analitica[[#This Row], [Concepto Anterior]],Conceptos_Analítica_contraloría[#All],7,0),"")</f>
        <v/>
      </c>
      <c r="I1041" t="str">
        <f>+IFERROR(VLOOKUP(D1041,Conceptos_Analítica_contraloría[#All],2,0),"")</f>
        <v/>
      </c>
      <c r="J1041" s="84" t="str">
        <f>+IFERROR(VLOOKUP(D1041,Conceptos_Analítica_contraloría[#All],3,0),"")</f>
        <v/>
      </c>
    </row>
    <row r="1042" spans="3:10" ht="18.75" customHeight="1" x14ac:dyDescent="0.35">
      <c r="C1042" s="100" t="str">
        <f>IF(OR(Fact_Analitica[[#This Row], [Año]]="",Fact_Analitica[[#This Row], [Mes]]=""),"",DATE(A1042,MATCH(B1042,{"enero","febrero","marzo","abril","mayo","junio","julio","agosto","septiembre","octubre","noviembre","diciembre"},0)+1,0))</f>
        <v/>
      </c>
      <c r="E1042" t="str">
        <f>+IFERROR(VLOOKUP(Fact_Analitica[[#This Row], [Concepto Anterior]],Conceptos_Analítica_contraloría[#All],5,0),"")</f>
        <v/>
      </c>
      <c r="F1042" t="str">
        <f>+IFERROR(VLOOKUP(Fact_Analitica[[#This Row], [Concepto Anterior]],Conceptos_Analítica_contraloría[#All],7,0),"")</f>
        <v/>
      </c>
      <c r="I1042" t="str">
        <f>+IFERROR(VLOOKUP(D1042,Conceptos_Analítica_contraloría[#All],2,0),"")</f>
        <v/>
      </c>
      <c r="J1042" s="84" t="str">
        <f>+IFERROR(VLOOKUP(D1042,Conceptos_Analítica_contraloría[#All],3,0),"")</f>
        <v/>
      </c>
    </row>
    <row r="1043" spans="3:10" ht="18.75" customHeight="1" x14ac:dyDescent="0.35">
      <c r="C1043" s="100" t="str">
        <f>IF(OR(Fact_Analitica[[#This Row], [Año]]="",Fact_Analitica[[#This Row], [Mes]]=""),"",DATE(A1043,MATCH(B1043,{"enero","febrero","marzo","abril","mayo","junio","julio","agosto","septiembre","octubre","noviembre","diciembre"},0)+1,0))</f>
        <v/>
      </c>
      <c r="E1043" t="str">
        <f>+IFERROR(VLOOKUP(Fact_Analitica[[#This Row], [Concepto Anterior]],Conceptos_Analítica_contraloría[#All],5,0),"")</f>
        <v/>
      </c>
      <c r="F1043" t="str">
        <f>+IFERROR(VLOOKUP(Fact_Analitica[[#This Row], [Concepto Anterior]],Conceptos_Analítica_contraloría[#All],7,0),"")</f>
        <v/>
      </c>
      <c r="I1043" t="str">
        <f>+IFERROR(VLOOKUP(D1043,Conceptos_Analítica_contraloría[#All],2,0),"")</f>
        <v/>
      </c>
      <c r="J1043" s="84" t="str">
        <f>+IFERROR(VLOOKUP(D1043,Conceptos_Analítica_contraloría[#All],3,0),"")</f>
        <v/>
      </c>
    </row>
    <row r="1044" spans="3:10" ht="18.75" customHeight="1" x14ac:dyDescent="0.35">
      <c r="C1044" s="100" t="str">
        <f>IF(OR(Fact_Analitica[[#This Row], [Año]]="",Fact_Analitica[[#This Row], [Mes]]=""),"",DATE(A1044,MATCH(B1044,{"enero","febrero","marzo","abril","mayo","junio","julio","agosto","septiembre","octubre","noviembre","diciembre"},0)+1,0))</f>
        <v/>
      </c>
      <c r="E1044" t="str">
        <f>+IFERROR(VLOOKUP(Fact_Analitica[[#This Row], [Concepto Anterior]],Conceptos_Analítica_contraloría[#All],5,0),"")</f>
        <v/>
      </c>
      <c r="F1044" t="str">
        <f>+IFERROR(VLOOKUP(Fact_Analitica[[#This Row], [Concepto Anterior]],Conceptos_Analítica_contraloría[#All],7,0),"")</f>
        <v/>
      </c>
      <c r="I1044" t="str">
        <f>+IFERROR(VLOOKUP(D1044,Conceptos_Analítica_contraloría[#All],2,0),"")</f>
        <v/>
      </c>
      <c r="J1044" s="84" t="str">
        <f>+IFERROR(VLOOKUP(D1044,Conceptos_Analítica_contraloría[#All],3,0),"")</f>
        <v/>
      </c>
    </row>
    <row r="1045" spans="3:10" ht="18.75" customHeight="1" x14ac:dyDescent="0.35">
      <c r="C1045" s="100" t="str">
        <f>IF(OR(Fact_Analitica[[#This Row], [Año]]="",Fact_Analitica[[#This Row], [Mes]]=""),"",DATE(A1045,MATCH(B1045,{"enero","febrero","marzo","abril","mayo","junio","julio","agosto","septiembre","octubre","noviembre","diciembre"},0)+1,0))</f>
        <v/>
      </c>
      <c r="E1045" t="str">
        <f>+IFERROR(VLOOKUP(Fact_Analitica[[#This Row], [Concepto Anterior]],Conceptos_Analítica_contraloría[#All],5,0),"")</f>
        <v/>
      </c>
      <c r="F1045" t="str">
        <f>+IFERROR(VLOOKUP(Fact_Analitica[[#This Row], [Concepto Anterior]],Conceptos_Analítica_contraloría[#All],7,0),"")</f>
        <v/>
      </c>
      <c r="I1045" t="str">
        <f>+IFERROR(VLOOKUP(D1045,Conceptos_Analítica_contraloría[#All],2,0),"")</f>
        <v/>
      </c>
      <c r="J1045" s="84" t="str">
        <f>+IFERROR(VLOOKUP(D1045,Conceptos_Analítica_contraloría[#All],3,0),"")</f>
        <v/>
      </c>
    </row>
    <row r="1046" spans="3:10" ht="18.75" customHeight="1" x14ac:dyDescent="0.35">
      <c r="C1046" s="100" t="str">
        <f>IF(OR(Fact_Analitica[[#This Row], [Año]]="",Fact_Analitica[[#This Row], [Mes]]=""),"",DATE(A1046,MATCH(B1046,{"enero","febrero","marzo","abril","mayo","junio","julio","agosto","septiembre","octubre","noviembre","diciembre"},0)+1,0))</f>
        <v/>
      </c>
      <c r="E1046" t="str">
        <f>+IFERROR(VLOOKUP(Fact_Analitica[[#This Row], [Concepto Anterior]],Conceptos_Analítica_contraloría[#All],5,0),"")</f>
        <v/>
      </c>
      <c r="F1046" t="str">
        <f>+IFERROR(VLOOKUP(Fact_Analitica[[#This Row], [Concepto Anterior]],Conceptos_Analítica_contraloría[#All],7,0),"")</f>
        <v/>
      </c>
      <c r="I1046" t="str">
        <f>+IFERROR(VLOOKUP(D1046,Conceptos_Analítica_contraloría[#All],2,0),"")</f>
        <v/>
      </c>
      <c r="J1046" s="84" t="str">
        <f>+IFERROR(VLOOKUP(D1046,Conceptos_Analítica_contraloría[#All],3,0),"")</f>
        <v/>
      </c>
    </row>
    <row r="1047" spans="3:10" ht="18.75" customHeight="1" x14ac:dyDescent="0.35">
      <c r="C1047" s="100" t="str">
        <f>IF(OR(Fact_Analitica[[#This Row], [Año]]="",Fact_Analitica[[#This Row], [Mes]]=""),"",DATE(A1047,MATCH(B1047,{"enero","febrero","marzo","abril","mayo","junio","julio","agosto","septiembre","octubre","noviembre","diciembre"},0)+1,0))</f>
        <v/>
      </c>
      <c r="E1047" t="str">
        <f>+IFERROR(VLOOKUP(Fact_Analitica[[#This Row], [Concepto Anterior]],Conceptos_Analítica_contraloría[#All],5,0),"")</f>
        <v/>
      </c>
      <c r="F1047" t="str">
        <f>+IFERROR(VLOOKUP(Fact_Analitica[[#This Row], [Concepto Anterior]],Conceptos_Analítica_contraloría[#All],7,0),"")</f>
        <v/>
      </c>
      <c r="I1047" t="str">
        <f>+IFERROR(VLOOKUP(D1047,Conceptos_Analítica_contraloría[#All],2,0),"")</f>
        <v/>
      </c>
      <c r="J1047" s="84" t="str">
        <f>+IFERROR(VLOOKUP(D1047,Conceptos_Analítica_contraloría[#All],3,0),"")</f>
        <v/>
      </c>
    </row>
    <row r="1048" spans="3:10" ht="18.75" customHeight="1" x14ac:dyDescent="0.35">
      <c r="C1048" s="100" t="str">
        <f>IF(OR(Fact_Analitica[[#This Row], [Año]]="",Fact_Analitica[[#This Row], [Mes]]=""),"",DATE(A1048,MATCH(B1048,{"enero","febrero","marzo","abril","mayo","junio","julio","agosto","septiembre","octubre","noviembre","diciembre"},0)+1,0))</f>
        <v/>
      </c>
      <c r="E1048" t="str">
        <f>+IFERROR(VLOOKUP(Fact_Analitica[[#This Row], [Concepto Anterior]],Conceptos_Analítica_contraloría[#All],5,0),"")</f>
        <v/>
      </c>
      <c r="F1048" t="str">
        <f>+IFERROR(VLOOKUP(Fact_Analitica[[#This Row], [Concepto Anterior]],Conceptos_Analítica_contraloría[#All],7,0),"")</f>
        <v/>
      </c>
      <c r="I1048" t="str">
        <f>+IFERROR(VLOOKUP(D1048,Conceptos_Analítica_contraloría[#All],2,0),"")</f>
        <v/>
      </c>
      <c r="J1048" s="84" t="str">
        <f>+IFERROR(VLOOKUP(D1048,Conceptos_Analítica_contraloría[#All],3,0),"")</f>
        <v/>
      </c>
    </row>
    <row r="1049" spans="3:10" ht="18.75" customHeight="1" x14ac:dyDescent="0.35">
      <c r="C1049" s="100" t="str">
        <f>IF(OR(Fact_Analitica[[#This Row], [Año]]="",Fact_Analitica[[#This Row], [Mes]]=""),"",DATE(A1049,MATCH(B1049,{"enero","febrero","marzo","abril","mayo","junio","julio","agosto","septiembre","octubre","noviembre","diciembre"},0)+1,0))</f>
        <v/>
      </c>
      <c r="E1049" t="str">
        <f>+IFERROR(VLOOKUP(Fact_Analitica[[#This Row], [Concepto Anterior]],Conceptos_Analítica_contraloría[#All],5,0),"")</f>
        <v/>
      </c>
      <c r="F1049" t="str">
        <f>+IFERROR(VLOOKUP(Fact_Analitica[[#This Row], [Concepto Anterior]],Conceptos_Analítica_contraloría[#All],7,0),"")</f>
        <v/>
      </c>
      <c r="I1049" t="str">
        <f>+IFERROR(VLOOKUP(D1049,Conceptos_Analítica_contraloría[#All],2,0),"")</f>
        <v/>
      </c>
      <c r="J1049" s="84" t="str">
        <f>+IFERROR(VLOOKUP(D1049,Conceptos_Analítica_contraloría[#All],3,0),"")</f>
        <v/>
      </c>
    </row>
    <row r="1050" spans="3:10" ht="18.75" customHeight="1" x14ac:dyDescent="0.35">
      <c r="C1050" s="100" t="str">
        <f>IF(OR(Fact_Analitica[[#This Row], [Año]]="",Fact_Analitica[[#This Row], [Mes]]=""),"",DATE(A1050,MATCH(B1050,{"enero","febrero","marzo","abril","mayo","junio","julio","agosto","septiembre","octubre","noviembre","diciembre"},0)+1,0))</f>
        <v/>
      </c>
      <c r="E1050" t="str">
        <f>+IFERROR(VLOOKUP(Fact_Analitica[[#This Row], [Concepto Anterior]],Conceptos_Analítica_contraloría[#All],5,0),"")</f>
        <v/>
      </c>
      <c r="F1050" t="str">
        <f>+IFERROR(VLOOKUP(Fact_Analitica[[#This Row], [Concepto Anterior]],Conceptos_Analítica_contraloría[#All],7,0),"")</f>
        <v/>
      </c>
      <c r="I1050" t="str">
        <f>+IFERROR(VLOOKUP(D1050,Conceptos_Analítica_contraloría[#All],2,0),"")</f>
        <v/>
      </c>
      <c r="J1050" s="84" t="str">
        <f>+IFERROR(VLOOKUP(D1050,Conceptos_Analítica_contraloría[#All],3,0),"")</f>
        <v/>
      </c>
    </row>
    <row r="1051" spans="3:10" ht="18.75" customHeight="1" x14ac:dyDescent="0.35">
      <c r="C1051" s="100" t="str">
        <f>IF(OR(Fact_Analitica[[#This Row], [Año]]="",Fact_Analitica[[#This Row], [Mes]]=""),"",DATE(A1051,MATCH(B1051,{"enero","febrero","marzo","abril","mayo","junio","julio","agosto","septiembre","octubre","noviembre","diciembre"},0)+1,0))</f>
        <v/>
      </c>
      <c r="E1051" t="str">
        <f>+IFERROR(VLOOKUP(Fact_Analitica[[#This Row], [Concepto Anterior]],Conceptos_Analítica_contraloría[#All],5,0),"")</f>
        <v/>
      </c>
      <c r="F1051" t="str">
        <f>+IFERROR(VLOOKUP(Fact_Analitica[[#This Row], [Concepto Anterior]],Conceptos_Analítica_contraloría[#All],7,0),"")</f>
        <v/>
      </c>
      <c r="I1051" t="str">
        <f>+IFERROR(VLOOKUP(D1051,Conceptos_Analítica_contraloría[#All],2,0),"")</f>
        <v/>
      </c>
      <c r="J1051" s="84" t="str">
        <f>+IFERROR(VLOOKUP(D1051,Conceptos_Analítica_contraloría[#All],3,0),"")</f>
        <v/>
      </c>
    </row>
    <row r="1052" spans="3:10" ht="18.75" customHeight="1" x14ac:dyDescent="0.35">
      <c r="C1052" s="100" t="str">
        <f>IF(OR(Fact_Analitica[[#This Row], [Año]]="",Fact_Analitica[[#This Row], [Mes]]=""),"",DATE(A1052,MATCH(B1052,{"enero","febrero","marzo","abril","mayo","junio","julio","agosto","septiembre","octubre","noviembre","diciembre"},0)+1,0))</f>
        <v/>
      </c>
      <c r="E1052" t="str">
        <f>+IFERROR(VLOOKUP(Fact_Analitica[[#This Row], [Concepto Anterior]],Conceptos_Analítica_contraloría[#All],5,0),"")</f>
        <v/>
      </c>
      <c r="F1052" t="str">
        <f>+IFERROR(VLOOKUP(Fact_Analitica[[#This Row], [Concepto Anterior]],Conceptos_Analítica_contraloría[#All],7,0),"")</f>
        <v/>
      </c>
      <c r="I1052" t="str">
        <f>+IFERROR(VLOOKUP(D1052,Conceptos_Analítica_contraloría[#All],2,0),"")</f>
        <v/>
      </c>
      <c r="J1052" s="84" t="str">
        <f>+IFERROR(VLOOKUP(D1052,Conceptos_Analítica_contraloría[#All],3,0),"")</f>
        <v/>
      </c>
    </row>
    <row r="1053" spans="3:10" ht="18.75" customHeight="1" x14ac:dyDescent="0.35">
      <c r="C1053" s="100" t="str">
        <f>IF(OR(Fact_Analitica[[#This Row], [Año]]="",Fact_Analitica[[#This Row], [Mes]]=""),"",DATE(A1053,MATCH(B1053,{"enero","febrero","marzo","abril","mayo","junio","julio","agosto","septiembre","octubre","noviembre","diciembre"},0)+1,0))</f>
        <v/>
      </c>
      <c r="E1053" t="str">
        <f>+IFERROR(VLOOKUP(Fact_Analitica[[#This Row], [Concepto Anterior]],Conceptos_Analítica_contraloría[#All],5,0),"")</f>
        <v/>
      </c>
      <c r="F1053" t="str">
        <f>+IFERROR(VLOOKUP(Fact_Analitica[[#This Row], [Concepto Anterior]],Conceptos_Analítica_contraloría[#All],7,0),"")</f>
        <v/>
      </c>
      <c r="I1053" t="str">
        <f>+IFERROR(VLOOKUP(D1053,Conceptos_Analítica_contraloría[#All],2,0),"")</f>
        <v/>
      </c>
      <c r="J1053" s="84" t="str">
        <f>+IFERROR(VLOOKUP(D1053,Conceptos_Analítica_contraloría[#All],3,0),"")</f>
        <v/>
      </c>
    </row>
    <row r="1054" spans="3:10" ht="18.75" customHeight="1" x14ac:dyDescent="0.35">
      <c r="C1054" s="100" t="str">
        <f>IF(OR(Fact_Analitica[[#This Row], [Año]]="",Fact_Analitica[[#This Row], [Mes]]=""),"",DATE(A1054,MATCH(B1054,{"enero","febrero","marzo","abril","mayo","junio","julio","agosto","septiembre","octubre","noviembre","diciembre"},0)+1,0))</f>
        <v/>
      </c>
      <c r="E1054" t="str">
        <f>+IFERROR(VLOOKUP(Fact_Analitica[[#This Row], [Concepto Anterior]],Conceptos_Analítica_contraloría[#All],5,0),"")</f>
        <v/>
      </c>
      <c r="F1054" t="str">
        <f>+IFERROR(VLOOKUP(Fact_Analitica[[#This Row], [Concepto Anterior]],Conceptos_Analítica_contraloría[#All],7,0),"")</f>
        <v/>
      </c>
      <c r="I1054" t="str">
        <f>+IFERROR(VLOOKUP(D1054,Conceptos_Analítica_contraloría[#All],2,0),"")</f>
        <v/>
      </c>
      <c r="J1054" s="84" t="str">
        <f>+IFERROR(VLOOKUP(D1054,Conceptos_Analítica_contraloría[#All],3,0),"")</f>
        <v/>
      </c>
    </row>
    <row r="1055" spans="3:10" ht="18.75" customHeight="1" x14ac:dyDescent="0.35">
      <c r="C1055" s="100" t="str">
        <f>IF(OR(Fact_Analitica[[#This Row], [Año]]="",Fact_Analitica[[#This Row], [Mes]]=""),"",DATE(A1055,MATCH(B1055,{"enero","febrero","marzo","abril","mayo","junio","julio","agosto","septiembre","octubre","noviembre","diciembre"},0)+1,0))</f>
        <v/>
      </c>
      <c r="E1055" t="str">
        <f>+IFERROR(VLOOKUP(Fact_Analitica[[#This Row], [Concepto Anterior]],Conceptos_Analítica_contraloría[#All],5,0),"")</f>
        <v/>
      </c>
      <c r="F1055" t="str">
        <f>+IFERROR(VLOOKUP(Fact_Analitica[[#This Row], [Concepto Anterior]],Conceptos_Analítica_contraloría[#All],7,0),"")</f>
        <v/>
      </c>
      <c r="I1055" t="str">
        <f>+IFERROR(VLOOKUP(D1055,Conceptos_Analítica_contraloría[#All],2,0),"")</f>
        <v/>
      </c>
      <c r="J1055" s="84" t="str">
        <f>+IFERROR(VLOOKUP(D1055,Conceptos_Analítica_contraloría[#All],3,0),"")</f>
        <v/>
      </c>
    </row>
    <row r="1056" spans="3:10" ht="18.75" customHeight="1" x14ac:dyDescent="0.35">
      <c r="C1056" s="100" t="str">
        <f>IF(OR(Fact_Analitica[[#This Row], [Año]]="",Fact_Analitica[[#This Row], [Mes]]=""),"",DATE(A1056,MATCH(B1056,{"enero","febrero","marzo","abril","mayo","junio","julio","agosto","septiembre","octubre","noviembre","diciembre"},0)+1,0))</f>
        <v/>
      </c>
      <c r="E1056" t="str">
        <f>+IFERROR(VLOOKUP(Fact_Analitica[[#This Row], [Concepto Anterior]],Conceptos_Analítica_contraloría[#All],5,0),"")</f>
        <v/>
      </c>
      <c r="F1056" t="str">
        <f>+IFERROR(VLOOKUP(Fact_Analitica[[#This Row], [Concepto Anterior]],Conceptos_Analítica_contraloría[#All],7,0),"")</f>
        <v/>
      </c>
      <c r="I1056" t="str">
        <f>+IFERROR(VLOOKUP(D1056,Conceptos_Analítica_contraloría[#All],2,0),"")</f>
        <v/>
      </c>
      <c r="J1056" s="84" t="str">
        <f>+IFERROR(VLOOKUP(D1056,Conceptos_Analítica_contraloría[#All],3,0),"")</f>
        <v/>
      </c>
    </row>
    <row r="1057" spans="3:10" ht="18.75" customHeight="1" x14ac:dyDescent="0.35">
      <c r="C1057" s="100" t="str">
        <f>IF(OR(Fact_Analitica[[#This Row], [Año]]="",Fact_Analitica[[#This Row], [Mes]]=""),"",DATE(A1057,MATCH(B1057,{"enero","febrero","marzo","abril","mayo","junio","julio","agosto","septiembre","octubre","noviembre","diciembre"},0)+1,0))</f>
        <v/>
      </c>
      <c r="E1057" t="str">
        <f>+IFERROR(VLOOKUP(Fact_Analitica[[#This Row], [Concepto Anterior]],Conceptos_Analítica_contraloría[#All],5,0),"")</f>
        <v/>
      </c>
      <c r="F1057" t="str">
        <f>+IFERROR(VLOOKUP(Fact_Analitica[[#This Row], [Concepto Anterior]],Conceptos_Analítica_contraloría[#All],7,0),"")</f>
        <v/>
      </c>
      <c r="I1057" t="str">
        <f>+IFERROR(VLOOKUP(D1057,Conceptos_Analítica_contraloría[#All],2,0),"")</f>
        <v/>
      </c>
      <c r="J1057" s="84" t="str">
        <f>+IFERROR(VLOOKUP(D1057,Conceptos_Analítica_contraloría[#All],3,0),"")</f>
        <v/>
      </c>
    </row>
    <row r="1058" spans="3:10" ht="18.75" customHeight="1" x14ac:dyDescent="0.35">
      <c r="C1058" s="100" t="str">
        <f>IF(OR(Fact_Analitica[[#This Row], [Año]]="",Fact_Analitica[[#This Row], [Mes]]=""),"",DATE(A1058,MATCH(B1058,{"enero","febrero","marzo","abril","mayo","junio","julio","agosto","septiembre","octubre","noviembre","diciembre"},0)+1,0))</f>
        <v/>
      </c>
      <c r="E1058" t="str">
        <f>+IFERROR(VLOOKUP(Fact_Analitica[[#This Row], [Concepto Anterior]],Conceptos_Analítica_contraloría[#All],5,0),"")</f>
        <v/>
      </c>
      <c r="F1058" t="str">
        <f>+IFERROR(VLOOKUP(Fact_Analitica[[#This Row], [Concepto Anterior]],Conceptos_Analítica_contraloría[#All],7,0),"")</f>
        <v/>
      </c>
      <c r="I1058" t="str">
        <f>+IFERROR(VLOOKUP(D1058,Conceptos_Analítica_contraloría[#All],2,0),"")</f>
        <v/>
      </c>
      <c r="J1058" s="84" t="str">
        <f>+IFERROR(VLOOKUP(D1058,Conceptos_Analítica_contraloría[#All],3,0),"")</f>
        <v/>
      </c>
    </row>
    <row r="1059" spans="3:10" ht="18.75" customHeight="1" x14ac:dyDescent="0.35">
      <c r="C1059" s="100" t="str">
        <f>IF(OR(Fact_Analitica[[#This Row], [Año]]="",Fact_Analitica[[#This Row], [Mes]]=""),"",DATE(A1059,MATCH(B1059,{"enero","febrero","marzo","abril","mayo","junio","julio","agosto","septiembre","octubre","noviembre","diciembre"},0)+1,0))</f>
        <v/>
      </c>
      <c r="E1059" t="str">
        <f>+IFERROR(VLOOKUP(Fact_Analitica[[#This Row], [Concepto Anterior]],Conceptos_Analítica_contraloría[#All],5,0),"")</f>
        <v/>
      </c>
      <c r="F1059" t="str">
        <f>+IFERROR(VLOOKUP(Fact_Analitica[[#This Row], [Concepto Anterior]],Conceptos_Analítica_contraloría[#All],7,0),"")</f>
        <v/>
      </c>
      <c r="I1059" t="str">
        <f>+IFERROR(VLOOKUP(D1059,Conceptos_Analítica_contraloría[#All],2,0),"")</f>
        <v/>
      </c>
      <c r="J1059" s="84" t="str">
        <f>+IFERROR(VLOOKUP(D1059,Conceptos_Analítica_contraloría[#All],3,0),"")</f>
        <v/>
      </c>
    </row>
    <row r="1060" spans="3:10" ht="18.75" customHeight="1" x14ac:dyDescent="0.35">
      <c r="C1060" s="100" t="str">
        <f>IF(OR(Fact_Analitica[[#This Row], [Año]]="",Fact_Analitica[[#This Row], [Mes]]=""),"",DATE(A1060,MATCH(B1060,{"enero","febrero","marzo","abril","mayo","junio","julio","agosto","septiembre","octubre","noviembre","diciembre"},0)+1,0))</f>
        <v/>
      </c>
      <c r="E1060" t="str">
        <f>+IFERROR(VLOOKUP(Fact_Analitica[[#This Row], [Concepto Anterior]],Conceptos_Analítica_contraloría[#All],5,0),"")</f>
        <v/>
      </c>
      <c r="F1060" t="str">
        <f>+IFERROR(VLOOKUP(Fact_Analitica[[#This Row], [Concepto Anterior]],Conceptos_Analítica_contraloría[#All],7,0),"")</f>
        <v/>
      </c>
      <c r="I1060" t="str">
        <f>+IFERROR(VLOOKUP(D1060,Conceptos_Analítica_contraloría[#All],2,0),"")</f>
        <v/>
      </c>
      <c r="J1060" s="84" t="str">
        <f>+IFERROR(VLOOKUP(D1060,Conceptos_Analítica_contraloría[#All],3,0),"")</f>
        <v/>
      </c>
    </row>
    <row r="1061" spans="3:10" ht="18.75" customHeight="1" x14ac:dyDescent="0.35">
      <c r="C1061" s="100" t="str">
        <f>IF(OR(Fact_Analitica[[#This Row], [Año]]="",Fact_Analitica[[#This Row], [Mes]]=""),"",DATE(A1061,MATCH(B1061,{"enero","febrero","marzo","abril","mayo","junio","julio","agosto","septiembre","octubre","noviembre","diciembre"},0)+1,0))</f>
        <v/>
      </c>
      <c r="E1061" t="str">
        <f>+IFERROR(VLOOKUP(Fact_Analitica[[#This Row], [Concepto Anterior]],Conceptos_Analítica_contraloría[#All],5,0),"")</f>
        <v/>
      </c>
      <c r="F1061" t="str">
        <f>+IFERROR(VLOOKUP(Fact_Analitica[[#This Row], [Concepto Anterior]],Conceptos_Analítica_contraloría[#All],7,0),"")</f>
        <v/>
      </c>
      <c r="I1061" t="str">
        <f>+IFERROR(VLOOKUP(D1061,Conceptos_Analítica_contraloría[#All],2,0),"")</f>
        <v/>
      </c>
      <c r="J1061" s="84" t="str">
        <f>+IFERROR(VLOOKUP(D1061,Conceptos_Analítica_contraloría[#All],3,0),"")</f>
        <v/>
      </c>
    </row>
    <row r="1062" spans="3:10" ht="18.75" customHeight="1" x14ac:dyDescent="0.35">
      <c r="C1062" s="100" t="str">
        <f>IF(OR(Fact_Analitica[[#This Row], [Año]]="",Fact_Analitica[[#This Row], [Mes]]=""),"",DATE(A1062,MATCH(B1062,{"enero","febrero","marzo","abril","mayo","junio","julio","agosto","septiembre","octubre","noviembre","diciembre"},0)+1,0))</f>
        <v/>
      </c>
      <c r="E1062" t="str">
        <f>+IFERROR(VLOOKUP(Fact_Analitica[[#This Row], [Concepto Anterior]],Conceptos_Analítica_contraloría[#All],5,0),"")</f>
        <v/>
      </c>
      <c r="F1062" t="str">
        <f>+IFERROR(VLOOKUP(Fact_Analitica[[#This Row], [Concepto Anterior]],Conceptos_Analítica_contraloría[#All],7,0),"")</f>
        <v/>
      </c>
      <c r="I1062" t="str">
        <f>+IFERROR(VLOOKUP(D1062,Conceptos_Analítica_contraloría[#All],2,0),"")</f>
        <v/>
      </c>
      <c r="J1062" s="84" t="str">
        <f>+IFERROR(VLOOKUP(D1062,Conceptos_Analítica_contraloría[#All],3,0),"")</f>
        <v/>
      </c>
    </row>
    <row r="1063" spans="3:10" ht="18.75" customHeight="1" x14ac:dyDescent="0.35">
      <c r="C1063" s="100" t="str">
        <f>IF(OR(Fact_Analitica[[#This Row], [Año]]="",Fact_Analitica[[#This Row], [Mes]]=""),"",DATE(A1063,MATCH(B1063,{"enero","febrero","marzo","abril","mayo","junio","julio","agosto","septiembre","octubre","noviembre","diciembre"},0)+1,0))</f>
        <v/>
      </c>
      <c r="E1063" t="str">
        <f>+IFERROR(VLOOKUP(Fact_Analitica[[#This Row], [Concepto Anterior]],Conceptos_Analítica_contraloría[#All],5,0),"")</f>
        <v/>
      </c>
      <c r="F1063" t="str">
        <f>+IFERROR(VLOOKUP(Fact_Analitica[[#This Row], [Concepto Anterior]],Conceptos_Analítica_contraloría[#All],7,0),"")</f>
        <v/>
      </c>
      <c r="I1063" t="str">
        <f>+IFERROR(VLOOKUP(D1063,Conceptos_Analítica_contraloría[#All],2,0),"")</f>
        <v/>
      </c>
      <c r="J1063" s="84" t="str">
        <f>+IFERROR(VLOOKUP(D1063,Conceptos_Analítica_contraloría[#All],3,0),"")</f>
        <v/>
      </c>
    </row>
    <row r="1064" spans="3:10" ht="18.75" customHeight="1" x14ac:dyDescent="0.35">
      <c r="C1064" s="100" t="str">
        <f>IF(OR(Fact_Analitica[[#This Row], [Año]]="",Fact_Analitica[[#This Row], [Mes]]=""),"",DATE(A1064,MATCH(B1064,{"enero","febrero","marzo","abril","mayo","junio","julio","agosto","septiembre","octubre","noviembre","diciembre"},0)+1,0))</f>
        <v/>
      </c>
      <c r="E1064" t="str">
        <f>+IFERROR(VLOOKUP(Fact_Analitica[[#This Row], [Concepto Anterior]],Conceptos_Analítica_contraloría[#All],5,0),"")</f>
        <v/>
      </c>
      <c r="F1064" t="str">
        <f>+IFERROR(VLOOKUP(Fact_Analitica[[#This Row], [Concepto Anterior]],Conceptos_Analítica_contraloría[#All],7,0),"")</f>
        <v/>
      </c>
      <c r="I1064" t="str">
        <f>+IFERROR(VLOOKUP(D1064,Conceptos_Analítica_contraloría[#All],2,0),"")</f>
        <v/>
      </c>
      <c r="J1064" s="84" t="str">
        <f>+IFERROR(VLOOKUP(D1064,Conceptos_Analítica_contraloría[#All],3,0),"")</f>
        <v/>
      </c>
    </row>
    <row r="1065" spans="3:10" ht="18.75" customHeight="1" x14ac:dyDescent="0.35">
      <c r="C1065" s="100" t="str">
        <f>IF(OR(Fact_Analitica[[#This Row], [Año]]="",Fact_Analitica[[#This Row], [Mes]]=""),"",DATE(A1065,MATCH(B1065,{"enero","febrero","marzo","abril","mayo","junio","julio","agosto","septiembre","octubre","noviembre","diciembre"},0)+1,0))</f>
        <v/>
      </c>
      <c r="E1065" t="str">
        <f>+IFERROR(VLOOKUP(Fact_Analitica[[#This Row], [Concepto Anterior]],Conceptos_Analítica_contraloría[#All],5,0),"")</f>
        <v/>
      </c>
      <c r="F1065" t="str">
        <f>+IFERROR(VLOOKUP(Fact_Analitica[[#This Row], [Concepto Anterior]],Conceptos_Analítica_contraloría[#All],7,0),"")</f>
        <v/>
      </c>
      <c r="I1065" t="str">
        <f>+IFERROR(VLOOKUP(D1065,Conceptos_Analítica_contraloría[#All],2,0),"")</f>
        <v/>
      </c>
      <c r="J1065" s="84" t="str">
        <f>+IFERROR(VLOOKUP(D1065,Conceptos_Analítica_contraloría[#All],3,0),"")</f>
        <v/>
      </c>
    </row>
    <row r="1066" spans="3:10" ht="18.75" customHeight="1" x14ac:dyDescent="0.35">
      <c r="C1066" s="100" t="str">
        <f>IF(OR(Fact_Analitica[[#This Row], [Año]]="",Fact_Analitica[[#This Row], [Mes]]=""),"",DATE(A1066,MATCH(B1066,{"enero","febrero","marzo","abril","mayo","junio","julio","agosto","septiembre","octubre","noviembre","diciembre"},0)+1,0))</f>
        <v/>
      </c>
      <c r="E1066" t="str">
        <f>+IFERROR(VLOOKUP(Fact_Analitica[[#This Row], [Concepto Anterior]],Conceptos_Analítica_contraloría[#All],5,0),"")</f>
        <v/>
      </c>
      <c r="F1066" t="str">
        <f>+IFERROR(VLOOKUP(Fact_Analitica[[#This Row], [Concepto Anterior]],Conceptos_Analítica_contraloría[#All],7,0),"")</f>
        <v/>
      </c>
      <c r="I1066" t="str">
        <f>+IFERROR(VLOOKUP(D1066,Conceptos_Analítica_contraloría[#All],2,0),"")</f>
        <v/>
      </c>
      <c r="J1066" s="84" t="str">
        <f>+IFERROR(VLOOKUP(D1066,Conceptos_Analítica_contraloría[#All],3,0),"")</f>
        <v/>
      </c>
    </row>
    <row r="1067" spans="3:10" ht="18.75" customHeight="1" x14ac:dyDescent="0.35">
      <c r="C1067" s="100" t="str">
        <f>IF(OR(Fact_Analitica[[#This Row], [Año]]="",Fact_Analitica[[#This Row], [Mes]]=""),"",DATE(A1067,MATCH(B1067,{"enero","febrero","marzo","abril","mayo","junio","julio","agosto","septiembre","octubre","noviembre","diciembre"},0)+1,0))</f>
        <v/>
      </c>
      <c r="E1067" t="str">
        <f>+IFERROR(VLOOKUP(Fact_Analitica[[#This Row], [Concepto Anterior]],Conceptos_Analítica_contraloría[#All],5,0),"")</f>
        <v/>
      </c>
      <c r="F1067" t="str">
        <f>+IFERROR(VLOOKUP(Fact_Analitica[[#This Row], [Concepto Anterior]],Conceptos_Analítica_contraloría[#All],7,0),"")</f>
        <v/>
      </c>
      <c r="I1067" t="str">
        <f>+IFERROR(VLOOKUP(D1067,Conceptos_Analítica_contraloría[#All],2,0),"")</f>
        <v/>
      </c>
      <c r="J1067" s="84" t="str">
        <f>+IFERROR(VLOOKUP(D1067,Conceptos_Analítica_contraloría[#All],3,0),"")</f>
        <v/>
      </c>
    </row>
    <row r="1068" spans="3:10" ht="18.75" customHeight="1" x14ac:dyDescent="0.35">
      <c r="C1068" s="100" t="str">
        <f>IF(OR(Fact_Analitica[[#This Row], [Año]]="",Fact_Analitica[[#This Row], [Mes]]=""),"",DATE(A1068,MATCH(B1068,{"enero","febrero","marzo","abril","mayo","junio","julio","agosto","septiembre","octubre","noviembre","diciembre"},0)+1,0))</f>
        <v/>
      </c>
      <c r="E1068" t="str">
        <f>+IFERROR(VLOOKUP(Fact_Analitica[[#This Row], [Concepto Anterior]],Conceptos_Analítica_contraloría[#All],5,0),"")</f>
        <v/>
      </c>
      <c r="F1068" t="str">
        <f>+IFERROR(VLOOKUP(Fact_Analitica[[#This Row], [Concepto Anterior]],Conceptos_Analítica_contraloría[#All],7,0),"")</f>
        <v/>
      </c>
      <c r="I1068" t="str">
        <f>+IFERROR(VLOOKUP(D1068,Conceptos_Analítica_contraloría[#All],2,0),"")</f>
        <v/>
      </c>
      <c r="J1068" s="84" t="str">
        <f>+IFERROR(VLOOKUP(D1068,Conceptos_Analítica_contraloría[#All],3,0),"")</f>
        <v/>
      </c>
    </row>
    <row r="1069" spans="3:10" ht="18.75" customHeight="1" x14ac:dyDescent="0.35">
      <c r="C1069" s="100" t="str">
        <f>IF(OR(Fact_Analitica[[#This Row], [Año]]="",Fact_Analitica[[#This Row], [Mes]]=""),"",DATE(A1069,MATCH(B1069,{"enero","febrero","marzo","abril","mayo","junio","julio","agosto","septiembre","octubre","noviembre","diciembre"},0)+1,0))</f>
        <v/>
      </c>
      <c r="E1069" t="str">
        <f>+IFERROR(VLOOKUP(Fact_Analitica[[#This Row], [Concepto Anterior]],Conceptos_Analítica_contraloría[#All],5,0),"")</f>
        <v/>
      </c>
      <c r="F1069" t="str">
        <f>+IFERROR(VLOOKUP(Fact_Analitica[[#This Row], [Concepto Anterior]],Conceptos_Analítica_contraloría[#All],7,0),"")</f>
        <v/>
      </c>
      <c r="I1069" t="str">
        <f>+IFERROR(VLOOKUP(D1069,Conceptos_Analítica_contraloría[#All],2,0),"")</f>
        <v/>
      </c>
      <c r="J1069" s="84" t="str">
        <f>+IFERROR(VLOOKUP(D1069,Conceptos_Analítica_contraloría[#All],3,0),"")</f>
        <v/>
      </c>
    </row>
    <row r="1070" spans="3:10" ht="18.75" customHeight="1" x14ac:dyDescent="0.35">
      <c r="C1070" s="100" t="str">
        <f>IF(OR(Fact_Analitica[[#This Row], [Año]]="",Fact_Analitica[[#This Row], [Mes]]=""),"",DATE(A1070,MATCH(B1070,{"enero","febrero","marzo","abril","mayo","junio","julio","agosto","septiembre","octubre","noviembre","diciembre"},0)+1,0))</f>
        <v/>
      </c>
      <c r="E1070" t="str">
        <f>+IFERROR(VLOOKUP(Fact_Analitica[[#This Row], [Concepto Anterior]],Conceptos_Analítica_contraloría[#All],5,0),"")</f>
        <v/>
      </c>
      <c r="F1070" t="str">
        <f>+IFERROR(VLOOKUP(Fact_Analitica[[#This Row], [Concepto Anterior]],Conceptos_Analítica_contraloría[#All],7,0),"")</f>
        <v/>
      </c>
      <c r="I1070" t="str">
        <f>+IFERROR(VLOOKUP(D1070,Conceptos_Analítica_contraloría[#All],2,0),"")</f>
        <v/>
      </c>
      <c r="J1070" s="84" t="str">
        <f>+IFERROR(VLOOKUP(D1070,Conceptos_Analítica_contraloría[#All],3,0),"")</f>
        <v/>
      </c>
    </row>
    <row r="1071" spans="3:10" ht="18.75" customHeight="1" x14ac:dyDescent="0.35">
      <c r="C1071" s="100" t="str">
        <f>IF(OR(Fact_Analitica[[#This Row], [Año]]="",Fact_Analitica[[#This Row], [Mes]]=""),"",DATE(A1071,MATCH(B1071,{"enero","febrero","marzo","abril","mayo","junio","julio","agosto","septiembre","octubre","noviembre","diciembre"},0)+1,0))</f>
        <v/>
      </c>
      <c r="E1071" t="str">
        <f>+IFERROR(VLOOKUP(Fact_Analitica[[#This Row], [Concepto Anterior]],Conceptos_Analítica_contraloría[#All],5,0),"")</f>
        <v/>
      </c>
      <c r="F1071" t="str">
        <f>+IFERROR(VLOOKUP(Fact_Analitica[[#This Row], [Concepto Anterior]],Conceptos_Analítica_contraloría[#All],7,0),"")</f>
        <v/>
      </c>
      <c r="I1071" t="str">
        <f>+IFERROR(VLOOKUP(D1071,Conceptos_Analítica_contraloría[#All],2,0),"")</f>
        <v/>
      </c>
      <c r="J1071" s="84" t="str">
        <f>+IFERROR(VLOOKUP(D1071,Conceptos_Analítica_contraloría[#All],3,0),"")</f>
        <v/>
      </c>
    </row>
    <row r="1072" spans="3:10" ht="18.75" customHeight="1" x14ac:dyDescent="0.35">
      <c r="C1072" s="100" t="str">
        <f>IF(OR(Fact_Analitica[[#This Row], [Año]]="",Fact_Analitica[[#This Row], [Mes]]=""),"",DATE(A1072,MATCH(B1072,{"enero","febrero","marzo","abril","mayo","junio","julio","agosto","septiembre","octubre","noviembre","diciembre"},0)+1,0))</f>
        <v/>
      </c>
      <c r="E1072" t="str">
        <f>+IFERROR(VLOOKUP(Fact_Analitica[[#This Row], [Concepto Anterior]],Conceptos_Analítica_contraloría[#All],5,0),"")</f>
        <v/>
      </c>
      <c r="F1072" t="str">
        <f>+IFERROR(VLOOKUP(Fact_Analitica[[#This Row], [Concepto Anterior]],Conceptos_Analítica_contraloría[#All],7,0),"")</f>
        <v/>
      </c>
      <c r="I1072" t="str">
        <f>+IFERROR(VLOOKUP(D1072,Conceptos_Analítica_contraloría[#All],2,0),"")</f>
        <v/>
      </c>
      <c r="J1072" s="84" t="str">
        <f>+IFERROR(VLOOKUP(D1072,Conceptos_Analítica_contraloría[#All],3,0),"")</f>
        <v/>
      </c>
    </row>
    <row r="1073" spans="3:10" ht="18.75" customHeight="1" x14ac:dyDescent="0.35">
      <c r="C1073" s="100" t="str">
        <f>IF(OR(Fact_Analitica[[#This Row], [Año]]="",Fact_Analitica[[#This Row], [Mes]]=""),"",DATE(A1073,MATCH(B1073,{"enero","febrero","marzo","abril","mayo","junio","julio","agosto","septiembre","octubre","noviembre","diciembre"},0)+1,0))</f>
        <v/>
      </c>
      <c r="E1073" t="str">
        <f>+IFERROR(VLOOKUP(Fact_Analitica[[#This Row], [Concepto Anterior]],Conceptos_Analítica_contraloría[#All],5,0),"")</f>
        <v/>
      </c>
      <c r="F1073" t="str">
        <f>+IFERROR(VLOOKUP(Fact_Analitica[[#This Row], [Concepto Anterior]],Conceptos_Analítica_contraloría[#All],7,0),"")</f>
        <v/>
      </c>
      <c r="I1073" t="str">
        <f>+IFERROR(VLOOKUP(D1073,Conceptos_Analítica_contraloría[#All],2,0),"")</f>
        <v/>
      </c>
      <c r="J1073" s="84" t="str">
        <f>+IFERROR(VLOOKUP(D1073,Conceptos_Analítica_contraloría[#All],3,0),"")</f>
        <v/>
      </c>
    </row>
    <row r="1074" spans="3:10" ht="18.75" customHeight="1" x14ac:dyDescent="0.35">
      <c r="C1074" s="100" t="str">
        <f>IF(OR(Fact_Analitica[[#This Row], [Año]]="",Fact_Analitica[[#This Row], [Mes]]=""),"",DATE(A1074,MATCH(B1074,{"enero","febrero","marzo","abril","mayo","junio","julio","agosto","septiembre","octubre","noviembre","diciembre"},0)+1,0))</f>
        <v/>
      </c>
      <c r="E1074" t="str">
        <f>+IFERROR(VLOOKUP(Fact_Analitica[[#This Row], [Concepto Anterior]],Conceptos_Analítica_contraloría[#All],5,0),"")</f>
        <v/>
      </c>
      <c r="F1074" t="str">
        <f>+IFERROR(VLOOKUP(Fact_Analitica[[#This Row], [Concepto Anterior]],Conceptos_Analítica_contraloría[#All],7,0),"")</f>
        <v/>
      </c>
      <c r="I1074" t="str">
        <f>+IFERROR(VLOOKUP(D1074,Conceptos_Analítica_contraloría[#All],2,0),"")</f>
        <v/>
      </c>
      <c r="J1074" s="84" t="str">
        <f>+IFERROR(VLOOKUP(D1074,Conceptos_Analítica_contraloría[#All],3,0),"")</f>
        <v/>
      </c>
    </row>
    <row r="1075" spans="3:10" ht="18.75" customHeight="1" x14ac:dyDescent="0.35">
      <c r="C1075" s="100" t="str">
        <f>IF(OR(Fact_Analitica[[#This Row], [Año]]="",Fact_Analitica[[#This Row], [Mes]]=""),"",DATE(A1075,MATCH(B1075,{"enero","febrero","marzo","abril","mayo","junio","julio","agosto","septiembre","octubre","noviembre","diciembre"},0)+1,0))</f>
        <v/>
      </c>
      <c r="E1075" t="str">
        <f>+IFERROR(VLOOKUP(Fact_Analitica[[#This Row], [Concepto Anterior]],Conceptos_Analítica_contraloría[#All],5,0),"")</f>
        <v/>
      </c>
      <c r="F1075" t="str">
        <f>+IFERROR(VLOOKUP(Fact_Analitica[[#This Row], [Concepto Anterior]],Conceptos_Analítica_contraloría[#All],7,0),"")</f>
        <v/>
      </c>
      <c r="I1075" t="str">
        <f>+IFERROR(VLOOKUP(D1075,Conceptos_Analítica_contraloría[#All],2,0),"")</f>
        <v/>
      </c>
      <c r="J1075" s="84" t="str">
        <f>+IFERROR(VLOOKUP(D1075,Conceptos_Analítica_contraloría[#All],3,0),"")</f>
        <v/>
      </c>
    </row>
    <row r="1076" spans="3:10" ht="18.75" customHeight="1" x14ac:dyDescent="0.35">
      <c r="C1076" s="100" t="str">
        <f>IF(OR(Fact_Analitica[[#This Row], [Año]]="",Fact_Analitica[[#This Row], [Mes]]=""),"",DATE(A1076,MATCH(B1076,{"enero","febrero","marzo","abril","mayo","junio","julio","agosto","septiembre","octubre","noviembre","diciembre"},0)+1,0))</f>
        <v/>
      </c>
      <c r="E1076" t="str">
        <f>+IFERROR(VLOOKUP(Fact_Analitica[[#This Row], [Concepto Anterior]],Conceptos_Analítica_contraloría[#All],5,0),"")</f>
        <v/>
      </c>
      <c r="F1076" t="str">
        <f>+IFERROR(VLOOKUP(Fact_Analitica[[#This Row], [Concepto Anterior]],Conceptos_Analítica_contraloría[#All],7,0),"")</f>
        <v/>
      </c>
      <c r="I1076" t="str">
        <f>+IFERROR(VLOOKUP(D1076,Conceptos_Analítica_contraloría[#All],2,0),"")</f>
        <v/>
      </c>
      <c r="J1076" s="84" t="str">
        <f>+IFERROR(VLOOKUP(D1076,Conceptos_Analítica_contraloría[#All],3,0),"")</f>
        <v/>
      </c>
    </row>
    <row r="1077" spans="3:10" ht="18.75" customHeight="1" x14ac:dyDescent="0.35">
      <c r="C1077" s="100" t="str">
        <f>IF(OR(Fact_Analitica[[#This Row], [Año]]="",Fact_Analitica[[#This Row], [Mes]]=""),"",DATE(A1077,MATCH(B1077,{"enero","febrero","marzo","abril","mayo","junio","julio","agosto","septiembre","octubre","noviembre","diciembre"},0)+1,0))</f>
        <v/>
      </c>
      <c r="E1077" t="str">
        <f>+IFERROR(VLOOKUP(Fact_Analitica[[#This Row], [Concepto Anterior]],Conceptos_Analítica_contraloría[#All],5,0),"")</f>
        <v/>
      </c>
      <c r="F1077" t="str">
        <f>+IFERROR(VLOOKUP(Fact_Analitica[[#This Row], [Concepto Anterior]],Conceptos_Analítica_contraloría[#All],7,0),"")</f>
        <v/>
      </c>
      <c r="I1077" t="str">
        <f>+IFERROR(VLOOKUP(D1077,Conceptos_Analítica_contraloría[#All],2,0),"")</f>
        <v/>
      </c>
      <c r="J1077" s="84" t="str">
        <f>+IFERROR(VLOOKUP(D1077,Conceptos_Analítica_contraloría[#All],3,0),"")</f>
        <v/>
      </c>
    </row>
    <row r="1078" spans="3:10" ht="18.75" customHeight="1" x14ac:dyDescent="0.35">
      <c r="C1078" s="100" t="str">
        <f>IF(OR(Fact_Analitica[[#This Row], [Año]]="",Fact_Analitica[[#This Row], [Mes]]=""),"",DATE(A1078,MATCH(B1078,{"enero","febrero","marzo","abril","mayo","junio","julio","agosto","septiembre","octubre","noviembre","diciembre"},0)+1,0))</f>
        <v/>
      </c>
      <c r="E1078" t="str">
        <f>+IFERROR(VLOOKUP(Fact_Analitica[[#This Row], [Concepto Anterior]],Conceptos_Analítica_contraloría[#All],5,0),"")</f>
        <v/>
      </c>
      <c r="F1078" t="str">
        <f>+IFERROR(VLOOKUP(Fact_Analitica[[#This Row], [Concepto Anterior]],Conceptos_Analítica_contraloría[#All],7,0),"")</f>
        <v/>
      </c>
      <c r="I1078" t="str">
        <f>+IFERROR(VLOOKUP(D1078,Conceptos_Analítica_contraloría[#All],2,0),"")</f>
        <v/>
      </c>
      <c r="J1078" s="84" t="str">
        <f>+IFERROR(VLOOKUP(D1078,Conceptos_Analítica_contraloría[#All],3,0),"")</f>
        <v/>
      </c>
    </row>
    <row r="1079" spans="3:10" ht="18.75" customHeight="1" x14ac:dyDescent="0.35">
      <c r="C1079" s="100" t="str">
        <f>IF(OR(Fact_Analitica[[#This Row], [Año]]="",Fact_Analitica[[#This Row], [Mes]]=""),"",DATE(A1079,MATCH(B1079,{"enero","febrero","marzo","abril","mayo","junio","julio","agosto","septiembre","octubre","noviembre","diciembre"},0)+1,0))</f>
        <v/>
      </c>
      <c r="E1079" t="str">
        <f>+IFERROR(VLOOKUP(Fact_Analitica[[#This Row], [Concepto Anterior]],Conceptos_Analítica_contraloría[#All],5,0),"")</f>
        <v/>
      </c>
      <c r="F1079" t="str">
        <f>+IFERROR(VLOOKUP(Fact_Analitica[[#This Row], [Concepto Anterior]],Conceptos_Analítica_contraloría[#All],7,0),"")</f>
        <v/>
      </c>
      <c r="I1079" t="str">
        <f>+IFERROR(VLOOKUP(D1079,Conceptos_Analítica_contraloría[#All],2,0),"")</f>
        <v/>
      </c>
      <c r="J1079" s="84" t="str">
        <f>+IFERROR(VLOOKUP(D1079,Conceptos_Analítica_contraloría[#All],3,0),"")</f>
        <v/>
      </c>
    </row>
    <row r="1080" spans="3:10" ht="18.75" customHeight="1" x14ac:dyDescent="0.35">
      <c r="C1080" s="100" t="str">
        <f>IF(OR(Fact_Analitica[[#This Row], [Año]]="",Fact_Analitica[[#This Row], [Mes]]=""),"",DATE(A1080,MATCH(B1080,{"enero","febrero","marzo","abril","mayo","junio","julio","agosto","septiembre","octubre","noviembre","diciembre"},0)+1,0))</f>
        <v/>
      </c>
      <c r="E1080" t="str">
        <f>+IFERROR(VLOOKUP(Fact_Analitica[[#This Row], [Concepto Anterior]],Conceptos_Analítica_contraloría[#All],5,0),"")</f>
        <v/>
      </c>
      <c r="F1080" t="str">
        <f>+IFERROR(VLOOKUP(Fact_Analitica[[#This Row], [Concepto Anterior]],Conceptos_Analítica_contraloría[#All],7,0),"")</f>
        <v/>
      </c>
      <c r="I1080" t="str">
        <f>+IFERROR(VLOOKUP(D1080,Conceptos_Analítica_contraloría[#All],2,0),"")</f>
        <v/>
      </c>
      <c r="J1080" s="84" t="str">
        <f>+IFERROR(VLOOKUP(D1080,Conceptos_Analítica_contraloría[#All],3,0),"")</f>
        <v/>
      </c>
    </row>
    <row r="1081" spans="3:10" ht="18.75" customHeight="1" x14ac:dyDescent="0.35">
      <c r="C1081" s="100" t="str">
        <f>IF(OR(Fact_Analitica[[#This Row], [Año]]="",Fact_Analitica[[#This Row], [Mes]]=""),"",DATE(A1081,MATCH(B1081,{"enero","febrero","marzo","abril","mayo","junio","julio","agosto","septiembre","octubre","noviembre","diciembre"},0)+1,0))</f>
        <v/>
      </c>
      <c r="E1081" t="str">
        <f>+IFERROR(VLOOKUP(Fact_Analitica[[#This Row], [Concepto Anterior]],Conceptos_Analítica_contraloría[#All],5,0),"")</f>
        <v/>
      </c>
      <c r="F1081" t="str">
        <f>+IFERROR(VLOOKUP(Fact_Analitica[[#This Row], [Concepto Anterior]],Conceptos_Analítica_contraloría[#All],7,0),"")</f>
        <v/>
      </c>
      <c r="I1081" t="str">
        <f>+IFERROR(VLOOKUP(D1081,Conceptos_Analítica_contraloría[#All],2,0),"")</f>
        <v/>
      </c>
      <c r="J1081" s="84" t="str">
        <f>+IFERROR(VLOOKUP(D1081,Conceptos_Analítica_contraloría[#All],3,0),"")</f>
        <v/>
      </c>
    </row>
    <row r="1082" spans="3:10" ht="18.75" customHeight="1" x14ac:dyDescent="0.35">
      <c r="C1082" s="100" t="str">
        <f>IF(OR(Fact_Analitica[[#This Row], [Año]]="",Fact_Analitica[[#This Row], [Mes]]=""),"",DATE(A1082,MATCH(B1082,{"enero","febrero","marzo","abril","mayo","junio","julio","agosto","septiembre","octubre","noviembre","diciembre"},0)+1,0))</f>
        <v/>
      </c>
      <c r="E1082" t="str">
        <f>+IFERROR(VLOOKUP(Fact_Analitica[[#This Row], [Concepto Anterior]],Conceptos_Analítica_contraloría[#All],5,0),"")</f>
        <v/>
      </c>
      <c r="F1082" t="str">
        <f>+IFERROR(VLOOKUP(Fact_Analitica[[#This Row], [Concepto Anterior]],Conceptos_Analítica_contraloría[#All],7,0),"")</f>
        <v/>
      </c>
      <c r="I1082" t="str">
        <f>+IFERROR(VLOOKUP(D1082,Conceptos_Analítica_contraloría[#All],2,0),"")</f>
        <v/>
      </c>
      <c r="J1082" s="84" t="str">
        <f>+IFERROR(VLOOKUP(D1082,Conceptos_Analítica_contraloría[#All],3,0),"")</f>
        <v/>
      </c>
    </row>
    <row r="1083" spans="3:10" ht="18.75" customHeight="1" x14ac:dyDescent="0.35">
      <c r="C1083" s="100" t="str">
        <f>IF(OR(Fact_Analitica[[#This Row], [Año]]="",Fact_Analitica[[#This Row], [Mes]]=""),"",DATE(A1083,MATCH(B1083,{"enero","febrero","marzo","abril","mayo","junio","julio","agosto","septiembre","octubre","noviembre","diciembre"},0)+1,0))</f>
        <v/>
      </c>
      <c r="E1083" t="str">
        <f>+IFERROR(VLOOKUP(Fact_Analitica[[#This Row], [Concepto Anterior]],Conceptos_Analítica_contraloría[#All],5,0),"")</f>
        <v/>
      </c>
      <c r="F1083" t="str">
        <f>+IFERROR(VLOOKUP(Fact_Analitica[[#This Row], [Concepto Anterior]],Conceptos_Analítica_contraloría[#All],7,0),"")</f>
        <v/>
      </c>
      <c r="I1083" t="str">
        <f>+IFERROR(VLOOKUP(D1083,Conceptos_Analítica_contraloría[#All],2,0),"")</f>
        <v/>
      </c>
      <c r="J1083" s="84" t="str">
        <f>+IFERROR(VLOOKUP(D1083,Conceptos_Analítica_contraloría[#All],3,0),"")</f>
        <v/>
      </c>
    </row>
    <row r="1084" spans="3:10" ht="18.75" customHeight="1" x14ac:dyDescent="0.35">
      <c r="C1084" s="100" t="str">
        <f>IF(OR(Fact_Analitica[[#This Row], [Año]]="",Fact_Analitica[[#This Row], [Mes]]=""),"",DATE(A1084,MATCH(B1084,{"enero","febrero","marzo","abril","mayo","junio","julio","agosto","septiembre","octubre","noviembre","diciembre"},0)+1,0))</f>
        <v/>
      </c>
      <c r="E1084" t="str">
        <f>+IFERROR(VLOOKUP(Fact_Analitica[[#This Row], [Concepto Anterior]],Conceptos_Analítica_contraloría[#All],5,0),"")</f>
        <v/>
      </c>
      <c r="F1084" t="str">
        <f>+IFERROR(VLOOKUP(Fact_Analitica[[#This Row], [Concepto Anterior]],Conceptos_Analítica_contraloría[#All],7,0),"")</f>
        <v/>
      </c>
      <c r="I1084" t="str">
        <f>+IFERROR(VLOOKUP(D1084,Conceptos_Analítica_contraloría[#All],2,0),"")</f>
        <v/>
      </c>
      <c r="J1084" s="84" t="str">
        <f>+IFERROR(VLOOKUP(D1084,Conceptos_Analítica_contraloría[#All],3,0),"")</f>
        <v/>
      </c>
    </row>
    <row r="1085" spans="3:10" ht="18.75" customHeight="1" x14ac:dyDescent="0.35">
      <c r="C1085" s="100" t="str">
        <f>IF(OR(Fact_Analitica[[#This Row], [Año]]="",Fact_Analitica[[#This Row], [Mes]]=""),"",DATE(A1085,MATCH(B1085,{"enero","febrero","marzo","abril","mayo","junio","julio","agosto","septiembre","octubre","noviembre","diciembre"},0)+1,0))</f>
        <v/>
      </c>
      <c r="E1085" t="str">
        <f>+IFERROR(VLOOKUP(Fact_Analitica[[#This Row], [Concepto Anterior]],Conceptos_Analítica_contraloría[#All],5,0),"")</f>
        <v/>
      </c>
      <c r="F1085" t="str">
        <f>+IFERROR(VLOOKUP(Fact_Analitica[[#This Row], [Concepto Anterior]],Conceptos_Analítica_contraloría[#All],7,0),"")</f>
        <v/>
      </c>
      <c r="I1085" t="str">
        <f>+IFERROR(VLOOKUP(D1085,Conceptos_Analítica_contraloría[#All],2,0),"")</f>
        <v/>
      </c>
      <c r="J1085" s="84" t="str">
        <f>+IFERROR(VLOOKUP(D1085,Conceptos_Analítica_contraloría[#All],3,0),"")</f>
        <v/>
      </c>
    </row>
    <row r="1086" spans="3:10" ht="18.75" customHeight="1" x14ac:dyDescent="0.35">
      <c r="C1086" s="100" t="str">
        <f>IF(OR(Fact_Analitica[[#This Row], [Año]]="",Fact_Analitica[[#This Row], [Mes]]=""),"",DATE(A1086,MATCH(B1086,{"enero","febrero","marzo","abril","mayo","junio","julio","agosto","septiembre","octubre","noviembre","diciembre"},0)+1,0))</f>
        <v/>
      </c>
      <c r="E1086" t="str">
        <f>+IFERROR(VLOOKUP(Fact_Analitica[[#This Row], [Concepto Anterior]],Conceptos_Analítica_contraloría[#All],5,0),"")</f>
        <v/>
      </c>
      <c r="F1086" t="str">
        <f>+IFERROR(VLOOKUP(Fact_Analitica[[#This Row], [Concepto Anterior]],Conceptos_Analítica_contraloría[#All],7,0),"")</f>
        <v/>
      </c>
      <c r="I1086" t="str">
        <f>+IFERROR(VLOOKUP(D1086,Conceptos_Analítica_contraloría[#All],2,0),"")</f>
        <v/>
      </c>
      <c r="J1086" s="84" t="str">
        <f>+IFERROR(VLOOKUP(D1086,Conceptos_Analítica_contraloría[#All],3,0),"")</f>
        <v/>
      </c>
    </row>
    <row r="1087" spans="3:10" ht="18.75" customHeight="1" x14ac:dyDescent="0.35">
      <c r="C1087" s="100" t="str">
        <f>IF(OR(Fact_Analitica[[#This Row], [Año]]="",Fact_Analitica[[#This Row], [Mes]]=""),"",DATE(A1087,MATCH(B1087,{"enero","febrero","marzo","abril","mayo","junio","julio","agosto","septiembre","octubre","noviembre","diciembre"},0)+1,0))</f>
        <v/>
      </c>
      <c r="E1087" t="str">
        <f>+IFERROR(VLOOKUP(Fact_Analitica[[#This Row], [Concepto Anterior]],Conceptos_Analítica_contraloría[#All],5,0),"")</f>
        <v/>
      </c>
      <c r="F1087" t="str">
        <f>+IFERROR(VLOOKUP(Fact_Analitica[[#This Row], [Concepto Anterior]],Conceptos_Analítica_contraloría[#All],7,0),"")</f>
        <v/>
      </c>
      <c r="I1087" t="str">
        <f>+IFERROR(VLOOKUP(D1087,Conceptos_Analítica_contraloría[#All],2,0),"")</f>
        <v/>
      </c>
      <c r="J1087" s="84" t="str">
        <f>+IFERROR(VLOOKUP(D1087,Conceptos_Analítica_contraloría[#All],3,0),"")</f>
        <v/>
      </c>
    </row>
    <row r="1088" spans="3:10" ht="18.75" customHeight="1" x14ac:dyDescent="0.35">
      <c r="C1088" s="100" t="str">
        <f>IF(OR(Fact_Analitica[[#This Row], [Año]]="",Fact_Analitica[[#This Row], [Mes]]=""),"",DATE(A1088,MATCH(B1088,{"enero","febrero","marzo","abril","mayo","junio","julio","agosto","septiembre","octubre","noviembre","diciembre"},0)+1,0))</f>
        <v/>
      </c>
      <c r="E1088" t="str">
        <f>+IFERROR(VLOOKUP(Fact_Analitica[[#This Row], [Concepto Anterior]],Conceptos_Analítica_contraloría[#All],5,0),"")</f>
        <v/>
      </c>
      <c r="F1088" t="str">
        <f>+IFERROR(VLOOKUP(Fact_Analitica[[#This Row], [Concepto Anterior]],Conceptos_Analítica_contraloría[#All],7,0),"")</f>
        <v/>
      </c>
      <c r="I1088" t="str">
        <f>+IFERROR(VLOOKUP(D1088,Conceptos_Analítica_contraloría[#All],2,0),"")</f>
        <v/>
      </c>
      <c r="J1088" s="84" t="str">
        <f>+IFERROR(VLOOKUP(D1088,Conceptos_Analítica_contraloría[#All],3,0),"")</f>
        <v/>
      </c>
    </row>
    <row r="1089" spans="3:10" ht="18.75" customHeight="1" x14ac:dyDescent="0.35">
      <c r="C1089" s="100" t="str">
        <f>IF(OR(Fact_Analitica[[#This Row], [Año]]="",Fact_Analitica[[#This Row], [Mes]]=""),"",DATE(A1089,MATCH(B1089,{"enero","febrero","marzo","abril","mayo","junio","julio","agosto","septiembre","octubre","noviembre","diciembre"},0)+1,0))</f>
        <v/>
      </c>
      <c r="E1089" t="str">
        <f>+IFERROR(VLOOKUP(Fact_Analitica[[#This Row], [Concepto Anterior]],Conceptos_Analítica_contraloría[#All],5,0),"")</f>
        <v/>
      </c>
      <c r="F1089" t="str">
        <f>+IFERROR(VLOOKUP(Fact_Analitica[[#This Row], [Concepto Anterior]],Conceptos_Analítica_contraloría[#All],7,0),"")</f>
        <v/>
      </c>
      <c r="I1089" t="str">
        <f>+IFERROR(VLOOKUP(D1089,Conceptos_Analítica_contraloría[#All],2,0),"")</f>
        <v/>
      </c>
      <c r="J1089" s="84" t="str">
        <f>+IFERROR(VLOOKUP(D1089,Conceptos_Analítica_contraloría[#All],3,0),"")</f>
        <v/>
      </c>
    </row>
    <row r="1090" spans="3:10" ht="18.75" customHeight="1" x14ac:dyDescent="0.35">
      <c r="C1090" s="100" t="str">
        <f>IF(OR(Fact_Analitica[[#This Row], [Año]]="",Fact_Analitica[[#This Row], [Mes]]=""),"",DATE(A1090,MATCH(B1090,{"enero","febrero","marzo","abril","mayo","junio","julio","agosto","septiembre","octubre","noviembre","diciembre"},0)+1,0))</f>
        <v/>
      </c>
      <c r="E1090" t="str">
        <f>+IFERROR(VLOOKUP(Fact_Analitica[[#This Row], [Concepto Anterior]],Conceptos_Analítica_contraloría[#All],5,0),"")</f>
        <v/>
      </c>
      <c r="F1090" t="str">
        <f>+IFERROR(VLOOKUP(Fact_Analitica[[#This Row], [Concepto Anterior]],Conceptos_Analítica_contraloría[#All],7,0),"")</f>
        <v/>
      </c>
      <c r="I1090" t="str">
        <f>+IFERROR(VLOOKUP(D1090,Conceptos_Analítica_contraloría[#All],2,0),"")</f>
        <v/>
      </c>
      <c r="J1090" s="84" t="str">
        <f>+IFERROR(VLOOKUP(D1090,Conceptos_Analítica_contraloría[#All],3,0),"")</f>
        <v/>
      </c>
    </row>
    <row r="1091" spans="3:10" ht="18.75" customHeight="1" x14ac:dyDescent="0.35">
      <c r="C1091" s="100" t="str">
        <f>IF(OR(Fact_Analitica[[#This Row], [Año]]="",Fact_Analitica[[#This Row], [Mes]]=""),"",DATE(A1091,MATCH(B1091,{"enero","febrero","marzo","abril","mayo","junio","julio","agosto","septiembre","octubre","noviembre","diciembre"},0)+1,0))</f>
        <v/>
      </c>
      <c r="E1091" t="str">
        <f>+IFERROR(VLOOKUP(Fact_Analitica[[#This Row], [Concepto Anterior]],Conceptos_Analítica_contraloría[#All],5,0),"")</f>
        <v/>
      </c>
      <c r="F1091" t="str">
        <f>+IFERROR(VLOOKUP(Fact_Analitica[[#This Row], [Concepto Anterior]],Conceptos_Analítica_contraloría[#All],7,0),"")</f>
        <v/>
      </c>
      <c r="I1091" t="str">
        <f>+IFERROR(VLOOKUP(D1091,Conceptos_Analítica_contraloría[#All],2,0),"")</f>
        <v/>
      </c>
      <c r="J1091" s="84" t="str">
        <f>+IFERROR(VLOOKUP(D1091,Conceptos_Analítica_contraloría[#All],3,0),"")</f>
        <v/>
      </c>
    </row>
    <row r="1092" spans="3:10" ht="18.75" customHeight="1" x14ac:dyDescent="0.35">
      <c r="C1092" s="100" t="str">
        <f>IF(OR(Fact_Analitica[[#This Row], [Año]]="",Fact_Analitica[[#This Row], [Mes]]=""),"",DATE(A1092,MATCH(B1092,{"enero","febrero","marzo","abril","mayo","junio","julio","agosto","septiembre","octubre","noviembre","diciembre"},0)+1,0))</f>
        <v/>
      </c>
      <c r="E1092" t="str">
        <f>+IFERROR(VLOOKUP(Fact_Analitica[[#This Row], [Concepto Anterior]],Conceptos_Analítica_contraloría[#All],5,0),"")</f>
        <v/>
      </c>
      <c r="F1092" t="str">
        <f>+IFERROR(VLOOKUP(Fact_Analitica[[#This Row], [Concepto Anterior]],Conceptos_Analítica_contraloría[#All],7,0),"")</f>
        <v/>
      </c>
      <c r="I1092" t="str">
        <f>+IFERROR(VLOOKUP(D1092,Conceptos_Analítica_contraloría[#All],2,0),"")</f>
        <v/>
      </c>
      <c r="J1092" s="84" t="str">
        <f>+IFERROR(VLOOKUP(D1092,Conceptos_Analítica_contraloría[#All],3,0),"")</f>
        <v/>
      </c>
    </row>
    <row r="1093" spans="3:10" ht="18.75" customHeight="1" x14ac:dyDescent="0.35">
      <c r="C1093" s="100" t="str">
        <f>IF(OR(Fact_Analitica[[#This Row], [Año]]="",Fact_Analitica[[#This Row], [Mes]]=""),"",DATE(A1093,MATCH(B1093,{"enero","febrero","marzo","abril","mayo","junio","julio","agosto","septiembre","octubre","noviembre","diciembre"},0)+1,0))</f>
        <v/>
      </c>
      <c r="E1093" t="str">
        <f>+IFERROR(VLOOKUP(Fact_Analitica[[#This Row], [Concepto Anterior]],Conceptos_Analítica_contraloría[#All],5,0),"")</f>
        <v/>
      </c>
      <c r="F1093" t="str">
        <f>+IFERROR(VLOOKUP(Fact_Analitica[[#This Row], [Concepto Anterior]],Conceptos_Analítica_contraloría[#All],7,0),"")</f>
        <v/>
      </c>
      <c r="I1093" t="str">
        <f>+IFERROR(VLOOKUP(D1093,Conceptos_Analítica_contraloría[#All],2,0),"")</f>
        <v/>
      </c>
      <c r="J1093" s="84" t="str">
        <f>+IFERROR(VLOOKUP(D1093,Conceptos_Analítica_contraloría[#All],3,0),"")</f>
        <v/>
      </c>
    </row>
    <row r="1094" spans="3:10" ht="18.75" customHeight="1" x14ac:dyDescent="0.35">
      <c r="C1094" s="100" t="str">
        <f>IF(OR(Fact_Analitica[[#This Row], [Año]]="",Fact_Analitica[[#This Row], [Mes]]=""),"",DATE(A1094,MATCH(B1094,{"enero","febrero","marzo","abril","mayo","junio","julio","agosto","septiembre","octubre","noviembre","diciembre"},0)+1,0))</f>
        <v/>
      </c>
      <c r="E1094" t="str">
        <f>+IFERROR(VLOOKUP(Fact_Analitica[[#This Row], [Concepto Anterior]],Conceptos_Analítica_contraloría[#All],5,0),"")</f>
        <v/>
      </c>
      <c r="F1094" t="str">
        <f>+IFERROR(VLOOKUP(Fact_Analitica[[#This Row], [Concepto Anterior]],Conceptos_Analítica_contraloría[#All],7,0),"")</f>
        <v/>
      </c>
      <c r="I1094" t="str">
        <f>+IFERROR(VLOOKUP(D1094,Conceptos_Analítica_contraloría[#All],2,0),"")</f>
        <v/>
      </c>
      <c r="J1094" s="84" t="str">
        <f>+IFERROR(VLOOKUP(D1094,Conceptos_Analítica_contraloría[#All],3,0),"")</f>
        <v/>
      </c>
    </row>
    <row r="1095" spans="3:10" ht="18.75" customHeight="1" x14ac:dyDescent="0.35">
      <c r="C1095" s="100" t="str">
        <f>IF(OR(Fact_Analitica[[#This Row], [Año]]="",Fact_Analitica[[#This Row], [Mes]]=""),"",DATE(A1095,MATCH(B1095,{"enero","febrero","marzo","abril","mayo","junio","julio","agosto","septiembre","octubre","noviembre","diciembre"},0)+1,0))</f>
        <v/>
      </c>
      <c r="E1095" t="str">
        <f>+IFERROR(VLOOKUP(Fact_Analitica[[#This Row], [Concepto Anterior]],Conceptos_Analítica_contraloría[#All],5,0),"")</f>
        <v/>
      </c>
      <c r="F1095" t="str">
        <f>+IFERROR(VLOOKUP(Fact_Analitica[[#This Row], [Concepto Anterior]],Conceptos_Analítica_contraloría[#All],7,0),"")</f>
        <v/>
      </c>
      <c r="I1095" t="str">
        <f>+IFERROR(VLOOKUP(D1095,Conceptos_Analítica_contraloría[#All],2,0),"")</f>
        <v/>
      </c>
      <c r="J1095" s="84" t="str">
        <f>+IFERROR(VLOOKUP(D1095,Conceptos_Analítica_contraloría[#All],3,0),"")</f>
        <v/>
      </c>
    </row>
    <row r="1096" spans="3:10" ht="18.75" customHeight="1" x14ac:dyDescent="0.35">
      <c r="C1096" s="100" t="str">
        <f>IF(OR(Fact_Analitica[[#This Row], [Año]]="",Fact_Analitica[[#This Row], [Mes]]=""),"",DATE(A1096,MATCH(B1096,{"enero","febrero","marzo","abril","mayo","junio","julio","agosto","septiembre","octubre","noviembre","diciembre"},0)+1,0))</f>
        <v/>
      </c>
      <c r="E1096" t="str">
        <f>+IFERROR(VLOOKUP(Fact_Analitica[[#This Row], [Concepto Anterior]],Conceptos_Analítica_contraloría[#All],5,0),"")</f>
        <v/>
      </c>
      <c r="F1096" t="str">
        <f>+IFERROR(VLOOKUP(Fact_Analitica[[#This Row], [Concepto Anterior]],Conceptos_Analítica_contraloría[#All],7,0),"")</f>
        <v/>
      </c>
      <c r="I1096" t="str">
        <f>+IFERROR(VLOOKUP(D1096,Conceptos_Analítica_contraloría[#All],2,0),"")</f>
        <v/>
      </c>
      <c r="J1096" s="84" t="str">
        <f>+IFERROR(VLOOKUP(D1096,Conceptos_Analítica_contraloría[#All],3,0),"")</f>
        <v/>
      </c>
    </row>
    <row r="1097" spans="3:10" ht="18.75" customHeight="1" x14ac:dyDescent="0.35">
      <c r="C1097" s="100" t="str">
        <f>IF(OR(Fact_Analitica[[#This Row], [Año]]="",Fact_Analitica[[#This Row], [Mes]]=""),"",DATE(A1097,MATCH(B1097,{"enero","febrero","marzo","abril","mayo","junio","julio","agosto","septiembre","octubre","noviembre","diciembre"},0)+1,0))</f>
        <v/>
      </c>
      <c r="E1097" t="str">
        <f>+IFERROR(VLOOKUP(Fact_Analitica[[#This Row], [Concepto Anterior]],Conceptos_Analítica_contraloría[#All],5,0),"")</f>
        <v/>
      </c>
      <c r="F1097" t="str">
        <f>+IFERROR(VLOOKUP(Fact_Analitica[[#This Row], [Concepto Anterior]],Conceptos_Analítica_contraloría[#All],7,0),"")</f>
        <v/>
      </c>
      <c r="I1097" t="str">
        <f>+IFERROR(VLOOKUP(D1097,Conceptos_Analítica_contraloría[#All],2,0),"")</f>
        <v/>
      </c>
      <c r="J1097" s="84" t="str">
        <f>+IFERROR(VLOOKUP(D1097,Conceptos_Analítica_contraloría[#All],3,0),"")</f>
        <v/>
      </c>
    </row>
    <row r="1098" spans="3:10" ht="18.75" customHeight="1" x14ac:dyDescent="0.35">
      <c r="C1098" s="100" t="str">
        <f>IF(OR(Fact_Analitica[[#This Row], [Año]]="",Fact_Analitica[[#This Row], [Mes]]=""),"",DATE(A1098,MATCH(B1098,{"enero","febrero","marzo","abril","mayo","junio","julio","agosto","septiembre","octubre","noviembre","diciembre"},0)+1,0))</f>
        <v/>
      </c>
      <c r="E1098" t="str">
        <f>+IFERROR(VLOOKUP(Fact_Analitica[[#This Row], [Concepto Anterior]],Conceptos_Analítica_contraloría[#All],5,0),"")</f>
        <v/>
      </c>
      <c r="F1098" t="str">
        <f>+IFERROR(VLOOKUP(Fact_Analitica[[#This Row], [Concepto Anterior]],Conceptos_Analítica_contraloría[#All],7,0),"")</f>
        <v/>
      </c>
      <c r="I1098" t="str">
        <f>+IFERROR(VLOOKUP(D1098,Conceptos_Analítica_contraloría[#All],2,0),"")</f>
        <v/>
      </c>
      <c r="J1098" s="84" t="str">
        <f>+IFERROR(VLOOKUP(D1098,Conceptos_Analítica_contraloría[#All],3,0),"")</f>
        <v/>
      </c>
    </row>
    <row r="1099" spans="3:10" ht="18.75" customHeight="1" x14ac:dyDescent="0.35">
      <c r="C1099" s="100" t="str">
        <f>IF(OR(Fact_Analitica[[#This Row], [Año]]="",Fact_Analitica[[#This Row], [Mes]]=""),"",DATE(A1099,MATCH(B1099,{"enero","febrero","marzo","abril","mayo","junio","julio","agosto","septiembre","octubre","noviembre","diciembre"},0)+1,0))</f>
        <v/>
      </c>
      <c r="E1099" t="str">
        <f>+IFERROR(VLOOKUP(Fact_Analitica[[#This Row], [Concepto Anterior]],Conceptos_Analítica_contraloría[#All],5,0),"")</f>
        <v/>
      </c>
      <c r="F1099" t="str">
        <f>+IFERROR(VLOOKUP(Fact_Analitica[[#This Row], [Concepto Anterior]],Conceptos_Analítica_contraloría[#All],7,0),"")</f>
        <v/>
      </c>
      <c r="I1099" t="str">
        <f>+IFERROR(VLOOKUP(D1099,Conceptos_Analítica_contraloría[#All],2,0),"")</f>
        <v/>
      </c>
      <c r="J1099" s="84" t="str">
        <f>+IFERROR(VLOOKUP(D1099,Conceptos_Analítica_contraloría[#All],3,0),"")</f>
        <v/>
      </c>
    </row>
    <row r="1100" spans="3:10" ht="18.75" customHeight="1" x14ac:dyDescent="0.35">
      <c r="C1100" s="100" t="str">
        <f>IF(OR(Fact_Analitica[[#This Row], [Año]]="",Fact_Analitica[[#This Row], [Mes]]=""),"",DATE(A1100,MATCH(B1100,{"enero","febrero","marzo","abril","mayo","junio","julio","agosto","septiembre","octubre","noviembre","diciembre"},0)+1,0))</f>
        <v/>
      </c>
      <c r="E1100" t="str">
        <f>+IFERROR(VLOOKUP(Fact_Analitica[[#This Row], [Concepto Anterior]],Conceptos_Analítica_contraloría[#All],5,0),"")</f>
        <v/>
      </c>
      <c r="F1100" t="str">
        <f>+IFERROR(VLOOKUP(Fact_Analitica[[#This Row], [Concepto Anterior]],Conceptos_Analítica_contraloría[#All],7,0),"")</f>
        <v/>
      </c>
      <c r="I1100" t="str">
        <f>+IFERROR(VLOOKUP(D1100,Conceptos_Analítica_contraloría[#All],2,0),"")</f>
        <v/>
      </c>
      <c r="J1100" s="84" t="str">
        <f>+IFERROR(VLOOKUP(D1100,Conceptos_Analítica_contraloría[#All],3,0),"")</f>
        <v/>
      </c>
    </row>
    <row r="1101" spans="3:10" ht="18.75" customHeight="1" x14ac:dyDescent="0.35">
      <c r="C1101" s="100" t="str">
        <f>IF(OR(Fact_Analitica[[#This Row], [Año]]="",Fact_Analitica[[#This Row], [Mes]]=""),"",DATE(A1101,MATCH(B1101,{"enero","febrero","marzo","abril","mayo","junio","julio","agosto","septiembre","octubre","noviembre","diciembre"},0)+1,0))</f>
        <v/>
      </c>
      <c r="E1101" t="str">
        <f>+IFERROR(VLOOKUP(Fact_Analitica[[#This Row], [Concepto Anterior]],Conceptos_Analítica_contraloría[#All],5,0),"")</f>
        <v/>
      </c>
      <c r="F1101" t="str">
        <f>+IFERROR(VLOOKUP(Fact_Analitica[[#This Row], [Concepto Anterior]],Conceptos_Analítica_contraloría[#All],7,0),"")</f>
        <v/>
      </c>
      <c r="I1101" t="str">
        <f>+IFERROR(VLOOKUP(D1101,Conceptos_Analítica_contraloría[#All],2,0),"")</f>
        <v/>
      </c>
      <c r="J1101" s="84" t="str">
        <f>+IFERROR(VLOOKUP(D1101,Conceptos_Analítica_contraloría[#All],3,0),"")</f>
        <v/>
      </c>
    </row>
    <row r="1102" spans="3:10" ht="18.75" customHeight="1" x14ac:dyDescent="0.35">
      <c r="C1102" s="100" t="str">
        <f>IF(OR(Fact_Analitica[[#This Row], [Año]]="",Fact_Analitica[[#This Row], [Mes]]=""),"",DATE(A1102,MATCH(B1102,{"enero","febrero","marzo","abril","mayo","junio","julio","agosto","septiembre","octubre","noviembre","diciembre"},0)+1,0))</f>
        <v/>
      </c>
      <c r="E1102" t="str">
        <f>+IFERROR(VLOOKUP(Fact_Analitica[[#This Row], [Concepto Anterior]],Conceptos_Analítica_contraloría[#All],5,0),"")</f>
        <v/>
      </c>
      <c r="F1102" t="str">
        <f>+IFERROR(VLOOKUP(Fact_Analitica[[#This Row], [Concepto Anterior]],Conceptos_Analítica_contraloría[#All],7,0),"")</f>
        <v/>
      </c>
      <c r="I1102" t="str">
        <f>+IFERROR(VLOOKUP(D1102,Conceptos_Analítica_contraloría[#All],2,0),"")</f>
        <v/>
      </c>
      <c r="J1102" s="84" t="str">
        <f>+IFERROR(VLOOKUP(D1102,Conceptos_Analítica_contraloría[#All],3,0),"")</f>
        <v/>
      </c>
    </row>
    <row r="1103" spans="3:10" ht="18.75" customHeight="1" x14ac:dyDescent="0.35">
      <c r="C1103" s="100" t="str">
        <f>IF(OR(Fact_Analitica[[#This Row], [Año]]="",Fact_Analitica[[#This Row], [Mes]]=""),"",DATE(A1103,MATCH(B1103,{"enero","febrero","marzo","abril","mayo","junio","julio","agosto","septiembre","octubre","noviembre","diciembre"},0)+1,0))</f>
        <v/>
      </c>
      <c r="E1103" t="str">
        <f>+IFERROR(VLOOKUP(Fact_Analitica[[#This Row], [Concepto Anterior]],Conceptos_Analítica_contraloría[#All],5,0),"")</f>
        <v/>
      </c>
      <c r="F1103" t="str">
        <f>+IFERROR(VLOOKUP(Fact_Analitica[[#This Row], [Concepto Anterior]],Conceptos_Analítica_contraloría[#All],7,0),"")</f>
        <v/>
      </c>
      <c r="I1103" t="str">
        <f>+IFERROR(VLOOKUP(D1103,Conceptos_Analítica_contraloría[#All],2,0),"")</f>
        <v/>
      </c>
      <c r="J1103" s="84" t="str">
        <f>+IFERROR(VLOOKUP(D1103,Conceptos_Analítica_contraloría[#All],3,0),"")</f>
        <v/>
      </c>
    </row>
    <row r="1104" spans="3:10" ht="18.75" customHeight="1" x14ac:dyDescent="0.35">
      <c r="C1104" s="100" t="str">
        <f>IF(OR(Fact_Analitica[[#This Row], [Año]]="",Fact_Analitica[[#This Row], [Mes]]=""),"",DATE(A1104,MATCH(B1104,{"enero","febrero","marzo","abril","mayo","junio","julio","agosto","septiembre","octubre","noviembre","diciembre"},0)+1,0))</f>
        <v/>
      </c>
      <c r="E1104" t="str">
        <f>+IFERROR(VLOOKUP(Fact_Analitica[[#This Row], [Concepto Anterior]],Conceptos_Analítica_contraloría[#All],5,0),"")</f>
        <v/>
      </c>
      <c r="F1104" t="str">
        <f>+IFERROR(VLOOKUP(Fact_Analitica[[#This Row], [Concepto Anterior]],Conceptos_Analítica_contraloría[#All],7,0),"")</f>
        <v/>
      </c>
      <c r="I1104" t="str">
        <f>+IFERROR(VLOOKUP(D1104,Conceptos_Analítica_contraloría[#All],2,0),"")</f>
        <v/>
      </c>
      <c r="J1104" s="84" t="str">
        <f>+IFERROR(VLOOKUP(D1104,Conceptos_Analítica_contraloría[#All],3,0),"")</f>
        <v/>
      </c>
    </row>
    <row r="1105" spans="3:10" ht="18.75" customHeight="1" x14ac:dyDescent="0.35">
      <c r="C1105" s="100" t="str">
        <f>IF(OR(Fact_Analitica[[#This Row], [Año]]="",Fact_Analitica[[#This Row], [Mes]]=""),"",DATE(A1105,MATCH(B1105,{"enero","febrero","marzo","abril","mayo","junio","julio","agosto","septiembre","octubre","noviembre","diciembre"},0)+1,0))</f>
        <v/>
      </c>
      <c r="E1105" t="str">
        <f>+IFERROR(VLOOKUP(Fact_Analitica[[#This Row], [Concepto Anterior]],Conceptos_Analítica_contraloría[#All],5,0),"")</f>
        <v/>
      </c>
      <c r="F1105" t="str">
        <f>+IFERROR(VLOOKUP(Fact_Analitica[[#This Row], [Concepto Anterior]],Conceptos_Analítica_contraloría[#All],7,0),"")</f>
        <v/>
      </c>
      <c r="I1105" t="str">
        <f>+IFERROR(VLOOKUP(D1105,Conceptos_Analítica_contraloría[#All],2,0),"")</f>
        <v/>
      </c>
      <c r="J1105" s="84" t="str">
        <f>+IFERROR(VLOOKUP(D1105,Conceptos_Analítica_contraloría[#All],3,0),"")</f>
        <v/>
      </c>
    </row>
    <row r="1106" spans="3:10" ht="18.75" customHeight="1" x14ac:dyDescent="0.35">
      <c r="C1106" s="100" t="str">
        <f>IF(OR(Fact_Analitica[[#This Row], [Año]]="",Fact_Analitica[[#This Row], [Mes]]=""),"",DATE(A1106,MATCH(B1106,{"enero","febrero","marzo","abril","mayo","junio","julio","agosto","septiembre","octubre","noviembre","diciembre"},0)+1,0))</f>
        <v/>
      </c>
      <c r="E1106" t="str">
        <f>+IFERROR(VLOOKUP(Fact_Analitica[[#This Row], [Concepto Anterior]],Conceptos_Analítica_contraloría[#All],5,0),"")</f>
        <v/>
      </c>
      <c r="F1106" t="str">
        <f>+IFERROR(VLOOKUP(Fact_Analitica[[#This Row], [Concepto Anterior]],Conceptos_Analítica_contraloría[#All],7,0),"")</f>
        <v/>
      </c>
      <c r="I1106" t="str">
        <f>+IFERROR(VLOOKUP(D1106,Conceptos_Analítica_contraloría[#All],2,0),"")</f>
        <v/>
      </c>
      <c r="J1106" s="84" t="str">
        <f>+IFERROR(VLOOKUP(D1106,Conceptos_Analítica_contraloría[#All],3,0),"")</f>
        <v/>
      </c>
    </row>
    <row r="1107" spans="3:10" ht="18.75" customHeight="1" x14ac:dyDescent="0.35">
      <c r="C1107" s="100" t="str">
        <f>IF(OR(Fact_Analitica[[#This Row], [Año]]="",Fact_Analitica[[#This Row], [Mes]]=""),"",DATE(A1107,MATCH(B1107,{"enero","febrero","marzo","abril","mayo","junio","julio","agosto","septiembre","octubre","noviembre","diciembre"},0)+1,0))</f>
        <v/>
      </c>
      <c r="E1107" t="str">
        <f>+IFERROR(VLOOKUP(Fact_Analitica[[#This Row], [Concepto Anterior]],Conceptos_Analítica_contraloría[#All],5,0),"")</f>
        <v/>
      </c>
      <c r="F1107" t="str">
        <f>+IFERROR(VLOOKUP(Fact_Analitica[[#This Row], [Concepto Anterior]],Conceptos_Analítica_contraloría[#All],7,0),"")</f>
        <v/>
      </c>
      <c r="I1107" t="str">
        <f>+IFERROR(VLOOKUP(D1107,Conceptos_Analítica_contraloría[#All],2,0),"")</f>
        <v/>
      </c>
      <c r="J1107" s="84" t="str">
        <f>+IFERROR(VLOOKUP(D1107,Conceptos_Analítica_contraloría[#All],3,0),"")</f>
        <v/>
      </c>
    </row>
    <row r="1108" spans="3:10" ht="18.75" customHeight="1" x14ac:dyDescent="0.35">
      <c r="C1108" s="100" t="str">
        <f>IF(OR(Fact_Analitica[[#This Row], [Año]]="",Fact_Analitica[[#This Row], [Mes]]=""),"",DATE(A1108,MATCH(B1108,{"enero","febrero","marzo","abril","mayo","junio","julio","agosto","septiembre","octubre","noviembre","diciembre"},0)+1,0))</f>
        <v/>
      </c>
      <c r="E1108" t="str">
        <f>+IFERROR(VLOOKUP(Fact_Analitica[[#This Row], [Concepto Anterior]],Conceptos_Analítica_contraloría[#All],5,0),"")</f>
        <v/>
      </c>
      <c r="F1108" t="str">
        <f>+IFERROR(VLOOKUP(Fact_Analitica[[#This Row], [Concepto Anterior]],Conceptos_Analítica_contraloría[#All],7,0),"")</f>
        <v/>
      </c>
      <c r="I1108" t="str">
        <f>+IFERROR(VLOOKUP(D1108,Conceptos_Analítica_contraloría[#All],2,0),"")</f>
        <v/>
      </c>
      <c r="J1108" s="84" t="str">
        <f>+IFERROR(VLOOKUP(D1108,Conceptos_Analítica_contraloría[#All],3,0),"")</f>
        <v/>
      </c>
    </row>
    <row r="1109" spans="3:10" ht="18.75" customHeight="1" x14ac:dyDescent="0.35">
      <c r="C1109" s="100" t="str">
        <f>IF(OR(Fact_Analitica[[#This Row], [Año]]="",Fact_Analitica[[#This Row], [Mes]]=""),"",DATE(A1109,MATCH(B1109,{"enero","febrero","marzo","abril","mayo","junio","julio","agosto","septiembre","octubre","noviembre","diciembre"},0)+1,0))</f>
        <v/>
      </c>
      <c r="E1109" t="str">
        <f>+IFERROR(VLOOKUP(Fact_Analitica[[#This Row], [Concepto Anterior]],Conceptos_Analítica_contraloría[#All],5,0),"")</f>
        <v/>
      </c>
      <c r="F1109" t="str">
        <f>+IFERROR(VLOOKUP(Fact_Analitica[[#This Row], [Concepto Anterior]],Conceptos_Analítica_contraloría[#All],7,0),"")</f>
        <v/>
      </c>
      <c r="I1109" t="str">
        <f>+IFERROR(VLOOKUP(D1109,Conceptos_Analítica_contraloría[#All],2,0),"")</f>
        <v/>
      </c>
      <c r="J1109" s="84" t="str">
        <f>+IFERROR(VLOOKUP(D1109,Conceptos_Analítica_contraloría[#All],3,0),"")</f>
        <v/>
      </c>
    </row>
    <row r="1110" spans="3:10" ht="18.75" customHeight="1" x14ac:dyDescent="0.35">
      <c r="C1110" s="100" t="str">
        <f>IF(OR(Fact_Analitica[[#This Row], [Año]]="",Fact_Analitica[[#This Row], [Mes]]=""),"",DATE(A1110,MATCH(B1110,{"enero","febrero","marzo","abril","mayo","junio","julio","agosto","septiembre","octubre","noviembre","diciembre"},0)+1,0))</f>
        <v/>
      </c>
      <c r="E1110" t="str">
        <f>+IFERROR(VLOOKUP(Fact_Analitica[[#This Row], [Concepto Anterior]],Conceptos_Analítica_contraloría[#All],5,0),"")</f>
        <v/>
      </c>
      <c r="F1110" t="str">
        <f>+IFERROR(VLOOKUP(Fact_Analitica[[#This Row], [Concepto Anterior]],Conceptos_Analítica_contraloría[#All],7,0),"")</f>
        <v/>
      </c>
      <c r="I1110" t="str">
        <f>+IFERROR(VLOOKUP(D1110,Conceptos_Analítica_contraloría[#All],2,0),"")</f>
        <v/>
      </c>
      <c r="J1110" s="84" t="str">
        <f>+IFERROR(VLOOKUP(D1110,Conceptos_Analítica_contraloría[#All],3,0),"")</f>
        <v/>
      </c>
    </row>
    <row r="1111" spans="3:10" ht="18.75" customHeight="1" x14ac:dyDescent="0.35">
      <c r="C1111" s="100" t="str">
        <f>IF(OR(Fact_Analitica[[#This Row], [Año]]="",Fact_Analitica[[#This Row], [Mes]]=""),"",DATE(A1111,MATCH(B1111,{"enero","febrero","marzo","abril","mayo","junio","julio","agosto","septiembre","octubre","noviembre","diciembre"},0)+1,0))</f>
        <v/>
      </c>
      <c r="E1111" t="str">
        <f>+IFERROR(VLOOKUP(Fact_Analitica[[#This Row], [Concepto Anterior]],Conceptos_Analítica_contraloría[#All],5,0),"")</f>
        <v/>
      </c>
      <c r="F1111" t="str">
        <f>+IFERROR(VLOOKUP(Fact_Analitica[[#This Row], [Concepto Anterior]],Conceptos_Analítica_contraloría[#All],7,0),"")</f>
        <v/>
      </c>
      <c r="I1111" t="str">
        <f>+IFERROR(VLOOKUP(D1111,Conceptos_Analítica_contraloría[#All],2,0),"")</f>
        <v/>
      </c>
      <c r="J1111" s="84" t="str">
        <f>+IFERROR(VLOOKUP(D1111,Conceptos_Analítica_contraloría[#All],3,0),"")</f>
        <v/>
      </c>
    </row>
    <row r="1112" spans="3:10" ht="18.75" customHeight="1" x14ac:dyDescent="0.35">
      <c r="C1112" s="100" t="str">
        <f>IF(OR(Fact_Analitica[[#This Row], [Año]]="",Fact_Analitica[[#This Row], [Mes]]=""),"",DATE(A1112,MATCH(B1112,{"enero","febrero","marzo","abril","mayo","junio","julio","agosto","septiembre","octubre","noviembre","diciembre"},0)+1,0))</f>
        <v/>
      </c>
      <c r="E1112" t="str">
        <f>+IFERROR(VLOOKUP(Fact_Analitica[[#This Row], [Concepto Anterior]],Conceptos_Analítica_contraloría[#All],5,0),"")</f>
        <v/>
      </c>
      <c r="F1112" t="str">
        <f>+IFERROR(VLOOKUP(Fact_Analitica[[#This Row], [Concepto Anterior]],Conceptos_Analítica_contraloría[#All],7,0),"")</f>
        <v/>
      </c>
      <c r="I1112" t="str">
        <f>+IFERROR(VLOOKUP(D1112,Conceptos_Analítica_contraloría[#All],2,0),"")</f>
        <v/>
      </c>
      <c r="J1112" s="84" t="str">
        <f>+IFERROR(VLOOKUP(D1112,Conceptos_Analítica_contraloría[#All],3,0),"")</f>
        <v/>
      </c>
    </row>
    <row r="1113" spans="3:10" ht="18.75" customHeight="1" x14ac:dyDescent="0.35">
      <c r="C1113" s="100" t="str">
        <f>IF(OR(Fact_Analitica[[#This Row], [Año]]="",Fact_Analitica[[#This Row], [Mes]]=""),"",DATE(A1113,MATCH(B1113,{"enero","febrero","marzo","abril","mayo","junio","julio","agosto","septiembre","octubre","noviembre","diciembre"},0)+1,0))</f>
        <v/>
      </c>
      <c r="E1113" t="str">
        <f>+IFERROR(VLOOKUP(Fact_Analitica[[#This Row], [Concepto Anterior]],Conceptos_Analítica_contraloría[#All],5,0),"")</f>
        <v/>
      </c>
      <c r="F1113" t="str">
        <f>+IFERROR(VLOOKUP(Fact_Analitica[[#This Row], [Concepto Anterior]],Conceptos_Analítica_contraloría[#All],7,0),"")</f>
        <v/>
      </c>
      <c r="I1113" t="str">
        <f>+IFERROR(VLOOKUP(D1113,Conceptos_Analítica_contraloría[#All],2,0),"")</f>
        <v/>
      </c>
      <c r="J1113" s="84" t="str">
        <f>+IFERROR(VLOOKUP(D1113,Conceptos_Analítica_contraloría[#All],3,0),"")</f>
        <v/>
      </c>
    </row>
    <row r="1114" spans="3:10" ht="18.75" customHeight="1" x14ac:dyDescent="0.35">
      <c r="C1114" s="100" t="str">
        <f>IF(OR(Fact_Analitica[[#This Row], [Año]]="",Fact_Analitica[[#This Row], [Mes]]=""),"",DATE(A1114,MATCH(B1114,{"enero","febrero","marzo","abril","mayo","junio","julio","agosto","septiembre","octubre","noviembre","diciembre"},0)+1,0))</f>
        <v/>
      </c>
      <c r="E1114" t="str">
        <f>+IFERROR(VLOOKUP(Fact_Analitica[[#This Row], [Concepto Anterior]],Conceptos_Analítica_contraloría[#All],5,0),"")</f>
        <v/>
      </c>
      <c r="F1114" t="str">
        <f>+IFERROR(VLOOKUP(Fact_Analitica[[#This Row], [Concepto Anterior]],Conceptos_Analítica_contraloría[#All],7,0),"")</f>
        <v/>
      </c>
      <c r="I1114" t="str">
        <f>+IFERROR(VLOOKUP(D1114,Conceptos_Analítica_contraloría[#All],2,0),"")</f>
        <v/>
      </c>
      <c r="J1114" s="84" t="str">
        <f>+IFERROR(VLOOKUP(D1114,Conceptos_Analítica_contraloría[#All],3,0),"")</f>
        <v/>
      </c>
    </row>
    <row r="1115" spans="3:10" ht="18.75" customHeight="1" x14ac:dyDescent="0.35">
      <c r="C1115" s="100" t="str">
        <f>IF(OR(Fact_Analitica[[#This Row], [Año]]="",Fact_Analitica[[#This Row], [Mes]]=""),"",DATE(A1115,MATCH(B1115,{"enero","febrero","marzo","abril","mayo","junio","julio","agosto","septiembre","octubre","noviembre","diciembre"},0)+1,0))</f>
        <v/>
      </c>
      <c r="E1115" t="str">
        <f>+IFERROR(VLOOKUP(Fact_Analitica[[#This Row], [Concepto Anterior]],Conceptos_Analítica_contraloría[#All],5,0),"")</f>
        <v/>
      </c>
      <c r="F1115" t="str">
        <f>+IFERROR(VLOOKUP(Fact_Analitica[[#This Row], [Concepto Anterior]],Conceptos_Analítica_contraloría[#All],7,0),"")</f>
        <v/>
      </c>
      <c r="I1115" t="str">
        <f>+IFERROR(VLOOKUP(D1115,Conceptos_Analítica_contraloría[#All],2,0),"")</f>
        <v/>
      </c>
      <c r="J1115" s="84" t="str">
        <f>+IFERROR(VLOOKUP(D1115,Conceptos_Analítica_contraloría[#All],3,0),"")</f>
        <v/>
      </c>
    </row>
    <row r="1116" spans="3:10" ht="18.75" customHeight="1" x14ac:dyDescent="0.35">
      <c r="C1116" s="100" t="str">
        <f>IF(OR(Fact_Analitica[[#This Row], [Año]]="",Fact_Analitica[[#This Row], [Mes]]=""),"",DATE(A1116,MATCH(B1116,{"enero","febrero","marzo","abril","mayo","junio","julio","agosto","septiembre","octubre","noviembre","diciembre"},0)+1,0))</f>
        <v/>
      </c>
      <c r="E1116" t="str">
        <f>+IFERROR(VLOOKUP(Fact_Analitica[[#This Row], [Concepto Anterior]],Conceptos_Analítica_contraloría[#All],5,0),"")</f>
        <v/>
      </c>
      <c r="F1116" t="str">
        <f>+IFERROR(VLOOKUP(Fact_Analitica[[#This Row], [Concepto Anterior]],Conceptos_Analítica_contraloría[#All],7,0),"")</f>
        <v/>
      </c>
      <c r="I1116" t="str">
        <f>+IFERROR(VLOOKUP(D1116,Conceptos_Analítica_contraloría[#All],2,0),"")</f>
        <v/>
      </c>
      <c r="J1116" s="84" t="str">
        <f>+IFERROR(VLOOKUP(D1116,Conceptos_Analítica_contraloría[#All],3,0),"")</f>
        <v/>
      </c>
    </row>
    <row r="1117" spans="3:10" ht="18.75" customHeight="1" x14ac:dyDescent="0.35">
      <c r="C1117" s="100" t="str">
        <f>IF(OR(Fact_Analitica[[#This Row], [Año]]="",Fact_Analitica[[#This Row], [Mes]]=""),"",DATE(A1117,MATCH(B1117,{"enero","febrero","marzo","abril","mayo","junio","julio","agosto","septiembre","octubre","noviembre","diciembre"},0)+1,0))</f>
        <v/>
      </c>
      <c r="E1117" t="str">
        <f>+IFERROR(VLOOKUP(Fact_Analitica[[#This Row], [Concepto Anterior]],Conceptos_Analítica_contraloría[#All],5,0),"")</f>
        <v/>
      </c>
      <c r="F1117" t="str">
        <f>+IFERROR(VLOOKUP(Fact_Analitica[[#This Row], [Concepto Anterior]],Conceptos_Analítica_contraloría[#All],7,0),"")</f>
        <v/>
      </c>
      <c r="I1117" t="str">
        <f>+IFERROR(VLOOKUP(D1117,Conceptos_Analítica_contraloría[#All],2,0),"")</f>
        <v/>
      </c>
      <c r="J1117" s="84" t="str">
        <f>+IFERROR(VLOOKUP(D1117,Conceptos_Analítica_contraloría[#All],3,0),"")</f>
        <v/>
      </c>
    </row>
    <row r="1118" spans="3:10" ht="18.75" customHeight="1" x14ac:dyDescent="0.35">
      <c r="C1118" s="100" t="str">
        <f>IF(OR(Fact_Analitica[[#This Row], [Año]]="",Fact_Analitica[[#This Row], [Mes]]=""),"",DATE(A1118,MATCH(B1118,{"enero","febrero","marzo","abril","mayo","junio","julio","agosto","septiembre","octubre","noviembre","diciembre"},0)+1,0))</f>
        <v/>
      </c>
      <c r="E1118" t="str">
        <f>+IFERROR(VLOOKUP(Fact_Analitica[[#This Row], [Concepto Anterior]],Conceptos_Analítica_contraloría[#All],5,0),"")</f>
        <v/>
      </c>
      <c r="F1118" t="str">
        <f>+IFERROR(VLOOKUP(Fact_Analitica[[#This Row], [Concepto Anterior]],Conceptos_Analítica_contraloría[#All],7,0),"")</f>
        <v/>
      </c>
      <c r="I1118" t="str">
        <f>+IFERROR(VLOOKUP(D1118,Conceptos_Analítica_contraloría[#All],2,0),"")</f>
        <v/>
      </c>
      <c r="J1118" s="84" t="str">
        <f>+IFERROR(VLOOKUP(D1118,Conceptos_Analítica_contraloría[#All],3,0),"")</f>
        <v/>
      </c>
    </row>
    <row r="1119" spans="3:10" ht="18.75" customHeight="1" x14ac:dyDescent="0.35">
      <c r="C1119" s="100" t="str">
        <f>IF(OR(Fact_Analitica[[#This Row], [Año]]="",Fact_Analitica[[#This Row], [Mes]]=""),"",DATE(A1119,MATCH(B1119,{"enero","febrero","marzo","abril","mayo","junio","julio","agosto","septiembre","octubre","noviembre","diciembre"},0)+1,0))</f>
        <v/>
      </c>
      <c r="E1119" t="str">
        <f>+IFERROR(VLOOKUP(Fact_Analitica[[#This Row], [Concepto Anterior]],Conceptos_Analítica_contraloría[#All],5,0),"")</f>
        <v/>
      </c>
      <c r="F1119" t="str">
        <f>+IFERROR(VLOOKUP(Fact_Analitica[[#This Row], [Concepto Anterior]],Conceptos_Analítica_contraloría[#All],7,0),"")</f>
        <v/>
      </c>
      <c r="I1119" t="str">
        <f>+IFERROR(VLOOKUP(D1119,Conceptos_Analítica_contraloría[#All],2,0),"")</f>
        <v/>
      </c>
      <c r="J1119" s="84" t="str">
        <f>+IFERROR(VLOOKUP(D1119,Conceptos_Analítica_contraloría[#All],3,0),"")</f>
        <v/>
      </c>
    </row>
    <row r="1120" spans="3:10" ht="18.75" customHeight="1" x14ac:dyDescent="0.35">
      <c r="C1120" s="100" t="str">
        <f>IF(OR(Fact_Analitica[[#This Row], [Año]]="",Fact_Analitica[[#This Row], [Mes]]=""),"",DATE(A1120,MATCH(B1120,{"enero","febrero","marzo","abril","mayo","junio","julio","agosto","septiembre","octubre","noviembre","diciembre"},0)+1,0))</f>
        <v/>
      </c>
      <c r="E1120" t="str">
        <f>+IFERROR(VLOOKUP(Fact_Analitica[[#This Row], [Concepto Anterior]],Conceptos_Analítica_contraloría[#All],5,0),"")</f>
        <v/>
      </c>
      <c r="F1120" t="str">
        <f>+IFERROR(VLOOKUP(Fact_Analitica[[#This Row], [Concepto Anterior]],Conceptos_Analítica_contraloría[#All],7,0),"")</f>
        <v/>
      </c>
      <c r="I1120" t="str">
        <f>+IFERROR(VLOOKUP(D1120,Conceptos_Analítica_contraloría[#All],2,0),"")</f>
        <v/>
      </c>
      <c r="J1120" s="84" t="str">
        <f>+IFERROR(VLOOKUP(D1120,Conceptos_Analítica_contraloría[#All],3,0),"")</f>
        <v/>
      </c>
    </row>
    <row r="1121" spans="3:10" ht="18.75" customHeight="1" x14ac:dyDescent="0.35">
      <c r="C1121" s="100" t="str">
        <f>IF(OR(Fact_Analitica[[#This Row], [Año]]="",Fact_Analitica[[#This Row], [Mes]]=""),"",DATE(A1121,MATCH(B1121,{"enero","febrero","marzo","abril","mayo","junio","julio","agosto","septiembre","octubre","noviembre","diciembre"},0)+1,0))</f>
        <v/>
      </c>
      <c r="E1121" t="str">
        <f>+IFERROR(VLOOKUP(Fact_Analitica[[#This Row], [Concepto Anterior]],Conceptos_Analítica_contraloría[#All],5,0),"")</f>
        <v/>
      </c>
      <c r="F1121" t="str">
        <f>+IFERROR(VLOOKUP(Fact_Analitica[[#This Row], [Concepto Anterior]],Conceptos_Analítica_contraloría[#All],7,0),"")</f>
        <v/>
      </c>
      <c r="I1121" t="str">
        <f>+IFERROR(VLOOKUP(D1121,Conceptos_Analítica_contraloría[#All],2,0),"")</f>
        <v/>
      </c>
      <c r="J1121" s="84" t="str">
        <f>+IFERROR(VLOOKUP(D1121,Conceptos_Analítica_contraloría[#All],3,0),"")</f>
        <v/>
      </c>
    </row>
    <row r="1122" spans="3:10" ht="18.75" customHeight="1" x14ac:dyDescent="0.35">
      <c r="C1122" s="100" t="str">
        <f>IF(OR(Fact_Analitica[[#This Row], [Año]]="",Fact_Analitica[[#This Row], [Mes]]=""),"",DATE(A1122,MATCH(B1122,{"enero","febrero","marzo","abril","mayo","junio","julio","agosto","septiembre","octubre","noviembre","diciembre"},0)+1,0))</f>
        <v/>
      </c>
      <c r="E1122" t="str">
        <f>+IFERROR(VLOOKUP(Fact_Analitica[[#This Row], [Concepto Anterior]],Conceptos_Analítica_contraloría[#All],5,0),"")</f>
        <v/>
      </c>
      <c r="F1122" t="str">
        <f>+IFERROR(VLOOKUP(Fact_Analitica[[#This Row], [Concepto Anterior]],Conceptos_Analítica_contraloría[#All],7,0),"")</f>
        <v/>
      </c>
      <c r="I1122" t="str">
        <f>+IFERROR(VLOOKUP(D1122,Conceptos_Analítica_contraloría[#All],2,0),"")</f>
        <v/>
      </c>
      <c r="J1122" s="84" t="str">
        <f>+IFERROR(VLOOKUP(D1122,Conceptos_Analítica_contraloría[#All],3,0),"")</f>
        <v/>
      </c>
    </row>
    <row r="1123" spans="3:10" ht="18.75" customHeight="1" x14ac:dyDescent="0.35">
      <c r="C1123" s="100" t="str">
        <f>IF(OR(Fact_Analitica[[#This Row], [Año]]="",Fact_Analitica[[#This Row], [Mes]]=""),"",DATE(A1123,MATCH(B1123,{"enero","febrero","marzo","abril","mayo","junio","julio","agosto","septiembre","octubre","noviembre","diciembre"},0)+1,0))</f>
        <v/>
      </c>
      <c r="E1123" t="str">
        <f>+IFERROR(VLOOKUP(Fact_Analitica[[#This Row], [Concepto Anterior]],Conceptos_Analítica_contraloría[#All],5,0),"")</f>
        <v/>
      </c>
      <c r="F1123" t="str">
        <f>+IFERROR(VLOOKUP(Fact_Analitica[[#This Row], [Concepto Anterior]],Conceptos_Analítica_contraloría[#All],7,0),"")</f>
        <v/>
      </c>
      <c r="I1123" t="str">
        <f>+IFERROR(VLOOKUP(D1123,Conceptos_Analítica_contraloría[#All],2,0),"")</f>
        <v/>
      </c>
      <c r="J1123" s="84" t="str">
        <f>+IFERROR(VLOOKUP(D1123,Conceptos_Analítica_contraloría[#All],3,0),"")</f>
        <v/>
      </c>
    </row>
    <row r="1124" spans="3:10" ht="18.75" customHeight="1" x14ac:dyDescent="0.35">
      <c r="C1124" s="100" t="str">
        <f>IF(OR(Fact_Analitica[[#This Row], [Año]]="",Fact_Analitica[[#This Row], [Mes]]=""),"",DATE(A1124,MATCH(B1124,{"enero","febrero","marzo","abril","mayo","junio","julio","agosto","septiembre","octubre","noviembre","diciembre"},0)+1,0))</f>
        <v/>
      </c>
      <c r="E1124" t="str">
        <f>+IFERROR(VLOOKUP(Fact_Analitica[[#This Row], [Concepto Anterior]],Conceptos_Analítica_contraloría[#All],5,0),"")</f>
        <v/>
      </c>
      <c r="F1124" t="str">
        <f>+IFERROR(VLOOKUP(Fact_Analitica[[#This Row], [Concepto Anterior]],Conceptos_Analítica_contraloría[#All],7,0),"")</f>
        <v/>
      </c>
      <c r="I1124" t="str">
        <f>+IFERROR(VLOOKUP(D1124,Conceptos_Analítica_contraloría[#All],2,0),"")</f>
        <v/>
      </c>
      <c r="J1124" s="84" t="str">
        <f>+IFERROR(VLOOKUP(D1124,Conceptos_Analítica_contraloría[#All],3,0),"")</f>
        <v/>
      </c>
    </row>
    <row r="1125" spans="3:10" ht="18.75" customHeight="1" x14ac:dyDescent="0.35">
      <c r="C1125" s="100" t="str">
        <f>IF(OR(Fact_Analitica[[#This Row], [Año]]="",Fact_Analitica[[#This Row], [Mes]]=""),"",DATE(A1125,MATCH(B1125,{"enero","febrero","marzo","abril","mayo","junio","julio","agosto","septiembre","octubre","noviembre","diciembre"},0)+1,0))</f>
        <v/>
      </c>
      <c r="E1125" t="str">
        <f>+IFERROR(VLOOKUP(Fact_Analitica[[#This Row], [Concepto Anterior]],Conceptos_Analítica_contraloría[#All],5,0),"")</f>
        <v/>
      </c>
      <c r="F1125" t="str">
        <f>+IFERROR(VLOOKUP(Fact_Analitica[[#This Row], [Concepto Anterior]],Conceptos_Analítica_contraloría[#All],7,0),"")</f>
        <v/>
      </c>
      <c r="I1125" t="str">
        <f>+IFERROR(VLOOKUP(D1125,Conceptos_Analítica_contraloría[#All],2,0),"")</f>
        <v/>
      </c>
      <c r="J1125" s="84" t="str">
        <f>+IFERROR(VLOOKUP(D1125,Conceptos_Analítica_contraloría[#All],3,0),"")</f>
        <v/>
      </c>
    </row>
    <row r="1126" spans="3:10" ht="18.75" customHeight="1" x14ac:dyDescent="0.35">
      <c r="C1126" s="100" t="str">
        <f>IF(OR(Fact_Analitica[[#This Row], [Año]]="",Fact_Analitica[[#This Row], [Mes]]=""),"",DATE(A1126,MATCH(B1126,{"enero","febrero","marzo","abril","mayo","junio","julio","agosto","septiembre","octubre","noviembre","diciembre"},0)+1,0))</f>
        <v/>
      </c>
      <c r="E1126" t="str">
        <f>+IFERROR(VLOOKUP(Fact_Analitica[[#This Row], [Concepto Anterior]],Conceptos_Analítica_contraloría[#All],5,0),"")</f>
        <v/>
      </c>
      <c r="F1126" t="str">
        <f>+IFERROR(VLOOKUP(Fact_Analitica[[#This Row], [Concepto Anterior]],Conceptos_Analítica_contraloría[#All],7,0),"")</f>
        <v/>
      </c>
      <c r="I1126" t="str">
        <f>+IFERROR(VLOOKUP(D1126,Conceptos_Analítica_contraloría[#All],2,0),"")</f>
        <v/>
      </c>
      <c r="J1126" s="84" t="str">
        <f>+IFERROR(VLOOKUP(D1126,Conceptos_Analítica_contraloría[#All],3,0),"")</f>
        <v/>
      </c>
    </row>
    <row r="1127" spans="3:10" ht="18.75" customHeight="1" x14ac:dyDescent="0.35">
      <c r="C1127" s="100" t="str">
        <f>IF(OR(Fact_Analitica[[#This Row], [Año]]="",Fact_Analitica[[#This Row], [Mes]]=""),"",DATE(A1127,MATCH(B1127,{"enero","febrero","marzo","abril","mayo","junio","julio","agosto","septiembre","octubre","noviembre","diciembre"},0)+1,0))</f>
        <v/>
      </c>
      <c r="E1127" t="str">
        <f>+IFERROR(VLOOKUP(Fact_Analitica[[#This Row], [Concepto Anterior]],Conceptos_Analítica_contraloría[#All],5,0),"")</f>
        <v/>
      </c>
      <c r="F1127" t="str">
        <f>+IFERROR(VLOOKUP(Fact_Analitica[[#This Row], [Concepto Anterior]],Conceptos_Analítica_contraloría[#All],7,0),"")</f>
        <v/>
      </c>
      <c r="I1127" t="str">
        <f>+IFERROR(VLOOKUP(D1127,Conceptos_Analítica_contraloría[#All],2,0),"")</f>
        <v/>
      </c>
      <c r="J1127" s="84" t="str">
        <f>+IFERROR(VLOOKUP(D1127,Conceptos_Analítica_contraloría[#All],3,0),"")</f>
        <v/>
      </c>
    </row>
    <row r="1128" spans="3:10" ht="18.75" customHeight="1" x14ac:dyDescent="0.35">
      <c r="C1128" s="100" t="str">
        <f>IF(OR(Fact_Analitica[[#This Row], [Año]]="",Fact_Analitica[[#This Row], [Mes]]=""),"",DATE(A1128,MATCH(B1128,{"enero","febrero","marzo","abril","mayo","junio","julio","agosto","septiembre","octubre","noviembre","diciembre"},0)+1,0))</f>
        <v/>
      </c>
      <c r="E1128" t="str">
        <f>+IFERROR(VLOOKUP(Fact_Analitica[[#This Row], [Concepto Anterior]],Conceptos_Analítica_contraloría[#All],5,0),"")</f>
        <v/>
      </c>
      <c r="F1128" t="str">
        <f>+IFERROR(VLOOKUP(Fact_Analitica[[#This Row], [Concepto Anterior]],Conceptos_Analítica_contraloría[#All],7,0),"")</f>
        <v/>
      </c>
      <c r="I1128" t="str">
        <f>+IFERROR(VLOOKUP(D1128,Conceptos_Analítica_contraloría[#All],2,0),"")</f>
        <v/>
      </c>
      <c r="J1128" s="84" t="str">
        <f>+IFERROR(VLOOKUP(D1128,Conceptos_Analítica_contraloría[#All],3,0),"")</f>
        <v/>
      </c>
    </row>
    <row r="1129" spans="3:10" ht="18.75" customHeight="1" x14ac:dyDescent="0.35">
      <c r="C1129" s="100" t="str">
        <f>IF(OR(Fact_Analitica[[#This Row], [Año]]="",Fact_Analitica[[#This Row], [Mes]]=""),"",DATE(A1129,MATCH(B1129,{"enero","febrero","marzo","abril","mayo","junio","julio","agosto","septiembre","octubre","noviembre","diciembre"},0)+1,0))</f>
        <v/>
      </c>
      <c r="E1129" t="str">
        <f>+IFERROR(VLOOKUP(Fact_Analitica[[#This Row], [Concepto Anterior]],Conceptos_Analítica_contraloría[#All],5,0),"")</f>
        <v/>
      </c>
      <c r="F1129" t="str">
        <f>+IFERROR(VLOOKUP(Fact_Analitica[[#This Row], [Concepto Anterior]],Conceptos_Analítica_contraloría[#All],7,0),"")</f>
        <v/>
      </c>
      <c r="I1129" t="str">
        <f>+IFERROR(VLOOKUP(D1129,Conceptos_Analítica_contraloría[#All],2,0),"")</f>
        <v/>
      </c>
      <c r="J1129" s="84" t="str">
        <f>+IFERROR(VLOOKUP(D1129,Conceptos_Analítica_contraloría[#All],3,0),"")</f>
        <v/>
      </c>
    </row>
    <row r="1130" spans="3:10" ht="18.75" customHeight="1" x14ac:dyDescent="0.35">
      <c r="C1130" s="100" t="str">
        <f>IF(OR(Fact_Analitica[[#This Row], [Año]]="",Fact_Analitica[[#This Row], [Mes]]=""),"",DATE(A1130,MATCH(B1130,{"enero","febrero","marzo","abril","mayo","junio","julio","agosto","septiembre","octubre","noviembre","diciembre"},0)+1,0))</f>
        <v/>
      </c>
      <c r="E1130" t="str">
        <f>+IFERROR(VLOOKUP(Fact_Analitica[[#This Row], [Concepto Anterior]],Conceptos_Analítica_contraloría[#All],5,0),"")</f>
        <v/>
      </c>
      <c r="F1130" t="str">
        <f>+IFERROR(VLOOKUP(Fact_Analitica[[#This Row], [Concepto Anterior]],Conceptos_Analítica_contraloría[#All],7,0),"")</f>
        <v/>
      </c>
      <c r="I1130" t="str">
        <f>+IFERROR(VLOOKUP(D1130,Conceptos_Analítica_contraloría[#All],2,0),"")</f>
        <v/>
      </c>
      <c r="J1130" s="84" t="str">
        <f>+IFERROR(VLOOKUP(D1130,Conceptos_Analítica_contraloría[#All],3,0),"")</f>
        <v/>
      </c>
    </row>
    <row r="1131" spans="3:10" ht="18.75" customHeight="1" x14ac:dyDescent="0.35">
      <c r="C1131" s="100" t="str">
        <f>IF(OR(Fact_Analitica[[#This Row], [Año]]="",Fact_Analitica[[#This Row], [Mes]]=""),"",DATE(A1131,MATCH(B1131,{"enero","febrero","marzo","abril","mayo","junio","julio","agosto","septiembre","octubre","noviembre","diciembre"},0)+1,0))</f>
        <v/>
      </c>
      <c r="E1131" t="str">
        <f>+IFERROR(VLOOKUP(Fact_Analitica[[#This Row], [Concepto Anterior]],Conceptos_Analítica_contraloría[#All],5,0),"")</f>
        <v/>
      </c>
      <c r="F1131" t="str">
        <f>+IFERROR(VLOOKUP(Fact_Analitica[[#This Row], [Concepto Anterior]],Conceptos_Analítica_contraloría[#All],7,0),"")</f>
        <v/>
      </c>
      <c r="I1131" t="str">
        <f>+IFERROR(VLOOKUP(D1131,Conceptos_Analítica_contraloría[#All],2,0),"")</f>
        <v/>
      </c>
      <c r="J1131" s="84" t="str">
        <f>+IFERROR(VLOOKUP(D1131,Conceptos_Analítica_contraloría[#All],3,0),"")</f>
        <v/>
      </c>
    </row>
    <row r="1132" spans="3:10" ht="18.75" customHeight="1" x14ac:dyDescent="0.35">
      <c r="C1132" s="100" t="str">
        <f>IF(OR(Fact_Analitica[[#This Row], [Año]]="",Fact_Analitica[[#This Row], [Mes]]=""),"",DATE(A1132,MATCH(B1132,{"enero","febrero","marzo","abril","mayo","junio","julio","agosto","septiembre","octubre","noviembre","diciembre"},0)+1,0))</f>
        <v/>
      </c>
      <c r="E1132" t="str">
        <f>+IFERROR(VLOOKUP(Fact_Analitica[[#This Row], [Concepto Anterior]],Conceptos_Analítica_contraloría[#All],5,0),"")</f>
        <v/>
      </c>
      <c r="F1132" t="str">
        <f>+IFERROR(VLOOKUP(Fact_Analitica[[#This Row], [Concepto Anterior]],Conceptos_Analítica_contraloría[#All],7,0),"")</f>
        <v/>
      </c>
      <c r="I1132" t="str">
        <f>+IFERROR(VLOOKUP(D1132,Conceptos_Analítica_contraloría[#All],2,0),"")</f>
        <v/>
      </c>
      <c r="J1132" s="84" t="str">
        <f>+IFERROR(VLOOKUP(D1132,Conceptos_Analítica_contraloría[#All],3,0),"")</f>
        <v/>
      </c>
    </row>
    <row r="1133" spans="3:10" ht="18.75" customHeight="1" x14ac:dyDescent="0.35">
      <c r="C1133" s="100" t="str">
        <f>IF(OR(Fact_Analitica[[#This Row], [Año]]="",Fact_Analitica[[#This Row], [Mes]]=""),"",DATE(A1133,MATCH(B1133,{"enero","febrero","marzo","abril","mayo","junio","julio","agosto","septiembre","octubre","noviembre","diciembre"},0)+1,0))</f>
        <v/>
      </c>
      <c r="E1133" t="str">
        <f>+IFERROR(VLOOKUP(Fact_Analitica[[#This Row], [Concepto Anterior]],Conceptos_Analítica_contraloría[#All],5,0),"")</f>
        <v/>
      </c>
      <c r="F1133" t="str">
        <f>+IFERROR(VLOOKUP(Fact_Analitica[[#This Row], [Concepto Anterior]],Conceptos_Analítica_contraloría[#All],7,0),"")</f>
        <v/>
      </c>
      <c r="I1133" t="str">
        <f>+IFERROR(VLOOKUP(D1133,Conceptos_Analítica_contraloría[#All],2,0),"")</f>
        <v/>
      </c>
      <c r="J1133" s="84" t="str">
        <f>+IFERROR(VLOOKUP(D1133,Conceptos_Analítica_contraloría[#All],3,0),"")</f>
        <v/>
      </c>
    </row>
    <row r="1134" spans="3:10" ht="18.75" customHeight="1" x14ac:dyDescent="0.35">
      <c r="C1134" s="100" t="str">
        <f>IF(OR(Fact_Analitica[[#This Row], [Año]]="",Fact_Analitica[[#This Row], [Mes]]=""),"",DATE(A1134,MATCH(B1134,{"enero","febrero","marzo","abril","mayo","junio","julio","agosto","septiembre","octubre","noviembre","diciembre"},0)+1,0))</f>
        <v/>
      </c>
      <c r="E1134" t="str">
        <f>+IFERROR(VLOOKUP(Fact_Analitica[[#This Row], [Concepto Anterior]],Conceptos_Analítica_contraloría[#All],5,0),"")</f>
        <v/>
      </c>
      <c r="F1134" t="str">
        <f>+IFERROR(VLOOKUP(Fact_Analitica[[#This Row], [Concepto Anterior]],Conceptos_Analítica_contraloría[#All],7,0),"")</f>
        <v/>
      </c>
      <c r="I1134" t="str">
        <f>+IFERROR(VLOOKUP(D1134,Conceptos_Analítica_contraloría[#All],2,0),"")</f>
        <v/>
      </c>
      <c r="J1134" s="84" t="str">
        <f>+IFERROR(VLOOKUP(D1134,Conceptos_Analítica_contraloría[#All],3,0),"")</f>
        <v/>
      </c>
    </row>
    <row r="1135" spans="3:10" ht="18.75" customHeight="1" x14ac:dyDescent="0.35">
      <c r="C1135" s="100" t="str">
        <f>IF(OR(Fact_Analitica[[#This Row], [Año]]="",Fact_Analitica[[#This Row], [Mes]]=""),"",DATE(A1135,MATCH(B1135,{"enero","febrero","marzo","abril","mayo","junio","julio","agosto","septiembre","octubre","noviembre","diciembre"},0)+1,0))</f>
        <v/>
      </c>
      <c r="E1135" t="str">
        <f>+IFERROR(VLOOKUP(Fact_Analitica[[#This Row], [Concepto Anterior]],Conceptos_Analítica_contraloría[#All],5,0),"")</f>
        <v/>
      </c>
      <c r="F1135" t="str">
        <f>+IFERROR(VLOOKUP(Fact_Analitica[[#This Row], [Concepto Anterior]],Conceptos_Analítica_contraloría[#All],7,0),"")</f>
        <v/>
      </c>
      <c r="I1135" t="str">
        <f>+IFERROR(VLOOKUP(D1135,Conceptos_Analítica_contraloría[#All],2,0),"")</f>
        <v/>
      </c>
      <c r="J1135" s="84" t="str">
        <f>+IFERROR(VLOOKUP(D1135,Conceptos_Analítica_contraloría[#All],3,0),"")</f>
        <v/>
      </c>
    </row>
    <row r="1136" spans="3:10" ht="18.75" customHeight="1" x14ac:dyDescent="0.35">
      <c r="C1136" s="100" t="str">
        <f>IF(OR(Fact_Analitica[[#This Row], [Año]]="",Fact_Analitica[[#This Row], [Mes]]=""),"",DATE(A1136,MATCH(B1136,{"enero","febrero","marzo","abril","mayo","junio","julio","agosto","septiembre","octubre","noviembre","diciembre"},0)+1,0))</f>
        <v/>
      </c>
      <c r="E1136" t="str">
        <f>+IFERROR(VLOOKUP(Fact_Analitica[[#This Row], [Concepto Anterior]],Conceptos_Analítica_contraloría[#All],5,0),"")</f>
        <v/>
      </c>
      <c r="F1136" t="str">
        <f>+IFERROR(VLOOKUP(Fact_Analitica[[#This Row], [Concepto Anterior]],Conceptos_Analítica_contraloría[#All],7,0),"")</f>
        <v/>
      </c>
      <c r="I1136" t="str">
        <f>+IFERROR(VLOOKUP(D1136,Conceptos_Analítica_contraloría[#All],2,0),"")</f>
        <v/>
      </c>
      <c r="J1136" s="84" t="str">
        <f>+IFERROR(VLOOKUP(D1136,Conceptos_Analítica_contraloría[#All],3,0),"")</f>
        <v/>
      </c>
    </row>
    <row r="1137" spans="3:10" ht="18.75" customHeight="1" x14ac:dyDescent="0.35">
      <c r="C1137" s="100" t="str">
        <f>IF(OR(Fact_Analitica[[#This Row], [Año]]="",Fact_Analitica[[#This Row], [Mes]]=""),"",DATE(A1137,MATCH(B1137,{"enero","febrero","marzo","abril","mayo","junio","julio","agosto","septiembre","octubre","noviembre","diciembre"},0)+1,0))</f>
        <v/>
      </c>
      <c r="E1137" t="str">
        <f>+IFERROR(VLOOKUP(Fact_Analitica[[#This Row], [Concepto Anterior]],Conceptos_Analítica_contraloría[#All],5,0),"")</f>
        <v/>
      </c>
      <c r="F1137" t="str">
        <f>+IFERROR(VLOOKUP(Fact_Analitica[[#This Row], [Concepto Anterior]],Conceptos_Analítica_contraloría[#All],7,0),"")</f>
        <v/>
      </c>
      <c r="I1137" t="str">
        <f>+IFERROR(VLOOKUP(D1137,Conceptos_Analítica_contraloría[#All],2,0),"")</f>
        <v/>
      </c>
      <c r="J1137" s="84" t="str">
        <f>+IFERROR(VLOOKUP(D1137,Conceptos_Analítica_contraloría[#All],3,0),"")</f>
        <v/>
      </c>
    </row>
    <row r="1138" spans="3:10" ht="18.75" customHeight="1" x14ac:dyDescent="0.35">
      <c r="C1138" s="100" t="str">
        <f>IF(OR(Fact_Analitica[[#This Row], [Año]]="",Fact_Analitica[[#This Row], [Mes]]=""),"",DATE(A1138,MATCH(B1138,{"enero","febrero","marzo","abril","mayo","junio","julio","agosto","septiembre","octubre","noviembre","diciembre"},0)+1,0))</f>
        <v/>
      </c>
      <c r="E1138" t="str">
        <f>+IFERROR(VLOOKUP(Fact_Analitica[[#This Row], [Concepto Anterior]],Conceptos_Analítica_contraloría[#All],5,0),"")</f>
        <v/>
      </c>
      <c r="F1138" t="str">
        <f>+IFERROR(VLOOKUP(Fact_Analitica[[#This Row], [Concepto Anterior]],Conceptos_Analítica_contraloría[#All],7,0),"")</f>
        <v/>
      </c>
      <c r="I1138" t="str">
        <f>+IFERROR(VLOOKUP(D1138,Conceptos_Analítica_contraloría[#All],2,0),"")</f>
        <v/>
      </c>
      <c r="J1138" s="84" t="str">
        <f>+IFERROR(VLOOKUP(D1138,Conceptos_Analítica_contraloría[#All],3,0),"")</f>
        <v/>
      </c>
    </row>
    <row r="1139" spans="3:10" ht="18.75" customHeight="1" x14ac:dyDescent="0.35">
      <c r="C1139" s="100" t="str">
        <f>IF(OR(Fact_Analitica[[#This Row], [Año]]="",Fact_Analitica[[#This Row], [Mes]]=""),"",DATE(A1139,MATCH(B1139,{"enero","febrero","marzo","abril","mayo","junio","julio","agosto","septiembre","octubre","noviembre","diciembre"},0)+1,0))</f>
        <v/>
      </c>
      <c r="E1139" t="str">
        <f>+IFERROR(VLOOKUP(Fact_Analitica[[#This Row], [Concepto Anterior]],Conceptos_Analítica_contraloría[#All],5,0),"")</f>
        <v/>
      </c>
      <c r="F1139" t="str">
        <f>+IFERROR(VLOOKUP(Fact_Analitica[[#This Row], [Concepto Anterior]],Conceptos_Analítica_contraloría[#All],7,0),"")</f>
        <v/>
      </c>
      <c r="I1139" t="str">
        <f>+IFERROR(VLOOKUP(D1139,Conceptos_Analítica_contraloría[#All],2,0),"")</f>
        <v/>
      </c>
      <c r="J1139" s="84" t="str">
        <f>+IFERROR(VLOOKUP(D1139,Conceptos_Analítica_contraloría[#All],3,0),"")</f>
        <v/>
      </c>
    </row>
    <row r="1140" spans="3:10" ht="18.75" customHeight="1" x14ac:dyDescent="0.35">
      <c r="C1140" s="100" t="str">
        <f>IF(OR(Fact_Analitica[[#This Row], [Año]]="",Fact_Analitica[[#This Row], [Mes]]=""),"",DATE(A1140,MATCH(B1140,{"enero","febrero","marzo","abril","mayo","junio","julio","agosto","septiembre","octubre","noviembre","diciembre"},0)+1,0))</f>
        <v/>
      </c>
      <c r="E1140" t="str">
        <f>+IFERROR(VLOOKUP(Fact_Analitica[[#This Row], [Concepto Anterior]],Conceptos_Analítica_contraloría[#All],5,0),"")</f>
        <v/>
      </c>
      <c r="F1140" t="str">
        <f>+IFERROR(VLOOKUP(Fact_Analitica[[#This Row], [Concepto Anterior]],Conceptos_Analítica_contraloría[#All],7,0),"")</f>
        <v/>
      </c>
      <c r="I1140" t="str">
        <f>+IFERROR(VLOOKUP(D1140,Conceptos_Analítica_contraloría[#All],2,0),"")</f>
        <v/>
      </c>
      <c r="J1140" s="84" t="str">
        <f>+IFERROR(VLOOKUP(D1140,Conceptos_Analítica_contraloría[#All],3,0),"")</f>
        <v/>
      </c>
    </row>
    <row r="1141" spans="3:10" ht="18.75" customHeight="1" x14ac:dyDescent="0.35">
      <c r="C1141" s="100" t="str">
        <f>IF(OR(Fact_Analitica[[#This Row], [Año]]="",Fact_Analitica[[#This Row], [Mes]]=""),"",DATE(A1141,MATCH(B1141,{"enero","febrero","marzo","abril","mayo","junio","julio","agosto","septiembre","octubre","noviembre","diciembre"},0)+1,0))</f>
        <v/>
      </c>
      <c r="E1141" t="str">
        <f>+IFERROR(VLOOKUP(Fact_Analitica[[#This Row], [Concepto Anterior]],Conceptos_Analítica_contraloría[#All],5,0),"")</f>
        <v/>
      </c>
      <c r="F1141" t="str">
        <f>+IFERROR(VLOOKUP(Fact_Analitica[[#This Row], [Concepto Anterior]],Conceptos_Analítica_contraloría[#All],7,0),"")</f>
        <v/>
      </c>
      <c r="I1141" t="str">
        <f>+IFERROR(VLOOKUP(D1141,Conceptos_Analítica_contraloría[#All],2,0),"")</f>
        <v/>
      </c>
      <c r="J1141" s="84" t="str">
        <f>+IFERROR(VLOOKUP(D1141,Conceptos_Analítica_contraloría[#All],3,0),"")</f>
        <v/>
      </c>
    </row>
    <row r="1142" spans="3:10" ht="18.75" customHeight="1" x14ac:dyDescent="0.35">
      <c r="C1142" s="100" t="str">
        <f>IF(OR(Fact_Analitica[[#This Row], [Año]]="",Fact_Analitica[[#This Row], [Mes]]=""),"",DATE(A1142,MATCH(B1142,{"enero","febrero","marzo","abril","mayo","junio","julio","agosto","septiembre","octubre","noviembre","diciembre"},0)+1,0))</f>
        <v/>
      </c>
      <c r="E1142" t="str">
        <f>+IFERROR(VLOOKUP(Fact_Analitica[[#This Row], [Concepto Anterior]],Conceptos_Analítica_contraloría[#All],5,0),"")</f>
        <v/>
      </c>
      <c r="F1142" t="str">
        <f>+IFERROR(VLOOKUP(Fact_Analitica[[#This Row], [Concepto Anterior]],Conceptos_Analítica_contraloría[#All],7,0),"")</f>
        <v/>
      </c>
      <c r="I1142" t="str">
        <f>+IFERROR(VLOOKUP(D1142,Conceptos_Analítica_contraloría[#All],2,0),"")</f>
        <v/>
      </c>
      <c r="J1142" s="84" t="str">
        <f>+IFERROR(VLOOKUP(D1142,Conceptos_Analítica_contraloría[#All],3,0),"")</f>
        <v/>
      </c>
    </row>
    <row r="1143" spans="3:10" ht="18.75" customHeight="1" x14ac:dyDescent="0.35">
      <c r="C1143" s="100" t="str">
        <f>IF(OR(Fact_Analitica[[#This Row], [Año]]="",Fact_Analitica[[#This Row], [Mes]]=""),"",DATE(A1143,MATCH(B1143,{"enero","febrero","marzo","abril","mayo","junio","julio","agosto","septiembre","octubre","noviembre","diciembre"},0)+1,0))</f>
        <v/>
      </c>
      <c r="E1143" t="str">
        <f>+IFERROR(VLOOKUP(Fact_Analitica[[#This Row], [Concepto Anterior]],Conceptos_Analítica_contraloría[#All],5,0),"")</f>
        <v/>
      </c>
      <c r="F1143" t="str">
        <f>+IFERROR(VLOOKUP(Fact_Analitica[[#This Row], [Concepto Anterior]],Conceptos_Analítica_contraloría[#All],7,0),"")</f>
        <v/>
      </c>
      <c r="I1143" t="str">
        <f>+IFERROR(VLOOKUP(D1143,Conceptos_Analítica_contraloría[#All],2,0),"")</f>
        <v/>
      </c>
      <c r="J1143" s="84" t="str">
        <f>+IFERROR(VLOOKUP(D1143,Conceptos_Analítica_contraloría[#All],3,0),"")</f>
        <v/>
      </c>
    </row>
    <row r="1144" spans="3:10" ht="18.75" customHeight="1" x14ac:dyDescent="0.35">
      <c r="C1144" s="100" t="str">
        <f>IF(OR(Fact_Analitica[[#This Row], [Año]]="",Fact_Analitica[[#This Row], [Mes]]=""),"",DATE(A1144,MATCH(B1144,{"enero","febrero","marzo","abril","mayo","junio","julio","agosto","septiembre","octubre","noviembre","diciembre"},0)+1,0))</f>
        <v/>
      </c>
      <c r="E1144" t="str">
        <f>+IFERROR(VLOOKUP(Fact_Analitica[[#This Row], [Concepto Anterior]],Conceptos_Analítica_contraloría[#All],5,0),"")</f>
        <v/>
      </c>
      <c r="F1144" t="str">
        <f>+IFERROR(VLOOKUP(Fact_Analitica[[#This Row], [Concepto Anterior]],Conceptos_Analítica_contraloría[#All],7,0),"")</f>
        <v/>
      </c>
      <c r="I1144" t="str">
        <f>+IFERROR(VLOOKUP(D1144,Conceptos_Analítica_contraloría[#All],2,0),"")</f>
        <v/>
      </c>
      <c r="J1144" s="84" t="str">
        <f>+IFERROR(VLOOKUP(D1144,Conceptos_Analítica_contraloría[#All],3,0),"")</f>
        <v/>
      </c>
    </row>
    <row r="1145" spans="3:10" ht="18.75" customHeight="1" x14ac:dyDescent="0.35">
      <c r="C1145" s="100" t="str">
        <f>IF(OR(Fact_Analitica[[#This Row], [Año]]="",Fact_Analitica[[#This Row], [Mes]]=""),"",DATE(A1145,MATCH(B1145,{"enero","febrero","marzo","abril","mayo","junio","julio","agosto","septiembre","octubre","noviembre","diciembre"},0)+1,0))</f>
        <v/>
      </c>
      <c r="E1145" t="str">
        <f>+IFERROR(VLOOKUP(Fact_Analitica[[#This Row], [Concepto Anterior]],Conceptos_Analítica_contraloría[#All],5,0),"")</f>
        <v/>
      </c>
      <c r="F1145" t="str">
        <f>+IFERROR(VLOOKUP(Fact_Analitica[[#This Row], [Concepto Anterior]],Conceptos_Analítica_contraloría[#All],7,0),"")</f>
        <v/>
      </c>
      <c r="I1145" t="str">
        <f>+IFERROR(VLOOKUP(D1145,Conceptos_Analítica_contraloría[#All],2,0),"")</f>
        <v/>
      </c>
      <c r="J1145" s="84" t="str">
        <f>+IFERROR(VLOOKUP(D1145,Conceptos_Analítica_contraloría[#All],3,0),"")</f>
        <v/>
      </c>
    </row>
    <row r="1146" spans="3:10" ht="18.75" customHeight="1" x14ac:dyDescent="0.35">
      <c r="C1146" s="100" t="str">
        <f>IF(OR(Fact_Analitica[[#This Row], [Año]]="",Fact_Analitica[[#This Row], [Mes]]=""),"",DATE(A1146,MATCH(B1146,{"enero","febrero","marzo","abril","mayo","junio","julio","agosto","septiembre","octubre","noviembre","diciembre"},0)+1,0))</f>
        <v/>
      </c>
      <c r="E1146" t="str">
        <f>+IFERROR(VLOOKUP(Fact_Analitica[[#This Row], [Concepto Anterior]],Conceptos_Analítica_contraloría[#All],5,0),"")</f>
        <v/>
      </c>
      <c r="F1146" t="str">
        <f>+IFERROR(VLOOKUP(Fact_Analitica[[#This Row], [Concepto Anterior]],Conceptos_Analítica_contraloría[#All],7,0),"")</f>
        <v/>
      </c>
      <c r="I1146" t="str">
        <f>+IFERROR(VLOOKUP(D1146,Conceptos_Analítica_contraloría[#All],2,0),"")</f>
        <v/>
      </c>
      <c r="J1146" s="84" t="str">
        <f>+IFERROR(VLOOKUP(D1146,Conceptos_Analítica_contraloría[#All],3,0),"")</f>
        <v/>
      </c>
    </row>
    <row r="1147" spans="3:10" ht="18.75" customHeight="1" x14ac:dyDescent="0.35">
      <c r="C1147" s="100" t="str">
        <f>IF(OR(Fact_Analitica[[#This Row], [Año]]="",Fact_Analitica[[#This Row], [Mes]]=""),"",DATE(A1147,MATCH(B1147,{"enero","febrero","marzo","abril","mayo","junio","julio","agosto","septiembre","octubre","noviembre","diciembre"},0)+1,0))</f>
        <v/>
      </c>
      <c r="E1147" t="str">
        <f>+IFERROR(VLOOKUP(Fact_Analitica[[#This Row], [Concepto Anterior]],Conceptos_Analítica_contraloría[#All],5,0),"")</f>
        <v/>
      </c>
      <c r="F1147" t="str">
        <f>+IFERROR(VLOOKUP(Fact_Analitica[[#This Row], [Concepto Anterior]],Conceptos_Analítica_contraloría[#All],7,0),"")</f>
        <v/>
      </c>
      <c r="I1147" t="str">
        <f>+IFERROR(VLOOKUP(D1147,Conceptos_Analítica_contraloría[#All],2,0),"")</f>
        <v/>
      </c>
      <c r="J1147" s="84" t="str">
        <f>+IFERROR(VLOOKUP(D1147,Conceptos_Analítica_contraloría[#All],3,0),"")</f>
        <v/>
      </c>
    </row>
    <row r="1148" spans="3:10" ht="18.75" customHeight="1" x14ac:dyDescent="0.35">
      <c r="C1148" s="100" t="str">
        <f>IF(OR(Fact_Analitica[[#This Row], [Año]]="",Fact_Analitica[[#This Row], [Mes]]=""),"",DATE(A1148,MATCH(B1148,{"enero","febrero","marzo","abril","mayo","junio","julio","agosto","septiembre","octubre","noviembre","diciembre"},0)+1,0))</f>
        <v/>
      </c>
      <c r="E1148" t="str">
        <f>+IFERROR(VLOOKUP(Fact_Analitica[[#This Row], [Concepto Anterior]],Conceptos_Analítica_contraloría[#All],5,0),"")</f>
        <v/>
      </c>
      <c r="F1148" t="str">
        <f>+IFERROR(VLOOKUP(Fact_Analitica[[#This Row], [Concepto Anterior]],Conceptos_Analítica_contraloría[#All],7,0),"")</f>
        <v/>
      </c>
      <c r="I1148" t="str">
        <f>+IFERROR(VLOOKUP(D1148,Conceptos_Analítica_contraloría[#All],2,0),"")</f>
        <v/>
      </c>
      <c r="J1148" s="84" t="str">
        <f>+IFERROR(VLOOKUP(D1148,Conceptos_Analítica_contraloría[#All],3,0),"")</f>
        <v/>
      </c>
    </row>
    <row r="1149" spans="3:10" ht="18.75" customHeight="1" x14ac:dyDescent="0.35">
      <c r="C1149" s="100" t="str">
        <f>IF(OR(Fact_Analitica[[#This Row], [Año]]="",Fact_Analitica[[#This Row], [Mes]]=""),"",DATE(A1149,MATCH(B1149,{"enero","febrero","marzo","abril","mayo","junio","julio","agosto","septiembre","octubre","noviembre","diciembre"},0)+1,0))</f>
        <v/>
      </c>
      <c r="E1149" t="str">
        <f>+IFERROR(VLOOKUP(Fact_Analitica[[#This Row], [Concepto Anterior]],Conceptos_Analítica_contraloría[#All],5,0),"")</f>
        <v/>
      </c>
      <c r="F1149" t="str">
        <f>+IFERROR(VLOOKUP(Fact_Analitica[[#This Row], [Concepto Anterior]],Conceptos_Analítica_contraloría[#All],7,0),"")</f>
        <v/>
      </c>
      <c r="I1149" t="str">
        <f>+IFERROR(VLOOKUP(D1149,Conceptos_Analítica_contraloría[#All],2,0),"")</f>
        <v/>
      </c>
      <c r="J1149" s="84" t="str">
        <f>+IFERROR(VLOOKUP(D1149,Conceptos_Analítica_contraloría[#All],3,0),"")</f>
        <v/>
      </c>
    </row>
    <row r="1150" spans="3:10" ht="18.75" customHeight="1" x14ac:dyDescent="0.35">
      <c r="C1150" s="100" t="str">
        <f>IF(OR(Fact_Analitica[[#This Row], [Año]]="",Fact_Analitica[[#This Row], [Mes]]=""),"",DATE(A1150,MATCH(B1150,{"enero","febrero","marzo","abril","mayo","junio","julio","agosto","septiembre","octubre","noviembre","diciembre"},0)+1,0))</f>
        <v/>
      </c>
      <c r="E1150" t="str">
        <f>+IFERROR(VLOOKUP(Fact_Analitica[[#This Row], [Concepto Anterior]],Conceptos_Analítica_contraloría[#All],5,0),"")</f>
        <v/>
      </c>
      <c r="F1150" t="str">
        <f>+IFERROR(VLOOKUP(Fact_Analitica[[#This Row], [Concepto Anterior]],Conceptos_Analítica_contraloría[#All],7,0),"")</f>
        <v/>
      </c>
      <c r="I1150" t="str">
        <f>+IFERROR(VLOOKUP(D1150,Conceptos_Analítica_contraloría[#All],2,0),"")</f>
        <v/>
      </c>
      <c r="J1150" s="84" t="str">
        <f>+IFERROR(VLOOKUP(D1150,Conceptos_Analítica_contraloría[#All],3,0),"")</f>
        <v/>
      </c>
    </row>
    <row r="1151" spans="3:10" ht="18.75" customHeight="1" x14ac:dyDescent="0.35">
      <c r="C1151" s="100" t="str">
        <f>IF(OR(Fact_Analitica[[#This Row], [Año]]="",Fact_Analitica[[#This Row], [Mes]]=""),"",DATE(A1151,MATCH(B1151,{"enero","febrero","marzo","abril","mayo","junio","julio","agosto","septiembre","octubre","noviembre","diciembre"},0)+1,0))</f>
        <v/>
      </c>
      <c r="E1151" t="str">
        <f>+IFERROR(VLOOKUP(Fact_Analitica[[#This Row], [Concepto Anterior]],Conceptos_Analítica_contraloría[#All],5,0),"")</f>
        <v/>
      </c>
      <c r="F1151" t="str">
        <f>+IFERROR(VLOOKUP(Fact_Analitica[[#This Row], [Concepto Anterior]],Conceptos_Analítica_contraloría[#All],7,0),"")</f>
        <v/>
      </c>
      <c r="I1151" t="str">
        <f>+IFERROR(VLOOKUP(D1151,Conceptos_Analítica_contraloría[#All],2,0),"")</f>
        <v/>
      </c>
      <c r="J1151" s="84" t="str">
        <f>+IFERROR(VLOOKUP(D1151,Conceptos_Analítica_contraloría[#All],3,0),"")</f>
        <v/>
      </c>
    </row>
    <row r="1152" spans="3:10" ht="18.75" customHeight="1" x14ac:dyDescent="0.35">
      <c r="C1152" s="100" t="str">
        <f>IF(OR(Fact_Analitica[[#This Row], [Año]]="",Fact_Analitica[[#This Row], [Mes]]=""),"",DATE(A1152,MATCH(B1152,{"enero","febrero","marzo","abril","mayo","junio","julio","agosto","septiembre","octubre","noviembre","diciembre"},0)+1,0))</f>
        <v/>
      </c>
      <c r="E1152" t="str">
        <f>+IFERROR(VLOOKUP(Fact_Analitica[[#This Row], [Concepto Anterior]],Conceptos_Analítica_contraloría[#All],5,0),"")</f>
        <v/>
      </c>
      <c r="F1152" t="str">
        <f>+IFERROR(VLOOKUP(Fact_Analitica[[#This Row], [Concepto Anterior]],Conceptos_Analítica_contraloría[#All],7,0),"")</f>
        <v/>
      </c>
      <c r="I1152" t="str">
        <f>+IFERROR(VLOOKUP(D1152,Conceptos_Analítica_contraloría[#All],2,0),"")</f>
        <v/>
      </c>
      <c r="J1152" s="84" t="str">
        <f>+IFERROR(VLOOKUP(D1152,Conceptos_Analítica_contraloría[#All],3,0),"")</f>
        <v/>
      </c>
    </row>
    <row r="1153" spans="3:10" ht="18.75" customHeight="1" x14ac:dyDescent="0.35">
      <c r="C1153" s="100" t="str">
        <f>IF(OR(Fact_Analitica[[#This Row], [Año]]="",Fact_Analitica[[#This Row], [Mes]]=""),"",DATE(A1153,MATCH(B1153,{"enero","febrero","marzo","abril","mayo","junio","julio","agosto","septiembre","octubre","noviembre","diciembre"},0)+1,0))</f>
        <v/>
      </c>
      <c r="E1153" t="str">
        <f>+IFERROR(VLOOKUP(Fact_Analitica[[#This Row], [Concepto Anterior]],Conceptos_Analítica_contraloría[#All],5,0),"")</f>
        <v/>
      </c>
      <c r="F1153" t="str">
        <f>+IFERROR(VLOOKUP(Fact_Analitica[[#This Row], [Concepto Anterior]],Conceptos_Analítica_contraloría[#All],7,0),"")</f>
        <v/>
      </c>
      <c r="I1153" t="str">
        <f>+IFERROR(VLOOKUP(D1153,Conceptos_Analítica_contraloría[#All],2,0),"")</f>
        <v/>
      </c>
      <c r="J1153" s="84" t="str">
        <f>+IFERROR(VLOOKUP(D1153,Conceptos_Analítica_contraloría[#All],3,0),"")</f>
        <v/>
      </c>
    </row>
    <row r="1154" spans="3:10" ht="18.75" customHeight="1" x14ac:dyDescent="0.35">
      <c r="C1154" s="100" t="str">
        <f>IF(OR(Fact_Analitica[[#This Row], [Año]]="",Fact_Analitica[[#This Row], [Mes]]=""),"",DATE(A1154,MATCH(B1154,{"enero","febrero","marzo","abril","mayo","junio","julio","agosto","septiembre","octubre","noviembre","diciembre"},0)+1,0))</f>
        <v/>
      </c>
      <c r="E1154" t="str">
        <f>+IFERROR(VLOOKUP(Fact_Analitica[[#This Row], [Concepto Anterior]],Conceptos_Analítica_contraloría[#All],5,0),"")</f>
        <v/>
      </c>
      <c r="F1154" t="str">
        <f>+IFERROR(VLOOKUP(Fact_Analitica[[#This Row], [Concepto Anterior]],Conceptos_Analítica_contraloría[#All],7,0),"")</f>
        <v/>
      </c>
      <c r="I1154" t="str">
        <f>+IFERROR(VLOOKUP(D1154,Conceptos_Analítica_contraloría[#All],2,0),"")</f>
        <v/>
      </c>
      <c r="J1154" s="84" t="str">
        <f>+IFERROR(VLOOKUP(D1154,Conceptos_Analítica_contraloría[#All],3,0),"")</f>
        <v/>
      </c>
    </row>
    <row r="1155" spans="3:10" ht="18.75" customHeight="1" x14ac:dyDescent="0.35">
      <c r="C1155" s="100" t="str">
        <f>IF(OR(Fact_Analitica[[#This Row], [Año]]="",Fact_Analitica[[#This Row], [Mes]]=""),"",DATE(A1155,MATCH(B1155,{"enero","febrero","marzo","abril","mayo","junio","julio","agosto","septiembre","octubre","noviembre","diciembre"},0)+1,0))</f>
        <v/>
      </c>
      <c r="E1155" t="str">
        <f>+IFERROR(VLOOKUP(Fact_Analitica[[#This Row], [Concepto Anterior]],Conceptos_Analítica_contraloría[#All],5,0),"")</f>
        <v/>
      </c>
      <c r="F1155" t="str">
        <f>+IFERROR(VLOOKUP(Fact_Analitica[[#This Row], [Concepto Anterior]],Conceptos_Analítica_contraloría[#All],7,0),"")</f>
        <v/>
      </c>
      <c r="I1155" t="str">
        <f>+IFERROR(VLOOKUP(D1155,Conceptos_Analítica_contraloría[#All],2,0),"")</f>
        <v/>
      </c>
      <c r="J1155" s="84" t="str">
        <f>+IFERROR(VLOOKUP(D1155,Conceptos_Analítica_contraloría[#All],3,0),"")</f>
        <v/>
      </c>
    </row>
    <row r="1156" spans="3:10" ht="18.75" customHeight="1" x14ac:dyDescent="0.35">
      <c r="C1156" s="100" t="str">
        <f>IF(OR(Fact_Analitica[[#This Row], [Año]]="",Fact_Analitica[[#This Row], [Mes]]=""),"",DATE(A1156,MATCH(B1156,{"enero","febrero","marzo","abril","mayo","junio","julio","agosto","septiembre","octubre","noviembre","diciembre"},0)+1,0))</f>
        <v/>
      </c>
      <c r="E1156" t="str">
        <f>+IFERROR(VLOOKUP(Fact_Analitica[[#This Row], [Concepto Anterior]],Conceptos_Analítica_contraloría[#All],5,0),"")</f>
        <v/>
      </c>
      <c r="F1156" t="str">
        <f>+IFERROR(VLOOKUP(Fact_Analitica[[#This Row], [Concepto Anterior]],Conceptos_Analítica_contraloría[#All],7,0),"")</f>
        <v/>
      </c>
      <c r="I1156" t="str">
        <f>+IFERROR(VLOOKUP(D1156,Conceptos_Analítica_contraloría[#All],2,0),"")</f>
        <v/>
      </c>
      <c r="J1156" s="84" t="str">
        <f>+IFERROR(VLOOKUP(D1156,Conceptos_Analítica_contraloría[#All],3,0),"")</f>
        <v/>
      </c>
    </row>
    <row r="1157" spans="3:10" ht="18.75" customHeight="1" x14ac:dyDescent="0.35">
      <c r="C1157" s="100" t="str">
        <f>IF(OR(Fact_Analitica[[#This Row], [Año]]="",Fact_Analitica[[#This Row], [Mes]]=""),"",DATE(A1157,MATCH(B1157,{"enero","febrero","marzo","abril","mayo","junio","julio","agosto","septiembre","octubre","noviembre","diciembre"},0)+1,0))</f>
        <v/>
      </c>
      <c r="E1157" t="str">
        <f>+IFERROR(VLOOKUP(Fact_Analitica[[#This Row], [Concepto Anterior]],Conceptos_Analítica_contraloría[#All],5,0),"")</f>
        <v/>
      </c>
      <c r="F1157" t="str">
        <f>+IFERROR(VLOOKUP(Fact_Analitica[[#This Row], [Concepto Anterior]],Conceptos_Analítica_contraloría[#All],7,0),"")</f>
        <v/>
      </c>
      <c r="I1157" t="str">
        <f>+IFERROR(VLOOKUP(D1157,Conceptos_Analítica_contraloría[#All],2,0),"")</f>
        <v/>
      </c>
      <c r="J1157" s="84" t="str">
        <f>+IFERROR(VLOOKUP(D1157,Conceptos_Analítica_contraloría[#All],3,0),"")</f>
        <v/>
      </c>
    </row>
    <row r="1158" spans="3:10" ht="18.75" customHeight="1" x14ac:dyDescent="0.35">
      <c r="C1158" s="100" t="str">
        <f>IF(OR(Fact_Analitica[[#This Row], [Año]]="",Fact_Analitica[[#This Row], [Mes]]=""),"",DATE(A1158,MATCH(B1158,{"enero","febrero","marzo","abril","mayo","junio","julio","agosto","septiembre","octubre","noviembre","diciembre"},0)+1,0))</f>
        <v/>
      </c>
      <c r="E1158" t="str">
        <f>+IFERROR(VLOOKUP(Fact_Analitica[[#This Row], [Concepto Anterior]],Conceptos_Analítica_contraloría[#All],5,0),"")</f>
        <v/>
      </c>
      <c r="F1158" t="str">
        <f>+IFERROR(VLOOKUP(Fact_Analitica[[#This Row], [Concepto Anterior]],Conceptos_Analítica_contraloría[#All],7,0),"")</f>
        <v/>
      </c>
      <c r="I1158" t="str">
        <f>+IFERROR(VLOOKUP(D1158,Conceptos_Analítica_contraloría[#All],2,0),"")</f>
        <v/>
      </c>
      <c r="J1158" s="84" t="str">
        <f>+IFERROR(VLOOKUP(D1158,Conceptos_Analítica_contraloría[#All],3,0),"")</f>
        <v/>
      </c>
    </row>
    <row r="1159" spans="3:10" ht="18.75" customHeight="1" x14ac:dyDescent="0.35">
      <c r="C1159" s="100" t="str">
        <f>IF(OR(Fact_Analitica[[#This Row], [Año]]="",Fact_Analitica[[#This Row], [Mes]]=""),"",DATE(A1159,MATCH(B1159,{"enero","febrero","marzo","abril","mayo","junio","julio","agosto","septiembre","octubre","noviembre","diciembre"},0)+1,0))</f>
        <v/>
      </c>
      <c r="E1159" t="str">
        <f>+IFERROR(VLOOKUP(Fact_Analitica[[#This Row], [Concepto Anterior]],Conceptos_Analítica_contraloría[#All],5,0),"")</f>
        <v/>
      </c>
      <c r="F1159" t="str">
        <f>+IFERROR(VLOOKUP(Fact_Analitica[[#This Row], [Concepto Anterior]],Conceptos_Analítica_contraloría[#All],7,0),"")</f>
        <v/>
      </c>
      <c r="I1159" t="str">
        <f>+IFERROR(VLOOKUP(D1159,Conceptos_Analítica_contraloría[#All],2,0),"")</f>
        <v/>
      </c>
      <c r="J1159" s="84" t="str">
        <f>+IFERROR(VLOOKUP(D1159,Conceptos_Analítica_contraloría[#All],3,0),"")</f>
        <v/>
      </c>
    </row>
    <row r="1160" spans="3:10" ht="18.75" customHeight="1" x14ac:dyDescent="0.35">
      <c r="C1160" s="100" t="str">
        <f>IF(OR(Fact_Analitica[[#This Row], [Año]]="",Fact_Analitica[[#This Row], [Mes]]=""),"",DATE(A1160,MATCH(B1160,{"enero","febrero","marzo","abril","mayo","junio","julio","agosto","septiembre","octubre","noviembre","diciembre"},0)+1,0))</f>
        <v/>
      </c>
      <c r="E1160" t="str">
        <f>+IFERROR(VLOOKUP(Fact_Analitica[[#This Row], [Concepto Anterior]],Conceptos_Analítica_contraloría[#All],5,0),"")</f>
        <v/>
      </c>
      <c r="F1160" t="str">
        <f>+IFERROR(VLOOKUP(Fact_Analitica[[#This Row], [Concepto Anterior]],Conceptos_Analítica_contraloría[#All],7,0),"")</f>
        <v/>
      </c>
      <c r="I1160" t="str">
        <f>+IFERROR(VLOOKUP(D1160,Conceptos_Analítica_contraloría[#All],2,0),"")</f>
        <v/>
      </c>
      <c r="J1160" s="84" t="str">
        <f>+IFERROR(VLOOKUP(D1160,Conceptos_Analítica_contraloría[#All],3,0),"")</f>
        <v/>
      </c>
    </row>
    <row r="1161" spans="3:10" ht="18.75" customHeight="1" x14ac:dyDescent="0.35">
      <c r="C1161" s="100" t="str">
        <f>IF(OR(Fact_Analitica[[#This Row], [Año]]="",Fact_Analitica[[#This Row], [Mes]]=""),"",DATE(A1161,MATCH(B1161,{"enero","febrero","marzo","abril","mayo","junio","julio","agosto","septiembre","octubre","noviembre","diciembre"},0)+1,0))</f>
        <v/>
      </c>
      <c r="E1161" t="str">
        <f>+IFERROR(VLOOKUP(Fact_Analitica[[#This Row], [Concepto Anterior]],Conceptos_Analítica_contraloría[#All],5,0),"")</f>
        <v/>
      </c>
      <c r="F1161" t="str">
        <f>+IFERROR(VLOOKUP(Fact_Analitica[[#This Row], [Concepto Anterior]],Conceptos_Analítica_contraloría[#All],7,0),"")</f>
        <v/>
      </c>
      <c r="I1161" t="str">
        <f>+IFERROR(VLOOKUP(D1161,Conceptos_Analítica_contraloría[#All],2,0),"")</f>
        <v/>
      </c>
      <c r="J1161" s="84" t="str">
        <f>+IFERROR(VLOOKUP(D1161,Conceptos_Analítica_contraloría[#All],3,0),"")</f>
        <v/>
      </c>
    </row>
    <row r="1162" spans="3:10" ht="18.75" customHeight="1" x14ac:dyDescent="0.35">
      <c r="C1162" s="100" t="str">
        <f>IF(OR(Fact_Analitica[[#This Row], [Año]]="",Fact_Analitica[[#This Row], [Mes]]=""),"",DATE(A1162,MATCH(B1162,{"enero","febrero","marzo","abril","mayo","junio","julio","agosto","septiembre","octubre","noviembre","diciembre"},0)+1,0))</f>
        <v/>
      </c>
      <c r="E1162" t="str">
        <f>+IFERROR(VLOOKUP(Fact_Analitica[[#This Row], [Concepto Anterior]],Conceptos_Analítica_contraloría[#All],5,0),"")</f>
        <v/>
      </c>
      <c r="F1162" t="str">
        <f>+IFERROR(VLOOKUP(Fact_Analitica[[#This Row], [Concepto Anterior]],Conceptos_Analítica_contraloría[#All],7,0),"")</f>
        <v/>
      </c>
      <c r="I1162" t="str">
        <f>+IFERROR(VLOOKUP(D1162,Conceptos_Analítica_contraloría[#All],2,0),"")</f>
        <v/>
      </c>
      <c r="J1162" s="84" t="str">
        <f>+IFERROR(VLOOKUP(D1162,Conceptos_Analítica_contraloría[#All],3,0),"")</f>
        <v/>
      </c>
    </row>
    <row r="1163" spans="3:10" ht="18.75" customHeight="1" x14ac:dyDescent="0.35">
      <c r="C1163" s="100" t="str">
        <f>IF(OR(Fact_Analitica[[#This Row], [Año]]="",Fact_Analitica[[#This Row], [Mes]]=""),"",DATE(A1163,MATCH(B1163,{"enero","febrero","marzo","abril","mayo","junio","julio","agosto","septiembre","octubre","noviembre","diciembre"},0)+1,0))</f>
        <v/>
      </c>
      <c r="E1163" t="str">
        <f>+IFERROR(VLOOKUP(Fact_Analitica[[#This Row], [Concepto Anterior]],Conceptos_Analítica_contraloría[#All],5,0),"")</f>
        <v/>
      </c>
      <c r="F1163" t="str">
        <f>+IFERROR(VLOOKUP(Fact_Analitica[[#This Row], [Concepto Anterior]],Conceptos_Analítica_contraloría[#All],7,0),"")</f>
        <v/>
      </c>
      <c r="I1163" t="str">
        <f>+IFERROR(VLOOKUP(D1163,Conceptos_Analítica_contraloría[#All],2,0),"")</f>
        <v/>
      </c>
      <c r="J1163" s="84" t="str">
        <f>+IFERROR(VLOOKUP(D1163,Conceptos_Analítica_contraloría[#All],3,0),"")</f>
        <v/>
      </c>
    </row>
    <row r="1164" spans="3:10" ht="18.75" customHeight="1" x14ac:dyDescent="0.35">
      <c r="C1164" s="100" t="str">
        <f>IF(OR(Fact_Analitica[[#This Row], [Año]]="",Fact_Analitica[[#This Row], [Mes]]=""),"",DATE(A1164,MATCH(B1164,{"enero","febrero","marzo","abril","mayo","junio","julio","agosto","septiembre","octubre","noviembre","diciembre"},0)+1,0))</f>
        <v/>
      </c>
      <c r="E1164" t="str">
        <f>+IFERROR(VLOOKUP(Fact_Analitica[[#This Row], [Concepto Anterior]],Conceptos_Analítica_contraloría[#All],5,0),"")</f>
        <v/>
      </c>
      <c r="F1164" t="str">
        <f>+IFERROR(VLOOKUP(Fact_Analitica[[#This Row], [Concepto Anterior]],Conceptos_Analítica_contraloría[#All],7,0),"")</f>
        <v/>
      </c>
      <c r="I1164" t="str">
        <f>+IFERROR(VLOOKUP(D1164,Conceptos_Analítica_contraloría[#All],2,0),"")</f>
        <v/>
      </c>
      <c r="J1164" s="84" t="str">
        <f>+IFERROR(VLOOKUP(D1164,Conceptos_Analítica_contraloría[#All],3,0),"")</f>
        <v/>
      </c>
    </row>
    <row r="1165" spans="3:10" ht="18.75" customHeight="1" x14ac:dyDescent="0.35">
      <c r="C1165" s="100" t="str">
        <f>IF(OR(Fact_Analitica[[#This Row], [Año]]="",Fact_Analitica[[#This Row], [Mes]]=""),"",DATE(A1165,MATCH(B1165,{"enero","febrero","marzo","abril","mayo","junio","julio","agosto","septiembre","octubre","noviembre","diciembre"},0)+1,0))</f>
        <v/>
      </c>
      <c r="E1165" t="str">
        <f>+IFERROR(VLOOKUP(Fact_Analitica[[#This Row], [Concepto Anterior]],Conceptos_Analítica_contraloría[#All],5,0),"")</f>
        <v/>
      </c>
      <c r="F1165" t="str">
        <f>+IFERROR(VLOOKUP(Fact_Analitica[[#This Row], [Concepto Anterior]],Conceptos_Analítica_contraloría[#All],7,0),"")</f>
        <v/>
      </c>
      <c r="I1165" t="str">
        <f>+IFERROR(VLOOKUP(D1165,Conceptos_Analítica_contraloría[#All],2,0),"")</f>
        <v/>
      </c>
      <c r="J1165" s="84" t="str">
        <f>+IFERROR(VLOOKUP(D1165,Conceptos_Analítica_contraloría[#All],3,0),"")</f>
        <v/>
      </c>
    </row>
    <row r="1166" spans="3:10" ht="18.75" customHeight="1" x14ac:dyDescent="0.35">
      <c r="C1166" s="100" t="str">
        <f>IF(OR(Fact_Analitica[[#This Row], [Año]]="",Fact_Analitica[[#This Row], [Mes]]=""),"",DATE(A1166,MATCH(B1166,{"enero","febrero","marzo","abril","mayo","junio","julio","agosto","septiembre","octubre","noviembre","diciembre"},0)+1,0))</f>
        <v/>
      </c>
      <c r="E1166" t="str">
        <f>+IFERROR(VLOOKUP(Fact_Analitica[[#This Row], [Concepto Anterior]],Conceptos_Analítica_contraloría[#All],5,0),"")</f>
        <v/>
      </c>
      <c r="F1166" t="str">
        <f>+IFERROR(VLOOKUP(Fact_Analitica[[#This Row], [Concepto Anterior]],Conceptos_Analítica_contraloría[#All],7,0),"")</f>
        <v/>
      </c>
      <c r="I1166" t="str">
        <f>+IFERROR(VLOOKUP(D1166,Conceptos_Analítica_contraloría[#All],2,0),"")</f>
        <v/>
      </c>
      <c r="J1166" s="84" t="str">
        <f>+IFERROR(VLOOKUP(D1166,Conceptos_Analítica_contraloría[#All],3,0),"")</f>
        <v/>
      </c>
    </row>
    <row r="1167" spans="3:10" ht="18.75" customHeight="1" x14ac:dyDescent="0.35">
      <c r="C1167" s="100" t="str">
        <f>IF(OR(Fact_Analitica[[#This Row], [Año]]="",Fact_Analitica[[#This Row], [Mes]]=""),"",DATE(A1167,MATCH(B1167,{"enero","febrero","marzo","abril","mayo","junio","julio","agosto","septiembre","octubre","noviembre","diciembre"},0)+1,0))</f>
        <v/>
      </c>
      <c r="E1167" t="str">
        <f>+IFERROR(VLOOKUP(Fact_Analitica[[#This Row], [Concepto Anterior]],Conceptos_Analítica_contraloría[#All],5,0),"")</f>
        <v/>
      </c>
      <c r="F1167" t="str">
        <f>+IFERROR(VLOOKUP(Fact_Analitica[[#This Row], [Concepto Anterior]],Conceptos_Analítica_contraloría[#All],7,0),"")</f>
        <v/>
      </c>
      <c r="I1167" t="str">
        <f>+IFERROR(VLOOKUP(D1167,Conceptos_Analítica_contraloría[#All],2,0),"")</f>
        <v/>
      </c>
      <c r="J1167" s="84" t="str">
        <f>+IFERROR(VLOOKUP(D1167,Conceptos_Analítica_contraloría[#All],3,0),"")</f>
        <v/>
      </c>
    </row>
    <row r="1168" spans="3:10" ht="18.75" customHeight="1" x14ac:dyDescent="0.35">
      <c r="C1168" s="100" t="str">
        <f>IF(OR(Fact_Analitica[[#This Row], [Año]]="",Fact_Analitica[[#This Row], [Mes]]=""),"",DATE(A1168,MATCH(B1168,{"enero","febrero","marzo","abril","mayo","junio","julio","agosto","septiembre","octubre","noviembre","diciembre"},0)+1,0))</f>
        <v/>
      </c>
      <c r="E1168" t="str">
        <f>+IFERROR(VLOOKUP(Fact_Analitica[[#This Row], [Concepto Anterior]],Conceptos_Analítica_contraloría[#All],5,0),"")</f>
        <v/>
      </c>
      <c r="F1168" t="str">
        <f>+IFERROR(VLOOKUP(Fact_Analitica[[#This Row], [Concepto Anterior]],Conceptos_Analítica_contraloría[#All],7,0),"")</f>
        <v/>
      </c>
      <c r="I1168" t="str">
        <f>+IFERROR(VLOOKUP(D1168,Conceptos_Analítica_contraloría[#All],2,0),"")</f>
        <v/>
      </c>
      <c r="J1168" s="84" t="str">
        <f>+IFERROR(VLOOKUP(D1168,Conceptos_Analítica_contraloría[#All],3,0),"")</f>
        <v/>
      </c>
    </row>
    <row r="1169" spans="3:10" ht="18.75" customHeight="1" x14ac:dyDescent="0.35">
      <c r="C1169" s="100" t="str">
        <f>IF(OR(Fact_Analitica[[#This Row], [Año]]="",Fact_Analitica[[#This Row], [Mes]]=""),"",DATE(A1169,MATCH(B1169,{"enero","febrero","marzo","abril","mayo","junio","julio","agosto","septiembre","octubre","noviembre","diciembre"},0)+1,0))</f>
        <v/>
      </c>
      <c r="E1169" t="str">
        <f>+IFERROR(VLOOKUP(Fact_Analitica[[#This Row], [Concepto Anterior]],Conceptos_Analítica_contraloría[#All],5,0),"")</f>
        <v/>
      </c>
      <c r="F1169" t="str">
        <f>+IFERROR(VLOOKUP(Fact_Analitica[[#This Row], [Concepto Anterior]],Conceptos_Analítica_contraloría[#All],7,0),"")</f>
        <v/>
      </c>
      <c r="I1169" t="str">
        <f>+IFERROR(VLOOKUP(D1169,Conceptos_Analítica_contraloría[#All],2,0),"")</f>
        <v/>
      </c>
      <c r="J1169" s="84" t="str">
        <f>+IFERROR(VLOOKUP(D1169,Conceptos_Analítica_contraloría[#All],3,0),"")</f>
        <v/>
      </c>
    </row>
    <row r="1170" spans="3:10" ht="18.75" customHeight="1" x14ac:dyDescent="0.35">
      <c r="C1170" s="100" t="str">
        <f>IF(OR(Fact_Analitica[[#This Row], [Año]]="",Fact_Analitica[[#This Row], [Mes]]=""),"",DATE(A1170,MATCH(B1170,{"enero","febrero","marzo","abril","mayo","junio","julio","agosto","septiembre","octubre","noviembre","diciembre"},0)+1,0))</f>
        <v/>
      </c>
      <c r="E1170" t="str">
        <f>+IFERROR(VLOOKUP(Fact_Analitica[[#This Row], [Concepto Anterior]],Conceptos_Analítica_contraloría[#All],5,0),"")</f>
        <v/>
      </c>
      <c r="F1170" t="str">
        <f>+IFERROR(VLOOKUP(Fact_Analitica[[#This Row], [Concepto Anterior]],Conceptos_Analítica_contraloría[#All],7,0),"")</f>
        <v/>
      </c>
      <c r="I1170" t="str">
        <f>+IFERROR(VLOOKUP(D1170,Conceptos_Analítica_contraloría[#All],2,0),"")</f>
        <v/>
      </c>
      <c r="J1170" s="84" t="str">
        <f>+IFERROR(VLOOKUP(D1170,Conceptos_Analítica_contraloría[#All],3,0),"")</f>
        <v/>
      </c>
    </row>
    <row r="1171" spans="3:10" ht="18.75" customHeight="1" x14ac:dyDescent="0.35">
      <c r="C1171" s="100" t="str">
        <f>IF(OR(Fact_Analitica[[#This Row], [Año]]="",Fact_Analitica[[#This Row], [Mes]]=""),"",DATE(A1171,MATCH(B1171,{"enero","febrero","marzo","abril","mayo","junio","julio","agosto","septiembre","octubre","noviembre","diciembre"},0)+1,0))</f>
        <v/>
      </c>
      <c r="E1171" t="str">
        <f>+IFERROR(VLOOKUP(Fact_Analitica[[#This Row], [Concepto Anterior]],Conceptos_Analítica_contraloría[#All],5,0),"")</f>
        <v/>
      </c>
      <c r="F1171" t="str">
        <f>+IFERROR(VLOOKUP(Fact_Analitica[[#This Row], [Concepto Anterior]],Conceptos_Analítica_contraloría[#All],7,0),"")</f>
        <v/>
      </c>
      <c r="I1171" t="str">
        <f>+IFERROR(VLOOKUP(D1171,Conceptos_Analítica_contraloría[#All],2,0),"")</f>
        <v/>
      </c>
      <c r="J1171" s="84" t="str">
        <f>+IFERROR(VLOOKUP(D1171,Conceptos_Analítica_contraloría[#All],3,0),"")</f>
        <v/>
      </c>
    </row>
    <row r="1172" spans="3:10" ht="18.75" customHeight="1" x14ac:dyDescent="0.35">
      <c r="C1172" s="100" t="str">
        <f>IF(OR(Fact_Analitica[[#This Row], [Año]]="",Fact_Analitica[[#This Row], [Mes]]=""),"",DATE(A1172,MATCH(B1172,{"enero","febrero","marzo","abril","mayo","junio","julio","agosto","septiembre","octubre","noviembre","diciembre"},0)+1,0))</f>
        <v/>
      </c>
      <c r="E1172" t="str">
        <f>+IFERROR(VLOOKUP(Fact_Analitica[[#This Row], [Concepto Anterior]],Conceptos_Analítica_contraloría[#All],5,0),"")</f>
        <v/>
      </c>
      <c r="F1172" t="str">
        <f>+IFERROR(VLOOKUP(Fact_Analitica[[#This Row], [Concepto Anterior]],Conceptos_Analítica_contraloría[#All],7,0),"")</f>
        <v/>
      </c>
      <c r="I1172" t="str">
        <f>+IFERROR(VLOOKUP(D1172,Conceptos_Analítica_contraloría[#All],2,0),"")</f>
        <v/>
      </c>
      <c r="J1172" s="84" t="str">
        <f>+IFERROR(VLOOKUP(D1172,Conceptos_Analítica_contraloría[#All],3,0),"")</f>
        <v/>
      </c>
    </row>
    <row r="1173" spans="3:10" ht="18.75" customHeight="1" x14ac:dyDescent="0.35">
      <c r="C1173" s="100" t="str">
        <f>IF(OR(Fact_Analitica[[#This Row], [Año]]="",Fact_Analitica[[#This Row], [Mes]]=""),"",DATE(A1173,MATCH(B1173,{"enero","febrero","marzo","abril","mayo","junio","julio","agosto","septiembre","octubre","noviembre","diciembre"},0)+1,0))</f>
        <v/>
      </c>
      <c r="E1173" t="str">
        <f>+IFERROR(VLOOKUP(Fact_Analitica[[#This Row], [Concepto Anterior]],Conceptos_Analítica_contraloría[#All],5,0),"")</f>
        <v/>
      </c>
      <c r="F1173" t="str">
        <f>+IFERROR(VLOOKUP(Fact_Analitica[[#This Row], [Concepto Anterior]],Conceptos_Analítica_contraloría[#All],7,0),"")</f>
        <v/>
      </c>
      <c r="I1173" t="str">
        <f>+IFERROR(VLOOKUP(D1173,Conceptos_Analítica_contraloría[#All],2,0),"")</f>
        <v/>
      </c>
      <c r="J1173" s="84" t="str">
        <f>+IFERROR(VLOOKUP(D1173,Conceptos_Analítica_contraloría[#All],3,0),"")</f>
        <v/>
      </c>
    </row>
    <row r="1174" spans="3:10" ht="18.75" customHeight="1" x14ac:dyDescent="0.35">
      <c r="C1174" s="100" t="str">
        <f>IF(OR(Fact_Analitica[[#This Row], [Año]]="",Fact_Analitica[[#This Row], [Mes]]=""),"",DATE(A1174,MATCH(B1174,{"enero","febrero","marzo","abril","mayo","junio","julio","agosto","septiembre","octubre","noviembre","diciembre"},0)+1,0))</f>
        <v/>
      </c>
      <c r="E1174" t="str">
        <f>+IFERROR(VLOOKUP(Fact_Analitica[[#This Row], [Concepto Anterior]],Conceptos_Analítica_contraloría[#All],5,0),"")</f>
        <v/>
      </c>
      <c r="F1174" t="str">
        <f>+IFERROR(VLOOKUP(Fact_Analitica[[#This Row], [Concepto Anterior]],Conceptos_Analítica_contraloría[#All],7,0),"")</f>
        <v/>
      </c>
      <c r="I1174" t="str">
        <f>+IFERROR(VLOOKUP(D1174,Conceptos_Analítica_contraloría[#All],2,0),"")</f>
        <v/>
      </c>
      <c r="J1174" s="84" t="str">
        <f>+IFERROR(VLOOKUP(D1174,Conceptos_Analítica_contraloría[#All],3,0),"")</f>
        <v/>
      </c>
    </row>
    <row r="1175" spans="3:10" ht="18.75" customHeight="1" x14ac:dyDescent="0.35">
      <c r="C1175" s="100" t="str">
        <f>IF(OR(Fact_Analitica[[#This Row], [Año]]="",Fact_Analitica[[#This Row], [Mes]]=""),"",DATE(A1175,MATCH(B1175,{"enero","febrero","marzo","abril","mayo","junio","julio","agosto","septiembre","octubre","noviembre","diciembre"},0)+1,0))</f>
        <v/>
      </c>
      <c r="E1175" t="str">
        <f>+IFERROR(VLOOKUP(Fact_Analitica[[#This Row], [Concepto Anterior]],Conceptos_Analítica_contraloría[#All],5,0),"")</f>
        <v/>
      </c>
      <c r="F1175" t="str">
        <f>+IFERROR(VLOOKUP(Fact_Analitica[[#This Row], [Concepto Anterior]],Conceptos_Analítica_contraloría[#All],7,0),"")</f>
        <v/>
      </c>
      <c r="I1175" t="str">
        <f>+IFERROR(VLOOKUP(D1175,Conceptos_Analítica_contraloría[#All],2,0),"")</f>
        <v/>
      </c>
      <c r="J1175" s="84" t="str">
        <f>+IFERROR(VLOOKUP(D1175,Conceptos_Analítica_contraloría[#All],3,0),"")</f>
        <v/>
      </c>
    </row>
    <row r="1176" spans="3:10" ht="18.75" customHeight="1" x14ac:dyDescent="0.35">
      <c r="C1176" s="100" t="str">
        <f>IF(OR(Fact_Analitica[[#This Row], [Año]]="",Fact_Analitica[[#This Row], [Mes]]=""),"",DATE(A1176,MATCH(B1176,{"enero","febrero","marzo","abril","mayo","junio","julio","agosto","septiembre","octubre","noviembre","diciembre"},0)+1,0))</f>
        <v/>
      </c>
      <c r="E1176" t="str">
        <f>+IFERROR(VLOOKUP(Fact_Analitica[[#This Row], [Concepto Anterior]],Conceptos_Analítica_contraloría[#All],5,0),"")</f>
        <v/>
      </c>
      <c r="F1176" t="str">
        <f>+IFERROR(VLOOKUP(Fact_Analitica[[#This Row], [Concepto Anterior]],Conceptos_Analítica_contraloría[#All],7,0),"")</f>
        <v/>
      </c>
      <c r="I1176" t="str">
        <f>+IFERROR(VLOOKUP(D1176,Conceptos_Analítica_contraloría[#All],2,0),"")</f>
        <v/>
      </c>
      <c r="J1176" s="84" t="str">
        <f>+IFERROR(VLOOKUP(D1176,Conceptos_Analítica_contraloría[#All],3,0),"")</f>
        <v/>
      </c>
    </row>
    <row r="1177" spans="3:10" ht="18.75" customHeight="1" x14ac:dyDescent="0.35">
      <c r="C1177" s="100" t="str">
        <f>IF(OR(Fact_Analitica[[#This Row], [Año]]="",Fact_Analitica[[#This Row], [Mes]]=""),"",DATE(A1177,MATCH(B1177,{"enero","febrero","marzo","abril","mayo","junio","julio","agosto","septiembre","octubre","noviembre","diciembre"},0)+1,0))</f>
        <v/>
      </c>
      <c r="E1177" t="str">
        <f>+IFERROR(VLOOKUP(Fact_Analitica[[#This Row], [Concepto Anterior]],Conceptos_Analítica_contraloría[#All],5,0),"")</f>
        <v/>
      </c>
      <c r="F1177" t="str">
        <f>+IFERROR(VLOOKUP(Fact_Analitica[[#This Row], [Concepto Anterior]],Conceptos_Analítica_contraloría[#All],7,0),"")</f>
        <v/>
      </c>
      <c r="I1177" t="str">
        <f>+IFERROR(VLOOKUP(D1177,Conceptos_Analítica_contraloría[#All],2,0),"")</f>
        <v/>
      </c>
      <c r="J1177" s="84" t="str">
        <f>+IFERROR(VLOOKUP(D1177,Conceptos_Analítica_contraloría[#All],3,0),"")</f>
        <v/>
      </c>
    </row>
    <row r="1178" spans="3:10" ht="18.75" customHeight="1" x14ac:dyDescent="0.35">
      <c r="C1178" s="100" t="str">
        <f>IF(OR(Fact_Analitica[[#This Row], [Año]]="",Fact_Analitica[[#This Row], [Mes]]=""),"",DATE(A1178,MATCH(B1178,{"enero","febrero","marzo","abril","mayo","junio","julio","agosto","septiembre","octubre","noviembre","diciembre"},0)+1,0))</f>
        <v/>
      </c>
      <c r="E1178" t="str">
        <f>+IFERROR(VLOOKUP(Fact_Analitica[[#This Row], [Concepto Anterior]],Conceptos_Analítica_contraloría[#All],5,0),"")</f>
        <v/>
      </c>
      <c r="F1178" t="str">
        <f>+IFERROR(VLOOKUP(Fact_Analitica[[#This Row], [Concepto Anterior]],Conceptos_Analítica_contraloría[#All],7,0),"")</f>
        <v/>
      </c>
      <c r="I1178" t="str">
        <f>+IFERROR(VLOOKUP(D1178,Conceptos_Analítica_contraloría[#All],2,0),"")</f>
        <v/>
      </c>
      <c r="J1178" s="84" t="str">
        <f>+IFERROR(VLOOKUP(D1178,Conceptos_Analítica_contraloría[#All],3,0),"")</f>
        <v/>
      </c>
    </row>
    <row r="1179" spans="3:10" ht="18.75" customHeight="1" x14ac:dyDescent="0.35">
      <c r="C1179" s="100" t="str">
        <f>IF(OR(Fact_Analitica[[#This Row], [Año]]="",Fact_Analitica[[#This Row], [Mes]]=""),"",DATE(A1179,MATCH(B1179,{"enero","febrero","marzo","abril","mayo","junio","julio","agosto","septiembre","octubre","noviembre","diciembre"},0)+1,0))</f>
        <v/>
      </c>
      <c r="E1179" t="str">
        <f>+IFERROR(VLOOKUP(Fact_Analitica[[#This Row], [Concepto Anterior]],Conceptos_Analítica_contraloría[#All],5,0),"")</f>
        <v/>
      </c>
      <c r="F1179" t="str">
        <f>+IFERROR(VLOOKUP(Fact_Analitica[[#This Row], [Concepto Anterior]],Conceptos_Analítica_contraloría[#All],7,0),"")</f>
        <v/>
      </c>
      <c r="I1179" t="str">
        <f>+IFERROR(VLOOKUP(D1179,Conceptos_Analítica_contraloría[#All],2,0),"")</f>
        <v/>
      </c>
      <c r="J1179" s="84" t="str">
        <f>+IFERROR(VLOOKUP(D1179,Conceptos_Analítica_contraloría[#All],3,0),"")</f>
        <v/>
      </c>
    </row>
    <row r="1180" spans="3:10" ht="18.75" customHeight="1" x14ac:dyDescent="0.35">
      <c r="C1180" s="100" t="str">
        <f>IF(OR(Fact_Analitica[[#This Row], [Año]]="",Fact_Analitica[[#This Row], [Mes]]=""),"",DATE(A1180,MATCH(B1180,{"enero","febrero","marzo","abril","mayo","junio","julio","agosto","septiembre","octubre","noviembre","diciembre"},0)+1,0))</f>
        <v/>
      </c>
      <c r="E1180" t="str">
        <f>+IFERROR(VLOOKUP(Fact_Analitica[[#This Row], [Concepto Anterior]],Conceptos_Analítica_contraloría[#All],5,0),"")</f>
        <v/>
      </c>
      <c r="F1180" t="str">
        <f>+IFERROR(VLOOKUP(Fact_Analitica[[#This Row], [Concepto Anterior]],Conceptos_Analítica_contraloría[#All],7,0),"")</f>
        <v/>
      </c>
      <c r="I1180" t="str">
        <f>+IFERROR(VLOOKUP(D1180,Conceptos_Analítica_contraloría[#All],2,0),"")</f>
        <v/>
      </c>
      <c r="J1180" s="84" t="str">
        <f>+IFERROR(VLOOKUP(D1180,Conceptos_Analítica_contraloría[#All],3,0),"")</f>
        <v/>
      </c>
    </row>
    <row r="1181" spans="3:10" ht="18.75" customHeight="1" x14ac:dyDescent="0.35">
      <c r="C1181" s="100" t="str">
        <f>IF(OR(Fact_Analitica[[#This Row], [Año]]="",Fact_Analitica[[#This Row], [Mes]]=""),"",DATE(A1181,MATCH(B1181,{"enero","febrero","marzo","abril","mayo","junio","julio","agosto","septiembre","octubre","noviembre","diciembre"},0)+1,0))</f>
        <v/>
      </c>
      <c r="E1181" t="str">
        <f>+IFERROR(VLOOKUP(Fact_Analitica[[#This Row], [Concepto Anterior]],Conceptos_Analítica_contraloría[#All],5,0),"")</f>
        <v/>
      </c>
      <c r="F1181" t="str">
        <f>+IFERROR(VLOOKUP(Fact_Analitica[[#This Row], [Concepto Anterior]],Conceptos_Analítica_contraloría[#All],7,0),"")</f>
        <v/>
      </c>
      <c r="I1181" t="str">
        <f>+IFERROR(VLOOKUP(D1181,Conceptos_Analítica_contraloría[#All],2,0),"")</f>
        <v/>
      </c>
      <c r="J1181" s="84" t="str">
        <f>+IFERROR(VLOOKUP(D1181,Conceptos_Analítica_contraloría[#All],3,0),"")</f>
        <v/>
      </c>
    </row>
    <row r="1182" spans="3:10" ht="18.75" customHeight="1" x14ac:dyDescent="0.35">
      <c r="C1182" s="100" t="str">
        <f>IF(OR(Fact_Analitica[[#This Row], [Año]]="",Fact_Analitica[[#This Row], [Mes]]=""),"",DATE(A1182,MATCH(B1182,{"enero","febrero","marzo","abril","mayo","junio","julio","agosto","septiembre","octubre","noviembre","diciembre"},0)+1,0))</f>
        <v/>
      </c>
      <c r="E1182" t="str">
        <f>+IFERROR(VLOOKUP(Fact_Analitica[[#This Row], [Concepto Anterior]],Conceptos_Analítica_contraloría[#All],5,0),"")</f>
        <v/>
      </c>
      <c r="F1182" t="str">
        <f>+IFERROR(VLOOKUP(Fact_Analitica[[#This Row], [Concepto Anterior]],Conceptos_Analítica_contraloría[#All],7,0),"")</f>
        <v/>
      </c>
      <c r="I1182" t="str">
        <f>+IFERROR(VLOOKUP(D1182,Conceptos_Analítica_contraloría[#All],2,0),"")</f>
        <v/>
      </c>
      <c r="J1182" s="84" t="str">
        <f>+IFERROR(VLOOKUP(D1182,Conceptos_Analítica_contraloría[#All],3,0),"")</f>
        <v/>
      </c>
    </row>
    <row r="1183" spans="3:10" ht="18.75" customHeight="1" x14ac:dyDescent="0.35">
      <c r="C1183" s="100" t="str">
        <f>IF(OR(Fact_Analitica[[#This Row], [Año]]="",Fact_Analitica[[#This Row], [Mes]]=""),"",DATE(A1183,MATCH(B1183,{"enero","febrero","marzo","abril","mayo","junio","julio","agosto","septiembre","octubre","noviembre","diciembre"},0)+1,0))</f>
        <v/>
      </c>
      <c r="E1183" t="str">
        <f>+IFERROR(VLOOKUP(Fact_Analitica[[#This Row], [Concepto Anterior]],Conceptos_Analítica_contraloría[#All],5,0),"")</f>
        <v/>
      </c>
      <c r="F1183" t="str">
        <f>+IFERROR(VLOOKUP(Fact_Analitica[[#This Row], [Concepto Anterior]],Conceptos_Analítica_contraloría[#All],7,0),"")</f>
        <v/>
      </c>
      <c r="I1183" t="str">
        <f>+IFERROR(VLOOKUP(D1183,Conceptos_Analítica_contraloría[#All],2,0),"")</f>
        <v/>
      </c>
      <c r="J1183" s="84" t="str">
        <f>+IFERROR(VLOOKUP(D1183,Conceptos_Analítica_contraloría[#All],3,0),"")</f>
        <v/>
      </c>
    </row>
    <row r="1184" spans="3:10" ht="18.75" customHeight="1" x14ac:dyDescent="0.35">
      <c r="C1184" s="100" t="str">
        <f>IF(OR(Fact_Analitica[[#This Row], [Año]]="",Fact_Analitica[[#This Row], [Mes]]=""),"",DATE(A1184,MATCH(B1184,{"enero","febrero","marzo","abril","mayo","junio","julio","agosto","septiembre","octubre","noviembre","diciembre"},0)+1,0))</f>
        <v/>
      </c>
      <c r="E1184" t="str">
        <f>+IFERROR(VLOOKUP(Fact_Analitica[[#This Row], [Concepto Anterior]],Conceptos_Analítica_contraloría[#All],5,0),"")</f>
        <v/>
      </c>
      <c r="F1184" t="str">
        <f>+IFERROR(VLOOKUP(Fact_Analitica[[#This Row], [Concepto Anterior]],Conceptos_Analítica_contraloría[#All],7,0),"")</f>
        <v/>
      </c>
      <c r="I1184" t="str">
        <f>+IFERROR(VLOOKUP(D1184,Conceptos_Analítica_contraloría[#All],2,0),"")</f>
        <v/>
      </c>
      <c r="J1184" s="84" t="str">
        <f>+IFERROR(VLOOKUP(D1184,Conceptos_Analítica_contraloría[#All],3,0),"")</f>
        <v/>
      </c>
    </row>
    <row r="1185" spans="3:10" ht="18.75" customHeight="1" x14ac:dyDescent="0.35">
      <c r="C1185" s="100" t="str">
        <f>IF(OR(Fact_Analitica[[#This Row], [Año]]="",Fact_Analitica[[#This Row], [Mes]]=""),"",DATE(A1185,MATCH(B1185,{"enero","febrero","marzo","abril","mayo","junio","julio","agosto","septiembre","octubre","noviembre","diciembre"},0)+1,0))</f>
        <v/>
      </c>
      <c r="E1185" t="str">
        <f>+IFERROR(VLOOKUP(Fact_Analitica[[#This Row], [Concepto Anterior]],Conceptos_Analítica_contraloría[#All],5,0),"")</f>
        <v/>
      </c>
      <c r="F1185" t="str">
        <f>+IFERROR(VLOOKUP(Fact_Analitica[[#This Row], [Concepto Anterior]],Conceptos_Analítica_contraloría[#All],7,0),"")</f>
        <v/>
      </c>
      <c r="I1185" t="str">
        <f>+IFERROR(VLOOKUP(D1185,Conceptos_Analítica_contraloría[#All],2,0),"")</f>
        <v/>
      </c>
      <c r="J1185" s="84" t="str">
        <f>+IFERROR(VLOOKUP(D1185,Conceptos_Analítica_contraloría[#All],3,0),"")</f>
        <v/>
      </c>
    </row>
    <row r="1186" spans="3:10" ht="18.75" customHeight="1" x14ac:dyDescent="0.35">
      <c r="C1186" s="100" t="str">
        <f>IF(OR(Fact_Analitica[[#This Row], [Año]]="",Fact_Analitica[[#This Row], [Mes]]=""),"",DATE(A1186,MATCH(B1186,{"enero","febrero","marzo","abril","mayo","junio","julio","agosto","septiembre","octubre","noviembre","diciembre"},0)+1,0))</f>
        <v/>
      </c>
      <c r="E1186" t="str">
        <f>+IFERROR(VLOOKUP(Fact_Analitica[[#This Row], [Concepto Anterior]],Conceptos_Analítica_contraloría[#All],5,0),"")</f>
        <v/>
      </c>
      <c r="F1186" t="str">
        <f>+IFERROR(VLOOKUP(Fact_Analitica[[#This Row], [Concepto Anterior]],Conceptos_Analítica_contraloría[#All],7,0),"")</f>
        <v/>
      </c>
      <c r="I1186" t="str">
        <f>+IFERROR(VLOOKUP(D1186,Conceptos_Analítica_contraloría[#All],2,0),"")</f>
        <v/>
      </c>
      <c r="J1186" s="84" t="str">
        <f>+IFERROR(VLOOKUP(D1186,Conceptos_Analítica_contraloría[#All],3,0),"")</f>
        <v/>
      </c>
    </row>
    <row r="1187" spans="3:10" ht="18.75" customHeight="1" x14ac:dyDescent="0.35">
      <c r="C1187" s="100" t="str">
        <f>IF(OR(Fact_Analitica[[#This Row], [Año]]="",Fact_Analitica[[#This Row], [Mes]]=""),"",DATE(A1187,MATCH(B1187,{"enero","febrero","marzo","abril","mayo","junio","julio","agosto","septiembre","octubre","noviembre","diciembre"},0)+1,0))</f>
        <v/>
      </c>
      <c r="E1187" t="str">
        <f>+IFERROR(VLOOKUP(Fact_Analitica[[#This Row], [Concepto Anterior]],Conceptos_Analítica_contraloría[#All],5,0),"")</f>
        <v/>
      </c>
      <c r="F1187" t="str">
        <f>+IFERROR(VLOOKUP(Fact_Analitica[[#This Row], [Concepto Anterior]],Conceptos_Analítica_contraloría[#All],7,0),"")</f>
        <v/>
      </c>
      <c r="I1187" t="str">
        <f>+IFERROR(VLOOKUP(D1187,Conceptos_Analítica_contraloría[#All],2,0),"")</f>
        <v/>
      </c>
      <c r="J1187" s="84" t="str">
        <f>+IFERROR(VLOOKUP(D1187,Conceptos_Analítica_contraloría[#All],3,0),"")</f>
        <v/>
      </c>
    </row>
    <row r="1188" spans="3:10" ht="18.75" customHeight="1" x14ac:dyDescent="0.35">
      <c r="C1188" s="100" t="str">
        <f>IF(OR(Fact_Analitica[[#This Row], [Año]]="",Fact_Analitica[[#This Row], [Mes]]=""),"",DATE(A1188,MATCH(B1188,{"enero","febrero","marzo","abril","mayo","junio","julio","agosto","septiembre","octubre","noviembre","diciembre"},0)+1,0))</f>
        <v/>
      </c>
      <c r="E1188" t="str">
        <f>+IFERROR(VLOOKUP(Fact_Analitica[[#This Row], [Concepto Anterior]],Conceptos_Analítica_contraloría[#All],5,0),"")</f>
        <v/>
      </c>
      <c r="F1188" t="str">
        <f>+IFERROR(VLOOKUP(Fact_Analitica[[#This Row], [Concepto Anterior]],Conceptos_Analítica_contraloría[#All],7,0),"")</f>
        <v/>
      </c>
      <c r="I1188" t="str">
        <f>+IFERROR(VLOOKUP(D1188,Conceptos_Analítica_contraloría[#All],2,0),"")</f>
        <v/>
      </c>
      <c r="J1188" s="84" t="str">
        <f>+IFERROR(VLOOKUP(D1188,Conceptos_Analítica_contraloría[#All],3,0),"")</f>
        <v/>
      </c>
    </row>
    <row r="1189" spans="3:10" ht="18.75" customHeight="1" x14ac:dyDescent="0.35">
      <c r="C1189" s="100" t="str">
        <f>IF(OR(Fact_Analitica[[#This Row], [Año]]="",Fact_Analitica[[#This Row], [Mes]]=""),"",DATE(A1189,MATCH(B1189,{"enero","febrero","marzo","abril","mayo","junio","julio","agosto","septiembre","octubre","noviembre","diciembre"},0)+1,0))</f>
        <v/>
      </c>
      <c r="E1189" t="str">
        <f>+IFERROR(VLOOKUP(Fact_Analitica[[#This Row], [Concepto Anterior]],Conceptos_Analítica_contraloría[#All],5,0),"")</f>
        <v/>
      </c>
      <c r="F1189" t="str">
        <f>+IFERROR(VLOOKUP(Fact_Analitica[[#This Row], [Concepto Anterior]],Conceptos_Analítica_contraloría[#All],7,0),"")</f>
        <v/>
      </c>
      <c r="I1189" t="str">
        <f>+IFERROR(VLOOKUP(D1189,Conceptos_Analítica_contraloría[#All],2,0),"")</f>
        <v/>
      </c>
      <c r="J1189" s="84" t="str">
        <f>+IFERROR(VLOOKUP(D1189,Conceptos_Analítica_contraloría[#All],3,0),"")</f>
        <v/>
      </c>
    </row>
    <row r="1190" spans="3:10" ht="18.75" customHeight="1" x14ac:dyDescent="0.35">
      <c r="C1190" s="100" t="str">
        <f>IF(OR(Fact_Analitica[[#This Row], [Año]]="",Fact_Analitica[[#This Row], [Mes]]=""),"",DATE(A1190,MATCH(B1190,{"enero","febrero","marzo","abril","mayo","junio","julio","agosto","septiembre","octubre","noviembre","diciembre"},0)+1,0))</f>
        <v/>
      </c>
      <c r="E1190" t="str">
        <f>+IFERROR(VLOOKUP(Fact_Analitica[[#This Row], [Concepto Anterior]],Conceptos_Analítica_contraloría[#All],5,0),"")</f>
        <v/>
      </c>
      <c r="F1190" t="str">
        <f>+IFERROR(VLOOKUP(Fact_Analitica[[#This Row], [Concepto Anterior]],Conceptos_Analítica_contraloría[#All],7,0),"")</f>
        <v/>
      </c>
      <c r="I1190" t="str">
        <f>+IFERROR(VLOOKUP(D1190,Conceptos_Analítica_contraloría[#All],2,0),"")</f>
        <v/>
      </c>
      <c r="J1190" s="84" t="str">
        <f>+IFERROR(VLOOKUP(D1190,Conceptos_Analítica_contraloría[#All],3,0),"")</f>
        <v/>
      </c>
    </row>
    <row r="1191" spans="3:10" ht="18.75" customHeight="1" x14ac:dyDescent="0.35">
      <c r="C1191" s="100" t="str">
        <f>IF(OR(Fact_Analitica[[#This Row], [Año]]="",Fact_Analitica[[#This Row], [Mes]]=""),"",DATE(A1191,MATCH(B1191,{"enero","febrero","marzo","abril","mayo","junio","julio","agosto","septiembre","octubre","noviembre","diciembre"},0)+1,0))</f>
        <v/>
      </c>
      <c r="E1191" t="str">
        <f>+IFERROR(VLOOKUP(Fact_Analitica[[#This Row], [Concepto Anterior]],Conceptos_Analítica_contraloría[#All],5,0),"")</f>
        <v/>
      </c>
      <c r="F1191" t="str">
        <f>+IFERROR(VLOOKUP(Fact_Analitica[[#This Row], [Concepto Anterior]],Conceptos_Analítica_contraloría[#All],7,0),"")</f>
        <v/>
      </c>
      <c r="I1191" t="str">
        <f>+IFERROR(VLOOKUP(D1191,Conceptos_Analítica_contraloría[#All],2,0),"")</f>
        <v/>
      </c>
      <c r="J1191" s="84" t="str">
        <f>+IFERROR(VLOOKUP(D1191,Conceptos_Analítica_contraloría[#All],3,0),"")</f>
        <v/>
      </c>
    </row>
    <row r="1192" spans="3:10" ht="18.75" customHeight="1" x14ac:dyDescent="0.35">
      <c r="C1192" s="100" t="str">
        <f>IF(OR(Fact_Analitica[[#This Row], [Año]]="",Fact_Analitica[[#This Row], [Mes]]=""),"",DATE(A1192,MATCH(B1192,{"enero","febrero","marzo","abril","mayo","junio","julio","agosto","septiembre","octubre","noviembre","diciembre"},0)+1,0))</f>
        <v/>
      </c>
      <c r="E1192" t="str">
        <f>+IFERROR(VLOOKUP(Fact_Analitica[[#This Row], [Concepto Anterior]],Conceptos_Analítica_contraloría[#All],5,0),"")</f>
        <v/>
      </c>
      <c r="F1192" t="str">
        <f>+IFERROR(VLOOKUP(Fact_Analitica[[#This Row], [Concepto Anterior]],Conceptos_Analítica_contraloría[#All],7,0),"")</f>
        <v/>
      </c>
      <c r="I1192" t="str">
        <f>+IFERROR(VLOOKUP(D1192,Conceptos_Analítica_contraloría[#All],2,0),"")</f>
        <v/>
      </c>
      <c r="J1192" s="84" t="str">
        <f>+IFERROR(VLOOKUP(D1192,Conceptos_Analítica_contraloría[#All],3,0),"")</f>
        <v/>
      </c>
    </row>
    <row r="1193" spans="3:10" ht="18.75" customHeight="1" x14ac:dyDescent="0.35">
      <c r="C1193" s="100" t="str">
        <f>IF(OR(Fact_Analitica[[#This Row], [Año]]="",Fact_Analitica[[#This Row], [Mes]]=""),"",DATE(A1193,MATCH(B1193,{"enero","febrero","marzo","abril","mayo","junio","julio","agosto","septiembre","octubre","noviembre","diciembre"},0)+1,0))</f>
        <v/>
      </c>
      <c r="E1193" t="str">
        <f>+IFERROR(VLOOKUP(Fact_Analitica[[#This Row], [Concepto Anterior]],Conceptos_Analítica_contraloría[#All],5,0),"")</f>
        <v/>
      </c>
      <c r="F1193" t="str">
        <f>+IFERROR(VLOOKUP(Fact_Analitica[[#This Row], [Concepto Anterior]],Conceptos_Analítica_contraloría[#All],7,0),"")</f>
        <v/>
      </c>
      <c r="I1193" t="str">
        <f>+IFERROR(VLOOKUP(D1193,Conceptos_Analítica_contraloría[#All],2,0),"")</f>
        <v/>
      </c>
      <c r="J1193" s="84" t="str">
        <f>+IFERROR(VLOOKUP(D1193,Conceptos_Analítica_contraloría[#All],3,0),"")</f>
        <v/>
      </c>
    </row>
    <row r="1194" spans="3:10" ht="18.75" customHeight="1" x14ac:dyDescent="0.35">
      <c r="C1194" s="100" t="str">
        <f>IF(OR(Fact_Analitica[[#This Row], [Año]]="",Fact_Analitica[[#This Row], [Mes]]=""),"",DATE(A1194,MATCH(B1194,{"enero","febrero","marzo","abril","mayo","junio","julio","agosto","septiembre","octubre","noviembre","diciembre"},0)+1,0))</f>
        <v/>
      </c>
      <c r="E1194" t="str">
        <f>+IFERROR(VLOOKUP(Fact_Analitica[[#This Row], [Concepto Anterior]],Conceptos_Analítica_contraloría[#All],5,0),"")</f>
        <v/>
      </c>
      <c r="F1194" t="str">
        <f>+IFERROR(VLOOKUP(Fact_Analitica[[#This Row], [Concepto Anterior]],Conceptos_Analítica_contraloría[#All],7,0),"")</f>
        <v/>
      </c>
      <c r="I1194" t="str">
        <f>+IFERROR(VLOOKUP(D1194,Conceptos_Analítica_contraloría[#All],2,0),"")</f>
        <v/>
      </c>
      <c r="J1194" s="84" t="str">
        <f>+IFERROR(VLOOKUP(D1194,Conceptos_Analítica_contraloría[#All],3,0),"")</f>
        <v/>
      </c>
    </row>
    <row r="1195" spans="3:10" ht="18.75" customHeight="1" x14ac:dyDescent="0.35">
      <c r="C1195" s="100" t="str">
        <f>IF(OR(Fact_Analitica[[#This Row], [Año]]="",Fact_Analitica[[#This Row], [Mes]]=""),"",DATE(A1195,MATCH(B1195,{"enero","febrero","marzo","abril","mayo","junio","julio","agosto","septiembre","octubre","noviembre","diciembre"},0)+1,0))</f>
        <v/>
      </c>
      <c r="E1195" t="str">
        <f>+IFERROR(VLOOKUP(Fact_Analitica[[#This Row], [Concepto Anterior]],Conceptos_Analítica_contraloría[#All],5,0),"")</f>
        <v/>
      </c>
      <c r="F1195" t="str">
        <f>+IFERROR(VLOOKUP(Fact_Analitica[[#This Row], [Concepto Anterior]],Conceptos_Analítica_contraloría[#All],7,0),"")</f>
        <v/>
      </c>
      <c r="I1195" t="str">
        <f>+IFERROR(VLOOKUP(D1195,Conceptos_Analítica_contraloría[#All],2,0),"")</f>
        <v/>
      </c>
      <c r="J1195" s="84" t="str">
        <f>+IFERROR(VLOOKUP(D1195,Conceptos_Analítica_contraloría[#All],3,0),"")</f>
        <v/>
      </c>
    </row>
    <row r="1196" spans="3:10" ht="18.75" customHeight="1" x14ac:dyDescent="0.35">
      <c r="C1196" s="100" t="str">
        <f>IF(OR(Fact_Analitica[[#This Row], [Año]]="",Fact_Analitica[[#This Row], [Mes]]=""),"",DATE(A1196,MATCH(B1196,{"enero","febrero","marzo","abril","mayo","junio","julio","agosto","septiembre","octubre","noviembre","diciembre"},0)+1,0))</f>
        <v/>
      </c>
      <c r="E1196" t="str">
        <f>+IFERROR(VLOOKUP(Fact_Analitica[[#This Row], [Concepto Anterior]],Conceptos_Analítica_contraloría[#All],5,0),"")</f>
        <v/>
      </c>
      <c r="F1196" t="str">
        <f>+IFERROR(VLOOKUP(Fact_Analitica[[#This Row], [Concepto Anterior]],Conceptos_Analítica_contraloría[#All],7,0),"")</f>
        <v/>
      </c>
      <c r="I1196" t="str">
        <f>+IFERROR(VLOOKUP(D1196,Conceptos_Analítica_contraloría[#All],2,0),"")</f>
        <v/>
      </c>
      <c r="J1196" s="84" t="str">
        <f>+IFERROR(VLOOKUP(D1196,Conceptos_Analítica_contraloría[#All],3,0),"")</f>
        <v/>
      </c>
    </row>
    <row r="1197" spans="3:10" ht="18.75" customHeight="1" x14ac:dyDescent="0.35">
      <c r="C1197" s="100" t="str">
        <f>IF(OR(Fact_Analitica[[#This Row], [Año]]="",Fact_Analitica[[#This Row], [Mes]]=""),"",DATE(A1197,MATCH(B1197,{"enero","febrero","marzo","abril","mayo","junio","julio","agosto","septiembre","octubre","noviembre","diciembre"},0)+1,0))</f>
        <v/>
      </c>
      <c r="E1197" t="str">
        <f>+IFERROR(VLOOKUP(Fact_Analitica[[#This Row], [Concepto Anterior]],Conceptos_Analítica_contraloría[#All],5,0),"")</f>
        <v/>
      </c>
      <c r="F1197" t="str">
        <f>+IFERROR(VLOOKUP(Fact_Analitica[[#This Row], [Concepto Anterior]],Conceptos_Analítica_contraloría[#All],7,0),"")</f>
        <v/>
      </c>
      <c r="I1197" t="str">
        <f>+IFERROR(VLOOKUP(D1197,Conceptos_Analítica_contraloría[#All],2,0),"")</f>
        <v/>
      </c>
      <c r="J1197" s="84" t="str">
        <f>+IFERROR(VLOOKUP(D1197,Conceptos_Analítica_contraloría[#All],3,0),"")</f>
        <v/>
      </c>
    </row>
    <row r="1198" spans="3:10" ht="18.75" customHeight="1" x14ac:dyDescent="0.35">
      <c r="C1198" s="100" t="str">
        <f>IF(OR(Fact_Analitica[[#This Row], [Año]]="",Fact_Analitica[[#This Row], [Mes]]=""),"",DATE(A1198,MATCH(B1198,{"enero","febrero","marzo","abril","mayo","junio","julio","agosto","septiembre","octubre","noviembre","diciembre"},0)+1,0))</f>
        <v/>
      </c>
      <c r="E1198" t="str">
        <f>+IFERROR(VLOOKUP(Fact_Analitica[[#This Row], [Concepto Anterior]],Conceptos_Analítica_contraloría[#All],5,0),"")</f>
        <v/>
      </c>
      <c r="F1198" t="str">
        <f>+IFERROR(VLOOKUP(Fact_Analitica[[#This Row], [Concepto Anterior]],Conceptos_Analítica_contraloría[#All],7,0),"")</f>
        <v/>
      </c>
      <c r="I1198" t="str">
        <f>+IFERROR(VLOOKUP(D1198,Conceptos_Analítica_contraloría[#All],2,0),"")</f>
        <v/>
      </c>
      <c r="J1198" s="84" t="str">
        <f>+IFERROR(VLOOKUP(D1198,Conceptos_Analítica_contraloría[#All],3,0),"")</f>
        <v/>
      </c>
    </row>
    <row r="1199" spans="3:10" ht="18.75" customHeight="1" x14ac:dyDescent="0.35">
      <c r="C1199" s="100" t="str">
        <f>IF(OR(Fact_Analitica[[#This Row], [Año]]="",Fact_Analitica[[#This Row], [Mes]]=""),"",DATE(A1199,MATCH(B1199,{"enero","febrero","marzo","abril","mayo","junio","julio","agosto","septiembre","octubre","noviembre","diciembre"},0)+1,0))</f>
        <v/>
      </c>
      <c r="E1199" t="str">
        <f>+IFERROR(VLOOKUP(Fact_Analitica[[#This Row], [Concepto Anterior]],Conceptos_Analítica_contraloría[#All],5,0),"")</f>
        <v/>
      </c>
      <c r="F1199" t="str">
        <f>+IFERROR(VLOOKUP(Fact_Analitica[[#This Row], [Concepto Anterior]],Conceptos_Analítica_contraloría[#All],7,0),"")</f>
        <v/>
      </c>
      <c r="I1199" t="str">
        <f>+IFERROR(VLOOKUP(D1199,Conceptos_Analítica_contraloría[#All],2,0),"")</f>
        <v/>
      </c>
      <c r="J1199" s="84" t="str">
        <f>+IFERROR(VLOOKUP(D1199,Conceptos_Analítica_contraloría[#All],3,0),"")</f>
        <v/>
      </c>
    </row>
    <row r="1200" spans="3:10" ht="18.75" customHeight="1" x14ac:dyDescent="0.35">
      <c r="C1200" s="100" t="str">
        <f>IF(OR(Fact_Analitica[[#This Row], [Año]]="",Fact_Analitica[[#This Row], [Mes]]=""),"",DATE(A1200,MATCH(B1200,{"enero","febrero","marzo","abril","mayo","junio","julio","agosto","septiembre","octubre","noviembre","diciembre"},0)+1,0))</f>
        <v/>
      </c>
      <c r="E1200" t="str">
        <f>+IFERROR(VLOOKUP(Fact_Analitica[[#This Row], [Concepto Anterior]],Conceptos_Analítica_contraloría[#All],5,0),"")</f>
        <v/>
      </c>
      <c r="F1200" t="str">
        <f>+IFERROR(VLOOKUP(Fact_Analitica[[#This Row], [Concepto Anterior]],Conceptos_Analítica_contraloría[#All],7,0),"")</f>
        <v/>
      </c>
      <c r="I1200" t="str">
        <f>+IFERROR(VLOOKUP(D1200,Conceptos_Analítica_contraloría[#All],2,0),"")</f>
        <v/>
      </c>
      <c r="J1200" s="84" t="str">
        <f>+IFERROR(VLOOKUP(D1200,Conceptos_Analítica_contraloría[#All],3,0),"")</f>
        <v/>
      </c>
    </row>
    <row r="1201" spans="3:10" ht="18.75" customHeight="1" x14ac:dyDescent="0.35">
      <c r="C1201" s="100" t="str">
        <f>IF(OR(Fact_Analitica[[#This Row], [Año]]="",Fact_Analitica[[#This Row], [Mes]]=""),"",DATE(A1201,MATCH(B1201,{"enero","febrero","marzo","abril","mayo","junio","julio","agosto","septiembre","octubre","noviembre","diciembre"},0)+1,0))</f>
        <v/>
      </c>
      <c r="E1201" t="str">
        <f>+IFERROR(VLOOKUP(Fact_Analitica[[#This Row], [Concepto Anterior]],Conceptos_Analítica_contraloría[#All],5,0),"")</f>
        <v/>
      </c>
      <c r="F1201" t="str">
        <f>+IFERROR(VLOOKUP(Fact_Analitica[[#This Row], [Concepto Anterior]],Conceptos_Analítica_contraloría[#All],7,0),"")</f>
        <v/>
      </c>
      <c r="I1201" t="str">
        <f>+IFERROR(VLOOKUP(D1201,Conceptos_Analítica_contraloría[#All],2,0),"")</f>
        <v/>
      </c>
      <c r="J1201" s="84" t="str">
        <f>+IFERROR(VLOOKUP(D1201,Conceptos_Analítica_contraloría[#All],3,0),"")</f>
        <v/>
      </c>
    </row>
    <row r="1202" spans="3:10" ht="18.75" customHeight="1" x14ac:dyDescent="0.35">
      <c r="C1202" s="100" t="str">
        <f>IF(OR(Fact_Analitica[[#This Row], [Año]]="",Fact_Analitica[[#This Row], [Mes]]=""),"",DATE(A1202,MATCH(B1202,{"enero","febrero","marzo","abril","mayo","junio","julio","agosto","septiembre","octubre","noviembre","diciembre"},0)+1,0))</f>
        <v/>
      </c>
      <c r="E1202" t="str">
        <f>+IFERROR(VLOOKUP(Fact_Analitica[[#This Row], [Concepto Anterior]],Conceptos_Analítica_contraloría[#All],5,0),"")</f>
        <v/>
      </c>
      <c r="F1202" t="str">
        <f>+IFERROR(VLOOKUP(Fact_Analitica[[#This Row], [Concepto Anterior]],Conceptos_Analítica_contraloría[#All],7,0),"")</f>
        <v/>
      </c>
      <c r="I1202" t="str">
        <f>+IFERROR(VLOOKUP(D1202,Conceptos_Analítica_contraloría[#All],2,0),"")</f>
        <v/>
      </c>
      <c r="J1202" s="84" t="str">
        <f>+IFERROR(VLOOKUP(D1202,Conceptos_Analítica_contraloría[#All],3,0),"")</f>
        <v/>
      </c>
    </row>
    <row r="1203" spans="3:10" ht="18.75" customHeight="1" x14ac:dyDescent="0.35">
      <c r="C1203" s="100" t="str">
        <f>IF(OR(Fact_Analitica[[#This Row], [Año]]="",Fact_Analitica[[#This Row], [Mes]]=""),"",DATE(A1203,MATCH(B1203,{"enero","febrero","marzo","abril","mayo","junio","julio","agosto","septiembre","octubre","noviembre","diciembre"},0)+1,0))</f>
        <v/>
      </c>
      <c r="E1203" t="str">
        <f>+IFERROR(VLOOKUP(Fact_Analitica[[#This Row], [Concepto Anterior]],Conceptos_Analítica_contraloría[#All],5,0),"")</f>
        <v/>
      </c>
      <c r="F1203" t="str">
        <f>+IFERROR(VLOOKUP(Fact_Analitica[[#This Row], [Concepto Anterior]],Conceptos_Analítica_contraloría[#All],7,0),"")</f>
        <v/>
      </c>
      <c r="I1203" t="str">
        <f>+IFERROR(VLOOKUP(D1203,Conceptos_Analítica_contraloría[#All],2,0),"")</f>
        <v/>
      </c>
      <c r="J1203" s="84" t="str">
        <f>+IFERROR(VLOOKUP(D1203,Conceptos_Analítica_contraloría[#All],3,0),"")</f>
        <v/>
      </c>
    </row>
    <row r="1204" spans="3:10" ht="18.75" customHeight="1" x14ac:dyDescent="0.35">
      <c r="C1204" s="100" t="str">
        <f>IF(OR(Fact_Analitica[[#This Row], [Año]]="",Fact_Analitica[[#This Row], [Mes]]=""),"",DATE(A1204,MATCH(B1204,{"enero","febrero","marzo","abril","mayo","junio","julio","agosto","septiembre","octubre","noviembre","diciembre"},0)+1,0))</f>
        <v/>
      </c>
      <c r="E1204" t="str">
        <f>+IFERROR(VLOOKUP(Fact_Analitica[[#This Row], [Concepto Anterior]],Conceptos_Analítica_contraloría[#All],5,0),"")</f>
        <v/>
      </c>
      <c r="F1204" t="str">
        <f>+IFERROR(VLOOKUP(Fact_Analitica[[#This Row], [Concepto Anterior]],Conceptos_Analítica_contraloría[#All],7,0),"")</f>
        <v/>
      </c>
      <c r="I1204" t="str">
        <f>+IFERROR(VLOOKUP(D1204,Conceptos_Analítica_contraloría[#All],2,0),"")</f>
        <v/>
      </c>
      <c r="J1204" s="84" t="str">
        <f>+IFERROR(VLOOKUP(D1204,Conceptos_Analítica_contraloría[#All],3,0),"")</f>
        <v/>
      </c>
    </row>
    <row r="1205" spans="3:10" ht="18.75" customHeight="1" x14ac:dyDescent="0.35">
      <c r="C1205" s="100" t="str">
        <f>IF(OR(Fact_Analitica[[#This Row], [Año]]="",Fact_Analitica[[#This Row], [Mes]]=""),"",DATE(A1205,MATCH(B1205,{"enero","febrero","marzo","abril","mayo","junio","julio","agosto","septiembre","octubre","noviembre","diciembre"},0)+1,0))</f>
        <v/>
      </c>
      <c r="E1205" t="str">
        <f>+IFERROR(VLOOKUP(Fact_Analitica[[#This Row], [Concepto Anterior]],Conceptos_Analítica_contraloría[#All],5,0),"")</f>
        <v/>
      </c>
      <c r="F1205" t="str">
        <f>+IFERROR(VLOOKUP(Fact_Analitica[[#This Row], [Concepto Anterior]],Conceptos_Analítica_contraloría[#All],7,0),"")</f>
        <v/>
      </c>
      <c r="I1205" t="str">
        <f>+IFERROR(VLOOKUP(D1205,Conceptos_Analítica_contraloría[#All],2,0),"")</f>
        <v/>
      </c>
      <c r="J1205" s="84" t="str">
        <f>+IFERROR(VLOOKUP(D1205,Conceptos_Analítica_contraloría[#All],3,0),"")</f>
        <v/>
      </c>
    </row>
    <row r="1206" spans="3:10" ht="18.75" customHeight="1" x14ac:dyDescent="0.35">
      <c r="C1206" s="100" t="str">
        <f>IF(OR(Fact_Analitica[[#This Row], [Año]]="",Fact_Analitica[[#This Row], [Mes]]=""),"",DATE(A1206,MATCH(B1206,{"enero","febrero","marzo","abril","mayo","junio","julio","agosto","septiembre","octubre","noviembre","diciembre"},0)+1,0))</f>
        <v/>
      </c>
      <c r="E1206" t="str">
        <f>+IFERROR(VLOOKUP(Fact_Analitica[[#This Row], [Concepto Anterior]],Conceptos_Analítica_contraloría[#All],5,0),"")</f>
        <v/>
      </c>
      <c r="F1206" t="str">
        <f>+IFERROR(VLOOKUP(Fact_Analitica[[#This Row], [Concepto Anterior]],Conceptos_Analítica_contraloría[#All],7,0),"")</f>
        <v/>
      </c>
      <c r="I1206" t="str">
        <f>+IFERROR(VLOOKUP(D1206,Conceptos_Analítica_contraloría[#All],2,0),"")</f>
        <v/>
      </c>
      <c r="J1206" s="84" t="str">
        <f>+IFERROR(VLOOKUP(D1206,Conceptos_Analítica_contraloría[#All],3,0),"")</f>
        <v/>
      </c>
    </row>
    <row r="1207" spans="3:10" ht="18.75" customHeight="1" x14ac:dyDescent="0.35">
      <c r="C1207" s="100" t="str">
        <f>IF(OR(Fact_Analitica[[#This Row], [Año]]="",Fact_Analitica[[#This Row], [Mes]]=""),"",DATE(A1207,MATCH(B1207,{"enero","febrero","marzo","abril","mayo","junio","julio","agosto","septiembre","octubre","noviembre","diciembre"},0)+1,0))</f>
        <v/>
      </c>
      <c r="E1207" t="str">
        <f>+IFERROR(VLOOKUP(Fact_Analitica[[#This Row], [Concepto Anterior]],Conceptos_Analítica_contraloría[#All],5,0),"")</f>
        <v/>
      </c>
      <c r="F1207" t="str">
        <f>+IFERROR(VLOOKUP(Fact_Analitica[[#This Row], [Concepto Anterior]],Conceptos_Analítica_contraloría[#All],7,0),"")</f>
        <v/>
      </c>
      <c r="I1207" t="str">
        <f>+IFERROR(VLOOKUP(D1207,Conceptos_Analítica_contraloría[#All],2,0),"")</f>
        <v/>
      </c>
      <c r="J1207" s="84" t="str">
        <f>+IFERROR(VLOOKUP(D1207,Conceptos_Analítica_contraloría[#All],3,0),"")</f>
        <v/>
      </c>
    </row>
    <row r="1208" spans="3:10" ht="18.75" customHeight="1" x14ac:dyDescent="0.35">
      <c r="C1208" s="100" t="str">
        <f>IF(OR(Fact_Analitica[[#This Row], [Año]]="",Fact_Analitica[[#This Row], [Mes]]=""),"",DATE(A1208,MATCH(B1208,{"enero","febrero","marzo","abril","mayo","junio","julio","agosto","septiembre","octubre","noviembre","diciembre"},0)+1,0))</f>
        <v/>
      </c>
      <c r="E1208" t="str">
        <f>+IFERROR(VLOOKUP(Fact_Analitica[[#This Row], [Concepto Anterior]],Conceptos_Analítica_contraloría[#All],5,0),"")</f>
        <v/>
      </c>
      <c r="F1208" t="str">
        <f>+IFERROR(VLOOKUP(Fact_Analitica[[#This Row], [Concepto Anterior]],Conceptos_Analítica_contraloría[#All],7,0),"")</f>
        <v/>
      </c>
      <c r="I1208" t="str">
        <f>+IFERROR(VLOOKUP(D1208,Conceptos_Analítica_contraloría[#All],2,0),"")</f>
        <v/>
      </c>
      <c r="J1208" s="84" t="str">
        <f>+IFERROR(VLOOKUP(D1208,Conceptos_Analítica_contraloría[#All],3,0),"")</f>
        <v/>
      </c>
    </row>
    <row r="1209" spans="3:10" ht="18.75" customHeight="1" x14ac:dyDescent="0.35">
      <c r="C1209" s="100" t="str">
        <f>IF(OR(Fact_Analitica[[#This Row], [Año]]="",Fact_Analitica[[#This Row], [Mes]]=""),"",DATE(A1209,MATCH(B1209,{"enero","febrero","marzo","abril","mayo","junio","julio","agosto","septiembre","octubre","noviembre","diciembre"},0)+1,0))</f>
        <v/>
      </c>
      <c r="E1209" t="str">
        <f>+IFERROR(VLOOKUP(Fact_Analitica[[#This Row], [Concepto Anterior]],Conceptos_Analítica_contraloría[#All],5,0),"")</f>
        <v/>
      </c>
      <c r="F1209" t="str">
        <f>+IFERROR(VLOOKUP(Fact_Analitica[[#This Row], [Concepto Anterior]],Conceptos_Analítica_contraloría[#All],7,0),"")</f>
        <v/>
      </c>
      <c r="I1209" t="str">
        <f>+IFERROR(VLOOKUP(D1209,Conceptos_Analítica_contraloría[#All],2,0),"")</f>
        <v/>
      </c>
      <c r="J1209" s="84" t="str">
        <f>+IFERROR(VLOOKUP(D1209,Conceptos_Analítica_contraloría[#All],3,0),"")</f>
        <v/>
      </c>
    </row>
    <row r="1210" spans="3:10" ht="18.75" customHeight="1" x14ac:dyDescent="0.35">
      <c r="C1210" s="100" t="str">
        <f>IF(OR(Fact_Analitica[[#This Row], [Año]]="",Fact_Analitica[[#This Row], [Mes]]=""),"",DATE(A1210,MATCH(B1210,{"enero","febrero","marzo","abril","mayo","junio","julio","agosto","septiembre","octubre","noviembre","diciembre"},0)+1,0))</f>
        <v/>
      </c>
      <c r="E1210" t="str">
        <f>+IFERROR(VLOOKUP(Fact_Analitica[[#This Row], [Concepto Anterior]],Conceptos_Analítica_contraloría[#All],5,0),"")</f>
        <v/>
      </c>
      <c r="F1210" t="str">
        <f>+IFERROR(VLOOKUP(Fact_Analitica[[#This Row], [Concepto Anterior]],Conceptos_Analítica_contraloría[#All],7,0),"")</f>
        <v/>
      </c>
      <c r="I1210" t="str">
        <f>+IFERROR(VLOOKUP(D1210,Conceptos_Analítica_contraloría[#All],2,0),"")</f>
        <v/>
      </c>
      <c r="J1210" s="84" t="str">
        <f>+IFERROR(VLOOKUP(D1210,Conceptos_Analítica_contraloría[#All],3,0),"")</f>
        <v/>
      </c>
    </row>
    <row r="1211" spans="3:10" ht="18.75" customHeight="1" x14ac:dyDescent="0.35">
      <c r="C1211" s="100" t="str">
        <f>IF(OR(Fact_Analitica[[#This Row], [Año]]="",Fact_Analitica[[#This Row], [Mes]]=""),"",DATE(A1211,MATCH(B1211,{"enero","febrero","marzo","abril","mayo","junio","julio","agosto","septiembre","octubre","noviembre","diciembre"},0)+1,0))</f>
        <v/>
      </c>
      <c r="E1211" t="str">
        <f>+IFERROR(VLOOKUP(Fact_Analitica[[#This Row], [Concepto Anterior]],Conceptos_Analítica_contraloría[#All],5,0),"")</f>
        <v/>
      </c>
      <c r="F1211" t="str">
        <f>+IFERROR(VLOOKUP(Fact_Analitica[[#This Row], [Concepto Anterior]],Conceptos_Analítica_contraloría[#All],7,0),"")</f>
        <v/>
      </c>
      <c r="I1211" t="str">
        <f>+IFERROR(VLOOKUP(D1211,Conceptos_Analítica_contraloría[#All],2,0),"")</f>
        <v/>
      </c>
      <c r="J1211" s="84" t="str">
        <f>+IFERROR(VLOOKUP(D1211,Conceptos_Analítica_contraloría[#All],3,0),"")</f>
        <v/>
      </c>
    </row>
    <row r="1212" spans="3:10" ht="18.75" customHeight="1" x14ac:dyDescent="0.35">
      <c r="C1212" s="100" t="str">
        <f>IF(OR(Fact_Analitica[[#This Row], [Año]]="",Fact_Analitica[[#This Row], [Mes]]=""),"",DATE(A1212,MATCH(B1212,{"enero","febrero","marzo","abril","mayo","junio","julio","agosto","septiembre","octubre","noviembre","diciembre"},0)+1,0))</f>
        <v/>
      </c>
      <c r="E1212" t="str">
        <f>+IFERROR(VLOOKUP(Fact_Analitica[[#This Row], [Concepto Anterior]],Conceptos_Analítica_contraloría[#All],5,0),"")</f>
        <v/>
      </c>
      <c r="F1212" t="str">
        <f>+IFERROR(VLOOKUP(Fact_Analitica[[#This Row], [Concepto Anterior]],Conceptos_Analítica_contraloría[#All],7,0),"")</f>
        <v/>
      </c>
      <c r="I1212" t="str">
        <f>+IFERROR(VLOOKUP(D1212,Conceptos_Analítica_contraloría[#All],2,0),"")</f>
        <v/>
      </c>
      <c r="J1212" s="84" t="str">
        <f>+IFERROR(VLOOKUP(D1212,Conceptos_Analítica_contraloría[#All],3,0),"")</f>
        <v/>
      </c>
    </row>
    <row r="1213" spans="3:10" ht="18.75" customHeight="1" x14ac:dyDescent="0.35">
      <c r="C1213" s="100" t="str">
        <f>IF(OR(Fact_Analitica[[#This Row], [Año]]="",Fact_Analitica[[#This Row], [Mes]]=""),"",DATE(A1213,MATCH(B1213,{"enero","febrero","marzo","abril","mayo","junio","julio","agosto","septiembre","octubre","noviembre","diciembre"},0)+1,0))</f>
        <v/>
      </c>
      <c r="E1213" t="str">
        <f>+IFERROR(VLOOKUP(Fact_Analitica[[#This Row], [Concepto Anterior]],Conceptos_Analítica_contraloría[#All],5,0),"")</f>
        <v/>
      </c>
      <c r="F1213" t="str">
        <f>+IFERROR(VLOOKUP(Fact_Analitica[[#This Row], [Concepto Anterior]],Conceptos_Analítica_contraloría[#All],7,0),"")</f>
        <v/>
      </c>
      <c r="I1213" t="str">
        <f>+IFERROR(VLOOKUP(D1213,Conceptos_Analítica_contraloría[#All],2,0),"")</f>
        <v/>
      </c>
      <c r="J1213" s="84" t="str">
        <f>+IFERROR(VLOOKUP(D1213,Conceptos_Analítica_contraloría[#All],3,0),"")</f>
        <v/>
      </c>
    </row>
    <row r="1214" spans="3:10" ht="18.75" customHeight="1" x14ac:dyDescent="0.35">
      <c r="C1214" s="100" t="str">
        <f>IF(OR(Fact_Analitica[[#This Row], [Año]]="",Fact_Analitica[[#This Row], [Mes]]=""),"",DATE(A1214,MATCH(B1214,{"enero","febrero","marzo","abril","mayo","junio","julio","agosto","septiembre","octubre","noviembre","diciembre"},0)+1,0))</f>
        <v/>
      </c>
      <c r="E1214" t="str">
        <f>+IFERROR(VLOOKUP(Fact_Analitica[[#This Row], [Concepto Anterior]],Conceptos_Analítica_contraloría[#All],5,0),"")</f>
        <v/>
      </c>
      <c r="F1214" t="str">
        <f>+IFERROR(VLOOKUP(Fact_Analitica[[#This Row], [Concepto Anterior]],Conceptos_Analítica_contraloría[#All],7,0),"")</f>
        <v/>
      </c>
      <c r="I1214" t="str">
        <f>+IFERROR(VLOOKUP(D1214,Conceptos_Analítica_contraloría[#All],2,0),"")</f>
        <v/>
      </c>
      <c r="J1214" s="84" t="str">
        <f>+IFERROR(VLOOKUP(D1214,Conceptos_Analítica_contraloría[#All],3,0),"")</f>
        <v/>
      </c>
    </row>
    <row r="1215" spans="3:10" ht="18.75" customHeight="1" x14ac:dyDescent="0.35">
      <c r="C1215" s="100" t="str">
        <f>IF(OR(Fact_Analitica[[#This Row], [Año]]="",Fact_Analitica[[#This Row], [Mes]]=""),"",DATE(A1215,MATCH(B1215,{"enero","febrero","marzo","abril","mayo","junio","julio","agosto","septiembre","octubre","noviembre","diciembre"},0)+1,0))</f>
        <v/>
      </c>
      <c r="E1215" t="str">
        <f>+IFERROR(VLOOKUP(Fact_Analitica[[#This Row], [Concepto Anterior]],Conceptos_Analítica_contraloría[#All],5,0),"")</f>
        <v/>
      </c>
      <c r="F1215" t="str">
        <f>+IFERROR(VLOOKUP(Fact_Analitica[[#This Row], [Concepto Anterior]],Conceptos_Analítica_contraloría[#All],7,0),"")</f>
        <v/>
      </c>
      <c r="I1215" t="str">
        <f>+IFERROR(VLOOKUP(D1215,Conceptos_Analítica_contraloría[#All],2,0),"")</f>
        <v/>
      </c>
      <c r="J1215" s="84" t="str">
        <f>+IFERROR(VLOOKUP(D1215,Conceptos_Analítica_contraloría[#All],3,0),"")</f>
        <v/>
      </c>
    </row>
    <row r="1216" spans="3:10" ht="18.75" customHeight="1" x14ac:dyDescent="0.35">
      <c r="C1216" s="100" t="str">
        <f>IF(OR(Fact_Analitica[[#This Row], [Año]]="",Fact_Analitica[[#This Row], [Mes]]=""),"",DATE(A1216,MATCH(B1216,{"enero","febrero","marzo","abril","mayo","junio","julio","agosto","septiembre","octubre","noviembre","diciembre"},0)+1,0))</f>
        <v/>
      </c>
      <c r="E1216" t="str">
        <f>+IFERROR(VLOOKUP(Fact_Analitica[[#This Row], [Concepto Anterior]],Conceptos_Analítica_contraloría[#All],5,0),"")</f>
        <v/>
      </c>
      <c r="F1216" t="str">
        <f>+IFERROR(VLOOKUP(Fact_Analitica[[#This Row], [Concepto Anterior]],Conceptos_Analítica_contraloría[#All],7,0),"")</f>
        <v/>
      </c>
      <c r="I1216" t="str">
        <f>+IFERROR(VLOOKUP(D1216,Conceptos_Analítica_contraloría[#All],2,0),"")</f>
        <v/>
      </c>
      <c r="J1216" s="84" t="str">
        <f>+IFERROR(VLOOKUP(D1216,Conceptos_Analítica_contraloría[#All],3,0),"")</f>
        <v/>
      </c>
    </row>
    <row r="1217" spans="3:10" ht="18.75" customHeight="1" x14ac:dyDescent="0.35">
      <c r="C1217" s="100" t="str">
        <f>IF(OR(Fact_Analitica[[#This Row], [Año]]="",Fact_Analitica[[#This Row], [Mes]]=""),"",DATE(A1217,MATCH(B1217,{"enero","febrero","marzo","abril","mayo","junio","julio","agosto","septiembre","octubre","noviembre","diciembre"},0)+1,0))</f>
        <v/>
      </c>
      <c r="E1217" t="str">
        <f>+IFERROR(VLOOKUP(Fact_Analitica[[#This Row], [Concepto Anterior]],Conceptos_Analítica_contraloría[#All],5,0),"")</f>
        <v/>
      </c>
      <c r="F1217" t="str">
        <f>+IFERROR(VLOOKUP(Fact_Analitica[[#This Row], [Concepto Anterior]],Conceptos_Analítica_contraloría[#All],7,0),"")</f>
        <v/>
      </c>
      <c r="I1217" t="str">
        <f>+IFERROR(VLOOKUP(D1217,Conceptos_Analítica_contraloría[#All],2,0),"")</f>
        <v/>
      </c>
      <c r="J1217" s="84" t="str">
        <f>+IFERROR(VLOOKUP(D1217,Conceptos_Analítica_contraloría[#All],3,0),"")</f>
        <v/>
      </c>
    </row>
    <row r="1218" spans="3:10" ht="18.75" customHeight="1" x14ac:dyDescent="0.35">
      <c r="C1218" s="100" t="str">
        <f>IF(OR(Fact_Analitica[[#This Row], [Año]]="",Fact_Analitica[[#This Row], [Mes]]=""),"",DATE(A1218,MATCH(B1218,{"enero","febrero","marzo","abril","mayo","junio","julio","agosto","septiembre","octubre","noviembre","diciembre"},0)+1,0))</f>
        <v/>
      </c>
      <c r="E1218" t="str">
        <f>+IFERROR(VLOOKUP(Fact_Analitica[[#This Row], [Concepto Anterior]],Conceptos_Analítica_contraloría[#All],5,0),"")</f>
        <v/>
      </c>
      <c r="F1218" t="str">
        <f>+IFERROR(VLOOKUP(Fact_Analitica[[#This Row], [Concepto Anterior]],Conceptos_Analítica_contraloría[#All],7,0),"")</f>
        <v/>
      </c>
      <c r="I1218" t="str">
        <f>+IFERROR(VLOOKUP(D1218,Conceptos_Analítica_contraloría[#All],2,0),"")</f>
        <v/>
      </c>
      <c r="J1218" s="84" t="str">
        <f>+IFERROR(VLOOKUP(D1218,Conceptos_Analítica_contraloría[#All],3,0),"")</f>
        <v/>
      </c>
    </row>
    <row r="1219" spans="3:10" ht="18.75" customHeight="1" x14ac:dyDescent="0.35">
      <c r="C1219" s="100" t="str">
        <f>IF(OR(Fact_Analitica[[#This Row], [Año]]="",Fact_Analitica[[#This Row], [Mes]]=""),"",DATE(A1219,MATCH(B1219,{"enero","febrero","marzo","abril","mayo","junio","julio","agosto","septiembre","octubre","noviembre","diciembre"},0)+1,0))</f>
        <v/>
      </c>
      <c r="E1219" t="str">
        <f>+IFERROR(VLOOKUP(Fact_Analitica[[#This Row], [Concepto Anterior]],Conceptos_Analítica_contraloría[#All],5,0),"")</f>
        <v/>
      </c>
      <c r="F1219" t="str">
        <f>+IFERROR(VLOOKUP(Fact_Analitica[[#This Row], [Concepto Anterior]],Conceptos_Analítica_contraloría[#All],7,0),"")</f>
        <v/>
      </c>
      <c r="I1219" t="str">
        <f>+IFERROR(VLOOKUP(D1219,Conceptos_Analítica_contraloría[#All],2,0),"")</f>
        <v/>
      </c>
      <c r="J1219" s="84" t="str">
        <f>+IFERROR(VLOOKUP(D1219,Conceptos_Analítica_contraloría[#All],3,0),"")</f>
        <v/>
      </c>
    </row>
    <row r="1220" spans="3:10" ht="18.75" customHeight="1" x14ac:dyDescent="0.35">
      <c r="C1220" s="100" t="str">
        <f>IF(OR(Fact_Analitica[[#This Row], [Año]]="",Fact_Analitica[[#This Row], [Mes]]=""),"",DATE(A1220,MATCH(B1220,{"enero","febrero","marzo","abril","mayo","junio","julio","agosto","septiembre","octubre","noviembre","diciembre"},0)+1,0))</f>
        <v/>
      </c>
      <c r="E1220" t="str">
        <f>+IFERROR(VLOOKUP(Fact_Analitica[[#This Row], [Concepto Anterior]],Conceptos_Analítica_contraloría[#All],5,0),"")</f>
        <v/>
      </c>
      <c r="F1220" t="str">
        <f>+IFERROR(VLOOKUP(Fact_Analitica[[#This Row], [Concepto Anterior]],Conceptos_Analítica_contraloría[#All],7,0),"")</f>
        <v/>
      </c>
      <c r="I1220" t="str">
        <f>+IFERROR(VLOOKUP(D1220,Conceptos_Analítica_contraloría[#All],2,0),"")</f>
        <v/>
      </c>
      <c r="J1220" s="84" t="str">
        <f>+IFERROR(VLOOKUP(D1220,Conceptos_Analítica_contraloría[#All],3,0),"")</f>
        <v/>
      </c>
    </row>
    <row r="1221" spans="3:10" ht="18.75" customHeight="1" x14ac:dyDescent="0.35">
      <c r="C1221" s="100" t="str">
        <f>IF(OR(Fact_Analitica[[#This Row], [Año]]="",Fact_Analitica[[#This Row], [Mes]]=""),"",DATE(A1221,MATCH(B1221,{"enero","febrero","marzo","abril","mayo","junio","julio","agosto","septiembre","octubre","noviembre","diciembre"},0)+1,0))</f>
        <v/>
      </c>
      <c r="E1221" t="str">
        <f>+IFERROR(VLOOKUP(Fact_Analitica[[#This Row], [Concepto Anterior]],Conceptos_Analítica_contraloría[#All],5,0),"")</f>
        <v/>
      </c>
      <c r="F1221" t="str">
        <f>+IFERROR(VLOOKUP(Fact_Analitica[[#This Row], [Concepto Anterior]],Conceptos_Analítica_contraloría[#All],7,0),"")</f>
        <v/>
      </c>
      <c r="I1221" t="str">
        <f>+IFERROR(VLOOKUP(D1221,Conceptos_Analítica_contraloría[#All],2,0),"")</f>
        <v/>
      </c>
      <c r="J1221" s="84" t="str">
        <f>+IFERROR(VLOOKUP(D1221,Conceptos_Analítica_contraloría[#All],3,0),"")</f>
        <v/>
      </c>
    </row>
    <row r="1222" spans="3:10" ht="18.75" customHeight="1" x14ac:dyDescent="0.35">
      <c r="C1222" s="100" t="str">
        <f>IF(OR(Fact_Analitica[[#This Row], [Año]]="",Fact_Analitica[[#This Row], [Mes]]=""),"",DATE(A1222,MATCH(B1222,{"enero","febrero","marzo","abril","mayo","junio","julio","agosto","septiembre","octubre","noviembre","diciembre"},0)+1,0))</f>
        <v/>
      </c>
      <c r="E1222" t="str">
        <f>+IFERROR(VLOOKUP(Fact_Analitica[[#This Row], [Concepto Anterior]],Conceptos_Analítica_contraloría[#All],5,0),"")</f>
        <v/>
      </c>
      <c r="F1222" t="str">
        <f>+IFERROR(VLOOKUP(Fact_Analitica[[#This Row], [Concepto Anterior]],Conceptos_Analítica_contraloría[#All],7,0),"")</f>
        <v/>
      </c>
      <c r="I1222" t="str">
        <f>+IFERROR(VLOOKUP(D1222,Conceptos_Analítica_contraloría[#All],2,0),"")</f>
        <v/>
      </c>
      <c r="J1222" s="84" t="str">
        <f>+IFERROR(VLOOKUP(D1222,Conceptos_Analítica_contraloría[#All],3,0),"")</f>
        <v/>
      </c>
    </row>
    <row r="1223" spans="3:10" ht="18.75" customHeight="1" x14ac:dyDescent="0.35">
      <c r="C1223" s="100" t="str">
        <f>IF(OR(Fact_Analitica[[#This Row], [Año]]="",Fact_Analitica[[#This Row], [Mes]]=""),"",DATE(A1223,MATCH(B1223,{"enero","febrero","marzo","abril","mayo","junio","julio","agosto","septiembre","octubre","noviembre","diciembre"},0)+1,0))</f>
        <v/>
      </c>
      <c r="E1223" t="str">
        <f>+IFERROR(VLOOKUP(Fact_Analitica[[#This Row], [Concepto Anterior]],Conceptos_Analítica_contraloría[#All],5,0),"")</f>
        <v/>
      </c>
      <c r="F1223" t="str">
        <f>+IFERROR(VLOOKUP(Fact_Analitica[[#This Row], [Concepto Anterior]],Conceptos_Analítica_contraloría[#All],7,0),"")</f>
        <v/>
      </c>
      <c r="I1223" t="str">
        <f>+IFERROR(VLOOKUP(D1223,Conceptos_Analítica_contraloría[#All],2,0),"")</f>
        <v/>
      </c>
      <c r="J1223" s="84" t="str">
        <f>+IFERROR(VLOOKUP(D1223,Conceptos_Analítica_contraloría[#All],3,0),"")</f>
        <v/>
      </c>
    </row>
    <row r="1224" spans="3:10" ht="18.75" customHeight="1" x14ac:dyDescent="0.35">
      <c r="C1224" s="100" t="str">
        <f>IF(OR(Fact_Analitica[[#This Row], [Año]]="",Fact_Analitica[[#This Row], [Mes]]=""),"",DATE(A1224,MATCH(B1224,{"enero","febrero","marzo","abril","mayo","junio","julio","agosto","septiembre","octubre","noviembre","diciembre"},0)+1,0))</f>
        <v/>
      </c>
      <c r="E1224" t="str">
        <f>+IFERROR(VLOOKUP(Fact_Analitica[[#This Row], [Concepto Anterior]],Conceptos_Analítica_contraloría[#All],5,0),"")</f>
        <v/>
      </c>
      <c r="F1224" t="str">
        <f>+IFERROR(VLOOKUP(Fact_Analitica[[#This Row], [Concepto Anterior]],Conceptos_Analítica_contraloría[#All],7,0),"")</f>
        <v/>
      </c>
      <c r="I1224" t="str">
        <f>+IFERROR(VLOOKUP(D1224,Conceptos_Analítica_contraloría[#All],2,0),"")</f>
        <v/>
      </c>
      <c r="J1224" s="84" t="str">
        <f>+IFERROR(VLOOKUP(D1224,Conceptos_Analítica_contraloría[#All],3,0),"")</f>
        <v/>
      </c>
    </row>
    <row r="1225" spans="3:10" ht="18.75" customHeight="1" x14ac:dyDescent="0.35">
      <c r="C1225" s="100" t="str">
        <f>IF(OR(Fact_Analitica[[#This Row], [Año]]="",Fact_Analitica[[#This Row], [Mes]]=""),"",DATE(A1225,MATCH(B1225,{"enero","febrero","marzo","abril","mayo","junio","julio","agosto","septiembre","octubre","noviembre","diciembre"},0)+1,0))</f>
        <v/>
      </c>
      <c r="E1225" t="str">
        <f>+IFERROR(VLOOKUP(Fact_Analitica[[#This Row], [Concepto Anterior]],Conceptos_Analítica_contraloría[#All],5,0),"")</f>
        <v/>
      </c>
      <c r="F1225" t="str">
        <f>+IFERROR(VLOOKUP(Fact_Analitica[[#This Row], [Concepto Anterior]],Conceptos_Analítica_contraloría[#All],7,0),"")</f>
        <v/>
      </c>
      <c r="I1225" t="str">
        <f>+IFERROR(VLOOKUP(D1225,Conceptos_Analítica_contraloría[#All],2,0),"")</f>
        <v/>
      </c>
      <c r="J1225" s="84" t="str">
        <f>+IFERROR(VLOOKUP(D1225,Conceptos_Analítica_contraloría[#All],3,0),"")</f>
        <v/>
      </c>
    </row>
    <row r="1226" spans="3:10" ht="18.75" customHeight="1" x14ac:dyDescent="0.35">
      <c r="C1226" s="100" t="str">
        <f>IF(OR(Fact_Analitica[[#This Row], [Año]]="",Fact_Analitica[[#This Row], [Mes]]=""),"",DATE(A1226,MATCH(B1226,{"enero","febrero","marzo","abril","mayo","junio","julio","agosto","septiembre","octubre","noviembre","diciembre"},0)+1,0))</f>
        <v/>
      </c>
      <c r="E1226" t="str">
        <f>+IFERROR(VLOOKUP(Fact_Analitica[[#This Row], [Concepto Anterior]],Conceptos_Analítica_contraloría[#All],5,0),"")</f>
        <v/>
      </c>
      <c r="F1226" t="str">
        <f>+IFERROR(VLOOKUP(Fact_Analitica[[#This Row], [Concepto Anterior]],Conceptos_Analítica_contraloría[#All],7,0),"")</f>
        <v/>
      </c>
      <c r="I1226" t="str">
        <f>+IFERROR(VLOOKUP(D1226,Conceptos_Analítica_contraloría[#All],2,0),"")</f>
        <v/>
      </c>
      <c r="J1226" s="84" t="str">
        <f>+IFERROR(VLOOKUP(D1226,Conceptos_Analítica_contraloría[#All],3,0),"")</f>
        <v/>
      </c>
    </row>
    <row r="1227" spans="3:10" ht="18.75" customHeight="1" x14ac:dyDescent="0.35">
      <c r="C1227" s="100" t="str">
        <f>IF(OR(Fact_Analitica[[#This Row], [Año]]="",Fact_Analitica[[#This Row], [Mes]]=""),"",DATE(A1227,MATCH(B1227,{"enero","febrero","marzo","abril","mayo","junio","julio","agosto","septiembre","octubre","noviembre","diciembre"},0)+1,0))</f>
        <v/>
      </c>
      <c r="E1227" t="str">
        <f>+IFERROR(VLOOKUP(Fact_Analitica[[#This Row], [Concepto Anterior]],Conceptos_Analítica_contraloría[#All],5,0),"")</f>
        <v/>
      </c>
      <c r="F1227" t="str">
        <f>+IFERROR(VLOOKUP(Fact_Analitica[[#This Row], [Concepto Anterior]],Conceptos_Analítica_contraloría[#All],7,0),"")</f>
        <v/>
      </c>
      <c r="I1227" t="str">
        <f>+IFERROR(VLOOKUP(D1227,Conceptos_Analítica_contraloría[#All],2,0),"")</f>
        <v/>
      </c>
      <c r="J1227" s="84" t="str">
        <f>+IFERROR(VLOOKUP(D1227,Conceptos_Analítica_contraloría[#All],3,0),"")</f>
        <v/>
      </c>
    </row>
    <row r="1228" spans="3:10" ht="18.75" customHeight="1" x14ac:dyDescent="0.35">
      <c r="C1228" s="100" t="str">
        <f>IF(OR(Fact_Analitica[[#This Row], [Año]]="",Fact_Analitica[[#This Row], [Mes]]=""),"",DATE(A1228,MATCH(B1228,{"enero","febrero","marzo","abril","mayo","junio","julio","agosto","septiembre","octubre","noviembre","diciembre"},0)+1,0))</f>
        <v/>
      </c>
      <c r="E1228" t="str">
        <f>+IFERROR(VLOOKUP(Fact_Analitica[[#This Row], [Concepto Anterior]],Conceptos_Analítica_contraloría[#All],5,0),"")</f>
        <v/>
      </c>
      <c r="F1228" t="str">
        <f>+IFERROR(VLOOKUP(Fact_Analitica[[#This Row], [Concepto Anterior]],Conceptos_Analítica_contraloría[#All],7,0),"")</f>
        <v/>
      </c>
      <c r="I1228" t="str">
        <f>+IFERROR(VLOOKUP(D1228,Conceptos_Analítica_contraloría[#All],2,0),"")</f>
        <v/>
      </c>
      <c r="J1228" s="84" t="str">
        <f>+IFERROR(VLOOKUP(D1228,Conceptos_Analítica_contraloría[#All],3,0),"")</f>
        <v/>
      </c>
    </row>
    <row r="1229" spans="3:10" ht="18.75" customHeight="1" x14ac:dyDescent="0.35">
      <c r="C1229" s="100" t="str">
        <f>IF(OR(Fact_Analitica[[#This Row], [Año]]="",Fact_Analitica[[#This Row], [Mes]]=""),"",DATE(A1229,MATCH(B1229,{"enero","febrero","marzo","abril","mayo","junio","julio","agosto","septiembre","octubre","noviembre","diciembre"},0)+1,0))</f>
        <v/>
      </c>
      <c r="E1229" t="str">
        <f>+IFERROR(VLOOKUP(Fact_Analitica[[#This Row], [Concepto Anterior]],Conceptos_Analítica_contraloría[#All],5,0),"")</f>
        <v/>
      </c>
      <c r="F1229" t="str">
        <f>+IFERROR(VLOOKUP(Fact_Analitica[[#This Row], [Concepto Anterior]],Conceptos_Analítica_contraloría[#All],7,0),"")</f>
        <v/>
      </c>
      <c r="I1229" t="str">
        <f>+IFERROR(VLOOKUP(D1229,Conceptos_Analítica_contraloría[#All],2,0),"")</f>
        <v/>
      </c>
      <c r="J1229" s="84" t="str">
        <f>+IFERROR(VLOOKUP(D1229,Conceptos_Analítica_contraloría[#All],3,0),"")</f>
        <v/>
      </c>
    </row>
    <row r="1230" spans="3:10" ht="18.75" customHeight="1" x14ac:dyDescent="0.35">
      <c r="C1230" s="100" t="str">
        <f>IF(OR(Fact_Analitica[[#This Row], [Año]]="",Fact_Analitica[[#This Row], [Mes]]=""),"",DATE(A1230,MATCH(B1230,{"enero","febrero","marzo","abril","mayo","junio","julio","agosto","septiembre","octubre","noviembre","diciembre"},0)+1,0))</f>
        <v/>
      </c>
      <c r="E1230" t="str">
        <f>+IFERROR(VLOOKUP(Fact_Analitica[[#This Row], [Concepto Anterior]],Conceptos_Analítica_contraloría[#All],5,0),"")</f>
        <v/>
      </c>
      <c r="F1230" t="str">
        <f>+IFERROR(VLOOKUP(Fact_Analitica[[#This Row], [Concepto Anterior]],Conceptos_Analítica_contraloría[#All],7,0),"")</f>
        <v/>
      </c>
      <c r="I1230" t="str">
        <f>+IFERROR(VLOOKUP(D1230,Conceptos_Analítica_contraloría[#All],2,0),"")</f>
        <v/>
      </c>
      <c r="J1230" s="84" t="str">
        <f>+IFERROR(VLOOKUP(D1230,Conceptos_Analítica_contraloría[#All],3,0),"")</f>
        <v/>
      </c>
    </row>
    <row r="1231" spans="3:10" ht="18.75" customHeight="1" x14ac:dyDescent="0.35">
      <c r="C1231" s="100" t="str">
        <f>IF(OR(Fact_Analitica[[#This Row], [Año]]="",Fact_Analitica[[#This Row], [Mes]]=""),"",DATE(A1231,MATCH(B1231,{"enero","febrero","marzo","abril","mayo","junio","julio","agosto","septiembre","octubre","noviembre","diciembre"},0)+1,0))</f>
        <v/>
      </c>
      <c r="E1231" t="str">
        <f>+IFERROR(VLOOKUP(Fact_Analitica[[#This Row], [Concepto Anterior]],Conceptos_Analítica_contraloría[#All],5,0),"")</f>
        <v/>
      </c>
      <c r="F1231" t="str">
        <f>+IFERROR(VLOOKUP(Fact_Analitica[[#This Row], [Concepto Anterior]],Conceptos_Analítica_contraloría[#All],7,0),"")</f>
        <v/>
      </c>
      <c r="I1231" t="str">
        <f>+IFERROR(VLOOKUP(D1231,Conceptos_Analítica_contraloría[#All],2,0),"")</f>
        <v/>
      </c>
      <c r="J1231" s="84" t="str">
        <f>+IFERROR(VLOOKUP(D1231,Conceptos_Analítica_contraloría[#All],3,0),"")</f>
        <v/>
      </c>
    </row>
    <row r="1232" spans="3:10" ht="18.75" customHeight="1" x14ac:dyDescent="0.35">
      <c r="C1232" s="100" t="str">
        <f>IF(OR(Fact_Analitica[[#This Row], [Año]]="",Fact_Analitica[[#This Row], [Mes]]=""),"",DATE(A1232,MATCH(B1232,{"enero","febrero","marzo","abril","mayo","junio","julio","agosto","septiembre","octubre","noviembre","diciembre"},0)+1,0))</f>
        <v/>
      </c>
      <c r="E1232" t="str">
        <f>+IFERROR(VLOOKUP(Fact_Analitica[[#This Row], [Concepto Anterior]],Conceptos_Analítica_contraloría[#All],5,0),"")</f>
        <v/>
      </c>
      <c r="F1232" t="str">
        <f>+IFERROR(VLOOKUP(Fact_Analitica[[#This Row], [Concepto Anterior]],Conceptos_Analítica_contraloría[#All],7,0),"")</f>
        <v/>
      </c>
      <c r="I1232" t="str">
        <f>+IFERROR(VLOOKUP(D1232,Conceptos_Analítica_contraloría[#All],2,0),"")</f>
        <v/>
      </c>
      <c r="J1232" s="84" t="str">
        <f>+IFERROR(VLOOKUP(D1232,Conceptos_Analítica_contraloría[#All],3,0),"")</f>
        <v/>
      </c>
    </row>
    <row r="1233" spans="3:10" ht="18.75" customHeight="1" x14ac:dyDescent="0.35">
      <c r="C1233" s="100" t="str">
        <f>IF(OR(Fact_Analitica[[#This Row], [Año]]="",Fact_Analitica[[#This Row], [Mes]]=""),"",DATE(A1233,MATCH(B1233,{"enero","febrero","marzo","abril","mayo","junio","julio","agosto","septiembre","octubre","noviembre","diciembre"},0)+1,0))</f>
        <v/>
      </c>
      <c r="E1233" t="str">
        <f>+IFERROR(VLOOKUP(Fact_Analitica[[#This Row], [Concepto Anterior]],Conceptos_Analítica_contraloría[#All],5,0),"")</f>
        <v/>
      </c>
      <c r="F1233" t="str">
        <f>+IFERROR(VLOOKUP(Fact_Analitica[[#This Row], [Concepto Anterior]],Conceptos_Analítica_contraloría[#All],7,0),"")</f>
        <v/>
      </c>
      <c r="I1233" t="str">
        <f>+IFERROR(VLOOKUP(D1233,Conceptos_Analítica_contraloría[#All],2,0),"")</f>
        <v/>
      </c>
      <c r="J1233" s="84" t="str">
        <f>+IFERROR(VLOOKUP(D1233,Conceptos_Analítica_contraloría[#All],3,0),"")</f>
        <v/>
      </c>
    </row>
    <row r="1234" spans="3:10" ht="18.75" customHeight="1" x14ac:dyDescent="0.35">
      <c r="C1234" s="100" t="str">
        <f>IF(OR(Fact_Analitica[[#This Row], [Año]]="",Fact_Analitica[[#This Row], [Mes]]=""),"",DATE(A1234,MATCH(B1234,{"enero","febrero","marzo","abril","mayo","junio","julio","agosto","septiembre","octubre","noviembre","diciembre"},0)+1,0))</f>
        <v/>
      </c>
      <c r="E1234" t="str">
        <f>+IFERROR(VLOOKUP(Fact_Analitica[[#This Row], [Concepto Anterior]],Conceptos_Analítica_contraloría[#All],5,0),"")</f>
        <v/>
      </c>
      <c r="F1234" t="str">
        <f>+IFERROR(VLOOKUP(Fact_Analitica[[#This Row], [Concepto Anterior]],Conceptos_Analítica_contraloría[#All],7,0),"")</f>
        <v/>
      </c>
      <c r="I1234" t="str">
        <f>+IFERROR(VLOOKUP(D1234,Conceptos_Analítica_contraloría[#All],2,0),"")</f>
        <v/>
      </c>
      <c r="J1234" s="84" t="str">
        <f>+IFERROR(VLOOKUP(D1234,Conceptos_Analítica_contraloría[#All],3,0),"")</f>
        <v/>
      </c>
    </row>
    <row r="1235" spans="3:10" ht="18.75" customHeight="1" x14ac:dyDescent="0.35">
      <c r="C1235" s="100" t="str">
        <f>IF(OR(Fact_Analitica[[#This Row], [Año]]="",Fact_Analitica[[#This Row], [Mes]]=""),"",DATE(A1235,MATCH(B1235,{"enero","febrero","marzo","abril","mayo","junio","julio","agosto","septiembre","octubre","noviembre","diciembre"},0)+1,0))</f>
        <v/>
      </c>
      <c r="E1235" t="str">
        <f>+IFERROR(VLOOKUP(Fact_Analitica[[#This Row], [Concepto Anterior]],Conceptos_Analítica_contraloría[#All],5,0),"")</f>
        <v/>
      </c>
      <c r="F1235" t="str">
        <f>+IFERROR(VLOOKUP(Fact_Analitica[[#This Row], [Concepto Anterior]],Conceptos_Analítica_contraloría[#All],7,0),"")</f>
        <v/>
      </c>
      <c r="I1235" t="str">
        <f>+IFERROR(VLOOKUP(D1235,Conceptos_Analítica_contraloría[#All],2,0),"")</f>
        <v/>
      </c>
      <c r="J1235" s="84" t="str">
        <f>+IFERROR(VLOOKUP(D1235,Conceptos_Analítica_contraloría[#All],3,0),"")</f>
        <v/>
      </c>
    </row>
    <row r="1236" spans="3:10" ht="18.75" customHeight="1" x14ac:dyDescent="0.35">
      <c r="C1236" s="100" t="str">
        <f>IF(OR(Fact_Analitica[[#This Row], [Año]]="",Fact_Analitica[[#This Row], [Mes]]=""),"",DATE(A1236,MATCH(B1236,{"enero","febrero","marzo","abril","mayo","junio","julio","agosto","septiembre","octubre","noviembre","diciembre"},0)+1,0))</f>
        <v/>
      </c>
      <c r="E1236" t="str">
        <f>+IFERROR(VLOOKUP(Fact_Analitica[[#This Row], [Concepto Anterior]],Conceptos_Analítica_contraloría[#All],5,0),"")</f>
        <v/>
      </c>
      <c r="F1236" t="str">
        <f>+IFERROR(VLOOKUP(Fact_Analitica[[#This Row], [Concepto Anterior]],Conceptos_Analítica_contraloría[#All],7,0),"")</f>
        <v/>
      </c>
      <c r="I1236" t="str">
        <f>+IFERROR(VLOOKUP(D1236,Conceptos_Analítica_contraloría[#All],2,0),"")</f>
        <v/>
      </c>
      <c r="J1236" s="84" t="str">
        <f>+IFERROR(VLOOKUP(D1236,Conceptos_Analítica_contraloría[#All],3,0),"")</f>
        <v/>
      </c>
    </row>
    <row r="1237" spans="3:10" ht="18.75" customHeight="1" x14ac:dyDescent="0.35">
      <c r="C1237" s="100" t="str">
        <f>IF(OR(Fact_Analitica[[#This Row], [Año]]="",Fact_Analitica[[#This Row], [Mes]]=""),"",DATE(A1237,MATCH(B1237,{"enero","febrero","marzo","abril","mayo","junio","julio","agosto","septiembre","octubre","noviembre","diciembre"},0)+1,0))</f>
        <v/>
      </c>
      <c r="E1237" t="str">
        <f>+IFERROR(VLOOKUP(Fact_Analitica[[#This Row], [Concepto Anterior]],Conceptos_Analítica_contraloría[#All],5,0),"")</f>
        <v/>
      </c>
      <c r="F1237" t="str">
        <f>+IFERROR(VLOOKUP(Fact_Analitica[[#This Row], [Concepto Anterior]],Conceptos_Analítica_contraloría[#All],7,0),"")</f>
        <v/>
      </c>
      <c r="I1237" t="str">
        <f>+IFERROR(VLOOKUP(D1237,Conceptos_Analítica_contraloría[#All],2,0),"")</f>
        <v/>
      </c>
      <c r="J1237" s="84" t="str">
        <f>+IFERROR(VLOOKUP(D1237,Conceptos_Analítica_contraloría[#All],3,0),"")</f>
        <v/>
      </c>
    </row>
    <row r="1238" spans="3:10" ht="18.75" customHeight="1" x14ac:dyDescent="0.35">
      <c r="C1238" s="100" t="str">
        <f>IF(OR(Fact_Analitica[[#This Row], [Año]]="",Fact_Analitica[[#This Row], [Mes]]=""),"",DATE(A1238,MATCH(B1238,{"enero","febrero","marzo","abril","mayo","junio","julio","agosto","septiembre","octubre","noviembre","diciembre"},0)+1,0))</f>
        <v/>
      </c>
      <c r="E1238" t="str">
        <f>+IFERROR(VLOOKUP(Fact_Analitica[[#This Row], [Concepto Anterior]],Conceptos_Analítica_contraloría[#All],5,0),"")</f>
        <v/>
      </c>
      <c r="F1238" t="str">
        <f>+IFERROR(VLOOKUP(Fact_Analitica[[#This Row], [Concepto Anterior]],Conceptos_Analítica_contraloría[#All],7,0),"")</f>
        <v/>
      </c>
      <c r="I1238" t="str">
        <f>+IFERROR(VLOOKUP(D1238,Conceptos_Analítica_contraloría[#All],2,0),"")</f>
        <v/>
      </c>
      <c r="J1238" s="84" t="str">
        <f>+IFERROR(VLOOKUP(D1238,Conceptos_Analítica_contraloría[#All],3,0),"")</f>
        <v/>
      </c>
    </row>
    <row r="1239" spans="3:10" ht="18.75" customHeight="1" x14ac:dyDescent="0.35">
      <c r="C1239" s="100" t="str">
        <f>IF(OR(Fact_Analitica[[#This Row], [Año]]="",Fact_Analitica[[#This Row], [Mes]]=""),"",DATE(A1239,MATCH(B1239,{"enero","febrero","marzo","abril","mayo","junio","julio","agosto","septiembre","octubre","noviembre","diciembre"},0)+1,0))</f>
        <v/>
      </c>
      <c r="E1239" t="str">
        <f>+IFERROR(VLOOKUP(Fact_Analitica[[#This Row], [Concepto Anterior]],Conceptos_Analítica_contraloría[#All],5,0),"")</f>
        <v/>
      </c>
      <c r="F1239" t="str">
        <f>+IFERROR(VLOOKUP(Fact_Analitica[[#This Row], [Concepto Anterior]],Conceptos_Analítica_contraloría[#All],7,0),"")</f>
        <v/>
      </c>
      <c r="I1239" t="str">
        <f>+IFERROR(VLOOKUP(D1239,Conceptos_Analítica_contraloría[#All],2,0),"")</f>
        <v/>
      </c>
      <c r="J1239" s="84" t="str">
        <f>+IFERROR(VLOOKUP(D1239,Conceptos_Analítica_contraloría[#All],3,0),"")</f>
        <v/>
      </c>
    </row>
    <row r="1240" spans="3:10" ht="18.75" customHeight="1" x14ac:dyDescent="0.35">
      <c r="C1240" s="100" t="str">
        <f>IF(OR(Fact_Analitica[[#This Row], [Año]]="",Fact_Analitica[[#This Row], [Mes]]=""),"",DATE(A1240,MATCH(B1240,{"enero","febrero","marzo","abril","mayo","junio","julio","agosto","septiembre","octubre","noviembre","diciembre"},0)+1,0))</f>
        <v/>
      </c>
      <c r="E1240" t="str">
        <f>+IFERROR(VLOOKUP(Fact_Analitica[[#This Row], [Concepto Anterior]],Conceptos_Analítica_contraloría[#All],5,0),"")</f>
        <v/>
      </c>
      <c r="F1240" t="str">
        <f>+IFERROR(VLOOKUP(Fact_Analitica[[#This Row], [Concepto Anterior]],Conceptos_Analítica_contraloría[#All],7,0),"")</f>
        <v/>
      </c>
      <c r="I1240" t="str">
        <f>+IFERROR(VLOOKUP(D1240,Conceptos_Analítica_contraloría[#All],2,0),"")</f>
        <v/>
      </c>
      <c r="J1240" s="84" t="str">
        <f>+IFERROR(VLOOKUP(D1240,Conceptos_Analítica_contraloría[#All],3,0),"")</f>
        <v/>
      </c>
    </row>
    <row r="1241" spans="3:10" ht="18.75" customHeight="1" x14ac:dyDescent="0.35">
      <c r="C1241" s="100" t="str">
        <f>IF(OR(Fact_Analitica[[#This Row], [Año]]="",Fact_Analitica[[#This Row], [Mes]]=""),"",DATE(A1241,MATCH(B1241,{"enero","febrero","marzo","abril","mayo","junio","julio","agosto","septiembre","octubre","noviembre","diciembre"},0)+1,0))</f>
        <v/>
      </c>
      <c r="E1241" t="str">
        <f>+IFERROR(VLOOKUP(Fact_Analitica[[#This Row], [Concepto Anterior]],Conceptos_Analítica_contraloría[#All],5,0),"")</f>
        <v/>
      </c>
      <c r="F1241" t="str">
        <f>+IFERROR(VLOOKUP(Fact_Analitica[[#This Row], [Concepto Anterior]],Conceptos_Analítica_contraloría[#All],7,0),"")</f>
        <v/>
      </c>
      <c r="I1241" t="str">
        <f>+IFERROR(VLOOKUP(D1241,Conceptos_Analítica_contraloría[#All],2,0),"")</f>
        <v/>
      </c>
      <c r="J1241" s="84" t="str">
        <f>+IFERROR(VLOOKUP(D1241,Conceptos_Analítica_contraloría[#All],3,0),"")</f>
        <v/>
      </c>
    </row>
    <row r="1242" spans="3:10" ht="18.75" customHeight="1" x14ac:dyDescent="0.35">
      <c r="C1242" s="100" t="str">
        <f>IF(OR(Fact_Analitica[[#This Row], [Año]]="",Fact_Analitica[[#This Row], [Mes]]=""),"",DATE(A1242,MATCH(B1242,{"enero","febrero","marzo","abril","mayo","junio","julio","agosto","septiembre","octubre","noviembre","diciembre"},0)+1,0))</f>
        <v/>
      </c>
      <c r="E1242" t="str">
        <f>+IFERROR(VLOOKUP(Fact_Analitica[[#This Row], [Concepto Anterior]],Conceptos_Analítica_contraloría[#All],5,0),"")</f>
        <v/>
      </c>
      <c r="F1242" t="str">
        <f>+IFERROR(VLOOKUP(Fact_Analitica[[#This Row], [Concepto Anterior]],Conceptos_Analítica_contraloría[#All],7,0),"")</f>
        <v/>
      </c>
      <c r="I1242" t="str">
        <f>+IFERROR(VLOOKUP(D1242,Conceptos_Analítica_contraloría[#All],2,0),"")</f>
        <v/>
      </c>
      <c r="J1242" s="84" t="str">
        <f>+IFERROR(VLOOKUP(D1242,Conceptos_Analítica_contraloría[#All],3,0),"")</f>
        <v/>
      </c>
    </row>
    <row r="1243" spans="3:10" ht="18.75" customHeight="1" x14ac:dyDescent="0.35">
      <c r="C1243" s="100" t="str">
        <f>IF(OR(Fact_Analitica[[#This Row], [Año]]="",Fact_Analitica[[#This Row], [Mes]]=""),"",DATE(A1243,MATCH(B1243,{"enero","febrero","marzo","abril","mayo","junio","julio","agosto","septiembre","octubre","noviembre","diciembre"},0)+1,0))</f>
        <v/>
      </c>
      <c r="E1243" t="str">
        <f>+IFERROR(VLOOKUP(Fact_Analitica[[#This Row], [Concepto Anterior]],Conceptos_Analítica_contraloría[#All],5,0),"")</f>
        <v/>
      </c>
      <c r="F1243" t="str">
        <f>+IFERROR(VLOOKUP(Fact_Analitica[[#This Row], [Concepto Anterior]],Conceptos_Analítica_contraloría[#All],7,0),"")</f>
        <v/>
      </c>
      <c r="I1243" t="str">
        <f>+IFERROR(VLOOKUP(D1243,Conceptos_Analítica_contraloría[#All],2,0),"")</f>
        <v/>
      </c>
      <c r="J1243" s="84" t="str">
        <f>+IFERROR(VLOOKUP(D1243,Conceptos_Analítica_contraloría[#All],3,0),"")</f>
        <v/>
      </c>
    </row>
    <row r="1244" spans="3:10" ht="18.75" customHeight="1" x14ac:dyDescent="0.35">
      <c r="C1244" s="100" t="str">
        <f>IF(OR(Fact_Analitica[[#This Row], [Año]]="",Fact_Analitica[[#This Row], [Mes]]=""),"",DATE(A1244,MATCH(B1244,{"enero","febrero","marzo","abril","mayo","junio","julio","agosto","septiembre","octubre","noviembre","diciembre"},0)+1,0))</f>
        <v/>
      </c>
      <c r="E1244" t="str">
        <f>+IFERROR(VLOOKUP(Fact_Analitica[[#This Row], [Concepto Anterior]],Conceptos_Analítica_contraloría[#All],5,0),"")</f>
        <v/>
      </c>
      <c r="F1244" t="str">
        <f>+IFERROR(VLOOKUP(Fact_Analitica[[#This Row], [Concepto Anterior]],Conceptos_Analítica_contraloría[#All],7,0),"")</f>
        <v/>
      </c>
      <c r="I1244" t="str">
        <f>+IFERROR(VLOOKUP(D1244,Conceptos_Analítica_contraloría[#All],2,0),"")</f>
        <v/>
      </c>
      <c r="J1244" s="84" t="str">
        <f>+IFERROR(VLOOKUP(D1244,Conceptos_Analítica_contraloría[#All],3,0),"")</f>
        <v/>
      </c>
    </row>
    <row r="1245" spans="3:10" ht="18.75" customHeight="1" x14ac:dyDescent="0.35">
      <c r="C1245" s="100" t="str">
        <f>IF(OR(Fact_Analitica[[#This Row], [Año]]="",Fact_Analitica[[#This Row], [Mes]]=""),"",DATE(A1245,MATCH(B1245,{"enero","febrero","marzo","abril","mayo","junio","julio","agosto","septiembre","octubre","noviembre","diciembre"},0)+1,0))</f>
        <v/>
      </c>
      <c r="E1245" t="str">
        <f>+IFERROR(VLOOKUP(Fact_Analitica[[#This Row], [Concepto Anterior]],Conceptos_Analítica_contraloría[#All],5,0),"")</f>
        <v/>
      </c>
      <c r="F1245" t="str">
        <f>+IFERROR(VLOOKUP(Fact_Analitica[[#This Row], [Concepto Anterior]],Conceptos_Analítica_contraloría[#All],7,0),"")</f>
        <v/>
      </c>
      <c r="I1245" t="str">
        <f>+IFERROR(VLOOKUP(D1245,Conceptos_Analítica_contraloría[#All],2,0),"")</f>
        <v/>
      </c>
      <c r="J1245" s="84" t="str">
        <f>+IFERROR(VLOOKUP(D1245,Conceptos_Analítica_contraloría[#All],3,0),"")</f>
        <v/>
      </c>
    </row>
    <row r="1246" spans="3:10" ht="18.75" customHeight="1" x14ac:dyDescent="0.35">
      <c r="C1246" s="100" t="str">
        <f>IF(OR(Fact_Analitica[[#This Row], [Año]]="",Fact_Analitica[[#This Row], [Mes]]=""),"",DATE(A1246,MATCH(B1246,{"enero","febrero","marzo","abril","mayo","junio","julio","agosto","septiembre","octubre","noviembre","diciembre"},0)+1,0))</f>
        <v/>
      </c>
      <c r="E1246" t="str">
        <f>+IFERROR(VLOOKUP(Fact_Analitica[[#This Row], [Concepto Anterior]],Conceptos_Analítica_contraloría[#All],5,0),"")</f>
        <v/>
      </c>
      <c r="F1246" t="str">
        <f>+IFERROR(VLOOKUP(Fact_Analitica[[#This Row], [Concepto Anterior]],Conceptos_Analítica_contraloría[#All],7,0),"")</f>
        <v/>
      </c>
      <c r="I1246" t="str">
        <f>+IFERROR(VLOOKUP(D1246,Conceptos_Analítica_contraloría[#All],2,0),"")</f>
        <v/>
      </c>
      <c r="J1246" s="84" t="str">
        <f>+IFERROR(VLOOKUP(D1246,Conceptos_Analítica_contraloría[#All],3,0),"")</f>
        <v/>
      </c>
    </row>
    <row r="1247" spans="3:10" ht="18.75" customHeight="1" x14ac:dyDescent="0.35">
      <c r="C1247" s="100" t="str">
        <f>IF(OR(Fact_Analitica[[#This Row], [Año]]="",Fact_Analitica[[#This Row], [Mes]]=""),"",DATE(A1247,MATCH(B1247,{"enero","febrero","marzo","abril","mayo","junio","julio","agosto","septiembre","octubre","noviembre","diciembre"},0)+1,0))</f>
        <v/>
      </c>
      <c r="E1247" t="str">
        <f>+IFERROR(VLOOKUP(Fact_Analitica[[#This Row], [Concepto Anterior]],Conceptos_Analítica_contraloría[#All],5,0),"")</f>
        <v/>
      </c>
      <c r="F1247" t="str">
        <f>+IFERROR(VLOOKUP(Fact_Analitica[[#This Row], [Concepto Anterior]],Conceptos_Analítica_contraloría[#All],7,0),"")</f>
        <v/>
      </c>
      <c r="I1247" t="str">
        <f>+IFERROR(VLOOKUP(D1247,Conceptos_Analítica_contraloría[#All],2,0),"")</f>
        <v/>
      </c>
      <c r="J1247" s="84" t="str">
        <f>+IFERROR(VLOOKUP(D1247,Conceptos_Analítica_contraloría[#All],3,0),"")</f>
        <v/>
      </c>
    </row>
    <row r="1248" spans="3:10" ht="18.75" customHeight="1" x14ac:dyDescent="0.35">
      <c r="C1248" s="100" t="str">
        <f>IF(OR(Fact_Analitica[[#This Row], [Año]]="",Fact_Analitica[[#This Row], [Mes]]=""),"",DATE(A1248,MATCH(B1248,{"enero","febrero","marzo","abril","mayo","junio","julio","agosto","septiembre","octubre","noviembre","diciembre"},0)+1,0))</f>
        <v/>
      </c>
      <c r="E1248" t="str">
        <f>+IFERROR(VLOOKUP(Fact_Analitica[[#This Row], [Concepto Anterior]],Conceptos_Analítica_contraloría[#All],5,0),"")</f>
        <v/>
      </c>
      <c r="F1248" t="str">
        <f>+IFERROR(VLOOKUP(Fact_Analitica[[#This Row], [Concepto Anterior]],Conceptos_Analítica_contraloría[#All],7,0),"")</f>
        <v/>
      </c>
      <c r="I1248" t="str">
        <f>+IFERROR(VLOOKUP(D1248,Conceptos_Analítica_contraloría[#All],2,0),"")</f>
        <v/>
      </c>
      <c r="J1248" s="84" t="str">
        <f>+IFERROR(VLOOKUP(D1248,Conceptos_Analítica_contraloría[#All],3,0),"")</f>
        <v/>
      </c>
    </row>
    <row r="1249" spans="3:10" ht="18.75" customHeight="1" x14ac:dyDescent="0.35">
      <c r="C1249" s="100" t="str">
        <f>IF(OR(Fact_Analitica[[#This Row], [Año]]="",Fact_Analitica[[#This Row], [Mes]]=""),"",DATE(A1249,MATCH(B1249,{"enero","febrero","marzo","abril","mayo","junio","julio","agosto","septiembre","octubre","noviembre","diciembre"},0)+1,0))</f>
        <v/>
      </c>
      <c r="E1249" t="str">
        <f>+IFERROR(VLOOKUP(Fact_Analitica[[#This Row], [Concepto Anterior]],Conceptos_Analítica_contraloría[#All],5,0),"")</f>
        <v/>
      </c>
      <c r="F1249" t="str">
        <f>+IFERROR(VLOOKUP(Fact_Analitica[[#This Row], [Concepto Anterior]],Conceptos_Analítica_contraloría[#All],7,0),"")</f>
        <v/>
      </c>
      <c r="I1249" t="str">
        <f>+IFERROR(VLOOKUP(D1249,Conceptos_Analítica_contraloría[#All],2,0),"")</f>
        <v/>
      </c>
      <c r="J1249" s="84" t="str">
        <f>+IFERROR(VLOOKUP(D1249,Conceptos_Analítica_contraloría[#All],3,0),"")</f>
        <v/>
      </c>
    </row>
    <row r="1250" spans="3:10" ht="18.75" customHeight="1" x14ac:dyDescent="0.35">
      <c r="C1250" s="100" t="str">
        <f>IF(OR(Fact_Analitica[[#This Row], [Año]]="",Fact_Analitica[[#This Row], [Mes]]=""),"",DATE(A1250,MATCH(B1250,{"enero","febrero","marzo","abril","mayo","junio","julio","agosto","septiembre","octubre","noviembre","diciembre"},0)+1,0))</f>
        <v/>
      </c>
      <c r="E1250" t="str">
        <f>+IFERROR(VLOOKUP(Fact_Analitica[[#This Row], [Concepto Anterior]],Conceptos_Analítica_contraloría[#All],5,0),"")</f>
        <v/>
      </c>
      <c r="F1250" t="str">
        <f>+IFERROR(VLOOKUP(Fact_Analitica[[#This Row], [Concepto Anterior]],Conceptos_Analítica_contraloría[#All],7,0),"")</f>
        <v/>
      </c>
      <c r="I1250" t="str">
        <f>+IFERROR(VLOOKUP(D1250,Conceptos_Analítica_contraloría[#All],2,0),"")</f>
        <v/>
      </c>
      <c r="J1250" s="84" t="str">
        <f>+IFERROR(VLOOKUP(D1250,Conceptos_Analítica_contraloría[#All],3,0),"")</f>
        <v/>
      </c>
    </row>
    <row r="1251" spans="3:10" ht="18.75" customHeight="1" x14ac:dyDescent="0.35">
      <c r="C1251" s="100" t="str">
        <f>IF(OR(Fact_Analitica[[#This Row], [Año]]="",Fact_Analitica[[#This Row], [Mes]]=""),"",DATE(A1251,MATCH(B1251,{"enero","febrero","marzo","abril","mayo","junio","julio","agosto","septiembre","octubre","noviembre","diciembre"},0)+1,0))</f>
        <v/>
      </c>
      <c r="E1251" t="str">
        <f>+IFERROR(VLOOKUP(Fact_Analitica[[#This Row], [Concepto Anterior]],Conceptos_Analítica_contraloría[#All],5,0),"")</f>
        <v/>
      </c>
      <c r="F1251" t="str">
        <f>+IFERROR(VLOOKUP(Fact_Analitica[[#This Row], [Concepto Anterior]],Conceptos_Analítica_contraloría[#All],7,0),"")</f>
        <v/>
      </c>
      <c r="I1251" t="str">
        <f>+IFERROR(VLOOKUP(D1251,Conceptos_Analítica_contraloría[#All],2,0),"")</f>
        <v/>
      </c>
      <c r="J1251" s="84" t="str">
        <f>+IFERROR(VLOOKUP(D1251,Conceptos_Analítica_contraloría[#All],3,0),"")</f>
        <v/>
      </c>
    </row>
    <row r="1252" spans="3:10" ht="18.75" customHeight="1" x14ac:dyDescent="0.35">
      <c r="C1252" s="100" t="str">
        <f>IF(OR(Fact_Analitica[[#This Row], [Año]]="",Fact_Analitica[[#This Row], [Mes]]=""),"",DATE(A1252,MATCH(B1252,{"enero","febrero","marzo","abril","mayo","junio","julio","agosto","septiembre","octubre","noviembre","diciembre"},0)+1,0))</f>
        <v/>
      </c>
      <c r="E1252" t="str">
        <f>+IFERROR(VLOOKUP(Fact_Analitica[[#This Row], [Concepto Anterior]],Conceptos_Analítica_contraloría[#All],5,0),"")</f>
        <v/>
      </c>
      <c r="F1252" t="str">
        <f>+IFERROR(VLOOKUP(Fact_Analitica[[#This Row], [Concepto Anterior]],Conceptos_Analítica_contraloría[#All],7,0),"")</f>
        <v/>
      </c>
      <c r="I1252" t="str">
        <f>+IFERROR(VLOOKUP(D1252,Conceptos_Analítica_contraloría[#All],2,0),"")</f>
        <v/>
      </c>
      <c r="J1252" s="84" t="str">
        <f>+IFERROR(VLOOKUP(D1252,Conceptos_Analítica_contraloría[#All],3,0),"")</f>
        <v/>
      </c>
    </row>
    <row r="1253" spans="3:10" ht="18.75" customHeight="1" x14ac:dyDescent="0.35">
      <c r="C1253" s="100" t="str">
        <f>IF(OR(Fact_Analitica[[#This Row], [Año]]="",Fact_Analitica[[#This Row], [Mes]]=""),"",DATE(A1253,MATCH(B1253,{"enero","febrero","marzo","abril","mayo","junio","julio","agosto","septiembre","octubre","noviembre","diciembre"},0)+1,0))</f>
        <v/>
      </c>
      <c r="E1253" t="str">
        <f>+IFERROR(VLOOKUP(Fact_Analitica[[#This Row], [Concepto Anterior]],Conceptos_Analítica_contraloría[#All],5,0),"")</f>
        <v/>
      </c>
      <c r="F1253" t="str">
        <f>+IFERROR(VLOOKUP(Fact_Analitica[[#This Row], [Concepto Anterior]],Conceptos_Analítica_contraloría[#All],7,0),"")</f>
        <v/>
      </c>
      <c r="I1253" t="str">
        <f>+IFERROR(VLOOKUP(D1253,Conceptos_Analítica_contraloría[#All],2,0),"")</f>
        <v/>
      </c>
      <c r="J1253" s="84" t="str">
        <f>+IFERROR(VLOOKUP(D1253,Conceptos_Analítica_contraloría[#All],3,0),"")</f>
        <v/>
      </c>
    </row>
    <row r="1254" spans="3:10" ht="18.75" customHeight="1" x14ac:dyDescent="0.35">
      <c r="C1254" s="100" t="str">
        <f>IF(OR(Fact_Analitica[[#This Row], [Año]]="",Fact_Analitica[[#This Row], [Mes]]=""),"",DATE(A1254,MATCH(B1254,{"enero","febrero","marzo","abril","mayo","junio","julio","agosto","septiembre","octubre","noviembre","diciembre"},0)+1,0))</f>
        <v/>
      </c>
      <c r="E1254" t="str">
        <f>+IFERROR(VLOOKUP(Fact_Analitica[[#This Row], [Concepto Anterior]],Conceptos_Analítica_contraloría[#All],5,0),"")</f>
        <v/>
      </c>
      <c r="F1254" t="str">
        <f>+IFERROR(VLOOKUP(Fact_Analitica[[#This Row], [Concepto Anterior]],Conceptos_Analítica_contraloría[#All],7,0),"")</f>
        <v/>
      </c>
      <c r="I1254" t="str">
        <f>+IFERROR(VLOOKUP(D1254,Conceptos_Analítica_contraloría[#All],2,0),"")</f>
        <v/>
      </c>
      <c r="J1254" s="84" t="str">
        <f>+IFERROR(VLOOKUP(D1254,Conceptos_Analítica_contraloría[#All],3,0),"")</f>
        <v/>
      </c>
    </row>
    <row r="1255" spans="3:10" ht="18.75" customHeight="1" x14ac:dyDescent="0.35">
      <c r="C1255" s="100" t="str">
        <f>IF(OR(Fact_Analitica[[#This Row], [Año]]="",Fact_Analitica[[#This Row], [Mes]]=""),"",DATE(A1255,MATCH(B1255,{"enero","febrero","marzo","abril","mayo","junio","julio","agosto","septiembre","octubre","noviembre","diciembre"},0)+1,0))</f>
        <v/>
      </c>
      <c r="E1255" t="str">
        <f>+IFERROR(VLOOKUP(Fact_Analitica[[#This Row], [Concepto Anterior]],Conceptos_Analítica_contraloría[#All],5,0),"")</f>
        <v/>
      </c>
      <c r="F1255" t="str">
        <f>+IFERROR(VLOOKUP(Fact_Analitica[[#This Row], [Concepto Anterior]],Conceptos_Analítica_contraloría[#All],7,0),"")</f>
        <v/>
      </c>
      <c r="I1255" t="str">
        <f>+IFERROR(VLOOKUP(D1255,Conceptos_Analítica_contraloría[#All],2,0),"")</f>
        <v/>
      </c>
      <c r="J1255" s="84" t="str">
        <f>+IFERROR(VLOOKUP(D1255,Conceptos_Analítica_contraloría[#All],3,0),"")</f>
        <v/>
      </c>
    </row>
    <row r="1256" spans="3:10" ht="18.75" customHeight="1" x14ac:dyDescent="0.35">
      <c r="C1256" s="100" t="str">
        <f>IF(OR(Fact_Analitica[[#This Row], [Año]]="",Fact_Analitica[[#This Row], [Mes]]=""),"",DATE(A1256,MATCH(B1256,{"enero","febrero","marzo","abril","mayo","junio","julio","agosto","septiembre","octubre","noviembre","diciembre"},0)+1,0))</f>
        <v/>
      </c>
      <c r="E1256" t="str">
        <f>+IFERROR(VLOOKUP(Fact_Analitica[[#This Row], [Concepto Anterior]],Conceptos_Analítica_contraloría[#All],5,0),"")</f>
        <v/>
      </c>
      <c r="F1256" t="str">
        <f>+IFERROR(VLOOKUP(Fact_Analitica[[#This Row], [Concepto Anterior]],Conceptos_Analítica_contraloría[#All],7,0),"")</f>
        <v/>
      </c>
      <c r="I1256" t="str">
        <f>+IFERROR(VLOOKUP(D1256,Conceptos_Analítica_contraloría[#All],2,0),"")</f>
        <v/>
      </c>
      <c r="J1256" s="84" t="str">
        <f>+IFERROR(VLOOKUP(D1256,Conceptos_Analítica_contraloría[#All],3,0),"")</f>
        <v/>
      </c>
    </row>
    <row r="1257" spans="3:10" ht="18.75" customHeight="1" x14ac:dyDescent="0.35">
      <c r="C1257" s="100" t="str">
        <f>IF(OR(Fact_Analitica[[#This Row], [Año]]="",Fact_Analitica[[#This Row], [Mes]]=""),"",DATE(A1257,MATCH(B1257,{"enero","febrero","marzo","abril","mayo","junio","julio","agosto","septiembre","octubre","noviembre","diciembre"},0)+1,0))</f>
        <v/>
      </c>
      <c r="E1257" t="str">
        <f>+IFERROR(VLOOKUP(Fact_Analitica[[#This Row], [Concepto Anterior]],Conceptos_Analítica_contraloría[#All],5,0),"")</f>
        <v/>
      </c>
      <c r="F1257" t="str">
        <f>+IFERROR(VLOOKUP(Fact_Analitica[[#This Row], [Concepto Anterior]],Conceptos_Analítica_contraloría[#All],7,0),"")</f>
        <v/>
      </c>
      <c r="I1257" t="str">
        <f>+IFERROR(VLOOKUP(D1257,Conceptos_Analítica_contraloría[#All],2,0),"")</f>
        <v/>
      </c>
      <c r="J1257" s="84" t="str">
        <f>+IFERROR(VLOOKUP(D1257,Conceptos_Analítica_contraloría[#All],3,0),"")</f>
        <v/>
      </c>
    </row>
    <row r="1258" spans="3:10" ht="18.75" customHeight="1" x14ac:dyDescent="0.35">
      <c r="C1258" s="100" t="str">
        <f>IF(OR(Fact_Analitica[[#This Row], [Año]]="",Fact_Analitica[[#This Row], [Mes]]=""),"",DATE(A1258,MATCH(B1258,{"enero","febrero","marzo","abril","mayo","junio","julio","agosto","septiembre","octubre","noviembre","diciembre"},0)+1,0))</f>
        <v/>
      </c>
      <c r="E1258" t="str">
        <f>+IFERROR(VLOOKUP(Fact_Analitica[[#This Row], [Concepto Anterior]],Conceptos_Analítica_contraloría[#All],5,0),"")</f>
        <v/>
      </c>
      <c r="F1258" t="str">
        <f>+IFERROR(VLOOKUP(Fact_Analitica[[#This Row], [Concepto Anterior]],Conceptos_Analítica_contraloría[#All],7,0),"")</f>
        <v/>
      </c>
      <c r="I1258" t="str">
        <f>+IFERROR(VLOOKUP(D1258,Conceptos_Analítica_contraloría[#All],2,0),"")</f>
        <v/>
      </c>
      <c r="J1258" s="84" t="str">
        <f>+IFERROR(VLOOKUP(D1258,Conceptos_Analítica_contraloría[#All],3,0),"")</f>
        <v/>
      </c>
    </row>
    <row r="1259" spans="3:10" ht="18.75" customHeight="1" x14ac:dyDescent="0.35">
      <c r="C1259" s="100" t="str">
        <f>IF(OR(Fact_Analitica[[#This Row], [Año]]="",Fact_Analitica[[#This Row], [Mes]]=""),"",DATE(A1259,MATCH(B1259,{"enero","febrero","marzo","abril","mayo","junio","julio","agosto","septiembre","octubre","noviembre","diciembre"},0)+1,0))</f>
        <v/>
      </c>
      <c r="E1259" t="str">
        <f>+IFERROR(VLOOKUP(Fact_Analitica[[#This Row], [Concepto Anterior]],Conceptos_Analítica_contraloría[#All],5,0),"")</f>
        <v/>
      </c>
      <c r="F1259" t="str">
        <f>+IFERROR(VLOOKUP(Fact_Analitica[[#This Row], [Concepto Anterior]],Conceptos_Analítica_contraloría[#All],7,0),"")</f>
        <v/>
      </c>
      <c r="I1259" t="str">
        <f>+IFERROR(VLOOKUP(D1259,Conceptos_Analítica_contraloría[#All],2,0),"")</f>
        <v/>
      </c>
      <c r="J1259" s="84" t="str">
        <f>+IFERROR(VLOOKUP(D1259,Conceptos_Analítica_contraloría[#All],3,0),"")</f>
        <v/>
      </c>
    </row>
    <row r="1260" spans="3:10" ht="18.75" customHeight="1" x14ac:dyDescent="0.35">
      <c r="C1260" s="100" t="str">
        <f>IF(OR(Fact_Analitica[[#This Row], [Año]]="",Fact_Analitica[[#This Row], [Mes]]=""),"",DATE(A1260,MATCH(B1260,{"enero","febrero","marzo","abril","mayo","junio","julio","agosto","septiembre","octubre","noviembre","diciembre"},0)+1,0))</f>
        <v/>
      </c>
      <c r="E1260" t="str">
        <f>+IFERROR(VLOOKUP(Fact_Analitica[[#This Row], [Concepto Anterior]],Conceptos_Analítica_contraloría[#All],5,0),"")</f>
        <v/>
      </c>
      <c r="F1260" t="str">
        <f>+IFERROR(VLOOKUP(Fact_Analitica[[#This Row], [Concepto Anterior]],Conceptos_Analítica_contraloría[#All],7,0),"")</f>
        <v/>
      </c>
      <c r="I1260" t="str">
        <f>+IFERROR(VLOOKUP(D1260,Conceptos_Analítica_contraloría[#All],2,0),"")</f>
        <v/>
      </c>
      <c r="J1260" s="84" t="str">
        <f>+IFERROR(VLOOKUP(D1260,Conceptos_Analítica_contraloría[#All],3,0),"")</f>
        <v/>
      </c>
    </row>
    <row r="1261" spans="3:10" ht="18.75" customHeight="1" x14ac:dyDescent="0.35">
      <c r="C1261" s="100" t="str">
        <f>IF(OR(Fact_Analitica[[#This Row], [Año]]="",Fact_Analitica[[#This Row], [Mes]]=""),"",DATE(A1261,MATCH(B1261,{"enero","febrero","marzo","abril","mayo","junio","julio","agosto","septiembre","octubre","noviembre","diciembre"},0)+1,0))</f>
        <v/>
      </c>
      <c r="E1261" t="str">
        <f>+IFERROR(VLOOKUP(Fact_Analitica[[#This Row], [Concepto Anterior]],Conceptos_Analítica_contraloría[#All],5,0),"")</f>
        <v/>
      </c>
      <c r="F1261" t="str">
        <f>+IFERROR(VLOOKUP(Fact_Analitica[[#This Row], [Concepto Anterior]],Conceptos_Analítica_contraloría[#All],7,0),"")</f>
        <v/>
      </c>
      <c r="I1261" t="str">
        <f>+IFERROR(VLOOKUP(D1261,Conceptos_Analítica_contraloría[#All],2,0),"")</f>
        <v/>
      </c>
      <c r="J1261" s="84" t="str">
        <f>+IFERROR(VLOOKUP(D1261,Conceptos_Analítica_contraloría[#All],3,0),"")</f>
        <v/>
      </c>
    </row>
    <row r="1262" spans="3:10" ht="18.75" customHeight="1" x14ac:dyDescent="0.35">
      <c r="C1262" s="100" t="str">
        <f>IF(OR(Fact_Analitica[[#This Row], [Año]]="",Fact_Analitica[[#This Row], [Mes]]=""),"",DATE(A1262,MATCH(B1262,{"enero","febrero","marzo","abril","mayo","junio","julio","agosto","septiembre","octubre","noviembre","diciembre"},0)+1,0))</f>
        <v/>
      </c>
      <c r="E1262" t="str">
        <f>+IFERROR(VLOOKUP(Fact_Analitica[[#This Row], [Concepto Anterior]],Conceptos_Analítica_contraloría[#All],5,0),"")</f>
        <v/>
      </c>
      <c r="F1262" t="str">
        <f>+IFERROR(VLOOKUP(Fact_Analitica[[#This Row], [Concepto Anterior]],Conceptos_Analítica_contraloría[#All],7,0),"")</f>
        <v/>
      </c>
      <c r="I1262" t="str">
        <f>+IFERROR(VLOOKUP(D1262,Conceptos_Analítica_contraloría[#All],2,0),"")</f>
        <v/>
      </c>
      <c r="J1262" s="84" t="str">
        <f>+IFERROR(VLOOKUP(D1262,Conceptos_Analítica_contraloría[#All],3,0),"")</f>
        <v/>
      </c>
    </row>
    <row r="1263" spans="3:10" ht="18.75" customHeight="1" x14ac:dyDescent="0.35">
      <c r="C1263" s="100" t="str">
        <f>IF(OR(Fact_Analitica[[#This Row], [Año]]="",Fact_Analitica[[#This Row], [Mes]]=""),"",DATE(A1263,MATCH(B1263,{"enero","febrero","marzo","abril","mayo","junio","julio","agosto","septiembre","octubre","noviembre","diciembre"},0)+1,0))</f>
        <v/>
      </c>
      <c r="E1263" t="str">
        <f>+IFERROR(VLOOKUP(Fact_Analitica[[#This Row], [Concepto Anterior]],Conceptos_Analítica_contraloría[#All],5,0),"")</f>
        <v/>
      </c>
      <c r="F1263" t="str">
        <f>+IFERROR(VLOOKUP(Fact_Analitica[[#This Row], [Concepto Anterior]],Conceptos_Analítica_contraloría[#All],7,0),"")</f>
        <v/>
      </c>
      <c r="I1263" t="str">
        <f>+IFERROR(VLOOKUP(D1263,Conceptos_Analítica_contraloría[#All],2,0),"")</f>
        <v/>
      </c>
      <c r="J1263" s="84" t="str">
        <f>+IFERROR(VLOOKUP(D1263,Conceptos_Analítica_contraloría[#All],3,0),"")</f>
        <v/>
      </c>
    </row>
    <row r="1264" spans="3:10" ht="18.75" customHeight="1" x14ac:dyDescent="0.35">
      <c r="C1264" s="100" t="str">
        <f>IF(OR(Fact_Analitica[[#This Row], [Año]]="",Fact_Analitica[[#This Row], [Mes]]=""),"",DATE(A1264,MATCH(B1264,{"enero","febrero","marzo","abril","mayo","junio","julio","agosto","septiembre","octubre","noviembre","diciembre"},0)+1,0))</f>
        <v/>
      </c>
      <c r="E1264" t="str">
        <f>+IFERROR(VLOOKUP(Fact_Analitica[[#This Row], [Concepto Anterior]],Conceptos_Analítica_contraloría[#All],5,0),"")</f>
        <v/>
      </c>
      <c r="F1264" t="str">
        <f>+IFERROR(VLOOKUP(Fact_Analitica[[#This Row], [Concepto Anterior]],Conceptos_Analítica_contraloría[#All],7,0),"")</f>
        <v/>
      </c>
      <c r="I1264" t="str">
        <f>+IFERROR(VLOOKUP(D1264,Conceptos_Analítica_contraloría[#All],2,0),"")</f>
        <v/>
      </c>
      <c r="J1264" s="84" t="str">
        <f>+IFERROR(VLOOKUP(D1264,Conceptos_Analítica_contraloría[#All],3,0),"")</f>
        <v/>
      </c>
    </row>
    <row r="1265" spans="3:10" ht="18.75" customHeight="1" x14ac:dyDescent="0.35">
      <c r="C1265" s="100" t="str">
        <f>IF(OR(Fact_Analitica[[#This Row], [Año]]="",Fact_Analitica[[#This Row], [Mes]]=""),"",DATE(A1265,MATCH(B1265,{"enero","febrero","marzo","abril","mayo","junio","julio","agosto","septiembre","octubre","noviembre","diciembre"},0)+1,0))</f>
        <v/>
      </c>
      <c r="E1265" t="str">
        <f>+IFERROR(VLOOKUP(Fact_Analitica[[#This Row], [Concepto Anterior]],Conceptos_Analítica_contraloría[#All],5,0),"")</f>
        <v/>
      </c>
      <c r="F1265" t="str">
        <f>+IFERROR(VLOOKUP(Fact_Analitica[[#This Row], [Concepto Anterior]],Conceptos_Analítica_contraloría[#All],7,0),"")</f>
        <v/>
      </c>
      <c r="I1265" t="str">
        <f>+IFERROR(VLOOKUP(D1265,Conceptos_Analítica_contraloría[#All],2,0),"")</f>
        <v/>
      </c>
      <c r="J1265" s="84" t="str">
        <f>+IFERROR(VLOOKUP(D1265,Conceptos_Analítica_contraloría[#All],3,0),"")</f>
        <v/>
      </c>
    </row>
    <row r="1266" spans="3:10" ht="18.75" customHeight="1" x14ac:dyDescent="0.35">
      <c r="C1266" s="100" t="str">
        <f>IF(OR(Fact_Analitica[[#This Row], [Año]]="",Fact_Analitica[[#This Row], [Mes]]=""),"",DATE(A1266,MATCH(B1266,{"enero","febrero","marzo","abril","mayo","junio","julio","agosto","septiembre","octubre","noviembre","diciembre"},0)+1,0))</f>
        <v/>
      </c>
      <c r="E1266" t="str">
        <f>+IFERROR(VLOOKUP(Fact_Analitica[[#This Row], [Concepto Anterior]],Conceptos_Analítica_contraloría[#All],5,0),"")</f>
        <v/>
      </c>
      <c r="F1266" t="str">
        <f>+IFERROR(VLOOKUP(Fact_Analitica[[#This Row], [Concepto Anterior]],Conceptos_Analítica_contraloría[#All],7,0),"")</f>
        <v/>
      </c>
      <c r="I1266" t="str">
        <f>+IFERROR(VLOOKUP(D1266,Conceptos_Analítica_contraloría[#All],2,0),"")</f>
        <v/>
      </c>
      <c r="J1266" s="84" t="str">
        <f>+IFERROR(VLOOKUP(D1266,Conceptos_Analítica_contraloría[#All],3,0),"")</f>
        <v/>
      </c>
    </row>
    <row r="1267" spans="3:10" ht="18.75" customHeight="1" x14ac:dyDescent="0.35">
      <c r="C1267" s="100" t="str">
        <f>IF(OR(Fact_Analitica[[#This Row], [Año]]="",Fact_Analitica[[#This Row], [Mes]]=""),"",DATE(A1267,MATCH(B1267,{"enero","febrero","marzo","abril","mayo","junio","julio","agosto","septiembre","octubre","noviembre","diciembre"},0)+1,0))</f>
        <v/>
      </c>
      <c r="E1267" t="str">
        <f>+IFERROR(VLOOKUP(Fact_Analitica[[#This Row], [Concepto Anterior]],Conceptos_Analítica_contraloría[#All],5,0),"")</f>
        <v/>
      </c>
      <c r="F1267" t="str">
        <f>+IFERROR(VLOOKUP(Fact_Analitica[[#This Row], [Concepto Anterior]],Conceptos_Analítica_contraloría[#All],7,0),"")</f>
        <v/>
      </c>
      <c r="I1267" t="str">
        <f>+IFERROR(VLOOKUP(D1267,Conceptos_Analítica_contraloría[#All],2,0),"")</f>
        <v/>
      </c>
      <c r="J1267" s="84" t="str">
        <f>+IFERROR(VLOOKUP(D1267,Conceptos_Analítica_contraloría[#All],3,0),"")</f>
        <v/>
      </c>
    </row>
    <row r="1268" spans="3:10" ht="18.75" customHeight="1" x14ac:dyDescent="0.35">
      <c r="C1268" s="100" t="str">
        <f>IF(OR(Fact_Analitica[[#This Row], [Año]]="",Fact_Analitica[[#This Row], [Mes]]=""),"",DATE(A1268,MATCH(B1268,{"enero","febrero","marzo","abril","mayo","junio","julio","agosto","septiembre","octubre","noviembre","diciembre"},0)+1,0))</f>
        <v/>
      </c>
      <c r="E1268" t="str">
        <f>+IFERROR(VLOOKUP(Fact_Analitica[[#This Row], [Concepto Anterior]],Conceptos_Analítica_contraloría[#All],5,0),"")</f>
        <v/>
      </c>
      <c r="F1268" t="str">
        <f>+IFERROR(VLOOKUP(Fact_Analitica[[#This Row], [Concepto Anterior]],Conceptos_Analítica_contraloría[#All],7,0),"")</f>
        <v/>
      </c>
      <c r="I1268" t="str">
        <f>+IFERROR(VLOOKUP(D1268,Conceptos_Analítica_contraloría[#All],2,0),"")</f>
        <v/>
      </c>
      <c r="J1268" s="84" t="str">
        <f>+IFERROR(VLOOKUP(D1268,Conceptos_Analítica_contraloría[#All],3,0),"")</f>
        <v/>
      </c>
    </row>
    <row r="1269" spans="3:10" ht="18.75" customHeight="1" x14ac:dyDescent="0.35">
      <c r="C1269" s="100" t="str">
        <f>IF(OR(Fact_Analitica[[#This Row], [Año]]="",Fact_Analitica[[#This Row], [Mes]]=""),"",DATE(A1269,MATCH(B1269,{"enero","febrero","marzo","abril","mayo","junio","julio","agosto","septiembre","octubre","noviembre","diciembre"},0)+1,0))</f>
        <v/>
      </c>
      <c r="E1269" t="str">
        <f>+IFERROR(VLOOKUP(Fact_Analitica[[#This Row], [Concepto Anterior]],Conceptos_Analítica_contraloría[#All],5,0),"")</f>
        <v/>
      </c>
      <c r="F1269" t="str">
        <f>+IFERROR(VLOOKUP(Fact_Analitica[[#This Row], [Concepto Anterior]],Conceptos_Analítica_contraloría[#All],7,0),"")</f>
        <v/>
      </c>
      <c r="I1269" t="str">
        <f>+IFERROR(VLOOKUP(D1269,Conceptos_Analítica_contraloría[#All],2,0),"")</f>
        <v/>
      </c>
      <c r="J1269" s="84" t="str">
        <f>+IFERROR(VLOOKUP(D1269,Conceptos_Analítica_contraloría[#All],3,0),"")</f>
        <v/>
      </c>
    </row>
    <row r="1270" spans="3:10" ht="18.75" customHeight="1" x14ac:dyDescent="0.35">
      <c r="C1270" s="100" t="str">
        <f>IF(OR(Fact_Analitica[[#This Row], [Año]]="",Fact_Analitica[[#This Row], [Mes]]=""),"",DATE(A1270,MATCH(B1270,{"enero","febrero","marzo","abril","mayo","junio","julio","agosto","septiembre","octubre","noviembre","diciembre"},0)+1,0))</f>
        <v/>
      </c>
      <c r="E1270" t="str">
        <f>+IFERROR(VLOOKUP(Fact_Analitica[[#This Row], [Concepto Anterior]],Conceptos_Analítica_contraloría[#All],5,0),"")</f>
        <v/>
      </c>
      <c r="F1270" t="str">
        <f>+IFERROR(VLOOKUP(Fact_Analitica[[#This Row], [Concepto Anterior]],Conceptos_Analítica_contraloría[#All],7,0),"")</f>
        <v/>
      </c>
      <c r="I1270" t="str">
        <f>+IFERROR(VLOOKUP(D1270,Conceptos_Analítica_contraloría[#All],2,0),"")</f>
        <v/>
      </c>
      <c r="J1270" s="84" t="str">
        <f>+IFERROR(VLOOKUP(D1270,Conceptos_Analítica_contraloría[#All],3,0),"")</f>
        <v/>
      </c>
    </row>
    <row r="1271" spans="3:10" ht="18.75" customHeight="1" x14ac:dyDescent="0.35">
      <c r="C1271" s="100" t="str">
        <f>IF(OR(Fact_Analitica[[#This Row], [Año]]="",Fact_Analitica[[#This Row], [Mes]]=""),"",DATE(A1271,MATCH(B1271,{"enero","febrero","marzo","abril","mayo","junio","julio","agosto","septiembre","octubre","noviembre","diciembre"},0)+1,0))</f>
        <v/>
      </c>
      <c r="E1271" t="str">
        <f>+IFERROR(VLOOKUP(Fact_Analitica[[#This Row], [Concepto Anterior]],Conceptos_Analítica_contraloría[#All],5,0),"")</f>
        <v/>
      </c>
      <c r="F1271" t="str">
        <f>+IFERROR(VLOOKUP(Fact_Analitica[[#This Row], [Concepto Anterior]],Conceptos_Analítica_contraloría[#All],7,0),"")</f>
        <v/>
      </c>
      <c r="I1271" t="str">
        <f>+IFERROR(VLOOKUP(D1271,Conceptos_Analítica_contraloría[#All],2,0),"")</f>
        <v/>
      </c>
      <c r="J1271" s="84" t="str">
        <f>+IFERROR(VLOOKUP(D1271,Conceptos_Analítica_contraloría[#All],3,0),"")</f>
        <v/>
      </c>
    </row>
    <row r="1272" spans="3:10" ht="18.75" customHeight="1" x14ac:dyDescent="0.35">
      <c r="C1272" s="100" t="str">
        <f>IF(OR(Fact_Analitica[[#This Row], [Año]]="",Fact_Analitica[[#This Row], [Mes]]=""),"",DATE(A1272,MATCH(B1272,{"enero","febrero","marzo","abril","mayo","junio","julio","agosto","septiembre","octubre","noviembre","diciembre"},0)+1,0))</f>
        <v/>
      </c>
      <c r="E1272" t="str">
        <f>+IFERROR(VLOOKUP(Fact_Analitica[[#This Row], [Concepto Anterior]],Conceptos_Analítica_contraloría[#All],5,0),"")</f>
        <v/>
      </c>
      <c r="F1272" t="str">
        <f>+IFERROR(VLOOKUP(Fact_Analitica[[#This Row], [Concepto Anterior]],Conceptos_Analítica_contraloría[#All],7,0),"")</f>
        <v/>
      </c>
      <c r="I1272" t="str">
        <f>+IFERROR(VLOOKUP(D1272,Conceptos_Analítica_contraloría[#All],2,0),"")</f>
        <v/>
      </c>
      <c r="J1272" s="84" t="str">
        <f>+IFERROR(VLOOKUP(D1272,Conceptos_Analítica_contraloría[#All],3,0),"")</f>
        <v/>
      </c>
    </row>
    <row r="1273" spans="3:10" ht="18.75" customHeight="1" x14ac:dyDescent="0.35">
      <c r="C1273" s="100" t="str">
        <f>IF(OR(Fact_Analitica[[#This Row], [Año]]="",Fact_Analitica[[#This Row], [Mes]]=""),"",DATE(A1273,MATCH(B1273,{"enero","febrero","marzo","abril","mayo","junio","julio","agosto","septiembre","octubre","noviembre","diciembre"},0)+1,0))</f>
        <v/>
      </c>
      <c r="E1273" t="str">
        <f>+IFERROR(VLOOKUP(Fact_Analitica[[#This Row], [Concepto Anterior]],Conceptos_Analítica_contraloría[#All],5,0),"")</f>
        <v/>
      </c>
      <c r="F1273" t="str">
        <f>+IFERROR(VLOOKUP(Fact_Analitica[[#This Row], [Concepto Anterior]],Conceptos_Analítica_contraloría[#All],7,0),"")</f>
        <v/>
      </c>
      <c r="I1273" t="str">
        <f>+IFERROR(VLOOKUP(D1273,Conceptos_Analítica_contraloría[#All],2,0),"")</f>
        <v/>
      </c>
      <c r="J1273" s="84" t="str">
        <f>+IFERROR(VLOOKUP(D1273,Conceptos_Analítica_contraloría[#All],3,0),"")</f>
        <v/>
      </c>
    </row>
    <row r="1274" spans="3:10" ht="18.75" customHeight="1" x14ac:dyDescent="0.35">
      <c r="C1274" s="100" t="str">
        <f>IF(OR(Fact_Analitica[[#This Row], [Año]]="",Fact_Analitica[[#This Row], [Mes]]=""),"",DATE(A1274,MATCH(B1274,{"enero","febrero","marzo","abril","mayo","junio","julio","agosto","septiembre","octubre","noviembre","diciembre"},0)+1,0))</f>
        <v/>
      </c>
      <c r="E1274" t="str">
        <f>+IFERROR(VLOOKUP(Fact_Analitica[[#This Row], [Concepto Anterior]],Conceptos_Analítica_contraloría[#All],5,0),"")</f>
        <v/>
      </c>
      <c r="F1274" t="str">
        <f>+IFERROR(VLOOKUP(Fact_Analitica[[#This Row], [Concepto Anterior]],Conceptos_Analítica_contraloría[#All],7,0),"")</f>
        <v/>
      </c>
      <c r="I1274" t="str">
        <f>+IFERROR(VLOOKUP(D1274,Conceptos_Analítica_contraloría[#All],2,0),"")</f>
        <v/>
      </c>
      <c r="J1274" s="84" t="str">
        <f>+IFERROR(VLOOKUP(D1274,Conceptos_Analítica_contraloría[#All],3,0),"")</f>
        <v/>
      </c>
    </row>
    <row r="1275" spans="3:10" ht="18.75" customHeight="1" x14ac:dyDescent="0.35">
      <c r="C1275" s="100" t="str">
        <f>IF(OR(Fact_Analitica[[#This Row], [Año]]="",Fact_Analitica[[#This Row], [Mes]]=""),"",DATE(A1275,MATCH(B1275,{"enero","febrero","marzo","abril","mayo","junio","julio","agosto","septiembre","octubre","noviembre","diciembre"},0)+1,0))</f>
        <v/>
      </c>
      <c r="E1275" t="str">
        <f>+IFERROR(VLOOKUP(Fact_Analitica[[#This Row], [Concepto Anterior]],Conceptos_Analítica_contraloría[#All],5,0),"")</f>
        <v/>
      </c>
      <c r="F1275" t="str">
        <f>+IFERROR(VLOOKUP(Fact_Analitica[[#This Row], [Concepto Anterior]],Conceptos_Analítica_contraloría[#All],7,0),"")</f>
        <v/>
      </c>
      <c r="I1275" t="str">
        <f>+IFERROR(VLOOKUP(D1275,Conceptos_Analítica_contraloría[#All],2,0),"")</f>
        <v/>
      </c>
      <c r="J1275" s="84" t="str">
        <f>+IFERROR(VLOOKUP(D1275,Conceptos_Analítica_contraloría[#All],3,0),"")</f>
        <v/>
      </c>
    </row>
    <row r="1276" spans="3:10" ht="18.75" customHeight="1" x14ac:dyDescent="0.35">
      <c r="C1276" s="100" t="str">
        <f>IF(OR(Fact_Analitica[[#This Row], [Año]]="",Fact_Analitica[[#This Row], [Mes]]=""),"",DATE(A1276,MATCH(B1276,{"enero","febrero","marzo","abril","mayo","junio","julio","agosto","septiembre","octubre","noviembre","diciembre"},0)+1,0))</f>
        <v/>
      </c>
      <c r="E1276" t="str">
        <f>+IFERROR(VLOOKUP(Fact_Analitica[[#This Row], [Concepto Anterior]],Conceptos_Analítica_contraloría[#All],5,0),"")</f>
        <v/>
      </c>
      <c r="F1276" t="str">
        <f>+IFERROR(VLOOKUP(Fact_Analitica[[#This Row], [Concepto Anterior]],Conceptos_Analítica_contraloría[#All],7,0),"")</f>
        <v/>
      </c>
      <c r="I1276" t="str">
        <f>+IFERROR(VLOOKUP(D1276,Conceptos_Analítica_contraloría[#All],2,0),"")</f>
        <v/>
      </c>
      <c r="J1276" s="84" t="str">
        <f>+IFERROR(VLOOKUP(D1276,Conceptos_Analítica_contraloría[#All],3,0),"")</f>
        <v/>
      </c>
    </row>
    <row r="1277" spans="3:10" ht="18.75" customHeight="1" x14ac:dyDescent="0.35">
      <c r="C1277" s="100" t="str">
        <f>IF(OR(Fact_Analitica[[#This Row], [Año]]="",Fact_Analitica[[#This Row], [Mes]]=""),"",DATE(A1277,MATCH(B1277,{"enero","febrero","marzo","abril","mayo","junio","julio","agosto","septiembre","octubre","noviembre","diciembre"},0)+1,0))</f>
        <v/>
      </c>
      <c r="E1277" t="str">
        <f>+IFERROR(VLOOKUP(Fact_Analitica[[#This Row], [Concepto Anterior]],Conceptos_Analítica_contraloría[#All],5,0),"")</f>
        <v/>
      </c>
      <c r="F1277" t="str">
        <f>+IFERROR(VLOOKUP(Fact_Analitica[[#This Row], [Concepto Anterior]],Conceptos_Analítica_contraloría[#All],7,0),"")</f>
        <v/>
      </c>
      <c r="I1277" t="str">
        <f>+IFERROR(VLOOKUP(D1277,Conceptos_Analítica_contraloría[#All],2,0),"")</f>
        <v/>
      </c>
      <c r="J1277" s="84" t="str">
        <f>+IFERROR(VLOOKUP(D1277,Conceptos_Analítica_contraloría[#All],3,0),"")</f>
        <v/>
      </c>
    </row>
    <row r="1278" spans="3:10" ht="18.75" customHeight="1" x14ac:dyDescent="0.35">
      <c r="C1278" s="100" t="str">
        <f>IF(OR(Fact_Analitica[[#This Row], [Año]]="",Fact_Analitica[[#This Row], [Mes]]=""),"",DATE(A1278,MATCH(B1278,{"enero","febrero","marzo","abril","mayo","junio","julio","agosto","septiembre","octubre","noviembre","diciembre"},0)+1,0))</f>
        <v/>
      </c>
      <c r="E1278" t="str">
        <f>+IFERROR(VLOOKUP(Fact_Analitica[[#This Row], [Concepto Anterior]],Conceptos_Analítica_contraloría[#All],5,0),"")</f>
        <v/>
      </c>
      <c r="F1278" t="str">
        <f>+IFERROR(VLOOKUP(Fact_Analitica[[#This Row], [Concepto Anterior]],Conceptos_Analítica_contraloría[#All],7,0),"")</f>
        <v/>
      </c>
      <c r="I1278" t="str">
        <f>+IFERROR(VLOOKUP(D1278,Conceptos_Analítica_contraloría[#All],2,0),"")</f>
        <v/>
      </c>
      <c r="J1278" s="84" t="str">
        <f>+IFERROR(VLOOKUP(D1278,Conceptos_Analítica_contraloría[#All],3,0),"")</f>
        <v/>
      </c>
    </row>
    <row r="1279" spans="3:10" ht="18.75" customHeight="1" x14ac:dyDescent="0.35">
      <c r="C1279" s="100" t="str">
        <f>IF(OR(Fact_Analitica[[#This Row], [Año]]="",Fact_Analitica[[#This Row], [Mes]]=""),"",DATE(A1279,MATCH(B1279,{"enero","febrero","marzo","abril","mayo","junio","julio","agosto","septiembre","octubre","noviembre","diciembre"},0)+1,0))</f>
        <v/>
      </c>
      <c r="E1279" t="str">
        <f>+IFERROR(VLOOKUP(Fact_Analitica[[#This Row], [Concepto Anterior]],Conceptos_Analítica_contraloría[#All],5,0),"")</f>
        <v/>
      </c>
      <c r="F1279" t="str">
        <f>+IFERROR(VLOOKUP(Fact_Analitica[[#This Row], [Concepto Anterior]],Conceptos_Analítica_contraloría[#All],7,0),"")</f>
        <v/>
      </c>
      <c r="I1279" t="str">
        <f>+IFERROR(VLOOKUP(D1279,Conceptos_Analítica_contraloría[#All],2,0),"")</f>
        <v/>
      </c>
      <c r="J1279" s="84" t="str">
        <f>+IFERROR(VLOOKUP(D1279,Conceptos_Analítica_contraloría[#All],3,0),"")</f>
        <v/>
      </c>
    </row>
    <row r="1280" spans="3:10" ht="18.75" customHeight="1" x14ac:dyDescent="0.35">
      <c r="C1280" s="100" t="str">
        <f>IF(OR(Fact_Analitica[[#This Row], [Año]]="",Fact_Analitica[[#This Row], [Mes]]=""),"",DATE(A1280,MATCH(B1280,{"enero","febrero","marzo","abril","mayo","junio","julio","agosto","septiembre","octubre","noviembre","diciembre"},0)+1,0))</f>
        <v/>
      </c>
      <c r="E1280" t="str">
        <f>+IFERROR(VLOOKUP(Fact_Analitica[[#This Row], [Concepto Anterior]],Conceptos_Analítica_contraloría[#All],5,0),"")</f>
        <v/>
      </c>
      <c r="F1280" t="str">
        <f>+IFERROR(VLOOKUP(Fact_Analitica[[#This Row], [Concepto Anterior]],Conceptos_Analítica_contraloría[#All],7,0),"")</f>
        <v/>
      </c>
      <c r="I1280" t="str">
        <f>+IFERROR(VLOOKUP(D1280,Conceptos_Analítica_contraloría[#All],2,0),"")</f>
        <v/>
      </c>
      <c r="J1280" s="84" t="str">
        <f>+IFERROR(VLOOKUP(D1280,Conceptos_Analítica_contraloría[#All],3,0),"")</f>
        <v/>
      </c>
    </row>
    <row r="1281" spans="3:10" ht="18.75" customHeight="1" x14ac:dyDescent="0.35">
      <c r="C1281" s="100" t="str">
        <f>IF(OR(Fact_Analitica[[#This Row], [Año]]="",Fact_Analitica[[#This Row], [Mes]]=""),"",DATE(A1281,MATCH(B1281,{"enero","febrero","marzo","abril","mayo","junio","julio","agosto","septiembre","octubre","noviembre","diciembre"},0)+1,0))</f>
        <v/>
      </c>
      <c r="E1281" t="str">
        <f>+IFERROR(VLOOKUP(Fact_Analitica[[#This Row], [Concepto Anterior]],Conceptos_Analítica_contraloría[#All],5,0),"")</f>
        <v/>
      </c>
      <c r="F1281" t="str">
        <f>+IFERROR(VLOOKUP(Fact_Analitica[[#This Row], [Concepto Anterior]],Conceptos_Analítica_contraloría[#All],7,0),"")</f>
        <v/>
      </c>
      <c r="I1281" t="str">
        <f>+IFERROR(VLOOKUP(D1281,Conceptos_Analítica_contraloría[#All],2,0),"")</f>
        <v/>
      </c>
      <c r="J1281" s="84" t="str">
        <f>+IFERROR(VLOOKUP(D1281,Conceptos_Analítica_contraloría[#All],3,0),"")</f>
        <v/>
      </c>
    </row>
    <row r="1282" spans="3:10" ht="18.75" customHeight="1" x14ac:dyDescent="0.35">
      <c r="C1282" s="100" t="str">
        <f>IF(OR(Fact_Analitica[[#This Row], [Año]]="",Fact_Analitica[[#This Row], [Mes]]=""),"",DATE(A1282,MATCH(B1282,{"enero","febrero","marzo","abril","mayo","junio","julio","agosto","septiembre","octubre","noviembre","diciembre"},0)+1,0))</f>
        <v/>
      </c>
      <c r="E1282" t="str">
        <f>+IFERROR(VLOOKUP(Fact_Analitica[[#This Row], [Concepto Anterior]],Conceptos_Analítica_contraloría[#All],5,0),"")</f>
        <v/>
      </c>
      <c r="F1282" t="str">
        <f>+IFERROR(VLOOKUP(Fact_Analitica[[#This Row], [Concepto Anterior]],Conceptos_Analítica_contraloría[#All],7,0),"")</f>
        <v/>
      </c>
      <c r="I1282" t="str">
        <f>+IFERROR(VLOOKUP(D1282,Conceptos_Analítica_contraloría[#All],2,0),"")</f>
        <v/>
      </c>
      <c r="J1282" s="84" t="str">
        <f>+IFERROR(VLOOKUP(D1282,Conceptos_Analítica_contraloría[#All],3,0),"")</f>
        <v/>
      </c>
    </row>
    <row r="1283" spans="3:10" ht="18.75" customHeight="1" x14ac:dyDescent="0.35">
      <c r="C1283" s="100" t="str">
        <f>IF(OR(Fact_Analitica[[#This Row], [Año]]="",Fact_Analitica[[#This Row], [Mes]]=""),"",DATE(A1283,MATCH(B1283,{"enero","febrero","marzo","abril","mayo","junio","julio","agosto","septiembre","octubre","noviembre","diciembre"},0)+1,0))</f>
        <v/>
      </c>
      <c r="E1283" t="str">
        <f>+IFERROR(VLOOKUP(Fact_Analitica[[#This Row], [Concepto Anterior]],Conceptos_Analítica_contraloría[#All],5,0),"")</f>
        <v/>
      </c>
      <c r="F1283" t="str">
        <f>+IFERROR(VLOOKUP(Fact_Analitica[[#This Row], [Concepto Anterior]],Conceptos_Analítica_contraloría[#All],7,0),"")</f>
        <v/>
      </c>
      <c r="I1283" t="str">
        <f>+IFERROR(VLOOKUP(D1283,Conceptos_Analítica_contraloría[#All],2,0),"")</f>
        <v/>
      </c>
      <c r="J1283" s="84" t="str">
        <f>+IFERROR(VLOOKUP(D1283,Conceptos_Analítica_contraloría[#All],3,0),"")</f>
        <v/>
      </c>
    </row>
    <row r="1284" spans="3:10" ht="18.75" customHeight="1" x14ac:dyDescent="0.35">
      <c r="C1284" s="100" t="str">
        <f>IF(OR(Fact_Analitica[[#This Row], [Año]]="",Fact_Analitica[[#This Row], [Mes]]=""),"",DATE(A1284,MATCH(B1284,{"enero","febrero","marzo","abril","mayo","junio","julio","agosto","septiembre","octubre","noviembre","diciembre"},0)+1,0))</f>
        <v/>
      </c>
      <c r="E1284" t="str">
        <f>+IFERROR(VLOOKUP(Fact_Analitica[[#This Row], [Concepto Anterior]],Conceptos_Analítica_contraloría[#All],5,0),"")</f>
        <v/>
      </c>
      <c r="F1284" t="str">
        <f>+IFERROR(VLOOKUP(Fact_Analitica[[#This Row], [Concepto Anterior]],Conceptos_Analítica_contraloría[#All],7,0),"")</f>
        <v/>
      </c>
      <c r="I1284" t="str">
        <f>+IFERROR(VLOOKUP(D1284,Conceptos_Analítica_contraloría[#All],2,0),"")</f>
        <v/>
      </c>
      <c r="J1284" s="84" t="str">
        <f>+IFERROR(VLOOKUP(D1284,Conceptos_Analítica_contraloría[#All],3,0),"")</f>
        <v/>
      </c>
    </row>
    <row r="1285" spans="3:10" ht="18.75" customHeight="1" x14ac:dyDescent="0.35">
      <c r="C1285" s="100" t="str">
        <f>IF(OR(Fact_Analitica[[#This Row], [Año]]="",Fact_Analitica[[#This Row], [Mes]]=""),"",DATE(A1285,MATCH(B1285,{"enero","febrero","marzo","abril","mayo","junio","julio","agosto","septiembre","octubre","noviembre","diciembre"},0)+1,0))</f>
        <v/>
      </c>
      <c r="E1285" t="str">
        <f>+IFERROR(VLOOKUP(Fact_Analitica[[#This Row], [Concepto Anterior]],Conceptos_Analítica_contraloría[#All],5,0),"")</f>
        <v/>
      </c>
      <c r="F1285" t="str">
        <f>+IFERROR(VLOOKUP(Fact_Analitica[[#This Row], [Concepto Anterior]],Conceptos_Analítica_contraloría[#All],7,0),"")</f>
        <v/>
      </c>
      <c r="I1285" t="str">
        <f>+IFERROR(VLOOKUP(D1285,Conceptos_Analítica_contraloría[#All],2,0),"")</f>
        <v/>
      </c>
      <c r="J1285" s="84" t="str">
        <f>+IFERROR(VLOOKUP(D1285,Conceptos_Analítica_contraloría[#All],3,0),"")</f>
        <v/>
      </c>
    </row>
    <row r="1286" spans="3:10" ht="18.75" customHeight="1" x14ac:dyDescent="0.35">
      <c r="C1286" s="100" t="str">
        <f>IF(OR(Fact_Analitica[[#This Row], [Año]]="",Fact_Analitica[[#This Row], [Mes]]=""),"",DATE(A1286,MATCH(B1286,{"enero","febrero","marzo","abril","mayo","junio","julio","agosto","septiembre","octubre","noviembre","diciembre"},0)+1,0))</f>
        <v/>
      </c>
      <c r="E1286" t="str">
        <f>+IFERROR(VLOOKUP(Fact_Analitica[[#This Row], [Concepto Anterior]],Conceptos_Analítica_contraloría[#All],5,0),"")</f>
        <v/>
      </c>
      <c r="F1286" t="str">
        <f>+IFERROR(VLOOKUP(Fact_Analitica[[#This Row], [Concepto Anterior]],Conceptos_Analítica_contraloría[#All],7,0),"")</f>
        <v/>
      </c>
      <c r="I1286" t="str">
        <f>+IFERROR(VLOOKUP(D1286,Conceptos_Analítica_contraloría[#All],2,0),"")</f>
        <v/>
      </c>
      <c r="J1286" s="84" t="str">
        <f>+IFERROR(VLOOKUP(D1286,Conceptos_Analítica_contraloría[#All],3,0),"")</f>
        <v/>
      </c>
    </row>
    <row r="1287" spans="3:10" ht="18.75" customHeight="1" x14ac:dyDescent="0.35">
      <c r="C1287" s="100" t="str">
        <f>IF(OR(Fact_Analitica[[#This Row], [Año]]="",Fact_Analitica[[#This Row], [Mes]]=""),"",DATE(A1287,MATCH(B1287,{"enero","febrero","marzo","abril","mayo","junio","julio","agosto","septiembre","octubre","noviembre","diciembre"},0)+1,0))</f>
        <v/>
      </c>
      <c r="E1287" t="str">
        <f>+IFERROR(VLOOKUP(Fact_Analitica[[#This Row], [Concepto Anterior]],Conceptos_Analítica_contraloría[#All],5,0),"")</f>
        <v/>
      </c>
      <c r="F1287" t="str">
        <f>+IFERROR(VLOOKUP(Fact_Analitica[[#This Row], [Concepto Anterior]],Conceptos_Analítica_contraloría[#All],7,0),"")</f>
        <v/>
      </c>
      <c r="I1287" t="str">
        <f>+IFERROR(VLOOKUP(D1287,Conceptos_Analítica_contraloría[#All],2,0),"")</f>
        <v/>
      </c>
      <c r="J1287" s="84" t="str">
        <f>+IFERROR(VLOOKUP(D1287,Conceptos_Analítica_contraloría[#All],3,0),"")</f>
        <v/>
      </c>
    </row>
    <row r="1288" spans="3:10" ht="18.75" customHeight="1" x14ac:dyDescent="0.35">
      <c r="C1288" s="100" t="str">
        <f>IF(OR(Fact_Analitica[[#This Row], [Año]]="",Fact_Analitica[[#This Row], [Mes]]=""),"",DATE(A1288,MATCH(B1288,{"enero","febrero","marzo","abril","mayo","junio","julio","agosto","septiembre","octubre","noviembre","diciembre"},0)+1,0))</f>
        <v/>
      </c>
      <c r="E1288" t="str">
        <f>+IFERROR(VLOOKUP(Fact_Analitica[[#This Row], [Concepto Anterior]],Conceptos_Analítica_contraloría[#All],5,0),"")</f>
        <v/>
      </c>
      <c r="F1288" t="str">
        <f>+IFERROR(VLOOKUP(Fact_Analitica[[#This Row], [Concepto Anterior]],Conceptos_Analítica_contraloría[#All],7,0),"")</f>
        <v/>
      </c>
      <c r="I1288" t="str">
        <f>+IFERROR(VLOOKUP(D1288,Conceptos_Analítica_contraloría[#All],2,0),"")</f>
        <v/>
      </c>
      <c r="J1288" s="84" t="str">
        <f>+IFERROR(VLOOKUP(D1288,Conceptos_Analítica_contraloría[#All],3,0),"")</f>
        <v/>
      </c>
    </row>
    <row r="1289" spans="3:10" ht="18.75" customHeight="1" x14ac:dyDescent="0.35">
      <c r="C1289" s="100" t="str">
        <f>IF(OR(Fact_Analitica[[#This Row], [Año]]="",Fact_Analitica[[#This Row], [Mes]]=""),"",DATE(A1289,MATCH(B1289,{"enero","febrero","marzo","abril","mayo","junio","julio","agosto","septiembre","octubre","noviembre","diciembre"},0)+1,0))</f>
        <v/>
      </c>
      <c r="E1289" t="str">
        <f>+IFERROR(VLOOKUP(Fact_Analitica[[#This Row], [Concepto Anterior]],Conceptos_Analítica_contraloría[#All],5,0),"")</f>
        <v/>
      </c>
      <c r="F1289" t="str">
        <f>+IFERROR(VLOOKUP(Fact_Analitica[[#This Row], [Concepto Anterior]],Conceptos_Analítica_contraloría[#All],7,0),"")</f>
        <v/>
      </c>
      <c r="I1289" t="str">
        <f>+IFERROR(VLOOKUP(D1289,Conceptos_Analítica_contraloría[#All],2,0),"")</f>
        <v/>
      </c>
      <c r="J1289" s="84" t="str">
        <f>+IFERROR(VLOOKUP(D1289,Conceptos_Analítica_contraloría[#All],3,0),"")</f>
        <v/>
      </c>
    </row>
    <row r="1290" spans="3:10" ht="18.75" customHeight="1" x14ac:dyDescent="0.35">
      <c r="C1290" s="100" t="str">
        <f>IF(OR(Fact_Analitica[[#This Row], [Año]]="",Fact_Analitica[[#This Row], [Mes]]=""),"",DATE(A1290,MATCH(B1290,{"enero","febrero","marzo","abril","mayo","junio","julio","agosto","septiembre","octubre","noviembre","diciembre"},0)+1,0))</f>
        <v/>
      </c>
      <c r="E1290" t="str">
        <f>+IFERROR(VLOOKUP(Fact_Analitica[[#This Row], [Concepto Anterior]],Conceptos_Analítica_contraloría[#All],5,0),"")</f>
        <v/>
      </c>
      <c r="F1290" t="str">
        <f>+IFERROR(VLOOKUP(Fact_Analitica[[#This Row], [Concepto Anterior]],Conceptos_Analítica_contraloría[#All],7,0),"")</f>
        <v/>
      </c>
      <c r="I1290" t="str">
        <f>+IFERROR(VLOOKUP(D1290,Conceptos_Analítica_contraloría[#All],2,0),"")</f>
        <v/>
      </c>
      <c r="J1290" s="84" t="str">
        <f>+IFERROR(VLOOKUP(D1290,Conceptos_Analítica_contraloría[#All],3,0),"")</f>
        <v/>
      </c>
    </row>
    <row r="1291" spans="3:10" ht="18.75" customHeight="1" x14ac:dyDescent="0.35">
      <c r="C1291" s="100" t="str">
        <f>IF(OR(Fact_Analitica[[#This Row], [Año]]="",Fact_Analitica[[#This Row], [Mes]]=""),"",DATE(A1291,MATCH(B1291,{"enero","febrero","marzo","abril","mayo","junio","julio","agosto","septiembre","octubre","noviembre","diciembre"},0)+1,0))</f>
        <v/>
      </c>
      <c r="E1291" t="str">
        <f>+IFERROR(VLOOKUP(Fact_Analitica[[#This Row], [Concepto Anterior]],Conceptos_Analítica_contraloría[#All],5,0),"")</f>
        <v/>
      </c>
      <c r="F1291" t="str">
        <f>+IFERROR(VLOOKUP(Fact_Analitica[[#This Row], [Concepto Anterior]],Conceptos_Analítica_contraloría[#All],7,0),"")</f>
        <v/>
      </c>
      <c r="I1291" t="str">
        <f>+IFERROR(VLOOKUP(D1291,Conceptos_Analítica_contraloría[#All],2,0),"")</f>
        <v/>
      </c>
      <c r="J1291" s="84" t="str">
        <f>+IFERROR(VLOOKUP(D1291,Conceptos_Analítica_contraloría[#All],3,0),"")</f>
        <v/>
      </c>
    </row>
    <row r="1292" spans="3:10" ht="18.75" customHeight="1" x14ac:dyDescent="0.35">
      <c r="C1292" s="100" t="str">
        <f>IF(OR(Fact_Analitica[[#This Row], [Año]]="",Fact_Analitica[[#This Row], [Mes]]=""),"",DATE(A1292,MATCH(B1292,{"enero","febrero","marzo","abril","mayo","junio","julio","agosto","septiembre","octubre","noviembre","diciembre"},0)+1,0))</f>
        <v/>
      </c>
      <c r="E1292" t="str">
        <f>+IFERROR(VLOOKUP(Fact_Analitica[[#This Row], [Concepto Anterior]],Conceptos_Analítica_contraloría[#All],5,0),"")</f>
        <v/>
      </c>
      <c r="F1292" t="str">
        <f>+IFERROR(VLOOKUP(Fact_Analitica[[#This Row], [Concepto Anterior]],Conceptos_Analítica_contraloría[#All],7,0),"")</f>
        <v/>
      </c>
      <c r="I1292" t="str">
        <f>+IFERROR(VLOOKUP(D1292,Conceptos_Analítica_contraloría[#All],2,0),"")</f>
        <v/>
      </c>
      <c r="J1292" s="84" t="str">
        <f>+IFERROR(VLOOKUP(D1292,Conceptos_Analítica_contraloría[#All],3,0),"")</f>
        <v/>
      </c>
    </row>
    <row r="1293" spans="3:10" ht="18.75" customHeight="1" x14ac:dyDescent="0.35">
      <c r="C1293" s="100" t="str">
        <f>IF(OR(Fact_Analitica[[#This Row], [Año]]="",Fact_Analitica[[#This Row], [Mes]]=""),"",DATE(A1293,MATCH(B1293,{"enero","febrero","marzo","abril","mayo","junio","julio","agosto","septiembre","octubre","noviembre","diciembre"},0)+1,0))</f>
        <v/>
      </c>
      <c r="E1293" t="str">
        <f>+IFERROR(VLOOKUP(Fact_Analitica[[#This Row], [Concepto Anterior]],Conceptos_Analítica_contraloría[#All],5,0),"")</f>
        <v/>
      </c>
      <c r="F1293" t="str">
        <f>+IFERROR(VLOOKUP(Fact_Analitica[[#This Row], [Concepto Anterior]],Conceptos_Analítica_contraloría[#All],7,0),"")</f>
        <v/>
      </c>
      <c r="I1293" t="str">
        <f>+IFERROR(VLOOKUP(D1293,Conceptos_Analítica_contraloría[#All],2,0),"")</f>
        <v/>
      </c>
      <c r="J1293" s="84" t="str">
        <f>+IFERROR(VLOOKUP(D1293,Conceptos_Analítica_contraloría[#All],3,0),"")</f>
        <v/>
      </c>
    </row>
    <row r="1294" spans="3:10" ht="18.75" customHeight="1" x14ac:dyDescent="0.35">
      <c r="C1294" s="100" t="str">
        <f>IF(OR(Fact_Analitica[[#This Row], [Año]]="",Fact_Analitica[[#This Row], [Mes]]=""),"",DATE(A1294,MATCH(B1294,{"enero","febrero","marzo","abril","mayo","junio","julio","agosto","septiembre","octubre","noviembre","diciembre"},0)+1,0))</f>
        <v/>
      </c>
      <c r="E1294" t="str">
        <f>+IFERROR(VLOOKUP(Fact_Analitica[[#This Row], [Concepto Anterior]],Conceptos_Analítica_contraloría[#All],5,0),"")</f>
        <v/>
      </c>
      <c r="F1294" t="str">
        <f>+IFERROR(VLOOKUP(Fact_Analitica[[#This Row], [Concepto Anterior]],Conceptos_Analítica_contraloría[#All],7,0),"")</f>
        <v/>
      </c>
      <c r="I1294" t="str">
        <f>+IFERROR(VLOOKUP(D1294,Conceptos_Analítica_contraloría[#All],2,0),"")</f>
        <v/>
      </c>
      <c r="J1294" s="84" t="str">
        <f>+IFERROR(VLOOKUP(D1294,Conceptos_Analítica_contraloría[#All],3,0),"")</f>
        <v/>
      </c>
    </row>
    <row r="1295" spans="3:10" ht="18.75" customHeight="1" x14ac:dyDescent="0.35">
      <c r="C1295" s="100" t="str">
        <f>IF(OR(Fact_Analitica[[#This Row], [Año]]="",Fact_Analitica[[#This Row], [Mes]]=""),"",DATE(A1295,MATCH(B1295,{"enero","febrero","marzo","abril","mayo","junio","julio","agosto","septiembre","octubre","noviembre","diciembre"},0)+1,0))</f>
        <v/>
      </c>
      <c r="E1295" t="str">
        <f>+IFERROR(VLOOKUP(Fact_Analitica[[#This Row], [Concepto Anterior]],Conceptos_Analítica_contraloría[#All],5,0),"")</f>
        <v/>
      </c>
      <c r="F1295" t="str">
        <f>+IFERROR(VLOOKUP(Fact_Analitica[[#This Row], [Concepto Anterior]],Conceptos_Analítica_contraloría[#All],7,0),"")</f>
        <v/>
      </c>
      <c r="I1295" t="str">
        <f>+IFERROR(VLOOKUP(D1295,Conceptos_Analítica_contraloría[#All],2,0),"")</f>
        <v/>
      </c>
      <c r="J1295" s="84" t="str">
        <f>+IFERROR(VLOOKUP(D1295,Conceptos_Analítica_contraloría[#All],3,0),"")</f>
        <v/>
      </c>
    </row>
    <row r="1296" spans="3:10" ht="18.75" customHeight="1" x14ac:dyDescent="0.35">
      <c r="C1296" s="100" t="str">
        <f>IF(OR(Fact_Analitica[[#This Row], [Año]]="",Fact_Analitica[[#This Row], [Mes]]=""),"",DATE(A1296,MATCH(B1296,{"enero","febrero","marzo","abril","mayo","junio","julio","agosto","septiembre","octubre","noviembre","diciembre"},0)+1,0))</f>
        <v/>
      </c>
      <c r="E1296" t="str">
        <f>+IFERROR(VLOOKUP(Fact_Analitica[[#This Row], [Concepto Anterior]],Conceptos_Analítica_contraloría[#All],5,0),"")</f>
        <v/>
      </c>
      <c r="F1296" t="str">
        <f>+IFERROR(VLOOKUP(Fact_Analitica[[#This Row], [Concepto Anterior]],Conceptos_Analítica_contraloría[#All],7,0),"")</f>
        <v/>
      </c>
      <c r="I1296" t="str">
        <f>+IFERROR(VLOOKUP(D1296,Conceptos_Analítica_contraloría[#All],2,0),"")</f>
        <v/>
      </c>
      <c r="J1296" s="84" t="str">
        <f>+IFERROR(VLOOKUP(D1296,Conceptos_Analítica_contraloría[#All],3,0),"")</f>
        <v/>
      </c>
    </row>
    <row r="1297" spans="3:10" ht="18.75" customHeight="1" x14ac:dyDescent="0.35">
      <c r="C1297" s="100" t="str">
        <f>IF(OR(Fact_Analitica[[#This Row], [Año]]="",Fact_Analitica[[#This Row], [Mes]]=""),"",DATE(A1297,MATCH(B1297,{"enero","febrero","marzo","abril","mayo","junio","julio","agosto","septiembre","octubre","noviembre","diciembre"},0)+1,0))</f>
        <v/>
      </c>
      <c r="E1297" t="str">
        <f>+IFERROR(VLOOKUP(Fact_Analitica[[#This Row], [Concepto Anterior]],Conceptos_Analítica_contraloría[#All],5,0),"")</f>
        <v/>
      </c>
      <c r="F1297" t="str">
        <f>+IFERROR(VLOOKUP(Fact_Analitica[[#This Row], [Concepto Anterior]],Conceptos_Analítica_contraloría[#All],7,0),"")</f>
        <v/>
      </c>
      <c r="I1297" t="str">
        <f>+IFERROR(VLOOKUP(D1297,Conceptos_Analítica_contraloría[#All],2,0),"")</f>
        <v/>
      </c>
      <c r="J1297" s="84" t="str">
        <f>+IFERROR(VLOOKUP(D1297,Conceptos_Analítica_contraloría[#All],3,0),"")</f>
        <v/>
      </c>
    </row>
    <row r="1298" spans="3:10" ht="18.75" customHeight="1" x14ac:dyDescent="0.35">
      <c r="C1298" s="100" t="str">
        <f>IF(OR(Fact_Analitica[[#This Row], [Año]]="",Fact_Analitica[[#This Row], [Mes]]=""),"",DATE(A1298,MATCH(B1298,{"enero","febrero","marzo","abril","mayo","junio","julio","agosto","septiembre","octubre","noviembre","diciembre"},0)+1,0))</f>
        <v/>
      </c>
      <c r="E1298" t="str">
        <f>+IFERROR(VLOOKUP(Fact_Analitica[[#This Row], [Concepto Anterior]],Conceptos_Analítica_contraloría[#All],5,0),"")</f>
        <v/>
      </c>
      <c r="F1298" t="str">
        <f>+IFERROR(VLOOKUP(Fact_Analitica[[#This Row], [Concepto Anterior]],Conceptos_Analítica_contraloría[#All],7,0),"")</f>
        <v/>
      </c>
      <c r="I1298" t="str">
        <f>+IFERROR(VLOOKUP(D1298,Conceptos_Analítica_contraloría[#All],2,0),"")</f>
        <v/>
      </c>
      <c r="J1298" s="84" t="str">
        <f>+IFERROR(VLOOKUP(D1298,Conceptos_Analítica_contraloría[#All],3,0),"")</f>
        <v/>
      </c>
    </row>
    <row r="1299" spans="3:10" ht="18.75" customHeight="1" x14ac:dyDescent="0.35">
      <c r="C1299" s="100" t="str">
        <f>IF(OR(Fact_Analitica[[#This Row], [Año]]="",Fact_Analitica[[#This Row], [Mes]]=""),"",DATE(A1299,MATCH(B1299,{"enero","febrero","marzo","abril","mayo","junio","julio","agosto","septiembre","octubre","noviembre","diciembre"},0)+1,0))</f>
        <v/>
      </c>
      <c r="E1299" t="str">
        <f>+IFERROR(VLOOKUP(Fact_Analitica[[#This Row], [Concepto Anterior]],Conceptos_Analítica_contraloría[#All],5,0),"")</f>
        <v/>
      </c>
      <c r="F1299" t="str">
        <f>+IFERROR(VLOOKUP(Fact_Analitica[[#This Row], [Concepto Anterior]],Conceptos_Analítica_contraloría[#All],7,0),"")</f>
        <v/>
      </c>
      <c r="I1299" t="str">
        <f>+IFERROR(VLOOKUP(D1299,Conceptos_Analítica_contraloría[#All],2,0),"")</f>
        <v/>
      </c>
      <c r="J1299" s="84" t="str">
        <f>+IFERROR(VLOOKUP(D1299,Conceptos_Analítica_contraloría[#All],3,0),"")</f>
        <v/>
      </c>
    </row>
    <row r="1300" spans="3:10" ht="18.75" customHeight="1" x14ac:dyDescent="0.35">
      <c r="C1300" s="100" t="str">
        <f>IF(OR(Fact_Analitica[[#This Row], [Año]]="",Fact_Analitica[[#This Row], [Mes]]=""),"",DATE(A1300,MATCH(B1300,{"enero","febrero","marzo","abril","mayo","junio","julio","agosto","septiembre","octubre","noviembre","diciembre"},0)+1,0))</f>
        <v/>
      </c>
      <c r="E1300" t="str">
        <f>+IFERROR(VLOOKUP(Fact_Analitica[[#This Row], [Concepto Anterior]],Conceptos_Analítica_contraloría[#All],5,0),"")</f>
        <v/>
      </c>
      <c r="F1300" t="str">
        <f>+IFERROR(VLOOKUP(Fact_Analitica[[#This Row], [Concepto Anterior]],Conceptos_Analítica_contraloría[#All],7,0),"")</f>
        <v/>
      </c>
      <c r="I1300" t="str">
        <f>+IFERROR(VLOOKUP(D1300,Conceptos_Analítica_contraloría[#All],2,0),"")</f>
        <v/>
      </c>
      <c r="J1300" s="84" t="str">
        <f>+IFERROR(VLOOKUP(D1300,Conceptos_Analítica_contraloría[#All],3,0),"")</f>
        <v/>
      </c>
    </row>
    <row r="1301" spans="3:10" ht="18.75" customHeight="1" x14ac:dyDescent="0.35">
      <c r="C1301" s="100" t="str">
        <f>IF(OR(Fact_Analitica[[#This Row], [Año]]="",Fact_Analitica[[#This Row], [Mes]]=""),"",DATE(A1301,MATCH(B1301,{"enero","febrero","marzo","abril","mayo","junio","julio","agosto","septiembre","octubre","noviembre","diciembre"},0)+1,0))</f>
        <v/>
      </c>
      <c r="E1301" t="str">
        <f>+IFERROR(VLOOKUP(Fact_Analitica[[#This Row], [Concepto Anterior]],Conceptos_Analítica_contraloría[#All],5,0),"")</f>
        <v/>
      </c>
      <c r="F1301" t="str">
        <f>+IFERROR(VLOOKUP(Fact_Analitica[[#This Row], [Concepto Anterior]],Conceptos_Analítica_contraloría[#All],7,0),"")</f>
        <v/>
      </c>
      <c r="I1301" t="str">
        <f>+IFERROR(VLOOKUP(D1301,Conceptos_Analítica_contraloría[#All],2,0),"")</f>
        <v/>
      </c>
      <c r="J1301" s="84" t="str">
        <f>+IFERROR(VLOOKUP(D1301,Conceptos_Analítica_contraloría[#All],3,0),"")</f>
        <v/>
      </c>
    </row>
    <row r="1302" spans="3:10" ht="18.75" customHeight="1" x14ac:dyDescent="0.35">
      <c r="C1302" s="100" t="str">
        <f>IF(OR(Fact_Analitica[[#This Row], [Año]]="",Fact_Analitica[[#This Row], [Mes]]=""),"",DATE(A1302,MATCH(B1302,{"enero","febrero","marzo","abril","mayo","junio","julio","agosto","septiembre","octubre","noviembre","diciembre"},0)+1,0))</f>
        <v/>
      </c>
      <c r="E1302" t="str">
        <f>+IFERROR(VLOOKUP(Fact_Analitica[[#This Row], [Concepto Anterior]],Conceptos_Analítica_contraloría[#All],5,0),"")</f>
        <v/>
      </c>
      <c r="F1302" t="str">
        <f>+IFERROR(VLOOKUP(Fact_Analitica[[#This Row], [Concepto Anterior]],Conceptos_Analítica_contraloría[#All],7,0),"")</f>
        <v/>
      </c>
      <c r="I1302" t="str">
        <f>+IFERROR(VLOOKUP(D1302,Conceptos_Analítica_contraloría[#All],2,0),"")</f>
        <v/>
      </c>
      <c r="J1302" s="84" t="str">
        <f>+IFERROR(VLOOKUP(D1302,Conceptos_Analítica_contraloría[#All],3,0),"")</f>
        <v/>
      </c>
    </row>
    <row r="1303" spans="3:10" ht="18.75" customHeight="1" x14ac:dyDescent="0.35">
      <c r="C1303" s="100" t="str">
        <f>IF(OR(Fact_Analitica[[#This Row], [Año]]="",Fact_Analitica[[#This Row], [Mes]]=""),"",DATE(A1303,MATCH(B1303,{"enero","febrero","marzo","abril","mayo","junio","julio","agosto","septiembre","octubre","noviembre","diciembre"},0)+1,0))</f>
        <v/>
      </c>
      <c r="E1303" t="str">
        <f>+IFERROR(VLOOKUP(Fact_Analitica[[#This Row], [Concepto Anterior]],Conceptos_Analítica_contraloría[#All],5,0),"")</f>
        <v/>
      </c>
      <c r="F1303" t="str">
        <f>+IFERROR(VLOOKUP(Fact_Analitica[[#This Row], [Concepto Anterior]],Conceptos_Analítica_contraloría[#All],7,0),"")</f>
        <v/>
      </c>
      <c r="I1303" t="str">
        <f>+IFERROR(VLOOKUP(D1303,Conceptos_Analítica_contraloría[#All],2,0),"")</f>
        <v/>
      </c>
      <c r="J1303" s="84" t="str">
        <f>+IFERROR(VLOOKUP(D1303,Conceptos_Analítica_contraloría[#All],3,0),"")</f>
        <v/>
      </c>
    </row>
    <row r="1304" spans="3:10" ht="18.75" customHeight="1" x14ac:dyDescent="0.35">
      <c r="C1304" s="100" t="str">
        <f>IF(OR(Fact_Analitica[[#This Row], [Año]]="",Fact_Analitica[[#This Row], [Mes]]=""),"",DATE(A1304,MATCH(B1304,{"enero","febrero","marzo","abril","mayo","junio","julio","agosto","septiembre","octubre","noviembre","diciembre"},0)+1,0))</f>
        <v/>
      </c>
      <c r="E1304" t="str">
        <f>+IFERROR(VLOOKUP(Fact_Analitica[[#This Row], [Concepto Anterior]],Conceptos_Analítica_contraloría[#All],5,0),"")</f>
        <v/>
      </c>
      <c r="F1304" t="str">
        <f>+IFERROR(VLOOKUP(Fact_Analitica[[#This Row], [Concepto Anterior]],Conceptos_Analítica_contraloría[#All],7,0),"")</f>
        <v/>
      </c>
      <c r="I1304" t="str">
        <f>+IFERROR(VLOOKUP(D1304,Conceptos_Analítica_contraloría[#All],2,0),"")</f>
        <v/>
      </c>
      <c r="J1304" s="84" t="str">
        <f>+IFERROR(VLOOKUP(D1304,Conceptos_Analítica_contraloría[#All],3,0),"")</f>
        <v/>
      </c>
    </row>
    <row r="1305" spans="3:10" ht="18.75" customHeight="1" x14ac:dyDescent="0.35">
      <c r="C1305" s="100" t="str">
        <f>IF(OR(Fact_Analitica[[#This Row], [Año]]="",Fact_Analitica[[#This Row], [Mes]]=""),"",DATE(A1305,MATCH(B1305,{"enero","febrero","marzo","abril","mayo","junio","julio","agosto","septiembre","octubre","noviembre","diciembre"},0)+1,0))</f>
        <v/>
      </c>
      <c r="E1305" t="str">
        <f>+IFERROR(VLOOKUP(Fact_Analitica[[#This Row], [Concepto Anterior]],Conceptos_Analítica_contraloría[#All],5,0),"")</f>
        <v/>
      </c>
      <c r="F1305" t="str">
        <f>+IFERROR(VLOOKUP(Fact_Analitica[[#This Row], [Concepto Anterior]],Conceptos_Analítica_contraloría[#All],7,0),"")</f>
        <v/>
      </c>
      <c r="I1305" t="str">
        <f>+IFERROR(VLOOKUP(D1305,Conceptos_Analítica_contraloría[#All],2,0),"")</f>
        <v/>
      </c>
      <c r="J1305" s="84" t="str">
        <f>+IFERROR(VLOOKUP(D1305,Conceptos_Analítica_contraloría[#All],3,0),"")</f>
        <v/>
      </c>
    </row>
    <row r="1306" spans="3:10" ht="18.75" customHeight="1" x14ac:dyDescent="0.35">
      <c r="C1306" s="100" t="str">
        <f>IF(OR(Fact_Analitica[[#This Row], [Año]]="",Fact_Analitica[[#This Row], [Mes]]=""),"",DATE(A1306,MATCH(B1306,{"enero","febrero","marzo","abril","mayo","junio","julio","agosto","septiembre","octubre","noviembre","diciembre"},0)+1,0))</f>
        <v/>
      </c>
      <c r="E1306" t="str">
        <f>+IFERROR(VLOOKUP(Fact_Analitica[[#This Row], [Concepto Anterior]],Conceptos_Analítica_contraloría[#All],5,0),"")</f>
        <v/>
      </c>
      <c r="F1306" t="str">
        <f>+IFERROR(VLOOKUP(Fact_Analitica[[#This Row], [Concepto Anterior]],Conceptos_Analítica_contraloría[#All],7,0),"")</f>
        <v/>
      </c>
      <c r="I1306" t="str">
        <f>+IFERROR(VLOOKUP(D1306,Conceptos_Analítica_contraloría[#All],2,0),"")</f>
        <v/>
      </c>
      <c r="J1306" s="84" t="str">
        <f>+IFERROR(VLOOKUP(D1306,Conceptos_Analítica_contraloría[#All],3,0),"")</f>
        <v/>
      </c>
    </row>
    <row r="1307" spans="3:10" ht="18.75" customHeight="1" x14ac:dyDescent="0.35">
      <c r="C1307" s="100" t="str">
        <f>IF(OR(Fact_Analitica[[#This Row], [Año]]="",Fact_Analitica[[#This Row], [Mes]]=""),"",DATE(A1307,MATCH(B1307,{"enero","febrero","marzo","abril","mayo","junio","julio","agosto","septiembre","octubre","noviembre","diciembre"},0)+1,0))</f>
        <v/>
      </c>
      <c r="E1307" t="str">
        <f>+IFERROR(VLOOKUP(Fact_Analitica[[#This Row], [Concepto Anterior]],Conceptos_Analítica_contraloría[#All],5,0),"")</f>
        <v/>
      </c>
      <c r="F1307" t="str">
        <f>+IFERROR(VLOOKUP(Fact_Analitica[[#This Row], [Concepto Anterior]],Conceptos_Analítica_contraloría[#All],7,0),"")</f>
        <v/>
      </c>
      <c r="I1307" t="str">
        <f>+IFERROR(VLOOKUP(D1307,Conceptos_Analítica_contraloría[#All],2,0),"")</f>
        <v/>
      </c>
      <c r="J1307" s="84" t="str">
        <f>+IFERROR(VLOOKUP(D1307,Conceptos_Analítica_contraloría[#All],3,0),"")</f>
        <v/>
      </c>
    </row>
    <row r="1308" spans="3:10" ht="18.75" customHeight="1" x14ac:dyDescent="0.35">
      <c r="C1308" s="100" t="str">
        <f>IF(OR(Fact_Analitica[[#This Row], [Año]]="",Fact_Analitica[[#This Row], [Mes]]=""),"",DATE(A1308,MATCH(B1308,{"enero","febrero","marzo","abril","mayo","junio","julio","agosto","septiembre","octubre","noviembre","diciembre"},0)+1,0))</f>
        <v/>
      </c>
      <c r="E1308" t="str">
        <f>+IFERROR(VLOOKUP(Fact_Analitica[[#This Row], [Concepto Anterior]],Conceptos_Analítica_contraloría[#All],5,0),"")</f>
        <v/>
      </c>
      <c r="F1308" t="str">
        <f>+IFERROR(VLOOKUP(Fact_Analitica[[#This Row], [Concepto Anterior]],Conceptos_Analítica_contraloría[#All],7,0),"")</f>
        <v/>
      </c>
      <c r="I1308" t="str">
        <f>+IFERROR(VLOOKUP(D1308,Conceptos_Analítica_contraloría[#All],2,0),"")</f>
        <v/>
      </c>
      <c r="J1308" s="84" t="str">
        <f>+IFERROR(VLOOKUP(D1308,Conceptos_Analítica_contraloría[#All],3,0),"")</f>
        <v/>
      </c>
    </row>
    <row r="1309" spans="3:10" ht="18.75" customHeight="1" x14ac:dyDescent="0.35">
      <c r="C1309" s="100" t="str">
        <f>IF(OR(Fact_Analitica[[#This Row], [Año]]="",Fact_Analitica[[#This Row], [Mes]]=""),"",DATE(A1309,MATCH(B1309,{"enero","febrero","marzo","abril","mayo","junio","julio","agosto","septiembre","octubre","noviembre","diciembre"},0)+1,0))</f>
        <v/>
      </c>
      <c r="E1309" t="str">
        <f>+IFERROR(VLOOKUP(Fact_Analitica[[#This Row], [Concepto Anterior]],Conceptos_Analítica_contraloría[#All],5,0),"")</f>
        <v/>
      </c>
      <c r="F1309" t="str">
        <f>+IFERROR(VLOOKUP(Fact_Analitica[[#This Row], [Concepto Anterior]],Conceptos_Analítica_contraloría[#All],7,0),"")</f>
        <v/>
      </c>
      <c r="I1309" t="str">
        <f>+IFERROR(VLOOKUP(D1309,Conceptos_Analítica_contraloría[#All],2,0),"")</f>
        <v/>
      </c>
      <c r="J1309" s="84" t="str">
        <f>+IFERROR(VLOOKUP(D1309,Conceptos_Analítica_contraloría[#All],3,0),"")</f>
        <v/>
      </c>
    </row>
    <row r="1310" spans="3:10" ht="18.75" customHeight="1" x14ac:dyDescent="0.35">
      <c r="C1310" s="100" t="str">
        <f>IF(OR(Fact_Analitica[[#This Row], [Año]]="",Fact_Analitica[[#This Row], [Mes]]=""),"",DATE(A1310,MATCH(B1310,{"enero","febrero","marzo","abril","mayo","junio","julio","agosto","septiembre","octubre","noviembre","diciembre"},0)+1,0))</f>
        <v/>
      </c>
      <c r="E1310" t="str">
        <f>+IFERROR(VLOOKUP(Fact_Analitica[[#This Row], [Concepto Anterior]],Conceptos_Analítica_contraloría[#All],5,0),"")</f>
        <v/>
      </c>
      <c r="F1310" t="str">
        <f>+IFERROR(VLOOKUP(Fact_Analitica[[#This Row], [Concepto Anterior]],Conceptos_Analítica_contraloría[#All],7,0),"")</f>
        <v/>
      </c>
      <c r="I1310" t="str">
        <f>+IFERROR(VLOOKUP(D1310,Conceptos_Analítica_contraloría[#All],2,0),"")</f>
        <v/>
      </c>
      <c r="J1310" s="84" t="str">
        <f>+IFERROR(VLOOKUP(D1310,Conceptos_Analítica_contraloría[#All],3,0),"")</f>
        <v/>
      </c>
    </row>
    <row r="1311" spans="3:10" ht="18.75" customHeight="1" x14ac:dyDescent="0.35">
      <c r="C1311" s="100" t="str">
        <f>IF(OR(Fact_Analitica[[#This Row], [Año]]="",Fact_Analitica[[#This Row], [Mes]]=""),"",DATE(A1311,MATCH(B1311,{"enero","febrero","marzo","abril","mayo","junio","julio","agosto","septiembre","octubre","noviembre","diciembre"},0)+1,0))</f>
        <v/>
      </c>
      <c r="E1311" t="str">
        <f>+IFERROR(VLOOKUP(Fact_Analitica[[#This Row], [Concepto Anterior]],Conceptos_Analítica_contraloría[#All],5,0),"")</f>
        <v/>
      </c>
      <c r="F1311" t="str">
        <f>+IFERROR(VLOOKUP(Fact_Analitica[[#This Row], [Concepto Anterior]],Conceptos_Analítica_contraloría[#All],7,0),"")</f>
        <v/>
      </c>
      <c r="I1311" t="str">
        <f>+IFERROR(VLOOKUP(D1311,Conceptos_Analítica_contraloría[#All],2,0),"")</f>
        <v/>
      </c>
      <c r="J1311" s="84" t="str">
        <f>+IFERROR(VLOOKUP(D1311,Conceptos_Analítica_contraloría[#All],3,0),"")</f>
        <v/>
      </c>
    </row>
    <row r="1312" spans="3:10" ht="18.75" customHeight="1" x14ac:dyDescent="0.35">
      <c r="C1312" s="100" t="str">
        <f>IF(OR(Fact_Analitica[[#This Row], [Año]]="",Fact_Analitica[[#This Row], [Mes]]=""),"",DATE(A1312,MATCH(B1312,{"enero","febrero","marzo","abril","mayo","junio","julio","agosto","septiembre","octubre","noviembre","diciembre"},0)+1,0))</f>
        <v/>
      </c>
      <c r="E1312" t="str">
        <f>+IFERROR(VLOOKUP(Fact_Analitica[[#This Row], [Concepto Anterior]],Conceptos_Analítica_contraloría[#All],5,0),"")</f>
        <v/>
      </c>
      <c r="F1312" t="str">
        <f>+IFERROR(VLOOKUP(Fact_Analitica[[#This Row], [Concepto Anterior]],Conceptos_Analítica_contraloría[#All],7,0),"")</f>
        <v/>
      </c>
      <c r="I1312" t="str">
        <f>+IFERROR(VLOOKUP(D1312,Conceptos_Analítica_contraloría[#All],2,0),"")</f>
        <v/>
      </c>
      <c r="J1312" s="84" t="str">
        <f>+IFERROR(VLOOKUP(D1312,Conceptos_Analítica_contraloría[#All],3,0),"")</f>
        <v/>
      </c>
    </row>
    <row r="1313" spans="3:10" ht="18.75" customHeight="1" x14ac:dyDescent="0.35">
      <c r="C1313" s="100" t="str">
        <f>IF(OR(Fact_Analitica[[#This Row], [Año]]="",Fact_Analitica[[#This Row], [Mes]]=""),"",DATE(A1313,MATCH(B1313,{"enero","febrero","marzo","abril","mayo","junio","julio","agosto","septiembre","octubre","noviembre","diciembre"},0)+1,0))</f>
        <v/>
      </c>
      <c r="E1313" t="str">
        <f>+IFERROR(VLOOKUP(Fact_Analitica[[#This Row], [Concepto Anterior]],Conceptos_Analítica_contraloría[#All],5,0),"")</f>
        <v/>
      </c>
      <c r="F1313" t="str">
        <f>+IFERROR(VLOOKUP(Fact_Analitica[[#This Row], [Concepto Anterior]],Conceptos_Analítica_contraloría[#All],7,0),"")</f>
        <v/>
      </c>
      <c r="I1313" t="str">
        <f>+IFERROR(VLOOKUP(D1313,Conceptos_Analítica_contraloría[#All],2,0),"")</f>
        <v/>
      </c>
      <c r="J1313" s="84" t="str">
        <f>+IFERROR(VLOOKUP(D1313,Conceptos_Analítica_contraloría[#All],3,0),"")</f>
        <v/>
      </c>
    </row>
    <row r="1314" spans="3:10" ht="18.75" customHeight="1" x14ac:dyDescent="0.35">
      <c r="C1314" s="100" t="str">
        <f>IF(OR(Fact_Analitica[[#This Row], [Año]]="",Fact_Analitica[[#This Row], [Mes]]=""),"",DATE(A1314,MATCH(B1314,{"enero","febrero","marzo","abril","mayo","junio","julio","agosto","septiembre","octubre","noviembre","diciembre"},0)+1,0))</f>
        <v/>
      </c>
      <c r="E1314" t="str">
        <f>+IFERROR(VLOOKUP(Fact_Analitica[[#This Row], [Concepto Anterior]],Conceptos_Analítica_contraloría[#All],5,0),"")</f>
        <v/>
      </c>
      <c r="F1314" t="str">
        <f>+IFERROR(VLOOKUP(Fact_Analitica[[#This Row], [Concepto Anterior]],Conceptos_Analítica_contraloría[#All],7,0),"")</f>
        <v/>
      </c>
      <c r="I1314" t="str">
        <f>+IFERROR(VLOOKUP(D1314,Conceptos_Analítica_contraloría[#All],2,0),"")</f>
        <v/>
      </c>
      <c r="J1314" s="84" t="str">
        <f>+IFERROR(VLOOKUP(D1314,Conceptos_Analítica_contraloría[#All],3,0),"")</f>
        <v/>
      </c>
    </row>
    <row r="1315" spans="3:10" ht="18.75" customHeight="1" x14ac:dyDescent="0.35">
      <c r="C1315" s="100" t="str">
        <f>IF(OR(Fact_Analitica[[#This Row], [Año]]="",Fact_Analitica[[#This Row], [Mes]]=""),"",DATE(A1315,MATCH(B1315,{"enero","febrero","marzo","abril","mayo","junio","julio","agosto","septiembre","octubre","noviembre","diciembre"},0)+1,0))</f>
        <v/>
      </c>
      <c r="E1315" t="str">
        <f>+IFERROR(VLOOKUP(Fact_Analitica[[#This Row], [Concepto Anterior]],Conceptos_Analítica_contraloría[#All],5,0),"")</f>
        <v/>
      </c>
      <c r="F1315" t="str">
        <f>+IFERROR(VLOOKUP(Fact_Analitica[[#This Row], [Concepto Anterior]],Conceptos_Analítica_contraloría[#All],7,0),"")</f>
        <v/>
      </c>
      <c r="I1315" t="str">
        <f>+IFERROR(VLOOKUP(D1315,Conceptos_Analítica_contraloría[#All],2,0),"")</f>
        <v/>
      </c>
      <c r="J1315" s="84" t="str">
        <f>+IFERROR(VLOOKUP(D1315,Conceptos_Analítica_contraloría[#All],3,0),"")</f>
        <v/>
      </c>
    </row>
    <row r="1316" spans="3:10" ht="18.75" customHeight="1" x14ac:dyDescent="0.35">
      <c r="C1316" s="100" t="str">
        <f>IF(OR(Fact_Analitica[[#This Row], [Año]]="",Fact_Analitica[[#This Row], [Mes]]=""),"",DATE(A1316,MATCH(B1316,{"enero","febrero","marzo","abril","mayo","junio","julio","agosto","septiembre","octubre","noviembre","diciembre"},0)+1,0))</f>
        <v/>
      </c>
      <c r="E1316" t="str">
        <f>+IFERROR(VLOOKUP(Fact_Analitica[[#This Row], [Concepto Anterior]],Conceptos_Analítica_contraloría[#All],5,0),"")</f>
        <v/>
      </c>
      <c r="F1316" t="str">
        <f>+IFERROR(VLOOKUP(Fact_Analitica[[#This Row], [Concepto Anterior]],Conceptos_Analítica_contraloría[#All],7,0),"")</f>
        <v/>
      </c>
      <c r="I1316" t="str">
        <f>+IFERROR(VLOOKUP(D1316,Conceptos_Analítica_contraloría[#All],2,0),"")</f>
        <v/>
      </c>
      <c r="J1316" s="84" t="str">
        <f>+IFERROR(VLOOKUP(D1316,Conceptos_Analítica_contraloría[#All],3,0),"")</f>
        <v/>
      </c>
    </row>
    <row r="1317" spans="3:10" ht="18.75" customHeight="1" x14ac:dyDescent="0.35">
      <c r="C1317" s="100" t="str">
        <f>IF(OR(Fact_Analitica[[#This Row], [Año]]="",Fact_Analitica[[#This Row], [Mes]]=""),"",DATE(A1317,MATCH(B1317,{"enero","febrero","marzo","abril","mayo","junio","julio","agosto","septiembre","octubre","noviembre","diciembre"},0)+1,0))</f>
        <v/>
      </c>
      <c r="E1317" t="str">
        <f>+IFERROR(VLOOKUP(Fact_Analitica[[#This Row], [Concepto Anterior]],Conceptos_Analítica_contraloría[#All],5,0),"")</f>
        <v/>
      </c>
      <c r="F1317" t="str">
        <f>+IFERROR(VLOOKUP(Fact_Analitica[[#This Row], [Concepto Anterior]],Conceptos_Analítica_contraloría[#All],7,0),"")</f>
        <v/>
      </c>
      <c r="I1317" t="str">
        <f>+IFERROR(VLOOKUP(D1317,Conceptos_Analítica_contraloría[#All],2,0),"")</f>
        <v/>
      </c>
      <c r="J1317" s="84" t="str">
        <f>+IFERROR(VLOOKUP(D1317,Conceptos_Analítica_contraloría[#All],3,0),"")</f>
        <v/>
      </c>
    </row>
    <row r="1318" spans="3:10" ht="18.75" customHeight="1" x14ac:dyDescent="0.35">
      <c r="C1318" s="100" t="str">
        <f>IF(OR(Fact_Analitica[[#This Row], [Año]]="",Fact_Analitica[[#This Row], [Mes]]=""),"",DATE(A1318,MATCH(B1318,{"enero","febrero","marzo","abril","mayo","junio","julio","agosto","septiembre","octubre","noviembre","diciembre"},0)+1,0))</f>
        <v/>
      </c>
      <c r="E1318" t="str">
        <f>+IFERROR(VLOOKUP(Fact_Analitica[[#This Row], [Concepto Anterior]],Conceptos_Analítica_contraloría[#All],5,0),"")</f>
        <v/>
      </c>
      <c r="F1318" t="str">
        <f>+IFERROR(VLOOKUP(Fact_Analitica[[#This Row], [Concepto Anterior]],Conceptos_Analítica_contraloría[#All],7,0),"")</f>
        <v/>
      </c>
      <c r="I1318" t="str">
        <f>+IFERROR(VLOOKUP(D1318,Conceptos_Analítica_contraloría[#All],2,0),"")</f>
        <v/>
      </c>
      <c r="J1318" s="84" t="str">
        <f>+IFERROR(VLOOKUP(D1318,Conceptos_Analítica_contraloría[#All],3,0),"")</f>
        <v/>
      </c>
    </row>
    <row r="1319" spans="3:10" ht="18.75" customHeight="1" x14ac:dyDescent="0.35">
      <c r="C1319" s="100" t="str">
        <f>IF(OR(Fact_Analitica[[#This Row], [Año]]="",Fact_Analitica[[#This Row], [Mes]]=""),"",DATE(A1319,MATCH(B1319,{"enero","febrero","marzo","abril","mayo","junio","julio","agosto","septiembre","octubre","noviembre","diciembre"},0)+1,0))</f>
        <v/>
      </c>
      <c r="E1319" t="str">
        <f>+IFERROR(VLOOKUP(Fact_Analitica[[#This Row], [Concepto Anterior]],Conceptos_Analítica_contraloría[#All],5,0),"")</f>
        <v/>
      </c>
      <c r="F1319" t="str">
        <f>+IFERROR(VLOOKUP(Fact_Analitica[[#This Row], [Concepto Anterior]],Conceptos_Analítica_contraloría[#All],7,0),"")</f>
        <v/>
      </c>
      <c r="I1319" t="str">
        <f>+IFERROR(VLOOKUP(D1319,Conceptos_Analítica_contraloría[#All],2,0),"")</f>
        <v/>
      </c>
      <c r="J1319" s="84" t="str">
        <f>+IFERROR(VLOOKUP(D1319,Conceptos_Analítica_contraloría[#All],3,0),"")</f>
        <v/>
      </c>
    </row>
    <row r="1320" spans="3:10" ht="18.75" customHeight="1" x14ac:dyDescent="0.35">
      <c r="C1320" s="100" t="str">
        <f>IF(OR(Fact_Analitica[[#This Row], [Año]]="",Fact_Analitica[[#This Row], [Mes]]=""),"",DATE(A1320,MATCH(B1320,{"enero","febrero","marzo","abril","mayo","junio","julio","agosto","septiembre","octubre","noviembre","diciembre"},0)+1,0))</f>
        <v/>
      </c>
      <c r="E1320" t="str">
        <f>+IFERROR(VLOOKUP(Fact_Analitica[[#This Row], [Concepto Anterior]],Conceptos_Analítica_contraloría[#All],5,0),"")</f>
        <v/>
      </c>
      <c r="F1320" t="str">
        <f>+IFERROR(VLOOKUP(Fact_Analitica[[#This Row], [Concepto Anterior]],Conceptos_Analítica_contraloría[#All],7,0),"")</f>
        <v/>
      </c>
      <c r="I1320" t="str">
        <f>+IFERROR(VLOOKUP(D1320,Conceptos_Analítica_contraloría[#All],2,0),"")</f>
        <v/>
      </c>
      <c r="J1320" s="84" t="str">
        <f>+IFERROR(VLOOKUP(D1320,Conceptos_Analítica_contraloría[#All],3,0),"")</f>
        <v/>
      </c>
    </row>
    <row r="1321" spans="3:10" ht="18.75" customHeight="1" x14ac:dyDescent="0.35">
      <c r="C1321" s="100" t="str">
        <f>IF(OR(Fact_Analitica[[#This Row], [Año]]="",Fact_Analitica[[#This Row], [Mes]]=""),"",DATE(A1321,MATCH(B1321,{"enero","febrero","marzo","abril","mayo","junio","julio","agosto","septiembre","octubre","noviembre","diciembre"},0)+1,0))</f>
        <v/>
      </c>
      <c r="E1321" t="str">
        <f>+IFERROR(VLOOKUP(Fact_Analitica[[#This Row], [Concepto Anterior]],Conceptos_Analítica_contraloría[#All],5,0),"")</f>
        <v/>
      </c>
      <c r="F1321" t="str">
        <f>+IFERROR(VLOOKUP(Fact_Analitica[[#This Row], [Concepto Anterior]],Conceptos_Analítica_contraloría[#All],7,0),"")</f>
        <v/>
      </c>
      <c r="I1321" t="str">
        <f>+IFERROR(VLOOKUP(D1321,Conceptos_Analítica_contraloría[#All],2,0),"")</f>
        <v/>
      </c>
      <c r="J1321" s="84" t="str">
        <f>+IFERROR(VLOOKUP(D1321,Conceptos_Analítica_contraloría[#All],3,0),"")</f>
        <v/>
      </c>
    </row>
    <row r="1322" spans="3:10" ht="18.75" customHeight="1" x14ac:dyDescent="0.35">
      <c r="C1322" s="100" t="str">
        <f>IF(OR(Fact_Analitica[[#This Row], [Año]]="",Fact_Analitica[[#This Row], [Mes]]=""),"",DATE(A1322,MATCH(B1322,{"enero","febrero","marzo","abril","mayo","junio","julio","agosto","septiembre","octubre","noviembre","diciembre"},0)+1,0))</f>
        <v/>
      </c>
      <c r="E1322" t="str">
        <f>+IFERROR(VLOOKUP(Fact_Analitica[[#This Row], [Concepto Anterior]],Conceptos_Analítica_contraloría[#All],5,0),"")</f>
        <v/>
      </c>
      <c r="F1322" t="str">
        <f>+IFERROR(VLOOKUP(Fact_Analitica[[#This Row], [Concepto Anterior]],Conceptos_Analítica_contraloría[#All],7,0),"")</f>
        <v/>
      </c>
      <c r="I1322" t="str">
        <f>+IFERROR(VLOOKUP(D1322,Conceptos_Analítica_contraloría[#All],2,0),"")</f>
        <v/>
      </c>
      <c r="J1322" s="84" t="str">
        <f>+IFERROR(VLOOKUP(D1322,Conceptos_Analítica_contraloría[#All],3,0),"")</f>
        <v/>
      </c>
    </row>
    <row r="1323" spans="3:10" ht="18.75" customHeight="1" x14ac:dyDescent="0.35">
      <c r="C1323" s="100" t="str">
        <f>IF(OR(Fact_Analitica[[#This Row], [Año]]="",Fact_Analitica[[#This Row], [Mes]]=""),"",DATE(A1323,MATCH(B1323,{"enero","febrero","marzo","abril","mayo","junio","julio","agosto","septiembre","octubre","noviembre","diciembre"},0)+1,0))</f>
        <v/>
      </c>
      <c r="E1323" t="str">
        <f>+IFERROR(VLOOKUP(Fact_Analitica[[#This Row], [Concepto Anterior]],Conceptos_Analítica_contraloría[#All],5,0),"")</f>
        <v/>
      </c>
      <c r="F1323" t="str">
        <f>+IFERROR(VLOOKUP(Fact_Analitica[[#This Row], [Concepto Anterior]],Conceptos_Analítica_contraloría[#All],7,0),"")</f>
        <v/>
      </c>
      <c r="I1323" t="str">
        <f>+IFERROR(VLOOKUP(D1323,Conceptos_Analítica_contraloría[#All],2,0),"")</f>
        <v/>
      </c>
      <c r="J1323" s="84" t="str">
        <f>+IFERROR(VLOOKUP(D1323,Conceptos_Analítica_contraloría[#All],3,0),"")</f>
        <v/>
      </c>
    </row>
    <row r="1324" spans="3:10" ht="18.75" customHeight="1" x14ac:dyDescent="0.35">
      <c r="C1324" s="100" t="str">
        <f>IF(OR(Fact_Analitica[[#This Row], [Año]]="",Fact_Analitica[[#This Row], [Mes]]=""),"",DATE(A1324,MATCH(B1324,{"enero","febrero","marzo","abril","mayo","junio","julio","agosto","septiembre","octubre","noviembre","diciembre"},0)+1,0))</f>
        <v/>
      </c>
      <c r="E1324" t="str">
        <f>+IFERROR(VLOOKUP(Fact_Analitica[[#This Row], [Concepto Anterior]],Conceptos_Analítica_contraloría[#All],5,0),"")</f>
        <v/>
      </c>
      <c r="F1324" t="str">
        <f>+IFERROR(VLOOKUP(Fact_Analitica[[#This Row], [Concepto Anterior]],Conceptos_Analítica_contraloría[#All],7,0),"")</f>
        <v/>
      </c>
      <c r="I1324" t="str">
        <f>+IFERROR(VLOOKUP(D1324,Conceptos_Analítica_contraloría[#All],2,0),"")</f>
        <v/>
      </c>
      <c r="J1324" s="84" t="str">
        <f>+IFERROR(VLOOKUP(D1324,Conceptos_Analítica_contraloría[#All],3,0),"")</f>
        <v/>
      </c>
    </row>
    <row r="1325" spans="3:10" ht="18.75" customHeight="1" x14ac:dyDescent="0.35">
      <c r="C1325" s="100" t="str">
        <f>IF(OR(Fact_Analitica[[#This Row], [Año]]="",Fact_Analitica[[#This Row], [Mes]]=""),"",DATE(A1325,MATCH(B1325,{"enero","febrero","marzo","abril","mayo","junio","julio","agosto","septiembre","octubre","noviembre","diciembre"},0)+1,0))</f>
        <v/>
      </c>
      <c r="E1325" t="str">
        <f>+IFERROR(VLOOKUP(Fact_Analitica[[#This Row], [Concepto Anterior]],Conceptos_Analítica_contraloría[#All],5,0),"")</f>
        <v/>
      </c>
      <c r="F1325" t="str">
        <f>+IFERROR(VLOOKUP(Fact_Analitica[[#This Row], [Concepto Anterior]],Conceptos_Analítica_contraloría[#All],7,0),"")</f>
        <v/>
      </c>
      <c r="I1325" t="str">
        <f>+IFERROR(VLOOKUP(D1325,Conceptos_Analítica_contraloría[#All],2,0),"")</f>
        <v/>
      </c>
      <c r="J1325" s="84" t="str">
        <f>+IFERROR(VLOOKUP(D1325,Conceptos_Analítica_contraloría[#All],3,0),"")</f>
        <v/>
      </c>
    </row>
    <row r="1326" spans="3:10" ht="18.75" customHeight="1" x14ac:dyDescent="0.35">
      <c r="C1326" s="100" t="str">
        <f>IF(OR(Fact_Analitica[[#This Row], [Año]]="",Fact_Analitica[[#This Row], [Mes]]=""),"",DATE(A1326,MATCH(B1326,{"enero","febrero","marzo","abril","mayo","junio","julio","agosto","septiembre","octubre","noviembre","diciembre"},0)+1,0))</f>
        <v/>
      </c>
      <c r="E1326" t="str">
        <f>+IFERROR(VLOOKUP(Fact_Analitica[[#This Row], [Concepto Anterior]],Conceptos_Analítica_contraloría[#All],5,0),"")</f>
        <v/>
      </c>
      <c r="F1326" t="str">
        <f>+IFERROR(VLOOKUP(Fact_Analitica[[#This Row], [Concepto Anterior]],Conceptos_Analítica_contraloría[#All],7,0),"")</f>
        <v/>
      </c>
      <c r="I1326" t="str">
        <f>+IFERROR(VLOOKUP(D1326,Conceptos_Analítica_contraloría[#All],2,0),"")</f>
        <v/>
      </c>
      <c r="J1326" s="84" t="str">
        <f>+IFERROR(VLOOKUP(D1326,Conceptos_Analítica_contraloría[#All],3,0),"")</f>
        <v/>
      </c>
    </row>
    <row r="1327" spans="3:10" ht="18.75" customHeight="1" x14ac:dyDescent="0.35">
      <c r="C1327" s="100" t="str">
        <f>IF(OR(Fact_Analitica[[#This Row], [Año]]="",Fact_Analitica[[#This Row], [Mes]]=""),"",DATE(A1327,MATCH(B1327,{"enero","febrero","marzo","abril","mayo","junio","julio","agosto","septiembre","octubre","noviembre","diciembre"},0)+1,0))</f>
        <v/>
      </c>
      <c r="E1327" t="str">
        <f>+IFERROR(VLOOKUP(Fact_Analitica[[#This Row], [Concepto Anterior]],Conceptos_Analítica_contraloría[#All],5,0),"")</f>
        <v/>
      </c>
      <c r="F1327" t="str">
        <f>+IFERROR(VLOOKUP(Fact_Analitica[[#This Row], [Concepto Anterior]],Conceptos_Analítica_contraloría[#All],7,0),"")</f>
        <v/>
      </c>
      <c r="I1327" t="str">
        <f>+IFERROR(VLOOKUP(D1327,Conceptos_Analítica_contraloría[#All],2,0),"")</f>
        <v/>
      </c>
      <c r="J1327" s="84" t="str">
        <f>+IFERROR(VLOOKUP(D1327,Conceptos_Analítica_contraloría[#All],3,0),"")</f>
        <v/>
      </c>
    </row>
    <row r="1328" spans="3:10" ht="18.75" customHeight="1" x14ac:dyDescent="0.35">
      <c r="C1328" s="100" t="str">
        <f>IF(OR(Fact_Analitica[[#This Row], [Año]]="",Fact_Analitica[[#This Row], [Mes]]=""),"",DATE(A1328,MATCH(B1328,{"enero","febrero","marzo","abril","mayo","junio","julio","agosto","septiembre","octubre","noviembre","diciembre"},0)+1,0))</f>
        <v/>
      </c>
      <c r="E1328" t="str">
        <f>+IFERROR(VLOOKUP(Fact_Analitica[[#This Row], [Concepto Anterior]],Conceptos_Analítica_contraloría[#All],5,0),"")</f>
        <v/>
      </c>
      <c r="F1328" t="str">
        <f>+IFERROR(VLOOKUP(Fact_Analitica[[#This Row], [Concepto Anterior]],Conceptos_Analítica_contraloría[#All],7,0),"")</f>
        <v/>
      </c>
      <c r="I1328" t="str">
        <f>+IFERROR(VLOOKUP(D1328,Conceptos_Analítica_contraloría[#All],2,0),"")</f>
        <v/>
      </c>
      <c r="J1328" s="84" t="str">
        <f>+IFERROR(VLOOKUP(D1328,Conceptos_Analítica_contraloría[#All],3,0),"")</f>
        <v/>
      </c>
    </row>
    <row r="1329" spans="3:10" ht="18.75" customHeight="1" x14ac:dyDescent="0.35">
      <c r="C1329" s="100" t="str">
        <f>IF(OR(Fact_Analitica[[#This Row], [Año]]="",Fact_Analitica[[#This Row], [Mes]]=""),"",DATE(A1329,MATCH(B1329,{"enero","febrero","marzo","abril","mayo","junio","julio","agosto","septiembre","octubre","noviembre","diciembre"},0)+1,0))</f>
        <v/>
      </c>
      <c r="E1329" t="str">
        <f>+IFERROR(VLOOKUP(Fact_Analitica[[#This Row], [Concepto Anterior]],Conceptos_Analítica_contraloría[#All],5,0),"")</f>
        <v/>
      </c>
      <c r="F1329" t="str">
        <f>+IFERROR(VLOOKUP(Fact_Analitica[[#This Row], [Concepto Anterior]],Conceptos_Analítica_contraloría[#All],7,0),"")</f>
        <v/>
      </c>
      <c r="I1329" t="str">
        <f>+IFERROR(VLOOKUP(D1329,Conceptos_Analítica_contraloría[#All],2,0),"")</f>
        <v/>
      </c>
      <c r="J1329" s="84" t="str">
        <f>+IFERROR(VLOOKUP(D1329,Conceptos_Analítica_contraloría[#All],3,0),"")</f>
        <v/>
      </c>
    </row>
    <row r="1330" spans="3:10" ht="18.75" customHeight="1" x14ac:dyDescent="0.35">
      <c r="C1330" s="100" t="str">
        <f>IF(OR(Fact_Analitica[[#This Row], [Año]]="",Fact_Analitica[[#This Row], [Mes]]=""),"",DATE(A1330,MATCH(B1330,{"enero","febrero","marzo","abril","mayo","junio","julio","agosto","septiembre","octubre","noviembre","diciembre"},0)+1,0))</f>
        <v/>
      </c>
      <c r="E1330" t="str">
        <f>+IFERROR(VLOOKUP(Fact_Analitica[[#This Row], [Concepto Anterior]],Conceptos_Analítica_contraloría[#All],5,0),"")</f>
        <v/>
      </c>
      <c r="F1330" t="str">
        <f>+IFERROR(VLOOKUP(Fact_Analitica[[#This Row], [Concepto Anterior]],Conceptos_Analítica_contraloría[#All],7,0),"")</f>
        <v/>
      </c>
      <c r="I1330" t="str">
        <f>+IFERROR(VLOOKUP(D1330,Conceptos_Analítica_contraloría[#All],2,0),"")</f>
        <v/>
      </c>
      <c r="J1330" s="84" t="str">
        <f>+IFERROR(VLOOKUP(D1330,Conceptos_Analítica_contraloría[#All],3,0),"")</f>
        <v/>
      </c>
    </row>
    <row r="1331" spans="3:10" ht="18.75" customHeight="1" x14ac:dyDescent="0.35">
      <c r="C1331" s="100" t="str">
        <f>IF(OR(Fact_Analitica[[#This Row], [Año]]="",Fact_Analitica[[#This Row], [Mes]]=""),"",DATE(A1331,MATCH(B1331,{"enero","febrero","marzo","abril","mayo","junio","julio","agosto","septiembre","octubre","noviembre","diciembre"},0)+1,0))</f>
        <v/>
      </c>
      <c r="E1331" t="str">
        <f>+IFERROR(VLOOKUP(Fact_Analitica[[#This Row], [Concepto Anterior]],Conceptos_Analítica_contraloría[#All],5,0),"")</f>
        <v/>
      </c>
      <c r="F1331" t="str">
        <f>+IFERROR(VLOOKUP(Fact_Analitica[[#This Row], [Concepto Anterior]],Conceptos_Analítica_contraloría[#All],7,0),"")</f>
        <v/>
      </c>
      <c r="I1331" t="str">
        <f>+IFERROR(VLOOKUP(D1331,Conceptos_Analítica_contraloría[#All],2,0),"")</f>
        <v/>
      </c>
      <c r="J1331" s="84" t="str">
        <f>+IFERROR(VLOOKUP(D1331,Conceptos_Analítica_contraloría[#All],3,0),"")</f>
        <v/>
      </c>
    </row>
    <row r="1332" spans="3:10" ht="18.75" customHeight="1" x14ac:dyDescent="0.35">
      <c r="C1332" s="100" t="str">
        <f>IF(OR(Fact_Analitica[[#This Row], [Año]]="",Fact_Analitica[[#This Row], [Mes]]=""),"",DATE(A1332,MATCH(B1332,{"enero","febrero","marzo","abril","mayo","junio","julio","agosto","septiembre","octubre","noviembre","diciembre"},0)+1,0))</f>
        <v/>
      </c>
      <c r="E1332" t="str">
        <f>+IFERROR(VLOOKUP(Fact_Analitica[[#This Row], [Concepto Anterior]],Conceptos_Analítica_contraloría[#All],5,0),"")</f>
        <v/>
      </c>
      <c r="F1332" t="str">
        <f>+IFERROR(VLOOKUP(Fact_Analitica[[#This Row], [Concepto Anterior]],Conceptos_Analítica_contraloría[#All],7,0),"")</f>
        <v/>
      </c>
      <c r="I1332" t="str">
        <f>+IFERROR(VLOOKUP(D1332,Conceptos_Analítica_contraloría[#All],2,0),"")</f>
        <v/>
      </c>
      <c r="J1332" s="84" t="str">
        <f>+IFERROR(VLOOKUP(D1332,Conceptos_Analítica_contraloría[#All],3,0),"")</f>
        <v/>
      </c>
    </row>
    <row r="1333" spans="3:10" ht="18.75" customHeight="1" x14ac:dyDescent="0.35">
      <c r="C1333" s="100" t="str">
        <f>IF(OR(Fact_Analitica[[#This Row], [Año]]="",Fact_Analitica[[#This Row], [Mes]]=""),"",DATE(A1333,MATCH(B1333,{"enero","febrero","marzo","abril","mayo","junio","julio","agosto","septiembre","octubre","noviembre","diciembre"},0)+1,0))</f>
        <v/>
      </c>
      <c r="E1333" t="str">
        <f>+IFERROR(VLOOKUP(Fact_Analitica[[#This Row], [Concepto Anterior]],Conceptos_Analítica_contraloría[#All],5,0),"")</f>
        <v/>
      </c>
      <c r="F1333" t="str">
        <f>+IFERROR(VLOOKUP(Fact_Analitica[[#This Row], [Concepto Anterior]],Conceptos_Analítica_contraloría[#All],7,0),"")</f>
        <v/>
      </c>
      <c r="I1333" t="str">
        <f>+IFERROR(VLOOKUP(D1333,Conceptos_Analítica_contraloría[#All],2,0),"")</f>
        <v/>
      </c>
      <c r="J1333" s="84" t="str">
        <f>+IFERROR(VLOOKUP(D1333,Conceptos_Analítica_contraloría[#All],3,0),"")</f>
        <v/>
      </c>
    </row>
    <row r="1334" spans="3:10" ht="18.75" customHeight="1" x14ac:dyDescent="0.35">
      <c r="C1334" s="100" t="str">
        <f>IF(OR(Fact_Analitica[[#This Row], [Año]]="",Fact_Analitica[[#This Row], [Mes]]=""),"",DATE(A1334,MATCH(B1334,{"enero","febrero","marzo","abril","mayo","junio","julio","agosto","septiembre","octubre","noviembre","diciembre"},0)+1,0))</f>
        <v/>
      </c>
      <c r="E1334" t="str">
        <f>+IFERROR(VLOOKUP(Fact_Analitica[[#This Row], [Concepto Anterior]],Conceptos_Analítica_contraloría[#All],5,0),"")</f>
        <v/>
      </c>
      <c r="F1334" t="str">
        <f>+IFERROR(VLOOKUP(Fact_Analitica[[#This Row], [Concepto Anterior]],Conceptos_Analítica_contraloría[#All],7,0),"")</f>
        <v/>
      </c>
      <c r="I1334" t="str">
        <f>+IFERROR(VLOOKUP(D1334,Conceptos_Analítica_contraloría[#All],2,0),"")</f>
        <v/>
      </c>
      <c r="J1334" s="84" t="str">
        <f>+IFERROR(VLOOKUP(D1334,Conceptos_Analítica_contraloría[#All],3,0),"")</f>
        <v/>
      </c>
    </row>
    <row r="1335" spans="3:10" ht="18.75" customHeight="1" x14ac:dyDescent="0.35">
      <c r="C1335" s="100" t="str">
        <f>IF(OR(Fact_Analitica[[#This Row], [Año]]="",Fact_Analitica[[#This Row], [Mes]]=""),"",DATE(A1335,MATCH(B1335,{"enero","febrero","marzo","abril","mayo","junio","julio","agosto","septiembre","octubre","noviembre","diciembre"},0)+1,0))</f>
        <v/>
      </c>
      <c r="E1335" t="str">
        <f>+IFERROR(VLOOKUP(Fact_Analitica[[#This Row], [Concepto Anterior]],Conceptos_Analítica_contraloría[#All],5,0),"")</f>
        <v/>
      </c>
      <c r="F1335" t="str">
        <f>+IFERROR(VLOOKUP(Fact_Analitica[[#This Row], [Concepto Anterior]],Conceptos_Analítica_contraloría[#All],7,0),"")</f>
        <v/>
      </c>
      <c r="I1335" t="str">
        <f>+IFERROR(VLOOKUP(D1335,Conceptos_Analítica_contraloría[#All],2,0),"")</f>
        <v/>
      </c>
      <c r="J1335" s="84" t="str">
        <f>+IFERROR(VLOOKUP(D1335,Conceptos_Analítica_contraloría[#All],3,0),"")</f>
        <v/>
      </c>
    </row>
    <row r="1336" spans="3:10" ht="18.75" customHeight="1" x14ac:dyDescent="0.35">
      <c r="C1336" s="100" t="str">
        <f>IF(OR(Fact_Analitica[[#This Row], [Año]]="",Fact_Analitica[[#This Row], [Mes]]=""),"",DATE(A1336,MATCH(B1336,{"enero","febrero","marzo","abril","mayo","junio","julio","agosto","septiembre","octubre","noviembre","diciembre"},0)+1,0))</f>
        <v/>
      </c>
      <c r="E1336" t="str">
        <f>+IFERROR(VLOOKUP(Fact_Analitica[[#This Row], [Concepto Anterior]],Conceptos_Analítica_contraloría[#All],5,0),"")</f>
        <v/>
      </c>
      <c r="F1336" t="str">
        <f>+IFERROR(VLOOKUP(Fact_Analitica[[#This Row], [Concepto Anterior]],Conceptos_Analítica_contraloría[#All],7,0),"")</f>
        <v/>
      </c>
      <c r="I1336" t="str">
        <f>+IFERROR(VLOOKUP(D1336,Conceptos_Analítica_contraloría[#All],2,0),"")</f>
        <v/>
      </c>
      <c r="J1336" s="84" t="str">
        <f>+IFERROR(VLOOKUP(D1336,Conceptos_Analítica_contraloría[#All],3,0),"")</f>
        <v/>
      </c>
    </row>
    <row r="1337" spans="3:10" ht="18.75" customHeight="1" x14ac:dyDescent="0.35">
      <c r="C1337" s="100" t="str">
        <f>IF(OR(Fact_Analitica[[#This Row], [Año]]="",Fact_Analitica[[#This Row], [Mes]]=""),"",DATE(A1337,MATCH(B1337,{"enero","febrero","marzo","abril","mayo","junio","julio","agosto","septiembre","octubre","noviembre","diciembre"},0)+1,0))</f>
        <v/>
      </c>
      <c r="E1337" t="str">
        <f>+IFERROR(VLOOKUP(Fact_Analitica[[#This Row], [Concepto Anterior]],Conceptos_Analítica_contraloría[#All],5,0),"")</f>
        <v/>
      </c>
      <c r="F1337" t="str">
        <f>+IFERROR(VLOOKUP(Fact_Analitica[[#This Row], [Concepto Anterior]],Conceptos_Analítica_contraloría[#All],7,0),"")</f>
        <v/>
      </c>
      <c r="I1337" t="str">
        <f>+IFERROR(VLOOKUP(D1337,Conceptos_Analítica_contraloría[#All],2,0),"")</f>
        <v/>
      </c>
      <c r="J1337" s="84" t="str">
        <f>+IFERROR(VLOOKUP(D1337,Conceptos_Analítica_contraloría[#All],3,0),"")</f>
        <v/>
      </c>
    </row>
    <row r="1338" spans="3:10" ht="18.75" customHeight="1" x14ac:dyDescent="0.35">
      <c r="C1338" s="100" t="str">
        <f>IF(OR(Fact_Analitica[[#This Row], [Año]]="",Fact_Analitica[[#This Row], [Mes]]=""),"",DATE(A1338,MATCH(B1338,{"enero","febrero","marzo","abril","mayo","junio","julio","agosto","septiembre","octubre","noviembre","diciembre"},0)+1,0))</f>
        <v/>
      </c>
      <c r="E1338" t="str">
        <f>+IFERROR(VLOOKUP(Fact_Analitica[[#This Row], [Concepto Anterior]],Conceptos_Analítica_contraloría[#All],5,0),"")</f>
        <v/>
      </c>
      <c r="F1338" t="str">
        <f>+IFERROR(VLOOKUP(Fact_Analitica[[#This Row], [Concepto Anterior]],Conceptos_Analítica_contraloría[#All],7,0),"")</f>
        <v/>
      </c>
      <c r="I1338" t="str">
        <f>+IFERROR(VLOOKUP(D1338,Conceptos_Analítica_contraloría[#All],2,0),"")</f>
        <v/>
      </c>
      <c r="J1338" s="84" t="str">
        <f>+IFERROR(VLOOKUP(D1338,Conceptos_Analítica_contraloría[#All],3,0),"")</f>
        <v/>
      </c>
    </row>
    <row r="1339" spans="3:10" ht="18.75" customHeight="1" x14ac:dyDescent="0.35">
      <c r="C1339" s="100" t="str">
        <f>IF(OR(Fact_Analitica[[#This Row], [Año]]="",Fact_Analitica[[#This Row], [Mes]]=""),"",DATE(A1339,MATCH(B1339,{"enero","febrero","marzo","abril","mayo","junio","julio","agosto","septiembre","octubre","noviembre","diciembre"},0)+1,0))</f>
        <v/>
      </c>
      <c r="E1339" t="str">
        <f>+IFERROR(VLOOKUP(Fact_Analitica[[#This Row], [Concepto Anterior]],Conceptos_Analítica_contraloría[#All],5,0),"")</f>
        <v/>
      </c>
      <c r="F1339" t="str">
        <f>+IFERROR(VLOOKUP(Fact_Analitica[[#This Row], [Concepto Anterior]],Conceptos_Analítica_contraloría[#All],7,0),"")</f>
        <v/>
      </c>
      <c r="I1339" t="str">
        <f>+IFERROR(VLOOKUP(D1339,Conceptos_Analítica_contraloría[#All],2,0),"")</f>
        <v/>
      </c>
      <c r="J1339" s="84" t="str">
        <f>+IFERROR(VLOOKUP(D1339,Conceptos_Analítica_contraloría[#All],3,0),"")</f>
        <v/>
      </c>
    </row>
    <row r="1340" spans="3:10" ht="18.75" customHeight="1" x14ac:dyDescent="0.35">
      <c r="C1340" s="100" t="str">
        <f>IF(OR(Fact_Analitica[[#This Row], [Año]]="",Fact_Analitica[[#This Row], [Mes]]=""),"",DATE(A1340,MATCH(B1340,{"enero","febrero","marzo","abril","mayo","junio","julio","agosto","septiembre","octubre","noviembre","diciembre"},0)+1,0))</f>
        <v/>
      </c>
      <c r="E1340" t="str">
        <f>+IFERROR(VLOOKUP(Fact_Analitica[[#This Row], [Concepto Anterior]],Conceptos_Analítica_contraloría[#All],5,0),"")</f>
        <v/>
      </c>
      <c r="F1340" t="str">
        <f>+IFERROR(VLOOKUP(Fact_Analitica[[#This Row], [Concepto Anterior]],Conceptos_Analítica_contraloría[#All],7,0),"")</f>
        <v/>
      </c>
      <c r="I1340" t="str">
        <f>+IFERROR(VLOOKUP(D1340,Conceptos_Analítica_contraloría[#All],2,0),"")</f>
        <v/>
      </c>
      <c r="J1340" s="84" t="str">
        <f>+IFERROR(VLOOKUP(D1340,Conceptos_Analítica_contraloría[#All],3,0),"")</f>
        <v/>
      </c>
    </row>
    <row r="1341" spans="3:10" ht="18.75" customHeight="1" x14ac:dyDescent="0.35">
      <c r="C1341" s="100" t="str">
        <f>IF(OR(Fact_Analitica[[#This Row], [Año]]="",Fact_Analitica[[#This Row], [Mes]]=""),"",DATE(A1341,MATCH(B1341,{"enero","febrero","marzo","abril","mayo","junio","julio","agosto","septiembre","octubre","noviembre","diciembre"},0)+1,0))</f>
        <v/>
      </c>
      <c r="E1341" t="str">
        <f>+IFERROR(VLOOKUP(Fact_Analitica[[#This Row], [Concepto Anterior]],Conceptos_Analítica_contraloría[#All],5,0),"")</f>
        <v/>
      </c>
      <c r="F1341" t="str">
        <f>+IFERROR(VLOOKUP(Fact_Analitica[[#This Row], [Concepto Anterior]],Conceptos_Analítica_contraloría[#All],7,0),"")</f>
        <v/>
      </c>
      <c r="I1341" t="str">
        <f>+IFERROR(VLOOKUP(D1341,Conceptos_Analítica_contraloría[#All],2,0),"")</f>
        <v/>
      </c>
      <c r="J1341" s="84" t="str">
        <f>+IFERROR(VLOOKUP(D1341,Conceptos_Analítica_contraloría[#All],3,0),"")</f>
        <v/>
      </c>
    </row>
    <row r="1342" spans="3:10" ht="18.75" customHeight="1" x14ac:dyDescent="0.35">
      <c r="C1342" s="100" t="str">
        <f>IF(OR(Fact_Analitica[[#This Row], [Año]]="",Fact_Analitica[[#This Row], [Mes]]=""),"",DATE(A1342,MATCH(B1342,{"enero","febrero","marzo","abril","mayo","junio","julio","agosto","septiembre","octubre","noviembre","diciembre"},0)+1,0))</f>
        <v/>
      </c>
      <c r="E1342" t="str">
        <f>+IFERROR(VLOOKUP(Fact_Analitica[[#This Row], [Concepto Anterior]],Conceptos_Analítica_contraloría[#All],5,0),"")</f>
        <v/>
      </c>
      <c r="F1342" t="str">
        <f>+IFERROR(VLOOKUP(Fact_Analitica[[#This Row], [Concepto Anterior]],Conceptos_Analítica_contraloría[#All],7,0),"")</f>
        <v/>
      </c>
      <c r="I1342" t="str">
        <f>+IFERROR(VLOOKUP(D1342,Conceptos_Analítica_contraloría[#All],2,0),"")</f>
        <v/>
      </c>
      <c r="J1342" s="84" t="str">
        <f>+IFERROR(VLOOKUP(D1342,Conceptos_Analítica_contraloría[#All],3,0),"")</f>
        <v/>
      </c>
    </row>
    <row r="1343" spans="3:10" ht="18.75" customHeight="1" x14ac:dyDescent="0.35">
      <c r="C1343" s="100" t="str">
        <f>IF(OR(Fact_Analitica[[#This Row], [Año]]="",Fact_Analitica[[#This Row], [Mes]]=""),"",DATE(A1343,MATCH(B1343,{"enero","febrero","marzo","abril","mayo","junio","julio","agosto","septiembre","octubre","noviembre","diciembre"},0)+1,0))</f>
        <v/>
      </c>
      <c r="E1343" t="str">
        <f>+IFERROR(VLOOKUP(Fact_Analitica[[#This Row], [Concepto Anterior]],Conceptos_Analítica_contraloría[#All],5,0),"")</f>
        <v/>
      </c>
      <c r="F1343" t="str">
        <f>+IFERROR(VLOOKUP(Fact_Analitica[[#This Row], [Concepto Anterior]],Conceptos_Analítica_contraloría[#All],7,0),"")</f>
        <v/>
      </c>
      <c r="I1343" t="str">
        <f>+IFERROR(VLOOKUP(D1343,Conceptos_Analítica_contraloría[#All],2,0),"")</f>
        <v/>
      </c>
      <c r="J1343" s="84" t="str">
        <f>+IFERROR(VLOOKUP(D1343,Conceptos_Analítica_contraloría[#All],3,0),"")</f>
        <v/>
      </c>
    </row>
    <row r="1344" spans="3:10" ht="18.75" customHeight="1" x14ac:dyDescent="0.35">
      <c r="C1344" s="100" t="str">
        <f>IF(OR(Fact_Analitica[[#This Row], [Año]]="",Fact_Analitica[[#This Row], [Mes]]=""),"",DATE(A1344,MATCH(B1344,{"enero","febrero","marzo","abril","mayo","junio","julio","agosto","septiembre","octubre","noviembre","diciembre"},0)+1,0))</f>
        <v/>
      </c>
      <c r="E1344" t="str">
        <f>+IFERROR(VLOOKUP(Fact_Analitica[[#This Row], [Concepto Anterior]],Conceptos_Analítica_contraloría[#All],5,0),"")</f>
        <v/>
      </c>
      <c r="F1344" t="str">
        <f>+IFERROR(VLOOKUP(Fact_Analitica[[#This Row], [Concepto Anterior]],Conceptos_Analítica_contraloría[#All],7,0),"")</f>
        <v/>
      </c>
      <c r="I1344" t="str">
        <f>+IFERROR(VLOOKUP(D1344,Conceptos_Analítica_contraloría[#All],2,0),"")</f>
        <v/>
      </c>
      <c r="J1344" s="84" t="str">
        <f>+IFERROR(VLOOKUP(D1344,Conceptos_Analítica_contraloría[#All],3,0),"")</f>
        <v/>
      </c>
    </row>
    <row r="1345" spans="3:10" ht="18.75" customHeight="1" x14ac:dyDescent="0.35">
      <c r="C1345" s="100" t="str">
        <f>IF(OR(Fact_Analitica[[#This Row], [Año]]="",Fact_Analitica[[#This Row], [Mes]]=""),"",DATE(A1345,MATCH(B1345,{"enero","febrero","marzo","abril","mayo","junio","julio","agosto","septiembre","octubre","noviembre","diciembre"},0)+1,0))</f>
        <v/>
      </c>
      <c r="E1345" t="str">
        <f>+IFERROR(VLOOKUP(Fact_Analitica[[#This Row], [Concepto Anterior]],Conceptos_Analítica_contraloría[#All],5,0),"")</f>
        <v/>
      </c>
      <c r="F1345" t="str">
        <f>+IFERROR(VLOOKUP(Fact_Analitica[[#This Row], [Concepto Anterior]],Conceptos_Analítica_contraloría[#All],7,0),"")</f>
        <v/>
      </c>
      <c r="I1345" t="str">
        <f>+IFERROR(VLOOKUP(D1345,Conceptos_Analítica_contraloría[#All],2,0),"")</f>
        <v/>
      </c>
      <c r="J1345" s="84" t="str">
        <f>+IFERROR(VLOOKUP(D1345,Conceptos_Analítica_contraloría[#All],3,0),"")</f>
        <v/>
      </c>
    </row>
    <row r="1346" spans="3:10" ht="18.75" customHeight="1" x14ac:dyDescent="0.35">
      <c r="C1346" s="100" t="str">
        <f>IF(OR(Fact_Analitica[[#This Row], [Año]]="",Fact_Analitica[[#This Row], [Mes]]=""),"",DATE(A1346,MATCH(B1346,{"enero","febrero","marzo","abril","mayo","junio","julio","agosto","septiembre","octubre","noviembre","diciembre"},0)+1,0))</f>
        <v/>
      </c>
      <c r="E1346" t="str">
        <f>+IFERROR(VLOOKUP(Fact_Analitica[[#This Row], [Concepto Anterior]],Conceptos_Analítica_contraloría[#All],5,0),"")</f>
        <v/>
      </c>
      <c r="F1346" t="str">
        <f>+IFERROR(VLOOKUP(Fact_Analitica[[#This Row], [Concepto Anterior]],Conceptos_Analítica_contraloría[#All],7,0),"")</f>
        <v/>
      </c>
      <c r="I1346" t="str">
        <f>+IFERROR(VLOOKUP(D1346,Conceptos_Analítica_contraloría[#All],2,0),"")</f>
        <v/>
      </c>
      <c r="J1346" s="84" t="str">
        <f>+IFERROR(VLOOKUP(D1346,Conceptos_Analítica_contraloría[#All],3,0),"")</f>
        <v/>
      </c>
    </row>
    <row r="1347" spans="3:10" ht="18.75" customHeight="1" x14ac:dyDescent="0.35">
      <c r="C1347" s="100" t="str">
        <f>IF(OR(Fact_Analitica[[#This Row], [Año]]="",Fact_Analitica[[#This Row], [Mes]]=""),"",DATE(A1347,MATCH(B1347,{"enero","febrero","marzo","abril","mayo","junio","julio","agosto","septiembre","octubre","noviembre","diciembre"},0)+1,0))</f>
        <v/>
      </c>
      <c r="E1347" t="str">
        <f>+IFERROR(VLOOKUP(Fact_Analitica[[#This Row], [Concepto Anterior]],Conceptos_Analítica_contraloría[#All],5,0),"")</f>
        <v/>
      </c>
      <c r="F1347" t="str">
        <f>+IFERROR(VLOOKUP(Fact_Analitica[[#This Row], [Concepto Anterior]],Conceptos_Analítica_contraloría[#All],7,0),"")</f>
        <v/>
      </c>
      <c r="I1347" t="str">
        <f>+IFERROR(VLOOKUP(D1347,Conceptos_Analítica_contraloría[#All],2,0),"")</f>
        <v/>
      </c>
      <c r="J1347" s="84" t="str">
        <f>+IFERROR(VLOOKUP(D1347,Conceptos_Analítica_contraloría[#All],3,0),"")</f>
        <v/>
      </c>
    </row>
    <row r="1348" spans="3:10" ht="18.75" customHeight="1" x14ac:dyDescent="0.35">
      <c r="C1348" s="100" t="str">
        <f>IF(OR(Fact_Analitica[[#This Row], [Año]]="",Fact_Analitica[[#This Row], [Mes]]=""),"",DATE(A1348,MATCH(B1348,{"enero","febrero","marzo","abril","mayo","junio","julio","agosto","septiembre","octubre","noviembre","diciembre"},0)+1,0))</f>
        <v/>
      </c>
      <c r="E1348" t="str">
        <f>+IFERROR(VLOOKUP(Fact_Analitica[[#This Row], [Concepto Anterior]],Conceptos_Analítica_contraloría[#All],5,0),"")</f>
        <v/>
      </c>
      <c r="F1348" t="str">
        <f>+IFERROR(VLOOKUP(Fact_Analitica[[#This Row], [Concepto Anterior]],Conceptos_Analítica_contraloría[#All],7,0),"")</f>
        <v/>
      </c>
      <c r="I1348" t="str">
        <f>+IFERROR(VLOOKUP(D1348,Conceptos_Analítica_contraloría[#All],2,0),"")</f>
        <v/>
      </c>
      <c r="J1348" s="84" t="str">
        <f>+IFERROR(VLOOKUP(D1348,Conceptos_Analítica_contraloría[#All],3,0),"")</f>
        <v/>
      </c>
    </row>
    <row r="1349" spans="3:10" ht="18.75" customHeight="1" x14ac:dyDescent="0.35">
      <c r="C1349" s="100" t="str">
        <f>IF(OR(Fact_Analitica[[#This Row], [Año]]="",Fact_Analitica[[#This Row], [Mes]]=""),"",DATE(A1349,MATCH(B1349,{"enero","febrero","marzo","abril","mayo","junio","julio","agosto","septiembre","octubre","noviembre","diciembre"},0)+1,0))</f>
        <v/>
      </c>
      <c r="E1349" t="str">
        <f>+IFERROR(VLOOKUP(Fact_Analitica[[#This Row], [Concepto Anterior]],Conceptos_Analítica_contraloría[#All],5,0),"")</f>
        <v/>
      </c>
      <c r="F1349" t="str">
        <f>+IFERROR(VLOOKUP(Fact_Analitica[[#This Row], [Concepto Anterior]],Conceptos_Analítica_contraloría[#All],7,0),"")</f>
        <v/>
      </c>
      <c r="I1349" t="str">
        <f>+IFERROR(VLOOKUP(D1349,Conceptos_Analítica_contraloría[#All],2,0),"")</f>
        <v/>
      </c>
      <c r="J1349" s="84" t="str">
        <f>+IFERROR(VLOOKUP(D1349,Conceptos_Analítica_contraloría[#All],3,0),"")</f>
        <v/>
      </c>
    </row>
    <row r="1350" spans="3:10" ht="18.75" customHeight="1" x14ac:dyDescent="0.35">
      <c r="C1350" s="100" t="str">
        <f>IF(OR(Fact_Analitica[[#This Row], [Año]]="",Fact_Analitica[[#This Row], [Mes]]=""),"",DATE(A1350,MATCH(B1350,{"enero","febrero","marzo","abril","mayo","junio","julio","agosto","septiembre","octubre","noviembre","diciembre"},0)+1,0))</f>
        <v/>
      </c>
      <c r="E1350" t="str">
        <f>+IFERROR(VLOOKUP(Fact_Analitica[[#This Row], [Concepto Anterior]],Conceptos_Analítica_contraloría[#All],5,0),"")</f>
        <v/>
      </c>
      <c r="F1350" t="str">
        <f>+IFERROR(VLOOKUP(Fact_Analitica[[#This Row], [Concepto Anterior]],Conceptos_Analítica_contraloría[#All],7,0),"")</f>
        <v/>
      </c>
      <c r="I1350" t="str">
        <f>+IFERROR(VLOOKUP(D1350,Conceptos_Analítica_contraloría[#All],2,0),"")</f>
        <v/>
      </c>
      <c r="J1350" s="84" t="str">
        <f>+IFERROR(VLOOKUP(D1350,Conceptos_Analítica_contraloría[#All],3,0),"")</f>
        <v/>
      </c>
    </row>
    <row r="1351" spans="3:10" ht="18.75" customHeight="1" x14ac:dyDescent="0.35">
      <c r="C1351" s="100" t="str">
        <f>IF(OR(Fact_Analitica[[#This Row], [Año]]="",Fact_Analitica[[#This Row], [Mes]]=""),"",DATE(A1351,MATCH(B1351,{"enero","febrero","marzo","abril","mayo","junio","julio","agosto","septiembre","octubre","noviembre","diciembre"},0)+1,0))</f>
        <v/>
      </c>
      <c r="E1351" t="str">
        <f>+IFERROR(VLOOKUP(Fact_Analitica[[#This Row], [Concepto Anterior]],Conceptos_Analítica_contraloría[#All],5,0),"")</f>
        <v/>
      </c>
      <c r="F1351" t="str">
        <f>+IFERROR(VLOOKUP(Fact_Analitica[[#This Row], [Concepto Anterior]],Conceptos_Analítica_contraloría[#All],7,0),"")</f>
        <v/>
      </c>
      <c r="I1351" t="str">
        <f>+IFERROR(VLOOKUP(D1351,Conceptos_Analítica_contraloría[#All],2,0),"")</f>
        <v/>
      </c>
      <c r="J1351" s="84" t="str">
        <f>+IFERROR(VLOOKUP(D1351,Conceptos_Analítica_contraloría[#All],3,0),"")</f>
        <v/>
      </c>
    </row>
    <row r="1352" spans="3:10" ht="18.75" customHeight="1" x14ac:dyDescent="0.35">
      <c r="C1352" s="100" t="str">
        <f>IF(OR(Fact_Analitica[[#This Row], [Año]]="",Fact_Analitica[[#This Row], [Mes]]=""),"",DATE(A1352,MATCH(B1352,{"enero","febrero","marzo","abril","mayo","junio","julio","agosto","septiembre","octubre","noviembre","diciembre"},0)+1,0))</f>
        <v/>
      </c>
      <c r="E1352" t="str">
        <f>+IFERROR(VLOOKUP(Fact_Analitica[[#This Row], [Concepto Anterior]],Conceptos_Analítica_contraloría[#All],5,0),"")</f>
        <v/>
      </c>
      <c r="F1352" t="str">
        <f>+IFERROR(VLOOKUP(Fact_Analitica[[#This Row], [Concepto Anterior]],Conceptos_Analítica_contraloría[#All],7,0),"")</f>
        <v/>
      </c>
      <c r="I1352" t="str">
        <f>+IFERROR(VLOOKUP(D1352,Conceptos_Analítica_contraloría[#All],2,0),"")</f>
        <v/>
      </c>
      <c r="J1352" s="84" t="str">
        <f>+IFERROR(VLOOKUP(D1352,Conceptos_Analítica_contraloría[#All],3,0),"")</f>
        <v/>
      </c>
    </row>
    <row r="1353" spans="3:10" ht="18.75" customHeight="1" x14ac:dyDescent="0.35">
      <c r="C1353" s="100" t="str">
        <f>IF(OR(Fact_Analitica[[#This Row], [Año]]="",Fact_Analitica[[#This Row], [Mes]]=""),"",DATE(A1353,MATCH(B1353,{"enero","febrero","marzo","abril","mayo","junio","julio","agosto","septiembre","octubre","noviembre","diciembre"},0)+1,0))</f>
        <v/>
      </c>
      <c r="E1353" t="str">
        <f>+IFERROR(VLOOKUP(Fact_Analitica[[#This Row], [Concepto Anterior]],Conceptos_Analítica_contraloría[#All],5,0),"")</f>
        <v/>
      </c>
      <c r="F1353" t="str">
        <f>+IFERROR(VLOOKUP(Fact_Analitica[[#This Row], [Concepto Anterior]],Conceptos_Analítica_contraloría[#All],7,0),"")</f>
        <v/>
      </c>
      <c r="I1353" t="str">
        <f>+IFERROR(VLOOKUP(D1353,Conceptos_Analítica_contraloría[#All],2,0),"")</f>
        <v/>
      </c>
      <c r="J1353" s="84" t="str">
        <f>+IFERROR(VLOOKUP(D1353,Conceptos_Analítica_contraloría[#All],3,0),"")</f>
        <v/>
      </c>
    </row>
    <row r="1354" spans="3:10" ht="18.75" customHeight="1" x14ac:dyDescent="0.35">
      <c r="C1354" s="100" t="str">
        <f>IF(OR(Fact_Analitica[[#This Row], [Año]]="",Fact_Analitica[[#This Row], [Mes]]=""),"",DATE(A1354,MATCH(B1354,{"enero","febrero","marzo","abril","mayo","junio","julio","agosto","septiembre","octubre","noviembre","diciembre"},0)+1,0))</f>
        <v/>
      </c>
      <c r="E1354" t="str">
        <f>+IFERROR(VLOOKUP(Fact_Analitica[[#This Row], [Concepto Anterior]],Conceptos_Analítica_contraloría[#All],5,0),"")</f>
        <v/>
      </c>
      <c r="F1354" t="str">
        <f>+IFERROR(VLOOKUP(Fact_Analitica[[#This Row], [Concepto Anterior]],Conceptos_Analítica_contraloría[#All],7,0),"")</f>
        <v/>
      </c>
      <c r="I1354" t="str">
        <f>+IFERROR(VLOOKUP(D1354,Conceptos_Analítica_contraloría[#All],2,0),"")</f>
        <v/>
      </c>
      <c r="J1354" s="84" t="str">
        <f>+IFERROR(VLOOKUP(D1354,Conceptos_Analítica_contraloría[#All],3,0),"")</f>
        <v/>
      </c>
    </row>
    <row r="1355" spans="3:10" ht="18.75" customHeight="1" x14ac:dyDescent="0.35">
      <c r="C1355" s="100" t="str">
        <f>IF(OR(Fact_Analitica[[#This Row], [Año]]="",Fact_Analitica[[#This Row], [Mes]]=""),"",DATE(A1355,MATCH(B1355,{"enero","febrero","marzo","abril","mayo","junio","julio","agosto","septiembre","octubre","noviembre","diciembre"},0)+1,0))</f>
        <v/>
      </c>
      <c r="E1355" t="str">
        <f>+IFERROR(VLOOKUP(Fact_Analitica[[#This Row], [Concepto Anterior]],Conceptos_Analítica_contraloría[#All],5,0),"")</f>
        <v/>
      </c>
      <c r="F1355" t="str">
        <f>+IFERROR(VLOOKUP(Fact_Analitica[[#This Row], [Concepto Anterior]],Conceptos_Analítica_contraloría[#All],7,0),"")</f>
        <v/>
      </c>
      <c r="I1355" t="str">
        <f>+IFERROR(VLOOKUP(D1355,Conceptos_Analítica_contraloría[#All],2,0),"")</f>
        <v/>
      </c>
      <c r="J1355" s="84" t="str">
        <f>+IFERROR(VLOOKUP(D1355,Conceptos_Analítica_contraloría[#All],3,0),"")</f>
        <v/>
      </c>
    </row>
    <row r="1356" spans="3:10" ht="18.75" customHeight="1" x14ac:dyDescent="0.35">
      <c r="C1356" s="100" t="str">
        <f>IF(OR(Fact_Analitica[[#This Row], [Año]]="",Fact_Analitica[[#This Row], [Mes]]=""),"",DATE(A1356,MATCH(B1356,{"enero","febrero","marzo","abril","mayo","junio","julio","agosto","septiembre","octubre","noviembre","diciembre"},0)+1,0))</f>
        <v/>
      </c>
      <c r="E1356" t="str">
        <f>+IFERROR(VLOOKUP(Fact_Analitica[[#This Row], [Concepto Anterior]],Conceptos_Analítica_contraloría[#All],5,0),"")</f>
        <v/>
      </c>
      <c r="F1356" t="str">
        <f>+IFERROR(VLOOKUP(Fact_Analitica[[#This Row], [Concepto Anterior]],Conceptos_Analítica_contraloría[#All],7,0),"")</f>
        <v/>
      </c>
      <c r="I1356" t="str">
        <f>+IFERROR(VLOOKUP(D1356,Conceptos_Analítica_contraloría[#All],2,0),"")</f>
        <v/>
      </c>
      <c r="J1356" s="84" t="str">
        <f>+IFERROR(VLOOKUP(D1356,Conceptos_Analítica_contraloría[#All],3,0),"")</f>
        <v/>
      </c>
    </row>
    <row r="1357" spans="3:10" ht="18.75" customHeight="1" x14ac:dyDescent="0.35">
      <c r="C1357" s="100" t="str">
        <f>IF(OR(Fact_Analitica[[#This Row], [Año]]="",Fact_Analitica[[#This Row], [Mes]]=""),"",DATE(A1357,MATCH(B1357,{"enero","febrero","marzo","abril","mayo","junio","julio","agosto","septiembre","octubre","noviembre","diciembre"},0)+1,0))</f>
        <v/>
      </c>
      <c r="E1357" t="str">
        <f>+IFERROR(VLOOKUP(Fact_Analitica[[#This Row], [Concepto Anterior]],Conceptos_Analítica_contraloría[#All],5,0),"")</f>
        <v/>
      </c>
      <c r="F1357" t="str">
        <f>+IFERROR(VLOOKUP(Fact_Analitica[[#This Row], [Concepto Anterior]],Conceptos_Analítica_contraloría[#All],7,0),"")</f>
        <v/>
      </c>
      <c r="I1357" t="str">
        <f>+IFERROR(VLOOKUP(D1357,Conceptos_Analítica_contraloría[#All],2,0),"")</f>
        <v/>
      </c>
      <c r="J1357" s="84" t="str">
        <f>+IFERROR(VLOOKUP(D1357,Conceptos_Analítica_contraloría[#All],3,0),"")</f>
        <v/>
      </c>
    </row>
    <row r="1358" spans="3:10" ht="18.75" customHeight="1" x14ac:dyDescent="0.35">
      <c r="C1358" s="100" t="str">
        <f>IF(OR(Fact_Analitica[[#This Row], [Año]]="",Fact_Analitica[[#This Row], [Mes]]=""),"",DATE(A1358,MATCH(B1358,{"enero","febrero","marzo","abril","mayo","junio","julio","agosto","septiembre","octubre","noviembre","diciembre"},0)+1,0))</f>
        <v/>
      </c>
      <c r="E1358" t="str">
        <f>+IFERROR(VLOOKUP(Fact_Analitica[[#This Row], [Concepto Anterior]],Conceptos_Analítica_contraloría[#All],5,0),"")</f>
        <v/>
      </c>
      <c r="F1358" t="str">
        <f>+IFERROR(VLOOKUP(Fact_Analitica[[#This Row], [Concepto Anterior]],Conceptos_Analítica_contraloría[#All],7,0),"")</f>
        <v/>
      </c>
      <c r="I1358" t="str">
        <f>+IFERROR(VLOOKUP(D1358,Conceptos_Analítica_contraloría[#All],2,0),"")</f>
        <v/>
      </c>
      <c r="J1358" s="84" t="str">
        <f>+IFERROR(VLOOKUP(D1358,Conceptos_Analítica_contraloría[#All],3,0),"")</f>
        <v/>
      </c>
    </row>
    <row r="1359" spans="3:10" ht="18.75" customHeight="1" x14ac:dyDescent="0.35">
      <c r="C1359" s="100" t="str">
        <f>IF(OR(Fact_Analitica[[#This Row], [Año]]="",Fact_Analitica[[#This Row], [Mes]]=""),"",DATE(A1359,MATCH(B1359,{"enero","febrero","marzo","abril","mayo","junio","julio","agosto","septiembre","octubre","noviembre","diciembre"},0)+1,0))</f>
        <v/>
      </c>
      <c r="E1359" t="str">
        <f>+IFERROR(VLOOKUP(Fact_Analitica[[#This Row], [Concepto Anterior]],Conceptos_Analítica_contraloría[#All],5,0),"")</f>
        <v/>
      </c>
      <c r="F1359" t="str">
        <f>+IFERROR(VLOOKUP(Fact_Analitica[[#This Row], [Concepto Anterior]],Conceptos_Analítica_contraloría[#All],7,0),"")</f>
        <v/>
      </c>
      <c r="I1359" t="str">
        <f>+IFERROR(VLOOKUP(D1359,Conceptos_Analítica_contraloría[#All],2,0),"")</f>
        <v/>
      </c>
      <c r="J1359" s="84" t="str">
        <f>+IFERROR(VLOOKUP(D1359,Conceptos_Analítica_contraloría[#All],3,0),"")</f>
        <v/>
      </c>
    </row>
    <row r="1360" spans="3:10" ht="18.75" customHeight="1" x14ac:dyDescent="0.35">
      <c r="C1360" s="100" t="str">
        <f>IF(OR(Fact_Analitica[[#This Row], [Año]]="",Fact_Analitica[[#This Row], [Mes]]=""),"",DATE(A1360,MATCH(B1360,{"enero","febrero","marzo","abril","mayo","junio","julio","agosto","septiembre","octubre","noviembre","diciembre"},0)+1,0))</f>
        <v/>
      </c>
      <c r="E1360" t="str">
        <f>+IFERROR(VLOOKUP(Fact_Analitica[[#This Row], [Concepto Anterior]],Conceptos_Analítica_contraloría[#All],5,0),"")</f>
        <v/>
      </c>
      <c r="F1360" t="str">
        <f>+IFERROR(VLOOKUP(Fact_Analitica[[#This Row], [Concepto Anterior]],Conceptos_Analítica_contraloría[#All],7,0),"")</f>
        <v/>
      </c>
      <c r="I1360" t="str">
        <f>+IFERROR(VLOOKUP(D1360,Conceptos_Analítica_contraloría[#All],2,0),"")</f>
        <v/>
      </c>
      <c r="J1360" s="84" t="str">
        <f>+IFERROR(VLOOKUP(D1360,Conceptos_Analítica_contraloría[#All],3,0),"")</f>
        <v/>
      </c>
    </row>
    <row r="1361" spans="3:10" ht="18.75" customHeight="1" x14ac:dyDescent="0.35">
      <c r="C1361" s="100" t="str">
        <f>IF(OR(Fact_Analitica[[#This Row], [Año]]="",Fact_Analitica[[#This Row], [Mes]]=""),"",DATE(A1361,MATCH(B1361,{"enero","febrero","marzo","abril","mayo","junio","julio","agosto","septiembre","octubre","noviembre","diciembre"},0)+1,0))</f>
        <v/>
      </c>
      <c r="E1361" t="str">
        <f>+IFERROR(VLOOKUP(Fact_Analitica[[#This Row], [Concepto Anterior]],Conceptos_Analítica_contraloría[#All],5,0),"")</f>
        <v/>
      </c>
      <c r="F1361" t="str">
        <f>+IFERROR(VLOOKUP(Fact_Analitica[[#This Row], [Concepto Anterior]],Conceptos_Analítica_contraloría[#All],7,0),"")</f>
        <v/>
      </c>
      <c r="I1361" t="str">
        <f>+IFERROR(VLOOKUP(D1361,Conceptos_Analítica_contraloría[#All],2,0),"")</f>
        <v/>
      </c>
      <c r="J1361" s="84" t="str">
        <f>+IFERROR(VLOOKUP(D1361,Conceptos_Analítica_contraloría[#All],3,0),"")</f>
        <v/>
      </c>
    </row>
    <row r="1362" spans="3:10" ht="18.75" customHeight="1" x14ac:dyDescent="0.35">
      <c r="C1362" s="100" t="str">
        <f>IF(OR(Fact_Analitica[[#This Row], [Año]]="",Fact_Analitica[[#This Row], [Mes]]=""),"",DATE(A1362,MATCH(B1362,{"enero","febrero","marzo","abril","mayo","junio","julio","agosto","septiembre","octubre","noviembre","diciembre"},0)+1,0))</f>
        <v/>
      </c>
      <c r="E1362" t="str">
        <f>+IFERROR(VLOOKUP(Fact_Analitica[[#This Row], [Concepto Anterior]],Conceptos_Analítica_contraloría[#All],5,0),"")</f>
        <v/>
      </c>
      <c r="F1362" t="str">
        <f>+IFERROR(VLOOKUP(Fact_Analitica[[#This Row], [Concepto Anterior]],Conceptos_Analítica_contraloría[#All],7,0),"")</f>
        <v/>
      </c>
      <c r="I1362" t="str">
        <f>+IFERROR(VLOOKUP(D1362,Conceptos_Analítica_contraloría[#All],2,0),"")</f>
        <v/>
      </c>
      <c r="J1362" s="84" t="str">
        <f>+IFERROR(VLOOKUP(D1362,Conceptos_Analítica_contraloría[#All],3,0),"")</f>
        <v/>
      </c>
    </row>
    <row r="1363" spans="3:10" ht="18.75" customHeight="1" x14ac:dyDescent="0.35">
      <c r="C1363" s="100" t="str">
        <f>IF(OR(Fact_Analitica[[#This Row], [Año]]="",Fact_Analitica[[#This Row], [Mes]]=""),"",DATE(A1363,MATCH(B1363,{"enero","febrero","marzo","abril","mayo","junio","julio","agosto","septiembre","octubre","noviembre","diciembre"},0)+1,0))</f>
        <v/>
      </c>
      <c r="E1363" t="str">
        <f>+IFERROR(VLOOKUP(Fact_Analitica[[#This Row], [Concepto Anterior]],Conceptos_Analítica_contraloría[#All],5,0),"")</f>
        <v/>
      </c>
      <c r="F1363" t="str">
        <f>+IFERROR(VLOOKUP(Fact_Analitica[[#This Row], [Concepto Anterior]],Conceptos_Analítica_contraloría[#All],7,0),"")</f>
        <v/>
      </c>
      <c r="I1363" t="str">
        <f>+IFERROR(VLOOKUP(D1363,Conceptos_Analítica_contraloría[#All],2,0),"")</f>
        <v/>
      </c>
      <c r="J1363" s="84" t="str">
        <f>+IFERROR(VLOOKUP(D1363,Conceptos_Analítica_contraloría[#All],3,0),"")</f>
        <v/>
      </c>
    </row>
    <row r="1364" spans="3:10" ht="18.75" customHeight="1" x14ac:dyDescent="0.35">
      <c r="C1364" s="100" t="str">
        <f>IF(OR(Fact_Analitica[[#This Row], [Año]]="",Fact_Analitica[[#This Row], [Mes]]=""),"",DATE(A1364,MATCH(B1364,{"enero","febrero","marzo","abril","mayo","junio","julio","agosto","septiembre","octubre","noviembre","diciembre"},0)+1,0))</f>
        <v/>
      </c>
      <c r="E1364" t="str">
        <f>+IFERROR(VLOOKUP(Fact_Analitica[[#This Row], [Concepto Anterior]],Conceptos_Analítica_contraloría[#All],5,0),"")</f>
        <v/>
      </c>
      <c r="F1364" t="str">
        <f>+IFERROR(VLOOKUP(Fact_Analitica[[#This Row], [Concepto Anterior]],Conceptos_Analítica_contraloría[#All],7,0),"")</f>
        <v/>
      </c>
      <c r="I1364" t="str">
        <f>+IFERROR(VLOOKUP(D1364,Conceptos_Analítica_contraloría[#All],2,0),"")</f>
        <v/>
      </c>
      <c r="J1364" s="84" t="str">
        <f>+IFERROR(VLOOKUP(D1364,Conceptos_Analítica_contraloría[#All],3,0),"")</f>
        <v/>
      </c>
    </row>
    <row r="1365" spans="3:10" ht="18.75" customHeight="1" x14ac:dyDescent="0.35">
      <c r="C1365" s="100" t="str">
        <f>IF(OR(Fact_Analitica[[#This Row], [Año]]="",Fact_Analitica[[#This Row], [Mes]]=""),"",DATE(A1365,MATCH(B1365,{"enero","febrero","marzo","abril","mayo","junio","julio","agosto","septiembre","octubre","noviembre","diciembre"},0)+1,0))</f>
        <v/>
      </c>
      <c r="E1365" t="str">
        <f>+IFERROR(VLOOKUP(Fact_Analitica[[#This Row], [Concepto Anterior]],Conceptos_Analítica_contraloría[#All],5,0),"")</f>
        <v/>
      </c>
      <c r="F1365" t="str">
        <f>+IFERROR(VLOOKUP(Fact_Analitica[[#This Row], [Concepto Anterior]],Conceptos_Analítica_contraloría[#All],7,0),"")</f>
        <v/>
      </c>
      <c r="I1365" t="str">
        <f>+IFERROR(VLOOKUP(D1365,Conceptos_Analítica_contraloría[#All],2,0),"")</f>
        <v/>
      </c>
      <c r="J1365" s="84" t="str">
        <f>+IFERROR(VLOOKUP(D1365,Conceptos_Analítica_contraloría[#All],3,0),"")</f>
        <v/>
      </c>
    </row>
    <row r="1366" spans="3:10" ht="18.75" customHeight="1" x14ac:dyDescent="0.35">
      <c r="C1366" s="100" t="str">
        <f>IF(OR(Fact_Analitica[[#This Row], [Año]]="",Fact_Analitica[[#This Row], [Mes]]=""),"",DATE(A1366,MATCH(B1366,{"enero","febrero","marzo","abril","mayo","junio","julio","agosto","septiembre","octubre","noviembre","diciembre"},0)+1,0))</f>
        <v/>
      </c>
      <c r="E1366" t="str">
        <f>+IFERROR(VLOOKUP(Fact_Analitica[[#This Row], [Concepto Anterior]],Conceptos_Analítica_contraloría[#All],5,0),"")</f>
        <v/>
      </c>
      <c r="F1366" t="str">
        <f>+IFERROR(VLOOKUP(Fact_Analitica[[#This Row], [Concepto Anterior]],Conceptos_Analítica_contraloría[#All],7,0),"")</f>
        <v/>
      </c>
      <c r="I1366" t="str">
        <f>+IFERROR(VLOOKUP(D1366,Conceptos_Analítica_contraloría[#All],2,0),"")</f>
        <v/>
      </c>
      <c r="J1366" s="84" t="str">
        <f>+IFERROR(VLOOKUP(D1366,Conceptos_Analítica_contraloría[#All],3,0),"")</f>
        <v/>
      </c>
    </row>
    <row r="1367" spans="3:10" ht="18.75" customHeight="1" x14ac:dyDescent="0.35">
      <c r="C1367" s="100" t="str">
        <f>IF(OR(Fact_Analitica[[#This Row], [Año]]="",Fact_Analitica[[#This Row], [Mes]]=""),"",DATE(A1367,MATCH(B1367,{"enero","febrero","marzo","abril","mayo","junio","julio","agosto","septiembre","octubre","noviembre","diciembre"},0)+1,0))</f>
        <v/>
      </c>
      <c r="E1367" t="str">
        <f>+IFERROR(VLOOKUP(Fact_Analitica[[#This Row], [Concepto Anterior]],Conceptos_Analítica_contraloría[#All],5,0),"")</f>
        <v/>
      </c>
      <c r="F1367" t="str">
        <f>+IFERROR(VLOOKUP(Fact_Analitica[[#This Row], [Concepto Anterior]],Conceptos_Analítica_contraloría[#All],7,0),"")</f>
        <v/>
      </c>
      <c r="I1367" t="str">
        <f>+IFERROR(VLOOKUP(D1367,Conceptos_Analítica_contraloría[#All],2,0),"")</f>
        <v/>
      </c>
      <c r="J1367" s="84" t="str">
        <f>+IFERROR(VLOOKUP(D1367,Conceptos_Analítica_contraloría[#All],3,0),"")</f>
        <v/>
      </c>
    </row>
    <row r="1368" spans="3:10" ht="18.75" customHeight="1" x14ac:dyDescent="0.35">
      <c r="C1368" s="100" t="str">
        <f>IF(OR(Fact_Analitica[[#This Row], [Año]]="",Fact_Analitica[[#This Row], [Mes]]=""),"",DATE(A1368,MATCH(B1368,{"enero","febrero","marzo","abril","mayo","junio","julio","agosto","septiembre","octubre","noviembre","diciembre"},0)+1,0))</f>
        <v/>
      </c>
      <c r="E1368" t="str">
        <f>+IFERROR(VLOOKUP(Fact_Analitica[[#This Row], [Concepto Anterior]],Conceptos_Analítica_contraloría[#All],5,0),"")</f>
        <v/>
      </c>
      <c r="F1368" t="str">
        <f>+IFERROR(VLOOKUP(Fact_Analitica[[#This Row], [Concepto Anterior]],Conceptos_Analítica_contraloría[#All],7,0),"")</f>
        <v/>
      </c>
      <c r="I1368" t="str">
        <f>+IFERROR(VLOOKUP(D1368,Conceptos_Analítica_contraloría[#All],2,0),"")</f>
        <v/>
      </c>
      <c r="J1368" s="84" t="str">
        <f>+IFERROR(VLOOKUP(D1368,Conceptos_Analítica_contraloría[#All],3,0),"")</f>
        <v/>
      </c>
    </row>
    <row r="1369" spans="3:10" ht="18.75" customHeight="1" x14ac:dyDescent="0.35">
      <c r="C1369" s="100" t="str">
        <f>IF(OR(Fact_Analitica[[#This Row], [Año]]="",Fact_Analitica[[#This Row], [Mes]]=""),"",DATE(A1369,MATCH(B1369,{"enero","febrero","marzo","abril","mayo","junio","julio","agosto","septiembre","octubre","noviembre","diciembre"},0)+1,0))</f>
        <v/>
      </c>
      <c r="E1369" t="str">
        <f>+IFERROR(VLOOKUP(Fact_Analitica[[#This Row], [Concepto Anterior]],Conceptos_Analítica_contraloría[#All],5,0),"")</f>
        <v/>
      </c>
      <c r="F1369" t="str">
        <f>+IFERROR(VLOOKUP(Fact_Analitica[[#This Row], [Concepto Anterior]],Conceptos_Analítica_contraloría[#All],7,0),"")</f>
        <v/>
      </c>
      <c r="I1369" t="str">
        <f>+IFERROR(VLOOKUP(D1369,Conceptos_Analítica_contraloría[#All],2,0),"")</f>
        <v/>
      </c>
      <c r="J1369" s="84" t="str">
        <f>+IFERROR(VLOOKUP(D1369,Conceptos_Analítica_contraloría[#All],3,0),"")</f>
        <v/>
      </c>
    </row>
    <row r="1370" spans="3:10" ht="18.75" customHeight="1" x14ac:dyDescent="0.35">
      <c r="C1370" s="100" t="str">
        <f>IF(OR(Fact_Analitica[[#This Row], [Año]]="",Fact_Analitica[[#This Row], [Mes]]=""),"",DATE(A1370,MATCH(B1370,{"enero","febrero","marzo","abril","mayo","junio","julio","agosto","septiembre","octubre","noviembre","diciembre"},0)+1,0))</f>
        <v/>
      </c>
      <c r="E1370" t="str">
        <f>+IFERROR(VLOOKUP(Fact_Analitica[[#This Row], [Concepto Anterior]],Conceptos_Analítica_contraloría[#All],5,0),"")</f>
        <v/>
      </c>
      <c r="F1370" t="str">
        <f>+IFERROR(VLOOKUP(Fact_Analitica[[#This Row], [Concepto Anterior]],Conceptos_Analítica_contraloría[#All],7,0),"")</f>
        <v/>
      </c>
      <c r="I1370" t="str">
        <f>+IFERROR(VLOOKUP(D1370,Conceptos_Analítica_contraloría[#All],2,0),"")</f>
        <v/>
      </c>
      <c r="J1370" s="84" t="str">
        <f>+IFERROR(VLOOKUP(D1370,Conceptos_Analítica_contraloría[#All],3,0),"")</f>
        <v/>
      </c>
    </row>
    <row r="1371" spans="3:10" ht="18.75" customHeight="1" x14ac:dyDescent="0.35">
      <c r="C1371" s="100" t="str">
        <f>IF(OR(Fact_Analitica[[#This Row], [Año]]="",Fact_Analitica[[#This Row], [Mes]]=""),"",DATE(A1371,MATCH(B1371,{"enero","febrero","marzo","abril","mayo","junio","julio","agosto","septiembre","octubre","noviembre","diciembre"},0)+1,0))</f>
        <v/>
      </c>
      <c r="E1371" t="str">
        <f>+IFERROR(VLOOKUP(Fact_Analitica[[#This Row], [Concepto Anterior]],Conceptos_Analítica_contraloría[#All],5,0),"")</f>
        <v/>
      </c>
      <c r="F1371" t="str">
        <f>+IFERROR(VLOOKUP(Fact_Analitica[[#This Row], [Concepto Anterior]],Conceptos_Analítica_contraloría[#All],7,0),"")</f>
        <v/>
      </c>
      <c r="I1371" t="str">
        <f>+IFERROR(VLOOKUP(D1371,Conceptos_Analítica_contraloría[#All],2,0),"")</f>
        <v/>
      </c>
      <c r="J1371" s="84" t="str">
        <f>+IFERROR(VLOOKUP(D1371,Conceptos_Analítica_contraloría[#All],3,0),"")</f>
        <v/>
      </c>
    </row>
    <row r="1372" spans="3:10" ht="18.75" customHeight="1" x14ac:dyDescent="0.35">
      <c r="C1372" s="100" t="str">
        <f>IF(OR(Fact_Analitica[[#This Row], [Año]]="",Fact_Analitica[[#This Row], [Mes]]=""),"",DATE(A1372,MATCH(B1372,{"enero","febrero","marzo","abril","mayo","junio","julio","agosto","septiembre","octubre","noviembre","diciembre"},0)+1,0))</f>
        <v/>
      </c>
      <c r="E1372" t="str">
        <f>+IFERROR(VLOOKUP(Fact_Analitica[[#This Row], [Concepto Anterior]],Conceptos_Analítica_contraloría[#All],5,0),"")</f>
        <v/>
      </c>
      <c r="F1372" t="str">
        <f>+IFERROR(VLOOKUP(Fact_Analitica[[#This Row], [Concepto Anterior]],Conceptos_Analítica_contraloría[#All],7,0),"")</f>
        <v/>
      </c>
      <c r="I1372" t="str">
        <f>+IFERROR(VLOOKUP(D1372,Conceptos_Analítica_contraloría[#All],2,0),"")</f>
        <v/>
      </c>
      <c r="J1372" s="84" t="str">
        <f>+IFERROR(VLOOKUP(D1372,Conceptos_Analítica_contraloría[#All],3,0),"")</f>
        <v/>
      </c>
    </row>
    <row r="1373" spans="3:10" ht="18.75" customHeight="1" x14ac:dyDescent="0.35">
      <c r="C1373" s="100" t="str">
        <f>IF(OR(Fact_Analitica[[#This Row], [Año]]="",Fact_Analitica[[#This Row], [Mes]]=""),"",DATE(A1373,MATCH(B1373,{"enero","febrero","marzo","abril","mayo","junio","julio","agosto","septiembre","octubre","noviembre","diciembre"},0)+1,0))</f>
        <v/>
      </c>
      <c r="E1373" t="str">
        <f>+IFERROR(VLOOKUP(Fact_Analitica[[#This Row], [Concepto Anterior]],Conceptos_Analítica_contraloría[#All],5,0),"")</f>
        <v/>
      </c>
      <c r="F1373" t="str">
        <f>+IFERROR(VLOOKUP(Fact_Analitica[[#This Row], [Concepto Anterior]],Conceptos_Analítica_contraloría[#All],7,0),"")</f>
        <v/>
      </c>
      <c r="I1373" t="str">
        <f>+IFERROR(VLOOKUP(D1373,Conceptos_Analítica_contraloría[#All],2,0),"")</f>
        <v/>
      </c>
      <c r="J1373" s="84" t="str">
        <f>+IFERROR(VLOOKUP(D1373,Conceptos_Analítica_contraloría[#All],3,0),"")</f>
        <v/>
      </c>
    </row>
    <row r="1374" spans="3:10" ht="18.75" customHeight="1" x14ac:dyDescent="0.35">
      <c r="C1374" s="100" t="str">
        <f>IF(OR(Fact_Analitica[[#This Row], [Año]]="",Fact_Analitica[[#This Row], [Mes]]=""),"",DATE(A1374,MATCH(B1374,{"enero","febrero","marzo","abril","mayo","junio","julio","agosto","septiembre","octubre","noviembre","diciembre"},0)+1,0))</f>
        <v/>
      </c>
      <c r="E1374" t="str">
        <f>+IFERROR(VLOOKUP(Fact_Analitica[[#This Row], [Concepto Anterior]],Conceptos_Analítica_contraloría[#All],5,0),"")</f>
        <v/>
      </c>
      <c r="F1374" t="str">
        <f>+IFERROR(VLOOKUP(Fact_Analitica[[#This Row], [Concepto Anterior]],Conceptos_Analítica_contraloría[#All],7,0),"")</f>
        <v/>
      </c>
      <c r="I1374" t="str">
        <f>+IFERROR(VLOOKUP(D1374,Conceptos_Analítica_contraloría[#All],2,0),"")</f>
        <v/>
      </c>
      <c r="J1374" s="84" t="str">
        <f>+IFERROR(VLOOKUP(D1374,Conceptos_Analítica_contraloría[#All],3,0),"")</f>
        <v/>
      </c>
    </row>
    <row r="1375" spans="3:10" ht="18.75" customHeight="1" x14ac:dyDescent="0.35">
      <c r="C1375" s="100" t="str">
        <f>IF(OR(Fact_Analitica[[#This Row], [Año]]="",Fact_Analitica[[#This Row], [Mes]]=""),"",DATE(A1375,MATCH(B1375,{"enero","febrero","marzo","abril","mayo","junio","julio","agosto","septiembre","octubre","noviembre","diciembre"},0)+1,0))</f>
        <v/>
      </c>
      <c r="E1375" t="str">
        <f>+IFERROR(VLOOKUP(Fact_Analitica[[#This Row], [Concepto Anterior]],Conceptos_Analítica_contraloría[#All],5,0),"")</f>
        <v/>
      </c>
      <c r="F1375" t="str">
        <f>+IFERROR(VLOOKUP(Fact_Analitica[[#This Row], [Concepto Anterior]],Conceptos_Analítica_contraloría[#All],7,0),"")</f>
        <v/>
      </c>
      <c r="I1375" t="str">
        <f>+IFERROR(VLOOKUP(D1375,Conceptos_Analítica_contraloría[#All],2,0),"")</f>
        <v/>
      </c>
      <c r="J1375" s="84" t="str">
        <f>+IFERROR(VLOOKUP(D1375,Conceptos_Analítica_contraloría[#All],3,0),"")</f>
        <v/>
      </c>
    </row>
    <row r="1376" spans="3:10" ht="18.75" customHeight="1" x14ac:dyDescent="0.35">
      <c r="C1376" s="100" t="str">
        <f>IF(OR(Fact_Analitica[[#This Row], [Año]]="",Fact_Analitica[[#This Row], [Mes]]=""),"",DATE(A1376,MATCH(B1376,{"enero","febrero","marzo","abril","mayo","junio","julio","agosto","septiembre","octubre","noviembre","diciembre"},0)+1,0))</f>
        <v/>
      </c>
      <c r="E1376" t="str">
        <f>+IFERROR(VLOOKUP(Fact_Analitica[[#This Row], [Concepto Anterior]],Conceptos_Analítica_contraloría[#All],5,0),"")</f>
        <v/>
      </c>
      <c r="F1376" t="str">
        <f>+IFERROR(VLOOKUP(Fact_Analitica[[#This Row], [Concepto Anterior]],Conceptos_Analítica_contraloría[#All],7,0),"")</f>
        <v/>
      </c>
      <c r="I1376" t="str">
        <f>+IFERROR(VLOOKUP(D1376,Conceptos_Analítica_contraloría[#All],2,0),"")</f>
        <v/>
      </c>
      <c r="J1376" s="84" t="str">
        <f>+IFERROR(VLOOKUP(D1376,Conceptos_Analítica_contraloría[#All],3,0),"")</f>
        <v/>
      </c>
    </row>
    <row r="1377" spans="3:10" ht="18.75" customHeight="1" x14ac:dyDescent="0.35">
      <c r="C1377" s="100" t="str">
        <f>IF(OR(Fact_Analitica[[#This Row], [Año]]="",Fact_Analitica[[#This Row], [Mes]]=""),"",DATE(A1377,MATCH(B1377,{"enero","febrero","marzo","abril","mayo","junio","julio","agosto","septiembre","octubre","noviembre","diciembre"},0)+1,0))</f>
        <v/>
      </c>
      <c r="E1377" t="str">
        <f>+IFERROR(VLOOKUP(Fact_Analitica[[#This Row], [Concepto Anterior]],Conceptos_Analítica_contraloría[#All],5,0),"")</f>
        <v/>
      </c>
      <c r="F1377" t="str">
        <f>+IFERROR(VLOOKUP(Fact_Analitica[[#This Row], [Concepto Anterior]],Conceptos_Analítica_contraloría[#All],7,0),"")</f>
        <v/>
      </c>
      <c r="I1377" t="str">
        <f>+IFERROR(VLOOKUP(D1377,Conceptos_Analítica_contraloría[#All],2,0),"")</f>
        <v/>
      </c>
      <c r="J1377" s="84" t="str">
        <f>+IFERROR(VLOOKUP(D1377,Conceptos_Analítica_contraloría[#All],3,0),"")</f>
        <v/>
      </c>
    </row>
    <row r="1378" spans="3:10" ht="18.75" customHeight="1" x14ac:dyDescent="0.35">
      <c r="C1378" s="100" t="str">
        <f>IF(OR(Fact_Analitica[[#This Row], [Año]]="",Fact_Analitica[[#This Row], [Mes]]=""),"",DATE(A1378,MATCH(B1378,{"enero","febrero","marzo","abril","mayo","junio","julio","agosto","septiembre","octubre","noviembre","diciembre"},0)+1,0))</f>
        <v/>
      </c>
      <c r="E1378" t="str">
        <f>+IFERROR(VLOOKUP(Fact_Analitica[[#This Row], [Concepto Anterior]],Conceptos_Analítica_contraloría[#All],5,0),"")</f>
        <v/>
      </c>
      <c r="F1378" t="str">
        <f>+IFERROR(VLOOKUP(Fact_Analitica[[#This Row], [Concepto Anterior]],Conceptos_Analítica_contraloría[#All],7,0),"")</f>
        <v/>
      </c>
      <c r="I1378" t="str">
        <f>+IFERROR(VLOOKUP(D1378,Conceptos_Analítica_contraloría[#All],2,0),"")</f>
        <v/>
      </c>
      <c r="J1378" s="84" t="str">
        <f>+IFERROR(VLOOKUP(D1378,Conceptos_Analítica_contraloría[#All],3,0),"")</f>
        <v/>
      </c>
    </row>
    <row r="1379" spans="3:10" ht="18.75" customHeight="1" x14ac:dyDescent="0.35">
      <c r="C1379" s="100" t="str">
        <f>IF(OR(Fact_Analitica[[#This Row], [Año]]="",Fact_Analitica[[#This Row], [Mes]]=""),"",DATE(A1379,MATCH(B1379,{"enero","febrero","marzo","abril","mayo","junio","julio","agosto","septiembre","octubre","noviembre","diciembre"},0)+1,0))</f>
        <v/>
      </c>
      <c r="E1379" t="str">
        <f>+IFERROR(VLOOKUP(Fact_Analitica[[#This Row], [Concepto Anterior]],Conceptos_Analítica_contraloría[#All],5,0),"")</f>
        <v/>
      </c>
      <c r="F1379" t="str">
        <f>+IFERROR(VLOOKUP(Fact_Analitica[[#This Row], [Concepto Anterior]],Conceptos_Analítica_contraloría[#All],7,0),"")</f>
        <v/>
      </c>
      <c r="I1379" t="str">
        <f>+IFERROR(VLOOKUP(D1379,Conceptos_Analítica_contraloría[#All],2,0),"")</f>
        <v/>
      </c>
      <c r="J1379" s="84" t="str">
        <f>+IFERROR(VLOOKUP(D1379,Conceptos_Analítica_contraloría[#All],3,0),"")</f>
        <v/>
      </c>
    </row>
    <row r="1380" spans="3:10" ht="18.75" customHeight="1" x14ac:dyDescent="0.35">
      <c r="C1380" s="100" t="str">
        <f>IF(OR(Fact_Analitica[[#This Row], [Año]]="",Fact_Analitica[[#This Row], [Mes]]=""),"",DATE(A1380,MATCH(B1380,{"enero","febrero","marzo","abril","mayo","junio","julio","agosto","septiembre","octubre","noviembre","diciembre"},0)+1,0))</f>
        <v/>
      </c>
      <c r="E1380" t="str">
        <f>+IFERROR(VLOOKUP(Fact_Analitica[[#This Row], [Concepto Anterior]],Conceptos_Analítica_contraloría[#All],5,0),"")</f>
        <v/>
      </c>
      <c r="F1380" t="str">
        <f>+IFERROR(VLOOKUP(Fact_Analitica[[#This Row], [Concepto Anterior]],Conceptos_Analítica_contraloría[#All],7,0),"")</f>
        <v/>
      </c>
      <c r="I1380" t="str">
        <f>+IFERROR(VLOOKUP(D1380,Conceptos_Analítica_contraloría[#All],2,0),"")</f>
        <v/>
      </c>
      <c r="J1380" s="84" t="str">
        <f>+IFERROR(VLOOKUP(D1380,Conceptos_Analítica_contraloría[#All],3,0),"")</f>
        <v/>
      </c>
    </row>
    <row r="1381" spans="3:10" ht="18.75" customHeight="1" x14ac:dyDescent="0.35">
      <c r="C1381" s="100" t="str">
        <f>IF(OR(Fact_Analitica[[#This Row], [Año]]="",Fact_Analitica[[#This Row], [Mes]]=""),"",DATE(A1381,MATCH(B1381,{"enero","febrero","marzo","abril","mayo","junio","julio","agosto","septiembre","octubre","noviembre","diciembre"},0)+1,0))</f>
        <v/>
      </c>
      <c r="E1381" t="str">
        <f>+IFERROR(VLOOKUP(Fact_Analitica[[#This Row], [Concepto Anterior]],Conceptos_Analítica_contraloría[#All],5,0),"")</f>
        <v/>
      </c>
      <c r="F1381" t="str">
        <f>+IFERROR(VLOOKUP(Fact_Analitica[[#This Row], [Concepto Anterior]],Conceptos_Analítica_contraloría[#All],7,0),"")</f>
        <v/>
      </c>
      <c r="I1381" t="str">
        <f>+IFERROR(VLOOKUP(D1381,Conceptos_Analítica_contraloría[#All],2,0),"")</f>
        <v/>
      </c>
      <c r="J1381" s="84" t="str">
        <f>+IFERROR(VLOOKUP(D1381,Conceptos_Analítica_contraloría[#All],3,0),"")</f>
        <v/>
      </c>
    </row>
    <row r="1382" spans="3:10" ht="18.75" customHeight="1" x14ac:dyDescent="0.35">
      <c r="C1382" s="100" t="str">
        <f>IF(OR(Fact_Analitica[[#This Row], [Año]]="",Fact_Analitica[[#This Row], [Mes]]=""),"",DATE(A1382,MATCH(B1382,{"enero","febrero","marzo","abril","mayo","junio","julio","agosto","septiembre","octubre","noviembre","diciembre"},0)+1,0))</f>
        <v/>
      </c>
      <c r="E1382" t="str">
        <f>+IFERROR(VLOOKUP(Fact_Analitica[[#This Row], [Concepto Anterior]],Conceptos_Analítica_contraloría[#All],5,0),"")</f>
        <v/>
      </c>
      <c r="F1382" t="str">
        <f>+IFERROR(VLOOKUP(Fact_Analitica[[#This Row], [Concepto Anterior]],Conceptos_Analítica_contraloría[#All],7,0),"")</f>
        <v/>
      </c>
      <c r="I1382" t="str">
        <f>+IFERROR(VLOOKUP(D1382,Conceptos_Analítica_contraloría[#All],2,0),"")</f>
        <v/>
      </c>
      <c r="J1382" s="84" t="str">
        <f>+IFERROR(VLOOKUP(D1382,Conceptos_Analítica_contraloría[#All],3,0),"")</f>
        <v/>
      </c>
    </row>
    <row r="1383" spans="3:10" ht="18.75" customHeight="1" x14ac:dyDescent="0.35">
      <c r="C1383" s="100" t="str">
        <f>IF(OR(Fact_Analitica[[#This Row], [Año]]="",Fact_Analitica[[#This Row], [Mes]]=""),"",DATE(A1383,MATCH(B1383,{"enero","febrero","marzo","abril","mayo","junio","julio","agosto","septiembre","octubre","noviembre","diciembre"},0)+1,0))</f>
        <v/>
      </c>
      <c r="E1383" t="str">
        <f>+IFERROR(VLOOKUP(Fact_Analitica[[#This Row], [Concepto Anterior]],Conceptos_Analítica_contraloría[#All],5,0),"")</f>
        <v/>
      </c>
      <c r="F1383" t="str">
        <f>+IFERROR(VLOOKUP(Fact_Analitica[[#This Row], [Concepto Anterior]],Conceptos_Analítica_contraloría[#All],7,0),"")</f>
        <v/>
      </c>
      <c r="I1383" t="str">
        <f>+IFERROR(VLOOKUP(D1383,Conceptos_Analítica_contraloría[#All],2,0),"")</f>
        <v/>
      </c>
      <c r="J1383" s="84" t="str">
        <f>+IFERROR(VLOOKUP(D1383,Conceptos_Analítica_contraloría[#All],3,0),"")</f>
        <v/>
      </c>
    </row>
    <row r="1384" spans="3:10" ht="18.75" customHeight="1" x14ac:dyDescent="0.35">
      <c r="C1384" s="100" t="str">
        <f>IF(OR(Fact_Analitica[[#This Row], [Año]]="",Fact_Analitica[[#This Row], [Mes]]=""),"",DATE(A1384,MATCH(B1384,{"enero","febrero","marzo","abril","mayo","junio","julio","agosto","septiembre","octubre","noviembre","diciembre"},0)+1,0))</f>
        <v/>
      </c>
      <c r="E1384" t="str">
        <f>+IFERROR(VLOOKUP(Fact_Analitica[[#This Row], [Concepto Anterior]],Conceptos_Analítica_contraloría[#All],5,0),"")</f>
        <v/>
      </c>
      <c r="F1384" t="str">
        <f>+IFERROR(VLOOKUP(Fact_Analitica[[#This Row], [Concepto Anterior]],Conceptos_Analítica_contraloría[#All],7,0),"")</f>
        <v/>
      </c>
      <c r="I1384" t="str">
        <f>+IFERROR(VLOOKUP(D1384,Conceptos_Analítica_contraloría[#All],2,0),"")</f>
        <v/>
      </c>
      <c r="J1384" s="84" t="str">
        <f>+IFERROR(VLOOKUP(D1384,Conceptos_Analítica_contraloría[#All],3,0),"")</f>
        <v/>
      </c>
    </row>
    <row r="1385" spans="3:10" ht="18.75" customHeight="1" x14ac:dyDescent="0.35">
      <c r="C1385" s="100" t="str">
        <f>IF(OR(Fact_Analitica[[#This Row], [Año]]="",Fact_Analitica[[#This Row], [Mes]]=""),"",DATE(A1385,MATCH(B1385,{"enero","febrero","marzo","abril","mayo","junio","julio","agosto","septiembre","octubre","noviembre","diciembre"},0)+1,0))</f>
        <v/>
      </c>
      <c r="E1385" t="str">
        <f>+IFERROR(VLOOKUP(Fact_Analitica[[#This Row], [Concepto Anterior]],Conceptos_Analítica_contraloría[#All],5,0),"")</f>
        <v/>
      </c>
      <c r="F1385" t="str">
        <f>+IFERROR(VLOOKUP(Fact_Analitica[[#This Row], [Concepto Anterior]],Conceptos_Analítica_contraloría[#All],7,0),"")</f>
        <v/>
      </c>
      <c r="I1385" t="str">
        <f>+IFERROR(VLOOKUP(D1385,Conceptos_Analítica_contraloría[#All],2,0),"")</f>
        <v/>
      </c>
      <c r="J1385" s="84" t="str">
        <f>+IFERROR(VLOOKUP(D1385,Conceptos_Analítica_contraloría[#All],3,0),"")</f>
        <v/>
      </c>
    </row>
    <row r="1386" spans="3:10" ht="18.75" customHeight="1" x14ac:dyDescent="0.35">
      <c r="C1386" s="100" t="str">
        <f>IF(OR(Fact_Analitica[[#This Row], [Año]]="",Fact_Analitica[[#This Row], [Mes]]=""),"",DATE(A1386,MATCH(B1386,{"enero","febrero","marzo","abril","mayo","junio","julio","agosto","septiembre","octubre","noviembre","diciembre"},0)+1,0))</f>
        <v/>
      </c>
      <c r="E1386" t="str">
        <f>+IFERROR(VLOOKUP(Fact_Analitica[[#This Row], [Concepto Anterior]],Conceptos_Analítica_contraloría[#All],5,0),"")</f>
        <v/>
      </c>
      <c r="F1386" t="str">
        <f>+IFERROR(VLOOKUP(Fact_Analitica[[#This Row], [Concepto Anterior]],Conceptos_Analítica_contraloría[#All],7,0),"")</f>
        <v/>
      </c>
      <c r="I1386" t="str">
        <f>+IFERROR(VLOOKUP(D1386,Conceptos_Analítica_contraloría[#All],2,0),"")</f>
        <v/>
      </c>
      <c r="J1386" s="84" t="str">
        <f>+IFERROR(VLOOKUP(D1386,Conceptos_Analítica_contraloría[#All],3,0),"")</f>
        <v/>
      </c>
    </row>
    <row r="1387" spans="3:10" ht="18.75" customHeight="1" x14ac:dyDescent="0.35">
      <c r="C1387" s="100" t="str">
        <f>IF(OR(Fact_Analitica[[#This Row], [Año]]="",Fact_Analitica[[#This Row], [Mes]]=""),"",DATE(A1387,MATCH(B1387,{"enero","febrero","marzo","abril","mayo","junio","julio","agosto","septiembre","octubre","noviembre","diciembre"},0)+1,0))</f>
        <v/>
      </c>
      <c r="E1387" t="str">
        <f>+IFERROR(VLOOKUP(Fact_Analitica[[#This Row], [Concepto Anterior]],Conceptos_Analítica_contraloría[#All],5,0),"")</f>
        <v/>
      </c>
      <c r="F1387" t="str">
        <f>+IFERROR(VLOOKUP(Fact_Analitica[[#This Row], [Concepto Anterior]],Conceptos_Analítica_contraloría[#All],7,0),"")</f>
        <v/>
      </c>
      <c r="I1387" t="str">
        <f>+IFERROR(VLOOKUP(D1387,Conceptos_Analítica_contraloría[#All],2,0),"")</f>
        <v/>
      </c>
      <c r="J1387" s="84" t="str">
        <f>+IFERROR(VLOOKUP(D1387,Conceptos_Analítica_contraloría[#All],3,0),"")</f>
        <v/>
      </c>
    </row>
    <row r="1388" spans="3:10" ht="18.75" customHeight="1" x14ac:dyDescent="0.35">
      <c r="C1388" s="100" t="str">
        <f>IF(OR(Fact_Analitica[[#This Row], [Año]]="",Fact_Analitica[[#This Row], [Mes]]=""),"",DATE(A1388,MATCH(B1388,{"enero","febrero","marzo","abril","mayo","junio","julio","agosto","septiembre","octubre","noviembre","diciembre"},0)+1,0))</f>
        <v/>
      </c>
      <c r="E1388" t="str">
        <f>+IFERROR(VLOOKUP(Fact_Analitica[[#This Row], [Concepto Anterior]],Conceptos_Analítica_contraloría[#All],5,0),"")</f>
        <v/>
      </c>
      <c r="F1388" t="str">
        <f>+IFERROR(VLOOKUP(Fact_Analitica[[#This Row], [Concepto Anterior]],Conceptos_Analítica_contraloría[#All],7,0),"")</f>
        <v/>
      </c>
      <c r="I1388" t="str">
        <f>+IFERROR(VLOOKUP(D1388,Conceptos_Analítica_contraloría[#All],2,0),"")</f>
        <v/>
      </c>
      <c r="J1388" s="84" t="str">
        <f>+IFERROR(VLOOKUP(D1388,Conceptos_Analítica_contraloría[#All],3,0),"")</f>
        <v/>
      </c>
    </row>
    <row r="1389" spans="3:10" ht="18.75" customHeight="1" x14ac:dyDescent="0.35">
      <c r="C1389" s="100" t="str">
        <f>IF(OR(Fact_Analitica[[#This Row], [Año]]="",Fact_Analitica[[#This Row], [Mes]]=""),"",DATE(A1389,MATCH(B1389,{"enero","febrero","marzo","abril","mayo","junio","julio","agosto","septiembre","octubre","noviembre","diciembre"},0)+1,0))</f>
        <v/>
      </c>
      <c r="E1389" t="str">
        <f>+IFERROR(VLOOKUP(Fact_Analitica[[#This Row], [Concepto Anterior]],Conceptos_Analítica_contraloría[#All],5,0),"")</f>
        <v/>
      </c>
      <c r="F1389" t="str">
        <f>+IFERROR(VLOOKUP(Fact_Analitica[[#This Row], [Concepto Anterior]],Conceptos_Analítica_contraloría[#All],7,0),"")</f>
        <v/>
      </c>
      <c r="I1389" t="str">
        <f>+IFERROR(VLOOKUP(D1389,Conceptos_Analítica_contraloría[#All],2,0),"")</f>
        <v/>
      </c>
      <c r="J1389" s="84" t="str">
        <f>+IFERROR(VLOOKUP(D1389,Conceptos_Analítica_contraloría[#All],3,0),"")</f>
        <v/>
      </c>
    </row>
    <row r="1390" spans="3:10" ht="18.75" customHeight="1" x14ac:dyDescent="0.35">
      <c r="C1390" s="100" t="str">
        <f>IF(OR(Fact_Analitica[[#This Row], [Año]]="",Fact_Analitica[[#This Row], [Mes]]=""),"",DATE(A1390,MATCH(B1390,{"enero","febrero","marzo","abril","mayo","junio","julio","agosto","septiembre","octubre","noviembre","diciembre"},0)+1,0))</f>
        <v/>
      </c>
      <c r="E1390" t="str">
        <f>+IFERROR(VLOOKUP(Fact_Analitica[[#This Row], [Concepto Anterior]],Conceptos_Analítica_contraloría[#All],5,0),"")</f>
        <v/>
      </c>
      <c r="F1390" t="str">
        <f>+IFERROR(VLOOKUP(Fact_Analitica[[#This Row], [Concepto Anterior]],Conceptos_Analítica_contraloría[#All],7,0),"")</f>
        <v/>
      </c>
      <c r="I1390" t="str">
        <f>+IFERROR(VLOOKUP(D1390,Conceptos_Analítica_contraloría[#All],2,0),"")</f>
        <v/>
      </c>
      <c r="J1390" s="84" t="str">
        <f>+IFERROR(VLOOKUP(D1390,Conceptos_Analítica_contraloría[#All],3,0),"")</f>
        <v/>
      </c>
    </row>
    <row r="1391" spans="3:10" ht="18.75" customHeight="1" x14ac:dyDescent="0.35">
      <c r="C1391" s="100" t="str">
        <f>IF(OR(Fact_Analitica[[#This Row], [Año]]="",Fact_Analitica[[#This Row], [Mes]]=""),"",DATE(A1391,MATCH(B1391,{"enero","febrero","marzo","abril","mayo","junio","julio","agosto","septiembre","octubre","noviembre","diciembre"},0)+1,0))</f>
        <v/>
      </c>
      <c r="E1391" t="str">
        <f>+IFERROR(VLOOKUP(Fact_Analitica[[#This Row], [Concepto Anterior]],Conceptos_Analítica_contraloría[#All],5,0),"")</f>
        <v/>
      </c>
      <c r="F1391" t="str">
        <f>+IFERROR(VLOOKUP(Fact_Analitica[[#This Row], [Concepto Anterior]],Conceptos_Analítica_contraloría[#All],7,0),"")</f>
        <v/>
      </c>
      <c r="I1391" t="str">
        <f>+IFERROR(VLOOKUP(D1391,Conceptos_Analítica_contraloría[#All],2,0),"")</f>
        <v/>
      </c>
      <c r="J1391" s="84" t="str">
        <f>+IFERROR(VLOOKUP(D1391,Conceptos_Analítica_contraloría[#All],3,0),"")</f>
        <v/>
      </c>
    </row>
    <row r="1392" spans="3:10" ht="18.75" customHeight="1" x14ac:dyDescent="0.35">
      <c r="C1392" s="100" t="str">
        <f>IF(OR(Fact_Analitica[[#This Row], [Año]]="",Fact_Analitica[[#This Row], [Mes]]=""),"",DATE(A1392,MATCH(B1392,{"enero","febrero","marzo","abril","mayo","junio","julio","agosto","septiembre","octubre","noviembre","diciembre"},0)+1,0))</f>
        <v/>
      </c>
      <c r="E1392" t="str">
        <f>+IFERROR(VLOOKUP(Fact_Analitica[[#This Row], [Concepto Anterior]],Conceptos_Analítica_contraloría[#All],5,0),"")</f>
        <v/>
      </c>
      <c r="F1392" t="str">
        <f>+IFERROR(VLOOKUP(Fact_Analitica[[#This Row], [Concepto Anterior]],Conceptos_Analítica_contraloría[#All],7,0),"")</f>
        <v/>
      </c>
      <c r="I1392" t="str">
        <f>+IFERROR(VLOOKUP(D1392,Conceptos_Analítica_contraloría[#All],2,0),"")</f>
        <v/>
      </c>
      <c r="J1392" s="84" t="str">
        <f>+IFERROR(VLOOKUP(D1392,Conceptos_Analítica_contraloría[#All],3,0),"")</f>
        <v/>
      </c>
    </row>
    <row r="1393" spans="3:10" ht="18.75" customHeight="1" x14ac:dyDescent="0.35">
      <c r="C1393" s="100" t="str">
        <f>IF(OR(Fact_Analitica[[#This Row], [Año]]="",Fact_Analitica[[#This Row], [Mes]]=""),"",DATE(A1393,MATCH(B1393,{"enero","febrero","marzo","abril","mayo","junio","julio","agosto","septiembre","octubre","noviembre","diciembre"},0)+1,0))</f>
        <v/>
      </c>
      <c r="E1393" t="str">
        <f>+IFERROR(VLOOKUP(Fact_Analitica[[#This Row], [Concepto Anterior]],Conceptos_Analítica_contraloría[#All],5,0),"")</f>
        <v/>
      </c>
      <c r="F1393" t="str">
        <f>+IFERROR(VLOOKUP(Fact_Analitica[[#This Row], [Concepto Anterior]],Conceptos_Analítica_contraloría[#All],7,0),"")</f>
        <v/>
      </c>
      <c r="I1393" t="str">
        <f>+IFERROR(VLOOKUP(D1393,Conceptos_Analítica_contraloría[#All],2,0),"")</f>
        <v/>
      </c>
      <c r="J1393" s="84" t="str">
        <f>+IFERROR(VLOOKUP(D1393,Conceptos_Analítica_contraloría[#All],3,0),"")</f>
        <v/>
      </c>
    </row>
    <row r="1394" spans="3:10" ht="18.75" customHeight="1" x14ac:dyDescent="0.35">
      <c r="C1394" s="100" t="str">
        <f>IF(OR(Fact_Analitica[[#This Row], [Año]]="",Fact_Analitica[[#This Row], [Mes]]=""),"",DATE(A1394,MATCH(B1394,{"enero","febrero","marzo","abril","mayo","junio","julio","agosto","septiembre","octubre","noviembre","diciembre"},0)+1,0))</f>
        <v/>
      </c>
      <c r="E1394" t="str">
        <f>+IFERROR(VLOOKUP(Fact_Analitica[[#This Row], [Concepto Anterior]],Conceptos_Analítica_contraloría[#All],5,0),"")</f>
        <v/>
      </c>
      <c r="F1394" t="str">
        <f>+IFERROR(VLOOKUP(Fact_Analitica[[#This Row], [Concepto Anterior]],Conceptos_Analítica_contraloría[#All],7,0),"")</f>
        <v/>
      </c>
      <c r="I1394" t="str">
        <f>+IFERROR(VLOOKUP(D1394,Conceptos_Analítica_contraloría[#All],2,0),"")</f>
        <v/>
      </c>
      <c r="J1394" s="84" t="str">
        <f>+IFERROR(VLOOKUP(D1394,Conceptos_Analítica_contraloría[#All],3,0),"")</f>
        <v/>
      </c>
    </row>
    <row r="1395" spans="3:10" ht="18.75" customHeight="1" x14ac:dyDescent="0.35">
      <c r="C1395" s="100" t="str">
        <f>IF(OR(Fact_Analitica[[#This Row], [Año]]="",Fact_Analitica[[#This Row], [Mes]]=""),"",DATE(A1395,MATCH(B1395,{"enero","febrero","marzo","abril","mayo","junio","julio","agosto","septiembre","octubre","noviembre","diciembre"},0)+1,0))</f>
        <v/>
      </c>
      <c r="E1395" t="str">
        <f>+IFERROR(VLOOKUP(Fact_Analitica[[#This Row], [Concepto Anterior]],Conceptos_Analítica_contraloría[#All],5,0),"")</f>
        <v/>
      </c>
      <c r="F1395" t="str">
        <f>+IFERROR(VLOOKUP(Fact_Analitica[[#This Row], [Concepto Anterior]],Conceptos_Analítica_contraloría[#All],7,0),"")</f>
        <v/>
      </c>
      <c r="I1395" t="str">
        <f>+IFERROR(VLOOKUP(D1395,Conceptos_Analítica_contraloría[#All],2,0),"")</f>
        <v/>
      </c>
      <c r="J1395" s="84" t="str">
        <f>+IFERROR(VLOOKUP(D1395,Conceptos_Analítica_contraloría[#All],3,0),"")</f>
        <v/>
      </c>
    </row>
    <row r="1396" spans="3:10" ht="18.75" customHeight="1" x14ac:dyDescent="0.35">
      <c r="C1396" s="100" t="str">
        <f>IF(OR(Fact_Analitica[[#This Row], [Año]]="",Fact_Analitica[[#This Row], [Mes]]=""),"",DATE(A1396,MATCH(B1396,{"enero","febrero","marzo","abril","mayo","junio","julio","agosto","septiembre","octubre","noviembre","diciembre"},0)+1,0))</f>
        <v/>
      </c>
      <c r="E1396" t="str">
        <f>+IFERROR(VLOOKUP(Fact_Analitica[[#This Row], [Concepto Anterior]],Conceptos_Analítica_contraloría[#All],5,0),"")</f>
        <v/>
      </c>
      <c r="F1396" t="str">
        <f>+IFERROR(VLOOKUP(Fact_Analitica[[#This Row], [Concepto Anterior]],Conceptos_Analítica_contraloría[#All],7,0),"")</f>
        <v/>
      </c>
      <c r="I1396" t="str">
        <f>+IFERROR(VLOOKUP(D1396,Conceptos_Analítica_contraloría[#All],2,0),"")</f>
        <v/>
      </c>
      <c r="J1396" s="84" t="str">
        <f>+IFERROR(VLOOKUP(D1396,Conceptos_Analítica_contraloría[#All],3,0),"")</f>
        <v/>
      </c>
    </row>
    <row r="1397" spans="3:10" ht="18.75" customHeight="1" x14ac:dyDescent="0.35">
      <c r="C1397" s="100" t="str">
        <f>IF(OR(Fact_Analitica[[#This Row], [Año]]="",Fact_Analitica[[#This Row], [Mes]]=""),"",DATE(A1397,MATCH(B1397,{"enero","febrero","marzo","abril","mayo","junio","julio","agosto","septiembre","octubre","noviembre","diciembre"},0)+1,0))</f>
        <v/>
      </c>
      <c r="E1397" t="str">
        <f>+IFERROR(VLOOKUP(Fact_Analitica[[#This Row], [Concepto Anterior]],Conceptos_Analítica_contraloría[#All],5,0),"")</f>
        <v/>
      </c>
      <c r="F1397" t="str">
        <f>+IFERROR(VLOOKUP(Fact_Analitica[[#This Row], [Concepto Anterior]],Conceptos_Analítica_contraloría[#All],7,0),"")</f>
        <v/>
      </c>
      <c r="I1397" t="str">
        <f>+IFERROR(VLOOKUP(D1397,Conceptos_Analítica_contraloría[#All],2,0),"")</f>
        <v/>
      </c>
      <c r="J1397" s="84" t="str">
        <f>+IFERROR(VLOOKUP(D1397,Conceptos_Analítica_contraloría[#All],3,0),"")</f>
        <v/>
      </c>
    </row>
    <row r="1398" spans="3:10" ht="18.75" customHeight="1" x14ac:dyDescent="0.35">
      <c r="C1398" s="100" t="str">
        <f>IF(OR(Fact_Analitica[[#This Row], [Año]]="",Fact_Analitica[[#This Row], [Mes]]=""),"",DATE(A1398,MATCH(B1398,{"enero","febrero","marzo","abril","mayo","junio","julio","agosto","septiembre","octubre","noviembre","diciembre"},0)+1,0))</f>
        <v/>
      </c>
      <c r="E1398" t="str">
        <f>+IFERROR(VLOOKUP(Fact_Analitica[[#This Row], [Concepto Anterior]],Conceptos_Analítica_contraloría[#All],5,0),"")</f>
        <v/>
      </c>
      <c r="F1398" t="str">
        <f>+IFERROR(VLOOKUP(Fact_Analitica[[#This Row], [Concepto Anterior]],Conceptos_Analítica_contraloría[#All],7,0),"")</f>
        <v/>
      </c>
      <c r="I1398" t="str">
        <f>+IFERROR(VLOOKUP(D1398,Conceptos_Analítica_contraloría[#All],2,0),"")</f>
        <v/>
      </c>
      <c r="J1398" s="84" t="str">
        <f>+IFERROR(VLOOKUP(D1398,Conceptos_Analítica_contraloría[#All],3,0),"")</f>
        <v/>
      </c>
    </row>
    <row r="1399" spans="3:10" ht="18.75" customHeight="1" x14ac:dyDescent="0.35">
      <c r="C1399" s="100" t="str">
        <f>IF(OR(Fact_Analitica[[#This Row], [Año]]="",Fact_Analitica[[#This Row], [Mes]]=""),"",DATE(A1399,MATCH(B1399,{"enero","febrero","marzo","abril","mayo","junio","julio","agosto","septiembre","octubre","noviembre","diciembre"},0)+1,0))</f>
        <v/>
      </c>
      <c r="E1399" t="str">
        <f>+IFERROR(VLOOKUP(Fact_Analitica[[#This Row], [Concepto Anterior]],Conceptos_Analítica_contraloría[#All],5,0),"")</f>
        <v/>
      </c>
      <c r="F1399" t="str">
        <f>+IFERROR(VLOOKUP(Fact_Analitica[[#This Row], [Concepto Anterior]],Conceptos_Analítica_contraloría[#All],7,0),"")</f>
        <v/>
      </c>
      <c r="I1399" t="str">
        <f>+IFERROR(VLOOKUP(D1399,Conceptos_Analítica_contraloría[#All],2,0),"")</f>
        <v/>
      </c>
      <c r="J1399" s="84" t="str">
        <f>+IFERROR(VLOOKUP(D1399,Conceptos_Analítica_contraloría[#All],3,0),"")</f>
        <v/>
      </c>
    </row>
    <row r="1400" spans="3:10" ht="18.75" customHeight="1" x14ac:dyDescent="0.35">
      <c r="C1400" s="100" t="str">
        <f>IF(OR(Fact_Analitica[[#This Row], [Año]]="",Fact_Analitica[[#This Row], [Mes]]=""),"",DATE(A1400,MATCH(B1400,{"enero","febrero","marzo","abril","mayo","junio","julio","agosto","septiembre","octubre","noviembre","diciembre"},0)+1,0))</f>
        <v/>
      </c>
      <c r="E1400" t="str">
        <f>+IFERROR(VLOOKUP(Fact_Analitica[[#This Row], [Concepto Anterior]],Conceptos_Analítica_contraloría[#All],5,0),"")</f>
        <v/>
      </c>
      <c r="F1400" t="str">
        <f>+IFERROR(VLOOKUP(Fact_Analitica[[#This Row], [Concepto Anterior]],Conceptos_Analítica_contraloría[#All],7,0),"")</f>
        <v/>
      </c>
      <c r="I1400" t="str">
        <f>+IFERROR(VLOOKUP(D1400,Conceptos_Analítica_contraloría[#All],2,0),"")</f>
        <v/>
      </c>
      <c r="J1400" s="84" t="str">
        <f>+IFERROR(VLOOKUP(D1400,Conceptos_Analítica_contraloría[#All],3,0),"")</f>
        <v/>
      </c>
    </row>
    <row r="1401" spans="3:10" ht="18.75" customHeight="1" x14ac:dyDescent="0.35">
      <c r="C1401" s="100" t="str">
        <f>IF(OR(Fact_Analitica[[#This Row], [Año]]="",Fact_Analitica[[#This Row], [Mes]]=""),"",DATE(A1401,MATCH(B1401,{"enero","febrero","marzo","abril","mayo","junio","julio","agosto","septiembre","octubre","noviembre","diciembre"},0)+1,0))</f>
        <v/>
      </c>
      <c r="E1401" t="str">
        <f>+IFERROR(VLOOKUP(Fact_Analitica[[#This Row], [Concepto Anterior]],Conceptos_Analítica_contraloría[#All],5,0),"")</f>
        <v/>
      </c>
      <c r="F1401" t="str">
        <f>+IFERROR(VLOOKUP(Fact_Analitica[[#This Row], [Concepto Anterior]],Conceptos_Analítica_contraloría[#All],7,0),"")</f>
        <v/>
      </c>
      <c r="I1401" t="str">
        <f>+IFERROR(VLOOKUP(D1401,Conceptos_Analítica_contraloría[#All],2,0),"")</f>
        <v/>
      </c>
      <c r="J1401" s="84" t="str">
        <f>+IFERROR(VLOOKUP(D1401,Conceptos_Analítica_contraloría[#All],3,0),"")</f>
        <v/>
      </c>
    </row>
    <row r="1402" spans="3:10" ht="18.75" customHeight="1" x14ac:dyDescent="0.35">
      <c r="C1402" s="100" t="str">
        <f>IF(OR(Fact_Analitica[[#This Row], [Año]]="",Fact_Analitica[[#This Row], [Mes]]=""),"",DATE(A1402,MATCH(B1402,{"enero","febrero","marzo","abril","mayo","junio","julio","agosto","septiembre","octubre","noviembre","diciembre"},0)+1,0))</f>
        <v/>
      </c>
      <c r="E1402" t="str">
        <f>+IFERROR(VLOOKUP(Fact_Analitica[[#This Row], [Concepto Anterior]],Conceptos_Analítica_contraloría[#All],5,0),"")</f>
        <v/>
      </c>
      <c r="F1402" t="str">
        <f>+IFERROR(VLOOKUP(Fact_Analitica[[#This Row], [Concepto Anterior]],Conceptos_Analítica_contraloría[#All],7,0),"")</f>
        <v/>
      </c>
      <c r="I1402" t="str">
        <f>+IFERROR(VLOOKUP(D1402,Conceptos_Analítica_contraloría[#All],2,0),"")</f>
        <v/>
      </c>
      <c r="J1402" s="84" t="str">
        <f>+IFERROR(VLOOKUP(D1402,Conceptos_Analítica_contraloría[#All],3,0),"")</f>
        <v/>
      </c>
    </row>
    <row r="1403" spans="3:10" ht="18.75" customHeight="1" x14ac:dyDescent="0.35">
      <c r="C1403" s="100" t="str">
        <f>IF(OR(Fact_Analitica[[#This Row], [Año]]="",Fact_Analitica[[#This Row], [Mes]]=""),"",DATE(A1403,MATCH(B1403,{"enero","febrero","marzo","abril","mayo","junio","julio","agosto","septiembre","octubre","noviembre","diciembre"},0)+1,0))</f>
        <v/>
      </c>
      <c r="E1403" t="str">
        <f>+IFERROR(VLOOKUP(Fact_Analitica[[#This Row], [Concepto Anterior]],Conceptos_Analítica_contraloría[#All],5,0),"")</f>
        <v/>
      </c>
      <c r="F1403" t="str">
        <f>+IFERROR(VLOOKUP(Fact_Analitica[[#This Row], [Concepto Anterior]],Conceptos_Analítica_contraloría[#All],7,0),"")</f>
        <v/>
      </c>
      <c r="I1403" t="str">
        <f>+IFERROR(VLOOKUP(D1403,Conceptos_Analítica_contraloría[#All],2,0),"")</f>
        <v/>
      </c>
      <c r="J1403" s="84" t="str">
        <f>+IFERROR(VLOOKUP(D1403,Conceptos_Analítica_contraloría[#All],3,0),"")</f>
        <v/>
      </c>
    </row>
    <row r="1404" spans="3:10" ht="18.75" customHeight="1" x14ac:dyDescent="0.35">
      <c r="C1404" s="100" t="str">
        <f>IF(OR(Fact_Analitica[[#This Row], [Año]]="",Fact_Analitica[[#This Row], [Mes]]=""),"",DATE(A1404,MATCH(B1404,{"enero","febrero","marzo","abril","mayo","junio","julio","agosto","septiembre","octubre","noviembre","diciembre"},0)+1,0))</f>
        <v/>
      </c>
      <c r="E1404" t="str">
        <f>+IFERROR(VLOOKUP(Fact_Analitica[[#This Row], [Concepto Anterior]],Conceptos_Analítica_contraloría[#All],5,0),"")</f>
        <v/>
      </c>
      <c r="F1404" t="str">
        <f>+IFERROR(VLOOKUP(Fact_Analitica[[#This Row], [Concepto Anterior]],Conceptos_Analítica_contraloría[#All],7,0),"")</f>
        <v/>
      </c>
      <c r="I1404" t="str">
        <f>+IFERROR(VLOOKUP(D1404,Conceptos_Analítica_contraloría[#All],2,0),"")</f>
        <v/>
      </c>
      <c r="J1404" s="84" t="str">
        <f>+IFERROR(VLOOKUP(D1404,Conceptos_Analítica_contraloría[#All],3,0),"")</f>
        <v/>
      </c>
    </row>
    <row r="1405" spans="3:10" ht="18.75" customHeight="1" x14ac:dyDescent="0.35">
      <c r="C1405" s="100" t="str">
        <f>IF(OR(Fact_Analitica[[#This Row], [Año]]="",Fact_Analitica[[#This Row], [Mes]]=""),"",DATE(A1405,MATCH(B1405,{"enero","febrero","marzo","abril","mayo","junio","julio","agosto","septiembre","octubre","noviembre","diciembre"},0)+1,0))</f>
        <v/>
      </c>
      <c r="E1405" t="str">
        <f>+IFERROR(VLOOKUP(Fact_Analitica[[#This Row], [Concepto Anterior]],Conceptos_Analítica_contraloría[#All],5,0),"")</f>
        <v/>
      </c>
      <c r="F1405" t="str">
        <f>+IFERROR(VLOOKUP(Fact_Analitica[[#This Row], [Concepto Anterior]],Conceptos_Analítica_contraloría[#All],7,0),"")</f>
        <v/>
      </c>
      <c r="I1405" t="str">
        <f>+IFERROR(VLOOKUP(D1405,Conceptos_Analítica_contraloría[#All],2,0),"")</f>
        <v/>
      </c>
      <c r="J1405" s="84" t="str">
        <f>+IFERROR(VLOOKUP(D1405,Conceptos_Analítica_contraloría[#All],3,0),"")</f>
        <v/>
      </c>
    </row>
    <row r="1406" spans="3:10" ht="18.75" customHeight="1" x14ac:dyDescent="0.35">
      <c r="C1406" s="100" t="str">
        <f>IF(OR(Fact_Analitica[[#This Row], [Año]]="",Fact_Analitica[[#This Row], [Mes]]=""),"",DATE(A1406,MATCH(B1406,{"enero","febrero","marzo","abril","mayo","junio","julio","agosto","septiembre","octubre","noviembre","diciembre"},0)+1,0))</f>
        <v/>
      </c>
      <c r="E1406" t="str">
        <f>+IFERROR(VLOOKUP(Fact_Analitica[[#This Row], [Concepto Anterior]],Conceptos_Analítica_contraloría[#All],5,0),"")</f>
        <v/>
      </c>
      <c r="F1406" t="str">
        <f>+IFERROR(VLOOKUP(Fact_Analitica[[#This Row], [Concepto Anterior]],Conceptos_Analítica_contraloría[#All],7,0),"")</f>
        <v/>
      </c>
      <c r="I1406" t="str">
        <f>+IFERROR(VLOOKUP(D1406,Conceptos_Analítica_contraloría[#All],2,0),"")</f>
        <v/>
      </c>
      <c r="J1406" s="84" t="str">
        <f>+IFERROR(VLOOKUP(D1406,Conceptos_Analítica_contraloría[#All],3,0),"")</f>
        <v/>
      </c>
    </row>
    <row r="1407" spans="3:10" ht="18.75" customHeight="1" x14ac:dyDescent="0.35">
      <c r="C1407" s="100" t="str">
        <f>IF(OR(Fact_Analitica[[#This Row], [Año]]="",Fact_Analitica[[#This Row], [Mes]]=""),"",DATE(A1407,MATCH(B1407,{"enero","febrero","marzo","abril","mayo","junio","julio","agosto","septiembre","octubre","noviembre","diciembre"},0)+1,0))</f>
        <v/>
      </c>
      <c r="E1407" t="str">
        <f>+IFERROR(VLOOKUP(Fact_Analitica[[#This Row], [Concepto Anterior]],Conceptos_Analítica_contraloría[#All],5,0),"")</f>
        <v/>
      </c>
      <c r="F1407" t="str">
        <f>+IFERROR(VLOOKUP(Fact_Analitica[[#This Row], [Concepto Anterior]],Conceptos_Analítica_contraloría[#All],7,0),"")</f>
        <v/>
      </c>
      <c r="I1407" t="str">
        <f>+IFERROR(VLOOKUP(D1407,Conceptos_Analítica_contraloría[#All],2,0),"")</f>
        <v/>
      </c>
      <c r="J1407" s="84" t="str">
        <f>+IFERROR(VLOOKUP(D1407,Conceptos_Analítica_contraloría[#All],3,0),"")</f>
        <v/>
      </c>
    </row>
    <row r="1408" spans="3:10" ht="18.75" customHeight="1" x14ac:dyDescent="0.35">
      <c r="C1408" s="100" t="str">
        <f>IF(OR(Fact_Analitica[[#This Row], [Año]]="",Fact_Analitica[[#This Row], [Mes]]=""),"",DATE(A1408,MATCH(B1408,{"enero","febrero","marzo","abril","mayo","junio","julio","agosto","septiembre","octubre","noviembre","diciembre"},0)+1,0))</f>
        <v/>
      </c>
      <c r="E1408" t="str">
        <f>+IFERROR(VLOOKUP(Fact_Analitica[[#This Row], [Concepto Anterior]],Conceptos_Analítica_contraloría[#All],5,0),"")</f>
        <v/>
      </c>
      <c r="F1408" t="str">
        <f>+IFERROR(VLOOKUP(Fact_Analitica[[#This Row], [Concepto Anterior]],Conceptos_Analítica_contraloría[#All],7,0),"")</f>
        <v/>
      </c>
      <c r="I1408" t="str">
        <f>+IFERROR(VLOOKUP(D1408,Conceptos_Analítica_contraloría[#All],2,0),"")</f>
        <v/>
      </c>
      <c r="J1408" s="84" t="str">
        <f>+IFERROR(VLOOKUP(D1408,Conceptos_Analítica_contraloría[#All],3,0),"")</f>
        <v/>
      </c>
    </row>
    <row r="1409" spans="3:10" ht="18.75" customHeight="1" x14ac:dyDescent="0.35">
      <c r="C1409" s="100" t="str">
        <f>IF(OR(Fact_Analitica[[#This Row], [Año]]="",Fact_Analitica[[#This Row], [Mes]]=""),"",DATE(A1409,MATCH(B1409,{"enero","febrero","marzo","abril","mayo","junio","julio","agosto","septiembre","octubre","noviembre","diciembre"},0)+1,0))</f>
        <v/>
      </c>
      <c r="E1409" t="str">
        <f>+IFERROR(VLOOKUP(Fact_Analitica[[#This Row], [Concepto Anterior]],Conceptos_Analítica_contraloría[#All],5,0),"")</f>
        <v/>
      </c>
      <c r="F1409" t="str">
        <f>+IFERROR(VLOOKUP(Fact_Analitica[[#This Row], [Concepto Anterior]],Conceptos_Analítica_contraloría[#All],7,0),"")</f>
        <v/>
      </c>
      <c r="I1409" t="str">
        <f>+IFERROR(VLOOKUP(D1409,Conceptos_Analítica_contraloría[#All],2,0),"")</f>
        <v/>
      </c>
      <c r="J1409" s="84" t="str">
        <f>+IFERROR(VLOOKUP(D1409,Conceptos_Analítica_contraloría[#All],3,0),"")</f>
        <v/>
      </c>
    </row>
    <row r="1410" spans="3:10" ht="18.75" customHeight="1" x14ac:dyDescent="0.35">
      <c r="C1410" s="100" t="str">
        <f>IF(OR(Fact_Analitica[[#This Row], [Año]]="",Fact_Analitica[[#This Row], [Mes]]=""),"",DATE(A1410,MATCH(B1410,{"enero","febrero","marzo","abril","mayo","junio","julio","agosto","septiembre","octubre","noviembre","diciembre"},0)+1,0))</f>
        <v/>
      </c>
      <c r="E1410" t="str">
        <f>+IFERROR(VLOOKUP(Fact_Analitica[[#This Row], [Concepto Anterior]],Conceptos_Analítica_contraloría[#All],5,0),"")</f>
        <v/>
      </c>
      <c r="F1410" t="str">
        <f>+IFERROR(VLOOKUP(Fact_Analitica[[#This Row], [Concepto Anterior]],Conceptos_Analítica_contraloría[#All],7,0),"")</f>
        <v/>
      </c>
      <c r="I1410" t="str">
        <f>+IFERROR(VLOOKUP(D1410,Conceptos_Analítica_contraloría[#All],2,0),"")</f>
        <v/>
      </c>
      <c r="J1410" s="84" t="str">
        <f>+IFERROR(VLOOKUP(D1410,Conceptos_Analítica_contraloría[#All],3,0),"")</f>
        <v/>
      </c>
    </row>
    <row r="1411" spans="3:10" ht="18.75" customHeight="1" x14ac:dyDescent="0.35">
      <c r="C1411" s="100" t="str">
        <f>IF(OR(Fact_Analitica[[#This Row], [Año]]="",Fact_Analitica[[#This Row], [Mes]]=""),"",DATE(A1411,MATCH(B1411,{"enero","febrero","marzo","abril","mayo","junio","julio","agosto","septiembre","octubre","noviembre","diciembre"},0)+1,0))</f>
        <v/>
      </c>
      <c r="E1411" t="str">
        <f>+IFERROR(VLOOKUP(Fact_Analitica[[#This Row], [Concepto Anterior]],Conceptos_Analítica_contraloría[#All],5,0),"")</f>
        <v/>
      </c>
      <c r="F1411" t="str">
        <f>+IFERROR(VLOOKUP(Fact_Analitica[[#This Row], [Concepto Anterior]],Conceptos_Analítica_contraloría[#All],7,0),"")</f>
        <v/>
      </c>
      <c r="I1411" t="str">
        <f>+IFERROR(VLOOKUP(D1411,Conceptos_Analítica_contraloría[#All],2,0),"")</f>
        <v/>
      </c>
      <c r="J1411" s="84" t="str">
        <f>+IFERROR(VLOOKUP(D1411,Conceptos_Analítica_contraloría[#All],3,0),"")</f>
        <v/>
      </c>
    </row>
    <row r="1412" spans="3:10" ht="18.75" customHeight="1" x14ac:dyDescent="0.35">
      <c r="C1412" s="100" t="str">
        <f>IF(OR(Fact_Analitica[[#This Row], [Año]]="",Fact_Analitica[[#This Row], [Mes]]=""),"",DATE(A1412,MATCH(B1412,{"enero","febrero","marzo","abril","mayo","junio","julio","agosto","septiembre","octubre","noviembre","diciembre"},0)+1,0))</f>
        <v/>
      </c>
      <c r="E1412" t="str">
        <f>+IFERROR(VLOOKUP(Fact_Analitica[[#This Row], [Concepto Anterior]],Conceptos_Analítica_contraloría[#All],5,0),"")</f>
        <v/>
      </c>
      <c r="F1412" t="str">
        <f>+IFERROR(VLOOKUP(Fact_Analitica[[#This Row], [Concepto Anterior]],Conceptos_Analítica_contraloría[#All],7,0),"")</f>
        <v/>
      </c>
      <c r="I1412" t="str">
        <f>+IFERROR(VLOOKUP(D1412,Conceptos_Analítica_contraloría[#All],2,0),"")</f>
        <v/>
      </c>
      <c r="J1412" s="84" t="str">
        <f>+IFERROR(VLOOKUP(D1412,Conceptos_Analítica_contraloría[#All],3,0),"")</f>
        <v/>
      </c>
    </row>
    <row r="1413" spans="3:10" ht="18.75" customHeight="1" x14ac:dyDescent="0.35">
      <c r="C1413" s="100" t="str">
        <f>IF(OR(Fact_Analitica[[#This Row], [Año]]="",Fact_Analitica[[#This Row], [Mes]]=""),"",DATE(A1413,MATCH(B1413,{"enero","febrero","marzo","abril","mayo","junio","julio","agosto","septiembre","octubre","noviembre","diciembre"},0)+1,0))</f>
        <v/>
      </c>
      <c r="E1413" t="str">
        <f>+IFERROR(VLOOKUP(Fact_Analitica[[#This Row], [Concepto Anterior]],Conceptos_Analítica_contraloría[#All],5,0),"")</f>
        <v/>
      </c>
      <c r="F1413" t="str">
        <f>+IFERROR(VLOOKUP(Fact_Analitica[[#This Row], [Concepto Anterior]],Conceptos_Analítica_contraloría[#All],7,0),"")</f>
        <v/>
      </c>
      <c r="I1413" t="str">
        <f>+IFERROR(VLOOKUP(D1413,Conceptos_Analítica_contraloría[#All],2,0),"")</f>
        <v/>
      </c>
      <c r="J1413" s="84" t="str">
        <f>+IFERROR(VLOOKUP(D1413,Conceptos_Analítica_contraloría[#All],3,0),"")</f>
        <v/>
      </c>
    </row>
    <row r="1414" spans="3:10" ht="18.75" customHeight="1" x14ac:dyDescent="0.35">
      <c r="C1414" s="100" t="str">
        <f>IF(OR(Fact_Analitica[[#This Row], [Año]]="",Fact_Analitica[[#This Row], [Mes]]=""),"",DATE(A1414,MATCH(B1414,{"enero","febrero","marzo","abril","mayo","junio","julio","agosto","septiembre","octubre","noviembre","diciembre"},0)+1,0))</f>
        <v/>
      </c>
      <c r="E1414" t="str">
        <f>+IFERROR(VLOOKUP(Fact_Analitica[[#This Row], [Concepto Anterior]],Conceptos_Analítica_contraloría[#All],5,0),"")</f>
        <v/>
      </c>
      <c r="F1414" t="str">
        <f>+IFERROR(VLOOKUP(Fact_Analitica[[#This Row], [Concepto Anterior]],Conceptos_Analítica_contraloría[#All],7,0),"")</f>
        <v/>
      </c>
      <c r="I1414" t="str">
        <f>+IFERROR(VLOOKUP(D1414,Conceptos_Analítica_contraloría[#All],2,0),"")</f>
        <v/>
      </c>
      <c r="J1414" s="84" t="str">
        <f>+IFERROR(VLOOKUP(D1414,Conceptos_Analítica_contraloría[#All],3,0),"")</f>
        <v/>
      </c>
    </row>
    <row r="1415" spans="3:10" ht="18.75" customHeight="1" x14ac:dyDescent="0.35">
      <c r="C1415" s="100" t="str">
        <f>IF(OR(Fact_Analitica[[#This Row], [Año]]="",Fact_Analitica[[#This Row], [Mes]]=""),"",DATE(A1415,MATCH(B1415,{"enero","febrero","marzo","abril","mayo","junio","julio","agosto","septiembre","octubre","noviembre","diciembre"},0)+1,0))</f>
        <v/>
      </c>
      <c r="E1415" t="str">
        <f>+IFERROR(VLOOKUP(Fact_Analitica[[#This Row], [Concepto Anterior]],Conceptos_Analítica_contraloría[#All],5,0),"")</f>
        <v/>
      </c>
      <c r="F1415" t="str">
        <f>+IFERROR(VLOOKUP(Fact_Analitica[[#This Row], [Concepto Anterior]],Conceptos_Analítica_contraloría[#All],7,0),"")</f>
        <v/>
      </c>
      <c r="I1415" t="str">
        <f>+IFERROR(VLOOKUP(D1415,Conceptos_Analítica_contraloría[#All],2,0),"")</f>
        <v/>
      </c>
      <c r="J1415" s="84" t="str">
        <f>+IFERROR(VLOOKUP(D1415,Conceptos_Analítica_contraloría[#All],3,0),"")</f>
        <v/>
      </c>
    </row>
    <row r="1416" spans="3:10" ht="18.75" customHeight="1" x14ac:dyDescent="0.35">
      <c r="C1416" s="100" t="str">
        <f>IF(OR(Fact_Analitica[[#This Row], [Año]]="",Fact_Analitica[[#This Row], [Mes]]=""),"",DATE(A1416,MATCH(B1416,{"enero","febrero","marzo","abril","mayo","junio","julio","agosto","septiembre","octubre","noviembre","diciembre"},0)+1,0))</f>
        <v/>
      </c>
      <c r="E1416" t="str">
        <f>+IFERROR(VLOOKUP(Fact_Analitica[[#This Row], [Concepto Anterior]],Conceptos_Analítica_contraloría[#All],5,0),"")</f>
        <v/>
      </c>
      <c r="F1416" t="str">
        <f>+IFERROR(VLOOKUP(Fact_Analitica[[#This Row], [Concepto Anterior]],Conceptos_Analítica_contraloría[#All],7,0),"")</f>
        <v/>
      </c>
      <c r="I1416" t="str">
        <f>+IFERROR(VLOOKUP(D1416,Conceptos_Analítica_contraloría[#All],2,0),"")</f>
        <v/>
      </c>
      <c r="J1416" s="84" t="str">
        <f>+IFERROR(VLOOKUP(D1416,Conceptos_Analítica_contraloría[#All],3,0),"")</f>
        <v/>
      </c>
    </row>
    <row r="1417" spans="3:10" ht="18.75" customHeight="1" x14ac:dyDescent="0.35">
      <c r="C1417" s="100" t="str">
        <f>IF(OR(Fact_Analitica[[#This Row], [Año]]="",Fact_Analitica[[#This Row], [Mes]]=""),"",DATE(A1417,MATCH(B1417,{"enero","febrero","marzo","abril","mayo","junio","julio","agosto","septiembre","octubre","noviembre","diciembre"},0)+1,0))</f>
        <v/>
      </c>
      <c r="E1417" t="str">
        <f>+IFERROR(VLOOKUP(Fact_Analitica[[#This Row], [Concepto Anterior]],Conceptos_Analítica_contraloría[#All],5,0),"")</f>
        <v/>
      </c>
      <c r="F1417" t="str">
        <f>+IFERROR(VLOOKUP(Fact_Analitica[[#This Row], [Concepto Anterior]],Conceptos_Analítica_contraloría[#All],7,0),"")</f>
        <v/>
      </c>
      <c r="I1417" t="str">
        <f>+IFERROR(VLOOKUP(D1417,Conceptos_Analítica_contraloría[#All],2,0),"")</f>
        <v/>
      </c>
      <c r="J1417" s="84" t="str">
        <f>+IFERROR(VLOOKUP(D1417,Conceptos_Analítica_contraloría[#All],3,0),"")</f>
        <v/>
      </c>
    </row>
    <row r="1418" spans="3:10" ht="18.75" customHeight="1" x14ac:dyDescent="0.35">
      <c r="C1418" s="100" t="str">
        <f>IF(OR(Fact_Analitica[[#This Row], [Año]]="",Fact_Analitica[[#This Row], [Mes]]=""),"",DATE(A1418,MATCH(B1418,{"enero","febrero","marzo","abril","mayo","junio","julio","agosto","septiembre","octubre","noviembre","diciembre"},0)+1,0))</f>
        <v/>
      </c>
      <c r="E1418" t="str">
        <f>+IFERROR(VLOOKUP(Fact_Analitica[[#This Row], [Concepto Anterior]],Conceptos_Analítica_contraloría[#All],5,0),"")</f>
        <v/>
      </c>
      <c r="F1418" t="str">
        <f>+IFERROR(VLOOKUP(Fact_Analitica[[#This Row], [Concepto Anterior]],Conceptos_Analítica_contraloría[#All],7,0),"")</f>
        <v/>
      </c>
      <c r="I1418" t="str">
        <f>+IFERROR(VLOOKUP(D1418,Conceptos_Analítica_contraloría[#All],2,0),"")</f>
        <v/>
      </c>
      <c r="J1418" s="84" t="str">
        <f>+IFERROR(VLOOKUP(D1418,Conceptos_Analítica_contraloría[#All],3,0),"")</f>
        <v/>
      </c>
    </row>
    <row r="1419" spans="3:10" ht="18.75" customHeight="1" x14ac:dyDescent="0.35">
      <c r="C1419" s="100" t="str">
        <f>IF(OR(Fact_Analitica[[#This Row], [Año]]="",Fact_Analitica[[#This Row], [Mes]]=""),"",DATE(A1419,MATCH(B1419,{"enero","febrero","marzo","abril","mayo","junio","julio","agosto","septiembre","octubre","noviembre","diciembre"},0)+1,0))</f>
        <v/>
      </c>
      <c r="E1419" t="str">
        <f>+IFERROR(VLOOKUP(Fact_Analitica[[#This Row], [Concepto Anterior]],Conceptos_Analítica_contraloría[#All],5,0),"")</f>
        <v/>
      </c>
      <c r="F1419" t="str">
        <f>+IFERROR(VLOOKUP(Fact_Analitica[[#This Row], [Concepto Anterior]],Conceptos_Analítica_contraloría[#All],7,0),"")</f>
        <v/>
      </c>
      <c r="I1419" t="str">
        <f>+IFERROR(VLOOKUP(D1419,Conceptos_Analítica_contraloría[#All],2,0),"")</f>
        <v/>
      </c>
      <c r="J1419" s="84" t="str">
        <f>+IFERROR(VLOOKUP(D1419,Conceptos_Analítica_contraloría[#All],3,0),"")</f>
        <v/>
      </c>
    </row>
    <row r="1420" spans="3:10" ht="18.75" customHeight="1" x14ac:dyDescent="0.35">
      <c r="C1420" s="100" t="str">
        <f>IF(OR(Fact_Analitica[[#This Row], [Año]]="",Fact_Analitica[[#This Row], [Mes]]=""),"",DATE(A1420,MATCH(B1420,{"enero","febrero","marzo","abril","mayo","junio","julio","agosto","septiembre","octubre","noviembre","diciembre"},0)+1,0))</f>
        <v/>
      </c>
      <c r="E1420" t="str">
        <f>+IFERROR(VLOOKUP(Fact_Analitica[[#This Row], [Concepto Anterior]],Conceptos_Analítica_contraloría[#All],5,0),"")</f>
        <v/>
      </c>
      <c r="F1420" t="str">
        <f>+IFERROR(VLOOKUP(Fact_Analitica[[#This Row], [Concepto Anterior]],Conceptos_Analítica_contraloría[#All],7,0),"")</f>
        <v/>
      </c>
      <c r="I1420" t="str">
        <f>+IFERROR(VLOOKUP(D1420,Conceptos_Analítica_contraloría[#All],2,0),"")</f>
        <v/>
      </c>
      <c r="J1420" s="84" t="str">
        <f>+IFERROR(VLOOKUP(D1420,Conceptos_Analítica_contraloría[#All],3,0),"")</f>
        <v/>
      </c>
    </row>
    <row r="1421" spans="3:10" ht="18.75" customHeight="1" x14ac:dyDescent="0.35">
      <c r="C1421" s="100" t="str">
        <f>IF(OR(Fact_Analitica[[#This Row], [Año]]="",Fact_Analitica[[#This Row], [Mes]]=""),"",DATE(A1421,MATCH(B1421,{"enero","febrero","marzo","abril","mayo","junio","julio","agosto","septiembre","octubre","noviembre","diciembre"},0)+1,0))</f>
        <v/>
      </c>
      <c r="E1421" t="str">
        <f>+IFERROR(VLOOKUP(Fact_Analitica[[#This Row], [Concepto Anterior]],Conceptos_Analítica_contraloría[#All],5,0),"")</f>
        <v/>
      </c>
      <c r="F1421" t="str">
        <f>+IFERROR(VLOOKUP(Fact_Analitica[[#This Row], [Concepto Anterior]],Conceptos_Analítica_contraloría[#All],7,0),"")</f>
        <v/>
      </c>
      <c r="I1421" t="str">
        <f>+IFERROR(VLOOKUP(D1421,Conceptos_Analítica_contraloría[#All],2,0),"")</f>
        <v/>
      </c>
      <c r="J1421" s="84" t="str">
        <f>+IFERROR(VLOOKUP(D1421,Conceptos_Analítica_contraloría[#All],3,0),"")</f>
        <v/>
      </c>
    </row>
    <row r="1422" spans="3:10" ht="18.75" customHeight="1" x14ac:dyDescent="0.35">
      <c r="C1422" s="100" t="str">
        <f>IF(OR(Fact_Analitica[[#This Row], [Año]]="",Fact_Analitica[[#This Row], [Mes]]=""),"",DATE(A1422,MATCH(B1422,{"enero","febrero","marzo","abril","mayo","junio","julio","agosto","septiembre","octubre","noviembre","diciembre"},0)+1,0))</f>
        <v/>
      </c>
      <c r="E1422" t="str">
        <f>+IFERROR(VLOOKUP(Fact_Analitica[[#This Row], [Concepto Anterior]],Conceptos_Analítica_contraloría[#All],5,0),"")</f>
        <v/>
      </c>
      <c r="F1422" t="str">
        <f>+IFERROR(VLOOKUP(Fact_Analitica[[#This Row], [Concepto Anterior]],Conceptos_Analítica_contraloría[#All],7,0),"")</f>
        <v/>
      </c>
      <c r="I1422" t="str">
        <f>+IFERROR(VLOOKUP(D1422,Conceptos_Analítica_contraloría[#All],2,0),"")</f>
        <v/>
      </c>
      <c r="J1422" s="84" t="str">
        <f>+IFERROR(VLOOKUP(D1422,Conceptos_Analítica_contraloría[#All],3,0),"")</f>
        <v/>
      </c>
    </row>
    <row r="1423" spans="3:10" ht="18.75" customHeight="1" x14ac:dyDescent="0.35">
      <c r="C1423" s="100" t="str">
        <f>IF(OR(Fact_Analitica[[#This Row], [Año]]="",Fact_Analitica[[#This Row], [Mes]]=""),"",DATE(A1423,MATCH(B1423,{"enero","febrero","marzo","abril","mayo","junio","julio","agosto","septiembre","octubre","noviembre","diciembre"},0)+1,0))</f>
        <v/>
      </c>
      <c r="E1423" t="str">
        <f>+IFERROR(VLOOKUP(Fact_Analitica[[#This Row], [Concepto Anterior]],Conceptos_Analítica_contraloría[#All],5,0),"")</f>
        <v/>
      </c>
      <c r="F1423" t="str">
        <f>+IFERROR(VLOOKUP(Fact_Analitica[[#This Row], [Concepto Anterior]],Conceptos_Analítica_contraloría[#All],7,0),"")</f>
        <v/>
      </c>
      <c r="I1423" t="str">
        <f>+IFERROR(VLOOKUP(D1423,Conceptos_Analítica_contraloría[#All],2,0),"")</f>
        <v/>
      </c>
      <c r="J1423" s="84" t="str">
        <f>+IFERROR(VLOOKUP(D1423,Conceptos_Analítica_contraloría[#All],3,0),"")</f>
        <v/>
      </c>
    </row>
    <row r="1424" spans="3:10" ht="18.75" customHeight="1" x14ac:dyDescent="0.35">
      <c r="C1424" s="100" t="str">
        <f>IF(OR(Fact_Analitica[[#This Row], [Año]]="",Fact_Analitica[[#This Row], [Mes]]=""),"",DATE(A1424,MATCH(B1424,{"enero","febrero","marzo","abril","mayo","junio","julio","agosto","septiembre","octubre","noviembre","diciembre"},0)+1,0))</f>
        <v/>
      </c>
      <c r="E1424" t="str">
        <f>+IFERROR(VLOOKUP(Fact_Analitica[[#This Row], [Concepto Anterior]],Conceptos_Analítica_contraloría[#All],5,0),"")</f>
        <v/>
      </c>
      <c r="F1424" t="str">
        <f>+IFERROR(VLOOKUP(Fact_Analitica[[#This Row], [Concepto Anterior]],Conceptos_Analítica_contraloría[#All],7,0),"")</f>
        <v/>
      </c>
      <c r="I1424" t="str">
        <f>+IFERROR(VLOOKUP(D1424,Conceptos_Analítica_contraloría[#All],2,0),"")</f>
        <v/>
      </c>
      <c r="J1424" s="84" t="str">
        <f>+IFERROR(VLOOKUP(D1424,Conceptos_Analítica_contraloría[#All],3,0),"")</f>
        <v/>
      </c>
    </row>
    <row r="1425" spans="3:10" ht="18.75" customHeight="1" x14ac:dyDescent="0.35">
      <c r="C1425" s="100" t="str">
        <f>IF(OR(Fact_Analitica[[#This Row], [Año]]="",Fact_Analitica[[#This Row], [Mes]]=""),"",DATE(A1425,MATCH(B1425,{"enero","febrero","marzo","abril","mayo","junio","julio","agosto","septiembre","octubre","noviembre","diciembre"},0)+1,0))</f>
        <v/>
      </c>
      <c r="E1425" t="str">
        <f>+IFERROR(VLOOKUP(Fact_Analitica[[#This Row], [Concepto Anterior]],Conceptos_Analítica_contraloría[#All],5,0),"")</f>
        <v/>
      </c>
      <c r="F1425" t="str">
        <f>+IFERROR(VLOOKUP(Fact_Analitica[[#This Row], [Concepto Anterior]],Conceptos_Analítica_contraloría[#All],7,0),"")</f>
        <v/>
      </c>
      <c r="I1425" t="str">
        <f>+IFERROR(VLOOKUP(D1425,Conceptos_Analítica_contraloría[#All],2,0),"")</f>
        <v/>
      </c>
      <c r="J1425" s="84" t="str">
        <f>+IFERROR(VLOOKUP(D1425,Conceptos_Analítica_contraloría[#All],3,0),"")</f>
        <v/>
      </c>
    </row>
    <row r="1426" spans="3:10" ht="18.75" customHeight="1" x14ac:dyDescent="0.35">
      <c r="C1426" s="100" t="str">
        <f>IF(OR(Fact_Analitica[[#This Row], [Año]]="",Fact_Analitica[[#This Row], [Mes]]=""),"",DATE(A1426,MATCH(B1426,{"enero","febrero","marzo","abril","mayo","junio","julio","agosto","septiembre","octubre","noviembre","diciembre"},0)+1,0))</f>
        <v/>
      </c>
      <c r="E1426" t="str">
        <f>+IFERROR(VLOOKUP(Fact_Analitica[[#This Row], [Concepto Anterior]],Conceptos_Analítica_contraloría[#All],5,0),"")</f>
        <v/>
      </c>
      <c r="F1426" t="str">
        <f>+IFERROR(VLOOKUP(Fact_Analitica[[#This Row], [Concepto Anterior]],Conceptos_Analítica_contraloría[#All],7,0),"")</f>
        <v/>
      </c>
      <c r="I1426" t="str">
        <f>+IFERROR(VLOOKUP(D1426,Conceptos_Analítica_contraloría[#All],2,0),"")</f>
        <v/>
      </c>
      <c r="J1426" s="84" t="str">
        <f>+IFERROR(VLOOKUP(D1426,Conceptos_Analítica_contraloría[#All],3,0),"")</f>
        <v/>
      </c>
    </row>
    <row r="1427" spans="3:10" ht="18.75" customHeight="1" x14ac:dyDescent="0.35">
      <c r="C1427" s="100" t="str">
        <f>IF(OR(Fact_Analitica[[#This Row], [Año]]="",Fact_Analitica[[#This Row], [Mes]]=""),"",DATE(A1427,MATCH(B1427,{"enero","febrero","marzo","abril","mayo","junio","julio","agosto","septiembre","octubre","noviembre","diciembre"},0)+1,0))</f>
        <v/>
      </c>
      <c r="E1427" t="str">
        <f>+IFERROR(VLOOKUP(Fact_Analitica[[#This Row], [Concepto Anterior]],Conceptos_Analítica_contraloría[#All],5,0),"")</f>
        <v/>
      </c>
      <c r="F1427" t="str">
        <f>+IFERROR(VLOOKUP(Fact_Analitica[[#This Row], [Concepto Anterior]],Conceptos_Analítica_contraloría[#All],7,0),"")</f>
        <v/>
      </c>
      <c r="I1427" t="str">
        <f>+IFERROR(VLOOKUP(D1427,Conceptos_Analítica_contraloría[#All],2,0),"")</f>
        <v/>
      </c>
      <c r="J1427" s="84" t="str">
        <f>+IFERROR(VLOOKUP(D1427,Conceptos_Analítica_contraloría[#All],3,0),"")</f>
        <v/>
      </c>
    </row>
    <row r="1428" spans="3:10" ht="18.75" customHeight="1" x14ac:dyDescent="0.35">
      <c r="C1428" s="100" t="str">
        <f>IF(OR(Fact_Analitica[[#This Row], [Año]]="",Fact_Analitica[[#This Row], [Mes]]=""),"",DATE(A1428,MATCH(B1428,{"enero","febrero","marzo","abril","mayo","junio","julio","agosto","septiembre","octubre","noviembre","diciembre"},0)+1,0))</f>
        <v/>
      </c>
      <c r="E1428" t="str">
        <f>+IFERROR(VLOOKUP(Fact_Analitica[[#This Row], [Concepto Anterior]],Conceptos_Analítica_contraloría[#All],5,0),"")</f>
        <v/>
      </c>
      <c r="F1428" t="str">
        <f>+IFERROR(VLOOKUP(Fact_Analitica[[#This Row], [Concepto Anterior]],Conceptos_Analítica_contraloría[#All],7,0),"")</f>
        <v/>
      </c>
      <c r="I1428" t="str">
        <f>+IFERROR(VLOOKUP(D1428,Conceptos_Analítica_contraloría[#All],2,0),"")</f>
        <v/>
      </c>
      <c r="J1428" s="84" t="str">
        <f>+IFERROR(VLOOKUP(D1428,Conceptos_Analítica_contraloría[#All],3,0),"")</f>
        <v/>
      </c>
    </row>
    <row r="1429" spans="3:10" ht="18.75" customHeight="1" x14ac:dyDescent="0.35">
      <c r="C1429" s="100" t="str">
        <f>IF(OR(Fact_Analitica[[#This Row], [Año]]="",Fact_Analitica[[#This Row], [Mes]]=""),"",DATE(A1429,MATCH(B1429,{"enero","febrero","marzo","abril","mayo","junio","julio","agosto","septiembre","octubre","noviembre","diciembre"},0)+1,0))</f>
        <v/>
      </c>
      <c r="E1429" t="str">
        <f>+IFERROR(VLOOKUP(Fact_Analitica[[#This Row], [Concepto Anterior]],Conceptos_Analítica_contraloría[#All],5,0),"")</f>
        <v/>
      </c>
      <c r="F1429" t="str">
        <f>+IFERROR(VLOOKUP(Fact_Analitica[[#This Row], [Concepto Anterior]],Conceptos_Analítica_contraloría[#All],7,0),"")</f>
        <v/>
      </c>
      <c r="I1429" t="str">
        <f>+IFERROR(VLOOKUP(D1429,Conceptos_Analítica_contraloría[#All],2,0),"")</f>
        <v/>
      </c>
      <c r="J1429" s="84" t="str">
        <f>+IFERROR(VLOOKUP(D1429,Conceptos_Analítica_contraloría[#All],3,0),"")</f>
        <v/>
      </c>
    </row>
    <row r="1430" spans="3:10" ht="18.75" customHeight="1" x14ac:dyDescent="0.35">
      <c r="C1430" s="100" t="str">
        <f>IF(OR(Fact_Analitica[[#This Row], [Año]]="",Fact_Analitica[[#This Row], [Mes]]=""),"",DATE(A1430,MATCH(B1430,{"enero","febrero","marzo","abril","mayo","junio","julio","agosto","septiembre","octubre","noviembre","diciembre"},0)+1,0))</f>
        <v/>
      </c>
      <c r="E1430" t="str">
        <f>+IFERROR(VLOOKUP(Fact_Analitica[[#This Row], [Concepto Anterior]],Conceptos_Analítica_contraloría[#All],5,0),"")</f>
        <v/>
      </c>
      <c r="F1430" t="str">
        <f>+IFERROR(VLOOKUP(Fact_Analitica[[#This Row], [Concepto Anterior]],Conceptos_Analítica_contraloría[#All],7,0),"")</f>
        <v/>
      </c>
      <c r="I1430" t="str">
        <f>+IFERROR(VLOOKUP(D1430,Conceptos_Analítica_contraloría[#All],2,0),"")</f>
        <v/>
      </c>
      <c r="J1430" s="84" t="str">
        <f>+IFERROR(VLOOKUP(D1430,Conceptos_Analítica_contraloría[#All],3,0),"")</f>
        <v/>
      </c>
    </row>
    <row r="1431" spans="3:10" ht="18.75" customHeight="1" x14ac:dyDescent="0.35">
      <c r="C1431" s="100" t="str">
        <f>IF(OR(Fact_Analitica[[#This Row], [Año]]="",Fact_Analitica[[#This Row], [Mes]]=""),"",DATE(A1431,MATCH(B1431,{"enero","febrero","marzo","abril","mayo","junio","julio","agosto","septiembre","octubre","noviembre","diciembre"},0)+1,0))</f>
        <v/>
      </c>
      <c r="E1431" t="str">
        <f>+IFERROR(VLOOKUP(Fact_Analitica[[#This Row], [Concepto Anterior]],Conceptos_Analítica_contraloría[#All],5,0),"")</f>
        <v/>
      </c>
      <c r="F1431" t="str">
        <f>+IFERROR(VLOOKUP(Fact_Analitica[[#This Row], [Concepto Anterior]],Conceptos_Analítica_contraloría[#All],7,0),"")</f>
        <v/>
      </c>
      <c r="I1431" t="str">
        <f>+IFERROR(VLOOKUP(D1431,Conceptos_Analítica_contraloría[#All],2,0),"")</f>
        <v/>
      </c>
      <c r="J1431" s="84" t="str">
        <f>+IFERROR(VLOOKUP(D1431,Conceptos_Analítica_contraloría[#All],3,0),"")</f>
        <v/>
      </c>
    </row>
    <row r="1432" spans="3:10" ht="18.75" customHeight="1" x14ac:dyDescent="0.35">
      <c r="C1432" s="100" t="str">
        <f>IF(OR(Fact_Analitica[[#This Row], [Año]]="",Fact_Analitica[[#This Row], [Mes]]=""),"",DATE(A1432,MATCH(B1432,{"enero","febrero","marzo","abril","mayo","junio","julio","agosto","septiembre","octubre","noviembre","diciembre"},0)+1,0))</f>
        <v/>
      </c>
      <c r="E1432" t="str">
        <f>+IFERROR(VLOOKUP(Fact_Analitica[[#This Row], [Concepto Anterior]],Conceptos_Analítica_contraloría[#All],5,0),"")</f>
        <v/>
      </c>
      <c r="F1432" t="str">
        <f>+IFERROR(VLOOKUP(Fact_Analitica[[#This Row], [Concepto Anterior]],Conceptos_Analítica_contraloría[#All],7,0),"")</f>
        <v/>
      </c>
      <c r="I1432" t="str">
        <f>+IFERROR(VLOOKUP(D1432,Conceptos_Analítica_contraloría[#All],2,0),"")</f>
        <v/>
      </c>
      <c r="J1432" s="84" t="str">
        <f>+IFERROR(VLOOKUP(D1432,Conceptos_Analítica_contraloría[#All],3,0),"")</f>
        <v/>
      </c>
    </row>
    <row r="1433" spans="3:10" ht="18.75" customHeight="1" x14ac:dyDescent="0.35">
      <c r="C1433" s="100" t="str">
        <f>IF(OR(Fact_Analitica[[#This Row], [Año]]="",Fact_Analitica[[#This Row], [Mes]]=""),"",DATE(A1433,MATCH(B1433,{"enero","febrero","marzo","abril","mayo","junio","julio","agosto","septiembre","octubre","noviembre","diciembre"},0)+1,0))</f>
        <v/>
      </c>
      <c r="E1433" t="str">
        <f>+IFERROR(VLOOKUP(Fact_Analitica[[#This Row], [Concepto Anterior]],Conceptos_Analítica_contraloría[#All],5,0),"")</f>
        <v/>
      </c>
      <c r="F1433" t="str">
        <f>+IFERROR(VLOOKUP(Fact_Analitica[[#This Row], [Concepto Anterior]],Conceptos_Analítica_contraloría[#All],7,0),"")</f>
        <v/>
      </c>
      <c r="I1433" t="str">
        <f>+IFERROR(VLOOKUP(D1433,Conceptos_Analítica_contraloría[#All],2,0),"")</f>
        <v/>
      </c>
      <c r="J1433" s="84" t="str">
        <f>+IFERROR(VLOOKUP(D1433,Conceptos_Analítica_contraloría[#All],3,0),"")</f>
        <v/>
      </c>
    </row>
    <row r="1434" spans="3:10" ht="18.75" customHeight="1" x14ac:dyDescent="0.35">
      <c r="C1434" s="100" t="str">
        <f>IF(OR(Fact_Analitica[[#This Row], [Año]]="",Fact_Analitica[[#This Row], [Mes]]=""),"",DATE(A1434,MATCH(B1434,{"enero","febrero","marzo","abril","mayo","junio","julio","agosto","septiembre","octubre","noviembre","diciembre"},0)+1,0))</f>
        <v/>
      </c>
      <c r="E1434" t="str">
        <f>+IFERROR(VLOOKUP(Fact_Analitica[[#This Row], [Concepto Anterior]],Conceptos_Analítica_contraloría[#All],5,0),"")</f>
        <v/>
      </c>
      <c r="F1434" t="str">
        <f>+IFERROR(VLOOKUP(Fact_Analitica[[#This Row], [Concepto Anterior]],Conceptos_Analítica_contraloría[#All],7,0),"")</f>
        <v/>
      </c>
      <c r="I1434" t="str">
        <f>+IFERROR(VLOOKUP(D1434,Conceptos_Analítica_contraloría[#All],2,0),"")</f>
        <v/>
      </c>
      <c r="J1434" s="84" t="str">
        <f>+IFERROR(VLOOKUP(D1434,Conceptos_Analítica_contraloría[#All],3,0),"")</f>
        <v/>
      </c>
    </row>
    <row r="1435" spans="3:10" ht="18.75" customHeight="1" x14ac:dyDescent="0.35">
      <c r="C1435" s="100" t="str">
        <f>IF(OR(Fact_Analitica[[#This Row], [Año]]="",Fact_Analitica[[#This Row], [Mes]]=""),"",DATE(A1435,MATCH(B1435,{"enero","febrero","marzo","abril","mayo","junio","julio","agosto","septiembre","octubre","noviembre","diciembre"},0)+1,0))</f>
        <v/>
      </c>
      <c r="E1435" t="str">
        <f>+IFERROR(VLOOKUP(Fact_Analitica[[#This Row], [Concepto Anterior]],Conceptos_Analítica_contraloría[#All],5,0),"")</f>
        <v/>
      </c>
      <c r="F1435" t="str">
        <f>+IFERROR(VLOOKUP(Fact_Analitica[[#This Row], [Concepto Anterior]],Conceptos_Analítica_contraloría[#All],7,0),"")</f>
        <v/>
      </c>
      <c r="I1435" t="str">
        <f>+IFERROR(VLOOKUP(D1435,Conceptos_Analítica_contraloría[#All],2,0),"")</f>
        <v/>
      </c>
      <c r="J1435" s="84" t="str">
        <f>+IFERROR(VLOOKUP(D1435,Conceptos_Analítica_contraloría[#All],3,0),"")</f>
        <v/>
      </c>
    </row>
    <row r="1436" spans="3:10" ht="18.75" customHeight="1" x14ac:dyDescent="0.35">
      <c r="C1436" s="100" t="str">
        <f>IF(OR(Fact_Analitica[[#This Row], [Año]]="",Fact_Analitica[[#This Row], [Mes]]=""),"",DATE(A1436,MATCH(B1436,{"enero","febrero","marzo","abril","mayo","junio","julio","agosto","septiembre","octubre","noviembre","diciembre"},0)+1,0))</f>
        <v/>
      </c>
      <c r="E1436" t="str">
        <f>+IFERROR(VLOOKUP(Fact_Analitica[[#This Row], [Concepto Anterior]],Conceptos_Analítica_contraloría[#All],5,0),"")</f>
        <v/>
      </c>
      <c r="F1436" t="str">
        <f>+IFERROR(VLOOKUP(Fact_Analitica[[#This Row], [Concepto Anterior]],Conceptos_Analítica_contraloría[#All],7,0),"")</f>
        <v/>
      </c>
      <c r="I1436" t="str">
        <f>+IFERROR(VLOOKUP(D1436,Conceptos_Analítica_contraloría[#All],2,0),"")</f>
        <v/>
      </c>
      <c r="J1436" s="84" t="str">
        <f>+IFERROR(VLOOKUP(D1436,Conceptos_Analítica_contraloría[#All],3,0),"")</f>
        <v/>
      </c>
    </row>
    <row r="1437" spans="3:10" ht="18.75" customHeight="1" x14ac:dyDescent="0.35">
      <c r="C1437" s="100" t="str">
        <f>IF(OR(Fact_Analitica[[#This Row], [Año]]="",Fact_Analitica[[#This Row], [Mes]]=""),"",DATE(A1437,MATCH(B1437,{"enero","febrero","marzo","abril","mayo","junio","julio","agosto","septiembre","octubre","noviembre","diciembre"},0)+1,0))</f>
        <v/>
      </c>
      <c r="E1437" t="str">
        <f>+IFERROR(VLOOKUP(Fact_Analitica[[#This Row], [Concepto Anterior]],Conceptos_Analítica_contraloría[#All],5,0),"")</f>
        <v/>
      </c>
      <c r="F1437" t="str">
        <f>+IFERROR(VLOOKUP(Fact_Analitica[[#This Row], [Concepto Anterior]],Conceptos_Analítica_contraloría[#All],7,0),"")</f>
        <v/>
      </c>
      <c r="I1437" t="str">
        <f>+IFERROR(VLOOKUP(D1437,Conceptos_Analítica_contraloría[#All],2,0),"")</f>
        <v/>
      </c>
      <c r="J1437" s="84" t="str">
        <f>+IFERROR(VLOOKUP(D1437,Conceptos_Analítica_contraloría[#All],3,0),"")</f>
        <v/>
      </c>
    </row>
    <row r="1438" spans="3:10" ht="18.75" customHeight="1" x14ac:dyDescent="0.35">
      <c r="C1438" s="100" t="str">
        <f>IF(OR(Fact_Analitica[[#This Row], [Año]]="",Fact_Analitica[[#This Row], [Mes]]=""),"",DATE(A1438,MATCH(B1438,{"enero","febrero","marzo","abril","mayo","junio","julio","agosto","septiembre","octubre","noviembre","diciembre"},0)+1,0))</f>
        <v/>
      </c>
      <c r="E1438" t="str">
        <f>+IFERROR(VLOOKUP(Fact_Analitica[[#This Row], [Concepto Anterior]],Conceptos_Analítica_contraloría[#All],5,0),"")</f>
        <v/>
      </c>
      <c r="F1438" t="str">
        <f>+IFERROR(VLOOKUP(Fact_Analitica[[#This Row], [Concepto Anterior]],Conceptos_Analítica_contraloría[#All],7,0),"")</f>
        <v/>
      </c>
      <c r="I1438" t="str">
        <f>+IFERROR(VLOOKUP(D1438,Conceptos_Analítica_contraloría[#All],2,0),"")</f>
        <v/>
      </c>
      <c r="J1438" s="84" t="str">
        <f>+IFERROR(VLOOKUP(D1438,Conceptos_Analítica_contraloría[#All],3,0),"")</f>
        <v/>
      </c>
    </row>
    <row r="1439" spans="3:10" ht="18.75" customHeight="1" x14ac:dyDescent="0.35">
      <c r="C1439" s="100" t="str">
        <f>IF(OR(Fact_Analitica[[#This Row], [Año]]="",Fact_Analitica[[#This Row], [Mes]]=""),"",DATE(A1439,MATCH(B1439,{"enero","febrero","marzo","abril","mayo","junio","julio","agosto","septiembre","octubre","noviembre","diciembre"},0)+1,0))</f>
        <v/>
      </c>
      <c r="E1439" t="str">
        <f>+IFERROR(VLOOKUP(Fact_Analitica[[#This Row], [Concepto Anterior]],Conceptos_Analítica_contraloría[#All],5,0),"")</f>
        <v/>
      </c>
      <c r="F1439" t="str">
        <f>+IFERROR(VLOOKUP(Fact_Analitica[[#This Row], [Concepto Anterior]],Conceptos_Analítica_contraloría[#All],7,0),"")</f>
        <v/>
      </c>
      <c r="I1439" t="str">
        <f>+IFERROR(VLOOKUP(D1439,Conceptos_Analítica_contraloría[#All],2,0),"")</f>
        <v/>
      </c>
      <c r="J1439" s="84" t="str">
        <f>+IFERROR(VLOOKUP(D1439,Conceptos_Analítica_contraloría[#All],3,0),"")</f>
        <v/>
      </c>
    </row>
    <row r="1440" spans="3:10" ht="18.75" customHeight="1" x14ac:dyDescent="0.35">
      <c r="C1440" s="100" t="str">
        <f>IF(OR(Fact_Analitica[[#This Row], [Año]]="",Fact_Analitica[[#This Row], [Mes]]=""),"",DATE(A1440,MATCH(B1440,{"enero","febrero","marzo","abril","mayo","junio","julio","agosto","septiembre","octubre","noviembre","diciembre"},0)+1,0))</f>
        <v/>
      </c>
      <c r="E1440" t="str">
        <f>+IFERROR(VLOOKUP(Fact_Analitica[[#This Row], [Concepto Anterior]],Conceptos_Analítica_contraloría[#All],5,0),"")</f>
        <v/>
      </c>
      <c r="F1440" t="str">
        <f>+IFERROR(VLOOKUP(Fact_Analitica[[#This Row], [Concepto Anterior]],Conceptos_Analítica_contraloría[#All],7,0),"")</f>
        <v/>
      </c>
      <c r="I1440" t="str">
        <f>+IFERROR(VLOOKUP(D1440,Conceptos_Analítica_contraloría[#All],2,0),"")</f>
        <v/>
      </c>
      <c r="J1440" s="84" t="str">
        <f>+IFERROR(VLOOKUP(D1440,Conceptos_Analítica_contraloría[#All],3,0),"")</f>
        <v/>
      </c>
    </row>
    <row r="1441" spans="3:10" ht="18.75" customHeight="1" x14ac:dyDescent="0.35">
      <c r="C1441" s="100" t="str">
        <f>IF(OR(Fact_Analitica[[#This Row], [Año]]="",Fact_Analitica[[#This Row], [Mes]]=""),"",DATE(A1441,MATCH(B1441,{"enero","febrero","marzo","abril","mayo","junio","julio","agosto","septiembre","octubre","noviembre","diciembre"},0)+1,0))</f>
        <v/>
      </c>
      <c r="E1441" t="str">
        <f>+IFERROR(VLOOKUP(Fact_Analitica[[#This Row], [Concepto Anterior]],Conceptos_Analítica_contraloría[#All],5,0),"")</f>
        <v/>
      </c>
      <c r="F1441" t="str">
        <f>+IFERROR(VLOOKUP(Fact_Analitica[[#This Row], [Concepto Anterior]],Conceptos_Analítica_contraloría[#All],7,0),"")</f>
        <v/>
      </c>
      <c r="I1441" t="str">
        <f>+IFERROR(VLOOKUP(D1441,Conceptos_Analítica_contraloría[#All],2,0),"")</f>
        <v/>
      </c>
      <c r="J1441" s="84" t="str">
        <f>+IFERROR(VLOOKUP(D1441,Conceptos_Analítica_contraloría[#All],3,0),"")</f>
        <v/>
      </c>
    </row>
    <row r="1442" spans="3:10" ht="18.75" customHeight="1" x14ac:dyDescent="0.35">
      <c r="C1442" s="100" t="str">
        <f>IF(OR(Fact_Analitica[[#This Row], [Año]]="",Fact_Analitica[[#This Row], [Mes]]=""),"",DATE(A1442,MATCH(B1442,{"enero","febrero","marzo","abril","mayo","junio","julio","agosto","septiembre","octubre","noviembre","diciembre"},0)+1,0))</f>
        <v/>
      </c>
      <c r="E1442" t="str">
        <f>+IFERROR(VLOOKUP(Fact_Analitica[[#This Row], [Concepto Anterior]],Conceptos_Analítica_contraloría[#All],5,0),"")</f>
        <v/>
      </c>
      <c r="F1442" t="str">
        <f>+IFERROR(VLOOKUP(Fact_Analitica[[#This Row], [Concepto Anterior]],Conceptos_Analítica_contraloría[#All],7,0),"")</f>
        <v/>
      </c>
      <c r="I1442" t="str">
        <f>+IFERROR(VLOOKUP(D1442,Conceptos_Analítica_contraloría[#All],2,0),"")</f>
        <v/>
      </c>
      <c r="J1442" s="84" t="str">
        <f>+IFERROR(VLOOKUP(D1442,Conceptos_Analítica_contraloría[#All],3,0),"")</f>
        <v/>
      </c>
    </row>
    <row r="1443" spans="3:10" ht="18.75" customHeight="1" x14ac:dyDescent="0.35">
      <c r="C1443" s="100" t="str">
        <f>IF(OR(Fact_Analitica[[#This Row], [Año]]="",Fact_Analitica[[#This Row], [Mes]]=""),"",DATE(A1443,MATCH(B1443,{"enero","febrero","marzo","abril","mayo","junio","julio","agosto","septiembre","octubre","noviembre","diciembre"},0)+1,0))</f>
        <v/>
      </c>
      <c r="E1443" t="str">
        <f>+IFERROR(VLOOKUP(Fact_Analitica[[#This Row], [Concepto Anterior]],Conceptos_Analítica_contraloría[#All],5,0),"")</f>
        <v/>
      </c>
      <c r="F1443" t="str">
        <f>+IFERROR(VLOOKUP(Fact_Analitica[[#This Row], [Concepto Anterior]],Conceptos_Analítica_contraloría[#All],7,0),"")</f>
        <v/>
      </c>
      <c r="I1443" t="str">
        <f>+IFERROR(VLOOKUP(D1443,Conceptos_Analítica_contraloría[#All],2,0),"")</f>
        <v/>
      </c>
      <c r="J1443" s="84" t="str">
        <f>+IFERROR(VLOOKUP(D1443,Conceptos_Analítica_contraloría[#All],3,0),"")</f>
        <v/>
      </c>
    </row>
    <row r="1444" spans="3:10" ht="18.75" customHeight="1" x14ac:dyDescent="0.35">
      <c r="C1444" s="100" t="str">
        <f>IF(OR(Fact_Analitica[[#This Row], [Año]]="",Fact_Analitica[[#This Row], [Mes]]=""),"",DATE(A1444,MATCH(B1444,{"enero","febrero","marzo","abril","mayo","junio","julio","agosto","septiembre","octubre","noviembre","diciembre"},0)+1,0))</f>
        <v/>
      </c>
      <c r="E1444" t="str">
        <f>+IFERROR(VLOOKUP(Fact_Analitica[[#This Row], [Concepto Anterior]],Conceptos_Analítica_contraloría[#All],5,0),"")</f>
        <v/>
      </c>
      <c r="F1444" t="str">
        <f>+IFERROR(VLOOKUP(Fact_Analitica[[#This Row], [Concepto Anterior]],Conceptos_Analítica_contraloría[#All],7,0),"")</f>
        <v/>
      </c>
      <c r="I1444" t="str">
        <f>+IFERROR(VLOOKUP(D1444,Conceptos_Analítica_contraloría[#All],2,0),"")</f>
        <v/>
      </c>
      <c r="J1444" s="84" t="str">
        <f>+IFERROR(VLOOKUP(D1444,Conceptos_Analítica_contraloría[#All],3,0),"")</f>
        <v/>
      </c>
    </row>
    <row r="1445" spans="3:10" ht="18.75" customHeight="1" x14ac:dyDescent="0.35">
      <c r="C1445" s="100" t="str">
        <f>IF(OR(Fact_Analitica[[#This Row], [Año]]="",Fact_Analitica[[#This Row], [Mes]]=""),"",DATE(A1445,MATCH(B1445,{"enero","febrero","marzo","abril","mayo","junio","julio","agosto","septiembre","octubre","noviembre","diciembre"},0)+1,0))</f>
        <v/>
      </c>
      <c r="E1445" t="str">
        <f>+IFERROR(VLOOKUP(Fact_Analitica[[#This Row], [Concepto Anterior]],Conceptos_Analítica_contraloría[#All],5,0),"")</f>
        <v/>
      </c>
      <c r="F1445" t="str">
        <f>+IFERROR(VLOOKUP(Fact_Analitica[[#This Row], [Concepto Anterior]],Conceptos_Analítica_contraloría[#All],7,0),"")</f>
        <v/>
      </c>
      <c r="I1445" t="str">
        <f>+IFERROR(VLOOKUP(D1445,Conceptos_Analítica_contraloría[#All],2,0),"")</f>
        <v/>
      </c>
      <c r="J1445" s="84" t="str">
        <f>+IFERROR(VLOOKUP(D1445,Conceptos_Analítica_contraloría[#All],3,0),"")</f>
        <v/>
      </c>
    </row>
    <row r="1446" spans="3:10" ht="18.75" customHeight="1" x14ac:dyDescent="0.35">
      <c r="C1446" s="100" t="str">
        <f>IF(OR(Fact_Analitica[[#This Row], [Año]]="",Fact_Analitica[[#This Row], [Mes]]=""),"",DATE(A1446,MATCH(B1446,{"enero","febrero","marzo","abril","mayo","junio","julio","agosto","septiembre","octubre","noviembre","diciembre"},0)+1,0))</f>
        <v/>
      </c>
      <c r="E1446" t="str">
        <f>+IFERROR(VLOOKUP(Fact_Analitica[[#This Row], [Concepto Anterior]],Conceptos_Analítica_contraloría[#All],5,0),"")</f>
        <v/>
      </c>
      <c r="F1446" t="str">
        <f>+IFERROR(VLOOKUP(Fact_Analitica[[#This Row], [Concepto Anterior]],Conceptos_Analítica_contraloría[#All],7,0),"")</f>
        <v/>
      </c>
      <c r="I1446" t="str">
        <f>+IFERROR(VLOOKUP(D1446,Conceptos_Analítica_contraloría[#All],2,0),"")</f>
        <v/>
      </c>
      <c r="J1446" s="84" t="str">
        <f>+IFERROR(VLOOKUP(D1446,Conceptos_Analítica_contraloría[#All],3,0),"")</f>
        <v/>
      </c>
    </row>
    <row r="1447" spans="3:10" ht="18.75" customHeight="1" x14ac:dyDescent="0.35">
      <c r="C1447" s="100" t="str">
        <f>IF(OR(Fact_Analitica[[#This Row], [Año]]="",Fact_Analitica[[#This Row], [Mes]]=""),"",DATE(A1447,MATCH(B1447,{"enero","febrero","marzo","abril","mayo","junio","julio","agosto","septiembre","octubre","noviembre","diciembre"},0)+1,0))</f>
        <v/>
      </c>
      <c r="E1447" t="str">
        <f>+IFERROR(VLOOKUP(Fact_Analitica[[#This Row], [Concepto Anterior]],Conceptos_Analítica_contraloría[#All],5,0),"")</f>
        <v/>
      </c>
      <c r="F1447" t="str">
        <f>+IFERROR(VLOOKUP(Fact_Analitica[[#This Row], [Concepto Anterior]],Conceptos_Analítica_contraloría[#All],7,0),"")</f>
        <v/>
      </c>
      <c r="I1447" t="str">
        <f>+IFERROR(VLOOKUP(D1447,Conceptos_Analítica_contraloría[#All],2,0),"")</f>
        <v/>
      </c>
      <c r="J1447" s="84" t="str">
        <f>+IFERROR(VLOOKUP(D1447,Conceptos_Analítica_contraloría[#All],3,0),"")</f>
        <v/>
      </c>
    </row>
    <row r="1448" spans="3:10" ht="18.75" customHeight="1" x14ac:dyDescent="0.35">
      <c r="C1448" s="100" t="str">
        <f>IF(OR(Fact_Analitica[[#This Row], [Año]]="",Fact_Analitica[[#This Row], [Mes]]=""),"",DATE(A1448,MATCH(B1448,{"enero","febrero","marzo","abril","mayo","junio","julio","agosto","septiembre","octubre","noviembre","diciembre"},0)+1,0))</f>
        <v/>
      </c>
      <c r="E1448" t="str">
        <f>+IFERROR(VLOOKUP(Fact_Analitica[[#This Row], [Concepto Anterior]],Conceptos_Analítica_contraloría[#All],5,0),"")</f>
        <v/>
      </c>
      <c r="F1448" t="str">
        <f>+IFERROR(VLOOKUP(Fact_Analitica[[#This Row], [Concepto Anterior]],Conceptos_Analítica_contraloría[#All],7,0),"")</f>
        <v/>
      </c>
      <c r="I1448" t="str">
        <f>+IFERROR(VLOOKUP(D1448,Conceptos_Analítica_contraloría[#All],2,0),"")</f>
        <v/>
      </c>
      <c r="J1448" s="84" t="str">
        <f>+IFERROR(VLOOKUP(D1448,Conceptos_Analítica_contraloría[#All],3,0),"")</f>
        <v/>
      </c>
    </row>
    <row r="1449" spans="3:10" ht="18.75" customHeight="1" x14ac:dyDescent="0.35">
      <c r="C1449" s="100" t="str">
        <f>IF(OR(Fact_Analitica[[#This Row], [Año]]="",Fact_Analitica[[#This Row], [Mes]]=""),"",DATE(A1449,MATCH(B1449,{"enero","febrero","marzo","abril","mayo","junio","julio","agosto","septiembre","octubre","noviembre","diciembre"},0)+1,0))</f>
        <v/>
      </c>
      <c r="E1449" t="str">
        <f>+IFERROR(VLOOKUP(Fact_Analitica[[#This Row], [Concepto Anterior]],Conceptos_Analítica_contraloría[#All],5,0),"")</f>
        <v/>
      </c>
      <c r="F1449" t="str">
        <f>+IFERROR(VLOOKUP(Fact_Analitica[[#This Row], [Concepto Anterior]],Conceptos_Analítica_contraloría[#All],7,0),"")</f>
        <v/>
      </c>
      <c r="I1449" t="str">
        <f>+IFERROR(VLOOKUP(D1449,Conceptos_Analítica_contraloría[#All],2,0),"")</f>
        <v/>
      </c>
      <c r="J1449" s="84" t="str">
        <f>+IFERROR(VLOOKUP(D1449,Conceptos_Analítica_contraloría[#All],3,0),"")</f>
        <v/>
      </c>
    </row>
    <row r="1450" spans="3:10" ht="18.75" customHeight="1" x14ac:dyDescent="0.35">
      <c r="C1450" s="100" t="str">
        <f>IF(OR(Fact_Analitica[[#This Row], [Año]]="",Fact_Analitica[[#This Row], [Mes]]=""),"",DATE(A1450,MATCH(B1450,{"enero","febrero","marzo","abril","mayo","junio","julio","agosto","septiembre","octubre","noviembre","diciembre"},0)+1,0))</f>
        <v/>
      </c>
      <c r="E1450" t="str">
        <f>+IFERROR(VLOOKUP(Fact_Analitica[[#This Row], [Concepto Anterior]],Conceptos_Analítica_contraloría[#All],5,0),"")</f>
        <v/>
      </c>
      <c r="F1450" t="str">
        <f>+IFERROR(VLOOKUP(Fact_Analitica[[#This Row], [Concepto Anterior]],Conceptos_Analítica_contraloría[#All],7,0),"")</f>
        <v/>
      </c>
      <c r="I1450" t="str">
        <f>+IFERROR(VLOOKUP(D1450,Conceptos_Analítica_contraloría[#All],2,0),"")</f>
        <v/>
      </c>
      <c r="J1450" s="84" t="str">
        <f>+IFERROR(VLOOKUP(D1450,Conceptos_Analítica_contraloría[#All],3,0),"")</f>
        <v/>
      </c>
    </row>
    <row r="1451" spans="3:10" ht="18.75" customHeight="1" x14ac:dyDescent="0.35">
      <c r="C1451" s="100" t="str">
        <f>IF(OR(Fact_Analitica[[#This Row], [Año]]="",Fact_Analitica[[#This Row], [Mes]]=""),"",DATE(A1451,MATCH(B1451,{"enero","febrero","marzo","abril","mayo","junio","julio","agosto","septiembre","octubre","noviembre","diciembre"},0)+1,0))</f>
        <v/>
      </c>
      <c r="E1451" t="str">
        <f>+IFERROR(VLOOKUP(Fact_Analitica[[#This Row], [Concepto Anterior]],Conceptos_Analítica_contraloría[#All],5,0),"")</f>
        <v/>
      </c>
      <c r="F1451" t="str">
        <f>+IFERROR(VLOOKUP(Fact_Analitica[[#This Row], [Concepto Anterior]],Conceptos_Analítica_contraloría[#All],7,0),"")</f>
        <v/>
      </c>
      <c r="I1451" t="str">
        <f>+IFERROR(VLOOKUP(D1451,Conceptos_Analítica_contraloría[#All],2,0),"")</f>
        <v/>
      </c>
      <c r="J1451" s="84" t="str">
        <f>+IFERROR(VLOOKUP(D1451,Conceptos_Analítica_contraloría[#All],3,0),"")</f>
        <v/>
      </c>
    </row>
    <row r="1452" spans="3:10" ht="18.75" customHeight="1" x14ac:dyDescent="0.35">
      <c r="C1452" s="100" t="str">
        <f>IF(OR(Fact_Analitica[[#This Row], [Año]]="",Fact_Analitica[[#This Row], [Mes]]=""),"",DATE(A1452,MATCH(B1452,{"enero","febrero","marzo","abril","mayo","junio","julio","agosto","septiembre","octubre","noviembre","diciembre"},0)+1,0))</f>
        <v/>
      </c>
      <c r="E1452" t="str">
        <f>+IFERROR(VLOOKUP(Fact_Analitica[[#This Row], [Concepto Anterior]],Conceptos_Analítica_contraloría[#All],5,0),"")</f>
        <v/>
      </c>
      <c r="F1452" t="str">
        <f>+IFERROR(VLOOKUP(Fact_Analitica[[#This Row], [Concepto Anterior]],Conceptos_Analítica_contraloría[#All],7,0),"")</f>
        <v/>
      </c>
      <c r="I1452" t="str">
        <f>+IFERROR(VLOOKUP(D1452,Conceptos_Analítica_contraloría[#All],2,0),"")</f>
        <v/>
      </c>
      <c r="J1452" s="84" t="str">
        <f>+IFERROR(VLOOKUP(D1452,Conceptos_Analítica_contraloría[#All],3,0),"")</f>
        <v/>
      </c>
    </row>
    <row r="1453" spans="3:10" ht="18.75" customHeight="1" x14ac:dyDescent="0.35">
      <c r="C1453" s="100" t="str">
        <f>IF(OR(Fact_Analitica[[#This Row], [Año]]="",Fact_Analitica[[#This Row], [Mes]]=""),"",DATE(A1453,MATCH(B1453,{"enero","febrero","marzo","abril","mayo","junio","julio","agosto","septiembre","octubre","noviembre","diciembre"},0)+1,0))</f>
        <v/>
      </c>
      <c r="E1453" t="str">
        <f>+IFERROR(VLOOKUP(Fact_Analitica[[#This Row], [Concepto Anterior]],Conceptos_Analítica_contraloría[#All],5,0),"")</f>
        <v/>
      </c>
      <c r="F1453" t="str">
        <f>+IFERROR(VLOOKUP(Fact_Analitica[[#This Row], [Concepto Anterior]],Conceptos_Analítica_contraloría[#All],7,0),"")</f>
        <v/>
      </c>
      <c r="I1453" t="str">
        <f>+IFERROR(VLOOKUP(D1453,Conceptos_Analítica_contraloría[#All],2,0),"")</f>
        <v/>
      </c>
      <c r="J1453" s="84" t="str">
        <f>+IFERROR(VLOOKUP(D1453,Conceptos_Analítica_contraloría[#All],3,0),"")</f>
        <v/>
      </c>
    </row>
    <row r="1454" spans="3:10" ht="18.75" customHeight="1" x14ac:dyDescent="0.35">
      <c r="C1454" s="100" t="str">
        <f>IF(OR(Fact_Analitica[[#This Row], [Año]]="",Fact_Analitica[[#This Row], [Mes]]=""),"",DATE(A1454,MATCH(B1454,{"enero","febrero","marzo","abril","mayo","junio","julio","agosto","septiembre","octubre","noviembre","diciembre"},0)+1,0))</f>
        <v/>
      </c>
      <c r="E1454" t="str">
        <f>+IFERROR(VLOOKUP(Fact_Analitica[[#This Row], [Concepto Anterior]],Conceptos_Analítica_contraloría[#All],5,0),"")</f>
        <v/>
      </c>
      <c r="F1454" t="str">
        <f>+IFERROR(VLOOKUP(Fact_Analitica[[#This Row], [Concepto Anterior]],Conceptos_Analítica_contraloría[#All],7,0),"")</f>
        <v/>
      </c>
      <c r="I1454" t="str">
        <f>+IFERROR(VLOOKUP(D1454,Conceptos_Analítica_contraloría[#All],2,0),"")</f>
        <v/>
      </c>
      <c r="J1454" s="84" t="str">
        <f>+IFERROR(VLOOKUP(D1454,Conceptos_Analítica_contraloría[#All],3,0),"")</f>
        <v/>
      </c>
    </row>
    <row r="1455" spans="3:10" ht="18.75" customHeight="1" x14ac:dyDescent="0.35">
      <c r="C1455" s="100" t="str">
        <f>IF(OR(Fact_Analitica[[#This Row], [Año]]="",Fact_Analitica[[#This Row], [Mes]]=""),"",DATE(A1455,MATCH(B1455,{"enero","febrero","marzo","abril","mayo","junio","julio","agosto","septiembre","octubre","noviembre","diciembre"},0)+1,0))</f>
        <v/>
      </c>
      <c r="E1455" t="str">
        <f>+IFERROR(VLOOKUP(Fact_Analitica[[#This Row], [Concepto Anterior]],Conceptos_Analítica_contraloría[#All],5,0),"")</f>
        <v/>
      </c>
      <c r="F1455" t="str">
        <f>+IFERROR(VLOOKUP(Fact_Analitica[[#This Row], [Concepto Anterior]],Conceptos_Analítica_contraloría[#All],7,0),"")</f>
        <v/>
      </c>
      <c r="I1455" t="str">
        <f>+IFERROR(VLOOKUP(D1455,Conceptos_Analítica_contraloría[#All],2,0),"")</f>
        <v/>
      </c>
      <c r="J1455" s="84" t="str">
        <f>+IFERROR(VLOOKUP(D1455,Conceptos_Analítica_contraloría[#All],3,0),"")</f>
        <v/>
      </c>
    </row>
    <row r="1456" spans="3:10" ht="18.75" customHeight="1" x14ac:dyDescent="0.35">
      <c r="C1456" s="100" t="str">
        <f>IF(OR(Fact_Analitica[[#This Row], [Año]]="",Fact_Analitica[[#This Row], [Mes]]=""),"",DATE(A1456,MATCH(B1456,{"enero","febrero","marzo","abril","mayo","junio","julio","agosto","septiembre","octubre","noviembre","diciembre"},0)+1,0))</f>
        <v/>
      </c>
      <c r="E1456" t="str">
        <f>+IFERROR(VLOOKUP(Fact_Analitica[[#This Row], [Concepto Anterior]],Conceptos_Analítica_contraloría[#All],5,0),"")</f>
        <v/>
      </c>
      <c r="F1456" t="str">
        <f>+IFERROR(VLOOKUP(Fact_Analitica[[#This Row], [Concepto Anterior]],Conceptos_Analítica_contraloría[#All],7,0),"")</f>
        <v/>
      </c>
      <c r="I1456" t="str">
        <f>+IFERROR(VLOOKUP(D1456,Conceptos_Analítica_contraloría[#All],2,0),"")</f>
        <v/>
      </c>
      <c r="J1456" s="84" t="str">
        <f>+IFERROR(VLOOKUP(D1456,Conceptos_Analítica_contraloría[#All],3,0),"")</f>
        <v/>
      </c>
    </row>
    <row r="1457" spans="3:10" ht="18.75" customHeight="1" x14ac:dyDescent="0.35">
      <c r="C1457" s="100" t="str">
        <f>IF(OR(Fact_Analitica[[#This Row], [Año]]="",Fact_Analitica[[#This Row], [Mes]]=""),"",DATE(A1457,MATCH(B1457,{"enero","febrero","marzo","abril","mayo","junio","julio","agosto","septiembre","octubre","noviembre","diciembre"},0)+1,0))</f>
        <v/>
      </c>
      <c r="E1457" t="str">
        <f>+IFERROR(VLOOKUP(Fact_Analitica[[#This Row], [Concepto Anterior]],Conceptos_Analítica_contraloría[#All],5,0),"")</f>
        <v/>
      </c>
      <c r="F1457" t="str">
        <f>+IFERROR(VLOOKUP(Fact_Analitica[[#This Row], [Concepto Anterior]],Conceptos_Analítica_contraloría[#All],7,0),"")</f>
        <v/>
      </c>
      <c r="I1457" t="str">
        <f>+IFERROR(VLOOKUP(D1457,Conceptos_Analítica_contraloría[#All],2,0),"")</f>
        <v/>
      </c>
      <c r="J1457" s="84" t="str">
        <f>+IFERROR(VLOOKUP(D1457,Conceptos_Analítica_contraloría[#All],3,0),"")</f>
        <v/>
      </c>
    </row>
    <row r="1458" spans="3:10" ht="18.75" customHeight="1" x14ac:dyDescent="0.35">
      <c r="C1458" s="100" t="str">
        <f>IF(OR(Fact_Analitica[[#This Row], [Año]]="",Fact_Analitica[[#This Row], [Mes]]=""),"",DATE(A1458,MATCH(B1458,{"enero","febrero","marzo","abril","mayo","junio","julio","agosto","septiembre","octubre","noviembre","diciembre"},0)+1,0))</f>
        <v/>
      </c>
      <c r="E1458" t="str">
        <f>+IFERROR(VLOOKUP(Fact_Analitica[[#This Row], [Concepto Anterior]],Conceptos_Analítica_contraloría[#All],5,0),"")</f>
        <v/>
      </c>
      <c r="F1458" t="str">
        <f>+IFERROR(VLOOKUP(Fact_Analitica[[#This Row], [Concepto Anterior]],Conceptos_Analítica_contraloría[#All],7,0),"")</f>
        <v/>
      </c>
      <c r="I1458" t="str">
        <f>+IFERROR(VLOOKUP(D1458,Conceptos_Analítica_contraloría[#All],2,0),"")</f>
        <v/>
      </c>
      <c r="J1458" s="84" t="str">
        <f>+IFERROR(VLOOKUP(D1458,Conceptos_Analítica_contraloría[#All],3,0),"")</f>
        <v/>
      </c>
    </row>
    <row r="1459" spans="3:10" ht="18.75" customHeight="1" x14ac:dyDescent="0.35">
      <c r="C1459" s="100" t="str">
        <f>IF(OR(Fact_Analitica[[#This Row], [Año]]="",Fact_Analitica[[#This Row], [Mes]]=""),"",DATE(A1459,MATCH(B1459,{"enero","febrero","marzo","abril","mayo","junio","julio","agosto","septiembre","octubre","noviembre","diciembre"},0)+1,0))</f>
        <v/>
      </c>
      <c r="E1459" t="str">
        <f>+IFERROR(VLOOKUP(Fact_Analitica[[#This Row], [Concepto Anterior]],Conceptos_Analítica_contraloría[#All],5,0),"")</f>
        <v/>
      </c>
      <c r="F1459" t="str">
        <f>+IFERROR(VLOOKUP(Fact_Analitica[[#This Row], [Concepto Anterior]],Conceptos_Analítica_contraloría[#All],7,0),"")</f>
        <v/>
      </c>
      <c r="I1459" t="str">
        <f>+IFERROR(VLOOKUP(D1459,Conceptos_Analítica_contraloría[#All],2,0),"")</f>
        <v/>
      </c>
      <c r="J1459" s="84" t="str">
        <f>+IFERROR(VLOOKUP(D1459,Conceptos_Analítica_contraloría[#All],3,0),"")</f>
        <v/>
      </c>
    </row>
    <row r="1460" spans="3:10" ht="18.75" customHeight="1" x14ac:dyDescent="0.35">
      <c r="C1460" s="100" t="str">
        <f>IF(OR(Fact_Analitica[[#This Row], [Año]]="",Fact_Analitica[[#This Row], [Mes]]=""),"",DATE(A1460,MATCH(B1460,{"enero","febrero","marzo","abril","mayo","junio","julio","agosto","septiembre","octubre","noviembre","diciembre"},0)+1,0))</f>
        <v/>
      </c>
      <c r="E1460" t="str">
        <f>+IFERROR(VLOOKUP(Fact_Analitica[[#This Row], [Concepto Anterior]],Conceptos_Analítica_contraloría[#All],5,0),"")</f>
        <v/>
      </c>
      <c r="F1460" t="str">
        <f>+IFERROR(VLOOKUP(Fact_Analitica[[#This Row], [Concepto Anterior]],Conceptos_Analítica_contraloría[#All],7,0),"")</f>
        <v/>
      </c>
      <c r="I1460" t="str">
        <f>+IFERROR(VLOOKUP(D1460,Conceptos_Analítica_contraloría[#All],2,0),"")</f>
        <v/>
      </c>
      <c r="J1460" s="84" t="str">
        <f>+IFERROR(VLOOKUP(D1460,Conceptos_Analítica_contraloría[#All],3,0),"")</f>
        <v/>
      </c>
    </row>
    <row r="1461" spans="3:10" ht="18.75" customHeight="1" x14ac:dyDescent="0.35">
      <c r="C1461" s="100" t="str">
        <f>IF(OR(Fact_Analitica[[#This Row], [Año]]="",Fact_Analitica[[#This Row], [Mes]]=""),"",DATE(A1461,MATCH(B1461,{"enero","febrero","marzo","abril","mayo","junio","julio","agosto","septiembre","octubre","noviembre","diciembre"},0)+1,0))</f>
        <v/>
      </c>
      <c r="E1461" t="str">
        <f>+IFERROR(VLOOKUP(Fact_Analitica[[#This Row], [Concepto Anterior]],Conceptos_Analítica_contraloría[#All],5,0),"")</f>
        <v/>
      </c>
      <c r="F1461" t="str">
        <f>+IFERROR(VLOOKUP(Fact_Analitica[[#This Row], [Concepto Anterior]],Conceptos_Analítica_contraloría[#All],7,0),"")</f>
        <v/>
      </c>
      <c r="I1461" t="str">
        <f>+IFERROR(VLOOKUP(D1461,Conceptos_Analítica_contraloría[#All],2,0),"")</f>
        <v/>
      </c>
      <c r="J1461" s="84" t="str">
        <f>+IFERROR(VLOOKUP(D1461,Conceptos_Analítica_contraloría[#All],3,0),"")</f>
        <v/>
      </c>
    </row>
    <row r="1462" spans="3:10" ht="18.75" customHeight="1" x14ac:dyDescent="0.35">
      <c r="C1462" s="100" t="str">
        <f>IF(OR(Fact_Analitica[[#This Row], [Año]]="",Fact_Analitica[[#This Row], [Mes]]=""),"",DATE(A1462,MATCH(B1462,{"enero","febrero","marzo","abril","mayo","junio","julio","agosto","septiembre","octubre","noviembre","diciembre"},0)+1,0))</f>
        <v/>
      </c>
      <c r="E1462" t="str">
        <f>+IFERROR(VLOOKUP(Fact_Analitica[[#This Row], [Concepto Anterior]],Conceptos_Analítica_contraloría[#All],5,0),"")</f>
        <v/>
      </c>
      <c r="F1462" t="str">
        <f>+IFERROR(VLOOKUP(Fact_Analitica[[#This Row], [Concepto Anterior]],Conceptos_Analítica_contraloría[#All],7,0),"")</f>
        <v/>
      </c>
      <c r="I1462" t="str">
        <f>+IFERROR(VLOOKUP(D1462,Conceptos_Analítica_contraloría[#All],2,0),"")</f>
        <v/>
      </c>
      <c r="J1462" s="84" t="str">
        <f>+IFERROR(VLOOKUP(D1462,Conceptos_Analítica_contraloría[#All],3,0),"")</f>
        <v/>
      </c>
    </row>
    <row r="1463" spans="3:10" ht="18.75" customHeight="1" x14ac:dyDescent="0.35">
      <c r="C1463" s="100" t="str">
        <f>IF(OR(Fact_Analitica[[#This Row], [Año]]="",Fact_Analitica[[#This Row], [Mes]]=""),"",DATE(A1463,MATCH(B1463,{"enero","febrero","marzo","abril","mayo","junio","julio","agosto","septiembre","octubre","noviembre","diciembre"},0)+1,0))</f>
        <v/>
      </c>
      <c r="E1463" t="str">
        <f>+IFERROR(VLOOKUP(Fact_Analitica[[#This Row], [Concepto Anterior]],Conceptos_Analítica_contraloría[#All],5,0),"")</f>
        <v/>
      </c>
      <c r="F1463" t="str">
        <f>+IFERROR(VLOOKUP(Fact_Analitica[[#This Row], [Concepto Anterior]],Conceptos_Analítica_contraloría[#All],7,0),"")</f>
        <v/>
      </c>
      <c r="I1463" t="str">
        <f>+IFERROR(VLOOKUP(D1463,Conceptos_Analítica_contraloría[#All],2,0),"")</f>
        <v/>
      </c>
      <c r="J1463" s="84" t="str">
        <f>+IFERROR(VLOOKUP(D1463,Conceptos_Analítica_contraloría[#All],3,0),"")</f>
        <v/>
      </c>
    </row>
    <row r="1464" spans="3:10" ht="18.75" customHeight="1" x14ac:dyDescent="0.35">
      <c r="C1464" s="100" t="str">
        <f>IF(OR(Fact_Analitica[[#This Row], [Año]]="",Fact_Analitica[[#This Row], [Mes]]=""),"",DATE(A1464,MATCH(B1464,{"enero","febrero","marzo","abril","mayo","junio","julio","agosto","septiembre","octubre","noviembre","diciembre"},0)+1,0))</f>
        <v/>
      </c>
      <c r="E1464" t="str">
        <f>+IFERROR(VLOOKUP(Fact_Analitica[[#This Row], [Concepto Anterior]],Conceptos_Analítica_contraloría[#All],5,0),"")</f>
        <v/>
      </c>
      <c r="F1464" t="str">
        <f>+IFERROR(VLOOKUP(Fact_Analitica[[#This Row], [Concepto Anterior]],Conceptos_Analítica_contraloría[#All],7,0),"")</f>
        <v/>
      </c>
      <c r="I1464" t="str">
        <f>+IFERROR(VLOOKUP(D1464,Conceptos_Analítica_contraloría[#All],2,0),"")</f>
        <v/>
      </c>
      <c r="J1464" s="84" t="str">
        <f>+IFERROR(VLOOKUP(D1464,Conceptos_Analítica_contraloría[#All],3,0),"")</f>
        <v/>
      </c>
    </row>
    <row r="1465" spans="3:10" ht="18.75" customHeight="1" x14ac:dyDescent="0.35">
      <c r="C1465" s="100" t="str">
        <f>IF(OR(Fact_Analitica[[#This Row], [Año]]="",Fact_Analitica[[#This Row], [Mes]]=""),"",DATE(A1465,MATCH(B1465,{"enero","febrero","marzo","abril","mayo","junio","julio","agosto","septiembre","octubre","noviembre","diciembre"},0)+1,0))</f>
        <v/>
      </c>
      <c r="E1465" t="str">
        <f>+IFERROR(VLOOKUP(Fact_Analitica[[#This Row], [Concepto Anterior]],Conceptos_Analítica_contraloría[#All],5,0),"")</f>
        <v/>
      </c>
      <c r="F1465" t="str">
        <f>+IFERROR(VLOOKUP(Fact_Analitica[[#This Row], [Concepto Anterior]],Conceptos_Analítica_contraloría[#All],7,0),"")</f>
        <v/>
      </c>
      <c r="I1465" t="str">
        <f>+IFERROR(VLOOKUP(D1465,Conceptos_Analítica_contraloría[#All],2,0),"")</f>
        <v/>
      </c>
      <c r="J1465" s="84" t="str">
        <f>+IFERROR(VLOOKUP(D1465,Conceptos_Analítica_contraloría[#All],3,0),"")</f>
        <v/>
      </c>
    </row>
    <row r="1466" spans="3:10" ht="18.75" customHeight="1" x14ac:dyDescent="0.35">
      <c r="C1466" s="100" t="str">
        <f>IF(OR(Fact_Analitica[[#This Row], [Año]]="",Fact_Analitica[[#This Row], [Mes]]=""),"",DATE(A1466,MATCH(B1466,{"enero","febrero","marzo","abril","mayo","junio","julio","agosto","septiembre","octubre","noviembre","diciembre"},0)+1,0))</f>
        <v/>
      </c>
      <c r="E1466" t="str">
        <f>+IFERROR(VLOOKUP(Fact_Analitica[[#This Row], [Concepto Anterior]],Conceptos_Analítica_contraloría[#All],5,0),"")</f>
        <v/>
      </c>
      <c r="F1466" t="str">
        <f>+IFERROR(VLOOKUP(Fact_Analitica[[#This Row], [Concepto Anterior]],Conceptos_Analítica_contraloría[#All],7,0),"")</f>
        <v/>
      </c>
      <c r="I1466" t="str">
        <f>+IFERROR(VLOOKUP(D1466,Conceptos_Analítica_contraloría[#All],2,0),"")</f>
        <v/>
      </c>
      <c r="J1466" s="84" t="str">
        <f>+IFERROR(VLOOKUP(D1466,Conceptos_Analítica_contraloría[#All],3,0),"")</f>
        <v/>
      </c>
    </row>
    <row r="1467" spans="3:10" ht="18.75" customHeight="1" x14ac:dyDescent="0.35">
      <c r="C1467" s="100" t="str">
        <f>IF(OR(Fact_Analitica[[#This Row], [Año]]="",Fact_Analitica[[#This Row], [Mes]]=""),"",DATE(A1467,MATCH(B1467,{"enero","febrero","marzo","abril","mayo","junio","julio","agosto","septiembre","octubre","noviembre","diciembre"},0)+1,0))</f>
        <v/>
      </c>
      <c r="E1467" t="str">
        <f>+IFERROR(VLOOKUP(Fact_Analitica[[#This Row], [Concepto Anterior]],Conceptos_Analítica_contraloría[#All],5,0),"")</f>
        <v/>
      </c>
      <c r="F1467" t="str">
        <f>+IFERROR(VLOOKUP(Fact_Analitica[[#This Row], [Concepto Anterior]],Conceptos_Analítica_contraloría[#All],7,0),"")</f>
        <v/>
      </c>
      <c r="I1467" t="str">
        <f>+IFERROR(VLOOKUP(D1467,Conceptos_Analítica_contraloría[#All],2,0),"")</f>
        <v/>
      </c>
      <c r="J1467" s="84" t="str">
        <f>+IFERROR(VLOOKUP(D1467,Conceptos_Analítica_contraloría[#All],3,0),"")</f>
        <v/>
      </c>
    </row>
    <row r="1468" spans="3:10" ht="18.75" customHeight="1" x14ac:dyDescent="0.35">
      <c r="C1468" s="100" t="str">
        <f>IF(OR(Fact_Analitica[[#This Row], [Año]]="",Fact_Analitica[[#This Row], [Mes]]=""),"",DATE(A1468,MATCH(B1468,{"enero","febrero","marzo","abril","mayo","junio","julio","agosto","septiembre","octubre","noviembre","diciembre"},0)+1,0))</f>
        <v/>
      </c>
      <c r="E1468" t="str">
        <f>+IFERROR(VLOOKUP(Fact_Analitica[[#This Row], [Concepto Anterior]],Conceptos_Analítica_contraloría[#All],5,0),"")</f>
        <v/>
      </c>
      <c r="F1468" t="str">
        <f>+IFERROR(VLOOKUP(Fact_Analitica[[#This Row], [Concepto Anterior]],Conceptos_Analítica_contraloría[#All],7,0),"")</f>
        <v/>
      </c>
      <c r="I1468" t="str">
        <f>+IFERROR(VLOOKUP(D1468,Conceptos_Analítica_contraloría[#All],2,0),"")</f>
        <v/>
      </c>
      <c r="J1468" s="84" t="str">
        <f>+IFERROR(VLOOKUP(D1468,Conceptos_Analítica_contraloría[#All],3,0),"")</f>
        <v/>
      </c>
    </row>
    <row r="1469" spans="3:10" ht="18.75" customHeight="1" x14ac:dyDescent="0.35">
      <c r="C1469" s="100" t="str">
        <f>IF(OR(Fact_Analitica[[#This Row], [Año]]="",Fact_Analitica[[#This Row], [Mes]]=""),"",DATE(A1469,MATCH(B1469,{"enero","febrero","marzo","abril","mayo","junio","julio","agosto","septiembre","octubre","noviembre","diciembre"},0)+1,0))</f>
        <v/>
      </c>
      <c r="E1469" t="str">
        <f>+IFERROR(VLOOKUP(Fact_Analitica[[#This Row], [Concepto Anterior]],Conceptos_Analítica_contraloría[#All],5,0),"")</f>
        <v/>
      </c>
      <c r="F1469" t="str">
        <f>+IFERROR(VLOOKUP(Fact_Analitica[[#This Row], [Concepto Anterior]],Conceptos_Analítica_contraloría[#All],7,0),"")</f>
        <v/>
      </c>
      <c r="I1469" t="str">
        <f>+IFERROR(VLOOKUP(D1469,Conceptos_Analítica_contraloría[#All],2,0),"")</f>
        <v/>
      </c>
      <c r="J1469" s="84" t="str">
        <f>+IFERROR(VLOOKUP(D1469,Conceptos_Analítica_contraloría[#All],3,0),"")</f>
        <v/>
      </c>
    </row>
    <row r="1470" spans="3:10" ht="18.75" customHeight="1" x14ac:dyDescent="0.35">
      <c r="C1470" s="100" t="str">
        <f>IF(OR(Fact_Analitica[[#This Row], [Año]]="",Fact_Analitica[[#This Row], [Mes]]=""),"",DATE(A1470,MATCH(B1470,{"enero","febrero","marzo","abril","mayo","junio","julio","agosto","septiembre","octubre","noviembre","diciembre"},0)+1,0))</f>
        <v/>
      </c>
      <c r="E1470" t="str">
        <f>+IFERROR(VLOOKUP(Fact_Analitica[[#This Row], [Concepto Anterior]],Conceptos_Analítica_contraloría[#All],5,0),"")</f>
        <v/>
      </c>
      <c r="F1470" t="str">
        <f>+IFERROR(VLOOKUP(Fact_Analitica[[#This Row], [Concepto Anterior]],Conceptos_Analítica_contraloría[#All],7,0),"")</f>
        <v/>
      </c>
      <c r="I1470" t="str">
        <f>+IFERROR(VLOOKUP(D1470,Conceptos_Analítica_contraloría[#All],2,0),"")</f>
        <v/>
      </c>
      <c r="J1470" s="84" t="str">
        <f>+IFERROR(VLOOKUP(D1470,Conceptos_Analítica_contraloría[#All],3,0),"")</f>
        <v/>
      </c>
    </row>
    <row r="1471" spans="3:10" ht="18.75" customHeight="1" x14ac:dyDescent="0.35">
      <c r="C1471" s="100" t="str">
        <f>IF(OR(Fact_Analitica[[#This Row], [Año]]="",Fact_Analitica[[#This Row], [Mes]]=""),"",DATE(A1471,MATCH(B1471,{"enero","febrero","marzo","abril","mayo","junio","julio","agosto","septiembre","octubre","noviembre","diciembre"},0)+1,0))</f>
        <v/>
      </c>
      <c r="E1471" t="str">
        <f>+IFERROR(VLOOKUP(Fact_Analitica[[#This Row], [Concepto Anterior]],Conceptos_Analítica_contraloría[#All],5,0),"")</f>
        <v/>
      </c>
      <c r="F1471" t="str">
        <f>+IFERROR(VLOOKUP(Fact_Analitica[[#This Row], [Concepto Anterior]],Conceptos_Analítica_contraloría[#All],7,0),"")</f>
        <v/>
      </c>
      <c r="I1471" t="str">
        <f>+IFERROR(VLOOKUP(D1471,Conceptos_Analítica_contraloría[#All],2,0),"")</f>
        <v/>
      </c>
      <c r="J1471" s="84" t="str">
        <f>+IFERROR(VLOOKUP(D1471,Conceptos_Analítica_contraloría[#All],3,0),"")</f>
        <v/>
      </c>
    </row>
    <row r="1472" spans="3:10" ht="18.75" customHeight="1" x14ac:dyDescent="0.35">
      <c r="C1472" s="100" t="str">
        <f>IF(OR(Fact_Analitica[[#This Row], [Año]]="",Fact_Analitica[[#This Row], [Mes]]=""),"",DATE(A1472,MATCH(B1472,{"enero","febrero","marzo","abril","mayo","junio","julio","agosto","septiembre","octubre","noviembre","diciembre"},0)+1,0))</f>
        <v/>
      </c>
      <c r="E1472" t="str">
        <f>+IFERROR(VLOOKUP(Fact_Analitica[[#This Row], [Concepto Anterior]],Conceptos_Analítica_contraloría[#All],5,0),"")</f>
        <v/>
      </c>
      <c r="F1472" t="str">
        <f>+IFERROR(VLOOKUP(Fact_Analitica[[#This Row], [Concepto Anterior]],Conceptos_Analítica_contraloría[#All],7,0),"")</f>
        <v/>
      </c>
      <c r="I1472" t="str">
        <f>+IFERROR(VLOOKUP(D1472,Conceptos_Analítica_contraloría[#All],2,0),"")</f>
        <v/>
      </c>
      <c r="J1472" s="84" t="str">
        <f>+IFERROR(VLOOKUP(D1472,Conceptos_Analítica_contraloría[#All],3,0),"")</f>
        <v/>
      </c>
    </row>
    <row r="1473" spans="3:10" ht="18.75" customHeight="1" x14ac:dyDescent="0.35">
      <c r="C1473" s="100" t="str">
        <f>IF(OR(Fact_Analitica[[#This Row], [Año]]="",Fact_Analitica[[#This Row], [Mes]]=""),"",DATE(A1473,MATCH(B1473,{"enero","febrero","marzo","abril","mayo","junio","julio","agosto","septiembre","octubre","noviembre","diciembre"},0)+1,0))</f>
        <v/>
      </c>
      <c r="E1473" t="str">
        <f>+IFERROR(VLOOKUP(Fact_Analitica[[#This Row], [Concepto Anterior]],Conceptos_Analítica_contraloría[#All],5,0),"")</f>
        <v/>
      </c>
      <c r="F1473" t="str">
        <f>+IFERROR(VLOOKUP(Fact_Analitica[[#This Row], [Concepto Anterior]],Conceptos_Analítica_contraloría[#All],7,0),"")</f>
        <v/>
      </c>
      <c r="I1473" t="str">
        <f>+IFERROR(VLOOKUP(D1473,Conceptos_Analítica_contraloría[#All],2,0),"")</f>
        <v/>
      </c>
      <c r="J1473" s="84" t="str">
        <f>+IFERROR(VLOOKUP(D1473,Conceptos_Analítica_contraloría[#All],3,0),"")</f>
        <v/>
      </c>
    </row>
    <row r="1474" spans="3:10" ht="18.75" customHeight="1" x14ac:dyDescent="0.35">
      <c r="C1474" s="100" t="str">
        <f>IF(OR(Fact_Analitica[[#This Row], [Año]]="",Fact_Analitica[[#This Row], [Mes]]=""),"",DATE(A1474,MATCH(B1474,{"enero","febrero","marzo","abril","mayo","junio","julio","agosto","septiembre","octubre","noviembre","diciembre"},0)+1,0))</f>
        <v/>
      </c>
      <c r="E1474" t="str">
        <f>+IFERROR(VLOOKUP(Fact_Analitica[[#This Row], [Concepto Anterior]],Conceptos_Analítica_contraloría[#All],5,0),"")</f>
        <v/>
      </c>
      <c r="F1474" t="str">
        <f>+IFERROR(VLOOKUP(Fact_Analitica[[#This Row], [Concepto Anterior]],Conceptos_Analítica_contraloría[#All],7,0),"")</f>
        <v/>
      </c>
      <c r="I1474" t="str">
        <f>+IFERROR(VLOOKUP(D1474,Conceptos_Analítica_contraloría[#All],2,0),"")</f>
        <v/>
      </c>
      <c r="J1474" s="84" t="str">
        <f>+IFERROR(VLOOKUP(D1474,Conceptos_Analítica_contraloría[#All],3,0),"")</f>
        <v/>
      </c>
    </row>
    <row r="1475" spans="3:10" ht="18.75" customHeight="1" x14ac:dyDescent="0.35">
      <c r="C1475" s="100" t="str">
        <f>IF(OR(Fact_Analitica[[#This Row], [Año]]="",Fact_Analitica[[#This Row], [Mes]]=""),"",DATE(A1475,MATCH(B1475,{"enero","febrero","marzo","abril","mayo","junio","julio","agosto","septiembre","octubre","noviembre","diciembre"},0)+1,0))</f>
        <v/>
      </c>
      <c r="E1475" t="str">
        <f>+IFERROR(VLOOKUP(Fact_Analitica[[#This Row], [Concepto Anterior]],Conceptos_Analítica_contraloría[#All],5,0),"")</f>
        <v/>
      </c>
      <c r="F1475" t="str">
        <f>+IFERROR(VLOOKUP(Fact_Analitica[[#This Row], [Concepto Anterior]],Conceptos_Analítica_contraloría[#All],7,0),"")</f>
        <v/>
      </c>
      <c r="I1475" t="str">
        <f>+IFERROR(VLOOKUP(D1475,Conceptos_Analítica_contraloría[#All],2,0),"")</f>
        <v/>
      </c>
      <c r="J1475" s="84" t="str">
        <f>+IFERROR(VLOOKUP(D1475,Conceptos_Analítica_contraloría[#All],3,0),"")</f>
        <v/>
      </c>
    </row>
    <row r="1476" spans="3:10" ht="18.75" customHeight="1" x14ac:dyDescent="0.35">
      <c r="C1476" s="100" t="str">
        <f>IF(OR(Fact_Analitica[[#This Row], [Año]]="",Fact_Analitica[[#This Row], [Mes]]=""),"",DATE(A1476,MATCH(B1476,{"enero","febrero","marzo","abril","mayo","junio","julio","agosto","septiembre","octubre","noviembre","diciembre"},0)+1,0))</f>
        <v/>
      </c>
      <c r="E1476" t="str">
        <f>+IFERROR(VLOOKUP(Fact_Analitica[[#This Row], [Concepto Anterior]],Conceptos_Analítica_contraloría[#All],5,0),"")</f>
        <v/>
      </c>
      <c r="F1476" t="str">
        <f>+IFERROR(VLOOKUP(Fact_Analitica[[#This Row], [Concepto Anterior]],Conceptos_Analítica_contraloría[#All],7,0),"")</f>
        <v/>
      </c>
      <c r="I1476" t="str">
        <f>+IFERROR(VLOOKUP(D1476,Conceptos_Analítica_contraloría[#All],2,0),"")</f>
        <v/>
      </c>
      <c r="J1476" s="84" t="str">
        <f>+IFERROR(VLOOKUP(D1476,Conceptos_Analítica_contraloría[#All],3,0),"")</f>
        <v/>
      </c>
    </row>
    <row r="1477" spans="3:10" ht="18.75" customHeight="1" x14ac:dyDescent="0.35">
      <c r="C1477" s="100" t="str">
        <f>IF(OR(Fact_Analitica[[#This Row], [Año]]="",Fact_Analitica[[#This Row], [Mes]]=""),"",DATE(A1477,MATCH(B1477,{"enero","febrero","marzo","abril","mayo","junio","julio","agosto","septiembre","octubre","noviembre","diciembre"},0)+1,0))</f>
        <v/>
      </c>
      <c r="E1477" t="str">
        <f>+IFERROR(VLOOKUP(Fact_Analitica[[#This Row], [Concepto Anterior]],Conceptos_Analítica_contraloría[#All],5,0),"")</f>
        <v/>
      </c>
      <c r="F1477" t="str">
        <f>+IFERROR(VLOOKUP(Fact_Analitica[[#This Row], [Concepto Anterior]],Conceptos_Analítica_contraloría[#All],7,0),"")</f>
        <v/>
      </c>
      <c r="I1477" t="str">
        <f>+IFERROR(VLOOKUP(D1477,Conceptos_Analítica_contraloría[#All],2,0),"")</f>
        <v/>
      </c>
      <c r="J1477" s="84" t="str">
        <f>+IFERROR(VLOOKUP(D1477,Conceptos_Analítica_contraloría[#All],3,0),"")</f>
        <v/>
      </c>
    </row>
    <row r="1478" spans="3:10" ht="18.75" customHeight="1" x14ac:dyDescent="0.35">
      <c r="C1478" s="100" t="str">
        <f>IF(OR(Fact_Analitica[[#This Row], [Año]]="",Fact_Analitica[[#This Row], [Mes]]=""),"",DATE(A1478,MATCH(B1478,{"enero","febrero","marzo","abril","mayo","junio","julio","agosto","septiembre","octubre","noviembre","diciembre"},0)+1,0))</f>
        <v/>
      </c>
      <c r="E1478" t="str">
        <f>+IFERROR(VLOOKUP(Fact_Analitica[[#This Row], [Concepto Anterior]],Conceptos_Analítica_contraloría[#All],5,0),"")</f>
        <v/>
      </c>
      <c r="F1478" t="str">
        <f>+IFERROR(VLOOKUP(Fact_Analitica[[#This Row], [Concepto Anterior]],Conceptos_Analítica_contraloría[#All],7,0),"")</f>
        <v/>
      </c>
      <c r="I1478" t="str">
        <f>+IFERROR(VLOOKUP(D1478,Conceptos_Analítica_contraloría[#All],2,0),"")</f>
        <v/>
      </c>
      <c r="J1478" s="84" t="str">
        <f>+IFERROR(VLOOKUP(D1478,Conceptos_Analítica_contraloría[#All],3,0),"")</f>
        <v/>
      </c>
    </row>
    <row r="1479" spans="3:10" ht="18.75" customHeight="1" x14ac:dyDescent="0.35">
      <c r="C1479" s="100" t="str">
        <f>IF(OR(Fact_Analitica[[#This Row], [Año]]="",Fact_Analitica[[#This Row], [Mes]]=""),"",DATE(A1479,MATCH(B1479,{"enero","febrero","marzo","abril","mayo","junio","julio","agosto","septiembre","octubre","noviembre","diciembre"},0)+1,0))</f>
        <v/>
      </c>
      <c r="E1479" t="str">
        <f>+IFERROR(VLOOKUP(Fact_Analitica[[#This Row], [Concepto Anterior]],Conceptos_Analítica_contraloría[#All],5,0),"")</f>
        <v/>
      </c>
      <c r="F1479" t="str">
        <f>+IFERROR(VLOOKUP(Fact_Analitica[[#This Row], [Concepto Anterior]],Conceptos_Analítica_contraloría[#All],7,0),"")</f>
        <v/>
      </c>
      <c r="I1479" t="str">
        <f>+IFERROR(VLOOKUP(D1479,Conceptos_Analítica_contraloría[#All],2,0),"")</f>
        <v/>
      </c>
      <c r="J1479" s="84" t="str">
        <f>+IFERROR(VLOOKUP(D1479,Conceptos_Analítica_contraloría[#All],3,0),"")</f>
        <v/>
      </c>
    </row>
    <row r="1480" spans="3:10" ht="18.75" customHeight="1" x14ac:dyDescent="0.35">
      <c r="C1480" s="100" t="str">
        <f>IF(OR(Fact_Analitica[[#This Row], [Año]]="",Fact_Analitica[[#This Row], [Mes]]=""),"",DATE(A1480,MATCH(B1480,{"enero","febrero","marzo","abril","mayo","junio","julio","agosto","septiembre","octubre","noviembre","diciembre"},0)+1,0))</f>
        <v/>
      </c>
      <c r="E1480" t="str">
        <f>+IFERROR(VLOOKUP(Fact_Analitica[[#This Row], [Concepto Anterior]],Conceptos_Analítica_contraloría[#All],5,0),"")</f>
        <v/>
      </c>
      <c r="F1480" t="str">
        <f>+IFERROR(VLOOKUP(Fact_Analitica[[#This Row], [Concepto Anterior]],Conceptos_Analítica_contraloría[#All],7,0),"")</f>
        <v/>
      </c>
      <c r="I1480" t="str">
        <f>+IFERROR(VLOOKUP(D1480,Conceptos_Analítica_contraloría[#All],2,0),"")</f>
        <v/>
      </c>
      <c r="J1480" s="84" t="str">
        <f>+IFERROR(VLOOKUP(D1480,Conceptos_Analítica_contraloría[#All],3,0),"")</f>
        <v/>
      </c>
    </row>
    <row r="1481" spans="3:10" ht="18.75" customHeight="1" x14ac:dyDescent="0.35">
      <c r="C1481" s="100" t="str">
        <f>IF(OR(Fact_Analitica[[#This Row], [Año]]="",Fact_Analitica[[#This Row], [Mes]]=""),"",DATE(A1481,MATCH(B1481,{"enero","febrero","marzo","abril","mayo","junio","julio","agosto","septiembre","octubre","noviembre","diciembre"},0)+1,0))</f>
        <v/>
      </c>
      <c r="E1481" t="str">
        <f>+IFERROR(VLOOKUP(Fact_Analitica[[#This Row], [Concepto Anterior]],Conceptos_Analítica_contraloría[#All],5,0),"")</f>
        <v/>
      </c>
      <c r="F1481" t="str">
        <f>+IFERROR(VLOOKUP(Fact_Analitica[[#This Row], [Concepto Anterior]],Conceptos_Analítica_contraloría[#All],7,0),"")</f>
        <v/>
      </c>
      <c r="I1481" t="str">
        <f>+IFERROR(VLOOKUP(D1481,Conceptos_Analítica_contraloría[#All],2,0),"")</f>
        <v/>
      </c>
      <c r="J1481" s="84" t="str">
        <f>+IFERROR(VLOOKUP(D1481,Conceptos_Analítica_contraloría[#All],3,0),"")</f>
        <v/>
      </c>
    </row>
    <row r="1482" spans="3:10" ht="18.75" customHeight="1" x14ac:dyDescent="0.35">
      <c r="C1482" s="100" t="str">
        <f>IF(OR(Fact_Analitica[[#This Row], [Año]]="",Fact_Analitica[[#This Row], [Mes]]=""),"",DATE(A1482,MATCH(B1482,{"enero","febrero","marzo","abril","mayo","junio","julio","agosto","septiembre","octubre","noviembre","diciembre"},0)+1,0))</f>
        <v/>
      </c>
      <c r="E1482" t="str">
        <f>+IFERROR(VLOOKUP(Fact_Analitica[[#This Row], [Concepto Anterior]],Conceptos_Analítica_contraloría[#All],5,0),"")</f>
        <v/>
      </c>
      <c r="F1482" t="str">
        <f>+IFERROR(VLOOKUP(Fact_Analitica[[#This Row], [Concepto Anterior]],Conceptos_Analítica_contraloría[#All],7,0),"")</f>
        <v/>
      </c>
      <c r="I1482" t="str">
        <f>+IFERROR(VLOOKUP(D1482,Conceptos_Analítica_contraloría[#All],2,0),"")</f>
        <v/>
      </c>
      <c r="J1482" s="84" t="str">
        <f>+IFERROR(VLOOKUP(D1482,Conceptos_Analítica_contraloría[#All],3,0),"")</f>
        <v/>
      </c>
    </row>
    <row r="1483" spans="3:10" ht="18.75" customHeight="1" x14ac:dyDescent="0.35">
      <c r="C1483" s="100" t="str">
        <f>IF(OR(Fact_Analitica[[#This Row], [Año]]="",Fact_Analitica[[#This Row], [Mes]]=""),"",DATE(A1483,MATCH(B1483,{"enero","febrero","marzo","abril","mayo","junio","julio","agosto","septiembre","octubre","noviembre","diciembre"},0)+1,0))</f>
        <v/>
      </c>
      <c r="E1483" t="str">
        <f>+IFERROR(VLOOKUP(Fact_Analitica[[#This Row], [Concepto Anterior]],Conceptos_Analítica_contraloría[#All],5,0),"")</f>
        <v/>
      </c>
      <c r="F1483" t="str">
        <f>+IFERROR(VLOOKUP(Fact_Analitica[[#This Row], [Concepto Anterior]],Conceptos_Analítica_contraloría[#All],7,0),"")</f>
        <v/>
      </c>
      <c r="I1483" t="str">
        <f>+IFERROR(VLOOKUP(D1483,Conceptos_Analítica_contraloría[#All],2,0),"")</f>
        <v/>
      </c>
      <c r="J1483" s="84" t="str">
        <f>+IFERROR(VLOOKUP(D1483,Conceptos_Analítica_contraloría[#All],3,0),"")</f>
        <v/>
      </c>
    </row>
    <row r="1484" spans="3:10" ht="18.75" customHeight="1" x14ac:dyDescent="0.35">
      <c r="C1484" s="100" t="str">
        <f>IF(OR(Fact_Analitica[[#This Row], [Año]]="",Fact_Analitica[[#This Row], [Mes]]=""),"",DATE(A1484,MATCH(B1484,{"enero","febrero","marzo","abril","mayo","junio","julio","agosto","septiembre","octubre","noviembre","diciembre"},0)+1,0))</f>
        <v/>
      </c>
      <c r="E1484" t="str">
        <f>+IFERROR(VLOOKUP(Fact_Analitica[[#This Row], [Concepto Anterior]],Conceptos_Analítica_contraloría[#All],5,0),"")</f>
        <v/>
      </c>
      <c r="F1484" t="str">
        <f>+IFERROR(VLOOKUP(Fact_Analitica[[#This Row], [Concepto Anterior]],Conceptos_Analítica_contraloría[#All],7,0),"")</f>
        <v/>
      </c>
      <c r="I1484" t="str">
        <f>+IFERROR(VLOOKUP(D1484,Conceptos_Analítica_contraloría[#All],2,0),"")</f>
        <v/>
      </c>
      <c r="J1484" s="84" t="str">
        <f>+IFERROR(VLOOKUP(D1484,Conceptos_Analítica_contraloría[#All],3,0),"")</f>
        <v/>
      </c>
    </row>
    <row r="1485" spans="3:10" ht="18.75" customHeight="1" x14ac:dyDescent="0.35">
      <c r="C1485" s="100" t="str">
        <f>IF(OR(Fact_Analitica[[#This Row], [Año]]="",Fact_Analitica[[#This Row], [Mes]]=""),"",DATE(A1485,MATCH(B1485,{"enero","febrero","marzo","abril","mayo","junio","julio","agosto","septiembre","octubre","noviembre","diciembre"},0)+1,0))</f>
        <v/>
      </c>
      <c r="E1485" t="str">
        <f>+IFERROR(VLOOKUP(Fact_Analitica[[#This Row], [Concepto Anterior]],Conceptos_Analítica_contraloría[#All],5,0),"")</f>
        <v/>
      </c>
      <c r="F1485" t="str">
        <f>+IFERROR(VLOOKUP(Fact_Analitica[[#This Row], [Concepto Anterior]],Conceptos_Analítica_contraloría[#All],7,0),"")</f>
        <v/>
      </c>
      <c r="I1485" t="str">
        <f>+IFERROR(VLOOKUP(D1485,Conceptos_Analítica_contraloría[#All],2,0),"")</f>
        <v/>
      </c>
      <c r="J1485" s="84" t="str">
        <f>+IFERROR(VLOOKUP(D1485,Conceptos_Analítica_contraloría[#All],3,0),"")</f>
        <v/>
      </c>
    </row>
    <row r="1486" spans="3:10" ht="18.75" customHeight="1" x14ac:dyDescent="0.35">
      <c r="C1486" s="100" t="str">
        <f>IF(OR(Fact_Analitica[[#This Row], [Año]]="",Fact_Analitica[[#This Row], [Mes]]=""),"",DATE(A1486,MATCH(B1486,{"enero","febrero","marzo","abril","mayo","junio","julio","agosto","septiembre","octubre","noviembre","diciembre"},0)+1,0))</f>
        <v/>
      </c>
      <c r="E1486" t="str">
        <f>+IFERROR(VLOOKUP(Fact_Analitica[[#This Row], [Concepto Anterior]],Conceptos_Analítica_contraloría[#All],5,0),"")</f>
        <v/>
      </c>
      <c r="F1486" t="str">
        <f>+IFERROR(VLOOKUP(Fact_Analitica[[#This Row], [Concepto Anterior]],Conceptos_Analítica_contraloría[#All],7,0),"")</f>
        <v/>
      </c>
      <c r="I1486" t="str">
        <f>+IFERROR(VLOOKUP(D1486,Conceptos_Analítica_contraloría[#All],2,0),"")</f>
        <v/>
      </c>
      <c r="J1486" s="84" t="str">
        <f>+IFERROR(VLOOKUP(D1486,Conceptos_Analítica_contraloría[#All],3,0),"")</f>
        <v/>
      </c>
    </row>
    <row r="1487" spans="3:10" ht="18.75" customHeight="1" x14ac:dyDescent="0.35">
      <c r="C1487" s="100" t="str">
        <f>IF(OR(Fact_Analitica[[#This Row], [Año]]="",Fact_Analitica[[#This Row], [Mes]]=""),"",DATE(A1487,MATCH(B1487,{"enero","febrero","marzo","abril","mayo","junio","julio","agosto","septiembre","octubre","noviembre","diciembre"},0)+1,0))</f>
        <v/>
      </c>
      <c r="E1487" t="str">
        <f>+IFERROR(VLOOKUP(Fact_Analitica[[#This Row], [Concepto Anterior]],Conceptos_Analítica_contraloría[#All],5,0),"")</f>
        <v/>
      </c>
      <c r="F1487" t="str">
        <f>+IFERROR(VLOOKUP(Fact_Analitica[[#This Row], [Concepto Anterior]],Conceptos_Analítica_contraloría[#All],7,0),"")</f>
        <v/>
      </c>
      <c r="I1487" t="str">
        <f>+IFERROR(VLOOKUP(D1487,Conceptos_Analítica_contraloría[#All],2,0),"")</f>
        <v/>
      </c>
      <c r="J1487" s="84" t="str">
        <f>+IFERROR(VLOOKUP(D1487,Conceptos_Analítica_contraloría[#All],3,0),"")</f>
        <v/>
      </c>
    </row>
    <row r="1488" spans="3:10" ht="18.75" customHeight="1" x14ac:dyDescent="0.35">
      <c r="C1488" s="100" t="str">
        <f>IF(OR(Fact_Analitica[[#This Row], [Año]]="",Fact_Analitica[[#This Row], [Mes]]=""),"",DATE(A1488,MATCH(B1488,{"enero","febrero","marzo","abril","mayo","junio","julio","agosto","septiembre","octubre","noviembre","diciembre"},0)+1,0))</f>
        <v/>
      </c>
      <c r="E1488" t="str">
        <f>+IFERROR(VLOOKUP(Fact_Analitica[[#This Row], [Concepto Anterior]],Conceptos_Analítica_contraloría[#All],5,0),"")</f>
        <v/>
      </c>
      <c r="F1488" t="str">
        <f>+IFERROR(VLOOKUP(Fact_Analitica[[#This Row], [Concepto Anterior]],Conceptos_Analítica_contraloría[#All],7,0),"")</f>
        <v/>
      </c>
      <c r="I1488" t="str">
        <f>+IFERROR(VLOOKUP(D1488,Conceptos_Analítica_contraloría[#All],2,0),"")</f>
        <v/>
      </c>
      <c r="J1488" s="84" t="str">
        <f>+IFERROR(VLOOKUP(D1488,Conceptos_Analítica_contraloría[#All],3,0),"")</f>
        <v/>
      </c>
    </row>
    <row r="1489" spans="3:10" ht="18.75" customHeight="1" x14ac:dyDescent="0.35">
      <c r="C1489" s="100" t="str">
        <f>IF(OR(Fact_Analitica[[#This Row], [Año]]="",Fact_Analitica[[#This Row], [Mes]]=""),"",DATE(A1489,MATCH(B1489,{"enero","febrero","marzo","abril","mayo","junio","julio","agosto","septiembre","octubre","noviembre","diciembre"},0)+1,0))</f>
        <v/>
      </c>
      <c r="E1489" t="str">
        <f>+IFERROR(VLOOKUP(Fact_Analitica[[#This Row], [Concepto Anterior]],Conceptos_Analítica_contraloría[#All],5,0),"")</f>
        <v/>
      </c>
      <c r="F1489" t="str">
        <f>+IFERROR(VLOOKUP(Fact_Analitica[[#This Row], [Concepto Anterior]],Conceptos_Analítica_contraloría[#All],7,0),"")</f>
        <v/>
      </c>
      <c r="I1489" t="str">
        <f>+IFERROR(VLOOKUP(D1489,Conceptos_Analítica_contraloría[#All],2,0),"")</f>
        <v/>
      </c>
      <c r="J1489" s="84" t="str">
        <f>+IFERROR(VLOOKUP(D1489,Conceptos_Analítica_contraloría[#All],3,0),"")</f>
        <v/>
      </c>
    </row>
    <row r="1490" spans="3:10" ht="18.75" customHeight="1" x14ac:dyDescent="0.35">
      <c r="C1490" s="100" t="str">
        <f>IF(OR(Fact_Analitica[[#This Row], [Año]]="",Fact_Analitica[[#This Row], [Mes]]=""),"",DATE(A1490,MATCH(B1490,{"enero","febrero","marzo","abril","mayo","junio","julio","agosto","septiembre","octubre","noviembre","diciembre"},0)+1,0))</f>
        <v/>
      </c>
      <c r="E1490" t="str">
        <f>+IFERROR(VLOOKUP(Fact_Analitica[[#This Row], [Concepto Anterior]],Conceptos_Analítica_contraloría[#All],5,0),"")</f>
        <v/>
      </c>
      <c r="F1490" t="str">
        <f>+IFERROR(VLOOKUP(Fact_Analitica[[#This Row], [Concepto Anterior]],Conceptos_Analítica_contraloría[#All],7,0),"")</f>
        <v/>
      </c>
      <c r="I1490" t="str">
        <f>+IFERROR(VLOOKUP(D1490,Conceptos_Analítica_contraloría[#All],2,0),"")</f>
        <v/>
      </c>
      <c r="J1490" s="84" t="str">
        <f>+IFERROR(VLOOKUP(D1490,Conceptos_Analítica_contraloría[#All],3,0),"")</f>
        <v/>
      </c>
    </row>
    <row r="1491" spans="3:10" ht="18.75" customHeight="1" x14ac:dyDescent="0.35">
      <c r="C1491" s="100" t="str">
        <f>IF(OR(Fact_Analitica[[#This Row], [Año]]="",Fact_Analitica[[#This Row], [Mes]]=""),"",DATE(A1491,MATCH(B1491,{"enero","febrero","marzo","abril","mayo","junio","julio","agosto","septiembre","octubre","noviembre","diciembre"},0)+1,0))</f>
        <v/>
      </c>
      <c r="E1491" t="str">
        <f>+IFERROR(VLOOKUP(Fact_Analitica[[#This Row], [Concepto Anterior]],Conceptos_Analítica_contraloría[#All],5,0),"")</f>
        <v/>
      </c>
      <c r="F1491" t="str">
        <f>+IFERROR(VLOOKUP(Fact_Analitica[[#This Row], [Concepto Anterior]],Conceptos_Analítica_contraloría[#All],7,0),"")</f>
        <v/>
      </c>
      <c r="I1491" t="str">
        <f>+IFERROR(VLOOKUP(D1491,Conceptos_Analítica_contraloría[#All],2,0),"")</f>
        <v/>
      </c>
      <c r="J1491" s="84" t="str">
        <f>+IFERROR(VLOOKUP(D1491,Conceptos_Analítica_contraloría[#All],3,0),"")</f>
        <v/>
      </c>
    </row>
    <row r="1492" spans="3:10" ht="18.75" customHeight="1" x14ac:dyDescent="0.35">
      <c r="C1492" s="100" t="str">
        <f>IF(OR(Fact_Analitica[[#This Row], [Año]]="",Fact_Analitica[[#This Row], [Mes]]=""),"",DATE(A1492,MATCH(B1492,{"enero","febrero","marzo","abril","mayo","junio","julio","agosto","septiembre","octubre","noviembre","diciembre"},0)+1,0))</f>
        <v/>
      </c>
      <c r="E1492" t="str">
        <f>+IFERROR(VLOOKUP(Fact_Analitica[[#This Row], [Concepto Anterior]],Conceptos_Analítica_contraloría[#All],5,0),"")</f>
        <v/>
      </c>
      <c r="F1492" t="str">
        <f>+IFERROR(VLOOKUP(Fact_Analitica[[#This Row], [Concepto Anterior]],Conceptos_Analítica_contraloría[#All],7,0),"")</f>
        <v/>
      </c>
      <c r="I1492" t="str">
        <f>+IFERROR(VLOOKUP(D1492,Conceptos_Analítica_contraloría[#All],2,0),"")</f>
        <v/>
      </c>
      <c r="J1492" s="84" t="str">
        <f>+IFERROR(VLOOKUP(D1492,Conceptos_Analítica_contraloría[#All],3,0),"")</f>
        <v/>
      </c>
    </row>
    <row r="1493" spans="3:10" ht="18.75" customHeight="1" x14ac:dyDescent="0.35">
      <c r="C1493" s="100" t="str">
        <f>IF(OR(Fact_Analitica[[#This Row], [Año]]="",Fact_Analitica[[#This Row], [Mes]]=""),"",DATE(A1493,MATCH(B1493,{"enero","febrero","marzo","abril","mayo","junio","julio","agosto","septiembre","octubre","noviembre","diciembre"},0)+1,0))</f>
        <v/>
      </c>
      <c r="E1493" t="str">
        <f>+IFERROR(VLOOKUP(Fact_Analitica[[#This Row], [Concepto Anterior]],Conceptos_Analítica_contraloría[#All],5,0),"")</f>
        <v/>
      </c>
      <c r="F1493" t="str">
        <f>+IFERROR(VLOOKUP(Fact_Analitica[[#This Row], [Concepto Anterior]],Conceptos_Analítica_contraloría[#All],7,0),"")</f>
        <v/>
      </c>
      <c r="I1493" t="str">
        <f>+IFERROR(VLOOKUP(D1493,Conceptos_Analítica_contraloría[#All],2,0),"")</f>
        <v/>
      </c>
      <c r="J1493" s="84" t="str">
        <f>+IFERROR(VLOOKUP(D1493,Conceptos_Analítica_contraloría[#All],3,0),"")</f>
        <v/>
      </c>
    </row>
    <row r="1494" spans="3:10" ht="18.75" customHeight="1" x14ac:dyDescent="0.35">
      <c r="C1494" s="100" t="str">
        <f>IF(OR(Fact_Analitica[[#This Row], [Año]]="",Fact_Analitica[[#This Row], [Mes]]=""),"",DATE(A1494,MATCH(B1494,{"enero","febrero","marzo","abril","mayo","junio","julio","agosto","septiembre","octubre","noviembre","diciembre"},0)+1,0))</f>
        <v/>
      </c>
      <c r="E1494" t="str">
        <f>+IFERROR(VLOOKUP(Fact_Analitica[[#This Row], [Concepto Anterior]],Conceptos_Analítica_contraloría[#All],5,0),"")</f>
        <v/>
      </c>
      <c r="F1494" t="str">
        <f>+IFERROR(VLOOKUP(Fact_Analitica[[#This Row], [Concepto Anterior]],Conceptos_Analítica_contraloría[#All],7,0),"")</f>
        <v/>
      </c>
      <c r="I1494" t="str">
        <f>+IFERROR(VLOOKUP(D1494,Conceptos_Analítica_contraloría[#All],2,0),"")</f>
        <v/>
      </c>
      <c r="J1494" s="84" t="str">
        <f>+IFERROR(VLOOKUP(D1494,Conceptos_Analítica_contraloría[#All],3,0),"")</f>
        <v/>
      </c>
    </row>
    <row r="1495" spans="3:10" ht="18.75" customHeight="1" x14ac:dyDescent="0.35">
      <c r="C1495" s="100" t="str">
        <f>IF(OR(Fact_Analitica[[#This Row], [Año]]="",Fact_Analitica[[#This Row], [Mes]]=""),"",DATE(A1495,MATCH(B1495,{"enero","febrero","marzo","abril","mayo","junio","julio","agosto","septiembre","octubre","noviembre","diciembre"},0)+1,0))</f>
        <v/>
      </c>
      <c r="E1495" t="str">
        <f>+IFERROR(VLOOKUP(Fact_Analitica[[#This Row], [Concepto Anterior]],Conceptos_Analítica_contraloría[#All],5,0),"")</f>
        <v/>
      </c>
      <c r="F1495" t="str">
        <f>+IFERROR(VLOOKUP(Fact_Analitica[[#This Row], [Concepto Anterior]],Conceptos_Analítica_contraloría[#All],7,0),"")</f>
        <v/>
      </c>
      <c r="I1495" t="str">
        <f>+IFERROR(VLOOKUP(D1495,Conceptos_Analítica_contraloría[#All],2,0),"")</f>
        <v/>
      </c>
      <c r="J1495" s="84" t="str">
        <f>+IFERROR(VLOOKUP(D1495,Conceptos_Analítica_contraloría[#All],3,0),"")</f>
        <v/>
      </c>
    </row>
    <row r="1496" spans="3:10" ht="18.75" customHeight="1" x14ac:dyDescent="0.35">
      <c r="C1496" s="100" t="str">
        <f>IF(OR(Fact_Analitica[[#This Row], [Año]]="",Fact_Analitica[[#This Row], [Mes]]=""),"",DATE(A1496,MATCH(B1496,{"enero","febrero","marzo","abril","mayo","junio","julio","agosto","septiembre","octubre","noviembre","diciembre"},0)+1,0))</f>
        <v/>
      </c>
      <c r="E1496" t="str">
        <f>+IFERROR(VLOOKUP(Fact_Analitica[[#This Row], [Concepto Anterior]],Conceptos_Analítica_contraloría[#All],5,0),"")</f>
        <v/>
      </c>
      <c r="F1496" t="str">
        <f>+IFERROR(VLOOKUP(Fact_Analitica[[#This Row], [Concepto Anterior]],Conceptos_Analítica_contraloría[#All],7,0),"")</f>
        <v/>
      </c>
      <c r="I1496" t="str">
        <f>+IFERROR(VLOOKUP(D1496,Conceptos_Analítica_contraloría[#All],2,0),"")</f>
        <v/>
      </c>
      <c r="J1496" s="84" t="str">
        <f>+IFERROR(VLOOKUP(D1496,Conceptos_Analítica_contraloría[#All],3,0),"")</f>
        <v/>
      </c>
    </row>
    <row r="1497" spans="3:10" ht="18.75" customHeight="1" x14ac:dyDescent="0.35">
      <c r="C1497" s="100" t="str">
        <f>IF(OR(Fact_Analitica[[#This Row], [Año]]="",Fact_Analitica[[#This Row], [Mes]]=""),"",DATE(A1497,MATCH(B1497,{"enero","febrero","marzo","abril","mayo","junio","julio","agosto","septiembre","octubre","noviembre","diciembre"},0)+1,0))</f>
        <v/>
      </c>
      <c r="E1497" t="str">
        <f>+IFERROR(VLOOKUP(Fact_Analitica[[#This Row], [Concepto Anterior]],Conceptos_Analítica_contraloría[#All],5,0),"")</f>
        <v/>
      </c>
      <c r="F1497" t="str">
        <f>+IFERROR(VLOOKUP(Fact_Analitica[[#This Row], [Concepto Anterior]],Conceptos_Analítica_contraloría[#All],7,0),"")</f>
        <v/>
      </c>
      <c r="I1497" t="str">
        <f>+IFERROR(VLOOKUP(D1497,Conceptos_Analítica_contraloría[#All],2,0),"")</f>
        <v/>
      </c>
      <c r="J1497" s="84" t="str">
        <f>+IFERROR(VLOOKUP(D1497,Conceptos_Analítica_contraloría[#All],3,0),"")</f>
        <v/>
      </c>
    </row>
    <row r="1498" spans="3:10" ht="18.75" customHeight="1" x14ac:dyDescent="0.35">
      <c r="C1498" s="100" t="str">
        <f>IF(OR(Fact_Analitica[[#This Row], [Año]]="",Fact_Analitica[[#This Row], [Mes]]=""),"",DATE(A1498,MATCH(B1498,{"enero","febrero","marzo","abril","mayo","junio","julio","agosto","septiembre","octubre","noviembre","diciembre"},0)+1,0))</f>
        <v/>
      </c>
      <c r="E1498" t="str">
        <f>+IFERROR(VLOOKUP(Fact_Analitica[[#This Row], [Concepto Anterior]],Conceptos_Analítica_contraloría[#All],5,0),"")</f>
        <v/>
      </c>
      <c r="F1498" t="str">
        <f>+IFERROR(VLOOKUP(Fact_Analitica[[#This Row], [Concepto Anterior]],Conceptos_Analítica_contraloría[#All],7,0),"")</f>
        <v/>
      </c>
      <c r="I1498" t="str">
        <f>+IFERROR(VLOOKUP(D1498,Conceptos_Analítica_contraloría[#All],2,0),"")</f>
        <v/>
      </c>
      <c r="J1498" s="84" t="str">
        <f>+IFERROR(VLOOKUP(D1498,Conceptos_Analítica_contraloría[#All],3,0),"")</f>
        <v/>
      </c>
    </row>
    <row r="1499" spans="3:10" ht="18.75" customHeight="1" x14ac:dyDescent="0.35">
      <c r="C1499" s="100" t="str">
        <f>IF(OR(Fact_Analitica[[#This Row], [Año]]="",Fact_Analitica[[#This Row], [Mes]]=""),"",DATE(A1499,MATCH(B1499,{"enero","febrero","marzo","abril","mayo","junio","julio","agosto","septiembre","octubre","noviembre","diciembre"},0)+1,0))</f>
        <v/>
      </c>
      <c r="E1499" t="str">
        <f>+IFERROR(VLOOKUP(Fact_Analitica[[#This Row], [Concepto Anterior]],Conceptos_Analítica_contraloría[#All],5,0),"")</f>
        <v/>
      </c>
      <c r="F1499" t="str">
        <f>+IFERROR(VLOOKUP(Fact_Analitica[[#This Row], [Concepto Anterior]],Conceptos_Analítica_contraloría[#All],7,0),"")</f>
        <v/>
      </c>
      <c r="I1499" t="str">
        <f>+IFERROR(VLOOKUP(D1499,Conceptos_Analítica_contraloría[#All],2,0),"")</f>
        <v/>
      </c>
      <c r="J1499" s="84" t="str">
        <f>+IFERROR(VLOOKUP(D1499,Conceptos_Analítica_contraloría[#All],3,0),"")</f>
        <v/>
      </c>
    </row>
    <row r="1500" spans="3:10" ht="18.75" customHeight="1" x14ac:dyDescent="0.35">
      <c r="C1500" s="100" t="str">
        <f>IF(OR(Fact_Analitica[[#This Row], [Año]]="",Fact_Analitica[[#This Row], [Mes]]=""),"",DATE(A1500,MATCH(B1500,{"enero","febrero","marzo","abril","mayo","junio","julio","agosto","septiembre","octubre","noviembre","diciembre"},0)+1,0))</f>
        <v/>
      </c>
      <c r="E1500" t="str">
        <f>+IFERROR(VLOOKUP(Fact_Analitica[[#This Row], [Concepto Anterior]],Conceptos_Analítica_contraloría[#All],5,0),"")</f>
        <v/>
      </c>
      <c r="F1500" t="str">
        <f>+IFERROR(VLOOKUP(Fact_Analitica[[#This Row], [Concepto Anterior]],Conceptos_Analítica_contraloría[#All],7,0),"")</f>
        <v/>
      </c>
      <c r="I1500" t="str">
        <f>+IFERROR(VLOOKUP(D1500,Conceptos_Analítica_contraloría[#All],2,0),"")</f>
        <v/>
      </c>
      <c r="J1500" s="84" t="str">
        <f>+IFERROR(VLOOKUP(D1500,Conceptos_Analítica_contraloría[#All],3,0),"")</f>
        <v/>
      </c>
    </row>
    <row r="1501" spans="3:10" ht="18.75" customHeight="1" x14ac:dyDescent="0.35">
      <c r="C1501" s="100" t="str">
        <f>IF(OR(Fact_Analitica[[#This Row], [Año]]="",Fact_Analitica[[#This Row], [Mes]]=""),"",DATE(A1501,MATCH(B1501,{"enero","febrero","marzo","abril","mayo","junio","julio","agosto","septiembre","octubre","noviembre","diciembre"},0)+1,0))</f>
        <v/>
      </c>
      <c r="E1501" t="str">
        <f>+IFERROR(VLOOKUP(Fact_Analitica[[#This Row], [Concepto Anterior]],Conceptos_Analítica_contraloría[#All],5,0),"")</f>
        <v/>
      </c>
      <c r="F1501" t="str">
        <f>+IFERROR(VLOOKUP(Fact_Analitica[[#This Row], [Concepto Anterior]],Conceptos_Analítica_contraloría[#All],7,0),"")</f>
        <v/>
      </c>
      <c r="I1501" t="str">
        <f>+IFERROR(VLOOKUP(D1501,Conceptos_Analítica_contraloría[#All],2,0),"")</f>
        <v/>
      </c>
      <c r="J1501" s="84" t="str">
        <f>+IFERROR(VLOOKUP(D1501,Conceptos_Analítica_contraloría[#All],3,0),"")</f>
        <v/>
      </c>
    </row>
    <row r="1502" spans="3:10" ht="18.75" customHeight="1" x14ac:dyDescent="0.35">
      <c r="C1502" s="100" t="str">
        <f>IF(OR(Fact_Analitica[[#This Row], [Año]]="",Fact_Analitica[[#This Row], [Mes]]=""),"",DATE(A1502,MATCH(B1502,{"enero","febrero","marzo","abril","mayo","junio","julio","agosto","septiembre","octubre","noviembre","diciembre"},0)+1,0))</f>
        <v/>
      </c>
      <c r="E1502" t="str">
        <f>+IFERROR(VLOOKUP(Fact_Analitica[[#This Row], [Concepto Anterior]],Conceptos_Analítica_contraloría[#All],5,0),"")</f>
        <v/>
      </c>
      <c r="F1502" t="str">
        <f>+IFERROR(VLOOKUP(Fact_Analitica[[#This Row], [Concepto Anterior]],Conceptos_Analítica_contraloría[#All],7,0),"")</f>
        <v/>
      </c>
      <c r="I1502" t="str">
        <f>+IFERROR(VLOOKUP(D1502,Conceptos_Analítica_contraloría[#All],2,0),"")</f>
        <v/>
      </c>
      <c r="J1502" s="84" t="str">
        <f>+IFERROR(VLOOKUP(D1502,Conceptos_Analítica_contraloría[#All],3,0),"")</f>
        <v/>
      </c>
    </row>
    <row r="1503" spans="3:10" ht="18.75" customHeight="1" x14ac:dyDescent="0.35">
      <c r="C1503" s="100" t="str">
        <f>IF(OR(Fact_Analitica[[#This Row], [Año]]="",Fact_Analitica[[#This Row], [Mes]]=""),"",DATE(A1503,MATCH(B1503,{"enero","febrero","marzo","abril","mayo","junio","julio","agosto","septiembre","octubre","noviembre","diciembre"},0)+1,0))</f>
        <v/>
      </c>
      <c r="E1503" t="str">
        <f>+IFERROR(VLOOKUP(Fact_Analitica[[#This Row], [Concepto Anterior]],Conceptos_Analítica_contraloría[#All],5,0),"")</f>
        <v/>
      </c>
      <c r="F1503" t="str">
        <f>+IFERROR(VLOOKUP(Fact_Analitica[[#This Row], [Concepto Anterior]],Conceptos_Analítica_contraloría[#All],7,0),"")</f>
        <v/>
      </c>
      <c r="I1503" t="str">
        <f>+IFERROR(VLOOKUP(D1503,Conceptos_Analítica_contraloría[#All],2,0),"")</f>
        <v/>
      </c>
      <c r="J1503" s="84" t="str">
        <f>+IFERROR(VLOOKUP(D1503,Conceptos_Analítica_contraloría[#All],3,0),"")</f>
        <v/>
      </c>
    </row>
    <row r="1504" spans="3:10" ht="18.75" customHeight="1" x14ac:dyDescent="0.35">
      <c r="C1504" s="100" t="str">
        <f>IF(OR(Fact_Analitica[[#This Row], [Año]]="",Fact_Analitica[[#This Row], [Mes]]=""),"",DATE(A1504,MATCH(B1504,{"enero","febrero","marzo","abril","mayo","junio","julio","agosto","septiembre","octubre","noviembre","diciembre"},0)+1,0))</f>
        <v/>
      </c>
      <c r="E1504" t="str">
        <f>+IFERROR(VLOOKUP(Fact_Analitica[[#This Row], [Concepto Anterior]],Conceptos_Analítica_contraloría[#All],5,0),"")</f>
        <v/>
      </c>
      <c r="F1504" t="str">
        <f>+IFERROR(VLOOKUP(Fact_Analitica[[#This Row], [Concepto Anterior]],Conceptos_Analítica_contraloría[#All],7,0),"")</f>
        <v/>
      </c>
      <c r="I1504" t="str">
        <f>+IFERROR(VLOOKUP(D1504,Conceptos_Analítica_contraloría[#All],2,0),"")</f>
        <v/>
      </c>
      <c r="J1504" s="84" t="str">
        <f>+IFERROR(VLOOKUP(D1504,Conceptos_Analítica_contraloría[#All],3,0),"")</f>
        <v/>
      </c>
    </row>
    <row r="1505" spans="3:10" ht="18.75" customHeight="1" x14ac:dyDescent="0.35">
      <c r="C1505" s="100" t="str">
        <f>IF(OR(Fact_Analitica[[#This Row], [Año]]="",Fact_Analitica[[#This Row], [Mes]]=""),"",DATE(A1505,MATCH(B1505,{"enero","febrero","marzo","abril","mayo","junio","julio","agosto","septiembre","octubre","noviembre","diciembre"},0)+1,0))</f>
        <v/>
      </c>
      <c r="E1505" t="str">
        <f>+IFERROR(VLOOKUP(Fact_Analitica[[#This Row], [Concepto Anterior]],Conceptos_Analítica_contraloría[#All],5,0),"")</f>
        <v/>
      </c>
      <c r="F1505" t="str">
        <f>+IFERROR(VLOOKUP(Fact_Analitica[[#This Row], [Concepto Anterior]],Conceptos_Analítica_contraloría[#All],7,0),"")</f>
        <v/>
      </c>
      <c r="I1505" t="str">
        <f>+IFERROR(VLOOKUP(D1505,Conceptos_Analítica_contraloría[#All],2,0),"")</f>
        <v/>
      </c>
      <c r="J1505" s="84" t="str">
        <f>+IFERROR(VLOOKUP(D1505,Conceptos_Analítica_contraloría[#All],3,0),"")</f>
        <v/>
      </c>
    </row>
    <row r="1506" spans="3:10" ht="18.75" customHeight="1" x14ac:dyDescent="0.35">
      <c r="C1506" s="100" t="str">
        <f>IF(OR(Fact_Analitica[[#This Row], [Año]]="",Fact_Analitica[[#This Row], [Mes]]=""),"",DATE(A1506,MATCH(B1506,{"enero","febrero","marzo","abril","mayo","junio","julio","agosto","septiembre","octubre","noviembre","diciembre"},0)+1,0))</f>
        <v/>
      </c>
      <c r="E1506" t="str">
        <f>+IFERROR(VLOOKUP(Fact_Analitica[[#This Row], [Concepto Anterior]],Conceptos_Analítica_contraloría[#All],5,0),"")</f>
        <v/>
      </c>
      <c r="F1506" t="str">
        <f>+IFERROR(VLOOKUP(Fact_Analitica[[#This Row], [Concepto Anterior]],Conceptos_Analítica_contraloría[#All],7,0),"")</f>
        <v/>
      </c>
      <c r="I1506" t="str">
        <f>+IFERROR(VLOOKUP(D1506,Conceptos_Analítica_contraloría[#All],2,0),"")</f>
        <v/>
      </c>
      <c r="J1506" s="84" t="str">
        <f>+IFERROR(VLOOKUP(D1506,Conceptos_Analítica_contraloría[#All],3,0),"")</f>
        <v/>
      </c>
    </row>
    <row r="1507" spans="3:10" ht="18.75" customHeight="1" x14ac:dyDescent="0.35">
      <c r="C1507" s="100" t="str">
        <f>IF(OR(Fact_Analitica[[#This Row], [Año]]="",Fact_Analitica[[#This Row], [Mes]]=""),"",DATE(A1507,MATCH(B1507,{"enero","febrero","marzo","abril","mayo","junio","julio","agosto","septiembre","octubre","noviembre","diciembre"},0)+1,0))</f>
        <v/>
      </c>
      <c r="E1507" t="str">
        <f>+IFERROR(VLOOKUP(Fact_Analitica[[#This Row], [Concepto Anterior]],Conceptos_Analítica_contraloría[#All],5,0),"")</f>
        <v/>
      </c>
      <c r="F1507" t="str">
        <f>+IFERROR(VLOOKUP(Fact_Analitica[[#This Row], [Concepto Anterior]],Conceptos_Analítica_contraloría[#All],7,0),"")</f>
        <v/>
      </c>
      <c r="I1507" t="str">
        <f>+IFERROR(VLOOKUP(D1507,Conceptos_Analítica_contraloría[#All],2,0),"")</f>
        <v/>
      </c>
      <c r="J1507" s="84" t="str">
        <f>+IFERROR(VLOOKUP(D1507,Conceptos_Analítica_contraloría[#All],3,0),"")</f>
        <v/>
      </c>
    </row>
    <row r="1508" spans="3:10" ht="18.75" customHeight="1" x14ac:dyDescent="0.35">
      <c r="C1508" s="100" t="str">
        <f>IF(OR(Fact_Analitica[[#This Row], [Año]]="",Fact_Analitica[[#This Row], [Mes]]=""),"",DATE(A1508,MATCH(B1508,{"enero","febrero","marzo","abril","mayo","junio","julio","agosto","septiembre","octubre","noviembre","diciembre"},0)+1,0))</f>
        <v/>
      </c>
      <c r="E1508" t="str">
        <f>+IFERROR(VLOOKUP(Fact_Analitica[[#This Row], [Concepto Anterior]],Conceptos_Analítica_contraloría[#All],5,0),"")</f>
        <v/>
      </c>
      <c r="F1508" t="str">
        <f>+IFERROR(VLOOKUP(Fact_Analitica[[#This Row], [Concepto Anterior]],Conceptos_Analítica_contraloría[#All],7,0),"")</f>
        <v/>
      </c>
      <c r="I1508" t="str">
        <f>+IFERROR(VLOOKUP(D1508,Conceptos_Analítica_contraloría[#All],2,0),"")</f>
        <v/>
      </c>
      <c r="J1508" s="84" t="str">
        <f>+IFERROR(VLOOKUP(D1508,Conceptos_Analítica_contraloría[#All],3,0),"")</f>
        <v/>
      </c>
    </row>
    <row r="1509" spans="3:10" ht="18.75" customHeight="1" x14ac:dyDescent="0.35">
      <c r="C1509" s="100" t="str">
        <f>IF(OR(Fact_Analitica[[#This Row], [Año]]="",Fact_Analitica[[#This Row], [Mes]]=""),"",DATE(A1509,MATCH(B1509,{"enero","febrero","marzo","abril","mayo","junio","julio","agosto","septiembre","octubre","noviembre","diciembre"},0)+1,0))</f>
        <v/>
      </c>
      <c r="E1509" t="str">
        <f>+IFERROR(VLOOKUP(Fact_Analitica[[#This Row], [Concepto Anterior]],Conceptos_Analítica_contraloría[#All],5,0),"")</f>
        <v/>
      </c>
      <c r="F1509" t="str">
        <f>+IFERROR(VLOOKUP(Fact_Analitica[[#This Row], [Concepto Anterior]],Conceptos_Analítica_contraloría[#All],7,0),"")</f>
        <v/>
      </c>
      <c r="I1509" t="str">
        <f>+IFERROR(VLOOKUP(D1509,Conceptos_Analítica_contraloría[#All],2,0),"")</f>
        <v/>
      </c>
      <c r="J1509" s="84" t="str">
        <f>+IFERROR(VLOOKUP(D1509,Conceptos_Analítica_contraloría[#All],3,0),"")</f>
        <v/>
      </c>
    </row>
    <row r="1510" spans="3:10" ht="18.75" customHeight="1" x14ac:dyDescent="0.35">
      <c r="C1510" s="100" t="str">
        <f>IF(OR(Fact_Analitica[[#This Row], [Año]]="",Fact_Analitica[[#This Row], [Mes]]=""),"",DATE(A1510,MATCH(B1510,{"enero","febrero","marzo","abril","mayo","junio","julio","agosto","septiembre","octubre","noviembre","diciembre"},0)+1,0))</f>
        <v/>
      </c>
      <c r="E1510" t="str">
        <f>+IFERROR(VLOOKUP(Fact_Analitica[[#This Row], [Concepto Anterior]],Conceptos_Analítica_contraloría[#All],5,0),"")</f>
        <v/>
      </c>
      <c r="F1510" t="str">
        <f>+IFERROR(VLOOKUP(Fact_Analitica[[#This Row], [Concepto Anterior]],Conceptos_Analítica_contraloría[#All],7,0),"")</f>
        <v/>
      </c>
      <c r="I1510" t="str">
        <f>+IFERROR(VLOOKUP(D1510,Conceptos_Analítica_contraloría[#All],2,0),"")</f>
        <v/>
      </c>
      <c r="J1510" s="84" t="str">
        <f>+IFERROR(VLOOKUP(D1510,Conceptos_Analítica_contraloría[#All],3,0),"")</f>
        <v/>
      </c>
    </row>
    <row r="1511" spans="3:10" ht="18.75" customHeight="1" x14ac:dyDescent="0.35">
      <c r="C1511" s="100" t="str">
        <f>IF(OR(Fact_Analitica[[#This Row], [Año]]="",Fact_Analitica[[#This Row], [Mes]]=""),"",DATE(A1511,MATCH(B1511,{"enero","febrero","marzo","abril","mayo","junio","julio","agosto","septiembre","octubre","noviembre","diciembre"},0)+1,0))</f>
        <v/>
      </c>
      <c r="E1511" t="str">
        <f>+IFERROR(VLOOKUP(Fact_Analitica[[#This Row], [Concepto Anterior]],Conceptos_Analítica_contraloría[#All],5,0),"")</f>
        <v/>
      </c>
      <c r="F1511" t="str">
        <f>+IFERROR(VLOOKUP(Fact_Analitica[[#This Row], [Concepto Anterior]],Conceptos_Analítica_contraloría[#All],7,0),"")</f>
        <v/>
      </c>
      <c r="I1511" t="str">
        <f>+IFERROR(VLOOKUP(D1511,Conceptos_Analítica_contraloría[#All],2,0),"")</f>
        <v/>
      </c>
      <c r="J1511" s="84" t="str">
        <f>+IFERROR(VLOOKUP(D1511,Conceptos_Analítica_contraloría[#All],3,0),"")</f>
        <v/>
      </c>
    </row>
    <row r="1512" spans="3:10" ht="18.75" customHeight="1" x14ac:dyDescent="0.35">
      <c r="C1512" s="100" t="str">
        <f>IF(OR(Fact_Analitica[[#This Row], [Año]]="",Fact_Analitica[[#This Row], [Mes]]=""),"",DATE(A1512,MATCH(B1512,{"enero","febrero","marzo","abril","mayo","junio","julio","agosto","septiembre","octubre","noviembre","diciembre"},0)+1,0))</f>
        <v/>
      </c>
      <c r="E1512" t="str">
        <f>+IFERROR(VLOOKUP(Fact_Analitica[[#This Row], [Concepto Anterior]],Conceptos_Analítica_contraloría[#All],5,0),"")</f>
        <v/>
      </c>
      <c r="F1512" t="str">
        <f>+IFERROR(VLOOKUP(Fact_Analitica[[#This Row], [Concepto Anterior]],Conceptos_Analítica_contraloría[#All],7,0),"")</f>
        <v/>
      </c>
      <c r="I1512" t="str">
        <f>+IFERROR(VLOOKUP(D1512,Conceptos_Analítica_contraloría[#All],2,0),"")</f>
        <v/>
      </c>
      <c r="J1512" s="84" t="str">
        <f>+IFERROR(VLOOKUP(D1512,Conceptos_Analítica_contraloría[#All],3,0),"")</f>
        <v/>
      </c>
    </row>
    <row r="1513" spans="3:10" ht="18.75" customHeight="1" x14ac:dyDescent="0.35">
      <c r="C1513" s="100" t="str">
        <f>IF(OR(Fact_Analitica[[#This Row], [Año]]="",Fact_Analitica[[#This Row], [Mes]]=""),"",DATE(A1513,MATCH(B1513,{"enero","febrero","marzo","abril","mayo","junio","julio","agosto","septiembre","octubre","noviembre","diciembre"},0)+1,0))</f>
        <v/>
      </c>
      <c r="E1513" t="str">
        <f>+IFERROR(VLOOKUP(Fact_Analitica[[#This Row], [Concepto Anterior]],Conceptos_Analítica_contraloría[#All],5,0),"")</f>
        <v/>
      </c>
      <c r="F1513" t="str">
        <f>+IFERROR(VLOOKUP(Fact_Analitica[[#This Row], [Concepto Anterior]],Conceptos_Analítica_contraloría[#All],7,0),"")</f>
        <v/>
      </c>
      <c r="I1513" t="str">
        <f>+IFERROR(VLOOKUP(D1513,Conceptos_Analítica_contraloría[#All],2,0),"")</f>
        <v/>
      </c>
      <c r="J1513" s="84" t="str">
        <f>+IFERROR(VLOOKUP(D1513,Conceptos_Analítica_contraloría[#All],3,0),"")</f>
        <v/>
      </c>
    </row>
    <row r="1514" spans="3:10" ht="18.75" customHeight="1" x14ac:dyDescent="0.35">
      <c r="C1514" s="100" t="str">
        <f>IF(OR(Fact_Analitica[[#This Row], [Año]]="",Fact_Analitica[[#This Row], [Mes]]=""),"",DATE(A1514,MATCH(B1514,{"enero","febrero","marzo","abril","mayo","junio","julio","agosto","septiembre","octubre","noviembre","diciembre"},0)+1,0))</f>
        <v/>
      </c>
      <c r="E1514" t="str">
        <f>+IFERROR(VLOOKUP(Fact_Analitica[[#This Row], [Concepto Anterior]],Conceptos_Analítica_contraloría[#All],5,0),"")</f>
        <v/>
      </c>
      <c r="F1514" t="str">
        <f>+IFERROR(VLOOKUP(Fact_Analitica[[#This Row], [Concepto Anterior]],Conceptos_Analítica_contraloría[#All],7,0),"")</f>
        <v/>
      </c>
      <c r="I1514" t="str">
        <f>+IFERROR(VLOOKUP(D1514,Conceptos_Analítica_contraloría[#All],2,0),"")</f>
        <v/>
      </c>
      <c r="J1514" s="84" t="str">
        <f>+IFERROR(VLOOKUP(D1514,Conceptos_Analítica_contraloría[#All],3,0),"")</f>
        <v/>
      </c>
    </row>
    <row r="1515" spans="3:10" ht="18.75" customHeight="1" x14ac:dyDescent="0.35">
      <c r="C1515" s="100" t="str">
        <f>IF(OR(Fact_Analitica[[#This Row], [Año]]="",Fact_Analitica[[#This Row], [Mes]]=""),"",DATE(A1515,MATCH(B1515,{"enero","febrero","marzo","abril","mayo","junio","julio","agosto","septiembre","octubre","noviembre","diciembre"},0)+1,0))</f>
        <v/>
      </c>
      <c r="E1515" t="str">
        <f>+IFERROR(VLOOKUP(Fact_Analitica[[#This Row], [Concepto Anterior]],Conceptos_Analítica_contraloría[#All],5,0),"")</f>
        <v/>
      </c>
      <c r="F1515" t="str">
        <f>+IFERROR(VLOOKUP(Fact_Analitica[[#This Row], [Concepto Anterior]],Conceptos_Analítica_contraloría[#All],7,0),"")</f>
        <v/>
      </c>
      <c r="I1515" t="str">
        <f>+IFERROR(VLOOKUP(D1515,Conceptos_Analítica_contraloría[#All],2,0),"")</f>
        <v/>
      </c>
      <c r="J1515" s="84" t="str">
        <f>+IFERROR(VLOOKUP(D1515,Conceptos_Analítica_contraloría[#All],3,0),"")</f>
        <v/>
      </c>
    </row>
    <row r="1516" spans="3:10" ht="18.75" customHeight="1" x14ac:dyDescent="0.35">
      <c r="C1516" s="100" t="str">
        <f>IF(OR(Fact_Analitica[[#This Row], [Año]]="",Fact_Analitica[[#This Row], [Mes]]=""),"",DATE(A1516,MATCH(B1516,{"enero","febrero","marzo","abril","mayo","junio","julio","agosto","septiembre","octubre","noviembre","diciembre"},0)+1,0))</f>
        <v/>
      </c>
      <c r="E1516" t="str">
        <f>+IFERROR(VLOOKUP(Fact_Analitica[[#This Row], [Concepto Anterior]],Conceptos_Analítica_contraloría[#All],5,0),"")</f>
        <v/>
      </c>
      <c r="F1516" t="str">
        <f>+IFERROR(VLOOKUP(Fact_Analitica[[#This Row], [Concepto Anterior]],Conceptos_Analítica_contraloría[#All],7,0),"")</f>
        <v/>
      </c>
      <c r="I1516" t="str">
        <f>+IFERROR(VLOOKUP(D1516,Conceptos_Analítica_contraloría[#All],2,0),"")</f>
        <v/>
      </c>
      <c r="J1516" s="84" t="str">
        <f>+IFERROR(VLOOKUP(D1516,Conceptos_Analítica_contraloría[#All],3,0),"")</f>
        <v/>
      </c>
    </row>
    <row r="1517" spans="3:10" ht="18.75" customHeight="1" x14ac:dyDescent="0.35">
      <c r="C1517" s="100" t="str">
        <f>IF(OR(Fact_Analitica[[#This Row], [Año]]="",Fact_Analitica[[#This Row], [Mes]]=""),"",DATE(A1517,MATCH(B1517,{"enero","febrero","marzo","abril","mayo","junio","julio","agosto","septiembre","octubre","noviembre","diciembre"},0)+1,0))</f>
        <v/>
      </c>
      <c r="E1517" t="str">
        <f>+IFERROR(VLOOKUP(Fact_Analitica[[#This Row], [Concepto Anterior]],Conceptos_Analítica_contraloría[#All],5,0),"")</f>
        <v/>
      </c>
      <c r="F1517" t="str">
        <f>+IFERROR(VLOOKUP(Fact_Analitica[[#This Row], [Concepto Anterior]],Conceptos_Analítica_contraloría[#All],7,0),"")</f>
        <v/>
      </c>
      <c r="I1517" t="str">
        <f>+IFERROR(VLOOKUP(D1517,Conceptos_Analítica_contraloría[#All],2,0),"")</f>
        <v/>
      </c>
      <c r="J1517" s="84" t="str">
        <f>+IFERROR(VLOOKUP(D1517,Conceptos_Analítica_contraloría[#All],3,0),"")</f>
        <v/>
      </c>
    </row>
    <row r="1518" spans="3:10" ht="18.75" customHeight="1" x14ac:dyDescent="0.35">
      <c r="C1518" s="100" t="str">
        <f>IF(OR(Fact_Analitica[[#This Row], [Año]]="",Fact_Analitica[[#This Row], [Mes]]=""),"",DATE(A1518,MATCH(B1518,{"enero","febrero","marzo","abril","mayo","junio","julio","agosto","septiembre","octubre","noviembre","diciembre"},0)+1,0))</f>
        <v/>
      </c>
      <c r="E1518" t="str">
        <f>+IFERROR(VLOOKUP(Fact_Analitica[[#This Row], [Concepto Anterior]],Conceptos_Analítica_contraloría[#All],5,0),"")</f>
        <v/>
      </c>
      <c r="F1518" t="str">
        <f>+IFERROR(VLOOKUP(Fact_Analitica[[#This Row], [Concepto Anterior]],Conceptos_Analítica_contraloría[#All],7,0),"")</f>
        <v/>
      </c>
      <c r="I1518" t="str">
        <f>+IFERROR(VLOOKUP(D1518,Conceptos_Analítica_contraloría[#All],2,0),"")</f>
        <v/>
      </c>
      <c r="J1518" s="84" t="str">
        <f>+IFERROR(VLOOKUP(D1518,Conceptos_Analítica_contraloría[#All],3,0),"")</f>
        <v/>
      </c>
    </row>
    <row r="1519" spans="3:10" ht="18.75" customHeight="1" x14ac:dyDescent="0.35">
      <c r="C1519" s="100" t="str">
        <f>IF(OR(Fact_Analitica[[#This Row], [Año]]="",Fact_Analitica[[#This Row], [Mes]]=""),"",DATE(A1519,MATCH(B1519,{"enero","febrero","marzo","abril","mayo","junio","julio","agosto","septiembre","octubre","noviembre","diciembre"},0)+1,0))</f>
        <v/>
      </c>
      <c r="E1519" t="str">
        <f>+IFERROR(VLOOKUP(Fact_Analitica[[#This Row], [Concepto Anterior]],Conceptos_Analítica_contraloría[#All],5,0),"")</f>
        <v/>
      </c>
      <c r="F1519" t="str">
        <f>+IFERROR(VLOOKUP(Fact_Analitica[[#This Row], [Concepto Anterior]],Conceptos_Analítica_contraloría[#All],7,0),"")</f>
        <v/>
      </c>
      <c r="I1519" t="str">
        <f>+IFERROR(VLOOKUP(D1519,Conceptos_Analítica_contraloría[#All],2,0),"")</f>
        <v/>
      </c>
      <c r="J1519" s="84" t="str">
        <f>+IFERROR(VLOOKUP(D1519,Conceptos_Analítica_contraloría[#All],3,0),"")</f>
        <v/>
      </c>
    </row>
    <row r="1520" spans="3:10" ht="18.75" customHeight="1" x14ac:dyDescent="0.35">
      <c r="C1520" s="100" t="str">
        <f>IF(OR(Fact_Analitica[[#This Row], [Año]]="",Fact_Analitica[[#This Row], [Mes]]=""),"",DATE(A1520,MATCH(B1520,{"enero","febrero","marzo","abril","mayo","junio","julio","agosto","septiembre","octubre","noviembre","diciembre"},0)+1,0))</f>
        <v/>
      </c>
      <c r="E1520" t="str">
        <f>+IFERROR(VLOOKUP(Fact_Analitica[[#This Row], [Concepto Anterior]],Conceptos_Analítica_contraloría[#All],5,0),"")</f>
        <v/>
      </c>
      <c r="F1520" t="str">
        <f>+IFERROR(VLOOKUP(Fact_Analitica[[#This Row], [Concepto Anterior]],Conceptos_Analítica_contraloría[#All],7,0),"")</f>
        <v/>
      </c>
      <c r="I1520" t="str">
        <f>+IFERROR(VLOOKUP(D1520,Conceptos_Analítica_contraloría[#All],2,0),"")</f>
        <v/>
      </c>
      <c r="J1520" s="84" t="str">
        <f>+IFERROR(VLOOKUP(D1520,Conceptos_Analítica_contraloría[#All],3,0),"")</f>
        <v/>
      </c>
    </row>
    <row r="1521" spans="3:10" ht="18.75" customHeight="1" x14ac:dyDescent="0.35">
      <c r="C1521" s="100" t="str">
        <f>IF(OR(Fact_Analitica[[#This Row], [Año]]="",Fact_Analitica[[#This Row], [Mes]]=""),"",DATE(A1521,MATCH(B1521,{"enero","febrero","marzo","abril","mayo","junio","julio","agosto","septiembre","octubre","noviembre","diciembre"},0)+1,0))</f>
        <v/>
      </c>
      <c r="E1521" t="str">
        <f>+IFERROR(VLOOKUP(Fact_Analitica[[#This Row], [Concepto Anterior]],Conceptos_Analítica_contraloría[#All],5,0),"")</f>
        <v/>
      </c>
      <c r="F1521" t="str">
        <f>+IFERROR(VLOOKUP(Fact_Analitica[[#This Row], [Concepto Anterior]],Conceptos_Analítica_contraloría[#All],7,0),"")</f>
        <v/>
      </c>
      <c r="I1521" t="str">
        <f>+IFERROR(VLOOKUP(D1521,Conceptos_Analítica_contraloría[#All],2,0),"")</f>
        <v/>
      </c>
      <c r="J1521" s="84" t="str">
        <f>+IFERROR(VLOOKUP(D1521,Conceptos_Analítica_contraloría[#All],3,0),"")</f>
        <v/>
      </c>
    </row>
    <row r="1522" spans="3:10" ht="18.75" customHeight="1" x14ac:dyDescent="0.35">
      <c r="C1522" s="100" t="str">
        <f>IF(OR(Fact_Analitica[[#This Row], [Año]]="",Fact_Analitica[[#This Row], [Mes]]=""),"",DATE(A1522,MATCH(B1522,{"enero","febrero","marzo","abril","mayo","junio","julio","agosto","septiembre","octubre","noviembre","diciembre"},0)+1,0))</f>
        <v/>
      </c>
      <c r="E1522" t="str">
        <f>+IFERROR(VLOOKUP(Fact_Analitica[[#This Row], [Concepto Anterior]],Conceptos_Analítica_contraloría[#All],5,0),"")</f>
        <v/>
      </c>
      <c r="F1522" t="str">
        <f>+IFERROR(VLOOKUP(Fact_Analitica[[#This Row], [Concepto Anterior]],Conceptos_Analítica_contraloría[#All],7,0),"")</f>
        <v/>
      </c>
      <c r="I1522" t="str">
        <f>+IFERROR(VLOOKUP(D1522,Conceptos_Analítica_contraloría[#All],2,0),"")</f>
        <v/>
      </c>
      <c r="J1522" s="84" t="str">
        <f>+IFERROR(VLOOKUP(D1522,Conceptos_Analítica_contraloría[#All],3,0),"")</f>
        <v/>
      </c>
    </row>
    <row r="1523" spans="3:10" ht="18.75" customHeight="1" x14ac:dyDescent="0.35">
      <c r="C1523" s="100" t="str">
        <f>IF(OR(Fact_Analitica[[#This Row], [Año]]="",Fact_Analitica[[#This Row], [Mes]]=""),"",DATE(A1523,MATCH(B1523,{"enero","febrero","marzo","abril","mayo","junio","julio","agosto","septiembre","octubre","noviembre","diciembre"},0)+1,0))</f>
        <v/>
      </c>
      <c r="E1523" t="str">
        <f>+IFERROR(VLOOKUP(Fact_Analitica[[#This Row], [Concepto Anterior]],Conceptos_Analítica_contraloría[#All],5,0),"")</f>
        <v/>
      </c>
      <c r="F1523" t="str">
        <f>+IFERROR(VLOOKUP(Fact_Analitica[[#This Row], [Concepto Anterior]],Conceptos_Analítica_contraloría[#All],7,0),"")</f>
        <v/>
      </c>
      <c r="I1523" t="str">
        <f>+IFERROR(VLOOKUP(D1523,Conceptos_Analítica_contraloría[#All],2,0),"")</f>
        <v/>
      </c>
      <c r="J1523" s="84" t="str">
        <f>+IFERROR(VLOOKUP(D1523,Conceptos_Analítica_contraloría[#All],3,0),"")</f>
        <v/>
      </c>
    </row>
    <row r="1524" spans="3:10" ht="18.75" customHeight="1" x14ac:dyDescent="0.35">
      <c r="C1524" s="100" t="str">
        <f>IF(OR(Fact_Analitica[[#This Row], [Año]]="",Fact_Analitica[[#This Row], [Mes]]=""),"",DATE(A1524,MATCH(B1524,{"enero","febrero","marzo","abril","mayo","junio","julio","agosto","septiembre","octubre","noviembre","diciembre"},0)+1,0))</f>
        <v/>
      </c>
      <c r="E1524" t="str">
        <f>+IFERROR(VLOOKUP(Fact_Analitica[[#This Row], [Concepto Anterior]],Conceptos_Analítica_contraloría[#All],5,0),"")</f>
        <v/>
      </c>
      <c r="F1524" t="str">
        <f>+IFERROR(VLOOKUP(Fact_Analitica[[#This Row], [Concepto Anterior]],Conceptos_Analítica_contraloría[#All],7,0),"")</f>
        <v/>
      </c>
      <c r="I1524" t="str">
        <f>+IFERROR(VLOOKUP(D1524,Conceptos_Analítica_contraloría[#All],2,0),"")</f>
        <v/>
      </c>
      <c r="J1524" s="84" t="str">
        <f>+IFERROR(VLOOKUP(D1524,Conceptos_Analítica_contraloría[#All],3,0),"")</f>
        <v/>
      </c>
    </row>
    <row r="1525" spans="3:10" ht="18.75" customHeight="1" x14ac:dyDescent="0.35">
      <c r="C1525" s="100" t="str">
        <f>IF(OR(Fact_Analitica[[#This Row], [Año]]="",Fact_Analitica[[#This Row], [Mes]]=""),"",DATE(A1525,MATCH(B1525,{"enero","febrero","marzo","abril","mayo","junio","julio","agosto","septiembre","octubre","noviembre","diciembre"},0)+1,0))</f>
        <v/>
      </c>
      <c r="E1525" t="str">
        <f>+IFERROR(VLOOKUP(Fact_Analitica[[#This Row], [Concepto Anterior]],Conceptos_Analítica_contraloría[#All],5,0),"")</f>
        <v/>
      </c>
      <c r="F1525" t="str">
        <f>+IFERROR(VLOOKUP(Fact_Analitica[[#This Row], [Concepto Anterior]],Conceptos_Analítica_contraloría[#All],7,0),"")</f>
        <v/>
      </c>
      <c r="I1525" t="str">
        <f>+IFERROR(VLOOKUP(D1525,Conceptos_Analítica_contraloría[#All],2,0),"")</f>
        <v/>
      </c>
      <c r="J1525" s="84" t="str">
        <f>+IFERROR(VLOOKUP(D1525,Conceptos_Analítica_contraloría[#All],3,0),"")</f>
        <v/>
      </c>
    </row>
    <row r="1526" spans="3:10" ht="18.75" customHeight="1" x14ac:dyDescent="0.35">
      <c r="C1526" s="100" t="str">
        <f>IF(OR(Fact_Analitica[[#This Row], [Año]]="",Fact_Analitica[[#This Row], [Mes]]=""),"",DATE(A1526,MATCH(B1526,{"enero","febrero","marzo","abril","mayo","junio","julio","agosto","septiembre","octubre","noviembre","diciembre"},0)+1,0))</f>
        <v/>
      </c>
      <c r="E1526" t="str">
        <f>+IFERROR(VLOOKUP(Fact_Analitica[[#This Row], [Concepto Anterior]],Conceptos_Analítica_contraloría[#All],5,0),"")</f>
        <v/>
      </c>
      <c r="F1526" t="str">
        <f>+IFERROR(VLOOKUP(Fact_Analitica[[#This Row], [Concepto Anterior]],Conceptos_Analítica_contraloría[#All],7,0),"")</f>
        <v/>
      </c>
      <c r="I1526" t="str">
        <f>+IFERROR(VLOOKUP(D1526,Conceptos_Analítica_contraloría[#All],2,0),"")</f>
        <v/>
      </c>
      <c r="J1526" s="84" t="str">
        <f>+IFERROR(VLOOKUP(D1526,Conceptos_Analítica_contraloría[#All],3,0),"")</f>
        <v/>
      </c>
    </row>
    <row r="1527" spans="3:10" ht="18.75" customHeight="1" x14ac:dyDescent="0.35">
      <c r="C1527" s="100" t="str">
        <f>IF(OR(Fact_Analitica[[#This Row], [Año]]="",Fact_Analitica[[#This Row], [Mes]]=""),"",DATE(A1527,MATCH(B1527,{"enero","febrero","marzo","abril","mayo","junio","julio","agosto","septiembre","octubre","noviembre","diciembre"},0)+1,0))</f>
        <v/>
      </c>
      <c r="E1527" t="str">
        <f>+IFERROR(VLOOKUP(Fact_Analitica[[#This Row], [Concepto Anterior]],Conceptos_Analítica_contraloría[#All],5,0),"")</f>
        <v/>
      </c>
      <c r="F1527" t="str">
        <f>+IFERROR(VLOOKUP(Fact_Analitica[[#This Row], [Concepto Anterior]],Conceptos_Analítica_contraloría[#All],7,0),"")</f>
        <v/>
      </c>
      <c r="I1527" t="str">
        <f>+IFERROR(VLOOKUP(D1527,Conceptos_Analítica_contraloría[#All],2,0),"")</f>
        <v/>
      </c>
      <c r="J1527" s="84" t="str">
        <f>+IFERROR(VLOOKUP(D1527,Conceptos_Analítica_contraloría[#All],3,0),"")</f>
        <v/>
      </c>
    </row>
    <row r="1528" spans="3:10" ht="18.75" customHeight="1" x14ac:dyDescent="0.35">
      <c r="C1528" s="100" t="str">
        <f>IF(OR(Fact_Analitica[[#This Row], [Año]]="",Fact_Analitica[[#This Row], [Mes]]=""),"",DATE(A1528,MATCH(B1528,{"enero","febrero","marzo","abril","mayo","junio","julio","agosto","septiembre","octubre","noviembre","diciembre"},0)+1,0))</f>
        <v/>
      </c>
      <c r="E1528" t="str">
        <f>+IFERROR(VLOOKUP(Fact_Analitica[[#This Row], [Concepto Anterior]],Conceptos_Analítica_contraloría[#All],5,0),"")</f>
        <v/>
      </c>
      <c r="F1528" t="str">
        <f>+IFERROR(VLOOKUP(Fact_Analitica[[#This Row], [Concepto Anterior]],Conceptos_Analítica_contraloría[#All],7,0),"")</f>
        <v/>
      </c>
      <c r="I1528" t="str">
        <f>+IFERROR(VLOOKUP(D1528,Conceptos_Analítica_contraloría[#All],2,0),"")</f>
        <v/>
      </c>
      <c r="J1528" s="84" t="str">
        <f>+IFERROR(VLOOKUP(D1528,Conceptos_Analítica_contraloría[#All],3,0),"")</f>
        <v/>
      </c>
    </row>
    <row r="1529" spans="3:10" ht="18.75" customHeight="1" x14ac:dyDescent="0.35">
      <c r="C1529" s="100" t="str">
        <f>IF(OR(Fact_Analitica[[#This Row], [Año]]="",Fact_Analitica[[#This Row], [Mes]]=""),"",DATE(A1529,MATCH(B1529,{"enero","febrero","marzo","abril","mayo","junio","julio","agosto","septiembre","octubre","noviembre","diciembre"},0)+1,0))</f>
        <v/>
      </c>
      <c r="E1529" t="str">
        <f>+IFERROR(VLOOKUP(Fact_Analitica[[#This Row], [Concepto Anterior]],Conceptos_Analítica_contraloría[#All],5,0),"")</f>
        <v/>
      </c>
      <c r="F1529" t="str">
        <f>+IFERROR(VLOOKUP(Fact_Analitica[[#This Row], [Concepto Anterior]],Conceptos_Analítica_contraloría[#All],7,0),"")</f>
        <v/>
      </c>
      <c r="I1529" t="str">
        <f>+IFERROR(VLOOKUP(D1529,Conceptos_Analítica_contraloría[#All],2,0),"")</f>
        <v/>
      </c>
      <c r="J1529" s="84" t="str">
        <f>+IFERROR(VLOOKUP(D1529,Conceptos_Analítica_contraloría[#All],3,0),"")</f>
        <v/>
      </c>
    </row>
    <row r="1530" spans="3:10" ht="18.75" customHeight="1" x14ac:dyDescent="0.35">
      <c r="C1530" s="100" t="str">
        <f>IF(OR(Fact_Analitica[[#This Row], [Año]]="",Fact_Analitica[[#This Row], [Mes]]=""),"",DATE(A1530,MATCH(B1530,{"enero","febrero","marzo","abril","mayo","junio","julio","agosto","septiembre","octubre","noviembre","diciembre"},0)+1,0))</f>
        <v/>
      </c>
      <c r="E1530" t="str">
        <f>+IFERROR(VLOOKUP(Fact_Analitica[[#This Row], [Concepto Anterior]],Conceptos_Analítica_contraloría[#All],5,0),"")</f>
        <v/>
      </c>
      <c r="F1530" t="str">
        <f>+IFERROR(VLOOKUP(Fact_Analitica[[#This Row], [Concepto Anterior]],Conceptos_Analítica_contraloría[#All],7,0),"")</f>
        <v/>
      </c>
      <c r="I1530" t="str">
        <f>+IFERROR(VLOOKUP(D1530,Conceptos_Analítica_contraloría[#All],2,0),"")</f>
        <v/>
      </c>
      <c r="J1530" s="84" t="str">
        <f>+IFERROR(VLOOKUP(D1530,Conceptos_Analítica_contraloría[#All],3,0),"")</f>
        <v/>
      </c>
    </row>
    <row r="1531" spans="3:10" ht="18.75" customHeight="1" x14ac:dyDescent="0.35">
      <c r="C1531" s="100" t="str">
        <f>IF(OR(Fact_Analitica[[#This Row], [Año]]="",Fact_Analitica[[#This Row], [Mes]]=""),"",DATE(A1531,MATCH(B1531,{"enero","febrero","marzo","abril","mayo","junio","julio","agosto","septiembre","octubre","noviembre","diciembre"},0)+1,0))</f>
        <v/>
      </c>
      <c r="E1531" t="str">
        <f>+IFERROR(VLOOKUP(Fact_Analitica[[#This Row], [Concepto Anterior]],Conceptos_Analítica_contraloría[#All],5,0),"")</f>
        <v/>
      </c>
      <c r="F1531" t="str">
        <f>+IFERROR(VLOOKUP(Fact_Analitica[[#This Row], [Concepto Anterior]],Conceptos_Analítica_contraloría[#All],7,0),"")</f>
        <v/>
      </c>
      <c r="I1531" t="str">
        <f>+IFERROR(VLOOKUP(D1531,Conceptos_Analítica_contraloría[#All],2,0),"")</f>
        <v/>
      </c>
      <c r="J1531" s="84" t="str">
        <f>+IFERROR(VLOOKUP(D1531,Conceptos_Analítica_contraloría[#All],3,0),"")</f>
        <v/>
      </c>
    </row>
    <row r="1532" spans="3:10" ht="18.75" customHeight="1" x14ac:dyDescent="0.35">
      <c r="C1532" s="100" t="str">
        <f>IF(OR(Fact_Analitica[[#This Row], [Año]]="",Fact_Analitica[[#This Row], [Mes]]=""),"",DATE(A1532,MATCH(B1532,{"enero","febrero","marzo","abril","mayo","junio","julio","agosto","septiembre","octubre","noviembre","diciembre"},0)+1,0))</f>
        <v/>
      </c>
      <c r="E1532" t="str">
        <f>+IFERROR(VLOOKUP(Fact_Analitica[[#This Row], [Concepto Anterior]],Conceptos_Analítica_contraloría[#All],5,0),"")</f>
        <v/>
      </c>
      <c r="F1532" t="str">
        <f>+IFERROR(VLOOKUP(Fact_Analitica[[#This Row], [Concepto Anterior]],Conceptos_Analítica_contraloría[#All],7,0),"")</f>
        <v/>
      </c>
      <c r="I1532" t="str">
        <f>+IFERROR(VLOOKUP(D1532,Conceptos_Analítica_contraloría[#All],2,0),"")</f>
        <v/>
      </c>
      <c r="J1532" s="84" t="str">
        <f>+IFERROR(VLOOKUP(D1532,Conceptos_Analítica_contraloría[#All],3,0),"")</f>
        <v/>
      </c>
    </row>
    <row r="1533" spans="3:10" ht="18.75" customHeight="1" x14ac:dyDescent="0.35">
      <c r="C1533" s="100" t="str">
        <f>IF(OR(Fact_Analitica[[#This Row], [Año]]="",Fact_Analitica[[#This Row], [Mes]]=""),"",DATE(A1533,MATCH(B1533,{"enero","febrero","marzo","abril","mayo","junio","julio","agosto","septiembre","octubre","noviembre","diciembre"},0)+1,0))</f>
        <v/>
      </c>
      <c r="E1533" t="str">
        <f>+IFERROR(VLOOKUP(Fact_Analitica[[#This Row], [Concepto Anterior]],Conceptos_Analítica_contraloría[#All],5,0),"")</f>
        <v/>
      </c>
      <c r="F1533" t="str">
        <f>+IFERROR(VLOOKUP(Fact_Analitica[[#This Row], [Concepto Anterior]],Conceptos_Analítica_contraloría[#All],7,0),"")</f>
        <v/>
      </c>
      <c r="I1533" t="str">
        <f>+IFERROR(VLOOKUP(D1533,Conceptos_Analítica_contraloría[#All],2,0),"")</f>
        <v/>
      </c>
      <c r="J1533" s="84" t="str">
        <f>+IFERROR(VLOOKUP(D1533,Conceptos_Analítica_contraloría[#All],3,0),"")</f>
        <v/>
      </c>
    </row>
    <row r="1534" spans="3:10" ht="18.75" customHeight="1" x14ac:dyDescent="0.35">
      <c r="C1534" s="100" t="str">
        <f>IF(OR(Fact_Analitica[[#This Row], [Año]]="",Fact_Analitica[[#This Row], [Mes]]=""),"",DATE(A1534,MATCH(B1534,{"enero","febrero","marzo","abril","mayo","junio","julio","agosto","septiembre","octubre","noviembre","diciembre"},0)+1,0))</f>
        <v/>
      </c>
      <c r="E1534" t="str">
        <f>+IFERROR(VLOOKUP(Fact_Analitica[[#This Row], [Concepto Anterior]],Conceptos_Analítica_contraloría[#All],5,0),"")</f>
        <v/>
      </c>
      <c r="F1534" t="str">
        <f>+IFERROR(VLOOKUP(Fact_Analitica[[#This Row], [Concepto Anterior]],Conceptos_Analítica_contraloría[#All],7,0),"")</f>
        <v/>
      </c>
      <c r="I1534" t="str">
        <f>+IFERROR(VLOOKUP(D1534,Conceptos_Analítica_contraloría[#All],2,0),"")</f>
        <v/>
      </c>
      <c r="J1534" s="84" t="str">
        <f>+IFERROR(VLOOKUP(D1534,Conceptos_Analítica_contraloría[#All],3,0),"")</f>
        <v/>
      </c>
    </row>
    <row r="1535" spans="3:10" ht="18.75" customHeight="1" x14ac:dyDescent="0.35">
      <c r="C1535" s="100" t="str">
        <f>IF(OR(Fact_Analitica[[#This Row], [Año]]="",Fact_Analitica[[#This Row], [Mes]]=""),"",DATE(A1535,MATCH(B1535,{"enero","febrero","marzo","abril","mayo","junio","julio","agosto","septiembre","octubre","noviembre","diciembre"},0)+1,0))</f>
        <v/>
      </c>
      <c r="E1535" t="str">
        <f>+IFERROR(VLOOKUP(Fact_Analitica[[#This Row], [Concepto Anterior]],Conceptos_Analítica_contraloría[#All],5,0),"")</f>
        <v/>
      </c>
      <c r="F1535" t="str">
        <f>+IFERROR(VLOOKUP(Fact_Analitica[[#This Row], [Concepto Anterior]],Conceptos_Analítica_contraloría[#All],7,0),"")</f>
        <v/>
      </c>
      <c r="I1535" t="str">
        <f>+IFERROR(VLOOKUP(D1535,Conceptos_Analítica_contraloría[#All],2,0),"")</f>
        <v/>
      </c>
      <c r="J1535" s="84" t="str">
        <f>+IFERROR(VLOOKUP(D1535,Conceptos_Analítica_contraloría[#All],3,0),"")</f>
        <v/>
      </c>
    </row>
    <row r="1536" spans="3:10" ht="18.75" customHeight="1" x14ac:dyDescent="0.35">
      <c r="C1536" s="100" t="str">
        <f>IF(OR(Fact_Analitica[[#This Row], [Año]]="",Fact_Analitica[[#This Row], [Mes]]=""),"",DATE(A1536,MATCH(B1536,{"enero","febrero","marzo","abril","mayo","junio","julio","agosto","septiembre","octubre","noviembre","diciembre"},0)+1,0))</f>
        <v/>
      </c>
      <c r="E1536" t="str">
        <f>+IFERROR(VLOOKUP(Fact_Analitica[[#This Row], [Concepto Anterior]],Conceptos_Analítica_contraloría[#All],5,0),"")</f>
        <v/>
      </c>
      <c r="F1536" t="str">
        <f>+IFERROR(VLOOKUP(Fact_Analitica[[#This Row], [Concepto Anterior]],Conceptos_Analítica_contraloría[#All],7,0),"")</f>
        <v/>
      </c>
      <c r="I1536" t="str">
        <f>+IFERROR(VLOOKUP(D1536,Conceptos_Analítica_contraloría[#All],2,0),"")</f>
        <v/>
      </c>
      <c r="J1536" s="84" t="str">
        <f>+IFERROR(VLOOKUP(D1536,Conceptos_Analítica_contraloría[#All],3,0),"")</f>
        <v/>
      </c>
    </row>
    <row r="1537" spans="3:10" ht="18.75" customHeight="1" x14ac:dyDescent="0.35">
      <c r="C1537" s="100" t="str">
        <f>IF(OR(Fact_Analitica[[#This Row], [Año]]="",Fact_Analitica[[#This Row], [Mes]]=""),"",DATE(A1537,MATCH(B1537,{"enero","febrero","marzo","abril","mayo","junio","julio","agosto","septiembre","octubre","noviembre","diciembre"},0)+1,0))</f>
        <v/>
      </c>
      <c r="E1537" t="str">
        <f>+IFERROR(VLOOKUP(Fact_Analitica[[#This Row], [Concepto Anterior]],Conceptos_Analítica_contraloría[#All],5,0),"")</f>
        <v/>
      </c>
      <c r="F1537" t="str">
        <f>+IFERROR(VLOOKUP(Fact_Analitica[[#This Row], [Concepto Anterior]],Conceptos_Analítica_contraloría[#All],7,0),"")</f>
        <v/>
      </c>
      <c r="I1537" t="str">
        <f>+IFERROR(VLOOKUP(D1537,Conceptos_Analítica_contraloría[#All],2,0),"")</f>
        <v/>
      </c>
      <c r="J1537" s="84" t="str">
        <f>+IFERROR(VLOOKUP(D1537,Conceptos_Analítica_contraloría[#All],3,0),"")</f>
        <v/>
      </c>
    </row>
    <row r="1538" spans="3:10" ht="18.75" customHeight="1" x14ac:dyDescent="0.35">
      <c r="C1538" s="100" t="str">
        <f>IF(OR(Fact_Analitica[[#This Row], [Año]]="",Fact_Analitica[[#This Row], [Mes]]=""),"",DATE(A1538,MATCH(B1538,{"enero","febrero","marzo","abril","mayo","junio","julio","agosto","septiembre","octubre","noviembre","diciembre"},0)+1,0))</f>
        <v/>
      </c>
      <c r="E1538" t="str">
        <f>+IFERROR(VLOOKUP(Fact_Analitica[[#This Row], [Concepto Anterior]],Conceptos_Analítica_contraloría[#All],5,0),"")</f>
        <v/>
      </c>
      <c r="F1538" t="str">
        <f>+IFERROR(VLOOKUP(Fact_Analitica[[#This Row], [Concepto Anterior]],Conceptos_Analítica_contraloría[#All],7,0),"")</f>
        <v/>
      </c>
      <c r="I1538" t="str">
        <f>+IFERROR(VLOOKUP(D1538,Conceptos_Analítica_contraloría[#All],2,0),"")</f>
        <v/>
      </c>
      <c r="J1538" s="84" t="str">
        <f>+IFERROR(VLOOKUP(D1538,Conceptos_Analítica_contraloría[#All],3,0),"")</f>
        <v/>
      </c>
    </row>
    <row r="1539" spans="3:10" ht="18.75" customHeight="1" x14ac:dyDescent="0.35">
      <c r="C1539" s="100" t="str">
        <f>IF(OR(Fact_Analitica[[#This Row], [Año]]="",Fact_Analitica[[#This Row], [Mes]]=""),"",DATE(A1539,MATCH(B1539,{"enero","febrero","marzo","abril","mayo","junio","julio","agosto","septiembre","octubre","noviembre","diciembre"},0)+1,0))</f>
        <v/>
      </c>
      <c r="E1539" t="str">
        <f>+IFERROR(VLOOKUP(Fact_Analitica[[#This Row], [Concepto Anterior]],Conceptos_Analítica_contraloría[#All],5,0),"")</f>
        <v/>
      </c>
      <c r="F1539" t="str">
        <f>+IFERROR(VLOOKUP(Fact_Analitica[[#This Row], [Concepto Anterior]],Conceptos_Analítica_contraloría[#All],7,0),"")</f>
        <v/>
      </c>
      <c r="I1539" t="str">
        <f>+IFERROR(VLOOKUP(D1539,Conceptos_Analítica_contraloría[#All],2,0),"")</f>
        <v/>
      </c>
      <c r="J1539" s="84" t="str">
        <f>+IFERROR(VLOOKUP(D1539,Conceptos_Analítica_contraloría[#All],3,0),"")</f>
        <v/>
      </c>
    </row>
    <row r="1540" spans="3:10" ht="18.75" customHeight="1" x14ac:dyDescent="0.35">
      <c r="C1540" s="100" t="str">
        <f>IF(OR(Fact_Analitica[[#This Row], [Año]]="",Fact_Analitica[[#This Row], [Mes]]=""),"",DATE(A1540,MATCH(B1540,{"enero","febrero","marzo","abril","mayo","junio","julio","agosto","septiembre","octubre","noviembre","diciembre"},0)+1,0))</f>
        <v/>
      </c>
      <c r="E1540" t="str">
        <f>+IFERROR(VLOOKUP(Fact_Analitica[[#This Row], [Concepto Anterior]],Conceptos_Analítica_contraloría[#All],5,0),"")</f>
        <v/>
      </c>
      <c r="F1540" t="str">
        <f>+IFERROR(VLOOKUP(Fact_Analitica[[#This Row], [Concepto Anterior]],Conceptos_Analítica_contraloría[#All],7,0),"")</f>
        <v/>
      </c>
      <c r="I1540" t="str">
        <f>+IFERROR(VLOOKUP(D1540,Conceptos_Analítica_contraloría[#All],2,0),"")</f>
        <v/>
      </c>
      <c r="J1540" s="84" t="str">
        <f>+IFERROR(VLOOKUP(D1540,Conceptos_Analítica_contraloría[#All],3,0),"")</f>
        <v/>
      </c>
    </row>
    <row r="1541" spans="3:10" ht="18.75" customHeight="1" x14ac:dyDescent="0.35">
      <c r="C1541" s="100" t="str">
        <f>IF(OR(Fact_Analitica[[#This Row], [Año]]="",Fact_Analitica[[#This Row], [Mes]]=""),"",DATE(A1541,MATCH(B1541,{"enero","febrero","marzo","abril","mayo","junio","julio","agosto","septiembre","octubre","noviembre","diciembre"},0)+1,0))</f>
        <v/>
      </c>
      <c r="E1541" t="str">
        <f>+IFERROR(VLOOKUP(Fact_Analitica[[#This Row], [Concepto Anterior]],Conceptos_Analítica_contraloría[#All],5,0),"")</f>
        <v/>
      </c>
      <c r="F1541" t="str">
        <f>+IFERROR(VLOOKUP(Fact_Analitica[[#This Row], [Concepto Anterior]],Conceptos_Analítica_contraloría[#All],7,0),"")</f>
        <v/>
      </c>
      <c r="I1541" t="str">
        <f>+IFERROR(VLOOKUP(D1541,Conceptos_Analítica_contraloría[#All],2,0),"")</f>
        <v/>
      </c>
      <c r="J1541" s="84" t="str">
        <f>+IFERROR(VLOOKUP(D1541,Conceptos_Analítica_contraloría[#All],3,0),"")</f>
        <v/>
      </c>
    </row>
    <row r="1542" spans="3:10" ht="18.75" customHeight="1" x14ac:dyDescent="0.35">
      <c r="C1542" s="100" t="str">
        <f>IF(OR(Fact_Analitica[[#This Row], [Año]]="",Fact_Analitica[[#This Row], [Mes]]=""),"",DATE(A1542,MATCH(B1542,{"enero","febrero","marzo","abril","mayo","junio","julio","agosto","septiembre","octubre","noviembre","diciembre"},0)+1,0))</f>
        <v/>
      </c>
      <c r="E1542" t="str">
        <f>+IFERROR(VLOOKUP(Fact_Analitica[[#This Row], [Concepto Anterior]],Conceptos_Analítica_contraloría[#All],5,0),"")</f>
        <v/>
      </c>
      <c r="F1542" t="str">
        <f>+IFERROR(VLOOKUP(Fact_Analitica[[#This Row], [Concepto Anterior]],Conceptos_Analítica_contraloría[#All],7,0),"")</f>
        <v/>
      </c>
      <c r="I1542" t="str">
        <f>+IFERROR(VLOOKUP(D1542,Conceptos_Analítica_contraloría[#All],2,0),"")</f>
        <v/>
      </c>
      <c r="J1542" s="84" t="str">
        <f>+IFERROR(VLOOKUP(D1542,Conceptos_Analítica_contraloría[#All],3,0),"")</f>
        <v/>
      </c>
    </row>
    <row r="1543" spans="3:10" ht="18.75" customHeight="1" x14ac:dyDescent="0.35">
      <c r="C1543" s="100" t="str">
        <f>IF(OR(Fact_Analitica[[#This Row], [Año]]="",Fact_Analitica[[#This Row], [Mes]]=""),"",DATE(A1543,MATCH(B1543,{"enero","febrero","marzo","abril","mayo","junio","julio","agosto","septiembre","octubre","noviembre","diciembre"},0)+1,0))</f>
        <v/>
      </c>
      <c r="E1543" t="str">
        <f>+IFERROR(VLOOKUP(Fact_Analitica[[#This Row], [Concepto Anterior]],Conceptos_Analítica_contraloría[#All],5,0),"")</f>
        <v/>
      </c>
      <c r="F1543" t="str">
        <f>+IFERROR(VLOOKUP(Fact_Analitica[[#This Row], [Concepto Anterior]],Conceptos_Analítica_contraloría[#All],7,0),"")</f>
        <v/>
      </c>
      <c r="I1543" t="str">
        <f>+IFERROR(VLOOKUP(D1543,Conceptos_Analítica_contraloría[#All],2,0),"")</f>
        <v/>
      </c>
      <c r="J1543" s="84" t="str">
        <f>+IFERROR(VLOOKUP(D1543,Conceptos_Analítica_contraloría[#All],3,0),"")</f>
        <v/>
      </c>
    </row>
    <row r="1544" spans="3:10" ht="18.75" customHeight="1" x14ac:dyDescent="0.35">
      <c r="C1544" s="100" t="str">
        <f>IF(OR(Fact_Analitica[[#This Row], [Año]]="",Fact_Analitica[[#This Row], [Mes]]=""),"",DATE(A1544,MATCH(B1544,{"enero","febrero","marzo","abril","mayo","junio","julio","agosto","septiembre","octubre","noviembre","diciembre"},0)+1,0))</f>
        <v/>
      </c>
      <c r="E1544" t="str">
        <f>+IFERROR(VLOOKUP(Fact_Analitica[[#This Row], [Concepto Anterior]],Conceptos_Analítica_contraloría[#All],5,0),"")</f>
        <v/>
      </c>
      <c r="F1544" t="str">
        <f>+IFERROR(VLOOKUP(Fact_Analitica[[#This Row], [Concepto Anterior]],Conceptos_Analítica_contraloría[#All],7,0),"")</f>
        <v/>
      </c>
      <c r="I1544" t="str">
        <f>+IFERROR(VLOOKUP(D1544,Conceptos_Analítica_contraloría[#All],2,0),"")</f>
        <v/>
      </c>
      <c r="J1544" s="84" t="str">
        <f>+IFERROR(VLOOKUP(D1544,Conceptos_Analítica_contraloría[#All],3,0),"")</f>
        <v/>
      </c>
    </row>
    <row r="1545" spans="3:10" ht="18.75" customHeight="1" x14ac:dyDescent="0.35">
      <c r="C1545" s="100" t="str">
        <f>IF(OR(Fact_Analitica[[#This Row], [Año]]="",Fact_Analitica[[#This Row], [Mes]]=""),"",DATE(A1545,MATCH(B1545,{"enero","febrero","marzo","abril","mayo","junio","julio","agosto","septiembre","octubre","noviembre","diciembre"},0)+1,0))</f>
        <v/>
      </c>
      <c r="E1545" t="str">
        <f>+IFERROR(VLOOKUP(Fact_Analitica[[#This Row], [Concepto Anterior]],Conceptos_Analítica_contraloría[#All],5,0),"")</f>
        <v/>
      </c>
      <c r="F1545" t="str">
        <f>+IFERROR(VLOOKUP(Fact_Analitica[[#This Row], [Concepto Anterior]],Conceptos_Analítica_contraloría[#All],7,0),"")</f>
        <v/>
      </c>
      <c r="I1545" t="str">
        <f>+IFERROR(VLOOKUP(D1545,Conceptos_Analítica_contraloría[#All],2,0),"")</f>
        <v/>
      </c>
      <c r="J1545" s="84" t="str">
        <f>+IFERROR(VLOOKUP(D1545,Conceptos_Analítica_contraloría[#All],3,0),"")</f>
        <v/>
      </c>
    </row>
    <row r="1546" spans="3:10" ht="18.75" customHeight="1" x14ac:dyDescent="0.35">
      <c r="C1546" s="100" t="str">
        <f>IF(OR(Fact_Analitica[[#This Row], [Año]]="",Fact_Analitica[[#This Row], [Mes]]=""),"",DATE(A1546,MATCH(B1546,{"enero","febrero","marzo","abril","mayo","junio","julio","agosto","septiembre","octubre","noviembre","diciembre"},0)+1,0))</f>
        <v/>
      </c>
      <c r="E1546" t="str">
        <f>+IFERROR(VLOOKUP(Fact_Analitica[[#This Row], [Concepto Anterior]],Conceptos_Analítica_contraloría[#All],5,0),"")</f>
        <v/>
      </c>
      <c r="F1546" t="str">
        <f>+IFERROR(VLOOKUP(Fact_Analitica[[#This Row], [Concepto Anterior]],Conceptos_Analítica_contraloría[#All],7,0),"")</f>
        <v/>
      </c>
      <c r="I1546" t="str">
        <f>+IFERROR(VLOOKUP(D1546,Conceptos_Analítica_contraloría[#All],2,0),"")</f>
        <v/>
      </c>
      <c r="J1546" s="84" t="str">
        <f>+IFERROR(VLOOKUP(D1546,Conceptos_Analítica_contraloría[#All],3,0),"")</f>
        <v/>
      </c>
    </row>
    <row r="1547" spans="3:10" ht="18.75" customHeight="1" x14ac:dyDescent="0.35">
      <c r="C1547" s="100" t="str">
        <f>IF(OR(Fact_Analitica[[#This Row], [Año]]="",Fact_Analitica[[#This Row], [Mes]]=""),"",DATE(A1547,MATCH(B1547,{"enero","febrero","marzo","abril","mayo","junio","julio","agosto","septiembre","octubre","noviembre","diciembre"},0)+1,0))</f>
        <v/>
      </c>
      <c r="E1547" t="str">
        <f>+IFERROR(VLOOKUP(Fact_Analitica[[#This Row], [Concepto Anterior]],Conceptos_Analítica_contraloría[#All],5,0),"")</f>
        <v/>
      </c>
      <c r="F1547" t="str">
        <f>+IFERROR(VLOOKUP(Fact_Analitica[[#This Row], [Concepto Anterior]],Conceptos_Analítica_contraloría[#All],7,0),"")</f>
        <v/>
      </c>
      <c r="I1547" t="str">
        <f>+IFERROR(VLOOKUP(D1547,Conceptos_Analítica_contraloría[#All],2,0),"")</f>
        <v/>
      </c>
      <c r="J1547" s="84" t="str">
        <f>+IFERROR(VLOOKUP(D1547,Conceptos_Analítica_contraloría[#All],3,0),"")</f>
        <v/>
      </c>
    </row>
    <row r="1548" spans="3:10" ht="18.75" customHeight="1" x14ac:dyDescent="0.35">
      <c r="C1548" s="100" t="str">
        <f>IF(OR(Fact_Analitica[[#This Row], [Año]]="",Fact_Analitica[[#This Row], [Mes]]=""),"",DATE(A1548,MATCH(B1548,{"enero","febrero","marzo","abril","mayo","junio","julio","agosto","septiembre","octubre","noviembre","diciembre"},0)+1,0))</f>
        <v/>
      </c>
      <c r="E1548" t="str">
        <f>+IFERROR(VLOOKUP(Fact_Analitica[[#This Row], [Concepto Anterior]],Conceptos_Analítica_contraloría[#All],5,0),"")</f>
        <v/>
      </c>
      <c r="F1548" t="str">
        <f>+IFERROR(VLOOKUP(Fact_Analitica[[#This Row], [Concepto Anterior]],Conceptos_Analítica_contraloría[#All],7,0),"")</f>
        <v/>
      </c>
      <c r="I1548" t="str">
        <f>+IFERROR(VLOOKUP(D1548,Conceptos_Analítica_contraloría[#All],2,0),"")</f>
        <v/>
      </c>
      <c r="J1548" s="84" t="str">
        <f>+IFERROR(VLOOKUP(D1548,Conceptos_Analítica_contraloría[#All],3,0),"")</f>
        <v/>
      </c>
    </row>
    <row r="1549" spans="3:10" ht="18.75" customHeight="1" x14ac:dyDescent="0.35">
      <c r="C1549" s="100" t="str">
        <f>IF(OR(Fact_Analitica[[#This Row], [Año]]="",Fact_Analitica[[#This Row], [Mes]]=""),"",DATE(A1549,MATCH(B1549,{"enero","febrero","marzo","abril","mayo","junio","julio","agosto","septiembre","octubre","noviembre","diciembre"},0)+1,0))</f>
        <v/>
      </c>
      <c r="E1549" t="str">
        <f>+IFERROR(VLOOKUP(Fact_Analitica[[#This Row], [Concepto Anterior]],Conceptos_Analítica_contraloría[#All],5,0),"")</f>
        <v/>
      </c>
      <c r="F1549" t="str">
        <f>+IFERROR(VLOOKUP(Fact_Analitica[[#This Row], [Concepto Anterior]],Conceptos_Analítica_contraloría[#All],7,0),"")</f>
        <v/>
      </c>
      <c r="I1549" t="str">
        <f>+IFERROR(VLOOKUP(D1549,Conceptos_Analítica_contraloría[#All],2,0),"")</f>
        <v/>
      </c>
      <c r="J1549" s="84" t="str">
        <f>+IFERROR(VLOOKUP(D1549,Conceptos_Analítica_contraloría[#All],3,0),"")</f>
        <v/>
      </c>
    </row>
    <row r="1550" spans="3:10" ht="18.75" customHeight="1" x14ac:dyDescent="0.35">
      <c r="C1550" s="100" t="str">
        <f>IF(OR(Fact_Analitica[[#This Row], [Año]]="",Fact_Analitica[[#This Row], [Mes]]=""),"",DATE(A1550,MATCH(B1550,{"enero","febrero","marzo","abril","mayo","junio","julio","agosto","septiembre","octubre","noviembre","diciembre"},0)+1,0))</f>
        <v/>
      </c>
      <c r="E1550" t="str">
        <f>+IFERROR(VLOOKUP(Fact_Analitica[[#This Row], [Concepto Anterior]],Conceptos_Analítica_contraloría[#All],5,0),"")</f>
        <v/>
      </c>
      <c r="F1550" t="str">
        <f>+IFERROR(VLOOKUP(Fact_Analitica[[#This Row], [Concepto Anterior]],Conceptos_Analítica_contraloría[#All],7,0),"")</f>
        <v/>
      </c>
      <c r="I1550" t="str">
        <f>+IFERROR(VLOOKUP(D1550,Conceptos_Analítica_contraloría[#All],2,0),"")</f>
        <v/>
      </c>
      <c r="J1550" s="84" t="str">
        <f>+IFERROR(VLOOKUP(D1550,Conceptos_Analítica_contraloría[#All],3,0),"")</f>
        <v/>
      </c>
    </row>
    <row r="1551" spans="3:10" ht="18.75" customHeight="1" x14ac:dyDescent="0.35">
      <c r="C1551" s="100" t="str">
        <f>IF(OR(Fact_Analitica[[#This Row], [Año]]="",Fact_Analitica[[#This Row], [Mes]]=""),"",DATE(A1551,MATCH(B1551,{"enero","febrero","marzo","abril","mayo","junio","julio","agosto","septiembre","octubre","noviembre","diciembre"},0)+1,0))</f>
        <v/>
      </c>
      <c r="E1551" t="str">
        <f>+IFERROR(VLOOKUP(Fact_Analitica[[#This Row], [Concepto Anterior]],Conceptos_Analítica_contraloría[#All],5,0),"")</f>
        <v/>
      </c>
      <c r="F1551" t="str">
        <f>+IFERROR(VLOOKUP(Fact_Analitica[[#This Row], [Concepto Anterior]],Conceptos_Analítica_contraloría[#All],7,0),"")</f>
        <v/>
      </c>
      <c r="I1551" t="str">
        <f>+IFERROR(VLOOKUP(D1551,Conceptos_Analítica_contraloría[#All],2,0),"")</f>
        <v/>
      </c>
      <c r="J1551" s="84" t="str">
        <f>+IFERROR(VLOOKUP(D1551,Conceptos_Analítica_contraloría[#All],3,0),"")</f>
        <v/>
      </c>
    </row>
    <row r="1552" spans="3:10" ht="18.75" customHeight="1" x14ac:dyDescent="0.35">
      <c r="C1552" s="100" t="str">
        <f>IF(OR(Fact_Analitica[[#This Row], [Año]]="",Fact_Analitica[[#This Row], [Mes]]=""),"",DATE(A1552,MATCH(B1552,{"enero","febrero","marzo","abril","mayo","junio","julio","agosto","septiembre","octubre","noviembre","diciembre"},0)+1,0))</f>
        <v/>
      </c>
      <c r="E1552" t="str">
        <f>+IFERROR(VLOOKUP(Fact_Analitica[[#This Row], [Concepto Anterior]],Conceptos_Analítica_contraloría[#All],5,0),"")</f>
        <v/>
      </c>
      <c r="F1552" t="str">
        <f>+IFERROR(VLOOKUP(Fact_Analitica[[#This Row], [Concepto Anterior]],Conceptos_Analítica_contraloría[#All],7,0),"")</f>
        <v/>
      </c>
      <c r="I1552" t="str">
        <f>+IFERROR(VLOOKUP(D1552,Conceptos_Analítica_contraloría[#All],2,0),"")</f>
        <v/>
      </c>
      <c r="J1552" s="84" t="str">
        <f>+IFERROR(VLOOKUP(D1552,Conceptos_Analítica_contraloría[#All],3,0),"")</f>
        <v/>
      </c>
    </row>
    <row r="1553" spans="3:10" ht="18.75" customHeight="1" x14ac:dyDescent="0.35">
      <c r="C1553" s="100" t="str">
        <f>IF(OR(Fact_Analitica[[#This Row], [Año]]="",Fact_Analitica[[#This Row], [Mes]]=""),"",DATE(A1553,MATCH(B1553,{"enero","febrero","marzo","abril","mayo","junio","julio","agosto","septiembre","octubre","noviembre","diciembre"},0)+1,0))</f>
        <v/>
      </c>
      <c r="E1553" t="str">
        <f>+IFERROR(VLOOKUP(Fact_Analitica[[#This Row], [Concepto Anterior]],Conceptos_Analítica_contraloría[#All],5,0),"")</f>
        <v/>
      </c>
      <c r="F1553" t="str">
        <f>+IFERROR(VLOOKUP(Fact_Analitica[[#This Row], [Concepto Anterior]],Conceptos_Analítica_contraloría[#All],7,0),"")</f>
        <v/>
      </c>
      <c r="I1553" t="str">
        <f>+IFERROR(VLOOKUP(D1553,Conceptos_Analítica_contraloría[#All],2,0),"")</f>
        <v/>
      </c>
      <c r="J1553" s="84" t="str">
        <f>+IFERROR(VLOOKUP(D1553,Conceptos_Analítica_contraloría[#All],3,0),"")</f>
        <v/>
      </c>
    </row>
    <row r="1554" spans="3:10" ht="18.75" customHeight="1" x14ac:dyDescent="0.35">
      <c r="C1554" s="100" t="str">
        <f>IF(OR(Fact_Analitica[[#This Row], [Año]]="",Fact_Analitica[[#This Row], [Mes]]=""),"",DATE(A1554,MATCH(B1554,{"enero","febrero","marzo","abril","mayo","junio","julio","agosto","septiembre","octubre","noviembre","diciembre"},0)+1,0))</f>
        <v/>
      </c>
      <c r="E1554" t="str">
        <f>+IFERROR(VLOOKUP(Fact_Analitica[[#This Row], [Concepto Anterior]],Conceptos_Analítica_contraloría[#All],5,0),"")</f>
        <v/>
      </c>
      <c r="F1554" t="str">
        <f>+IFERROR(VLOOKUP(Fact_Analitica[[#This Row], [Concepto Anterior]],Conceptos_Analítica_contraloría[#All],7,0),"")</f>
        <v/>
      </c>
      <c r="I1554" t="str">
        <f>+IFERROR(VLOOKUP(D1554,Conceptos_Analítica_contraloría[#All],2,0),"")</f>
        <v/>
      </c>
      <c r="J1554" s="84" t="str">
        <f>+IFERROR(VLOOKUP(D1554,Conceptos_Analítica_contraloría[#All],3,0),"")</f>
        <v/>
      </c>
    </row>
    <row r="1555" spans="3:10" ht="18.75" customHeight="1" x14ac:dyDescent="0.35">
      <c r="C1555" s="100" t="str">
        <f>IF(OR(Fact_Analitica[[#This Row], [Año]]="",Fact_Analitica[[#This Row], [Mes]]=""),"",DATE(A1555,MATCH(B1555,{"enero","febrero","marzo","abril","mayo","junio","julio","agosto","septiembre","octubre","noviembre","diciembre"},0)+1,0))</f>
        <v/>
      </c>
      <c r="E1555" t="str">
        <f>+IFERROR(VLOOKUP(Fact_Analitica[[#This Row], [Concepto Anterior]],Conceptos_Analítica_contraloría[#All],5,0),"")</f>
        <v/>
      </c>
      <c r="F1555" t="str">
        <f>+IFERROR(VLOOKUP(Fact_Analitica[[#This Row], [Concepto Anterior]],Conceptos_Analítica_contraloría[#All],7,0),"")</f>
        <v/>
      </c>
      <c r="I1555" t="str">
        <f>+IFERROR(VLOOKUP(D1555,Conceptos_Analítica_contraloría[#All],2,0),"")</f>
        <v/>
      </c>
      <c r="J1555" s="84" t="str">
        <f>+IFERROR(VLOOKUP(D1555,Conceptos_Analítica_contraloría[#All],3,0),"")</f>
        <v/>
      </c>
    </row>
    <row r="1556" spans="3:10" ht="18.75" customHeight="1" x14ac:dyDescent="0.35">
      <c r="C1556" s="100" t="str">
        <f>IF(OR(Fact_Analitica[[#This Row], [Año]]="",Fact_Analitica[[#This Row], [Mes]]=""),"",DATE(A1556,MATCH(B1556,{"enero","febrero","marzo","abril","mayo","junio","julio","agosto","septiembre","octubre","noviembre","diciembre"},0)+1,0))</f>
        <v/>
      </c>
      <c r="E1556" t="str">
        <f>+IFERROR(VLOOKUP(Fact_Analitica[[#This Row], [Concepto Anterior]],Conceptos_Analítica_contraloría[#All],5,0),"")</f>
        <v/>
      </c>
      <c r="F1556" t="str">
        <f>+IFERROR(VLOOKUP(Fact_Analitica[[#This Row], [Concepto Anterior]],Conceptos_Analítica_contraloría[#All],7,0),"")</f>
        <v/>
      </c>
      <c r="I1556" t="str">
        <f>+IFERROR(VLOOKUP(D1556,Conceptos_Analítica_contraloría[#All],2,0),"")</f>
        <v/>
      </c>
      <c r="J1556" s="84" t="str">
        <f>+IFERROR(VLOOKUP(D1556,Conceptos_Analítica_contraloría[#All],3,0),"")</f>
        <v/>
      </c>
    </row>
    <row r="1557" spans="3:10" ht="18.75" customHeight="1" x14ac:dyDescent="0.35">
      <c r="C1557" s="100" t="str">
        <f>IF(OR(Fact_Analitica[[#This Row], [Año]]="",Fact_Analitica[[#This Row], [Mes]]=""),"",DATE(A1557,MATCH(B1557,{"enero","febrero","marzo","abril","mayo","junio","julio","agosto","septiembre","octubre","noviembre","diciembre"},0)+1,0))</f>
        <v/>
      </c>
      <c r="E1557" t="str">
        <f>+IFERROR(VLOOKUP(Fact_Analitica[[#This Row], [Concepto Anterior]],Conceptos_Analítica_contraloría[#All],5,0),"")</f>
        <v/>
      </c>
      <c r="F1557" t="str">
        <f>+IFERROR(VLOOKUP(Fact_Analitica[[#This Row], [Concepto Anterior]],Conceptos_Analítica_contraloría[#All],7,0),"")</f>
        <v/>
      </c>
      <c r="I1557" t="str">
        <f>+IFERROR(VLOOKUP(D1557,Conceptos_Analítica_contraloría[#All],2,0),"")</f>
        <v/>
      </c>
      <c r="J1557" s="84" t="str">
        <f>+IFERROR(VLOOKUP(D1557,Conceptos_Analítica_contraloría[#All],3,0),"")</f>
        <v/>
      </c>
    </row>
    <row r="1558" spans="3:10" ht="18.75" customHeight="1" x14ac:dyDescent="0.35">
      <c r="C1558" s="100" t="str">
        <f>IF(OR(Fact_Analitica[[#This Row], [Año]]="",Fact_Analitica[[#This Row], [Mes]]=""),"",DATE(A1558,MATCH(B1558,{"enero","febrero","marzo","abril","mayo","junio","julio","agosto","septiembre","octubre","noviembre","diciembre"},0)+1,0))</f>
        <v/>
      </c>
      <c r="E1558" t="str">
        <f>+IFERROR(VLOOKUP(Fact_Analitica[[#This Row], [Concepto Anterior]],Conceptos_Analítica_contraloría[#All],5,0),"")</f>
        <v/>
      </c>
      <c r="F1558" t="str">
        <f>+IFERROR(VLOOKUP(Fact_Analitica[[#This Row], [Concepto Anterior]],Conceptos_Analítica_contraloría[#All],7,0),"")</f>
        <v/>
      </c>
      <c r="I1558" t="str">
        <f>+IFERROR(VLOOKUP(D1558,Conceptos_Analítica_contraloría[#All],2,0),"")</f>
        <v/>
      </c>
      <c r="J1558" s="84" t="str">
        <f>+IFERROR(VLOOKUP(D1558,Conceptos_Analítica_contraloría[#All],3,0),"")</f>
        <v/>
      </c>
    </row>
    <row r="1559" spans="3:10" ht="18.75" customHeight="1" x14ac:dyDescent="0.35">
      <c r="C1559" s="100" t="str">
        <f>IF(OR(Fact_Analitica[[#This Row], [Año]]="",Fact_Analitica[[#This Row], [Mes]]=""),"",DATE(A1559,MATCH(B1559,{"enero","febrero","marzo","abril","mayo","junio","julio","agosto","septiembre","octubre","noviembre","diciembre"},0)+1,0))</f>
        <v/>
      </c>
      <c r="E1559" t="str">
        <f>+IFERROR(VLOOKUP(Fact_Analitica[[#This Row], [Concepto Anterior]],Conceptos_Analítica_contraloría[#All],5,0),"")</f>
        <v/>
      </c>
      <c r="F1559" t="str">
        <f>+IFERROR(VLOOKUP(Fact_Analitica[[#This Row], [Concepto Anterior]],Conceptos_Analítica_contraloría[#All],7,0),"")</f>
        <v/>
      </c>
      <c r="I1559" t="str">
        <f>+IFERROR(VLOOKUP(D1559,Conceptos_Analítica_contraloría[#All],2,0),"")</f>
        <v/>
      </c>
      <c r="J1559" s="84" t="str">
        <f>+IFERROR(VLOOKUP(D1559,Conceptos_Analítica_contraloría[#All],3,0),"")</f>
        <v/>
      </c>
    </row>
    <row r="1560" spans="3:10" ht="18.75" customHeight="1" x14ac:dyDescent="0.35">
      <c r="C1560" s="100" t="str">
        <f>IF(OR(Fact_Analitica[[#This Row], [Año]]="",Fact_Analitica[[#This Row], [Mes]]=""),"",DATE(A1560,MATCH(B1560,{"enero","febrero","marzo","abril","mayo","junio","julio","agosto","septiembre","octubre","noviembre","diciembre"},0)+1,0))</f>
        <v/>
      </c>
      <c r="E1560" t="str">
        <f>+IFERROR(VLOOKUP(Fact_Analitica[[#This Row], [Concepto Anterior]],Conceptos_Analítica_contraloría[#All],5,0),"")</f>
        <v/>
      </c>
      <c r="F1560" t="str">
        <f>+IFERROR(VLOOKUP(Fact_Analitica[[#This Row], [Concepto Anterior]],Conceptos_Analítica_contraloría[#All],7,0),"")</f>
        <v/>
      </c>
      <c r="I1560" t="str">
        <f>+IFERROR(VLOOKUP(D1560,Conceptos_Analítica_contraloría[#All],2,0),"")</f>
        <v/>
      </c>
      <c r="J1560" s="84" t="str">
        <f>+IFERROR(VLOOKUP(D1560,Conceptos_Analítica_contraloría[#All],3,0),"")</f>
        <v/>
      </c>
    </row>
    <row r="1561" spans="3:10" ht="18.75" customHeight="1" x14ac:dyDescent="0.35">
      <c r="C1561" s="100" t="str">
        <f>IF(OR(Fact_Analitica[[#This Row], [Año]]="",Fact_Analitica[[#This Row], [Mes]]=""),"",DATE(A1561,MATCH(B1561,{"enero","febrero","marzo","abril","mayo","junio","julio","agosto","septiembre","octubre","noviembre","diciembre"},0)+1,0))</f>
        <v/>
      </c>
      <c r="E1561" t="str">
        <f>+IFERROR(VLOOKUP(Fact_Analitica[[#This Row], [Concepto Anterior]],Conceptos_Analítica_contraloría[#All],5,0),"")</f>
        <v/>
      </c>
      <c r="F1561" t="str">
        <f>+IFERROR(VLOOKUP(Fact_Analitica[[#This Row], [Concepto Anterior]],Conceptos_Analítica_contraloría[#All],7,0),"")</f>
        <v/>
      </c>
      <c r="I1561" t="str">
        <f>+IFERROR(VLOOKUP(D1561,Conceptos_Analítica_contraloría[#All],2,0),"")</f>
        <v/>
      </c>
      <c r="J1561" s="84" t="str">
        <f>+IFERROR(VLOOKUP(D1561,Conceptos_Analítica_contraloría[#All],3,0),"")</f>
        <v/>
      </c>
    </row>
    <row r="1562" spans="3:10" ht="18.75" customHeight="1" x14ac:dyDescent="0.35">
      <c r="C1562" s="100" t="str">
        <f>IF(OR(Fact_Analitica[[#This Row], [Año]]="",Fact_Analitica[[#This Row], [Mes]]=""),"",DATE(A1562,MATCH(B1562,{"enero","febrero","marzo","abril","mayo","junio","julio","agosto","septiembre","octubre","noviembre","diciembre"},0)+1,0))</f>
        <v/>
      </c>
      <c r="E1562" t="str">
        <f>+IFERROR(VLOOKUP(Fact_Analitica[[#This Row], [Concepto Anterior]],Conceptos_Analítica_contraloría[#All],5,0),"")</f>
        <v/>
      </c>
      <c r="F1562" t="str">
        <f>+IFERROR(VLOOKUP(Fact_Analitica[[#This Row], [Concepto Anterior]],Conceptos_Analítica_contraloría[#All],7,0),"")</f>
        <v/>
      </c>
      <c r="I1562" t="str">
        <f>+IFERROR(VLOOKUP(D1562,Conceptos_Analítica_contraloría[#All],2,0),"")</f>
        <v/>
      </c>
      <c r="J1562" s="84" t="str">
        <f>+IFERROR(VLOOKUP(D1562,Conceptos_Analítica_contraloría[#All],3,0),"")</f>
        <v/>
      </c>
    </row>
    <row r="1563" spans="3:10" ht="18.75" customHeight="1" x14ac:dyDescent="0.35">
      <c r="C1563" s="100" t="str">
        <f>IF(OR(Fact_Analitica[[#This Row], [Año]]="",Fact_Analitica[[#This Row], [Mes]]=""),"",DATE(A1563,MATCH(B1563,{"enero","febrero","marzo","abril","mayo","junio","julio","agosto","septiembre","octubre","noviembre","diciembre"},0)+1,0))</f>
        <v/>
      </c>
      <c r="E1563" t="str">
        <f>+IFERROR(VLOOKUP(Fact_Analitica[[#This Row], [Concepto Anterior]],Conceptos_Analítica_contraloría[#All],5,0),"")</f>
        <v/>
      </c>
      <c r="F1563" t="str">
        <f>+IFERROR(VLOOKUP(Fact_Analitica[[#This Row], [Concepto Anterior]],Conceptos_Analítica_contraloría[#All],7,0),"")</f>
        <v/>
      </c>
      <c r="I1563" t="str">
        <f>+IFERROR(VLOOKUP(D1563,Conceptos_Analítica_contraloría[#All],2,0),"")</f>
        <v/>
      </c>
      <c r="J1563" s="84" t="str">
        <f>+IFERROR(VLOOKUP(D1563,Conceptos_Analítica_contraloría[#All],3,0),"")</f>
        <v/>
      </c>
    </row>
    <row r="1564" spans="3:10" ht="18.75" customHeight="1" x14ac:dyDescent="0.35">
      <c r="C1564" s="100" t="str">
        <f>IF(OR(Fact_Analitica[[#This Row], [Año]]="",Fact_Analitica[[#This Row], [Mes]]=""),"",DATE(A1564,MATCH(B1564,{"enero","febrero","marzo","abril","mayo","junio","julio","agosto","septiembre","octubre","noviembre","diciembre"},0)+1,0))</f>
        <v/>
      </c>
      <c r="E1564" t="str">
        <f>+IFERROR(VLOOKUP(Fact_Analitica[[#This Row], [Concepto Anterior]],Conceptos_Analítica_contraloría[#All],5,0),"")</f>
        <v/>
      </c>
      <c r="F1564" t="str">
        <f>+IFERROR(VLOOKUP(Fact_Analitica[[#This Row], [Concepto Anterior]],Conceptos_Analítica_contraloría[#All],7,0),"")</f>
        <v/>
      </c>
      <c r="I1564" t="str">
        <f>+IFERROR(VLOOKUP(D1564,Conceptos_Analítica_contraloría[#All],2,0),"")</f>
        <v/>
      </c>
      <c r="J1564" s="84" t="str">
        <f>+IFERROR(VLOOKUP(D1564,Conceptos_Analítica_contraloría[#All],3,0),"")</f>
        <v/>
      </c>
    </row>
    <row r="1565" spans="3:10" ht="18.75" customHeight="1" x14ac:dyDescent="0.35">
      <c r="C1565" s="100" t="str">
        <f>IF(OR(Fact_Analitica[[#This Row], [Año]]="",Fact_Analitica[[#This Row], [Mes]]=""),"",DATE(A1565,MATCH(B1565,{"enero","febrero","marzo","abril","mayo","junio","julio","agosto","septiembre","octubre","noviembre","diciembre"},0)+1,0))</f>
        <v/>
      </c>
      <c r="E1565" t="str">
        <f>+IFERROR(VLOOKUP(Fact_Analitica[[#This Row], [Concepto Anterior]],Conceptos_Analítica_contraloría[#All],5,0),"")</f>
        <v/>
      </c>
      <c r="F1565" t="str">
        <f>+IFERROR(VLOOKUP(Fact_Analitica[[#This Row], [Concepto Anterior]],Conceptos_Analítica_contraloría[#All],7,0),"")</f>
        <v/>
      </c>
      <c r="I1565" t="str">
        <f>+IFERROR(VLOOKUP(D1565,Conceptos_Analítica_contraloría[#All],2,0),"")</f>
        <v/>
      </c>
      <c r="J1565" s="84" t="str">
        <f>+IFERROR(VLOOKUP(D1565,Conceptos_Analítica_contraloría[#All],3,0),"")</f>
        <v/>
      </c>
    </row>
    <row r="1566" spans="3:10" ht="18.75" customHeight="1" x14ac:dyDescent="0.35">
      <c r="C1566" s="100" t="str">
        <f>IF(OR(Fact_Analitica[[#This Row], [Año]]="",Fact_Analitica[[#This Row], [Mes]]=""),"",DATE(A1566,MATCH(B1566,{"enero","febrero","marzo","abril","mayo","junio","julio","agosto","septiembre","octubre","noviembre","diciembre"},0)+1,0))</f>
        <v/>
      </c>
      <c r="E1566" t="str">
        <f>+IFERROR(VLOOKUP(Fact_Analitica[[#This Row], [Concepto Anterior]],Conceptos_Analítica_contraloría[#All],5,0),"")</f>
        <v/>
      </c>
      <c r="F1566" t="str">
        <f>+IFERROR(VLOOKUP(Fact_Analitica[[#This Row], [Concepto Anterior]],Conceptos_Analítica_contraloría[#All],7,0),"")</f>
        <v/>
      </c>
      <c r="I1566" t="str">
        <f>+IFERROR(VLOOKUP(D1566,Conceptos_Analítica_contraloría[#All],2,0),"")</f>
        <v/>
      </c>
      <c r="J1566" s="84" t="str">
        <f>+IFERROR(VLOOKUP(D1566,Conceptos_Analítica_contraloría[#All],3,0),"")</f>
        <v/>
      </c>
    </row>
    <row r="1567" spans="3:10" ht="18.75" customHeight="1" x14ac:dyDescent="0.35">
      <c r="C1567" s="100" t="str">
        <f>IF(OR(Fact_Analitica[[#This Row], [Año]]="",Fact_Analitica[[#This Row], [Mes]]=""),"",DATE(A1567,MATCH(B1567,{"enero","febrero","marzo","abril","mayo","junio","julio","agosto","septiembre","octubre","noviembre","diciembre"},0)+1,0))</f>
        <v/>
      </c>
      <c r="E1567" t="str">
        <f>+IFERROR(VLOOKUP(Fact_Analitica[[#This Row], [Concepto Anterior]],Conceptos_Analítica_contraloría[#All],5,0),"")</f>
        <v/>
      </c>
      <c r="F1567" t="str">
        <f>+IFERROR(VLOOKUP(Fact_Analitica[[#This Row], [Concepto Anterior]],Conceptos_Analítica_contraloría[#All],7,0),"")</f>
        <v/>
      </c>
      <c r="I1567" t="str">
        <f>+IFERROR(VLOOKUP(D1567,Conceptos_Analítica_contraloría[#All],2,0),"")</f>
        <v/>
      </c>
      <c r="J1567" s="84" t="str">
        <f>+IFERROR(VLOOKUP(D1567,Conceptos_Analítica_contraloría[#All],3,0),"")</f>
        <v/>
      </c>
    </row>
    <row r="1568" spans="3:10" ht="18.75" customHeight="1" x14ac:dyDescent="0.35">
      <c r="C1568" s="100" t="str">
        <f>IF(OR(Fact_Analitica[[#This Row], [Año]]="",Fact_Analitica[[#This Row], [Mes]]=""),"",DATE(A1568,MATCH(B1568,{"enero","febrero","marzo","abril","mayo","junio","julio","agosto","septiembre","octubre","noviembre","diciembre"},0)+1,0))</f>
        <v/>
      </c>
      <c r="E1568" t="str">
        <f>+IFERROR(VLOOKUP(Fact_Analitica[[#This Row], [Concepto Anterior]],Conceptos_Analítica_contraloría[#All],5,0),"")</f>
        <v/>
      </c>
      <c r="F1568" t="str">
        <f>+IFERROR(VLOOKUP(Fact_Analitica[[#This Row], [Concepto Anterior]],Conceptos_Analítica_contraloría[#All],7,0),"")</f>
        <v/>
      </c>
      <c r="I1568" t="str">
        <f>+IFERROR(VLOOKUP(D1568,Conceptos_Analítica_contraloría[#All],2,0),"")</f>
        <v/>
      </c>
      <c r="J1568" s="84" t="str">
        <f>+IFERROR(VLOOKUP(D1568,Conceptos_Analítica_contraloría[#All],3,0),"")</f>
        <v/>
      </c>
    </row>
    <row r="1569" spans="3:10" ht="18.75" customHeight="1" x14ac:dyDescent="0.35">
      <c r="C1569" s="100" t="str">
        <f>IF(OR(Fact_Analitica[[#This Row], [Año]]="",Fact_Analitica[[#This Row], [Mes]]=""),"",DATE(A1569,MATCH(B1569,{"enero","febrero","marzo","abril","mayo","junio","julio","agosto","septiembre","octubre","noviembre","diciembre"},0)+1,0))</f>
        <v/>
      </c>
      <c r="E1569" t="str">
        <f>+IFERROR(VLOOKUP(Fact_Analitica[[#This Row], [Concepto Anterior]],Conceptos_Analítica_contraloría[#All],5,0),"")</f>
        <v/>
      </c>
      <c r="F1569" t="str">
        <f>+IFERROR(VLOOKUP(Fact_Analitica[[#This Row], [Concepto Anterior]],Conceptos_Analítica_contraloría[#All],7,0),"")</f>
        <v/>
      </c>
      <c r="I1569" t="str">
        <f>+IFERROR(VLOOKUP(D1569,Conceptos_Analítica_contraloría[#All],2,0),"")</f>
        <v/>
      </c>
      <c r="J1569" s="84" t="str">
        <f>+IFERROR(VLOOKUP(D1569,Conceptos_Analítica_contraloría[#All],3,0),"")</f>
        <v/>
      </c>
    </row>
    <row r="1570" spans="3:10" ht="18.75" customHeight="1" x14ac:dyDescent="0.35">
      <c r="C1570" s="100" t="str">
        <f>IF(OR(Fact_Analitica[[#This Row], [Año]]="",Fact_Analitica[[#This Row], [Mes]]=""),"",DATE(A1570,MATCH(B1570,{"enero","febrero","marzo","abril","mayo","junio","julio","agosto","septiembre","octubre","noviembre","diciembre"},0)+1,0))</f>
        <v/>
      </c>
      <c r="E1570" t="str">
        <f>+IFERROR(VLOOKUP(Fact_Analitica[[#This Row], [Concepto Anterior]],Conceptos_Analítica_contraloría[#All],5,0),"")</f>
        <v/>
      </c>
      <c r="F1570" t="str">
        <f>+IFERROR(VLOOKUP(Fact_Analitica[[#This Row], [Concepto Anterior]],Conceptos_Analítica_contraloría[#All],7,0),"")</f>
        <v/>
      </c>
      <c r="I1570" t="str">
        <f>+IFERROR(VLOOKUP(D1570,Conceptos_Analítica_contraloría[#All],2,0),"")</f>
        <v/>
      </c>
      <c r="J1570" s="84" t="str">
        <f>+IFERROR(VLOOKUP(D1570,Conceptos_Analítica_contraloría[#All],3,0),"")</f>
        <v/>
      </c>
    </row>
    <row r="1571" spans="3:10" ht="18.75" customHeight="1" x14ac:dyDescent="0.35">
      <c r="C1571" s="100" t="str">
        <f>IF(OR(Fact_Analitica[[#This Row], [Año]]="",Fact_Analitica[[#This Row], [Mes]]=""),"",DATE(A1571,MATCH(B1571,{"enero","febrero","marzo","abril","mayo","junio","julio","agosto","septiembre","octubre","noviembre","diciembre"},0)+1,0))</f>
        <v/>
      </c>
      <c r="E1571" t="str">
        <f>+IFERROR(VLOOKUP(Fact_Analitica[[#This Row], [Concepto Anterior]],Conceptos_Analítica_contraloría[#All],5,0),"")</f>
        <v/>
      </c>
      <c r="F1571" t="str">
        <f>+IFERROR(VLOOKUP(Fact_Analitica[[#This Row], [Concepto Anterior]],Conceptos_Analítica_contraloría[#All],7,0),"")</f>
        <v/>
      </c>
      <c r="I1571" t="str">
        <f>+IFERROR(VLOOKUP(D1571,Conceptos_Analítica_contraloría[#All],2,0),"")</f>
        <v/>
      </c>
      <c r="J1571" s="84" t="str">
        <f>+IFERROR(VLOOKUP(D1571,Conceptos_Analítica_contraloría[#All],3,0),"")</f>
        <v/>
      </c>
    </row>
    <row r="1572" spans="3:10" ht="18.75" customHeight="1" x14ac:dyDescent="0.35">
      <c r="C1572" s="100" t="str">
        <f>IF(OR(Fact_Analitica[[#This Row], [Año]]="",Fact_Analitica[[#This Row], [Mes]]=""),"",DATE(A1572,MATCH(B1572,{"enero","febrero","marzo","abril","mayo","junio","julio","agosto","septiembre","octubre","noviembre","diciembre"},0)+1,0))</f>
        <v/>
      </c>
      <c r="E1572" t="str">
        <f>+IFERROR(VLOOKUP(Fact_Analitica[[#This Row], [Concepto Anterior]],Conceptos_Analítica_contraloría[#All],5,0),"")</f>
        <v/>
      </c>
      <c r="F1572" t="str">
        <f>+IFERROR(VLOOKUP(Fact_Analitica[[#This Row], [Concepto Anterior]],Conceptos_Analítica_contraloría[#All],7,0),"")</f>
        <v/>
      </c>
      <c r="I1572" t="str">
        <f>+IFERROR(VLOOKUP(D1572,Conceptos_Analítica_contraloría[#All],2,0),"")</f>
        <v/>
      </c>
      <c r="J1572" s="84" t="str">
        <f>+IFERROR(VLOOKUP(D1572,Conceptos_Analítica_contraloría[#All],3,0),"")</f>
        <v/>
      </c>
    </row>
    <row r="1573" spans="3:10" ht="18.75" customHeight="1" x14ac:dyDescent="0.35">
      <c r="C1573" s="100" t="str">
        <f>IF(OR(Fact_Analitica[[#This Row], [Año]]="",Fact_Analitica[[#This Row], [Mes]]=""),"",DATE(A1573,MATCH(B1573,{"enero","febrero","marzo","abril","mayo","junio","julio","agosto","septiembre","octubre","noviembre","diciembre"},0)+1,0))</f>
        <v/>
      </c>
      <c r="E1573" t="str">
        <f>+IFERROR(VLOOKUP(Fact_Analitica[[#This Row], [Concepto Anterior]],Conceptos_Analítica_contraloría[#All],5,0),"")</f>
        <v/>
      </c>
      <c r="F1573" t="str">
        <f>+IFERROR(VLOOKUP(Fact_Analitica[[#This Row], [Concepto Anterior]],Conceptos_Analítica_contraloría[#All],7,0),"")</f>
        <v/>
      </c>
      <c r="I1573" t="str">
        <f>+IFERROR(VLOOKUP(D1573,Conceptos_Analítica_contraloría[#All],2,0),"")</f>
        <v/>
      </c>
      <c r="J1573" s="84" t="str">
        <f>+IFERROR(VLOOKUP(D1573,Conceptos_Analítica_contraloría[#All],3,0),"")</f>
        <v/>
      </c>
    </row>
    <row r="1574" spans="3:10" ht="18.75" customHeight="1" x14ac:dyDescent="0.35">
      <c r="C1574" s="100" t="str">
        <f>IF(OR(Fact_Analitica[[#This Row], [Año]]="",Fact_Analitica[[#This Row], [Mes]]=""),"",DATE(A1574,MATCH(B1574,{"enero","febrero","marzo","abril","mayo","junio","julio","agosto","septiembre","octubre","noviembre","diciembre"},0)+1,0))</f>
        <v/>
      </c>
      <c r="E1574" t="str">
        <f>+IFERROR(VLOOKUP(Fact_Analitica[[#This Row], [Concepto Anterior]],Conceptos_Analítica_contraloría[#All],5,0),"")</f>
        <v/>
      </c>
      <c r="F1574" t="str">
        <f>+IFERROR(VLOOKUP(Fact_Analitica[[#This Row], [Concepto Anterior]],Conceptos_Analítica_contraloría[#All],7,0),"")</f>
        <v/>
      </c>
      <c r="I1574" t="str">
        <f>+IFERROR(VLOOKUP(D1574,Conceptos_Analítica_contraloría[#All],2,0),"")</f>
        <v/>
      </c>
      <c r="J1574" s="84" t="str">
        <f>+IFERROR(VLOOKUP(D1574,Conceptos_Analítica_contraloría[#All],3,0),"")</f>
        <v/>
      </c>
    </row>
    <row r="1575" spans="3:10" ht="18.75" customHeight="1" x14ac:dyDescent="0.35">
      <c r="C1575" s="100" t="str">
        <f>IF(OR(Fact_Analitica[[#This Row], [Año]]="",Fact_Analitica[[#This Row], [Mes]]=""),"",DATE(A1575,MATCH(B1575,{"enero","febrero","marzo","abril","mayo","junio","julio","agosto","septiembre","octubre","noviembre","diciembre"},0)+1,0))</f>
        <v/>
      </c>
      <c r="E1575" t="str">
        <f>+IFERROR(VLOOKUP(Fact_Analitica[[#This Row], [Concepto Anterior]],Conceptos_Analítica_contraloría[#All],5,0),"")</f>
        <v/>
      </c>
      <c r="F1575" t="str">
        <f>+IFERROR(VLOOKUP(Fact_Analitica[[#This Row], [Concepto Anterior]],Conceptos_Analítica_contraloría[#All],7,0),"")</f>
        <v/>
      </c>
      <c r="I1575" t="str">
        <f>+IFERROR(VLOOKUP(D1575,Conceptos_Analítica_contraloría[#All],2,0),"")</f>
        <v/>
      </c>
      <c r="J1575" s="84" t="str">
        <f>+IFERROR(VLOOKUP(D1575,Conceptos_Analítica_contraloría[#All],3,0),"")</f>
        <v/>
      </c>
    </row>
    <row r="1576" spans="3:10" ht="18.75" customHeight="1" x14ac:dyDescent="0.35">
      <c r="C1576" s="100" t="str">
        <f>IF(OR(Fact_Analitica[[#This Row], [Año]]="",Fact_Analitica[[#This Row], [Mes]]=""),"",DATE(A1576,MATCH(B1576,{"enero","febrero","marzo","abril","mayo","junio","julio","agosto","septiembre","octubre","noviembre","diciembre"},0)+1,0))</f>
        <v/>
      </c>
      <c r="E1576" t="str">
        <f>+IFERROR(VLOOKUP(Fact_Analitica[[#This Row], [Concepto Anterior]],Conceptos_Analítica_contraloría[#All],5,0),"")</f>
        <v/>
      </c>
      <c r="F1576" t="str">
        <f>+IFERROR(VLOOKUP(Fact_Analitica[[#This Row], [Concepto Anterior]],Conceptos_Analítica_contraloría[#All],7,0),"")</f>
        <v/>
      </c>
      <c r="I1576" t="str">
        <f>+IFERROR(VLOOKUP(D1576,Conceptos_Analítica_contraloría[#All],2,0),"")</f>
        <v/>
      </c>
      <c r="J1576" s="84" t="str">
        <f>+IFERROR(VLOOKUP(D1576,Conceptos_Analítica_contraloría[#All],3,0),"")</f>
        <v/>
      </c>
    </row>
    <row r="1577" spans="3:10" ht="18.75" customHeight="1" x14ac:dyDescent="0.35">
      <c r="C1577" s="100" t="str">
        <f>IF(OR(Fact_Analitica[[#This Row], [Año]]="",Fact_Analitica[[#This Row], [Mes]]=""),"",DATE(A1577,MATCH(B1577,{"enero","febrero","marzo","abril","mayo","junio","julio","agosto","septiembre","octubre","noviembre","diciembre"},0)+1,0))</f>
        <v/>
      </c>
      <c r="E1577" t="str">
        <f>+IFERROR(VLOOKUP(Fact_Analitica[[#This Row], [Concepto Anterior]],Conceptos_Analítica_contraloría[#All],5,0),"")</f>
        <v/>
      </c>
      <c r="F1577" t="str">
        <f>+IFERROR(VLOOKUP(Fact_Analitica[[#This Row], [Concepto Anterior]],Conceptos_Analítica_contraloría[#All],7,0),"")</f>
        <v/>
      </c>
      <c r="I1577" t="str">
        <f>+IFERROR(VLOOKUP(D1577,Conceptos_Analítica_contraloría[#All],2,0),"")</f>
        <v/>
      </c>
      <c r="J1577" s="84" t="str">
        <f>+IFERROR(VLOOKUP(D1577,Conceptos_Analítica_contraloría[#All],3,0),"")</f>
        <v/>
      </c>
    </row>
    <row r="1578" spans="3:10" ht="18.75" customHeight="1" x14ac:dyDescent="0.35">
      <c r="C1578" s="100" t="str">
        <f>IF(OR(Fact_Analitica[[#This Row], [Año]]="",Fact_Analitica[[#This Row], [Mes]]=""),"",DATE(A1578,MATCH(B1578,{"enero","febrero","marzo","abril","mayo","junio","julio","agosto","septiembre","octubre","noviembre","diciembre"},0)+1,0))</f>
        <v/>
      </c>
      <c r="E1578" t="str">
        <f>+IFERROR(VLOOKUP(Fact_Analitica[[#This Row], [Concepto Anterior]],Conceptos_Analítica_contraloría[#All],5,0),"")</f>
        <v/>
      </c>
      <c r="F1578" t="str">
        <f>+IFERROR(VLOOKUP(Fact_Analitica[[#This Row], [Concepto Anterior]],Conceptos_Analítica_contraloría[#All],7,0),"")</f>
        <v/>
      </c>
      <c r="I1578" t="str">
        <f>+IFERROR(VLOOKUP(D1578,Conceptos_Analítica_contraloría[#All],2,0),"")</f>
        <v/>
      </c>
      <c r="J1578" s="84" t="str">
        <f>+IFERROR(VLOOKUP(D1578,Conceptos_Analítica_contraloría[#All],3,0),"")</f>
        <v/>
      </c>
    </row>
    <row r="1579" spans="3:10" ht="18.75" customHeight="1" x14ac:dyDescent="0.35">
      <c r="C1579" s="100" t="str">
        <f>IF(OR(Fact_Analitica[[#This Row], [Año]]="",Fact_Analitica[[#This Row], [Mes]]=""),"",DATE(A1579,MATCH(B1579,{"enero","febrero","marzo","abril","mayo","junio","julio","agosto","septiembre","octubre","noviembre","diciembre"},0)+1,0))</f>
        <v/>
      </c>
      <c r="E1579" t="str">
        <f>+IFERROR(VLOOKUP(Fact_Analitica[[#This Row], [Concepto Anterior]],Conceptos_Analítica_contraloría[#All],5,0),"")</f>
        <v/>
      </c>
      <c r="F1579" t="str">
        <f>+IFERROR(VLOOKUP(Fact_Analitica[[#This Row], [Concepto Anterior]],Conceptos_Analítica_contraloría[#All],7,0),"")</f>
        <v/>
      </c>
      <c r="I1579" t="str">
        <f>+IFERROR(VLOOKUP(D1579,Conceptos_Analítica_contraloría[#All],2,0),"")</f>
        <v/>
      </c>
      <c r="J1579" s="84" t="str">
        <f>+IFERROR(VLOOKUP(D1579,Conceptos_Analítica_contraloría[#All],3,0),"")</f>
        <v/>
      </c>
    </row>
    <row r="1580" spans="3:10" ht="18.75" customHeight="1" x14ac:dyDescent="0.35">
      <c r="C1580" s="100" t="str">
        <f>IF(OR(Fact_Analitica[[#This Row], [Año]]="",Fact_Analitica[[#This Row], [Mes]]=""),"",DATE(A1580,MATCH(B1580,{"enero","febrero","marzo","abril","mayo","junio","julio","agosto","septiembre","octubre","noviembre","diciembre"},0)+1,0))</f>
        <v/>
      </c>
      <c r="E1580" t="str">
        <f>+IFERROR(VLOOKUP(Fact_Analitica[[#This Row], [Concepto Anterior]],Conceptos_Analítica_contraloría[#All],5,0),"")</f>
        <v/>
      </c>
      <c r="F1580" t="str">
        <f>+IFERROR(VLOOKUP(Fact_Analitica[[#This Row], [Concepto Anterior]],Conceptos_Analítica_contraloría[#All],7,0),"")</f>
        <v/>
      </c>
      <c r="I1580" t="str">
        <f>+IFERROR(VLOOKUP(D1580,Conceptos_Analítica_contraloría[#All],2,0),"")</f>
        <v/>
      </c>
      <c r="J1580" s="84" t="str">
        <f>+IFERROR(VLOOKUP(D1580,Conceptos_Analítica_contraloría[#All],3,0),"")</f>
        <v/>
      </c>
    </row>
    <row r="1581" spans="3:10" ht="18.75" customHeight="1" x14ac:dyDescent="0.35">
      <c r="C1581" s="100" t="str">
        <f>IF(OR(Fact_Analitica[[#This Row], [Año]]="",Fact_Analitica[[#This Row], [Mes]]=""),"",DATE(A1581,MATCH(B1581,{"enero","febrero","marzo","abril","mayo","junio","julio","agosto","septiembre","octubre","noviembre","diciembre"},0)+1,0))</f>
        <v/>
      </c>
      <c r="E1581" t="str">
        <f>+IFERROR(VLOOKUP(Fact_Analitica[[#This Row], [Concepto Anterior]],Conceptos_Analítica_contraloría[#All],5,0),"")</f>
        <v/>
      </c>
      <c r="F1581" t="str">
        <f>+IFERROR(VLOOKUP(Fact_Analitica[[#This Row], [Concepto Anterior]],Conceptos_Analítica_contraloría[#All],7,0),"")</f>
        <v/>
      </c>
      <c r="I1581" t="str">
        <f>+IFERROR(VLOOKUP(D1581,Conceptos_Analítica_contraloría[#All],2,0),"")</f>
        <v/>
      </c>
      <c r="J1581" s="84" t="str">
        <f>+IFERROR(VLOOKUP(D1581,Conceptos_Analítica_contraloría[#All],3,0),"")</f>
        <v/>
      </c>
    </row>
    <row r="1582" spans="3:10" ht="18.75" customHeight="1" x14ac:dyDescent="0.35">
      <c r="C1582" s="100" t="str">
        <f>IF(OR(Fact_Analitica[[#This Row], [Año]]="",Fact_Analitica[[#This Row], [Mes]]=""),"",DATE(A1582,MATCH(B1582,{"enero","febrero","marzo","abril","mayo","junio","julio","agosto","septiembre","octubre","noviembre","diciembre"},0)+1,0))</f>
        <v/>
      </c>
      <c r="E1582" t="str">
        <f>+IFERROR(VLOOKUP(Fact_Analitica[[#This Row], [Concepto Anterior]],Conceptos_Analítica_contraloría[#All],5,0),"")</f>
        <v/>
      </c>
      <c r="F1582" t="str">
        <f>+IFERROR(VLOOKUP(Fact_Analitica[[#This Row], [Concepto Anterior]],Conceptos_Analítica_contraloría[#All],7,0),"")</f>
        <v/>
      </c>
      <c r="I1582" t="str">
        <f>+IFERROR(VLOOKUP(D1582,Conceptos_Analítica_contraloría[#All],2,0),"")</f>
        <v/>
      </c>
      <c r="J1582" s="84" t="str">
        <f>+IFERROR(VLOOKUP(D1582,Conceptos_Analítica_contraloría[#All],3,0),"")</f>
        <v/>
      </c>
    </row>
    <row r="1583" spans="3:10" ht="18.75" customHeight="1" x14ac:dyDescent="0.35">
      <c r="C1583" s="100" t="str">
        <f>IF(OR(Fact_Analitica[[#This Row], [Año]]="",Fact_Analitica[[#This Row], [Mes]]=""),"",DATE(A1583,MATCH(B1583,{"enero","febrero","marzo","abril","mayo","junio","julio","agosto","septiembre","octubre","noviembre","diciembre"},0)+1,0))</f>
        <v/>
      </c>
      <c r="E1583" t="str">
        <f>+IFERROR(VLOOKUP(Fact_Analitica[[#This Row], [Concepto Anterior]],Conceptos_Analítica_contraloría[#All],5,0),"")</f>
        <v/>
      </c>
      <c r="F1583" t="str">
        <f>+IFERROR(VLOOKUP(Fact_Analitica[[#This Row], [Concepto Anterior]],Conceptos_Analítica_contraloría[#All],7,0),"")</f>
        <v/>
      </c>
      <c r="I1583" t="str">
        <f>+IFERROR(VLOOKUP(D1583,Conceptos_Analítica_contraloría[#All],2,0),"")</f>
        <v/>
      </c>
      <c r="J1583" s="84" t="str">
        <f>+IFERROR(VLOOKUP(D1583,Conceptos_Analítica_contraloría[#All],3,0),"")</f>
        <v/>
      </c>
    </row>
    <row r="1584" spans="3:10" ht="18.75" customHeight="1" x14ac:dyDescent="0.35">
      <c r="C1584" s="100" t="str">
        <f>IF(OR(Fact_Analitica[[#This Row], [Año]]="",Fact_Analitica[[#This Row], [Mes]]=""),"",DATE(A1584,MATCH(B1584,{"enero","febrero","marzo","abril","mayo","junio","julio","agosto","septiembre","octubre","noviembre","diciembre"},0)+1,0))</f>
        <v/>
      </c>
      <c r="E1584" t="str">
        <f>+IFERROR(VLOOKUP(Fact_Analitica[[#This Row], [Concepto Anterior]],Conceptos_Analítica_contraloría[#All],5,0),"")</f>
        <v/>
      </c>
      <c r="F1584" t="str">
        <f>+IFERROR(VLOOKUP(Fact_Analitica[[#This Row], [Concepto Anterior]],Conceptos_Analítica_contraloría[#All],7,0),"")</f>
        <v/>
      </c>
      <c r="I1584" t="str">
        <f>+IFERROR(VLOOKUP(D1584,Conceptos_Analítica_contraloría[#All],2,0),"")</f>
        <v/>
      </c>
      <c r="J1584" s="84" t="str">
        <f>+IFERROR(VLOOKUP(D1584,Conceptos_Analítica_contraloría[#All],3,0),"")</f>
        <v/>
      </c>
    </row>
    <row r="1585" spans="3:10" ht="18.75" customHeight="1" x14ac:dyDescent="0.35">
      <c r="C1585" s="100" t="str">
        <f>IF(OR(Fact_Analitica[[#This Row], [Año]]="",Fact_Analitica[[#This Row], [Mes]]=""),"",DATE(A1585,MATCH(B1585,{"enero","febrero","marzo","abril","mayo","junio","julio","agosto","septiembre","octubre","noviembre","diciembre"},0)+1,0))</f>
        <v/>
      </c>
      <c r="E1585" t="str">
        <f>+IFERROR(VLOOKUP(Fact_Analitica[[#This Row], [Concepto Anterior]],Conceptos_Analítica_contraloría[#All],5,0),"")</f>
        <v/>
      </c>
      <c r="F1585" t="str">
        <f>+IFERROR(VLOOKUP(Fact_Analitica[[#This Row], [Concepto Anterior]],Conceptos_Analítica_contraloría[#All],7,0),"")</f>
        <v/>
      </c>
      <c r="I1585" t="str">
        <f>+IFERROR(VLOOKUP(D1585,Conceptos_Analítica_contraloría[#All],2,0),"")</f>
        <v/>
      </c>
      <c r="J1585" s="84" t="str">
        <f>+IFERROR(VLOOKUP(D1585,Conceptos_Analítica_contraloría[#All],3,0),"")</f>
        <v/>
      </c>
    </row>
    <row r="1586" spans="3:10" ht="18.75" customHeight="1" x14ac:dyDescent="0.35">
      <c r="C1586" s="100" t="str">
        <f>IF(OR(Fact_Analitica[[#This Row], [Año]]="",Fact_Analitica[[#This Row], [Mes]]=""),"",DATE(A1586,MATCH(B1586,{"enero","febrero","marzo","abril","mayo","junio","julio","agosto","septiembre","octubre","noviembre","diciembre"},0)+1,0))</f>
        <v/>
      </c>
      <c r="E1586" t="str">
        <f>+IFERROR(VLOOKUP(Fact_Analitica[[#This Row], [Concepto Anterior]],Conceptos_Analítica_contraloría[#All],5,0),"")</f>
        <v/>
      </c>
      <c r="F1586" t="str">
        <f>+IFERROR(VLOOKUP(Fact_Analitica[[#This Row], [Concepto Anterior]],Conceptos_Analítica_contraloría[#All],7,0),"")</f>
        <v/>
      </c>
      <c r="I1586" t="str">
        <f>+IFERROR(VLOOKUP(D1586,Conceptos_Analítica_contraloría[#All],2,0),"")</f>
        <v/>
      </c>
      <c r="J1586" s="84" t="str">
        <f>+IFERROR(VLOOKUP(D1586,Conceptos_Analítica_contraloría[#All],3,0),"")</f>
        <v/>
      </c>
    </row>
    <row r="1587" spans="3:10" ht="18.75" customHeight="1" x14ac:dyDescent="0.35">
      <c r="C1587" s="100" t="str">
        <f>IF(OR(Fact_Analitica[[#This Row], [Año]]="",Fact_Analitica[[#This Row], [Mes]]=""),"",DATE(A1587,MATCH(B1587,{"enero","febrero","marzo","abril","mayo","junio","julio","agosto","septiembre","octubre","noviembre","diciembre"},0)+1,0))</f>
        <v/>
      </c>
      <c r="E1587" t="str">
        <f>+IFERROR(VLOOKUP(Fact_Analitica[[#This Row], [Concepto Anterior]],Conceptos_Analítica_contraloría[#All],5,0),"")</f>
        <v/>
      </c>
      <c r="F1587" t="str">
        <f>+IFERROR(VLOOKUP(Fact_Analitica[[#This Row], [Concepto Anterior]],Conceptos_Analítica_contraloría[#All],7,0),"")</f>
        <v/>
      </c>
      <c r="I1587" t="str">
        <f>+IFERROR(VLOOKUP(D1587,Conceptos_Analítica_contraloría[#All],2,0),"")</f>
        <v/>
      </c>
      <c r="J1587" s="84" t="str">
        <f>+IFERROR(VLOOKUP(D1587,Conceptos_Analítica_contraloría[#All],3,0),"")</f>
        <v/>
      </c>
    </row>
    <row r="1588" spans="3:10" ht="18.75" customHeight="1" x14ac:dyDescent="0.35">
      <c r="C1588" s="100" t="str">
        <f>IF(OR(Fact_Analitica[[#This Row], [Año]]="",Fact_Analitica[[#This Row], [Mes]]=""),"",DATE(A1588,MATCH(B1588,{"enero","febrero","marzo","abril","mayo","junio","julio","agosto","septiembre","octubre","noviembre","diciembre"},0)+1,0))</f>
        <v/>
      </c>
      <c r="E1588" t="str">
        <f>+IFERROR(VLOOKUP(Fact_Analitica[[#This Row], [Concepto Anterior]],Conceptos_Analítica_contraloría[#All],5,0),"")</f>
        <v/>
      </c>
      <c r="F1588" t="str">
        <f>+IFERROR(VLOOKUP(Fact_Analitica[[#This Row], [Concepto Anterior]],Conceptos_Analítica_contraloría[#All],7,0),"")</f>
        <v/>
      </c>
      <c r="I1588" t="str">
        <f>+IFERROR(VLOOKUP(D1588,Conceptos_Analítica_contraloría[#All],2,0),"")</f>
        <v/>
      </c>
      <c r="J1588" s="84" t="str">
        <f>+IFERROR(VLOOKUP(D1588,Conceptos_Analítica_contraloría[#All],3,0),"")</f>
        <v/>
      </c>
    </row>
    <row r="1589" spans="3:10" ht="18.75" customHeight="1" x14ac:dyDescent="0.35">
      <c r="C1589" s="100" t="str">
        <f>IF(OR(Fact_Analitica[[#This Row], [Año]]="",Fact_Analitica[[#This Row], [Mes]]=""),"",DATE(A1589,MATCH(B1589,{"enero","febrero","marzo","abril","mayo","junio","julio","agosto","septiembre","octubre","noviembre","diciembre"},0)+1,0))</f>
        <v/>
      </c>
      <c r="E1589" t="str">
        <f>+IFERROR(VLOOKUP(Fact_Analitica[[#This Row], [Concepto Anterior]],Conceptos_Analítica_contraloría[#All],5,0),"")</f>
        <v/>
      </c>
      <c r="F1589" t="str">
        <f>+IFERROR(VLOOKUP(Fact_Analitica[[#This Row], [Concepto Anterior]],Conceptos_Analítica_contraloría[#All],7,0),"")</f>
        <v/>
      </c>
      <c r="I1589" t="str">
        <f>+IFERROR(VLOOKUP(D1589,Conceptos_Analítica_contraloría[#All],2,0),"")</f>
        <v/>
      </c>
      <c r="J1589" s="84" t="str">
        <f>+IFERROR(VLOOKUP(D1589,Conceptos_Analítica_contraloría[#All],3,0),"")</f>
        <v/>
      </c>
    </row>
    <row r="1590" spans="3:10" ht="18.75" customHeight="1" x14ac:dyDescent="0.35">
      <c r="C1590" s="100" t="str">
        <f>IF(OR(Fact_Analitica[[#This Row], [Año]]="",Fact_Analitica[[#This Row], [Mes]]=""),"",DATE(A1590,MATCH(B1590,{"enero","febrero","marzo","abril","mayo","junio","julio","agosto","septiembre","octubre","noviembre","diciembre"},0)+1,0))</f>
        <v/>
      </c>
      <c r="E1590" t="str">
        <f>+IFERROR(VLOOKUP(Fact_Analitica[[#This Row], [Concepto Anterior]],Conceptos_Analítica_contraloría[#All],5,0),"")</f>
        <v/>
      </c>
      <c r="F1590" t="str">
        <f>+IFERROR(VLOOKUP(Fact_Analitica[[#This Row], [Concepto Anterior]],Conceptos_Analítica_contraloría[#All],7,0),"")</f>
        <v/>
      </c>
      <c r="I1590" t="str">
        <f>+IFERROR(VLOOKUP(D1590,Conceptos_Analítica_contraloría[#All],2,0),"")</f>
        <v/>
      </c>
      <c r="J1590" s="84" t="str">
        <f>+IFERROR(VLOOKUP(D1590,Conceptos_Analítica_contraloría[#All],3,0),"")</f>
        <v/>
      </c>
    </row>
    <row r="1591" spans="3:10" ht="18.75" customHeight="1" x14ac:dyDescent="0.35">
      <c r="C1591" s="100" t="str">
        <f>IF(OR(Fact_Analitica[[#This Row], [Año]]="",Fact_Analitica[[#This Row], [Mes]]=""),"",DATE(A1591,MATCH(B1591,{"enero","febrero","marzo","abril","mayo","junio","julio","agosto","septiembre","octubre","noviembre","diciembre"},0)+1,0))</f>
        <v/>
      </c>
      <c r="E1591" t="str">
        <f>+IFERROR(VLOOKUP(Fact_Analitica[[#This Row], [Concepto Anterior]],Conceptos_Analítica_contraloría[#All],5,0),"")</f>
        <v/>
      </c>
      <c r="F1591" t="str">
        <f>+IFERROR(VLOOKUP(Fact_Analitica[[#This Row], [Concepto Anterior]],Conceptos_Analítica_contraloría[#All],7,0),"")</f>
        <v/>
      </c>
      <c r="I1591" t="str">
        <f>+IFERROR(VLOOKUP(D1591,Conceptos_Analítica_contraloría[#All],2,0),"")</f>
        <v/>
      </c>
      <c r="J1591" s="84" t="str">
        <f>+IFERROR(VLOOKUP(D1591,Conceptos_Analítica_contraloría[#All],3,0),"")</f>
        <v/>
      </c>
    </row>
    <row r="1592" spans="3:10" ht="18.75" customHeight="1" x14ac:dyDescent="0.35">
      <c r="C1592" s="100" t="str">
        <f>IF(OR(Fact_Analitica[[#This Row], [Año]]="",Fact_Analitica[[#This Row], [Mes]]=""),"",DATE(A1592,MATCH(B1592,{"enero","febrero","marzo","abril","mayo","junio","julio","agosto","septiembre","octubre","noviembre","diciembre"},0)+1,0))</f>
        <v/>
      </c>
      <c r="E1592" t="str">
        <f>+IFERROR(VLOOKUP(Fact_Analitica[[#This Row], [Concepto Anterior]],Conceptos_Analítica_contraloría[#All],5,0),"")</f>
        <v/>
      </c>
      <c r="F1592" t="str">
        <f>+IFERROR(VLOOKUP(Fact_Analitica[[#This Row], [Concepto Anterior]],Conceptos_Analítica_contraloría[#All],7,0),"")</f>
        <v/>
      </c>
      <c r="I1592" t="str">
        <f>+IFERROR(VLOOKUP(D1592,Conceptos_Analítica_contraloría[#All],2,0),"")</f>
        <v/>
      </c>
      <c r="J1592" s="84" t="str">
        <f>+IFERROR(VLOOKUP(D1592,Conceptos_Analítica_contraloría[#All],3,0),"")</f>
        <v/>
      </c>
    </row>
    <row r="1593" spans="3:10" ht="18.75" customHeight="1" x14ac:dyDescent="0.35">
      <c r="C1593" s="100" t="str">
        <f>IF(OR(Fact_Analitica[[#This Row], [Año]]="",Fact_Analitica[[#This Row], [Mes]]=""),"",DATE(A1593,MATCH(B1593,{"enero","febrero","marzo","abril","mayo","junio","julio","agosto","septiembre","octubre","noviembre","diciembre"},0)+1,0))</f>
        <v/>
      </c>
      <c r="E1593" t="str">
        <f>+IFERROR(VLOOKUP(Fact_Analitica[[#This Row], [Concepto Anterior]],Conceptos_Analítica_contraloría[#All],5,0),"")</f>
        <v/>
      </c>
      <c r="F1593" t="str">
        <f>+IFERROR(VLOOKUP(Fact_Analitica[[#This Row], [Concepto Anterior]],Conceptos_Analítica_contraloría[#All],7,0),"")</f>
        <v/>
      </c>
      <c r="I1593" t="str">
        <f>+IFERROR(VLOOKUP(D1593,Conceptos_Analítica_contraloría[#All],2,0),"")</f>
        <v/>
      </c>
      <c r="J1593" s="84" t="str">
        <f>+IFERROR(VLOOKUP(D1593,Conceptos_Analítica_contraloría[#All],3,0),"")</f>
        <v/>
      </c>
    </row>
    <row r="1594" spans="3:10" ht="18.75" customHeight="1" x14ac:dyDescent="0.35">
      <c r="C1594" s="100" t="str">
        <f>IF(OR(Fact_Analitica[[#This Row], [Año]]="",Fact_Analitica[[#This Row], [Mes]]=""),"",DATE(A1594,MATCH(B1594,{"enero","febrero","marzo","abril","mayo","junio","julio","agosto","septiembre","octubre","noviembre","diciembre"},0)+1,0))</f>
        <v/>
      </c>
      <c r="E1594" t="str">
        <f>+IFERROR(VLOOKUP(Fact_Analitica[[#This Row], [Concepto Anterior]],Conceptos_Analítica_contraloría[#All],5,0),"")</f>
        <v/>
      </c>
      <c r="F1594" t="str">
        <f>+IFERROR(VLOOKUP(Fact_Analitica[[#This Row], [Concepto Anterior]],Conceptos_Analítica_contraloría[#All],7,0),"")</f>
        <v/>
      </c>
      <c r="I1594" t="str">
        <f>+IFERROR(VLOOKUP(D1594,Conceptos_Analítica_contraloría[#All],2,0),"")</f>
        <v/>
      </c>
      <c r="J1594" s="84" t="str">
        <f>+IFERROR(VLOOKUP(D1594,Conceptos_Analítica_contraloría[#All],3,0),"")</f>
        <v/>
      </c>
    </row>
    <row r="1595" spans="3:10" ht="18.75" customHeight="1" x14ac:dyDescent="0.35">
      <c r="C1595" s="100" t="str">
        <f>IF(OR(Fact_Analitica[[#This Row], [Año]]="",Fact_Analitica[[#This Row], [Mes]]=""),"",DATE(A1595,MATCH(B1595,{"enero","febrero","marzo","abril","mayo","junio","julio","agosto","septiembre","octubre","noviembre","diciembre"},0)+1,0))</f>
        <v/>
      </c>
      <c r="E1595" t="str">
        <f>+IFERROR(VLOOKUP(Fact_Analitica[[#This Row], [Concepto Anterior]],Conceptos_Analítica_contraloría[#All],5,0),"")</f>
        <v/>
      </c>
      <c r="F1595" t="str">
        <f>+IFERROR(VLOOKUP(Fact_Analitica[[#This Row], [Concepto Anterior]],Conceptos_Analítica_contraloría[#All],7,0),"")</f>
        <v/>
      </c>
      <c r="I1595" t="str">
        <f>+IFERROR(VLOOKUP(D1595,Conceptos_Analítica_contraloría[#All],2,0),"")</f>
        <v/>
      </c>
      <c r="J1595" s="84" t="str">
        <f>+IFERROR(VLOOKUP(D1595,Conceptos_Analítica_contraloría[#All],3,0),"")</f>
        <v/>
      </c>
    </row>
    <row r="1596" spans="3:10" ht="18.75" customHeight="1" x14ac:dyDescent="0.35">
      <c r="C1596" s="100" t="str">
        <f>IF(OR(Fact_Analitica[[#This Row], [Año]]="",Fact_Analitica[[#This Row], [Mes]]=""),"",DATE(A1596,MATCH(B1596,{"enero","febrero","marzo","abril","mayo","junio","julio","agosto","septiembre","octubre","noviembre","diciembre"},0)+1,0))</f>
        <v/>
      </c>
      <c r="E1596" t="str">
        <f>+IFERROR(VLOOKUP(Fact_Analitica[[#This Row], [Concepto Anterior]],Conceptos_Analítica_contraloría[#All],5,0),"")</f>
        <v/>
      </c>
      <c r="F1596" t="str">
        <f>+IFERROR(VLOOKUP(Fact_Analitica[[#This Row], [Concepto Anterior]],Conceptos_Analítica_contraloría[#All],7,0),"")</f>
        <v/>
      </c>
      <c r="I1596" t="str">
        <f>+IFERROR(VLOOKUP(D1596,Conceptos_Analítica_contraloría[#All],2,0),"")</f>
        <v/>
      </c>
      <c r="J1596" s="84" t="str">
        <f>+IFERROR(VLOOKUP(D1596,Conceptos_Analítica_contraloría[#All],3,0),"")</f>
        <v/>
      </c>
    </row>
    <row r="1597" spans="3:10" ht="18.75" customHeight="1" x14ac:dyDescent="0.35">
      <c r="C1597" s="100" t="str">
        <f>IF(OR(Fact_Analitica[[#This Row], [Año]]="",Fact_Analitica[[#This Row], [Mes]]=""),"",DATE(A1597,MATCH(B1597,{"enero","febrero","marzo","abril","mayo","junio","julio","agosto","septiembre","octubre","noviembre","diciembre"},0)+1,0))</f>
        <v/>
      </c>
      <c r="E1597" t="str">
        <f>+IFERROR(VLOOKUP(Fact_Analitica[[#This Row], [Concepto Anterior]],Conceptos_Analítica_contraloría[#All],5,0),"")</f>
        <v/>
      </c>
      <c r="F1597" t="str">
        <f>+IFERROR(VLOOKUP(Fact_Analitica[[#This Row], [Concepto Anterior]],Conceptos_Analítica_contraloría[#All],7,0),"")</f>
        <v/>
      </c>
      <c r="I1597" t="str">
        <f>+IFERROR(VLOOKUP(D1597,Conceptos_Analítica_contraloría[#All],2,0),"")</f>
        <v/>
      </c>
      <c r="J1597" s="84" t="str">
        <f>+IFERROR(VLOOKUP(D1597,Conceptos_Analítica_contraloría[#All],3,0),"")</f>
        <v/>
      </c>
    </row>
    <row r="1598" spans="3:10" ht="18.75" customHeight="1" x14ac:dyDescent="0.35">
      <c r="C1598" s="100" t="str">
        <f>IF(OR(Fact_Analitica[[#This Row], [Año]]="",Fact_Analitica[[#This Row], [Mes]]=""),"",DATE(A1598,MATCH(B1598,{"enero","febrero","marzo","abril","mayo","junio","julio","agosto","septiembre","octubre","noviembre","diciembre"},0)+1,0))</f>
        <v/>
      </c>
      <c r="E1598" t="str">
        <f>+IFERROR(VLOOKUP(Fact_Analitica[[#This Row], [Concepto Anterior]],Conceptos_Analítica_contraloría[#All],5,0),"")</f>
        <v/>
      </c>
      <c r="F1598" t="str">
        <f>+IFERROR(VLOOKUP(Fact_Analitica[[#This Row], [Concepto Anterior]],Conceptos_Analítica_contraloría[#All],7,0),"")</f>
        <v/>
      </c>
      <c r="I1598" t="str">
        <f>+IFERROR(VLOOKUP(D1598,Conceptos_Analítica_contraloría[#All],2,0),"")</f>
        <v/>
      </c>
      <c r="J1598" s="84" t="str">
        <f>+IFERROR(VLOOKUP(D1598,Conceptos_Analítica_contraloría[#All],3,0),"")</f>
        <v/>
      </c>
    </row>
    <row r="1599" spans="3:10" ht="18.75" customHeight="1" x14ac:dyDescent="0.35">
      <c r="C1599" s="100" t="str">
        <f>IF(OR(Fact_Analitica[[#This Row], [Año]]="",Fact_Analitica[[#This Row], [Mes]]=""),"",DATE(A1599,MATCH(B1599,{"enero","febrero","marzo","abril","mayo","junio","julio","agosto","septiembre","octubre","noviembre","diciembre"},0)+1,0))</f>
        <v/>
      </c>
      <c r="E1599" t="str">
        <f>+IFERROR(VLOOKUP(Fact_Analitica[[#This Row], [Concepto Anterior]],Conceptos_Analítica_contraloría[#All],5,0),"")</f>
        <v/>
      </c>
      <c r="F1599" t="str">
        <f>+IFERROR(VLOOKUP(Fact_Analitica[[#This Row], [Concepto Anterior]],Conceptos_Analítica_contraloría[#All],7,0),"")</f>
        <v/>
      </c>
      <c r="I1599" t="str">
        <f>+IFERROR(VLOOKUP(D1599,Conceptos_Analítica_contraloría[#All],2,0),"")</f>
        <v/>
      </c>
      <c r="J1599" s="84" t="str">
        <f>+IFERROR(VLOOKUP(D1599,Conceptos_Analítica_contraloría[#All],3,0),"")</f>
        <v/>
      </c>
    </row>
    <row r="1600" spans="3:10" ht="18.75" customHeight="1" x14ac:dyDescent="0.35">
      <c r="C1600" s="100" t="str">
        <f>IF(OR(Fact_Analitica[[#This Row], [Año]]="",Fact_Analitica[[#This Row], [Mes]]=""),"",DATE(A1600,MATCH(B1600,{"enero","febrero","marzo","abril","mayo","junio","julio","agosto","septiembre","octubre","noviembre","diciembre"},0)+1,0))</f>
        <v/>
      </c>
      <c r="E1600" t="str">
        <f>+IFERROR(VLOOKUP(Fact_Analitica[[#This Row], [Concepto Anterior]],Conceptos_Analítica_contraloría[#All],5,0),"")</f>
        <v/>
      </c>
      <c r="F1600" t="str">
        <f>+IFERROR(VLOOKUP(Fact_Analitica[[#This Row], [Concepto Anterior]],Conceptos_Analítica_contraloría[#All],7,0),"")</f>
        <v/>
      </c>
      <c r="I1600" t="str">
        <f>+IFERROR(VLOOKUP(D1600,Conceptos_Analítica_contraloría[#All],2,0),"")</f>
        <v/>
      </c>
      <c r="J1600" s="84" t="str">
        <f>+IFERROR(VLOOKUP(D1600,Conceptos_Analítica_contraloría[#All],3,0),"")</f>
        <v/>
      </c>
    </row>
    <row r="1601" spans="3:10" ht="18.75" customHeight="1" x14ac:dyDescent="0.35">
      <c r="C1601" s="100" t="str">
        <f>IF(OR(Fact_Analitica[[#This Row], [Año]]="",Fact_Analitica[[#This Row], [Mes]]=""),"",DATE(A1601,MATCH(B1601,{"enero","febrero","marzo","abril","mayo","junio","julio","agosto","septiembre","octubre","noviembre","diciembre"},0)+1,0))</f>
        <v/>
      </c>
      <c r="E1601" t="str">
        <f>+IFERROR(VLOOKUP(Fact_Analitica[[#This Row], [Concepto Anterior]],Conceptos_Analítica_contraloría[#All],5,0),"")</f>
        <v/>
      </c>
      <c r="F1601" t="str">
        <f>+IFERROR(VLOOKUP(Fact_Analitica[[#This Row], [Concepto Anterior]],Conceptos_Analítica_contraloría[#All],7,0),"")</f>
        <v/>
      </c>
      <c r="I1601" t="str">
        <f>+IFERROR(VLOOKUP(D1601,Conceptos_Analítica_contraloría[#All],2,0),"")</f>
        <v/>
      </c>
      <c r="J1601" s="84" t="str">
        <f>+IFERROR(VLOOKUP(D1601,Conceptos_Analítica_contraloría[#All],3,0),"")</f>
        <v/>
      </c>
    </row>
    <row r="1602" spans="3:10" ht="18.75" customHeight="1" x14ac:dyDescent="0.35">
      <c r="C1602" s="100" t="str">
        <f>IF(OR(Fact_Analitica[[#This Row], [Año]]="",Fact_Analitica[[#This Row], [Mes]]=""),"",DATE(A1602,MATCH(B1602,{"enero","febrero","marzo","abril","mayo","junio","julio","agosto","septiembre","octubre","noviembre","diciembre"},0)+1,0))</f>
        <v/>
      </c>
      <c r="E1602" t="str">
        <f>+IFERROR(VLOOKUP(Fact_Analitica[[#This Row], [Concepto Anterior]],Conceptos_Analítica_contraloría[#All],5,0),"")</f>
        <v/>
      </c>
      <c r="F1602" t="str">
        <f>+IFERROR(VLOOKUP(Fact_Analitica[[#This Row], [Concepto Anterior]],Conceptos_Analítica_contraloría[#All],7,0),"")</f>
        <v/>
      </c>
      <c r="I1602" t="str">
        <f>+IFERROR(VLOOKUP(D1602,Conceptos_Analítica_contraloría[#All],2,0),"")</f>
        <v/>
      </c>
      <c r="J1602" s="84" t="str">
        <f>+IFERROR(VLOOKUP(D1602,Conceptos_Analítica_contraloría[#All],3,0),"")</f>
        <v/>
      </c>
    </row>
    <row r="1603" spans="3:10" ht="18.75" customHeight="1" x14ac:dyDescent="0.35">
      <c r="C1603" s="100" t="str">
        <f>IF(OR(Fact_Analitica[[#This Row], [Año]]="",Fact_Analitica[[#This Row], [Mes]]=""),"",DATE(A1603,MATCH(B1603,{"enero","febrero","marzo","abril","mayo","junio","julio","agosto","septiembre","octubre","noviembre","diciembre"},0)+1,0))</f>
        <v/>
      </c>
      <c r="E1603" t="str">
        <f>+IFERROR(VLOOKUP(Fact_Analitica[[#This Row], [Concepto Anterior]],Conceptos_Analítica_contraloría[#All],5,0),"")</f>
        <v/>
      </c>
      <c r="F1603" t="str">
        <f>+IFERROR(VLOOKUP(Fact_Analitica[[#This Row], [Concepto Anterior]],Conceptos_Analítica_contraloría[#All],7,0),"")</f>
        <v/>
      </c>
      <c r="I1603" t="str">
        <f>+IFERROR(VLOOKUP(D1603,Conceptos_Analítica_contraloría[#All],2,0),"")</f>
        <v/>
      </c>
      <c r="J1603" s="84" t="str">
        <f>+IFERROR(VLOOKUP(D1603,Conceptos_Analítica_contraloría[#All],3,0),"")</f>
        <v/>
      </c>
    </row>
    <row r="1604" spans="3:10" ht="18.75" customHeight="1" x14ac:dyDescent="0.35">
      <c r="C1604" s="100" t="str">
        <f>IF(OR(Fact_Analitica[[#This Row], [Año]]="",Fact_Analitica[[#This Row], [Mes]]=""),"",DATE(A1604,MATCH(B1604,{"enero","febrero","marzo","abril","mayo","junio","julio","agosto","septiembre","octubre","noviembre","diciembre"},0)+1,0))</f>
        <v/>
      </c>
      <c r="E1604" t="str">
        <f>+IFERROR(VLOOKUP(Fact_Analitica[[#This Row], [Concepto Anterior]],Conceptos_Analítica_contraloría[#All],5,0),"")</f>
        <v/>
      </c>
      <c r="F1604" t="str">
        <f>+IFERROR(VLOOKUP(Fact_Analitica[[#This Row], [Concepto Anterior]],Conceptos_Analítica_contraloría[#All],7,0),"")</f>
        <v/>
      </c>
      <c r="I1604" t="str">
        <f>+IFERROR(VLOOKUP(D1604,Conceptos_Analítica_contraloría[#All],2,0),"")</f>
        <v/>
      </c>
      <c r="J1604" s="84" t="str">
        <f>+IFERROR(VLOOKUP(D1604,Conceptos_Analítica_contraloría[#All],3,0),"")</f>
        <v/>
      </c>
    </row>
    <row r="1605" spans="3:10" ht="18.75" customHeight="1" x14ac:dyDescent="0.35">
      <c r="C1605" s="100" t="str">
        <f>IF(OR(Fact_Analitica[[#This Row], [Año]]="",Fact_Analitica[[#This Row], [Mes]]=""),"",DATE(A1605,MATCH(B1605,{"enero","febrero","marzo","abril","mayo","junio","julio","agosto","septiembre","octubre","noviembre","diciembre"},0)+1,0))</f>
        <v/>
      </c>
      <c r="E1605" t="str">
        <f>+IFERROR(VLOOKUP(Fact_Analitica[[#This Row], [Concepto Anterior]],Conceptos_Analítica_contraloría[#All],5,0),"")</f>
        <v/>
      </c>
      <c r="F1605" t="str">
        <f>+IFERROR(VLOOKUP(Fact_Analitica[[#This Row], [Concepto Anterior]],Conceptos_Analítica_contraloría[#All],7,0),"")</f>
        <v/>
      </c>
      <c r="I1605" t="str">
        <f>+IFERROR(VLOOKUP(D1605,Conceptos_Analítica_contraloría[#All],2,0),"")</f>
        <v/>
      </c>
      <c r="J1605" s="84" t="str">
        <f>+IFERROR(VLOOKUP(D1605,Conceptos_Analítica_contraloría[#All],3,0),"")</f>
        <v/>
      </c>
    </row>
    <row r="1606" spans="3:10" ht="18.75" customHeight="1" x14ac:dyDescent="0.35">
      <c r="C1606" s="100" t="str">
        <f>IF(OR(Fact_Analitica[[#This Row], [Año]]="",Fact_Analitica[[#This Row], [Mes]]=""),"",DATE(A1606,MATCH(B1606,{"enero","febrero","marzo","abril","mayo","junio","julio","agosto","septiembre","octubre","noviembre","diciembre"},0)+1,0))</f>
        <v/>
      </c>
      <c r="E1606" t="str">
        <f>+IFERROR(VLOOKUP(Fact_Analitica[[#This Row], [Concepto Anterior]],Conceptos_Analítica_contraloría[#All],5,0),"")</f>
        <v/>
      </c>
      <c r="F1606" t="str">
        <f>+IFERROR(VLOOKUP(Fact_Analitica[[#This Row], [Concepto Anterior]],Conceptos_Analítica_contraloría[#All],7,0),"")</f>
        <v/>
      </c>
      <c r="I1606" t="str">
        <f>+IFERROR(VLOOKUP(D1606,Conceptos_Analítica_contraloría[#All],2,0),"")</f>
        <v/>
      </c>
      <c r="J1606" s="84" t="str">
        <f>+IFERROR(VLOOKUP(D1606,Conceptos_Analítica_contraloría[#All],3,0),"")</f>
        <v/>
      </c>
    </row>
    <row r="1607" spans="3:10" ht="18.75" customHeight="1" x14ac:dyDescent="0.35">
      <c r="C1607" s="100" t="str">
        <f>IF(OR(Fact_Analitica[[#This Row], [Año]]="",Fact_Analitica[[#This Row], [Mes]]=""),"",DATE(A1607,MATCH(B1607,{"enero","febrero","marzo","abril","mayo","junio","julio","agosto","septiembre","octubre","noviembre","diciembre"},0)+1,0))</f>
        <v/>
      </c>
      <c r="E1607" t="str">
        <f>+IFERROR(VLOOKUP(Fact_Analitica[[#This Row], [Concepto Anterior]],Conceptos_Analítica_contraloría[#All],5,0),"")</f>
        <v/>
      </c>
      <c r="F1607" t="str">
        <f>+IFERROR(VLOOKUP(Fact_Analitica[[#This Row], [Concepto Anterior]],Conceptos_Analítica_contraloría[#All],7,0),"")</f>
        <v/>
      </c>
      <c r="I1607" t="str">
        <f>+IFERROR(VLOOKUP(D1607,Conceptos_Analítica_contraloría[#All],2,0),"")</f>
        <v/>
      </c>
      <c r="J1607" s="84" t="str">
        <f>+IFERROR(VLOOKUP(D1607,Conceptos_Analítica_contraloría[#All],3,0),"")</f>
        <v/>
      </c>
    </row>
    <row r="1608" spans="3:10" ht="18.75" customHeight="1" x14ac:dyDescent="0.35">
      <c r="C1608" s="100" t="str">
        <f>IF(OR(Fact_Analitica[[#This Row], [Año]]="",Fact_Analitica[[#This Row], [Mes]]=""),"",DATE(A1608,MATCH(B1608,{"enero","febrero","marzo","abril","mayo","junio","julio","agosto","septiembre","octubre","noviembre","diciembre"},0)+1,0))</f>
        <v/>
      </c>
      <c r="E1608" t="str">
        <f>+IFERROR(VLOOKUP(Fact_Analitica[[#This Row], [Concepto Anterior]],Conceptos_Analítica_contraloría[#All],5,0),"")</f>
        <v/>
      </c>
      <c r="F1608" t="str">
        <f>+IFERROR(VLOOKUP(Fact_Analitica[[#This Row], [Concepto Anterior]],Conceptos_Analítica_contraloría[#All],7,0),"")</f>
        <v/>
      </c>
      <c r="I1608" t="str">
        <f>+IFERROR(VLOOKUP(D1608,Conceptos_Analítica_contraloría[#All],2,0),"")</f>
        <v/>
      </c>
      <c r="J1608" s="84" t="str">
        <f>+IFERROR(VLOOKUP(D1608,Conceptos_Analítica_contraloría[#All],3,0),"")</f>
        <v/>
      </c>
    </row>
    <row r="1609" spans="3:10" ht="18.75" customHeight="1" x14ac:dyDescent="0.35">
      <c r="C1609" s="100" t="str">
        <f>IF(OR(Fact_Analitica[[#This Row], [Año]]="",Fact_Analitica[[#This Row], [Mes]]=""),"",DATE(A1609,MATCH(B1609,{"enero","febrero","marzo","abril","mayo","junio","julio","agosto","septiembre","octubre","noviembre","diciembre"},0)+1,0))</f>
        <v/>
      </c>
      <c r="E1609" t="str">
        <f>+IFERROR(VLOOKUP(Fact_Analitica[[#This Row], [Concepto Anterior]],Conceptos_Analítica_contraloría[#All],5,0),"")</f>
        <v/>
      </c>
      <c r="F1609" t="str">
        <f>+IFERROR(VLOOKUP(Fact_Analitica[[#This Row], [Concepto Anterior]],Conceptos_Analítica_contraloría[#All],7,0),"")</f>
        <v/>
      </c>
      <c r="I1609" t="str">
        <f>+IFERROR(VLOOKUP(D1609,Conceptos_Analítica_contraloría[#All],2,0),"")</f>
        <v/>
      </c>
      <c r="J1609" s="84" t="str">
        <f>+IFERROR(VLOOKUP(D1609,Conceptos_Analítica_contraloría[#All],3,0),"")</f>
        <v/>
      </c>
    </row>
    <row r="1610" spans="3:10" ht="18.75" customHeight="1" x14ac:dyDescent="0.35">
      <c r="C1610" s="100" t="str">
        <f>IF(OR(Fact_Analitica[[#This Row], [Año]]="",Fact_Analitica[[#This Row], [Mes]]=""),"",DATE(A1610,MATCH(B1610,{"enero","febrero","marzo","abril","mayo","junio","julio","agosto","septiembre","octubre","noviembre","diciembre"},0)+1,0))</f>
        <v/>
      </c>
      <c r="E1610" t="str">
        <f>+IFERROR(VLOOKUP(Fact_Analitica[[#This Row], [Concepto Anterior]],Conceptos_Analítica_contraloría[#All],5,0),"")</f>
        <v/>
      </c>
      <c r="F1610" t="str">
        <f>+IFERROR(VLOOKUP(Fact_Analitica[[#This Row], [Concepto Anterior]],Conceptos_Analítica_contraloría[#All],7,0),"")</f>
        <v/>
      </c>
      <c r="I1610" t="str">
        <f>+IFERROR(VLOOKUP(D1610,Conceptos_Analítica_contraloría[#All],2,0),"")</f>
        <v/>
      </c>
      <c r="J1610" s="84" t="str">
        <f>+IFERROR(VLOOKUP(D1610,Conceptos_Analítica_contraloría[#All],3,0),"")</f>
        <v/>
      </c>
    </row>
    <row r="1611" spans="3:10" ht="18.75" customHeight="1" x14ac:dyDescent="0.35">
      <c r="C1611" s="100" t="str">
        <f>IF(OR(Fact_Analitica[[#This Row], [Año]]="",Fact_Analitica[[#This Row], [Mes]]=""),"",DATE(A1611,MATCH(B1611,{"enero","febrero","marzo","abril","mayo","junio","julio","agosto","septiembre","octubre","noviembre","diciembre"},0)+1,0))</f>
        <v/>
      </c>
      <c r="E1611" t="str">
        <f>+IFERROR(VLOOKUP(Fact_Analitica[[#This Row], [Concepto Anterior]],Conceptos_Analítica_contraloría[#All],5,0),"")</f>
        <v/>
      </c>
      <c r="F1611" t="str">
        <f>+IFERROR(VLOOKUP(Fact_Analitica[[#This Row], [Concepto Anterior]],Conceptos_Analítica_contraloría[#All],7,0),"")</f>
        <v/>
      </c>
      <c r="I1611" t="str">
        <f>+IFERROR(VLOOKUP(D1611,Conceptos_Analítica_contraloría[#All],2,0),"")</f>
        <v/>
      </c>
      <c r="J1611" s="84" t="str">
        <f>+IFERROR(VLOOKUP(D1611,Conceptos_Analítica_contraloría[#All],3,0),"")</f>
        <v/>
      </c>
    </row>
    <row r="1612" spans="3:10" ht="18.75" customHeight="1" x14ac:dyDescent="0.35">
      <c r="C1612" s="100" t="str">
        <f>IF(OR(Fact_Analitica[[#This Row], [Año]]="",Fact_Analitica[[#This Row], [Mes]]=""),"",DATE(A1612,MATCH(B1612,{"enero","febrero","marzo","abril","mayo","junio","julio","agosto","septiembre","octubre","noviembre","diciembre"},0)+1,0))</f>
        <v/>
      </c>
      <c r="E1612" t="str">
        <f>+IFERROR(VLOOKUP(Fact_Analitica[[#This Row], [Concepto Anterior]],Conceptos_Analítica_contraloría[#All],5,0),"")</f>
        <v/>
      </c>
      <c r="F1612" t="str">
        <f>+IFERROR(VLOOKUP(Fact_Analitica[[#This Row], [Concepto Anterior]],Conceptos_Analítica_contraloría[#All],7,0),"")</f>
        <v/>
      </c>
      <c r="I1612" t="str">
        <f>+IFERROR(VLOOKUP(D1612,Conceptos_Analítica_contraloría[#All],2,0),"")</f>
        <v/>
      </c>
      <c r="J1612" s="84" t="str">
        <f>+IFERROR(VLOOKUP(D1612,Conceptos_Analítica_contraloría[#All],3,0),"")</f>
        <v/>
      </c>
    </row>
    <row r="1613" spans="3:10" ht="18.75" customHeight="1" x14ac:dyDescent="0.35">
      <c r="C1613" s="100" t="str">
        <f>IF(OR(Fact_Analitica[[#This Row], [Año]]="",Fact_Analitica[[#This Row], [Mes]]=""),"",DATE(A1613,MATCH(B1613,{"enero","febrero","marzo","abril","mayo","junio","julio","agosto","septiembre","octubre","noviembre","diciembre"},0)+1,0))</f>
        <v/>
      </c>
      <c r="E1613" t="str">
        <f>+IFERROR(VLOOKUP(Fact_Analitica[[#This Row], [Concepto Anterior]],Conceptos_Analítica_contraloría[#All],5,0),"")</f>
        <v/>
      </c>
      <c r="F1613" t="str">
        <f>+IFERROR(VLOOKUP(Fact_Analitica[[#This Row], [Concepto Anterior]],Conceptos_Analítica_contraloría[#All],7,0),"")</f>
        <v/>
      </c>
      <c r="I1613" t="str">
        <f>+IFERROR(VLOOKUP(D1613,Conceptos_Analítica_contraloría[#All],2,0),"")</f>
        <v/>
      </c>
      <c r="J1613" s="84" t="str">
        <f>+IFERROR(VLOOKUP(D1613,Conceptos_Analítica_contraloría[#All],3,0),"")</f>
        <v/>
      </c>
    </row>
    <row r="1614" spans="3:10" ht="18.75" customHeight="1" x14ac:dyDescent="0.35">
      <c r="C1614" s="100" t="str">
        <f>IF(OR(Fact_Analitica[[#This Row], [Año]]="",Fact_Analitica[[#This Row], [Mes]]=""),"",DATE(A1614,MATCH(B1614,{"enero","febrero","marzo","abril","mayo","junio","julio","agosto","septiembre","octubre","noviembre","diciembre"},0)+1,0))</f>
        <v/>
      </c>
      <c r="E1614" t="str">
        <f>+IFERROR(VLOOKUP(Fact_Analitica[[#This Row], [Concepto Anterior]],Conceptos_Analítica_contraloría[#All],5,0),"")</f>
        <v/>
      </c>
      <c r="F1614" t="str">
        <f>+IFERROR(VLOOKUP(Fact_Analitica[[#This Row], [Concepto Anterior]],Conceptos_Analítica_contraloría[#All],7,0),"")</f>
        <v/>
      </c>
      <c r="I1614" t="str">
        <f>+IFERROR(VLOOKUP(D1614,Conceptos_Analítica_contraloría[#All],2,0),"")</f>
        <v/>
      </c>
      <c r="J1614" s="84" t="str">
        <f>+IFERROR(VLOOKUP(D1614,Conceptos_Analítica_contraloría[#All],3,0),"")</f>
        <v/>
      </c>
    </row>
    <row r="1615" spans="3:10" ht="18.75" customHeight="1" x14ac:dyDescent="0.35">
      <c r="C1615" s="100" t="str">
        <f>IF(OR(Fact_Analitica[[#This Row], [Año]]="",Fact_Analitica[[#This Row], [Mes]]=""),"",DATE(A1615,MATCH(B1615,{"enero","febrero","marzo","abril","mayo","junio","julio","agosto","septiembre","octubre","noviembre","diciembre"},0)+1,0))</f>
        <v/>
      </c>
      <c r="E1615" t="str">
        <f>+IFERROR(VLOOKUP(Fact_Analitica[[#This Row], [Concepto Anterior]],Conceptos_Analítica_contraloría[#All],5,0),"")</f>
        <v/>
      </c>
      <c r="F1615" t="str">
        <f>+IFERROR(VLOOKUP(Fact_Analitica[[#This Row], [Concepto Anterior]],Conceptos_Analítica_contraloría[#All],7,0),"")</f>
        <v/>
      </c>
      <c r="I1615" t="str">
        <f>+IFERROR(VLOOKUP(D1615,Conceptos_Analítica_contraloría[#All],2,0),"")</f>
        <v/>
      </c>
      <c r="J1615" s="84" t="str">
        <f>+IFERROR(VLOOKUP(D1615,Conceptos_Analítica_contraloría[#All],3,0),"")</f>
        <v/>
      </c>
    </row>
    <row r="1616" spans="3:10" ht="18.75" customHeight="1" x14ac:dyDescent="0.35">
      <c r="C1616" s="100" t="str">
        <f>IF(OR(Fact_Analitica[[#This Row], [Año]]="",Fact_Analitica[[#This Row], [Mes]]=""),"",DATE(A1616,MATCH(B1616,{"enero","febrero","marzo","abril","mayo","junio","julio","agosto","septiembre","octubre","noviembre","diciembre"},0)+1,0))</f>
        <v/>
      </c>
      <c r="E1616" t="str">
        <f>+IFERROR(VLOOKUP(Fact_Analitica[[#This Row], [Concepto Anterior]],Conceptos_Analítica_contraloría[#All],5,0),"")</f>
        <v/>
      </c>
      <c r="F1616" t="str">
        <f>+IFERROR(VLOOKUP(Fact_Analitica[[#This Row], [Concepto Anterior]],Conceptos_Analítica_contraloría[#All],7,0),"")</f>
        <v/>
      </c>
      <c r="I1616" t="str">
        <f>+IFERROR(VLOOKUP(D1616,Conceptos_Analítica_contraloría[#All],2,0),"")</f>
        <v/>
      </c>
      <c r="J1616" s="84" t="str">
        <f>+IFERROR(VLOOKUP(D1616,Conceptos_Analítica_contraloría[#All],3,0),"")</f>
        <v/>
      </c>
    </row>
    <row r="1617" spans="3:10" ht="18.75" customHeight="1" x14ac:dyDescent="0.35">
      <c r="C1617" s="100" t="str">
        <f>IF(OR(Fact_Analitica[[#This Row], [Año]]="",Fact_Analitica[[#This Row], [Mes]]=""),"",DATE(A1617,MATCH(B1617,{"enero","febrero","marzo","abril","mayo","junio","julio","agosto","septiembre","octubre","noviembre","diciembre"},0)+1,0))</f>
        <v/>
      </c>
      <c r="E1617" t="str">
        <f>+IFERROR(VLOOKUP(Fact_Analitica[[#This Row], [Concepto Anterior]],Conceptos_Analítica_contraloría[#All],5,0),"")</f>
        <v/>
      </c>
      <c r="F1617" t="str">
        <f>+IFERROR(VLOOKUP(Fact_Analitica[[#This Row], [Concepto Anterior]],Conceptos_Analítica_contraloría[#All],7,0),"")</f>
        <v/>
      </c>
      <c r="I1617" t="str">
        <f>+IFERROR(VLOOKUP(D1617,Conceptos_Analítica_contraloría[#All],2,0),"")</f>
        <v/>
      </c>
      <c r="J1617" s="84" t="str">
        <f>+IFERROR(VLOOKUP(D1617,Conceptos_Analítica_contraloría[#All],3,0),"")</f>
        <v/>
      </c>
    </row>
    <row r="1618" spans="3:10" ht="18.75" customHeight="1" x14ac:dyDescent="0.35">
      <c r="C1618" s="100" t="str">
        <f>IF(OR(Fact_Analitica[[#This Row], [Año]]="",Fact_Analitica[[#This Row], [Mes]]=""),"",DATE(A1618,MATCH(B1618,{"enero","febrero","marzo","abril","mayo","junio","julio","agosto","septiembre","octubre","noviembre","diciembre"},0)+1,0))</f>
        <v/>
      </c>
      <c r="E1618" t="str">
        <f>+IFERROR(VLOOKUP(Fact_Analitica[[#This Row], [Concepto Anterior]],Conceptos_Analítica_contraloría[#All],5,0),"")</f>
        <v/>
      </c>
      <c r="F1618" t="str">
        <f>+IFERROR(VLOOKUP(Fact_Analitica[[#This Row], [Concepto Anterior]],Conceptos_Analítica_contraloría[#All],7,0),"")</f>
        <v/>
      </c>
      <c r="I1618" t="str">
        <f>+IFERROR(VLOOKUP(D1618,Conceptos_Analítica_contraloría[#All],2,0),"")</f>
        <v/>
      </c>
      <c r="J1618" s="84" t="str">
        <f>+IFERROR(VLOOKUP(D1618,Conceptos_Analítica_contraloría[#All],3,0),"")</f>
        <v/>
      </c>
    </row>
    <row r="1619" spans="3:10" ht="18.75" customHeight="1" x14ac:dyDescent="0.35">
      <c r="C1619" s="100" t="str">
        <f>IF(OR(Fact_Analitica[[#This Row], [Año]]="",Fact_Analitica[[#This Row], [Mes]]=""),"",DATE(A1619,MATCH(B1619,{"enero","febrero","marzo","abril","mayo","junio","julio","agosto","septiembre","octubre","noviembre","diciembre"},0)+1,0))</f>
        <v/>
      </c>
      <c r="E1619" t="str">
        <f>+IFERROR(VLOOKUP(Fact_Analitica[[#This Row], [Concepto Anterior]],Conceptos_Analítica_contraloría[#All],5,0),"")</f>
        <v/>
      </c>
      <c r="F1619" t="str">
        <f>+IFERROR(VLOOKUP(Fact_Analitica[[#This Row], [Concepto Anterior]],Conceptos_Analítica_contraloría[#All],7,0),"")</f>
        <v/>
      </c>
      <c r="I1619" t="str">
        <f>+IFERROR(VLOOKUP(D1619,Conceptos_Analítica_contraloría[#All],2,0),"")</f>
        <v/>
      </c>
      <c r="J1619" s="84" t="str">
        <f>+IFERROR(VLOOKUP(D1619,Conceptos_Analítica_contraloría[#All],3,0),"")</f>
        <v/>
      </c>
    </row>
    <row r="1620" spans="3:10" ht="18.75" customHeight="1" x14ac:dyDescent="0.35">
      <c r="C1620" s="100" t="str">
        <f>IF(OR(Fact_Analitica[[#This Row], [Año]]="",Fact_Analitica[[#This Row], [Mes]]=""),"",DATE(A1620,MATCH(B1620,{"enero","febrero","marzo","abril","mayo","junio","julio","agosto","septiembre","octubre","noviembre","diciembre"},0)+1,0))</f>
        <v/>
      </c>
      <c r="E1620" t="str">
        <f>+IFERROR(VLOOKUP(Fact_Analitica[[#This Row], [Concepto Anterior]],Conceptos_Analítica_contraloría[#All],5,0),"")</f>
        <v/>
      </c>
      <c r="F1620" t="str">
        <f>+IFERROR(VLOOKUP(Fact_Analitica[[#This Row], [Concepto Anterior]],Conceptos_Analítica_contraloría[#All],7,0),"")</f>
        <v/>
      </c>
      <c r="I1620" t="str">
        <f>+IFERROR(VLOOKUP(D1620,Conceptos_Analítica_contraloría[#All],2,0),"")</f>
        <v/>
      </c>
      <c r="J1620" s="84" t="str">
        <f>+IFERROR(VLOOKUP(D1620,Conceptos_Analítica_contraloría[#All],3,0),"")</f>
        <v/>
      </c>
    </row>
    <row r="1621" spans="3:10" ht="18.75" customHeight="1" x14ac:dyDescent="0.35">
      <c r="C1621" s="100" t="str">
        <f>IF(OR(Fact_Analitica[[#This Row], [Año]]="",Fact_Analitica[[#This Row], [Mes]]=""),"",DATE(A1621,MATCH(B1621,{"enero","febrero","marzo","abril","mayo","junio","julio","agosto","septiembre","octubre","noviembre","diciembre"},0)+1,0))</f>
        <v/>
      </c>
      <c r="E1621" t="str">
        <f>+IFERROR(VLOOKUP(Fact_Analitica[[#This Row], [Concepto Anterior]],Conceptos_Analítica_contraloría[#All],5,0),"")</f>
        <v/>
      </c>
      <c r="F1621" t="str">
        <f>+IFERROR(VLOOKUP(Fact_Analitica[[#This Row], [Concepto Anterior]],Conceptos_Analítica_contraloría[#All],7,0),"")</f>
        <v/>
      </c>
      <c r="I1621" t="str">
        <f>+IFERROR(VLOOKUP(D1621,Conceptos_Analítica_contraloría[#All],2,0),"")</f>
        <v/>
      </c>
      <c r="J1621" s="84" t="str">
        <f>+IFERROR(VLOOKUP(D1621,Conceptos_Analítica_contraloría[#All],3,0),"")</f>
        <v/>
      </c>
    </row>
    <row r="1622" spans="3:10" ht="18.75" customHeight="1" x14ac:dyDescent="0.35">
      <c r="C1622" s="100" t="str">
        <f>IF(OR(Fact_Analitica[[#This Row], [Año]]="",Fact_Analitica[[#This Row], [Mes]]=""),"",DATE(A1622,MATCH(B1622,{"enero","febrero","marzo","abril","mayo","junio","julio","agosto","septiembre","octubre","noviembre","diciembre"},0)+1,0))</f>
        <v/>
      </c>
      <c r="E1622" t="str">
        <f>+IFERROR(VLOOKUP(Fact_Analitica[[#This Row], [Concepto Anterior]],Conceptos_Analítica_contraloría[#All],5,0),"")</f>
        <v/>
      </c>
      <c r="F1622" t="str">
        <f>+IFERROR(VLOOKUP(Fact_Analitica[[#This Row], [Concepto Anterior]],Conceptos_Analítica_contraloría[#All],7,0),"")</f>
        <v/>
      </c>
      <c r="I1622" t="str">
        <f>+IFERROR(VLOOKUP(D1622,Conceptos_Analítica_contraloría[#All],2,0),"")</f>
        <v/>
      </c>
      <c r="J1622" s="84" t="str">
        <f>+IFERROR(VLOOKUP(D1622,Conceptos_Analítica_contraloría[#All],3,0),"")</f>
        <v/>
      </c>
    </row>
    <row r="1623" spans="3:10" ht="18.75" customHeight="1" x14ac:dyDescent="0.35">
      <c r="C1623" s="100" t="str">
        <f>IF(OR(Fact_Analitica[[#This Row], [Año]]="",Fact_Analitica[[#This Row], [Mes]]=""),"",DATE(A1623,MATCH(B1623,{"enero","febrero","marzo","abril","mayo","junio","julio","agosto","septiembre","octubre","noviembre","diciembre"},0)+1,0))</f>
        <v/>
      </c>
      <c r="E1623" t="str">
        <f>+IFERROR(VLOOKUP(Fact_Analitica[[#This Row], [Concepto Anterior]],Conceptos_Analítica_contraloría[#All],5,0),"")</f>
        <v/>
      </c>
      <c r="F1623" t="str">
        <f>+IFERROR(VLOOKUP(Fact_Analitica[[#This Row], [Concepto Anterior]],Conceptos_Analítica_contraloría[#All],7,0),"")</f>
        <v/>
      </c>
      <c r="I1623" t="str">
        <f>+IFERROR(VLOOKUP(D1623,Conceptos_Analítica_contraloría[#All],2,0),"")</f>
        <v/>
      </c>
      <c r="J1623" s="84" t="str">
        <f>+IFERROR(VLOOKUP(D1623,Conceptos_Analítica_contraloría[#All],3,0),"")</f>
        <v/>
      </c>
    </row>
    <row r="1624" spans="3:10" ht="18.75" customHeight="1" x14ac:dyDescent="0.35">
      <c r="C1624" s="100" t="str">
        <f>IF(OR(Fact_Analitica[[#This Row], [Año]]="",Fact_Analitica[[#This Row], [Mes]]=""),"",DATE(A1624,MATCH(B1624,{"enero","febrero","marzo","abril","mayo","junio","julio","agosto","septiembre","octubre","noviembre","diciembre"},0)+1,0))</f>
        <v/>
      </c>
      <c r="E1624" t="str">
        <f>+IFERROR(VLOOKUP(Fact_Analitica[[#This Row], [Concepto Anterior]],Conceptos_Analítica_contraloría[#All],5,0),"")</f>
        <v/>
      </c>
      <c r="F1624" t="str">
        <f>+IFERROR(VLOOKUP(Fact_Analitica[[#This Row], [Concepto Anterior]],Conceptos_Analítica_contraloría[#All],7,0),"")</f>
        <v/>
      </c>
      <c r="I1624" t="str">
        <f>+IFERROR(VLOOKUP(D1624,Conceptos_Analítica_contraloría[#All],2,0),"")</f>
        <v/>
      </c>
      <c r="J1624" s="84" t="str">
        <f>+IFERROR(VLOOKUP(D1624,Conceptos_Analítica_contraloría[#All],3,0),"")</f>
        <v/>
      </c>
    </row>
    <row r="1625" spans="3:10" ht="18.75" customHeight="1" x14ac:dyDescent="0.35">
      <c r="C1625" s="100" t="str">
        <f>IF(OR(Fact_Analitica[[#This Row], [Año]]="",Fact_Analitica[[#This Row], [Mes]]=""),"",DATE(A1625,MATCH(B1625,{"enero","febrero","marzo","abril","mayo","junio","julio","agosto","septiembre","octubre","noviembre","diciembre"},0)+1,0))</f>
        <v/>
      </c>
      <c r="E1625" t="str">
        <f>+IFERROR(VLOOKUP(Fact_Analitica[[#This Row], [Concepto Anterior]],Conceptos_Analítica_contraloría[#All],5,0),"")</f>
        <v/>
      </c>
      <c r="F1625" t="str">
        <f>+IFERROR(VLOOKUP(Fact_Analitica[[#This Row], [Concepto Anterior]],Conceptos_Analítica_contraloría[#All],7,0),"")</f>
        <v/>
      </c>
      <c r="I1625" t="str">
        <f>+IFERROR(VLOOKUP(D1625,Conceptos_Analítica_contraloría[#All],2,0),"")</f>
        <v/>
      </c>
      <c r="J1625" s="84" t="str">
        <f>+IFERROR(VLOOKUP(D1625,Conceptos_Analítica_contraloría[#All],3,0),"")</f>
        <v/>
      </c>
    </row>
    <row r="1626" spans="3:10" ht="18.75" customHeight="1" x14ac:dyDescent="0.35">
      <c r="C1626" s="100" t="str">
        <f>IF(OR(Fact_Analitica[[#This Row], [Año]]="",Fact_Analitica[[#This Row], [Mes]]=""),"",DATE(A1626,MATCH(B1626,{"enero","febrero","marzo","abril","mayo","junio","julio","agosto","septiembre","octubre","noviembre","diciembre"},0)+1,0))</f>
        <v/>
      </c>
      <c r="E1626" t="str">
        <f>+IFERROR(VLOOKUP(Fact_Analitica[[#This Row], [Concepto Anterior]],Conceptos_Analítica_contraloría[#All],5,0),"")</f>
        <v/>
      </c>
      <c r="F1626" t="str">
        <f>+IFERROR(VLOOKUP(Fact_Analitica[[#This Row], [Concepto Anterior]],Conceptos_Analítica_contraloría[#All],7,0),"")</f>
        <v/>
      </c>
      <c r="I1626" t="str">
        <f>+IFERROR(VLOOKUP(D1626,Conceptos_Analítica_contraloría[#All],2,0),"")</f>
        <v/>
      </c>
      <c r="J1626" s="84" t="str">
        <f>+IFERROR(VLOOKUP(D1626,Conceptos_Analítica_contraloría[#All],3,0),"")</f>
        <v/>
      </c>
    </row>
    <row r="1627" spans="3:10" ht="18.75" customHeight="1" x14ac:dyDescent="0.35">
      <c r="C1627" s="100" t="str">
        <f>IF(OR(Fact_Analitica[[#This Row], [Año]]="",Fact_Analitica[[#This Row], [Mes]]=""),"",DATE(A1627,MATCH(B1627,{"enero","febrero","marzo","abril","mayo","junio","julio","agosto","septiembre","octubre","noviembre","diciembre"},0)+1,0))</f>
        <v/>
      </c>
      <c r="E1627" t="str">
        <f>+IFERROR(VLOOKUP(Fact_Analitica[[#This Row], [Concepto Anterior]],Conceptos_Analítica_contraloría[#All],5,0),"")</f>
        <v/>
      </c>
      <c r="F1627" t="str">
        <f>+IFERROR(VLOOKUP(Fact_Analitica[[#This Row], [Concepto Anterior]],Conceptos_Analítica_contraloría[#All],7,0),"")</f>
        <v/>
      </c>
      <c r="I1627" t="str">
        <f>+IFERROR(VLOOKUP(D1627,Conceptos_Analítica_contraloría[#All],2,0),"")</f>
        <v/>
      </c>
      <c r="J1627" s="84" t="str">
        <f>+IFERROR(VLOOKUP(D1627,Conceptos_Analítica_contraloría[#All],3,0),"")</f>
        <v/>
      </c>
    </row>
    <row r="1628" spans="3:10" ht="18.75" customHeight="1" x14ac:dyDescent="0.35">
      <c r="C1628" s="100" t="str">
        <f>IF(OR(Fact_Analitica[[#This Row], [Año]]="",Fact_Analitica[[#This Row], [Mes]]=""),"",DATE(A1628,MATCH(B1628,{"enero","febrero","marzo","abril","mayo","junio","julio","agosto","septiembre","octubre","noviembre","diciembre"},0)+1,0))</f>
        <v/>
      </c>
      <c r="E1628" t="str">
        <f>+IFERROR(VLOOKUP(Fact_Analitica[[#This Row], [Concepto Anterior]],Conceptos_Analítica_contraloría[#All],5,0),"")</f>
        <v/>
      </c>
      <c r="F1628" t="str">
        <f>+IFERROR(VLOOKUP(Fact_Analitica[[#This Row], [Concepto Anterior]],Conceptos_Analítica_contraloría[#All],7,0),"")</f>
        <v/>
      </c>
      <c r="I1628" t="str">
        <f>+IFERROR(VLOOKUP(D1628,Conceptos_Analítica_contraloría[#All],2,0),"")</f>
        <v/>
      </c>
      <c r="J1628" s="84" t="str">
        <f>+IFERROR(VLOOKUP(D1628,Conceptos_Analítica_contraloría[#All],3,0),"")</f>
        <v/>
      </c>
    </row>
    <row r="1629" spans="3:10" ht="18.75" customHeight="1" x14ac:dyDescent="0.35">
      <c r="C1629" s="100" t="str">
        <f>IF(OR(Fact_Analitica[[#This Row], [Año]]="",Fact_Analitica[[#This Row], [Mes]]=""),"",DATE(A1629,MATCH(B1629,{"enero","febrero","marzo","abril","mayo","junio","julio","agosto","septiembre","octubre","noviembre","diciembre"},0)+1,0))</f>
        <v/>
      </c>
      <c r="E1629" t="str">
        <f>+IFERROR(VLOOKUP(Fact_Analitica[[#This Row], [Concepto Anterior]],Conceptos_Analítica_contraloría[#All],5,0),"")</f>
        <v/>
      </c>
      <c r="F1629" t="str">
        <f>+IFERROR(VLOOKUP(Fact_Analitica[[#This Row], [Concepto Anterior]],Conceptos_Analítica_contraloría[#All],7,0),"")</f>
        <v/>
      </c>
      <c r="I1629" t="str">
        <f>+IFERROR(VLOOKUP(D1629,Conceptos_Analítica_contraloría[#All],2,0),"")</f>
        <v/>
      </c>
      <c r="J1629" s="84" t="str">
        <f>+IFERROR(VLOOKUP(D1629,Conceptos_Analítica_contraloría[#All],3,0),"")</f>
        <v/>
      </c>
    </row>
    <row r="1630" spans="3:10" ht="18.75" customHeight="1" x14ac:dyDescent="0.35">
      <c r="C1630" s="100" t="str">
        <f>IF(OR(Fact_Analitica[[#This Row], [Año]]="",Fact_Analitica[[#This Row], [Mes]]=""),"",DATE(A1630,MATCH(B1630,{"enero","febrero","marzo","abril","mayo","junio","julio","agosto","septiembre","octubre","noviembre","diciembre"},0)+1,0))</f>
        <v/>
      </c>
      <c r="E1630" t="str">
        <f>+IFERROR(VLOOKUP(Fact_Analitica[[#This Row], [Concepto Anterior]],Conceptos_Analítica_contraloría[#All],5,0),"")</f>
        <v/>
      </c>
      <c r="F1630" t="str">
        <f>+IFERROR(VLOOKUP(Fact_Analitica[[#This Row], [Concepto Anterior]],Conceptos_Analítica_contraloría[#All],7,0),"")</f>
        <v/>
      </c>
      <c r="I1630" t="str">
        <f>+IFERROR(VLOOKUP(D1630,Conceptos_Analítica_contraloría[#All],2,0),"")</f>
        <v/>
      </c>
      <c r="J1630" s="84" t="str">
        <f>+IFERROR(VLOOKUP(D1630,Conceptos_Analítica_contraloría[#All],3,0),"")</f>
        <v/>
      </c>
    </row>
    <row r="1631" spans="3:10" ht="18.75" customHeight="1" x14ac:dyDescent="0.35">
      <c r="C1631" s="100" t="str">
        <f>IF(OR(Fact_Analitica[[#This Row], [Año]]="",Fact_Analitica[[#This Row], [Mes]]=""),"",DATE(A1631,MATCH(B1631,{"enero","febrero","marzo","abril","mayo","junio","julio","agosto","septiembre","octubre","noviembre","diciembre"},0)+1,0))</f>
        <v/>
      </c>
      <c r="E1631" t="str">
        <f>+IFERROR(VLOOKUP(Fact_Analitica[[#This Row], [Concepto Anterior]],Conceptos_Analítica_contraloría[#All],5,0),"")</f>
        <v/>
      </c>
      <c r="F1631" t="str">
        <f>+IFERROR(VLOOKUP(Fact_Analitica[[#This Row], [Concepto Anterior]],Conceptos_Analítica_contraloría[#All],7,0),"")</f>
        <v/>
      </c>
      <c r="I1631" t="str">
        <f>+IFERROR(VLOOKUP(D1631,Conceptos_Analítica_contraloría[#All],2,0),"")</f>
        <v/>
      </c>
      <c r="J1631" s="84" t="str">
        <f>+IFERROR(VLOOKUP(D1631,Conceptos_Analítica_contraloría[#All],3,0),"")</f>
        <v/>
      </c>
    </row>
    <row r="1632" spans="3:10" ht="18.75" customHeight="1" x14ac:dyDescent="0.35">
      <c r="C1632" s="100" t="str">
        <f>IF(OR(Fact_Analitica[[#This Row], [Año]]="",Fact_Analitica[[#This Row], [Mes]]=""),"",DATE(A1632,MATCH(B1632,{"enero","febrero","marzo","abril","mayo","junio","julio","agosto","septiembre","octubre","noviembre","diciembre"},0)+1,0))</f>
        <v/>
      </c>
      <c r="E1632" t="str">
        <f>+IFERROR(VLOOKUP(Fact_Analitica[[#This Row], [Concepto Anterior]],Conceptos_Analítica_contraloría[#All],5,0),"")</f>
        <v/>
      </c>
      <c r="F1632" t="str">
        <f>+IFERROR(VLOOKUP(Fact_Analitica[[#This Row], [Concepto Anterior]],Conceptos_Analítica_contraloría[#All],7,0),"")</f>
        <v/>
      </c>
      <c r="I1632" t="str">
        <f>+IFERROR(VLOOKUP(D1632,Conceptos_Analítica_contraloría[#All],2,0),"")</f>
        <v/>
      </c>
      <c r="J1632" s="84" t="str">
        <f>+IFERROR(VLOOKUP(D1632,Conceptos_Analítica_contraloría[#All],3,0),"")</f>
        <v/>
      </c>
    </row>
    <row r="1633" spans="3:10" ht="18.75" customHeight="1" x14ac:dyDescent="0.35">
      <c r="C1633" s="100" t="str">
        <f>IF(OR(Fact_Analitica[[#This Row], [Año]]="",Fact_Analitica[[#This Row], [Mes]]=""),"",DATE(A1633,MATCH(B1633,{"enero","febrero","marzo","abril","mayo","junio","julio","agosto","septiembre","octubre","noviembre","diciembre"},0)+1,0))</f>
        <v/>
      </c>
      <c r="E1633" t="str">
        <f>+IFERROR(VLOOKUP(Fact_Analitica[[#This Row], [Concepto Anterior]],Conceptos_Analítica_contraloría[#All],5,0),"")</f>
        <v/>
      </c>
      <c r="F1633" t="str">
        <f>+IFERROR(VLOOKUP(Fact_Analitica[[#This Row], [Concepto Anterior]],Conceptos_Analítica_contraloría[#All],7,0),"")</f>
        <v/>
      </c>
      <c r="I1633" t="str">
        <f>+IFERROR(VLOOKUP(D1633,Conceptos_Analítica_contraloría[#All],2,0),"")</f>
        <v/>
      </c>
      <c r="J1633" s="84" t="str">
        <f>+IFERROR(VLOOKUP(D1633,Conceptos_Analítica_contraloría[#All],3,0),"")</f>
        <v/>
      </c>
    </row>
    <row r="1634" spans="3:10" ht="18.75" customHeight="1" x14ac:dyDescent="0.35">
      <c r="C1634" s="100" t="str">
        <f>IF(OR(Fact_Analitica[[#This Row], [Año]]="",Fact_Analitica[[#This Row], [Mes]]=""),"",DATE(A1634,MATCH(B1634,{"enero","febrero","marzo","abril","mayo","junio","julio","agosto","septiembre","octubre","noviembre","diciembre"},0)+1,0))</f>
        <v/>
      </c>
      <c r="E1634" t="str">
        <f>+IFERROR(VLOOKUP(Fact_Analitica[[#This Row], [Concepto Anterior]],Conceptos_Analítica_contraloría[#All],5,0),"")</f>
        <v/>
      </c>
      <c r="F1634" t="str">
        <f>+IFERROR(VLOOKUP(Fact_Analitica[[#This Row], [Concepto Anterior]],Conceptos_Analítica_contraloría[#All],7,0),"")</f>
        <v/>
      </c>
      <c r="I1634" t="str">
        <f>+IFERROR(VLOOKUP(D1634,Conceptos_Analítica_contraloría[#All],2,0),"")</f>
        <v/>
      </c>
      <c r="J1634" s="84" t="str">
        <f>+IFERROR(VLOOKUP(D1634,Conceptos_Analítica_contraloría[#All],3,0),"")</f>
        <v/>
      </c>
    </row>
    <row r="1635" spans="3:10" ht="18.75" customHeight="1" x14ac:dyDescent="0.35">
      <c r="C1635" s="100" t="str">
        <f>IF(OR(Fact_Analitica[[#This Row], [Año]]="",Fact_Analitica[[#This Row], [Mes]]=""),"",DATE(A1635,MATCH(B1635,{"enero","febrero","marzo","abril","mayo","junio","julio","agosto","septiembre","octubre","noviembre","diciembre"},0)+1,0))</f>
        <v/>
      </c>
      <c r="E1635" t="str">
        <f>+IFERROR(VLOOKUP(Fact_Analitica[[#This Row], [Concepto Anterior]],Conceptos_Analítica_contraloría[#All],5,0),"")</f>
        <v/>
      </c>
      <c r="F1635" t="str">
        <f>+IFERROR(VLOOKUP(Fact_Analitica[[#This Row], [Concepto Anterior]],Conceptos_Analítica_contraloría[#All],7,0),"")</f>
        <v/>
      </c>
      <c r="I1635" t="str">
        <f>+IFERROR(VLOOKUP(D1635,Conceptos_Analítica_contraloría[#All],2,0),"")</f>
        <v/>
      </c>
      <c r="J1635" s="84" t="str">
        <f>+IFERROR(VLOOKUP(D1635,Conceptos_Analítica_contraloría[#All],3,0),"")</f>
        <v/>
      </c>
    </row>
    <row r="1636" spans="3:10" ht="18.75" customHeight="1" x14ac:dyDescent="0.35">
      <c r="C1636" s="100" t="str">
        <f>IF(OR(Fact_Analitica[[#This Row], [Año]]="",Fact_Analitica[[#This Row], [Mes]]=""),"",DATE(A1636,MATCH(B1636,{"enero","febrero","marzo","abril","mayo","junio","julio","agosto","septiembre","octubre","noviembre","diciembre"},0)+1,0))</f>
        <v/>
      </c>
      <c r="E1636" t="str">
        <f>+IFERROR(VLOOKUP(Fact_Analitica[[#This Row], [Concepto Anterior]],Conceptos_Analítica_contraloría[#All],5,0),"")</f>
        <v/>
      </c>
      <c r="F1636" t="str">
        <f>+IFERROR(VLOOKUP(Fact_Analitica[[#This Row], [Concepto Anterior]],Conceptos_Analítica_contraloría[#All],7,0),"")</f>
        <v/>
      </c>
      <c r="I1636" t="str">
        <f>+IFERROR(VLOOKUP(D1636,Conceptos_Analítica_contraloría[#All],2,0),"")</f>
        <v/>
      </c>
      <c r="J1636" s="84" t="str">
        <f>+IFERROR(VLOOKUP(D1636,Conceptos_Analítica_contraloría[#All],3,0),"")</f>
        <v/>
      </c>
    </row>
    <row r="1637" spans="3:10" ht="18.75" customHeight="1" x14ac:dyDescent="0.35">
      <c r="C1637" s="100" t="str">
        <f>IF(OR(Fact_Analitica[[#This Row], [Año]]="",Fact_Analitica[[#This Row], [Mes]]=""),"",DATE(A1637,MATCH(B1637,{"enero","febrero","marzo","abril","mayo","junio","julio","agosto","septiembre","octubre","noviembre","diciembre"},0)+1,0))</f>
        <v/>
      </c>
      <c r="E1637" t="str">
        <f>+IFERROR(VLOOKUP(Fact_Analitica[[#This Row], [Concepto Anterior]],Conceptos_Analítica_contraloría[#All],5,0),"")</f>
        <v/>
      </c>
      <c r="F1637" t="str">
        <f>+IFERROR(VLOOKUP(Fact_Analitica[[#This Row], [Concepto Anterior]],Conceptos_Analítica_contraloría[#All],7,0),"")</f>
        <v/>
      </c>
      <c r="I1637" t="str">
        <f>+IFERROR(VLOOKUP(D1637,Conceptos_Analítica_contraloría[#All],2,0),"")</f>
        <v/>
      </c>
      <c r="J1637" s="84" t="str">
        <f>+IFERROR(VLOOKUP(D1637,Conceptos_Analítica_contraloría[#All],3,0),"")</f>
        <v/>
      </c>
    </row>
    <row r="1638" spans="3:10" ht="18.75" customHeight="1" x14ac:dyDescent="0.35">
      <c r="C1638" s="100" t="str">
        <f>IF(OR(Fact_Analitica[[#This Row], [Año]]="",Fact_Analitica[[#This Row], [Mes]]=""),"",DATE(A1638,MATCH(B1638,{"enero","febrero","marzo","abril","mayo","junio","julio","agosto","septiembre","octubre","noviembre","diciembre"},0)+1,0))</f>
        <v/>
      </c>
      <c r="E1638" t="str">
        <f>+IFERROR(VLOOKUP(Fact_Analitica[[#This Row], [Concepto Anterior]],Conceptos_Analítica_contraloría[#All],5,0),"")</f>
        <v/>
      </c>
      <c r="F1638" t="str">
        <f>+IFERROR(VLOOKUP(Fact_Analitica[[#This Row], [Concepto Anterior]],Conceptos_Analítica_contraloría[#All],7,0),"")</f>
        <v/>
      </c>
      <c r="I1638" t="str">
        <f>+IFERROR(VLOOKUP(D1638,Conceptos_Analítica_contraloría[#All],2,0),"")</f>
        <v/>
      </c>
      <c r="J1638" s="84" t="str">
        <f>+IFERROR(VLOOKUP(D1638,Conceptos_Analítica_contraloría[#All],3,0),"")</f>
        <v/>
      </c>
    </row>
    <row r="1639" spans="3:10" ht="18.75" customHeight="1" x14ac:dyDescent="0.35">
      <c r="C1639" s="100" t="str">
        <f>IF(OR(Fact_Analitica[[#This Row], [Año]]="",Fact_Analitica[[#This Row], [Mes]]=""),"",DATE(A1639,MATCH(B1639,{"enero","febrero","marzo","abril","mayo","junio","julio","agosto","septiembre","octubre","noviembre","diciembre"},0)+1,0))</f>
        <v/>
      </c>
      <c r="E1639" t="str">
        <f>+IFERROR(VLOOKUP(Fact_Analitica[[#This Row], [Concepto Anterior]],Conceptos_Analítica_contraloría[#All],5,0),"")</f>
        <v/>
      </c>
      <c r="F1639" t="str">
        <f>+IFERROR(VLOOKUP(Fact_Analitica[[#This Row], [Concepto Anterior]],Conceptos_Analítica_contraloría[#All],7,0),"")</f>
        <v/>
      </c>
      <c r="I1639" t="str">
        <f>+IFERROR(VLOOKUP(D1639,Conceptos_Analítica_contraloría[#All],2,0),"")</f>
        <v/>
      </c>
      <c r="J1639" s="84" t="str">
        <f>+IFERROR(VLOOKUP(D1639,Conceptos_Analítica_contraloría[#All],3,0),"")</f>
        <v/>
      </c>
    </row>
    <row r="1640" spans="3:10" ht="18.75" customHeight="1" x14ac:dyDescent="0.35">
      <c r="C1640" s="100" t="str">
        <f>IF(OR(Fact_Analitica[[#This Row], [Año]]="",Fact_Analitica[[#This Row], [Mes]]=""),"",DATE(A1640,MATCH(B1640,{"enero","febrero","marzo","abril","mayo","junio","julio","agosto","septiembre","octubre","noviembre","diciembre"},0)+1,0))</f>
        <v/>
      </c>
      <c r="E1640" t="str">
        <f>+IFERROR(VLOOKUP(Fact_Analitica[[#This Row], [Concepto Anterior]],Conceptos_Analítica_contraloría[#All],5,0),"")</f>
        <v/>
      </c>
      <c r="F1640" t="str">
        <f>+IFERROR(VLOOKUP(Fact_Analitica[[#This Row], [Concepto Anterior]],Conceptos_Analítica_contraloría[#All],7,0),"")</f>
        <v/>
      </c>
      <c r="I1640" t="str">
        <f>+IFERROR(VLOOKUP(D1640,Conceptos_Analítica_contraloría[#All],2,0),"")</f>
        <v/>
      </c>
      <c r="J1640" s="84" t="str">
        <f>+IFERROR(VLOOKUP(D1640,Conceptos_Analítica_contraloría[#All],3,0),"")</f>
        <v/>
      </c>
    </row>
    <row r="1641" spans="3:10" ht="18.75" customHeight="1" x14ac:dyDescent="0.35">
      <c r="C1641" s="100" t="str">
        <f>IF(OR(Fact_Analitica[[#This Row], [Año]]="",Fact_Analitica[[#This Row], [Mes]]=""),"",DATE(A1641,MATCH(B1641,{"enero","febrero","marzo","abril","mayo","junio","julio","agosto","septiembre","octubre","noviembre","diciembre"},0)+1,0))</f>
        <v/>
      </c>
      <c r="E1641" t="str">
        <f>+IFERROR(VLOOKUP(Fact_Analitica[[#This Row], [Concepto Anterior]],Conceptos_Analítica_contraloría[#All],5,0),"")</f>
        <v/>
      </c>
      <c r="F1641" t="str">
        <f>+IFERROR(VLOOKUP(Fact_Analitica[[#This Row], [Concepto Anterior]],Conceptos_Analítica_contraloría[#All],7,0),"")</f>
        <v/>
      </c>
      <c r="I1641" t="str">
        <f>+IFERROR(VLOOKUP(D1641,Conceptos_Analítica_contraloría[#All],2,0),"")</f>
        <v/>
      </c>
      <c r="J1641" s="84" t="str">
        <f>+IFERROR(VLOOKUP(D1641,Conceptos_Analítica_contraloría[#All],3,0),"")</f>
        <v/>
      </c>
    </row>
    <row r="1642" spans="3:10" ht="18.75" customHeight="1" x14ac:dyDescent="0.35">
      <c r="C1642" s="100" t="str">
        <f>IF(OR(Fact_Analitica[[#This Row], [Año]]="",Fact_Analitica[[#This Row], [Mes]]=""),"",DATE(A1642,MATCH(B1642,{"enero","febrero","marzo","abril","mayo","junio","julio","agosto","septiembre","octubre","noviembre","diciembre"},0)+1,0))</f>
        <v/>
      </c>
      <c r="E1642" t="str">
        <f>+IFERROR(VLOOKUP(Fact_Analitica[[#This Row], [Concepto Anterior]],Conceptos_Analítica_contraloría[#All],5,0),"")</f>
        <v/>
      </c>
      <c r="F1642" t="str">
        <f>+IFERROR(VLOOKUP(Fact_Analitica[[#This Row], [Concepto Anterior]],Conceptos_Analítica_contraloría[#All],7,0),"")</f>
        <v/>
      </c>
      <c r="I1642" t="str">
        <f>+IFERROR(VLOOKUP(D1642,Conceptos_Analítica_contraloría[#All],2,0),"")</f>
        <v/>
      </c>
      <c r="J1642" s="84" t="str">
        <f>+IFERROR(VLOOKUP(D1642,Conceptos_Analítica_contraloría[#All],3,0),"")</f>
        <v/>
      </c>
    </row>
    <row r="1643" spans="3:10" ht="18.75" customHeight="1" x14ac:dyDescent="0.35">
      <c r="C1643" s="100" t="str">
        <f>IF(OR(Fact_Analitica[[#This Row], [Año]]="",Fact_Analitica[[#This Row], [Mes]]=""),"",DATE(A1643,MATCH(B1643,{"enero","febrero","marzo","abril","mayo","junio","julio","agosto","septiembre","octubre","noviembre","diciembre"},0)+1,0))</f>
        <v/>
      </c>
      <c r="E1643" t="str">
        <f>+IFERROR(VLOOKUP(Fact_Analitica[[#This Row], [Concepto Anterior]],Conceptos_Analítica_contraloría[#All],5,0),"")</f>
        <v/>
      </c>
      <c r="F1643" t="str">
        <f>+IFERROR(VLOOKUP(Fact_Analitica[[#This Row], [Concepto Anterior]],Conceptos_Analítica_contraloría[#All],7,0),"")</f>
        <v/>
      </c>
      <c r="I1643" t="str">
        <f>+IFERROR(VLOOKUP(D1643,Conceptos_Analítica_contraloría[#All],2,0),"")</f>
        <v/>
      </c>
      <c r="J1643" s="84" t="str">
        <f>+IFERROR(VLOOKUP(D1643,Conceptos_Analítica_contraloría[#All],3,0),"")</f>
        <v/>
      </c>
    </row>
    <row r="1644" spans="3:10" ht="18.75" customHeight="1" x14ac:dyDescent="0.35">
      <c r="C1644" s="100" t="str">
        <f>IF(OR(Fact_Analitica[[#This Row], [Año]]="",Fact_Analitica[[#This Row], [Mes]]=""),"",DATE(A1644,MATCH(B1644,{"enero","febrero","marzo","abril","mayo","junio","julio","agosto","septiembre","octubre","noviembre","diciembre"},0)+1,0))</f>
        <v/>
      </c>
      <c r="E1644" t="str">
        <f>+IFERROR(VLOOKUP(Fact_Analitica[[#This Row], [Concepto Anterior]],Conceptos_Analítica_contraloría[#All],5,0),"")</f>
        <v/>
      </c>
      <c r="F1644" t="str">
        <f>+IFERROR(VLOOKUP(Fact_Analitica[[#This Row], [Concepto Anterior]],Conceptos_Analítica_contraloría[#All],7,0),"")</f>
        <v/>
      </c>
      <c r="I1644" t="str">
        <f>+IFERROR(VLOOKUP(D1644,Conceptos_Analítica_contraloría[#All],2,0),"")</f>
        <v/>
      </c>
      <c r="J1644" s="84" t="str">
        <f>+IFERROR(VLOOKUP(D1644,Conceptos_Analítica_contraloría[#All],3,0),"")</f>
        <v/>
      </c>
    </row>
    <row r="1645" spans="3:10" ht="18.75" customHeight="1" x14ac:dyDescent="0.35">
      <c r="C1645" s="100" t="str">
        <f>IF(OR(Fact_Analitica[[#This Row], [Año]]="",Fact_Analitica[[#This Row], [Mes]]=""),"",DATE(A1645,MATCH(B1645,{"enero","febrero","marzo","abril","mayo","junio","julio","agosto","septiembre","octubre","noviembre","diciembre"},0)+1,0))</f>
        <v/>
      </c>
      <c r="E1645" t="str">
        <f>+IFERROR(VLOOKUP(Fact_Analitica[[#This Row], [Concepto Anterior]],Conceptos_Analítica_contraloría[#All],5,0),"")</f>
        <v/>
      </c>
      <c r="F1645" t="str">
        <f>+IFERROR(VLOOKUP(Fact_Analitica[[#This Row], [Concepto Anterior]],Conceptos_Analítica_contraloría[#All],7,0),"")</f>
        <v/>
      </c>
      <c r="I1645" t="str">
        <f>+IFERROR(VLOOKUP(D1645,Conceptos_Analítica_contraloría[#All],2,0),"")</f>
        <v/>
      </c>
      <c r="J1645" s="84" t="str">
        <f>+IFERROR(VLOOKUP(D1645,Conceptos_Analítica_contraloría[#All],3,0),"")</f>
        <v/>
      </c>
    </row>
    <row r="1646" spans="3:10" ht="18.75" customHeight="1" x14ac:dyDescent="0.35">
      <c r="C1646" s="100" t="str">
        <f>IF(OR(Fact_Analitica[[#This Row], [Año]]="",Fact_Analitica[[#This Row], [Mes]]=""),"",DATE(A1646,MATCH(B1646,{"enero","febrero","marzo","abril","mayo","junio","julio","agosto","septiembre","octubre","noviembre","diciembre"},0)+1,0))</f>
        <v/>
      </c>
      <c r="E1646" t="str">
        <f>+IFERROR(VLOOKUP(Fact_Analitica[[#This Row], [Concepto Anterior]],Conceptos_Analítica_contraloría[#All],5,0),"")</f>
        <v/>
      </c>
      <c r="F1646" t="str">
        <f>+IFERROR(VLOOKUP(Fact_Analitica[[#This Row], [Concepto Anterior]],Conceptos_Analítica_contraloría[#All],7,0),"")</f>
        <v/>
      </c>
      <c r="I1646" t="str">
        <f>+IFERROR(VLOOKUP(D1646,Conceptos_Analítica_contraloría[#All],2,0),"")</f>
        <v/>
      </c>
      <c r="J1646" s="84" t="str">
        <f>+IFERROR(VLOOKUP(D1646,Conceptos_Analítica_contraloría[#All],3,0),"")</f>
        <v/>
      </c>
    </row>
    <row r="1647" spans="3:10" ht="18.75" customHeight="1" x14ac:dyDescent="0.35">
      <c r="C1647" s="100" t="str">
        <f>IF(OR(Fact_Analitica[[#This Row], [Año]]="",Fact_Analitica[[#This Row], [Mes]]=""),"",DATE(A1647,MATCH(B1647,{"enero","febrero","marzo","abril","mayo","junio","julio","agosto","septiembre","octubre","noviembre","diciembre"},0)+1,0))</f>
        <v/>
      </c>
      <c r="E1647" t="str">
        <f>+IFERROR(VLOOKUP(Fact_Analitica[[#This Row], [Concepto Anterior]],Conceptos_Analítica_contraloría[#All],5,0),"")</f>
        <v/>
      </c>
      <c r="F1647" t="str">
        <f>+IFERROR(VLOOKUP(Fact_Analitica[[#This Row], [Concepto Anterior]],Conceptos_Analítica_contraloría[#All],7,0),"")</f>
        <v/>
      </c>
      <c r="I1647" t="str">
        <f>+IFERROR(VLOOKUP(D1647,Conceptos_Analítica_contraloría[#All],2,0),"")</f>
        <v/>
      </c>
      <c r="J1647" s="84" t="str">
        <f>+IFERROR(VLOOKUP(D1647,Conceptos_Analítica_contraloría[#All],3,0),"")</f>
        <v/>
      </c>
    </row>
    <row r="1648" spans="3:10" ht="18.75" customHeight="1" x14ac:dyDescent="0.35">
      <c r="C1648" s="100" t="str">
        <f>IF(OR(Fact_Analitica[[#This Row], [Año]]="",Fact_Analitica[[#This Row], [Mes]]=""),"",DATE(A1648,MATCH(B1648,{"enero","febrero","marzo","abril","mayo","junio","julio","agosto","septiembre","octubre","noviembre","diciembre"},0)+1,0))</f>
        <v/>
      </c>
      <c r="E1648" t="str">
        <f>+IFERROR(VLOOKUP(Fact_Analitica[[#This Row], [Concepto Anterior]],Conceptos_Analítica_contraloría[#All],5,0),"")</f>
        <v/>
      </c>
      <c r="F1648" t="str">
        <f>+IFERROR(VLOOKUP(Fact_Analitica[[#This Row], [Concepto Anterior]],Conceptos_Analítica_contraloría[#All],7,0),"")</f>
        <v/>
      </c>
      <c r="I1648" t="str">
        <f>+IFERROR(VLOOKUP(D1648,Conceptos_Analítica_contraloría[#All],2,0),"")</f>
        <v/>
      </c>
      <c r="J1648" s="84" t="str">
        <f>+IFERROR(VLOOKUP(D1648,Conceptos_Analítica_contraloría[#All],3,0),"")</f>
        <v/>
      </c>
    </row>
    <row r="1649" spans="3:10" ht="18.75" customHeight="1" x14ac:dyDescent="0.35">
      <c r="C1649" s="100" t="str">
        <f>IF(OR(Fact_Analitica[[#This Row], [Año]]="",Fact_Analitica[[#This Row], [Mes]]=""),"",DATE(A1649,MATCH(B1649,{"enero","febrero","marzo","abril","mayo","junio","julio","agosto","septiembre","octubre","noviembre","diciembre"},0)+1,0))</f>
        <v/>
      </c>
      <c r="E1649" t="str">
        <f>+IFERROR(VLOOKUP(Fact_Analitica[[#This Row], [Concepto Anterior]],Conceptos_Analítica_contraloría[#All],5,0),"")</f>
        <v/>
      </c>
      <c r="F1649" t="str">
        <f>+IFERROR(VLOOKUP(Fact_Analitica[[#This Row], [Concepto Anterior]],Conceptos_Analítica_contraloría[#All],7,0),"")</f>
        <v/>
      </c>
      <c r="I1649" t="str">
        <f>+IFERROR(VLOOKUP(D1649,Conceptos_Analítica_contraloría[#All],2,0),"")</f>
        <v/>
      </c>
      <c r="J1649" s="84" t="str">
        <f>+IFERROR(VLOOKUP(D1649,Conceptos_Analítica_contraloría[#All],3,0),"")</f>
        <v/>
      </c>
    </row>
    <row r="1650" spans="3:10" ht="18.75" customHeight="1" x14ac:dyDescent="0.35">
      <c r="C1650" s="100" t="str">
        <f>IF(OR(Fact_Analitica[[#This Row], [Año]]="",Fact_Analitica[[#This Row], [Mes]]=""),"",DATE(A1650,MATCH(B1650,{"enero","febrero","marzo","abril","mayo","junio","julio","agosto","septiembre","octubre","noviembre","diciembre"},0)+1,0))</f>
        <v/>
      </c>
      <c r="E1650" t="str">
        <f>+IFERROR(VLOOKUP(Fact_Analitica[[#This Row], [Concepto Anterior]],Conceptos_Analítica_contraloría[#All],5,0),"")</f>
        <v/>
      </c>
      <c r="F1650" t="str">
        <f>+IFERROR(VLOOKUP(Fact_Analitica[[#This Row], [Concepto Anterior]],Conceptos_Analítica_contraloría[#All],7,0),"")</f>
        <v/>
      </c>
      <c r="I1650" t="str">
        <f>+IFERROR(VLOOKUP(D1650,Conceptos_Analítica_contraloría[#All],2,0),"")</f>
        <v/>
      </c>
      <c r="J1650" s="84" t="str">
        <f>+IFERROR(VLOOKUP(D1650,Conceptos_Analítica_contraloría[#All],3,0),"")</f>
        <v/>
      </c>
    </row>
    <row r="1651" spans="3:10" ht="18.75" customHeight="1" x14ac:dyDescent="0.35">
      <c r="C1651" s="100" t="str">
        <f>IF(OR(Fact_Analitica[[#This Row], [Año]]="",Fact_Analitica[[#This Row], [Mes]]=""),"",DATE(A1651,MATCH(B1651,{"enero","febrero","marzo","abril","mayo","junio","julio","agosto","septiembre","octubre","noviembre","diciembre"},0)+1,0))</f>
        <v/>
      </c>
      <c r="E1651" t="str">
        <f>+IFERROR(VLOOKUP(Fact_Analitica[[#This Row], [Concepto Anterior]],Conceptos_Analítica_contraloría[#All],5,0),"")</f>
        <v/>
      </c>
      <c r="F1651" t="str">
        <f>+IFERROR(VLOOKUP(Fact_Analitica[[#This Row], [Concepto Anterior]],Conceptos_Analítica_contraloría[#All],7,0),"")</f>
        <v/>
      </c>
      <c r="I1651" t="str">
        <f>+IFERROR(VLOOKUP(D1651,Conceptos_Analítica_contraloría[#All],2,0),"")</f>
        <v/>
      </c>
      <c r="J1651" s="84" t="str">
        <f>+IFERROR(VLOOKUP(D1651,Conceptos_Analítica_contraloría[#All],3,0),"")</f>
        <v/>
      </c>
    </row>
    <row r="1652" spans="3:10" ht="18.75" customHeight="1" x14ac:dyDescent="0.35">
      <c r="C1652" s="100" t="str">
        <f>IF(OR(Fact_Analitica[[#This Row], [Año]]="",Fact_Analitica[[#This Row], [Mes]]=""),"",DATE(A1652,MATCH(B1652,{"enero","febrero","marzo","abril","mayo","junio","julio","agosto","septiembre","octubre","noviembre","diciembre"},0)+1,0))</f>
        <v/>
      </c>
      <c r="E1652" t="str">
        <f>+IFERROR(VLOOKUP(Fact_Analitica[[#This Row], [Concepto Anterior]],Conceptos_Analítica_contraloría[#All],5,0),"")</f>
        <v/>
      </c>
      <c r="F1652" t="str">
        <f>+IFERROR(VLOOKUP(Fact_Analitica[[#This Row], [Concepto Anterior]],Conceptos_Analítica_contraloría[#All],7,0),"")</f>
        <v/>
      </c>
      <c r="I1652" t="str">
        <f>+IFERROR(VLOOKUP(D1652,Conceptos_Analítica_contraloría[#All],2,0),"")</f>
        <v/>
      </c>
      <c r="J1652" s="84" t="str">
        <f>+IFERROR(VLOOKUP(D1652,Conceptos_Analítica_contraloría[#All],3,0),"")</f>
        <v/>
      </c>
    </row>
    <row r="1653" spans="3:10" ht="18.75" customHeight="1" x14ac:dyDescent="0.35">
      <c r="C1653" s="100" t="str">
        <f>IF(OR(Fact_Analitica[[#This Row], [Año]]="",Fact_Analitica[[#This Row], [Mes]]=""),"",DATE(A1653,MATCH(B1653,{"enero","febrero","marzo","abril","mayo","junio","julio","agosto","septiembre","octubre","noviembre","diciembre"},0)+1,0))</f>
        <v/>
      </c>
      <c r="E1653" t="str">
        <f>+IFERROR(VLOOKUP(Fact_Analitica[[#This Row], [Concepto Anterior]],Conceptos_Analítica_contraloría[#All],5,0),"")</f>
        <v/>
      </c>
      <c r="F1653" t="str">
        <f>+IFERROR(VLOOKUP(Fact_Analitica[[#This Row], [Concepto Anterior]],Conceptos_Analítica_contraloría[#All],7,0),"")</f>
        <v/>
      </c>
      <c r="I1653" t="str">
        <f>+IFERROR(VLOOKUP(D1653,Conceptos_Analítica_contraloría[#All],2,0),"")</f>
        <v/>
      </c>
      <c r="J1653" s="84" t="str">
        <f>+IFERROR(VLOOKUP(D1653,Conceptos_Analítica_contraloría[#All],3,0),"")</f>
        <v/>
      </c>
    </row>
    <row r="1654" spans="3:10" ht="18.75" customHeight="1" x14ac:dyDescent="0.35">
      <c r="C1654" s="100" t="str">
        <f>IF(OR(Fact_Analitica[[#This Row], [Año]]="",Fact_Analitica[[#This Row], [Mes]]=""),"",DATE(A1654,MATCH(B1654,{"enero","febrero","marzo","abril","mayo","junio","julio","agosto","septiembre","octubre","noviembre","diciembre"},0)+1,0))</f>
        <v/>
      </c>
      <c r="E1654" t="str">
        <f>+IFERROR(VLOOKUP(Fact_Analitica[[#This Row], [Concepto Anterior]],Conceptos_Analítica_contraloría[#All],5,0),"")</f>
        <v/>
      </c>
      <c r="F1654" t="str">
        <f>+IFERROR(VLOOKUP(Fact_Analitica[[#This Row], [Concepto Anterior]],Conceptos_Analítica_contraloría[#All],7,0),"")</f>
        <v/>
      </c>
      <c r="I1654" t="str">
        <f>+IFERROR(VLOOKUP(D1654,Conceptos_Analítica_contraloría[#All],2,0),"")</f>
        <v/>
      </c>
      <c r="J1654" s="84" t="str">
        <f>+IFERROR(VLOOKUP(D1654,Conceptos_Analítica_contraloría[#All],3,0),"")</f>
        <v/>
      </c>
    </row>
    <row r="1655" spans="3:10" ht="18.75" customHeight="1" x14ac:dyDescent="0.35">
      <c r="C1655" s="100" t="str">
        <f>IF(OR(Fact_Analitica[[#This Row], [Año]]="",Fact_Analitica[[#This Row], [Mes]]=""),"",DATE(A1655,MATCH(B1655,{"enero","febrero","marzo","abril","mayo","junio","julio","agosto","septiembre","octubre","noviembre","diciembre"},0)+1,0))</f>
        <v/>
      </c>
      <c r="E1655" t="str">
        <f>+IFERROR(VLOOKUP(Fact_Analitica[[#This Row], [Concepto Anterior]],Conceptos_Analítica_contraloría[#All],5,0),"")</f>
        <v/>
      </c>
      <c r="F1655" t="str">
        <f>+IFERROR(VLOOKUP(Fact_Analitica[[#This Row], [Concepto Anterior]],Conceptos_Analítica_contraloría[#All],7,0),"")</f>
        <v/>
      </c>
      <c r="I1655" t="str">
        <f>+IFERROR(VLOOKUP(D1655,Conceptos_Analítica_contraloría[#All],2,0),"")</f>
        <v/>
      </c>
      <c r="J1655" s="84" t="str">
        <f>+IFERROR(VLOOKUP(D1655,Conceptos_Analítica_contraloría[#All],3,0),"")</f>
        <v/>
      </c>
    </row>
    <row r="1656" spans="3:10" ht="18.75" customHeight="1" x14ac:dyDescent="0.35">
      <c r="C1656" s="100" t="str">
        <f>IF(OR(Fact_Analitica[[#This Row], [Año]]="",Fact_Analitica[[#This Row], [Mes]]=""),"",DATE(A1656,MATCH(B1656,{"enero","febrero","marzo","abril","mayo","junio","julio","agosto","septiembre","octubre","noviembre","diciembre"},0)+1,0))</f>
        <v/>
      </c>
      <c r="E1656" t="str">
        <f>+IFERROR(VLOOKUP(Fact_Analitica[[#This Row], [Concepto Anterior]],Conceptos_Analítica_contraloría[#All],5,0),"")</f>
        <v/>
      </c>
      <c r="F1656" t="str">
        <f>+IFERROR(VLOOKUP(Fact_Analitica[[#This Row], [Concepto Anterior]],Conceptos_Analítica_contraloría[#All],7,0),"")</f>
        <v/>
      </c>
      <c r="I1656" t="str">
        <f>+IFERROR(VLOOKUP(D1656,Conceptos_Analítica_contraloría[#All],2,0),"")</f>
        <v/>
      </c>
      <c r="J1656" s="84" t="str">
        <f>+IFERROR(VLOOKUP(D1656,Conceptos_Analítica_contraloría[#All],3,0),"")</f>
        <v/>
      </c>
    </row>
    <row r="1657" spans="3:10" ht="18.75" customHeight="1" x14ac:dyDescent="0.35">
      <c r="C1657" s="100" t="str">
        <f>IF(OR(Fact_Analitica[[#This Row], [Año]]="",Fact_Analitica[[#This Row], [Mes]]=""),"",DATE(A1657,MATCH(B1657,{"enero","febrero","marzo","abril","mayo","junio","julio","agosto","septiembre","octubre","noviembre","diciembre"},0)+1,0))</f>
        <v/>
      </c>
      <c r="E1657" t="str">
        <f>+IFERROR(VLOOKUP(Fact_Analitica[[#This Row], [Concepto Anterior]],Conceptos_Analítica_contraloría[#All],5,0),"")</f>
        <v/>
      </c>
      <c r="F1657" t="str">
        <f>+IFERROR(VLOOKUP(Fact_Analitica[[#This Row], [Concepto Anterior]],Conceptos_Analítica_contraloría[#All],7,0),"")</f>
        <v/>
      </c>
      <c r="I1657" t="str">
        <f>+IFERROR(VLOOKUP(D1657,Conceptos_Analítica_contraloría[#All],2,0),"")</f>
        <v/>
      </c>
      <c r="J1657" s="84" t="str">
        <f>+IFERROR(VLOOKUP(D1657,Conceptos_Analítica_contraloría[#All],3,0),"")</f>
        <v/>
      </c>
    </row>
    <row r="1658" spans="3:10" ht="18.75" customHeight="1" x14ac:dyDescent="0.35">
      <c r="C1658" s="100" t="str">
        <f>IF(OR(Fact_Analitica[[#This Row], [Año]]="",Fact_Analitica[[#This Row], [Mes]]=""),"",DATE(A1658,MATCH(B1658,{"enero","febrero","marzo","abril","mayo","junio","julio","agosto","septiembre","octubre","noviembre","diciembre"},0)+1,0))</f>
        <v/>
      </c>
      <c r="E1658" t="str">
        <f>+IFERROR(VLOOKUP(Fact_Analitica[[#This Row], [Concepto Anterior]],Conceptos_Analítica_contraloría[#All],5,0),"")</f>
        <v/>
      </c>
      <c r="F1658" t="str">
        <f>+IFERROR(VLOOKUP(Fact_Analitica[[#This Row], [Concepto Anterior]],Conceptos_Analítica_contraloría[#All],7,0),"")</f>
        <v/>
      </c>
      <c r="I1658" t="str">
        <f>+IFERROR(VLOOKUP(D1658,Conceptos_Analítica_contraloría[#All],2,0),"")</f>
        <v/>
      </c>
      <c r="J1658" s="84" t="str">
        <f>+IFERROR(VLOOKUP(D1658,Conceptos_Analítica_contraloría[#All],3,0),"")</f>
        <v/>
      </c>
    </row>
    <row r="1659" spans="3:10" ht="18.75" customHeight="1" x14ac:dyDescent="0.35">
      <c r="C1659" s="100" t="str">
        <f>IF(OR(Fact_Analitica[[#This Row], [Año]]="",Fact_Analitica[[#This Row], [Mes]]=""),"",DATE(A1659,MATCH(B1659,{"enero","febrero","marzo","abril","mayo","junio","julio","agosto","septiembre","octubre","noviembre","diciembre"},0)+1,0))</f>
        <v/>
      </c>
      <c r="E1659" t="str">
        <f>+IFERROR(VLOOKUP(Fact_Analitica[[#This Row], [Concepto Anterior]],Conceptos_Analítica_contraloría[#All],5,0),"")</f>
        <v/>
      </c>
      <c r="F1659" t="str">
        <f>+IFERROR(VLOOKUP(Fact_Analitica[[#This Row], [Concepto Anterior]],Conceptos_Analítica_contraloría[#All],7,0),"")</f>
        <v/>
      </c>
      <c r="I1659" t="str">
        <f>+IFERROR(VLOOKUP(D1659,Conceptos_Analítica_contraloría[#All],2,0),"")</f>
        <v/>
      </c>
      <c r="J1659" s="84" t="str">
        <f>+IFERROR(VLOOKUP(D1659,Conceptos_Analítica_contraloría[#All],3,0),"")</f>
        <v/>
      </c>
    </row>
    <row r="1660" spans="3:10" ht="18.75" customHeight="1" x14ac:dyDescent="0.35">
      <c r="C1660" s="100" t="str">
        <f>IF(OR(Fact_Analitica[[#This Row], [Año]]="",Fact_Analitica[[#This Row], [Mes]]=""),"",DATE(A1660,MATCH(B1660,{"enero","febrero","marzo","abril","mayo","junio","julio","agosto","septiembre","octubre","noviembre","diciembre"},0)+1,0))</f>
        <v/>
      </c>
      <c r="E1660" t="str">
        <f>+IFERROR(VLOOKUP(Fact_Analitica[[#This Row], [Concepto Anterior]],Conceptos_Analítica_contraloría[#All],5,0),"")</f>
        <v/>
      </c>
      <c r="F1660" t="str">
        <f>+IFERROR(VLOOKUP(Fact_Analitica[[#This Row], [Concepto Anterior]],Conceptos_Analítica_contraloría[#All],7,0),"")</f>
        <v/>
      </c>
      <c r="I1660" t="str">
        <f>+IFERROR(VLOOKUP(D1660,Conceptos_Analítica_contraloría[#All],2,0),"")</f>
        <v/>
      </c>
      <c r="J1660" s="84" t="str">
        <f>+IFERROR(VLOOKUP(D1660,Conceptos_Analítica_contraloría[#All],3,0),"")</f>
        <v/>
      </c>
    </row>
    <row r="1661" spans="3:10" ht="18.75" customHeight="1" x14ac:dyDescent="0.35">
      <c r="C1661" s="100" t="str">
        <f>IF(OR(Fact_Analitica[[#This Row], [Año]]="",Fact_Analitica[[#This Row], [Mes]]=""),"",DATE(A1661,MATCH(B1661,{"enero","febrero","marzo","abril","mayo","junio","julio","agosto","septiembre","octubre","noviembre","diciembre"},0)+1,0))</f>
        <v/>
      </c>
      <c r="E1661" t="str">
        <f>+IFERROR(VLOOKUP(Fact_Analitica[[#This Row], [Concepto Anterior]],Conceptos_Analítica_contraloría[#All],5,0),"")</f>
        <v/>
      </c>
      <c r="F1661" t="str">
        <f>+IFERROR(VLOOKUP(Fact_Analitica[[#This Row], [Concepto Anterior]],Conceptos_Analítica_contraloría[#All],7,0),"")</f>
        <v/>
      </c>
      <c r="I1661" t="str">
        <f>+IFERROR(VLOOKUP(D1661,Conceptos_Analítica_contraloría[#All],2,0),"")</f>
        <v/>
      </c>
      <c r="J1661" s="84" t="str">
        <f>+IFERROR(VLOOKUP(D1661,Conceptos_Analítica_contraloría[#All],3,0),"")</f>
        <v/>
      </c>
    </row>
    <row r="1662" spans="3:10" ht="18.75" customHeight="1" x14ac:dyDescent="0.35">
      <c r="C1662" s="100" t="str">
        <f>IF(OR(Fact_Analitica[[#This Row], [Año]]="",Fact_Analitica[[#This Row], [Mes]]=""),"",DATE(A1662,MATCH(B1662,{"enero","febrero","marzo","abril","mayo","junio","julio","agosto","septiembre","octubre","noviembre","diciembre"},0)+1,0))</f>
        <v/>
      </c>
      <c r="E1662" t="str">
        <f>+IFERROR(VLOOKUP(Fact_Analitica[[#This Row], [Concepto Anterior]],Conceptos_Analítica_contraloría[#All],5,0),"")</f>
        <v/>
      </c>
      <c r="F1662" t="str">
        <f>+IFERROR(VLOOKUP(Fact_Analitica[[#This Row], [Concepto Anterior]],Conceptos_Analítica_contraloría[#All],7,0),"")</f>
        <v/>
      </c>
      <c r="I1662" t="str">
        <f>+IFERROR(VLOOKUP(D1662,Conceptos_Analítica_contraloría[#All],2,0),"")</f>
        <v/>
      </c>
      <c r="J1662" s="84" t="str">
        <f>+IFERROR(VLOOKUP(D1662,Conceptos_Analítica_contraloría[#All],3,0),"")</f>
        <v/>
      </c>
    </row>
    <row r="1663" spans="3:10" ht="18.75" customHeight="1" x14ac:dyDescent="0.35">
      <c r="C1663" s="100" t="str">
        <f>IF(OR(Fact_Analitica[[#This Row], [Año]]="",Fact_Analitica[[#This Row], [Mes]]=""),"",DATE(A1663,MATCH(B1663,{"enero","febrero","marzo","abril","mayo","junio","julio","agosto","septiembre","octubre","noviembre","diciembre"},0)+1,0))</f>
        <v/>
      </c>
      <c r="E1663" t="str">
        <f>+IFERROR(VLOOKUP(Fact_Analitica[[#This Row], [Concepto Anterior]],Conceptos_Analítica_contraloría[#All],5,0),"")</f>
        <v/>
      </c>
      <c r="F1663" t="str">
        <f>+IFERROR(VLOOKUP(Fact_Analitica[[#This Row], [Concepto Anterior]],Conceptos_Analítica_contraloría[#All],7,0),"")</f>
        <v/>
      </c>
      <c r="I1663" t="str">
        <f>+IFERROR(VLOOKUP(D1663,Conceptos_Analítica_contraloría[#All],2,0),"")</f>
        <v/>
      </c>
      <c r="J1663" s="84" t="str">
        <f>+IFERROR(VLOOKUP(D1663,Conceptos_Analítica_contraloría[#All],3,0),"")</f>
        <v/>
      </c>
    </row>
    <row r="1664" spans="3:10" ht="18.75" customHeight="1" x14ac:dyDescent="0.35">
      <c r="C1664" s="100" t="str">
        <f>IF(OR(Fact_Analitica[[#This Row], [Año]]="",Fact_Analitica[[#This Row], [Mes]]=""),"",DATE(A1664,MATCH(B1664,{"enero","febrero","marzo","abril","mayo","junio","julio","agosto","septiembre","octubre","noviembre","diciembre"},0)+1,0))</f>
        <v/>
      </c>
      <c r="E1664" t="str">
        <f>+IFERROR(VLOOKUP(Fact_Analitica[[#This Row], [Concepto Anterior]],Conceptos_Analítica_contraloría[#All],5,0),"")</f>
        <v/>
      </c>
      <c r="F1664" t="str">
        <f>+IFERROR(VLOOKUP(Fact_Analitica[[#This Row], [Concepto Anterior]],Conceptos_Analítica_contraloría[#All],7,0),"")</f>
        <v/>
      </c>
      <c r="I1664" t="str">
        <f>+IFERROR(VLOOKUP(D1664,Conceptos_Analítica_contraloría[#All],2,0),"")</f>
        <v/>
      </c>
      <c r="J1664" s="84" t="str">
        <f>+IFERROR(VLOOKUP(D1664,Conceptos_Analítica_contraloría[#All],3,0),"")</f>
        <v/>
      </c>
    </row>
    <row r="1665" spans="3:10" ht="18.75" customHeight="1" x14ac:dyDescent="0.35">
      <c r="C1665" s="100" t="str">
        <f>IF(OR(Fact_Analitica[[#This Row], [Año]]="",Fact_Analitica[[#This Row], [Mes]]=""),"",DATE(A1665,MATCH(B1665,{"enero","febrero","marzo","abril","mayo","junio","julio","agosto","septiembre","octubre","noviembre","diciembre"},0)+1,0))</f>
        <v/>
      </c>
      <c r="E1665" t="str">
        <f>+IFERROR(VLOOKUP(Fact_Analitica[[#This Row], [Concepto Anterior]],Conceptos_Analítica_contraloría[#All],5,0),"")</f>
        <v/>
      </c>
      <c r="F1665" t="str">
        <f>+IFERROR(VLOOKUP(Fact_Analitica[[#This Row], [Concepto Anterior]],Conceptos_Analítica_contraloría[#All],7,0),"")</f>
        <v/>
      </c>
      <c r="I1665" t="str">
        <f>+IFERROR(VLOOKUP(D1665,Conceptos_Analítica_contraloría[#All],2,0),"")</f>
        <v/>
      </c>
      <c r="J1665" s="84" t="str">
        <f>+IFERROR(VLOOKUP(D1665,Conceptos_Analítica_contraloría[#All],3,0),"")</f>
        <v/>
      </c>
    </row>
    <row r="1666" spans="3:10" ht="18.75" customHeight="1" x14ac:dyDescent="0.35">
      <c r="C1666" s="100" t="str">
        <f>IF(OR(Fact_Analitica[[#This Row], [Año]]="",Fact_Analitica[[#This Row], [Mes]]=""),"",DATE(A1666,MATCH(B1666,{"enero","febrero","marzo","abril","mayo","junio","julio","agosto","septiembre","octubre","noviembre","diciembre"},0)+1,0))</f>
        <v/>
      </c>
      <c r="E1666" t="str">
        <f>+IFERROR(VLOOKUP(Fact_Analitica[[#This Row], [Concepto Anterior]],Conceptos_Analítica_contraloría[#All],5,0),"")</f>
        <v/>
      </c>
      <c r="F1666" t="str">
        <f>+IFERROR(VLOOKUP(Fact_Analitica[[#This Row], [Concepto Anterior]],Conceptos_Analítica_contraloría[#All],7,0),"")</f>
        <v/>
      </c>
      <c r="I1666" t="str">
        <f>+IFERROR(VLOOKUP(D1666,Conceptos_Analítica_contraloría[#All],2,0),"")</f>
        <v/>
      </c>
      <c r="J1666" s="84" t="str">
        <f>+IFERROR(VLOOKUP(D1666,Conceptos_Analítica_contraloría[#All],3,0),"")</f>
        <v/>
      </c>
    </row>
    <row r="1667" spans="3:10" ht="18.75" customHeight="1" x14ac:dyDescent="0.35">
      <c r="C1667" s="100" t="str">
        <f>IF(OR(Fact_Analitica[[#This Row], [Año]]="",Fact_Analitica[[#This Row], [Mes]]=""),"",DATE(A1667,MATCH(B1667,{"enero","febrero","marzo","abril","mayo","junio","julio","agosto","septiembre","octubre","noviembre","diciembre"},0)+1,0))</f>
        <v/>
      </c>
      <c r="E1667" t="str">
        <f>+IFERROR(VLOOKUP(Fact_Analitica[[#This Row], [Concepto Anterior]],Conceptos_Analítica_contraloría[#All],5,0),"")</f>
        <v/>
      </c>
      <c r="F1667" t="str">
        <f>+IFERROR(VLOOKUP(Fact_Analitica[[#This Row], [Concepto Anterior]],Conceptos_Analítica_contraloría[#All],7,0),"")</f>
        <v/>
      </c>
      <c r="I1667" t="str">
        <f>+IFERROR(VLOOKUP(D1667,Conceptos_Analítica_contraloría[#All],2,0),"")</f>
        <v/>
      </c>
      <c r="J1667" s="84" t="str">
        <f>+IFERROR(VLOOKUP(D1667,Conceptos_Analítica_contraloría[#All],3,0),"")</f>
        <v/>
      </c>
    </row>
    <row r="1668" spans="3:10" ht="18.75" customHeight="1" x14ac:dyDescent="0.35">
      <c r="C1668" s="100" t="str">
        <f>IF(OR(Fact_Analitica[[#This Row], [Año]]="",Fact_Analitica[[#This Row], [Mes]]=""),"",DATE(A1668,MATCH(B1668,{"enero","febrero","marzo","abril","mayo","junio","julio","agosto","septiembre","octubre","noviembre","diciembre"},0)+1,0))</f>
        <v/>
      </c>
      <c r="E1668" t="str">
        <f>+IFERROR(VLOOKUP(Fact_Analitica[[#This Row], [Concepto Anterior]],Conceptos_Analítica_contraloría[#All],5,0),"")</f>
        <v/>
      </c>
      <c r="F1668" t="str">
        <f>+IFERROR(VLOOKUP(Fact_Analitica[[#This Row], [Concepto Anterior]],Conceptos_Analítica_contraloría[#All],7,0),"")</f>
        <v/>
      </c>
      <c r="I1668" t="str">
        <f>+IFERROR(VLOOKUP(D1668,Conceptos_Analítica_contraloría[#All],2,0),"")</f>
        <v/>
      </c>
      <c r="J1668" s="84" t="str">
        <f>+IFERROR(VLOOKUP(D1668,Conceptos_Analítica_contraloría[#All],3,0),"")</f>
        <v/>
      </c>
    </row>
    <row r="1669" spans="3:10" ht="18.75" customHeight="1" x14ac:dyDescent="0.35">
      <c r="C1669" s="100" t="str">
        <f>IF(OR(Fact_Analitica[[#This Row], [Año]]="",Fact_Analitica[[#This Row], [Mes]]=""),"",DATE(A1669,MATCH(B1669,{"enero","febrero","marzo","abril","mayo","junio","julio","agosto","septiembre","octubre","noviembre","diciembre"},0)+1,0))</f>
        <v/>
      </c>
      <c r="E1669" t="str">
        <f>+IFERROR(VLOOKUP(Fact_Analitica[[#This Row], [Concepto Anterior]],Conceptos_Analítica_contraloría[#All],5,0),"")</f>
        <v/>
      </c>
      <c r="F1669" t="str">
        <f>+IFERROR(VLOOKUP(Fact_Analitica[[#This Row], [Concepto Anterior]],Conceptos_Analítica_contraloría[#All],7,0),"")</f>
        <v/>
      </c>
      <c r="I1669" t="str">
        <f>+IFERROR(VLOOKUP(D1669,Conceptos_Analítica_contraloría[#All],2,0),"")</f>
        <v/>
      </c>
      <c r="J1669" s="84" t="str">
        <f>+IFERROR(VLOOKUP(D1669,Conceptos_Analítica_contraloría[#All],3,0),"")</f>
        <v/>
      </c>
    </row>
    <row r="1670" spans="3:10" ht="18.75" customHeight="1" x14ac:dyDescent="0.35">
      <c r="C1670" s="100" t="str">
        <f>IF(OR(Fact_Analitica[[#This Row], [Año]]="",Fact_Analitica[[#This Row], [Mes]]=""),"",DATE(A1670,MATCH(B1670,{"enero","febrero","marzo","abril","mayo","junio","julio","agosto","septiembre","octubre","noviembre","diciembre"},0)+1,0))</f>
        <v/>
      </c>
      <c r="E1670" t="str">
        <f>+IFERROR(VLOOKUP(Fact_Analitica[[#This Row], [Concepto Anterior]],Conceptos_Analítica_contraloría[#All],5,0),"")</f>
        <v/>
      </c>
      <c r="F1670" t="str">
        <f>+IFERROR(VLOOKUP(Fact_Analitica[[#This Row], [Concepto Anterior]],Conceptos_Analítica_contraloría[#All],7,0),"")</f>
        <v/>
      </c>
      <c r="I1670" t="str">
        <f>+IFERROR(VLOOKUP(D1670,Conceptos_Analítica_contraloría[#All],2,0),"")</f>
        <v/>
      </c>
      <c r="J1670" s="84" t="str">
        <f>+IFERROR(VLOOKUP(D1670,Conceptos_Analítica_contraloría[#All],3,0),"")</f>
        <v/>
      </c>
    </row>
    <row r="1671" spans="3:10" ht="18.75" customHeight="1" x14ac:dyDescent="0.35">
      <c r="C1671" s="100" t="str">
        <f>IF(OR(Fact_Analitica[[#This Row], [Año]]="",Fact_Analitica[[#This Row], [Mes]]=""),"",DATE(A1671,MATCH(B1671,{"enero","febrero","marzo","abril","mayo","junio","julio","agosto","septiembre","octubre","noviembre","diciembre"},0)+1,0))</f>
        <v/>
      </c>
      <c r="E1671" t="str">
        <f>+IFERROR(VLOOKUP(Fact_Analitica[[#This Row], [Concepto Anterior]],Conceptos_Analítica_contraloría[#All],5,0),"")</f>
        <v/>
      </c>
      <c r="F1671" t="str">
        <f>+IFERROR(VLOOKUP(Fact_Analitica[[#This Row], [Concepto Anterior]],Conceptos_Analítica_contraloría[#All],7,0),"")</f>
        <v/>
      </c>
      <c r="I1671" t="str">
        <f>+IFERROR(VLOOKUP(D1671,Conceptos_Analítica_contraloría[#All],2,0),"")</f>
        <v/>
      </c>
      <c r="J1671" s="84" t="str">
        <f>+IFERROR(VLOOKUP(D1671,Conceptos_Analítica_contraloría[#All],3,0),"")</f>
        <v/>
      </c>
    </row>
    <row r="1672" spans="3:10" ht="18.75" customHeight="1" x14ac:dyDescent="0.35">
      <c r="C1672" s="100" t="str">
        <f>IF(OR(Fact_Analitica[[#This Row], [Año]]="",Fact_Analitica[[#This Row], [Mes]]=""),"",DATE(A1672,MATCH(B1672,{"enero","febrero","marzo","abril","mayo","junio","julio","agosto","septiembre","octubre","noviembre","diciembre"},0)+1,0))</f>
        <v/>
      </c>
      <c r="E1672" t="str">
        <f>+IFERROR(VLOOKUP(Fact_Analitica[[#This Row], [Concepto Anterior]],Conceptos_Analítica_contraloría[#All],5,0),"")</f>
        <v/>
      </c>
      <c r="F1672" t="str">
        <f>+IFERROR(VLOOKUP(Fact_Analitica[[#This Row], [Concepto Anterior]],Conceptos_Analítica_contraloría[#All],7,0),"")</f>
        <v/>
      </c>
      <c r="I1672" t="str">
        <f>+IFERROR(VLOOKUP(D1672,Conceptos_Analítica_contraloría[#All],2,0),"")</f>
        <v/>
      </c>
      <c r="J1672" s="84" t="str">
        <f>+IFERROR(VLOOKUP(D1672,Conceptos_Analítica_contraloría[#All],3,0),"")</f>
        <v/>
      </c>
    </row>
    <row r="1673" spans="3:10" ht="18.75" customHeight="1" x14ac:dyDescent="0.35">
      <c r="C1673" s="100" t="str">
        <f>IF(OR(Fact_Analitica[[#This Row], [Año]]="",Fact_Analitica[[#This Row], [Mes]]=""),"",DATE(A1673,MATCH(B1673,{"enero","febrero","marzo","abril","mayo","junio","julio","agosto","septiembre","octubre","noviembre","diciembre"},0)+1,0))</f>
        <v/>
      </c>
      <c r="E1673" t="str">
        <f>+IFERROR(VLOOKUP(Fact_Analitica[[#This Row], [Concepto Anterior]],Conceptos_Analítica_contraloría[#All],5,0),"")</f>
        <v/>
      </c>
      <c r="F1673" t="str">
        <f>+IFERROR(VLOOKUP(Fact_Analitica[[#This Row], [Concepto Anterior]],Conceptos_Analítica_contraloría[#All],7,0),"")</f>
        <v/>
      </c>
      <c r="I1673" t="str">
        <f>+IFERROR(VLOOKUP(D1673,Conceptos_Analítica_contraloría[#All],2,0),"")</f>
        <v/>
      </c>
      <c r="J1673" s="84" t="str">
        <f>+IFERROR(VLOOKUP(D1673,Conceptos_Analítica_contraloría[#All],3,0),"")</f>
        <v/>
      </c>
    </row>
    <row r="1674" spans="3:10" ht="18.75" customHeight="1" x14ac:dyDescent="0.35">
      <c r="C1674" s="100" t="str">
        <f>IF(OR(Fact_Analitica[[#This Row], [Año]]="",Fact_Analitica[[#This Row], [Mes]]=""),"",DATE(A1674,MATCH(B1674,{"enero","febrero","marzo","abril","mayo","junio","julio","agosto","septiembre","octubre","noviembre","diciembre"},0)+1,0))</f>
        <v/>
      </c>
      <c r="E1674" t="str">
        <f>+IFERROR(VLOOKUP(Fact_Analitica[[#This Row], [Concepto Anterior]],Conceptos_Analítica_contraloría[#All],5,0),"")</f>
        <v/>
      </c>
      <c r="F1674" t="str">
        <f>+IFERROR(VLOOKUP(Fact_Analitica[[#This Row], [Concepto Anterior]],Conceptos_Analítica_contraloría[#All],7,0),"")</f>
        <v/>
      </c>
      <c r="I1674" t="str">
        <f>+IFERROR(VLOOKUP(D1674,Conceptos_Analítica_contraloría[#All],2,0),"")</f>
        <v/>
      </c>
      <c r="J1674" s="84" t="str">
        <f>+IFERROR(VLOOKUP(D1674,Conceptos_Analítica_contraloría[#All],3,0),"")</f>
        <v/>
      </c>
    </row>
    <row r="1675" spans="3:10" ht="18.75" customHeight="1" x14ac:dyDescent="0.35">
      <c r="C1675" s="100" t="str">
        <f>IF(OR(Fact_Analitica[[#This Row], [Año]]="",Fact_Analitica[[#This Row], [Mes]]=""),"",DATE(A1675,MATCH(B1675,{"enero","febrero","marzo","abril","mayo","junio","julio","agosto","septiembre","octubre","noviembre","diciembre"},0)+1,0))</f>
        <v/>
      </c>
      <c r="E1675" t="str">
        <f>+IFERROR(VLOOKUP(Fact_Analitica[[#This Row], [Concepto Anterior]],Conceptos_Analítica_contraloría[#All],5,0),"")</f>
        <v/>
      </c>
      <c r="F1675" t="str">
        <f>+IFERROR(VLOOKUP(Fact_Analitica[[#This Row], [Concepto Anterior]],Conceptos_Analítica_contraloría[#All],7,0),"")</f>
        <v/>
      </c>
      <c r="I1675" t="str">
        <f>+IFERROR(VLOOKUP(D1675,Conceptos_Analítica_contraloría[#All],2,0),"")</f>
        <v/>
      </c>
      <c r="J1675" s="84" t="str">
        <f>+IFERROR(VLOOKUP(D1675,Conceptos_Analítica_contraloría[#All],3,0),"")</f>
        <v/>
      </c>
    </row>
    <row r="1676" spans="3:10" ht="18.75" customHeight="1" x14ac:dyDescent="0.35">
      <c r="C1676" s="100" t="str">
        <f>IF(OR(Fact_Analitica[[#This Row], [Año]]="",Fact_Analitica[[#This Row], [Mes]]=""),"",DATE(A1676,MATCH(B1676,{"enero","febrero","marzo","abril","mayo","junio","julio","agosto","septiembre","octubre","noviembre","diciembre"},0)+1,0))</f>
        <v/>
      </c>
      <c r="E1676" t="str">
        <f>+IFERROR(VLOOKUP(Fact_Analitica[[#This Row], [Concepto Anterior]],Conceptos_Analítica_contraloría[#All],5,0),"")</f>
        <v/>
      </c>
      <c r="F1676" t="str">
        <f>+IFERROR(VLOOKUP(Fact_Analitica[[#This Row], [Concepto Anterior]],Conceptos_Analítica_contraloría[#All],7,0),"")</f>
        <v/>
      </c>
      <c r="I1676" t="str">
        <f>+IFERROR(VLOOKUP(D1676,Conceptos_Analítica_contraloría[#All],2,0),"")</f>
        <v/>
      </c>
      <c r="J1676" s="84" t="str">
        <f>+IFERROR(VLOOKUP(D1676,Conceptos_Analítica_contraloría[#All],3,0),"")</f>
        <v/>
      </c>
    </row>
    <row r="1677" spans="3:10" ht="18.75" customHeight="1" x14ac:dyDescent="0.35">
      <c r="C1677" s="100" t="str">
        <f>IF(OR(Fact_Analitica[[#This Row], [Año]]="",Fact_Analitica[[#This Row], [Mes]]=""),"",DATE(A1677,MATCH(B1677,{"enero","febrero","marzo","abril","mayo","junio","julio","agosto","septiembre","octubre","noviembre","diciembre"},0)+1,0))</f>
        <v/>
      </c>
      <c r="E1677" t="str">
        <f>+IFERROR(VLOOKUP(Fact_Analitica[[#This Row], [Concepto Anterior]],Conceptos_Analítica_contraloría[#All],5,0),"")</f>
        <v/>
      </c>
      <c r="F1677" t="str">
        <f>+IFERROR(VLOOKUP(Fact_Analitica[[#This Row], [Concepto Anterior]],Conceptos_Analítica_contraloría[#All],7,0),"")</f>
        <v/>
      </c>
      <c r="I1677" t="str">
        <f>+IFERROR(VLOOKUP(D1677,Conceptos_Analítica_contraloría[#All],2,0),"")</f>
        <v/>
      </c>
      <c r="J1677" s="84" t="str">
        <f>+IFERROR(VLOOKUP(D1677,Conceptos_Analítica_contraloría[#All],3,0),"")</f>
        <v/>
      </c>
    </row>
    <row r="1678" spans="3:10" ht="18.75" customHeight="1" x14ac:dyDescent="0.35">
      <c r="C1678" s="100" t="str">
        <f>IF(OR(Fact_Analitica[[#This Row], [Año]]="",Fact_Analitica[[#This Row], [Mes]]=""),"",DATE(A1678,MATCH(B1678,{"enero","febrero","marzo","abril","mayo","junio","julio","agosto","septiembre","octubre","noviembre","diciembre"},0)+1,0))</f>
        <v/>
      </c>
      <c r="E1678" t="str">
        <f>+IFERROR(VLOOKUP(Fact_Analitica[[#This Row], [Concepto Anterior]],Conceptos_Analítica_contraloría[#All],5,0),"")</f>
        <v/>
      </c>
      <c r="F1678" t="str">
        <f>+IFERROR(VLOOKUP(Fact_Analitica[[#This Row], [Concepto Anterior]],Conceptos_Analítica_contraloría[#All],7,0),"")</f>
        <v/>
      </c>
      <c r="I1678" t="str">
        <f>+IFERROR(VLOOKUP(D1678,Conceptos_Analítica_contraloría[#All],2,0),"")</f>
        <v/>
      </c>
      <c r="J1678" s="84" t="str">
        <f>+IFERROR(VLOOKUP(D1678,Conceptos_Analítica_contraloría[#All],3,0),"")</f>
        <v/>
      </c>
    </row>
    <row r="1679" spans="3:10" ht="18.75" customHeight="1" x14ac:dyDescent="0.35">
      <c r="C1679" s="100" t="str">
        <f>IF(OR(Fact_Analitica[[#This Row], [Año]]="",Fact_Analitica[[#This Row], [Mes]]=""),"",DATE(A1679,MATCH(B1679,{"enero","febrero","marzo","abril","mayo","junio","julio","agosto","septiembre","octubre","noviembre","diciembre"},0)+1,0))</f>
        <v/>
      </c>
      <c r="E1679" t="str">
        <f>+IFERROR(VLOOKUP(Fact_Analitica[[#This Row], [Concepto Anterior]],Conceptos_Analítica_contraloría[#All],5,0),"")</f>
        <v/>
      </c>
      <c r="F1679" t="str">
        <f>+IFERROR(VLOOKUP(Fact_Analitica[[#This Row], [Concepto Anterior]],Conceptos_Analítica_contraloría[#All],7,0),"")</f>
        <v/>
      </c>
      <c r="I1679" t="str">
        <f>+IFERROR(VLOOKUP(D1679,Conceptos_Analítica_contraloría[#All],2,0),"")</f>
        <v/>
      </c>
      <c r="J1679" s="84" t="str">
        <f>+IFERROR(VLOOKUP(D1679,Conceptos_Analítica_contraloría[#All],3,0),"")</f>
        <v/>
      </c>
    </row>
    <row r="1680" spans="3:10" ht="18.75" customHeight="1" x14ac:dyDescent="0.35">
      <c r="C1680" s="100" t="str">
        <f>IF(OR(Fact_Analitica[[#This Row], [Año]]="",Fact_Analitica[[#This Row], [Mes]]=""),"",DATE(A1680,MATCH(B1680,{"enero","febrero","marzo","abril","mayo","junio","julio","agosto","septiembre","octubre","noviembre","diciembre"},0)+1,0))</f>
        <v/>
      </c>
      <c r="E1680" t="str">
        <f>+IFERROR(VLOOKUP(Fact_Analitica[[#This Row], [Concepto Anterior]],Conceptos_Analítica_contraloría[#All],5,0),"")</f>
        <v/>
      </c>
      <c r="F1680" t="str">
        <f>+IFERROR(VLOOKUP(Fact_Analitica[[#This Row], [Concepto Anterior]],Conceptos_Analítica_contraloría[#All],7,0),"")</f>
        <v/>
      </c>
      <c r="I1680" t="str">
        <f>+IFERROR(VLOOKUP(D1680,Conceptos_Analítica_contraloría[#All],2,0),"")</f>
        <v/>
      </c>
      <c r="J1680" s="84" t="str">
        <f>+IFERROR(VLOOKUP(D1680,Conceptos_Analítica_contraloría[#All],3,0),"")</f>
        <v/>
      </c>
    </row>
    <row r="1681" spans="3:10" ht="18.75" customHeight="1" x14ac:dyDescent="0.35">
      <c r="C1681" s="100" t="str">
        <f>IF(OR(Fact_Analitica[[#This Row], [Año]]="",Fact_Analitica[[#This Row], [Mes]]=""),"",DATE(A1681,MATCH(B1681,{"enero","febrero","marzo","abril","mayo","junio","julio","agosto","septiembre","octubre","noviembre","diciembre"},0)+1,0))</f>
        <v/>
      </c>
      <c r="E1681" t="str">
        <f>+IFERROR(VLOOKUP(Fact_Analitica[[#This Row], [Concepto Anterior]],Conceptos_Analítica_contraloría[#All],5,0),"")</f>
        <v/>
      </c>
      <c r="F1681" t="str">
        <f>+IFERROR(VLOOKUP(Fact_Analitica[[#This Row], [Concepto Anterior]],Conceptos_Analítica_contraloría[#All],7,0),"")</f>
        <v/>
      </c>
      <c r="I1681" t="str">
        <f>+IFERROR(VLOOKUP(D1681,Conceptos_Analítica_contraloría[#All],2,0),"")</f>
        <v/>
      </c>
      <c r="J1681" s="84" t="str">
        <f>+IFERROR(VLOOKUP(D1681,Conceptos_Analítica_contraloría[#All],3,0),"")</f>
        <v/>
      </c>
    </row>
    <row r="1682" spans="3:10" ht="18.75" customHeight="1" x14ac:dyDescent="0.35">
      <c r="C1682" s="100" t="str">
        <f>IF(OR(Fact_Analitica[[#This Row], [Año]]="",Fact_Analitica[[#This Row], [Mes]]=""),"",DATE(A1682,MATCH(B1682,{"enero","febrero","marzo","abril","mayo","junio","julio","agosto","septiembre","octubre","noviembre","diciembre"},0)+1,0))</f>
        <v/>
      </c>
      <c r="E1682" t="str">
        <f>+IFERROR(VLOOKUP(Fact_Analitica[[#This Row], [Concepto Anterior]],Conceptos_Analítica_contraloría[#All],5,0),"")</f>
        <v/>
      </c>
      <c r="F1682" t="str">
        <f>+IFERROR(VLOOKUP(Fact_Analitica[[#This Row], [Concepto Anterior]],Conceptos_Analítica_contraloría[#All],7,0),"")</f>
        <v/>
      </c>
      <c r="I1682" t="str">
        <f>+IFERROR(VLOOKUP(D1682,Conceptos_Analítica_contraloría[#All],2,0),"")</f>
        <v/>
      </c>
      <c r="J1682" s="84" t="str">
        <f>+IFERROR(VLOOKUP(D1682,Conceptos_Analítica_contraloría[#All],3,0),"")</f>
        <v/>
      </c>
    </row>
    <row r="1683" spans="3:10" ht="18.75" customHeight="1" x14ac:dyDescent="0.35">
      <c r="C1683" s="100" t="str">
        <f>IF(OR(Fact_Analitica[[#This Row], [Año]]="",Fact_Analitica[[#This Row], [Mes]]=""),"",DATE(A1683,MATCH(B1683,{"enero","febrero","marzo","abril","mayo","junio","julio","agosto","septiembre","octubre","noviembre","diciembre"},0)+1,0))</f>
        <v/>
      </c>
      <c r="E1683" t="str">
        <f>+IFERROR(VLOOKUP(Fact_Analitica[[#This Row], [Concepto Anterior]],Conceptos_Analítica_contraloría[#All],5,0),"")</f>
        <v/>
      </c>
      <c r="F1683" t="str">
        <f>+IFERROR(VLOOKUP(Fact_Analitica[[#This Row], [Concepto Anterior]],Conceptos_Analítica_contraloría[#All],7,0),"")</f>
        <v/>
      </c>
      <c r="I1683" t="str">
        <f>+IFERROR(VLOOKUP(D1683,Conceptos_Analítica_contraloría[#All],2,0),"")</f>
        <v/>
      </c>
      <c r="J1683" s="84" t="str">
        <f>+IFERROR(VLOOKUP(D1683,Conceptos_Analítica_contraloría[#All],3,0),"")</f>
        <v/>
      </c>
    </row>
    <row r="1684" spans="3:10" ht="18.75" customHeight="1" x14ac:dyDescent="0.35">
      <c r="C1684" s="100" t="str">
        <f>IF(OR(Fact_Analitica[[#This Row], [Año]]="",Fact_Analitica[[#This Row], [Mes]]=""),"",DATE(A1684,MATCH(B1684,{"enero","febrero","marzo","abril","mayo","junio","julio","agosto","septiembre","octubre","noviembre","diciembre"},0)+1,0))</f>
        <v/>
      </c>
      <c r="E1684" t="str">
        <f>+IFERROR(VLOOKUP(Fact_Analitica[[#This Row], [Concepto Anterior]],Conceptos_Analítica_contraloría[#All],5,0),"")</f>
        <v/>
      </c>
      <c r="F1684" t="str">
        <f>+IFERROR(VLOOKUP(Fact_Analitica[[#This Row], [Concepto Anterior]],Conceptos_Analítica_contraloría[#All],7,0),"")</f>
        <v/>
      </c>
      <c r="I1684" t="str">
        <f>+IFERROR(VLOOKUP(D1684,Conceptos_Analítica_contraloría[#All],2,0),"")</f>
        <v/>
      </c>
      <c r="J1684" s="84" t="str">
        <f>+IFERROR(VLOOKUP(D1684,Conceptos_Analítica_contraloría[#All],3,0),"")</f>
        <v/>
      </c>
    </row>
    <row r="1685" spans="3:10" ht="18.75" customHeight="1" x14ac:dyDescent="0.35">
      <c r="C1685" s="100" t="str">
        <f>IF(OR(Fact_Analitica[[#This Row], [Año]]="",Fact_Analitica[[#This Row], [Mes]]=""),"",DATE(A1685,MATCH(B1685,{"enero","febrero","marzo","abril","mayo","junio","julio","agosto","septiembre","octubre","noviembre","diciembre"},0)+1,0))</f>
        <v/>
      </c>
      <c r="E1685" t="str">
        <f>+IFERROR(VLOOKUP(Fact_Analitica[[#This Row], [Concepto Anterior]],Conceptos_Analítica_contraloría[#All],5,0),"")</f>
        <v/>
      </c>
      <c r="F1685" t="str">
        <f>+IFERROR(VLOOKUP(Fact_Analitica[[#This Row], [Concepto Anterior]],Conceptos_Analítica_contraloría[#All],7,0),"")</f>
        <v/>
      </c>
      <c r="I1685" t="str">
        <f>+IFERROR(VLOOKUP(D1685,Conceptos_Analítica_contraloría[#All],2,0),"")</f>
        <v/>
      </c>
      <c r="J1685" s="84" t="str">
        <f>+IFERROR(VLOOKUP(D1685,Conceptos_Analítica_contraloría[#All],3,0),"")</f>
        <v/>
      </c>
    </row>
    <row r="1686" spans="3:10" ht="18.75" customHeight="1" x14ac:dyDescent="0.35">
      <c r="C1686" s="100" t="str">
        <f>IF(OR(Fact_Analitica[[#This Row], [Año]]="",Fact_Analitica[[#This Row], [Mes]]=""),"",DATE(A1686,MATCH(B1686,{"enero","febrero","marzo","abril","mayo","junio","julio","agosto","septiembre","octubre","noviembre","diciembre"},0)+1,0))</f>
        <v/>
      </c>
      <c r="E1686" t="str">
        <f>+IFERROR(VLOOKUP(Fact_Analitica[[#This Row], [Concepto Anterior]],Conceptos_Analítica_contraloría[#All],5,0),"")</f>
        <v/>
      </c>
      <c r="F1686" t="str">
        <f>+IFERROR(VLOOKUP(Fact_Analitica[[#This Row], [Concepto Anterior]],Conceptos_Analítica_contraloría[#All],7,0),"")</f>
        <v/>
      </c>
      <c r="I1686" t="str">
        <f>+IFERROR(VLOOKUP(D1686,Conceptos_Analítica_contraloría[#All],2,0),"")</f>
        <v/>
      </c>
      <c r="J1686" s="84" t="str">
        <f>+IFERROR(VLOOKUP(D1686,Conceptos_Analítica_contraloría[#All],3,0),"")</f>
        <v/>
      </c>
    </row>
    <row r="1687" spans="3:10" ht="18.75" customHeight="1" x14ac:dyDescent="0.35">
      <c r="C1687" s="100" t="str">
        <f>IF(OR(Fact_Analitica[[#This Row], [Año]]="",Fact_Analitica[[#This Row], [Mes]]=""),"",DATE(A1687,MATCH(B1687,{"enero","febrero","marzo","abril","mayo","junio","julio","agosto","septiembre","octubre","noviembre","diciembre"},0)+1,0))</f>
        <v/>
      </c>
      <c r="E1687" t="str">
        <f>+IFERROR(VLOOKUP(Fact_Analitica[[#This Row], [Concepto Anterior]],Conceptos_Analítica_contraloría[#All],5,0),"")</f>
        <v/>
      </c>
      <c r="F1687" t="str">
        <f>+IFERROR(VLOOKUP(Fact_Analitica[[#This Row], [Concepto Anterior]],Conceptos_Analítica_contraloría[#All],7,0),"")</f>
        <v/>
      </c>
      <c r="I1687" t="str">
        <f>+IFERROR(VLOOKUP(D1687,Conceptos_Analítica_contraloría[#All],2,0),"")</f>
        <v/>
      </c>
      <c r="J1687" s="84" t="str">
        <f>+IFERROR(VLOOKUP(D1687,Conceptos_Analítica_contraloría[#All],3,0),"")</f>
        <v/>
      </c>
    </row>
    <row r="1688" spans="3:10" ht="18.75" customHeight="1" x14ac:dyDescent="0.35">
      <c r="C1688" s="100" t="str">
        <f>IF(OR(Fact_Analitica[[#This Row], [Año]]="",Fact_Analitica[[#This Row], [Mes]]=""),"",DATE(A1688,MATCH(B1688,{"enero","febrero","marzo","abril","mayo","junio","julio","agosto","septiembre","octubre","noviembre","diciembre"},0)+1,0))</f>
        <v/>
      </c>
      <c r="E1688" t="str">
        <f>+IFERROR(VLOOKUP(Fact_Analitica[[#This Row], [Concepto Anterior]],Conceptos_Analítica_contraloría[#All],5,0),"")</f>
        <v/>
      </c>
      <c r="F1688" t="str">
        <f>+IFERROR(VLOOKUP(Fact_Analitica[[#This Row], [Concepto Anterior]],Conceptos_Analítica_contraloría[#All],7,0),"")</f>
        <v/>
      </c>
      <c r="I1688" t="str">
        <f>+IFERROR(VLOOKUP(D1688,Conceptos_Analítica_contraloría[#All],2,0),"")</f>
        <v/>
      </c>
      <c r="J1688" s="84" t="str">
        <f>+IFERROR(VLOOKUP(D1688,Conceptos_Analítica_contraloría[#All],3,0),"")</f>
        <v/>
      </c>
    </row>
    <row r="1689" spans="3:10" ht="18.75" customHeight="1" x14ac:dyDescent="0.35">
      <c r="C1689" s="100" t="str">
        <f>IF(OR(Fact_Analitica[[#This Row], [Año]]="",Fact_Analitica[[#This Row], [Mes]]=""),"",DATE(A1689,MATCH(B1689,{"enero","febrero","marzo","abril","mayo","junio","julio","agosto","septiembre","octubre","noviembre","diciembre"},0)+1,0))</f>
        <v/>
      </c>
      <c r="E1689" t="str">
        <f>+IFERROR(VLOOKUP(Fact_Analitica[[#This Row], [Concepto Anterior]],Conceptos_Analítica_contraloría[#All],5,0),"")</f>
        <v/>
      </c>
      <c r="F1689" t="str">
        <f>+IFERROR(VLOOKUP(Fact_Analitica[[#This Row], [Concepto Anterior]],Conceptos_Analítica_contraloría[#All],7,0),"")</f>
        <v/>
      </c>
      <c r="I1689" t="str">
        <f>+IFERROR(VLOOKUP(D1689,Conceptos_Analítica_contraloría[#All],2,0),"")</f>
        <v/>
      </c>
      <c r="J1689" s="84" t="str">
        <f>+IFERROR(VLOOKUP(D1689,Conceptos_Analítica_contraloría[#All],3,0),"")</f>
        <v/>
      </c>
    </row>
    <row r="1690" spans="3:10" ht="18.75" customHeight="1" x14ac:dyDescent="0.35">
      <c r="C1690" s="100" t="str">
        <f>IF(OR(Fact_Analitica[[#This Row], [Año]]="",Fact_Analitica[[#This Row], [Mes]]=""),"",DATE(A1690,MATCH(B1690,{"enero","febrero","marzo","abril","mayo","junio","julio","agosto","septiembre","octubre","noviembre","diciembre"},0)+1,0))</f>
        <v/>
      </c>
      <c r="E1690" t="str">
        <f>+IFERROR(VLOOKUP(Fact_Analitica[[#This Row], [Concepto Anterior]],Conceptos_Analítica_contraloría[#All],5,0),"")</f>
        <v/>
      </c>
      <c r="F1690" t="str">
        <f>+IFERROR(VLOOKUP(Fact_Analitica[[#This Row], [Concepto Anterior]],Conceptos_Analítica_contraloría[#All],7,0),"")</f>
        <v/>
      </c>
      <c r="I1690" t="str">
        <f>+IFERROR(VLOOKUP(D1690,Conceptos_Analítica_contraloría[#All],2,0),"")</f>
        <v/>
      </c>
      <c r="J1690" s="84" t="str">
        <f>+IFERROR(VLOOKUP(D1690,Conceptos_Analítica_contraloría[#All],3,0),"")</f>
        <v/>
      </c>
    </row>
    <row r="1691" spans="3:10" ht="18.75" customHeight="1" x14ac:dyDescent="0.35">
      <c r="C1691" s="100" t="str">
        <f>IF(OR(Fact_Analitica[[#This Row], [Año]]="",Fact_Analitica[[#This Row], [Mes]]=""),"",DATE(A1691,MATCH(B1691,{"enero","febrero","marzo","abril","mayo","junio","julio","agosto","septiembre","octubre","noviembre","diciembre"},0)+1,0))</f>
        <v/>
      </c>
      <c r="E1691" t="str">
        <f>+IFERROR(VLOOKUP(Fact_Analitica[[#This Row], [Concepto Anterior]],Conceptos_Analítica_contraloría[#All],5,0),"")</f>
        <v/>
      </c>
      <c r="F1691" t="str">
        <f>+IFERROR(VLOOKUP(Fact_Analitica[[#This Row], [Concepto Anterior]],Conceptos_Analítica_contraloría[#All],7,0),"")</f>
        <v/>
      </c>
      <c r="I1691" t="str">
        <f>+IFERROR(VLOOKUP(D1691,Conceptos_Analítica_contraloría[#All],2,0),"")</f>
        <v/>
      </c>
      <c r="J1691" s="84" t="str">
        <f>+IFERROR(VLOOKUP(D1691,Conceptos_Analítica_contraloría[#All],3,0),"")</f>
        <v/>
      </c>
    </row>
    <row r="1692" spans="3:10" ht="18.75" customHeight="1" x14ac:dyDescent="0.35">
      <c r="C1692" s="100" t="str">
        <f>IF(OR(Fact_Analitica[[#This Row], [Año]]="",Fact_Analitica[[#This Row], [Mes]]=""),"",DATE(A1692,MATCH(B1692,{"enero","febrero","marzo","abril","mayo","junio","julio","agosto","septiembre","octubre","noviembre","diciembre"},0)+1,0))</f>
        <v/>
      </c>
      <c r="E1692" t="str">
        <f>+IFERROR(VLOOKUP(Fact_Analitica[[#This Row], [Concepto Anterior]],Conceptos_Analítica_contraloría[#All],5,0),"")</f>
        <v/>
      </c>
      <c r="F1692" t="str">
        <f>+IFERROR(VLOOKUP(Fact_Analitica[[#This Row], [Concepto Anterior]],Conceptos_Analítica_contraloría[#All],7,0),"")</f>
        <v/>
      </c>
      <c r="I1692" t="str">
        <f>+IFERROR(VLOOKUP(D1692,Conceptos_Analítica_contraloría[#All],2,0),"")</f>
        <v/>
      </c>
      <c r="J1692" s="84" t="str">
        <f>+IFERROR(VLOOKUP(D1692,Conceptos_Analítica_contraloría[#All],3,0),"")</f>
        <v/>
      </c>
    </row>
    <row r="1693" spans="3:10" ht="18.75" customHeight="1" x14ac:dyDescent="0.35">
      <c r="C1693" s="100" t="str">
        <f>IF(OR(Fact_Analitica[[#This Row], [Año]]="",Fact_Analitica[[#This Row], [Mes]]=""),"",DATE(A1693,MATCH(B1693,{"enero","febrero","marzo","abril","mayo","junio","julio","agosto","septiembre","octubre","noviembre","diciembre"},0)+1,0))</f>
        <v/>
      </c>
      <c r="E1693" t="str">
        <f>+IFERROR(VLOOKUP(Fact_Analitica[[#This Row], [Concepto Anterior]],Conceptos_Analítica_contraloría[#All],5,0),"")</f>
        <v/>
      </c>
      <c r="F1693" t="str">
        <f>+IFERROR(VLOOKUP(Fact_Analitica[[#This Row], [Concepto Anterior]],Conceptos_Analítica_contraloría[#All],7,0),"")</f>
        <v/>
      </c>
      <c r="I1693" t="str">
        <f>+IFERROR(VLOOKUP(D1693,Conceptos_Analítica_contraloría[#All],2,0),"")</f>
        <v/>
      </c>
      <c r="J1693" s="84" t="str">
        <f>+IFERROR(VLOOKUP(D1693,Conceptos_Analítica_contraloría[#All],3,0),"")</f>
        <v/>
      </c>
    </row>
    <row r="1694" spans="3:10" ht="18.75" customHeight="1" x14ac:dyDescent="0.35">
      <c r="C1694" s="100" t="str">
        <f>IF(OR(Fact_Analitica[[#This Row], [Año]]="",Fact_Analitica[[#This Row], [Mes]]=""),"",DATE(A1694,MATCH(B1694,{"enero","febrero","marzo","abril","mayo","junio","julio","agosto","septiembre","octubre","noviembre","diciembre"},0)+1,0))</f>
        <v/>
      </c>
      <c r="E1694" t="str">
        <f>+IFERROR(VLOOKUP(Fact_Analitica[[#This Row], [Concepto Anterior]],Conceptos_Analítica_contraloría[#All],5,0),"")</f>
        <v/>
      </c>
      <c r="F1694" t="str">
        <f>+IFERROR(VLOOKUP(Fact_Analitica[[#This Row], [Concepto Anterior]],Conceptos_Analítica_contraloría[#All],7,0),"")</f>
        <v/>
      </c>
      <c r="I1694" t="str">
        <f>+IFERROR(VLOOKUP(D1694,Conceptos_Analítica_contraloría[#All],2,0),"")</f>
        <v/>
      </c>
      <c r="J1694" s="84" t="str">
        <f>+IFERROR(VLOOKUP(D1694,Conceptos_Analítica_contraloría[#All],3,0),"")</f>
        <v/>
      </c>
    </row>
    <row r="1695" spans="3:10" ht="18.75" customHeight="1" x14ac:dyDescent="0.35">
      <c r="C1695" s="100" t="str">
        <f>IF(OR(Fact_Analitica[[#This Row], [Año]]="",Fact_Analitica[[#This Row], [Mes]]=""),"",DATE(A1695,MATCH(B1695,{"enero","febrero","marzo","abril","mayo","junio","julio","agosto","septiembre","octubre","noviembre","diciembre"},0)+1,0))</f>
        <v/>
      </c>
      <c r="E1695" t="str">
        <f>+IFERROR(VLOOKUP(Fact_Analitica[[#This Row], [Concepto Anterior]],Conceptos_Analítica_contraloría[#All],5,0),"")</f>
        <v/>
      </c>
      <c r="F1695" t="str">
        <f>+IFERROR(VLOOKUP(Fact_Analitica[[#This Row], [Concepto Anterior]],Conceptos_Analítica_contraloría[#All],7,0),"")</f>
        <v/>
      </c>
      <c r="I1695" t="str">
        <f>+IFERROR(VLOOKUP(D1695,Conceptos_Analítica_contraloría[#All],2,0),"")</f>
        <v/>
      </c>
      <c r="J1695" s="84" t="str">
        <f>+IFERROR(VLOOKUP(D1695,Conceptos_Analítica_contraloría[#All],3,0),"")</f>
        <v/>
      </c>
    </row>
    <row r="1696" spans="3:10" ht="18.75" customHeight="1" x14ac:dyDescent="0.35">
      <c r="C1696" s="100" t="str">
        <f>IF(OR(Fact_Analitica[[#This Row], [Año]]="",Fact_Analitica[[#This Row], [Mes]]=""),"",DATE(A1696,MATCH(B1696,{"enero","febrero","marzo","abril","mayo","junio","julio","agosto","septiembre","octubre","noviembre","diciembre"},0)+1,0))</f>
        <v/>
      </c>
      <c r="E1696" t="str">
        <f>+IFERROR(VLOOKUP(Fact_Analitica[[#This Row], [Concepto Anterior]],Conceptos_Analítica_contraloría[#All],5,0),"")</f>
        <v/>
      </c>
      <c r="F1696" t="str">
        <f>+IFERROR(VLOOKUP(Fact_Analitica[[#This Row], [Concepto Anterior]],Conceptos_Analítica_contraloría[#All],7,0),"")</f>
        <v/>
      </c>
      <c r="I1696" t="str">
        <f>+IFERROR(VLOOKUP(D1696,Conceptos_Analítica_contraloría[#All],2,0),"")</f>
        <v/>
      </c>
      <c r="J1696" s="84" t="str">
        <f>+IFERROR(VLOOKUP(D1696,Conceptos_Analítica_contraloría[#All],3,0),"")</f>
        <v/>
      </c>
    </row>
    <row r="1697" spans="3:10" ht="18.75" customHeight="1" x14ac:dyDescent="0.35">
      <c r="C1697" s="100" t="str">
        <f>IF(OR(Fact_Analitica[[#This Row], [Año]]="",Fact_Analitica[[#This Row], [Mes]]=""),"",DATE(A1697,MATCH(B1697,{"enero","febrero","marzo","abril","mayo","junio","julio","agosto","septiembre","octubre","noviembre","diciembre"},0)+1,0))</f>
        <v/>
      </c>
      <c r="E1697" t="str">
        <f>+IFERROR(VLOOKUP(Fact_Analitica[[#This Row], [Concepto Anterior]],Conceptos_Analítica_contraloría[#All],5,0),"")</f>
        <v/>
      </c>
      <c r="F1697" t="str">
        <f>+IFERROR(VLOOKUP(Fact_Analitica[[#This Row], [Concepto Anterior]],Conceptos_Analítica_contraloría[#All],7,0),"")</f>
        <v/>
      </c>
      <c r="I1697" t="str">
        <f>+IFERROR(VLOOKUP(D1697,Conceptos_Analítica_contraloría[#All],2,0),"")</f>
        <v/>
      </c>
      <c r="J1697" s="84" t="str">
        <f>+IFERROR(VLOOKUP(D1697,Conceptos_Analítica_contraloría[#All],3,0),"")</f>
        <v/>
      </c>
    </row>
    <row r="1698" spans="3:10" ht="18.75" customHeight="1" x14ac:dyDescent="0.35">
      <c r="C1698" s="100" t="str">
        <f>IF(OR(Fact_Analitica[[#This Row], [Año]]="",Fact_Analitica[[#This Row], [Mes]]=""),"",DATE(A1698,MATCH(B1698,{"enero","febrero","marzo","abril","mayo","junio","julio","agosto","septiembre","octubre","noviembre","diciembre"},0)+1,0))</f>
        <v/>
      </c>
      <c r="E1698" t="str">
        <f>+IFERROR(VLOOKUP(Fact_Analitica[[#This Row], [Concepto Anterior]],Conceptos_Analítica_contraloría[#All],5,0),"")</f>
        <v/>
      </c>
      <c r="F1698" t="str">
        <f>+IFERROR(VLOOKUP(Fact_Analitica[[#This Row], [Concepto Anterior]],Conceptos_Analítica_contraloría[#All],7,0),"")</f>
        <v/>
      </c>
      <c r="I1698" t="str">
        <f>+IFERROR(VLOOKUP(D1698,Conceptos_Analítica_contraloría[#All],2,0),"")</f>
        <v/>
      </c>
      <c r="J1698" s="84" t="str">
        <f>+IFERROR(VLOOKUP(D1698,Conceptos_Analítica_contraloría[#All],3,0),"")</f>
        <v/>
      </c>
    </row>
    <row r="1699" spans="3:10" ht="18.75" customHeight="1" x14ac:dyDescent="0.35">
      <c r="C1699" s="100" t="str">
        <f>IF(OR(Fact_Analitica[[#This Row], [Año]]="",Fact_Analitica[[#This Row], [Mes]]=""),"",DATE(A1699,MATCH(B1699,{"enero","febrero","marzo","abril","mayo","junio","julio","agosto","septiembre","octubre","noviembre","diciembre"},0)+1,0))</f>
        <v/>
      </c>
      <c r="E1699" t="str">
        <f>+IFERROR(VLOOKUP(Fact_Analitica[[#This Row], [Concepto Anterior]],Conceptos_Analítica_contraloría[#All],5,0),"")</f>
        <v/>
      </c>
      <c r="F1699" t="str">
        <f>+IFERROR(VLOOKUP(Fact_Analitica[[#This Row], [Concepto Anterior]],Conceptos_Analítica_contraloría[#All],7,0),"")</f>
        <v/>
      </c>
      <c r="I1699" t="str">
        <f>+IFERROR(VLOOKUP(D1699,Conceptos_Analítica_contraloría[#All],2,0),"")</f>
        <v/>
      </c>
      <c r="J1699" s="84" t="str">
        <f>+IFERROR(VLOOKUP(D1699,Conceptos_Analítica_contraloría[#All],3,0),"")</f>
        <v/>
      </c>
    </row>
    <row r="1700" spans="3:10" ht="18.75" customHeight="1" x14ac:dyDescent="0.35">
      <c r="C1700" s="100" t="str">
        <f>IF(OR(Fact_Analitica[[#This Row], [Año]]="",Fact_Analitica[[#This Row], [Mes]]=""),"",DATE(A1700,MATCH(B1700,{"enero","febrero","marzo","abril","mayo","junio","julio","agosto","septiembre","octubre","noviembre","diciembre"},0)+1,0))</f>
        <v/>
      </c>
      <c r="E1700" t="str">
        <f>+IFERROR(VLOOKUP(Fact_Analitica[[#This Row], [Concepto Anterior]],Conceptos_Analítica_contraloría[#All],5,0),"")</f>
        <v/>
      </c>
      <c r="F1700" t="str">
        <f>+IFERROR(VLOOKUP(Fact_Analitica[[#This Row], [Concepto Anterior]],Conceptos_Analítica_contraloría[#All],7,0),"")</f>
        <v/>
      </c>
      <c r="I1700" t="str">
        <f>+IFERROR(VLOOKUP(D1700,Conceptos_Analítica_contraloría[#All],2,0),"")</f>
        <v/>
      </c>
      <c r="J1700" s="84" t="str">
        <f>+IFERROR(VLOOKUP(D1700,Conceptos_Analítica_contraloría[#All],3,0),"")</f>
        <v/>
      </c>
    </row>
    <row r="1701" spans="3:10" ht="18.75" customHeight="1" x14ac:dyDescent="0.35">
      <c r="C1701" s="100" t="str">
        <f>IF(OR(Fact_Analitica[[#This Row], [Año]]="",Fact_Analitica[[#This Row], [Mes]]=""),"",DATE(A1701,MATCH(B1701,{"enero","febrero","marzo","abril","mayo","junio","julio","agosto","septiembre","octubre","noviembre","diciembre"},0)+1,0))</f>
        <v/>
      </c>
      <c r="E1701" t="str">
        <f>+IFERROR(VLOOKUP(Fact_Analitica[[#This Row], [Concepto Anterior]],Conceptos_Analítica_contraloría[#All],5,0),"")</f>
        <v/>
      </c>
      <c r="F1701" t="str">
        <f>+IFERROR(VLOOKUP(Fact_Analitica[[#This Row], [Concepto Anterior]],Conceptos_Analítica_contraloría[#All],7,0),"")</f>
        <v/>
      </c>
      <c r="I1701" t="str">
        <f>+IFERROR(VLOOKUP(D1701,Conceptos_Analítica_contraloría[#All],2,0),"")</f>
        <v/>
      </c>
      <c r="J1701" s="84" t="str">
        <f>+IFERROR(VLOOKUP(D1701,Conceptos_Analítica_contraloría[#All],3,0),"")</f>
        <v/>
      </c>
    </row>
    <row r="1702" spans="3:10" ht="18.75" customHeight="1" x14ac:dyDescent="0.35">
      <c r="C1702" s="100" t="str">
        <f>IF(OR(Fact_Analitica[[#This Row], [Año]]="",Fact_Analitica[[#This Row], [Mes]]=""),"",DATE(A1702,MATCH(B1702,{"enero","febrero","marzo","abril","mayo","junio","julio","agosto","septiembre","octubre","noviembre","diciembre"},0)+1,0))</f>
        <v/>
      </c>
      <c r="E1702" t="str">
        <f>+IFERROR(VLOOKUP(Fact_Analitica[[#This Row], [Concepto Anterior]],Conceptos_Analítica_contraloría[#All],5,0),"")</f>
        <v/>
      </c>
      <c r="F1702" t="str">
        <f>+IFERROR(VLOOKUP(Fact_Analitica[[#This Row], [Concepto Anterior]],Conceptos_Analítica_contraloría[#All],7,0),"")</f>
        <v/>
      </c>
      <c r="I1702" t="str">
        <f>+IFERROR(VLOOKUP(D1702,Conceptos_Analítica_contraloría[#All],2,0),"")</f>
        <v/>
      </c>
      <c r="J1702" s="84" t="str">
        <f>+IFERROR(VLOOKUP(D1702,Conceptos_Analítica_contraloría[#All],3,0),"")</f>
        <v/>
      </c>
    </row>
    <row r="1703" spans="3:10" ht="18.75" customHeight="1" x14ac:dyDescent="0.35">
      <c r="C1703" s="100" t="str">
        <f>IF(OR(Fact_Analitica[[#This Row], [Año]]="",Fact_Analitica[[#This Row], [Mes]]=""),"",DATE(A1703,MATCH(B1703,{"enero","febrero","marzo","abril","mayo","junio","julio","agosto","septiembre","octubre","noviembre","diciembre"},0)+1,0))</f>
        <v/>
      </c>
      <c r="E1703" t="str">
        <f>+IFERROR(VLOOKUP(Fact_Analitica[[#This Row], [Concepto Anterior]],Conceptos_Analítica_contraloría[#All],5,0),"")</f>
        <v/>
      </c>
      <c r="F1703" t="str">
        <f>+IFERROR(VLOOKUP(Fact_Analitica[[#This Row], [Concepto Anterior]],Conceptos_Analítica_contraloría[#All],7,0),"")</f>
        <v/>
      </c>
      <c r="I1703" t="str">
        <f>+IFERROR(VLOOKUP(D1703,Conceptos_Analítica_contraloría[#All],2,0),"")</f>
        <v/>
      </c>
      <c r="J1703" s="84" t="str">
        <f>+IFERROR(VLOOKUP(D1703,Conceptos_Analítica_contraloría[#All],3,0),"")</f>
        <v/>
      </c>
    </row>
    <row r="1704" spans="3:10" ht="18.75" customHeight="1" x14ac:dyDescent="0.35">
      <c r="C1704" s="100" t="str">
        <f>IF(OR(Fact_Analitica[[#This Row], [Año]]="",Fact_Analitica[[#This Row], [Mes]]=""),"",DATE(A1704,MATCH(B1704,{"enero","febrero","marzo","abril","mayo","junio","julio","agosto","septiembre","octubre","noviembre","diciembre"},0)+1,0))</f>
        <v/>
      </c>
      <c r="E1704" t="str">
        <f>+IFERROR(VLOOKUP(Fact_Analitica[[#This Row], [Concepto Anterior]],Conceptos_Analítica_contraloría[#All],5,0),"")</f>
        <v/>
      </c>
      <c r="F1704" t="str">
        <f>+IFERROR(VLOOKUP(Fact_Analitica[[#This Row], [Concepto Anterior]],Conceptos_Analítica_contraloría[#All],7,0),"")</f>
        <v/>
      </c>
      <c r="I1704" t="str">
        <f>+IFERROR(VLOOKUP(D1704,Conceptos_Analítica_contraloría[#All],2,0),"")</f>
        <v/>
      </c>
      <c r="J1704" s="84" t="str">
        <f>+IFERROR(VLOOKUP(D1704,Conceptos_Analítica_contraloría[#All],3,0),"")</f>
        <v/>
      </c>
    </row>
    <row r="1705" spans="3:10" ht="18.75" customHeight="1" x14ac:dyDescent="0.35">
      <c r="C1705" s="100" t="str">
        <f>IF(OR(Fact_Analitica[[#This Row], [Año]]="",Fact_Analitica[[#This Row], [Mes]]=""),"",DATE(A1705,MATCH(B1705,{"enero","febrero","marzo","abril","mayo","junio","julio","agosto","septiembre","octubre","noviembre","diciembre"},0)+1,0))</f>
        <v/>
      </c>
      <c r="E1705" t="str">
        <f>+IFERROR(VLOOKUP(Fact_Analitica[[#This Row], [Concepto Anterior]],Conceptos_Analítica_contraloría[#All],5,0),"")</f>
        <v/>
      </c>
      <c r="F1705" t="str">
        <f>+IFERROR(VLOOKUP(Fact_Analitica[[#This Row], [Concepto Anterior]],Conceptos_Analítica_contraloría[#All],7,0),"")</f>
        <v/>
      </c>
      <c r="I1705" t="str">
        <f>+IFERROR(VLOOKUP(D1705,Conceptos_Analítica_contraloría[#All],2,0),"")</f>
        <v/>
      </c>
      <c r="J1705" s="84" t="str">
        <f>+IFERROR(VLOOKUP(D1705,Conceptos_Analítica_contraloría[#All],3,0),"")</f>
        <v/>
      </c>
    </row>
    <row r="1706" spans="3:10" ht="18.75" customHeight="1" x14ac:dyDescent="0.35">
      <c r="C1706" s="100" t="str">
        <f>IF(OR(Fact_Analitica[[#This Row], [Año]]="",Fact_Analitica[[#This Row], [Mes]]=""),"",DATE(A1706,MATCH(B1706,{"enero","febrero","marzo","abril","mayo","junio","julio","agosto","septiembre","octubre","noviembre","diciembre"},0)+1,0))</f>
        <v/>
      </c>
      <c r="E1706" t="str">
        <f>+IFERROR(VLOOKUP(Fact_Analitica[[#This Row], [Concepto Anterior]],Conceptos_Analítica_contraloría[#All],5,0),"")</f>
        <v/>
      </c>
      <c r="F1706" t="str">
        <f>+IFERROR(VLOOKUP(Fact_Analitica[[#This Row], [Concepto Anterior]],Conceptos_Analítica_contraloría[#All],7,0),"")</f>
        <v/>
      </c>
      <c r="I1706" t="str">
        <f>+IFERROR(VLOOKUP(D1706,Conceptos_Analítica_contraloría[#All],2,0),"")</f>
        <v/>
      </c>
      <c r="J1706" s="84" t="str">
        <f>+IFERROR(VLOOKUP(D1706,Conceptos_Analítica_contraloría[#All],3,0),"")</f>
        <v/>
      </c>
    </row>
    <row r="1707" spans="3:10" ht="18.75" customHeight="1" x14ac:dyDescent="0.35">
      <c r="C1707" s="100" t="str">
        <f>IF(OR(Fact_Analitica[[#This Row], [Año]]="",Fact_Analitica[[#This Row], [Mes]]=""),"",DATE(A1707,MATCH(B1707,{"enero","febrero","marzo","abril","mayo","junio","julio","agosto","septiembre","octubre","noviembre","diciembre"},0)+1,0))</f>
        <v/>
      </c>
      <c r="E1707" t="str">
        <f>+IFERROR(VLOOKUP(Fact_Analitica[[#This Row], [Concepto Anterior]],Conceptos_Analítica_contraloría[#All],5,0),"")</f>
        <v/>
      </c>
      <c r="F1707" t="str">
        <f>+IFERROR(VLOOKUP(Fact_Analitica[[#This Row], [Concepto Anterior]],Conceptos_Analítica_contraloría[#All],7,0),"")</f>
        <v/>
      </c>
      <c r="I1707" t="str">
        <f>+IFERROR(VLOOKUP(D1707,Conceptos_Analítica_contraloría[#All],2,0),"")</f>
        <v/>
      </c>
      <c r="J1707" s="84" t="str">
        <f>+IFERROR(VLOOKUP(D1707,Conceptos_Analítica_contraloría[#All],3,0),"")</f>
        <v/>
      </c>
    </row>
    <row r="1708" spans="3:10" ht="18.75" customHeight="1" x14ac:dyDescent="0.35">
      <c r="C1708" s="100" t="str">
        <f>IF(OR(Fact_Analitica[[#This Row], [Año]]="",Fact_Analitica[[#This Row], [Mes]]=""),"",DATE(A1708,MATCH(B1708,{"enero","febrero","marzo","abril","mayo","junio","julio","agosto","septiembre","octubre","noviembre","diciembre"},0)+1,0))</f>
        <v/>
      </c>
      <c r="E1708" t="str">
        <f>+IFERROR(VLOOKUP(Fact_Analitica[[#This Row], [Concepto Anterior]],Conceptos_Analítica_contraloría[#All],5,0),"")</f>
        <v/>
      </c>
      <c r="F1708" t="str">
        <f>+IFERROR(VLOOKUP(Fact_Analitica[[#This Row], [Concepto Anterior]],Conceptos_Analítica_contraloría[#All],7,0),"")</f>
        <v/>
      </c>
      <c r="I1708" t="str">
        <f>+IFERROR(VLOOKUP(D1708,Conceptos_Analítica_contraloría[#All],2,0),"")</f>
        <v/>
      </c>
      <c r="J1708" s="84" t="str">
        <f>+IFERROR(VLOOKUP(D1708,Conceptos_Analítica_contraloría[#All],3,0),"")</f>
        <v/>
      </c>
    </row>
    <row r="1709" spans="3:10" ht="18.75" customHeight="1" x14ac:dyDescent="0.35">
      <c r="C1709" s="100" t="str">
        <f>IF(OR(Fact_Analitica[[#This Row], [Año]]="",Fact_Analitica[[#This Row], [Mes]]=""),"",DATE(A1709,MATCH(B1709,{"enero","febrero","marzo","abril","mayo","junio","julio","agosto","septiembre","octubre","noviembre","diciembre"},0)+1,0))</f>
        <v/>
      </c>
      <c r="E1709" t="str">
        <f>+IFERROR(VLOOKUP(Fact_Analitica[[#This Row], [Concepto Anterior]],Conceptos_Analítica_contraloría[#All],5,0),"")</f>
        <v/>
      </c>
      <c r="F1709" t="str">
        <f>+IFERROR(VLOOKUP(Fact_Analitica[[#This Row], [Concepto Anterior]],Conceptos_Analítica_contraloría[#All],7,0),"")</f>
        <v/>
      </c>
      <c r="I1709" t="str">
        <f>+IFERROR(VLOOKUP(D1709,Conceptos_Analítica_contraloría[#All],2,0),"")</f>
        <v/>
      </c>
      <c r="J1709" s="84" t="str">
        <f>+IFERROR(VLOOKUP(D1709,Conceptos_Analítica_contraloría[#All],3,0),"")</f>
        <v/>
      </c>
    </row>
    <row r="1710" spans="3:10" ht="18.75" customHeight="1" x14ac:dyDescent="0.35">
      <c r="C1710" s="100" t="str">
        <f>IF(OR(Fact_Analitica[[#This Row], [Año]]="",Fact_Analitica[[#This Row], [Mes]]=""),"",DATE(A1710,MATCH(B1710,{"enero","febrero","marzo","abril","mayo","junio","julio","agosto","septiembre","octubre","noviembre","diciembre"},0)+1,0))</f>
        <v/>
      </c>
      <c r="E1710" t="str">
        <f>+IFERROR(VLOOKUP(Fact_Analitica[[#This Row], [Concepto Anterior]],Conceptos_Analítica_contraloría[#All],5,0),"")</f>
        <v/>
      </c>
      <c r="F1710" t="str">
        <f>+IFERROR(VLOOKUP(Fact_Analitica[[#This Row], [Concepto Anterior]],Conceptos_Analítica_contraloría[#All],7,0),"")</f>
        <v/>
      </c>
      <c r="I1710" t="str">
        <f>+IFERROR(VLOOKUP(D1710,Conceptos_Analítica_contraloría[#All],2,0),"")</f>
        <v/>
      </c>
      <c r="J1710" s="84" t="str">
        <f>+IFERROR(VLOOKUP(D1710,Conceptos_Analítica_contraloría[#All],3,0),"")</f>
        <v/>
      </c>
    </row>
    <row r="1711" spans="3:10" ht="18.75" customHeight="1" x14ac:dyDescent="0.35">
      <c r="C1711" s="100" t="str">
        <f>IF(OR(Fact_Analitica[[#This Row], [Año]]="",Fact_Analitica[[#This Row], [Mes]]=""),"",DATE(A1711,MATCH(B1711,{"enero","febrero","marzo","abril","mayo","junio","julio","agosto","septiembre","octubre","noviembre","diciembre"},0)+1,0))</f>
        <v/>
      </c>
      <c r="E1711" t="str">
        <f>+IFERROR(VLOOKUP(Fact_Analitica[[#This Row], [Concepto Anterior]],Conceptos_Analítica_contraloría[#All],5,0),"")</f>
        <v/>
      </c>
      <c r="F1711" t="str">
        <f>+IFERROR(VLOOKUP(Fact_Analitica[[#This Row], [Concepto Anterior]],Conceptos_Analítica_contraloría[#All],7,0),"")</f>
        <v/>
      </c>
      <c r="I1711" t="str">
        <f>+IFERROR(VLOOKUP(D1711,Conceptos_Analítica_contraloría[#All],2,0),"")</f>
        <v/>
      </c>
      <c r="J1711" s="84" t="str">
        <f>+IFERROR(VLOOKUP(D1711,Conceptos_Analítica_contraloría[#All],3,0),"")</f>
        <v/>
      </c>
    </row>
    <row r="1712" spans="3:10" ht="18.75" customHeight="1" x14ac:dyDescent="0.35">
      <c r="C1712" s="100" t="str">
        <f>IF(OR(Fact_Analitica[[#This Row], [Año]]="",Fact_Analitica[[#This Row], [Mes]]=""),"",DATE(A1712,MATCH(B1712,{"enero","febrero","marzo","abril","mayo","junio","julio","agosto","septiembre","octubre","noviembre","diciembre"},0)+1,0))</f>
        <v/>
      </c>
      <c r="E1712" t="str">
        <f>+IFERROR(VLOOKUP(Fact_Analitica[[#This Row], [Concepto Anterior]],Conceptos_Analítica_contraloría[#All],5,0),"")</f>
        <v/>
      </c>
      <c r="F1712" t="str">
        <f>+IFERROR(VLOOKUP(Fact_Analitica[[#This Row], [Concepto Anterior]],Conceptos_Analítica_contraloría[#All],7,0),"")</f>
        <v/>
      </c>
      <c r="I1712" t="str">
        <f>+IFERROR(VLOOKUP(D1712,Conceptos_Analítica_contraloría[#All],2,0),"")</f>
        <v/>
      </c>
      <c r="J1712" s="84" t="str">
        <f>+IFERROR(VLOOKUP(D1712,Conceptos_Analítica_contraloría[#All],3,0),"")</f>
        <v/>
      </c>
    </row>
    <row r="1713" spans="3:10" ht="18.75" customHeight="1" x14ac:dyDescent="0.35">
      <c r="C1713" s="100" t="str">
        <f>IF(OR(Fact_Analitica[[#This Row], [Año]]="",Fact_Analitica[[#This Row], [Mes]]=""),"",DATE(A1713,MATCH(B1713,{"enero","febrero","marzo","abril","mayo","junio","julio","agosto","septiembre","octubre","noviembre","diciembre"},0)+1,0))</f>
        <v/>
      </c>
      <c r="E1713" t="str">
        <f>+IFERROR(VLOOKUP(Fact_Analitica[[#This Row], [Concepto Anterior]],Conceptos_Analítica_contraloría[#All],5,0),"")</f>
        <v/>
      </c>
      <c r="F1713" t="str">
        <f>+IFERROR(VLOOKUP(Fact_Analitica[[#This Row], [Concepto Anterior]],Conceptos_Analítica_contraloría[#All],7,0),"")</f>
        <v/>
      </c>
      <c r="I1713" t="str">
        <f>+IFERROR(VLOOKUP(D1713,Conceptos_Analítica_contraloría[#All],2,0),"")</f>
        <v/>
      </c>
      <c r="J1713" s="84" t="str">
        <f>+IFERROR(VLOOKUP(D1713,Conceptos_Analítica_contraloría[#All],3,0),"")</f>
        <v/>
      </c>
    </row>
    <row r="1714" spans="3:10" ht="18.75" customHeight="1" x14ac:dyDescent="0.35">
      <c r="C1714" s="100" t="str">
        <f>IF(OR(Fact_Analitica[[#This Row], [Año]]="",Fact_Analitica[[#This Row], [Mes]]=""),"",DATE(A1714,MATCH(B1714,{"enero","febrero","marzo","abril","mayo","junio","julio","agosto","septiembre","octubre","noviembre","diciembre"},0)+1,0))</f>
        <v/>
      </c>
      <c r="E1714" t="str">
        <f>+IFERROR(VLOOKUP(Fact_Analitica[[#This Row], [Concepto Anterior]],Conceptos_Analítica_contraloría[#All],5,0),"")</f>
        <v/>
      </c>
      <c r="F1714" t="str">
        <f>+IFERROR(VLOOKUP(Fact_Analitica[[#This Row], [Concepto Anterior]],Conceptos_Analítica_contraloría[#All],7,0),"")</f>
        <v/>
      </c>
      <c r="I1714" t="str">
        <f>+IFERROR(VLOOKUP(D1714,Conceptos_Analítica_contraloría[#All],2,0),"")</f>
        <v/>
      </c>
      <c r="J1714" s="84" t="str">
        <f>+IFERROR(VLOOKUP(D1714,Conceptos_Analítica_contraloría[#All],3,0),"")</f>
        <v/>
      </c>
    </row>
    <row r="1715" spans="3:10" ht="18.75" customHeight="1" x14ac:dyDescent="0.35">
      <c r="C1715" s="100" t="str">
        <f>IF(OR(Fact_Analitica[[#This Row], [Año]]="",Fact_Analitica[[#This Row], [Mes]]=""),"",DATE(A1715,MATCH(B1715,{"enero","febrero","marzo","abril","mayo","junio","julio","agosto","septiembre","octubre","noviembre","diciembre"},0)+1,0))</f>
        <v/>
      </c>
      <c r="E1715" t="str">
        <f>+IFERROR(VLOOKUP(Fact_Analitica[[#This Row], [Concepto Anterior]],Conceptos_Analítica_contraloría[#All],5,0),"")</f>
        <v/>
      </c>
      <c r="F1715" t="str">
        <f>+IFERROR(VLOOKUP(Fact_Analitica[[#This Row], [Concepto Anterior]],Conceptos_Analítica_contraloría[#All],7,0),"")</f>
        <v/>
      </c>
      <c r="I1715" t="str">
        <f>+IFERROR(VLOOKUP(D1715,Conceptos_Analítica_contraloría[#All],2,0),"")</f>
        <v/>
      </c>
      <c r="J1715" s="84" t="str">
        <f>+IFERROR(VLOOKUP(D1715,Conceptos_Analítica_contraloría[#All],3,0),"")</f>
        <v/>
      </c>
    </row>
    <row r="1716" spans="3:10" ht="18.75" customHeight="1" x14ac:dyDescent="0.35">
      <c r="C1716" s="100" t="str">
        <f>IF(OR(Fact_Analitica[[#This Row], [Año]]="",Fact_Analitica[[#This Row], [Mes]]=""),"",DATE(A1716,MATCH(B1716,{"enero","febrero","marzo","abril","mayo","junio","julio","agosto","septiembre","octubre","noviembre","diciembre"},0)+1,0))</f>
        <v/>
      </c>
      <c r="E1716" t="str">
        <f>+IFERROR(VLOOKUP(Fact_Analitica[[#This Row], [Concepto Anterior]],Conceptos_Analítica_contraloría[#All],5,0),"")</f>
        <v/>
      </c>
      <c r="F1716" t="str">
        <f>+IFERROR(VLOOKUP(Fact_Analitica[[#This Row], [Concepto Anterior]],Conceptos_Analítica_contraloría[#All],7,0),"")</f>
        <v/>
      </c>
      <c r="I1716" t="str">
        <f>+IFERROR(VLOOKUP(D1716,Conceptos_Analítica_contraloría[#All],2,0),"")</f>
        <v/>
      </c>
      <c r="J1716" s="84" t="str">
        <f>+IFERROR(VLOOKUP(D1716,Conceptos_Analítica_contraloría[#All],3,0),"")</f>
        <v/>
      </c>
    </row>
    <row r="1717" spans="3:10" ht="18.75" customHeight="1" x14ac:dyDescent="0.35">
      <c r="C1717" s="100" t="str">
        <f>IF(OR(Fact_Analitica[[#This Row], [Año]]="",Fact_Analitica[[#This Row], [Mes]]=""),"",DATE(A1717,MATCH(B1717,{"enero","febrero","marzo","abril","mayo","junio","julio","agosto","septiembre","octubre","noviembre","diciembre"},0)+1,0))</f>
        <v/>
      </c>
      <c r="E1717" t="str">
        <f>+IFERROR(VLOOKUP(Fact_Analitica[[#This Row], [Concepto Anterior]],Conceptos_Analítica_contraloría[#All],5,0),"")</f>
        <v/>
      </c>
      <c r="F1717" t="str">
        <f>+IFERROR(VLOOKUP(Fact_Analitica[[#This Row], [Concepto Anterior]],Conceptos_Analítica_contraloría[#All],7,0),"")</f>
        <v/>
      </c>
      <c r="I1717" t="str">
        <f>+IFERROR(VLOOKUP(D1717,Conceptos_Analítica_contraloría[#All],2,0),"")</f>
        <v/>
      </c>
      <c r="J1717" s="84" t="str">
        <f>+IFERROR(VLOOKUP(D1717,Conceptos_Analítica_contraloría[#All],3,0),"")</f>
        <v/>
      </c>
    </row>
    <row r="1718" spans="3:10" ht="18.75" customHeight="1" x14ac:dyDescent="0.35">
      <c r="C1718" s="100" t="str">
        <f>IF(OR(Fact_Analitica[[#This Row], [Año]]="",Fact_Analitica[[#This Row], [Mes]]=""),"",DATE(A1718,MATCH(B1718,{"enero","febrero","marzo","abril","mayo","junio","julio","agosto","septiembre","octubre","noviembre","diciembre"},0)+1,0))</f>
        <v/>
      </c>
      <c r="E1718" t="str">
        <f>+IFERROR(VLOOKUP(Fact_Analitica[[#This Row], [Concepto Anterior]],Conceptos_Analítica_contraloría[#All],5,0),"")</f>
        <v/>
      </c>
      <c r="F1718" t="str">
        <f>+IFERROR(VLOOKUP(Fact_Analitica[[#This Row], [Concepto Anterior]],Conceptos_Analítica_contraloría[#All],7,0),"")</f>
        <v/>
      </c>
      <c r="I1718" t="str">
        <f>+IFERROR(VLOOKUP(D1718,Conceptos_Analítica_contraloría[#All],2,0),"")</f>
        <v/>
      </c>
      <c r="J1718" s="84" t="str">
        <f>+IFERROR(VLOOKUP(D1718,Conceptos_Analítica_contraloría[#All],3,0),"")</f>
        <v/>
      </c>
    </row>
    <row r="1719" spans="3:10" ht="18.75" customHeight="1" x14ac:dyDescent="0.35">
      <c r="C1719" s="100" t="str">
        <f>IF(OR(Fact_Analitica[[#This Row], [Año]]="",Fact_Analitica[[#This Row], [Mes]]=""),"",DATE(A1719,MATCH(B1719,{"enero","febrero","marzo","abril","mayo","junio","julio","agosto","septiembre","octubre","noviembre","diciembre"},0)+1,0))</f>
        <v/>
      </c>
      <c r="E1719" t="str">
        <f>+IFERROR(VLOOKUP(Fact_Analitica[[#This Row], [Concepto Anterior]],Conceptos_Analítica_contraloría[#All],5,0),"")</f>
        <v/>
      </c>
      <c r="F1719" t="str">
        <f>+IFERROR(VLOOKUP(Fact_Analitica[[#This Row], [Concepto Anterior]],Conceptos_Analítica_contraloría[#All],7,0),"")</f>
        <v/>
      </c>
      <c r="I1719" t="str">
        <f>+IFERROR(VLOOKUP(D1719,Conceptos_Analítica_contraloría[#All],2,0),"")</f>
        <v/>
      </c>
      <c r="J1719" s="84" t="str">
        <f>+IFERROR(VLOOKUP(D1719,Conceptos_Analítica_contraloría[#All],3,0),"")</f>
        <v/>
      </c>
    </row>
    <row r="1720" spans="3:10" ht="18.75" customHeight="1" x14ac:dyDescent="0.35">
      <c r="C1720" s="100" t="str">
        <f>IF(OR(Fact_Analitica[[#This Row], [Año]]="",Fact_Analitica[[#This Row], [Mes]]=""),"",DATE(A1720,MATCH(B1720,{"enero","febrero","marzo","abril","mayo","junio","julio","agosto","septiembre","octubre","noviembre","diciembre"},0)+1,0))</f>
        <v/>
      </c>
      <c r="E1720" t="str">
        <f>+IFERROR(VLOOKUP(Fact_Analitica[[#This Row], [Concepto Anterior]],Conceptos_Analítica_contraloría[#All],5,0),"")</f>
        <v/>
      </c>
      <c r="F1720" t="str">
        <f>+IFERROR(VLOOKUP(Fact_Analitica[[#This Row], [Concepto Anterior]],Conceptos_Analítica_contraloría[#All],7,0),"")</f>
        <v/>
      </c>
      <c r="I1720" t="str">
        <f>+IFERROR(VLOOKUP(D1720,Conceptos_Analítica_contraloría[#All],2,0),"")</f>
        <v/>
      </c>
      <c r="J1720" s="84" t="str">
        <f>+IFERROR(VLOOKUP(D1720,Conceptos_Analítica_contraloría[#All],3,0),"")</f>
        <v/>
      </c>
    </row>
    <row r="1721" spans="3:10" ht="18.75" customHeight="1" x14ac:dyDescent="0.35">
      <c r="C1721" s="100" t="str">
        <f>IF(OR(Fact_Analitica[[#This Row], [Año]]="",Fact_Analitica[[#This Row], [Mes]]=""),"",DATE(A1721,MATCH(B1721,{"enero","febrero","marzo","abril","mayo","junio","julio","agosto","septiembre","octubre","noviembre","diciembre"},0)+1,0))</f>
        <v/>
      </c>
      <c r="E1721" t="str">
        <f>+IFERROR(VLOOKUP(Fact_Analitica[[#This Row], [Concepto Anterior]],Conceptos_Analítica_contraloría[#All],5,0),"")</f>
        <v/>
      </c>
      <c r="F1721" t="str">
        <f>+IFERROR(VLOOKUP(Fact_Analitica[[#This Row], [Concepto Anterior]],Conceptos_Analítica_contraloría[#All],7,0),"")</f>
        <v/>
      </c>
      <c r="I1721" t="str">
        <f>+IFERROR(VLOOKUP(D1721,Conceptos_Analítica_contraloría[#All],2,0),"")</f>
        <v/>
      </c>
      <c r="J1721" s="84" t="str">
        <f>+IFERROR(VLOOKUP(D1721,Conceptos_Analítica_contraloría[#All],3,0),"")</f>
        <v/>
      </c>
    </row>
    <row r="1722" spans="3:10" ht="18.75" customHeight="1" x14ac:dyDescent="0.35">
      <c r="C1722" s="100" t="str">
        <f>IF(OR(Fact_Analitica[[#This Row], [Año]]="",Fact_Analitica[[#This Row], [Mes]]=""),"",DATE(A1722,MATCH(B1722,{"enero","febrero","marzo","abril","mayo","junio","julio","agosto","septiembre","octubre","noviembre","diciembre"},0)+1,0))</f>
        <v/>
      </c>
      <c r="E1722" t="str">
        <f>+IFERROR(VLOOKUP(Fact_Analitica[[#This Row], [Concepto Anterior]],Conceptos_Analítica_contraloría[#All],5,0),"")</f>
        <v/>
      </c>
      <c r="F1722" t="str">
        <f>+IFERROR(VLOOKUP(Fact_Analitica[[#This Row], [Concepto Anterior]],Conceptos_Analítica_contraloría[#All],7,0),"")</f>
        <v/>
      </c>
      <c r="I1722" t="str">
        <f>+IFERROR(VLOOKUP(D1722,Conceptos_Analítica_contraloría[#All],2,0),"")</f>
        <v/>
      </c>
      <c r="J1722" s="84" t="str">
        <f>+IFERROR(VLOOKUP(D1722,Conceptos_Analítica_contraloría[#All],3,0),"")</f>
        <v/>
      </c>
    </row>
    <row r="1723" spans="3:10" ht="18.75" customHeight="1" x14ac:dyDescent="0.35">
      <c r="C1723" s="100" t="str">
        <f>IF(OR(Fact_Analitica[[#This Row], [Año]]="",Fact_Analitica[[#This Row], [Mes]]=""),"",DATE(A1723,MATCH(B1723,{"enero","febrero","marzo","abril","mayo","junio","julio","agosto","septiembre","octubre","noviembre","diciembre"},0)+1,0))</f>
        <v/>
      </c>
      <c r="E1723" t="str">
        <f>+IFERROR(VLOOKUP(Fact_Analitica[[#This Row], [Concepto Anterior]],Conceptos_Analítica_contraloría[#All],5,0),"")</f>
        <v/>
      </c>
      <c r="F1723" t="str">
        <f>+IFERROR(VLOOKUP(Fact_Analitica[[#This Row], [Concepto Anterior]],Conceptos_Analítica_contraloría[#All],7,0),"")</f>
        <v/>
      </c>
      <c r="I1723" t="str">
        <f>+IFERROR(VLOOKUP(D1723,Conceptos_Analítica_contraloría[#All],2,0),"")</f>
        <v/>
      </c>
      <c r="J1723" s="84" t="str">
        <f>+IFERROR(VLOOKUP(D1723,Conceptos_Analítica_contraloría[#All],3,0),"")</f>
        <v/>
      </c>
    </row>
    <row r="1724" spans="3:10" ht="18.75" customHeight="1" x14ac:dyDescent="0.35">
      <c r="C1724" s="100" t="str">
        <f>IF(OR(Fact_Analitica[[#This Row], [Año]]="",Fact_Analitica[[#This Row], [Mes]]=""),"",DATE(A1724,MATCH(B1724,{"enero","febrero","marzo","abril","mayo","junio","julio","agosto","septiembre","octubre","noviembre","diciembre"},0)+1,0))</f>
        <v/>
      </c>
      <c r="E1724" t="str">
        <f>+IFERROR(VLOOKUP(Fact_Analitica[[#This Row], [Concepto Anterior]],Conceptos_Analítica_contraloría[#All],5,0),"")</f>
        <v/>
      </c>
      <c r="F1724" t="str">
        <f>+IFERROR(VLOOKUP(Fact_Analitica[[#This Row], [Concepto Anterior]],Conceptos_Analítica_contraloría[#All],7,0),"")</f>
        <v/>
      </c>
      <c r="I1724" t="str">
        <f>+IFERROR(VLOOKUP(D1724,Conceptos_Analítica_contraloría[#All],2,0),"")</f>
        <v/>
      </c>
      <c r="J1724" s="84" t="str">
        <f>+IFERROR(VLOOKUP(D1724,Conceptos_Analítica_contraloría[#All],3,0),"")</f>
        <v/>
      </c>
    </row>
    <row r="1725" spans="3:10" ht="18.75" customHeight="1" x14ac:dyDescent="0.35">
      <c r="C1725" s="100" t="str">
        <f>IF(OR(Fact_Analitica[[#This Row], [Año]]="",Fact_Analitica[[#This Row], [Mes]]=""),"",DATE(A1725,MATCH(B1725,{"enero","febrero","marzo","abril","mayo","junio","julio","agosto","septiembre","octubre","noviembre","diciembre"},0)+1,0))</f>
        <v/>
      </c>
      <c r="E1725" t="str">
        <f>+IFERROR(VLOOKUP(Fact_Analitica[[#This Row], [Concepto Anterior]],Conceptos_Analítica_contraloría[#All],5,0),"")</f>
        <v/>
      </c>
      <c r="F1725" t="str">
        <f>+IFERROR(VLOOKUP(Fact_Analitica[[#This Row], [Concepto Anterior]],Conceptos_Analítica_contraloría[#All],7,0),"")</f>
        <v/>
      </c>
      <c r="I1725" t="str">
        <f>+IFERROR(VLOOKUP(D1725,Conceptos_Analítica_contraloría[#All],2,0),"")</f>
        <v/>
      </c>
      <c r="J1725" s="84" t="str">
        <f>+IFERROR(VLOOKUP(D1725,Conceptos_Analítica_contraloría[#All],3,0),"")</f>
        <v/>
      </c>
    </row>
    <row r="1726" spans="3:10" ht="18.75" customHeight="1" x14ac:dyDescent="0.35">
      <c r="C1726" s="100" t="str">
        <f>IF(OR(Fact_Analitica[[#This Row], [Año]]="",Fact_Analitica[[#This Row], [Mes]]=""),"",DATE(A1726,MATCH(B1726,{"enero","febrero","marzo","abril","mayo","junio","julio","agosto","septiembre","octubre","noviembre","diciembre"},0)+1,0))</f>
        <v/>
      </c>
      <c r="E1726" t="str">
        <f>+IFERROR(VLOOKUP(Fact_Analitica[[#This Row], [Concepto Anterior]],Conceptos_Analítica_contraloría[#All],5,0),"")</f>
        <v/>
      </c>
      <c r="F1726" t="str">
        <f>+IFERROR(VLOOKUP(Fact_Analitica[[#This Row], [Concepto Anterior]],Conceptos_Analítica_contraloría[#All],7,0),"")</f>
        <v/>
      </c>
      <c r="I1726" t="str">
        <f>+IFERROR(VLOOKUP(D1726,Conceptos_Analítica_contraloría[#All],2,0),"")</f>
        <v/>
      </c>
      <c r="J1726" s="84" t="str">
        <f>+IFERROR(VLOOKUP(D1726,Conceptos_Analítica_contraloría[#All],3,0),"")</f>
        <v/>
      </c>
    </row>
    <row r="1727" spans="3:10" ht="18.75" customHeight="1" x14ac:dyDescent="0.35">
      <c r="C1727" s="100" t="str">
        <f>IF(OR(Fact_Analitica[[#This Row], [Año]]="",Fact_Analitica[[#This Row], [Mes]]=""),"",DATE(A1727,MATCH(B1727,{"enero","febrero","marzo","abril","mayo","junio","julio","agosto","septiembre","octubre","noviembre","diciembre"},0)+1,0))</f>
        <v/>
      </c>
      <c r="E1727" t="str">
        <f>+IFERROR(VLOOKUP(Fact_Analitica[[#This Row], [Concepto Anterior]],Conceptos_Analítica_contraloría[#All],5,0),"")</f>
        <v/>
      </c>
      <c r="F1727" t="str">
        <f>+IFERROR(VLOOKUP(Fact_Analitica[[#This Row], [Concepto Anterior]],Conceptos_Analítica_contraloría[#All],7,0),"")</f>
        <v/>
      </c>
      <c r="I1727" t="str">
        <f>+IFERROR(VLOOKUP(D1727,Conceptos_Analítica_contraloría[#All],2,0),"")</f>
        <v/>
      </c>
      <c r="J1727" s="84" t="str">
        <f>+IFERROR(VLOOKUP(D1727,Conceptos_Analítica_contraloría[#All],3,0),"")</f>
        <v/>
      </c>
    </row>
    <row r="1728" spans="3:10" ht="18.75" customHeight="1" x14ac:dyDescent="0.35">
      <c r="C1728" s="100" t="str">
        <f>IF(OR(Fact_Analitica[[#This Row], [Año]]="",Fact_Analitica[[#This Row], [Mes]]=""),"",DATE(A1728,MATCH(B1728,{"enero","febrero","marzo","abril","mayo","junio","julio","agosto","septiembre","octubre","noviembre","diciembre"},0)+1,0))</f>
        <v/>
      </c>
      <c r="E1728" t="str">
        <f>+IFERROR(VLOOKUP(Fact_Analitica[[#This Row], [Concepto Anterior]],Conceptos_Analítica_contraloría[#All],5,0),"")</f>
        <v/>
      </c>
      <c r="F1728" t="str">
        <f>+IFERROR(VLOOKUP(Fact_Analitica[[#This Row], [Concepto Anterior]],Conceptos_Analítica_contraloría[#All],7,0),"")</f>
        <v/>
      </c>
      <c r="I1728" t="str">
        <f>+IFERROR(VLOOKUP(D1728,Conceptos_Analítica_contraloría[#All],2,0),"")</f>
        <v/>
      </c>
      <c r="J1728" s="84" t="str">
        <f>+IFERROR(VLOOKUP(D1728,Conceptos_Analítica_contraloría[#All],3,0),"")</f>
        <v/>
      </c>
    </row>
    <row r="1729" spans="3:10" ht="18.75" customHeight="1" x14ac:dyDescent="0.35">
      <c r="C1729" s="100" t="str">
        <f>IF(OR(Fact_Analitica[[#This Row], [Año]]="",Fact_Analitica[[#This Row], [Mes]]=""),"",DATE(A1729,MATCH(B1729,{"enero","febrero","marzo","abril","mayo","junio","julio","agosto","septiembre","octubre","noviembre","diciembre"},0)+1,0))</f>
        <v/>
      </c>
      <c r="E1729" t="str">
        <f>+IFERROR(VLOOKUP(Fact_Analitica[[#This Row], [Concepto Anterior]],Conceptos_Analítica_contraloría[#All],5,0),"")</f>
        <v/>
      </c>
      <c r="F1729" t="str">
        <f>+IFERROR(VLOOKUP(Fact_Analitica[[#This Row], [Concepto Anterior]],Conceptos_Analítica_contraloría[#All],7,0),"")</f>
        <v/>
      </c>
      <c r="I1729" t="str">
        <f>+IFERROR(VLOOKUP(D1729,Conceptos_Analítica_contraloría[#All],2,0),"")</f>
        <v/>
      </c>
      <c r="J1729" s="84" t="str">
        <f>+IFERROR(VLOOKUP(D1729,Conceptos_Analítica_contraloría[#All],3,0),"")</f>
        <v/>
      </c>
    </row>
    <row r="1730" spans="3:10" ht="18.75" customHeight="1" x14ac:dyDescent="0.35">
      <c r="C1730" s="100" t="str">
        <f>IF(OR(Fact_Analitica[[#This Row], [Año]]="",Fact_Analitica[[#This Row], [Mes]]=""),"",DATE(A1730,MATCH(B1730,{"enero","febrero","marzo","abril","mayo","junio","julio","agosto","septiembre","octubre","noviembre","diciembre"},0)+1,0))</f>
        <v/>
      </c>
      <c r="E1730" t="str">
        <f>+IFERROR(VLOOKUP(Fact_Analitica[[#This Row], [Concepto Anterior]],Conceptos_Analítica_contraloría[#All],5,0),"")</f>
        <v/>
      </c>
      <c r="F1730" t="str">
        <f>+IFERROR(VLOOKUP(Fact_Analitica[[#This Row], [Concepto Anterior]],Conceptos_Analítica_contraloría[#All],7,0),"")</f>
        <v/>
      </c>
      <c r="I1730" t="str">
        <f>+IFERROR(VLOOKUP(D1730,Conceptos_Analítica_contraloría[#All],2,0),"")</f>
        <v/>
      </c>
      <c r="J1730" s="84" t="str">
        <f>+IFERROR(VLOOKUP(D1730,Conceptos_Analítica_contraloría[#All],3,0),"")</f>
        <v/>
      </c>
    </row>
    <row r="1731" spans="3:10" ht="18.75" customHeight="1" x14ac:dyDescent="0.35">
      <c r="C1731" s="100" t="str">
        <f>IF(OR(Fact_Analitica[[#This Row], [Año]]="",Fact_Analitica[[#This Row], [Mes]]=""),"",DATE(A1731,MATCH(B1731,{"enero","febrero","marzo","abril","mayo","junio","julio","agosto","septiembre","octubre","noviembre","diciembre"},0)+1,0))</f>
        <v/>
      </c>
      <c r="E1731" t="str">
        <f>+IFERROR(VLOOKUP(Fact_Analitica[[#This Row], [Concepto Anterior]],Conceptos_Analítica_contraloría[#All],5,0),"")</f>
        <v/>
      </c>
      <c r="F1731" t="str">
        <f>+IFERROR(VLOOKUP(Fact_Analitica[[#This Row], [Concepto Anterior]],Conceptos_Analítica_contraloría[#All],7,0),"")</f>
        <v/>
      </c>
      <c r="I1731" t="str">
        <f>+IFERROR(VLOOKUP(D1731,Conceptos_Analítica_contraloría[#All],2,0),"")</f>
        <v/>
      </c>
      <c r="J1731" s="84" t="str">
        <f>+IFERROR(VLOOKUP(D1731,Conceptos_Analítica_contraloría[#All],3,0),"")</f>
        <v/>
      </c>
    </row>
    <row r="1732" spans="3:10" ht="18.75" customHeight="1" x14ac:dyDescent="0.35">
      <c r="C1732" s="100" t="str">
        <f>IF(OR(Fact_Analitica[[#This Row], [Año]]="",Fact_Analitica[[#This Row], [Mes]]=""),"",DATE(A1732,MATCH(B1732,{"enero","febrero","marzo","abril","mayo","junio","julio","agosto","septiembre","octubre","noviembre","diciembre"},0)+1,0))</f>
        <v/>
      </c>
      <c r="E1732" t="str">
        <f>+IFERROR(VLOOKUP(Fact_Analitica[[#This Row], [Concepto Anterior]],Conceptos_Analítica_contraloría[#All],5,0),"")</f>
        <v/>
      </c>
      <c r="F1732" t="str">
        <f>+IFERROR(VLOOKUP(Fact_Analitica[[#This Row], [Concepto Anterior]],Conceptos_Analítica_contraloría[#All],7,0),"")</f>
        <v/>
      </c>
      <c r="I1732" t="str">
        <f>+IFERROR(VLOOKUP(D1732,Conceptos_Analítica_contraloría[#All],2,0),"")</f>
        <v/>
      </c>
      <c r="J1732" s="84" t="str">
        <f>+IFERROR(VLOOKUP(D1732,Conceptos_Analítica_contraloría[#All],3,0),"")</f>
        <v/>
      </c>
    </row>
    <row r="1733" spans="3:10" ht="18.75" customHeight="1" x14ac:dyDescent="0.35">
      <c r="C1733" s="100" t="str">
        <f>IF(OR(Fact_Analitica[[#This Row], [Año]]="",Fact_Analitica[[#This Row], [Mes]]=""),"",DATE(A1733,MATCH(B1733,{"enero","febrero","marzo","abril","mayo","junio","julio","agosto","septiembre","octubre","noviembre","diciembre"},0)+1,0))</f>
        <v/>
      </c>
      <c r="E1733" t="str">
        <f>+IFERROR(VLOOKUP(Fact_Analitica[[#This Row], [Concepto Anterior]],Conceptos_Analítica_contraloría[#All],5,0),"")</f>
        <v/>
      </c>
      <c r="F1733" t="str">
        <f>+IFERROR(VLOOKUP(Fact_Analitica[[#This Row], [Concepto Anterior]],Conceptos_Analítica_contraloría[#All],7,0),"")</f>
        <v/>
      </c>
      <c r="I1733" t="str">
        <f>+IFERROR(VLOOKUP(D1733,Conceptos_Analítica_contraloría[#All],2,0),"")</f>
        <v/>
      </c>
      <c r="J1733" s="84" t="str">
        <f>+IFERROR(VLOOKUP(D1733,Conceptos_Analítica_contraloría[#All],3,0),"")</f>
        <v/>
      </c>
    </row>
    <row r="1734" spans="3:10" ht="18.75" customHeight="1" x14ac:dyDescent="0.35">
      <c r="C1734" s="100" t="str">
        <f>IF(OR(Fact_Analitica[[#This Row], [Año]]="",Fact_Analitica[[#This Row], [Mes]]=""),"",DATE(A1734,MATCH(B1734,{"enero","febrero","marzo","abril","mayo","junio","julio","agosto","septiembre","octubre","noviembre","diciembre"},0)+1,0))</f>
        <v/>
      </c>
      <c r="E1734" t="str">
        <f>+IFERROR(VLOOKUP(Fact_Analitica[[#This Row], [Concepto Anterior]],Conceptos_Analítica_contraloría[#All],5,0),"")</f>
        <v/>
      </c>
      <c r="F1734" t="str">
        <f>+IFERROR(VLOOKUP(Fact_Analitica[[#This Row], [Concepto Anterior]],Conceptos_Analítica_contraloría[#All],7,0),"")</f>
        <v/>
      </c>
      <c r="I1734" t="str">
        <f>+IFERROR(VLOOKUP(D1734,Conceptos_Analítica_contraloría[#All],2,0),"")</f>
        <v/>
      </c>
      <c r="J1734" s="84" t="str">
        <f>+IFERROR(VLOOKUP(D1734,Conceptos_Analítica_contraloría[#All],3,0),"")</f>
        <v/>
      </c>
    </row>
    <row r="1735" spans="3:10" ht="18.75" customHeight="1" x14ac:dyDescent="0.35">
      <c r="C1735" s="100" t="str">
        <f>IF(OR(Fact_Analitica[[#This Row], [Año]]="",Fact_Analitica[[#This Row], [Mes]]=""),"",DATE(A1735,MATCH(B1735,{"enero","febrero","marzo","abril","mayo","junio","julio","agosto","septiembre","octubre","noviembre","diciembre"},0)+1,0))</f>
        <v/>
      </c>
      <c r="E1735" t="str">
        <f>+IFERROR(VLOOKUP(Fact_Analitica[[#This Row], [Concepto Anterior]],Conceptos_Analítica_contraloría[#All],5,0),"")</f>
        <v/>
      </c>
      <c r="F1735" t="str">
        <f>+IFERROR(VLOOKUP(Fact_Analitica[[#This Row], [Concepto Anterior]],Conceptos_Analítica_contraloría[#All],7,0),"")</f>
        <v/>
      </c>
      <c r="I1735" t="str">
        <f>+IFERROR(VLOOKUP(D1735,Conceptos_Analítica_contraloría[#All],2,0),"")</f>
        <v/>
      </c>
      <c r="J1735" s="84" t="str">
        <f>+IFERROR(VLOOKUP(D1735,Conceptos_Analítica_contraloría[#All],3,0),"")</f>
        <v/>
      </c>
    </row>
    <row r="1736" spans="3:10" ht="18.75" customHeight="1" x14ac:dyDescent="0.35">
      <c r="C1736" s="100" t="str">
        <f>IF(OR(Fact_Analitica[[#This Row], [Año]]="",Fact_Analitica[[#This Row], [Mes]]=""),"",DATE(A1736,MATCH(B1736,{"enero","febrero","marzo","abril","mayo","junio","julio","agosto","septiembre","octubre","noviembre","diciembre"},0)+1,0))</f>
        <v/>
      </c>
      <c r="E1736" t="str">
        <f>+IFERROR(VLOOKUP(Fact_Analitica[[#This Row], [Concepto Anterior]],Conceptos_Analítica_contraloría[#All],5,0),"")</f>
        <v/>
      </c>
      <c r="F1736" t="str">
        <f>+IFERROR(VLOOKUP(Fact_Analitica[[#This Row], [Concepto Anterior]],Conceptos_Analítica_contraloría[#All],7,0),"")</f>
        <v/>
      </c>
      <c r="I1736" t="str">
        <f>+IFERROR(VLOOKUP(D1736,Conceptos_Analítica_contraloría[#All],2,0),"")</f>
        <v/>
      </c>
      <c r="J1736" s="84" t="str">
        <f>+IFERROR(VLOOKUP(D1736,Conceptos_Analítica_contraloría[#All],3,0),"")</f>
        <v/>
      </c>
    </row>
    <row r="1737" spans="3:10" ht="18.75" customHeight="1" x14ac:dyDescent="0.35">
      <c r="C1737" s="100" t="str">
        <f>IF(OR(Fact_Analitica[[#This Row], [Año]]="",Fact_Analitica[[#This Row], [Mes]]=""),"",DATE(A1737,MATCH(B1737,{"enero","febrero","marzo","abril","mayo","junio","julio","agosto","septiembre","octubre","noviembre","diciembre"},0)+1,0))</f>
        <v/>
      </c>
      <c r="E1737" t="str">
        <f>+IFERROR(VLOOKUP(Fact_Analitica[[#This Row], [Concepto Anterior]],Conceptos_Analítica_contraloría[#All],5,0),"")</f>
        <v/>
      </c>
      <c r="F1737" t="str">
        <f>+IFERROR(VLOOKUP(Fact_Analitica[[#This Row], [Concepto Anterior]],Conceptos_Analítica_contraloría[#All],7,0),"")</f>
        <v/>
      </c>
      <c r="I1737" t="str">
        <f>+IFERROR(VLOOKUP(D1737,Conceptos_Analítica_contraloría[#All],2,0),"")</f>
        <v/>
      </c>
      <c r="J1737" s="84" t="str">
        <f>+IFERROR(VLOOKUP(D1737,Conceptos_Analítica_contraloría[#All],3,0),"")</f>
        <v/>
      </c>
    </row>
    <row r="1738" spans="3:10" ht="18.75" customHeight="1" x14ac:dyDescent="0.35">
      <c r="C1738" s="100" t="str">
        <f>IF(OR(Fact_Analitica[[#This Row], [Año]]="",Fact_Analitica[[#This Row], [Mes]]=""),"",DATE(A1738,MATCH(B1738,{"enero","febrero","marzo","abril","mayo","junio","julio","agosto","septiembre","octubre","noviembre","diciembre"},0)+1,0))</f>
        <v/>
      </c>
      <c r="E1738" t="str">
        <f>+IFERROR(VLOOKUP(Fact_Analitica[[#This Row], [Concepto Anterior]],Conceptos_Analítica_contraloría[#All],5,0),"")</f>
        <v/>
      </c>
      <c r="F1738" t="str">
        <f>+IFERROR(VLOOKUP(Fact_Analitica[[#This Row], [Concepto Anterior]],Conceptos_Analítica_contraloría[#All],7,0),"")</f>
        <v/>
      </c>
      <c r="I1738" t="str">
        <f>+IFERROR(VLOOKUP(D1738,Conceptos_Analítica_contraloría[#All],2,0),"")</f>
        <v/>
      </c>
      <c r="J1738" s="84" t="str">
        <f>+IFERROR(VLOOKUP(D1738,Conceptos_Analítica_contraloría[#All],3,0),"")</f>
        <v/>
      </c>
    </row>
    <row r="1739" spans="3:10" ht="18.75" customHeight="1" x14ac:dyDescent="0.35">
      <c r="C1739" s="100" t="str">
        <f>IF(OR(Fact_Analitica[[#This Row], [Año]]="",Fact_Analitica[[#This Row], [Mes]]=""),"",DATE(A1739,MATCH(B1739,{"enero","febrero","marzo","abril","mayo","junio","julio","agosto","septiembre","octubre","noviembre","diciembre"},0)+1,0))</f>
        <v/>
      </c>
      <c r="E1739" t="str">
        <f>+IFERROR(VLOOKUP(Fact_Analitica[[#This Row], [Concepto Anterior]],Conceptos_Analítica_contraloría[#All],5,0),"")</f>
        <v/>
      </c>
      <c r="F1739" t="str">
        <f>+IFERROR(VLOOKUP(Fact_Analitica[[#This Row], [Concepto Anterior]],Conceptos_Analítica_contraloría[#All],7,0),"")</f>
        <v/>
      </c>
      <c r="I1739" t="str">
        <f>+IFERROR(VLOOKUP(D1739,Conceptos_Analítica_contraloría[#All],2,0),"")</f>
        <v/>
      </c>
      <c r="J1739" s="84" t="str">
        <f>+IFERROR(VLOOKUP(D1739,Conceptos_Analítica_contraloría[#All],3,0),"")</f>
        <v/>
      </c>
    </row>
    <row r="1740" spans="3:10" ht="18.75" customHeight="1" x14ac:dyDescent="0.35">
      <c r="C1740" s="100" t="str">
        <f>IF(OR(Fact_Analitica[[#This Row], [Año]]="",Fact_Analitica[[#This Row], [Mes]]=""),"",DATE(A1740,MATCH(B1740,{"enero","febrero","marzo","abril","mayo","junio","julio","agosto","septiembre","octubre","noviembre","diciembre"},0)+1,0))</f>
        <v/>
      </c>
      <c r="E1740" t="str">
        <f>+IFERROR(VLOOKUP(Fact_Analitica[[#This Row], [Concepto Anterior]],Conceptos_Analítica_contraloría[#All],5,0),"")</f>
        <v/>
      </c>
      <c r="F1740" t="str">
        <f>+IFERROR(VLOOKUP(Fact_Analitica[[#This Row], [Concepto Anterior]],Conceptos_Analítica_contraloría[#All],7,0),"")</f>
        <v/>
      </c>
      <c r="I1740" t="str">
        <f>+IFERROR(VLOOKUP(D1740,Conceptos_Analítica_contraloría[#All],2,0),"")</f>
        <v/>
      </c>
      <c r="J1740" s="84" t="str">
        <f>+IFERROR(VLOOKUP(D1740,Conceptos_Analítica_contraloría[#All],3,0),"")</f>
        <v/>
      </c>
    </row>
    <row r="1741" spans="3:10" ht="18.75" customHeight="1" x14ac:dyDescent="0.35">
      <c r="C1741" s="100" t="str">
        <f>IF(OR(Fact_Analitica[[#This Row], [Año]]="",Fact_Analitica[[#This Row], [Mes]]=""),"",DATE(A1741,MATCH(B1741,{"enero","febrero","marzo","abril","mayo","junio","julio","agosto","septiembre","octubre","noviembre","diciembre"},0)+1,0))</f>
        <v/>
      </c>
      <c r="E1741" t="str">
        <f>+IFERROR(VLOOKUP(Fact_Analitica[[#This Row], [Concepto Anterior]],Conceptos_Analítica_contraloría[#All],5,0),"")</f>
        <v/>
      </c>
      <c r="F1741" t="str">
        <f>+IFERROR(VLOOKUP(Fact_Analitica[[#This Row], [Concepto Anterior]],Conceptos_Analítica_contraloría[#All],7,0),"")</f>
        <v/>
      </c>
      <c r="I1741" t="str">
        <f>+IFERROR(VLOOKUP(D1741,Conceptos_Analítica_contraloría[#All],2,0),"")</f>
        <v/>
      </c>
      <c r="J1741" s="84" t="str">
        <f>+IFERROR(VLOOKUP(D1741,Conceptos_Analítica_contraloría[#All],3,0),"")</f>
        <v/>
      </c>
    </row>
    <row r="1742" spans="3:10" ht="18.75" customHeight="1" x14ac:dyDescent="0.35">
      <c r="C1742" s="100" t="str">
        <f>IF(OR(Fact_Analitica[[#This Row], [Año]]="",Fact_Analitica[[#This Row], [Mes]]=""),"",DATE(A1742,MATCH(B1742,{"enero","febrero","marzo","abril","mayo","junio","julio","agosto","septiembre","octubre","noviembre","diciembre"},0)+1,0))</f>
        <v/>
      </c>
      <c r="E1742" t="str">
        <f>+IFERROR(VLOOKUP(Fact_Analitica[[#This Row], [Concepto Anterior]],Conceptos_Analítica_contraloría[#All],5,0),"")</f>
        <v/>
      </c>
      <c r="F1742" t="str">
        <f>+IFERROR(VLOOKUP(Fact_Analitica[[#This Row], [Concepto Anterior]],Conceptos_Analítica_contraloría[#All],7,0),"")</f>
        <v/>
      </c>
      <c r="I1742" t="str">
        <f>+IFERROR(VLOOKUP(D1742,Conceptos_Analítica_contraloría[#All],2,0),"")</f>
        <v/>
      </c>
      <c r="J1742" s="84" t="str">
        <f>+IFERROR(VLOOKUP(D1742,Conceptos_Analítica_contraloría[#All],3,0),"")</f>
        <v/>
      </c>
    </row>
    <row r="1743" spans="3:10" ht="18.75" customHeight="1" x14ac:dyDescent="0.35">
      <c r="C1743" s="100" t="str">
        <f>IF(OR(Fact_Analitica[[#This Row], [Año]]="",Fact_Analitica[[#This Row], [Mes]]=""),"",DATE(A1743,MATCH(B1743,{"enero","febrero","marzo","abril","mayo","junio","julio","agosto","septiembre","octubre","noviembre","diciembre"},0)+1,0))</f>
        <v/>
      </c>
      <c r="E1743" t="str">
        <f>+IFERROR(VLOOKUP(Fact_Analitica[[#This Row], [Concepto Anterior]],Conceptos_Analítica_contraloría[#All],5,0),"")</f>
        <v/>
      </c>
      <c r="F1743" t="str">
        <f>+IFERROR(VLOOKUP(Fact_Analitica[[#This Row], [Concepto Anterior]],Conceptos_Analítica_contraloría[#All],7,0),"")</f>
        <v/>
      </c>
      <c r="I1743" t="str">
        <f>+IFERROR(VLOOKUP(D1743,Conceptos_Analítica_contraloría[#All],2,0),"")</f>
        <v/>
      </c>
      <c r="J1743" s="84" t="str">
        <f>+IFERROR(VLOOKUP(D1743,Conceptos_Analítica_contraloría[#All],3,0),"")</f>
        <v/>
      </c>
    </row>
    <row r="1744" spans="3:10" ht="18.75" customHeight="1" x14ac:dyDescent="0.35">
      <c r="C1744" s="100" t="str">
        <f>IF(OR(Fact_Analitica[[#This Row], [Año]]="",Fact_Analitica[[#This Row], [Mes]]=""),"",DATE(A1744,MATCH(B1744,{"enero","febrero","marzo","abril","mayo","junio","julio","agosto","septiembre","octubre","noviembre","diciembre"},0)+1,0))</f>
        <v/>
      </c>
      <c r="E1744" t="str">
        <f>+IFERROR(VLOOKUP(Fact_Analitica[[#This Row], [Concepto Anterior]],Conceptos_Analítica_contraloría[#All],5,0),"")</f>
        <v/>
      </c>
      <c r="F1744" t="str">
        <f>+IFERROR(VLOOKUP(Fact_Analitica[[#This Row], [Concepto Anterior]],Conceptos_Analítica_contraloría[#All],7,0),"")</f>
        <v/>
      </c>
      <c r="I1744" t="str">
        <f>+IFERROR(VLOOKUP(D1744,Conceptos_Analítica_contraloría[#All],2,0),"")</f>
        <v/>
      </c>
      <c r="J1744" s="84" t="str">
        <f>+IFERROR(VLOOKUP(D1744,Conceptos_Analítica_contraloría[#All],3,0),"")</f>
        <v/>
      </c>
    </row>
    <row r="1745" spans="3:10" ht="18.75" customHeight="1" x14ac:dyDescent="0.35">
      <c r="C1745" s="100" t="str">
        <f>IF(OR(Fact_Analitica[[#This Row], [Año]]="",Fact_Analitica[[#This Row], [Mes]]=""),"",DATE(A1745,MATCH(B1745,{"enero","febrero","marzo","abril","mayo","junio","julio","agosto","septiembre","octubre","noviembre","diciembre"},0)+1,0))</f>
        <v/>
      </c>
      <c r="E1745" t="str">
        <f>+IFERROR(VLOOKUP(Fact_Analitica[[#This Row], [Concepto Anterior]],Conceptos_Analítica_contraloría[#All],5,0),"")</f>
        <v/>
      </c>
      <c r="F1745" t="str">
        <f>+IFERROR(VLOOKUP(Fact_Analitica[[#This Row], [Concepto Anterior]],Conceptos_Analítica_contraloría[#All],7,0),"")</f>
        <v/>
      </c>
      <c r="I1745" t="str">
        <f>+IFERROR(VLOOKUP(D1745,Conceptos_Analítica_contraloría[#All],2,0),"")</f>
        <v/>
      </c>
      <c r="J1745" s="84" t="str">
        <f>+IFERROR(VLOOKUP(D1745,Conceptos_Analítica_contraloría[#All],3,0),"")</f>
        <v/>
      </c>
    </row>
    <row r="1746" spans="3:10" ht="18.75" customHeight="1" x14ac:dyDescent="0.35">
      <c r="C1746" s="100" t="str">
        <f>IF(OR(Fact_Analitica[[#This Row], [Año]]="",Fact_Analitica[[#This Row], [Mes]]=""),"",DATE(A1746,MATCH(B1746,{"enero","febrero","marzo","abril","mayo","junio","julio","agosto","septiembre","octubre","noviembre","diciembre"},0)+1,0))</f>
        <v/>
      </c>
      <c r="E1746" t="str">
        <f>+IFERROR(VLOOKUP(Fact_Analitica[[#This Row], [Concepto Anterior]],Conceptos_Analítica_contraloría[#All],5,0),"")</f>
        <v/>
      </c>
      <c r="F1746" t="str">
        <f>+IFERROR(VLOOKUP(Fact_Analitica[[#This Row], [Concepto Anterior]],Conceptos_Analítica_contraloría[#All],7,0),"")</f>
        <v/>
      </c>
      <c r="I1746" t="str">
        <f>+IFERROR(VLOOKUP(D1746,Conceptos_Analítica_contraloría[#All],2,0),"")</f>
        <v/>
      </c>
      <c r="J1746" s="84" t="str">
        <f>+IFERROR(VLOOKUP(D1746,Conceptos_Analítica_contraloría[#All],3,0),"")</f>
        <v/>
      </c>
    </row>
    <row r="1747" spans="3:10" ht="18.75" customHeight="1" x14ac:dyDescent="0.35">
      <c r="C1747" s="100" t="str">
        <f>IF(OR(Fact_Analitica[[#This Row], [Año]]="",Fact_Analitica[[#This Row], [Mes]]=""),"",DATE(A1747,MATCH(B1747,{"enero","febrero","marzo","abril","mayo","junio","julio","agosto","septiembre","octubre","noviembre","diciembre"},0)+1,0))</f>
        <v/>
      </c>
      <c r="E1747" t="str">
        <f>+IFERROR(VLOOKUP(Fact_Analitica[[#This Row], [Concepto Anterior]],Conceptos_Analítica_contraloría[#All],5,0),"")</f>
        <v/>
      </c>
      <c r="F1747" t="str">
        <f>+IFERROR(VLOOKUP(Fact_Analitica[[#This Row], [Concepto Anterior]],Conceptos_Analítica_contraloría[#All],7,0),"")</f>
        <v/>
      </c>
      <c r="I1747" t="str">
        <f>+IFERROR(VLOOKUP(D1747,Conceptos_Analítica_contraloría[#All],2,0),"")</f>
        <v/>
      </c>
      <c r="J1747" s="84" t="str">
        <f>+IFERROR(VLOOKUP(D1747,Conceptos_Analítica_contraloría[#All],3,0),"")</f>
        <v/>
      </c>
    </row>
    <row r="1748" spans="3:10" ht="18.75" customHeight="1" x14ac:dyDescent="0.35">
      <c r="C1748" s="100" t="str">
        <f>IF(OR(Fact_Analitica[[#This Row], [Año]]="",Fact_Analitica[[#This Row], [Mes]]=""),"",DATE(A1748,MATCH(B1748,{"enero","febrero","marzo","abril","mayo","junio","julio","agosto","septiembre","octubre","noviembre","diciembre"},0)+1,0))</f>
        <v/>
      </c>
      <c r="E1748" t="str">
        <f>+IFERROR(VLOOKUP(Fact_Analitica[[#This Row], [Concepto Anterior]],Conceptos_Analítica_contraloría[#All],5,0),"")</f>
        <v/>
      </c>
      <c r="F1748" t="str">
        <f>+IFERROR(VLOOKUP(Fact_Analitica[[#This Row], [Concepto Anterior]],Conceptos_Analítica_contraloría[#All],7,0),"")</f>
        <v/>
      </c>
      <c r="I1748" t="str">
        <f>+IFERROR(VLOOKUP(D1748,Conceptos_Analítica_contraloría[#All],2,0),"")</f>
        <v/>
      </c>
      <c r="J1748" s="84" t="str">
        <f>+IFERROR(VLOOKUP(D1748,Conceptos_Analítica_contraloría[#All],3,0),"")</f>
        <v/>
      </c>
    </row>
    <row r="1749" spans="3:10" ht="18.75" customHeight="1" x14ac:dyDescent="0.35">
      <c r="C1749" s="100" t="str">
        <f>IF(OR(Fact_Analitica[[#This Row], [Año]]="",Fact_Analitica[[#This Row], [Mes]]=""),"",DATE(A1749,MATCH(B1749,{"enero","febrero","marzo","abril","mayo","junio","julio","agosto","septiembre","octubre","noviembre","diciembre"},0)+1,0))</f>
        <v/>
      </c>
      <c r="E1749" t="str">
        <f>+IFERROR(VLOOKUP(Fact_Analitica[[#This Row], [Concepto Anterior]],Conceptos_Analítica_contraloría[#All],5,0),"")</f>
        <v/>
      </c>
      <c r="F1749" t="str">
        <f>+IFERROR(VLOOKUP(Fact_Analitica[[#This Row], [Concepto Anterior]],Conceptos_Analítica_contraloría[#All],7,0),"")</f>
        <v/>
      </c>
      <c r="I1749" t="str">
        <f>+IFERROR(VLOOKUP(D1749,Conceptos_Analítica_contraloría[#All],2,0),"")</f>
        <v/>
      </c>
      <c r="J1749" s="84" t="str">
        <f>+IFERROR(VLOOKUP(D1749,Conceptos_Analítica_contraloría[#All],3,0),"")</f>
        <v/>
      </c>
    </row>
    <row r="1750" spans="3:10" ht="18.75" customHeight="1" x14ac:dyDescent="0.35">
      <c r="C1750" s="100" t="str">
        <f>IF(OR(Fact_Analitica[[#This Row], [Año]]="",Fact_Analitica[[#This Row], [Mes]]=""),"",DATE(A1750,MATCH(B1750,{"enero","febrero","marzo","abril","mayo","junio","julio","agosto","septiembre","octubre","noviembre","diciembre"},0)+1,0))</f>
        <v/>
      </c>
      <c r="E1750" t="str">
        <f>+IFERROR(VLOOKUP(Fact_Analitica[[#This Row], [Concepto Anterior]],Conceptos_Analítica_contraloría[#All],5,0),"")</f>
        <v/>
      </c>
      <c r="F1750" t="str">
        <f>+IFERROR(VLOOKUP(Fact_Analitica[[#This Row], [Concepto Anterior]],Conceptos_Analítica_contraloría[#All],7,0),"")</f>
        <v/>
      </c>
      <c r="I1750" t="str">
        <f>+IFERROR(VLOOKUP(D1750,Conceptos_Analítica_contraloría[#All],2,0),"")</f>
        <v/>
      </c>
      <c r="J1750" s="84" t="str">
        <f>+IFERROR(VLOOKUP(D1750,Conceptos_Analítica_contraloría[#All],3,0),"")</f>
        <v/>
      </c>
    </row>
    <row r="1751" spans="3:10" ht="18.75" customHeight="1" x14ac:dyDescent="0.35">
      <c r="C1751" s="100" t="str">
        <f>IF(OR(Fact_Analitica[[#This Row], [Año]]="",Fact_Analitica[[#This Row], [Mes]]=""),"",DATE(A1751,MATCH(B1751,{"enero","febrero","marzo","abril","mayo","junio","julio","agosto","septiembre","octubre","noviembre","diciembre"},0)+1,0))</f>
        <v/>
      </c>
      <c r="E1751" t="str">
        <f>+IFERROR(VLOOKUP(Fact_Analitica[[#This Row], [Concepto Anterior]],Conceptos_Analítica_contraloría[#All],5,0),"")</f>
        <v/>
      </c>
      <c r="F1751" t="str">
        <f>+IFERROR(VLOOKUP(Fact_Analitica[[#This Row], [Concepto Anterior]],Conceptos_Analítica_contraloría[#All],7,0),"")</f>
        <v/>
      </c>
      <c r="I1751" t="str">
        <f>+IFERROR(VLOOKUP(D1751,Conceptos_Analítica_contraloría[#All],2,0),"")</f>
        <v/>
      </c>
      <c r="J1751" s="84" t="str">
        <f>+IFERROR(VLOOKUP(D1751,Conceptos_Analítica_contraloría[#All],3,0),"")</f>
        <v/>
      </c>
    </row>
    <row r="1752" spans="3:10" ht="18.75" customHeight="1" x14ac:dyDescent="0.35">
      <c r="C1752" s="100" t="str">
        <f>IF(OR(Fact_Analitica[[#This Row], [Año]]="",Fact_Analitica[[#This Row], [Mes]]=""),"",DATE(A1752,MATCH(B1752,{"enero","febrero","marzo","abril","mayo","junio","julio","agosto","septiembre","octubre","noviembre","diciembre"},0)+1,0))</f>
        <v/>
      </c>
      <c r="E1752" t="str">
        <f>+IFERROR(VLOOKUP(Fact_Analitica[[#This Row], [Concepto Anterior]],Conceptos_Analítica_contraloría[#All],5,0),"")</f>
        <v/>
      </c>
      <c r="F1752" t="str">
        <f>+IFERROR(VLOOKUP(Fact_Analitica[[#This Row], [Concepto Anterior]],Conceptos_Analítica_contraloría[#All],7,0),"")</f>
        <v/>
      </c>
      <c r="I1752" t="str">
        <f>+IFERROR(VLOOKUP(D1752,Conceptos_Analítica_contraloría[#All],2,0),"")</f>
        <v/>
      </c>
      <c r="J1752" s="84" t="str">
        <f>+IFERROR(VLOOKUP(D1752,Conceptos_Analítica_contraloría[#All],3,0),"")</f>
        <v/>
      </c>
    </row>
    <row r="1753" spans="3:10" ht="18.75" customHeight="1" x14ac:dyDescent="0.35">
      <c r="C1753" s="100" t="str">
        <f>IF(OR(Fact_Analitica[[#This Row], [Año]]="",Fact_Analitica[[#This Row], [Mes]]=""),"",DATE(A1753,MATCH(B1753,{"enero","febrero","marzo","abril","mayo","junio","julio","agosto","septiembre","octubre","noviembre","diciembre"},0)+1,0))</f>
        <v/>
      </c>
      <c r="E1753" t="str">
        <f>+IFERROR(VLOOKUP(Fact_Analitica[[#This Row], [Concepto Anterior]],Conceptos_Analítica_contraloría[#All],5,0),"")</f>
        <v/>
      </c>
      <c r="F1753" t="str">
        <f>+IFERROR(VLOOKUP(Fact_Analitica[[#This Row], [Concepto Anterior]],Conceptos_Analítica_contraloría[#All],7,0),"")</f>
        <v/>
      </c>
      <c r="I1753" t="str">
        <f>+IFERROR(VLOOKUP(D1753,Conceptos_Analítica_contraloría[#All],2,0),"")</f>
        <v/>
      </c>
      <c r="J1753" s="84" t="str">
        <f>+IFERROR(VLOOKUP(D1753,Conceptos_Analítica_contraloría[#All],3,0),"")</f>
        <v/>
      </c>
    </row>
    <row r="1754" spans="3:10" ht="18.75" customHeight="1" x14ac:dyDescent="0.35">
      <c r="C1754" s="100" t="str">
        <f>IF(OR(Fact_Analitica[[#This Row], [Año]]="",Fact_Analitica[[#This Row], [Mes]]=""),"",DATE(A1754,MATCH(B1754,{"enero","febrero","marzo","abril","mayo","junio","julio","agosto","septiembre","octubre","noviembre","diciembre"},0)+1,0))</f>
        <v/>
      </c>
      <c r="E1754" t="str">
        <f>+IFERROR(VLOOKUP(Fact_Analitica[[#This Row], [Concepto Anterior]],Conceptos_Analítica_contraloría[#All],5,0),"")</f>
        <v/>
      </c>
      <c r="F1754" t="str">
        <f>+IFERROR(VLOOKUP(Fact_Analitica[[#This Row], [Concepto Anterior]],Conceptos_Analítica_contraloría[#All],7,0),"")</f>
        <v/>
      </c>
      <c r="I1754" t="str">
        <f>+IFERROR(VLOOKUP(D1754,Conceptos_Analítica_contraloría[#All],2,0),"")</f>
        <v/>
      </c>
      <c r="J1754" s="84" t="str">
        <f>+IFERROR(VLOOKUP(D1754,Conceptos_Analítica_contraloría[#All],3,0),"")</f>
        <v/>
      </c>
    </row>
    <row r="1755" spans="3:10" ht="18.75" customHeight="1" x14ac:dyDescent="0.35">
      <c r="C1755" s="100" t="str">
        <f>IF(OR(Fact_Analitica[[#This Row], [Año]]="",Fact_Analitica[[#This Row], [Mes]]=""),"",DATE(A1755,MATCH(B1755,{"enero","febrero","marzo","abril","mayo","junio","julio","agosto","septiembre","octubre","noviembre","diciembre"},0)+1,0))</f>
        <v/>
      </c>
      <c r="E1755" t="str">
        <f>+IFERROR(VLOOKUP(Fact_Analitica[[#This Row], [Concepto Anterior]],Conceptos_Analítica_contraloría[#All],5,0),"")</f>
        <v/>
      </c>
      <c r="F1755" t="str">
        <f>+IFERROR(VLOOKUP(Fact_Analitica[[#This Row], [Concepto Anterior]],Conceptos_Analítica_contraloría[#All],7,0),"")</f>
        <v/>
      </c>
      <c r="I1755" t="str">
        <f>+IFERROR(VLOOKUP(D1755,Conceptos_Analítica_contraloría[#All],2,0),"")</f>
        <v/>
      </c>
      <c r="J1755" s="84" t="str">
        <f>+IFERROR(VLOOKUP(D1755,Conceptos_Analítica_contraloría[#All],3,0),"")</f>
        <v/>
      </c>
    </row>
    <row r="1756" spans="3:10" ht="18.75" customHeight="1" x14ac:dyDescent="0.35">
      <c r="C1756" s="100" t="str">
        <f>IF(OR(Fact_Analitica[[#This Row], [Año]]="",Fact_Analitica[[#This Row], [Mes]]=""),"",DATE(A1756,MATCH(B1756,{"enero","febrero","marzo","abril","mayo","junio","julio","agosto","septiembre","octubre","noviembre","diciembre"},0)+1,0))</f>
        <v/>
      </c>
      <c r="E1756" t="str">
        <f>+IFERROR(VLOOKUP(Fact_Analitica[[#This Row], [Concepto Anterior]],Conceptos_Analítica_contraloría[#All],5,0),"")</f>
        <v/>
      </c>
      <c r="F1756" t="str">
        <f>+IFERROR(VLOOKUP(Fact_Analitica[[#This Row], [Concepto Anterior]],Conceptos_Analítica_contraloría[#All],7,0),"")</f>
        <v/>
      </c>
      <c r="I1756" t="str">
        <f>+IFERROR(VLOOKUP(D1756,Conceptos_Analítica_contraloría[#All],2,0),"")</f>
        <v/>
      </c>
      <c r="J1756" s="84" t="str">
        <f>+IFERROR(VLOOKUP(D1756,Conceptos_Analítica_contraloría[#All],3,0),"")</f>
        <v/>
      </c>
    </row>
    <row r="1757" spans="3:10" ht="18.75" customHeight="1" x14ac:dyDescent="0.35">
      <c r="C1757" s="100" t="str">
        <f>IF(OR(Fact_Analitica[[#This Row], [Año]]="",Fact_Analitica[[#This Row], [Mes]]=""),"",DATE(A1757,MATCH(B1757,{"enero","febrero","marzo","abril","mayo","junio","julio","agosto","septiembre","octubre","noviembre","diciembre"},0)+1,0))</f>
        <v/>
      </c>
      <c r="E1757" t="str">
        <f>+IFERROR(VLOOKUP(Fact_Analitica[[#This Row], [Concepto Anterior]],Conceptos_Analítica_contraloría[#All],5,0),"")</f>
        <v/>
      </c>
      <c r="F1757" t="str">
        <f>+IFERROR(VLOOKUP(Fact_Analitica[[#This Row], [Concepto Anterior]],Conceptos_Analítica_contraloría[#All],7,0),"")</f>
        <v/>
      </c>
      <c r="I1757" t="str">
        <f>+IFERROR(VLOOKUP(D1757,Conceptos_Analítica_contraloría[#All],2,0),"")</f>
        <v/>
      </c>
      <c r="J1757" s="84" t="str">
        <f>+IFERROR(VLOOKUP(D1757,Conceptos_Analítica_contraloría[#All],3,0),"")</f>
        <v/>
      </c>
    </row>
    <row r="1758" spans="3:10" ht="18.75" customHeight="1" x14ac:dyDescent="0.35">
      <c r="C1758" s="100" t="str">
        <f>IF(OR(Fact_Analitica[[#This Row], [Año]]="",Fact_Analitica[[#This Row], [Mes]]=""),"",DATE(A1758,MATCH(B1758,{"enero","febrero","marzo","abril","mayo","junio","julio","agosto","septiembre","octubre","noviembre","diciembre"},0)+1,0))</f>
        <v/>
      </c>
      <c r="E1758" t="str">
        <f>+IFERROR(VLOOKUP(Fact_Analitica[[#This Row], [Concepto Anterior]],Conceptos_Analítica_contraloría[#All],5,0),"")</f>
        <v/>
      </c>
      <c r="F1758" t="str">
        <f>+IFERROR(VLOOKUP(Fact_Analitica[[#This Row], [Concepto Anterior]],Conceptos_Analítica_contraloría[#All],7,0),"")</f>
        <v/>
      </c>
      <c r="I1758" t="str">
        <f>+IFERROR(VLOOKUP(D1758,Conceptos_Analítica_contraloría[#All],2,0),"")</f>
        <v/>
      </c>
      <c r="J1758" s="84" t="str">
        <f>+IFERROR(VLOOKUP(D1758,Conceptos_Analítica_contraloría[#All],3,0),"")</f>
        <v/>
      </c>
    </row>
    <row r="1759" spans="3:10" ht="18.75" customHeight="1" x14ac:dyDescent="0.35">
      <c r="C1759" s="100" t="str">
        <f>IF(OR(Fact_Analitica[[#This Row], [Año]]="",Fact_Analitica[[#This Row], [Mes]]=""),"",DATE(A1759,MATCH(B1759,{"enero","febrero","marzo","abril","mayo","junio","julio","agosto","septiembre","octubre","noviembre","diciembre"},0)+1,0))</f>
        <v/>
      </c>
      <c r="E1759" t="str">
        <f>+IFERROR(VLOOKUP(Fact_Analitica[[#This Row], [Concepto Anterior]],Conceptos_Analítica_contraloría[#All],5,0),"")</f>
        <v/>
      </c>
      <c r="F1759" t="str">
        <f>+IFERROR(VLOOKUP(Fact_Analitica[[#This Row], [Concepto Anterior]],Conceptos_Analítica_contraloría[#All],7,0),"")</f>
        <v/>
      </c>
      <c r="I1759" t="str">
        <f>+IFERROR(VLOOKUP(D1759,Conceptos_Analítica_contraloría[#All],2,0),"")</f>
        <v/>
      </c>
      <c r="J1759" s="84" t="str">
        <f>+IFERROR(VLOOKUP(D1759,Conceptos_Analítica_contraloría[#All],3,0),"")</f>
        <v/>
      </c>
    </row>
    <row r="1760" spans="3:10" ht="18.75" customHeight="1" x14ac:dyDescent="0.35">
      <c r="C1760" s="100" t="str">
        <f>IF(OR(Fact_Analitica[[#This Row], [Año]]="",Fact_Analitica[[#This Row], [Mes]]=""),"",DATE(A1760,MATCH(B1760,{"enero","febrero","marzo","abril","mayo","junio","julio","agosto","septiembre","octubre","noviembre","diciembre"},0)+1,0))</f>
        <v/>
      </c>
      <c r="E1760" t="str">
        <f>+IFERROR(VLOOKUP(Fact_Analitica[[#This Row], [Concepto Anterior]],Conceptos_Analítica_contraloría[#All],5,0),"")</f>
        <v/>
      </c>
      <c r="F1760" t="str">
        <f>+IFERROR(VLOOKUP(Fact_Analitica[[#This Row], [Concepto Anterior]],Conceptos_Analítica_contraloría[#All],7,0),"")</f>
        <v/>
      </c>
      <c r="I1760" t="str">
        <f>+IFERROR(VLOOKUP(D1760,Conceptos_Analítica_contraloría[#All],2,0),"")</f>
        <v/>
      </c>
      <c r="J1760" s="84" t="str">
        <f>+IFERROR(VLOOKUP(D1760,Conceptos_Analítica_contraloría[#All],3,0),"")</f>
        <v/>
      </c>
    </row>
    <row r="1761" spans="3:10" ht="18.75" customHeight="1" x14ac:dyDescent="0.35">
      <c r="C1761" s="100" t="str">
        <f>IF(OR(Fact_Analitica[[#This Row], [Año]]="",Fact_Analitica[[#This Row], [Mes]]=""),"",DATE(A1761,MATCH(B1761,{"enero","febrero","marzo","abril","mayo","junio","julio","agosto","septiembre","octubre","noviembre","diciembre"},0)+1,0))</f>
        <v/>
      </c>
      <c r="E1761" t="str">
        <f>+IFERROR(VLOOKUP(Fact_Analitica[[#This Row], [Concepto Anterior]],Conceptos_Analítica_contraloría[#All],5,0),"")</f>
        <v/>
      </c>
      <c r="F1761" t="str">
        <f>+IFERROR(VLOOKUP(Fact_Analitica[[#This Row], [Concepto Anterior]],Conceptos_Analítica_contraloría[#All],7,0),"")</f>
        <v/>
      </c>
      <c r="I1761" t="str">
        <f>+IFERROR(VLOOKUP(D1761,Conceptos_Analítica_contraloría[#All],2,0),"")</f>
        <v/>
      </c>
      <c r="J1761" s="84" t="str">
        <f>+IFERROR(VLOOKUP(D1761,Conceptos_Analítica_contraloría[#All],3,0),"")</f>
        <v/>
      </c>
    </row>
    <row r="1762" spans="3:10" ht="18.75" customHeight="1" x14ac:dyDescent="0.35">
      <c r="C1762" s="100" t="str">
        <f>IF(OR(Fact_Analitica[[#This Row], [Año]]="",Fact_Analitica[[#This Row], [Mes]]=""),"",DATE(A1762,MATCH(B1762,{"enero","febrero","marzo","abril","mayo","junio","julio","agosto","septiembre","octubre","noviembre","diciembre"},0)+1,0))</f>
        <v/>
      </c>
      <c r="E1762" t="str">
        <f>+IFERROR(VLOOKUP(Fact_Analitica[[#This Row], [Concepto Anterior]],Conceptos_Analítica_contraloría[#All],5,0),"")</f>
        <v/>
      </c>
      <c r="F1762" t="str">
        <f>+IFERROR(VLOOKUP(Fact_Analitica[[#This Row], [Concepto Anterior]],Conceptos_Analítica_contraloría[#All],7,0),"")</f>
        <v/>
      </c>
      <c r="I1762" t="str">
        <f>+IFERROR(VLOOKUP(D1762,Conceptos_Analítica_contraloría[#All],2,0),"")</f>
        <v/>
      </c>
      <c r="J1762" s="84" t="str">
        <f>+IFERROR(VLOOKUP(D1762,Conceptos_Analítica_contraloría[#All],3,0),"")</f>
        <v/>
      </c>
    </row>
    <row r="1763" spans="3:10" ht="18.75" customHeight="1" x14ac:dyDescent="0.35">
      <c r="C1763" s="100" t="str">
        <f>IF(OR(Fact_Analitica[[#This Row], [Año]]="",Fact_Analitica[[#This Row], [Mes]]=""),"",DATE(A1763,MATCH(B1763,{"enero","febrero","marzo","abril","mayo","junio","julio","agosto","septiembre","octubre","noviembre","diciembre"},0)+1,0))</f>
        <v/>
      </c>
      <c r="E1763" t="str">
        <f>+IFERROR(VLOOKUP(Fact_Analitica[[#This Row], [Concepto Anterior]],Conceptos_Analítica_contraloría[#All],5,0),"")</f>
        <v/>
      </c>
      <c r="F1763" t="str">
        <f>+IFERROR(VLOOKUP(Fact_Analitica[[#This Row], [Concepto Anterior]],Conceptos_Analítica_contraloría[#All],7,0),"")</f>
        <v/>
      </c>
      <c r="I1763" t="str">
        <f>+IFERROR(VLOOKUP(D1763,Conceptos_Analítica_contraloría[#All],2,0),"")</f>
        <v/>
      </c>
      <c r="J1763" s="84" t="str">
        <f>+IFERROR(VLOOKUP(D1763,Conceptos_Analítica_contraloría[#All],3,0),"")</f>
        <v/>
      </c>
    </row>
    <row r="1764" spans="3:10" ht="18.75" customHeight="1" x14ac:dyDescent="0.35">
      <c r="C1764" s="100" t="str">
        <f>IF(OR(Fact_Analitica[[#This Row], [Año]]="",Fact_Analitica[[#This Row], [Mes]]=""),"",DATE(A1764,MATCH(B1764,{"enero","febrero","marzo","abril","mayo","junio","julio","agosto","septiembre","octubre","noviembre","diciembre"},0)+1,0))</f>
        <v/>
      </c>
      <c r="E1764" t="str">
        <f>+IFERROR(VLOOKUP(Fact_Analitica[[#This Row], [Concepto Anterior]],Conceptos_Analítica_contraloría[#All],5,0),"")</f>
        <v/>
      </c>
      <c r="F1764" t="str">
        <f>+IFERROR(VLOOKUP(Fact_Analitica[[#This Row], [Concepto Anterior]],Conceptos_Analítica_contraloría[#All],7,0),"")</f>
        <v/>
      </c>
      <c r="I1764" t="str">
        <f>+IFERROR(VLOOKUP(D1764,Conceptos_Analítica_contraloría[#All],2,0),"")</f>
        <v/>
      </c>
      <c r="J1764" s="84" t="str">
        <f>+IFERROR(VLOOKUP(D1764,Conceptos_Analítica_contraloría[#All],3,0),"")</f>
        <v/>
      </c>
    </row>
    <row r="1765" spans="3:10" ht="18.75" customHeight="1" x14ac:dyDescent="0.35">
      <c r="C1765" s="100" t="str">
        <f>IF(OR(Fact_Analitica[[#This Row], [Año]]="",Fact_Analitica[[#This Row], [Mes]]=""),"",DATE(A1765,MATCH(B1765,{"enero","febrero","marzo","abril","mayo","junio","julio","agosto","septiembre","octubre","noviembre","diciembre"},0)+1,0))</f>
        <v/>
      </c>
      <c r="E1765" t="str">
        <f>+IFERROR(VLOOKUP(Fact_Analitica[[#This Row], [Concepto Anterior]],Conceptos_Analítica_contraloría[#All],5,0),"")</f>
        <v/>
      </c>
      <c r="F1765" t="str">
        <f>+IFERROR(VLOOKUP(Fact_Analitica[[#This Row], [Concepto Anterior]],Conceptos_Analítica_contraloría[#All],7,0),"")</f>
        <v/>
      </c>
      <c r="I1765" t="str">
        <f>+IFERROR(VLOOKUP(D1765,Conceptos_Analítica_contraloría[#All],2,0),"")</f>
        <v/>
      </c>
      <c r="J1765" s="84" t="str">
        <f>+IFERROR(VLOOKUP(D1765,Conceptos_Analítica_contraloría[#All],3,0),"")</f>
        <v/>
      </c>
    </row>
    <row r="1766" spans="3:10" ht="18.75" customHeight="1" x14ac:dyDescent="0.35">
      <c r="C1766" s="100" t="str">
        <f>IF(OR(Fact_Analitica[[#This Row], [Año]]="",Fact_Analitica[[#This Row], [Mes]]=""),"",DATE(A1766,MATCH(B1766,{"enero","febrero","marzo","abril","mayo","junio","julio","agosto","septiembre","octubre","noviembre","diciembre"},0)+1,0))</f>
        <v/>
      </c>
      <c r="E1766" t="str">
        <f>+IFERROR(VLOOKUP(Fact_Analitica[[#This Row], [Concepto Anterior]],Conceptos_Analítica_contraloría[#All],5,0),"")</f>
        <v/>
      </c>
      <c r="F1766" t="str">
        <f>+IFERROR(VLOOKUP(Fact_Analitica[[#This Row], [Concepto Anterior]],Conceptos_Analítica_contraloría[#All],7,0),"")</f>
        <v/>
      </c>
      <c r="I1766" t="str">
        <f>+IFERROR(VLOOKUP(D1766,Conceptos_Analítica_contraloría[#All],2,0),"")</f>
        <v/>
      </c>
      <c r="J1766" s="84" t="str">
        <f>+IFERROR(VLOOKUP(D1766,Conceptos_Analítica_contraloría[#All],3,0),"")</f>
        <v/>
      </c>
    </row>
    <row r="1767" spans="3:10" ht="18.75" customHeight="1" x14ac:dyDescent="0.35">
      <c r="C1767" s="100" t="str">
        <f>IF(OR(Fact_Analitica[[#This Row], [Año]]="",Fact_Analitica[[#This Row], [Mes]]=""),"",DATE(A1767,MATCH(B1767,{"enero","febrero","marzo","abril","mayo","junio","julio","agosto","septiembre","octubre","noviembre","diciembre"},0)+1,0))</f>
        <v/>
      </c>
      <c r="E1767" t="str">
        <f>+IFERROR(VLOOKUP(Fact_Analitica[[#This Row], [Concepto Anterior]],Conceptos_Analítica_contraloría[#All],5,0),"")</f>
        <v/>
      </c>
      <c r="F1767" t="str">
        <f>+IFERROR(VLOOKUP(Fact_Analitica[[#This Row], [Concepto Anterior]],Conceptos_Analítica_contraloría[#All],7,0),"")</f>
        <v/>
      </c>
      <c r="I1767" t="str">
        <f>+IFERROR(VLOOKUP(D1767,Conceptos_Analítica_contraloría[#All],2,0),"")</f>
        <v/>
      </c>
      <c r="J1767" s="84" t="str">
        <f>+IFERROR(VLOOKUP(D1767,Conceptos_Analítica_contraloría[#All],3,0),"")</f>
        <v/>
      </c>
    </row>
    <row r="1768" spans="3:10" ht="18.75" customHeight="1" x14ac:dyDescent="0.35">
      <c r="C1768" s="100" t="str">
        <f>IF(OR(Fact_Analitica[[#This Row], [Año]]="",Fact_Analitica[[#This Row], [Mes]]=""),"",DATE(A1768,MATCH(B1768,{"enero","febrero","marzo","abril","mayo","junio","julio","agosto","septiembre","octubre","noviembre","diciembre"},0)+1,0))</f>
        <v/>
      </c>
      <c r="E1768" t="str">
        <f>+IFERROR(VLOOKUP(Fact_Analitica[[#This Row], [Concepto Anterior]],Conceptos_Analítica_contraloría[#All],5,0),"")</f>
        <v/>
      </c>
      <c r="F1768" t="str">
        <f>+IFERROR(VLOOKUP(Fact_Analitica[[#This Row], [Concepto Anterior]],Conceptos_Analítica_contraloría[#All],7,0),"")</f>
        <v/>
      </c>
      <c r="I1768" t="str">
        <f>+IFERROR(VLOOKUP(D1768,Conceptos_Analítica_contraloría[#All],2,0),"")</f>
        <v/>
      </c>
      <c r="J1768" s="84" t="str">
        <f>+IFERROR(VLOOKUP(D1768,Conceptos_Analítica_contraloría[#All],3,0),"")</f>
        <v/>
      </c>
    </row>
    <row r="1769" spans="3:10" ht="18.75" customHeight="1" x14ac:dyDescent="0.35">
      <c r="C1769" s="100" t="str">
        <f>IF(OR(Fact_Analitica[[#This Row], [Año]]="",Fact_Analitica[[#This Row], [Mes]]=""),"",DATE(A1769,MATCH(B1769,{"enero","febrero","marzo","abril","mayo","junio","julio","agosto","septiembre","octubre","noviembre","diciembre"},0)+1,0))</f>
        <v/>
      </c>
      <c r="E1769" t="str">
        <f>+IFERROR(VLOOKUP(Fact_Analitica[[#This Row], [Concepto Anterior]],Conceptos_Analítica_contraloría[#All],5,0),"")</f>
        <v/>
      </c>
      <c r="F1769" t="str">
        <f>+IFERROR(VLOOKUP(Fact_Analitica[[#This Row], [Concepto Anterior]],Conceptos_Analítica_contraloría[#All],7,0),"")</f>
        <v/>
      </c>
      <c r="I1769" t="str">
        <f>+IFERROR(VLOOKUP(D1769,Conceptos_Analítica_contraloría[#All],2,0),"")</f>
        <v/>
      </c>
      <c r="J1769" s="84" t="str">
        <f>+IFERROR(VLOOKUP(D1769,Conceptos_Analítica_contraloría[#All],3,0),"")</f>
        <v/>
      </c>
    </row>
    <row r="1770" spans="3:10" ht="18.75" customHeight="1" x14ac:dyDescent="0.35">
      <c r="C1770" s="100" t="str">
        <f>IF(OR(Fact_Analitica[[#This Row], [Año]]="",Fact_Analitica[[#This Row], [Mes]]=""),"",DATE(A1770,MATCH(B1770,{"enero","febrero","marzo","abril","mayo","junio","julio","agosto","septiembre","octubre","noviembre","diciembre"},0)+1,0))</f>
        <v/>
      </c>
      <c r="E1770" t="str">
        <f>+IFERROR(VLOOKUP(Fact_Analitica[[#This Row], [Concepto Anterior]],Conceptos_Analítica_contraloría[#All],5,0),"")</f>
        <v/>
      </c>
      <c r="F1770" t="str">
        <f>+IFERROR(VLOOKUP(Fact_Analitica[[#This Row], [Concepto Anterior]],Conceptos_Analítica_contraloría[#All],7,0),"")</f>
        <v/>
      </c>
      <c r="I1770" t="str">
        <f>+IFERROR(VLOOKUP(D1770,Conceptos_Analítica_contraloría[#All],2,0),"")</f>
        <v/>
      </c>
      <c r="J1770" s="84" t="str">
        <f>+IFERROR(VLOOKUP(D1770,Conceptos_Analítica_contraloría[#All],3,0),"")</f>
        <v/>
      </c>
    </row>
    <row r="1771" spans="3:10" ht="18.75" customHeight="1" x14ac:dyDescent="0.35">
      <c r="C1771" s="100" t="str">
        <f>IF(OR(Fact_Analitica[[#This Row], [Año]]="",Fact_Analitica[[#This Row], [Mes]]=""),"",DATE(A1771,MATCH(B1771,{"enero","febrero","marzo","abril","mayo","junio","julio","agosto","septiembre","octubre","noviembre","diciembre"},0)+1,0))</f>
        <v/>
      </c>
      <c r="E1771" t="str">
        <f>+IFERROR(VLOOKUP(Fact_Analitica[[#This Row], [Concepto Anterior]],Conceptos_Analítica_contraloría[#All],5,0),"")</f>
        <v/>
      </c>
      <c r="F1771" t="str">
        <f>+IFERROR(VLOOKUP(Fact_Analitica[[#This Row], [Concepto Anterior]],Conceptos_Analítica_contraloría[#All],7,0),"")</f>
        <v/>
      </c>
      <c r="I1771" t="str">
        <f>+IFERROR(VLOOKUP(D1771,Conceptos_Analítica_contraloría[#All],2,0),"")</f>
        <v/>
      </c>
      <c r="J1771" s="84" t="str">
        <f>+IFERROR(VLOOKUP(D1771,Conceptos_Analítica_contraloría[#All],3,0),"")</f>
        <v/>
      </c>
    </row>
    <row r="1772" spans="3:10" ht="18.75" customHeight="1" x14ac:dyDescent="0.35">
      <c r="C1772" s="100" t="str">
        <f>IF(OR(Fact_Analitica[[#This Row], [Año]]="",Fact_Analitica[[#This Row], [Mes]]=""),"",DATE(A1772,MATCH(B1772,{"enero","febrero","marzo","abril","mayo","junio","julio","agosto","septiembre","octubre","noviembre","diciembre"},0)+1,0))</f>
        <v/>
      </c>
      <c r="E1772" t="str">
        <f>+IFERROR(VLOOKUP(Fact_Analitica[[#This Row], [Concepto Anterior]],Conceptos_Analítica_contraloría[#All],5,0),"")</f>
        <v/>
      </c>
      <c r="F1772" t="str">
        <f>+IFERROR(VLOOKUP(Fact_Analitica[[#This Row], [Concepto Anterior]],Conceptos_Analítica_contraloría[#All],7,0),"")</f>
        <v/>
      </c>
      <c r="I1772" t="str">
        <f>+IFERROR(VLOOKUP(D1772,Conceptos_Analítica_contraloría[#All],2,0),"")</f>
        <v/>
      </c>
      <c r="J1772" s="84" t="str">
        <f>+IFERROR(VLOOKUP(D1772,Conceptos_Analítica_contraloría[#All],3,0),"")</f>
        <v/>
      </c>
    </row>
    <row r="1773" spans="3:10" ht="18.75" customHeight="1" x14ac:dyDescent="0.35">
      <c r="C1773" s="100" t="str">
        <f>IF(OR(Fact_Analitica[[#This Row], [Año]]="",Fact_Analitica[[#This Row], [Mes]]=""),"",DATE(A1773,MATCH(B1773,{"enero","febrero","marzo","abril","mayo","junio","julio","agosto","septiembre","octubre","noviembre","diciembre"},0)+1,0))</f>
        <v/>
      </c>
      <c r="E1773" t="str">
        <f>+IFERROR(VLOOKUP(Fact_Analitica[[#This Row], [Concepto Anterior]],Conceptos_Analítica_contraloría[#All],5,0),"")</f>
        <v/>
      </c>
      <c r="F1773" t="str">
        <f>+IFERROR(VLOOKUP(Fact_Analitica[[#This Row], [Concepto Anterior]],Conceptos_Analítica_contraloría[#All],7,0),"")</f>
        <v/>
      </c>
      <c r="I1773" t="str">
        <f>+IFERROR(VLOOKUP(D1773,Conceptos_Analítica_contraloría[#All],2,0),"")</f>
        <v/>
      </c>
      <c r="J1773" s="84" t="str">
        <f>+IFERROR(VLOOKUP(D1773,Conceptos_Analítica_contraloría[#All],3,0),"")</f>
        <v/>
      </c>
    </row>
    <row r="1774" spans="3:10" ht="18.75" customHeight="1" x14ac:dyDescent="0.35">
      <c r="C1774" s="100" t="str">
        <f>IF(OR(Fact_Analitica[[#This Row], [Año]]="",Fact_Analitica[[#This Row], [Mes]]=""),"",DATE(A1774,MATCH(B1774,{"enero","febrero","marzo","abril","mayo","junio","julio","agosto","septiembre","octubre","noviembre","diciembre"},0)+1,0))</f>
        <v/>
      </c>
      <c r="E1774" t="str">
        <f>+IFERROR(VLOOKUP(Fact_Analitica[[#This Row], [Concepto Anterior]],Conceptos_Analítica_contraloría[#All],5,0),"")</f>
        <v/>
      </c>
      <c r="F1774" t="str">
        <f>+IFERROR(VLOOKUP(Fact_Analitica[[#This Row], [Concepto Anterior]],Conceptos_Analítica_contraloría[#All],7,0),"")</f>
        <v/>
      </c>
      <c r="I1774" t="str">
        <f>+IFERROR(VLOOKUP(D1774,Conceptos_Analítica_contraloría[#All],2,0),"")</f>
        <v/>
      </c>
      <c r="J1774" s="84" t="str">
        <f>+IFERROR(VLOOKUP(D1774,Conceptos_Analítica_contraloría[#All],3,0),"")</f>
        <v/>
      </c>
    </row>
    <row r="1775" spans="3:10" ht="18.75" customHeight="1" x14ac:dyDescent="0.35">
      <c r="C1775" s="100" t="str">
        <f>IF(OR(Fact_Analitica[[#This Row], [Año]]="",Fact_Analitica[[#This Row], [Mes]]=""),"",DATE(A1775,MATCH(B1775,{"enero","febrero","marzo","abril","mayo","junio","julio","agosto","septiembre","octubre","noviembre","diciembre"},0)+1,0))</f>
        <v/>
      </c>
      <c r="E1775" t="str">
        <f>+IFERROR(VLOOKUP(Fact_Analitica[[#This Row], [Concepto Anterior]],Conceptos_Analítica_contraloría[#All],5,0),"")</f>
        <v/>
      </c>
      <c r="F1775" t="str">
        <f>+IFERROR(VLOOKUP(Fact_Analitica[[#This Row], [Concepto Anterior]],Conceptos_Analítica_contraloría[#All],7,0),"")</f>
        <v/>
      </c>
      <c r="I1775" t="str">
        <f>+IFERROR(VLOOKUP(D1775,Conceptos_Analítica_contraloría[#All],2,0),"")</f>
        <v/>
      </c>
      <c r="J1775" s="84" t="str">
        <f>+IFERROR(VLOOKUP(D1775,Conceptos_Analítica_contraloría[#All],3,0),"")</f>
        <v/>
      </c>
    </row>
    <row r="1776" spans="3:10" ht="18.75" customHeight="1" x14ac:dyDescent="0.35">
      <c r="C1776" s="100" t="str">
        <f>IF(OR(Fact_Analitica[[#This Row], [Año]]="",Fact_Analitica[[#This Row], [Mes]]=""),"",DATE(A1776,MATCH(B1776,{"enero","febrero","marzo","abril","mayo","junio","julio","agosto","septiembre","octubre","noviembre","diciembre"},0)+1,0))</f>
        <v/>
      </c>
      <c r="E1776" t="str">
        <f>+IFERROR(VLOOKUP(Fact_Analitica[[#This Row], [Concepto Anterior]],Conceptos_Analítica_contraloría[#All],5,0),"")</f>
        <v/>
      </c>
      <c r="F1776" t="str">
        <f>+IFERROR(VLOOKUP(Fact_Analitica[[#This Row], [Concepto Anterior]],Conceptos_Analítica_contraloría[#All],7,0),"")</f>
        <v/>
      </c>
      <c r="I1776" t="str">
        <f>+IFERROR(VLOOKUP(D1776,Conceptos_Analítica_contraloría[#All],2,0),"")</f>
        <v/>
      </c>
      <c r="J1776" s="84" t="str">
        <f>+IFERROR(VLOOKUP(D1776,Conceptos_Analítica_contraloría[#All],3,0),"")</f>
        <v/>
      </c>
    </row>
    <row r="1777" spans="3:10" ht="18.75" customHeight="1" x14ac:dyDescent="0.35">
      <c r="C1777" s="100" t="str">
        <f>IF(OR(Fact_Analitica[[#This Row], [Año]]="",Fact_Analitica[[#This Row], [Mes]]=""),"",DATE(A1777,MATCH(B1777,{"enero","febrero","marzo","abril","mayo","junio","julio","agosto","septiembre","octubre","noviembre","diciembre"},0)+1,0))</f>
        <v/>
      </c>
      <c r="E1777" t="str">
        <f>+IFERROR(VLOOKUP(Fact_Analitica[[#This Row], [Concepto Anterior]],Conceptos_Analítica_contraloría[#All],5,0),"")</f>
        <v/>
      </c>
      <c r="F1777" t="str">
        <f>+IFERROR(VLOOKUP(Fact_Analitica[[#This Row], [Concepto Anterior]],Conceptos_Analítica_contraloría[#All],7,0),"")</f>
        <v/>
      </c>
      <c r="I1777" t="str">
        <f>+IFERROR(VLOOKUP(D1777,Conceptos_Analítica_contraloría[#All],2,0),"")</f>
        <v/>
      </c>
      <c r="J1777" s="84" t="str">
        <f>+IFERROR(VLOOKUP(D1777,Conceptos_Analítica_contraloría[#All],3,0),"")</f>
        <v/>
      </c>
    </row>
    <row r="1778" spans="3:10" ht="18.75" customHeight="1" x14ac:dyDescent="0.35">
      <c r="C1778" s="100" t="str">
        <f>IF(OR(Fact_Analitica[[#This Row], [Año]]="",Fact_Analitica[[#This Row], [Mes]]=""),"",DATE(A1778,MATCH(B1778,{"enero","febrero","marzo","abril","mayo","junio","julio","agosto","septiembre","octubre","noviembre","diciembre"},0)+1,0))</f>
        <v/>
      </c>
      <c r="E1778" t="str">
        <f>+IFERROR(VLOOKUP(Fact_Analitica[[#This Row], [Concepto Anterior]],Conceptos_Analítica_contraloría[#All],5,0),"")</f>
        <v/>
      </c>
      <c r="F1778" t="str">
        <f>+IFERROR(VLOOKUP(Fact_Analitica[[#This Row], [Concepto Anterior]],Conceptos_Analítica_contraloría[#All],7,0),"")</f>
        <v/>
      </c>
      <c r="I1778" t="str">
        <f>+IFERROR(VLOOKUP(D1778,Conceptos_Analítica_contraloría[#All],2,0),"")</f>
        <v/>
      </c>
      <c r="J1778" s="84" t="str">
        <f>+IFERROR(VLOOKUP(D1778,Conceptos_Analítica_contraloría[#All],3,0),"")</f>
        <v/>
      </c>
    </row>
    <row r="1779" spans="3:10" ht="18.75" customHeight="1" x14ac:dyDescent="0.35">
      <c r="C1779" s="100" t="str">
        <f>IF(OR(Fact_Analitica[[#This Row], [Año]]="",Fact_Analitica[[#This Row], [Mes]]=""),"",DATE(A1779,MATCH(B1779,{"enero","febrero","marzo","abril","mayo","junio","julio","agosto","septiembre","octubre","noviembre","diciembre"},0)+1,0))</f>
        <v/>
      </c>
      <c r="E1779" t="str">
        <f>+IFERROR(VLOOKUP(Fact_Analitica[[#This Row], [Concepto Anterior]],Conceptos_Analítica_contraloría[#All],5,0),"")</f>
        <v/>
      </c>
      <c r="F1779" t="str">
        <f>+IFERROR(VLOOKUP(Fact_Analitica[[#This Row], [Concepto Anterior]],Conceptos_Analítica_contraloría[#All],7,0),"")</f>
        <v/>
      </c>
      <c r="I1779" t="str">
        <f>+IFERROR(VLOOKUP(D1779,Conceptos_Analítica_contraloría[#All],2,0),"")</f>
        <v/>
      </c>
      <c r="J1779" s="84" t="str">
        <f>+IFERROR(VLOOKUP(D1779,Conceptos_Analítica_contraloría[#All],3,0),"")</f>
        <v/>
      </c>
    </row>
    <row r="1780" spans="3:10" ht="18.75" customHeight="1" x14ac:dyDescent="0.35">
      <c r="C1780" s="100" t="str">
        <f>IF(OR(Fact_Analitica[[#This Row], [Año]]="",Fact_Analitica[[#This Row], [Mes]]=""),"",DATE(A1780,MATCH(B1780,{"enero","febrero","marzo","abril","mayo","junio","julio","agosto","septiembre","octubre","noviembre","diciembre"},0)+1,0))</f>
        <v/>
      </c>
      <c r="E1780" t="str">
        <f>+IFERROR(VLOOKUP(Fact_Analitica[[#This Row], [Concepto Anterior]],Conceptos_Analítica_contraloría[#All],5,0),"")</f>
        <v/>
      </c>
      <c r="F1780" t="str">
        <f>+IFERROR(VLOOKUP(Fact_Analitica[[#This Row], [Concepto Anterior]],Conceptos_Analítica_contraloría[#All],7,0),"")</f>
        <v/>
      </c>
      <c r="I1780" t="str">
        <f>+IFERROR(VLOOKUP(D1780,Conceptos_Analítica_contraloría[#All],2,0),"")</f>
        <v/>
      </c>
      <c r="J1780" s="84" t="str">
        <f>+IFERROR(VLOOKUP(D1780,Conceptos_Analítica_contraloría[#All],3,0),"")</f>
        <v/>
      </c>
    </row>
    <row r="1781" spans="3:10" ht="18.75" customHeight="1" x14ac:dyDescent="0.35">
      <c r="C1781" s="100" t="str">
        <f>IF(OR(Fact_Analitica[[#This Row], [Año]]="",Fact_Analitica[[#This Row], [Mes]]=""),"",DATE(A1781,MATCH(B1781,{"enero","febrero","marzo","abril","mayo","junio","julio","agosto","septiembre","octubre","noviembre","diciembre"},0)+1,0))</f>
        <v/>
      </c>
      <c r="E1781" t="str">
        <f>+IFERROR(VLOOKUP(Fact_Analitica[[#This Row], [Concepto Anterior]],Conceptos_Analítica_contraloría[#All],5,0),"")</f>
        <v/>
      </c>
      <c r="F1781" t="str">
        <f>+IFERROR(VLOOKUP(Fact_Analitica[[#This Row], [Concepto Anterior]],Conceptos_Analítica_contraloría[#All],7,0),"")</f>
        <v/>
      </c>
      <c r="I1781" t="str">
        <f>+IFERROR(VLOOKUP(D1781,Conceptos_Analítica_contraloría[#All],2,0),"")</f>
        <v/>
      </c>
      <c r="J1781" s="84" t="str">
        <f>+IFERROR(VLOOKUP(D1781,Conceptos_Analítica_contraloría[#All],3,0),"")</f>
        <v/>
      </c>
    </row>
    <row r="1782" spans="3:10" ht="18.75" customHeight="1" x14ac:dyDescent="0.35">
      <c r="C1782" s="100" t="str">
        <f>IF(OR(Fact_Analitica[[#This Row], [Año]]="",Fact_Analitica[[#This Row], [Mes]]=""),"",DATE(A1782,MATCH(B1782,{"enero","febrero","marzo","abril","mayo","junio","julio","agosto","septiembre","octubre","noviembre","diciembre"},0)+1,0))</f>
        <v/>
      </c>
      <c r="E1782" t="str">
        <f>+IFERROR(VLOOKUP(Fact_Analitica[[#This Row], [Concepto Anterior]],Conceptos_Analítica_contraloría[#All],5,0),"")</f>
        <v/>
      </c>
      <c r="F1782" t="str">
        <f>+IFERROR(VLOOKUP(Fact_Analitica[[#This Row], [Concepto Anterior]],Conceptos_Analítica_contraloría[#All],7,0),"")</f>
        <v/>
      </c>
      <c r="I1782" t="str">
        <f>+IFERROR(VLOOKUP(D1782,Conceptos_Analítica_contraloría[#All],2,0),"")</f>
        <v/>
      </c>
      <c r="J1782" s="84" t="str">
        <f>+IFERROR(VLOOKUP(D1782,Conceptos_Analítica_contraloría[#All],3,0),"")</f>
        <v/>
      </c>
    </row>
    <row r="1783" spans="3:10" ht="18.75" customHeight="1" x14ac:dyDescent="0.35">
      <c r="C1783" s="100" t="str">
        <f>IF(OR(Fact_Analitica[[#This Row], [Año]]="",Fact_Analitica[[#This Row], [Mes]]=""),"",DATE(A1783,MATCH(B1783,{"enero","febrero","marzo","abril","mayo","junio","julio","agosto","septiembre","octubre","noviembre","diciembre"},0)+1,0))</f>
        <v/>
      </c>
      <c r="E1783" t="str">
        <f>+IFERROR(VLOOKUP(Fact_Analitica[[#This Row], [Concepto Anterior]],Conceptos_Analítica_contraloría[#All],5,0),"")</f>
        <v/>
      </c>
      <c r="F1783" t="str">
        <f>+IFERROR(VLOOKUP(Fact_Analitica[[#This Row], [Concepto Anterior]],Conceptos_Analítica_contraloría[#All],7,0),"")</f>
        <v/>
      </c>
      <c r="I1783" t="str">
        <f>+IFERROR(VLOOKUP(D1783,Conceptos_Analítica_contraloría[#All],2,0),"")</f>
        <v/>
      </c>
      <c r="J1783" s="84" t="str">
        <f>+IFERROR(VLOOKUP(D1783,Conceptos_Analítica_contraloría[#All],3,0),"")</f>
        <v/>
      </c>
    </row>
    <row r="1784" spans="3:10" ht="18.75" customHeight="1" x14ac:dyDescent="0.35">
      <c r="C1784" s="100" t="str">
        <f>IF(OR(Fact_Analitica[[#This Row], [Año]]="",Fact_Analitica[[#This Row], [Mes]]=""),"",DATE(A1784,MATCH(B1784,{"enero","febrero","marzo","abril","mayo","junio","julio","agosto","septiembre","octubre","noviembre","diciembre"},0)+1,0))</f>
        <v/>
      </c>
      <c r="E1784" t="str">
        <f>+IFERROR(VLOOKUP(Fact_Analitica[[#This Row], [Concepto Anterior]],Conceptos_Analítica_contraloría[#All],5,0),"")</f>
        <v/>
      </c>
      <c r="F1784" t="str">
        <f>+IFERROR(VLOOKUP(Fact_Analitica[[#This Row], [Concepto Anterior]],Conceptos_Analítica_contraloría[#All],7,0),"")</f>
        <v/>
      </c>
      <c r="I1784" t="str">
        <f>+IFERROR(VLOOKUP(D1784,Conceptos_Analítica_contraloría[#All],2,0),"")</f>
        <v/>
      </c>
      <c r="J1784" s="84" t="str">
        <f>+IFERROR(VLOOKUP(D1784,Conceptos_Analítica_contraloría[#All],3,0),"")</f>
        <v/>
      </c>
    </row>
    <row r="1785" spans="3:10" ht="18.75" customHeight="1" x14ac:dyDescent="0.35">
      <c r="C1785" s="100" t="str">
        <f>IF(OR(Fact_Analitica[[#This Row], [Año]]="",Fact_Analitica[[#This Row], [Mes]]=""),"",DATE(A1785,MATCH(B1785,{"enero","febrero","marzo","abril","mayo","junio","julio","agosto","septiembre","octubre","noviembre","diciembre"},0)+1,0))</f>
        <v/>
      </c>
      <c r="E1785" t="str">
        <f>+IFERROR(VLOOKUP(Fact_Analitica[[#This Row], [Concepto Anterior]],Conceptos_Analítica_contraloría[#All],5,0),"")</f>
        <v/>
      </c>
      <c r="F1785" t="str">
        <f>+IFERROR(VLOOKUP(Fact_Analitica[[#This Row], [Concepto Anterior]],Conceptos_Analítica_contraloría[#All],7,0),"")</f>
        <v/>
      </c>
      <c r="I1785" t="str">
        <f>+IFERROR(VLOOKUP(D1785,Conceptos_Analítica_contraloría[#All],2,0),"")</f>
        <v/>
      </c>
      <c r="J1785" s="84" t="str">
        <f>+IFERROR(VLOOKUP(D1785,Conceptos_Analítica_contraloría[#All],3,0),"")</f>
        <v/>
      </c>
    </row>
    <row r="1786" spans="3:10" ht="18.75" customHeight="1" x14ac:dyDescent="0.35">
      <c r="C1786" s="100" t="str">
        <f>IF(OR(Fact_Analitica[[#This Row], [Año]]="",Fact_Analitica[[#This Row], [Mes]]=""),"",DATE(A1786,MATCH(B1786,{"enero","febrero","marzo","abril","mayo","junio","julio","agosto","septiembre","octubre","noviembre","diciembre"},0)+1,0))</f>
        <v/>
      </c>
      <c r="E1786" t="str">
        <f>+IFERROR(VLOOKUP(Fact_Analitica[[#This Row], [Concepto Anterior]],Conceptos_Analítica_contraloría[#All],5,0),"")</f>
        <v/>
      </c>
      <c r="F1786" t="str">
        <f>+IFERROR(VLOOKUP(Fact_Analitica[[#This Row], [Concepto Anterior]],Conceptos_Analítica_contraloría[#All],7,0),"")</f>
        <v/>
      </c>
      <c r="I1786" t="str">
        <f>+IFERROR(VLOOKUP(D1786,Conceptos_Analítica_contraloría[#All],2,0),"")</f>
        <v/>
      </c>
      <c r="J1786" s="84" t="str">
        <f>+IFERROR(VLOOKUP(D1786,Conceptos_Analítica_contraloría[#All],3,0),"")</f>
        <v/>
      </c>
    </row>
    <row r="1787" spans="3:10" ht="18.75" customHeight="1" x14ac:dyDescent="0.35">
      <c r="C1787" s="100" t="str">
        <f>IF(OR(Fact_Analitica[[#This Row], [Año]]="",Fact_Analitica[[#This Row], [Mes]]=""),"",DATE(A1787,MATCH(B1787,{"enero","febrero","marzo","abril","mayo","junio","julio","agosto","septiembre","octubre","noviembre","diciembre"},0)+1,0))</f>
        <v/>
      </c>
      <c r="E1787" t="str">
        <f>+IFERROR(VLOOKUP(Fact_Analitica[[#This Row], [Concepto Anterior]],Conceptos_Analítica_contraloría[#All],5,0),"")</f>
        <v/>
      </c>
      <c r="F1787" t="str">
        <f>+IFERROR(VLOOKUP(Fact_Analitica[[#This Row], [Concepto Anterior]],Conceptos_Analítica_contraloría[#All],7,0),"")</f>
        <v/>
      </c>
      <c r="I1787" t="str">
        <f>+IFERROR(VLOOKUP(D1787,Conceptos_Analítica_contraloría[#All],2,0),"")</f>
        <v/>
      </c>
      <c r="J1787" s="84" t="str">
        <f>+IFERROR(VLOOKUP(D1787,Conceptos_Analítica_contraloría[#All],3,0),"")</f>
        <v/>
      </c>
    </row>
    <row r="1788" spans="3:10" ht="18.75" customHeight="1" x14ac:dyDescent="0.35">
      <c r="C1788" s="100" t="str">
        <f>IF(OR(Fact_Analitica[[#This Row], [Año]]="",Fact_Analitica[[#This Row], [Mes]]=""),"",DATE(A1788,MATCH(B1788,{"enero","febrero","marzo","abril","mayo","junio","julio","agosto","septiembre","octubre","noviembre","diciembre"},0)+1,0))</f>
        <v/>
      </c>
      <c r="E1788" t="str">
        <f>+IFERROR(VLOOKUP(Fact_Analitica[[#This Row], [Concepto Anterior]],Conceptos_Analítica_contraloría[#All],5,0),"")</f>
        <v/>
      </c>
      <c r="F1788" t="str">
        <f>+IFERROR(VLOOKUP(Fact_Analitica[[#This Row], [Concepto Anterior]],Conceptos_Analítica_contraloría[#All],7,0),"")</f>
        <v/>
      </c>
      <c r="I1788" t="str">
        <f>+IFERROR(VLOOKUP(D1788,Conceptos_Analítica_contraloría[#All],2,0),"")</f>
        <v/>
      </c>
      <c r="J1788" s="84" t="str">
        <f>+IFERROR(VLOOKUP(D1788,Conceptos_Analítica_contraloría[#All],3,0),"")</f>
        <v/>
      </c>
    </row>
    <row r="1789" spans="3:10" ht="18.75" customHeight="1" x14ac:dyDescent="0.35">
      <c r="C1789" s="100" t="str">
        <f>IF(OR(Fact_Analitica[[#This Row], [Año]]="",Fact_Analitica[[#This Row], [Mes]]=""),"",DATE(A1789,MATCH(B1789,{"enero","febrero","marzo","abril","mayo","junio","julio","agosto","septiembre","octubre","noviembre","diciembre"},0)+1,0))</f>
        <v/>
      </c>
      <c r="E1789" t="str">
        <f>+IFERROR(VLOOKUP(Fact_Analitica[[#This Row], [Concepto Anterior]],Conceptos_Analítica_contraloría[#All],5,0),"")</f>
        <v/>
      </c>
      <c r="F1789" t="str">
        <f>+IFERROR(VLOOKUP(Fact_Analitica[[#This Row], [Concepto Anterior]],Conceptos_Analítica_contraloría[#All],7,0),"")</f>
        <v/>
      </c>
      <c r="I1789" t="str">
        <f>+IFERROR(VLOOKUP(D1789,Conceptos_Analítica_contraloría[#All],2,0),"")</f>
        <v/>
      </c>
      <c r="J1789" s="84" t="str">
        <f>+IFERROR(VLOOKUP(D1789,Conceptos_Analítica_contraloría[#All],3,0),"")</f>
        <v/>
      </c>
    </row>
    <row r="1790" spans="3:10" ht="18.75" customHeight="1" x14ac:dyDescent="0.35">
      <c r="C1790" s="100" t="str">
        <f>IF(OR(Fact_Analitica[[#This Row], [Año]]="",Fact_Analitica[[#This Row], [Mes]]=""),"",DATE(A1790,MATCH(B1790,{"enero","febrero","marzo","abril","mayo","junio","julio","agosto","septiembre","octubre","noviembre","diciembre"},0)+1,0))</f>
        <v/>
      </c>
      <c r="E1790" t="str">
        <f>+IFERROR(VLOOKUP(Fact_Analitica[[#This Row], [Concepto Anterior]],Conceptos_Analítica_contraloría[#All],5,0),"")</f>
        <v/>
      </c>
      <c r="F1790" t="str">
        <f>+IFERROR(VLOOKUP(Fact_Analitica[[#This Row], [Concepto Anterior]],Conceptos_Analítica_contraloría[#All],7,0),"")</f>
        <v/>
      </c>
      <c r="I1790" t="str">
        <f>+IFERROR(VLOOKUP(D1790,Conceptos_Analítica_contraloría[#All],2,0),"")</f>
        <v/>
      </c>
      <c r="J1790" s="84" t="str">
        <f>+IFERROR(VLOOKUP(D1790,Conceptos_Analítica_contraloría[#All],3,0),"")</f>
        <v/>
      </c>
    </row>
    <row r="1791" spans="3:10" ht="18.75" customHeight="1" x14ac:dyDescent="0.35">
      <c r="C1791" s="100" t="str">
        <f>IF(OR(Fact_Analitica[[#This Row], [Año]]="",Fact_Analitica[[#This Row], [Mes]]=""),"",DATE(A1791,MATCH(B1791,{"enero","febrero","marzo","abril","mayo","junio","julio","agosto","septiembre","octubre","noviembre","diciembre"},0)+1,0))</f>
        <v/>
      </c>
      <c r="E1791" t="str">
        <f>+IFERROR(VLOOKUP(Fact_Analitica[[#This Row], [Concepto Anterior]],Conceptos_Analítica_contraloría[#All],5,0),"")</f>
        <v/>
      </c>
      <c r="F1791" t="str">
        <f>+IFERROR(VLOOKUP(Fact_Analitica[[#This Row], [Concepto Anterior]],Conceptos_Analítica_contraloría[#All],7,0),"")</f>
        <v/>
      </c>
      <c r="I1791" t="str">
        <f>+IFERROR(VLOOKUP(D1791,Conceptos_Analítica_contraloría[#All],2,0),"")</f>
        <v/>
      </c>
      <c r="J1791" s="84" t="str">
        <f>+IFERROR(VLOOKUP(D1791,Conceptos_Analítica_contraloría[#All],3,0),"")</f>
        <v/>
      </c>
    </row>
    <row r="1792" spans="3:10" ht="18.75" customHeight="1" x14ac:dyDescent="0.35">
      <c r="C1792" s="100" t="str">
        <f>IF(OR(Fact_Analitica[[#This Row], [Año]]="",Fact_Analitica[[#This Row], [Mes]]=""),"",DATE(A1792,MATCH(B1792,{"enero","febrero","marzo","abril","mayo","junio","julio","agosto","septiembre","octubre","noviembre","diciembre"},0)+1,0))</f>
        <v/>
      </c>
      <c r="E1792" t="str">
        <f>+IFERROR(VLOOKUP(Fact_Analitica[[#This Row], [Concepto Anterior]],Conceptos_Analítica_contraloría[#All],5,0),"")</f>
        <v/>
      </c>
      <c r="F1792" t="str">
        <f>+IFERROR(VLOOKUP(Fact_Analitica[[#This Row], [Concepto Anterior]],Conceptos_Analítica_contraloría[#All],7,0),"")</f>
        <v/>
      </c>
      <c r="I1792" t="str">
        <f>+IFERROR(VLOOKUP(D1792,Conceptos_Analítica_contraloría[#All],2,0),"")</f>
        <v/>
      </c>
      <c r="J1792" s="84" t="str">
        <f>+IFERROR(VLOOKUP(D1792,Conceptos_Analítica_contraloría[#All],3,0),"")</f>
        <v/>
      </c>
    </row>
    <row r="1793" spans="3:10" ht="18.75" customHeight="1" x14ac:dyDescent="0.35">
      <c r="C1793" s="100" t="str">
        <f>IF(OR(Fact_Analitica[[#This Row], [Año]]="",Fact_Analitica[[#This Row], [Mes]]=""),"",DATE(A1793,MATCH(B1793,{"enero","febrero","marzo","abril","mayo","junio","julio","agosto","septiembre","octubre","noviembre","diciembre"},0)+1,0))</f>
        <v/>
      </c>
      <c r="E1793" t="str">
        <f>+IFERROR(VLOOKUP(Fact_Analitica[[#This Row], [Concepto Anterior]],Conceptos_Analítica_contraloría[#All],5,0),"")</f>
        <v/>
      </c>
      <c r="F1793" t="str">
        <f>+IFERROR(VLOOKUP(Fact_Analitica[[#This Row], [Concepto Anterior]],Conceptos_Analítica_contraloría[#All],7,0),"")</f>
        <v/>
      </c>
      <c r="I1793" t="str">
        <f>+IFERROR(VLOOKUP(D1793,Conceptos_Analítica_contraloría[#All],2,0),"")</f>
        <v/>
      </c>
      <c r="J1793" s="84" t="str">
        <f>+IFERROR(VLOOKUP(D1793,Conceptos_Analítica_contraloría[#All],3,0),"")</f>
        <v/>
      </c>
    </row>
    <row r="1794" spans="3:10" ht="18.75" customHeight="1" x14ac:dyDescent="0.35">
      <c r="C1794" s="100" t="str">
        <f>IF(OR(Fact_Analitica[[#This Row], [Año]]="",Fact_Analitica[[#This Row], [Mes]]=""),"",DATE(A1794,MATCH(B1794,{"enero","febrero","marzo","abril","mayo","junio","julio","agosto","septiembre","octubre","noviembre","diciembre"},0)+1,0))</f>
        <v/>
      </c>
      <c r="E1794" t="str">
        <f>+IFERROR(VLOOKUP(Fact_Analitica[[#This Row], [Concepto Anterior]],Conceptos_Analítica_contraloría[#All],5,0),"")</f>
        <v/>
      </c>
      <c r="F1794" t="str">
        <f>+IFERROR(VLOOKUP(Fact_Analitica[[#This Row], [Concepto Anterior]],Conceptos_Analítica_contraloría[#All],7,0),"")</f>
        <v/>
      </c>
      <c r="I1794" t="str">
        <f>+IFERROR(VLOOKUP(D1794,Conceptos_Analítica_contraloría[#All],2,0),"")</f>
        <v/>
      </c>
      <c r="J1794" s="84" t="str">
        <f>+IFERROR(VLOOKUP(D1794,Conceptos_Analítica_contraloría[#All],3,0),"")</f>
        <v/>
      </c>
    </row>
    <row r="1795" spans="3:10" ht="18.75" customHeight="1" x14ac:dyDescent="0.35">
      <c r="C1795" s="100" t="str">
        <f>IF(OR(Fact_Analitica[[#This Row], [Año]]="",Fact_Analitica[[#This Row], [Mes]]=""),"",DATE(A1795,MATCH(B1795,{"enero","febrero","marzo","abril","mayo","junio","julio","agosto","septiembre","octubre","noviembre","diciembre"},0)+1,0))</f>
        <v/>
      </c>
      <c r="E1795" t="str">
        <f>+IFERROR(VLOOKUP(Fact_Analitica[[#This Row], [Concepto Anterior]],Conceptos_Analítica_contraloría[#All],5,0),"")</f>
        <v/>
      </c>
      <c r="F1795" t="str">
        <f>+IFERROR(VLOOKUP(Fact_Analitica[[#This Row], [Concepto Anterior]],Conceptos_Analítica_contraloría[#All],7,0),"")</f>
        <v/>
      </c>
      <c r="I1795" t="str">
        <f>+IFERROR(VLOOKUP(D1795,Conceptos_Analítica_contraloría[#All],2,0),"")</f>
        <v/>
      </c>
      <c r="J1795" s="84" t="str">
        <f>+IFERROR(VLOOKUP(D1795,Conceptos_Analítica_contraloría[#All],3,0),"")</f>
        <v/>
      </c>
    </row>
    <row r="1796" spans="3:10" ht="18.75" customHeight="1" x14ac:dyDescent="0.35">
      <c r="C1796" s="100" t="str">
        <f>IF(OR(Fact_Analitica[[#This Row], [Año]]="",Fact_Analitica[[#This Row], [Mes]]=""),"",DATE(A1796,MATCH(B1796,{"enero","febrero","marzo","abril","mayo","junio","julio","agosto","septiembre","octubre","noviembre","diciembre"},0)+1,0))</f>
        <v/>
      </c>
      <c r="E1796" t="str">
        <f>+IFERROR(VLOOKUP(Fact_Analitica[[#This Row], [Concepto Anterior]],Conceptos_Analítica_contraloría[#All],5,0),"")</f>
        <v/>
      </c>
      <c r="F1796" t="str">
        <f>+IFERROR(VLOOKUP(Fact_Analitica[[#This Row], [Concepto Anterior]],Conceptos_Analítica_contraloría[#All],7,0),"")</f>
        <v/>
      </c>
      <c r="I1796" t="str">
        <f>+IFERROR(VLOOKUP(D1796,Conceptos_Analítica_contraloría[#All],2,0),"")</f>
        <v/>
      </c>
      <c r="J1796" s="84" t="str">
        <f>+IFERROR(VLOOKUP(D1796,Conceptos_Analítica_contraloría[#All],3,0),"")</f>
        <v/>
      </c>
    </row>
    <row r="1797" spans="3:10" ht="18.75" customHeight="1" x14ac:dyDescent="0.35">
      <c r="C1797" s="100" t="str">
        <f>IF(OR(Fact_Analitica[[#This Row], [Año]]="",Fact_Analitica[[#This Row], [Mes]]=""),"",DATE(A1797,MATCH(B1797,{"enero","febrero","marzo","abril","mayo","junio","julio","agosto","septiembre","octubre","noviembre","diciembre"},0)+1,0))</f>
        <v/>
      </c>
      <c r="E1797" t="str">
        <f>+IFERROR(VLOOKUP(Fact_Analitica[[#This Row], [Concepto Anterior]],Conceptos_Analítica_contraloría[#All],5,0),"")</f>
        <v/>
      </c>
      <c r="F1797" t="str">
        <f>+IFERROR(VLOOKUP(Fact_Analitica[[#This Row], [Concepto Anterior]],Conceptos_Analítica_contraloría[#All],7,0),"")</f>
        <v/>
      </c>
      <c r="I1797" t="str">
        <f>+IFERROR(VLOOKUP(D1797,Conceptos_Analítica_contraloría[#All],2,0),"")</f>
        <v/>
      </c>
      <c r="J1797" s="84" t="str">
        <f>+IFERROR(VLOOKUP(D1797,Conceptos_Analítica_contraloría[#All],3,0),"")</f>
        <v/>
      </c>
    </row>
    <row r="1798" spans="3:10" ht="18.75" customHeight="1" x14ac:dyDescent="0.35">
      <c r="C1798" s="100" t="str">
        <f>IF(OR(Fact_Analitica[[#This Row], [Año]]="",Fact_Analitica[[#This Row], [Mes]]=""),"",DATE(A1798,MATCH(B1798,{"enero","febrero","marzo","abril","mayo","junio","julio","agosto","septiembre","octubre","noviembre","diciembre"},0)+1,0))</f>
        <v/>
      </c>
      <c r="E1798" t="str">
        <f>+IFERROR(VLOOKUP(Fact_Analitica[[#This Row], [Concepto Anterior]],Conceptos_Analítica_contraloría[#All],5,0),"")</f>
        <v/>
      </c>
      <c r="F1798" t="str">
        <f>+IFERROR(VLOOKUP(Fact_Analitica[[#This Row], [Concepto Anterior]],Conceptos_Analítica_contraloría[#All],7,0),"")</f>
        <v/>
      </c>
      <c r="I1798" t="str">
        <f>+IFERROR(VLOOKUP(D1798,Conceptos_Analítica_contraloría[#All],2,0),"")</f>
        <v/>
      </c>
      <c r="J1798" s="84" t="str">
        <f>+IFERROR(VLOOKUP(D1798,Conceptos_Analítica_contraloría[#All],3,0),"")</f>
        <v/>
      </c>
    </row>
    <row r="1799" spans="3:10" ht="18.75" customHeight="1" x14ac:dyDescent="0.35">
      <c r="C1799" s="100" t="str">
        <f>IF(OR(Fact_Analitica[[#This Row], [Año]]="",Fact_Analitica[[#This Row], [Mes]]=""),"",DATE(A1799,MATCH(B1799,{"enero","febrero","marzo","abril","mayo","junio","julio","agosto","septiembre","octubre","noviembre","diciembre"},0)+1,0))</f>
        <v/>
      </c>
      <c r="E1799" t="str">
        <f>+IFERROR(VLOOKUP(Fact_Analitica[[#This Row], [Concepto Anterior]],Conceptos_Analítica_contraloría[#All],5,0),"")</f>
        <v/>
      </c>
      <c r="F1799" t="str">
        <f>+IFERROR(VLOOKUP(Fact_Analitica[[#This Row], [Concepto Anterior]],Conceptos_Analítica_contraloría[#All],7,0),"")</f>
        <v/>
      </c>
      <c r="I1799" t="str">
        <f>+IFERROR(VLOOKUP(D1799,Conceptos_Analítica_contraloría[#All],2,0),"")</f>
        <v/>
      </c>
      <c r="J1799" s="84" t="str">
        <f>+IFERROR(VLOOKUP(D1799,Conceptos_Analítica_contraloría[#All],3,0),"")</f>
        <v/>
      </c>
    </row>
    <row r="1800" spans="3:10" ht="18.75" customHeight="1" x14ac:dyDescent="0.35">
      <c r="C1800" s="100" t="str">
        <f>IF(OR(Fact_Analitica[[#This Row], [Año]]="",Fact_Analitica[[#This Row], [Mes]]=""),"",DATE(A1800,MATCH(B1800,{"enero","febrero","marzo","abril","mayo","junio","julio","agosto","septiembre","octubre","noviembre","diciembre"},0)+1,0))</f>
        <v/>
      </c>
      <c r="E1800" t="str">
        <f>+IFERROR(VLOOKUP(Fact_Analitica[[#This Row], [Concepto Anterior]],Conceptos_Analítica_contraloría[#All],5,0),"")</f>
        <v/>
      </c>
      <c r="F1800" t="str">
        <f>+IFERROR(VLOOKUP(Fact_Analitica[[#This Row], [Concepto Anterior]],Conceptos_Analítica_contraloría[#All],7,0),"")</f>
        <v/>
      </c>
      <c r="I1800" t="str">
        <f>+IFERROR(VLOOKUP(D1800,Conceptos_Analítica_contraloría[#All],2,0),"")</f>
        <v/>
      </c>
      <c r="J1800" s="84" t="str">
        <f>+IFERROR(VLOOKUP(D1800,Conceptos_Analítica_contraloría[#All],3,0),"")</f>
        <v/>
      </c>
    </row>
    <row r="1801" spans="3:10" ht="18.75" customHeight="1" x14ac:dyDescent="0.35">
      <c r="C1801" s="100" t="str">
        <f>IF(OR(Fact_Analitica[[#This Row], [Año]]="",Fact_Analitica[[#This Row], [Mes]]=""),"",DATE(A1801,MATCH(B1801,{"enero","febrero","marzo","abril","mayo","junio","julio","agosto","septiembre","octubre","noviembre","diciembre"},0)+1,0))</f>
        <v/>
      </c>
      <c r="E1801" t="str">
        <f>+IFERROR(VLOOKUP(Fact_Analitica[[#This Row], [Concepto Anterior]],Conceptos_Analítica_contraloría[#All],5,0),"")</f>
        <v/>
      </c>
      <c r="F1801" t="str">
        <f>+IFERROR(VLOOKUP(Fact_Analitica[[#This Row], [Concepto Anterior]],Conceptos_Analítica_contraloría[#All],7,0),"")</f>
        <v/>
      </c>
      <c r="I1801" t="str">
        <f>+IFERROR(VLOOKUP(D1801,Conceptos_Analítica_contraloría[#All],2,0),"")</f>
        <v/>
      </c>
      <c r="J1801" s="84" t="str">
        <f>+IFERROR(VLOOKUP(D1801,Conceptos_Analítica_contraloría[#All],3,0),"")</f>
        <v/>
      </c>
    </row>
    <row r="1802" spans="3:10" ht="18.75" customHeight="1" x14ac:dyDescent="0.35">
      <c r="C1802" s="100" t="str">
        <f>IF(OR(Fact_Analitica[[#This Row], [Año]]="",Fact_Analitica[[#This Row], [Mes]]=""),"",DATE(A1802,MATCH(B1802,{"enero","febrero","marzo","abril","mayo","junio","julio","agosto","septiembre","octubre","noviembre","diciembre"},0)+1,0))</f>
        <v/>
      </c>
      <c r="E1802" t="str">
        <f>+IFERROR(VLOOKUP(Fact_Analitica[[#This Row], [Concepto Anterior]],Conceptos_Analítica_contraloría[#All],5,0),"")</f>
        <v/>
      </c>
      <c r="F1802" t="str">
        <f>+IFERROR(VLOOKUP(Fact_Analitica[[#This Row], [Concepto Anterior]],Conceptos_Analítica_contraloría[#All],7,0),"")</f>
        <v/>
      </c>
      <c r="I1802" t="str">
        <f>+IFERROR(VLOOKUP(D1802,Conceptos_Analítica_contraloría[#All],2,0),"")</f>
        <v/>
      </c>
      <c r="J1802" s="84" t="str">
        <f>+IFERROR(VLOOKUP(D1802,Conceptos_Analítica_contraloría[#All],3,0),"")</f>
        <v/>
      </c>
    </row>
    <row r="1803" spans="3:10" ht="18.75" customHeight="1" x14ac:dyDescent="0.35">
      <c r="C1803" s="100" t="str">
        <f>IF(OR(Fact_Analitica[[#This Row], [Año]]="",Fact_Analitica[[#This Row], [Mes]]=""),"",DATE(A1803,MATCH(B1803,{"enero","febrero","marzo","abril","mayo","junio","julio","agosto","septiembre","octubre","noviembre","diciembre"},0)+1,0))</f>
        <v/>
      </c>
      <c r="E1803" t="str">
        <f>+IFERROR(VLOOKUP(Fact_Analitica[[#This Row], [Concepto Anterior]],Conceptos_Analítica_contraloría[#All],5,0),"")</f>
        <v/>
      </c>
      <c r="F1803" t="str">
        <f>+IFERROR(VLOOKUP(Fact_Analitica[[#This Row], [Concepto Anterior]],Conceptos_Analítica_contraloría[#All],7,0),"")</f>
        <v/>
      </c>
      <c r="I1803" t="str">
        <f>+IFERROR(VLOOKUP(D1803,Conceptos_Analítica_contraloría[#All],2,0),"")</f>
        <v/>
      </c>
      <c r="J1803" s="84" t="str">
        <f>+IFERROR(VLOOKUP(D1803,Conceptos_Analítica_contraloría[#All],3,0),"")</f>
        <v/>
      </c>
    </row>
    <row r="1804" spans="3:10" ht="18.75" customHeight="1" x14ac:dyDescent="0.35">
      <c r="C1804" s="100" t="str">
        <f>IF(OR(Fact_Analitica[[#This Row], [Año]]="",Fact_Analitica[[#This Row], [Mes]]=""),"",DATE(A1804,MATCH(B1804,{"enero","febrero","marzo","abril","mayo","junio","julio","agosto","septiembre","octubre","noviembre","diciembre"},0)+1,0))</f>
        <v/>
      </c>
      <c r="E1804" t="str">
        <f>+IFERROR(VLOOKUP(Fact_Analitica[[#This Row], [Concepto Anterior]],Conceptos_Analítica_contraloría[#All],5,0),"")</f>
        <v/>
      </c>
      <c r="F1804" t="str">
        <f>+IFERROR(VLOOKUP(Fact_Analitica[[#This Row], [Concepto Anterior]],Conceptos_Analítica_contraloría[#All],7,0),"")</f>
        <v/>
      </c>
      <c r="I1804" t="str">
        <f>+IFERROR(VLOOKUP(D1804,Conceptos_Analítica_contraloría[#All],2,0),"")</f>
        <v/>
      </c>
      <c r="J1804" s="84" t="str">
        <f>+IFERROR(VLOOKUP(D1804,Conceptos_Analítica_contraloría[#All],3,0),"")</f>
        <v/>
      </c>
    </row>
    <row r="1805" spans="3:10" ht="18.75" customHeight="1" x14ac:dyDescent="0.35">
      <c r="C1805" s="100" t="str">
        <f>IF(OR(Fact_Analitica[[#This Row], [Año]]="",Fact_Analitica[[#This Row], [Mes]]=""),"",DATE(A1805,MATCH(B1805,{"enero","febrero","marzo","abril","mayo","junio","julio","agosto","septiembre","octubre","noviembre","diciembre"},0)+1,0))</f>
        <v/>
      </c>
      <c r="E1805" t="str">
        <f>+IFERROR(VLOOKUP(Fact_Analitica[[#This Row], [Concepto Anterior]],Conceptos_Analítica_contraloría[#All],5,0),"")</f>
        <v/>
      </c>
      <c r="F1805" t="str">
        <f>+IFERROR(VLOOKUP(Fact_Analitica[[#This Row], [Concepto Anterior]],Conceptos_Analítica_contraloría[#All],7,0),"")</f>
        <v/>
      </c>
      <c r="I1805" t="str">
        <f>+IFERROR(VLOOKUP(D1805,Conceptos_Analítica_contraloría[#All],2,0),"")</f>
        <v/>
      </c>
      <c r="J1805" s="84" t="str">
        <f>+IFERROR(VLOOKUP(D1805,Conceptos_Analítica_contraloría[#All],3,0),"")</f>
        <v/>
      </c>
    </row>
    <row r="1806" spans="3:10" ht="18.75" customHeight="1" x14ac:dyDescent="0.35">
      <c r="C1806" s="100" t="str">
        <f>IF(OR(Fact_Analitica[[#This Row], [Año]]="",Fact_Analitica[[#This Row], [Mes]]=""),"",DATE(A1806,MATCH(B1806,{"enero","febrero","marzo","abril","mayo","junio","julio","agosto","septiembre","octubre","noviembre","diciembre"},0)+1,0))</f>
        <v/>
      </c>
      <c r="E1806" t="str">
        <f>+IFERROR(VLOOKUP(Fact_Analitica[[#This Row], [Concepto Anterior]],Conceptos_Analítica_contraloría[#All],5,0),"")</f>
        <v/>
      </c>
      <c r="F1806" t="str">
        <f>+IFERROR(VLOOKUP(Fact_Analitica[[#This Row], [Concepto Anterior]],Conceptos_Analítica_contraloría[#All],7,0),"")</f>
        <v/>
      </c>
      <c r="I1806" t="str">
        <f>+IFERROR(VLOOKUP(D1806,Conceptos_Analítica_contraloría[#All],2,0),"")</f>
        <v/>
      </c>
      <c r="J1806" s="84" t="str">
        <f>+IFERROR(VLOOKUP(D1806,Conceptos_Analítica_contraloría[#All],3,0),"")</f>
        <v/>
      </c>
    </row>
    <row r="1807" spans="3:10" ht="18.75" customHeight="1" x14ac:dyDescent="0.35">
      <c r="C1807" s="100" t="str">
        <f>IF(OR(Fact_Analitica[[#This Row], [Año]]="",Fact_Analitica[[#This Row], [Mes]]=""),"",DATE(A1807,MATCH(B1807,{"enero","febrero","marzo","abril","mayo","junio","julio","agosto","septiembre","octubre","noviembre","diciembre"},0)+1,0))</f>
        <v/>
      </c>
      <c r="E1807" t="str">
        <f>+IFERROR(VLOOKUP(Fact_Analitica[[#This Row], [Concepto Anterior]],Conceptos_Analítica_contraloría[#All],5,0),"")</f>
        <v/>
      </c>
      <c r="F1807" t="str">
        <f>+IFERROR(VLOOKUP(Fact_Analitica[[#This Row], [Concepto Anterior]],Conceptos_Analítica_contraloría[#All],7,0),"")</f>
        <v/>
      </c>
      <c r="I1807" t="str">
        <f>+IFERROR(VLOOKUP(D1807,Conceptos_Analítica_contraloría[#All],2,0),"")</f>
        <v/>
      </c>
      <c r="J1807" s="84" t="str">
        <f>+IFERROR(VLOOKUP(D1807,Conceptos_Analítica_contraloría[#All],3,0),"")</f>
        <v/>
      </c>
    </row>
    <row r="1808" spans="3:10" ht="18.75" customHeight="1" x14ac:dyDescent="0.35">
      <c r="C1808" s="100" t="str">
        <f>IF(OR(Fact_Analitica[[#This Row], [Año]]="",Fact_Analitica[[#This Row], [Mes]]=""),"",DATE(A1808,MATCH(B1808,{"enero","febrero","marzo","abril","mayo","junio","julio","agosto","septiembre","octubre","noviembre","diciembre"},0)+1,0))</f>
        <v/>
      </c>
      <c r="E1808" t="str">
        <f>+IFERROR(VLOOKUP(Fact_Analitica[[#This Row], [Concepto Anterior]],Conceptos_Analítica_contraloría[#All],5,0),"")</f>
        <v/>
      </c>
      <c r="F1808" t="str">
        <f>+IFERROR(VLOOKUP(Fact_Analitica[[#This Row], [Concepto Anterior]],Conceptos_Analítica_contraloría[#All],7,0),"")</f>
        <v/>
      </c>
      <c r="I1808" t="str">
        <f>+IFERROR(VLOOKUP(D1808,Conceptos_Analítica_contraloría[#All],2,0),"")</f>
        <v/>
      </c>
      <c r="J1808" s="84" t="str">
        <f>+IFERROR(VLOOKUP(D1808,Conceptos_Analítica_contraloría[#All],3,0),"")</f>
        <v/>
      </c>
    </row>
    <row r="1809" spans="3:10" ht="18.75" customHeight="1" x14ac:dyDescent="0.35">
      <c r="C1809" s="100" t="str">
        <f>IF(OR(Fact_Analitica[[#This Row], [Año]]="",Fact_Analitica[[#This Row], [Mes]]=""),"",DATE(A1809,MATCH(B1809,{"enero","febrero","marzo","abril","mayo","junio","julio","agosto","septiembre","octubre","noviembre","diciembre"},0)+1,0))</f>
        <v/>
      </c>
      <c r="E1809" t="str">
        <f>+IFERROR(VLOOKUP(Fact_Analitica[[#This Row], [Concepto Anterior]],Conceptos_Analítica_contraloría[#All],5,0),"")</f>
        <v/>
      </c>
      <c r="F1809" t="str">
        <f>+IFERROR(VLOOKUP(Fact_Analitica[[#This Row], [Concepto Anterior]],Conceptos_Analítica_contraloría[#All],7,0),"")</f>
        <v/>
      </c>
      <c r="I1809" t="str">
        <f>+IFERROR(VLOOKUP(D1809,Conceptos_Analítica_contraloría[#All],2,0),"")</f>
        <v/>
      </c>
      <c r="J1809" s="84" t="str">
        <f>+IFERROR(VLOOKUP(D1809,Conceptos_Analítica_contraloría[#All],3,0),"")</f>
        <v/>
      </c>
    </row>
    <row r="1810" spans="3:10" ht="18.75" customHeight="1" x14ac:dyDescent="0.35">
      <c r="C1810" s="100" t="str">
        <f>IF(OR(Fact_Analitica[[#This Row], [Año]]="",Fact_Analitica[[#This Row], [Mes]]=""),"",DATE(A1810,MATCH(B1810,{"enero","febrero","marzo","abril","mayo","junio","julio","agosto","septiembre","octubre","noviembre","diciembre"},0)+1,0))</f>
        <v/>
      </c>
      <c r="E1810" t="str">
        <f>+IFERROR(VLOOKUP(Fact_Analitica[[#This Row], [Concepto Anterior]],Conceptos_Analítica_contraloría[#All],5,0),"")</f>
        <v/>
      </c>
      <c r="F1810" t="str">
        <f>+IFERROR(VLOOKUP(Fact_Analitica[[#This Row], [Concepto Anterior]],Conceptos_Analítica_contraloría[#All],7,0),"")</f>
        <v/>
      </c>
      <c r="I1810" t="str">
        <f>+IFERROR(VLOOKUP(D1810,Conceptos_Analítica_contraloría[#All],2,0),"")</f>
        <v/>
      </c>
      <c r="J1810" s="84" t="str">
        <f>+IFERROR(VLOOKUP(D1810,Conceptos_Analítica_contraloría[#All],3,0),"")</f>
        <v/>
      </c>
    </row>
    <row r="1811" spans="3:10" ht="18.75" customHeight="1" x14ac:dyDescent="0.35">
      <c r="C1811" s="100" t="str">
        <f>IF(OR(Fact_Analitica[[#This Row], [Año]]="",Fact_Analitica[[#This Row], [Mes]]=""),"",DATE(A1811,MATCH(B1811,{"enero","febrero","marzo","abril","mayo","junio","julio","agosto","septiembre","octubre","noviembre","diciembre"},0)+1,0))</f>
        <v/>
      </c>
      <c r="E1811" t="str">
        <f>+IFERROR(VLOOKUP(Fact_Analitica[[#This Row], [Concepto Anterior]],Conceptos_Analítica_contraloría[#All],5,0),"")</f>
        <v/>
      </c>
      <c r="F1811" t="str">
        <f>+IFERROR(VLOOKUP(Fact_Analitica[[#This Row], [Concepto Anterior]],Conceptos_Analítica_contraloría[#All],7,0),"")</f>
        <v/>
      </c>
      <c r="I1811" t="str">
        <f>+IFERROR(VLOOKUP(D1811,Conceptos_Analítica_contraloría[#All],2,0),"")</f>
        <v/>
      </c>
      <c r="J1811" s="84" t="str">
        <f>+IFERROR(VLOOKUP(D1811,Conceptos_Analítica_contraloría[#All],3,0),"")</f>
        <v/>
      </c>
    </row>
    <row r="1812" spans="3:10" ht="18.75" customHeight="1" x14ac:dyDescent="0.35">
      <c r="C1812" s="100" t="str">
        <f>IF(OR(Fact_Analitica[[#This Row], [Año]]="",Fact_Analitica[[#This Row], [Mes]]=""),"",DATE(A1812,MATCH(B1812,{"enero","febrero","marzo","abril","mayo","junio","julio","agosto","septiembre","octubre","noviembre","diciembre"},0)+1,0))</f>
        <v/>
      </c>
      <c r="E1812" t="str">
        <f>+IFERROR(VLOOKUP(Fact_Analitica[[#This Row], [Concepto Anterior]],Conceptos_Analítica_contraloría[#All],5,0),"")</f>
        <v/>
      </c>
      <c r="F1812" t="str">
        <f>+IFERROR(VLOOKUP(Fact_Analitica[[#This Row], [Concepto Anterior]],Conceptos_Analítica_contraloría[#All],7,0),"")</f>
        <v/>
      </c>
      <c r="I1812" t="str">
        <f>+IFERROR(VLOOKUP(D1812,Conceptos_Analítica_contraloría[#All],2,0),"")</f>
        <v/>
      </c>
      <c r="J1812" s="84" t="str">
        <f>+IFERROR(VLOOKUP(D1812,Conceptos_Analítica_contraloría[#All],3,0),"")</f>
        <v/>
      </c>
    </row>
    <row r="1813" spans="3:10" ht="18.75" customHeight="1" x14ac:dyDescent="0.35">
      <c r="C1813" s="100" t="str">
        <f>IF(OR(Fact_Analitica[[#This Row], [Año]]="",Fact_Analitica[[#This Row], [Mes]]=""),"",DATE(A1813,MATCH(B1813,{"enero","febrero","marzo","abril","mayo","junio","julio","agosto","septiembre","octubre","noviembre","diciembre"},0)+1,0))</f>
        <v/>
      </c>
      <c r="E1813" t="str">
        <f>+IFERROR(VLOOKUP(Fact_Analitica[[#This Row], [Concepto Anterior]],Conceptos_Analítica_contraloría[#All],5,0),"")</f>
        <v/>
      </c>
      <c r="F1813" t="str">
        <f>+IFERROR(VLOOKUP(Fact_Analitica[[#This Row], [Concepto Anterior]],Conceptos_Analítica_contraloría[#All],7,0),"")</f>
        <v/>
      </c>
      <c r="I1813" t="str">
        <f>+IFERROR(VLOOKUP(D1813,Conceptos_Analítica_contraloría[#All],2,0),"")</f>
        <v/>
      </c>
      <c r="J1813" s="84" t="str">
        <f>+IFERROR(VLOOKUP(D1813,Conceptos_Analítica_contraloría[#All],3,0),"")</f>
        <v/>
      </c>
    </row>
    <row r="1814" spans="3:10" ht="18.75" customHeight="1" x14ac:dyDescent="0.35">
      <c r="C1814" s="100" t="str">
        <f>IF(OR(Fact_Analitica[[#This Row], [Año]]="",Fact_Analitica[[#This Row], [Mes]]=""),"",DATE(A1814,MATCH(B1814,{"enero","febrero","marzo","abril","mayo","junio","julio","agosto","septiembre","octubre","noviembre","diciembre"},0)+1,0))</f>
        <v/>
      </c>
      <c r="E1814" t="str">
        <f>+IFERROR(VLOOKUP(Fact_Analitica[[#This Row], [Concepto Anterior]],Conceptos_Analítica_contraloría[#All],5,0),"")</f>
        <v/>
      </c>
      <c r="F1814" t="str">
        <f>+IFERROR(VLOOKUP(Fact_Analitica[[#This Row], [Concepto Anterior]],Conceptos_Analítica_contraloría[#All],7,0),"")</f>
        <v/>
      </c>
      <c r="I1814" t="str">
        <f>+IFERROR(VLOOKUP(D1814,Conceptos_Analítica_contraloría[#All],2,0),"")</f>
        <v/>
      </c>
      <c r="J1814" s="84" t="str">
        <f>+IFERROR(VLOOKUP(D1814,Conceptos_Analítica_contraloría[#All],3,0),"")</f>
        <v/>
      </c>
    </row>
    <row r="1815" spans="3:10" ht="18.75" customHeight="1" x14ac:dyDescent="0.35">
      <c r="C1815" s="100" t="str">
        <f>IF(OR(Fact_Analitica[[#This Row], [Año]]="",Fact_Analitica[[#This Row], [Mes]]=""),"",DATE(A1815,MATCH(B1815,{"enero","febrero","marzo","abril","mayo","junio","julio","agosto","septiembre","octubre","noviembre","diciembre"},0)+1,0))</f>
        <v/>
      </c>
      <c r="E1815" t="str">
        <f>+IFERROR(VLOOKUP(Fact_Analitica[[#This Row], [Concepto Anterior]],Conceptos_Analítica_contraloría[#All],5,0),"")</f>
        <v/>
      </c>
      <c r="F1815" t="str">
        <f>+IFERROR(VLOOKUP(Fact_Analitica[[#This Row], [Concepto Anterior]],Conceptos_Analítica_contraloría[#All],7,0),"")</f>
        <v/>
      </c>
      <c r="I1815" t="str">
        <f>+IFERROR(VLOOKUP(D1815,Conceptos_Analítica_contraloría[#All],2,0),"")</f>
        <v/>
      </c>
      <c r="J1815" s="84" t="str">
        <f>+IFERROR(VLOOKUP(D1815,Conceptos_Analítica_contraloría[#All],3,0),"")</f>
        <v/>
      </c>
    </row>
    <row r="1816" spans="3:10" ht="18.75" customHeight="1" x14ac:dyDescent="0.35">
      <c r="C1816" s="100" t="str">
        <f>IF(OR(Fact_Analitica[[#This Row], [Año]]="",Fact_Analitica[[#This Row], [Mes]]=""),"",DATE(A1816,MATCH(B1816,{"enero","febrero","marzo","abril","mayo","junio","julio","agosto","septiembre","octubre","noviembre","diciembre"},0)+1,0))</f>
        <v/>
      </c>
      <c r="E1816" t="str">
        <f>+IFERROR(VLOOKUP(Fact_Analitica[[#This Row], [Concepto Anterior]],Conceptos_Analítica_contraloría[#All],5,0),"")</f>
        <v/>
      </c>
      <c r="F1816" t="str">
        <f>+IFERROR(VLOOKUP(Fact_Analitica[[#This Row], [Concepto Anterior]],Conceptos_Analítica_contraloría[#All],7,0),"")</f>
        <v/>
      </c>
      <c r="I1816" t="str">
        <f>+IFERROR(VLOOKUP(D1816,Conceptos_Analítica_contraloría[#All],2,0),"")</f>
        <v/>
      </c>
      <c r="J1816" s="84" t="str">
        <f>+IFERROR(VLOOKUP(D1816,Conceptos_Analítica_contraloría[#All],3,0),"")</f>
        <v/>
      </c>
    </row>
    <row r="1817" spans="3:10" ht="18.75" customHeight="1" x14ac:dyDescent="0.35">
      <c r="C1817" s="100" t="str">
        <f>IF(OR(Fact_Analitica[[#This Row], [Año]]="",Fact_Analitica[[#This Row], [Mes]]=""),"",DATE(A1817,MATCH(B1817,{"enero","febrero","marzo","abril","mayo","junio","julio","agosto","septiembre","octubre","noviembre","diciembre"},0)+1,0))</f>
        <v/>
      </c>
      <c r="E1817" t="str">
        <f>+IFERROR(VLOOKUP(Fact_Analitica[[#This Row], [Concepto Anterior]],Conceptos_Analítica_contraloría[#All],5,0),"")</f>
        <v/>
      </c>
      <c r="F1817" t="str">
        <f>+IFERROR(VLOOKUP(Fact_Analitica[[#This Row], [Concepto Anterior]],Conceptos_Analítica_contraloría[#All],7,0),"")</f>
        <v/>
      </c>
      <c r="I1817" t="str">
        <f>+IFERROR(VLOOKUP(D1817,Conceptos_Analítica_contraloría[#All],2,0),"")</f>
        <v/>
      </c>
      <c r="J1817" s="84" t="str">
        <f>+IFERROR(VLOOKUP(D1817,Conceptos_Analítica_contraloría[#All],3,0),"")</f>
        <v/>
      </c>
    </row>
    <row r="1818" spans="3:10" ht="18.75" customHeight="1" x14ac:dyDescent="0.35">
      <c r="C1818" s="100" t="str">
        <f>IF(OR(Fact_Analitica[[#This Row], [Año]]="",Fact_Analitica[[#This Row], [Mes]]=""),"",DATE(A1818,MATCH(B1818,{"enero","febrero","marzo","abril","mayo","junio","julio","agosto","septiembre","octubre","noviembre","diciembre"},0)+1,0))</f>
        <v/>
      </c>
      <c r="E1818" t="str">
        <f>+IFERROR(VLOOKUP(Fact_Analitica[[#This Row], [Concepto Anterior]],Conceptos_Analítica_contraloría[#All],5,0),"")</f>
        <v/>
      </c>
      <c r="F1818" t="str">
        <f>+IFERROR(VLOOKUP(Fact_Analitica[[#This Row], [Concepto Anterior]],Conceptos_Analítica_contraloría[#All],7,0),"")</f>
        <v/>
      </c>
      <c r="I1818" t="str">
        <f>+IFERROR(VLOOKUP(D1818,Conceptos_Analítica_contraloría[#All],2,0),"")</f>
        <v/>
      </c>
      <c r="J1818" s="84" t="str">
        <f>+IFERROR(VLOOKUP(D1818,Conceptos_Analítica_contraloría[#All],3,0),"")</f>
        <v/>
      </c>
    </row>
    <row r="1819" spans="3:10" ht="18.75" customHeight="1" x14ac:dyDescent="0.35">
      <c r="C1819" s="100" t="str">
        <f>IF(OR(Fact_Analitica[[#This Row], [Año]]="",Fact_Analitica[[#This Row], [Mes]]=""),"",DATE(A1819,MATCH(B1819,{"enero","febrero","marzo","abril","mayo","junio","julio","agosto","septiembre","octubre","noviembre","diciembre"},0)+1,0))</f>
        <v/>
      </c>
      <c r="E1819" t="str">
        <f>+IFERROR(VLOOKUP(Fact_Analitica[[#This Row], [Concepto Anterior]],Conceptos_Analítica_contraloría[#All],5,0),"")</f>
        <v/>
      </c>
      <c r="F1819" t="str">
        <f>+IFERROR(VLOOKUP(Fact_Analitica[[#This Row], [Concepto Anterior]],Conceptos_Analítica_contraloría[#All],7,0),"")</f>
        <v/>
      </c>
      <c r="I1819" t="str">
        <f>+IFERROR(VLOOKUP(D1819,Conceptos_Analítica_contraloría[#All],2,0),"")</f>
        <v/>
      </c>
      <c r="J1819" s="84" t="str">
        <f>+IFERROR(VLOOKUP(D1819,Conceptos_Analítica_contraloría[#All],3,0),"")</f>
        <v/>
      </c>
    </row>
    <row r="1820" spans="3:10" ht="18.75" customHeight="1" x14ac:dyDescent="0.35">
      <c r="C1820" s="100" t="str">
        <f>IF(OR(Fact_Analitica[[#This Row], [Año]]="",Fact_Analitica[[#This Row], [Mes]]=""),"",DATE(A1820,MATCH(B1820,{"enero","febrero","marzo","abril","mayo","junio","julio","agosto","septiembre","octubre","noviembre","diciembre"},0)+1,0))</f>
        <v/>
      </c>
      <c r="E1820" t="str">
        <f>+IFERROR(VLOOKUP(Fact_Analitica[[#This Row], [Concepto Anterior]],Conceptos_Analítica_contraloría[#All],5,0),"")</f>
        <v/>
      </c>
      <c r="F1820" t="str">
        <f>+IFERROR(VLOOKUP(Fact_Analitica[[#This Row], [Concepto Anterior]],Conceptos_Analítica_contraloría[#All],7,0),"")</f>
        <v/>
      </c>
      <c r="I1820" t="str">
        <f>+IFERROR(VLOOKUP(D1820,Conceptos_Analítica_contraloría[#All],2,0),"")</f>
        <v/>
      </c>
      <c r="J1820" s="84" t="str">
        <f>+IFERROR(VLOOKUP(D1820,Conceptos_Analítica_contraloría[#All],3,0),"")</f>
        <v/>
      </c>
    </row>
    <row r="1821" spans="3:10" ht="18.75" customHeight="1" x14ac:dyDescent="0.35">
      <c r="C1821" s="100" t="str">
        <f>IF(OR(Fact_Analitica[[#This Row], [Año]]="",Fact_Analitica[[#This Row], [Mes]]=""),"",DATE(A1821,MATCH(B1821,{"enero","febrero","marzo","abril","mayo","junio","julio","agosto","septiembre","octubre","noviembre","diciembre"},0)+1,0))</f>
        <v/>
      </c>
      <c r="E1821" t="str">
        <f>+IFERROR(VLOOKUP(Fact_Analitica[[#This Row], [Concepto Anterior]],Conceptos_Analítica_contraloría[#All],5,0),"")</f>
        <v/>
      </c>
      <c r="F1821" t="str">
        <f>+IFERROR(VLOOKUP(Fact_Analitica[[#This Row], [Concepto Anterior]],Conceptos_Analítica_contraloría[#All],7,0),"")</f>
        <v/>
      </c>
      <c r="I1821" t="str">
        <f>+IFERROR(VLOOKUP(D1821,Conceptos_Analítica_contraloría[#All],2,0),"")</f>
        <v/>
      </c>
      <c r="J1821" s="84" t="str">
        <f>+IFERROR(VLOOKUP(D1821,Conceptos_Analítica_contraloría[#All],3,0),"")</f>
        <v/>
      </c>
    </row>
    <row r="1822" spans="3:10" ht="18.75" customHeight="1" x14ac:dyDescent="0.35">
      <c r="C1822" s="100" t="str">
        <f>IF(OR(Fact_Analitica[[#This Row], [Año]]="",Fact_Analitica[[#This Row], [Mes]]=""),"",DATE(A1822,MATCH(B1822,{"enero","febrero","marzo","abril","mayo","junio","julio","agosto","septiembre","octubre","noviembre","diciembre"},0)+1,0))</f>
        <v/>
      </c>
      <c r="E1822" t="str">
        <f>+IFERROR(VLOOKUP(Fact_Analitica[[#This Row], [Concepto Anterior]],Conceptos_Analítica_contraloría[#All],5,0),"")</f>
        <v/>
      </c>
      <c r="F1822" t="str">
        <f>+IFERROR(VLOOKUP(Fact_Analitica[[#This Row], [Concepto Anterior]],Conceptos_Analítica_contraloría[#All],7,0),"")</f>
        <v/>
      </c>
      <c r="I1822" t="str">
        <f>+IFERROR(VLOOKUP(D1822,Conceptos_Analítica_contraloría[#All],2,0),"")</f>
        <v/>
      </c>
      <c r="J1822" s="84" t="str">
        <f>+IFERROR(VLOOKUP(D1822,Conceptos_Analítica_contraloría[#All],3,0),"")</f>
        <v/>
      </c>
    </row>
    <row r="1823" spans="3:10" ht="18.75" customHeight="1" x14ac:dyDescent="0.35">
      <c r="C1823" s="100" t="str">
        <f>IF(OR(Fact_Analitica[[#This Row], [Año]]="",Fact_Analitica[[#This Row], [Mes]]=""),"",DATE(A1823,MATCH(B1823,{"enero","febrero","marzo","abril","mayo","junio","julio","agosto","septiembre","octubre","noviembre","diciembre"},0)+1,0))</f>
        <v/>
      </c>
      <c r="E1823" t="str">
        <f>+IFERROR(VLOOKUP(Fact_Analitica[[#This Row], [Concepto Anterior]],Conceptos_Analítica_contraloría[#All],5,0),"")</f>
        <v/>
      </c>
      <c r="F1823" t="str">
        <f>+IFERROR(VLOOKUP(Fact_Analitica[[#This Row], [Concepto Anterior]],Conceptos_Analítica_contraloría[#All],7,0),"")</f>
        <v/>
      </c>
      <c r="I1823" t="str">
        <f>+IFERROR(VLOOKUP(D1823,Conceptos_Analítica_contraloría[#All],2,0),"")</f>
        <v/>
      </c>
      <c r="J1823" s="84" t="str">
        <f>+IFERROR(VLOOKUP(D1823,Conceptos_Analítica_contraloría[#All],3,0),"")</f>
        <v/>
      </c>
    </row>
    <row r="1824" spans="3:10" ht="18.75" customHeight="1" x14ac:dyDescent="0.35">
      <c r="C1824" s="100" t="str">
        <f>IF(OR(Fact_Analitica[[#This Row], [Año]]="",Fact_Analitica[[#This Row], [Mes]]=""),"",DATE(A1824,MATCH(B1824,{"enero","febrero","marzo","abril","mayo","junio","julio","agosto","septiembre","octubre","noviembre","diciembre"},0)+1,0))</f>
        <v/>
      </c>
      <c r="E1824" t="str">
        <f>+IFERROR(VLOOKUP(Fact_Analitica[[#This Row], [Concepto Anterior]],Conceptos_Analítica_contraloría[#All],5,0),"")</f>
        <v/>
      </c>
      <c r="F1824" t="str">
        <f>+IFERROR(VLOOKUP(Fact_Analitica[[#This Row], [Concepto Anterior]],Conceptos_Analítica_contraloría[#All],7,0),"")</f>
        <v/>
      </c>
      <c r="I1824" t="str">
        <f>+IFERROR(VLOOKUP(D1824,Conceptos_Analítica_contraloría[#All],2,0),"")</f>
        <v/>
      </c>
      <c r="J1824" s="84" t="str">
        <f>+IFERROR(VLOOKUP(D1824,Conceptos_Analítica_contraloría[#All],3,0),"")</f>
        <v/>
      </c>
    </row>
    <row r="1825" spans="3:10" ht="18.75" customHeight="1" x14ac:dyDescent="0.35">
      <c r="C1825" s="100" t="str">
        <f>IF(OR(Fact_Analitica[[#This Row], [Año]]="",Fact_Analitica[[#This Row], [Mes]]=""),"",DATE(A1825,MATCH(B1825,{"enero","febrero","marzo","abril","mayo","junio","julio","agosto","septiembre","octubre","noviembre","diciembre"},0)+1,0))</f>
        <v/>
      </c>
      <c r="E1825" t="str">
        <f>+IFERROR(VLOOKUP(Fact_Analitica[[#This Row], [Concepto Anterior]],Conceptos_Analítica_contraloría[#All],5,0),"")</f>
        <v/>
      </c>
      <c r="F1825" t="str">
        <f>+IFERROR(VLOOKUP(Fact_Analitica[[#This Row], [Concepto Anterior]],Conceptos_Analítica_contraloría[#All],7,0),"")</f>
        <v/>
      </c>
      <c r="I1825" t="str">
        <f>+IFERROR(VLOOKUP(D1825,Conceptos_Analítica_contraloría[#All],2,0),"")</f>
        <v/>
      </c>
      <c r="J1825" s="84" t="str">
        <f>+IFERROR(VLOOKUP(D1825,Conceptos_Analítica_contraloría[#All],3,0),"")</f>
        <v/>
      </c>
    </row>
    <row r="1826" spans="3:10" ht="18.75" customHeight="1" x14ac:dyDescent="0.35">
      <c r="C1826" s="100" t="str">
        <f>IF(OR(Fact_Analitica[[#This Row], [Año]]="",Fact_Analitica[[#This Row], [Mes]]=""),"",DATE(A1826,MATCH(B1826,{"enero","febrero","marzo","abril","mayo","junio","julio","agosto","septiembre","octubre","noviembre","diciembre"},0)+1,0))</f>
        <v/>
      </c>
      <c r="E1826" t="str">
        <f>+IFERROR(VLOOKUP(Fact_Analitica[[#This Row], [Concepto Anterior]],Conceptos_Analítica_contraloría[#All],5,0),"")</f>
        <v/>
      </c>
      <c r="F1826" t="str">
        <f>+IFERROR(VLOOKUP(Fact_Analitica[[#This Row], [Concepto Anterior]],Conceptos_Analítica_contraloría[#All],7,0),"")</f>
        <v/>
      </c>
      <c r="I1826" t="str">
        <f>+IFERROR(VLOOKUP(D1826,Conceptos_Analítica_contraloría[#All],2,0),"")</f>
        <v/>
      </c>
      <c r="J1826" s="84" t="str">
        <f>+IFERROR(VLOOKUP(D1826,Conceptos_Analítica_contraloría[#All],3,0),"")</f>
        <v/>
      </c>
    </row>
    <row r="1827" spans="3:10" ht="18.75" customHeight="1" x14ac:dyDescent="0.35">
      <c r="C1827" s="100" t="str">
        <f>IF(OR(Fact_Analitica[[#This Row], [Año]]="",Fact_Analitica[[#This Row], [Mes]]=""),"",DATE(A1827,MATCH(B1827,{"enero","febrero","marzo","abril","mayo","junio","julio","agosto","septiembre","octubre","noviembre","diciembre"},0)+1,0))</f>
        <v/>
      </c>
      <c r="E1827" t="str">
        <f>+IFERROR(VLOOKUP(Fact_Analitica[[#This Row], [Concepto Anterior]],Conceptos_Analítica_contraloría[#All],5,0),"")</f>
        <v/>
      </c>
      <c r="F1827" t="str">
        <f>+IFERROR(VLOOKUP(Fact_Analitica[[#This Row], [Concepto Anterior]],Conceptos_Analítica_contraloría[#All],7,0),"")</f>
        <v/>
      </c>
      <c r="I1827" t="str">
        <f>+IFERROR(VLOOKUP(D1827,Conceptos_Analítica_contraloría[#All],2,0),"")</f>
        <v/>
      </c>
      <c r="J1827" s="84" t="str">
        <f>+IFERROR(VLOOKUP(D1827,Conceptos_Analítica_contraloría[#All],3,0),"")</f>
        <v/>
      </c>
    </row>
    <row r="1828" spans="3:10" ht="18.75" customHeight="1" x14ac:dyDescent="0.35">
      <c r="C1828" s="100" t="str">
        <f>IF(OR(Fact_Analitica[[#This Row], [Año]]="",Fact_Analitica[[#This Row], [Mes]]=""),"",DATE(A1828,MATCH(B1828,{"enero","febrero","marzo","abril","mayo","junio","julio","agosto","septiembre","octubre","noviembre","diciembre"},0)+1,0))</f>
        <v/>
      </c>
      <c r="E1828" t="str">
        <f>+IFERROR(VLOOKUP(Fact_Analitica[[#This Row], [Concepto Anterior]],Conceptos_Analítica_contraloría[#All],5,0),"")</f>
        <v/>
      </c>
      <c r="F1828" t="str">
        <f>+IFERROR(VLOOKUP(Fact_Analitica[[#This Row], [Concepto Anterior]],Conceptos_Analítica_contraloría[#All],7,0),"")</f>
        <v/>
      </c>
      <c r="I1828" t="str">
        <f>+IFERROR(VLOOKUP(D1828,Conceptos_Analítica_contraloría[#All],2,0),"")</f>
        <v/>
      </c>
      <c r="J1828" s="84" t="str">
        <f>+IFERROR(VLOOKUP(D1828,Conceptos_Analítica_contraloría[#All],3,0),"")</f>
        <v/>
      </c>
    </row>
    <row r="1829" spans="3:10" ht="18.75" customHeight="1" x14ac:dyDescent="0.35">
      <c r="C1829" s="100" t="str">
        <f>IF(OR(Fact_Analitica[[#This Row], [Año]]="",Fact_Analitica[[#This Row], [Mes]]=""),"",DATE(A1829,MATCH(B1829,{"enero","febrero","marzo","abril","mayo","junio","julio","agosto","septiembre","octubre","noviembre","diciembre"},0)+1,0))</f>
        <v/>
      </c>
      <c r="E1829" t="str">
        <f>+IFERROR(VLOOKUP(Fact_Analitica[[#This Row], [Concepto Anterior]],Conceptos_Analítica_contraloría[#All],5,0),"")</f>
        <v/>
      </c>
      <c r="F1829" t="str">
        <f>+IFERROR(VLOOKUP(Fact_Analitica[[#This Row], [Concepto Anterior]],Conceptos_Analítica_contraloría[#All],7,0),"")</f>
        <v/>
      </c>
      <c r="I1829" t="str">
        <f>+IFERROR(VLOOKUP(D1829,Conceptos_Analítica_contraloría[#All],2,0),"")</f>
        <v/>
      </c>
      <c r="J1829" s="84" t="str">
        <f>+IFERROR(VLOOKUP(D1829,Conceptos_Analítica_contraloría[#All],3,0),"")</f>
        <v/>
      </c>
    </row>
    <row r="1830" spans="3:10" ht="18.75" customHeight="1" x14ac:dyDescent="0.35">
      <c r="C1830" s="100" t="str">
        <f>IF(OR(Fact_Analitica[[#This Row], [Año]]="",Fact_Analitica[[#This Row], [Mes]]=""),"",DATE(A1830,MATCH(B1830,{"enero","febrero","marzo","abril","mayo","junio","julio","agosto","septiembre","octubre","noviembre","diciembre"},0)+1,0))</f>
        <v/>
      </c>
      <c r="E1830" t="str">
        <f>+IFERROR(VLOOKUP(Fact_Analitica[[#This Row], [Concepto Anterior]],Conceptos_Analítica_contraloría[#All],5,0),"")</f>
        <v/>
      </c>
      <c r="F1830" t="str">
        <f>+IFERROR(VLOOKUP(Fact_Analitica[[#This Row], [Concepto Anterior]],Conceptos_Analítica_contraloría[#All],7,0),"")</f>
        <v/>
      </c>
      <c r="I1830" t="str">
        <f>+IFERROR(VLOOKUP(D1830,Conceptos_Analítica_contraloría[#All],2,0),"")</f>
        <v/>
      </c>
      <c r="J1830" s="84" t="str">
        <f>+IFERROR(VLOOKUP(D1830,Conceptos_Analítica_contraloría[#All],3,0),"")</f>
        <v/>
      </c>
    </row>
    <row r="1831" spans="3:10" ht="18.75" customHeight="1" x14ac:dyDescent="0.35">
      <c r="C1831" s="100" t="str">
        <f>IF(OR(Fact_Analitica[[#This Row], [Año]]="",Fact_Analitica[[#This Row], [Mes]]=""),"",DATE(A1831,MATCH(B1831,{"enero","febrero","marzo","abril","mayo","junio","julio","agosto","septiembre","octubre","noviembre","diciembre"},0)+1,0))</f>
        <v/>
      </c>
      <c r="E1831" t="str">
        <f>+IFERROR(VLOOKUP(Fact_Analitica[[#This Row], [Concepto Anterior]],Conceptos_Analítica_contraloría[#All],5,0),"")</f>
        <v/>
      </c>
      <c r="F1831" t="str">
        <f>+IFERROR(VLOOKUP(Fact_Analitica[[#This Row], [Concepto Anterior]],Conceptos_Analítica_contraloría[#All],7,0),"")</f>
        <v/>
      </c>
      <c r="I1831" t="str">
        <f>+IFERROR(VLOOKUP(D1831,Conceptos_Analítica_contraloría[#All],2,0),"")</f>
        <v/>
      </c>
      <c r="J1831" s="84" t="str">
        <f>+IFERROR(VLOOKUP(D1831,Conceptos_Analítica_contraloría[#All],3,0),"")</f>
        <v/>
      </c>
    </row>
    <row r="1832" spans="3:10" ht="18.75" customHeight="1" x14ac:dyDescent="0.35">
      <c r="C1832" s="100" t="str">
        <f>IF(OR(Fact_Analitica[[#This Row], [Año]]="",Fact_Analitica[[#This Row], [Mes]]=""),"",DATE(A1832,MATCH(B1832,{"enero","febrero","marzo","abril","mayo","junio","julio","agosto","septiembre","octubre","noviembre","diciembre"},0)+1,0))</f>
        <v/>
      </c>
      <c r="E1832" t="str">
        <f>+IFERROR(VLOOKUP(Fact_Analitica[[#This Row], [Concepto Anterior]],Conceptos_Analítica_contraloría[#All],5,0),"")</f>
        <v/>
      </c>
      <c r="F1832" t="str">
        <f>+IFERROR(VLOOKUP(Fact_Analitica[[#This Row], [Concepto Anterior]],Conceptos_Analítica_contraloría[#All],7,0),"")</f>
        <v/>
      </c>
      <c r="I1832" t="str">
        <f>+IFERROR(VLOOKUP(D1832,Conceptos_Analítica_contraloría[#All],2,0),"")</f>
        <v/>
      </c>
      <c r="J1832" s="84" t="str">
        <f>+IFERROR(VLOOKUP(D1832,Conceptos_Analítica_contraloría[#All],3,0),"")</f>
        <v/>
      </c>
    </row>
    <row r="1833" spans="3:10" ht="18.75" customHeight="1" x14ac:dyDescent="0.35">
      <c r="C1833" s="100" t="str">
        <f>IF(OR(Fact_Analitica[[#This Row], [Año]]="",Fact_Analitica[[#This Row], [Mes]]=""),"",DATE(A1833,MATCH(B1833,{"enero","febrero","marzo","abril","mayo","junio","julio","agosto","septiembre","octubre","noviembre","diciembre"},0)+1,0))</f>
        <v/>
      </c>
      <c r="E1833" t="str">
        <f>+IFERROR(VLOOKUP(Fact_Analitica[[#This Row], [Concepto Anterior]],Conceptos_Analítica_contraloría[#All],5,0),"")</f>
        <v/>
      </c>
      <c r="F1833" t="str">
        <f>+IFERROR(VLOOKUP(Fact_Analitica[[#This Row], [Concepto Anterior]],Conceptos_Analítica_contraloría[#All],7,0),"")</f>
        <v/>
      </c>
      <c r="I1833" t="str">
        <f>+IFERROR(VLOOKUP(D1833,Conceptos_Analítica_contraloría[#All],2,0),"")</f>
        <v/>
      </c>
      <c r="J1833" s="84" t="str">
        <f>+IFERROR(VLOOKUP(D1833,Conceptos_Analítica_contraloría[#All],3,0),"")</f>
        <v/>
      </c>
    </row>
    <row r="1834" spans="3:10" ht="18.75" customHeight="1" x14ac:dyDescent="0.35">
      <c r="C1834" s="100" t="str">
        <f>IF(OR(Fact_Analitica[[#This Row], [Año]]="",Fact_Analitica[[#This Row], [Mes]]=""),"",DATE(A1834,MATCH(B1834,{"enero","febrero","marzo","abril","mayo","junio","julio","agosto","septiembre","octubre","noviembre","diciembre"},0)+1,0))</f>
        <v/>
      </c>
      <c r="E1834" t="str">
        <f>+IFERROR(VLOOKUP(Fact_Analitica[[#This Row], [Concepto Anterior]],Conceptos_Analítica_contraloría[#All],5,0),"")</f>
        <v/>
      </c>
      <c r="F1834" t="str">
        <f>+IFERROR(VLOOKUP(Fact_Analitica[[#This Row], [Concepto Anterior]],Conceptos_Analítica_contraloría[#All],7,0),"")</f>
        <v/>
      </c>
      <c r="I1834" t="str">
        <f>+IFERROR(VLOOKUP(D1834,Conceptos_Analítica_contraloría[#All],2,0),"")</f>
        <v/>
      </c>
      <c r="J1834" s="84" t="str">
        <f>+IFERROR(VLOOKUP(D1834,Conceptos_Analítica_contraloría[#All],3,0),"")</f>
        <v/>
      </c>
    </row>
    <row r="1835" spans="3:10" ht="18.75" customHeight="1" x14ac:dyDescent="0.35">
      <c r="C1835" s="100" t="str">
        <f>IF(OR(Fact_Analitica[[#This Row], [Año]]="",Fact_Analitica[[#This Row], [Mes]]=""),"",DATE(A1835,MATCH(B1835,{"enero","febrero","marzo","abril","mayo","junio","julio","agosto","septiembre","octubre","noviembre","diciembre"},0)+1,0))</f>
        <v/>
      </c>
      <c r="E1835" t="str">
        <f>+IFERROR(VLOOKUP(Fact_Analitica[[#This Row], [Concepto Anterior]],Conceptos_Analítica_contraloría[#All],5,0),"")</f>
        <v/>
      </c>
      <c r="F1835" t="str">
        <f>+IFERROR(VLOOKUP(Fact_Analitica[[#This Row], [Concepto Anterior]],Conceptos_Analítica_contraloría[#All],7,0),"")</f>
        <v/>
      </c>
      <c r="I1835" t="str">
        <f>+IFERROR(VLOOKUP(D1835,Conceptos_Analítica_contraloría[#All],2,0),"")</f>
        <v/>
      </c>
      <c r="J1835" s="84" t="str">
        <f>+IFERROR(VLOOKUP(D1835,Conceptos_Analítica_contraloría[#All],3,0),"")</f>
        <v/>
      </c>
    </row>
    <row r="1836" spans="3:10" ht="18.75" customHeight="1" x14ac:dyDescent="0.35">
      <c r="C1836" s="100" t="str">
        <f>IF(OR(Fact_Analitica[[#This Row], [Año]]="",Fact_Analitica[[#This Row], [Mes]]=""),"",DATE(A1836,MATCH(B1836,{"enero","febrero","marzo","abril","mayo","junio","julio","agosto","septiembre","octubre","noviembre","diciembre"},0)+1,0))</f>
        <v/>
      </c>
      <c r="E1836" t="str">
        <f>+IFERROR(VLOOKUP(Fact_Analitica[[#This Row], [Concepto Anterior]],Conceptos_Analítica_contraloría[#All],5,0),"")</f>
        <v/>
      </c>
      <c r="F1836" t="str">
        <f>+IFERROR(VLOOKUP(Fact_Analitica[[#This Row], [Concepto Anterior]],Conceptos_Analítica_contraloría[#All],7,0),"")</f>
        <v/>
      </c>
      <c r="I1836" t="str">
        <f>+IFERROR(VLOOKUP(D1836,Conceptos_Analítica_contraloría[#All],2,0),"")</f>
        <v/>
      </c>
      <c r="J1836" s="84" t="str">
        <f>+IFERROR(VLOOKUP(D1836,Conceptos_Analítica_contraloría[#All],3,0),"")</f>
        <v/>
      </c>
    </row>
    <row r="1837" spans="3:10" ht="18.75" customHeight="1" x14ac:dyDescent="0.35">
      <c r="C1837" s="100" t="str">
        <f>IF(OR(Fact_Analitica[[#This Row], [Año]]="",Fact_Analitica[[#This Row], [Mes]]=""),"",DATE(A1837,MATCH(B1837,{"enero","febrero","marzo","abril","mayo","junio","julio","agosto","septiembre","octubre","noviembre","diciembre"},0)+1,0))</f>
        <v/>
      </c>
      <c r="E1837" t="str">
        <f>+IFERROR(VLOOKUP(Fact_Analitica[[#This Row], [Concepto Anterior]],Conceptos_Analítica_contraloría[#All],5,0),"")</f>
        <v/>
      </c>
      <c r="F1837" t="str">
        <f>+IFERROR(VLOOKUP(Fact_Analitica[[#This Row], [Concepto Anterior]],Conceptos_Analítica_contraloría[#All],7,0),"")</f>
        <v/>
      </c>
      <c r="I1837" t="str">
        <f>+IFERROR(VLOOKUP(D1837,Conceptos_Analítica_contraloría[#All],2,0),"")</f>
        <v/>
      </c>
      <c r="J1837" s="84" t="str">
        <f>+IFERROR(VLOOKUP(D1837,Conceptos_Analítica_contraloría[#All],3,0),"")</f>
        <v/>
      </c>
    </row>
    <row r="1838" spans="3:10" ht="18.75" customHeight="1" x14ac:dyDescent="0.35">
      <c r="C1838" s="100" t="str">
        <f>IF(OR(Fact_Analitica[[#This Row], [Año]]="",Fact_Analitica[[#This Row], [Mes]]=""),"",DATE(A1838,MATCH(B1838,{"enero","febrero","marzo","abril","mayo","junio","julio","agosto","septiembre","octubre","noviembre","diciembre"},0)+1,0))</f>
        <v/>
      </c>
      <c r="E1838" t="str">
        <f>+IFERROR(VLOOKUP(Fact_Analitica[[#This Row], [Concepto Anterior]],Conceptos_Analítica_contraloría[#All],5,0),"")</f>
        <v/>
      </c>
      <c r="F1838" t="str">
        <f>+IFERROR(VLOOKUP(Fact_Analitica[[#This Row], [Concepto Anterior]],Conceptos_Analítica_contraloría[#All],7,0),"")</f>
        <v/>
      </c>
      <c r="I1838" t="str">
        <f>+IFERROR(VLOOKUP(D1838,Conceptos_Analítica_contraloría[#All],2,0),"")</f>
        <v/>
      </c>
      <c r="J1838" s="84" t="str">
        <f>+IFERROR(VLOOKUP(D1838,Conceptos_Analítica_contraloría[#All],3,0),"")</f>
        <v/>
      </c>
    </row>
    <row r="1839" spans="3:10" ht="18.75" customHeight="1" x14ac:dyDescent="0.35">
      <c r="C1839" s="100" t="str">
        <f>IF(OR(Fact_Analitica[[#This Row], [Año]]="",Fact_Analitica[[#This Row], [Mes]]=""),"",DATE(A1839,MATCH(B1839,{"enero","febrero","marzo","abril","mayo","junio","julio","agosto","septiembre","octubre","noviembre","diciembre"},0)+1,0))</f>
        <v/>
      </c>
      <c r="E1839" t="str">
        <f>+IFERROR(VLOOKUP(Fact_Analitica[[#This Row], [Concepto Anterior]],Conceptos_Analítica_contraloría[#All],5,0),"")</f>
        <v/>
      </c>
      <c r="F1839" t="str">
        <f>+IFERROR(VLOOKUP(Fact_Analitica[[#This Row], [Concepto Anterior]],Conceptos_Analítica_contraloría[#All],7,0),"")</f>
        <v/>
      </c>
      <c r="I1839" t="str">
        <f>+IFERROR(VLOOKUP(D1839,Conceptos_Analítica_contraloría[#All],2,0),"")</f>
        <v/>
      </c>
      <c r="J1839" s="84" t="str">
        <f>+IFERROR(VLOOKUP(D1839,Conceptos_Analítica_contraloría[#All],3,0),"")</f>
        <v/>
      </c>
    </row>
    <row r="1840" spans="3:10" ht="18.75" customHeight="1" x14ac:dyDescent="0.35">
      <c r="C1840" s="100" t="str">
        <f>IF(OR(Fact_Analitica[[#This Row], [Año]]="",Fact_Analitica[[#This Row], [Mes]]=""),"",DATE(A1840,MATCH(B1840,{"enero","febrero","marzo","abril","mayo","junio","julio","agosto","septiembre","octubre","noviembre","diciembre"},0)+1,0))</f>
        <v/>
      </c>
      <c r="E1840" t="str">
        <f>+IFERROR(VLOOKUP(Fact_Analitica[[#This Row], [Concepto Anterior]],Conceptos_Analítica_contraloría[#All],5,0),"")</f>
        <v/>
      </c>
      <c r="F1840" t="str">
        <f>+IFERROR(VLOOKUP(Fact_Analitica[[#This Row], [Concepto Anterior]],Conceptos_Analítica_contraloría[#All],7,0),"")</f>
        <v/>
      </c>
      <c r="I1840" t="str">
        <f>+IFERROR(VLOOKUP(D1840,Conceptos_Analítica_contraloría[#All],2,0),"")</f>
        <v/>
      </c>
      <c r="J1840" s="84" t="str">
        <f>+IFERROR(VLOOKUP(D1840,Conceptos_Analítica_contraloría[#All],3,0),"")</f>
        <v/>
      </c>
    </row>
    <row r="1841" spans="3:10" ht="18.75" customHeight="1" x14ac:dyDescent="0.35">
      <c r="C1841" s="100" t="str">
        <f>IF(OR(Fact_Analitica[[#This Row], [Año]]="",Fact_Analitica[[#This Row], [Mes]]=""),"",DATE(A1841,MATCH(B1841,{"enero","febrero","marzo","abril","mayo","junio","julio","agosto","septiembre","octubre","noviembre","diciembre"},0)+1,0))</f>
        <v/>
      </c>
      <c r="E1841" t="str">
        <f>+IFERROR(VLOOKUP(Fact_Analitica[[#This Row], [Concepto Anterior]],Conceptos_Analítica_contraloría[#All],5,0),"")</f>
        <v/>
      </c>
      <c r="F1841" t="str">
        <f>+IFERROR(VLOOKUP(Fact_Analitica[[#This Row], [Concepto Anterior]],Conceptos_Analítica_contraloría[#All],7,0),"")</f>
        <v/>
      </c>
      <c r="I1841" t="str">
        <f>+IFERROR(VLOOKUP(D1841,Conceptos_Analítica_contraloría[#All],2,0),"")</f>
        <v/>
      </c>
      <c r="J1841" s="84" t="str">
        <f>+IFERROR(VLOOKUP(D1841,Conceptos_Analítica_contraloría[#All],3,0),"")</f>
        <v/>
      </c>
    </row>
    <row r="1842" spans="3:10" ht="18.75" customHeight="1" x14ac:dyDescent="0.35">
      <c r="C1842" s="100" t="str">
        <f>IF(OR(Fact_Analitica[[#This Row], [Año]]="",Fact_Analitica[[#This Row], [Mes]]=""),"",DATE(A1842,MATCH(B1842,{"enero","febrero","marzo","abril","mayo","junio","julio","agosto","septiembre","octubre","noviembre","diciembre"},0)+1,0))</f>
        <v/>
      </c>
      <c r="E1842" t="str">
        <f>+IFERROR(VLOOKUP(Fact_Analitica[[#This Row], [Concepto Anterior]],Conceptos_Analítica_contraloría[#All],5,0),"")</f>
        <v/>
      </c>
      <c r="F1842" t="str">
        <f>+IFERROR(VLOOKUP(Fact_Analitica[[#This Row], [Concepto Anterior]],Conceptos_Analítica_contraloría[#All],7,0),"")</f>
        <v/>
      </c>
      <c r="I1842" t="str">
        <f>+IFERROR(VLOOKUP(D1842,Conceptos_Analítica_contraloría[#All],2,0),"")</f>
        <v/>
      </c>
      <c r="J1842" s="84" t="str">
        <f>+IFERROR(VLOOKUP(D1842,Conceptos_Analítica_contraloría[#All],3,0),"")</f>
        <v/>
      </c>
    </row>
    <row r="1843" spans="3:10" ht="18.75" customHeight="1" x14ac:dyDescent="0.35">
      <c r="C1843" s="100" t="str">
        <f>IF(OR(Fact_Analitica[[#This Row], [Año]]="",Fact_Analitica[[#This Row], [Mes]]=""),"",DATE(A1843,MATCH(B1843,{"enero","febrero","marzo","abril","mayo","junio","julio","agosto","septiembre","octubre","noviembre","diciembre"},0)+1,0))</f>
        <v/>
      </c>
      <c r="E1843" t="str">
        <f>+IFERROR(VLOOKUP(Fact_Analitica[[#This Row], [Concepto Anterior]],Conceptos_Analítica_contraloría[#All],5,0),"")</f>
        <v/>
      </c>
      <c r="F1843" t="str">
        <f>+IFERROR(VLOOKUP(Fact_Analitica[[#This Row], [Concepto Anterior]],Conceptos_Analítica_contraloría[#All],7,0),"")</f>
        <v/>
      </c>
      <c r="I1843" t="str">
        <f>+IFERROR(VLOOKUP(D1843,Conceptos_Analítica_contraloría[#All],2,0),"")</f>
        <v/>
      </c>
      <c r="J1843" s="84" t="str">
        <f>+IFERROR(VLOOKUP(D1843,Conceptos_Analítica_contraloría[#All],3,0),"")</f>
        <v/>
      </c>
    </row>
    <row r="1844" spans="3:10" ht="18.75" customHeight="1" x14ac:dyDescent="0.35">
      <c r="C1844" s="100" t="str">
        <f>IF(OR(Fact_Analitica[[#This Row], [Año]]="",Fact_Analitica[[#This Row], [Mes]]=""),"",DATE(A1844,MATCH(B1844,{"enero","febrero","marzo","abril","mayo","junio","julio","agosto","septiembre","octubre","noviembre","diciembre"},0)+1,0))</f>
        <v/>
      </c>
      <c r="E1844" t="str">
        <f>+IFERROR(VLOOKUP(Fact_Analitica[[#This Row], [Concepto Anterior]],Conceptos_Analítica_contraloría[#All],5,0),"")</f>
        <v/>
      </c>
      <c r="F1844" t="str">
        <f>+IFERROR(VLOOKUP(Fact_Analitica[[#This Row], [Concepto Anterior]],Conceptos_Analítica_contraloría[#All],7,0),"")</f>
        <v/>
      </c>
      <c r="I1844" t="str">
        <f>+IFERROR(VLOOKUP(D1844,Conceptos_Analítica_contraloría[#All],2,0),"")</f>
        <v/>
      </c>
      <c r="J1844" s="84" t="str">
        <f>+IFERROR(VLOOKUP(D1844,Conceptos_Analítica_contraloría[#All],3,0),"")</f>
        <v/>
      </c>
    </row>
    <row r="1845" spans="3:10" ht="18.75" customHeight="1" x14ac:dyDescent="0.35">
      <c r="C1845" s="100" t="str">
        <f>IF(OR(Fact_Analitica[[#This Row], [Año]]="",Fact_Analitica[[#This Row], [Mes]]=""),"",DATE(A1845,MATCH(B1845,{"enero","febrero","marzo","abril","mayo","junio","julio","agosto","septiembre","octubre","noviembre","diciembre"},0)+1,0))</f>
        <v/>
      </c>
      <c r="E1845" t="str">
        <f>+IFERROR(VLOOKUP(Fact_Analitica[[#This Row], [Concepto Anterior]],Conceptos_Analítica_contraloría[#All],5,0),"")</f>
        <v/>
      </c>
      <c r="F1845" t="str">
        <f>+IFERROR(VLOOKUP(Fact_Analitica[[#This Row], [Concepto Anterior]],Conceptos_Analítica_contraloría[#All],7,0),"")</f>
        <v/>
      </c>
      <c r="I1845" t="str">
        <f>+IFERROR(VLOOKUP(D1845,Conceptos_Analítica_contraloría[#All],2,0),"")</f>
        <v/>
      </c>
      <c r="J1845" s="84" t="str">
        <f>+IFERROR(VLOOKUP(D1845,Conceptos_Analítica_contraloría[#All],3,0),"")</f>
        <v/>
      </c>
    </row>
    <row r="1846" spans="3:10" ht="18.75" customHeight="1" x14ac:dyDescent="0.35">
      <c r="C1846" s="100" t="str">
        <f>IF(OR(Fact_Analitica[[#This Row], [Año]]="",Fact_Analitica[[#This Row], [Mes]]=""),"",DATE(A1846,MATCH(B1846,{"enero","febrero","marzo","abril","mayo","junio","julio","agosto","septiembre","octubre","noviembre","diciembre"},0)+1,0))</f>
        <v/>
      </c>
      <c r="E1846" t="str">
        <f>+IFERROR(VLOOKUP(Fact_Analitica[[#This Row], [Concepto Anterior]],Conceptos_Analítica_contraloría[#All],5,0),"")</f>
        <v/>
      </c>
      <c r="F1846" t="str">
        <f>+IFERROR(VLOOKUP(Fact_Analitica[[#This Row], [Concepto Anterior]],Conceptos_Analítica_contraloría[#All],7,0),"")</f>
        <v/>
      </c>
      <c r="I1846" t="str">
        <f>+IFERROR(VLOOKUP(D1846,Conceptos_Analítica_contraloría[#All],2,0),"")</f>
        <v/>
      </c>
      <c r="J1846" s="84" t="str">
        <f>+IFERROR(VLOOKUP(D1846,Conceptos_Analítica_contraloría[#All],3,0),"")</f>
        <v/>
      </c>
    </row>
    <row r="1847" spans="3:10" ht="18.75" customHeight="1" x14ac:dyDescent="0.35">
      <c r="C1847" s="100" t="str">
        <f>IF(OR(Fact_Analitica[[#This Row], [Año]]="",Fact_Analitica[[#This Row], [Mes]]=""),"",DATE(A1847,MATCH(B1847,{"enero","febrero","marzo","abril","mayo","junio","julio","agosto","septiembre","octubre","noviembre","diciembre"},0)+1,0))</f>
        <v/>
      </c>
      <c r="E1847" t="str">
        <f>+IFERROR(VLOOKUP(Fact_Analitica[[#This Row], [Concepto Anterior]],Conceptos_Analítica_contraloría[#All],5,0),"")</f>
        <v/>
      </c>
      <c r="F1847" t="str">
        <f>+IFERROR(VLOOKUP(Fact_Analitica[[#This Row], [Concepto Anterior]],Conceptos_Analítica_contraloría[#All],7,0),"")</f>
        <v/>
      </c>
      <c r="I1847" t="str">
        <f>+IFERROR(VLOOKUP(D1847,Conceptos_Analítica_contraloría[#All],2,0),"")</f>
        <v/>
      </c>
      <c r="J1847" s="84" t="str">
        <f>+IFERROR(VLOOKUP(D1847,Conceptos_Analítica_contraloría[#All],3,0),"")</f>
        <v/>
      </c>
    </row>
    <row r="1848" spans="3:10" ht="18.75" customHeight="1" x14ac:dyDescent="0.35">
      <c r="C1848" s="100" t="str">
        <f>IF(OR(Fact_Analitica[[#This Row], [Año]]="",Fact_Analitica[[#This Row], [Mes]]=""),"",DATE(A1848,MATCH(B1848,{"enero","febrero","marzo","abril","mayo","junio","julio","agosto","septiembre","octubre","noviembre","diciembre"},0)+1,0))</f>
        <v/>
      </c>
      <c r="E1848" t="str">
        <f>+IFERROR(VLOOKUP(Fact_Analitica[[#This Row], [Concepto Anterior]],Conceptos_Analítica_contraloría[#All],5,0),"")</f>
        <v/>
      </c>
      <c r="F1848" t="str">
        <f>+IFERROR(VLOOKUP(Fact_Analitica[[#This Row], [Concepto Anterior]],Conceptos_Analítica_contraloría[#All],7,0),"")</f>
        <v/>
      </c>
      <c r="I1848" t="str">
        <f>+IFERROR(VLOOKUP(D1848,Conceptos_Analítica_contraloría[#All],2,0),"")</f>
        <v/>
      </c>
      <c r="J1848" s="84" t="str">
        <f>+IFERROR(VLOOKUP(D1848,Conceptos_Analítica_contraloría[#All],3,0),"")</f>
        <v/>
      </c>
    </row>
    <row r="1849" spans="3:10" ht="18.75" customHeight="1" x14ac:dyDescent="0.35">
      <c r="C1849" s="100" t="str">
        <f>IF(OR(Fact_Analitica[[#This Row], [Año]]="",Fact_Analitica[[#This Row], [Mes]]=""),"",DATE(A1849,MATCH(B1849,{"enero","febrero","marzo","abril","mayo","junio","julio","agosto","septiembre","octubre","noviembre","diciembre"},0)+1,0))</f>
        <v/>
      </c>
      <c r="E1849" t="str">
        <f>+IFERROR(VLOOKUP(Fact_Analitica[[#This Row], [Concepto Anterior]],Conceptos_Analítica_contraloría[#All],5,0),"")</f>
        <v/>
      </c>
      <c r="F1849" t="str">
        <f>+IFERROR(VLOOKUP(Fact_Analitica[[#This Row], [Concepto Anterior]],Conceptos_Analítica_contraloría[#All],7,0),"")</f>
        <v/>
      </c>
      <c r="I1849" t="str">
        <f>+IFERROR(VLOOKUP(D1849,Conceptos_Analítica_contraloría[#All],2,0),"")</f>
        <v/>
      </c>
      <c r="J1849" s="84" t="str">
        <f>+IFERROR(VLOOKUP(D1849,Conceptos_Analítica_contraloría[#All],3,0),"")</f>
        <v/>
      </c>
    </row>
    <row r="1850" spans="3:10" ht="18.75" customHeight="1" x14ac:dyDescent="0.35">
      <c r="C1850" s="100" t="str">
        <f>IF(OR(Fact_Analitica[[#This Row], [Año]]="",Fact_Analitica[[#This Row], [Mes]]=""),"",DATE(A1850,MATCH(B1850,{"enero","febrero","marzo","abril","mayo","junio","julio","agosto","septiembre","octubre","noviembre","diciembre"},0)+1,0))</f>
        <v/>
      </c>
      <c r="E1850" t="str">
        <f>+IFERROR(VLOOKUP(Fact_Analitica[[#This Row], [Concepto Anterior]],Conceptos_Analítica_contraloría[#All],5,0),"")</f>
        <v/>
      </c>
      <c r="F1850" t="str">
        <f>+IFERROR(VLOOKUP(Fact_Analitica[[#This Row], [Concepto Anterior]],Conceptos_Analítica_contraloría[#All],7,0),"")</f>
        <v/>
      </c>
      <c r="I1850" t="str">
        <f>+IFERROR(VLOOKUP(D1850,Conceptos_Analítica_contraloría[#All],2,0),"")</f>
        <v/>
      </c>
      <c r="J1850" s="84" t="str">
        <f>+IFERROR(VLOOKUP(D1850,Conceptos_Analítica_contraloría[#All],3,0),"")</f>
        <v/>
      </c>
    </row>
    <row r="1851" spans="3:10" ht="18.75" customHeight="1" x14ac:dyDescent="0.35">
      <c r="C1851" s="100" t="str">
        <f>IF(OR(Fact_Analitica[[#This Row], [Año]]="",Fact_Analitica[[#This Row], [Mes]]=""),"",DATE(A1851,MATCH(B1851,{"enero","febrero","marzo","abril","mayo","junio","julio","agosto","septiembre","octubre","noviembre","diciembre"},0)+1,0))</f>
        <v/>
      </c>
      <c r="E1851" t="str">
        <f>+IFERROR(VLOOKUP(Fact_Analitica[[#This Row], [Concepto Anterior]],Conceptos_Analítica_contraloría[#All],5,0),"")</f>
        <v/>
      </c>
      <c r="F1851" t="str">
        <f>+IFERROR(VLOOKUP(Fact_Analitica[[#This Row], [Concepto Anterior]],Conceptos_Analítica_contraloría[#All],7,0),"")</f>
        <v/>
      </c>
      <c r="I1851" t="str">
        <f>+IFERROR(VLOOKUP(D1851,Conceptos_Analítica_contraloría[#All],2,0),"")</f>
        <v/>
      </c>
      <c r="J1851" s="84" t="str">
        <f>+IFERROR(VLOOKUP(D1851,Conceptos_Analítica_contraloría[#All],3,0),"")</f>
        <v/>
      </c>
    </row>
    <row r="1852" spans="3:10" ht="18.75" customHeight="1" x14ac:dyDescent="0.35">
      <c r="C1852" s="100" t="str">
        <f>IF(OR(Fact_Analitica[[#This Row], [Año]]="",Fact_Analitica[[#This Row], [Mes]]=""),"",DATE(A1852,MATCH(B1852,{"enero","febrero","marzo","abril","mayo","junio","julio","agosto","septiembre","octubre","noviembre","diciembre"},0)+1,0))</f>
        <v/>
      </c>
      <c r="E1852" t="str">
        <f>+IFERROR(VLOOKUP(Fact_Analitica[[#This Row], [Concepto Anterior]],Conceptos_Analítica_contraloría[#All],5,0),"")</f>
        <v/>
      </c>
      <c r="F1852" t="str">
        <f>+IFERROR(VLOOKUP(Fact_Analitica[[#This Row], [Concepto Anterior]],Conceptos_Analítica_contraloría[#All],7,0),"")</f>
        <v/>
      </c>
      <c r="I1852" t="str">
        <f>+IFERROR(VLOOKUP(D1852,Conceptos_Analítica_contraloría[#All],2,0),"")</f>
        <v/>
      </c>
      <c r="J1852" s="84" t="str">
        <f>+IFERROR(VLOOKUP(D1852,Conceptos_Analítica_contraloría[#All],3,0),"")</f>
        <v/>
      </c>
    </row>
    <row r="1853" spans="3:10" ht="18.75" customHeight="1" x14ac:dyDescent="0.35">
      <c r="C1853" s="100" t="str">
        <f>IF(OR(Fact_Analitica[[#This Row], [Año]]="",Fact_Analitica[[#This Row], [Mes]]=""),"",DATE(A1853,MATCH(B1853,{"enero","febrero","marzo","abril","mayo","junio","julio","agosto","septiembre","octubre","noviembre","diciembre"},0)+1,0))</f>
        <v/>
      </c>
      <c r="E1853" t="str">
        <f>+IFERROR(VLOOKUP(Fact_Analitica[[#This Row], [Concepto Anterior]],Conceptos_Analítica_contraloría[#All],5,0),"")</f>
        <v/>
      </c>
      <c r="F1853" t="str">
        <f>+IFERROR(VLOOKUP(Fact_Analitica[[#This Row], [Concepto Anterior]],Conceptos_Analítica_contraloría[#All],7,0),"")</f>
        <v/>
      </c>
      <c r="I1853" t="str">
        <f>+IFERROR(VLOOKUP(D1853,Conceptos_Analítica_contraloría[#All],2,0),"")</f>
        <v/>
      </c>
      <c r="J1853" s="84" t="str">
        <f>+IFERROR(VLOOKUP(D1853,Conceptos_Analítica_contraloría[#All],3,0),"")</f>
        <v/>
      </c>
    </row>
    <row r="1854" spans="3:10" ht="18.75" customHeight="1" x14ac:dyDescent="0.35">
      <c r="C1854" s="100" t="str">
        <f>IF(OR(Fact_Analitica[[#This Row], [Año]]="",Fact_Analitica[[#This Row], [Mes]]=""),"",DATE(A1854,MATCH(B1854,{"enero","febrero","marzo","abril","mayo","junio","julio","agosto","septiembre","octubre","noviembre","diciembre"},0)+1,0))</f>
        <v/>
      </c>
      <c r="E1854" t="str">
        <f>+IFERROR(VLOOKUP(Fact_Analitica[[#This Row], [Concepto Anterior]],Conceptos_Analítica_contraloría[#All],5,0),"")</f>
        <v/>
      </c>
      <c r="F1854" t="str">
        <f>+IFERROR(VLOOKUP(Fact_Analitica[[#This Row], [Concepto Anterior]],Conceptos_Analítica_contraloría[#All],7,0),"")</f>
        <v/>
      </c>
      <c r="I1854" t="str">
        <f>+IFERROR(VLOOKUP(D1854,Conceptos_Analítica_contraloría[#All],2,0),"")</f>
        <v/>
      </c>
      <c r="J1854" s="84" t="str">
        <f>+IFERROR(VLOOKUP(D1854,Conceptos_Analítica_contraloría[#All],3,0),"")</f>
        <v/>
      </c>
    </row>
    <row r="1855" spans="3:10" ht="18.75" customHeight="1" x14ac:dyDescent="0.35">
      <c r="C1855" s="100" t="str">
        <f>IF(OR(Fact_Analitica[[#This Row], [Año]]="",Fact_Analitica[[#This Row], [Mes]]=""),"",DATE(A1855,MATCH(B1855,{"enero","febrero","marzo","abril","mayo","junio","julio","agosto","septiembre","octubre","noviembre","diciembre"},0)+1,0))</f>
        <v/>
      </c>
      <c r="E1855" t="str">
        <f>+IFERROR(VLOOKUP(Fact_Analitica[[#This Row], [Concepto Anterior]],Conceptos_Analítica_contraloría[#All],5,0),"")</f>
        <v/>
      </c>
      <c r="F1855" t="str">
        <f>+IFERROR(VLOOKUP(Fact_Analitica[[#This Row], [Concepto Anterior]],Conceptos_Analítica_contraloría[#All],7,0),"")</f>
        <v/>
      </c>
      <c r="I1855" t="str">
        <f>+IFERROR(VLOOKUP(D1855,Conceptos_Analítica_contraloría[#All],2,0),"")</f>
        <v/>
      </c>
      <c r="J1855" s="84" t="str">
        <f>+IFERROR(VLOOKUP(D1855,Conceptos_Analítica_contraloría[#All],3,0),"")</f>
        <v/>
      </c>
    </row>
    <row r="1856" spans="3:10" ht="18.75" customHeight="1" x14ac:dyDescent="0.35">
      <c r="C1856" s="100" t="str">
        <f>IF(OR(Fact_Analitica[[#This Row], [Año]]="",Fact_Analitica[[#This Row], [Mes]]=""),"",DATE(A1856,MATCH(B1856,{"enero","febrero","marzo","abril","mayo","junio","julio","agosto","septiembre","octubre","noviembre","diciembre"},0)+1,0))</f>
        <v/>
      </c>
      <c r="E1856" t="str">
        <f>+IFERROR(VLOOKUP(Fact_Analitica[[#This Row], [Concepto Anterior]],Conceptos_Analítica_contraloría[#All],5,0),"")</f>
        <v/>
      </c>
      <c r="F1856" t="str">
        <f>+IFERROR(VLOOKUP(Fact_Analitica[[#This Row], [Concepto Anterior]],Conceptos_Analítica_contraloría[#All],7,0),"")</f>
        <v/>
      </c>
      <c r="I1856" t="str">
        <f>+IFERROR(VLOOKUP(D1856,Conceptos_Analítica_contraloría[#All],2,0),"")</f>
        <v/>
      </c>
      <c r="J1856" s="84" t="str">
        <f>+IFERROR(VLOOKUP(D1856,Conceptos_Analítica_contraloría[#All],3,0),"")</f>
        <v/>
      </c>
    </row>
    <row r="1857" spans="3:10" ht="18.75" customHeight="1" x14ac:dyDescent="0.35">
      <c r="C1857" s="100" t="str">
        <f>IF(OR(Fact_Analitica[[#This Row], [Año]]="",Fact_Analitica[[#This Row], [Mes]]=""),"",DATE(A1857,MATCH(B1857,{"enero","febrero","marzo","abril","mayo","junio","julio","agosto","septiembre","octubre","noviembre","diciembre"},0)+1,0))</f>
        <v/>
      </c>
      <c r="E1857" t="str">
        <f>+IFERROR(VLOOKUP(Fact_Analitica[[#This Row], [Concepto Anterior]],Conceptos_Analítica_contraloría[#All],5,0),"")</f>
        <v/>
      </c>
      <c r="F1857" t="str">
        <f>+IFERROR(VLOOKUP(Fact_Analitica[[#This Row], [Concepto Anterior]],Conceptos_Analítica_contraloría[#All],7,0),"")</f>
        <v/>
      </c>
      <c r="I1857" t="str">
        <f>+IFERROR(VLOOKUP(D1857,Conceptos_Analítica_contraloría[#All],2,0),"")</f>
        <v/>
      </c>
      <c r="J1857" s="84" t="str">
        <f>+IFERROR(VLOOKUP(D1857,Conceptos_Analítica_contraloría[#All],3,0),"")</f>
        <v/>
      </c>
    </row>
    <row r="1858" spans="3:10" ht="18.75" customHeight="1" x14ac:dyDescent="0.35">
      <c r="C1858" s="100" t="str">
        <f>IF(OR(Fact_Analitica[[#This Row], [Año]]="",Fact_Analitica[[#This Row], [Mes]]=""),"",DATE(A1858,MATCH(B1858,{"enero","febrero","marzo","abril","mayo","junio","julio","agosto","septiembre","octubre","noviembre","diciembre"},0)+1,0))</f>
        <v/>
      </c>
      <c r="E1858" t="str">
        <f>+IFERROR(VLOOKUP(Fact_Analitica[[#This Row], [Concepto Anterior]],Conceptos_Analítica_contraloría[#All],5,0),"")</f>
        <v/>
      </c>
      <c r="F1858" t="str">
        <f>+IFERROR(VLOOKUP(Fact_Analitica[[#This Row], [Concepto Anterior]],Conceptos_Analítica_contraloría[#All],7,0),"")</f>
        <v/>
      </c>
      <c r="I1858" t="str">
        <f>+IFERROR(VLOOKUP(D1858,Conceptos_Analítica_contraloría[#All],2,0),"")</f>
        <v/>
      </c>
      <c r="J1858" s="84" t="str">
        <f>+IFERROR(VLOOKUP(D1858,Conceptos_Analítica_contraloría[#All],3,0),"")</f>
        <v/>
      </c>
    </row>
    <row r="1859" spans="3:10" ht="18.75" customHeight="1" x14ac:dyDescent="0.35">
      <c r="C1859" s="100" t="str">
        <f>IF(OR(Fact_Analitica[[#This Row], [Año]]="",Fact_Analitica[[#This Row], [Mes]]=""),"",DATE(A1859,MATCH(B1859,{"enero","febrero","marzo","abril","mayo","junio","julio","agosto","septiembre","octubre","noviembre","diciembre"},0)+1,0))</f>
        <v/>
      </c>
      <c r="E1859" t="str">
        <f>+IFERROR(VLOOKUP(Fact_Analitica[[#This Row], [Concepto Anterior]],Conceptos_Analítica_contraloría[#All],5,0),"")</f>
        <v/>
      </c>
      <c r="F1859" t="str">
        <f>+IFERROR(VLOOKUP(Fact_Analitica[[#This Row], [Concepto Anterior]],Conceptos_Analítica_contraloría[#All],7,0),"")</f>
        <v/>
      </c>
      <c r="I1859" t="str">
        <f>+IFERROR(VLOOKUP(D1859,Conceptos_Analítica_contraloría[#All],2,0),"")</f>
        <v/>
      </c>
      <c r="J1859" s="84" t="str">
        <f>+IFERROR(VLOOKUP(D1859,Conceptos_Analítica_contraloría[#All],3,0),"")</f>
        <v/>
      </c>
    </row>
    <row r="1860" spans="3:10" ht="18.75" customHeight="1" x14ac:dyDescent="0.35">
      <c r="C1860" s="100" t="str">
        <f>IF(OR(Fact_Analitica[[#This Row], [Año]]="",Fact_Analitica[[#This Row], [Mes]]=""),"",DATE(A1860,MATCH(B1860,{"enero","febrero","marzo","abril","mayo","junio","julio","agosto","septiembre","octubre","noviembre","diciembre"},0)+1,0))</f>
        <v/>
      </c>
      <c r="E1860" t="str">
        <f>+IFERROR(VLOOKUP(Fact_Analitica[[#This Row], [Concepto Anterior]],Conceptos_Analítica_contraloría[#All],5,0),"")</f>
        <v/>
      </c>
      <c r="F1860" t="str">
        <f>+IFERROR(VLOOKUP(Fact_Analitica[[#This Row], [Concepto Anterior]],Conceptos_Analítica_contraloría[#All],7,0),"")</f>
        <v/>
      </c>
      <c r="I1860" t="str">
        <f>+IFERROR(VLOOKUP(D1860,Conceptos_Analítica_contraloría[#All],2,0),"")</f>
        <v/>
      </c>
      <c r="J1860" s="84" t="str">
        <f>+IFERROR(VLOOKUP(D1860,Conceptos_Analítica_contraloría[#All],3,0),"")</f>
        <v/>
      </c>
    </row>
    <row r="1861" spans="3:10" ht="18.75" customHeight="1" x14ac:dyDescent="0.35">
      <c r="C1861" s="100" t="str">
        <f>IF(OR(Fact_Analitica[[#This Row], [Año]]="",Fact_Analitica[[#This Row], [Mes]]=""),"",DATE(A1861,MATCH(B1861,{"enero","febrero","marzo","abril","mayo","junio","julio","agosto","septiembre","octubre","noviembre","diciembre"},0)+1,0))</f>
        <v/>
      </c>
      <c r="E1861" t="str">
        <f>+IFERROR(VLOOKUP(Fact_Analitica[[#This Row], [Concepto Anterior]],Conceptos_Analítica_contraloría[#All],5,0),"")</f>
        <v/>
      </c>
      <c r="F1861" t="str">
        <f>+IFERROR(VLOOKUP(Fact_Analitica[[#This Row], [Concepto Anterior]],Conceptos_Analítica_contraloría[#All],7,0),"")</f>
        <v/>
      </c>
      <c r="I1861" t="str">
        <f>+IFERROR(VLOOKUP(D1861,Conceptos_Analítica_contraloría[#All],2,0),"")</f>
        <v/>
      </c>
      <c r="J1861" s="84" t="str">
        <f>+IFERROR(VLOOKUP(D1861,Conceptos_Analítica_contraloría[#All],3,0),"")</f>
        <v/>
      </c>
    </row>
    <row r="1862" spans="3:10" ht="18.75" customHeight="1" x14ac:dyDescent="0.35">
      <c r="C1862" s="100" t="str">
        <f>IF(OR(Fact_Analitica[[#This Row], [Año]]="",Fact_Analitica[[#This Row], [Mes]]=""),"",DATE(A1862,MATCH(B1862,{"enero","febrero","marzo","abril","mayo","junio","julio","agosto","septiembre","octubre","noviembre","diciembre"},0)+1,0))</f>
        <v/>
      </c>
      <c r="E1862" t="str">
        <f>+IFERROR(VLOOKUP(Fact_Analitica[[#This Row], [Concepto Anterior]],Conceptos_Analítica_contraloría[#All],5,0),"")</f>
        <v/>
      </c>
      <c r="F1862" t="str">
        <f>+IFERROR(VLOOKUP(Fact_Analitica[[#This Row], [Concepto Anterior]],Conceptos_Analítica_contraloría[#All],7,0),"")</f>
        <v/>
      </c>
      <c r="I1862" t="str">
        <f>+IFERROR(VLOOKUP(D1862,Conceptos_Analítica_contraloría[#All],2,0),"")</f>
        <v/>
      </c>
      <c r="J1862" s="84" t="str">
        <f>+IFERROR(VLOOKUP(D1862,Conceptos_Analítica_contraloría[#All],3,0),"")</f>
        <v/>
      </c>
    </row>
    <row r="1863" spans="3:10" ht="18.75" customHeight="1" x14ac:dyDescent="0.35">
      <c r="C1863" s="100" t="str">
        <f>IF(OR(Fact_Analitica[[#This Row], [Año]]="",Fact_Analitica[[#This Row], [Mes]]=""),"",DATE(A1863,MATCH(B1863,{"enero","febrero","marzo","abril","mayo","junio","julio","agosto","septiembre","octubre","noviembre","diciembre"},0)+1,0))</f>
        <v/>
      </c>
      <c r="E1863" t="str">
        <f>+IFERROR(VLOOKUP(Fact_Analitica[[#This Row], [Concepto Anterior]],Conceptos_Analítica_contraloría[#All],5,0),"")</f>
        <v/>
      </c>
      <c r="F1863" t="str">
        <f>+IFERROR(VLOOKUP(Fact_Analitica[[#This Row], [Concepto Anterior]],Conceptos_Analítica_contraloría[#All],7,0),"")</f>
        <v/>
      </c>
      <c r="I1863" t="str">
        <f>+IFERROR(VLOOKUP(D1863,Conceptos_Analítica_contraloría[#All],2,0),"")</f>
        <v/>
      </c>
      <c r="J1863" s="84" t="str">
        <f>+IFERROR(VLOOKUP(D1863,Conceptos_Analítica_contraloría[#All],3,0),"")</f>
        <v/>
      </c>
    </row>
    <row r="1864" spans="3:10" ht="18.75" customHeight="1" x14ac:dyDescent="0.35">
      <c r="C1864" s="100" t="str">
        <f>IF(OR(Fact_Analitica[[#This Row], [Año]]="",Fact_Analitica[[#This Row], [Mes]]=""),"",DATE(A1864,MATCH(B1864,{"enero","febrero","marzo","abril","mayo","junio","julio","agosto","septiembre","octubre","noviembre","diciembre"},0)+1,0))</f>
        <v/>
      </c>
      <c r="E1864" t="str">
        <f>+IFERROR(VLOOKUP(Fact_Analitica[[#This Row], [Concepto Anterior]],Conceptos_Analítica_contraloría[#All],5,0),"")</f>
        <v/>
      </c>
      <c r="F1864" t="str">
        <f>+IFERROR(VLOOKUP(Fact_Analitica[[#This Row], [Concepto Anterior]],Conceptos_Analítica_contraloría[#All],7,0),"")</f>
        <v/>
      </c>
      <c r="I1864" t="str">
        <f>+IFERROR(VLOOKUP(D1864,Conceptos_Analítica_contraloría[#All],2,0),"")</f>
        <v/>
      </c>
      <c r="J1864" s="84" t="str">
        <f>+IFERROR(VLOOKUP(D1864,Conceptos_Analítica_contraloría[#All],3,0),"")</f>
        <v/>
      </c>
    </row>
    <row r="1865" spans="3:10" ht="18.75" customHeight="1" x14ac:dyDescent="0.35">
      <c r="C1865" s="100" t="str">
        <f>IF(OR(Fact_Analitica[[#This Row], [Año]]="",Fact_Analitica[[#This Row], [Mes]]=""),"",DATE(A1865,MATCH(B1865,{"enero","febrero","marzo","abril","mayo","junio","julio","agosto","septiembre","octubre","noviembre","diciembre"},0)+1,0))</f>
        <v/>
      </c>
      <c r="E1865" t="str">
        <f>+IFERROR(VLOOKUP(Fact_Analitica[[#This Row], [Concepto Anterior]],Conceptos_Analítica_contraloría[#All],5,0),"")</f>
        <v/>
      </c>
      <c r="F1865" t="str">
        <f>+IFERROR(VLOOKUP(Fact_Analitica[[#This Row], [Concepto Anterior]],Conceptos_Analítica_contraloría[#All],7,0),"")</f>
        <v/>
      </c>
      <c r="I1865" t="str">
        <f>+IFERROR(VLOOKUP(D1865,Conceptos_Analítica_contraloría[#All],2,0),"")</f>
        <v/>
      </c>
      <c r="J1865" s="84" t="str">
        <f>+IFERROR(VLOOKUP(D1865,Conceptos_Analítica_contraloría[#All],3,0),"")</f>
        <v/>
      </c>
    </row>
    <row r="1866" spans="3:10" ht="18.75" customHeight="1" x14ac:dyDescent="0.35">
      <c r="C1866" s="100" t="str">
        <f>IF(OR(Fact_Analitica[[#This Row], [Año]]="",Fact_Analitica[[#This Row], [Mes]]=""),"",DATE(A1866,MATCH(B1866,{"enero","febrero","marzo","abril","mayo","junio","julio","agosto","septiembre","octubre","noviembre","diciembre"},0)+1,0))</f>
        <v/>
      </c>
      <c r="E1866" t="str">
        <f>+IFERROR(VLOOKUP(Fact_Analitica[[#This Row], [Concepto Anterior]],Conceptos_Analítica_contraloría[#All],5,0),"")</f>
        <v/>
      </c>
      <c r="F1866" t="str">
        <f>+IFERROR(VLOOKUP(Fact_Analitica[[#This Row], [Concepto Anterior]],Conceptos_Analítica_contraloría[#All],7,0),"")</f>
        <v/>
      </c>
      <c r="I1866" t="str">
        <f>+IFERROR(VLOOKUP(D1866,Conceptos_Analítica_contraloría[#All],2,0),"")</f>
        <v/>
      </c>
      <c r="J1866" s="84" t="str">
        <f>+IFERROR(VLOOKUP(D1866,Conceptos_Analítica_contraloría[#All],3,0),"")</f>
        <v/>
      </c>
    </row>
    <row r="1867" spans="3:10" ht="18.75" customHeight="1" x14ac:dyDescent="0.35">
      <c r="C1867" s="100" t="str">
        <f>IF(OR(Fact_Analitica[[#This Row], [Año]]="",Fact_Analitica[[#This Row], [Mes]]=""),"",DATE(A1867,MATCH(B1867,{"enero","febrero","marzo","abril","mayo","junio","julio","agosto","septiembre","octubre","noviembre","diciembre"},0)+1,0))</f>
        <v/>
      </c>
      <c r="E1867" t="str">
        <f>+IFERROR(VLOOKUP(Fact_Analitica[[#This Row], [Concepto Anterior]],Conceptos_Analítica_contraloría[#All],5,0),"")</f>
        <v/>
      </c>
      <c r="F1867" t="str">
        <f>+IFERROR(VLOOKUP(Fact_Analitica[[#This Row], [Concepto Anterior]],Conceptos_Analítica_contraloría[#All],7,0),"")</f>
        <v/>
      </c>
      <c r="I1867" t="str">
        <f>+IFERROR(VLOOKUP(D1867,Conceptos_Analítica_contraloría[#All],2,0),"")</f>
        <v/>
      </c>
      <c r="J1867" s="84" t="str">
        <f>+IFERROR(VLOOKUP(D1867,Conceptos_Analítica_contraloría[#All],3,0),"")</f>
        <v/>
      </c>
    </row>
    <row r="1868" spans="3:10" ht="18.75" customHeight="1" x14ac:dyDescent="0.35">
      <c r="C1868" s="100" t="str">
        <f>IF(OR(Fact_Analitica[[#This Row], [Año]]="",Fact_Analitica[[#This Row], [Mes]]=""),"",DATE(A1868,MATCH(B1868,{"enero","febrero","marzo","abril","mayo","junio","julio","agosto","septiembre","octubre","noviembre","diciembre"},0)+1,0))</f>
        <v/>
      </c>
      <c r="E1868" t="str">
        <f>+IFERROR(VLOOKUP(Fact_Analitica[[#This Row], [Concepto Anterior]],Conceptos_Analítica_contraloría[#All],5,0),"")</f>
        <v/>
      </c>
      <c r="F1868" t="str">
        <f>+IFERROR(VLOOKUP(Fact_Analitica[[#This Row], [Concepto Anterior]],Conceptos_Analítica_contraloría[#All],7,0),"")</f>
        <v/>
      </c>
      <c r="I1868" t="str">
        <f>+IFERROR(VLOOKUP(D1868,Conceptos_Analítica_contraloría[#All],2,0),"")</f>
        <v/>
      </c>
      <c r="J1868" s="84" t="str">
        <f>+IFERROR(VLOOKUP(D1868,Conceptos_Analítica_contraloría[#All],3,0),"")</f>
        <v/>
      </c>
    </row>
    <row r="1869" spans="3:10" ht="18.75" customHeight="1" x14ac:dyDescent="0.35">
      <c r="C1869" s="100" t="str">
        <f>IF(OR(Fact_Analitica[[#This Row], [Año]]="",Fact_Analitica[[#This Row], [Mes]]=""),"",DATE(A1869,MATCH(B1869,{"enero","febrero","marzo","abril","mayo","junio","julio","agosto","septiembre","octubre","noviembre","diciembre"},0)+1,0))</f>
        <v/>
      </c>
      <c r="E1869" t="str">
        <f>+IFERROR(VLOOKUP(Fact_Analitica[[#This Row], [Concepto Anterior]],Conceptos_Analítica_contraloría[#All],5,0),"")</f>
        <v/>
      </c>
      <c r="F1869" t="str">
        <f>+IFERROR(VLOOKUP(Fact_Analitica[[#This Row], [Concepto Anterior]],Conceptos_Analítica_contraloría[#All],7,0),"")</f>
        <v/>
      </c>
      <c r="I1869" t="str">
        <f>+IFERROR(VLOOKUP(D1869,Conceptos_Analítica_contraloría[#All],2,0),"")</f>
        <v/>
      </c>
      <c r="J1869" s="84" t="str">
        <f>+IFERROR(VLOOKUP(D1869,Conceptos_Analítica_contraloría[#All],3,0),"")</f>
        <v/>
      </c>
    </row>
    <row r="1870" spans="3:10" ht="18.75" customHeight="1" x14ac:dyDescent="0.35">
      <c r="C1870" s="100" t="str">
        <f>IF(OR(Fact_Analitica[[#This Row], [Año]]="",Fact_Analitica[[#This Row], [Mes]]=""),"",DATE(A1870,MATCH(B1870,{"enero","febrero","marzo","abril","mayo","junio","julio","agosto","septiembre","octubre","noviembre","diciembre"},0)+1,0))</f>
        <v/>
      </c>
      <c r="E1870" t="str">
        <f>+IFERROR(VLOOKUP(Fact_Analitica[[#This Row], [Concepto Anterior]],Conceptos_Analítica_contraloría[#All],5,0),"")</f>
        <v/>
      </c>
      <c r="F1870" t="str">
        <f>+IFERROR(VLOOKUP(Fact_Analitica[[#This Row], [Concepto Anterior]],Conceptos_Analítica_contraloría[#All],7,0),"")</f>
        <v/>
      </c>
      <c r="I1870" t="str">
        <f>+IFERROR(VLOOKUP(D1870,Conceptos_Analítica_contraloría[#All],2,0),"")</f>
        <v/>
      </c>
      <c r="J1870" s="84" t="str">
        <f>+IFERROR(VLOOKUP(D1870,Conceptos_Analítica_contraloría[#All],3,0),"")</f>
        <v/>
      </c>
    </row>
    <row r="1871" spans="3:10" ht="18.75" customHeight="1" x14ac:dyDescent="0.35">
      <c r="C1871" s="100" t="str">
        <f>IF(OR(Fact_Analitica[[#This Row], [Año]]="",Fact_Analitica[[#This Row], [Mes]]=""),"",DATE(A1871,MATCH(B1871,{"enero","febrero","marzo","abril","mayo","junio","julio","agosto","septiembre","octubre","noviembre","diciembre"},0)+1,0))</f>
        <v/>
      </c>
      <c r="E1871" t="str">
        <f>+IFERROR(VLOOKUP(Fact_Analitica[[#This Row], [Concepto Anterior]],Conceptos_Analítica_contraloría[#All],5,0),"")</f>
        <v/>
      </c>
      <c r="F1871" t="str">
        <f>+IFERROR(VLOOKUP(Fact_Analitica[[#This Row], [Concepto Anterior]],Conceptos_Analítica_contraloría[#All],7,0),"")</f>
        <v/>
      </c>
      <c r="I1871" t="str">
        <f>+IFERROR(VLOOKUP(D1871,Conceptos_Analítica_contraloría[#All],2,0),"")</f>
        <v/>
      </c>
      <c r="J1871" s="84" t="str">
        <f>+IFERROR(VLOOKUP(D1871,Conceptos_Analítica_contraloría[#All],3,0),"")</f>
        <v/>
      </c>
    </row>
    <row r="1872" spans="3:10" ht="18.75" customHeight="1" x14ac:dyDescent="0.35">
      <c r="C1872" s="100" t="str">
        <f>IF(OR(Fact_Analitica[[#This Row], [Año]]="",Fact_Analitica[[#This Row], [Mes]]=""),"",DATE(A1872,MATCH(B1872,{"enero","febrero","marzo","abril","mayo","junio","julio","agosto","septiembre","octubre","noviembre","diciembre"},0)+1,0))</f>
        <v/>
      </c>
      <c r="E1872" t="str">
        <f>+IFERROR(VLOOKUP(Fact_Analitica[[#This Row], [Concepto Anterior]],Conceptos_Analítica_contraloría[#All],5,0),"")</f>
        <v/>
      </c>
      <c r="F1872" t="str">
        <f>+IFERROR(VLOOKUP(Fact_Analitica[[#This Row], [Concepto Anterior]],Conceptos_Analítica_contraloría[#All],7,0),"")</f>
        <v/>
      </c>
      <c r="I1872" t="str">
        <f>+IFERROR(VLOOKUP(D1872,Conceptos_Analítica_contraloría[#All],2,0),"")</f>
        <v/>
      </c>
      <c r="J1872" s="84" t="str">
        <f>+IFERROR(VLOOKUP(D1872,Conceptos_Analítica_contraloría[#All],3,0),"")</f>
        <v/>
      </c>
    </row>
    <row r="1873" spans="3:10" ht="18.75" customHeight="1" x14ac:dyDescent="0.35">
      <c r="C1873" s="100" t="str">
        <f>IF(OR(Fact_Analitica[[#This Row], [Año]]="",Fact_Analitica[[#This Row], [Mes]]=""),"",DATE(A1873,MATCH(B1873,{"enero","febrero","marzo","abril","mayo","junio","julio","agosto","septiembre","octubre","noviembre","diciembre"},0)+1,0))</f>
        <v/>
      </c>
      <c r="E1873" t="str">
        <f>+IFERROR(VLOOKUP(Fact_Analitica[[#This Row], [Concepto Anterior]],Conceptos_Analítica_contraloría[#All],5,0),"")</f>
        <v/>
      </c>
      <c r="F1873" t="str">
        <f>+IFERROR(VLOOKUP(Fact_Analitica[[#This Row], [Concepto Anterior]],Conceptos_Analítica_contraloría[#All],7,0),"")</f>
        <v/>
      </c>
      <c r="I1873" t="str">
        <f>+IFERROR(VLOOKUP(D1873,Conceptos_Analítica_contraloría[#All],2,0),"")</f>
        <v/>
      </c>
      <c r="J1873" s="84" t="str">
        <f>+IFERROR(VLOOKUP(D1873,Conceptos_Analítica_contraloría[#All],3,0),"")</f>
        <v/>
      </c>
    </row>
    <row r="1874" spans="3:10" ht="18.75" customHeight="1" x14ac:dyDescent="0.35">
      <c r="C1874" s="100" t="str">
        <f>IF(OR(Fact_Analitica[[#This Row], [Año]]="",Fact_Analitica[[#This Row], [Mes]]=""),"",DATE(A1874,MATCH(B1874,{"enero","febrero","marzo","abril","mayo","junio","julio","agosto","septiembre","octubre","noviembre","diciembre"},0)+1,0))</f>
        <v/>
      </c>
      <c r="E1874" t="str">
        <f>+IFERROR(VLOOKUP(Fact_Analitica[[#This Row], [Concepto Anterior]],Conceptos_Analítica_contraloría[#All],5,0),"")</f>
        <v/>
      </c>
      <c r="F1874" t="str">
        <f>+IFERROR(VLOOKUP(Fact_Analitica[[#This Row], [Concepto Anterior]],Conceptos_Analítica_contraloría[#All],7,0),"")</f>
        <v/>
      </c>
      <c r="I1874" t="str">
        <f>+IFERROR(VLOOKUP(D1874,Conceptos_Analítica_contraloría[#All],2,0),"")</f>
        <v/>
      </c>
      <c r="J1874" s="84" t="str">
        <f>+IFERROR(VLOOKUP(D1874,Conceptos_Analítica_contraloría[#All],3,0),"")</f>
        <v/>
      </c>
    </row>
    <row r="1875" spans="3:10" ht="18.75" customHeight="1" x14ac:dyDescent="0.35">
      <c r="C1875" s="100" t="str">
        <f>IF(OR(Fact_Analitica[[#This Row], [Año]]="",Fact_Analitica[[#This Row], [Mes]]=""),"",DATE(A1875,MATCH(B1875,{"enero","febrero","marzo","abril","mayo","junio","julio","agosto","septiembre","octubre","noviembre","diciembre"},0)+1,0))</f>
        <v/>
      </c>
      <c r="E1875" t="str">
        <f>+IFERROR(VLOOKUP(Fact_Analitica[[#This Row], [Concepto Anterior]],Conceptos_Analítica_contraloría[#All],5,0),"")</f>
        <v/>
      </c>
      <c r="F1875" t="str">
        <f>+IFERROR(VLOOKUP(Fact_Analitica[[#This Row], [Concepto Anterior]],Conceptos_Analítica_contraloría[#All],7,0),"")</f>
        <v/>
      </c>
      <c r="I1875" t="str">
        <f>+IFERROR(VLOOKUP(D1875,Conceptos_Analítica_contraloría[#All],2,0),"")</f>
        <v/>
      </c>
      <c r="J1875" s="84" t="str">
        <f>+IFERROR(VLOOKUP(D1875,Conceptos_Analítica_contraloría[#All],3,0),"")</f>
        <v/>
      </c>
    </row>
    <row r="1876" spans="3:10" ht="18.75" customHeight="1" x14ac:dyDescent="0.35">
      <c r="C1876" s="100" t="str">
        <f>IF(OR(Fact_Analitica[[#This Row], [Año]]="",Fact_Analitica[[#This Row], [Mes]]=""),"",DATE(A1876,MATCH(B1876,{"enero","febrero","marzo","abril","mayo","junio","julio","agosto","septiembre","octubre","noviembre","diciembre"},0)+1,0))</f>
        <v/>
      </c>
      <c r="E1876" t="str">
        <f>+IFERROR(VLOOKUP(Fact_Analitica[[#This Row], [Concepto Anterior]],Conceptos_Analítica_contraloría[#All],5,0),"")</f>
        <v/>
      </c>
      <c r="F1876" t="str">
        <f>+IFERROR(VLOOKUP(Fact_Analitica[[#This Row], [Concepto Anterior]],Conceptos_Analítica_contraloría[#All],7,0),"")</f>
        <v/>
      </c>
      <c r="I1876" t="str">
        <f>+IFERROR(VLOOKUP(D1876,Conceptos_Analítica_contraloría[#All],2,0),"")</f>
        <v/>
      </c>
      <c r="J1876" s="84" t="str">
        <f>+IFERROR(VLOOKUP(D1876,Conceptos_Analítica_contraloría[#All],3,0),"")</f>
        <v/>
      </c>
    </row>
    <row r="1877" spans="3:10" ht="18.75" customHeight="1" x14ac:dyDescent="0.35">
      <c r="C1877" s="100" t="str">
        <f>IF(OR(Fact_Analitica[[#This Row], [Año]]="",Fact_Analitica[[#This Row], [Mes]]=""),"",DATE(A1877,MATCH(B1877,{"enero","febrero","marzo","abril","mayo","junio","julio","agosto","septiembre","octubre","noviembre","diciembre"},0)+1,0))</f>
        <v/>
      </c>
      <c r="E1877" t="str">
        <f>+IFERROR(VLOOKUP(Fact_Analitica[[#This Row], [Concepto Anterior]],Conceptos_Analítica_contraloría[#All],5,0),"")</f>
        <v/>
      </c>
      <c r="F1877" t="str">
        <f>+IFERROR(VLOOKUP(Fact_Analitica[[#This Row], [Concepto Anterior]],Conceptos_Analítica_contraloría[#All],7,0),"")</f>
        <v/>
      </c>
      <c r="I1877" t="str">
        <f>+IFERROR(VLOOKUP(D1877,Conceptos_Analítica_contraloría[#All],2,0),"")</f>
        <v/>
      </c>
      <c r="J1877" s="84" t="str">
        <f>+IFERROR(VLOOKUP(D1877,Conceptos_Analítica_contraloría[#All],3,0),"")</f>
        <v/>
      </c>
    </row>
    <row r="1878" spans="3:10" ht="18.75" customHeight="1" x14ac:dyDescent="0.35">
      <c r="C1878" s="100" t="str">
        <f>IF(OR(Fact_Analitica[[#This Row], [Año]]="",Fact_Analitica[[#This Row], [Mes]]=""),"",DATE(A1878,MATCH(B1878,{"enero","febrero","marzo","abril","mayo","junio","julio","agosto","septiembre","octubre","noviembre","diciembre"},0)+1,0))</f>
        <v/>
      </c>
      <c r="E1878" t="str">
        <f>+IFERROR(VLOOKUP(Fact_Analitica[[#This Row], [Concepto Anterior]],Conceptos_Analítica_contraloría[#All],5,0),"")</f>
        <v/>
      </c>
      <c r="F1878" t="str">
        <f>+IFERROR(VLOOKUP(Fact_Analitica[[#This Row], [Concepto Anterior]],Conceptos_Analítica_contraloría[#All],7,0),"")</f>
        <v/>
      </c>
      <c r="I1878" t="str">
        <f>+IFERROR(VLOOKUP(D1878,Conceptos_Analítica_contraloría[#All],2,0),"")</f>
        <v/>
      </c>
      <c r="J1878" s="84" t="str">
        <f>+IFERROR(VLOOKUP(D1878,Conceptos_Analítica_contraloría[#All],3,0),"")</f>
        <v/>
      </c>
    </row>
    <row r="1879" spans="3:10" ht="18.75" customHeight="1" x14ac:dyDescent="0.35">
      <c r="C1879" s="100" t="str">
        <f>IF(OR(Fact_Analitica[[#This Row], [Año]]="",Fact_Analitica[[#This Row], [Mes]]=""),"",DATE(A1879,MATCH(B1879,{"enero","febrero","marzo","abril","mayo","junio","julio","agosto","septiembre","octubre","noviembre","diciembre"},0)+1,0))</f>
        <v/>
      </c>
      <c r="E1879" t="str">
        <f>+IFERROR(VLOOKUP(Fact_Analitica[[#This Row], [Concepto Anterior]],Conceptos_Analítica_contraloría[#All],5,0),"")</f>
        <v/>
      </c>
      <c r="F1879" t="str">
        <f>+IFERROR(VLOOKUP(Fact_Analitica[[#This Row], [Concepto Anterior]],Conceptos_Analítica_contraloría[#All],7,0),"")</f>
        <v/>
      </c>
      <c r="I1879" t="str">
        <f>+IFERROR(VLOOKUP(D1879,Conceptos_Analítica_contraloría[#All],2,0),"")</f>
        <v/>
      </c>
      <c r="J1879" s="84" t="str">
        <f>+IFERROR(VLOOKUP(D1879,Conceptos_Analítica_contraloría[#All],3,0),"")</f>
        <v/>
      </c>
    </row>
    <row r="1880" spans="3:10" ht="18.75" customHeight="1" x14ac:dyDescent="0.35">
      <c r="C1880" s="100" t="str">
        <f>IF(OR(Fact_Analitica[[#This Row], [Año]]="",Fact_Analitica[[#This Row], [Mes]]=""),"",DATE(A1880,MATCH(B1880,{"enero","febrero","marzo","abril","mayo","junio","julio","agosto","septiembre","octubre","noviembre","diciembre"},0)+1,0))</f>
        <v/>
      </c>
      <c r="E1880" t="str">
        <f>+IFERROR(VLOOKUP(Fact_Analitica[[#This Row], [Concepto Anterior]],Conceptos_Analítica_contraloría[#All],5,0),"")</f>
        <v/>
      </c>
      <c r="F1880" t="str">
        <f>+IFERROR(VLOOKUP(Fact_Analitica[[#This Row], [Concepto Anterior]],Conceptos_Analítica_contraloría[#All],7,0),"")</f>
        <v/>
      </c>
      <c r="I1880" t="str">
        <f>+IFERROR(VLOOKUP(D1880,Conceptos_Analítica_contraloría[#All],2,0),"")</f>
        <v/>
      </c>
      <c r="J1880" s="84" t="str">
        <f>+IFERROR(VLOOKUP(D1880,Conceptos_Analítica_contraloría[#All],3,0),"")</f>
        <v/>
      </c>
    </row>
    <row r="1881" spans="3:10" ht="18.75" customHeight="1" x14ac:dyDescent="0.35">
      <c r="C1881" s="100" t="str">
        <f>IF(OR(Fact_Analitica[[#This Row], [Año]]="",Fact_Analitica[[#This Row], [Mes]]=""),"",DATE(A1881,MATCH(B1881,{"enero","febrero","marzo","abril","mayo","junio","julio","agosto","septiembre","octubre","noviembre","diciembre"},0)+1,0))</f>
        <v/>
      </c>
      <c r="E1881" t="str">
        <f>+IFERROR(VLOOKUP(Fact_Analitica[[#This Row], [Concepto Anterior]],Conceptos_Analítica_contraloría[#All],5,0),"")</f>
        <v/>
      </c>
      <c r="F1881" t="str">
        <f>+IFERROR(VLOOKUP(Fact_Analitica[[#This Row], [Concepto Anterior]],Conceptos_Analítica_contraloría[#All],7,0),"")</f>
        <v/>
      </c>
      <c r="I1881" t="str">
        <f>+IFERROR(VLOOKUP(D1881,Conceptos_Analítica_contraloría[#All],2,0),"")</f>
        <v/>
      </c>
      <c r="J1881" s="84" t="str">
        <f>+IFERROR(VLOOKUP(D1881,Conceptos_Analítica_contraloría[#All],3,0),"")</f>
        <v/>
      </c>
    </row>
    <row r="1882" spans="3:10" ht="18.75" customHeight="1" x14ac:dyDescent="0.35">
      <c r="C1882" s="100" t="str">
        <f>IF(OR(Fact_Analitica[[#This Row], [Año]]="",Fact_Analitica[[#This Row], [Mes]]=""),"",DATE(A1882,MATCH(B1882,{"enero","febrero","marzo","abril","mayo","junio","julio","agosto","septiembre","octubre","noviembre","diciembre"},0)+1,0))</f>
        <v/>
      </c>
      <c r="E1882" t="str">
        <f>+IFERROR(VLOOKUP(Fact_Analitica[[#This Row], [Concepto Anterior]],Conceptos_Analítica_contraloría[#All],5,0),"")</f>
        <v/>
      </c>
      <c r="F1882" t="str">
        <f>+IFERROR(VLOOKUP(Fact_Analitica[[#This Row], [Concepto Anterior]],Conceptos_Analítica_contraloría[#All],7,0),"")</f>
        <v/>
      </c>
      <c r="I1882" t="str">
        <f>+IFERROR(VLOOKUP(D1882,Conceptos_Analítica_contraloría[#All],2,0),"")</f>
        <v/>
      </c>
      <c r="J1882" s="84" t="str">
        <f>+IFERROR(VLOOKUP(D1882,Conceptos_Analítica_contraloría[#All],3,0),"")</f>
        <v/>
      </c>
    </row>
    <row r="1883" spans="3:10" ht="18.75" customHeight="1" x14ac:dyDescent="0.35">
      <c r="C1883" s="100" t="str">
        <f>IF(OR(Fact_Analitica[[#This Row], [Año]]="",Fact_Analitica[[#This Row], [Mes]]=""),"",DATE(A1883,MATCH(B1883,{"enero","febrero","marzo","abril","mayo","junio","julio","agosto","septiembre","octubre","noviembre","diciembre"},0)+1,0))</f>
        <v/>
      </c>
      <c r="E1883" t="str">
        <f>+IFERROR(VLOOKUP(Fact_Analitica[[#This Row], [Concepto Anterior]],Conceptos_Analítica_contraloría[#All],5,0),"")</f>
        <v/>
      </c>
      <c r="F1883" t="str">
        <f>+IFERROR(VLOOKUP(Fact_Analitica[[#This Row], [Concepto Anterior]],Conceptos_Analítica_contraloría[#All],7,0),"")</f>
        <v/>
      </c>
      <c r="I1883" t="str">
        <f>+IFERROR(VLOOKUP(D1883,Conceptos_Analítica_contraloría[#All],2,0),"")</f>
        <v/>
      </c>
      <c r="J1883" s="84" t="str">
        <f>+IFERROR(VLOOKUP(D1883,Conceptos_Analítica_contraloría[#All],3,0),"")</f>
        <v/>
      </c>
    </row>
    <row r="1884" spans="3:10" ht="18.75" customHeight="1" x14ac:dyDescent="0.35">
      <c r="C1884" s="100" t="str">
        <f>IF(OR(Fact_Analitica[[#This Row], [Año]]="",Fact_Analitica[[#This Row], [Mes]]=""),"",DATE(A1884,MATCH(B1884,{"enero","febrero","marzo","abril","mayo","junio","julio","agosto","septiembre","octubre","noviembre","diciembre"},0)+1,0))</f>
        <v/>
      </c>
      <c r="E1884" t="str">
        <f>+IFERROR(VLOOKUP(Fact_Analitica[[#This Row], [Concepto Anterior]],Conceptos_Analítica_contraloría[#All],5,0),"")</f>
        <v/>
      </c>
      <c r="F1884" t="str">
        <f>+IFERROR(VLOOKUP(Fact_Analitica[[#This Row], [Concepto Anterior]],Conceptos_Analítica_contraloría[#All],7,0),"")</f>
        <v/>
      </c>
      <c r="I1884" t="str">
        <f>+IFERROR(VLOOKUP(D1884,Conceptos_Analítica_contraloría[#All],2,0),"")</f>
        <v/>
      </c>
      <c r="J1884" s="84" t="str">
        <f>+IFERROR(VLOOKUP(D1884,Conceptos_Analítica_contraloría[#All],3,0),"")</f>
        <v/>
      </c>
    </row>
    <row r="1885" spans="3:10" ht="18.75" customHeight="1" x14ac:dyDescent="0.35">
      <c r="C1885" s="100" t="str">
        <f>IF(OR(Fact_Analitica[[#This Row], [Año]]="",Fact_Analitica[[#This Row], [Mes]]=""),"",DATE(A1885,MATCH(B1885,{"enero","febrero","marzo","abril","mayo","junio","julio","agosto","septiembre","octubre","noviembre","diciembre"},0)+1,0))</f>
        <v/>
      </c>
      <c r="E1885" t="str">
        <f>+IFERROR(VLOOKUP(Fact_Analitica[[#This Row], [Concepto Anterior]],Conceptos_Analítica_contraloría[#All],5,0),"")</f>
        <v/>
      </c>
      <c r="F1885" t="str">
        <f>+IFERROR(VLOOKUP(Fact_Analitica[[#This Row], [Concepto Anterior]],Conceptos_Analítica_contraloría[#All],7,0),"")</f>
        <v/>
      </c>
      <c r="I1885" t="str">
        <f>+IFERROR(VLOOKUP(D1885,Conceptos_Analítica_contraloría[#All],2,0),"")</f>
        <v/>
      </c>
      <c r="J1885" s="84" t="str">
        <f>+IFERROR(VLOOKUP(D1885,Conceptos_Analítica_contraloría[#All],3,0),"")</f>
        <v/>
      </c>
    </row>
    <row r="1886" spans="3:10" ht="18.75" customHeight="1" x14ac:dyDescent="0.35">
      <c r="C1886" s="100" t="str">
        <f>IF(OR(Fact_Analitica[[#This Row], [Año]]="",Fact_Analitica[[#This Row], [Mes]]=""),"",DATE(A1886,MATCH(B1886,{"enero","febrero","marzo","abril","mayo","junio","julio","agosto","septiembre","octubre","noviembre","diciembre"},0)+1,0))</f>
        <v/>
      </c>
      <c r="E1886" t="str">
        <f>+IFERROR(VLOOKUP(Fact_Analitica[[#This Row], [Concepto Anterior]],Conceptos_Analítica_contraloría[#All],5,0),"")</f>
        <v/>
      </c>
      <c r="F1886" t="str">
        <f>+IFERROR(VLOOKUP(Fact_Analitica[[#This Row], [Concepto Anterior]],Conceptos_Analítica_contraloría[#All],7,0),"")</f>
        <v/>
      </c>
      <c r="I1886" t="str">
        <f>+IFERROR(VLOOKUP(D1886,Conceptos_Analítica_contraloría[#All],2,0),"")</f>
        <v/>
      </c>
      <c r="J1886" s="84" t="str">
        <f>+IFERROR(VLOOKUP(D1886,Conceptos_Analítica_contraloría[#All],3,0),"")</f>
        <v/>
      </c>
    </row>
    <row r="1887" spans="3:10" ht="18.75" customHeight="1" x14ac:dyDescent="0.35">
      <c r="C1887" s="100" t="str">
        <f>IF(OR(Fact_Analitica[[#This Row], [Año]]="",Fact_Analitica[[#This Row], [Mes]]=""),"",DATE(A1887,MATCH(B1887,{"enero","febrero","marzo","abril","mayo","junio","julio","agosto","septiembre","octubre","noviembre","diciembre"},0)+1,0))</f>
        <v/>
      </c>
      <c r="E1887" t="str">
        <f>+IFERROR(VLOOKUP(Fact_Analitica[[#This Row], [Concepto Anterior]],Conceptos_Analítica_contraloría[#All],5,0),"")</f>
        <v/>
      </c>
      <c r="F1887" t="str">
        <f>+IFERROR(VLOOKUP(Fact_Analitica[[#This Row], [Concepto Anterior]],Conceptos_Analítica_contraloría[#All],7,0),"")</f>
        <v/>
      </c>
      <c r="I1887" t="str">
        <f>+IFERROR(VLOOKUP(D1887,Conceptos_Analítica_contraloría[#All],2,0),"")</f>
        <v/>
      </c>
      <c r="J1887" s="84" t="str">
        <f>+IFERROR(VLOOKUP(D1887,Conceptos_Analítica_contraloría[#All],3,0),"")</f>
        <v/>
      </c>
    </row>
    <row r="1888" spans="3:10" ht="18.75" customHeight="1" x14ac:dyDescent="0.35">
      <c r="C1888" s="100" t="str">
        <f>IF(OR(Fact_Analitica[[#This Row], [Año]]="",Fact_Analitica[[#This Row], [Mes]]=""),"",DATE(A1888,MATCH(B1888,{"enero","febrero","marzo","abril","mayo","junio","julio","agosto","septiembre","octubre","noviembre","diciembre"},0)+1,0))</f>
        <v/>
      </c>
      <c r="E1888" t="str">
        <f>+IFERROR(VLOOKUP(Fact_Analitica[[#This Row], [Concepto Anterior]],Conceptos_Analítica_contraloría[#All],5,0),"")</f>
        <v/>
      </c>
      <c r="F1888" t="str">
        <f>+IFERROR(VLOOKUP(Fact_Analitica[[#This Row], [Concepto Anterior]],Conceptos_Analítica_contraloría[#All],7,0),"")</f>
        <v/>
      </c>
      <c r="I1888" t="str">
        <f>+IFERROR(VLOOKUP(D1888,Conceptos_Analítica_contraloría[#All],2,0),"")</f>
        <v/>
      </c>
      <c r="J1888" s="84" t="str">
        <f>+IFERROR(VLOOKUP(D1888,Conceptos_Analítica_contraloría[#All],3,0),"")</f>
        <v/>
      </c>
    </row>
    <row r="1889" spans="3:10" ht="18.75" customHeight="1" x14ac:dyDescent="0.35">
      <c r="C1889" s="100" t="str">
        <f>IF(OR(Fact_Analitica[[#This Row], [Año]]="",Fact_Analitica[[#This Row], [Mes]]=""),"",DATE(A1889,MATCH(B1889,{"enero","febrero","marzo","abril","mayo","junio","julio","agosto","septiembre","octubre","noviembre","diciembre"},0)+1,0))</f>
        <v/>
      </c>
      <c r="E1889" t="str">
        <f>+IFERROR(VLOOKUP(Fact_Analitica[[#This Row], [Concepto Anterior]],Conceptos_Analítica_contraloría[#All],5,0),"")</f>
        <v/>
      </c>
      <c r="F1889" t="str">
        <f>+IFERROR(VLOOKUP(Fact_Analitica[[#This Row], [Concepto Anterior]],Conceptos_Analítica_contraloría[#All],7,0),"")</f>
        <v/>
      </c>
      <c r="I1889" t="str">
        <f>+IFERROR(VLOOKUP(D1889,Conceptos_Analítica_contraloría[#All],2,0),"")</f>
        <v/>
      </c>
      <c r="J1889" s="84" t="str">
        <f>+IFERROR(VLOOKUP(D1889,Conceptos_Analítica_contraloría[#All],3,0),"")</f>
        <v/>
      </c>
    </row>
    <row r="1890" spans="3:10" ht="18.75" customHeight="1" x14ac:dyDescent="0.35">
      <c r="C1890" s="100" t="str">
        <f>IF(OR(Fact_Analitica[[#This Row], [Año]]="",Fact_Analitica[[#This Row], [Mes]]=""),"",DATE(A1890,MATCH(B1890,{"enero","febrero","marzo","abril","mayo","junio","julio","agosto","septiembre","octubre","noviembre","diciembre"},0)+1,0))</f>
        <v/>
      </c>
      <c r="E1890" t="str">
        <f>+IFERROR(VLOOKUP(Fact_Analitica[[#This Row], [Concepto Anterior]],Conceptos_Analítica_contraloría[#All],5,0),"")</f>
        <v/>
      </c>
      <c r="F1890" t="str">
        <f>+IFERROR(VLOOKUP(Fact_Analitica[[#This Row], [Concepto Anterior]],Conceptos_Analítica_contraloría[#All],7,0),"")</f>
        <v/>
      </c>
      <c r="I1890" t="str">
        <f>+IFERROR(VLOOKUP(D1890,Conceptos_Analítica_contraloría[#All],2,0),"")</f>
        <v/>
      </c>
      <c r="J1890" s="84" t="str">
        <f>+IFERROR(VLOOKUP(D1890,Conceptos_Analítica_contraloría[#All],3,0),"")</f>
        <v/>
      </c>
    </row>
    <row r="1891" spans="3:10" ht="18.75" customHeight="1" x14ac:dyDescent="0.35">
      <c r="C1891" s="100" t="str">
        <f>IF(OR(Fact_Analitica[[#This Row], [Año]]="",Fact_Analitica[[#This Row], [Mes]]=""),"",DATE(A1891,MATCH(B1891,{"enero","febrero","marzo","abril","mayo","junio","julio","agosto","septiembre","octubre","noviembre","diciembre"},0)+1,0))</f>
        <v/>
      </c>
      <c r="E1891" t="str">
        <f>+IFERROR(VLOOKUP(Fact_Analitica[[#This Row], [Concepto Anterior]],Conceptos_Analítica_contraloría[#All],5,0),"")</f>
        <v/>
      </c>
      <c r="F1891" t="str">
        <f>+IFERROR(VLOOKUP(Fact_Analitica[[#This Row], [Concepto Anterior]],Conceptos_Analítica_contraloría[#All],7,0),"")</f>
        <v/>
      </c>
      <c r="I1891" t="str">
        <f>+IFERROR(VLOOKUP(D1891,Conceptos_Analítica_contraloría[#All],2,0),"")</f>
        <v/>
      </c>
      <c r="J1891" s="84" t="str">
        <f>+IFERROR(VLOOKUP(D1891,Conceptos_Analítica_contraloría[#All],3,0),"")</f>
        <v/>
      </c>
    </row>
    <row r="1892" spans="3:10" ht="18.75" customHeight="1" x14ac:dyDescent="0.35">
      <c r="C1892" s="100" t="str">
        <f>IF(OR(Fact_Analitica[[#This Row], [Año]]="",Fact_Analitica[[#This Row], [Mes]]=""),"",DATE(A1892,MATCH(B1892,{"enero","febrero","marzo","abril","mayo","junio","julio","agosto","septiembre","octubre","noviembre","diciembre"},0)+1,0))</f>
        <v/>
      </c>
      <c r="E1892" t="str">
        <f>+IFERROR(VLOOKUP(Fact_Analitica[[#This Row], [Concepto Anterior]],Conceptos_Analítica_contraloría[#All],5,0),"")</f>
        <v/>
      </c>
      <c r="F1892" t="str">
        <f>+IFERROR(VLOOKUP(Fact_Analitica[[#This Row], [Concepto Anterior]],Conceptos_Analítica_contraloría[#All],7,0),"")</f>
        <v/>
      </c>
      <c r="I1892" t="str">
        <f>+IFERROR(VLOOKUP(D1892,Conceptos_Analítica_contraloría[#All],2,0),"")</f>
        <v/>
      </c>
      <c r="J1892" s="84" t="str">
        <f>+IFERROR(VLOOKUP(D1892,Conceptos_Analítica_contraloría[#All],3,0),"")</f>
        <v/>
      </c>
    </row>
    <row r="1893" spans="3:10" ht="18.75" customHeight="1" x14ac:dyDescent="0.35">
      <c r="C1893" s="100" t="str">
        <f>IF(OR(Fact_Analitica[[#This Row], [Año]]="",Fact_Analitica[[#This Row], [Mes]]=""),"",DATE(A1893,MATCH(B1893,{"enero","febrero","marzo","abril","mayo","junio","julio","agosto","septiembre","octubre","noviembre","diciembre"},0)+1,0))</f>
        <v/>
      </c>
      <c r="E1893" t="str">
        <f>+IFERROR(VLOOKUP(Fact_Analitica[[#This Row], [Concepto Anterior]],Conceptos_Analítica_contraloría[#All],5,0),"")</f>
        <v/>
      </c>
      <c r="F1893" t="str">
        <f>+IFERROR(VLOOKUP(Fact_Analitica[[#This Row], [Concepto Anterior]],Conceptos_Analítica_contraloría[#All],7,0),"")</f>
        <v/>
      </c>
      <c r="I1893" t="str">
        <f>+IFERROR(VLOOKUP(D1893,Conceptos_Analítica_contraloría[#All],2,0),"")</f>
        <v/>
      </c>
      <c r="J1893" s="84" t="str">
        <f>+IFERROR(VLOOKUP(D1893,Conceptos_Analítica_contraloría[#All],3,0),"")</f>
        <v/>
      </c>
    </row>
    <row r="1894" spans="3:10" ht="18.75" customHeight="1" x14ac:dyDescent="0.35">
      <c r="C1894" s="100" t="str">
        <f>IF(OR(Fact_Analitica[[#This Row], [Año]]="",Fact_Analitica[[#This Row], [Mes]]=""),"",DATE(A1894,MATCH(B1894,{"enero","febrero","marzo","abril","mayo","junio","julio","agosto","septiembre","octubre","noviembre","diciembre"},0)+1,0))</f>
        <v/>
      </c>
      <c r="E1894" t="str">
        <f>+IFERROR(VLOOKUP(Fact_Analitica[[#This Row], [Concepto Anterior]],Conceptos_Analítica_contraloría[#All],5,0),"")</f>
        <v/>
      </c>
      <c r="F1894" t="str">
        <f>+IFERROR(VLOOKUP(Fact_Analitica[[#This Row], [Concepto Anterior]],Conceptos_Analítica_contraloría[#All],7,0),"")</f>
        <v/>
      </c>
      <c r="I1894" t="str">
        <f>+IFERROR(VLOOKUP(D1894,Conceptos_Analítica_contraloría[#All],2,0),"")</f>
        <v/>
      </c>
      <c r="J1894" s="84" t="str">
        <f>+IFERROR(VLOOKUP(D1894,Conceptos_Analítica_contraloría[#All],3,0),"")</f>
        <v/>
      </c>
    </row>
    <row r="1895" spans="3:10" ht="18.75" customHeight="1" x14ac:dyDescent="0.35">
      <c r="C1895" s="100" t="str">
        <f>IF(OR(Fact_Analitica[[#This Row], [Año]]="",Fact_Analitica[[#This Row], [Mes]]=""),"",DATE(A1895,MATCH(B1895,{"enero","febrero","marzo","abril","mayo","junio","julio","agosto","septiembre","octubre","noviembre","diciembre"},0)+1,0))</f>
        <v/>
      </c>
      <c r="E1895" t="str">
        <f>+IFERROR(VLOOKUP(Fact_Analitica[[#This Row], [Concepto Anterior]],Conceptos_Analítica_contraloría[#All],5,0),"")</f>
        <v/>
      </c>
      <c r="F1895" t="str">
        <f>+IFERROR(VLOOKUP(Fact_Analitica[[#This Row], [Concepto Anterior]],Conceptos_Analítica_contraloría[#All],7,0),"")</f>
        <v/>
      </c>
      <c r="I1895" t="str">
        <f>+IFERROR(VLOOKUP(D1895,Conceptos_Analítica_contraloría[#All],2,0),"")</f>
        <v/>
      </c>
      <c r="J1895" s="84" t="str">
        <f>+IFERROR(VLOOKUP(D1895,Conceptos_Analítica_contraloría[#All],3,0),"")</f>
        <v/>
      </c>
    </row>
    <row r="1896" spans="3:10" ht="18.75" customHeight="1" x14ac:dyDescent="0.35">
      <c r="C1896" s="100" t="str">
        <f>IF(OR(Fact_Analitica[[#This Row], [Año]]="",Fact_Analitica[[#This Row], [Mes]]=""),"",DATE(A1896,MATCH(B1896,{"enero","febrero","marzo","abril","mayo","junio","julio","agosto","septiembre","octubre","noviembre","diciembre"},0)+1,0))</f>
        <v/>
      </c>
      <c r="E1896" t="str">
        <f>+IFERROR(VLOOKUP(Fact_Analitica[[#This Row], [Concepto Anterior]],Conceptos_Analítica_contraloría[#All],5,0),"")</f>
        <v/>
      </c>
      <c r="F1896" t="str">
        <f>+IFERROR(VLOOKUP(Fact_Analitica[[#This Row], [Concepto Anterior]],Conceptos_Analítica_contraloría[#All],7,0),"")</f>
        <v/>
      </c>
      <c r="I1896" t="str">
        <f>+IFERROR(VLOOKUP(D1896,Conceptos_Analítica_contraloría[#All],2,0),"")</f>
        <v/>
      </c>
      <c r="J1896" s="84" t="str">
        <f>+IFERROR(VLOOKUP(D1896,Conceptos_Analítica_contraloría[#All],3,0),"")</f>
        <v/>
      </c>
    </row>
    <row r="1897" spans="3:10" ht="18.75" customHeight="1" x14ac:dyDescent="0.35">
      <c r="C1897" s="100" t="str">
        <f>IF(OR(Fact_Analitica[[#This Row], [Año]]="",Fact_Analitica[[#This Row], [Mes]]=""),"",DATE(A1897,MATCH(B1897,{"enero","febrero","marzo","abril","mayo","junio","julio","agosto","septiembre","octubre","noviembre","diciembre"},0)+1,0))</f>
        <v/>
      </c>
      <c r="E1897" t="str">
        <f>+IFERROR(VLOOKUP(Fact_Analitica[[#This Row], [Concepto Anterior]],Conceptos_Analítica_contraloría[#All],5,0),"")</f>
        <v/>
      </c>
      <c r="F1897" t="str">
        <f>+IFERROR(VLOOKUP(Fact_Analitica[[#This Row], [Concepto Anterior]],Conceptos_Analítica_contraloría[#All],7,0),"")</f>
        <v/>
      </c>
      <c r="I1897" t="str">
        <f>+IFERROR(VLOOKUP(D1897,Conceptos_Analítica_contraloría[#All],2,0),"")</f>
        <v/>
      </c>
      <c r="J1897" s="84" t="str">
        <f>+IFERROR(VLOOKUP(D1897,Conceptos_Analítica_contraloría[#All],3,0),"")</f>
        <v/>
      </c>
    </row>
    <row r="1898" spans="3:10" ht="18.75" customHeight="1" x14ac:dyDescent="0.35">
      <c r="C1898" s="100" t="str">
        <f>IF(OR(Fact_Analitica[[#This Row], [Año]]="",Fact_Analitica[[#This Row], [Mes]]=""),"",DATE(A1898,MATCH(B1898,{"enero","febrero","marzo","abril","mayo","junio","julio","agosto","septiembre","octubre","noviembre","diciembre"},0)+1,0))</f>
        <v/>
      </c>
      <c r="E1898" t="str">
        <f>+IFERROR(VLOOKUP(Fact_Analitica[[#This Row], [Concepto Anterior]],Conceptos_Analítica_contraloría[#All],5,0),"")</f>
        <v/>
      </c>
      <c r="F1898" t="str">
        <f>+IFERROR(VLOOKUP(Fact_Analitica[[#This Row], [Concepto Anterior]],Conceptos_Analítica_contraloría[#All],7,0),"")</f>
        <v/>
      </c>
      <c r="I1898" t="str">
        <f>+IFERROR(VLOOKUP(D1898,Conceptos_Analítica_contraloría[#All],2,0),"")</f>
        <v/>
      </c>
      <c r="J1898" s="84" t="str">
        <f>+IFERROR(VLOOKUP(D1898,Conceptos_Analítica_contraloría[#All],3,0),"")</f>
        <v/>
      </c>
    </row>
    <row r="1899" spans="3:10" ht="18.75" customHeight="1" x14ac:dyDescent="0.35">
      <c r="C1899" s="100" t="str">
        <f>IF(OR(Fact_Analitica[[#This Row], [Año]]="",Fact_Analitica[[#This Row], [Mes]]=""),"",DATE(A1899,MATCH(B1899,{"enero","febrero","marzo","abril","mayo","junio","julio","agosto","septiembre","octubre","noviembre","diciembre"},0)+1,0))</f>
        <v/>
      </c>
      <c r="E1899" t="str">
        <f>+IFERROR(VLOOKUP(Fact_Analitica[[#This Row], [Concepto Anterior]],Conceptos_Analítica_contraloría[#All],5,0),"")</f>
        <v/>
      </c>
      <c r="F1899" t="str">
        <f>+IFERROR(VLOOKUP(Fact_Analitica[[#This Row], [Concepto Anterior]],Conceptos_Analítica_contraloría[#All],7,0),"")</f>
        <v/>
      </c>
      <c r="I1899" t="str">
        <f>+IFERROR(VLOOKUP(D1899,Conceptos_Analítica_contraloría[#All],2,0),"")</f>
        <v/>
      </c>
      <c r="J1899" s="84" t="str">
        <f>+IFERROR(VLOOKUP(D1899,Conceptos_Analítica_contraloría[#All],3,0),"")</f>
        <v/>
      </c>
    </row>
    <row r="1900" spans="3:10" ht="18.75" customHeight="1" x14ac:dyDescent="0.35">
      <c r="C1900" s="100" t="str">
        <f>IF(OR(Fact_Analitica[[#This Row], [Año]]="",Fact_Analitica[[#This Row], [Mes]]=""),"",DATE(A1900,MATCH(B1900,{"enero","febrero","marzo","abril","mayo","junio","julio","agosto","septiembre","octubre","noviembre","diciembre"},0)+1,0))</f>
        <v/>
      </c>
      <c r="E1900" t="str">
        <f>+IFERROR(VLOOKUP(Fact_Analitica[[#This Row], [Concepto Anterior]],Conceptos_Analítica_contraloría[#All],5,0),"")</f>
        <v/>
      </c>
      <c r="F1900" t="str">
        <f>+IFERROR(VLOOKUP(Fact_Analitica[[#This Row], [Concepto Anterior]],Conceptos_Analítica_contraloría[#All],7,0),"")</f>
        <v/>
      </c>
      <c r="I1900" t="str">
        <f>+IFERROR(VLOOKUP(D1900,Conceptos_Analítica_contraloría[#All],2,0),"")</f>
        <v/>
      </c>
      <c r="J1900" s="84" t="str">
        <f>+IFERROR(VLOOKUP(D1900,Conceptos_Analítica_contraloría[#All],3,0),"")</f>
        <v/>
      </c>
    </row>
    <row r="1901" spans="3:10" ht="18.75" customHeight="1" x14ac:dyDescent="0.35">
      <c r="C1901" s="100" t="str">
        <f>IF(OR(Fact_Analitica[[#This Row], [Año]]="",Fact_Analitica[[#This Row], [Mes]]=""),"",DATE(A1901,MATCH(B1901,{"enero","febrero","marzo","abril","mayo","junio","julio","agosto","septiembre","octubre","noviembre","diciembre"},0)+1,0))</f>
        <v/>
      </c>
      <c r="E1901" t="str">
        <f>+IFERROR(VLOOKUP(Fact_Analitica[[#This Row], [Concepto Anterior]],Conceptos_Analítica_contraloría[#All],5,0),"")</f>
        <v/>
      </c>
      <c r="F1901" t="str">
        <f>+IFERROR(VLOOKUP(Fact_Analitica[[#This Row], [Concepto Anterior]],Conceptos_Analítica_contraloría[#All],7,0),"")</f>
        <v/>
      </c>
      <c r="I1901" t="str">
        <f>+IFERROR(VLOOKUP(D1901,Conceptos_Analítica_contraloría[#All],2,0),"")</f>
        <v/>
      </c>
      <c r="J1901" s="84" t="str">
        <f>+IFERROR(VLOOKUP(D1901,Conceptos_Analítica_contraloría[#All],3,0),"")</f>
        <v/>
      </c>
    </row>
    <row r="1902" spans="3:10" ht="18.75" customHeight="1" x14ac:dyDescent="0.35">
      <c r="C1902" s="100" t="str">
        <f>IF(OR(Fact_Analitica[[#This Row], [Año]]="",Fact_Analitica[[#This Row], [Mes]]=""),"",DATE(A1902,MATCH(B1902,{"enero","febrero","marzo","abril","mayo","junio","julio","agosto","septiembre","octubre","noviembre","diciembre"},0)+1,0))</f>
        <v/>
      </c>
      <c r="E1902" t="str">
        <f>+IFERROR(VLOOKUP(Fact_Analitica[[#This Row], [Concepto Anterior]],Conceptos_Analítica_contraloría[#All],5,0),"")</f>
        <v/>
      </c>
      <c r="F1902" t="str">
        <f>+IFERROR(VLOOKUP(Fact_Analitica[[#This Row], [Concepto Anterior]],Conceptos_Analítica_contraloría[#All],7,0),"")</f>
        <v/>
      </c>
      <c r="I1902" t="str">
        <f>+IFERROR(VLOOKUP(D1902,Conceptos_Analítica_contraloría[#All],2,0),"")</f>
        <v/>
      </c>
      <c r="J1902" s="84" t="str">
        <f>+IFERROR(VLOOKUP(D1902,Conceptos_Analítica_contraloría[#All],3,0),"")</f>
        <v/>
      </c>
    </row>
    <row r="1903" spans="3:10" ht="18.75" customHeight="1" x14ac:dyDescent="0.35">
      <c r="C1903" s="100" t="str">
        <f>IF(OR(Fact_Analitica[[#This Row], [Año]]="",Fact_Analitica[[#This Row], [Mes]]=""),"",DATE(A1903,MATCH(B1903,{"enero","febrero","marzo","abril","mayo","junio","julio","agosto","septiembre","octubre","noviembre","diciembre"},0)+1,0))</f>
        <v/>
      </c>
      <c r="E1903" t="str">
        <f>+IFERROR(VLOOKUP(Fact_Analitica[[#This Row], [Concepto Anterior]],Conceptos_Analítica_contraloría[#All],5,0),"")</f>
        <v/>
      </c>
      <c r="F1903" t="str">
        <f>+IFERROR(VLOOKUP(Fact_Analitica[[#This Row], [Concepto Anterior]],Conceptos_Analítica_contraloría[#All],7,0),"")</f>
        <v/>
      </c>
      <c r="I1903" t="str">
        <f>+IFERROR(VLOOKUP(D1903,Conceptos_Analítica_contraloría[#All],2,0),"")</f>
        <v/>
      </c>
      <c r="J1903" s="84" t="str">
        <f>+IFERROR(VLOOKUP(D1903,Conceptos_Analítica_contraloría[#All],3,0),"")</f>
        <v/>
      </c>
    </row>
    <row r="1904" spans="3:10" ht="18.75" customHeight="1" x14ac:dyDescent="0.35">
      <c r="C1904" s="100" t="str">
        <f>IF(OR(Fact_Analitica[[#This Row], [Año]]="",Fact_Analitica[[#This Row], [Mes]]=""),"",DATE(A1904,MATCH(B1904,{"enero","febrero","marzo","abril","mayo","junio","julio","agosto","septiembre","octubre","noviembre","diciembre"},0)+1,0))</f>
        <v/>
      </c>
      <c r="E1904" t="str">
        <f>+IFERROR(VLOOKUP(Fact_Analitica[[#This Row], [Concepto Anterior]],Conceptos_Analítica_contraloría[#All],5,0),"")</f>
        <v/>
      </c>
      <c r="F1904" t="str">
        <f>+IFERROR(VLOOKUP(Fact_Analitica[[#This Row], [Concepto Anterior]],Conceptos_Analítica_contraloría[#All],7,0),"")</f>
        <v/>
      </c>
      <c r="I1904" t="str">
        <f>+IFERROR(VLOOKUP(D1904,Conceptos_Analítica_contraloría[#All],2,0),"")</f>
        <v/>
      </c>
      <c r="J1904" s="84" t="str">
        <f>+IFERROR(VLOOKUP(D1904,Conceptos_Analítica_contraloría[#All],3,0),"")</f>
        <v/>
      </c>
    </row>
    <row r="1905" spans="3:10" ht="18.75" customHeight="1" x14ac:dyDescent="0.35">
      <c r="C1905" s="100" t="str">
        <f>IF(OR(Fact_Analitica[[#This Row], [Año]]="",Fact_Analitica[[#This Row], [Mes]]=""),"",DATE(A1905,MATCH(B1905,{"enero","febrero","marzo","abril","mayo","junio","julio","agosto","septiembre","octubre","noviembre","diciembre"},0)+1,0))</f>
        <v/>
      </c>
      <c r="E1905" t="str">
        <f>+IFERROR(VLOOKUP(Fact_Analitica[[#This Row], [Concepto Anterior]],Conceptos_Analítica_contraloría[#All],5,0),"")</f>
        <v/>
      </c>
      <c r="F1905" t="str">
        <f>+IFERROR(VLOOKUP(Fact_Analitica[[#This Row], [Concepto Anterior]],Conceptos_Analítica_contraloría[#All],7,0),"")</f>
        <v/>
      </c>
      <c r="I1905" t="str">
        <f>+IFERROR(VLOOKUP(D1905,Conceptos_Analítica_contraloría[#All],2,0),"")</f>
        <v/>
      </c>
      <c r="J1905" s="84" t="str">
        <f>+IFERROR(VLOOKUP(D1905,Conceptos_Analítica_contraloría[#All],3,0),"")</f>
        <v/>
      </c>
    </row>
    <row r="1906" spans="3:10" ht="18.75" customHeight="1" x14ac:dyDescent="0.35">
      <c r="C1906" s="100" t="str">
        <f>IF(OR(Fact_Analitica[[#This Row], [Año]]="",Fact_Analitica[[#This Row], [Mes]]=""),"",DATE(A1906,MATCH(B1906,{"enero","febrero","marzo","abril","mayo","junio","julio","agosto","septiembre","octubre","noviembre","diciembre"},0)+1,0))</f>
        <v/>
      </c>
      <c r="E1906" t="str">
        <f>+IFERROR(VLOOKUP(Fact_Analitica[[#This Row], [Concepto Anterior]],Conceptos_Analítica_contraloría[#All],5,0),"")</f>
        <v/>
      </c>
      <c r="F1906" t="str">
        <f>+IFERROR(VLOOKUP(Fact_Analitica[[#This Row], [Concepto Anterior]],Conceptos_Analítica_contraloría[#All],7,0),"")</f>
        <v/>
      </c>
      <c r="I1906" t="str">
        <f>+IFERROR(VLOOKUP(D1906,Conceptos_Analítica_contraloría[#All],2,0),"")</f>
        <v/>
      </c>
      <c r="J1906" s="84" t="str">
        <f>+IFERROR(VLOOKUP(D1906,Conceptos_Analítica_contraloría[#All],3,0),"")</f>
        <v/>
      </c>
    </row>
    <row r="1907" spans="3:10" ht="18.75" customHeight="1" x14ac:dyDescent="0.35">
      <c r="C1907" s="100" t="str">
        <f>IF(OR(Fact_Analitica[[#This Row], [Año]]="",Fact_Analitica[[#This Row], [Mes]]=""),"",DATE(A1907,MATCH(B1907,{"enero","febrero","marzo","abril","mayo","junio","julio","agosto","septiembre","octubre","noviembre","diciembre"},0)+1,0))</f>
        <v/>
      </c>
      <c r="E1907" t="str">
        <f>+IFERROR(VLOOKUP(Fact_Analitica[[#This Row], [Concepto Anterior]],Conceptos_Analítica_contraloría[#All],5,0),"")</f>
        <v/>
      </c>
      <c r="F1907" t="str">
        <f>+IFERROR(VLOOKUP(Fact_Analitica[[#This Row], [Concepto Anterior]],Conceptos_Analítica_contraloría[#All],7,0),"")</f>
        <v/>
      </c>
      <c r="I1907" t="str">
        <f>+IFERROR(VLOOKUP(D1907,Conceptos_Analítica_contraloría[#All],2,0),"")</f>
        <v/>
      </c>
      <c r="J1907" s="84" t="str">
        <f>+IFERROR(VLOOKUP(D1907,Conceptos_Analítica_contraloría[#All],3,0),"")</f>
        <v/>
      </c>
    </row>
    <row r="1908" spans="3:10" ht="18.75" customHeight="1" x14ac:dyDescent="0.35">
      <c r="C1908" s="100" t="str">
        <f>IF(OR(Fact_Analitica[[#This Row], [Año]]="",Fact_Analitica[[#This Row], [Mes]]=""),"",DATE(A1908,MATCH(B1908,{"enero","febrero","marzo","abril","mayo","junio","julio","agosto","septiembre","octubre","noviembre","diciembre"},0)+1,0))</f>
        <v/>
      </c>
      <c r="E1908" t="str">
        <f>+IFERROR(VLOOKUP(Fact_Analitica[[#This Row], [Concepto Anterior]],Conceptos_Analítica_contraloría[#All],5,0),"")</f>
        <v/>
      </c>
      <c r="F1908" t="str">
        <f>+IFERROR(VLOOKUP(Fact_Analitica[[#This Row], [Concepto Anterior]],Conceptos_Analítica_contraloría[#All],7,0),"")</f>
        <v/>
      </c>
      <c r="I1908" t="str">
        <f>+IFERROR(VLOOKUP(D1908,Conceptos_Analítica_contraloría[#All],2,0),"")</f>
        <v/>
      </c>
      <c r="J1908" s="84" t="str">
        <f>+IFERROR(VLOOKUP(D1908,Conceptos_Analítica_contraloría[#All],3,0),"")</f>
        <v/>
      </c>
    </row>
    <row r="1909" spans="3:10" ht="18.75" customHeight="1" x14ac:dyDescent="0.35">
      <c r="C1909" s="100" t="str">
        <f>IF(OR(Fact_Analitica[[#This Row], [Año]]="",Fact_Analitica[[#This Row], [Mes]]=""),"",DATE(A1909,MATCH(B1909,{"enero","febrero","marzo","abril","mayo","junio","julio","agosto","septiembre","octubre","noviembre","diciembre"},0)+1,0))</f>
        <v/>
      </c>
      <c r="E1909" t="str">
        <f>+IFERROR(VLOOKUP(Fact_Analitica[[#This Row], [Concepto Anterior]],Conceptos_Analítica_contraloría[#All],5,0),"")</f>
        <v/>
      </c>
      <c r="F1909" t="str">
        <f>+IFERROR(VLOOKUP(Fact_Analitica[[#This Row], [Concepto Anterior]],Conceptos_Analítica_contraloría[#All],7,0),"")</f>
        <v/>
      </c>
      <c r="I1909" t="str">
        <f>+IFERROR(VLOOKUP(D1909,Conceptos_Analítica_contraloría[#All],2,0),"")</f>
        <v/>
      </c>
      <c r="J1909" s="84" t="str">
        <f>+IFERROR(VLOOKUP(D1909,Conceptos_Analítica_contraloría[#All],3,0),"")</f>
        <v/>
      </c>
    </row>
    <row r="1910" spans="3:10" ht="18.75" customHeight="1" x14ac:dyDescent="0.35">
      <c r="C1910" s="100" t="str">
        <f>IF(OR(Fact_Analitica[[#This Row], [Año]]="",Fact_Analitica[[#This Row], [Mes]]=""),"",DATE(A1910,MATCH(B1910,{"enero","febrero","marzo","abril","mayo","junio","julio","agosto","septiembre","octubre","noviembre","diciembre"},0)+1,0))</f>
        <v/>
      </c>
      <c r="E1910" t="str">
        <f>+IFERROR(VLOOKUP(Fact_Analitica[[#This Row], [Concepto Anterior]],Conceptos_Analítica_contraloría[#All],5,0),"")</f>
        <v/>
      </c>
      <c r="F1910" t="str">
        <f>+IFERROR(VLOOKUP(Fact_Analitica[[#This Row], [Concepto Anterior]],Conceptos_Analítica_contraloría[#All],7,0),"")</f>
        <v/>
      </c>
      <c r="I1910" t="str">
        <f>+IFERROR(VLOOKUP(D1910,Conceptos_Analítica_contraloría[#All],2,0),"")</f>
        <v/>
      </c>
      <c r="J1910" s="84" t="str">
        <f>+IFERROR(VLOOKUP(D1910,Conceptos_Analítica_contraloría[#All],3,0),"")</f>
        <v/>
      </c>
    </row>
    <row r="1911" spans="3:10" ht="18.75" customHeight="1" x14ac:dyDescent="0.35">
      <c r="C1911" s="100" t="str">
        <f>IF(OR(Fact_Analitica[[#This Row], [Año]]="",Fact_Analitica[[#This Row], [Mes]]=""),"",DATE(A1911,MATCH(B1911,{"enero","febrero","marzo","abril","mayo","junio","julio","agosto","septiembre","octubre","noviembre","diciembre"},0)+1,0))</f>
        <v/>
      </c>
      <c r="E1911" t="str">
        <f>+IFERROR(VLOOKUP(Fact_Analitica[[#This Row], [Concepto Anterior]],Conceptos_Analítica_contraloría[#All],5,0),"")</f>
        <v/>
      </c>
      <c r="F1911" t="str">
        <f>+IFERROR(VLOOKUP(Fact_Analitica[[#This Row], [Concepto Anterior]],Conceptos_Analítica_contraloría[#All],7,0),"")</f>
        <v/>
      </c>
      <c r="I1911" t="str">
        <f>+IFERROR(VLOOKUP(D1911,Conceptos_Analítica_contraloría[#All],2,0),"")</f>
        <v/>
      </c>
      <c r="J1911" s="84" t="str">
        <f>+IFERROR(VLOOKUP(D1911,Conceptos_Analítica_contraloría[#All],3,0),"")</f>
        <v/>
      </c>
    </row>
    <row r="1912" spans="3:10" ht="18.75" customHeight="1" x14ac:dyDescent="0.35">
      <c r="C1912" s="100" t="str">
        <f>IF(OR(Fact_Analitica[[#This Row], [Año]]="",Fact_Analitica[[#This Row], [Mes]]=""),"",DATE(A1912,MATCH(B1912,{"enero","febrero","marzo","abril","mayo","junio","julio","agosto","septiembre","octubre","noviembre","diciembre"},0)+1,0))</f>
        <v/>
      </c>
      <c r="E1912" t="str">
        <f>+IFERROR(VLOOKUP(Fact_Analitica[[#This Row], [Concepto Anterior]],Conceptos_Analítica_contraloría[#All],5,0),"")</f>
        <v/>
      </c>
      <c r="F1912" t="str">
        <f>+IFERROR(VLOOKUP(Fact_Analitica[[#This Row], [Concepto Anterior]],Conceptos_Analítica_contraloría[#All],7,0),"")</f>
        <v/>
      </c>
      <c r="I1912" t="str">
        <f>+IFERROR(VLOOKUP(D1912,Conceptos_Analítica_contraloría[#All],2,0),"")</f>
        <v/>
      </c>
      <c r="J1912" s="84" t="str">
        <f>+IFERROR(VLOOKUP(D1912,Conceptos_Analítica_contraloría[#All],3,0),"")</f>
        <v/>
      </c>
    </row>
    <row r="1913" spans="3:10" ht="18.75" customHeight="1" x14ac:dyDescent="0.35">
      <c r="C1913" s="100" t="str">
        <f>IF(OR(Fact_Analitica[[#This Row], [Año]]="",Fact_Analitica[[#This Row], [Mes]]=""),"",DATE(A1913,MATCH(B1913,{"enero","febrero","marzo","abril","mayo","junio","julio","agosto","septiembre","octubre","noviembre","diciembre"},0)+1,0))</f>
        <v/>
      </c>
      <c r="E1913" t="str">
        <f>+IFERROR(VLOOKUP(Fact_Analitica[[#This Row], [Concepto Anterior]],Conceptos_Analítica_contraloría[#All],5,0),"")</f>
        <v/>
      </c>
      <c r="F1913" t="str">
        <f>+IFERROR(VLOOKUP(Fact_Analitica[[#This Row], [Concepto Anterior]],Conceptos_Analítica_contraloría[#All],7,0),"")</f>
        <v/>
      </c>
      <c r="I1913" t="str">
        <f>+IFERROR(VLOOKUP(D1913,Conceptos_Analítica_contraloría[#All],2,0),"")</f>
        <v/>
      </c>
      <c r="J1913" s="84" t="str">
        <f>+IFERROR(VLOOKUP(D1913,Conceptos_Analítica_contraloría[#All],3,0),"")</f>
        <v/>
      </c>
    </row>
    <row r="1914" spans="3:10" ht="18.75" customHeight="1" x14ac:dyDescent="0.35">
      <c r="C1914" s="100" t="str">
        <f>IF(OR(Fact_Analitica[[#This Row], [Año]]="",Fact_Analitica[[#This Row], [Mes]]=""),"",DATE(A1914,MATCH(B1914,{"enero","febrero","marzo","abril","mayo","junio","julio","agosto","septiembre","octubre","noviembre","diciembre"},0)+1,0))</f>
        <v/>
      </c>
      <c r="E1914" t="str">
        <f>+IFERROR(VLOOKUP(Fact_Analitica[[#This Row], [Concepto Anterior]],Conceptos_Analítica_contraloría[#All],5,0),"")</f>
        <v/>
      </c>
      <c r="F1914" t="str">
        <f>+IFERROR(VLOOKUP(Fact_Analitica[[#This Row], [Concepto Anterior]],Conceptos_Analítica_contraloría[#All],7,0),"")</f>
        <v/>
      </c>
      <c r="I1914" t="str">
        <f>+IFERROR(VLOOKUP(D1914,Conceptos_Analítica_contraloría[#All],2,0),"")</f>
        <v/>
      </c>
      <c r="J1914" s="84" t="str">
        <f>+IFERROR(VLOOKUP(D1914,Conceptos_Analítica_contraloría[#All],3,0),"")</f>
        <v/>
      </c>
    </row>
    <row r="1915" spans="3:10" ht="18.75" customHeight="1" x14ac:dyDescent="0.35">
      <c r="C1915" s="100" t="str">
        <f>IF(OR(Fact_Analitica[[#This Row], [Año]]="",Fact_Analitica[[#This Row], [Mes]]=""),"",DATE(A1915,MATCH(B1915,{"enero","febrero","marzo","abril","mayo","junio","julio","agosto","septiembre","octubre","noviembre","diciembre"},0)+1,0))</f>
        <v/>
      </c>
      <c r="E1915" t="str">
        <f>+IFERROR(VLOOKUP(Fact_Analitica[[#This Row], [Concepto Anterior]],Conceptos_Analítica_contraloría[#All],5,0),"")</f>
        <v/>
      </c>
      <c r="F1915" t="str">
        <f>+IFERROR(VLOOKUP(Fact_Analitica[[#This Row], [Concepto Anterior]],Conceptos_Analítica_contraloría[#All],7,0),"")</f>
        <v/>
      </c>
      <c r="I1915" t="str">
        <f>+IFERROR(VLOOKUP(D1915,Conceptos_Analítica_contraloría[#All],2,0),"")</f>
        <v/>
      </c>
      <c r="J1915" s="84" t="str">
        <f>+IFERROR(VLOOKUP(D1915,Conceptos_Analítica_contraloría[#All],3,0),"")</f>
        <v/>
      </c>
    </row>
    <row r="1916" spans="3:10" ht="18.75" customHeight="1" x14ac:dyDescent="0.35">
      <c r="C1916" s="100" t="str">
        <f>IF(OR(Fact_Analitica[[#This Row], [Año]]="",Fact_Analitica[[#This Row], [Mes]]=""),"",DATE(A1916,MATCH(B1916,{"enero","febrero","marzo","abril","mayo","junio","julio","agosto","septiembre","octubre","noviembre","diciembre"},0)+1,0))</f>
        <v/>
      </c>
      <c r="E1916" t="str">
        <f>+IFERROR(VLOOKUP(Fact_Analitica[[#This Row], [Concepto Anterior]],Conceptos_Analítica_contraloría[#All],5,0),"")</f>
        <v/>
      </c>
      <c r="F1916" t="str">
        <f>+IFERROR(VLOOKUP(Fact_Analitica[[#This Row], [Concepto Anterior]],Conceptos_Analítica_contraloría[#All],7,0),"")</f>
        <v/>
      </c>
      <c r="I1916" t="str">
        <f>+IFERROR(VLOOKUP(D1916,Conceptos_Analítica_contraloría[#All],2,0),"")</f>
        <v/>
      </c>
      <c r="J1916" s="84" t="str">
        <f>+IFERROR(VLOOKUP(D1916,Conceptos_Analítica_contraloría[#All],3,0),"")</f>
        <v/>
      </c>
    </row>
    <row r="1917" spans="3:10" ht="18.75" customHeight="1" x14ac:dyDescent="0.35">
      <c r="C1917" s="100" t="str">
        <f>IF(OR(Fact_Analitica[[#This Row], [Año]]="",Fact_Analitica[[#This Row], [Mes]]=""),"",DATE(A1917,MATCH(B1917,{"enero","febrero","marzo","abril","mayo","junio","julio","agosto","septiembre","octubre","noviembre","diciembre"},0)+1,0))</f>
        <v/>
      </c>
      <c r="E1917" t="str">
        <f>+IFERROR(VLOOKUP(Fact_Analitica[[#This Row], [Concepto Anterior]],Conceptos_Analítica_contraloría[#All],5,0),"")</f>
        <v/>
      </c>
      <c r="F1917" t="str">
        <f>+IFERROR(VLOOKUP(Fact_Analitica[[#This Row], [Concepto Anterior]],Conceptos_Analítica_contraloría[#All],7,0),"")</f>
        <v/>
      </c>
      <c r="I1917" t="str">
        <f>+IFERROR(VLOOKUP(D1917,Conceptos_Analítica_contraloría[#All],2,0),"")</f>
        <v/>
      </c>
      <c r="J1917" s="84" t="str">
        <f>+IFERROR(VLOOKUP(D1917,Conceptos_Analítica_contraloría[#All],3,0),"")</f>
        <v/>
      </c>
    </row>
    <row r="1918" spans="3:10" ht="18.75" customHeight="1" x14ac:dyDescent="0.35">
      <c r="C1918" s="100" t="str">
        <f>IF(OR(Fact_Analitica[[#This Row], [Año]]="",Fact_Analitica[[#This Row], [Mes]]=""),"",DATE(A1918,MATCH(B1918,{"enero","febrero","marzo","abril","mayo","junio","julio","agosto","septiembre","octubre","noviembre","diciembre"},0)+1,0))</f>
        <v/>
      </c>
      <c r="E1918" t="str">
        <f>+IFERROR(VLOOKUP(Fact_Analitica[[#This Row], [Concepto Anterior]],Conceptos_Analítica_contraloría[#All],5,0),"")</f>
        <v/>
      </c>
      <c r="F1918" t="str">
        <f>+IFERROR(VLOOKUP(Fact_Analitica[[#This Row], [Concepto Anterior]],Conceptos_Analítica_contraloría[#All],7,0),"")</f>
        <v/>
      </c>
      <c r="I1918" t="str">
        <f>+IFERROR(VLOOKUP(D1918,Conceptos_Analítica_contraloría[#All],2,0),"")</f>
        <v/>
      </c>
      <c r="J1918" s="84" t="str">
        <f>+IFERROR(VLOOKUP(D1918,Conceptos_Analítica_contraloría[#All],3,0),"")</f>
        <v/>
      </c>
    </row>
    <row r="1919" spans="3:10" ht="18.75" customHeight="1" x14ac:dyDescent="0.35">
      <c r="C1919" s="100" t="str">
        <f>IF(OR(Fact_Analitica[[#This Row], [Año]]="",Fact_Analitica[[#This Row], [Mes]]=""),"",DATE(A1919,MATCH(B1919,{"enero","febrero","marzo","abril","mayo","junio","julio","agosto","septiembre","octubre","noviembre","diciembre"},0)+1,0))</f>
        <v/>
      </c>
      <c r="E1919" t="str">
        <f>+IFERROR(VLOOKUP(Fact_Analitica[[#This Row], [Concepto Anterior]],Conceptos_Analítica_contraloría[#All],5,0),"")</f>
        <v/>
      </c>
      <c r="F1919" t="str">
        <f>+IFERROR(VLOOKUP(Fact_Analitica[[#This Row], [Concepto Anterior]],Conceptos_Analítica_contraloría[#All],7,0),"")</f>
        <v/>
      </c>
      <c r="I1919" t="str">
        <f>+IFERROR(VLOOKUP(D1919,Conceptos_Analítica_contraloría[#All],2,0),"")</f>
        <v/>
      </c>
      <c r="J1919" s="84" t="str">
        <f>+IFERROR(VLOOKUP(D1919,Conceptos_Analítica_contraloría[#All],3,0),"")</f>
        <v/>
      </c>
    </row>
    <row r="1920" spans="3:10" ht="18.75" customHeight="1" x14ac:dyDescent="0.35">
      <c r="C1920" s="100" t="str">
        <f>IF(OR(Fact_Analitica[[#This Row], [Año]]="",Fact_Analitica[[#This Row], [Mes]]=""),"",DATE(A1920,MATCH(B1920,{"enero","febrero","marzo","abril","mayo","junio","julio","agosto","septiembre","octubre","noviembre","diciembre"},0)+1,0))</f>
        <v/>
      </c>
      <c r="E1920" t="str">
        <f>+IFERROR(VLOOKUP(Fact_Analitica[[#This Row], [Concepto Anterior]],Conceptos_Analítica_contraloría[#All],5,0),"")</f>
        <v/>
      </c>
      <c r="F1920" t="str">
        <f>+IFERROR(VLOOKUP(Fact_Analitica[[#This Row], [Concepto Anterior]],Conceptos_Analítica_contraloría[#All],7,0),"")</f>
        <v/>
      </c>
      <c r="I1920" t="str">
        <f>+IFERROR(VLOOKUP(D1920,Conceptos_Analítica_contraloría[#All],2,0),"")</f>
        <v/>
      </c>
      <c r="J1920" s="84" t="str">
        <f>+IFERROR(VLOOKUP(D1920,Conceptos_Analítica_contraloría[#All],3,0),"")</f>
        <v/>
      </c>
    </row>
    <row r="1921" spans="3:10" ht="18.75" customHeight="1" x14ac:dyDescent="0.35">
      <c r="C1921" s="100" t="str">
        <f>IF(OR(Fact_Analitica[[#This Row], [Año]]="",Fact_Analitica[[#This Row], [Mes]]=""),"",DATE(A1921,MATCH(B1921,{"enero","febrero","marzo","abril","mayo","junio","julio","agosto","septiembre","octubre","noviembre","diciembre"},0)+1,0))</f>
        <v/>
      </c>
      <c r="E1921" t="str">
        <f>+IFERROR(VLOOKUP(Fact_Analitica[[#This Row], [Concepto Anterior]],Conceptos_Analítica_contraloría[#All],5,0),"")</f>
        <v/>
      </c>
      <c r="F1921" t="str">
        <f>+IFERROR(VLOOKUP(Fact_Analitica[[#This Row], [Concepto Anterior]],Conceptos_Analítica_contraloría[#All],7,0),"")</f>
        <v/>
      </c>
      <c r="I1921" t="str">
        <f>+IFERROR(VLOOKUP(D1921,Conceptos_Analítica_contraloría[#All],2,0),"")</f>
        <v/>
      </c>
      <c r="J1921" s="84" t="str">
        <f>+IFERROR(VLOOKUP(D1921,Conceptos_Analítica_contraloría[#All],3,0),"")</f>
        <v/>
      </c>
    </row>
    <row r="1922" spans="3:10" ht="18.75" customHeight="1" x14ac:dyDescent="0.35">
      <c r="C1922" s="100" t="str">
        <f>IF(OR(Fact_Analitica[[#This Row], [Año]]="",Fact_Analitica[[#This Row], [Mes]]=""),"",DATE(A1922,MATCH(B1922,{"enero","febrero","marzo","abril","mayo","junio","julio","agosto","septiembre","octubre","noviembre","diciembre"},0)+1,0))</f>
        <v/>
      </c>
      <c r="E1922" t="str">
        <f>+IFERROR(VLOOKUP(Fact_Analitica[[#This Row], [Concepto Anterior]],Conceptos_Analítica_contraloría[#All],5,0),"")</f>
        <v/>
      </c>
      <c r="F1922" t="str">
        <f>+IFERROR(VLOOKUP(Fact_Analitica[[#This Row], [Concepto Anterior]],Conceptos_Analítica_contraloría[#All],7,0),"")</f>
        <v/>
      </c>
      <c r="I1922" t="str">
        <f>+IFERROR(VLOOKUP(D1922,Conceptos_Analítica_contraloría[#All],2,0),"")</f>
        <v/>
      </c>
      <c r="J1922" s="84" t="str">
        <f>+IFERROR(VLOOKUP(D1922,Conceptos_Analítica_contraloría[#All],3,0),"")</f>
        <v/>
      </c>
    </row>
    <row r="1923" spans="3:10" ht="18.75" customHeight="1" x14ac:dyDescent="0.35">
      <c r="C1923" s="100" t="str">
        <f>IF(OR(Fact_Analitica[[#This Row], [Año]]="",Fact_Analitica[[#This Row], [Mes]]=""),"",DATE(A1923,MATCH(B1923,{"enero","febrero","marzo","abril","mayo","junio","julio","agosto","septiembre","octubre","noviembre","diciembre"},0)+1,0))</f>
        <v/>
      </c>
      <c r="E1923" t="str">
        <f>+IFERROR(VLOOKUP(Fact_Analitica[[#This Row], [Concepto Anterior]],Conceptos_Analítica_contraloría[#All],5,0),"")</f>
        <v/>
      </c>
      <c r="F1923" t="str">
        <f>+IFERROR(VLOOKUP(Fact_Analitica[[#This Row], [Concepto Anterior]],Conceptos_Analítica_contraloría[#All],7,0),"")</f>
        <v/>
      </c>
      <c r="I1923" t="str">
        <f>+IFERROR(VLOOKUP(D1923,Conceptos_Analítica_contraloría[#All],2,0),"")</f>
        <v/>
      </c>
      <c r="J1923" s="84" t="str">
        <f>+IFERROR(VLOOKUP(D1923,Conceptos_Analítica_contraloría[#All],3,0),"")</f>
        <v/>
      </c>
    </row>
    <row r="1924" spans="3:10" ht="18.75" customHeight="1" x14ac:dyDescent="0.35">
      <c r="C1924" s="100" t="str">
        <f>IF(OR(Fact_Analitica[[#This Row], [Año]]="",Fact_Analitica[[#This Row], [Mes]]=""),"",DATE(A1924,MATCH(B1924,{"enero","febrero","marzo","abril","mayo","junio","julio","agosto","septiembre","octubre","noviembre","diciembre"},0)+1,0))</f>
        <v/>
      </c>
      <c r="E1924" t="str">
        <f>+IFERROR(VLOOKUP(Fact_Analitica[[#This Row], [Concepto Anterior]],Conceptos_Analítica_contraloría[#All],5,0),"")</f>
        <v/>
      </c>
      <c r="F1924" t="str">
        <f>+IFERROR(VLOOKUP(Fact_Analitica[[#This Row], [Concepto Anterior]],Conceptos_Analítica_contraloría[#All],7,0),"")</f>
        <v/>
      </c>
      <c r="I1924" t="str">
        <f>+IFERROR(VLOOKUP(D1924,Conceptos_Analítica_contraloría[#All],2,0),"")</f>
        <v/>
      </c>
      <c r="J1924" s="84" t="str">
        <f>+IFERROR(VLOOKUP(D1924,Conceptos_Analítica_contraloría[#All],3,0),"")</f>
        <v/>
      </c>
    </row>
    <row r="1925" spans="3:10" ht="18.75" customHeight="1" x14ac:dyDescent="0.35">
      <c r="C1925" s="100" t="str">
        <f>IF(OR(Fact_Analitica[[#This Row], [Año]]="",Fact_Analitica[[#This Row], [Mes]]=""),"",DATE(A1925,MATCH(B1925,{"enero","febrero","marzo","abril","mayo","junio","julio","agosto","septiembre","octubre","noviembre","diciembre"},0)+1,0))</f>
        <v/>
      </c>
      <c r="E1925" t="str">
        <f>+IFERROR(VLOOKUP(Fact_Analitica[[#This Row], [Concepto Anterior]],Conceptos_Analítica_contraloría[#All],5,0),"")</f>
        <v/>
      </c>
      <c r="F1925" t="str">
        <f>+IFERROR(VLOOKUP(Fact_Analitica[[#This Row], [Concepto Anterior]],Conceptos_Analítica_contraloría[#All],7,0),"")</f>
        <v/>
      </c>
      <c r="I1925" t="str">
        <f>+IFERROR(VLOOKUP(D1925,Conceptos_Analítica_contraloría[#All],2,0),"")</f>
        <v/>
      </c>
      <c r="J1925" s="84" t="str">
        <f>+IFERROR(VLOOKUP(D1925,Conceptos_Analítica_contraloría[#All],3,0),"")</f>
        <v/>
      </c>
    </row>
    <row r="1926" spans="3:10" ht="18.75" customHeight="1" x14ac:dyDescent="0.35">
      <c r="C1926" s="100" t="str">
        <f>IF(OR(Fact_Analitica[[#This Row], [Año]]="",Fact_Analitica[[#This Row], [Mes]]=""),"",DATE(A1926,MATCH(B1926,{"enero","febrero","marzo","abril","mayo","junio","julio","agosto","septiembre","octubre","noviembre","diciembre"},0)+1,0))</f>
        <v/>
      </c>
      <c r="E1926" t="str">
        <f>+IFERROR(VLOOKUP(Fact_Analitica[[#This Row], [Concepto Anterior]],Conceptos_Analítica_contraloría[#All],5,0),"")</f>
        <v/>
      </c>
      <c r="F1926" t="str">
        <f>+IFERROR(VLOOKUP(Fact_Analitica[[#This Row], [Concepto Anterior]],Conceptos_Analítica_contraloría[#All],7,0),"")</f>
        <v/>
      </c>
      <c r="I1926" t="str">
        <f>+IFERROR(VLOOKUP(D1926,Conceptos_Analítica_contraloría[#All],2,0),"")</f>
        <v/>
      </c>
      <c r="J1926" s="84" t="str">
        <f>+IFERROR(VLOOKUP(D1926,Conceptos_Analítica_contraloría[#All],3,0),"")</f>
        <v/>
      </c>
    </row>
    <row r="1927" spans="3:10" ht="18.75" customHeight="1" x14ac:dyDescent="0.35">
      <c r="C1927" s="100" t="str">
        <f>IF(OR(Fact_Analitica[[#This Row], [Año]]="",Fact_Analitica[[#This Row], [Mes]]=""),"",DATE(A1927,MATCH(B1927,{"enero","febrero","marzo","abril","mayo","junio","julio","agosto","septiembre","octubre","noviembre","diciembre"},0)+1,0))</f>
        <v/>
      </c>
      <c r="E1927" t="str">
        <f>+IFERROR(VLOOKUP(Fact_Analitica[[#This Row], [Concepto Anterior]],Conceptos_Analítica_contraloría[#All],5,0),"")</f>
        <v/>
      </c>
      <c r="F1927" t="str">
        <f>+IFERROR(VLOOKUP(Fact_Analitica[[#This Row], [Concepto Anterior]],Conceptos_Analítica_contraloría[#All],7,0),"")</f>
        <v/>
      </c>
      <c r="I1927" t="str">
        <f>+IFERROR(VLOOKUP(D1927,Conceptos_Analítica_contraloría[#All],2,0),"")</f>
        <v/>
      </c>
      <c r="J1927" s="84" t="str">
        <f>+IFERROR(VLOOKUP(D1927,Conceptos_Analítica_contraloría[#All],3,0),"")</f>
        <v/>
      </c>
    </row>
    <row r="1928" spans="3:10" ht="18.75" customHeight="1" x14ac:dyDescent="0.35">
      <c r="C1928" s="100" t="str">
        <f>IF(OR(Fact_Analitica[[#This Row], [Año]]="",Fact_Analitica[[#This Row], [Mes]]=""),"",DATE(A1928,MATCH(B1928,{"enero","febrero","marzo","abril","mayo","junio","julio","agosto","septiembre","octubre","noviembre","diciembre"},0)+1,0))</f>
        <v/>
      </c>
      <c r="E1928" t="str">
        <f>+IFERROR(VLOOKUP(Fact_Analitica[[#This Row], [Concepto Anterior]],Conceptos_Analítica_contraloría[#All],5,0),"")</f>
        <v/>
      </c>
      <c r="F1928" t="str">
        <f>+IFERROR(VLOOKUP(Fact_Analitica[[#This Row], [Concepto Anterior]],Conceptos_Analítica_contraloría[#All],7,0),"")</f>
        <v/>
      </c>
      <c r="I1928" t="str">
        <f>+IFERROR(VLOOKUP(D1928,Conceptos_Analítica_contraloría[#All],2,0),"")</f>
        <v/>
      </c>
      <c r="J1928" s="84" t="str">
        <f>+IFERROR(VLOOKUP(D1928,Conceptos_Analítica_contraloría[#All],3,0),"")</f>
        <v/>
      </c>
    </row>
    <row r="1929" spans="3:10" ht="18.75" customHeight="1" x14ac:dyDescent="0.35">
      <c r="C1929" s="100" t="str">
        <f>IF(OR(Fact_Analitica[[#This Row], [Año]]="",Fact_Analitica[[#This Row], [Mes]]=""),"",DATE(A1929,MATCH(B1929,{"enero","febrero","marzo","abril","mayo","junio","julio","agosto","septiembre","octubre","noviembre","diciembre"},0)+1,0))</f>
        <v/>
      </c>
      <c r="E1929" t="str">
        <f>+IFERROR(VLOOKUP(Fact_Analitica[[#This Row], [Concepto Anterior]],Conceptos_Analítica_contraloría[#All],5,0),"")</f>
        <v/>
      </c>
      <c r="F1929" t="str">
        <f>+IFERROR(VLOOKUP(Fact_Analitica[[#This Row], [Concepto Anterior]],Conceptos_Analítica_contraloría[#All],7,0),"")</f>
        <v/>
      </c>
      <c r="I1929" t="str">
        <f>+IFERROR(VLOOKUP(D1929,Conceptos_Analítica_contraloría[#All],2,0),"")</f>
        <v/>
      </c>
      <c r="J1929" s="84" t="str">
        <f>+IFERROR(VLOOKUP(D1929,Conceptos_Analítica_contraloría[#All],3,0),"")</f>
        <v/>
      </c>
    </row>
    <row r="1930" spans="3:10" ht="18.75" customHeight="1" x14ac:dyDescent="0.35">
      <c r="C1930" s="100" t="str">
        <f>IF(OR(Fact_Analitica[[#This Row], [Año]]="",Fact_Analitica[[#This Row], [Mes]]=""),"",DATE(A1930,MATCH(B1930,{"enero","febrero","marzo","abril","mayo","junio","julio","agosto","septiembre","octubre","noviembre","diciembre"},0)+1,0))</f>
        <v/>
      </c>
      <c r="E1930" t="str">
        <f>+IFERROR(VLOOKUP(Fact_Analitica[[#This Row], [Concepto Anterior]],Conceptos_Analítica_contraloría[#All],5,0),"")</f>
        <v/>
      </c>
      <c r="F1930" t="str">
        <f>+IFERROR(VLOOKUP(Fact_Analitica[[#This Row], [Concepto Anterior]],Conceptos_Analítica_contraloría[#All],7,0),"")</f>
        <v/>
      </c>
      <c r="I1930" t="str">
        <f>+IFERROR(VLOOKUP(D1930,Conceptos_Analítica_contraloría[#All],2,0),"")</f>
        <v/>
      </c>
      <c r="J1930" s="84" t="str">
        <f>+IFERROR(VLOOKUP(D1930,Conceptos_Analítica_contraloría[#All],3,0),"")</f>
        <v/>
      </c>
    </row>
    <row r="1931" spans="3:10" ht="18.75" customHeight="1" x14ac:dyDescent="0.35">
      <c r="C1931" s="100" t="str">
        <f>IF(OR(Fact_Analitica[[#This Row], [Año]]="",Fact_Analitica[[#This Row], [Mes]]=""),"",DATE(A1931,MATCH(B1931,{"enero","febrero","marzo","abril","mayo","junio","julio","agosto","septiembre","octubre","noviembre","diciembre"},0)+1,0))</f>
        <v/>
      </c>
      <c r="E1931" t="str">
        <f>+IFERROR(VLOOKUP(Fact_Analitica[[#This Row], [Concepto Anterior]],Conceptos_Analítica_contraloría[#All],5,0),"")</f>
        <v/>
      </c>
      <c r="F1931" t="str">
        <f>+IFERROR(VLOOKUP(Fact_Analitica[[#This Row], [Concepto Anterior]],Conceptos_Analítica_contraloría[#All],7,0),"")</f>
        <v/>
      </c>
      <c r="I1931" t="str">
        <f>+IFERROR(VLOOKUP(D1931,Conceptos_Analítica_contraloría[#All],2,0),"")</f>
        <v/>
      </c>
      <c r="J1931" s="84" t="str">
        <f>+IFERROR(VLOOKUP(D1931,Conceptos_Analítica_contraloría[#All],3,0),"")</f>
        <v/>
      </c>
    </row>
    <row r="1932" spans="3:10" ht="18.75" customHeight="1" x14ac:dyDescent="0.35">
      <c r="C1932" s="100" t="str">
        <f>IF(OR(Fact_Analitica[[#This Row], [Año]]="",Fact_Analitica[[#This Row], [Mes]]=""),"",DATE(A1932,MATCH(B1932,{"enero","febrero","marzo","abril","mayo","junio","julio","agosto","septiembre","octubre","noviembre","diciembre"},0)+1,0))</f>
        <v/>
      </c>
      <c r="E1932" t="str">
        <f>+IFERROR(VLOOKUP(Fact_Analitica[[#This Row], [Concepto Anterior]],Conceptos_Analítica_contraloría[#All],5,0),"")</f>
        <v/>
      </c>
      <c r="F1932" t="str">
        <f>+IFERROR(VLOOKUP(Fact_Analitica[[#This Row], [Concepto Anterior]],Conceptos_Analítica_contraloría[#All],7,0),"")</f>
        <v/>
      </c>
      <c r="I1932" t="str">
        <f>+IFERROR(VLOOKUP(D1932,Conceptos_Analítica_contraloría[#All],2,0),"")</f>
        <v/>
      </c>
      <c r="J1932" s="84" t="str">
        <f>+IFERROR(VLOOKUP(D1932,Conceptos_Analítica_contraloría[#All],3,0),"")</f>
        <v/>
      </c>
    </row>
    <row r="1933" spans="3:10" ht="18.75" customHeight="1" x14ac:dyDescent="0.35">
      <c r="C1933" s="100" t="str">
        <f>IF(OR(Fact_Analitica[[#This Row], [Año]]="",Fact_Analitica[[#This Row], [Mes]]=""),"",DATE(A1933,MATCH(B1933,{"enero","febrero","marzo","abril","mayo","junio","julio","agosto","septiembre","octubre","noviembre","diciembre"},0)+1,0))</f>
        <v/>
      </c>
      <c r="E1933" t="str">
        <f>+IFERROR(VLOOKUP(Fact_Analitica[[#This Row], [Concepto Anterior]],Conceptos_Analítica_contraloría[#All],5,0),"")</f>
        <v/>
      </c>
      <c r="F1933" t="str">
        <f>+IFERROR(VLOOKUP(Fact_Analitica[[#This Row], [Concepto Anterior]],Conceptos_Analítica_contraloría[#All],7,0),"")</f>
        <v/>
      </c>
      <c r="I1933" t="str">
        <f>+IFERROR(VLOOKUP(D1933,Conceptos_Analítica_contraloría[#All],2,0),"")</f>
        <v/>
      </c>
      <c r="J1933" s="84" t="str">
        <f>+IFERROR(VLOOKUP(D1933,Conceptos_Analítica_contraloría[#All],3,0),"")</f>
        <v/>
      </c>
    </row>
    <row r="1934" spans="3:10" ht="18.75" customHeight="1" x14ac:dyDescent="0.35">
      <c r="C1934" s="100" t="str">
        <f>IF(OR(Fact_Analitica[[#This Row], [Año]]="",Fact_Analitica[[#This Row], [Mes]]=""),"",DATE(A1934,MATCH(B1934,{"enero","febrero","marzo","abril","mayo","junio","julio","agosto","septiembre","octubre","noviembre","diciembre"},0)+1,0))</f>
        <v/>
      </c>
      <c r="E1934" t="str">
        <f>+IFERROR(VLOOKUP(Fact_Analitica[[#This Row], [Concepto Anterior]],Conceptos_Analítica_contraloría[#All],5,0),"")</f>
        <v/>
      </c>
      <c r="F1934" t="str">
        <f>+IFERROR(VLOOKUP(Fact_Analitica[[#This Row], [Concepto Anterior]],Conceptos_Analítica_contraloría[#All],7,0),"")</f>
        <v/>
      </c>
      <c r="I1934" t="str">
        <f>+IFERROR(VLOOKUP(D1934,Conceptos_Analítica_contraloría[#All],2,0),"")</f>
        <v/>
      </c>
      <c r="J1934" s="84" t="str">
        <f>+IFERROR(VLOOKUP(D1934,Conceptos_Analítica_contraloría[#All],3,0),"")</f>
        <v/>
      </c>
    </row>
    <row r="1935" spans="3:10" ht="18.75" customHeight="1" x14ac:dyDescent="0.35">
      <c r="C1935" s="100" t="str">
        <f>IF(OR(Fact_Analitica[[#This Row], [Año]]="",Fact_Analitica[[#This Row], [Mes]]=""),"",DATE(A1935,MATCH(B1935,{"enero","febrero","marzo","abril","mayo","junio","julio","agosto","septiembre","octubre","noviembre","diciembre"},0)+1,0))</f>
        <v/>
      </c>
      <c r="E1935" t="str">
        <f>+IFERROR(VLOOKUP(Fact_Analitica[[#This Row], [Concepto Anterior]],Conceptos_Analítica_contraloría[#All],5,0),"")</f>
        <v/>
      </c>
      <c r="F1935" t="str">
        <f>+IFERROR(VLOOKUP(Fact_Analitica[[#This Row], [Concepto Anterior]],Conceptos_Analítica_contraloría[#All],7,0),"")</f>
        <v/>
      </c>
      <c r="I1935" t="str">
        <f>+IFERROR(VLOOKUP(D1935,Conceptos_Analítica_contraloría[#All],2,0),"")</f>
        <v/>
      </c>
      <c r="J1935" s="84" t="str">
        <f>+IFERROR(VLOOKUP(D1935,Conceptos_Analítica_contraloría[#All],3,0),"")</f>
        <v/>
      </c>
    </row>
    <row r="1936" spans="3:10" ht="18.75" customHeight="1" x14ac:dyDescent="0.35">
      <c r="C1936" s="100" t="str">
        <f>IF(OR(Fact_Analitica[[#This Row], [Año]]="",Fact_Analitica[[#This Row], [Mes]]=""),"",DATE(A1936,MATCH(B1936,{"enero","febrero","marzo","abril","mayo","junio","julio","agosto","septiembre","octubre","noviembre","diciembre"},0)+1,0))</f>
        <v/>
      </c>
      <c r="E1936" t="str">
        <f>+IFERROR(VLOOKUP(Fact_Analitica[[#This Row], [Concepto Anterior]],Conceptos_Analítica_contraloría[#All],5,0),"")</f>
        <v/>
      </c>
      <c r="F1936" t="str">
        <f>+IFERROR(VLOOKUP(Fact_Analitica[[#This Row], [Concepto Anterior]],Conceptos_Analítica_contraloría[#All],7,0),"")</f>
        <v/>
      </c>
      <c r="I1936" t="str">
        <f>+IFERROR(VLOOKUP(D1936,Conceptos_Analítica_contraloría[#All],2,0),"")</f>
        <v/>
      </c>
      <c r="J1936" s="84" t="str">
        <f>+IFERROR(VLOOKUP(D1936,Conceptos_Analítica_contraloría[#All],3,0),"")</f>
        <v/>
      </c>
    </row>
    <row r="1937" spans="3:10" ht="18.75" customHeight="1" x14ac:dyDescent="0.35">
      <c r="C1937" s="100" t="str">
        <f>IF(OR(Fact_Analitica[[#This Row], [Año]]="",Fact_Analitica[[#This Row], [Mes]]=""),"",DATE(A1937,MATCH(B1937,{"enero","febrero","marzo","abril","mayo","junio","julio","agosto","septiembre","octubre","noviembre","diciembre"},0)+1,0))</f>
        <v/>
      </c>
      <c r="E1937" t="str">
        <f>+IFERROR(VLOOKUP(Fact_Analitica[[#This Row], [Concepto Anterior]],Conceptos_Analítica_contraloría[#All],5,0),"")</f>
        <v/>
      </c>
      <c r="F1937" t="str">
        <f>+IFERROR(VLOOKUP(Fact_Analitica[[#This Row], [Concepto Anterior]],Conceptos_Analítica_contraloría[#All],7,0),"")</f>
        <v/>
      </c>
      <c r="I1937" t="str">
        <f>+IFERROR(VLOOKUP(D1937,Conceptos_Analítica_contraloría[#All],2,0),"")</f>
        <v/>
      </c>
      <c r="J1937" s="84" t="str">
        <f>+IFERROR(VLOOKUP(D1937,Conceptos_Analítica_contraloría[#All],3,0),"")</f>
        <v/>
      </c>
    </row>
    <row r="1938" spans="3:10" ht="18.75" customHeight="1" x14ac:dyDescent="0.35">
      <c r="C1938" s="100" t="str">
        <f>IF(OR(Fact_Analitica[[#This Row], [Año]]="",Fact_Analitica[[#This Row], [Mes]]=""),"",DATE(A1938,MATCH(B1938,{"enero","febrero","marzo","abril","mayo","junio","julio","agosto","septiembre","octubre","noviembre","diciembre"},0)+1,0))</f>
        <v/>
      </c>
      <c r="E1938" t="str">
        <f>+IFERROR(VLOOKUP(Fact_Analitica[[#This Row], [Concepto Anterior]],Conceptos_Analítica_contraloría[#All],5,0),"")</f>
        <v/>
      </c>
      <c r="F1938" t="str">
        <f>+IFERROR(VLOOKUP(Fact_Analitica[[#This Row], [Concepto Anterior]],Conceptos_Analítica_contraloría[#All],7,0),"")</f>
        <v/>
      </c>
      <c r="I1938" t="str">
        <f>+IFERROR(VLOOKUP(D1938,Conceptos_Analítica_contraloría[#All],2,0),"")</f>
        <v/>
      </c>
      <c r="J1938" s="84" t="str">
        <f>+IFERROR(VLOOKUP(D1938,Conceptos_Analítica_contraloría[#All],3,0),"")</f>
        <v/>
      </c>
    </row>
    <row r="1939" spans="3:10" ht="18.75" customHeight="1" x14ac:dyDescent="0.35">
      <c r="C1939" s="100" t="str">
        <f>IF(OR(Fact_Analitica[[#This Row], [Año]]="",Fact_Analitica[[#This Row], [Mes]]=""),"",DATE(A1939,MATCH(B1939,{"enero","febrero","marzo","abril","mayo","junio","julio","agosto","septiembre","octubre","noviembre","diciembre"},0)+1,0))</f>
        <v/>
      </c>
      <c r="E1939" t="str">
        <f>+IFERROR(VLOOKUP(Fact_Analitica[[#This Row], [Concepto Anterior]],Conceptos_Analítica_contraloría[#All],5,0),"")</f>
        <v/>
      </c>
      <c r="F1939" t="str">
        <f>+IFERROR(VLOOKUP(Fact_Analitica[[#This Row], [Concepto Anterior]],Conceptos_Analítica_contraloría[#All],7,0),"")</f>
        <v/>
      </c>
      <c r="I1939" t="str">
        <f>+IFERROR(VLOOKUP(D1939,Conceptos_Analítica_contraloría[#All],2,0),"")</f>
        <v/>
      </c>
      <c r="J1939" s="84" t="str">
        <f>+IFERROR(VLOOKUP(D1939,Conceptos_Analítica_contraloría[#All],3,0),"")</f>
        <v/>
      </c>
    </row>
    <row r="1940" spans="3:10" ht="18.75" customHeight="1" x14ac:dyDescent="0.35">
      <c r="C1940" s="100" t="str">
        <f>IF(OR(Fact_Analitica[[#This Row], [Año]]="",Fact_Analitica[[#This Row], [Mes]]=""),"",DATE(A1940,MATCH(B1940,{"enero","febrero","marzo","abril","mayo","junio","julio","agosto","septiembre","octubre","noviembre","diciembre"},0)+1,0))</f>
        <v/>
      </c>
      <c r="E1940" t="str">
        <f>+IFERROR(VLOOKUP(Fact_Analitica[[#This Row], [Concepto Anterior]],Conceptos_Analítica_contraloría[#All],5,0),"")</f>
        <v/>
      </c>
      <c r="F1940" t="str">
        <f>+IFERROR(VLOOKUP(Fact_Analitica[[#This Row], [Concepto Anterior]],Conceptos_Analítica_contraloría[#All],7,0),"")</f>
        <v/>
      </c>
      <c r="I1940" t="str">
        <f>+IFERROR(VLOOKUP(D1940,Conceptos_Analítica_contraloría[#All],2,0),"")</f>
        <v/>
      </c>
      <c r="J1940" s="84" t="str">
        <f>+IFERROR(VLOOKUP(D1940,Conceptos_Analítica_contraloría[#All],3,0),"")</f>
        <v/>
      </c>
    </row>
    <row r="1941" spans="3:10" ht="18.75" customHeight="1" x14ac:dyDescent="0.35">
      <c r="C1941" s="100" t="str">
        <f>IF(OR(Fact_Analitica[[#This Row], [Año]]="",Fact_Analitica[[#This Row], [Mes]]=""),"",DATE(A1941,MATCH(B1941,{"enero","febrero","marzo","abril","mayo","junio","julio","agosto","septiembre","octubre","noviembre","diciembre"},0)+1,0))</f>
        <v/>
      </c>
      <c r="E1941" t="str">
        <f>+IFERROR(VLOOKUP(Fact_Analitica[[#This Row], [Concepto Anterior]],Conceptos_Analítica_contraloría[#All],5,0),"")</f>
        <v/>
      </c>
      <c r="F1941" t="str">
        <f>+IFERROR(VLOOKUP(Fact_Analitica[[#This Row], [Concepto Anterior]],Conceptos_Analítica_contraloría[#All],7,0),"")</f>
        <v/>
      </c>
      <c r="I1941" t="str">
        <f>+IFERROR(VLOOKUP(D1941,Conceptos_Analítica_contraloría[#All],2,0),"")</f>
        <v/>
      </c>
      <c r="J1941" s="84" t="str">
        <f>+IFERROR(VLOOKUP(D1941,Conceptos_Analítica_contraloría[#All],3,0),"")</f>
        <v/>
      </c>
    </row>
    <row r="1942" spans="3:10" ht="18.75" customHeight="1" x14ac:dyDescent="0.35">
      <c r="C1942" s="100" t="str">
        <f>IF(OR(Fact_Analitica[[#This Row], [Año]]="",Fact_Analitica[[#This Row], [Mes]]=""),"",DATE(A1942,MATCH(B1942,{"enero","febrero","marzo","abril","mayo","junio","julio","agosto","septiembre","octubre","noviembre","diciembre"},0)+1,0))</f>
        <v/>
      </c>
      <c r="E1942" t="str">
        <f>+IFERROR(VLOOKUP(Fact_Analitica[[#This Row], [Concepto Anterior]],Conceptos_Analítica_contraloría[#All],5,0),"")</f>
        <v/>
      </c>
      <c r="F1942" t="str">
        <f>+IFERROR(VLOOKUP(Fact_Analitica[[#This Row], [Concepto Anterior]],Conceptos_Analítica_contraloría[#All],7,0),"")</f>
        <v/>
      </c>
      <c r="I1942" t="str">
        <f>+IFERROR(VLOOKUP(D1942,Conceptos_Analítica_contraloría[#All],2,0),"")</f>
        <v/>
      </c>
      <c r="J1942" s="84" t="str">
        <f>+IFERROR(VLOOKUP(D1942,Conceptos_Analítica_contraloría[#All],3,0),"")</f>
        <v/>
      </c>
    </row>
    <row r="1943" spans="3:10" ht="18.75" customHeight="1" x14ac:dyDescent="0.35">
      <c r="C1943" s="100" t="str">
        <f>IF(OR(Fact_Analitica[[#This Row], [Año]]="",Fact_Analitica[[#This Row], [Mes]]=""),"",DATE(A1943,MATCH(B1943,{"enero","febrero","marzo","abril","mayo","junio","julio","agosto","septiembre","octubre","noviembre","diciembre"},0)+1,0))</f>
        <v/>
      </c>
      <c r="E1943" t="str">
        <f>+IFERROR(VLOOKUP(Fact_Analitica[[#This Row], [Concepto Anterior]],Conceptos_Analítica_contraloría[#All],5,0),"")</f>
        <v/>
      </c>
      <c r="F1943" t="str">
        <f>+IFERROR(VLOOKUP(Fact_Analitica[[#This Row], [Concepto Anterior]],Conceptos_Analítica_contraloría[#All],7,0),"")</f>
        <v/>
      </c>
      <c r="I1943" t="str">
        <f>+IFERROR(VLOOKUP(D1943,Conceptos_Analítica_contraloría[#All],2,0),"")</f>
        <v/>
      </c>
      <c r="J1943" s="84" t="str">
        <f>+IFERROR(VLOOKUP(D1943,Conceptos_Analítica_contraloría[#All],3,0),"")</f>
        <v/>
      </c>
    </row>
    <row r="1944" spans="3:10" ht="18.75" customHeight="1" x14ac:dyDescent="0.35">
      <c r="C1944" s="100" t="str">
        <f>IF(OR(Fact_Analitica[[#This Row], [Año]]="",Fact_Analitica[[#This Row], [Mes]]=""),"",DATE(A1944,MATCH(B1944,{"enero","febrero","marzo","abril","mayo","junio","julio","agosto","septiembre","octubre","noviembre","diciembre"},0)+1,0))</f>
        <v/>
      </c>
      <c r="E1944" t="str">
        <f>+IFERROR(VLOOKUP(Fact_Analitica[[#This Row], [Concepto Anterior]],Conceptos_Analítica_contraloría[#All],5,0),"")</f>
        <v/>
      </c>
      <c r="F1944" t="str">
        <f>+IFERROR(VLOOKUP(Fact_Analitica[[#This Row], [Concepto Anterior]],Conceptos_Analítica_contraloría[#All],7,0),"")</f>
        <v/>
      </c>
      <c r="I1944" t="str">
        <f>+IFERROR(VLOOKUP(D1944,Conceptos_Analítica_contraloría[#All],2,0),"")</f>
        <v/>
      </c>
      <c r="J1944" s="84" t="str">
        <f>+IFERROR(VLOOKUP(D1944,Conceptos_Analítica_contraloría[#All],3,0),"")</f>
        <v/>
      </c>
    </row>
    <row r="1945" spans="3:10" ht="18.75" customHeight="1" x14ac:dyDescent="0.35">
      <c r="C1945" s="100" t="str">
        <f>IF(OR(Fact_Analitica[[#This Row], [Año]]="",Fact_Analitica[[#This Row], [Mes]]=""),"",DATE(A1945,MATCH(B1945,{"enero","febrero","marzo","abril","mayo","junio","julio","agosto","septiembre","octubre","noviembre","diciembre"},0)+1,0))</f>
        <v/>
      </c>
      <c r="E1945" t="str">
        <f>+IFERROR(VLOOKUP(Fact_Analitica[[#This Row], [Concepto Anterior]],Conceptos_Analítica_contraloría[#All],5,0),"")</f>
        <v/>
      </c>
      <c r="F1945" t="str">
        <f>+IFERROR(VLOOKUP(Fact_Analitica[[#This Row], [Concepto Anterior]],Conceptos_Analítica_contraloría[#All],7,0),"")</f>
        <v/>
      </c>
      <c r="I1945" t="str">
        <f>+IFERROR(VLOOKUP(D1945,Conceptos_Analítica_contraloría[#All],2,0),"")</f>
        <v/>
      </c>
      <c r="J1945" s="84" t="str">
        <f>+IFERROR(VLOOKUP(D1945,Conceptos_Analítica_contraloría[#All],3,0),"")</f>
        <v/>
      </c>
    </row>
    <row r="1946" spans="3:10" ht="18.75" customHeight="1" x14ac:dyDescent="0.35">
      <c r="C1946" s="100" t="str">
        <f>IF(OR(Fact_Analitica[[#This Row], [Año]]="",Fact_Analitica[[#This Row], [Mes]]=""),"",DATE(A1946,MATCH(B1946,{"enero","febrero","marzo","abril","mayo","junio","julio","agosto","septiembre","octubre","noviembre","diciembre"},0)+1,0))</f>
        <v/>
      </c>
      <c r="E1946" t="str">
        <f>+IFERROR(VLOOKUP(Fact_Analitica[[#This Row], [Concepto Anterior]],Conceptos_Analítica_contraloría[#All],5,0),"")</f>
        <v/>
      </c>
      <c r="F1946" t="str">
        <f>+IFERROR(VLOOKUP(Fact_Analitica[[#This Row], [Concepto Anterior]],Conceptos_Analítica_contraloría[#All],7,0),"")</f>
        <v/>
      </c>
      <c r="I1946" t="str">
        <f>+IFERROR(VLOOKUP(D1946,Conceptos_Analítica_contraloría[#All],2,0),"")</f>
        <v/>
      </c>
      <c r="J1946" s="84" t="str">
        <f>+IFERROR(VLOOKUP(D1946,Conceptos_Analítica_contraloría[#All],3,0),"")</f>
        <v/>
      </c>
    </row>
    <row r="1947" spans="3:10" ht="18.75" customHeight="1" x14ac:dyDescent="0.35">
      <c r="C1947" s="100" t="str">
        <f>IF(OR(Fact_Analitica[[#This Row], [Año]]="",Fact_Analitica[[#This Row], [Mes]]=""),"",DATE(A1947,MATCH(B1947,{"enero","febrero","marzo","abril","mayo","junio","julio","agosto","septiembre","octubre","noviembre","diciembre"},0)+1,0))</f>
        <v/>
      </c>
      <c r="E1947" t="str">
        <f>+IFERROR(VLOOKUP(Fact_Analitica[[#This Row], [Concepto Anterior]],Conceptos_Analítica_contraloría[#All],5,0),"")</f>
        <v/>
      </c>
      <c r="F1947" t="str">
        <f>+IFERROR(VLOOKUP(Fact_Analitica[[#This Row], [Concepto Anterior]],Conceptos_Analítica_contraloría[#All],7,0),"")</f>
        <v/>
      </c>
      <c r="I1947" t="str">
        <f>+IFERROR(VLOOKUP(D1947,Conceptos_Analítica_contraloría[#All],2,0),"")</f>
        <v/>
      </c>
      <c r="J1947" s="84" t="str">
        <f>+IFERROR(VLOOKUP(D1947,Conceptos_Analítica_contraloría[#All],3,0),"")</f>
        <v/>
      </c>
    </row>
    <row r="1948" spans="3:10" ht="18.75" customHeight="1" x14ac:dyDescent="0.35">
      <c r="C1948" s="100" t="str">
        <f>IF(OR(Fact_Analitica[[#This Row], [Año]]="",Fact_Analitica[[#This Row], [Mes]]=""),"",DATE(A1948,MATCH(B1948,{"enero","febrero","marzo","abril","mayo","junio","julio","agosto","septiembre","octubre","noviembre","diciembre"},0)+1,0))</f>
        <v/>
      </c>
      <c r="E1948" t="str">
        <f>+IFERROR(VLOOKUP(Fact_Analitica[[#This Row], [Concepto Anterior]],Conceptos_Analítica_contraloría[#All],5,0),"")</f>
        <v/>
      </c>
      <c r="F1948" t="str">
        <f>+IFERROR(VLOOKUP(Fact_Analitica[[#This Row], [Concepto Anterior]],Conceptos_Analítica_contraloría[#All],7,0),"")</f>
        <v/>
      </c>
      <c r="I1948" t="str">
        <f>+IFERROR(VLOOKUP(D1948,Conceptos_Analítica_contraloría[#All],2,0),"")</f>
        <v/>
      </c>
      <c r="J1948" s="84" t="str">
        <f>+IFERROR(VLOOKUP(D1948,Conceptos_Analítica_contraloría[#All],3,0),"")</f>
        <v/>
      </c>
    </row>
    <row r="1949" spans="3:10" ht="18.75" customHeight="1" x14ac:dyDescent="0.35">
      <c r="C1949" s="100" t="str">
        <f>IF(OR(Fact_Analitica[[#This Row], [Año]]="",Fact_Analitica[[#This Row], [Mes]]=""),"",DATE(A1949,MATCH(B1949,{"enero","febrero","marzo","abril","mayo","junio","julio","agosto","septiembre","octubre","noviembre","diciembre"},0)+1,0))</f>
        <v/>
      </c>
      <c r="E1949" t="str">
        <f>+IFERROR(VLOOKUP(Fact_Analitica[[#This Row], [Concepto Anterior]],Conceptos_Analítica_contraloría[#All],5,0),"")</f>
        <v/>
      </c>
      <c r="F1949" t="str">
        <f>+IFERROR(VLOOKUP(Fact_Analitica[[#This Row], [Concepto Anterior]],Conceptos_Analítica_contraloría[#All],7,0),"")</f>
        <v/>
      </c>
      <c r="I1949" t="str">
        <f>+IFERROR(VLOOKUP(D1949,Conceptos_Analítica_contraloría[#All],2,0),"")</f>
        <v/>
      </c>
      <c r="J1949" s="84" t="str">
        <f>+IFERROR(VLOOKUP(D1949,Conceptos_Analítica_contraloría[#All],3,0),"")</f>
        <v/>
      </c>
    </row>
    <row r="1950" spans="3:10" ht="18.75" customHeight="1" x14ac:dyDescent="0.35">
      <c r="C1950" s="100" t="str">
        <f>IF(OR(Fact_Analitica[[#This Row], [Año]]="",Fact_Analitica[[#This Row], [Mes]]=""),"",DATE(A1950,MATCH(B1950,{"enero","febrero","marzo","abril","mayo","junio","julio","agosto","septiembre","octubre","noviembre","diciembre"},0)+1,0))</f>
        <v/>
      </c>
      <c r="E1950" t="str">
        <f>+IFERROR(VLOOKUP(Fact_Analitica[[#This Row], [Concepto Anterior]],Conceptos_Analítica_contraloría[#All],5,0),"")</f>
        <v/>
      </c>
      <c r="F1950" t="str">
        <f>+IFERROR(VLOOKUP(Fact_Analitica[[#This Row], [Concepto Anterior]],Conceptos_Analítica_contraloría[#All],7,0),"")</f>
        <v/>
      </c>
      <c r="I1950" t="str">
        <f>+IFERROR(VLOOKUP(D1950,Conceptos_Analítica_contraloría[#All],2,0),"")</f>
        <v/>
      </c>
      <c r="J1950" s="84" t="str">
        <f>+IFERROR(VLOOKUP(D1950,Conceptos_Analítica_contraloría[#All],3,0),"")</f>
        <v/>
      </c>
    </row>
    <row r="1951" spans="3:10" ht="18.75" customHeight="1" x14ac:dyDescent="0.35">
      <c r="C1951" s="100" t="str">
        <f>IF(OR(Fact_Analitica[[#This Row], [Año]]="",Fact_Analitica[[#This Row], [Mes]]=""),"",DATE(A1951,MATCH(B1951,{"enero","febrero","marzo","abril","mayo","junio","julio","agosto","septiembre","octubre","noviembre","diciembre"},0)+1,0))</f>
        <v/>
      </c>
      <c r="E1951" t="str">
        <f>+IFERROR(VLOOKUP(Fact_Analitica[[#This Row], [Concepto Anterior]],Conceptos_Analítica_contraloría[#All],5,0),"")</f>
        <v/>
      </c>
      <c r="F1951" t="str">
        <f>+IFERROR(VLOOKUP(Fact_Analitica[[#This Row], [Concepto Anterior]],Conceptos_Analítica_contraloría[#All],7,0),"")</f>
        <v/>
      </c>
      <c r="I1951" t="str">
        <f>+IFERROR(VLOOKUP(D1951,Conceptos_Analítica_contraloría[#All],2,0),"")</f>
        <v/>
      </c>
      <c r="J1951" s="84" t="str">
        <f>+IFERROR(VLOOKUP(D1951,Conceptos_Analítica_contraloría[#All],3,0),"")</f>
        <v/>
      </c>
    </row>
    <row r="1952" spans="3:10" ht="18.75" customHeight="1" x14ac:dyDescent="0.35">
      <c r="C1952" s="100" t="str">
        <f>IF(OR(Fact_Analitica[[#This Row], [Año]]="",Fact_Analitica[[#This Row], [Mes]]=""),"",DATE(A1952,MATCH(B1952,{"enero","febrero","marzo","abril","mayo","junio","julio","agosto","septiembre","octubre","noviembre","diciembre"},0)+1,0))</f>
        <v/>
      </c>
      <c r="E1952" t="str">
        <f>+IFERROR(VLOOKUP(Fact_Analitica[[#This Row], [Concepto Anterior]],Conceptos_Analítica_contraloría[#All],5,0),"")</f>
        <v/>
      </c>
      <c r="F1952" t="str">
        <f>+IFERROR(VLOOKUP(Fact_Analitica[[#This Row], [Concepto Anterior]],Conceptos_Analítica_contraloría[#All],7,0),"")</f>
        <v/>
      </c>
      <c r="I1952" t="str">
        <f>+IFERROR(VLOOKUP(D1952,Conceptos_Analítica_contraloría[#All],2,0),"")</f>
        <v/>
      </c>
      <c r="J1952" s="84" t="str">
        <f>+IFERROR(VLOOKUP(D1952,Conceptos_Analítica_contraloría[#All],3,0),"")</f>
        <v/>
      </c>
    </row>
    <row r="1953" spans="3:10" ht="18.75" customHeight="1" x14ac:dyDescent="0.35">
      <c r="C1953" s="100" t="str">
        <f>IF(OR(Fact_Analitica[[#This Row], [Año]]="",Fact_Analitica[[#This Row], [Mes]]=""),"",DATE(A1953,MATCH(B1953,{"enero","febrero","marzo","abril","mayo","junio","julio","agosto","septiembre","octubre","noviembre","diciembre"},0)+1,0))</f>
        <v/>
      </c>
      <c r="E1953" t="str">
        <f>+IFERROR(VLOOKUP(Fact_Analitica[[#This Row], [Concepto Anterior]],Conceptos_Analítica_contraloría[#All],5,0),"")</f>
        <v/>
      </c>
      <c r="F1953" t="str">
        <f>+IFERROR(VLOOKUP(Fact_Analitica[[#This Row], [Concepto Anterior]],Conceptos_Analítica_contraloría[#All],7,0),"")</f>
        <v/>
      </c>
      <c r="I1953" t="str">
        <f>+IFERROR(VLOOKUP(D1953,Conceptos_Analítica_contraloría[#All],2,0),"")</f>
        <v/>
      </c>
      <c r="J1953" s="84" t="str">
        <f>+IFERROR(VLOOKUP(D1953,Conceptos_Analítica_contraloría[#All],3,0),"")</f>
        <v/>
      </c>
    </row>
    <row r="1954" spans="3:10" ht="18.75" customHeight="1" x14ac:dyDescent="0.35">
      <c r="C1954" s="100" t="str">
        <f>IF(OR(Fact_Analitica[[#This Row], [Año]]="",Fact_Analitica[[#This Row], [Mes]]=""),"",DATE(A1954,MATCH(B1954,{"enero","febrero","marzo","abril","mayo","junio","julio","agosto","septiembre","octubre","noviembre","diciembre"},0)+1,0))</f>
        <v/>
      </c>
      <c r="E1954" t="str">
        <f>+IFERROR(VLOOKUP(Fact_Analitica[[#This Row], [Concepto Anterior]],Conceptos_Analítica_contraloría[#All],5,0),"")</f>
        <v/>
      </c>
      <c r="F1954" t="str">
        <f>+IFERROR(VLOOKUP(Fact_Analitica[[#This Row], [Concepto Anterior]],Conceptos_Analítica_contraloría[#All],7,0),"")</f>
        <v/>
      </c>
      <c r="I1954" t="str">
        <f>+IFERROR(VLOOKUP(D1954,Conceptos_Analítica_contraloría[#All],2,0),"")</f>
        <v/>
      </c>
      <c r="J1954" s="84" t="str">
        <f>+IFERROR(VLOOKUP(D1954,Conceptos_Analítica_contraloría[#All],3,0),"")</f>
        <v/>
      </c>
    </row>
    <row r="1955" spans="3:10" ht="18.75" customHeight="1" x14ac:dyDescent="0.35">
      <c r="C1955" s="100" t="str">
        <f>IF(OR(Fact_Analitica[[#This Row], [Año]]="",Fact_Analitica[[#This Row], [Mes]]=""),"",DATE(A1955,MATCH(B1955,{"enero","febrero","marzo","abril","mayo","junio","julio","agosto","septiembre","octubre","noviembre","diciembre"},0)+1,0))</f>
        <v/>
      </c>
      <c r="E1955" t="str">
        <f>+IFERROR(VLOOKUP(Fact_Analitica[[#This Row], [Concepto Anterior]],Conceptos_Analítica_contraloría[#All],5,0),"")</f>
        <v/>
      </c>
      <c r="F1955" t="str">
        <f>+IFERROR(VLOOKUP(Fact_Analitica[[#This Row], [Concepto Anterior]],Conceptos_Analítica_contraloría[#All],7,0),"")</f>
        <v/>
      </c>
      <c r="I1955" t="str">
        <f>+IFERROR(VLOOKUP(D1955,Conceptos_Analítica_contraloría[#All],2,0),"")</f>
        <v/>
      </c>
      <c r="J1955" s="84" t="str">
        <f>+IFERROR(VLOOKUP(D1955,Conceptos_Analítica_contraloría[#All],3,0),"")</f>
        <v/>
      </c>
    </row>
    <row r="1956" spans="3:10" ht="18.75" customHeight="1" x14ac:dyDescent="0.35">
      <c r="C1956" s="100" t="str">
        <f>IF(OR(Fact_Analitica[[#This Row], [Año]]="",Fact_Analitica[[#This Row], [Mes]]=""),"",DATE(A1956,MATCH(B1956,{"enero","febrero","marzo","abril","mayo","junio","julio","agosto","septiembre","octubre","noviembre","diciembre"},0)+1,0))</f>
        <v/>
      </c>
      <c r="E1956" t="str">
        <f>+IFERROR(VLOOKUP(Fact_Analitica[[#This Row], [Concepto Anterior]],Conceptos_Analítica_contraloría[#All],5,0),"")</f>
        <v/>
      </c>
      <c r="F1956" t="str">
        <f>+IFERROR(VLOOKUP(Fact_Analitica[[#This Row], [Concepto Anterior]],Conceptos_Analítica_contraloría[#All],7,0),"")</f>
        <v/>
      </c>
      <c r="I1956" t="str">
        <f>+IFERROR(VLOOKUP(D1956,Conceptos_Analítica_contraloría[#All],2,0),"")</f>
        <v/>
      </c>
      <c r="J1956" s="84" t="str">
        <f>+IFERROR(VLOOKUP(D1956,Conceptos_Analítica_contraloría[#All],3,0),"")</f>
        <v/>
      </c>
    </row>
    <row r="1957" spans="3:10" ht="18.75" customHeight="1" x14ac:dyDescent="0.35">
      <c r="C1957" s="100" t="str">
        <f>IF(OR(Fact_Analitica[[#This Row], [Año]]="",Fact_Analitica[[#This Row], [Mes]]=""),"",DATE(A1957,MATCH(B1957,{"enero","febrero","marzo","abril","mayo","junio","julio","agosto","septiembre","octubre","noviembre","diciembre"},0)+1,0))</f>
        <v/>
      </c>
      <c r="E1957" t="str">
        <f>+IFERROR(VLOOKUP(Fact_Analitica[[#This Row], [Concepto Anterior]],Conceptos_Analítica_contraloría[#All],5,0),"")</f>
        <v/>
      </c>
      <c r="F1957" t="str">
        <f>+IFERROR(VLOOKUP(Fact_Analitica[[#This Row], [Concepto Anterior]],Conceptos_Analítica_contraloría[#All],7,0),"")</f>
        <v/>
      </c>
      <c r="I1957" t="str">
        <f>+IFERROR(VLOOKUP(D1957,Conceptos_Analítica_contraloría[#All],2,0),"")</f>
        <v/>
      </c>
      <c r="J1957" s="84" t="str">
        <f>+IFERROR(VLOOKUP(D1957,Conceptos_Analítica_contraloría[#All],3,0),"")</f>
        <v/>
      </c>
    </row>
    <row r="1958" spans="3:10" ht="18.75" customHeight="1" x14ac:dyDescent="0.35">
      <c r="C1958" s="100" t="str">
        <f>IF(OR(Fact_Analitica[[#This Row], [Año]]="",Fact_Analitica[[#This Row], [Mes]]=""),"",DATE(A1958,MATCH(B1958,{"enero","febrero","marzo","abril","mayo","junio","julio","agosto","septiembre","octubre","noviembre","diciembre"},0)+1,0))</f>
        <v/>
      </c>
      <c r="E1958" t="str">
        <f>+IFERROR(VLOOKUP(Fact_Analitica[[#This Row], [Concepto Anterior]],Conceptos_Analítica_contraloría[#All],5,0),"")</f>
        <v/>
      </c>
      <c r="F1958" t="str">
        <f>+IFERROR(VLOOKUP(Fact_Analitica[[#This Row], [Concepto Anterior]],Conceptos_Analítica_contraloría[#All],7,0),"")</f>
        <v/>
      </c>
      <c r="I1958" t="str">
        <f>+IFERROR(VLOOKUP(D1958,Conceptos_Analítica_contraloría[#All],2,0),"")</f>
        <v/>
      </c>
      <c r="J1958" s="84" t="str">
        <f>+IFERROR(VLOOKUP(D1958,Conceptos_Analítica_contraloría[#All],3,0),"")</f>
        <v/>
      </c>
    </row>
    <row r="1959" spans="3:10" ht="18.75" customHeight="1" x14ac:dyDescent="0.35">
      <c r="C1959" s="100" t="str">
        <f>IF(OR(Fact_Analitica[[#This Row], [Año]]="",Fact_Analitica[[#This Row], [Mes]]=""),"",DATE(A1959,MATCH(B1959,{"enero","febrero","marzo","abril","mayo","junio","julio","agosto","septiembre","octubre","noviembre","diciembre"},0)+1,0))</f>
        <v/>
      </c>
      <c r="E1959" t="str">
        <f>+IFERROR(VLOOKUP(Fact_Analitica[[#This Row], [Concepto Anterior]],Conceptos_Analítica_contraloría[#All],5,0),"")</f>
        <v/>
      </c>
      <c r="F1959" t="str">
        <f>+IFERROR(VLOOKUP(Fact_Analitica[[#This Row], [Concepto Anterior]],Conceptos_Analítica_contraloría[#All],7,0),"")</f>
        <v/>
      </c>
      <c r="I1959" t="str">
        <f>+IFERROR(VLOOKUP(D1959,Conceptos_Analítica_contraloría[#All],2,0),"")</f>
        <v/>
      </c>
      <c r="J1959" s="84" t="str">
        <f>+IFERROR(VLOOKUP(D1959,Conceptos_Analítica_contraloría[#All],3,0),"")</f>
        <v/>
      </c>
    </row>
    <row r="1960" spans="3:10" ht="18.75" customHeight="1" x14ac:dyDescent="0.35">
      <c r="C1960" s="100" t="str">
        <f>IF(OR(Fact_Analitica[[#This Row], [Año]]="",Fact_Analitica[[#This Row], [Mes]]=""),"",DATE(A1960,MATCH(B1960,{"enero","febrero","marzo","abril","mayo","junio","julio","agosto","septiembre","octubre","noviembre","diciembre"},0)+1,0))</f>
        <v/>
      </c>
      <c r="E1960" t="str">
        <f>+IFERROR(VLOOKUP(Fact_Analitica[[#This Row], [Concepto Anterior]],Conceptos_Analítica_contraloría[#All],5,0),"")</f>
        <v/>
      </c>
      <c r="F1960" t="str">
        <f>+IFERROR(VLOOKUP(Fact_Analitica[[#This Row], [Concepto Anterior]],Conceptos_Analítica_contraloría[#All],7,0),"")</f>
        <v/>
      </c>
      <c r="I1960" t="str">
        <f>+IFERROR(VLOOKUP(D1960,Conceptos_Analítica_contraloría[#All],2,0),"")</f>
        <v/>
      </c>
      <c r="J1960" s="84" t="str">
        <f>+IFERROR(VLOOKUP(D1960,Conceptos_Analítica_contraloría[#All],3,0),"")</f>
        <v/>
      </c>
    </row>
    <row r="1961" spans="3:10" ht="18.75" customHeight="1" x14ac:dyDescent="0.35">
      <c r="C1961" s="100" t="str">
        <f>IF(OR(Fact_Analitica[[#This Row], [Año]]="",Fact_Analitica[[#This Row], [Mes]]=""),"",DATE(A1961,MATCH(B1961,{"enero","febrero","marzo","abril","mayo","junio","julio","agosto","septiembre","octubre","noviembre","diciembre"},0)+1,0))</f>
        <v/>
      </c>
      <c r="E1961" t="str">
        <f>+IFERROR(VLOOKUP(Fact_Analitica[[#This Row], [Concepto Anterior]],Conceptos_Analítica_contraloría[#All],5,0),"")</f>
        <v/>
      </c>
      <c r="F1961" t="str">
        <f>+IFERROR(VLOOKUP(Fact_Analitica[[#This Row], [Concepto Anterior]],Conceptos_Analítica_contraloría[#All],7,0),"")</f>
        <v/>
      </c>
      <c r="I1961" t="str">
        <f>+IFERROR(VLOOKUP(D1961,Conceptos_Analítica_contraloría[#All],2,0),"")</f>
        <v/>
      </c>
      <c r="J1961" s="84" t="str">
        <f>+IFERROR(VLOOKUP(D1961,Conceptos_Analítica_contraloría[#All],3,0),"")</f>
        <v/>
      </c>
    </row>
    <row r="1962" spans="3:10" ht="18.75" customHeight="1" x14ac:dyDescent="0.35">
      <c r="C1962" s="100" t="str">
        <f>IF(OR(Fact_Analitica[[#This Row], [Año]]="",Fact_Analitica[[#This Row], [Mes]]=""),"",DATE(A1962,MATCH(B1962,{"enero","febrero","marzo","abril","mayo","junio","julio","agosto","septiembre","octubre","noviembre","diciembre"},0)+1,0))</f>
        <v/>
      </c>
      <c r="E1962" t="str">
        <f>+IFERROR(VLOOKUP(Fact_Analitica[[#This Row], [Concepto Anterior]],Conceptos_Analítica_contraloría[#All],5,0),"")</f>
        <v/>
      </c>
      <c r="F1962" t="str">
        <f>+IFERROR(VLOOKUP(Fact_Analitica[[#This Row], [Concepto Anterior]],Conceptos_Analítica_contraloría[#All],7,0),"")</f>
        <v/>
      </c>
      <c r="I1962" t="str">
        <f>+IFERROR(VLOOKUP(D1962,Conceptos_Analítica_contraloría[#All],2,0),"")</f>
        <v/>
      </c>
      <c r="J1962" s="84" t="str">
        <f>+IFERROR(VLOOKUP(D1962,Conceptos_Analítica_contraloría[#All],3,0),"")</f>
        <v/>
      </c>
    </row>
    <row r="1963" spans="3:10" ht="18.75" customHeight="1" x14ac:dyDescent="0.35">
      <c r="C1963" s="100" t="str">
        <f>IF(OR(Fact_Analitica[[#This Row], [Año]]="",Fact_Analitica[[#This Row], [Mes]]=""),"",DATE(A1963,MATCH(B1963,{"enero","febrero","marzo","abril","mayo","junio","julio","agosto","septiembre","octubre","noviembre","diciembre"},0)+1,0))</f>
        <v/>
      </c>
      <c r="E1963" t="str">
        <f>+IFERROR(VLOOKUP(Fact_Analitica[[#This Row], [Concepto Anterior]],Conceptos_Analítica_contraloría[#All],5,0),"")</f>
        <v/>
      </c>
      <c r="F1963" t="str">
        <f>+IFERROR(VLOOKUP(Fact_Analitica[[#This Row], [Concepto Anterior]],Conceptos_Analítica_contraloría[#All],7,0),"")</f>
        <v/>
      </c>
      <c r="I1963" t="str">
        <f>+IFERROR(VLOOKUP(D1963,Conceptos_Analítica_contraloría[#All],2,0),"")</f>
        <v/>
      </c>
      <c r="J1963" s="84" t="str">
        <f>+IFERROR(VLOOKUP(D1963,Conceptos_Analítica_contraloría[#All],3,0),"")</f>
        <v/>
      </c>
    </row>
    <row r="1964" spans="3:10" ht="18.75" customHeight="1" x14ac:dyDescent="0.35">
      <c r="C1964" s="100" t="str">
        <f>IF(OR(Fact_Analitica[[#This Row], [Año]]="",Fact_Analitica[[#This Row], [Mes]]=""),"",DATE(A1964,MATCH(B1964,{"enero","febrero","marzo","abril","mayo","junio","julio","agosto","septiembre","octubre","noviembre","diciembre"},0)+1,0))</f>
        <v/>
      </c>
      <c r="E1964" t="str">
        <f>+IFERROR(VLOOKUP(Fact_Analitica[[#This Row], [Concepto Anterior]],Conceptos_Analítica_contraloría[#All],5,0),"")</f>
        <v/>
      </c>
      <c r="F1964" t="str">
        <f>+IFERROR(VLOOKUP(Fact_Analitica[[#This Row], [Concepto Anterior]],Conceptos_Analítica_contraloría[#All],7,0),"")</f>
        <v/>
      </c>
      <c r="I1964" t="str">
        <f>+IFERROR(VLOOKUP(D1964,Conceptos_Analítica_contraloría[#All],2,0),"")</f>
        <v/>
      </c>
      <c r="J1964" s="84" t="str">
        <f>+IFERROR(VLOOKUP(D1964,Conceptos_Analítica_contraloría[#All],3,0),"")</f>
        <v/>
      </c>
    </row>
    <row r="1965" spans="3:10" ht="18.75" customHeight="1" x14ac:dyDescent="0.35">
      <c r="C1965" s="100" t="str">
        <f>IF(OR(Fact_Analitica[[#This Row], [Año]]="",Fact_Analitica[[#This Row], [Mes]]=""),"",DATE(A1965,MATCH(B1965,{"enero","febrero","marzo","abril","mayo","junio","julio","agosto","septiembre","octubre","noviembre","diciembre"},0)+1,0))</f>
        <v/>
      </c>
      <c r="E1965" t="str">
        <f>+IFERROR(VLOOKUP(Fact_Analitica[[#This Row], [Concepto Anterior]],Conceptos_Analítica_contraloría[#All],5,0),"")</f>
        <v/>
      </c>
      <c r="F1965" t="str">
        <f>+IFERROR(VLOOKUP(Fact_Analitica[[#This Row], [Concepto Anterior]],Conceptos_Analítica_contraloría[#All],7,0),"")</f>
        <v/>
      </c>
      <c r="I1965" t="str">
        <f>+IFERROR(VLOOKUP(D1965,Conceptos_Analítica_contraloría[#All],2,0),"")</f>
        <v/>
      </c>
      <c r="J1965" s="84" t="str">
        <f>+IFERROR(VLOOKUP(D1965,Conceptos_Analítica_contraloría[#All],3,0),"")</f>
        <v/>
      </c>
    </row>
    <row r="1966" spans="3:10" ht="18.75" customHeight="1" x14ac:dyDescent="0.35">
      <c r="C1966" s="100" t="str">
        <f>IF(OR(Fact_Analitica[[#This Row], [Año]]="",Fact_Analitica[[#This Row], [Mes]]=""),"",DATE(A1966,MATCH(B1966,{"enero","febrero","marzo","abril","mayo","junio","julio","agosto","septiembre","octubre","noviembre","diciembre"},0)+1,0))</f>
        <v/>
      </c>
      <c r="E1966" t="str">
        <f>+IFERROR(VLOOKUP(Fact_Analitica[[#This Row], [Concepto Anterior]],Conceptos_Analítica_contraloría[#All],5,0),"")</f>
        <v/>
      </c>
      <c r="F1966" t="str">
        <f>+IFERROR(VLOOKUP(Fact_Analitica[[#This Row], [Concepto Anterior]],Conceptos_Analítica_contraloría[#All],7,0),"")</f>
        <v/>
      </c>
      <c r="I1966" t="str">
        <f>+IFERROR(VLOOKUP(D1966,Conceptos_Analítica_contraloría[#All],2,0),"")</f>
        <v/>
      </c>
      <c r="J1966" s="84" t="str">
        <f>+IFERROR(VLOOKUP(D1966,Conceptos_Analítica_contraloría[#All],3,0),"")</f>
        <v/>
      </c>
    </row>
    <row r="1967" spans="3:10" ht="18.75" customHeight="1" x14ac:dyDescent="0.35">
      <c r="C1967" s="100" t="str">
        <f>IF(OR(Fact_Analitica[[#This Row], [Año]]="",Fact_Analitica[[#This Row], [Mes]]=""),"",DATE(A1967,MATCH(B1967,{"enero","febrero","marzo","abril","mayo","junio","julio","agosto","septiembre","octubre","noviembre","diciembre"},0)+1,0))</f>
        <v/>
      </c>
      <c r="E1967" t="str">
        <f>+IFERROR(VLOOKUP(Fact_Analitica[[#This Row], [Concepto Anterior]],Conceptos_Analítica_contraloría[#All],5,0),"")</f>
        <v/>
      </c>
      <c r="F1967" t="str">
        <f>+IFERROR(VLOOKUP(Fact_Analitica[[#This Row], [Concepto Anterior]],Conceptos_Analítica_contraloría[#All],7,0),"")</f>
        <v/>
      </c>
      <c r="I1967" t="str">
        <f>+IFERROR(VLOOKUP(D1967,Conceptos_Analítica_contraloría[#All],2,0),"")</f>
        <v/>
      </c>
      <c r="J1967" s="84" t="str">
        <f>+IFERROR(VLOOKUP(D1967,Conceptos_Analítica_contraloría[#All],3,0),"")</f>
        <v/>
      </c>
    </row>
    <row r="1968" spans="3:10" ht="18.75" customHeight="1" x14ac:dyDescent="0.35">
      <c r="C1968" s="100" t="str">
        <f>IF(OR(Fact_Analitica[[#This Row], [Año]]="",Fact_Analitica[[#This Row], [Mes]]=""),"",DATE(A1968,MATCH(B1968,{"enero","febrero","marzo","abril","mayo","junio","julio","agosto","septiembre","octubre","noviembre","diciembre"},0)+1,0))</f>
        <v/>
      </c>
      <c r="E1968" t="str">
        <f>+IFERROR(VLOOKUP(Fact_Analitica[[#This Row], [Concepto Anterior]],Conceptos_Analítica_contraloría[#All],5,0),"")</f>
        <v/>
      </c>
      <c r="F1968" t="str">
        <f>+IFERROR(VLOOKUP(Fact_Analitica[[#This Row], [Concepto Anterior]],Conceptos_Analítica_contraloría[#All],7,0),"")</f>
        <v/>
      </c>
      <c r="I1968" t="str">
        <f>+IFERROR(VLOOKUP(D1968,Conceptos_Analítica_contraloría[#All],2,0),"")</f>
        <v/>
      </c>
      <c r="J1968" s="84" t="str">
        <f>+IFERROR(VLOOKUP(D1968,Conceptos_Analítica_contraloría[#All],3,0),"")</f>
        <v/>
      </c>
    </row>
    <row r="1969" spans="3:10" ht="18.75" customHeight="1" x14ac:dyDescent="0.35">
      <c r="C1969" s="100" t="str">
        <f>IF(OR(Fact_Analitica[[#This Row], [Año]]="",Fact_Analitica[[#This Row], [Mes]]=""),"",DATE(A1969,MATCH(B1969,{"enero","febrero","marzo","abril","mayo","junio","julio","agosto","septiembre","octubre","noviembre","diciembre"},0)+1,0))</f>
        <v/>
      </c>
      <c r="E1969" t="str">
        <f>+IFERROR(VLOOKUP(Fact_Analitica[[#This Row], [Concepto Anterior]],Conceptos_Analítica_contraloría[#All],5,0),"")</f>
        <v/>
      </c>
      <c r="F1969" t="str">
        <f>+IFERROR(VLOOKUP(Fact_Analitica[[#This Row], [Concepto Anterior]],Conceptos_Analítica_contraloría[#All],7,0),"")</f>
        <v/>
      </c>
      <c r="I1969" t="str">
        <f>+IFERROR(VLOOKUP(D1969,Conceptos_Analítica_contraloría[#All],2,0),"")</f>
        <v/>
      </c>
      <c r="J1969" s="84" t="str">
        <f>+IFERROR(VLOOKUP(D1969,Conceptos_Analítica_contraloría[#All],3,0),"")</f>
        <v/>
      </c>
    </row>
    <row r="1970" spans="3:10" ht="18.75" customHeight="1" x14ac:dyDescent="0.35">
      <c r="C1970" s="100" t="str">
        <f>IF(OR(Fact_Analitica[[#This Row], [Año]]="",Fact_Analitica[[#This Row], [Mes]]=""),"",DATE(A1970,MATCH(B1970,{"enero","febrero","marzo","abril","mayo","junio","julio","agosto","septiembre","octubre","noviembre","diciembre"},0)+1,0))</f>
        <v/>
      </c>
      <c r="E1970" t="str">
        <f>+IFERROR(VLOOKUP(Fact_Analitica[[#This Row], [Concepto Anterior]],Conceptos_Analítica_contraloría[#All],5,0),"")</f>
        <v/>
      </c>
      <c r="F1970" t="str">
        <f>+IFERROR(VLOOKUP(Fact_Analitica[[#This Row], [Concepto Anterior]],Conceptos_Analítica_contraloría[#All],7,0),"")</f>
        <v/>
      </c>
      <c r="I1970" t="str">
        <f>+IFERROR(VLOOKUP(D1970,Conceptos_Analítica_contraloría[#All],2,0),"")</f>
        <v/>
      </c>
      <c r="J1970" s="84" t="str">
        <f>+IFERROR(VLOOKUP(D1970,Conceptos_Analítica_contraloría[#All],3,0),"")</f>
        <v/>
      </c>
    </row>
    <row r="1971" spans="3:10" ht="18.75" customHeight="1" x14ac:dyDescent="0.35">
      <c r="C1971" s="100" t="str">
        <f>IF(OR(Fact_Analitica[[#This Row], [Año]]="",Fact_Analitica[[#This Row], [Mes]]=""),"",DATE(A1971,MATCH(B1971,{"enero","febrero","marzo","abril","mayo","junio","julio","agosto","septiembre","octubre","noviembre","diciembre"},0)+1,0))</f>
        <v/>
      </c>
      <c r="E1971" t="str">
        <f>+IFERROR(VLOOKUP(Fact_Analitica[[#This Row], [Concepto Anterior]],Conceptos_Analítica_contraloría[#All],5,0),"")</f>
        <v/>
      </c>
      <c r="F1971" t="str">
        <f>+IFERROR(VLOOKUP(Fact_Analitica[[#This Row], [Concepto Anterior]],Conceptos_Analítica_contraloría[#All],7,0),"")</f>
        <v/>
      </c>
      <c r="I1971" t="str">
        <f>+IFERROR(VLOOKUP(D1971,Conceptos_Analítica_contraloría[#All],2,0),"")</f>
        <v/>
      </c>
      <c r="J1971" s="84" t="str">
        <f>+IFERROR(VLOOKUP(D1971,Conceptos_Analítica_contraloría[#All],3,0),"")</f>
        <v/>
      </c>
    </row>
    <row r="1972" spans="3:10" ht="18.75" customHeight="1" x14ac:dyDescent="0.35">
      <c r="C1972" s="100" t="str">
        <f>IF(OR(Fact_Analitica[[#This Row], [Año]]="",Fact_Analitica[[#This Row], [Mes]]=""),"",DATE(A1972,MATCH(B1972,{"enero","febrero","marzo","abril","mayo","junio","julio","agosto","septiembre","octubre","noviembre","diciembre"},0)+1,0))</f>
        <v/>
      </c>
      <c r="E1972" t="str">
        <f>+IFERROR(VLOOKUP(Fact_Analitica[[#This Row], [Concepto Anterior]],Conceptos_Analítica_contraloría[#All],5,0),"")</f>
        <v/>
      </c>
      <c r="F1972" t="str">
        <f>+IFERROR(VLOOKUP(Fact_Analitica[[#This Row], [Concepto Anterior]],Conceptos_Analítica_contraloría[#All],7,0),"")</f>
        <v/>
      </c>
      <c r="I1972" t="str">
        <f>+IFERROR(VLOOKUP(D1972,Conceptos_Analítica_contraloría[#All],2,0),"")</f>
        <v/>
      </c>
      <c r="J1972" s="84" t="str">
        <f>+IFERROR(VLOOKUP(D1972,Conceptos_Analítica_contraloría[#All],3,0),"")</f>
        <v/>
      </c>
    </row>
    <row r="1973" spans="3:10" ht="18.75" customHeight="1" x14ac:dyDescent="0.35">
      <c r="C1973" s="100" t="str">
        <f>IF(OR(Fact_Analitica[[#This Row], [Año]]="",Fact_Analitica[[#This Row], [Mes]]=""),"",DATE(A1973,MATCH(B1973,{"enero","febrero","marzo","abril","mayo","junio","julio","agosto","septiembre","octubre","noviembre","diciembre"},0)+1,0))</f>
        <v/>
      </c>
      <c r="E1973" t="str">
        <f>+IFERROR(VLOOKUP(Fact_Analitica[[#This Row], [Concepto Anterior]],Conceptos_Analítica_contraloría[#All],5,0),"")</f>
        <v/>
      </c>
      <c r="F1973" t="str">
        <f>+IFERROR(VLOOKUP(Fact_Analitica[[#This Row], [Concepto Anterior]],Conceptos_Analítica_contraloría[#All],7,0),"")</f>
        <v/>
      </c>
      <c r="I1973" t="str">
        <f>+IFERROR(VLOOKUP(D1973,Conceptos_Analítica_contraloría[#All],2,0),"")</f>
        <v/>
      </c>
      <c r="J1973" s="84" t="str">
        <f>+IFERROR(VLOOKUP(D1973,Conceptos_Analítica_contraloría[#All],3,0),"")</f>
        <v/>
      </c>
    </row>
    <row r="1974" spans="3:10" ht="18.75" customHeight="1" x14ac:dyDescent="0.35">
      <c r="C1974" s="100" t="str">
        <f>IF(OR(Fact_Analitica[[#This Row], [Año]]="",Fact_Analitica[[#This Row], [Mes]]=""),"",DATE(A1974,MATCH(B1974,{"enero","febrero","marzo","abril","mayo","junio","julio","agosto","septiembre","octubre","noviembre","diciembre"},0)+1,0))</f>
        <v/>
      </c>
      <c r="E1974" t="str">
        <f>+IFERROR(VLOOKUP(Fact_Analitica[[#This Row], [Concepto Anterior]],Conceptos_Analítica_contraloría[#All],5,0),"")</f>
        <v/>
      </c>
      <c r="F1974" t="str">
        <f>+IFERROR(VLOOKUP(Fact_Analitica[[#This Row], [Concepto Anterior]],Conceptos_Analítica_contraloría[#All],7,0),"")</f>
        <v/>
      </c>
      <c r="I1974" t="str">
        <f>+IFERROR(VLOOKUP(D1974,Conceptos_Analítica_contraloría[#All],2,0),"")</f>
        <v/>
      </c>
      <c r="J1974" s="84" t="str">
        <f>+IFERROR(VLOOKUP(D1974,Conceptos_Analítica_contraloría[#All],3,0),"")</f>
        <v/>
      </c>
    </row>
    <row r="1975" spans="3:10" ht="18.75" customHeight="1" x14ac:dyDescent="0.35">
      <c r="C1975" s="100" t="str">
        <f>IF(OR(Fact_Analitica[[#This Row], [Año]]="",Fact_Analitica[[#This Row], [Mes]]=""),"",DATE(A1975,MATCH(B1975,{"enero","febrero","marzo","abril","mayo","junio","julio","agosto","septiembre","octubre","noviembre","diciembre"},0)+1,0))</f>
        <v/>
      </c>
      <c r="E1975" t="str">
        <f>+IFERROR(VLOOKUP(Fact_Analitica[[#This Row], [Concepto Anterior]],Conceptos_Analítica_contraloría[#All],5,0),"")</f>
        <v/>
      </c>
      <c r="F1975" t="str">
        <f>+IFERROR(VLOOKUP(Fact_Analitica[[#This Row], [Concepto Anterior]],Conceptos_Analítica_contraloría[#All],7,0),"")</f>
        <v/>
      </c>
      <c r="I1975" t="str">
        <f>+IFERROR(VLOOKUP(D1975,Conceptos_Analítica_contraloría[#All],2,0),"")</f>
        <v/>
      </c>
      <c r="J1975" s="84" t="str">
        <f>+IFERROR(VLOOKUP(D1975,Conceptos_Analítica_contraloría[#All],3,0),"")</f>
        <v/>
      </c>
    </row>
    <row r="1976" spans="3:10" ht="18.75" customHeight="1" x14ac:dyDescent="0.35">
      <c r="C1976" s="100" t="str">
        <f>IF(OR(Fact_Analitica[[#This Row], [Año]]="",Fact_Analitica[[#This Row], [Mes]]=""),"",DATE(A1976,MATCH(B1976,{"enero","febrero","marzo","abril","mayo","junio","julio","agosto","septiembre","octubre","noviembre","diciembre"},0)+1,0))</f>
        <v/>
      </c>
      <c r="E1976" t="str">
        <f>+IFERROR(VLOOKUP(Fact_Analitica[[#This Row], [Concepto Anterior]],Conceptos_Analítica_contraloría[#All],5,0),"")</f>
        <v/>
      </c>
      <c r="F1976" t="str">
        <f>+IFERROR(VLOOKUP(Fact_Analitica[[#This Row], [Concepto Anterior]],Conceptos_Analítica_contraloría[#All],7,0),"")</f>
        <v/>
      </c>
      <c r="I1976" t="str">
        <f>+IFERROR(VLOOKUP(D1976,Conceptos_Analítica_contraloría[#All],2,0),"")</f>
        <v/>
      </c>
      <c r="J1976" s="84" t="str">
        <f>+IFERROR(VLOOKUP(D1976,Conceptos_Analítica_contraloría[#All],3,0),"")</f>
        <v/>
      </c>
    </row>
    <row r="1977" spans="3:10" ht="18.75" customHeight="1" x14ac:dyDescent="0.35">
      <c r="C1977" s="100" t="str">
        <f>IF(OR(Fact_Analitica[[#This Row], [Año]]="",Fact_Analitica[[#This Row], [Mes]]=""),"",DATE(A1977,MATCH(B1977,{"enero","febrero","marzo","abril","mayo","junio","julio","agosto","septiembre","octubre","noviembre","diciembre"},0)+1,0))</f>
        <v/>
      </c>
      <c r="E1977" t="str">
        <f>+IFERROR(VLOOKUP(Fact_Analitica[[#This Row], [Concepto Anterior]],Conceptos_Analítica_contraloría[#All],5,0),"")</f>
        <v/>
      </c>
      <c r="F1977" t="str">
        <f>+IFERROR(VLOOKUP(Fact_Analitica[[#This Row], [Concepto Anterior]],Conceptos_Analítica_contraloría[#All],7,0),"")</f>
        <v/>
      </c>
      <c r="I1977" t="str">
        <f>+IFERROR(VLOOKUP(D1977,Conceptos_Analítica_contraloría[#All],2,0),"")</f>
        <v/>
      </c>
      <c r="J1977" s="84" t="str">
        <f>+IFERROR(VLOOKUP(D1977,Conceptos_Analítica_contraloría[#All],3,0),"")</f>
        <v/>
      </c>
    </row>
    <row r="1978" spans="3:10" ht="18.75" customHeight="1" x14ac:dyDescent="0.35">
      <c r="C1978" s="100" t="str">
        <f>IF(OR(Fact_Analitica[[#This Row], [Año]]="",Fact_Analitica[[#This Row], [Mes]]=""),"",DATE(A1978,MATCH(B1978,{"enero","febrero","marzo","abril","mayo","junio","julio","agosto","septiembre","octubre","noviembre","diciembre"},0)+1,0))</f>
        <v/>
      </c>
      <c r="E1978" t="str">
        <f>+IFERROR(VLOOKUP(Fact_Analitica[[#This Row], [Concepto Anterior]],Conceptos_Analítica_contraloría[#All],5,0),"")</f>
        <v/>
      </c>
      <c r="F1978" t="str">
        <f>+IFERROR(VLOOKUP(Fact_Analitica[[#This Row], [Concepto Anterior]],Conceptos_Analítica_contraloría[#All],7,0),"")</f>
        <v/>
      </c>
      <c r="I1978" t="str">
        <f>+IFERROR(VLOOKUP(D1978,Conceptos_Analítica_contraloría[#All],2,0),"")</f>
        <v/>
      </c>
      <c r="J1978" s="84" t="str">
        <f>+IFERROR(VLOOKUP(D1978,Conceptos_Analítica_contraloría[#All],3,0),"")</f>
        <v/>
      </c>
    </row>
    <row r="1979" spans="3:10" ht="18.75" customHeight="1" x14ac:dyDescent="0.35">
      <c r="C1979" s="100" t="str">
        <f>IF(OR(Fact_Analitica[[#This Row], [Año]]="",Fact_Analitica[[#This Row], [Mes]]=""),"",DATE(A1979,MATCH(B1979,{"enero","febrero","marzo","abril","mayo","junio","julio","agosto","septiembre","octubre","noviembre","diciembre"},0)+1,0))</f>
        <v/>
      </c>
      <c r="E1979" t="str">
        <f>+IFERROR(VLOOKUP(Fact_Analitica[[#This Row], [Concepto Anterior]],Conceptos_Analítica_contraloría[#All],5,0),"")</f>
        <v/>
      </c>
      <c r="F1979" t="str">
        <f>+IFERROR(VLOOKUP(Fact_Analitica[[#This Row], [Concepto Anterior]],Conceptos_Analítica_contraloría[#All],7,0),"")</f>
        <v/>
      </c>
      <c r="I1979" t="str">
        <f>+IFERROR(VLOOKUP(D1979,Conceptos_Analítica_contraloría[#All],2,0),"")</f>
        <v/>
      </c>
      <c r="J1979" s="84" t="str">
        <f>+IFERROR(VLOOKUP(D1979,Conceptos_Analítica_contraloría[#All],3,0),"")</f>
        <v/>
      </c>
    </row>
    <row r="1980" spans="3:10" ht="18.75" customHeight="1" x14ac:dyDescent="0.35">
      <c r="C1980" s="100" t="str">
        <f>IF(OR(Fact_Analitica[[#This Row], [Año]]="",Fact_Analitica[[#This Row], [Mes]]=""),"",DATE(A1980,MATCH(B1980,{"enero","febrero","marzo","abril","mayo","junio","julio","agosto","septiembre","octubre","noviembre","diciembre"},0)+1,0))</f>
        <v/>
      </c>
      <c r="E1980" t="str">
        <f>+IFERROR(VLOOKUP(Fact_Analitica[[#This Row], [Concepto Anterior]],Conceptos_Analítica_contraloría[#All],5,0),"")</f>
        <v/>
      </c>
      <c r="F1980" t="str">
        <f>+IFERROR(VLOOKUP(Fact_Analitica[[#This Row], [Concepto Anterior]],Conceptos_Analítica_contraloría[#All],7,0),"")</f>
        <v/>
      </c>
      <c r="I1980" t="str">
        <f>+IFERROR(VLOOKUP(D1980,Conceptos_Analítica_contraloría[#All],2,0),"")</f>
        <v/>
      </c>
      <c r="J1980" s="84" t="str">
        <f>+IFERROR(VLOOKUP(D1980,Conceptos_Analítica_contraloría[#All],3,0),"")</f>
        <v/>
      </c>
    </row>
    <row r="1981" spans="3:10" ht="18.75" customHeight="1" x14ac:dyDescent="0.35">
      <c r="C1981" s="100" t="str">
        <f>IF(OR(Fact_Analitica[[#This Row], [Año]]="",Fact_Analitica[[#This Row], [Mes]]=""),"",DATE(A1981,MATCH(B1981,{"enero","febrero","marzo","abril","mayo","junio","julio","agosto","septiembre","octubre","noviembre","diciembre"},0)+1,0))</f>
        <v/>
      </c>
      <c r="E1981" t="str">
        <f>+IFERROR(VLOOKUP(Fact_Analitica[[#This Row], [Concepto Anterior]],Conceptos_Analítica_contraloría[#All],5,0),"")</f>
        <v/>
      </c>
      <c r="F1981" t="str">
        <f>+IFERROR(VLOOKUP(Fact_Analitica[[#This Row], [Concepto Anterior]],Conceptos_Analítica_contraloría[#All],7,0),"")</f>
        <v/>
      </c>
      <c r="I1981" t="str">
        <f>+IFERROR(VLOOKUP(D1981,Conceptos_Analítica_contraloría[#All],2,0),"")</f>
        <v/>
      </c>
      <c r="J1981" s="84" t="str">
        <f>+IFERROR(VLOOKUP(D1981,Conceptos_Analítica_contraloría[#All],3,0),"")</f>
        <v/>
      </c>
    </row>
    <row r="1982" spans="3:10" ht="18.75" customHeight="1" x14ac:dyDescent="0.35">
      <c r="C1982" s="100" t="str">
        <f>IF(OR(Fact_Analitica[[#This Row], [Año]]="",Fact_Analitica[[#This Row], [Mes]]=""),"",DATE(A1982,MATCH(B1982,{"enero","febrero","marzo","abril","mayo","junio","julio","agosto","septiembre","octubre","noviembre","diciembre"},0)+1,0))</f>
        <v/>
      </c>
      <c r="E1982" t="str">
        <f>+IFERROR(VLOOKUP(Fact_Analitica[[#This Row], [Concepto Anterior]],Conceptos_Analítica_contraloría[#All],5,0),"")</f>
        <v/>
      </c>
      <c r="F1982" t="str">
        <f>+IFERROR(VLOOKUP(Fact_Analitica[[#This Row], [Concepto Anterior]],Conceptos_Analítica_contraloría[#All],7,0),"")</f>
        <v/>
      </c>
      <c r="I1982" t="str">
        <f>+IFERROR(VLOOKUP(D1982,Conceptos_Analítica_contraloría[#All],2,0),"")</f>
        <v/>
      </c>
      <c r="J1982" s="84" t="str">
        <f>+IFERROR(VLOOKUP(D1982,Conceptos_Analítica_contraloría[#All],3,0),"")</f>
        <v/>
      </c>
    </row>
    <row r="1983" spans="3:10" ht="18.75" customHeight="1" x14ac:dyDescent="0.35">
      <c r="C1983" s="100" t="str">
        <f>IF(OR(Fact_Analitica[[#This Row], [Año]]="",Fact_Analitica[[#This Row], [Mes]]=""),"",DATE(A1983,MATCH(B1983,{"enero","febrero","marzo","abril","mayo","junio","julio","agosto","septiembre","octubre","noviembre","diciembre"},0)+1,0))</f>
        <v/>
      </c>
      <c r="E1983" t="str">
        <f>+IFERROR(VLOOKUP(Fact_Analitica[[#This Row], [Concepto Anterior]],Conceptos_Analítica_contraloría[#All],5,0),"")</f>
        <v/>
      </c>
      <c r="F1983" t="str">
        <f>+IFERROR(VLOOKUP(Fact_Analitica[[#This Row], [Concepto Anterior]],Conceptos_Analítica_contraloría[#All],7,0),"")</f>
        <v/>
      </c>
      <c r="I1983" t="str">
        <f>+IFERROR(VLOOKUP(D1983,Conceptos_Analítica_contraloría[#All],2,0),"")</f>
        <v/>
      </c>
      <c r="J1983" s="84" t="str">
        <f>+IFERROR(VLOOKUP(D1983,Conceptos_Analítica_contraloría[#All],3,0),"")</f>
        <v/>
      </c>
    </row>
    <row r="1984" spans="3:10" ht="18.75" customHeight="1" x14ac:dyDescent="0.35">
      <c r="C1984" s="100" t="str">
        <f>IF(OR(Fact_Analitica[[#This Row], [Año]]="",Fact_Analitica[[#This Row], [Mes]]=""),"",DATE(A1984,MATCH(B1984,{"enero","febrero","marzo","abril","mayo","junio","julio","agosto","septiembre","octubre","noviembre","diciembre"},0)+1,0))</f>
        <v/>
      </c>
      <c r="E1984" t="str">
        <f>+IFERROR(VLOOKUP(Fact_Analitica[[#This Row], [Concepto Anterior]],Conceptos_Analítica_contraloría[#All],5,0),"")</f>
        <v/>
      </c>
      <c r="F1984" t="str">
        <f>+IFERROR(VLOOKUP(Fact_Analitica[[#This Row], [Concepto Anterior]],Conceptos_Analítica_contraloría[#All],7,0),"")</f>
        <v/>
      </c>
      <c r="I1984" t="str">
        <f>+IFERROR(VLOOKUP(D1984,Conceptos_Analítica_contraloría[#All],2,0),"")</f>
        <v/>
      </c>
      <c r="J1984" s="84" t="str">
        <f>+IFERROR(VLOOKUP(D1984,Conceptos_Analítica_contraloría[#All],3,0),"")</f>
        <v/>
      </c>
    </row>
    <row r="1985" spans="3:10" ht="18.75" customHeight="1" x14ac:dyDescent="0.35">
      <c r="C1985" s="100" t="str">
        <f>IF(OR(Fact_Analitica[[#This Row], [Año]]="",Fact_Analitica[[#This Row], [Mes]]=""),"",DATE(A1985,MATCH(B1985,{"enero","febrero","marzo","abril","mayo","junio","julio","agosto","septiembre","octubre","noviembre","diciembre"},0)+1,0))</f>
        <v/>
      </c>
      <c r="E1985" t="str">
        <f>+IFERROR(VLOOKUP(Fact_Analitica[[#This Row], [Concepto Anterior]],Conceptos_Analítica_contraloría[#All],5,0),"")</f>
        <v/>
      </c>
      <c r="F1985" t="str">
        <f>+IFERROR(VLOOKUP(Fact_Analitica[[#This Row], [Concepto Anterior]],Conceptos_Analítica_contraloría[#All],7,0),"")</f>
        <v/>
      </c>
      <c r="I1985" t="str">
        <f>+IFERROR(VLOOKUP(D1985,Conceptos_Analítica_contraloría[#All],2,0),"")</f>
        <v/>
      </c>
      <c r="J1985" s="84" t="str">
        <f>+IFERROR(VLOOKUP(D1985,Conceptos_Analítica_contraloría[#All],3,0),"")</f>
        <v/>
      </c>
    </row>
    <row r="1986" spans="3:10" ht="18.75" customHeight="1" x14ac:dyDescent="0.35">
      <c r="C1986" s="100" t="str">
        <f>IF(OR(Fact_Analitica[[#This Row], [Año]]="",Fact_Analitica[[#This Row], [Mes]]=""),"",DATE(A1986,MATCH(B1986,{"enero","febrero","marzo","abril","mayo","junio","julio","agosto","septiembre","octubre","noviembre","diciembre"},0)+1,0))</f>
        <v/>
      </c>
      <c r="E1986" t="str">
        <f>+IFERROR(VLOOKUP(Fact_Analitica[[#This Row], [Concepto Anterior]],Conceptos_Analítica_contraloría[#All],5,0),"")</f>
        <v/>
      </c>
      <c r="F1986" t="str">
        <f>+IFERROR(VLOOKUP(Fact_Analitica[[#This Row], [Concepto Anterior]],Conceptos_Analítica_contraloría[#All],7,0),"")</f>
        <v/>
      </c>
      <c r="I1986" t="str">
        <f>+IFERROR(VLOOKUP(D1986,Conceptos_Analítica_contraloría[#All],2,0),"")</f>
        <v/>
      </c>
      <c r="J1986" s="84" t="str">
        <f>+IFERROR(VLOOKUP(D1986,Conceptos_Analítica_contraloría[#All],3,0),"")</f>
        <v/>
      </c>
    </row>
    <row r="1987" spans="3:10" ht="18.75" customHeight="1" x14ac:dyDescent="0.35">
      <c r="C1987" s="100" t="str">
        <f>IF(OR(Fact_Analitica[[#This Row], [Año]]="",Fact_Analitica[[#This Row], [Mes]]=""),"",DATE(A1987,MATCH(B1987,{"enero","febrero","marzo","abril","mayo","junio","julio","agosto","septiembre","octubre","noviembre","diciembre"},0)+1,0))</f>
        <v/>
      </c>
      <c r="E1987" t="str">
        <f>+IFERROR(VLOOKUP(Fact_Analitica[[#This Row], [Concepto Anterior]],Conceptos_Analítica_contraloría[#All],5,0),"")</f>
        <v/>
      </c>
      <c r="F1987" t="str">
        <f>+IFERROR(VLOOKUP(Fact_Analitica[[#This Row], [Concepto Anterior]],Conceptos_Analítica_contraloría[#All],7,0),"")</f>
        <v/>
      </c>
      <c r="I1987" t="str">
        <f>+IFERROR(VLOOKUP(D1987,Conceptos_Analítica_contraloría[#All],2,0),"")</f>
        <v/>
      </c>
      <c r="J1987" s="84" t="str">
        <f>+IFERROR(VLOOKUP(D1987,Conceptos_Analítica_contraloría[#All],3,0),"")</f>
        <v/>
      </c>
    </row>
    <row r="1988" spans="3:10" ht="18.75" customHeight="1" x14ac:dyDescent="0.35">
      <c r="C1988" s="100" t="str">
        <f>IF(OR(Fact_Analitica[[#This Row], [Año]]="",Fact_Analitica[[#This Row], [Mes]]=""),"",DATE(A1988,MATCH(B1988,{"enero","febrero","marzo","abril","mayo","junio","julio","agosto","septiembre","octubre","noviembre","diciembre"},0)+1,0))</f>
        <v/>
      </c>
      <c r="E1988" t="str">
        <f>+IFERROR(VLOOKUP(Fact_Analitica[[#This Row], [Concepto Anterior]],Conceptos_Analítica_contraloría[#All],5,0),"")</f>
        <v/>
      </c>
      <c r="F1988" t="str">
        <f>+IFERROR(VLOOKUP(Fact_Analitica[[#This Row], [Concepto Anterior]],Conceptos_Analítica_contraloría[#All],7,0),"")</f>
        <v/>
      </c>
      <c r="I1988" t="str">
        <f>+IFERROR(VLOOKUP(D1988,Conceptos_Analítica_contraloría[#All],2,0),"")</f>
        <v/>
      </c>
      <c r="J1988" s="84" t="str">
        <f>+IFERROR(VLOOKUP(D1988,Conceptos_Analítica_contraloría[#All],3,0),"")</f>
        <v/>
      </c>
    </row>
    <row r="1989" spans="3:10" ht="18.75" customHeight="1" x14ac:dyDescent="0.35">
      <c r="C1989" s="100" t="str">
        <f>IF(OR(Fact_Analitica[[#This Row], [Año]]="",Fact_Analitica[[#This Row], [Mes]]=""),"",DATE(A1989,MATCH(B1989,{"enero","febrero","marzo","abril","mayo","junio","julio","agosto","septiembre","octubre","noviembre","diciembre"},0)+1,0))</f>
        <v/>
      </c>
      <c r="E1989" t="str">
        <f>+IFERROR(VLOOKUP(Fact_Analitica[[#This Row], [Concepto Anterior]],Conceptos_Analítica_contraloría[#All],5,0),"")</f>
        <v/>
      </c>
      <c r="F1989" t="str">
        <f>+IFERROR(VLOOKUP(Fact_Analitica[[#This Row], [Concepto Anterior]],Conceptos_Analítica_contraloría[#All],7,0),"")</f>
        <v/>
      </c>
      <c r="I1989" t="str">
        <f>+IFERROR(VLOOKUP(D1989,Conceptos_Analítica_contraloría[#All],2,0),"")</f>
        <v/>
      </c>
      <c r="J1989" s="84" t="str">
        <f>+IFERROR(VLOOKUP(D1989,Conceptos_Analítica_contraloría[#All],3,0),"")</f>
        <v/>
      </c>
    </row>
    <row r="1990" spans="3:10" ht="18.75" customHeight="1" x14ac:dyDescent="0.35">
      <c r="C1990" s="100" t="str">
        <f>IF(OR(Fact_Analitica[[#This Row], [Año]]="",Fact_Analitica[[#This Row], [Mes]]=""),"",DATE(A1990,MATCH(B1990,{"enero","febrero","marzo","abril","mayo","junio","julio","agosto","septiembre","octubre","noviembre","diciembre"},0)+1,0))</f>
        <v/>
      </c>
      <c r="E1990" t="str">
        <f>+IFERROR(VLOOKUP(Fact_Analitica[[#This Row], [Concepto Anterior]],Conceptos_Analítica_contraloría[#All],5,0),"")</f>
        <v/>
      </c>
      <c r="F1990" t="str">
        <f>+IFERROR(VLOOKUP(Fact_Analitica[[#This Row], [Concepto Anterior]],Conceptos_Analítica_contraloría[#All],7,0),"")</f>
        <v/>
      </c>
      <c r="I1990" t="str">
        <f>+IFERROR(VLOOKUP(D1990,Conceptos_Analítica_contraloría[#All],2,0),"")</f>
        <v/>
      </c>
      <c r="J1990" s="84" t="str">
        <f>+IFERROR(VLOOKUP(D1990,Conceptos_Analítica_contraloría[#All],3,0),"")</f>
        <v/>
      </c>
    </row>
    <row r="1991" spans="3:10" ht="18.75" customHeight="1" x14ac:dyDescent="0.35">
      <c r="C1991" s="100" t="str">
        <f>IF(OR(Fact_Analitica[[#This Row], [Año]]="",Fact_Analitica[[#This Row], [Mes]]=""),"",DATE(A1991,MATCH(B1991,{"enero","febrero","marzo","abril","mayo","junio","julio","agosto","septiembre","octubre","noviembre","diciembre"},0)+1,0))</f>
        <v/>
      </c>
      <c r="E1991" t="str">
        <f>+IFERROR(VLOOKUP(Fact_Analitica[[#This Row], [Concepto Anterior]],Conceptos_Analítica_contraloría[#All],5,0),"")</f>
        <v/>
      </c>
      <c r="F1991" t="str">
        <f>+IFERROR(VLOOKUP(Fact_Analitica[[#This Row], [Concepto Anterior]],Conceptos_Analítica_contraloría[#All],7,0),"")</f>
        <v/>
      </c>
      <c r="I1991" t="str">
        <f>+IFERROR(VLOOKUP(D1991,Conceptos_Analítica_contraloría[#All],2,0),"")</f>
        <v/>
      </c>
      <c r="J1991" s="84" t="str">
        <f>+IFERROR(VLOOKUP(D1991,Conceptos_Analítica_contraloría[#All],3,0),"")</f>
        <v/>
      </c>
    </row>
    <row r="1992" spans="3:10" ht="18.75" customHeight="1" x14ac:dyDescent="0.35">
      <c r="C1992" s="100" t="str">
        <f>IF(OR(Fact_Analitica[[#This Row], [Año]]="",Fact_Analitica[[#This Row], [Mes]]=""),"",DATE(A1992,MATCH(B1992,{"enero","febrero","marzo","abril","mayo","junio","julio","agosto","septiembre","octubre","noviembre","diciembre"},0)+1,0))</f>
        <v/>
      </c>
      <c r="E1992" t="str">
        <f>+IFERROR(VLOOKUP(Fact_Analitica[[#This Row], [Concepto Anterior]],Conceptos_Analítica_contraloría[#All],5,0),"")</f>
        <v/>
      </c>
      <c r="F1992" t="str">
        <f>+IFERROR(VLOOKUP(Fact_Analitica[[#This Row], [Concepto Anterior]],Conceptos_Analítica_contraloría[#All],7,0),"")</f>
        <v/>
      </c>
      <c r="I1992" t="str">
        <f>+IFERROR(VLOOKUP(D1992,Conceptos_Analítica_contraloría[#All],2,0),"")</f>
        <v/>
      </c>
      <c r="J1992" s="84" t="str">
        <f>+IFERROR(VLOOKUP(D1992,Conceptos_Analítica_contraloría[#All],3,0),"")</f>
        <v/>
      </c>
    </row>
    <row r="1993" spans="3:10" ht="18.75" customHeight="1" x14ac:dyDescent="0.35">
      <c r="C1993" s="100" t="str">
        <f>IF(OR(Fact_Analitica[[#This Row], [Año]]="",Fact_Analitica[[#This Row], [Mes]]=""),"",DATE(A1993,MATCH(B1993,{"enero","febrero","marzo","abril","mayo","junio","julio","agosto","septiembre","octubre","noviembre","diciembre"},0)+1,0))</f>
        <v/>
      </c>
      <c r="E1993" t="str">
        <f>+IFERROR(VLOOKUP(Fact_Analitica[[#This Row], [Concepto Anterior]],Conceptos_Analítica_contraloría[#All],5,0),"")</f>
        <v/>
      </c>
      <c r="F1993" t="str">
        <f>+IFERROR(VLOOKUP(Fact_Analitica[[#This Row], [Concepto Anterior]],Conceptos_Analítica_contraloría[#All],7,0),"")</f>
        <v/>
      </c>
      <c r="I1993" t="str">
        <f>+IFERROR(VLOOKUP(D1993,Conceptos_Analítica_contraloría[#All],2,0),"")</f>
        <v/>
      </c>
      <c r="J1993" s="84" t="str">
        <f>+IFERROR(VLOOKUP(D1993,Conceptos_Analítica_contraloría[#All],3,0),"")</f>
        <v/>
      </c>
    </row>
    <row r="1994" spans="3:10" ht="18.75" customHeight="1" x14ac:dyDescent="0.35">
      <c r="C1994" s="100" t="str">
        <f>IF(OR(Fact_Analitica[[#This Row], [Año]]="",Fact_Analitica[[#This Row], [Mes]]=""),"",DATE(A1994,MATCH(B1994,{"enero","febrero","marzo","abril","mayo","junio","julio","agosto","septiembre","octubre","noviembre","diciembre"},0)+1,0))</f>
        <v/>
      </c>
      <c r="E1994" t="str">
        <f>+IFERROR(VLOOKUP(Fact_Analitica[[#This Row], [Concepto Anterior]],Conceptos_Analítica_contraloría[#All],5,0),"")</f>
        <v/>
      </c>
      <c r="F1994" t="str">
        <f>+IFERROR(VLOOKUP(Fact_Analitica[[#This Row], [Concepto Anterior]],Conceptos_Analítica_contraloría[#All],7,0),"")</f>
        <v/>
      </c>
      <c r="I1994" t="str">
        <f>+IFERROR(VLOOKUP(D1994,Conceptos_Analítica_contraloría[#All],2,0),"")</f>
        <v/>
      </c>
      <c r="J1994" s="84" t="str">
        <f>+IFERROR(VLOOKUP(D1994,Conceptos_Analítica_contraloría[#All],3,0),"")</f>
        <v/>
      </c>
    </row>
    <row r="1995" spans="3:10" ht="18.75" customHeight="1" x14ac:dyDescent="0.35">
      <c r="C1995" s="100" t="str">
        <f>IF(OR(Fact_Analitica[[#This Row], [Año]]="",Fact_Analitica[[#This Row], [Mes]]=""),"",DATE(A1995,MATCH(B1995,{"enero","febrero","marzo","abril","mayo","junio","julio","agosto","septiembre","octubre","noviembre","diciembre"},0)+1,0))</f>
        <v/>
      </c>
      <c r="E1995" t="str">
        <f>+IFERROR(VLOOKUP(Fact_Analitica[[#This Row], [Concepto Anterior]],Conceptos_Analítica_contraloría[#All],5,0),"")</f>
        <v/>
      </c>
      <c r="F1995" t="str">
        <f>+IFERROR(VLOOKUP(Fact_Analitica[[#This Row], [Concepto Anterior]],Conceptos_Analítica_contraloría[#All],7,0),"")</f>
        <v/>
      </c>
      <c r="I1995" t="str">
        <f>+IFERROR(VLOOKUP(D1995,Conceptos_Analítica_contraloría[#All],2,0),"")</f>
        <v/>
      </c>
      <c r="J1995" s="84" t="str">
        <f>+IFERROR(VLOOKUP(D1995,Conceptos_Analítica_contraloría[#All],3,0),"")</f>
        <v/>
      </c>
    </row>
    <row r="1996" spans="3:10" ht="18.75" customHeight="1" x14ac:dyDescent="0.35">
      <c r="C1996" s="100" t="str">
        <f>IF(OR(Fact_Analitica[[#This Row], [Año]]="",Fact_Analitica[[#This Row], [Mes]]=""),"",DATE(A1996,MATCH(B1996,{"enero","febrero","marzo","abril","mayo","junio","julio","agosto","septiembre","octubre","noviembre","diciembre"},0)+1,0))</f>
        <v/>
      </c>
      <c r="E1996" t="str">
        <f>+IFERROR(VLOOKUP(Fact_Analitica[[#This Row], [Concepto Anterior]],Conceptos_Analítica_contraloría[#All],5,0),"")</f>
        <v/>
      </c>
      <c r="F1996" t="str">
        <f>+IFERROR(VLOOKUP(Fact_Analitica[[#This Row], [Concepto Anterior]],Conceptos_Analítica_contraloría[#All],7,0),"")</f>
        <v/>
      </c>
      <c r="I1996" t="str">
        <f>+IFERROR(VLOOKUP(D1996,Conceptos_Analítica_contraloría[#All],2,0),"")</f>
        <v/>
      </c>
      <c r="J1996" s="84" t="str">
        <f>+IFERROR(VLOOKUP(D1996,Conceptos_Analítica_contraloría[#All],3,0),"")</f>
        <v/>
      </c>
    </row>
    <row r="1997" spans="3:10" ht="18.75" customHeight="1" x14ac:dyDescent="0.35">
      <c r="C1997" s="100" t="str">
        <f>IF(OR(Fact_Analitica[[#This Row], [Año]]="",Fact_Analitica[[#This Row], [Mes]]=""),"",DATE(A1997,MATCH(B1997,{"enero","febrero","marzo","abril","mayo","junio","julio","agosto","septiembre","octubre","noviembre","diciembre"},0)+1,0))</f>
        <v/>
      </c>
      <c r="E1997" t="str">
        <f>+IFERROR(VLOOKUP(Fact_Analitica[[#This Row], [Concepto Anterior]],Conceptos_Analítica_contraloría[#All],5,0),"")</f>
        <v/>
      </c>
      <c r="F1997" t="str">
        <f>+IFERROR(VLOOKUP(Fact_Analitica[[#This Row], [Concepto Anterior]],Conceptos_Analítica_contraloría[#All],7,0),"")</f>
        <v/>
      </c>
      <c r="I1997" t="str">
        <f>+IFERROR(VLOOKUP(D1997,Conceptos_Analítica_contraloría[#All],2,0),"")</f>
        <v/>
      </c>
      <c r="J1997" s="84" t="str">
        <f>+IFERROR(VLOOKUP(D1997,Conceptos_Analítica_contraloría[#All],3,0),"")</f>
        <v/>
      </c>
    </row>
    <row r="1998" spans="3:10" ht="18.75" customHeight="1" x14ac:dyDescent="0.35">
      <c r="C1998" s="100" t="str">
        <f>IF(OR(Fact_Analitica[[#This Row], [Año]]="",Fact_Analitica[[#This Row], [Mes]]=""),"",DATE(A1998,MATCH(B1998,{"enero","febrero","marzo","abril","mayo","junio","julio","agosto","septiembre","octubre","noviembre","diciembre"},0)+1,0))</f>
        <v/>
      </c>
      <c r="E1998" t="str">
        <f>+IFERROR(VLOOKUP(Fact_Analitica[[#This Row], [Concepto Anterior]],Conceptos_Analítica_contraloría[#All],5,0),"")</f>
        <v/>
      </c>
      <c r="F1998" t="str">
        <f>+IFERROR(VLOOKUP(Fact_Analitica[[#This Row], [Concepto Anterior]],Conceptos_Analítica_contraloría[#All],7,0),"")</f>
        <v/>
      </c>
      <c r="I1998" t="str">
        <f>+IFERROR(VLOOKUP(D1998,Conceptos_Analítica_contraloría[#All],2,0),"")</f>
        <v/>
      </c>
      <c r="J1998" s="84" t="str">
        <f>+IFERROR(VLOOKUP(D1998,Conceptos_Analítica_contraloría[#All],3,0),"")</f>
        <v/>
      </c>
    </row>
    <row r="1999" spans="3:10" ht="18.75" customHeight="1" x14ac:dyDescent="0.35">
      <c r="C1999" s="100" t="str">
        <f>IF(OR(Fact_Analitica[[#This Row], [Año]]="",Fact_Analitica[[#This Row], [Mes]]=""),"",DATE(A1999,MATCH(B1999,{"enero","febrero","marzo","abril","mayo","junio","julio","agosto","septiembre","octubre","noviembre","diciembre"},0)+1,0))</f>
        <v/>
      </c>
      <c r="E1999" t="str">
        <f>+IFERROR(VLOOKUP(Fact_Analitica[[#This Row], [Concepto Anterior]],Conceptos_Analítica_contraloría[#All],5,0),"")</f>
        <v/>
      </c>
      <c r="F1999" t="str">
        <f>+IFERROR(VLOOKUP(Fact_Analitica[[#This Row], [Concepto Anterior]],Conceptos_Analítica_contraloría[#All],7,0),"")</f>
        <v/>
      </c>
      <c r="I1999" t="str">
        <f>+IFERROR(VLOOKUP(D1999,Conceptos_Analítica_contraloría[#All],2,0),"")</f>
        <v/>
      </c>
      <c r="J1999" s="84" t="str">
        <f>+IFERROR(VLOOKUP(D1999,Conceptos_Analítica_contraloría[#All],3,0),"")</f>
        <v/>
      </c>
    </row>
    <row r="2000" spans="3:10" ht="18.75" customHeight="1" x14ac:dyDescent="0.35">
      <c r="C2000" s="100" t="str">
        <f>IF(OR(Fact_Analitica[[#This Row], [Año]]="",Fact_Analitica[[#This Row], [Mes]]=""),"",DATE(A2000,MATCH(B2000,{"enero","febrero","marzo","abril","mayo","junio","julio","agosto","septiembre","octubre","noviembre","diciembre"},0)+1,0))</f>
        <v/>
      </c>
      <c r="E2000" t="str">
        <f>+IFERROR(VLOOKUP(Fact_Analitica[[#This Row], [Concepto Anterior]],Conceptos_Analítica_contraloría[#All],5,0),"")</f>
        <v/>
      </c>
      <c r="F2000" t="str">
        <f>+IFERROR(VLOOKUP(Fact_Analitica[[#This Row], [Concepto Anterior]],Conceptos_Analítica_contraloría[#All],7,0),"")</f>
        <v/>
      </c>
      <c r="I2000" t="str">
        <f>+IFERROR(VLOOKUP(D2000,Conceptos_Analítica_contraloría[#All],2,0),"")</f>
        <v/>
      </c>
      <c r="J2000" s="84" t="str">
        <f>+IFERROR(VLOOKUP(D2000,Conceptos_Analítica_contraloría[#All],3,0),"")</f>
        <v/>
      </c>
    </row>
    <row r="2001" spans="3:10" ht="18.75" customHeight="1" x14ac:dyDescent="0.35">
      <c r="C2001" s="100" t="str">
        <f>IF(OR(Fact_Analitica[[#This Row], [Año]]="",Fact_Analitica[[#This Row], [Mes]]=""),"",DATE(A2001,MATCH(B2001,{"enero","febrero","marzo","abril","mayo","junio","julio","agosto","septiembre","octubre","noviembre","diciembre"},0)+1,0))</f>
        <v/>
      </c>
      <c r="E2001" t="str">
        <f>+IFERROR(VLOOKUP(Fact_Analitica[[#This Row], [Concepto Anterior]],Conceptos_Analítica_contraloría[#All],5,0),"")</f>
        <v/>
      </c>
      <c r="F2001" t="str">
        <f>+IFERROR(VLOOKUP(Fact_Analitica[[#This Row], [Concepto Anterior]],Conceptos_Analítica_contraloría[#All],7,0),"")</f>
        <v/>
      </c>
      <c r="I2001" t="str">
        <f>+IFERROR(VLOOKUP(D2001,Conceptos_Analítica_contraloría[#All],2,0),"")</f>
        <v/>
      </c>
      <c r="J2001" s="84" t="str">
        <f>+IFERROR(VLOOKUP(D2001,Conceptos_Analítica_contraloría[#All],3,0),"")</f>
        <v/>
      </c>
    </row>
    <row r="2002" spans="3:10" ht="18.75" customHeight="1" x14ac:dyDescent="0.35">
      <c r="C2002" s="100" t="str">
        <f>IF(OR(Fact_Analitica[[#This Row], [Año]]="",Fact_Analitica[[#This Row], [Mes]]=""),"",DATE(A2002,MATCH(B2002,{"enero","febrero","marzo","abril","mayo","junio","julio","agosto","septiembre","octubre","noviembre","diciembre"},0)+1,0))</f>
        <v/>
      </c>
      <c r="E2002" t="str">
        <f>+IFERROR(VLOOKUP(Fact_Analitica[[#This Row], [Concepto Anterior]],Conceptos_Analítica_contraloría[#All],5,0),"")</f>
        <v/>
      </c>
      <c r="F2002" t="str">
        <f>+IFERROR(VLOOKUP(Fact_Analitica[[#This Row], [Concepto Anterior]],Conceptos_Analítica_contraloría[#All],7,0),"")</f>
        <v/>
      </c>
      <c r="I2002" t="str">
        <f>+IFERROR(VLOOKUP(D2002,Conceptos_Analítica_contraloría[#All],2,0),"")</f>
        <v/>
      </c>
      <c r="J2002" s="84" t="str">
        <f>+IFERROR(VLOOKUP(D2002,Conceptos_Analítica_contraloría[#All],3,0),"")</f>
        <v/>
      </c>
    </row>
    <row r="2003" spans="3:10" ht="18.75" customHeight="1" x14ac:dyDescent="0.35">
      <c r="C2003" s="100" t="str">
        <f>IF(OR(Fact_Analitica[[#This Row], [Año]]="",Fact_Analitica[[#This Row], [Mes]]=""),"",DATE(A2003,MATCH(B2003,{"enero","febrero","marzo","abril","mayo","junio","julio","agosto","septiembre","octubre","noviembre","diciembre"},0)+1,0))</f>
        <v/>
      </c>
      <c r="E2003" t="str">
        <f>+IFERROR(VLOOKUP(Fact_Analitica[[#This Row], [Concepto Anterior]],Conceptos_Analítica_contraloría[#All],5,0),"")</f>
        <v/>
      </c>
      <c r="F2003" t="str">
        <f>+IFERROR(VLOOKUP(Fact_Analitica[[#This Row], [Concepto Anterior]],Conceptos_Analítica_contraloría[#All],7,0),"")</f>
        <v/>
      </c>
      <c r="I2003" t="str">
        <f>+IFERROR(VLOOKUP(D2003,Conceptos_Analítica_contraloría[#All],2,0),"")</f>
        <v/>
      </c>
      <c r="J2003" s="84" t="str">
        <f>+IFERROR(VLOOKUP(D2003,Conceptos_Analítica_contraloría[#All],3,0),"")</f>
        <v/>
      </c>
    </row>
    <row r="2004" spans="3:10" ht="18.75" customHeight="1" x14ac:dyDescent="0.35">
      <c r="C2004" s="100" t="str">
        <f>IF(OR(Fact_Analitica[[#This Row], [Año]]="",Fact_Analitica[[#This Row], [Mes]]=""),"",DATE(A2004,MATCH(B2004,{"enero","febrero","marzo","abril","mayo","junio","julio","agosto","septiembre","octubre","noviembre","diciembre"},0)+1,0))</f>
        <v/>
      </c>
      <c r="E2004" t="str">
        <f>+IFERROR(VLOOKUP(Fact_Analitica[[#This Row], [Concepto Anterior]],Conceptos_Analítica_contraloría[#All],5,0),"")</f>
        <v/>
      </c>
      <c r="F2004" t="str">
        <f>+IFERROR(VLOOKUP(Fact_Analitica[[#This Row], [Concepto Anterior]],Conceptos_Analítica_contraloría[#All],7,0),"")</f>
        <v/>
      </c>
      <c r="I2004" t="str">
        <f>+IFERROR(VLOOKUP(D2004,Conceptos_Analítica_contraloría[#All],2,0),"")</f>
        <v/>
      </c>
      <c r="J2004" s="84" t="str">
        <f>+IFERROR(VLOOKUP(D2004,Conceptos_Analítica_contraloría[#All],3,0),"")</f>
        <v/>
      </c>
    </row>
    <row r="2005" spans="3:10" ht="18.75" customHeight="1" x14ac:dyDescent="0.35">
      <c r="C2005" s="100" t="str">
        <f>IF(OR(Fact_Analitica[[#This Row], [Año]]="",Fact_Analitica[[#This Row], [Mes]]=""),"",DATE(A2005,MATCH(B2005,{"enero","febrero","marzo","abril","mayo","junio","julio","agosto","septiembre","octubre","noviembre","diciembre"},0)+1,0))</f>
        <v/>
      </c>
      <c r="E2005" t="str">
        <f>+IFERROR(VLOOKUP(Fact_Analitica[[#This Row], [Concepto Anterior]],Conceptos_Analítica_contraloría[#All],5,0),"")</f>
        <v/>
      </c>
      <c r="F2005" t="str">
        <f>+IFERROR(VLOOKUP(Fact_Analitica[[#This Row], [Concepto Anterior]],Conceptos_Analítica_contraloría[#All],7,0),"")</f>
        <v/>
      </c>
      <c r="I2005" t="str">
        <f>+IFERROR(VLOOKUP(D2005,Conceptos_Analítica_contraloría[#All],2,0),"")</f>
        <v/>
      </c>
      <c r="J2005" s="84" t="str">
        <f>+IFERROR(VLOOKUP(D2005,Conceptos_Analítica_contraloría[#All],3,0),"")</f>
        <v/>
      </c>
    </row>
    <row r="2006" spans="3:10" ht="18.75" customHeight="1" x14ac:dyDescent="0.35">
      <c r="C2006" s="100" t="str">
        <f>IF(OR(Fact_Analitica[[#This Row], [Año]]="",Fact_Analitica[[#This Row], [Mes]]=""),"",DATE(A2006,MATCH(B2006,{"enero","febrero","marzo","abril","mayo","junio","julio","agosto","septiembre","octubre","noviembre","diciembre"},0)+1,0))</f>
        <v/>
      </c>
      <c r="E2006" t="str">
        <f>+IFERROR(VLOOKUP(Fact_Analitica[[#This Row], [Concepto Anterior]],Conceptos_Analítica_contraloría[#All],5,0),"")</f>
        <v/>
      </c>
      <c r="F2006" t="str">
        <f>+IFERROR(VLOOKUP(Fact_Analitica[[#This Row], [Concepto Anterior]],Conceptos_Analítica_contraloría[#All],7,0),"")</f>
        <v/>
      </c>
      <c r="I2006" t="str">
        <f>+IFERROR(VLOOKUP(D2006,Conceptos_Analítica_contraloría[#All],2,0),"")</f>
        <v/>
      </c>
      <c r="J2006" s="84" t="str">
        <f>+IFERROR(VLOOKUP(D2006,Conceptos_Analítica_contraloría[#All],3,0),"")</f>
        <v/>
      </c>
    </row>
    <row r="2007" spans="3:10" ht="18.75" customHeight="1" x14ac:dyDescent="0.35">
      <c r="C2007" s="100" t="str">
        <f>IF(OR(Fact_Analitica[[#This Row], [Año]]="",Fact_Analitica[[#This Row], [Mes]]=""),"",DATE(A2007,MATCH(B2007,{"enero","febrero","marzo","abril","mayo","junio","julio","agosto","septiembre","octubre","noviembre","diciembre"},0)+1,0))</f>
        <v/>
      </c>
      <c r="E2007" t="str">
        <f>+IFERROR(VLOOKUP(Fact_Analitica[[#This Row], [Concepto Anterior]],Conceptos_Analítica_contraloría[#All],5,0),"")</f>
        <v/>
      </c>
      <c r="F2007" t="str">
        <f>+IFERROR(VLOOKUP(Fact_Analitica[[#This Row], [Concepto Anterior]],Conceptos_Analítica_contraloría[#All],7,0),"")</f>
        <v/>
      </c>
      <c r="I2007" t="str">
        <f>+IFERROR(VLOOKUP(D2007,Conceptos_Analítica_contraloría[#All],2,0),"")</f>
        <v/>
      </c>
      <c r="J2007" s="84" t="str">
        <f>+IFERROR(VLOOKUP(D2007,Conceptos_Analítica_contraloría[#All],3,0),"")</f>
        <v/>
      </c>
    </row>
    <row r="2008" spans="3:10" ht="18.75" customHeight="1" x14ac:dyDescent="0.35">
      <c r="C2008" s="100" t="str">
        <f>IF(OR(Fact_Analitica[[#This Row], [Año]]="",Fact_Analitica[[#This Row], [Mes]]=""),"",DATE(A2008,MATCH(B2008,{"enero","febrero","marzo","abril","mayo","junio","julio","agosto","septiembre","octubre","noviembre","diciembre"},0)+1,0))</f>
        <v/>
      </c>
      <c r="E2008" t="str">
        <f>+IFERROR(VLOOKUP(Fact_Analitica[[#This Row], [Concepto Anterior]],Conceptos_Analítica_contraloría[#All],5,0),"")</f>
        <v/>
      </c>
      <c r="F2008" t="str">
        <f>+IFERROR(VLOOKUP(Fact_Analitica[[#This Row], [Concepto Anterior]],Conceptos_Analítica_contraloría[#All],7,0),"")</f>
        <v/>
      </c>
      <c r="I2008" t="str">
        <f>+IFERROR(VLOOKUP(D2008,Conceptos_Analítica_contraloría[#All],2,0),"")</f>
        <v/>
      </c>
      <c r="J2008" s="84" t="str">
        <f>+IFERROR(VLOOKUP(D2008,Conceptos_Analítica_contraloría[#All],3,0),"")</f>
        <v/>
      </c>
    </row>
    <row r="2009" spans="3:10" ht="18.75" customHeight="1" x14ac:dyDescent="0.35">
      <c r="C2009" s="100" t="str">
        <f>IF(OR(Fact_Analitica[[#This Row], [Año]]="",Fact_Analitica[[#This Row], [Mes]]=""),"",DATE(A2009,MATCH(B2009,{"enero","febrero","marzo","abril","mayo","junio","julio","agosto","septiembre","octubre","noviembre","diciembre"},0)+1,0))</f>
        <v/>
      </c>
      <c r="E2009" t="str">
        <f>+IFERROR(VLOOKUP(Fact_Analitica[[#This Row], [Concepto Anterior]],Conceptos_Analítica_contraloría[#All],5,0),"")</f>
        <v/>
      </c>
      <c r="F2009" t="str">
        <f>+IFERROR(VLOOKUP(Fact_Analitica[[#This Row], [Concepto Anterior]],Conceptos_Analítica_contraloría[#All],7,0),"")</f>
        <v/>
      </c>
      <c r="I2009" t="str">
        <f>+IFERROR(VLOOKUP(D2009,Conceptos_Analítica_contraloría[#All],2,0),"")</f>
        <v/>
      </c>
      <c r="J2009" s="84" t="str">
        <f>+IFERROR(VLOOKUP(D2009,Conceptos_Analítica_contraloría[#All],3,0),"")</f>
        <v/>
      </c>
    </row>
    <row r="2010" spans="3:10" ht="18.75" customHeight="1" x14ac:dyDescent="0.35">
      <c r="C2010" s="100" t="str">
        <f>IF(OR(Fact_Analitica[[#This Row], [Año]]="",Fact_Analitica[[#This Row], [Mes]]=""),"",DATE(A2010,MATCH(B2010,{"enero","febrero","marzo","abril","mayo","junio","julio","agosto","septiembre","octubre","noviembre","diciembre"},0)+1,0))</f>
        <v/>
      </c>
      <c r="E2010" t="str">
        <f>+IFERROR(VLOOKUP(Fact_Analitica[[#This Row], [Concepto Anterior]],Conceptos_Analítica_contraloría[#All],5,0),"")</f>
        <v/>
      </c>
      <c r="F2010" t="str">
        <f>+IFERROR(VLOOKUP(Fact_Analitica[[#This Row], [Concepto Anterior]],Conceptos_Analítica_contraloría[#All],7,0),"")</f>
        <v/>
      </c>
      <c r="I2010" t="str">
        <f>+IFERROR(VLOOKUP(D2010,Conceptos_Analítica_contraloría[#All],2,0),"")</f>
        <v/>
      </c>
      <c r="J2010" s="84" t="str">
        <f>+IFERROR(VLOOKUP(D2010,Conceptos_Analítica_contraloría[#All],3,0),"")</f>
        <v/>
      </c>
    </row>
    <row r="2011" spans="3:10" ht="18.75" customHeight="1" x14ac:dyDescent="0.35">
      <c r="C2011" s="100" t="str">
        <f>IF(OR(Fact_Analitica[[#This Row], [Año]]="",Fact_Analitica[[#This Row], [Mes]]=""),"",DATE(A2011,MATCH(B2011,{"enero","febrero","marzo","abril","mayo","junio","julio","agosto","septiembre","octubre","noviembre","diciembre"},0)+1,0))</f>
        <v/>
      </c>
      <c r="E2011" t="str">
        <f>+IFERROR(VLOOKUP(Fact_Analitica[[#This Row], [Concepto Anterior]],Conceptos_Analítica_contraloría[#All],5,0),"")</f>
        <v/>
      </c>
      <c r="F2011" t="str">
        <f>+IFERROR(VLOOKUP(Fact_Analitica[[#This Row], [Concepto Anterior]],Conceptos_Analítica_contraloría[#All],7,0),"")</f>
        <v/>
      </c>
      <c r="I2011" t="str">
        <f>+IFERROR(VLOOKUP(D2011,Conceptos_Analítica_contraloría[#All],2,0),"")</f>
        <v/>
      </c>
      <c r="J2011" s="84" t="str">
        <f>+IFERROR(VLOOKUP(D2011,Conceptos_Analítica_contraloría[#All],3,0),"")</f>
        <v/>
      </c>
    </row>
    <row r="2012" spans="3:10" ht="18.75" customHeight="1" x14ac:dyDescent="0.35">
      <c r="C2012" s="100" t="str">
        <f>IF(OR(Fact_Analitica[[#This Row], [Año]]="",Fact_Analitica[[#This Row], [Mes]]=""),"",DATE(A2012,MATCH(B2012,{"enero","febrero","marzo","abril","mayo","junio","julio","agosto","septiembre","octubre","noviembre","diciembre"},0)+1,0))</f>
        <v/>
      </c>
      <c r="E2012" t="str">
        <f>+IFERROR(VLOOKUP(Fact_Analitica[[#This Row], [Concepto Anterior]],Conceptos_Analítica_contraloría[#All],5,0),"")</f>
        <v/>
      </c>
      <c r="F2012" t="str">
        <f>+IFERROR(VLOOKUP(Fact_Analitica[[#This Row], [Concepto Anterior]],Conceptos_Analítica_contraloría[#All],7,0),"")</f>
        <v/>
      </c>
      <c r="I2012" t="str">
        <f>+IFERROR(VLOOKUP(D2012,Conceptos_Analítica_contraloría[#All],2,0),"")</f>
        <v/>
      </c>
      <c r="J2012" s="84" t="str">
        <f>+IFERROR(VLOOKUP(D2012,Conceptos_Analítica_contraloría[#All],3,0),"")</f>
        <v/>
      </c>
    </row>
    <row r="2013" spans="3:10" ht="18.75" customHeight="1" x14ac:dyDescent="0.35">
      <c r="C2013" s="100" t="str">
        <f>IF(OR(Fact_Analitica[[#This Row], [Año]]="",Fact_Analitica[[#This Row], [Mes]]=""),"",DATE(A2013,MATCH(B2013,{"enero","febrero","marzo","abril","mayo","junio","julio","agosto","septiembre","octubre","noviembre","diciembre"},0)+1,0))</f>
        <v/>
      </c>
      <c r="E2013" t="str">
        <f>+IFERROR(VLOOKUP(Fact_Analitica[[#This Row], [Concepto Anterior]],Conceptos_Analítica_contraloría[#All],5,0),"")</f>
        <v/>
      </c>
      <c r="F2013" t="str">
        <f>+IFERROR(VLOOKUP(Fact_Analitica[[#This Row], [Concepto Anterior]],Conceptos_Analítica_contraloría[#All],7,0),"")</f>
        <v/>
      </c>
      <c r="I2013" t="str">
        <f>+IFERROR(VLOOKUP(D2013,Conceptos_Analítica_contraloría[#All],2,0),"")</f>
        <v/>
      </c>
      <c r="J2013" s="84" t="str">
        <f>+IFERROR(VLOOKUP(D2013,Conceptos_Analítica_contraloría[#All],3,0),"")</f>
        <v/>
      </c>
    </row>
    <row r="2014" spans="3:10" ht="18.75" customHeight="1" x14ac:dyDescent="0.35">
      <c r="C2014" s="100" t="str">
        <f>IF(OR(Fact_Analitica[[#This Row], [Año]]="",Fact_Analitica[[#This Row], [Mes]]=""),"",DATE(A2014,MATCH(B2014,{"enero","febrero","marzo","abril","mayo","junio","julio","agosto","septiembre","octubre","noviembre","diciembre"},0)+1,0))</f>
        <v/>
      </c>
      <c r="E2014" t="str">
        <f>+IFERROR(VLOOKUP(Fact_Analitica[[#This Row], [Concepto Anterior]],Conceptos_Analítica_contraloría[#All],5,0),"")</f>
        <v/>
      </c>
      <c r="F2014" t="str">
        <f>+IFERROR(VLOOKUP(Fact_Analitica[[#This Row], [Concepto Anterior]],Conceptos_Analítica_contraloría[#All],7,0),"")</f>
        <v/>
      </c>
      <c r="I2014" t="str">
        <f>+IFERROR(VLOOKUP(D2014,Conceptos_Analítica_contraloría[#All],2,0),"")</f>
        <v/>
      </c>
      <c r="J2014" s="84" t="str">
        <f>+IFERROR(VLOOKUP(D2014,Conceptos_Analítica_contraloría[#All],3,0),"")</f>
        <v/>
      </c>
    </row>
    <row r="2015" spans="3:10" ht="18.75" customHeight="1" x14ac:dyDescent="0.35">
      <c r="C2015" s="100" t="str">
        <f>IF(OR(Fact_Analitica[[#This Row], [Año]]="",Fact_Analitica[[#This Row], [Mes]]=""),"",DATE(A2015,MATCH(B2015,{"enero","febrero","marzo","abril","mayo","junio","julio","agosto","septiembre","octubre","noviembre","diciembre"},0)+1,0))</f>
        <v/>
      </c>
      <c r="E2015" t="str">
        <f>+IFERROR(VLOOKUP(Fact_Analitica[[#This Row], [Concepto Anterior]],Conceptos_Analítica_contraloría[#All],5,0),"")</f>
        <v/>
      </c>
      <c r="F2015" t="str">
        <f>+IFERROR(VLOOKUP(Fact_Analitica[[#This Row], [Concepto Anterior]],Conceptos_Analítica_contraloría[#All],7,0),"")</f>
        <v/>
      </c>
      <c r="I2015" t="str">
        <f>+IFERROR(VLOOKUP(D2015,Conceptos_Analítica_contraloría[#All],2,0),"")</f>
        <v/>
      </c>
      <c r="J2015" s="84" t="str">
        <f>+IFERROR(VLOOKUP(D2015,Conceptos_Analítica_contraloría[#All],3,0),"")</f>
        <v/>
      </c>
    </row>
    <row r="2016" spans="3:10" ht="18.75" customHeight="1" x14ac:dyDescent="0.35">
      <c r="C2016" s="100" t="str">
        <f>IF(OR(Fact_Analitica[[#This Row], [Año]]="",Fact_Analitica[[#This Row], [Mes]]=""),"",DATE(A2016,MATCH(B2016,{"enero","febrero","marzo","abril","mayo","junio","julio","agosto","septiembre","octubre","noviembre","diciembre"},0)+1,0))</f>
        <v/>
      </c>
      <c r="E2016" t="str">
        <f>+IFERROR(VLOOKUP(Fact_Analitica[[#This Row], [Concepto Anterior]],Conceptos_Analítica_contraloría[#All],5,0),"")</f>
        <v/>
      </c>
      <c r="F2016" t="str">
        <f>+IFERROR(VLOOKUP(Fact_Analitica[[#This Row], [Concepto Anterior]],Conceptos_Analítica_contraloría[#All],7,0),"")</f>
        <v/>
      </c>
      <c r="I2016" t="str">
        <f>+IFERROR(VLOOKUP(D2016,Conceptos_Analítica_contraloría[#All],2,0),"")</f>
        <v/>
      </c>
      <c r="J2016" s="84" t="str">
        <f>+IFERROR(VLOOKUP(D2016,Conceptos_Analítica_contraloría[#All],3,0),"")</f>
        <v/>
      </c>
    </row>
    <row r="2017" spans="3:10" ht="18.75" customHeight="1" x14ac:dyDescent="0.35">
      <c r="C2017" s="100" t="str">
        <f>IF(OR(Fact_Analitica[[#This Row], [Año]]="",Fact_Analitica[[#This Row], [Mes]]=""),"",DATE(A2017,MATCH(B2017,{"enero","febrero","marzo","abril","mayo","junio","julio","agosto","septiembre","octubre","noviembre","diciembre"},0)+1,0))</f>
        <v/>
      </c>
      <c r="E2017" t="str">
        <f>+IFERROR(VLOOKUP(Fact_Analitica[[#This Row], [Concepto Anterior]],Conceptos_Analítica_contraloría[#All],5,0),"")</f>
        <v/>
      </c>
      <c r="F2017" t="str">
        <f>+IFERROR(VLOOKUP(Fact_Analitica[[#This Row], [Concepto Anterior]],Conceptos_Analítica_contraloría[#All],7,0),"")</f>
        <v/>
      </c>
      <c r="I2017" t="str">
        <f>+IFERROR(VLOOKUP(D2017,Conceptos_Analítica_contraloría[#All],2,0),"")</f>
        <v/>
      </c>
      <c r="J2017" s="84" t="str">
        <f>+IFERROR(VLOOKUP(D2017,Conceptos_Analítica_contraloría[#All],3,0),"")</f>
        <v/>
      </c>
    </row>
    <row r="2018" spans="3:10" ht="18.75" customHeight="1" x14ac:dyDescent="0.35">
      <c r="C2018" s="100" t="str">
        <f>IF(OR(Fact_Analitica[[#This Row], [Año]]="",Fact_Analitica[[#This Row], [Mes]]=""),"",DATE(A2018,MATCH(B2018,{"enero","febrero","marzo","abril","mayo","junio","julio","agosto","septiembre","octubre","noviembre","diciembre"},0)+1,0))</f>
        <v/>
      </c>
      <c r="E2018" t="str">
        <f>+IFERROR(VLOOKUP(Fact_Analitica[[#This Row], [Concepto Anterior]],Conceptos_Analítica_contraloría[#All],5,0),"")</f>
        <v/>
      </c>
      <c r="F2018" t="str">
        <f>+IFERROR(VLOOKUP(Fact_Analitica[[#This Row], [Concepto Anterior]],Conceptos_Analítica_contraloría[#All],7,0),"")</f>
        <v/>
      </c>
      <c r="I2018" t="str">
        <f>+IFERROR(VLOOKUP(D2018,Conceptos_Analítica_contraloría[#All],2,0),"")</f>
        <v/>
      </c>
      <c r="J2018" s="84" t="str">
        <f>+IFERROR(VLOOKUP(D2018,Conceptos_Analítica_contraloría[#All],3,0),"")</f>
        <v/>
      </c>
    </row>
    <row r="2019" spans="3:10" ht="18.75" customHeight="1" x14ac:dyDescent="0.35">
      <c r="C2019" s="100" t="str">
        <f>IF(OR(Fact_Analitica[[#This Row], [Año]]="",Fact_Analitica[[#This Row], [Mes]]=""),"",DATE(A2019,MATCH(B2019,{"enero","febrero","marzo","abril","mayo","junio","julio","agosto","septiembre","octubre","noviembre","diciembre"},0)+1,0))</f>
        <v/>
      </c>
      <c r="E2019" t="str">
        <f>+IFERROR(VLOOKUP(Fact_Analitica[[#This Row], [Concepto Anterior]],Conceptos_Analítica_contraloría[#All],5,0),"")</f>
        <v/>
      </c>
      <c r="F2019" t="str">
        <f>+IFERROR(VLOOKUP(Fact_Analitica[[#This Row], [Concepto Anterior]],Conceptos_Analítica_contraloría[#All],7,0),"")</f>
        <v/>
      </c>
      <c r="I2019" t="str">
        <f>+IFERROR(VLOOKUP(D2019,Conceptos_Analítica_contraloría[#All],2,0),"")</f>
        <v/>
      </c>
      <c r="J2019" s="84" t="str">
        <f>+IFERROR(VLOOKUP(D2019,Conceptos_Analítica_contraloría[#All],3,0),"")</f>
        <v/>
      </c>
    </row>
    <row r="2020" spans="3:10" ht="18.75" customHeight="1" x14ac:dyDescent="0.35">
      <c r="C2020" s="100" t="str">
        <f>IF(OR(Fact_Analitica[[#This Row], [Año]]="",Fact_Analitica[[#This Row], [Mes]]=""),"",DATE(A2020,MATCH(B2020,{"enero","febrero","marzo","abril","mayo","junio","julio","agosto","septiembre","octubre","noviembre","diciembre"},0)+1,0))</f>
        <v/>
      </c>
      <c r="E2020" t="str">
        <f>+IFERROR(VLOOKUP(Fact_Analitica[[#This Row], [Concepto Anterior]],Conceptos_Analítica_contraloría[#All],5,0),"")</f>
        <v/>
      </c>
      <c r="F2020" t="str">
        <f>+IFERROR(VLOOKUP(Fact_Analitica[[#This Row], [Concepto Anterior]],Conceptos_Analítica_contraloría[#All],7,0),"")</f>
        <v/>
      </c>
      <c r="I2020" t="str">
        <f>+IFERROR(VLOOKUP(D2020,Conceptos_Analítica_contraloría[#All],2,0),"")</f>
        <v/>
      </c>
      <c r="J2020" s="84" t="str">
        <f>+IFERROR(VLOOKUP(D2020,Conceptos_Analítica_contraloría[#All],3,0),"")</f>
        <v/>
      </c>
    </row>
    <row r="2021" spans="3:10" ht="18.75" customHeight="1" x14ac:dyDescent="0.35">
      <c r="C2021" s="100" t="str">
        <f>IF(OR(Fact_Analitica[[#This Row], [Año]]="",Fact_Analitica[[#This Row], [Mes]]=""),"",DATE(A2021,MATCH(B2021,{"enero","febrero","marzo","abril","mayo","junio","julio","agosto","septiembre","octubre","noviembre","diciembre"},0)+1,0))</f>
        <v/>
      </c>
      <c r="E2021" t="str">
        <f>+IFERROR(VLOOKUP(Fact_Analitica[[#This Row], [Concepto Anterior]],Conceptos_Analítica_contraloría[#All],5,0),"")</f>
        <v/>
      </c>
      <c r="F2021" t="str">
        <f>+IFERROR(VLOOKUP(Fact_Analitica[[#This Row], [Concepto Anterior]],Conceptos_Analítica_contraloría[#All],7,0),"")</f>
        <v/>
      </c>
      <c r="I2021" t="str">
        <f>+IFERROR(VLOOKUP(D2021,Conceptos_Analítica_contraloría[#All],2,0),"")</f>
        <v/>
      </c>
      <c r="J2021" s="84" t="str">
        <f>+IFERROR(VLOOKUP(D2021,Conceptos_Analítica_contraloría[#All],3,0),"")</f>
        <v/>
      </c>
    </row>
    <row r="2022" spans="3:10" ht="18.75" customHeight="1" x14ac:dyDescent="0.35">
      <c r="C2022" s="100" t="str">
        <f>IF(OR(Fact_Analitica[[#This Row], [Año]]="",Fact_Analitica[[#This Row], [Mes]]=""),"",DATE(A2022,MATCH(B2022,{"enero","febrero","marzo","abril","mayo","junio","julio","agosto","septiembre","octubre","noviembre","diciembre"},0)+1,0))</f>
        <v/>
      </c>
      <c r="E2022" t="str">
        <f>+IFERROR(VLOOKUP(Fact_Analitica[[#This Row], [Concepto Anterior]],Conceptos_Analítica_contraloría[#All],5,0),"")</f>
        <v/>
      </c>
      <c r="F2022" t="str">
        <f>+IFERROR(VLOOKUP(Fact_Analitica[[#This Row], [Concepto Anterior]],Conceptos_Analítica_contraloría[#All],7,0),"")</f>
        <v/>
      </c>
      <c r="I2022" t="str">
        <f>+IFERROR(VLOOKUP(D2022,Conceptos_Analítica_contraloría[#All],2,0),"")</f>
        <v/>
      </c>
      <c r="J2022" s="84" t="str">
        <f>+IFERROR(VLOOKUP(D2022,Conceptos_Analítica_contraloría[#All],3,0),"")</f>
        <v/>
      </c>
    </row>
    <row r="2023" spans="3:10" ht="18.75" customHeight="1" x14ac:dyDescent="0.35">
      <c r="C2023" s="100" t="str">
        <f>IF(OR(Fact_Analitica[[#This Row], [Año]]="",Fact_Analitica[[#This Row], [Mes]]=""),"",DATE(A2023,MATCH(B2023,{"enero","febrero","marzo","abril","mayo","junio","julio","agosto","septiembre","octubre","noviembre","diciembre"},0)+1,0))</f>
        <v/>
      </c>
      <c r="E2023" t="str">
        <f>+IFERROR(VLOOKUP(Fact_Analitica[[#This Row], [Concepto Anterior]],Conceptos_Analítica_contraloría[#All],5,0),"")</f>
        <v/>
      </c>
      <c r="F2023" t="str">
        <f>+IFERROR(VLOOKUP(Fact_Analitica[[#This Row], [Concepto Anterior]],Conceptos_Analítica_contraloría[#All],7,0),"")</f>
        <v/>
      </c>
      <c r="I2023" t="str">
        <f>+IFERROR(VLOOKUP(D2023,Conceptos_Analítica_contraloría[#All],2,0),"")</f>
        <v/>
      </c>
      <c r="J2023" s="84" t="str">
        <f>+IFERROR(VLOOKUP(D2023,Conceptos_Analítica_contraloría[#All],3,0),"")</f>
        <v/>
      </c>
    </row>
    <row r="2024" spans="3:10" ht="18.75" customHeight="1" x14ac:dyDescent="0.35">
      <c r="C2024" s="100" t="str">
        <f>IF(OR(Fact_Analitica[[#This Row], [Año]]="",Fact_Analitica[[#This Row], [Mes]]=""),"",DATE(A2024,MATCH(B2024,{"enero","febrero","marzo","abril","mayo","junio","julio","agosto","septiembre","octubre","noviembre","diciembre"},0)+1,0))</f>
        <v/>
      </c>
      <c r="E2024" t="str">
        <f>+IFERROR(VLOOKUP(Fact_Analitica[[#This Row], [Concepto Anterior]],Conceptos_Analítica_contraloría[#All],5,0),"")</f>
        <v/>
      </c>
      <c r="F2024" t="str">
        <f>+IFERROR(VLOOKUP(Fact_Analitica[[#This Row], [Concepto Anterior]],Conceptos_Analítica_contraloría[#All],7,0),"")</f>
        <v/>
      </c>
      <c r="I2024" t="str">
        <f>+IFERROR(VLOOKUP(D2024,Conceptos_Analítica_contraloría[#All],2,0),"")</f>
        <v/>
      </c>
      <c r="J2024" s="84" t="str">
        <f>+IFERROR(VLOOKUP(D2024,Conceptos_Analítica_contraloría[#All],3,0),"")</f>
        <v/>
      </c>
    </row>
    <row r="2025" spans="3:10" ht="18.75" customHeight="1" x14ac:dyDescent="0.35">
      <c r="C2025" s="100" t="str">
        <f>IF(OR(Fact_Analitica[[#This Row], [Año]]="",Fact_Analitica[[#This Row], [Mes]]=""),"",DATE(A2025,MATCH(B2025,{"enero","febrero","marzo","abril","mayo","junio","julio","agosto","septiembre","octubre","noviembre","diciembre"},0)+1,0))</f>
        <v/>
      </c>
      <c r="E2025" t="str">
        <f>+IFERROR(VLOOKUP(Fact_Analitica[[#This Row], [Concepto Anterior]],Conceptos_Analítica_contraloría[#All],5,0),"")</f>
        <v/>
      </c>
      <c r="F2025" t="str">
        <f>+IFERROR(VLOOKUP(Fact_Analitica[[#This Row], [Concepto Anterior]],Conceptos_Analítica_contraloría[#All],7,0),"")</f>
        <v/>
      </c>
      <c r="I2025" t="str">
        <f>+IFERROR(VLOOKUP(D2025,Conceptos_Analítica_contraloría[#All],2,0),"")</f>
        <v/>
      </c>
      <c r="J2025" s="84" t="str">
        <f>+IFERROR(VLOOKUP(D2025,Conceptos_Analítica_contraloría[#All],3,0),"")</f>
        <v/>
      </c>
    </row>
    <row r="2026" spans="3:10" ht="18.75" customHeight="1" x14ac:dyDescent="0.35">
      <c r="C2026" s="100" t="str">
        <f>IF(OR(Fact_Analitica[[#This Row], [Año]]="",Fact_Analitica[[#This Row], [Mes]]=""),"",DATE(A2026,MATCH(B2026,{"enero","febrero","marzo","abril","mayo","junio","julio","agosto","septiembre","octubre","noviembre","diciembre"},0)+1,0))</f>
        <v/>
      </c>
      <c r="E2026" t="str">
        <f>+IFERROR(VLOOKUP(Fact_Analitica[[#This Row], [Concepto Anterior]],Conceptos_Analítica_contraloría[#All],5,0),"")</f>
        <v/>
      </c>
      <c r="F2026" t="str">
        <f>+IFERROR(VLOOKUP(Fact_Analitica[[#This Row], [Concepto Anterior]],Conceptos_Analítica_contraloría[#All],7,0),"")</f>
        <v/>
      </c>
      <c r="I2026" t="str">
        <f>+IFERROR(VLOOKUP(D2026,Conceptos_Analítica_contraloría[#All],2,0),"")</f>
        <v/>
      </c>
      <c r="J2026" s="84" t="str">
        <f>+IFERROR(VLOOKUP(D2026,Conceptos_Analítica_contraloría[#All],3,0),"")</f>
        <v/>
      </c>
    </row>
    <row r="2027" spans="3:10" ht="18.75" customHeight="1" x14ac:dyDescent="0.35">
      <c r="C2027" s="100" t="str">
        <f>IF(OR(Fact_Analitica[[#This Row], [Año]]="",Fact_Analitica[[#This Row], [Mes]]=""),"",DATE(A2027,MATCH(B2027,{"enero","febrero","marzo","abril","mayo","junio","julio","agosto","septiembre","octubre","noviembre","diciembre"},0)+1,0))</f>
        <v/>
      </c>
      <c r="E2027" t="str">
        <f>+IFERROR(VLOOKUP(Fact_Analitica[[#This Row], [Concepto Anterior]],Conceptos_Analítica_contraloría[#All],5,0),"")</f>
        <v/>
      </c>
      <c r="F2027" t="str">
        <f>+IFERROR(VLOOKUP(Fact_Analitica[[#This Row], [Concepto Anterior]],Conceptos_Analítica_contraloría[#All],7,0),"")</f>
        <v/>
      </c>
      <c r="I2027" t="str">
        <f>+IFERROR(VLOOKUP(D2027,Conceptos_Analítica_contraloría[#All],2,0),"")</f>
        <v/>
      </c>
      <c r="J2027" s="84" t="str">
        <f>+IFERROR(VLOOKUP(D2027,Conceptos_Analítica_contraloría[#All],3,0),"")</f>
        <v/>
      </c>
    </row>
    <row r="2028" spans="3:10" ht="18.75" customHeight="1" x14ac:dyDescent="0.35">
      <c r="C2028" s="100" t="str">
        <f>IF(OR(Fact_Analitica[[#This Row], [Año]]="",Fact_Analitica[[#This Row], [Mes]]=""),"",DATE(A2028,MATCH(B2028,{"enero","febrero","marzo","abril","mayo","junio","julio","agosto","septiembre","octubre","noviembre","diciembre"},0)+1,0))</f>
        <v/>
      </c>
      <c r="E2028" t="str">
        <f>+IFERROR(VLOOKUP(Fact_Analitica[[#This Row], [Concepto Anterior]],Conceptos_Analítica_contraloría[#All],5,0),"")</f>
        <v/>
      </c>
      <c r="F2028" t="str">
        <f>+IFERROR(VLOOKUP(Fact_Analitica[[#This Row], [Concepto Anterior]],Conceptos_Analítica_contraloría[#All],7,0),"")</f>
        <v/>
      </c>
      <c r="I2028" t="str">
        <f>+IFERROR(VLOOKUP(D2028,Conceptos_Analítica_contraloría[#All],2,0),"")</f>
        <v/>
      </c>
      <c r="J2028" s="84" t="str">
        <f>+IFERROR(VLOOKUP(D2028,Conceptos_Analítica_contraloría[#All],3,0),"")</f>
        <v/>
      </c>
    </row>
    <row r="2029" spans="3:10" ht="18.75" customHeight="1" x14ac:dyDescent="0.35">
      <c r="C2029" s="100" t="str">
        <f>IF(OR(Fact_Analitica[[#This Row], [Año]]="",Fact_Analitica[[#This Row], [Mes]]=""),"",DATE(A2029,MATCH(B2029,{"enero","febrero","marzo","abril","mayo","junio","julio","agosto","septiembre","octubre","noviembre","diciembre"},0)+1,0))</f>
        <v/>
      </c>
      <c r="E2029" t="str">
        <f>+IFERROR(VLOOKUP(Fact_Analitica[[#This Row], [Concepto Anterior]],Conceptos_Analítica_contraloría[#All],5,0),"")</f>
        <v/>
      </c>
      <c r="F2029" t="str">
        <f>+IFERROR(VLOOKUP(Fact_Analitica[[#This Row], [Concepto Anterior]],Conceptos_Analítica_contraloría[#All],7,0),"")</f>
        <v/>
      </c>
      <c r="I2029" t="str">
        <f>+IFERROR(VLOOKUP(D2029,Conceptos_Analítica_contraloría[#All],2,0),"")</f>
        <v/>
      </c>
      <c r="J2029" s="84" t="str">
        <f>+IFERROR(VLOOKUP(D2029,Conceptos_Analítica_contraloría[#All],3,0),"")</f>
        <v/>
      </c>
    </row>
    <row r="2030" spans="3:10" ht="18.75" customHeight="1" x14ac:dyDescent="0.35">
      <c r="C2030" s="100" t="str">
        <f>IF(OR(Fact_Analitica[[#This Row], [Año]]="",Fact_Analitica[[#This Row], [Mes]]=""),"",DATE(A2030,MATCH(B2030,{"enero","febrero","marzo","abril","mayo","junio","julio","agosto","septiembre","octubre","noviembre","diciembre"},0)+1,0))</f>
        <v/>
      </c>
      <c r="E2030" t="str">
        <f>+IFERROR(VLOOKUP(Fact_Analitica[[#This Row], [Concepto Anterior]],Conceptos_Analítica_contraloría[#All],5,0),"")</f>
        <v/>
      </c>
      <c r="F2030" t="str">
        <f>+IFERROR(VLOOKUP(Fact_Analitica[[#This Row], [Concepto Anterior]],Conceptos_Analítica_contraloría[#All],7,0),"")</f>
        <v/>
      </c>
      <c r="I2030" t="str">
        <f>+IFERROR(VLOOKUP(D2030,Conceptos_Analítica_contraloría[#All],2,0),"")</f>
        <v/>
      </c>
      <c r="J2030" s="84" t="str">
        <f>+IFERROR(VLOOKUP(D2030,Conceptos_Analítica_contraloría[#All],3,0),"")</f>
        <v/>
      </c>
    </row>
    <row r="2031" spans="3:10" ht="18.75" customHeight="1" x14ac:dyDescent="0.35">
      <c r="C2031" s="100" t="str">
        <f>IF(OR(Fact_Analitica[[#This Row], [Año]]="",Fact_Analitica[[#This Row], [Mes]]=""),"",DATE(A2031,MATCH(B2031,{"enero","febrero","marzo","abril","mayo","junio","julio","agosto","septiembre","octubre","noviembre","diciembre"},0)+1,0))</f>
        <v/>
      </c>
      <c r="E2031" t="str">
        <f>+IFERROR(VLOOKUP(Fact_Analitica[[#This Row], [Concepto Anterior]],Conceptos_Analítica_contraloría[#All],5,0),"")</f>
        <v/>
      </c>
      <c r="F2031" t="str">
        <f>+IFERROR(VLOOKUP(Fact_Analitica[[#This Row], [Concepto Anterior]],Conceptos_Analítica_contraloría[#All],7,0),"")</f>
        <v/>
      </c>
      <c r="I2031" t="str">
        <f>+IFERROR(VLOOKUP(D2031,Conceptos_Analítica_contraloría[#All],2,0),"")</f>
        <v/>
      </c>
      <c r="J2031" s="84" t="str">
        <f>+IFERROR(VLOOKUP(D2031,Conceptos_Analítica_contraloría[#All],3,0),"")</f>
        <v/>
      </c>
    </row>
    <row r="2032" spans="3:10" ht="18.75" customHeight="1" x14ac:dyDescent="0.35">
      <c r="C2032" s="100" t="str">
        <f>IF(OR(Fact_Analitica[[#This Row], [Año]]="",Fact_Analitica[[#This Row], [Mes]]=""),"",DATE(A2032,MATCH(B2032,{"enero","febrero","marzo","abril","mayo","junio","julio","agosto","septiembre","octubre","noviembre","diciembre"},0)+1,0))</f>
        <v/>
      </c>
      <c r="E2032" t="str">
        <f>+IFERROR(VLOOKUP(Fact_Analitica[[#This Row], [Concepto Anterior]],Conceptos_Analítica_contraloría[#All],5,0),"")</f>
        <v/>
      </c>
      <c r="F2032" t="str">
        <f>+IFERROR(VLOOKUP(Fact_Analitica[[#This Row], [Concepto Anterior]],Conceptos_Analítica_contraloría[#All],7,0),"")</f>
        <v/>
      </c>
      <c r="I2032" t="str">
        <f>+IFERROR(VLOOKUP(D2032,Conceptos_Analítica_contraloría[#All],2,0),"")</f>
        <v/>
      </c>
      <c r="J2032" s="84" t="str">
        <f>+IFERROR(VLOOKUP(D2032,Conceptos_Analítica_contraloría[#All],3,0),"")</f>
        <v/>
      </c>
    </row>
    <row r="2033" spans="3:10" ht="18.75" customHeight="1" x14ac:dyDescent="0.35">
      <c r="C2033" s="100" t="str">
        <f>IF(OR(Fact_Analitica[[#This Row], [Año]]="",Fact_Analitica[[#This Row], [Mes]]=""),"",DATE(A2033,MATCH(B2033,{"enero","febrero","marzo","abril","mayo","junio","julio","agosto","septiembre","octubre","noviembre","diciembre"},0)+1,0))</f>
        <v/>
      </c>
      <c r="E2033" t="str">
        <f>+IFERROR(VLOOKUP(Fact_Analitica[[#This Row], [Concepto Anterior]],Conceptos_Analítica_contraloría[#All],5,0),"")</f>
        <v/>
      </c>
      <c r="F2033" t="str">
        <f>+IFERROR(VLOOKUP(Fact_Analitica[[#This Row], [Concepto Anterior]],Conceptos_Analítica_contraloría[#All],7,0),"")</f>
        <v/>
      </c>
      <c r="I2033" t="str">
        <f>+IFERROR(VLOOKUP(D2033,Conceptos_Analítica_contraloría[#All],2,0),"")</f>
        <v/>
      </c>
      <c r="J2033" s="84" t="str">
        <f>+IFERROR(VLOOKUP(D2033,Conceptos_Analítica_contraloría[#All],3,0),"")</f>
        <v/>
      </c>
    </row>
    <row r="2034" spans="3:10" ht="18.75" customHeight="1" x14ac:dyDescent="0.35">
      <c r="C2034" s="100" t="str">
        <f>IF(OR(Fact_Analitica[[#This Row], [Año]]="",Fact_Analitica[[#This Row], [Mes]]=""),"",DATE(A2034,MATCH(B2034,{"enero","febrero","marzo","abril","mayo","junio","julio","agosto","septiembre","octubre","noviembre","diciembre"},0)+1,0))</f>
        <v/>
      </c>
      <c r="E2034" t="str">
        <f>+IFERROR(VLOOKUP(Fact_Analitica[[#This Row], [Concepto Anterior]],Conceptos_Analítica_contraloría[#All],5,0),"")</f>
        <v/>
      </c>
      <c r="F2034" t="str">
        <f>+IFERROR(VLOOKUP(Fact_Analitica[[#This Row], [Concepto Anterior]],Conceptos_Analítica_contraloría[#All],7,0),"")</f>
        <v/>
      </c>
      <c r="I2034" t="str">
        <f>+IFERROR(VLOOKUP(D2034,Conceptos_Analítica_contraloría[#All],2,0),"")</f>
        <v/>
      </c>
      <c r="J2034" s="84" t="str">
        <f>+IFERROR(VLOOKUP(D2034,Conceptos_Analítica_contraloría[#All],3,0),"")</f>
        <v/>
      </c>
    </row>
    <row r="2035" spans="3:10" ht="18.75" customHeight="1" x14ac:dyDescent="0.35">
      <c r="C2035" s="100" t="str">
        <f>IF(OR(Fact_Analitica[[#This Row], [Año]]="",Fact_Analitica[[#This Row], [Mes]]=""),"",DATE(A2035,MATCH(B2035,{"enero","febrero","marzo","abril","mayo","junio","julio","agosto","septiembre","octubre","noviembre","diciembre"},0)+1,0))</f>
        <v/>
      </c>
      <c r="E2035" t="str">
        <f>+IFERROR(VLOOKUP(Fact_Analitica[[#This Row], [Concepto Anterior]],Conceptos_Analítica_contraloría[#All],5,0),"")</f>
        <v/>
      </c>
      <c r="F2035" t="str">
        <f>+IFERROR(VLOOKUP(Fact_Analitica[[#This Row], [Concepto Anterior]],Conceptos_Analítica_contraloría[#All],7,0),"")</f>
        <v/>
      </c>
      <c r="I2035" t="str">
        <f>+IFERROR(VLOOKUP(D2035,Conceptos_Analítica_contraloría[#All],2,0),"")</f>
        <v/>
      </c>
      <c r="J2035" s="84" t="str">
        <f>+IFERROR(VLOOKUP(D2035,Conceptos_Analítica_contraloría[#All],3,0),"")</f>
        <v/>
      </c>
    </row>
    <row r="2036" spans="3:10" ht="18.75" customHeight="1" x14ac:dyDescent="0.35">
      <c r="C2036" s="100" t="str">
        <f>IF(OR(Fact_Analitica[[#This Row], [Año]]="",Fact_Analitica[[#This Row], [Mes]]=""),"",DATE(A2036,MATCH(B2036,{"enero","febrero","marzo","abril","mayo","junio","julio","agosto","septiembre","octubre","noviembre","diciembre"},0)+1,0))</f>
        <v/>
      </c>
      <c r="E2036" t="str">
        <f>+IFERROR(VLOOKUP(Fact_Analitica[[#This Row], [Concepto Anterior]],Conceptos_Analítica_contraloría[#All],5,0),"")</f>
        <v/>
      </c>
      <c r="F2036" t="str">
        <f>+IFERROR(VLOOKUP(Fact_Analitica[[#This Row], [Concepto Anterior]],Conceptos_Analítica_contraloría[#All],7,0),"")</f>
        <v/>
      </c>
      <c r="I2036" t="str">
        <f>+IFERROR(VLOOKUP(D2036,Conceptos_Analítica_contraloría[#All],2,0),"")</f>
        <v/>
      </c>
      <c r="J2036" s="84" t="str">
        <f>+IFERROR(VLOOKUP(D2036,Conceptos_Analítica_contraloría[#All],3,0),"")</f>
        <v/>
      </c>
    </row>
    <row r="2037" spans="3:10" ht="18.75" customHeight="1" x14ac:dyDescent="0.35">
      <c r="C2037" s="100" t="str">
        <f>IF(OR(Fact_Analitica[[#This Row], [Año]]="",Fact_Analitica[[#This Row], [Mes]]=""),"",DATE(A2037,MATCH(B2037,{"enero","febrero","marzo","abril","mayo","junio","julio","agosto","septiembre","octubre","noviembre","diciembre"},0)+1,0))</f>
        <v/>
      </c>
      <c r="E2037" t="str">
        <f>+IFERROR(VLOOKUP(Fact_Analitica[[#This Row], [Concepto Anterior]],Conceptos_Analítica_contraloría[#All],5,0),"")</f>
        <v/>
      </c>
      <c r="F2037" t="str">
        <f>+IFERROR(VLOOKUP(Fact_Analitica[[#This Row], [Concepto Anterior]],Conceptos_Analítica_contraloría[#All],7,0),"")</f>
        <v/>
      </c>
      <c r="I2037" t="str">
        <f>+IFERROR(VLOOKUP(D2037,Conceptos_Analítica_contraloría[#All],2,0),"")</f>
        <v/>
      </c>
      <c r="J2037" s="84" t="str">
        <f>+IFERROR(VLOOKUP(D2037,Conceptos_Analítica_contraloría[#All],3,0),"")</f>
        <v/>
      </c>
    </row>
    <row r="2038" spans="3:10" ht="18.75" customHeight="1" x14ac:dyDescent="0.35">
      <c r="C2038" s="100" t="str">
        <f>IF(OR(Fact_Analitica[[#This Row], [Año]]="",Fact_Analitica[[#This Row], [Mes]]=""),"",DATE(A2038,MATCH(B2038,{"enero","febrero","marzo","abril","mayo","junio","julio","agosto","septiembre","octubre","noviembre","diciembre"},0)+1,0))</f>
        <v/>
      </c>
      <c r="E2038" t="str">
        <f>+IFERROR(VLOOKUP(Fact_Analitica[[#This Row], [Concepto Anterior]],Conceptos_Analítica_contraloría[#All],5,0),"")</f>
        <v/>
      </c>
      <c r="F2038" t="str">
        <f>+IFERROR(VLOOKUP(Fact_Analitica[[#This Row], [Concepto Anterior]],Conceptos_Analítica_contraloría[#All],7,0),"")</f>
        <v/>
      </c>
      <c r="I2038" t="str">
        <f>+IFERROR(VLOOKUP(D2038,Conceptos_Analítica_contraloría[#All],2,0),"")</f>
        <v/>
      </c>
      <c r="J2038" s="84" t="str">
        <f>+IFERROR(VLOOKUP(D2038,Conceptos_Analítica_contraloría[#All],3,0),"")</f>
        <v/>
      </c>
    </row>
    <row r="2039" spans="3:10" ht="18.75" customHeight="1" x14ac:dyDescent="0.35">
      <c r="C2039" s="100" t="str">
        <f>IF(OR(Fact_Analitica[[#This Row], [Año]]="",Fact_Analitica[[#This Row], [Mes]]=""),"",DATE(A2039,MATCH(B2039,{"enero","febrero","marzo","abril","mayo","junio","julio","agosto","septiembre","octubre","noviembre","diciembre"},0)+1,0))</f>
        <v/>
      </c>
      <c r="E2039" t="str">
        <f>+IFERROR(VLOOKUP(Fact_Analitica[[#This Row], [Concepto Anterior]],Conceptos_Analítica_contraloría[#All],5,0),"")</f>
        <v/>
      </c>
      <c r="F2039" t="str">
        <f>+IFERROR(VLOOKUP(Fact_Analitica[[#This Row], [Concepto Anterior]],Conceptos_Analítica_contraloría[#All],7,0),"")</f>
        <v/>
      </c>
      <c r="I2039" t="str">
        <f>+IFERROR(VLOOKUP(D2039,Conceptos_Analítica_contraloría[#All],2,0),"")</f>
        <v/>
      </c>
      <c r="J2039" s="84" t="str">
        <f>+IFERROR(VLOOKUP(D2039,Conceptos_Analítica_contraloría[#All],3,0),"")</f>
        <v/>
      </c>
    </row>
    <row r="2040" spans="3:10" ht="18.75" customHeight="1" x14ac:dyDescent="0.35">
      <c r="C2040" s="100" t="str">
        <f>IF(OR(Fact_Analitica[[#This Row], [Año]]="",Fact_Analitica[[#This Row], [Mes]]=""),"",DATE(A2040,MATCH(B2040,{"enero","febrero","marzo","abril","mayo","junio","julio","agosto","septiembre","octubre","noviembre","diciembre"},0)+1,0))</f>
        <v/>
      </c>
      <c r="E2040" t="str">
        <f>+IFERROR(VLOOKUP(Fact_Analitica[[#This Row], [Concepto Anterior]],Conceptos_Analítica_contraloría[#All],5,0),"")</f>
        <v/>
      </c>
      <c r="F2040" t="str">
        <f>+IFERROR(VLOOKUP(Fact_Analitica[[#This Row], [Concepto Anterior]],Conceptos_Analítica_contraloría[#All],7,0),"")</f>
        <v/>
      </c>
      <c r="I2040" t="str">
        <f>+IFERROR(VLOOKUP(D2040,Conceptos_Analítica_contraloría[#All],2,0),"")</f>
        <v/>
      </c>
      <c r="J2040" s="84" t="str">
        <f>+IFERROR(VLOOKUP(D2040,Conceptos_Analítica_contraloría[#All],3,0),"")</f>
        <v/>
      </c>
    </row>
    <row r="2041" spans="3:10" ht="18.75" customHeight="1" x14ac:dyDescent="0.35">
      <c r="C2041" s="100" t="str">
        <f>IF(OR(Fact_Analitica[[#This Row], [Año]]="",Fact_Analitica[[#This Row], [Mes]]=""),"",DATE(A2041,MATCH(B2041,{"enero","febrero","marzo","abril","mayo","junio","julio","agosto","septiembre","octubre","noviembre","diciembre"},0)+1,0))</f>
        <v/>
      </c>
      <c r="E2041" t="str">
        <f>+IFERROR(VLOOKUP(Fact_Analitica[[#This Row], [Concepto Anterior]],Conceptos_Analítica_contraloría[#All],5,0),"")</f>
        <v/>
      </c>
      <c r="F2041" t="str">
        <f>+IFERROR(VLOOKUP(Fact_Analitica[[#This Row], [Concepto Anterior]],Conceptos_Analítica_contraloría[#All],7,0),"")</f>
        <v/>
      </c>
      <c r="I2041" t="str">
        <f>+IFERROR(VLOOKUP(D2041,Conceptos_Analítica_contraloría[#All],2,0),"")</f>
        <v/>
      </c>
      <c r="J2041" s="84" t="str">
        <f>+IFERROR(VLOOKUP(D2041,Conceptos_Analítica_contraloría[#All],3,0),"")</f>
        <v/>
      </c>
    </row>
    <row r="2042" spans="3:10" ht="18.75" customHeight="1" x14ac:dyDescent="0.35">
      <c r="C2042" s="100" t="str">
        <f>IF(OR(Fact_Analitica[[#This Row], [Año]]="",Fact_Analitica[[#This Row], [Mes]]=""),"",DATE(A2042,MATCH(B2042,{"enero","febrero","marzo","abril","mayo","junio","julio","agosto","septiembre","octubre","noviembre","diciembre"},0)+1,0))</f>
        <v/>
      </c>
      <c r="E2042" t="str">
        <f>+IFERROR(VLOOKUP(Fact_Analitica[[#This Row], [Concepto Anterior]],Conceptos_Analítica_contraloría[#All],5,0),"")</f>
        <v/>
      </c>
      <c r="F2042" t="str">
        <f>+IFERROR(VLOOKUP(Fact_Analitica[[#This Row], [Concepto Anterior]],Conceptos_Analítica_contraloría[#All],7,0),"")</f>
        <v/>
      </c>
      <c r="I2042" t="str">
        <f>+IFERROR(VLOOKUP(D2042,Conceptos_Analítica_contraloría[#All],2,0),"")</f>
        <v/>
      </c>
      <c r="J2042" s="84" t="str">
        <f>+IFERROR(VLOOKUP(D2042,Conceptos_Analítica_contraloría[#All],3,0),"")</f>
        <v/>
      </c>
    </row>
    <row r="2043" spans="3:10" ht="18.75" customHeight="1" x14ac:dyDescent="0.35">
      <c r="C2043" s="100" t="str">
        <f>IF(OR(Fact_Analitica[[#This Row], [Año]]="",Fact_Analitica[[#This Row], [Mes]]=""),"",DATE(A2043,MATCH(B2043,{"enero","febrero","marzo","abril","mayo","junio","julio","agosto","septiembre","octubre","noviembre","diciembre"},0)+1,0))</f>
        <v/>
      </c>
      <c r="E2043" t="str">
        <f>+IFERROR(VLOOKUP(Fact_Analitica[[#This Row], [Concepto Anterior]],Conceptos_Analítica_contraloría[#All],5,0),"")</f>
        <v/>
      </c>
      <c r="F2043" t="str">
        <f>+IFERROR(VLOOKUP(Fact_Analitica[[#This Row], [Concepto Anterior]],Conceptos_Analítica_contraloría[#All],7,0),"")</f>
        <v/>
      </c>
      <c r="I2043" t="str">
        <f>+IFERROR(VLOOKUP(D2043,Conceptos_Analítica_contraloría[#All],2,0),"")</f>
        <v/>
      </c>
      <c r="J2043" s="84" t="str">
        <f>+IFERROR(VLOOKUP(D2043,Conceptos_Analítica_contraloría[#All],3,0),"")</f>
        <v/>
      </c>
    </row>
    <row r="2044" spans="3:10" ht="18.75" customHeight="1" x14ac:dyDescent="0.35">
      <c r="C2044" s="100" t="str">
        <f>IF(OR(Fact_Analitica[[#This Row], [Año]]="",Fact_Analitica[[#This Row], [Mes]]=""),"",DATE(A2044,MATCH(B2044,{"enero","febrero","marzo","abril","mayo","junio","julio","agosto","septiembre","octubre","noviembre","diciembre"},0)+1,0))</f>
        <v/>
      </c>
      <c r="E2044" t="str">
        <f>+IFERROR(VLOOKUP(Fact_Analitica[[#This Row], [Concepto Anterior]],Conceptos_Analítica_contraloría[#All],5,0),"")</f>
        <v/>
      </c>
      <c r="F2044" t="str">
        <f>+IFERROR(VLOOKUP(Fact_Analitica[[#This Row], [Concepto Anterior]],Conceptos_Analítica_contraloría[#All],7,0),"")</f>
        <v/>
      </c>
      <c r="I2044" t="str">
        <f>+IFERROR(VLOOKUP(D2044,Conceptos_Analítica_contraloría[#All],2,0),"")</f>
        <v/>
      </c>
      <c r="J2044" s="84" t="str">
        <f>+IFERROR(VLOOKUP(D2044,Conceptos_Analítica_contraloría[#All],3,0),"")</f>
        <v/>
      </c>
    </row>
    <row r="2045" spans="3:10" ht="18.75" customHeight="1" x14ac:dyDescent="0.35">
      <c r="C2045" s="100" t="str">
        <f>IF(OR(Fact_Analitica[[#This Row], [Año]]="",Fact_Analitica[[#This Row], [Mes]]=""),"",DATE(A2045,MATCH(B2045,{"enero","febrero","marzo","abril","mayo","junio","julio","agosto","septiembre","octubre","noviembre","diciembre"},0)+1,0))</f>
        <v/>
      </c>
      <c r="E2045" t="str">
        <f>+IFERROR(VLOOKUP(Fact_Analitica[[#This Row], [Concepto Anterior]],Conceptos_Analítica_contraloría[#All],5,0),"")</f>
        <v/>
      </c>
      <c r="F2045" t="str">
        <f>+IFERROR(VLOOKUP(Fact_Analitica[[#This Row], [Concepto Anterior]],Conceptos_Analítica_contraloría[#All],7,0),"")</f>
        <v/>
      </c>
      <c r="I2045" t="str">
        <f>+IFERROR(VLOOKUP(D2045,Conceptos_Analítica_contraloría[#All],2,0),"")</f>
        <v/>
      </c>
      <c r="J2045" s="84" t="str">
        <f>+IFERROR(VLOOKUP(D2045,Conceptos_Analítica_contraloría[#All],3,0),"")</f>
        <v/>
      </c>
    </row>
    <row r="2046" spans="3:10" ht="18.75" customHeight="1" x14ac:dyDescent="0.35">
      <c r="C2046" s="100" t="str">
        <f>IF(OR(Fact_Analitica[[#This Row], [Año]]="",Fact_Analitica[[#This Row], [Mes]]=""),"",DATE(A2046,MATCH(B2046,{"enero","febrero","marzo","abril","mayo","junio","julio","agosto","septiembre","octubre","noviembre","diciembre"},0)+1,0))</f>
        <v/>
      </c>
      <c r="E2046" t="str">
        <f>+IFERROR(VLOOKUP(Fact_Analitica[[#This Row], [Concepto Anterior]],Conceptos_Analítica_contraloría[#All],5,0),"")</f>
        <v/>
      </c>
      <c r="F2046" t="str">
        <f>+IFERROR(VLOOKUP(Fact_Analitica[[#This Row], [Concepto Anterior]],Conceptos_Analítica_contraloría[#All],7,0),"")</f>
        <v/>
      </c>
      <c r="I2046" t="str">
        <f>+IFERROR(VLOOKUP(D2046,Conceptos_Analítica_contraloría[#All],2,0),"")</f>
        <v/>
      </c>
      <c r="J2046" s="84" t="str">
        <f>+IFERROR(VLOOKUP(D2046,Conceptos_Analítica_contraloría[#All],3,0),"")</f>
        <v/>
      </c>
    </row>
    <row r="2047" spans="3:10" ht="18.75" customHeight="1" x14ac:dyDescent="0.35">
      <c r="C2047" s="100" t="str">
        <f>IF(OR(Fact_Analitica[[#This Row], [Año]]="",Fact_Analitica[[#This Row], [Mes]]=""),"",DATE(A2047,MATCH(B2047,{"enero","febrero","marzo","abril","mayo","junio","julio","agosto","septiembre","octubre","noviembre","diciembre"},0)+1,0))</f>
        <v/>
      </c>
      <c r="E2047" t="str">
        <f>+IFERROR(VLOOKUP(Fact_Analitica[[#This Row], [Concepto Anterior]],Conceptos_Analítica_contraloría[#All],5,0),"")</f>
        <v/>
      </c>
      <c r="F2047" t="str">
        <f>+IFERROR(VLOOKUP(Fact_Analitica[[#This Row], [Concepto Anterior]],Conceptos_Analítica_contraloría[#All],7,0),"")</f>
        <v/>
      </c>
      <c r="I2047" t="str">
        <f>+IFERROR(VLOOKUP(D2047,Conceptos_Analítica_contraloría[#All],2,0),"")</f>
        <v/>
      </c>
      <c r="J2047" s="84" t="str">
        <f>+IFERROR(VLOOKUP(D2047,Conceptos_Analítica_contraloría[#All],3,0),"")</f>
        <v/>
      </c>
    </row>
    <row r="2048" spans="3:10" ht="18.75" customHeight="1" x14ac:dyDescent="0.35">
      <c r="C2048" s="100" t="str">
        <f>IF(OR(Fact_Analitica[[#This Row], [Año]]="",Fact_Analitica[[#This Row], [Mes]]=""),"",DATE(A2048,MATCH(B2048,{"enero","febrero","marzo","abril","mayo","junio","julio","agosto","septiembre","octubre","noviembre","diciembre"},0)+1,0))</f>
        <v/>
      </c>
      <c r="E2048" t="str">
        <f>+IFERROR(VLOOKUP(Fact_Analitica[[#This Row], [Concepto Anterior]],Conceptos_Analítica_contraloría[#All],5,0),"")</f>
        <v/>
      </c>
      <c r="F2048" t="str">
        <f>+IFERROR(VLOOKUP(Fact_Analitica[[#This Row], [Concepto Anterior]],Conceptos_Analítica_contraloría[#All],7,0),"")</f>
        <v/>
      </c>
      <c r="I2048" t="str">
        <f>+IFERROR(VLOOKUP(D2048,Conceptos_Analítica_contraloría[#All],2,0),"")</f>
        <v/>
      </c>
      <c r="J2048" s="84" t="str">
        <f>+IFERROR(VLOOKUP(D2048,Conceptos_Analítica_contraloría[#All],3,0),"")</f>
        <v/>
      </c>
    </row>
    <row r="2049" spans="3:10" ht="18.75" customHeight="1" x14ac:dyDescent="0.35">
      <c r="C2049" s="100" t="str">
        <f>IF(OR(Fact_Analitica[[#This Row], [Año]]="",Fact_Analitica[[#This Row], [Mes]]=""),"",DATE(A2049,MATCH(B2049,{"enero","febrero","marzo","abril","mayo","junio","julio","agosto","septiembre","octubre","noviembre","diciembre"},0)+1,0))</f>
        <v/>
      </c>
      <c r="E2049" t="str">
        <f>+IFERROR(VLOOKUP(Fact_Analitica[[#This Row], [Concepto Anterior]],Conceptos_Analítica_contraloría[#All],5,0),"")</f>
        <v/>
      </c>
      <c r="F2049" t="str">
        <f>+IFERROR(VLOOKUP(Fact_Analitica[[#This Row], [Concepto Anterior]],Conceptos_Analítica_contraloría[#All],7,0),"")</f>
        <v/>
      </c>
      <c r="I2049" t="str">
        <f>+IFERROR(VLOOKUP(D2049,Conceptos_Analítica_contraloría[#All],2,0),"")</f>
        <v/>
      </c>
      <c r="J2049" s="84" t="str">
        <f>+IFERROR(VLOOKUP(D2049,Conceptos_Analítica_contraloría[#All],3,0),"")</f>
        <v/>
      </c>
    </row>
    <row r="2050" spans="3:10" ht="18.75" customHeight="1" x14ac:dyDescent="0.35">
      <c r="C2050" s="100" t="str">
        <f>IF(OR(Fact_Analitica[[#This Row], [Año]]="",Fact_Analitica[[#This Row], [Mes]]=""),"",DATE(A2050,MATCH(B2050,{"enero","febrero","marzo","abril","mayo","junio","julio","agosto","septiembre","octubre","noviembre","diciembre"},0)+1,0))</f>
        <v/>
      </c>
      <c r="E2050" t="str">
        <f>+IFERROR(VLOOKUP(Fact_Analitica[[#This Row], [Concepto Anterior]],Conceptos_Analítica_contraloría[#All],5,0),"")</f>
        <v/>
      </c>
      <c r="F2050" t="str">
        <f>+IFERROR(VLOOKUP(Fact_Analitica[[#This Row], [Concepto Anterior]],Conceptos_Analítica_contraloría[#All],7,0),"")</f>
        <v/>
      </c>
      <c r="I2050" t="str">
        <f>+IFERROR(VLOOKUP(D2050,Conceptos_Analítica_contraloría[#All],2,0),"")</f>
        <v/>
      </c>
      <c r="J2050" s="84" t="str">
        <f>+IFERROR(VLOOKUP(D2050,Conceptos_Analítica_contraloría[#All],3,0),"")</f>
        <v/>
      </c>
    </row>
    <row r="2051" spans="3:10" ht="18.75" customHeight="1" x14ac:dyDescent="0.35">
      <c r="C2051" s="100" t="str">
        <f>IF(OR(Fact_Analitica[[#This Row], [Año]]="",Fact_Analitica[[#This Row], [Mes]]=""),"",DATE(A2051,MATCH(B2051,{"enero","febrero","marzo","abril","mayo","junio","julio","agosto","septiembre","octubre","noviembre","diciembre"},0)+1,0))</f>
        <v/>
      </c>
      <c r="E2051" t="str">
        <f>+IFERROR(VLOOKUP(Fact_Analitica[[#This Row], [Concepto Anterior]],Conceptos_Analítica_contraloría[#All],5,0),"")</f>
        <v/>
      </c>
      <c r="F2051" t="str">
        <f>+IFERROR(VLOOKUP(Fact_Analitica[[#This Row], [Concepto Anterior]],Conceptos_Analítica_contraloría[#All],7,0),"")</f>
        <v/>
      </c>
      <c r="I2051" t="str">
        <f>+IFERROR(VLOOKUP(D2051,Conceptos_Analítica_contraloría[#All],2,0),"")</f>
        <v/>
      </c>
      <c r="J2051" s="84" t="str">
        <f>+IFERROR(VLOOKUP(D2051,Conceptos_Analítica_contraloría[#All],3,0),"")</f>
        <v/>
      </c>
    </row>
    <row r="2052" spans="3:10" ht="18.75" customHeight="1" x14ac:dyDescent="0.35">
      <c r="C2052" s="100" t="str">
        <f>IF(OR(Fact_Analitica[[#This Row], [Año]]="",Fact_Analitica[[#This Row], [Mes]]=""),"",DATE(A2052,MATCH(B2052,{"enero","febrero","marzo","abril","mayo","junio","julio","agosto","septiembre","octubre","noviembre","diciembre"},0)+1,0))</f>
        <v/>
      </c>
      <c r="E2052" t="str">
        <f>+IFERROR(VLOOKUP(Fact_Analitica[[#This Row], [Concepto Anterior]],Conceptos_Analítica_contraloría[#All],5,0),"")</f>
        <v/>
      </c>
      <c r="F2052" t="str">
        <f>+IFERROR(VLOOKUP(Fact_Analitica[[#This Row], [Concepto Anterior]],Conceptos_Analítica_contraloría[#All],7,0),"")</f>
        <v/>
      </c>
      <c r="I2052" t="str">
        <f>+IFERROR(VLOOKUP(D2052,Conceptos_Analítica_contraloría[#All],2,0),"")</f>
        <v/>
      </c>
      <c r="J2052" s="84" t="str">
        <f>+IFERROR(VLOOKUP(D2052,Conceptos_Analítica_contraloría[#All],3,0),"")</f>
        <v/>
      </c>
    </row>
    <row r="2053" spans="3:10" ht="18.75" customHeight="1" x14ac:dyDescent="0.35">
      <c r="C2053" s="100" t="str">
        <f>IF(OR(Fact_Analitica[[#This Row], [Año]]="",Fact_Analitica[[#This Row], [Mes]]=""),"",DATE(A2053,MATCH(B2053,{"enero","febrero","marzo","abril","mayo","junio","julio","agosto","septiembre","octubre","noviembre","diciembre"},0)+1,0))</f>
        <v/>
      </c>
      <c r="E2053" t="str">
        <f>+IFERROR(VLOOKUP(Fact_Analitica[[#This Row], [Concepto Anterior]],Conceptos_Analítica_contraloría[#All],5,0),"")</f>
        <v/>
      </c>
      <c r="F2053" t="str">
        <f>+IFERROR(VLOOKUP(Fact_Analitica[[#This Row], [Concepto Anterior]],Conceptos_Analítica_contraloría[#All],7,0),"")</f>
        <v/>
      </c>
      <c r="I2053" t="str">
        <f>+IFERROR(VLOOKUP(D2053,Conceptos_Analítica_contraloría[#All],2,0),"")</f>
        <v/>
      </c>
      <c r="J2053" s="84" t="str">
        <f>+IFERROR(VLOOKUP(D2053,Conceptos_Analítica_contraloría[#All],3,0),"")</f>
        <v/>
      </c>
    </row>
    <row r="2054" spans="3:10" ht="18.75" customHeight="1" x14ac:dyDescent="0.35">
      <c r="C2054" s="100" t="str">
        <f>IF(OR(Fact_Analitica[[#This Row], [Año]]="",Fact_Analitica[[#This Row], [Mes]]=""),"",DATE(A2054,MATCH(B2054,{"enero","febrero","marzo","abril","mayo","junio","julio","agosto","septiembre","octubre","noviembre","diciembre"},0)+1,0))</f>
        <v/>
      </c>
      <c r="E2054" t="str">
        <f>+IFERROR(VLOOKUP(Fact_Analitica[[#This Row], [Concepto Anterior]],Conceptos_Analítica_contraloría[#All],5,0),"")</f>
        <v/>
      </c>
      <c r="F2054" t="str">
        <f>+IFERROR(VLOOKUP(Fact_Analitica[[#This Row], [Concepto Anterior]],Conceptos_Analítica_contraloría[#All],7,0),"")</f>
        <v/>
      </c>
      <c r="I2054" t="str">
        <f>+IFERROR(VLOOKUP(D2054,Conceptos_Analítica_contraloría[#All],2,0),"")</f>
        <v/>
      </c>
      <c r="J2054" s="84" t="str">
        <f>+IFERROR(VLOOKUP(D2054,Conceptos_Analítica_contraloría[#All],3,0),"")</f>
        <v/>
      </c>
    </row>
    <row r="2055" spans="3:10" ht="18.75" customHeight="1" x14ac:dyDescent="0.35">
      <c r="C2055" s="100" t="str">
        <f>IF(OR(Fact_Analitica[[#This Row], [Año]]="",Fact_Analitica[[#This Row], [Mes]]=""),"",DATE(A2055,MATCH(B2055,{"enero","febrero","marzo","abril","mayo","junio","julio","agosto","septiembre","octubre","noviembre","diciembre"},0)+1,0))</f>
        <v/>
      </c>
      <c r="E2055" t="str">
        <f>+IFERROR(VLOOKUP(Fact_Analitica[[#This Row], [Concepto Anterior]],Conceptos_Analítica_contraloría[#All],5,0),"")</f>
        <v/>
      </c>
      <c r="F2055" t="str">
        <f>+IFERROR(VLOOKUP(Fact_Analitica[[#This Row], [Concepto Anterior]],Conceptos_Analítica_contraloría[#All],7,0),"")</f>
        <v/>
      </c>
      <c r="I2055" t="str">
        <f>+IFERROR(VLOOKUP(D2055,Conceptos_Analítica_contraloría[#All],2,0),"")</f>
        <v/>
      </c>
      <c r="J2055" s="84" t="str">
        <f>+IFERROR(VLOOKUP(D2055,Conceptos_Analítica_contraloría[#All],3,0),"")</f>
        <v/>
      </c>
    </row>
    <row r="2056" spans="3:10" ht="18.75" customHeight="1" x14ac:dyDescent="0.35">
      <c r="C2056" s="100" t="str">
        <f>IF(OR(Fact_Analitica[[#This Row], [Año]]="",Fact_Analitica[[#This Row], [Mes]]=""),"",DATE(A2056,MATCH(B2056,{"enero","febrero","marzo","abril","mayo","junio","julio","agosto","septiembre","octubre","noviembre","diciembre"},0)+1,0))</f>
        <v/>
      </c>
      <c r="E2056" t="str">
        <f>+IFERROR(VLOOKUP(Fact_Analitica[[#This Row], [Concepto Anterior]],Conceptos_Analítica_contraloría[#All],5,0),"")</f>
        <v/>
      </c>
      <c r="F2056" t="str">
        <f>+IFERROR(VLOOKUP(Fact_Analitica[[#This Row], [Concepto Anterior]],Conceptos_Analítica_contraloría[#All],7,0),"")</f>
        <v/>
      </c>
      <c r="I2056" t="str">
        <f>+IFERROR(VLOOKUP(D2056,Conceptos_Analítica_contraloría[#All],2,0),"")</f>
        <v/>
      </c>
      <c r="J2056" s="84" t="str">
        <f>+IFERROR(VLOOKUP(D2056,Conceptos_Analítica_contraloría[#All],3,0),"")</f>
        <v/>
      </c>
    </row>
    <row r="2057" spans="3:10" ht="18.75" customHeight="1" x14ac:dyDescent="0.35">
      <c r="C2057" s="100" t="str">
        <f>IF(OR(Fact_Analitica[[#This Row], [Año]]="",Fact_Analitica[[#This Row], [Mes]]=""),"",DATE(A2057,MATCH(B2057,{"enero","febrero","marzo","abril","mayo","junio","julio","agosto","septiembre","octubre","noviembre","diciembre"},0)+1,0))</f>
        <v/>
      </c>
      <c r="E2057" t="str">
        <f>+IFERROR(VLOOKUP(Fact_Analitica[[#This Row], [Concepto Anterior]],Conceptos_Analítica_contraloría[#All],5,0),"")</f>
        <v/>
      </c>
      <c r="F2057" t="str">
        <f>+IFERROR(VLOOKUP(Fact_Analitica[[#This Row], [Concepto Anterior]],Conceptos_Analítica_contraloría[#All],7,0),"")</f>
        <v/>
      </c>
      <c r="I2057" t="str">
        <f>+IFERROR(VLOOKUP(D2057,Conceptos_Analítica_contraloría[#All],2,0),"")</f>
        <v/>
      </c>
      <c r="J2057" s="84" t="str">
        <f>+IFERROR(VLOOKUP(D2057,Conceptos_Analítica_contraloría[#All],3,0),"")</f>
        <v/>
      </c>
    </row>
    <row r="2058" spans="3:10" ht="18.75" customHeight="1" x14ac:dyDescent="0.35">
      <c r="C2058" s="100" t="str">
        <f>IF(OR(Fact_Analitica[[#This Row], [Año]]="",Fact_Analitica[[#This Row], [Mes]]=""),"",DATE(A2058,MATCH(B2058,{"enero","febrero","marzo","abril","mayo","junio","julio","agosto","septiembre","octubre","noviembre","diciembre"},0)+1,0))</f>
        <v/>
      </c>
      <c r="E2058" t="str">
        <f>+IFERROR(VLOOKUP(Fact_Analitica[[#This Row], [Concepto Anterior]],Conceptos_Analítica_contraloría[#All],5,0),"")</f>
        <v/>
      </c>
      <c r="F2058" t="str">
        <f>+IFERROR(VLOOKUP(Fact_Analitica[[#This Row], [Concepto Anterior]],Conceptos_Analítica_contraloría[#All],7,0),"")</f>
        <v/>
      </c>
      <c r="I2058" t="str">
        <f>+IFERROR(VLOOKUP(D2058,Conceptos_Analítica_contraloría[#All],2,0),"")</f>
        <v/>
      </c>
      <c r="J2058" s="84" t="str">
        <f>+IFERROR(VLOOKUP(D2058,Conceptos_Analítica_contraloría[#All],3,0),"")</f>
        <v/>
      </c>
    </row>
    <row r="2059" spans="3:10" ht="18.75" customHeight="1" x14ac:dyDescent="0.35">
      <c r="C2059" s="100" t="str">
        <f>IF(OR(Fact_Analitica[[#This Row], [Año]]="",Fact_Analitica[[#This Row], [Mes]]=""),"",DATE(A2059,MATCH(B2059,{"enero","febrero","marzo","abril","mayo","junio","julio","agosto","septiembre","octubre","noviembre","diciembre"},0)+1,0))</f>
        <v/>
      </c>
      <c r="E2059" t="str">
        <f>+IFERROR(VLOOKUP(Fact_Analitica[[#This Row], [Concepto Anterior]],Conceptos_Analítica_contraloría[#All],5,0),"")</f>
        <v/>
      </c>
      <c r="F2059" t="str">
        <f>+IFERROR(VLOOKUP(Fact_Analitica[[#This Row], [Concepto Anterior]],Conceptos_Analítica_contraloría[#All],7,0),"")</f>
        <v/>
      </c>
      <c r="I2059" t="str">
        <f>+IFERROR(VLOOKUP(D2059,Conceptos_Analítica_contraloría[#All],2,0),"")</f>
        <v/>
      </c>
      <c r="J2059" s="84" t="str">
        <f>+IFERROR(VLOOKUP(D2059,Conceptos_Analítica_contraloría[#All],3,0),"")</f>
        <v/>
      </c>
    </row>
    <row r="2060" spans="3:10" ht="18.75" customHeight="1" x14ac:dyDescent="0.35">
      <c r="C2060" s="100" t="str">
        <f>IF(OR(Fact_Analitica[[#This Row], [Año]]="",Fact_Analitica[[#This Row], [Mes]]=""),"",DATE(A2060,MATCH(B2060,{"enero","febrero","marzo","abril","mayo","junio","julio","agosto","septiembre","octubre","noviembre","diciembre"},0)+1,0))</f>
        <v/>
      </c>
      <c r="E2060" t="str">
        <f>+IFERROR(VLOOKUP(Fact_Analitica[[#This Row], [Concepto Anterior]],Conceptos_Analítica_contraloría[#All],5,0),"")</f>
        <v/>
      </c>
      <c r="F2060" t="str">
        <f>+IFERROR(VLOOKUP(Fact_Analitica[[#This Row], [Concepto Anterior]],Conceptos_Analítica_contraloría[#All],7,0),"")</f>
        <v/>
      </c>
      <c r="I2060" t="str">
        <f>+IFERROR(VLOOKUP(D2060,Conceptos_Analítica_contraloría[#All],2,0),"")</f>
        <v/>
      </c>
      <c r="J2060" s="84" t="str">
        <f>+IFERROR(VLOOKUP(D2060,Conceptos_Analítica_contraloría[#All],3,0),"")</f>
        <v/>
      </c>
    </row>
    <row r="2061" spans="3:10" ht="18.75" customHeight="1" x14ac:dyDescent="0.35">
      <c r="C2061" s="100" t="str">
        <f>IF(OR(Fact_Analitica[[#This Row], [Año]]="",Fact_Analitica[[#This Row], [Mes]]=""),"",DATE(A2061,MATCH(B2061,{"enero","febrero","marzo","abril","mayo","junio","julio","agosto","septiembre","octubre","noviembre","diciembre"},0)+1,0))</f>
        <v/>
      </c>
      <c r="E2061" t="str">
        <f>+IFERROR(VLOOKUP(Fact_Analitica[[#This Row], [Concepto Anterior]],Conceptos_Analítica_contraloría[#All],5,0),"")</f>
        <v/>
      </c>
      <c r="F2061" t="str">
        <f>+IFERROR(VLOOKUP(Fact_Analitica[[#This Row], [Concepto Anterior]],Conceptos_Analítica_contraloría[#All],7,0),"")</f>
        <v/>
      </c>
      <c r="I2061" t="str">
        <f>+IFERROR(VLOOKUP(D2061,Conceptos_Analítica_contraloría[#All],2,0),"")</f>
        <v/>
      </c>
      <c r="J2061" s="84" t="str">
        <f>+IFERROR(VLOOKUP(D2061,Conceptos_Analítica_contraloría[#All],3,0),"")</f>
        <v/>
      </c>
    </row>
    <row r="2062" spans="3:10" ht="18.75" customHeight="1" x14ac:dyDescent="0.35">
      <c r="C2062" s="100" t="str">
        <f>IF(OR(Fact_Analitica[[#This Row], [Año]]="",Fact_Analitica[[#This Row], [Mes]]=""),"",DATE(A2062,MATCH(B2062,{"enero","febrero","marzo","abril","mayo","junio","julio","agosto","septiembre","octubre","noviembre","diciembre"},0)+1,0))</f>
        <v/>
      </c>
      <c r="E2062" t="str">
        <f>+IFERROR(VLOOKUP(Fact_Analitica[[#This Row], [Concepto Anterior]],Conceptos_Analítica_contraloría[#All],5,0),"")</f>
        <v/>
      </c>
      <c r="F2062" t="str">
        <f>+IFERROR(VLOOKUP(Fact_Analitica[[#This Row], [Concepto Anterior]],Conceptos_Analítica_contraloría[#All],7,0),"")</f>
        <v/>
      </c>
      <c r="I2062" t="str">
        <f>+IFERROR(VLOOKUP(D2062,Conceptos_Analítica_contraloría[#All],2,0),"")</f>
        <v/>
      </c>
      <c r="J2062" s="84" t="str">
        <f>+IFERROR(VLOOKUP(D2062,Conceptos_Analítica_contraloría[#All],3,0),"")</f>
        <v/>
      </c>
    </row>
    <row r="2063" spans="3:10" ht="18.75" customHeight="1" x14ac:dyDescent="0.35">
      <c r="C2063" s="100" t="str">
        <f>IF(OR(Fact_Analitica[[#This Row], [Año]]="",Fact_Analitica[[#This Row], [Mes]]=""),"",DATE(A2063,MATCH(B2063,{"enero","febrero","marzo","abril","mayo","junio","julio","agosto","septiembre","octubre","noviembre","diciembre"},0)+1,0))</f>
        <v/>
      </c>
      <c r="E2063" t="str">
        <f>+IFERROR(VLOOKUP(Fact_Analitica[[#This Row], [Concepto Anterior]],Conceptos_Analítica_contraloría[#All],5,0),"")</f>
        <v/>
      </c>
      <c r="F2063" t="str">
        <f>+IFERROR(VLOOKUP(Fact_Analitica[[#This Row], [Concepto Anterior]],Conceptos_Analítica_contraloría[#All],7,0),"")</f>
        <v/>
      </c>
      <c r="I2063" t="str">
        <f>+IFERROR(VLOOKUP(D2063,Conceptos_Analítica_contraloría[#All],2,0),"")</f>
        <v/>
      </c>
      <c r="J2063" s="84" t="str">
        <f>+IFERROR(VLOOKUP(D2063,Conceptos_Analítica_contraloría[#All],3,0),"")</f>
        <v/>
      </c>
    </row>
    <row r="2064" spans="3:10" ht="18.75" customHeight="1" x14ac:dyDescent="0.35">
      <c r="C2064" s="100" t="str">
        <f>IF(OR(Fact_Analitica[[#This Row], [Año]]="",Fact_Analitica[[#This Row], [Mes]]=""),"",DATE(A2064,MATCH(B2064,{"enero","febrero","marzo","abril","mayo","junio","julio","agosto","septiembre","octubre","noviembre","diciembre"},0)+1,0))</f>
        <v/>
      </c>
      <c r="E2064" t="str">
        <f>+IFERROR(VLOOKUP(Fact_Analitica[[#This Row], [Concepto Anterior]],Conceptos_Analítica_contraloría[#All],5,0),"")</f>
        <v/>
      </c>
      <c r="F2064" t="str">
        <f>+IFERROR(VLOOKUP(Fact_Analitica[[#This Row], [Concepto Anterior]],Conceptos_Analítica_contraloría[#All],7,0),"")</f>
        <v/>
      </c>
      <c r="I2064" t="str">
        <f>+IFERROR(VLOOKUP(D2064,Conceptos_Analítica_contraloría[#All],2,0),"")</f>
        <v/>
      </c>
      <c r="J2064" s="84" t="str">
        <f>+IFERROR(VLOOKUP(D2064,Conceptos_Analítica_contraloría[#All],3,0),"")</f>
        <v/>
      </c>
    </row>
    <row r="2065" spans="3:10" ht="18.75" customHeight="1" x14ac:dyDescent="0.35">
      <c r="C2065" s="100" t="str">
        <f>IF(OR(Fact_Analitica[[#This Row], [Año]]="",Fact_Analitica[[#This Row], [Mes]]=""),"",DATE(A2065,MATCH(B2065,{"enero","febrero","marzo","abril","mayo","junio","julio","agosto","septiembre","octubre","noviembre","diciembre"},0)+1,0))</f>
        <v/>
      </c>
      <c r="E2065" t="str">
        <f>+IFERROR(VLOOKUP(Fact_Analitica[[#This Row], [Concepto Anterior]],Conceptos_Analítica_contraloría[#All],5,0),"")</f>
        <v/>
      </c>
      <c r="F2065" t="str">
        <f>+IFERROR(VLOOKUP(Fact_Analitica[[#This Row], [Concepto Anterior]],Conceptos_Analítica_contraloría[#All],7,0),"")</f>
        <v/>
      </c>
      <c r="I2065" t="str">
        <f>+IFERROR(VLOOKUP(D2065,Conceptos_Analítica_contraloría[#All],2,0),"")</f>
        <v/>
      </c>
      <c r="J2065" s="84" t="str">
        <f>+IFERROR(VLOOKUP(D2065,Conceptos_Analítica_contraloría[#All],3,0),"")</f>
        <v/>
      </c>
    </row>
    <row r="2066" spans="3:10" ht="18.75" customHeight="1" x14ac:dyDescent="0.35">
      <c r="C2066" s="100" t="str">
        <f>IF(OR(Fact_Analitica[[#This Row], [Año]]="",Fact_Analitica[[#This Row], [Mes]]=""),"",DATE(A2066,MATCH(B2066,{"enero","febrero","marzo","abril","mayo","junio","julio","agosto","septiembre","octubre","noviembre","diciembre"},0)+1,0))</f>
        <v/>
      </c>
      <c r="E2066" t="str">
        <f>+IFERROR(VLOOKUP(Fact_Analitica[[#This Row], [Concepto Anterior]],Conceptos_Analítica_contraloría[#All],5,0),"")</f>
        <v/>
      </c>
      <c r="F2066" t="str">
        <f>+IFERROR(VLOOKUP(Fact_Analitica[[#This Row], [Concepto Anterior]],Conceptos_Analítica_contraloría[#All],7,0),"")</f>
        <v/>
      </c>
      <c r="I2066" t="str">
        <f>+IFERROR(VLOOKUP(D2066,Conceptos_Analítica_contraloría[#All],2,0),"")</f>
        <v/>
      </c>
      <c r="J2066" s="84" t="str">
        <f>+IFERROR(VLOOKUP(D2066,Conceptos_Analítica_contraloría[#All],3,0),"")</f>
        <v/>
      </c>
    </row>
    <row r="2067" spans="3:10" ht="18.75" customHeight="1" x14ac:dyDescent="0.35">
      <c r="C2067" s="100" t="str">
        <f>IF(OR(Fact_Analitica[[#This Row], [Año]]="",Fact_Analitica[[#This Row], [Mes]]=""),"",DATE(A2067,MATCH(B2067,{"enero","febrero","marzo","abril","mayo","junio","julio","agosto","septiembre","octubre","noviembre","diciembre"},0)+1,0))</f>
        <v/>
      </c>
      <c r="E2067" t="str">
        <f>+IFERROR(VLOOKUP(Fact_Analitica[[#This Row], [Concepto Anterior]],Conceptos_Analítica_contraloría[#All],5,0),"")</f>
        <v/>
      </c>
      <c r="F2067" t="str">
        <f>+IFERROR(VLOOKUP(Fact_Analitica[[#This Row], [Concepto Anterior]],Conceptos_Analítica_contraloría[#All],7,0),"")</f>
        <v/>
      </c>
      <c r="I2067" t="str">
        <f>+IFERROR(VLOOKUP(D2067,Conceptos_Analítica_contraloría[#All],2,0),"")</f>
        <v/>
      </c>
      <c r="J2067" s="84" t="str">
        <f>+IFERROR(VLOOKUP(D2067,Conceptos_Analítica_contraloría[#All],3,0),"")</f>
        <v/>
      </c>
    </row>
    <row r="2068" spans="3:10" ht="18.75" customHeight="1" x14ac:dyDescent="0.35">
      <c r="C2068" s="100" t="str">
        <f>IF(OR(Fact_Analitica[[#This Row], [Año]]="",Fact_Analitica[[#This Row], [Mes]]=""),"",DATE(A2068,MATCH(B2068,{"enero","febrero","marzo","abril","mayo","junio","julio","agosto","septiembre","octubre","noviembre","diciembre"},0)+1,0))</f>
        <v/>
      </c>
      <c r="E2068" t="str">
        <f>+IFERROR(VLOOKUP(Fact_Analitica[[#This Row], [Concepto Anterior]],Conceptos_Analítica_contraloría[#All],5,0),"")</f>
        <v/>
      </c>
      <c r="F2068" t="str">
        <f>+IFERROR(VLOOKUP(Fact_Analitica[[#This Row], [Concepto Anterior]],Conceptos_Analítica_contraloría[#All],7,0),"")</f>
        <v/>
      </c>
      <c r="I2068" t="str">
        <f>+IFERROR(VLOOKUP(D2068,Conceptos_Analítica_contraloría[#All],2,0),"")</f>
        <v/>
      </c>
      <c r="J2068" s="84" t="str">
        <f>+IFERROR(VLOOKUP(D2068,Conceptos_Analítica_contraloría[#All],3,0),"")</f>
        <v/>
      </c>
    </row>
    <row r="2069" spans="3:10" ht="18.75" customHeight="1" x14ac:dyDescent="0.35">
      <c r="C2069" s="100" t="str">
        <f>IF(OR(Fact_Analitica[[#This Row], [Año]]="",Fact_Analitica[[#This Row], [Mes]]=""),"",DATE(A2069,MATCH(B2069,{"enero","febrero","marzo","abril","mayo","junio","julio","agosto","septiembre","octubre","noviembre","diciembre"},0)+1,0))</f>
        <v/>
      </c>
      <c r="E2069" t="str">
        <f>+IFERROR(VLOOKUP(Fact_Analitica[[#This Row], [Concepto Anterior]],Conceptos_Analítica_contraloría[#All],5,0),"")</f>
        <v/>
      </c>
      <c r="F2069" t="str">
        <f>+IFERROR(VLOOKUP(Fact_Analitica[[#This Row], [Concepto Anterior]],Conceptos_Analítica_contraloría[#All],7,0),"")</f>
        <v/>
      </c>
      <c r="I2069" t="str">
        <f>+IFERROR(VLOOKUP(D2069,Conceptos_Analítica_contraloría[#All],2,0),"")</f>
        <v/>
      </c>
      <c r="J2069" s="84" t="str">
        <f>+IFERROR(VLOOKUP(D2069,Conceptos_Analítica_contraloría[#All],3,0),"")</f>
        <v/>
      </c>
    </row>
    <row r="2070" spans="3:10" ht="18.75" customHeight="1" x14ac:dyDescent="0.35">
      <c r="C2070" s="100" t="str">
        <f>IF(OR(Fact_Analitica[[#This Row], [Año]]="",Fact_Analitica[[#This Row], [Mes]]=""),"",DATE(A2070,MATCH(B2070,{"enero","febrero","marzo","abril","mayo","junio","julio","agosto","septiembre","octubre","noviembre","diciembre"},0)+1,0))</f>
        <v/>
      </c>
      <c r="E2070" t="str">
        <f>+IFERROR(VLOOKUP(Fact_Analitica[[#This Row], [Concepto Anterior]],Conceptos_Analítica_contraloría[#All],5,0),"")</f>
        <v/>
      </c>
      <c r="F2070" t="str">
        <f>+IFERROR(VLOOKUP(Fact_Analitica[[#This Row], [Concepto Anterior]],Conceptos_Analítica_contraloría[#All],7,0),"")</f>
        <v/>
      </c>
      <c r="I2070" t="str">
        <f>+IFERROR(VLOOKUP(D2070,Conceptos_Analítica_contraloría[#All],2,0),"")</f>
        <v/>
      </c>
      <c r="J2070" s="84" t="str">
        <f>+IFERROR(VLOOKUP(D2070,Conceptos_Analítica_contraloría[#All],3,0),"")</f>
        <v/>
      </c>
    </row>
    <row r="2071" spans="3:10" ht="18.75" customHeight="1" x14ac:dyDescent="0.35">
      <c r="C2071" s="100" t="str">
        <f>IF(OR(Fact_Analitica[[#This Row], [Año]]="",Fact_Analitica[[#This Row], [Mes]]=""),"",DATE(A2071,MATCH(B2071,{"enero","febrero","marzo","abril","mayo","junio","julio","agosto","septiembre","octubre","noviembre","diciembre"},0)+1,0))</f>
        <v/>
      </c>
      <c r="E2071" t="str">
        <f>+IFERROR(VLOOKUP(Fact_Analitica[[#This Row], [Concepto Anterior]],Conceptos_Analítica_contraloría[#All],5,0),"")</f>
        <v/>
      </c>
      <c r="F2071" t="str">
        <f>+IFERROR(VLOOKUP(Fact_Analitica[[#This Row], [Concepto Anterior]],Conceptos_Analítica_contraloría[#All],7,0),"")</f>
        <v/>
      </c>
      <c r="I2071" t="str">
        <f>+IFERROR(VLOOKUP(D2071,Conceptos_Analítica_contraloría[#All],2,0),"")</f>
        <v/>
      </c>
      <c r="J2071" s="84" t="str">
        <f>+IFERROR(VLOOKUP(D2071,Conceptos_Analítica_contraloría[#All],3,0),"")</f>
        <v/>
      </c>
    </row>
    <row r="2072" spans="3:10" ht="18.75" customHeight="1" x14ac:dyDescent="0.35">
      <c r="C2072" s="100" t="str">
        <f>IF(OR(Fact_Analitica[[#This Row], [Año]]="",Fact_Analitica[[#This Row], [Mes]]=""),"",DATE(A2072,MATCH(B2072,{"enero","febrero","marzo","abril","mayo","junio","julio","agosto","septiembre","octubre","noviembre","diciembre"},0)+1,0))</f>
        <v/>
      </c>
      <c r="E2072" t="str">
        <f>+IFERROR(VLOOKUP(Fact_Analitica[[#This Row], [Concepto Anterior]],Conceptos_Analítica_contraloría[#All],5,0),"")</f>
        <v/>
      </c>
      <c r="F2072" t="str">
        <f>+IFERROR(VLOOKUP(Fact_Analitica[[#This Row], [Concepto Anterior]],Conceptos_Analítica_contraloría[#All],7,0),"")</f>
        <v/>
      </c>
      <c r="I2072" t="str">
        <f>+IFERROR(VLOOKUP(D2072,Conceptos_Analítica_contraloría[#All],2,0),"")</f>
        <v/>
      </c>
      <c r="J2072" s="84" t="str">
        <f>+IFERROR(VLOOKUP(D2072,Conceptos_Analítica_contraloría[#All],3,0),"")</f>
        <v/>
      </c>
    </row>
    <row r="2073" spans="3:10" ht="18.75" customHeight="1" x14ac:dyDescent="0.35">
      <c r="C2073" s="100" t="str">
        <f>IF(OR(Fact_Analitica[[#This Row], [Año]]="",Fact_Analitica[[#This Row], [Mes]]=""),"",DATE(A2073,MATCH(B2073,{"enero","febrero","marzo","abril","mayo","junio","julio","agosto","septiembre","octubre","noviembre","diciembre"},0)+1,0))</f>
        <v/>
      </c>
      <c r="E2073" t="str">
        <f>+IFERROR(VLOOKUP(Fact_Analitica[[#This Row], [Concepto Anterior]],Conceptos_Analítica_contraloría[#All],5,0),"")</f>
        <v/>
      </c>
      <c r="F2073" t="str">
        <f>+IFERROR(VLOOKUP(Fact_Analitica[[#This Row], [Concepto Anterior]],Conceptos_Analítica_contraloría[#All],7,0),"")</f>
        <v/>
      </c>
      <c r="I2073" t="str">
        <f>+IFERROR(VLOOKUP(D2073,Conceptos_Analítica_contraloría[#All],2,0),"")</f>
        <v/>
      </c>
      <c r="J2073" s="84" t="str">
        <f>+IFERROR(VLOOKUP(D2073,Conceptos_Analítica_contraloría[#All],3,0),"")</f>
        <v/>
      </c>
    </row>
    <row r="2074" spans="3:10" ht="18.75" customHeight="1" x14ac:dyDescent="0.35">
      <c r="C2074" s="100" t="str">
        <f>IF(OR(Fact_Analitica[[#This Row], [Año]]="",Fact_Analitica[[#This Row], [Mes]]=""),"",DATE(A2074,MATCH(B2074,{"enero","febrero","marzo","abril","mayo","junio","julio","agosto","septiembre","octubre","noviembre","diciembre"},0)+1,0))</f>
        <v/>
      </c>
      <c r="E2074" t="str">
        <f>+IFERROR(VLOOKUP(Fact_Analitica[[#This Row], [Concepto Anterior]],Conceptos_Analítica_contraloría[#All],5,0),"")</f>
        <v/>
      </c>
      <c r="F2074" t="str">
        <f>+IFERROR(VLOOKUP(Fact_Analitica[[#This Row], [Concepto Anterior]],Conceptos_Analítica_contraloría[#All],7,0),"")</f>
        <v/>
      </c>
      <c r="I2074" t="str">
        <f>+IFERROR(VLOOKUP(D2074,Conceptos_Analítica_contraloría[#All],2,0),"")</f>
        <v/>
      </c>
      <c r="J2074" s="84" t="str">
        <f>+IFERROR(VLOOKUP(D2074,Conceptos_Analítica_contraloría[#All],3,0),"")</f>
        <v/>
      </c>
    </row>
    <row r="2075" spans="3:10" ht="18.75" customHeight="1" x14ac:dyDescent="0.35">
      <c r="C2075" s="100" t="str">
        <f>IF(OR(Fact_Analitica[[#This Row], [Año]]="",Fact_Analitica[[#This Row], [Mes]]=""),"",DATE(A2075,MATCH(B2075,{"enero","febrero","marzo","abril","mayo","junio","julio","agosto","septiembre","octubre","noviembre","diciembre"},0)+1,0))</f>
        <v/>
      </c>
      <c r="E2075" t="str">
        <f>+IFERROR(VLOOKUP(Fact_Analitica[[#This Row], [Concepto Anterior]],Conceptos_Analítica_contraloría[#All],5,0),"")</f>
        <v/>
      </c>
      <c r="F2075" t="str">
        <f>+IFERROR(VLOOKUP(Fact_Analitica[[#This Row], [Concepto Anterior]],Conceptos_Analítica_contraloría[#All],7,0),"")</f>
        <v/>
      </c>
      <c r="I2075" t="str">
        <f>+IFERROR(VLOOKUP(D2075,Conceptos_Analítica_contraloría[#All],2,0),"")</f>
        <v/>
      </c>
      <c r="J2075" s="84" t="str">
        <f>+IFERROR(VLOOKUP(D2075,Conceptos_Analítica_contraloría[#All],3,0),"")</f>
        <v/>
      </c>
    </row>
    <row r="2076" spans="3:10" ht="18.75" customHeight="1" x14ac:dyDescent="0.35">
      <c r="C2076" s="100" t="str">
        <f>IF(OR(Fact_Analitica[[#This Row], [Año]]="",Fact_Analitica[[#This Row], [Mes]]=""),"",DATE(A2076,MATCH(B2076,{"enero","febrero","marzo","abril","mayo","junio","julio","agosto","septiembre","octubre","noviembre","diciembre"},0)+1,0))</f>
        <v/>
      </c>
      <c r="E2076" t="str">
        <f>+IFERROR(VLOOKUP(Fact_Analitica[[#This Row], [Concepto Anterior]],Conceptos_Analítica_contraloría[#All],5,0),"")</f>
        <v/>
      </c>
      <c r="F2076" t="str">
        <f>+IFERROR(VLOOKUP(Fact_Analitica[[#This Row], [Concepto Anterior]],Conceptos_Analítica_contraloría[#All],7,0),"")</f>
        <v/>
      </c>
      <c r="I2076" t="str">
        <f>+IFERROR(VLOOKUP(D2076,Conceptos_Analítica_contraloría[#All],2,0),"")</f>
        <v/>
      </c>
      <c r="J2076" s="84" t="str">
        <f>+IFERROR(VLOOKUP(D2076,Conceptos_Analítica_contraloría[#All],3,0),"")</f>
        <v/>
      </c>
    </row>
    <row r="2077" spans="3:10" ht="18.75" customHeight="1" x14ac:dyDescent="0.35">
      <c r="C2077" s="100" t="str">
        <f>IF(OR(Fact_Analitica[[#This Row], [Año]]="",Fact_Analitica[[#This Row], [Mes]]=""),"",DATE(A2077,MATCH(B2077,{"enero","febrero","marzo","abril","mayo","junio","julio","agosto","septiembre","octubre","noviembre","diciembre"},0)+1,0))</f>
        <v/>
      </c>
      <c r="E2077" t="str">
        <f>+IFERROR(VLOOKUP(Fact_Analitica[[#This Row], [Concepto Anterior]],Conceptos_Analítica_contraloría[#All],5,0),"")</f>
        <v/>
      </c>
      <c r="F2077" t="str">
        <f>+IFERROR(VLOOKUP(Fact_Analitica[[#This Row], [Concepto Anterior]],Conceptos_Analítica_contraloría[#All],7,0),"")</f>
        <v/>
      </c>
      <c r="I2077" t="str">
        <f>+IFERROR(VLOOKUP(D2077,Conceptos_Analítica_contraloría[#All],2,0),"")</f>
        <v/>
      </c>
      <c r="J2077" s="84" t="str">
        <f>+IFERROR(VLOOKUP(D2077,Conceptos_Analítica_contraloría[#All],3,0),"")</f>
        <v/>
      </c>
    </row>
    <row r="2078" spans="3:10" ht="18.75" customHeight="1" x14ac:dyDescent="0.35">
      <c r="C2078" s="100" t="str">
        <f>IF(OR(Fact_Analitica[[#This Row], [Año]]="",Fact_Analitica[[#This Row], [Mes]]=""),"",DATE(A2078,MATCH(B2078,{"enero","febrero","marzo","abril","mayo","junio","julio","agosto","septiembre","octubre","noviembre","diciembre"},0)+1,0))</f>
        <v/>
      </c>
      <c r="E2078" t="str">
        <f>+IFERROR(VLOOKUP(Fact_Analitica[[#This Row], [Concepto Anterior]],Conceptos_Analítica_contraloría[#All],5,0),"")</f>
        <v/>
      </c>
      <c r="F2078" t="str">
        <f>+IFERROR(VLOOKUP(Fact_Analitica[[#This Row], [Concepto Anterior]],Conceptos_Analítica_contraloría[#All],7,0),"")</f>
        <v/>
      </c>
      <c r="I2078" t="str">
        <f>+IFERROR(VLOOKUP(D2078,Conceptos_Analítica_contraloría[#All],2,0),"")</f>
        <v/>
      </c>
      <c r="J2078" s="84" t="str">
        <f>+IFERROR(VLOOKUP(D2078,Conceptos_Analítica_contraloría[#All],3,0),"")</f>
        <v/>
      </c>
    </row>
    <row r="2079" spans="3:10" ht="18.75" customHeight="1" x14ac:dyDescent="0.35">
      <c r="C2079" s="100" t="str">
        <f>IF(OR(Fact_Analitica[[#This Row], [Año]]="",Fact_Analitica[[#This Row], [Mes]]=""),"",DATE(A2079,MATCH(B2079,{"enero","febrero","marzo","abril","mayo","junio","julio","agosto","septiembre","octubre","noviembre","diciembre"},0)+1,0))</f>
        <v/>
      </c>
      <c r="E2079" t="str">
        <f>+IFERROR(VLOOKUP(Fact_Analitica[[#This Row], [Concepto Anterior]],Conceptos_Analítica_contraloría[#All],5,0),"")</f>
        <v/>
      </c>
      <c r="F2079" t="str">
        <f>+IFERROR(VLOOKUP(Fact_Analitica[[#This Row], [Concepto Anterior]],Conceptos_Analítica_contraloría[#All],7,0),"")</f>
        <v/>
      </c>
      <c r="I2079" t="str">
        <f>+IFERROR(VLOOKUP(D2079,Conceptos_Analítica_contraloría[#All],2,0),"")</f>
        <v/>
      </c>
      <c r="J2079" s="84" t="str">
        <f>+IFERROR(VLOOKUP(D2079,Conceptos_Analítica_contraloría[#All],3,0),"")</f>
        <v/>
      </c>
    </row>
    <row r="2080" spans="3:10" ht="18.75" customHeight="1" x14ac:dyDescent="0.35">
      <c r="C2080" s="100" t="str">
        <f>IF(OR(Fact_Analitica[[#This Row], [Año]]="",Fact_Analitica[[#This Row], [Mes]]=""),"",DATE(A2080,MATCH(B2080,{"enero","febrero","marzo","abril","mayo","junio","julio","agosto","septiembre","octubre","noviembre","diciembre"},0)+1,0))</f>
        <v/>
      </c>
      <c r="E2080" t="str">
        <f>+IFERROR(VLOOKUP(Fact_Analitica[[#This Row], [Concepto Anterior]],Conceptos_Analítica_contraloría[#All],5,0),"")</f>
        <v/>
      </c>
      <c r="F2080" t="str">
        <f>+IFERROR(VLOOKUP(Fact_Analitica[[#This Row], [Concepto Anterior]],Conceptos_Analítica_contraloría[#All],7,0),"")</f>
        <v/>
      </c>
      <c r="I2080" t="str">
        <f>+IFERROR(VLOOKUP(D2080,Conceptos_Analítica_contraloría[#All],2,0),"")</f>
        <v/>
      </c>
      <c r="J2080" s="84" t="str">
        <f>+IFERROR(VLOOKUP(D2080,Conceptos_Analítica_contraloría[#All],3,0),"")</f>
        <v/>
      </c>
    </row>
    <row r="2081" spans="3:10" ht="18.75" customHeight="1" x14ac:dyDescent="0.35">
      <c r="C2081" s="100" t="str">
        <f>IF(OR(Fact_Analitica[[#This Row], [Año]]="",Fact_Analitica[[#This Row], [Mes]]=""),"",DATE(A2081,MATCH(B2081,{"enero","febrero","marzo","abril","mayo","junio","julio","agosto","septiembre","octubre","noviembre","diciembre"},0)+1,0))</f>
        <v/>
      </c>
      <c r="E2081" t="str">
        <f>+IFERROR(VLOOKUP(Fact_Analitica[[#This Row], [Concepto Anterior]],Conceptos_Analítica_contraloría[#All],5,0),"")</f>
        <v/>
      </c>
      <c r="F2081" t="str">
        <f>+IFERROR(VLOOKUP(Fact_Analitica[[#This Row], [Concepto Anterior]],Conceptos_Analítica_contraloría[#All],7,0),"")</f>
        <v/>
      </c>
      <c r="I2081" t="str">
        <f>+IFERROR(VLOOKUP(D2081,Conceptos_Analítica_contraloría[#All],2,0),"")</f>
        <v/>
      </c>
      <c r="J2081" s="84" t="str">
        <f>+IFERROR(VLOOKUP(D2081,Conceptos_Analítica_contraloría[#All],3,0),"")</f>
        <v/>
      </c>
    </row>
    <row r="2082" spans="3:10" ht="18.75" customHeight="1" x14ac:dyDescent="0.35">
      <c r="C2082" s="100" t="str">
        <f>IF(OR(Fact_Analitica[[#This Row], [Año]]="",Fact_Analitica[[#This Row], [Mes]]=""),"",DATE(A2082,MATCH(B2082,{"enero","febrero","marzo","abril","mayo","junio","julio","agosto","septiembre","octubre","noviembre","diciembre"},0)+1,0))</f>
        <v/>
      </c>
      <c r="E2082" t="str">
        <f>+IFERROR(VLOOKUP(Fact_Analitica[[#This Row], [Concepto Anterior]],Conceptos_Analítica_contraloría[#All],5,0),"")</f>
        <v/>
      </c>
      <c r="F2082" t="str">
        <f>+IFERROR(VLOOKUP(Fact_Analitica[[#This Row], [Concepto Anterior]],Conceptos_Analítica_contraloría[#All],7,0),"")</f>
        <v/>
      </c>
      <c r="I2082" t="str">
        <f>+IFERROR(VLOOKUP(D2082,Conceptos_Analítica_contraloría[#All],2,0),"")</f>
        <v/>
      </c>
      <c r="J2082" s="84" t="str">
        <f>+IFERROR(VLOOKUP(D2082,Conceptos_Analítica_contraloría[#All],3,0),"")</f>
        <v/>
      </c>
    </row>
    <row r="2083" spans="3:10" ht="18.75" customHeight="1" x14ac:dyDescent="0.35">
      <c r="C2083" s="100" t="str">
        <f>IF(OR(Fact_Analitica[[#This Row], [Año]]="",Fact_Analitica[[#This Row], [Mes]]=""),"",DATE(A2083,MATCH(B2083,{"enero","febrero","marzo","abril","mayo","junio","julio","agosto","septiembre","octubre","noviembre","diciembre"},0)+1,0))</f>
        <v/>
      </c>
      <c r="E2083" t="str">
        <f>+IFERROR(VLOOKUP(Fact_Analitica[[#This Row], [Concepto Anterior]],Conceptos_Analítica_contraloría[#All],5,0),"")</f>
        <v/>
      </c>
      <c r="F2083" t="str">
        <f>+IFERROR(VLOOKUP(Fact_Analitica[[#This Row], [Concepto Anterior]],Conceptos_Analítica_contraloría[#All],7,0),"")</f>
        <v/>
      </c>
      <c r="I2083" t="str">
        <f>+IFERROR(VLOOKUP(D2083,Conceptos_Analítica_contraloría[#All],2,0),"")</f>
        <v/>
      </c>
      <c r="J2083" s="84" t="str">
        <f>+IFERROR(VLOOKUP(D2083,Conceptos_Analítica_contraloría[#All],3,0),"")</f>
        <v/>
      </c>
    </row>
    <row r="2084" spans="3:10" ht="18.75" customHeight="1" x14ac:dyDescent="0.35">
      <c r="C2084" s="100" t="str">
        <f>IF(OR(Fact_Analitica[[#This Row], [Año]]="",Fact_Analitica[[#This Row], [Mes]]=""),"",DATE(A2084,MATCH(B2084,{"enero","febrero","marzo","abril","mayo","junio","julio","agosto","septiembre","octubre","noviembre","diciembre"},0)+1,0))</f>
        <v/>
      </c>
      <c r="E2084" t="str">
        <f>+IFERROR(VLOOKUP(Fact_Analitica[[#This Row], [Concepto Anterior]],Conceptos_Analítica_contraloría[#All],5,0),"")</f>
        <v/>
      </c>
      <c r="F2084" t="str">
        <f>+IFERROR(VLOOKUP(Fact_Analitica[[#This Row], [Concepto Anterior]],Conceptos_Analítica_contraloría[#All],7,0),"")</f>
        <v/>
      </c>
      <c r="I2084" t="str">
        <f>+IFERROR(VLOOKUP(D2084,Conceptos_Analítica_contraloría[#All],2,0),"")</f>
        <v/>
      </c>
      <c r="J2084" s="84" t="str">
        <f>+IFERROR(VLOOKUP(D2084,Conceptos_Analítica_contraloría[#All],3,0),"")</f>
        <v/>
      </c>
    </row>
    <row r="2085" spans="3:10" ht="18.75" customHeight="1" x14ac:dyDescent="0.35">
      <c r="C2085" s="100" t="str">
        <f>IF(OR(Fact_Analitica[[#This Row], [Año]]="",Fact_Analitica[[#This Row], [Mes]]=""),"",DATE(A2085,MATCH(B2085,{"enero","febrero","marzo","abril","mayo","junio","julio","agosto","septiembre","octubre","noviembre","diciembre"},0)+1,0))</f>
        <v/>
      </c>
      <c r="E2085" t="str">
        <f>+IFERROR(VLOOKUP(Fact_Analitica[[#This Row], [Concepto Anterior]],Conceptos_Analítica_contraloría[#All],5,0),"")</f>
        <v/>
      </c>
      <c r="F2085" t="str">
        <f>+IFERROR(VLOOKUP(Fact_Analitica[[#This Row], [Concepto Anterior]],Conceptos_Analítica_contraloría[#All],7,0),"")</f>
        <v/>
      </c>
      <c r="I2085" t="str">
        <f>+IFERROR(VLOOKUP(D2085,Conceptos_Analítica_contraloría[#All],2,0),"")</f>
        <v/>
      </c>
      <c r="J2085" s="84" t="str">
        <f>+IFERROR(VLOOKUP(D2085,Conceptos_Analítica_contraloría[#All],3,0),"")</f>
        <v/>
      </c>
    </row>
    <row r="2086" spans="3:10" ht="18.75" customHeight="1" x14ac:dyDescent="0.35">
      <c r="C2086" s="100" t="str">
        <f>IF(OR(Fact_Analitica[[#This Row], [Año]]="",Fact_Analitica[[#This Row], [Mes]]=""),"",DATE(A2086,MATCH(B2086,{"enero","febrero","marzo","abril","mayo","junio","julio","agosto","septiembre","octubre","noviembre","diciembre"},0)+1,0))</f>
        <v/>
      </c>
      <c r="E2086" t="str">
        <f>+IFERROR(VLOOKUP(Fact_Analitica[[#This Row], [Concepto Anterior]],Conceptos_Analítica_contraloría[#All],5,0),"")</f>
        <v/>
      </c>
      <c r="F2086" t="str">
        <f>+IFERROR(VLOOKUP(Fact_Analitica[[#This Row], [Concepto Anterior]],Conceptos_Analítica_contraloría[#All],7,0),"")</f>
        <v/>
      </c>
      <c r="I2086" t="str">
        <f>+IFERROR(VLOOKUP(D2086,Conceptos_Analítica_contraloría[#All],2,0),"")</f>
        <v/>
      </c>
      <c r="J2086" s="84" t="str">
        <f>+IFERROR(VLOOKUP(D2086,Conceptos_Analítica_contraloría[#All],3,0),"")</f>
        <v/>
      </c>
    </row>
    <row r="2087" spans="3:10" ht="18.75" customHeight="1" x14ac:dyDescent="0.35">
      <c r="C2087" s="100" t="str">
        <f>IF(OR(Fact_Analitica[[#This Row], [Año]]="",Fact_Analitica[[#This Row], [Mes]]=""),"",DATE(A2087,MATCH(B2087,{"enero","febrero","marzo","abril","mayo","junio","julio","agosto","septiembre","octubre","noviembre","diciembre"},0)+1,0))</f>
        <v/>
      </c>
      <c r="E2087" t="str">
        <f>+IFERROR(VLOOKUP(Fact_Analitica[[#This Row], [Concepto Anterior]],Conceptos_Analítica_contraloría[#All],5,0),"")</f>
        <v/>
      </c>
      <c r="F2087" t="str">
        <f>+IFERROR(VLOOKUP(Fact_Analitica[[#This Row], [Concepto Anterior]],Conceptos_Analítica_contraloría[#All],7,0),"")</f>
        <v/>
      </c>
      <c r="I2087" t="str">
        <f>+IFERROR(VLOOKUP(D2087,Conceptos_Analítica_contraloría[#All],2,0),"")</f>
        <v/>
      </c>
      <c r="J2087" s="84" t="str">
        <f>+IFERROR(VLOOKUP(D2087,Conceptos_Analítica_contraloría[#All],3,0),"")</f>
        <v/>
      </c>
    </row>
    <row r="2088" spans="3:10" ht="18.75" customHeight="1" x14ac:dyDescent="0.35">
      <c r="C2088" s="100" t="str">
        <f>IF(OR(Fact_Analitica[[#This Row], [Año]]="",Fact_Analitica[[#This Row], [Mes]]=""),"",DATE(A2088,MATCH(B2088,{"enero","febrero","marzo","abril","mayo","junio","julio","agosto","septiembre","octubre","noviembre","diciembre"},0)+1,0))</f>
        <v/>
      </c>
      <c r="E2088" t="str">
        <f>+IFERROR(VLOOKUP(Fact_Analitica[[#This Row], [Concepto Anterior]],Conceptos_Analítica_contraloría[#All],5,0),"")</f>
        <v/>
      </c>
      <c r="F2088" t="str">
        <f>+IFERROR(VLOOKUP(Fact_Analitica[[#This Row], [Concepto Anterior]],Conceptos_Analítica_contraloría[#All],7,0),"")</f>
        <v/>
      </c>
      <c r="I2088" t="str">
        <f>+IFERROR(VLOOKUP(D2088,Conceptos_Analítica_contraloría[#All],2,0),"")</f>
        <v/>
      </c>
      <c r="J2088" s="84" t="str">
        <f>+IFERROR(VLOOKUP(D2088,Conceptos_Analítica_contraloría[#All],3,0),"")</f>
        <v/>
      </c>
    </row>
    <row r="2089" spans="3:10" ht="18.75" customHeight="1" x14ac:dyDescent="0.35">
      <c r="C2089" s="100" t="str">
        <f>IF(OR(Fact_Analitica[[#This Row], [Año]]="",Fact_Analitica[[#This Row], [Mes]]=""),"",DATE(A2089,MATCH(B2089,{"enero","febrero","marzo","abril","mayo","junio","julio","agosto","septiembre","octubre","noviembre","diciembre"},0)+1,0))</f>
        <v/>
      </c>
      <c r="E2089" t="str">
        <f>+IFERROR(VLOOKUP(Fact_Analitica[[#This Row], [Concepto Anterior]],Conceptos_Analítica_contraloría[#All],5,0),"")</f>
        <v/>
      </c>
      <c r="F2089" t="str">
        <f>+IFERROR(VLOOKUP(Fact_Analitica[[#This Row], [Concepto Anterior]],Conceptos_Analítica_contraloría[#All],7,0),"")</f>
        <v/>
      </c>
      <c r="I2089" t="str">
        <f>+IFERROR(VLOOKUP(D2089,Conceptos_Analítica_contraloría[#All],2,0),"")</f>
        <v/>
      </c>
      <c r="J2089" s="84" t="str">
        <f>+IFERROR(VLOOKUP(D2089,Conceptos_Analítica_contraloría[#All],3,0),"")</f>
        <v/>
      </c>
    </row>
    <row r="2090" spans="3:10" ht="18.75" customHeight="1" x14ac:dyDescent="0.35">
      <c r="C2090" s="100" t="str">
        <f>IF(OR(Fact_Analitica[[#This Row], [Año]]="",Fact_Analitica[[#This Row], [Mes]]=""),"",DATE(A2090,MATCH(B2090,{"enero","febrero","marzo","abril","mayo","junio","julio","agosto","septiembre","octubre","noviembre","diciembre"},0)+1,0))</f>
        <v/>
      </c>
      <c r="E2090" t="str">
        <f>+IFERROR(VLOOKUP(Fact_Analitica[[#This Row], [Concepto Anterior]],Conceptos_Analítica_contraloría[#All],5,0),"")</f>
        <v/>
      </c>
      <c r="F2090" t="str">
        <f>+IFERROR(VLOOKUP(Fact_Analitica[[#This Row], [Concepto Anterior]],Conceptos_Analítica_contraloría[#All],7,0),"")</f>
        <v/>
      </c>
      <c r="I2090" t="str">
        <f>+IFERROR(VLOOKUP(D2090,Conceptos_Analítica_contraloría[#All],2,0),"")</f>
        <v/>
      </c>
      <c r="J2090" s="84" t="str">
        <f>+IFERROR(VLOOKUP(D2090,Conceptos_Analítica_contraloría[#All],3,0),"")</f>
        <v/>
      </c>
    </row>
    <row r="2091" spans="3:10" ht="18.75" customHeight="1" x14ac:dyDescent="0.35">
      <c r="C2091" s="100" t="str">
        <f>IF(OR(Fact_Analitica[[#This Row], [Año]]="",Fact_Analitica[[#This Row], [Mes]]=""),"",DATE(A2091,MATCH(B2091,{"enero","febrero","marzo","abril","mayo","junio","julio","agosto","septiembre","octubre","noviembre","diciembre"},0)+1,0))</f>
        <v/>
      </c>
      <c r="E2091" t="str">
        <f>+IFERROR(VLOOKUP(Fact_Analitica[[#This Row], [Concepto Anterior]],Conceptos_Analítica_contraloría[#All],5,0),"")</f>
        <v/>
      </c>
      <c r="F2091" t="str">
        <f>+IFERROR(VLOOKUP(Fact_Analitica[[#This Row], [Concepto Anterior]],Conceptos_Analítica_contraloría[#All],7,0),"")</f>
        <v/>
      </c>
      <c r="I2091" t="str">
        <f>+IFERROR(VLOOKUP(D2091,Conceptos_Analítica_contraloría[#All],2,0),"")</f>
        <v/>
      </c>
      <c r="J2091" s="84" t="str">
        <f>+IFERROR(VLOOKUP(D2091,Conceptos_Analítica_contraloría[#All],3,0),"")</f>
        <v/>
      </c>
    </row>
    <row r="2092" spans="3:10" ht="18.75" customHeight="1" x14ac:dyDescent="0.35">
      <c r="C2092" s="100" t="str">
        <f>IF(OR(Fact_Analitica[[#This Row], [Año]]="",Fact_Analitica[[#This Row], [Mes]]=""),"",DATE(A2092,MATCH(B2092,{"enero","febrero","marzo","abril","mayo","junio","julio","agosto","septiembre","octubre","noviembre","diciembre"},0)+1,0))</f>
        <v/>
      </c>
      <c r="E2092" t="str">
        <f>+IFERROR(VLOOKUP(Fact_Analitica[[#This Row], [Concepto Anterior]],Conceptos_Analítica_contraloría[#All],5,0),"")</f>
        <v/>
      </c>
      <c r="F2092" t="str">
        <f>+IFERROR(VLOOKUP(Fact_Analitica[[#This Row], [Concepto Anterior]],Conceptos_Analítica_contraloría[#All],7,0),"")</f>
        <v/>
      </c>
      <c r="I2092" t="str">
        <f>+IFERROR(VLOOKUP(D2092,Conceptos_Analítica_contraloría[#All],2,0),"")</f>
        <v/>
      </c>
      <c r="J2092" s="84" t="str">
        <f>+IFERROR(VLOOKUP(D2092,Conceptos_Analítica_contraloría[#All],3,0),"")</f>
        <v/>
      </c>
    </row>
    <row r="2093" spans="3:10" ht="18.75" customHeight="1" x14ac:dyDescent="0.35">
      <c r="C2093" s="100" t="str">
        <f>IF(OR(Fact_Analitica[[#This Row], [Año]]="",Fact_Analitica[[#This Row], [Mes]]=""),"",DATE(A2093,MATCH(B2093,{"enero","febrero","marzo","abril","mayo","junio","julio","agosto","septiembre","octubre","noviembre","diciembre"},0)+1,0))</f>
        <v/>
      </c>
      <c r="E2093" t="str">
        <f>+IFERROR(VLOOKUP(Fact_Analitica[[#This Row], [Concepto Anterior]],Conceptos_Analítica_contraloría[#All],5,0),"")</f>
        <v/>
      </c>
      <c r="F2093" t="str">
        <f>+IFERROR(VLOOKUP(Fact_Analitica[[#This Row], [Concepto Anterior]],Conceptos_Analítica_contraloría[#All],7,0),"")</f>
        <v/>
      </c>
      <c r="I2093" t="str">
        <f>+IFERROR(VLOOKUP(D2093,Conceptos_Analítica_contraloría[#All],2,0),"")</f>
        <v/>
      </c>
      <c r="J2093" s="84" t="str">
        <f>+IFERROR(VLOOKUP(D2093,Conceptos_Analítica_contraloría[#All],3,0),"")</f>
        <v/>
      </c>
    </row>
    <row r="2094" spans="3:10" ht="18.75" customHeight="1" x14ac:dyDescent="0.35">
      <c r="C2094" s="100" t="str">
        <f>IF(OR(Fact_Analitica[[#This Row], [Año]]="",Fact_Analitica[[#This Row], [Mes]]=""),"",DATE(A2094,MATCH(B2094,{"enero","febrero","marzo","abril","mayo","junio","julio","agosto","septiembre","octubre","noviembre","diciembre"},0)+1,0))</f>
        <v/>
      </c>
      <c r="E2094" t="str">
        <f>+IFERROR(VLOOKUP(Fact_Analitica[[#This Row], [Concepto Anterior]],Conceptos_Analítica_contraloría[#All],5,0),"")</f>
        <v/>
      </c>
      <c r="F2094" t="str">
        <f>+IFERROR(VLOOKUP(Fact_Analitica[[#This Row], [Concepto Anterior]],Conceptos_Analítica_contraloría[#All],7,0),"")</f>
        <v/>
      </c>
      <c r="I2094" t="str">
        <f>+IFERROR(VLOOKUP(D2094,Conceptos_Analítica_contraloría[#All],2,0),"")</f>
        <v/>
      </c>
      <c r="J2094" s="84" t="str">
        <f>+IFERROR(VLOOKUP(D2094,Conceptos_Analítica_contraloría[#All],3,0),"")</f>
        <v/>
      </c>
    </row>
    <row r="2095" spans="3:10" ht="18.75" customHeight="1" x14ac:dyDescent="0.35">
      <c r="C2095" s="100" t="str">
        <f>IF(OR(Fact_Analitica[[#This Row], [Año]]="",Fact_Analitica[[#This Row], [Mes]]=""),"",DATE(A2095,MATCH(B2095,{"enero","febrero","marzo","abril","mayo","junio","julio","agosto","septiembre","octubre","noviembre","diciembre"},0)+1,0))</f>
        <v/>
      </c>
      <c r="E2095" t="str">
        <f>+IFERROR(VLOOKUP(Fact_Analitica[[#This Row], [Concepto Anterior]],Conceptos_Analítica_contraloría[#All],5,0),"")</f>
        <v/>
      </c>
      <c r="F2095" t="str">
        <f>+IFERROR(VLOOKUP(Fact_Analitica[[#This Row], [Concepto Anterior]],Conceptos_Analítica_contraloría[#All],7,0),"")</f>
        <v/>
      </c>
      <c r="I2095" t="str">
        <f>+IFERROR(VLOOKUP(D2095,Conceptos_Analítica_contraloría[#All],2,0),"")</f>
        <v/>
      </c>
      <c r="J2095" s="84" t="str">
        <f>+IFERROR(VLOOKUP(D2095,Conceptos_Analítica_contraloría[#All],3,0),"")</f>
        <v/>
      </c>
    </row>
    <row r="2096" spans="3:10" ht="18.75" customHeight="1" x14ac:dyDescent="0.35">
      <c r="C2096" s="100" t="str">
        <f>IF(OR(Fact_Analitica[[#This Row], [Año]]="",Fact_Analitica[[#This Row], [Mes]]=""),"",DATE(A2096,MATCH(B2096,{"enero","febrero","marzo","abril","mayo","junio","julio","agosto","septiembre","octubre","noviembre","diciembre"},0)+1,0))</f>
        <v/>
      </c>
      <c r="E2096" t="str">
        <f>+IFERROR(VLOOKUP(Fact_Analitica[[#This Row], [Concepto Anterior]],Conceptos_Analítica_contraloría[#All],5,0),"")</f>
        <v/>
      </c>
      <c r="F2096" t="str">
        <f>+IFERROR(VLOOKUP(Fact_Analitica[[#This Row], [Concepto Anterior]],Conceptos_Analítica_contraloría[#All],7,0),"")</f>
        <v/>
      </c>
      <c r="I2096" t="str">
        <f>+IFERROR(VLOOKUP(D2096,Conceptos_Analítica_contraloría[#All],2,0),"")</f>
        <v/>
      </c>
      <c r="J2096" s="84" t="str">
        <f>+IFERROR(VLOOKUP(D2096,Conceptos_Analítica_contraloría[#All],3,0),"")</f>
        <v/>
      </c>
    </row>
    <row r="2097" spans="3:10" ht="18.75" customHeight="1" x14ac:dyDescent="0.35">
      <c r="C2097" s="100" t="str">
        <f>IF(OR(Fact_Analitica[[#This Row], [Año]]="",Fact_Analitica[[#This Row], [Mes]]=""),"",DATE(A2097,MATCH(B2097,{"enero","febrero","marzo","abril","mayo","junio","julio","agosto","septiembre","octubre","noviembre","diciembre"},0)+1,0))</f>
        <v/>
      </c>
      <c r="E2097" t="str">
        <f>+IFERROR(VLOOKUP(Fact_Analitica[[#This Row], [Concepto Anterior]],Conceptos_Analítica_contraloría[#All],5,0),"")</f>
        <v/>
      </c>
      <c r="F2097" t="str">
        <f>+IFERROR(VLOOKUP(Fact_Analitica[[#This Row], [Concepto Anterior]],Conceptos_Analítica_contraloría[#All],7,0),"")</f>
        <v/>
      </c>
      <c r="I2097" t="str">
        <f>+IFERROR(VLOOKUP(D2097,Conceptos_Analítica_contraloría[#All],2,0),"")</f>
        <v/>
      </c>
      <c r="J2097" s="84" t="str">
        <f>+IFERROR(VLOOKUP(D2097,Conceptos_Analítica_contraloría[#All],3,0),"")</f>
        <v/>
      </c>
    </row>
    <row r="2098" spans="3:10" ht="18.75" customHeight="1" x14ac:dyDescent="0.35">
      <c r="C2098" s="100" t="str">
        <f>IF(OR(Fact_Analitica[[#This Row], [Año]]="",Fact_Analitica[[#This Row], [Mes]]=""),"",DATE(A2098,MATCH(B2098,{"enero","febrero","marzo","abril","mayo","junio","julio","agosto","septiembre","octubre","noviembre","diciembre"},0)+1,0))</f>
        <v/>
      </c>
      <c r="E2098" t="str">
        <f>+IFERROR(VLOOKUP(Fact_Analitica[[#This Row], [Concepto Anterior]],Conceptos_Analítica_contraloría[#All],5,0),"")</f>
        <v/>
      </c>
      <c r="F2098" t="str">
        <f>+IFERROR(VLOOKUP(Fact_Analitica[[#This Row], [Concepto Anterior]],Conceptos_Analítica_contraloría[#All],7,0),"")</f>
        <v/>
      </c>
      <c r="I2098" t="str">
        <f>+IFERROR(VLOOKUP(D2098,Conceptos_Analítica_contraloría[#All],2,0),"")</f>
        <v/>
      </c>
      <c r="J2098" s="84" t="str">
        <f>+IFERROR(VLOOKUP(D2098,Conceptos_Analítica_contraloría[#All],3,0),"")</f>
        <v/>
      </c>
    </row>
    <row r="2099" spans="3:10" ht="18.75" customHeight="1" x14ac:dyDescent="0.35">
      <c r="C2099" s="100" t="str">
        <f>IF(OR(Fact_Analitica[[#This Row], [Año]]="",Fact_Analitica[[#This Row], [Mes]]=""),"",DATE(A2099,MATCH(B2099,{"enero","febrero","marzo","abril","mayo","junio","julio","agosto","septiembre","octubre","noviembre","diciembre"},0)+1,0))</f>
        <v/>
      </c>
      <c r="E2099" t="str">
        <f>+IFERROR(VLOOKUP(Fact_Analitica[[#This Row], [Concepto Anterior]],Conceptos_Analítica_contraloría[#All],5,0),"")</f>
        <v/>
      </c>
      <c r="F2099" t="str">
        <f>+IFERROR(VLOOKUP(Fact_Analitica[[#This Row], [Concepto Anterior]],Conceptos_Analítica_contraloría[#All],7,0),"")</f>
        <v/>
      </c>
      <c r="I2099" t="str">
        <f>+IFERROR(VLOOKUP(D2099,Conceptos_Analítica_contraloría[#All],2,0),"")</f>
        <v/>
      </c>
      <c r="J2099" s="84" t="str">
        <f>+IFERROR(VLOOKUP(D2099,Conceptos_Analítica_contraloría[#All],3,0),"")</f>
        <v/>
      </c>
    </row>
    <row r="2100" spans="3:10" ht="18.75" customHeight="1" x14ac:dyDescent="0.35">
      <c r="C2100" s="100" t="str">
        <f>IF(OR(Fact_Analitica[[#This Row], [Año]]="",Fact_Analitica[[#This Row], [Mes]]=""),"",DATE(A2100,MATCH(B2100,{"enero","febrero","marzo","abril","mayo","junio","julio","agosto","septiembre","octubre","noviembre","diciembre"},0)+1,0))</f>
        <v/>
      </c>
      <c r="E2100" t="str">
        <f>+IFERROR(VLOOKUP(Fact_Analitica[[#This Row], [Concepto Anterior]],Conceptos_Analítica_contraloría[#All],5,0),"")</f>
        <v/>
      </c>
      <c r="F2100" t="str">
        <f>+IFERROR(VLOOKUP(Fact_Analitica[[#This Row], [Concepto Anterior]],Conceptos_Analítica_contraloría[#All],7,0),"")</f>
        <v/>
      </c>
      <c r="I2100" t="str">
        <f>+IFERROR(VLOOKUP(D2100,Conceptos_Analítica_contraloría[#All],2,0),"")</f>
        <v/>
      </c>
      <c r="J2100" s="84" t="str">
        <f>+IFERROR(VLOOKUP(D2100,Conceptos_Analítica_contraloría[#All],3,0),"")</f>
        <v/>
      </c>
    </row>
    <row r="2101" spans="3:10" ht="18.75" customHeight="1" x14ac:dyDescent="0.35">
      <c r="C2101" s="100" t="str">
        <f>IF(OR(Fact_Analitica[[#This Row], [Año]]="",Fact_Analitica[[#This Row], [Mes]]=""),"",DATE(A2101,MATCH(B2101,{"enero","febrero","marzo","abril","mayo","junio","julio","agosto","septiembre","octubre","noviembre","diciembre"},0)+1,0))</f>
        <v/>
      </c>
      <c r="E2101" t="str">
        <f>+IFERROR(VLOOKUP(Fact_Analitica[[#This Row], [Concepto Anterior]],Conceptos_Analítica_contraloría[#All],5,0),"")</f>
        <v/>
      </c>
      <c r="F2101" t="str">
        <f>+IFERROR(VLOOKUP(Fact_Analitica[[#This Row], [Concepto Anterior]],Conceptos_Analítica_contraloría[#All],7,0),"")</f>
        <v/>
      </c>
      <c r="I2101" t="str">
        <f>+IFERROR(VLOOKUP(D2101,Conceptos_Analítica_contraloría[#All],2,0),"")</f>
        <v/>
      </c>
      <c r="J2101" s="84" t="str">
        <f>+IFERROR(VLOOKUP(D2101,Conceptos_Analítica_contraloría[#All],3,0),"")</f>
        <v/>
      </c>
    </row>
    <row r="2102" spans="3:10" ht="18.75" customHeight="1" x14ac:dyDescent="0.35">
      <c r="C2102" s="100" t="str">
        <f>IF(OR(Fact_Analitica[[#This Row], [Año]]="",Fact_Analitica[[#This Row], [Mes]]=""),"",DATE(A2102,MATCH(B2102,{"enero","febrero","marzo","abril","mayo","junio","julio","agosto","septiembre","octubre","noviembre","diciembre"},0)+1,0))</f>
        <v/>
      </c>
      <c r="E2102" t="str">
        <f>+IFERROR(VLOOKUP(Fact_Analitica[[#This Row], [Concepto Anterior]],Conceptos_Analítica_contraloría[#All],5,0),"")</f>
        <v/>
      </c>
      <c r="F2102" t="str">
        <f>+IFERROR(VLOOKUP(Fact_Analitica[[#This Row], [Concepto Anterior]],Conceptos_Analítica_contraloría[#All],7,0),"")</f>
        <v/>
      </c>
      <c r="I2102" t="str">
        <f>+IFERROR(VLOOKUP(D2102,Conceptos_Analítica_contraloría[#All],2,0),"")</f>
        <v/>
      </c>
      <c r="J2102" s="84" t="str">
        <f>+IFERROR(VLOOKUP(D2102,Conceptos_Analítica_contraloría[#All],3,0),"")</f>
        <v/>
      </c>
    </row>
    <row r="2103" spans="3:10" ht="18.75" customHeight="1" x14ac:dyDescent="0.35">
      <c r="C2103" s="100" t="str">
        <f>IF(OR(Fact_Analitica[[#This Row], [Año]]="",Fact_Analitica[[#This Row], [Mes]]=""),"",DATE(A2103,MATCH(B2103,{"enero","febrero","marzo","abril","mayo","junio","julio","agosto","septiembre","octubre","noviembre","diciembre"},0)+1,0))</f>
        <v/>
      </c>
      <c r="E2103" t="str">
        <f>+IFERROR(VLOOKUP(Fact_Analitica[[#This Row], [Concepto Anterior]],Conceptos_Analítica_contraloría[#All],5,0),"")</f>
        <v/>
      </c>
      <c r="F2103" t="str">
        <f>+IFERROR(VLOOKUP(Fact_Analitica[[#This Row], [Concepto Anterior]],Conceptos_Analítica_contraloría[#All],7,0),"")</f>
        <v/>
      </c>
      <c r="I2103" t="str">
        <f>+IFERROR(VLOOKUP(D2103,Conceptos_Analítica_contraloría[#All],2,0),"")</f>
        <v/>
      </c>
      <c r="J2103" s="84" t="str">
        <f>+IFERROR(VLOOKUP(D2103,Conceptos_Analítica_contraloría[#All],3,0),"")</f>
        <v/>
      </c>
    </row>
    <row r="2104" spans="3:10" ht="18.75" customHeight="1" x14ac:dyDescent="0.35">
      <c r="C2104" s="100" t="str">
        <f>IF(OR(Fact_Analitica[[#This Row], [Año]]="",Fact_Analitica[[#This Row], [Mes]]=""),"",DATE(A2104,MATCH(B2104,{"enero","febrero","marzo","abril","mayo","junio","julio","agosto","septiembre","octubre","noviembre","diciembre"},0)+1,0))</f>
        <v/>
      </c>
      <c r="E2104" t="str">
        <f>+IFERROR(VLOOKUP(Fact_Analitica[[#This Row], [Concepto Anterior]],Conceptos_Analítica_contraloría[#All],5,0),"")</f>
        <v/>
      </c>
      <c r="F2104" t="str">
        <f>+IFERROR(VLOOKUP(Fact_Analitica[[#This Row], [Concepto Anterior]],Conceptos_Analítica_contraloría[#All],7,0),"")</f>
        <v/>
      </c>
      <c r="I2104" t="str">
        <f>+IFERROR(VLOOKUP(D2104,Conceptos_Analítica_contraloría[#All],2,0),"")</f>
        <v/>
      </c>
      <c r="J2104" s="84" t="str">
        <f>+IFERROR(VLOOKUP(D2104,Conceptos_Analítica_contraloría[#All],3,0),"")</f>
        <v/>
      </c>
    </row>
    <row r="2105" spans="3:10" ht="18.75" customHeight="1" x14ac:dyDescent="0.35">
      <c r="C2105" s="100" t="str">
        <f>IF(OR(Fact_Analitica[[#This Row], [Año]]="",Fact_Analitica[[#This Row], [Mes]]=""),"",DATE(A2105,MATCH(B2105,{"enero","febrero","marzo","abril","mayo","junio","julio","agosto","septiembre","octubre","noviembre","diciembre"},0)+1,0))</f>
        <v/>
      </c>
      <c r="E2105" t="str">
        <f>+IFERROR(VLOOKUP(Fact_Analitica[[#This Row], [Concepto Anterior]],Conceptos_Analítica_contraloría[#All],5,0),"")</f>
        <v/>
      </c>
      <c r="F2105" t="str">
        <f>+IFERROR(VLOOKUP(Fact_Analitica[[#This Row], [Concepto Anterior]],Conceptos_Analítica_contraloría[#All],7,0),"")</f>
        <v/>
      </c>
      <c r="I2105" t="str">
        <f>+IFERROR(VLOOKUP(D2105,Conceptos_Analítica_contraloría[#All],2,0),"")</f>
        <v/>
      </c>
      <c r="J2105" s="84" t="str">
        <f>+IFERROR(VLOOKUP(D2105,Conceptos_Analítica_contraloría[#All],3,0),"")</f>
        <v/>
      </c>
    </row>
    <row r="2106" spans="3:10" ht="18.75" customHeight="1" x14ac:dyDescent="0.35">
      <c r="C2106" s="100" t="str">
        <f>IF(OR(Fact_Analitica[[#This Row], [Año]]="",Fact_Analitica[[#This Row], [Mes]]=""),"",DATE(A2106,MATCH(B2106,{"enero","febrero","marzo","abril","mayo","junio","julio","agosto","septiembre","octubre","noviembre","diciembre"},0)+1,0))</f>
        <v/>
      </c>
      <c r="E2106" t="str">
        <f>+IFERROR(VLOOKUP(Fact_Analitica[[#This Row], [Concepto Anterior]],Conceptos_Analítica_contraloría[#All],5,0),"")</f>
        <v/>
      </c>
      <c r="F2106" t="str">
        <f>+IFERROR(VLOOKUP(Fact_Analitica[[#This Row], [Concepto Anterior]],Conceptos_Analítica_contraloría[#All],7,0),"")</f>
        <v/>
      </c>
      <c r="I2106" t="str">
        <f>+IFERROR(VLOOKUP(D2106,Conceptos_Analítica_contraloría[#All],2,0),"")</f>
        <v/>
      </c>
      <c r="J2106" s="84" t="str">
        <f>+IFERROR(VLOOKUP(D2106,Conceptos_Analítica_contraloría[#All],3,0),"")</f>
        <v/>
      </c>
    </row>
    <row r="2107" spans="3:10" ht="18.75" customHeight="1" x14ac:dyDescent="0.35">
      <c r="C2107" s="100" t="str">
        <f>IF(OR(Fact_Analitica[[#This Row], [Año]]="",Fact_Analitica[[#This Row], [Mes]]=""),"",DATE(A2107,MATCH(B2107,{"enero","febrero","marzo","abril","mayo","junio","julio","agosto","septiembre","octubre","noviembre","diciembre"},0)+1,0))</f>
        <v/>
      </c>
      <c r="E2107" t="str">
        <f>+IFERROR(VLOOKUP(Fact_Analitica[[#This Row], [Concepto Anterior]],Conceptos_Analítica_contraloría[#All],5,0),"")</f>
        <v/>
      </c>
      <c r="F2107" t="str">
        <f>+IFERROR(VLOOKUP(Fact_Analitica[[#This Row], [Concepto Anterior]],Conceptos_Analítica_contraloría[#All],7,0),"")</f>
        <v/>
      </c>
      <c r="I2107" t="str">
        <f>+IFERROR(VLOOKUP(D2107,Conceptos_Analítica_contraloría[#All],2,0),"")</f>
        <v/>
      </c>
      <c r="J2107" s="84" t="str">
        <f>+IFERROR(VLOOKUP(D2107,Conceptos_Analítica_contraloría[#All],3,0),"")</f>
        <v/>
      </c>
    </row>
    <row r="2108" spans="3:10" ht="18.75" customHeight="1" x14ac:dyDescent="0.35">
      <c r="C2108" s="100" t="str">
        <f>IF(OR(Fact_Analitica[[#This Row], [Año]]="",Fact_Analitica[[#This Row], [Mes]]=""),"",DATE(A2108,MATCH(B2108,{"enero","febrero","marzo","abril","mayo","junio","julio","agosto","septiembre","octubre","noviembre","diciembre"},0)+1,0))</f>
        <v/>
      </c>
      <c r="E2108" t="str">
        <f>+IFERROR(VLOOKUP(Fact_Analitica[[#This Row], [Concepto Anterior]],Conceptos_Analítica_contraloría[#All],5,0),"")</f>
        <v/>
      </c>
      <c r="F2108" t="str">
        <f>+IFERROR(VLOOKUP(Fact_Analitica[[#This Row], [Concepto Anterior]],Conceptos_Analítica_contraloría[#All],7,0),"")</f>
        <v/>
      </c>
      <c r="I2108" t="str">
        <f>+IFERROR(VLOOKUP(D2108,Conceptos_Analítica_contraloría[#All],2,0),"")</f>
        <v/>
      </c>
      <c r="J2108" s="84" t="str">
        <f>+IFERROR(VLOOKUP(D2108,Conceptos_Analítica_contraloría[#All],3,0),"")</f>
        <v/>
      </c>
    </row>
    <row r="2109" spans="3:10" ht="18.75" customHeight="1" x14ac:dyDescent="0.35">
      <c r="C2109" s="100" t="str">
        <f>IF(OR(Fact_Analitica[[#This Row], [Año]]="",Fact_Analitica[[#This Row], [Mes]]=""),"",DATE(A2109,MATCH(B2109,{"enero","febrero","marzo","abril","mayo","junio","julio","agosto","septiembre","octubre","noviembre","diciembre"},0)+1,0))</f>
        <v/>
      </c>
      <c r="E2109" t="str">
        <f>+IFERROR(VLOOKUP(Fact_Analitica[[#This Row], [Concepto Anterior]],Conceptos_Analítica_contraloría[#All],5,0),"")</f>
        <v/>
      </c>
      <c r="F2109" t="str">
        <f>+IFERROR(VLOOKUP(Fact_Analitica[[#This Row], [Concepto Anterior]],Conceptos_Analítica_contraloría[#All],7,0),"")</f>
        <v/>
      </c>
      <c r="I2109" t="str">
        <f>+IFERROR(VLOOKUP(D2109,Conceptos_Analítica_contraloría[#All],2,0),"")</f>
        <v/>
      </c>
      <c r="J2109" s="84" t="str">
        <f>+IFERROR(VLOOKUP(D2109,Conceptos_Analítica_contraloría[#All],3,0),"")</f>
        <v/>
      </c>
    </row>
    <row r="2110" spans="3:10" ht="18.75" customHeight="1" x14ac:dyDescent="0.35">
      <c r="C2110" s="100" t="str">
        <f>IF(OR(Fact_Analitica[[#This Row], [Año]]="",Fact_Analitica[[#This Row], [Mes]]=""),"",DATE(A2110,MATCH(B2110,{"enero","febrero","marzo","abril","mayo","junio","julio","agosto","septiembre","octubre","noviembre","diciembre"},0)+1,0))</f>
        <v/>
      </c>
      <c r="E2110" t="str">
        <f>+IFERROR(VLOOKUP(Fact_Analitica[[#This Row], [Concepto Anterior]],Conceptos_Analítica_contraloría[#All],5,0),"")</f>
        <v/>
      </c>
      <c r="F2110" t="str">
        <f>+IFERROR(VLOOKUP(Fact_Analitica[[#This Row], [Concepto Anterior]],Conceptos_Analítica_contraloría[#All],7,0),"")</f>
        <v/>
      </c>
      <c r="I2110" t="str">
        <f>+IFERROR(VLOOKUP(D2110,Conceptos_Analítica_contraloría[#All],2,0),"")</f>
        <v/>
      </c>
      <c r="J2110" s="84" t="str">
        <f>+IFERROR(VLOOKUP(D2110,Conceptos_Analítica_contraloría[#All],3,0),"")</f>
        <v/>
      </c>
    </row>
    <row r="2111" spans="3:10" ht="18.75" customHeight="1" x14ac:dyDescent="0.35">
      <c r="C2111" s="100" t="str">
        <f>IF(OR(Fact_Analitica[[#This Row], [Año]]="",Fact_Analitica[[#This Row], [Mes]]=""),"",DATE(A2111,MATCH(B2111,{"enero","febrero","marzo","abril","mayo","junio","julio","agosto","septiembre","octubre","noviembre","diciembre"},0)+1,0))</f>
        <v/>
      </c>
      <c r="E2111" t="str">
        <f>+IFERROR(VLOOKUP(Fact_Analitica[[#This Row], [Concepto Anterior]],Conceptos_Analítica_contraloría[#All],5,0),"")</f>
        <v/>
      </c>
      <c r="F2111" t="str">
        <f>+IFERROR(VLOOKUP(Fact_Analitica[[#This Row], [Concepto Anterior]],Conceptos_Analítica_contraloría[#All],7,0),"")</f>
        <v/>
      </c>
      <c r="I2111" t="str">
        <f>+IFERROR(VLOOKUP(D2111,Conceptos_Analítica_contraloría[#All],2,0),"")</f>
        <v/>
      </c>
      <c r="J2111" s="84" t="str">
        <f>+IFERROR(VLOOKUP(D2111,Conceptos_Analítica_contraloría[#All],3,0),"")</f>
        <v/>
      </c>
    </row>
    <row r="2112" spans="3:10" ht="18.75" customHeight="1" x14ac:dyDescent="0.35">
      <c r="C2112" s="100" t="str">
        <f>IF(OR(Fact_Analitica[[#This Row], [Año]]="",Fact_Analitica[[#This Row], [Mes]]=""),"",DATE(A2112,MATCH(B2112,{"enero","febrero","marzo","abril","mayo","junio","julio","agosto","septiembre","octubre","noviembre","diciembre"},0)+1,0))</f>
        <v/>
      </c>
      <c r="E2112" t="str">
        <f>+IFERROR(VLOOKUP(Fact_Analitica[[#This Row], [Concepto Anterior]],Conceptos_Analítica_contraloría[#All],5,0),"")</f>
        <v/>
      </c>
      <c r="F2112" t="str">
        <f>+IFERROR(VLOOKUP(Fact_Analitica[[#This Row], [Concepto Anterior]],Conceptos_Analítica_contraloría[#All],7,0),"")</f>
        <v/>
      </c>
      <c r="I2112" t="str">
        <f>+IFERROR(VLOOKUP(D2112,Conceptos_Analítica_contraloría[#All],2,0),"")</f>
        <v/>
      </c>
      <c r="J2112" s="84" t="str">
        <f>+IFERROR(VLOOKUP(D2112,Conceptos_Analítica_contraloría[#All],3,0),"")</f>
        <v/>
      </c>
    </row>
    <row r="2113" spans="3:10" ht="18.75" customHeight="1" x14ac:dyDescent="0.35">
      <c r="C2113" s="100" t="str">
        <f>IF(OR(Fact_Analitica[[#This Row], [Año]]="",Fact_Analitica[[#This Row], [Mes]]=""),"",DATE(A2113,MATCH(B2113,{"enero","febrero","marzo","abril","mayo","junio","julio","agosto","septiembre","octubre","noviembre","diciembre"},0)+1,0))</f>
        <v/>
      </c>
      <c r="E2113" t="str">
        <f>+IFERROR(VLOOKUP(Fact_Analitica[[#This Row], [Concepto Anterior]],Conceptos_Analítica_contraloría[#All],5,0),"")</f>
        <v/>
      </c>
      <c r="F2113" t="str">
        <f>+IFERROR(VLOOKUP(Fact_Analitica[[#This Row], [Concepto Anterior]],Conceptos_Analítica_contraloría[#All],7,0),"")</f>
        <v/>
      </c>
      <c r="I2113" t="str">
        <f>+IFERROR(VLOOKUP(D2113,Conceptos_Analítica_contraloría[#All],2,0),"")</f>
        <v/>
      </c>
      <c r="J2113" s="84" t="str">
        <f>+IFERROR(VLOOKUP(D2113,Conceptos_Analítica_contraloría[#All],3,0),"")</f>
        <v/>
      </c>
    </row>
    <row r="2114" spans="3:10" ht="18.75" customHeight="1" x14ac:dyDescent="0.35">
      <c r="C2114" s="100" t="str">
        <f>IF(OR(Fact_Analitica[[#This Row], [Año]]="",Fact_Analitica[[#This Row], [Mes]]=""),"",DATE(A2114,MATCH(B2114,{"enero","febrero","marzo","abril","mayo","junio","julio","agosto","septiembre","octubre","noviembre","diciembre"},0)+1,0))</f>
        <v/>
      </c>
      <c r="E2114" t="str">
        <f>+IFERROR(VLOOKUP(Fact_Analitica[[#This Row], [Concepto Anterior]],Conceptos_Analítica_contraloría[#All],5,0),"")</f>
        <v/>
      </c>
      <c r="F2114" t="str">
        <f>+IFERROR(VLOOKUP(Fact_Analitica[[#This Row], [Concepto Anterior]],Conceptos_Analítica_contraloría[#All],7,0),"")</f>
        <v/>
      </c>
      <c r="I2114" t="str">
        <f>+IFERROR(VLOOKUP(D2114,Conceptos_Analítica_contraloría[#All],2,0),"")</f>
        <v/>
      </c>
      <c r="J2114" s="84" t="str">
        <f>+IFERROR(VLOOKUP(D2114,Conceptos_Analítica_contraloría[#All],3,0),"")</f>
        <v/>
      </c>
    </row>
    <row r="2115" spans="3:10" ht="18.75" customHeight="1" x14ac:dyDescent="0.35">
      <c r="C2115" s="100" t="str">
        <f>IF(OR(Fact_Analitica[[#This Row], [Año]]="",Fact_Analitica[[#This Row], [Mes]]=""),"",DATE(A2115,MATCH(B2115,{"enero","febrero","marzo","abril","mayo","junio","julio","agosto","septiembre","octubre","noviembre","diciembre"},0)+1,0))</f>
        <v/>
      </c>
      <c r="E2115" t="str">
        <f>+IFERROR(VLOOKUP(Fact_Analitica[[#This Row], [Concepto Anterior]],Conceptos_Analítica_contraloría[#All],5,0),"")</f>
        <v/>
      </c>
      <c r="F2115" t="str">
        <f>+IFERROR(VLOOKUP(Fact_Analitica[[#This Row], [Concepto Anterior]],Conceptos_Analítica_contraloría[#All],7,0),"")</f>
        <v/>
      </c>
      <c r="I2115" t="str">
        <f>+IFERROR(VLOOKUP(D2115,Conceptos_Analítica_contraloría[#All],2,0),"")</f>
        <v/>
      </c>
      <c r="J2115" s="84" t="str">
        <f>+IFERROR(VLOOKUP(D2115,Conceptos_Analítica_contraloría[#All],3,0),"")</f>
        <v/>
      </c>
    </row>
    <row r="2116" spans="3:10" ht="18.75" customHeight="1" x14ac:dyDescent="0.35">
      <c r="C2116" s="100" t="str">
        <f>IF(OR(Fact_Analitica[[#This Row], [Año]]="",Fact_Analitica[[#This Row], [Mes]]=""),"",DATE(A2116,MATCH(B2116,{"enero","febrero","marzo","abril","mayo","junio","julio","agosto","septiembre","octubre","noviembre","diciembre"},0)+1,0))</f>
        <v/>
      </c>
      <c r="E2116" t="str">
        <f>+IFERROR(VLOOKUP(Fact_Analitica[[#This Row], [Concepto Anterior]],Conceptos_Analítica_contraloría[#All],5,0),"")</f>
        <v/>
      </c>
      <c r="F2116" t="str">
        <f>+IFERROR(VLOOKUP(Fact_Analitica[[#This Row], [Concepto Anterior]],Conceptos_Analítica_contraloría[#All],7,0),"")</f>
        <v/>
      </c>
      <c r="I2116" t="str">
        <f>+IFERROR(VLOOKUP(D2116,Conceptos_Analítica_contraloría[#All],2,0),"")</f>
        <v/>
      </c>
      <c r="J2116" s="84" t="str">
        <f>+IFERROR(VLOOKUP(D2116,Conceptos_Analítica_contraloría[#All],3,0),"")</f>
        <v/>
      </c>
    </row>
    <row r="2117" spans="3:10" ht="18.75" customHeight="1" x14ac:dyDescent="0.35">
      <c r="C2117" s="100" t="str">
        <f>IF(OR(Fact_Analitica[[#This Row], [Año]]="",Fact_Analitica[[#This Row], [Mes]]=""),"",DATE(A2117,MATCH(B2117,{"enero","febrero","marzo","abril","mayo","junio","julio","agosto","septiembre","octubre","noviembre","diciembre"},0)+1,0))</f>
        <v/>
      </c>
      <c r="E2117" t="str">
        <f>+IFERROR(VLOOKUP(Fact_Analitica[[#This Row], [Concepto Anterior]],Conceptos_Analítica_contraloría[#All],5,0),"")</f>
        <v/>
      </c>
      <c r="F2117" t="str">
        <f>+IFERROR(VLOOKUP(Fact_Analitica[[#This Row], [Concepto Anterior]],Conceptos_Analítica_contraloría[#All],7,0),"")</f>
        <v/>
      </c>
      <c r="I2117" t="str">
        <f>+IFERROR(VLOOKUP(D2117,Conceptos_Analítica_contraloría[#All],2,0),"")</f>
        <v/>
      </c>
      <c r="J2117" s="84" t="str">
        <f>+IFERROR(VLOOKUP(D2117,Conceptos_Analítica_contraloría[#All],3,0),"")</f>
        <v/>
      </c>
    </row>
    <row r="2118" spans="3:10" ht="18.75" customHeight="1" x14ac:dyDescent="0.35">
      <c r="C2118" s="100" t="str">
        <f>IF(OR(Fact_Analitica[[#This Row], [Año]]="",Fact_Analitica[[#This Row], [Mes]]=""),"",DATE(A2118,MATCH(B2118,{"enero","febrero","marzo","abril","mayo","junio","julio","agosto","septiembre","octubre","noviembre","diciembre"},0)+1,0))</f>
        <v/>
      </c>
      <c r="E2118" t="str">
        <f>+IFERROR(VLOOKUP(Fact_Analitica[[#This Row], [Concepto Anterior]],Conceptos_Analítica_contraloría[#All],5,0),"")</f>
        <v/>
      </c>
      <c r="F2118" t="str">
        <f>+IFERROR(VLOOKUP(Fact_Analitica[[#This Row], [Concepto Anterior]],Conceptos_Analítica_contraloría[#All],7,0),"")</f>
        <v/>
      </c>
      <c r="I2118" t="str">
        <f>+IFERROR(VLOOKUP(D2118,Conceptos_Analítica_contraloría[#All],2,0),"")</f>
        <v/>
      </c>
      <c r="J2118" s="84" t="str">
        <f>+IFERROR(VLOOKUP(D2118,Conceptos_Analítica_contraloría[#All],3,0),"")</f>
        <v/>
      </c>
    </row>
    <row r="2119" spans="3:10" ht="18.75" customHeight="1" x14ac:dyDescent="0.35">
      <c r="C2119" s="100" t="str">
        <f>IF(OR(Fact_Analitica[[#This Row], [Año]]="",Fact_Analitica[[#This Row], [Mes]]=""),"",DATE(A2119,MATCH(B2119,{"enero","febrero","marzo","abril","mayo","junio","julio","agosto","septiembre","octubre","noviembre","diciembre"},0)+1,0))</f>
        <v/>
      </c>
      <c r="E2119" t="str">
        <f>+IFERROR(VLOOKUP(Fact_Analitica[[#This Row], [Concepto Anterior]],Conceptos_Analítica_contraloría[#All],5,0),"")</f>
        <v/>
      </c>
      <c r="F2119" t="str">
        <f>+IFERROR(VLOOKUP(Fact_Analitica[[#This Row], [Concepto Anterior]],Conceptos_Analítica_contraloría[#All],7,0),"")</f>
        <v/>
      </c>
      <c r="I2119" t="str">
        <f>+IFERROR(VLOOKUP(D2119,Conceptos_Analítica_contraloría[#All],2,0),"")</f>
        <v/>
      </c>
      <c r="J2119" s="84" t="str">
        <f>+IFERROR(VLOOKUP(D2119,Conceptos_Analítica_contraloría[#All],3,0),"")</f>
        <v/>
      </c>
    </row>
    <row r="2120" spans="3:10" ht="18.75" customHeight="1" x14ac:dyDescent="0.35">
      <c r="C2120" s="100" t="str">
        <f>IF(OR(Fact_Analitica[[#This Row], [Año]]="",Fact_Analitica[[#This Row], [Mes]]=""),"",DATE(A2120,MATCH(B2120,{"enero","febrero","marzo","abril","mayo","junio","julio","agosto","septiembre","octubre","noviembre","diciembre"},0)+1,0))</f>
        <v/>
      </c>
      <c r="E2120" t="str">
        <f>+IFERROR(VLOOKUP(Fact_Analitica[[#This Row], [Concepto Anterior]],Conceptos_Analítica_contraloría[#All],5,0),"")</f>
        <v/>
      </c>
      <c r="F2120" t="str">
        <f>+IFERROR(VLOOKUP(Fact_Analitica[[#This Row], [Concepto Anterior]],Conceptos_Analítica_contraloría[#All],7,0),"")</f>
        <v/>
      </c>
      <c r="I2120" t="str">
        <f>+IFERROR(VLOOKUP(D2120,Conceptos_Analítica_contraloría[#All],2,0),"")</f>
        <v/>
      </c>
      <c r="J2120" s="84" t="str">
        <f>+IFERROR(VLOOKUP(D2120,Conceptos_Analítica_contraloría[#All],3,0),"")</f>
        <v/>
      </c>
    </row>
    <row r="2121" spans="3:10" ht="18.75" customHeight="1" x14ac:dyDescent="0.35">
      <c r="C2121" s="100" t="str">
        <f>IF(OR(Fact_Analitica[[#This Row], [Año]]="",Fact_Analitica[[#This Row], [Mes]]=""),"",DATE(A2121,MATCH(B2121,{"enero","febrero","marzo","abril","mayo","junio","julio","agosto","septiembre","octubre","noviembre","diciembre"},0)+1,0))</f>
        <v/>
      </c>
      <c r="E2121" t="str">
        <f>+IFERROR(VLOOKUP(Fact_Analitica[[#This Row], [Concepto Anterior]],Conceptos_Analítica_contraloría[#All],5,0),"")</f>
        <v/>
      </c>
      <c r="F2121" t="str">
        <f>+IFERROR(VLOOKUP(Fact_Analitica[[#This Row], [Concepto Anterior]],Conceptos_Analítica_contraloría[#All],7,0),"")</f>
        <v/>
      </c>
      <c r="I2121" t="str">
        <f>+IFERROR(VLOOKUP(D2121,Conceptos_Analítica_contraloría[#All],2,0),"")</f>
        <v/>
      </c>
      <c r="J2121" s="84" t="str">
        <f>+IFERROR(VLOOKUP(D2121,Conceptos_Analítica_contraloría[#All],3,0),"")</f>
        <v/>
      </c>
    </row>
    <row r="2122" spans="3:10" ht="18.75" customHeight="1" x14ac:dyDescent="0.35">
      <c r="C2122" s="100" t="str">
        <f>IF(OR(Fact_Analitica[[#This Row], [Año]]="",Fact_Analitica[[#This Row], [Mes]]=""),"",DATE(A2122,MATCH(B2122,{"enero","febrero","marzo","abril","mayo","junio","julio","agosto","septiembre","octubre","noviembre","diciembre"},0)+1,0))</f>
        <v/>
      </c>
      <c r="E2122" t="str">
        <f>+IFERROR(VLOOKUP(Fact_Analitica[[#This Row], [Concepto Anterior]],Conceptos_Analítica_contraloría[#All],5,0),"")</f>
        <v/>
      </c>
      <c r="F2122" t="str">
        <f>+IFERROR(VLOOKUP(Fact_Analitica[[#This Row], [Concepto Anterior]],Conceptos_Analítica_contraloría[#All],7,0),"")</f>
        <v/>
      </c>
      <c r="I2122" t="str">
        <f>+IFERROR(VLOOKUP(D2122,Conceptos_Analítica_contraloría[#All],2,0),"")</f>
        <v/>
      </c>
      <c r="J2122" s="84" t="str">
        <f>+IFERROR(VLOOKUP(D2122,Conceptos_Analítica_contraloría[#All],3,0),"")</f>
        <v/>
      </c>
    </row>
    <row r="2123" spans="3:10" ht="18.75" customHeight="1" x14ac:dyDescent="0.35">
      <c r="C2123" s="100" t="str">
        <f>IF(OR(Fact_Analitica[[#This Row], [Año]]="",Fact_Analitica[[#This Row], [Mes]]=""),"",DATE(A2123,MATCH(B2123,{"enero","febrero","marzo","abril","mayo","junio","julio","agosto","septiembre","octubre","noviembre","diciembre"},0)+1,0))</f>
        <v/>
      </c>
      <c r="E2123" t="str">
        <f>+IFERROR(VLOOKUP(Fact_Analitica[[#This Row], [Concepto Anterior]],Conceptos_Analítica_contraloría[#All],5,0),"")</f>
        <v/>
      </c>
      <c r="F2123" t="str">
        <f>+IFERROR(VLOOKUP(Fact_Analitica[[#This Row], [Concepto Anterior]],Conceptos_Analítica_contraloría[#All],7,0),"")</f>
        <v/>
      </c>
      <c r="I2123" t="str">
        <f>+IFERROR(VLOOKUP(D2123,Conceptos_Analítica_contraloría[#All],2,0),"")</f>
        <v/>
      </c>
      <c r="J2123" s="84" t="str">
        <f>+IFERROR(VLOOKUP(D2123,Conceptos_Analítica_contraloría[#All],3,0),"")</f>
        <v/>
      </c>
    </row>
    <row r="2124" spans="3:10" ht="18.75" customHeight="1" x14ac:dyDescent="0.35">
      <c r="C2124" s="100" t="str">
        <f>IF(OR(Fact_Analitica[[#This Row], [Año]]="",Fact_Analitica[[#This Row], [Mes]]=""),"",DATE(A2124,MATCH(B2124,{"enero","febrero","marzo","abril","mayo","junio","julio","agosto","septiembre","octubre","noviembre","diciembre"},0)+1,0))</f>
        <v/>
      </c>
      <c r="E2124" t="str">
        <f>+IFERROR(VLOOKUP(Fact_Analitica[[#This Row], [Concepto Anterior]],Conceptos_Analítica_contraloría[#All],5,0),"")</f>
        <v/>
      </c>
      <c r="F2124" t="str">
        <f>+IFERROR(VLOOKUP(Fact_Analitica[[#This Row], [Concepto Anterior]],Conceptos_Analítica_contraloría[#All],7,0),"")</f>
        <v/>
      </c>
      <c r="I2124" t="str">
        <f>+IFERROR(VLOOKUP(D2124,Conceptos_Analítica_contraloría[#All],2,0),"")</f>
        <v/>
      </c>
      <c r="J2124" s="84" t="str">
        <f>+IFERROR(VLOOKUP(D2124,Conceptos_Analítica_contraloría[#All],3,0),"")</f>
        <v/>
      </c>
    </row>
    <row r="2125" spans="3:10" ht="18.75" customHeight="1" x14ac:dyDescent="0.35">
      <c r="C2125" s="100" t="str">
        <f>IF(OR(Fact_Analitica[[#This Row], [Año]]="",Fact_Analitica[[#This Row], [Mes]]=""),"",DATE(A2125,MATCH(B2125,{"enero","febrero","marzo","abril","mayo","junio","julio","agosto","septiembre","octubre","noviembre","diciembre"},0)+1,0))</f>
        <v/>
      </c>
      <c r="E2125" t="str">
        <f>+IFERROR(VLOOKUP(Fact_Analitica[[#This Row], [Concepto Anterior]],Conceptos_Analítica_contraloría[#All],5,0),"")</f>
        <v/>
      </c>
      <c r="F2125" t="str">
        <f>+IFERROR(VLOOKUP(Fact_Analitica[[#This Row], [Concepto Anterior]],Conceptos_Analítica_contraloría[#All],7,0),"")</f>
        <v/>
      </c>
      <c r="I2125" t="str">
        <f>+IFERROR(VLOOKUP(D2125,Conceptos_Analítica_contraloría[#All],2,0),"")</f>
        <v/>
      </c>
      <c r="J2125" s="84" t="str">
        <f>+IFERROR(VLOOKUP(D2125,Conceptos_Analítica_contraloría[#All],3,0),"")</f>
        <v/>
      </c>
    </row>
    <row r="2126" spans="3:10" ht="18.75" customHeight="1" x14ac:dyDescent="0.35">
      <c r="C2126" s="100" t="str">
        <f>IF(OR(Fact_Analitica[[#This Row], [Año]]="",Fact_Analitica[[#This Row], [Mes]]=""),"",DATE(A2126,MATCH(B2126,{"enero","febrero","marzo","abril","mayo","junio","julio","agosto","septiembre","octubre","noviembre","diciembre"},0)+1,0))</f>
        <v/>
      </c>
      <c r="E2126" t="str">
        <f>+IFERROR(VLOOKUP(Fact_Analitica[[#This Row], [Concepto Anterior]],Conceptos_Analítica_contraloría[#All],5,0),"")</f>
        <v/>
      </c>
      <c r="F2126" t="str">
        <f>+IFERROR(VLOOKUP(Fact_Analitica[[#This Row], [Concepto Anterior]],Conceptos_Analítica_contraloría[#All],7,0),"")</f>
        <v/>
      </c>
      <c r="I2126" t="str">
        <f>+IFERROR(VLOOKUP(D2126,Conceptos_Analítica_contraloría[#All],2,0),"")</f>
        <v/>
      </c>
      <c r="J2126" s="84" t="str">
        <f>+IFERROR(VLOOKUP(D2126,Conceptos_Analítica_contraloría[#All],3,0),"")</f>
        <v/>
      </c>
    </row>
    <row r="2127" spans="3:10" ht="18.75" customHeight="1" x14ac:dyDescent="0.35">
      <c r="C2127" s="100" t="str">
        <f>IF(OR(Fact_Analitica[[#This Row], [Año]]="",Fact_Analitica[[#This Row], [Mes]]=""),"",DATE(A2127,MATCH(B2127,{"enero","febrero","marzo","abril","mayo","junio","julio","agosto","septiembre","octubre","noviembre","diciembre"},0)+1,0))</f>
        <v/>
      </c>
      <c r="E2127" t="str">
        <f>+IFERROR(VLOOKUP(Fact_Analitica[[#This Row], [Concepto Anterior]],Conceptos_Analítica_contraloría[#All],5,0),"")</f>
        <v/>
      </c>
      <c r="F2127" t="str">
        <f>+IFERROR(VLOOKUP(Fact_Analitica[[#This Row], [Concepto Anterior]],Conceptos_Analítica_contraloría[#All],7,0),"")</f>
        <v/>
      </c>
      <c r="I2127" t="str">
        <f>+IFERROR(VLOOKUP(D2127,Conceptos_Analítica_contraloría[#All],2,0),"")</f>
        <v/>
      </c>
      <c r="J2127" s="84" t="str">
        <f>+IFERROR(VLOOKUP(D2127,Conceptos_Analítica_contraloría[#All],3,0),"")</f>
        <v/>
      </c>
    </row>
    <row r="2128" spans="3:10" ht="18.75" customHeight="1" x14ac:dyDescent="0.35">
      <c r="C2128" s="100" t="str">
        <f>IF(OR(Fact_Analitica[[#This Row], [Año]]="",Fact_Analitica[[#This Row], [Mes]]=""),"",DATE(A2128,MATCH(B2128,{"enero","febrero","marzo","abril","mayo","junio","julio","agosto","septiembre","octubre","noviembre","diciembre"},0)+1,0))</f>
        <v/>
      </c>
      <c r="E2128" t="str">
        <f>+IFERROR(VLOOKUP(Fact_Analitica[[#This Row], [Concepto Anterior]],Conceptos_Analítica_contraloría[#All],5,0),"")</f>
        <v/>
      </c>
      <c r="F2128" t="str">
        <f>+IFERROR(VLOOKUP(Fact_Analitica[[#This Row], [Concepto Anterior]],Conceptos_Analítica_contraloría[#All],7,0),"")</f>
        <v/>
      </c>
      <c r="I2128" t="str">
        <f>+IFERROR(VLOOKUP(D2128,Conceptos_Analítica_contraloría[#All],2,0),"")</f>
        <v/>
      </c>
      <c r="J2128" s="84" t="str">
        <f>+IFERROR(VLOOKUP(D2128,Conceptos_Analítica_contraloría[#All],3,0),"")</f>
        <v/>
      </c>
    </row>
    <row r="2129" spans="3:10" ht="18.75" customHeight="1" x14ac:dyDescent="0.35">
      <c r="C2129" s="100" t="str">
        <f>IF(OR(Fact_Analitica[[#This Row], [Año]]="",Fact_Analitica[[#This Row], [Mes]]=""),"",DATE(A2129,MATCH(B2129,{"enero","febrero","marzo","abril","mayo","junio","julio","agosto","septiembre","octubre","noviembre","diciembre"},0)+1,0))</f>
        <v/>
      </c>
      <c r="E2129" t="str">
        <f>+IFERROR(VLOOKUP(Fact_Analitica[[#This Row], [Concepto Anterior]],Conceptos_Analítica_contraloría[#All],5,0),"")</f>
        <v/>
      </c>
      <c r="F2129" t="str">
        <f>+IFERROR(VLOOKUP(Fact_Analitica[[#This Row], [Concepto Anterior]],Conceptos_Analítica_contraloría[#All],7,0),"")</f>
        <v/>
      </c>
      <c r="I2129" t="str">
        <f>+IFERROR(VLOOKUP(D2129,Conceptos_Analítica_contraloría[#All],2,0),"")</f>
        <v/>
      </c>
      <c r="J2129" s="84" t="str">
        <f>+IFERROR(VLOOKUP(D2129,Conceptos_Analítica_contraloría[#All],3,0),"")</f>
        <v/>
      </c>
    </row>
    <row r="2130" spans="3:10" ht="18.75" customHeight="1" x14ac:dyDescent="0.35">
      <c r="C2130" s="100" t="str">
        <f>IF(OR(Fact_Analitica[[#This Row], [Año]]="",Fact_Analitica[[#This Row], [Mes]]=""),"",DATE(A2130,MATCH(B2130,{"enero","febrero","marzo","abril","mayo","junio","julio","agosto","septiembre","octubre","noviembre","diciembre"},0)+1,0))</f>
        <v/>
      </c>
      <c r="E2130" t="str">
        <f>+IFERROR(VLOOKUP(Fact_Analitica[[#This Row], [Concepto Anterior]],Conceptos_Analítica_contraloría[#All],5,0),"")</f>
        <v/>
      </c>
      <c r="F2130" t="str">
        <f>+IFERROR(VLOOKUP(Fact_Analitica[[#This Row], [Concepto Anterior]],Conceptos_Analítica_contraloría[#All],7,0),"")</f>
        <v/>
      </c>
      <c r="I2130" t="str">
        <f>+IFERROR(VLOOKUP(D2130,Conceptos_Analítica_contraloría[#All],2,0),"")</f>
        <v/>
      </c>
      <c r="J2130" s="84" t="str">
        <f>+IFERROR(VLOOKUP(D2130,Conceptos_Analítica_contraloría[#All],3,0),"")</f>
        <v/>
      </c>
    </row>
    <row r="2131" spans="3:10" ht="18.75" customHeight="1" x14ac:dyDescent="0.35">
      <c r="C2131" s="100" t="str">
        <f>IF(OR(Fact_Analitica[[#This Row], [Año]]="",Fact_Analitica[[#This Row], [Mes]]=""),"",DATE(A2131,MATCH(B2131,{"enero","febrero","marzo","abril","mayo","junio","julio","agosto","septiembre","octubre","noviembre","diciembre"},0)+1,0))</f>
        <v/>
      </c>
      <c r="E2131" t="str">
        <f>+IFERROR(VLOOKUP(Fact_Analitica[[#This Row], [Concepto Anterior]],Conceptos_Analítica_contraloría[#All],5,0),"")</f>
        <v/>
      </c>
      <c r="F2131" t="str">
        <f>+IFERROR(VLOOKUP(Fact_Analitica[[#This Row], [Concepto Anterior]],Conceptos_Analítica_contraloría[#All],7,0),"")</f>
        <v/>
      </c>
      <c r="I2131" t="str">
        <f>+IFERROR(VLOOKUP(D2131,Conceptos_Analítica_contraloría[#All],2,0),"")</f>
        <v/>
      </c>
      <c r="J2131" s="84" t="str">
        <f>+IFERROR(VLOOKUP(D2131,Conceptos_Analítica_contraloría[#All],3,0),"")</f>
        <v/>
      </c>
    </row>
    <row r="2132" spans="3:10" ht="18.75" customHeight="1" x14ac:dyDescent="0.35">
      <c r="C2132" s="100" t="str">
        <f>IF(OR(Fact_Analitica[[#This Row], [Año]]="",Fact_Analitica[[#This Row], [Mes]]=""),"",DATE(A2132,MATCH(B2132,{"enero","febrero","marzo","abril","mayo","junio","julio","agosto","septiembre","octubre","noviembre","diciembre"},0)+1,0))</f>
        <v/>
      </c>
      <c r="E2132" t="str">
        <f>+IFERROR(VLOOKUP(Fact_Analitica[[#This Row], [Concepto Anterior]],Conceptos_Analítica_contraloría[#All],5,0),"")</f>
        <v/>
      </c>
      <c r="F2132" t="str">
        <f>+IFERROR(VLOOKUP(Fact_Analitica[[#This Row], [Concepto Anterior]],Conceptos_Analítica_contraloría[#All],7,0),"")</f>
        <v/>
      </c>
      <c r="I2132" t="str">
        <f>+IFERROR(VLOOKUP(D2132,Conceptos_Analítica_contraloría[#All],2,0),"")</f>
        <v/>
      </c>
      <c r="J2132" s="84" t="str">
        <f>+IFERROR(VLOOKUP(D2132,Conceptos_Analítica_contraloría[#All],3,0),"")</f>
        <v/>
      </c>
    </row>
    <row r="2133" spans="3:10" ht="18.75" customHeight="1" x14ac:dyDescent="0.35">
      <c r="C2133" s="100" t="str">
        <f>IF(OR(Fact_Analitica[[#This Row], [Año]]="",Fact_Analitica[[#This Row], [Mes]]=""),"",DATE(A2133,MATCH(B2133,{"enero","febrero","marzo","abril","mayo","junio","julio","agosto","septiembre","octubre","noviembre","diciembre"},0)+1,0))</f>
        <v/>
      </c>
      <c r="E2133" t="str">
        <f>+IFERROR(VLOOKUP(Fact_Analitica[[#This Row], [Concepto Anterior]],Conceptos_Analítica_contraloría[#All],5,0),"")</f>
        <v/>
      </c>
      <c r="F2133" t="str">
        <f>+IFERROR(VLOOKUP(Fact_Analitica[[#This Row], [Concepto Anterior]],Conceptos_Analítica_contraloría[#All],7,0),"")</f>
        <v/>
      </c>
      <c r="I2133" t="str">
        <f>+IFERROR(VLOOKUP(D2133,Conceptos_Analítica_contraloría[#All],2,0),"")</f>
        <v/>
      </c>
      <c r="J2133" s="84" t="str">
        <f>+IFERROR(VLOOKUP(D2133,Conceptos_Analítica_contraloría[#All],3,0),"")</f>
        <v/>
      </c>
    </row>
    <row r="2134" spans="3:10" ht="18.75" customHeight="1" x14ac:dyDescent="0.35">
      <c r="C2134" s="100" t="str">
        <f>IF(OR(Fact_Analitica[[#This Row], [Año]]="",Fact_Analitica[[#This Row], [Mes]]=""),"",DATE(A2134,MATCH(B2134,{"enero","febrero","marzo","abril","mayo","junio","julio","agosto","septiembre","octubre","noviembre","diciembre"},0)+1,0))</f>
        <v/>
      </c>
      <c r="E2134" t="str">
        <f>+IFERROR(VLOOKUP(Fact_Analitica[[#This Row], [Concepto Anterior]],Conceptos_Analítica_contraloría[#All],5,0),"")</f>
        <v/>
      </c>
      <c r="F2134" t="str">
        <f>+IFERROR(VLOOKUP(Fact_Analitica[[#This Row], [Concepto Anterior]],Conceptos_Analítica_contraloría[#All],7,0),"")</f>
        <v/>
      </c>
      <c r="I2134" t="str">
        <f>+IFERROR(VLOOKUP(D2134,Conceptos_Analítica_contraloría[#All],2,0),"")</f>
        <v/>
      </c>
      <c r="J2134" s="84" t="str">
        <f>+IFERROR(VLOOKUP(D2134,Conceptos_Analítica_contraloría[#All],3,0),"")</f>
        <v/>
      </c>
    </row>
    <row r="2135" spans="3:10" ht="18.75" customHeight="1" x14ac:dyDescent="0.35">
      <c r="C2135" s="100" t="str">
        <f>IF(OR(Fact_Analitica[[#This Row], [Año]]="",Fact_Analitica[[#This Row], [Mes]]=""),"",DATE(A2135,MATCH(B2135,{"enero","febrero","marzo","abril","mayo","junio","julio","agosto","septiembre","octubre","noviembre","diciembre"},0)+1,0))</f>
        <v/>
      </c>
      <c r="E2135" t="str">
        <f>+IFERROR(VLOOKUP(Fact_Analitica[[#This Row], [Concepto Anterior]],Conceptos_Analítica_contraloría[#All],5,0),"")</f>
        <v/>
      </c>
      <c r="F2135" t="str">
        <f>+IFERROR(VLOOKUP(Fact_Analitica[[#This Row], [Concepto Anterior]],Conceptos_Analítica_contraloría[#All],7,0),"")</f>
        <v/>
      </c>
      <c r="I2135" t="str">
        <f>+IFERROR(VLOOKUP(D2135,Conceptos_Analítica_contraloría[#All],2,0),"")</f>
        <v/>
      </c>
      <c r="J2135" s="84" t="str">
        <f>+IFERROR(VLOOKUP(D2135,Conceptos_Analítica_contraloría[#All],3,0),"")</f>
        <v/>
      </c>
    </row>
    <row r="2136" spans="3:10" ht="18.75" customHeight="1" x14ac:dyDescent="0.35">
      <c r="C2136" s="100" t="str">
        <f>IF(OR(Fact_Analitica[[#This Row], [Año]]="",Fact_Analitica[[#This Row], [Mes]]=""),"",DATE(A2136,MATCH(B2136,{"enero","febrero","marzo","abril","mayo","junio","julio","agosto","septiembre","octubre","noviembre","diciembre"},0)+1,0))</f>
        <v/>
      </c>
      <c r="E2136" t="str">
        <f>+IFERROR(VLOOKUP(Fact_Analitica[[#This Row], [Concepto Anterior]],Conceptos_Analítica_contraloría[#All],5,0),"")</f>
        <v/>
      </c>
      <c r="F2136" t="str">
        <f>+IFERROR(VLOOKUP(Fact_Analitica[[#This Row], [Concepto Anterior]],Conceptos_Analítica_contraloría[#All],7,0),"")</f>
        <v/>
      </c>
      <c r="I2136" t="str">
        <f>+IFERROR(VLOOKUP(D2136,Conceptos_Analítica_contraloría[#All],2,0),"")</f>
        <v/>
      </c>
      <c r="J2136" s="84" t="str">
        <f>+IFERROR(VLOOKUP(D2136,Conceptos_Analítica_contraloría[#All],3,0),"")</f>
        <v/>
      </c>
    </row>
    <row r="2137" spans="3:10" ht="18.75" customHeight="1" x14ac:dyDescent="0.35">
      <c r="C2137" s="100" t="str">
        <f>IF(OR(Fact_Analitica[[#This Row], [Año]]="",Fact_Analitica[[#This Row], [Mes]]=""),"",DATE(A2137,MATCH(B2137,{"enero","febrero","marzo","abril","mayo","junio","julio","agosto","septiembre","octubre","noviembre","diciembre"},0)+1,0))</f>
        <v/>
      </c>
      <c r="E2137" t="str">
        <f>+IFERROR(VLOOKUP(Fact_Analitica[[#This Row], [Concepto Anterior]],Conceptos_Analítica_contraloría[#All],5,0),"")</f>
        <v/>
      </c>
      <c r="F2137" t="str">
        <f>+IFERROR(VLOOKUP(Fact_Analitica[[#This Row], [Concepto Anterior]],Conceptos_Analítica_contraloría[#All],7,0),"")</f>
        <v/>
      </c>
      <c r="I2137" t="str">
        <f>+IFERROR(VLOOKUP(D2137,Conceptos_Analítica_contraloría[#All],2,0),"")</f>
        <v/>
      </c>
      <c r="J2137" s="84" t="str">
        <f>+IFERROR(VLOOKUP(D2137,Conceptos_Analítica_contraloría[#All],3,0),"")</f>
        <v/>
      </c>
    </row>
    <row r="2138" spans="3:10" ht="18.75" customHeight="1" x14ac:dyDescent="0.35">
      <c r="C2138" s="100" t="str">
        <f>IF(OR(Fact_Analitica[[#This Row], [Año]]="",Fact_Analitica[[#This Row], [Mes]]=""),"",DATE(A2138,MATCH(B2138,{"enero","febrero","marzo","abril","mayo","junio","julio","agosto","septiembre","octubre","noviembre","diciembre"},0)+1,0))</f>
        <v/>
      </c>
      <c r="E2138" t="str">
        <f>+IFERROR(VLOOKUP(Fact_Analitica[[#This Row], [Concepto Anterior]],Conceptos_Analítica_contraloría[#All],5,0),"")</f>
        <v/>
      </c>
      <c r="F2138" t="str">
        <f>+IFERROR(VLOOKUP(Fact_Analitica[[#This Row], [Concepto Anterior]],Conceptos_Analítica_contraloría[#All],7,0),"")</f>
        <v/>
      </c>
      <c r="I2138" t="str">
        <f>+IFERROR(VLOOKUP(D2138,Conceptos_Analítica_contraloría[#All],2,0),"")</f>
        <v/>
      </c>
      <c r="J2138" s="84" t="str">
        <f>+IFERROR(VLOOKUP(D2138,Conceptos_Analítica_contraloría[#All],3,0),"")</f>
        <v/>
      </c>
    </row>
    <row r="2139" spans="3:10" ht="18.75" customHeight="1" x14ac:dyDescent="0.35">
      <c r="C2139" s="100" t="str">
        <f>IF(OR(Fact_Analitica[[#This Row], [Año]]="",Fact_Analitica[[#This Row], [Mes]]=""),"",DATE(A2139,MATCH(B2139,{"enero","febrero","marzo","abril","mayo","junio","julio","agosto","septiembre","octubre","noviembre","diciembre"},0)+1,0))</f>
        <v/>
      </c>
      <c r="E2139" t="str">
        <f>+IFERROR(VLOOKUP(Fact_Analitica[[#This Row], [Concepto Anterior]],Conceptos_Analítica_contraloría[#All],5,0),"")</f>
        <v/>
      </c>
      <c r="F2139" t="str">
        <f>+IFERROR(VLOOKUP(Fact_Analitica[[#This Row], [Concepto Anterior]],Conceptos_Analítica_contraloría[#All],7,0),"")</f>
        <v/>
      </c>
      <c r="I2139" t="str">
        <f>+IFERROR(VLOOKUP(D2139,Conceptos_Analítica_contraloría[#All],2,0),"")</f>
        <v/>
      </c>
      <c r="J2139" s="84" t="str">
        <f>+IFERROR(VLOOKUP(D2139,Conceptos_Analítica_contraloría[#All],3,0),"")</f>
        <v/>
      </c>
    </row>
    <row r="2140" spans="3:10" ht="18.75" customHeight="1" x14ac:dyDescent="0.35">
      <c r="C2140" s="100" t="str">
        <f>IF(OR(Fact_Analitica[[#This Row], [Año]]="",Fact_Analitica[[#This Row], [Mes]]=""),"",DATE(A2140,MATCH(B2140,{"enero","febrero","marzo","abril","mayo","junio","julio","agosto","septiembre","octubre","noviembre","diciembre"},0)+1,0))</f>
        <v/>
      </c>
      <c r="E2140" t="str">
        <f>+IFERROR(VLOOKUP(Fact_Analitica[[#This Row], [Concepto Anterior]],Conceptos_Analítica_contraloría[#All],5,0),"")</f>
        <v/>
      </c>
      <c r="F2140" t="str">
        <f>+IFERROR(VLOOKUP(Fact_Analitica[[#This Row], [Concepto Anterior]],Conceptos_Analítica_contraloría[#All],7,0),"")</f>
        <v/>
      </c>
      <c r="I2140" t="str">
        <f>+IFERROR(VLOOKUP(D2140,Conceptos_Analítica_contraloría[#All],2,0),"")</f>
        <v/>
      </c>
      <c r="J2140" s="84" t="str">
        <f>+IFERROR(VLOOKUP(D2140,Conceptos_Analítica_contraloría[#All],3,0),"")</f>
        <v/>
      </c>
    </row>
    <row r="2141" spans="3:10" ht="18.75" customHeight="1" x14ac:dyDescent="0.35">
      <c r="C2141" s="100" t="str">
        <f>IF(OR(Fact_Analitica[[#This Row], [Año]]="",Fact_Analitica[[#This Row], [Mes]]=""),"",DATE(A2141,MATCH(B2141,{"enero","febrero","marzo","abril","mayo","junio","julio","agosto","septiembre","octubre","noviembre","diciembre"},0)+1,0))</f>
        <v/>
      </c>
      <c r="E2141" t="str">
        <f>+IFERROR(VLOOKUP(Fact_Analitica[[#This Row], [Concepto Anterior]],Conceptos_Analítica_contraloría[#All],5,0),"")</f>
        <v/>
      </c>
      <c r="F2141" t="str">
        <f>+IFERROR(VLOOKUP(Fact_Analitica[[#This Row], [Concepto Anterior]],Conceptos_Analítica_contraloría[#All],7,0),"")</f>
        <v/>
      </c>
      <c r="I2141" t="str">
        <f>+IFERROR(VLOOKUP(D2141,Conceptos_Analítica_contraloría[#All],2,0),"")</f>
        <v/>
      </c>
      <c r="J2141" s="84" t="str">
        <f>+IFERROR(VLOOKUP(D2141,Conceptos_Analítica_contraloría[#All],3,0),"")</f>
        <v/>
      </c>
    </row>
    <row r="2142" spans="3:10" ht="18.75" customHeight="1" x14ac:dyDescent="0.35">
      <c r="C2142" s="100" t="str">
        <f>IF(OR(Fact_Analitica[[#This Row], [Año]]="",Fact_Analitica[[#This Row], [Mes]]=""),"",DATE(A2142,MATCH(B2142,{"enero","febrero","marzo","abril","mayo","junio","julio","agosto","septiembre","octubre","noviembre","diciembre"},0)+1,0))</f>
        <v/>
      </c>
      <c r="E2142" t="str">
        <f>+IFERROR(VLOOKUP(Fact_Analitica[[#This Row], [Concepto Anterior]],Conceptos_Analítica_contraloría[#All],5,0),"")</f>
        <v/>
      </c>
      <c r="F2142" t="str">
        <f>+IFERROR(VLOOKUP(Fact_Analitica[[#This Row], [Concepto Anterior]],Conceptos_Analítica_contraloría[#All],7,0),"")</f>
        <v/>
      </c>
      <c r="I2142" t="str">
        <f>+IFERROR(VLOOKUP(D2142,Conceptos_Analítica_contraloría[#All],2,0),"")</f>
        <v/>
      </c>
      <c r="J2142" s="84" t="str">
        <f>+IFERROR(VLOOKUP(D2142,Conceptos_Analítica_contraloría[#All],3,0),"")</f>
        <v/>
      </c>
    </row>
    <row r="2143" spans="3:10" ht="18.75" customHeight="1" x14ac:dyDescent="0.35">
      <c r="C2143" s="100" t="str">
        <f>IF(OR(Fact_Analitica[[#This Row], [Año]]="",Fact_Analitica[[#This Row], [Mes]]=""),"",DATE(A2143,MATCH(B2143,{"enero","febrero","marzo","abril","mayo","junio","julio","agosto","septiembre","octubre","noviembre","diciembre"},0)+1,0))</f>
        <v/>
      </c>
      <c r="E2143" t="str">
        <f>+IFERROR(VLOOKUP(Fact_Analitica[[#This Row], [Concepto Anterior]],Conceptos_Analítica_contraloría[#All],5,0),"")</f>
        <v/>
      </c>
      <c r="F2143" t="str">
        <f>+IFERROR(VLOOKUP(Fact_Analitica[[#This Row], [Concepto Anterior]],Conceptos_Analítica_contraloría[#All],7,0),"")</f>
        <v/>
      </c>
      <c r="I2143" t="str">
        <f>+IFERROR(VLOOKUP(D2143,Conceptos_Analítica_contraloría[#All],2,0),"")</f>
        <v/>
      </c>
      <c r="J2143" s="84" t="str">
        <f>+IFERROR(VLOOKUP(D2143,Conceptos_Analítica_contraloría[#All],3,0),"")</f>
        <v/>
      </c>
    </row>
    <row r="2144" spans="3:10" ht="18.75" customHeight="1" x14ac:dyDescent="0.35">
      <c r="C2144" s="100" t="str">
        <f>IF(OR(Fact_Analitica[[#This Row], [Año]]="",Fact_Analitica[[#This Row], [Mes]]=""),"",DATE(A2144,MATCH(B2144,{"enero","febrero","marzo","abril","mayo","junio","julio","agosto","septiembre","octubre","noviembre","diciembre"},0)+1,0))</f>
        <v/>
      </c>
      <c r="E2144" t="str">
        <f>+IFERROR(VLOOKUP(Fact_Analitica[[#This Row], [Concepto Anterior]],Conceptos_Analítica_contraloría[#All],5,0),"")</f>
        <v/>
      </c>
      <c r="F2144" t="str">
        <f>+IFERROR(VLOOKUP(Fact_Analitica[[#This Row], [Concepto Anterior]],Conceptos_Analítica_contraloría[#All],7,0),"")</f>
        <v/>
      </c>
      <c r="I2144" t="str">
        <f>+IFERROR(VLOOKUP(D2144,Conceptos_Analítica_contraloría[#All],2,0),"")</f>
        <v/>
      </c>
      <c r="J2144" s="84" t="str">
        <f>+IFERROR(VLOOKUP(D2144,Conceptos_Analítica_contraloría[#All],3,0),"")</f>
        <v/>
      </c>
    </row>
    <row r="2145" spans="3:10" ht="18.75" customHeight="1" x14ac:dyDescent="0.35">
      <c r="C2145" s="100" t="str">
        <f>IF(OR(Fact_Analitica[[#This Row], [Año]]="",Fact_Analitica[[#This Row], [Mes]]=""),"",DATE(A2145,MATCH(B2145,{"enero","febrero","marzo","abril","mayo","junio","julio","agosto","septiembre","octubre","noviembre","diciembre"},0)+1,0))</f>
        <v/>
      </c>
      <c r="E2145" t="str">
        <f>+IFERROR(VLOOKUP(Fact_Analitica[[#This Row], [Concepto Anterior]],Conceptos_Analítica_contraloría[#All],5,0),"")</f>
        <v/>
      </c>
      <c r="F2145" t="str">
        <f>+IFERROR(VLOOKUP(Fact_Analitica[[#This Row], [Concepto Anterior]],Conceptos_Analítica_contraloría[#All],7,0),"")</f>
        <v/>
      </c>
      <c r="I2145" t="str">
        <f>+IFERROR(VLOOKUP(D2145,Conceptos_Analítica_contraloría[#All],2,0),"")</f>
        <v/>
      </c>
      <c r="J2145" s="84" t="str">
        <f>+IFERROR(VLOOKUP(D2145,Conceptos_Analítica_contraloría[#All],3,0),"")</f>
        <v/>
      </c>
    </row>
    <row r="2146" spans="3:10" ht="18.75" customHeight="1" x14ac:dyDescent="0.35">
      <c r="C2146" s="100" t="str">
        <f>IF(OR(Fact_Analitica[[#This Row], [Año]]="",Fact_Analitica[[#This Row], [Mes]]=""),"",DATE(A2146,MATCH(B2146,{"enero","febrero","marzo","abril","mayo","junio","julio","agosto","septiembre","octubre","noviembre","diciembre"},0)+1,0))</f>
        <v/>
      </c>
      <c r="E2146" t="str">
        <f>+IFERROR(VLOOKUP(Fact_Analitica[[#This Row], [Concepto Anterior]],Conceptos_Analítica_contraloría[#All],5,0),"")</f>
        <v/>
      </c>
      <c r="F2146" t="str">
        <f>+IFERROR(VLOOKUP(Fact_Analitica[[#This Row], [Concepto Anterior]],Conceptos_Analítica_contraloría[#All],7,0),"")</f>
        <v/>
      </c>
      <c r="I2146" t="str">
        <f>+IFERROR(VLOOKUP(D2146,Conceptos_Analítica_contraloría[#All],2,0),"")</f>
        <v/>
      </c>
      <c r="J2146" s="84" t="str">
        <f>+IFERROR(VLOOKUP(D2146,Conceptos_Analítica_contraloría[#All],3,0),"")</f>
        <v/>
      </c>
    </row>
    <row r="2147" spans="3:10" ht="18.75" customHeight="1" x14ac:dyDescent="0.35">
      <c r="C2147" s="100" t="str">
        <f>IF(OR(Fact_Analitica[[#This Row], [Año]]="",Fact_Analitica[[#This Row], [Mes]]=""),"",DATE(A2147,MATCH(B2147,{"enero","febrero","marzo","abril","mayo","junio","julio","agosto","septiembre","octubre","noviembre","diciembre"},0)+1,0))</f>
        <v/>
      </c>
      <c r="E2147" t="str">
        <f>+IFERROR(VLOOKUP(Fact_Analitica[[#This Row], [Concepto Anterior]],Conceptos_Analítica_contraloría[#All],5,0),"")</f>
        <v/>
      </c>
      <c r="F2147" t="str">
        <f>+IFERROR(VLOOKUP(Fact_Analitica[[#This Row], [Concepto Anterior]],Conceptos_Analítica_contraloría[#All],7,0),"")</f>
        <v/>
      </c>
      <c r="I2147" t="str">
        <f>+IFERROR(VLOOKUP(D2147,Conceptos_Analítica_contraloría[#All],2,0),"")</f>
        <v/>
      </c>
      <c r="J2147" s="84" t="str">
        <f>+IFERROR(VLOOKUP(D2147,Conceptos_Analítica_contraloría[#All],3,0),"")</f>
        <v/>
      </c>
    </row>
    <row r="2148" spans="3:10" ht="18.75" customHeight="1" x14ac:dyDescent="0.35">
      <c r="C2148" s="100" t="str">
        <f>IF(OR(Fact_Analitica[[#This Row], [Año]]="",Fact_Analitica[[#This Row], [Mes]]=""),"",DATE(A2148,MATCH(B2148,{"enero","febrero","marzo","abril","mayo","junio","julio","agosto","septiembre","octubre","noviembre","diciembre"},0)+1,0))</f>
        <v/>
      </c>
      <c r="E2148" t="str">
        <f>+IFERROR(VLOOKUP(Fact_Analitica[[#This Row], [Concepto Anterior]],Conceptos_Analítica_contraloría[#All],5,0),"")</f>
        <v/>
      </c>
      <c r="F2148" t="str">
        <f>+IFERROR(VLOOKUP(Fact_Analitica[[#This Row], [Concepto Anterior]],Conceptos_Analítica_contraloría[#All],7,0),"")</f>
        <v/>
      </c>
      <c r="I2148" t="str">
        <f>+IFERROR(VLOOKUP(D2148,Conceptos_Analítica_contraloría[#All],2,0),"")</f>
        <v/>
      </c>
      <c r="J2148" s="84" t="str">
        <f>+IFERROR(VLOOKUP(D2148,Conceptos_Analítica_contraloría[#All],3,0),"")</f>
        <v/>
      </c>
    </row>
    <row r="2149" spans="3:10" ht="18.75" customHeight="1" x14ac:dyDescent="0.35">
      <c r="C2149" s="100" t="str">
        <f>IF(OR(Fact_Analitica[[#This Row], [Año]]="",Fact_Analitica[[#This Row], [Mes]]=""),"",DATE(A2149,MATCH(B2149,{"enero","febrero","marzo","abril","mayo","junio","julio","agosto","septiembre","octubre","noviembre","diciembre"},0)+1,0))</f>
        <v/>
      </c>
      <c r="E2149" t="str">
        <f>+IFERROR(VLOOKUP(Fact_Analitica[[#This Row], [Concepto Anterior]],Conceptos_Analítica_contraloría[#All],5,0),"")</f>
        <v/>
      </c>
      <c r="F2149" t="str">
        <f>+IFERROR(VLOOKUP(Fact_Analitica[[#This Row], [Concepto Anterior]],Conceptos_Analítica_contraloría[#All],7,0),"")</f>
        <v/>
      </c>
      <c r="I2149" t="str">
        <f>+IFERROR(VLOOKUP(D2149,Conceptos_Analítica_contraloría[#All],2,0),"")</f>
        <v/>
      </c>
      <c r="J2149" s="84" t="str">
        <f>+IFERROR(VLOOKUP(D2149,Conceptos_Analítica_contraloría[#All],3,0),"")</f>
        <v/>
      </c>
    </row>
    <row r="2150" spans="3:10" ht="18.75" customHeight="1" x14ac:dyDescent="0.35">
      <c r="C2150" s="100" t="str">
        <f>IF(OR(Fact_Analitica[[#This Row], [Año]]="",Fact_Analitica[[#This Row], [Mes]]=""),"",DATE(A2150,MATCH(B2150,{"enero","febrero","marzo","abril","mayo","junio","julio","agosto","septiembre","octubre","noviembre","diciembre"},0)+1,0))</f>
        <v/>
      </c>
      <c r="E2150" t="str">
        <f>+IFERROR(VLOOKUP(Fact_Analitica[[#This Row], [Concepto Anterior]],Conceptos_Analítica_contraloría[#All],5,0),"")</f>
        <v/>
      </c>
      <c r="F2150" t="str">
        <f>+IFERROR(VLOOKUP(Fact_Analitica[[#This Row], [Concepto Anterior]],Conceptos_Analítica_contraloría[#All],7,0),"")</f>
        <v/>
      </c>
      <c r="I2150" t="str">
        <f>+IFERROR(VLOOKUP(D2150,Conceptos_Analítica_contraloría[#All],2,0),"")</f>
        <v/>
      </c>
      <c r="J2150" s="84" t="str">
        <f>+IFERROR(VLOOKUP(D2150,Conceptos_Analítica_contraloría[#All],3,0),"")</f>
        <v/>
      </c>
    </row>
    <row r="2151" spans="3:10" ht="18.75" customHeight="1" x14ac:dyDescent="0.35">
      <c r="C2151" s="100" t="str">
        <f>IF(OR(Fact_Analitica[[#This Row], [Año]]="",Fact_Analitica[[#This Row], [Mes]]=""),"",DATE(A2151,MATCH(B2151,{"enero","febrero","marzo","abril","mayo","junio","julio","agosto","septiembre","octubre","noviembre","diciembre"},0)+1,0))</f>
        <v/>
      </c>
      <c r="E2151" t="str">
        <f>+IFERROR(VLOOKUP(Fact_Analitica[[#This Row], [Concepto Anterior]],Conceptos_Analítica_contraloría[#All],5,0),"")</f>
        <v/>
      </c>
      <c r="F2151" t="str">
        <f>+IFERROR(VLOOKUP(Fact_Analitica[[#This Row], [Concepto Anterior]],Conceptos_Analítica_contraloría[#All],7,0),"")</f>
        <v/>
      </c>
      <c r="I2151" t="str">
        <f>+IFERROR(VLOOKUP(D2151,Conceptos_Analítica_contraloría[#All],2,0),"")</f>
        <v/>
      </c>
      <c r="J2151" s="84" t="str">
        <f>+IFERROR(VLOOKUP(D2151,Conceptos_Analítica_contraloría[#All],3,0),"")</f>
        <v/>
      </c>
    </row>
    <row r="2152" spans="3:10" ht="18.75" customHeight="1" x14ac:dyDescent="0.35">
      <c r="C2152" s="100" t="str">
        <f>IF(OR(Fact_Analitica[[#This Row], [Año]]="",Fact_Analitica[[#This Row], [Mes]]=""),"",DATE(A2152,MATCH(B2152,{"enero","febrero","marzo","abril","mayo","junio","julio","agosto","septiembre","octubre","noviembre","diciembre"},0)+1,0))</f>
        <v/>
      </c>
      <c r="E2152" t="str">
        <f>+IFERROR(VLOOKUP(Fact_Analitica[[#This Row], [Concepto Anterior]],Conceptos_Analítica_contraloría[#All],5,0),"")</f>
        <v/>
      </c>
      <c r="F2152" t="str">
        <f>+IFERROR(VLOOKUP(Fact_Analitica[[#This Row], [Concepto Anterior]],Conceptos_Analítica_contraloría[#All],7,0),"")</f>
        <v/>
      </c>
      <c r="I2152" t="str">
        <f>+IFERROR(VLOOKUP(D2152,Conceptos_Analítica_contraloría[#All],2,0),"")</f>
        <v/>
      </c>
      <c r="J2152" s="84" t="str">
        <f>+IFERROR(VLOOKUP(D2152,Conceptos_Analítica_contraloría[#All],3,0),"")</f>
        <v/>
      </c>
    </row>
    <row r="2153" spans="3:10" ht="18.75" customHeight="1" x14ac:dyDescent="0.35">
      <c r="C2153" s="100" t="str">
        <f>IF(OR(Fact_Analitica[[#This Row], [Año]]="",Fact_Analitica[[#This Row], [Mes]]=""),"",DATE(A2153,MATCH(B2153,{"enero","febrero","marzo","abril","mayo","junio","julio","agosto","septiembre","octubre","noviembre","diciembre"},0)+1,0))</f>
        <v/>
      </c>
      <c r="E2153" t="str">
        <f>+IFERROR(VLOOKUP(Fact_Analitica[[#This Row], [Concepto Anterior]],Conceptos_Analítica_contraloría[#All],5,0),"")</f>
        <v/>
      </c>
      <c r="F2153" t="str">
        <f>+IFERROR(VLOOKUP(Fact_Analitica[[#This Row], [Concepto Anterior]],Conceptos_Analítica_contraloría[#All],7,0),"")</f>
        <v/>
      </c>
      <c r="I2153" t="str">
        <f>+IFERROR(VLOOKUP(D2153,Conceptos_Analítica_contraloría[#All],2,0),"")</f>
        <v/>
      </c>
      <c r="J2153" s="84" t="str">
        <f>+IFERROR(VLOOKUP(D2153,Conceptos_Analítica_contraloría[#All],3,0),"")</f>
        <v/>
      </c>
    </row>
    <row r="2154" spans="3:10" ht="18.75" customHeight="1" x14ac:dyDescent="0.35">
      <c r="C2154" s="100" t="str">
        <f>IF(OR(Fact_Analitica[[#This Row], [Año]]="",Fact_Analitica[[#This Row], [Mes]]=""),"",DATE(A2154,MATCH(B2154,{"enero","febrero","marzo","abril","mayo","junio","julio","agosto","septiembre","octubre","noviembre","diciembre"},0)+1,0))</f>
        <v/>
      </c>
      <c r="E2154" t="str">
        <f>+IFERROR(VLOOKUP(Fact_Analitica[[#This Row], [Concepto Anterior]],Conceptos_Analítica_contraloría[#All],5,0),"")</f>
        <v/>
      </c>
      <c r="F2154" t="str">
        <f>+IFERROR(VLOOKUP(Fact_Analitica[[#This Row], [Concepto Anterior]],Conceptos_Analítica_contraloría[#All],7,0),"")</f>
        <v/>
      </c>
      <c r="I2154" t="str">
        <f>+IFERROR(VLOOKUP(D2154,Conceptos_Analítica_contraloría[#All],2,0),"")</f>
        <v/>
      </c>
      <c r="J2154" s="84" t="str">
        <f>+IFERROR(VLOOKUP(D2154,Conceptos_Analítica_contraloría[#All],3,0),"")</f>
        <v/>
      </c>
    </row>
    <row r="2155" spans="3:10" ht="18.75" customHeight="1" x14ac:dyDescent="0.35">
      <c r="C2155" s="100" t="str">
        <f>IF(OR(Fact_Analitica[[#This Row], [Año]]="",Fact_Analitica[[#This Row], [Mes]]=""),"",DATE(A2155,MATCH(B2155,{"enero","febrero","marzo","abril","mayo","junio","julio","agosto","septiembre","octubre","noviembre","diciembre"},0)+1,0))</f>
        <v/>
      </c>
      <c r="E2155" t="str">
        <f>+IFERROR(VLOOKUP(Fact_Analitica[[#This Row], [Concepto Anterior]],Conceptos_Analítica_contraloría[#All],5,0),"")</f>
        <v/>
      </c>
      <c r="F2155" t="str">
        <f>+IFERROR(VLOOKUP(Fact_Analitica[[#This Row], [Concepto Anterior]],Conceptos_Analítica_contraloría[#All],7,0),"")</f>
        <v/>
      </c>
      <c r="I2155" t="str">
        <f>+IFERROR(VLOOKUP(D2155,Conceptos_Analítica_contraloría[#All],2,0),"")</f>
        <v/>
      </c>
      <c r="J2155" s="84" t="str">
        <f>+IFERROR(VLOOKUP(D2155,Conceptos_Analítica_contraloría[#All],3,0),"")</f>
        <v/>
      </c>
    </row>
    <row r="2156" spans="3:10" ht="18.75" customHeight="1" x14ac:dyDescent="0.35">
      <c r="C2156" s="100" t="str">
        <f>IF(OR(Fact_Analitica[[#This Row], [Año]]="",Fact_Analitica[[#This Row], [Mes]]=""),"",DATE(A2156,MATCH(B2156,{"enero","febrero","marzo","abril","mayo","junio","julio","agosto","septiembre","octubre","noviembre","diciembre"},0)+1,0))</f>
        <v/>
      </c>
      <c r="E2156" t="str">
        <f>+IFERROR(VLOOKUP(Fact_Analitica[[#This Row], [Concepto Anterior]],Conceptos_Analítica_contraloría[#All],5,0),"")</f>
        <v/>
      </c>
      <c r="F2156" t="str">
        <f>+IFERROR(VLOOKUP(Fact_Analitica[[#This Row], [Concepto Anterior]],Conceptos_Analítica_contraloría[#All],7,0),"")</f>
        <v/>
      </c>
      <c r="I2156" t="str">
        <f>+IFERROR(VLOOKUP(D2156,Conceptos_Analítica_contraloría[#All],2,0),"")</f>
        <v/>
      </c>
      <c r="J2156" s="84" t="str">
        <f>+IFERROR(VLOOKUP(D2156,Conceptos_Analítica_contraloría[#All],3,0),"")</f>
        <v/>
      </c>
    </row>
    <row r="2157" spans="3:10" ht="18.75" customHeight="1" x14ac:dyDescent="0.35">
      <c r="C2157" s="100" t="str">
        <f>IF(OR(Fact_Analitica[[#This Row], [Año]]="",Fact_Analitica[[#This Row], [Mes]]=""),"",DATE(A2157,MATCH(B2157,{"enero","febrero","marzo","abril","mayo","junio","julio","agosto","septiembre","octubre","noviembre","diciembre"},0)+1,0))</f>
        <v/>
      </c>
      <c r="E2157" t="str">
        <f>+IFERROR(VLOOKUP(Fact_Analitica[[#This Row], [Concepto Anterior]],Conceptos_Analítica_contraloría[#All],5,0),"")</f>
        <v/>
      </c>
      <c r="F2157" t="str">
        <f>+IFERROR(VLOOKUP(Fact_Analitica[[#This Row], [Concepto Anterior]],Conceptos_Analítica_contraloría[#All],7,0),"")</f>
        <v/>
      </c>
      <c r="I2157" t="str">
        <f>+IFERROR(VLOOKUP(D2157,Conceptos_Analítica_contraloría[#All],2,0),"")</f>
        <v/>
      </c>
      <c r="J2157" s="84" t="str">
        <f>+IFERROR(VLOOKUP(D2157,Conceptos_Analítica_contraloría[#All],3,0),"")</f>
        <v/>
      </c>
    </row>
    <row r="2158" spans="3:10" ht="18.75" customHeight="1" x14ac:dyDescent="0.35">
      <c r="C2158" s="100" t="str">
        <f>IF(OR(Fact_Analitica[[#This Row], [Año]]="",Fact_Analitica[[#This Row], [Mes]]=""),"",DATE(A2158,MATCH(B2158,{"enero","febrero","marzo","abril","mayo","junio","julio","agosto","septiembre","octubre","noviembre","diciembre"},0)+1,0))</f>
        <v/>
      </c>
      <c r="E2158" t="str">
        <f>+IFERROR(VLOOKUP(Fact_Analitica[[#This Row], [Concepto Anterior]],Conceptos_Analítica_contraloría[#All],5,0),"")</f>
        <v/>
      </c>
      <c r="F2158" t="str">
        <f>+IFERROR(VLOOKUP(Fact_Analitica[[#This Row], [Concepto Anterior]],Conceptos_Analítica_contraloría[#All],7,0),"")</f>
        <v/>
      </c>
      <c r="I2158" t="str">
        <f>+IFERROR(VLOOKUP(D2158,Conceptos_Analítica_contraloría[#All],2,0),"")</f>
        <v/>
      </c>
      <c r="J2158" s="84" t="str">
        <f>+IFERROR(VLOOKUP(D2158,Conceptos_Analítica_contraloría[#All],3,0),"")</f>
        <v/>
      </c>
    </row>
    <row r="2159" spans="3:10" ht="18.75" customHeight="1" x14ac:dyDescent="0.35">
      <c r="C2159" s="100" t="str">
        <f>IF(OR(Fact_Analitica[[#This Row], [Año]]="",Fact_Analitica[[#This Row], [Mes]]=""),"",DATE(A2159,MATCH(B2159,{"enero","febrero","marzo","abril","mayo","junio","julio","agosto","septiembre","octubre","noviembre","diciembre"},0)+1,0))</f>
        <v/>
      </c>
      <c r="E2159" t="str">
        <f>+IFERROR(VLOOKUP(Fact_Analitica[[#This Row], [Concepto Anterior]],Conceptos_Analítica_contraloría[#All],5,0),"")</f>
        <v/>
      </c>
      <c r="F2159" t="str">
        <f>+IFERROR(VLOOKUP(Fact_Analitica[[#This Row], [Concepto Anterior]],Conceptos_Analítica_contraloría[#All],7,0),"")</f>
        <v/>
      </c>
      <c r="I2159" t="str">
        <f>+IFERROR(VLOOKUP(D2159,Conceptos_Analítica_contraloría[#All],2,0),"")</f>
        <v/>
      </c>
      <c r="J2159" s="84" t="str">
        <f>+IFERROR(VLOOKUP(D2159,Conceptos_Analítica_contraloría[#All],3,0),"")</f>
        <v/>
      </c>
    </row>
    <row r="2160" spans="3:10" ht="18.75" customHeight="1" x14ac:dyDescent="0.35">
      <c r="C2160" s="100" t="str">
        <f>IF(OR(Fact_Analitica[[#This Row], [Año]]="",Fact_Analitica[[#This Row], [Mes]]=""),"",DATE(A2160,MATCH(B2160,{"enero","febrero","marzo","abril","mayo","junio","julio","agosto","septiembre","octubre","noviembre","diciembre"},0)+1,0))</f>
        <v/>
      </c>
      <c r="E2160" t="str">
        <f>+IFERROR(VLOOKUP(Fact_Analitica[[#This Row], [Concepto Anterior]],Conceptos_Analítica_contraloría[#All],5,0),"")</f>
        <v/>
      </c>
      <c r="F2160" t="str">
        <f>+IFERROR(VLOOKUP(Fact_Analitica[[#This Row], [Concepto Anterior]],Conceptos_Analítica_contraloría[#All],7,0),"")</f>
        <v/>
      </c>
      <c r="I2160" t="str">
        <f>+IFERROR(VLOOKUP(D2160,Conceptos_Analítica_contraloría[#All],2,0),"")</f>
        <v/>
      </c>
      <c r="J2160" s="84" t="str">
        <f>+IFERROR(VLOOKUP(D2160,Conceptos_Analítica_contraloría[#All],3,0),"")</f>
        <v/>
      </c>
    </row>
    <row r="2161" spans="3:10" ht="18.75" customHeight="1" x14ac:dyDescent="0.35">
      <c r="C2161" s="100" t="str">
        <f>IF(OR(Fact_Analitica[[#This Row], [Año]]="",Fact_Analitica[[#This Row], [Mes]]=""),"",DATE(A2161,MATCH(B2161,{"enero","febrero","marzo","abril","mayo","junio","julio","agosto","septiembre","octubre","noviembre","diciembre"},0)+1,0))</f>
        <v/>
      </c>
      <c r="E2161" t="str">
        <f>+IFERROR(VLOOKUP(Fact_Analitica[[#This Row], [Concepto Anterior]],Conceptos_Analítica_contraloría[#All],5,0),"")</f>
        <v/>
      </c>
      <c r="F2161" t="str">
        <f>+IFERROR(VLOOKUP(Fact_Analitica[[#This Row], [Concepto Anterior]],Conceptos_Analítica_contraloría[#All],7,0),"")</f>
        <v/>
      </c>
      <c r="I2161" t="str">
        <f>+IFERROR(VLOOKUP(D2161,Conceptos_Analítica_contraloría[#All],2,0),"")</f>
        <v/>
      </c>
      <c r="J2161" s="84" t="str">
        <f>+IFERROR(VLOOKUP(D2161,Conceptos_Analítica_contraloría[#All],3,0),"")</f>
        <v/>
      </c>
    </row>
    <row r="2162" spans="3:10" ht="18.75" customHeight="1" x14ac:dyDescent="0.35">
      <c r="C2162" s="100" t="str">
        <f>IF(OR(Fact_Analitica[[#This Row], [Año]]="",Fact_Analitica[[#This Row], [Mes]]=""),"",DATE(A2162,MATCH(B2162,{"enero","febrero","marzo","abril","mayo","junio","julio","agosto","septiembre","octubre","noviembre","diciembre"},0)+1,0))</f>
        <v/>
      </c>
      <c r="E2162" t="str">
        <f>+IFERROR(VLOOKUP(Fact_Analitica[[#This Row], [Concepto Anterior]],Conceptos_Analítica_contraloría[#All],5,0),"")</f>
        <v/>
      </c>
      <c r="F2162" t="str">
        <f>+IFERROR(VLOOKUP(Fact_Analitica[[#This Row], [Concepto Anterior]],Conceptos_Analítica_contraloría[#All],7,0),"")</f>
        <v/>
      </c>
      <c r="I2162" t="str">
        <f>+IFERROR(VLOOKUP(D2162,Conceptos_Analítica_contraloría[#All],2,0),"")</f>
        <v/>
      </c>
      <c r="J2162" s="84" t="str">
        <f>+IFERROR(VLOOKUP(D2162,Conceptos_Analítica_contraloría[#All],3,0),"")</f>
        <v/>
      </c>
    </row>
    <row r="2163" spans="3:10" ht="18.75" customHeight="1" x14ac:dyDescent="0.35">
      <c r="C2163" s="100" t="str">
        <f>IF(OR(Fact_Analitica[[#This Row], [Año]]="",Fact_Analitica[[#This Row], [Mes]]=""),"",DATE(A2163,MATCH(B2163,{"enero","febrero","marzo","abril","mayo","junio","julio","agosto","septiembre","octubre","noviembre","diciembre"},0)+1,0))</f>
        <v/>
      </c>
      <c r="E2163" t="str">
        <f>+IFERROR(VLOOKUP(Fact_Analitica[[#This Row], [Concepto Anterior]],Conceptos_Analítica_contraloría[#All],5,0),"")</f>
        <v/>
      </c>
      <c r="F2163" t="str">
        <f>+IFERROR(VLOOKUP(Fact_Analitica[[#This Row], [Concepto Anterior]],Conceptos_Analítica_contraloría[#All],7,0),"")</f>
        <v/>
      </c>
      <c r="I2163" t="str">
        <f>+IFERROR(VLOOKUP(D2163,Conceptos_Analítica_contraloría[#All],2,0),"")</f>
        <v/>
      </c>
      <c r="J2163" s="84" t="str">
        <f>+IFERROR(VLOOKUP(D2163,Conceptos_Analítica_contraloría[#All],3,0),"")</f>
        <v/>
      </c>
    </row>
    <row r="2164" spans="3:10" ht="18.75" customHeight="1" x14ac:dyDescent="0.35">
      <c r="C2164" s="100" t="str">
        <f>IF(OR(Fact_Analitica[[#This Row], [Año]]="",Fact_Analitica[[#This Row], [Mes]]=""),"",DATE(A2164,MATCH(B2164,{"enero","febrero","marzo","abril","mayo","junio","julio","agosto","septiembre","octubre","noviembre","diciembre"},0)+1,0))</f>
        <v/>
      </c>
      <c r="E2164" t="str">
        <f>+IFERROR(VLOOKUP(Fact_Analitica[[#This Row], [Concepto Anterior]],Conceptos_Analítica_contraloría[#All],5,0),"")</f>
        <v/>
      </c>
      <c r="F2164" t="str">
        <f>+IFERROR(VLOOKUP(Fact_Analitica[[#This Row], [Concepto Anterior]],Conceptos_Analítica_contraloría[#All],7,0),"")</f>
        <v/>
      </c>
      <c r="I2164" t="str">
        <f>+IFERROR(VLOOKUP(D2164,Conceptos_Analítica_contraloría[#All],2,0),"")</f>
        <v/>
      </c>
      <c r="J2164" s="84" t="str">
        <f>+IFERROR(VLOOKUP(D2164,Conceptos_Analítica_contraloría[#All],3,0),"")</f>
        <v/>
      </c>
    </row>
    <row r="2165" spans="3:10" ht="18.75" customHeight="1" x14ac:dyDescent="0.35">
      <c r="C2165" s="100" t="str">
        <f>IF(OR(Fact_Analitica[[#This Row], [Año]]="",Fact_Analitica[[#This Row], [Mes]]=""),"",DATE(A2165,MATCH(B2165,{"enero","febrero","marzo","abril","mayo","junio","julio","agosto","septiembre","octubre","noviembre","diciembre"},0)+1,0))</f>
        <v/>
      </c>
      <c r="E2165" t="str">
        <f>+IFERROR(VLOOKUP(Fact_Analitica[[#This Row], [Concepto Anterior]],Conceptos_Analítica_contraloría[#All],5,0),"")</f>
        <v/>
      </c>
      <c r="F2165" t="str">
        <f>+IFERROR(VLOOKUP(Fact_Analitica[[#This Row], [Concepto Anterior]],Conceptos_Analítica_contraloría[#All],7,0),"")</f>
        <v/>
      </c>
      <c r="I2165" t="str">
        <f>+IFERROR(VLOOKUP(D2165,Conceptos_Analítica_contraloría[#All],2,0),"")</f>
        <v/>
      </c>
      <c r="J2165" s="84" t="str">
        <f>+IFERROR(VLOOKUP(D2165,Conceptos_Analítica_contraloría[#All],3,0),"")</f>
        <v/>
      </c>
    </row>
    <row r="2166" spans="3:10" ht="18.75" customHeight="1" x14ac:dyDescent="0.35">
      <c r="C2166" s="100" t="str">
        <f>IF(OR(Fact_Analitica[[#This Row], [Año]]="",Fact_Analitica[[#This Row], [Mes]]=""),"",DATE(A2166,MATCH(B2166,{"enero","febrero","marzo","abril","mayo","junio","julio","agosto","septiembre","octubre","noviembre","diciembre"},0)+1,0))</f>
        <v/>
      </c>
      <c r="E2166" t="str">
        <f>+IFERROR(VLOOKUP(Fact_Analitica[[#This Row], [Concepto Anterior]],Conceptos_Analítica_contraloría[#All],5,0),"")</f>
        <v/>
      </c>
      <c r="F2166" t="str">
        <f>+IFERROR(VLOOKUP(Fact_Analitica[[#This Row], [Concepto Anterior]],Conceptos_Analítica_contraloría[#All],7,0),"")</f>
        <v/>
      </c>
      <c r="I2166" t="str">
        <f>+IFERROR(VLOOKUP(D2166,Conceptos_Analítica_contraloría[#All],2,0),"")</f>
        <v/>
      </c>
      <c r="J2166" s="84" t="str">
        <f>+IFERROR(VLOOKUP(D2166,Conceptos_Analítica_contraloría[#All],3,0),"")</f>
        <v/>
      </c>
    </row>
    <row r="2167" spans="3:10" ht="18.75" customHeight="1" x14ac:dyDescent="0.35">
      <c r="C2167" s="100" t="str">
        <f>IF(OR(Fact_Analitica[[#This Row], [Año]]="",Fact_Analitica[[#This Row], [Mes]]=""),"",DATE(A2167,MATCH(B2167,{"enero","febrero","marzo","abril","mayo","junio","julio","agosto","septiembre","octubre","noviembre","diciembre"},0)+1,0))</f>
        <v/>
      </c>
      <c r="E2167" t="str">
        <f>+IFERROR(VLOOKUP(Fact_Analitica[[#This Row], [Concepto Anterior]],Conceptos_Analítica_contraloría[#All],5,0),"")</f>
        <v/>
      </c>
      <c r="F2167" t="str">
        <f>+IFERROR(VLOOKUP(Fact_Analitica[[#This Row], [Concepto Anterior]],Conceptos_Analítica_contraloría[#All],7,0),"")</f>
        <v/>
      </c>
      <c r="I2167" t="str">
        <f>+IFERROR(VLOOKUP(D2167,Conceptos_Analítica_contraloría[#All],2,0),"")</f>
        <v/>
      </c>
      <c r="J2167" s="84" t="str">
        <f>+IFERROR(VLOOKUP(D2167,Conceptos_Analítica_contraloría[#All],3,0),"")</f>
        <v/>
      </c>
    </row>
    <row r="2168" spans="3:10" ht="18.75" customHeight="1" x14ac:dyDescent="0.35">
      <c r="C2168" s="100" t="str">
        <f>IF(OR(Fact_Analitica[[#This Row], [Año]]="",Fact_Analitica[[#This Row], [Mes]]=""),"",DATE(A2168,MATCH(B2168,{"enero","febrero","marzo","abril","mayo","junio","julio","agosto","septiembre","octubre","noviembre","diciembre"},0)+1,0))</f>
        <v/>
      </c>
      <c r="E2168" t="str">
        <f>+IFERROR(VLOOKUP(Fact_Analitica[[#This Row], [Concepto Anterior]],Conceptos_Analítica_contraloría[#All],5,0),"")</f>
        <v/>
      </c>
      <c r="F2168" t="str">
        <f>+IFERROR(VLOOKUP(Fact_Analitica[[#This Row], [Concepto Anterior]],Conceptos_Analítica_contraloría[#All],7,0),"")</f>
        <v/>
      </c>
      <c r="I2168" t="str">
        <f>+IFERROR(VLOOKUP(D2168,Conceptos_Analítica_contraloría[#All],2,0),"")</f>
        <v/>
      </c>
      <c r="J2168" s="84" t="str">
        <f>+IFERROR(VLOOKUP(D2168,Conceptos_Analítica_contraloría[#All],3,0),"")</f>
        <v/>
      </c>
    </row>
    <row r="2169" spans="3:10" ht="18.75" customHeight="1" x14ac:dyDescent="0.35">
      <c r="C2169" s="100" t="str">
        <f>IF(OR(Fact_Analitica[[#This Row], [Año]]="",Fact_Analitica[[#This Row], [Mes]]=""),"",DATE(A2169,MATCH(B2169,{"enero","febrero","marzo","abril","mayo","junio","julio","agosto","septiembre","octubre","noviembre","diciembre"},0)+1,0))</f>
        <v/>
      </c>
      <c r="E2169" t="str">
        <f>+IFERROR(VLOOKUP(Fact_Analitica[[#This Row], [Concepto Anterior]],Conceptos_Analítica_contraloría[#All],5,0),"")</f>
        <v/>
      </c>
      <c r="F2169" t="str">
        <f>+IFERROR(VLOOKUP(Fact_Analitica[[#This Row], [Concepto Anterior]],Conceptos_Analítica_contraloría[#All],7,0),"")</f>
        <v/>
      </c>
      <c r="I2169" t="str">
        <f>+IFERROR(VLOOKUP(D2169,Conceptos_Analítica_contraloría[#All],2,0),"")</f>
        <v/>
      </c>
      <c r="J2169" s="84" t="str">
        <f>+IFERROR(VLOOKUP(D2169,Conceptos_Analítica_contraloría[#All],3,0),"")</f>
        <v/>
      </c>
    </row>
    <row r="2170" spans="3:10" ht="18.75" customHeight="1" x14ac:dyDescent="0.35">
      <c r="C2170" s="100" t="str">
        <f>IF(OR(Fact_Analitica[[#This Row], [Año]]="",Fact_Analitica[[#This Row], [Mes]]=""),"",DATE(A2170,MATCH(B2170,{"enero","febrero","marzo","abril","mayo","junio","julio","agosto","septiembre","octubre","noviembre","diciembre"},0)+1,0))</f>
        <v/>
      </c>
      <c r="E2170" t="str">
        <f>+IFERROR(VLOOKUP(Fact_Analitica[[#This Row], [Concepto Anterior]],Conceptos_Analítica_contraloría[#All],5,0),"")</f>
        <v/>
      </c>
      <c r="F2170" t="str">
        <f>+IFERROR(VLOOKUP(Fact_Analitica[[#This Row], [Concepto Anterior]],Conceptos_Analítica_contraloría[#All],7,0),"")</f>
        <v/>
      </c>
      <c r="I2170" t="str">
        <f>+IFERROR(VLOOKUP(D2170,Conceptos_Analítica_contraloría[#All],2,0),"")</f>
        <v/>
      </c>
      <c r="J2170" s="84" t="str">
        <f>+IFERROR(VLOOKUP(D2170,Conceptos_Analítica_contraloría[#All],3,0),"")</f>
        <v/>
      </c>
    </row>
    <row r="2171" spans="3:10" ht="18.75" customHeight="1" x14ac:dyDescent="0.35">
      <c r="C2171" s="100" t="str">
        <f>IF(OR(Fact_Analitica[[#This Row], [Año]]="",Fact_Analitica[[#This Row], [Mes]]=""),"",DATE(A2171,MATCH(B2171,{"enero","febrero","marzo","abril","mayo","junio","julio","agosto","septiembre","octubre","noviembre","diciembre"},0)+1,0))</f>
        <v/>
      </c>
      <c r="E2171" t="str">
        <f>+IFERROR(VLOOKUP(Fact_Analitica[[#This Row], [Concepto Anterior]],Conceptos_Analítica_contraloría[#All],5,0),"")</f>
        <v/>
      </c>
      <c r="F2171" t="str">
        <f>+IFERROR(VLOOKUP(Fact_Analitica[[#This Row], [Concepto Anterior]],Conceptos_Analítica_contraloría[#All],7,0),"")</f>
        <v/>
      </c>
      <c r="I2171" t="str">
        <f>+IFERROR(VLOOKUP(D2171,Conceptos_Analítica_contraloría[#All],2,0),"")</f>
        <v/>
      </c>
      <c r="J2171" s="84" t="str">
        <f>+IFERROR(VLOOKUP(D2171,Conceptos_Analítica_contraloría[#All],3,0),"")</f>
        <v/>
      </c>
    </row>
    <row r="2172" spans="3:10" ht="18.75" customHeight="1" x14ac:dyDescent="0.35">
      <c r="C2172" s="100" t="str">
        <f>IF(OR(Fact_Analitica[[#This Row], [Año]]="",Fact_Analitica[[#This Row], [Mes]]=""),"",DATE(A2172,MATCH(B2172,{"enero","febrero","marzo","abril","mayo","junio","julio","agosto","septiembre","octubre","noviembre","diciembre"},0)+1,0))</f>
        <v/>
      </c>
      <c r="E2172" t="str">
        <f>+IFERROR(VLOOKUP(Fact_Analitica[[#This Row], [Concepto Anterior]],Conceptos_Analítica_contraloría[#All],5,0),"")</f>
        <v/>
      </c>
      <c r="F2172" t="str">
        <f>+IFERROR(VLOOKUP(Fact_Analitica[[#This Row], [Concepto Anterior]],Conceptos_Analítica_contraloría[#All],7,0),"")</f>
        <v/>
      </c>
      <c r="I2172" t="str">
        <f>+IFERROR(VLOOKUP(D2172,Conceptos_Analítica_contraloría[#All],2,0),"")</f>
        <v/>
      </c>
      <c r="J2172" s="84" t="str">
        <f>+IFERROR(VLOOKUP(D2172,Conceptos_Analítica_contraloría[#All],3,0),"")</f>
        <v/>
      </c>
    </row>
    <row r="2173" spans="3:10" ht="18.75" customHeight="1" x14ac:dyDescent="0.35">
      <c r="C2173" s="100" t="str">
        <f>IF(OR(Fact_Analitica[[#This Row], [Año]]="",Fact_Analitica[[#This Row], [Mes]]=""),"",DATE(A2173,MATCH(B2173,{"enero","febrero","marzo","abril","mayo","junio","julio","agosto","septiembre","octubre","noviembre","diciembre"},0)+1,0))</f>
        <v/>
      </c>
      <c r="E2173" t="str">
        <f>+IFERROR(VLOOKUP(Fact_Analitica[[#This Row], [Concepto Anterior]],Conceptos_Analítica_contraloría[#All],5,0),"")</f>
        <v/>
      </c>
      <c r="F2173" t="str">
        <f>+IFERROR(VLOOKUP(Fact_Analitica[[#This Row], [Concepto Anterior]],Conceptos_Analítica_contraloría[#All],7,0),"")</f>
        <v/>
      </c>
      <c r="I2173" t="str">
        <f>+IFERROR(VLOOKUP(D2173,Conceptos_Analítica_contraloría[#All],2,0),"")</f>
        <v/>
      </c>
      <c r="J2173" s="84" t="str">
        <f>+IFERROR(VLOOKUP(D2173,Conceptos_Analítica_contraloría[#All],3,0),"")</f>
        <v/>
      </c>
    </row>
    <row r="2174" spans="3:10" ht="18.75" customHeight="1" x14ac:dyDescent="0.35">
      <c r="C2174" s="100" t="str">
        <f>IF(OR(Fact_Analitica[[#This Row], [Año]]="",Fact_Analitica[[#This Row], [Mes]]=""),"",DATE(A2174,MATCH(B2174,{"enero","febrero","marzo","abril","mayo","junio","julio","agosto","septiembre","octubre","noviembre","diciembre"},0)+1,0))</f>
        <v/>
      </c>
      <c r="E2174" t="str">
        <f>+IFERROR(VLOOKUP(Fact_Analitica[[#This Row], [Concepto Anterior]],Conceptos_Analítica_contraloría[#All],5,0),"")</f>
        <v/>
      </c>
      <c r="F2174" t="str">
        <f>+IFERROR(VLOOKUP(Fact_Analitica[[#This Row], [Concepto Anterior]],Conceptos_Analítica_contraloría[#All],7,0),"")</f>
        <v/>
      </c>
      <c r="I2174" t="str">
        <f>+IFERROR(VLOOKUP(D2174,Conceptos_Analítica_contraloría[#All],2,0),"")</f>
        <v/>
      </c>
      <c r="J2174" s="84" t="str">
        <f>+IFERROR(VLOOKUP(D2174,Conceptos_Analítica_contraloría[#All],3,0),"")</f>
        <v/>
      </c>
    </row>
    <row r="2175" spans="3:10" ht="18.75" customHeight="1" x14ac:dyDescent="0.35">
      <c r="C2175" s="100" t="str">
        <f>IF(OR(Fact_Analitica[[#This Row], [Año]]="",Fact_Analitica[[#This Row], [Mes]]=""),"",DATE(A2175,MATCH(B2175,{"enero","febrero","marzo","abril","mayo","junio","julio","agosto","septiembre","octubre","noviembre","diciembre"},0)+1,0))</f>
        <v/>
      </c>
      <c r="E2175" t="str">
        <f>+IFERROR(VLOOKUP(Fact_Analitica[[#This Row], [Concepto Anterior]],Conceptos_Analítica_contraloría[#All],5,0),"")</f>
        <v/>
      </c>
      <c r="F2175" t="str">
        <f>+IFERROR(VLOOKUP(Fact_Analitica[[#This Row], [Concepto Anterior]],Conceptos_Analítica_contraloría[#All],7,0),"")</f>
        <v/>
      </c>
      <c r="I2175" t="str">
        <f>+IFERROR(VLOOKUP(D2175,Conceptos_Analítica_contraloría[#All],2,0),"")</f>
        <v/>
      </c>
      <c r="J2175" s="84" t="str">
        <f>+IFERROR(VLOOKUP(D2175,Conceptos_Analítica_contraloría[#All],3,0),"")</f>
        <v/>
      </c>
    </row>
    <row r="2176" spans="3:10" ht="18.75" customHeight="1" x14ac:dyDescent="0.35">
      <c r="C2176" s="100" t="str">
        <f>IF(OR(Fact_Analitica[[#This Row], [Año]]="",Fact_Analitica[[#This Row], [Mes]]=""),"",DATE(A2176,MATCH(B2176,{"enero","febrero","marzo","abril","mayo","junio","julio","agosto","septiembre","octubre","noviembre","diciembre"},0)+1,0))</f>
        <v/>
      </c>
      <c r="E2176" t="str">
        <f>+IFERROR(VLOOKUP(Fact_Analitica[[#This Row], [Concepto Anterior]],Conceptos_Analítica_contraloría[#All],5,0),"")</f>
        <v/>
      </c>
      <c r="F2176" t="str">
        <f>+IFERROR(VLOOKUP(Fact_Analitica[[#This Row], [Concepto Anterior]],Conceptos_Analítica_contraloría[#All],7,0),"")</f>
        <v/>
      </c>
      <c r="I2176" t="str">
        <f>+IFERROR(VLOOKUP(D2176,Conceptos_Analítica_contraloría[#All],2,0),"")</f>
        <v/>
      </c>
      <c r="J2176" s="84" t="str">
        <f>+IFERROR(VLOOKUP(D2176,Conceptos_Analítica_contraloría[#All],3,0),"")</f>
        <v/>
      </c>
    </row>
    <row r="2177" spans="3:10" ht="18.75" customHeight="1" x14ac:dyDescent="0.35">
      <c r="C2177" s="100" t="str">
        <f>IF(OR(Fact_Analitica[[#This Row], [Año]]="",Fact_Analitica[[#This Row], [Mes]]=""),"",DATE(A2177,MATCH(B2177,{"enero","febrero","marzo","abril","mayo","junio","julio","agosto","septiembre","octubre","noviembre","diciembre"},0)+1,0))</f>
        <v/>
      </c>
      <c r="E2177" t="str">
        <f>+IFERROR(VLOOKUP(Fact_Analitica[[#This Row], [Concepto Anterior]],Conceptos_Analítica_contraloría[#All],5,0),"")</f>
        <v/>
      </c>
      <c r="F2177" t="str">
        <f>+IFERROR(VLOOKUP(Fact_Analitica[[#This Row], [Concepto Anterior]],Conceptos_Analítica_contraloría[#All],7,0),"")</f>
        <v/>
      </c>
      <c r="I2177" t="str">
        <f>+IFERROR(VLOOKUP(D2177,Conceptos_Analítica_contraloría[#All],2,0),"")</f>
        <v/>
      </c>
      <c r="J2177" s="84" t="str">
        <f>+IFERROR(VLOOKUP(D2177,Conceptos_Analítica_contraloría[#All],3,0),"")</f>
        <v/>
      </c>
    </row>
    <row r="2178" spans="3:10" ht="18.75" customHeight="1" x14ac:dyDescent="0.35">
      <c r="C2178" s="100" t="str">
        <f>IF(OR(Fact_Analitica[[#This Row], [Año]]="",Fact_Analitica[[#This Row], [Mes]]=""),"",DATE(A2178,MATCH(B2178,{"enero","febrero","marzo","abril","mayo","junio","julio","agosto","septiembre","octubre","noviembre","diciembre"},0)+1,0))</f>
        <v/>
      </c>
      <c r="E2178" t="str">
        <f>+IFERROR(VLOOKUP(Fact_Analitica[[#This Row], [Concepto Anterior]],Conceptos_Analítica_contraloría[#All],5,0),"")</f>
        <v/>
      </c>
      <c r="F2178" t="str">
        <f>+IFERROR(VLOOKUP(Fact_Analitica[[#This Row], [Concepto Anterior]],Conceptos_Analítica_contraloría[#All],7,0),"")</f>
        <v/>
      </c>
      <c r="I2178" t="str">
        <f>+IFERROR(VLOOKUP(D2178,Conceptos_Analítica_contraloría[#All],2,0),"")</f>
        <v/>
      </c>
      <c r="J2178" s="84" t="str">
        <f>+IFERROR(VLOOKUP(D2178,Conceptos_Analítica_contraloría[#All],3,0),"")</f>
        <v/>
      </c>
    </row>
    <row r="2179" spans="3:10" ht="18.75" customHeight="1" x14ac:dyDescent="0.35">
      <c r="C2179" s="100" t="str">
        <f>IF(OR(Fact_Analitica[[#This Row], [Año]]="",Fact_Analitica[[#This Row], [Mes]]=""),"",DATE(A2179,MATCH(B2179,{"enero","febrero","marzo","abril","mayo","junio","julio","agosto","septiembre","octubre","noviembre","diciembre"},0)+1,0))</f>
        <v/>
      </c>
      <c r="E2179" t="str">
        <f>+IFERROR(VLOOKUP(Fact_Analitica[[#This Row], [Concepto Anterior]],Conceptos_Analítica_contraloría[#All],5,0),"")</f>
        <v/>
      </c>
      <c r="F2179" t="str">
        <f>+IFERROR(VLOOKUP(Fact_Analitica[[#This Row], [Concepto Anterior]],Conceptos_Analítica_contraloría[#All],7,0),"")</f>
        <v/>
      </c>
      <c r="I2179" t="str">
        <f>+IFERROR(VLOOKUP(D2179,Conceptos_Analítica_contraloría[#All],2,0),"")</f>
        <v/>
      </c>
      <c r="J2179" s="84" t="str">
        <f>+IFERROR(VLOOKUP(D2179,Conceptos_Analítica_contraloría[#All],3,0),"")</f>
        <v/>
      </c>
    </row>
    <row r="2180" spans="3:10" ht="18.75" customHeight="1" x14ac:dyDescent="0.35">
      <c r="C2180" s="100" t="str">
        <f>IF(OR(Fact_Analitica[[#This Row], [Año]]="",Fact_Analitica[[#This Row], [Mes]]=""),"",DATE(A2180,MATCH(B2180,{"enero","febrero","marzo","abril","mayo","junio","julio","agosto","septiembre","octubre","noviembre","diciembre"},0)+1,0))</f>
        <v/>
      </c>
      <c r="E2180" t="str">
        <f>+IFERROR(VLOOKUP(Fact_Analitica[[#This Row], [Concepto Anterior]],Conceptos_Analítica_contraloría[#All],5,0),"")</f>
        <v/>
      </c>
      <c r="F2180" t="str">
        <f>+IFERROR(VLOOKUP(Fact_Analitica[[#This Row], [Concepto Anterior]],Conceptos_Analítica_contraloría[#All],7,0),"")</f>
        <v/>
      </c>
      <c r="I2180" t="str">
        <f>+IFERROR(VLOOKUP(D2180,Conceptos_Analítica_contraloría[#All],2,0),"")</f>
        <v/>
      </c>
      <c r="J2180" s="84" t="str">
        <f>+IFERROR(VLOOKUP(D2180,Conceptos_Analítica_contraloría[#All],3,0),"")</f>
        <v/>
      </c>
    </row>
    <row r="2181" spans="3:10" ht="18.75" customHeight="1" x14ac:dyDescent="0.35">
      <c r="C2181" s="100" t="str">
        <f>IF(OR(Fact_Analitica[[#This Row], [Año]]="",Fact_Analitica[[#This Row], [Mes]]=""),"",DATE(A2181,MATCH(B2181,{"enero","febrero","marzo","abril","mayo","junio","julio","agosto","septiembre","octubre","noviembre","diciembre"},0)+1,0))</f>
        <v/>
      </c>
      <c r="E2181" t="str">
        <f>+IFERROR(VLOOKUP(Fact_Analitica[[#This Row], [Concepto Anterior]],Conceptos_Analítica_contraloría[#All],5,0),"")</f>
        <v/>
      </c>
      <c r="F2181" t="str">
        <f>+IFERROR(VLOOKUP(Fact_Analitica[[#This Row], [Concepto Anterior]],Conceptos_Analítica_contraloría[#All],7,0),"")</f>
        <v/>
      </c>
      <c r="I2181" t="str">
        <f>+IFERROR(VLOOKUP(D2181,Conceptos_Analítica_contraloría[#All],2,0),"")</f>
        <v/>
      </c>
      <c r="J2181" s="84" t="str">
        <f>+IFERROR(VLOOKUP(D2181,Conceptos_Analítica_contraloría[#All],3,0),"")</f>
        <v/>
      </c>
    </row>
    <row r="2182" spans="3:10" ht="18.75" customHeight="1" x14ac:dyDescent="0.35">
      <c r="C2182" s="100" t="str">
        <f>IF(OR(Fact_Analitica[[#This Row], [Año]]="",Fact_Analitica[[#This Row], [Mes]]=""),"",DATE(A2182,MATCH(B2182,{"enero","febrero","marzo","abril","mayo","junio","julio","agosto","septiembre","octubre","noviembre","diciembre"},0)+1,0))</f>
        <v/>
      </c>
      <c r="E2182" t="str">
        <f>+IFERROR(VLOOKUP(Fact_Analitica[[#This Row], [Concepto Anterior]],Conceptos_Analítica_contraloría[#All],5,0),"")</f>
        <v/>
      </c>
      <c r="F2182" t="str">
        <f>+IFERROR(VLOOKUP(Fact_Analitica[[#This Row], [Concepto Anterior]],Conceptos_Analítica_contraloría[#All],7,0),"")</f>
        <v/>
      </c>
      <c r="I2182" t="str">
        <f>+IFERROR(VLOOKUP(D2182,Conceptos_Analítica_contraloría[#All],2,0),"")</f>
        <v/>
      </c>
      <c r="J2182" s="84" t="str">
        <f>+IFERROR(VLOOKUP(D2182,Conceptos_Analítica_contraloría[#All],3,0),"")</f>
        <v/>
      </c>
    </row>
    <row r="2183" spans="3:10" ht="18.75" customHeight="1" x14ac:dyDescent="0.35">
      <c r="C2183" s="100" t="str">
        <f>IF(OR(Fact_Analitica[[#This Row], [Año]]="",Fact_Analitica[[#This Row], [Mes]]=""),"",DATE(A2183,MATCH(B2183,{"enero","febrero","marzo","abril","mayo","junio","julio","agosto","septiembre","octubre","noviembre","diciembre"},0)+1,0))</f>
        <v/>
      </c>
      <c r="E2183" t="str">
        <f>+IFERROR(VLOOKUP(Fact_Analitica[[#This Row], [Concepto Anterior]],Conceptos_Analítica_contraloría[#All],5,0),"")</f>
        <v/>
      </c>
      <c r="F2183" t="str">
        <f>+IFERROR(VLOOKUP(Fact_Analitica[[#This Row], [Concepto Anterior]],Conceptos_Analítica_contraloría[#All],7,0),"")</f>
        <v/>
      </c>
      <c r="I2183" t="str">
        <f>+IFERROR(VLOOKUP(D2183,Conceptos_Analítica_contraloría[#All],2,0),"")</f>
        <v/>
      </c>
      <c r="J2183" s="84" t="str">
        <f>+IFERROR(VLOOKUP(D2183,Conceptos_Analítica_contraloría[#All],3,0),"")</f>
        <v/>
      </c>
    </row>
    <row r="2184" spans="3:10" ht="18.75" customHeight="1" x14ac:dyDescent="0.35">
      <c r="C2184" s="100" t="str">
        <f>IF(OR(Fact_Analitica[[#This Row], [Año]]="",Fact_Analitica[[#This Row], [Mes]]=""),"",DATE(A2184,MATCH(B2184,{"enero","febrero","marzo","abril","mayo","junio","julio","agosto","septiembre","octubre","noviembre","diciembre"},0)+1,0))</f>
        <v/>
      </c>
      <c r="E2184" t="str">
        <f>+IFERROR(VLOOKUP(Fact_Analitica[[#This Row], [Concepto Anterior]],Conceptos_Analítica_contraloría[#All],5,0),"")</f>
        <v/>
      </c>
      <c r="F2184" t="str">
        <f>+IFERROR(VLOOKUP(Fact_Analitica[[#This Row], [Concepto Anterior]],Conceptos_Analítica_contraloría[#All],7,0),"")</f>
        <v/>
      </c>
      <c r="I2184" t="str">
        <f>+IFERROR(VLOOKUP(D2184,Conceptos_Analítica_contraloría[#All],2,0),"")</f>
        <v/>
      </c>
      <c r="J2184" s="84" t="str">
        <f>+IFERROR(VLOOKUP(D2184,Conceptos_Analítica_contraloría[#All],3,0),"")</f>
        <v/>
      </c>
    </row>
    <row r="2185" spans="3:10" ht="18.75" customHeight="1" x14ac:dyDescent="0.35">
      <c r="C2185" s="100" t="str">
        <f>IF(OR(Fact_Analitica[[#This Row], [Año]]="",Fact_Analitica[[#This Row], [Mes]]=""),"",DATE(A2185,MATCH(B2185,{"enero","febrero","marzo","abril","mayo","junio","julio","agosto","septiembre","octubre","noviembre","diciembre"},0)+1,0))</f>
        <v/>
      </c>
      <c r="E2185" t="str">
        <f>+IFERROR(VLOOKUP(Fact_Analitica[[#This Row], [Concepto Anterior]],Conceptos_Analítica_contraloría[#All],5,0),"")</f>
        <v/>
      </c>
      <c r="F2185" t="str">
        <f>+IFERROR(VLOOKUP(Fact_Analitica[[#This Row], [Concepto Anterior]],Conceptos_Analítica_contraloría[#All],7,0),"")</f>
        <v/>
      </c>
      <c r="I2185" t="str">
        <f>+IFERROR(VLOOKUP(D2185,Conceptos_Analítica_contraloría[#All],2,0),"")</f>
        <v/>
      </c>
      <c r="J2185" s="84" t="str">
        <f>+IFERROR(VLOOKUP(D2185,Conceptos_Analítica_contraloría[#All],3,0),"")</f>
        <v/>
      </c>
    </row>
    <row r="2186" spans="3:10" ht="18.75" customHeight="1" x14ac:dyDescent="0.35">
      <c r="C2186" s="100" t="str">
        <f>IF(OR(Fact_Analitica[[#This Row], [Año]]="",Fact_Analitica[[#This Row], [Mes]]=""),"",DATE(A2186,MATCH(B2186,{"enero","febrero","marzo","abril","mayo","junio","julio","agosto","septiembre","octubre","noviembre","diciembre"},0)+1,0))</f>
        <v/>
      </c>
      <c r="E2186" t="str">
        <f>+IFERROR(VLOOKUP(Fact_Analitica[[#This Row], [Concepto Anterior]],Conceptos_Analítica_contraloría[#All],5,0),"")</f>
        <v/>
      </c>
      <c r="F2186" t="str">
        <f>+IFERROR(VLOOKUP(Fact_Analitica[[#This Row], [Concepto Anterior]],Conceptos_Analítica_contraloría[#All],7,0),"")</f>
        <v/>
      </c>
      <c r="I2186" t="str">
        <f>+IFERROR(VLOOKUP(D2186,Conceptos_Analítica_contraloría[#All],2,0),"")</f>
        <v/>
      </c>
      <c r="J2186" s="84" t="str">
        <f>+IFERROR(VLOOKUP(D2186,Conceptos_Analítica_contraloría[#All],3,0),"")</f>
        <v/>
      </c>
    </row>
    <row r="2187" spans="3:10" ht="18.75" customHeight="1" x14ac:dyDescent="0.35">
      <c r="C2187" s="100" t="str">
        <f>IF(OR(Fact_Analitica[[#This Row], [Año]]="",Fact_Analitica[[#This Row], [Mes]]=""),"",DATE(A2187,MATCH(B2187,{"enero","febrero","marzo","abril","mayo","junio","julio","agosto","septiembre","octubre","noviembre","diciembre"},0)+1,0))</f>
        <v/>
      </c>
      <c r="E2187" t="str">
        <f>+IFERROR(VLOOKUP(Fact_Analitica[[#This Row], [Concepto Anterior]],Conceptos_Analítica_contraloría[#All],5,0),"")</f>
        <v/>
      </c>
      <c r="F2187" t="str">
        <f>+IFERROR(VLOOKUP(Fact_Analitica[[#This Row], [Concepto Anterior]],Conceptos_Analítica_contraloría[#All],7,0),"")</f>
        <v/>
      </c>
      <c r="I2187" t="str">
        <f>+IFERROR(VLOOKUP(D2187,Conceptos_Analítica_contraloría[#All],2,0),"")</f>
        <v/>
      </c>
      <c r="J2187" s="84" t="str">
        <f>+IFERROR(VLOOKUP(D2187,Conceptos_Analítica_contraloría[#All],3,0),"")</f>
        <v/>
      </c>
    </row>
    <row r="2188" spans="3:10" ht="18.75" customHeight="1" x14ac:dyDescent="0.35">
      <c r="C2188" s="100" t="str">
        <f>IF(OR(Fact_Analitica[[#This Row], [Año]]="",Fact_Analitica[[#This Row], [Mes]]=""),"",DATE(A2188,MATCH(B2188,{"enero","febrero","marzo","abril","mayo","junio","julio","agosto","septiembre","octubre","noviembre","diciembre"},0)+1,0))</f>
        <v/>
      </c>
      <c r="E2188" t="str">
        <f>+IFERROR(VLOOKUP(Fact_Analitica[[#This Row], [Concepto Anterior]],Conceptos_Analítica_contraloría[#All],5,0),"")</f>
        <v/>
      </c>
      <c r="F2188" t="str">
        <f>+IFERROR(VLOOKUP(Fact_Analitica[[#This Row], [Concepto Anterior]],Conceptos_Analítica_contraloría[#All],7,0),"")</f>
        <v/>
      </c>
      <c r="I2188" t="str">
        <f>+IFERROR(VLOOKUP(D2188,Conceptos_Analítica_contraloría[#All],2,0),"")</f>
        <v/>
      </c>
      <c r="J2188" s="84" t="str">
        <f>+IFERROR(VLOOKUP(D2188,Conceptos_Analítica_contraloría[#All],3,0),"")</f>
        <v/>
      </c>
    </row>
    <row r="2189" spans="3:10" ht="18.75" customHeight="1" x14ac:dyDescent="0.35">
      <c r="C2189" s="100" t="str">
        <f>IF(OR(Fact_Analitica[[#This Row], [Año]]="",Fact_Analitica[[#This Row], [Mes]]=""),"",DATE(A2189,MATCH(B2189,{"enero","febrero","marzo","abril","mayo","junio","julio","agosto","septiembre","octubre","noviembre","diciembre"},0)+1,0))</f>
        <v/>
      </c>
      <c r="E2189" t="str">
        <f>+IFERROR(VLOOKUP(Fact_Analitica[[#This Row], [Concepto Anterior]],Conceptos_Analítica_contraloría[#All],5,0),"")</f>
        <v/>
      </c>
      <c r="F2189" t="str">
        <f>+IFERROR(VLOOKUP(Fact_Analitica[[#This Row], [Concepto Anterior]],Conceptos_Analítica_contraloría[#All],7,0),"")</f>
        <v/>
      </c>
      <c r="I2189" t="str">
        <f>+IFERROR(VLOOKUP(D2189,Conceptos_Analítica_contraloría[#All],2,0),"")</f>
        <v/>
      </c>
      <c r="J2189" s="84" t="str">
        <f>+IFERROR(VLOOKUP(D2189,Conceptos_Analítica_contraloría[#All],3,0),"")</f>
        <v/>
      </c>
    </row>
    <row r="2190" spans="3:10" ht="18.75" customHeight="1" x14ac:dyDescent="0.35">
      <c r="C2190" s="100" t="str">
        <f>IF(OR(Fact_Analitica[[#This Row], [Año]]="",Fact_Analitica[[#This Row], [Mes]]=""),"",DATE(A2190,MATCH(B2190,{"enero","febrero","marzo","abril","mayo","junio","julio","agosto","septiembre","octubre","noviembre","diciembre"},0)+1,0))</f>
        <v/>
      </c>
      <c r="E2190" t="str">
        <f>+IFERROR(VLOOKUP(Fact_Analitica[[#This Row], [Concepto Anterior]],Conceptos_Analítica_contraloría[#All],5,0),"")</f>
        <v/>
      </c>
      <c r="F2190" t="str">
        <f>+IFERROR(VLOOKUP(Fact_Analitica[[#This Row], [Concepto Anterior]],Conceptos_Analítica_contraloría[#All],7,0),"")</f>
        <v/>
      </c>
      <c r="I2190" t="str">
        <f>+IFERROR(VLOOKUP(D2190,Conceptos_Analítica_contraloría[#All],2,0),"")</f>
        <v/>
      </c>
      <c r="J2190" s="84" t="str">
        <f>+IFERROR(VLOOKUP(D2190,Conceptos_Analítica_contraloría[#All],3,0),"")</f>
        <v/>
      </c>
    </row>
    <row r="2191" spans="3:10" ht="18.75" customHeight="1" x14ac:dyDescent="0.35">
      <c r="C2191" s="100" t="str">
        <f>IF(OR(Fact_Analitica[[#This Row], [Año]]="",Fact_Analitica[[#This Row], [Mes]]=""),"",DATE(A2191,MATCH(B2191,{"enero","febrero","marzo","abril","mayo","junio","julio","agosto","septiembre","octubre","noviembre","diciembre"},0)+1,0))</f>
        <v/>
      </c>
      <c r="E2191" t="str">
        <f>+IFERROR(VLOOKUP(Fact_Analitica[[#This Row], [Concepto Anterior]],Conceptos_Analítica_contraloría[#All],5,0),"")</f>
        <v/>
      </c>
      <c r="F2191" t="str">
        <f>+IFERROR(VLOOKUP(Fact_Analitica[[#This Row], [Concepto Anterior]],Conceptos_Analítica_contraloría[#All],7,0),"")</f>
        <v/>
      </c>
      <c r="I2191" t="str">
        <f>+IFERROR(VLOOKUP(D2191,Conceptos_Analítica_contraloría[#All],2,0),"")</f>
        <v/>
      </c>
      <c r="J2191" s="84" t="str">
        <f>+IFERROR(VLOOKUP(D2191,Conceptos_Analítica_contraloría[#All],3,0),"")</f>
        <v/>
      </c>
    </row>
    <row r="2192" spans="3:10" ht="18.75" customHeight="1" x14ac:dyDescent="0.35">
      <c r="C2192" s="100" t="str">
        <f>IF(OR(Fact_Analitica[[#This Row], [Año]]="",Fact_Analitica[[#This Row], [Mes]]=""),"",DATE(A2192,MATCH(B2192,{"enero","febrero","marzo","abril","mayo","junio","julio","agosto","septiembre","octubre","noviembre","diciembre"},0)+1,0))</f>
        <v/>
      </c>
      <c r="E2192" t="str">
        <f>+IFERROR(VLOOKUP(Fact_Analitica[[#This Row], [Concepto Anterior]],Conceptos_Analítica_contraloría[#All],5,0),"")</f>
        <v/>
      </c>
      <c r="F2192" t="str">
        <f>+IFERROR(VLOOKUP(Fact_Analitica[[#This Row], [Concepto Anterior]],Conceptos_Analítica_contraloría[#All],7,0),"")</f>
        <v/>
      </c>
      <c r="I2192" t="str">
        <f>+IFERROR(VLOOKUP(D2192,Conceptos_Analítica_contraloría[#All],2,0),"")</f>
        <v/>
      </c>
      <c r="J2192" s="84" t="str">
        <f>+IFERROR(VLOOKUP(D2192,Conceptos_Analítica_contraloría[#All],3,0),"")</f>
        <v/>
      </c>
    </row>
    <row r="2193" spans="3:10" ht="18.75" customHeight="1" x14ac:dyDescent="0.35">
      <c r="C2193" s="100" t="str">
        <f>IF(OR(Fact_Analitica[[#This Row], [Año]]="",Fact_Analitica[[#This Row], [Mes]]=""),"",DATE(A2193,MATCH(B2193,{"enero","febrero","marzo","abril","mayo","junio","julio","agosto","septiembre","octubre","noviembre","diciembre"},0)+1,0))</f>
        <v/>
      </c>
      <c r="E2193" t="str">
        <f>+IFERROR(VLOOKUP(Fact_Analitica[[#This Row], [Concepto Anterior]],Conceptos_Analítica_contraloría[#All],5,0),"")</f>
        <v/>
      </c>
      <c r="F2193" t="str">
        <f>+IFERROR(VLOOKUP(Fact_Analitica[[#This Row], [Concepto Anterior]],Conceptos_Analítica_contraloría[#All],7,0),"")</f>
        <v/>
      </c>
      <c r="I2193" t="str">
        <f>+IFERROR(VLOOKUP(D2193,Conceptos_Analítica_contraloría[#All],2,0),"")</f>
        <v/>
      </c>
      <c r="J2193" s="84" t="str">
        <f>+IFERROR(VLOOKUP(D2193,Conceptos_Analítica_contraloría[#All],3,0),"")</f>
        <v/>
      </c>
    </row>
    <row r="2194" spans="3:10" ht="18.75" customHeight="1" x14ac:dyDescent="0.35">
      <c r="C2194" s="100" t="str">
        <f>IF(OR(Fact_Analitica[[#This Row], [Año]]="",Fact_Analitica[[#This Row], [Mes]]=""),"",DATE(A2194,MATCH(B2194,{"enero","febrero","marzo","abril","mayo","junio","julio","agosto","septiembre","octubre","noviembre","diciembre"},0)+1,0))</f>
        <v/>
      </c>
      <c r="E2194" t="str">
        <f>+IFERROR(VLOOKUP(Fact_Analitica[[#This Row], [Concepto Anterior]],Conceptos_Analítica_contraloría[#All],5,0),"")</f>
        <v/>
      </c>
      <c r="F2194" t="str">
        <f>+IFERROR(VLOOKUP(Fact_Analitica[[#This Row], [Concepto Anterior]],Conceptos_Analítica_contraloría[#All],7,0),"")</f>
        <v/>
      </c>
      <c r="I2194" t="str">
        <f>+IFERROR(VLOOKUP(D2194,Conceptos_Analítica_contraloría[#All],2,0),"")</f>
        <v/>
      </c>
      <c r="J2194" s="84" t="str">
        <f>+IFERROR(VLOOKUP(D2194,Conceptos_Analítica_contraloría[#All],3,0),"")</f>
        <v/>
      </c>
    </row>
    <row r="2195" spans="3:10" ht="18.75" customHeight="1" x14ac:dyDescent="0.35">
      <c r="C2195" s="100" t="str">
        <f>IF(OR(Fact_Analitica[[#This Row], [Año]]="",Fact_Analitica[[#This Row], [Mes]]=""),"",DATE(A2195,MATCH(B2195,{"enero","febrero","marzo","abril","mayo","junio","julio","agosto","septiembre","octubre","noviembre","diciembre"},0)+1,0))</f>
        <v/>
      </c>
      <c r="E2195" t="str">
        <f>+IFERROR(VLOOKUP(Fact_Analitica[[#This Row], [Concepto Anterior]],Conceptos_Analítica_contraloría[#All],5,0),"")</f>
        <v/>
      </c>
      <c r="F2195" t="str">
        <f>+IFERROR(VLOOKUP(Fact_Analitica[[#This Row], [Concepto Anterior]],Conceptos_Analítica_contraloría[#All],7,0),"")</f>
        <v/>
      </c>
      <c r="I2195" t="str">
        <f>+IFERROR(VLOOKUP(D2195,Conceptos_Analítica_contraloría[#All],2,0),"")</f>
        <v/>
      </c>
      <c r="J2195" s="84" t="str">
        <f>+IFERROR(VLOOKUP(D2195,Conceptos_Analítica_contraloría[#All],3,0),"")</f>
        <v/>
      </c>
    </row>
    <row r="2196" spans="3:10" ht="18.75" customHeight="1" x14ac:dyDescent="0.35">
      <c r="C2196" s="100" t="str">
        <f>IF(OR(Fact_Analitica[[#This Row], [Año]]="",Fact_Analitica[[#This Row], [Mes]]=""),"",DATE(A2196,MATCH(B2196,{"enero","febrero","marzo","abril","mayo","junio","julio","agosto","septiembre","octubre","noviembre","diciembre"},0)+1,0))</f>
        <v/>
      </c>
      <c r="E2196" t="str">
        <f>+IFERROR(VLOOKUP(Fact_Analitica[[#This Row], [Concepto Anterior]],Conceptos_Analítica_contraloría[#All],5,0),"")</f>
        <v/>
      </c>
      <c r="F2196" t="str">
        <f>+IFERROR(VLOOKUP(Fact_Analitica[[#This Row], [Concepto Anterior]],Conceptos_Analítica_contraloría[#All],7,0),"")</f>
        <v/>
      </c>
      <c r="I2196" t="str">
        <f>+IFERROR(VLOOKUP(D2196,Conceptos_Analítica_contraloría[#All],2,0),"")</f>
        <v/>
      </c>
      <c r="J2196" s="84" t="str">
        <f>+IFERROR(VLOOKUP(D2196,Conceptos_Analítica_contraloría[#All],3,0),"")</f>
        <v/>
      </c>
    </row>
    <row r="2197" spans="3:10" ht="18.75" customHeight="1" x14ac:dyDescent="0.35">
      <c r="C2197" s="100" t="str">
        <f>IF(OR(Fact_Analitica[[#This Row], [Año]]="",Fact_Analitica[[#This Row], [Mes]]=""),"",DATE(A2197,MATCH(B2197,{"enero","febrero","marzo","abril","mayo","junio","julio","agosto","septiembre","octubre","noviembre","diciembre"},0)+1,0))</f>
        <v/>
      </c>
      <c r="E2197" t="str">
        <f>+IFERROR(VLOOKUP(Fact_Analitica[[#This Row], [Concepto Anterior]],Conceptos_Analítica_contraloría[#All],5,0),"")</f>
        <v/>
      </c>
      <c r="F2197" t="str">
        <f>+IFERROR(VLOOKUP(Fact_Analitica[[#This Row], [Concepto Anterior]],Conceptos_Analítica_contraloría[#All],7,0),"")</f>
        <v/>
      </c>
      <c r="I2197" t="str">
        <f>+IFERROR(VLOOKUP(D2197,Conceptos_Analítica_contraloría[#All],2,0),"")</f>
        <v/>
      </c>
      <c r="J2197" s="84" t="str">
        <f>+IFERROR(VLOOKUP(D2197,Conceptos_Analítica_contraloría[#All],3,0),"")</f>
        <v/>
      </c>
    </row>
    <row r="2198" spans="3:10" ht="18.75" customHeight="1" x14ac:dyDescent="0.35">
      <c r="C2198" s="100" t="str">
        <f>IF(OR(Fact_Analitica[[#This Row], [Año]]="",Fact_Analitica[[#This Row], [Mes]]=""),"",DATE(A2198,MATCH(B2198,{"enero","febrero","marzo","abril","mayo","junio","julio","agosto","septiembre","octubre","noviembre","diciembre"},0)+1,0))</f>
        <v/>
      </c>
      <c r="E2198" t="str">
        <f>+IFERROR(VLOOKUP(Fact_Analitica[[#This Row], [Concepto Anterior]],Conceptos_Analítica_contraloría[#All],5,0),"")</f>
        <v/>
      </c>
      <c r="F2198" t="str">
        <f>+IFERROR(VLOOKUP(Fact_Analitica[[#This Row], [Concepto Anterior]],Conceptos_Analítica_contraloría[#All],7,0),"")</f>
        <v/>
      </c>
      <c r="I2198" t="str">
        <f>+IFERROR(VLOOKUP(D2198,Conceptos_Analítica_contraloría[#All],2,0),"")</f>
        <v/>
      </c>
      <c r="J2198" s="84" t="str">
        <f>+IFERROR(VLOOKUP(D2198,Conceptos_Analítica_contraloría[#All],3,0),"")</f>
        <v/>
      </c>
    </row>
    <row r="2199" spans="3:10" ht="18.75" customHeight="1" x14ac:dyDescent="0.35">
      <c r="C2199" s="100" t="str">
        <f>IF(OR(Fact_Analitica[[#This Row], [Año]]="",Fact_Analitica[[#This Row], [Mes]]=""),"",DATE(A2199,MATCH(B2199,{"enero","febrero","marzo","abril","mayo","junio","julio","agosto","septiembre","octubre","noviembre","diciembre"},0)+1,0))</f>
        <v/>
      </c>
      <c r="E2199" t="str">
        <f>+IFERROR(VLOOKUP(Fact_Analitica[[#This Row], [Concepto Anterior]],Conceptos_Analítica_contraloría[#All],5,0),"")</f>
        <v/>
      </c>
      <c r="F2199" t="str">
        <f>+IFERROR(VLOOKUP(Fact_Analitica[[#This Row], [Concepto Anterior]],Conceptos_Analítica_contraloría[#All],7,0),"")</f>
        <v/>
      </c>
      <c r="I2199" t="str">
        <f>+IFERROR(VLOOKUP(D2199,Conceptos_Analítica_contraloría[#All],2,0),"")</f>
        <v/>
      </c>
      <c r="J2199" s="84" t="str">
        <f>+IFERROR(VLOOKUP(D2199,Conceptos_Analítica_contraloría[#All],3,0),"")</f>
        <v/>
      </c>
    </row>
    <row r="2200" spans="3:10" ht="18.75" customHeight="1" x14ac:dyDescent="0.35">
      <c r="C2200" s="100" t="str">
        <f>IF(OR(Fact_Analitica[[#This Row], [Año]]="",Fact_Analitica[[#This Row], [Mes]]=""),"",DATE(A2200,MATCH(B2200,{"enero","febrero","marzo","abril","mayo","junio","julio","agosto","septiembre","octubre","noviembre","diciembre"},0)+1,0))</f>
        <v/>
      </c>
      <c r="E2200" t="str">
        <f>+IFERROR(VLOOKUP(Fact_Analitica[[#This Row], [Concepto Anterior]],Conceptos_Analítica_contraloría[#All],5,0),"")</f>
        <v/>
      </c>
      <c r="F2200" t="str">
        <f>+IFERROR(VLOOKUP(Fact_Analitica[[#This Row], [Concepto Anterior]],Conceptos_Analítica_contraloría[#All],7,0),"")</f>
        <v/>
      </c>
      <c r="I2200" t="str">
        <f>+IFERROR(VLOOKUP(D2200,Conceptos_Analítica_contraloría[#All],2,0),"")</f>
        <v/>
      </c>
      <c r="J2200" s="84" t="str">
        <f>+IFERROR(VLOOKUP(D2200,Conceptos_Analítica_contraloría[#All],3,0),"")</f>
        <v/>
      </c>
    </row>
    <row r="2201" spans="3:10" ht="18.75" customHeight="1" x14ac:dyDescent="0.35">
      <c r="C2201" s="100" t="str">
        <f>IF(OR(Fact_Analitica[[#This Row], [Año]]="",Fact_Analitica[[#This Row], [Mes]]=""),"",DATE(A2201,MATCH(B2201,{"enero","febrero","marzo","abril","mayo","junio","julio","agosto","septiembre","octubre","noviembre","diciembre"},0)+1,0))</f>
        <v/>
      </c>
      <c r="E2201" t="str">
        <f>+IFERROR(VLOOKUP(Fact_Analitica[[#This Row], [Concepto Anterior]],Conceptos_Analítica_contraloría[#All],5,0),"")</f>
        <v/>
      </c>
      <c r="F2201" t="str">
        <f>+IFERROR(VLOOKUP(Fact_Analitica[[#This Row], [Concepto Anterior]],Conceptos_Analítica_contraloría[#All],7,0),"")</f>
        <v/>
      </c>
      <c r="I2201" t="str">
        <f>+IFERROR(VLOOKUP(D2201,Conceptos_Analítica_contraloría[#All],2,0),"")</f>
        <v/>
      </c>
      <c r="J2201" s="84" t="str">
        <f>+IFERROR(VLOOKUP(D2201,Conceptos_Analítica_contraloría[#All],3,0),"")</f>
        <v/>
      </c>
    </row>
    <row r="2202" spans="3:10" ht="18.75" customHeight="1" x14ac:dyDescent="0.35">
      <c r="C2202" s="100" t="str">
        <f>IF(OR(Fact_Analitica[[#This Row], [Año]]="",Fact_Analitica[[#This Row], [Mes]]=""),"",DATE(A2202,MATCH(B2202,{"enero","febrero","marzo","abril","mayo","junio","julio","agosto","septiembre","octubre","noviembre","diciembre"},0)+1,0))</f>
        <v/>
      </c>
      <c r="E2202" t="str">
        <f>+IFERROR(VLOOKUP(Fact_Analitica[[#This Row], [Concepto Anterior]],Conceptos_Analítica_contraloría[#All],5,0),"")</f>
        <v/>
      </c>
      <c r="F2202" t="str">
        <f>+IFERROR(VLOOKUP(Fact_Analitica[[#This Row], [Concepto Anterior]],Conceptos_Analítica_contraloría[#All],7,0),"")</f>
        <v/>
      </c>
      <c r="I2202" t="str">
        <f>+IFERROR(VLOOKUP(D2202,Conceptos_Analítica_contraloría[#All],2,0),"")</f>
        <v/>
      </c>
      <c r="J2202" s="84" t="str">
        <f>+IFERROR(VLOOKUP(D2202,Conceptos_Analítica_contraloría[#All],3,0),"")</f>
        <v/>
      </c>
    </row>
    <row r="2203" spans="3:10" ht="18.75" customHeight="1" x14ac:dyDescent="0.35">
      <c r="C2203" s="100" t="str">
        <f>IF(OR(Fact_Analitica[[#This Row], [Año]]="",Fact_Analitica[[#This Row], [Mes]]=""),"",DATE(A2203,MATCH(B2203,{"enero","febrero","marzo","abril","mayo","junio","julio","agosto","septiembre","octubre","noviembre","diciembre"},0)+1,0))</f>
        <v/>
      </c>
      <c r="E2203" t="str">
        <f>+IFERROR(VLOOKUP(Fact_Analitica[[#This Row], [Concepto Anterior]],Conceptos_Analítica_contraloría[#All],5,0),"")</f>
        <v/>
      </c>
      <c r="F2203" t="str">
        <f>+IFERROR(VLOOKUP(Fact_Analitica[[#This Row], [Concepto Anterior]],Conceptos_Analítica_contraloría[#All],7,0),"")</f>
        <v/>
      </c>
      <c r="I2203" t="str">
        <f>+IFERROR(VLOOKUP(D2203,Conceptos_Analítica_contraloría[#All],2,0),"")</f>
        <v/>
      </c>
      <c r="J2203" s="84" t="str">
        <f>+IFERROR(VLOOKUP(D2203,Conceptos_Analítica_contraloría[#All],3,0),"")</f>
        <v/>
      </c>
    </row>
    <row r="2204" spans="3:10" ht="18.75" customHeight="1" x14ac:dyDescent="0.35">
      <c r="C2204" s="100" t="str">
        <f>IF(OR(Fact_Analitica[[#This Row], [Año]]="",Fact_Analitica[[#This Row], [Mes]]=""),"",DATE(A2204,MATCH(B2204,{"enero","febrero","marzo","abril","mayo","junio","julio","agosto","septiembre","octubre","noviembre","diciembre"},0)+1,0))</f>
        <v/>
      </c>
      <c r="E2204" t="str">
        <f>+IFERROR(VLOOKUP(Fact_Analitica[[#This Row], [Concepto Anterior]],Conceptos_Analítica_contraloría[#All],5,0),"")</f>
        <v/>
      </c>
      <c r="F2204" t="str">
        <f>+IFERROR(VLOOKUP(Fact_Analitica[[#This Row], [Concepto Anterior]],Conceptos_Analítica_contraloría[#All],7,0),"")</f>
        <v/>
      </c>
      <c r="I2204" t="str">
        <f>+IFERROR(VLOOKUP(D2204,Conceptos_Analítica_contraloría[#All],2,0),"")</f>
        <v/>
      </c>
      <c r="J2204" s="84" t="str">
        <f>+IFERROR(VLOOKUP(D2204,Conceptos_Analítica_contraloría[#All],3,0),"")</f>
        <v/>
      </c>
    </row>
    <row r="2205" spans="3:10" ht="18.75" customHeight="1" x14ac:dyDescent="0.35">
      <c r="C2205" s="100" t="str">
        <f>IF(OR(Fact_Analitica[[#This Row], [Año]]="",Fact_Analitica[[#This Row], [Mes]]=""),"",DATE(A2205,MATCH(B2205,{"enero","febrero","marzo","abril","mayo","junio","julio","agosto","septiembre","octubre","noviembre","diciembre"},0)+1,0))</f>
        <v/>
      </c>
      <c r="E2205" t="str">
        <f>+IFERROR(VLOOKUP(Fact_Analitica[[#This Row], [Concepto Anterior]],Conceptos_Analítica_contraloría[#All],5,0),"")</f>
        <v/>
      </c>
      <c r="F2205" t="str">
        <f>+IFERROR(VLOOKUP(Fact_Analitica[[#This Row], [Concepto Anterior]],Conceptos_Analítica_contraloría[#All],7,0),"")</f>
        <v/>
      </c>
      <c r="I2205" t="str">
        <f>+IFERROR(VLOOKUP(D2205,Conceptos_Analítica_contraloría[#All],2,0),"")</f>
        <v/>
      </c>
      <c r="J2205" s="84" t="str">
        <f>+IFERROR(VLOOKUP(D2205,Conceptos_Analítica_contraloría[#All],3,0),"")</f>
        <v/>
      </c>
    </row>
    <row r="2206" spans="3:10" ht="18.75" customHeight="1" x14ac:dyDescent="0.35">
      <c r="C2206" s="100" t="str">
        <f>IF(OR(Fact_Analitica[[#This Row], [Año]]="",Fact_Analitica[[#This Row], [Mes]]=""),"",DATE(A2206,MATCH(B2206,{"enero","febrero","marzo","abril","mayo","junio","julio","agosto","septiembre","octubre","noviembre","diciembre"},0)+1,0))</f>
        <v/>
      </c>
      <c r="E2206" t="str">
        <f>+IFERROR(VLOOKUP(Fact_Analitica[[#This Row], [Concepto Anterior]],Conceptos_Analítica_contraloría[#All],5,0),"")</f>
        <v/>
      </c>
      <c r="F2206" t="str">
        <f>+IFERROR(VLOOKUP(Fact_Analitica[[#This Row], [Concepto Anterior]],Conceptos_Analítica_contraloría[#All],7,0),"")</f>
        <v/>
      </c>
      <c r="I2206" t="str">
        <f>+IFERROR(VLOOKUP(D2206,Conceptos_Analítica_contraloría[#All],2,0),"")</f>
        <v/>
      </c>
      <c r="J2206" s="84" t="str">
        <f>+IFERROR(VLOOKUP(D2206,Conceptos_Analítica_contraloría[#All],3,0),"")</f>
        <v/>
      </c>
    </row>
    <row r="2207" spans="3:10" ht="18.75" customHeight="1" x14ac:dyDescent="0.35">
      <c r="C2207" s="100" t="str">
        <f>IF(OR(Fact_Analitica[[#This Row], [Año]]="",Fact_Analitica[[#This Row], [Mes]]=""),"",DATE(A2207,MATCH(B2207,{"enero","febrero","marzo","abril","mayo","junio","julio","agosto","septiembre","octubre","noviembre","diciembre"},0)+1,0))</f>
        <v/>
      </c>
      <c r="E2207" t="str">
        <f>+IFERROR(VLOOKUP(Fact_Analitica[[#This Row], [Concepto Anterior]],Conceptos_Analítica_contraloría[#All],5,0),"")</f>
        <v/>
      </c>
      <c r="F2207" t="str">
        <f>+IFERROR(VLOOKUP(Fact_Analitica[[#This Row], [Concepto Anterior]],Conceptos_Analítica_contraloría[#All],7,0),"")</f>
        <v/>
      </c>
      <c r="I2207" t="str">
        <f>+IFERROR(VLOOKUP(D2207,Conceptos_Analítica_contraloría[#All],2,0),"")</f>
        <v/>
      </c>
      <c r="J2207" s="84" t="str">
        <f>+IFERROR(VLOOKUP(D2207,Conceptos_Analítica_contraloría[#All],3,0),"")</f>
        <v/>
      </c>
    </row>
    <row r="2208" spans="3:10" ht="18.75" customHeight="1" x14ac:dyDescent="0.35">
      <c r="C2208" s="100" t="str">
        <f>IF(OR(Fact_Analitica[[#This Row], [Año]]="",Fact_Analitica[[#This Row], [Mes]]=""),"",DATE(A2208,MATCH(B2208,{"enero","febrero","marzo","abril","mayo","junio","julio","agosto","septiembre","octubre","noviembre","diciembre"},0)+1,0))</f>
        <v/>
      </c>
      <c r="E2208" t="str">
        <f>+IFERROR(VLOOKUP(Fact_Analitica[[#This Row], [Concepto Anterior]],Conceptos_Analítica_contraloría[#All],5,0),"")</f>
        <v/>
      </c>
      <c r="F2208" t="str">
        <f>+IFERROR(VLOOKUP(Fact_Analitica[[#This Row], [Concepto Anterior]],Conceptos_Analítica_contraloría[#All],7,0),"")</f>
        <v/>
      </c>
      <c r="I2208" t="str">
        <f>+IFERROR(VLOOKUP(D2208,Conceptos_Analítica_contraloría[#All],2,0),"")</f>
        <v/>
      </c>
      <c r="J2208" s="84" t="str">
        <f>+IFERROR(VLOOKUP(D2208,Conceptos_Analítica_contraloría[#All],3,0),"")</f>
        <v/>
      </c>
    </row>
    <row r="2209" spans="3:10" ht="18.75" customHeight="1" x14ac:dyDescent="0.35">
      <c r="C2209" s="100" t="str">
        <f>IF(OR(Fact_Analitica[[#This Row], [Año]]="",Fact_Analitica[[#This Row], [Mes]]=""),"",DATE(A2209,MATCH(B2209,{"enero","febrero","marzo","abril","mayo","junio","julio","agosto","septiembre","octubre","noviembre","diciembre"},0)+1,0))</f>
        <v/>
      </c>
      <c r="E2209" t="str">
        <f>+IFERROR(VLOOKUP(Fact_Analitica[[#This Row], [Concepto Anterior]],Conceptos_Analítica_contraloría[#All],5,0),"")</f>
        <v/>
      </c>
      <c r="F2209" t="str">
        <f>+IFERROR(VLOOKUP(Fact_Analitica[[#This Row], [Concepto Anterior]],Conceptos_Analítica_contraloría[#All],7,0),"")</f>
        <v/>
      </c>
      <c r="I2209" t="str">
        <f>+IFERROR(VLOOKUP(D2209,Conceptos_Analítica_contraloría[#All],2,0),"")</f>
        <v/>
      </c>
      <c r="J2209" s="84" t="str">
        <f>+IFERROR(VLOOKUP(D2209,Conceptos_Analítica_contraloría[#All],3,0),"")</f>
        <v/>
      </c>
    </row>
    <row r="2210" spans="3:10" ht="18.75" customHeight="1" x14ac:dyDescent="0.35">
      <c r="C2210" s="100" t="str">
        <f>IF(OR(Fact_Analitica[[#This Row], [Año]]="",Fact_Analitica[[#This Row], [Mes]]=""),"",DATE(A2210,MATCH(B2210,{"enero","febrero","marzo","abril","mayo","junio","julio","agosto","septiembre","octubre","noviembre","diciembre"},0)+1,0))</f>
        <v/>
      </c>
      <c r="E2210" t="str">
        <f>+IFERROR(VLOOKUP(Fact_Analitica[[#This Row], [Concepto Anterior]],Conceptos_Analítica_contraloría[#All],5,0),"")</f>
        <v/>
      </c>
      <c r="F2210" t="str">
        <f>+IFERROR(VLOOKUP(Fact_Analitica[[#This Row], [Concepto Anterior]],Conceptos_Analítica_contraloría[#All],7,0),"")</f>
        <v/>
      </c>
      <c r="I2210" t="str">
        <f>+IFERROR(VLOOKUP(D2210,Conceptos_Analítica_contraloría[#All],2,0),"")</f>
        <v/>
      </c>
      <c r="J2210" s="84" t="str">
        <f>+IFERROR(VLOOKUP(D2210,Conceptos_Analítica_contraloría[#All],3,0),"")</f>
        <v/>
      </c>
    </row>
    <row r="2211" spans="3:10" ht="18.75" customHeight="1" x14ac:dyDescent="0.35">
      <c r="C2211" s="100" t="str">
        <f>IF(OR(Fact_Analitica[[#This Row], [Año]]="",Fact_Analitica[[#This Row], [Mes]]=""),"",DATE(A2211,MATCH(B2211,{"enero","febrero","marzo","abril","mayo","junio","julio","agosto","septiembre","octubre","noviembre","diciembre"},0)+1,0))</f>
        <v/>
      </c>
      <c r="E2211" t="str">
        <f>+IFERROR(VLOOKUP(Fact_Analitica[[#This Row], [Concepto Anterior]],Conceptos_Analítica_contraloría[#All],5,0),"")</f>
        <v/>
      </c>
      <c r="F2211" t="str">
        <f>+IFERROR(VLOOKUP(Fact_Analitica[[#This Row], [Concepto Anterior]],Conceptos_Analítica_contraloría[#All],7,0),"")</f>
        <v/>
      </c>
      <c r="I2211" t="str">
        <f>+IFERROR(VLOOKUP(D2211,Conceptos_Analítica_contraloría[#All],2,0),"")</f>
        <v/>
      </c>
      <c r="J2211" s="84" t="str">
        <f>+IFERROR(VLOOKUP(D2211,Conceptos_Analítica_contraloría[#All],3,0),"")</f>
        <v/>
      </c>
    </row>
    <row r="2212" spans="3:10" ht="18.75" customHeight="1" x14ac:dyDescent="0.35">
      <c r="C2212" s="100" t="str">
        <f>IF(OR(Fact_Analitica[[#This Row], [Año]]="",Fact_Analitica[[#This Row], [Mes]]=""),"",DATE(A2212,MATCH(B2212,{"enero","febrero","marzo","abril","mayo","junio","julio","agosto","septiembre","octubre","noviembre","diciembre"},0)+1,0))</f>
        <v/>
      </c>
      <c r="E2212" t="str">
        <f>+IFERROR(VLOOKUP(Fact_Analitica[[#This Row], [Concepto Anterior]],Conceptos_Analítica_contraloría[#All],5,0),"")</f>
        <v/>
      </c>
      <c r="F2212" t="str">
        <f>+IFERROR(VLOOKUP(Fact_Analitica[[#This Row], [Concepto Anterior]],Conceptos_Analítica_contraloría[#All],7,0),"")</f>
        <v/>
      </c>
      <c r="I2212" t="str">
        <f>+IFERROR(VLOOKUP(D2212,Conceptos_Analítica_contraloría[#All],2,0),"")</f>
        <v/>
      </c>
      <c r="J2212" s="84" t="str">
        <f>+IFERROR(VLOOKUP(D2212,Conceptos_Analítica_contraloría[#All],3,0),"")</f>
        <v/>
      </c>
    </row>
    <row r="2213" spans="3:10" ht="18.75" customHeight="1" x14ac:dyDescent="0.35">
      <c r="C2213" s="100" t="str">
        <f>IF(OR(Fact_Analitica[[#This Row], [Año]]="",Fact_Analitica[[#This Row], [Mes]]=""),"",DATE(A2213,MATCH(B2213,{"enero","febrero","marzo","abril","mayo","junio","julio","agosto","septiembre","octubre","noviembre","diciembre"},0)+1,0))</f>
        <v/>
      </c>
      <c r="E2213" t="str">
        <f>+IFERROR(VLOOKUP(Fact_Analitica[[#This Row], [Concepto Anterior]],Conceptos_Analítica_contraloría[#All],5,0),"")</f>
        <v/>
      </c>
      <c r="F2213" t="str">
        <f>+IFERROR(VLOOKUP(Fact_Analitica[[#This Row], [Concepto Anterior]],Conceptos_Analítica_contraloría[#All],7,0),"")</f>
        <v/>
      </c>
      <c r="I2213" t="str">
        <f>+IFERROR(VLOOKUP(D2213,Conceptos_Analítica_contraloría[#All],2,0),"")</f>
        <v/>
      </c>
      <c r="J2213" s="84" t="str">
        <f>+IFERROR(VLOOKUP(D2213,Conceptos_Analítica_contraloría[#All],3,0),"")</f>
        <v/>
      </c>
    </row>
    <row r="2214" spans="3:10" ht="18.75" customHeight="1" x14ac:dyDescent="0.35">
      <c r="C2214" s="100" t="str">
        <f>IF(OR(Fact_Analitica[[#This Row], [Año]]="",Fact_Analitica[[#This Row], [Mes]]=""),"",DATE(A2214,MATCH(B2214,{"enero","febrero","marzo","abril","mayo","junio","julio","agosto","septiembre","octubre","noviembre","diciembre"},0)+1,0))</f>
        <v/>
      </c>
      <c r="E2214" t="str">
        <f>+IFERROR(VLOOKUP(Fact_Analitica[[#This Row], [Concepto Anterior]],Conceptos_Analítica_contraloría[#All],5,0),"")</f>
        <v/>
      </c>
      <c r="F2214" t="str">
        <f>+IFERROR(VLOOKUP(Fact_Analitica[[#This Row], [Concepto Anterior]],Conceptos_Analítica_contraloría[#All],7,0),"")</f>
        <v/>
      </c>
      <c r="I2214" t="str">
        <f>+IFERROR(VLOOKUP(D2214,Conceptos_Analítica_contraloría[#All],2,0),"")</f>
        <v/>
      </c>
      <c r="J2214" s="84" t="str">
        <f>+IFERROR(VLOOKUP(D2214,Conceptos_Analítica_contraloría[#All],3,0),"")</f>
        <v/>
      </c>
    </row>
    <row r="2215" spans="3:10" ht="18.75" customHeight="1" x14ac:dyDescent="0.35">
      <c r="C2215" s="100" t="str">
        <f>IF(OR(Fact_Analitica[[#This Row], [Año]]="",Fact_Analitica[[#This Row], [Mes]]=""),"",DATE(A2215,MATCH(B2215,{"enero","febrero","marzo","abril","mayo","junio","julio","agosto","septiembre","octubre","noviembre","diciembre"},0)+1,0))</f>
        <v/>
      </c>
      <c r="E2215" t="str">
        <f>+IFERROR(VLOOKUP(Fact_Analitica[[#This Row], [Concepto Anterior]],Conceptos_Analítica_contraloría[#All],5,0),"")</f>
        <v/>
      </c>
      <c r="F2215" t="str">
        <f>+IFERROR(VLOOKUP(Fact_Analitica[[#This Row], [Concepto Anterior]],Conceptos_Analítica_contraloría[#All],7,0),"")</f>
        <v/>
      </c>
      <c r="I2215" t="str">
        <f>+IFERROR(VLOOKUP(D2215,Conceptos_Analítica_contraloría[#All],2,0),"")</f>
        <v/>
      </c>
      <c r="J2215" s="84" t="str">
        <f>+IFERROR(VLOOKUP(D2215,Conceptos_Analítica_contraloría[#All],3,0),"")</f>
        <v/>
      </c>
    </row>
    <row r="2216" spans="3:10" ht="18.75" customHeight="1" x14ac:dyDescent="0.35">
      <c r="C2216" s="100" t="str">
        <f>IF(OR(Fact_Analitica[[#This Row], [Año]]="",Fact_Analitica[[#This Row], [Mes]]=""),"",DATE(A2216,MATCH(B2216,{"enero","febrero","marzo","abril","mayo","junio","julio","agosto","septiembre","octubre","noviembre","diciembre"},0)+1,0))</f>
        <v/>
      </c>
      <c r="E2216" t="str">
        <f>+IFERROR(VLOOKUP(Fact_Analitica[[#This Row], [Concepto Anterior]],Conceptos_Analítica_contraloría[#All],5,0),"")</f>
        <v/>
      </c>
      <c r="F2216" t="str">
        <f>+IFERROR(VLOOKUP(Fact_Analitica[[#This Row], [Concepto Anterior]],Conceptos_Analítica_contraloría[#All],7,0),"")</f>
        <v/>
      </c>
      <c r="I2216" t="str">
        <f>+IFERROR(VLOOKUP(D2216,Conceptos_Analítica_contraloría[#All],2,0),"")</f>
        <v/>
      </c>
      <c r="J2216" s="84" t="str">
        <f>+IFERROR(VLOOKUP(D2216,Conceptos_Analítica_contraloría[#All],3,0),"")</f>
        <v/>
      </c>
    </row>
    <row r="2217" spans="3:10" ht="18.75" customHeight="1" x14ac:dyDescent="0.35">
      <c r="C2217" s="100" t="str">
        <f>IF(OR(Fact_Analitica[[#This Row], [Año]]="",Fact_Analitica[[#This Row], [Mes]]=""),"",DATE(A2217,MATCH(B2217,{"enero","febrero","marzo","abril","mayo","junio","julio","agosto","septiembre","octubre","noviembre","diciembre"},0)+1,0))</f>
        <v/>
      </c>
      <c r="E2217" t="str">
        <f>+IFERROR(VLOOKUP(Fact_Analitica[[#This Row], [Concepto Anterior]],Conceptos_Analítica_contraloría[#All],5,0),"")</f>
        <v/>
      </c>
      <c r="F2217" t="str">
        <f>+IFERROR(VLOOKUP(Fact_Analitica[[#This Row], [Concepto Anterior]],Conceptos_Analítica_contraloría[#All],7,0),"")</f>
        <v/>
      </c>
      <c r="I2217" t="str">
        <f>+IFERROR(VLOOKUP(D2217,Conceptos_Analítica_contraloría[#All],2,0),"")</f>
        <v/>
      </c>
      <c r="J2217" s="84" t="str">
        <f>+IFERROR(VLOOKUP(D2217,Conceptos_Analítica_contraloría[#All],3,0),"")</f>
        <v/>
      </c>
    </row>
    <row r="2218" spans="3:10" ht="18.75" customHeight="1" x14ac:dyDescent="0.35">
      <c r="C2218" s="100" t="str">
        <f>IF(OR(Fact_Analitica[[#This Row], [Año]]="",Fact_Analitica[[#This Row], [Mes]]=""),"",DATE(A2218,MATCH(B2218,{"enero","febrero","marzo","abril","mayo","junio","julio","agosto","septiembre","octubre","noviembre","diciembre"},0)+1,0))</f>
        <v/>
      </c>
      <c r="E2218" t="str">
        <f>+IFERROR(VLOOKUP(Fact_Analitica[[#This Row], [Concepto Anterior]],Conceptos_Analítica_contraloría[#All],5,0),"")</f>
        <v/>
      </c>
      <c r="F2218" t="str">
        <f>+IFERROR(VLOOKUP(Fact_Analitica[[#This Row], [Concepto Anterior]],Conceptos_Analítica_contraloría[#All],7,0),"")</f>
        <v/>
      </c>
      <c r="I2218" t="str">
        <f>+IFERROR(VLOOKUP(D2218,Conceptos_Analítica_contraloría[#All],2,0),"")</f>
        <v/>
      </c>
      <c r="J2218" s="84" t="str">
        <f>+IFERROR(VLOOKUP(D2218,Conceptos_Analítica_contraloría[#All],3,0),"")</f>
        <v/>
      </c>
    </row>
    <row r="2219" spans="3:10" ht="18.75" customHeight="1" x14ac:dyDescent="0.35">
      <c r="C2219" s="100" t="str">
        <f>IF(OR(Fact_Analitica[[#This Row], [Año]]="",Fact_Analitica[[#This Row], [Mes]]=""),"",DATE(A2219,MATCH(B2219,{"enero","febrero","marzo","abril","mayo","junio","julio","agosto","septiembre","octubre","noviembre","diciembre"},0)+1,0))</f>
        <v/>
      </c>
      <c r="E2219" t="str">
        <f>+IFERROR(VLOOKUP(Fact_Analitica[[#This Row], [Concepto Anterior]],Conceptos_Analítica_contraloría[#All],5,0),"")</f>
        <v/>
      </c>
      <c r="F2219" t="str">
        <f>+IFERROR(VLOOKUP(Fact_Analitica[[#This Row], [Concepto Anterior]],Conceptos_Analítica_contraloría[#All],7,0),"")</f>
        <v/>
      </c>
      <c r="I2219" t="str">
        <f>+IFERROR(VLOOKUP(D2219,Conceptos_Analítica_contraloría[#All],2,0),"")</f>
        <v/>
      </c>
      <c r="J2219" s="84" t="str">
        <f>+IFERROR(VLOOKUP(D2219,Conceptos_Analítica_contraloría[#All],3,0),"")</f>
        <v/>
      </c>
    </row>
    <row r="2220" spans="3:10" ht="18.75" customHeight="1" x14ac:dyDescent="0.35">
      <c r="C2220" s="100" t="str">
        <f>IF(OR(Fact_Analitica[[#This Row], [Año]]="",Fact_Analitica[[#This Row], [Mes]]=""),"",DATE(A2220,MATCH(B2220,{"enero","febrero","marzo","abril","mayo","junio","julio","agosto","septiembre","octubre","noviembre","diciembre"},0)+1,0))</f>
        <v/>
      </c>
      <c r="E2220" t="str">
        <f>+IFERROR(VLOOKUP(Fact_Analitica[[#This Row], [Concepto Anterior]],Conceptos_Analítica_contraloría[#All],5,0),"")</f>
        <v/>
      </c>
      <c r="F2220" t="str">
        <f>+IFERROR(VLOOKUP(Fact_Analitica[[#This Row], [Concepto Anterior]],Conceptos_Analítica_contraloría[#All],7,0),"")</f>
        <v/>
      </c>
      <c r="I2220" t="str">
        <f>+IFERROR(VLOOKUP(D2220,Conceptos_Analítica_contraloría[#All],2,0),"")</f>
        <v/>
      </c>
      <c r="J2220" s="84" t="str">
        <f>+IFERROR(VLOOKUP(D2220,Conceptos_Analítica_contraloría[#All],3,0),"")</f>
        <v/>
      </c>
    </row>
    <row r="2221" spans="3:10" ht="18.75" customHeight="1" x14ac:dyDescent="0.35">
      <c r="C2221" s="100" t="str">
        <f>IF(OR(Fact_Analitica[[#This Row], [Año]]="",Fact_Analitica[[#This Row], [Mes]]=""),"",DATE(A2221,MATCH(B2221,{"enero","febrero","marzo","abril","mayo","junio","julio","agosto","septiembre","octubre","noviembre","diciembre"},0)+1,0))</f>
        <v/>
      </c>
      <c r="E2221" t="str">
        <f>+IFERROR(VLOOKUP(Fact_Analitica[[#This Row], [Concepto Anterior]],Conceptos_Analítica_contraloría[#All],5,0),"")</f>
        <v/>
      </c>
      <c r="F2221" t="str">
        <f>+IFERROR(VLOOKUP(Fact_Analitica[[#This Row], [Concepto Anterior]],Conceptos_Analítica_contraloría[#All],7,0),"")</f>
        <v/>
      </c>
      <c r="I2221" t="str">
        <f>+IFERROR(VLOOKUP(D2221,Conceptos_Analítica_contraloría[#All],2,0),"")</f>
        <v/>
      </c>
      <c r="J2221" s="84" t="str">
        <f>+IFERROR(VLOOKUP(D2221,Conceptos_Analítica_contraloría[#All],3,0),"")</f>
        <v/>
      </c>
    </row>
    <row r="2222" spans="3:10" ht="18.75" customHeight="1" x14ac:dyDescent="0.35">
      <c r="C2222" s="100" t="str">
        <f>IF(OR(Fact_Analitica[[#This Row], [Año]]="",Fact_Analitica[[#This Row], [Mes]]=""),"",DATE(A2222,MATCH(B2222,{"enero","febrero","marzo","abril","mayo","junio","julio","agosto","septiembre","octubre","noviembre","diciembre"},0)+1,0))</f>
        <v/>
      </c>
      <c r="E2222" t="str">
        <f>+IFERROR(VLOOKUP(Fact_Analitica[[#This Row], [Concepto Anterior]],Conceptos_Analítica_contraloría[#All],5,0),"")</f>
        <v/>
      </c>
      <c r="F2222" t="str">
        <f>+IFERROR(VLOOKUP(Fact_Analitica[[#This Row], [Concepto Anterior]],Conceptos_Analítica_contraloría[#All],7,0),"")</f>
        <v/>
      </c>
      <c r="I2222" t="str">
        <f>+IFERROR(VLOOKUP(D2222,Conceptos_Analítica_contraloría[#All],2,0),"")</f>
        <v/>
      </c>
      <c r="J2222" s="84" t="str">
        <f>+IFERROR(VLOOKUP(D2222,Conceptos_Analítica_contraloría[#All],3,0),"")</f>
        <v/>
      </c>
    </row>
    <row r="2223" spans="3:10" ht="18.75" customHeight="1" x14ac:dyDescent="0.35">
      <c r="C2223" s="100" t="str">
        <f>IF(OR(Fact_Analitica[[#This Row], [Año]]="",Fact_Analitica[[#This Row], [Mes]]=""),"",DATE(A2223,MATCH(B2223,{"enero","febrero","marzo","abril","mayo","junio","julio","agosto","septiembre","octubre","noviembre","diciembre"},0)+1,0))</f>
        <v/>
      </c>
      <c r="E2223" t="str">
        <f>+IFERROR(VLOOKUP(Fact_Analitica[[#This Row], [Concepto Anterior]],Conceptos_Analítica_contraloría[#All],5,0),"")</f>
        <v/>
      </c>
      <c r="F2223" t="str">
        <f>+IFERROR(VLOOKUP(Fact_Analitica[[#This Row], [Concepto Anterior]],Conceptos_Analítica_contraloría[#All],7,0),"")</f>
        <v/>
      </c>
      <c r="I2223" t="str">
        <f>+IFERROR(VLOOKUP(D2223,Conceptos_Analítica_contraloría[#All],2,0),"")</f>
        <v/>
      </c>
      <c r="J2223" s="84" t="str">
        <f>+IFERROR(VLOOKUP(D2223,Conceptos_Analítica_contraloría[#All],3,0),"")</f>
        <v/>
      </c>
    </row>
    <row r="2224" spans="3:10" ht="18.75" customHeight="1" x14ac:dyDescent="0.35">
      <c r="C2224" s="100" t="str">
        <f>IF(OR(Fact_Analitica[[#This Row], [Año]]="",Fact_Analitica[[#This Row], [Mes]]=""),"",DATE(A2224,MATCH(B2224,{"enero","febrero","marzo","abril","mayo","junio","julio","agosto","septiembre","octubre","noviembre","diciembre"},0)+1,0))</f>
        <v/>
      </c>
      <c r="E2224" t="str">
        <f>+IFERROR(VLOOKUP(Fact_Analitica[[#This Row], [Concepto Anterior]],Conceptos_Analítica_contraloría[#All],5,0),"")</f>
        <v/>
      </c>
      <c r="F2224" t="str">
        <f>+IFERROR(VLOOKUP(Fact_Analitica[[#This Row], [Concepto Anterior]],Conceptos_Analítica_contraloría[#All],7,0),"")</f>
        <v/>
      </c>
      <c r="I2224" t="str">
        <f>+IFERROR(VLOOKUP(D2224,Conceptos_Analítica_contraloría[#All],2,0),"")</f>
        <v/>
      </c>
      <c r="J2224" s="84" t="str">
        <f>+IFERROR(VLOOKUP(D2224,Conceptos_Analítica_contraloría[#All],3,0),"")</f>
        <v/>
      </c>
    </row>
    <row r="2225" spans="3:10" ht="18.75" customHeight="1" x14ac:dyDescent="0.35">
      <c r="C2225" s="100" t="str">
        <f>IF(OR(Fact_Analitica[[#This Row], [Año]]="",Fact_Analitica[[#This Row], [Mes]]=""),"",DATE(A2225,MATCH(B2225,{"enero","febrero","marzo","abril","mayo","junio","julio","agosto","septiembre","octubre","noviembre","diciembre"},0)+1,0))</f>
        <v/>
      </c>
      <c r="E2225" t="str">
        <f>+IFERROR(VLOOKUP(Fact_Analitica[[#This Row], [Concepto Anterior]],Conceptos_Analítica_contraloría[#All],5,0),"")</f>
        <v/>
      </c>
      <c r="F2225" t="str">
        <f>+IFERROR(VLOOKUP(Fact_Analitica[[#This Row], [Concepto Anterior]],Conceptos_Analítica_contraloría[#All],7,0),"")</f>
        <v/>
      </c>
      <c r="I2225" t="str">
        <f>+IFERROR(VLOOKUP(D2225,Conceptos_Analítica_contraloría[#All],2,0),"")</f>
        <v/>
      </c>
      <c r="J2225" s="84" t="str">
        <f>+IFERROR(VLOOKUP(D2225,Conceptos_Analítica_contraloría[#All],3,0),"")</f>
        <v/>
      </c>
    </row>
    <row r="2226" spans="3:10" ht="18.75" customHeight="1" x14ac:dyDescent="0.35">
      <c r="C2226" s="100" t="str">
        <f>IF(OR(Fact_Analitica[[#This Row], [Año]]="",Fact_Analitica[[#This Row], [Mes]]=""),"",DATE(A2226,MATCH(B2226,{"enero","febrero","marzo","abril","mayo","junio","julio","agosto","septiembre","octubre","noviembre","diciembre"},0)+1,0))</f>
        <v/>
      </c>
      <c r="E2226" t="str">
        <f>+IFERROR(VLOOKUP(Fact_Analitica[[#This Row], [Concepto Anterior]],Conceptos_Analítica_contraloría[#All],5,0),"")</f>
        <v/>
      </c>
      <c r="F2226" t="str">
        <f>+IFERROR(VLOOKUP(Fact_Analitica[[#This Row], [Concepto Anterior]],Conceptos_Analítica_contraloría[#All],7,0),"")</f>
        <v/>
      </c>
      <c r="I2226" t="str">
        <f>+IFERROR(VLOOKUP(D2226,Conceptos_Analítica_contraloría[#All],2,0),"")</f>
        <v/>
      </c>
      <c r="J2226" s="84" t="str">
        <f>+IFERROR(VLOOKUP(D2226,Conceptos_Analítica_contraloría[#All],3,0),"")</f>
        <v/>
      </c>
    </row>
    <row r="2227" spans="3:10" ht="18.75" customHeight="1" x14ac:dyDescent="0.35">
      <c r="C2227" s="100" t="str">
        <f>IF(OR(Fact_Analitica[[#This Row], [Año]]="",Fact_Analitica[[#This Row], [Mes]]=""),"",DATE(A2227,MATCH(B2227,{"enero","febrero","marzo","abril","mayo","junio","julio","agosto","septiembre","octubre","noviembre","diciembre"},0)+1,0))</f>
        <v/>
      </c>
      <c r="E2227" t="str">
        <f>+IFERROR(VLOOKUP(Fact_Analitica[[#This Row], [Concepto Anterior]],Conceptos_Analítica_contraloría[#All],5,0),"")</f>
        <v/>
      </c>
      <c r="F2227" t="str">
        <f>+IFERROR(VLOOKUP(Fact_Analitica[[#This Row], [Concepto Anterior]],Conceptos_Analítica_contraloría[#All],7,0),"")</f>
        <v/>
      </c>
      <c r="I2227" t="str">
        <f>+IFERROR(VLOOKUP(D2227,Conceptos_Analítica_contraloría[#All],2,0),"")</f>
        <v/>
      </c>
      <c r="J2227" s="84" t="str">
        <f>+IFERROR(VLOOKUP(D2227,Conceptos_Analítica_contraloría[#All],3,0),"")</f>
        <v/>
      </c>
    </row>
    <row r="2228" spans="3:10" ht="18.75" customHeight="1" x14ac:dyDescent="0.35">
      <c r="C2228" s="100" t="str">
        <f>IF(OR(Fact_Analitica[[#This Row], [Año]]="",Fact_Analitica[[#This Row], [Mes]]=""),"",DATE(A2228,MATCH(B2228,{"enero","febrero","marzo","abril","mayo","junio","julio","agosto","septiembre","octubre","noviembre","diciembre"},0)+1,0))</f>
        <v/>
      </c>
      <c r="E2228" t="str">
        <f>+IFERROR(VLOOKUP(Fact_Analitica[[#This Row], [Concepto Anterior]],Conceptos_Analítica_contraloría[#All],5,0),"")</f>
        <v/>
      </c>
      <c r="F2228" t="str">
        <f>+IFERROR(VLOOKUP(Fact_Analitica[[#This Row], [Concepto Anterior]],Conceptos_Analítica_contraloría[#All],7,0),"")</f>
        <v/>
      </c>
      <c r="I2228" t="str">
        <f>+IFERROR(VLOOKUP(D2228,Conceptos_Analítica_contraloría[#All],2,0),"")</f>
        <v/>
      </c>
      <c r="J2228" s="84" t="str">
        <f>+IFERROR(VLOOKUP(D2228,Conceptos_Analítica_contraloría[#All],3,0),"")</f>
        <v/>
      </c>
    </row>
    <row r="2229" spans="3:10" ht="18.75" customHeight="1" x14ac:dyDescent="0.35">
      <c r="C2229" s="100" t="str">
        <f>IF(OR(Fact_Analitica[[#This Row], [Año]]="",Fact_Analitica[[#This Row], [Mes]]=""),"",DATE(A2229,MATCH(B2229,{"enero","febrero","marzo","abril","mayo","junio","julio","agosto","septiembre","octubre","noviembre","diciembre"},0)+1,0))</f>
        <v/>
      </c>
      <c r="E2229" t="str">
        <f>+IFERROR(VLOOKUP(Fact_Analitica[[#This Row], [Concepto Anterior]],Conceptos_Analítica_contraloría[#All],5,0),"")</f>
        <v/>
      </c>
      <c r="F2229" t="str">
        <f>+IFERROR(VLOOKUP(Fact_Analitica[[#This Row], [Concepto Anterior]],Conceptos_Analítica_contraloría[#All],7,0),"")</f>
        <v/>
      </c>
      <c r="I2229" t="str">
        <f>+IFERROR(VLOOKUP(D2229,Conceptos_Analítica_contraloría[#All],2,0),"")</f>
        <v/>
      </c>
      <c r="J2229" s="84" t="str">
        <f>+IFERROR(VLOOKUP(D2229,Conceptos_Analítica_contraloría[#All],3,0),"")</f>
        <v/>
      </c>
    </row>
    <row r="2230" spans="3:10" ht="18.75" customHeight="1" x14ac:dyDescent="0.35">
      <c r="C2230" s="100" t="str">
        <f>IF(OR(Fact_Analitica[[#This Row], [Año]]="",Fact_Analitica[[#This Row], [Mes]]=""),"",DATE(A2230,MATCH(B2230,{"enero","febrero","marzo","abril","mayo","junio","julio","agosto","septiembre","octubre","noviembre","diciembre"},0)+1,0))</f>
        <v/>
      </c>
      <c r="E2230" t="str">
        <f>+IFERROR(VLOOKUP(Fact_Analitica[[#This Row], [Concepto Anterior]],Conceptos_Analítica_contraloría[#All],5,0),"")</f>
        <v/>
      </c>
      <c r="F2230" t="str">
        <f>+IFERROR(VLOOKUP(Fact_Analitica[[#This Row], [Concepto Anterior]],Conceptos_Analítica_contraloría[#All],7,0),"")</f>
        <v/>
      </c>
      <c r="I2230" t="str">
        <f>+IFERROR(VLOOKUP(D2230,Conceptos_Analítica_contraloría[#All],2,0),"")</f>
        <v/>
      </c>
      <c r="J2230" s="84" t="str">
        <f>+IFERROR(VLOOKUP(D2230,Conceptos_Analítica_contraloría[#All],3,0),"")</f>
        <v/>
      </c>
    </row>
    <row r="2231" spans="3:10" ht="18.75" customHeight="1" x14ac:dyDescent="0.35">
      <c r="C2231" s="100" t="str">
        <f>IF(OR(Fact_Analitica[[#This Row], [Año]]="",Fact_Analitica[[#This Row], [Mes]]=""),"",DATE(A2231,MATCH(B2231,{"enero","febrero","marzo","abril","mayo","junio","julio","agosto","septiembre","octubre","noviembre","diciembre"},0)+1,0))</f>
        <v/>
      </c>
      <c r="E2231" t="str">
        <f>+IFERROR(VLOOKUP(Fact_Analitica[[#This Row], [Concepto Anterior]],Conceptos_Analítica_contraloría[#All],5,0),"")</f>
        <v/>
      </c>
      <c r="F2231" t="str">
        <f>+IFERROR(VLOOKUP(Fact_Analitica[[#This Row], [Concepto Anterior]],Conceptos_Analítica_contraloría[#All],7,0),"")</f>
        <v/>
      </c>
      <c r="I2231" t="str">
        <f>+IFERROR(VLOOKUP(D2231,Conceptos_Analítica_contraloría[#All],2,0),"")</f>
        <v/>
      </c>
      <c r="J2231" s="84" t="str">
        <f>+IFERROR(VLOOKUP(D2231,Conceptos_Analítica_contraloría[#All],3,0),"")</f>
        <v/>
      </c>
    </row>
    <row r="2232" spans="3:10" ht="18.75" customHeight="1" x14ac:dyDescent="0.35">
      <c r="C2232" s="100" t="str">
        <f>IF(OR(Fact_Analitica[[#This Row], [Año]]="",Fact_Analitica[[#This Row], [Mes]]=""),"",DATE(A2232,MATCH(B2232,{"enero","febrero","marzo","abril","mayo","junio","julio","agosto","septiembre","octubre","noviembre","diciembre"},0)+1,0))</f>
        <v/>
      </c>
      <c r="E2232" t="str">
        <f>+IFERROR(VLOOKUP(Fact_Analitica[[#This Row], [Concepto Anterior]],Conceptos_Analítica_contraloría[#All],5,0),"")</f>
        <v/>
      </c>
      <c r="F2232" t="str">
        <f>+IFERROR(VLOOKUP(Fact_Analitica[[#This Row], [Concepto Anterior]],Conceptos_Analítica_contraloría[#All],7,0),"")</f>
        <v/>
      </c>
      <c r="I2232" t="str">
        <f>+IFERROR(VLOOKUP(D2232,Conceptos_Analítica_contraloría[#All],2,0),"")</f>
        <v/>
      </c>
      <c r="J2232" s="84" t="str">
        <f>+IFERROR(VLOOKUP(D2232,Conceptos_Analítica_contraloría[#All],3,0),"")</f>
        <v/>
      </c>
    </row>
    <row r="2233" spans="3:10" ht="18.75" customHeight="1" x14ac:dyDescent="0.35">
      <c r="C2233" s="100" t="str">
        <f>IF(OR(Fact_Analitica[[#This Row], [Año]]="",Fact_Analitica[[#This Row], [Mes]]=""),"",DATE(A2233,MATCH(B2233,{"enero","febrero","marzo","abril","mayo","junio","julio","agosto","septiembre","octubre","noviembre","diciembre"},0)+1,0))</f>
        <v/>
      </c>
      <c r="E2233" t="str">
        <f>+IFERROR(VLOOKUP(Fact_Analitica[[#This Row], [Concepto Anterior]],Conceptos_Analítica_contraloría[#All],5,0),"")</f>
        <v/>
      </c>
      <c r="F2233" t="str">
        <f>+IFERROR(VLOOKUP(Fact_Analitica[[#This Row], [Concepto Anterior]],Conceptos_Analítica_contraloría[#All],7,0),"")</f>
        <v/>
      </c>
      <c r="I2233" t="str">
        <f>+IFERROR(VLOOKUP(D2233,Conceptos_Analítica_contraloría[#All],2,0),"")</f>
        <v/>
      </c>
      <c r="J2233" s="84" t="str">
        <f>+IFERROR(VLOOKUP(D2233,Conceptos_Analítica_contraloría[#All],3,0),"")</f>
        <v/>
      </c>
    </row>
    <row r="2234" spans="3:10" ht="18.75" customHeight="1" x14ac:dyDescent="0.35">
      <c r="C2234" s="100" t="str">
        <f>IF(OR(Fact_Analitica[[#This Row], [Año]]="",Fact_Analitica[[#This Row], [Mes]]=""),"",DATE(A2234,MATCH(B2234,{"enero","febrero","marzo","abril","mayo","junio","julio","agosto","septiembre","octubre","noviembre","diciembre"},0)+1,0))</f>
        <v/>
      </c>
      <c r="E2234" t="str">
        <f>+IFERROR(VLOOKUP(Fact_Analitica[[#This Row], [Concepto Anterior]],Conceptos_Analítica_contraloría[#All],5,0),"")</f>
        <v/>
      </c>
      <c r="F2234" t="str">
        <f>+IFERROR(VLOOKUP(Fact_Analitica[[#This Row], [Concepto Anterior]],Conceptos_Analítica_contraloría[#All],7,0),"")</f>
        <v/>
      </c>
      <c r="I2234" t="str">
        <f>+IFERROR(VLOOKUP(D2234,Conceptos_Analítica_contraloría[#All],2,0),"")</f>
        <v/>
      </c>
      <c r="J2234" s="84" t="str">
        <f>+IFERROR(VLOOKUP(D2234,Conceptos_Analítica_contraloría[#All],3,0),"")</f>
        <v/>
      </c>
    </row>
    <row r="2235" spans="3:10" ht="18.75" customHeight="1" x14ac:dyDescent="0.35">
      <c r="C2235" s="100" t="str">
        <f>IF(OR(Fact_Analitica[[#This Row], [Año]]="",Fact_Analitica[[#This Row], [Mes]]=""),"",DATE(A2235,MATCH(B2235,{"enero","febrero","marzo","abril","mayo","junio","julio","agosto","septiembre","octubre","noviembre","diciembre"},0)+1,0))</f>
        <v/>
      </c>
      <c r="E2235" t="str">
        <f>+IFERROR(VLOOKUP(Fact_Analitica[[#This Row], [Concepto Anterior]],Conceptos_Analítica_contraloría[#All],5,0),"")</f>
        <v/>
      </c>
      <c r="F2235" t="str">
        <f>+IFERROR(VLOOKUP(Fact_Analitica[[#This Row], [Concepto Anterior]],Conceptos_Analítica_contraloría[#All],7,0),"")</f>
        <v/>
      </c>
      <c r="I2235" t="str">
        <f>+IFERROR(VLOOKUP(D2235,Conceptos_Analítica_contraloría[#All],2,0),"")</f>
        <v/>
      </c>
      <c r="J2235" s="84" t="str">
        <f>+IFERROR(VLOOKUP(D2235,Conceptos_Analítica_contraloría[#All],3,0),"")</f>
        <v/>
      </c>
    </row>
    <row r="2236" spans="3:10" ht="18.75" customHeight="1" x14ac:dyDescent="0.35">
      <c r="C2236" s="100" t="str">
        <f>IF(OR(Fact_Analitica[[#This Row], [Año]]="",Fact_Analitica[[#This Row], [Mes]]=""),"",DATE(A2236,MATCH(B2236,{"enero","febrero","marzo","abril","mayo","junio","julio","agosto","septiembre","octubre","noviembre","diciembre"},0)+1,0))</f>
        <v/>
      </c>
      <c r="E2236" t="str">
        <f>+IFERROR(VLOOKUP(Fact_Analitica[[#This Row], [Concepto Anterior]],Conceptos_Analítica_contraloría[#All],5,0),"")</f>
        <v/>
      </c>
      <c r="F2236" t="str">
        <f>+IFERROR(VLOOKUP(Fact_Analitica[[#This Row], [Concepto Anterior]],Conceptos_Analítica_contraloría[#All],7,0),"")</f>
        <v/>
      </c>
      <c r="I2236" t="str">
        <f>+IFERROR(VLOOKUP(D2236,Conceptos_Analítica_contraloría[#All],2,0),"")</f>
        <v/>
      </c>
      <c r="J2236" s="84" t="str">
        <f>+IFERROR(VLOOKUP(D2236,Conceptos_Analítica_contraloría[#All],3,0),"")</f>
        <v/>
      </c>
    </row>
    <row r="2237" spans="3:10" ht="18.75" customHeight="1" x14ac:dyDescent="0.35">
      <c r="C2237" s="100" t="str">
        <f>IF(OR(Fact_Analitica[[#This Row], [Año]]="",Fact_Analitica[[#This Row], [Mes]]=""),"",DATE(A2237,MATCH(B2237,{"enero","febrero","marzo","abril","mayo","junio","julio","agosto","septiembre","octubre","noviembre","diciembre"},0)+1,0))</f>
        <v/>
      </c>
      <c r="E2237" t="str">
        <f>+IFERROR(VLOOKUP(Fact_Analitica[[#This Row], [Concepto Anterior]],Conceptos_Analítica_contraloría[#All],5,0),"")</f>
        <v/>
      </c>
      <c r="F2237" t="str">
        <f>+IFERROR(VLOOKUP(Fact_Analitica[[#This Row], [Concepto Anterior]],Conceptos_Analítica_contraloría[#All],7,0),"")</f>
        <v/>
      </c>
      <c r="I2237" t="str">
        <f>+IFERROR(VLOOKUP(D2237,Conceptos_Analítica_contraloría[#All],2,0),"")</f>
        <v/>
      </c>
      <c r="J2237" s="84" t="str">
        <f>+IFERROR(VLOOKUP(D2237,Conceptos_Analítica_contraloría[#All],3,0),"")</f>
        <v/>
      </c>
    </row>
    <row r="2238" spans="3:10" ht="18.75" customHeight="1" x14ac:dyDescent="0.35">
      <c r="C2238" s="100" t="str">
        <f>IF(OR(Fact_Analitica[[#This Row], [Año]]="",Fact_Analitica[[#This Row], [Mes]]=""),"",DATE(A2238,MATCH(B2238,{"enero","febrero","marzo","abril","mayo","junio","julio","agosto","septiembre","octubre","noviembre","diciembre"},0)+1,0))</f>
        <v/>
      </c>
      <c r="E2238" t="str">
        <f>+IFERROR(VLOOKUP(Fact_Analitica[[#This Row], [Concepto Anterior]],Conceptos_Analítica_contraloría[#All],5,0),"")</f>
        <v/>
      </c>
      <c r="F2238" t="str">
        <f>+IFERROR(VLOOKUP(Fact_Analitica[[#This Row], [Concepto Anterior]],Conceptos_Analítica_contraloría[#All],7,0),"")</f>
        <v/>
      </c>
      <c r="I2238" t="str">
        <f>+IFERROR(VLOOKUP(D2238,Conceptos_Analítica_contraloría[#All],2,0),"")</f>
        <v/>
      </c>
      <c r="J2238" s="84" t="str">
        <f>+IFERROR(VLOOKUP(D2238,Conceptos_Analítica_contraloría[#All],3,0),"")</f>
        <v/>
      </c>
    </row>
    <row r="2239" spans="3:10" ht="18.75" customHeight="1" x14ac:dyDescent="0.35">
      <c r="C2239" s="100" t="str">
        <f>IF(OR(Fact_Analitica[[#This Row], [Año]]="",Fact_Analitica[[#This Row], [Mes]]=""),"",DATE(A2239,MATCH(B2239,{"enero","febrero","marzo","abril","mayo","junio","julio","agosto","septiembre","octubre","noviembre","diciembre"},0)+1,0))</f>
        <v/>
      </c>
      <c r="E2239" t="str">
        <f>+IFERROR(VLOOKUP(Fact_Analitica[[#This Row], [Concepto Anterior]],Conceptos_Analítica_contraloría[#All],5,0),"")</f>
        <v/>
      </c>
      <c r="F2239" t="str">
        <f>+IFERROR(VLOOKUP(Fact_Analitica[[#This Row], [Concepto Anterior]],Conceptos_Analítica_contraloría[#All],7,0),"")</f>
        <v/>
      </c>
      <c r="I2239" t="str">
        <f>+IFERROR(VLOOKUP(D2239,Conceptos_Analítica_contraloría[#All],2,0),"")</f>
        <v/>
      </c>
      <c r="J2239" s="84" t="str">
        <f>+IFERROR(VLOOKUP(D2239,Conceptos_Analítica_contraloría[#All],3,0),"")</f>
        <v/>
      </c>
    </row>
    <row r="2240" spans="3:10" ht="18.75" customHeight="1" x14ac:dyDescent="0.35">
      <c r="C2240" s="100" t="str">
        <f>IF(OR(Fact_Analitica[[#This Row], [Año]]="",Fact_Analitica[[#This Row], [Mes]]=""),"",DATE(A2240,MATCH(B2240,{"enero","febrero","marzo","abril","mayo","junio","julio","agosto","septiembre","octubre","noviembre","diciembre"},0)+1,0))</f>
        <v/>
      </c>
      <c r="E2240" t="str">
        <f>+IFERROR(VLOOKUP(Fact_Analitica[[#This Row], [Concepto Anterior]],Conceptos_Analítica_contraloría[#All],5,0),"")</f>
        <v/>
      </c>
      <c r="F2240" t="str">
        <f>+IFERROR(VLOOKUP(Fact_Analitica[[#This Row], [Concepto Anterior]],Conceptos_Analítica_contraloría[#All],7,0),"")</f>
        <v/>
      </c>
      <c r="I2240" t="str">
        <f>+IFERROR(VLOOKUP(D2240,Conceptos_Analítica_contraloría[#All],2,0),"")</f>
        <v/>
      </c>
      <c r="J2240" s="84" t="str">
        <f>+IFERROR(VLOOKUP(D2240,Conceptos_Analítica_contraloría[#All],3,0),"")</f>
        <v/>
      </c>
    </row>
    <row r="2241" spans="3:10" ht="18.75" customHeight="1" x14ac:dyDescent="0.35">
      <c r="C2241" s="100" t="str">
        <f>IF(OR(Fact_Analitica[[#This Row], [Año]]="",Fact_Analitica[[#This Row], [Mes]]=""),"",DATE(A2241,MATCH(B2241,{"enero","febrero","marzo","abril","mayo","junio","julio","agosto","septiembre","octubre","noviembre","diciembre"},0)+1,0))</f>
        <v/>
      </c>
      <c r="E2241" t="str">
        <f>+IFERROR(VLOOKUP(Fact_Analitica[[#This Row], [Concepto Anterior]],Conceptos_Analítica_contraloría[#All],5,0),"")</f>
        <v/>
      </c>
      <c r="F2241" t="str">
        <f>+IFERROR(VLOOKUP(Fact_Analitica[[#This Row], [Concepto Anterior]],Conceptos_Analítica_contraloría[#All],7,0),"")</f>
        <v/>
      </c>
      <c r="I2241" t="str">
        <f>+IFERROR(VLOOKUP(D2241,Conceptos_Analítica_contraloría[#All],2,0),"")</f>
        <v/>
      </c>
      <c r="J2241" s="84" t="str">
        <f>+IFERROR(VLOOKUP(D2241,Conceptos_Analítica_contraloría[#All],3,0),"")</f>
        <v/>
      </c>
    </row>
    <row r="2242" spans="3:10" ht="18.75" customHeight="1" x14ac:dyDescent="0.35">
      <c r="C2242" s="100" t="str">
        <f>IF(OR(Fact_Analitica[[#This Row], [Año]]="",Fact_Analitica[[#This Row], [Mes]]=""),"",DATE(A2242,MATCH(B2242,{"enero","febrero","marzo","abril","mayo","junio","julio","agosto","septiembre","octubre","noviembre","diciembre"},0)+1,0))</f>
        <v/>
      </c>
      <c r="E2242" t="str">
        <f>+IFERROR(VLOOKUP(Fact_Analitica[[#This Row], [Concepto Anterior]],Conceptos_Analítica_contraloría[#All],5,0),"")</f>
        <v/>
      </c>
      <c r="F2242" t="str">
        <f>+IFERROR(VLOOKUP(Fact_Analitica[[#This Row], [Concepto Anterior]],Conceptos_Analítica_contraloría[#All],7,0),"")</f>
        <v/>
      </c>
      <c r="I2242" t="str">
        <f>+IFERROR(VLOOKUP(D2242,Conceptos_Analítica_contraloría[#All],2,0),"")</f>
        <v/>
      </c>
      <c r="J2242" s="84" t="str">
        <f>+IFERROR(VLOOKUP(D2242,Conceptos_Analítica_contraloría[#All],3,0),"")</f>
        <v/>
      </c>
    </row>
    <row r="2243" spans="3:10" ht="18.75" customHeight="1" x14ac:dyDescent="0.35">
      <c r="C2243" s="100" t="str">
        <f>IF(OR(Fact_Analitica[[#This Row], [Año]]="",Fact_Analitica[[#This Row], [Mes]]=""),"",DATE(A2243,MATCH(B2243,{"enero","febrero","marzo","abril","mayo","junio","julio","agosto","septiembre","octubre","noviembre","diciembre"},0)+1,0))</f>
        <v/>
      </c>
      <c r="E2243" t="str">
        <f>+IFERROR(VLOOKUP(Fact_Analitica[[#This Row], [Concepto Anterior]],Conceptos_Analítica_contraloría[#All],5,0),"")</f>
        <v/>
      </c>
      <c r="F2243" t="str">
        <f>+IFERROR(VLOOKUP(Fact_Analitica[[#This Row], [Concepto Anterior]],Conceptos_Analítica_contraloría[#All],7,0),"")</f>
        <v/>
      </c>
      <c r="I2243" t="str">
        <f>+IFERROR(VLOOKUP(D2243,Conceptos_Analítica_contraloría[#All],2,0),"")</f>
        <v/>
      </c>
      <c r="J2243" s="84" t="str">
        <f>+IFERROR(VLOOKUP(D2243,Conceptos_Analítica_contraloría[#All],3,0),"")</f>
        <v/>
      </c>
    </row>
    <row r="2244" spans="3:10" ht="18.75" customHeight="1" x14ac:dyDescent="0.35">
      <c r="C2244" s="100" t="str">
        <f>IF(OR(Fact_Analitica[[#This Row], [Año]]="",Fact_Analitica[[#This Row], [Mes]]=""),"",DATE(A2244,MATCH(B2244,{"enero","febrero","marzo","abril","mayo","junio","julio","agosto","septiembre","octubre","noviembre","diciembre"},0)+1,0))</f>
        <v/>
      </c>
      <c r="E2244" t="str">
        <f>+IFERROR(VLOOKUP(Fact_Analitica[[#This Row], [Concepto Anterior]],Conceptos_Analítica_contraloría[#All],5,0),"")</f>
        <v/>
      </c>
      <c r="F2244" t="str">
        <f>+IFERROR(VLOOKUP(Fact_Analitica[[#This Row], [Concepto Anterior]],Conceptos_Analítica_contraloría[#All],7,0),"")</f>
        <v/>
      </c>
      <c r="I2244" t="str">
        <f>+IFERROR(VLOOKUP(D2244,Conceptos_Analítica_contraloría[#All],2,0),"")</f>
        <v/>
      </c>
      <c r="J2244" s="84" t="str">
        <f>+IFERROR(VLOOKUP(D2244,Conceptos_Analítica_contraloría[#All],3,0),"")</f>
        <v/>
      </c>
    </row>
    <row r="2245" spans="3:10" ht="18.75" customHeight="1" x14ac:dyDescent="0.35">
      <c r="C2245" s="100" t="str">
        <f>IF(OR(Fact_Analitica[[#This Row], [Año]]="",Fact_Analitica[[#This Row], [Mes]]=""),"",DATE(A2245,MATCH(B2245,{"enero","febrero","marzo","abril","mayo","junio","julio","agosto","septiembre","octubre","noviembre","diciembre"},0)+1,0))</f>
        <v/>
      </c>
      <c r="E2245" t="str">
        <f>+IFERROR(VLOOKUP(Fact_Analitica[[#This Row], [Concepto Anterior]],Conceptos_Analítica_contraloría[#All],5,0),"")</f>
        <v/>
      </c>
      <c r="F2245" t="str">
        <f>+IFERROR(VLOOKUP(Fact_Analitica[[#This Row], [Concepto Anterior]],Conceptos_Analítica_contraloría[#All],7,0),"")</f>
        <v/>
      </c>
      <c r="I2245" t="str">
        <f>+IFERROR(VLOOKUP(D2245,Conceptos_Analítica_contraloría[#All],2,0),"")</f>
        <v/>
      </c>
      <c r="J2245" s="84" t="str">
        <f>+IFERROR(VLOOKUP(D2245,Conceptos_Analítica_contraloría[#All],3,0),"")</f>
        <v/>
      </c>
    </row>
    <row r="2246" spans="3:10" ht="18.75" customHeight="1" x14ac:dyDescent="0.35">
      <c r="C2246" s="100" t="str">
        <f>IF(OR(Fact_Analitica[[#This Row], [Año]]="",Fact_Analitica[[#This Row], [Mes]]=""),"",DATE(A2246,MATCH(B2246,{"enero","febrero","marzo","abril","mayo","junio","julio","agosto","septiembre","octubre","noviembre","diciembre"},0)+1,0))</f>
        <v/>
      </c>
      <c r="E2246" t="str">
        <f>+IFERROR(VLOOKUP(Fact_Analitica[[#This Row], [Concepto Anterior]],Conceptos_Analítica_contraloría[#All],5,0),"")</f>
        <v/>
      </c>
      <c r="F2246" t="str">
        <f>+IFERROR(VLOOKUP(Fact_Analitica[[#This Row], [Concepto Anterior]],Conceptos_Analítica_contraloría[#All],7,0),"")</f>
        <v/>
      </c>
      <c r="I2246" t="str">
        <f>+IFERROR(VLOOKUP(D2246,Conceptos_Analítica_contraloría[#All],2,0),"")</f>
        <v/>
      </c>
      <c r="J2246" s="84" t="str">
        <f>+IFERROR(VLOOKUP(D2246,Conceptos_Analítica_contraloría[#All],3,0),"")</f>
        <v/>
      </c>
    </row>
    <row r="2247" spans="3:10" ht="18.75" customHeight="1" x14ac:dyDescent="0.35">
      <c r="C2247" s="100" t="str">
        <f>IF(OR(Fact_Analitica[[#This Row], [Año]]="",Fact_Analitica[[#This Row], [Mes]]=""),"",DATE(A2247,MATCH(B2247,{"enero","febrero","marzo","abril","mayo","junio","julio","agosto","septiembre","octubre","noviembre","diciembre"},0)+1,0))</f>
        <v/>
      </c>
      <c r="E2247" t="str">
        <f>+IFERROR(VLOOKUP(Fact_Analitica[[#This Row], [Concepto Anterior]],Conceptos_Analítica_contraloría[#All],5,0),"")</f>
        <v/>
      </c>
      <c r="F2247" t="str">
        <f>+IFERROR(VLOOKUP(Fact_Analitica[[#This Row], [Concepto Anterior]],Conceptos_Analítica_contraloría[#All],7,0),"")</f>
        <v/>
      </c>
      <c r="I2247" t="str">
        <f>+IFERROR(VLOOKUP(D2247,Conceptos_Analítica_contraloría[#All],2,0),"")</f>
        <v/>
      </c>
      <c r="J2247" s="84" t="str">
        <f>+IFERROR(VLOOKUP(D2247,Conceptos_Analítica_contraloría[#All],3,0),"")</f>
        <v/>
      </c>
    </row>
    <row r="2248" spans="3:10" ht="18.75" customHeight="1" x14ac:dyDescent="0.35">
      <c r="C2248" s="100" t="str">
        <f>IF(OR(Fact_Analitica[[#This Row], [Año]]="",Fact_Analitica[[#This Row], [Mes]]=""),"",DATE(A2248,MATCH(B2248,{"enero","febrero","marzo","abril","mayo","junio","julio","agosto","septiembre","octubre","noviembre","diciembre"},0)+1,0))</f>
        <v/>
      </c>
      <c r="E2248" t="str">
        <f>+IFERROR(VLOOKUP(Fact_Analitica[[#This Row], [Concepto Anterior]],Conceptos_Analítica_contraloría[#All],5,0),"")</f>
        <v/>
      </c>
      <c r="F2248" t="str">
        <f>+IFERROR(VLOOKUP(Fact_Analitica[[#This Row], [Concepto Anterior]],Conceptos_Analítica_contraloría[#All],7,0),"")</f>
        <v/>
      </c>
      <c r="I2248" t="str">
        <f>+IFERROR(VLOOKUP(D2248,Conceptos_Analítica_contraloría[#All],2,0),"")</f>
        <v/>
      </c>
      <c r="J2248" s="84" t="str">
        <f>+IFERROR(VLOOKUP(D2248,Conceptos_Analítica_contraloría[#All],3,0),"")</f>
        <v/>
      </c>
    </row>
    <row r="2249" spans="3:10" ht="18.75" customHeight="1" x14ac:dyDescent="0.35">
      <c r="C2249" s="100" t="str">
        <f>IF(OR(Fact_Analitica[[#This Row], [Año]]="",Fact_Analitica[[#This Row], [Mes]]=""),"",DATE(A2249,MATCH(B2249,{"enero","febrero","marzo","abril","mayo","junio","julio","agosto","septiembre","octubre","noviembre","diciembre"},0)+1,0))</f>
        <v/>
      </c>
      <c r="E2249" t="str">
        <f>+IFERROR(VLOOKUP(Fact_Analitica[[#This Row], [Concepto Anterior]],Conceptos_Analítica_contraloría[#All],5,0),"")</f>
        <v/>
      </c>
      <c r="F2249" t="str">
        <f>+IFERROR(VLOOKUP(Fact_Analitica[[#This Row], [Concepto Anterior]],Conceptos_Analítica_contraloría[#All],7,0),"")</f>
        <v/>
      </c>
      <c r="I2249" t="str">
        <f>+IFERROR(VLOOKUP(D2249,Conceptos_Analítica_contraloría[#All],2,0),"")</f>
        <v/>
      </c>
      <c r="J2249" s="84" t="str">
        <f>+IFERROR(VLOOKUP(D2249,Conceptos_Analítica_contraloría[#All],3,0),"")</f>
        <v/>
      </c>
    </row>
    <row r="2250" spans="3:10" ht="18.75" customHeight="1" x14ac:dyDescent="0.35">
      <c r="C2250" s="100" t="str">
        <f>IF(OR(Fact_Analitica[[#This Row], [Año]]="",Fact_Analitica[[#This Row], [Mes]]=""),"",DATE(A2250,MATCH(B2250,{"enero","febrero","marzo","abril","mayo","junio","julio","agosto","septiembre","octubre","noviembre","diciembre"},0)+1,0))</f>
        <v/>
      </c>
      <c r="E2250" t="str">
        <f>+IFERROR(VLOOKUP(Fact_Analitica[[#This Row], [Concepto Anterior]],Conceptos_Analítica_contraloría[#All],5,0),"")</f>
        <v/>
      </c>
      <c r="F2250" t="str">
        <f>+IFERROR(VLOOKUP(Fact_Analitica[[#This Row], [Concepto Anterior]],Conceptos_Analítica_contraloría[#All],7,0),"")</f>
        <v/>
      </c>
      <c r="I2250" t="str">
        <f>+IFERROR(VLOOKUP(D2250,Conceptos_Analítica_contraloría[#All],2,0),"")</f>
        <v/>
      </c>
      <c r="J2250" s="84" t="str">
        <f>+IFERROR(VLOOKUP(D2250,Conceptos_Analítica_contraloría[#All],3,0),"")</f>
        <v/>
      </c>
    </row>
    <row r="2251" spans="3:10" ht="18.75" customHeight="1" x14ac:dyDescent="0.35">
      <c r="C2251" s="100" t="str">
        <f>IF(OR(Fact_Analitica[[#This Row], [Año]]="",Fact_Analitica[[#This Row], [Mes]]=""),"",DATE(A2251,MATCH(B2251,{"enero","febrero","marzo","abril","mayo","junio","julio","agosto","septiembre","octubre","noviembre","diciembre"},0)+1,0))</f>
        <v/>
      </c>
      <c r="E2251" t="str">
        <f>+IFERROR(VLOOKUP(Fact_Analitica[[#This Row], [Concepto Anterior]],Conceptos_Analítica_contraloría[#All],5,0),"")</f>
        <v/>
      </c>
      <c r="F2251" t="str">
        <f>+IFERROR(VLOOKUP(Fact_Analitica[[#This Row], [Concepto Anterior]],Conceptos_Analítica_contraloría[#All],7,0),"")</f>
        <v/>
      </c>
      <c r="I2251" t="str">
        <f>+IFERROR(VLOOKUP(D2251,Conceptos_Analítica_contraloría[#All],2,0),"")</f>
        <v/>
      </c>
      <c r="J2251" s="84" t="str">
        <f>+IFERROR(VLOOKUP(D2251,Conceptos_Analítica_contraloría[#All],3,0),"")</f>
        <v/>
      </c>
    </row>
    <row r="2252" spans="3:10" ht="18.75" customHeight="1" x14ac:dyDescent="0.35">
      <c r="C2252" s="100" t="str">
        <f>IF(OR(Fact_Analitica[[#This Row], [Año]]="",Fact_Analitica[[#This Row], [Mes]]=""),"",DATE(A2252,MATCH(B2252,{"enero","febrero","marzo","abril","mayo","junio","julio","agosto","septiembre","octubre","noviembre","diciembre"},0)+1,0))</f>
        <v/>
      </c>
      <c r="E2252" t="str">
        <f>+IFERROR(VLOOKUP(Fact_Analitica[[#This Row], [Concepto Anterior]],Conceptos_Analítica_contraloría[#All],5,0),"")</f>
        <v/>
      </c>
      <c r="F2252" t="str">
        <f>+IFERROR(VLOOKUP(Fact_Analitica[[#This Row], [Concepto Anterior]],Conceptos_Analítica_contraloría[#All],7,0),"")</f>
        <v/>
      </c>
      <c r="I2252" t="str">
        <f>+IFERROR(VLOOKUP(D2252,Conceptos_Analítica_contraloría[#All],2,0),"")</f>
        <v/>
      </c>
      <c r="J2252" s="84" t="str">
        <f>+IFERROR(VLOOKUP(D2252,Conceptos_Analítica_contraloría[#All],3,0),"")</f>
        <v/>
      </c>
    </row>
    <row r="2253" spans="3:10" ht="18.75" customHeight="1" x14ac:dyDescent="0.35">
      <c r="C2253" s="100" t="str">
        <f>IF(OR(Fact_Analitica[[#This Row], [Año]]="",Fact_Analitica[[#This Row], [Mes]]=""),"",DATE(A2253,MATCH(B2253,{"enero","febrero","marzo","abril","mayo","junio","julio","agosto","septiembre","octubre","noviembre","diciembre"},0)+1,0))</f>
        <v/>
      </c>
      <c r="E2253" t="str">
        <f>+IFERROR(VLOOKUP(Fact_Analitica[[#This Row], [Concepto Anterior]],Conceptos_Analítica_contraloría[#All],5,0),"")</f>
        <v/>
      </c>
      <c r="F2253" t="str">
        <f>+IFERROR(VLOOKUP(Fact_Analitica[[#This Row], [Concepto Anterior]],Conceptos_Analítica_contraloría[#All],7,0),"")</f>
        <v/>
      </c>
      <c r="I2253" t="str">
        <f>+IFERROR(VLOOKUP(D2253,Conceptos_Analítica_contraloría[#All],2,0),"")</f>
        <v/>
      </c>
      <c r="J2253" s="84" t="str">
        <f>+IFERROR(VLOOKUP(D2253,Conceptos_Analítica_contraloría[#All],3,0),"")</f>
        <v/>
      </c>
    </row>
    <row r="2254" spans="3:10" ht="18.75" customHeight="1" x14ac:dyDescent="0.35">
      <c r="C2254" s="100" t="str">
        <f>IF(OR(Fact_Analitica[[#This Row], [Año]]="",Fact_Analitica[[#This Row], [Mes]]=""),"",DATE(A2254,MATCH(B2254,{"enero","febrero","marzo","abril","mayo","junio","julio","agosto","septiembre","octubre","noviembre","diciembre"},0)+1,0))</f>
        <v/>
      </c>
      <c r="E2254" t="str">
        <f>+IFERROR(VLOOKUP(Fact_Analitica[[#This Row], [Concepto Anterior]],Conceptos_Analítica_contraloría[#All],5,0),"")</f>
        <v/>
      </c>
      <c r="F2254" t="str">
        <f>+IFERROR(VLOOKUP(Fact_Analitica[[#This Row], [Concepto Anterior]],Conceptos_Analítica_contraloría[#All],7,0),"")</f>
        <v/>
      </c>
      <c r="I2254" t="str">
        <f>+IFERROR(VLOOKUP(D2254,Conceptos_Analítica_contraloría[#All],2,0),"")</f>
        <v/>
      </c>
      <c r="J2254" s="84" t="str">
        <f>+IFERROR(VLOOKUP(D2254,Conceptos_Analítica_contraloría[#All],3,0),"")</f>
        <v/>
      </c>
    </row>
    <row r="2255" spans="3:10" ht="18.75" customHeight="1" x14ac:dyDescent="0.35">
      <c r="C2255" s="100" t="str">
        <f>IF(OR(Fact_Analitica[[#This Row], [Año]]="",Fact_Analitica[[#This Row], [Mes]]=""),"",DATE(A2255,MATCH(B2255,{"enero","febrero","marzo","abril","mayo","junio","julio","agosto","septiembre","octubre","noviembre","diciembre"},0)+1,0))</f>
        <v/>
      </c>
      <c r="E2255" t="str">
        <f>+IFERROR(VLOOKUP(Fact_Analitica[[#This Row], [Concepto Anterior]],Conceptos_Analítica_contraloría[#All],5,0),"")</f>
        <v/>
      </c>
      <c r="F2255" t="str">
        <f>+IFERROR(VLOOKUP(Fact_Analitica[[#This Row], [Concepto Anterior]],Conceptos_Analítica_contraloría[#All],7,0),"")</f>
        <v/>
      </c>
      <c r="I2255" t="str">
        <f>+IFERROR(VLOOKUP(D2255,Conceptos_Analítica_contraloría[#All],2,0),"")</f>
        <v/>
      </c>
      <c r="J2255" s="84" t="str">
        <f>+IFERROR(VLOOKUP(D2255,Conceptos_Analítica_contraloría[#All],3,0),"")</f>
        <v/>
      </c>
    </row>
    <row r="2256" spans="3:10" ht="18.75" customHeight="1" x14ac:dyDescent="0.35">
      <c r="C2256" s="100" t="str">
        <f>IF(OR(Fact_Analitica[[#This Row], [Año]]="",Fact_Analitica[[#This Row], [Mes]]=""),"",DATE(A2256,MATCH(B2256,{"enero","febrero","marzo","abril","mayo","junio","julio","agosto","septiembre","octubre","noviembre","diciembre"},0)+1,0))</f>
        <v/>
      </c>
      <c r="E2256" t="str">
        <f>+IFERROR(VLOOKUP(Fact_Analitica[[#This Row], [Concepto Anterior]],Conceptos_Analítica_contraloría[#All],5,0),"")</f>
        <v/>
      </c>
      <c r="F2256" t="str">
        <f>+IFERROR(VLOOKUP(Fact_Analitica[[#This Row], [Concepto Anterior]],Conceptos_Analítica_contraloría[#All],7,0),"")</f>
        <v/>
      </c>
      <c r="I2256" t="str">
        <f>+IFERROR(VLOOKUP(D2256,Conceptos_Analítica_contraloría[#All],2,0),"")</f>
        <v/>
      </c>
      <c r="J2256" s="84" t="str">
        <f>+IFERROR(VLOOKUP(D2256,Conceptos_Analítica_contraloría[#All],3,0),"")</f>
        <v/>
      </c>
    </row>
    <row r="2257" spans="3:10" ht="18.75" customHeight="1" x14ac:dyDescent="0.35">
      <c r="C2257" s="100" t="str">
        <f>IF(OR(Fact_Analitica[[#This Row], [Año]]="",Fact_Analitica[[#This Row], [Mes]]=""),"",DATE(A2257,MATCH(B2257,{"enero","febrero","marzo","abril","mayo","junio","julio","agosto","septiembre","octubre","noviembre","diciembre"},0)+1,0))</f>
        <v/>
      </c>
      <c r="E2257" t="str">
        <f>+IFERROR(VLOOKUP(Fact_Analitica[[#This Row], [Concepto Anterior]],Conceptos_Analítica_contraloría[#All],5,0),"")</f>
        <v/>
      </c>
      <c r="F2257" t="str">
        <f>+IFERROR(VLOOKUP(Fact_Analitica[[#This Row], [Concepto Anterior]],Conceptos_Analítica_contraloría[#All],7,0),"")</f>
        <v/>
      </c>
      <c r="I2257" t="str">
        <f>+IFERROR(VLOOKUP(D2257,Conceptos_Analítica_contraloría[#All],2,0),"")</f>
        <v/>
      </c>
      <c r="J2257" s="84" t="str">
        <f>+IFERROR(VLOOKUP(D2257,Conceptos_Analítica_contraloría[#All],3,0),"")</f>
        <v/>
      </c>
    </row>
    <row r="2258" spans="3:10" ht="18.75" customHeight="1" x14ac:dyDescent="0.35">
      <c r="C2258" s="100" t="str">
        <f>IF(OR(Fact_Analitica[[#This Row], [Año]]="",Fact_Analitica[[#This Row], [Mes]]=""),"",DATE(A2258,MATCH(B2258,{"enero","febrero","marzo","abril","mayo","junio","julio","agosto","septiembre","octubre","noviembre","diciembre"},0)+1,0))</f>
        <v/>
      </c>
      <c r="E2258" t="str">
        <f>+IFERROR(VLOOKUP(Fact_Analitica[[#This Row], [Concepto Anterior]],Conceptos_Analítica_contraloría[#All],5,0),"")</f>
        <v/>
      </c>
      <c r="F2258" t="str">
        <f>+IFERROR(VLOOKUP(Fact_Analitica[[#This Row], [Concepto Anterior]],Conceptos_Analítica_contraloría[#All],7,0),"")</f>
        <v/>
      </c>
      <c r="I2258" t="str">
        <f>+IFERROR(VLOOKUP(D2258,Conceptos_Analítica_contraloría[#All],2,0),"")</f>
        <v/>
      </c>
      <c r="J2258" s="84" t="str">
        <f>+IFERROR(VLOOKUP(D2258,Conceptos_Analítica_contraloría[#All],3,0),"")</f>
        <v/>
      </c>
    </row>
    <row r="2259" spans="3:10" ht="18.75" customHeight="1" x14ac:dyDescent="0.35">
      <c r="C2259" s="100" t="str">
        <f>IF(OR(Fact_Analitica[[#This Row], [Año]]="",Fact_Analitica[[#This Row], [Mes]]=""),"",DATE(A2259,MATCH(B2259,{"enero","febrero","marzo","abril","mayo","junio","julio","agosto","septiembre","octubre","noviembre","diciembre"},0)+1,0))</f>
        <v/>
      </c>
      <c r="E2259" t="str">
        <f>+IFERROR(VLOOKUP(Fact_Analitica[[#This Row], [Concepto Anterior]],Conceptos_Analítica_contraloría[#All],5,0),"")</f>
        <v/>
      </c>
      <c r="F2259" t="str">
        <f>+IFERROR(VLOOKUP(Fact_Analitica[[#This Row], [Concepto Anterior]],Conceptos_Analítica_contraloría[#All],7,0),"")</f>
        <v/>
      </c>
      <c r="I2259" t="str">
        <f>+IFERROR(VLOOKUP(D2259,Conceptos_Analítica_contraloría[#All],2,0),"")</f>
        <v/>
      </c>
      <c r="J2259" s="84" t="str">
        <f>+IFERROR(VLOOKUP(D2259,Conceptos_Analítica_contraloría[#All],3,0),"")</f>
        <v/>
      </c>
    </row>
    <row r="2260" spans="3:10" ht="18.75" customHeight="1" x14ac:dyDescent="0.35">
      <c r="C2260" s="100" t="str">
        <f>IF(OR(Fact_Analitica[[#This Row], [Año]]="",Fact_Analitica[[#This Row], [Mes]]=""),"",DATE(A2260,MATCH(B2260,{"enero","febrero","marzo","abril","mayo","junio","julio","agosto","septiembre","octubre","noviembre","diciembre"},0)+1,0))</f>
        <v/>
      </c>
      <c r="E2260" t="str">
        <f>+IFERROR(VLOOKUP(Fact_Analitica[[#This Row], [Concepto Anterior]],Conceptos_Analítica_contraloría[#All],5,0),"")</f>
        <v/>
      </c>
      <c r="F2260" t="str">
        <f>+IFERROR(VLOOKUP(Fact_Analitica[[#This Row], [Concepto Anterior]],Conceptos_Analítica_contraloría[#All],7,0),"")</f>
        <v/>
      </c>
      <c r="I2260" t="str">
        <f>+IFERROR(VLOOKUP(D2260,Conceptos_Analítica_contraloría[#All],2,0),"")</f>
        <v/>
      </c>
      <c r="J2260" s="84" t="str">
        <f>+IFERROR(VLOOKUP(D2260,Conceptos_Analítica_contraloría[#All],3,0),"")</f>
        <v/>
      </c>
    </row>
    <row r="2261" spans="3:10" ht="18.75" customHeight="1" x14ac:dyDescent="0.35">
      <c r="C2261" s="100" t="str">
        <f>IF(OR(Fact_Analitica[[#This Row], [Año]]="",Fact_Analitica[[#This Row], [Mes]]=""),"",DATE(A2261,MATCH(B2261,{"enero","febrero","marzo","abril","mayo","junio","julio","agosto","septiembre","octubre","noviembre","diciembre"},0)+1,0))</f>
        <v/>
      </c>
      <c r="E2261" t="str">
        <f>+IFERROR(VLOOKUP(Fact_Analitica[[#This Row], [Concepto Anterior]],Conceptos_Analítica_contraloría[#All],5,0),"")</f>
        <v/>
      </c>
      <c r="F2261" t="str">
        <f>+IFERROR(VLOOKUP(Fact_Analitica[[#This Row], [Concepto Anterior]],Conceptos_Analítica_contraloría[#All],7,0),"")</f>
        <v/>
      </c>
      <c r="I2261" t="str">
        <f>+IFERROR(VLOOKUP(D2261,Conceptos_Analítica_contraloría[#All],2,0),"")</f>
        <v/>
      </c>
      <c r="J2261" s="84" t="str">
        <f>+IFERROR(VLOOKUP(D2261,Conceptos_Analítica_contraloría[#All],3,0),"")</f>
        <v/>
      </c>
    </row>
    <row r="2262" spans="3:10" ht="18.75" customHeight="1" x14ac:dyDescent="0.35">
      <c r="C2262" s="100" t="str">
        <f>IF(OR(Fact_Analitica[[#This Row], [Año]]="",Fact_Analitica[[#This Row], [Mes]]=""),"",DATE(A2262,MATCH(B2262,{"enero","febrero","marzo","abril","mayo","junio","julio","agosto","septiembre","octubre","noviembre","diciembre"},0)+1,0))</f>
        <v/>
      </c>
      <c r="E2262" t="str">
        <f>+IFERROR(VLOOKUP(Fact_Analitica[[#This Row], [Concepto Anterior]],Conceptos_Analítica_contraloría[#All],5,0),"")</f>
        <v/>
      </c>
      <c r="F2262" t="str">
        <f>+IFERROR(VLOOKUP(Fact_Analitica[[#This Row], [Concepto Anterior]],Conceptos_Analítica_contraloría[#All],7,0),"")</f>
        <v/>
      </c>
      <c r="I2262" t="str">
        <f>+IFERROR(VLOOKUP(D2262,Conceptos_Analítica_contraloría[#All],2,0),"")</f>
        <v/>
      </c>
      <c r="J2262" s="84" t="str">
        <f>+IFERROR(VLOOKUP(D2262,Conceptos_Analítica_contraloría[#All],3,0),"")</f>
        <v/>
      </c>
    </row>
    <row r="2263" spans="3:10" ht="18.75" customHeight="1" x14ac:dyDescent="0.35">
      <c r="C2263" s="100" t="str">
        <f>IF(OR(Fact_Analitica[[#This Row], [Año]]="",Fact_Analitica[[#This Row], [Mes]]=""),"",DATE(A2263,MATCH(B2263,{"enero","febrero","marzo","abril","mayo","junio","julio","agosto","septiembre","octubre","noviembre","diciembre"},0)+1,0))</f>
        <v/>
      </c>
      <c r="E2263" t="str">
        <f>+IFERROR(VLOOKUP(Fact_Analitica[[#This Row], [Concepto Anterior]],Conceptos_Analítica_contraloría[#All],5,0),"")</f>
        <v/>
      </c>
      <c r="F2263" t="str">
        <f>+IFERROR(VLOOKUP(Fact_Analitica[[#This Row], [Concepto Anterior]],Conceptos_Analítica_contraloría[#All],7,0),"")</f>
        <v/>
      </c>
      <c r="I2263" t="str">
        <f>+IFERROR(VLOOKUP(D2263,Conceptos_Analítica_contraloría[#All],2,0),"")</f>
        <v/>
      </c>
      <c r="J2263" s="84" t="str">
        <f>+IFERROR(VLOOKUP(D2263,Conceptos_Analítica_contraloría[#All],3,0),"")</f>
        <v/>
      </c>
    </row>
    <row r="2264" spans="3:10" ht="18.75" customHeight="1" x14ac:dyDescent="0.35">
      <c r="C2264" s="100" t="str">
        <f>IF(OR(Fact_Analitica[[#This Row], [Año]]="",Fact_Analitica[[#This Row], [Mes]]=""),"",DATE(A2264,MATCH(B2264,{"enero","febrero","marzo","abril","mayo","junio","julio","agosto","septiembre","octubre","noviembre","diciembre"},0)+1,0))</f>
        <v/>
      </c>
      <c r="E2264" t="str">
        <f>+IFERROR(VLOOKUP(Fact_Analitica[[#This Row], [Concepto Anterior]],Conceptos_Analítica_contraloría[#All],5,0),"")</f>
        <v/>
      </c>
      <c r="F2264" t="str">
        <f>+IFERROR(VLOOKUP(Fact_Analitica[[#This Row], [Concepto Anterior]],Conceptos_Analítica_contraloría[#All],7,0),"")</f>
        <v/>
      </c>
      <c r="I2264" t="str">
        <f>+IFERROR(VLOOKUP(D2264,Conceptos_Analítica_contraloría[#All],2,0),"")</f>
        <v/>
      </c>
      <c r="J2264" s="84" t="str">
        <f>+IFERROR(VLOOKUP(D2264,Conceptos_Analítica_contraloría[#All],3,0),"")</f>
        <v/>
      </c>
    </row>
    <row r="2265" spans="3:10" ht="18.75" customHeight="1" x14ac:dyDescent="0.35">
      <c r="C2265" s="100" t="str">
        <f>IF(OR(Fact_Analitica[[#This Row], [Año]]="",Fact_Analitica[[#This Row], [Mes]]=""),"",DATE(A2265,MATCH(B2265,{"enero","febrero","marzo","abril","mayo","junio","julio","agosto","septiembre","octubre","noviembre","diciembre"},0)+1,0))</f>
        <v/>
      </c>
      <c r="E2265" t="str">
        <f>+IFERROR(VLOOKUP(Fact_Analitica[[#This Row], [Concepto Anterior]],Conceptos_Analítica_contraloría[#All],5,0),"")</f>
        <v/>
      </c>
      <c r="F2265" t="str">
        <f>+IFERROR(VLOOKUP(Fact_Analitica[[#This Row], [Concepto Anterior]],Conceptos_Analítica_contraloría[#All],7,0),"")</f>
        <v/>
      </c>
      <c r="I2265" t="str">
        <f>+IFERROR(VLOOKUP(D2265,Conceptos_Analítica_contraloría[#All],2,0),"")</f>
        <v/>
      </c>
      <c r="J2265" s="84" t="str">
        <f>+IFERROR(VLOOKUP(D2265,Conceptos_Analítica_contraloría[#All],3,0),"")</f>
        <v/>
      </c>
    </row>
    <row r="2266" spans="3:10" ht="18.75" customHeight="1" x14ac:dyDescent="0.35">
      <c r="C2266" s="100" t="str">
        <f>IF(OR(Fact_Analitica[[#This Row], [Año]]="",Fact_Analitica[[#This Row], [Mes]]=""),"",DATE(A2266,MATCH(B2266,{"enero","febrero","marzo","abril","mayo","junio","julio","agosto","septiembre","octubre","noviembre","diciembre"},0)+1,0))</f>
        <v/>
      </c>
      <c r="E2266" t="str">
        <f>+IFERROR(VLOOKUP(Fact_Analitica[[#This Row], [Concepto Anterior]],Conceptos_Analítica_contraloría[#All],5,0),"")</f>
        <v/>
      </c>
      <c r="F2266" t="str">
        <f>+IFERROR(VLOOKUP(Fact_Analitica[[#This Row], [Concepto Anterior]],Conceptos_Analítica_contraloría[#All],7,0),"")</f>
        <v/>
      </c>
      <c r="I2266" t="str">
        <f>+IFERROR(VLOOKUP(D2266,Conceptos_Analítica_contraloría[#All],2,0),"")</f>
        <v/>
      </c>
      <c r="J2266" s="84" t="str">
        <f>+IFERROR(VLOOKUP(D2266,Conceptos_Analítica_contraloría[#All],3,0),"")</f>
        <v/>
      </c>
    </row>
    <row r="2267" spans="3:10" ht="18.75" customHeight="1" x14ac:dyDescent="0.35">
      <c r="C2267" s="100" t="str">
        <f>IF(OR(Fact_Analitica[[#This Row], [Año]]="",Fact_Analitica[[#This Row], [Mes]]=""),"",DATE(A2267,MATCH(B2267,{"enero","febrero","marzo","abril","mayo","junio","julio","agosto","septiembre","octubre","noviembre","diciembre"},0)+1,0))</f>
        <v/>
      </c>
      <c r="E2267" t="str">
        <f>+IFERROR(VLOOKUP(Fact_Analitica[[#This Row], [Concepto Anterior]],Conceptos_Analítica_contraloría[#All],5,0),"")</f>
        <v/>
      </c>
      <c r="F2267" t="str">
        <f>+IFERROR(VLOOKUP(Fact_Analitica[[#This Row], [Concepto Anterior]],Conceptos_Analítica_contraloría[#All],7,0),"")</f>
        <v/>
      </c>
      <c r="I2267" t="str">
        <f>+IFERROR(VLOOKUP(D2267,Conceptos_Analítica_contraloría[#All],2,0),"")</f>
        <v/>
      </c>
      <c r="J2267" s="84" t="str">
        <f>+IFERROR(VLOOKUP(D2267,Conceptos_Analítica_contraloría[#All],3,0),"")</f>
        <v/>
      </c>
    </row>
    <row r="2268" spans="3:10" ht="18.75" customHeight="1" x14ac:dyDescent="0.35">
      <c r="C2268" s="100" t="str">
        <f>IF(OR(Fact_Analitica[[#This Row], [Año]]="",Fact_Analitica[[#This Row], [Mes]]=""),"",DATE(A2268,MATCH(B2268,{"enero","febrero","marzo","abril","mayo","junio","julio","agosto","septiembre","octubre","noviembre","diciembre"},0)+1,0))</f>
        <v/>
      </c>
      <c r="E2268" t="str">
        <f>+IFERROR(VLOOKUP(Fact_Analitica[[#This Row], [Concepto Anterior]],Conceptos_Analítica_contraloría[#All],5,0),"")</f>
        <v/>
      </c>
      <c r="F2268" t="str">
        <f>+IFERROR(VLOOKUP(Fact_Analitica[[#This Row], [Concepto Anterior]],Conceptos_Analítica_contraloría[#All],7,0),"")</f>
        <v/>
      </c>
      <c r="I2268" t="str">
        <f>+IFERROR(VLOOKUP(D2268,Conceptos_Analítica_contraloría[#All],2,0),"")</f>
        <v/>
      </c>
      <c r="J2268" s="84" t="str">
        <f>+IFERROR(VLOOKUP(D2268,Conceptos_Analítica_contraloría[#All],3,0),"")</f>
        <v/>
      </c>
    </row>
    <row r="2269" spans="3:10" ht="18.75" customHeight="1" x14ac:dyDescent="0.35">
      <c r="C2269" s="100" t="str">
        <f>IF(OR(Fact_Analitica[[#This Row], [Año]]="",Fact_Analitica[[#This Row], [Mes]]=""),"",DATE(A2269,MATCH(B2269,{"enero","febrero","marzo","abril","mayo","junio","julio","agosto","septiembre","octubre","noviembre","diciembre"},0)+1,0))</f>
        <v/>
      </c>
      <c r="E2269" t="str">
        <f>+IFERROR(VLOOKUP(Fact_Analitica[[#This Row], [Concepto Anterior]],Conceptos_Analítica_contraloría[#All],5,0),"")</f>
        <v/>
      </c>
      <c r="F2269" t="str">
        <f>+IFERROR(VLOOKUP(Fact_Analitica[[#This Row], [Concepto Anterior]],Conceptos_Analítica_contraloría[#All],7,0),"")</f>
        <v/>
      </c>
      <c r="I2269" t="str">
        <f>+IFERROR(VLOOKUP(D2269,Conceptos_Analítica_contraloría[#All],2,0),"")</f>
        <v/>
      </c>
      <c r="J2269" s="84" t="str">
        <f>+IFERROR(VLOOKUP(D2269,Conceptos_Analítica_contraloría[#All],3,0),"")</f>
        <v/>
      </c>
    </row>
    <row r="2270" spans="3:10" ht="18.75" customHeight="1" x14ac:dyDescent="0.35">
      <c r="C2270" s="100" t="str">
        <f>IF(OR(Fact_Analitica[[#This Row], [Año]]="",Fact_Analitica[[#This Row], [Mes]]=""),"",DATE(A2270,MATCH(B2270,{"enero","febrero","marzo","abril","mayo","junio","julio","agosto","septiembre","octubre","noviembre","diciembre"},0)+1,0))</f>
        <v/>
      </c>
      <c r="E2270" t="str">
        <f>+IFERROR(VLOOKUP(Fact_Analitica[[#This Row], [Concepto Anterior]],Conceptos_Analítica_contraloría[#All],5,0),"")</f>
        <v/>
      </c>
      <c r="F2270" t="str">
        <f>+IFERROR(VLOOKUP(Fact_Analitica[[#This Row], [Concepto Anterior]],Conceptos_Analítica_contraloría[#All],7,0),"")</f>
        <v/>
      </c>
      <c r="I2270" t="str">
        <f>+IFERROR(VLOOKUP(D2270,Conceptos_Analítica_contraloría[#All],2,0),"")</f>
        <v/>
      </c>
      <c r="J2270" s="84" t="str">
        <f>+IFERROR(VLOOKUP(D2270,Conceptos_Analítica_contraloría[#All],3,0),"")</f>
        <v/>
      </c>
    </row>
    <row r="2271" spans="3:10" ht="18.75" customHeight="1" x14ac:dyDescent="0.35">
      <c r="C2271" s="100" t="str">
        <f>IF(OR(Fact_Analitica[[#This Row], [Año]]="",Fact_Analitica[[#This Row], [Mes]]=""),"",DATE(A2271,MATCH(B2271,{"enero","febrero","marzo","abril","mayo","junio","julio","agosto","septiembre","octubre","noviembre","diciembre"},0)+1,0))</f>
        <v/>
      </c>
      <c r="E2271" t="str">
        <f>+IFERROR(VLOOKUP(Fact_Analitica[[#This Row], [Concepto Anterior]],Conceptos_Analítica_contraloría[#All],5,0),"")</f>
        <v/>
      </c>
      <c r="F2271" t="str">
        <f>+IFERROR(VLOOKUP(Fact_Analitica[[#This Row], [Concepto Anterior]],Conceptos_Analítica_contraloría[#All],7,0),"")</f>
        <v/>
      </c>
      <c r="I2271" t="str">
        <f>+IFERROR(VLOOKUP(D2271,Conceptos_Analítica_contraloría[#All],2,0),"")</f>
        <v/>
      </c>
      <c r="J2271" s="84" t="str">
        <f>+IFERROR(VLOOKUP(D2271,Conceptos_Analítica_contraloría[#All],3,0),"")</f>
        <v/>
      </c>
    </row>
    <row r="2272" spans="3:10" ht="18.75" customHeight="1" x14ac:dyDescent="0.35">
      <c r="C2272" s="100" t="str">
        <f>IF(OR(Fact_Analitica[[#This Row], [Año]]="",Fact_Analitica[[#This Row], [Mes]]=""),"",DATE(A2272,MATCH(B2272,{"enero","febrero","marzo","abril","mayo","junio","julio","agosto","septiembre","octubre","noviembre","diciembre"},0)+1,0))</f>
        <v/>
      </c>
      <c r="E2272" t="str">
        <f>+IFERROR(VLOOKUP(Fact_Analitica[[#This Row], [Concepto Anterior]],Conceptos_Analítica_contraloría[#All],5,0),"")</f>
        <v/>
      </c>
      <c r="F2272" t="str">
        <f>+IFERROR(VLOOKUP(Fact_Analitica[[#This Row], [Concepto Anterior]],Conceptos_Analítica_contraloría[#All],7,0),"")</f>
        <v/>
      </c>
      <c r="I2272" t="str">
        <f>+IFERROR(VLOOKUP(D2272,Conceptos_Analítica_contraloría[#All],2,0),"")</f>
        <v/>
      </c>
      <c r="J2272" s="84" t="str">
        <f>+IFERROR(VLOOKUP(D2272,Conceptos_Analítica_contraloría[#All],3,0),"")</f>
        <v/>
      </c>
    </row>
    <row r="2273" spans="3:10" ht="18.75" customHeight="1" x14ac:dyDescent="0.35">
      <c r="C2273" s="100" t="str">
        <f>IF(OR(Fact_Analitica[[#This Row], [Año]]="",Fact_Analitica[[#This Row], [Mes]]=""),"",DATE(A2273,MATCH(B2273,{"enero","febrero","marzo","abril","mayo","junio","julio","agosto","septiembre","octubre","noviembre","diciembre"},0)+1,0))</f>
        <v/>
      </c>
      <c r="E2273" t="str">
        <f>+IFERROR(VLOOKUP(Fact_Analitica[[#This Row], [Concepto Anterior]],Conceptos_Analítica_contraloría[#All],5,0),"")</f>
        <v/>
      </c>
      <c r="F2273" t="str">
        <f>+IFERROR(VLOOKUP(Fact_Analitica[[#This Row], [Concepto Anterior]],Conceptos_Analítica_contraloría[#All],7,0),"")</f>
        <v/>
      </c>
      <c r="I2273" t="str">
        <f>+IFERROR(VLOOKUP(D2273,Conceptos_Analítica_contraloría[#All],2,0),"")</f>
        <v/>
      </c>
      <c r="J2273" s="84" t="str">
        <f>+IFERROR(VLOOKUP(D2273,Conceptos_Analítica_contraloría[#All],3,0),"")</f>
        <v/>
      </c>
    </row>
    <row r="2274" spans="3:10" ht="18.75" customHeight="1" x14ac:dyDescent="0.35">
      <c r="C2274" s="100" t="str">
        <f>IF(OR(Fact_Analitica[[#This Row], [Año]]="",Fact_Analitica[[#This Row], [Mes]]=""),"",DATE(A2274,MATCH(B2274,{"enero","febrero","marzo","abril","mayo","junio","julio","agosto","septiembre","octubre","noviembre","diciembre"},0)+1,0))</f>
        <v/>
      </c>
      <c r="E2274" t="str">
        <f>+IFERROR(VLOOKUP(Fact_Analitica[[#This Row], [Concepto Anterior]],Conceptos_Analítica_contraloría[#All],5,0),"")</f>
        <v/>
      </c>
      <c r="F2274" t="str">
        <f>+IFERROR(VLOOKUP(Fact_Analitica[[#This Row], [Concepto Anterior]],Conceptos_Analítica_contraloría[#All],7,0),"")</f>
        <v/>
      </c>
      <c r="I2274" t="str">
        <f>+IFERROR(VLOOKUP(D2274,Conceptos_Analítica_contraloría[#All],2,0),"")</f>
        <v/>
      </c>
      <c r="J2274" s="84" t="str">
        <f>+IFERROR(VLOOKUP(D2274,Conceptos_Analítica_contraloría[#All],3,0),"")</f>
        <v/>
      </c>
    </row>
    <row r="2275" spans="3:10" ht="18.75" customHeight="1" x14ac:dyDescent="0.35">
      <c r="C2275" s="100" t="str">
        <f>IF(OR(Fact_Analitica[[#This Row], [Año]]="",Fact_Analitica[[#This Row], [Mes]]=""),"",DATE(A2275,MATCH(B2275,{"enero","febrero","marzo","abril","mayo","junio","julio","agosto","septiembre","octubre","noviembre","diciembre"},0)+1,0))</f>
        <v/>
      </c>
      <c r="E2275" t="str">
        <f>+IFERROR(VLOOKUP(Fact_Analitica[[#This Row], [Concepto Anterior]],Conceptos_Analítica_contraloría[#All],5,0),"")</f>
        <v/>
      </c>
      <c r="F2275" t="str">
        <f>+IFERROR(VLOOKUP(Fact_Analitica[[#This Row], [Concepto Anterior]],Conceptos_Analítica_contraloría[#All],7,0),"")</f>
        <v/>
      </c>
      <c r="I2275" t="str">
        <f>+IFERROR(VLOOKUP(D2275,Conceptos_Analítica_contraloría[#All],2,0),"")</f>
        <v/>
      </c>
      <c r="J2275" s="84" t="str">
        <f>+IFERROR(VLOOKUP(D2275,Conceptos_Analítica_contraloría[#All],3,0),"")</f>
        <v/>
      </c>
    </row>
    <row r="2276" spans="3:10" ht="18.75" customHeight="1" x14ac:dyDescent="0.35">
      <c r="C2276" s="100" t="str">
        <f>IF(OR(Fact_Analitica[[#This Row], [Año]]="",Fact_Analitica[[#This Row], [Mes]]=""),"",DATE(A2276,MATCH(B2276,{"enero","febrero","marzo","abril","mayo","junio","julio","agosto","septiembre","octubre","noviembre","diciembre"},0)+1,0))</f>
        <v/>
      </c>
      <c r="E2276" t="str">
        <f>+IFERROR(VLOOKUP(Fact_Analitica[[#This Row], [Concepto Anterior]],Conceptos_Analítica_contraloría[#All],5,0),"")</f>
        <v/>
      </c>
      <c r="F2276" t="str">
        <f>+IFERROR(VLOOKUP(Fact_Analitica[[#This Row], [Concepto Anterior]],Conceptos_Analítica_contraloría[#All],7,0),"")</f>
        <v/>
      </c>
      <c r="I2276" t="str">
        <f>+IFERROR(VLOOKUP(D2276,Conceptos_Analítica_contraloría[#All],2,0),"")</f>
        <v/>
      </c>
      <c r="J2276" s="84" t="str">
        <f>+IFERROR(VLOOKUP(D2276,Conceptos_Analítica_contraloría[#All],3,0),"")</f>
        <v/>
      </c>
    </row>
    <row r="2277" spans="3:10" ht="18.75" customHeight="1" x14ac:dyDescent="0.35">
      <c r="C2277" s="100" t="str">
        <f>IF(OR(Fact_Analitica[[#This Row], [Año]]="",Fact_Analitica[[#This Row], [Mes]]=""),"",DATE(A2277,MATCH(B2277,{"enero","febrero","marzo","abril","mayo","junio","julio","agosto","septiembre","octubre","noviembre","diciembre"},0)+1,0))</f>
        <v/>
      </c>
      <c r="E2277" t="str">
        <f>+IFERROR(VLOOKUP(Fact_Analitica[[#This Row], [Concepto Anterior]],Conceptos_Analítica_contraloría[#All],5,0),"")</f>
        <v/>
      </c>
      <c r="F2277" t="str">
        <f>+IFERROR(VLOOKUP(Fact_Analitica[[#This Row], [Concepto Anterior]],Conceptos_Analítica_contraloría[#All],7,0),"")</f>
        <v/>
      </c>
      <c r="I2277" t="str">
        <f>+IFERROR(VLOOKUP(D2277,Conceptos_Analítica_contraloría[#All],2,0),"")</f>
        <v/>
      </c>
      <c r="J2277" s="84" t="str">
        <f>+IFERROR(VLOOKUP(D2277,Conceptos_Analítica_contraloría[#All],3,0),"")</f>
        <v/>
      </c>
    </row>
    <row r="2278" spans="3:10" ht="18.75" customHeight="1" x14ac:dyDescent="0.35">
      <c r="C2278" s="100" t="str">
        <f>IF(OR(Fact_Analitica[[#This Row], [Año]]="",Fact_Analitica[[#This Row], [Mes]]=""),"",DATE(A2278,MATCH(B2278,{"enero","febrero","marzo","abril","mayo","junio","julio","agosto","septiembre","octubre","noviembre","diciembre"},0)+1,0))</f>
        <v/>
      </c>
      <c r="E2278" t="str">
        <f>+IFERROR(VLOOKUP(Fact_Analitica[[#This Row], [Concepto Anterior]],Conceptos_Analítica_contraloría[#All],5,0),"")</f>
        <v/>
      </c>
      <c r="F2278" t="str">
        <f>+IFERROR(VLOOKUP(Fact_Analitica[[#This Row], [Concepto Anterior]],Conceptos_Analítica_contraloría[#All],7,0),"")</f>
        <v/>
      </c>
      <c r="I2278" t="str">
        <f>+IFERROR(VLOOKUP(D2278,Conceptos_Analítica_contraloría[#All],2,0),"")</f>
        <v/>
      </c>
      <c r="J2278" s="84" t="str">
        <f>+IFERROR(VLOOKUP(D2278,Conceptos_Analítica_contraloría[#All],3,0),"")</f>
        <v/>
      </c>
    </row>
    <row r="2279" spans="3:10" ht="18.75" customHeight="1" x14ac:dyDescent="0.35">
      <c r="C2279" s="100" t="str">
        <f>IF(OR(Fact_Analitica[[#This Row], [Año]]="",Fact_Analitica[[#This Row], [Mes]]=""),"",DATE(A2279,MATCH(B2279,{"enero","febrero","marzo","abril","mayo","junio","julio","agosto","septiembre","octubre","noviembre","diciembre"},0)+1,0))</f>
        <v/>
      </c>
      <c r="E2279" t="str">
        <f>+IFERROR(VLOOKUP(Fact_Analitica[[#This Row], [Concepto Anterior]],Conceptos_Analítica_contraloría[#All],5,0),"")</f>
        <v/>
      </c>
      <c r="F2279" t="str">
        <f>+IFERROR(VLOOKUP(Fact_Analitica[[#This Row], [Concepto Anterior]],Conceptos_Analítica_contraloría[#All],7,0),"")</f>
        <v/>
      </c>
      <c r="I2279" t="str">
        <f>+IFERROR(VLOOKUP(D2279,Conceptos_Analítica_contraloría[#All],2,0),"")</f>
        <v/>
      </c>
      <c r="J2279" s="84" t="str">
        <f>+IFERROR(VLOOKUP(D2279,Conceptos_Analítica_contraloría[#All],3,0),"")</f>
        <v/>
      </c>
    </row>
    <row r="2280" spans="3:10" ht="18.75" customHeight="1" x14ac:dyDescent="0.35">
      <c r="C2280" s="100" t="str">
        <f>IF(OR(Fact_Analitica[[#This Row], [Año]]="",Fact_Analitica[[#This Row], [Mes]]=""),"",DATE(A2280,MATCH(B2280,{"enero","febrero","marzo","abril","mayo","junio","julio","agosto","septiembre","octubre","noviembre","diciembre"},0)+1,0))</f>
        <v/>
      </c>
      <c r="E2280" t="str">
        <f>+IFERROR(VLOOKUP(Fact_Analitica[[#This Row], [Concepto Anterior]],Conceptos_Analítica_contraloría[#All],5,0),"")</f>
        <v/>
      </c>
      <c r="F2280" t="str">
        <f>+IFERROR(VLOOKUP(Fact_Analitica[[#This Row], [Concepto Anterior]],Conceptos_Analítica_contraloría[#All],7,0),"")</f>
        <v/>
      </c>
      <c r="I2280" t="str">
        <f>+IFERROR(VLOOKUP(D2280,Conceptos_Analítica_contraloría[#All],2,0),"")</f>
        <v/>
      </c>
      <c r="J2280" s="84" t="str">
        <f>+IFERROR(VLOOKUP(D2280,Conceptos_Analítica_contraloría[#All],3,0),"")</f>
        <v/>
      </c>
    </row>
    <row r="2281" spans="3:10" ht="18.75" customHeight="1" x14ac:dyDescent="0.35">
      <c r="C2281" s="100" t="str">
        <f>IF(OR(Fact_Analitica[[#This Row], [Año]]="",Fact_Analitica[[#This Row], [Mes]]=""),"",DATE(A2281,MATCH(B2281,{"enero","febrero","marzo","abril","mayo","junio","julio","agosto","septiembre","octubre","noviembre","diciembre"},0)+1,0))</f>
        <v/>
      </c>
      <c r="E2281" t="str">
        <f>+IFERROR(VLOOKUP(Fact_Analitica[[#This Row], [Concepto Anterior]],Conceptos_Analítica_contraloría[#All],5,0),"")</f>
        <v/>
      </c>
      <c r="F2281" t="str">
        <f>+IFERROR(VLOOKUP(Fact_Analitica[[#This Row], [Concepto Anterior]],Conceptos_Analítica_contraloría[#All],7,0),"")</f>
        <v/>
      </c>
      <c r="I2281" t="str">
        <f>+IFERROR(VLOOKUP(D2281,Conceptos_Analítica_contraloría[#All],2,0),"")</f>
        <v/>
      </c>
      <c r="J2281" s="84" t="str">
        <f>+IFERROR(VLOOKUP(D2281,Conceptos_Analítica_contraloría[#All],3,0),"")</f>
        <v/>
      </c>
    </row>
    <row r="2282" spans="3:10" ht="18.75" customHeight="1" x14ac:dyDescent="0.35">
      <c r="C2282" s="100" t="str">
        <f>IF(OR(Fact_Analitica[[#This Row], [Año]]="",Fact_Analitica[[#This Row], [Mes]]=""),"",DATE(A2282,MATCH(B2282,{"enero","febrero","marzo","abril","mayo","junio","julio","agosto","septiembre","octubre","noviembre","diciembre"},0)+1,0))</f>
        <v/>
      </c>
      <c r="E2282" t="str">
        <f>+IFERROR(VLOOKUP(Fact_Analitica[[#This Row], [Concepto Anterior]],Conceptos_Analítica_contraloría[#All],5,0),"")</f>
        <v/>
      </c>
      <c r="F2282" t="str">
        <f>+IFERROR(VLOOKUP(Fact_Analitica[[#This Row], [Concepto Anterior]],Conceptos_Analítica_contraloría[#All],7,0),"")</f>
        <v/>
      </c>
      <c r="I2282" t="str">
        <f>+IFERROR(VLOOKUP(D2282,Conceptos_Analítica_contraloría[#All],2,0),"")</f>
        <v/>
      </c>
      <c r="J2282" s="84" t="str">
        <f>+IFERROR(VLOOKUP(D2282,Conceptos_Analítica_contraloría[#All],3,0),"")</f>
        <v/>
      </c>
    </row>
    <row r="2283" spans="3:10" ht="18.75" customHeight="1" x14ac:dyDescent="0.35">
      <c r="C2283" s="100" t="str">
        <f>IF(OR(Fact_Analitica[[#This Row], [Año]]="",Fact_Analitica[[#This Row], [Mes]]=""),"",DATE(A2283,MATCH(B2283,{"enero","febrero","marzo","abril","mayo","junio","julio","agosto","septiembre","octubre","noviembre","diciembre"},0)+1,0))</f>
        <v/>
      </c>
      <c r="E2283" t="str">
        <f>+IFERROR(VLOOKUP(Fact_Analitica[[#This Row], [Concepto Anterior]],Conceptos_Analítica_contraloría[#All],5,0),"")</f>
        <v/>
      </c>
      <c r="F2283" t="str">
        <f>+IFERROR(VLOOKUP(Fact_Analitica[[#This Row], [Concepto Anterior]],Conceptos_Analítica_contraloría[#All],7,0),"")</f>
        <v/>
      </c>
      <c r="I2283" t="str">
        <f>+IFERROR(VLOOKUP(D2283,Conceptos_Analítica_contraloría[#All],2,0),"")</f>
        <v/>
      </c>
      <c r="J2283" s="84" t="str">
        <f>+IFERROR(VLOOKUP(D2283,Conceptos_Analítica_contraloría[#All],3,0),"")</f>
        <v/>
      </c>
    </row>
    <row r="2284" spans="3:10" ht="18.75" customHeight="1" x14ac:dyDescent="0.35">
      <c r="C2284" s="100" t="str">
        <f>IF(OR(Fact_Analitica[[#This Row], [Año]]="",Fact_Analitica[[#This Row], [Mes]]=""),"",DATE(A2284,MATCH(B2284,{"enero","febrero","marzo","abril","mayo","junio","julio","agosto","septiembre","octubre","noviembre","diciembre"},0)+1,0))</f>
        <v/>
      </c>
      <c r="E2284" t="str">
        <f>+IFERROR(VLOOKUP(Fact_Analitica[[#This Row], [Concepto Anterior]],Conceptos_Analítica_contraloría[#All],5,0),"")</f>
        <v/>
      </c>
      <c r="F2284" t="str">
        <f>+IFERROR(VLOOKUP(Fact_Analitica[[#This Row], [Concepto Anterior]],Conceptos_Analítica_contraloría[#All],7,0),"")</f>
        <v/>
      </c>
      <c r="I2284" t="str">
        <f>+IFERROR(VLOOKUP(D2284,Conceptos_Analítica_contraloría[#All],2,0),"")</f>
        <v/>
      </c>
      <c r="J2284" s="84" t="str">
        <f>+IFERROR(VLOOKUP(D2284,Conceptos_Analítica_contraloría[#All],3,0),"")</f>
        <v/>
      </c>
    </row>
    <row r="2285" spans="3:10" ht="18.75" customHeight="1" x14ac:dyDescent="0.35">
      <c r="C2285" s="100" t="str">
        <f>IF(OR(Fact_Analitica[[#This Row], [Año]]="",Fact_Analitica[[#This Row], [Mes]]=""),"",DATE(A2285,MATCH(B2285,{"enero","febrero","marzo","abril","mayo","junio","julio","agosto","septiembre","octubre","noviembre","diciembre"},0)+1,0))</f>
        <v/>
      </c>
      <c r="E2285" t="str">
        <f>+IFERROR(VLOOKUP(Fact_Analitica[[#This Row], [Concepto Anterior]],Conceptos_Analítica_contraloría[#All],5,0),"")</f>
        <v/>
      </c>
      <c r="F2285" t="str">
        <f>+IFERROR(VLOOKUP(Fact_Analitica[[#This Row], [Concepto Anterior]],Conceptos_Analítica_contraloría[#All],7,0),"")</f>
        <v/>
      </c>
      <c r="I2285" t="str">
        <f>+IFERROR(VLOOKUP(D2285,Conceptos_Analítica_contraloría[#All],2,0),"")</f>
        <v/>
      </c>
      <c r="J2285" s="84" t="str">
        <f>+IFERROR(VLOOKUP(D2285,Conceptos_Analítica_contraloría[#All],3,0),"")</f>
        <v/>
      </c>
    </row>
    <row r="2286" spans="3:10" ht="18.75" customHeight="1" x14ac:dyDescent="0.35">
      <c r="C2286" s="100" t="str">
        <f>IF(OR(Fact_Analitica[[#This Row], [Año]]="",Fact_Analitica[[#This Row], [Mes]]=""),"",DATE(A2286,MATCH(B2286,{"enero","febrero","marzo","abril","mayo","junio","julio","agosto","septiembre","octubre","noviembre","diciembre"},0)+1,0))</f>
        <v/>
      </c>
      <c r="E2286" t="str">
        <f>+IFERROR(VLOOKUP(Fact_Analitica[[#This Row], [Concepto Anterior]],Conceptos_Analítica_contraloría[#All],5,0),"")</f>
        <v/>
      </c>
      <c r="F2286" t="str">
        <f>+IFERROR(VLOOKUP(Fact_Analitica[[#This Row], [Concepto Anterior]],Conceptos_Analítica_contraloría[#All],7,0),"")</f>
        <v/>
      </c>
      <c r="I2286" t="str">
        <f>+IFERROR(VLOOKUP(D2286,Conceptos_Analítica_contraloría[#All],2,0),"")</f>
        <v/>
      </c>
      <c r="J2286" s="84" t="str">
        <f>+IFERROR(VLOOKUP(D2286,Conceptos_Analítica_contraloría[#All],3,0),"")</f>
        <v/>
      </c>
    </row>
    <row r="2287" spans="3:10" ht="18.75" customHeight="1" x14ac:dyDescent="0.35">
      <c r="C2287" s="100" t="str">
        <f>IF(OR(Fact_Analitica[[#This Row], [Año]]="",Fact_Analitica[[#This Row], [Mes]]=""),"",DATE(A2287,MATCH(B2287,{"enero","febrero","marzo","abril","mayo","junio","julio","agosto","septiembre","octubre","noviembre","diciembre"},0)+1,0))</f>
        <v/>
      </c>
      <c r="E2287" t="str">
        <f>+IFERROR(VLOOKUP(Fact_Analitica[[#This Row], [Concepto Anterior]],Conceptos_Analítica_contraloría[#All],5,0),"")</f>
        <v/>
      </c>
      <c r="F2287" t="str">
        <f>+IFERROR(VLOOKUP(Fact_Analitica[[#This Row], [Concepto Anterior]],Conceptos_Analítica_contraloría[#All],7,0),"")</f>
        <v/>
      </c>
      <c r="I2287" t="str">
        <f>+IFERROR(VLOOKUP(D2287,Conceptos_Analítica_contraloría[#All],2,0),"")</f>
        <v/>
      </c>
      <c r="J2287" s="84" t="str">
        <f>+IFERROR(VLOOKUP(D2287,Conceptos_Analítica_contraloría[#All],3,0),"")</f>
        <v/>
      </c>
    </row>
    <row r="2288" spans="3:10" ht="18.75" customHeight="1" x14ac:dyDescent="0.35">
      <c r="C2288" s="100" t="str">
        <f>IF(OR(Fact_Analitica[[#This Row], [Año]]="",Fact_Analitica[[#This Row], [Mes]]=""),"",DATE(A2288,MATCH(B2288,{"enero","febrero","marzo","abril","mayo","junio","julio","agosto","septiembre","octubre","noviembre","diciembre"},0)+1,0))</f>
        <v/>
      </c>
      <c r="E2288" t="str">
        <f>+IFERROR(VLOOKUP(Fact_Analitica[[#This Row], [Concepto Anterior]],Conceptos_Analítica_contraloría[#All],5,0),"")</f>
        <v/>
      </c>
      <c r="F2288" t="str">
        <f>+IFERROR(VLOOKUP(Fact_Analitica[[#This Row], [Concepto Anterior]],Conceptos_Analítica_contraloría[#All],7,0),"")</f>
        <v/>
      </c>
      <c r="I2288" t="str">
        <f>+IFERROR(VLOOKUP(D2288,Conceptos_Analítica_contraloría[#All],2,0),"")</f>
        <v/>
      </c>
      <c r="J2288" s="84" t="str">
        <f>+IFERROR(VLOOKUP(D2288,Conceptos_Analítica_contraloría[#All],3,0),"")</f>
        <v/>
      </c>
    </row>
    <row r="2289" spans="3:10" ht="18.75" customHeight="1" x14ac:dyDescent="0.35">
      <c r="C2289" s="100" t="str">
        <f>IF(OR(Fact_Analitica[[#This Row], [Año]]="",Fact_Analitica[[#This Row], [Mes]]=""),"",DATE(A2289,MATCH(B2289,{"enero","febrero","marzo","abril","mayo","junio","julio","agosto","septiembre","octubre","noviembre","diciembre"},0)+1,0))</f>
        <v/>
      </c>
      <c r="E2289" t="str">
        <f>+IFERROR(VLOOKUP(Fact_Analitica[[#This Row], [Concepto Anterior]],Conceptos_Analítica_contraloría[#All],5,0),"")</f>
        <v/>
      </c>
      <c r="F2289" t="str">
        <f>+IFERROR(VLOOKUP(Fact_Analitica[[#This Row], [Concepto Anterior]],Conceptos_Analítica_contraloría[#All],7,0),"")</f>
        <v/>
      </c>
      <c r="I2289" t="str">
        <f>+IFERROR(VLOOKUP(D2289,Conceptos_Analítica_contraloría[#All],2,0),"")</f>
        <v/>
      </c>
      <c r="J2289" s="84" t="str">
        <f>+IFERROR(VLOOKUP(D2289,Conceptos_Analítica_contraloría[#All],3,0),"")</f>
        <v/>
      </c>
    </row>
    <row r="2290" spans="3:10" ht="18.75" customHeight="1" x14ac:dyDescent="0.35">
      <c r="C2290" s="100" t="str">
        <f>IF(OR(Fact_Analitica[[#This Row], [Año]]="",Fact_Analitica[[#This Row], [Mes]]=""),"",DATE(A2290,MATCH(B2290,{"enero","febrero","marzo","abril","mayo","junio","julio","agosto","septiembre","octubre","noviembre","diciembre"},0)+1,0))</f>
        <v/>
      </c>
      <c r="E2290" t="str">
        <f>+IFERROR(VLOOKUP(Fact_Analitica[[#This Row], [Concepto Anterior]],Conceptos_Analítica_contraloría[#All],5,0),"")</f>
        <v/>
      </c>
      <c r="F2290" t="str">
        <f>+IFERROR(VLOOKUP(Fact_Analitica[[#This Row], [Concepto Anterior]],Conceptos_Analítica_contraloría[#All],7,0),"")</f>
        <v/>
      </c>
      <c r="I2290" t="str">
        <f>+IFERROR(VLOOKUP(D2290,Conceptos_Analítica_contraloría[#All],2,0),"")</f>
        <v/>
      </c>
      <c r="J2290" s="84" t="str">
        <f>+IFERROR(VLOOKUP(D2290,Conceptos_Analítica_contraloría[#All],3,0),"")</f>
        <v/>
      </c>
    </row>
    <row r="2291" spans="3:10" ht="18.75" customHeight="1" x14ac:dyDescent="0.35">
      <c r="C2291" s="100" t="str">
        <f>IF(OR(Fact_Analitica[[#This Row], [Año]]="",Fact_Analitica[[#This Row], [Mes]]=""),"",DATE(A2291,MATCH(B2291,{"enero","febrero","marzo","abril","mayo","junio","julio","agosto","septiembre","octubre","noviembre","diciembre"},0)+1,0))</f>
        <v/>
      </c>
      <c r="E2291" t="str">
        <f>+IFERROR(VLOOKUP(Fact_Analitica[[#This Row], [Concepto Anterior]],Conceptos_Analítica_contraloría[#All],5,0),"")</f>
        <v/>
      </c>
      <c r="F2291" t="str">
        <f>+IFERROR(VLOOKUP(Fact_Analitica[[#This Row], [Concepto Anterior]],Conceptos_Analítica_contraloría[#All],7,0),"")</f>
        <v/>
      </c>
      <c r="I2291" t="str">
        <f>+IFERROR(VLOOKUP(D2291,Conceptos_Analítica_contraloría[#All],2,0),"")</f>
        <v/>
      </c>
      <c r="J2291" s="84" t="str">
        <f>+IFERROR(VLOOKUP(D2291,Conceptos_Analítica_contraloría[#All],3,0),"")</f>
        <v/>
      </c>
    </row>
    <row r="2292" spans="3:10" ht="18.75" customHeight="1" x14ac:dyDescent="0.35">
      <c r="C2292" s="100" t="str">
        <f>IF(OR(Fact_Analitica[[#This Row], [Año]]="",Fact_Analitica[[#This Row], [Mes]]=""),"",DATE(A2292,MATCH(B2292,{"enero","febrero","marzo","abril","mayo","junio","julio","agosto","septiembre","octubre","noviembre","diciembre"},0)+1,0))</f>
        <v/>
      </c>
      <c r="E2292" t="str">
        <f>+IFERROR(VLOOKUP(Fact_Analitica[[#This Row], [Concepto Anterior]],Conceptos_Analítica_contraloría[#All],5,0),"")</f>
        <v/>
      </c>
      <c r="F2292" t="str">
        <f>+IFERROR(VLOOKUP(Fact_Analitica[[#This Row], [Concepto Anterior]],Conceptos_Analítica_contraloría[#All],7,0),"")</f>
        <v/>
      </c>
      <c r="I2292" t="str">
        <f>+IFERROR(VLOOKUP(D2292,Conceptos_Analítica_contraloría[#All],2,0),"")</f>
        <v/>
      </c>
      <c r="J2292" s="84" t="str">
        <f>+IFERROR(VLOOKUP(D2292,Conceptos_Analítica_contraloría[#All],3,0),"")</f>
        <v/>
      </c>
    </row>
    <row r="2293" spans="3:10" ht="18.75" customHeight="1" x14ac:dyDescent="0.35">
      <c r="C2293" s="100" t="str">
        <f>IF(OR(Fact_Analitica[[#This Row], [Año]]="",Fact_Analitica[[#This Row], [Mes]]=""),"",DATE(A2293,MATCH(B2293,{"enero","febrero","marzo","abril","mayo","junio","julio","agosto","septiembre","octubre","noviembre","diciembre"},0)+1,0))</f>
        <v/>
      </c>
      <c r="E2293" t="str">
        <f>+IFERROR(VLOOKUP(Fact_Analitica[[#This Row], [Concepto Anterior]],Conceptos_Analítica_contraloría[#All],5,0),"")</f>
        <v/>
      </c>
      <c r="F2293" t="str">
        <f>+IFERROR(VLOOKUP(Fact_Analitica[[#This Row], [Concepto Anterior]],Conceptos_Analítica_contraloría[#All],7,0),"")</f>
        <v/>
      </c>
      <c r="I2293" t="str">
        <f>+IFERROR(VLOOKUP(D2293,Conceptos_Analítica_contraloría[#All],2,0),"")</f>
        <v/>
      </c>
      <c r="J2293" s="84" t="str">
        <f>+IFERROR(VLOOKUP(D2293,Conceptos_Analítica_contraloría[#All],3,0),"")</f>
        <v/>
      </c>
    </row>
    <row r="2294" spans="3:10" ht="18.75" customHeight="1" x14ac:dyDescent="0.35">
      <c r="C2294" s="100" t="str">
        <f>IF(OR(Fact_Analitica[[#This Row], [Año]]="",Fact_Analitica[[#This Row], [Mes]]=""),"",DATE(A2294,MATCH(B2294,{"enero","febrero","marzo","abril","mayo","junio","julio","agosto","septiembre","octubre","noviembre","diciembre"},0)+1,0))</f>
        <v/>
      </c>
      <c r="E2294" t="str">
        <f>+IFERROR(VLOOKUP(Fact_Analitica[[#This Row], [Concepto Anterior]],Conceptos_Analítica_contraloría[#All],5,0),"")</f>
        <v/>
      </c>
      <c r="F2294" t="str">
        <f>+IFERROR(VLOOKUP(Fact_Analitica[[#This Row], [Concepto Anterior]],Conceptos_Analítica_contraloría[#All],7,0),"")</f>
        <v/>
      </c>
      <c r="I2294" t="str">
        <f>+IFERROR(VLOOKUP(D2294,Conceptos_Analítica_contraloría[#All],2,0),"")</f>
        <v/>
      </c>
      <c r="J2294" s="84" t="str">
        <f>+IFERROR(VLOOKUP(D2294,Conceptos_Analítica_contraloría[#All],3,0),"")</f>
        <v/>
      </c>
    </row>
    <row r="2295" spans="3:10" ht="18.75" customHeight="1" x14ac:dyDescent="0.35">
      <c r="C2295" s="100" t="str">
        <f>IF(OR(Fact_Analitica[[#This Row], [Año]]="",Fact_Analitica[[#This Row], [Mes]]=""),"",DATE(A2295,MATCH(B2295,{"enero","febrero","marzo","abril","mayo","junio","julio","agosto","septiembre","octubre","noviembre","diciembre"},0)+1,0))</f>
        <v/>
      </c>
      <c r="E2295" t="str">
        <f>+IFERROR(VLOOKUP(Fact_Analitica[[#This Row], [Concepto Anterior]],Conceptos_Analítica_contraloría[#All],5,0),"")</f>
        <v/>
      </c>
      <c r="F2295" t="str">
        <f>+IFERROR(VLOOKUP(Fact_Analitica[[#This Row], [Concepto Anterior]],Conceptos_Analítica_contraloría[#All],7,0),"")</f>
        <v/>
      </c>
      <c r="I2295" t="str">
        <f>+IFERROR(VLOOKUP(D2295,Conceptos_Analítica_contraloría[#All],2,0),"")</f>
        <v/>
      </c>
      <c r="J2295" s="84" t="str">
        <f>+IFERROR(VLOOKUP(D2295,Conceptos_Analítica_contraloría[#All],3,0),"")</f>
        <v/>
      </c>
    </row>
    <row r="2296" spans="3:10" ht="18.75" customHeight="1" x14ac:dyDescent="0.35">
      <c r="C2296" s="100" t="str">
        <f>IF(OR(Fact_Analitica[[#This Row], [Año]]="",Fact_Analitica[[#This Row], [Mes]]=""),"",DATE(A2296,MATCH(B2296,{"enero","febrero","marzo","abril","mayo","junio","julio","agosto","septiembre","octubre","noviembre","diciembre"},0)+1,0))</f>
        <v/>
      </c>
      <c r="E2296" t="str">
        <f>+IFERROR(VLOOKUP(Fact_Analitica[[#This Row], [Concepto Anterior]],Conceptos_Analítica_contraloría[#All],5,0),"")</f>
        <v/>
      </c>
      <c r="F2296" t="str">
        <f>+IFERROR(VLOOKUP(Fact_Analitica[[#This Row], [Concepto Anterior]],Conceptos_Analítica_contraloría[#All],7,0),"")</f>
        <v/>
      </c>
      <c r="I2296" t="str">
        <f>+IFERROR(VLOOKUP(D2296,Conceptos_Analítica_contraloría[#All],2,0),"")</f>
        <v/>
      </c>
      <c r="J2296" s="84" t="str">
        <f>+IFERROR(VLOOKUP(D2296,Conceptos_Analítica_contraloría[#All],3,0),"")</f>
        <v/>
      </c>
    </row>
    <row r="2297" spans="3:10" ht="18.75" customHeight="1" x14ac:dyDescent="0.35">
      <c r="C2297" s="100" t="str">
        <f>IF(OR(Fact_Analitica[[#This Row], [Año]]="",Fact_Analitica[[#This Row], [Mes]]=""),"",DATE(A2297,MATCH(B2297,{"enero","febrero","marzo","abril","mayo","junio","julio","agosto","septiembre","octubre","noviembre","diciembre"},0)+1,0))</f>
        <v/>
      </c>
      <c r="E2297" t="str">
        <f>+IFERROR(VLOOKUP(Fact_Analitica[[#This Row], [Concepto Anterior]],Conceptos_Analítica_contraloría[#All],5,0),"")</f>
        <v/>
      </c>
      <c r="F2297" t="str">
        <f>+IFERROR(VLOOKUP(Fact_Analitica[[#This Row], [Concepto Anterior]],Conceptos_Analítica_contraloría[#All],7,0),"")</f>
        <v/>
      </c>
      <c r="I2297" t="str">
        <f>+IFERROR(VLOOKUP(D2297,Conceptos_Analítica_contraloría[#All],2,0),"")</f>
        <v/>
      </c>
      <c r="J2297" s="84" t="str">
        <f>+IFERROR(VLOOKUP(D2297,Conceptos_Analítica_contraloría[#All],3,0),"")</f>
        <v/>
      </c>
    </row>
    <row r="2298" spans="3:10" ht="18.75" customHeight="1" x14ac:dyDescent="0.35">
      <c r="C2298" s="100" t="str">
        <f>IF(OR(Fact_Analitica[[#This Row], [Año]]="",Fact_Analitica[[#This Row], [Mes]]=""),"",DATE(A2298,MATCH(B2298,{"enero","febrero","marzo","abril","mayo","junio","julio","agosto","septiembre","octubre","noviembre","diciembre"},0)+1,0))</f>
        <v/>
      </c>
      <c r="E2298" t="str">
        <f>+IFERROR(VLOOKUP(Fact_Analitica[[#This Row], [Concepto Anterior]],Conceptos_Analítica_contraloría[#All],5,0),"")</f>
        <v/>
      </c>
      <c r="F2298" t="str">
        <f>+IFERROR(VLOOKUP(Fact_Analitica[[#This Row], [Concepto Anterior]],Conceptos_Analítica_contraloría[#All],7,0),"")</f>
        <v/>
      </c>
      <c r="I2298" t="str">
        <f>+IFERROR(VLOOKUP(D2298,Conceptos_Analítica_contraloría[#All],2,0),"")</f>
        <v/>
      </c>
      <c r="J2298" s="84" t="str">
        <f>+IFERROR(VLOOKUP(D2298,Conceptos_Analítica_contraloría[#All],3,0),"")</f>
        <v/>
      </c>
    </row>
    <row r="2299" spans="3:10" ht="18.75" customHeight="1" x14ac:dyDescent="0.35">
      <c r="C2299" s="100" t="str">
        <f>IF(OR(Fact_Analitica[[#This Row], [Año]]="",Fact_Analitica[[#This Row], [Mes]]=""),"",DATE(A2299,MATCH(B2299,{"enero","febrero","marzo","abril","mayo","junio","julio","agosto","septiembre","octubre","noviembre","diciembre"},0)+1,0))</f>
        <v/>
      </c>
      <c r="E2299" t="str">
        <f>+IFERROR(VLOOKUP(Fact_Analitica[[#This Row], [Concepto Anterior]],Conceptos_Analítica_contraloría[#All],5,0),"")</f>
        <v/>
      </c>
      <c r="F2299" t="str">
        <f>+IFERROR(VLOOKUP(Fact_Analitica[[#This Row], [Concepto Anterior]],Conceptos_Analítica_contraloría[#All],7,0),"")</f>
        <v/>
      </c>
      <c r="I2299" t="str">
        <f>+IFERROR(VLOOKUP(D2299,Conceptos_Analítica_contraloría[#All],2,0),"")</f>
        <v/>
      </c>
      <c r="J2299" s="84" t="str">
        <f>+IFERROR(VLOOKUP(D2299,Conceptos_Analítica_contraloría[#All],3,0),"")</f>
        <v/>
      </c>
    </row>
    <row r="2300" spans="3:10" ht="18.75" customHeight="1" x14ac:dyDescent="0.35">
      <c r="C2300" s="100" t="str">
        <f>IF(OR(Fact_Analitica[[#This Row], [Año]]="",Fact_Analitica[[#This Row], [Mes]]=""),"",DATE(A2300,MATCH(B2300,{"enero","febrero","marzo","abril","mayo","junio","julio","agosto","septiembre","octubre","noviembre","diciembre"},0)+1,0))</f>
        <v/>
      </c>
      <c r="E2300" t="str">
        <f>+IFERROR(VLOOKUP(Fact_Analitica[[#This Row], [Concepto Anterior]],Conceptos_Analítica_contraloría[#All],5,0),"")</f>
        <v/>
      </c>
      <c r="F2300" t="str">
        <f>+IFERROR(VLOOKUP(Fact_Analitica[[#This Row], [Concepto Anterior]],Conceptos_Analítica_contraloría[#All],7,0),"")</f>
        <v/>
      </c>
      <c r="I2300" t="str">
        <f>+IFERROR(VLOOKUP(D2300,Conceptos_Analítica_contraloría[#All],2,0),"")</f>
        <v/>
      </c>
      <c r="J2300" s="84" t="str">
        <f>+IFERROR(VLOOKUP(D2300,Conceptos_Analítica_contraloría[#All],3,0),"")</f>
        <v/>
      </c>
    </row>
    <row r="2301" spans="3:10" ht="18.75" customHeight="1" x14ac:dyDescent="0.35">
      <c r="C2301" s="100" t="str">
        <f>IF(OR(Fact_Analitica[[#This Row], [Año]]="",Fact_Analitica[[#This Row], [Mes]]=""),"",DATE(A2301,MATCH(B2301,{"enero","febrero","marzo","abril","mayo","junio","julio","agosto","septiembre","octubre","noviembre","diciembre"},0)+1,0))</f>
        <v/>
      </c>
      <c r="E2301" t="str">
        <f>+IFERROR(VLOOKUP(Fact_Analitica[[#This Row], [Concepto Anterior]],Conceptos_Analítica_contraloría[#All],5,0),"")</f>
        <v/>
      </c>
      <c r="F2301" t="str">
        <f>+IFERROR(VLOOKUP(Fact_Analitica[[#This Row], [Concepto Anterior]],Conceptos_Analítica_contraloría[#All],7,0),"")</f>
        <v/>
      </c>
      <c r="I2301" t="str">
        <f>+IFERROR(VLOOKUP(D2301,Conceptos_Analítica_contraloría[#All],2,0),"")</f>
        <v/>
      </c>
      <c r="J2301" s="84" t="str">
        <f>+IFERROR(VLOOKUP(D2301,Conceptos_Analítica_contraloría[#All],3,0),"")</f>
        <v/>
      </c>
    </row>
    <row r="2302" spans="3:10" ht="18.75" customHeight="1" x14ac:dyDescent="0.35">
      <c r="C2302" s="100" t="str">
        <f>IF(OR(Fact_Analitica[[#This Row], [Año]]="",Fact_Analitica[[#This Row], [Mes]]=""),"",DATE(A2302,MATCH(B2302,{"enero","febrero","marzo","abril","mayo","junio","julio","agosto","septiembre","octubre","noviembre","diciembre"},0)+1,0))</f>
        <v/>
      </c>
      <c r="E2302" t="str">
        <f>+IFERROR(VLOOKUP(Fact_Analitica[[#This Row], [Concepto Anterior]],Conceptos_Analítica_contraloría[#All],5,0),"")</f>
        <v/>
      </c>
      <c r="F2302" t="str">
        <f>+IFERROR(VLOOKUP(Fact_Analitica[[#This Row], [Concepto Anterior]],Conceptos_Analítica_contraloría[#All],7,0),"")</f>
        <v/>
      </c>
      <c r="I2302" t="str">
        <f>+IFERROR(VLOOKUP(D2302,Conceptos_Analítica_contraloría[#All],2,0),"")</f>
        <v/>
      </c>
      <c r="J2302" s="84" t="str">
        <f>+IFERROR(VLOOKUP(D2302,Conceptos_Analítica_contraloría[#All],3,0),"")</f>
        <v/>
      </c>
    </row>
    <row r="2303" spans="3:10" ht="18.75" customHeight="1" x14ac:dyDescent="0.35">
      <c r="C2303" s="100" t="str">
        <f>IF(OR(Fact_Analitica[[#This Row], [Año]]="",Fact_Analitica[[#This Row], [Mes]]=""),"",DATE(A2303,MATCH(B2303,{"enero","febrero","marzo","abril","mayo","junio","julio","agosto","septiembre","octubre","noviembre","diciembre"},0)+1,0))</f>
        <v/>
      </c>
      <c r="E2303" t="str">
        <f>+IFERROR(VLOOKUP(Fact_Analitica[[#This Row], [Concepto Anterior]],Conceptos_Analítica_contraloría[#All],5,0),"")</f>
        <v/>
      </c>
      <c r="F2303" t="str">
        <f>+IFERROR(VLOOKUP(Fact_Analitica[[#This Row], [Concepto Anterior]],Conceptos_Analítica_contraloría[#All],7,0),"")</f>
        <v/>
      </c>
      <c r="I2303" t="str">
        <f>+IFERROR(VLOOKUP(D2303,Conceptos_Analítica_contraloría[#All],2,0),"")</f>
        <v/>
      </c>
      <c r="J2303" s="84" t="str">
        <f>+IFERROR(VLOOKUP(D2303,Conceptos_Analítica_contraloría[#All],3,0),"")</f>
        <v/>
      </c>
    </row>
    <row r="2304" spans="3:10" ht="18.75" customHeight="1" x14ac:dyDescent="0.35">
      <c r="C2304" s="100" t="str">
        <f>IF(OR(Fact_Analitica[[#This Row], [Año]]="",Fact_Analitica[[#This Row], [Mes]]=""),"",DATE(A2304,MATCH(B2304,{"enero","febrero","marzo","abril","mayo","junio","julio","agosto","septiembre","octubre","noviembre","diciembre"},0)+1,0))</f>
        <v/>
      </c>
      <c r="E2304" t="str">
        <f>+IFERROR(VLOOKUP(Fact_Analitica[[#This Row], [Concepto Anterior]],Conceptos_Analítica_contraloría[#All],5,0),"")</f>
        <v/>
      </c>
      <c r="F2304" t="str">
        <f>+IFERROR(VLOOKUP(Fact_Analitica[[#This Row], [Concepto Anterior]],Conceptos_Analítica_contraloría[#All],7,0),"")</f>
        <v/>
      </c>
      <c r="I2304" t="str">
        <f>+IFERROR(VLOOKUP(D2304,Conceptos_Analítica_contraloría[#All],2,0),"")</f>
        <v/>
      </c>
      <c r="J2304" s="84" t="str">
        <f>+IFERROR(VLOOKUP(D2304,Conceptos_Analítica_contraloría[#All],3,0),"")</f>
        <v/>
      </c>
    </row>
    <row r="2305" spans="3:10" ht="18.75" customHeight="1" x14ac:dyDescent="0.35">
      <c r="C2305" s="100" t="str">
        <f>IF(OR(Fact_Analitica[[#This Row], [Año]]="",Fact_Analitica[[#This Row], [Mes]]=""),"",DATE(A2305,MATCH(B2305,{"enero","febrero","marzo","abril","mayo","junio","julio","agosto","septiembre","octubre","noviembre","diciembre"},0)+1,0))</f>
        <v/>
      </c>
      <c r="E2305" t="str">
        <f>+IFERROR(VLOOKUP(Fact_Analitica[[#This Row], [Concepto Anterior]],Conceptos_Analítica_contraloría[#All],5,0),"")</f>
        <v/>
      </c>
      <c r="F2305" t="str">
        <f>+IFERROR(VLOOKUP(Fact_Analitica[[#This Row], [Concepto Anterior]],Conceptos_Analítica_contraloría[#All],7,0),"")</f>
        <v/>
      </c>
      <c r="I2305" t="str">
        <f>+IFERROR(VLOOKUP(D2305,Conceptos_Analítica_contraloría[#All],2,0),"")</f>
        <v/>
      </c>
      <c r="J2305" s="84" t="str">
        <f>+IFERROR(VLOOKUP(D2305,Conceptos_Analítica_contraloría[#All],3,0),"")</f>
        <v/>
      </c>
    </row>
    <row r="2306" spans="3:10" ht="18.75" customHeight="1" x14ac:dyDescent="0.35">
      <c r="C2306" s="100" t="str">
        <f>IF(OR(Fact_Analitica[[#This Row], [Año]]="",Fact_Analitica[[#This Row], [Mes]]=""),"",DATE(A2306,MATCH(B2306,{"enero","febrero","marzo","abril","mayo","junio","julio","agosto","septiembre","octubre","noviembre","diciembre"},0)+1,0))</f>
        <v/>
      </c>
      <c r="E2306" t="str">
        <f>+IFERROR(VLOOKUP(Fact_Analitica[[#This Row], [Concepto Anterior]],Conceptos_Analítica_contraloría[#All],5,0),"")</f>
        <v/>
      </c>
      <c r="F2306" t="str">
        <f>+IFERROR(VLOOKUP(Fact_Analitica[[#This Row], [Concepto Anterior]],Conceptos_Analítica_contraloría[#All],7,0),"")</f>
        <v/>
      </c>
      <c r="I2306" t="str">
        <f>+IFERROR(VLOOKUP(D2306,Conceptos_Analítica_contraloría[#All],2,0),"")</f>
        <v/>
      </c>
      <c r="J2306" s="84" t="str">
        <f>+IFERROR(VLOOKUP(D2306,Conceptos_Analítica_contraloría[#All],3,0),"")</f>
        <v/>
      </c>
    </row>
    <row r="2307" spans="3:10" ht="18.75" customHeight="1" x14ac:dyDescent="0.35">
      <c r="C2307" s="100" t="str">
        <f>IF(OR(Fact_Analitica[[#This Row], [Año]]="",Fact_Analitica[[#This Row], [Mes]]=""),"",DATE(A2307,MATCH(B2307,{"enero","febrero","marzo","abril","mayo","junio","julio","agosto","septiembre","octubre","noviembre","diciembre"},0)+1,0))</f>
        <v/>
      </c>
      <c r="E2307" t="str">
        <f>+IFERROR(VLOOKUP(Fact_Analitica[[#This Row], [Concepto Anterior]],Conceptos_Analítica_contraloría[#All],5,0),"")</f>
        <v/>
      </c>
      <c r="F2307" t="str">
        <f>+IFERROR(VLOOKUP(Fact_Analitica[[#This Row], [Concepto Anterior]],Conceptos_Analítica_contraloría[#All],7,0),"")</f>
        <v/>
      </c>
      <c r="I2307" t="str">
        <f>+IFERROR(VLOOKUP(D2307,Conceptos_Analítica_contraloría[#All],2,0),"")</f>
        <v/>
      </c>
      <c r="J2307" s="84" t="str">
        <f>+IFERROR(VLOOKUP(D2307,Conceptos_Analítica_contraloría[#All],3,0),"")</f>
        <v/>
      </c>
    </row>
    <row r="2308" spans="3:10" ht="18.75" customHeight="1" x14ac:dyDescent="0.35">
      <c r="C2308" s="100" t="str">
        <f>IF(OR(Fact_Analitica[[#This Row], [Año]]="",Fact_Analitica[[#This Row], [Mes]]=""),"",DATE(A2308,MATCH(B2308,{"enero","febrero","marzo","abril","mayo","junio","julio","agosto","septiembre","octubre","noviembre","diciembre"},0)+1,0))</f>
        <v/>
      </c>
      <c r="E2308" t="str">
        <f>+IFERROR(VLOOKUP(Fact_Analitica[[#This Row], [Concepto Anterior]],Conceptos_Analítica_contraloría[#All],5,0),"")</f>
        <v/>
      </c>
      <c r="F2308" t="str">
        <f>+IFERROR(VLOOKUP(Fact_Analitica[[#This Row], [Concepto Anterior]],Conceptos_Analítica_contraloría[#All],7,0),"")</f>
        <v/>
      </c>
      <c r="I2308" t="str">
        <f>+IFERROR(VLOOKUP(D2308,Conceptos_Analítica_contraloría[#All],2,0),"")</f>
        <v/>
      </c>
      <c r="J2308" s="84" t="str">
        <f>+IFERROR(VLOOKUP(D2308,Conceptos_Analítica_contraloría[#All],3,0),"")</f>
        <v/>
      </c>
    </row>
    <row r="2309" spans="3:10" ht="18.75" customHeight="1" x14ac:dyDescent="0.35">
      <c r="C2309" s="100" t="str">
        <f>IF(OR(Fact_Analitica[[#This Row], [Año]]="",Fact_Analitica[[#This Row], [Mes]]=""),"",DATE(A2309,MATCH(B2309,{"enero","febrero","marzo","abril","mayo","junio","julio","agosto","septiembre","octubre","noviembre","diciembre"},0)+1,0))</f>
        <v/>
      </c>
      <c r="E2309" t="str">
        <f>+IFERROR(VLOOKUP(Fact_Analitica[[#This Row], [Concepto Anterior]],Conceptos_Analítica_contraloría[#All],5,0),"")</f>
        <v/>
      </c>
      <c r="F2309" t="str">
        <f>+IFERROR(VLOOKUP(Fact_Analitica[[#This Row], [Concepto Anterior]],Conceptos_Analítica_contraloría[#All],7,0),"")</f>
        <v/>
      </c>
      <c r="I2309" t="str">
        <f>+IFERROR(VLOOKUP(D2309,Conceptos_Analítica_contraloría[#All],2,0),"")</f>
        <v/>
      </c>
      <c r="J2309" s="84" t="str">
        <f>+IFERROR(VLOOKUP(D2309,Conceptos_Analítica_contraloría[#All],3,0),"")</f>
        <v/>
      </c>
    </row>
    <row r="2310" spans="3:10" ht="18.75" customHeight="1" x14ac:dyDescent="0.35">
      <c r="C2310" s="100" t="str">
        <f>IF(OR(Fact_Analitica[[#This Row], [Año]]="",Fact_Analitica[[#This Row], [Mes]]=""),"",DATE(A2310,MATCH(B2310,{"enero","febrero","marzo","abril","mayo","junio","julio","agosto","septiembre","octubre","noviembre","diciembre"},0)+1,0))</f>
        <v/>
      </c>
      <c r="E2310" t="str">
        <f>+IFERROR(VLOOKUP(Fact_Analitica[[#This Row], [Concepto Anterior]],Conceptos_Analítica_contraloría[#All],5,0),"")</f>
        <v/>
      </c>
      <c r="F2310" t="str">
        <f>+IFERROR(VLOOKUP(Fact_Analitica[[#This Row], [Concepto Anterior]],Conceptos_Analítica_contraloría[#All],7,0),"")</f>
        <v/>
      </c>
      <c r="I2310" t="str">
        <f>+IFERROR(VLOOKUP(D2310,Conceptos_Analítica_contraloría[#All],2,0),"")</f>
        <v/>
      </c>
      <c r="J2310" s="84" t="str">
        <f>+IFERROR(VLOOKUP(D2310,Conceptos_Analítica_contraloría[#All],3,0),"")</f>
        <v/>
      </c>
    </row>
    <row r="2311" spans="3:10" ht="18.75" customHeight="1" x14ac:dyDescent="0.35">
      <c r="C2311" s="100" t="str">
        <f>IF(OR(Fact_Analitica[[#This Row], [Año]]="",Fact_Analitica[[#This Row], [Mes]]=""),"",DATE(A2311,MATCH(B2311,{"enero","febrero","marzo","abril","mayo","junio","julio","agosto","septiembre","octubre","noviembre","diciembre"},0)+1,0))</f>
        <v/>
      </c>
      <c r="E2311" t="str">
        <f>+IFERROR(VLOOKUP(Fact_Analitica[[#This Row], [Concepto Anterior]],Conceptos_Analítica_contraloría[#All],5,0),"")</f>
        <v/>
      </c>
      <c r="F2311" t="str">
        <f>+IFERROR(VLOOKUP(Fact_Analitica[[#This Row], [Concepto Anterior]],Conceptos_Analítica_contraloría[#All],7,0),"")</f>
        <v/>
      </c>
      <c r="I2311" t="str">
        <f>+IFERROR(VLOOKUP(D2311,Conceptos_Analítica_contraloría[#All],2,0),"")</f>
        <v/>
      </c>
      <c r="J2311" s="84" t="str">
        <f>+IFERROR(VLOOKUP(D2311,Conceptos_Analítica_contraloría[#All],3,0),"")</f>
        <v/>
      </c>
    </row>
    <row r="2312" spans="3:10" ht="18.75" customHeight="1" x14ac:dyDescent="0.35">
      <c r="C2312" s="100" t="str">
        <f>IF(OR(Fact_Analitica[[#This Row], [Año]]="",Fact_Analitica[[#This Row], [Mes]]=""),"",DATE(A2312,MATCH(B2312,{"enero","febrero","marzo","abril","mayo","junio","julio","agosto","septiembre","octubre","noviembre","diciembre"},0)+1,0))</f>
        <v/>
      </c>
      <c r="E2312" t="str">
        <f>+IFERROR(VLOOKUP(Fact_Analitica[[#This Row], [Concepto Anterior]],Conceptos_Analítica_contraloría[#All],5,0),"")</f>
        <v/>
      </c>
      <c r="F2312" t="str">
        <f>+IFERROR(VLOOKUP(Fact_Analitica[[#This Row], [Concepto Anterior]],Conceptos_Analítica_contraloría[#All],7,0),"")</f>
        <v/>
      </c>
      <c r="I2312" t="str">
        <f>+IFERROR(VLOOKUP(D2312,Conceptos_Analítica_contraloría[#All],2,0),"")</f>
        <v/>
      </c>
      <c r="J2312" s="84" t="str">
        <f>+IFERROR(VLOOKUP(D2312,Conceptos_Analítica_contraloría[#All],3,0),"")</f>
        <v/>
      </c>
    </row>
    <row r="2313" spans="3:10" ht="18.75" customHeight="1" x14ac:dyDescent="0.35">
      <c r="C2313" s="100" t="str">
        <f>IF(OR(Fact_Analitica[[#This Row], [Año]]="",Fact_Analitica[[#This Row], [Mes]]=""),"",DATE(A2313,MATCH(B2313,{"enero","febrero","marzo","abril","mayo","junio","julio","agosto","septiembre","octubre","noviembre","diciembre"},0)+1,0))</f>
        <v/>
      </c>
      <c r="E2313" t="str">
        <f>+IFERROR(VLOOKUP(Fact_Analitica[[#This Row], [Concepto Anterior]],Conceptos_Analítica_contraloría[#All],5,0),"")</f>
        <v/>
      </c>
      <c r="F2313" t="str">
        <f>+IFERROR(VLOOKUP(Fact_Analitica[[#This Row], [Concepto Anterior]],Conceptos_Analítica_contraloría[#All],7,0),"")</f>
        <v/>
      </c>
      <c r="I2313" t="str">
        <f>+IFERROR(VLOOKUP(D2313,Conceptos_Analítica_contraloría[#All],2,0),"")</f>
        <v/>
      </c>
      <c r="J2313" s="84" t="str">
        <f>+IFERROR(VLOOKUP(D2313,Conceptos_Analítica_contraloría[#All],3,0),"")</f>
        <v/>
      </c>
    </row>
    <row r="2314" spans="3:10" ht="18.75" customHeight="1" x14ac:dyDescent="0.35">
      <c r="C2314" s="100" t="str">
        <f>IF(OR(Fact_Analitica[[#This Row], [Año]]="",Fact_Analitica[[#This Row], [Mes]]=""),"",DATE(A2314,MATCH(B2314,{"enero","febrero","marzo","abril","mayo","junio","julio","agosto","septiembre","octubre","noviembre","diciembre"},0)+1,0))</f>
        <v/>
      </c>
      <c r="E2314" t="str">
        <f>+IFERROR(VLOOKUP(Fact_Analitica[[#This Row], [Concepto Anterior]],Conceptos_Analítica_contraloría[#All],5,0),"")</f>
        <v/>
      </c>
      <c r="F2314" t="str">
        <f>+IFERROR(VLOOKUP(Fact_Analitica[[#This Row], [Concepto Anterior]],Conceptos_Analítica_contraloría[#All],7,0),"")</f>
        <v/>
      </c>
      <c r="I2314" t="str">
        <f>+IFERROR(VLOOKUP(D2314,Conceptos_Analítica_contraloría[#All],2,0),"")</f>
        <v/>
      </c>
      <c r="J2314" s="84" t="str">
        <f>+IFERROR(VLOOKUP(D2314,Conceptos_Analítica_contraloría[#All],3,0),"")</f>
        <v/>
      </c>
    </row>
    <row r="2315" spans="3:10" ht="18.75" customHeight="1" x14ac:dyDescent="0.35">
      <c r="C2315" s="100" t="str">
        <f>IF(OR(Fact_Analitica[[#This Row], [Año]]="",Fact_Analitica[[#This Row], [Mes]]=""),"",DATE(A2315,MATCH(B2315,{"enero","febrero","marzo","abril","mayo","junio","julio","agosto","septiembre","octubre","noviembre","diciembre"},0)+1,0))</f>
        <v/>
      </c>
      <c r="E2315" t="str">
        <f>+IFERROR(VLOOKUP(Fact_Analitica[[#This Row], [Concepto Anterior]],Conceptos_Analítica_contraloría[#All],5,0),"")</f>
        <v/>
      </c>
      <c r="F2315" t="str">
        <f>+IFERROR(VLOOKUP(Fact_Analitica[[#This Row], [Concepto Anterior]],Conceptos_Analítica_contraloría[#All],7,0),"")</f>
        <v/>
      </c>
      <c r="I2315" t="str">
        <f>+IFERROR(VLOOKUP(D2315,Conceptos_Analítica_contraloría[#All],2,0),"")</f>
        <v/>
      </c>
      <c r="J2315" s="84" t="str">
        <f>+IFERROR(VLOOKUP(D2315,Conceptos_Analítica_contraloría[#All],3,0),"")</f>
        <v/>
      </c>
    </row>
    <row r="2316" spans="3:10" ht="18.75" customHeight="1" x14ac:dyDescent="0.35">
      <c r="C2316" s="100" t="str">
        <f>IF(OR(Fact_Analitica[[#This Row], [Año]]="",Fact_Analitica[[#This Row], [Mes]]=""),"",DATE(A2316,MATCH(B2316,{"enero","febrero","marzo","abril","mayo","junio","julio","agosto","septiembre","octubre","noviembre","diciembre"},0)+1,0))</f>
        <v/>
      </c>
      <c r="E2316" t="str">
        <f>+IFERROR(VLOOKUP(Fact_Analitica[[#This Row], [Concepto Anterior]],Conceptos_Analítica_contraloría[#All],5,0),"")</f>
        <v/>
      </c>
      <c r="F2316" t="str">
        <f>+IFERROR(VLOOKUP(Fact_Analitica[[#This Row], [Concepto Anterior]],Conceptos_Analítica_contraloría[#All],7,0),"")</f>
        <v/>
      </c>
      <c r="I2316" t="str">
        <f>+IFERROR(VLOOKUP(D2316,Conceptos_Analítica_contraloría[#All],2,0),"")</f>
        <v/>
      </c>
      <c r="J2316" s="84" t="str">
        <f>+IFERROR(VLOOKUP(D2316,Conceptos_Analítica_contraloría[#All],3,0),"")</f>
        <v/>
      </c>
    </row>
    <row r="2317" spans="3:10" ht="18.75" customHeight="1" x14ac:dyDescent="0.35">
      <c r="C2317" s="100" t="str">
        <f>IF(OR(Fact_Analitica[[#This Row], [Año]]="",Fact_Analitica[[#This Row], [Mes]]=""),"",DATE(A2317,MATCH(B2317,{"enero","febrero","marzo","abril","mayo","junio","julio","agosto","septiembre","octubre","noviembre","diciembre"},0)+1,0))</f>
        <v/>
      </c>
      <c r="E2317" t="str">
        <f>+IFERROR(VLOOKUP(Fact_Analitica[[#This Row], [Concepto Anterior]],Conceptos_Analítica_contraloría[#All],5,0),"")</f>
        <v/>
      </c>
      <c r="F2317" t="str">
        <f>+IFERROR(VLOOKUP(Fact_Analitica[[#This Row], [Concepto Anterior]],Conceptos_Analítica_contraloría[#All],7,0),"")</f>
        <v/>
      </c>
      <c r="I2317" t="str">
        <f>+IFERROR(VLOOKUP(D2317,Conceptos_Analítica_contraloría[#All],2,0),"")</f>
        <v/>
      </c>
      <c r="J2317" s="84" t="str">
        <f>+IFERROR(VLOOKUP(D2317,Conceptos_Analítica_contraloría[#All],3,0),"")</f>
        <v/>
      </c>
    </row>
    <row r="2318" spans="3:10" ht="18.75" customHeight="1" x14ac:dyDescent="0.35">
      <c r="C2318" s="100" t="str">
        <f>IF(OR(Fact_Analitica[[#This Row], [Año]]="",Fact_Analitica[[#This Row], [Mes]]=""),"",DATE(A2318,MATCH(B2318,{"enero","febrero","marzo","abril","mayo","junio","julio","agosto","septiembre","octubre","noviembre","diciembre"},0)+1,0))</f>
        <v/>
      </c>
      <c r="E2318" t="str">
        <f>+IFERROR(VLOOKUP(Fact_Analitica[[#This Row], [Concepto Anterior]],Conceptos_Analítica_contraloría[#All],5,0),"")</f>
        <v/>
      </c>
      <c r="F2318" t="str">
        <f>+IFERROR(VLOOKUP(Fact_Analitica[[#This Row], [Concepto Anterior]],Conceptos_Analítica_contraloría[#All],7,0),"")</f>
        <v/>
      </c>
      <c r="I2318" t="str">
        <f>+IFERROR(VLOOKUP(D2318,Conceptos_Analítica_contraloría[#All],2,0),"")</f>
        <v/>
      </c>
      <c r="J2318" s="84" t="str">
        <f>+IFERROR(VLOOKUP(D2318,Conceptos_Analítica_contraloría[#All],3,0),"")</f>
        <v/>
      </c>
    </row>
    <row r="2319" spans="3:10" ht="18.75" customHeight="1" x14ac:dyDescent="0.35">
      <c r="C2319" s="100" t="str">
        <f>IF(OR(Fact_Analitica[[#This Row], [Año]]="",Fact_Analitica[[#This Row], [Mes]]=""),"",DATE(A2319,MATCH(B2319,{"enero","febrero","marzo","abril","mayo","junio","julio","agosto","septiembre","octubre","noviembre","diciembre"},0)+1,0))</f>
        <v/>
      </c>
      <c r="E2319" t="str">
        <f>+IFERROR(VLOOKUP(Fact_Analitica[[#This Row], [Concepto Anterior]],Conceptos_Analítica_contraloría[#All],5,0),"")</f>
        <v/>
      </c>
      <c r="F2319" t="str">
        <f>+IFERROR(VLOOKUP(Fact_Analitica[[#This Row], [Concepto Anterior]],Conceptos_Analítica_contraloría[#All],7,0),"")</f>
        <v/>
      </c>
      <c r="I2319" t="str">
        <f>+IFERROR(VLOOKUP(D2319,Conceptos_Analítica_contraloría[#All],2,0),"")</f>
        <v/>
      </c>
      <c r="J2319" s="84" t="str">
        <f>+IFERROR(VLOOKUP(D2319,Conceptos_Analítica_contraloría[#All],3,0),"")</f>
        <v/>
      </c>
    </row>
    <row r="2320" spans="3:10" ht="18.75" customHeight="1" x14ac:dyDescent="0.35">
      <c r="C2320" s="100" t="str">
        <f>IF(OR(Fact_Analitica[[#This Row], [Año]]="",Fact_Analitica[[#This Row], [Mes]]=""),"",DATE(A2320,MATCH(B2320,{"enero","febrero","marzo","abril","mayo","junio","julio","agosto","septiembre","octubre","noviembre","diciembre"},0)+1,0))</f>
        <v/>
      </c>
      <c r="E2320" t="str">
        <f>+IFERROR(VLOOKUP(Fact_Analitica[[#This Row], [Concepto Anterior]],Conceptos_Analítica_contraloría[#All],5,0),"")</f>
        <v/>
      </c>
      <c r="F2320" t="str">
        <f>+IFERROR(VLOOKUP(Fact_Analitica[[#This Row], [Concepto Anterior]],Conceptos_Analítica_contraloría[#All],7,0),"")</f>
        <v/>
      </c>
      <c r="I2320" t="str">
        <f>+IFERROR(VLOOKUP(D2320,Conceptos_Analítica_contraloría[#All],2,0),"")</f>
        <v/>
      </c>
      <c r="J2320" s="84" t="str">
        <f>+IFERROR(VLOOKUP(D2320,Conceptos_Analítica_contraloría[#All],3,0),"")</f>
        <v/>
      </c>
    </row>
    <row r="2321" spans="3:10" ht="18.75" customHeight="1" x14ac:dyDescent="0.35">
      <c r="C2321" s="100" t="str">
        <f>IF(OR(Fact_Analitica[[#This Row], [Año]]="",Fact_Analitica[[#This Row], [Mes]]=""),"",DATE(A2321,MATCH(B2321,{"enero","febrero","marzo","abril","mayo","junio","julio","agosto","septiembre","octubre","noviembre","diciembre"},0)+1,0))</f>
        <v/>
      </c>
      <c r="E2321" t="str">
        <f>+IFERROR(VLOOKUP(Fact_Analitica[[#This Row], [Concepto Anterior]],Conceptos_Analítica_contraloría[#All],5,0),"")</f>
        <v/>
      </c>
      <c r="F2321" t="str">
        <f>+IFERROR(VLOOKUP(Fact_Analitica[[#This Row], [Concepto Anterior]],Conceptos_Analítica_contraloría[#All],7,0),"")</f>
        <v/>
      </c>
      <c r="I2321" t="str">
        <f>+IFERROR(VLOOKUP(D2321,Conceptos_Analítica_contraloría[#All],2,0),"")</f>
        <v/>
      </c>
      <c r="J2321" s="84" t="str">
        <f>+IFERROR(VLOOKUP(D2321,Conceptos_Analítica_contraloría[#All],3,0),"")</f>
        <v/>
      </c>
    </row>
    <row r="2322" spans="3:10" ht="18.75" customHeight="1" x14ac:dyDescent="0.35">
      <c r="C2322" s="100" t="str">
        <f>IF(OR(Fact_Analitica[[#This Row], [Año]]="",Fact_Analitica[[#This Row], [Mes]]=""),"",DATE(A2322,MATCH(B2322,{"enero","febrero","marzo","abril","mayo","junio","julio","agosto","septiembre","octubre","noviembre","diciembre"},0)+1,0))</f>
        <v/>
      </c>
      <c r="E2322" t="str">
        <f>+IFERROR(VLOOKUP(Fact_Analitica[[#This Row], [Concepto Anterior]],Conceptos_Analítica_contraloría[#All],5,0),"")</f>
        <v/>
      </c>
      <c r="F2322" t="str">
        <f>+IFERROR(VLOOKUP(Fact_Analitica[[#This Row], [Concepto Anterior]],Conceptos_Analítica_contraloría[#All],7,0),"")</f>
        <v/>
      </c>
      <c r="I2322" t="str">
        <f>+IFERROR(VLOOKUP(D2322,Conceptos_Analítica_contraloría[#All],2,0),"")</f>
        <v/>
      </c>
      <c r="J2322" s="84" t="str">
        <f>+IFERROR(VLOOKUP(D2322,Conceptos_Analítica_contraloría[#All],3,0),"")</f>
        <v/>
      </c>
    </row>
    <row r="2323" spans="3:10" ht="18.75" customHeight="1" x14ac:dyDescent="0.35">
      <c r="C2323" s="100" t="str">
        <f>IF(OR(Fact_Analitica[[#This Row], [Año]]="",Fact_Analitica[[#This Row], [Mes]]=""),"",DATE(A2323,MATCH(B2323,{"enero","febrero","marzo","abril","mayo","junio","julio","agosto","septiembre","octubre","noviembre","diciembre"},0)+1,0))</f>
        <v/>
      </c>
      <c r="E2323" t="str">
        <f>+IFERROR(VLOOKUP(Fact_Analitica[[#This Row], [Concepto Anterior]],Conceptos_Analítica_contraloría[#All],5,0),"")</f>
        <v/>
      </c>
      <c r="F2323" t="str">
        <f>+IFERROR(VLOOKUP(Fact_Analitica[[#This Row], [Concepto Anterior]],Conceptos_Analítica_contraloría[#All],7,0),"")</f>
        <v/>
      </c>
      <c r="I2323" t="str">
        <f>+IFERROR(VLOOKUP(D2323,Conceptos_Analítica_contraloría[#All],2,0),"")</f>
        <v/>
      </c>
      <c r="J2323" s="84" t="str">
        <f>+IFERROR(VLOOKUP(D2323,Conceptos_Analítica_contraloría[#All],3,0),"")</f>
        <v/>
      </c>
    </row>
    <row r="2324" spans="3:10" ht="18.75" customHeight="1" x14ac:dyDescent="0.35">
      <c r="C2324" s="100" t="str">
        <f>IF(OR(Fact_Analitica[[#This Row], [Año]]="",Fact_Analitica[[#This Row], [Mes]]=""),"",DATE(A2324,MATCH(B2324,{"enero","febrero","marzo","abril","mayo","junio","julio","agosto","septiembre","octubre","noviembre","diciembre"},0)+1,0))</f>
        <v/>
      </c>
      <c r="E2324" t="str">
        <f>+IFERROR(VLOOKUP(Fact_Analitica[[#This Row], [Concepto Anterior]],Conceptos_Analítica_contraloría[#All],5,0),"")</f>
        <v/>
      </c>
      <c r="F2324" t="str">
        <f>+IFERROR(VLOOKUP(Fact_Analitica[[#This Row], [Concepto Anterior]],Conceptos_Analítica_contraloría[#All],7,0),"")</f>
        <v/>
      </c>
      <c r="I2324" t="str">
        <f>+IFERROR(VLOOKUP(D2324,Conceptos_Analítica_contraloría[#All],2,0),"")</f>
        <v/>
      </c>
      <c r="J2324" s="84" t="str">
        <f>+IFERROR(VLOOKUP(D2324,Conceptos_Analítica_contraloría[#All],3,0),"")</f>
        <v/>
      </c>
    </row>
    <row r="2325" spans="3:10" ht="18.75" customHeight="1" x14ac:dyDescent="0.35">
      <c r="C2325" s="100" t="str">
        <f>IF(OR(Fact_Analitica[[#This Row], [Año]]="",Fact_Analitica[[#This Row], [Mes]]=""),"",DATE(A2325,MATCH(B2325,{"enero","febrero","marzo","abril","mayo","junio","julio","agosto","septiembre","octubre","noviembre","diciembre"},0)+1,0))</f>
        <v/>
      </c>
      <c r="E2325" t="str">
        <f>+IFERROR(VLOOKUP(Fact_Analitica[[#This Row], [Concepto Anterior]],Conceptos_Analítica_contraloría[#All],5,0),"")</f>
        <v/>
      </c>
      <c r="F2325" t="str">
        <f>+IFERROR(VLOOKUP(Fact_Analitica[[#This Row], [Concepto Anterior]],Conceptos_Analítica_contraloría[#All],7,0),"")</f>
        <v/>
      </c>
      <c r="I2325" t="str">
        <f>+IFERROR(VLOOKUP(D2325,Conceptos_Analítica_contraloría[#All],2,0),"")</f>
        <v/>
      </c>
      <c r="J2325" s="84" t="str">
        <f>+IFERROR(VLOOKUP(D2325,Conceptos_Analítica_contraloría[#All],3,0),"")</f>
        <v/>
      </c>
    </row>
    <row r="2326" spans="3:10" ht="18.75" customHeight="1" x14ac:dyDescent="0.35">
      <c r="C2326" s="100" t="str">
        <f>IF(OR(Fact_Analitica[[#This Row], [Año]]="",Fact_Analitica[[#This Row], [Mes]]=""),"",DATE(A2326,MATCH(B2326,{"enero","febrero","marzo","abril","mayo","junio","julio","agosto","septiembre","octubre","noviembre","diciembre"},0)+1,0))</f>
        <v/>
      </c>
      <c r="E2326" t="str">
        <f>+IFERROR(VLOOKUP(Fact_Analitica[[#This Row], [Concepto Anterior]],Conceptos_Analítica_contraloría[#All],5,0),"")</f>
        <v/>
      </c>
      <c r="F2326" t="str">
        <f>+IFERROR(VLOOKUP(Fact_Analitica[[#This Row], [Concepto Anterior]],Conceptos_Analítica_contraloría[#All],7,0),"")</f>
        <v/>
      </c>
      <c r="I2326" t="str">
        <f>+IFERROR(VLOOKUP(D2326,Conceptos_Analítica_contraloría[#All],2,0),"")</f>
        <v/>
      </c>
      <c r="J2326" s="84" t="str">
        <f>+IFERROR(VLOOKUP(D2326,Conceptos_Analítica_contraloría[#All],3,0),"")</f>
        <v/>
      </c>
    </row>
    <row r="2327" spans="3:10" ht="18.75" customHeight="1" x14ac:dyDescent="0.35">
      <c r="C2327" s="100" t="str">
        <f>IF(OR(Fact_Analitica[[#This Row], [Año]]="",Fact_Analitica[[#This Row], [Mes]]=""),"",DATE(A2327,MATCH(B2327,{"enero","febrero","marzo","abril","mayo","junio","julio","agosto","septiembre","octubre","noviembre","diciembre"},0)+1,0))</f>
        <v/>
      </c>
      <c r="E2327" t="str">
        <f>+IFERROR(VLOOKUP(Fact_Analitica[[#This Row], [Concepto Anterior]],Conceptos_Analítica_contraloría[#All],5,0),"")</f>
        <v/>
      </c>
      <c r="F2327" t="str">
        <f>+IFERROR(VLOOKUP(Fact_Analitica[[#This Row], [Concepto Anterior]],Conceptos_Analítica_contraloría[#All],7,0),"")</f>
        <v/>
      </c>
      <c r="I2327" t="str">
        <f>+IFERROR(VLOOKUP(D2327,Conceptos_Analítica_contraloría[#All],2,0),"")</f>
        <v/>
      </c>
      <c r="J2327" s="84" t="str">
        <f>+IFERROR(VLOOKUP(D2327,Conceptos_Analítica_contraloría[#All],3,0),"")</f>
        <v/>
      </c>
    </row>
    <row r="2328" spans="3:10" ht="18.75" customHeight="1" x14ac:dyDescent="0.35">
      <c r="C2328" s="100" t="str">
        <f>IF(OR(Fact_Analitica[[#This Row], [Año]]="",Fact_Analitica[[#This Row], [Mes]]=""),"",DATE(A2328,MATCH(B2328,{"enero","febrero","marzo","abril","mayo","junio","julio","agosto","septiembre","octubre","noviembre","diciembre"},0)+1,0))</f>
        <v/>
      </c>
      <c r="E2328" t="str">
        <f>+IFERROR(VLOOKUP(Fact_Analitica[[#This Row], [Concepto Anterior]],Conceptos_Analítica_contraloría[#All],5,0),"")</f>
        <v/>
      </c>
      <c r="F2328" t="str">
        <f>+IFERROR(VLOOKUP(Fact_Analitica[[#This Row], [Concepto Anterior]],Conceptos_Analítica_contraloría[#All],7,0),"")</f>
        <v/>
      </c>
      <c r="I2328" t="str">
        <f>+IFERROR(VLOOKUP(D2328,Conceptos_Analítica_contraloría[#All],2,0),"")</f>
        <v/>
      </c>
      <c r="J2328" s="84" t="str">
        <f>+IFERROR(VLOOKUP(D2328,Conceptos_Analítica_contraloría[#All],3,0),"")</f>
        <v/>
      </c>
    </row>
    <row r="2329" spans="3:10" ht="18.75" customHeight="1" x14ac:dyDescent="0.35">
      <c r="C2329" s="100" t="str">
        <f>IF(OR(Fact_Analitica[[#This Row], [Año]]="",Fact_Analitica[[#This Row], [Mes]]=""),"",DATE(A2329,MATCH(B2329,{"enero","febrero","marzo","abril","mayo","junio","julio","agosto","septiembre","octubre","noviembre","diciembre"},0)+1,0))</f>
        <v/>
      </c>
      <c r="E2329" t="str">
        <f>+IFERROR(VLOOKUP(Fact_Analitica[[#This Row], [Concepto Anterior]],Conceptos_Analítica_contraloría[#All],5,0),"")</f>
        <v/>
      </c>
      <c r="F2329" t="str">
        <f>+IFERROR(VLOOKUP(Fact_Analitica[[#This Row], [Concepto Anterior]],Conceptos_Analítica_contraloría[#All],7,0),"")</f>
        <v/>
      </c>
      <c r="I2329" t="str">
        <f>+IFERROR(VLOOKUP(D2329,Conceptos_Analítica_contraloría[#All],2,0),"")</f>
        <v/>
      </c>
      <c r="J2329" s="84" t="str">
        <f>+IFERROR(VLOOKUP(D2329,Conceptos_Analítica_contraloría[#All],3,0),"")</f>
        <v/>
      </c>
    </row>
    <row r="2330" spans="3:10" ht="18.75" customHeight="1" x14ac:dyDescent="0.35">
      <c r="C2330" s="100" t="str">
        <f>IF(OR(Fact_Analitica[[#This Row], [Año]]="",Fact_Analitica[[#This Row], [Mes]]=""),"",DATE(A2330,MATCH(B2330,{"enero","febrero","marzo","abril","mayo","junio","julio","agosto","septiembre","octubre","noviembre","diciembre"},0)+1,0))</f>
        <v/>
      </c>
      <c r="E2330" t="str">
        <f>+IFERROR(VLOOKUP(Fact_Analitica[[#This Row], [Concepto Anterior]],Conceptos_Analítica_contraloría[#All],5,0),"")</f>
        <v/>
      </c>
      <c r="F2330" t="str">
        <f>+IFERROR(VLOOKUP(Fact_Analitica[[#This Row], [Concepto Anterior]],Conceptos_Analítica_contraloría[#All],7,0),"")</f>
        <v/>
      </c>
      <c r="I2330" t="str">
        <f>+IFERROR(VLOOKUP(D2330,Conceptos_Analítica_contraloría[#All],2,0),"")</f>
        <v/>
      </c>
      <c r="J2330" s="84" t="str">
        <f>+IFERROR(VLOOKUP(D2330,Conceptos_Analítica_contraloría[#All],3,0),"")</f>
        <v/>
      </c>
    </row>
    <row r="2331" spans="3:10" ht="18.75" customHeight="1" x14ac:dyDescent="0.35">
      <c r="C2331" s="100" t="str">
        <f>IF(OR(Fact_Analitica[[#This Row], [Año]]="",Fact_Analitica[[#This Row], [Mes]]=""),"",DATE(A2331,MATCH(B2331,{"enero","febrero","marzo","abril","mayo","junio","julio","agosto","septiembre","octubre","noviembre","diciembre"},0)+1,0))</f>
        <v/>
      </c>
      <c r="E2331" t="str">
        <f>+IFERROR(VLOOKUP(Fact_Analitica[[#This Row], [Concepto Anterior]],Conceptos_Analítica_contraloría[#All],5,0),"")</f>
        <v/>
      </c>
      <c r="F2331" t="str">
        <f>+IFERROR(VLOOKUP(Fact_Analitica[[#This Row], [Concepto Anterior]],Conceptos_Analítica_contraloría[#All],7,0),"")</f>
        <v/>
      </c>
      <c r="I2331" t="str">
        <f>+IFERROR(VLOOKUP(D2331,Conceptos_Analítica_contraloría[#All],2,0),"")</f>
        <v/>
      </c>
      <c r="J2331" s="84" t="str">
        <f>+IFERROR(VLOOKUP(D2331,Conceptos_Analítica_contraloría[#All],3,0),"")</f>
        <v/>
      </c>
    </row>
    <row r="2332" spans="3:10" ht="18.75" customHeight="1" x14ac:dyDescent="0.35">
      <c r="C2332" s="100" t="str">
        <f>IF(OR(Fact_Analitica[[#This Row], [Año]]="",Fact_Analitica[[#This Row], [Mes]]=""),"",DATE(A2332,MATCH(B2332,{"enero","febrero","marzo","abril","mayo","junio","julio","agosto","septiembre","octubre","noviembre","diciembre"},0)+1,0))</f>
        <v/>
      </c>
      <c r="E2332" t="str">
        <f>+IFERROR(VLOOKUP(Fact_Analitica[[#This Row], [Concepto Anterior]],Conceptos_Analítica_contraloría[#All],5,0),"")</f>
        <v/>
      </c>
      <c r="F2332" t="str">
        <f>+IFERROR(VLOOKUP(Fact_Analitica[[#This Row], [Concepto Anterior]],Conceptos_Analítica_contraloría[#All],7,0),"")</f>
        <v/>
      </c>
      <c r="I2332" t="str">
        <f>+IFERROR(VLOOKUP(D2332,Conceptos_Analítica_contraloría[#All],2,0),"")</f>
        <v/>
      </c>
      <c r="J2332" s="84" t="str">
        <f>+IFERROR(VLOOKUP(D2332,Conceptos_Analítica_contraloría[#All],3,0),"")</f>
        <v/>
      </c>
    </row>
    <row r="2333" spans="3:10" ht="18.75" customHeight="1" x14ac:dyDescent="0.35">
      <c r="C2333" s="100" t="str">
        <f>IF(OR(Fact_Analitica[[#This Row], [Año]]="",Fact_Analitica[[#This Row], [Mes]]=""),"",DATE(A2333,MATCH(B2333,{"enero","febrero","marzo","abril","mayo","junio","julio","agosto","septiembre","octubre","noviembre","diciembre"},0)+1,0))</f>
        <v/>
      </c>
      <c r="E2333" t="str">
        <f>+IFERROR(VLOOKUP(Fact_Analitica[[#This Row], [Concepto Anterior]],Conceptos_Analítica_contraloría[#All],5,0),"")</f>
        <v/>
      </c>
      <c r="F2333" t="str">
        <f>+IFERROR(VLOOKUP(Fact_Analitica[[#This Row], [Concepto Anterior]],Conceptos_Analítica_contraloría[#All],7,0),"")</f>
        <v/>
      </c>
      <c r="I2333" t="str">
        <f>+IFERROR(VLOOKUP(D2333,Conceptos_Analítica_contraloría[#All],2,0),"")</f>
        <v/>
      </c>
      <c r="J2333" s="84" t="str">
        <f>+IFERROR(VLOOKUP(D2333,Conceptos_Analítica_contraloría[#All],3,0),"")</f>
        <v/>
      </c>
    </row>
    <row r="2334" spans="3:10" ht="18.75" customHeight="1" x14ac:dyDescent="0.35">
      <c r="C2334" s="100" t="str">
        <f>IF(OR(Fact_Analitica[[#This Row], [Año]]="",Fact_Analitica[[#This Row], [Mes]]=""),"",DATE(A2334,MATCH(B2334,{"enero","febrero","marzo","abril","mayo","junio","julio","agosto","septiembre","octubre","noviembre","diciembre"},0)+1,0))</f>
        <v/>
      </c>
      <c r="E2334" t="str">
        <f>+IFERROR(VLOOKUP(Fact_Analitica[[#This Row], [Concepto Anterior]],Conceptos_Analítica_contraloría[#All],5,0),"")</f>
        <v/>
      </c>
      <c r="F2334" t="str">
        <f>+IFERROR(VLOOKUP(Fact_Analitica[[#This Row], [Concepto Anterior]],Conceptos_Analítica_contraloría[#All],7,0),"")</f>
        <v/>
      </c>
      <c r="I2334" t="str">
        <f>+IFERROR(VLOOKUP(D2334,Conceptos_Analítica_contraloría[#All],2,0),"")</f>
        <v/>
      </c>
      <c r="J2334" s="84" t="str">
        <f>+IFERROR(VLOOKUP(D2334,Conceptos_Analítica_contraloría[#All],3,0),"")</f>
        <v/>
      </c>
    </row>
    <row r="2335" spans="3:10" ht="18.75" customHeight="1" x14ac:dyDescent="0.35">
      <c r="C2335" s="100" t="str">
        <f>IF(OR(Fact_Analitica[[#This Row], [Año]]="",Fact_Analitica[[#This Row], [Mes]]=""),"",DATE(A2335,MATCH(B2335,{"enero","febrero","marzo","abril","mayo","junio","julio","agosto","septiembre","octubre","noviembre","diciembre"},0)+1,0))</f>
        <v/>
      </c>
      <c r="E2335" t="str">
        <f>+IFERROR(VLOOKUP(Fact_Analitica[[#This Row], [Concepto Anterior]],Conceptos_Analítica_contraloría[#All],5,0),"")</f>
        <v/>
      </c>
      <c r="F2335" t="str">
        <f>+IFERROR(VLOOKUP(Fact_Analitica[[#This Row], [Concepto Anterior]],Conceptos_Analítica_contraloría[#All],7,0),"")</f>
        <v/>
      </c>
      <c r="I2335" t="str">
        <f>+IFERROR(VLOOKUP(D2335,Conceptos_Analítica_contraloría[#All],2,0),"")</f>
        <v/>
      </c>
      <c r="J2335" s="84" t="str">
        <f>+IFERROR(VLOOKUP(D2335,Conceptos_Analítica_contraloría[#All],3,0),"")</f>
        <v/>
      </c>
    </row>
    <row r="2336" spans="3:10" ht="18.75" customHeight="1" x14ac:dyDescent="0.35">
      <c r="C2336" s="100" t="str">
        <f>IF(OR(Fact_Analitica[[#This Row], [Año]]="",Fact_Analitica[[#This Row], [Mes]]=""),"",DATE(A2336,MATCH(B2336,{"enero","febrero","marzo","abril","mayo","junio","julio","agosto","septiembre","octubre","noviembre","diciembre"},0)+1,0))</f>
        <v/>
      </c>
      <c r="E2336" t="str">
        <f>+IFERROR(VLOOKUP(Fact_Analitica[[#This Row], [Concepto Anterior]],Conceptos_Analítica_contraloría[#All],5,0),"")</f>
        <v/>
      </c>
      <c r="F2336" t="str">
        <f>+IFERROR(VLOOKUP(Fact_Analitica[[#This Row], [Concepto Anterior]],Conceptos_Analítica_contraloría[#All],7,0),"")</f>
        <v/>
      </c>
      <c r="I2336" t="str">
        <f>+IFERROR(VLOOKUP(D2336,Conceptos_Analítica_contraloría[#All],2,0),"")</f>
        <v/>
      </c>
      <c r="J2336" s="84" t="str">
        <f>+IFERROR(VLOOKUP(D2336,Conceptos_Analítica_contraloría[#All],3,0),"")</f>
        <v/>
      </c>
    </row>
    <row r="2337" spans="3:10" ht="18.75" customHeight="1" x14ac:dyDescent="0.35">
      <c r="C2337" s="100" t="str">
        <f>IF(OR(Fact_Analitica[[#This Row], [Año]]="",Fact_Analitica[[#This Row], [Mes]]=""),"",DATE(A2337,MATCH(B2337,{"enero","febrero","marzo","abril","mayo","junio","julio","agosto","septiembre","octubre","noviembre","diciembre"},0)+1,0))</f>
        <v/>
      </c>
      <c r="E2337" t="str">
        <f>+IFERROR(VLOOKUP(Fact_Analitica[[#This Row], [Concepto Anterior]],Conceptos_Analítica_contraloría[#All],5,0),"")</f>
        <v/>
      </c>
      <c r="F2337" t="str">
        <f>+IFERROR(VLOOKUP(Fact_Analitica[[#This Row], [Concepto Anterior]],Conceptos_Analítica_contraloría[#All],7,0),"")</f>
        <v/>
      </c>
      <c r="I2337" t="str">
        <f>+IFERROR(VLOOKUP(D2337,Conceptos_Analítica_contraloría[#All],2,0),"")</f>
        <v/>
      </c>
      <c r="J2337" s="84" t="str">
        <f>+IFERROR(VLOOKUP(D2337,Conceptos_Analítica_contraloría[#All],3,0),"")</f>
        <v/>
      </c>
    </row>
    <row r="2338" spans="3:10" ht="18.75" customHeight="1" x14ac:dyDescent="0.35">
      <c r="C2338" s="100" t="str">
        <f>IF(OR(Fact_Analitica[[#This Row], [Año]]="",Fact_Analitica[[#This Row], [Mes]]=""),"",DATE(A2338,MATCH(B2338,{"enero","febrero","marzo","abril","mayo","junio","julio","agosto","septiembre","octubre","noviembre","diciembre"},0)+1,0))</f>
        <v/>
      </c>
      <c r="E2338" t="str">
        <f>+IFERROR(VLOOKUP(Fact_Analitica[[#This Row], [Concepto Anterior]],Conceptos_Analítica_contraloría[#All],5,0),"")</f>
        <v/>
      </c>
      <c r="F2338" t="str">
        <f>+IFERROR(VLOOKUP(Fact_Analitica[[#This Row], [Concepto Anterior]],Conceptos_Analítica_contraloría[#All],7,0),"")</f>
        <v/>
      </c>
      <c r="I2338" t="str">
        <f>+IFERROR(VLOOKUP(D2338,Conceptos_Analítica_contraloría[#All],2,0),"")</f>
        <v/>
      </c>
      <c r="J2338" s="84" t="str">
        <f>+IFERROR(VLOOKUP(D2338,Conceptos_Analítica_contraloría[#All],3,0),"")</f>
        <v/>
      </c>
    </row>
    <row r="2339" spans="3:10" ht="18.75" customHeight="1" x14ac:dyDescent="0.35">
      <c r="C2339" s="100" t="str">
        <f>IF(OR(Fact_Analitica[[#This Row], [Año]]="",Fact_Analitica[[#This Row], [Mes]]=""),"",DATE(A2339,MATCH(B2339,{"enero","febrero","marzo","abril","mayo","junio","julio","agosto","septiembre","octubre","noviembre","diciembre"},0)+1,0))</f>
        <v/>
      </c>
      <c r="E2339" t="str">
        <f>+IFERROR(VLOOKUP(Fact_Analitica[[#This Row], [Concepto Anterior]],Conceptos_Analítica_contraloría[#All],5,0),"")</f>
        <v/>
      </c>
      <c r="F2339" t="str">
        <f>+IFERROR(VLOOKUP(Fact_Analitica[[#This Row], [Concepto Anterior]],Conceptos_Analítica_contraloría[#All],7,0),"")</f>
        <v/>
      </c>
      <c r="I2339" t="str">
        <f>+IFERROR(VLOOKUP(D2339,Conceptos_Analítica_contraloría[#All],2,0),"")</f>
        <v/>
      </c>
      <c r="J2339" s="84" t="str">
        <f>+IFERROR(VLOOKUP(D2339,Conceptos_Analítica_contraloría[#All],3,0),"")</f>
        <v/>
      </c>
    </row>
    <row r="2340" spans="3:10" ht="18.75" customHeight="1" x14ac:dyDescent="0.35">
      <c r="C2340" s="100" t="str">
        <f>IF(OR(Fact_Analitica[[#This Row], [Año]]="",Fact_Analitica[[#This Row], [Mes]]=""),"",DATE(A2340,MATCH(B2340,{"enero","febrero","marzo","abril","mayo","junio","julio","agosto","septiembre","octubre","noviembre","diciembre"},0)+1,0))</f>
        <v/>
      </c>
      <c r="E2340" t="str">
        <f>+IFERROR(VLOOKUP(Fact_Analitica[[#This Row], [Concepto Anterior]],Conceptos_Analítica_contraloría[#All],5,0),"")</f>
        <v/>
      </c>
      <c r="F2340" t="str">
        <f>+IFERROR(VLOOKUP(Fact_Analitica[[#This Row], [Concepto Anterior]],Conceptos_Analítica_contraloría[#All],7,0),"")</f>
        <v/>
      </c>
      <c r="I2340" t="str">
        <f>+IFERROR(VLOOKUP(D2340,Conceptos_Analítica_contraloría[#All],2,0),"")</f>
        <v/>
      </c>
      <c r="J2340" s="84" t="str">
        <f>+IFERROR(VLOOKUP(D2340,Conceptos_Analítica_contraloría[#All],3,0),"")</f>
        <v/>
      </c>
    </row>
    <row r="2341" spans="3:10" ht="18.75" customHeight="1" x14ac:dyDescent="0.35">
      <c r="C2341" s="100" t="str">
        <f>IF(OR(Fact_Analitica[[#This Row], [Año]]="",Fact_Analitica[[#This Row], [Mes]]=""),"",DATE(A2341,MATCH(B2341,{"enero","febrero","marzo","abril","mayo","junio","julio","agosto","septiembre","octubre","noviembre","diciembre"},0)+1,0))</f>
        <v/>
      </c>
      <c r="E2341" t="str">
        <f>+IFERROR(VLOOKUP(Fact_Analitica[[#This Row], [Concepto Anterior]],Conceptos_Analítica_contraloría[#All],5,0),"")</f>
        <v/>
      </c>
      <c r="F2341" t="str">
        <f>+IFERROR(VLOOKUP(Fact_Analitica[[#This Row], [Concepto Anterior]],Conceptos_Analítica_contraloría[#All],7,0),"")</f>
        <v/>
      </c>
      <c r="I2341" t="str">
        <f>+IFERROR(VLOOKUP(D2341,Conceptos_Analítica_contraloría[#All],2,0),"")</f>
        <v/>
      </c>
      <c r="J2341" s="84" t="str">
        <f>+IFERROR(VLOOKUP(D2341,Conceptos_Analítica_contraloría[#All],3,0),"")</f>
        <v/>
      </c>
    </row>
    <row r="2342" spans="3:10" ht="18.75" customHeight="1" x14ac:dyDescent="0.35">
      <c r="C2342" s="100" t="str">
        <f>IF(OR(Fact_Analitica[[#This Row], [Año]]="",Fact_Analitica[[#This Row], [Mes]]=""),"",DATE(A2342,MATCH(B2342,{"enero","febrero","marzo","abril","mayo","junio","julio","agosto","septiembre","octubre","noviembre","diciembre"},0)+1,0))</f>
        <v/>
      </c>
      <c r="E2342" t="str">
        <f>+IFERROR(VLOOKUP(Fact_Analitica[[#This Row], [Concepto Anterior]],Conceptos_Analítica_contraloría[#All],5,0),"")</f>
        <v/>
      </c>
      <c r="F2342" t="str">
        <f>+IFERROR(VLOOKUP(Fact_Analitica[[#This Row], [Concepto Anterior]],Conceptos_Analítica_contraloría[#All],7,0),"")</f>
        <v/>
      </c>
      <c r="I2342" t="str">
        <f>+IFERROR(VLOOKUP(D2342,Conceptos_Analítica_contraloría[#All],2,0),"")</f>
        <v/>
      </c>
      <c r="J2342" s="84" t="str">
        <f>+IFERROR(VLOOKUP(D2342,Conceptos_Analítica_contraloría[#All],3,0),"")</f>
        <v/>
      </c>
    </row>
    <row r="2343" spans="3:10" ht="18.75" customHeight="1" x14ac:dyDescent="0.35">
      <c r="C2343" s="100" t="str">
        <f>IF(OR(Fact_Analitica[[#This Row], [Año]]="",Fact_Analitica[[#This Row], [Mes]]=""),"",DATE(A2343,MATCH(B2343,{"enero","febrero","marzo","abril","mayo","junio","julio","agosto","septiembre","octubre","noviembre","diciembre"},0)+1,0))</f>
        <v/>
      </c>
      <c r="E2343" t="str">
        <f>+IFERROR(VLOOKUP(Fact_Analitica[[#This Row], [Concepto Anterior]],Conceptos_Analítica_contraloría[#All],5,0),"")</f>
        <v/>
      </c>
      <c r="F2343" t="str">
        <f>+IFERROR(VLOOKUP(Fact_Analitica[[#This Row], [Concepto Anterior]],Conceptos_Analítica_contraloría[#All],7,0),"")</f>
        <v/>
      </c>
      <c r="I2343" t="str">
        <f>+IFERROR(VLOOKUP(D2343,Conceptos_Analítica_contraloría[#All],2,0),"")</f>
        <v/>
      </c>
      <c r="J2343" s="84" t="str">
        <f>+IFERROR(VLOOKUP(D2343,Conceptos_Analítica_contraloría[#All],3,0),"")</f>
        <v/>
      </c>
    </row>
    <row r="2344" spans="3:10" ht="18.75" customHeight="1" x14ac:dyDescent="0.35">
      <c r="C2344" s="100" t="str">
        <f>IF(OR(Fact_Analitica[[#This Row], [Año]]="",Fact_Analitica[[#This Row], [Mes]]=""),"",DATE(A2344,MATCH(B2344,{"enero","febrero","marzo","abril","mayo","junio","julio","agosto","septiembre","octubre","noviembre","diciembre"},0)+1,0))</f>
        <v/>
      </c>
      <c r="E2344" t="str">
        <f>+IFERROR(VLOOKUP(Fact_Analitica[[#This Row], [Concepto Anterior]],Conceptos_Analítica_contraloría[#All],5,0),"")</f>
        <v/>
      </c>
      <c r="F2344" t="str">
        <f>+IFERROR(VLOOKUP(Fact_Analitica[[#This Row], [Concepto Anterior]],Conceptos_Analítica_contraloría[#All],7,0),"")</f>
        <v/>
      </c>
      <c r="I2344" t="str">
        <f>+IFERROR(VLOOKUP(D2344,Conceptos_Analítica_contraloría[#All],2,0),"")</f>
        <v/>
      </c>
      <c r="J2344" s="84" t="str">
        <f>+IFERROR(VLOOKUP(D2344,Conceptos_Analítica_contraloría[#All],3,0),"")</f>
        <v/>
      </c>
    </row>
    <row r="2345" spans="3:10" ht="18.75" customHeight="1" x14ac:dyDescent="0.35">
      <c r="C2345" s="100" t="str">
        <f>IF(OR(Fact_Analitica[[#This Row], [Año]]="",Fact_Analitica[[#This Row], [Mes]]=""),"",DATE(A2345,MATCH(B2345,{"enero","febrero","marzo","abril","mayo","junio","julio","agosto","septiembre","octubre","noviembre","diciembre"},0)+1,0))</f>
        <v/>
      </c>
      <c r="E2345" t="str">
        <f>+IFERROR(VLOOKUP(Fact_Analitica[[#This Row], [Concepto Anterior]],Conceptos_Analítica_contraloría[#All],5,0),"")</f>
        <v/>
      </c>
      <c r="F2345" t="str">
        <f>+IFERROR(VLOOKUP(Fact_Analitica[[#This Row], [Concepto Anterior]],Conceptos_Analítica_contraloría[#All],7,0),"")</f>
        <v/>
      </c>
      <c r="I2345" t="str">
        <f>+IFERROR(VLOOKUP(D2345,Conceptos_Analítica_contraloría[#All],2,0),"")</f>
        <v/>
      </c>
      <c r="J2345" s="84" t="str">
        <f>+IFERROR(VLOOKUP(D2345,Conceptos_Analítica_contraloría[#All],3,0),"")</f>
        <v/>
      </c>
    </row>
    <row r="2346" spans="3:10" ht="18.75" customHeight="1" x14ac:dyDescent="0.35">
      <c r="C2346" s="100" t="str">
        <f>IF(OR(Fact_Analitica[[#This Row], [Año]]="",Fact_Analitica[[#This Row], [Mes]]=""),"",DATE(A2346,MATCH(B2346,{"enero","febrero","marzo","abril","mayo","junio","julio","agosto","septiembre","octubre","noviembre","diciembre"},0)+1,0))</f>
        <v/>
      </c>
      <c r="E2346" t="str">
        <f>+IFERROR(VLOOKUP(Fact_Analitica[[#This Row], [Concepto Anterior]],Conceptos_Analítica_contraloría[#All],5,0),"")</f>
        <v/>
      </c>
      <c r="F2346" t="str">
        <f>+IFERROR(VLOOKUP(Fact_Analitica[[#This Row], [Concepto Anterior]],Conceptos_Analítica_contraloría[#All],7,0),"")</f>
        <v/>
      </c>
      <c r="I2346" t="str">
        <f>+IFERROR(VLOOKUP(D2346,Conceptos_Analítica_contraloría[#All],2,0),"")</f>
        <v/>
      </c>
      <c r="J2346" s="84" t="str">
        <f>+IFERROR(VLOOKUP(D2346,Conceptos_Analítica_contraloría[#All],3,0),"")</f>
        <v/>
      </c>
    </row>
    <row r="2347" spans="3:10" ht="18.75" customHeight="1" x14ac:dyDescent="0.35">
      <c r="C2347" s="100" t="str">
        <f>IF(OR(Fact_Analitica[[#This Row], [Año]]="",Fact_Analitica[[#This Row], [Mes]]=""),"",DATE(A2347,MATCH(B2347,{"enero","febrero","marzo","abril","mayo","junio","julio","agosto","septiembre","octubre","noviembre","diciembre"},0)+1,0))</f>
        <v/>
      </c>
      <c r="E2347" t="str">
        <f>+IFERROR(VLOOKUP(Fact_Analitica[[#This Row], [Concepto Anterior]],Conceptos_Analítica_contraloría[#All],5,0),"")</f>
        <v/>
      </c>
      <c r="F2347" t="str">
        <f>+IFERROR(VLOOKUP(Fact_Analitica[[#This Row], [Concepto Anterior]],Conceptos_Analítica_contraloría[#All],7,0),"")</f>
        <v/>
      </c>
      <c r="I2347" t="str">
        <f>+IFERROR(VLOOKUP(D2347,Conceptos_Analítica_contraloría[#All],2,0),"")</f>
        <v/>
      </c>
      <c r="J2347" s="84" t="str">
        <f>+IFERROR(VLOOKUP(D2347,Conceptos_Analítica_contraloría[#All],3,0),"")</f>
        <v/>
      </c>
    </row>
    <row r="2348" spans="3:10" ht="18.75" customHeight="1" x14ac:dyDescent="0.35">
      <c r="C2348" s="100" t="str">
        <f>IF(OR(Fact_Analitica[[#This Row], [Año]]="",Fact_Analitica[[#This Row], [Mes]]=""),"",DATE(A2348,MATCH(B2348,{"enero","febrero","marzo","abril","mayo","junio","julio","agosto","septiembre","octubre","noviembre","diciembre"},0)+1,0))</f>
        <v/>
      </c>
      <c r="E2348" t="str">
        <f>+IFERROR(VLOOKUP(Fact_Analitica[[#This Row], [Concepto Anterior]],Conceptos_Analítica_contraloría[#All],5,0),"")</f>
        <v/>
      </c>
      <c r="F2348" t="str">
        <f>+IFERROR(VLOOKUP(Fact_Analitica[[#This Row], [Concepto Anterior]],Conceptos_Analítica_contraloría[#All],7,0),"")</f>
        <v/>
      </c>
      <c r="I2348" t="str">
        <f>+IFERROR(VLOOKUP(D2348,Conceptos_Analítica_contraloría[#All],2,0),"")</f>
        <v/>
      </c>
      <c r="J2348" s="84" t="str">
        <f>+IFERROR(VLOOKUP(D2348,Conceptos_Analítica_contraloría[#All],3,0),"")</f>
        <v/>
      </c>
    </row>
    <row r="2349" spans="3:10" ht="18.75" customHeight="1" x14ac:dyDescent="0.35">
      <c r="C2349" s="100" t="str">
        <f>IF(OR(Fact_Analitica[[#This Row], [Año]]="",Fact_Analitica[[#This Row], [Mes]]=""),"",DATE(A2349,MATCH(B2349,{"enero","febrero","marzo","abril","mayo","junio","julio","agosto","septiembre","octubre","noviembre","diciembre"},0)+1,0))</f>
        <v/>
      </c>
      <c r="E2349" t="str">
        <f>+IFERROR(VLOOKUP(Fact_Analitica[[#This Row], [Concepto Anterior]],Conceptos_Analítica_contraloría[#All],5,0),"")</f>
        <v/>
      </c>
      <c r="F2349" t="str">
        <f>+IFERROR(VLOOKUP(Fact_Analitica[[#This Row], [Concepto Anterior]],Conceptos_Analítica_contraloría[#All],7,0),"")</f>
        <v/>
      </c>
      <c r="I2349" t="str">
        <f>+IFERROR(VLOOKUP(D2349,Conceptos_Analítica_contraloría[#All],2,0),"")</f>
        <v/>
      </c>
      <c r="J2349" s="84" t="str">
        <f>+IFERROR(VLOOKUP(D2349,Conceptos_Analítica_contraloría[#All],3,0),"")</f>
        <v/>
      </c>
    </row>
    <row r="2350" spans="3:10" ht="18.75" customHeight="1" x14ac:dyDescent="0.35">
      <c r="C2350" s="100" t="str">
        <f>IF(OR(Fact_Analitica[[#This Row], [Año]]="",Fact_Analitica[[#This Row], [Mes]]=""),"",DATE(A2350,MATCH(B2350,{"enero","febrero","marzo","abril","mayo","junio","julio","agosto","septiembre","octubre","noviembre","diciembre"},0)+1,0))</f>
        <v/>
      </c>
      <c r="E2350" t="str">
        <f>+IFERROR(VLOOKUP(Fact_Analitica[[#This Row], [Concepto Anterior]],Conceptos_Analítica_contraloría[#All],5,0),"")</f>
        <v/>
      </c>
      <c r="F2350" t="str">
        <f>+IFERROR(VLOOKUP(Fact_Analitica[[#This Row], [Concepto Anterior]],Conceptos_Analítica_contraloría[#All],7,0),"")</f>
        <v/>
      </c>
      <c r="I2350" t="str">
        <f>+IFERROR(VLOOKUP(D2350,Conceptos_Analítica_contraloría[#All],2,0),"")</f>
        <v/>
      </c>
      <c r="J2350" s="84" t="str">
        <f>+IFERROR(VLOOKUP(D2350,Conceptos_Analítica_contraloría[#All],3,0),"")</f>
        <v/>
      </c>
    </row>
    <row r="2351" spans="3:10" ht="18.75" customHeight="1" x14ac:dyDescent="0.35">
      <c r="C2351" s="100" t="str">
        <f>IF(OR(Fact_Analitica[[#This Row], [Año]]="",Fact_Analitica[[#This Row], [Mes]]=""),"",DATE(A2351,MATCH(B2351,{"enero","febrero","marzo","abril","mayo","junio","julio","agosto","septiembre","octubre","noviembre","diciembre"},0)+1,0))</f>
        <v/>
      </c>
      <c r="E2351" t="str">
        <f>+IFERROR(VLOOKUP(Fact_Analitica[[#This Row], [Concepto Anterior]],Conceptos_Analítica_contraloría[#All],5,0),"")</f>
        <v/>
      </c>
      <c r="F2351" t="str">
        <f>+IFERROR(VLOOKUP(Fact_Analitica[[#This Row], [Concepto Anterior]],Conceptos_Analítica_contraloría[#All],7,0),"")</f>
        <v/>
      </c>
      <c r="I2351" t="str">
        <f>+IFERROR(VLOOKUP(D2351,Conceptos_Analítica_contraloría[#All],2,0),"")</f>
        <v/>
      </c>
      <c r="J2351" s="84" t="str">
        <f>+IFERROR(VLOOKUP(D2351,Conceptos_Analítica_contraloría[#All],3,0),"")</f>
        <v/>
      </c>
    </row>
    <row r="2352" spans="3:10" ht="18.75" customHeight="1" x14ac:dyDescent="0.35">
      <c r="C2352" s="100" t="str">
        <f>IF(OR(Fact_Analitica[[#This Row], [Año]]="",Fact_Analitica[[#This Row], [Mes]]=""),"",DATE(A2352,MATCH(B2352,{"enero","febrero","marzo","abril","mayo","junio","julio","agosto","septiembre","octubre","noviembre","diciembre"},0)+1,0))</f>
        <v/>
      </c>
      <c r="E2352" t="str">
        <f>+IFERROR(VLOOKUP(Fact_Analitica[[#This Row], [Concepto Anterior]],Conceptos_Analítica_contraloría[#All],5,0),"")</f>
        <v/>
      </c>
      <c r="F2352" t="str">
        <f>+IFERROR(VLOOKUP(Fact_Analitica[[#This Row], [Concepto Anterior]],Conceptos_Analítica_contraloría[#All],7,0),"")</f>
        <v/>
      </c>
      <c r="I2352" t="str">
        <f>+IFERROR(VLOOKUP(D2352,Conceptos_Analítica_contraloría[#All],2,0),"")</f>
        <v/>
      </c>
      <c r="J2352" s="84" t="str">
        <f>+IFERROR(VLOOKUP(D2352,Conceptos_Analítica_contraloría[#All],3,0),"")</f>
        <v/>
      </c>
    </row>
    <row r="2353" spans="3:10" ht="18.75" customHeight="1" x14ac:dyDescent="0.35">
      <c r="C2353" s="100" t="str">
        <f>IF(OR(Fact_Analitica[[#This Row], [Año]]="",Fact_Analitica[[#This Row], [Mes]]=""),"",DATE(A2353,MATCH(B2353,{"enero","febrero","marzo","abril","mayo","junio","julio","agosto","septiembre","octubre","noviembre","diciembre"},0)+1,0))</f>
        <v/>
      </c>
      <c r="E2353" t="str">
        <f>+IFERROR(VLOOKUP(Fact_Analitica[[#This Row], [Concepto Anterior]],Conceptos_Analítica_contraloría[#All],5,0),"")</f>
        <v/>
      </c>
      <c r="F2353" t="str">
        <f>+IFERROR(VLOOKUP(Fact_Analitica[[#This Row], [Concepto Anterior]],Conceptos_Analítica_contraloría[#All],7,0),"")</f>
        <v/>
      </c>
      <c r="I2353" t="str">
        <f>+IFERROR(VLOOKUP(D2353,Conceptos_Analítica_contraloría[#All],2,0),"")</f>
        <v/>
      </c>
      <c r="J2353" s="84" t="str">
        <f>+IFERROR(VLOOKUP(D2353,Conceptos_Analítica_contraloría[#All],3,0),"")</f>
        <v/>
      </c>
    </row>
    <row r="2354" spans="3:10" ht="18.75" customHeight="1" x14ac:dyDescent="0.35">
      <c r="C2354" s="100" t="str">
        <f>IF(OR(Fact_Analitica[[#This Row], [Año]]="",Fact_Analitica[[#This Row], [Mes]]=""),"",DATE(A2354,MATCH(B2354,{"enero","febrero","marzo","abril","mayo","junio","julio","agosto","septiembre","octubre","noviembre","diciembre"},0)+1,0))</f>
        <v/>
      </c>
      <c r="E2354" t="str">
        <f>+IFERROR(VLOOKUP(Fact_Analitica[[#This Row], [Concepto Anterior]],Conceptos_Analítica_contraloría[#All],5,0),"")</f>
        <v/>
      </c>
      <c r="F2354" t="str">
        <f>+IFERROR(VLOOKUP(Fact_Analitica[[#This Row], [Concepto Anterior]],Conceptos_Analítica_contraloría[#All],7,0),"")</f>
        <v/>
      </c>
      <c r="I2354" t="str">
        <f>+IFERROR(VLOOKUP(D2354,Conceptos_Analítica_contraloría[#All],2,0),"")</f>
        <v/>
      </c>
      <c r="J2354" s="84" t="str">
        <f>+IFERROR(VLOOKUP(D2354,Conceptos_Analítica_contraloría[#All],3,0),"")</f>
        <v/>
      </c>
    </row>
    <row r="2355" spans="3:10" ht="18.75" customHeight="1" x14ac:dyDescent="0.35">
      <c r="C2355" s="100" t="str">
        <f>IF(OR(Fact_Analitica[[#This Row], [Año]]="",Fact_Analitica[[#This Row], [Mes]]=""),"",DATE(A2355,MATCH(B2355,{"enero","febrero","marzo","abril","mayo","junio","julio","agosto","septiembre","octubre","noviembre","diciembre"},0)+1,0))</f>
        <v/>
      </c>
      <c r="E2355" t="str">
        <f>+IFERROR(VLOOKUP(Fact_Analitica[[#This Row], [Concepto Anterior]],Conceptos_Analítica_contraloría[#All],5,0),"")</f>
        <v/>
      </c>
      <c r="F2355" t="str">
        <f>+IFERROR(VLOOKUP(Fact_Analitica[[#This Row], [Concepto Anterior]],Conceptos_Analítica_contraloría[#All],7,0),"")</f>
        <v/>
      </c>
      <c r="I2355" t="str">
        <f>+IFERROR(VLOOKUP(D2355,Conceptos_Analítica_contraloría[#All],2,0),"")</f>
        <v/>
      </c>
      <c r="J2355" s="84" t="str">
        <f>+IFERROR(VLOOKUP(D2355,Conceptos_Analítica_contraloría[#All],3,0),"")</f>
        <v/>
      </c>
    </row>
    <row r="2356" spans="3:10" ht="18.75" customHeight="1" x14ac:dyDescent="0.35">
      <c r="C2356" s="100" t="str">
        <f>IF(OR(Fact_Analitica[[#This Row], [Año]]="",Fact_Analitica[[#This Row], [Mes]]=""),"",DATE(A2356,MATCH(B2356,{"enero","febrero","marzo","abril","mayo","junio","julio","agosto","septiembre","octubre","noviembre","diciembre"},0)+1,0))</f>
        <v/>
      </c>
      <c r="E2356" t="str">
        <f>+IFERROR(VLOOKUP(Fact_Analitica[[#This Row], [Concepto Anterior]],Conceptos_Analítica_contraloría[#All],5,0),"")</f>
        <v/>
      </c>
      <c r="F2356" t="str">
        <f>+IFERROR(VLOOKUP(Fact_Analitica[[#This Row], [Concepto Anterior]],Conceptos_Analítica_contraloría[#All],7,0),"")</f>
        <v/>
      </c>
      <c r="I2356" t="str">
        <f>+IFERROR(VLOOKUP(D2356,Conceptos_Analítica_contraloría[#All],2,0),"")</f>
        <v/>
      </c>
      <c r="J2356" s="84" t="str">
        <f>+IFERROR(VLOOKUP(D2356,Conceptos_Analítica_contraloría[#All],3,0),"")</f>
        <v/>
      </c>
    </row>
    <row r="2357" spans="3:10" ht="18.75" customHeight="1" x14ac:dyDescent="0.35">
      <c r="C2357" s="100" t="str">
        <f>IF(OR(Fact_Analitica[[#This Row], [Año]]="",Fact_Analitica[[#This Row], [Mes]]=""),"",DATE(A2357,MATCH(B2357,{"enero","febrero","marzo","abril","mayo","junio","julio","agosto","septiembre","octubre","noviembre","diciembre"},0)+1,0))</f>
        <v/>
      </c>
      <c r="E2357" t="str">
        <f>+IFERROR(VLOOKUP(Fact_Analitica[[#This Row], [Concepto Anterior]],Conceptos_Analítica_contraloría[#All],5,0),"")</f>
        <v/>
      </c>
      <c r="F2357" t="str">
        <f>+IFERROR(VLOOKUP(Fact_Analitica[[#This Row], [Concepto Anterior]],Conceptos_Analítica_contraloría[#All],7,0),"")</f>
        <v/>
      </c>
      <c r="I2357" t="str">
        <f>+IFERROR(VLOOKUP(D2357,Conceptos_Analítica_contraloría[#All],2,0),"")</f>
        <v/>
      </c>
      <c r="J2357" s="84" t="str">
        <f>+IFERROR(VLOOKUP(D2357,Conceptos_Analítica_contraloría[#All],3,0),"")</f>
        <v/>
      </c>
    </row>
    <row r="2358" spans="3:10" ht="18.75" customHeight="1" x14ac:dyDescent="0.35">
      <c r="C2358" s="100" t="str">
        <f>IF(OR(Fact_Analitica[[#This Row], [Año]]="",Fact_Analitica[[#This Row], [Mes]]=""),"",DATE(A2358,MATCH(B2358,{"enero","febrero","marzo","abril","mayo","junio","julio","agosto","septiembre","octubre","noviembre","diciembre"},0)+1,0))</f>
        <v/>
      </c>
      <c r="E2358" t="str">
        <f>+IFERROR(VLOOKUP(Fact_Analitica[[#This Row], [Concepto Anterior]],Conceptos_Analítica_contraloría[#All],5,0),"")</f>
        <v/>
      </c>
      <c r="F2358" t="str">
        <f>+IFERROR(VLOOKUP(Fact_Analitica[[#This Row], [Concepto Anterior]],Conceptos_Analítica_contraloría[#All],7,0),"")</f>
        <v/>
      </c>
      <c r="I2358" t="str">
        <f>+IFERROR(VLOOKUP(D2358,Conceptos_Analítica_contraloría[#All],2,0),"")</f>
        <v/>
      </c>
      <c r="J2358" s="84" t="str">
        <f>+IFERROR(VLOOKUP(D2358,Conceptos_Analítica_contraloría[#All],3,0),"")</f>
        <v/>
      </c>
    </row>
    <row r="2359" spans="3:10" ht="18.75" customHeight="1" x14ac:dyDescent="0.35">
      <c r="C2359" s="100" t="str">
        <f>IF(OR(Fact_Analitica[[#This Row], [Año]]="",Fact_Analitica[[#This Row], [Mes]]=""),"",DATE(A2359,MATCH(B2359,{"enero","febrero","marzo","abril","mayo","junio","julio","agosto","septiembre","octubre","noviembre","diciembre"},0)+1,0))</f>
        <v/>
      </c>
      <c r="E2359" t="str">
        <f>+IFERROR(VLOOKUP(Fact_Analitica[[#This Row], [Concepto Anterior]],Conceptos_Analítica_contraloría[#All],5,0),"")</f>
        <v/>
      </c>
      <c r="F2359" t="str">
        <f>+IFERROR(VLOOKUP(Fact_Analitica[[#This Row], [Concepto Anterior]],Conceptos_Analítica_contraloría[#All],7,0),"")</f>
        <v/>
      </c>
      <c r="I2359" t="str">
        <f>+IFERROR(VLOOKUP(D2359,Conceptos_Analítica_contraloría[#All],2,0),"")</f>
        <v/>
      </c>
      <c r="J2359" s="84" t="str">
        <f>+IFERROR(VLOOKUP(D2359,Conceptos_Analítica_contraloría[#All],3,0),"")</f>
        <v/>
      </c>
    </row>
    <row r="2360" spans="3:10" ht="18.75" customHeight="1" x14ac:dyDescent="0.35">
      <c r="C2360" s="100" t="str">
        <f>IF(OR(Fact_Analitica[[#This Row], [Año]]="",Fact_Analitica[[#This Row], [Mes]]=""),"",DATE(A2360,MATCH(B2360,{"enero","febrero","marzo","abril","mayo","junio","julio","agosto","septiembre","octubre","noviembre","diciembre"},0)+1,0))</f>
        <v/>
      </c>
      <c r="E2360" t="str">
        <f>+IFERROR(VLOOKUP(Fact_Analitica[[#This Row], [Concepto Anterior]],Conceptos_Analítica_contraloría[#All],5,0),"")</f>
        <v/>
      </c>
      <c r="F2360" t="str">
        <f>+IFERROR(VLOOKUP(Fact_Analitica[[#This Row], [Concepto Anterior]],Conceptos_Analítica_contraloría[#All],7,0),"")</f>
        <v/>
      </c>
      <c r="I2360" t="str">
        <f>+IFERROR(VLOOKUP(D2360,Conceptos_Analítica_contraloría[#All],2,0),"")</f>
        <v/>
      </c>
      <c r="J2360" s="84" t="str">
        <f>+IFERROR(VLOOKUP(D2360,Conceptos_Analítica_contraloría[#All],3,0),"")</f>
        <v/>
      </c>
    </row>
    <row r="2361" spans="3:10" ht="18.75" customHeight="1" x14ac:dyDescent="0.35">
      <c r="C2361" s="100" t="str">
        <f>IF(OR(Fact_Analitica[[#This Row], [Año]]="",Fact_Analitica[[#This Row], [Mes]]=""),"",DATE(A2361,MATCH(B2361,{"enero","febrero","marzo","abril","mayo","junio","julio","agosto","septiembre","octubre","noviembre","diciembre"},0)+1,0))</f>
        <v/>
      </c>
      <c r="E2361" t="str">
        <f>+IFERROR(VLOOKUP(Fact_Analitica[[#This Row], [Concepto Anterior]],Conceptos_Analítica_contraloría[#All],5,0),"")</f>
        <v/>
      </c>
      <c r="F2361" t="str">
        <f>+IFERROR(VLOOKUP(Fact_Analitica[[#This Row], [Concepto Anterior]],Conceptos_Analítica_contraloría[#All],7,0),"")</f>
        <v/>
      </c>
      <c r="I2361" t="str">
        <f>+IFERROR(VLOOKUP(D2361,Conceptos_Analítica_contraloría[#All],2,0),"")</f>
        <v/>
      </c>
      <c r="J2361" s="84" t="str">
        <f>+IFERROR(VLOOKUP(D2361,Conceptos_Analítica_contraloría[#All],3,0),"")</f>
        <v/>
      </c>
    </row>
    <row r="2362" spans="3:10" ht="18.75" customHeight="1" x14ac:dyDescent="0.35">
      <c r="C2362" s="100" t="str">
        <f>IF(OR(Fact_Analitica[[#This Row], [Año]]="",Fact_Analitica[[#This Row], [Mes]]=""),"",DATE(A2362,MATCH(B2362,{"enero","febrero","marzo","abril","mayo","junio","julio","agosto","septiembre","octubre","noviembre","diciembre"},0)+1,0))</f>
        <v/>
      </c>
      <c r="E2362" t="str">
        <f>+IFERROR(VLOOKUP(Fact_Analitica[[#This Row], [Concepto Anterior]],Conceptos_Analítica_contraloría[#All],5,0),"")</f>
        <v/>
      </c>
      <c r="F2362" t="str">
        <f>+IFERROR(VLOOKUP(Fact_Analitica[[#This Row], [Concepto Anterior]],Conceptos_Analítica_contraloría[#All],7,0),"")</f>
        <v/>
      </c>
      <c r="I2362" t="str">
        <f>+IFERROR(VLOOKUP(D2362,Conceptos_Analítica_contraloría[#All],2,0),"")</f>
        <v/>
      </c>
      <c r="J2362" s="84" t="str">
        <f>+IFERROR(VLOOKUP(D2362,Conceptos_Analítica_contraloría[#All],3,0),"")</f>
        <v/>
      </c>
    </row>
    <row r="2363" spans="3:10" ht="18.75" customHeight="1" x14ac:dyDescent="0.35">
      <c r="C2363" s="100" t="str">
        <f>IF(OR(Fact_Analitica[[#This Row], [Año]]="",Fact_Analitica[[#This Row], [Mes]]=""),"",DATE(A2363,MATCH(B2363,{"enero","febrero","marzo","abril","mayo","junio","julio","agosto","septiembre","octubre","noviembre","diciembre"},0)+1,0))</f>
        <v/>
      </c>
      <c r="E2363" t="str">
        <f>+IFERROR(VLOOKUP(Fact_Analitica[[#This Row], [Concepto Anterior]],Conceptos_Analítica_contraloría[#All],5,0),"")</f>
        <v/>
      </c>
      <c r="F2363" t="str">
        <f>+IFERROR(VLOOKUP(Fact_Analitica[[#This Row], [Concepto Anterior]],Conceptos_Analítica_contraloría[#All],7,0),"")</f>
        <v/>
      </c>
      <c r="I2363" t="str">
        <f>+IFERROR(VLOOKUP(D2363,Conceptos_Analítica_contraloría[#All],2,0),"")</f>
        <v/>
      </c>
      <c r="J2363" s="84" t="str">
        <f>+IFERROR(VLOOKUP(D2363,Conceptos_Analítica_contraloría[#All],3,0),"")</f>
        <v/>
      </c>
    </row>
    <row r="2364" spans="3:10" ht="18.75" customHeight="1" x14ac:dyDescent="0.35">
      <c r="C2364" s="100" t="str">
        <f>IF(OR(Fact_Analitica[[#This Row], [Año]]="",Fact_Analitica[[#This Row], [Mes]]=""),"",DATE(A2364,MATCH(B2364,{"enero","febrero","marzo","abril","mayo","junio","julio","agosto","septiembre","octubre","noviembre","diciembre"},0)+1,0))</f>
        <v/>
      </c>
      <c r="E2364" t="str">
        <f>+IFERROR(VLOOKUP(Fact_Analitica[[#This Row], [Concepto Anterior]],Conceptos_Analítica_contraloría[#All],5,0),"")</f>
        <v/>
      </c>
      <c r="F2364" t="str">
        <f>+IFERROR(VLOOKUP(Fact_Analitica[[#This Row], [Concepto Anterior]],Conceptos_Analítica_contraloría[#All],7,0),"")</f>
        <v/>
      </c>
      <c r="I2364" t="str">
        <f>+IFERROR(VLOOKUP(D2364,Conceptos_Analítica_contraloría[#All],2,0),"")</f>
        <v/>
      </c>
      <c r="J2364" s="84" t="str">
        <f>+IFERROR(VLOOKUP(D2364,Conceptos_Analítica_contraloría[#All],3,0),"")</f>
        <v/>
      </c>
    </row>
    <row r="2365" spans="3:10" ht="18.75" customHeight="1" x14ac:dyDescent="0.35">
      <c r="C2365" s="100" t="str">
        <f>IF(OR(Fact_Analitica[[#This Row], [Año]]="",Fact_Analitica[[#This Row], [Mes]]=""),"",DATE(A2365,MATCH(B2365,{"enero","febrero","marzo","abril","mayo","junio","julio","agosto","septiembre","octubre","noviembre","diciembre"},0)+1,0))</f>
        <v/>
      </c>
      <c r="E2365" t="str">
        <f>+IFERROR(VLOOKUP(Fact_Analitica[[#This Row], [Concepto Anterior]],Conceptos_Analítica_contraloría[#All],5,0),"")</f>
        <v/>
      </c>
      <c r="F2365" t="str">
        <f>+IFERROR(VLOOKUP(Fact_Analitica[[#This Row], [Concepto Anterior]],Conceptos_Analítica_contraloría[#All],7,0),"")</f>
        <v/>
      </c>
      <c r="I2365" t="str">
        <f>+IFERROR(VLOOKUP(D2365,Conceptos_Analítica_contraloría[#All],2,0),"")</f>
        <v/>
      </c>
      <c r="J2365" s="84" t="str">
        <f>+IFERROR(VLOOKUP(D2365,Conceptos_Analítica_contraloría[#All],3,0),"")</f>
        <v/>
      </c>
    </row>
    <row r="2366" spans="3:10" ht="18.75" customHeight="1" x14ac:dyDescent="0.35">
      <c r="C2366" s="100" t="str">
        <f>IF(OR(Fact_Analitica[[#This Row], [Año]]="",Fact_Analitica[[#This Row], [Mes]]=""),"",DATE(A2366,MATCH(B2366,{"enero","febrero","marzo","abril","mayo","junio","julio","agosto","septiembre","octubre","noviembre","diciembre"},0)+1,0))</f>
        <v/>
      </c>
      <c r="E2366" t="str">
        <f>+IFERROR(VLOOKUP(Fact_Analitica[[#This Row], [Concepto Anterior]],Conceptos_Analítica_contraloría[#All],5,0),"")</f>
        <v/>
      </c>
      <c r="F2366" t="str">
        <f>+IFERROR(VLOOKUP(Fact_Analitica[[#This Row], [Concepto Anterior]],Conceptos_Analítica_contraloría[#All],7,0),"")</f>
        <v/>
      </c>
      <c r="I2366" t="str">
        <f>+IFERROR(VLOOKUP(D2366,Conceptos_Analítica_contraloría[#All],2,0),"")</f>
        <v/>
      </c>
      <c r="J2366" s="84" t="str">
        <f>+IFERROR(VLOOKUP(D2366,Conceptos_Analítica_contraloría[#All],3,0),"")</f>
        <v/>
      </c>
    </row>
    <row r="2367" spans="3:10" ht="18.75" customHeight="1" x14ac:dyDescent="0.35">
      <c r="C2367" s="100" t="str">
        <f>IF(OR(Fact_Analitica[[#This Row], [Año]]="",Fact_Analitica[[#This Row], [Mes]]=""),"",DATE(A2367,MATCH(B2367,{"enero","febrero","marzo","abril","mayo","junio","julio","agosto","septiembre","octubre","noviembre","diciembre"},0)+1,0))</f>
        <v/>
      </c>
      <c r="E2367" t="str">
        <f>+IFERROR(VLOOKUP(Fact_Analitica[[#This Row], [Concepto Anterior]],Conceptos_Analítica_contraloría[#All],5,0),"")</f>
        <v/>
      </c>
      <c r="F2367" t="str">
        <f>+IFERROR(VLOOKUP(Fact_Analitica[[#This Row], [Concepto Anterior]],Conceptos_Analítica_contraloría[#All],7,0),"")</f>
        <v/>
      </c>
      <c r="I2367" t="str">
        <f>+IFERROR(VLOOKUP(D2367,Conceptos_Analítica_contraloría[#All],2,0),"")</f>
        <v/>
      </c>
      <c r="J2367" s="84" t="str">
        <f>+IFERROR(VLOOKUP(D2367,Conceptos_Analítica_contraloría[#All],3,0),"")</f>
        <v/>
      </c>
    </row>
    <row r="2368" spans="3:10" ht="18.75" customHeight="1" x14ac:dyDescent="0.35">
      <c r="C2368" s="100" t="str">
        <f>IF(OR(Fact_Analitica[[#This Row], [Año]]="",Fact_Analitica[[#This Row], [Mes]]=""),"",DATE(A2368,MATCH(B2368,{"enero","febrero","marzo","abril","mayo","junio","julio","agosto","septiembre","octubre","noviembre","diciembre"},0)+1,0))</f>
        <v/>
      </c>
      <c r="E2368" t="str">
        <f>+IFERROR(VLOOKUP(Fact_Analitica[[#This Row], [Concepto Anterior]],Conceptos_Analítica_contraloría[#All],5,0),"")</f>
        <v/>
      </c>
      <c r="F2368" t="str">
        <f>+IFERROR(VLOOKUP(Fact_Analitica[[#This Row], [Concepto Anterior]],Conceptos_Analítica_contraloría[#All],7,0),"")</f>
        <v/>
      </c>
      <c r="I2368" t="str">
        <f>+IFERROR(VLOOKUP(D2368,Conceptos_Analítica_contraloría[#All],2,0),"")</f>
        <v/>
      </c>
      <c r="J2368" s="84" t="str">
        <f>+IFERROR(VLOOKUP(D2368,Conceptos_Analítica_contraloría[#All],3,0),"")</f>
        <v/>
      </c>
    </row>
    <row r="2369" spans="3:10" ht="18.75" customHeight="1" x14ac:dyDescent="0.35">
      <c r="C2369" s="100" t="str">
        <f>IF(OR(Fact_Analitica[[#This Row], [Año]]="",Fact_Analitica[[#This Row], [Mes]]=""),"",DATE(A2369,MATCH(B2369,{"enero","febrero","marzo","abril","mayo","junio","julio","agosto","septiembre","octubre","noviembre","diciembre"},0)+1,0))</f>
        <v/>
      </c>
      <c r="E2369" t="str">
        <f>+IFERROR(VLOOKUP(Fact_Analitica[[#This Row], [Concepto Anterior]],Conceptos_Analítica_contraloría[#All],5,0),"")</f>
        <v/>
      </c>
      <c r="F2369" t="str">
        <f>+IFERROR(VLOOKUP(Fact_Analitica[[#This Row], [Concepto Anterior]],Conceptos_Analítica_contraloría[#All],7,0),"")</f>
        <v/>
      </c>
      <c r="I2369" t="str">
        <f>+IFERROR(VLOOKUP(D2369,Conceptos_Analítica_contraloría[#All],2,0),"")</f>
        <v/>
      </c>
      <c r="J2369" s="84" t="str">
        <f>+IFERROR(VLOOKUP(D2369,Conceptos_Analítica_contraloría[#All],3,0),"")</f>
        <v/>
      </c>
    </row>
    <row r="2370" spans="3:10" ht="18.75" customHeight="1" x14ac:dyDescent="0.35">
      <c r="C2370" s="100" t="str">
        <f>IF(OR(Fact_Analitica[[#This Row], [Año]]="",Fact_Analitica[[#This Row], [Mes]]=""),"",DATE(A2370,MATCH(B2370,{"enero","febrero","marzo","abril","mayo","junio","julio","agosto","septiembre","octubre","noviembre","diciembre"},0)+1,0))</f>
        <v/>
      </c>
      <c r="E2370" t="str">
        <f>+IFERROR(VLOOKUP(Fact_Analitica[[#This Row], [Concepto Anterior]],Conceptos_Analítica_contraloría[#All],5,0),"")</f>
        <v/>
      </c>
      <c r="F2370" t="str">
        <f>+IFERROR(VLOOKUP(Fact_Analitica[[#This Row], [Concepto Anterior]],Conceptos_Analítica_contraloría[#All],7,0),"")</f>
        <v/>
      </c>
      <c r="I2370" t="str">
        <f>+IFERROR(VLOOKUP(D2370,Conceptos_Analítica_contraloría[#All],2,0),"")</f>
        <v/>
      </c>
      <c r="J2370" s="84" t="str">
        <f>+IFERROR(VLOOKUP(D2370,Conceptos_Analítica_contraloría[#All],3,0),"")</f>
        <v/>
      </c>
    </row>
    <row r="2371" spans="3:10" ht="18.75" customHeight="1" x14ac:dyDescent="0.35">
      <c r="C2371" s="100" t="str">
        <f>IF(OR(Fact_Analitica[[#This Row], [Año]]="",Fact_Analitica[[#This Row], [Mes]]=""),"",DATE(A2371,MATCH(B2371,{"enero","febrero","marzo","abril","mayo","junio","julio","agosto","septiembre","octubre","noviembre","diciembre"},0)+1,0))</f>
        <v/>
      </c>
      <c r="E2371" t="str">
        <f>+IFERROR(VLOOKUP(Fact_Analitica[[#This Row], [Concepto Anterior]],Conceptos_Analítica_contraloría[#All],5,0),"")</f>
        <v/>
      </c>
      <c r="F2371" t="str">
        <f>+IFERROR(VLOOKUP(Fact_Analitica[[#This Row], [Concepto Anterior]],Conceptos_Analítica_contraloría[#All],7,0),"")</f>
        <v/>
      </c>
      <c r="I2371" t="str">
        <f>+IFERROR(VLOOKUP(D2371,Conceptos_Analítica_contraloría[#All],2,0),"")</f>
        <v/>
      </c>
      <c r="J2371" s="84" t="str">
        <f>+IFERROR(VLOOKUP(D2371,Conceptos_Analítica_contraloría[#All],3,0),"")</f>
        <v/>
      </c>
    </row>
    <row r="2372" spans="3:10" ht="18.75" customHeight="1" x14ac:dyDescent="0.35">
      <c r="C2372" s="100" t="str">
        <f>IF(OR(Fact_Analitica[[#This Row], [Año]]="",Fact_Analitica[[#This Row], [Mes]]=""),"",DATE(A2372,MATCH(B2372,{"enero","febrero","marzo","abril","mayo","junio","julio","agosto","septiembre","octubre","noviembre","diciembre"},0)+1,0))</f>
        <v/>
      </c>
      <c r="E2372" t="str">
        <f>+IFERROR(VLOOKUP(Fact_Analitica[[#This Row], [Concepto Anterior]],Conceptos_Analítica_contraloría[#All],5,0),"")</f>
        <v/>
      </c>
      <c r="F2372" t="str">
        <f>+IFERROR(VLOOKUP(Fact_Analitica[[#This Row], [Concepto Anterior]],Conceptos_Analítica_contraloría[#All],7,0),"")</f>
        <v/>
      </c>
      <c r="I2372" t="str">
        <f>+IFERROR(VLOOKUP(D2372,Conceptos_Analítica_contraloría[#All],2,0),"")</f>
        <v/>
      </c>
      <c r="J2372" s="84" t="str">
        <f>+IFERROR(VLOOKUP(D2372,Conceptos_Analítica_contraloría[#All],3,0),"")</f>
        <v/>
      </c>
    </row>
    <row r="2373" spans="3:10" ht="18.75" customHeight="1" x14ac:dyDescent="0.35">
      <c r="C2373" s="100" t="str">
        <f>IF(OR(Fact_Analitica[[#This Row], [Año]]="",Fact_Analitica[[#This Row], [Mes]]=""),"",DATE(A2373,MATCH(B2373,{"enero","febrero","marzo","abril","mayo","junio","julio","agosto","septiembre","octubre","noviembre","diciembre"},0)+1,0))</f>
        <v/>
      </c>
      <c r="E2373" t="str">
        <f>+IFERROR(VLOOKUP(Fact_Analitica[[#This Row], [Concepto Anterior]],Conceptos_Analítica_contraloría[#All],5,0),"")</f>
        <v/>
      </c>
      <c r="F2373" t="str">
        <f>+IFERROR(VLOOKUP(Fact_Analitica[[#This Row], [Concepto Anterior]],Conceptos_Analítica_contraloría[#All],7,0),"")</f>
        <v/>
      </c>
      <c r="I2373" t="str">
        <f>+IFERROR(VLOOKUP(D2373,Conceptos_Analítica_contraloría[#All],2,0),"")</f>
        <v/>
      </c>
      <c r="J2373" s="84" t="str">
        <f>+IFERROR(VLOOKUP(D2373,Conceptos_Analítica_contraloría[#All],3,0),"")</f>
        <v/>
      </c>
    </row>
    <row r="2374" spans="3:10" ht="18.75" customHeight="1" x14ac:dyDescent="0.35">
      <c r="C2374" s="100" t="str">
        <f>IF(OR(Fact_Analitica[[#This Row], [Año]]="",Fact_Analitica[[#This Row], [Mes]]=""),"",DATE(A2374,MATCH(B2374,{"enero","febrero","marzo","abril","mayo","junio","julio","agosto","septiembre","octubre","noviembre","diciembre"},0)+1,0))</f>
        <v/>
      </c>
      <c r="E2374" t="str">
        <f>+IFERROR(VLOOKUP(Fact_Analitica[[#This Row], [Concepto Anterior]],Conceptos_Analítica_contraloría[#All],5,0),"")</f>
        <v/>
      </c>
      <c r="F2374" t="str">
        <f>+IFERROR(VLOOKUP(Fact_Analitica[[#This Row], [Concepto Anterior]],Conceptos_Analítica_contraloría[#All],7,0),"")</f>
        <v/>
      </c>
      <c r="I2374" t="str">
        <f>+IFERROR(VLOOKUP(D2374,Conceptos_Analítica_contraloría[#All],2,0),"")</f>
        <v/>
      </c>
      <c r="J2374" s="84" t="str">
        <f>+IFERROR(VLOOKUP(D2374,Conceptos_Analítica_contraloría[#All],3,0),"")</f>
        <v/>
      </c>
    </row>
    <row r="2375" spans="3:10" ht="18.75" customHeight="1" x14ac:dyDescent="0.35">
      <c r="C2375" s="100" t="str">
        <f>IF(OR(Fact_Analitica[[#This Row], [Año]]="",Fact_Analitica[[#This Row], [Mes]]=""),"",DATE(A2375,MATCH(B2375,{"enero","febrero","marzo","abril","mayo","junio","julio","agosto","septiembre","octubre","noviembre","diciembre"},0)+1,0))</f>
        <v/>
      </c>
      <c r="E2375" t="str">
        <f>+IFERROR(VLOOKUP(Fact_Analitica[[#This Row], [Concepto Anterior]],Conceptos_Analítica_contraloría[#All],5,0),"")</f>
        <v/>
      </c>
      <c r="F2375" t="str">
        <f>+IFERROR(VLOOKUP(Fact_Analitica[[#This Row], [Concepto Anterior]],Conceptos_Analítica_contraloría[#All],7,0),"")</f>
        <v/>
      </c>
      <c r="I2375" t="str">
        <f>+IFERROR(VLOOKUP(D2375,Conceptos_Analítica_contraloría[#All],2,0),"")</f>
        <v/>
      </c>
      <c r="J2375" s="84" t="str">
        <f>+IFERROR(VLOOKUP(D2375,Conceptos_Analítica_contraloría[#All],3,0),"")</f>
        <v/>
      </c>
    </row>
    <row r="2376" spans="3:10" ht="18.75" customHeight="1" x14ac:dyDescent="0.35">
      <c r="C2376" s="100" t="str">
        <f>IF(OR(Fact_Analitica[[#This Row], [Año]]="",Fact_Analitica[[#This Row], [Mes]]=""),"",DATE(A2376,MATCH(B2376,{"enero","febrero","marzo","abril","mayo","junio","julio","agosto","septiembre","octubre","noviembre","diciembre"},0)+1,0))</f>
        <v/>
      </c>
      <c r="E2376" t="str">
        <f>+IFERROR(VLOOKUP(Fact_Analitica[[#This Row], [Concepto Anterior]],Conceptos_Analítica_contraloría[#All],5,0),"")</f>
        <v/>
      </c>
      <c r="F2376" t="str">
        <f>+IFERROR(VLOOKUP(Fact_Analitica[[#This Row], [Concepto Anterior]],Conceptos_Analítica_contraloría[#All],7,0),"")</f>
        <v/>
      </c>
      <c r="I2376" t="str">
        <f>+IFERROR(VLOOKUP(D2376,Conceptos_Analítica_contraloría[#All],2,0),"")</f>
        <v/>
      </c>
      <c r="J2376" s="84" t="str">
        <f>+IFERROR(VLOOKUP(D2376,Conceptos_Analítica_contraloría[#All],3,0),"")</f>
        <v/>
      </c>
    </row>
    <row r="2377" spans="3:10" ht="18.75" customHeight="1" x14ac:dyDescent="0.35">
      <c r="C2377" s="100" t="str">
        <f>IF(OR(Fact_Analitica[[#This Row], [Año]]="",Fact_Analitica[[#This Row], [Mes]]=""),"",DATE(A2377,MATCH(B2377,{"enero","febrero","marzo","abril","mayo","junio","julio","agosto","septiembre","octubre","noviembre","diciembre"},0)+1,0))</f>
        <v/>
      </c>
      <c r="E2377" t="str">
        <f>+IFERROR(VLOOKUP(Fact_Analitica[[#This Row], [Concepto Anterior]],Conceptos_Analítica_contraloría[#All],5,0),"")</f>
        <v/>
      </c>
      <c r="F2377" t="str">
        <f>+IFERROR(VLOOKUP(Fact_Analitica[[#This Row], [Concepto Anterior]],Conceptos_Analítica_contraloría[#All],7,0),"")</f>
        <v/>
      </c>
      <c r="I2377" t="str">
        <f>+IFERROR(VLOOKUP(D2377,Conceptos_Analítica_contraloría[#All],2,0),"")</f>
        <v/>
      </c>
      <c r="J2377" s="84" t="str">
        <f>+IFERROR(VLOOKUP(D2377,Conceptos_Analítica_contraloría[#All],3,0),"")</f>
        <v/>
      </c>
    </row>
    <row r="2378" spans="3:10" ht="18.75" customHeight="1" x14ac:dyDescent="0.35">
      <c r="C2378" s="100" t="str">
        <f>IF(OR(Fact_Analitica[[#This Row], [Año]]="",Fact_Analitica[[#This Row], [Mes]]=""),"",DATE(A2378,MATCH(B2378,{"enero","febrero","marzo","abril","mayo","junio","julio","agosto","septiembre","octubre","noviembre","diciembre"},0)+1,0))</f>
        <v/>
      </c>
      <c r="E2378" t="str">
        <f>+IFERROR(VLOOKUP(Fact_Analitica[[#This Row], [Concepto Anterior]],Conceptos_Analítica_contraloría[#All],5,0),"")</f>
        <v/>
      </c>
      <c r="F2378" t="str">
        <f>+IFERROR(VLOOKUP(Fact_Analitica[[#This Row], [Concepto Anterior]],Conceptos_Analítica_contraloría[#All],7,0),"")</f>
        <v/>
      </c>
      <c r="I2378" t="str">
        <f>+IFERROR(VLOOKUP(D2378,Conceptos_Analítica_contraloría[#All],2,0),"")</f>
        <v/>
      </c>
      <c r="J2378" s="84" t="str">
        <f>+IFERROR(VLOOKUP(D2378,Conceptos_Analítica_contraloría[#All],3,0),"")</f>
        <v/>
      </c>
    </row>
    <row r="2379" spans="3:10" ht="18.75" customHeight="1" x14ac:dyDescent="0.35">
      <c r="C2379" s="100" t="str">
        <f>IF(OR(Fact_Analitica[[#This Row], [Año]]="",Fact_Analitica[[#This Row], [Mes]]=""),"",DATE(A2379,MATCH(B2379,{"enero","febrero","marzo","abril","mayo","junio","julio","agosto","septiembre","octubre","noviembre","diciembre"},0)+1,0))</f>
        <v/>
      </c>
      <c r="E2379" t="str">
        <f>+IFERROR(VLOOKUP(Fact_Analitica[[#This Row], [Concepto Anterior]],Conceptos_Analítica_contraloría[#All],5,0),"")</f>
        <v/>
      </c>
      <c r="F2379" t="str">
        <f>+IFERROR(VLOOKUP(Fact_Analitica[[#This Row], [Concepto Anterior]],Conceptos_Analítica_contraloría[#All],7,0),"")</f>
        <v/>
      </c>
      <c r="I2379" t="str">
        <f>+IFERROR(VLOOKUP(D2379,Conceptos_Analítica_contraloría[#All],2,0),"")</f>
        <v/>
      </c>
      <c r="J2379" s="84" t="str">
        <f>+IFERROR(VLOOKUP(D2379,Conceptos_Analítica_contraloría[#All],3,0),"")</f>
        <v/>
      </c>
    </row>
    <row r="2380" spans="3:10" ht="18.75" customHeight="1" x14ac:dyDescent="0.35">
      <c r="C2380" s="100" t="str">
        <f>IF(OR(Fact_Analitica[[#This Row], [Año]]="",Fact_Analitica[[#This Row], [Mes]]=""),"",DATE(A2380,MATCH(B2380,{"enero","febrero","marzo","abril","mayo","junio","julio","agosto","septiembre","octubre","noviembre","diciembre"},0)+1,0))</f>
        <v/>
      </c>
      <c r="E2380" t="str">
        <f>+IFERROR(VLOOKUP(Fact_Analitica[[#This Row], [Concepto Anterior]],Conceptos_Analítica_contraloría[#All],5,0),"")</f>
        <v/>
      </c>
      <c r="F2380" t="str">
        <f>+IFERROR(VLOOKUP(Fact_Analitica[[#This Row], [Concepto Anterior]],Conceptos_Analítica_contraloría[#All],7,0),"")</f>
        <v/>
      </c>
      <c r="I2380" t="str">
        <f>+IFERROR(VLOOKUP(D2380,Conceptos_Analítica_contraloría[#All],2,0),"")</f>
        <v/>
      </c>
      <c r="J2380" s="84" t="str">
        <f>+IFERROR(VLOOKUP(D2380,Conceptos_Analítica_contraloría[#All],3,0),"")</f>
        <v/>
      </c>
    </row>
    <row r="2381" spans="3:10" ht="18.75" customHeight="1" x14ac:dyDescent="0.35">
      <c r="C2381" s="100" t="str">
        <f>IF(OR(Fact_Analitica[[#This Row], [Año]]="",Fact_Analitica[[#This Row], [Mes]]=""),"",DATE(A2381,MATCH(B2381,{"enero","febrero","marzo","abril","mayo","junio","julio","agosto","septiembre","octubre","noviembre","diciembre"},0)+1,0))</f>
        <v/>
      </c>
      <c r="E2381" t="str">
        <f>+IFERROR(VLOOKUP(Fact_Analitica[[#This Row], [Concepto Anterior]],Conceptos_Analítica_contraloría[#All],5,0),"")</f>
        <v/>
      </c>
      <c r="F2381" t="str">
        <f>+IFERROR(VLOOKUP(Fact_Analitica[[#This Row], [Concepto Anterior]],Conceptos_Analítica_contraloría[#All],7,0),"")</f>
        <v/>
      </c>
      <c r="I2381" t="str">
        <f>+IFERROR(VLOOKUP(D2381,Conceptos_Analítica_contraloría[#All],2,0),"")</f>
        <v/>
      </c>
      <c r="J2381" s="84" t="str">
        <f>+IFERROR(VLOOKUP(D2381,Conceptos_Analítica_contraloría[#All],3,0),"")</f>
        <v/>
      </c>
    </row>
    <row r="2382" spans="3:10" ht="18.75" customHeight="1" x14ac:dyDescent="0.35">
      <c r="C2382" s="100" t="str">
        <f>IF(OR(Fact_Analitica[[#This Row], [Año]]="",Fact_Analitica[[#This Row], [Mes]]=""),"",DATE(A2382,MATCH(B2382,{"enero","febrero","marzo","abril","mayo","junio","julio","agosto","septiembre","octubre","noviembre","diciembre"},0)+1,0))</f>
        <v/>
      </c>
      <c r="E2382" t="str">
        <f>+IFERROR(VLOOKUP(Fact_Analitica[[#This Row], [Concepto Anterior]],Conceptos_Analítica_contraloría[#All],5,0),"")</f>
        <v/>
      </c>
      <c r="F2382" t="str">
        <f>+IFERROR(VLOOKUP(Fact_Analitica[[#This Row], [Concepto Anterior]],Conceptos_Analítica_contraloría[#All],7,0),"")</f>
        <v/>
      </c>
      <c r="I2382" t="str">
        <f>+IFERROR(VLOOKUP(D2382,Conceptos_Analítica_contraloría[#All],2,0),"")</f>
        <v/>
      </c>
      <c r="J2382" s="84" t="str">
        <f>+IFERROR(VLOOKUP(D2382,Conceptos_Analítica_contraloría[#All],3,0),"")</f>
        <v/>
      </c>
    </row>
    <row r="2383" spans="3:10" ht="18.75" customHeight="1" x14ac:dyDescent="0.35">
      <c r="C2383" s="100" t="str">
        <f>IF(OR(Fact_Analitica[[#This Row], [Año]]="",Fact_Analitica[[#This Row], [Mes]]=""),"",DATE(A2383,MATCH(B2383,{"enero","febrero","marzo","abril","mayo","junio","julio","agosto","septiembre","octubre","noviembre","diciembre"},0)+1,0))</f>
        <v/>
      </c>
      <c r="E2383" t="str">
        <f>+IFERROR(VLOOKUP(Fact_Analitica[[#This Row], [Concepto Anterior]],Conceptos_Analítica_contraloría[#All],5,0),"")</f>
        <v/>
      </c>
      <c r="F2383" t="str">
        <f>+IFERROR(VLOOKUP(Fact_Analitica[[#This Row], [Concepto Anterior]],Conceptos_Analítica_contraloría[#All],7,0),"")</f>
        <v/>
      </c>
      <c r="I2383" t="str">
        <f>+IFERROR(VLOOKUP(D2383,Conceptos_Analítica_contraloría[#All],2,0),"")</f>
        <v/>
      </c>
      <c r="J2383" s="84" t="str">
        <f>+IFERROR(VLOOKUP(D2383,Conceptos_Analítica_contraloría[#All],3,0),"")</f>
        <v/>
      </c>
    </row>
    <row r="2384" spans="3:10" ht="18.75" customHeight="1" x14ac:dyDescent="0.35">
      <c r="C2384" s="100" t="str">
        <f>IF(OR(Fact_Analitica[[#This Row], [Año]]="",Fact_Analitica[[#This Row], [Mes]]=""),"",DATE(A2384,MATCH(B2384,{"enero","febrero","marzo","abril","mayo","junio","julio","agosto","septiembre","octubre","noviembre","diciembre"},0)+1,0))</f>
        <v/>
      </c>
      <c r="E2384" t="str">
        <f>+IFERROR(VLOOKUP(Fact_Analitica[[#This Row], [Concepto Anterior]],Conceptos_Analítica_contraloría[#All],5,0),"")</f>
        <v/>
      </c>
      <c r="F2384" t="str">
        <f>+IFERROR(VLOOKUP(Fact_Analitica[[#This Row], [Concepto Anterior]],Conceptos_Analítica_contraloría[#All],7,0),"")</f>
        <v/>
      </c>
      <c r="I2384" t="str">
        <f>+IFERROR(VLOOKUP(D2384,Conceptos_Analítica_contraloría[#All],2,0),"")</f>
        <v/>
      </c>
      <c r="J2384" s="84" t="str">
        <f>+IFERROR(VLOOKUP(D2384,Conceptos_Analítica_contraloría[#All],3,0),"")</f>
        <v/>
      </c>
    </row>
    <row r="2385" spans="3:10" ht="18.75" customHeight="1" x14ac:dyDescent="0.35">
      <c r="C2385" s="100" t="str">
        <f>IF(OR(Fact_Analitica[[#This Row], [Año]]="",Fact_Analitica[[#This Row], [Mes]]=""),"",DATE(A2385,MATCH(B2385,{"enero","febrero","marzo","abril","mayo","junio","julio","agosto","septiembre","octubre","noviembre","diciembre"},0)+1,0))</f>
        <v/>
      </c>
      <c r="E2385" t="str">
        <f>+IFERROR(VLOOKUP(Fact_Analitica[[#This Row], [Concepto Anterior]],Conceptos_Analítica_contraloría[#All],5,0),"")</f>
        <v/>
      </c>
      <c r="F2385" t="str">
        <f>+IFERROR(VLOOKUP(Fact_Analitica[[#This Row], [Concepto Anterior]],Conceptos_Analítica_contraloría[#All],7,0),"")</f>
        <v/>
      </c>
      <c r="I2385" t="str">
        <f>+IFERROR(VLOOKUP(D2385,Conceptos_Analítica_contraloría[#All],2,0),"")</f>
        <v/>
      </c>
      <c r="J2385" s="84" t="str">
        <f>+IFERROR(VLOOKUP(D2385,Conceptos_Analítica_contraloría[#All],3,0),"")</f>
        <v/>
      </c>
    </row>
    <row r="2386" spans="3:10" ht="18.75" customHeight="1" x14ac:dyDescent="0.35">
      <c r="C2386" s="100" t="str">
        <f>IF(OR(Fact_Analitica[[#This Row], [Año]]="",Fact_Analitica[[#This Row], [Mes]]=""),"",DATE(A2386,MATCH(B2386,{"enero","febrero","marzo","abril","mayo","junio","julio","agosto","septiembre","octubre","noviembre","diciembre"},0)+1,0))</f>
        <v/>
      </c>
      <c r="E2386" t="str">
        <f>+IFERROR(VLOOKUP(Fact_Analitica[[#This Row], [Concepto Anterior]],Conceptos_Analítica_contraloría[#All],5,0),"")</f>
        <v/>
      </c>
      <c r="F2386" t="str">
        <f>+IFERROR(VLOOKUP(Fact_Analitica[[#This Row], [Concepto Anterior]],Conceptos_Analítica_contraloría[#All],7,0),"")</f>
        <v/>
      </c>
      <c r="I2386" t="str">
        <f>+IFERROR(VLOOKUP(D2386,Conceptos_Analítica_contraloría[#All],2,0),"")</f>
        <v/>
      </c>
      <c r="J2386" s="84" t="str">
        <f>+IFERROR(VLOOKUP(D2386,Conceptos_Analítica_contraloría[#All],3,0),"")</f>
        <v/>
      </c>
    </row>
    <row r="2387" spans="3:10" ht="18.75" customHeight="1" x14ac:dyDescent="0.35">
      <c r="C2387" s="100" t="str">
        <f>IF(OR(Fact_Analitica[[#This Row], [Año]]="",Fact_Analitica[[#This Row], [Mes]]=""),"",DATE(A2387,MATCH(B2387,{"enero","febrero","marzo","abril","mayo","junio","julio","agosto","septiembre","octubre","noviembre","diciembre"},0)+1,0))</f>
        <v/>
      </c>
      <c r="E2387" t="str">
        <f>+IFERROR(VLOOKUP(Fact_Analitica[[#This Row], [Concepto Anterior]],Conceptos_Analítica_contraloría[#All],5,0),"")</f>
        <v/>
      </c>
      <c r="F2387" t="str">
        <f>+IFERROR(VLOOKUP(Fact_Analitica[[#This Row], [Concepto Anterior]],Conceptos_Analítica_contraloría[#All],7,0),"")</f>
        <v/>
      </c>
      <c r="I2387" t="str">
        <f>+IFERROR(VLOOKUP(D2387,Conceptos_Analítica_contraloría[#All],2,0),"")</f>
        <v/>
      </c>
      <c r="J2387" s="84" t="str">
        <f>+IFERROR(VLOOKUP(D2387,Conceptos_Analítica_contraloría[#All],3,0),"")</f>
        <v/>
      </c>
    </row>
    <row r="2388" spans="3:10" ht="18.75" customHeight="1" x14ac:dyDescent="0.35">
      <c r="C2388" s="100" t="str">
        <f>IF(OR(Fact_Analitica[[#This Row], [Año]]="",Fact_Analitica[[#This Row], [Mes]]=""),"",DATE(A2388,MATCH(B2388,{"enero","febrero","marzo","abril","mayo","junio","julio","agosto","septiembre","octubre","noviembre","diciembre"},0)+1,0))</f>
        <v/>
      </c>
      <c r="E2388" t="str">
        <f>+IFERROR(VLOOKUP(Fact_Analitica[[#This Row], [Concepto Anterior]],Conceptos_Analítica_contraloría[#All],5,0),"")</f>
        <v/>
      </c>
      <c r="F2388" t="str">
        <f>+IFERROR(VLOOKUP(Fact_Analitica[[#This Row], [Concepto Anterior]],Conceptos_Analítica_contraloría[#All],7,0),"")</f>
        <v/>
      </c>
      <c r="I2388" t="str">
        <f>+IFERROR(VLOOKUP(D2388,Conceptos_Analítica_contraloría[#All],2,0),"")</f>
        <v/>
      </c>
      <c r="J2388" s="84" t="str">
        <f>+IFERROR(VLOOKUP(D2388,Conceptos_Analítica_contraloría[#All],3,0),"")</f>
        <v/>
      </c>
    </row>
    <row r="2389" spans="3:10" ht="18.75" customHeight="1" x14ac:dyDescent="0.35">
      <c r="C2389" s="100" t="str">
        <f>IF(OR(Fact_Analitica[[#This Row], [Año]]="",Fact_Analitica[[#This Row], [Mes]]=""),"",DATE(A2389,MATCH(B2389,{"enero","febrero","marzo","abril","mayo","junio","julio","agosto","septiembre","octubre","noviembre","diciembre"},0)+1,0))</f>
        <v/>
      </c>
      <c r="E2389" t="str">
        <f>+IFERROR(VLOOKUP(Fact_Analitica[[#This Row], [Concepto Anterior]],Conceptos_Analítica_contraloría[#All],5,0),"")</f>
        <v/>
      </c>
      <c r="F2389" t="str">
        <f>+IFERROR(VLOOKUP(Fact_Analitica[[#This Row], [Concepto Anterior]],Conceptos_Analítica_contraloría[#All],7,0),"")</f>
        <v/>
      </c>
      <c r="I2389" t="str">
        <f>+IFERROR(VLOOKUP(D2389,Conceptos_Analítica_contraloría[#All],2,0),"")</f>
        <v/>
      </c>
      <c r="J2389" s="84" t="str">
        <f>+IFERROR(VLOOKUP(D2389,Conceptos_Analítica_contraloría[#All],3,0),"")</f>
        <v/>
      </c>
    </row>
    <row r="2390" spans="3:10" ht="18.75" customHeight="1" x14ac:dyDescent="0.35">
      <c r="C2390" s="100" t="str">
        <f>IF(OR(Fact_Analitica[[#This Row], [Año]]="",Fact_Analitica[[#This Row], [Mes]]=""),"",DATE(A2390,MATCH(B2390,{"enero","febrero","marzo","abril","mayo","junio","julio","agosto","septiembre","octubre","noviembre","diciembre"},0)+1,0))</f>
        <v/>
      </c>
      <c r="E2390" t="str">
        <f>+IFERROR(VLOOKUP(Fact_Analitica[[#This Row], [Concepto Anterior]],Conceptos_Analítica_contraloría[#All],5,0),"")</f>
        <v/>
      </c>
      <c r="F2390" t="str">
        <f>+IFERROR(VLOOKUP(Fact_Analitica[[#This Row], [Concepto Anterior]],Conceptos_Analítica_contraloría[#All],7,0),"")</f>
        <v/>
      </c>
      <c r="I2390" t="str">
        <f>+IFERROR(VLOOKUP(D2390,Conceptos_Analítica_contraloría[#All],2,0),"")</f>
        <v/>
      </c>
      <c r="J2390" s="84" t="str">
        <f>+IFERROR(VLOOKUP(D2390,Conceptos_Analítica_contraloría[#All],3,0),"")</f>
        <v/>
      </c>
    </row>
    <row r="2391" spans="3:10" ht="18.75" customHeight="1" x14ac:dyDescent="0.35">
      <c r="C2391" s="100" t="str">
        <f>IF(OR(Fact_Analitica[[#This Row], [Año]]="",Fact_Analitica[[#This Row], [Mes]]=""),"",DATE(A2391,MATCH(B2391,{"enero","febrero","marzo","abril","mayo","junio","julio","agosto","septiembre","octubre","noviembre","diciembre"},0)+1,0))</f>
        <v/>
      </c>
      <c r="E2391" t="str">
        <f>+IFERROR(VLOOKUP(Fact_Analitica[[#This Row], [Concepto Anterior]],Conceptos_Analítica_contraloría[#All],5,0),"")</f>
        <v/>
      </c>
      <c r="F2391" t="str">
        <f>+IFERROR(VLOOKUP(Fact_Analitica[[#This Row], [Concepto Anterior]],Conceptos_Analítica_contraloría[#All],7,0),"")</f>
        <v/>
      </c>
      <c r="I2391" t="str">
        <f>+IFERROR(VLOOKUP(D2391,Conceptos_Analítica_contraloría[#All],2,0),"")</f>
        <v/>
      </c>
      <c r="J2391" s="84" t="str">
        <f>+IFERROR(VLOOKUP(D2391,Conceptos_Analítica_contraloría[#All],3,0),"")</f>
        <v/>
      </c>
    </row>
    <row r="2392" spans="3:10" ht="18.75" customHeight="1" x14ac:dyDescent="0.35">
      <c r="C2392" s="100" t="str">
        <f>IF(OR(Fact_Analitica[[#This Row], [Año]]="",Fact_Analitica[[#This Row], [Mes]]=""),"",DATE(A2392,MATCH(B2392,{"enero","febrero","marzo","abril","mayo","junio","julio","agosto","septiembre","octubre","noviembre","diciembre"},0)+1,0))</f>
        <v/>
      </c>
      <c r="E2392" t="str">
        <f>+IFERROR(VLOOKUP(Fact_Analitica[[#This Row], [Concepto Anterior]],Conceptos_Analítica_contraloría[#All],5,0),"")</f>
        <v/>
      </c>
      <c r="F2392" t="str">
        <f>+IFERROR(VLOOKUP(Fact_Analitica[[#This Row], [Concepto Anterior]],Conceptos_Analítica_contraloría[#All],7,0),"")</f>
        <v/>
      </c>
      <c r="I2392" t="str">
        <f>+IFERROR(VLOOKUP(D2392,Conceptos_Analítica_contraloría[#All],2,0),"")</f>
        <v/>
      </c>
      <c r="J2392" s="84" t="str">
        <f>+IFERROR(VLOOKUP(D2392,Conceptos_Analítica_contraloría[#All],3,0),"")</f>
        <v/>
      </c>
    </row>
    <row r="2393" spans="3:10" ht="18.75" customHeight="1" x14ac:dyDescent="0.35">
      <c r="C2393" s="100" t="str">
        <f>IF(OR(Fact_Analitica[[#This Row], [Año]]="",Fact_Analitica[[#This Row], [Mes]]=""),"",DATE(A2393,MATCH(B2393,{"enero","febrero","marzo","abril","mayo","junio","julio","agosto","septiembre","octubre","noviembre","diciembre"},0)+1,0))</f>
        <v/>
      </c>
      <c r="E2393" t="str">
        <f>+IFERROR(VLOOKUP(Fact_Analitica[[#This Row], [Concepto Anterior]],Conceptos_Analítica_contraloría[#All],5,0),"")</f>
        <v/>
      </c>
      <c r="F2393" t="str">
        <f>+IFERROR(VLOOKUP(Fact_Analitica[[#This Row], [Concepto Anterior]],Conceptos_Analítica_contraloría[#All],7,0),"")</f>
        <v/>
      </c>
      <c r="I2393" t="str">
        <f>+IFERROR(VLOOKUP(D2393,Conceptos_Analítica_contraloría[#All],2,0),"")</f>
        <v/>
      </c>
      <c r="J2393" s="84" t="str">
        <f>+IFERROR(VLOOKUP(D2393,Conceptos_Analítica_contraloría[#All],3,0),"")</f>
        <v/>
      </c>
    </row>
    <row r="2394" spans="3:10" ht="18.75" customHeight="1" x14ac:dyDescent="0.35">
      <c r="C2394" s="100" t="str">
        <f>IF(OR(Fact_Analitica[[#This Row], [Año]]="",Fact_Analitica[[#This Row], [Mes]]=""),"",DATE(A2394,MATCH(B2394,{"enero","febrero","marzo","abril","mayo","junio","julio","agosto","septiembre","octubre","noviembre","diciembre"},0)+1,0))</f>
        <v/>
      </c>
      <c r="E2394" t="str">
        <f>+IFERROR(VLOOKUP(Fact_Analitica[[#This Row], [Concepto Anterior]],Conceptos_Analítica_contraloría[#All],5,0),"")</f>
        <v/>
      </c>
      <c r="F2394" t="str">
        <f>+IFERROR(VLOOKUP(Fact_Analitica[[#This Row], [Concepto Anterior]],Conceptos_Analítica_contraloría[#All],7,0),"")</f>
        <v/>
      </c>
      <c r="I2394" t="str">
        <f>+IFERROR(VLOOKUP(D2394,Conceptos_Analítica_contraloría[#All],2,0),"")</f>
        <v/>
      </c>
      <c r="J2394" s="84" t="str">
        <f>+IFERROR(VLOOKUP(D2394,Conceptos_Analítica_contraloría[#All],3,0),"")</f>
        <v/>
      </c>
    </row>
    <row r="2395" spans="3:10" ht="18.75" customHeight="1" x14ac:dyDescent="0.35">
      <c r="C2395" s="100" t="str">
        <f>IF(OR(Fact_Analitica[[#This Row], [Año]]="",Fact_Analitica[[#This Row], [Mes]]=""),"",DATE(A2395,MATCH(B2395,{"enero","febrero","marzo","abril","mayo","junio","julio","agosto","septiembre","octubre","noviembre","diciembre"},0)+1,0))</f>
        <v/>
      </c>
      <c r="E2395" t="str">
        <f>+IFERROR(VLOOKUP(Fact_Analitica[[#This Row], [Concepto Anterior]],Conceptos_Analítica_contraloría[#All],5,0),"")</f>
        <v/>
      </c>
      <c r="F2395" t="str">
        <f>+IFERROR(VLOOKUP(Fact_Analitica[[#This Row], [Concepto Anterior]],Conceptos_Analítica_contraloría[#All],7,0),"")</f>
        <v/>
      </c>
      <c r="I2395" t="str">
        <f>+IFERROR(VLOOKUP(D2395,Conceptos_Analítica_contraloría[#All],2,0),"")</f>
        <v/>
      </c>
      <c r="J2395" s="84" t="str">
        <f>+IFERROR(VLOOKUP(D2395,Conceptos_Analítica_contraloría[#All],3,0),"")</f>
        <v/>
      </c>
    </row>
    <row r="2396" spans="3:10" ht="18.75" customHeight="1" x14ac:dyDescent="0.35">
      <c r="C2396" s="100" t="str">
        <f>IF(OR(Fact_Analitica[[#This Row], [Año]]="",Fact_Analitica[[#This Row], [Mes]]=""),"",DATE(A2396,MATCH(B2396,{"enero","febrero","marzo","abril","mayo","junio","julio","agosto","septiembre","octubre","noviembre","diciembre"},0)+1,0))</f>
        <v/>
      </c>
      <c r="E2396" t="str">
        <f>+IFERROR(VLOOKUP(Fact_Analitica[[#This Row], [Concepto Anterior]],Conceptos_Analítica_contraloría[#All],5,0),"")</f>
        <v/>
      </c>
      <c r="F2396" t="str">
        <f>+IFERROR(VLOOKUP(Fact_Analitica[[#This Row], [Concepto Anterior]],Conceptos_Analítica_contraloría[#All],7,0),"")</f>
        <v/>
      </c>
      <c r="I2396" t="str">
        <f>+IFERROR(VLOOKUP(D2396,Conceptos_Analítica_contraloría[#All],2,0),"")</f>
        <v/>
      </c>
      <c r="J2396" s="84" t="str">
        <f>+IFERROR(VLOOKUP(D2396,Conceptos_Analítica_contraloría[#All],3,0),"")</f>
        <v/>
      </c>
    </row>
    <row r="2397" spans="3:10" ht="18.75" customHeight="1" x14ac:dyDescent="0.35">
      <c r="C2397" s="100" t="str">
        <f>IF(OR(Fact_Analitica[[#This Row], [Año]]="",Fact_Analitica[[#This Row], [Mes]]=""),"",DATE(A2397,MATCH(B2397,{"enero","febrero","marzo","abril","mayo","junio","julio","agosto","septiembre","octubre","noviembre","diciembre"},0)+1,0))</f>
        <v/>
      </c>
      <c r="E2397" t="str">
        <f>+IFERROR(VLOOKUP(Fact_Analitica[[#This Row], [Concepto Anterior]],Conceptos_Analítica_contraloría[#All],5,0),"")</f>
        <v/>
      </c>
      <c r="F2397" t="str">
        <f>+IFERROR(VLOOKUP(Fact_Analitica[[#This Row], [Concepto Anterior]],Conceptos_Analítica_contraloría[#All],7,0),"")</f>
        <v/>
      </c>
      <c r="I2397" t="str">
        <f>+IFERROR(VLOOKUP(D2397,Conceptos_Analítica_contraloría[#All],2,0),"")</f>
        <v/>
      </c>
      <c r="J2397" s="84" t="str">
        <f>+IFERROR(VLOOKUP(D2397,Conceptos_Analítica_contraloría[#All],3,0),"")</f>
        <v/>
      </c>
    </row>
    <row r="2398" spans="3:10" ht="18.75" customHeight="1" x14ac:dyDescent="0.35">
      <c r="C2398" s="100" t="str">
        <f>IF(OR(Fact_Analitica[[#This Row], [Año]]="",Fact_Analitica[[#This Row], [Mes]]=""),"",DATE(A2398,MATCH(B2398,{"enero","febrero","marzo","abril","mayo","junio","julio","agosto","septiembre","octubre","noviembre","diciembre"},0)+1,0))</f>
        <v/>
      </c>
      <c r="E2398" t="str">
        <f>+IFERROR(VLOOKUP(Fact_Analitica[[#This Row], [Concepto Anterior]],Conceptos_Analítica_contraloría[#All],5,0),"")</f>
        <v/>
      </c>
      <c r="F2398" t="str">
        <f>+IFERROR(VLOOKUP(Fact_Analitica[[#This Row], [Concepto Anterior]],Conceptos_Analítica_contraloría[#All],7,0),"")</f>
        <v/>
      </c>
      <c r="I2398" t="str">
        <f>+IFERROR(VLOOKUP(D2398,Conceptos_Analítica_contraloría[#All],2,0),"")</f>
        <v/>
      </c>
      <c r="J2398" s="84" t="str">
        <f>+IFERROR(VLOOKUP(D2398,Conceptos_Analítica_contraloría[#All],3,0),"")</f>
        <v/>
      </c>
    </row>
    <row r="2399" spans="3:10" ht="18.75" customHeight="1" x14ac:dyDescent="0.35">
      <c r="C2399" s="100" t="str">
        <f>IF(OR(Fact_Analitica[[#This Row], [Año]]="",Fact_Analitica[[#This Row], [Mes]]=""),"",DATE(A2399,MATCH(B2399,{"enero","febrero","marzo","abril","mayo","junio","julio","agosto","septiembre","octubre","noviembre","diciembre"},0)+1,0))</f>
        <v/>
      </c>
      <c r="E2399" t="str">
        <f>+IFERROR(VLOOKUP(Fact_Analitica[[#This Row], [Concepto Anterior]],Conceptos_Analítica_contraloría[#All],5,0),"")</f>
        <v/>
      </c>
      <c r="F2399" t="str">
        <f>+IFERROR(VLOOKUP(Fact_Analitica[[#This Row], [Concepto Anterior]],Conceptos_Analítica_contraloría[#All],7,0),"")</f>
        <v/>
      </c>
      <c r="I2399" t="str">
        <f>+IFERROR(VLOOKUP(D2399,Conceptos_Analítica_contraloría[#All],2,0),"")</f>
        <v/>
      </c>
      <c r="J2399" s="84" t="str">
        <f>+IFERROR(VLOOKUP(D2399,Conceptos_Analítica_contraloría[#All],3,0),"")</f>
        <v/>
      </c>
    </row>
    <row r="2400" spans="3:10" ht="18.75" customHeight="1" x14ac:dyDescent="0.35">
      <c r="C2400" s="100" t="str">
        <f>IF(OR(Fact_Analitica[[#This Row], [Año]]="",Fact_Analitica[[#This Row], [Mes]]=""),"",DATE(A2400,MATCH(B2400,{"enero","febrero","marzo","abril","mayo","junio","julio","agosto","septiembre","octubre","noviembre","diciembre"},0)+1,0))</f>
        <v/>
      </c>
      <c r="E2400" t="str">
        <f>+IFERROR(VLOOKUP(Fact_Analitica[[#This Row], [Concepto Anterior]],Conceptos_Analítica_contraloría[#All],5,0),"")</f>
        <v/>
      </c>
      <c r="F2400" t="str">
        <f>+IFERROR(VLOOKUP(Fact_Analitica[[#This Row], [Concepto Anterior]],Conceptos_Analítica_contraloría[#All],7,0),"")</f>
        <v/>
      </c>
      <c r="I2400" t="str">
        <f>+IFERROR(VLOOKUP(D2400,Conceptos_Analítica_contraloría[#All],2,0),"")</f>
        <v/>
      </c>
      <c r="J2400" s="84" t="str">
        <f>+IFERROR(VLOOKUP(D2400,Conceptos_Analítica_contraloría[#All],3,0),"")</f>
        <v/>
      </c>
    </row>
    <row r="2401" spans="3:10" ht="18.75" customHeight="1" x14ac:dyDescent="0.35">
      <c r="C2401" s="100" t="str">
        <f>IF(OR(Fact_Analitica[[#This Row], [Año]]="",Fact_Analitica[[#This Row], [Mes]]=""),"",DATE(A2401,MATCH(B2401,{"enero","febrero","marzo","abril","mayo","junio","julio","agosto","septiembre","octubre","noviembre","diciembre"},0)+1,0))</f>
        <v/>
      </c>
      <c r="E2401" t="str">
        <f>+IFERROR(VLOOKUP(Fact_Analitica[[#This Row], [Concepto Anterior]],Conceptos_Analítica_contraloría[#All],5,0),"")</f>
        <v/>
      </c>
      <c r="F2401" t="str">
        <f>+IFERROR(VLOOKUP(Fact_Analitica[[#This Row], [Concepto Anterior]],Conceptos_Analítica_contraloría[#All],7,0),"")</f>
        <v/>
      </c>
      <c r="I2401" t="str">
        <f>+IFERROR(VLOOKUP(D2401,Conceptos_Analítica_contraloría[#All],2,0),"")</f>
        <v/>
      </c>
      <c r="J2401" s="84" t="str">
        <f>+IFERROR(VLOOKUP(D2401,Conceptos_Analítica_contraloría[#All],3,0),"")</f>
        <v/>
      </c>
    </row>
    <row r="2402" spans="3:10" ht="18.75" customHeight="1" x14ac:dyDescent="0.35">
      <c r="C2402" s="100" t="str">
        <f>IF(OR(Fact_Analitica[[#This Row], [Año]]="",Fact_Analitica[[#This Row], [Mes]]=""),"",DATE(A2402,MATCH(B2402,{"enero","febrero","marzo","abril","mayo","junio","julio","agosto","septiembre","octubre","noviembre","diciembre"},0)+1,0))</f>
        <v/>
      </c>
      <c r="E2402" t="str">
        <f>+IFERROR(VLOOKUP(Fact_Analitica[[#This Row], [Concepto Anterior]],Conceptos_Analítica_contraloría[#All],5,0),"")</f>
        <v/>
      </c>
      <c r="F2402" t="str">
        <f>+IFERROR(VLOOKUP(Fact_Analitica[[#This Row], [Concepto Anterior]],Conceptos_Analítica_contraloría[#All],7,0),"")</f>
        <v/>
      </c>
      <c r="I2402" t="str">
        <f>+IFERROR(VLOOKUP(D2402,Conceptos_Analítica_contraloría[#All],2,0),"")</f>
        <v/>
      </c>
      <c r="J2402" s="84" t="str">
        <f>+IFERROR(VLOOKUP(D2402,Conceptos_Analítica_contraloría[#All],3,0),"")</f>
        <v/>
      </c>
    </row>
    <row r="2403" spans="3:10" ht="18.75" customHeight="1" x14ac:dyDescent="0.35">
      <c r="C2403" s="100" t="str">
        <f>IF(OR(Fact_Analitica[[#This Row], [Año]]="",Fact_Analitica[[#This Row], [Mes]]=""),"",DATE(A2403,MATCH(B2403,{"enero","febrero","marzo","abril","mayo","junio","julio","agosto","septiembre","octubre","noviembre","diciembre"},0)+1,0))</f>
        <v/>
      </c>
      <c r="E2403" t="str">
        <f>+IFERROR(VLOOKUP(Fact_Analitica[[#This Row], [Concepto Anterior]],Conceptos_Analítica_contraloría[#All],5,0),"")</f>
        <v/>
      </c>
      <c r="F2403" t="str">
        <f>+IFERROR(VLOOKUP(Fact_Analitica[[#This Row], [Concepto Anterior]],Conceptos_Analítica_contraloría[#All],7,0),"")</f>
        <v/>
      </c>
      <c r="I2403" t="str">
        <f>+IFERROR(VLOOKUP(D2403,Conceptos_Analítica_contraloría[#All],2,0),"")</f>
        <v/>
      </c>
      <c r="J2403" s="84" t="str">
        <f>+IFERROR(VLOOKUP(D2403,Conceptos_Analítica_contraloría[#All],3,0),"")</f>
        <v/>
      </c>
    </row>
    <row r="2404" spans="3:10" ht="18.75" customHeight="1" x14ac:dyDescent="0.35">
      <c r="C2404" s="100" t="str">
        <f>IF(OR(Fact_Analitica[[#This Row], [Año]]="",Fact_Analitica[[#This Row], [Mes]]=""),"",DATE(A2404,MATCH(B2404,{"enero","febrero","marzo","abril","mayo","junio","julio","agosto","septiembre","octubre","noviembre","diciembre"},0)+1,0))</f>
        <v/>
      </c>
      <c r="E2404" t="str">
        <f>+IFERROR(VLOOKUP(Fact_Analitica[[#This Row], [Concepto Anterior]],Conceptos_Analítica_contraloría[#All],5,0),"")</f>
        <v/>
      </c>
      <c r="F2404" t="str">
        <f>+IFERROR(VLOOKUP(Fact_Analitica[[#This Row], [Concepto Anterior]],Conceptos_Analítica_contraloría[#All],7,0),"")</f>
        <v/>
      </c>
      <c r="I2404" t="str">
        <f>+IFERROR(VLOOKUP(D2404,Conceptos_Analítica_contraloría[#All],2,0),"")</f>
        <v/>
      </c>
      <c r="J2404" s="84" t="str">
        <f>+IFERROR(VLOOKUP(D2404,Conceptos_Analítica_contraloría[#All],3,0),"")</f>
        <v/>
      </c>
    </row>
    <row r="2405" spans="3:10" ht="18.75" customHeight="1" x14ac:dyDescent="0.35">
      <c r="C2405" s="100" t="str">
        <f>IF(OR(Fact_Analitica[[#This Row], [Año]]="",Fact_Analitica[[#This Row], [Mes]]=""),"",DATE(A2405,MATCH(B2405,{"enero","febrero","marzo","abril","mayo","junio","julio","agosto","septiembre","octubre","noviembre","diciembre"},0)+1,0))</f>
        <v/>
      </c>
      <c r="E2405" t="str">
        <f>+IFERROR(VLOOKUP(Fact_Analitica[[#This Row], [Concepto Anterior]],Conceptos_Analítica_contraloría[#All],5,0),"")</f>
        <v/>
      </c>
      <c r="F2405" t="str">
        <f>+IFERROR(VLOOKUP(Fact_Analitica[[#This Row], [Concepto Anterior]],Conceptos_Analítica_contraloría[#All],7,0),"")</f>
        <v/>
      </c>
      <c r="I2405" t="str">
        <f>+IFERROR(VLOOKUP(D2405,Conceptos_Analítica_contraloría[#All],2,0),"")</f>
        <v/>
      </c>
      <c r="J2405" s="84" t="str">
        <f>+IFERROR(VLOOKUP(D2405,Conceptos_Analítica_contraloría[#All],3,0),"")</f>
        <v/>
      </c>
    </row>
    <row r="2406" spans="3:10" ht="18.75" customHeight="1" x14ac:dyDescent="0.35">
      <c r="C2406" s="100" t="str">
        <f>IF(OR(Fact_Analitica[[#This Row], [Año]]="",Fact_Analitica[[#This Row], [Mes]]=""),"",DATE(A2406,MATCH(B2406,{"enero","febrero","marzo","abril","mayo","junio","julio","agosto","septiembre","octubre","noviembre","diciembre"},0)+1,0))</f>
        <v/>
      </c>
      <c r="E2406" t="str">
        <f>+IFERROR(VLOOKUP(Fact_Analitica[[#This Row], [Concepto Anterior]],Conceptos_Analítica_contraloría[#All],5,0),"")</f>
        <v/>
      </c>
      <c r="F2406" t="str">
        <f>+IFERROR(VLOOKUP(Fact_Analitica[[#This Row], [Concepto Anterior]],Conceptos_Analítica_contraloría[#All],7,0),"")</f>
        <v/>
      </c>
      <c r="I2406" t="str">
        <f>+IFERROR(VLOOKUP(D2406,Conceptos_Analítica_contraloría[#All],2,0),"")</f>
        <v/>
      </c>
      <c r="J2406" s="84" t="str">
        <f>+IFERROR(VLOOKUP(D2406,Conceptos_Analítica_contraloría[#All],3,0),"")</f>
        <v/>
      </c>
    </row>
    <row r="2407" spans="3:10" ht="18.75" customHeight="1" x14ac:dyDescent="0.35">
      <c r="C2407" s="100" t="str">
        <f>IF(OR(Fact_Analitica[[#This Row], [Año]]="",Fact_Analitica[[#This Row], [Mes]]=""),"",DATE(A2407,MATCH(B2407,{"enero","febrero","marzo","abril","mayo","junio","julio","agosto","septiembre","octubre","noviembre","diciembre"},0)+1,0))</f>
        <v/>
      </c>
      <c r="E2407" t="str">
        <f>+IFERROR(VLOOKUP(Fact_Analitica[[#This Row], [Concepto Anterior]],Conceptos_Analítica_contraloría[#All],5,0),"")</f>
        <v/>
      </c>
      <c r="F2407" t="str">
        <f>+IFERROR(VLOOKUP(Fact_Analitica[[#This Row], [Concepto Anterior]],Conceptos_Analítica_contraloría[#All],7,0),"")</f>
        <v/>
      </c>
      <c r="I2407" t="str">
        <f>+IFERROR(VLOOKUP(D2407,Conceptos_Analítica_contraloría[#All],2,0),"")</f>
        <v/>
      </c>
      <c r="J2407" s="84" t="str">
        <f>+IFERROR(VLOOKUP(D2407,Conceptos_Analítica_contraloría[#All],3,0),"")</f>
        <v/>
      </c>
    </row>
    <row r="2408" spans="3:10" ht="18.75" customHeight="1" x14ac:dyDescent="0.35">
      <c r="C2408" s="100" t="str">
        <f>IF(OR(Fact_Analitica[[#This Row], [Año]]="",Fact_Analitica[[#This Row], [Mes]]=""),"",DATE(A2408,MATCH(B2408,{"enero","febrero","marzo","abril","mayo","junio","julio","agosto","septiembre","octubre","noviembre","diciembre"},0)+1,0))</f>
        <v/>
      </c>
      <c r="E2408" t="str">
        <f>+IFERROR(VLOOKUP(Fact_Analitica[[#This Row], [Concepto Anterior]],Conceptos_Analítica_contraloría[#All],5,0),"")</f>
        <v/>
      </c>
      <c r="F2408" t="str">
        <f>+IFERROR(VLOOKUP(Fact_Analitica[[#This Row], [Concepto Anterior]],Conceptos_Analítica_contraloría[#All],7,0),"")</f>
        <v/>
      </c>
      <c r="I2408" t="str">
        <f>+IFERROR(VLOOKUP(D2408,Conceptos_Analítica_contraloría[#All],2,0),"")</f>
        <v/>
      </c>
      <c r="J2408" s="84" t="str">
        <f>+IFERROR(VLOOKUP(D2408,Conceptos_Analítica_contraloría[#All],3,0),"")</f>
        <v/>
      </c>
    </row>
    <row r="2409" spans="3:10" ht="18.75" customHeight="1" x14ac:dyDescent="0.35">
      <c r="C2409" s="100" t="str">
        <f>IF(OR(Fact_Analitica[[#This Row], [Año]]="",Fact_Analitica[[#This Row], [Mes]]=""),"",DATE(A2409,MATCH(B2409,{"enero","febrero","marzo","abril","mayo","junio","julio","agosto","septiembre","octubre","noviembre","diciembre"},0)+1,0))</f>
        <v/>
      </c>
      <c r="E2409" t="str">
        <f>+IFERROR(VLOOKUP(Fact_Analitica[[#This Row], [Concepto Anterior]],Conceptos_Analítica_contraloría[#All],5,0),"")</f>
        <v/>
      </c>
      <c r="F2409" t="str">
        <f>+IFERROR(VLOOKUP(Fact_Analitica[[#This Row], [Concepto Anterior]],Conceptos_Analítica_contraloría[#All],7,0),"")</f>
        <v/>
      </c>
      <c r="I2409" t="str">
        <f>+IFERROR(VLOOKUP(D2409,Conceptos_Analítica_contraloría[#All],2,0),"")</f>
        <v/>
      </c>
      <c r="J2409" s="84" t="str">
        <f>+IFERROR(VLOOKUP(D2409,Conceptos_Analítica_contraloría[#All],3,0),"")</f>
        <v/>
      </c>
    </row>
    <row r="2410" spans="3:10" ht="18.75" customHeight="1" x14ac:dyDescent="0.35">
      <c r="C2410" s="100" t="str">
        <f>IF(OR(Fact_Analitica[[#This Row], [Año]]="",Fact_Analitica[[#This Row], [Mes]]=""),"",DATE(A2410,MATCH(B2410,{"enero","febrero","marzo","abril","mayo","junio","julio","agosto","septiembre","octubre","noviembre","diciembre"},0)+1,0))</f>
        <v/>
      </c>
      <c r="E2410" t="str">
        <f>+IFERROR(VLOOKUP(Fact_Analitica[[#This Row], [Concepto Anterior]],Conceptos_Analítica_contraloría[#All],5,0),"")</f>
        <v/>
      </c>
      <c r="F2410" t="str">
        <f>+IFERROR(VLOOKUP(Fact_Analitica[[#This Row], [Concepto Anterior]],Conceptos_Analítica_contraloría[#All],7,0),"")</f>
        <v/>
      </c>
      <c r="I2410" t="str">
        <f>+IFERROR(VLOOKUP(D2410,Conceptos_Analítica_contraloría[#All],2,0),"")</f>
        <v/>
      </c>
      <c r="J2410" s="84" t="str">
        <f>+IFERROR(VLOOKUP(D2410,Conceptos_Analítica_contraloría[#All],3,0),"")</f>
        <v/>
      </c>
    </row>
    <row r="2411" spans="3:10" ht="18.75" customHeight="1" x14ac:dyDescent="0.35">
      <c r="C2411" s="100" t="str">
        <f>IF(OR(Fact_Analitica[[#This Row], [Año]]="",Fact_Analitica[[#This Row], [Mes]]=""),"",DATE(A2411,MATCH(B2411,{"enero","febrero","marzo","abril","mayo","junio","julio","agosto","septiembre","octubre","noviembre","diciembre"},0)+1,0))</f>
        <v/>
      </c>
      <c r="E2411" t="str">
        <f>+IFERROR(VLOOKUP(Fact_Analitica[[#This Row], [Concepto Anterior]],Conceptos_Analítica_contraloría[#All],5,0),"")</f>
        <v/>
      </c>
      <c r="F2411" t="str">
        <f>+IFERROR(VLOOKUP(Fact_Analitica[[#This Row], [Concepto Anterior]],Conceptos_Analítica_contraloría[#All],7,0),"")</f>
        <v/>
      </c>
      <c r="I2411" t="str">
        <f>+IFERROR(VLOOKUP(D2411,Conceptos_Analítica_contraloría[#All],2,0),"")</f>
        <v/>
      </c>
      <c r="J2411" s="84" t="str">
        <f>+IFERROR(VLOOKUP(D2411,Conceptos_Analítica_contraloría[#All],3,0),"")</f>
        <v/>
      </c>
    </row>
    <row r="2412" spans="3:10" ht="18.75" customHeight="1" x14ac:dyDescent="0.35">
      <c r="C2412" s="100" t="str">
        <f>IF(OR(Fact_Analitica[[#This Row], [Año]]="",Fact_Analitica[[#This Row], [Mes]]=""),"",DATE(A2412,MATCH(B2412,{"enero","febrero","marzo","abril","mayo","junio","julio","agosto","septiembre","octubre","noviembre","diciembre"},0)+1,0))</f>
        <v/>
      </c>
      <c r="E2412" t="str">
        <f>+IFERROR(VLOOKUP(Fact_Analitica[[#This Row], [Concepto Anterior]],Conceptos_Analítica_contraloría[#All],5,0),"")</f>
        <v/>
      </c>
      <c r="F2412" t="str">
        <f>+IFERROR(VLOOKUP(Fact_Analitica[[#This Row], [Concepto Anterior]],Conceptos_Analítica_contraloría[#All],7,0),"")</f>
        <v/>
      </c>
      <c r="I2412" t="str">
        <f>+IFERROR(VLOOKUP(D2412,Conceptos_Analítica_contraloría[#All],2,0),"")</f>
        <v/>
      </c>
      <c r="J2412" s="84" t="str">
        <f>+IFERROR(VLOOKUP(D2412,Conceptos_Analítica_contraloría[#All],3,0),"")</f>
        <v/>
      </c>
    </row>
    <row r="2413" spans="3:10" ht="18.75" customHeight="1" x14ac:dyDescent="0.35">
      <c r="C2413" s="100" t="str">
        <f>IF(OR(Fact_Analitica[[#This Row], [Año]]="",Fact_Analitica[[#This Row], [Mes]]=""),"",DATE(A2413,MATCH(B2413,{"enero","febrero","marzo","abril","mayo","junio","julio","agosto","septiembre","octubre","noviembre","diciembre"},0)+1,0))</f>
        <v/>
      </c>
      <c r="E2413" t="str">
        <f>+IFERROR(VLOOKUP(Fact_Analitica[[#This Row], [Concepto Anterior]],Conceptos_Analítica_contraloría[#All],5,0),"")</f>
        <v/>
      </c>
      <c r="F2413" t="str">
        <f>+IFERROR(VLOOKUP(Fact_Analitica[[#This Row], [Concepto Anterior]],Conceptos_Analítica_contraloría[#All],7,0),"")</f>
        <v/>
      </c>
      <c r="I2413" t="str">
        <f>+IFERROR(VLOOKUP(D2413,Conceptos_Analítica_contraloría[#All],2,0),"")</f>
        <v/>
      </c>
      <c r="J2413" s="84" t="str">
        <f>+IFERROR(VLOOKUP(D2413,Conceptos_Analítica_contraloría[#All],3,0),"")</f>
        <v/>
      </c>
    </row>
    <row r="2414" spans="3:10" ht="18.75" customHeight="1" x14ac:dyDescent="0.35">
      <c r="C2414" s="100" t="str">
        <f>IF(OR(Fact_Analitica[[#This Row], [Año]]="",Fact_Analitica[[#This Row], [Mes]]=""),"",DATE(A2414,MATCH(B2414,{"enero","febrero","marzo","abril","mayo","junio","julio","agosto","septiembre","octubre","noviembre","diciembre"},0)+1,0))</f>
        <v/>
      </c>
      <c r="E2414" t="str">
        <f>+IFERROR(VLOOKUP(Fact_Analitica[[#This Row], [Concepto Anterior]],Conceptos_Analítica_contraloría[#All],5,0),"")</f>
        <v/>
      </c>
      <c r="F2414" t="str">
        <f>+IFERROR(VLOOKUP(Fact_Analitica[[#This Row], [Concepto Anterior]],Conceptos_Analítica_contraloría[#All],7,0),"")</f>
        <v/>
      </c>
      <c r="I2414" t="str">
        <f>+IFERROR(VLOOKUP(D2414,Conceptos_Analítica_contraloría[#All],2,0),"")</f>
        <v/>
      </c>
      <c r="J2414" s="84" t="str">
        <f>+IFERROR(VLOOKUP(D2414,Conceptos_Analítica_contraloría[#All],3,0),"")</f>
        <v/>
      </c>
    </row>
    <row r="2415" spans="3:10" ht="18.75" customHeight="1" x14ac:dyDescent="0.35">
      <c r="C2415" s="100" t="str">
        <f>IF(OR(Fact_Analitica[[#This Row], [Año]]="",Fact_Analitica[[#This Row], [Mes]]=""),"",DATE(A2415,MATCH(B2415,{"enero","febrero","marzo","abril","mayo","junio","julio","agosto","septiembre","octubre","noviembre","diciembre"},0)+1,0))</f>
        <v/>
      </c>
      <c r="E2415" t="str">
        <f>+IFERROR(VLOOKUP(Fact_Analitica[[#This Row], [Concepto Anterior]],Conceptos_Analítica_contraloría[#All],5,0),"")</f>
        <v/>
      </c>
      <c r="F2415" t="str">
        <f>+IFERROR(VLOOKUP(Fact_Analitica[[#This Row], [Concepto Anterior]],Conceptos_Analítica_contraloría[#All],7,0),"")</f>
        <v/>
      </c>
      <c r="I2415" t="str">
        <f>+IFERROR(VLOOKUP(D2415,Conceptos_Analítica_contraloría[#All],2,0),"")</f>
        <v/>
      </c>
      <c r="J2415" s="84" t="str">
        <f>+IFERROR(VLOOKUP(D2415,Conceptos_Analítica_contraloría[#All],3,0),"")</f>
        <v/>
      </c>
    </row>
    <row r="2416" spans="3:10" ht="18.75" customHeight="1" x14ac:dyDescent="0.35">
      <c r="C2416" s="100" t="str">
        <f>IF(OR(Fact_Analitica[[#This Row], [Año]]="",Fact_Analitica[[#This Row], [Mes]]=""),"",DATE(A2416,MATCH(B2416,{"enero","febrero","marzo","abril","mayo","junio","julio","agosto","septiembre","octubre","noviembre","diciembre"},0)+1,0))</f>
        <v/>
      </c>
      <c r="E2416" t="str">
        <f>+IFERROR(VLOOKUP(Fact_Analitica[[#This Row], [Concepto Anterior]],Conceptos_Analítica_contraloría[#All],5,0),"")</f>
        <v/>
      </c>
      <c r="F2416" t="str">
        <f>+IFERROR(VLOOKUP(Fact_Analitica[[#This Row], [Concepto Anterior]],Conceptos_Analítica_contraloría[#All],7,0),"")</f>
        <v/>
      </c>
      <c r="I2416" t="str">
        <f>+IFERROR(VLOOKUP(D2416,Conceptos_Analítica_contraloría[#All],2,0),"")</f>
        <v/>
      </c>
      <c r="J2416" s="84" t="str">
        <f>+IFERROR(VLOOKUP(D2416,Conceptos_Analítica_contraloría[#All],3,0),"")</f>
        <v/>
      </c>
    </row>
    <row r="2417" spans="3:10" ht="18.75" customHeight="1" x14ac:dyDescent="0.35">
      <c r="C2417" s="100" t="str">
        <f>IF(OR(Fact_Analitica[[#This Row], [Año]]="",Fact_Analitica[[#This Row], [Mes]]=""),"",DATE(A2417,MATCH(B2417,{"enero","febrero","marzo","abril","mayo","junio","julio","agosto","septiembre","octubre","noviembre","diciembre"},0)+1,0))</f>
        <v/>
      </c>
      <c r="E2417" t="str">
        <f>+IFERROR(VLOOKUP(Fact_Analitica[[#This Row], [Concepto Anterior]],Conceptos_Analítica_contraloría[#All],5,0),"")</f>
        <v/>
      </c>
      <c r="F2417" t="str">
        <f>+IFERROR(VLOOKUP(Fact_Analitica[[#This Row], [Concepto Anterior]],Conceptos_Analítica_contraloría[#All],7,0),"")</f>
        <v/>
      </c>
      <c r="I2417" t="str">
        <f>+IFERROR(VLOOKUP(D2417,Conceptos_Analítica_contraloría[#All],2,0),"")</f>
        <v/>
      </c>
      <c r="J2417" s="84" t="str">
        <f>+IFERROR(VLOOKUP(D2417,Conceptos_Analítica_contraloría[#All],3,0),"")</f>
        <v/>
      </c>
    </row>
    <row r="2418" spans="3:10" ht="18.75" customHeight="1" x14ac:dyDescent="0.35">
      <c r="C2418" s="100" t="str">
        <f>IF(OR(Fact_Analitica[[#This Row], [Año]]="",Fact_Analitica[[#This Row], [Mes]]=""),"",DATE(A2418,MATCH(B2418,{"enero","febrero","marzo","abril","mayo","junio","julio","agosto","septiembre","octubre","noviembre","diciembre"},0)+1,0))</f>
        <v/>
      </c>
      <c r="E2418" t="str">
        <f>+IFERROR(VLOOKUP(Fact_Analitica[[#This Row], [Concepto Anterior]],Conceptos_Analítica_contraloría[#All],5,0),"")</f>
        <v/>
      </c>
      <c r="F2418" t="str">
        <f>+IFERROR(VLOOKUP(Fact_Analitica[[#This Row], [Concepto Anterior]],Conceptos_Analítica_contraloría[#All],7,0),"")</f>
        <v/>
      </c>
      <c r="I2418" t="str">
        <f>+IFERROR(VLOOKUP(D2418,Conceptos_Analítica_contraloría[#All],2,0),"")</f>
        <v/>
      </c>
      <c r="J2418" s="84" t="str">
        <f>+IFERROR(VLOOKUP(D2418,Conceptos_Analítica_contraloría[#All],3,0),"")</f>
        <v/>
      </c>
    </row>
    <row r="2419" spans="3:10" ht="18.75" customHeight="1" x14ac:dyDescent="0.35">
      <c r="C2419" s="100" t="str">
        <f>IF(OR(Fact_Analitica[[#This Row], [Año]]="",Fact_Analitica[[#This Row], [Mes]]=""),"",DATE(A2419,MATCH(B2419,{"enero","febrero","marzo","abril","mayo","junio","julio","agosto","septiembre","octubre","noviembre","diciembre"},0)+1,0))</f>
        <v/>
      </c>
      <c r="E2419" t="str">
        <f>+IFERROR(VLOOKUP(Fact_Analitica[[#This Row], [Concepto Anterior]],Conceptos_Analítica_contraloría[#All],5,0),"")</f>
        <v/>
      </c>
      <c r="F2419" t="str">
        <f>+IFERROR(VLOOKUP(Fact_Analitica[[#This Row], [Concepto Anterior]],Conceptos_Analítica_contraloría[#All],7,0),"")</f>
        <v/>
      </c>
      <c r="I2419" t="str">
        <f>+IFERROR(VLOOKUP(D2419,Conceptos_Analítica_contraloría[#All],2,0),"")</f>
        <v/>
      </c>
      <c r="J2419" s="84" t="str">
        <f>+IFERROR(VLOOKUP(D2419,Conceptos_Analítica_contraloría[#All],3,0),"")</f>
        <v/>
      </c>
    </row>
    <row r="2420" spans="3:10" ht="18.75" customHeight="1" x14ac:dyDescent="0.35">
      <c r="C2420" s="100" t="str">
        <f>IF(OR(Fact_Analitica[[#This Row], [Año]]="",Fact_Analitica[[#This Row], [Mes]]=""),"",DATE(A2420,MATCH(B2420,{"enero","febrero","marzo","abril","mayo","junio","julio","agosto","septiembre","octubre","noviembre","diciembre"},0)+1,0))</f>
        <v/>
      </c>
      <c r="E2420" t="str">
        <f>+IFERROR(VLOOKUP(Fact_Analitica[[#This Row], [Concepto Anterior]],Conceptos_Analítica_contraloría[#All],5,0),"")</f>
        <v/>
      </c>
      <c r="F2420" t="str">
        <f>+IFERROR(VLOOKUP(Fact_Analitica[[#This Row], [Concepto Anterior]],Conceptos_Analítica_contraloría[#All],7,0),"")</f>
        <v/>
      </c>
      <c r="I2420" t="str">
        <f>+IFERROR(VLOOKUP(D2420,Conceptos_Analítica_contraloría[#All],2,0),"")</f>
        <v/>
      </c>
      <c r="J2420" s="84" t="str">
        <f>+IFERROR(VLOOKUP(D2420,Conceptos_Analítica_contraloría[#All],3,0),"")</f>
        <v/>
      </c>
    </row>
    <row r="2421" spans="3:10" ht="18.75" customHeight="1" x14ac:dyDescent="0.35">
      <c r="C2421" s="100" t="str">
        <f>IF(OR(Fact_Analitica[[#This Row], [Año]]="",Fact_Analitica[[#This Row], [Mes]]=""),"",DATE(A2421,MATCH(B2421,{"enero","febrero","marzo","abril","mayo","junio","julio","agosto","septiembre","octubre","noviembre","diciembre"},0)+1,0))</f>
        <v/>
      </c>
      <c r="E2421" t="str">
        <f>+IFERROR(VLOOKUP(Fact_Analitica[[#This Row], [Concepto Anterior]],Conceptos_Analítica_contraloría[#All],5,0),"")</f>
        <v/>
      </c>
      <c r="F2421" t="str">
        <f>+IFERROR(VLOOKUP(Fact_Analitica[[#This Row], [Concepto Anterior]],Conceptos_Analítica_contraloría[#All],7,0),"")</f>
        <v/>
      </c>
      <c r="I2421" t="str">
        <f>+IFERROR(VLOOKUP(D2421,Conceptos_Analítica_contraloría[#All],2,0),"")</f>
        <v/>
      </c>
      <c r="J2421" s="84" t="str">
        <f>+IFERROR(VLOOKUP(D2421,Conceptos_Analítica_contraloría[#All],3,0),"")</f>
        <v/>
      </c>
    </row>
    <row r="2422" spans="3:10" ht="18.75" customHeight="1" x14ac:dyDescent="0.35">
      <c r="C2422" s="100" t="str">
        <f>IF(OR(Fact_Analitica[[#This Row], [Año]]="",Fact_Analitica[[#This Row], [Mes]]=""),"",DATE(A2422,MATCH(B2422,{"enero","febrero","marzo","abril","mayo","junio","julio","agosto","septiembre","octubre","noviembre","diciembre"},0)+1,0))</f>
        <v/>
      </c>
      <c r="E2422" t="str">
        <f>+IFERROR(VLOOKUP(Fact_Analitica[[#This Row], [Concepto Anterior]],Conceptos_Analítica_contraloría[#All],5,0),"")</f>
        <v/>
      </c>
      <c r="F2422" t="str">
        <f>+IFERROR(VLOOKUP(Fact_Analitica[[#This Row], [Concepto Anterior]],Conceptos_Analítica_contraloría[#All],7,0),"")</f>
        <v/>
      </c>
      <c r="I2422" t="str">
        <f>+IFERROR(VLOOKUP(D2422,Conceptos_Analítica_contraloría[#All],2,0),"")</f>
        <v/>
      </c>
      <c r="J2422" s="84" t="str">
        <f>+IFERROR(VLOOKUP(D2422,Conceptos_Analítica_contraloría[#All],3,0),"")</f>
        <v/>
      </c>
    </row>
    <row r="2423" spans="3:10" ht="18.75" customHeight="1" x14ac:dyDescent="0.35">
      <c r="C2423" s="100" t="str">
        <f>IF(OR(Fact_Analitica[[#This Row], [Año]]="",Fact_Analitica[[#This Row], [Mes]]=""),"",DATE(A2423,MATCH(B2423,{"enero","febrero","marzo","abril","mayo","junio","julio","agosto","septiembre","octubre","noviembre","diciembre"},0)+1,0))</f>
        <v/>
      </c>
      <c r="E2423" t="str">
        <f>+IFERROR(VLOOKUP(Fact_Analitica[[#This Row], [Concepto Anterior]],Conceptos_Analítica_contraloría[#All],5,0),"")</f>
        <v/>
      </c>
      <c r="F2423" t="str">
        <f>+IFERROR(VLOOKUP(Fact_Analitica[[#This Row], [Concepto Anterior]],Conceptos_Analítica_contraloría[#All],7,0),"")</f>
        <v/>
      </c>
      <c r="I2423" t="str">
        <f>+IFERROR(VLOOKUP(D2423,Conceptos_Analítica_contraloría[#All],2,0),"")</f>
        <v/>
      </c>
      <c r="J2423" s="84" t="str">
        <f>+IFERROR(VLOOKUP(D2423,Conceptos_Analítica_contraloría[#All],3,0),"")</f>
        <v/>
      </c>
    </row>
    <row r="2424" spans="3:10" ht="18.75" customHeight="1" x14ac:dyDescent="0.35">
      <c r="C2424" s="100" t="str">
        <f>IF(OR(Fact_Analitica[[#This Row], [Año]]="",Fact_Analitica[[#This Row], [Mes]]=""),"",DATE(A2424,MATCH(B2424,{"enero","febrero","marzo","abril","mayo","junio","julio","agosto","septiembre","octubre","noviembre","diciembre"},0)+1,0))</f>
        <v/>
      </c>
      <c r="E2424" t="str">
        <f>+IFERROR(VLOOKUP(Fact_Analitica[[#This Row], [Concepto Anterior]],Conceptos_Analítica_contraloría[#All],5,0),"")</f>
        <v/>
      </c>
      <c r="F2424" t="str">
        <f>+IFERROR(VLOOKUP(Fact_Analitica[[#This Row], [Concepto Anterior]],Conceptos_Analítica_contraloría[#All],7,0),"")</f>
        <v/>
      </c>
      <c r="I2424" t="str">
        <f>+IFERROR(VLOOKUP(D2424,Conceptos_Analítica_contraloría[#All],2,0),"")</f>
        <v/>
      </c>
      <c r="J2424" s="84" t="str">
        <f>+IFERROR(VLOOKUP(D2424,Conceptos_Analítica_contraloría[#All],3,0),"")</f>
        <v/>
      </c>
    </row>
    <row r="2425" spans="3:10" ht="18.75" customHeight="1" x14ac:dyDescent="0.35">
      <c r="C2425" s="100" t="str">
        <f>IF(OR(Fact_Analitica[[#This Row], [Año]]="",Fact_Analitica[[#This Row], [Mes]]=""),"",DATE(A2425,MATCH(B2425,{"enero","febrero","marzo","abril","mayo","junio","julio","agosto","septiembre","octubre","noviembre","diciembre"},0)+1,0))</f>
        <v/>
      </c>
      <c r="E2425" t="str">
        <f>+IFERROR(VLOOKUP(Fact_Analitica[[#This Row], [Concepto Anterior]],Conceptos_Analítica_contraloría[#All],5,0),"")</f>
        <v/>
      </c>
      <c r="F2425" t="str">
        <f>+IFERROR(VLOOKUP(Fact_Analitica[[#This Row], [Concepto Anterior]],Conceptos_Analítica_contraloría[#All],7,0),"")</f>
        <v/>
      </c>
      <c r="I2425" t="str">
        <f>+IFERROR(VLOOKUP(D2425,Conceptos_Analítica_contraloría[#All],2,0),"")</f>
        <v/>
      </c>
      <c r="J2425" s="84" t="str">
        <f>+IFERROR(VLOOKUP(D2425,Conceptos_Analítica_contraloría[#All],3,0),"")</f>
        <v/>
      </c>
    </row>
    <row r="2426" spans="3:10" ht="18.75" customHeight="1" x14ac:dyDescent="0.35">
      <c r="C2426" s="100" t="str">
        <f>IF(OR(Fact_Analitica[[#This Row], [Año]]="",Fact_Analitica[[#This Row], [Mes]]=""),"",DATE(A2426,MATCH(B2426,{"enero","febrero","marzo","abril","mayo","junio","julio","agosto","septiembre","octubre","noviembre","diciembre"},0)+1,0))</f>
        <v/>
      </c>
      <c r="E2426" t="str">
        <f>+IFERROR(VLOOKUP(Fact_Analitica[[#This Row], [Concepto Anterior]],Conceptos_Analítica_contraloría[#All],5,0),"")</f>
        <v/>
      </c>
      <c r="F2426" t="str">
        <f>+IFERROR(VLOOKUP(Fact_Analitica[[#This Row], [Concepto Anterior]],Conceptos_Analítica_contraloría[#All],7,0),"")</f>
        <v/>
      </c>
      <c r="I2426" t="str">
        <f>+IFERROR(VLOOKUP(D2426,Conceptos_Analítica_contraloría[#All],2,0),"")</f>
        <v/>
      </c>
      <c r="J2426" s="84" t="str">
        <f>+IFERROR(VLOOKUP(D2426,Conceptos_Analítica_contraloría[#All],3,0),"")</f>
        <v/>
      </c>
    </row>
    <row r="2427" spans="3:10" ht="18.75" customHeight="1" x14ac:dyDescent="0.35">
      <c r="C2427" s="100" t="str">
        <f>IF(OR(Fact_Analitica[[#This Row], [Año]]="",Fact_Analitica[[#This Row], [Mes]]=""),"",DATE(A2427,MATCH(B2427,{"enero","febrero","marzo","abril","mayo","junio","julio","agosto","septiembre","octubre","noviembre","diciembre"},0)+1,0))</f>
        <v/>
      </c>
      <c r="E2427" t="str">
        <f>+IFERROR(VLOOKUP(Fact_Analitica[[#This Row], [Concepto Anterior]],Conceptos_Analítica_contraloría[#All],5,0),"")</f>
        <v/>
      </c>
      <c r="F2427" t="str">
        <f>+IFERROR(VLOOKUP(Fact_Analitica[[#This Row], [Concepto Anterior]],Conceptos_Analítica_contraloría[#All],7,0),"")</f>
        <v/>
      </c>
      <c r="I2427" t="str">
        <f>+IFERROR(VLOOKUP(D2427,Conceptos_Analítica_contraloría[#All],2,0),"")</f>
        <v/>
      </c>
      <c r="J2427" s="84" t="str">
        <f>+IFERROR(VLOOKUP(D2427,Conceptos_Analítica_contraloría[#All],3,0),"")</f>
        <v/>
      </c>
    </row>
    <row r="2428" spans="3:10" ht="18.75" customHeight="1" x14ac:dyDescent="0.35">
      <c r="C2428" s="100" t="str">
        <f>IF(OR(Fact_Analitica[[#This Row], [Año]]="",Fact_Analitica[[#This Row], [Mes]]=""),"",DATE(A2428,MATCH(B2428,{"enero","febrero","marzo","abril","mayo","junio","julio","agosto","septiembre","octubre","noviembre","diciembre"},0)+1,0))</f>
        <v/>
      </c>
      <c r="E2428" t="str">
        <f>+IFERROR(VLOOKUP(Fact_Analitica[[#This Row], [Concepto Anterior]],Conceptos_Analítica_contraloría[#All],5,0),"")</f>
        <v/>
      </c>
      <c r="F2428" t="str">
        <f>+IFERROR(VLOOKUP(Fact_Analitica[[#This Row], [Concepto Anterior]],Conceptos_Analítica_contraloría[#All],7,0),"")</f>
        <v/>
      </c>
      <c r="I2428" t="str">
        <f>+IFERROR(VLOOKUP(D2428,Conceptos_Analítica_contraloría[#All],2,0),"")</f>
        <v/>
      </c>
      <c r="J2428" s="84" t="str">
        <f>+IFERROR(VLOOKUP(D2428,Conceptos_Analítica_contraloría[#All],3,0),"")</f>
        <v/>
      </c>
    </row>
    <row r="2429" spans="3:10" ht="18.75" customHeight="1" x14ac:dyDescent="0.35">
      <c r="C2429" s="100" t="str">
        <f>IF(OR(Fact_Analitica[[#This Row], [Año]]="",Fact_Analitica[[#This Row], [Mes]]=""),"",DATE(A2429,MATCH(B2429,{"enero","febrero","marzo","abril","mayo","junio","julio","agosto","septiembre","octubre","noviembre","diciembre"},0)+1,0))</f>
        <v/>
      </c>
      <c r="E2429" t="str">
        <f>+IFERROR(VLOOKUP(Fact_Analitica[[#This Row], [Concepto Anterior]],Conceptos_Analítica_contraloría[#All],5,0),"")</f>
        <v/>
      </c>
      <c r="F2429" t="str">
        <f>+IFERROR(VLOOKUP(Fact_Analitica[[#This Row], [Concepto Anterior]],Conceptos_Analítica_contraloría[#All],7,0),"")</f>
        <v/>
      </c>
      <c r="I2429" t="str">
        <f>+IFERROR(VLOOKUP(D2429,Conceptos_Analítica_contraloría[#All],2,0),"")</f>
        <v/>
      </c>
      <c r="J2429" s="84" t="str">
        <f>+IFERROR(VLOOKUP(D2429,Conceptos_Analítica_contraloría[#All],3,0),"")</f>
        <v/>
      </c>
    </row>
    <row r="2430" spans="3:10" ht="18.75" customHeight="1" x14ac:dyDescent="0.35">
      <c r="C2430" s="100" t="str">
        <f>IF(OR(Fact_Analitica[[#This Row], [Año]]="",Fact_Analitica[[#This Row], [Mes]]=""),"",DATE(A2430,MATCH(B2430,{"enero","febrero","marzo","abril","mayo","junio","julio","agosto","septiembre","octubre","noviembre","diciembre"},0)+1,0))</f>
        <v/>
      </c>
      <c r="E2430" t="str">
        <f>+IFERROR(VLOOKUP(Fact_Analitica[[#This Row], [Concepto Anterior]],Conceptos_Analítica_contraloría[#All],5,0),"")</f>
        <v/>
      </c>
      <c r="F2430" t="str">
        <f>+IFERROR(VLOOKUP(Fact_Analitica[[#This Row], [Concepto Anterior]],Conceptos_Analítica_contraloría[#All],7,0),"")</f>
        <v/>
      </c>
      <c r="I2430" t="str">
        <f>+IFERROR(VLOOKUP(D2430,Conceptos_Analítica_contraloría[#All],2,0),"")</f>
        <v/>
      </c>
      <c r="J2430" s="84" t="str">
        <f>+IFERROR(VLOOKUP(D2430,Conceptos_Analítica_contraloría[#All],3,0),"")</f>
        <v/>
      </c>
    </row>
    <row r="2431" spans="3:10" ht="18.75" customHeight="1" x14ac:dyDescent="0.35">
      <c r="C2431" s="100" t="str">
        <f>IF(OR(Fact_Analitica[[#This Row], [Año]]="",Fact_Analitica[[#This Row], [Mes]]=""),"",DATE(A2431,MATCH(B2431,{"enero","febrero","marzo","abril","mayo","junio","julio","agosto","septiembre","octubre","noviembre","diciembre"},0)+1,0))</f>
        <v/>
      </c>
      <c r="E2431" t="str">
        <f>+IFERROR(VLOOKUP(Fact_Analitica[[#This Row], [Concepto Anterior]],Conceptos_Analítica_contraloría[#All],5,0),"")</f>
        <v/>
      </c>
      <c r="F2431" t="str">
        <f>+IFERROR(VLOOKUP(Fact_Analitica[[#This Row], [Concepto Anterior]],Conceptos_Analítica_contraloría[#All],7,0),"")</f>
        <v/>
      </c>
      <c r="I2431" t="str">
        <f>+IFERROR(VLOOKUP(D2431,Conceptos_Analítica_contraloría[#All],2,0),"")</f>
        <v/>
      </c>
      <c r="J2431" s="84" t="str">
        <f>+IFERROR(VLOOKUP(D2431,Conceptos_Analítica_contraloría[#All],3,0),"")</f>
        <v/>
      </c>
    </row>
    <row r="2432" spans="3:10" ht="18.75" customHeight="1" x14ac:dyDescent="0.35">
      <c r="C2432" s="100" t="str">
        <f>IF(OR(Fact_Analitica[[#This Row], [Año]]="",Fact_Analitica[[#This Row], [Mes]]=""),"",DATE(A2432,MATCH(B2432,{"enero","febrero","marzo","abril","mayo","junio","julio","agosto","septiembre","octubre","noviembre","diciembre"},0)+1,0))</f>
        <v/>
      </c>
      <c r="E2432" t="str">
        <f>+IFERROR(VLOOKUP(Fact_Analitica[[#This Row], [Concepto Anterior]],Conceptos_Analítica_contraloría[#All],5,0),"")</f>
        <v/>
      </c>
      <c r="F2432" t="str">
        <f>+IFERROR(VLOOKUP(Fact_Analitica[[#This Row], [Concepto Anterior]],Conceptos_Analítica_contraloría[#All],7,0),"")</f>
        <v/>
      </c>
      <c r="I2432" t="str">
        <f>+IFERROR(VLOOKUP(D2432,Conceptos_Analítica_contraloría[#All],2,0),"")</f>
        <v/>
      </c>
      <c r="J2432" s="84" t="str">
        <f>+IFERROR(VLOOKUP(D2432,Conceptos_Analítica_contraloría[#All],3,0),"")</f>
        <v/>
      </c>
    </row>
    <row r="2433" spans="3:10" ht="18.75" customHeight="1" x14ac:dyDescent="0.35">
      <c r="C2433" s="100" t="str">
        <f>IF(OR(Fact_Analitica[[#This Row], [Año]]="",Fact_Analitica[[#This Row], [Mes]]=""),"",DATE(A2433,MATCH(B2433,{"enero","febrero","marzo","abril","mayo","junio","julio","agosto","septiembre","octubre","noviembre","diciembre"},0)+1,0))</f>
        <v/>
      </c>
      <c r="E2433" t="str">
        <f>+IFERROR(VLOOKUP(Fact_Analitica[[#This Row], [Concepto Anterior]],Conceptos_Analítica_contraloría[#All],5,0),"")</f>
        <v/>
      </c>
      <c r="F2433" t="str">
        <f>+IFERROR(VLOOKUP(Fact_Analitica[[#This Row], [Concepto Anterior]],Conceptos_Analítica_contraloría[#All],7,0),"")</f>
        <v/>
      </c>
      <c r="I2433" t="str">
        <f>+IFERROR(VLOOKUP(D2433,Conceptos_Analítica_contraloría[#All],2,0),"")</f>
        <v/>
      </c>
      <c r="J2433" s="84" t="str">
        <f>+IFERROR(VLOOKUP(D2433,Conceptos_Analítica_contraloría[#All],3,0),"")</f>
        <v/>
      </c>
    </row>
    <row r="2434" spans="3:10" ht="18.75" customHeight="1" x14ac:dyDescent="0.35">
      <c r="C2434" s="100" t="str">
        <f>IF(OR(Fact_Analitica[[#This Row], [Año]]="",Fact_Analitica[[#This Row], [Mes]]=""),"",DATE(A2434,MATCH(B2434,{"enero","febrero","marzo","abril","mayo","junio","julio","agosto","septiembre","octubre","noviembre","diciembre"},0)+1,0))</f>
        <v/>
      </c>
      <c r="E2434" t="str">
        <f>+IFERROR(VLOOKUP(Fact_Analitica[[#This Row], [Concepto Anterior]],Conceptos_Analítica_contraloría[#All],5,0),"")</f>
        <v/>
      </c>
      <c r="F2434" t="str">
        <f>+IFERROR(VLOOKUP(Fact_Analitica[[#This Row], [Concepto Anterior]],Conceptos_Analítica_contraloría[#All],7,0),"")</f>
        <v/>
      </c>
      <c r="I2434" t="str">
        <f>+IFERROR(VLOOKUP(D2434,Conceptos_Analítica_contraloría[#All],2,0),"")</f>
        <v/>
      </c>
      <c r="J2434" s="84" t="str">
        <f>+IFERROR(VLOOKUP(D2434,Conceptos_Analítica_contraloría[#All],3,0),"")</f>
        <v/>
      </c>
    </row>
    <row r="2435" spans="3:10" ht="18.75" customHeight="1" x14ac:dyDescent="0.35">
      <c r="C2435" s="100" t="str">
        <f>IF(OR(Fact_Analitica[[#This Row], [Año]]="",Fact_Analitica[[#This Row], [Mes]]=""),"",DATE(A2435,MATCH(B2435,{"enero","febrero","marzo","abril","mayo","junio","julio","agosto","septiembre","octubre","noviembre","diciembre"},0)+1,0))</f>
        <v/>
      </c>
      <c r="E2435" t="str">
        <f>+IFERROR(VLOOKUP(Fact_Analitica[[#This Row], [Concepto Anterior]],Conceptos_Analítica_contraloría[#All],5,0),"")</f>
        <v/>
      </c>
      <c r="F2435" t="str">
        <f>+IFERROR(VLOOKUP(Fact_Analitica[[#This Row], [Concepto Anterior]],Conceptos_Analítica_contraloría[#All],7,0),"")</f>
        <v/>
      </c>
      <c r="I2435" t="str">
        <f>+IFERROR(VLOOKUP(D2435,Conceptos_Analítica_contraloría[#All],2,0),"")</f>
        <v/>
      </c>
      <c r="J2435" s="84" t="str">
        <f>+IFERROR(VLOOKUP(D2435,Conceptos_Analítica_contraloría[#All],3,0),"")</f>
        <v/>
      </c>
    </row>
    <row r="2436" spans="3:10" ht="18.75" customHeight="1" x14ac:dyDescent="0.35">
      <c r="C2436" s="100" t="str">
        <f>IF(OR(Fact_Analitica[[#This Row], [Año]]="",Fact_Analitica[[#This Row], [Mes]]=""),"",DATE(A2436,MATCH(B2436,{"enero","febrero","marzo","abril","mayo","junio","julio","agosto","septiembre","octubre","noviembre","diciembre"},0)+1,0))</f>
        <v/>
      </c>
      <c r="E2436" t="str">
        <f>+IFERROR(VLOOKUP(Fact_Analitica[[#This Row], [Concepto Anterior]],Conceptos_Analítica_contraloría[#All],5,0),"")</f>
        <v/>
      </c>
      <c r="F2436" t="str">
        <f>+IFERROR(VLOOKUP(Fact_Analitica[[#This Row], [Concepto Anterior]],Conceptos_Analítica_contraloría[#All],7,0),"")</f>
        <v/>
      </c>
      <c r="I2436" t="str">
        <f>+IFERROR(VLOOKUP(D2436,Conceptos_Analítica_contraloría[#All],2,0),"")</f>
        <v/>
      </c>
      <c r="J2436" s="84" t="str">
        <f>+IFERROR(VLOOKUP(D2436,Conceptos_Analítica_contraloría[#All],3,0),"")</f>
        <v/>
      </c>
    </row>
    <row r="2437" spans="3:10" ht="18.75" customHeight="1" x14ac:dyDescent="0.35">
      <c r="C2437" s="100" t="str">
        <f>IF(OR(Fact_Analitica[[#This Row], [Año]]="",Fact_Analitica[[#This Row], [Mes]]=""),"",DATE(A2437,MATCH(B2437,{"enero","febrero","marzo","abril","mayo","junio","julio","agosto","septiembre","octubre","noviembre","diciembre"},0)+1,0))</f>
        <v/>
      </c>
      <c r="E2437" t="str">
        <f>+IFERROR(VLOOKUP(Fact_Analitica[[#This Row], [Concepto Anterior]],Conceptos_Analítica_contraloría[#All],5,0),"")</f>
        <v/>
      </c>
      <c r="F2437" t="str">
        <f>+IFERROR(VLOOKUP(Fact_Analitica[[#This Row], [Concepto Anterior]],Conceptos_Analítica_contraloría[#All],7,0),"")</f>
        <v/>
      </c>
      <c r="I2437" t="str">
        <f>+IFERROR(VLOOKUP(D2437,Conceptos_Analítica_contraloría[#All],2,0),"")</f>
        <v/>
      </c>
      <c r="J2437" s="84" t="str">
        <f>+IFERROR(VLOOKUP(D2437,Conceptos_Analítica_contraloría[#All],3,0),"")</f>
        <v/>
      </c>
    </row>
    <row r="2438" spans="3:10" ht="18.75" customHeight="1" x14ac:dyDescent="0.35">
      <c r="C2438" s="100" t="str">
        <f>IF(OR(Fact_Analitica[[#This Row], [Año]]="",Fact_Analitica[[#This Row], [Mes]]=""),"",DATE(A2438,MATCH(B2438,{"enero","febrero","marzo","abril","mayo","junio","julio","agosto","septiembre","octubre","noviembre","diciembre"},0)+1,0))</f>
        <v/>
      </c>
      <c r="E2438" t="str">
        <f>+IFERROR(VLOOKUP(Fact_Analitica[[#This Row], [Concepto Anterior]],Conceptos_Analítica_contraloría[#All],5,0),"")</f>
        <v/>
      </c>
      <c r="F2438" t="str">
        <f>+IFERROR(VLOOKUP(Fact_Analitica[[#This Row], [Concepto Anterior]],Conceptos_Analítica_contraloría[#All],7,0),"")</f>
        <v/>
      </c>
      <c r="I2438" t="str">
        <f>+IFERROR(VLOOKUP(D2438,Conceptos_Analítica_contraloría[#All],2,0),"")</f>
        <v/>
      </c>
      <c r="J2438" s="84" t="str">
        <f>+IFERROR(VLOOKUP(D2438,Conceptos_Analítica_contraloría[#All],3,0),"")</f>
        <v/>
      </c>
    </row>
    <row r="2439" spans="3:10" ht="18.75" customHeight="1" x14ac:dyDescent="0.35">
      <c r="C2439" s="100" t="str">
        <f>IF(OR(Fact_Analitica[[#This Row], [Año]]="",Fact_Analitica[[#This Row], [Mes]]=""),"",DATE(A2439,MATCH(B2439,{"enero","febrero","marzo","abril","mayo","junio","julio","agosto","septiembre","octubre","noviembre","diciembre"},0)+1,0))</f>
        <v/>
      </c>
      <c r="E2439" t="str">
        <f>+IFERROR(VLOOKUP(Fact_Analitica[[#This Row], [Concepto Anterior]],Conceptos_Analítica_contraloría[#All],5,0),"")</f>
        <v/>
      </c>
      <c r="F2439" t="str">
        <f>+IFERROR(VLOOKUP(Fact_Analitica[[#This Row], [Concepto Anterior]],Conceptos_Analítica_contraloría[#All],7,0),"")</f>
        <v/>
      </c>
      <c r="I2439" t="str">
        <f>+IFERROR(VLOOKUP(D2439,Conceptos_Analítica_contraloría[#All],2,0),"")</f>
        <v/>
      </c>
      <c r="J2439" s="84" t="str">
        <f>+IFERROR(VLOOKUP(D2439,Conceptos_Analítica_contraloría[#All],3,0),"")</f>
        <v/>
      </c>
    </row>
    <row r="2440" spans="3:10" ht="18.75" customHeight="1" x14ac:dyDescent="0.35">
      <c r="C2440" s="100" t="str">
        <f>IF(OR(Fact_Analitica[[#This Row], [Año]]="",Fact_Analitica[[#This Row], [Mes]]=""),"",DATE(A2440,MATCH(B2440,{"enero","febrero","marzo","abril","mayo","junio","julio","agosto","septiembre","octubre","noviembre","diciembre"},0)+1,0))</f>
        <v/>
      </c>
      <c r="E2440" t="str">
        <f>+IFERROR(VLOOKUP(Fact_Analitica[[#This Row], [Concepto Anterior]],Conceptos_Analítica_contraloría[#All],5,0),"")</f>
        <v/>
      </c>
      <c r="F2440" t="str">
        <f>+IFERROR(VLOOKUP(Fact_Analitica[[#This Row], [Concepto Anterior]],Conceptos_Analítica_contraloría[#All],7,0),"")</f>
        <v/>
      </c>
      <c r="I2440" t="str">
        <f>+IFERROR(VLOOKUP(D2440,Conceptos_Analítica_contraloría[#All],2,0),"")</f>
        <v/>
      </c>
      <c r="J2440" s="84" t="str">
        <f>+IFERROR(VLOOKUP(D2440,Conceptos_Analítica_contraloría[#All],3,0),"")</f>
        <v/>
      </c>
    </row>
    <row r="2441" spans="3:10" ht="18.75" customHeight="1" x14ac:dyDescent="0.35">
      <c r="C2441" s="100" t="str">
        <f>IF(OR(Fact_Analitica[[#This Row], [Año]]="",Fact_Analitica[[#This Row], [Mes]]=""),"",DATE(A2441,MATCH(B2441,{"enero","febrero","marzo","abril","mayo","junio","julio","agosto","septiembre","octubre","noviembre","diciembre"},0)+1,0))</f>
        <v/>
      </c>
      <c r="E2441" t="str">
        <f>+IFERROR(VLOOKUP(Fact_Analitica[[#This Row], [Concepto Anterior]],Conceptos_Analítica_contraloría[#All],5,0),"")</f>
        <v/>
      </c>
      <c r="F2441" t="str">
        <f>+IFERROR(VLOOKUP(Fact_Analitica[[#This Row], [Concepto Anterior]],Conceptos_Analítica_contraloría[#All],7,0),"")</f>
        <v/>
      </c>
      <c r="I2441" t="str">
        <f>+IFERROR(VLOOKUP(D2441,Conceptos_Analítica_contraloría[#All],2,0),"")</f>
        <v/>
      </c>
      <c r="J2441" s="84" t="str">
        <f>+IFERROR(VLOOKUP(D2441,Conceptos_Analítica_contraloría[#All],3,0),"")</f>
        <v/>
      </c>
    </row>
    <row r="2442" spans="3:10" ht="18.75" customHeight="1" x14ac:dyDescent="0.35">
      <c r="C2442" s="100" t="str">
        <f>IF(OR(Fact_Analitica[[#This Row], [Año]]="",Fact_Analitica[[#This Row], [Mes]]=""),"",DATE(A2442,MATCH(B2442,{"enero","febrero","marzo","abril","mayo","junio","julio","agosto","septiembre","octubre","noviembre","diciembre"},0)+1,0))</f>
        <v/>
      </c>
      <c r="E2442" t="str">
        <f>+IFERROR(VLOOKUP(Fact_Analitica[[#This Row], [Concepto Anterior]],Conceptos_Analítica_contraloría[#All],5,0),"")</f>
        <v/>
      </c>
      <c r="F2442" t="str">
        <f>+IFERROR(VLOOKUP(Fact_Analitica[[#This Row], [Concepto Anterior]],Conceptos_Analítica_contraloría[#All],7,0),"")</f>
        <v/>
      </c>
      <c r="I2442" t="str">
        <f>+IFERROR(VLOOKUP(D2442,Conceptos_Analítica_contraloría[#All],2,0),"")</f>
        <v/>
      </c>
      <c r="J2442" s="84" t="str">
        <f>+IFERROR(VLOOKUP(D2442,Conceptos_Analítica_contraloría[#All],3,0),"")</f>
        <v/>
      </c>
    </row>
    <row r="2443" spans="3:10" ht="18.75" customHeight="1" x14ac:dyDescent="0.35">
      <c r="C2443" s="100" t="str">
        <f>IF(OR(Fact_Analitica[[#This Row], [Año]]="",Fact_Analitica[[#This Row], [Mes]]=""),"",DATE(A2443,MATCH(B2443,{"enero","febrero","marzo","abril","mayo","junio","julio","agosto","septiembre","octubre","noviembre","diciembre"},0)+1,0))</f>
        <v/>
      </c>
      <c r="E2443" t="str">
        <f>+IFERROR(VLOOKUP(Fact_Analitica[[#This Row], [Concepto Anterior]],Conceptos_Analítica_contraloría[#All],5,0),"")</f>
        <v/>
      </c>
      <c r="F2443" t="str">
        <f>+IFERROR(VLOOKUP(Fact_Analitica[[#This Row], [Concepto Anterior]],Conceptos_Analítica_contraloría[#All],7,0),"")</f>
        <v/>
      </c>
      <c r="I2443" t="str">
        <f>+IFERROR(VLOOKUP(D2443,Conceptos_Analítica_contraloría[#All],2,0),"")</f>
        <v/>
      </c>
      <c r="J2443" s="84" t="str">
        <f>+IFERROR(VLOOKUP(D2443,Conceptos_Analítica_contraloría[#All],3,0),"")</f>
        <v/>
      </c>
    </row>
    <row r="2444" spans="3:10" ht="18.75" customHeight="1" x14ac:dyDescent="0.35">
      <c r="C2444" s="100" t="str">
        <f>IF(OR(Fact_Analitica[[#This Row], [Año]]="",Fact_Analitica[[#This Row], [Mes]]=""),"",DATE(A2444,MATCH(B2444,{"enero","febrero","marzo","abril","mayo","junio","julio","agosto","septiembre","octubre","noviembre","diciembre"},0)+1,0))</f>
        <v/>
      </c>
      <c r="E2444" t="str">
        <f>+IFERROR(VLOOKUP(Fact_Analitica[[#This Row], [Concepto Anterior]],Conceptos_Analítica_contraloría[#All],5,0),"")</f>
        <v/>
      </c>
      <c r="F2444" t="str">
        <f>+IFERROR(VLOOKUP(Fact_Analitica[[#This Row], [Concepto Anterior]],Conceptos_Analítica_contraloría[#All],7,0),"")</f>
        <v/>
      </c>
      <c r="I2444" t="str">
        <f>+IFERROR(VLOOKUP(D2444,Conceptos_Analítica_contraloría[#All],2,0),"")</f>
        <v/>
      </c>
      <c r="J2444" s="84" t="str">
        <f>+IFERROR(VLOOKUP(D2444,Conceptos_Analítica_contraloría[#All],3,0),"")</f>
        <v/>
      </c>
    </row>
    <row r="2445" spans="3:10" ht="18.75" customHeight="1" x14ac:dyDescent="0.35">
      <c r="C2445" s="100" t="str">
        <f>IF(OR(Fact_Analitica[[#This Row], [Año]]="",Fact_Analitica[[#This Row], [Mes]]=""),"",DATE(A2445,MATCH(B2445,{"enero","febrero","marzo","abril","mayo","junio","julio","agosto","septiembre","octubre","noviembre","diciembre"},0)+1,0))</f>
        <v/>
      </c>
      <c r="E2445" t="str">
        <f>+IFERROR(VLOOKUP(Fact_Analitica[[#This Row], [Concepto Anterior]],Conceptos_Analítica_contraloría[#All],5,0),"")</f>
        <v/>
      </c>
      <c r="F2445" t="str">
        <f>+IFERROR(VLOOKUP(Fact_Analitica[[#This Row], [Concepto Anterior]],Conceptos_Analítica_contraloría[#All],7,0),"")</f>
        <v/>
      </c>
      <c r="I2445" t="str">
        <f>+IFERROR(VLOOKUP(D2445,Conceptos_Analítica_contraloría[#All],2,0),"")</f>
        <v/>
      </c>
      <c r="J2445" s="84" t="str">
        <f>+IFERROR(VLOOKUP(D2445,Conceptos_Analítica_contraloría[#All],3,0),"")</f>
        <v/>
      </c>
    </row>
    <row r="2446" spans="3:10" ht="18.75" customHeight="1" x14ac:dyDescent="0.35">
      <c r="C2446" s="100" t="str">
        <f>IF(OR(Fact_Analitica[[#This Row], [Año]]="",Fact_Analitica[[#This Row], [Mes]]=""),"",DATE(A2446,MATCH(B2446,{"enero","febrero","marzo","abril","mayo","junio","julio","agosto","septiembre","octubre","noviembre","diciembre"},0)+1,0))</f>
        <v/>
      </c>
      <c r="E2446" t="str">
        <f>+IFERROR(VLOOKUP(Fact_Analitica[[#This Row], [Concepto Anterior]],Conceptos_Analítica_contraloría[#All],5,0),"")</f>
        <v/>
      </c>
      <c r="F2446" t="str">
        <f>+IFERROR(VLOOKUP(Fact_Analitica[[#This Row], [Concepto Anterior]],Conceptos_Analítica_contraloría[#All],7,0),"")</f>
        <v/>
      </c>
      <c r="I2446" t="str">
        <f>+IFERROR(VLOOKUP(D2446,Conceptos_Analítica_contraloría[#All],2,0),"")</f>
        <v/>
      </c>
      <c r="J2446" s="84" t="str">
        <f>+IFERROR(VLOOKUP(D2446,Conceptos_Analítica_contraloría[#All],3,0),"")</f>
        <v/>
      </c>
    </row>
    <row r="2447" spans="3:10" ht="18.75" customHeight="1" x14ac:dyDescent="0.35">
      <c r="C2447" s="100" t="str">
        <f>IF(OR(Fact_Analitica[[#This Row], [Año]]="",Fact_Analitica[[#This Row], [Mes]]=""),"",DATE(A2447,MATCH(B2447,{"enero","febrero","marzo","abril","mayo","junio","julio","agosto","septiembre","octubre","noviembre","diciembre"},0)+1,0))</f>
        <v/>
      </c>
      <c r="E2447" t="str">
        <f>+IFERROR(VLOOKUP(Fact_Analitica[[#This Row], [Concepto Anterior]],Conceptos_Analítica_contraloría[#All],5,0),"")</f>
        <v/>
      </c>
      <c r="F2447" t="str">
        <f>+IFERROR(VLOOKUP(Fact_Analitica[[#This Row], [Concepto Anterior]],Conceptos_Analítica_contraloría[#All],7,0),"")</f>
        <v/>
      </c>
      <c r="I2447" t="str">
        <f>+IFERROR(VLOOKUP(D2447,Conceptos_Analítica_contraloría[#All],2,0),"")</f>
        <v/>
      </c>
      <c r="J2447" s="84" t="str">
        <f>+IFERROR(VLOOKUP(D2447,Conceptos_Analítica_contraloría[#All],3,0),"")</f>
        <v/>
      </c>
    </row>
    <row r="2448" spans="3:10" ht="18.75" customHeight="1" x14ac:dyDescent="0.35">
      <c r="C2448" s="100" t="str">
        <f>IF(OR(Fact_Analitica[[#This Row], [Año]]="",Fact_Analitica[[#This Row], [Mes]]=""),"",DATE(A2448,MATCH(B2448,{"enero","febrero","marzo","abril","mayo","junio","julio","agosto","septiembre","octubre","noviembre","diciembre"},0)+1,0))</f>
        <v/>
      </c>
      <c r="E2448" t="str">
        <f>+IFERROR(VLOOKUP(Fact_Analitica[[#This Row], [Concepto Anterior]],Conceptos_Analítica_contraloría[#All],5,0),"")</f>
        <v/>
      </c>
      <c r="F2448" t="str">
        <f>+IFERROR(VLOOKUP(Fact_Analitica[[#This Row], [Concepto Anterior]],Conceptos_Analítica_contraloría[#All],7,0),"")</f>
        <v/>
      </c>
      <c r="I2448" t="str">
        <f>+IFERROR(VLOOKUP(D2448,Conceptos_Analítica_contraloría[#All],2,0),"")</f>
        <v/>
      </c>
      <c r="J2448" s="84" t="str">
        <f>+IFERROR(VLOOKUP(D2448,Conceptos_Analítica_contraloría[#All],3,0),"")</f>
        <v/>
      </c>
    </row>
    <row r="2449" spans="3:10" ht="18.75" customHeight="1" x14ac:dyDescent="0.35">
      <c r="C2449" s="100" t="str">
        <f>IF(OR(Fact_Analitica[[#This Row], [Año]]="",Fact_Analitica[[#This Row], [Mes]]=""),"",DATE(A2449,MATCH(B2449,{"enero","febrero","marzo","abril","mayo","junio","julio","agosto","septiembre","octubre","noviembre","diciembre"},0)+1,0))</f>
        <v/>
      </c>
      <c r="E2449" t="str">
        <f>+IFERROR(VLOOKUP(Fact_Analitica[[#This Row], [Concepto Anterior]],Conceptos_Analítica_contraloría[#All],5,0),"")</f>
        <v/>
      </c>
      <c r="F2449" t="str">
        <f>+IFERROR(VLOOKUP(Fact_Analitica[[#This Row], [Concepto Anterior]],Conceptos_Analítica_contraloría[#All],7,0),"")</f>
        <v/>
      </c>
      <c r="I2449" t="str">
        <f>+IFERROR(VLOOKUP(D2449,Conceptos_Analítica_contraloría[#All],2,0),"")</f>
        <v/>
      </c>
      <c r="J2449" s="84" t="str">
        <f>+IFERROR(VLOOKUP(D2449,Conceptos_Analítica_contraloría[#All],3,0),"")</f>
        <v/>
      </c>
    </row>
    <row r="2450" spans="3:10" ht="18.75" customHeight="1" x14ac:dyDescent="0.35">
      <c r="C2450" s="100" t="str">
        <f>IF(OR(Fact_Analitica[[#This Row], [Año]]="",Fact_Analitica[[#This Row], [Mes]]=""),"",DATE(A2450,MATCH(B2450,{"enero","febrero","marzo","abril","mayo","junio","julio","agosto","septiembre","octubre","noviembre","diciembre"},0)+1,0))</f>
        <v/>
      </c>
      <c r="E2450" t="str">
        <f>+IFERROR(VLOOKUP(Fact_Analitica[[#This Row], [Concepto Anterior]],Conceptos_Analítica_contraloría[#All],5,0),"")</f>
        <v/>
      </c>
      <c r="F2450" t="str">
        <f>+IFERROR(VLOOKUP(Fact_Analitica[[#This Row], [Concepto Anterior]],Conceptos_Analítica_contraloría[#All],7,0),"")</f>
        <v/>
      </c>
      <c r="I2450" t="str">
        <f>+IFERROR(VLOOKUP(D2450,Conceptos_Analítica_contraloría[#All],2,0),"")</f>
        <v/>
      </c>
      <c r="J2450" s="84" t="str">
        <f>+IFERROR(VLOOKUP(D2450,Conceptos_Analítica_contraloría[#All],3,0),"")</f>
        <v/>
      </c>
    </row>
    <row r="2451" spans="3:10" ht="18.75" customHeight="1" x14ac:dyDescent="0.35">
      <c r="C2451" s="100" t="str">
        <f>IF(OR(Fact_Analitica[[#This Row], [Año]]="",Fact_Analitica[[#This Row], [Mes]]=""),"",DATE(A2451,MATCH(B2451,{"enero","febrero","marzo","abril","mayo","junio","julio","agosto","septiembre","octubre","noviembre","diciembre"},0)+1,0))</f>
        <v/>
      </c>
      <c r="E2451" t="str">
        <f>+IFERROR(VLOOKUP(Fact_Analitica[[#This Row], [Concepto Anterior]],Conceptos_Analítica_contraloría[#All],5,0),"")</f>
        <v/>
      </c>
      <c r="F2451" t="str">
        <f>+IFERROR(VLOOKUP(Fact_Analitica[[#This Row], [Concepto Anterior]],Conceptos_Analítica_contraloría[#All],7,0),"")</f>
        <v/>
      </c>
      <c r="I2451" t="str">
        <f>+IFERROR(VLOOKUP(D2451,Conceptos_Analítica_contraloría[#All],2,0),"")</f>
        <v/>
      </c>
      <c r="J2451" s="84" t="str">
        <f>+IFERROR(VLOOKUP(D2451,Conceptos_Analítica_contraloría[#All],3,0),"")</f>
        <v/>
      </c>
    </row>
    <row r="2452" spans="3:10" ht="18.75" customHeight="1" x14ac:dyDescent="0.35">
      <c r="C2452" s="100" t="str">
        <f>IF(OR(Fact_Analitica[[#This Row], [Año]]="",Fact_Analitica[[#This Row], [Mes]]=""),"",DATE(A2452,MATCH(B2452,{"enero","febrero","marzo","abril","mayo","junio","julio","agosto","septiembre","octubre","noviembre","diciembre"},0)+1,0))</f>
        <v/>
      </c>
      <c r="E2452" t="str">
        <f>+IFERROR(VLOOKUP(Fact_Analitica[[#This Row], [Concepto Anterior]],Conceptos_Analítica_contraloría[#All],5,0),"")</f>
        <v/>
      </c>
      <c r="F2452" t="str">
        <f>+IFERROR(VLOOKUP(Fact_Analitica[[#This Row], [Concepto Anterior]],Conceptos_Analítica_contraloría[#All],7,0),"")</f>
        <v/>
      </c>
      <c r="I2452" t="str">
        <f>+IFERROR(VLOOKUP(D2452,Conceptos_Analítica_contraloría[#All],2,0),"")</f>
        <v/>
      </c>
      <c r="J2452" s="84" t="str">
        <f>+IFERROR(VLOOKUP(D2452,Conceptos_Analítica_contraloría[#All],3,0),"")</f>
        <v/>
      </c>
    </row>
    <row r="2453" spans="3:10" ht="18.75" customHeight="1" x14ac:dyDescent="0.35">
      <c r="C2453" s="100" t="str">
        <f>IF(OR(Fact_Analitica[[#This Row], [Año]]="",Fact_Analitica[[#This Row], [Mes]]=""),"",DATE(A2453,MATCH(B2453,{"enero","febrero","marzo","abril","mayo","junio","julio","agosto","septiembre","octubre","noviembre","diciembre"},0)+1,0))</f>
        <v/>
      </c>
      <c r="E2453" t="str">
        <f>+IFERROR(VLOOKUP(Fact_Analitica[[#This Row], [Concepto Anterior]],Conceptos_Analítica_contraloría[#All],5,0),"")</f>
        <v/>
      </c>
      <c r="F2453" t="str">
        <f>+IFERROR(VLOOKUP(Fact_Analitica[[#This Row], [Concepto Anterior]],Conceptos_Analítica_contraloría[#All],7,0),"")</f>
        <v/>
      </c>
      <c r="I2453" t="str">
        <f>+IFERROR(VLOOKUP(D2453,Conceptos_Analítica_contraloría[#All],2,0),"")</f>
        <v/>
      </c>
      <c r="J2453" s="84" t="str">
        <f>+IFERROR(VLOOKUP(D2453,Conceptos_Analítica_contraloría[#All],3,0),"")</f>
        <v/>
      </c>
    </row>
    <row r="2454" spans="3:10" ht="18.75" customHeight="1" x14ac:dyDescent="0.35">
      <c r="C2454" s="100" t="str">
        <f>IF(OR(Fact_Analitica[[#This Row], [Año]]="",Fact_Analitica[[#This Row], [Mes]]=""),"",DATE(A2454,MATCH(B2454,{"enero","febrero","marzo","abril","mayo","junio","julio","agosto","septiembre","octubre","noviembre","diciembre"},0)+1,0))</f>
        <v/>
      </c>
      <c r="E2454" t="str">
        <f>+IFERROR(VLOOKUP(Fact_Analitica[[#This Row], [Concepto Anterior]],Conceptos_Analítica_contraloría[#All],5,0),"")</f>
        <v/>
      </c>
      <c r="F2454" t="str">
        <f>+IFERROR(VLOOKUP(Fact_Analitica[[#This Row], [Concepto Anterior]],Conceptos_Analítica_contraloría[#All],7,0),"")</f>
        <v/>
      </c>
      <c r="I2454" t="str">
        <f>+IFERROR(VLOOKUP(D2454,Conceptos_Analítica_contraloría[#All],2,0),"")</f>
        <v/>
      </c>
      <c r="J2454" s="84" t="str">
        <f>+IFERROR(VLOOKUP(D2454,Conceptos_Analítica_contraloría[#All],3,0),"")</f>
        <v/>
      </c>
    </row>
    <row r="2455" spans="3:10" ht="18.75" customHeight="1" x14ac:dyDescent="0.35">
      <c r="C2455" s="100" t="str">
        <f>IF(OR(Fact_Analitica[[#This Row], [Año]]="",Fact_Analitica[[#This Row], [Mes]]=""),"",DATE(A2455,MATCH(B2455,{"enero","febrero","marzo","abril","mayo","junio","julio","agosto","septiembre","octubre","noviembre","diciembre"},0)+1,0))</f>
        <v/>
      </c>
      <c r="E2455" t="str">
        <f>+IFERROR(VLOOKUP(Fact_Analitica[[#This Row], [Concepto Anterior]],Conceptos_Analítica_contraloría[#All],5,0),"")</f>
        <v/>
      </c>
      <c r="F2455" t="str">
        <f>+IFERROR(VLOOKUP(Fact_Analitica[[#This Row], [Concepto Anterior]],Conceptos_Analítica_contraloría[#All],7,0),"")</f>
        <v/>
      </c>
      <c r="I2455" t="str">
        <f>+IFERROR(VLOOKUP(D2455,Conceptos_Analítica_contraloría[#All],2,0),"")</f>
        <v/>
      </c>
      <c r="J2455" s="84" t="str">
        <f>+IFERROR(VLOOKUP(D2455,Conceptos_Analítica_contraloría[#All],3,0),"")</f>
        <v/>
      </c>
    </row>
    <row r="2456" spans="3:10" ht="18.75" customHeight="1" x14ac:dyDescent="0.35">
      <c r="C2456" s="100" t="str">
        <f>IF(OR(Fact_Analitica[[#This Row], [Año]]="",Fact_Analitica[[#This Row], [Mes]]=""),"",DATE(A2456,MATCH(B2456,{"enero","febrero","marzo","abril","mayo","junio","julio","agosto","septiembre","octubre","noviembre","diciembre"},0)+1,0))</f>
        <v/>
      </c>
      <c r="E2456" t="str">
        <f>+IFERROR(VLOOKUP(Fact_Analitica[[#This Row], [Concepto Anterior]],Conceptos_Analítica_contraloría[#All],5,0),"")</f>
        <v/>
      </c>
      <c r="F2456" t="str">
        <f>+IFERROR(VLOOKUP(Fact_Analitica[[#This Row], [Concepto Anterior]],Conceptos_Analítica_contraloría[#All],7,0),"")</f>
        <v/>
      </c>
      <c r="I2456" t="str">
        <f>+IFERROR(VLOOKUP(D2456,Conceptos_Analítica_contraloría[#All],2,0),"")</f>
        <v/>
      </c>
      <c r="J2456" s="84" t="str">
        <f>+IFERROR(VLOOKUP(D2456,Conceptos_Analítica_contraloría[#All],3,0),"")</f>
        <v/>
      </c>
    </row>
    <row r="2457" spans="3:10" ht="18.75" customHeight="1" x14ac:dyDescent="0.35">
      <c r="C2457" s="100" t="str">
        <f>IF(OR(Fact_Analitica[[#This Row], [Año]]="",Fact_Analitica[[#This Row], [Mes]]=""),"",DATE(A2457,MATCH(B2457,{"enero","febrero","marzo","abril","mayo","junio","julio","agosto","septiembre","octubre","noviembre","diciembre"},0)+1,0))</f>
        <v/>
      </c>
      <c r="E2457" t="str">
        <f>+IFERROR(VLOOKUP(Fact_Analitica[[#This Row], [Concepto Anterior]],Conceptos_Analítica_contraloría[#All],5,0),"")</f>
        <v/>
      </c>
      <c r="F2457" t="str">
        <f>+IFERROR(VLOOKUP(Fact_Analitica[[#This Row], [Concepto Anterior]],Conceptos_Analítica_contraloría[#All],7,0),"")</f>
        <v/>
      </c>
      <c r="I2457" t="str">
        <f>+IFERROR(VLOOKUP(D2457,Conceptos_Analítica_contraloría[#All],2,0),"")</f>
        <v/>
      </c>
      <c r="J2457" s="84" t="str">
        <f>+IFERROR(VLOOKUP(D2457,Conceptos_Analítica_contraloría[#All],3,0),"")</f>
        <v/>
      </c>
    </row>
    <row r="2458" spans="3:10" ht="18.75" customHeight="1" x14ac:dyDescent="0.35">
      <c r="C2458" s="100" t="str">
        <f>IF(OR(Fact_Analitica[[#This Row], [Año]]="",Fact_Analitica[[#This Row], [Mes]]=""),"",DATE(A2458,MATCH(B2458,{"enero","febrero","marzo","abril","mayo","junio","julio","agosto","septiembre","octubre","noviembre","diciembre"},0)+1,0))</f>
        <v/>
      </c>
      <c r="E2458" t="str">
        <f>+IFERROR(VLOOKUP(Fact_Analitica[[#This Row], [Concepto Anterior]],Conceptos_Analítica_contraloría[#All],5,0),"")</f>
        <v/>
      </c>
      <c r="F2458" t="str">
        <f>+IFERROR(VLOOKUP(Fact_Analitica[[#This Row], [Concepto Anterior]],Conceptos_Analítica_contraloría[#All],7,0),"")</f>
        <v/>
      </c>
      <c r="I2458" t="str">
        <f>+IFERROR(VLOOKUP(D2458,Conceptos_Analítica_contraloría[#All],2,0),"")</f>
        <v/>
      </c>
      <c r="J2458" s="84" t="str">
        <f>+IFERROR(VLOOKUP(D2458,Conceptos_Analítica_contraloría[#All],3,0),"")</f>
        <v/>
      </c>
    </row>
    <row r="2459" spans="3:10" ht="18.75" customHeight="1" x14ac:dyDescent="0.35">
      <c r="C2459" s="100" t="str">
        <f>IF(OR(Fact_Analitica[[#This Row], [Año]]="",Fact_Analitica[[#This Row], [Mes]]=""),"",DATE(A2459,MATCH(B2459,{"enero","febrero","marzo","abril","mayo","junio","julio","agosto","septiembre","octubre","noviembre","diciembre"},0)+1,0))</f>
        <v/>
      </c>
      <c r="E2459" t="str">
        <f>+IFERROR(VLOOKUP(Fact_Analitica[[#This Row], [Concepto Anterior]],Conceptos_Analítica_contraloría[#All],5,0),"")</f>
        <v/>
      </c>
      <c r="F2459" t="str">
        <f>+IFERROR(VLOOKUP(Fact_Analitica[[#This Row], [Concepto Anterior]],Conceptos_Analítica_contraloría[#All],7,0),"")</f>
        <v/>
      </c>
      <c r="I2459" t="str">
        <f>+IFERROR(VLOOKUP(D2459,Conceptos_Analítica_contraloría[#All],2,0),"")</f>
        <v/>
      </c>
      <c r="J2459" s="84" t="str">
        <f>+IFERROR(VLOOKUP(D2459,Conceptos_Analítica_contraloría[#All],3,0),"")</f>
        <v/>
      </c>
    </row>
    <row r="2460" spans="3:10" ht="18.75" customHeight="1" x14ac:dyDescent="0.35">
      <c r="C2460" s="100" t="str">
        <f>IF(OR(Fact_Analitica[[#This Row], [Año]]="",Fact_Analitica[[#This Row], [Mes]]=""),"",DATE(A2460,MATCH(B2460,{"enero","febrero","marzo","abril","mayo","junio","julio","agosto","septiembre","octubre","noviembre","diciembre"},0)+1,0))</f>
        <v/>
      </c>
      <c r="E2460" t="str">
        <f>+IFERROR(VLOOKUP(Fact_Analitica[[#This Row], [Concepto Anterior]],Conceptos_Analítica_contraloría[#All],5,0),"")</f>
        <v/>
      </c>
      <c r="F2460" t="str">
        <f>+IFERROR(VLOOKUP(Fact_Analitica[[#This Row], [Concepto Anterior]],Conceptos_Analítica_contraloría[#All],7,0),"")</f>
        <v/>
      </c>
      <c r="I2460" t="str">
        <f>+IFERROR(VLOOKUP(D2460,Conceptos_Analítica_contraloría[#All],2,0),"")</f>
        <v/>
      </c>
      <c r="J2460" s="84" t="str">
        <f>+IFERROR(VLOOKUP(D2460,Conceptos_Analítica_contraloría[#All],3,0),"")</f>
        <v/>
      </c>
    </row>
    <row r="2461" spans="3:10" ht="18.75" customHeight="1" x14ac:dyDescent="0.35">
      <c r="C2461" s="100" t="str">
        <f>IF(OR(Fact_Analitica[[#This Row], [Año]]="",Fact_Analitica[[#This Row], [Mes]]=""),"",DATE(A2461,MATCH(B2461,{"enero","febrero","marzo","abril","mayo","junio","julio","agosto","septiembre","octubre","noviembre","diciembre"},0)+1,0))</f>
        <v/>
      </c>
      <c r="E2461" t="str">
        <f>+IFERROR(VLOOKUP(Fact_Analitica[[#This Row], [Concepto Anterior]],Conceptos_Analítica_contraloría[#All],5,0),"")</f>
        <v/>
      </c>
      <c r="F2461" t="str">
        <f>+IFERROR(VLOOKUP(Fact_Analitica[[#This Row], [Concepto Anterior]],Conceptos_Analítica_contraloría[#All],7,0),"")</f>
        <v/>
      </c>
      <c r="I2461" t="str">
        <f>+IFERROR(VLOOKUP(D2461,Conceptos_Analítica_contraloría[#All],2,0),"")</f>
        <v/>
      </c>
      <c r="J2461" s="84" t="str">
        <f>+IFERROR(VLOOKUP(D2461,Conceptos_Analítica_contraloría[#All],3,0),"")</f>
        <v/>
      </c>
    </row>
    <row r="2462" spans="3:10" ht="18.75" customHeight="1" x14ac:dyDescent="0.35">
      <c r="C2462" s="100" t="str">
        <f>IF(OR(Fact_Analitica[[#This Row], [Año]]="",Fact_Analitica[[#This Row], [Mes]]=""),"",DATE(A2462,MATCH(B2462,{"enero","febrero","marzo","abril","mayo","junio","julio","agosto","septiembre","octubre","noviembre","diciembre"},0)+1,0))</f>
        <v/>
      </c>
      <c r="E2462" t="str">
        <f>+IFERROR(VLOOKUP(Fact_Analitica[[#This Row], [Concepto Anterior]],Conceptos_Analítica_contraloría[#All],5,0),"")</f>
        <v/>
      </c>
      <c r="F2462" t="str">
        <f>+IFERROR(VLOOKUP(Fact_Analitica[[#This Row], [Concepto Anterior]],Conceptos_Analítica_contraloría[#All],7,0),"")</f>
        <v/>
      </c>
      <c r="I2462" t="str">
        <f>+IFERROR(VLOOKUP(D2462,Conceptos_Analítica_contraloría[#All],2,0),"")</f>
        <v/>
      </c>
      <c r="J2462" s="84" t="str">
        <f>+IFERROR(VLOOKUP(D2462,Conceptos_Analítica_contraloría[#All],3,0),"")</f>
        <v/>
      </c>
    </row>
    <row r="2463" spans="3:10" ht="18.75" customHeight="1" x14ac:dyDescent="0.35">
      <c r="C2463" s="100" t="str">
        <f>IF(OR(Fact_Analitica[[#This Row], [Año]]="",Fact_Analitica[[#This Row], [Mes]]=""),"",DATE(A2463,MATCH(B2463,{"enero","febrero","marzo","abril","mayo","junio","julio","agosto","septiembre","octubre","noviembre","diciembre"},0)+1,0))</f>
        <v/>
      </c>
      <c r="E2463" t="str">
        <f>+IFERROR(VLOOKUP(Fact_Analitica[[#This Row], [Concepto Anterior]],Conceptos_Analítica_contraloría[#All],5,0),"")</f>
        <v/>
      </c>
      <c r="F2463" t="str">
        <f>+IFERROR(VLOOKUP(Fact_Analitica[[#This Row], [Concepto Anterior]],Conceptos_Analítica_contraloría[#All],7,0),"")</f>
        <v/>
      </c>
      <c r="I2463" t="str">
        <f>+IFERROR(VLOOKUP(D2463,Conceptos_Analítica_contraloría[#All],2,0),"")</f>
        <v/>
      </c>
      <c r="J2463" s="84" t="str">
        <f>+IFERROR(VLOOKUP(D2463,Conceptos_Analítica_contraloría[#All],3,0),"")</f>
        <v/>
      </c>
    </row>
    <row r="2464" spans="3:10" ht="18.75" customHeight="1" x14ac:dyDescent="0.35">
      <c r="C2464" s="100" t="str">
        <f>IF(OR(Fact_Analitica[[#This Row], [Año]]="",Fact_Analitica[[#This Row], [Mes]]=""),"",DATE(A2464,MATCH(B2464,{"enero","febrero","marzo","abril","mayo","junio","julio","agosto","septiembre","octubre","noviembre","diciembre"},0)+1,0))</f>
        <v/>
      </c>
      <c r="E2464" t="str">
        <f>+IFERROR(VLOOKUP(Fact_Analitica[[#This Row], [Concepto Anterior]],Conceptos_Analítica_contraloría[#All],5,0),"")</f>
        <v/>
      </c>
      <c r="F2464" t="str">
        <f>+IFERROR(VLOOKUP(Fact_Analitica[[#This Row], [Concepto Anterior]],Conceptos_Analítica_contraloría[#All],7,0),"")</f>
        <v/>
      </c>
      <c r="I2464" t="str">
        <f>+IFERROR(VLOOKUP(D2464,Conceptos_Analítica_contraloría[#All],2,0),"")</f>
        <v/>
      </c>
      <c r="J2464" s="84" t="str">
        <f>+IFERROR(VLOOKUP(D2464,Conceptos_Analítica_contraloría[#All],3,0),"")</f>
        <v/>
      </c>
    </row>
    <row r="2465" spans="3:10" ht="18.75" customHeight="1" x14ac:dyDescent="0.35">
      <c r="C2465" s="100" t="str">
        <f>IF(OR(Fact_Analitica[[#This Row], [Año]]="",Fact_Analitica[[#This Row], [Mes]]=""),"",DATE(A2465,MATCH(B2465,{"enero","febrero","marzo","abril","mayo","junio","julio","agosto","septiembre","octubre","noviembre","diciembre"},0)+1,0))</f>
        <v/>
      </c>
      <c r="E2465" t="str">
        <f>+IFERROR(VLOOKUP(Fact_Analitica[[#This Row], [Concepto Anterior]],Conceptos_Analítica_contraloría[#All],5,0),"")</f>
        <v/>
      </c>
      <c r="F2465" t="str">
        <f>+IFERROR(VLOOKUP(Fact_Analitica[[#This Row], [Concepto Anterior]],Conceptos_Analítica_contraloría[#All],7,0),"")</f>
        <v/>
      </c>
      <c r="I2465" t="str">
        <f>+IFERROR(VLOOKUP(D2465,Conceptos_Analítica_contraloría[#All],2,0),"")</f>
        <v/>
      </c>
      <c r="J2465" s="84" t="str">
        <f>+IFERROR(VLOOKUP(D2465,Conceptos_Analítica_contraloría[#All],3,0),"")</f>
        <v/>
      </c>
    </row>
    <row r="2466" spans="3:10" ht="18.75" customHeight="1" x14ac:dyDescent="0.35">
      <c r="C2466" s="100" t="str">
        <f>IF(OR(Fact_Analitica[[#This Row], [Año]]="",Fact_Analitica[[#This Row], [Mes]]=""),"",DATE(A2466,MATCH(B2466,{"enero","febrero","marzo","abril","mayo","junio","julio","agosto","septiembre","octubre","noviembre","diciembre"},0)+1,0))</f>
        <v/>
      </c>
      <c r="E2466" t="str">
        <f>+IFERROR(VLOOKUP(Fact_Analitica[[#This Row], [Concepto Anterior]],Conceptos_Analítica_contraloría[#All],5,0),"")</f>
        <v/>
      </c>
      <c r="F2466" t="str">
        <f>+IFERROR(VLOOKUP(Fact_Analitica[[#This Row], [Concepto Anterior]],Conceptos_Analítica_contraloría[#All],7,0),"")</f>
        <v/>
      </c>
      <c r="I2466" t="str">
        <f>+IFERROR(VLOOKUP(D2466,Conceptos_Analítica_contraloría[#All],2,0),"")</f>
        <v/>
      </c>
      <c r="J2466" s="84" t="str">
        <f>+IFERROR(VLOOKUP(D2466,Conceptos_Analítica_contraloría[#All],3,0),"")</f>
        <v/>
      </c>
    </row>
    <row r="2467" spans="3:10" ht="18.75" customHeight="1" x14ac:dyDescent="0.35">
      <c r="C2467" s="100" t="str">
        <f>IF(OR(Fact_Analitica[[#This Row], [Año]]="",Fact_Analitica[[#This Row], [Mes]]=""),"",DATE(A2467,MATCH(B2467,{"enero","febrero","marzo","abril","mayo","junio","julio","agosto","septiembre","octubre","noviembre","diciembre"},0)+1,0))</f>
        <v/>
      </c>
      <c r="E2467" t="str">
        <f>+IFERROR(VLOOKUP(Fact_Analitica[[#This Row], [Concepto Anterior]],Conceptos_Analítica_contraloría[#All],5,0),"")</f>
        <v/>
      </c>
      <c r="F2467" t="str">
        <f>+IFERROR(VLOOKUP(Fact_Analitica[[#This Row], [Concepto Anterior]],Conceptos_Analítica_contraloría[#All],7,0),"")</f>
        <v/>
      </c>
      <c r="I2467" t="str">
        <f>+IFERROR(VLOOKUP(D2467,Conceptos_Analítica_contraloría[#All],2,0),"")</f>
        <v/>
      </c>
      <c r="J2467" s="84" t="str">
        <f>+IFERROR(VLOOKUP(D2467,Conceptos_Analítica_contraloría[#All],3,0),"")</f>
        <v/>
      </c>
    </row>
    <row r="2468" spans="3:10" ht="18.75" customHeight="1" x14ac:dyDescent="0.35">
      <c r="C2468" s="100" t="str">
        <f>IF(OR(Fact_Analitica[[#This Row], [Año]]="",Fact_Analitica[[#This Row], [Mes]]=""),"",DATE(A2468,MATCH(B2468,{"enero","febrero","marzo","abril","mayo","junio","julio","agosto","septiembre","octubre","noviembre","diciembre"},0)+1,0))</f>
        <v/>
      </c>
      <c r="E2468" t="str">
        <f>+IFERROR(VLOOKUP(Fact_Analitica[[#This Row], [Concepto Anterior]],Conceptos_Analítica_contraloría[#All],5,0),"")</f>
        <v/>
      </c>
      <c r="F2468" t="str">
        <f>+IFERROR(VLOOKUP(Fact_Analitica[[#This Row], [Concepto Anterior]],Conceptos_Analítica_contraloría[#All],7,0),"")</f>
        <v/>
      </c>
      <c r="I2468" t="str">
        <f>+IFERROR(VLOOKUP(D2468,Conceptos_Analítica_contraloría[#All],2,0),"")</f>
        <v/>
      </c>
      <c r="J2468" s="84" t="str">
        <f>+IFERROR(VLOOKUP(D2468,Conceptos_Analítica_contraloría[#All],3,0),"")</f>
        <v/>
      </c>
    </row>
    <row r="2469" spans="3:10" ht="18.75" customHeight="1" x14ac:dyDescent="0.35">
      <c r="C2469" s="100" t="str">
        <f>IF(OR(Fact_Analitica[[#This Row], [Año]]="",Fact_Analitica[[#This Row], [Mes]]=""),"",DATE(A2469,MATCH(B2469,{"enero","febrero","marzo","abril","mayo","junio","julio","agosto","septiembre","octubre","noviembre","diciembre"},0)+1,0))</f>
        <v/>
      </c>
      <c r="E2469" t="str">
        <f>+IFERROR(VLOOKUP(Fact_Analitica[[#This Row], [Concepto Anterior]],Conceptos_Analítica_contraloría[#All],5,0),"")</f>
        <v/>
      </c>
      <c r="F2469" t="str">
        <f>+IFERROR(VLOOKUP(Fact_Analitica[[#This Row], [Concepto Anterior]],Conceptos_Analítica_contraloría[#All],7,0),"")</f>
        <v/>
      </c>
      <c r="I2469" t="str">
        <f>+IFERROR(VLOOKUP(D2469,Conceptos_Analítica_contraloría[#All],2,0),"")</f>
        <v/>
      </c>
      <c r="J2469" s="84" t="str">
        <f>+IFERROR(VLOOKUP(D2469,Conceptos_Analítica_contraloría[#All],3,0),"")</f>
        <v/>
      </c>
    </row>
    <row r="2470" spans="3:10" ht="18.75" customHeight="1" x14ac:dyDescent="0.35">
      <c r="C2470" s="100" t="str">
        <f>IF(OR(Fact_Analitica[[#This Row], [Año]]="",Fact_Analitica[[#This Row], [Mes]]=""),"",DATE(A2470,MATCH(B2470,{"enero","febrero","marzo","abril","mayo","junio","julio","agosto","septiembre","octubre","noviembre","diciembre"},0)+1,0))</f>
        <v/>
      </c>
      <c r="E2470" t="str">
        <f>+IFERROR(VLOOKUP(Fact_Analitica[[#This Row], [Concepto Anterior]],Conceptos_Analítica_contraloría[#All],5,0),"")</f>
        <v/>
      </c>
      <c r="F2470" t="str">
        <f>+IFERROR(VLOOKUP(Fact_Analitica[[#This Row], [Concepto Anterior]],Conceptos_Analítica_contraloría[#All],7,0),"")</f>
        <v/>
      </c>
      <c r="I2470" t="str">
        <f>+IFERROR(VLOOKUP(D2470,Conceptos_Analítica_contraloría[#All],2,0),"")</f>
        <v/>
      </c>
      <c r="J2470" s="84" t="str">
        <f>+IFERROR(VLOOKUP(D2470,Conceptos_Analítica_contraloría[#All],3,0),"")</f>
        <v/>
      </c>
    </row>
    <row r="2471" spans="3:10" ht="18.75" customHeight="1" x14ac:dyDescent="0.35">
      <c r="C2471" s="100" t="str">
        <f>IF(OR(Fact_Analitica[[#This Row], [Año]]="",Fact_Analitica[[#This Row], [Mes]]=""),"",DATE(A2471,MATCH(B2471,{"enero","febrero","marzo","abril","mayo","junio","julio","agosto","septiembre","octubre","noviembre","diciembre"},0)+1,0))</f>
        <v/>
      </c>
      <c r="E2471" t="str">
        <f>+IFERROR(VLOOKUP(Fact_Analitica[[#This Row], [Concepto Anterior]],Conceptos_Analítica_contraloría[#All],5,0),"")</f>
        <v/>
      </c>
      <c r="F2471" t="str">
        <f>+IFERROR(VLOOKUP(Fact_Analitica[[#This Row], [Concepto Anterior]],Conceptos_Analítica_contraloría[#All],7,0),"")</f>
        <v/>
      </c>
      <c r="I2471" t="str">
        <f>+IFERROR(VLOOKUP(D2471,Conceptos_Analítica_contraloría[#All],2,0),"")</f>
        <v/>
      </c>
      <c r="J2471" s="84" t="str">
        <f>+IFERROR(VLOOKUP(D2471,Conceptos_Analítica_contraloría[#All],3,0),"")</f>
        <v/>
      </c>
    </row>
    <row r="2472" spans="3:10" ht="18.75" customHeight="1" x14ac:dyDescent="0.35">
      <c r="C2472" s="100" t="str">
        <f>IF(OR(Fact_Analitica[[#This Row], [Año]]="",Fact_Analitica[[#This Row], [Mes]]=""),"",DATE(A2472,MATCH(B2472,{"enero","febrero","marzo","abril","mayo","junio","julio","agosto","septiembre","octubre","noviembre","diciembre"},0)+1,0))</f>
        <v/>
      </c>
      <c r="E2472" t="str">
        <f>+IFERROR(VLOOKUP(Fact_Analitica[[#This Row], [Concepto Anterior]],Conceptos_Analítica_contraloría[#All],5,0),"")</f>
        <v/>
      </c>
      <c r="F2472" t="str">
        <f>+IFERROR(VLOOKUP(Fact_Analitica[[#This Row], [Concepto Anterior]],Conceptos_Analítica_contraloría[#All],7,0),"")</f>
        <v/>
      </c>
      <c r="I2472" t="str">
        <f>+IFERROR(VLOOKUP(D2472,Conceptos_Analítica_contraloría[#All],2,0),"")</f>
        <v/>
      </c>
      <c r="J2472" s="84" t="str">
        <f>+IFERROR(VLOOKUP(D2472,Conceptos_Analítica_contraloría[#All],3,0),"")</f>
        <v/>
      </c>
    </row>
    <row r="2473" spans="3:10" ht="18.75" customHeight="1" x14ac:dyDescent="0.35">
      <c r="C2473" s="100" t="str">
        <f>IF(OR(Fact_Analitica[[#This Row], [Año]]="",Fact_Analitica[[#This Row], [Mes]]=""),"",DATE(A2473,MATCH(B2473,{"enero","febrero","marzo","abril","mayo","junio","julio","agosto","septiembre","octubre","noviembre","diciembre"},0)+1,0))</f>
        <v/>
      </c>
      <c r="E2473" t="str">
        <f>+IFERROR(VLOOKUP(Fact_Analitica[[#This Row], [Concepto Anterior]],Conceptos_Analítica_contraloría[#All],5,0),"")</f>
        <v/>
      </c>
      <c r="F2473" t="str">
        <f>+IFERROR(VLOOKUP(Fact_Analitica[[#This Row], [Concepto Anterior]],Conceptos_Analítica_contraloría[#All],7,0),"")</f>
        <v/>
      </c>
      <c r="I2473" t="str">
        <f>+IFERROR(VLOOKUP(D2473,Conceptos_Analítica_contraloría[#All],2,0),"")</f>
        <v/>
      </c>
      <c r="J2473" s="84" t="str">
        <f>+IFERROR(VLOOKUP(D2473,Conceptos_Analítica_contraloría[#All],3,0),"")</f>
        <v/>
      </c>
    </row>
    <row r="2474" spans="3:10" ht="18.75" customHeight="1" x14ac:dyDescent="0.35">
      <c r="C2474" s="100" t="str">
        <f>IF(OR(Fact_Analitica[[#This Row], [Año]]="",Fact_Analitica[[#This Row], [Mes]]=""),"",DATE(A2474,MATCH(B2474,{"enero","febrero","marzo","abril","mayo","junio","julio","agosto","septiembre","octubre","noviembre","diciembre"},0)+1,0))</f>
        <v/>
      </c>
      <c r="E2474" t="str">
        <f>+IFERROR(VLOOKUP(Fact_Analitica[[#This Row], [Concepto Anterior]],Conceptos_Analítica_contraloría[#All],5,0),"")</f>
        <v/>
      </c>
      <c r="F2474" t="str">
        <f>+IFERROR(VLOOKUP(Fact_Analitica[[#This Row], [Concepto Anterior]],Conceptos_Analítica_contraloría[#All],7,0),"")</f>
        <v/>
      </c>
      <c r="I2474" t="str">
        <f>+IFERROR(VLOOKUP(D2474,Conceptos_Analítica_contraloría[#All],2,0),"")</f>
        <v/>
      </c>
      <c r="J2474" s="84" t="str">
        <f>+IFERROR(VLOOKUP(D2474,Conceptos_Analítica_contraloría[#All],3,0),"")</f>
        <v/>
      </c>
    </row>
    <row r="2475" spans="3:10" ht="18.75" customHeight="1" x14ac:dyDescent="0.35">
      <c r="C2475" s="100" t="str">
        <f>IF(OR(Fact_Analitica[[#This Row], [Año]]="",Fact_Analitica[[#This Row], [Mes]]=""),"",DATE(A2475,MATCH(B2475,{"enero","febrero","marzo","abril","mayo","junio","julio","agosto","septiembre","octubre","noviembre","diciembre"},0)+1,0))</f>
        <v/>
      </c>
      <c r="E2475" t="str">
        <f>+IFERROR(VLOOKUP(Fact_Analitica[[#This Row], [Concepto Anterior]],Conceptos_Analítica_contraloría[#All],5,0),"")</f>
        <v/>
      </c>
      <c r="F2475" t="str">
        <f>+IFERROR(VLOOKUP(Fact_Analitica[[#This Row], [Concepto Anterior]],Conceptos_Analítica_contraloría[#All],7,0),"")</f>
        <v/>
      </c>
      <c r="I2475" t="str">
        <f>+IFERROR(VLOOKUP(D2475,Conceptos_Analítica_contraloría[#All],2,0),"")</f>
        <v/>
      </c>
      <c r="J2475" s="84" t="str">
        <f>+IFERROR(VLOOKUP(D2475,Conceptos_Analítica_contraloría[#All],3,0),"")</f>
        <v/>
      </c>
    </row>
    <row r="2476" spans="3:10" ht="18.75" customHeight="1" x14ac:dyDescent="0.35">
      <c r="C2476" s="100" t="str">
        <f>IF(OR(Fact_Analitica[[#This Row], [Año]]="",Fact_Analitica[[#This Row], [Mes]]=""),"",DATE(A2476,MATCH(B2476,{"enero","febrero","marzo","abril","mayo","junio","julio","agosto","septiembre","octubre","noviembre","diciembre"},0)+1,0))</f>
        <v/>
      </c>
      <c r="E2476" t="str">
        <f>+IFERROR(VLOOKUP(Fact_Analitica[[#This Row], [Concepto Anterior]],Conceptos_Analítica_contraloría[#All],5,0),"")</f>
        <v/>
      </c>
      <c r="F2476" t="str">
        <f>+IFERROR(VLOOKUP(Fact_Analitica[[#This Row], [Concepto Anterior]],Conceptos_Analítica_contraloría[#All],7,0),"")</f>
        <v/>
      </c>
      <c r="I2476" t="str">
        <f>+IFERROR(VLOOKUP(D2476,Conceptos_Analítica_contraloría[#All],2,0),"")</f>
        <v/>
      </c>
      <c r="J2476" s="84" t="str">
        <f>+IFERROR(VLOOKUP(D2476,Conceptos_Analítica_contraloría[#All],3,0),"")</f>
        <v/>
      </c>
    </row>
    <row r="2477" spans="3:10" ht="18.75" customHeight="1" x14ac:dyDescent="0.35">
      <c r="C2477" s="100" t="str">
        <f>IF(OR(Fact_Analitica[[#This Row], [Año]]="",Fact_Analitica[[#This Row], [Mes]]=""),"",DATE(A2477,MATCH(B2477,{"enero","febrero","marzo","abril","mayo","junio","julio","agosto","septiembre","octubre","noviembre","diciembre"},0)+1,0))</f>
        <v/>
      </c>
      <c r="E2477" t="str">
        <f>+IFERROR(VLOOKUP(Fact_Analitica[[#This Row], [Concepto Anterior]],Conceptos_Analítica_contraloría[#All],5,0),"")</f>
        <v/>
      </c>
      <c r="F2477" t="str">
        <f>+IFERROR(VLOOKUP(Fact_Analitica[[#This Row], [Concepto Anterior]],Conceptos_Analítica_contraloría[#All],7,0),"")</f>
        <v/>
      </c>
      <c r="I2477" t="str">
        <f>+IFERROR(VLOOKUP(D2477,Conceptos_Analítica_contraloría[#All],2,0),"")</f>
        <v/>
      </c>
      <c r="J2477" s="84" t="str">
        <f>+IFERROR(VLOOKUP(D2477,Conceptos_Analítica_contraloría[#All],3,0),"")</f>
        <v/>
      </c>
    </row>
    <row r="2478" spans="3:10" ht="18.75" customHeight="1" x14ac:dyDescent="0.35">
      <c r="C2478" s="100" t="str">
        <f>IF(OR(Fact_Analitica[[#This Row], [Año]]="",Fact_Analitica[[#This Row], [Mes]]=""),"",DATE(A2478,MATCH(B2478,{"enero","febrero","marzo","abril","mayo","junio","julio","agosto","septiembre","octubre","noviembre","diciembre"},0)+1,0))</f>
        <v/>
      </c>
      <c r="E2478" t="str">
        <f>+IFERROR(VLOOKUP(Fact_Analitica[[#This Row], [Concepto Anterior]],Conceptos_Analítica_contraloría[#All],5,0),"")</f>
        <v/>
      </c>
      <c r="F2478" t="str">
        <f>+IFERROR(VLOOKUP(Fact_Analitica[[#This Row], [Concepto Anterior]],Conceptos_Analítica_contraloría[#All],7,0),"")</f>
        <v/>
      </c>
      <c r="I2478" t="str">
        <f>+IFERROR(VLOOKUP(D2478,Conceptos_Analítica_contraloría[#All],2,0),"")</f>
        <v/>
      </c>
      <c r="J2478" s="84" t="str">
        <f>+IFERROR(VLOOKUP(D2478,Conceptos_Analítica_contraloría[#All],3,0),"")</f>
        <v/>
      </c>
    </row>
    <row r="2479" spans="3:10" ht="18.75" customHeight="1" x14ac:dyDescent="0.35">
      <c r="C2479" s="100" t="str">
        <f>IF(OR(Fact_Analitica[[#This Row], [Año]]="",Fact_Analitica[[#This Row], [Mes]]=""),"",DATE(A2479,MATCH(B2479,{"enero","febrero","marzo","abril","mayo","junio","julio","agosto","septiembre","octubre","noviembre","diciembre"},0)+1,0))</f>
        <v/>
      </c>
      <c r="E2479" t="str">
        <f>+IFERROR(VLOOKUP(Fact_Analitica[[#This Row], [Concepto Anterior]],Conceptos_Analítica_contraloría[#All],5,0),"")</f>
        <v/>
      </c>
      <c r="F2479" t="str">
        <f>+IFERROR(VLOOKUP(Fact_Analitica[[#This Row], [Concepto Anterior]],Conceptos_Analítica_contraloría[#All],7,0),"")</f>
        <v/>
      </c>
      <c r="I2479" t="str">
        <f>+IFERROR(VLOOKUP(D2479,Conceptos_Analítica_contraloría[#All],2,0),"")</f>
        <v/>
      </c>
      <c r="J2479" s="84" t="str">
        <f>+IFERROR(VLOOKUP(D2479,Conceptos_Analítica_contraloría[#All],3,0),"")</f>
        <v/>
      </c>
    </row>
    <row r="2480" spans="3:10" ht="18.75" customHeight="1" x14ac:dyDescent="0.35">
      <c r="C2480" s="100" t="str">
        <f>IF(OR(Fact_Analitica[[#This Row], [Año]]="",Fact_Analitica[[#This Row], [Mes]]=""),"",DATE(A2480,MATCH(B2480,{"enero","febrero","marzo","abril","mayo","junio","julio","agosto","septiembre","octubre","noviembre","diciembre"},0)+1,0))</f>
        <v/>
      </c>
      <c r="E2480" t="str">
        <f>+IFERROR(VLOOKUP(Fact_Analitica[[#This Row], [Concepto Anterior]],Conceptos_Analítica_contraloría[#All],5,0),"")</f>
        <v/>
      </c>
      <c r="F2480" t="str">
        <f>+IFERROR(VLOOKUP(Fact_Analitica[[#This Row], [Concepto Anterior]],Conceptos_Analítica_contraloría[#All],7,0),"")</f>
        <v/>
      </c>
      <c r="I2480" t="str">
        <f>+IFERROR(VLOOKUP(D2480,Conceptos_Analítica_contraloría[#All],2,0),"")</f>
        <v/>
      </c>
      <c r="J2480" s="84" t="str">
        <f>+IFERROR(VLOOKUP(D2480,Conceptos_Analítica_contraloría[#All],3,0),"")</f>
        <v/>
      </c>
    </row>
    <row r="2481" spans="3:10" ht="18.75" customHeight="1" x14ac:dyDescent="0.35">
      <c r="C2481" s="100" t="str">
        <f>IF(OR(Fact_Analitica[[#This Row], [Año]]="",Fact_Analitica[[#This Row], [Mes]]=""),"",DATE(A2481,MATCH(B2481,{"enero","febrero","marzo","abril","mayo","junio","julio","agosto","septiembre","octubre","noviembre","diciembre"},0)+1,0))</f>
        <v/>
      </c>
      <c r="E2481" t="str">
        <f>+IFERROR(VLOOKUP(Fact_Analitica[[#This Row], [Concepto Anterior]],Conceptos_Analítica_contraloría[#All],5,0),"")</f>
        <v/>
      </c>
      <c r="F2481" t="str">
        <f>+IFERROR(VLOOKUP(Fact_Analitica[[#This Row], [Concepto Anterior]],Conceptos_Analítica_contraloría[#All],7,0),"")</f>
        <v/>
      </c>
      <c r="I2481" t="str">
        <f>+IFERROR(VLOOKUP(D2481,Conceptos_Analítica_contraloría[#All],2,0),"")</f>
        <v/>
      </c>
      <c r="J2481" s="84" t="str">
        <f>+IFERROR(VLOOKUP(D2481,Conceptos_Analítica_contraloría[#All],3,0),"")</f>
        <v/>
      </c>
    </row>
    <row r="2482" spans="3:10" ht="18.75" customHeight="1" x14ac:dyDescent="0.35">
      <c r="C2482" s="100" t="str">
        <f>IF(OR(Fact_Analitica[[#This Row], [Año]]="",Fact_Analitica[[#This Row], [Mes]]=""),"",DATE(A2482,MATCH(B2482,{"enero","febrero","marzo","abril","mayo","junio","julio","agosto","septiembre","octubre","noviembre","diciembre"},0)+1,0))</f>
        <v/>
      </c>
      <c r="E2482" t="str">
        <f>+IFERROR(VLOOKUP(Fact_Analitica[[#This Row], [Concepto Anterior]],Conceptos_Analítica_contraloría[#All],5,0),"")</f>
        <v/>
      </c>
      <c r="F2482" t="str">
        <f>+IFERROR(VLOOKUP(Fact_Analitica[[#This Row], [Concepto Anterior]],Conceptos_Analítica_contraloría[#All],7,0),"")</f>
        <v/>
      </c>
      <c r="I2482" t="str">
        <f>+IFERROR(VLOOKUP(D2482,Conceptos_Analítica_contraloría[#All],2,0),"")</f>
        <v/>
      </c>
      <c r="J2482" s="84" t="str">
        <f>+IFERROR(VLOOKUP(D2482,Conceptos_Analítica_contraloría[#All],3,0),"")</f>
        <v/>
      </c>
    </row>
    <row r="2483" spans="3:10" ht="18.75" customHeight="1" x14ac:dyDescent="0.35">
      <c r="C2483" s="100" t="str">
        <f>IF(OR(Fact_Analitica[[#This Row], [Año]]="",Fact_Analitica[[#This Row], [Mes]]=""),"",DATE(A2483,MATCH(B2483,{"enero","febrero","marzo","abril","mayo","junio","julio","agosto","septiembre","octubre","noviembre","diciembre"},0)+1,0))</f>
        <v/>
      </c>
      <c r="E2483" t="str">
        <f>+IFERROR(VLOOKUP(Fact_Analitica[[#This Row], [Concepto Anterior]],Conceptos_Analítica_contraloría[#All],5,0),"")</f>
        <v/>
      </c>
      <c r="F2483" t="str">
        <f>+IFERROR(VLOOKUP(Fact_Analitica[[#This Row], [Concepto Anterior]],Conceptos_Analítica_contraloría[#All],7,0),"")</f>
        <v/>
      </c>
      <c r="I2483" t="str">
        <f>+IFERROR(VLOOKUP(D2483,Conceptos_Analítica_contraloría[#All],2,0),"")</f>
        <v/>
      </c>
      <c r="J2483" s="84" t="str">
        <f>+IFERROR(VLOOKUP(D2483,Conceptos_Analítica_contraloría[#All],3,0),"")</f>
        <v/>
      </c>
    </row>
    <row r="2484" spans="3:10" ht="18.75" customHeight="1" x14ac:dyDescent="0.35">
      <c r="C2484" s="100" t="str">
        <f>IF(OR(Fact_Analitica[[#This Row], [Año]]="",Fact_Analitica[[#This Row], [Mes]]=""),"",DATE(A2484,MATCH(B2484,{"enero","febrero","marzo","abril","mayo","junio","julio","agosto","septiembre","octubre","noviembre","diciembre"},0)+1,0))</f>
        <v/>
      </c>
      <c r="E2484" t="str">
        <f>+IFERROR(VLOOKUP(Fact_Analitica[[#This Row], [Concepto Anterior]],Conceptos_Analítica_contraloría[#All],5,0),"")</f>
        <v/>
      </c>
      <c r="F2484" t="str">
        <f>+IFERROR(VLOOKUP(Fact_Analitica[[#This Row], [Concepto Anterior]],Conceptos_Analítica_contraloría[#All],7,0),"")</f>
        <v/>
      </c>
      <c r="I2484" t="str">
        <f>+IFERROR(VLOOKUP(D2484,Conceptos_Analítica_contraloría[#All],2,0),"")</f>
        <v/>
      </c>
      <c r="J2484" s="84" t="str">
        <f>+IFERROR(VLOOKUP(D2484,Conceptos_Analítica_contraloría[#All],3,0),"")</f>
        <v/>
      </c>
    </row>
    <row r="2485" spans="3:10" ht="18.75" customHeight="1" x14ac:dyDescent="0.35">
      <c r="C2485" s="100" t="str">
        <f>IF(OR(Fact_Analitica[[#This Row], [Año]]="",Fact_Analitica[[#This Row], [Mes]]=""),"",DATE(A2485,MATCH(B2485,{"enero","febrero","marzo","abril","mayo","junio","julio","agosto","septiembre","octubre","noviembre","diciembre"},0)+1,0))</f>
        <v/>
      </c>
      <c r="E2485" t="str">
        <f>+IFERROR(VLOOKUP(Fact_Analitica[[#This Row], [Concepto Anterior]],Conceptos_Analítica_contraloría[#All],5,0),"")</f>
        <v/>
      </c>
      <c r="F2485" t="str">
        <f>+IFERROR(VLOOKUP(Fact_Analitica[[#This Row], [Concepto Anterior]],Conceptos_Analítica_contraloría[#All],7,0),"")</f>
        <v/>
      </c>
      <c r="I2485" t="str">
        <f>+IFERROR(VLOOKUP(D2485,Conceptos_Analítica_contraloría[#All],2,0),"")</f>
        <v/>
      </c>
      <c r="J2485" s="84" t="str">
        <f>+IFERROR(VLOOKUP(D2485,Conceptos_Analítica_contraloría[#All],3,0),"")</f>
        <v/>
      </c>
    </row>
    <row r="2486" spans="3:10" ht="18.75" customHeight="1" x14ac:dyDescent="0.35">
      <c r="C2486" s="100" t="str">
        <f>IF(OR(Fact_Analitica[[#This Row], [Año]]="",Fact_Analitica[[#This Row], [Mes]]=""),"",DATE(A2486,MATCH(B2486,{"enero","febrero","marzo","abril","mayo","junio","julio","agosto","septiembre","octubre","noviembre","diciembre"},0)+1,0))</f>
        <v/>
      </c>
      <c r="E2486" t="str">
        <f>+IFERROR(VLOOKUP(Fact_Analitica[[#This Row], [Concepto Anterior]],Conceptos_Analítica_contraloría[#All],5,0),"")</f>
        <v/>
      </c>
      <c r="F2486" t="str">
        <f>+IFERROR(VLOOKUP(Fact_Analitica[[#This Row], [Concepto Anterior]],Conceptos_Analítica_contraloría[#All],7,0),"")</f>
        <v/>
      </c>
      <c r="I2486" t="str">
        <f>+IFERROR(VLOOKUP(D2486,Conceptos_Analítica_contraloría[#All],2,0),"")</f>
        <v/>
      </c>
      <c r="J2486" s="84" t="str">
        <f>+IFERROR(VLOOKUP(D2486,Conceptos_Analítica_contraloría[#All],3,0),"")</f>
        <v/>
      </c>
    </row>
    <row r="2487" spans="3:10" ht="18.75" customHeight="1" x14ac:dyDescent="0.35">
      <c r="C2487" s="100" t="str">
        <f>IF(OR(Fact_Analitica[[#This Row], [Año]]="",Fact_Analitica[[#This Row], [Mes]]=""),"",DATE(A2487,MATCH(B2487,{"enero","febrero","marzo","abril","mayo","junio","julio","agosto","septiembre","octubre","noviembre","diciembre"},0)+1,0))</f>
        <v/>
      </c>
      <c r="E2487" t="str">
        <f>+IFERROR(VLOOKUP(Fact_Analitica[[#This Row], [Concepto Anterior]],Conceptos_Analítica_contraloría[#All],5,0),"")</f>
        <v/>
      </c>
      <c r="F2487" t="str">
        <f>+IFERROR(VLOOKUP(Fact_Analitica[[#This Row], [Concepto Anterior]],Conceptos_Analítica_contraloría[#All],7,0),"")</f>
        <v/>
      </c>
      <c r="I2487" t="str">
        <f>+IFERROR(VLOOKUP(D2487,Conceptos_Analítica_contraloría[#All],2,0),"")</f>
        <v/>
      </c>
      <c r="J2487" s="84" t="str">
        <f>+IFERROR(VLOOKUP(D2487,Conceptos_Analítica_contraloría[#All],3,0),"")</f>
        <v/>
      </c>
    </row>
    <row r="2488" spans="3:10" ht="18.75" customHeight="1" x14ac:dyDescent="0.35">
      <c r="C2488" s="100" t="str">
        <f>IF(OR(Fact_Analitica[[#This Row], [Año]]="",Fact_Analitica[[#This Row], [Mes]]=""),"",DATE(A2488,MATCH(B2488,{"enero","febrero","marzo","abril","mayo","junio","julio","agosto","septiembre","octubre","noviembre","diciembre"},0)+1,0))</f>
        <v/>
      </c>
      <c r="E2488" t="str">
        <f>+IFERROR(VLOOKUP(Fact_Analitica[[#This Row], [Concepto Anterior]],Conceptos_Analítica_contraloría[#All],5,0),"")</f>
        <v/>
      </c>
      <c r="F2488" t="str">
        <f>+IFERROR(VLOOKUP(Fact_Analitica[[#This Row], [Concepto Anterior]],Conceptos_Analítica_contraloría[#All],7,0),"")</f>
        <v/>
      </c>
      <c r="I2488" t="str">
        <f>+IFERROR(VLOOKUP(D2488,Conceptos_Analítica_contraloría[#All],2,0),"")</f>
        <v/>
      </c>
      <c r="J2488" s="84" t="str">
        <f>+IFERROR(VLOOKUP(D2488,Conceptos_Analítica_contraloría[#All],3,0),"")</f>
        <v/>
      </c>
    </row>
    <row r="2489" spans="3:10" ht="18.75" customHeight="1" x14ac:dyDescent="0.35">
      <c r="C2489" s="100" t="str">
        <f>IF(OR(Fact_Analitica[[#This Row], [Año]]="",Fact_Analitica[[#This Row], [Mes]]=""),"",DATE(A2489,MATCH(B2489,{"enero","febrero","marzo","abril","mayo","junio","julio","agosto","septiembre","octubre","noviembre","diciembre"},0)+1,0))</f>
        <v/>
      </c>
      <c r="E2489" t="str">
        <f>+IFERROR(VLOOKUP(Fact_Analitica[[#This Row], [Concepto Anterior]],Conceptos_Analítica_contraloría[#All],5,0),"")</f>
        <v/>
      </c>
      <c r="F2489" t="str">
        <f>+IFERROR(VLOOKUP(Fact_Analitica[[#This Row], [Concepto Anterior]],Conceptos_Analítica_contraloría[#All],7,0),"")</f>
        <v/>
      </c>
      <c r="I2489" t="str">
        <f>+IFERROR(VLOOKUP(D2489,Conceptos_Analítica_contraloría[#All],2,0),"")</f>
        <v/>
      </c>
      <c r="J2489" s="84" t="str">
        <f>+IFERROR(VLOOKUP(D2489,Conceptos_Analítica_contraloría[#All],3,0),"")</f>
        <v/>
      </c>
    </row>
    <row r="2490" spans="3:10" ht="18.75" customHeight="1" x14ac:dyDescent="0.35">
      <c r="C2490" s="100" t="str">
        <f>IF(OR(Fact_Analitica[[#This Row], [Año]]="",Fact_Analitica[[#This Row], [Mes]]=""),"",DATE(A2490,MATCH(B2490,{"enero","febrero","marzo","abril","mayo","junio","julio","agosto","septiembre","octubre","noviembre","diciembre"},0)+1,0))</f>
        <v/>
      </c>
      <c r="E2490" t="str">
        <f>+IFERROR(VLOOKUP(Fact_Analitica[[#This Row], [Concepto Anterior]],Conceptos_Analítica_contraloría[#All],5,0),"")</f>
        <v/>
      </c>
      <c r="F2490" t="str">
        <f>+IFERROR(VLOOKUP(Fact_Analitica[[#This Row], [Concepto Anterior]],Conceptos_Analítica_contraloría[#All],7,0),"")</f>
        <v/>
      </c>
      <c r="I2490" t="str">
        <f>+IFERROR(VLOOKUP(D2490,Conceptos_Analítica_contraloría[#All],2,0),"")</f>
        <v/>
      </c>
      <c r="J2490" s="84" t="str">
        <f>+IFERROR(VLOOKUP(D2490,Conceptos_Analítica_contraloría[#All],3,0),"")</f>
        <v/>
      </c>
    </row>
    <row r="2491" spans="3:10" ht="18.75" customHeight="1" x14ac:dyDescent="0.35">
      <c r="C2491" s="100" t="str">
        <f>IF(OR(Fact_Analitica[[#This Row], [Año]]="",Fact_Analitica[[#This Row], [Mes]]=""),"",DATE(A2491,MATCH(B2491,{"enero","febrero","marzo","abril","mayo","junio","julio","agosto","septiembre","octubre","noviembre","diciembre"},0)+1,0))</f>
        <v/>
      </c>
      <c r="E2491" t="str">
        <f>+IFERROR(VLOOKUP(Fact_Analitica[[#This Row], [Concepto Anterior]],Conceptos_Analítica_contraloría[#All],5,0),"")</f>
        <v/>
      </c>
      <c r="F2491" t="str">
        <f>+IFERROR(VLOOKUP(Fact_Analitica[[#This Row], [Concepto Anterior]],Conceptos_Analítica_contraloría[#All],7,0),"")</f>
        <v/>
      </c>
      <c r="I2491" t="str">
        <f>+IFERROR(VLOOKUP(D2491,Conceptos_Analítica_contraloría[#All],2,0),"")</f>
        <v/>
      </c>
      <c r="J2491" s="84" t="str">
        <f>+IFERROR(VLOOKUP(D2491,Conceptos_Analítica_contraloría[#All],3,0),"")</f>
        <v/>
      </c>
    </row>
    <row r="2492" spans="3:10" ht="18.75" customHeight="1" x14ac:dyDescent="0.35">
      <c r="C2492" s="100" t="str">
        <f>IF(OR(Fact_Analitica[[#This Row], [Año]]="",Fact_Analitica[[#This Row], [Mes]]=""),"",DATE(A2492,MATCH(B2492,{"enero","febrero","marzo","abril","mayo","junio","julio","agosto","septiembre","octubre","noviembre","diciembre"},0)+1,0))</f>
        <v/>
      </c>
      <c r="E2492" t="str">
        <f>+IFERROR(VLOOKUP(Fact_Analitica[[#This Row], [Concepto Anterior]],Conceptos_Analítica_contraloría[#All],5,0),"")</f>
        <v/>
      </c>
      <c r="F2492" t="str">
        <f>+IFERROR(VLOOKUP(Fact_Analitica[[#This Row], [Concepto Anterior]],Conceptos_Analítica_contraloría[#All],7,0),"")</f>
        <v/>
      </c>
      <c r="I2492" t="str">
        <f>+IFERROR(VLOOKUP(D2492,Conceptos_Analítica_contraloría[#All],2,0),"")</f>
        <v/>
      </c>
      <c r="J2492" s="84" t="str">
        <f>+IFERROR(VLOOKUP(D2492,Conceptos_Analítica_contraloría[#All],3,0),"")</f>
        <v/>
      </c>
    </row>
    <row r="2493" spans="3:10" ht="18.75" customHeight="1" x14ac:dyDescent="0.35">
      <c r="C2493" s="100" t="str">
        <f>IF(OR(Fact_Analitica[[#This Row], [Año]]="",Fact_Analitica[[#This Row], [Mes]]=""),"",DATE(A2493,MATCH(B2493,{"enero","febrero","marzo","abril","mayo","junio","julio","agosto","septiembre","octubre","noviembre","diciembre"},0)+1,0))</f>
        <v/>
      </c>
      <c r="E2493" t="str">
        <f>+IFERROR(VLOOKUP(Fact_Analitica[[#This Row], [Concepto Anterior]],Conceptos_Analítica_contraloría[#All],5,0),"")</f>
        <v/>
      </c>
      <c r="F2493" t="str">
        <f>+IFERROR(VLOOKUP(Fact_Analitica[[#This Row], [Concepto Anterior]],Conceptos_Analítica_contraloría[#All],7,0),"")</f>
        <v/>
      </c>
      <c r="I2493" t="str">
        <f>+IFERROR(VLOOKUP(D2493,Conceptos_Analítica_contraloría[#All],2,0),"")</f>
        <v/>
      </c>
      <c r="J2493" s="84" t="str">
        <f>+IFERROR(VLOOKUP(D2493,Conceptos_Analítica_contraloría[#All],3,0),"")</f>
        <v/>
      </c>
    </row>
    <row r="2494" spans="3:10" ht="18.75" customHeight="1" x14ac:dyDescent="0.35">
      <c r="C2494" s="100" t="str">
        <f>IF(OR(Fact_Analitica[[#This Row], [Año]]="",Fact_Analitica[[#This Row], [Mes]]=""),"",DATE(A2494,MATCH(B2494,{"enero","febrero","marzo","abril","mayo","junio","julio","agosto","septiembre","octubre","noviembre","diciembre"},0)+1,0))</f>
        <v/>
      </c>
      <c r="E2494" t="str">
        <f>+IFERROR(VLOOKUP(Fact_Analitica[[#This Row], [Concepto Anterior]],Conceptos_Analítica_contraloría[#All],5,0),"")</f>
        <v/>
      </c>
      <c r="F2494" t="str">
        <f>+IFERROR(VLOOKUP(Fact_Analitica[[#This Row], [Concepto Anterior]],Conceptos_Analítica_contraloría[#All],7,0),"")</f>
        <v/>
      </c>
      <c r="I2494" t="str">
        <f>+IFERROR(VLOOKUP(D2494,Conceptos_Analítica_contraloría[#All],2,0),"")</f>
        <v/>
      </c>
      <c r="J2494" s="84" t="str">
        <f>+IFERROR(VLOOKUP(D2494,Conceptos_Analítica_contraloría[#All],3,0),"")</f>
        <v/>
      </c>
    </row>
    <row r="2495" spans="3:10" ht="18.75" customHeight="1" x14ac:dyDescent="0.35">
      <c r="C2495" s="100" t="str">
        <f>IF(OR(Fact_Analitica[[#This Row], [Año]]="",Fact_Analitica[[#This Row], [Mes]]=""),"",DATE(A2495,MATCH(B2495,{"enero","febrero","marzo","abril","mayo","junio","julio","agosto","septiembre","octubre","noviembre","diciembre"},0)+1,0))</f>
        <v/>
      </c>
      <c r="E2495" t="str">
        <f>+IFERROR(VLOOKUP(Fact_Analitica[[#This Row], [Concepto Anterior]],Conceptos_Analítica_contraloría[#All],5,0),"")</f>
        <v/>
      </c>
      <c r="F2495" t="str">
        <f>+IFERROR(VLOOKUP(Fact_Analitica[[#This Row], [Concepto Anterior]],Conceptos_Analítica_contraloría[#All],7,0),"")</f>
        <v/>
      </c>
      <c r="I2495" t="str">
        <f>+IFERROR(VLOOKUP(D2495,Conceptos_Analítica_contraloría[#All],2,0),"")</f>
        <v/>
      </c>
      <c r="J2495" s="84" t="str">
        <f>+IFERROR(VLOOKUP(D2495,Conceptos_Analítica_contraloría[#All],3,0),"")</f>
        <v/>
      </c>
    </row>
    <row r="2496" spans="3:10" ht="18.75" customHeight="1" x14ac:dyDescent="0.35">
      <c r="C2496" s="100" t="str">
        <f>IF(OR(Fact_Analitica[[#This Row], [Año]]="",Fact_Analitica[[#This Row], [Mes]]=""),"",DATE(A2496,MATCH(B2496,{"enero","febrero","marzo","abril","mayo","junio","julio","agosto","septiembre","octubre","noviembre","diciembre"},0)+1,0))</f>
        <v/>
      </c>
      <c r="E2496" t="str">
        <f>+IFERROR(VLOOKUP(Fact_Analitica[[#This Row], [Concepto Anterior]],Conceptos_Analítica_contraloría[#All],5,0),"")</f>
        <v/>
      </c>
      <c r="F2496" t="str">
        <f>+IFERROR(VLOOKUP(Fact_Analitica[[#This Row], [Concepto Anterior]],Conceptos_Analítica_contraloría[#All],7,0),"")</f>
        <v/>
      </c>
      <c r="I2496" t="str">
        <f>+IFERROR(VLOOKUP(D2496,Conceptos_Analítica_contraloría[#All],2,0),"")</f>
        <v/>
      </c>
      <c r="J2496" s="84" t="str">
        <f>+IFERROR(VLOOKUP(D2496,Conceptos_Analítica_contraloría[#All],3,0),"")</f>
        <v/>
      </c>
    </row>
    <row r="2497" spans="3:10" ht="18.75" customHeight="1" x14ac:dyDescent="0.35">
      <c r="C2497" s="100" t="str">
        <f>IF(OR(Fact_Analitica[[#This Row], [Año]]="",Fact_Analitica[[#This Row], [Mes]]=""),"",DATE(A2497,MATCH(B2497,{"enero","febrero","marzo","abril","mayo","junio","julio","agosto","septiembre","octubre","noviembre","diciembre"},0)+1,0))</f>
        <v/>
      </c>
      <c r="E2497" t="str">
        <f>+IFERROR(VLOOKUP(Fact_Analitica[[#This Row], [Concepto Anterior]],Conceptos_Analítica_contraloría[#All],5,0),"")</f>
        <v/>
      </c>
      <c r="F2497" t="str">
        <f>+IFERROR(VLOOKUP(Fact_Analitica[[#This Row], [Concepto Anterior]],Conceptos_Analítica_contraloría[#All],7,0),"")</f>
        <v/>
      </c>
      <c r="I2497" t="str">
        <f>+IFERROR(VLOOKUP(D2497,Conceptos_Analítica_contraloría[#All],2,0),"")</f>
        <v/>
      </c>
      <c r="J2497" s="84" t="str">
        <f>+IFERROR(VLOOKUP(D2497,Conceptos_Analítica_contraloría[#All],3,0),"")</f>
        <v/>
      </c>
    </row>
    <row r="2498" spans="3:10" ht="18.75" customHeight="1" x14ac:dyDescent="0.35">
      <c r="C2498" s="100" t="str">
        <f>IF(OR(Fact_Analitica[[#This Row], [Año]]="",Fact_Analitica[[#This Row], [Mes]]=""),"",DATE(A2498,MATCH(B2498,{"enero","febrero","marzo","abril","mayo","junio","julio","agosto","septiembre","octubre","noviembre","diciembre"},0)+1,0))</f>
        <v/>
      </c>
      <c r="E2498" t="str">
        <f>+IFERROR(VLOOKUP(Fact_Analitica[[#This Row], [Concepto Anterior]],Conceptos_Analítica_contraloría[#All],5,0),"")</f>
        <v/>
      </c>
      <c r="F2498" t="str">
        <f>+IFERROR(VLOOKUP(Fact_Analitica[[#This Row], [Concepto Anterior]],Conceptos_Analítica_contraloría[#All],7,0),"")</f>
        <v/>
      </c>
      <c r="I2498" t="str">
        <f>+IFERROR(VLOOKUP(D2498,Conceptos_Analítica_contraloría[#All],2,0),"")</f>
        <v/>
      </c>
      <c r="J2498" s="84" t="str">
        <f>+IFERROR(VLOOKUP(D2498,Conceptos_Analítica_contraloría[#All],3,0),"")</f>
        <v/>
      </c>
    </row>
    <row r="2499" spans="3:10" ht="18.75" customHeight="1" x14ac:dyDescent="0.35">
      <c r="C2499" s="100" t="str">
        <f>IF(OR(Fact_Analitica[[#This Row], [Año]]="",Fact_Analitica[[#This Row], [Mes]]=""),"",DATE(A2499,MATCH(B2499,{"enero","febrero","marzo","abril","mayo","junio","julio","agosto","septiembre","octubre","noviembre","diciembre"},0)+1,0))</f>
        <v/>
      </c>
      <c r="E2499" t="str">
        <f>+IFERROR(VLOOKUP(Fact_Analitica[[#This Row], [Concepto Anterior]],Conceptos_Analítica_contraloría[#All],5,0),"")</f>
        <v/>
      </c>
      <c r="F2499" t="str">
        <f>+IFERROR(VLOOKUP(Fact_Analitica[[#This Row], [Concepto Anterior]],Conceptos_Analítica_contraloría[#All],7,0),"")</f>
        <v/>
      </c>
      <c r="I2499" t="str">
        <f>+IFERROR(VLOOKUP(D2499,Conceptos_Analítica_contraloría[#All],2,0),"")</f>
        <v/>
      </c>
      <c r="J2499" s="84" t="str">
        <f>+IFERROR(VLOOKUP(D2499,Conceptos_Analítica_contraloría[#All],3,0),"")</f>
        <v/>
      </c>
    </row>
    <row r="2500" spans="3:10" ht="18.75" customHeight="1" x14ac:dyDescent="0.35">
      <c r="C2500" s="100" t="str">
        <f>IF(OR(Fact_Analitica[[#This Row], [Año]]="",Fact_Analitica[[#This Row], [Mes]]=""),"",DATE(A2500,MATCH(B2500,{"enero","febrero","marzo","abril","mayo","junio","julio","agosto","septiembre","octubre","noviembre","diciembre"},0)+1,0))</f>
        <v/>
      </c>
      <c r="E2500" t="str">
        <f>+IFERROR(VLOOKUP(Fact_Analitica[[#This Row], [Concepto Anterior]],Conceptos_Analítica_contraloría[#All],5,0),"")</f>
        <v/>
      </c>
      <c r="F2500" t="str">
        <f>+IFERROR(VLOOKUP(Fact_Analitica[[#This Row], [Concepto Anterior]],Conceptos_Analítica_contraloría[#All],7,0),"")</f>
        <v/>
      </c>
      <c r="I2500" t="str">
        <f>+IFERROR(VLOOKUP(D2500,Conceptos_Analítica_contraloría[#All],2,0),"")</f>
        <v/>
      </c>
      <c r="J2500" s="84" t="str">
        <f>+IFERROR(VLOOKUP(D2500,Conceptos_Analítica_contraloría[#All],3,0),"")</f>
        <v/>
      </c>
    </row>
    <row r="2501" spans="3:10" ht="18.75" customHeight="1" x14ac:dyDescent="0.35">
      <c r="C2501" s="100" t="str">
        <f>IF(OR(Fact_Analitica[[#This Row], [Año]]="",Fact_Analitica[[#This Row], [Mes]]=""),"",DATE(A2501,MATCH(B2501,{"enero","febrero","marzo","abril","mayo","junio","julio","agosto","septiembre","octubre","noviembre","diciembre"},0)+1,0))</f>
        <v/>
      </c>
      <c r="E2501" t="str">
        <f>+IFERROR(VLOOKUP(Fact_Analitica[[#This Row], [Concepto Anterior]],Conceptos_Analítica_contraloría[#All],5,0),"")</f>
        <v/>
      </c>
      <c r="F2501" t="str">
        <f>+IFERROR(VLOOKUP(Fact_Analitica[[#This Row], [Concepto Anterior]],Conceptos_Analítica_contraloría[#All],7,0),"")</f>
        <v/>
      </c>
      <c r="I2501" t="str">
        <f>+IFERROR(VLOOKUP(D2501,Conceptos_Analítica_contraloría[#All],2,0),"")</f>
        <v/>
      </c>
      <c r="J2501" s="84" t="str">
        <f>+IFERROR(VLOOKUP(D2501,Conceptos_Analítica_contraloría[#All],3,0),"")</f>
        <v/>
      </c>
    </row>
    <row r="2502" spans="3:10" ht="18.75" customHeight="1" x14ac:dyDescent="0.35">
      <c r="C2502" s="100" t="str">
        <f>IF(OR(Fact_Analitica[[#This Row], [Año]]="",Fact_Analitica[[#This Row], [Mes]]=""),"",DATE(A2502,MATCH(B2502,{"enero","febrero","marzo","abril","mayo","junio","julio","agosto","septiembre","octubre","noviembre","diciembre"},0)+1,0))</f>
        <v/>
      </c>
      <c r="E2502" t="str">
        <f>+IFERROR(VLOOKUP(Fact_Analitica[[#This Row], [Concepto Anterior]],Conceptos_Analítica_contraloría[#All],5,0),"")</f>
        <v/>
      </c>
      <c r="F2502" t="str">
        <f>+IFERROR(VLOOKUP(Fact_Analitica[[#This Row], [Concepto Anterior]],Conceptos_Analítica_contraloría[#All],7,0),"")</f>
        <v/>
      </c>
      <c r="I2502" t="str">
        <f>+IFERROR(VLOOKUP(D2502,Conceptos_Analítica_contraloría[#All],2,0),"")</f>
        <v/>
      </c>
      <c r="J2502" s="84" t="str">
        <f>+IFERROR(VLOOKUP(D2502,Conceptos_Analítica_contraloría[#All],3,0),"")</f>
        <v/>
      </c>
    </row>
    <row r="2503" spans="3:10" ht="18.75" customHeight="1" x14ac:dyDescent="0.35">
      <c r="C2503" s="100" t="str">
        <f>IF(OR(Fact_Analitica[[#This Row], [Año]]="",Fact_Analitica[[#This Row], [Mes]]=""),"",DATE(A2503,MATCH(B2503,{"enero","febrero","marzo","abril","mayo","junio","julio","agosto","septiembre","octubre","noviembre","diciembre"},0)+1,0))</f>
        <v/>
      </c>
      <c r="E2503" t="str">
        <f>+IFERROR(VLOOKUP(Fact_Analitica[[#This Row], [Concepto Anterior]],Conceptos_Analítica_contraloría[#All],5,0),"")</f>
        <v/>
      </c>
      <c r="F2503" t="str">
        <f>+IFERROR(VLOOKUP(Fact_Analitica[[#This Row], [Concepto Anterior]],Conceptos_Analítica_contraloría[#All],7,0),"")</f>
        <v/>
      </c>
      <c r="I2503" t="str">
        <f>+IFERROR(VLOOKUP(D2503,Conceptos_Analítica_contraloría[#All],2,0),"")</f>
        <v/>
      </c>
      <c r="J2503" s="84" t="str">
        <f>+IFERROR(VLOOKUP(D2503,Conceptos_Analítica_contraloría[#All],3,0),"")</f>
        <v/>
      </c>
    </row>
    <row r="2504" spans="3:10" ht="18.75" customHeight="1" x14ac:dyDescent="0.35">
      <c r="C2504" s="100" t="str">
        <f>IF(OR(Fact_Analitica[[#This Row], [Año]]="",Fact_Analitica[[#This Row], [Mes]]=""),"",DATE(A2504,MATCH(B2504,{"enero","febrero","marzo","abril","mayo","junio","julio","agosto","septiembre","octubre","noviembre","diciembre"},0)+1,0))</f>
        <v/>
      </c>
      <c r="E2504" t="str">
        <f>+IFERROR(VLOOKUP(Fact_Analitica[[#This Row], [Concepto Anterior]],Conceptos_Analítica_contraloría[#All],5,0),"")</f>
        <v/>
      </c>
      <c r="F2504" t="str">
        <f>+IFERROR(VLOOKUP(Fact_Analitica[[#This Row], [Concepto Anterior]],Conceptos_Analítica_contraloría[#All],7,0),"")</f>
        <v/>
      </c>
      <c r="I2504" t="str">
        <f>+IFERROR(VLOOKUP(D2504,Conceptos_Analítica_contraloría[#All],2,0),"")</f>
        <v/>
      </c>
      <c r="J2504" s="84" t="str">
        <f>+IFERROR(VLOOKUP(D2504,Conceptos_Analítica_contraloría[#All],3,0),"")</f>
        <v/>
      </c>
    </row>
    <row r="2505" spans="3:10" ht="18.75" customHeight="1" x14ac:dyDescent="0.35">
      <c r="C2505" s="100" t="str">
        <f>IF(OR(Fact_Analitica[[#This Row], [Año]]="",Fact_Analitica[[#This Row], [Mes]]=""),"",DATE(A2505,MATCH(B2505,{"enero","febrero","marzo","abril","mayo","junio","julio","agosto","septiembre","octubre","noviembre","diciembre"},0)+1,0))</f>
        <v/>
      </c>
      <c r="E2505" t="str">
        <f>+IFERROR(VLOOKUP(Fact_Analitica[[#This Row], [Concepto Anterior]],Conceptos_Analítica_contraloría[#All],5,0),"")</f>
        <v/>
      </c>
      <c r="F2505" t="str">
        <f>+IFERROR(VLOOKUP(Fact_Analitica[[#This Row], [Concepto Anterior]],Conceptos_Analítica_contraloría[#All],7,0),"")</f>
        <v/>
      </c>
      <c r="I2505" t="str">
        <f>+IFERROR(VLOOKUP(D2505,Conceptos_Analítica_contraloría[#All],2,0),"")</f>
        <v/>
      </c>
      <c r="J2505" s="84" t="str">
        <f>+IFERROR(VLOOKUP(D2505,Conceptos_Analítica_contraloría[#All],3,0),"")</f>
        <v/>
      </c>
    </row>
    <row r="2506" spans="3:10" ht="18.75" customHeight="1" x14ac:dyDescent="0.35">
      <c r="C2506" s="100" t="str">
        <f>IF(OR(Fact_Analitica[[#This Row], [Año]]="",Fact_Analitica[[#This Row], [Mes]]=""),"",DATE(A2506,MATCH(B2506,{"enero","febrero","marzo","abril","mayo","junio","julio","agosto","septiembre","octubre","noviembre","diciembre"},0)+1,0))</f>
        <v/>
      </c>
      <c r="E2506" t="str">
        <f>+IFERROR(VLOOKUP(Fact_Analitica[[#This Row], [Concepto Anterior]],Conceptos_Analítica_contraloría[#All],5,0),"")</f>
        <v/>
      </c>
      <c r="F2506" t="str">
        <f>+IFERROR(VLOOKUP(Fact_Analitica[[#This Row], [Concepto Anterior]],Conceptos_Analítica_contraloría[#All],7,0),"")</f>
        <v/>
      </c>
      <c r="I2506" t="str">
        <f>+IFERROR(VLOOKUP(D2506,Conceptos_Analítica_contraloría[#All],2,0),"")</f>
        <v/>
      </c>
      <c r="J2506" s="84" t="str">
        <f>+IFERROR(VLOOKUP(D2506,Conceptos_Analítica_contraloría[#All],3,0),"")</f>
        <v/>
      </c>
    </row>
    <row r="2507" spans="3:10" ht="18.75" customHeight="1" x14ac:dyDescent="0.35">
      <c r="C2507" s="100" t="str">
        <f>IF(OR(Fact_Analitica[[#This Row], [Año]]="",Fact_Analitica[[#This Row], [Mes]]=""),"",DATE(A2507,MATCH(B2507,{"enero","febrero","marzo","abril","mayo","junio","julio","agosto","septiembre","octubre","noviembre","diciembre"},0)+1,0))</f>
        <v/>
      </c>
      <c r="E2507" t="str">
        <f>+IFERROR(VLOOKUP(Fact_Analitica[[#This Row], [Concepto Anterior]],Conceptos_Analítica_contraloría[#All],5,0),"")</f>
        <v/>
      </c>
      <c r="F2507" t="str">
        <f>+IFERROR(VLOOKUP(Fact_Analitica[[#This Row], [Concepto Anterior]],Conceptos_Analítica_contraloría[#All],7,0),"")</f>
        <v/>
      </c>
      <c r="I2507" t="str">
        <f>+IFERROR(VLOOKUP(D2507,Conceptos_Analítica_contraloría[#All],2,0),"")</f>
        <v/>
      </c>
      <c r="J2507" s="84" t="str">
        <f>+IFERROR(VLOOKUP(D2507,Conceptos_Analítica_contraloría[#All],3,0),"")</f>
        <v/>
      </c>
    </row>
    <row r="2508" spans="3:10" ht="18.75" customHeight="1" x14ac:dyDescent="0.35">
      <c r="C2508" s="100" t="str">
        <f>IF(OR(Fact_Analitica[[#This Row], [Año]]="",Fact_Analitica[[#This Row], [Mes]]=""),"",DATE(A2508,MATCH(B2508,{"enero","febrero","marzo","abril","mayo","junio","julio","agosto","septiembre","octubre","noviembre","diciembre"},0)+1,0))</f>
        <v/>
      </c>
      <c r="E2508" t="str">
        <f>+IFERROR(VLOOKUP(Fact_Analitica[[#This Row], [Concepto Anterior]],Conceptos_Analítica_contraloría[#All],5,0),"")</f>
        <v/>
      </c>
      <c r="F2508" t="str">
        <f>+IFERROR(VLOOKUP(Fact_Analitica[[#This Row], [Concepto Anterior]],Conceptos_Analítica_contraloría[#All],7,0),"")</f>
        <v/>
      </c>
      <c r="I2508" t="str">
        <f>+IFERROR(VLOOKUP(D2508,Conceptos_Analítica_contraloría[#All],2,0),"")</f>
        <v/>
      </c>
      <c r="J2508" s="84" t="str">
        <f>+IFERROR(VLOOKUP(D2508,Conceptos_Analítica_contraloría[#All],3,0),"")</f>
        <v/>
      </c>
    </row>
    <row r="2509" spans="3:10" ht="18.75" customHeight="1" x14ac:dyDescent="0.35">
      <c r="C2509" s="100" t="str">
        <f>IF(OR(Fact_Analitica[[#This Row], [Año]]="",Fact_Analitica[[#This Row], [Mes]]=""),"",DATE(A2509,MATCH(B2509,{"enero","febrero","marzo","abril","mayo","junio","julio","agosto","septiembre","octubre","noviembre","diciembre"},0)+1,0))</f>
        <v/>
      </c>
      <c r="E2509" t="str">
        <f>+IFERROR(VLOOKUP(Fact_Analitica[[#This Row], [Concepto Anterior]],Conceptos_Analítica_contraloría[#All],5,0),"")</f>
        <v/>
      </c>
      <c r="F2509" t="str">
        <f>+IFERROR(VLOOKUP(Fact_Analitica[[#This Row], [Concepto Anterior]],Conceptos_Analítica_contraloría[#All],7,0),"")</f>
        <v/>
      </c>
      <c r="I2509" t="str">
        <f>+IFERROR(VLOOKUP(D2509,Conceptos_Analítica_contraloría[#All],2,0),"")</f>
        <v/>
      </c>
      <c r="J2509" s="84" t="str">
        <f>+IFERROR(VLOOKUP(D2509,Conceptos_Analítica_contraloría[#All],3,0),"")</f>
        <v/>
      </c>
    </row>
    <row r="2510" spans="3:10" ht="18.75" customHeight="1" x14ac:dyDescent="0.35">
      <c r="C2510" s="100" t="str">
        <f>IF(OR(Fact_Analitica[[#This Row], [Año]]="",Fact_Analitica[[#This Row], [Mes]]=""),"",DATE(A2510,MATCH(B2510,{"enero","febrero","marzo","abril","mayo","junio","julio","agosto","septiembre","octubre","noviembre","diciembre"},0)+1,0))</f>
        <v/>
      </c>
      <c r="E2510" t="str">
        <f>+IFERROR(VLOOKUP(Fact_Analitica[[#This Row], [Concepto Anterior]],Conceptos_Analítica_contraloría[#All],5,0),"")</f>
        <v/>
      </c>
      <c r="F2510" t="str">
        <f>+IFERROR(VLOOKUP(Fact_Analitica[[#This Row], [Concepto Anterior]],Conceptos_Analítica_contraloría[#All],7,0),"")</f>
        <v/>
      </c>
      <c r="I2510" t="str">
        <f>+IFERROR(VLOOKUP(D2510,Conceptos_Analítica_contraloría[#All],2,0),"")</f>
        <v/>
      </c>
      <c r="J2510" s="84" t="str">
        <f>+IFERROR(VLOOKUP(D2510,Conceptos_Analítica_contraloría[#All],3,0),"")</f>
        <v/>
      </c>
    </row>
    <row r="2511" spans="3:10" ht="18.75" customHeight="1" x14ac:dyDescent="0.35">
      <c r="C2511" s="100" t="str">
        <f>IF(OR(Fact_Analitica[[#This Row], [Año]]="",Fact_Analitica[[#This Row], [Mes]]=""),"",DATE(A2511,MATCH(B2511,{"enero","febrero","marzo","abril","mayo","junio","julio","agosto","septiembre","octubre","noviembre","diciembre"},0)+1,0))</f>
        <v/>
      </c>
      <c r="E2511" t="str">
        <f>+IFERROR(VLOOKUP(Fact_Analitica[[#This Row], [Concepto Anterior]],Conceptos_Analítica_contraloría[#All],5,0),"")</f>
        <v/>
      </c>
      <c r="F2511" t="str">
        <f>+IFERROR(VLOOKUP(Fact_Analitica[[#This Row], [Concepto Anterior]],Conceptos_Analítica_contraloría[#All],7,0),"")</f>
        <v/>
      </c>
      <c r="I2511" t="str">
        <f>+IFERROR(VLOOKUP(D2511,Conceptos_Analítica_contraloría[#All],2,0),"")</f>
        <v/>
      </c>
      <c r="J2511" s="84" t="str">
        <f>+IFERROR(VLOOKUP(D2511,Conceptos_Analítica_contraloría[#All],3,0),"")</f>
        <v/>
      </c>
    </row>
    <row r="2512" spans="3:10" ht="18.75" customHeight="1" x14ac:dyDescent="0.35">
      <c r="C2512" s="100" t="str">
        <f>IF(OR(Fact_Analitica[[#This Row], [Año]]="",Fact_Analitica[[#This Row], [Mes]]=""),"",DATE(A2512,MATCH(B2512,{"enero","febrero","marzo","abril","mayo","junio","julio","agosto","septiembre","octubre","noviembre","diciembre"},0)+1,0))</f>
        <v/>
      </c>
      <c r="E2512" t="str">
        <f>+IFERROR(VLOOKUP(Fact_Analitica[[#This Row], [Concepto Anterior]],Conceptos_Analítica_contraloría[#All],5,0),"")</f>
        <v/>
      </c>
      <c r="F2512" t="str">
        <f>+IFERROR(VLOOKUP(Fact_Analitica[[#This Row], [Concepto Anterior]],Conceptos_Analítica_contraloría[#All],7,0),"")</f>
        <v/>
      </c>
      <c r="I2512" t="str">
        <f>+IFERROR(VLOOKUP(D2512,Conceptos_Analítica_contraloría[#All],2,0),"")</f>
        <v/>
      </c>
      <c r="J2512" s="84" t="str">
        <f>+IFERROR(VLOOKUP(D2512,Conceptos_Analítica_contraloría[#All],3,0),"")</f>
        <v/>
      </c>
    </row>
    <row r="2513" spans="3:10" ht="18.75" customHeight="1" x14ac:dyDescent="0.35">
      <c r="C2513" s="100" t="str">
        <f>IF(OR(Fact_Analitica[[#This Row], [Año]]="",Fact_Analitica[[#This Row], [Mes]]=""),"",DATE(A2513,MATCH(B2513,{"enero","febrero","marzo","abril","mayo","junio","julio","agosto","septiembre","octubre","noviembre","diciembre"},0)+1,0))</f>
        <v/>
      </c>
      <c r="E2513" t="str">
        <f>+IFERROR(VLOOKUP(Fact_Analitica[[#This Row], [Concepto Anterior]],Conceptos_Analítica_contraloría[#All],5,0),"")</f>
        <v/>
      </c>
      <c r="F2513" t="str">
        <f>+IFERROR(VLOOKUP(Fact_Analitica[[#This Row], [Concepto Anterior]],Conceptos_Analítica_contraloría[#All],7,0),"")</f>
        <v/>
      </c>
      <c r="I2513" t="str">
        <f>+IFERROR(VLOOKUP(D2513,Conceptos_Analítica_contraloría[#All],2,0),"")</f>
        <v/>
      </c>
      <c r="J2513" s="84" t="str">
        <f>+IFERROR(VLOOKUP(D2513,Conceptos_Analítica_contraloría[#All],3,0),"")</f>
        <v/>
      </c>
    </row>
    <row r="2514" spans="3:10" ht="18.75" customHeight="1" x14ac:dyDescent="0.35">
      <c r="C2514" s="100" t="str">
        <f>IF(OR(Fact_Analitica[[#This Row], [Año]]="",Fact_Analitica[[#This Row], [Mes]]=""),"",DATE(A2514,MATCH(B2514,{"enero","febrero","marzo","abril","mayo","junio","julio","agosto","septiembre","octubre","noviembre","diciembre"},0)+1,0))</f>
        <v/>
      </c>
      <c r="E2514" t="str">
        <f>+IFERROR(VLOOKUP(Fact_Analitica[[#This Row], [Concepto Anterior]],Conceptos_Analítica_contraloría[#All],5,0),"")</f>
        <v/>
      </c>
      <c r="F2514" t="str">
        <f>+IFERROR(VLOOKUP(Fact_Analitica[[#This Row], [Concepto Anterior]],Conceptos_Analítica_contraloría[#All],7,0),"")</f>
        <v/>
      </c>
      <c r="I2514" t="str">
        <f>+IFERROR(VLOOKUP(D2514,Conceptos_Analítica_contraloría[#All],2,0),"")</f>
        <v/>
      </c>
      <c r="J2514" s="84" t="str">
        <f>+IFERROR(VLOOKUP(D2514,Conceptos_Analítica_contraloría[#All],3,0),"")</f>
        <v/>
      </c>
    </row>
    <row r="2515" spans="3:10" ht="18.75" customHeight="1" x14ac:dyDescent="0.35">
      <c r="C2515" s="100" t="str">
        <f>IF(OR(Fact_Analitica[[#This Row], [Año]]="",Fact_Analitica[[#This Row], [Mes]]=""),"",DATE(A2515,MATCH(B2515,{"enero","febrero","marzo","abril","mayo","junio","julio","agosto","septiembre","octubre","noviembre","diciembre"},0)+1,0))</f>
        <v/>
      </c>
      <c r="E2515" t="str">
        <f>+IFERROR(VLOOKUP(Fact_Analitica[[#This Row], [Concepto Anterior]],Conceptos_Analítica_contraloría[#All],5,0),"")</f>
        <v/>
      </c>
      <c r="F2515" t="str">
        <f>+IFERROR(VLOOKUP(Fact_Analitica[[#This Row], [Concepto Anterior]],Conceptos_Analítica_contraloría[#All],7,0),"")</f>
        <v/>
      </c>
      <c r="I2515" t="str">
        <f>+IFERROR(VLOOKUP(D2515,Conceptos_Analítica_contraloría[#All],2,0),"")</f>
        <v/>
      </c>
      <c r="J2515" s="84" t="str">
        <f>+IFERROR(VLOOKUP(D2515,Conceptos_Analítica_contraloría[#All],3,0),"")</f>
        <v/>
      </c>
    </row>
    <row r="2516" spans="3:10" ht="18.75" customHeight="1" x14ac:dyDescent="0.35">
      <c r="C2516" s="100" t="str">
        <f>IF(OR(Fact_Analitica[[#This Row], [Año]]="",Fact_Analitica[[#This Row], [Mes]]=""),"",DATE(A2516,MATCH(B2516,{"enero","febrero","marzo","abril","mayo","junio","julio","agosto","septiembre","octubre","noviembre","diciembre"},0)+1,0))</f>
        <v/>
      </c>
      <c r="E2516" t="str">
        <f>+IFERROR(VLOOKUP(Fact_Analitica[[#This Row], [Concepto Anterior]],Conceptos_Analítica_contraloría[#All],5,0),"")</f>
        <v/>
      </c>
      <c r="F2516" t="str">
        <f>+IFERROR(VLOOKUP(Fact_Analitica[[#This Row], [Concepto Anterior]],Conceptos_Analítica_contraloría[#All],7,0),"")</f>
        <v/>
      </c>
      <c r="I2516" t="str">
        <f>+IFERROR(VLOOKUP(D2516,Conceptos_Analítica_contraloría[#All],2,0),"")</f>
        <v/>
      </c>
      <c r="J2516" s="84" t="str">
        <f>+IFERROR(VLOOKUP(D2516,Conceptos_Analítica_contraloría[#All],3,0),"")</f>
        <v/>
      </c>
    </row>
    <row r="2517" spans="3:10" ht="18.75" customHeight="1" x14ac:dyDescent="0.35">
      <c r="C2517" s="100" t="str">
        <f>IF(OR(Fact_Analitica[[#This Row], [Año]]="",Fact_Analitica[[#This Row], [Mes]]=""),"",DATE(A2517,MATCH(B2517,{"enero","febrero","marzo","abril","mayo","junio","julio","agosto","septiembre","octubre","noviembre","diciembre"},0)+1,0))</f>
        <v/>
      </c>
      <c r="E2517" t="str">
        <f>+IFERROR(VLOOKUP(Fact_Analitica[[#This Row], [Concepto Anterior]],Conceptos_Analítica_contraloría[#All],5,0),"")</f>
        <v/>
      </c>
      <c r="F2517" t="str">
        <f>+IFERROR(VLOOKUP(Fact_Analitica[[#This Row], [Concepto Anterior]],Conceptos_Analítica_contraloría[#All],7,0),"")</f>
        <v/>
      </c>
      <c r="I2517" t="str">
        <f>+IFERROR(VLOOKUP(D2517,Conceptos_Analítica_contraloría[#All],2,0),"")</f>
        <v/>
      </c>
      <c r="J2517" s="84" t="str">
        <f>+IFERROR(VLOOKUP(D2517,Conceptos_Analítica_contraloría[#All],3,0),"")</f>
        <v/>
      </c>
    </row>
    <row r="2518" spans="3:10" ht="18.75" customHeight="1" x14ac:dyDescent="0.35">
      <c r="C2518" s="100" t="str">
        <f>IF(OR(Fact_Analitica[[#This Row], [Año]]="",Fact_Analitica[[#This Row], [Mes]]=""),"",DATE(A2518,MATCH(B2518,{"enero","febrero","marzo","abril","mayo","junio","julio","agosto","septiembre","octubre","noviembre","diciembre"},0)+1,0))</f>
        <v/>
      </c>
      <c r="E2518" t="str">
        <f>+IFERROR(VLOOKUP(Fact_Analitica[[#This Row], [Concepto Anterior]],Conceptos_Analítica_contraloría[#All],5,0),"")</f>
        <v/>
      </c>
      <c r="F2518" t="str">
        <f>+IFERROR(VLOOKUP(Fact_Analitica[[#This Row], [Concepto Anterior]],Conceptos_Analítica_contraloría[#All],7,0),"")</f>
        <v/>
      </c>
      <c r="I2518" t="str">
        <f>+IFERROR(VLOOKUP(D2518,Conceptos_Analítica_contraloría[#All],2,0),"")</f>
        <v/>
      </c>
      <c r="J2518" s="84" t="str">
        <f>+IFERROR(VLOOKUP(D2518,Conceptos_Analítica_contraloría[#All],3,0),"")</f>
        <v/>
      </c>
    </row>
    <row r="2519" spans="3:10" ht="18.75" customHeight="1" x14ac:dyDescent="0.35">
      <c r="C2519" s="100" t="str">
        <f>IF(OR(Fact_Analitica[[#This Row], [Año]]="",Fact_Analitica[[#This Row], [Mes]]=""),"",DATE(A2519,MATCH(B2519,{"enero","febrero","marzo","abril","mayo","junio","julio","agosto","septiembre","octubre","noviembre","diciembre"},0)+1,0))</f>
        <v/>
      </c>
      <c r="E2519" t="str">
        <f>+IFERROR(VLOOKUP(Fact_Analitica[[#This Row], [Concepto Anterior]],Conceptos_Analítica_contraloría[#All],5,0),"")</f>
        <v/>
      </c>
      <c r="F2519" t="str">
        <f>+IFERROR(VLOOKUP(Fact_Analitica[[#This Row], [Concepto Anterior]],Conceptos_Analítica_contraloría[#All],7,0),"")</f>
        <v/>
      </c>
      <c r="I2519" t="str">
        <f>+IFERROR(VLOOKUP(D2519,Conceptos_Analítica_contraloría[#All],2,0),"")</f>
        <v/>
      </c>
      <c r="J2519" s="84" t="str">
        <f>+IFERROR(VLOOKUP(D2519,Conceptos_Analítica_contraloría[#All],3,0),"")</f>
        <v/>
      </c>
    </row>
    <row r="2520" spans="3:10" ht="18.75" customHeight="1" x14ac:dyDescent="0.35">
      <c r="C2520" s="100" t="str">
        <f>IF(OR(Fact_Analitica[[#This Row], [Año]]="",Fact_Analitica[[#This Row], [Mes]]=""),"",DATE(A2520,MATCH(B2520,{"enero","febrero","marzo","abril","mayo","junio","julio","agosto","septiembre","octubre","noviembre","diciembre"},0)+1,0))</f>
        <v/>
      </c>
      <c r="E2520" t="str">
        <f>+IFERROR(VLOOKUP(Fact_Analitica[[#This Row], [Concepto Anterior]],Conceptos_Analítica_contraloría[#All],5,0),"")</f>
        <v/>
      </c>
      <c r="F2520" t="str">
        <f>+IFERROR(VLOOKUP(Fact_Analitica[[#This Row], [Concepto Anterior]],Conceptos_Analítica_contraloría[#All],7,0),"")</f>
        <v/>
      </c>
      <c r="I2520" t="str">
        <f>+IFERROR(VLOOKUP(D2520,Conceptos_Analítica_contraloría[#All],2,0),"")</f>
        <v/>
      </c>
      <c r="J2520" s="84" t="str">
        <f>+IFERROR(VLOOKUP(D2520,Conceptos_Analítica_contraloría[#All],3,0),"")</f>
        <v/>
      </c>
    </row>
    <row r="2521" spans="3:10" ht="18.75" customHeight="1" x14ac:dyDescent="0.35">
      <c r="C2521" s="100" t="str">
        <f>IF(OR(Fact_Analitica[[#This Row], [Año]]="",Fact_Analitica[[#This Row], [Mes]]=""),"",DATE(A2521,MATCH(B2521,{"enero","febrero","marzo","abril","mayo","junio","julio","agosto","septiembre","octubre","noviembre","diciembre"},0)+1,0))</f>
        <v/>
      </c>
      <c r="E2521" t="str">
        <f>+IFERROR(VLOOKUP(Fact_Analitica[[#This Row], [Concepto Anterior]],Conceptos_Analítica_contraloría[#All],5,0),"")</f>
        <v/>
      </c>
      <c r="F2521" t="str">
        <f>+IFERROR(VLOOKUP(Fact_Analitica[[#This Row], [Concepto Anterior]],Conceptos_Analítica_contraloría[#All],7,0),"")</f>
        <v/>
      </c>
      <c r="I2521" t="str">
        <f>+IFERROR(VLOOKUP(D2521,Conceptos_Analítica_contraloría[#All],2,0),"")</f>
        <v/>
      </c>
      <c r="J2521" s="84" t="str">
        <f>+IFERROR(VLOOKUP(D2521,Conceptos_Analítica_contraloría[#All],3,0),"")</f>
        <v/>
      </c>
    </row>
    <row r="2522" spans="3:10" ht="18.75" customHeight="1" x14ac:dyDescent="0.35">
      <c r="C2522" s="100" t="str">
        <f>IF(OR(Fact_Analitica[[#This Row], [Año]]="",Fact_Analitica[[#This Row], [Mes]]=""),"",DATE(A2522,MATCH(B2522,{"enero","febrero","marzo","abril","mayo","junio","julio","agosto","septiembre","octubre","noviembre","diciembre"},0)+1,0))</f>
        <v/>
      </c>
      <c r="E2522" t="str">
        <f>+IFERROR(VLOOKUP(Fact_Analitica[[#This Row], [Concepto Anterior]],Conceptos_Analítica_contraloría[#All],5,0),"")</f>
        <v/>
      </c>
      <c r="F2522" t="str">
        <f>+IFERROR(VLOOKUP(Fact_Analitica[[#This Row], [Concepto Anterior]],Conceptos_Analítica_contraloría[#All],7,0),"")</f>
        <v/>
      </c>
      <c r="I2522" t="str">
        <f>+IFERROR(VLOOKUP(D2522,Conceptos_Analítica_contraloría[#All],2,0),"")</f>
        <v/>
      </c>
      <c r="J2522" s="84" t="str">
        <f>+IFERROR(VLOOKUP(D2522,Conceptos_Analítica_contraloría[#All],3,0),"")</f>
        <v/>
      </c>
    </row>
    <row r="2523" spans="3:10" ht="18.75" customHeight="1" x14ac:dyDescent="0.35">
      <c r="C2523" s="100" t="str">
        <f>IF(OR(Fact_Analitica[[#This Row], [Año]]="",Fact_Analitica[[#This Row], [Mes]]=""),"",DATE(A2523,MATCH(B2523,{"enero","febrero","marzo","abril","mayo","junio","julio","agosto","septiembre","octubre","noviembre","diciembre"},0)+1,0))</f>
        <v/>
      </c>
      <c r="E2523" t="str">
        <f>+IFERROR(VLOOKUP(Fact_Analitica[[#This Row], [Concepto Anterior]],Conceptos_Analítica_contraloría[#All],5,0),"")</f>
        <v/>
      </c>
      <c r="F2523" t="str">
        <f>+IFERROR(VLOOKUP(Fact_Analitica[[#This Row], [Concepto Anterior]],Conceptos_Analítica_contraloría[#All],7,0),"")</f>
        <v/>
      </c>
      <c r="I2523" t="str">
        <f>+IFERROR(VLOOKUP(D2523,Conceptos_Analítica_contraloría[#All],2,0),"")</f>
        <v/>
      </c>
      <c r="J2523" s="84" t="str">
        <f>+IFERROR(VLOOKUP(D2523,Conceptos_Analítica_contraloría[#All],3,0),"")</f>
        <v/>
      </c>
    </row>
    <row r="2524" spans="3:10" ht="18.75" customHeight="1" x14ac:dyDescent="0.35">
      <c r="C2524" s="100" t="str">
        <f>IF(OR(Fact_Analitica[[#This Row], [Año]]="",Fact_Analitica[[#This Row], [Mes]]=""),"",DATE(A2524,MATCH(B2524,{"enero","febrero","marzo","abril","mayo","junio","julio","agosto","septiembre","octubre","noviembre","diciembre"},0)+1,0))</f>
        <v/>
      </c>
      <c r="E2524" t="str">
        <f>+IFERROR(VLOOKUP(Fact_Analitica[[#This Row], [Concepto Anterior]],Conceptos_Analítica_contraloría[#All],5,0),"")</f>
        <v/>
      </c>
      <c r="F2524" t="str">
        <f>+IFERROR(VLOOKUP(Fact_Analitica[[#This Row], [Concepto Anterior]],Conceptos_Analítica_contraloría[#All],7,0),"")</f>
        <v/>
      </c>
      <c r="I2524" t="str">
        <f>+IFERROR(VLOOKUP(D2524,Conceptos_Analítica_contraloría[#All],2,0),"")</f>
        <v/>
      </c>
      <c r="J2524" s="84" t="str">
        <f>+IFERROR(VLOOKUP(D2524,Conceptos_Analítica_contraloría[#All],3,0),"")</f>
        <v/>
      </c>
    </row>
    <row r="2525" spans="3:10" ht="18.75" customHeight="1" x14ac:dyDescent="0.35">
      <c r="C2525" s="100" t="str">
        <f>IF(OR(Fact_Analitica[[#This Row], [Año]]="",Fact_Analitica[[#This Row], [Mes]]=""),"",DATE(A2525,MATCH(B2525,{"enero","febrero","marzo","abril","mayo","junio","julio","agosto","septiembre","octubre","noviembre","diciembre"},0)+1,0))</f>
        <v/>
      </c>
      <c r="E2525" t="str">
        <f>+IFERROR(VLOOKUP(Fact_Analitica[[#This Row], [Concepto Anterior]],Conceptos_Analítica_contraloría[#All],5,0),"")</f>
        <v/>
      </c>
      <c r="F2525" t="str">
        <f>+IFERROR(VLOOKUP(Fact_Analitica[[#This Row], [Concepto Anterior]],Conceptos_Analítica_contraloría[#All],7,0),"")</f>
        <v/>
      </c>
      <c r="I2525" t="str">
        <f>+IFERROR(VLOOKUP(D2525,Conceptos_Analítica_contraloría[#All],2,0),"")</f>
        <v/>
      </c>
      <c r="J2525" s="84" t="str">
        <f>+IFERROR(VLOOKUP(D2525,Conceptos_Analítica_contraloría[#All],3,0),"")</f>
        <v/>
      </c>
    </row>
    <row r="2526" spans="3:10" ht="18.75" customHeight="1" x14ac:dyDescent="0.35">
      <c r="C2526" s="100" t="str">
        <f>IF(OR(Fact_Analitica[[#This Row], [Año]]="",Fact_Analitica[[#This Row], [Mes]]=""),"",DATE(A2526,MATCH(B2526,{"enero","febrero","marzo","abril","mayo","junio","julio","agosto","septiembre","octubre","noviembre","diciembre"},0)+1,0))</f>
        <v/>
      </c>
      <c r="E2526" t="str">
        <f>+IFERROR(VLOOKUP(Fact_Analitica[[#This Row], [Concepto Anterior]],Conceptos_Analítica_contraloría[#All],5,0),"")</f>
        <v/>
      </c>
      <c r="F2526" t="str">
        <f>+IFERROR(VLOOKUP(Fact_Analitica[[#This Row], [Concepto Anterior]],Conceptos_Analítica_contraloría[#All],7,0),"")</f>
        <v/>
      </c>
      <c r="I2526" t="str">
        <f>+IFERROR(VLOOKUP(D2526,Conceptos_Analítica_contraloría[#All],2,0),"")</f>
        <v/>
      </c>
      <c r="J2526" s="84" t="str">
        <f>+IFERROR(VLOOKUP(D2526,Conceptos_Analítica_contraloría[#All],3,0),"")</f>
        <v/>
      </c>
    </row>
    <row r="2527" spans="3:10" ht="18.75" customHeight="1" x14ac:dyDescent="0.35">
      <c r="C2527" s="100" t="str">
        <f>IF(OR(Fact_Analitica[[#This Row], [Año]]="",Fact_Analitica[[#This Row], [Mes]]=""),"",DATE(A2527,MATCH(B2527,{"enero","febrero","marzo","abril","mayo","junio","julio","agosto","septiembre","octubre","noviembre","diciembre"},0)+1,0))</f>
        <v/>
      </c>
      <c r="E2527" t="str">
        <f>+IFERROR(VLOOKUP(Fact_Analitica[[#This Row], [Concepto Anterior]],Conceptos_Analítica_contraloría[#All],5,0),"")</f>
        <v/>
      </c>
      <c r="F2527" t="str">
        <f>+IFERROR(VLOOKUP(Fact_Analitica[[#This Row], [Concepto Anterior]],Conceptos_Analítica_contraloría[#All],7,0),"")</f>
        <v/>
      </c>
      <c r="I2527" t="str">
        <f>+IFERROR(VLOOKUP(D2527,Conceptos_Analítica_contraloría[#All],2,0),"")</f>
        <v/>
      </c>
      <c r="J2527" s="84" t="str">
        <f>+IFERROR(VLOOKUP(D2527,Conceptos_Analítica_contraloría[#All],3,0),"")</f>
        <v/>
      </c>
    </row>
    <row r="2528" spans="3:10" ht="18.75" customHeight="1" x14ac:dyDescent="0.35">
      <c r="C2528" s="100" t="str">
        <f>IF(OR(Fact_Analitica[[#This Row], [Año]]="",Fact_Analitica[[#This Row], [Mes]]=""),"",DATE(A2528,MATCH(B2528,{"enero","febrero","marzo","abril","mayo","junio","julio","agosto","septiembre","octubre","noviembre","diciembre"},0)+1,0))</f>
        <v/>
      </c>
      <c r="E2528" t="str">
        <f>+IFERROR(VLOOKUP(Fact_Analitica[[#This Row], [Concepto Anterior]],Conceptos_Analítica_contraloría[#All],5,0),"")</f>
        <v/>
      </c>
      <c r="F2528" t="str">
        <f>+IFERROR(VLOOKUP(Fact_Analitica[[#This Row], [Concepto Anterior]],Conceptos_Analítica_contraloría[#All],7,0),"")</f>
        <v/>
      </c>
      <c r="I2528" t="str">
        <f>+IFERROR(VLOOKUP(D2528,Conceptos_Analítica_contraloría[#All],2,0),"")</f>
        <v/>
      </c>
      <c r="J2528" s="84" t="str">
        <f>+IFERROR(VLOOKUP(D2528,Conceptos_Analítica_contraloría[#All],3,0),"")</f>
        <v/>
      </c>
    </row>
    <row r="2529" spans="3:10" ht="18.75" customHeight="1" x14ac:dyDescent="0.35">
      <c r="C2529" s="100" t="str">
        <f>IF(OR(Fact_Analitica[[#This Row], [Año]]="",Fact_Analitica[[#This Row], [Mes]]=""),"",DATE(A2529,MATCH(B2529,{"enero","febrero","marzo","abril","mayo","junio","julio","agosto","septiembre","octubre","noviembre","diciembre"},0)+1,0))</f>
        <v/>
      </c>
      <c r="E2529" t="str">
        <f>+IFERROR(VLOOKUP(Fact_Analitica[[#This Row], [Concepto Anterior]],Conceptos_Analítica_contraloría[#All],5,0),"")</f>
        <v/>
      </c>
      <c r="F2529" t="str">
        <f>+IFERROR(VLOOKUP(Fact_Analitica[[#This Row], [Concepto Anterior]],Conceptos_Analítica_contraloría[#All],7,0),"")</f>
        <v/>
      </c>
      <c r="I2529" t="str">
        <f>+IFERROR(VLOOKUP(D2529,Conceptos_Analítica_contraloría[#All],2,0),"")</f>
        <v/>
      </c>
      <c r="J2529" s="84" t="str">
        <f>+IFERROR(VLOOKUP(D2529,Conceptos_Analítica_contraloría[#All],3,0),"")</f>
        <v/>
      </c>
    </row>
    <row r="2530" spans="3:10" ht="18.75" customHeight="1" x14ac:dyDescent="0.35">
      <c r="C2530" s="100" t="str">
        <f>IF(OR(Fact_Analitica[[#This Row], [Año]]="",Fact_Analitica[[#This Row], [Mes]]=""),"",DATE(A2530,MATCH(B2530,{"enero","febrero","marzo","abril","mayo","junio","julio","agosto","septiembre","octubre","noviembre","diciembre"},0)+1,0))</f>
        <v/>
      </c>
      <c r="E2530" t="str">
        <f>+IFERROR(VLOOKUP(Fact_Analitica[[#This Row], [Concepto Anterior]],Conceptos_Analítica_contraloría[#All],5,0),"")</f>
        <v/>
      </c>
      <c r="F2530" t="str">
        <f>+IFERROR(VLOOKUP(Fact_Analitica[[#This Row], [Concepto Anterior]],Conceptos_Analítica_contraloría[#All],7,0),"")</f>
        <v/>
      </c>
      <c r="I2530" t="str">
        <f>+IFERROR(VLOOKUP(D2530,Conceptos_Analítica_contraloría[#All],2,0),"")</f>
        <v/>
      </c>
      <c r="J2530" s="84" t="str">
        <f>+IFERROR(VLOOKUP(D2530,Conceptos_Analítica_contraloría[#All],3,0),"")</f>
        <v/>
      </c>
    </row>
    <row r="2531" spans="3:10" ht="18.75" customHeight="1" x14ac:dyDescent="0.35">
      <c r="C2531" s="100" t="str">
        <f>IF(OR(Fact_Analitica[[#This Row], [Año]]="",Fact_Analitica[[#This Row], [Mes]]=""),"",DATE(A2531,MATCH(B2531,{"enero","febrero","marzo","abril","mayo","junio","julio","agosto","septiembre","octubre","noviembre","diciembre"},0)+1,0))</f>
        <v/>
      </c>
      <c r="E2531" t="str">
        <f>+IFERROR(VLOOKUP(Fact_Analitica[[#This Row], [Concepto Anterior]],Conceptos_Analítica_contraloría[#All],5,0),"")</f>
        <v/>
      </c>
      <c r="F2531" t="str">
        <f>+IFERROR(VLOOKUP(Fact_Analitica[[#This Row], [Concepto Anterior]],Conceptos_Analítica_contraloría[#All],7,0),"")</f>
        <v/>
      </c>
      <c r="I2531" t="str">
        <f>+IFERROR(VLOOKUP(D2531,Conceptos_Analítica_contraloría[#All],2,0),"")</f>
        <v/>
      </c>
      <c r="J2531" s="84" t="str">
        <f>+IFERROR(VLOOKUP(D2531,Conceptos_Analítica_contraloría[#All],3,0),"")</f>
        <v/>
      </c>
    </row>
    <row r="2532" spans="3:10" ht="18.75" customHeight="1" x14ac:dyDescent="0.35">
      <c r="C2532" s="100" t="str">
        <f>IF(OR(Fact_Analitica[[#This Row], [Año]]="",Fact_Analitica[[#This Row], [Mes]]=""),"",DATE(A2532,MATCH(B2532,{"enero","febrero","marzo","abril","mayo","junio","julio","agosto","septiembre","octubre","noviembre","diciembre"},0)+1,0))</f>
        <v/>
      </c>
      <c r="E2532" t="str">
        <f>+IFERROR(VLOOKUP(Fact_Analitica[[#This Row], [Concepto Anterior]],Conceptos_Analítica_contraloría[#All],5,0),"")</f>
        <v/>
      </c>
      <c r="F2532" t="str">
        <f>+IFERROR(VLOOKUP(Fact_Analitica[[#This Row], [Concepto Anterior]],Conceptos_Analítica_contraloría[#All],7,0),"")</f>
        <v/>
      </c>
      <c r="I2532" t="str">
        <f>+IFERROR(VLOOKUP(D2532,Conceptos_Analítica_contraloría[#All],2,0),"")</f>
        <v/>
      </c>
      <c r="J2532" s="84" t="str">
        <f>+IFERROR(VLOOKUP(D2532,Conceptos_Analítica_contraloría[#All],3,0),"")</f>
        <v/>
      </c>
    </row>
    <row r="2533" spans="3:10" ht="18.75" customHeight="1" x14ac:dyDescent="0.35">
      <c r="C2533" s="100" t="str">
        <f>IF(OR(Fact_Analitica[[#This Row], [Año]]="",Fact_Analitica[[#This Row], [Mes]]=""),"",DATE(A2533,MATCH(B2533,{"enero","febrero","marzo","abril","mayo","junio","julio","agosto","septiembre","octubre","noviembre","diciembre"},0)+1,0))</f>
        <v/>
      </c>
      <c r="E2533" t="str">
        <f>+IFERROR(VLOOKUP(Fact_Analitica[[#This Row], [Concepto Anterior]],Conceptos_Analítica_contraloría[#All],5,0),"")</f>
        <v/>
      </c>
      <c r="F2533" t="str">
        <f>+IFERROR(VLOOKUP(Fact_Analitica[[#This Row], [Concepto Anterior]],Conceptos_Analítica_contraloría[#All],7,0),"")</f>
        <v/>
      </c>
      <c r="I2533" t="str">
        <f>+IFERROR(VLOOKUP(D2533,Conceptos_Analítica_contraloría[#All],2,0),"")</f>
        <v/>
      </c>
      <c r="J2533" s="84" t="str">
        <f>+IFERROR(VLOOKUP(D2533,Conceptos_Analítica_contraloría[#All],3,0),"")</f>
        <v/>
      </c>
    </row>
    <row r="2534" spans="3:10" ht="18.75" customHeight="1" x14ac:dyDescent="0.35">
      <c r="C2534" s="100" t="str">
        <f>IF(OR(Fact_Analitica[[#This Row], [Año]]="",Fact_Analitica[[#This Row], [Mes]]=""),"",DATE(A2534,MATCH(B2534,{"enero","febrero","marzo","abril","mayo","junio","julio","agosto","septiembre","octubre","noviembre","diciembre"},0)+1,0))</f>
        <v/>
      </c>
      <c r="E2534" t="str">
        <f>+IFERROR(VLOOKUP(Fact_Analitica[[#This Row], [Concepto Anterior]],Conceptos_Analítica_contraloría[#All],5,0),"")</f>
        <v/>
      </c>
      <c r="F2534" t="str">
        <f>+IFERROR(VLOOKUP(Fact_Analitica[[#This Row], [Concepto Anterior]],Conceptos_Analítica_contraloría[#All],7,0),"")</f>
        <v/>
      </c>
      <c r="I2534" t="str">
        <f>+IFERROR(VLOOKUP(D2534,Conceptos_Analítica_contraloría[#All],2,0),"")</f>
        <v/>
      </c>
      <c r="J2534" s="84" t="str">
        <f>+IFERROR(VLOOKUP(D2534,Conceptos_Analítica_contraloría[#All],3,0),"")</f>
        <v/>
      </c>
    </row>
    <row r="2535" spans="3:10" ht="18.75" customHeight="1" x14ac:dyDescent="0.35">
      <c r="C2535" s="100" t="str">
        <f>IF(OR(Fact_Analitica[[#This Row], [Año]]="",Fact_Analitica[[#This Row], [Mes]]=""),"",DATE(A2535,MATCH(B2535,{"enero","febrero","marzo","abril","mayo","junio","julio","agosto","septiembre","octubre","noviembre","diciembre"},0)+1,0))</f>
        <v/>
      </c>
      <c r="E2535" t="str">
        <f>+IFERROR(VLOOKUP(Fact_Analitica[[#This Row], [Concepto Anterior]],Conceptos_Analítica_contraloría[#All],5,0),"")</f>
        <v/>
      </c>
      <c r="F2535" t="str">
        <f>+IFERROR(VLOOKUP(Fact_Analitica[[#This Row], [Concepto Anterior]],Conceptos_Analítica_contraloría[#All],7,0),"")</f>
        <v/>
      </c>
      <c r="I2535" t="str">
        <f>+IFERROR(VLOOKUP(D2535,Conceptos_Analítica_contraloría[#All],2,0),"")</f>
        <v/>
      </c>
      <c r="J2535" s="84" t="str">
        <f>+IFERROR(VLOOKUP(D2535,Conceptos_Analítica_contraloría[#All],3,0),"")</f>
        <v/>
      </c>
    </row>
    <row r="2536" spans="3:10" ht="18.75" customHeight="1" x14ac:dyDescent="0.35">
      <c r="C2536" s="100" t="str">
        <f>IF(OR(Fact_Analitica[[#This Row], [Año]]="",Fact_Analitica[[#This Row], [Mes]]=""),"",DATE(A2536,MATCH(B2536,{"enero","febrero","marzo","abril","mayo","junio","julio","agosto","septiembre","octubre","noviembre","diciembre"},0)+1,0))</f>
        <v/>
      </c>
      <c r="E2536" t="str">
        <f>+IFERROR(VLOOKUP(Fact_Analitica[[#This Row], [Concepto Anterior]],Conceptos_Analítica_contraloría[#All],5,0),"")</f>
        <v/>
      </c>
      <c r="F2536" t="str">
        <f>+IFERROR(VLOOKUP(Fact_Analitica[[#This Row], [Concepto Anterior]],Conceptos_Analítica_contraloría[#All],7,0),"")</f>
        <v/>
      </c>
      <c r="I2536" t="str">
        <f>+IFERROR(VLOOKUP(D2536,Conceptos_Analítica_contraloría[#All],2,0),"")</f>
        <v/>
      </c>
      <c r="J2536" s="84" t="str">
        <f>+IFERROR(VLOOKUP(D2536,Conceptos_Analítica_contraloría[#All],3,0),"")</f>
        <v/>
      </c>
    </row>
    <row r="2537" spans="3:10" ht="18.75" customHeight="1" x14ac:dyDescent="0.35">
      <c r="C2537" s="100" t="str">
        <f>IF(OR(Fact_Analitica[[#This Row], [Año]]="",Fact_Analitica[[#This Row], [Mes]]=""),"",DATE(A2537,MATCH(B2537,{"enero","febrero","marzo","abril","mayo","junio","julio","agosto","septiembre","octubre","noviembre","diciembre"},0)+1,0))</f>
        <v/>
      </c>
      <c r="E2537" t="str">
        <f>+IFERROR(VLOOKUP(Fact_Analitica[[#This Row], [Concepto Anterior]],Conceptos_Analítica_contraloría[#All],5,0),"")</f>
        <v/>
      </c>
      <c r="F2537" t="str">
        <f>+IFERROR(VLOOKUP(Fact_Analitica[[#This Row], [Concepto Anterior]],Conceptos_Analítica_contraloría[#All],7,0),"")</f>
        <v/>
      </c>
      <c r="I2537" t="str">
        <f>+IFERROR(VLOOKUP(D2537,Conceptos_Analítica_contraloría[#All],2,0),"")</f>
        <v/>
      </c>
      <c r="J2537" s="84" t="str">
        <f>+IFERROR(VLOOKUP(D2537,Conceptos_Analítica_contraloría[#All],3,0),"")</f>
        <v/>
      </c>
    </row>
    <row r="2538" spans="3:10" ht="18.75" customHeight="1" x14ac:dyDescent="0.35">
      <c r="C2538" s="100" t="str">
        <f>IF(OR(Fact_Analitica[[#This Row], [Año]]="",Fact_Analitica[[#This Row], [Mes]]=""),"",DATE(A2538,MATCH(B2538,{"enero","febrero","marzo","abril","mayo","junio","julio","agosto","septiembre","octubre","noviembre","diciembre"},0)+1,0))</f>
        <v/>
      </c>
      <c r="E2538" t="str">
        <f>+IFERROR(VLOOKUP(Fact_Analitica[[#This Row], [Concepto Anterior]],Conceptos_Analítica_contraloría[#All],5,0),"")</f>
        <v/>
      </c>
      <c r="F2538" t="str">
        <f>+IFERROR(VLOOKUP(Fact_Analitica[[#This Row], [Concepto Anterior]],Conceptos_Analítica_contraloría[#All],7,0),"")</f>
        <v/>
      </c>
      <c r="I2538" t="str">
        <f>+IFERROR(VLOOKUP(D2538,Conceptos_Analítica_contraloría[#All],2,0),"")</f>
        <v/>
      </c>
      <c r="J2538" s="84" t="str">
        <f>+IFERROR(VLOOKUP(D2538,Conceptos_Analítica_contraloría[#All],3,0),"")</f>
        <v/>
      </c>
    </row>
    <row r="2539" spans="3:10" ht="18.75" customHeight="1" x14ac:dyDescent="0.35">
      <c r="C2539" s="100" t="str">
        <f>IF(OR(Fact_Analitica[[#This Row], [Año]]="",Fact_Analitica[[#This Row], [Mes]]=""),"",DATE(A2539,MATCH(B2539,{"enero","febrero","marzo","abril","mayo","junio","julio","agosto","septiembre","octubre","noviembre","diciembre"},0)+1,0))</f>
        <v/>
      </c>
      <c r="E2539" t="str">
        <f>+IFERROR(VLOOKUP(Fact_Analitica[[#This Row], [Concepto Anterior]],Conceptos_Analítica_contraloría[#All],5,0),"")</f>
        <v/>
      </c>
      <c r="F2539" t="str">
        <f>+IFERROR(VLOOKUP(Fact_Analitica[[#This Row], [Concepto Anterior]],Conceptos_Analítica_contraloría[#All],7,0),"")</f>
        <v/>
      </c>
      <c r="I2539" t="str">
        <f>+IFERROR(VLOOKUP(D2539,Conceptos_Analítica_contraloría[#All],2,0),"")</f>
        <v/>
      </c>
      <c r="J2539" s="84" t="str">
        <f>+IFERROR(VLOOKUP(D2539,Conceptos_Analítica_contraloría[#All],3,0),"")</f>
        <v/>
      </c>
    </row>
    <row r="2540" spans="3:10" ht="18.75" customHeight="1" x14ac:dyDescent="0.35">
      <c r="C2540" s="100" t="str">
        <f>IF(OR(Fact_Analitica[[#This Row], [Año]]="",Fact_Analitica[[#This Row], [Mes]]=""),"",DATE(A2540,MATCH(B2540,{"enero","febrero","marzo","abril","mayo","junio","julio","agosto","septiembre","octubre","noviembre","diciembre"},0)+1,0))</f>
        <v/>
      </c>
      <c r="E2540" t="str">
        <f>+IFERROR(VLOOKUP(Fact_Analitica[[#This Row], [Concepto Anterior]],Conceptos_Analítica_contraloría[#All],5,0),"")</f>
        <v/>
      </c>
      <c r="F2540" t="str">
        <f>+IFERROR(VLOOKUP(Fact_Analitica[[#This Row], [Concepto Anterior]],Conceptos_Analítica_contraloría[#All],7,0),"")</f>
        <v/>
      </c>
      <c r="I2540" t="str">
        <f>+IFERROR(VLOOKUP(D2540,Conceptos_Analítica_contraloría[#All],2,0),"")</f>
        <v/>
      </c>
      <c r="J2540" s="84" t="str">
        <f>+IFERROR(VLOOKUP(D2540,Conceptos_Analítica_contraloría[#All],3,0),"")</f>
        <v/>
      </c>
    </row>
    <row r="2541" spans="3:10" ht="18.75" customHeight="1" x14ac:dyDescent="0.35">
      <c r="C2541" s="100" t="str">
        <f>IF(OR(Fact_Analitica[[#This Row], [Año]]="",Fact_Analitica[[#This Row], [Mes]]=""),"",DATE(A2541,MATCH(B2541,{"enero","febrero","marzo","abril","mayo","junio","julio","agosto","septiembre","octubre","noviembre","diciembre"},0)+1,0))</f>
        <v/>
      </c>
      <c r="E2541" t="str">
        <f>+IFERROR(VLOOKUP(Fact_Analitica[[#This Row], [Concepto Anterior]],Conceptos_Analítica_contraloría[#All],5,0),"")</f>
        <v/>
      </c>
      <c r="F2541" t="str">
        <f>+IFERROR(VLOOKUP(Fact_Analitica[[#This Row], [Concepto Anterior]],Conceptos_Analítica_contraloría[#All],7,0),"")</f>
        <v/>
      </c>
      <c r="I2541" t="str">
        <f>+IFERROR(VLOOKUP(D2541,Conceptos_Analítica_contraloría[#All],2,0),"")</f>
        <v/>
      </c>
      <c r="J2541" s="84" t="str">
        <f>+IFERROR(VLOOKUP(D2541,Conceptos_Analítica_contraloría[#All],3,0),"")</f>
        <v/>
      </c>
    </row>
    <row r="2542" spans="3:10" ht="18.75" customHeight="1" x14ac:dyDescent="0.35">
      <c r="C2542" s="100" t="str">
        <f>IF(OR(Fact_Analitica[[#This Row], [Año]]="",Fact_Analitica[[#This Row], [Mes]]=""),"",DATE(A2542,MATCH(B2542,{"enero","febrero","marzo","abril","mayo","junio","julio","agosto","septiembre","octubre","noviembre","diciembre"},0)+1,0))</f>
        <v/>
      </c>
      <c r="E2542" t="str">
        <f>+IFERROR(VLOOKUP(Fact_Analitica[[#This Row], [Concepto Anterior]],Conceptos_Analítica_contraloría[#All],5,0),"")</f>
        <v/>
      </c>
      <c r="F2542" t="str">
        <f>+IFERROR(VLOOKUP(Fact_Analitica[[#This Row], [Concepto Anterior]],Conceptos_Analítica_contraloría[#All],7,0),"")</f>
        <v/>
      </c>
      <c r="I2542" t="str">
        <f>+IFERROR(VLOOKUP(D2542,Conceptos_Analítica_contraloría[#All],2,0),"")</f>
        <v/>
      </c>
      <c r="J2542" s="84" t="str">
        <f>+IFERROR(VLOOKUP(D2542,Conceptos_Analítica_contraloría[#All],3,0),"")</f>
        <v/>
      </c>
    </row>
    <row r="2543" spans="3:10" ht="18.75" customHeight="1" x14ac:dyDescent="0.35">
      <c r="C2543" s="100" t="str">
        <f>IF(OR(Fact_Analitica[[#This Row], [Año]]="",Fact_Analitica[[#This Row], [Mes]]=""),"",DATE(A2543,MATCH(B2543,{"enero","febrero","marzo","abril","mayo","junio","julio","agosto","septiembre","octubre","noviembre","diciembre"},0)+1,0))</f>
        <v/>
      </c>
      <c r="E2543" t="str">
        <f>+IFERROR(VLOOKUP(Fact_Analitica[[#This Row], [Concepto Anterior]],Conceptos_Analítica_contraloría[#All],5,0),"")</f>
        <v/>
      </c>
      <c r="F2543" t="str">
        <f>+IFERROR(VLOOKUP(Fact_Analitica[[#This Row], [Concepto Anterior]],Conceptos_Analítica_contraloría[#All],7,0),"")</f>
        <v/>
      </c>
      <c r="I2543" t="str">
        <f>+IFERROR(VLOOKUP(D2543,Conceptos_Analítica_contraloría[#All],2,0),"")</f>
        <v/>
      </c>
      <c r="J2543" s="84" t="str">
        <f>+IFERROR(VLOOKUP(D2543,Conceptos_Analítica_contraloría[#All],3,0),"")</f>
        <v/>
      </c>
    </row>
    <row r="2544" spans="3:10" ht="18.75" customHeight="1" x14ac:dyDescent="0.35">
      <c r="C2544" s="100" t="str">
        <f>IF(OR(Fact_Analitica[[#This Row], [Año]]="",Fact_Analitica[[#This Row], [Mes]]=""),"",DATE(A2544,MATCH(B2544,{"enero","febrero","marzo","abril","mayo","junio","julio","agosto","septiembre","octubre","noviembre","diciembre"},0)+1,0))</f>
        <v/>
      </c>
      <c r="E2544" t="str">
        <f>+IFERROR(VLOOKUP(Fact_Analitica[[#This Row], [Concepto Anterior]],Conceptos_Analítica_contraloría[#All],5,0),"")</f>
        <v/>
      </c>
      <c r="F2544" t="str">
        <f>+IFERROR(VLOOKUP(Fact_Analitica[[#This Row], [Concepto Anterior]],Conceptos_Analítica_contraloría[#All],7,0),"")</f>
        <v/>
      </c>
      <c r="I2544" t="str">
        <f>+IFERROR(VLOOKUP(D2544,Conceptos_Analítica_contraloría[#All],2,0),"")</f>
        <v/>
      </c>
      <c r="J2544" s="84" t="str">
        <f>+IFERROR(VLOOKUP(D2544,Conceptos_Analítica_contraloría[#All],3,0),"")</f>
        <v/>
      </c>
    </row>
    <row r="2545" spans="3:10" ht="18.75" customHeight="1" x14ac:dyDescent="0.35">
      <c r="C2545" s="100" t="str">
        <f>IF(OR(Fact_Analitica[[#This Row], [Año]]="",Fact_Analitica[[#This Row], [Mes]]=""),"",DATE(A2545,MATCH(B2545,{"enero","febrero","marzo","abril","mayo","junio","julio","agosto","septiembre","octubre","noviembre","diciembre"},0)+1,0))</f>
        <v/>
      </c>
      <c r="E2545" t="str">
        <f>+IFERROR(VLOOKUP(Fact_Analitica[[#This Row], [Concepto Anterior]],Conceptos_Analítica_contraloría[#All],5,0),"")</f>
        <v/>
      </c>
      <c r="F2545" t="str">
        <f>+IFERROR(VLOOKUP(Fact_Analitica[[#This Row], [Concepto Anterior]],Conceptos_Analítica_contraloría[#All],7,0),"")</f>
        <v/>
      </c>
      <c r="I2545" t="str">
        <f>+IFERROR(VLOOKUP(D2545,Conceptos_Analítica_contraloría[#All],2,0),"")</f>
        <v/>
      </c>
      <c r="J2545" s="84" t="str">
        <f>+IFERROR(VLOOKUP(D2545,Conceptos_Analítica_contraloría[#All],3,0),"")</f>
        <v/>
      </c>
    </row>
    <row r="2546" spans="3:10" ht="18.75" customHeight="1" x14ac:dyDescent="0.35">
      <c r="C2546" s="100" t="str">
        <f>IF(OR(Fact_Analitica[[#This Row], [Año]]="",Fact_Analitica[[#This Row], [Mes]]=""),"",DATE(A2546,MATCH(B2546,{"enero","febrero","marzo","abril","mayo","junio","julio","agosto","septiembre","octubre","noviembre","diciembre"},0)+1,0))</f>
        <v/>
      </c>
      <c r="E2546" t="str">
        <f>+IFERROR(VLOOKUP(Fact_Analitica[[#This Row], [Concepto Anterior]],Conceptos_Analítica_contraloría[#All],5,0),"")</f>
        <v/>
      </c>
      <c r="F2546" t="str">
        <f>+IFERROR(VLOOKUP(Fact_Analitica[[#This Row], [Concepto Anterior]],Conceptos_Analítica_contraloría[#All],7,0),"")</f>
        <v/>
      </c>
      <c r="I2546" t="str">
        <f>+IFERROR(VLOOKUP(D2546,Conceptos_Analítica_contraloría[#All],2,0),"")</f>
        <v/>
      </c>
      <c r="J2546" s="84" t="str">
        <f>+IFERROR(VLOOKUP(D2546,Conceptos_Analítica_contraloría[#All],3,0),"")</f>
        <v/>
      </c>
    </row>
    <row r="2547" spans="3:10" ht="18.75" customHeight="1" x14ac:dyDescent="0.35">
      <c r="C2547" s="100" t="str">
        <f>IF(OR(Fact_Analitica[[#This Row], [Año]]="",Fact_Analitica[[#This Row], [Mes]]=""),"",DATE(A2547,MATCH(B2547,{"enero","febrero","marzo","abril","mayo","junio","julio","agosto","septiembre","octubre","noviembre","diciembre"},0)+1,0))</f>
        <v/>
      </c>
      <c r="E2547" t="str">
        <f>+IFERROR(VLOOKUP(Fact_Analitica[[#This Row], [Concepto Anterior]],Conceptos_Analítica_contraloría[#All],5,0),"")</f>
        <v/>
      </c>
      <c r="F2547" t="str">
        <f>+IFERROR(VLOOKUP(Fact_Analitica[[#This Row], [Concepto Anterior]],Conceptos_Analítica_contraloría[#All],7,0),"")</f>
        <v/>
      </c>
      <c r="I2547" t="str">
        <f>+IFERROR(VLOOKUP(D2547,Conceptos_Analítica_contraloría[#All],2,0),"")</f>
        <v/>
      </c>
      <c r="J2547" s="84" t="str">
        <f>+IFERROR(VLOOKUP(D2547,Conceptos_Analítica_contraloría[#All],3,0),"")</f>
        <v/>
      </c>
    </row>
    <row r="2548" spans="3:10" ht="18.75" customHeight="1" x14ac:dyDescent="0.35">
      <c r="C2548" s="100" t="str">
        <f>IF(OR(Fact_Analitica[[#This Row], [Año]]="",Fact_Analitica[[#This Row], [Mes]]=""),"",DATE(A2548,MATCH(B2548,{"enero","febrero","marzo","abril","mayo","junio","julio","agosto","septiembre","octubre","noviembre","diciembre"},0)+1,0))</f>
        <v/>
      </c>
      <c r="E2548" t="str">
        <f>+IFERROR(VLOOKUP(Fact_Analitica[[#This Row], [Concepto Anterior]],Conceptos_Analítica_contraloría[#All],5,0),"")</f>
        <v/>
      </c>
      <c r="F2548" t="str">
        <f>+IFERROR(VLOOKUP(Fact_Analitica[[#This Row], [Concepto Anterior]],Conceptos_Analítica_contraloría[#All],7,0),"")</f>
        <v/>
      </c>
      <c r="I2548" t="str">
        <f>+IFERROR(VLOOKUP(D2548,Conceptos_Analítica_contraloría[#All],2,0),"")</f>
        <v/>
      </c>
      <c r="J2548" s="84" t="str">
        <f>+IFERROR(VLOOKUP(D2548,Conceptos_Analítica_contraloría[#All],3,0),"")</f>
        <v/>
      </c>
    </row>
    <row r="2549" spans="3:10" ht="18.75" customHeight="1" x14ac:dyDescent="0.35">
      <c r="C2549" s="100" t="str">
        <f>IF(OR(Fact_Analitica[[#This Row], [Año]]="",Fact_Analitica[[#This Row], [Mes]]=""),"",DATE(A2549,MATCH(B2549,{"enero","febrero","marzo","abril","mayo","junio","julio","agosto","septiembre","octubre","noviembre","diciembre"},0)+1,0))</f>
        <v/>
      </c>
      <c r="E2549" t="str">
        <f>+IFERROR(VLOOKUP(Fact_Analitica[[#This Row], [Concepto Anterior]],Conceptos_Analítica_contraloría[#All],5,0),"")</f>
        <v/>
      </c>
      <c r="F2549" t="str">
        <f>+IFERROR(VLOOKUP(Fact_Analitica[[#This Row], [Concepto Anterior]],Conceptos_Analítica_contraloría[#All],7,0),"")</f>
        <v/>
      </c>
      <c r="I2549" t="str">
        <f>+IFERROR(VLOOKUP(D2549,Conceptos_Analítica_contraloría[#All],2,0),"")</f>
        <v/>
      </c>
      <c r="J2549" s="84" t="str">
        <f>+IFERROR(VLOOKUP(D2549,Conceptos_Analítica_contraloría[#All],3,0),"")</f>
        <v/>
      </c>
    </row>
    <row r="2550" spans="3:10" ht="18.75" customHeight="1" x14ac:dyDescent="0.35">
      <c r="C2550" s="100" t="str">
        <f>IF(OR(Fact_Analitica[[#This Row], [Año]]="",Fact_Analitica[[#This Row], [Mes]]=""),"",DATE(A2550,MATCH(B2550,{"enero","febrero","marzo","abril","mayo","junio","julio","agosto","septiembre","octubre","noviembre","diciembre"},0)+1,0))</f>
        <v/>
      </c>
      <c r="E2550" t="str">
        <f>+IFERROR(VLOOKUP(Fact_Analitica[[#This Row], [Concepto Anterior]],Conceptos_Analítica_contraloría[#All],5,0),"")</f>
        <v/>
      </c>
      <c r="F2550" t="str">
        <f>+IFERROR(VLOOKUP(Fact_Analitica[[#This Row], [Concepto Anterior]],Conceptos_Analítica_contraloría[#All],7,0),"")</f>
        <v/>
      </c>
      <c r="I2550" t="str">
        <f>+IFERROR(VLOOKUP(D2550,Conceptos_Analítica_contraloría[#All],2,0),"")</f>
        <v/>
      </c>
      <c r="J2550" s="84" t="str">
        <f>+IFERROR(VLOOKUP(D2550,Conceptos_Analítica_contraloría[#All],3,0),"")</f>
        <v/>
      </c>
    </row>
    <row r="2551" spans="3:10" ht="18.75" customHeight="1" x14ac:dyDescent="0.35">
      <c r="C2551" s="100" t="str">
        <f>IF(OR(Fact_Analitica[[#This Row], [Año]]="",Fact_Analitica[[#This Row], [Mes]]=""),"",DATE(A2551,MATCH(B2551,{"enero","febrero","marzo","abril","mayo","junio","julio","agosto","septiembre","octubre","noviembre","diciembre"},0)+1,0))</f>
        <v/>
      </c>
      <c r="E2551" t="str">
        <f>+IFERROR(VLOOKUP(Fact_Analitica[[#This Row], [Concepto Anterior]],Conceptos_Analítica_contraloría[#All],5,0),"")</f>
        <v/>
      </c>
      <c r="F2551" t="str">
        <f>+IFERROR(VLOOKUP(Fact_Analitica[[#This Row], [Concepto Anterior]],Conceptos_Analítica_contraloría[#All],7,0),"")</f>
        <v/>
      </c>
      <c r="I2551" t="str">
        <f>+IFERROR(VLOOKUP(D2551,Conceptos_Analítica_contraloría[#All],2,0),"")</f>
        <v/>
      </c>
      <c r="J2551" s="84" t="str">
        <f>+IFERROR(VLOOKUP(D2551,Conceptos_Analítica_contraloría[#All],3,0),"")</f>
        <v/>
      </c>
    </row>
    <row r="2552" spans="3:10" ht="18.75" customHeight="1" x14ac:dyDescent="0.35">
      <c r="C2552" s="100" t="str">
        <f>IF(OR(Fact_Analitica[[#This Row], [Año]]="",Fact_Analitica[[#This Row], [Mes]]=""),"",DATE(A2552,MATCH(B2552,{"enero","febrero","marzo","abril","mayo","junio","julio","agosto","septiembre","octubre","noviembre","diciembre"},0)+1,0))</f>
        <v/>
      </c>
      <c r="E2552" t="str">
        <f>+IFERROR(VLOOKUP(Fact_Analitica[[#This Row], [Concepto Anterior]],Conceptos_Analítica_contraloría[#All],5,0),"")</f>
        <v/>
      </c>
      <c r="F2552" t="str">
        <f>+IFERROR(VLOOKUP(Fact_Analitica[[#This Row], [Concepto Anterior]],Conceptos_Analítica_contraloría[#All],7,0),"")</f>
        <v/>
      </c>
      <c r="I2552" t="str">
        <f>+IFERROR(VLOOKUP(D2552,Conceptos_Analítica_contraloría[#All],2,0),"")</f>
        <v/>
      </c>
      <c r="J2552" s="84" t="str">
        <f>+IFERROR(VLOOKUP(D2552,Conceptos_Analítica_contraloría[#All],3,0),"")</f>
        <v/>
      </c>
    </row>
    <row r="2553" spans="3:10" ht="18.75" customHeight="1" x14ac:dyDescent="0.35">
      <c r="C2553" s="100" t="str">
        <f>IF(OR(Fact_Analitica[[#This Row], [Año]]="",Fact_Analitica[[#This Row], [Mes]]=""),"",DATE(A2553,MATCH(B2553,{"enero","febrero","marzo","abril","mayo","junio","julio","agosto","septiembre","octubre","noviembre","diciembre"},0)+1,0))</f>
        <v/>
      </c>
      <c r="E2553" t="str">
        <f>+IFERROR(VLOOKUP(Fact_Analitica[[#This Row], [Concepto Anterior]],Conceptos_Analítica_contraloría[#All],5,0),"")</f>
        <v/>
      </c>
      <c r="F2553" t="str">
        <f>+IFERROR(VLOOKUP(Fact_Analitica[[#This Row], [Concepto Anterior]],Conceptos_Analítica_contraloría[#All],7,0),"")</f>
        <v/>
      </c>
      <c r="I2553" t="str">
        <f>+IFERROR(VLOOKUP(D2553,Conceptos_Analítica_contraloría[#All],2,0),"")</f>
        <v/>
      </c>
      <c r="J2553" s="84" t="str">
        <f>+IFERROR(VLOOKUP(D2553,Conceptos_Analítica_contraloría[#All],3,0),"")</f>
        <v/>
      </c>
    </row>
    <row r="2554" spans="3:10" ht="18.75" customHeight="1" x14ac:dyDescent="0.35">
      <c r="C2554" s="100" t="str">
        <f>IF(OR(Fact_Analitica[[#This Row], [Año]]="",Fact_Analitica[[#This Row], [Mes]]=""),"",DATE(A2554,MATCH(B2554,{"enero","febrero","marzo","abril","mayo","junio","julio","agosto","septiembre","octubre","noviembre","diciembre"},0)+1,0))</f>
        <v/>
      </c>
      <c r="E2554" t="str">
        <f>+IFERROR(VLOOKUP(Fact_Analitica[[#This Row], [Concepto Anterior]],Conceptos_Analítica_contraloría[#All],5,0),"")</f>
        <v/>
      </c>
      <c r="F2554" t="str">
        <f>+IFERROR(VLOOKUP(Fact_Analitica[[#This Row], [Concepto Anterior]],Conceptos_Analítica_contraloría[#All],7,0),"")</f>
        <v/>
      </c>
      <c r="I2554" t="str">
        <f>+IFERROR(VLOOKUP(D2554,Conceptos_Analítica_contraloría[#All],2,0),"")</f>
        <v/>
      </c>
      <c r="J2554" s="84" t="str">
        <f>+IFERROR(VLOOKUP(D2554,Conceptos_Analítica_contraloría[#All],3,0),"")</f>
        <v/>
      </c>
    </row>
    <row r="2555" spans="3:10" ht="18.75" customHeight="1" x14ac:dyDescent="0.35">
      <c r="C2555" s="100" t="str">
        <f>IF(OR(Fact_Analitica[[#This Row], [Año]]="",Fact_Analitica[[#This Row], [Mes]]=""),"",DATE(A2555,MATCH(B2555,{"enero","febrero","marzo","abril","mayo","junio","julio","agosto","septiembre","octubre","noviembre","diciembre"},0)+1,0))</f>
        <v/>
      </c>
      <c r="E2555" t="str">
        <f>+IFERROR(VLOOKUP(Fact_Analitica[[#This Row], [Concepto Anterior]],Conceptos_Analítica_contraloría[#All],5,0),"")</f>
        <v/>
      </c>
      <c r="F2555" t="str">
        <f>+IFERROR(VLOOKUP(Fact_Analitica[[#This Row], [Concepto Anterior]],Conceptos_Analítica_contraloría[#All],7,0),"")</f>
        <v/>
      </c>
      <c r="I2555" t="str">
        <f>+IFERROR(VLOOKUP(D2555,Conceptos_Analítica_contraloría[#All],2,0),"")</f>
        <v/>
      </c>
      <c r="J2555" s="84" t="str">
        <f>+IFERROR(VLOOKUP(D2555,Conceptos_Analítica_contraloría[#All],3,0),"")</f>
        <v/>
      </c>
    </row>
    <row r="2556" spans="3:10" ht="18.75" customHeight="1" x14ac:dyDescent="0.35">
      <c r="C2556" s="100" t="str">
        <f>IF(OR(Fact_Analitica[[#This Row], [Año]]="",Fact_Analitica[[#This Row], [Mes]]=""),"",DATE(A2556,MATCH(B2556,{"enero","febrero","marzo","abril","mayo","junio","julio","agosto","septiembre","octubre","noviembre","diciembre"},0)+1,0))</f>
        <v/>
      </c>
      <c r="E2556" t="str">
        <f>+IFERROR(VLOOKUP(Fact_Analitica[[#This Row], [Concepto Anterior]],Conceptos_Analítica_contraloría[#All],5,0),"")</f>
        <v/>
      </c>
      <c r="F2556" t="str">
        <f>+IFERROR(VLOOKUP(Fact_Analitica[[#This Row], [Concepto Anterior]],Conceptos_Analítica_contraloría[#All],7,0),"")</f>
        <v/>
      </c>
      <c r="I2556" t="str">
        <f>+IFERROR(VLOOKUP(D2556,Conceptos_Analítica_contraloría[#All],2,0),"")</f>
        <v/>
      </c>
      <c r="J2556" s="84" t="str">
        <f>+IFERROR(VLOOKUP(D2556,Conceptos_Analítica_contraloría[#All],3,0),"")</f>
        <v/>
      </c>
    </row>
    <row r="2557" spans="3:10" ht="18.75" customHeight="1" x14ac:dyDescent="0.35">
      <c r="C2557" s="100" t="str">
        <f>IF(OR(Fact_Analitica[[#This Row], [Año]]="",Fact_Analitica[[#This Row], [Mes]]=""),"",DATE(A2557,MATCH(B2557,{"enero","febrero","marzo","abril","mayo","junio","julio","agosto","septiembre","octubre","noviembre","diciembre"},0)+1,0))</f>
        <v/>
      </c>
      <c r="E2557" t="str">
        <f>+IFERROR(VLOOKUP(Fact_Analitica[[#This Row], [Concepto Anterior]],Conceptos_Analítica_contraloría[#All],5,0),"")</f>
        <v/>
      </c>
      <c r="F2557" t="str">
        <f>+IFERROR(VLOOKUP(Fact_Analitica[[#This Row], [Concepto Anterior]],Conceptos_Analítica_contraloría[#All],7,0),"")</f>
        <v/>
      </c>
      <c r="I2557" t="str">
        <f>+IFERROR(VLOOKUP(D2557,Conceptos_Analítica_contraloría[#All],2,0),"")</f>
        <v/>
      </c>
      <c r="J2557" s="84" t="str">
        <f>+IFERROR(VLOOKUP(D2557,Conceptos_Analítica_contraloría[#All],3,0),"")</f>
        <v/>
      </c>
    </row>
    <row r="2558" spans="3:10" ht="18.75" customHeight="1" x14ac:dyDescent="0.35">
      <c r="C2558" s="100" t="str">
        <f>IF(OR(Fact_Analitica[[#This Row], [Año]]="",Fact_Analitica[[#This Row], [Mes]]=""),"",DATE(A2558,MATCH(B2558,{"enero","febrero","marzo","abril","mayo","junio","julio","agosto","septiembre","octubre","noviembre","diciembre"},0)+1,0))</f>
        <v/>
      </c>
      <c r="E2558" t="str">
        <f>+IFERROR(VLOOKUP(Fact_Analitica[[#This Row], [Concepto Anterior]],Conceptos_Analítica_contraloría[#All],5,0),"")</f>
        <v/>
      </c>
      <c r="F2558" t="str">
        <f>+IFERROR(VLOOKUP(Fact_Analitica[[#This Row], [Concepto Anterior]],Conceptos_Analítica_contraloría[#All],7,0),"")</f>
        <v/>
      </c>
      <c r="I2558" t="str">
        <f>+IFERROR(VLOOKUP(D2558,Conceptos_Analítica_contraloría[#All],2,0),"")</f>
        <v/>
      </c>
      <c r="J2558" s="84" t="str">
        <f>+IFERROR(VLOOKUP(D2558,Conceptos_Analítica_contraloría[#All],3,0),"")</f>
        <v/>
      </c>
    </row>
    <row r="2559" spans="3:10" ht="18.75" customHeight="1" x14ac:dyDescent="0.35">
      <c r="C2559" s="100" t="str">
        <f>IF(OR(Fact_Analitica[[#This Row], [Año]]="",Fact_Analitica[[#This Row], [Mes]]=""),"",DATE(A2559,MATCH(B2559,{"enero","febrero","marzo","abril","mayo","junio","julio","agosto","septiembre","octubre","noviembre","diciembre"},0)+1,0))</f>
        <v/>
      </c>
      <c r="E2559" t="str">
        <f>+IFERROR(VLOOKUP(Fact_Analitica[[#This Row], [Concepto Anterior]],Conceptos_Analítica_contraloría[#All],5,0),"")</f>
        <v/>
      </c>
      <c r="F2559" t="str">
        <f>+IFERROR(VLOOKUP(Fact_Analitica[[#This Row], [Concepto Anterior]],Conceptos_Analítica_contraloría[#All],7,0),"")</f>
        <v/>
      </c>
      <c r="I2559" t="str">
        <f>+IFERROR(VLOOKUP(D2559,Conceptos_Analítica_contraloría[#All],2,0),"")</f>
        <v/>
      </c>
      <c r="J2559" s="84" t="str">
        <f>+IFERROR(VLOOKUP(D2559,Conceptos_Analítica_contraloría[#All],3,0),"")</f>
        <v/>
      </c>
    </row>
    <row r="2560" spans="3:10" ht="18.75" customHeight="1" x14ac:dyDescent="0.35">
      <c r="C2560" s="100" t="str">
        <f>IF(OR(Fact_Analitica[[#This Row], [Año]]="",Fact_Analitica[[#This Row], [Mes]]=""),"",DATE(A2560,MATCH(B2560,{"enero","febrero","marzo","abril","mayo","junio","julio","agosto","septiembre","octubre","noviembre","diciembre"},0)+1,0))</f>
        <v/>
      </c>
      <c r="E2560" t="str">
        <f>+IFERROR(VLOOKUP(Fact_Analitica[[#This Row], [Concepto Anterior]],Conceptos_Analítica_contraloría[#All],5,0),"")</f>
        <v/>
      </c>
      <c r="F2560" t="str">
        <f>+IFERROR(VLOOKUP(Fact_Analitica[[#This Row], [Concepto Anterior]],Conceptos_Analítica_contraloría[#All],7,0),"")</f>
        <v/>
      </c>
      <c r="I2560" t="str">
        <f>+IFERROR(VLOOKUP(D2560,Conceptos_Analítica_contraloría[#All],2,0),"")</f>
        <v/>
      </c>
      <c r="J2560" s="84" t="str">
        <f>+IFERROR(VLOOKUP(D2560,Conceptos_Analítica_contraloría[#All],3,0),"")</f>
        <v/>
      </c>
    </row>
    <row r="2561" spans="3:10" ht="18.75" customHeight="1" x14ac:dyDescent="0.35">
      <c r="C2561" s="100" t="str">
        <f>IF(OR(Fact_Analitica[[#This Row], [Año]]="",Fact_Analitica[[#This Row], [Mes]]=""),"",DATE(A2561,MATCH(B2561,{"enero","febrero","marzo","abril","mayo","junio","julio","agosto","septiembre","octubre","noviembre","diciembre"},0)+1,0))</f>
        <v/>
      </c>
      <c r="E2561" t="str">
        <f>+IFERROR(VLOOKUP(Fact_Analitica[[#This Row], [Concepto Anterior]],Conceptos_Analítica_contraloría[#All],5,0),"")</f>
        <v/>
      </c>
      <c r="F2561" t="str">
        <f>+IFERROR(VLOOKUP(Fact_Analitica[[#This Row], [Concepto Anterior]],Conceptos_Analítica_contraloría[#All],7,0),"")</f>
        <v/>
      </c>
      <c r="I2561" t="str">
        <f>+IFERROR(VLOOKUP(D2561,Conceptos_Analítica_contraloría[#All],2,0),"")</f>
        <v/>
      </c>
      <c r="J2561" s="84" t="str">
        <f>+IFERROR(VLOOKUP(D2561,Conceptos_Analítica_contraloría[#All],3,0),"")</f>
        <v/>
      </c>
    </row>
    <row r="2562" spans="3:10" ht="18.75" customHeight="1" x14ac:dyDescent="0.35">
      <c r="C2562" s="100" t="str">
        <f>IF(OR(Fact_Analitica[[#This Row], [Año]]="",Fact_Analitica[[#This Row], [Mes]]=""),"",DATE(A2562,MATCH(B2562,{"enero","febrero","marzo","abril","mayo","junio","julio","agosto","septiembre","octubre","noviembre","diciembre"},0)+1,0))</f>
        <v/>
      </c>
      <c r="E2562" t="str">
        <f>+IFERROR(VLOOKUP(Fact_Analitica[[#This Row], [Concepto Anterior]],Conceptos_Analítica_contraloría[#All],5,0),"")</f>
        <v/>
      </c>
      <c r="F2562" t="str">
        <f>+IFERROR(VLOOKUP(Fact_Analitica[[#This Row], [Concepto Anterior]],Conceptos_Analítica_contraloría[#All],7,0),"")</f>
        <v/>
      </c>
      <c r="I2562" t="str">
        <f>+IFERROR(VLOOKUP(D2562,Conceptos_Analítica_contraloría[#All],2,0),"")</f>
        <v/>
      </c>
      <c r="J2562" s="84" t="str">
        <f>+IFERROR(VLOOKUP(D2562,Conceptos_Analítica_contraloría[#All],3,0),"")</f>
        <v/>
      </c>
    </row>
    <row r="2563" spans="3:10" ht="18.75" customHeight="1" x14ac:dyDescent="0.35">
      <c r="C2563" s="100" t="str">
        <f>IF(OR(Fact_Analitica[[#This Row], [Año]]="",Fact_Analitica[[#This Row], [Mes]]=""),"",DATE(A2563,MATCH(B2563,{"enero","febrero","marzo","abril","mayo","junio","julio","agosto","septiembre","octubre","noviembre","diciembre"},0)+1,0))</f>
        <v/>
      </c>
      <c r="E2563" t="str">
        <f>+IFERROR(VLOOKUP(Fact_Analitica[[#This Row], [Concepto Anterior]],Conceptos_Analítica_contraloría[#All],5,0),"")</f>
        <v/>
      </c>
      <c r="F2563" t="str">
        <f>+IFERROR(VLOOKUP(Fact_Analitica[[#This Row], [Concepto Anterior]],Conceptos_Analítica_contraloría[#All],7,0),"")</f>
        <v/>
      </c>
      <c r="I2563" t="str">
        <f>+IFERROR(VLOOKUP(D2563,Conceptos_Analítica_contraloría[#All],2,0),"")</f>
        <v/>
      </c>
      <c r="J2563" s="84" t="str">
        <f>+IFERROR(VLOOKUP(D2563,Conceptos_Analítica_contraloría[#All],3,0),"")</f>
        <v/>
      </c>
    </row>
    <row r="2564" spans="3:10" ht="18.75" customHeight="1" x14ac:dyDescent="0.35">
      <c r="C2564" s="100" t="str">
        <f>IF(OR(Fact_Analitica[[#This Row], [Año]]="",Fact_Analitica[[#This Row], [Mes]]=""),"",DATE(A2564,MATCH(B2564,{"enero","febrero","marzo","abril","mayo","junio","julio","agosto","septiembre","octubre","noviembre","diciembre"},0)+1,0))</f>
        <v/>
      </c>
      <c r="E2564" t="str">
        <f>+IFERROR(VLOOKUP(Fact_Analitica[[#This Row], [Concepto Anterior]],Conceptos_Analítica_contraloría[#All],5,0),"")</f>
        <v/>
      </c>
      <c r="F2564" t="str">
        <f>+IFERROR(VLOOKUP(Fact_Analitica[[#This Row], [Concepto Anterior]],Conceptos_Analítica_contraloría[#All],7,0),"")</f>
        <v/>
      </c>
      <c r="I2564" t="str">
        <f>+IFERROR(VLOOKUP(D2564,Conceptos_Analítica_contraloría[#All],2,0),"")</f>
        <v/>
      </c>
      <c r="J2564" s="84" t="str">
        <f>+IFERROR(VLOOKUP(D2564,Conceptos_Analítica_contraloría[#All],3,0),"")</f>
        <v/>
      </c>
    </row>
    <row r="2565" spans="3:10" ht="18.75" customHeight="1" x14ac:dyDescent="0.35">
      <c r="C2565" s="100" t="str">
        <f>IF(OR(Fact_Analitica[[#This Row], [Año]]="",Fact_Analitica[[#This Row], [Mes]]=""),"",DATE(A2565,MATCH(B2565,{"enero","febrero","marzo","abril","mayo","junio","julio","agosto","septiembre","octubre","noviembre","diciembre"},0)+1,0))</f>
        <v/>
      </c>
      <c r="E2565" t="str">
        <f>+IFERROR(VLOOKUP(Fact_Analitica[[#This Row], [Concepto Anterior]],Conceptos_Analítica_contraloría[#All],5,0),"")</f>
        <v/>
      </c>
      <c r="F2565" t="str">
        <f>+IFERROR(VLOOKUP(Fact_Analitica[[#This Row], [Concepto Anterior]],Conceptos_Analítica_contraloría[#All],7,0),"")</f>
        <v/>
      </c>
      <c r="I2565" t="str">
        <f>+IFERROR(VLOOKUP(D2565,Conceptos_Analítica_contraloría[#All],2,0),"")</f>
        <v/>
      </c>
      <c r="J2565" s="84" t="str">
        <f>+IFERROR(VLOOKUP(D2565,Conceptos_Analítica_contraloría[#All],3,0),"")</f>
        <v/>
      </c>
    </row>
    <row r="2566" spans="3:10" ht="18.75" customHeight="1" x14ac:dyDescent="0.35">
      <c r="C2566" s="100" t="str">
        <f>IF(OR(Fact_Analitica[[#This Row], [Año]]="",Fact_Analitica[[#This Row], [Mes]]=""),"",DATE(A2566,MATCH(B2566,{"enero","febrero","marzo","abril","mayo","junio","julio","agosto","septiembre","octubre","noviembre","diciembre"},0)+1,0))</f>
        <v/>
      </c>
      <c r="E2566" t="str">
        <f>+IFERROR(VLOOKUP(Fact_Analitica[[#This Row], [Concepto Anterior]],Conceptos_Analítica_contraloría[#All],5,0),"")</f>
        <v/>
      </c>
      <c r="F2566" t="str">
        <f>+IFERROR(VLOOKUP(Fact_Analitica[[#This Row], [Concepto Anterior]],Conceptos_Analítica_contraloría[#All],7,0),"")</f>
        <v/>
      </c>
      <c r="I2566" t="str">
        <f>+IFERROR(VLOOKUP(D2566,Conceptos_Analítica_contraloría[#All],2,0),"")</f>
        <v/>
      </c>
      <c r="J2566" s="84" t="str">
        <f>+IFERROR(VLOOKUP(D2566,Conceptos_Analítica_contraloría[#All],3,0),"")</f>
        <v/>
      </c>
    </row>
    <row r="2567" spans="3:10" ht="18.75" customHeight="1" x14ac:dyDescent="0.35">
      <c r="C2567" s="100" t="str">
        <f>IF(OR(Fact_Analitica[[#This Row], [Año]]="",Fact_Analitica[[#This Row], [Mes]]=""),"",DATE(A2567,MATCH(B2567,{"enero","febrero","marzo","abril","mayo","junio","julio","agosto","septiembre","octubre","noviembre","diciembre"},0)+1,0))</f>
        <v/>
      </c>
      <c r="E2567" t="str">
        <f>+IFERROR(VLOOKUP(Fact_Analitica[[#This Row], [Concepto Anterior]],Conceptos_Analítica_contraloría[#All],5,0),"")</f>
        <v/>
      </c>
      <c r="F2567" t="str">
        <f>+IFERROR(VLOOKUP(Fact_Analitica[[#This Row], [Concepto Anterior]],Conceptos_Analítica_contraloría[#All],7,0),"")</f>
        <v/>
      </c>
      <c r="I2567" t="str">
        <f>+IFERROR(VLOOKUP(D2567,Conceptos_Analítica_contraloría[#All],2,0),"")</f>
        <v/>
      </c>
      <c r="J2567" s="84" t="str">
        <f>+IFERROR(VLOOKUP(D2567,Conceptos_Analítica_contraloría[#All],3,0),"")</f>
        <v/>
      </c>
    </row>
    <row r="2568" spans="3:10" ht="18.75" customHeight="1" x14ac:dyDescent="0.35">
      <c r="C2568" s="100" t="str">
        <f>IF(OR(Fact_Analitica[[#This Row], [Año]]="",Fact_Analitica[[#This Row], [Mes]]=""),"",DATE(A2568,MATCH(B2568,{"enero","febrero","marzo","abril","mayo","junio","julio","agosto","septiembre","octubre","noviembre","diciembre"},0)+1,0))</f>
        <v/>
      </c>
      <c r="E2568" t="str">
        <f>+IFERROR(VLOOKUP(Fact_Analitica[[#This Row], [Concepto Anterior]],Conceptos_Analítica_contraloría[#All],5,0),"")</f>
        <v/>
      </c>
      <c r="F2568" t="str">
        <f>+IFERROR(VLOOKUP(Fact_Analitica[[#This Row], [Concepto Anterior]],Conceptos_Analítica_contraloría[#All],7,0),"")</f>
        <v/>
      </c>
      <c r="I2568" t="str">
        <f>+IFERROR(VLOOKUP(D2568,Conceptos_Analítica_contraloría[#All],2,0),"")</f>
        <v/>
      </c>
      <c r="J2568" s="84" t="str">
        <f>+IFERROR(VLOOKUP(D2568,Conceptos_Analítica_contraloría[#All],3,0),"")</f>
        <v/>
      </c>
    </row>
    <row r="2569" spans="3:10" ht="18.75" customHeight="1" x14ac:dyDescent="0.35">
      <c r="C2569" s="100" t="str">
        <f>IF(OR(Fact_Analitica[[#This Row], [Año]]="",Fact_Analitica[[#This Row], [Mes]]=""),"",DATE(A2569,MATCH(B2569,{"enero","febrero","marzo","abril","mayo","junio","julio","agosto","septiembre","octubre","noviembre","diciembre"},0)+1,0))</f>
        <v/>
      </c>
      <c r="E2569" t="str">
        <f>+IFERROR(VLOOKUP(Fact_Analitica[[#This Row], [Concepto Anterior]],Conceptos_Analítica_contraloría[#All],5,0),"")</f>
        <v/>
      </c>
      <c r="F2569" t="str">
        <f>+IFERROR(VLOOKUP(Fact_Analitica[[#This Row], [Concepto Anterior]],Conceptos_Analítica_contraloría[#All],7,0),"")</f>
        <v/>
      </c>
      <c r="I2569" t="str">
        <f>+IFERROR(VLOOKUP(D2569,Conceptos_Analítica_contraloría[#All],2,0),"")</f>
        <v/>
      </c>
      <c r="J2569" s="84" t="str">
        <f>+IFERROR(VLOOKUP(D2569,Conceptos_Analítica_contraloría[#All],3,0),"")</f>
        <v/>
      </c>
    </row>
    <row r="2570" spans="3:10" ht="18.75" customHeight="1" x14ac:dyDescent="0.35">
      <c r="C2570" s="100" t="str">
        <f>IF(OR(Fact_Analitica[[#This Row], [Año]]="",Fact_Analitica[[#This Row], [Mes]]=""),"",DATE(A2570,MATCH(B2570,{"enero","febrero","marzo","abril","mayo","junio","julio","agosto","septiembre","octubre","noviembre","diciembre"},0)+1,0))</f>
        <v/>
      </c>
      <c r="E2570" t="str">
        <f>+IFERROR(VLOOKUP(Fact_Analitica[[#This Row], [Concepto Anterior]],Conceptos_Analítica_contraloría[#All],5,0),"")</f>
        <v/>
      </c>
      <c r="F2570" t="str">
        <f>+IFERROR(VLOOKUP(Fact_Analitica[[#This Row], [Concepto Anterior]],Conceptos_Analítica_contraloría[#All],7,0),"")</f>
        <v/>
      </c>
      <c r="I2570" t="str">
        <f>+IFERROR(VLOOKUP(D2570,Conceptos_Analítica_contraloría[#All],2,0),"")</f>
        <v/>
      </c>
      <c r="J2570" s="84" t="str">
        <f>+IFERROR(VLOOKUP(D2570,Conceptos_Analítica_contraloría[#All],3,0),"")</f>
        <v/>
      </c>
    </row>
    <row r="2571" spans="3:10" ht="18.75" customHeight="1" x14ac:dyDescent="0.35">
      <c r="C2571" s="100" t="str">
        <f>IF(OR(Fact_Analitica[[#This Row], [Año]]="",Fact_Analitica[[#This Row], [Mes]]=""),"",DATE(A2571,MATCH(B2571,{"enero","febrero","marzo","abril","mayo","junio","julio","agosto","septiembre","octubre","noviembre","diciembre"},0)+1,0))</f>
        <v/>
      </c>
      <c r="E2571" t="str">
        <f>+IFERROR(VLOOKUP(Fact_Analitica[[#This Row], [Concepto Anterior]],Conceptos_Analítica_contraloría[#All],5,0),"")</f>
        <v/>
      </c>
      <c r="F2571" t="str">
        <f>+IFERROR(VLOOKUP(Fact_Analitica[[#This Row], [Concepto Anterior]],Conceptos_Analítica_contraloría[#All],7,0),"")</f>
        <v/>
      </c>
      <c r="I2571" t="str">
        <f>+IFERROR(VLOOKUP(D2571,Conceptos_Analítica_contraloría[#All],2,0),"")</f>
        <v/>
      </c>
      <c r="J2571" s="84" t="str">
        <f>+IFERROR(VLOOKUP(D2571,Conceptos_Analítica_contraloría[#All],3,0),"")</f>
        <v/>
      </c>
    </row>
    <row r="2572" spans="3:10" ht="18.75" customHeight="1" x14ac:dyDescent="0.35">
      <c r="C2572" s="100" t="str">
        <f>IF(OR(Fact_Analitica[[#This Row], [Año]]="",Fact_Analitica[[#This Row], [Mes]]=""),"",DATE(A2572,MATCH(B2572,{"enero","febrero","marzo","abril","mayo","junio","julio","agosto","septiembre","octubre","noviembre","diciembre"},0)+1,0))</f>
        <v/>
      </c>
      <c r="E2572" t="str">
        <f>+IFERROR(VLOOKUP(Fact_Analitica[[#This Row], [Concepto Anterior]],Conceptos_Analítica_contraloría[#All],5,0),"")</f>
        <v/>
      </c>
      <c r="F2572" t="str">
        <f>+IFERROR(VLOOKUP(Fact_Analitica[[#This Row], [Concepto Anterior]],Conceptos_Analítica_contraloría[#All],7,0),"")</f>
        <v/>
      </c>
      <c r="I2572" t="str">
        <f>+IFERROR(VLOOKUP(D2572,Conceptos_Analítica_contraloría[#All],2,0),"")</f>
        <v/>
      </c>
      <c r="J2572" s="84" t="str">
        <f>+IFERROR(VLOOKUP(D2572,Conceptos_Analítica_contraloría[#All],3,0),"")</f>
        <v/>
      </c>
    </row>
    <row r="2573" spans="3:10" ht="18.75" customHeight="1" x14ac:dyDescent="0.35">
      <c r="C2573" s="100" t="str">
        <f>IF(OR(Fact_Analitica[[#This Row], [Año]]="",Fact_Analitica[[#This Row], [Mes]]=""),"",DATE(A2573,MATCH(B2573,{"enero","febrero","marzo","abril","mayo","junio","julio","agosto","septiembre","octubre","noviembre","diciembre"},0)+1,0))</f>
        <v/>
      </c>
      <c r="E2573" t="str">
        <f>+IFERROR(VLOOKUP(Fact_Analitica[[#This Row], [Concepto Anterior]],Conceptos_Analítica_contraloría[#All],5,0),"")</f>
        <v/>
      </c>
      <c r="F2573" t="str">
        <f>+IFERROR(VLOOKUP(Fact_Analitica[[#This Row], [Concepto Anterior]],Conceptos_Analítica_contraloría[#All],7,0),"")</f>
        <v/>
      </c>
      <c r="I2573" t="str">
        <f>+IFERROR(VLOOKUP(D2573,Conceptos_Analítica_contraloría[#All],2,0),"")</f>
        <v/>
      </c>
      <c r="J2573" s="84" t="str">
        <f>+IFERROR(VLOOKUP(D2573,Conceptos_Analítica_contraloría[#All],3,0),"")</f>
        <v/>
      </c>
    </row>
    <row r="2574" spans="3:10" ht="18.75" customHeight="1" x14ac:dyDescent="0.35">
      <c r="C2574" s="100" t="str">
        <f>IF(OR(Fact_Analitica[[#This Row], [Año]]="",Fact_Analitica[[#This Row], [Mes]]=""),"",DATE(A2574,MATCH(B2574,{"enero","febrero","marzo","abril","mayo","junio","julio","agosto","septiembre","octubre","noviembre","diciembre"},0)+1,0))</f>
        <v/>
      </c>
      <c r="E2574" t="str">
        <f>+IFERROR(VLOOKUP(Fact_Analitica[[#This Row], [Concepto Anterior]],Conceptos_Analítica_contraloría[#All],5,0),"")</f>
        <v/>
      </c>
      <c r="F2574" t="str">
        <f>+IFERROR(VLOOKUP(Fact_Analitica[[#This Row], [Concepto Anterior]],Conceptos_Analítica_contraloría[#All],7,0),"")</f>
        <v/>
      </c>
      <c r="I2574" t="str">
        <f>+IFERROR(VLOOKUP(D2574,Conceptos_Analítica_contraloría[#All],2,0),"")</f>
        <v/>
      </c>
      <c r="J2574" s="84" t="str">
        <f>+IFERROR(VLOOKUP(D2574,Conceptos_Analítica_contraloría[#All],3,0),"")</f>
        <v/>
      </c>
    </row>
    <row r="2575" spans="3:10" ht="18.75" customHeight="1" x14ac:dyDescent="0.35">
      <c r="C2575" s="100" t="str">
        <f>IF(OR(Fact_Analitica[[#This Row], [Año]]="",Fact_Analitica[[#This Row], [Mes]]=""),"",DATE(A2575,MATCH(B2575,{"enero","febrero","marzo","abril","mayo","junio","julio","agosto","septiembre","octubre","noviembre","diciembre"},0)+1,0))</f>
        <v/>
      </c>
      <c r="E2575" t="str">
        <f>+IFERROR(VLOOKUP(Fact_Analitica[[#This Row], [Concepto Anterior]],Conceptos_Analítica_contraloría[#All],5,0),"")</f>
        <v/>
      </c>
      <c r="F2575" t="str">
        <f>+IFERROR(VLOOKUP(Fact_Analitica[[#This Row], [Concepto Anterior]],Conceptos_Analítica_contraloría[#All],7,0),"")</f>
        <v/>
      </c>
      <c r="I2575" t="str">
        <f>+IFERROR(VLOOKUP(D2575,Conceptos_Analítica_contraloría[#All],2,0),"")</f>
        <v/>
      </c>
      <c r="J2575" s="84" t="str">
        <f>+IFERROR(VLOOKUP(D2575,Conceptos_Analítica_contraloría[#All],3,0),"")</f>
        <v/>
      </c>
    </row>
    <row r="2576" spans="3:10" ht="18.75" customHeight="1" x14ac:dyDescent="0.35">
      <c r="C2576" s="100" t="str">
        <f>IF(OR(Fact_Analitica[[#This Row], [Año]]="",Fact_Analitica[[#This Row], [Mes]]=""),"",DATE(A2576,MATCH(B2576,{"enero","febrero","marzo","abril","mayo","junio","julio","agosto","septiembre","octubre","noviembre","diciembre"},0)+1,0))</f>
        <v/>
      </c>
      <c r="E2576" t="str">
        <f>+IFERROR(VLOOKUP(Fact_Analitica[[#This Row], [Concepto Anterior]],Conceptos_Analítica_contraloría[#All],5,0),"")</f>
        <v/>
      </c>
      <c r="F2576" t="str">
        <f>+IFERROR(VLOOKUP(Fact_Analitica[[#This Row], [Concepto Anterior]],Conceptos_Analítica_contraloría[#All],7,0),"")</f>
        <v/>
      </c>
      <c r="I2576" t="str">
        <f>+IFERROR(VLOOKUP(D2576,Conceptos_Analítica_contraloría[#All],2,0),"")</f>
        <v/>
      </c>
      <c r="J2576" s="84" t="str">
        <f>+IFERROR(VLOOKUP(D2576,Conceptos_Analítica_contraloría[#All],3,0),"")</f>
        <v/>
      </c>
    </row>
    <row r="2577" spans="3:10" ht="18.75" customHeight="1" x14ac:dyDescent="0.35">
      <c r="C2577" s="100" t="str">
        <f>IF(OR(Fact_Analitica[[#This Row], [Año]]="",Fact_Analitica[[#This Row], [Mes]]=""),"",DATE(A2577,MATCH(B2577,{"enero","febrero","marzo","abril","mayo","junio","julio","agosto","septiembre","octubre","noviembre","diciembre"},0)+1,0))</f>
        <v/>
      </c>
      <c r="E2577" t="str">
        <f>+IFERROR(VLOOKUP(Fact_Analitica[[#This Row], [Concepto Anterior]],Conceptos_Analítica_contraloría[#All],5,0),"")</f>
        <v/>
      </c>
      <c r="F2577" t="str">
        <f>+IFERROR(VLOOKUP(Fact_Analitica[[#This Row], [Concepto Anterior]],Conceptos_Analítica_contraloría[#All],7,0),"")</f>
        <v/>
      </c>
      <c r="I2577" t="str">
        <f>+IFERROR(VLOOKUP(D2577,Conceptos_Analítica_contraloría[#All],2,0),"")</f>
        <v/>
      </c>
      <c r="J2577" s="84" t="str">
        <f>+IFERROR(VLOOKUP(D2577,Conceptos_Analítica_contraloría[#All],3,0),"")</f>
        <v/>
      </c>
    </row>
    <row r="2578" spans="3:10" ht="18.75" customHeight="1" x14ac:dyDescent="0.35">
      <c r="C2578" s="100" t="str">
        <f>IF(OR(Fact_Analitica[[#This Row], [Año]]="",Fact_Analitica[[#This Row], [Mes]]=""),"",DATE(A2578,MATCH(B2578,{"enero","febrero","marzo","abril","mayo","junio","julio","agosto","septiembre","octubre","noviembre","diciembre"},0)+1,0))</f>
        <v/>
      </c>
      <c r="E2578" t="str">
        <f>+IFERROR(VLOOKUP(Fact_Analitica[[#This Row], [Concepto Anterior]],Conceptos_Analítica_contraloría[#All],5,0),"")</f>
        <v/>
      </c>
      <c r="F2578" t="str">
        <f>+IFERROR(VLOOKUP(Fact_Analitica[[#This Row], [Concepto Anterior]],Conceptos_Analítica_contraloría[#All],7,0),"")</f>
        <v/>
      </c>
      <c r="I2578" t="str">
        <f>+IFERROR(VLOOKUP(D2578,Conceptos_Analítica_contraloría[#All],2,0),"")</f>
        <v/>
      </c>
      <c r="J2578" s="84" t="str">
        <f>+IFERROR(VLOOKUP(D2578,Conceptos_Analítica_contraloría[#All],3,0),"")</f>
        <v/>
      </c>
    </row>
    <row r="2579" spans="3:10" ht="18.75" customHeight="1" x14ac:dyDescent="0.35">
      <c r="C2579" s="100" t="str">
        <f>IF(OR(Fact_Analitica[[#This Row], [Año]]="",Fact_Analitica[[#This Row], [Mes]]=""),"",DATE(A2579,MATCH(B2579,{"enero","febrero","marzo","abril","mayo","junio","julio","agosto","septiembre","octubre","noviembre","diciembre"},0)+1,0))</f>
        <v/>
      </c>
      <c r="E2579" t="str">
        <f>+IFERROR(VLOOKUP(Fact_Analitica[[#This Row], [Concepto Anterior]],Conceptos_Analítica_contraloría[#All],5,0),"")</f>
        <v/>
      </c>
      <c r="F2579" t="str">
        <f>+IFERROR(VLOOKUP(Fact_Analitica[[#This Row], [Concepto Anterior]],Conceptos_Analítica_contraloría[#All],7,0),"")</f>
        <v/>
      </c>
      <c r="I2579" t="str">
        <f>+IFERROR(VLOOKUP(D2579,Conceptos_Analítica_contraloría[#All],2,0),"")</f>
        <v/>
      </c>
      <c r="J2579" s="84" t="str">
        <f>+IFERROR(VLOOKUP(D2579,Conceptos_Analítica_contraloría[#All],3,0),"")</f>
        <v/>
      </c>
    </row>
    <row r="2580" spans="3:10" ht="18.75" customHeight="1" x14ac:dyDescent="0.35">
      <c r="C2580" s="100" t="str">
        <f>IF(OR(Fact_Analitica[[#This Row], [Año]]="",Fact_Analitica[[#This Row], [Mes]]=""),"",DATE(A2580,MATCH(B2580,{"enero","febrero","marzo","abril","mayo","junio","julio","agosto","septiembre","octubre","noviembre","diciembre"},0)+1,0))</f>
        <v/>
      </c>
      <c r="E2580" t="str">
        <f>+IFERROR(VLOOKUP(Fact_Analitica[[#This Row], [Concepto Anterior]],Conceptos_Analítica_contraloría[#All],5,0),"")</f>
        <v/>
      </c>
      <c r="F2580" t="str">
        <f>+IFERROR(VLOOKUP(Fact_Analitica[[#This Row], [Concepto Anterior]],Conceptos_Analítica_contraloría[#All],7,0),"")</f>
        <v/>
      </c>
      <c r="I2580" t="str">
        <f>+IFERROR(VLOOKUP(D2580,Conceptos_Analítica_contraloría[#All],2,0),"")</f>
        <v/>
      </c>
      <c r="J2580" s="84" t="str">
        <f>+IFERROR(VLOOKUP(D2580,Conceptos_Analítica_contraloría[#All],3,0),"")</f>
        <v/>
      </c>
    </row>
    <row r="2581" spans="3:10" ht="18.75" customHeight="1" x14ac:dyDescent="0.35">
      <c r="C2581" s="100" t="str">
        <f>IF(OR(Fact_Analitica[[#This Row], [Año]]="",Fact_Analitica[[#This Row], [Mes]]=""),"",DATE(A2581,MATCH(B2581,{"enero","febrero","marzo","abril","mayo","junio","julio","agosto","septiembre","octubre","noviembre","diciembre"},0)+1,0))</f>
        <v/>
      </c>
      <c r="E2581" t="str">
        <f>+IFERROR(VLOOKUP(Fact_Analitica[[#This Row], [Concepto Anterior]],Conceptos_Analítica_contraloría[#All],5,0),"")</f>
        <v/>
      </c>
      <c r="F2581" t="str">
        <f>+IFERROR(VLOOKUP(Fact_Analitica[[#This Row], [Concepto Anterior]],Conceptos_Analítica_contraloría[#All],7,0),"")</f>
        <v/>
      </c>
      <c r="I2581" t="str">
        <f>+IFERROR(VLOOKUP(D2581,Conceptos_Analítica_contraloría[#All],2,0),"")</f>
        <v/>
      </c>
      <c r="J2581" s="84" t="str">
        <f>+IFERROR(VLOOKUP(D2581,Conceptos_Analítica_contraloría[#All],3,0),"")</f>
        <v/>
      </c>
    </row>
    <row r="2582" spans="3:10" ht="18.75" customHeight="1" x14ac:dyDescent="0.35">
      <c r="C2582" s="100" t="str">
        <f>IF(OR(Fact_Analitica[[#This Row], [Año]]="",Fact_Analitica[[#This Row], [Mes]]=""),"",DATE(A2582,MATCH(B2582,{"enero","febrero","marzo","abril","mayo","junio","julio","agosto","septiembre","octubre","noviembre","diciembre"},0)+1,0))</f>
        <v/>
      </c>
      <c r="E2582" t="str">
        <f>+IFERROR(VLOOKUP(Fact_Analitica[[#This Row], [Concepto Anterior]],Conceptos_Analítica_contraloría[#All],5,0),"")</f>
        <v/>
      </c>
      <c r="F2582" t="str">
        <f>+IFERROR(VLOOKUP(Fact_Analitica[[#This Row], [Concepto Anterior]],Conceptos_Analítica_contraloría[#All],7,0),"")</f>
        <v/>
      </c>
      <c r="I2582" t="str">
        <f>+IFERROR(VLOOKUP(D2582,Conceptos_Analítica_contraloría[#All],2,0),"")</f>
        <v/>
      </c>
      <c r="J2582" s="84" t="str">
        <f>+IFERROR(VLOOKUP(D2582,Conceptos_Analítica_contraloría[#All],3,0),"")</f>
        <v/>
      </c>
    </row>
    <row r="2583" spans="3:10" ht="18.75" customHeight="1" x14ac:dyDescent="0.35">
      <c r="C2583" s="100" t="str">
        <f>IF(OR(Fact_Analitica[[#This Row], [Año]]="",Fact_Analitica[[#This Row], [Mes]]=""),"",DATE(A2583,MATCH(B2583,{"enero","febrero","marzo","abril","mayo","junio","julio","agosto","septiembre","octubre","noviembre","diciembre"},0)+1,0))</f>
        <v/>
      </c>
      <c r="E2583" t="str">
        <f>+IFERROR(VLOOKUP(Fact_Analitica[[#This Row], [Concepto Anterior]],Conceptos_Analítica_contraloría[#All],5,0),"")</f>
        <v/>
      </c>
      <c r="F2583" t="str">
        <f>+IFERROR(VLOOKUP(Fact_Analitica[[#This Row], [Concepto Anterior]],Conceptos_Analítica_contraloría[#All],7,0),"")</f>
        <v/>
      </c>
      <c r="I2583" t="str">
        <f>+IFERROR(VLOOKUP(D2583,Conceptos_Analítica_contraloría[#All],2,0),"")</f>
        <v/>
      </c>
      <c r="J2583" s="84" t="str">
        <f>+IFERROR(VLOOKUP(D2583,Conceptos_Analítica_contraloría[#All],3,0),"")</f>
        <v/>
      </c>
    </row>
    <row r="2584" spans="3:10" ht="18.75" customHeight="1" x14ac:dyDescent="0.35">
      <c r="C2584" s="100" t="str">
        <f>IF(OR(Fact_Analitica[[#This Row], [Año]]="",Fact_Analitica[[#This Row], [Mes]]=""),"",DATE(A2584,MATCH(B2584,{"enero","febrero","marzo","abril","mayo","junio","julio","agosto","septiembre","octubre","noviembre","diciembre"},0)+1,0))</f>
        <v/>
      </c>
      <c r="E2584" t="str">
        <f>+IFERROR(VLOOKUP(Fact_Analitica[[#This Row], [Concepto Anterior]],Conceptos_Analítica_contraloría[#All],5,0),"")</f>
        <v/>
      </c>
      <c r="F2584" t="str">
        <f>+IFERROR(VLOOKUP(Fact_Analitica[[#This Row], [Concepto Anterior]],Conceptos_Analítica_contraloría[#All],7,0),"")</f>
        <v/>
      </c>
      <c r="I2584" t="str">
        <f>+IFERROR(VLOOKUP(D2584,Conceptos_Analítica_contraloría[#All],2,0),"")</f>
        <v/>
      </c>
      <c r="J2584" s="84" t="str">
        <f>+IFERROR(VLOOKUP(D2584,Conceptos_Analítica_contraloría[#All],3,0),"")</f>
        <v/>
      </c>
    </row>
    <row r="2585" spans="3:10" ht="18.75" customHeight="1" x14ac:dyDescent="0.35">
      <c r="C2585" s="100" t="str">
        <f>IF(OR(Fact_Analitica[[#This Row], [Año]]="",Fact_Analitica[[#This Row], [Mes]]=""),"",DATE(A2585,MATCH(B2585,{"enero","febrero","marzo","abril","mayo","junio","julio","agosto","septiembre","octubre","noviembre","diciembre"},0)+1,0))</f>
        <v/>
      </c>
      <c r="E2585" t="str">
        <f>+IFERROR(VLOOKUP(Fact_Analitica[[#This Row], [Concepto Anterior]],Conceptos_Analítica_contraloría[#All],5,0),"")</f>
        <v/>
      </c>
      <c r="F2585" t="str">
        <f>+IFERROR(VLOOKUP(Fact_Analitica[[#This Row], [Concepto Anterior]],Conceptos_Analítica_contraloría[#All],7,0),"")</f>
        <v/>
      </c>
      <c r="I2585" t="str">
        <f>+IFERROR(VLOOKUP(D2585,Conceptos_Analítica_contraloría[#All],2,0),"")</f>
        <v/>
      </c>
      <c r="J2585" s="84" t="str">
        <f>+IFERROR(VLOOKUP(D2585,Conceptos_Analítica_contraloría[#All],3,0),"")</f>
        <v/>
      </c>
    </row>
    <row r="2586" spans="3:10" ht="18.75" customHeight="1" x14ac:dyDescent="0.35">
      <c r="C2586" s="100" t="str">
        <f>IF(OR(Fact_Analitica[[#This Row], [Año]]="",Fact_Analitica[[#This Row], [Mes]]=""),"",DATE(A2586,MATCH(B2586,{"enero","febrero","marzo","abril","mayo","junio","julio","agosto","septiembre","octubre","noviembre","diciembre"},0)+1,0))</f>
        <v/>
      </c>
      <c r="E2586" t="str">
        <f>+IFERROR(VLOOKUP(Fact_Analitica[[#This Row], [Concepto Anterior]],Conceptos_Analítica_contraloría[#All],5,0),"")</f>
        <v/>
      </c>
      <c r="F2586" t="str">
        <f>+IFERROR(VLOOKUP(Fact_Analitica[[#This Row], [Concepto Anterior]],Conceptos_Analítica_contraloría[#All],7,0),"")</f>
        <v/>
      </c>
      <c r="I2586" t="str">
        <f>+IFERROR(VLOOKUP(D2586,Conceptos_Analítica_contraloría[#All],2,0),"")</f>
        <v/>
      </c>
      <c r="J2586" s="84" t="str">
        <f>+IFERROR(VLOOKUP(D2586,Conceptos_Analítica_contraloría[#All],3,0),"")</f>
        <v/>
      </c>
    </row>
    <row r="2587" spans="3:10" ht="18.75" customHeight="1" x14ac:dyDescent="0.35">
      <c r="C2587" s="100" t="str">
        <f>IF(OR(Fact_Analitica[[#This Row], [Año]]="",Fact_Analitica[[#This Row], [Mes]]=""),"",DATE(A2587,MATCH(B2587,{"enero","febrero","marzo","abril","mayo","junio","julio","agosto","septiembre","octubre","noviembre","diciembre"},0)+1,0))</f>
        <v/>
      </c>
      <c r="E2587" t="str">
        <f>+IFERROR(VLOOKUP(Fact_Analitica[[#This Row], [Concepto Anterior]],Conceptos_Analítica_contraloría[#All],5,0),"")</f>
        <v/>
      </c>
      <c r="F2587" t="str">
        <f>+IFERROR(VLOOKUP(Fact_Analitica[[#This Row], [Concepto Anterior]],Conceptos_Analítica_contraloría[#All],7,0),"")</f>
        <v/>
      </c>
      <c r="I2587" t="str">
        <f>+IFERROR(VLOOKUP(D2587,Conceptos_Analítica_contraloría[#All],2,0),"")</f>
        <v/>
      </c>
      <c r="J2587" s="84" t="str">
        <f>+IFERROR(VLOOKUP(D2587,Conceptos_Analítica_contraloría[#All],3,0),"")</f>
        <v/>
      </c>
    </row>
    <row r="2588" spans="3:10" ht="18.75" customHeight="1" x14ac:dyDescent="0.35">
      <c r="C2588" s="100" t="str">
        <f>IF(OR(Fact_Analitica[[#This Row], [Año]]="",Fact_Analitica[[#This Row], [Mes]]=""),"",DATE(A2588,MATCH(B2588,{"enero","febrero","marzo","abril","mayo","junio","julio","agosto","septiembre","octubre","noviembre","diciembre"},0)+1,0))</f>
        <v/>
      </c>
      <c r="E2588" t="str">
        <f>+IFERROR(VLOOKUP(Fact_Analitica[[#This Row], [Concepto Anterior]],Conceptos_Analítica_contraloría[#All],5,0),"")</f>
        <v/>
      </c>
      <c r="F2588" t="str">
        <f>+IFERROR(VLOOKUP(Fact_Analitica[[#This Row], [Concepto Anterior]],Conceptos_Analítica_contraloría[#All],7,0),"")</f>
        <v/>
      </c>
      <c r="I2588" t="str">
        <f>+IFERROR(VLOOKUP(D2588,Conceptos_Analítica_contraloría[#All],2,0),"")</f>
        <v/>
      </c>
      <c r="J2588" s="84" t="str">
        <f>+IFERROR(VLOOKUP(D2588,Conceptos_Analítica_contraloría[#All],3,0),"")</f>
        <v/>
      </c>
    </row>
    <row r="2589" spans="3:10" ht="18.75" customHeight="1" x14ac:dyDescent="0.35">
      <c r="C2589" s="100" t="str">
        <f>IF(OR(Fact_Analitica[[#This Row], [Año]]="",Fact_Analitica[[#This Row], [Mes]]=""),"",DATE(A2589,MATCH(B2589,{"enero","febrero","marzo","abril","mayo","junio","julio","agosto","septiembre","octubre","noviembre","diciembre"},0)+1,0))</f>
        <v/>
      </c>
      <c r="E2589" t="str">
        <f>+IFERROR(VLOOKUP(Fact_Analitica[[#This Row], [Concepto Anterior]],Conceptos_Analítica_contraloría[#All],5,0),"")</f>
        <v/>
      </c>
      <c r="F2589" t="str">
        <f>+IFERROR(VLOOKUP(Fact_Analitica[[#This Row], [Concepto Anterior]],Conceptos_Analítica_contraloría[#All],7,0),"")</f>
        <v/>
      </c>
      <c r="I2589" t="str">
        <f>+IFERROR(VLOOKUP(D2589,Conceptos_Analítica_contraloría[#All],2,0),"")</f>
        <v/>
      </c>
      <c r="J2589" s="84" t="str">
        <f>+IFERROR(VLOOKUP(D2589,Conceptos_Analítica_contraloría[#All],3,0),"")</f>
        <v/>
      </c>
    </row>
    <row r="2590" spans="3:10" ht="18.75" customHeight="1" x14ac:dyDescent="0.35">
      <c r="C2590" s="100" t="str">
        <f>IF(OR(Fact_Analitica[[#This Row], [Año]]="",Fact_Analitica[[#This Row], [Mes]]=""),"",DATE(A2590,MATCH(B2590,{"enero","febrero","marzo","abril","mayo","junio","julio","agosto","septiembre","octubre","noviembre","diciembre"},0)+1,0))</f>
        <v/>
      </c>
      <c r="E2590" t="str">
        <f>+IFERROR(VLOOKUP(Fact_Analitica[[#This Row], [Concepto Anterior]],Conceptos_Analítica_contraloría[#All],5,0),"")</f>
        <v/>
      </c>
      <c r="F2590" t="str">
        <f>+IFERROR(VLOOKUP(Fact_Analitica[[#This Row], [Concepto Anterior]],Conceptos_Analítica_contraloría[#All],7,0),"")</f>
        <v/>
      </c>
      <c r="I2590" t="str">
        <f>+IFERROR(VLOOKUP(D2590,Conceptos_Analítica_contraloría[#All],2,0),"")</f>
        <v/>
      </c>
      <c r="J2590" s="84" t="str">
        <f>+IFERROR(VLOOKUP(D2590,Conceptos_Analítica_contraloría[#All],3,0),"")</f>
        <v/>
      </c>
    </row>
    <row r="2591" spans="3:10" ht="18.75" customHeight="1" x14ac:dyDescent="0.35">
      <c r="C2591" s="100" t="str">
        <f>IF(OR(Fact_Analitica[[#This Row], [Año]]="",Fact_Analitica[[#This Row], [Mes]]=""),"",DATE(A2591,MATCH(B2591,{"enero","febrero","marzo","abril","mayo","junio","julio","agosto","septiembre","octubre","noviembre","diciembre"},0)+1,0))</f>
        <v/>
      </c>
      <c r="E2591" t="str">
        <f>+IFERROR(VLOOKUP(Fact_Analitica[[#This Row], [Concepto Anterior]],Conceptos_Analítica_contraloría[#All],5,0),"")</f>
        <v/>
      </c>
      <c r="F2591" t="str">
        <f>+IFERROR(VLOOKUP(Fact_Analitica[[#This Row], [Concepto Anterior]],Conceptos_Analítica_contraloría[#All],7,0),"")</f>
        <v/>
      </c>
      <c r="I2591" t="str">
        <f>+IFERROR(VLOOKUP(D2591,Conceptos_Analítica_contraloría[#All],2,0),"")</f>
        <v/>
      </c>
      <c r="J2591" s="84" t="str">
        <f>+IFERROR(VLOOKUP(D2591,Conceptos_Analítica_contraloría[#All],3,0),"")</f>
        <v/>
      </c>
    </row>
    <row r="2592" spans="3:10" ht="18.75" customHeight="1" x14ac:dyDescent="0.35">
      <c r="C2592" s="100" t="str">
        <f>IF(OR(Fact_Analitica[[#This Row], [Año]]="",Fact_Analitica[[#This Row], [Mes]]=""),"",DATE(A2592,MATCH(B2592,{"enero","febrero","marzo","abril","mayo","junio","julio","agosto","septiembre","octubre","noviembre","diciembre"},0)+1,0))</f>
        <v/>
      </c>
      <c r="E2592" t="str">
        <f>+IFERROR(VLOOKUP(Fact_Analitica[[#This Row], [Concepto Anterior]],Conceptos_Analítica_contraloría[#All],5,0),"")</f>
        <v/>
      </c>
      <c r="F2592" t="str">
        <f>+IFERROR(VLOOKUP(Fact_Analitica[[#This Row], [Concepto Anterior]],Conceptos_Analítica_contraloría[#All],7,0),"")</f>
        <v/>
      </c>
      <c r="I2592" t="str">
        <f>+IFERROR(VLOOKUP(D2592,Conceptos_Analítica_contraloría[#All],2,0),"")</f>
        <v/>
      </c>
      <c r="J2592" s="84" t="str">
        <f>+IFERROR(VLOOKUP(D2592,Conceptos_Analítica_contraloría[#All],3,0),"")</f>
        <v/>
      </c>
    </row>
    <row r="2593" spans="3:10" ht="18.75" customHeight="1" x14ac:dyDescent="0.35">
      <c r="C2593" s="100" t="str">
        <f>IF(OR(Fact_Analitica[[#This Row], [Año]]="",Fact_Analitica[[#This Row], [Mes]]=""),"",DATE(A2593,MATCH(B2593,{"enero","febrero","marzo","abril","mayo","junio","julio","agosto","septiembre","octubre","noviembre","diciembre"},0)+1,0))</f>
        <v/>
      </c>
      <c r="E2593" t="str">
        <f>+IFERROR(VLOOKUP(Fact_Analitica[[#This Row], [Concepto Anterior]],Conceptos_Analítica_contraloría[#All],5,0),"")</f>
        <v/>
      </c>
      <c r="F2593" t="str">
        <f>+IFERROR(VLOOKUP(Fact_Analitica[[#This Row], [Concepto Anterior]],Conceptos_Analítica_contraloría[#All],7,0),"")</f>
        <v/>
      </c>
      <c r="I2593" t="str">
        <f>+IFERROR(VLOOKUP(D2593,Conceptos_Analítica_contraloría[#All],2,0),"")</f>
        <v/>
      </c>
      <c r="J2593" s="84" t="str">
        <f>+IFERROR(VLOOKUP(D2593,Conceptos_Analítica_contraloría[#All],3,0),"")</f>
        <v/>
      </c>
    </row>
    <row r="2594" spans="3:10" ht="18.75" customHeight="1" x14ac:dyDescent="0.35">
      <c r="C2594" s="100" t="str">
        <f>IF(OR(Fact_Analitica[[#This Row], [Año]]="",Fact_Analitica[[#This Row], [Mes]]=""),"",DATE(A2594,MATCH(B2594,{"enero","febrero","marzo","abril","mayo","junio","julio","agosto","septiembre","octubre","noviembre","diciembre"},0)+1,0))</f>
        <v/>
      </c>
      <c r="E2594" t="str">
        <f>+IFERROR(VLOOKUP(Fact_Analitica[[#This Row], [Concepto Anterior]],Conceptos_Analítica_contraloría[#All],5,0),"")</f>
        <v/>
      </c>
      <c r="F2594" t="str">
        <f>+IFERROR(VLOOKUP(Fact_Analitica[[#This Row], [Concepto Anterior]],Conceptos_Analítica_contraloría[#All],7,0),"")</f>
        <v/>
      </c>
      <c r="I2594" t="str">
        <f>+IFERROR(VLOOKUP(D2594,Conceptos_Analítica_contraloría[#All],2,0),"")</f>
        <v/>
      </c>
      <c r="J2594" s="84" t="str">
        <f>+IFERROR(VLOOKUP(D2594,Conceptos_Analítica_contraloría[#All],3,0),"")</f>
        <v/>
      </c>
    </row>
    <row r="2595" spans="3:10" ht="18.75" customHeight="1" x14ac:dyDescent="0.35">
      <c r="C2595" s="100" t="str">
        <f>IF(OR(Fact_Analitica[[#This Row], [Año]]="",Fact_Analitica[[#This Row], [Mes]]=""),"",DATE(A2595,MATCH(B2595,{"enero","febrero","marzo","abril","mayo","junio","julio","agosto","septiembre","octubre","noviembre","diciembre"},0)+1,0))</f>
        <v/>
      </c>
      <c r="E2595" t="str">
        <f>+IFERROR(VLOOKUP(Fact_Analitica[[#This Row], [Concepto Anterior]],Conceptos_Analítica_contraloría[#All],5,0),"")</f>
        <v/>
      </c>
      <c r="F2595" t="str">
        <f>+IFERROR(VLOOKUP(Fact_Analitica[[#This Row], [Concepto Anterior]],Conceptos_Analítica_contraloría[#All],7,0),"")</f>
        <v/>
      </c>
      <c r="I2595" t="str">
        <f>+IFERROR(VLOOKUP(D2595,Conceptos_Analítica_contraloría[#All],2,0),"")</f>
        <v/>
      </c>
      <c r="J2595" s="84" t="str">
        <f>+IFERROR(VLOOKUP(D2595,Conceptos_Analítica_contraloría[#All],3,0),"")</f>
        <v/>
      </c>
    </row>
    <row r="2596" spans="3:10" ht="18.75" customHeight="1" x14ac:dyDescent="0.35">
      <c r="C2596" s="100" t="str">
        <f>IF(OR(Fact_Analitica[[#This Row], [Año]]="",Fact_Analitica[[#This Row], [Mes]]=""),"",DATE(A2596,MATCH(B2596,{"enero","febrero","marzo","abril","mayo","junio","julio","agosto","septiembre","octubre","noviembre","diciembre"},0)+1,0))</f>
        <v/>
      </c>
      <c r="E2596" t="str">
        <f>+IFERROR(VLOOKUP(Fact_Analitica[[#This Row], [Concepto Anterior]],Conceptos_Analítica_contraloría[#All],5,0),"")</f>
        <v/>
      </c>
      <c r="F2596" t="str">
        <f>+IFERROR(VLOOKUP(Fact_Analitica[[#This Row], [Concepto Anterior]],Conceptos_Analítica_contraloría[#All],7,0),"")</f>
        <v/>
      </c>
      <c r="I2596" t="str">
        <f>+IFERROR(VLOOKUP(D2596,Conceptos_Analítica_contraloría[#All],2,0),"")</f>
        <v/>
      </c>
      <c r="J2596" s="84" t="str">
        <f>+IFERROR(VLOOKUP(D2596,Conceptos_Analítica_contraloría[#All],3,0),"")</f>
        <v/>
      </c>
    </row>
    <row r="2597" spans="3:10" ht="18.75" customHeight="1" x14ac:dyDescent="0.35">
      <c r="C2597" s="100" t="str">
        <f>IF(OR(Fact_Analitica[[#This Row], [Año]]="",Fact_Analitica[[#This Row], [Mes]]=""),"",DATE(A2597,MATCH(B2597,{"enero","febrero","marzo","abril","mayo","junio","julio","agosto","septiembre","octubre","noviembre","diciembre"},0)+1,0))</f>
        <v/>
      </c>
      <c r="E2597" t="str">
        <f>+IFERROR(VLOOKUP(Fact_Analitica[[#This Row], [Concepto Anterior]],Conceptos_Analítica_contraloría[#All],5,0),"")</f>
        <v/>
      </c>
      <c r="F2597" t="str">
        <f>+IFERROR(VLOOKUP(Fact_Analitica[[#This Row], [Concepto Anterior]],Conceptos_Analítica_contraloría[#All],7,0),"")</f>
        <v/>
      </c>
      <c r="I2597" t="str">
        <f>+IFERROR(VLOOKUP(D2597,Conceptos_Analítica_contraloría[#All],2,0),"")</f>
        <v/>
      </c>
      <c r="J2597" s="84" t="str">
        <f>+IFERROR(VLOOKUP(D2597,Conceptos_Analítica_contraloría[#All],3,0),"")</f>
        <v/>
      </c>
    </row>
    <row r="2598" spans="3:10" ht="18.75" customHeight="1" x14ac:dyDescent="0.35">
      <c r="C2598" s="100" t="str">
        <f>IF(OR(Fact_Analitica[[#This Row], [Año]]="",Fact_Analitica[[#This Row], [Mes]]=""),"",DATE(A2598,MATCH(B2598,{"enero","febrero","marzo","abril","mayo","junio","julio","agosto","septiembre","octubre","noviembre","diciembre"},0)+1,0))</f>
        <v/>
      </c>
      <c r="E2598" t="str">
        <f>+IFERROR(VLOOKUP(Fact_Analitica[[#This Row], [Concepto Anterior]],Conceptos_Analítica_contraloría[#All],5,0),"")</f>
        <v/>
      </c>
      <c r="F2598" t="str">
        <f>+IFERROR(VLOOKUP(Fact_Analitica[[#This Row], [Concepto Anterior]],Conceptos_Analítica_contraloría[#All],7,0),"")</f>
        <v/>
      </c>
      <c r="I2598" t="str">
        <f>+IFERROR(VLOOKUP(D2598,Conceptos_Analítica_contraloría[#All],2,0),"")</f>
        <v/>
      </c>
      <c r="J2598" s="84" t="str">
        <f>+IFERROR(VLOOKUP(D2598,Conceptos_Analítica_contraloría[#All],3,0),"")</f>
        <v/>
      </c>
    </row>
    <row r="2599" spans="3:10" ht="18.75" customHeight="1" x14ac:dyDescent="0.35">
      <c r="C2599" s="100" t="str">
        <f>IF(OR(Fact_Analitica[[#This Row], [Año]]="",Fact_Analitica[[#This Row], [Mes]]=""),"",DATE(A2599,MATCH(B2599,{"enero","febrero","marzo","abril","mayo","junio","julio","agosto","septiembre","octubre","noviembre","diciembre"},0)+1,0))</f>
        <v/>
      </c>
      <c r="E2599" t="str">
        <f>+IFERROR(VLOOKUP(Fact_Analitica[[#This Row], [Concepto Anterior]],Conceptos_Analítica_contraloría[#All],5,0),"")</f>
        <v/>
      </c>
      <c r="F2599" t="str">
        <f>+IFERROR(VLOOKUP(Fact_Analitica[[#This Row], [Concepto Anterior]],Conceptos_Analítica_contraloría[#All],7,0),"")</f>
        <v/>
      </c>
      <c r="I2599" t="str">
        <f>+IFERROR(VLOOKUP(D2599,Conceptos_Analítica_contraloría[#All],2,0),"")</f>
        <v/>
      </c>
      <c r="J2599" s="84" t="str">
        <f>+IFERROR(VLOOKUP(D2599,Conceptos_Analítica_contraloría[#All],3,0),"")</f>
        <v/>
      </c>
    </row>
    <row r="2600" spans="3:10" ht="18.75" customHeight="1" x14ac:dyDescent="0.35">
      <c r="C2600" s="100" t="str">
        <f>IF(OR(Fact_Analitica[[#This Row], [Año]]="",Fact_Analitica[[#This Row], [Mes]]=""),"",DATE(A2600,MATCH(B2600,{"enero","febrero","marzo","abril","mayo","junio","julio","agosto","septiembre","octubre","noviembre","diciembre"},0)+1,0))</f>
        <v/>
      </c>
      <c r="E2600" t="str">
        <f>+IFERROR(VLOOKUP(Fact_Analitica[[#This Row], [Concepto Anterior]],Conceptos_Analítica_contraloría[#All],5,0),"")</f>
        <v/>
      </c>
      <c r="F2600" t="str">
        <f>+IFERROR(VLOOKUP(Fact_Analitica[[#This Row], [Concepto Anterior]],Conceptos_Analítica_contraloría[#All],7,0),"")</f>
        <v/>
      </c>
      <c r="I2600" t="str">
        <f>+IFERROR(VLOOKUP(D2600,Conceptos_Analítica_contraloría[#All],2,0),"")</f>
        <v/>
      </c>
      <c r="J2600" s="84" t="str">
        <f>+IFERROR(VLOOKUP(D2600,Conceptos_Analítica_contraloría[#All],3,0),"")</f>
        <v/>
      </c>
    </row>
    <row r="2601" spans="3:10" ht="18.75" customHeight="1" x14ac:dyDescent="0.35">
      <c r="C2601" s="100" t="str">
        <f>IF(OR(Fact_Analitica[[#This Row], [Año]]="",Fact_Analitica[[#This Row], [Mes]]=""),"",DATE(A2601,MATCH(B2601,{"enero","febrero","marzo","abril","mayo","junio","julio","agosto","septiembre","octubre","noviembre","diciembre"},0)+1,0))</f>
        <v/>
      </c>
      <c r="E2601" t="str">
        <f>+IFERROR(VLOOKUP(Fact_Analitica[[#This Row], [Concepto Anterior]],Conceptos_Analítica_contraloría[#All],5,0),"")</f>
        <v/>
      </c>
      <c r="F2601" t="str">
        <f>+IFERROR(VLOOKUP(Fact_Analitica[[#This Row], [Concepto Anterior]],Conceptos_Analítica_contraloría[#All],7,0),"")</f>
        <v/>
      </c>
      <c r="I2601" t="str">
        <f>+IFERROR(VLOOKUP(D2601,Conceptos_Analítica_contraloría[#All],2,0),"")</f>
        <v/>
      </c>
      <c r="J2601" s="84" t="str">
        <f>+IFERROR(VLOOKUP(D2601,Conceptos_Analítica_contraloría[#All],3,0),"")</f>
        <v/>
      </c>
    </row>
    <row r="2602" spans="3:10" ht="18.75" customHeight="1" x14ac:dyDescent="0.35">
      <c r="C2602" s="100" t="str">
        <f>IF(OR(Fact_Analitica[[#This Row], [Año]]="",Fact_Analitica[[#This Row], [Mes]]=""),"",DATE(A2602,MATCH(B2602,{"enero","febrero","marzo","abril","mayo","junio","julio","agosto","septiembre","octubre","noviembre","diciembre"},0)+1,0))</f>
        <v/>
      </c>
      <c r="E2602" t="str">
        <f>+IFERROR(VLOOKUP(Fact_Analitica[[#This Row], [Concepto Anterior]],Conceptos_Analítica_contraloría[#All],5,0),"")</f>
        <v/>
      </c>
      <c r="F2602" t="str">
        <f>+IFERROR(VLOOKUP(Fact_Analitica[[#This Row], [Concepto Anterior]],Conceptos_Analítica_contraloría[#All],7,0),"")</f>
        <v/>
      </c>
      <c r="I2602" t="str">
        <f>+IFERROR(VLOOKUP(D2602,Conceptos_Analítica_contraloría[#All],2,0),"")</f>
        <v/>
      </c>
      <c r="J2602" s="84" t="str">
        <f>+IFERROR(VLOOKUP(D2602,Conceptos_Analítica_contraloría[#All],3,0),"")</f>
        <v/>
      </c>
    </row>
    <row r="2603" spans="3:10" ht="18.75" customHeight="1" x14ac:dyDescent="0.35">
      <c r="C2603" s="100" t="str">
        <f>IF(OR(Fact_Analitica[[#This Row], [Año]]="",Fact_Analitica[[#This Row], [Mes]]=""),"",DATE(A2603,MATCH(B2603,{"enero","febrero","marzo","abril","mayo","junio","julio","agosto","septiembre","octubre","noviembre","diciembre"},0)+1,0))</f>
        <v/>
      </c>
      <c r="E2603" t="str">
        <f>+IFERROR(VLOOKUP(Fact_Analitica[[#This Row], [Concepto Anterior]],Conceptos_Analítica_contraloría[#All],5,0),"")</f>
        <v/>
      </c>
      <c r="F2603" t="str">
        <f>+IFERROR(VLOOKUP(Fact_Analitica[[#This Row], [Concepto Anterior]],Conceptos_Analítica_contraloría[#All],7,0),"")</f>
        <v/>
      </c>
      <c r="I2603" t="str">
        <f>+IFERROR(VLOOKUP(D2603,Conceptos_Analítica_contraloría[#All],2,0),"")</f>
        <v/>
      </c>
      <c r="J2603" s="84" t="str">
        <f>+IFERROR(VLOOKUP(D2603,Conceptos_Analítica_contraloría[#All],3,0),"")</f>
        <v/>
      </c>
    </row>
    <row r="2604" spans="3:10" ht="18.75" customHeight="1" x14ac:dyDescent="0.35">
      <c r="C2604" s="100" t="str">
        <f>IF(OR(Fact_Analitica[[#This Row], [Año]]="",Fact_Analitica[[#This Row], [Mes]]=""),"",DATE(A2604,MATCH(B2604,{"enero","febrero","marzo","abril","mayo","junio","julio","agosto","septiembre","octubre","noviembre","diciembre"},0)+1,0))</f>
        <v/>
      </c>
      <c r="E2604" t="str">
        <f>+IFERROR(VLOOKUP(Fact_Analitica[[#This Row], [Concepto Anterior]],Conceptos_Analítica_contraloría[#All],5,0),"")</f>
        <v/>
      </c>
      <c r="F2604" t="str">
        <f>+IFERROR(VLOOKUP(Fact_Analitica[[#This Row], [Concepto Anterior]],Conceptos_Analítica_contraloría[#All],7,0),"")</f>
        <v/>
      </c>
      <c r="I2604" t="str">
        <f>+IFERROR(VLOOKUP(D2604,Conceptos_Analítica_contraloría[#All],2,0),"")</f>
        <v/>
      </c>
      <c r="J2604" s="84" t="str">
        <f>+IFERROR(VLOOKUP(D2604,Conceptos_Analítica_contraloría[#All],3,0),"")</f>
        <v/>
      </c>
    </row>
    <row r="2605" spans="3:10" ht="18.75" customHeight="1" x14ac:dyDescent="0.35">
      <c r="C2605" s="100" t="str">
        <f>IF(OR(Fact_Analitica[[#This Row], [Año]]="",Fact_Analitica[[#This Row], [Mes]]=""),"",DATE(A2605,MATCH(B2605,{"enero","febrero","marzo","abril","mayo","junio","julio","agosto","septiembre","octubre","noviembre","diciembre"},0)+1,0))</f>
        <v/>
      </c>
      <c r="E2605" t="str">
        <f>+IFERROR(VLOOKUP(Fact_Analitica[[#This Row], [Concepto Anterior]],Conceptos_Analítica_contraloría[#All],5,0),"")</f>
        <v/>
      </c>
      <c r="F2605" t="str">
        <f>+IFERROR(VLOOKUP(Fact_Analitica[[#This Row], [Concepto Anterior]],Conceptos_Analítica_contraloría[#All],7,0),"")</f>
        <v/>
      </c>
      <c r="I2605" t="str">
        <f>+IFERROR(VLOOKUP(D2605,Conceptos_Analítica_contraloría[#All],2,0),"")</f>
        <v/>
      </c>
      <c r="J2605" s="84" t="str">
        <f>+IFERROR(VLOOKUP(D2605,Conceptos_Analítica_contraloría[#All],3,0),"")</f>
        <v/>
      </c>
    </row>
    <row r="2606" spans="3:10" ht="18.75" customHeight="1" x14ac:dyDescent="0.35">
      <c r="C2606" s="100" t="str">
        <f>IF(OR(Fact_Analitica[[#This Row], [Año]]="",Fact_Analitica[[#This Row], [Mes]]=""),"",DATE(A2606,MATCH(B2606,{"enero","febrero","marzo","abril","mayo","junio","julio","agosto","septiembre","octubre","noviembre","diciembre"},0)+1,0))</f>
        <v/>
      </c>
      <c r="E2606" t="str">
        <f>+IFERROR(VLOOKUP(Fact_Analitica[[#This Row], [Concepto Anterior]],Conceptos_Analítica_contraloría[#All],5,0),"")</f>
        <v/>
      </c>
      <c r="F2606" t="str">
        <f>+IFERROR(VLOOKUP(Fact_Analitica[[#This Row], [Concepto Anterior]],Conceptos_Analítica_contraloría[#All],7,0),"")</f>
        <v/>
      </c>
      <c r="I2606" t="str">
        <f>+IFERROR(VLOOKUP(D2606,Conceptos_Analítica_contraloría[#All],2,0),"")</f>
        <v/>
      </c>
      <c r="J2606" s="84" t="str">
        <f>+IFERROR(VLOOKUP(D2606,Conceptos_Analítica_contraloría[#All],3,0),"")</f>
        <v/>
      </c>
    </row>
    <row r="2607" spans="3:10" ht="18.75" customHeight="1" x14ac:dyDescent="0.35">
      <c r="C2607" s="100" t="str">
        <f>IF(OR(Fact_Analitica[[#This Row], [Año]]="",Fact_Analitica[[#This Row], [Mes]]=""),"",DATE(A2607,MATCH(B2607,{"enero","febrero","marzo","abril","mayo","junio","julio","agosto","septiembre","octubre","noviembre","diciembre"},0)+1,0))</f>
        <v/>
      </c>
      <c r="E2607" t="str">
        <f>+IFERROR(VLOOKUP(Fact_Analitica[[#This Row], [Concepto Anterior]],Conceptos_Analítica_contraloría[#All],5,0),"")</f>
        <v/>
      </c>
      <c r="F2607" t="str">
        <f>+IFERROR(VLOOKUP(Fact_Analitica[[#This Row], [Concepto Anterior]],Conceptos_Analítica_contraloría[#All],7,0),"")</f>
        <v/>
      </c>
      <c r="I2607" t="str">
        <f>+IFERROR(VLOOKUP(D2607,Conceptos_Analítica_contraloría[#All],2,0),"")</f>
        <v/>
      </c>
      <c r="J2607" s="84" t="str">
        <f>+IFERROR(VLOOKUP(D2607,Conceptos_Analítica_contraloría[#All],3,0),"")</f>
        <v/>
      </c>
    </row>
    <row r="2608" spans="3:10" ht="18.75" customHeight="1" x14ac:dyDescent="0.35">
      <c r="C2608" s="100" t="str">
        <f>IF(OR(Fact_Analitica[[#This Row], [Año]]="",Fact_Analitica[[#This Row], [Mes]]=""),"",DATE(A2608,MATCH(B2608,{"enero","febrero","marzo","abril","mayo","junio","julio","agosto","septiembre","octubre","noviembre","diciembre"},0)+1,0))</f>
        <v/>
      </c>
      <c r="E2608" t="str">
        <f>+IFERROR(VLOOKUP(Fact_Analitica[[#This Row], [Concepto Anterior]],Conceptos_Analítica_contraloría[#All],5,0),"")</f>
        <v/>
      </c>
      <c r="F2608" t="str">
        <f>+IFERROR(VLOOKUP(Fact_Analitica[[#This Row], [Concepto Anterior]],Conceptos_Analítica_contraloría[#All],7,0),"")</f>
        <v/>
      </c>
      <c r="I2608" t="str">
        <f>+IFERROR(VLOOKUP(D2608,Conceptos_Analítica_contraloría[#All],2,0),"")</f>
        <v/>
      </c>
      <c r="J2608" s="84" t="str">
        <f>+IFERROR(VLOOKUP(D2608,Conceptos_Analítica_contraloría[#All],3,0),"")</f>
        <v/>
      </c>
    </row>
    <row r="2609" spans="3:10" ht="18.75" customHeight="1" x14ac:dyDescent="0.35">
      <c r="C2609" s="100" t="str">
        <f>IF(OR(Fact_Analitica[[#This Row], [Año]]="",Fact_Analitica[[#This Row], [Mes]]=""),"",DATE(A2609,MATCH(B2609,{"enero","febrero","marzo","abril","mayo","junio","julio","agosto","septiembre","octubre","noviembre","diciembre"},0)+1,0))</f>
        <v/>
      </c>
      <c r="E2609" t="str">
        <f>+IFERROR(VLOOKUP(Fact_Analitica[[#This Row], [Concepto Anterior]],Conceptos_Analítica_contraloría[#All],5,0),"")</f>
        <v/>
      </c>
      <c r="F2609" t="str">
        <f>+IFERROR(VLOOKUP(Fact_Analitica[[#This Row], [Concepto Anterior]],Conceptos_Analítica_contraloría[#All],7,0),"")</f>
        <v/>
      </c>
      <c r="I2609" t="str">
        <f>+IFERROR(VLOOKUP(D2609,Conceptos_Analítica_contraloría[#All],2,0),"")</f>
        <v/>
      </c>
      <c r="J2609" s="84" t="str">
        <f>+IFERROR(VLOOKUP(D2609,Conceptos_Analítica_contraloría[#All],3,0),"")</f>
        <v/>
      </c>
    </row>
    <row r="2610" spans="3:10" ht="18.75" customHeight="1" x14ac:dyDescent="0.35">
      <c r="C2610" s="100" t="str">
        <f>IF(OR(Fact_Analitica[[#This Row], [Año]]="",Fact_Analitica[[#This Row], [Mes]]=""),"",DATE(A2610,MATCH(B2610,{"enero","febrero","marzo","abril","mayo","junio","julio","agosto","septiembre","octubre","noviembre","diciembre"},0)+1,0))</f>
        <v/>
      </c>
      <c r="E2610" t="str">
        <f>+IFERROR(VLOOKUP(Fact_Analitica[[#This Row], [Concepto Anterior]],Conceptos_Analítica_contraloría[#All],5,0),"")</f>
        <v/>
      </c>
      <c r="F2610" t="str">
        <f>+IFERROR(VLOOKUP(Fact_Analitica[[#This Row], [Concepto Anterior]],Conceptos_Analítica_contraloría[#All],7,0),"")</f>
        <v/>
      </c>
      <c r="I2610" t="str">
        <f>+IFERROR(VLOOKUP(D2610,Conceptos_Analítica_contraloría[#All],2,0),"")</f>
        <v/>
      </c>
      <c r="J2610" s="84" t="str">
        <f>+IFERROR(VLOOKUP(D2610,Conceptos_Analítica_contraloría[#All],3,0),"")</f>
        <v/>
      </c>
    </row>
    <row r="2611" spans="3:10" ht="18.75" customHeight="1" x14ac:dyDescent="0.35">
      <c r="C2611" s="100" t="str">
        <f>IF(OR(Fact_Analitica[[#This Row], [Año]]="",Fact_Analitica[[#This Row], [Mes]]=""),"",DATE(A2611,MATCH(B2611,{"enero","febrero","marzo","abril","mayo","junio","julio","agosto","septiembre","octubre","noviembre","diciembre"},0)+1,0))</f>
        <v/>
      </c>
      <c r="E2611" t="str">
        <f>+IFERROR(VLOOKUP(Fact_Analitica[[#This Row], [Concepto Anterior]],Conceptos_Analítica_contraloría[#All],5,0),"")</f>
        <v/>
      </c>
      <c r="F2611" t="str">
        <f>+IFERROR(VLOOKUP(Fact_Analitica[[#This Row], [Concepto Anterior]],Conceptos_Analítica_contraloría[#All],7,0),"")</f>
        <v/>
      </c>
      <c r="I2611" t="str">
        <f>+IFERROR(VLOOKUP(D2611,Conceptos_Analítica_contraloría[#All],2,0),"")</f>
        <v/>
      </c>
      <c r="J2611" s="84" t="str">
        <f>+IFERROR(VLOOKUP(D2611,Conceptos_Analítica_contraloría[#All],3,0),"")</f>
        <v/>
      </c>
    </row>
    <row r="2612" spans="3:10" ht="18.75" customHeight="1" x14ac:dyDescent="0.35">
      <c r="C2612" s="100" t="str">
        <f>IF(OR(Fact_Analitica[[#This Row], [Año]]="",Fact_Analitica[[#This Row], [Mes]]=""),"",DATE(A2612,MATCH(B2612,{"enero","febrero","marzo","abril","mayo","junio","julio","agosto","septiembre","octubre","noviembre","diciembre"},0)+1,0))</f>
        <v/>
      </c>
      <c r="E2612" t="str">
        <f>+IFERROR(VLOOKUP(Fact_Analitica[[#This Row], [Concepto Anterior]],Conceptos_Analítica_contraloría[#All],5,0),"")</f>
        <v/>
      </c>
      <c r="F2612" t="str">
        <f>+IFERROR(VLOOKUP(Fact_Analitica[[#This Row], [Concepto Anterior]],Conceptos_Analítica_contraloría[#All],7,0),"")</f>
        <v/>
      </c>
      <c r="I2612" t="str">
        <f>+IFERROR(VLOOKUP(D2612,Conceptos_Analítica_contraloría[#All],2,0),"")</f>
        <v/>
      </c>
      <c r="J2612" s="84" t="str">
        <f>+IFERROR(VLOOKUP(D2612,Conceptos_Analítica_contraloría[#All],3,0),"")</f>
        <v/>
      </c>
    </row>
    <row r="2613" spans="3:10" ht="18.75" customHeight="1" x14ac:dyDescent="0.35">
      <c r="C2613" s="100" t="str">
        <f>IF(OR(Fact_Analitica[[#This Row], [Año]]="",Fact_Analitica[[#This Row], [Mes]]=""),"",DATE(A2613,MATCH(B2613,{"enero","febrero","marzo","abril","mayo","junio","julio","agosto","septiembre","octubre","noviembre","diciembre"},0)+1,0))</f>
        <v/>
      </c>
      <c r="E2613" t="str">
        <f>+IFERROR(VLOOKUP(Fact_Analitica[[#This Row], [Concepto Anterior]],Conceptos_Analítica_contraloría[#All],5,0),"")</f>
        <v/>
      </c>
      <c r="F2613" t="str">
        <f>+IFERROR(VLOOKUP(Fact_Analitica[[#This Row], [Concepto Anterior]],Conceptos_Analítica_contraloría[#All],7,0),"")</f>
        <v/>
      </c>
      <c r="I2613" t="str">
        <f>+IFERROR(VLOOKUP(D2613,Conceptos_Analítica_contraloría[#All],2,0),"")</f>
        <v/>
      </c>
      <c r="J2613" s="84" t="str">
        <f>+IFERROR(VLOOKUP(D2613,Conceptos_Analítica_contraloría[#All],3,0),"")</f>
        <v/>
      </c>
    </row>
    <row r="2614" spans="3:10" ht="18.75" customHeight="1" x14ac:dyDescent="0.35">
      <c r="C2614" s="100" t="str">
        <f>IF(OR(Fact_Analitica[[#This Row], [Año]]="",Fact_Analitica[[#This Row], [Mes]]=""),"",DATE(A2614,MATCH(B2614,{"enero","febrero","marzo","abril","mayo","junio","julio","agosto","septiembre","octubre","noviembre","diciembre"},0)+1,0))</f>
        <v/>
      </c>
      <c r="E2614" t="str">
        <f>+IFERROR(VLOOKUP(Fact_Analitica[[#This Row], [Concepto Anterior]],Conceptos_Analítica_contraloría[#All],5,0),"")</f>
        <v/>
      </c>
      <c r="F2614" t="str">
        <f>+IFERROR(VLOOKUP(Fact_Analitica[[#This Row], [Concepto Anterior]],Conceptos_Analítica_contraloría[#All],7,0),"")</f>
        <v/>
      </c>
      <c r="I2614" t="str">
        <f>+IFERROR(VLOOKUP(D2614,Conceptos_Analítica_contraloría[#All],2,0),"")</f>
        <v/>
      </c>
      <c r="J2614" s="84" t="str">
        <f>+IFERROR(VLOOKUP(D2614,Conceptos_Analítica_contraloría[#All],3,0),"")</f>
        <v/>
      </c>
    </row>
    <row r="2615" spans="3:10" ht="18.75" customHeight="1" x14ac:dyDescent="0.35">
      <c r="C2615" s="100" t="str">
        <f>IF(OR(Fact_Analitica[[#This Row], [Año]]="",Fact_Analitica[[#This Row], [Mes]]=""),"",DATE(A2615,MATCH(B2615,{"enero","febrero","marzo","abril","mayo","junio","julio","agosto","septiembre","octubre","noviembre","diciembre"},0)+1,0))</f>
        <v/>
      </c>
      <c r="E2615" t="str">
        <f>+IFERROR(VLOOKUP(Fact_Analitica[[#This Row], [Concepto Anterior]],Conceptos_Analítica_contraloría[#All],5,0),"")</f>
        <v/>
      </c>
      <c r="F2615" t="str">
        <f>+IFERROR(VLOOKUP(Fact_Analitica[[#This Row], [Concepto Anterior]],Conceptos_Analítica_contraloría[#All],7,0),"")</f>
        <v/>
      </c>
      <c r="I2615" t="str">
        <f>+IFERROR(VLOOKUP(D2615,Conceptos_Analítica_contraloría[#All],2,0),"")</f>
        <v/>
      </c>
      <c r="J2615" s="84" t="str">
        <f>+IFERROR(VLOOKUP(D2615,Conceptos_Analítica_contraloría[#All],3,0),"")</f>
        <v/>
      </c>
    </row>
    <row r="2616" spans="3:10" ht="18.75" customHeight="1" x14ac:dyDescent="0.35">
      <c r="C2616" s="100" t="str">
        <f>IF(OR(Fact_Analitica[[#This Row], [Año]]="",Fact_Analitica[[#This Row], [Mes]]=""),"",DATE(A2616,MATCH(B2616,{"enero","febrero","marzo","abril","mayo","junio","julio","agosto","septiembre","octubre","noviembre","diciembre"},0)+1,0))</f>
        <v/>
      </c>
      <c r="E2616" t="str">
        <f>+IFERROR(VLOOKUP(Fact_Analitica[[#This Row], [Concepto Anterior]],Conceptos_Analítica_contraloría[#All],5,0),"")</f>
        <v/>
      </c>
      <c r="F2616" t="str">
        <f>+IFERROR(VLOOKUP(Fact_Analitica[[#This Row], [Concepto Anterior]],Conceptos_Analítica_contraloría[#All],7,0),"")</f>
        <v/>
      </c>
      <c r="I2616" t="str">
        <f>+IFERROR(VLOOKUP(D2616,Conceptos_Analítica_contraloría[#All],2,0),"")</f>
        <v/>
      </c>
      <c r="J2616" s="84" t="str">
        <f>+IFERROR(VLOOKUP(D2616,Conceptos_Analítica_contraloría[#All],3,0),"")</f>
        <v/>
      </c>
    </row>
    <row r="2617" spans="3:10" ht="18.75" customHeight="1" x14ac:dyDescent="0.35">
      <c r="C2617" s="100" t="str">
        <f>IF(OR(Fact_Analitica[[#This Row], [Año]]="",Fact_Analitica[[#This Row], [Mes]]=""),"",DATE(A2617,MATCH(B2617,{"enero","febrero","marzo","abril","mayo","junio","julio","agosto","septiembre","octubre","noviembre","diciembre"},0)+1,0))</f>
        <v/>
      </c>
      <c r="E2617" t="str">
        <f>+IFERROR(VLOOKUP(Fact_Analitica[[#This Row], [Concepto Anterior]],Conceptos_Analítica_contraloría[#All],5,0),"")</f>
        <v/>
      </c>
      <c r="F2617" t="str">
        <f>+IFERROR(VLOOKUP(Fact_Analitica[[#This Row], [Concepto Anterior]],Conceptos_Analítica_contraloría[#All],7,0),"")</f>
        <v/>
      </c>
      <c r="I2617" t="str">
        <f>+IFERROR(VLOOKUP(D2617,Conceptos_Analítica_contraloría[#All],2,0),"")</f>
        <v/>
      </c>
      <c r="J2617" s="84" t="str">
        <f>+IFERROR(VLOOKUP(D2617,Conceptos_Analítica_contraloría[#All],3,0),"")</f>
        <v/>
      </c>
    </row>
    <row r="2618" spans="3:10" ht="18.75" customHeight="1" x14ac:dyDescent="0.35">
      <c r="C2618" s="100" t="str">
        <f>IF(OR(Fact_Analitica[[#This Row], [Año]]="",Fact_Analitica[[#This Row], [Mes]]=""),"",DATE(A2618,MATCH(B2618,{"enero","febrero","marzo","abril","mayo","junio","julio","agosto","septiembre","octubre","noviembre","diciembre"},0)+1,0))</f>
        <v/>
      </c>
      <c r="E2618" t="str">
        <f>+IFERROR(VLOOKUP(Fact_Analitica[[#This Row], [Concepto Anterior]],Conceptos_Analítica_contraloría[#All],5,0),"")</f>
        <v/>
      </c>
      <c r="F2618" t="str">
        <f>+IFERROR(VLOOKUP(Fact_Analitica[[#This Row], [Concepto Anterior]],Conceptos_Analítica_contraloría[#All],7,0),"")</f>
        <v/>
      </c>
      <c r="I2618" t="str">
        <f>+IFERROR(VLOOKUP(D2618,Conceptos_Analítica_contraloría[#All],2,0),"")</f>
        <v/>
      </c>
      <c r="J2618" s="84" t="str">
        <f>+IFERROR(VLOOKUP(D2618,Conceptos_Analítica_contraloría[#All],3,0),"")</f>
        <v/>
      </c>
    </row>
    <row r="2619" spans="3:10" ht="18.75" customHeight="1" x14ac:dyDescent="0.35">
      <c r="C2619" s="100" t="str">
        <f>IF(OR(Fact_Analitica[[#This Row], [Año]]="",Fact_Analitica[[#This Row], [Mes]]=""),"",DATE(A2619,MATCH(B2619,{"enero","febrero","marzo","abril","mayo","junio","julio","agosto","septiembre","octubre","noviembre","diciembre"},0)+1,0))</f>
        <v/>
      </c>
      <c r="E2619" t="str">
        <f>+IFERROR(VLOOKUP(Fact_Analitica[[#This Row], [Concepto Anterior]],Conceptos_Analítica_contraloría[#All],5,0),"")</f>
        <v/>
      </c>
      <c r="F2619" t="str">
        <f>+IFERROR(VLOOKUP(Fact_Analitica[[#This Row], [Concepto Anterior]],Conceptos_Analítica_contraloría[#All],7,0),"")</f>
        <v/>
      </c>
      <c r="I2619" t="str">
        <f>+IFERROR(VLOOKUP(D2619,Conceptos_Analítica_contraloría[#All],2,0),"")</f>
        <v/>
      </c>
      <c r="J2619" s="84" t="str">
        <f>+IFERROR(VLOOKUP(D2619,Conceptos_Analítica_contraloría[#All],3,0),"")</f>
        <v/>
      </c>
    </row>
    <row r="2620" spans="3:10" ht="18.75" customHeight="1" x14ac:dyDescent="0.35">
      <c r="C2620" s="100" t="str">
        <f>IF(OR(Fact_Analitica[[#This Row], [Año]]="",Fact_Analitica[[#This Row], [Mes]]=""),"",DATE(A2620,MATCH(B2620,{"enero","febrero","marzo","abril","mayo","junio","julio","agosto","septiembre","octubre","noviembre","diciembre"},0)+1,0))</f>
        <v/>
      </c>
      <c r="E2620" t="str">
        <f>+IFERROR(VLOOKUP(Fact_Analitica[[#This Row], [Concepto Anterior]],Conceptos_Analítica_contraloría[#All],5,0),"")</f>
        <v/>
      </c>
      <c r="F2620" t="str">
        <f>+IFERROR(VLOOKUP(Fact_Analitica[[#This Row], [Concepto Anterior]],Conceptos_Analítica_contraloría[#All],7,0),"")</f>
        <v/>
      </c>
      <c r="I2620" t="str">
        <f>+IFERROR(VLOOKUP(D2620,Conceptos_Analítica_contraloría[#All],2,0),"")</f>
        <v/>
      </c>
      <c r="J2620" s="84" t="str">
        <f>+IFERROR(VLOOKUP(D2620,Conceptos_Analítica_contraloría[#All],3,0),"")</f>
        <v/>
      </c>
    </row>
    <row r="2621" spans="3:10" ht="18.75" customHeight="1" x14ac:dyDescent="0.35">
      <c r="C2621" s="100" t="str">
        <f>IF(OR(Fact_Analitica[[#This Row], [Año]]="",Fact_Analitica[[#This Row], [Mes]]=""),"",DATE(A2621,MATCH(B2621,{"enero","febrero","marzo","abril","mayo","junio","julio","agosto","septiembre","octubre","noviembre","diciembre"},0)+1,0))</f>
        <v/>
      </c>
      <c r="E2621" t="str">
        <f>+IFERROR(VLOOKUP(Fact_Analitica[[#This Row], [Concepto Anterior]],Conceptos_Analítica_contraloría[#All],5,0),"")</f>
        <v/>
      </c>
      <c r="F2621" t="str">
        <f>+IFERROR(VLOOKUP(Fact_Analitica[[#This Row], [Concepto Anterior]],Conceptos_Analítica_contraloría[#All],7,0),"")</f>
        <v/>
      </c>
      <c r="I2621" t="str">
        <f>+IFERROR(VLOOKUP(D2621,Conceptos_Analítica_contraloría[#All],2,0),"")</f>
        <v/>
      </c>
      <c r="J2621" s="84" t="str">
        <f>+IFERROR(VLOOKUP(D2621,Conceptos_Analítica_contraloría[#All],3,0),"")</f>
        <v/>
      </c>
    </row>
    <row r="2622" spans="3:10" ht="18.75" customHeight="1" x14ac:dyDescent="0.35">
      <c r="C2622" s="100" t="str">
        <f>IF(OR(Fact_Analitica[[#This Row], [Año]]="",Fact_Analitica[[#This Row], [Mes]]=""),"",DATE(A2622,MATCH(B2622,{"enero","febrero","marzo","abril","mayo","junio","julio","agosto","septiembre","octubre","noviembre","diciembre"},0)+1,0))</f>
        <v/>
      </c>
      <c r="E2622" t="str">
        <f>+IFERROR(VLOOKUP(Fact_Analitica[[#This Row], [Concepto Anterior]],Conceptos_Analítica_contraloría[#All],5,0),"")</f>
        <v/>
      </c>
      <c r="F2622" t="str">
        <f>+IFERROR(VLOOKUP(Fact_Analitica[[#This Row], [Concepto Anterior]],Conceptos_Analítica_contraloría[#All],7,0),"")</f>
        <v/>
      </c>
      <c r="I2622" t="str">
        <f>+IFERROR(VLOOKUP(D2622,Conceptos_Analítica_contraloría[#All],2,0),"")</f>
        <v/>
      </c>
      <c r="J2622" s="84" t="str">
        <f>+IFERROR(VLOOKUP(D2622,Conceptos_Analítica_contraloría[#All],3,0),"")</f>
        <v/>
      </c>
    </row>
    <row r="2623" spans="3:10" ht="18.75" customHeight="1" x14ac:dyDescent="0.35">
      <c r="C2623" s="100" t="str">
        <f>IF(OR(Fact_Analitica[[#This Row], [Año]]="",Fact_Analitica[[#This Row], [Mes]]=""),"",DATE(A2623,MATCH(B2623,{"enero","febrero","marzo","abril","mayo","junio","julio","agosto","septiembre","octubre","noviembre","diciembre"},0)+1,0))</f>
        <v/>
      </c>
      <c r="E2623" t="str">
        <f>+IFERROR(VLOOKUP(Fact_Analitica[[#This Row], [Concepto Anterior]],Conceptos_Analítica_contraloría[#All],5,0),"")</f>
        <v/>
      </c>
      <c r="F2623" t="str">
        <f>+IFERROR(VLOOKUP(Fact_Analitica[[#This Row], [Concepto Anterior]],Conceptos_Analítica_contraloría[#All],7,0),"")</f>
        <v/>
      </c>
      <c r="I2623" t="str">
        <f>+IFERROR(VLOOKUP(D2623,Conceptos_Analítica_contraloría[#All],2,0),"")</f>
        <v/>
      </c>
      <c r="J2623" s="84" t="str">
        <f>+IFERROR(VLOOKUP(D2623,Conceptos_Analítica_contraloría[#All],3,0),"")</f>
        <v/>
      </c>
    </row>
    <row r="2624" spans="3:10" ht="18.75" customHeight="1" x14ac:dyDescent="0.35">
      <c r="C2624" s="100" t="str">
        <f>IF(OR(Fact_Analitica[[#This Row], [Año]]="",Fact_Analitica[[#This Row], [Mes]]=""),"",DATE(A2624,MATCH(B2624,{"enero","febrero","marzo","abril","mayo","junio","julio","agosto","septiembre","octubre","noviembre","diciembre"},0)+1,0))</f>
        <v/>
      </c>
      <c r="E2624" t="str">
        <f>+IFERROR(VLOOKUP(Fact_Analitica[[#This Row], [Concepto Anterior]],Conceptos_Analítica_contraloría[#All],5,0),"")</f>
        <v/>
      </c>
      <c r="F2624" t="str">
        <f>+IFERROR(VLOOKUP(Fact_Analitica[[#This Row], [Concepto Anterior]],Conceptos_Analítica_contraloría[#All],7,0),"")</f>
        <v/>
      </c>
      <c r="I2624" t="str">
        <f>+IFERROR(VLOOKUP(D2624,Conceptos_Analítica_contraloría[#All],2,0),"")</f>
        <v/>
      </c>
      <c r="J2624" s="84" t="str">
        <f>+IFERROR(VLOOKUP(D2624,Conceptos_Analítica_contraloría[#All],3,0),"")</f>
        <v/>
      </c>
    </row>
    <row r="2625" spans="3:10" ht="18.75" customHeight="1" x14ac:dyDescent="0.35">
      <c r="C2625" s="100" t="str">
        <f>IF(OR(Fact_Analitica[[#This Row], [Año]]="",Fact_Analitica[[#This Row], [Mes]]=""),"",DATE(A2625,MATCH(B2625,{"enero","febrero","marzo","abril","mayo","junio","julio","agosto","septiembre","octubre","noviembre","diciembre"},0)+1,0))</f>
        <v/>
      </c>
      <c r="E2625" t="str">
        <f>+IFERROR(VLOOKUP(Fact_Analitica[[#This Row], [Concepto Anterior]],Conceptos_Analítica_contraloría[#All],5,0),"")</f>
        <v/>
      </c>
      <c r="F2625" t="str">
        <f>+IFERROR(VLOOKUP(Fact_Analitica[[#This Row], [Concepto Anterior]],Conceptos_Analítica_contraloría[#All],7,0),"")</f>
        <v/>
      </c>
      <c r="I2625" t="str">
        <f>+IFERROR(VLOOKUP(D2625,Conceptos_Analítica_contraloría[#All],2,0),"")</f>
        <v/>
      </c>
      <c r="J2625" s="84" t="str">
        <f>+IFERROR(VLOOKUP(D2625,Conceptos_Analítica_contraloría[#All],3,0),"")</f>
        <v/>
      </c>
    </row>
    <row r="2626" spans="3:10" ht="18.75" customHeight="1" x14ac:dyDescent="0.35">
      <c r="C2626" s="100" t="str">
        <f>IF(OR(Fact_Analitica[[#This Row], [Año]]="",Fact_Analitica[[#This Row], [Mes]]=""),"",DATE(A2626,MATCH(B2626,{"enero","febrero","marzo","abril","mayo","junio","julio","agosto","septiembre","octubre","noviembre","diciembre"},0)+1,0))</f>
        <v/>
      </c>
      <c r="E2626" t="str">
        <f>+IFERROR(VLOOKUP(Fact_Analitica[[#This Row], [Concepto Anterior]],Conceptos_Analítica_contraloría[#All],5,0),"")</f>
        <v/>
      </c>
      <c r="F2626" t="str">
        <f>+IFERROR(VLOOKUP(Fact_Analitica[[#This Row], [Concepto Anterior]],Conceptos_Analítica_contraloría[#All],7,0),"")</f>
        <v/>
      </c>
      <c r="I2626" t="str">
        <f>+IFERROR(VLOOKUP(D2626,Conceptos_Analítica_contraloría[#All],2,0),"")</f>
        <v/>
      </c>
      <c r="J2626" s="84" t="str">
        <f>+IFERROR(VLOOKUP(D2626,Conceptos_Analítica_contraloría[#All],3,0),"")</f>
        <v/>
      </c>
    </row>
    <row r="2627" spans="3:10" ht="18.75" customHeight="1" x14ac:dyDescent="0.35">
      <c r="C2627" s="100" t="str">
        <f>IF(OR(Fact_Analitica[[#This Row], [Año]]="",Fact_Analitica[[#This Row], [Mes]]=""),"",DATE(A2627,MATCH(B2627,{"enero","febrero","marzo","abril","mayo","junio","julio","agosto","septiembre","octubre","noviembre","diciembre"},0)+1,0))</f>
        <v/>
      </c>
      <c r="E2627" t="str">
        <f>+IFERROR(VLOOKUP(Fact_Analitica[[#This Row], [Concepto Anterior]],Conceptos_Analítica_contraloría[#All],5,0),"")</f>
        <v/>
      </c>
      <c r="F2627" t="str">
        <f>+IFERROR(VLOOKUP(Fact_Analitica[[#This Row], [Concepto Anterior]],Conceptos_Analítica_contraloría[#All],7,0),"")</f>
        <v/>
      </c>
      <c r="I2627" t="str">
        <f>+IFERROR(VLOOKUP(D2627,Conceptos_Analítica_contraloría[#All],2,0),"")</f>
        <v/>
      </c>
      <c r="J2627" s="84" t="str">
        <f>+IFERROR(VLOOKUP(D2627,Conceptos_Analítica_contraloría[#All],3,0),"")</f>
        <v/>
      </c>
    </row>
    <row r="2628" spans="3:10" ht="18.75" customHeight="1" x14ac:dyDescent="0.35">
      <c r="C2628" s="100" t="str">
        <f>IF(OR(Fact_Analitica[[#This Row], [Año]]="",Fact_Analitica[[#This Row], [Mes]]=""),"",DATE(A2628,MATCH(B2628,{"enero","febrero","marzo","abril","mayo","junio","julio","agosto","septiembre","octubre","noviembre","diciembre"},0)+1,0))</f>
        <v/>
      </c>
      <c r="E2628" t="str">
        <f>+IFERROR(VLOOKUP(Fact_Analitica[[#This Row], [Concepto Anterior]],Conceptos_Analítica_contraloría[#All],5,0),"")</f>
        <v/>
      </c>
      <c r="F2628" t="str">
        <f>+IFERROR(VLOOKUP(Fact_Analitica[[#This Row], [Concepto Anterior]],Conceptos_Analítica_contraloría[#All],7,0),"")</f>
        <v/>
      </c>
      <c r="I2628" t="str">
        <f>+IFERROR(VLOOKUP(D2628,Conceptos_Analítica_contraloría[#All],2,0),"")</f>
        <v/>
      </c>
      <c r="J2628" s="84" t="str">
        <f>+IFERROR(VLOOKUP(D2628,Conceptos_Analítica_contraloría[#All],3,0),"")</f>
        <v/>
      </c>
    </row>
    <row r="2629" spans="3:10" ht="18.75" customHeight="1" x14ac:dyDescent="0.35">
      <c r="C2629" s="100" t="str">
        <f>IF(OR(Fact_Analitica[[#This Row], [Año]]="",Fact_Analitica[[#This Row], [Mes]]=""),"",DATE(A2629,MATCH(B2629,{"enero","febrero","marzo","abril","mayo","junio","julio","agosto","septiembre","octubre","noviembre","diciembre"},0)+1,0))</f>
        <v/>
      </c>
      <c r="E2629" t="str">
        <f>+IFERROR(VLOOKUP(Fact_Analitica[[#This Row], [Concepto Anterior]],Conceptos_Analítica_contraloría[#All],5,0),"")</f>
        <v/>
      </c>
      <c r="F2629" t="str">
        <f>+IFERROR(VLOOKUP(Fact_Analitica[[#This Row], [Concepto Anterior]],Conceptos_Analítica_contraloría[#All],7,0),"")</f>
        <v/>
      </c>
      <c r="I2629" t="str">
        <f>+IFERROR(VLOOKUP(D2629,Conceptos_Analítica_contraloría[#All],2,0),"")</f>
        <v/>
      </c>
      <c r="J2629" s="84" t="str">
        <f>+IFERROR(VLOOKUP(D2629,Conceptos_Analítica_contraloría[#All],3,0),"")</f>
        <v/>
      </c>
    </row>
    <row r="2630" spans="3:10" ht="18.75" customHeight="1" x14ac:dyDescent="0.35">
      <c r="C2630" s="100" t="str">
        <f>IF(OR(Fact_Analitica[[#This Row], [Año]]="",Fact_Analitica[[#This Row], [Mes]]=""),"",DATE(A2630,MATCH(B2630,{"enero","febrero","marzo","abril","mayo","junio","julio","agosto","septiembre","octubre","noviembre","diciembre"},0)+1,0))</f>
        <v/>
      </c>
      <c r="E2630" t="str">
        <f>+IFERROR(VLOOKUP(Fact_Analitica[[#This Row], [Concepto Anterior]],Conceptos_Analítica_contraloría[#All],5,0),"")</f>
        <v/>
      </c>
      <c r="F2630" t="str">
        <f>+IFERROR(VLOOKUP(Fact_Analitica[[#This Row], [Concepto Anterior]],Conceptos_Analítica_contraloría[#All],7,0),"")</f>
        <v/>
      </c>
      <c r="I2630" t="str">
        <f>+IFERROR(VLOOKUP(D2630,Conceptos_Analítica_contraloría[#All],2,0),"")</f>
        <v/>
      </c>
      <c r="J2630" s="84" t="str">
        <f>+IFERROR(VLOOKUP(D2630,Conceptos_Analítica_contraloría[#All],3,0),"")</f>
        <v/>
      </c>
    </row>
    <row r="2631" spans="3:10" ht="18.75" customHeight="1" x14ac:dyDescent="0.35">
      <c r="C2631" s="100" t="str">
        <f>IF(OR(Fact_Analitica[[#This Row], [Año]]="",Fact_Analitica[[#This Row], [Mes]]=""),"",DATE(A2631,MATCH(B2631,{"enero","febrero","marzo","abril","mayo","junio","julio","agosto","septiembre","octubre","noviembre","diciembre"},0)+1,0))</f>
        <v/>
      </c>
      <c r="E2631" t="str">
        <f>+IFERROR(VLOOKUP(Fact_Analitica[[#This Row], [Concepto Anterior]],Conceptos_Analítica_contraloría[#All],5,0),"")</f>
        <v/>
      </c>
      <c r="F2631" t="str">
        <f>+IFERROR(VLOOKUP(Fact_Analitica[[#This Row], [Concepto Anterior]],Conceptos_Analítica_contraloría[#All],7,0),"")</f>
        <v/>
      </c>
      <c r="I2631" t="str">
        <f>+IFERROR(VLOOKUP(D2631,Conceptos_Analítica_contraloría[#All],2,0),"")</f>
        <v/>
      </c>
      <c r="J2631" s="84" t="str">
        <f>+IFERROR(VLOOKUP(D2631,Conceptos_Analítica_contraloría[#All],3,0),"")</f>
        <v/>
      </c>
    </row>
    <row r="2632" spans="3:10" ht="18.75" customHeight="1" x14ac:dyDescent="0.35">
      <c r="C2632" s="100" t="str">
        <f>IF(OR(Fact_Analitica[[#This Row], [Año]]="",Fact_Analitica[[#This Row], [Mes]]=""),"",DATE(A2632,MATCH(B2632,{"enero","febrero","marzo","abril","mayo","junio","julio","agosto","septiembre","octubre","noviembre","diciembre"},0)+1,0))</f>
        <v/>
      </c>
      <c r="E2632" t="str">
        <f>+IFERROR(VLOOKUP(Fact_Analitica[[#This Row], [Concepto Anterior]],Conceptos_Analítica_contraloría[#All],5,0),"")</f>
        <v/>
      </c>
      <c r="F2632" t="str">
        <f>+IFERROR(VLOOKUP(Fact_Analitica[[#This Row], [Concepto Anterior]],Conceptos_Analítica_contraloría[#All],7,0),"")</f>
        <v/>
      </c>
      <c r="I2632" t="str">
        <f>+IFERROR(VLOOKUP(D2632,Conceptos_Analítica_contraloría[#All],2,0),"")</f>
        <v/>
      </c>
      <c r="J2632" s="84" t="str">
        <f>+IFERROR(VLOOKUP(D2632,Conceptos_Analítica_contraloría[#All],3,0),"")</f>
        <v/>
      </c>
    </row>
    <row r="2633" spans="3:10" ht="18.75" customHeight="1" x14ac:dyDescent="0.35">
      <c r="C2633" s="100" t="str">
        <f>IF(OR(Fact_Analitica[[#This Row], [Año]]="",Fact_Analitica[[#This Row], [Mes]]=""),"",DATE(A2633,MATCH(B2633,{"enero","febrero","marzo","abril","mayo","junio","julio","agosto","septiembre","octubre","noviembre","diciembre"},0)+1,0))</f>
        <v/>
      </c>
      <c r="E2633" t="str">
        <f>+IFERROR(VLOOKUP(Fact_Analitica[[#This Row], [Concepto Anterior]],Conceptos_Analítica_contraloría[#All],5,0),"")</f>
        <v/>
      </c>
      <c r="F2633" t="str">
        <f>+IFERROR(VLOOKUP(Fact_Analitica[[#This Row], [Concepto Anterior]],Conceptos_Analítica_contraloría[#All],7,0),"")</f>
        <v/>
      </c>
      <c r="I2633" t="str">
        <f>+IFERROR(VLOOKUP(D2633,Conceptos_Analítica_contraloría[#All],2,0),"")</f>
        <v/>
      </c>
      <c r="J2633" s="84" t="str">
        <f>+IFERROR(VLOOKUP(D2633,Conceptos_Analítica_contraloría[#All],3,0),"")</f>
        <v/>
      </c>
    </row>
    <row r="2634" spans="3:10" ht="18.75" customHeight="1" x14ac:dyDescent="0.35">
      <c r="C2634" s="100" t="str">
        <f>IF(OR(Fact_Analitica[[#This Row], [Año]]="",Fact_Analitica[[#This Row], [Mes]]=""),"",DATE(A2634,MATCH(B2634,{"enero","febrero","marzo","abril","mayo","junio","julio","agosto","septiembre","octubre","noviembre","diciembre"},0)+1,0))</f>
        <v/>
      </c>
      <c r="E2634" t="str">
        <f>+IFERROR(VLOOKUP(Fact_Analitica[[#This Row], [Concepto Anterior]],Conceptos_Analítica_contraloría[#All],5,0),"")</f>
        <v/>
      </c>
      <c r="F2634" t="str">
        <f>+IFERROR(VLOOKUP(Fact_Analitica[[#This Row], [Concepto Anterior]],Conceptos_Analítica_contraloría[#All],7,0),"")</f>
        <v/>
      </c>
      <c r="I2634" t="str">
        <f>+IFERROR(VLOOKUP(D2634,Conceptos_Analítica_contraloría[#All],2,0),"")</f>
        <v/>
      </c>
      <c r="J2634" s="84" t="str">
        <f>+IFERROR(VLOOKUP(D2634,Conceptos_Analítica_contraloría[#All],3,0),"")</f>
        <v/>
      </c>
    </row>
    <row r="2635" spans="3:10" ht="18.75" customHeight="1" x14ac:dyDescent="0.35">
      <c r="C2635" s="100" t="str">
        <f>IF(OR(Fact_Analitica[[#This Row], [Año]]="",Fact_Analitica[[#This Row], [Mes]]=""),"",DATE(A2635,MATCH(B2635,{"enero","febrero","marzo","abril","mayo","junio","julio","agosto","septiembre","octubre","noviembre","diciembre"},0)+1,0))</f>
        <v/>
      </c>
      <c r="E2635" t="str">
        <f>+IFERROR(VLOOKUP(Fact_Analitica[[#This Row], [Concepto Anterior]],Conceptos_Analítica_contraloría[#All],5,0),"")</f>
        <v/>
      </c>
      <c r="F2635" t="str">
        <f>+IFERROR(VLOOKUP(Fact_Analitica[[#This Row], [Concepto Anterior]],Conceptos_Analítica_contraloría[#All],7,0),"")</f>
        <v/>
      </c>
      <c r="I2635" t="str">
        <f>+IFERROR(VLOOKUP(D2635,Conceptos_Analítica_contraloría[#All],2,0),"")</f>
        <v/>
      </c>
      <c r="J2635" s="84" t="str">
        <f>+IFERROR(VLOOKUP(D2635,Conceptos_Analítica_contraloría[#All],3,0),"")</f>
        <v/>
      </c>
    </row>
    <row r="2636" spans="3:10" ht="18.75" customHeight="1" x14ac:dyDescent="0.35">
      <c r="C2636" s="100" t="str">
        <f>IF(OR(Fact_Analitica[[#This Row], [Año]]="",Fact_Analitica[[#This Row], [Mes]]=""),"",DATE(A2636,MATCH(B2636,{"enero","febrero","marzo","abril","mayo","junio","julio","agosto","septiembre","octubre","noviembre","diciembre"},0)+1,0))</f>
        <v/>
      </c>
      <c r="E2636" t="str">
        <f>+IFERROR(VLOOKUP(Fact_Analitica[[#This Row], [Concepto Anterior]],Conceptos_Analítica_contraloría[#All],5,0),"")</f>
        <v/>
      </c>
      <c r="F2636" t="str">
        <f>+IFERROR(VLOOKUP(Fact_Analitica[[#This Row], [Concepto Anterior]],Conceptos_Analítica_contraloría[#All],7,0),"")</f>
        <v/>
      </c>
      <c r="I2636" t="str">
        <f>+IFERROR(VLOOKUP(D2636,Conceptos_Analítica_contraloría[#All],2,0),"")</f>
        <v/>
      </c>
      <c r="J2636" s="84" t="str">
        <f>+IFERROR(VLOOKUP(D2636,Conceptos_Analítica_contraloría[#All],3,0),"")</f>
        <v/>
      </c>
    </row>
    <row r="2637" spans="3:10" ht="18.75" customHeight="1" x14ac:dyDescent="0.35">
      <c r="C2637" s="100" t="str">
        <f>IF(OR(Fact_Analitica[[#This Row], [Año]]="",Fact_Analitica[[#This Row], [Mes]]=""),"",DATE(A2637,MATCH(B2637,{"enero","febrero","marzo","abril","mayo","junio","julio","agosto","septiembre","octubre","noviembre","diciembre"},0)+1,0))</f>
        <v/>
      </c>
      <c r="E2637" t="str">
        <f>+IFERROR(VLOOKUP(Fact_Analitica[[#This Row], [Concepto Anterior]],Conceptos_Analítica_contraloría[#All],5,0),"")</f>
        <v/>
      </c>
      <c r="F2637" t="str">
        <f>+IFERROR(VLOOKUP(Fact_Analitica[[#This Row], [Concepto Anterior]],Conceptos_Analítica_contraloría[#All],7,0),"")</f>
        <v/>
      </c>
      <c r="I2637" t="str">
        <f>+IFERROR(VLOOKUP(D2637,Conceptos_Analítica_contraloría[#All],2,0),"")</f>
        <v/>
      </c>
      <c r="J2637" s="84" t="str">
        <f>+IFERROR(VLOOKUP(D2637,Conceptos_Analítica_contraloría[#All],3,0),"")</f>
        <v/>
      </c>
    </row>
    <row r="2638" spans="3:10" ht="18.75" customHeight="1" x14ac:dyDescent="0.35">
      <c r="C2638" s="100" t="str">
        <f>IF(OR(Fact_Analitica[[#This Row], [Año]]="",Fact_Analitica[[#This Row], [Mes]]=""),"",DATE(A2638,MATCH(B2638,{"enero","febrero","marzo","abril","mayo","junio","julio","agosto","septiembre","octubre","noviembre","diciembre"},0)+1,0))</f>
        <v/>
      </c>
      <c r="E2638" t="str">
        <f>+IFERROR(VLOOKUP(Fact_Analitica[[#This Row], [Concepto Anterior]],Conceptos_Analítica_contraloría[#All],5,0),"")</f>
        <v/>
      </c>
      <c r="F2638" t="str">
        <f>+IFERROR(VLOOKUP(Fact_Analitica[[#This Row], [Concepto Anterior]],Conceptos_Analítica_contraloría[#All],7,0),"")</f>
        <v/>
      </c>
      <c r="I2638" t="str">
        <f>+IFERROR(VLOOKUP(D2638,Conceptos_Analítica_contraloría[#All],2,0),"")</f>
        <v/>
      </c>
      <c r="J2638" s="84" t="str">
        <f>+IFERROR(VLOOKUP(D2638,Conceptos_Analítica_contraloría[#All],3,0),"")</f>
        <v/>
      </c>
    </row>
    <row r="2639" spans="3:10" ht="18.75" customHeight="1" x14ac:dyDescent="0.35">
      <c r="C2639" s="100" t="str">
        <f>IF(OR(Fact_Analitica[[#This Row], [Año]]="",Fact_Analitica[[#This Row], [Mes]]=""),"",DATE(A2639,MATCH(B2639,{"enero","febrero","marzo","abril","mayo","junio","julio","agosto","septiembre","octubre","noviembre","diciembre"},0)+1,0))</f>
        <v/>
      </c>
      <c r="E2639" t="str">
        <f>+IFERROR(VLOOKUP(Fact_Analitica[[#This Row], [Concepto Anterior]],Conceptos_Analítica_contraloría[#All],5,0),"")</f>
        <v/>
      </c>
      <c r="F2639" t="str">
        <f>+IFERROR(VLOOKUP(Fact_Analitica[[#This Row], [Concepto Anterior]],Conceptos_Analítica_contraloría[#All],7,0),"")</f>
        <v/>
      </c>
      <c r="I2639" t="str">
        <f>+IFERROR(VLOOKUP(D2639,Conceptos_Analítica_contraloría[#All],2,0),"")</f>
        <v/>
      </c>
      <c r="J2639" s="84" t="str">
        <f>+IFERROR(VLOOKUP(D2639,Conceptos_Analítica_contraloría[#All],3,0),"")</f>
        <v/>
      </c>
    </row>
    <row r="2640" spans="3:10" ht="18.75" customHeight="1" x14ac:dyDescent="0.35">
      <c r="C2640" s="100" t="str">
        <f>IF(OR(Fact_Analitica[[#This Row], [Año]]="",Fact_Analitica[[#This Row], [Mes]]=""),"",DATE(A2640,MATCH(B2640,{"enero","febrero","marzo","abril","mayo","junio","julio","agosto","septiembre","octubre","noviembre","diciembre"},0)+1,0))</f>
        <v/>
      </c>
      <c r="E2640" t="str">
        <f>+IFERROR(VLOOKUP(Fact_Analitica[[#This Row], [Concepto Anterior]],Conceptos_Analítica_contraloría[#All],5,0),"")</f>
        <v/>
      </c>
      <c r="F2640" t="str">
        <f>+IFERROR(VLOOKUP(Fact_Analitica[[#This Row], [Concepto Anterior]],Conceptos_Analítica_contraloría[#All],7,0),"")</f>
        <v/>
      </c>
      <c r="I2640" t="str">
        <f>+IFERROR(VLOOKUP(D2640,Conceptos_Analítica_contraloría[#All],2,0),"")</f>
        <v/>
      </c>
      <c r="J2640" s="84" t="str">
        <f>+IFERROR(VLOOKUP(D2640,Conceptos_Analítica_contraloría[#All],3,0),"")</f>
        <v/>
      </c>
    </row>
    <row r="2641" spans="3:10" ht="18.75" customHeight="1" x14ac:dyDescent="0.35">
      <c r="C2641" s="100" t="str">
        <f>IF(OR(Fact_Analitica[[#This Row], [Año]]="",Fact_Analitica[[#This Row], [Mes]]=""),"",DATE(A2641,MATCH(B2641,{"enero","febrero","marzo","abril","mayo","junio","julio","agosto","septiembre","octubre","noviembre","diciembre"},0)+1,0))</f>
        <v/>
      </c>
      <c r="E2641" t="str">
        <f>+IFERROR(VLOOKUP(Fact_Analitica[[#This Row], [Concepto Anterior]],Conceptos_Analítica_contraloría[#All],5,0),"")</f>
        <v/>
      </c>
      <c r="F2641" t="str">
        <f>+IFERROR(VLOOKUP(Fact_Analitica[[#This Row], [Concepto Anterior]],Conceptos_Analítica_contraloría[#All],7,0),"")</f>
        <v/>
      </c>
      <c r="I2641" t="str">
        <f>+IFERROR(VLOOKUP(D2641,Conceptos_Analítica_contraloría[#All],2,0),"")</f>
        <v/>
      </c>
      <c r="J2641" s="84" t="str">
        <f>+IFERROR(VLOOKUP(D2641,Conceptos_Analítica_contraloría[#All],3,0),"")</f>
        <v/>
      </c>
    </row>
    <row r="2642" spans="3:10" ht="18.75" customHeight="1" x14ac:dyDescent="0.35">
      <c r="C2642" s="100" t="str">
        <f>IF(OR(Fact_Analitica[[#This Row], [Año]]="",Fact_Analitica[[#This Row], [Mes]]=""),"",DATE(A2642,MATCH(B2642,{"enero","febrero","marzo","abril","mayo","junio","julio","agosto","septiembre","octubre","noviembre","diciembre"},0)+1,0))</f>
        <v/>
      </c>
      <c r="E2642" t="str">
        <f>+IFERROR(VLOOKUP(Fact_Analitica[[#This Row], [Concepto Anterior]],Conceptos_Analítica_contraloría[#All],5,0),"")</f>
        <v/>
      </c>
      <c r="F2642" t="str">
        <f>+IFERROR(VLOOKUP(Fact_Analitica[[#This Row], [Concepto Anterior]],Conceptos_Analítica_contraloría[#All],7,0),"")</f>
        <v/>
      </c>
      <c r="I2642" t="str">
        <f>+IFERROR(VLOOKUP(D2642,Conceptos_Analítica_contraloría[#All],2,0),"")</f>
        <v/>
      </c>
      <c r="J2642" s="84" t="str">
        <f>+IFERROR(VLOOKUP(D2642,Conceptos_Analítica_contraloría[#All],3,0),"")</f>
        <v/>
      </c>
    </row>
    <row r="2643" spans="3:10" ht="18.75" customHeight="1" x14ac:dyDescent="0.35">
      <c r="C2643" s="100" t="str">
        <f>IF(OR(Fact_Analitica[[#This Row], [Año]]="",Fact_Analitica[[#This Row], [Mes]]=""),"",DATE(A2643,MATCH(B2643,{"enero","febrero","marzo","abril","mayo","junio","julio","agosto","septiembre","octubre","noviembre","diciembre"},0)+1,0))</f>
        <v/>
      </c>
      <c r="E2643" t="str">
        <f>+IFERROR(VLOOKUP(Fact_Analitica[[#This Row], [Concepto Anterior]],Conceptos_Analítica_contraloría[#All],5,0),"")</f>
        <v/>
      </c>
      <c r="F2643" t="str">
        <f>+IFERROR(VLOOKUP(Fact_Analitica[[#This Row], [Concepto Anterior]],Conceptos_Analítica_contraloría[#All],7,0),"")</f>
        <v/>
      </c>
      <c r="I2643" t="str">
        <f>+IFERROR(VLOOKUP(D2643,Conceptos_Analítica_contraloría[#All],2,0),"")</f>
        <v/>
      </c>
      <c r="J2643" s="84" t="str">
        <f>+IFERROR(VLOOKUP(D2643,Conceptos_Analítica_contraloría[#All],3,0),"")</f>
        <v/>
      </c>
    </row>
    <row r="2644" spans="3:10" ht="18.75" customHeight="1" x14ac:dyDescent="0.35">
      <c r="C2644" s="100" t="str">
        <f>IF(OR(Fact_Analitica[[#This Row], [Año]]="",Fact_Analitica[[#This Row], [Mes]]=""),"",DATE(A2644,MATCH(B2644,{"enero","febrero","marzo","abril","mayo","junio","julio","agosto","septiembre","octubre","noviembre","diciembre"},0)+1,0))</f>
        <v/>
      </c>
      <c r="E2644" t="str">
        <f>+IFERROR(VLOOKUP(Fact_Analitica[[#This Row], [Concepto Anterior]],Conceptos_Analítica_contraloría[#All],5,0),"")</f>
        <v/>
      </c>
      <c r="F2644" t="str">
        <f>+IFERROR(VLOOKUP(Fact_Analitica[[#This Row], [Concepto Anterior]],Conceptos_Analítica_contraloría[#All],7,0),"")</f>
        <v/>
      </c>
      <c r="I2644" t="str">
        <f>+IFERROR(VLOOKUP(D2644,Conceptos_Analítica_contraloría[#All],2,0),"")</f>
        <v/>
      </c>
      <c r="J2644" s="84" t="str">
        <f>+IFERROR(VLOOKUP(D2644,Conceptos_Analítica_contraloría[#All],3,0),"")</f>
        <v/>
      </c>
    </row>
    <row r="2645" spans="3:10" ht="18.75" customHeight="1" x14ac:dyDescent="0.35">
      <c r="C2645" s="100" t="str">
        <f>IF(OR(Fact_Analitica[[#This Row], [Año]]="",Fact_Analitica[[#This Row], [Mes]]=""),"",DATE(A2645,MATCH(B2645,{"enero","febrero","marzo","abril","mayo","junio","julio","agosto","septiembre","octubre","noviembre","diciembre"},0)+1,0))</f>
        <v/>
      </c>
      <c r="E2645" t="str">
        <f>+IFERROR(VLOOKUP(Fact_Analitica[[#This Row], [Concepto Anterior]],Conceptos_Analítica_contraloría[#All],5,0),"")</f>
        <v/>
      </c>
      <c r="F2645" t="str">
        <f>+IFERROR(VLOOKUP(Fact_Analitica[[#This Row], [Concepto Anterior]],Conceptos_Analítica_contraloría[#All],7,0),"")</f>
        <v/>
      </c>
      <c r="I2645" t="str">
        <f>+IFERROR(VLOOKUP(D2645,Conceptos_Analítica_contraloría[#All],2,0),"")</f>
        <v/>
      </c>
      <c r="J2645" s="84" t="str">
        <f>+IFERROR(VLOOKUP(D2645,Conceptos_Analítica_contraloría[#All],3,0),"")</f>
        <v/>
      </c>
    </row>
    <row r="2646" spans="3:10" ht="18.75" customHeight="1" x14ac:dyDescent="0.35">
      <c r="C2646" s="100" t="str">
        <f>IF(OR(Fact_Analitica[[#This Row], [Año]]="",Fact_Analitica[[#This Row], [Mes]]=""),"",DATE(A2646,MATCH(B2646,{"enero","febrero","marzo","abril","mayo","junio","julio","agosto","septiembre","octubre","noviembre","diciembre"},0)+1,0))</f>
        <v/>
      </c>
      <c r="E2646" t="str">
        <f>+IFERROR(VLOOKUP(Fact_Analitica[[#This Row], [Concepto Anterior]],Conceptos_Analítica_contraloría[#All],5,0),"")</f>
        <v/>
      </c>
      <c r="F2646" t="str">
        <f>+IFERROR(VLOOKUP(Fact_Analitica[[#This Row], [Concepto Anterior]],Conceptos_Analítica_contraloría[#All],7,0),"")</f>
        <v/>
      </c>
      <c r="I2646" t="str">
        <f>+IFERROR(VLOOKUP(D2646,Conceptos_Analítica_contraloría[#All],2,0),"")</f>
        <v/>
      </c>
      <c r="J2646" s="84" t="str">
        <f>+IFERROR(VLOOKUP(D2646,Conceptos_Analítica_contraloría[#All],3,0),"")</f>
        <v/>
      </c>
    </row>
    <row r="2647" spans="3:10" ht="18.75" customHeight="1" x14ac:dyDescent="0.35">
      <c r="C2647" s="100" t="str">
        <f>IF(OR(Fact_Analitica[[#This Row], [Año]]="",Fact_Analitica[[#This Row], [Mes]]=""),"",DATE(A2647,MATCH(B2647,{"enero","febrero","marzo","abril","mayo","junio","julio","agosto","septiembre","octubre","noviembre","diciembre"},0)+1,0))</f>
        <v/>
      </c>
      <c r="E2647" t="str">
        <f>+IFERROR(VLOOKUP(Fact_Analitica[[#This Row], [Concepto Anterior]],Conceptos_Analítica_contraloría[#All],5,0),"")</f>
        <v/>
      </c>
      <c r="F2647" t="str">
        <f>+IFERROR(VLOOKUP(Fact_Analitica[[#This Row], [Concepto Anterior]],Conceptos_Analítica_contraloría[#All],7,0),"")</f>
        <v/>
      </c>
      <c r="I2647" t="str">
        <f>+IFERROR(VLOOKUP(D2647,Conceptos_Analítica_contraloría[#All],2,0),"")</f>
        <v/>
      </c>
      <c r="J2647" s="84" t="str">
        <f>+IFERROR(VLOOKUP(D2647,Conceptos_Analítica_contraloría[#All],3,0),"")</f>
        <v/>
      </c>
    </row>
    <row r="2648" spans="3:10" ht="18.75" customHeight="1" x14ac:dyDescent="0.35">
      <c r="C2648" s="100" t="str">
        <f>IF(OR(Fact_Analitica[[#This Row], [Año]]="",Fact_Analitica[[#This Row], [Mes]]=""),"",DATE(A2648,MATCH(B2648,{"enero","febrero","marzo","abril","mayo","junio","julio","agosto","septiembre","octubre","noviembre","diciembre"},0)+1,0))</f>
        <v/>
      </c>
      <c r="E2648" t="str">
        <f>+IFERROR(VLOOKUP(Fact_Analitica[[#This Row], [Concepto Anterior]],Conceptos_Analítica_contraloría[#All],5,0),"")</f>
        <v/>
      </c>
      <c r="F2648" t="str">
        <f>+IFERROR(VLOOKUP(Fact_Analitica[[#This Row], [Concepto Anterior]],Conceptos_Analítica_contraloría[#All],7,0),"")</f>
        <v/>
      </c>
      <c r="I2648" t="str">
        <f>+IFERROR(VLOOKUP(D2648,Conceptos_Analítica_contraloría[#All],2,0),"")</f>
        <v/>
      </c>
      <c r="J2648" s="84" t="str">
        <f>+IFERROR(VLOOKUP(D2648,Conceptos_Analítica_contraloría[#All],3,0),"")</f>
        <v/>
      </c>
    </row>
    <row r="2649" spans="3:10" ht="18.75" customHeight="1" x14ac:dyDescent="0.35">
      <c r="C2649" s="100" t="str">
        <f>IF(OR(Fact_Analitica[[#This Row], [Año]]="",Fact_Analitica[[#This Row], [Mes]]=""),"",DATE(A2649,MATCH(B2649,{"enero","febrero","marzo","abril","mayo","junio","julio","agosto","septiembre","octubre","noviembre","diciembre"},0)+1,0))</f>
        <v/>
      </c>
      <c r="E2649" t="str">
        <f>+IFERROR(VLOOKUP(Fact_Analitica[[#This Row], [Concepto Anterior]],Conceptos_Analítica_contraloría[#All],5,0),"")</f>
        <v/>
      </c>
      <c r="F2649" t="str">
        <f>+IFERROR(VLOOKUP(Fact_Analitica[[#This Row], [Concepto Anterior]],Conceptos_Analítica_contraloría[#All],7,0),"")</f>
        <v/>
      </c>
      <c r="I2649" t="str">
        <f>+IFERROR(VLOOKUP(D2649,Conceptos_Analítica_contraloría[#All],2,0),"")</f>
        <v/>
      </c>
      <c r="J2649" s="84" t="str">
        <f>+IFERROR(VLOOKUP(D2649,Conceptos_Analítica_contraloría[#All],3,0),"")</f>
        <v/>
      </c>
    </row>
    <row r="2650" spans="3:10" ht="18.75" customHeight="1" x14ac:dyDescent="0.35">
      <c r="C2650" s="100" t="str">
        <f>IF(OR(Fact_Analitica[[#This Row], [Año]]="",Fact_Analitica[[#This Row], [Mes]]=""),"",DATE(A2650,MATCH(B2650,{"enero","febrero","marzo","abril","mayo","junio","julio","agosto","septiembre","octubre","noviembre","diciembre"},0)+1,0))</f>
        <v/>
      </c>
      <c r="E2650" t="str">
        <f>+IFERROR(VLOOKUP(Fact_Analitica[[#This Row], [Concepto Anterior]],Conceptos_Analítica_contraloría[#All],5,0),"")</f>
        <v/>
      </c>
      <c r="F2650" t="str">
        <f>+IFERROR(VLOOKUP(Fact_Analitica[[#This Row], [Concepto Anterior]],Conceptos_Analítica_contraloría[#All],7,0),"")</f>
        <v/>
      </c>
      <c r="I2650" t="str">
        <f>+IFERROR(VLOOKUP(D2650,Conceptos_Analítica_contraloría[#All],2,0),"")</f>
        <v/>
      </c>
      <c r="J2650" s="84" t="str">
        <f>+IFERROR(VLOOKUP(D2650,Conceptos_Analítica_contraloría[#All],3,0),"")</f>
        <v/>
      </c>
    </row>
    <row r="2651" spans="3:10" ht="18.75" customHeight="1" x14ac:dyDescent="0.35">
      <c r="C2651" s="100" t="str">
        <f>IF(OR(Fact_Analitica[[#This Row], [Año]]="",Fact_Analitica[[#This Row], [Mes]]=""),"",DATE(A2651,MATCH(B2651,{"enero","febrero","marzo","abril","mayo","junio","julio","agosto","septiembre","octubre","noviembre","diciembre"},0)+1,0))</f>
        <v/>
      </c>
      <c r="E2651" t="str">
        <f>+IFERROR(VLOOKUP(Fact_Analitica[[#This Row], [Concepto Anterior]],Conceptos_Analítica_contraloría[#All],5,0),"")</f>
        <v/>
      </c>
      <c r="F2651" t="str">
        <f>+IFERROR(VLOOKUP(Fact_Analitica[[#This Row], [Concepto Anterior]],Conceptos_Analítica_contraloría[#All],7,0),"")</f>
        <v/>
      </c>
      <c r="I2651" t="str">
        <f>+IFERROR(VLOOKUP(D2651,Conceptos_Analítica_contraloría[#All],2,0),"")</f>
        <v/>
      </c>
      <c r="J2651" s="84" t="str">
        <f>+IFERROR(VLOOKUP(D2651,Conceptos_Analítica_contraloría[#All],3,0),"")</f>
        <v/>
      </c>
    </row>
    <row r="2652" spans="3:10" ht="18.75" customHeight="1" x14ac:dyDescent="0.35">
      <c r="C2652" s="100" t="str">
        <f>IF(OR(Fact_Analitica[[#This Row], [Año]]="",Fact_Analitica[[#This Row], [Mes]]=""),"",DATE(A2652,MATCH(B2652,{"enero","febrero","marzo","abril","mayo","junio","julio","agosto","septiembre","octubre","noviembre","diciembre"},0)+1,0))</f>
        <v/>
      </c>
      <c r="E2652" t="str">
        <f>+IFERROR(VLOOKUP(Fact_Analitica[[#This Row], [Concepto Anterior]],Conceptos_Analítica_contraloría[#All],5,0),"")</f>
        <v/>
      </c>
      <c r="F2652" t="str">
        <f>+IFERROR(VLOOKUP(Fact_Analitica[[#This Row], [Concepto Anterior]],Conceptos_Analítica_contraloría[#All],7,0),"")</f>
        <v/>
      </c>
      <c r="I2652" t="str">
        <f>+IFERROR(VLOOKUP(D2652,Conceptos_Analítica_contraloría[#All],2,0),"")</f>
        <v/>
      </c>
      <c r="J2652" s="84" t="str">
        <f>+IFERROR(VLOOKUP(D2652,Conceptos_Analítica_contraloría[#All],3,0),"")</f>
        <v/>
      </c>
    </row>
    <row r="2653" spans="3:10" ht="18.75" customHeight="1" x14ac:dyDescent="0.35">
      <c r="C2653" s="100" t="str">
        <f>IF(OR(Fact_Analitica[[#This Row], [Año]]="",Fact_Analitica[[#This Row], [Mes]]=""),"",DATE(A2653,MATCH(B2653,{"enero","febrero","marzo","abril","mayo","junio","julio","agosto","septiembre","octubre","noviembre","diciembre"},0)+1,0))</f>
        <v/>
      </c>
      <c r="E2653" t="str">
        <f>+IFERROR(VLOOKUP(Fact_Analitica[[#This Row], [Concepto Anterior]],Conceptos_Analítica_contraloría[#All],5,0),"")</f>
        <v/>
      </c>
      <c r="F2653" t="str">
        <f>+IFERROR(VLOOKUP(Fact_Analitica[[#This Row], [Concepto Anterior]],Conceptos_Analítica_contraloría[#All],7,0),"")</f>
        <v/>
      </c>
      <c r="I2653" t="str">
        <f>+IFERROR(VLOOKUP(D2653,Conceptos_Analítica_contraloría[#All],2,0),"")</f>
        <v/>
      </c>
      <c r="J2653" s="84" t="str">
        <f>+IFERROR(VLOOKUP(D2653,Conceptos_Analítica_contraloría[#All],3,0),"")</f>
        <v/>
      </c>
    </row>
    <row r="2654" spans="3:10" ht="18.75" customHeight="1" x14ac:dyDescent="0.35">
      <c r="C2654" s="100" t="str">
        <f>IF(OR(Fact_Analitica[[#This Row], [Año]]="",Fact_Analitica[[#This Row], [Mes]]=""),"",DATE(A2654,MATCH(B2654,{"enero","febrero","marzo","abril","mayo","junio","julio","agosto","septiembre","octubre","noviembre","diciembre"},0)+1,0))</f>
        <v/>
      </c>
      <c r="E2654" t="str">
        <f>+IFERROR(VLOOKUP(Fact_Analitica[[#This Row], [Concepto Anterior]],Conceptos_Analítica_contraloría[#All],5,0),"")</f>
        <v/>
      </c>
      <c r="F2654" t="str">
        <f>+IFERROR(VLOOKUP(Fact_Analitica[[#This Row], [Concepto Anterior]],Conceptos_Analítica_contraloría[#All],7,0),"")</f>
        <v/>
      </c>
      <c r="I2654" t="str">
        <f>+IFERROR(VLOOKUP(D2654,Conceptos_Analítica_contraloría[#All],2,0),"")</f>
        <v/>
      </c>
      <c r="J2654" s="84" t="str">
        <f>+IFERROR(VLOOKUP(D2654,Conceptos_Analítica_contraloría[#All],3,0),"")</f>
        <v/>
      </c>
    </row>
    <row r="2655" spans="3:10" ht="18.75" customHeight="1" x14ac:dyDescent="0.35">
      <c r="C2655" s="100" t="str">
        <f>IF(OR(Fact_Analitica[[#This Row], [Año]]="",Fact_Analitica[[#This Row], [Mes]]=""),"",DATE(A2655,MATCH(B2655,{"enero","febrero","marzo","abril","mayo","junio","julio","agosto","septiembre","octubre","noviembre","diciembre"},0)+1,0))</f>
        <v/>
      </c>
      <c r="E2655" t="str">
        <f>+IFERROR(VLOOKUP(Fact_Analitica[[#This Row], [Concepto Anterior]],Conceptos_Analítica_contraloría[#All],5,0),"")</f>
        <v/>
      </c>
      <c r="F2655" t="str">
        <f>+IFERROR(VLOOKUP(Fact_Analitica[[#This Row], [Concepto Anterior]],Conceptos_Analítica_contraloría[#All],7,0),"")</f>
        <v/>
      </c>
      <c r="I2655" t="str">
        <f>+IFERROR(VLOOKUP(D2655,Conceptos_Analítica_contraloría[#All],2,0),"")</f>
        <v/>
      </c>
      <c r="J2655" s="84" t="str">
        <f>+IFERROR(VLOOKUP(D2655,Conceptos_Analítica_contraloría[#All],3,0),"")</f>
        <v/>
      </c>
    </row>
    <row r="2656" spans="3:10" ht="18.75" customHeight="1" x14ac:dyDescent="0.35">
      <c r="C2656" s="100" t="str">
        <f>IF(OR(Fact_Analitica[[#This Row], [Año]]="",Fact_Analitica[[#This Row], [Mes]]=""),"",DATE(A2656,MATCH(B2656,{"enero","febrero","marzo","abril","mayo","junio","julio","agosto","septiembre","octubre","noviembre","diciembre"},0)+1,0))</f>
        <v/>
      </c>
      <c r="E2656" t="str">
        <f>+IFERROR(VLOOKUP(Fact_Analitica[[#This Row], [Concepto Anterior]],Conceptos_Analítica_contraloría[#All],5,0),"")</f>
        <v/>
      </c>
      <c r="F2656" t="str">
        <f>+IFERROR(VLOOKUP(Fact_Analitica[[#This Row], [Concepto Anterior]],Conceptos_Analítica_contraloría[#All],7,0),"")</f>
        <v/>
      </c>
      <c r="I2656" t="str">
        <f>+IFERROR(VLOOKUP(D2656,Conceptos_Analítica_contraloría[#All],2,0),"")</f>
        <v/>
      </c>
      <c r="J2656" s="84" t="str">
        <f>+IFERROR(VLOOKUP(D2656,Conceptos_Analítica_contraloría[#All],3,0),"")</f>
        <v/>
      </c>
    </row>
    <row r="2657" spans="3:10" ht="18.75" customHeight="1" x14ac:dyDescent="0.35">
      <c r="C2657" s="100" t="str">
        <f>IF(OR(Fact_Analitica[[#This Row], [Año]]="",Fact_Analitica[[#This Row], [Mes]]=""),"",DATE(A2657,MATCH(B2657,{"enero","febrero","marzo","abril","mayo","junio","julio","agosto","septiembre","octubre","noviembre","diciembre"},0)+1,0))</f>
        <v/>
      </c>
      <c r="E2657" t="str">
        <f>+IFERROR(VLOOKUP(Fact_Analitica[[#This Row], [Concepto Anterior]],Conceptos_Analítica_contraloría[#All],5,0),"")</f>
        <v/>
      </c>
      <c r="F2657" t="str">
        <f>+IFERROR(VLOOKUP(Fact_Analitica[[#This Row], [Concepto Anterior]],Conceptos_Analítica_contraloría[#All],7,0),"")</f>
        <v/>
      </c>
      <c r="I2657" t="str">
        <f>+IFERROR(VLOOKUP(D2657,Conceptos_Analítica_contraloría[#All],2,0),"")</f>
        <v/>
      </c>
      <c r="J2657" s="84" t="str">
        <f>+IFERROR(VLOOKUP(D2657,Conceptos_Analítica_contraloría[#All],3,0),"")</f>
        <v/>
      </c>
    </row>
    <row r="2658" spans="3:10" ht="18.75" customHeight="1" x14ac:dyDescent="0.35">
      <c r="C2658" s="100" t="str">
        <f>IF(OR(Fact_Analitica[[#This Row], [Año]]="",Fact_Analitica[[#This Row], [Mes]]=""),"",DATE(A2658,MATCH(B2658,{"enero","febrero","marzo","abril","mayo","junio","julio","agosto","septiembre","octubre","noviembre","diciembre"},0)+1,0))</f>
        <v/>
      </c>
      <c r="E2658" t="str">
        <f>+IFERROR(VLOOKUP(Fact_Analitica[[#This Row], [Concepto Anterior]],Conceptos_Analítica_contraloría[#All],5,0),"")</f>
        <v/>
      </c>
      <c r="F2658" t="str">
        <f>+IFERROR(VLOOKUP(Fact_Analitica[[#This Row], [Concepto Anterior]],Conceptos_Analítica_contraloría[#All],7,0),"")</f>
        <v/>
      </c>
      <c r="I2658" t="str">
        <f>+IFERROR(VLOOKUP(D2658,Conceptos_Analítica_contraloría[#All],2,0),"")</f>
        <v/>
      </c>
      <c r="J2658" s="84" t="str">
        <f>+IFERROR(VLOOKUP(D2658,Conceptos_Analítica_contraloría[#All],3,0),"")</f>
        <v/>
      </c>
    </row>
    <row r="2659" spans="3:10" ht="18.75" customHeight="1" x14ac:dyDescent="0.35">
      <c r="C2659" s="100" t="str">
        <f>IF(OR(Fact_Analitica[[#This Row], [Año]]="",Fact_Analitica[[#This Row], [Mes]]=""),"",DATE(A2659,MATCH(B2659,{"enero","febrero","marzo","abril","mayo","junio","julio","agosto","septiembre","octubre","noviembre","diciembre"},0)+1,0))</f>
        <v/>
      </c>
      <c r="E2659" t="str">
        <f>+IFERROR(VLOOKUP(Fact_Analitica[[#This Row], [Concepto Anterior]],Conceptos_Analítica_contraloría[#All],5,0),"")</f>
        <v/>
      </c>
      <c r="F2659" t="str">
        <f>+IFERROR(VLOOKUP(Fact_Analitica[[#This Row], [Concepto Anterior]],Conceptos_Analítica_contraloría[#All],7,0),"")</f>
        <v/>
      </c>
      <c r="I2659" t="str">
        <f>+IFERROR(VLOOKUP(D2659,Conceptos_Analítica_contraloría[#All],2,0),"")</f>
        <v/>
      </c>
      <c r="J2659" s="84" t="str">
        <f>+IFERROR(VLOOKUP(D2659,Conceptos_Analítica_contraloría[#All],3,0),"")</f>
        <v/>
      </c>
    </row>
    <row r="2660" spans="3:10" ht="18.75" customHeight="1" x14ac:dyDescent="0.35">
      <c r="C2660" s="100" t="str">
        <f>IF(OR(Fact_Analitica[[#This Row], [Año]]="",Fact_Analitica[[#This Row], [Mes]]=""),"",DATE(A2660,MATCH(B2660,{"enero","febrero","marzo","abril","mayo","junio","julio","agosto","septiembre","octubre","noviembre","diciembre"},0)+1,0))</f>
        <v/>
      </c>
      <c r="E2660" t="str">
        <f>+IFERROR(VLOOKUP(Fact_Analitica[[#This Row], [Concepto Anterior]],Conceptos_Analítica_contraloría[#All],5,0),"")</f>
        <v/>
      </c>
      <c r="F2660" t="str">
        <f>+IFERROR(VLOOKUP(Fact_Analitica[[#This Row], [Concepto Anterior]],Conceptos_Analítica_contraloría[#All],7,0),"")</f>
        <v/>
      </c>
      <c r="I2660" t="str">
        <f>+IFERROR(VLOOKUP(D2660,Conceptos_Analítica_contraloría[#All],2,0),"")</f>
        <v/>
      </c>
      <c r="J2660" s="84" t="str">
        <f>+IFERROR(VLOOKUP(D2660,Conceptos_Analítica_contraloría[#All],3,0),"")</f>
        <v/>
      </c>
    </row>
    <row r="2661" spans="3:10" ht="18.75" customHeight="1" x14ac:dyDescent="0.35">
      <c r="C2661" s="100" t="str">
        <f>IF(OR(Fact_Analitica[[#This Row], [Año]]="",Fact_Analitica[[#This Row], [Mes]]=""),"",DATE(A2661,MATCH(B2661,{"enero","febrero","marzo","abril","mayo","junio","julio","agosto","septiembre","octubre","noviembre","diciembre"},0)+1,0))</f>
        <v/>
      </c>
      <c r="E2661" t="str">
        <f>+IFERROR(VLOOKUP(Fact_Analitica[[#This Row], [Concepto Anterior]],Conceptos_Analítica_contraloría[#All],5,0),"")</f>
        <v/>
      </c>
      <c r="F2661" t="str">
        <f>+IFERROR(VLOOKUP(Fact_Analitica[[#This Row], [Concepto Anterior]],Conceptos_Analítica_contraloría[#All],7,0),"")</f>
        <v/>
      </c>
      <c r="I2661" t="str">
        <f>+IFERROR(VLOOKUP(D2661,Conceptos_Analítica_contraloría[#All],2,0),"")</f>
        <v/>
      </c>
      <c r="J2661" s="84" t="str">
        <f>+IFERROR(VLOOKUP(D2661,Conceptos_Analítica_contraloría[#All],3,0),"")</f>
        <v/>
      </c>
    </row>
    <row r="2662" spans="3:10" ht="18.75" customHeight="1" x14ac:dyDescent="0.35">
      <c r="C2662" s="100" t="str">
        <f>IF(OR(Fact_Analitica[[#This Row], [Año]]="",Fact_Analitica[[#This Row], [Mes]]=""),"",DATE(A2662,MATCH(B2662,{"enero","febrero","marzo","abril","mayo","junio","julio","agosto","septiembre","octubre","noviembre","diciembre"},0)+1,0))</f>
        <v/>
      </c>
      <c r="E2662" t="str">
        <f>+IFERROR(VLOOKUP(Fact_Analitica[[#This Row], [Concepto Anterior]],Conceptos_Analítica_contraloría[#All],5,0),"")</f>
        <v/>
      </c>
      <c r="F2662" t="str">
        <f>+IFERROR(VLOOKUP(Fact_Analitica[[#This Row], [Concepto Anterior]],Conceptos_Analítica_contraloría[#All],7,0),"")</f>
        <v/>
      </c>
      <c r="I2662" t="str">
        <f>+IFERROR(VLOOKUP(D2662,Conceptos_Analítica_contraloría[#All],2,0),"")</f>
        <v/>
      </c>
      <c r="J2662" s="84" t="str">
        <f>+IFERROR(VLOOKUP(D2662,Conceptos_Analítica_contraloría[#All],3,0),"")</f>
        <v/>
      </c>
    </row>
    <row r="2663" spans="3:10" ht="18.75" customHeight="1" x14ac:dyDescent="0.35">
      <c r="C2663" s="100" t="str">
        <f>IF(OR(Fact_Analitica[[#This Row], [Año]]="",Fact_Analitica[[#This Row], [Mes]]=""),"",DATE(A2663,MATCH(B2663,{"enero","febrero","marzo","abril","mayo","junio","julio","agosto","septiembre","octubre","noviembre","diciembre"},0)+1,0))</f>
        <v/>
      </c>
      <c r="E2663" t="str">
        <f>+IFERROR(VLOOKUP(Fact_Analitica[[#This Row], [Concepto Anterior]],Conceptos_Analítica_contraloría[#All],5,0),"")</f>
        <v/>
      </c>
      <c r="F2663" t="str">
        <f>+IFERROR(VLOOKUP(Fact_Analitica[[#This Row], [Concepto Anterior]],Conceptos_Analítica_contraloría[#All],7,0),"")</f>
        <v/>
      </c>
      <c r="I2663" t="str">
        <f>+IFERROR(VLOOKUP(D2663,Conceptos_Analítica_contraloría[#All],2,0),"")</f>
        <v/>
      </c>
      <c r="J2663" s="84" t="str">
        <f>+IFERROR(VLOOKUP(D2663,Conceptos_Analítica_contraloría[#All],3,0),"")</f>
        <v/>
      </c>
    </row>
    <row r="2664" spans="3:10" ht="18.75" customHeight="1" x14ac:dyDescent="0.35">
      <c r="C2664" s="100" t="str">
        <f>IF(OR(Fact_Analitica[[#This Row], [Año]]="",Fact_Analitica[[#This Row], [Mes]]=""),"",DATE(A2664,MATCH(B2664,{"enero","febrero","marzo","abril","mayo","junio","julio","agosto","septiembre","octubre","noviembre","diciembre"},0)+1,0))</f>
        <v/>
      </c>
      <c r="E2664" t="str">
        <f>+IFERROR(VLOOKUP(Fact_Analitica[[#This Row], [Concepto Anterior]],Conceptos_Analítica_contraloría[#All],5,0),"")</f>
        <v/>
      </c>
      <c r="F2664" t="str">
        <f>+IFERROR(VLOOKUP(Fact_Analitica[[#This Row], [Concepto Anterior]],Conceptos_Analítica_contraloría[#All],7,0),"")</f>
        <v/>
      </c>
      <c r="I2664" t="str">
        <f>+IFERROR(VLOOKUP(D2664,Conceptos_Analítica_contraloría[#All],2,0),"")</f>
        <v/>
      </c>
      <c r="J2664" s="84" t="str">
        <f>+IFERROR(VLOOKUP(D2664,Conceptos_Analítica_contraloría[#All],3,0),"")</f>
        <v/>
      </c>
    </row>
    <row r="2665" spans="3:10" ht="18.75" customHeight="1" x14ac:dyDescent="0.35">
      <c r="C2665" s="100" t="str">
        <f>IF(OR(Fact_Analitica[[#This Row], [Año]]="",Fact_Analitica[[#This Row], [Mes]]=""),"",DATE(A2665,MATCH(B2665,{"enero","febrero","marzo","abril","mayo","junio","julio","agosto","septiembre","octubre","noviembre","diciembre"},0)+1,0))</f>
        <v/>
      </c>
      <c r="E2665" t="str">
        <f>+IFERROR(VLOOKUP(Fact_Analitica[[#This Row], [Concepto Anterior]],Conceptos_Analítica_contraloría[#All],5,0),"")</f>
        <v/>
      </c>
      <c r="F2665" t="str">
        <f>+IFERROR(VLOOKUP(Fact_Analitica[[#This Row], [Concepto Anterior]],Conceptos_Analítica_contraloría[#All],7,0),"")</f>
        <v/>
      </c>
      <c r="I2665" t="str">
        <f>+IFERROR(VLOOKUP(D2665,Conceptos_Analítica_contraloría[#All],2,0),"")</f>
        <v/>
      </c>
      <c r="J2665" s="84" t="str">
        <f>+IFERROR(VLOOKUP(D2665,Conceptos_Analítica_contraloría[#All],3,0),"")</f>
        <v/>
      </c>
    </row>
    <row r="2666" spans="3:10" ht="18.75" customHeight="1" x14ac:dyDescent="0.35">
      <c r="C2666" s="100" t="str">
        <f>IF(OR(Fact_Analitica[[#This Row], [Año]]="",Fact_Analitica[[#This Row], [Mes]]=""),"",DATE(A2666,MATCH(B2666,{"enero","febrero","marzo","abril","mayo","junio","julio","agosto","septiembre","octubre","noviembre","diciembre"},0)+1,0))</f>
        <v/>
      </c>
      <c r="E2666" t="str">
        <f>+IFERROR(VLOOKUP(Fact_Analitica[[#This Row], [Concepto Anterior]],Conceptos_Analítica_contraloría[#All],5,0),"")</f>
        <v/>
      </c>
      <c r="F2666" t="str">
        <f>+IFERROR(VLOOKUP(Fact_Analitica[[#This Row], [Concepto Anterior]],Conceptos_Analítica_contraloría[#All],7,0),"")</f>
        <v/>
      </c>
      <c r="I2666" t="str">
        <f>+IFERROR(VLOOKUP(D2666,Conceptos_Analítica_contraloría[#All],2,0),"")</f>
        <v/>
      </c>
      <c r="J2666" s="84" t="str">
        <f>+IFERROR(VLOOKUP(D2666,Conceptos_Analítica_contraloría[#All],3,0),"")</f>
        <v/>
      </c>
    </row>
    <row r="2667" spans="3:10" ht="18.75" customHeight="1" x14ac:dyDescent="0.35">
      <c r="C2667" s="100" t="str">
        <f>IF(OR(Fact_Analitica[[#This Row], [Año]]="",Fact_Analitica[[#This Row], [Mes]]=""),"",DATE(A2667,MATCH(B2667,{"enero","febrero","marzo","abril","mayo","junio","julio","agosto","septiembre","octubre","noviembre","diciembre"},0)+1,0))</f>
        <v/>
      </c>
      <c r="E2667" t="str">
        <f>+IFERROR(VLOOKUP(Fact_Analitica[[#This Row], [Concepto Anterior]],Conceptos_Analítica_contraloría[#All],5,0),"")</f>
        <v/>
      </c>
      <c r="F2667" t="str">
        <f>+IFERROR(VLOOKUP(Fact_Analitica[[#This Row], [Concepto Anterior]],Conceptos_Analítica_contraloría[#All],7,0),"")</f>
        <v/>
      </c>
      <c r="I2667" t="str">
        <f>+IFERROR(VLOOKUP(D2667,Conceptos_Analítica_contraloría[#All],2,0),"")</f>
        <v/>
      </c>
      <c r="J2667" s="84" t="str">
        <f>+IFERROR(VLOOKUP(D2667,Conceptos_Analítica_contraloría[#All],3,0),"")</f>
        <v/>
      </c>
    </row>
    <row r="2668" spans="3:10" ht="18.75" customHeight="1" x14ac:dyDescent="0.35">
      <c r="C2668" s="100" t="str">
        <f>IF(OR(Fact_Analitica[[#This Row], [Año]]="",Fact_Analitica[[#This Row], [Mes]]=""),"",DATE(A2668,MATCH(B2668,{"enero","febrero","marzo","abril","mayo","junio","julio","agosto","septiembre","octubre","noviembre","diciembre"},0)+1,0))</f>
        <v/>
      </c>
      <c r="E2668" t="str">
        <f>+IFERROR(VLOOKUP(Fact_Analitica[[#This Row], [Concepto Anterior]],Conceptos_Analítica_contraloría[#All],5,0),"")</f>
        <v/>
      </c>
      <c r="F2668" t="str">
        <f>+IFERROR(VLOOKUP(Fact_Analitica[[#This Row], [Concepto Anterior]],Conceptos_Analítica_contraloría[#All],7,0),"")</f>
        <v/>
      </c>
      <c r="I2668" t="str">
        <f>+IFERROR(VLOOKUP(D2668,Conceptos_Analítica_contraloría[#All],2,0),"")</f>
        <v/>
      </c>
      <c r="J2668" s="84" t="str">
        <f>+IFERROR(VLOOKUP(D2668,Conceptos_Analítica_contraloría[#All],3,0),"")</f>
        <v/>
      </c>
    </row>
    <row r="2669" spans="3:10" ht="18.75" customHeight="1" x14ac:dyDescent="0.35">
      <c r="C2669" s="100" t="str">
        <f>IF(OR(Fact_Analitica[[#This Row], [Año]]="",Fact_Analitica[[#This Row], [Mes]]=""),"",DATE(A2669,MATCH(B2669,{"enero","febrero","marzo","abril","mayo","junio","julio","agosto","septiembre","octubre","noviembre","diciembre"},0)+1,0))</f>
        <v/>
      </c>
      <c r="E2669" t="str">
        <f>+IFERROR(VLOOKUP(Fact_Analitica[[#This Row], [Concepto Anterior]],Conceptos_Analítica_contraloría[#All],5,0),"")</f>
        <v/>
      </c>
      <c r="F2669" t="str">
        <f>+IFERROR(VLOOKUP(Fact_Analitica[[#This Row], [Concepto Anterior]],Conceptos_Analítica_contraloría[#All],7,0),"")</f>
        <v/>
      </c>
      <c r="I2669" t="str">
        <f>+IFERROR(VLOOKUP(D2669,Conceptos_Analítica_contraloría[#All],2,0),"")</f>
        <v/>
      </c>
      <c r="J2669" s="84" t="str">
        <f>+IFERROR(VLOOKUP(D2669,Conceptos_Analítica_contraloría[#All],3,0),"")</f>
        <v/>
      </c>
    </row>
    <row r="2670" spans="3:10" ht="18.75" customHeight="1" x14ac:dyDescent="0.35">
      <c r="C2670" s="100" t="str">
        <f>IF(OR(Fact_Analitica[[#This Row], [Año]]="",Fact_Analitica[[#This Row], [Mes]]=""),"",DATE(A2670,MATCH(B2670,{"enero","febrero","marzo","abril","mayo","junio","julio","agosto","septiembre","octubre","noviembre","diciembre"},0)+1,0))</f>
        <v/>
      </c>
      <c r="E2670" t="str">
        <f>+IFERROR(VLOOKUP(Fact_Analitica[[#This Row], [Concepto Anterior]],Conceptos_Analítica_contraloría[#All],5,0),"")</f>
        <v/>
      </c>
      <c r="F2670" t="str">
        <f>+IFERROR(VLOOKUP(Fact_Analitica[[#This Row], [Concepto Anterior]],Conceptos_Analítica_contraloría[#All],7,0),"")</f>
        <v/>
      </c>
      <c r="I2670" t="str">
        <f>+IFERROR(VLOOKUP(D2670,Conceptos_Analítica_contraloría[#All],2,0),"")</f>
        <v/>
      </c>
      <c r="J2670" s="84" t="str">
        <f>+IFERROR(VLOOKUP(D2670,Conceptos_Analítica_contraloría[#All],3,0),"")</f>
        <v/>
      </c>
    </row>
    <row r="2671" spans="3:10" ht="18.75" customHeight="1" x14ac:dyDescent="0.35">
      <c r="C2671" s="100" t="str">
        <f>IF(OR(Fact_Analitica[[#This Row], [Año]]="",Fact_Analitica[[#This Row], [Mes]]=""),"",DATE(A2671,MATCH(B2671,{"enero","febrero","marzo","abril","mayo","junio","julio","agosto","septiembre","octubre","noviembre","diciembre"},0)+1,0))</f>
        <v/>
      </c>
      <c r="E2671" t="str">
        <f>+IFERROR(VLOOKUP(Fact_Analitica[[#This Row], [Concepto Anterior]],Conceptos_Analítica_contraloría[#All],5,0),"")</f>
        <v/>
      </c>
      <c r="F2671" t="str">
        <f>+IFERROR(VLOOKUP(Fact_Analitica[[#This Row], [Concepto Anterior]],Conceptos_Analítica_contraloría[#All],7,0),"")</f>
        <v/>
      </c>
      <c r="I2671" t="str">
        <f>+IFERROR(VLOOKUP(D2671,Conceptos_Analítica_contraloría[#All],2,0),"")</f>
        <v/>
      </c>
      <c r="J2671" s="84" t="str">
        <f>+IFERROR(VLOOKUP(D2671,Conceptos_Analítica_contraloría[#All],3,0),"")</f>
        <v/>
      </c>
    </row>
    <row r="2672" spans="3:10" ht="18.75" customHeight="1" x14ac:dyDescent="0.35">
      <c r="C2672" s="100" t="str">
        <f>IF(OR(Fact_Analitica[[#This Row], [Año]]="",Fact_Analitica[[#This Row], [Mes]]=""),"",DATE(A2672,MATCH(B2672,{"enero","febrero","marzo","abril","mayo","junio","julio","agosto","septiembre","octubre","noviembre","diciembre"},0)+1,0))</f>
        <v/>
      </c>
      <c r="E2672" t="str">
        <f>+IFERROR(VLOOKUP(Fact_Analitica[[#This Row], [Concepto Anterior]],Conceptos_Analítica_contraloría[#All],5,0),"")</f>
        <v/>
      </c>
      <c r="F2672" t="str">
        <f>+IFERROR(VLOOKUP(Fact_Analitica[[#This Row], [Concepto Anterior]],Conceptos_Analítica_contraloría[#All],7,0),"")</f>
        <v/>
      </c>
      <c r="I2672" t="str">
        <f>+IFERROR(VLOOKUP(D2672,Conceptos_Analítica_contraloría[#All],2,0),"")</f>
        <v/>
      </c>
      <c r="J2672" s="84" t="str">
        <f>+IFERROR(VLOOKUP(D2672,Conceptos_Analítica_contraloría[#All],3,0),"")</f>
        <v/>
      </c>
    </row>
    <row r="2673" spans="3:10" ht="18.75" customHeight="1" x14ac:dyDescent="0.35">
      <c r="C2673" s="100" t="str">
        <f>IF(OR(Fact_Analitica[[#This Row], [Año]]="",Fact_Analitica[[#This Row], [Mes]]=""),"",DATE(A2673,MATCH(B2673,{"enero","febrero","marzo","abril","mayo","junio","julio","agosto","septiembre","octubre","noviembre","diciembre"},0)+1,0))</f>
        <v/>
      </c>
      <c r="E2673" t="str">
        <f>+IFERROR(VLOOKUP(Fact_Analitica[[#This Row], [Concepto Anterior]],Conceptos_Analítica_contraloría[#All],5,0),"")</f>
        <v/>
      </c>
      <c r="F2673" t="str">
        <f>+IFERROR(VLOOKUP(Fact_Analitica[[#This Row], [Concepto Anterior]],Conceptos_Analítica_contraloría[#All],7,0),"")</f>
        <v/>
      </c>
      <c r="I2673" t="str">
        <f>+IFERROR(VLOOKUP(D2673,Conceptos_Analítica_contraloría[#All],2,0),"")</f>
        <v/>
      </c>
      <c r="J2673" s="84" t="str">
        <f>+IFERROR(VLOOKUP(D2673,Conceptos_Analítica_contraloría[#All],3,0),"")</f>
        <v/>
      </c>
    </row>
    <row r="2674" spans="3:10" ht="18.75" customHeight="1" x14ac:dyDescent="0.35">
      <c r="C2674" s="100" t="str">
        <f>IF(OR(Fact_Analitica[[#This Row], [Año]]="",Fact_Analitica[[#This Row], [Mes]]=""),"",DATE(A2674,MATCH(B2674,{"enero","febrero","marzo","abril","mayo","junio","julio","agosto","septiembre","octubre","noviembre","diciembre"},0)+1,0))</f>
        <v/>
      </c>
      <c r="E2674" t="str">
        <f>+IFERROR(VLOOKUP(Fact_Analitica[[#This Row], [Concepto Anterior]],Conceptos_Analítica_contraloría[#All],5,0),"")</f>
        <v/>
      </c>
      <c r="F2674" t="str">
        <f>+IFERROR(VLOOKUP(Fact_Analitica[[#This Row], [Concepto Anterior]],Conceptos_Analítica_contraloría[#All],7,0),"")</f>
        <v/>
      </c>
      <c r="I2674" t="str">
        <f>+IFERROR(VLOOKUP(D2674,Conceptos_Analítica_contraloría[#All],2,0),"")</f>
        <v/>
      </c>
      <c r="J2674" s="84" t="str">
        <f>+IFERROR(VLOOKUP(D2674,Conceptos_Analítica_contraloría[#All],3,0),"")</f>
        <v/>
      </c>
    </row>
    <row r="2675" spans="3:10" ht="18.75" customHeight="1" x14ac:dyDescent="0.35">
      <c r="C2675" s="100" t="str">
        <f>IF(OR(Fact_Analitica[[#This Row], [Año]]="",Fact_Analitica[[#This Row], [Mes]]=""),"",DATE(A2675,MATCH(B2675,{"enero","febrero","marzo","abril","mayo","junio","julio","agosto","septiembre","octubre","noviembre","diciembre"},0)+1,0))</f>
        <v/>
      </c>
      <c r="E2675" t="str">
        <f>+IFERROR(VLOOKUP(Fact_Analitica[[#This Row], [Concepto Anterior]],Conceptos_Analítica_contraloría[#All],5,0),"")</f>
        <v/>
      </c>
      <c r="F2675" t="str">
        <f>+IFERROR(VLOOKUP(Fact_Analitica[[#This Row], [Concepto Anterior]],Conceptos_Analítica_contraloría[#All],7,0),"")</f>
        <v/>
      </c>
      <c r="I2675" t="str">
        <f>+IFERROR(VLOOKUP(D2675,Conceptos_Analítica_contraloría[#All],2,0),"")</f>
        <v/>
      </c>
      <c r="J2675" s="84" t="str">
        <f>+IFERROR(VLOOKUP(D2675,Conceptos_Analítica_contraloría[#All],3,0),"")</f>
        <v/>
      </c>
    </row>
    <row r="2676" spans="3:10" ht="18.75" customHeight="1" x14ac:dyDescent="0.35">
      <c r="C2676" s="100" t="str">
        <f>IF(OR(Fact_Analitica[[#This Row], [Año]]="",Fact_Analitica[[#This Row], [Mes]]=""),"",DATE(A2676,MATCH(B2676,{"enero","febrero","marzo","abril","mayo","junio","julio","agosto","septiembre","octubre","noviembre","diciembre"},0)+1,0))</f>
        <v/>
      </c>
      <c r="E2676" t="str">
        <f>+IFERROR(VLOOKUP(Fact_Analitica[[#This Row], [Concepto Anterior]],Conceptos_Analítica_contraloría[#All],5,0),"")</f>
        <v/>
      </c>
      <c r="F2676" t="str">
        <f>+IFERROR(VLOOKUP(Fact_Analitica[[#This Row], [Concepto Anterior]],Conceptos_Analítica_contraloría[#All],7,0),"")</f>
        <v/>
      </c>
      <c r="I2676" t="str">
        <f>+IFERROR(VLOOKUP(D2676,Conceptos_Analítica_contraloría[#All],2,0),"")</f>
        <v/>
      </c>
      <c r="J2676" s="84" t="str">
        <f>+IFERROR(VLOOKUP(D2676,Conceptos_Analítica_contraloría[#All],3,0),"")</f>
        <v/>
      </c>
    </row>
    <row r="2677" spans="3:10" ht="18.75" customHeight="1" x14ac:dyDescent="0.35">
      <c r="C2677" s="100" t="str">
        <f>IF(OR(Fact_Analitica[[#This Row], [Año]]="",Fact_Analitica[[#This Row], [Mes]]=""),"",DATE(A2677,MATCH(B2677,{"enero","febrero","marzo","abril","mayo","junio","julio","agosto","septiembre","octubre","noviembre","diciembre"},0)+1,0))</f>
        <v/>
      </c>
      <c r="E2677" t="str">
        <f>+IFERROR(VLOOKUP(Fact_Analitica[[#This Row], [Concepto Anterior]],Conceptos_Analítica_contraloría[#All],5,0),"")</f>
        <v/>
      </c>
      <c r="F2677" t="str">
        <f>+IFERROR(VLOOKUP(Fact_Analitica[[#This Row], [Concepto Anterior]],Conceptos_Analítica_contraloría[#All],7,0),"")</f>
        <v/>
      </c>
      <c r="I2677" t="str">
        <f>+IFERROR(VLOOKUP(D2677,Conceptos_Analítica_contraloría[#All],2,0),"")</f>
        <v/>
      </c>
      <c r="J2677" s="84" t="str">
        <f>+IFERROR(VLOOKUP(D2677,Conceptos_Analítica_contraloría[#All],3,0),"")</f>
        <v/>
      </c>
    </row>
    <row r="2678" spans="3:10" ht="18.75" customHeight="1" x14ac:dyDescent="0.35">
      <c r="C2678" s="100" t="str">
        <f>IF(OR(Fact_Analitica[[#This Row], [Año]]="",Fact_Analitica[[#This Row], [Mes]]=""),"",DATE(A2678,MATCH(B2678,{"enero","febrero","marzo","abril","mayo","junio","julio","agosto","septiembre","octubre","noviembre","diciembre"},0)+1,0))</f>
        <v/>
      </c>
      <c r="E2678" t="str">
        <f>+IFERROR(VLOOKUP(Fact_Analitica[[#This Row], [Concepto Anterior]],Conceptos_Analítica_contraloría[#All],5,0),"")</f>
        <v/>
      </c>
      <c r="F2678" t="str">
        <f>+IFERROR(VLOOKUP(Fact_Analitica[[#This Row], [Concepto Anterior]],Conceptos_Analítica_contraloría[#All],7,0),"")</f>
        <v/>
      </c>
      <c r="I2678" t="str">
        <f>+IFERROR(VLOOKUP(D2678,Conceptos_Analítica_contraloría[#All],2,0),"")</f>
        <v/>
      </c>
      <c r="J2678" s="84" t="str">
        <f>+IFERROR(VLOOKUP(D2678,Conceptos_Analítica_contraloría[#All],3,0),"")</f>
        <v/>
      </c>
    </row>
    <row r="2679" spans="3:10" ht="18.75" customHeight="1" x14ac:dyDescent="0.35">
      <c r="C2679" s="100" t="str">
        <f>IF(OR(Fact_Analitica[[#This Row], [Año]]="",Fact_Analitica[[#This Row], [Mes]]=""),"",DATE(A2679,MATCH(B2679,{"enero","febrero","marzo","abril","mayo","junio","julio","agosto","septiembre","octubre","noviembre","diciembre"},0)+1,0))</f>
        <v/>
      </c>
      <c r="E2679" t="str">
        <f>+IFERROR(VLOOKUP(Fact_Analitica[[#This Row], [Concepto Anterior]],Conceptos_Analítica_contraloría[#All],5,0),"")</f>
        <v/>
      </c>
      <c r="F2679" t="str">
        <f>+IFERROR(VLOOKUP(Fact_Analitica[[#This Row], [Concepto Anterior]],Conceptos_Analítica_contraloría[#All],7,0),"")</f>
        <v/>
      </c>
      <c r="I2679" t="str">
        <f>+IFERROR(VLOOKUP(D2679,Conceptos_Analítica_contraloría[#All],2,0),"")</f>
        <v/>
      </c>
      <c r="J2679" s="84" t="str">
        <f>+IFERROR(VLOOKUP(D2679,Conceptos_Analítica_contraloría[#All],3,0),"")</f>
        <v/>
      </c>
    </row>
    <row r="2680" spans="3:10" ht="18.75" customHeight="1" x14ac:dyDescent="0.35">
      <c r="C2680" s="100" t="str">
        <f>IF(OR(Fact_Analitica[[#This Row], [Año]]="",Fact_Analitica[[#This Row], [Mes]]=""),"",DATE(A2680,MATCH(B2680,{"enero","febrero","marzo","abril","mayo","junio","julio","agosto","septiembre","octubre","noviembre","diciembre"},0)+1,0))</f>
        <v/>
      </c>
      <c r="E2680" t="str">
        <f>+IFERROR(VLOOKUP(Fact_Analitica[[#This Row], [Concepto Anterior]],Conceptos_Analítica_contraloría[#All],5,0),"")</f>
        <v/>
      </c>
      <c r="F2680" t="str">
        <f>+IFERROR(VLOOKUP(Fact_Analitica[[#This Row], [Concepto Anterior]],Conceptos_Analítica_contraloría[#All],7,0),"")</f>
        <v/>
      </c>
      <c r="I2680" t="str">
        <f>+IFERROR(VLOOKUP(D2680,Conceptos_Analítica_contraloría[#All],2,0),"")</f>
        <v/>
      </c>
      <c r="J2680" s="84" t="str">
        <f>+IFERROR(VLOOKUP(D2680,Conceptos_Analítica_contraloría[#All],3,0),"")</f>
        <v/>
      </c>
    </row>
    <row r="2681" spans="3:10" ht="18.75" customHeight="1" x14ac:dyDescent="0.35">
      <c r="C2681" s="100" t="str">
        <f>IF(OR(Fact_Analitica[[#This Row], [Año]]="",Fact_Analitica[[#This Row], [Mes]]=""),"",DATE(A2681,MATCH(B2681,{"enero","febrero","marzo","abril","mayo","junio","julio","agosto","septiembre","octubre","noviembre","diciembre"},0)+1,0))</f>
        <v/>
      </c>
      <c r="E2681" t="str">
        <f>+IFERROR(VLOOKUP(Fact_Analitica[[#This Row], [Concepto Anterior]],Conceptos_Analítica_contraloría[#All],5,0),"")</f>
        <v/>
      </c>
      <c r="F2681" t="str">
        <f>+IFERROR(VLOOKUP(Fact_Analitica[[#This Row], [Concepto Anterior]],Conceptos_Analítica_contraloría[#All],7,0),"")</f>
        <v/>
      </c>
      <c r="I2681" t="str">
        <f>+IFERROR(VLOOKUP(D2681,Conceptos_Analítica_contraloría[#All],2,0),"")</f>
        <v/>
      </c>
      <c r="J2681" s="84" t="str">
        <f>+IFERROR(VLOOKUP(D2681,Conceptos_Analítica_contraloría[#All],3,0),"")</f>
        <v/>
      </c>
    </row>
    <row r="2682" spans="3:10" ht="18.75" customHeight="1" x14ac:dyDescent="0.35">
      <c r="C2682" s="100" t="str">
        <f>IF(OR(Fact_Analitica[[#This Row], [Año]]="",Fact_Analitica[[#This Row], [Mes]]=""),"",DATE(A2682,MATCH(B2682,{"enero","febrero","marzo","abril","mayo","junio","julio","agosto","septiembre","octubre","noviembre","diciembre"},0)+1,0))</f>
        <v/>
      </c>
      <c r="E2682" t="str">
        <f>+IFERROR(VLOOKUP(Fact_Analitica[[#This Row], [Concepto Anterior]],Conceptos_Analítica_contraloría[#All],5,0),"")</f>
        <v/>
      </c>
      <c r="F2682" t="str">
        <f>+IFERROR(VLOOKUP(Fact_Analitica[[#This Row], [Concepto Anterior]],Conceptos_Analítica_contraloría[#All],7,0),"")</f>
        <v/>
      </c>
      <c r="I2682" t="str">
        <f>+IFERROR(VLOOKUP(D2682,Conceptos_Analítica_contraloría[#All],2,0),"")</f>
        <v/>
      </c>
      <c r="J2682" s="84" t="str">
        <f>+IFERROR(VLOOKUP(D2682,Conceptos_Analítica_contraloría[#All],3,0),"")</f>
        <v/>
      </c>
    </row>
    <row r="2683" spans="3:10" ht="18.75" customHeight="1" x14ac:dyDescent="0.35">
      <c r="C2683" s="100" t="str">
        <f>IF(OR(Fact_Analitica[[#This Row], [Año]]="",Fact_Analitica[[#This Row], [Mes]]=""),"",DATE(A2683,MATCH(B2683,{"enero","febrero","marzo","abril","mayo","junio","julio","agosto","septiembre","octubre","noviembre","diciembre"},0)+1,0))</f>
        <v/>
      </c>
      <c r="E2683" t="str">
        <f>+IFERROR(VLOOKUP(Fact_Analitica[[#This Row], [Concepto Anterior]],Conceptos_Analítica_contraloría[#All],5,0),"")</f>
        <v/>
      </c>
      <c r="F2683" t="str">
        <f>+IFERROR(VLOOKUP(Fact_Analitica[[#This Row], [Concepto Anterior]],Conceptos_Analítica_contraloría[#All],7,0),"")</f>
        <v/>
      </c>
      <c r="I2683" t="str">
        <f>+IFERROR(VLOOKUP(D2683,Conceptos_Analítica_contraloría[#All],2,0),"")</f>
        <v/>
      </c>
      <c r="J2683" s="84" t="str">
        <f>+IFERROR(VLOOKUP(D2683,Conceptos_Analítica_contraloría[#All],3,0),"")</f>
        <v/>
      </c>
    </row>
    <row r="2684" spans="3:10" ht="18.75" customHeight="1" x14ac:dyDescent="0.35">
      <c r="C2684" s="100" t="str">
        <f>IF(OR(Fact_Analitica[[#This Row], [Año]]="",Fact_Analitica[[#This Row], [Mes]]=""),"",DATE(A2684,MATCH(B2684,{"enero","febrero","marzo","abril","mayo","junio","julio","agosto","septiembre","octubre","noviembre","diciembre"},0)+1,0))</f>
        <v/>
      </c>
      <c r="E2684" t="str">
        <f>+IFERROR(VLOOKUP(Fact_Analitica[[#This Row], [Concepto Anterior]],Conceptos_Analítica_contraloría[#All],5,0),"")</f>
        <v/>
      </c>
      <c r="F2684" t="str">
        <f>+IFERROR(VLOOKUP(Fact_Analitica[[#This Row], [Concepto Anterior]],Conceptos_Analítica_contraloría[#All],7,0),"")</f>
        <v/>
      </c>
      <c r="I2684" t="str">
        <f>+IFERROR(VLOOKUP(D2684,Conceptos_Analítica_contraloría[#All],2,0),"")</f>
        <v/>
      </c>
      <c r="J2684" s="84" t="str">
        <f>+IFERROR(VLOOKUP(D2684,Conceptos_Analítica_contraloría[#All],3,0),"")</f>
        <v/>
      </c>
    </row>
    <row r="2685" spans="3:10" ht="18.75" customHeight="1" x14ac:dyDescent="0.35">
      <c r="C2685" s="100" t="str">
        <f>IF(OR(Fact_Analitica[[#This Row], [Año]]="",Fact_Analitica[[#This Row], [Mes]]=""),"",DATE(A2685,MATCH(B2685,{"enero","febrero","marzo","abril","mayo","junio","julio","agosto","septiembre","octubre","noviembre","diciembre"},0)+1,0))</f>
        <v/>
      </c>
      <c r="E2685" t="str">
        <f>+IFERROR(VLOOKUP(Fact_Analitica[[#This Row], [Concepto Anterior]],Conceptos_Analítica_contraloría[#All],5,0),"")</f>
        <v/>
      </c>
      <c r="F2685" t="str">
        <f>+IFERROR(VLOOKUP(Fact_Analitica[[#This Row], [Concepto Anterior]],Conceptos_Analítica_contraloría[#All],7,0),"")</f>
        <v/>
      </c>
      <c r="I2685" t="str">
        <f>+IFERROR(VLOOKUP(D2685,Conceptos_Analítica_contraloría[#All],2,0),"")</f>
        <v/>
      </c>
      <c r="J2685" s="84" t="str">
        <f>+IFERROR(VLOOKUP(D2685,Conceptos_Analítica_contraloría[#All],3,0),"")</f>
        <v/>
      </c>
    </row>
    <row r="2686" spans="3:10" ht="18.75" customHeight="1" x14ac:dyDescent="0.35">
      <c r="C2686" s="100" t="str">
        <f>IF(OR(Fact_Analitica[[#This Row], [Año]]="",Fact_Analitica[[#This Row], [Mes]]=""),"",DATE(A2686,MATCH(B2686,{"enero","febrero","marzo","abril","mayo","junio","julio","agosto","septiembre","octubre","noviembre","diciembre"},0)+1,0))</f>
        <v/>
      </c>
      <c r="E2686" t="str">
        <f>+IFERROR(VLOOKUP(Fact_Analitica[[#This Row], [Concepto Anterior]],Conceptos_Analítica_contraloría[#All],5,0),"")</f>
        <v/>
      </c>
      <c r="F2686" t="str">
        <f>+IFERROR(VLOOKUP(Fact_Analitica[[#This Row], [Concepto Anterior]],Conceptos_Analítica_contraloría[#All],7,0),"")</f>
        <v/>
      </c>
      <c r="I2686" t="str">
        <f>+IFERROR(VLOOKUP(D2686,Conceptos_Analítica_contraloría[#All],2,0),"")</f>
        <v/>
      </c>
      <c r="J2686" s="84" t="str">
        <f>+IFERROR(VLOOKUP(D2686,Conceptos_Analítica_contraloría[#All],3,0),"")</f>
        <v/>
      </c>
    </row>
    <row r="2687" spans="3:10" ht="18.75" customHeight="1" x14ac:dyDescent="0.35">
      <c r="C2687" s="100" t="str">
        <f>IF(OR(Fact_Analitica[[#This Row], [Año]]="",Fact_Analitica[[#This Row], [Mes]]=""),"",DATE(A2687,MATCH(B2687,{"enero","febrero","marzo","abril","mayo","junio","julio","agosto","septiembre","octubre","noviembre","diciembre"},0)+1,0))</f>
        <v/>
      </c>
      <c r="E2687" t="str">
        <f>+IFERROR(VLOOKUP(Fact_Analitica[[#This Row], [Concepto Anterior]],Conceptos_Analítica_contraloría[#All],5,0),"")</f>
        <v/>
      </c>
      <c r="F2687" t="str">
        <f>+IFERROR(VLOOKUP(Fact_Analitica[[#This Row], [Concepto Anterior]],Conceptos_Analítica_contraloría[#All],7,0),"")</f>
        <v/>
      </c>
      <c r="I2687" t="str">
        <f>+IFERROR(VLOOKUP(D2687,Conceptos_Analítica_contraloría[#All],2,0),"")</f>
        <v/>
      </c>
      <c r="J2687" s="84" t="str">
        <f>+IFERROR(VLOOKUP(D2687,Conceptos_Analítica_contraloría[#All],3,0),"")</f>
        <v/>
      </c>
    </row>
    <row r="2688" spans="3:10" ht="18.75" customHeight="1" x14ac:dyDescent="0.35">
      <c r="C2688" s="100" t="str">
        <f>IF(OR(Fact_Analitica[[#This Row], [Año]]="",Fact_Analitica[[#This Row], [Mes]]=""),"",DATE(A2688,MATCH(B2688,{"enero","febrero","marzo","abril","mayo","junio","julio","agosto","septiembre","octubre","noviembre","diciembre"},0)+1,0))</f>
        <v/>
      </c>
      <c r="E2688" t="str">
        <f>+IFERROR(VLOOKUP(Fact_Analitica[[#This Row], [Concepto Anterior]],Conceptos_Analítica_contraloría[#All],5,0),"")</f>
        <v/>
      </c>
      <c r="F2688" t="str">
        <f>+IFERROR(VLOOKUP(Fact_Analitica[[#This Row], [Concepto Anterior]],Conceptos_Analítica_contraloría[#All],7,0),"")</f>
        <v/>
      </c>
      <c r="I2688" t="str">
        <f>+IFERROR(VLOOKUP(D2688,Conceptos_Analítica_contraloría[#All],2,0),"")</f>
        <v/>
      </c>
      <c r="J2688" s="84" t="str">
        <f>+IFERROR(VLOOKUP(D2688,Conceptos_Analítica_contraloría[#All],3,0),"")</f>
        <v/>
      </c>
    </row>
    <row r="2689" spans="3:10" ht="18.75" customHeight="1" x14ac:dyDescent="0.35">
      <c r="C2689" s="100" t="str">
        <f>IF(OR(Fact_Analitica[[#This Row], [Año]]="",Fact_Analitica[[#This Row], [Mes]]=""),"",DATE(A2689,MATCH(B2689,{"enero","febrero","marzo","abril","mayo","junio","julio","agosto","septiembre","octubre","noviembre","diciembre"},0)+1,0))</f>
        <v/>
      </c>
      <c r="E2689" t="str">
        <f>+IFERROR(VLOOKUP(Fact_Analitica[[#This Row], [Concepto Anterior]],Conceptos_Analítica_contraloría[#All],5,0),"")</f>
        <v/>
      </c>
      <c r="F2689" t="str">
        <f>+IFERROR(VLOOKUP(Fact_Analitica[[#This Row], [Concepto Anterior]],Conceptos_Analítica_contraloría[#All],7,0),"")</f>
        <v/>
      </c>
      <c r="I2689" t="str">
        <f>+IFERROR(VLOOKUP(D2689,Conceptos_Analítica_contraloría[#All],2,0),"")</f>
        <v/>
      </c>
      <c r="J2689" s="84" t="str">
        <f>+IFERROR(VLOOKUP(D2689,Conceptos_Analítica_contraloría[#All],3,0),"")</f>
        <v/>
      </c>
    </row>
    <row r="2690" spans="3:10" ht="18.75" customHeight="1" x14ac:dyDescent="0.35">
      <c r="C2690" s="100" t="str">
        <f>IF(OR(Fact_Analitica[[#This Row], [Año]]="",Fact_Analitica[[#This Row], [Mes]]=""),"",DATE(A2690,MATCH(B2690,{"enero","febrero","marzo","abril","mayo","junio","julio","agosto","septiembre","octubre","noviembre","diciembre"},0)+1,0))</f>
        <v/>
      </c>
      <c r="E2690" t="str">
        <f>+IFERROR(VLOOKUP(Fact_Analitica[[#This Row], [Concepto Anterior]],Conceptos_Analítica_contraloría[#All],5,0),"")</f>
        <v/>
      </c>
      <c r="F2690" t="str">
        <f>+IFERROR(VLOOKUP(Fact_Analitica[[#This Row], [Concepto Anterior]],Conceptos_Analítica_contraloría[#All],7,0),"")</f>
        <v/>
      </c>
      <c r="I2690" t="str">
        <f>+IFERROR(VLOOKUP(D2690,Conceptos_Analítica_contraloría[#All],2,0),"")</f>
        <v/>
      </c>
      <c r="J2690" s="84" t="str">
        <f>+IFERROR(VLOOKUP(D2690,Conceptos_Analítica_contraloría[#All],3,0),"")</f>
        <v/>
      </c>
    </row>
    <row r="2691" spans="3:10" ht="18.75" customHeight="1" x14ac:dyDescent="0.35">
      <c r="C2691" s="100" t="str">
        <f>IF(OR(Fact_Analitica[[#This Row], [Año]]="",Fact_Analitica[[#This Row], [Mes]]=""),"",DATE(A2691,MATCH(B2691,{"enero","febrero","marzo","abril","mayo","junio","julio","agosto","septiembre","octubre","noviembre","diciembre"},0)+1,0))</f>
        <v/>
      </c>
      <c r="E2691" t="str">
        <f>+IFERROR(VLOOKUP(Fact_Analitica[[#This Row], [Concepto Anterior]],Conceptos_Analítica_contraloría[#All],5,0),"")</f>
        <v/>
      </c>
      <c r="F2691" t="str">
        <f>+IFERROR(VLOOKUP(Fact_Analitica[[#This Row], [Concepto Anterior]],Conceptos_Analítica_contraloría[#All],7,0),"")</f>
        <v/>
      </c>
      <c r="I2691" t="str">
        <f>+IFERROR(VLOOKUP(D2691,Conceptos_Analítica_contraloría[#All],2,0),"")</f>
        <v/>
      </c>
      <c r="J2691" s="84" t="str">
        <f>+IFERROR(VLOOKUP(D2691,Conceptos_Analítica_contraloría[#All],3,0),"")</f>
        <v/>
      </c>
    </row>
    <row r="2692" spans="3:10" ht="18.75" customHeight="1" x14ac:dyDescent="0.35">
      <c r="C2692" s="100" t="str">
        <f>IF(OR(Fact_Analitica[[#This Row], [Año]]="",Fact_Analitica[[#This Row], [Mes]]=""),"",DATE(A2692,MATCH(B2692,{"enero","febrero","marzo","abril","mayo","junio","julio","agosto","septiembre","octubre","noviembre","diciembre"},0)+1,0))</f>
        <v/>
      </c>
      <c r="E2692" t="str">
        <f>+IFERROR(VLOOKUP(Fact_Analitica[[#This Row], [Concepto Anterior]],Conceptos_Analítica_contraloría[#All],5,0),"")</f>
        <v/>
      </c>
      <c r="F2692" t="str">
        <f>+IFERROR(VLOOKUP(Fact_Analitica[[#This Row], [Concepto Anterior]],Conceptos_Analítica_contraloría[#All],7,0),"")</f>
        <v/>
      </c>
      <c r="I2692" t="str">
        <f>+IFERROR(VLOOKUP(D2692,Conceptos_Analítica_contraloría[#All],2,0),"")</f>
        <v/>
      </c>
      <c r="J2692" s="84" t="str">
        <f>+IFERROR(VLOOKUP(D2692,Conceptos_Analítica_contraloría[#All],3,0),"")</f>
        <v/>
      </c>
    </row>
    <row r="2693" spans="3:10" ht="18.75" customHeight="1" x14ac:dyDescent="0.35">
      <c r="C2693" s="100" t="str">
        <f>IF(OR(Fact_Analitica[[#This Row], [Año]]="",Fact_Analitica[[#This Row], [Mes]]=""),"",DATE(A2693,MATCH(B2693,{"enero","febrero","marzo","abril","mayo","junio","julio","agosto","septiembre","octubre","noviembre","diciembre"},0)+1,0))</f>
        <v/>
      </c>
      <c r="E2693" t="str">
        <f>+IFERROR(VLOOKUP(Fact_Analitica[[#This Row], [Concepto Anterior]],Conceptos_Analítica_contraloría[#All],5,0),"")</f>
        <v/>
      </c>
      <c r="F2693" t="str">
        <f>+IFERROR(VLOOKUP(Fact_Analitica[[#This Row], [Concepto Anterior]],Conceptos_Analítica_contraloría[#All],7,0),"")</f>
        <v/>
      </c>
      <c r="I2693" t="str">
        <f>+IFERROR(VLOOKUP(D2693,Conceptos_Analítica_contraloría[#All],2,0),"")</f>
        <v/>
      </c>
      <c r="J2693" s="84" t="str">
        <f>+IFERROR(VLOOKUP(D2693,Conceptos_Analítica_contraloría[#All],3,0),"")</f>
        <v/>
      </c>
    </row>
    <row r="2694" spans="3:10" ht="18.75" customHeight="1" x14ac:dyDescent="0.35">
      <c r="C2694" s="100" t="str">
        <f>IF(OR(Fact_Analitica[[#This Row], [Año]]="",Fact_Analitica[[#This Row], [Mes]]=""),"",DATE(A2694,MATCH(B2694,{"enero","febrero","marzo","abril","mayo","junio","julio","agosto","septiembre","octubre","noviembre","diciembre"},0)+1,0))</f>
        <v/>
      </c>
      <c r="E2694" t="str">
        <f>+IFERROR(VLOOKUP(Fact_Analitica[[#This Row], [Concepto Anterior]],Conceptos_Analítica_contraloría[#All],5,0),"")</f>
        <v/>
      </c>
      <c r="F2694" t="str">
        <f>+IFERROR(VLOOKUP(Fact_Analitica[[#This Row], [Concepto Anterior]],Conceptos_Analítica_contraloría[#All],7,0),"")</f>
        <v/>
      </c>
      <c r="I2694" t="str">
        <f>+IFERROR(VLOOKUP(D2694,Conceptos_Analítica_contraloría[#All],2,0),"")</f>
        <v/>
      </c>
      <c r="J2694" s="84" t="str">
        <f>+IFERROR(VLOOKUP(D2694,Conceptos_Analítica_contraloría[#All],3,0),"")</f>
        <v/>
      </c>
    </row>
    <row r="2695" spans="3:10" ht="18.75" customHeight="1" x14ac:dyDescent="0.35">
      <c r="C2695" s="100" t="str">
        <f>IF(OR(Fact_Analitica[[#This Row], [Año]]="",Fact_Analitica[[#This Row], [Mes]]=""),"",DATE(A2695,MATCH(B2695,{"enero","febrero","marzo","abril","mayo","junio","julio","agosto","septiembre","octubre","noviembre","diciembre"},0)+1,0))</f>
        <v/>
      </c>
      <c r="E2695" t="str">
        <f>+IFERROR(VLOOKUP(Fact_Analitica[[#This Row], [Concepto Anterior]],Conceptos_Analítica_contraloría[#All],5,0),"")</f>
        <v/>
      </c>
      <c r="F2695" t="str">
        <f>+IFERROR(VLOOKUP(Fact_Analitica[[#This Row], [Concepto Anterior]],Conceptos_Analítica_contraloría[#All],7,0),"")</f>
        <v/>
      </c>
      <c r="I2695" t="str">
        <f>+IFERROR(VLOOKUP(D2695,Conceptos_Analítica_contraloría[#All],2,0),"")</f>
        <v/>
      </c>
      <c r="J2695" s="84" t="str">
        <f>+IFERROR(VLOOKUP(D2695,Conceptos_Analítica_contraloría[#All],3,0),"")</f>
        <v/>
      </c>
    </row>
    <row r="2696" spans="3:10" ht="18.75" customHeight="1" x14ac:dyDescent="0.35">
      <c r="C2696" s="100" t="str">
        <f>IF(OR(Fact_Analitica[[#This Row], [Año]]="",Fact_Analitica[[#This Row], [Mes]]=""),"",DATE(A2696,MATCH(B2696,{"enero","febrero","marzo","abril","mayo","junio","julio","agosto","septiembre","octubre","noviembre","diciembre"},0)+1,0))</f>
        <v/>
      </c>
      <c r="E2696" t="str">
        <f>+IFERROR(VLOOKUP(Fact_Analitica[[#This Row], [Concepto Anterior]],Conceptos_Analítica_contraloría[#All],5,0),"")</f>
        <v/>
      </c>
      <c r="F2696" t="str">
        <f>+IFERROR(VLOOKUP(Fact_Analitica[[#This Row], [Concepto Anterior]],Conceptos_Analítica_contraloría[#All],7,0),"")</f>
        <v/>
      </c>
      <c r="I2696" t="str">
        <f>+IFERROR(VLOOKUP(D2696,Conceptos_Analítica_contraloría[#All],2,0),"")</f>
        <v/>
      </c>
      <c r="J2696" s="84" t="str">
        <f>+IFERROR(VLOOKUP(D2696,Conceptos_Analítica_contraloría[#All],3,0),"")</f>
        <v/>
      </c>
    </row>
    <row r="2697" spans="3:10" ht="18.75" customHeight="1" x14ac:dyDescent="0.35">
      <c r="C2697" s="100" t="str">
        <f>IF(OR(Fact_Analitica[[#This Row], [Año]]="",Fact_Analitica[[#This Row], [Mes]]=""),"",DATE(A2697,MATCH(B2697,{"enero","febrero","marzo","abril","mayo","junio","julio","agosto","septiembre","octubre","noviembre","diciembre"},0)+1,0))</f>
        <v/>
      </c>
      <c r="E2697" t="str">
        <f>+IFERROR(VLOOKUP(Fact_Analitica[[#This Row], [Concepto Anterior]],Conceptos_Analítica_contraloría[#All],5,0),"")</f>
        <v/>
      </c>
      <c r="F2697" t="str">
        <f>+IFERROR(VLOOKUP(Fact_Analitica[[#This Row], [Concepto Anterior]],Conceptos_Analítica_contraloría[#All],7,0),"")</f>
        <v/>
      </c>
      <c r="I2697" t="str">
        <f>+IFERROR(VLOOKUP(D2697,Conceptos_Analítica_contraloría[#All],2,0),"")</f>
        <v/>
      </c>
      <c r="J2697" s="84" t="str">
        <f>+IFERROR(VLOOKUP(D2697,Conceptos_Analítica_contraloría[#All],3,0),"")</f>
        <v/>
      </c>
    </row>
    <row r="2698" spans="3:10" ht="18.75" customHeight="1" x14ac:dyDescent="0.35">
      <c r="C2698" s="100" t="str">
        <f>IF(OR(Fact_Analitica[[#This Row], [Año]]="",Fact_Analitica[[#This Row], [Mes]]=""),"",DATE(A2698,MATCH(B2698,{"enero","febrero","marzo","abril","mayo","junio","julio","agosto","septiembre","octubre","noviembre","diciembre"},0)+1,0))</f>
        <v/>
      </c>
      <c r="E2698" t="str">
        <f>+IFERROR(VLOOKUP(Fact_Analitica[[#This Row], [Concepto Anterior]],Conceptos_Analítica_contraloría[#All],5,0),"")</f>
        <v/>
      </c>
      <c r="F2698" t="str">
        <f>+IFERROR(VLOOKUP(Fact_Analitica[[#This Row], [Concepto Anterior]],Conceptos_Analítica_contraloría[#All],7,0),"")</f>
        <v/>
      </c>
      <c r="I2698" t="str">
        <f>+IFERROR(VLOOKUP(D2698,Conceptos_Analítica_contraloría[#All],2,0),"")</f>
        <v/>
      </c>
      <c r="J2698" s="84" t="str">
        <f>+IFERROR(VLOOKUP(D2698,Conceptos_Analítica_contraloría[#All],3,0),"")</f>
        <v/>
      </c>
    </row>
    <row r="2699" spans="3:10" ht="18.75" customHeight="1" x14ac:dyDescent="0.35">
      <c r="C2699" s="100" t="str">
        <f>IF(OR(Fact_Analitica[[#This Row], [Año]]="",Fact_Analitica[[#This Row], [Mes]]=""),"",DATE(A2699,MATCH(B2699,{"enero","febrero","marzo","abril","mayo","junio","julio","agosto","septiembre","octubre","noviembre","diciembre"},0)+1,0))</f>
        <v/>
      </c>
      <c r="E2699" t="str">
        <f>+IFERROR(VLOOKUP(Fact_Analitica[[#This Row], [Concepto Anterior]],Conceptos_Analítica_contraloría[#All],5,0),"")</f>
        <v/>
      </c>
      <c r="F2699" t="str">
        <f>+IFERROR(VLOOKUP(Fact_Analitica[[#This Row], [Concepto Anterior]],Conceptos_Analítica_contraloría[#All],7,0),"")</f>
        <v/>
      </c>
      <c r="I2699" t="str">
        <f>+IFERROR(VLOOKUP(D2699,Conceptos_Analítica_contraloría[#All],2,0),"")</f>
        <v/>
      </c>
      <c r="J2699" s="84" t="str">
        <f>+IFERROR(VLOOKUP(D2699,Conceptos_Analítica_contraloría[#All],3,0),"")</f>
        <v/>
      </c>
    </row>
    <row r="2700" spans="3:10" ht="18.75" customHeight="1" x14ac:dyDescent="0.35">
      <c r="C2700" s="100" t="str">
        <f>IF(OR(Fact_Analitica[[#This Row], [Año]]="",Fact_Analitica[[#This Row], [Mes]]=""),"",DATE(A2700,MATCH(B2700,{"enero","febrero","marzo","abril","mayo","junio","julio","agosto","septiembre","octubre","noviembre","diciembre"},0)+1,0))</f>
        <v/>
      </c>
      <c r="E2700" t="str">
        <f>+IFERROR(VLOOKUP(Fact_Analitica[[#This Row], [Concepto Anterior]],Conceptos_Analítica_contraloría[#All],5,0),"")</f>
        <v/>
      </c>
      <c r="F2700" t="str">
        <f>+IFERROR(VLOOKUP(Fact_Analitica[[#This Row], [Concepto Anterior]],Conceptos_Analítica_contraloría[#All],7,0),"")</f>
        <v/>
      </c>
      <c r="I2700" t="str">
        <f>+IFERROR(VLOOKUP(D2700,Conceptos_Analítica_contraloría[#All],2,0),"")</f>
        <v/>
      </c>
      <c r="J2700" s="84" t="str">
        <f>+IFERROR(VLOOKUP(D2700,Conceptos_Analítica_contraloría[#All],3,0),"")</f>
        <v/>
      </c>
    </row>
    <row r="2701" spans="3:10" ht="18.75" customHeight="1" x14ac:dyDescent="0.35">
      <c r="C2701" s="100" t="str">
        <f>IF(OR(Fact_Analitica[[#This Row], [Año]]="",Fact_Analitica[[#This Row], [Mes]]=""),"",DATE(A2701,MATCH(B2701,{"enero","febrero","marzo","abril","mayo","junio","julio","agosto","septiembre","octubre","noviembre","diciembre"},0)+1,0))</f>
        <v/>
      </c>
      <c r="E2701" t="str">
        <f>+IFERROR(VLOOKUP(Fact_Analitica[[#This Row], [Concepto Anterior]],Conceptos_Analítica_contraloría[#All],5,0),"")</f>
        <v/>
      </c>
      <c r="F2701" t="str">
        <f>+IFERROR(VLOOKUP(Fact_Analitica[[#This Row], [Concepto Anterior]],Conceptos_Analítica_contraloría[#All],7,0),"")</f>
        <v/>
      </c>
      <c r="I2701" t="str">
        <f>+IFERROR(VLOOKUP(D2701,Conceptos_Analítica_contraloría[#All],2,0),"")</f>
        <v/>
      </c>
      <c r="J2701" s="84" t="str">
        <f>+IFERROR(VLOOKUP(D2701,Conceptos_Analítica_contraloría[#All],3,0),"")</f>
        <v/>
      </c>
    </row>
    <row r="2702" spans="3:10" ht="18.75" customHeight="1" x14ac:dyDescent="0.35">
      <c r="C2702" s="100" t="str">
        <f>IF(OR(Fact_Analitica[[#This Row], [Año]]="",Fact_Analitica[[#This Row], [Mes]]=""),"",DATE(A2702,MATCH(B2702,{"enero","febrero","marzo","abril","mayo","junio","julio","agosto","septiembre","octubre","noviembre","diciembre"},0)+1,0))</f>
        <v/>
      </c>
      <c r="E2702" t="str">
        <f>+IFERROR(VLOOKUP(Fact_Analitica[[#This Row], [Concepto Anterior]],Conceptos_Analítica_contraloría[#All],5,0),"")</f>
        <v/>
      </c>
      <c r="F2702" t="str">
        <f>+IFERROR(VLOOKUP(Fact_Analitica[[#This Row], [Concepto Anterior]],Conceptos_Analítica_contraloría[#All],7,0),"")</f>
        <v/>
      </c>
      <c r="I2702" t="str">
        <f>+IFERROR(VLOOKUP(D2702,Conceptos_Analítica_contraloría[#All],2,0),"")</f>
        <v/>
      </c>
      <c r="J2702" s="84" t="str">
        <f>+IFERROR(VLOOKUP(D2702,Conceptos_Analítica_contraloría[#All],3,0),"")</f>
        <v/>
      </c>
    </row>
    <row r="2703" spans="3:10" ht="18.75" customHeight="1" x14ac:dyDescent="0.35">
      <c r="C2703" s="100" t="str">
        <f>IF(OR(Fact_Analitica[[#This Row], [Año]]="",Fact_Analitica[[#This Row], [Mes]]=""),"",DATE(A2703,MATCH(B2703,{"enero","febrero","marzo","abril","mayo","junio","julio","agosto","septiembre","octubre","noviembre","diciembre"},0)+1,0))</f>
        <v/>
      </c>
      <c r="E2703" t="str">
        <f>+IFERROR(VLOOKUP(Fact_Analitica[[#This Row], [Concepto Anterior]],Conceptos_Analítica_contraloría[#All],5,0),"")</f>
        <v/>
      </c>
      <c r="F2703" t="str">
        <f>+IFERROR(VLOOKUP(Fact_Analitica[[#This Row], [Concepto Anterior]],Conceptos_Analítica_contraloría[#All],7,0),"")</f>
        <v/>
      </c>
      <c r="I2703" t="str">
        <f>+IFERROR(VLOOKUP(D2703,Conceptos_Analítica_contraloría[#All],2,0),"")</f>
        <v/>
      </c>
      <c r="J2703" s="84" t="str">
        <f>+IFERROR(VLOOKUP(D2703,Conceptos_Analítica_contraloría[#All],3,0),"")</f>
        <v/>
      </c>
    </row>
    <row r="2704" spans="3:10" ht="18.75" customHeight="1" x14ac:dyDescent="0.35">
      <c r="C2704" s="100" t="str">
        <f>IF(OR(Fact_Analitica[[#This Row], [Año]]="",Fact_Analitica[[#This Row], [Mes]]=""),"",DATE(A2704,MATCH(B2704,{"enero","febrero","marzo","abril","mayo","junio","julio","agosto","septiembre","octubre","noviembre","diciembre"},0)+1,0))</f>
        <v/>
      </c>
      <c r="E2704" t="str">
        <f>+IFERROR(VLOOKUP(Fact_Analitica[[#This Row], [Concepto Anterior]],Conceptos_Analítica_contraloría[#All],5,0),"")</f>
        <v/>
      </c>
      <c r="F2704" t="str">
        <f>+IFERROR(VLOOKUP(Fact_Analitica[[#This Row], [Concepto Anterior]],Conceptos_Analítica_contraloría[#All],7,0),"")</f>
        <v/>
      </c>
      <c r="I2704" t="str">
        <f>+IFERROR(VLOOKUP(D2704,Conceptos_Analítica_contraloría[#All],2,0),"")</f>
        <v/>
      </c>
      <c r="J2704" s="84" t="str">
        <f>+IFERROR(VLOOKUP(D2704,Conceptos_Analítica_contraloría[#All],3,0),"")</f>
        <v/>
      </c>
    </row>
    <row r="2705" spans="3:10" ht="18.75" customHeight="1" x14ac:dyDescent="0.35">
      <c r="C2705" s="100" t="str">
        <f>IF(OR(Fact_Analitica[[#This Row], [Año]]="",Fact_Analitica[[#This Row], [Mes]]=""),"",DATE(A2705,MATCH(B2705,{"enero","febrero","marzo","abril","mayo","junio","julio","agosto","septiembre","octubre","noviembre","diciembre"},0)+1,0))</f>
        <v/>
      </c>
      <c r="E2705" t="str">
        <f>+IFERROR(VLOOKUP(Fact_Analitica[[#This Row], [Concepto Anterior]],Conceptos_Analítica_contraloría[#All],5,0),"")</f>
        <v/>
      </c>
      <c r="F2705" t="str">
        <f>+IFERROR(VLOOKUP(Fact_Analitica[[#This Row], [Concepto Anterior]],Conceptos_Analítica_contraloría[#All],7,0),"")</f>
        <v/>
      </c>
      <c r="I2705" t="str">
        <f>+IFERROR(VLOOKUP(D2705,Conceptos_Analítica_contraloría[#All],2,0),"")</f>
        <v/>
      </c>
      <c r="J2705" s="84" t="str">
        <f>+IFERROR(VLOOKUP(D2705,Conceptos_Analítica_contraloría[#All],3,0),"")</f>
        <v/>
      </c>
    </row>
    <row r="2706" spans="3:10" ht="18.75" customHeight="1" x14ac:dyDescent="0.35">
      <c r="C2706" s="100" t="str">
        <f>IF(OR(Fact_Analitica[[#This Row], [Año]]="",Fact_Analitica[[#This Row], [Mes]]=""),"",DATE(A2706,MATCH(B2706,{"enero","febrero","marzo","abril","mayo","junio","julio","agosto","septiembre","octubre","noviembre","diciembre"},0)+1,0))</f>
        <v/>
      </c>
      <c r="E2706" t="str">
        <f>+IFERROR(VLOOKUP(Fact_Analitica[[#This Row], [Concepto Anterior]],Conceptos_Analítica_contraloría[#All],5,0),"")</f>
        <v/>
      </c>
      <c r="F2706" t="str">
        <f>+IFERROR(VLOOKUP(Fact_Analitica[[#This Row], [Concepto Anterior]],Conceptos_Analítica_contraloría[#All],7,0),"")</f>
        <v/>
      </c>
      <c r="I2706" t="str">
        <f>+IFERROR(VLOOKUP(D2706,Conceptos_Analítica_contraloría[#All],2,0),"")</f>
        <v/>
      </c>
      <c r="J2706" s="84" t="str">
        <f>+IFERROR(VLOOKUP(D2706,Conceptos_Analítica_contraloría[#All],3,0),"")</f>
        <v/>
      </c>
    </row>
    <row r="2707" spans="3:10" ht="18.75" customHeight="1" x14ac:dyDescent="0.35">
      <c r="C2707" s="100" t="str">
        <f>IF(OR(Fact_Analitica[[#This Row], [Año]]="",Fact_Analitica[[#This Row], [Mes]]=""),"",DATE(A2707,MATCH(B2707,{"enero","febrero","marzo","abril","mayo","junio","julio","agosto","septiembre","octubre","noviembre","diciembre"},0)+1,0))</f>
        <v/>
      </c>
      <c r="E2707" t="str">
        <f>+IFERROR(VLOOKUP(Fact_Analitica[[#This Row], [Concepto Anterior]],Conceptos_Analítica_contraloría[#All],5,0),"")</f>
        <v/>
      </c>
      <c r="F2707" t="str">
        <f>+IFERROR(VLOOKUP(Fact_Analitica[[#This Row], [Concepto Anterior]],Conceptos_Analítica_contraloría[#All],7,0),"")</f>
        <v/>
      </c>
      <c r="I2707" t="str">
        <f>+IFERROR(VLOOKUP(D2707,Conceptos_Analítica_contraloría[#All],2,0),"")</f>
        <v/>
      </c>
      <c r="J2707" s="84" t="str">
        <f>+IFERROR(VLOOKUP(D2707,Conceptos_Analítica_contraloría[#All],3,0),"")</f>
        <v/>
      </c>
    </row>
    <row r="2708" spans="3:10" ht="18.75" customHeight="1" x14ac:dyDescent="0.35">
      <c r="C2708" s="100" t="str">
        <f>IF(OR(Fact_Analitica[[#This Row], [Año]]="",Fact_Analitica[[#This Row], [Mes]]=""),"",DATE(A2708,MATCH(B2708,{"enero","febrero","marzo","abril","mayo","junio","julio","agosto","septiembre","octubre","noviembre","diciembre"},0)+1,0))</f>
        <v/>
      </c>
      <c r="E2708" t="str">
        <f>+IFERROR(VLOOKUP(Fact_Analitica[[#This Row], [Concepto Anterior]],Conceptos_Analítica_contraloría[#All],5,0),"")</f>
        <v/>
      </c>
      <c r="F2708" t="str">
        <f>+IFERROR(VLOOKUP(Fact_Analitica[[#This Row], [Concepto Anterior]],Conceptos_Analítica_contraloría[#All],7,0),"")</f>
        <v/>
      </c>
      <c r="I2708" t="str">
        <f>+IFERROR(VLOOKUP(D2708,Conceptos_Analítica_contraloría[#All],2,0),"")</f>
        <v/>
      </c>
      <c r="J2708" s="84" t="str">
        <f>+IFERROR(VLOOKUP(D2708,Conceptos_Analítica_contraloría[#All],3,0),"")</f>
        <v/>
      </c>
    </row>
    <row r="2709" spans="3:10" ht="18.75" customHeight="1" x14ac:dyDescent="0.35">
      <c r="C2709" s="100" t="str">
        <f>IF(OR(Fact_Analitica[[#This Row], [Año]]="",Fact_Analitica[[#This Row], [Mes]]=""),"",DATE(A2709,MATCH(B2709,{"enero","febrero","marzo","abril","mayo","junio","julio","agosto","septiembre","octubre","noviembre","diciembre"},0)+1,0))</f>
        <v/>
      </c>
      <c r="E2709" t="str">
        <f>+IFERROR(VLOOKUP(Fact_Analitica[[#This Row], [Concepto Anterior]],Conceptos_Analítica_contraloría[#All],5,0),"")</f>
        <v/>
      </c>
      <c r="F2709" t="str">
        <f>+IFERROR(VLOOKUP(Fact_Analitica[[#This Row], [Concepto Anterior]],Conceptos_Analítica_contraloría[#All],7,0),"")</f>
        <v/>
      </c>
      <c r="I2709" t="str">
        <f>+IFERROR(VLOOKUP(D2709,Conceptos_Analítica_contraloría[#All],2,0),"")</f>
        <v/>
      </c>
      <c r="J2709" s="84" t="str">
        <f>+IFERROR(VLOOKUP(D2709,Conceptos_Analítica_contraloría[#All],3,0),"")</f>
        <v/>
      </c>
    </row>
    <row r="2710" spans="3:10" ht="18.75" customHeight="1" x14ac:dyDescent="0.35">
      <c r="C2710" s="100" t="str">
        <f>IF(OR(Fact_Analitica[[#This Row], [Año]]="",Fact_Analitica[[#This Row], [Mes]]=""),"",DATE(A2710,MATCH(B2710,{"enero","febrero","marzo","abril","mayo","junio","julio","agosto","septiembre","octubre","noviembre","diciembre"},0)+1,0))</f>
        <v/>
      </c>
      <c r="E2710" t="str">
        <f>+IFERROR(VLOOKUP(Fact_Analitica[[#This Row], [Concepto Anterior]],Conceptos_Analítica_contraloría[#All],5,0),"")</f>
        <v/>
      </c>
      <c r="F2710" t="str">
        <f>+IFERROR(VLOOKUP(Fact_Analitica[[#This Row], [Concepto Anterior]],Conceptos_Analítica_contraloría[#All],7,0),"")</f>
        <v/>
      </c>
      <c r="I2710" t="str">
        <f>+IFERROR(VLOOKUP(D2710,Conceptos_Analítica_contraloría[#All],2,0),"")</f>
        <v/>
      </c>
      <c r="J2710" s="84" t="str">
        <f>+IFERROR(VLOOKUP(D2710,Conceptos_Analítica_contraloría[#All],3,0),"")</f>
        <v/>
      </c>
    </row>
    <row r="2711" spans="3:10" ht="18.75" customHeight="1" x14ac:dyDescent="0.35">
      <c r="C2711" s="100" t="str">
        <f>IF(OR(Fact_Analitica[[#This Row], [Año]]="",Fact_Analitica[[#This Row], [Mes]]=""),"",DATE(A2711,MATCH(B2711,{"enero","febrero","marzo","abril","mayo","junio","julio","agosto","septiembre","octubre","noviembre","diciembre"},0)+1,0))</f>
        <v/>
      </c>
      <c r="E2711" t="str">
        <f>+IFERROR(VLOOKUP(Fact_Analitica[[#This Row], [Concepto Anterior]],Conceptos_Analítica_contraloría[#All],5,0),"")</f>
        <v/>
      </c>
      <c r="F2711" t="str">
        <f>+IFERROR(VLOOKUP(Fact_Analitica[[#This Row], [Concepto Anterior]],Conceptos_Analítica_contraloría[#All],7,0),"")</f>
        <v/>
      </c>
      <c r="I2711" t="str">
        <f>+IFERROR(VLOOKUP(D2711,Conceptos_Analítica_contraloría[#All],2,0),"")</f>
        <v/>
      </c>
      <c r="J2711" s="84" t="str">
        <f>+IFERROR(VLOOKUP(D2711,Conceptos_Analítica_contraloría[#All],3,0),"")</f>
        <v/>
      </c>
    </row>
    <row r="2712" spans="3:10" ht="18.75" customHeight="1" x14ac:dyDescent="0.35">
      <c r="C2712" s="100" t="str">
        <f>IF(OR(Fact_Analitica[[#This Row], [Año]]="",Fact_Analitica[[#This Row], [Mes]]=""),"",DATE(A2712,MATCH(B2712,{"enero","febrero","marzo","abril","mayo","junio","julio","agosto","septiembre","octubre","noviembre","diciembre"},0)+1,0))</f>
        <v/>
      </c>
      <c r="E2712" t="str">
        <f>+IFERROR(VLOOKUP(Fact_Analitica[[#This Row], [Concepto Anterior]],Conceptos_Analítica_contraloría[#All],5,0),"")</f>
        <v/>
      </c>
      <c r="F2712" t="str">
        <f>+IFERROR(VLOOKUP(Fact_Analitica[[#This Row], [Concepto Anterior]],Conceptos_Analítica_contraloría[#All],7,0),"")</f>
        <v/>
      </c>
      <c r="I2712" t="str">
        <f>+IFERROR(VLOOKUP(D2712,Conceptos_Analítica_contraloría[#All],2,0),"")</f>
        <v/>
      </c>
      <c r="J2712" s="84" t="str">
        <f>+IFERROR(VLOOKUP(D2712,Conceptos_Analítica_contraloría[#All],3,0),"")</f>
        <v/>
      </c>
    </row>
    <row r="2713" spans="3:10" ht="18.75" customHeight="1" x14ac:dyDescent="0.35">
      <c r="C2713" s="100" t="str">
        <f>IF(OR(Fact_Analitica[[#This Row], [Año]]="",Fact_Analitica[[#This Row], [Mes]]=""),"",DATE(A2713,MATCH(B2713,{"enero","febrero","marzo","abril","mayo","junio","julio","agosto","septiembre","octubre","noviembre","diciembre"},0)+1,0))</f>
        <v/>
      </c>
      <c r="E2713" t="str">
        <f>+IFERROR(VLOOKUP(Fact_Analitica[[#This Row], [Concepto Anterior]],Conceptos_Analítica_contraloría[#All],5,0),"")</f>
        <v/>
      </c>
      <c r="F2713" t="str">
        <f>+IFERROR(VLOOKUP(Fact_Analitica[[#This Row], [Concepto Anterior]],Conceptos_Analítica_contraloría[#All],7,0),"")</f>
        <v/>
      </c>
      <c r="I2713" t="str">
        <f>+IFERROR(VLOOKUP(D2713,Conceptos_Analítica_contraloría[#All],2,0),"")</f>
        <v/>
      </c>
      <c r="J2713" s="84" t="str">
        <f>+IFERROR(VLOOKUP(D2713,Conceptos_Analítica_contraloría[#All],3,0),"")</f>
        <v/>
      </c>
    </row>
    <row r="2714" spans="3:10" ht="18.75" customHeight="1" x14ac:dyDescent="0.35">
      <c r="C2714" s="100" t="str">
        <f>IF(OR(Fact_Analitica[[#This Row], [Año]]="",Fact_Analitica[[#This Row], [Mes]]=""),"",DATE(A2714,MATCH(B2714,{"enero","febrero","marzo","abril","mayo","junio","julio","agosto","septiembre","octubre","noviembre","diciembre"},0)+1,0))</f>
        <v/>
      </c>
      <c r="E2714" t="str">
        <f>+IFERROR(VLOOKUP(Fact_Analitica[[#This Row], [Concepto Anterior]],Conceptos_Analítica_contraloría[#All],5,0),"")</f>
        <v/>
      </c>
      <c r="F2714" t="str">
        <f>+IFERROR(VLOOKUP(Fact_Analitica[[#This Row], [Concepto Anterior]],Conceptos_Analítica_contraloría[#All],7,0),"")</f>
        <v/>
      </c>
      <c r="I2714" t="str">
        <f>+IFERROR(VLOOKUP(D2714,Conceptos_Analítica_contraloría[#All],2,0),"")</f>
        <v/>
      </c>
      <c r="J2714" s="84" t="str">
        <f>+IFERROR(VLOOKUP(D2714,Conceptos_Analítica_contraloría[#All],3,0),"")</f>
        <v/>
      </c>
    </row>
    <row r="2715" spans="3:10" ht="18.75" customHeight="1" x14ac:dyDescent="0.35">
      <c r="C2715" s="100" t="str">
        <f>IF(OR(Fact_Analitica[[#This Row], [Año]]="",Fact_Analitica[[#This Row], [Mes]]=""),"",DATE(A2715,MATCH(B2715,{"enero","febrero","marzo","abril","mayo","junio","julio","agosto","septiembre","octubre","noviembre","diciembre"},0)+1,0))</f>
        <v/>
      </c>
      <c r="E2715" t="str">
        <f>+IFERROR(VLOOKUP(Fact_Analitica[[#This Row], [Concepto Anterior]],Conceptos_Analítica_contraloría[#All],5,0),"")</f>
        <v/>
      </c>
      <c r="F2715" t="str">
        <f>+IFERROR(VLOOKUP(Fact_Analitica[[#This Row], [Concepto Anterior]],Conceptos_Analítica_contraloría[#All],7,0),"")</f>
        <v/>
      </c>
      <c r="I2715" t="str">
        <f>+IFERROR(VLOOKUP(D2715,Conceptos_Analítica_contraloría[#All],2,0),"")</f>
        <v/>
      </c>
      <c r="J2715" s="84" t="str">
        <f>+IFERROR(VLOOKUP(D2715,Conceptos_Analítica_contraloría[#All],3,0),"")</f>
        <v/>
      </c>
    </row>
    <row r="2716" spans="3:10" ht="18.75" customHeight="1" x14ac:dyDescent="0.35">
      <c r="C2716" s="100" t="str">
        <f>IF(OR(Fact_Analitica[[#This Row], [Año]]="",Fact_Analitica[[#This Row], [Mes]]=""),"",DATE(A2716,MATCH(B2716,{"enero","febrero","marzo","abril","mayo","junio","julio","agosto","septiembre","octubre","noviembre","diciembre"},0)+1,0))</f>
        <v/>
      </c>
      <c r="E2716" t="str">
        <f>+IFERROR(VLOOKUP(Fact_Analitica[[#This Row], [Concepto Anterior]],Conceptos_Analítica_contraloría[#All],5,0),"")</f>
        <v/>
      </c>
      <c r="F2716" t="str">
        <f>+IFERROR(VLOOKUP(Fact_Analitica[[#This Row], [Concepto Anterior]],Conceptos_Analítica_contraloría[#All],7,0),"")</f>
        <v/>
      </c>
      <c r="I2716" t="str">
        <f>+IFERROR(VLOOKUP(D2716,Conceptos_Analítica_contraloría[#All],2,0),"")</f>
        <v/>
      </c>
      <c r="J2716" s="84" t="str">
        <f>+IFERROR(VLOOKUP(D2716,Conceptos_Analítica_contraloría[#All],3,0),"")</f>
        <v/>
      </c>
    </row>
    <row r="2717" spans="3:10" ht="18.75" customHeight="1" x14ac:dyDescent="0.35">
      <c r="C2717" s="100" t="str">
        <f>IF(OR(Fact_Analitica[[#This Row], [Año]]="",Fact_Analitica[[#This Row], [Mes]]=""),"",DATE(A2717,MATCH(B2717,{"enero","febrero","marzo","abril","mayo","junio","julio","agosto","septiembre","octubre","noviembre","diciembre"},0)+1,0))</f>
        <v/>
      </c>
      <c r="E2717" t="str">
        <f>+IFERROR(VLOOKUP(Fact_Analitica[[#This Row], [Concepto Anterior]],Conceptos_Analítica_contraloría[#All],5,0),"")</f>
        <v/>
      </c>
      <c r="F2717" t="str">
        <f>+IFERROR(VLOOKUP(Fact_Analitica[[#This Row], [Concepto Anterior]],Conceptos_Analítica_contraloría[#All],7,0),"")</f>
        <v/>
      </c>
      <c r="I2717" t="str">
        <f>+IFERROR(VLOOKUP(D2717,Conceptos_Analítica_contraloría[#All],2,0),"")</f>
        <v/>
      </c>
      <c r="J2717" s="84" t="str">
        <f>+IFERROR(VLOOKUP(D2717,Conceptos_Analítica_contraloría[#All],3,0),"")</f>
        <v/>
      </c>
    </row>
    <row r="2718" spans="3:10" ht="18.75" customHeight="1" x14ac:dyDescent="0.35">
      <c r="C2718" s="100" t="str">
        <f>IF(OR(Fact_Analitica[[#This Row], [Año]]="",Fact_Analitica[[#This Row], [Mes]]=""),"",DATE(A2718,MATCH(B2718,{"enero","febrero","marzo","abril","mayo","junio","julio","agosto","septiembre","octubre","noviembre","diciembre"},0)+1,0))</f>
        <v/>
      </c>
      <c r="E2718" t="str">
        <f>+IFERROR(VLOOKUP(Fact_Analitica[[#This Row], [Concepto Anterior]],Conceptos_Analítica_contraloría[#All],5,0),"")</f>
        <v/>
      </c>
      <c r="F2718" t="str">
        <f>+IFERROR(VLOOKUP(Fact_Analitica[[#This Row], [Concepto Anterior]],Conceptos_Analítica_contraloría[#All],7,0),"")</f>
        <v/>
      </c>
      <c r="I2718" t="str">
        <f>+IFERROR(VLOOKUP(D2718,Conceptos_Analítica_contraloría[#All],2,0),"")</f>
        <v/>
      </c>
      <c r="J2718" s="84" t="str">
        <f>+IFERROR(VLOOKUP(D2718,Conceptos_Analítica_contraloría[#All],3,0),"")</f>
        <v/>
      </c>
    </row>
    <row r="2719" spans="3:10" ht="18.75" customHeight="1" x14ac:dyDescent="0.35">
      <c r="C2719" s="100" t="str">
        <f>IF(OR(Fact_Analitica[[#This Row], [Año]]="",Fact_Analitica[[#This Row], [Mes]]=""),"",DATE(A2719,MATCH(B2719,{"enero","febrero","marzo","abril","mayo","junio","julio","agosto","septiembre","octubre","noviembre","diciembre"},0)+1,0))</f>
        <v/>
      </c>
      <c r="E2719" t="str">
        <f>+IFERROR(VLOOKUP(Fact_Analitica[[#This Row], [Concepto Anterior]],Conceptos_Analítica_contraloría[#All],5,0),"")</f>
        <v/>
      </c>
      <c r="F2719" t="str">
        <f>+IFERROR(VLOOKUP(Fact_Analitica[[#This Row], [Concepto Anterior]],Conceptos_Analítica_contraloría[#All],7,0),"")</f>
        <v/>
      </c>
      <c r="I2719" t="str">
        <f>+IFERROR(VLOOKUP(D2719,Conceptos_Analítica_contraloría[#All],2,0),"")</f>
        <v/>
      </c>
      <c r="J2719" s="84" t="str">
        <f>+IFERROR(VLOOKUP(D2719,Conceptos_Analítica_contraloría[#All],3,0),"")</f>
        <v/>
      </c>
    </row>
    <row r="2720" spans="3:10" ht="18.75" customHeight="1" x14ac:dyDescent="0.35">
      <c r="C2720" s="100" t="str">
        <f>IF(OR(Fact_Analitica[[#This Row], [Año]]="",Fact_Analitica[[#This Row], [Mes]]=""),"",DATE(A2720,MATCH(B2720,{"enero","febrero","marzo","abril","mayo","junio","julio","agosto","septiembre","octubre","noviembre","diciembre"},0)+1,0))</f>
        <v/>
      </c>
      <c r="E2720" t="str">
        <f>+IFERROR(VLOOKUP(Fact_Analitica[[#This Row], [Concepto Anterior]],Conceptos_Analítica_contraloría[#All],5,0),"")</f>
        <v/>
      </c>
      <c r="F2720" t="str">
        <f>+IFERROR(VLOOKUP(Fact_Analitica[[#This Row], [Concepto Anterior]],Conceptos_Analítica_contraloría[#All],7,0),"")</f>
        <v/>
      </c>
      <c r="I2720" t="str">
        <f>+IFERROR(VLOOKUP(D2720,Conceptos_Analítica_contraloría[#All],2,0),"")</f>
        <v/>
      </c>
      <c r="J2720" s="84" t="str">
        <f>+IFERROR(VLOOKUP(D2720,Conceptos_Analítica_contraloría[#All],3,0),"")</f>
        <v/>
      </c>
    </row>
    <row r="2721" spans="3:10" ht="18.75" customHeight="1" x14ac:dyDescent="0.35">
      <c r="C2721" s="100" t="str">
        <f>IF(OR(Fact_Analitica[[#This Row], [Año]]="",Fact_Analitica[[#This Row], [Mes]]=""),"",DATE(A2721,MATCH(B2721,{"enero","febrero","marzo","abril","mayo","junio","julio","agosto","septiembre","octubre","noviembre","diciembre"},0)+1,0))</f>
        <v/>
      </c>
      <c r="E2721" t="str">
        <f>+IFERROR(VLOOKUP(Fact_Analitica[[#This Row], [Concepto Anterior]],Conceptos_Analítica_contraloría[#All],5,0),"")</f>
        <v/>
      </c>
      <c r="F2721" t="str">
        <f>+IFERROR(VLOOKUP(Fact_Analitica[[#This Row], [Concepto Anterior]],Conceptos_Analítica_contraloría[#All],7,0),"")</f>
        <v/>
      </c>
      <c r="I2721" t="str">
        <f>+IFERROR(VLOOKUP(D2721,Conceptos_Analítica_contraloría[#All],2,0),"")</f>
        <v/>
      </c>
      <c r="J2721" s="84" t="str">
        <f>+IFERROR(VLOOKUP(D2721,Conceptos_Analítica_contraloría[#All],3,0),"")</f>
        <v/>
      </c>
    </row>
    <row r="2722" spans="3:10" ht="18.75" customHeight="1" x14ac:dyDescent="0.35">
      <c r="C2722" s="100" t="str">
        <f>IF(OR(Fact_Analitica[[#This Row], [Año]]="",Fact_Analitica[[#This Row], [Mes]]=""),"",DATE(A2722,MATCH(B2722,{"enero","febrero","marzo","abril","mayo","junio","julio","agosto","septiembre","octubre","noviembre","diciembre"},0)+1,0))</f>
        <v/>
      </c>
      <c r="E2722" t="str">
        <f>+IFERROR(VLOOKUP(Fact_Analitica[[#This Row], [Concepto Anterior]],Conceptos_Analítica_contraloría[#All],5,0),"")</f>
        <v/>
      </c>
      <c r="F2722" t="str">
        <f>+IFERROR(VLOOKUP(Fact_Analitica[[#This Row], [Concepto Anterior]],Conceptos_Analítica_contraloría[#All],7,0),"")</f>
        <v/>
      </c>
      <c r="I2722" t="str">
        <f>+IFERROR(VLOOKUP(D2722,Conceptos_Analítica_contraloría[#All],2,0),"")</f>
        <v/>
      </c>
      <c r="J2722" s="84" t="str">
        <f>+IFERROR(VLOOKUP(D2722,Conceptos_Analítica_contraloría[#All],3,0),"")</f>
        <v/>
      </c>
    </row>
    <row r="2723" spans="3:10" ht="18.75" customHeight="1" x14ac:dyDescent="0.35">
      <c r="C2723" s="100" t="str">
        <f>IF(OR(Fact_Analitica[[#This Row], [Año]]="",Fact_Analitica[[#This Row], [Mes]]=""),"",DATE(A2723,MATCH(B2723,{"enero","febrero","marzo","abril","mayo","junio","julio","agosto","septiembre","octubre","noviembre","diciembre"},0)+1,0))</f>
        <v/>
      </c>
      <c r="E2723" t="str">
        <f>+IFERROR(VLOOKUP(Fact_Analitica[[#This Row], [Concepto Anterior]],Conceptos_Analítica_contraloría[#All],5,0),"")</f>
        <v/>
      </c>
      <c r="F2723" t="str">
        <f>+IFERROR(VLOOKUP(Fact_Analitica[[#This Row], [Concepto Anterior]],Conceptos_Analítica_contraloría[#All],7,0),"")</f>
        <v/>
      </c>
      <c r="I2723" t="str">
        <f>+IFERROR(VLOOKUP(D2723,Conceptos_Analítica_contraloría[#All],2,0),"")</f>
        <v/>
      </c>
      <c r="J2723" s="84" t="str">
        <f>+IFERROR(VLOOKUP(D2723,Conceptos_Analítica_contraloría[#All],3,0),"")</f>
        <v/>
      </c>
    </row>
    <row r="2724" spans="3:10" ht="18.75" customHeight="1" x14ac:dyDescent="0.35">
      <c r="C2724" s="100" t="str">
        <f>IF(OR(Fact_Analitica[[#This Row], [Año]]="",Fact_Analitica[[#This Row], [Mes]]=""),"",DATE(A2724,MATCH(B2724,{"enero","febrero","marzo","abril","mayo","junio","julio","agosto","septiembre","octubre","noviembre","diciembre"},0)+1,0))</f>
        <v/>
      </c>
      <c r="E2724" t="str">
        <f>+IFERROR(VLOOKUP(Fact_Analitica[[#This Row], [Concepto Anterior]],Conceptos_Analítica_contraloría[#All],5,0),"")</f>
        <v/>
      </c>
      <c r="F2724" t="str">
        <f>+IFERROR(VLOOKUP(Fact_Analitica[[#This Row], [Concepto Anterior]],Conceptos_Analítica_contraloría[#All],7,0),"")</f>
        <v/>
      </c>
      <c r="I2724" t="str">
        <f>+IFERROR(VLOOKUP(D2724,Conceptos_Analítica_contraloría[#All],2,0),"")</f>
        <v/>
      </c>
      <c r="J2724" s="84" t="str">
        <f>+IFERROR(VLOOKUP(D2724,Conceptos_Analítica_contraloría[#All],3,0),"")</f>
        <v/>
      </c>
    </row>
    <row r="2725" spans="3:10" ht="18.75" customHeight="1" x14ac:dyDescent="0.35">
      <c r="C2725" s="100" t="str">
        <f>IF(OR(Fact_Analitica[[#This Row], [Año]]="",Fact_Analitica[[#This Row], [Mes]]=""),"",DATE(A2725,MATCH(B2725,{"enero","febrero","marzo","abril","mayo","junio","julio","agosto","septiembre","octubre","noviembre","diciembre"},0)+1,0))</f>
        <v/>
      </c>
      <c r="E2725" t="str">
        <f>+IFERROR(VLOOKUP(Fact_Analitica[[#This Row], [Concepto Anterior]],Conceptos_Analítica_contraloría[#All],5,0),"")</f>
        <v/>
      </c>
      <c r="F2725" t="str">
        <f>+IFERROR(VLOOKUP(Fact_Analitica[[#This Row], [Concepto Anterior]],Conceptos_Analítica_contraloría[#All],7,0),"")</f>
        <v/>
      </c>
      <c r="I2725" t="str">
        <f>+IFERROR(VLOOKUP(D2725,Conceptos_Analítica_contraloría[#All],2,0),"")</f>
        <v/>
      </c>
      <c r="J2725" s="84" t="str">
        <f>+IFERROR(VLOOKUP(D2725,Conceptos_Analítica_contraloría[#All],3,0),"")</f>
        <v/>
      </c>
    </row>
    <row r="2726" spans="3:10" ht="18.75" customHeight="1" x14ac:dyDescent="0.35">
      <c r="C2726" s="100" t="str">
        <f>IF(OR(Fact_Analitica[[#This Row], [Año]]="",Fact_Analitica[[#This Row], [Mes]]=""),"",DATE(A2726,MATCH(B2726,{"enero","febrero","marzo","abril","mayo","junio","julio","agosto","septiembre","octubre","noviembre","diciembre"},0)+1,0))</f>
        <v/>
      </c>
      <c r="E2726" t="str">
        <f>+IFERROR(VLOOKUP(Fact_Analitica[[#This Row], [Concepto Anterior]],Conceptos_Analítica_contraloría[#All],5,0),"")</f>
        <v/>
      </c>
      <c r="F2726" t="str">
        <f>+IFERROR(VLOOKUP(Fact_Analitica[[#This Row], [Concepto Anterior]],Conceptos_Analítica_contraloría[#All],7,0),"")</f>
        <v/>
      </c>
      <c r="I2726" t="str">
        <f>+IFERROR(VLOOKUP(D2726,Conceptos_Analítica_contraloría[#All],2,0),"")</f>
        <v/>
      </c>
      <c r="J2726" s="84" t="str">
        <f>+IFERROR(VLOOKUP(D2726,Conceptos_Analítica_contraloría[#All],3,0),"")</f>
        <v/>
      </c>
    </row>
    <row r="2727" spans="3:10" ht="18.75" customHeight="1" x14ac:dyDescent="0.35">
      <c r="C2727" s="100" t="str">
        <f>IF(OR(Fact_Analitica[[#This Row], [Año]]="",Fact_Analitica[[#This Row], [Mes]]=""),"",DATE(A2727,MATCH(B2727,{"enero","febrero","marzo","abril","mayo","junio","julio","agosto","septiembre","octubre","noviembre","diciembre"},0)+1,0))</f>
        <v/>
      </c>
      <c r="E2727" t="str">
        <f>+IFERROR(VLOOKUP(Fact_Analitica[[#This Row], [Concepto Anterior]],Conceptos_Analítica_contraloría[#All],5,0),"")</f>
        <v/>
      </c>
      <c r="F2727" t="str">
        <f>+IFERROR(VLOOKUP(Fact_Analitica[[#This Row], [Concepto Anterior]],Conceptos_Analítica_contraloría[#All],7,0),"")</f>
        <v/>
      </c>
      <c r="I2727" t="str">
        <f>+IFERROR(VLOOKUP(D2727,Conceptos_Analítica_contraloría[#All],2,0),"")</f>
        <v/>
      </c>
      <c r="J2727" s="84" t="str">
        <f>+IFERROR(VLOOKUP(D2727,Conceptos_Analítica_contraloría[#All],3,0),"")</f>
        <v/>
      </c>
    </row>
    <row r="2728" spans="3:10" ht="18.75" customHeight="1" x14ac:dyDescent="0.35">
      <c r="C2728" s="100" t="str">
        <f>IF(OR(Fact_Analitica[[#This Row], [Año]]="",Fact_Analitica[[#This Row], [Mes]]=""),"",DATE(A2728,MATCH(B2728,{"enero","febrero","marzo","abril","mayo","junio","julio","agosto","septiembre","octubre","noviembre","diciembre"},0)+1,0))</f>
        <v/>
      </c>
      <c r="E2728" t="str">
        <f>+IFERROR(VLOOKUP(Fact_Analitica[[#This Row], [Concepto Anterior]],Conceptos_Analítica_contraloría[#All],5,0),"")</f>
        <v/>
      </c>
      <c r="F2728" t="str">
        <f>+IFERROR(VLOOKUP(Fact_Analitica[[#This Row], [Concepto Anterior]],Conceptos_Analítica_contraloría[#All],7,0),"")</f>
        <v/>
      </c>
      <c r="I2728" t="str">
        <f>+IFERROR(VLOOKUP(D2728,Conceptos_Analítica_contraloría[#All],2,0),"")</f>
        <v/>
      </c>
      <c r="J2728" s="84" t="str">
        <f>+IFERROR(VLOOKUP(D2728,Conceptos_Analítica_contraloría[#All],3,0),"")</f>
        <v/>
      </c>
    </row>
    <row r="2729" spans="3:10" ht="18.75" customHeight="1" x14ac:dyDescent="0.35">
      <c r="C2729" s="100" t="str">
        <f>IF(OR(Fact_Analitica[[#This Row], [Año]]="",Fact_Analitica[[#This Row], [Mes]]=""),"",DATE(A2729,MATCH(B2729,{"enero","febrero","marzo","abril","mayo","junio","julio","agosto","septiembre","octubre","noviembre","diciembre"},0)+1,0))</f>
        <v/>
      </c>
      <c r="E2729" t="str">
        <f>+IFERROR(VLOOKUP(Fact_Analitica[[#This Row], [Concepto Anterior]],Conceptos_Analítica_contraloría[#All],5,0),"")</f>
        <v/>
      </c>
      <c r="F2729" t="str">
        <f>+IFERROR(VLOOKUP(Fact_Analitica[[#This Row], [Concepto Anterior]],Conceptos_Analítica_contraloría[#All],7,0),"")</f>
        <v/>
      </c>
      <c r="I2729" t="str">
        <f>+IFERROR(VLOOKUP(D2729,Conceptos_Analítica_contraloría[#All],2,0),"")</f>
        <v/>
      </c>
      <c r="J2729" s="84" t="str">
        <f>+IFERROR(VLOOKUP(D2729,Conceptos_Analítica_contraloría[#All],3,0),"")</f>
        <v/>
      </c>
    </row>
    <row r="2730" spans="3:10" ht="18.75" customHeight="1" x14ac:dyDescent="0.35">
      <c r="C2730" s="100" t="str">
        <f>IF(OR(Fact_Analitica[[#This Row], [Año]]="",Fact_Analitica[[#This Row], [Mes]]=""),"",DATE(A2730,MATCH(B2730,{"enero","febrero","marzo","abril","mayo","junio","julio","agosto","septiembre","octubre","noviembre","diciembre"},0)+1,0))</f>
        <v/>
      </c>
      <c r="E2730" t="str">
        <f>+IFERROR(VLOOKUP(Fact_Analitica[[#This Row], [Concepto Anterior]],Conceptos_Analítica_contraloría[#All],5,0),"")</f>
        <v/>
      </c>
      <c r="F2730" t="str">
        <f>+IFERROR(VLOOKUP(Fact_Analitica[[#This Row], [Concepto Anterior]],Conceptos_Analítica_contraloría[#All],7,0),"")</f>
        <v/>
      </c>
      <c r="I2730" t="str">
        <f>+IFERROR(VLOOKUP(D2730,Conceptos_Analítica_contraloría[#All],2,0),"")</f>
        <v/>
      </c>
      <c r="J2730" s="84" t="str">
        <f>+IFERROR(VLOOKUP(D2730,Conceptos_Analítica_contraloría[#All],3,0),"")</f>
        <v/>
      </c>
    </row>
    <row r="2731" spans="3:10" ht="18.75" customHeight="1" x14ac:dyDescent="0.35">
      <c r="C2731" s="100" t="str">
        <f>IF(OR(Fact_Analitica[[#This Row], [Año]]="",Fact_Analitica[[#This Row], [Mes]]=""),"",DATE(A2731,MATCH(B2731,{"enero","febrero","marzo","abril","mayo","junio","julio","agosto","septiembre","octubre","noviembre","diciembre"},0)+1,0))</f>
        <v/>
      </c>
      <c r="E2731" t="str">
        <f>+IFERROR(VLOOKUP(Fact_Analitica[[#This Row], [Concepto Anterior]],Conceptos_Analítica_contraloría[#All],5,0),"")</f>
        <v/>
      </c>
      <c r="F2731" t="str">
        <f>+IFERROR(VLOOKUP(Fact_Analitica[[#This Row], [Concepto Anterior]],Conceptos_Analítica_contraloría[#All],7,0),"")</f>
        <v/>
      </c>
      <c r="I2731" t="str">
        <f>+IFERROR(VLOOKUP(D2731,Conceptos_Analítica_contraloría[#All],2,0),"")</f>
        <v/>
      </c>
      <c r="J2731" s="84" t="str">
        <f>+IFERROR(VLOOKUP(D2731,Conceptos_Analítica_contraloría[#All],3,0),"")</f>
        <v/>
      </c>
    </row>
    <row r="2732" spans="3:10" ht="18.75" customHeight="1" x14ac:dyDescent="0.35">
      <c r="C2732" s="100" t="str">
        <f>IF(OR(Fact_Analitica[[#This Row], [Año]]="",Fact_Analitica[[#This Row], [Mes]]=""),"",DATE(A2732,MATCH(B2732,{"enero","febrero","marzo","abril","mayo","junio","julio","agosto","septiembre","octubre","noviembre","diciembre"},0)+1,0))</f>
        <v/>
      </c>
      <c r="E2732" t="str">
        <f>+IFERROR(VLOOKUP(Fact_Analitica[[#This Row], [Concepto Anterior]],Conceptos_Analítica_contraloría[#All],5,0),"")</f>
        <v/>
      </c>
      <c r="F2732" t="str">
        <f>+IFERROR(VLOOKUP(Fact_Analitica[[#This Row], [Concepto Anterior]],Conceptos_Analítica_contraloría[#All],7,0),"")</f>
        <v/>
      </c>
      <c r="I2732" t="str">
        <f>+IFERROR(VLOOKUP(D2732,Conceptos_Analítica_contraloría[#All],2,0),"")</f>
        <v/>
      </c>
      <c r="J2732" s="84" t="str">
        <f>+IFERROR(VLOOKUP(D2732,Conceptos_Analítica_contraloría[#All],3,0),"")</f>
        <v/>
      </c>
    </row>
    <row r="2733" spans="3:10" ht="18.75" customHeight="1" x14ac:dyDescent="0.35">
      <c r="C2733" s="100" t="str">
        <f>IF(OR(Fact_Analitica[[#This Row], [Año]]="",Fact_Analitica[[#This Row], [Mes]]=""),"",DATE(A2733,MATCH(B2733,{"enero","febrero","marzo","abril","mayo","junio","julio","agosto","septiembre","octubre","noviembre","diciembre"},0)+1,0))</f>
        <v/>
      </c>
      <c r="E2733" t="str">
        <f>+IFERROR(VLOOKUP(Fact_Analitica[[#This Row], [Concepto Anterior]],Conceptos_Analítica_contraloría[#All],5,0),"")</f>
        <v/>
      </c>
      <c r="F2733" t="str">
        <f>+IFERROR(VLOOKUP(Fact_Analitica[[#This Row], [Concepto Anterior]],Conceptos_Analítica_contraloría[#All],7,0),"")</f>
        <v/>
      </c>
      <c r="I2733" t="str">
        <f>+IFERROR(VLOOKUP(D2733,Conceptos_Analítica_contraloría[#All],2,0),"")</f>
        <v/>
      </c>
      <c r="J2733" s="84" t="str">
        <f>+IFERROR(VLOOKUP(D2733,Conceptos_Analítica_contraloría[#All],3,0),"")</f>
        <v/>
      </c>
    </row>
    <row r="2734" spans="3:10" ht="18.75" customHeight="1" x14ac:dyDescent="0.35">
      <c r="C2734" s="100" t="str">
        <f>IF(OR(Fact_Analitica[[#This Row], [Año]]="",Fact_Analitica[[#This Row], [Mes]]=""),"",DATE(A2734,MATCH(B2734,{"enero","febrero","marzo","abril","mayo","junio","julio","agosto","septiembre","octubre","noviembre","diciembre"},0)+1,0))</f>
        <v/>
      </c>
      <c r="E2734" t="str">
        <f>+IFERROR(VLOOKUP(Fact_Analitica[[#This Row], [Concepto Anterior]],Conceptos_Analítica_contraloría[#All],5,0),"")</f>
        <v/>
      </c>
      <c r="F2734" t="str">
        <f>+IFERROR(VLOOKUP(Fact_Analitica[[#This Row], [Concepto Anterior]],Conceptos_Analítica_contraloría[#All],7,0),"")</f>
        <v/>
      </c>
      <c r="I2734" t="str">
        <f>+IFERROR(VLOOKUP(D2734,Conceptos_Analítica_contraloría[#All],2,0),"")</f>
        <v/>
      </c>
      <c r="J2734" s="84" t="str">
        <f>+IFERROR(VLOOKUP(D2734,Conceptos_Analítica_contraloría[#All],3,0),"")</f>
        <v/>
      </c>
    </row>
    <row r="2735" spans="3:10" ht="18.75" customHeight="1" x14ac:dyDescent="0.35">
      <c r="C2735" s="100" t="str">
        <f>IF(OR(Fact_Analitica[[#This Row], [Año]]="",Fact_Analitica[[#This Row], [Mes]]=""),"",DATE(A2735,MATCH(B2735,{"enero","febrero","marzo","abril","mayo","junio","julio","agosto","septiembre","octubre","noviembre","diciembre"},0)+1,0))</f>
        <v/>
      </c>
      <c r="E2735" t="str">
        <f>+IFERROR(VLOOKUP(Fact_Analitica[[#This Row], [Concepto Anterior]],Conceptos_Analítica_contraloría[#All],5,0),"")</f>
        <v/>
      </c>
      <c r="F2735" t="str">
        <f>+IFERROR(VLOOKUP(Fact_Analitica[[#This Row], [Concepto Anterior]],Conceptos_Analítica_contraloría[#All],7,0),"")</f>
        <v/>
      </c>
      <c r="I2735" t="str">
        <f>+IFERROR(VLOOKUP(D2735,Conceptos_Analítica_contraloría[#All],2,0),"")</f>
        <v/>
      </c>
      <c r="J2735" s="84" t="str">
        <f>+IFERROR(VLOOKUP(D2735,Conceptos_Analítica_contraloría[#All],3,0),"")</f>
        <v/>
      </c>
    </row>
    <row r="2736" spans="3:10" ht="18.75" customHeight="1" x14ac:dyDescent="0.35">
      <c r="C2736" s="100" t="str">
        <f>IF(OR(Fact_Analitica[[#This Row], [Año]]="",Fact_Analitica[[#This Row], [Mes]]=""),"",DATE(A2736,MATCH(B2736,{"enero","febrero","marzo","abril","mayo","junio","julio","agosto","septiembre","octubre","noviembre","diciembre"},0)+1,0))</f>
        <v/>
      </c>
      <c r="E2736" t="str">
        <f>+IFERROR(VLOOKUP(Fact_Analitica[[#This Row], [Concepto Anterior]],Conceptos_Analítica_contraloría[#All],5,0),"")</f>
        <v/>
      </c>
      <c r="F2736" t="str">
        <f>+IFERROR(VLOOKUP(Fact_Analitica[[#This Row], [Concepto Anterior]],Conceptos_Analítica_contraloría[#All],7,0),"")</f>
        <v/>
      </c>
      <c r="I2736" t="str">
        <f>+IFERROR(VLOOKUP(D2736,Conceptos_Analítica_contraloría[#All],2,0),"")</f>
        <v/>
      </c>
      <c r="J2736" s="84" t="str">
        <f>+IFERROR(VLOOKUP(D2736,Conceptos_Analítica_contraloría[#All],3,0),"")</f>
        <v/>
      </c>
    </row>
    <row r="2737" spans="3:10" ht="18.75" customHeight="1" x14ac:dyDescent="0.35">
      <c r="C2737" s="100" t="str">
        <f>IF(OR(Fact_Analitica[[#This Row], [Año]]="",Fact_Analitica[[#This Row], [Mes]]=""),"",DATE(A2737,MATCH(B2737,{"enero","febrero","marzo","abril","mayo","junio","julio","agosto","septiembre","octubre","noviembre","diciembre"},0)+1,0))</f>
        <v/>
      </c>
      <c r="E2737" t="str">
        <f>+IFERROR(VLOOKUP(Fact_Analitica[[#This Row], [Concepto Anterior]],Conceptos_Analítica_contraloría[#All],5,0),"")</f>
        <v/>
      </c>
      <c r="F2737" t="str">
        <f>+IFERROR(VLOOKUP(Fact_Analitica[[#This Row], [Concepto Anterior]],Conceptos_Analítica_contraloría[#All],7,0),"")</f>
        <v/>
      </c>
      <c r="I2737" t="str">
        <f>+IFERROR(VLOOKUP(D2737,Conceptos_Analítica_contraloría[#All],2,0),"")</f>
        <v/>
      </c>
      <c r="J2737" s="84" t="str">
        <f>+IFERROR(VLOOKUP(D2737,Conceptos_Analítica_contraloría[#All],3,0),"")</f>
        <v/>
      </c>
    </row>
    <row r="2738" spans="3:10" ht="18.75" customHeight="1" x14ac:dyDescent="0.35">
      <c r="C2738" s="100" t="str">
        <f>IF(OR(Fact_Analitica[[#This Row], [Año]]="",Fact_Analitica[[#This Row], [Mes]]=""),"",DATE(A2738,MATCH(B2738,{"enero","febrero","marzo","abril","mayo","junio","julio","agosto","septiembre","octubre","noviembre","diciembre"},0)+1,0))</f>
        <v/>
      </c>
      <c r="E2738" t="str">
        <f>+IFERROR(VLOOKUP(Fact_Analitica[[#This Row], [Concepto Anterior]],Conceptos_Analítica_contraloría[#All],5,0),"")</f>
        <v/>
      </c>
      <c r="F2738" t="str">
        <f>+IFERROR(VLOOKUP(Fact_Analitica[[#This Row], [Concepto Anterior]],Conceptos_Analítica_contraloría[#All],7,0),"")</f>
        <v/>
      </c>
      <c r="I2738" t="str">
        <f>+IFERROR(VLOOKUP(D2738,Conceptos_Analítica_contraloría[#All],2,0),"")</f>
        <v/>
      </c>
      <c r="J2738" s="84" t="str">
        <f>+IFERROR(VLOOKUP(D2738,Conceptos_Analítica_contraloría[#All],3,0),"")</f>
        <v/>
      </c>
    </row>
    <row r="2739" spans="3:10" ht="18.75" customHeight="1" x14ac:dyDescent="0.35">
      <c r="C2739" s="100" t="str">
        <f>IF(OR(Fact_Analitica[[#This Row], [Año]]="",Fact_Analitica[[#This Row], [Mes]]=""),"",DATE(A2739,MATCH(B2739,{"enero","febrero","marzo","abril","mayo","junio","julio","agosto","septiembre","octubre","noviembre","diciembre"},0)+1,0))</f>
        <v/>
      </c>
      <c r="E2739" t="str">
        <f>+IFERROR(VLOOKUP(Fact_Analitica[[#This Row], [Concepto Anterior]],Conceptos_Analítica_contraloría[#All],5,0),"")</f>
        <v/>
      </c>
      <c r="F2739" t="str">
        <f>+IFERROR(VLOOKUP(Fact_Analitica[[#This Row], [Concepto Anterior]],Conceptos_Analítica_contraloría[#All],7,0),"")</f>
        <v/>
      </c>
      <c r="I2739" t="str">
        <f>+IFERROR(VLOOKUP(D2739,Conceptos_Analítica_contraloría[#All],2,0),"")</f>
        <v/>
      </c>
      <c r="J2739" s="84" t="str">
        <f>+IFERROR(VLOOKUP(D2739,Conceptos_Analítica_contraloría[#All],3,0),"")</f>
        <v/>
      </c>
    </row>
    <row r="2740" spans="3:10" ht="18.75" customHeight="1" x14ac:dyDescent="0.35">
      <c r="C2740" s="100" t="str">
        <f>IF(OR(Fact_Analitica[[#This Row], [Año]]="",Fact_Analitica[[#This Row], [Mes]]=""),"",DATE(A2740,MATCH(B2740,{"enero","febrero","marzo","abril","mayo","junio","julio","agosto","septiembre","octubre","noviembre","diciembre"},0)+1,0))</f>
        <v/>
      </c>
      <c r="E2740" t="str">
        <f>+IFERROR(VLOOKUP(Fact_Analitica[[#This Row], [Concepto Anterior]],Conceptos_Analítica_contraloría[#All],5,0),"")</f>
        <v/>
      </c>
      <c r="F2740" t="str">
        <f>+IFERROR(VLOOKUP(Fact_Analitica[[#This Row], [Concepto Anterior]],Conceptos_Analítica_contraloría[#All],7,0),"")</f>
        <v/>
      </c>
      <c r="I2740" t="str">
        <f>+IFERROR(VLOOKUP(D2740,Conceptos_Analítica_contraloría[#All],2,0),"")</f>
        <v/>
      </c>
      <c r="J2740" s="84" t="str">
        <f>+IFERROR(VLOOKUP(D2740,Conceptos_Analítica_contraloría[#All],3,0),"")</f>
        <v/>
      </c>
    </row>
    <row r="2741" spans="3:10" ht="18.75" customHeight="1" x14ac:dyDescent="0.35">
      <c r="C2741" s="100" t="str">
        <f>IF(OR(Fact_Analitica[[#This Row], [Año]]="",Fact_Analitica[[#This Row], [Mes]]=""),"",DATE(A2741,MATCH(B2741,{"enero","febrero","marzo","abril","mayo","junio","julio","agosto","septiembre","octubre","noviembre","diciembre"},0)+1,0))</f>
        <v/>
      </c>
      <c r="E2741" t="str">
        <f>+IFERROR(VLOOKUP(Fact_Analitica[[#This Row], [Concepto Anterior]],Conceptos_Analítica_contraloría[#All],5,0),"")</f>
        <v/>
      </c>
      <c r="F2741" t="str">
        <f>+IFERROR(VLOOKUP(Fact_Analitica[[#This Row], [Concepto Anterior]],Conceptos_Analítica_contraloría[#All],7,0),"")</f>
        <v/>
      </c>
      <c r="I2741" t="str">
        <f>+IFERROR(VLOOKUP(D2741,Conceptos_Analítica_contraloría[#All],2,0),"")</f>
        <v/>
      </c>
      <c r="J2741" s="84" t="str">
        <f>+IFERROR(VLOOKUP(D2741,Conceptos_Analítica_contraloría[#All],3,0),"")</f>
        <v/>
      </c>
    </row>
    <row r="2742" spans="3:10" ht="18.75" customHeight="1" x14ac:dyDescent="0.35">
      <c r="C2742" s="100" t="str">
        <f>IF(OR(Fact_Analitica[[#This Row], [Año]]="",Fact_Analitica[[#This Row], [Mes]]=""),"",DATE(A2742,MATCH(B2742,{"enero","febrero","marzo","abril","mayo","junio","julio","agosto","septiembre","octubre","noviembre","diciembre"},0)+1,0))</f>
        <v/>
      </c>
      <c r="E2742" t="str">
        <f>+IFERROR(VLOOKUP(Fact_Analitica[[#This Row], [Concepto Anterior]],Conceptos_Analítica_contraloría[#All],5,0),"")</f>
        <v/>
      </c>
      <c r="F2742" t="str">
        <f>+IFERROR(VLOOKUP(Fact_Analitica[[#This Row], [Concepto Anterior]],Conceptos_Analítica_contraloría[#All],7,0),"")</f>
        <v/>
      </c>
      <c r="I2742" t="str">
        <f>+IFERROR(VLOOKUP(D2742,Conceptos_Analítica_contraloría[#All],2,0),"")</f>
        <v/>
      </c>
      <c r="J2742" s="84" t="str">
        <f>+IFERROR(VLOOKUP(D2742,Conceptos_Analítica_contraloría[#All],3,0),"")</f>
        <v/>
      </c>
    </row>
    <row r="2743" spans="3:10" ht="18.75" customHeight="1" x14ac:dyDescent="0.35">
      <c r="C2743" s="100" t="str">
        <f>IF(OR(Fact_Analitica[[#This Row], [Año]]="",Fact_Analitica[[#This Row], [Mes]]=""),"",DATE(A2743,MATCH(B2743,{"enero","febrero","marzo","abril","mayo","junio","julio","agosto","septiembre","octubre","noviembre","diciembre"},0)+1,0))</f>
        <v/>
      </c>
      <c r="E2743" t="str">
        <f>+IFERROR(VLOOKUP(Fact_Analitica[[#This Row], [Concepto Anterior]],Conceptos_Analítica_contraloría[#All],5,0),"")</f>
        <v/>
      </c>
      <c r="F2743" t="str">
        <f>+IFERROR(VLOOKUP(Fact_Analitica[[#This Row], [Concepto Anterior]],Conceptos_Analítica_contraloría[#All],7,0),"")</f>
        <v/>
      </c>
      <c r="I2743" t="str">
        <f>+IFERROR(VLOOKUP(D2743,Conceptos_Analítica_contraloría[#All],2,0),"")</f>
        <v/>
      </c>
      <c r="J2743" s="84" t="str">
        <f>+IFERROR(VLOOKUP(D2743,Conceptos_Analítica_contraloría[#All],3,0),"")</f>
        <v/>
      </c>
    </row>
    <row r="2744" spans="3:10" ht="18.75" customHeight="1" x14ac:dyDescent="0.35">
      <c r="C2744" s="100" t="str">
        <f>IF(OR(Fact_Analitica[[#This Row], [Año]]="",Fact_Analitica[[#This Row], [Mes]]=""),"",DATE(A2744,MATCH(B2744,{"enero","febrero","marzo","abril","mayo","junio","julio","agosto","septiembre","octubre","noviembre","diciembre"},0)+1,0))</f>
        <v/>
      </c>
      <c r="E2744" t="str">
        <f>+IFERROR(VLOOKUP(Fact_Analitica[[#This Row], [Concepto Anterior]],Conceptos_Analítica_contraloría[#All],5,0),"")</f>
        <v/>
      </c>
      <c r="F2744" t="str">
        <f>+IFERROR(VLOOKUP(Fact_Analitica[[#This Row], [Concepto Anterior]],Conceptos_Analítica_contraloría[#All],7,0),"")</f>
        <v/>
      </c>
      <c r="I2744" t="str">
        <f>+IFERROR(VLOOKUP(D2744,Conceptos_Analítica_contraloría[#All],2,0),"")</f>
        <v/>
      </c>
      <c r="J2744" s="84" t="str">
        <f>+IFERROR(VLOOKUP(D2744,Conceptos_Analítica_contraloría[#All],3,0),"")</f>
        <v/>
      </c>
    </row>
    <row r="2745" spans="3:10" ht="18.75" customHeight="1" x14ac:dyDescent="0.35">
      <c r="C2745" s="100" t="str">
        <f>IF(OR(Fact_Analitica[[#This Row], [Año]]="",Fact_Analitica[[#This Row], [Mes]]=""),"",DATE(A2745,MATCH(B2745,{"enero","febrero","marzo","abril","mayo","junio","julio","agosto","septiembre","octubre","noviembre","diciembre"},0)+1,0))</f>
        <v/>
      </c>
      <c r="E2745" t="str">
        <f>+IFERROR(VLOOKUP(Fact_Analitica[[#This Row], [Concepto Anterior]],Conceptos_Analítica_contraloría[#All],5,0),"")</f>
        <v/>
      </c>
      <c r="F2745" t="str">
        <f>+IFERROR(VLOOKUP(Fact_Analitica[[#This Row], [Concepto Anterior]],Conceptos_Analítica_contraloría[#All],7,0),"")</f>
        <v/>
      </c>
      <c r="I2745" t="str">
        <f>+IFERROR(VLOOKUP(D2745,Conceptos_Analítica_contraloría[#All],2,0),"")</f>
        <v/>
      </c>
      <c r="J2745" s="84" t="str">
        <f>+IFERROR(VLOOKUP(D2745,Conceptos_Analítica_contraloría[#All],3,0),"")</f>
        <v/>
      </c>
    </row>
    <row r="2746" spans="3:10" ht="18.75" customHeight="1" x14ac:dyDescent="0.35">
      <c r="C2746" s="100" t="str">
        <f>IF(OR(Fact_Analitica[[#This Row], [Año]]="",Fact_Analitica[[#This Row], [Mes]]=""),"",DATE(A2746,MATCH(B2746,{"enero","febrero","marzo","abril","mayo","junio","julio","agosto","septiembre","octubre","noviembre","diciembre"},0)+1,0))</f>
        <v/>
      </c>
      <c r="E2746" t="str">
        <f>+IFERROR(VLOOKUP(Fact_Analitica[[#This Row], [Concepto Anterior]],Conceptos_Analítica_contraloría[#All],5,0),"")</f>
        <v/>
      </c>
      <c r="F2746" t="str">
        <f>+IFERROR(VLOOKUP(Fact_Analitica[[#This Row], [Concepto Anterior]],Conceptos_Analítica_contraloría[#All],7,0),"")</f>
        <v/>
      </c>
      <c r="I2746" t="str">
        <f>+IFERROR(VLOOKUP(D2746,Conceptos_Analítica_contraloría[#All],2,0),"")</f>
        <v/>
      </c>
      <c r="J2746" s="84" t="str">
        <f>+IFERROR(VLOOKUP(D2746,Conceptos_Analítica_contraloría[#All],3,0),"")</f>
        <v/>
      </c>
    </row>
    <row r="2747" spans="3:10" ht="18.75" customHeight="1" x14ac:dyDescent="0.35">
      <c r="C2747" s="100" t="str">
        <f>IF(OR(Fact_Analitica[[#This Row], [Año]]="",Fact_Analitica[[#This Row], [Mes]]=""),"",DATE(A2747,MATCH(B2747,{"enero","febrero","marzo","abril","mayo","junio","julio","agosto","septiembre","octubre","noviembre","diciembre"},0)+1,0))</f>
        <v/>
      </c>
      <c r="E2747" t="str">
        <f>+IFERROR(VLOOKUP(Fact_Analitica[[#This Row], [Concepto Anterior]],Conceptos_Analítica_contraloría[#All],5,0),"")</f>
        <v/>
      </c>
      <c r="F2747" t="str">
        <f>+IFERROR(VLOOKUP(Fact_Analitica[[#This Row], [Concepto Anterior]],Conceptos_Analítica_contraloría[#All],7,0),"")</f>
        <v/>
      </c>
      <c r="I2747" t="str">
        <f>+IFERROR(VLOOKUP(D2747,Conceptos_Analítica_contraloría[#All],2,0),"")</f>
        <v/>
      </c>
      <c r="J2747" s="84" t="str">
        <f>+IFERROR(VLOOKUP(D2747,Conceptos_Analítica_contraloría[#All],3,0),"")</f>
        <v/>
      </c>
    </row>
    <row r="2748" spans="3:10" ht="18.75" customHeight="1" x14ac:dyDescent="0.35">
      <c r="C2748" s="100" t="str">
        <f>IF(OR(Fact_Analitica[[#This Row], [Año]]="",Fact_Analitica[[#This Row], [Mes]]=""),"",DATE(A2748,MATCH(B2748,{"enero","febrero","marzo","abril","mayo","junio","julio","agosto","septiembre","octubre","noviembre","diciembre"},0)+1,0))</f>
        <v/>
      </c>
      <c r="E2748" t="str">
        <f>+IFERROR(VLOOKUP(Fact_Analitica[[#This Row], [Concepto Anterior]],Conceptos_Analítica_contraloría[#All],5,0),"")</f>
        <v/>
      </c>
      <c r="F2748" t="str">
        <f>+IFERROR(VLOOKUP(Fact_Analitica[[#This Row], [Concepto Anterior]],Conceptos_Analítica_contraloría[#All],7,0),"")</f>
        <v/>
      </c>
      <c r="I2748" t="str">
        <f>+IFERROR(VLOOKUP(D2748,Conceptos_Analítica_contraloría[#All],2,0),"")</f>
        <v/>
      </c>
      <c r="J2748" s="84" t="str">
        <f>+IFERROR(VLOOKUP(D2748,Conceptos_Analítica_contraloría[#All],3,0),"")</f>
        <v/>
      </c>
    </row>
    <row r="2749" spans="3:10" ht="18.75" customHeight="1" x14ac:dyDescent="0.35">
      <c r="C2749" s="100" t="str">
        <f>IF(OR(Fact_Analitica[[#This Row], [Año]]="",Fact_Analitica[[#This Row], [Mes]]=""),"",DATE(A2749,MATCH(B2749,{"enero","febrero","marzo","abril","mayo","junio","julio","agosto","septiembre","octubre","noviembre","diciembre"},0)+1,0))</f>
        <v/>
      </c>
      <c r="E2749" t="str">
        <f>+IFERROR(VLOOKUP(Fact_Analitica[[#This Row], [Concepto Anterior]],Conceptos_Analítica_contraloría[#All],5,0),"")</f>
        <v/>
      </c>
      <c r="F2749" t="str">
        <f>+IFERROR(VLOOKUP(Fact_Analitica[[#This Row], [Concepto Anterior]],Conceptos_Analítica_contraloría[#All],7,0),"")</f>
        <v/>
      </c>
      <c r="I2749" t="str">
        <f>+IFERROR(VLOOKUP(D2749,Conceptos_Analítica_contraloría[#All],2,0),"")</f>
        <v/>
      </c>
      <c r="J2749" s="84" t="str">
        <f>+IFERROR(VLOOKUP(D2749,Conceptos_Analítica_contraloría[#All],3,0),"")</f>
        <v/>
      </c>
    </row>
    <row r="2750" spans="3:10" ht="18.75" customHeight="1" x14ac:dyDescent="0.35">
      <c r="C2750" s="100" t="str">
        <f>IF(OR(Fact_Analitica[[#This Row], [Año]]="",Fact_Analitica[[#This Row], [Mes]]=""),"",DATE(A2750,MATCH(B2750,{"enero","febrero","marzo","abril","mayo","junio","julio","agosto","septiembre","octubre","noviembre","diciembre"},0)+1,0))</f>
        <v/>
      </c>
      <c r="E2750" t="str">
        <f>+IFERROR(VLOOKUP(Fact_Analitica[[#This Row], [Concepto Anterior]],Conceptos_Analítica_contraloría[#All],5,0),"")</f>
        <v/>
      </c>
      <c r="F2750" t="str">
        <f>+IFERROR(VLOOKUP(Fact_Analitica[[#This Row], [Concepto Anterior]],Conceptos_Analítica_contraloría[#All],7,0),"")</f>
        <v/>
      </c>
      <c r="I2750" t="str">
        <f>+IFERROR(VLOOKUP(D2750,Conceptos_Analítica_contraloría[#All],2,0),"")</f>
        <v/>
      </c>
      <c r="J2750" s="84" t="str">
        <f>+IFERROR(VLOOKUP(D2750,Conceptos_Analítica_contraloría[#All],3,0),"")</f>
        <v/>
      </c>
    </row>
    <row r="2751" spans="3:10" ht="18.75" customHeight="1" x14ac:dyDescent="0.35">
      <c r="C2751" s="100" t="str">
        <f>IF(OR(Fact_Analitica[[#This Row], [Año]]="",Fact_Analitica[[#This Row], [Mes]]=""),"",DATE(A2751,MATCH(B2751,{"enero","febrero","marzo","abril","mayo","junio","julio","agosto","septiembre","octubre","noviembre","diciembre"},0)+1,0))</f>
        <v/>
      </c>
      <c r="E2751" t="str">
        <f>+IFERROR(VLOOKUP(Fact_Analitica[[#This Row], [Concepto Anterior]],Conceptos_Analítica_contraloría[#All],5,0),"")</f>
        <v/>
      </c>
      <c r="F2751" t="str">
        <f>+IFERROR(VLOOKUP(Fact_Analitica[[#This Row], [Concepto Anterior]],Conceptos_Analítica_contraloría[#All],7,0),"")</f>
        <v/>
      </c>
      <c r="I2751" t="str">
        <f>+IFERROR(VLOOKUP(D2751,Conceptos_Analítica_contraloría[#All],2,0),"")</f>
        <v/>
      </c>
      <c r="J2751" s="84" t="str">
        <f>+IFERROR(VLOOKUP(D2751,Conceptos_Analítica_contraloría[#All],3,0),"")</f>
        <v/>
      </c>
    </row>
    <row r="2752" spans="3:10" ht="18.75" customHeight="1" x14ac:dyDescent="0.35">
      <c r="C2752" s="100" t="str">
        <f>IF(OR(Fact_Analitica[[#This Row], [Año]]="",Fact_Analitica[[#This Row], [Mes]]=""),"",DATE(A2752,MATCH(B2752,{"enero","febrero","marzo","abril","mayo","junio","julio","agosto","septiembre","octubre","noviembre","diciembre"},0)+1,0))</f>
        <v/>
      </c>
      <c r="E2752" t="str">
        <f>+IFERROR(VLOOKUP(Fact_Analitica[[#This Row], [Concepto Anterior]],Conceptos_Analítica_contraloría[#All],5,0),"")</f>
        <v/>
      </c>
      <c r="F2752" t="str">
        <f>+IFERROR(VLOOKUP(Fact_Analitica[[#This Row], [Concepto Anterior]],Conceptos_Analítica_contraloría[#All],7,0),"")</f>
        <v/>
      </c>
      <c r="I2752" t="str">
        <f>+IFERROR(VLOOKUP(D2752,Conceptos_Analítica_contraloría[#All],2,0),"")</f>
        <v/>
      </c>
      <c r="J2752" s="84" t="str">
        <f>+IFERROR(VLOOKUP(D2752,Conceptos_Analítica_contraloría[#All],3,0),"")</f>
        <v/>
      </c>
    </row>
    <row r="2753" spans="3:10" ht="18.75" customHeight="1" x14ac:dyDescent="0.35">
      <c r="C2753" s="100" t="str">
        <f>IF(OR(Fact_Analitica[[#This Row], [Año]]="",Fact_Analitica[[#This Row], [Mes]]=""),"",DATE(A2753,MATCH(B2753,{"enero","febrero","marzo","abril","mayo","junio","julio","agosto","septiembre","octubre","noviembre","diciembre"},0)+1,0))</f>
        <v/>
      </c>
      <c r="E2753" t="str">
        <f>+IFERROR(VLOOKUP(Fact_Analitica[[#This Row], [Concepto Anterior]],Conceptos_Analítica_contraloría[#All],5,0),"")</f>
        <v/>
      </c>
      <c r="F2753" t="str">
        <f>+IFERROR(VLOOKUP(Fact_Analitica[[#This Row], [Concepto Anterior]],Conceptos_Analítica_contraloría[#All],7,0),"")</f>
        <v/>
      </c>
      <c r="I2753" t="str">
        <f>+IFERROR(VLOOKUP(D2753,Conceptos_Analítica_contraloría[#All],2,0),"")</f>
        <v/>
      </c>
      <c r="J2753" s="84" t="str">
        <f>+IFERROR(VLOOKUP(D2753,Conceptos_Analítica_contraloría[#All],3,0),"")</f>
        <v/>
      </c>
    </row>
    <row r="2754" spans="3:10" ht="18.75" customHeight="1" x14ac:dyDescent="0.35">
      <c r="C2754" s="100" t="str">
        <f>IF(OR(Fact_Analitica[[#This Row], [Año]]="",Fact_Analitica[[#This Row], [Mes]]=""),"",DATE(A2754,MATCH(B2754,{"enero","febrero","marzo","abril","mayo","junio","julio","agosto","septiembre","octubre","noviembre","diciembre"},0)+1,0))</f>
        <v/>
      </c>
      <c r="E2754" t="str">
        <f>+IFERROR(VLOOKUP(Fact_Analitica[[#This Row], [Concepto Anterior]],Conceptos_Analítica_contraloría[#All],5,0),"")</f>
        <v/>
      </c>
      <c r="F2754" t="str">
        <f>+IFERROR(VLOOKUP(Fact_Analitica[[#This Row], [Concepto Anterior]],Conceptos_Analítica_contraloría[#All],7,0),"")</f>
        <v/>
      </c>
      <c r="I2754" t="str">
        <f>+IFERROR(VLOOKUP(D2754,Conceptos_Analítica_contraloría[#All],2,0),"")</f>
        <v/>
      </c>
      <c r="J2754" s="84" t="str">
        <f>+IFERROR(VLOOKUP(D2754,Conceptos_Analítica_contraloría[#All],3,0),"")</f>
        <v/>
      </c>
    </row>
    <row r="2755" spans="3:10" ht="18.75" customHeight="1" x14ac:dyDescent="0.35">
      <c r="C2755" s="100" t="str">
        <f>IF(OR(Fact_Analitica[[#This Row], [Año]]="",Fact_Analitica[[#This Row], [Mes]]=""),"",DATE(A2755,MATCH(B2755,{"enero","febrero","marzo","abril","mayo","junio","julio","agosto","septiembre","octubre","noviembre","diciembre"},0)+1,0))</f>
        <v/>
      </c>
      <c r="E2755" t="str">
        <f>+IFERROR(VLOOKUP(Fact_Analitica[[#This Row], [Concepto Anterior]],Conceptos_Analítica_contraloría[#All],5,0),"")</f>
        <v/>
      </c>
      <c r="F2755" t="str">
        <f>+IFERROR(VLOOKUP(Fact_Analitica[[#This Row], [Concepto Anterior]],Conceptos_Analítica_contraloría[#All],7,0),"")</f>
        <v/>
      </c>
      <c r="I2755" t="str">
        <f>+IFERROR(VLOOKUP(D2755,Conceptos_Analítica_contraloría[#All],2,0),"")</f>
        <v/>
      </c>
      <c r="J2755" s="84" t="str">
        <f>+IFERROR(VLOOKUP(D2755,Conceptos_Analítica_contraloría[#All],3,0),"")</f>
        <v/>
      </c>
    </row>
    <row r="2756" spans="3:10" ht="18.75" customHeight="1" x14ac:dyDescent="0.35">
      <c r="C2756" s="100" t="str">
        <f>IF(OR(Fact_Analitica[[#This Row], [Año]]="",Fact_Analitica[[#This Row], [Mes]]=""),"",DATE(A2756,MATCH(B2756,{"enero","febrero","marzo","abril","mayo","junio","julio","agosto","septiembre","octubre","noviembre","diciembre"},0)+1,0))</f>
        <v/>
      </c>
      <c r="E2756" t="str">
        <f>+IFERROR(VLOOKUP(Fact_Analitica[[#This Row], [Concepto Anterior]],Conceptos_Analítica_contraloría[#All],5,0),"")</f>
        <v/>
      </c>
      <c r="F2756" t="str">
        <f>+IFERROR(VLOOKUP(Fact_Analitica[[#This Row], [Concepto Anterior]],Conceptos_Analítica_contraloría[#All],7,0),"")</f>
        <v/>
      </c>
      <c r="I2756" t="str">
        <f>+IFERROR(VLOOKUP(D2756,Conceptos_Analítica_contraloría[#All],2,0),"")</f>
        <v/>
      </c>
      <c r="J2756" s="84" t="str">
        <f>+IFERROR(VLOOKUP(D2756,Conceptos_Analítica_contraloría[#All],3,0),"")</f>
        <v/>
      </c>
    </row>
    <row r="2757" spans="3:10" ht="18.75" customHeight="1" x14ac:dyDescent="0.35">
      <c r="C2757" s="100" t="str">
        <f>IF(OR(Fact_Analitica[[#This Row], [Año]]="",Fact_Analitica[[#This Row], [Mes]]=""),"",DATE(A2757,MATCH(B2757,{"enero","febrero","marzo","abril","mayo","junio","julio","agosto","septiembre","octubre","noviembre","diciembre"},0)+1,0))</f>
        <v/>
      </c>
      <c r="E2757" t="str">
        <f>+IFERROR(VLOOKUP(Fact_Analitica[[#This Row], [Concepto Anterior]],Conceptos_Analítica_contraloría[#All],5,0),"")</f>
        <v/>
      </c>
      <c r="F2757" t="str">
        <f>+IFERROR(VLOOKUP(Fact_Analitica[[#This Row], [Concepto Anterior]],Conceptos_Analítica_contraloría[#All],7,0),"")</f>
        <v/>
      </c>
      <c r="I2757" t="str">
        <f>+IFERROR(VLOOKUP(D2757,Conceptos_Analítica_contraloría[#All],2,0),"")</f>
        <v/>
      </c>
      <c r="J2757" s="84" t="str">
        <f>+IFERROR(VLOOKUP(D2757,Conceptos_Analítica_contraloría[#All],3,0),"")</f>
        <v/>
      </c>
    </row>
    <row r="2758" spans="3:10" ht="18.75" customHeight="1" x14ac:dyDescent="0.35">
      <c r="C2758" s="100" t="str">
        <f>IF(OR(Fact_Analitica[[#This Row], [Año]]="",Fact_Analitica[[#This Row], [Mes]]=""),"",DATE(A2758,MATCH(B2758,{"enero","febrero","marzo","abril","mayo","junio","julio","agosto","septiembre","octubre","noviembre","diciembre"},0)+1,0))</f>
        <v/>
      </c>
      <c r="E2758" t="str">
        <f>+IFERROR(VLOOKUP(Fact_Analitica[[#This Row], [Concepto Anterior]],Conceptos_Analítica_contraloría[#All],5,0),"")</f>
        <v/>
      </c>
      <c r="F2758" t="str">
        <f>+IFERROR(VLOOKUP(Fact_Analitica[[#This Row], [Concepto Anterior]],Conceptos_Analítica_contraloría[#All],7,0),"")</f>
        <v/>
      </c>
      <c r="I2758" t="str">
        <f>+IFERROR(VLOOKUP(D2758,Conceptos_Analítica_contraloría[#All],2,0),"")</f>
        <v/>
      </c>
      <c r="J2758" s="84" t="str">
        <f>+IFERROR(VLOOKUP(D2758,Conceptos_Analítica_contraloría[#All],3,0),"")</f>
        <v/>
      </c>
    </row>
    <row r="2759" spans="3:10" ht="18.75" customHeight="1" x14ac:dyDescent="0.35">
      <c r="C2759" s="100" t="str">
        <f>IF(OR(Fact_Analitica[[#This Row], [Año]]="",Fact_Analitica[[#This Row], [Mes]]=""),"",DATE(A2759,MATCH(B2759,{"enero","febrero","marzo","abril","mayo","junio","julio","agosto","septiembre","octubre","noviembre","diciembre"},0)+1,0))</f>
        <v/>
      </c>
      <c r="E2759" t="str">
        <f>+IFERROR(VLOOKUP(Fact_Analitica[[#This Row], [Concepto Anterior]],Conceptos_Analítica_contraloría[#All],5,0),"")</f>
        <v/>
      </c>
      <c r="F2759" t="str">
        <f>+IFERROR(VLOOKUP(Fact_Analitica[[#This Row], [Concepto Anterior]],Conceptos_Analítica_contraloría[#All],7,0),"")</f>
        <v/>
      </c>
      <c r="I2759" t="str">
        <f>+IFERROR(VLOOKUP(D2759,Conceptos_Analítica_contraloría[#All],2,0),"")</f>
        <v/>
      </c>
      <c r="J2759" s="84" t="str">
        <f>+IFERROR(VLOOKUP(D2759,Conceptos_Analítica_contraloría[#All],3,0),"")</f>
        <v/>
      </c>
    </row>
    <row r="2760" spans="3:10" ht="18.75" customHeight="1" x14ac:dyDescent="0.35">
      <c r="C2760" s="100" t="str">
        <f>IF(OR(Fact_Analitica[[#This Row], [Año]]="",Fact_Analitica[[#This Row], [Mes]]=""),"",DATE(A2760,MATCH(B2760,{"enero","febrero","marzo","abril","mayo","junio","julio","agosto","septiembre","octubre","noviembre","diciembre"},0)+1,0))</f>
        <v/>
      </c>
      <c r="E2760" t="str">
        <f>+IFERROR(VLOOKUP(Fact_Analitica[[#This Row], [Concepto Anterior]],Conceptos_Analítica_contraloría[#All],5,0),"")</f>
        <v/>
      </c>
      <c r="F2760" t="str">
        <f>+IFERROR(VLOOKUP(Fact_Analitica[[#This Row], [Concepto Anterior]],Conceptos_Analítica_contraloría[#All],7,0),"")</f>
        <v/>
      </c>
      <c r="I2760" t="str">
        <f>+IFERROR(VLOOKUP(D2760,Conceptos_Analítica_contraloría[#All],2,0),"")</f>
        <v/>
      </c>
      <c r="J2760" s="84" t="str">
        <f>+IFERROR(VLOOKUP(D2760,Conceptos_Analítica_contraloría[#All],3,0),"")</f>
        <v/>
      </c>
    </row>
    <row r="2761" spans="3:10" ht="18.75" customHeight="1" x14ac:dyDescent="0.35">
      <c r="C2761" s="100" t="str">
        <f>IF(OR(Fact_Analitica[[#This Row], [Año]]="",Fact_Analitica[[#This Row], [Mes]]=""),"",DATE(A2761,MATCH(B2761,{"enero","febrero","marzo","abril","mayo","junio","julio","agosto","septiembre","octubre","noviembre","diciembre"},0)+1,0))</f>
        <v/>
      </c>
      <c r="E2761" t="str">
        <f>+IFERROR(VLOOKUP(Fact_Analitica[[#This Row], [Concepto Anterior]],Conceptos_Analítica_contraloría[#All],5,0),"")</f>
        <v/>
      </c>
      <c r="F2761" t="str">
        <f>+IFERROR(VLOOKUP(Fact_Analitica[[#This Row], [Concepto Anterior]],Conceptos_Analítica_contraloría[#All],7,0),"")</f>
        <v/>
      </c>
      <c r="I2761" t="str">
        <f>+IFERROR(VLOOKUP(D2761,Conceptos_Analítica_contraloría[#All],2,0),"")</f>
        <v/>
      </c>
      <c r="J2761" s="84" t="str">
        <f>+IFERROR(VLOOKUP(D2761,Conceptos_Analítica_contraloría[#All],3,0),"")</f>
        <v/>
      </c>
    </row>
    <row r="2762" spans="3:10" ht="18.75" customHeight="1" x14ac:dyDescent="0.35">
      <c r="C2762" s="100" t="str">
        <f>IF(OR(Fact_Analitica[[#This Row], [Año]]="",Fact_Analitica[[#This Row], [Mes]]=""),"",DATE(A2762,MATCH(B2762,{"enero","febrero","marzo","abril","mayo","junio","julio","agosto","septiembre","octubre","noviembre","diciembre"},0)+1,0))</f>
        <v/>
      </c>
      <c r="E2762" t="str">
        <f>+IFERROR(VLOOKUP(Fact_Analitica[[#This Row], [Concepto Anterior]],Conceptos_Analítica_contraloría[#All],5,0),"")</f>
        <v/>
      </c>
      <c r="F2762" t="str">
        <f>+IFERROR(VLOOKUP(Fact_Analitica[[#This Row], [Concepto Anterior]],Conceptos_Analítica_contraloría[#All],7,0),"")</f>
        <v/>
      </c>
      <c r="I2762" t="str">
        <f>+IFERROR(VLOOKUP(D2762,Conceptos_Analítica_contraloría[#All],2,0),"")</f>
        <v/>
      </c>
      <c r="J2762" s="84" t="str">
        <f>+IFERROR(VLOOKUP(D2762,Conceptos_Analítica_contraloría[#All],3,0),"")</f>
        <v/>
      </c>
    </row>
    <row r="2763" spans="3:10" ht="18.75" customHeight="1" x14ac:dyDescent="0.35">
      <c r="C2763" s="100" t="str">
        <f>IF(OR(Fact_Analitica[[#This Row], [Año]]="",Fact_Analitica[[#This Row], [Mes]]=""),"",DATE(A2763,MATCH(B2763,{"enero","febrero","marzo","abril","mayo","junio","julio","agosto","septiembre","octubre","noviembre","diciembre"},0)+1,0))</f>
        <v/>
      </c>
      <c r="E2763" t="str">
        <f>+IFERROR(VLOOKUP(Fact_Analitica[[#This Row], [Concepto Anterior]],Conceptos_Analítica_contraloría[#All],5,0),"")</f>
        <v/>
      </c>
      <c r="F2763" t="str">
        <f>+IFERROR(VLOOKUP(Fact_Analitica[[#This Row], [Concepto Anterior]],Conceptos_Analítica_contraloría[#All],7,0),"")</f>
        <v/>
      </c>
      <c r="I2763" t="str">
        <f>+IFERROR(VLOOKUP(D2763,Conceptos_Analítica_contraloría[#All],2,0),"")</f>
        <v/>
      </c>
      <c r="J2763" s="84" t="str">
        <f>+IFERROR(VLOOKUP(D2763,Conceptos_Analítica_contraloría[#All],3,0),"")</f>
        <v/>
      </c>
    </row>
    <row r="2764" spans="3:10" ht="18.75" customHeight="1" x14ac:dyDescent="0.35">
      <c r="C2764" s="100" t="str">
        <f>IF(OR(Fact_Analitica[[#This Row], [Año]]="",Fact_Analitica[[#This Row], [Mes]]=""),"",DATE(A2764,MATCH(B2764,{"enero","febrero","marzo","abril","mayo","junio","julio","agosto","septiembre","octubre","noviembre","diciembre"},0)+1,0))</f>
        <v/>
      </c>
      <c r="E2764" t="str">
        <f>+IFERROR(VLOOKUP(Fact_Analitica[[#This Row], [Concepto Anterior]],Conceptos_Analítica_contraloría[#All],5,0),"")</f>
        <v/>
      </c>
      <c r="F2764" t="str">
        <f>+IFERROR(VLOOKUP(Fact_Analitica[[#This Row], [Concepto Anterior]],Conceptos_Analítica_contraloría[#All],7,0),"")</f>
        <v/>
      </c>
      <c r="I2764" t="str">
        <f>+IFERROR(VLOOKUP(D2764,Conceptos_Analítica_contraloría[#All],2,0),"")</f>
        <v/>
      </c>
      <c r="J2764" s="84" t="str">
        <f>+IFERROR(VLOOKUP(D2764,Conceptos_Analítica_contraloría[#All],3,0),"")</f>
        <v/>
      </c>
    </row>
    <row r="2765" spans="3:10" ht="18.75" customHeight="1" x14ac:dyDescent="0.35">
      <c r="C2765" s="100" t="str">
        <f>IF(OR(Fact_Analitica[[#This Row], [Año]]="",Fact_Analitica[[#This Row], [Mes]]=""),"",DATE(A2765,MATCH(B2765,{"enero","febrero","marzo","abril","mayo","junio","julio","agosto","septiembre","octubre","noviembre","diciembre"},0)+1,0))</f>
        <v/>
      </c>
      <c r="E2765" t="str">
        <f>+IFERROR(VLOOKUP(Fact_Analitica[[#This Row], [Concepto Anterior]],Conceptos_Analítica_contraloría[#All],5,0),"")</f>
        <v/>
      </c>
      <c r="F2765" t="str">
        <f>+IFERROR(VLOOKUP(Fact_Analitica[[#This Row], [Concepto Anterior]],Conceptos_Analítica_contraloría[#All],7,0),"")</f>
        <v/>
      </c>
      <c r="I2765" t="str">
        <f>+IFERROR(VLOOKUP(D2765,Conceptos_Analítica_contraloría[#All],2,0),"")</f>
        <v/>
      </c>
      <c r="J2765" s="84" t="str">
        <f>+IFERROR(VLOOKUP(D2765,Conceptos_Analítica_contraloría[#All],3,0),"")</f>
        <v/>
      </c>
    </row>
    <row r="2766" spans="3:10" ht="18.75" customHeight="1" x14ac:dyDescent="0.35">
      <c r="C2766" s="100" t="str">
        <f>IF(OR(Fact_Analitica[[#This Row], [Año]]="",Fact_Analitica[[#This Row], [Mes]]=""),"",DATE(A2766,MATCH(B2766,{"enero","febrero","marzo","abril","mayo","junio","julio","agosto","septiembre","octubre","noviembre","diciembre"},0)+1,0))</f>
        <v/>
      </c>
      <c r="E2766" t="str">
        <f>+IFERROR(VLOOKUP(Fact_Analitica[[#This Row], [Concepto Anterior]],Conceptos_Analítica_contraloría[#All],5,0),"")</f>
        <v/>
      </c>
      <c r="F2766" t="str">
        <f>+IFERROR(VLOOKUP(Fact_Analitica[[#This Row], [Concepto Anterior]],Conceptos_Analítica_contraloría[#All],7,0),"")</f>
        <v/>
      </c>
      <c r="I2766" t="str">
        <f>+IFERROR(VLOOKUP(D2766,Conceptos_Analítica_contraloría[#All],2,0),"")</f>
        <v/>
      </c>
      <c r="J2766" s="84" t="str">
        <f>+IFERROR(VLOOKUP(D2766,Conceptos_Analítica_contraloría[#All],3,0),"")</f>
        <v/>
      </c>
    </row>
    <row r="2767" spans="3:10" ht="18.75" customHeight="1" x14ac:dyDescent="0.35">
      <c r="C2767" s="100" t="str">
        <f>IF(OR(Fact_Analitica[[#This Row], [Año]]="",Fact_Analitica[[#This Row], [Mes]]=""),"",DATE(A2767,MATCH(B2767,{"enero","febrero","marzo","abril","mayo","junio","julio","agosto","septiembre","octubre","noviembre","diciembre"},0)+1,0))</f>
        <v/>
      </c>
      <c r="E2767" t="str">
        <f>+IFERROR(VLOOKUP(Fact_Analitica[[#This Row], [Concepto Anterior]],Conceptos_Analítica_contraloría[#All],5,0),"")</f>
        <v/>
      </c>
      <c r="F2767" t="str">
        <f>+IFERROR(VLOOKUP(Fact_Analitica[[#This Row], [Concepto Anterior]],Conceptos_Analítica_contraloría[#All],7,0),"")</f>
        <v/>
      </c>
      <c r="I2767" t="str">
        <f>+IFERROR(VLOOKUP(D2767,Conceptos_Analítica_contraloría[#All],2,0),"")</f>
        <v/>
      </c>
      <c r="J2767" s="84" t="str">
        <f>+IFERROR(VLOOKUP(D2767,Conceptos_Analítica_contraloría[#All],3,0),"")</f>
        <v/>
      </c>
    </row>
    <row r="2768" spans="3:10" ht="18.75" customHeight="1" x14ac:dyDescent="0.35">
      <c r="C2768" s="100" t="str">
        <f>IF(OR(Fact_Analitica[[#This Row], [Año]]="",Fact_Analitica[[#This Row], [Mes]]=""),"",DATE(A2768,MATCH(B2768,{"enero","febrero","marzo","abril","mayo","junio","julio","agosto","septiembre","octubre","noviembre","diciembre"},0)+1,0))</f>
        <v/>
      </c>
      <c r="E2768" t="str">
        <f>+IFERROR(VLOOKUP(Fact_Analitica[[#This Row], [Concepto Anterior]],Conceptos_Analítica_contraloría[#All],5,0),"")</f>
        <v/>
      </c>
      <c r="F2768" t="str">
        <f>+IFERROR(VLOOKUP(Fact_Analitica[[#This Row], [Concepto Anterior]],Conceptos_Analítica_contraloría[#All],7,0),"")</f>
        <v/>
      </c>
      <c r="I2768" t="str">
        <f>+IFERROR(VLOOKUP(D2768,Conceptos_Analítica_contraloría[#All],2,0),"")</f>
        <v/>
      </c>
      <c r="J2768" s="84" t="str">
        <f>+IFERROR(VLOOKUP(D2768,Conceptos_Analítica_contraloría[#All],3,0),"")</f>
        <v/>
      </c>
    </row>
    <row r="2769" spans="3:10" ht="18.75" customHeight="1" x14ac:dyDescent="0.35">
      <c r="C2769" s="100" t="str">
        <f>IF(OR(Fact_Analitica[[#This Row], [Año]]="",Fact_Analitica[[#This Row], [Mes]]=""),"",DATE(A2769,MATCH(B2769,{"enero","febrero","marzo","abril","mayo","junio","julio","agosto","septiembre","octubre","noviembre","diciembre"},0)+1,0))</f>
        <v/>
      </c>
      <c r="E2769" t="str">
        <f>+IFERROR(VLOOKUP(Fact_Analitica[[#This Row], [Concepto Anterior]],Conceptos_Analítica_contraloría[#All],5,0),"")</f>
        <v/>
      </c>
      <c r="F2769" t="str">
        <f>+IFERROR(VLOOKUP(Fact_Analitica[[#This Row], [Concepto Anterior]],Conceptos_Analítica_contraloría[#All],7,0),"")</f>
        <v/>
      </c>
      <c r="I2769" t="str">
        <f>+IFERROR(VLOOKUP(D2769,Conceptos_Analítica_contraloría[#All],2,0),"")</f>
        <v/>
      </c>
      <c r="J2769" s="84" t="str">
        <f>+IFERROR(VLOOKUP(D2769,Conceptos_Analítica_contraloría[#All],3,0),"")</f>
        <v/>
      </c>
    </row>
    <row r="2770" spans="3:10" ht="18.75" customHeight="1" x14ac:dyDescent="0.35">
      <c r="C2770" s="100" t="str">
        <f>IF(OR(Fact_Analitica[[#This Row], [Año]]="",Fact_Analitica[[#This Row], [Mes]]=""),"",DATE(A2770,MATCH(B2770,{"enero","febrero","marzo","abril","mayo","junio","julio","agosto","septiembre","octubre","noviembre","diciembre"},0)+1,0))</f>
        <v/>
      </c>
      <c r="E2770" t="str">
        <f>+IFERROR(VLOOKUP(Fact_Analitica[[#This Row], [Concepto Anterior]],Conceptos_Analítica_contraloría[#All],5,0),"")</f>
        <v/>
      </c>
      <c r="F2770" t="str">
        <f>+IFERROR(VLOOKUP(Fact_Analitica[[#This Row], [Concepto Anterior]],Conceptos_Analítica_contraloría[#All],7,0),"")</f>
        <v/>
      </c>
      <c r="I2770" t="str">
        <f>+IFERROR(VLOOKUP(D2770,Conceptos_Analítica_contraloría[#All],2,0),"")</f>
        <v/>
      </c>
      <c r="J2770" s="84" t="str">
        <f>+IFERROR(VLOOKUP(D2770,Conceptos_Analítica_contraloría[#All],3,0),"")</f>
        <v/>
      </c>
    </row>
    <row r="2771" spans="3:10" ht="18.75" customHeight="1" x14ac:dyDescent="0.35">
      <c r="C2771" s="100" t="str">
        <f>IF(OR(Fact_Analitica[[#This Row], [Año]]="",Fact_Analitica[[#This Row], [Mes]]=""),"",DATE(A2771,MATCH(B2771,{"enero","febrero","marzo","abril","mayo","junio","julio","agosto","septiembre","octubre","noviembre","diciembre"},0)+1,0))</f>
        <v/>
      </c>
      <c r="E2771" t="str">
        <f>+IFERROR(VLOOKUP(Fact_Analitica[[#This Row], [Concepto Anterior]],Conceptos_Analítica_contraloría[#All],5,0),"")</f>
        <v/>
      </c>
      <c r="F2771" t="str">
        <f>+IFERROR(VLOOKUP(Fact_Analitica[[#This Row], [Concepto Anterior]],Conceptos_Analítica_contraloría[#All],7,0),"")</f>
        <v/>
      </c>
      <c r="I2771" t="str">
        <f>+IFERROR(VLOOKUP(D2771,Conceptos_Analítica_contraloría[#All],2,0),"")</f>
        <v/>
      </c>
      <c r="J2771" s="84" t="str">
        <f>+IFERROR(VLOOKUP(D2771,Conceptos_Analítica_contraloría[#All],3,0),"")</f>
        <v/>
      </c>
    </row>
    <row r="2772" spans="3:10" ht="18.75" customHeight="1" x14ac:dyDescent="0.35">
      <c r="C2772" s="100" t="str">
        <f>IF(OR(Fact_Analitica[[#This Row], [Año]]="",Fact_Analitica[[#This Row], [Mes]]=""),"",DATE(A2772,MATCH(B2772,{"enero","febrero","marzo","abril","mayo","junio","julio","agosto","septiembre","octubre","noviembre","diciembre"},0)+1,0))</f>
        <v/>
      </c>
      <c r="E2772" t="str">
        <f>+IFERROR(VLOOKUP(Fact_Analitica[[#This Row], [Concepto Anterior]],Conceptos_Analítica_contraloría[#All],5,0),"")</f>
        <v/>
      </c>
      <c r="F2772" t="str">
        <f>+IFERROR(VLOOKUP(Fact_Analitica[[#This Row], [Concepto Anterior]],Conceptos_Analítica_contraloría[#All],7,0),"")</f>
        <v/>
      </c>
      <c r="I2772" t="str">
        <f>+IFERROR(VLOOKUP(D2772,Conceptos_Analítica_contraloría[#All],2,0),"")</f>
        <v/>
      </c>
      <c r="J2772" s="84" t="str">
        <f>+IFERROR(VLOOKUP(D2772,Conceptos_Analítica_contraloría[#All],3,0),"")</f>
        <v/>
      </c>
    </row>
    <row r="2773" spans="3:10" ht="18.75" customHeight="1" x14ac:dyDescent="0.35">
      <c r="C2773" s="100" t="str">
        <f>IF(OR(Fact_Analitica[[#This Row], [Año]]="",Fact_Analitica[[#This Row], [Mes]]=""),"",DATE(A2773,MATCH(B2773,{"enero","febrero","marzo","abril","mayo","junio","julio","agosto","septiembre","octubre","noviembre","diciembre"},0)+1,0))</f>
        <v/>
      </c>
      <c r="E2773" t="str">
        <f>+IFERROR(VLOOKUP(Fact_Analitica[[#This Row], [Concepto Anterior]],Conceptos_Analítica_contraloría[#All],5,0),"")</f>
        <v/>
      </c>
      <c r="F2773" t="str">
        <f>+IFERROR(VLOOKUP(Fact_Analitica[[#This Row], [Concepto Anterior]],Conceptos_Analítica_contraloría[#All],7,0),"")</f>
        <v/>
      </c>
      <c r="I2773" t="str">
        <f>+IFERROR(VLOOKUP(D2773,Conceptos_Analítica_contraloría[#All],2,0),"")</f>
        <v/>
      </c>
      <c r="J2773" s="84" t="str">
        <f>+IFERROR(VLOOKUP(D2773,Conceptos_Analítica_contraloría[#All],3,0),"")</f>
        <v/>
      </c>
    </row>
    <row r="2774" spans="3:10" ht="18.75" customHeight="1" x14ac:dyDescent="0.35">
      <c r="C2774" s="100" t="str">
        <f>IF(OR(Fact_Analitica[[#This Row], [Año]]="",Fact_Analitica[[#This Row], [Mes]]=""),"",DATE(A2774,MATCH(B2774,{"enero","febrero","marzo","abril","mayo","junio","julio","agosto","septiembre","octubre","noviembre","diciembre"},0)+1,0))</f>
        <v/>
      </c>
      <c r="E2774" t="str">
        <f>+IFERROR(VLOOKUP(Fact_Analitica[[#This Row], [Concepto Anterior]],Conceptos_Analítica_contraloría[#All],5,0),"")</f>
        <v/>
      </c>
      <c r="F2774" t="str">
        <f>+IFERROR(VLOOKUP(Fact_Analitica[[#This Row], [Concepto Anterior]],Conceptos_Analítica_contraloría[#All],7,0),"")</f>
        <v/>
      </c>
      <c r="I2774" t="str">
        <f>+IFERROR(VLOOKUP(D2774,Conceptos_Analítica_contraloría[#All],2,0),"")</f>
        <v/>
      </c>
      <c r="J2774" s="84" t="str">
        <f>+IFERROR(VLOOKUP(D2774,Conceptos_Analítica_contraloría[#All],3,0),"")</f>
        <v/>
      </c>
    </row>
    <row r="2775" spans="3:10" ht="18.75" customHeight="1" x14ac:dyDescent="0.35">
      <c r="C2775" s="100" t="str">
        <f>IF(OR(Fact_Analitica[[#This Row], [Año]]="",Fact_Analitica[[#This Row], [Mes]]=""),"",DATE(A2775,MATCH(B2775,{"enero","febrero","marzo","abril","mayo","junio","julio","agosto","septiembre","octubre","noviembre","diciembre"},0)+1,0))</f>
        <v/>
      </c>
      <c r="E2775" t="str">
        <f>+IFERROR(VLOOKUP(Fact_Analitica[[#This Row], [Concepto Anterior]],Conceptos_Analítica_contraloría[#All],5,0),"")</f>
        <v/>
      </c>
      <c r="F2775" t="str">
        <f>+IFERROR(VLOOKUP(Fact_Analitica[[#This Row], [Concepto Anterior]],Conceptos_Analítica_contraloría[#All],7,0),"")</f>
        <v/>
      </c>
      <c r="I2775" t="str">
        <f>+IFERROR(VLOOKUP(D2775,Conceptos_Analítica_contraloría[#All],2,0),"")</f>
        <v/>
      </c>
      <c r="J2775" s="84" t="str">
        <f>+IFERROR(VLOOKUP(D2775,Conceptos_Analítica_contraloría[#All],3,0),"")</f>
        <v/>
      </c>
    </row>
    <row r="2776" spans="3:10" ht="18.75" customHeight="1" x14ac:dyDescent="0.35">
      <c r="C2776" s="100" t="str">
        <f>IF(OR(Fact_Analitica[[#This Row], [Año]]="",Fact_Analitica[[#This Row], [Mes]]=""),"",DATE(A2776,MATCH(B2776,{"enero","febrero","marzo","abril","mayo","junio","julio","agosto","septiembre","octubre","noviembre","diciembre"},0)+1,0))</f>
        <v/>
      </c>
      <c r="E2776" t="str">
        <f>+IFERROR(VLOOKUP(Fact_Analitica[[#This Row], [Concepto Anterior]],Conceptos_Analítica_contraloría[#All],5,0),"")</f>
        <v/>
      </c>
      <c r="F2776" t="str">
        <f>+IFERROR(VLOOKUP(Fact_Analitica[[#This Row], [Concepto Anterior]],Conceptos_Analítica_contraloría[#All],7,0),"")</f>
        <v/>
      </c>
      <c r="I2776" t="str">
        <f>+IFERROR(VLOOKUP(D2776,Conceptos_Analítica_contraloría[#All],2,0),"")</f>
        <v/>
      </c>
      <c r="J2776" s="84" t="str">
        <f>+IFERROR(VLOOKUP(D2776,Conceptos_Analítica_contraloría[#All],3,0),"")</f>
        <v/>
      </c>
    </row>
    <row r="2777" spans="3:10" ht="18.75" customHeight="1" x14ac:dyDescent="0.35">
      <c r="C2777" s="100" t="str">
        <f>IF(OR(Fact_Analitica[[#This Row], [Año]]="",Fact_Analitica[[#This Row], [Mes]]=""),"",DATE(A2777,MATCH(B2777,{"enero","febrero","marzo","abril","mayo","junio","julio","agosto","septiembre","octubre","noviembre","diciembre"},0)+1,0))</f>
        <v/>
      </c>
      <c r="E2777" t="str">
        <f>+IFERROR(VLOOKUP(Fact_Analitica[[#This Row], [Concepto Anterior]],Conceptos_Analítica_contraloría[#All],5,0),"")</f>
        <v/>
      </c>
      <c r="F2777" t="str">
        <f>+IFERROR(VLOOKUP(Fact_Analitica[[#This Row], [Concepto Anterior]],Conceptos_Analítica_contraloría[#All],7,0),"")</f>
        <v/>
      </c>
      <c r="I2777" t="str">
        <f>+IFERROR(VLOOKUP(D2777,Conceptos_Analítica_contraloría[#All],2,0),"")</f>
        <v/>
      </c>
      <c r="J2777" s="84" t="str">
        <f>+IFERROR(VLOOKUP(D2777,Conceptos_Analítica_contraloría[#All],3,0),"")</f>
        <v/>
      </c>
    </row>
    <row r="2778" spans="3:10" ht="18.75" customHeight="1" x14ac:dyDescent="0.35">
      <c r="C2778" s="100" t="str">
        <f>IF(OR(Fact_Analitica[[#This Row], [Año]]="",Fact_Analitica[[#This Row], [Mes]]=""),"",DATE(A2778,MATCH(B2778,{"enero","febrero","marzo","abril","mayo","junio","julio","agosto","septiembre","octubre","noviembre","diciembre"},0)+1,0))</f>
        <v/>
      </c>
      <c r="E2778" t="str">
        <f>+IFERROR(VLOOKUP(Fact_Analitica[[#This Row], [Concepto Anterior]],Conceptos_Analítica_contraloría[#All],5,0),"")</f>
        <v/>
      </c>
      <c r="F2778" t="str">
        <f>+IFERROR(VLOOKUP(Fact_Analitica[[#This Row], [Concepto Anterior]],Conceptos_Analítica_contraloría[#All],7,0),"")</f>
        <v/>
      </c>
      <c r="I2778" t="str">
        <f>+IFERROR(VLOOKUP(D2778,Conceptos_Analítica_contraloría[#All],2,0),"")</f>
        <v/>
      </c>
      <c r="J2778" s="84" t="str">
        <f>+IFERROR(VLOOKUP(D2778,Conceptos_Analítica_contraloría[#All],3,0),"")</f>
        <v/>
      </c>
    </row>
    <row r="2779" spans="3:10" ht="18.75" customHeight="1" x14ac:dyDescent="0.35">
      <c r="C2779" s="100" t="str">
        <f>IF(OR(Fact_Analitica[[#This Row], [Año]]="",Fact_Analitica[[#This Row], [Mes]]=""),"",DATE(A2779,MATCH(B2779,{"enero","febrero","marzo","abril","mayo","junio","julio","agosto","septiembre","octubre","noviembre","diciembre"},0)+1,0))</f>
        <v/>
      </c>
      <c r="E2779" t="str">
        <f>+IFERROR(VLOOKUP(Fact_Analitica[[#This Row], [Concepto Anterior]],Conceptos_Analítica_contraloría[#All],5,0),"")</f>
        <v/>
      </c>
      <c r="F2779" t="str">
        <f>+IFERROR(VLOOKUP(Fact_Analitica[[#This Row], [Concepto Anterior]],Conceptos_Analítica_contraloría[#All],7,0),"")</f>
        <v/>
      </c>
      <c r="I2779" t="str">
        <f>+IFERROR(VLOOKUP(D2779,Conceptos_Analítica_contraloría[#All],2,0),"")</f>
        <v/>
      </c>
      <c r="J2779" s="84" t="str">
        <f>+IFERROR(VLOOKUP(D2779,Conceptos_Analítica_contraloría[#All],3,0),"")</f>
        <v/>
      </c>
    </row>
    <row r="2780" spans="3:10" ht="18.75" customHeight="1" x14ac:dyDescent="0.35">
      <c r="C2780" s="100" t="str">
        <f>IF(OR(Fact_Analitica[[#This Row], [Año]]="",Fact_Analitica[[#This Row], [Mes]]=""),"",DATE(A2780,MATCH(B2780,{"enero","febrero","marzo","abril","mayo","junio","julio","agosto","septiembre","octubre","noviembre","diciembre"},0)+1,0))</f>
        <v/>
      </c>
      <c r="E2780" t="str">
        <f>+IFERROR(VLOOKUP(Fact_Analitica[[#This Row], [Concepto Anterior]],Conceptos_Analítica_contraloría[#All],5,0),"")</f>
        <v/>
      </c>
      <c r="F2780" t="str">
        <f>+IFERROR(VLOOKUP(Fact_Analitica[[#This Row], [Concepto Anterior]],Conceptos_Analítica_contraloría[#All],7,0),"")</f>
        <v/>
      </c>
      <c r="I2780" t="str">
        <f>+IFERROR(VLOOKUP(D2780,Conceptos_Analítica_contraloría[#All],2,0),"")</f>
        <v/>
      </c>
      <c r="J2780" s="84" t="str">
        <f>+IFERROR(VLOOKUP(D2780,Conceptos_Analítica_contraloría[#All],3,0),"")</f>
        <v/>
      </c>
    </row>
    <row r="2781" spans="3:10" ht="18.75" customHeight="1" x14ac:dyDescent="0.35">
      <c r="C2781" s="100" t="str">
        <f>IF(OR(Fact_Analitica[[#This Row], [Año]]="",Fact_Analitica[[#This Row], [Mes]]=""),"",DATE(A2781,MATCH(B2781,{"enero","febrero","marzo","abril","mayo","junio","julio","agosto","septiembre","octubre","noviembre","diciembre"},0)+1,0))</f>
        <v/>
      </c>
      <c r="E2781" t="str">
        <f>+IFERROR(VLOOKUP(Fact_Analitica[[#This Row], [Concepto Anterior]],Conceptos_Analítica_contraloría[#All],5,0),"")</f>
        <v/>
      </c>
      <c r="F2781" t="str">
        <f>+IFERROR(VLOOKUP(Fact_Analitica[[#This Row], [Concepto Anterior]],Conceptos_Analítica_contraloría[#All],7,0),"")</f>
        <v/>
      </c>
      <c r="I2781" t="str">
        <f>+IFERROR(VLOOKUP(D2781,Conceptos_Analítica_contraloría[#All],2,0),"")</f>
        <v/>
      </c>
      <c r="J2781" s="84" t="str">
        <f>+IFERROR(VLOOKUP(D2781,Conceptos_Analítica_contraloría[#All],3,0),"")</f>
        <v/>
      </c>
    </row>
    <row r="2782" spans="3:10" ht="18.75" customHeight="1" x14ac:dyDescent="0.35">
      <c r="C2782" s="100" t="str">
        <f>IF(OR(Fact_Analitica[[#This Row], [Año]]="",Fact_Analitica[[#This Row], [Mes]]=""),"",DATE(A2782,MATCH(B2782,{"enero","febrero","marzo","abril","mayo","junio","julio","agosto","septiembre","octubre","noviembre","diciembre"},0)+1,0))</f>
        <v/>
      </c>
      <c r="E2782" t="str">
        <f>+IFERROR(VLOOKUP(Fact_Analitica[[#This Row], [Concepto Anterior]],Conceptos_Analítica_contraloría[#All],5,0),"")</f>
        <v/>
      </c>
      <c r="F2782" t="str">
        <f>+IFERROR(VLOOKUP(Fact_Analitica[[#This Row], [Concepto Anterior]],Conceptos_Analítica_contraloría[#All],7,0),"")</f>
        <v/>
      </c>
      <c r="I2782" t="str">
        <f>+IFERROR(VLOOKUP(D2782,Conceptos_Analítica_contraloría[#All],2,0),"")</f>
        <v/>
      </c>
      <c r="J2782" s="84" t="str">
        <f>+IFERROR(VLOOKUP(D2782,Conceptos_Analítica_contraloría[#All],3,0),"")</f>
        <v/>
      </c>
    </row>
    <row r="2783" spans="3:10" ht="18.75" customHeight="1" x14ac:dyDescent="0.35">
      <c r="C2783" s="100" t="str">
        <f>IF(OR(Fact_Analitica[[#This Row], [Año]]="",Fact_Analitica[[#This Row], [Mes]]=""),"",DATE(A2783,MATCH(B2783,{"enero","febrero","marzo","abril","mayo","junio","julio","agosto","septiembre","octubre","noviembre","diciembre"},0)+1,0))</f>
        <v/>
      </c>
      <c r="E2783" t="str">
        <f>+IFERROR(VLOOKUP(Fact_Analitica[[#This Row], [Concepto Anterior]],Conceptos_Analítica_contraloría[#All],5,0),"")</f>
        <v/>
      </c>
      <c r="F2783" t="str">
        <f>+IFERROR(VLOOKUP(Fact_Analitica[[#This Row], [Concepto Anterior]],Conceptos_Analítica_contraloría[#All],7,0),"")</f>
        <v/>
      </c>
      <c r="I2783" t="str">
        <f>+IFERROR(VLOOKUP(D2783,Conceptos_Analítica_contraloría[#All],2,0),"")</f>
        <v/>
      </c>
      <c r="J2783" s="84" t="str">
        <f>+IFERROR(VLOOKUP(D2783,Conceptos_Analítica_contraloría[#All],3,0),"")</f>
        <v/>
      </c>
    </row>
    <row r="2784" spans="3:10" ht="18.75" customHeight="1" x14ac:dyDescent="0.35">
      <c r="C2784" s="100" t="str">
        <f>IF(OR(Fact_Analitica[[#This Row], [Año]]="",Fact_Analitica[[#This Row], [Mes]]=""),"",DATE(A2784,MATCH(B2784,{"enero","febrero","marzo","abril","mayo","junio","julio","agosto","septiembre","octubre","noviembre","diciembre"},0)+1,0))</f>
        <v/>
      </c>
      <c r="E2784" t="str">
        <f>+IFERROR(VLOOKUP(Fact_Analitica[[#This Row], [Concepto Anterior]],Conceptos_Analítica_contraloría[#All],5,0),"")</f>
        <v/>
      </c>
      <c r="F2784" t="str">
        <f>+IFERROR(VLOOKUP(Fact_Analitica[[#This Row], [Concepto Anterior]],Conceptos_Analítica_contraloría[#All],7,0),"")</f>
        <v/>
      </c>
      <c r="I2784" t="str">
        <f>+IFERROR(VLOOKUP(D2784,Conceptos_Analítica_contraloría[#All],2,0),"")</f>
        <v/>
      </c>
      <c r="J2784" s="84" t="str">
        <f>+IFERROR(VLOOKUP(D2784,Conceptos_Analítica_contraloría[#All],3,0),"")</f>
        <v/>
      </c>
    </row>
    <row r="2785" spans="3:10" ht="18.75" customHeight="1" x14ac:dyDescent="0.35">
      <c r="C2785" s="100" t="str">
        <f>IF(OR(Fact_Analitica[[#This Row], [Año]]="",Fact_Analitica[[#This Row], [Mes]]=""),"",DATE(A2785,MATCH(B2785,{"enero","febrero","marzo","abril","mayo","junio","julio","agosto","septiembre","octubre","noviembre","diciembre"},0)+1,0))</f>
        <v/>
      </c>
      <c r="E2785" t="str">
        <f>+IFERROR(VLOOKUP(Fact_Analitica[[#This Row], [Concepto Anterior]],Conceptos_Analítica_contraloría[#All],5,0),"")</f>
        <v/>
      </c>
      <c r="F2785" t="str">
        <f>+IFERROR(VLOOKUP(Fact_Analitica[[#This Row], [Concepto Anterior]],Conceptos_Analítica_contraloría[#All],7,0),"")</f>
        <v/>
      </c>
      <c r="I2785" t="str">
        <f>+IFERROR(VLOOKUP(D2785,Conceptos_Analítica_contraloría[#All],2,0),"")</f>
        <v/>
      </c>
      <c r="J2785" s="84" t="str">
        <f>+IFERROR(VLOOKUP(D2785,Conceptos_Analítica_contraloría[#All],3,0),"")</f>
        <v/>
      </c>
    </row>
    <row r="2786" spans="3:10" ht="18.75" customHeight="1" x14ac:dyDescent="0.35">
      <c r="C2786" s="100" t="str">
        <f>IF(OR(Fact_Analitica[[#This Row], [Año]]="",Fact_Analitica[[#This Row], [Mes]]=""),"",DATE(A2786,MATCH(B2786,{"enero","febrero","marzo","abril","mayo","junio","julio","agosto","septiembre","octubre","noviembre","diciembre"},0)+1,0))</f>
        <v/>
      </c>
      <c r="E2786" t="str">
        <f>+IFERROR(VLOOKUP(Fact_Analitica[[#This Row], [Concepto Anterior]],Conceptos_Analítica_contraloría[#All],5,0),"")</f>
        <v/>
      </c>
      <c r="F2786" t="str">
        <f>+IFERROR(VLOOKUP(Fact_Analitica[[#This Row], [Concepto Anterior]],Conceptos_Analítica_contraloría[#All],7,0),"")</f>
        <v/>
      </c>
      <c r="I2786" t="str">
        <f>+IFERROR(VLOOKUP(D2786,Conceptos_Analítica_contraloría[#All],2,0),"")</f>
        <v/>
      </c>
      <c r="J2786" s="84" t="str">
        <f>+IFERROR(VLOOKUP(D2786,Conceptos_Analítica_contraloría[#All],3,0),"")</f>
        <v/>
      </c>
    </row>
    <row r="2787" spans="3:10" ht="18.75" customHeight="1" x14ac:dyDescent="0.35">
      <c r="C2787" s="100" t="str">
        <f>IF(OR(Fact_Analitica[[#This Row], [Año]]="",Fact_Analitica[[#This Row], [Mes]]=""),"",DATE(A2787,MATCH(B2787,{"enero","febrero","marzo","abril","mayo","junio","julio","agosto","septiembre","octubre","noviembre","diciembre"},0)+1,0))</f>
        <v/>
      </c>
      <c r="E2787" t="str">
        <f>+IFERROR(VLOOKUP(Fact_Analitica[[#This Row], [Concepto Anterior]],Conceptos_Analítica_contraloría[#All],5,0),"")</f>
        <v/>
      </c>
      <c r="F2787" t="str">
        <f>+IFERROR(VLOOKUP(Fact_Analitica[[#This Row], [Concepto Anterior]],Conceptos_Analítica_contraloría[#All],7,0),"")</f>
        <v/>
      </c>
      <c r="I2787" t="str">
        <f>+IFERROR(VLOOKUP(D2787,Conceptos_Analítica_contraloría[#All],2,0),"")</f>
        <v/>
      </c>
      <c r="J2787" s="84" t="str">
        <f>+IFERROR(VLOOKUP(D2787,Conceptos_Analítica_contraloría[#All],3,0),"")</f>
        <v/>
      </c>
    </row>
    <row r="2788" spans="3:10" ht="18.75" customHeight="1" x14ac:dyDescent="0.35">
      <c r="C2788" s="100" t="str">
        <f>IF(OR(Fact_Analitica[[#This Row], [Año]]="",Fact_Analitica[[#This Row], [Mes]]=""),"",DATE(A2788,MATCH(B2788,{"enero","febrero","marzo","abril","mayo","junio","julio","agosto","septiembre","octubre","noviembre","diciembre"},0)+1,0))</f>
        <v/>
      </c>
      <c r="E2788" t="str">
        <f>+IFERROR(VLOOKUP(Fact_Analitica[[#This Row], [Concepto Anterior]],Conceptos_Analítica_contraloría[#All],5,0),"")</f>
        <v/>
      </c>
      <c r="F2788" t="str">
        <f>+IFERROR(VLOOKUP(Fact_Analitica[[#This Row], [Concepto Anterior]],Conceptos_Analítica_contraloría[#All],7,0),"")</f>
        <v/>
      </c>
      <c r="I2788" t="str">
        <f>+IFERROR(VLOOKUP(D2788,Conceptos_Analítica_contraloría[#All],2,0),"")</f>
        <v/>
      </c>
      <c r="J2788" s="84" t="str">
        <f>+IFERROR(VLOOKUP(D2788,Conceptos_Analítica_contraloría[#All],3,0),"")</f>
        <v/>
      </c>
    </row>
    <row r="2789" spans="3:10" ht="18.75" customHeight="1" x14ac:dyDescent="0.35">
      <c r="C2789" s="100" t="str">
        <f>IF(OR(Fact_Analitica[[#This Row], [Año]]="",Fact_Analitica[[#This Row], [Mes]]=""),"",DATE(A2789,MATCH(B2789,{"enero","febrero","marzo","abril","mayo","junio","julio","agosto","septiembre","octubre","noviembre","diciembre"},0)+1,0))</f>
        <v/>
      </c>
      <c r="E2789" t="str">
        <f>+IFERROR(VLOOKUP(Fact_Analitica[[#This Row], [Concepto Anterior]],Conceptos_Analítica_contraloría[#All],5,0),"")</f>
        <v/>
      </c>
      <c r="F2789" t="str">
        <f>+IFERROR(VLOOKUP(Fact_Analitica[[#This Row], [Concepto Anterior]],Conceptos_Analítica_contraloría[#All],7,0),"")</f>
        <v/>
      </c>
      <c r="I2789" t="str">
        <f>+IFERROR(VLOOKUP(D2789,Conceptos_Analítica_contraloría[#All],2,0),"")</f>
        <v/>
      </c>
      <c r="J2789" s="84" t="str">
        <f>+IFERROR(VLOOKUP(D2789,Conceptos_Analítica_contraloría[#All],3,0),"")</f>
        <v/>
      </c>
    </row>
    <row r="2790" spans="3:10" ht="18.75" customHeight="1" x14ac:dyDescent="0.35">
      <c r="C2790" s="100" t="str">
        <f>IF(OR(Fact_Analitica[[#This Row], [Año]]="",Fact_Analitica[[#This Row], [Mes]]=""),"",DATE(A2790,MATCH(B2790,{"enero","febrero","marzo","abril","mayo","junio","julio","agosto","septiembre","octubre","noviembre","diciembre"},0)+1,0))</f>
        <v/>
      </c>
      <c r="E2790" t="str">
        <f>+IFERROR(VLOOKUP(Fact_Analitica[[#This Row], [Concepto Anterior]],Conceptos_Analítica_contraloría[#All],5,0),"")</f>
        <v/>
      </c>
      <c r="F2790" t="str">
        <f>+IFERROR(VLOOKUP(Fact_Analitica[[#This Row], [Concepto Anterior]],Conceptos_Analítica_contraloría[#All],7,0),"")</f>
        <v/>
      </c>
      <c r="I2790" t="str">
        <f>+IFERROR(VLOOKUP(D2790,Conceptos_Analítica_contraloría[#All],2,0),"")</f>
        <v/>
      </c>
      <c r="J2790" s="84" t="str">
        <f>+IFERROR(VLOOKUP(D2790,Conceptos_Analítica_contraloría[#All],3,0),"")</f>
        <v/>
      </c>
    </row>
    <row r="2791" spans="3:10" ht="18.75" customHeight="1" x14ac:dyDescent="0.35">
      <c r="C2791" s="100" t="str">
        <f>IF(OR(Fact_Analitica[[#This Row], [Año]]="",Fact_Analitica[[#This Row], [Mes]]=""),"",DATE(A2791,MATCH(B2791,{"enero","febrero","marzo","abril","mayo","junio","julio","agosto","septiembre","octubre","noviembre","diciembre"},0)+1,0))</f>
        <v/>
      </c>
      <c r="E2791" t="str">
        <f>+IFERROR(VLOOKUP(Fact_Analitica[[#This Row], [Concepto Anterior]],Conceptos_Analítica_contraloría[#All],5,0),"")</f>
        <v/>
      </c>
      <c r="F2791" t="str">
        <f>+IFERROR(VLOOKUP(Fact_Analitica[[#This Row], [Concepto Anterior]],Conceptos_Analítica_contraloría[#All],7,0),"")</f>
        <v/>
      </c>
      <c r="I2791" t="str">
        <f>+IFERROR(VLOOKUP(D2791,Conceptos_Analítica_contraloría[#All],2,0),"")</f>
        <v/>
      </c>
      <c r="J2791" s="84" t="str">
        <f>+IFERROR(VLOOKUP(D2791,Conceptos_Analítica_contraloría[#All],3,0),"")</f>
        <v/>
      </c>
    </row>
    <row r="2792" spans="3:10" ht="18.75" customHeight="1" x14ac:dyDescent="0.35">
      <c r="C2792" s="100" t="str">
        <f>IF(OR(Fact_Analitica[[#This Row], [Año]]="",Fact_Analitica[[#This Row], [Mes]]=""),"",DATE(A2792,MATCH(B2792,{"enero","febrero","marzo","abril","mayo","junio","julio","agosto","septiembre","octubre","noviembre","diciembre"},0)+1,0))</f>
        <v/>
      </c>
      <c r="E2792" t="str">
        <f>+IFERROR(VLOOKUP(Fact_Analitica[[#This Row], [Concepto Anterior]],Conceptos_Analítica_contraloría[#All],5,0),"")</f>
        <v/>
      </c>
      <c r="F2792" t="str">
        <f>+IFERROR(VLOOKUP(Fact_Analitica[[#This Row], [Concepto Anterior]],Conceptos_Analítica_contraloría[#All],7,0),"")</f>
        <v/>
      </c>
      <c r="I2792" t="str">
        <f>+IFERROR(VLOOKUP(D2792,Conceptos_Analítica_contraloría[#All],2,0),"")</f>
        <v/>
      </c>
      <c r="J2792" s="84" t="str">
        <f>+IFERROR(VLOOKUP(D2792,Conceptos_Analítica_contraloría[#All],3,0),"")</f>
        <v/>
      </c>
    </row>
    <row r="2793" spans="3:10" ht="18.75" customHeight="1" x14ac:dyDescent="0.35">
      <c r="C2793" s="100" t="str">
        <f>IF(OR(Fact_Analitica[[#This Row], [Año]]="",Fact_Analitica[[#This Row], [Mes]]=""),"",DATE(A2793,MATCH(B2793,{"enero","febrero","marzo","abril","mayo","junio","julio","agosto","septiembre","octubre","noviembre","diciembre"},0)+1,0))</f>
        <v/>
      </c>
      <c r="E2793" t="str">
        <f>+IFERROR(VLOOKUP(Fact_Analitica[[#This Row], [Concepto Anterior]],Conceptos_Analítica_contraloría[#All],5,0),"")</f>
        <v/>
      </c>
      <c r="F2793" t="str">
        <f>+IFERROR(VLOOKUP(Fact_Analitica[[#This Row], [Concepto Anterior]],Conceptos_Analítica_contraloría[#All],7,0),"")</f>
        <v/>
      </c>
      <c r="I2793" t="str">
        <f>+IFERROR(VLOOKUP(D2793,Conceptos_Analítica_contraloría[#All],2,0),"")</f>
        <v/>
      </c>
      <c r="J2793" s="84" t="str">
        <f>+IFERROR(VLOOKUP(D2793,Conceptos_Analítica_contraloría[#All],3,0),"")</f>
        <v/>
      </c>
    </row>
    <row r="2794" spans="3:10" ht="18.75" customHeight="1" x14ac:dyDescent="0.35">
      <c r="C2794" s="100" t="str">
        <f>IF(OR(Fact_Analitica[[#This Row], [Año]]="",Fact_Analitica[[#This Row], [Mes]]=""),"",DATE(A2794,MATCH(B2794,{"enero","febrero","marzo","abril","mayo","junio","julio","agosto","septiembre","octubre","noviembre","diciembre"},0)+1,0))</f>
        <v/>
      </c>
      <c r="E2794" t="str">
        <f>+IFERROR(VLOOKUP(Fact_Analitica[[#This Row], [Concepto Anterior]],Conceptos_Analítica_contraloría[#All],5,0),"")</f>
        <v/>
      </c>
      <c r="F2794" t="str">
        <f>+IFERROR(VLOOKUP(Fact_Analitica[[#This Row], [Concepto Anterior]],Conceptos_Analítica_contraloría[#All],7,0),"")</f>
        <v/>
      </c>
      <c r="I2794" t="str">
        <f>+IFERROR(VLOOKUP(D2794,Conceptos_Analítica_contraloría[#All],2,0),"")</f>
        <v/>
      </c>
      <c r="J2794" s="84" t="str">
        <f>+IFERROR(VLOOKUP(D2794,Conceptos_Analítica_contraloría[#All],3,0),"")</f>
        <v/>
      </c>
    </row>
    <row r="2795" spans="3:10" ht="18.75" customHeight="1" x14ac:dyDescent="0.35">
      <c r="C2795" s="100" t="str">
        <f>IF(OR(Fact_Analitica[[#This Row], [Año]]="",Fact_Analitica[[#This Row], [Mes]]=""),"",DATE(A2795,MATCH(B2795,{"enero","febrero","marzo","abril","mayo","junio","julio","agosto","septiembre","octubre","noviembre","diciembre"},0)+1,0))</f>
        <v/>
      </c>
      <c r="E2795" t="str">
        <f>+IFERROR(VLOOKUP(Fact_Analitica[[#This Row], [Concepto Anterior]],Conceptos_Analítica_contraloría[#All],5,0),"")</f>
        <v/>
      </c>
      <c r="F2795" t="str">
        <f>+IFERROR(VLOOKUP(Fact_Analitica[[#This Row], [Concepto Anterior]],Conceptos_Analítica_contraloría[#All],7,0),"")</f>
        <v/>
      </c>
      <c r="I2795" t="str">
        <f>+IFERROR(VLOOKUP(D2795,Conceptos_Analítica_contraloría[#All],2,0),"")</f>
        <v/>
      </c>
      <c r="J2795" s="84" t="str">
        <f>+IFERROR(VLOOKUP(D2795,Conceptos_Analítica_contraloría[#All],3,0),"")</f>
        <v/>
      </c>
    </row>
    <row r="2796" spans="3:10" ht="18.75" customHeight="1" x14ac:dyDescent="0.35">
      <c r="C2796" s="100" t="str">
        <f>IF(OR(Fact_Analitica[[#This Row], [Año]]="",Fact_Analitica[[#This Row], [Mes]]=""),"",DATE(A2796,MATCH(B2796,{"enero","febrero","marzo","abril","mayo","junio","julio","agosto","septiembre","octubre","noviembre","diciembre"},0)+1,0))</f>
        <v/>
      </c>
      <c r="E2796" t="str">
        <f>+IFERROR(VLOOKUP(Fact_Analitica[[#This Row], [Concepto Anterior]],Conceptos_Analítica_contraloría[#All],5,0),"")</f>
        <v/>
      </c>
      <c r="F2796" t="str">
        <f>+IFERROR(VLOOKUP(Fact_Analitica[[#This Row], [Concepto Anterior]],Conceptos_Analítica_contraloría[#All],7,0),"")</f>
        <v/>
      </c>
      <c r="I2796" t="str">
        <f>+IFERROR(VLOOKUP(D2796,Conceptos_Analítica_contraloría[#All],2,0),"")</f>
        <v/>
      </c>
      <c r="J2796" s="84" t="str">
        <f>+IFERROR(VLOOKUP(D2796,Conceptos_Analítica_contraloría[#All],3,0),"")</f>
        <v/>
      </c>
    </row>
    <row r="2797" spans="3:10" ht="18.75" customHeight="1" x14ac:dyDescent="0.35">
      <c r="C2797" s="100" t="str">
        <f>IF(OR(Fact_Analitica[[#This Row], [Año]]="",Fact_Analitica[[#This Row], [Mes]]=""),"",DATE(A2797,MATCH(B2797,{"enero","febrero","marzo","abril","mayo","junio","julio","agosto","septiembre","octubre","noviembre","diciembre"},0)+1,0))</f>
        <v/>
      </c>
      <c r="E2797" t="str">
        <f>+IFERROR(VLOOKUP(Fact_Analitica[[#This Row], [Concepto Anterior]],Conceptos_Analítica_contraloría[#All],5,0),"")</f>
        <v/>
      </c>
      <c r="F2797" t="str">
        <f>+IFERROR(VLOOKUP(Fact_Analitica[[#This Row], [Concepto Anterior]],Conceptos_Analítica_contraloría[#All],7,0),"")</f>
        <v/>
      </c>
      <c r="I2797" t="str">
        <f>+IFERROR(VLOOKUP(D2797,Conceptos_Analítica_contraloría[#All],2,0),"")</f>
        <v/>
      </c>
      <c r="J2797" s="84" t="str">
        <f>+IFERROR(VLOOKUP(D2797,Conceptos_Analítica_contraloría[#All],3,0),"")</f>
        <v/>
      </c>
    </row>
    <row r="2798" spans="3:10" ht="18.75" customHeight="1" x14ac:dyDescent="0.35">
      <c r="C2798" s="100" t="str">
        <f>IF(OR(Fact_Analitica[[#This Row], [Año]]="",Fact_Analitica[[#This Row], [Mes]]=""),"",DATE(A2798,MATCH(B2798,{"enero","febrero","marzo","abril","mayo","junio","julio","agosto","septiembre","octubre","noviembre","diciembre"},0)+1,0))</f>
        <v/>
      </c>
      <c r="E2798" t="str">
        <f>+IFERROR(VLOOKUP(Fact_Analitica[[#This Row], [Concepto Anterior]],Conceptos_Analítica_contraloría[#All],5,0),"")</f>
        <v/>
      </c>
      <c r="F2798" t="str">
        <f>+IFERROR(VLOOKUP(Fact_Analitica[[#This Row], [Concepto Anterior]],Conceptos_Analítica_contraloría[#All],7,0),"")</f>
        <v/>
      </c>
      <c r="I2798" t="str">
        <f>+IFERROR(VLOOKUP(D2798,Conceptos_Analítica_contraloría[#All],2,0),"")</f>
        <v/>
      </c>
      <c r="J2798" s="84" t="str">
        <f>+IFERROR(VLOOKUP(D2798,Conceptos_Analítica_contraloría[#All],3,0),"")</f>
        <v/>
      </c>
    </row>
    <row r="2799" spans="3:10" ht="18.75" customHeight="1" x14ac:dyDescent="0.35">
      <c r="C2799" s="100" t="str">
        <f>IF(OR(Fact_Analitica[[#This Row], [Año]]="",Fact_Analitica[[#This Row], [Mes]]=""),"",DATE(A2799,MATCH(B2799,{"enero","febrero","marzo","abril","mayo","junio","julio","agosto","septiembre","octubre","noviembre","diciembre"},0)+1,0))</f>
        <v/>
      </c>
      <c r="E2799" t="str">
        <f>+IFERROR(VLOOKUP(Fact_Analitica[[#This Row], [Concepto Anterior]],Conceptos_Analítica_contraloría[#All],5,0),"")</f>
        <v/>
      </c>
      <c r="F2799" t="str">
        <f>+IFERROR(VLOOKUP(Fact_Analitica[[#This Row], [Concepto Anterior]],Conceptos_Analítica_contraloría[#All],7,0),"")</f>
        <v/>
      </c>
      <c r="I2799" t="str">
        <f>+IFERROR(VLOOKUP(D2799,Conceptos_Analítica_contraloría[#All],2,0),"")</f>
        <v/>
      </c>
      <c r="J2799" s="84" t="str">
        <f>+IFERROR(VLOOKUP(D2799,Conceptos_Analítica_contraloría[#All],3,0),"")</f>
        <v/>
      </c>
    </row>
    <row r="2800" spans="3:10" ht="18.75" customHeight="1" x14ac:dyDescent="0.35">
      <c r="C2800" s="100" t="str">
        <f>IF(OR(Fact_Analitica[[#This Row], [Año]]="",Fact_Analitica[[#This Row], [Mes]]=""),"",DATE(A2800,MATCH(B2800,{"enero","febrero","marzo","abril","mayo","junio","julio","agosto","septiembre","octubre","noviembre","diciembre"},0)+1,0))</f>
        <v/>
      </c>
      <c r="E2800" t="str">
        <f>+IFERROR(VLOOKUP(Fact_Analitica[[#This Row], [Concepto Anterior]],Conceptos_Analítica_contraloría[#All],5,0),"")</f>
        <v/>
      </c>
      <c r="F2800" t="str">
        <f>+IFERROR(VLOOKUP(Fact_Analitica[[#This Row], [Concepto Anterior]],Conceptos_Analítica_contraloría[#All],7,0),"")</f>
        <v/>
      </c>
      <c r="I2800" t="str">
        <f>+IFERROR(VLOOKUP(D2800,Conceptos_Analítica_contraloría[#All],2,0),"")</f>
        <v/>
      </c>
      <c r="J2800" s="84" t="str">
        <f>+IFERROR(VLOOKUP(D2800,Conceptos_Analítica_contraloría[#All],3,0),"")</f>
        <v/>
      </c>
    </row>
    <row r="2801" spans="3:10" ht="18.75" customHeight="1" x14ac:dyDescent="0.35">
      <c r="C2801" s="100" t="str">
        <f>IF(OR(Fact_Analitica[[#This Row], [Año]]="",Fact_Analitica[[#This Row], [Mes]]=""),"",DATE(A2801,MATCH(B2801,{"enero","febrero","marzo","abril","mayo","junio","julio","agosto","septiembre","octubre","noviembre","diciembre"},0)+1,0))</f>
        <v/>
      </c>
      <c r="E2801" t="str">
        <f>+IFERROR(VLOOKUP(Fact_Analitica[[#This Row], [Concepto Anterior]],Conceptos_Analítica_contraloría[#All],5,0),"")</f>
        <v/>
      </c>
      <c r="F2801" t="str">
        <f>+IFERROR(VLOOKUP(Fact_Analitica[[#This Row], [Concepto Anterior]],Conceptos_Analítica_contraloría[#All],7,0),"")</f>
        <v/>
      </c>
      <c r="I2801" t="str">
        <f>+IFERROR(VLOOKUP(D2801,Conceptos_Analítica_contraloría[#All],2,0),"")</f>
        <v/>
      </c>
      <c r="J2801" s="84" t="str">
        <f>+IFERROR(VLOOKUP(D2801,Conceptos_Analítica_contraloría[#All],3,0),"")</f>
        <v/>
      </c>
    </row>
    <row r="2802" spans="3:10" ht="18.75" customHeight="1" x14ac:dyDescent="0.35">
      <c r="C2802" s="100" t="str">
        <f>IF(OR(Fact_Analitica[[#This Row], [Año]]="",Fact_Analitica[[#This Row], [Mes]]=""),"",DATE(A2802,MATCH(B2802,{"enero","febrero","marzo","abril","mayo","junio","julio","agosto","septiembre","octubre","noviembre","diciembre"},0)+1,0))</f>
        <v/>
      </c>
      <c r="E2802" t="str">
        <f>+IFERROR(VLOOKUP(Fact_Analitica[[#This Row], [Concepto Anterior]],Conceptos_Analítica_contraloría[#All],5,0),"")</f>
        <v/>
      </c>
      <c r="F2802" t="str">
        <f>+IFERROR(VLOOKUP(Fact_Analitica[[#This Row], [Concepto Anterior]],Conceptos_Analítica_contraloría[#All],7,0),"")</f>
        <v/>
      </c>
      <c r="I2802" t="str">
        <f>+IFERROR(VLOOKUP(D2802,Conceptos_Analítica_contraloría[#All],2,0),"")</f>
        <v/>
      </c>
      <c r="J2802" s="84" t="str">
        <f>+IFERROR(VLOOKUP(D2802,Conceptos_Analítica_contraloría[#All],3,0),"")</f>
        <v/>
      </c>
    </row>
    <row r="2803" spans="3:10" ht="18.75" customHeight="1" x14ac:dyDescent="0.35">
      <c r="C2803" s="100" t="str">
        <f>IF(OR(Fact_Analitica[[#This Row], [Año]]="",Fact_Analitica[[#This Row], [Mes]]=""),"",DATE(A2803,MATCH(B2803,{"enero","febrero","marzo","abril","mayo","junio","julio","agosto","septiembre","octubre","noviembre","diciembre"},0)+1,0))</f>
        <v/>
      </c>
      <c r="E2803" t="str">
        <f>+IFERROR(VLOOKUP(Fact_Analitica[[#This Row], [Concepto Anterior]],Conceptos_Analítica_contraloría[#All],5,0),"")</f>
        <v/>
      </c>
      <c r="F2803" t="str">
        <f>+IFERROR(VLOOKUP(Fact_Analitica[[#This Row], [Concepto Anterior]],Conceptos_Analítica_contraloría[#All],7,0),"")</f>
        <v/>
      </c>
      <c r="I2803" t="str">
        <f>+IFERROR(VLOOKUP(D2803,Conceptos_Analítica_contraloría[#All],2,0),"")</f>
        <v/>
      </c>
      <c r="J2803" s="84" t="str">
        <f>+IFERROR(VLOOKUP(D2803,Conceptos_Analítica_contraloría[#All],3,0),"")</f>
        <v/>
      </c>
    </row>
    <row r="2804" spans="3:10" ht="18.75" customHeight="1" x14ac:dyDescent="0.35">
      <c r="C2804" s="100" t="str">
        <f>IF(OR(Fact_Analitica[[#This Row], [Año]]="",Fact_Analitica[[#This Row], [Mes]]=""),"",DATE(A2804,MATCH(B2804,{"enero","febrero","marzo","abril","mayo","junio","julio","agosto","septiembre","octubre","noviembre","diciembre"},0)+1,0))</f>
        <v/>
      </c>
      <c r="E2804" t="str">
        <f>+IFERROR(VLOOKUP(Fact_Analitica[[#This Row], [Concepto Anterior]],Conceptos_Analítica_contraloría[#All],5,0),"")</f>
        <v/>
      </c>
      <c r="F2804" t="str">
        <f>+IFERROR(VLOOKUP(Fact_Analitica[[#This Row], [Concepto Anterior]],Conceptos_Analítica_contraloría[#All],7,0),"")</f>
        <v/>
      </c>
      <c r="I2804" t="str">
        <f>+IFERROR(VLOOKUP(D2804,Conceptos_Analítica_contraloría[#All],2,0),"")</f>
        <v/>
      </c>
      <c r="J2804" s="84" t="str">
        <f>+IFERROR(VLOOKUP(D2804,Conceptos_Analítica_contraloría[#All],3,0),"")</f>
        <v/>
      </c>
    </row>
    <row r="2805" spans="3:10" ht="18.75" customHeight="1" x14ac:dyDescent="0.35">
      <c r="C2805" s="100" t="str">
        <f>IF(OR(Fact_Analitica[[#This Row], [Año]]="",Fact_Analitica[[#This Row], [Mes]]=""),"",DATE(A2805,MATCH(B2805,{"enero","febrero","marzo","abril","mayo","junio","julio","agosto","septiembre","octubre","noviembre","diciembre"},0)+1,0))</f>
        <v/>
      </c>
      <c r="E2805" t="str">
        <f>+IFERROR(VLOOKUP(Fact_Analitica[[#This Row], [Concepto Anterior]],Conceptos_Analítica_contraloría[#All],5,0),"")</f>
        <v/>
      </c>
      <c r="F2805" t="str">
        <f>+IFERROR(VLOOKUP(Fact_Analitica[[#This Row], [Concepto Anterior]],Conceptos_Analítica_contraloría[#All],7,0),"")</f>
        <v/>
      </c>
      <c r="I2805" t="str">
        <f>+IFERROR(VLOOKUP(D2805,Conceptos_Analítica_contraloría[#All],2,0),"")</f>
        <v/>
      </c>
      <c r="J2805" s="84" t="str">
        <f>+IFERROR(VLOOKUP(D2805,Conceptos_Analítica_contraloría[#All],3,0),"")</f>
        <v/>
      </c>
    </row>
    <row r="2806" spans="3:10" ht="18.75" customHeight="1" x14ac:dyDescent="0.35">
      <c r="C2806" s="100" t="str">
        <f>IF(OR(Fact_Analitica[[#This Row], [Año]]="",Fact_Analitica[[#This Row], [Mes]]=""),"",DATE(A2806,MATCH(B2806,{"enero","febrero","marzo","abril","mayo","junio","julio","agosto","septiembre","octubre","noviembre","diciembre"},0)+1,0))</f>
        <v/>
      </c>
      <c r="E2806" t="str">
        <f>+IFERROR(VLOOKUP(Fact_Analitica[[#This Row], [Concepto Anterior]],Conceptos_Analítica_contraloría[#All],5,0),"")</f>
        <v/>
      </c>
      <c r="F2806" t="str">
        <f>+IFERROR(VLOOKUP(Fact_Analitica[[#This Row], [Concepto Anterior]],Conceptos_Analítica_contraloría[#All],7,0),"")</f>
        <v/>
      </c>
      <c r="I2806" t="str">
        <f>+IFERROR(VLOOKUP(D2806,Conceptos_Analítica_contraloría[#All],2,0),"")</f>
        <v/>
      </c>
      <c r="J2806" s="84" t="str">
        <f>+IFERROR(VLOOKUP(D2806,Conceptos_Analítica_contraloría[#All],3,0),"")</f>
        <v/>
      </c>
    </row>
    <row r="2807" spans="3:10" ht="18.75" customHeight="1" x14ac:dyDescent="0.35">
      <c r="C2807" s="100" t="str">
        <f>IF(OR(Fact_Analitica[[#This Row], [Año]]="",Fact_Analitica[[#This Row], [Mes]]=""),"",DATE(A2807,MATCH(B2807,{"enero","febrero","marzo","abril","mayo","junio","julio","agosto","septiembre","octubre","noviembre","diciembre"},0)+1,0))</f>
        <v/>
      </c>
      <c r="E2807" t="str">
        <f>+IFERROR(VLOOKUP(Fact_Analitica[[#This Row], [Concepto Anterior]],Conceptos_Analítica_contraloría[#All],5,0),"")</f>
        <v/>
      </c>
      <c r="F2807" t="str">
        <f>+IFERROR(VLOOKUP(Fact_Analitica[[#This Row], [Concepto Anterior]],Conceptos_Analítica_contraloría[#All],7,0),"")</f>
        <v/>
      </c>
      <c r="I2807" t="str">
        <f>+IFERROR(VLOOKUP(D2807,Conceptos_Analítica_contraloría[#All],2,0),"")</f>
        <v/>
      </c>
      <c r="J2807" s="84" t="str">
        <f>+IFERROR(VLOOKUP(D2807,Conceptos_Analítica_contraloría[#All],3,0),"")</f>
        <v/>
      </c>
    </row>
    <row r="2808" spans="3:10" ht="18.75" customHeight="1" x14ac:dyDescent="0.35">
      <c r="C2808" s="100" t="str">
        <f>IF(OR(Fact_Analitica[[#This Row], [Año]]="",Fact_Analitica[[#This Row], [Mes]]=""),"",DATE(A2808,MATCH(B2808,{"enero","febrero","marzo","abril","mayo","junio","julio","agosto","septiembre","octubre","noviembre","diciembre"},0)+1,0))</f>
        <v/>
      </c>
      <c r="E2808" t="str">
        <f>+IFERROR(VLOOKUP(Fact_Analitica[[#This Row], [Concepto Anterior]],Conceptos_Analítica_contraloría[#All],5,0),"")</f>
        <v/>
      </c>
      <c r="F2808" t="str">
        <f>+IFERROR(VLOOKUP(Fact_Analitica[[#This Row], [Concepto Anterior]],Conceptos_Analítica_contraloría[#All],7,0),"")</f>
        <v/>
      </c>
      <c r="I2808" t="str">
        <f>+IFERROR(VLOOKUP(D2808,Conceptos_Analítica_contraloría[#All],2,0),"")</f>
        <v/>
      </c>
      <c r="J2808" s="84" t="str">
        <f>+IFERROR(VLOOKUP(D2808,Conceptos_Analítica_contraloría[#All],3,0),"")</f>
        <v/>
      </c>
    </row>
    <row r="2809" spans="3:10" ht="18.75" customHeight="1" x14ac:dyDescent="0.35">
      <c r="C2809" s="100" t="str">
        <f>IF(OR(Fact_Analitica[[#This Row], [Año]]="",Fact_Analitica[[#This Row], [Mes]]=""),"",DATE(A2809,MATCH(B2809,{"enero","febrero","marzo","abril","mayo","junio","julio","agosto","septiembre","octubre","noviembre","diciembre"},0)+1,0))</f>
        <v/>
      </c>
      <c r="E2809" t="str">
        <f>+IFERROR(VLOOKUP(Fact_Analitica[[#This Row], [Concepto Anterior]],Conceptos_Analítica_contraloría[#All],5,0),"")</f>
        <v/>
      </c>
      <c r="F2809" t="str">
        <f>+IFERROR(VLOOKUP(Fact_Analitica[[#This Row], [Concepto Anterior]],Conceptos_Analítica_contraloría[#All],7,0),"")</f>
        <v/>
      </c>
      <c r="I2809" t="str">
        <f>+IFERROR(VLOOKUP(D2809,Conceptos_Analítica_contraloría[#All],2,0),"")</f>
        <v/>
      </c>
      <c r="J2809" s="84" t="str">
        <f>+IFERROR(VLOOKUP(D2809,Conceptos_Analítica_contraloría[#All],3,0),"")</f>
        <v/>
      </c>
    </row>
    <row r="2810" spans="3:10" ht="18.75" customHeight="1" x14ac:dyDescent="0.35">
      <c r="C2810" s="100" t="str">
        <f>IF(OR(Fact_Analitica[[#This Row], [Año]]="",Fact_Analitica[[#This Row], [Mes]]=""),"",DATE(A2810,MATCH(B2810,{"enero","febrero","marzo","abril","mayo","junio","julio","agosto","septiembre","octubre","noviembre","diciembre"},0)+1,0))</f>
        <v/>
      </c>
      <c r="E2810" t="str">
        <f>+IFERROR(VLOOKUP(Fact_Analitica[[#This Row], [Concepto Anterior]],Conceptos_Analítica_contraloría[#All],5,0),"")</f>
        <v/>
      </c>
      <c r="F2810" t="str">
        <f>+IFERROR(VLOOKUP(Fact_Analitica[[#This Row], [Concepto Anterior]],Conceptos_Analítica_contraloría[#All],7,0),"")</f>
        <v/>
      </c>
      <c r="I2810" t="str">
        <f>+IFERROR(VLOOKUP(D2810,Conceptos_Analítica_contraloría[#All],2,0),"")</f>
        <v/>
      </c>
      <c r="J2810" s="84" t="str">
        <f>+IFERROR(VLOOKUP(D2810,Conceptos_Analítica_contraloría[#All],3,0),"")</f>
        <v/>
      </c>
    </row>
    <row r="2811" spans="3:10" ht="18.75" customHeight="1" x14ac:dyDescent="0.35">
      <c r="C2811" s="100" t="str">
        <f>IF(OR(Fact_Analitica[[#This Row], [Año]]="",Fact_Analitica[[#This Row], [Mes]]=""),"",DATE(A2811,MATCH(B2811,{"enero","febrero","marzo","abril","mayo","junio","julio","agosto","septiembre","octubre","noviembre","diciembre"},0)+1,0))</f>
        <v/>
      </c>
      <c r="E2811" t="str">
        <f>+IFERROR(VLOOKUP(Fact_Analitica[[#This Row], [Concepto Anterior]],Conceptos_Analítica_contraloría[#All],5,0),"")</f>
        <v/>
      </c>
      <c r="F2811" t="str">
        <f>+IFERROR(VLOOKUP(Fact_Analitica[[#This Row], [Concepto Anterior]],Conceptos_Analítica_contraloría[#All],7,0),"")</f>
        <v/>
      </c>
      <c r="I2811" t="str">
        <f>+IFERROR(VLOOKUP(D2811,Conceptos_Analítica_contraloría[#All],2,0),"")</f>
        <v/>
      </c>
      <c r="J2811" s="84" t="str">
        <f>+IFERROR(VLOOKUP(D2811,Conceptos_Analítica_contraloría[#All],3,0),"")</f>
        <v/>
      </c>
    </row>
    <row r="2812" spans="3:10" ht="18.75" customHeight="1" x14ac:dyDescent="0.35">
      <c r="C2812" s="100" t="str">
        <f>IF(OR(Fact_Analitica[[#This Row], [Año]]="",Fact_Analitica[[#This Row], [Mes]]=""),"",DATE(A2812,MATCH(B2812,{"enero","febrero","marzo","abril","mayo","junio","julio","agosto","septiembre","octubre","noviembre","diciembre"},0)+1,0))</f>
        <v/>
      </c>
      <c r="E2812" t="str">
        <f>+IFERROR(VLOOKUP(Fact_Analitica[[#This Row], [Concepto Anterior]],Conceptos_Analítica_contraloría[#All],5,0),"")</f>
        <v/>
      </c>
      <c r="F2812" t="str">
        <f>+IFERROR(VLOOKUP(Fact_Analitica[[#This Row], [Concepto Anterior]],Conceptos_Analítica_contraloría[#All],7,0),"")</f>
        <v/>
      </c>
      <c r="I2812" t="str">
        <f>+IFERROR(VLOOKUP(D2812,Conceptos_Analítica_contraloría[#All],2,0),"")</f>
        <v/>
      </c>
      <c r="J2812" s="84" t="str">
        <f>+IFERROR(VLOOKUP(D2812,Conceptos_Analítica_contraloría[#All],3,0),"")</f>
        <v/>
      </c>
    </row>
    <row r="2813" spans="3:10" ht="18.75" customHeight="1" x14ac:dyDescent="0.35">
      <c r="C2813" s="100" t="str">
        <f>IF(OR(Fact_Analitica[[#This Row], [Año]]="",Fact_Analitica[[#This Row], [Mes]]=""),"",DATE(A2813,MATCH(B2813,{"enero","febrero","marzo","abril","mayo","junio","julio","agosto","septiembre","octubre","noviembre","diciembre"},0)+1,0))</f>
        <v/>
      </c>
      <c r="E2813" t="str">
        <f>+IFERROR(VLOOKUP(Fact_Analitica[[#This Row], [Concepto Anterior]],Conceptos_Analítica_contraloría[#All],5,0),"")</f>
        <v/>
      </c>
      <c r="F2813" t="str">
        <f>+IFERROR(VLOOKUP(Fact_Analitica[[#This Row], [Concepto Anterior]],Conceptos_Analítica_contraloría[#All],7,0),"")</f>
        <v/>
      </c>
      <c r="I2813" t="str">
        <f>+IFERROR(VLOOKUP(D2813,Conceptos_Analítica_contraloría[#All],2,0),"")</f>
        <v/>
      </c>
      <c r="J2813" s="84" t="str">
        <f>+IFERROR(VLOOKUP(D2813,Conceptos_Analítica_contraloría[#All],3,0),"")</f>
        <v/>
      </c>
    </row>
    <row r="2814" spans="3:10" ht="18.75" customHeight="1" x14ac:dyDescent="0.35">
      <c r="C2814" s="100" t="str">
        <f>IF(OR(Fact_Analitica[[#This Row], [Año]]="",Fact_Analitica[[#This Row], [Mes]]=""),"",DATE(A2814,MATCH(B2814,{"enero","febrero","marzo","abril","mayo","junio","julio","agosto","septiembre","octubre","noviembre","diciembre"},0)+1,0))</f>
        <v/>
      </c>
      <c r="E2814" t="str">
        <f>+IFERROR(VLOOKUP(Fact_Analitica[[#This Row], [Concepto Anterior]],Conceptos_Analítica_contraloría[#All],5,0),"")</f>
        <v/>
      </c>
      <c r="F2814" t="str">
        <f>+IFERROR(VLOOKUP(Fact_Analitica[[#This Row], [Concepto Anterior]],Conceptos_Analítica_contraloría[#All],7,0),"")</f>
        <v/>
      </c>
      <c r="I2814" t="str">
        <f>+IFERROR(VLOOKUP(D2814,Conceptos_Analítica_contraloría[#All],2,0),"")</f>
        <v/>
      </c>
      <c r="J2814" s="84" t="str">
        <f>+IFERROR(VLOOKUP(D2814,Conceptos_Analítica_contraloría[#All],3,0),"")</f>
        <v/>
      </c>
    </row>
    <row r="2815" spans="3:10" ht="18.75" customHeight="1" x14ac:dyDescent="0.35">
      <c r="C2815" s="100" t="str">
        <f>IF(OR(Fact_Analitica[[#This Row], [Año]]="",Fact_Analitica[[#This Row], [Mes]]=""),"",DATE(A2815,MATCH(B2815,{"enero","febrero","marzo","abril","mayo","junio","julio","agosto","septiembre","octubre","noviembre","diciembre"},0)+1,0))</f>
        <v/>
      </c>
      <c r="E2815" t="str">
        <f>+IFERROR(VLOOKUP(Fact_Analitica[[#This Row], [Concepto Anterior]],Conceptos_Analítica_contraloría[#All],5,0),"")</f>
        <v/>
      </c>
      <c r="F2815" t="str">
        <f>+IFERROR(VLOOKUP(Fact_Analitica[[#This Row], [Concepto Anterior]],Conceptos_Analítica_contraloría[#All],7,0),"")</f>
        <v/>
      </c>
      <c r="I2815" t="str">
        <f>+IFERROR(VLOOKUP(D2815,Conceptos_Analítica_contraloría[#All],2,0),"")</f>
        <v/>
      </c>
      <c r="J2815" s="84" t="str">
        <f>+IFERROR(VLOOKUP(D2815,Conceptos_Analítica_contraloría[#All],3,0),"")</f>
        <v/>
      </c>
    </row>
    <row r="2816" spans="3:10" ht="18.75" customHeight="1" x14ac:dyDescent="0.35">
      <c r="C2816" s="100" t="str">
        <f>IF(OR(Fact_Analitica[[#This Row], [Año]]="",Fact_Analitica[[#This Row], [Mes]]=""),"",DATE(A2816,MATCH(B2816,{"enero","febrero","marzo","abril","mayo","junio","julio","agosto","septiembre","octubre","noviembre","diciembre"},0)+1,0))</f>
        <v/>
      </c>
      <c r="E2816" t="str">
        <f>+IFERROR(VLOOKUP(Fact_Analitica[[#This Row], [Concepto Anterior]],Conceptos_Analítica_contraloría[#All],5,0),"")</f>
        <v/>
      </c>
      <c r="F2816" t="str">
        <f>+IFERROR(VLOOKUP(Fact_Analitica[[#This Row], [Concepto Anterior]],Conceptos_Analítica_contraloría[#All],7,0),"")</f>
        <v/>
      </c>
      <c r="I2816" t="str">
        <f>+IFERROR(VLOOKUP(D2816,Conceptos_Analítica_contraloría[#All],2,0),"")</f>
        <v/>
      </c>
      <c r="J2816" s="84" t="str">
        <f>+IFERROR(VLOOKUP(D2816,Conceptos_Analítica_contraloría[#All],3,0),"")</f>
        <v/>
      </c>
    </row>
    <row r="2817" spans="3:10" ht="18.75" customHeight="1" x14ac:dyDescent="0.35">
      <c r="C2817" s="100" t="str">
        <f>IF(OR(Fact_Analitica[[#This Row], [Año]]="",Fact_Analitica[[#This Row], [Mes]]=""),"",DATE(A2817,MATCH(B2817,{"enero","febrero","marzo","abril","mayo","junio","julio","agosto","septiembre","octubre","noviembre","diciembre"},0)+1,0))</f>
        <v/>
      </c>
      <c r="E2817" t="str">
        <f>+IFERROR(VLOOKUP(Fact_Analitica[[#This Row], [Concepto Anterior]],Conceptos_Analítica_contraloría[#All],5,0),"")</f>
        <v/>
      </c>
      <c r="F2817" t="str">
        <f>+IFERROR(VLOOKUP(Fact_Analitica[[#This Row], [Concepto Anterior]],Conceptos_Analítica_contraloría[#All],7,0),"")</f>
        <v/>
      </c>
      <c r="I2817" t="str">
        <f>+IFERROR(VLOOKUP(D2817,Conceptos_Analítica_contraloría[#All],2,0),"")</f>
        <v/>
      </c>
      <c r="J2817" s="84" t="str">
        <f>+IFERROR(VLOOKUP(D2817,Conceptos_Analítica_contraloría[#All],3,0),"")</f>
        <v/>
      </c>
    </row>
    <row r="2818" spans="3:10" ht="18.75" customHeight="1" x14ac:dyDescent="0.35">
      <c r="C2818" s="100" t="str">
        <f>IF(OR(Fact_Analitica[[#This Row], [Año]]="",Fact_Analitica[[#This Row], [Mes]]=""),"",DATE(A2818,MATCH(B2818,{"enero","febrero","marzo","abril","mayo","junio","julio","agosto","septiembre","octubre","noviembre","diciembre"},0)+1,0))</f>
        <v/>
      </c>
      <c r="E2818" t="str">
        <f>+IFERROR(VLOOKUP(Fact_Analitica[[#This Row], [Concepto Anterior]],Conceptos_Analítica_contraloría[#All],5,0),"")</f>
        <v/>
      </c>
      <c r="F2818" t="str">
        <f>+IFERROR(VLOOKUP(Fact_Analitica[[#This Row], [Concepto Anterior]],Conceptos_Analítica_contraloría[#All],7,0),"")</f>
        <v/>
      </c>
      <c r="I2818" t="str">
        <f>+IFERROR(VLOOKUP(D2818,Conceptos_Analítica_contraloría[#All],2,0),"")</f>
        <v/>
      </c>
      <c r="J2818" s="84" t="str">
        <f>+IFERROR(VLOOKUP(D2818,Conceptos_Analítica_contraloría[#All],3,0),"")</f>
        <v/>
      </c>
    </row>
    <row r="2819" spans="3:10" ht="18.75" customHeight="1" x14ac:dyDescent="0.35">
      <c r="C2819" s="100" t="str">
        <f>IF(OR(Fact_Analitica[[#This Row], [Año]]="",Fact_Analitica[[#This Row], [Mes]]=""),"",DATE(A2819,MATCH(B2819,{"enero","febrero","marzo","abril","mayo","junio","julio","agosto","septiembre","octubre","noviembre","diciembre"},0)+1,0))</f>
        <v/>
      </c>
      <c r="E2819" t="str">
        <f>+IFERROR(VLOOKUP(Fact_Analitica[[#This Row], [Concepto Anterior]],Conceptos_Analítica_contraloría[#All],5,0),"")</f>
        <v/>
      </c>
      <c r="F2819" t="str">
        <f>+IFERROR(VLOOKUP(Fact_Analitica[[#This Row], [Concepto Anterior]],Conceptos_Analítica_contraloría[#All],7,0),"")</f>
        <v/>
      </c>
      <c r="I2819" t="str">
        <f>+IFERROR(VLOOKUP(D2819,Conceptos_Analítica_contraloría[#All],2,0),"")</f>
        <v/>
      </c>
      <c r="J2819" s="84" t="str">
        <f>+IFERROR(VLOOKUP(D2819,Conceptos_Analítica_contraloría[#All],3,0),"")</f>
        <v/>
      </c>
    </row>
    <row r="2820" spans="3:10" ht="18.75" customHeight="1" x14ac:dyDescent="0.35">
      <c r="C2820" s="100" t="str">
        <f>IF(OR(Fact_Analitica[[#This Row], [Año]]="",Fact_Analitica[[#This Row], [Mes]]=""),"",DATE(A2820,MATCH(B2820,{"enero","febrero","marzo","abril","mayo","junio","julio","agosto","septiembre","octubre","noviembre","diciembre"},0)+1,0))</f>
        <v/>
      </c>
      <c r="E2820" t="str">
        <f>+IFERROR(VLOOKUP(Fact_Analitica[[#This Row], [Concepto Anterior]],Conceptos_Analítica_contraloría[#All],5,0),"")</f>
        <v/>
      </c>
      <c r="F2820" t="str">
        <f>+IFERROR(VLOOKUP(Fact_Analitica[[#This Row], [Concepto Anterior]],Conceptos_Analítica_contraloría[#All],7,0),"")</f>
        <v/>
      </c>
      <c r="I2820" t="str">
        <f>+IFERROR(VLOOKUP(D2820,Conceptos_Analítica_contraloría[#All],2,0),"")</f>
        <v/>
      </c>
      <c r="J2820" s="84" t="str">
        <f>+IFERROR(VLOOKUP(D2820,Conceptos_Analítica_contraloría[#All],3,0),"")</f>
        <v/>
      </c>
    </row>
    <row r="2821" spans="3:10" ht="18.75" customHeight="1" x14ac:dyDescent="0.35">
      <c r="C2821" s="100" t="str">
        <f>IF(OR(Fact_Analitica[[#This Row], [Año]]="",Fact_Analitica[[#This Row], [Mes]]=""),"",DATE(A2821,MATCH(B2821,{"enero","febrero","marzo","abril","mayo","junio","julio","agosto","septiembre","octubre","noviembre","diciembre"},0)+1,0))</f>
        <v/>
      </c>
      <c r="E2821" t="str">
        <f>+IFERROR(VLOOKUP(Fact_Analitica[[#This Row], [Concepto Anterior]],Conceptos_Analítica_contraloría[#All],5,0),"")</f>
        <v/>
      </c>
      <c r="F2821" t="str">
        <f>+IFERROR(VLOOKUP(Fact_Analitica[[#This Row], [Concepto Anterior]],Conceptos_Analítica_contraloría[#All],7,0),"")</f>
        <v/>
      </c>
      <c r="I2821" t="str">
        <f>+IFERROR(VLOOKUP(D2821,Conceptos_Analítica_contraloría[#All],2,0),"")</f>
        <v/>
      </c>
      <c r="J2821" s="84" t="str">
        <f>+IFERROR(VLOOKUP(D2821,Conceptos_Analítica_contraloría[#All],3,0),"")</f>
        <v/>
      </c>
    </row>
    <row r="2822" spans="3:10" ht="18.75" customHeight="1" x14ac:dyDescent="0.35">
      <c r="C2822" s="100" t="str">
        <f>IF(OR(Fact_Analitica[[#This Row], [Año]]="",Fact_Analitica[[#This Row], [Mes]]=""),"",DATE(A2822,MATCH(B2822,{"enero","febrero","marzo","abril","mayo","junio","julio","agosto","septiembre","octubre","noviembre","diciembre"},0)+1,0))</f>
        <v/>
      </c>
      <c r="E2822" t="str">
        <f>+IFERROR(VLOOKUP(Fact_Analitica[[#This Row], [Concepto Anterior]],Conceptos_Analítica_contraloría[#All],5,0),"")</f>
        <v/>
      </c>
      <c r="F2822" t="str">
        <f>+IFERROR(VLOOKUP(Fact_Analitica[[#This Row], [Concepto Anterior]],Conceptos_Analítica_contraloría[#All],7,0),"")</f>
        <v/>
      </c>
      <c r="I2822" t="str">
        <f>+IFERROR(VLOOKUP(D2822,Conceptos_Analítica_contraloría[#All],2,0),"")</f>
        <v/>
      </c>
      <c r="J2822" s="84" t="str">
        <f>+IFERROR(VLOOKUP(D2822,Conceptos_Analítica_contraloría[#All],3,0),"")</f>
        <v/>
      </c>
    </row>
    <row r="2823" spans="3:10" ht="18.75" customHeight="1" x14ac:dyDescent="0.35">
      <c r="C2823" s="100" t="str">
        <f>IF(OR(Fact_Analitica[[#This Row], [Año]]="",Fact_Analitica[[#This Row], [Mes]]=""),"",DATE(A2823,MATCH(B2823,{"enero","febrero","marzo","abril","mayo","junio","julio","agosto","septiembre","octubre","noviembre","diciembre"},0)+1,0))</f>
        <v/>
      </c>
      <c r="E2823" t="str">
        <f>+IFERROR(VLOOKUP(Fact_Analitica[[#This Row], [Concepto Anterior]],Conceptos_Analítica_contraloría[#All],5,0),"")</f>
        <v/>
      </c>
      <c r="F2823" t="str">
        <f>+IFERROR(VLOOKUP(Fact_Analitica[[#This Row], [Concepto Anterior]],Conceptos_Analítica_contraloría[#All],7,0),"")</f>
        <v/>
      </c>
      <c r="I2823" t="str">
        <f>+IFERROR(VLOOKUP(D2823,Conceptos_Analítica_contraloría[#All],2,0),"")</f>
        <v/>
      </c>
      <c r="J2823" s="84" t="str">
        <f>+IFERROR(VLOOKUP(D2823,Conceptos_Analítica_contraloría[#All],3,0),"")</f>
        <v/>
      </c>
    </row>
    <row r="2824" spans="3:10" ht="18.75" customHeight="1" x14ac:dyDescent="0.35">
      <c r="C2824" s="100" t="str">
        <f>IF(OR(Fact_Analitica[[#This Row], [Año]]="",Fact_Analitica[[#This Row], [Mes]]=""),"",DATE(A2824,MATCH(B2824,{"enero","febrero","marzo","abril","mayo","junio","julio","agosto","septiembre","octubre","noviembre","diciembre"},0)+1,0))</f>
        <v/>
      </c>
      <c r="E2824" t="str">
        <f>+IFERROR(VLOOKUP(Fact_Analitica[[#This Row], [Concepto Anterior]],Conceptos_Analítica_contraloría[#All],5,0),"")</f>
        <v/>
      </c>
      <c r="F2824" t="str">
        <f>+IFERROR(VLOOKUP(Fact_Analitica[[#This Row], [Concepto Anterior]],Conceptos_Analítica_contraloría[#All],7,0),"")</f>
        <v/>
      </c>
      <c r="I2824" t="str">
        <f>+IFERROR(VLOOKUP(D2824,Conceptos_Analítica_contraloría[#All],2,0),"")</f>
        <v/>
      </c>
      <c r="J2824" s="84" t="str">
        <f>+IFERROR(VLOOKUP(D2824,Conceptos_Analítica_contraloría[#All],3,0),"")</f>
        <v/>
      </c>
    </row>
    <row r="2825" spans="3:10" ht="18.75" customHeight="1" x14ac:dyDescent="0.35">
      <c r="C2825" s="100" t="str">
        <f>IF(OR(Fact_Analitica[[#This Row], [Año]]="",Fact_Analitica[[#This Row], [Mes]]=""),"",DATE(A2825,MATCH(B2825,{"enero","febrero","marzo","abril","mayo","junio","julio","agosto","septiembre","octubre","noviembre","diciembre"},0)+1,0))</f>
        <v/>
      </c>
      <c r="E2825" t="str">
        <f>+IFERROR(VLOOKUP(Fact_Analitica[[#This Row], [Concepto Anterior]],Conceptos_Analítica_contraloría[#All],5,0),"")</f>
        <v/>
      </c>
      <c r="F2825" t="str">
        <f>+IFERROR(VLOOKUP(Fact_Analitica[[#This Row], [Concepto Anterior]],Conceptos_Analítica_contraloría[#All],7,0),"")</f>
        <v/>
      </c>
      <c r="I2825" t="str">
        <f>+IFERROR(VLOOKUP(D2825,Conceptos_Analítica_contraloría[#All],2,0),"")</f>
        <v/>
      </c>
      <c r="J2825" s="84" t="str">
        <f>+IFERROR(VLOOKUP(D2825,Conceptos_Analítica_contraloría[#All],3,0),"")</f>
        <v/>
      </c>
    </row>
    <row r="2826" spans="3:10" ht="18.75" customHeight="1" x14ac:dyDescent="0.35">
      <c r="C2826" s="100" t="str">
        <f>IF(OR(Fact_Analitica[[#This Row], [Año]]="",Fact_Analitica[[#This Row], [Mes]]=""),"",DATE(A2826,MATCH(B2826,{"enero","febrero","marzo","abril","mayo","junio","julio","agosto","septiembre","octubre","noviembre","diciembre"},0)+1,0))</f>
        <v/>
      </c>
      <c r="E2826" t="str">
        <f>+IFERROR(VLOOKUP(Fact_Analitica[[#This Row], [Concepto Anterior]],Conceptos_Analítica_contraloría[#All],5,0),"")</f>
        <v/>
      </c>
      <c r="F2826" t="str">
        <f>+IFERROR(VLOOKUP(Fact_Analitica[[#This Row], [Concepto Anterior]],Conceptos_Analítica_contraloría[#All],7,0),"")</f>
        <v/>
      </c>
      <c r="I2826" t="str">
        <f>+IFERROR(VLOOKUP(D2826,Conceptos_Analítica_contraloría[#All],2,0),"")</f>
        <v/>
      </c>
      <c r="J2826" s="84" t="str">
        <f>+IFERROR(VLOOKUP(D2826,Conceptos_Analítica_contraloría[#All],3,0),"")</f>
        <v/>
      </c>
    </row>
    <row r="2827" spans="3:10" ht="18.75" customHeight="1" x14ac:dyDescent="0.35">
      <c r="C2827" s="100" t="str">
        <f>IF(OR(Fact_Analitica[[#This Row], [Año]]="",Fact_Analitica[[#This Row], [Mes]]=""),"",DATE(A2827,MATCH(B2827,{"enero","febrero","marzo","abril","mayo","junio","julio","agosto","septiembre","octubre","noviembre","diciembre"},0)+1,0))</f>
        <v/>
      </c>
      <c r="E2827" t="str">
        <f>+IFERROR(VLOOKUP(Fact_Analitica[[#This Row], [Concepto Anterior]],Conceptos_Analítica_contraloría[#All],5,0),"")</f>
        <v/>
      </c>
      <c r="F2827" t="str">
        <f>+IFERROR(VLOOKUP(Fact_Analitica[[#This Row], [Concepto Anterior]],Conceptos_Analítica_contraloría[#All],7,0),"")</f>
        <v/>
      </c>
      <c r="I2827" t="str">
        <f>+IFERROR(VLOOKUP(D2827,Conceptos_Analítica_contraloría[#All],2,0),"")</f>
        <v/>
      </c>
      <c r="J2827" s="84" t="str">
        <f>+IFERROR(VLOOKUP(D2827,Conceptos_Analítica_contraloría[#All],3,0),"")</f>
        <v/>
      </c>
    </row>
    <row r="2828" spans="3:10" ht="18.75" customHeight="1" x14ac:dyDescent="0.35">
      <c r="C2828" s="100" t="str">
        <f>IF(OR(Fact_Analitica[[#This Row], [Año]]="",Fact_Analitica[[#This Row], [Mes]]=""),"",DATE(A2828,MATCH(B2828,{"enero","febrero","marzo","abril","mayo","junio","julio","agosto","septiembre","octubre","noviembre","diciembre"},0)+1,0))</f>
        <v/>
      </c>
      <c r="E2828" t="str">
        <f>+IFERROR(VLOOKUP(Fact_Analitica[[#This Row], [Concepto Anterior]],Conceptos_Analítica_contraloría[#All],5,0),"")</f>
        <v/>
      </c>
      <c r="F2828" t="str">
        <f>+IFERROR(VLOOKUP(Fact_Analitica[[#This Row], [Concepto Anterior]],Conceptos_Analítica_contraloría[#All],7,0),"")</f>
        <v/>
      </c>
      <c r="I2828" t="str">
        <f>+IFERROR(VLOOKUP(D2828,Conceptos_Analítica_contraloría[#All],2,0),"")</f>
        <v/>
      </c>
      <c r="J2828" s="84" t="str">
        <f>+IFERROR(VLOOKUP(D2828,Conceptos_Analítica_contraloría[#All],3,0),"")</f>
        <v/>
      </c>
    </row>
    <row r="2829" spans="3:10" ht="18.75" customHeight="1" x14ac:dyDescent="0.35">
      <c r="C2829" s="100" t="str">
        <f>IF(OR(Fact_Analitica[[#This Row], [Año]]="",Fact_Analitica[[#This Row], [Mes]]=""),"",DATE(A2829,MATCH(B2829,{"enero","febrero","marzo","abril","mayo","junio","julio","agosto","septiembre","octubre","noviembre","diciembre"},0)+1,0))</f>
        <v/>
      </c>
      <c r="E2829" t="str">
        <f>+IFERROR(VLOOKUP(Fact_Analitica[[#This Row], [Concepto Anterior]],Conceptos_Analítica_contraloría[#All],5,0),"")</f>
        <v/>
      </c>
      <c r="F2829" t="str">
        <f>+IFERROR(VLOOKUP(Fact_Analitica[[#This Row], [Concepto Anterior]],Conceptos_Analítica_contraloría[#All],7,0),"")</f>
        <v/>
      </c>
      <c r="I2829" t="str">
        <f>+IFERROR(VLOOKUP(D2829,Conceptos_Analítica_contraloría[#All],2,0),"")</f>
        <v/>
      </c>
      <c r="J2829" s="84" t="str">
        <f>+IFERROR(VLOOKUP(D2829,Conceptos_Analítica_contraloría[#All],3,0),"")</f>
        <v/>
      </c>
    </row>
    <row r="2830" spans="3:10" ht="18.75" customHeight="1" x14ac:dyDescent="0.35">
      <c r="C2830" s="100" t="str">
        <f>IF(OR(Fact_Analitica[[#This Row], [Año]]="",Fact_Analitica[[#This Row], [Mes]]=""),"",DATE(A2830,MATCH(B2830,{"enero","febrero","marzo","abril","mayo","junio","julio","agosto","septiembre","octubre","noviembre","diciembre"},0)+1,0))</f>
        <v/>
      </c>
      <c r="E2830" t="str">
        <f>+IFERROR(VLOOKUP(Fact_Analitica[[#This Row], [Concepto Anterior]],Conceptos_Analítica_contraloría[#All],5,0),"")</f>
        <v/>
      </c>
      <c r="F2830" t="str">
        <f>+IFERROR(VLOOKUP(Fact_Analitica[[#This Row], [Concepto Anterior]],Conceptos_Analítica_contraloría[#All],7,0),"")</f>
        <v/>
      </c>
      <c r="I2830" t="str">
        <f>+IFERROR(VLOOKUP(D2830,Conceptos_Analítica_contraloría[#All],2,0),"")</f>
        <v/>
      </c>
      <c r="J2830" s="84" t="str">
        <f>+IFERROR(VLOOKUP(D2830,Conceptos_Analítica_contraloría[#All],3,0),"")</f>
        <v/>
      </c>
    </row>
    <row r="2831" spans="3:10" ht="18.75" customHeight="1" x14ac:dyDescent="0.35">
      <c r="C2831" s="100" t="str">
        <f>IF(OR(Fact_Analitica[[#This Row], [Año]]="",Fact_Analitica[[#This Row], [Mes]]=""),"",DATE(A2831,MATCH(B2831,{"enero","febrero","marzo","abril","mayo","junio","julio","agosto","septiembre","octubre","noviembre","diciembre"},0)+1,0))</f>
        <v/>
      </c>
      <c r="E2831" t="str">
        <f>+IFERROR(VLOOKUP(Fact_Analitica[[#This Row], [Concepto Anterior]],Conceptos_Analítica_contraloría[#All],5,0),"")</f>
        <v/>
      </c>
      <c r="F2831" t="str">
        <f>+IFERROR(VLOOKUP(Fact_Analitica[[#This Row], [Concepto Anterior]],Conceptos_Analítica_contraloría[#All],7,0),"")</f>
        <v/>
      </c>
      <c r="I2831" t="str">
        <f>+IFERROR(VLOOKUP(D2831,Conceptos_Analítica_contraloría[#All],2,0),"")</f>
        <v/>
      </c>
      <c r="J2831" s="84" t="str">
        <f>+IFERROR(VLOOKUP(D2831,Conceptos_Analítica_contraloría[#All],3,0),"")</f>
        <v/>
      </c>
    </row>
    <row r="2832" spans="3:10" ht="18.75" customHeight="1" x14ac:dyDescent="0.35">
      <c r="C2832" s="100" t="str">
        <f>IF(OR(Fact_Analitica[[#This Row], [Año]]="",Fact_Analitica[[#This Row], [Mes]]=""),"",DATE(A2832,MATCH(B2832,{"enero","febrero","marzo","abril","mayo","junio","julio","agosto","septiembre","octubre","noviembre","diciembre"},0)+1,0))</f>
        <v/>
      </c>
      <c r="E2832" t="str">
        <f>+IFERROR(VLOOKUP(Fact_Analitica[[#This Row], [Concepto Anterior]],Conceptos_Analítica_contraloría[#All],5,0),"")</f>
        <v/>
      </c>
      <c r="F2832" t="str">
        <f>+IFERROR(VLOOKUP(Fact_Analitica[[#This Row], [Concepto Anterior]],Conceptos_Analítica_contraloría[#All],7,0),"")</f>
        <v/>
      </c>
      <c r="I2832" t="str">
        <f>+IFERROR(VLOOKUP(D2832,Conceptos_Analítica_contraloría[#All],2,0),"")</f>
        <v/>
      </c>
      <c r="J2832" s="84" t="str">
        <f>+IFERROR(VLOOKUP(D2832,Conceptos_Analítica_contraloría[#All],3,0),"")</f>
        <v/>
      </c>
    </row>
    <row r="2833" spans="3:10" ht="18.75" customHeight="1" x14ac:dyDescent="0.35">
      <c r="C2833" s="100" t="str">
        <f>IF(OR(Fact_Analitica[[#This Row], [Año]]="",Fact_Analitica[[#This Row], [Mes]]=""),"",DATE(A2833,MATCH(B2833,{"enero","febrero","marzo","abril","mayo","junio","julio","agosto","septiembre","octubre","noviembre","diciembre"},0)+1,0))</f>
        <v/>
      </c>
      <c r="E2833" t="str">
        <f>+IFERROR(VLOOKUP(Fact_Analitica[[#This Row], [Concepto Anterior]],Conceptos_Analítica_contraloría[#All],5,0),"")</f>
        <v/>
      </c>
      <c r="F2833" t="str">
        <f>+IFERROR(VLOOKUP(Fact_Analitica[[#This Row], [Concepto Anterior]],Conceptos_Analítica_contraloría[#All],7,0),"")</f>
        <v/>
      </c>
      <c r="I2833" t="str">
        <f>+IFERROR(VLOOKUP(D2833,Conceptos_Analítica_contraloría[#All],2,0),"")</f>
        <v/>
      </c>
      <c r="J2833" s="84" t="str">
        <f>+IFERROR(VLOOKUP(D2833,Conceptos_Analítica_contraloría[#All],3,0),"")</f>
        <v/>
      </c>
    </row>
    <row r="2834" spans="3:10" ht="18.75" customHeight="1" x14ac:dyDescent="0.35">
      <c r="C2834" s="100" t="str">
        <f>IF(OR(Fact_Analitica[[#This Row], [Año]]="",Fact_Analitica[[#This Row], [Mes]]=""),"",DATE(A2834,MATCH(B2834,{"enero","febrero","marzo","abril","mayo","junio","julio","agosto","septiembre","octubre","noviembre","diciembre"},0)+1,0))</f>
        <v/>
      </c>
      <c r="E2834" t="str">
        <f>+IFERROR(VLOOKUP(Fact_Analitica[[#This Row], [Concepto Anterior]],Conceptos_Analítica_contraloría[#All],5,0),"")</f>
        <v/>
      </c>
      <c r="F2834" t="str">
        <f>+IFERROR(VLOOKUP(Fact_Analitica[[#This Row], [Concepto Anterior]],Conceptos_Analítica_contraloría[#All],7,0),"")</f>
        <v/>
      </c>
      <c r="I2834" t="str">
        <f>+IFERROR(VLOOKUP(D2834,Conceptos_Analítica_contraloría[#All],2,0),"")</f>
        <v/>
      </c>
      <c r="J2834" s="84" t="str">
        <f>+IFERROR(VLOOKUP(D2834,Conceptos_Analítica_contraloría[#All],3,0),"")</f>
        <v/>
      </c>
    </row>
    <row r="2835" spans="3:10" ht="18.75" customHeight="1" x14ac:dyDescent="0.35">
      <c r="C2835" s="100" t="str">
        <f>IF(OR(Fact_Analitica[[#This Row], [Año]]="",Fact_Analitica[[#This Row], [Mes]]=""),"",DATE(A2835,MATCH(B2835,{"enero","febrero","marzo","abril","mayo","junio","julio","agosto","septiembre","octubre","noviembre","diciembre"},0)+1,0))</f>
        <v/>
      </c>
      <c r="E2835" t="str">
        <f>+IFERROR(VLOOKUP(Fact_Analitica[[#This Row], [Concepto Anterior]],Conceptos_Analítica_contraloría[#All],5,0),"")</f>
        <v/>
      </c>
      <c r="F2835" t="str">
        <f>+IFERROR(VLOOKUP(Fact_Analitica[[#This Row], [Concepto Anterior]],Conceptos_Analítica_contraloría[#All],7,0),"")</f>
        <v/>
      </c>
      <c r="I2835" t="str">
        <f>+IFERROR(VLOOKUP(D2835,Conceptos_Analítica_contraloría[#All],2,0),"")</f>
        <v/>
      </c>
      <c r="J2835" s="84" t="str">
        <f>+IFERROR(VLOOKUP(D2835,Conceptos_Analítica_contraloría[#All],3,0),"")</f>
        <v/>
      </c>
    </row>
    <row r="2836" spans="3:10" ht="18.75" customHeight="1" x14ac:dyDescent="0.35">
      <c r="C2836" s="100" t="str">
        <f>IF(OR(Fact_Analitica[[#This Row], [Año]]="",Fact_Analitica[[#This Row], [Mes]]=""),"",DATE(A2836,MATCH(B2836,{"enero","febrero","marzo","abril","mayo","junio","julio","agosto","septiembre","octubre","noviembre","diciembre"},0)+1,0))</f>
        <v/>
      </c>
      <c r="E2836" t="str">
        <f>+IFERROR(VLOOKUP(Fact_Analitica[[#This Row], [Concepto Anterior]],Conceptos_Analítica_contraloría[#All],5,0),"")</f>
        <v/>
      </c>
      <c r="F2836" t="str">
        <f>+IFERROR(VLOOKUP(Fact_Analitica[[#This Row], [Concepto Anterior]],Conceptos_Analítica_contraloría[#All],7,0),"")</f>
        <v/>
      </c>
      <c r="I2836" t="str">
        <f>+IFERROR(VLOOKUP(D2836,Conceptos_Analítica_contraloría[#All],2,0),"")</f>
        <v/>
      </c>
      <c r="J2836" s="84" t="str">
        <f>+IFERROR(VLOOKUP(D2836,Conceptos_Analítica_contraloría[#All],3,0),"")</f>
        <v/>
      </c>
    </row>
    <row r="2837" spans="3:10" ht="18.75" customHeight="1" x14ac:dyDescent="0.35">
      <c r="C2837" s="100" t="str">
        <f>IF(OR(Fact_Analitica[[#This Row], [Año]]="",Fact_Analitica[[#This Row], [Mes]]=""),"",DATE(A2837,MATCH(B2837,{"enero","febrero","marzo","abril","mayo","junio","julio","agosto","septiembre","octubre","noviembre","diciembre"},0)+1,0))</f>
        <v/>
      </c>
      <c r="E2837" t="str">
        <f>+IFERROR(VLOOKUP(Fact_Analitica[[#This Row], [Concepto Anterior]],Conceptos_Analítica_contraloría[#All],5,0),"")</f>
        <v/>
      </c>
      <c r="F2837" t="str">
        <f>+IFERROR(VLOOKUP(Fact_Analitica[[#This Row], [Concepto Anterior]],Conceptos_Analítica_contraloría[#All],7,0),"")</f>
        <v/>
      </c>
      <c r="I2837" t="str">
        <f>+IFERROR(VLOOKUP(D2837,Conceptos_Analítica_contraloría[#All],2,0),"")</f>
        <v/>
      </c>
      <c r="J2837" s="84" t="str">
        <f>+IFERROR(VLOOKUP(D2837,Conceptos_Analítica_contraloría[#All],3,0),"")</f>
        <v/>
      </c>
    </row>
    <row r="2838" spans="3:10" ht="18.75" customHeight="1" x14ac:dyDescent="0.35">
      <c r="C2838" s="100" t="str">
        <f>IF(OR(Fact_Analitica[[#This Row], [Año]]="",Fact_Analitica[[#This Row], [Mes]]=""),"",DATE(A2838,MATCH(B2838,{"enero","febrero","marzo","abril","mayo","junio","julio","agosto","septiembre","octubre","noviembre","diciembre"},0)+1,0))</f>
        <v/>
      </c>
      <c r="E2838" t="str">
        <f>+IFERROR(VLOOKUP(Fact_Analitica[[#This Row], [Concepto Anterior]],Conceptos_Analítica_contraloría[#All],5,0),"")</f>
        <v/>
      </c>
      <c r="F2838" t="str">
        <f>+IFERROR(VLOOKUP(Fact_Analitica[[#This Row], [Concepto Anterior]],Conceptos_Analítica_contraloría[#All],7,0),"")</f>
        <v/>
      </c>
      <c r="I2838" t="str">
        <f>+IFERROR(VLOOKUP(D2838,Conceptos_Analítica_contraloría[#All],2,0),"")</f>
        <v/>
      </c>
      <c r="J2838" s="84" t="str">
        <f>+IFERROR(VLOOKUP(D2838,Conceptos_Analítica_contraloría[#All],3,0),"")</f>
        <v/>
      </c>
    </row>
    <row r="2839" spans="3:10" ht="18.75" customHeight="1" x14ac:dyDescent="0.35">
      <c r="C2839" s="100" t="str">
        <f>IF(OR(Fact_Analitica[[#This Row], [Año]]="",Fact_Analitica[[#This Row], [Mes]]=""),"",DATE(A2839,MATCH(B2839,{"enero","febrero","marzo","abril","mayo","junio","julio","agosto","septiembre","octubre","noviembre","diciembre"},0)+1,0))</f>
        <v/>
      </c>
      <c r="E2839" t="str">
        <f>+IFERROR(VLOOKUP(Fact_Analitica[[#This Row], [Concepto Anterior]],Conceptos_Analítica_contraloría[#All],5,0),"")</f>
        <v/>
      </c>
      <c r="F2839" t="str">
        <f>+IFERROR(VLOOKUP(Fact_Analitica[[#This Row], [Concepto Anterior]],Conceptos_Analítica_contraloría[#All],7,0),"")</f>
        <v/>
      </c>
      <c r="I2839" t="str">
        <f>+IFERROR(VLOOKUP(D2839,Conceptos_Analítica_contraloría[#All],2,0),"")</f>
        <v/>
      </c>
      <c r="J2839" s="84" t="str">
        <f>+IFERROR(VLOOKUP(D2839,Conceptos_Analítica_contraloría[#All],3,0),"")</f>
        <v/>
      </c>
    </row>
    <row r="2840" spans="3:10" ht="18.75" customHeight="1" x14ac:dyDescent="0.35">
      <c r="C2840" s="100" t="str">
        <f>IF(OR(Fact_Analitica[[#This Row], [Año]]="",Fact_Analitica[[#This Row], [Mes]]=""),"",DATE(A2840,MATCH(B2840,{"enero","febrero","marzo","abril","mayo","junio","julio","agosto","septiembre","octubre","noviembre","diciembre"},0)+1,0))</f>
        <v/>
      </c>
      <c r="E2840" t="str">
        <f>+IFERROR(VLOOKUP(Fact_Analitica[[#This Row], [Concepto Anterior]],Conceptos_Analítica_contraloría[#All],5,0),"")</f>
        <v/>
      </c>
      <c r="F2840" t="str">
        <f>+IFERROR(VLOOKUP(Fact_Analitica[[#This Row], [Concepto Anterior]],Conceptos_Analítica_contraloría[#All],7,0),"")</f>
        <v/>
      </c>
      <c r="I2840" t="str">
        <f>+IFERROR(VLOOKUP(D2840,Conceptos_Analítica_contraloría[#All],2,0),"")</f>
        <v/>
      </c>
      <c r="J2840" s="84" t="str">
        <f>+IFERROR(VLOOKUP(D2840,Conceptos_Analítica_contraloría[#All],3,0),"")</f>
        <v/>
      </c>
    </row>
    <row r="2841" spans="3:10" ht="18.75" customHeight="1" x14ac:dyDescent="0.35">
      <c r="C2841" s="100" t="str">
        <f>IF(OR(Fact_Analitica[[#This Row], [Año]]="",Fact_Analitica[[#This Row], [Mes]]=""),"",DATE(A2841,MATCH(B2841,{"enero","febrero","marzo","abril","mayo","junio","julio","agosto","septiembre","octubre","noviembre","diciembre"},0)+1,0))</f>
        <v/>
      </c>
      <c r="E2841" t="str">
        <f>+IFERROR(VLOOKUP(Fact_Analitica[[#This Row], [Concepto Anterior]],Conceptos_Analítica_contraloría[#All],5,0),"")</f>
        <v/>
      </c>
      <c r="F2841" t="str">
        <f>+IFERROR(VLOOKUP(Fact_Analitica[[#This Row], [Concepto Anterior]],Conceptos_Analítica_contraloría[#All],7,0),"")</f>
        <v/>
      </c>
      <c r="I2841" t="str">
        <f>+IFERROR(VLOOKUP(D2841,Conceptos_Analítica_contraloría[#All],2,0),"")</f>
        <v/>
      </c>
      <c r="J2841" s="84" t="str">
        <f>+IFERROR(VLOOKUP(D2841,Conceptos_Analítica_contraloría[#All],3,0),"")</f>
        <v/>
      </c>
    </row>
    <row r="2842" spans="3:10" ht="18.75" customHeight="1" x14ac:dyDescent="0.35">
      <c r="C2842" s="100" t="str">
        <f>IF(OR(Fact_Analitica[[#This Row], [Año]]="",Fact_Analitica[[#This Row], [Mes]]=""),"",DATE(A2842,MATCH(B2842,{"enero","febrero","marzo","abril","mayo","junio","julio","agosto","septiembre","octubre","noviembre","diciembre"},0)+1,0))</f>
        <v/>
      </c>
      <c r="E2842" t="str">
        <f>+IFERROR(VLOOKUP(Fact_Analitica[[#This Row], [Concepto Anterior]],Conceptos_Analítica_contraloría[#All],5,0),"")</f>
        <v/>
      </c>
      <c r="F2842" t="str">
        <f>+IFERROR(VLOOKUP(Fact_Analitica[[#This Row], [Concepto Anterior]],Conceptos_Analítica_contraloría[#All],7,0),"")</f>
        <v/>
      </c>
      <c r="I2842" t="str">
        <f>+IFERROR(VLOOKUP(D2842,Conceptos_Analítica_contraloría[#All],2,0),"")</f>
        <v/>
      </c>
      <c r="J2842" s="84" t="str">
        <f>+IFERROR(VLOOKUP(D2842,Conceptos_Analítica_contraloría[#All],3,0),"")</f>
        <v/>
      </c>
    </row>
    <row r="2843" spans="3:10" ht="18.75" customHeight="1" x14ac:dyDescent="0.35">
      <c r="C2843" s="100" t="str">
        <f>IF(OR(Fact_Analitica[[#This Row], [Año]]="",Fact_Analitica[[#This Row], [Mes]]=""),"",DATE(A2843,MATCH(B2843,{"enero","febrero","marzo","abril","mayo","junio","julio","agosto","septiembre","octubre","noviembre","diciembre"},0)+1,0))</f>
        <v/>
      </c>
      <c r="E2843" t="str">
        <f>+IFERROR(VLOOKUP(Fact_Analitica[[#This Row], [Concepto Anterior]],Conceptos_Analítica_contraloría[#All],5,0),"")</f>
        <v/>
      </c>
      <c r="F2843" t="str">
        <f>+IFERROR(VLOOKUP(Fact_Analitica[[#This Row], [Concepto Anterior]],Conceptos_Analítica_contraloría[#All],7,0),"")</f>
        <v/>
      </c>
      <c r="I2843" t="str">
        <f>+IFERROR(VLOOKUP(D2843,Conceptos_Analítica_contraloría[#All],2,0),"")</f>
        <v/>
      </c>
      <c r="J2843" s="84" t="str">
        <f>+IFERROR(VLOOKUP(D2843,Conceptos_Analítica_contraloría[#All],3,0),"")</f>
        <v/>
      </c>
    </row>
    <row r="2844" spans="3:10" ht="18.75" customHeight="1" x14ac:dyDescent="0.35">
      <c r="C2844" s="100" t="str">
        <f>IF(OR(Fact_Analitica[[#This Row], [Año]]="",Fact_Analitica[[#This Row], [Mes]]=""),"",DATE(A2844,MATCH(B2844,{"enero","febrero","marzo","abril","mayo","junio","julio","agosto","septiembre","octubre","noviembre","diciembre"},0)+1,0))</f>
        <v/>
      </c>
      <c r="E2844" t="str">
        <f>+IFERROR(VLOOKUP(Fact_Analitica[[#This Row], [Concepto Anterior]],Conceptos_Analítica_contraloría[#All],5,0),"")</f>
        <v/>
      </c>
      <c r="F2844" t="str">
        <f>+IFERROR(VLOOKUP(Fact_Analitica[[#This Row], [Concepto Anterior]],Conceptos_Analítica_contraloría[#All],7,0),"")</f>
        <v/>
      </c>
      <c r="I2844" t="str">
        <f>+IFERROR(VLOOKUP(D2844,Conceptos_Analítica_contraloría[#All],2,0),"")</f>
        <v/>
      </c>
      <c r="J2844" s="84" t="str">
        <f>+IFERROR(VLOOKUP(D2844,Conceptos_Analítica_contraloría[#All],3,0),"")</f>
        <v/>
      </c>
    </row>
    <row r="2845" spans="3:10" ht="18.75" customHeight="1" x14ac:dyDescent="0.35">
      <c r="C2845" s="100" t="str">
        <f>IF(OR(Fact_Analitica[[#This Row], [Año]]="",Fact_Analitica[[#This Row], [Mes]]=""),"",DATE(A2845,MATCH(B2845,{"enero","febrero","marzo","abril","mayo","junio","julio","agosto","septiembre","octubre","noviembre","diciembre"},0)+1,0))</f>
        <v/>
      </c>
      <c r="E2845" t="str">
        <f>+IFERROR(VLOOKUP(Fact_Analitica[[#This Row], [Concepto Anterior]],Conceptos_Analítica_contraloría[#All],5,0),"")</f>
        <v/>
      </c>
      <c r="F2845" t="str">
        <f>+IFERROR(VLOOKUP(Fact_Analitica[[#This Row], [Concepto Anterior]],Conceptos_Analítica_contraloría[#All],7,0),"")</f>
        <v/>
      </c>
      <c r="I2845" t="str">
        <f>+IFERROR(VLOOKUP(D2845,Conceptos_Analítica_contraloría[#All],2,0),"")</f>
        <v/>
      </c>
      <c r="J2845" s="84" t="str">
        <f>+IFERROR(VLOOKUP(D2845,Conceptos_Analítica_contraloría[#All],3,0),"")</f>
        <v/>
      </c>
    </row>
    <row r="2846" spans="3:10" ht="18.75" customHeight="1" x14ac:dyDescent="0.35">
      <c r="C2846" s="100" t="str">
        <f>IF(OR(Fact_Analitica[[#This Row], [Año]]="",Fact_Analitica[[#This Row], [Mes]]=""),"",DATE(A2846,MATCH(B2846,{"enero","febrero","marzo","abril","mayo","junio","julio","agosto","septiembre","octubre","noviembre","diciembre"},0)+1,0))</f>
        <v/>
      </c>
      <c r="E2846" t="str">
        <f>+IFERROR(VLOOKUP(Fact_Analitica[[#This Row], [Concepto Anterior]],Conceptos_Analítica_contraloría[#All],5,0),"")</f>
        <v/>
      </c>
      <c r="F2846" t="str">
        <f>+IFERROR(VLOOKUP(Fact_Analitica[[#This Row], [Concepto Anterior]],Conceptos_Analítica_contraloría[#All],7,0),"")</f>
        <v/>
      </c>
      <c r="I2846" t="str">
        <f>+IFERROR(VLOOKUP(D2846,Conceptos_Analítica_contraloría[#All],2,0),"")</f>
        <v/>
      </c>
      <c r="J2846" s="84" t="str">
        <f>+IFERROR(VLOOKUP(D2846,Conceptos_Analítica_contraloría[#All],3,0),"")</f>
        <v/>
      </c>
    </row>
    <row r="2847" spans="3:10" ht="18.75" customHeight="1" x14ac:dyDescent="0.35">
      <c r="C2847" s="100" t="str">
        <f>IF(OR(Fact_Analitica[[#This Row], [Año]]="",Fact_Analitica[[#This Row], [Mes]]=""),"",DATE(A2847,MATCH(B2847,{"enero","febrero","marzo","abril","mayo","junio","julio","agosto","septiembre","octubre","noviembre","diciembre"},0)+1,0))</f>
        <v/>
      </c>
      <c r="E2847" t="str">
        <f>+IFERROR(VLOOKUP(Fact_Analitica[[#This Row], [Concepto Anterior]],Conceptos_Analítica_contraloría[#All],5,0),"")</f>
        <v/>
      </c>
      <c r="F2847" t="str">
        <f>+IFERROR(VLOOKUP(Fact_Analitica[[#This Row], [Concepto Anterior]],Conceptos_Analítica_contraloría[#All],7,0),"")</f>
        <v/>
      </c>
      <c r="I2847" t="str">
        <f>+IFERROR(VLOOKUP(D2847,Conceptos_Analítica_contraloría[#All],2,0),"")</f>
        <v/>
      </c>
      <c r="J2847" s="84" t="str">
        <f>+IFERROR(VLOOKUP(D2847,Conceptos_Analítica_contraloría[#All],3,0),"")</f>
        <v/>
      </c>
    </row>
    <row r="2848" spans="3:10" ht="18.75" customHeight="1" x14ac:dyDescent="0.35">
      <c r="C2848" s="100" t="str">
        <f>IF(OR(Fact_Analitica[[#This Row], [Año]]="",Fact_Analitica[[#This Row], [Mes]]=""),"",DATE(A2848,MATCH(B2848,{"enero","febrero","marzo","abril","mayo","junio","julio","agosto","septiembre","octubre","noviembre","diciembre"},0)+1,0))</f>
        <v/>
      </c>
      <c r="E2848" t="str">
        <f>+IFERROR(VLOOKUP(Fact_Analitica[[#This Row], [Concepto Anterior]],Conceptos_Analítica_contraloría[#All],5,0),"")</f>
        <v/>
      </c>
      <c r="F2848" t="str">
        <f>+IFERROR(VLOOKUP(Fact_Analitica[[#This Row], [Concepto Anterior]],Conceptos_Analítica_contraloría[#All],7,0),"")</f>
        <v/>
      </c>
      <c r="I2848" t="str">
        <f>+IFERROR(VLOOKUP(D2848,Conceptos_Analítica_contraloría[#All],2,0),"")</f>
        <v/>
      </c>
      <c r="J2848" s="84" t="str">
        <f>+IFERROR(VLOOKUP(D2848,Conceptos_Analítica_contraloría[#All],3,0),"")</f>
        <v/>
      </c>
    </row>
    <row r="2849" spans="3:10" ht="18.75" customHeight="1" x14ac:dyDescent="0.35">
      <c r="C2849" s="100" t="str">
        <f>IF(OR(Fact_Analitica[[#This Row], [Año]]="",Fact_Analitica[[#This Row], [Mes]]=""),"",DATE(A2849,MATCH(B2849,{"enero","febrero","marzo","abril","mayo","junio","julio","agosto","septiembre","octubre","noviembre","diciembre"},0)+1,0))</f>
        <v/>
      </c>
      <c r="E2849" t="str">
        <f>+IFERROR(VLOOKUP(Fact_Analitica[[#This Row], [Concepto Anterior]],Conceptos_Analítica_contraloría[#All],5,0),"")</f>
        <v/>
      </c>
      <c r="F2849" t="str">
        <f>+IFERROR(VLOOKUP(Fact_Analitica[[#This Row], [Concepto Anterior]],Conceptos_Analítica_contraloría[#All],7,0),"")</f>
        <v/>
      </c>
      <c r="I2849" t="str">
        <f>+IFERROR(VLOOKUP(D2849,Conceptos_Analítica_contraloría[#All],2,0),"")</f>
        <v/>
      </c>
      <c r="J2849" s="84" t="str">
        <f>+IFERROR(VLOOKUP(D2849,Conceptos_Analítica_contraloría[#All],3,0),"")</f>
        <v/>
      </c>
    </row>
    <row r="2850" spans="3:10" ht="18.75" customHeight="1" x14ac:dyDescent="0.35">
      <c r="C2850" s="100" t="str">
        <f>IF(OR(Fact_Analitica[[#This Row], [Año]]="",Fact_Analitica[[#This Row], [Mes]]=""),"",DATE(A2850,MATCH(B2850,{"enero","febrero","marzo","abril","mayo","junio","julio","agosto","septiembre","octubre","noviembre","diciembre"},0)+1,0))</f>
        <v/>
      </c>
      <c r="E2850" t="str">
        <f>+IFERROR(VLOOKUP(Fact_Analitica[[#This Row], [Concepto Anterior]],Conceptos_Analítica_contraloría[#All],5,0),"")</f>
        <v/>
      </c>
      <c r="F2850" t="str">
        <f>+IFERROR(VLOOKUP(Fact_Analitica[[#This Row], [Concepto Anterior]],Conceptos_Analítica_contraloría[#All],7,0),"")</f>
        <v/>
      </c>
      <c r="I2850" t="str">
        <f>+IFERROR(VLOOKUP(D2850,Conceptos_Analítica_contraloría[#All],2,0),"")</f>
        <v/>
      </c>
      <c r="J2850" s="84" t="str">
        <f>+IFERROR(VLOOKUP(D2850,Conceptos_Analítica_contraloría[#All],3,0),"")</f>
        <v/>
      </c>
    </row>
    <row r="2851" spans="3:10" ht="18.75" customHeight="1" x14ac:dyDescent="0.35">
      <c r="C2851" s="100" t="str">
        <f>IF(OR(Fact_Analitica[[#This Row], [Año]]="",Fact_Analitica[[#This Row], [Mes]]=""),"",DATE(A2851,MATCH(B2851,{"enero","febrero","marzo","abril","mayo","junio","julio","agosto","septiembre","octubre","noviembre","diciembre"},0)+1,0))</f>
        <v/>
      </c>
      <c r="E2851" t="str">
        <f>+IFERROR(VLOOKUP(Fact_Analitica[[#This Row], [Concepto Anterior]],Conceptos_Analítica_contraloría[#All],5,0),"")</f>
        <v/>
      </c>
      <c r="F2851" t="str">
        <f>+IFERROR(VLOOKUP(Fact_Analitica[[#This Row], [Concepto Anterior]],Conceptos_Analítica_contraloría[#All],7,0),"")</f>
        <v/>
      </c>
      <c r="I2851" t="str">
        <f>+IFERROR(VLOOKUP(D2851,Conceptos_Analítica_contraloría[#All],2,0),"")</f>
        <v/>
      </c>
      <c r="J2851" s="84" t="str">
        <f>+IFERROR(VLOOKUP(D2851,Conceptos_Analítica_contraloría[#All],3,0),"")</f>
        <v/>
      </c>
    </row>
    <row r="2852" spans="3:10" ht="18.75" customHeight="1" x14ac:dyDescent="0.35">
      <c r="C2852" s="100" t="str">
        <f>IF(OR(Fact_Analitica[[#This Row], [Año]]="",Fact_Analitica[[#This Row], [Mes]]=""),"",DATE(A2852,MATCH(B2852,{"enero","febrero","marzo","abril","mayo","junio","julio","agosto","septiembre","octubre","noviembre","diciembre"},0)+1,0))</f>
        <v/>
      </c>
      <c r="E2852" t="str">
        <f>+IFERROR(VLOOKUP(Fact_Analitica[[#This Row], [Concepto Anterior]],Conceptos_Analítica_contraloría[#All],5,0),"")</f>
        <v/>
      </c>
      <c r="F2852" t="str">
        <f>+IFERROR(VLOOKUP(Fact_Analitica[[#This Row], [Concepto Anterior]],Conceptos_Analítica_contraloría[#All],7,0),"")</f>
        <v/>
      </c>
      <c r="I2852" t="str">
        <f>+IFERROR(VLOOKUP(D2852,Conceptos_Analítica_contraloría[#All],2,0),"")</f>
        <v/>
      </c>
      <c r="J2852" s="84" t="str">
        <f>+IFERROR(VLOOKUP(D2852,Conceptos_Analítica_contraloría[#All],3,0),"")</f>
        <v/>
      </c>
    </row>
    <row r="2853" spans="3:10" ht="18.75" customHeight="1" x14ac:dyDescent="0.35">
      <c r="C2853" s="100" t="str">
        <f>IF(OR(Fact_Analitica[[#This Row], [Año]]="",Fact_Analitica[[#This Row], [Mes]]=""),"",DATE(A2853,MATCH(B2853,{"enero","febrero","marzo","abril","mayo","junio","julio","agosto","septiembre","octubre","noviembre","diciembre"},0)+1,0))</f>
        <v/>
      </c>
      <c r="E2853" t="str">
        <f>+IFERROR(VLOOKUP(Fact_Analitica[[#This Row], [Concepto Anterior]],Conceptos_Analítica_contraloría[#All],5,0),"")</f>
        <v/>
      </c>
      <c r="F2853" t="str">
        <f>+IFERROR(VLOOKUP(Fact_Analitica[[#This Row], [Concepto Anterior]],Conceptos_Analítica_contraloría[#All],7,0),"")</f>
        <v/>
      </c>
      <c r="I2853" t="str">
        <f>+IFERROR(VLOOKUP(D2853,Conceptos_Analítica_contraloría[#All],2,0),"")</f>
        <v/>
      </c>
      <c r="J2853" s="84" t="str">
        <f>+IFERROR(VLOOKUP(D2853,Conceptos_Analítica_contraloría[#All],3,0),"")</f>
        <v/>
      </c>
    </row>
    <row r="2854" spans="3:10" ht="18.75" customHeight="1" x14ac:dyDescent="0.35">
      <c r="C2854" s="100" t="str">
        <f>IF(OR(Fact_Analitica[[#This Row], [Año]]="",Fact_Analitica[[#This Row], [Mes]]=""),"",DATE(A2854,MATCH(B2854,{"enero","febrero","marzo","abril","mayo","junio","julio","agosto","septiembre","octubre","noviembre","diciembre"},0)+1,0))</f>
        <v/>
      </c>
      <c r="E2854" t="str">
        <f>+IFERROR(VLOOKUP(Fact_Analitica[[#This Row], [Concepto Anterior]],Conceptos_Analítica_contraloría[#All],5,0),"")</f>
        <v/>
      </c>
      <c r="F2854" t="str">
        <f>+IFERROR(VLOOKUP(Fact_Analitica[[#This Row], [Concepto Anterior]],Conceptos_Analítica_contraloría[#All],7,0),"")</f>
        <v/>
      </c>
      <c r="I2854" t="str">
        <f>+IFERROR(VLOOKUP(D2854,Conceptos_Analítica_contraloría[#All],2,0),"")</f>
        <v/>
      </c>
      <c r="J2854" s="84" t="str">
        <f>+IFERROR(VLOOKUP(D2854,Conceptos_Analítica_contraloría[#All],3,0),"")</f>
        <v/>
      </c>
    </row>
    <row r="2855" spans="3:10" ht="18.75" customHeight="1" x14ac:dyDescent="0.35">
      <c r="C2855" s="100" t="str">
        <f>IF(OR(Fact_Analitica[[#This Row], [Año]]="",Fact_Analitica[[#This Row], [Mes]]=""),"",DATE(A2855,MATCH(B2855,{"enero","febrero","marzo","abril","mayo","junio","julio","agosto","septiembre","octubre","noviembre","diciembre"},0)+1,0))</f>
        <v/>
      </c>
      <c r="E2855" t="str">
        <f>+IFERROR(VLOOKUP(Fact_Analitica[[#This Row], [Concepto Anterior]],Conceptos_Analítica_contraloría[#All],5,0),"")</f>
        <v/>
      </c>
      <c r="F2855" t="str">
        <f>+IFERROR(VLOOKUP(Fact_Analitica[[#This Row], [Concepto Anterior]],Conceptos_Analítica_contraloría[#All],7,0),"")</f>
        <v/>
      </c>
      <c r="I2855" t="str">
        <f>+IFERROR(VLOOKUP(D2855,Conceptos_Analítica_contraloría[#All],2,0),"")</f>
        <v/>
      </c>
      <c r="J2855" s="84" t="str">
        <f>+IFERROR(VLOOKUP(D2855,Conceptos_Analítica_contraloría[#All],3,0),"")</f>
        <v/>
      </c>
    </row>
    <row r="2856" spans="3:10" ht="18.75" customHeight="1" x14ac:dyDescent="0.35">
      <c r="C2856" s="100" t="str">
        <f>IF(OR(Fact_Analitica[[#This Row], [Año]]="",Fact_Analitica[[#This Row], [Mes]]=""),"",DATE(A2856,MATCH(B2856,{"enero","febrero","marzo","abril","mayo","junio","julio","agosto","septiembre","octubre","noviembre","diciembre"},0)+1,0))</f>
        <v/>
      </c>
      <c r="E2856" t="str">
        <f>+IFERROR(VLOOKUP(Fact_Analitica[[#This Row], [Concepto Anterior]],Conceptos_Analítica_contraloría[#All],5,0),"")</f>
        <v/>
      </c>
      <c r="F2856" t="str">
        <f>+IFERROR(VLOOKUP(Fact_Analitica[[#This Row], [Concepto Anterior]],Conceptos_Analítica_contraloría[#All],7,0),"")</f>
        <v/>
      </c>
      <c r="I2856" t="str">
        <f>+IFERROR(VLOOKUP(D2856,Conceptos_Analítica_contraloría[#All],2,0),"")</f>
        <v/>
      </c>
      <c r="J2856" s="84" t="str">
        <f>+IFERROR(VLOOKUP(D2856,Conceptos_Analítica_contraloría[#All],3,0),"")</f>
        <v/>
      </c>
    </row>
    <row r="2857" spans="3:10" ht="18.75" customHeight="1" x14ac:dyDescent="0.35">
      <c r="C2857" s="100" t="str">
        <f>IF(OR(Fact_Analitica[[#This Row], [Año]]="",Fact_Analitica[[#This Row], [Mes]]=""),"",DATE(A2857,MATCH(B2857,{"enero","febrero","marzo","abril","mayo","junio","julio","agosto","septiembre","octubre","noviembre","diciembre"},0)+1,0))</f>
        <v/>
      </c>
      <c r="E2857" t="str">
        <f>+IFERROR(VLOOKUP(Fact_Analitica[[#This Row], [Concepto Anterior]],Conceptos_Analítica_contraloría[#All],5,0),"")</f>
        <v/>
      </c>
      <c r="F2857" t="str">
        <f>+IFERROR(VLOOKUP(Fact_Analitica[[#This Row], [Concepto Anterior]],Conceptos_Analítica_contraloría[#All],7,0),"")</f>
        <v/>
      </c>
      <c r="I2857" t="str">
        <f>+IFERROR(VLOOKUP(D2857,Conceptos_Analítica_contraloría[#All],2,0),"")</f>
        <v/>
      </c>
      <c r="J2857" s="84" t="str">
        <f>+IFERROR(VLOOKUP(D2857,Conceptos_Analítica_contraloría[#All],3,0),"")</f>
        <v/>
      </c>
    </row>
    <row r="2858" spans="3:10" ht="18.75" customHeight="1" x14ac:dyDescent="0.35">
      <c r="C2858" s="100" t="str">
        <f>IF(OR(Fact_Analitica[[#This Row], [Año]]="",Fact_Analitica[[#This Row], [Mes]]=""),"",DATE(A2858,MATCH(B2858,{"enero","febrero","marzo","abril","mayo","junio","julio","agosto","septiembre","octubre","noviembre","diciembre"},0)+1,0))</f>
        <v/>
      </c>
      <c r="E2858" t="str">
        <f>+IFERROR(VLOOKUP(Fact_Analitica[[#This Row], [Concepto Anterior]],Conceptos_Analítica_contraloría[#All],5,0),"")</f>
        <v/>
      </c>
      <c r="F2858" t="str">
        <f>+IFERROR(VLOOKUP(Fact_Analitica[[#This Row], [Concepto Anterior]],Conceptos_Analítica_contraloría[#All],7,0),"")</f>
        <v/>
      </c>
      <c r="I2858" t="str">
        <f>+IFERROR(VLOOKUP(D2858,Conceptos_Analítica_contraloría[#All],2,0),"")</f>
        <v/>
      </c>
      <c r="J2858" s="84" t="str">
        <f>+IFERROR(VLOOKUP(D2858,Conceptos_Analítica_contraloría[#All],3,0),"")</f>
        <v/>
      </c>
    </row>
    <row r="2859" spans="3:10" ht="18.75" customHeight="1" x14ac:dyDescent="0.35">
      <c r="C2859" s="100" t="str">
        <f>IF(OR(Fact_Analitica[[#This Row], [Año]]="",Fact_Analitica[[#This Row], [Mes]]=""),"",DATE(A2859,MATCH(B2859,{"enero","febrero","marzo","abril","mayo","junio","julio","agosto","septiembre","octubre","noviembre","diciembre"},0)+1,0))</f>
        <v/>
      </c>
      <c r="E2859" t="str">
        <f>+IFERROR(VLOOKUP(Fact_Analitica[[#This Row], [Concepto Anterior]],Conceptos_Analítica_contraloría[#All],5,0),"")</f>
        <v/>
      </c>
      <c r="F2859" t="str">
        <f>+IFERROR(VLOOKUP(Fact_Analitica[[#This Row], [Concepto Anterior]],Conceptos_Analítica_contraloría[#All],7,0),"")</f>
        <v/>
      </c>
      <c r="I2859" t="str">
        <f>+IFERROR(VLOOKUP(D2859,Conceptos_Analítica_contraloría[#All],2,0),"")</f>
        <v/>
      </c>
      <c r="J2859" s="84" t="str">
        <f>+IFERROR(VLOOKUP(D2859,Conceptos_Analítica_contraloría[#All],3,0),"")</f>
        <v/>
      </c>
    </row>
    <row r="2860" spans="3:10" ht="18.75" customHeight="1" x14ac:dyDescent="0.35">
      <c r="C2860" s="100" t="str">
        <f>IF(OR(Fact_Analitica[[#This Row], [Año]]="",Fact_Analitica[[#This Row], [Mes]]=""),"",DATE(A2860,MATCH(B2860,{"enero","febrero","marzo","abril","mayo","junio","julio","agosto","septiembre","octubre","noviembre","diciembre"},0)+1,0))</f>
        <v/>
      </c>
      <c r="E2860" t="str">
        <f>+IFERROR(VLOOKUP(Fact_Analitica[[#This Row], [Concepto Anterior]],Conceptos_Analítica_contraloría[#All],5,0),"")</f>
        <v/>
      </c>
      <c r="F2860" t="str">
        <f>+IFERROR(VLOOKUP(Fact_Analitica[[#This Row], [Concepto Anterior]],Conceptos_Analítica_contraloría[#All],7,0),"")</f>
        <v/>
      </c>
      <c r="I2860" t="str">
        <f>+IFERROR(VLOOKUP(D2860,Conceptos_Analítica_contraloría[#All],2,0),"")</f>
        <v/>
      </c>
      <c r="J2860" s="84" t="str">
        <f>+IFERROR(VLOOKUP(D2860,Conceptos_Analítica_contraloría[#All],3,0),"")</f>
        <v/>
      </c>
    </row>
    <row r="2861" spans="3:10" ht="18.75" customHeight="1" x14ac:dyDescent="0.35">
      <c r="C2861" s="100" t="str">
        <f>IF(OR(Fact_Analitica[[#This Row], [Año]]="",Fact_Analitica[[#This Row], [Mes]]=""),"",DATE(A2861,MATCH(B2861,{"enero","febrero","marzo","abril","mayo","junio","julio","agosto","septiembre","octubre","noviembre","diciembre"},0)+1,0))</f>
        <v/>
      </c>
      <c r="E2861" t="str">
        <f>+IFERROR(VLOOKUP(Fact_Analitica[[#This Row], [Concepto Anterior]],Conceptos_Analítica_contraloría[#All],5,0),"")</f>
        <v/>
      </c>
      <c r="F2861" t="str">
        <f>+IFERROR(VLOOKUP(Fact_Analitica[[#This Row], [Concepto Anterior]],Conceptos_Analítica_contraloría[#All],7,0),"")</f>
        <v/>
      </c>
      <c r="I2861" t="str">
        <f>+IFERROR(VLOOKUP(D2861,Conceptos_Analítica_contraloría[#All],2,0),"")</f>
        <v/>
      </c>
      <c r="J2861" s="84" t="str">
        <f>+IFERROR(VLOOKUP(D2861,Conceptos_Analítica_contraloría[#All],3,0),"")</f>
        <v/>
      </c>
    </row>
    <row r="2862" spans="3:10" ht="18.75" customHeight="1" x14ac:dyDescent="0.35">
      <c r="C2862" s="100" t="str">
        <f>IF(OR(Fact_Analitica[[#This Row], [Año]]="",Fact_Analitica[[#This Row], [Mes]]=""),"",DATE(A2862,MATCH(B2862,{"enero","febrero","marzo","abril","mayo","junio","julio","agosto","septiembre","octubre","noviembre","diciembre"},0)+1,0))</f>
        <v/>
      </c>
      <c r="E2862" t="str">
        <f>+IFERROR(VLOOKUP(Fact_Analitica[[#This Row], [Concepto Anterior]],Conceptos_Analítica_contraloría[#All],5,0),"")</f>
        <v/>
      </c>
      <c r="F2862" t="str">
        <f>+IFERROR(VLOOKUP(Fact_Analitica[[#This Row], [Concepto Anterior]],Conceptos_Analítica_contraloría[#All],7,0),"")</f>
        <v/>
      </c>
      <c r="I2862" t="str">
        <f>+IFERROR(VLOOKUP(D2862,Conceptos_Analítica_contraloría[#All],2,0),"")</f>
        <v/>
      </c>
      <c r="J2862" s="84" t="str">
        <f>+IFERROR(VLOOKUP(D2862,Conceptos_Analítica_contraloría[#All],3,0),"")</f>
        <v/>
      </c>
    </row>
    <row r="2863" spans="3:10" ht="18.75" customHeight="1" x14ac:dyDescent="0.35">
      <c r="C2863" s="100" t="str">
        <f>IF(OR(Fact_Analitica[[#This Row], [Año]]="",Fact_Analitica[[#This Row], [Mes]]=""),"",DATE(A2863,MATCH(B2863,{"enero","febrero","marzo","abril","mayo","junio","julio","agosto","septiembre","octubre","noviembre","diciembre"},0)+1,0))</f>
        <v/>
      </c>
      <c r="E2863" t="str">
        <f>+IFERROR(VLOOKUP(Fact_Analitica[[#This Row], [Concepto Anterior]],Conceptos_Analítica_contraloría[#All],5,0),"")</f>
        <v/>
      </c>
      <c r="F2863" t="str">
        <f>+IFERROR(VLOOKUP(Fact_Analitica[[#This Row], [Concepto Anterior]],Conceptos_Analítica_contraloría[#All],7,0),"")</f>
        <v/>
      </c>
      <c r="I2863" t="str">
        <f>+IFERROR(VLOOKUP(D2863,Conceptos_Analítica_contraloría[#All],2,0),"")</f>
        <v/>
      </c>
      <c r="J2863" s="84" t="str">
        <f>+IFERROR(VLOOKUP(D2863,Conceptos_Analítica_contraloría[#All],3,0),"")</f>
        <v/>
      </c>
    </row>
    <row r="2864" spans="3:10" ht="18.75" customHeight="1" x14ac:dyDescent="0.35">
      <c r="C2864" s="100" t="str">
        <f>IF(OR(Fact_Analitica[[#This Row], [Año]]="",Fact_Analitica[[#This Row], [Mes]]=""),"",DATE(A2864,MATCH(B2864,{"enero","febrero","marzo","abril","mayo","junio","julio","agosto","septiembre","octubre","noviembre","diciembre"},0)+1,0))</f>
        <v/>
      </c>
      <c r="E2864" t="str">
        <f>+IFERROR(VLOOKUP(Fact_Analitica[[#This Row], [Concepto Anterior]],Conceptos_Analítica_contraloría[#All],5,0),"")</f>
        <v/>
      </c>
      <c r="F2864" t="str">
        <f>+IFERROR(VLOOKUP(Fact_Analitica[[#This Row], [Concepto Anterior]],Conceptos_Analítica_contraloría[#All],7,0),"")</f>
        <v/>
      </c>
      <c r="I2864" t="str">
        <f>+IFERROR(VLOOKUP(D2864,Conceptos_Analítica_contraloría[#All],2,0),"")</f>
        <v/>
      </c>
      <c r="J2864" s="84" t="str">
        <f>+IFERROR(VLOOKUP(D2864,Conceptos_Analítica_contraloría[#All],3,0),"")</f>
        <v/>
      </c>
    </row>
    <row r="2865" spans="3:10" ht="18.75" customHeight="1" x14ac:dyDescent="0.35">
      <c r="C2865" s="100" t="str">
        <f>IF(OR(Fact_Analitica[[#This Row], [Año]]="",Fact_Analitica[[#This Row], [Mes]]=""),"",DATE(A2865,MATCH(B2865,{"enero","febrero","marzo","abril","mayo","junio","julio","agosto","septiembre","octubre","noviembre","diciembre"},0)+1,0))</f>
        <v/>
      </c>
      <c r="E2865" t="str">
        <f>+IFERROR(VLOOKUP(Fact_Analitica[[#This Row], [Concepto Anterior]],Conceptos_Analítica_contraloría[#All],5,0),"")</f>
        <v/>
      </c>
      <c r="F2865" t="str">
        <f>+IFERROR(VLOOKUP(Fact_Analitica[[#This Row], [Concepto Anterior]],Conceptos_Analítica_contraloría[#All],7,0),"")</f>
        <v/>
      </c>
      <c r="I2865" t="str">
        <f>+IFERROR(VLOOKUP(D2865,Conceptos_Analítica_contraloría[#All],2,0),"")</f>
        <v/>
      </c>
      <c r="J2865" s="84" t="str">
        <f>+IFERROR(VLOOKUP(D2865,Conceptos_Analítica_contraloría[#All],3,0),"")</f>
        <v/>
      </c>
    </row>
    <row r="2866" spans="3:10" ht="18.75" customHeight="1" x14ac:dyDescent="0.35">
      <c r="C2866" s="100" t="str">
        <f>IF(OR(Fact_Analitica[[#This Row], [Año]]="",Fact_Analitica[[#This Row], [Mes]]=""),"",DATE(A2866,MATCH(B2866,{"enero","febrero","marzo","abril","mayo","junio","julio","agosto","septiembre","octubre","noviembre","diciembre"},0)+1,0))</f>
        <v/>
      </c>
      <c r="E2866" t="str">
        <f>+IFERROR(VLOOKUP(Fact_Analitica[[#This Row], [Concepto Anterior]],Conceptos_Analítica_contraloría[#All],5,0),"")</f>
        <v/>
      </c>
      <c r="F2866" t="str">
        <f>+IFERROR(VLOOKUP(Fact_Analitica[[#This Row], [Concepto Anterior]],Conceptos_Analítica_contraloría[#All],7,0),"")</f>
        <v/>
      </c>
      <c r="I2866" t="str">
        <f>+IFERROR(VLOOKUP(D2866,Conceptos_Analítica_contraloría[#All],2,0),"")</f>
        <v/>
      </c>
      <c r="J2866" s="84" t="str">
        <f>+IFERROR(VLOOKUP(D2866,Conceptos_Analítica_contraloría[#All],3,0),"")</f>
        <v/>
      </c>
    </row>
    <row r="2867" spans="3:10" ht="18.75" customHeight="1" x14ac:dyDescent="0.35">
      <c r="C2867" s="100" t="str">
        <f>IF(OR(Fact_Analitica[[#This Row], [Año]]="",Fact_Analitica[[#This Row], [Mes]]=""),"",DATE(A2867,MATCH(B2867,{"enero","febrero","marzo","abril","mayo","junio","julio","agosto","septiembre","octubre","noviembre","diciembre"},0)+1,0))</f>
        <v/>
      </c>
      <c r="E2867" t="str">
        <f>+IFERROR(VLOOKUP(Fact_Analitica[[#This Row], [Concepto Anterior]],Conceptos_Analítica_contraloría[#All],5,0),"")</f>
        <v/>
      </c>
      <c r="F2867" t="str">
        <f>+IFERROR(VLOOKUP(Fact_Analitica[[#This Row], [Concepto Anterior]],Conceptos_Analítica_contraloría[#All],7,0),"")</f>
        <v/>
      </c>
      <c r="I2867" t="str">
        <f>+IFERROR(VLOOKUP(D2867,Conceptos_Analítica_contraloría[#All],2,0),"")</f>
        <v/>
      </c>
      <c r="J2867" s="84" t="str">
        <f>+IFERROR(VLOOKUP(D2867,Conceptos_Analítica_contraloría[#All],3,0),"")</f>
        <v/>
      </c>
    </row>
    <row r="2868" spans="3:10" ht="18.75" customHeight="1" x14ac:dyDescent="0.35">
      <c r="C2868" s="100" t="str">
        <f>IF(OR(Fact_Analitica[[#This Row], [Año]]="",Fact_Analitica[[#This Row], [Mes]]=""),"",DATE(A2868,MATCH(B2868,{"enero","febrero","marzo","abril","mayo","junio","julio","agosto","septiembre","octubre","noviembre","diciembre"},0)+1,0))</f>
        <v/>
      </c>
      <c r="E2868" t="str">
        <f>+IFERROR(VLOOKUP(Fact_Analitica[[#This Row], [Concepto Anterior]],Conceptos_Analítica_contraloría[#All],5,0),"")</f>
        <v/>
      </c>
      <c r="F2868" t="str">
        <f>+IFERROR(VLOOKUP(Fact_Analitica[[#This Row], [Concepto Anterior]],Conceptos_Analítica_contraloría[#All],7,0),"")</f>
        <v/>
      </c>
      <c r="I2868" t="str">
        <f>+IFERROR(VLOOKUP(D2868,Conceptos_Analítica_contraloría[#All],2,0),"")</f>
        <v/>
      </c>
      <c r="J2868" s="84" t="str">
        <f>+IFERROR(VLOOKUP(D2868,Conceptos_Analítica_contraloría[#All],3,0),"")</f>
        <v/>
      </c>
    </row>
    <row r="2869" spans="3:10" ht="18.75" customHeight="1" x14ac:dyDescent="0.35">
      <c r="C2869" s="100" t="str">
        <f>IF(OR(Fact_Analitica[[#This Row], [Año]]="",Fact_Analitica[[#This Row], [Mes]]=""),"",DATE(A2869,MATCH(B2869,{"enero","febrero","marzo","abril","mayo","junio","julio","agosto","septiembre","octubre","noviembre","diciembre"},0)+1,0))</f>
        <v/>
      </c>
      <c r="E2869" t="str">
        <f>+IFERROR(VLOOKUP(Fact_Analitica[[#This Row], [Concepto Anterior]],Conceptos_Analítica_contraloría[#All],5,0),"")</f>
        <v/>
      </c>
      <c r="F2869" t="str">
        <f>+IFERROR(VLOOKUP(Fact_Analitica[[#This Row], [Concepto Anterior]],Conceptos_Analítica_contraloría[#All],7,0),"")</f>
        <v/>
      </c>
      <c r="I2869" t="str">
        <f>+IFERROR(VLOOKUP(D2869,Conceptos_Analítica_contraloría[#All],2,0),"")</f>
        <v/>
      </c>
      <c r="J2869" s="84" t="str">
        <f>+IFERROR(VLOOKUP(D2869,Conceptos_Analítica_contraloría[#All],3,0),"")</f>
        <v/>
      </c>
    </row>
    <row r="2870" spans="3:10" ht="18.75" customHeight="1" x14ac:dyDescent="0.35">
      <c r="C2870" s="100" t="str">
        <f>IF(OR(Fact_Analitica[[#This Row], [Año]]="",Fact_Analitica[[#This Row], [Mes]]=""),"",DATE(A2870,MATCH(B2870,{"enero","febrero","marzo","abril","mayo","junio","julio","agosto","septiembre","octubre","noviembre","diciembre"},0)+1,0))</f>
        <v/>
      </c>
      <c r="E2870" t="str">
        <f>+IFERROR(VLOOKUP(Fact_Analitica[[#This Row], [Concepto Anterior]],Conceptos_Analítica_contraloría[#All],5,0),"")</f>
        <v/>
      </c>
      <c r="F2870" t="str">
        <f>+IFERROR(VLOOKUP(Fact_Analitica[[#This Row], [Concepto Anterior]],Conceptos_Analítica_contraloría[#All],7,0),"")</f>
        <v/>
      </c>
      <c r="I2870" t="str">
        <f>+IFERROR(VLOOKUP(D2870,Conceptos_Analítica_contraloría[#All],2,0),"")</f>
        <v/>
      </c>
      <c r="J2870" s="84" t="str">
        <f>+IFERROR(VLOOKUP(D2870,Conceptos_Analítica_contraloría[#All],3,0),"")</f>
        <v/>
      </c>
    </row>
    <row r="2871" spans="3:10" ht="18.75" customHeight="1" x14ac:dyDescent="0.35">
      <c r="C2871" s="100" t="str">
        <f>IF(OR(Fact_Analitica[[#This Row], [Año]]="",Fact_Analitica[[#This Row], [Mes]]=""),"",DATE(A2871,MATCH(B2871,{"enero","febrero","marzo","abril","mayo","junio","julio","agosto","septiembre","octubre","noviembre","diciembre"},0)+1,0))</f>
        <v/>
      </c>
      <c r="E2871" t="str">
        <f>+IFERROR(VLOOKUP(Fact_Analitica[[#This Row], [Concepto Anterior]],Conceptos_Analítica_contraloría[#All],5,0),"")</f>
        <v/>
      </c>
      <c r="F2871" t="str">
        <f>+IFERROR(VLOOKUP(Fact_Analitica[[#This Row], [Concepto Anterior]],Conceptos_Analítica_contraloría[#All],7,0),"")</f>
        <v/>
      </c>
      <c r="I2871" t="str">
        <f>+IFERROR(VLOOKUP(D2871,Conceptos_Analítica_contraloría[#All],2,0),"")</f>
        <v/>
      </c>
      <c r="J2871" s="84" t="str">
        <f>+IFERROR(VLOOKUP(D2871,Conceptos_Analítica_contraloría[#All],3,0),"")</f>
        <v/>
      </c>
    </row>
    <row r="2872" spans="3:10" ht="18.75" customHeight="1" x14ac:dyDescent="0.35">
      <c r="C2872" s="100" t="str">
        <f>IF(OR(Fact_Analitica[[#This Row], [Año]]="",Fact_Analitica[[#This Row], [Mes]]=""),"",DATE(A2872,MATCH(B2872,{"enero","febrero","marzo","abril","mayo","junio","julio","agosto","septiembre","octubre","noviembre","diciembre"},0)+1,0))</f>
        <v/>
      </c>
      <c r="E2872" t="str">
        <f>+IFERROR(VLOOKUP(Fact_Analitica[[#This Row], [Concepto Anterior]],Conceptos_Analítica_contraloría[#All],5,0),"")</f>
        <v/>
      </c>
      <c r="F2872" t="str">
        <f>+IFERROR(VLOOKUP(Fact_Analitica[[#This Row], [Concepto Anterior]],Conceptos_Analítica_contraloría[#All],7,0),"")</f>
        <v/>
      </c>
      <c r="I2872" t="str">
        <f>+IFERROR(VLOOKUP(D2872,Conceptos_Analítica_contraloría[#All],2,0),"")</f>
        <v/>
      </c>
      <c r="J2872" s="84" t="str">
        <f>+IFERROR(VLOOKUP(D2872,Conceptos_Analítica_contraloría[#All],3,0),"")</f>
        <v/>
      </c>
    </row>
    <row r="2873" spans="3:10" ht="18.75" customHeight="1" x14ac:dyDescent="0.35">
      <c r="C2873" s="100" t="str">
        <f>IF(OR(Fact_Analitica[[#This Row], [Año]]="",Fact_Analitica[[#This Row], [Mes]]=""),"",DATE(A2873,MATCH(B2873,{"enero","febrero","marzo","abril","mayo","junio","julio","agosto","septiembre","octubre","noviembre","diciembre"},0)+1,0))</f>
        <v/>
      </c>
      <c r="E2873" t="str">
        <f>+IFERROR(VLOOKUP(Fact_Analitica[[#This Row], [Concepto Anterior]],Conceptos_Analítica_contraloría[#All],5,0),"")</f>
        <v/>
      </c>
      <c r="F2873" t="str">
        <f>+IFERROR(VLOOKUP(Fact_Analitica[[#This Row], [Concepto Anterior]],Conceptos_Analítica_contraloría[#All],7,0),"")</f>
        <v/>
      </c>
      <c r="I2873" t="str">
        <f>+IFERROR(VLOOKUP(D2873,Conceptos_Analítica_contraloría[#All],2,0),"")</f>
        <v/>
      </c>
      <c r="J2873" s="84" t="str">
        <f>+IFERROR(VLOOKUP(D2873,Conceptos_Analítica_contraloría[#All],3,0),"")</f>
        <v/>
      </c>
    </row>
    <row r="2874" spans="3:10" ht="18.75" customHeight="1" x14ac:dyDescent="0.35">
      <c r="C2874" s="100" t="str">
        <f>IF(OR(Fact_Analitica[[#This Row], [Año]]="",Fact_Analitica[[#This Row], [Mes]]=""),"",DATE(A2874,MATCH(B2874,{"enero","febrero","marzo","abril","mayo","junio","julio","agosto","septiembre","octubre","noviembre","diciembre"},0)+1,0))</f>
        <v/>
      </c>
      <c r="E2874" t="str">
        <f>+IFERROR(VLOOKUP(Fact_Analitica[[#This Row], [Concepto Anterior]],Conceptos_Analítica_contraloría[#All],5,0),"")</f>
        <v/>
      </c>
      <c r="F2874" t="str">
        <f>+IFERROR(VLOOKUP(Fact_Analitica[[#This Row], [Concepto Anterior]],Conceptos_Analítica_contraloría[#All],7,0),"")</f>
        <v/>
      </c>
      <c r="I2874" t="str">
        <f>+IFERROR(VLOOKUP(D2874,Conceptos_Analítica_contraloría[#All],2,0),"")</f>
        <v/>
      </c>
      <c r="J2874" s="84" t="str">
        <f>+IFERROR(VLOOKUP(D2874,Conceptos_Analítica_contraloría[#All],3,0),"")</f>
        <v/>
      </c>
    </row>
    <row r="2875" spans="3:10" ht="18.75" customHeight="1" x14ac:dyDescent="0.35">
      <c r="C2875" s="100" t="str">
        <f>IF(OR(Fact_Analitica[[#This Row], [Año]]="",Fact_Analitica[[#This Row], [Mes]]=""),"",DATE(A2875,MATCH(B2875,{"enero","febrero","marzo","abril","mayo","junio","julio","agosto","septiembre","octubre","noviembre","diciembre"},0)+1,0))</f>
        <v/>
      </c>
      <c r="E2875" t="str">
        <f>+IFERROR(VLOOKUP(Fact_Analitica[[#This Row], [Concepto Anterior]],Conceptos_Analítica_contraloría[#All],5,0),"")</f>
        <v/>
      </c>
      <c r="F2875" t="str">
        <f>+IFERROR(VLOOKUP(Fact_Analitica[[#This Row], [Concepto Anterior]],Conceptos_Analítica_contraloría[#All],7,0),"")</f>
        <v/>
      </c>
      <c r="I2875" t="str">
        <f>+IFERROR(VLOOKUP(D2875,Conceptos_Analítica_contraloría[#All],2,0),"")</f>
        <v/>
      </c>
      <c r="J2875" s="84" t="str">
        <f>+IFERROR(VLOOKUP(D2875,Conceptos_Analítica_contraloría[#All],3,0),"")</f>
        <v/>
      </c>
    </row>
    <row r="2876" spans="3:10" ht="18.75" customHeight="1" x14ac:dyDescent="0.35">
      <c r="C2876" s="100" t="str">
        <f>IF(OR(Fact_Analitica[[#This Row], [Año]]="",Fact_Analitica[[#This Row], [Mes]]=""),"",DATE(A2876,MATCH(B2876,{"enero","febrero","marzo","abril","mayo","junio","julio","agosto","septiembre","octubre","noviembre","diciembre"},0)+1,0))</f>
        <v/>
      </c>
      <c r="E2876" t="str">
        <f>+IFERROR(VLOOKUP(Fact_Analitica[[#This Row], [Concepto Anterior]],Conceptos_Analítica_contraloría[#All],5,0),"")</f>
        <v/>
      </c>
      <c r="F2876" t="str">
        <f>+IFERROR(VLOOKUP(Fact_Analitica[[#This Row], [Concepto Anterior]],Conceptos_Analítica_contraloría[#All],7,0),"")</f>
        <v/>
      </c>
      <c r="I2876" t="str">
        <f>+IFERROR(VLOOKUP(D2876,Conceptos_Analítica_contraloría[#All],2,0),"")</f>
        <v/>
      </c>
      <c r="J2876" s="84" t="str">
        <f>+IFERROR(VLOOKUP(D2876,Conceptos_Analítica_contraloría[#All],3,0),"")</f>
        <v/>
      </c>
    </row>
    <row r="2877" spans="3:10" ht="18.75" customHeight="1" x14ac:dyDescent="0.35">
      <c r="C2877" s="100" t="str">
        <f>IF(OR(Fact_Analitica[[#This Row], [Año]]="",Fact_Analitica[[#This Row], [Mes]]=""),"",DATE(A2877,MATCH(B2877,{"enero","febrero","marzo","abril","mayo","junio","julio","agosto","septiembre","octubre","noviembre","diciembre"},0)+1,0))</f>
        <v/>
      </c>
      <c r="E2877" t="str">
        <f>+IFERROR(VLOOKUP(Fact_Analitica[[#This Row], [Concepto Anterior]],Conceptos_Analítica_contraloría[#All],5,0),"")</f>
        <v/>
      </c>
      <c r="F2877" t="str">
        <f>+IFERROR(VLOOKUP(Fact_Analitica[[#This Row], [Concepto Anterior]],Conceptos_Analítica_contraloría[#All],7,0),"")</f>
        <v/>
      </c>
      <c r="I2877" t="str">
        <f>+IFERROR(VLOOKUP(D2877,Conceptos_Analítica_contraloría[#All],2,0),"")</f>
        <v/>
      </c>
      <c r="J2877" s="84" t="str">
        <f>+IFERROR(VLOOKUP(D2877,Conceptos_Analítica_contraloría[#All],3,0),"")</f>
        <v/>
      </c>
    </row>
    <row r="2878" spans="3:10" ht="18.75" customHeight="1" x14ac:dyDescent="0.35">
      <c r="C2878" s="100" t="str">
        <f>IF(OR(Fact_Analitica[[#This Row], [Año]]="",Fact_Analitica[[#This Row], [Mes]]=""),"",DATE(A2878,MATCH(B2878,{"enero","febrero","marzo","abril","mayo","junio","julio","agosto","septiembre","octubre","noviembre","diciembre"},0)+1,0))</f>
        <v/>
      </c>
      <c r="E2878" t="str">
        <f>+IFERROR(VLOOKUP(Fact_Analitica[[#This Row], [Concepto Anterior]],Conceptos_Analítica_contraloría[#All],5,0),"")</f>
        <v/>
      </c>
      <c r="F2878" t="str">
        <f>+IFERROR(VLOOKUP(Fact_Analitica[[#This Row], [Concepto Anterior]],Conceptos_Analítica_contraloría[#All],7,0),"")</f>
        <v/>
      </c>
      <c r="I2878" t="str">
        <f>+IFERROR(VLOOKUP(D2878,Conceptos_Analítica_contraloría[#All],2,0),"")</f>
        <v/>
      </c>
      <c r="J2878" s="84" t="str">
        <f>+IFERROR(VLOOKUP(D2878,Conceptos_Analítica_contraloría[#All],3,0),"")</f>
        <v/>
      </c>
    </row>
    <row r="2879" spans="3:10" ht="18.75" customHeight="1" x14ac:dyDescent="0.35">
      <c r="C2879" s="100" t="str">
        <f>IF(OR(Fact_Analitica[[#This Row], [Año]]="",Fact_Analitica[[#This Row], [Mes]]=""),"",DATE(A2879,MATCH(B2879,{"enero","febrero","marzo","abril","mayo","junio","julio","agosto","septiembre","octubre","noviembre","diciembre"},0)+1,0))</f>
        <v/>
      </c>
      <c r="E2879" t="str">
        <f>+IFERROR(VLOOKUP(Fact_Analitica[[#This Row], [Concepto Anterior]],Conceptos_Analítica_contraloría[#All],5,0),"")</f>
        <v/>
      </c>
      <c r="F2879" t="str">
        <f>+IFERROR(VLOOKUP(Fact_Analitica[[#This Row], [Concepto Anterior]],Conceptos_Analítica_contraloría[#All],7,0),"")</f>
        <v/>
      </c>
      <c r="I2879" t="str">
        <f>+IFERROR(VLOOKUP(D2879,Conceptos_Analítica_contraloría[#All],2,0),"")</f>
        <v/>
      </c>
      <c r="J2879" s="84" t="str">
        <f>+IFERROR(VLOOKUP(D2879,Conceptos_Analítica_contraloría[#All],3,0),"")</f>
        <v/>
      </c>
    </row>
    <row r="2880" spans="3:10" ht="18.75" customHeight="1" x14ac:dyDescent="0.35">
      <c r="C2880" s="100" t="str">
        <f>IF(OR(Fact_Analitica[[#This Row], [Año]]="",Fact_Analitica[[#This Row], [Mes]]=""),"",DATE(A2880,MATCH(B2880,{"enero","febrero","marzo","abril","mayo","junio","julio","agosto","septiembre","octubre","noviembre","diciembre"},0)+1,0))</f>
        <v/>
      </c>
      <c r="E2880" t="str">
        <f>+IFERROR(VLOOKUP(Fact_Analitica[[#This Row], [Concepto Anterior]],Conceptos_Analítica_contraloría[#All],5,0),"")</f>
        <v/>
      </c>
      <c r="F2880" t="str">
        <f>+IFERROR(VLOOKUP(Fact_Analitica[[#This Row], [Concepto Anterior]],Conceptos_Analítica_contraloría[#All],7,0),"")</f>
        <v/>
      </c>
      <c r="I2880" t="str">
        <f>+IFERROR(VLOOKUP(D2880,Conceptos_Analítica_contraloría[#All],2,0),"")</f>
        <v/>
      </c>
      <c r="J2880" s="84" t="str">
        <f>+IFERROR(VLOOKUP(D2880,Conceptos_Analítica_contraloría[#All],3,0),"")</f>
        <v/>
      </c>
    </row>
    <row r="2881" spans="3:10" ht="18.75" customHeight="1" x14ac:dyDescent="0.35">
      <c r="C2881" s="100" t="str">
        <f>IF(OR(Fact_Analitica[[#This Row], [Año]]="",Fact_Analitica[[#This Row], [Mes]]=""),"",DATE(A2881,MATCH(B2881,{"enero","febrero","marzo","abril","mayo","junio","julio","agosto","septiembre","octubre","noviembre","diciembre"},0)+1,0))</f>
        <v/>
      </c>
      <c r="E2881" t="str">
        <f>+IFERROR(VLOOKUP(Fact_Analitica[[#This Row], [Concepto Anterior]],Conceptos_Analítica_contraloría[#All],5,0),"")</f>
        <v/>
      </c>
      <c r="F2881" t="str">
        <f>+IFERROR(VLOOKUP(Fact_Analitica[[#This Row], [Concepto Anterior]],Conceptos_Analítica_contraloría[#All],7,0),"")</f>
        <v/>
      </c>
      <c r="I2881" t="str">
        <f>+IFERROR(VLOOKUP(D2881,Conceptos_Analítica_contraloría[#All],2,0),"")</f>
        <v/>
      </c>
      <c r="J2881" s="84" t="str">
        <f>+IFERROR(VLOOKUP(D2881,Conceptos_Analítica_contraloría[#All],3,0),"")</f>
        <v/>
      </c>
    </row>
    <row r="2882" spans="3:10" ht="18.75" customHeight="1" x14ac:dyDescent="0.35">
      <c r="C2882" s="100" t="str">
        <f>IF(OR(Fact_Analitica[[#This Row], [Año]]="",Fact_Analitica[[#This Row], [Mes]]=""),"",DATE(A2882,MATCH(B2882,{"enero","febrero","marzo","abril","mayo","junio","julio","agosto","septiembre","octubre","noviembre","diciembre"},0)+1,0))</f>
        <v/>
      </c>
      <c r="E2882" t="str">
        <f>+IFERROR(VLOOKUP(Fact_Analitica[[#This Row], [Concepto Anterior]],Conceptos_Analítica_contraloría[#All],5,0),"")</f>
        <v/>
      </c>
      <c r="F2882" t="str">
        <f>+IFERROR(VLOOKUP(Fact_Analitica[[#This Row], [Concepto Anterior]],Conceptos_Analítica_contraloría[#All],7,0),"")</f>
        <v/>
      </c>
      <c r="I2882" t="str">
        <f>+IFERROR(VLOOKUP(D2882,Conceptos_Analítica_contraloría[#All],2,0),"")</f>
        <v/>
      </c>
      <c r="J2882" s="84" t="str">
        <f>+IFERROR(VLOOKUP(D2882,Conceptos_Analítica_contraloría[#All],3,0),"")</f>
        <v/>
      </c>
    </row>
    <row r="2883" spans="3:10" ht="18.75" customHeight="1" x14ac:dyDescent="0.35">
      <c r="C2883" s="100" t="str">
        <f>IF(OR(Fact_Analitica[[#This Row], [Año]]="",Fact_Analitica[[#This Row], [Mes]]=""),"",DATE(A2883,MATCH(B2883,{"enero","febrero","marzo","abril","mayo","junio","julio","agosto","septiembre","octubre","noviembre","diciembre"},0)+1,0))</f>
        <v/>
      </c>
      <c r="E2883" t="str">
        <f>+IFERROR(VLOOKUP(Fact_Analitica[[#This Row], [Concepto Anterior]],Conceptos_Analítica_contraloría[#All],5,0),"")</f>
        <v/>
      </c>
      <c r="F2883" t="str">
        <f>+IFERROR(VLOOKUP(Fact_Analitica[[#This Row], [Concepto Anterior]],Conceptos_Analítica_contraloría[#All],7,0),"")</f>
        <v/>
      </c>
      <c r="I2883" t="str">
        <f>+IFERROR(VLOOKUP(D2883,Conceptos_Analítica_contraloría[#All],2,0),"")</f>
        <v/>
      </c>
      <c r="J2883" s="84" t="str">
        <f>+IFERROR(VLOOKUP(D2883,Conceptos_Analítica_contraloría[#All],3,0),"")</f>
        <v/>
      </c>
    </row>
    <row r="2884" spans="3:10" ht="18.75" customHeight="1" x14ac:dyDescent="0.35">
      <c r="C2884" s="100" t="str">
        <f>IF(OR(Fact_Analitica[[#This Row], [Año]]="",Fact_Analitica[[#This Row], [Mes]]=""),"",DATE(A2884,MATCH(B2884,{"enero","febrero","marzo","abril","mayo","junio","julio","agosto","septiembre","octubre","noviembre","diciembre"},0)+1,0))</f>
        <v/>
      </c>
      <c r="E2884" t="str">
        <f>+IFERROR(VLOOKUP(Fact_Analitica[[#This Row], [Concepto Anterior]],Conceptos_Analítica_contraloría[#All],5,0),"")</f>
        <v/>
      </c>
      <c r="F2884" t="str">
        <f>+IFERROR(VLOOKUP(Fact_Analitica[[#This Row], [Concepto Anterior]],Conceptos_Analítica_contraloría[#All],7,0),"")</f>
        <v/>
      </c>
      <c r="I2884" t="str">
        <f>+IFERROR(VLOOKUP(D2884,Conceptos_Analítica_contraloría[#All],2,0),"")</f>
        <v/>
      </c>
      <c r="J2884" s="84" t="str">
        <f>+IFERROR(VLOOKUP(D2884,Conceptos_Analítica_contraloría[#All],3,0),"")</f>
        <v/>
      </c>
    </row>
    <row r="2885" spans="3:10" ht="18.75" customHeight="1" x14ac:dyDescent="0.35">
      <c r="C2885" s="100" t="str">
        <f>IF(OR(Fact_Analitica[[#This Row], [Año]]="",Fact_Analitica[[#This Row], [Mes]]=""),"",DATE(A2885,MATCH(B2885,{"enero","febrero","marzo","abril","mayo","junio","julio","agosto","septiembre","octubre","noviembre","diciembre"},0)+1,0))</f>
        <v/>
      </c>
      <c r="E2885" t="str">
        <f>+IFERROR(VLOOKUP(Fact_Analitica[[#This Row], [Concepto Anterior]],Conceptos_Analítica_contraloría[#All],5,0),"")</f>
        <v/>
      </c>
      <c r="F2885" t="str">
        <f>+IFERROR(VLOOKUP(Fact_Analitica[[#This Row], [Concepto Anterior]],Conceptos_Analítica_contraloría[#All],7,0),"")</f>
        <v/>
      </c>
      <c r="I2885" t="str">
        <f>+IFERROR(VLOOKUP(D2885,Conceptos_Analítica_contraloría[#All],2,0),"")</f>
        <v/>
      </c>
      <c r="J2885" s="84" t="str">
        <f>+IFERROR(VLOOKUP(D2885,Conceptos_Analítica_contraloría[#All],3,0),"")</f>
        <v/>
      </c>
    </row>
    <row r="2886" spans="3:10" ht="18.75" customHeight="1" x14ac:dyDescent="0.35">
      <c r="C2886" s="100" t="str">
        <f>IF(OR(Fact_Analitica[[#This Row], [Año]]="",Fact_Analitica[[#This Row], [Mes]]=""),"",DATE(A2886,MATCH(B2886,{"enero","febrero","marzo","abril","mayo","junio","julio","agosto","septiembre","octubre","noviembre","diciembre"},0)+1,0))</f>
        <v/>
      </c>
      <c r="E2886" t="str">
        <f>+IFERROR(VLOOKUP(Fact_Analitica[[#This Row], [Concepto Anterior]],Conceptos_Analítica_contraloría[#All],5,0),"")</f>
        <v/>
      </c>
      <c r="F2886" t="str">
        <f>+IFERROR(VLOOKUP(Fact_Analitica[[#This Row], [Concepto Anterior]],Conceptos_Analítica_contraloría[#All],7,0),"")</f>
        <v/>
      </c>
      <c r="I2886" t="str">
        <f>+IFERROR(VLOOKUP(D2886,Conceptos_Analítica_contraloría[#All],2,0),"")</f>
        <v/>
      </c>
      <c r="J2886" s="84" t="str">
        <f>+IFERROR(VLOOKUP(D2886,Conceptos_Analítica_contraloría[#All],3,0),"")</f>
        <v/>
      </c>
    </row>
    <row r="2887" spans="3:10" ht="18.75" customHeight="1" x14ac:dyDescent="0.35">
      <c r="C2887" s="100" t="str">
        <f>IF(OR(Fact_Analitica[[#This Row], [Año]]="",Fact_Analitica[[#This Row], [Mes]]=""),"",DATE(A2887,MATCH(B2887,{"enero","febrero","marzo","abril","mayo","junio","julio","agosto","septiembre","octubre","noviembre","diciembre"},0)+1,0))</f>
        <v/>
      </c>
      <c r="E2887" t="str">
        <f>+IFERROR(VLOOKUP(Fact_Analitica[[#This Row], [Concepto Anterior]],Conceptos_Analítica_contraloría[#All],5,0),"")</f>
        <v/>
      </c>
      <c r="F2887" t="str">
        <f>+IFERROR(VLOOKUP(Fact_Analitica[[#This Row], [Concepto Anterior]],Conceptos_Analítica_contraloría[#All],7,0),"")</f>
        <v/>
      </c>
      <c r="I2887" t="str">
        <f>+IFERROR(VLOOKUP(D2887,Conceptos_Analítica_contraloría[#All],2,0),"")</f>
        <v/>
      </c>
      <c r="J2887" s="84" t="str">
        <f>+IFERROR(VLOOKUP(D2887,Conceptos_Analítica_contraloría[#All],3,0),"")</f>
        <v/>
      </c>
    </row>
    <row r="2888" spans="3:10" ht="18.75" customHeight="1" x14ac:dyDescent="0.35">
      <c r="C2888" s="100" t="str">
        <f>IF(OR(Fact_Analitica[[#This Row], [Año]]="",Fact_Analitica[[#This Row], [Mes]]=""),"",DATE(A2888,MATCH(B2888,{"enero","febrero","marzo","abril","mayo","junio","julio","agosto","septiembre","octubre","noviembre","diciembre"},0)+1,0))</f>
        <v/>
      </c>
      <c r="E2888" t="str">
        <f>+IFERROR(VLOOKUP(Fact_Analitica[[#This Row], [Concepto Anterior]],Conceptos_Analítica_contraloría[#All],5,0),"")</f>
        <v/>
      </c>
      <c r="F2888" t="str">
        <f>+IFERROR(VLOOKUP(Fact_Analitica[[#This Row], [Concepto Anterior]],Conceptos_Analítica_contraloría[#All],7,0),"")</f>
        <v/>
      </c>
      <c r="I2888" t="str">
        <f>+IFERROR(VLOOKUP(D2888,Conceptos_Analítica_contraloría[#All],2,0),"")</f>
        <v/>
      </c>
      <c r="J2888" s="84" t="str">
        <f>+IFERROR(VLOOKUP(D2888,Conceptos_Analítica_contraloría[#All],3,0),"")</f>
        <v/>
      </c>
    </row>
    <row r="2889" spans="3:10" ht="18.75" customHeight="1" x14ac:dyDescent="0.35">
      <c r="C2889" s="100" t="str">
        <f>IF(OR(Fact_Analitica[[#This Row], [Año]]="",Fact_Analitica[[#This Row], [Mes]]=""),"",DATE(A2889,MATCH(B2889,{"enero","febrero","marzo","abril","mayo","junio","julio","agosto","septiembre","octubre","noviembre","diciembre"},0)+1,0))</f>
        <v/>
      </c>
      <c r="E2889" t="str">
        <f>+IFERROR(VLOOKUP(Fact_Analitica[[#This Row], [Concepto Anterior]],Conceptos_Analítica_contraloría[#All],5,0),"")</f>
        <v/>
      </c>
      <c r="F2889" t="str">
        <f>+IFERROR(VLOOKUP(Fact_Analitica[[#This Row], [Concepto Anterior]],Conceptos_Analítica_contraloría[#All],7,0),"")</f>
        <v/>
      </c>
      <c r="I2889" t="str">
        <f>+IFERROR(VLOOKUP(D2889,Conceptos_Analítica_contraloría[#All],2,0),"")</f>
        <v/>
      </c>
      <c r="J2889" s="84" t="str">
        <f>+IFERROR(VLOOKUP(D2889,Conceptos_Analítica_contraloría[#All],3,0),"")</f>
        <v/>
      </c>
    </row>
    <row r="2890" spans="3:10" ht="18.75" customHeight="1" x14ac:dyDescent="0.35">
      <c r="C2890" s="100" t="str">
        <f>IF(OR(Fact_Analitica[[#This Row], [Año]]="",Fact_Analitica[[#This Row], [Mes]]=""),"",DATE(A2890,MATCH(B2890,{"enero","febrero","marzo","abril","mayo","junio","julio","agosto","septiembre","octubre","noviembre","diciembre"},0)+1,0))</f>
        <v/>
      </c>
      <c r="E2890" t="str">
        <f>+IFERROR(VLOOKUP(Fact_Analitica[[#This Row], [Concepto Anterior]],Conceptos_Analítica_contraloría[#All],5,0),"")</f>
        <v/>
      </c>
      <c r="F2890" t="str">
        <f>+IFERROR(VLOOKUP(Fact_Analitica[[#This Row], [Concepto Anterior]],Conceptos_Analítica_contraloría[#All],7,0),"")</f>
        <v/>
      </c>
      <c r="I2890" t="str">
        <f>+IFERROR(VLOOKUP(D2890,Conceptos_Analítica_contraloría[#All],2,0),"")</f>
        <v/>
      </c>
      <c r="J2890" s="84" t="str">
        <f>+IFERROR(VLOOKUP(D2890,Conceptos_Analítica_contraloría[#All],3,0),"")</f>
        <v/>
      </c>
    </row>
    <row r="2891" spans="3:10" ht="18.75" customHeight="1" x14ac:dyDescent="0.35">
      <c r="C2891" s="100" t="str">
        <f>IF(OR(Fact_Analitica[[#This Row], [Año]]="",Fact_Analitica[[#This Row], [Mes]]=""),"",DATE(A2891,MATCH(B2891,{"enero","febrero","marzo","abril","mayo","junio","julio","agosto","septiembre","octubre","noviembre","diciembre"},0)+1,0))</f>
        <v/>
      </c>
      <c r="E2891" t="str">
        <f>+IFERROR(VLOOKUP(Fact_Analitica[[#This Row], [Concepto Anterior]],Conceptos_Analítica_contraloría[#All],5,0),"")</f>
        <v/>
      </c>
      <c r="F2891" t="str">
        <f>+IFERROR(VLOOKUP(Fact_Analitica[[#This Row], [Concepto Anterior]],Conceptos_Analítica_contraloría[#All],7,0),"")</f>
        <v/>
      </c>
      <c r="I2891" t="str">
        <f>+IFERROR(VLOOKUP(D2891,Conceptos_Analítica_contraloría[#All],2,0),"")</f>
        <v/>
      </c>
      <c r="J2891" s="84" t="str">
        <f>+IFERROR(VLOOKUP(D2891,Conceptos_Analítica_contraloría[#All],3,0),"")</f>
        <v/>
      </c>
    </row>
    <row r="2892" spans="3:10" ht="18.75" customHeight="1" x14ac:dyDescent="0.35">
      <c r="C2892" s="100" t="str">
        <f>IF(OR(Fact_Analitica[[#This Row], [Año]]="",Fact_Analitica[[#This Row], [Mes]]=""),"",DATE(A2892,MATCH(B2892,{"enero","febrero","marzo","abril","mayo","junio","julio","agosto","septiembre","octubre","noviembre","diciembre"},0)+1,0))</f>
        <v/>
      </c>
      <c r="E2892" t="str">
        <f>+IFERROR(VLOOKUP(Fact_Analitica[[#This Row], [Concepto Anterior]],Conceptos_Analítica_contraloría[#All],5,0),"")</f>
        <v/>
      </c>
      <c r="F2892" t="str">
        <f>+IFERROR(VLOOKUP(Fact_Analitica[[#This Row], [Concepto Anterior]],Conceptos_Analítica_contraloría[#All],7,0),"")</f>
        <v/>
      </c>
      <c r="I2892" t="str">
        <f>+IFERROR(VLOOKUP(D2892,Conceptos_Analítica_contraloría[#All],2,0),"")</f>
        <v/>
      </c>
      <c r="J2892" s="84" t="str">
        <f>+IFERROR(VLOOKUP(D2892,Conceptos_Analítica_contraloría[#All],3,0),"")</f>
        <v/>
      </c>
    </row>
    <row r="2893" spans="3:10" ht="18.75" customHeight="1" x14ac:dyDescent="0.35">
      <c r="C2893" s="100" t="str">
        <f>IF(OR(Fact_Analitica[[#This Row], [Año]]="",Fact_Analitica[[#This Row], [Mes]]=""),"",DATE(A2893,MATCH(B2893,{"enero","febrero","marzo","abril","mayo","junio","julio","agosto","septiembre","octubre","noviembre","diciembre"},0)+1,0))</f>
        <v/>
      </c>
      <c r="E2893" t="str">
        <f>+IFERROR(VLOOKUP(Fact_Analitica[[#This Row], [Concepto Anterior]],Conceptos_Analítica_contraloría[#All],5,0),"")</f>
        <v/>
      </c>
      <c r="F2893" t="str">
        <f>+IFERROR(VLOOKUP(Fact_Analitica[[#This Row], [Concepto Anterior]],Conceptos_Analítica_contraloría[#All],7,0),"")</f>
        <v/>
      </c>
      <c r="I2893" t="str">
        <f>+IFERROR(VLOOKUP(D2893,Conceptos_Analítica_contraloría[#All],2,0),"")</f>
        <v/>
      </c>
      <c r="J2893" s="84" t="str">
        <f>+IFERROR(VLOOKUP(D2893,Conceptos_Analítica_contraloría[#All],3,0),"")</f>
        <v/>
      </c>
    </row>
    <row r="2894" spans="3:10" ht="18.75" customHeight="1" x14ac:dyDescent="0.35">
      <c r="C2894" s="100" t="str">
        <f>IF(OR(Fact_Analitica[[#This Row], [Año]]="",Fact_Analitica[[#This Row], [Mes]]=""),"",DATE(A2894,MATCH(B2894,{"enero","febrero","marzo","abril","mayo","junio","julio","agosto","septiembre","octubre","noviembre","diciembre"},0)+1,0))</f>
        <v/>
      </c>
      <c r="E2894" t="str">
        <f>+IFERROR(VLOOKUP(Fact_Analitica[[#This Row], [Concepto Anterior]],Conceptos_Analítica_contraloría[#All],5,0),"")</f>
        <v/>
      </c>
      <c r="F2894" t="str">
        <f>+IFERROR(VLOOKUP(Fact_Analitica[[#This Row], [Concepto Anterior]],Conceptos_Analítica_contraloría[#All],7,0),"")</f>
        <v/>
      </c>
      <c r="I2894" t="str">
        <f>+IFERROR(VLOOKUP(D2894,Conceptos_Analítica_contraloría[#All],2,0),"")</f>
        <v/>
      </c>
      <c r="J2894" s="84" t="str">
        <f>+IFERROR(VLOOKUP(D2894,Conceptos_Analítica_contraloría[#All],3,0),"")</f>
        <v/>
      </c>
    </row>
    <row r="2895" spans="3:10" ht="18.75" customHeight="1" x14ac:dyDescent="0.35">
      <c r="C2895" s="100" t="str">
        <f>IF(OR(Fact_Analitica[[#This Row], [Año]]="",Fact_Analitica[[#This Row], [Mes]]=""),"",DATE(A2895,MATCH(B2895,{"enero","febrero","marzo","abril","mayo","junio","julio","agosto","septiembre","octubre","noviembre","diciembre"},0)+1,0))</f>
        <v/>
      </c>
      <c r="E2895" t="str">
        <f>+IFERROR(VLOOKUP(Fact_Analitica[[#This Row], [Concepto Anterior]],Conceptos_Analítica_contraloría[#All],5,0),"")</f>
        <v/>
      </c>
      <c r="F2895" t="str">
        <f>+IFERROR(VLOOKUP(Fact_Analitica[[#This Row], [Concepto Anterior]],Conceptos_Analítica_contraloría[#All],7,0),"")</f>
        <v/>
      </c>
      <c r="I2895" t="str">
        <f>+IFERROR(VLOOKUP(D2895,Conceptos_Analítica_contraloría[#All],2,0),"")</f>
        <v/>
      </c>
      <c r="J2895" s="84" t="str">
        <f>+IFERROR(VLOOKUP(D2895,Conceptos_Analítica_contraloría[#All],3,0),"")</f>
        <v/>
      </c>
    </row>
    <row r="2896" spans="3:10" ht="18.75" customHeight="1" x14ac:dyDescent="0.35">
      <c r="C2896" s="100" t="str">
        <f>IF(OR(Fact_Analitica[[#This Row], [Año]]="",Fact_Analitica[[#This Row], [Mes]]=""),"",DATE(A2896,MATCH(B2896,{"enero","febrero","marzo","abril","mayo","junio","julio","agosto","septiembre","octubre","noviembre","diciembre"},0)+1,0))</f>
        <v/>
      </c>
      <c r="E2896" t="str">
        <f>+IFERROR(VLOOKUP(Fact_Analitica[[#This Row], [Concepto Anterior]],Conceptos_Analítica_contraloría[#All],5,0),"")</f>
        <v/>
      </c>
      <c r="F2896" t="str">
        <f>+IFERROR(VLOOKUP(Fact_Analitica[[#This Row], [Concepto Anterior]],Conceptos_Analítica_contraloría[#All],7,0),"")</f>
        <v/>
      </c>
      <c r="I2896" t="str">
        <f>+IFERROR(VLOOKUP(D2896,Conceptos_Analítica_contraloría[#All],2,0),"")</f>
        <v/>
      </c>
      <c r="J2896" s="84" t="str">
        <f>+IFERROR(VLOOKUP(D2896,Conceptos_Analítica_contraloría[#All],3,0),"")</f>
        <v/>
      </c>
    </row>
    <row r="2897" spans="3:10" ht="18.75" customHeight="1" x14ac:dyDescent="0.35">
      <c r="C2897" s="100" t="str">
        <f>IF(OR(Fact_Analitica[[#This Row], [Año]]="",Fact_Analitica[[#This Row], [Mes]]=""),"",DATE(A2897,MATCH(B2897,{"enero","febrero","marzo","abril","mayo","junio","julio","agosto","septiembre","octubre","noviembre","diciembre"},0)+1,0))</f>
        <v/>
      </c>
      <c r="E2897" t="str">
        <f>+IFERROR(VLOOKUP(Fact_Analitica[[#This Row], [Concepto Anterior]],Conceptos_Analítica_contraloría[#All],5,0),"")</f>
        <v/>
      </c>
      <c r="F2897" t="str">
        <f>+IFERROR(VLOOKUP(Fact_Analitica[[#This Row], [Concepto Anterior]],Conceptos_Analítica_contraloría[#All],7,0),"")</f>
        <v/>
      </c>
      <c r="I2897" t="str">
        <f>+IFERROR(VLOOKUP(D2897,Conceptos_Analítica_contraloría[#All],2,0),"")</f>
        <v/>
      </c>
      <c r="J2897" s="84" t="str">
        <f>+IFERROR(VLOOKUP(D2897,Conceptos_Analítica_contraloría[#All],3,0),"")</f>
        <v/>
      </c>
    </row>
    <row r="2898" spans="3:10" ht="18.75" customHeight="1" x14ac:dyDescent="0.35">
      <c r="C2898" s="100" t="str">
        <f>IF(OR(Fact_Analitica[[#This Row], [Año]]="",Fact_Analitica[[#This Row], [Mes]]=""),"",DATE(A2898,MATCH(B2898,{"enero","febrero","marzo","abril","mayo","junio","julio","agosto","septiembre","octubre","noviembre","diciembre"},0)+1,0))</f>
        <v/>
      </c>
      <c r="E2898" t="str">
        <f>+IFERROR(VLOOKUP(Fact_Analitica[[#This Row], [Concepto Anterior]],Conceptos_Analítica_contraloría[#All],5,0),"")</f>
        <v/>
      </c>
      <c r="F2898" t="str">
        <f>+IFERROR(VLOOKUP(Fact_Analitica[[#This Row], [Concepto Anterior]],Conceptos_Analítica_contraloría[#All],7,0),"")</f>
        <v/>
      </c>
      <c r="I2898" t="str">
        <f>+IFERROR(VLOOKUP(D2898,Conceptos_Analítica_contraloría[#All],2,0),"")</f>
        <v/>
      </c>
      <c r="J2898" s="84" t="str">
        <f>+IFERROR(VLOOKUP(D2898,Conceptos_Analítica_contraloría[#All],3,0),"")</f>
        <v/>
      </c>
    </row>
    <row r="2899" spans="3:10" ht="18.75" customHeight="1" x14ac:dyDescent="0.35">
      <c r="C2899" s="100" t="str">
        <f>IF(OR(Fact_Analitica[[#This Row], [Año]]="",Fact_Analitica[[#This Row], [Mes]]=""),"",DATE(A2899,MATCH(B2899,{"enero","febrero","marzo","abril","mayo","junio","julio","agosto","septiembre","octubre","noviembre","diciembre"},0)+1,0))</f>
        <v/>
      </c>
      <c r="E2899" t="str">
        <f>+IFERROR(VLOOKUP(Fact_Analitica[[#This Row], [Concepto Anterior]],Conceptos_Analítica_contraloría[#All],5,0),"")</f>
        <v/>
      </c>
      <c r="F2899" t="str">
        <f>+IFERROR(VLOOKUP(Fact_Analitica[[#This Row], [Concepto Anterior]],Conceptos_Analítica_contraloría[#All],7,0),"")</f>
        <v/>
      </c>
      <c r="I2899" t="str">
        <f>+IFERROR(VLOOKUP(D2899,Conceptos_Analítica_contraloría[#All],2,0),"")</f>
        <v/>
      </c>
      <c r="J2899" s="84" t="str">
        <f>+IFERROR(VLOOKUP(D2899,Conceptos_Analítica_contraloría[#All],3,0),"")</f>
        <v/>
      </c>
    </row>
    <row r="2900" spans="3:10" ht="18.75" customHeight="1" x14ac:dyDescent="0.35">
      <c r="C2900" s="100" t="str">
        <f>IF(OR(Fact_Analitica[[#This Row], [Año]]="",Fact_Analitica[[#This Row], [Mes]]=""),"",DATE(A2900,MATCH(B2900,{"enero","febrero","marzo","abril","mayo","junio","julio","agosto","septiembre","octubre","noviembre","diciembre"},0)+1,0))</f>
        <v/>
      </c>
      <c r="E2900" t="str">
        <f>+IFERROR(VLOOKUP(Fact_Analitica[[#This Row], [Concepto Anterior]],Conceptos_Analítica_contraloría[#All],5,0),"")</f>
        <v/>
      </c>
      <c r="F2900" t="str">
        <f>+IFERROR(VLOOKUP(Fact_Analitica[[#This Row], [Concepto Anterior]],Conceptos_Analítica_contraloría[#All],7,0),"")</f>
        <v/>
      </c>
      <c r="I2900" t="str">
        <f>+IFERROR(VLOOKUP(D2900,Conceptos_Analítica_contraloría[#All],2,0),"")</f>
        <v/>
      </c>
      <c r="J2900" s="84" t="str">
        <f>+IFERROR(VLOOKUP(D2900,Conceptos_Analítica_contraloría[#All],3,0),"")</f>
        <v/>
      </c>
    </row>
    <row r="2901" spans="3:10" ht="18.75" customHeight="1" x14ac:dyDescent="0.35">
      <c r="C2901" s="100" t="str">
        <f>IF(OR(Fact_Analitica[[#This Row], [Año]]="",Fact_Analitica[[#This Row], [Mes]]=""),"",DATE(A2901,MATCH(B2901,{"enero","febrero","marzo","abril","mayo","junio","julio","agosto","septiembre","octubre","noviembre","diciembre"},0)+1,0))</f>
        <v/>
      </c>
      <c r="E2901" t="str">
        <f>+IFERROR(VLOOKUP(Fact_Analitica[[#This Row], [Concepto Anterior]],Conceptos_Analítica_contraloría[#All],5,0),"")</f>
        <v/>
      </c>
      <c r="F2901" t="str">
        <f>+IFERROR(VLOOKUP(Fact_Analitica[[#This Row], [Concepto Anterior]],Conceptos_Analítica_contraloría[#All],7,0),"")</f>
        <v/>
      </c>
      <c r="I2901" t="str">
        <f>+IFERROR(VLOOKUP(D2901,Conceptos_Analítica_contraloría[#All],2,0),"")</f>
        <v/>
      </c>
      <c r="J2901" s="84" t="str">
        <f>+IFERROR(VLOOKUP(D2901,Conceptos_Analítica_contraloría[#All],3,0),"")</f>
        <v/>
      </c>
    </row>
    <row r="2902" spans="3:10" ht="18.75" customHeight="1" x14ac:dyDescent="0.35">
      <c r="C2902" s="100" t="str">
        <f>IF(OR(Fact_Analitica[[#This Row], [Año]]="",Fact_Analitica[[#This Row], [Mes]]=""),"",DATE(A2902,MATCH(B2902,{"enero","febrero","marzo","abril","mayo","junio","julio","agosto","septiembre","octubre","noviembre","diciembre"},0)+1,0))</f>
        <v/>
      </c>
      <c r="E2902" t="str">
        <f>+IFERROR(VLOOKUP(Fact_Analitica[[#This Row], [Concepto Anterior]],Conceptos_Analítica_contraloría[#All],5,0),"")</f>
        <v/>
      </c>
      <c r="F2902" t="str">
        <f>+IFERROR(VLOOKUP(Fact_Analitica[[#This Row], [Concepto Anterior]],Conceptos_Analítica_contraloría[#All],7,0),"")</f>
        <v/>
      </c>
      <c r="I2902" t="str">
        <f>+IFERROR(VLOOKUP(D2902,Conceptos_Analítica_contraloría[#All],2,0),"")</f>
        <v/>
      </c>
      <c r="J2902" s="84" t="str">
        <f>+IFERROR(VLOOKUP(D2902,Conceptos_Analítica_contraloría[#All],3,0),"")</f>
        <v/>
      </c>
    </row>
    <row r="2903" spans="3:10" ht="18.75" customHeight="1" x14ac:dyDescent="0.35">
      <c r="C2903" s="100" t="str">
        <f>IF(OR(Fact_Analitica[[#This Row], [Año]]="",Fact_Analitica[[#This Row], [Mes]]=""),"",DATE(A2903,MATCH(B2903,{"enero","febrero","marzo","abril","mayo","junio","julio","agosto","septiembre","octubre","noviembre","diciembre"},0)+1,0))</f>
        <v/>
      </c>
      <c r="E2903" t="str">
        <f>+IFERROR(VLOOKUP(Fact_Analitica[[#This Row], [Concepto Anterior]],Conceptos_Analítica_contraloría[#All],5,0),"")</f>
        <v/>
      </c>
      <c r="F2903" t="str">
        <f>+IFERROR(VLOOKUP(Fact_Analitica[[#This Row], [Concepto Anterior]],Conceptos_Analítica_contraloría[#All],7,0),"")</f>
        <v/>
      </c>
      <c r="I2903" t="str">
        <f>+IFERROR(VLOOKUP(D2903,Conceptos_Analítica_contraloría[#All],2,0),"")</f>
        <v/>
      </c>
      <c r="J2903" s="84" t="str">
        <f>+IFERROR(VLOOKUP(D2903,Conceptos_Analítica_contraloría[#All],3,0),"")</f>
        <v/>
      </c>
    </row>
    <row r="2904" spans="3:10" ht="18.75" customHeight="1" x14ac:dyDescent="0.35">
      <c r="C2904" s="100" t="str">
        <f>IF(OR(Fact_Analitica[[#This Row], [Año]]="",Fact_Analitica[[#This Row], [Mes]]=""),"",DATE(A2904,MATCH(B2904,{"enero","febrero","marzo","abril","mayo","junio","julio","agosto","septiembre","octubre","noviembre","diciembre"},0)+1,0))</f>
        <v/>
      </c>
      <c r="E2904" t="str">
        <f>+IFERROR(VLOOKUP(Fact_Analitica[[#This Row], [Concepto Anterior]],Conceptos_Analítica_contraloría[#All],5,0),"")</f>
        <v/>
      </c>
      <c r="F2904" t="str">
        <f>+IFERROR(VLOOKUP(Fact_Analitica[[#This Row], [Concepto Anterior]],Conceptos_Analítica_contraloría[#All],7,0),"")</f>
        <v/>
      </c>
      <c r="I2904" t="str">
        <f>+IFERROR(VLOOKUP(D2904,Conceptos_Analítica_contraloría[#All],2,0),"")</f>
        <v/>
      </c>
      <c r="J2904" s="84" t="str">
        <f>+IFERROR(VLOOKUP(D2904,Conceptos_Analítica_contraloría[#All],3,0),"")</f>
        <v/>
      </c>
    </row>
    <row r="2905" spans="3:10" ht="18.75" customHeight="1" x14ac:dyDescent="0.35">
      <c r="C2905" s="100" t="str">
        <f>IF(OR(Fact_Analitica[[#This Row], [Año]]="",Fact_Analitica[[#This Row], [Mes]]=""),"",DATE(A2905,MATCH(B2905,{"enero","febrero","marzo","abril","mayo","junio","julio","agosto","septiembre","octubre","noviembre","diciembre"},0)+1,0))</f>
        <v/>
      </c>
      <c r="E2905" t="str">
        <f>+IFERROR(VLOOKUP(Fact_Analitica[[#This Row], [Concepto Anterior]],Conceptos_Analítica_contraloría[#All],5,0),"")</f>
        <v/>
      </c>
      <c r="F2905" t="str">
        <f>+IFERROR(VLOOKUP(Fact_Analitica[[#This Row], [Concepto Anterior]],Conceptos_Analítica_contraloría[#All],7,0),"")</f>
        <v/>
      </c>
      <c r="I2905" t="str">
        <f>+IFERROR(VLOOKUP(D2905,Conceptos_Analítica_contraloría[#All],2,0),"")</f>
        <v/>
      </c>
      <c r="J2905" s="84" t="str">
        <f>+IFERROR(VLOOKUP(D2905,Conceptos_Analítica_contraloría[#All],3,0),"")</f>
        <v/>
      </c>
    </row>
    <row r="2906" spans="3:10" ht="18.75" customHeight="1" x14ac:dyDescent="0.35">
      <c r="C2906" s="100" t="str">
        <f>IF(OR(Fact_Analitica[[#This Row], [Año]]="",Fact_Analitica[[#This Row], [Mes]]=""),"",DATE(A2906,MATCH(B2906,{"enero","febrero","marzo","abril","mayo","junio","julio","agosto","septiembre","octubre","noviembre","diciembre"},0)+1,0))</f>
        <v/>
      </c>
      <c r="E2906" t="str">
        <f>+IFERROR(VLOOKUP(Fact_Analitica[[#This Row], [Concepto Anterior]],Conceptos_Analítica_contraloría[#All],5,0),"")</f>
        <v/>
      </c>
      <c r="F2906" t="str">
        <f>+IFERROR(VLOOKUP(Fact_Analitica[[#This Row], [Concepto Anterior]],Conceptos_Analítica_contraloría[#All],7,0),"")</f>
        <v/>
      </c>
      <c r="I2906" t="str">
        <f>+IFERROR(VLOOKUP(D2906,Conceptos_Analítica_contraloría[#All],2,0),"")</f>
        <v/>
      </c>
      <c r="J2906" s="84" t="str">
        <f>+IFERROR(VLOOKUP(D2906,Conceptos_Analítica_contraloría[#All],3,0),"")</f>
        <v/>
      </c>
    </row>
    <row r="2907" spans="3:10" ht="18.75" customHeight="1" x14ac:dyDescent="0.35">
      <c r="C2907" s="100" t="str">
        <f>IF(OR(Fact_Analitica[[#This Row], [Año]]="",Fact_Analitica[[#This Row], [Mes]]=""),"",DATE(A2907,MATCH(B2907,{"enero","febrero","marzo","abril","mayo","junio","julio","agosto","septiembre","octubre","noviembre","diciembre"},0)+1,0))</f>
        <v/>
      </c>
      <c r="E2907" t="str">
        <f>+IFERROR(VLOOKUP(Fact_Analitica[[#This Row], [Concepto Anterior]],Conceptos_Analítica_contraloría[#All],5,0),"")</f>
        <v/>
      </c>
      <c r="F2907" t="str">
        <f>+IFERROR(VLOOKUP(Fact_Analitica[[#This Row], [Concepto Anterior]],Conceptos_Analítica_contraloría[#All],7,0),"")</f>
        <v/>
      </c>
      <c r="I2907" t="str">
        <f>+IFERROR(VLOOKUP(D2907,Conceptos_Analítica_contraloría[#All],2,0),"")</f>
        <v/>
      </c>
      <c r="J2907" s="84" t="str">
        <f>+IFERROR(VLOOKUP(D2907,Conceptos_Analítica_contraloría[#All],3,0),"")</f>
        <v/>
      </c>
    </row>
    <row r="2908" spans="3:10" ht="18.75" customHeight="1" x14ac:dyDescent="0.35">
      <c r="C2908" s="100" t="str">
        <f>IF(OR(Fact_Analitica[[#This Row], [Año]]="",Fact_Analitica[[#This Row], [Mes]]=""),"",DATE(A2908,MATCH(B2908,{"enero","febrero","marzo","abril","mayo","junio","julio","agosto","septiembre","octubre","noviembre","diciembre"},0)+1,0))</f>
        <v/>
      </c>
      <c r="E2908" t="str">
        <f>+IFERROR(VLOOKUP(Fact_Analitica[[#This Row], [Concepto Anterior]],Conceptos_Analítica_contraloría[#All],5,0),"")</f>
        <v/>
      </c>
      <c r="F2908" t="str">
        <f>+IFERROR(VLOOKUP(Fact_Analitica[[#This Row], [Concepto Anterior]],Conceptos_Analítica_contraloría[#All],7,0),"")</f>
        <v/>
      </c>
      <c r="I2908" t="str">
        <f>+IFERROR(VLOOKUP(D2908,Conceptos_Analítica_contraloría[#All],2,0),"")</f>
        <v/>
      </c>
      <c r="J2908" s="84" t="str">
        <f>+IFERROR(VLOOKUP(D2908,Conceptos_Analítica_contraloría[#All],3,0),"")</f>
        <v/>
      </c>
    </row>
    <row r="2909" spans="3:10" ht="18.75" customHeight="1" x14ac:dyDescent="0.35">
      <c r="C2909" s="100" t="str">
        <f>IF(OR(Fact_Analitica[[#This Row], [Año]]="",Fact_Analitica[[#This Row], [Mes]]=""),"",DATE(A2909,MATCH(B2909,{"enero","febrero","marzo","abril","mayo","junio","julio","agosto","septiembre","octubre","noviembre","diciembre"},0)+1,0))</f>
        <v/>
      </c>
      <c r="E2909" t="str">
        <f>+IFERROR(VLOOKUP(Fact_Analitica[[#This Row], [Concepto Anterior]],Conceptos_Analítica_contraloría[#All],5,0),"")</f>
        <v/>
      </c>
      <c r="F2909" t="str">
        <f>+IFERROR(VLOOKUP(Fact_Analitica[[#This Row], [Concepto Anterior]],Conceptos_Analítica_contraloría[#All],7,0),"")</f>
        <v/>
      </c>
      <c r="I2909" t="str">
        <f>+IFERROR(VLOOKUP(D2909,Conceptos_Analítica_contraloría[#All],2,0),"")</f>
        <v/>
      </c>
      <c r="J2909" s="84" t="str">
        <f>+IFERROR(VLOOKUP(D2909,Conceptos_Analítica_contraloría[#All],3,0),"")</f>
        <v/>
      </c>
    </row>
    <row r="2910" spans="3:10" ht="18.75" customHeight="1" x14ac:dyDescent="0.35">
      <c r="C2910" s="100" t="str">
        <f>IF(OR(Fact_Analitica[[#This Row], [Año]]="",Fact_Analitica[[#This Row], [Mes]]=""),"",DATE(A2910,MATCH(B2910,{"enero","febrero","marzo","abril","mayo","junio","julio","agosto","septiembre","octubre","noviembre","diciembre"},0)+1,0))</f>
        <v/>
      </c>
      <c r="E2910" t="str">
        <f>+IFERROR(VLOOKUP(Fact_Analitica[[#This Row], [Concepto Anterior]],Conceptos_Analítica_contraloría[#All],5,0),"")</f>
        <v/>
      </c>
      <c r="F2910" t="str">
        <f>+IFERROR(VLOOKUP(Fact_Analitica[[#This Row], [Concepto Anterior]],Conceptos_Analítica_contraloría[#All],7,0),"")</f>
        <v/>
      </c>
      <c r="I2910" t="str">
        <f>+IFERROR(VLOOKUP(D2910,Conceptos_Analítica_contraloría[#All],2,0),"")</f>
        <v/>
      </c>
      <c r="J2910" s="84" t="str">
        <f>+IFERROR(VLOOKUP(D2910,Conceptos_Analítica_contraloría[#All],3,0),"")</f>
        <v/>
      </c>
    </row>
    <row r="2911" spans="3:10" ht="18.75" customHeight="1" x14ac:dyDescent="0.35">
      <c r="C2911" s="100" t="str">
        <f>IF(OR(Fact_Analitica[[#This Row], [Año]]="",Fact_Analitica[[#This Row], [Mes]]=""),"",DATE(A2911,MATCH(B2911,{"enero","febrero","marzo","abril","mayo","junio","julio","agosto","septiembre","octubre","noviembre","diciembre"},0)+1,0))</f>
        <v/>
      </c>
      <c r="E2911" t="str">
        <f>+IFERROR(VLOOKUP(Fact_Analitica[[#This Row], [Concepto Anterior]],Conceptos_Analítica_contraloría[#All],5,0),"")</f>
        <v/>
      </c>
      <c r="F2911" t="str">
        <f>+IFERROR(VLOOKUP(Fact_Analitica[[#This Row], [Concepto Anterior]],Conceptos_Analítica_contraloría[#All],7,0),"")</f>
        <v/>
      </c>
      <c r="I2911" t="str">
        <f>+IFERROR(VLOOKUP(D2911,Conceptos_Analítica_contraloría[#All],2,0),"")</f>
        <v/>
      </c>
      <c r="J2911" s="84" t="str">
        <f>+IFERROR(VLOOKUP(D2911,Conceptos_Analítica_contraloría[#All],3,0),"")</f>
        <v/>
      </c>
    </row>
    <row r="2912" spans="3:10" ht="18.75" customHeight="1" x14ac:dyDescent="0.35">
      <c r="C2912" s="100" t="str">
        <f>IF(OR(Fact_Analitica[[#This Row], [Año]]="",Fact_Analitica[[#This Row], [Mes]]=""),"",DATE(A2912,MATCH(B2912,{"enero","febrero","marzo","abril","mayo","junio","julio","agosto","septiembre","octubre","noviembre","diciembre"},0)+1,0))</f>
        <v/>
      </c>
      <c r="E2912" t="str">
        <f>+IFERROR(VLOOKUP(Fact_Analitica[[#This Row], [Concepto Anterior]],Conceptos_Analítica_contraloría[#All],5,0),"")</f>
        <v/>
      </c>
      <c r="F2912" t="str">
        <f>+IFERROR(VLOOKUP(Fact_Analitica[[#This Row], [Concepto Anterior]],Conceptos_Analítica_contraloría[#All],7,0),"")</f>
        <v/>
      </c>
      <c r="I2912" t="str">
        <f>+IFERROR(VLOOKUP(D2912,Conceptos_Analítica_contraloría[#All],2,0),"")</f>
        <v/>
      </c>
      <c r="J2912" s="84" t="str">
        <f>+IFERROR(VLOOKUP(D2912,Conceptos_Analítica_contraloría[#All],3,0),"")</f>
        <v/>
      </c>
    </row>
    <row r="2913" spans="3:10" ht="18.75" customHeight="1" x14ac:dyDescent="0.35">
      <c r="C2913" s="100" t="str">
        <f>IF(OR(Fact_Analitica[[#This Row], [Año]]="",Fact_Analitica[[#This Row], [Mes]]=""),"",DATE(A2913,MATCH(B2913,{"enero","febrero","marzo","abril","mayo","junio","julio","agosto","septiembre","octubre","noviembre","diciembre"},0)+1,0))</f>
        <v/>
      </c>
      <c r="E2913" t="str">
        <f>+IFERROR(VLOOKUP(Fact_Analitica[[#This Row], [Concepto Anterior]],Conceptos_Analítica_contraloría[#All],5,0),"")</f>
        <v/>
      </c>
      <c r="F2913" t="str">
        <f>+IFERROR(VLOOKUP(Fact_Analitica[[#This Row], [Concepto Anterior]],Conceptos_Analítica_contraloría[#All],7,0),"")</f>
        <v/>
      </c>
      <c r="I2913" t="str">
        <f>+IFERROR(VLOOKUP(D2913,Conceptos_Analítica_contraloría[#All],2,0),"")</f>
        <v/>
      </c>
      <c r="J2913" s="84" t="str">
        <f>+IFERROR(VLOOKUP(D2913,Conceptos_Analítica_contraloría[#All],3,0),"")</f>
        <v/>
      </c>
    </row>
    <row r="2914" spans="3:10" ht="18.75" customHeight="1" x14ac:dyDescent="0.35">
      <c r="C2914" s="100" t="str">
        <f>IF(OR(Fact_Analitica[[#This Row], [Año]]="",Fact_Analitica[[#This Row], [Mes]]=""),"",DATE(A2914,MATCH(B2914,{"enero","febrero","marzo","abril","mayo","junio","julio","agosto","septiembre","octubre","noviembre","diciembre"},0)+1,0))</f>
        <v/>
      </c>
      <c r="E2914" t="str">
        <f>+IFERROR(VLOOKUP(Fact_Analitica[[#This Row], [Concepto Anterior]],Conceptos_Analítica_contraloría[#All],5,0),"")</f>
        <v/>
      </c>
      <c r="F2914" t="str">
        <f>+IFERROR(VLOOKUP(Fact_Analitica[[#This Row], [Concepto Anterior]],Conceptos_Analítica_contraloría[#All],7,0),"")</f>
        <v/>
      </c>
      <c r="I2914" t="str">
        <f>+IFERROR(VLOOKUP(D2914,Conceptos_Analítica_contraloría[#All],2,0),"")</f>
        <v/>
      </c>
      <c r="J2914" s="84" t="str">
        <f>+IFERROR(VLOOKUP(D2914,Conceptos_Analítica_contraloría[#All],3,0),"")</f>
        <v/>
      </c>
    </row>
    <row r="2915" spans="3:10" ht="18.75" customHeight="1" x14ac:dyDescent="0.35">
      <c r="C2915" s="100" t="str">
        <f>IF(OR(Fact_Analitica[[#This Row], [Año]]="",Fact_Analitica[[#This Row], [Mes]]=""),"",DATE(A2915,MATCH(B2915,{"enero","febrero","marzo","abril","mayo","junio","julio","agosto","septiembre","octubre","noviembre","diciembre"},0)+1,0))</f>
        <v/>
      </c>
      <c r="E2915" t="str">
        <f>+IFERROR(VLOOKUP(Fact_Analitica[[#This Row], [Concepto Anterior]],Conceptos_Analítica_contraloría[#All],5,0),"")</f>
        <v/>
      </c>
      <c r="F2915" t="str">
        <f>+IFERROR(VLOOKUP(Fact_Analitica[[#This Row], [Concepto Anterior]],Conceptos_Analítica_contraloría[#All],7,0),"")</f>
        <v/>
      </c>
      <c r="I2915" t="str">
        <f>+IFERROR(VLOOKUP(D2915,Conceptos_Analítica_contraloría[#All],2,0),"")</f>
        <v/>
      </c>
      <c r="J2915" s="84" t="str">
        <f>+IFERROR(VLOOKUP(D2915,Conceptos_Analítica_contraloría[#All],3,0),"")</f>
        <v/>
      </c>
    </row>
    <row r="2916" spans="3:10" ht="18.75" customHeight="1" x14ac:dyDescent="0.35">
      <c r="C2916" s="100" t="str">
        <f>IF(OR(Fact_Analitica[[#This Row], [Año]]="",Fact_Analitica[[#This Row], [Mes]]=""),"",DATE(A2916,MATCH(B2916,{"enero","febrero","marzo","abril","mayo","junio","julio","agosto","septiembre","octubre","noviembre","diciembre"},0)+1,0))</f>
        <v/>
      </c>
      <c r="E2916" t="str">
        <f>+IFERROR(VLOOKUP(Fact_Analitica[[#This Row], [Concepto Anterior]],Conceptos_Analítica_contraloría[#All],5,0),"")</f>
        <v/>
      </c>
      <c r="F2916" t="str">
        <f>+IFERROR(VLOOKUP(Fact_Analitica[[#This Row], [Concepto Anterior]],Conceptos_Analítica_contraloría[#All],7,0),"")</f>
        <v/>
      </c>
      <c r="I2916" t="str">
        <f>+IFERROR(VLOOKUP(D2916,Conceptos_Analítica_contraloría[#All],2,0),"")</f>
        <v/>
      </c>
      <c r="J2916" s="84" t="str">
        <f>+IFERROR(VLOOKUP(D2916,Conceptos_Analítica_contraloría[#All],3,0),"")</f>
        <v/>
      </c>
    </row>
    <row r="2917" spans="3:10" ht="18.75" customHeight="1" x14ac:dyDescent="0.35">
      <c r="C2917" s="100" t="str">
        <f>IF(OR(Fact_Analitica[[#This Row], [Año]]="",Fact_Analitica[[#This Row], [Mes]]=""),"",DATE(A2917,MATCH(B2917,{"enero","febrero","marzo","abril","mayo","junio","julio","agosto","septiembre","octubre","noviembre","diciembre"},0)+1,0))</f>
        <v/>
      </c>
      <c r="E2917" t="str">
        <f>+IFERROR(VLOOKUP(Fact_Analitica[[#This Row], [Concepto Anterior]],Conceptos_Analítica_contraloría[#All],5,0),"")</f>
        <v/>
      </c>
      <c r="F2917" t="str">
        <f>+IFERROR(VLOOKUP(Fact_Analitica[[#This Row], [Concepto Anterior]],Conceptos_Analítica_contraloría[#All],7,0),"")</f>
        <v/>
      </c>
      <c r="I2917" t="str">
        <f>+IFERROR(VLOOKUP(D2917,Conceptos_Analítica_contraloría[#All],2,0),"")</f>
        <v/>
      </c>
      <c r="J2917" s="84" t="str">
        <f>+IFERROR(VLOOKUP(D2917,Conceptos_Analítica_contraloría[#All],3,0),"")</f>
        <v/>
      </c>
    </row>
    <row r="2918" spans="3:10" ht="18.75" customHeight="1" x14ac:dyDescent="0.35">
      <c r="C2918" s="100" t="str">
        <f>IF(OR(Fact_Analitica[[#This Row], [Año]]="",Fact_Analitica[[#This Row], [Mes]]=""),"",DATE(A2918,MATCH(B2918,{"enero","febrero","marzo","abril","mayo","junio","julio","agosto","septiembre","octubre","noviembre","diciembre"},0)+1,0))</f>
        <v/>
      </c>
      <c r="E2918" t="str">
        <f>+IFERROR(VLOOKUP(Fact_Analitica[[#This Row], [Concepto Anterior]],Conceptos_Analítica_contraloría[#All],5,0),"")</f>
        <v/>
      </c>
      <c r="F2918" t="str">
        <f>+IFERROR(VLOOKUP(Fact_Analitica[[#This Row], [Concepto Anterior]],Conceptos_Analítica_contraloría[#All],7,0),"")</f>
        <v/>
      </c>
      <c r="I2918" t="str">
        <f>+IFERROR(VLOOKUP(D2918,Conceptos_Analítica_contraloría[#All],2,0),"")</f>
        <v/>
      </c>
      <c r="J2918" s="84" t="str">
        <f>+IFERROR(VLOOKUP(D2918,Conceptos_Analítica_contraloría[#All],3,0),"")</f>
        <v/>
      </c>
    </row>
    <row r="2919" spans="3:10" ht="18.75" customHeight="1" x14ac:dyDescent="0.35">
      <c r="C2919" s="100" t="str">
        <f>IF(OR(Fact_Analitica[[#This Row], [Año]]="",Fact_Analitica[[#This Row], [Mes]]=""),"",DATE(A2919,MATCH(B2919,{"enero","febrero","marzo","abril","mayo","junio","julio","agosto","septiembre","octubre","noviembre","diciembre"},0)+1,0))</f>
        <v/>
      </c>
      <c r="E2919" t="str">
        <f>+IFERROR(VLOOKUP(Fact_Analitica[[#This Row], [Concepto Anterior]],Conceptos_Analítica_contraloría[#All],5,0),"")</f>
        <v/>
      </c>
      <c r="F2919" t="str">
        <f>+IFERROR(VLOOKUP(Fact_Analitica[[#This Row], [Concepto Anterior]],Conceptos_Analítica_contraloría[#All],7,0),"")</f>
        <v/>
      </c>
      <c r="I2919" t="str">
        <f>+IFERROR(VLOOKUP(D2919,Conceptos_Analítica_contraloría[#All],2,0),"")</f>
        <v/>
      </c>
      <c r="J2919" s="84" t="str">
        <f>+IFERROR(VLOOKUP(D2919,Conceptos_Analítica_contraloría[#All],3,0),"")</f>
        <v/>
      </c>
    </row>
    <row r="2920" spans="3:10" ht="18.75" customHeight="1" x14ac:dyDescent="0.35">
      <c r="C2920" s="100" t="str">
        <f>IF(OR(Fact_Analitica[[#This Row], [Año]]="",Fact_Analitica[[#This Row], [Mes]]=""),"",DATE(A2920,MATCH(B2920,{"enero","febrero","marzo","abril","mayo","junio","julio","agosto","septiembre","octubre","noviembre","diciembre"},0)+1,0))</f>
        <v/>
      </c>
      <c r="E2920" t="str">
        <f>+IFERROR(VLOOKUP(Fact_Analitica[[#This Row], [Concepto Anterior]],Conceptos_Analítica_contraloría[#All],5,0),"")</f>
        <v/>
      </c>
      <c r="F2920" t="str">
        <f>+IFERROR(VLOOKUP(Fact_Analitica[[#This Row], [Concepto Anterior]],Conceptos_Analítica_contraloría[#All],7,0),"")</f>
        <v/>
      </c>
      <c r="I2920" t="str">
        <f>+IFERROR(VLOOKUP(D2920,Conceptos_Analítica_contraloría[#All],2,0),"")</f>
        <v/>
      </c>
      <c r="J2920" s="84" t="str">
        <f>+IFERROR(VLOOKUP(D2920,Conceptos_Analítica_contraloría[#All],3,0),"")</f>
        <v/>
      </c>
    </row>
    <row r="2921" spans="3:10" ht="18.75" customHeight="1" x14ac:dyDescent="0.35">
      <c r="C2921" s="100" t="str">
        <f>IF(OR(Fact_Analitica[[#This Row], [Año]]="",Fact_Analitica[[#This Row], [Mes]]=""),"",DATE(A2921,MATCH(B2921,{"enero","febrero","marzo","abril","mayo","junio","julio","agosto","septiembre","octubre","noviembre","diciembre"},0)+1,0))</f>
        <v/>
      </c>
      <c r="E2921" t="str">
        <f>+IFERROR(VLOOKUP(Fact_Analitica[[#This Row], [Concepto Anterior]],Conceptos_Analítica_contraloría[#All],5,0),"")</f>
        <v/>
      </c>
      <c r="F2921" t="str">
        <f>+IFERROR(VLOOKUP(Fact_Analitica[[#This Row], [Concepto Anterior]],Conceptos_Analítica_contraloría[#All],7,0),"")</f>
        <v/>
      </c>
      <c r="I2921" t="str">
        <f>+IFERROR(VLOOKUP(D2921,Conceptos_Analítica_contraloría[#All],2,0),"")</f>
        <v/>
      </c>
      <c r="J2921" s="84" t="str">
        <f>+IFERROR(VLOOKUP(D2921,Conceptos_Analítica_contraloría[#All],3,0),"")</f>
        <v/>
      </c>
    </row>
    <row r="2922" spans="3:10" ht="18.75" customHeight="1" x14ac:dyDescent="0.35">
      <c r="C2922" s="100" t="str">
        <f>IF(OR(Fact_Analitica[[#This Row], [Año]]="",Fact_Analitica[[#This Row], [Mes]]=""),"",DATE(A2922,MATCH(B2922,{"enero","febrero","marzo","abril","mayo","junio","julio","agosto","septiembre","octubre","noviembre","diciembre"},0)+1,0))</f>
        <v/>
      </c>
      <c r="E2922" t="str">
        <f>+IFERROR(VLOOKUP(Fact_Analitica[[#This Row], [Concepto Anterior]],Conceptos_Analítica_contraloría[#All],5,0),"")</f>
        <v/>
      </c>
      <c r="F2922" t="str">
        <f>+IFERROR(VLOOKUP(Fact_Analitica[[#This Row], [Concepto Anterior]],Conceptos_Analítica_contraloría[#All],7,0),"")</f>
        <v/>
      </c>
      <c r="I2922" t="str">
        <f>+IFERROR(VLOOKUP(D2922,Conceptos_Analítica_contraloría[#All],2,0),"")</f>
        <v/>
      </c>
      <c r="J2922" s="84" t="str">
        <f>+IFERROR(VLOOKUP(D2922,Conceptos_Analítica_contraloría[#All],3,0),"")</f>
        <v/>
      </c>
    </row>
    <row r="2923" spans="3:10" ht="18.75" customHeight="1" x14ac:dyDescent="0.35">
      <c r="C2923" s="100" t="str">
        <f>IF(OR(Fact_Analitica[[#This Row], [Año]]="",Fact_Analitica[[#This Row], [Mes]]=""),"",DATE(A2923,MATCH(B2923,{"enero","febrero","marzo","abril","mayo","junio","julio","agosto","septiembre","octubre","noviembre","diciembre"},0)+1,0))</f>
        <v/>
      </c>
      <c r="E2923" t="str">
        <f>+IFERROR(VLOOKUP(Fact_Analitica[[#This Row], [Concepto Anterior]],Conceptos_Analítica_contraloría[#All],5,0),"")</f>
        <v/>
      </c>
      <c r="F2923" t="str">
        <f>+IFERROR(VLOOKUP(Fact_Analitica[[#This Row], [Concepto Anterior]],Conceptos_Analítica_contraloría[#All],7,0),"")</f>
        <v/>
      </c>
      <c r="I2923" t="str">
        <f>+IFERROR(VLOOKUP(D2923,Conceptos_Analítica_contraloría[#All],2,0),"")</f>
        <v/>
      </c>
      <c r="J2923" s="84" t="str">
        <f>+IFERROR(VLOOKUP(D2923,Conceptos_Analítica_contraloría[#All],3,0),"")</f>
        <v/>
      </c>
    </row>
    <row r="2924" spans="3:10" ht="18.75" customHeight="1" x14ac:dyDescent="0.35">
      <c r="C2924" s="100" t="str">
        <f>IF(OR(Fact_Analitica[[#This Row], [Año]]="",Fact_Analitica[[#This Row], [Mes]]=""),"",DATE(A2924,MATCH(B2924,{"enero","febrero","marzo","abril","mayo","junio","julio","agosto","septiembre","octubre","noviembre","diciembre"},0)+1,0))</f>
        <v/>
      </c>
      <c r="E2924" t="str">
        <f>+IFERROR(VLOOKUP(Fact_Analitica[[#This Row], [Concepto Anterior]],Conceptos_Analítica_contraloría[#All],5,0),"")</f>
        <v/>
      </c>
      <c r="F2924" t="str">
        <f>+IFERROR(VLOOKUP(Fact_Analitica[[#This Row], [Concepto Anterior]],Conceptos_Analítica_contraloría[#All],7,0),"")</f>
        <v/>
      </c>
      <c r="I2924" t="str">
        <f>+IFERROR(VLOOKUP(D2924,Conceptos_Analítica_contraloría[#All],2,0),"")</f>
        <v/>
      </c>
      <c r="J2924" s="84" t="str">
        <f>+IFERROR(VLOOKUP(D2924,Conceptos_Analítica_contraloría[#All],3,0),"")</f>
        <v/>
      </c>
    </row>
    <row r="2925" spans="3:10" ht="18.75" customHeight="1" x14ac:dyDescent="0.35">
      <c r="C2925" s="100" t="str">
        <f>IF(OR(Fact_Analitica[[#This Row], [Año]]="",Fact_Analitica[[#This Row], [Mes]]=""),"",DATE(A2925,MATCH(B2925,{"enero","febrero","marzo","abril","mayo","junio","julio","agosto","septiembre","octubre","noviembre","diciembre"},0)+1,0))</f>
        <v/>
      </c>
      <c r="E2925" t="str">
        <f>+IFERROR(VLOOKUP(Fact_Analitica[[#This Row], [Concepto Anterior]],Conceptos_Analítica_contraloría[#All],5,0),"")</f>
        <v/>
      </c>
      <c r="F2925" t="str">
        <f>+IFERROR(VLOOKUP(Fact_Analitica[[#This Row], [Concepto Anterior]],Conceptos_Analítica_contraloría[#All],7,0),"")</f>
        <v/>
      </c>
      <c r="I2925" t="str">
        <f>+IFERROR(VLOOKUP(D2925,Conceptos_Analítica_contraloría[#All],2,0),"")</f>
        <v/>
      </c>
      <c r="J2925" s="84" t="str">
        <f>+IFERROR(VLOOKUP(D2925,Conceptos_Analítica_contraloría[#All],3,0),"")</f>
        <v/>
      </c>
    </row>
    <row r="2926" spans="3:10" ht="18.75" customHeight="1" x14ac:dyDescent="0.35">
      <c r="C2926" s="100" t="str">
        <f>IF(OR(Fact_Analitica[[#This Row], [Año]]="",Fact_Analitica[[#This Row], [Mes]]=""),"",DATE(A2926,MATCH(B2926,{"enero","febrero","marzo","abril","mayo","junio","julio","agosto","septiembre","octubre","noviembre","diciembre"},0)+1,0))</f>
        <v/>
      </c>
      <c r="E2926" t="str">
        <f>+IFERROR(VLOOKUP(Fact_Analitica[[#This Row], [Concepto Anterior]],Conceptos_Analítica_contraloría[#All],5,0),"")</f>
        <v/>
      </c>
      <c r="F2926" t="str">
        <f>+IFERROR(VLOOKUP(Fact_Analitica[[#This Row], [Concepto Anterior]],Conceptos_Analítica_contraloría[#All],7,0),"")</f>
        <v/>
      </c>
      <c r="I2926" t="str">
        <f>+IFERROR(VLOOKUP(D2926,Conceptos_Analítica_contraloría[#All],2,0),"")</f>
        <v/>
      </c>
      <c r="J2926" s="84" t="str">
        <f>+IFERROR(VLOOKUP(D2926,Conceptos_Analítica_contraloría[#All],3,0),"")</f>
        <v/>
      </c>
    </row>
    <row r="2927" spans="3:10" ht="18.75" customHeight="1" x14ac:dyDescent="0.35">
      <c r="C2927" s="100" t="str">
        <f>IF(OR(Fact_Analitica[[#This Row], [Año]]="",Fact_Analitica[[#This Row], [Mes]]=""),"",DATE(A2927,MATCH(B2927,{"enero","febrero","marzo","abril","mayo","junio","julio","agosto","septiembre","octubre","noviembre","diciembre"},0)+1,0))</f>
        <v/>
      </c>
      <c r="E2927" t="str">
        <f>+IFERROR(VLOOKUP(Fact_Analitica[[#This Row], [Concepto Anterior]],Conceptos_Analítica_contraloría[#All],5,0),"")</f>
        <v/>
      </c>
      <c r="F2927" t="str">
        <f>+IFERROR(VLOOKUP(Fact_Analitica[[#This Row], [Concepto Anterior]],Conceptos_Analítica_contraloría[#All],7,0),"")</f>
        <v/>
      </c>
      <c r="I2927" t="str">
        <f>+IFERROR(VLOOKUP(D2927,Conceptos_Analítica_contraloría[#All],2,0),"")</f>
        <v/>
      </c>
      <c r="J2927" s="84" t="str">
        <f>+IFERROR(VLOOKUP(D2927,Conceptos_Analítica_contraloría[#All],3,0),"")</f>
        <v/>
      </c>
    </row>
    <row r="2928" spans="3:10" ht="18.75" customHeight="1" x14ac:dyDescent="0.35">
      <c r="C2928" s="100" t="str">
        <f>IF(OR(Fact_Analitica[[#This Row], [Año]]="",Fact_Analitica[[#This Row], [Mes]]=""),"",DATE(A2928,MATCH(B2928,{"enero","febrero","marzo","abril","mayo","junio","julio","agosto","septiembre","octubre","noviembre","diciembre"},0)+1,0))</f>
        <v/>
      </c>
      <c r="E2928" t="str">
        <f>+IFERROR(VLOOKUP(Fact_Analitica[[#This Row], [Concepto Anterior]],Conceptos_Analítica_contraloría[#All],5,0),"")</f>
        <v/>
      </c>
      <c r="F2928" t="str">
        <f>+IFERROR(VLOOKUP(Fact_Analitica[[#This Row], [Concepto Anterior]],Conceptos_Analítica_contraloría[#All],7,0),"")</f>
        <v/>
      </c>
      <c r="I2928" t="str">
        <f>+IFERROR(VLOOKUP(D2928,Conceptos_Analítica_contraloría[#All],2,0),"")</f>
        <v/>
      </c>
      <c r="J2928" s="84" t="str">
        <f>+IFERROR(VLOOKUP(D2928,Conceptos_Analítica_contraloría[#All],3,0),"")</f>
        <v/>
      </c>
    </row>
    <row r="2929" spans="3:10" ht="18.75" customHeight="1" x14ac:dyDescent="0.35">
      <c r="C2929" s="100" t="str">
        <f>IF(OR(Fact_Analitica[[#This Row], [Año]]="",Fact_Analitica[[#This Row], [Mes]]=""),"",DATE(A2929,MATCH(B2929,{"enero","febrero","marzo","abril","mayo","junio","julio","agosto","septiembre","octubre","noviembre","diciembre"},0)+1,0))</f>
        <v/>
      </c>
      <c r="E2929" t="str">
        <f>+IFERROR(VLOOKUP(Fact_Analitica[[#This Row], [Concepto Anterior]],Conceptos_Analítica_contraloría[#All],5,0),"")</f>
        <v/>
      </c>
      <c r="F2929" t="str">
        <f>+IFERROR(VLOOKUP(Fact_Analitica[[#This Row], [Concepto Anterior]],Conceptos_Analítica_contraloría[#All],7,0),"")</f>
        <v/>
      </c>
      <c r="I2929" t="str">
        <f>+IFERROR(VLOOKUP(D2929,Conceptos_Analítica_contraloría[#All],2,0),"")</f>
        <v/>
      </c>
      <c r="J2929" s="84" t="str">
        <f>+IFERROR(VLOOKUP(D2929,Conceptos_Analítica_contraloría[#All],3,0),"")</f>
        <v/>
      </c>
    </row>
    <row r="2930" spans="3:10" ht="18.75" customHeight="1" x14ac:dyDescent="0.35">
      <c r="C2930" s="100" t="str">
        <f>IF(OR(Fact_Analitica[[#This Row], [Año]]="",Fact_Analitica[[#This Row], [Mes]]=""),"",DATE(A2930,MATCH(B2930,{"enero","febrero","marzo","abril","mayo","junio","julio","agosto","septiembre","octubre","noviembre","diciembre"},0)+1,0))</f>
        <v/>
      </c>
      <c r="E2930" t="str">
        <f>+IFERROR(VLOOKUP(Fact_Analitica[[#This Row], [Concepto Anterior]],Conceptos_Analítica_contraloría[#All],5,0),"")</f>
        <v/>
      </c>
      <c r="F2930" t="str">
        <f>+IFERROR(VLOOKUP(Fact_Analitica[[#This Row], [Concepto Anterior]],Conceptos_Analítica_contraloría[#All],7,0),"")</f>
        <v/>
      </c>
      <c r="I2930" t="str">
        <f>+IFERROR(VLOOKUP(D2930,Conceptos_Analítica_contraloría[#All],2,0),"")</f>
        <v/>
      </c>
      <c r="J2930" s="84" t="str">
        <f>+IFERROR(VLOOKUP(D2930,Conceptos_Analítica_contraloría[#All],3,0),"")</f>
        <v/>
      </c>
    </row>
    <row r="2931" spans="3:10" ht="18.75" customHeight="1" x14ac:dyDescent="0.35">
      <c r="C2931" s="100" t="str">
        <f>IF(OR(Fact_Analitica[[#This Row], [Año]]="",Fact_Analitica[[#This Row], [Mes]]=""),"",DATE(A2931,MATCH(B2931,{"enero","febrero","marzo","abril","mayo","junio","julio","agosto","septiembre","octubre","noviembre","diciembre"},0)+1,0))</f>
        <v/>
      </c>
      <c r="E2931" t="str">
        <f>+IFERROR(VLOOKUP(Fact_Analitica[[#This Row], [Concepto Anterior]],Conceptos_Analítica_contraloría[#All],5,0),"")</f>
        <v/>
      </c>
      <c r="F2931" t="str">
        <f>+IFERROR(VLOOKUP(Fact_Analitica[[#This Row], [Concepto Anterior]],Conceptos_Analítica_contraloría[#All],7,0),"")</f>
        <v/>
      </c>
      <c r="I2931" t="str">
        <f>+IFERROR(VLOOKUP(D2931,Conceptos_Analítica_contraloría[#All],2,0),"")</f>
        <v/>
      </c>
      <c r="J2931" s="84" t="str">
        <f>+IFERROR(VLOOKUP(D2931,Conceptos_Analítica_contraloría[#All],3,0),"")</f>
        <v/>
      </c>
    </row>
    <row r="2932" spans="3:10" ht="18.75" customHeight="1" x14ac:dyDescent="0.35">
      <c r="C2932" s="100" t="str">
        <f>IF(OR(Fact_Analitica[[#This Row], [Año]]="",Fact_Analitica[[#This Row], [Mes]]=""),"",DATE(A2932,MATCH(B2932,{"enero","febrero","marzo","abril","mayo","junio","julio","agosto","septiembre","octubre","noviembre","diciembre"},0)+1,0))</f>
        <v/>
      </c>
      <c r="E2932" t="str">
        <f>+IFERROR(VLOOKUP(Fact_Analitica[[#This Row], [Concepto Anterior]],Conceptos_Analítica_contraloría[#All],5,0),"")</f>
        <v/>
      </c>
      <c r="F2932" t="str">
        <f>+IFERROR(VLOOKUP(Fact_Analitica[[#This Row], [Concepto Anterior]],Conceptos_Analítica_contraloría[#All],7,0),"")</f>
        <v/>
      </c>
      <c r="I2932" t="str">
        <f>+IFERROR(VLOOKUP(D2932,Conceptos_Analítica_contraloría[#All],2,0),"")</f>
        <v/>
      </c>
      <c r="J2932" s="84" t="str">
        <f>+IFERROR(VLOOKUP(D2932,Conceptos_Analítica_contraloría[#All],3,0),"")</f>
        <v/>
      </c>
    </row>
    <row r="2933" spans="3:10" ht="18.75" customHeight="1" x14ac:dyDescent="0.35">
      <c r="C2933" s="100" t="str">
        <f>IF(OR(Fact_Analitica[[#This Row], [Año]]="",Fact_Analitica[[#This Row], [Mes]]=""),"",DATE(A2933,MATCH(B2933,{"enero","febrero","marzo","abril","mayo","junio","julio","agosto","septiembre","octubre","noviembre","diciembre"},0)+1,0))</f>
        <v/>
      </c>
      <c r="E2933" t="str">
        <f>+IFERROR(VLOOKUP(Fact_Analitica[[#This Row], [Concepto Anterior]],Conceptos_Analítica_contraloría[#All],5,0),"")</f>
        <v/>
      </c>
      <c r="F2933" t="str">
        <f>+IFERROR(VLOOKUP(Fact_Analitica[[#This Row], [Concepto Anterior]],Conceptos_Analítica_contraloría[#All],7,0),"")</f>
        <v/>
      </c>
      <c r="I2933" t="str">
        <f>+IFERROR(VLOOKUP(D2933,Conceptos_Analítica_contraloría[#All],2,0),"")</f>
        <v/>
      </c>
      <c r="J2933" s="84" t="str">
        <f>+IFERROR(VLOOKUP(D2933,Conceptos_Analítica_contraloría[#All],3,0),"")</f>
        <v/>
      </c>
    </row>
    <row r="2934" spans="3:10" ht="18.75" customHeight="1" x14ac:dyDescent="0.35">
      <c r="C2934" s="100" t="str">
        <f>IF(OR(Fact_Analitica[[#This Row], [Año]]="",Fact_Analitica[[#This Row], [Mes]]=""),"",DATE(A2934,MATCH(B2934,{"enero","febrero","marzo","abril","mayo","junio","julio","agosto","septiembre","octubre","noviembre","diciembre"},0)+1,0))</f>
        <v/>
      </c>
      <c r="E2934" t="str">
        <f>+IFERROR(VLOOKUP(Fact_Analitica[[#This Row], [Concepto Anterior]],Conceptos_Analítica_contraloría[#All],5,0),"")</f>
        <v/>
      </c>
      <c r="F2934" t="str">
        <f>+IFERROR(VLOOKUP(Fact_Analitica[[#This Row], [Concepto Anterior]],Conceptos_Analítica_contraloría[#All],7,0),"")</f>
        <v/>
      </c>
      <c r="I2934" t="str">
        <f>+IFERROR(VLOOKUP(D2934,Conceptos_Analítica_contraloría[#All],2,0),"")</f>
        <v/>
      </c>
      <c r="J2934" s="84" t="str">
        <f>+IFERROR(VLOOKUP(D2934,Conceptos_Analítica_contraloría[#All],3,0),"")</f>
        <v/>
      </c>
    </row>
    <row r="2935" spans="3:10" ht="18.75" customHeight="1" x14ac:dyDescent="0.35">
      <c r="C2935" s="100" t="str">
        <f>IF(OR(Fact_Analitica[[#This Row], [Año]]="",Fact_Analitica[[#This Row], [Mes]]=""),"",DATE(A2935,MATCH(B2935,{"enero","febrero","marzo","abril","mayo","junio","julio","agosto","septiembre","octubre","noviembre","diciembre"},0)+1,0))</f>
        <v/>
      </c>
      <c r="E2935" t="str">
        <f>+IFERROR(VLOOKUP(Fact_Analitica[[#This Row], [Concepto Anterior]],Conceptos_Analítica_contraloría[#All],5,0),"")</f>
        <v/>
      </c>
      <c r="F2935" t="str">
        <f>+IFERROR(VLOOKUP(Fact_Analitica[[#This Row], [Concepto Anterior]],Conceptos_Analítica_contraloría[#All],7,0),"")</f>
        <v/>
      </c>
      <c r="I2935" t="str">
        <f>+IFERROR(VLOOKUP(D2935,Conceptos_Analítica_contraloría[#All],2,0),"")</f>
        <v/>
      </c>
      <c r="J2935" s="84" t="str">
        <f>+IFERROR(VLOOKUP(D2935,Conceptos_Analítica_contraloría[#All],3,0),"")</f>
        <v/>
      </c>
    </row>
    <row r="2936" spans="3:10" ht="18.75" customHeight="1" x14ac:dyDescent="0.35">
      <c r="C2936" s="100" t="str">
        <f>IF(OR(Fact_Analitica[[#This Row], [Año]]="",Fact_Analitica[[#This Row], [Mes]]=""),"",DATE(A2936,MATCH(B2936,{"enero","febrero","marzo","abril","mayo","junio","julio","agosto","septiembre","octubre","noviembre","diciembre"},0)+1,0))</f>
        <v/>
      </c>
      <c r="E2936" t="str">
        <f>+IFERROR(VLOOKUP(Fact_Analitica[[#This Row], [Concepto Anterior]],Conceptos_Analítica_contraloría[#All],5,0),"")</f>
        <v/>
      </c>
      <c r="F2936" t="str">
        <f>+IFERROR(VLOOKUP(Fact_Analitica[[#This Row], [Concepto Anterior]],Conceptos_Analítica_contraloría[#All],7,0),"")</f>
        <v/>
      </c>
      <c r="I2936" t="str">
        <f>+IFERROR(VLOOKUP(D2936,Conceptos_Analítica_contraloría[#All],2,0),"")</f>
        <v/>
      </c>
      <c r="J2936" s="84" t="str">
        <f>+IFERROR(VLOOKUP(D2936,Conceptos_Analítica_contraloría[#All],3,0),"")</f>
        <v/>
      </c>
    </row>
    <row r="2937" spans="3:10" ht="18.75" customHeight="1" x14ac:dyDescent="0.35">
      <c r="C2937" s="100" t="str">
        <f>IF(OR(Fact_Analitica[[#This Row], [Año]]="",Fact_Analitica[[#This Row], [Mes]]=""),"",DATE(A2937,MATCH(B2937,{"enero","febrero","marzo","abril","mayo","junio","julio","agosto","septiembre","octubre","noviembre","diciembre"},0)+1,0))</f>
        <v/>
      </c>
      <c r="E2937" t="str">
        <f>+IFERROR(VLOOKUP(Fact_Analitica[[#This Row], [Concepto Anterior]],Conceptos_Analítica_contraloría[#All],5,0),"")</f>
        <v/>
      </c>
      <c r="F2937" t="str">
        <f>+IFERROR(VLOOKUP(Fact_Analitica[[#This Row], [Concepto Anterior]],Conceptos_Analítica_contraloría[#All],7,0),"")</f>
        <v/>
      </c>
      <c r="I2937" t="str">
        <f>+IFERROR(VLOOKUP(D2937,Conceptos_Analítica_contraloría[#All],2,0),"")</f>
        <v/>
      </c>
      <c r="J2937" s="84" t="str">
        <f>+IFERROR(VLOOKUP(D2937,Conceptos_Analítica_contraloría[#All],3,0),"")</f>
        <v/>
      </c>
    </row>
    <row r="2938" spans="3:10" ht="18.75" customHeight="1" x14ac:dyDescent="0.35">
      <c r="C2938" s="100" t="str">
        <f>IF(OR(Fact_Analitica[[#This Row], [Año]]="",Fact_Analitica[[#This Row], [Mes]]=""),"",DATE(A2938,MATCH(B2938,{"enero","febrero","marzo","abril","mayo","junio","julio","agosto","septiembre","octubre","noviembre","diciembre"},0)+1,0))</f>
        <v/>
      </c>
      <c r="E2938" t="str">
        <f>+IFERROR(VLOOKUP(Fact_Analitica[[#This Row], [Concepto Anterior]],Conceptos_Analítica_contraloría[#All],5,0),"")</f>
        <v/>
      </c>
      <c r="F2938" t="str">
        <f>+IFERROR(VLOOKUP(Fact_Analitica[[#This Row], [Concepto Anterior]],Conceptos_Analítica_contraloría[#All],7,0),"")</f>
        <v/>
      </c>
      <c r="I2938" t="str">
        <f>+IFERROR(VLOOKUP(D2938,Conceptos_Analítica_contraloría[#All],2,0),"")</f>
        <v/>
      </c>
      <c r="J2938" s="84" t="str">
        <f>+IFERROR(VLOOKUP(D2938,Conceptos_Analítica_contraloría[#All],3,0),"")</f>
        <v/>
      </c>
    </row>
    <row r="2939" spans="3:10" ht="18.75" customHeight="1" x14ac:dyDescent="0.35">
      <c r="C2939" s="100" t="str">
        <f>IF(OR(Fact_Analitica[[#This Row], [Año]]="",Fact_Analitica[[#This Row], [Mes]]=""),"",DATE(A2939,MATCH(B2939,{"enero","febrero","marzo","abril","mayo","junio","julio","agosto","septiembre","octubre","noviembre","diciembre"},0)+1,0))</f>
        <v/>
      </c>
      <c r="E2939" t="str">
        <f>+IFERROR(VLOOKUP(Fact_Analitica[[#This Row], [Concepto Anterior]],Conceptos_Analítica_contraloría[#All],5,0),"")</f>
        <v/>
      </c>
      <c r="F2939" t="str">
        <f>+IFERROR(VLOOKUP(Fact_Analitica[[#This Row], [Concepto Anterior]],Conceptos_Analítica_contraloría[#All],7,0),"")</f>
        <v/>
      </c>
      <c r="I2939" t="str">
        <f>+IFERROR(VLOOKUP(D2939,Conceptos_Analítica_contraloría[#All],2,0),"")</f>
        <v/>
      </c>
      <c r="J2939" s="84" t="str">
        <f>+IFERROR(VLOOKUP(D2939,Conceptos_Analítica_contraloría[#All],3,0),"")</f>
        <v/>
      </c>
    </row>
    <row r="2940" spans="3:10" ht="18.75" customHeight="1" x14ac:dyDescent="0.35">
      <c r="C2940" s="100" t="str">
        <f>IF(OR(Fact_Analitica[[#This Row], [Año]]="",Fact_Analitica[[#This Row], [Mes]]=""),"",DATE(A2940,MATCH(B2940,{"enero","febrero","marzo","abril","mayo","junio","julio","agosto","septiembre","octubre","noviembre","diciembre"},0)+1,0))</f>
        <v/>
      </c>
      <c r="E2940" t="str">
        <f>+IFERROR(VLOOKUP(Fact_Analitica[[#This Row], [Concepto Anterior]],Conceptos_Analítica_contraloría[#All],5,0),"")</f>
        <v/>
      </c>
      <c r="F2940" t="str">
        <f>+IFERROR(VLOOKUP(Fact_Analitica[[#This Row], [Concepto Anterior]],Conceptos_Analítica_contraloría[#All],7,0),"")</f>
        <v/>
      </c>
      <c r="I2940" t="str">
        <f>+IFERROR(VLOOKUP(D2940,Conceptos_Analítica_contraloría[#All],2,0),"")</f>
        <v/>
      </c>
      <c r="J2940" s="84" t="str">
        <f>+IFERROR(VLOOKUP(D2940,Conceptos_Analítica_contraloría[#All],3,0),"")</f>
        <v/>
      </c>
    </row>
    <row r="2941" spans="3:10" ht="18.75" customHeight="1" x14ac:dyDescent="0.35">
      <c r="C2941" s="100" t="str">
        <f>IF(OR(Fact_Analitica[[#This Row], [Año]]="",Fact_Analitica[[#This Row], [Mes]]=""),"",DATE(A2941,MATCH(B2941,{"enero","febrero","marzo","abril","mayo","junio","julio","agosto","septiembre","octubre","noviembre","diciembre"},0)+1,0))</f>
        <v/>
      </c>
      <c r="E2941" t="str">
        <f>+IFERROR(VLOOKUP(Fact_Analitica[[#This Row], [Concepto Anterior]],Conceptos_Analítica_contraloría[#All],5,0),"")</f>
        <v/>
      </c>
      <c r="F2941" t="str">
        <f>+IFERROR(VLOOKUP(Fact_Analitica[[#This Row], [Concepto Anterior]],Conceptos_Analítica_contraloría[#All],7,0),"")</f>
        <v/>
      </c>
      <c r="I2941" t="str">
        <f>+IFERROR(VLOOKUP(D2941,Conceptos_Analítica_contraloría[#All],2,0),"")</f>
        <v/>
      </c>
      <c r="J2941" s="84" t="str">
        <f>+IFERROR(VLOOKUP(D2941,Conceptos_Analítica_contraloría[#All],3,0),"")</f>
        <v/>
      </c>
    </row>
    <row r="2942" spans="3:10" ht="18.75" customHeight="1" x14ac:dyDescent="0.35">
      <c r="C2942" s="100" t="str">
        <f>IF(OR(Fact_Analitica[[#This Row], [Año]]="",Fact_Analitica[[#This Row], [Mes]]=""),"",DATE(A2942,MATCH(B2942,{"enero","febrero","marzo","abril","mayo","junio","julio","agosto","septiembre","octubre","noviembre","diciembre"},0)+1,0))</f>
        <v/>
      </c>
      <c r="E2942" t="str">
        <f>+IFERROR(VLOOKUP(Fact_Analitica[[#This Row], [Concepto Anterior]],Conceptos_Analítica_contraloría[#All],5,0),"")</f>
        <v/>
      </c>
      <c r="F2942" t="str">
        <f>+IFERROR(VLOOKUP(Fact_Analitica[[#This Row], [Concepto Anterior]],Conceptos_Analítica_contraloría[#All],7,0),"")</f>
        <v/>
      </c>
      <c r="I2942" t="str">
        <f>+IFERROR(VLOOKUP(D2942,Conceptos_Analítica_contraloría[#All],2,0),"")</f>
        <v/>
      </c>
      <c r="J2942" s="84" t="str">
        <f>+IFERROR(VLOOKUP(D2942,Conceptos_Analítica_contraloría[#All],3,0),"")</f>
        <v/>
      </c>
    </row>
    <row r="2943" spans="3:10" ht="18.75" customHeight="1" x14ac:dyDescent="0.35">
      <c r="C2943" s="100" t="str">
        <f>IF(OR(Fact_Analitica[[#This Row], [Año]]="",Fact_Analitica[[#This Row], [Mes]]=""),"",DATE(A2943,MATCH(B2943,{"enero","febrero","marzo","abril","mayo","junio","julio","agosto","septiembre","octubre","noviembre","diciembre"},0)+1,0))</f>
        <v/>
      </c>
      <c r="E2943" t="str">
        <f>+IFERROR(VLOOKUP(Fact_Analitica[[#This Row], [Concepto Anterior]],Conceptos_Analítica_contraloría[#All],5,0),"")</f>
        <v/>
      </c>
      <c r="F2943" t="str">
        <f>+IFERROR(VLOOKUP(Fact_Analitica[[#This Row], [Concepto Anterior]],Conceptos_Analítica_contraloría[#All],7,0),"")</f>
        <v/>
      </c>
      <c r="I2943" t="str">
        <f>+IFERROR(VLOOKUP(D2943,Conceptos_Analítica_contraloría[#All],2,0),"")</f>
        <v/>
      </c>
      <c r="J2943" s="84" t="str">
        <f>+IFERROR(VLOOKUP(D2943,Conceptos_Analítica_contraloría[#All],3,0),"")</f>
        <v/>
      </c>
    </row>
    <row r="2944" spans="3:10" ht="18.75" customHeight="1" x14ac:dyDescent="0.35">
      <c r="C2944" s="100" t="str">
        <f>IF(OR(Fact_Analitica[[#This Row], [Año]]="",Fact_Analitica[[#This Row], [Mes]]=""),"",DATE(A2944,MATCH(B2944,{"enero","febrero","marzo","abril","mayo","junio","julio","agosto","septiembre","octubre","noviembre","diciembre"},0)+1,0))</f>
        <v/>
      </c>
      <c r="E2944" t="str">
        <f>+IFERROR(VLOOKUP(Fact_Analitica[[#This Row], [Concepto Anterior]],Conceptos_Analítica_contraloría[#All],5,0),"")</f>
        <v/>
      </c>
      <c r="F2944" t="str">
        <f>+IFERROR(VLOOKUP(Fact_Analitica[[#This Row], [Concepto Anterior]],Conceptos_Analítica_contraloría[#All],7,0),"")</f>
        <v/>
      </c>
      <c r="I2944" t="str">
        <f>+IFERROR(VLOOKUP(D2944,Conceptos_Analítica_contraloría[#All],2,0),"")</f>
        <v/>
      </c>
      <c r="J2944" s="84" t="str">
        <f>+IFERROR(VLOOKUP(D2944,Conceptos_Analítica_contraloría[#All],3,0),"")</f>
        <v/>
      </c>
    </row>
    <row r="2945" spans="3:10" ht="18.75" customHeight="1" x14ac:dyDescent="0.35">
      <c r="C2945" s="100" t="str">
        <f>IF(OR(Fact_Analitica[[#This Row], [Año]]="",Fact_Analitica[[#This Row], [Mes]]=""),"",DATE(A2945,MATCH(B2945,{"enero","febrero","marzo","abril","mayo","junio","julio","agosto","septiembre","octubre","noviembre","diciembre"},0)+1,0))</f>
        <v/>
      </c>
      <c r="E2945" t="str">
        <f>+IFERROR(VLOOKUP(Fact_Analitica[[#This Row], [Concepto Anterior]],Conceptos_Analítica_contraloría[#All],5,0),"")</f>
        <v/>
      </c>
      <c r="F2945" t="str">
        <f>+IFERROR(VLOOKUP(Fact_Analitica[[#This Row], [Concepto Anterior]],Conceptos_Analítica_contraloría[#All],7,0),"")</f>
        <v/>
      </c>
      <c r="I2945" t="str">
        <f>+IFERROR(VLOOKUP(D2945,Conceptos_Analítica_contraloría[#All],2,0),"")</f>
        <v/>
      </c>
      <c r="J2945" s="84" t="str">
        <f>+IFERROR(VLOOKUP(D2945,Conceptos_Analítica_contraloría[#All],3,0),"")</f>
        <v/>
      </c>
    </row>
    <row r="2946" spans="3:10" ht="18.75" customHeight="1" x14ac:dyDescent="0.35">
      <c r="C2946" s="100" t="str">
        <f>IF(OR(Fact_Analitica[[#This Row], [Año]]="",Fact_Analitica[[#This Row], [Mes]]=""),"",DATE(A2946,MATCH(B2946,{"enero","febrero","marzo","abril","mayo","junio","julio","agosto","septiembre","octubre","noviembre","diciembre"},0)+1,0))</f>
        <v/>
      </c>
      <c r="E2946" t="str">
        <f>+IFERROR(VLOOKUP(Fact_Analitica[[#This Row], [Concepto Anterior]],Conceptos_Analítica_contraloría[#All],5,0),"")</f>
        <v/>
      </c>
      <c r="F2946" t="str">
        <f>+IFERROR(VLOOKUP(Fact_Analitica[[#This Row], [Concepto Anterior]],Conceptos_Analítica_contraloría[#All],7,0),"")</f>
        <v/>
      </c>
      <c r="I2946" t="str">
        <f>+IFERROR(VLOOKUP(D2946,Conceptos_Analítica_contraloría[#All],2,0),"")</f>
        <v/>
      </c>
      <c r="J2946" s="84" t="str">
        <f>+IFERROR(VLOOKUP(D2946,Conceptos_Analítica_contraloría[#All],3,0),"")</f>
        <v/>
      </c>
    </row>
    <row r="2947" spans="3:10" ht="18.75" customHeight="1" x14ac:dyDescent="0.35">
      <c r="C2947" s="100" t="str">
        <f>IF(OR(Fact_Analitica[[#This Row], [Año]]="",Fact_Analitica[[#This Row], [Mes]]=""),"",DATE(A2947,MATCH(B2947,{"enero","febrero","marzo","abril","mayo","junio","julio","agosto","septiembre","octubre","noviembre","diciembre"},0)+1,0))</f>
        <v/>
      </c>
      <c r="E2947" t="str">
        <f>+IFERROR(VLOOKUP(Fact_Analitica[[#This Row], [Concepto Anterior]],Conceptos_Analítica_contraloría[#All],5,0),"")</f>
        <v/>
      </c>
      <c r="F2947" t="str">
        <f>+IFERROR(VLOOKUP(Fact_Analitica[[#This Row], [Concepto Anterior]],Conceptos_Analítica_contraloría[#All],7,0),"")</f>
        <v/>
      </c>
      <c r="I2947" t="str">
        <f>+IFERROR(VLOOKUP(D2947,Conceptos_Analítica_contraloría[#All],2,0),"")</f>
        <v/>
      </c>
      <c r="J2947" s="84" t="str">
        <f>+IFERROR(VLOOKUP(D2947,Conceptos_Analítica_contraloría[#All],3,0),"")</f>
        <v/>
      </c>
    </row>
    <row r="2948" spans="3:10" ht="18.75" customHeight="1" x14ac:dyDescent="0.35">
      <c r="C2948" s="100" t="str">
        <f>IF(OR(Fact_Analitica[[#This Row], [Año]]="",Fact_Analitica[[#This Row], [Mes]]=""),"",DATE(A2948,MATCH(B2948,{"enero","febrero","marzo","abril","mayo","junio","julio","agosto","septiembre","octubre","noviembre","diciembre"},0)+1,0))</f>
        <v/>
      </c>
      <c r="E2948" t="str">
        <f>+IFERROR(VLOOKUP(Fact_Analitica[[#This Row], [Concepto Anterior]],Conceptos_Analítica_contraloría[#All],5,0),"")</f>
        <v/>
      </c>
      <c r="F2948" t="str">
        <f>+IFERROR(VLOOKUP(Fact_Analitica[[#This Row], [Concepto Anterior]],Conceptos_Analítica_contraloría[#All],7,0),"")</f>
        <v/>
      </c>
      <c r="I2948" t="str">
        <f>+IFERROR(VLOOKUP(D2948,Conceptos_Analítica_contraloría[#All],2,0),"")</f>
        <v/>
      </c>
      <c r="J2948" s="84" t="str">
        <f>+IFERROR(VLOOKUP(D2948,Conceptos_Analítica_contraloría[#All],3,0),"")</f>
        <v/>
      </c>
    </row>
    <row r="2949" spans="3:10" ht="18.75" customHeight="1" x14ac:dyDescent="0.35">
      <c r="C2949" s="100" t="str">
        <f>IF(OR(Fact_Analitica[[#This Row], [Año]]="",Fact_Analitica[[#This Row], [Mes]]=""),"",DATE(A2949,MATCH(B2949,{"enero","febrero","marzo","abril","mayo","junio","julio","agosto","septiembre","octubre","noviembre","diciembre"},0)+1,0))</f>
        <v/>
      </c>
      <c r="E2949" t="str">
        <f>+IFERROR(VLOOKUP(Fact_Analitica[[#This Row], [Concepto Anterior]],Conceptos_Analítica_contraloría[#All],5,0),"")</f>
        <v/>
      </c>
      <c r="F2949" t="str">
        <f>+IFERROR(VLOOKUP(Fact_Analitica[[#This Row], [Concepto Anterior]],Conceptos_Analítica_contraloría[#All],7,0),"")</f>
        <v/>
      </c>
      <c r="I2949" t="str">
        <f>+IFERROR(VLOOKUP(D2949,Conceptos_Analítica_contraloría[#All],2,0),"")</f>
        <v/>
      </c>
      <c r="J2949" s="84" t="str">
        <f>+IFERROR(VLOOKUP(D2949,Conceptos_Analítica_contraloría[#All],3,0),"")</f>
        <v/>
      </c>
    </row>
    <row r="2950" spans="3:10" ht="18.75" customHeight="1" x14ac:dyDescent="0.35">
      <c r="C2950" s="100" t="str">
        <f>IF(OR(Fact_Analitica[[#This Row], [Año]]="",Fact_Analitica[[#This Row], [Mes]]=""),"",DATE(A2950,MATCH(B2950,{"enero","febrero","marzo","abril","mayo","junio","julio","agosto","septiembre","octubre","noviembre","diciembre"},0)+1,0))</f>
        <v/>
      </c>
      <c r="E2950" t="str">
        <f>+IFERROR(VLOOKUP(Fact_Analitica[[#This Row], [Concepto Anterior]],Conceptos_Analítica_contraloría[#All],5,0),"")</f>
        <v/>
      </c>
      <c r="F2950" t="str">
        <f>+IFERROR(VLOOKUP(Fact_Analitica[[#This Row], [Concepto Anterior]],Conceptos_Analítica_contraloría[#All],7,0),"")</f>
        <v/>
      </c>
      <c r="I2950" t="str">
        <f>+IFERROR(VLOOKUP(D2950,Conceptos_Analítica_contraloría[#All],2,0),"")</f>
        <v/>
      </c>
      <c r="J2950" s="84" t="str">
        <f>+IFERROR(VLOOKUP(D2950,Conceptos_Analítica_contraloría[#All],3,0),"")</f>
        <v/>
      </c>
    </row>
    <row r="2951" spans="3:10" ht="18.75" customHeight="1" x14ac:dyDescent="0.35">
      <c r="C2951" s="100" t="str">
        <f>IF(OR(Fact_Analitica[[#This Row], [Año]]="",Fact_Analitica[[#This Row], [Mes]]=""),"",DATE(A2951,MATCH(B2951,{"enero","febrero","marzo","abril","mayo","junio","julio","agosto","septiembre","octubre","noviembre","diciembre"},0)+1,0))</f>
        <v/>
      </c>
      <c r="E2951" t="str">
        <f>+IFERROR(VLOOKUP(Fact_Analitica[[#This Row], [Concepto Anterior]],Conceptos_Analítica_contraloría[#All],5,0),"")</f>
        <v/>
      </c>
      <c r="F2951" t="str">
        <f>+IFERROR(VLOOKUP(Fact_Analitica[[#This Row], [Concepto Anterior]],Conceptos_Analítica_contraloría[#All],7,0),"")</f>
        <v/>
      </c>
      <c r="I2951" t="str">
        <f>+IFERROR(VLOOKUP(D2951,Conceptos_Analítica_contraloría[#All],2,0),"")</f>
        <v/>
      </c>
      <c r="J2951" s="84" t="str">
        <f>+IFERROR(VLOOKUP(D2951,Conceptos_Analítica_contraloría[#All],3,0),"")</f>
        <v/>
      </c>
    </row>
    <row r="2952" spans="3:10" ht="18.75" customHeight="1" x14ac:dyDescent="0.35">
      <c r="C2952" s="100" t="str">
        <f>IF(OR(Fact_Analitica[[#This Row], [Año]]="",Fact_Analitica[[#This Row], [Mes]]=""),"",DATE(A2952,MATCH(B2952,{"enero","febrero","marzo","abril","mayo","junio","julio","agosto","septiembre","octubre","noviembre","diciembre"},0)+1,0))</f>
        <v/>
      </c>
      <c r="E2952" t="str">
        <f>+IFERROR(VLOOKUP(Fact_Analitica[[#This Row], [Concepto Anterior]],Conceptos_Analítica_contraloría[#All],5,0),"")</f>
        <v/>
      </c>
      <c r="F2952" t="str">
        <f>+IFERROR(VLOOKUP(Fact_Analitica[[#This Row], [Concepto Anterior]],Conceptos_Analítica_contraloría[#All],7,0),"")</f>
        <v/>
      </c>
      <c r="I2952" t="str">
        <f>+IFERROR(VLOOKUP(D2952,Conceptos_Analítica_contraloría[#All],2,0),"")</f>
        <v/>
      </c>
      <c r="J2952" s="84" t="str">
        <f>+IFERROR(VLOOKUP(D2952,Conceptos_Analítica_contraloría[#All],3,0),"")</f>
        <v/>
      </c>
    </row>
    <row r="2953" spans="3:10" ht="18.75" customHeight="1" x14ac:dyDescent="0.35">
      <c r="C2953" s="100" t="str">
        <f>IF(OR(Fact_Analitica[[#This Row], [Año]]="",Fact_Analitica[[#This Row], [Mes]]=""),"",DATE(A2953,MATCH(B2953,{"enero","febrero","marzo","abril","mayo","junio","julio","agosto","septiembre","octubre","noviembre","diciembre"},0)+1,0))</f>
        <v/>
      </c>
      <c r="E2953" t="str">
        <f>+IFERROR(VLOOKUP(Fact_Analitica[[#This Row], [Concepto Anterior]],Conceptos_Analítica_contraloría[#All],5,0),"")</f>
        <v/>
      </c>
      <c r="F2953" t="str">
        <f>+IFERROR(VLOOKUP(Fact_Analitica[[#This Row], [Concepto Anterior]],Conceptos_Analítica_contraloría[#All],7,0),"")</f>
        <v/>
      </c>
      <c r="I2953" t="str">
        <f>+IFERROR(VLOOKUP(D2953,Conceptos_Analítica_contraloría[#All],2,0),"")</f>
        <v/>
      </c>
      <c r="J2953" s="84" t="str">
        <f>+IFERROR(VLOOKUP(D2953,Conceptos_Analítica_contraloría[#All],3,0),"")</f>
        <v/>
      </c>
    </row>
    <row r="2954" spans="3:10" ht="18.75" customHeight="1" x14ac:dyDescent="0.35">
      <c r="C2954" s="100" t="str">
        <f>IF(OR(Fact_Analitica[[#This Row], [Año]]="",Fact_Analitica[[#This Row], [Mes]]=""),"",DATE(A2954,MATCH(B2954,{"enero","febrero","marzo","abril","mayo","junio","julio","agosto","septiembre","octubre","noviembre","diciembre"},0)+1,0))</f>
        <v/>
      </c>
      <c r="E2954" t="str">
        <f>+IFERROR(VLOOKUP(Fact_Analitica[[#This Row], [Concepto Anterior]],Conceptos_Analítica_contraloría[#All],5,0),"")</f>
        <v/>
      </c>
      <c r="F2954" t="str">
        <f>+IFERROR(VLOOKUP(Fact_Analitica[[#This Row], [Concepto Anterior]],Conceptos_Analítica_contraloría[#All],7,0),"")</f>
        <v/>
      </c>
      <c r="I2954" t="str">
        <f>+IFERROR(VLOOKUP(D2954,Conceptos_Analítica_contraloría[#All],2,0),"")</f>
        <v/>
      </c>
      <c r="J2954" s="84" t="str">
        <f>+IFERROR(VLOOKUP(D2954,Conceptos_Analítica_contraloría[#All],3,0),"")</f>
        <v/>
      </c>
    </row>
    <row r="2955" spans="3:10" ht="18.75" customHeight="1" x14ac:dyDescent="0.35">
      <c r="C2955" s="100" t="str">
        <f>IF(OR(Fact_Analitica[[#This Row], [Año]]="",Fact_Analitica[[#This Row], [Mes]]=""),"",DATE(A2955,MATCH(B2955,{"enero","febrero","marzo","abril","mayo","junio","julio","agosto","septiembre","octubre","noviembre","diciembre"},0)+1,0))</f>
        <v/>
      </c>
      <c r="E2955" t="str">
        <f>+IFERROR(VLOOKUP(Fact_Analitica[[#This Row], [Concepto Anterior]],Conceptos_Analítica_contraloría[#All],5,0),"")</f>
        <v/>
      </c>
      <c r="F2955" t="str">
        <f>+IFERROR(VLOOKUP(Fact_Analitica[[#This Row], [Concepto Anterior]],Conceptos_Analítica_contraloría[#All],7,0),"")</f>
        <v/>
      </c>
      <c r="I2955" t="str">
        <f>+IFERROR(VLOOKUP(D2955,Conceptos_Analítica_contraloría[#All],2,0),"")</f>
        <v/>
      </c>
      <c r="J2955" s="84" t="str">
        <f>+IFERROR(VLOOKUP(D2955,Conceptos_Analítica_contraloría[#All],3,0),"")</f>
        <v/>
      </c>
    </row>
    <row r="2956" spans="3:10" ht="18.75" customHeight="1" x14ac:dyDescent="0.35">
      <c r="C2956" s="100" t="str">
        <f>IF(OR(Fact_Analitica[[#This Row], [Año]]="",Fact_Analitica[[#This Row], [Mes]]=""),"",DATE(A2956,MATCH(B2956,{"enero","febrero","marzo","abril","mayo","junio","julio","agosto","septiembre","octubre","noviembre","diciembre"},0)+1,0))</f>
        <v/>
      </c>
      <c r="E2956" t="str">
        <f>+IFERROR(VLOOKUP(Fact_Analitica[[#This Row], [Concepto Anterior]],Conceptos_Analítica_contraloría[#All],5,0),"")</f>
        <v/>
      </c>
      <c r="F2956" t="str">
        <f>+IFERROR(VLOOKUP(Fact_Analitica[[#This Row], [Concepto Anterior]],Conceptos_Analítica_contraloría[#All],7,0),"")</f>
        <v/>
      </c>
      <c r="I2956" t="str">
        <f>+IFERROR(VLOOKUP(D2956,Conceptos_Analítica_contraloría[#All],2,0),"")</f>
        <v/>
      </c>
      <c r="J2956" s="84" t="str">
        <f>+IFERROR(VLOOKUP(D2956,Conceptos_Analítica_contraloría[#All],3,0),"")</f>
        <v/>
      </c>
    </row>
    <row r="2957" spans="3:10" ht="18.75" customHeight="1" x14ac:dyDescent="0.35">
      <c r="C2957" s="100" t="str">
        <f>IF(OR(Fact_Analitica[[#This Row], [Año]]="",Fact_Analitica[[#This Row], [Mes]]=""),"",DATE(A2957,MATCH(B2957,{"enero","febrero","marzo","abril","mayo","junio","julio","agosto","septiembre","octubre","noviembre","diciembre"},0)+1,0))</f>
        <v/>
      </c>
      <c r="E2957" t="str">
        <f>+IFERROR(VLOOKUP(Fact_Analitica[[#This Row], [Concepto Anterior]],Conceptos_Analítica_contraloría[#All],5,0),"")</f>
        <v/>
      </c>
      <c r="F2957" t="str">
        <f>+IFERROR(VLOOKUP(Fact_Analitica[[#This Row], [Concepto Anterior]],Conceptos_Analítica_contraloría[#All],7,0),"")</f>
        <v/>
      </c>
      <c r="I2957" t="str">
        <f>+IFERROR(VLOOKUP(D2957,Conceptos_Analítica_contraloría[#All],2,0),"")</f>
        <v/>
      </c>
      <c r="J2957" s="84" t="str">
        <f>+IFERROR(VLOOKUP(D2957,Conceptos_Analítica_contraloría[#All],3,0),"")</f>
        <v/>
      </c>
    </row>
    <row r="2958" spans="3:10" ht="18.75" customHeight="1" x14ac:dyDescent="0.35">
      <c r="C2958" s="100" t="str">
        <f>IF(OR(Fact_Analitica[[#This Row], [Año]]="",Fact_Analitica[[#This Row], [Mes]]=""),"",DATE(A2958,MATCH(B2958,{"enero","febrero","marzo","abril","mayo","junio","julio","agosto","septiembre","octubre","noviembre","diciembre"},0)+1,0))</f>
        <v/>
      </c>
      <c r="E2958" t="str">
        <f>+IFERROR(VLOOKUP(Fact_Analitica[[#This Row], [Concepto Anterior]],Conceptos_Analítica_contraloría[#All],5,0),"")</f>
        <v/>
      </c>
      <c r="F2958" t="str">
        <f>+IFERROR(VLOOKUP(Fact_Analitica[[#This Row], [Concepto Anterior]],Conceptos_Analítica_contraloría[#All],7,0),"")</f>
        <v/>
      </c>
      <c r="I2958" t="str">
        <f>+IFERROR(VLOOKUP(D2958,Conceptos_Analítica_contraloría[#All],2,0),"")</f>
        <v/>
      </c>
      <c r="J2958" s="84" t="str">
        <f>+IFERROR(VLOOKUP(D2958,Conceptos_Analítica_contraloría[#All],3,0),"")</f>
        <v/>
      </c>
    </row>
    <row r="2959" spans="3:10" ht="18.75" customHeight="1" x14ac:dyDescent="0.35">
      <c r="C2959" s="100" t="str">
        <f>IF(OR(Fact_Analitica[[#This Row], [Año]]="",Fact_Analitica[[#This Row], [Mes]]=""),"",DATE(A2959,MATCH(B2959,{"enero","febrero","marzo","abril","mayo","junio","julio","agosto","septiembre","octubre","noviembre","diciembre"},0)+1,0))</f>
        <v/>
      </c>
      <c r="E2959" t="str">
        <f>+IFERROR(VLOOKUP(Fact_Analitica[[#This Row], [Concepto Anterior]],Conceptos_Analítica_contraloría[#All],5,0),"")</f>
        <v/>
      </c>
      <c r="F2959" t="str">
        <f>+IFERROR(VLOOKUP(Fact_Analitica[[#This Row], [Concepto Anterior]],Conceptos_Analítica_contraloría[#All],7,0),"")</f>
        <v/>
      </c>
      <c r="I2959" t="str">
        <f>+IFERROR(VLOOKUP(D2959,Conceptos_Analítica_contraloría[#All],2,0),"")</f>
        <v/>
      </c>
      <c r="J2959" s="84" t="str">
        <f>+IFERROR(VLOOKUP(D2959,Conceptos_Analítica_contraloría[#All],3,0),"")</f>
        <v/>
      </c>
    </row>
    <row r="2960" spans="3:10" ht="18.75" customHeight="1" x14ac:dyDescent="0.35">
      <c r="C2960" s="100" t="str">
        <f>IF(OR(Fact_Analitica[[#This Row], [Año]]="",Fact_Analitica[[#This Row], [Mes]]=""),"",DATE(A2960,MATCH(B2960,{"enero","febrero","marzo","abril","mayo","junio","julio","agosto","septiembre","octubre","noviembre","diciembre"},0)+1,0))</f>
        <v/>
      </c>
      <c r="E2960" t="str">
        <f>+IFERROR(VLOOKUP(Fact_Analitica[[#This Row], [Concepto Anterior]],Conceptos_Analítica_contraloría[#All],5,0),"")</f>
        <v/>
      </c>
      <c r="F2960" t="str">
        <f>+IFERROR(VLOOKUP(Fact_Analitica[[#This Row], [Concepto Anterior]],Conceptos_Analítica_contraloría[#All],7,0),"")</f>
        <v/>
      </c>
      <c r="I2960" t="str">
        <f>+IFERROR(VLOOKUP(D2960,Conceptos_Analítica_contraloría[#All],2,0),"")</f>
        <v/>
      </c>
      <c r="J2960" s="84" t="str">
        <f>+IFERROR(VLOOKUP(D2960,Conceptos_Analítica_contraloría[#All],3,0),"")</f>
        <v/>
      </c>
    </row>
    <row r="2961" spans="3:10" ht="18.75" customHeight="1" x14ac:dyDescent="0.35">
      <c r="C2961" s="100" t="str">
        <f>IF(OR(Fact_Analitica[[#This Row], [Año]]="",Fact_Analitica[[#This Row], [Mes]]=""),"",DATE(A2961,MATCH(B2961,{"enero","febrero","marzo","abril","mayo","junio","julio","agosto","septiembre","octubre","noviembre","diciembre"},0)+1,0))</f>
        <v/>
      </c>
      <c r="E2961" t="str">
        <f>+IFERROR(VLOOKUP(Fact_Analitica[[#This Row], [Concepto Anterior]],Conceptos_Analítica_contraloría[#All],5,0),"")</f>
        <v/>
      </c>
      <c r="F2961" t="str">
        <f>+IFERROR(VLOOKUP(Fact_Analitica[[#This Row], [Concepto Anterior]],Conceptos_Analítica_contraloría[#All],7,0),"")</f>
        <v/>
      </c>
      <c r="I2961" t="str">
        <f>+IFERROR(VLOOKUP(D2961,Conceptos_Analítica_contraloría[#All],2,0),"")</f>
        <v/>
      </c>
      <c r="J2961" s="84" t="str">
        <f>+IFERROR(VLOOKUP(D2961,Conceptos_Analítica_contraloría[#All],3,0),"")</f>
        <v/>
      </c>
    </row>
    <row r="2962" spans="3:10" ht="18.75" customHeight="1" x14ac:dyDescent="0.35">
      <c r="C2962" s="100" t="str">
        <f>IF(OR(Fact_Analitica[[#This Row], [Año]]="",Fact_Analitica[[#This Row], [Mes]]=""),"",DATE(A2962,MATCH(B2962,{"enero","febrero","marzo","abril","mayo","junio","julio","agosto","septiembre","octubre","noviembre","diciembre"},0)+1,0))</f>
        <v/>
      </c>
      <c r="E2962" t="str">
        <f>+IFERROR(VLOOKUP(Fact_Analitica[[#This Row], [Concepto Anterior]],Conceptos_Analítica_contraloría[#All],5,0),"")</f>
        <v/>
      </c>
      <c r="F2962" t="str">
        <f>+IFERROR(VLOOKUP(Fact_Analitica[[#This Row], [Concepto Anterior]],Conceptos_Analítica_contraloría[#All],7,0),"")</f>
        <v/>
      </c>
      <c r="I2962" t="str">
        <f>+IFERROR(VLOOKUP(D2962,Conceptos_Analítica_contraloría[#All],2,0),"")</f>
        <v/>
      </c>
      <c r="J2962" s="84" t="str">
        <f>+IFERROR(VLOOKUP(D2962,Conceptos_Analítica_contraloría[#All],3,0),"")</f>
        <v/>
      </c>
    </row>
    <row r="2963" spans="3:10" ht="18.75" customHeight="1" x14ac:dyDescent="0.35">
      <c r="C2963" s="100" t="str">
        <f>IF(OR(Fact_Analitica[[#This Row], [Año]]="",Fact_Analitica[[#This Row], [Mes]]=""),"",DATE(A2963,MATCH(B2963,{"enero","febrero","marzo","abril","mayo","junio","julio","agosto","septiembre","octubre","noviembre","diciembre"},0)+1,0))</f>
        <v/>
      </c>
      <c r="E2963" t="str">
        <f>+IFERROR(VLOOKUP(Fact_Analitica[[#This Row], [Concepto Anterior]],Conceptos_Analítica_contraloría[#All],5,0),"")</f>
        <v/>
      </c>
      <c r="F2963" t="str">
        <f>+IFERROR(VLOOKUP(Fact_Analitica[[#This Row], [Concepto Anterior]],Conceptos_Analítica_contraloría[#All],7,0),"")</f>
        <v/>
      </c>
      <c r="I2963" t="str">
        <f>+IFERROR(VLOOKUP(D2963,Conceptos_Analítica_contraloría[#All],2,0),"")</f>
        <v/>
      </c>
      <c r="J2963" s="84" t="str">
        <f>+IFERROR(VLOOKUP(D2963,Conceptos_Analítica_contraloría[#All],3,0),"")</f>
        <v/>
      </c>
    </row>
    <row r="2964" spans="3:10" ht="18.75" customHeight="1" x14ac:dyDescent="0.35">
      <c r="C2964" s="100" t="str">
        <f>IF(OR(Fact_Analitica[[#This Row], [Año]]="",Fact_Analitica[[#This Row], [Mes]]=""),"",DATE(A2964,MATCH(B2964,{"enero","febrero","marzo","abril","mayo","junio","julio","agosto","septiembre","octubre","noviembre","diciembre"},0)+1,0))</f>
        <v/>
      </c>
      <c r="E2964" t="str">
        <f>+IFERROR(VLOOKUP(Fact_Analitica[[#This Row], [Concepto Anterior]],Conceptos_Analítica_contraloría[#All],5,0),"")</f>
        <v/>
      </c>
      <c r="F2964" t="str">
        <f>+IFERROR(VLOOKUP(Fact_Analitica[[#This Row], [Concepto Anterior]],Conceptos_Analítica_contraloría[#All],7,0),"")</f>
        <v/>
      </c>
      <c r="I2964" t="str">
        <f>+IFERROR(VLOOKUP(D2964,Conceptos_Analítica_contraloría[#All],2,0),"")</f>
        <v/>
      </c>
      <c r="J2964" s="84" t="str">
        <f>+IFERROR(VLOOKUP(D2964,Conceptos_Analítica_contraloría[#All],3,0),"")</f>
        <v/>
      </c>
    </row>
    <row r="2965" spans="3:10" ht="18.75" customHeight="1" x14ac:dyDescent="0.35">
      <c r="C2965" s="100" t="str">
        <f>IF(OR(Fact_Analitica[[#This Row], [Año]]="",Fact_Analitica[[#This Row], [Mes]]=""),"",DATE(A2965,MATCH(B2965,{"enero","febrero","marzo","abril","mayo","junio","julio","agosto","septiembre","octubre","noviembre","diciembre"},0)+1,0))</f>
        <v/>
      </c>
      <c r="E2965" t="str">
        <f>+IFERROR(VLOOKUP(Fact_Analitica[[#This Row], [Concepto Anterior]],Conceptos_Analítica_contraloría[#All],5,0),"")</f>
        <v/>
      </c>
      <c r="F2965" t="str">
        <f>+IFERROR(VLOOKUP(Fact_Analitica[[#This Row], [Concepto Anterior]],Conceptos_Analítica_contraloría[#All],7,0),"")</f>
        <v/>
      </c>
      <c r="I2965" t="str">
        <f>+IFERROR(VLOOKUP(D2965,Conceptos_Analítica_contraloría[#All],2,0),"")</f>
        <v/>
      </c>
      <c r="J2965" s="84" t="str">
        <f>+IFERROR(VLOOKUP(D2965,Conceptos_Analítica_contraloría[#All],3,0),"")</f>
        <v/>
      </c>
    </row>
    <row r="2966" spans="3:10" ht="18.75" customHeight="1" x14ac:dyDescent="0.35">
      <c r="C2966" s="100" t="str">
        <f>IF(OR(Fact_Analitica[[#This Row], [Año]]="",Fact_Analitica[[#This Row], [Mes]]=""),"",DATE(A2966,MATCH(B2966,{"enero","febrero","marzo","abril","mayo","junio","julio","agosto","septiembre","octubre","noviembre","diciembre"},0)+1,0))</f>
        <v/>
      </c>
      <c r="E2966" t="str">
        <f>+IFERROR(VLOOKUP(Fact_Analitica[[#This Row], [Concepto Anterior]],Conceptos_Analítica_contraloría[#All],5,0),"")</f>
        <v/>
      </c>
      <c r="F2966" t="str">
        <f>+IFERROR(VLOOKUP(Fact_Analitica[[#This Row], [Concepto Anterior]],Conceptos_Analítica_contraloría[#All],7,0),"")</f>
        <v/>
      </c>
      <c r="I2966" t="str">
        <f>+IFERROR(VLOOKUP(D2966,Conceptos_Analítica_contraloría[#All],2,0),"")</f>
        <v/>
      </c>
      <c r="J2966" s="84" t="str">
        <f>+IFERROR(VLOOKUP(D2966,Conceptos_Analítica_contraloría[#All],3,0),"")</f>
        <v/>
      </c>
    </row>
    <row r="2967" spans="3:10" ht="18.75" customHeight="1" x14ac:dyDescent="0.35">
      <c r="C2967" s="100" t="str">
        <f>IF(OR(Fact_Analitica[[#This Row], [Año]]="",Fact_Analitica[[#This Row], [Mes]]=""),"",DATE(A2967,MATCH(B2967,{"enero","febrero","marzo","abril","mayo","junio","julio","agosto","septiembre","octubre","noviembre","diciembre"},0)+1,0))</f>
        <v/>
      </c>
      <c r="E2967" t="str">
        <f>+IFERROR(VLOOKUP(Fact_Analitica[[#This Row], [Concepto Anterior]],Conceptos_Analítica_contraloría[#All],5,0),"")</f>
        <v/>
      </c>
      <c r="F2967" t="str">
        <f>+IFERROR(VLOOKUP(Fact_Analitica[[#This Row], [Concepto Anterior]],Conceptos_Analítica_contraloría[#All],7,0),"")</f>
        <v/>
      </c>
      <c r="I2967" t="str">
        <f>+IFERROR(VLOOKUP(D2967,Conceptos_Analítica_contraloría[#All],2,0),"")</f>
        <v/>
      </c>
      <c r="J2967" s="84" t="str">
        <f>+IFERROR(VLOOKUP(D2967,Conceptos_Analítica_contraloría[#All],3,0),"")</f>
        <v/>
      </c>
    </row>
    <row r="2968" spans="3:10" ht="18.75" customHeight="1" x14ac:dyDescent="0.35">
      <c r="C2968" s="100" t="str">
        <f>IF(OR(Fact_Analitica[[#This Row], [Año]]="",Fact_Analitica[[#This Row], [Mes]]=""),"",DATE(A2968,MATCH(B2968,{"enero","febrero","marzo","abril","mayo","junio","julio","agosto","septiembre","octubre","noviembre","diciembre"},0)+1,0))</f>
        <v/>
      </c>
      <c r="E2968" t="str">
        <f>+IFERROR(VLOOKUP(Fact_Analitica[[#This Row], [Concepto Anterior]],Conceptos_Analítica_contraloría[#All],5,0),"")</f>
        <v/>
      </c>
      <c r="F2968" t="str">
        <f>+IFERROR(VLOOKUP(Fact_Analitica[[#This Row], [Concepto Anterior]],Conceptos_Analítica_contraloría[#All],7,0),"")</f>
        <v/>
      </c>
      <c r="I2968" t="str">
        <f>+IFERROR(VLOOKUP(D2968,Conceptos_Analítica_contraloría[#All],2,0),"")</f>
        <v/>
      </c>
      <c r="J2968" s="84" t="str">
        <f>+IFERROR(VLOOKUP(D2968,Conceptos_Analítica_contraloría[#All],3,0),"")</f>
        <v/>
      </c>
    </row>
    <row r="2969" spans="3:10" ht="18.75" customHeight="1" x14ac:dyDescent="0.35">
      <c r="C2969" s="100" t="str">
        <f>IF(OR(Fact_Analitica[[#This Row], [Año]]="",Fact_Analitica[[#This Row], [Mes]]=""),"",DATE(A2969,MATCH(B2969,{"enero","febrero","marzo","abril","mayo","junio","julio","agosto","septiembre","octubre","noviembre","diciembre"},0)+1,0))</f>
        <v/>
      </c>
      <c r="E2969" t="str">
        <f>+IFERROR(VLOOKUP(Fact_Analitica[[#This Row], [Concepto Anterior]],Conceptos_Analítica_contraloría[#All],5,0),"")</f>
        <v/>
      </c>
      <c r="F2969" t="str">
        <f>+IFERROR(VLOOKUP(Fact_Analitica[[#This Row], [Concepto Anterior]],Conceptos_Analítica_contraloría[#All],7,0),"")</f>
        <v/>
      </c>
      <c r="I2969" t="str">
        <f>+IFERROR(VLOOKUP(D2969,Conceptos_Analítica_contraloría[#All],2,0),"")</f>
        <v/>
      </c>
      <c r="J2969" s="84" t="str">
        <f>+IFERROR(VLOOKUP(D2969,Conceptos_Analítica_contraloría[#All],3,0),"")</f>
        <v/>
      </c>
    </row>
    <row r="2970" spans="3:10" ht="18.75" customHeight="1" x14ac:dyDescent="0.35">
      <c r="C2970" s="100" t="str">
        <f>IF(OR(Fact_Analitica[[#This Row], [Año]]="",Fact_Analitica[[#This Row], [Mes]]=""),"",DATE(A2970,MATCH(B2970,{"enero","febrero","marzo","abril","mayo","junio","julio","agosto","septiembre","octubre","noviembre","diciembre"},0)+1,0))</f>
        <v/>
      </c>
      <c r="E2970" t="str">
        <f>+IFERROR(VLOOKUP(Fact_Analitica[[#This Row], [Concepto Anterior]],Conceptos_Analítica_contraloría[#All],5,0),"")</f>
        <v/>
      </c>
      <c r="F2970" t="str">
        <f>+IFERROR(VLOOKUP(Fact_Analitica[[#This Row], [Concepto Anterior]],Conceptos_Analítica_contraloría[#All],7,0),"")</f>
        <v/>
      </c>
      <c r="I2970" t="str">
        <f>+IFERROR(VLOOKUP(D2970,Conceptos_Analítica_contraloría[#All],2,0),"")</f>
        <v/>
      </c>
      <c r="J2970" s="84" t="str">
        <f>+IFERROR(VLOOKUP(D2970,Conceptos_Analítica_contraloría[#All],3,0),"")</f>
        <v/>
      </c>
    </row>
    <row r="2971" spans="3:10" ht="18.75" customHeight="1" x14ac:dyDescent="0.35">
      <c r="C2971" s="100" t="str">
        <f>IF(OR(Fact_Analitica[[#This Row], [Año]]="",Fact_Analitica[[#This Row], [Mes]]=""),"",DATE(A2971,MATCH(B2971,{"enero","febrero","marzo","abril","mayo","junio","julio","agosto","septiembre","octubre","noviembre","diciembre"},0)+1,0))</f>
        <v/>
      </c>
      <c r="E2971" t="str">
        <f>+IFERROR(VLOOKUP(Fact_Analitica[[#This Row], [Concepto Anterior]],Conceptos_Analítica_contraloría[#All],5,0),"")</f>
        <v/>
      </c>
      <c r="F2971" t="str">
        <f>+IFERROR(VLOOKUP(Fact_Analitica[[#This Row], [Concepto Anterior]],Conceptos_Analítica_contraloría[#All],7,0),"")</f>
        <v/>
      </c>
      <c r="I2971" t="str">
        <f>+IFERROR(VLOOKUP(D2971,Conceptos_Analítica_contraloría[#All],2,0),"")</f>
        <v/>
      </c>
      <c r="J2971" s="84" t="str">
        <f>+IFERROR(VLOOKUP(D2971,Conceptos_Analítica_contraloría[#All],3,0),"")</f>
        <v/>
      </c>
    </row>
    <row r="2972" spans="3:10" ht="18.75" customHeight="1" x14ac:dyDescent="0.35">
      <c r="C2972" s="100" t="str">
        <f>IF(OR(Fact_Analitica[[#This Row], [Año]]="",Fact_Analitica[[#This Row], [Mes]]=""),"",DATE(A2972,MATCH(B2972,{"enero","febrero","marzo","abril","mayo","junio","julio","agosto","septiembre","octubre","noviembre","diciembre"},0)+1,0))</f>
        <v/>
      </c>
      <c r="E2972" t="str">
        <f>+IFERROR(VLOOKUP(Fact_Analitica[[#This Row], [Concepto Anterior]],Conceptos_Analítica_contraloría[#All],5,0),"")</f>
        <v/>
      </c>
      <c r="F2972" t="str">
        <f>+IFERROR(VLOOKUP(Fact_Analitica[[#This Row], [Concepto Anterior]],Conceptos_Analítica_contraloría[#All],7,0),"")</f>
        <v/>
      </c>
      <c r="I2972" t="str">
        <f>+IFERROR(VLOOKUP(D2972,Conceptos_Analítica_contraloría[#All],2,0),"")</f>
        <v/>
      </c>
      <c r="J2972" s="84" t="str">
        <f>+IFERROR(VLOOKUP(D2972,Conceptos_Analítica_contraloría[#All],3,0),"")</f>
        <v/>
      </c>
    </row>
    <row r="2973" spans="3:10" ht="18.75" customHeight="1" x14ac:dyDescent="0.35">
      <c r="C2973" s="100" t="str">
        <f>IF(OR(Fact_Analitica[[#This Row], [Año]]="",Fact_Analitica[[#This Row], [Mes]]=""),"",DATE(A2973,MATCH(B2973,{"enero","febrero","marzo","abril","mayo","junio","julio","agosto","septiembre","octubre","noviembre","diciembre"},0)+1,0))</f>
        <v/>
      </c>
      <c r="E2973" t="str">
        <f>+IFERROR(VLOOKUP(Fact_Analitica[[#This Row], [Concepto Anterior]],Conceptos_Analítica_contraloría[#All],5,0),"")</f>
        <v/>
      </c>
      <c r="F2973" t="str">
        <f>+IFERROR(VLOOKUP(Fact_Analitica[[#This Row], [Concepto Anterior]],Conceptos_Analítica_contraloría[#All],7,0),"")</f>
        <v/>
      </c>
      <c r="I2973" t="str">
        <f>+IFERROR(VLOOKUP(D2973,Conceptos_Analítica_contraloría[#All],2,0),"")</f>
        <v/>
      </c>
      <c r="J2973" s="84" t="str">
        <f>+IFERROR(VLOOKUP(D2973,Conceptos_Analítica_contraloría[#All],3,0),"")</f>
        <v/>
      </c>
    </row>
    <row r="2974" spans="3:10" ht="18.75" customHeight="1" x14ac:dyDescent="0.35">
      <c r="C2974" s="100" t="str">
        <f>IF(OR(Fact_Analitica[[#This Row], [Año]]="",Fact_Analitica[[#This Row], [Mes]]=""),"",DATE(A2974,MATCH(B2974,{"enero","febrero","marzo","abril","mayo","junio","julio","agosto","septiembre","octubre","noviembre","diciembre"},0)+1,0))</f>
        <v/>
      </c>
      <c r="E2974" t="str">
        <f>+IFERROR(VLOOKUP(Fact_Analitica[[#This Row], [Concepto Anterior]],Conceptos_Analítica_contraloría[#All],5,0),"")</f>
        <v/>
      </c>
      <c r="F2974" t="str">
        <f>+IFERROR(VLOOKUP(Fact_Analitica[[#This Row], [Concepto Anterior]],Conceptos_Analítica_contraloría[#All],7,0),"")</f>
        <v/>
      </c>
      <c r="I2974" t="str">
        <f>+IFERROR(VLOOKUP(D2974,Conceptos_Analítica_contraloría[#All],2,0),"")</f>
        <v/>
      </c>
      <c r="J2974" s="84" t="str">
        <f>+IFERROR(VLOOKUP(D2974,Conceptos_Analítica_contraloría[#All],3,0),"")</f>
        <v/>
      </c>
    </row>
    <row r="2975" spans="3:10" ht="18.75" customHeight="1" x14ac:dyDescent="0.35">
      <c r="C2975" s="100" t="str">
        <f>IF(OR(Fact_Analitica[[#This Row], [Año]]="",Fact_Analitica[[#This Row], [Mes]]=""),"",DATE(A2975,MATCH(B2975,{"enero","febrero","marzo","abril","mayo","junio","julio","agosto","septiembre","octubre","noviembre","diciembre"},0)+1,0))</f>
        <v/>
      </c>
      <c r="E2975" t="str">
        <f>+IFERROR(VLOOKUP(Fact_Analitica[[#This Row], [Concepto Anterior]],Conceptos_Analítica_contraloría[#All],5,0),"")</f>
        <v/>
      </c>
      <c r="F2975" t="str">
        <f>+IFERROR(VLOOKUP(Fact_Analitica[[#This Row], [Concepto Anterior]],Conceptos_Analítica_contraloría[#All],7,0),"")</f>
        <v/>
      </c>
      <c r="I2975" t="str">
        <f>+IFERROR(VLOOKUP(D2975,Conceptos_Analítica_contraloría[#All],2,0),"")</f>
        <v/>
      </c>
      <c r="J2975" s="84" t="str">
        <f>+IFERROR(VLOOKUP(D2975,Conceptos_Analítica_contraloría[#All],3,0),"")</f>
        <v/>
      </c>
    </row>
    <row r="2976" spans="3:10" ht="18.75" customHeight="1" x14ac:dyDescent="0.35">
      <c r="C2976" s="100" t="str">
        <f>IF(OR(Fact_Analitica[[#This Row], [Año]]="",Fact_Analitica[[#This Row], [Mes]]=""),"",DATE(A2976,MATCH(B2976,{"enero","febrero","marzo","abril","mayo","junio","julio","agosto","septiembre","octubre","noviembre","diciembre"},0)+1,0))</f>
        <v/>
      </c>
      <c r="E2976" t="str">
        <f>+IFERROR(VLOOKUP(Fact_Analitica[[#This Row], [Concepto Anterior]],Conceptos_Analítica_contraloría[#All],5,0),"")</f>
        <v/>
      </c>
      <c r="F2976" t="str">
        <f>+IFERROR(VLOOKUP(Fact_Analitica[[#This Row], [Concepto Anterior]],Conceptos_Analítica_contraloría[#All],7,0),"")</f>
        <v/>
      </c>
      <c r="I2976" t="str">
        <f>+IFERROR(VLOOKUP(D2976,Conceptos_Analítica_contraloría[#All],2,0),"")</f>
        <v/>
      </c>
      <c r="J2976" s="84" t="str">
        <f>+IFERROR(VLOOKUP(D2976,Conceptos_Analítica_contraloría[#All],3,0),"")</f>
        <v/>
      </c>
    </row>
    <row r="2977" spans="3:10" ht="18.75" customHeight="1" x14ac:dyDescent="0.35">
      <c r="C2977" s="100" t="str">
        <f>IF(OR(Fact_Analitica[[#This Row], [Año]]="",Fact_Analitica[[#This Row], [Mes]]=""),"",DATE(A2977,MATCH(B2977,{"enero","febrero","marzo","abril","mayo","junio","julio","agosto","septiembre","octubre","noviembre","diciembre"},0)+1,0))</f>
        <v/>
      </c>
      <c r="E2977" t="str">
        <f>+IFERROR(VLOOKUP(Fact_Analitica[[#This Row], [Concepto Anterior]],Conceptos_Analítica_contraloría[#All],5,0),"")</f>
        <v/>
      </c>
      <c r="F2977" t="str">
        <f>+IFERROR(VLOOKUP(Fact_Analitica[[#This Row], [Concepto Anterior]],Conceptos_Analítica_contraloría[#All],7,0),"")</f>
        <v/>
      </c>
      <c r="I2977" t="str">
        <f>+IFERROR(VLOOKUP(D2977,Conceptos_Analítica_contraloría[#All],2,0),"")</f>
        <v/>
      </c>
      <c r="J2977" s="84" t="str">
        <f>+IFERROR(VLOOKUP(D2977,Conceptos_Analítica_contraloría[#All],3,0),"")</f>
        <v/>
      </c>
    </row>
    <row r="2978" spans="3:10" ht="18.75" customHeight="1" x14ac:dyDescent="0.35">
      <c r="C2978" s="100" t="str">
        <f>IF(OR(Fact_Analitica[[#This Row], [Año]]="",Fact_Analitica[[#This Row], [Mes]]=""),"",DATE(A2978,MATCH(B2978,{"enero","febrero","marzo","abril","mayo","junio","julio","agosto","septiembre","octubre","noviembre","diciembre"},0)+1,0))</f>
        <v/>
      </c>
      <c r="E2978" t="str">
        <f>+IFERROR(VLOOKUP(Fact_Analitica[[#This Row], [Concepto Anterior]],Conceptos_Analítica_contraloría[#All],5,0),"")</f>
        <v/>
      </c>
      <c r="F2978" t="str">
        <f>+IFERROR(VLOOKUP(Fact_Analitica[[#This Row], [Concepto Anterior]],Conceptos_Analítica_contraloría[#All],7,0),"")</f>
        <v/>
      </c>
      <c r="I2978" t="str">
        <f>+IFERROR(VLOOKUP(D2978,Conceptos_Analítica_contraloría[#All],2,0),"")</f>
        <v/>
      </c>
      <c r="J2978" s="84" t="str">
        <f>+IFERROR(VLOOKUP(D2978,Conceptos_Analítica_contraloría[#All],3,0),"")</f>
        <v/>
      </c>
    </row>
    <row r="2979" spans="3:10" ht="18.75" customHeight="1" x14ac:dyDescent="0.35">
      <c r="C2979" s="100" t="str">
        <f>IF(OR(Fact_Analitica[[#This Row], [Año]]="",Fact_Analitica[[#This Row], [Mes]]=""),"",DATE(A2979,MATCH(B2979,{"enero","febrero","marzo","abril","mayo","junio","julio","agosto","septiembre","octubre","noviembre","diciembre"},0)+1,0))</f>
        <v/>
      </c>
      <c r="E2979" t="str">
        <f>+IFERROR(VLOOKUP(Fact_Analitica[[#This Row], [Concepto Anterior]],Conceptos_Analítica_contraloría[#All],5,0),"")</f>
        <v/>
      </c>
      <c r="F2979" t="str">
        <f>+IFERROR(VLOOKUP(Fact_Analitica[[#This Row], [Concepto Anterior]],Conceptos_Analítica_contraloría[#All],7,0),"")</f>
        <v/>
      </c>
      <c r="I2979" t="str">
        <f>+IFERROR(VLOOKUP(D2979,Conceptos_Analítica_contraloría[#All],2,0),"")</f>
        <v/>
      </c>
      <c r="J2979" s="84" t="str">
        <f>+IFERROR(VLOOKUP(D2979,Conceptos_Analítica_contraloría[#All],3,0),"")</f>
        <v/>
      </c>
    </row>
    <row r="2980" spans="3:10" ht="18.75" customHeight="1" x14ac:dyDescent="0.35">
      <c r="C2980" s="100" t="str">
        <f>IF(OR(Fact_Analitica[[#This Row], [Año]]="",Fact_Analitica[[#This Row], [Mes]]=""),"",DATE(A2980,MATCH(B2980,{"enero","febrero","marzo","abril","mayo","junio","julio","agosto","septiembre","octubre","noviembre","diciembre"},0)+1,0))</f>
        <v/>
      </c>
      <c r="E2980" t="str">
        <f>+IFERROR(VLOOKUP(Fact_Analitica[[#This Row], [Concepto Anterior]],Conceptos_Analítica_contraloría[#All],5,0),"")</f>
        <v/>
      </c>
      <c r="F2980" t="str">
        <f>+IFERROR(VLOOKUP(Fact_Analitica[[#This Row], [Concepto Anterior]],Conceptos_Analítica_contraloría[#All],7,0),"")</f>
        <v/>
      </c>
      <c r="I2980" t="str">
        <f>+IFERROR(VLOOKUP(D2980,Conceptos_Analítica_contraloría[#All],2,0),"")</f>
        <v/>
      </c>
      <c r="J2980" s="84" t="str">
        <f>+IFERROR(VLOOKUP(D2980,Conceptos_Analítica_contraloría[#All],3,0),"")</f>
        <v/>
      </c>
    </row>
    <row r="2981" spans="3:10" ht="18.75" customHeight="1" x14ac:dyDescent="0.35">
      <c r="C2981" s="100" t="str">
        <f>IF(OR(Fact_Analitica[[#This Row], [Año]]="",Fact_Analitica[[#This Row], [Mes]]=""),"",DATE(A2981,MATCH(B2981,{"enero","febrero","marzo","abril","mayo","junio","julio","agosto","septiembre","octubre","noviembre","diciembre"},0)+1,0))</f>
        <v/>
      </c>
      <c r="E2981" t="str">
        <f>+IFERROR(VLOOKUP(Fact_Analitica[[#This Row], [Concepto Anterior]],Conceptos_Analítica_contraloría[#All],5,0),"")</f>
        <v/>
      </c>
      <c r="F2981" t="str">
        <f>+IFERROR(VLOOKUP(Fact_Analitica[[#This Row], [Concepto Anterior]],Conceptos_Analítica_contraloría[#All],7,0),"")</f>
        <v/>
      </c>
      <c r="I2981" t="str">
        <f>+IFERROR(VLOOKUP(D2981,Conceptos_Analítica_contraloría[#All],2,0),"")</f>
        <v/>
      </c>
      <c r="J2981" s="84" t="str">
        <f>+IFERROR(VLOOKUP(D2981,Conceptos_Analítica_contraloría[#All],3,0),"")</f>
        <v/>
      </c>
    </row>
    <row r="2982" spans="3:10" ht="18.75" customHeight="1" x14ac:dyDescent="0.35">
      <c r="C2982" s="100" t="str">
        <f>IF(OR(Fact_Analitica[[#This Row], [Año]]="",Fact_Analitica[[#This Row], [Mes]]=""),"",DATE(A2982,MATCH(B2982,{"enero","febrero","marzo","abril","mayo","junio","julio","agosto","septiembre","octubre","noviembre","diciembre"},0)+1,0))</f>
        <v/>
      </c>
      <c r="E2982" t="str">
        <f>+IFERROR(VLOOKUP(Fact_Analitica[[#This Row], [Concepto Anterior]],Conceptos_Analítica_contraloría[#All],5,0),"")</f>
        <v/>
      </c>
      <c r="F2982" t="str">
        <f>+IFERROR(VLOOKUP(Fact_Analitica[[#This Row], [Concepto Anterior]],Conceptos_Analítica_contraloría[#All],7,0),"")</f>
        <v/>
      </c>
      <c r="I2982" t="str">
        <f>+IFERROR(VLOOKUP(D2982,Conceptos_Analítica_contraloría[#All],2,0),"")</f>
        <v/>
      </c>
      <c r="J2982" s="84" t="str">
        <f>+IFERROR(VLOOKUP(D2982,Conceptos_Analítica_contraloría[#All],3,0),"")</f>
        <v/>
      </c>
    </row>
    <row r="2983" spans="3:10" ht="18.75" customHeight="1" x14ac:dyDescent="0.35">
      <c r="C2983" s="100" t="str">
        <f>IF(OR(Fact_Analitica[[#This Row], [Año]]="",Fact_Analitica[[#This Row], [Mes]]=""),"",DATE(A2983,MATCH(B2983,{"enero","febrero","marzo","abril","mayo","junio","julio","agosto","septiembre","octubre","noviembre","diciembre"},0)+1,0))</f>
        <v/>
      </c>
      <c r="E2983" t="str">
        <f>+IFERROR(VLOOKUP(Fact_Analitica[[#This Row], [Concepto Anterior]],Conceptos_Analítica_contraloría[#All],5,0),"")</f>
        <v/>
      </c>
      <c r="F2983" t="str">
        <f>+IFERROR(VLOOKUP(Fact_Analitica[[#This Row], [Concepto Anterior]],Conceptos_Analítica_contraloría[#All],7,0),"")</f>
        <v/>
      </c>
      <c r="I2983" t="str">
        <f>+IFERROR(VLOOKUP(D2983,Conceptos_Analítica_contraloría[#All],2,0),"")</f>
        <v/>
      </c>
      <c r="J2983" s="84" t="str">
        <f>+IFERROR(VLOOKUP(D2983,Conceptos_Analítica_contraloría[#All],3,0),"")</f>
        <v/>
      </c>
    </row>
    <row r="2984" spans="3:10" ht="18.75" customHeight="1" x14ac:dyDescent="0.35">
      <c r="C2984" s="100" t="str">
        <f>IF(OR(Fact_Analitica[[#This Row], [Año]]="",Fact_Analitica[[#This Row], [Mes]]=""),"",DATE(A2984,MATCH(B2984,{"enero","febrero","marzo","abril","mayo","junio","julio","agosto","septiembre","octubre","noviembre","diciembre"},0)+1,0))</f>
        <v/>
      </c>
      <c r="E2984" t="str">
        <f>+IFERROR(VLOOKUP(Fact_Analitica[[#This Row], [Concepto Anterior]],Conceptos_Analítica_contraloría[#All],5,0),"")</f>
        <v/>
      </c>
      <c r="F2984" t="str">
        <f>+IFERROR(VLOOKUP(Fact_Analitica[[#This Row], [Concepto Anterior]],Conceptos_Analítica_contraloría[#All],7,0),"")</f>
        <v/>
      </c>
      <c r="I2984" t="str">
        <f>+IFERROR(VLOOKUP(D2984,Conceptos_Analítica_contraloría[#All],2,0),"")</f>
        <v/>
      </c>
      <c r="J2984" s="84" t="str">
        <f>+IFERROR(VLOOKUP(D2984,Conceptos_Analítica_contraloría[#All],3,0),"")</f>
        <v/>
      </c>
    </row>
    <row r="2985" spans="3:10" ht="18.75" customHeight="1" x14ac:dyDescent="0.35">
      <c r="C2985" s="100" t="str">
        <f>IF(OR(Fact_Analitica[[#This Row], [Año]]="",Fact_Analitica[[#This Row], [Mes]]=""),"",DATE(A2985,MATCH(B2985,{"enero","febrero","marzo","abril","mayo","junio","julio","agosto","septiembre","octubre","noviembre","diciembre"},0)+1,0))</f>
        <v/>
      </c>
      <c r="E2985" t="str">
        <f>+IFERROR(VLOOKUP(Fact_Analitica[[#This Row], [Concepto Anterior]],Conceptos_Analítica_contraloría[#All],5,0),"")</f>
        <v/>
      </c>
      <c r="F2985" t="str">
        <f>+IFERROR(VLOOKUP(Fact_Analitica[[#This Row], [Concepto Anterior]],Conceptos_Analítica_contraloría[#All],7,0),"")</f>
        <v/>
      </c>
      <c r="I2985" t="str">
        <f>+IFERROR(VLOOKUP(D2985,Conceptos_Analítica_contraloría[#All],2,0),"")</f>
        <v/>
      </c>
      <c r="J2985" s="84" t="str">
        <f>+IFERROR(VLOOKUP(D2985,Conceptos_Analítica_contraloría[#All],3,0),"")</f>
        <v/>
      </c>
    </row>
    <row r="2986" spans="3:10" ht="18.75" customHeight="1" x14ac:dyDescent="0.35">
      <c r="C2986" s="100" t="str">
        <f>IF(OR(Fact_Analitica[[#This Row], [Año]]="",Fact_Analitica[[#This Row], [Mes]]=""),"",DATE(A2986,MATCH(B2986,{"enero","febrero","marzo","abril","mayo","junio","julio","agosto","septiembre","octubre","noviembre","diciembre"},0)+1,0))</f>
        <v/>
      </c>
      <c r="E2986" t="str">
        <f>+IFERROR(VLOOKUP(Fact_Analitica[[#This Row], [Concepto Anterior]],Conceptos_Analítica_contraloría[#All],5,0),"")</f>
        <v/>
      </c>
      <c r="F2986" t="str">
        <f>+IFERROR(VLOOKUP(Fact_Analitica[[#This Row], [Concepto Anterior]],Conceptos_Analítica_contraloría[#All],7,0),"")</f>
        <v/>
      </c>
      <c r="I2986" t="str">
        <f>+IFERROR(VLOOKUP(D2986,Conceptos_Analítica_contraloría[#All],2,0),"")</f>
        <v/>
      </c>
      <c r="J2986" s="84" t="str">
        <f>+IFERROR(VLOOKUP(D2986,Conceptos_Analítica_contraloría[#All],3,0),"")</f>
        <v/>
      </c>
    </row>
    <row r="2987" spans="3:10" ht="18.75" customHeight="1" x14ac:dyDescent="0.35">
      <c r="C2987" s="100" t="str">
        <f>IF(OR(Fact_Analitica[[#This Row], [Año]]="",Fact_Analitica[[#This Row], [Mes]]=""),"",DATE(A2987,MATCH(B2987,{"enero","febrero","marzo","abril","mayo","junio","julio","agosto","septiembre","octubre","noviembre","diciembre"},0)+1,0))</f>
        <v/>
      </c>
      <c r="E2987" t="str">
        <f>+IFERROR(VLOOKUP(Fact_Analitica[[#This Row], [Concepto Anterior]],Conceptos_Analítica_contraloría[#All],5,0),"")</f>
        <v/>
      </c>
      <c r="F2987" t="str">
        <f>+IFERROR(VLOOKUP(Fact_Analitica[[#This Row], [Concepto Anterior]],Conceptos_Analítica_contraloría[#All],7,0),"")</f>
        <v/>
      </c>
      <c r="I2987" t="str">
        <f>+IFERROR(VLOOKUP(D2987,Conceptos_Analítica_contraloría[#All],2,0),"")</f>
        <v/>
      </c>
      <c r="J2987" s="84" t="str">
        <f>+IFERROR(VLOOKUP(D2987,Conceptos_Analítica_contraloría[#All],3,0),"")</f>
        <v/>
      </c>
    </row>
    <row r="2988" spans="3:10" ht="18.75" customHeight="1" x14ac:dyDescent="0.35">
      <c r="C2988" s="100" t="str">
        <f>IF(OR(Fact_Analitica[[#This Row], [Año]]="",Fact_Analitica[[#This Row], [Mes]]=""),"",DATE(A2988,MATCH(B2988,{"enero","febrero","marzo","abril","mayo","junio","julio","agosto","septiembre","octubre","noviembre","diciembre"},0)+1,0))</f>
        <v/>
      </c>
      <c r="E2988" t="str">
        <f>+IFERROR(VLOOKUP(Fact_Analitica[[#This Row], [Concepto Anterior]],Conceptos_Analítica_contraloría[#All],5,0),"")</f>
        <v/>
      </c>
      <c r="F2988" t="str">
        <f>+IFERROR(VLOOKUP(Fact_Analitica[[#This Row], [Concepto Anterior]],Conceptos_Analítica_contraloría[#All],7,0),"")</f>
        <v/>
      </c>
      <c r="I2988" t="str">
        <f>+IFERROR(VLOOKUP(D2988,Conceptos_Analítica_contraloría[#All],2,0),"")</f>
        <v/>
      </c>
      <c r="J2988" s="84" t="str">
        <f>+IFERROR(VLOOKUP(D2988,Conceptos_Analítica_contraloría[#All],3,0),"")</f>
        <v/>
      </c>
    </row>
    <row r="2989" spans="3:10" ht="18.75" customHeight="1" x14ac:dyDescent="0.35">
      <c r="C2989" s="100" t="str">
        <f>IF(OR(Fact_Analitica[[#This Row], [Año]]="",Fact_Analitica[[#This Row], [Mes]]=""),"",DATE(A2989,MATCH(B2989,{"enero","febrero","marzo","abril","mayo","junio","julio","agosto","septiembre","octubre","noviembre","diciembre"},0)+1,0))</f>
        <v/>
      </c>
      <c r="E2989" t="str">
        <f>+IFERROR(VLOOKUP(Fact_Analitica[[#This Row], [Concepto Anterior]],Conceptos_Analítica_contraloría[#All],5,0),"")</f>
        <v/>
      </c>
      <c r="F2989" t="str">
        <f>+IFERROR(VLOOKUP(Fact_Analitica[[#This Row], [Concepto Anterior]],Conceptos_Analítica_contraloría[#All],7,0),"")</f>
        <v/>
      </c>
      <c r="I2989" t="str">
        <f>+IFERROR(VLOOKUP(D2989,Conceptos_Analítica_contraloría[#All],2,0),"")</f>
        <v/>
      </c>
      <c r="J2989" s="84" t="str">
        <f>+IFERROR(VLOOKUP(D2989,Conceptos_Analítica_contraloría[#All],3,0),"")</f>
        <v/>
      </c>
    </row>
    <row r="2990" spans="3:10" ht="18.75" customHeight="1" x14ac:dyDescent="0.35">
      <c r="C2990" s="100" t="str">
        <f>IF(OR(Fact_Analitica[[#This Row], [Año]]="",Fact_Analitica[[#This Row], [Mes]]=""),"",DATE(A2990,MATCH(B2990,{"enero","febrero","marzo","abril","mayo","junio","julio","agosto","septiembre","octubre","noviembre","diciembre"},0)+1,0))</f>
        <v/>
      </c>
      <c r="E2990" t="str">
        <f>+IFERROR(VLOOKUP(Fact_Analitica[[#This Row], [Concepto Anterior]],Conceptos_Analítica_contraloría[#All],5,0),"")</f>
        <v/>
      </c>
      <c r="F2990" t="str">
        <f>+IFERROR(VLOOKUP(Fact_Analitica[[#This Row], [Concepto Anterior]],Conceptos_Analítica_contraloría[#All],7,0),"")</f>
        <v/>
      </c>
      <c r="I2990" t="str">
        <f>+IFERROR(VLOOKUP(D2990,Conceptos_Analítica_contraloría[#All],2,0),"")</f>
        <v/>
      </c>
      <c r="J2990" s="84" t="str">
        <f>+IFERROR(VLOOKUP(D2990,Conceptos_Analítica_contraloría[#All],3,0),"")</f>
        <v/>
      </c>
    </row>
    <row r="2991" spans="3:10" ht="18.75" customHeight="1" x14ac:dyDescent="0.35">
      <c r="C2991" s="100" t="str">
        <f>IF(OR(Fact_Analitica[[#This Row], [Año]]="",Fact_Analitica[[#This Row], [Mes]]=""),"",DATE(A2991,MATCH(B2991,{"enero","febrero","marzo","abril","mayo","junio","julio","agosto","septiembre","octubre","noviembre","diciembre"},0)+1,0))</f>
        <v/>
      </c>
      <c r="E2991" t="str">
        <f>+IFERROR(VLOOKUP(Fact_Analitica[[#This Row], [Concepto Anterior]],Conceptos_Analítica_contraloría[#All],5,0),"")</f>
        <v/>
      </c>
      <c r="F2991" t="str">
        <f>+IFERROR(VLOOKUP(Fact_Analitica[[#This Row], [Concepto Anterior]],Conceptos_Analítica_contraloría[#All],7,0),"")</f>
        <v/>
      </c>
      <c r="I2991" t="str">
        <f>+IFERROR(VLOOKUP(D2991,Conceptos_Analítica_contraloría[#All],2,0),"")</f>
        <v/>
      </c>
      <c r="J2991" s="84" t="str">
        <f>+IFERROR(VLOOKUP(D2991,Conceptos_Analítica_contraloría[#All],3,0),"")</f>
        <v/>
      </c>
    </row>
    <row r="2992" spans="3:10" ht="18.75" customHeight="1" x14ac:dyDescent="0.35">
      <c r="C2992" s="100" t="str">
        <f>IF(OR(Fact_Analitica[[#This Row], [Año]]="",Fact_Analitica[[#This Row], [Mes]]=""),"",DATE(A2992,MATCH(B2992,{"enero","febrero","marzo","abril","mayo","junio","julio","agosto","septiembre","octubre","noviembre","diciembre"},0)+1,0))</f>
        <v/>
      </c>
      <c r="E2992" t="str">
        <f>+IFERROR(VLOOKUP(Fact_Analitica[[#This Row], [Concepto Anterior]],Conceptos_Analítica_contraloría[#All],5,0),"")</f>
        <v/>
      </c>
      <c r="F2992" t="str">
        <f>+IFERROR(VLOOKUP(Fact_Analitica[[#This Row], [Concepto Anterior]],Conceptos_Analítica_contraloría[#All],7,0),"")</f>
        <v/>
      </c>
      <c r="I2992" t="str">
        <f>+IFERROR(VLOOKUP(D2992,Conceptos_Analítica_contraloría[#All],2,0),"")</f>
        <v/>
      </c>
      <c r="J2992" s="84" t="str">
        <f>+IFERROR(VLOOKUP(D2992,Conceptos_Analítica_contraloría[#All],3,0),"")</f>
        <v/>
      </c>
    </row>
    <row r="2993" spans="3:10" ht="18.75" customHeight="1" x14ac:dyDescent="0.35">
      <c r="C2993" s="100" t="str">
        <f>IF(OR(Fact_Analitica[[#This Row], [Año]]="",Fact_Analitica[[#This Row], [Mes]]=""),"",DATE(A2993,MATCH(B2993,{"enero","febrero","marzo","abril","mayo","junio","julio","agosto","septiembre","octubre","noviembre","diciembre"},0)+1,0))</f>
        <v/>
      </c>
      <c r="E2993" t="str">
        <f>+IFERROR(VLOOKUP(Fact_Analitica[[#This Row], [Concepto Anterior]],Conceptos_Analítica_contraloría[#All],5,0),"")</f>
        <v/>
      </c>
      <c r="F2993" t="str">
        <f>+IFERROR(VLOOKUP(Fact_Analitica[[#This Row], [Concepto Anterior]],Conceptos_Analítica_contraloría[#All],7,0),"")</f>
        <v/>
      </c>
      <c r="I2993" t="str">
        <f>+IFERROR(VLOOKUP(D2993,Conceptos_Analítica_contraloría[#All],2,0),"")</f>
        <v/>
      </c>
      <c r="J2993" s="84" t="str">
        <f>+IFERROR(VLOOKUP(D2993,Conceptos_Analítica_contraloría[#All],3,0),"")</f>
        <v/>
      </c>
    </row>
    <row r="2994" spans="3:10" ht="18.75" customHeight="1" x14ac:dyDescent="0.35">
      <c r="C2994" s="100" t="str">
        <f>IF(OR(Fact_Analitica[[#This Row], [Año]]="",Fact_Analitica[[#This Row], [Mes]]=""),"",DATE(A2994,MATCH(B2994,{"enero","febrero","marzo","abril","mayo","junio","julio","agosto","septiembre","octubre","noviembre","diciembre"},0)+1,0))</f>
        <v/>
      </c>
      <c r="E2994" t="str">
        <f>+IFERROR(VLOOKUP(Fact_Analitica[[#This Row], [Concepto Anterior]],Conceptos_Analítica_contraloría[#All],5,0),"")</f>
        <v/>
      </c>
      <c r="F2994" t="str">
        <f>+IFERROR(VLOOKUP(Fact_Analitica[[#This Row], [Concepto Anterior]],Conceptos_Analítica_contraloría[#All],7,0),"")</f>
        <v/>
      </c>
      <c r="I2994" t="str">
        <f>+IFERROR(VLOOKUP(D2994,Conceptos_Analítica_contraloría[#All],2,0),"")</f>
        <v/>
      </c>
      <c r="J2994" s="84" t="str">
        <f>+IFERROR(VLOOKUP(D2994,Conceptos_Analítica_contraloría[#All],3,0),"")</f>
        <v/>
      </c>
    </row>
    <row r="2995" spans="3:10" ht="18.75" customHeight="1" x14ac:dyDescent="0.35">
      <c r="C2995" s="100" t="str">
        <f>IF(OR(Fact_Analitica[[#This Row], [Año]]="",Fact_Analitica[[#This Row], [Mes]]=""),"",DATE(A2995,MATCH(B2995,{"enero","febrero","marzo","abril","mayo","junio","julio","agosto","septiembre","octubre","noviembre","diciembre"},0)+1,0))</f>
        <v/>
      </c>
      <c r="E2995" t="str">
        <f>+IFERROR(VLOOKUP(Fact_Analitica[[#This Row], [Concepto Anterior]],Conceptos_Analítica_contraloría[#All],5,0),"")</f>
        <v/>
      </c>
      <c r="F2995" t="str">
        <f>+IFERROR(VLOOKUP(Fact_Analitica[[#This Row], [Concepto Anterior]],Conceptos_Analítica_contraloría[#All],7,0),"")</f>
        <v/>
      </c>
      <c r="I2995" t="str">
        <f>+IFERROR(VLOOKUP(D2995,Conceptos_Analítica_contraloría[#All],2,0),"")</f>
        <v/>
      </c>
      <c r="J2995" s="84" t="str">
        <f>+IFERROR(VLOOKUP(D2995,Conceptos_Analítica_contraloría[#All],3,0),"")</f>
        <v/>
      </c>
    </row>
    <row r="2996" spans="3:10" ht="18.75" customHeight="1" x14ac:dyDescent="0.35">
      <c r="C2996" s="100" t="str">
        <f>IF(OR(Fact_Analitica[[#This Row], [Año]]="",Fact_Analitica[[#This Row], [Mes]]=""),"",DATE(A2996,MATCH(B2996,{"enero","febrero","marzo","abril","mayo","junio","julio","agosto","septiembre","octubre","noviembre","diciembre"},0)+1,0))</f>
        <v/>
      </c>
      <c r="E2996" t="str">
        <f>+IFERROR(VLOOKUP(Fact_Analitica[[#This Row], [Concepto Anterior]],Conceptos_Analítica_contraloría[#All],5,0),"")</f>
        <v/>
      </c>
      <c r="F2996" t="str">
        <f>+IFERROR(VLOOKUP(Fact_Analitica[[#This Row], [Concepto Anterior]],Conceptos_Analítica_contraloría[#All],7,0),"")</f>
        <v/>
      </c>
      <c r="I2996" t="str">
        <f>+IFERROR(VLOOKUP(D2996,Conceptos_Analítica_contraloría[#All],2,0),"")</f>
        <v/>
      </c>
      <c r="J2996" s="84" t="str">
        <f>+IFERROR(VLOOKUP(D2996,Conceptos_Analítica_contraloría[#All],3,0),"")</f>
        <v/>
      </c>
    </row>
    <row r="2997" spans="3:10" ht="18.75" customHeight="1" x14ac:dyDescent="0.35">
      <c r="C2997" s="100" t="str">
        <f>IF(OR(Fact_Analitica[[#This Row], [Año]]="",Fact_Analitica[[#This Row], [Mes]]=""),"",DATE(A2997,MATCH(B2997,{"enero","febrero","marzo","abril","mayo","junio","julio","agosto","septiembre","octubre","noviembre","diciembre"},0)+1,0))</f>
        <v/>
      </c>
      <c r="E2997" t="str">
        <f>+IFERROR(VLOOKUP(Fact_Analitica[[#This Row], [Concepto Anterior]],Conceptos_Analítica_contraloría[#All],5,0),"")</f>
        <v/>
      </c>
      <c r="F2997" t="str">
        <f>+IFERROR(VLOOKUP(Fact_Analitica[[#This Row], [Concepto Anterior]],Conceptos_Analítica_contraloría[#All],7,0),"")</f>
        <v/>
      </c>
      <c r="I2997" t="str">
        <f>+IFERROR(VLOOKUP(D2997,Conceptos_Analítica_contraloría[#All],2,0),"")</f>
        <v/>
      </c>
      <c r="J2997" s="84" t="str">
        <f>+IFERROR(VLOOKUP(D2997,Conceptos_Analítica_contraloría[#All],3,0),"")</f>
        <v/>
      </c>
    </row>
    <row r="2998" spans="3:10" ht="18.75" customHeight="1" x14ac:dyDescent="0.35">
      <c r="C2998" s="100" t="str">
        <f>IF(OR(Fact_Analitica[[#This Row], [Año]]="",Fact_Analitica[[#This Row], [Mes]]=""),"",DATE(A2998,MATCH(B2998,{"enero","febrero","marzo","abril","mayo","junio","julio","agosto","septiembre","octubre","noviembre","diciembre"},0)+1,0))</f>
        <v/>
      </c>
      <c r="E2998" t="str">
        <f>+IFERROR(VLOOKUP(Fact_Analitica[[#This Row], [Concepto Anterior]],Conceptos_Analítica_contraloría[#All],5,0),"")</f>
        <v/>
      </c>
      <c r="F2998" t="str">
        <f>+IFERROR(VLOOKUP(Fact_Analitica[[#This Row], [Concepto Anterior]],Conceptos_Analítica_contraloría[#All],7,0),"")</f>
        <v/>
      </c>
      <c r="I2998" t="str">
        <f>+IFERROR(VLOOKUP(D2998,Conceptos_Analítica_contraloría[#All],2,0),"")</f>
        <v/>
      </c>
      <c r="J2998" s="84" t="str">
        <f>+IFERROR(VLOOKUP(D2998,Conceptos_Analítica_contraloría[#All],3,0),"")</f>
        <v/>
      </c>
    </row>
    <row r="2999" spans="3:10" ht="18.75" customHeight="1" x14ac:dyDescent="0.35">
      <c r="C2999" s="100" t="str">
        <f>IF(OR(Fact_Analitica[[#This Row], [Año]]="",Fact_Analitica[[#This Row], [Mes]]=""),"",DATE(A2999,MATCH(B2999,{"enero","febrero","marzo","abril","mayo","junio","julio","agosto","septiembre","octubre","noviembre","diciembre"},0)+1,0))</f>
        <v/>
      </c>
      <c r="E2999" t="str">
        <f>+IFERROR(VLOOKUP(Fact_Analitica[[#This Row], [Concepto Anterior]],Conceptos_Analítica_contraloría[#All],5,0),"")</f>
        <v/>
      </c>
      <c r="F2999" t="str">
        <f>+IFERROR(VLOOKUP(Fact_Analitica[[#This Row], [Concepto Anterior]],Conceptos_Analítica_contraloría[#All],7,0),"")</f>
        <v/>
      </c>
      <c r="I2999" t="str">
        <f>+IFERROR(VLOOKUP(D2999,Conceptos_Analítica_contraloría[#All],2,0),"")</f>
        <v/>
      </c>
      <c r="J2999" s="84" t="str">
        <f>+IFERROR(VLOOKUP(D2999,Conceptos_Analítica_contraloría[#All],3,0),"")</f>
        <v/>
      </c>
    </row>
    <row r="3000" spans="3:10" ht="18.75" customHeight="1" x14ac:dyDescent="0.35">
      <c r="C3000" s="100" t="str">
        <f>IF(OR(Fact_Analitica[[#This Row], [Año]]="",Fact_Analitica[[#This Row], [Mes]]=""),"",DATE(A3000,MATCH(B3000,{"enero","febrero","marzo","abril","mayo","junio","julio","agosto","septiembre","octubre","noviembre","diciembre"},0)+1,0))</f>
        <v/>
      </c>
      <c r="E3000" t="str">
        <f>+IFERROR(VLOOKUP(Fact_Analitica[[#This Row], [Concepto Anterior]],Conceptos_Analítica_contraloría[#All],5,0),"")</f>
        <v/>
      </c>
      <c r="F3000" t="str">
        <f>+IFERROR(VLOOKUP(Fact_Analitica[[#This Row], [Concepto Anterior]],Conceptos_Analítica_contraloría[#All],7,0),"")</f>
        <v/>
      </c>
      <c r="I3000" t="str">
        <f>+IFERROR(VLOOKUP(D3000,Conceptos_Analítica_contraloría[#All],2,0),"")</f>
        <v/>
      </c>
      <c r="J3000" s="1" t="str">
        <f>+IFERROR(VLOOKUP(D3000,Conceptos_Analítica_contraloría[#All],3,0),"")</f>
        <v/>
      </c>
    </row>
  </sheetData>
  <sheetProtection algorithmName="SHA-512" hashValue="rmg/DeWEz9ZxKFRu2342IUG3aYZ46SmOEw/MG+/ECBpU7PFo98s/ex0t2r2VVoeNmEULKRU+qGK1oGJ/4hgJBQ==" saltValue="0nOzGkNhaJ806jRFh3REV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K5957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54296875" style="90" bestFit="1" customWidth="1"/>
    <col min="2" max="2" width="11.81640625" bestFit="1" customWidth="1"/>
    <col min="3" max="3" width="15.453125" style="101" bestFit="1" customWidth="1"/>
    <col min="4" max="5" width="60" bestFit="1" customWidth="1"/>
    <col min="6" max="6" width="15.54296875" bestFit="1" customWidth="1"/>
    <col min="7" max="8" width="17" bestFit="1" customWidth="1"/>
    <col min="9" max="9" width="9.81640625" bestFit="1" customWidth="1"/>
    <col min="10" max="10" width="13.54296875" bestFit="1" customWidth="1"/>
    <col min="11" max="11" width="16.4531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IF(OR(Fact_Contabilidad[[#This Row], [Año]]="",Fact_Contabilidad[[#This Row], [Mes]]=""),"",DATE(A2,MATCH(B2,{"enero","febrero","marzo","abril","mayo","junio","julio","agosto","septiembre","octubre","noviembre","diciembre"},0)+1,0))</f>
        <v>45322</v>
      </c>
      <c r="D2" t="s">
        <v>79</v>
      </c>
      <c r="E2" t="str">
        <f>+IFERROR(VLOOKUP(Fact_Contabilidad[[#This Row], [Concepto Anterior]],Conceptos_Contabilidad[#All],5,0),"")</f>
        <v>Cuentas Contables Conciliadas</v>
      </c>
      <c r="F2" t="str">
        <f ca="1">+IFERROR(VLOOKUP(Fact_Contabilidad[[#This Row], [Concepto Anterior]],Conceptos_Contabilidad[#All],7,0),"")</f>
        <v/>
      </c>
      <c r="G2" t="s">
        <v>172</v>
      </c>
      <c r="H2" t="s">
        <v>172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93">
        <v>1154</v>
      </c>
    </row>
    <row r="3" spans="1:11" ht="18.75" customHeight="1" x14ac:dyDescent="0.35">
      <c r="A3" s="93">
        <v>2024</v>
      </c>
      <c r="B3" t="s">
        <v>171</v>
      </c>
      <c r="C3" s="100">
        <f>IF(OR(Fact_Contabilidad[[#This Row], [Año]]="",Fact_Contabilidad[[#This Row], [Mes]]=""),"",DATE(A3,MATCH(B3,{"enero","febrero","marzo","abril","mayo","junio","julio","agosto","septiembre","octubre","noviembre","diciembre"},0)+1,0))</f>
        <v>45322</v>
      </c>
      <c r="D3" t="s">
        <v>70</v>
      </c>
      <c r="E3" t="str">
        <f>+IFERROR(VLOOKUP(Fact_Contabilidad[[#This Row], [Concepto Anterior]],Conceptos_Contabilidad[#All],5,0),"")</f>
        <v>Facturas Contabilizada</v>
      </c>
      <c r="F3" t="str">
        <f ca="1">+IFERROR(VLOOKUP(Fact_Contabilidad[[#This Row], [Concepto Anterior]],Conceptos_Contabilidad[#All],7,0),"")</f>
        <v/>
      </c>
      <c r="G3" t="s">
        <v>172</v>
      </c>
      <c r="H3" t="s">
        <v>172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93">
        <v>3203</v>
      </c>
    </row>
    <row r="4" spans="1:11" ht="18.75" customHeight="1" x14ac:dyDescent="0.35">
      <c r="A4" s="93">
        <v>2024</v>
      </c>
      <c r="B4" t="s">
        <v>171</v>
      </c>
      <c r="C4" s="100">
        <f>IF(OR(Fact_Contabilidad[[#This Row], [Año]]="",Fact_Contabilidad[[#This Row], [Mes]]=""),"",DATE(A4,MATCH(B4,{"enero","febrero","marzo","abril","mayo","junio","julio","agosto","septiembre","octubre","noviembre","diciembre"},0)+1,0))</f>
        <v>45322</v>
      </c>
      <c r="D4" t="s">
        <v>71</v>
      </c>
      <c r="E4" t="str">
        <f>+IFERROR(VLOOKUP(Fact_Contabilidad[[#This Row], [Concepto Anterior]],Conceptos_Contabilidad[#All],5,0),"")</f>
        <v>Facturas Contabilizada</v>
      </c>
      <c r="F4" t="str">
        <f ca="1">+IFERROR(VLOOKUP(Fact_Contabilidad[[#This Row], [Concepto Anterior]],Conceptos_Contabilidad[#All],7,0),"")</f>
        <v/>
      </c>
      <c r="G4" t="s">
        <v>172</v>
      </c>
      <c r="H4" t="s">
        <v>172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93">
        <v>1604</v>
      </c>
    </row>
    <row r="5" spans="1:11" ht="18.75" customHeight="1" x14ac:dyDescent="0.35">
      <c r="A5" s="93">
        <v>2024</v>
      </c>
      <c r="B5" t="s">
        <v>171</v>
      </c>
      <c r="C5" s="100">
        <f>IF(OR(Fact_Contabilidad[[#This Row], [Año]]="",Fact_Contabilidad[[#This Row], [Mes]]=""),"",DATE(A5,MATCH(B5,{"enero","febrero","marzo","abril","mayo","junio","julio","agosto","septiembre","octubre","noviembre","diciembre"},0)+1,0))</f>
        <v>45322</v>
      </c>
      <c r="D5" t="s">
        <v>72</v>
      </c>
      <c r="E5" t="str">
        <f>+IFERROR(VLOOKUP(Fact_Contabilidad[[#This Row], [Concepto Anterior]],Conceptos_Contabilidad[#All],5,0),"")</f>
        <v>Cantidad de legalizaciones de rendiciones registradas</v>
      </c>
      <c r="F5" t="str">
        <f ca="1">+IFERROR(VLOOKUP(Fact_Contabilidad[[#This Row], [Concepto Anterior]],Conceptos_Contabilidad[#All],7,0),"")</f>
        <v/>
      </c>
      <c r="G5" t="s">
        <v>172</v>
      </c>
      <c r="H5" t="s">
        <v>172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93">
        <v>28</v>
      </c>
    </row>
    <row r="6" spans="1:11" ht="18.75" customHeight="1" x14ac:dyDescent="0.35">
      <c r="A6" s="93">
        <v>2024</v>
      </c>
      <c r="B6" t="s">
        <v>171</v>
      </c>
      <c r="C6" s="100">
        <f>IF(OR(Fact_Contabilidad[[#This Row], [Año]]="",Fact_Contabilidad[[#This Row], [Mes]]=""),"",DATE(A6,MATCH(B6,{"enero","febrero","marzo","abril","mayo","junio","julio","agosto","septiembre","octubre","noviembre","diciembre"},0)+1,0))</f>
        <v>45322</v>
      </c>
      <c r="D6" t="s">
        <v>73</v>
      </c>
      <c r="E6" t="str">
        <f>+IFERROR(VLOOKUP(Fact_Contabilidad[[#This Row], [Concepto Anterior]],Conceptos_Contabilidad[#All],5,0),"")</f>
        <v>Cantidad de legalizaciones de TC registradas</v>
      </c>
      <c r="F6" t="str">
        <f ca="1">+IFERROR(VLOOKUP(Fact_Contabilidad[[#This Row], [Concepto Anterior]],Conceptos_Contabilidad[#All],7,0),"")</f>
        <v/>
      </c>
      <c r="G6" t="s">
        <v>172</v>
      </c>
      <c r="H6" t="s">
        <v>172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93">
        <v>31</v>
      </c>
    </row>
    <row r="7" spans="1:11" ht="18.75" customHeight="1" x14ac:dyDescent="0.35">
      <c r="A7" s="93">
        <v>2024</v>
      </c>
      <c r="B7" t="s">
        <v>171</v>
      </c>
      <c r="C7" s="100">
        <f>IF(OR(Fact_Contabilidad[[#This Row], [Año]]="",Fact_Contabilidad[[#This Row], [Mes]]=""),"",DATE(A7,MATCH(B7,{"enero","febrero","marzo","abril","mayo","junio","julio","agosto","septiembre","octubre","noviembre","diciembre"},0)+1,0))</f>
        <v>45322</v>
      </c>
      <c r="D7" t="s">
        <v>136</v>
      </c>
      <c r="E7" t="str">
        <f>+IFERROR(VLOOKUP(Fact_Contabilidad[[#This Row], [Concepto Anterior]],Conceptos_Contabilidad[#All],5,0),"")</f>
        <v>el 95 % del cumplimiento (sale del promedio de la fila)</v>
      </c>
      <c r="F7" t="str">
        <f ca="1">+IFERROR(VLOOKUP(Fact_Contabilidad[[#This Row], [Concepto Anterior]],Conceptos_Contabilidad[#All],7,0),"")</f>
        <v/>
      </c>
      <c r="G7" t="s">
        <v>172</v>
      </c>
      <c r="H7" t="s">
        <v>172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92">
        <v>0.91739329967875172</v>
      </c>
    </row>
    <row r="8" spans="1:11" ht="18.75" customHeight="1" x14ac:dyDescent="0.35">
      <c r="A8" s="93">
        <v>2024</v>
      </c>
      <c r="B8" t="s">
        <v>171</v>
      </c>
      <c r="C8" s="100">
        <f>IF(OR(Fact_Contabilidad[[#This Row], [Año]]="",Fact_Contabilidad[[#This Row], [Mes]]=""),"",DATE(A8,MATCH(B8,{"enero","febrero","marzo","abril","mayo","junio","julio","agosto","septiembre","octubre","noviembre","diciembre"},0)+1,0))</f>
        <v>45322</v>
      </c>
      <c r="D8" t="s">
        <v>74</v>
      </c>
      <c r="E8" t="str">
        <f>+IFERROR(VLOOKUP(Fact_Contabilidad[[#This Row], [Concepto Anterior]],Conceptos_Contabilidad[#All],5,0),"")</f>
        <v>Descuentos por nomina de anticipo</v>
      </c>
      <c r="F8" t="str">
        <f ca="1">+IFERROR(VLOOKUP(Fact_Contabilidad[[#This Row], [Concepto Anterior]],Conceptos_Contabilidad[#All],7,0),"")</f>
        <v/>
      </c>
      <c r="G8" t="s">
        <v>172</v>
      </c>
      <c r="H8" t="s">
        <v>172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IF(OR(Fact_Contabilidad[[#This Row], [Año]]="",Fact_Contabilidad[[#This Row], [Mes]]=""),"",DATE(A9,MATCH(B9,{"enero","febrero","marzo","abril","mayo","junio","julio","agosto","septiembre","octubre","noviembre","diciembre"},0)+1,0))</f>
        <v>45322</v>
      </c>
      <c r="D9" t="s">
        <v>77</v>
      </c>
      <c r="E9" t="str">
        <f>+IFERROR(VLOOKUP(Fact_Contabilidad[[#This Row], [Concepto Anterior]],Conceptos_Contabilidad[#All],5,0),"")</f>
        <v>Fusiones</v>
      </c>
      <c r="F9" t="str">
        <f ca="1">+IFERROR(VLOOKUP(Fact_Contabilidad[[#This Row], [Concepto Anterior]],Conceptos_Contabilidad[#All],7,0),"")</f>
        <v/>
      </c>
      <c r="G9" t="s">
        <v>172</v>
      </c>
      <c r="H9" t="s">
        <v>172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IF(OR(Fact_Contabilidad[[#This Row], [Año]]="",Fact_Contabilidad[[#This Row], [Mes]]=""),"",DATE(A10,MATCH(B10,{"enero","febrero","marzo","abril","mayo","junio","julio","agosto","septiembre","octubre","noviembre","diciembre"},0)+1,0))</f>
        <v>45322</v>
      </c>
      <c r="D10" t="s">
        <v>76</v>
      </c>
      <c r="E10" t="str">
        <f>+IFERROR(VLOOKUP(Fact_Contabilidad[[#This Row], [Concepto Anterior]],Conceptos_Contabilidad[#All],5,0),"")</f>
        <v>Informes Contables</v>
      </c>
      <c r="F10" t="str">
        <f ca="1">+IFERROR(VLOOKUP(Fact_Contabilidad[[#This Row], [Concepto Anterior]],Conceptos_Contabilidad[#All],7,0),"")</f>
        <v/>
      </c>
      <c r="G10" t="s">
        <v>172</v>
      </c>
      <c r="H10" t="s">
        <v>172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93">
        <v>3</v>
      </c>
    </row>
    <row r="11" spans="1:11" ht="18.75" customHeight="1" x14ac:dyDescent="0.35">
      <c r="A11" s="102">
        <v>2024</v>
      </c>
      <c r="B11" t="s">
        <v>171</v>
      </c>
      <c r="C11" s="100">
        <f>IF(OR(Fact_Contabilidad[[#This Row], [Año]]="",Fact_Contabilidad[[#This Row], [Mes]]=""),"",DATE(A11,MATCH(B11,{"enero","febrero","marzo","abril","mayo","junio","julio","agosto","septiembre","octubre","noviembre","diciembre"},0)+1,0))</f>
        <v>45322</v>
      </c>
      <c r="D11" t="s">
        <v>78</v>
      </c>
      <c r="E11" t="str">
        <f>+IFERROR(VLOOKUP(Fact_Contabilidad[[#This Row], [Concepto Anterior]],Conceptos_Contabilidad[#All],5,0),"")</f>
        <v>Gestión Gastos No deducibles + recuperación de embargos</v>
      </c>
      <c r="F11" t="str">
        <f ca="1">+IFERROR(VLOOKUP(Fact_Contabilidad[[#This Row], [Concepto Anterior]],Conceptos_Contabilidad[#All],7,0),"")</f>
        <v/>
      </c>
      <c r="G11" t="s">
        <v>172</v>
      </c>
      <c r="H11" t="s">
        <v>172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IF(OR(Fact_Contabilidad[[#This Row], [Año]]="",Fact_Contabilidad[[#This Row], [Mes]]=""),"",DATE(A12,MATCH(B12,{"enero","febrero","marzo","abril","mayo","junio","julio","agosto","septiembre","octubre","noviembre","diciembre"},0)+1,0))</f>
        <v>45351</v>
      </c>
      <c r="D12" t="s">
        <v>79</v>
      </c>
      <c r="E12" t="str">
        <f>+IFERROR(VLOOKUP(Fact_Contabilidad[[#This Row], [Concepto Anterior]],Conceptos_Contabilidad[#All],5,0),"")</f>
        <v>Cuentas Contables Conciliadas</v>
      </c>
      <c r="F12" t="str">
        <f ca="1">+IFERROR(VLOOKUP(Fact_Contabilidad[[#This Row], [Concepto Anterior]],Conceptos_Contabilidad[#All],7,0),"")</f>
        <v/>
      </c>
      <c r="G12" t="s">
        <v>172</v>
      </c>
      <c r="H12" t="s">
        <v>172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93">
        <v>1180</v>
      </c>
    </row>
    <row r="13" spans="1:11" ht="18.75" customHeight="1" x14ac:dyDescent="0.35">
      <c r="A13" s="93">
        <v>2024</v>
      </c>
      <c r="B13" t="s">
        <v>174</v>
      </c>
      <c r="C13" s="100">
        <f>IF(OR(Fact_Contabilidad[[#This Row], [Año]]="",Fact_Contabilidad[[#This Row], [Mes]]=""),"",DATE(A13,MATCH(B13,{"enero","febrero","marzo","abril","mayo","junio","julio","agosto","septiembre","octubre","noviembre","diciembre"},0)+1,0))</f>
        <v>45351</v>
      </c>
      <c r="D13" t="s">
        <v>70</v>
      </c>
      <c r="E13" t="str">
        <f>+IFERROR(VLOOKUP(Fact_Contabilidad[[#This Row], [Concepto Anterior]],Conceptos_Contabilidad[#All],5,0),"")</f>
        <v>Facturas Contabilizada</v>
      </c>
      <c r="F13" t="str">
        <f ca="1">+IFERROR(VLOOKUP(Fact_Contabilidad[[#This Row], [Concepto Anterior]],Conceptos_Contabilidad[#All],7,0),"")</f>
        <v/>
      </c>
      <c r="G13" t="s">
        <v>172</v>
      </c>
      <c r="H13" t="s">
        <v>172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93">
        <v>6413</v>
      </c>
    </row>
    <row r="14" spans="1:11" ht="18.75" customHeight="1" x14ac:dyDescent="0.35">
      <c r="A14" s="93">
        <v>2024</v>
      </c>
      <c r="B14" t="s">
        <v>174</v>
      </c>
      <c r="C14" s="100">
        <f>IF(OR(Fact_Contabilidad[[#This Row], [Año]]="",Fact_Contabilidad[[#This Row], [Mes]]=""),"",DATE(A14,MATCH(B14,{"enero","febrero","marzo","abril","mayo","junio","julio","agosto","septiembre","octubre","noviembre","diciembre"},0)+1,0))</f>
        <v>45351</v>
      </c>
      <c r="D14" t="s">
        <v>71</v>
      </c>
      <c r="E14" t="str">
        <f>+IFERROR(VLOOKUP(Fact_Contabilidad[[#This Row], [Concepto Anterior]],Conceptos_Contabilidad[#All],5,0),"")</f>
        <v>Facturas Contabilizada</v>
      </c>
      <c r="F14" t="str">
        <f ca="1">+IFERROR(VLOOKUP(Fact_Contabilidad[[#This Row], [Concepto Anterior]],Conceptos_Contabilidad[#All],7,0),"")</f>
        <v/>
      </c>
      <c r="G14" t="s">
        <v>172</v>
      </c>
      <c r="H14" t="s">
        <v>172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93">
        <v>1830</v>
      </c>
    </row>
    <row r="15" spans="1:11" ht="18.75" customHeight="1" x14ac:dyDescent="0.35">
      <c r="A15" s="93">
        <v>2024</v>
      </c>
      <c r="B15" t="s">
        <v>174</v>
      </c>
      <c r="C15" s="100">
        <f>IF(OR(Fact_Contabilidad[[#This Row], [Año]]="",Fact_Contabilidad[[#This Row], [Mes]]=""),"",DATE(A15,MATCH(B15,{"enero","febrero","marzo","abril","mayo","junio","julio","agosto","septiembre","octubre","noviembre","diciembre"},0)+1,0))</f>
        <v>45351</v>
      </c>
      <c r="D15" t="s">
        <v>72</v>
      </c>
      <c r="E15" t="str">
        <f>+IFERROR(VLOOKUP(Fact_Contabilidad[[#This Row], [Concepto Anterior]],Conceptos_Contabilidad[#All],5,0),"")</f>
        <v>Cantidad de legalizaciones de rendiciones registradas</v>
      </c>
      <c r="F15" t="str">
        <f ca="1">+IFERROR(VLOOKUP(Fact_Contabilidad[[#This Row], [Concepto Anterior]],Conceptos_Contabilidad[#All],7,0),"")</f>
        <v/>
      </c>
      <c r="G15" t="s">
        <v>172</v>
      </c>
      <c r="H15" t="s">
        <v>172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93">
        <v>84</v>
      </c>
    </row>
    <row r="16" spans="1:11" ht="18.75" customHeight="1" x14ac:dyDescent="0.35">
      <c r="A16" s="93">
        <v>2024</v>
      </c>
      <c r="B16" t="s">
        <v>174</v>
      </c>
      <c r="C16" s="100">
        <f>IF(OR(Fact_Contabilidad[[#This Row], [Año]]="",Fact_Contabilidad[[#This Row], [Mes]]=""),"",DATE(A16,MATCH(B16,{"enero","febrero","marzo","abril","mayo","junio","julio","agosto","septiembre","octubre","noviembre","diciembre"},0)+1,0))</f>
        <v>45351</v>
      </c>
      <c r="D16" t="s">
        <v>73</v>
      </c>
      <c r="E16" t="str">
        <f>+IFERROR(VLOOKUP(Fact_Contabilidad[[#This Row], [Concepto Anterior]],Conceptos_Contabilidad[#All],5,0),"")</f>
        <v>Cantidad de legalizaciones de TC registradas</v>
      </c>
      <c r="F16" t="str">
        <f ca="1">+IFERROR(VLOOKUP(Fact_Contabilidad[[#This Row], [Concepto Anterior]],Conceptos_Contabilidad[#All],7,0),"")</f>
        <v/>
      </c>
      <c r="G16" t="s">
        <v>172</v>
      </c>
      <c r="H16" t="s">
        <v>172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93">
        <v>37</v>
      </c>
    </row>
    <row r="17" spans="1:11" ht="18.75" customHeight="1" x14ac:dyDescent="0.35">
      <c r="A17" s="93">
        <v>2024</v>
      </c>
      <c r="B17" t="s">
        <v>174</v>
      </c>
      <c r="C17" s="100">
        <f>IF(OR(Fact_Contabilidad[[#This Row], [Año]]="",Fact_Contabilidad[[#This Row], [Mes]]=""),"",DATE(A17,MATCH(B17,{"enero","febrero","marzo","abril","mayo","junio","julio","agosto","septiembre","octubre","noviembre","diciembre"},0)+1,0))</f>
        <v>45351</v>
      </c>
      <c r="D17" t="s">
        <v>136</v>
      </c>
      <c r="E17" t="str">
        <f>+IFERROR(VLOOKUP(Fact_Contabilidad[[#This Row], [Concepto Anterior]],Conceptos_Contabilidad[#All],5,0),"")</f>
        <v>el 95 % del cumplimiento (sale del promedio de la fila)</v>
      </c>
      <c r="F17" t="str">
        <f ca="1">+IFERROR(VLOOKUP(Fact_Contabilidad[[#This Row], [Concepto Anterior]],Conceptos_Contabilidad[#All],7,0),"")</f>
        <v/>
      </c>
      <c r="G17" t="s">
        <v>172</v>
      </c>
      <c r="H17" t="s">
        <v>172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92">
        <v>0.87896995708154502</v>
      </c>
    </row>
    <row r="18" spans="1:11" ht="18.75" customHeight="1" x14ac:dyDescent="0.35">
      <c r="A18" s="93">
        <v>2024</v>
      </c>
      <c r="B18" t="s">
        <v>174</v>
      </c>
      <c r="C18" s="100">
        <f>IF(OR(Fact_Contabilidad[[#This Row], [Año]]="",Fact_Contabilidad[[#This Row], [Mes]]=""),"",DATE(A18,MATCH(B18,{"enero","febrero","marzo","abril","mayo","junio","julio","agosto","septiembre","octubre","noviembre","diciembre"},0)+1,0))</f>
        <v>45351</v>
      </c>
      <c r="D18" t="s">
        <v>74</v>
      </c>
      <c r="E18" t="str">
        <f>+IFERROR(VLOOKUP(Fact_Contabilidad[[#This Row], [Concepto Anterior]],Conceptos_Contabilidad[#All],5,0),"")</f>
        <v>Descuentos por nomina de anticipo</v>
      </c>
      <c r="F18" t="str">
        <f ca="1">+IFERROR(VLOOKUP(Fact_Contabilidad[[#This Row], [Concepto Anterior]],Conceptos_Contabilidad[#All],7,0),"")</f>
        <v/>
      </c>
      <c r="G18" t="s">
        <v>172</v>
      </c>
      <c r="H18" t="s">
        <v>172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93">
        <v>0</v>
      </c>
    </row>
    <row r="19" spans="1:11" ht="18.75" customHeight="1" x14ac:dyDescent="0.35">
      <c r="A19" s="93">
        <v>2024</v>
      </c>
      <c r="B19" t="s">
        <v>174</v>
      </c>
      <c r="C19" s="100">
        <f>IF(OR(Fact_Contabilidad[[#This Row], [Año]]="",Fact_Contabilidad[[#This Row], [Mes]]=""),"",DATE(A19,MATCH(B19,{"enero","febrero","marzo","abril","mayo","junio","julio","agosto","septiembre","octubre","noviembre","diciembre"},0)+1,0))</f>
        <v>45351</v>
      </c>
      <c r="D19" t="s">
        <v>77</v>
      </c>
      <c r="E19" t="str">
        <f>+IFERROR(VLOOKUP(Fact_Contabilidad[[#This Row], [Concepto Anterior]],Conceptos_Contabilidad[#All],5,0),"")</f>
        <v>Fusiones</v>
      </c>
      <c r="F19" t="str">
        <f ca="1">+IFERROR(VLOOKUP(Fact_Contabilidad[[#This Row], [Concepto Anterior]],Conceptos_Contabilidad[#All],7,0),"")</f>
        <v/>
      </c>
      <c r="G19" t="s">
        <v>172</v>
      </c>
      <c r="H19" t="s">
        <v>172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93">
        <v>1</v>
      </c>
    </row>
    <row r="20" spans="1:11" ht="18.75" customHeight="1" x14ac:dyDescent="0.35">
      <c r="A20" s="93">
        <v>2024</v>
      </c>
      <c r="B20" t="s">
        <v>174</v>
      </c>
      <c r="C20" s="100">
        <f>IF(OR(Fact_Contabilidad[[#This Row], [Año]]="",Fact_Contabilidad[[#This Row], [Mes]]=""),"",DATE(A20,MATCH(B20,{"enero","febrero","marzo","abril","mayo","junio","julio","agosto","septiembre","octubre","noviembre","diciembre"},0)+1,0))</f>
        <v>45351</v>
      </c>
      <c r="D20" t="s">
        <v>76</v>
      </c>
      <c r="E20" t="str">
        <f>+IFERROR(VLOOKUP(Fact_Contabilidad[[#This Row], [Concepto Anterior]],Conceptos_Contabilidad[#All],5,0),"")</f>
        <v>Informes Contables</v>
      </c>
      <c r="F20" t="str">
        <f ca="1">+IFERROR(VLOOKUP(Fact_Contabilidad[[#This Row], [Concepto Anterior]],Conceptos_Contabilidad[#All],7,0),"")</f>
        <v/>
      </c>
      <c r="G20" t="s">
        <v>172</v>
      </c>
      <c r="H20" t="s">
        <v>172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93">
        <v>6</v>
      </c>
    </row>
    <row r="21" spans="1:11" ht="18.75" customHeight="1" x14ac:dyDescent="0.35">
      <c r="A21" s="93">
        <v>2024</v>
      </c>
      <c r="B21" t="s">
        <v>174</v>
      </c>
      <c r="C21" s="100">
        <f>IF(OR(Fact_Contabilidad[[#This Row], [Año]]="",Fact_Contabilidad[[#This Row], [Mes]]=""),"",DATE(A21,MATCH(B21,{"enero","febrero","marzo","abril","mayo","junio","julio","agosto","septiembre","octubre","noviembre","diciembre"},0)+1,0))</f>
        <v>45351</v>
      </c>
      <c r="D21" t="s">
        <v>78</v>
      </c>
      <c r="E21" t="str">
        <f>+IFERROR(VLOOKUP(Fact_Contabilidad[[#This Row], [Concepto Anterior]],Conceptos_Contabilidad[#All],5,0),"")</f>
        <v>Gestión Gastos No deducibles + recuperación de embargos</v>
      </c>
      <c r="F21" t="str">
        <f ca="1">+IFERROR(VLOOKUP(Fact_Contabilidad[[#This Row], [Concepto Anterior]],Conceptos_Contabilidad[#All],7,0),"")</f>
        <v/>
      </c>
      <c r="G21" t="s">
        <v>172</v>
      </c>
      <c r="H21" t="s">
        <v>172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93">
        <v>0</v>
      </c>
    </row>
    <row r="22" spans="1:11" ht="18.75" customHeight="1" x14ac:dyDescent="0.35">
      <c r="A22" s="93">
        <v>2024</v>
      </c>
      <c r="B22" t="s">
        <v>175</v>
      </c>
      <c r="C22" s="100">
        <f>IF(OR(Fact_Contabilidad[[#This Row], [Año]]="",Fact_Contabilidad[[#This Row], [Mes]]=""),"",DATE(A22,MATCH(B22,{"enero","febrero","marzo","abril","mayo","junio","julio","agosto","septiembre","octubre","noviembre","diciembre"},0)+1,0))</f>
        <v>45382</v>
      </c>
      <c r="D22" t="s">
        <v>79</v>
      </c>
      <c r="E22" t="str">
        <f>+IFERROR(VLOOKUP(Fact_Contabilidad[[#This Row], [Concepto Anterior]],Conceptos_Contabilidad[#All],5,0),"")</f>
        <v>Cuentas Contables Conciliadas</v>
      </c>
      <c r="F22" t="str">
        <f ca="1">+IFERROR(VLOOKUP(Fact_Contabilidad[[#This Row], [Concepto Anterior]],Conceptos_Contabilidad[#All],7,0),"")</f>
        <v/>
      </c>
      <c r="G22" t="s">
        <v>172</v>
      </c>
      <c r="H22" t="s">
        <v>172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93">
        <v>1199</v>
      </c>
    </row>
    <row r="23" spans="1:11" ht="18.75" customHeight="1" x14ac:dyDescent="0.35">
      <c r="A23" s="93">
        <v>2024</v>
      </c>
      <c r="B23" t="s">
        <v>175</v>
      </c>
      <c r="C23" s="100">
        <f>IF(OR(Fact_Contabilidad[[#This Row], [Año]]="",Fact_Contabilidad[[#This Row], [Mes]]=""),"",DATE(A23,MATCH(B23,{"enero","febrero","marzo","abril","mayo","junio","julio","agosto","septiembre","octubre","noviembre","diciembre"},0)+1,0))</f>
        <v>45382</v>
      </c>
      <c r="D23" t="s">
        <v>70</v>
      </c>
      <c r="E23" t="str">
        <f>+IFERROR(VLOOKUP(Fact_Contabilidad[[#This Row], [Concepto Anterior]],Conceptos_Contabilidad[#All],5,0),"")</f>
        <v>Facturas Contabilizada</v>
      </c>
      <c r="F23" t="str">
        <f ca="1">+IFERROR(VLOOKUP(Fact_Contabilidad[[#This Row], [Concepto Anterior]],Conceptos_Contabilidad[#All],7,0),"")</f>
        <v/>
      </c>
      <c r="G23" t="s">
        <v>172</v>
      </c>
      <c r="H23" t="s">
        <v>172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93">
        <v>6745</v>
      </c>
    </row>
    <row r="24" spans="1:11" ht="18.75" customHeight="1" x14ac:dyDescent="0.35">
      <c r="A24" s="93">
        <v>2024</v>
      </c>
      <c r="B24" t="s">
        <v>175</v>
      </c>
      <c r="C24" s="100">
        <f>IF(OR(Fact_Contabilidad[[#This Row], [Año]]="",Fact_Contabilidad[[#This Row], [Mes]]=""),"",DATE(A24,MATCH(B24,{"enero","febrero","marzo","abril","mayo","junio","julio","agosto","septiembre","octubre","noviembre","diciembre"},0)+1,0))</f>
        <v>45382</v>
      </c>
      <c r="D24" t="s">
        <v>71</v>
      </c>
      <c r="E24" t="str">
        <f>+IFERROR(VLOOKUP(Fact_Contabilidad[[#This Row], [Concepto Anterior]],Conceptos_Contabilidad[#All],5,0),"")</f>
        <v>Facturas Contabilizada</v>
      </c>
      <c r="F24" t="str">
        <f ca="1">+IFERROR(VLOOKUP(Fact_Contabilidad[[#This Row], [Concepto Anterior]],Conceptos_Contabilidad[#All],7,0),"")</f>
        <v/>
      </c>
      <c r="G24" t="s">
        <v>172</v>
      </c>
      <c r="H24" t="s">
        <v>172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93">
        <v>2210</v>
      </c>
    </row>
    <row r="25" spans="1:11" ht="18.75" customHeight="1" x14ac:dyDescent="0.35">
      <c r="A25" s="93">
        <v>2024</v>
      </c>
      <c r="B25" t="s">
        <v>175</v>
      </c>
      <c r="C25" s="100">
        <f>IF(OR(Fact_Contabilidad[[#This Row], [Año]]="",Fact_Contabilidad[[#This Row], [Mes]]=""),"",DATE(A25,MATCH(B25,{"enero","febrero","marzo","abril","mayo","junio","julio","agosto","septiembre","octubre","noviembre","diciembre"},0)+1,0))</f>
        <v>45382</v>
      </c>
      <c r="D25" t="s">
        <v>72</v>
      </c>
      <c r="E25" t="str">
        <f>+IFERROR(VLOOKUP(Fact_Contabilidad[[#This Row], [Concepto Anterior]],Conceptos_Contabilidad[#All],5,0),"")</f>
        <v>Cantidad de legalizaciones de rendiciones registradas</v>
      </c>
      <c r="F25" t="str">
        <f ca="1">+IFERROR(VLOOKUP(Fact_Contabilidad[[#This Row], [Concepto Anterior]],Conceptos_Contabilidad[#All],7,0),"")</f>
        <v/>
      </c>
      <c r="G25" t="s">
        <v>172</v>
      </c>
      <c r="H25" t="s">
        <v>172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93">
        <v>106</v>
      </c>
    </row>
    <row r="26" spans="1:11" ht="18.75" customHeight="1" x14ac:dyDescent="0.35">
      <c r="A26" s="93">
        <v>2024</v>
      </c>
      <c r="B26" t="s">
        <v>175</v>
      </c>
      <c r="C26" s="100">
        <f>IF(OR(Fact_Contabilidad[[#This Row], [Año]]="",Fact_Contabilidad[[#This Row], [Mes]]=""),"",DATE(A26,MATCH(B26,{"enero","febrero","marzo","abril","mayo","junio","julio","agosto","septiembre","octubre","noviembre","diciembre"},0)+1,0))</f>
        <v>45382</v>
      </c>
      <c r="D26" t="s">
        <v>73</v>
      </c>
      <c r="E26" t="str">
        <f>+IFERROR(VLOOKUP(Fact_Contabilidad[[#This Row], [Concepto Anterior]],Conceptos_Contabilidad[#All],5,0),"")</f>
        <v>Cantidad de legalizaciones de TC registradas</v>
      </c>
      <c r="F26" t="str">
        <f ca="1">+IFERROR(VLOOKUP(Fact_Contabilidad[[#This Row], [Concepto Anterior]],Conceptos_Contabilidad[#All],7,0),"")</f>
        <v/>
      </c>
      <c r="G26" t="s">
        <v>172</v>
      </c>
      <c r="H26" t="s">
        <v>172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93">
        <v>62</v>
      </c>
    </row>
    <row r="27" spans="1:11" ht="18.75" customHeight="1" x14ac:dyDescent="0.35">
      <c r="A27" s="102">
        <v>2024</v>
      </c>
      <c r="B27" t="s">
        <v>175</v>
      </c>
      <c r="C27" s="100">
        <f>IF(OR(Fact_Contabilidad[[#This Row], [Año]]="",Fact_Contabilidad[[#This Row], [Mes]]=""),"",DATE(A27,MATCH(B27,{"enero","febrero","marzo","abril","mayo","junio","julio","agosto","septiembre","octubre","noviembre","diciembre"},0)+1,0))</f>
        <v>45382</v>
      </c>
      <c r="D27" t="s">
        <v>136</v>
      </c>
      <c r="E27" t="str">
        <f>+IFERROR(VLOOKUP(Fact_Contabilidad[[#This Row], [Concepto Anterior]],Conceptos_Contabilidad[#All],5,0),"")</f>
        <v>el 95 % del cumplimiento (sale del promedio de la fila)</v>
      </c>
      <c r="F27" t="str">
        <f ca="1">+IFERROR(VLOOKUP(Fact_Contabilidad[[#This Row], [Concepto Anterior]],Conceptos_Contabilidad[#All],7,0),"")</f>
        <v/>
      </c>
      <c r="G27" t="s">
        <v>172</v>
      </c>
      <c r="H27" t="s">
        <v>172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92">
        <v>0.78529956763434217</v>
      </c>
    </row>
    <row r="28" spans="1:11" ht="18.75" customHeight="1" x14ac:dyDescent="0.35">
      <c r="A28" s="93">
        <v>2024</v>
      </c>
      <c r="B28" t="s">
        <v>175</v>
      </c>
      <c r="C28" s="100">
        <f>IF(OR(Fact_Contabilidad[[#This Row], [Año]]="",Fact_Contabilidad[[#This Row], [Mes]]=""),"",DATE(A28,MATCH(B28,{"enero","febrero","marzo","abril","mayo","junio","julio","agosto","septiembre","octubre","noviembre","diciembre"},0)+1,0))</f>
        <v>45382</v>
      </c>
      <c r="D28" t="s">
        <v>74</v>
      </c>
      <c r="E28" t="str">
        <f>+IFERROR(VLOOKUP(Fact_Contabilidad[[#This Row], [Concepto Anterior]],Conceptos_Contabilidad[#All],5,0),"")</f>
        <v>Descuentos por nomina de anticipo</v>
      </c>
      <c r="F28" t="str">
        <f ca="1">+IFERROR(VLOOKUP(Fact_Contabilidad[[#This Row], [Concepto Anterior]],Conceptos_Contabilidad[#All],7,0),"")</f>
        <v/>
      </c>
      <c r="G28" t="s">
        <v>172</v>
      </c>
      <c r="H28" t="s">
        <v>172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IF(OR(Fact_Contabilidad[[#This Row], [Año]]="",Fact_Contabilidad[[#This Row], [Mes]]=""),"",DATE(A29,MATCH(B29,{"enero","febrero","marzo","abril","mayo","junio","julio","agosto","septiembre","octubre","noviembre","diciembre"},0)+1,0))</f>
        <v>45382</v>
      </c>
      <c r="D29" t="s">
        <v>77</v>
      </c>
      <c r="E29" t="str">
        <f>+IFERROR(VLOOKUP(Fact_Contabilidad[[#This Row], [Concepto Anterior]],Conceptos_Contabilidad[#All],5,0),"")</f>
        <v>Fusiones</v>
      </c>
      <c r="F29" t="str">
        <f ca="1">+IFERROR(VLOOKUP(Fact_Contabilidad[[#This Row], [Concepto Anterior]],Conceptos_Contabilidad[#All],7,0),"")</f>
        <v/>
      </c>
      <c r="G29" t="s">
        <v>172</v>
      </c>
      <c r="H29" t="s">
        <v>172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IF(OR(Fact_Contabilidad[[#This Row], [Año]]="",Fact_Contabilidad[[#This Row], [Mes]]=""),"",DATE(A30,MATCH(B30,{"enero","febrero","marzo","abril","mayo","junio","julio","agosto","septiembre","octubre","noviembre","diciembre"},0)+1,0))</f>
        <v>45382</v>
      </c>
      <c r="D30" t="s">
        <v>76</v>
      </c>
      <c r="E30" t="str">
        <f>+IFERROR(VLOOKUP(Fact_Contabilidad[[#This Row], [Concepto Anterior]],Conceptos_Contabilidad[#All],5,0),"")</f>
        <v>Informes Contables</v>
      </c>
      <c r="F30" t="str">
        <f ca="1">+IFERROR(VLOOKUP(Fact_Contabilidad[[#This Row], [Concepto Anterior]],Conceptos_Contabilidad[#All],7,0),"")</f>
        <v/>
      </c>
      <c r="G30" t="s">
        <v>172</v>
      </c>
      <c r="H30" t="s">
        <v>172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93">
        <v>7</v>
      </c>
    </row>
    <row r="31" spans="1:11" ht="18.75" customHeight="1" x14ac:dyDescent="0.35">
      <c r="A31" s="93">
        <v>2024</v>
      </c>
      <c r="B31" t="s">
        <v>175</v>
      </c>
      <c r="C31" s="100">
        <f>IF(OR(Fact_Contabilidad[[#This Row], [Año]]="",Fact_Contabilidad[[#This Row], [Mes]]=""),"",DATE(A31,MATCH(B31,{"enero","febrero","marzo","abril","mayo","junio","julio","agosto","septiembre","octubre","noviembre","diciembre"},0)+1,0))</f>
        <v>45382</v>
      </c>
      <c r="D31" t="s">
        <v>78</v>
      </c>
      <c r="E31" t="str">
        <f>+IFERROR(VLOOKUP(Fact_Contabilidad[[#This Row], [Concepto Anterior]],Conceptos_Contabilidad[#All],5,0),"")</f>
        <v>Gestión Gastos No deducibles + recuperación de embargos</v>
      </c>
      <c r="F31" t="str">
        <f ca="1">+IFERROR(VLOOKUP(Fact_Contabilidad[[#This Row], [Concepto Anterior]],Conceptos_Contabilidad[#All],7,0),"")</f>
        <v/>
      </c>
      <c r="G31" t="s">
        <v>172</v>
      </c>
      <c r="H31" t="s">
        <v>172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93">
        <v>0</v>
      </c>
    </row>
    <row r="32" spans="1:11" ht="18.75" customHeight="1" x14ac:dyDescent="0.35">
      <c r="A32" s="93">
        <v>2024</v>
      </c>
      <c r="B32" t="s">
        <v>176</v>
      </c>
      <c r="C32" s="100">
        <f>IF(OR(Fact_Contabilidad[[#This Row], [Año]]="",Fact_Contabilidad[[#This Row], [Mes]]=""),"",DATE(A32,MATCH(B32,{"enero","febrero","marzo","abril","mayo","junio","julio","agosto","septiembre","octubre","noviembre","diciembre"},0)+1,0))</f>
        <v>45412</v>
      </c>
      <c r="D32" t="s">
        <v>79</v>
      </c>
      <c r="E32" t="str">
        <f>+IFERROR(VLOOKUP(Fact_Contabilidad[[#This Row], [Concepto Anterior]],Conceptos_Contabilidad[#All],5,0),"")</f>
        <v>Cuentas Contables Conciliadas</v>
      </c>
      <c r="F32" t="str">
        <f ca="1">+IFERROR(VLOOKUP(Fact_Contabilidad[[#This Row], [Concepto Anterior]],Conceptos_Contabilidad[#All],7,0),"")</f>
        <v/>
      </c>
      <c r="G32" t="s">
        <v>172</v>
      </c>
      <c r="H32" t="s">
        <v>172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93">
        <v>1205</v>
      </c>
    </row>
    <row r="33" spans="1:11" ht="18.75" customHeight="1" x14ac:dyDescent="0.35">
      <c r="A33" s="93">
        <v>2024</v>
      </c>
      <c r="B33" t="s">
        <v>176</v>
      </c>
      <c r="C33" s="100">
        <f>IF(OR(Fact_Contabilidad[[#This Row], [Año]]="",Fact_Contabilidad[[#This Row], [Mes]]=""),"",DATE(A33,MATCH(B33,{"enero","febrero","marzo","abril","mayo","junio","julio","agosto","septiembre","octubre","noviembre","diciembre"},0)+1,0))</f>
        <v>45412</v>
      </c>
      <c r="D33" t="s">
        <v>70</v>
      </c>
      <c r="E33" t="str">
        <f>+IFERROR(VLOOKUP(Fact_Contabilidad[[#This Row], [Concepto Anterior]],Conceptos_Contabilidad[#All],5,0),"")</f>
        <v>Facturas Contabilizada</v>
      </c>
      <c r="F33" t="str">
        <f ca="1">+IFERROR(VLOOKUP(Fact_Contabilidad[[#This Row], [Concepto Anterior]],Conceptos_Contabilidad[#All],7,0),"")</f>
        <v/>
      </c>
      <c r="G33" t="s">
        <v>172</v>
      </c>
      <c r="H33" t="s">
        <v>172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93">
        <v>6779</v>
      </c>
    </row>
    <row r="34" spans="1:11" ht="18.75" customHeight="1" x14ac:dyDescent="0.35">
      <c r="A34" s="93">
        <v>2024</v>
      </c>
      <c r="B34" t="s">
        <v>176</v>
      </c>
      <c r="C34" s="100">
        <f>IF(OR(Fact_Contabilidad[[#This Row], [Año]]="",Fact_Contabilidad[[#This Row], [Mes]]=""),"",DATE(A34,MATCH(B34,{"enero","febrero","marzo","abril","mayo","junio","julio","agosto","septiembre","octubre","noviembre","diciembre"},0)+1,0))</f>
        <v>45412</v>
      </c>
      <c r="D34" t="s">
        <v>71</v>
      </c>
      <c r="E34" t="str">
        <f>+IFERROR(VLOOKUP(Fact_Contabilidad[[#This Row], [Concepto Anterior]],Conceptos_Contabilidad[#All],5,0),"")</f>
        <v>Facturas Contabilizada</v>
      </c>
      <c r="F34" t="str">
        <f ca="1">+IFERROR(VLOOKUP(Fact_Contabilidad[[#This Row], [Concepto Anterior]],Conceptos_Contabilidad[#All],7,0),"")</f>
        <v/>
      </c>
      <c r="G34" t="s">
        <v>172</v>
      </c>
      <c r="H34" t="s">
        <v>172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93">
        <v>1888</v>
      </c>
    </row>
    <row r="35" spans="1:11" ht="18.75" customHeight="1" x14ac:dyDescent="0.35">
      <c r="A35" s="93">
        <v>2024</v>
      </c>
      <c r="B35" t="s">
        <v>176</v>
      </c>
      <c r="C35" s="100">
        <f>IF(OR(Fact_Contabilidad[[#This Row], [Año]]="",Fact_Contabilidad[[#This Row], [Mes]]=""),"",DATE(A35,MATCH(B35,{"enero","febrero","marzo","abril","mayo","junio","julio","agosto","septiembre","octubre","noviembre","diciembre"},0)+1,0))</f>
        <v>45412</v>
      </c>
      <c r="D35" t="s">
        <v>72</v>
      </c>
      <c r="E35" t="str">
        <f>+IFERROR(VLOOKUP(Fact_Contabilidad[[#This Row], [Concepto Anterior]],Conceptos_Contabilidad[#All],5,0),"")</f>
        <v>Cantidad de legalizaciones de rendiciones registradas</v>
      </c>
      <c r="F35" t="str">
        <f ca="1">+IFERROR(VLOOKUP(Fact_Contabilidad[[#This Row], [Concepto Anterior]],Conceptos_Contabilidad[#All],7,0),"")</f>
        <v/>
      </c>
      <c r="G35" t="s">
        <v>172</v>
      </c>
      <c r="H35" t="s">
        <v>172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93">
        <v>163</v>
      </c>
    </row>
    <row r="36" spans="1:11" ht="18.75" customHeight="1" x14ac:dyDescent="0.35">
      <c r="A36" s="93">
        <v>2024</v>
      </c>
      <c r="B36" t="s">
        <v>176</v>
      </c>
      <c r="C36" s="100">
        <f>IF(OR(Fact_Contabilidad[[#This Row], [Año]]="",Fact_Contabilidad[[#This Row], [Mes]]=""),"",DATE(A36,MATCH(B36,{"enero","febrero","marzo","abril","mayo","junio","julio","agosto","septiembre","octubre","noviembre","diciembre"},0)+1,0))</f>
        <v>45412</v>
      </c>
      <c r="D36" t="s">
        <v>73</v>
      </c>
      <c r="E36" t="str">
        <f>+IFERROR(VLOOKUP(Fact_Contabilidad[[#This Row], [Concepto Anterior]],Conceptos_Contabilidad[#All],5,0),"")</f>
        <v>Cantidad de legalizaciones de TC registradas</v>
      </c>
      <c r="F36" t="str">
        <f ca="1">+IFERROR(VLOOKUP(Fact_Contabilidad[[#This Row], [Concepto Anterior]],Conceptos_Contabilidad[#All],7,0),"")</f>
        <v/>
      </c>
      <c r="G36" t="s">
        <v>172</v>
      </c>
      <c r="H36" t="s">
        <v>172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93">
        <v>74</v>
      </c>
    </row>
    <row r="37" spans="1:11" ht="18.75" customHeight="1" x14ac:dyDescent="0.35">
      <c r="A37" s="102">
        <v>2024</v>
      </c>
      <c r="B37" t="s">
        <v>176</v>
      </c>
      <c r="C37" s="100">
        <f>IF(OR(Fact_Contabilidad[[#This Row], [Año]]="",Fact_Contabilidad[[#This Row], [Mes]]=""),"",DATE(A37,MATCH(B37,{"enero","febrero","marzo","abril","mayo","junio","julio","agosto","septiembre","octubre","noviembre","diciembre"},0)+1,0))</f>
        <v>45412</v>
      </c>
      <c r="D37" t="s">
        <v>136</v>
      </c>
      <c r="E37" t="str">
        <f>+IFERROR(VLOOKUP(Fact_Contabilidad[[#This Row], [Concepto Anterior]],Conceptos_Contabilidad[#All],5,0),"")</f>
        <v>el 95 % del cumplimiento (sale del promedio de la fila)</v>
      </c>
      <c r="F37" t="str">
        <f ca="1">+IFERROR(VLOOKUP(Fact_Contabilidad[[#This Row], [Concepto Anterior]],Conceptos_Contabilidad[#All],7,0),"")</f>
        <v/>
      </c>
      <c r="G37" t="s">
        <v>172</v>
      </c>
      <c r="H37" t="s">
        <v>172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92">
        <v>0.82089741960086438</v>
      </c>
    </row>
    <row r="38" spans="1:11" ht="18.75" customHeight="1" x14ac:dyDescent="0.35">
      <c r="A38" s="93">
        <v>2024</v>
      </c>
      <c r="B38" t="s">
        <v>176</v>
      </c>
      <c r="C38" s="100">
        <f>IF(OR(Fact_Contabilidad[[#This Row], [Año]]="",Fact_Contabilidad[[#This Row], [Mes]]=""),"",DATE(A38,MATCH(B38,{"enero","febrero","marzo","abril","mayo","junio","julio","agosto","septiembre","octubre","noviembre","diciembre"},0)+1,0))</f>
        <v>45412</v>
      </c>
      <c r="D38" t="s">
        <v>74</v>
      </c>
      <c r="E38" t="str">
        <f>+IFERROR(VLOOKUP(Fact_Contabilidad[[#This Row], [Concepto Anterior]],Conceptos_Contabilidad[#All],5,0),"")</f>
        <v>Descuentos por nomina de anticipo</v>
      </c>
      <c r="F38" t="str">
        <f ca="1">+IFERROR(VLOOKUP(Fact_Contabilidad[[#This Row], [Concepto Anterior]],Conceptos_Contabilidad[#All],7,0),"")</f>
        <v/>
      </c>
      <c r="G38" t="s">
        <v>172</v>
      </c>
      <c r="H38" t="s">
        <v>172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IF(OR(Fact_Contabilidad[[#This Row], [Año]]="",Fact_Contabilidad[[#This Row], [Mes]]=""),"",DATE(A39,MATCH(B39,{"enero","febrero","marzo","abril","mayo","junio","julio","agosto","septiembre","octubre","noviembre","diciembre"},0)+1,0))</f>
        <v>45412</v>
      </c>
      <c r="D39" t="s">
        <v>77</v>
      </c>
      <c r="E39" t="str">
        <f>+IFERROR(VLOOKUP(Fact_Contabilidad[[#This Row], [Concepto Anterior]],Conceptos_Contabilidad[#All],5,0),"")</f>
        <v>Fusiones</v>
      </c>
      <c r="F39" t="str">
        <f ca="1">+IFERROR(VLOOKUP(Fact_Contabilidad[[#This Row], [Concepto Anterior]],Conceptos_Contabilidad[#All],7,0),"")</f>
        <v/>
      </c>
      <c r="G39" t="s">
        <v>172</v>
      </c>
      <c r="H39" t="s">
        <v>172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IF(OR(Fact_Contabilidad[[#This Row], [Año]]="",Fact_Contabilidad[[#This Row], [Mes]]=""),"",DATE(A40,MATCH(B40,{"enero","febrero","marzo","abril","mayo","junio","julio","agosto","septiembre","octubre","noviembre","diciembre"},0)+1,0))</f>
        <v>45412</v>
      </c>
      <c r="D40" t="s">
        <v>76</v>
      </c>
      <c r="E40" t="str">
        <f>+IFERROR(VLOOKUP(Fact_Contabilidad[[#This Row], [Concepto Anterior]],Conceptos_Contabilidad[#All],5,0),"")</f>
        <v>Informes Contables</v>
      </c>
      <c r="F40" t="str">
        <f ca="1">+IFERROR(VLOOKUP(Fact_Contabilidad[[#This Row], [Concepto Anterior]],Conceptos_Contabilidad[#All],7,0),"")</f>
        <v/>
      </c>
      <c r="G40" t="s">
        <v>172</v>
      </c>
      <c r="H40" t="s">
        <v>172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93">
        <v>17</v>
      </c>
    </row>
    <row r="41" spans="1:11" ht="18.75" customHeight="1" x14ac:dyDescent="0.35">
      <c r="A41" s="93">
        <v>2024</v>
      </c>
      <c r="B41" t="s">
        <v>176</v>
      </c>
      <c r="C41" s="100">
        <f>IF(OR(Fact_Contabilidad[[#This Row], [Año]]="",Fact_Contabilidad[[#This Row], [Mes]]=""),"",DATE(A41,MATCH(B41,{"enero","febrero","marzo","abril","mayo","junio","julio","agosto","septiembre","octubre","noviembre","diciembre"},0)+1,0))</f>
        <v>45412</v>
      </c>
      <c r="D41" t="s">
        <v>78</v>
      </c>
      <c r="E41" t="str">
        <f>+IFERROR(VLOOKUP(Fact_Contabilidad[[#This Row], [Concepto Anterior]],Conceptos_Contabilidad[#All],5,0),"")</f>
        <v>Gestión Gastos No deducibles + recuperación de embargos</v>
      </c>
      <c r="F41" t="str">
        <f ca="1">+IFERROR(VLOOKUP(Fact_Contabilidad[[#This Row], [Concepto Anterior]],Conceptos_Contabilidad[#All],7,0),"")</f>
        <v/>
      </c>
      <c r="G41" t="s">
        <v>172</v>
      </c>
      <c r="H41" t="s">
        <v>172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93">
        <v>0</v>
      </c>
    </row>
    <row r="42" spans="1:11" ht="18.75" customHeight="1" x14ac:dyDescent="0.35">
      <c r="A42" s="93">
        <v>2024</v>
      </c>
      <c r="B42" t="s">
        <v>177</v>
      </c>
      <c r="C42" s="100">
        <f>IF(OR(Fact_Contabilidad[[#This Row], [Año]]="",Fact_Contabilidad[[#This Row], [Mes]]=""),"",DATE(A42,MATCH(B42,{"enero","febrero","marzo","abril","mayo","junio","julio","agosto","septiembre","octubre","noviembre","diciembre"},0)+1,0))</f>
        <v>45443</v>
      </c>
      <c r="D42" t="s">
        <v>79</v>
      </c>
      <c r="E42" t="str">
        <f>+IFERROR(VLOOKUP(Fact_Contabilidad[[#This Row], [Concepto Anterior]],Conceptos_Contabilidad[#All],5,0),"")</f>
        <v>Cuentas Contables Conciliadas</v>
      </c>
      <c r="F42" t="str">
        <f ca="1">+IFERROR(VLOOKUP(Fact_Contabilidad[[#This Row], [Concepto Anterior]],Conceptos_Contabilidad[#All],7,0),"")</f>
        <v/>
      </c>
      <c r="G42" t="s">
        <v>172</v>
      </c>
      <c r="H42" t="s">
        <v>172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93">
        <v>1207</v>
      </c>
    </row>
    <row r="43" spans="1:11" ht="18.75" customHeight="1" x14ac:dyDescent="0.35">
      <c r="A43" s="93">
        <v>2024</v>
      </c>
      <c r="B43" t="s">
        <v>177</v>
      </c>
      <c r="C43" s="100">
        <f>IF(OR(Fact_Contabilidad[[#This Row], [Año]]="",Fact_Contabilidad[[#This Row], [Mes]]=""),"",DATE(A43,MATCH(B43,{"enero","febrero","marzo","abril","mayo","junio","julio","agosto","septiembre","octubre","noviembre","diciembre"},0)+1,0))</f>
        <v>45443</v>
      </c>
      <c r="D43" t="s">
        <v>70</v>
      </c>
      <c r="E43" t="str">
        <f>+IFERROR(VLOOKUP(Fact_Contabilidad[[#This Row], [Concepto Anterior]],Conceptos_Contabilidad[#All],5,0),"")</f>
        <v>Facturas Contabilizada</v>
      </c>
      <c r="F43" t="str">
        <f ca="1">+IFERROR(VLOOKUP(Fact_Contabilidad[[#This Row], [Concepto Anterior]],Conceptos_Contabilidad[#All],7,0),"")</f>
        <v/>
      </c>
      <c r="G43" t="s">
        <v>172</v>
      </c>
      <c r="H43" t="s">
        <v>172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93">
        <v>7082</v>
      </c>
    </row>
    <row r="44" spans="1:11" ht="18.75" customHeight="1" x14ac:dyDescent="0.35">
      <c r="A44" s="93">
        <v>2024</v>
      </c>
      <c r="B44" t="s">
        <v>177</v>
      </c>
      <c r="C44" s="100">
        <f>IF(OR(Fact_Contabilidad[[#This Row], [Año]]="",Fact_Contabilidad[[#This Row], [Mes]]=""),"",DATE(A44,MATCH(B44,{"enero","febrero","marzo","abril","mayo","junio","julio","agosto","septiembre","octubre","noviembre","diciembre"},0)+1,0))</f>
        <v>45443</v>
      </c>
      <c r="D44" t="s">
        <v>71</v>
      </c>
      <c r="E44" t="str">
        <f>+IFERROR(VLOOKUP(Fact_Contabilidad[[#This Row], [Concepto Anterior]],Conceptos_Contabilidad[#All],5,0),"")</f>
        <v>Facturas Contabilizada</v>
      </c>
      <c r="F44" t="str">
        <f ca="1">+IFERROR(VLOOKUP(Fact_Contabilidad[[#This Row], [Concepto Anterior]],Conceptos_Contabilidad[#All],7,0),"")</f>
        <v/>
      </c>
      <c r="G44" t="s">
        <v>172</v>
      </c>
      <c r="H44" t="s">
        <v>172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93">
        <v>1889</v>
      </c>
    </row>
    <row r="45" spans="1:11" ht="18.75" customHeight="1" x14ac:dyDescent="0.35">
      <c r="A45" s="93">
        <v>2024</v>
      </c>
      <c r="B45" t="s">
        <v>177</v>
      </c>
      <c r="C45" s="100">
        <f>IF(OR(Fact_Contabilidad[[#This Row], [Año]]="",Fact_Contabilidad[[#This Row], [Mes]]=""),"",DATE(A45,MATCH(B45,{"enero","febrero","marzo","abril","mayo","junio","julio","agosto","septiembre","octubre","noviembre","diciembre"},0)+1,0))</f>
        <v>45443</v>
      </c>
      <c r="D45" t="s">
        <v>72</v>
      </c>
      <c r="E45" t="str">
        <f>+IFERROR(VLOOKUP(Fact_Contabilidad[[#This Row], [Concepto Anterior]],Conceptos_Contabilidad[#All],5,0),"")</f>
        <v>Cantidad de legalizaciones de rendiciones registradas</v>
      </c>
      <c r="F45" t="str">
        <f ca="1">+IFERROR(VLOOKUP(Fact_Contabilidad[[#This Row], [Concepto Anterior]],Conceptos_Contabilidad[#All],7,0),"")</f>
        <v/>
      </c>
      <c r="G45" t="s">
        <v>172</v>
      </c>
      <c r="H45" t="s">
        <v>172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93">
        <v>138</v>
      </c>
    </row>
    <row r="46" spans="1:11" ht="18.75" customHeight="1" x14ac:dyDescent="0.35">
      <c r="A46" s="93">
        <v>2024</v>
      </c>
      <c r="B46" t="s">
        <v>177</v>
      </c>
      <c r="C46" s="100">
        <f>IF(OR(Fact_Contabilidad[[#This Row], [Año]]="",Fact_Contabilidad[[#This Row], [Mes]]=""),"",DATE(A46,MATCH(B46,{"enero","febrero","marzo","abril","mayo","junio","julio","agosto","septiembre","octubre","noviembre","diciembre"},0)+1,0))</f>
        <v>45443</v>
      </c>
      <c r="D46" t="s">
        <v>73</v>
      </c>
      <c r="E46" t="str">
        <f>+IFERROR(VLOOKUP(Fact_Contabilidad[[#This Row], [Concepto Anterior]],Conceptos_Contabilidad[#All],5,0),"")</f>
        <v>Cantidad de legalizaciones de TC registradas</v>
      </c>
      <c r="F46" t="str">
        <f ca="1">+IFERROR(VLOOKUP(Fact_Contabilidad[[#This Row], [Concepto Anterior]],Conceptos_Contabilidad[#All],7,0),"")</f>
        <v/>
      </c>
      <c r="G46" t="s">
        <v>172</v>
      </c>
      <c r="H46" t="s">
        <v>172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93">
        <v>84</v>
      </c>
    </row>
    <row r="47" spans="1:11" ht="18.75" customHeight="1" x14ac:dyDescent="0.35">
      <c r="A47" s="93">
        <v>2024</v>
      </c>
      <c r="B47" t="s">
        <v>177</v>
      </c>
      <c r="C47" s="100">
        <f>IF(OR(Fact_Contabilidad[[#This Row], [Año]]="",Fact_Contabilidad[[#This Row], [Mes]]=""),"",DATE(A47,MATCH(B47,{"enero","febrero","marzo","abril","mayo","junio","julio","agosto","septiembre","octubre","noviembre","diciembre"},0)+1,0))</f>
        <v>45443</v>
      </c>
      <c r="D47" t="s">
        <v>136</v>
      </c>
      <c r="E47" t="str">
        <f>+IFERROR(VLOOKUP(Fact_Contabilidad[[#This Row], [Concepto Anterior]],Conceptos_Contabilidad[#All],5,0),"")</f>
        <v>el 95 % del cumplimiento (sale del promedio de la fila)</v>
      </c>
      <c r="F47" t="str">
        <f ca="1">+IFERROR(VLOOKUP(Fact_Contabilidad[[#This Row], [Concepto Anterior]],Conceptos_Contabilidad[#All],7,0),"")</f>
        <v/>
      </c>
      <c r="G47" t="s">
        <v>172</v>
      </c>
      <c r="H47" t="s">
        <v>172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92">
        <v>0.87620640844164199</v>
      </c>
    </row>
    <row r="48" spans="1:11" ht="18.75" customHeight="1" x14ac:dyDescent="0.35">
      <c r="A48" s="93">
        <v>2024</v>
      </c>
      <c r="B48" t="s">
        <v>177</v>
      </c>
      <c r="C48" s="100">
        <f>IF(OR(Fact_Contabilidad[[#This Row], [Año]]="",Fact_Contabilidad[[#This Row], [Mes]]=""),"",DATE(A48,MATCH(B48,{"enero","febrero","marzo","abril","mayo","junio","julio","agosto","septiembre","octubre","noviembre","diciembre"},0)+1,0))</f>
        <v>45443</v>
      </c>
      <c r="D48" t="s">
        <v>74</v>
      </c>
      <c r="E48" t="str">
        <f>+IFERROR(VLOOKUP(Fact_Contabilidad[[#This Row], [Concepto Anterior]],Conceptos_Contabilidad[#All],5,0),"")</f>
        <v>Descuentos por nomina de anticipo</v>
      </c>
      <c r="F48" t="str">
        <f ca="1">+IFERROR(VLOOKUP(Fact_Contabilidad[[#This Row], [Concepto Anterior]],Conceptos_Contabilidad[#All],7,0),"")</f>
        <v/>
      </c>
      <c r="G48" t="s">
        <v>172</v>
      </c>
      <c r="H48" t="s">
        <v>172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93">
        <v>2625812</v>
      </c>
    </row>
    <row r="49" spans="1:11" ht="18.75" customHeight="1" x14ac:dyDescent="0.35">
      <c r="A49" s="93">
        <v>2024</v>
      </c>
      <c r="B49" t="s">
        <v>177</v>
      </c>
      <c r="C49" s="100">
        <f>IF(OR(Fact_Contabilidad[[#This Row], [Año]]="",Fact_Contabilidad[[#This Row], [Mes]]=""),"",DATE(A49,MATCH(B49,{"enero","febrero","marzo","abril","mayo","junio","julio","agosto","septiembre","octubre","noviembre","diciembre"},0)+1,0))</f>
        <v>45443</v>
      </c>
      <c r="D49" t="s">
        <v>77</v>
      </c>
      <c r="E49" t="str">
        <f>+IFERROR(VLOOKUP(Fact_Contabilidad[[#This Row], [Concepto Anterior]],Conceptos_Contabilidad[#All],5,0),"")</f>
        <v>Fusiones</v>
      </c>
      <c r="F49" t="str">
        <f ca="1">+IFERROR(VLOOKUP(Fact_Contabilidad[[#This Row], [Concepto Anterior]],Conceptos_Contabilidad[#All],7,0),"")</f>
        <v/>
      </c>
      <c r="G49" t="s">
        <v>172</v>
      </c>
      <c r="H49" t="s">
        <v>172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IF(OR(Fact_Contabilidad[[#This Row], [Año]]="",Fact_Contabilidad[[#This Row], [Mes]]=""),"",DATE(A50,MATCH(B50,{"enero","febrero","marzo","abril","mayo","junio","julio","agosto","septiembre","octubre","noviembre","diciembre"},0)+1,0))</f>
        <v>45443</v>
      </c>
      <c r="D50" t="s">
        <v>76</v>
      </c>
      <c r="E50" t="str">
        <f>+IFERROR(VLOOKUP(Fact_Contabilidad[[#This Row], [Concepto Anterior]],Conceptos_Contabilidad[#All],5,0),"")</f>
        <v>Informes Contables</v>
      </c>
      <c r="F50" t="str">
        <f ca="1">+IFERROR(VLOOKUP(Fact_Contabilidad[[#This Row], [Concepto Anterior]],Conceptos_Contabilidad[#All],7,0),"")</f>
        <v/>
      </c>
      <c r="G50" t="s">
        <v>172</v>
      </c>
      <c r="H50" t="s">
        <v>172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93">
        <v>6</v>
      </c>
    </row>
    <row r="51" spans="1:11" ht="18.75" customHeight="1" x14ac:dyDescent="0.35">
      <c r="A51" s="93">
        <v>2024</v>
      </c>
      <c r="B51" t="s">
        <v>177</v>
      </c>
      <c r="C51" s="100">
        <f>IF(OR(Fact_Contabilidad[[#This Row], [Año]]="",Fact_Contabilidad[[#This Row], [Mes]]=""),"",DATE(A51,MATCH(B51,{"enero","febrero","marzo","abril","mayo","junio","julio","agosto","septiembre","octubre","noviembre","diciembre"},0)+1,0))</f>
        <v>45443</v>
      </c>
      <c r="D51" t="s">
        <v>78</v>
      </c>
      <c r="E51" t="str">
        <f>+IFERROR(VLOOKUP(Fact_Contabilidad[[#This Row], [Concepto Anterior]],Conceptos_Contabilidad[#All],5,0),"")</f>
        <v>Gestión Gastos No deducibles + recuperación de embargos</v>
      </c>
      <c r="F51" t="str">
        <f ca="1">+IFERROR(VLOOKUP(Fact_Contabilidad[[#This Row], [Concepto Anterior]],Conceptos_Contabilidad[#All],7,0),"")</f>
        <v/>
      </c>
      <c r="G51" t="s">
        <v>172</v>
      </c>
      <c r="H51" t="s">
        <v>172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93">
        <v>0</v>
      </c>
    </row>
    <row r="52" spans="1:11" ht="18.75" customHeight="1" x14ac:dyDescent="0.35">
      <c r="A52" s="93">
        <v>2024</v>
      </c>
      <c r="B52" t="s">
        <v>178</v>
      </c>
      <c r="C52" s="100">
        <f>IF(OR(Fact_Contabilidad[[#This Row], [Año]]="",Fact_Contabilidad[[#This Row], [Mes]]=""),"",DATE(A52,MATCH(B52,{"enero","febrero","marzo","abril","mayo","junio","julio","agosto","septiembre","octubre","noviembre","diciembre"},0)+1,0))</f>
        <v>45473</v>
      </c>
      <c r="D52" t="s">
        <v>79</v>
      </c>
      <c r="E52" t="str">
        <f>+IFERROR(VLOOKUP(Fact_Contabilidad[[#This Row], [Concepto Anterior]],Conceptos_Contabilidad[#All],5,0),"")</f>
        <v>Cuentas Contables Conciliadas</v>
      </c>
      <c r="F52" t="str">
        <f ca="1">+IFERROR(VLOOKUP(Fact_Contabilidad[[#This Row], [Concepto Anterior]],Conceptos_Contabilidad[#All],7,0),"")</f>
        <v/>
      </c>
      <c r="G52" t="s">
        <v>172</v>
      </c>
      <c r="H52" t="s">
        <v>172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93">
        <v>1208</v>
      </c>
    </row>
    <row r="53" spans="1:11" ht="18.75" customHeight="1" x14ac:dyDescent="0.35">
      <c r="A53" s="102">
        <v>2024</v>
      </c>
      <c r="B53" t="s">
        <v>178</v>
      </c>
      <c r="C53" s="100">
        <f>IF(OR(Fact_Contabilidad[[#This Row], [Año]]="",Fact_Contabilidad[[#This Row], [Mes]]=""),"",DATE(A53,MATCH(B53,{"enero","febrero","marzo","abril","mayo","junio","julio","agosto","septiembre","octubre","noviembre","diciembre"},0)+1,0))</f>
        <v>45473</v>
      </c>
      <c r="D53" t="s">
        <v>70</v>
      </c>
      <c r="E53" t="str">
        <f>+IFERROR(VLOOKUP(Fact_Contabilidad[[#This Row], [Concepto Anterior]],Conceptos_Contabilidad[#All],5,0),"")</f>
        <v>Facturas Contabilizada</v>
      </c>
      <c r="F53" t="str">
        <f ca="1">+IFERROR(VLOOKUP(Fact_Contabilidad[[#This Row], [Concepto Anterior]],Conceptos_Contabilidad[#All],7,0),"")</f>
        <v/>
      </c>
      <c r="G53" t="s">
        <v>172</v>
      </c>
      <c r="H53" t="s">
        <v>172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93">
        <v>7413</v>
      </c>
    </row>
    <row r="54" spans="1:11" ht="18.75" customHeight="1" x14ac:dyDescent="0.35">
      <c r="A54" s="93">
        <v>2024</v>
      </c>
      <c r="B54" t="s">
        <v>178</v>
      </c>
      <c r="C54" s="100">
        <f>IF(OR(Fact_Contabilidad[[#This Row], [Año]]="",Fact_Contabilidad[[#This Row], [Mes]]=""),"",DATE(A54,MATCH(B54,{"enero","febrero","marzo","abril","mayo","junio","julio","agosto","septiembre","octubre","noviembre","diciembre"},0)+1,0))</f>
        <v>45473</v>
      </c>
      <c r="D54" t="s">
        <v>71</v>
      </c>
      <c r="E54" t="str">
        <f>+IFERROR(VLOOKUP(Fact_Contabilidad[[#This Row], [Concepto Anterior]],Conceptos_Contabilidad[#All],5,0),"")</f>
        <v>Facturas Contabilizada</v>
      </c>
      <c r="F54" t="str">
        <f ca="1">+IFERROR(VLOOKUP(Fact_Contabilidad[[#This Row], [Concepto Anterior]],Conceptos_Contabilidad[#All],7,0),"")</f>
        <v/>
      </c>
      <c r="G54" t="s">
        <v>172</v>
      </c>
      <c r="H54" t="s">
        <v>172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93">
        <v>1858</v>
      </c>
    </row>
    <row r="55" spans="1:11" ht="18.75" customHeight="1" x14ac:dyDescent="0.35">
      <c r="A55" s="93">
        <v>2024</v>
      </c>
      <c r="B55" t="s">
        <v>178</v>
      </c>
      <c r="C55" s="100">
        <f>IF(OR(Fact_Contabilidad[[#This Row], [Año]]="",Fact_Contabilidad[[#This Row], [Mes]]=""),"",DATE(A55,MATCH(B55,{"enero","febrero","marzo","abril","mayo","junio","julio","agosto","septiembre","octubre","noviembre","diciembre"},0)+1,0))</f>
        <v>45473</v>
      </c>
      <c r="D55" t="s">
        <v>72</v>
      </c>
      <c r="E55" t="str">
        <f>+IFERROR(VLOOKUP(Fact_Contabilidad[[#This Row], [Concepto Anterior]],Conceptos_Contabilidad[#All],5,0),"")</f>
        <v>Cantidad de legalizaciones de rendiciones registradas</v>
      </c>
      <c r="F55" t="str">
        <f ca="1">+IFERROR(VLOOKUP(Fact_Contabilidad[[#This Row], [Concepto Anterior]],Conceptos_Contabilidad[#All],7,0),"")</f>
        <v/>
      </c>
      <c r="G55" t="s">
        <v>172</v>
      </c>
      <c r="H55" t="s">
        <v>172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93">
        <v>120</v>
      </c>
    </row>
    <row r="56" spans="1:11" ht="18.75" customHeight="1" x14ac:dyDescent="0.35">
      <c r="A56" s="93">
        <v>2024</v>
      </c>
      <c r="B56" t="s">
        <v>178</v>
      </c>
      <c r="C56" s="100">
        <f>IF(OR(Fact_Contabilidad[[#This Row], [Año]]="",Fact_Contabilidad[[#This Row], [Mes]]=""),"",DATE(A56,MATCH(B56,{"enero","febrero","marzo","abril","mayo","junio","julio","agosto","septiembre","octubre","noviembre","diciembre"},0)+1,0))</f>
        <v>45473</v>
      </c>
      <c r="D56" t="s">
        <v>73</v>
      </c>
      <c r="E56" t="str">
        <f>+IFERROR(VLOOKUP(Fact_Contabilidad[[#This Row], [Concepto Anterior]],Conceptos_Contabilidad[#All],5,0),"")</f>
        <v>Cantidad de legalizaciones de TC registradas</v>
      </c>
      <c r="F56" t="str">
        <f ca="1">+IFERROR(VLOOKUP(Fact_Contabilidad[[#This Row], [Concepto Anterior]],Conceptos_Contabilidad[#All],7,0),"")</f>
        <v/>
      </c>
      <c r="G56" t="s">
        <v>172</v>
      </c>
      <c r="H56" t="s">
        <v>172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93">
        <v>92</v>
      </c>
    </row>
    <row r="57" spans="1:11" ht="18.75" customHeight="1" x14ac:dyDescent="0.35">
      <c r="A57" s="93">
        <v>2024</v>
      </c>
      <c r="B57" t="s">
        <v>178</v>
      </c>
      <c r="C57" s="100">
        <f>IF(OR(Fact_Contabilidad[[#This Row], [Año]]="",Fact_Contabilidad[[#This Row], [Mes]]=""),"",DATE(A57,MATCH(B57,{"enero","febrero","marzo","abril","mayo","junio","julio","agosto","septiembre","octubre","noviembre","diciembre"},0)+1,0))</f>
        <v>45473</v>
      </c>
      <c r="D57" t="s">
        <v>136</v>
      </c>
      <c r="E57" t="str">
        <f>+IFERROR(VLOOKUP(Fact_Contabilidad[[#This Row], [Concepto Anterior]],Conceptos_Contabilidad[#All],5,0),"")</f>
        <v>el 95 % del cumplimiento (sale del promedio de la fila)</v>
      </c>
      <c r="F57" t="str">
        <f ca="1">+IFERROR(VLOOKUP(Fact_Contabilidad[[#This Row], [Concepto Anterior]],Conceptos_Contabilidad[#All],7,0),"")</f>
        <v/>
      </c>
      <c r="G57" t="s">
        <v>172</v>
      </c>
      <c r="H57" t="s">
        <v>172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92">
        <v>0.57429429429429435</v>
      </c>
    </row>
    <row r="58" spans="1:11" ht="18.75" customHeight="1" x14ac:dyDescent="0.35">
      <c r="A58" s="93">
        <v>2024</v>
      </c>
      <c r="B58" t="s">
        <v>178</v>
      </c>
      <c r="C58" s="100">
        <f>IF(OR(Fact_Contabilidad[[#This Row], [Año]]="",Fact_Contabilidad[[#This Row], [Mes]]=""),"",DATE(A58,MATCH(B58,{"enero","febrero","marzo","abril","mayo","junio","julio","agosto","septiembre","octubre","noviembre","diciembre"},0)+1,0))</f>
        <v>45473</v>
      </c>
      <c r="D58" t="s">
        <v>74</v>
      </c>
      <c r="E58" t="str">
        <f>+IFERROR(VLOOKUP(Fact_Contabilidad[[#This Row], [Concepto Anterior]],Conceptos_Contabilidad[#All],5,0),"")</f>
        <v>Descuentos por nomina de anticipo</v>
      </c>
      <c r="F58" t="str">
        <f ca="1">+IFERROR(VLOOKUP(Fact_Contabilidad[[#This Row], [Concepto Anterior]],Conceptos_Contabilidad[#All],7,0),"")</f>
        <v/>
      </c>
      <c r="G58" t="s">
        <v>172</v>
      </c>
      <c r="H58" t="s">
        <v>172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IF(OR(Fact_Contabilidad[[#This Row], [Año]]="",Fact_Contabilidad[[#This Row], [Mes]]=""),"",DATE(A59,MATCH(B59,{"enero","febrero","marzo","abril","mayo","junio","julio","agosto","septiembre","octubre","noviembre","diciembre"},0)+1,0))</f>
        <v>45473</v>
      </c>
      <c r="D59" t="s">
        <v>77</v>
      </c>
      <c r="E59" t="str">
        <f>+IFERROR(VLOOKUP(Fact_Contabilidad[[#This Row], [Concepto Anterior]],Conceptos_Contabilidad[#All],5,0),"")</f>
        <v>Fusiones</v>
      </c>
      <c r="F59" t="str">
        <f ca="1">+IFERROR(VLOOKUP(Fact_Contabilidad[[#This Row], [Concepto Anterior]],Conceptos_Contabilidad[#All],7,0),"")</f>
        <v/>
      </c>
      <c r="G59" t="s">
        <v>172</v>
      </c>
      <c r="H59" t="s">
        <v>172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IF(OR(Fact_Contabilidad[[#This Row], [Año]]="",Fact_Contabilidad[[#This Row], [Mes]]=""),"",DATE(A60,MATCH(B60,{"enero","febrero","marzo","abril","mayo","junio","julio","agosto","septiembre","octubre","noviembre","diciembre"},0)+1,0))</f>
        <v>45473</v>
      </c>
      <c r="D60" t="s">
        <v>76</v>
      </c>
      <c r="E60" t="str">
        <f>+IFERROR(VLOOKUP(Fact_Contabilidad[[#This Row], [Concepto Anterior]],Conceptos_Contabilidad[#All],5,0),"")</f>
        <v>Informes Contables</v>
      </c>
      <c r="F60" t="str">
        <f ca="1">+IFERROR(VLOOKUP(Fact_Contabilidad[[#This Row], [Concepto Anterior]],Conceptos_Contabilidad[#All],7,0),"")</f>
        <v/>
      </c>
      <c r="G60" t="s">
        <v>172</v>
      </c>
      <c r="H60" t="s">
        <v>172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93">
        <v>0</v>
      </c>
    </row>
    <row r="61" spans="1:11" ht="18.75" customHeight="1" x14ac:dyDescent="0.35">
      <c r="A61" s="93">
        <v>2024</v>
      </c>
      <c r="B61" t="s">
        <v>178</v>
      </c>
      <c r="C61" s="100">
        <f>IF(OR(Fact_Contabilidad[[#This Row], [Año]]="",Fact_Contabilidad[[#This Row], [Mes]]=""),"",DATE(A61,MATCH(B61,{"enero","febrero","marzo","abril","mayo","junio","julio","agosto","septiembre","octubre","noviembre","diciembre"},0)+1,0))</f>
        <v>45473</v>
      </c>
      <c r="D61" t="s">
        <v>78</v>
      </c>
      <c r="E61" t="str">
        <f>+IFERROR(VLOOKUP(Fact_Contabilidad[[#This Row], [Concepto Anterior]],Conceptos_Contabilidad[#All],5,0),"")</f>
        <v>Gestión Gastos No deducibles + recuperación de embargos</v>
      </c>
      <c r="F61" t="str">
        <f ca="1">+IFERROR(VLOOKUP(Fact_Contabilidad[[#This Row], [Concepto Anterior]],Conceptos_Contabilidad[#All],7,0),"")</f>
        <v/>
      </c>
      <c r="G61" t="s">
        <v>172</v>
      </c>
      <c r="H61" t="s">
        <v>172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93">
        <v>0</v>
      </c>
    </row>
    <row r="62" spans="1:11" ht="18.75" customHeight="1" x14ac:dyDescent="0.35">
      <c r="A62" s="93">
        <v>2024</v>
      </c>
      <c r="B62" t="s">
        <v>179</v>
      </c>
      <c r="C62" s="100">
        <f>IF(OR(Fact_Contabilidad[[#This Row], [Año]]="",Fact_Contabilidad[[#This Row], [Mes]]=""),"",DATE(A62,MATCH(B62,{"enero","febrero","marzo","abril","mayo","junio","julio","agosto","septiembre","octubre","noviembre","diciembre"},0)+1,0))</f>
        <v>45504</v>
      </c>
      <c r="D62" t="s">
        <v>79</v>
      </c>
      <c r="E62" t="str">
        <f>+IFERROR(VLOOKUP(Fact_Contabilidad[[#This Row], [Concepto Anterior]],Conceptos_Contabilidad[#All],5,0),"")</f>
        <v>Cuentas Contables Conciliadas</v>
      </c>
      <c r="F62" t="str">
        <f ca="1">+IFERROR(VLOOKUP(Fact_Contabilidad[[#This Row], [Concepto Anterior]],Conceptos_Contabilidad[#All],7,0),"")</f>
        <v/>
      </c>
      <c r="G62" t="s">
        <v>172</v>
      </c>
      <c r="H62" t="s">
        <v>172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93">
        <v>1225</v>
      </c>
    </row>
    <row r="63" spans="1:11" ht="18.75" customHeight="1" x14ac:dyDescent="0.35">
      <c r="A63" s="102">
        <v>2024</v>
      </c>
      <c r="B63" t="s">
        <v>179</v>
      </c>
      <c r="C63" s="100">
        <f>IF(OR(Fact_Contabilidad[[#This Row], [Año]]="",Fact_Contabilidad[[#This Row], [Mes]]=""),"",DATE(A63,MATCH(B63,{"enero","febrero","marzo","abril","mayo","junio","julio","agosto","septiembre","octubre","noviembre","diciembre"},0)+1,0))</f>
        <v>45504</v>
      </c>
      <c r="D63" t="s">
        <v>70</v>
      </c>
      <c r="E63" t="str">
        <f>+IFERROR(VLOOKUP(Fact_Contabilidad[[#This Row], [Concepto Anterior]],Conceptos_Contabilidad[#All],5,0),"")</f>
        <v>Facturas Contabilizada</v>
      </c>
      <c r="F63" t="str">
        <f ca="1">+IFERROR(VLOOKUP(Fact_Contabilidad[[#This Row], [Concepto Anterior]],Conceptos_Contabilidad[#All],7,0),"")</f>
        <v/>
      </c>
      <c r="G63" t="s">
        <v>172</v>
      </c>
      <c r="H63" t="s">
        <v>172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93">
        <v>8176</v>
      </c>
    </row>
    <row r="64" spans="1:11" ht="18.75" customHeight="1" x14ac:dyDescent="0.35">
      <c r="A64" s="93">
        <v>2024</v>
      </c>
      <c r="B64" t="s">
        <v>179</v>
      </c>
      <c r="C64" s="100">
        <f>IF(OR(Fact_Contabilidad[[#This Row], [Año]]="",Fact_Contabilidad[[#This Row], [Mes]]=""),"",DATE(A64,MATCH(B64,{"enero","febrero","marzo","abril","mayo","junio","julio","agosto","septiembre","octubre","noviembre","diciembre"},0)+1,0))</f>
        <v>45504</v>
      </c>
      <c r="D64" t="s">
        <v>71</v>
      </c>
      <c r="E64" t="str">
        <f>+IFERROR(VLOOKUP(Fact_Contabilidad[[#This Row], [Concepto Anterior]],Conceptos_Contabilidad[#All],5,0),"")</f>
        <v>Facturas Contabilizada</v>
      </c>
      <c r="F64" t="str">
        <f ca="1">+IFERROR(VLOOKUP(Fact_Contabilidad[[#This Row], [Concepto Anterior]],Conceptos_Contabilidad[#All],7,0),"")</f>
        <v/>
      </c>
      <c r="G64" t="s">
        <v>172</v>
      </c>
      <c r="H64" t="s">
        <v>172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93">
        <v>1918</v>
      </c>
    </row>
    <row r="65" spans="1:11" ht="18.75" customHeight="1" x14ac:dyDescent="0.35">
      <c r="A65" s="93">
        <v>2024</v>
      </c>
      <c r="B65" t="s">
        <v>179</v>
      </c>
      <c r="C65" s="100">
        <f>IF(OR(Fact_Contabilidad[[#This Row], [Año]]="",Fact_Contabilidad[[#This Row], [Mes]]=""),"",DATE(A65,MATCH(B65,{"enero","febrero","marzo","abril","mayo","junio","julio","agosto","septiembre","octubre","noviembre","diciembre"},0)+1,0))</f>
        <v>45504</v>
      </c>
      <c r="D65" t="s">
        <v>72</v>
      </c>
      <c r="E65" t="str">
        <f>+IFERROR(VLOOKUP(Fact_Contabilidad[[#This Row], [Concepto Anterior]],Conceptos_Contabilidad[#All],5,0),"")</f>
        <v>Cantidad de legalizaciones de rendiciones registradas</v>
      </c>
      <c r="F65" t="str">
        <f ca="1">+IFERROR(VLOOKUP(Fact_Contabilidad[[#This Row], [Concepto Anterior]],Conceptos_Contabilidad[#All],7,0),"")</f>
        <v/>
      </c>
      <c r="G65" t="s">
        <v>172</v>
      </c>
      <c r="H65" t="s">
        <v>172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93">
        <v>124</v>
      </c>
    </row>
    <row r="66" spans="1:11" ht="18.75" customHeight="1" x14ac:dyDescent="0.35">
      <c r="A66" s="93">
        <v>2024</v>
      </c>
      <c r="B66" t="s">
        <v>179</v>
      </c>
      <c r="C66" s="100">
        <f>IF(OR(Fact_Contabilidad[[#This Row], [Año]]="",Fact_Contabilidad[[#This Row], [Mes]]=""),"",DATE(A66,MATCH(B66,{"enero","febrero","marzo","abril","mayo","junio","julio","agosto","septiembre","octubre","noviembre","diciembre"},0)+1,0))</f>
        <v>45504</v>
      </c>
      <c r="D66" t="s">
        <v>73</v>
      </c>
      <c r="E66" t="str">
        <f>+IFERROR(VLOOKUP(Fact_Contabilidad[[#This Row], [Concepto Anterior]],Conceptos_Contabilidad[#All],5,0),"")</f>
        <v>Cantidad de legalizaciones de TC registradas</v>
      </c>
      <c r="F66" t="str">
        <f ca="1">+IFERROR(VLOOKUP(Fact_Contabilidad[[#This Row], [Concepto Anterior]],Conceptos_Contabilidad[#All],7,0),"")</f>
        <v/>
      </c>
      <c r="G66" t="s">
        <v>172</v>
      </c>
      <c r="H66" t="s">
        <v>172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93">
        <v>80</v>
      </c>
    </row>
    <row r="67" spans="1:11" ht="18.75" customHeight="1" x14ac:dyDescent="0.35">
      <c r="A67" s="93">
        <v>2024</v>
      </c>
      <c r="B67" t="s">
        <v>179</v>
      </c>
      <c r="C67" s="100">
        <f>IF(OR(Fact_Contabilidad[[#This Row], [Año]]="",Fact_Contabilidad[[#This Row], [Mes]]=""),"",DATE(A67,MATCH(B67,{"enero","febrero","marzo","abril","mayo","junio","julio","agosto","septiembre","octubre","noviembre","diciembre"},0)+1,0))</f>
        <v>45504</v>
      </c>
      <c r="D67" t="s">
        <v>136</v>
      </c>
      <c r="E67" t="str">
        <f>+IFERROR(VLOOKUP(Fact_Contabilidad[[#This Row], [Concepto Anterior]],Conceptos_Contabilidad[#All],5,0),"")</f>
        <v>el 95 % del cumplimiento (sale del promedio de la fila)</v>
      </c>
      <c r="F67" t="str">
        <f ca="1">+IFERROR(VLOOKUP(Fact_Contabilidad[[#This Row], [Concepto Anterior]],Conceptos_Contabilidad[#All],7,0),"")</f>
        <v/>
      </c>
      <c r="G67" t="s">
        <v>172</v>
      </c>
      <c r="H67" t="s">
        <v>172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92">
        <v>0.6207820032137118</v>
      </c>
    </row>
    <row r="68" spans="1:11" ht="18.75" customHeight="1" x14ac:dyDescent="0.35">
      <c r="A68" s="93">
        <v>2024</v>
      </c>
      <c r="B68" t="s">
        <v>179</v>
      </c>
      <c r="C68" s="100">
        <f>IF(OR(Fact_Contabilidad[[#This Row], [Año]]="",Fact_Contabilidad[[#This Row], [Mes]]=""),"",DATE(A68,MATCH(B68,{"enero","febrero","marzo","abril","mayo","junio","julio","agosto","septiembre","octubre","noviembre","diciembre"},0)+1,0))</f>
        <v>45504</v>
      </c>
      <c r="D68" t="s">
        <v>74</v>
      </c>
      <c r="E68" t="str">
        <f>+IFERROR(VLOOKUP(Fact_Contabilidad[[#This Row], [Concepto Anterior]],Conceptos_Contabilidad[#All],5,0),"")</f>
        <v>Descuentos por nomina de anticipo</v>
      </c>
      <c r="F68" t="str">
        <f ca="1">+IFERROR(VLOOKUP(Fact_Contabilidad[[#This Row], [Concepto Anterior]],Conceptos_Contabilidad[#All],7,0),"")</f>
        <v/>
      </c>
      <c r="G68" t="s">
        <v>172</v>
      </c>
      <c r="H68" t="s">
        <v>172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IF(OR(Fact_Contabilidad[[#This Row], [Año]]="",Fact_Contabilidad[[#This Row], [Mes]]=""),"",DATE(A69,MATCH(B69,{"enero","febrero","marzo","abril","mayo","junio","julio","agosto","septiembre","octubre","noviembre","diciembre"},0)+1,0))</f>
        <v>45504</v>
      </c>
      <c r="D69" t="s">
        <v>77</v>
      </c>
      <c r="E69" t="str">
        <f>+IFERROR(VLOOKUP(Fact_Contabilidad[[#This Row], [Concepto Anterior]],Conceptos_Contabilidad[#All],5,0),"")</f>
        <v>Fusiones</v>
      </c>
      <c r="F69" t="str">
        <f ca="1">+IFERROR(VLOOKUP(Fact_Contabilidad[[#This Row], [Concepto Anterior]],Conceptos_Contabilidad[#All],7,0),"")</f>
        <v/>
      </c>
      <c r="G69" t="s">
        <v>172</v>
      </c>
      <c r="H69" t="s">
        <v>172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IF(OR(Fact_Contabilidad[[#This Row], [Año]]="",Fact_Contabilidad[[#This Row], [Mes]]=""),"",DATE(A70,MATCH(B70,{"enero","febrero","marzo","abril","mayo","junio","julio","agosto","septiembre","octubre","noviembre","diciembre"},0)+1,0))</f>
        <v>45504</v>
      </c>
      <c r="D70" t="s">
        <v>76</v>
      </c>
      <c r="E70" t="str">
        <f>+IFERROR(VLOOKUP(Fact_Contabilidad[[#This Row], [Concepto Anterior]],Conceptos_Contabilidad[#All],5,0),"")</f>
        <v>Informes Contables</v>
      </c>
      <c r="F70" t="str">
        <f ca="1">+IFERROR(VLOOKUP(Fact_Contabilidad[[#This Row], [Concepto Anterior]],Conceptos_Contabilidad[#All],7,0),"")</f>
        <v/>
      </c>
      <c r="G70" t="s">
        <v>172</v>
      </c>
      <c r="H70" t="s">
        <v>172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179</v>
      </c>
      <c r="C71" s="100">
        <f>IF(OR(Fact_Contabilidad[[#This Row], [Año]]="",Fact_Contabilidad[[#This Row], [Mes]]=""),"",DATE(A71,MATCH(B71,{"enero","febrero","marzo","abril","mayo","junio","julio","agosto","septiembre","octubre","noviembre","diciembre"},0)+1,0))</f>
        <v>45504</v>
      </c>
      <c r="D71" t="s">
        <v>78</v>
      </c>
      <c r="E71" t="str">
        <f>+IFERROR(VLOOKUP(Fact_Contabilidad[[#This Row], [Concepto Anterior]],Conceptos_Contabilidad[#All],5,0),"")</f>
        <v>Gestión Gastos No deducibles + recuperación de embargos</v>
      </c>
      <c r="F71" t="str">
        <f ca="1">+IFERROR(VLOOKUP(Fact_Contabilidad[[#This Row], [Concepto Anterior]],Conceptos_Contabilidad[#All],7,0),"")</f>
        <v/>
      </c>
      <c r="G71" t="s">
        <v>172</v>
      </c>
      <c r="H71" t="s">
        <v>172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93">
        <v>0</v>
      </c>
    </row>
    <row r="72" spans="1:11" ht="18.75" customHeight="1" x14ac:dyDescent="0.35">
      <c r="A72" s="93">
        <v>2024</v>
      </c>
      <c r="B72" t="s">
        <v>180</v>
      </c>
      <c r="C72" s="100">
        <f>IF(OR(Fact_Contabilidad[[#This Row], [Año]]="",Fact_Contabilidad[[#This Row], [Mes]]=""),"",DATE(A72,MATCH(B72,{"enero","febrero","marzo","abril","mayo","junio","julio","agosto","septiembre","octubre","noviembre","diciembre"},0)+1,0))</f>
        <v>45535</v>
      </c>
      <c r="D72" t="s">
        <v>79</v>
      </c>
      <c r="E72" t="str">
        <f>+IFERROR(VLOOKUP(Fact_Contabilidad[[#This Row], [Concepto Anterior]],Conceptos_Contabilidad[#All],5,0),"")</f>
        <v>Cuentas Contables Conciliadas</v>
      </c>
      <c r="F72" t="str">
        <f ca="1">+IFERROR(VLOOKUP(Fact_Contabilidad[[#This Row], [Concepto Anterior]],Conceptos_Contabilidad[#All],7,0),"")</f>
        <v/>
      </c>
      <c r="G72" t="s">
        <v>172</v>
      </c>
      <c r="H72" t="s">
        <v>172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93">
        <v>1232</v>
      </c>
    </row>
    <row r="73" spans="1:11" ht="18.75" customHeight="1" x14ac:dyDescent="0.35">
      <c r="A73" s="93">
        <v>2024</v>
      </c>
      <c r="B73" t="s">
        <v>180</v>
      </c>
      <c r="C73" s="100">
        <f>IF(OR(Fact_Contabilidad[[#This Row], [Año]]="",Fact_Contabilidad[[#This Row], [Mes]]=""),"",DATE(A73,MATCH(B73,{"enero","febrero","marzo","abril","mayo","junio","julio","agosto","septiembre","octubre","noviembre","diciembre"},0)+1,0))</f>
        <v>45535</v>
      </c>
      <c r="D73" t="s">
        <v>70</v>
      </c>
      <c r="E73" t="str">
        <f>+IFERROR(VLOOKUP(Fact_Contabilidad[[#This Row], [Concepto Anterior]],Conceptos_Contabilidad[#All],5,0),"")</f>
        <v>Facturas Contabilizada</v>
      </c>
      <c r="F73" t="str">
        <f ca="1">+IFERROR(VLOOKUP(Fact_Contabilidad[[#This Row], [Concepto Anterior]],Conceptos_Contabilidad[#All],7,0),"")</f>
        <v/>
      </c>
      <c r="G73" t="s">
        <v>172</v>
      </c>
      <c r="H73" t="s">
        <v>172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93">
        <v>7362</v>
      </c>
    </row>
    <row r="74" spans="1:11" ht="18.75" customHeight="1" x14ac:dyDescent="0.35">
      <c r="A74" s="93">
        <v>2024</v>
      </c>
      <c r="B74" t="s">
        <v>180</v>
      </c>
      <c r="C74" s="100">
        <f>IF(OR(Fact_Contabilidad[[#This Row], [Año]]="",Fact_Contabilidad[[#This Row], [Mes]]=""),"",DATE(A74,MATCH(B74,{"enero","febrero","marzo","abril","mayo","junio","julio","agosto","septiembre","octubre","noviembre","diciembre"},0)+1,0))</f>
        <v>45535</v>
      </c>
      <c r="D74" t="s">
        <v>71</v>
      </c>
      <c r="E74" t="str">
        <f>+IFERROR(VLOOKUP(Fact_Contabilidad[[#This Row], [Concepto Anterior]],Conceptos_Contabilidad[#All],5,0),"")</f>
        <v>Facturas Contabilizada</v>
      </c>
      <c r="F74" t="str">
        <f ca="1">+IFERROR(VLOOKUP(Fact_Contabilidad[[#This Row], [Concepto Anterior]],Conceptos_Contabilidad[#All],7,0),"")</f>
        <v/>
      </c>
      <c r="G74" t="s">
        <v>172</v>
      </c>
      <c r="H74" t="s">
        <v>172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93">
        <v>1839</v>
      </c>
    </row>
    <row r="75" spans="1:11" ht="18.75" customHeight="1" x14ac:dyDescent="0.35">
      <c r="A75" s="93">
        <v>2024</v>
      </c>
      <c r="B75" t="s">
        <v>180</v>
      </c>
      <c r="C75" s="100">
        <f>IF(OR(Fact_Contabilidad[[#This Row], [Año]]="",Fact_Contabilidad[[#This Row], [Mes]]=""),"",DATE(A75,MATCH(B75,{"enero","febrero","marzo","abril","mayo","junio","julio","agosto","septiembre","octubre","noviembre","diciembre"},0)+1,0))</f>
        <v>45535</v>
      </c>
      <c r="D75" t="s">
        <v>72</v>
      </c>
      <c r="E75" t="str">
        <f>+IFERROR(VLOOKUP(Fact_Contabilidad[[#This Row], [Concepto Anterior]],Conceptos_Contabilidad[#All],5,0),"")</f>
        <v>Cantidad de legalizaciones de rendiciones registradas</v>
      </c>
      <c r="F75" t="str">
        <f ca="1">+IFERROR(VLOOKUP(Fact_Contabilidad[[#This Row], [Concepto Anterior]],Conceptos_Contabilidad[#All],7,0),"")</f>
        <v/>
      </c>
      <c r="G75" t="s">
        <v>172</v>
      </c>
      <c r="H75" t="s">
        <v>172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93">
        <v>122</v>
      </c>
    </row>
    <row r="76" spans="1:11" ht="18.75" customHeight="1" x14ac:dyDescent="0.35">
      <c r="A76" s="93">
        <v>2024</v>
      </c>
      <c r="B76" t="s">
        <v>180</v>
      </c>
      <c r="C76" s="100">
        <f>IF(OR(Fact_Contabilidad[[#This Row], [Año]]="",Fact_Contabilidad[[#This Row], [Mes]]=""),"",DATE(A76,MATCH(B76,{"enero","febrero","marzo","abril","mayo","junio","julio","agosto","septiembre","octubre","noviembre","diciembre"},0)+1,0))</f>
        <v>45535</v>
      </c>
      <c r="D76" t="s">
        <v>73</v>
      </c>
      <c r="E76" t="str">
        <f>+IFERROR(VLOOKUP(Fact_Contabilidad[[#This Row], [Concepto Anterior]],Conceptos_Contabilidad[#All],5,0),"")</f>
        <v>Cantidad de legalizaciones de TC registradas</v>
      </c>
      <c r="F76" t="str">
        <f ca="1">+IFERROR(VLOOKUP(Fact_Contabilidad[[#This Row], [Concepto Anterior]],Conceptos_Contabilidad[#All],7,0),"")</f>
        <v/>
      </c>
      <c r="G76" t="s">
        <v>172</v>
      </c>
      <c r="H76" t="s">
        <v>172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93">
        <v>75</v>
      </c>
    </row>
    <row r="77" spans="1:11" ht="18.75" customHeight="1" x14ac:dyDescent="0.35">
      <c r="A77" s="93">
        <v>2024</v>
      </c>
      <c r="B77" t="s">
        <v>180</v>
      </c>
      <c r="C77" s="100">
        <f>IF(OR(Fact_Contabilidad[[#This Row], [Año]]="",Fact_Contabilidad[[#This Row], [Mes]]=""),"",DATE(A77,MATCH(B77,{"enero","febrero","marzo","abril","mayo","junio","julio","agosto","septiembre","octubre","noviembre","diciembre"},0)+1,0))</f>
        <v>45535</v>
      </c>
      <c r="D77" t="s">
        <v>136</v>
      </c>
      <c r="E77" t="str">
        <f>+IFERROR(VLOOKUP(Fact_Contabilidad[[#This Row], [Concepto Anterior]],Conceptos_Contabilidad[#All],5,0),"")</f>
        <v>el 95 % del cumplimiento (sale del promedio de la fila)</v>
      </c>
      <c r="F77" t="str">
        <f ca="1">+IFERROR(VLOOKUP(Fact_Contabilidad[[#This Row], [Concepto Anterior]],Conceptos_Contabilidad[#All],7,0),"")</f>
        <v/>
      </c>
      <c r="G77" t="s">
        <v>172</v>
      </c>
      <c r="H77" t="s">
        <v>172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92">
        <v>0.67839013778100077</v>
      </c>
    </row>
    <row r="78" spans="1:11" ht="18.75" customHeight="1" x14ac:dyDescent="0.35">
      <c r="A78" s="93">
        <v>2024</v>
      </c>
      <c r="B78" t="s">
        <v>180</v>
      </c>
      <c r="C78" s="100">
        <f>IF(OR(Fact_Contabilidad[[#This Row], [Año]]="",Fact_Contabilidad[[#This Row], [Mes]]=""),"",DATE(A78,MATCH(B78,{"enero","febrero","marzo","abril","mayo","junio","julio","agosto","septiembre","octubre","noviembre","diciembre"},0)+1,0))</f>
        <v>45535</v>
      </c>
      <c r="D78" t="s">
        <v>74</v>
      </c>
      <c r="E78" t="str">
        <f>+IFERROR(VLOOKUP(Fact_Contabilidad[[#This Row], [Concepto Anterior]],Conceptos_Contabilidad[#All],5,0),"")</f>
        <v>Descuentos por nomina de anticipo</v>
      </c>
      <c r="F78" t="str">
        <f ca="1">+IFERROR(VLOOKUP(Fact_Contabilidad[[#This Row], [Concepto Anterior]],Conceptos_Contabilidad[#All],7,0),"")</f>
        <v/>
      </c>
      <c r="G78" t="s">
        <v>172</v>
      </c>
      <c r="H78" t="s">
        <v>172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93">
        <v>0</v>
      </c>
    </row>
    <row r="79" spans="1:11" ht="18.75" customHeight="1" x14ac:dyDescent="0.35">
      <c r="A79" s="102">
        <v>2024</v>
      </c>
      <c r="B79" t="s">
        <v>180</v>
      </c>
      <c r="C79" s="100">
        <f>IF(OR(Fact_Contabilidad[[#This Row], [Año]]="",Fact_Contabilidad[[#This Row], [Mes]]=""),"",DATE(A79,MATCH(B79,{"enero","febrero","marzo","abril","mayo","junio","julio","agosto","septiembre","octubre","noviembre","diciembre"},0)+1,0))</f>
        <v>45535</v>
      </c>
      <c r="D79" t="s">
        <v>77</v>
      </c>
      <c r="E79" t="str">
        <f>+IFERROR(VLOOKUP(Fact_Contabilidad[[#This Row], [Concepto Anterior]],Conceptos_Contabilidad[#All],5,0),"")</f>
        <v>Fusiones</v>
      </c>
      <c r="F79" t="str">
        <f ca="1">+IFERROR(VLOOKUP(Fact_Contabilidad[[#This Row], [Concepto Anterior]],Conceptos_Contabilidad[#All],7,0),"")</f>
        <v/>
      </c>
      <c r="G79" t="s">
        <v>172</v>
      </c>
      <c r="H79" t="s">
        <v>172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IF(OR(Fact_Contabilidad[[#This Row], [Año]]="",Fact_Contabilidad[[#This Row], [Mes]]=""),"",DATE(A80,MATCH(B80,{"enero","febrero","marzo","abril","mayo","junio","julio","agosto","septiembre","octubre","noviembre","diciembre"},0)+1,0))</f>
        <v>45535</v>
      </c>
      <c r="D80" t="s">
        <v>76</v>
      </c>
      <c r="E80" t="str">
        <f>+IFERROR(VLOOKUP(Fact_Contabilidad[[#This Row], [Concepto Anterior]],Conceptos_Contabilidad[#All],5,0),"")</f>
        <v>Informes Contables</v>
      </c>
      <c r="F80" t="str">
        <f ca="1">+IFERROR(VLOOKUP(Fact_Contabilidad[[#This Row], [Concepto Anterior]],Conceptos_Contabilidad[#All],7,0),"")</f>
        <v/>
      </c>
      <c r="G80" t="s">
        <v>172</v>
      </c>
      <c r="H80" t="s">
        <v>172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180</v>
      </c>
      <c r="C81" s="100">
        <f>IF(OR(Fact_Contabilidad[[#This Row], [Año]]="",Fact_Contabilidad[[#This Row], [Mes]]=""),"",DATE(A81,MATCH(B81,{"enero","febrero","marzo","abril","mayo","junio","julio","agosto","septiembre","octubre","noviembre","diciembre"},0)+1,0))</f>
        <v>45535</v>
      </c>
      <c r="D81" t="s">
        <v>78</v>
      </c>
      <c r="E81" t="str">
        <f>+IFERROR(VLOOKUP(Fact_Contabilidad[[#This Row], [Concepto Anterior]],Conceptos_Contabilidad[#All],5,0),"")</f>
        <v>Gestión Gastos No deducibles + recuperación de embargos</v>
      </c>
      <c r="F81" t="str">
        <f ca="1">+IFERROR(VLOOKUP(Fact_Contabilidad[[#This Row], [Concepto Anterior]],Conceptos_Contabilidad[#All],7,0),"")</f>
        <v/>
      </c>
      <c r="G81" t="s">
        <v>172</v>
      </c>
      <c r="H81" t="s">
        <v>172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93">
        <v>0</v>
      </c>
    </row>
    <row r="82" spans="1:11" ht="18.75" customHeight="1" x14ac:dyDescent="0.35">
      <c r="A82" s="93">
        <v>2024</v>
      </c>
      <c r="B82" t="s">
        <v>181</v>
      </c>
      <c r="C82" s="100">
        <f>IF(OR(Fact_Contabilidad[[#This Row], [Año]]="",Fact_Contabilidad[[#This Row], [Mes]]=""),"",DATE(A82,MATCH(B82,{"enero","febrero","marzo","abril","mayo","junio","julio","agosto","septiembre","octubre","noviembre","diciembre"},0)+1,0))</f>
        <v>45565</v>
      </c>
      <c r="D82" t="s">
        <v>79</v>
      </c>
      <c r="E82" t="str">
        <f>+IFERROR(VLOOKUP(Fact_Contabilidad[[#This Row], [Concepto Anterior]],Conceptos_Contabilidad[#All],5,0),"")</f>
        <v>Cuentas Contables Conciliadas</v>
      </c>
      <c r="F82" t="str">
        <f ca="1">+IFERROR(VLOOKUP(Fact_Contabilidad[[#This Row], [Concepto Anterior]],Conceptos_Contabilidad[#All],7,0),"")</f>
        <v/>
      </c>
      <c r="G82" t="s">
        <v>172</v>
      </c>
      <c r="H82" t="s">
        <v>172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93">
        <v>1235</v>
      </c>
    </row>
    <row r="83" spans="1:11" ht="18.75" customHeight="1" x14ac:dyDescent="0.35">
      <c r="A83" s="93">
        <v>2024</v>
      </c>
      <c r="B83" t="s">
        <v>181</v>
      </c>
      <c r="C83" s="100">
        <f>IF(OR(Fact_Contabilidad[[#This Row], [Año]]="",Fact_Contabilidad[[#This Row], [Mes]]=""),"",DATE(A83,MATCH(B83,{"enero","febrero","marzo","abril","mayo","junio","julio","agosto","septiembre","octubre","noviembre","diciembre"},0)+1,0))</f>
        <v>45565</v>
      </c>
      <c r="D83" t="s">
        <v>70</v>
      </c>
      <c r="E83" t="str">
        <f>+IFERROR(VLOOKUP(Fact_Contabilidad[[#This Row], [Concepto Anterior]],Conceptos_Contabilidad[#All],5,0),"")</f>
        <v>Facturas Contabilizada</v>
      </c>
      <c r="F83" t="str">
        <f ca="1">+IFERROR(VLOOKUP(Fact_Contabilidad[[#This Row], [Concepto Anterior]],Conceptos_Contabilidad[#All],7,0),"")</f>
        <v/>
      </c>
      <c r="G83" t="s">
        <v>172</v>
      </c>
      <c r="H83" t="s">
        <v>172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93">
        <v>7562</v>
      </c>
    </row>
    <row r="84" spans="1:11" ht="18.75" customHeight="1" x14ac:dyDescent="0.35">
      <c r="A84" s="93">
        <v>2024</v>
      </c>
      <c r="B84" t="s">
        <v>181</v>
      </c>
      <c r="C84" s="100">
        <f>IF(OR(Fact_Contabilidad[[#This Row], [Año]]="",Fact_Contabilidad[[#This Row], [Mes]]=""),"",DATE(A84,MATCH(B84,{"enero","febrero","marzo","abril","mayo","junio","julio","agosto","septiembre","octubre","noviembre","diciembre"},0)+1,0))</f>
        <v>45565</v>
      </c>
      <c r="D84" t="s">
        <v>71</v>
      </c>
      <c r="E84" t="str">
        <f>+IFERROR(VLOOKUP(Fact_Contabilidad[[#This Row], [Concepto Anterior]],Conceptos_Contabilidad[#All],5,0),"")</f>
        <v>Facturas Contabilizada</v>
      </c>
      <c r="F84" t="str">
        <f ca="1">+IFERROR(VLOOKUP(Fact_Contabilidad[[#This Row], [Concepto Anterior]],Conceptos_Contabilidad[#All],7,0),"")</f>
        <v/>
      </c>
      <c r="G84" t="s">
        <v>172</v>
      </c>
      <c r="H84" t="s">
        <v>172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93">
        <v>1946</v>
      </c>
    </row>
    <row r="85" spans="1:11" ht="18.75" customHeight="1" x14ac:dyDescent="0.35">
      <c r="A85" s="93">
        <v>2024</v>
      </c>
      <c r="B85" t="s">
        <v>181</v>
      </c>
      <c r="C85" s="100">
        <f>IF(OR(Fact_Contabilidad[[#This Row], [Año]]="",Fact_Contabilidad[[#This Row], [Mes]]=""),"",DATE(A85,MATCH(B85,{"enero","febrero","marzo","abril","mayo","junio","julio","agosto","septiembre","octubre","noviembre","diciembre"},0)+1,0))</f>
        <v>45565</v>
      </c>
      <c r="D85" t="s">
        <v>72</v>
      </c>
      <c r="E85" t="str">
        <f>+IFERROR(VLOOKUP(Fact_Contabilidad[[#This Row], [Concepto Anterior]],Conceptos_Contabilidad[#All],5,0),"")</f>
        <v>Cantidad de legalizaciones de rendiciones registradas</v>
      </c>
      <c r="F85" t="str">
        <f ca="1">+IFERROR(VLOOKUP(Fact_Contabilidad[[#This Row], [Concepto Anterior]],Conceptos_Contabilidad[#All],7,0),"")</f>
        <v/>
      </c>
      <c r="G85" t="s">
        <v>172</v>
      </c>
      <c r="H85" t="s">
        <v>172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93">
        <v>142</v>
      </c>
    </row>
    <row r="86" spans="1:11" ht="18.75" customHeight="1" x14ac:dyDescent="0.35">
      <c r="A86" s="93">
        <v>2024</v>
      </c>
      <c r="B86" t="s">
        <v>181</v>
      </c>
      <c r="C86" s="100">
        <f>IF(OR(Fact_Contabilidad[[#This Row], [Año]]="",Fact_Contabilidad[[#This Row], [Mes]]=""),"",DATE(A86,MATCH(B86,{"enero","febrero","marzo","abril","mayo","junio","julio","agosto","septiembre","octubre","noviembre","diciembre"},0)+1,0))</f>
        <v>45565</v>
      </c>
      <c r="D86" t="s">
        <v>73</v>
      </c>
      <c r="E86" t="str">
        <f>+IFERROR(VLOOKUP(Fact_Contabilidad[[#This Row], [Concepto Anterior]],Conceptos_Contabilidad[#All],5,0),"")</f>
        <v>Cantidad de legalizaciones de TC registradas</v>
      </c>
      <c r="F86" t="str">
        <f ca="1">+IFERROR(VLOOKUP(Fact_Contabilidad[[#This Row], [Concepto Anterior]],Conceptos_Contabilidad[#All],7,0),"")</f>
        <v/>
      </c>
      <c r="G86" t="s">
        <v>172</v>
      </c>
      <c r="H86" t="s">
        <v>172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93">
        <v>83</v>
      </c>
    </row>
    <row r="87" spans="1:11" ht="18.75" customHeight="1" x14ac:dyDescent="0.35">
      <c r="A87" s="93">
        <v>2024</v>
      </c>
      <c r="B87" t="s">
        <v>181</v>
      </c>
      <c r="C87" s="100">
        <f>IF(OR(Fact_Contabilidad[[#This Row], [Año]]="",Fact_Contabilidad[[#This Row], [Mes]]=""),"",DATE(A87,MATCH(B87,{"enero","febrero","marzo","abril","mayo","junio","julio","agosto","septiembre","octubre","noviembre","diciembre"},0)+1,0))</f>
        <v>45565</v>
      </c>
      <c r="D87" t="s">
        <v>136</v>
      </c>
      <c r="E87" t="str">
        <f>+IFERROR(VLOOKUP(Fact_Contabilidad[[#This Row], [Concepto Anterior]],Conceptos_Contabilidad[#All],5,0),"")</f>
        <v>el 95 % del cumplimiento (sale del promedio de la fila)</v>
      </c>
      <c r="F87" t="str">
        <f ca="1">+IFERROR(VLOOKUP(Fact_Contabilidad[[#This Row], [Concepto Anterior]],Conceptos_Contabilidad[#All],7,0),"")</f>
        <v/>
      </c>
      <c r="G87" t="s">
        <v>172</v>
      </c>
      <c r="H87" t="s">
        <v>172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92">
        <v>0.87652153558052437</v>
      </c>
    </row>
    <row r="88" spans="1:11" ht="18.75" customHeight="1" x14ac:dyDescent="0.35">
      <c r="A88" s="93">
        <v>2024</v>
      </c>
      <c r="B88" t="s">
        <v>181</v>
      </c>
      <c r="C88" s="100">
        <f>IF(OR(Fact_Contabilidad[[#This Row], [Año]]="",Fact_Contabilidad[[#This Row], [Mes]]=""),"",DATE(A88,MATCH(B88,{"enero","febrero","marzo","abril","mayo","junio","julio","agosto","septiembre","octubre","noviembre","diciembre"},0)+1,0))</f>
        <v>45565</v>
      </c>
      <c r="D88" t="s">
        <v>74</v>
      </c>
      <c r="E88" t="str">
        <f>+IFERROR(VLOOKUP(Fact_Contabilidad[[#This Row], [Concepto Anterior]],Conceptos_Contabilidad[#All],5,0),"")</f>
        <v>Descuentos por nomina de anticipo</v>
      </c>
      <c r="F88" t="str">
        <f ca="1">+IFERROR(VLOOKUP(Fact_Contabilidad[[#This Row], [Concepto Anterior]],Conceptos_Contabilidad[#All],7,0),"")</f>
        <v/>
      </c>
      <c r="G88" t="s">
        <v>172</v>
      </c>
      <c r="H88" t="s">
        <v>172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93">
        <v>0</v>
      </c>
    </row>
    <row r="89" spans="1:11" ht="18.75" customHeight="1" x14ac:dyDescent="0.35">
      <c r="A89" s="102">
        <v>2024</v>
      </c>
      <c r="B89" t="s">
        <v>181</v>
      </c>
      <c r="C89" s="100">
        <f>IF(OR(Fact_Contabilidad[[#This Row], [Año]]="",Fact_Contabilidad[[#This Row], [Mes]]=""),"",DATE(A89,MATCH(B89,{"enero","febrero","marzo","abril","mayo","junio","julio","agosto","septiembre","octubre","noviembre","diciembre"},0)+1,0))</f>
        <v>45565</v>
      </c>
      <c r="D89" t="s">
        <v>77</v>
      </c>
      <c r="E89" t="str">
        <f>+IFERROR(VLOOKUP(Fact_Contabilidad[[#This Row], [Concepto Anterior]],Conceptos_Contabilidad[#All],5,0),"")</f>
        <v>Fusiones</v>
      </c>
      <c r="F89" t="str">
        <f ca="1">+IFERROR(VLOOKUP(Fact_Contabilidad[[#This Row], [Concepto Anterior]],Conceptos_Contabilidad[#All],7,0),"")</f>
        <v/>
      </c>
      <c r="G89" t="s">
        <v>172</v>
      </c>
      <c r="H89" t="s">
        <v>172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IF(OR(Fact_Contabilidad[[#This Row], [Año]]="",Fact_Contabilidad[[#This Row], [Mes]]=""),"",DATE(A90,MATCH(B90,{"enero","febrero","marzo","abril","mayo","junio","julio","agosto","septiembre","octubre","noviembre","diciembre"},0)+1,0))</f>
        <v>45565</v>
      </c>
      <c r="D90" t="s">
        <v>76</v>
      </c>
      <c r="E90" t="str">
        <f>+IFERROR(VLOOKUP(Fact_Contabilidad[[#This Row], [Concepto Anterior]],Conceptos_Contabilidad[#All],5,0),"")</f>
        <v>Informes Contables</v>
      </c>
      <c r="F90" t="str">
        <f ca="1">+IFERROR(VLOOKUP(Fact_Contabilidad[[#This Row], [Concepto Anterior]],Conceptos_Contabilidad[#All],7,0),"")</f>
        <v/>
      </c>
      <c r="G90" t="s">
        <v>172</v>
      </c>
      <c r="H90" t="s">
        <v>172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93">
        <v>0</v>
      </c>
    </row>
    <row r="91" spans="1:11" ht="18.75" customHeight="1" x14ac:dyDescent="0.35">
      <c r="A91" s="93">
        <v>2024</v>
      </c>
      <c r="B91" t="s">
        <v>181</v>
      </c>
      <c r="C91" s="100">
        <f>IF(OR(Fact_Contabilidad[[#This Row], [Año]]="",Fact_Contabilidad[[#This Row], [Mes]]=""),"",DATE(A91,MATCH(B91,{"enero","febrero","marzo","abril","mayo","junio","julio","agosto","septiembre","octubre","noviembre","diciembre"},0)+1,0))</f>
        <v>45565</v>
      </c>
      <c r="D91" t="s">
        <v>78</v>
      </c>
      <c r="E91" t="str">
        <f>+IFERROR(VLOOKUP(Fact_Contabilidad[[#This Row], [Concepto Anterior]],Conceptos_Contabilidad[#All],5,0),"")</f>
        <v>Gestión Gastos No deducibles + recuperación de embargos</v>
      </c>
      <c r="F91" t="str">
        <f ca="1">+IFERROR(VLOOKUP(Fact_Contabilidad[[#This Row], [Concepto Anterior]],Conceptos_Contabilidad[#All],7,0),"")</f>
        <v/>
      </c>
      <c r="G91" t="s">
        <v>172</v>
      </c>
      <c r="H91" t="s">
        <v>172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93">
        <v>0</v>
      </c>
    </row>
    <row r="92" spans="1:11" ht="18.75" customHeight="1" x14ac:dyDescent="0.35">
      <c r="A92" s="93">
        <v>2024</v>
      </c>
      <c r="B92" t="s">
        <v>182</v>
      </c>
      <c r="C92" s="100">
        <f>IF(OR(Fact_Contabilidad[[#This Row], [Año]]="",Fact_Contabilidad[[#This Row], [Mes]]=""),"",DATE(A92,MATCH(B92,{"enero","febrero","marzo","abril","mayo","junio","julio","agosto","septiembre","octubre","noviembre","diciembre"},0)+1,0))</f>
        <v>45596</v>
      </c>
      <c r="D92" t="s">
        <v>79</v>
      </c>
      <c r="E92" t="str">
        <f>+IFERROR(VLOOKUP(Fact_Contabilidad[[#This Row], [Concepto Anterior]],Conceptos_Contabilidad[#All],5,0),"")</f>
        <v>Cuentas Contables Conciliadas</v>
      </c>
      <c r="F92" t="str">
        <f ca="1">+IFERROR(VLOOKUP(Fact_Contabilidad[[#This Row], [Concepto Anterior]],Conceptos_Contabilidad[#All],7,0),"")</f>
        <v/>
      </c>
      <c r="G92" t="s">
        <v>172</v>
      </c>
      <c r="H92" t="s">
        <v>172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93">
        <v>1250</v>
      </c>
    </row>
    <row r="93" spans="1:11" ht="18.75" customHeight="1" x14ac:dyDescent="0.35">
      <c r="A93" s="93">
        <v>2024</v>
      </c>
      <c r="B93" t="s">
        <v>182</v>
      </c>
      <c r="C93" s="100">
        <f>IF(OR(Fact_Contabilidad[[#This Row], [Año]]="",Fact_Contabilidad[[#This Row], [Mes]]=""),"",DATE(A93,MATCH(B93,{"enero","febrero","marzo","abril","mayo","junio","julio","agosto","septiembre","octubre","noviembre","diciembre"},0)+1,0))</f>
        <v>45596</v>
      </c>
      <c r="D93" t="s">
        <v>70</v>
      </c>
      <c r="E93" t="str">
        <f>+IFERROR(VLOOKUP(Fact_Contabilidad[[#This Row], [Concepto Anterior]],Conceptos_Contabilidad[#All],5,0),"")</f>
        <v>Facturas Contabilizada</v>
      </c>
      <c r="F93" t="str">
        <f ca="1">+IFERROR(VLOOKUP(Fact_Contabilidad[[#This Row], [Concepto Anterior]],Conceptos_Contabilidad[#All],7,0),"")</f>
        <v/>
      </c>
      <c r="G93" t="s">
        <v>172</v>
      </c>
      <c r="H93" t="s">
        <v>172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93">
        <v>9368</v>
      </c>
    </row>
    <row r="94" spans="1:11" ht="18.75" customHeight="1" x14ac:dyDescent="0.35">
      <c r="A94" s="93">
        <v>2024</v>
      </c>
      <c r="B94" t="s">
        <v>182</v>
      </c>
      <c r="C94" s="100">
        <f>IF(OR(Fact_Contabilidad[[#This Row], [Año]]="",Fact_Contabilidad[[#This Row], [Mes]]=""),"",DATE(A94,MATCH(B94,{"enero","febrero","marzo","abril","mayo","junio","julio","agosto","septiembre","octubre","noviembre","diciembre"},0)+1,0))</f>
        <v>45596</v>
      </c>
      <c r="D94" t="s">
        <v>71</v>
      </c>
      <c r="E94" t="str">
        <f>+IFERROR(VLOOKUP(Fact_Contabilidad[[#This Row], [Concepto Anterior]],Conceptos_Contabilidad[#All],5,0),"")</f>
        <v>Facturas Contabilizada</v>
      </c>
      <c r="F94" t="str">
        <f ca="1">+IFERROR(VLOOKUP(Fact_Contabilidad[[#This Row], [Concepto Anterior]],Conceptos_Contabilidad[#All],7,0),"")</f>
        <v/>
      </c>
      <c r="G94" t="s">
        <v>172</v>
      </c>
      <c r="H94" t="s">
        <v>172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93">
        <v>1675</v>
      </c>
    </row>
    <row r="95" spans="1:11" ht="18.75" customHeight="1" x14ac:dyDescent="0.35">
      <c r="A95" s="93">
        <v>2024</v>
      </c>
      <c r="B95" t="s">
        <v>182</v>
      </c>
      <c r="C95" s="100">
        <f>IF(OR(Fact_Contabilidad[[#This Row], [Año]]="",Fact_Contabilidad[[#This Row], [Mes]]=""),"",DATE(A95,MATCH(B95,{"enero","febrero","marzo","abril","mayo","junio","julio","agosto","septiembre","octubre","noviembre","diciembre"},0)+1,0))</f>
        <v>45596</v>
      </c>
      <c r="D95" t="s">
        <v>72</v>
      </c>
      <c r="E95" t="str">
        <f>+IFERROR(VLOOKUP(Fact_Contabilidad[[#This Row], [Concepto Anterior]],Conceptos_Contabilidad[#All],5,0),"")</f>
        <v>Cantidad de legalizaciones de rendiciones registradas</v>
      </c>
      <c r="F95" t="str">
        <f ca="1">+IFERROR(VLOOKUP(Fact_Contabilidad[[#This Row], [Concepto Anterior]],Conceptos_Contabilidad[#All],7,0),"")</f>
        <v/>
      </c>
      <c r="G95" t="s">
        <v>172</v>
      </c>
      <c r="H95" t="s">
        <v>172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93">
        <v>192</v>
      </c>
    </row>
    <row r="96" spans="1:11" ht="18.75" customHeight="1" x14ac:dyDescent="0.35">
      <c r="A96" s="93">
        <v>2024</v>
      </c>
      <c r="B96" t="s">
        <v>182</v>
      </c>
      <c r="C96" s="100">
        <f>IF(OR(Fact_Contabilidad[[#This Row], [Año]]="",Fact_Contabilidad[[#This Row], [Mes]]=""),"",DATE(A96,MATCH(B96,{"enero","febrero","marzo","abril","mayo","junio","julio","agosto","septiembre","octubre","noviembre","diciembre"},0)+1,0))</f>
        <v>45596</v>
      </c>
      <c r="D96" t="s">
        <v>73</v>
      </c>
      <c r="E96" t="str">
        <f>+IFERROR(VLOOKUP(Fact_Contabilidad[[#This Row], [Concepto Anterior]],Conceptos_Contabilidad[#All],5,0),"")</f>
        <v>Cantidad de legalizaciones de TC registradas</v>
      </c>
      <c r="F96" t="str">
        <f ca="1">+IFERROR(VLOOKUP(Fact_Contabilidad[[#This Row], [Concepto Anterior]],Conceptos_Contabilidad[#All],7,0),"")</f>
        <v/>
      </c>
      <c r="G96" t="s">
        <v>172</v>
      </c>
      <c r="H96" t="s">
        <v>172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93">
        <v>64</v>
      </c>
    </row>
    <row r="97" spans="1:11" ht="18.75" customHeight="1" x14ac:dyDescent="0.35">
      <c r="A97" s="93">
        <v>2024</v>
      </c>
      <c r="B97" t="s">
        <v>182</v>
      </c>
      <c r="C97" s="100">
        <f>IF(OR(Fact_Contabilidad[[#This Row], [Año]]="",Fact_Contabilidad[[#This Row], [Mes]]=""),"",DATE(A97,MATCH(B97,{"enero","febrero","marzo","abril","mayo","junio","julio","agosto","septiembre","octubre","noviembre","diciembre"},0)+1,0))</f>
        <v>45596</v>
      </c>
      <c r="D97" t="s">
        <v>136</v>
      </c>
      <c r="E97" t="str">
        <f>+IFERROR(VLOOKUP(Fact_Contabilidad[[#This Row], [Concepto Anterior]],Conceptos_Contabilidad[#All],5,0),"")</f>
        <v>el 95 % del cumplimiento (sale del promedio de la fila)</v>
      </c>
      <c r="F97" t="str">
        <f ca="1">+IFERROR(VLOOKUP(Fact_Contabilidad[[#This Row], [Concepto Anterior]],Conceptos_Contabilidad[#All],7,0),"")</f>
        <v/>
      </c>
      <c r="G97" t="s">
        <v>172</v>
      </c>
      <c r="H97" t="s">
        <v>172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92">
        <v>0.67580612035325527</v>
      </c>
    </row>
    <row r="98" spans="1:11" ht="18.75" customHeight="1" x14ac:dyDescent="0.35">
      <c r="A98" s="93">
        <v>2024</v>
      </c>
      <c r="B98" t="s">
        <v>182</v>
      </c>
      <c r="C98" s="100">
        <f>IF(OR(Fact_Contabilidad[[#This Row], [Año]]="",Fact_Contabilidad[[#This Row], [Mes]]=""),"",DATE(A98,MATCH(B98,{"enero","febrero","marzo","abril","mayo","junio","julio","agosto","septiembre","octubre","noviembre","diciembre"},0)+1,0))</f>
        <v>45596</v>
      </c>
      <c r="D98" t="s">
        <v>74</v>
      </c>
      <c r="E98" t="str">
        <f>+IFERROR(VLOOKUP(Fact_Contabilidad[[#This Row], [Concepto Anterior]],Conceptos_Contabilidad[#All],5,0),"")</f>
        <v>Descuentos por nomina de anticipo</v>
      </c>
      <c r="F98" t="str">
        <f ca="1">+IFERROR(VLOOKUP(Fact_Contabilidad[[#This Row], [Concepto Anterior]],Conceptos_Contabilidad[#All],7,0),"")</f>
        <v/>
      </c>
      <c r="G98" t="s">
        <v>172</v>
      </c>
      <c r="H98" t="s">
        <v>172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IF(OR(Fact_Contabilidad[[#This Row], [Año]]="",Fact_Contabilidad[[#This Row], [Mes]]=""),"",DATE(A99,MATCH(B99,{"enero","febrero","marzo","abril","mayo","junio","julio","agosto","septiembre","octubre","noviembre","diciembre"},0)+1,0))</f>
        <v>45596</v>
      </c>
      <c r="D99" t="s">
        <v>77</v>
      </c>
      <c r="E99" t="str">
        <f>+IFERROR(VLOOKUP(Fact_Contabilidad[[#This Row], [Concepto Anterior]],Conceptos_Contabilidad[#All],5,0),"")</f>
        <v>Fusiones</v>
      </c>
      <c r="F99" t="str">
        <f ca="1">+IFERROR(VLOOKUP(Fact_Contabilidad[[#This Row], [Concepto Anterior]],Conceptos_Contabilidad[#All],7,0),"")</f>
        <v/>
      </c>
      <c r="G99" t="s">
        <v>172</v>
      </c>
      <c r="H99" t="s">
        <v>172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IF(OR(Fact_Contabilidad[[#This Row], [Año]]="",Fact_Contabilidad[[#This Row], [Mes]]=""),"",DATE(A100,MATCH(B100,{"enero","febrero","marzo","abril","mayo","junio","julio","agosto","septiembre","octubre","noviembre","diciembre"},0)+1,0))</f>
        <v>45596</v>
      </c>
      <c r="D100" t="s">
        <v>76</v>
      </c>
      <c r="E100" t="str">
        <f>+IFERROR(VLOOKUP(Fact_Contabilidad[[#This Row], [Concepto Anterior]],Conceptos_Contabilidad[#All],5,0),"")</f>
        <v>Informes Contables</v>
      </c>
      <c r="F100" t="str">
        <f ca="1">+IFERROR(VLOOKUP(Fact_Contabilidad[[#This Row], [Concepto Anterior]],Conceptos_Contabilidad[#All],7,0),"")</f>
        <v/>
      </c>
      <c r="G100" t="s">
        <v>172</v>
      </c>
      <c r="H100" t="s">
        <v>172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93">
        <v>0</v>
      </c>
    </row>
    <row r="101" spans="1:11" ht="18.75" customHeight="1" x14ac:dyDescent="0.35">
      <c r="A101" s="93">
        <v>2024</v>
      </c>
      <c r="B101" t="s">
        <v>182</v>
      </c>
      <c r="C101" s="100">
        <f>IF(OR(Fact_Contabilidad[[#This Row], [Año]]="",Fact_Contabilidad[[#This Row], [Mes]]=""),"",DATE(A101,MATCH(B101,{"enero","febrero","marzo","abril","mayo","junio","julio","agosto","septiembre","octubre","noviembre","diciembre"},0)+1,0))</f>
        <v>45596</v>
      </c>
      <c r="D101" t="s">
        <v>78</v>
      </c>
      <c r="E101" t="str">
        <f>+IFERROR(VLOOKUP(Fact_Contabilidad[[#This Row], [Concepto Anterior]],Conceptos_Contabilidad[#All],5,0),"")</f>
        <v>Gestión Gastos No deducibles + recuperación de embargos</v>
      </c>
      <c r="F101" t="str">
        <f ca="1">+IFERROR(VLOOKUP(Fact_Contabilidad[[#This Row], [Concepto Anterior]],Conceptos_Contabilidad[#All],7,0),"")</f>
        <v/>
      </c>
      <c r="G101" t="s">
        <v>172</v>
      </c>
      <c r="H101" t="s">
        <v>172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93">
        <v>216542249</v>
      </c>
    </row>
    <row r="102" spans="1:11" ht="18.75" customHeight="1" x14ac:dyDescent="0.35">
      <c r="A102" s="93">
        <v>2024</v>
      </c>
      <c r="B102" t="s">
        <v>183</v>
      </c>
      <c r="C102" s="100">
        <f>IF(OR(Fact_Contabilidad[[#This Row], [Año]]="",Fact_Contabilidad[[#This Row], [Mes]]=""),"",DATE(A102,MATCH(B102,{"enero","febrero","marzo","abril","mayo","junio","julio","agosto","septiembre","octubre","noviembre","diciembre"},0)+1,0))</f>
        <v>45626</v>
      </c>
      <c r="D102" t="s">
        <v>79</v>
      </c>
      <c r="E102" t="str">
        <f>+IFERROR(VLOOKUP(Fact_Contabilidad[[#This Row], [Concepto Anterior]],Conceptos_Contabilidad[#All],5,0),"")</f>
        <v>Cuentas Contables Conciliadas</v>
      </c>
      <c r="F102" t="str">
        <f ca="1">+IFERROR(VLOOKUP(Fact_Contabilidad[[#This Row], [Concepto Anterior]],Conceptos_Contabilidad[#All],7,0),"")</f>
        <v/>
      </c>
      <c r="G102" t="s">
        <v>172</v>
      </c>
      <c r="H102" t="s">
        <v>172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93">
        <v>1265</v>
      </c>
    </row>
    <row r="103" spans="1:11" ht="18.75" customHeight="1" x14ac:dyDescent="0.35">
      <c r="A103" s="93">
        <v>2024</v>
      </c>
      <c r="B103" t="s">
        <v>183</v>
      </c>
      <c r="C103" s="100">
        <f>IF(OR(Fact_Contabilidad[[#This Row], [Año]]="",Fact_Contabilidad[[#This Row], [Mes]]=""),"",DATE(A103,MATCH(B103,{"enero","febrero","marzo","abril","mayo","junio","julio","agosto","septiembre","octubre","noviembre","diciembre"},0)+1,0))</f>
        <v>45626</v>
      </c>
      <c r="D103" t="s">
        <v>70</v>
      </c>
      <c r="E103" t="str">
        <f>+IFERROR(VLOOKUP(Fact_Contabilidad[[#This Row], [Concepto Anterior]],Conceptos_Contabilidad[#All],5,0),"")</f>
        <v>Facturas Contabilizada</v>
      </c>
      <c r="F103" t="str">
        <f ca="1">+IFERROR(VLOOKUP(Fact_Contabilidad[[#This Row], [Concepto Anterior]],Conceptos_Contabilidad[#All],7,0),"")</f>
        <v/>
      </c>
      <c r="G103" t="s">
        <v>172</v>
      </c>
      <c r="H103" t="s">
        <v>172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93">
        <v>9542</v>
      </c>
    </row>
    <row r="104" spans="1:11" ht="18.75" customHeight="1" x14ac:dyDescent="0.35">
      <c r="A104" s="93">
        <v>2024</v>
      </c>
      <c r="B104" t="s">
        <v>183</v>
      </c>
      <c r="C104" s="100">
        <f>IF(OR(Fact_Contabilidad[[#This Row], [Año]]="",Fact_Contabilidad[[#This Row], [Mes]]=""),"",DATE(A104,MATCH(B104,{"enero","febrero","marzo","abril","mayo","junio","julio","agosto","septiembre","octubre","noviembre","diciembre"},0)+1,0))</f>
        <v>45626</v>
      </c>
      <c r="D104" t="s">
        <v>71</v>
      </c>
      <c r="E104" t="str">
        <f>+IFERROR(VLOOKUP(Fact_Contabilidad[[#This Row], [Concepto Anterior]],Conceptos_Contabilidad[#All],5,0),"")</f>
        <v>Facturas Contabilizada</v>
      </c>
      <c r="F104" t="str">
        <f ca="1">+IFERROR(VLOOKUP(Fact_Contabilidad[[#This Row], [Concepto Anterior]],Conceptos_Contabilidad[#All],7,0),"")</f>
        <v/>
      </c>
      <c r="G104" t="s">
        <v>172</v>
      </c>
      <c r="H104" t="s">
        <v>172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93">
        <v>1473</v>
      </c>
    </row>
    <row r="105" spans="1:11" ht="18.75" customHeight="1" x14ac:dyDescent="0.35">
      <c r="A105" s="102">
        <v>2024</v>
      </c>
      <c r="B105" t="s">
        <v>183</v>
      </c>
      <c r="C105" s="100">
        <f>IF(OR(Fact_Contabilidad[[#This Row], [Año]]="",Fact_Contabilidad[[#This Row], [Mes]]=""),"",DATE(A105,MATCH(B105,{"enero","febrero","marzo","abril","mayo","junio","julio","agosto","septiembre","octubre","noviembre","diciembre"},0)+1,0))</f>
        <v>45626</v>
      </c>
      <c r="D105" t="s">
        <v>72</v>
      </c>
      <c r="E105" t="str">
        <f>+IFERROR(VLOOKUP(Fact_Contabilidad[[#This Row], [Concepto Anterior]],Conceptos_Contabilidad[#All],5,0),"")</f>
        <v>Cantidad de legalizaciones de rendiciones registradas</v>
      </c>
      <c r="F105" t="str">
        <f ca="1">+IFERROR(VLOOKUP(Fact_Contabilidad[[#This Row], [Concepto Anterior]],Conceptos_Contabilidad[#All],7,0),"")</f>
        <v/>
      </c>
      <c r="G105" t="s">
        <v>172</v>
      </c>
      <c r="H105" t="s">
        <v>172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93">
        <v>129</v>
      </c>
    </row>
    <row r="106" spans="1:11" ht="18.75" customHeight="1" x14ac:dyDescent="0.35">
      <c r="A106" s="93">
        <v>2024</v>
      </c>
      <c r="B106" t="s">
        <v>183</v>
      </c>
      <c r="C106" s="100">
        <f>IF(OR(Fact_Contabilidad[[#This Row], [Año]]="",Fact_Contabilidad[[#This Row], [Mes]]=""),"",DATE(A106,MATCH(B106,{"enero","febrero","marzo","abril","mayo","junio","julio","agosto","septiembre","octubre","noviembre","diciembre"},0)+1,0))</f>
        <v>45626</v>
      </c>
      <c r="D106" t="s">
        <v>73</v>
      </c>
      <c r="E106" t="str">
        <f>+IFERROR(VLOOKUP(Fact_Contabilidad[[#This Row], [Concepto Anterior]],Conceptos_Contabilidad[#All],5,0),"")</f>
        <v>Cantidad de legalizaciones de TC registradas</v>
      </c>
      <c r="F106" t="str">
        <f ca="1">+IFERROR(VLOOKUP(Fact_Contabilidad[[#This Row], [Concepto Anterior]],Conceptos_Contabilidad[#All],7,0),"")</f>
        <v/>
      </c>
      <c r="G106" t="s">
        <v>172</v>
      </c>
      <c r="H106" t="s">
        <v>172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93">
        <v>77</v>
      </c>
    </row>
    <row r="107" spans="1:11" ht="18.75" customHeight="1" x14ac:dyDescent="0.35">
      <c r="A107" s="93">
        <v>2024</v>
      </c>
      <c r="B107" t="s">
        <v>183</v>
      </c>
      <c r="C107" s="100">
        <f>IF(OR(Fact_Contabilidad[[#This Row], [Año]]="",Fact_Contabilidad[[#This Row], [Mes]]=""),"",DATE(A107,MATCH(B107,{"enero","febrero","marzo","abril","mayo","junio","julio","agosto","septiembre","octubre","noviembre","diciembre"},0)+1,0))</f>
        <v>45626</v>
      </c>
      <c r="D107" t="s">
        <v>136</v>
      </c>
      <c r="E107" t="str">
        <f>+IFERROR(VLOOKUP(Fact_Contabilidad[[#This Row], [Concepto Anterior]],Conceptos_Contabilidad[#All],5,0),"")</f>
        <v>el 95 % del cumplimiento (sale del promedio de la fila)</v>
      </c>
      <c r="F107" t="str">
        <f ca="1">+IFERROR(VLOOKUP(Fact_Contabilidad[[#This Row], [Concepto Anterior]],Conceptos_Contabilidad[#All],7,0),"")</f>
        <v/>
      </c>
      <c r="G107" t="s">
        <v>172</v>
      </c>
      <c r="H107" t="s">
        <v>172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92">
        <v>0.75167294019238795</v>
      </c>
    </row>
    <row r="108" spans="1:11" ht="18.75" customHeight="1" x14ac:dyDescent="0.35">
      <c r="A108" s="93">
        <v>2024</v>
      </c>
      <c r="B108" t="s">
        <v>183</v>
      </c>
      <c r="C108" s="100">
        <f>IF(OR(Fact_Contabilidad[[#This Row], [Año]]="",Fact_Contabilidad[[#This Row], [Mes]]=""),"",DATE(A108,MATCH(B108,{"enero","febrero","marzo","abril","mayo","junio","julio","agosto","septiembre","octubre","noviembre","diciembre"},0)+1,0))</f>
        <v>45626</v>
      </c>
      <c r="D108" t="s">
        <v>74</v>
      </c>
      <c r="E108" t="str">
        <f>+IFERROR(VLOOKUP(Fact_Contabilidad[[#This Row], [Concepto Anterior]],Conceptos_Contabilidad[#All],5,0),"")</f>
        <v>Descuentos por nomina de anticipo</v>
      </c>
      <c r="F108" t="str">
        <f ca="1">+IFERROR(VLOOKUP(Fact_Contabilidad[[#This Row], [Concepto Anterior]],Conceptos_Contabilidad[#All],7,0),"")</f>
        <v/>
      </c>
      <c r="G108" t="s">
        <v>172</v>
      </c>
      <c r="H108" t="s">
        <v>172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IF(OR(Fact_Contabilidad[[#This Row], [Año]]="",Fact_Contabilidad[[#This Row], [Mes]]=""),"",DATE(A109,MATCH(B109,{"enero","febrero","marzo","abril","mayo","junio","julio","agosto","septiembre","octubre","noviembre","diciembre"},0)+1,0))</f>
        <v>45626</v>
      </c>
      <c r="D109" t="s">
        <v>77</v>
      </c>
      <c r="E109" t="str">
        <f>+IFERROR(VLOOKUP(Fact_Contabilidad[[#This Row], [Concepto Anterior]],Conceptos_Contabilidad[#All],5,0),"")</f>
        <v>Fusiones</v>
      </c>
      <c r="F109" t="str">
        <f ca="1">+IFERROR(VLOOKUP(Fact_Contabilidad[[#This Row], [Concepto Anterior]],Conceptos_Contabilidad[#All],7,0),"")</f>
        <v/>
      </c>
      <c r="G109" t="s">
        <v>172</v>
      </c>
      <c r="H109" t="s">
        <v>172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IF(OR(Fact_Contabilidad[[#This Row], [Año]]="",Fact_Contabilidad[[#This Row], [Mes]]=""),"",DATE(A110,MATCH(B110,{"enero","febrero","marzo","abril","mayo","junio","julio","agosto","septiembre","octubre","noviembre","diciembre"},0)+1,0))</f>
        <v>45626</v>
      </c>
      <c r="D110" t="s">
        <v>76</v>
      </c>
      <c r="E110" t="str">
        <f>+IFERROR(VLOOKUP(Fact_Contabilidad[[#This Row], [Concepto Anterior]],Conceptos_Contabilidad[#All],5,0),"")</f>
        <v>Informes Contables</v>
      </c>
      <c r="F110" t="str">
        <f ca="1">+IFERROR(VLOOKUP(Fact_Contabilidad[[#This Row], [Concepto Anterior]],Conceptos_Contabilidad[#All],7,0),"")</f>
        <v/>
      </c>
      <c r="G110" t="s">
        <v>172</v>
      </c>
      <c r="H110" t="s">
        <v>172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93">
        <v>0</v>
      </c>
    </row>
    <row r="111" spans="1:11" ht="18.75" customHeight="1" x14ac:dyDescent="0.35">
      <c r="A111" s="93">
        <v>2024</v>
      </c>
      <c r="B111" t="s">
        <v>183</v>
      </c>
      <c r="C111" s="100">
        <f>IF(OR(Fact_Contabilidad[[#This Row], [Año]]="",Fact_Contabilidad[[#This Row], [Mes]]=""),"",DATE(A111,MATCH(B111,{"enero","febrero","marzo","abril","mayo","junio","julio","agosto","septiembre","octubre","noviembre","diciembre"},0)+1,0))</f>
        <v>45626</v>
      </c>
      <c r="D111" t="s">
        <v>78</v>
      </c>
      <c r="E111" t="str">
        <f>+IFERROR(VLOOKUP(Fact_Contabilidad[[#This Row], [Concepto Anterior]],Conceptos_Contabilidad[#All],5,0),"")</f>
        <v>Gestión Gastos No deducibles + recuperación de embargos</v>
      </c>
      <c r="F111" t="str">
        <f ca="1">+IFERROR(VLOOKUP(Fact_Contabilidad[[#This Row], [Concepto Anterior]],Conceptos_Contabilidad[#All],7,0),"")</f>
        <v/>
      </c>
      <c r="G111" t="s">
        <v>172</v>
      </c>
      <c r="H111" t="s">
        <v>172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93">
        <v>0</v>
      </c>
    </row>
    <row r="112" spans="1:11" ht="18.75" customHeight="1" x14ac:dyDescent="0.35">
      <c r="A112" s="93">
        <v>2024</v>
      </c>
      <c r="B112" t="s">
        <v>184</v>
      </c>
      <c r="C112" s="100">
        <f>IF(OR(Fact_Contabilidad[[#This Row], [Año]]="",Fact_Contabilidad[[#This Row], [Mes]]=""),"",DATE(A112,MATCH(B112,{"enero","febrero","marzo","abril","mayo","junio","julio","agosto","septiembre","octubre","noviembre","diciembre"},0)+1,0))</f>
        <v>45657</v>
      </c>
      <c r="D112" t="s">
        <v>79</v>
      </c>
      <c r="E112" t="str">
        <f>+IFERROR(VLOOKUP(Fact_Contabilidad[[#This Row], [Concepto Anterior]],Conceptos_Contabilidad[#All],5,0),"")</f>
        <v>Cuentas Contables Conciliadas</v>
      </c>
      <c r="F112" t="str">
        <f ca="1">+IFERROR(VLOOKUP(Fact_Contabilidad[[#This Row], [Concepto Anterior]],Conceptos_Contabilidad[#All],7,0),"")</f>
        <v/>
      </c>
      <c r="G112" t="s">
        <v>172</v>
      </c>
      <c r="H112" t="s">
        <v>172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93">
        <v>1283</v>
      </c>
    </row>
    <row r="113" spans="1:11" ht="18.75" customHeight="1" x14ac:dyDescent="0.35">
      <c r="A113" s="93">
        <v>2024</v>
      </c>
      <c r="B113" t="s">
        <v>184</v>
      </c>
      <c r="C113" s="100">
        <f>IF(OR(Fact_Contabilidad[[#This Row], [Año]]="",Fact_Contabilidad[[#This Row], [Mes]]=""),"",DATE(A113,MATCH(B113,{"enero","febrero","marzo","abril","mayo","junio","julio","agosto","septiembre","octubre","noviembre","diciembre"},0)+1,0))</f>
        <v>45657</v>
      </c>
      <c r="D113" t="s">
        <v>70</v>
      </c>
      <c r="E113" t="str">
        <f>+IFERROR(VLOOKUP(Fact_Contabilidad[[#This Row], [Concepto Anterior]],Conceptos_Contabilidad[#All],5,0),"")</f>
        <v>Facturas Contabilizada</v>
      </c>
      <c r="F113" t="str">
        <f ca="1">+IFERROR(VLOOKUP(Fact_Contabilidad[[#This Row], [Concepto Anterior]],Conceptos_Contabilidad[#All],7,0),"")</f>
        <v/>
      </c>
      <c r="G113" t="s">
        <v>172</v>
      </c>
      <c r="H113" t="s">
        <v>172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93">
        <v>8375</v>
      </c>
    </row>
    <row r="114" spans="1:11" ht="18.75" customHeight="1" x14ac:dyDescent="0.35">
      <c r="A114" s="93">
        <v>2024</v>
      </c>
      <c r="B114" t="s">
        <v>184</v>
      </c>
      <c r="C114" s="100">
        <f>IF(OR(Fact_Contabilidad[[#This Row], [Año]]="",Fact_Contabilidad[[#This Row], [Mes]]=""),"",DATE(A114,MATCH(B114,{"enero","febrero","marzo","abril","mayo","junio","julio","agosto","septiembre","octubre","noviembre","diciembre"},0)+1,0))</f>
        <v>45657</v>
      </c>
      <c r="D114" t="s">
        <v>71</v>
      </c>
      <c r="E114" t="str">
        <f>+IFERROR(VLOOKUP(Fact_Contabilidad[[#This Row], [Concepto Anterior]],Conceptos_Contabilidad[#All],5,0),"")</f>
        <v>Facturas Contabilizada</v>
      </c>
      <c r="F114" t="str">
        <f ca="1">+IFERROR(VLOOKUP(Fact_Contabilidad[[#This Row], [Concepto Anterior]],Conceptos_Contabilidad[#All],7,0),"")</f>
        <v/>
      </c>
      <c r="G114" t="s">
        <v>172</v>
      </c>
      <c r="H114" t="s">
        <v>172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93">
        <v>1520</v>
      </c>
    </row>
    <row r="115" spans="1:11" ht="18.75" customHeight="1" x14ac:dyDescent="0.35">
      <c r="A115" s="102">
        <v>2024</v>
      </c>
      <c r="B115" t="s">
        <v>184</v>
      </c>
      <c r="C115" s="100">
        <f>IF(OR(Fact_Contabilidad[[#This Row], [Año]]="",Fact_Contabilidad[[#This Row], [Mes]]=""),"",DATE(A115,MATCH(B115,{"enero","febrero","marzo","abril","mayo","junio","julio","agosto","septiembre","octubre","noviembre","diciembre"},0)+1,0))</f>
        <v>45657</v>
      </c>
      <c r="D115" t="s">
        <v>72</v>
      </c>
      <c r="E115" t="str">
        <f>+IFERROR(VLOOKUP(Fact_Contabilidad[[#This Row], [Concepto Anterior]],Conceptos_Contabilidad[#All],5,0),"")</f>
        <v>Cantidad de legalizaciones de rendiciones registradas</v>
      </c>
      <c r="F115" t="str">
        <f ca="1">+IFERROR(VLOOKUP(Fact_Contabilidad[[#This Row], [Concepto Anterior]],Conceptos_Contabilidad[#All],7,0),"")</f>
        <v/>
      </c>
      <c r="G115" t="s">
        <v>172</v>
      </c>
      <c r="H115" t="s">
        <v>172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93">
        <v>323</v>
      </c>
    </row>
    <row r="116" spans="1:11" ht="18.75" customHeight="1" x14ac:dyDescent="0.35">
      <c r="A116" s="93">
        <v>2024</v>
      </c>
      <c r="B116" t="s">
        <v>184</v>
      </c>
      <c r="C116" s="100">
        <f>IF(OR(Fact_Contabilidad[[#This Row], [Año]]="",Fact_Contabilidad[[#This Row], [Mes]]=""),"",DATE(A116,MATCH(B116,{"enero","febrero","marzo","abril","mayo","junio","julio","agosto","septiembre","octubre","noviembre","diciembre"},0)+1,0))</f>
        <v>45657</v>
      </c>
      <c r="D116" t="s">
        <v>73</v>
      </c>
      <c r="E116" t="str">
        <f>+IFERROR(VLOOKUP(Fact_Contabilidad[[#This Row], [Concepto Anterior]],Conceptos_Contabilidad[#All],5,0),"")</f>
        <v>Cantidad de legalizaciones de TC registradas</v>
      </c>
      <c r="F116" t="str">
        <f ca="1">+IFERROR(VLOOKUP(Fact_Contabilidad[[#This Row], [Concepto Anterior]],Conceptos_Contabilidad[#All],7,0),"")</f>
        <v/>
      </c>
      <c r="G116" t="s">
        <v>172</v>
      </c>
      <c r="H116" t="s">
        <v>172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93">
        <v>154</v>
      </c>
    </row>
    <row r="117" spans="1:11" ht="18.75" customHeight="1" x14ac:dyDescent="0.35">
      <c r="A117" s="93">
        <v>2024</v>
      </c>
      <c r="B117" t="s">
        <v>184</v>
      </c>
      <c r="C117" s="100">
        <f>IF(OR(Fact_Contabilidad[[#This Row], [Año]]="",Fact_Contabilidad[[#This Row], [Mes]]=""),"",DATE(A117,MATCH(B117,{"enero","febrero","marzo","abril","mayo","junio","julio","agosto","septiembre","octubre","noviembre","diciembre"},0)+1,0))</f>
        <v>45657</v>
      </c>
      <c r="D117" t="s">
        <v>136</v>
      </c>
      <c r="E117" t="str">
        <f>+IFERROR(VLOOKUP(Fact_Contabilidad[[#This Row], [Concepto Anterior]],Conceptos_Contabilidad[#All],5,0),"")</f>
        <v>el 95 % del cumplimiento (sale del promedio de la fila)</v>
      </c>
      <c r="F117" t="str">
        <f ca="1">+IFERROR(VLOOKUP(Fact_Contabilidad[[#This Row], [Concepto Anterior]],Conceptos_Contabilidad[#All],7,0),"")</f>
        <v/>
      </c>
      <c r="G117" t="s">
        <v>172</v>
      </c>
      <c r="H117" t="s">
        <v>172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92">
        <v>0.77</v>
      </c>
    </row>
    <row r="118" spans="1:11" ht="18.75" customHeight="1" x14ac:dyDescent="0.35">
      <c r="A118" s="93">
        <v>2024</v>
      </c>
      <c r="B118" t="s">
        <v>184</v>
      </c>
      <c r="C118" s="100">
        <f>IF(OR(Fact_Contabilidad[[#This Row], [Año]]="",Fact_Contabilidad[[#This Row], [Mes]]=""),"",DATE(A118,MATCH(B118,{"enero","febrero","marzo","abril","mayo","junio","julio","agosto","septiembre","octubre","noviembre","diciembre"},0)+1,0))</f>
        <v>45657</v>
      </c>
      <c r="D118" t="s">
        <v>74</v>
      </c>
      <c r="E118" t="str">
        <f>+IFERROR(VLOOKUP(Fact_Contabilidad[[#This Row], [Concepto Anterior]],Conceptos_Contabilidad[#All],5,0),"")</f>
        <v>Descuentos por nomina de anticipo</v>
      </c>
      <c r="F118" t="str">
        <f ca="1">+IFERROR(VLOOKUP(Fact_Contabilidad[[#This Row], [Concepto Anterior]],Conceptos_Contabilidad[#All],7,0),"")</f>
        <v/>
      </c>
      <c r="G118" t="s">
        <v>172</v>
      </c>
      <c r="H118" t="s">
        <v>172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IF(OR(Fact_Contabilidad[[#This Row], [Año]]="",Fact_Contabilidad[[#This Row], [Mes]]=""),"",DATE(A119,MATCH(B119,{"enero","febrero","marzo","abril","mayo","junio","julio","agosto","septiembre","octubre","noviembre","diciembre"},0)+1,0))</f>
        <v>45657</v>
      </c>
      <c r="D119" t="s">
        <v>77</v>
      </c>
      <c r="E119" t="str">
        <f>+IFERROR(VLOOKUP(Fact_Contabilidad[[#This Row], [Concepto Anterior]],Conceptos_Contabilidad[#All],5,0),"")</f>
        <v>Fusiones</v>
      </c>
      <c r="F119" t="str">
        <f ca="1">+IFERROR(VLOOKUP(Fact_Contabilidad[[#This Row], [Concepto Anterior]],Conceptos_Contabilidad[#All],7,0),"")</f>
        <v/>
      </c>
      <c r="G119" t="s">
        <v>172</v>
      </c>
      <c r="H119" t="s">
        <v>172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IF(OR(Fact_Contabilidad[[#This Row], [Año]]="",Fact_Contabilidad[[#This Row], [Mes]]=""),"",DATE(A120,MATCH(B120,{"enero","febrero","marzo","abril","mayo","junio","julio","agosto","septiembre","octubre","noviembre","diciembre"},0)+1,0))</f>
        <v>45657</v>
      </c>
      <c r="D120" t="s">
        <v>76</v>
      </c>
      <c r="E120" t="str">
        <f>+IFERROR(VLOOKUP(Fact_Contabilidad[[#This Row], [Concepto Anterior]],Conceptos_Contabilidad[#All],5,0),"")</f>
        <v>Informes Contables</v>
      </c>
      <c r="F120" t="str">
        <f ca="1">+IFERROR(VLOOKUP(Fact_Contabilidad[[#This Row], [Concepto Anterior]],Conceptos_Contabilidad[#All],7,0),"")</f>
        <v/>
      </c>
      <c r="G120" t="s">
        <v>172</v>
      </c>
      <c r="H120" t="s">
        <v>172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184</v>
      </c>
      <c r="C121" s="100">
        <f>IF(OR(Fact_Contabilidad[[#This Row], [Año]]="",Fact_Contabilidad[[#This Row], [Mes]]=""),"",DATE(A121,MATCH(B121,{"enero","febrero","marzo","abril","mayo","junio","julio","agosto","septiembre","octubre","noviembre","diciembre"},0)+1,0))</f>
        <v>45657</v>
      </c>
      <c r="D121" t="s">
        <v>78</v>
      </c>
      <c r="E121" t="str">
        <f>+IFERROR(VLOOKUP(Fact_Contabilidad[[#This Row], [Concepto Anterior]],Conceptos_Contabilidad[#All],5,0),"")</f>
        <v>Gestión Gastos No deducibles + recuperación de embargos</v>
      </c>
      <c r="F121" t="str">
        <f ca="1">+IFERROR(VLOOKUP(Fact_Contabilidad[[#This Row], [Concepto Anterior]],Conceptos_Contabilidad[#All],7,0),"")</f>
        <v/>
      </c>
      <c r="G121" t="s">
        <v>172</v>
      </c>
      <c r="H121" t="s">
        <v>172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93">
        <v>0</v>
      </c>
    </row>
    <row r="122" spans="1:11" ht="18.75" customHeight="1" x14ac:dyDescent="0.35">
      <c r="A122" s="93">
        <v>2025</v>
      </c>
      <c r="B122" t="s">
        <v>171</v>
      </c>
      <c r="C122" s="100">
        <f>IF(OR(Fact_Contabilidad[[#This Row], [Año]]="",Fact_Contabilidad[[#This Row], [Mes]]=""),"",DATE(A122,MATCH(B122,{"enero","febrero","marzo","abril","mayo","junio","julio","agosto","septiembre","octubre","noviembre","diciembre"},0)+1,0))</f>
        <v>45688</v>
      </c>
      <c r="D122" t="s">
        <v>79</v>
      </c>
      <c r="E122" t="str">
        <f>+IFERROR(VLOOKUP(Fact_Contabilidad[[#This Row], [Concepto Anterior]],Conceptos_Contabilidad[#All],5,0),"")</f>
        <v>Cuentas Contables Conciliadas</v>
      </c>
      <c r="F122" t="str">
        <f ca="1">+IFERROR(VLOOKUP(Fact_Contabilidad[[#This Row], [Concepto Anterior]],Conceptos_Contabilidad[#All],7,0),"")</f>
        <v/>
      </c>
      <c r="G122" t="s">
        <v>172</v>
      </c>
      <c r="H122" t="s">
        <v>172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93">
        <v>1283</v>
      </c>
    </row>
    <row r="123" spans="1:11" ht="18.75" customHeight="1" x14ac:dyDescent="0.35">
      <c r="A123" s="93">
        <v>2025</v>
      </c>
      <c r="B123" t="s">
        <v>171</v>
      </c>
      <c r="C123" s="100">
        <f>IF(OR(Fact_Contabilidad[[#This Row], [Año]]="",Fact_Contabilidad[[#This Row], [Mes]]=""),"",DATE(A123,MATCH(B123,{"enero","febrero","marzo","abril","mayo","junio","julio","agosto","septiembre","octubre","noviembre","diciembre"},0)+1,0))</f>
        <v>45688</v>
      </c>
      <c r="D123" t="s">
        <v>70</v>
      </c>
      <c r="E123" t="str">
        <f>+IFERROR(VLOOKUP(Fact_Contabilidad[[#This Row], [Concepto Anterior]],Conceptos_Contabilidad[#All],5,0),"")</f>
        <v>Facturas Contabilizada</v>
      </c>
      <c r="F123" t="str">
        <f ca="1">+IFERROR(VLOOKUP(Fact_Contabilidad[[#This Row], [Concepto Anterior]],Conceptos_Contabilidad[#All],7,0),"")</f>
        <v/>
      </c>
      <c r="G123" t="s">
        <v>172</v>
      </c>
      <c r="H123" t="s">
        <v>172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93">
        <v>7256</v>
      </c>
    </row>
    <row r="124" spans="1:11" ht="18.75" customHeight="1" x14ac:dyDescent="0.35">
      <c r="A124" s="93">
        <v>2025</v>
      </c>
      <c r="B124" t="s">
        <v>171</v>
      </c>
      <c r="C124" s="100">
        <f>IF(OR(Fact_Contabilidad[[#This Row], [Año]]="",Fact_Contabilidad[[#This Row], [Mes]]=""),"",DATE(A124,MATCH(B124,{"enero","febrero","marzo","abril","mayo","junio","julio","agosto","septiembre","octubre","noviembre","diciembre"},0)+1,0))</f>
        <v>45688</v>
      </c>
      <c r="D124" t="s">
        <v>71</v>
      </c>
      <c r="E124" t="str">
        <f>+IFERROR(VLOOKUP(Fact_Contabilidad[[#This Row], [Concepto Anterior]],Conceptos_Contabilidad[#All],5,0),"")</f>
        <v>Facturas Contabilizada</v>
      </c>
      <c r="F124" t="str">
        <f ca="1">+IFERROR(VLOOKUP(Fact_Contabilidad[[#This Row], [Concepto Anterior]],Conceptos_Contabilidad[#All],7,0),"")</f>
        <v/>
      </c>
      <c r="G124" t="s">
        <v>172</v>
      </c>
      <c r="H124" t="s">
        <v>172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93">
        <v>1599</v>
      </c>
    </row>
    <row r="125" spans="1:11" ht="18.75" customHeight="1" x14ac:dyDescent="0.35">
      <c r="A125" s="93">
        <v>2025</v>
      </c>
      <c r="B125" t="s">
        <v>171</v>
      </c>
      <c r="C125" s="100">
        <f>IF(OR(Fact_Contabilidad[[#This Row], [Año]]="",Fact_Contabilidad[[#This Row], [Mes]]=""),"",DATE(A125,MATCH(B125,{"enero","febrero","marzo","abril","mayo","junio","julio","agosto","septiembre","octubre","noviembre","diciembre"},0)+1,0))</f>
        <v>45688</v>
      </c>
      <c r="D125" t="s">
        <v>130</v>
      </c>
      <c r="E125" t="str">
        <f>+IFERROR(VLOOKUP(Fact_Contabilidad[[#This Row], [Concepto Anterior]],Conceptos_Contabilidad[#All],5,0),"")</f>
        <v>Facturas Contabilizada</v>
      </c>
      <c r="F125" t="str">
        <f ca="1">+IFERROR(VLOOKUP(Fact_Contabilidad[[#This Row], [Concepto Anterior]],Conceptos_Contabilidad[#All],7,0),"")</f>
        <v/>
      </c>
      <c r="G125" t="s">
        <v>172</v>
      </c>
      <c r="H125" t="s">
        <v>172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93">
        <v>40</v>
      </c>
    </row>
    <row r="126" spans="1:11" ht="18.75" customHeight="1" x14ac:dyDescent="0.35">
      <c r="A126" s="93">
        <v>2025</v>
      </c>
      <c r="B126" t="s">
        <v>171</v>
      </c>
      <c r="C126" s="100">
        <f>IF(OR(Fact_Contabilidad[[#This Row], [Año]]="",Fact_Contabilidad[[#This Row], [Mes]]=""),"",DATE(A126,MATCH(B126,{"enero","febrero","marzo","abril","mayo","junio","julio","agosto","septiembre","octubre","noviembre","diciembre"},0)+1,0))</f>
        <v>45688</v>
      </c>
      <c r="D126" t="s">
        <v>134</v>
      </c>
      <c r="E126" t="str">
        <f>+IFERROR(VLOOKUP(Fact_Contabilidad[[#This Row], [Concepto Anterior]],Conceptos_Contabilidad[#All],5,0),"")</f>
        <v>Facturas Contabilizada</v>
      </c>
      <c r="F126" t="str">
        <f ca="1">+IFERROR(VLOOKUP(Fact_Contabilidad[[#This Row], [Concepto Anterior]],Conceptos_Contabilidad[#All],7,0),"")</f>
        <v/>
      </c>
      <c r="G126" t="s">
        <v>172</v>
      </c>
      <c r="H126" t="s">
        <v>172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93">
        <v>6</v>
      </c>
    </row>
    <row r="127" spans="1:11" ht="18.75" customHeight="1" x14ac:dyDescent="0.35">
      <c r="A127" s="93">
        <v>2025</v>
      </c>
      <c r="B127" t="s">
        <v>171</v>
      </c>
      <c r="C127" s="100">
        <f>IF(OR(Fact_Contabilidad[[#This Row], [Año]]="",Fact_Contabilidad[[#This Row], [Mes]]=""),"",DATE(A127,MATCH(B127,{"enero","febrero","marzo","abril","mayo","junio","julio","agosto","septiembre","octubre","noviembre","diciembre"},0)+1,0))</f>
        <v>45688</v>
      </c>
      <c r="D127" t="s">
        <v>131</v>
      </c>
      <c r="E127" t="str">
        <f>+IFERROR(VLOOKUP(Fact_Contabilidad[[#This Row], [Concepto Anterior]],Conceptos_Contabilidad[#All],5,0),"")</f>
        <v>Facturas Contabilizada</v>
      </c>
      <c r="F127" t="str">
        <f ca="1">+IFERROR(VLOOKUP(Fact_Contabilidad[[#This Row], [Concepto Anterior]],Conceptos_Contabilidad[#All],7,0),"")</f>
        <v/>
      </c>
      <c r="G127" t="s">
        <v>172</v>
      </c>
      <c r="H127" t="s">
        <v>172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93">
        <v>23</v>
      </c>
    </row>
    <row r="128" spans="1:11" ht="18.75" customHeight="1" x14ac:dyDescent="0.35">
      <c r="A128" s="93">
        <v>2025</v>
      </c>
      <c r="B128" t="s">
        <v>171</v>
      </c>
      <c r="C128" s="100">
        <f>IF(OR(Fact_Contabilidad[[#This Row], [Año]]="",Fact_Contabilidad[[#This Row], [Mes]]=""),"",DATE(A128,MATCH(B128,{"enero","febrero","marzo","abril","mayo","junio","julio","agosto","septiembre","octubre","noviembre","diciembre"},0)+1,0))</f>
        <v>45688</v>
      </c>
      <c r="D128" t="s">
        <v>133</v>
      </c>
      <c r="E128" t="str">
        <f>+IFERROR(VLOOKUP(Fact_Contabilidad[[#This Row], [Concepto Anterior]],Conceptos_Contabilidad[#All],5,0),"")</f>
        <v>Facturas Contabilizada</v>
      </c>
      <c r="F128" t="str">
        <f ca="1">+IFERROR(VLOOKUP(Fact_Contabilidad[[#This Row], [Concepto Anterior]],Conceptos_Contabilidad[#All],7,0),"")</f>
        <v/>
      </c>
      <c r="G128" t="s">
        <v>172</v>
      </c>
      <c r="H128" t="s">
        <v>172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93">
        <v>0</v>
      </c>
    </row>
    <row r="129" spans="1:11" ht="18.75" customHeight="1" x14ac:dyDescent="0.35">
      <c r="A129" s="93">
        <v>2025</v>
      </c>
      <c r="B129" t="s">
        <v>171</v>
      </c>
      <c r="C129" s="100">
        <f>IF(OR(Fact_Contabilidad[[#This Row], [Año]]="",Fact_Contabilidad[[#This Row], [Mes]]=""),"",DATE(A129,MATCH(B129,{"enero","febrero","marzo","abril","mayo","junio","julio","agosto","septiembre","octubre","noviembre","diciembre"},0)+1,0))</f>
        <v>45688</v>
      </c>
      <c r="D129" t="s">
        <v>132</v>
      </c>
      <c r="E129" t="str">
        <f>+IFERROR(VLOOKUP(Fact_Contabilidad[[#This Row], [Concepto Anterior]],Conceptos_Contabilidad[#All],5,0),"")</f>
        <v>Facturas Contabilizada</v>
      </c>
      <c r="F129" t="str">
        <f ca="1">+IFERROR(VLOOKUP(Fact_Contabilidad[[#This Row], [Concepto Anterior]],Conceptos_Contabilidad[#All],7,0),"")</f>
        <v/>
      </c>
      <c r="G129" t="s">
        <v>172</v>
      </c>
      <c r="H129" t="s">
        <v>172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93">
        <v>1</v>
      </c>
    </row>
    <row r="130" spans="1:11" ht="18.75" customHeight="1" x14ac:dyDescent="0.35">
      <c r="A130" s="93">
        <v>2025</v>
      </c>
      <c r="B130" t="s">
        <v>171</v>
      </c>
      <c r="C130" s="100">
        <f>IF(OR(Fact_Contabilidad[[#This Row], [Año]]="",Fact_Contabilidad[[#This Row], [Mes]]=""),"",DATE(A130,MATCH(B130,{"enero","febrero","marzo","abril","mayo","junio","julio","agosto","septiembre","octubre","noviembre","diciembre"},0)+1,0))</f>
        <v>45688</v>
      </c>
      <c r="D130" t="s">
        <v>147</v>
      </c>
      <c r="E130" t="str">
        <f>+IFERROR(VLOOKUP(Fact_Contabilidad[[#This Row], [Concepto Anterior]],Conceptos_Contabilidad[#All],5,0),"")</f>
        <v>Gestión Gastos No deducibles + recuperación de embargos</v>
      </c>
      <c r="F130" t="str">
        <f ca="1">+IFERROR(VLOOKUP(Fact_Contabilidad[[#This Row], [Concepto Anterior]],Conceptos_Contabilidad[#All],7,0),"")</f>
        <v/>
      </c>
      <c r="G130" t="s">
        <v>172</v>
      </c>
      <c r="H130" t="s">
        <v>172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93">
        <v>0</v>
      </c>
    </row>
    <row r="131" spans="1:11" ht="18.75" customHeight="1" x14ac:dyDescent="0.35">
      <c r="A131" s="102">
        <v>2025</v>
      </c>
      <c r="B131" t="s">
        <v>171</v>
      </c>
      <c r="C131" s="100">
        <f>IF(OR(Fact_Contabilidad[[#This Row], [Año]]="",Fact_Contabilidad[[#This Row], [Mes]]=""),"",DATE(A131,MATCH(B131,{"enero","febrero","marzo","abril","mayo","junio","julio","agosto","septiembre","octubre","noviembre","diciembre"},0)+1,0))</f>
        <v>45688</v>
      </c>
      <c r="D131" t="s">
        <v>146</v>
      </c>
      <c r="E131" t="str">
        <f>+IFERROR(VLOOKUP(Fact_Contabilidad[[#This Row], [Concepto Anterior]],Conceptos_Contabilidad[#All],5,0),"")</f>
        <v>Gestión Gastos No deducibles + recuperación de embargos</v>
      </c>
      <c r="F131" t="str">
        <f ca="1">+IFERROR(VLOOKUP(Fact_Contabilidad[[#This Row], [Concepto Anterior]],Conceptos_Contabilidad[#All],7,0),"")</f>
        <v/>
      </c>
      <c r="G131" t="s">
        <v>172</v>
      </c>
      <c r="H131" t="s">
        <v>172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93">
        <v>0</v>
      </c>
    </row>
    <row r="132" spans="1:11" ht="18.75" customHeight="1" x14ac:dyDescent="0.35">
      <c r="A132" s="93">
        <v>2025</v>
      </c>
      <c r="B132" t="s">
        <v>171</v>
      </c>
      <c r="C132" s="100">
        <f>IF(OR(Fact_Contabilidad[[#This Row], [Año]]="",Fact_Contabilidad[[#This Row], [Mes]]=""),"",DATE(A132,MATCH(B132,{"enero","febrero","marzo","abril","mayo","junio","julio","agosto","septiembre","octubre","noviembre","diciembre"},0)+1,0))</f>
        <v>45688</v>
      </c>
      <c r="D132" t="s">
        <v>136</v>
      </c>
      <c r="E132" t="str">
        <f>+IFERROR(VLOOKUP(Fact_Contabilidad[[#This Row], [Concepto Anterior]],Conceptos_Contabilidad[#All],5,0),"")</f>
        <v>el 95 % del cumplimiento (sale del promedio de la fila)</v>
      </c>
      <c r="F132" t="str">
        <f ca="1">+IFERROR(VLOOKUP(Fact_Contabilidad[[#This Row], [Concepto Anterior]],Conceptos_Contabilidad[#All],7,0),"")</f>
        <v/>
      </c>
      <c r="G132" t="s">
        <v>172</v>
      </c>
      <c r="H132" t="s">
        <v>172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92">
        <v>0.68</v>
      </c>
    </row>
    <row r="133" spans="1:11" ht="18.75" customHeight="1" x14ac:dyDescent="0.35">
      <c r="A133" s="93">
        <v>2025</v>
      </c>
      <c r="B133" t="s">
        <v>171</v>
      </c>
      <c r="C133" s="100">
        <f>IF(OR(Fact_Contabilidad[[#This Row], [Año]]="",Fact_Contabilidad[[#This Row], [Mes]]=""),"",DATE(A133,MATCH(B133,{"enero","febrero","marzo","abril","mayo","junio","julio","agosto","septiembre","octubre","noviembre","diciembre"},0)+1,0))</f>
        <v>45688</v>
      </c>
      <c r="D133" t="s">
        <v>135</v>
      </c>
      <c r="E133" t="str">
        <f>+IFERROR(VLOOKUP(Fact_Contabilidad[[#This Row], [Concepto Anterior]],Conceptos_Contabilidad[#All],5,0),"")</f>
        <v>Gestión Gastos No deducibles + recuperación de embargos</v>
      </c>
      <c r="F133" t="str">
        <f ca="1">+IFERROR(VLOOKUP(Fact_Contabilidad[[#This Row], [Concepto Anterior]],Conceptos_Contabilidad[#All],7,0),"")</f>
        <v/>
      </c>
      <c r="G133" t="s">
        <v>172</v>
      </c>
      <c r="H133" t="s">
        <v>172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93">
        <v>0</v>
      </c>
    </row>
    <row r="134" spans="1:11" ht="18.75" customHeight="1" x14ac:dyDescent="0.35">
      <c r="A134" s="93">
        <v>2025</v>
      </c>
      <c r="B134" t="s">
        <v>171</v>
      </c>
      <c r="C134" s="100">
        <f>IF(OR(Fact_Contabilidad[[#This Row], [Año]]="",Fact_Contabilidad[[#This Row], [Mes]]=""),"",DATE(A134,MATCH(B134,{"enero","febrero","marzo","abril","mayo","junio","julio","agosto","septiembre","octubre","noviembre","diciembre"},0)+1,0))</f>
        <v>45688</v>
      </c>
      <c r="D134" t="s">
        <v>76</v>
      </c>
      <c r="E134" t="str">
        <f>+IFERROR(VLOOKUP(Fact_Contabilidad[[#This Row], [Concepto Anterior]],Conceptos_Contabilidad[#All],5,0),"")</f>
        <v>Informes Contables</v>
      </c>
      <c r="F134" t="str">
        <f ca="1">+IFERROR(VLOOKUP(Fact_Contabilidad[[#This Row], [Concepto Anterior]],Conceptos_Contabilidad[#All],7,0),"")</f>
        <v/>
      </c>
      <c r="G134" t="s">
        <v>172</v>
      </c>
      <c r="H134" t="s">
        <v>172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93">
        <v>4</v>
      </c>
    </row>
    <row r="135" spans="1:11" ht="18.75" customHeight="1" x14ac:dyDescent="0.35">
      <c r="A135" s="93">
        <v>2025</v>
      </c>
      <c r="B135" t="s">
        <v>171</v>
      </c>
      <c r="C135" s="100">
        <f>IF(OR(Fact_Contabilidad[[#This Row], [Año]]="",Fact_Contabilidad[[#This Row], [Mes]]=""),"",DATE(A135,MATCH(B135,{"enero","febrero","marzo","abril","mayo","junio","julio","agosto","septiembre","octubre","noviembre","diciembre"},0)+1,0))</f>
        <v>45688</v>
      </c>
      <c r="D135" t="s">
        <v>102</v>
      </c>
      <c r="E135" t="str">
        <f>+IFERROR(VLOOKUP(Fact_Contabilidad[[#This Row], [Concepto Anterior]],Conceptos_Contabilidad[#All],5,0),"")</f>
        <v>Numero de razones sociales atendidas directas</v>
      </c>
      <c r="F135" t="str">
        <f ca="1">+IFERROR(VLOOKUP(Fact_Contabilidad[[#This Row], [Concepto Anterior]],Conceptos_Contabilidad[#All],7,0),"")</f>
        <v/>
      </c>
      <c r="G135" t="s">
        <v>172</v>
      </c>
      <c r="H135" t="s">
        <v>172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93">
        <v>16</v>
      </c>
    </row>
    <row r="136" spans="1:11" ht="18.75" customHeight="1" x14ac:dyDescent="0.35">
      <c r="A136" s="93">
        <v>2025</v>
      </c>
      <c r="B136" t="s">
        <v>171</v>
      </c>
      <c r="C136" s="100">
        <f>IF(OR(Fact_Contabilidad[[#This Row], [Año]]="",Fact_Contabilidad[[#This Row], [Mes]]=""),"",DATE(A136,MATCH(B136,{"enero","febrero","marzo","abril","mayo","junio","julio","agosto","septiembre","octubre","noviembre","diciembre"},0)+1,0))</f>
        <v>45688</v>
      </c>
      <c r="D136" t="s">
        <v>137</v>
      </c>
      <c r="E136" t="str">
        <f>+IFERROR(VLOOKUP(Fact_Contabilidad[[#This Row], [Concepto Anterior]],Conceptos_Contabilidad[#All],5,0),"")</f>
        <v>Numero de razones sociales atendidas indirectas (matricial)</v>
      </c>
      <c r="F136" t="str">
        <f ca="1">+IFERROR(VLOOKUP(Fact_Contabilidad[[#This Row], [Concepto Anterior]],Conceptos_Contabilidad[#All],7,0),"")</f>
        <v/>
      </c>
      <c r="G136" t="s">
        <v>172</v>
      </c>
      <c r="H136" t="s">
        <v>172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93">
        <v>12</v>
      </c>
    </row>
    <row r="137" spans="1:11" ht="18.75" customHeight="1" x14ac:dyDescent="0.35">
      <c r="A137" s="93">
        <v>2025</v>
      </c>
      <c r="B137" t="s">
        <v>171</v>
      </c>
      <c r="C137" s="100">
        <f>IF(OR(Fact_Contabilidad[[#This Row], [Año]]="",Fact_Contabilidad[[#This Row], [Mes]]=""),"",DATE(A137,MATCH(B137,{"enero","febrero","marzo","abril","mayo","junio","julio","agosto","septiembre","octubre","noviembre","diciembre"},0)+1,0))</f>
        <v>45688</v>
      </c>
      <c r="D137" t="s">
        <v>78</v>
      </c>
      <c r="E137" t="str">
        <f>+IFERROR(VLOOKUP(Fact_Contabilidad[[#This Row], [Concepto Anterior]],Conceptos_Contabilidad[#All],5,0),"")</f>
        <v>Gestión Gastos No deducibles + recuperación de embargos</v>
      </c>
      <c r="F137" t="str">
        <f ca="1">+IFERROR(VLOOKUP(Fact_Contabilidad[[#This Row], [Concepto Anterior]],Conceptos_Contabilidad[#All],7,0),"")</f>
        <v/>
      </c>
      <c r="G137" t="s">
        <v>172</v>
      </c>
      <c r="H137" t="s">
        <v>172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93">
        <v>0</v>
      </c>
    </row>
    <row r="138" spans="1:11" ht="18.75" customHeight="1" x14ac:dyDescent="0.35">
      <c r="A138" s="93">
        <v>2025</v>
      </c>
      <c r="B138" t="s">
        <v>171</v>
      </c>
      <c r="C138" s="100">
        <f>IF(OR(Fact_Contabilidad[[#This Row], [Año]]="",Fact_Contabilidad[[#This Row], [Mes]]=""),"",DATE(A138,MATCH(B138,{"enero","febrero","marzo","abril","mayo","junio","julio","agosto","septiembre","octubre","noviembre","diciembre"},0)+1,0))</f>
        <v>45688</v>
      </c>
      <c r="D138" t="s">
        <v>192</v>
      </c>
      <c r="E138" t="str">
        <f>+IFERROR(VLOOKUP(Fact_Contabilidad[[#This Row], [Concepto Anterior]],Conceptos_Contabilidad[#All],5,0),"")</f>
        <v>Activos fijos creados Comodín</v>
      </c>
      <c r="F138" t="str">
        <f ca="1">+IFERROR(VLOOKUP(Fact_Contabilidad[[#This Row], [Concepto Anterior]],Conceptos_Contabilidad[#All],7,0),"")</f>
        <v/>
      </c>
      <c r="G138" t="s">
        <v>172</v>
      </c>
      <c r="H138" t="s">
        <v>172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93">
        <v>70</v>
      </c>
    </row>
    <row r="139" spans="1:11" ht="18.75" customHeight="1" x14ac:dyDescent="0.35">
      <c r="A139" s="93">
        <v>2025</v>
      </c>
      <c r="B139" t="s">
        <v>171</v>
      </c>
      <c r="C139" s="100">
        <f>IF(OR(Fact_Contabilidad[[#This Row], [Año]]="",Fact_Contabilidad[[#This Row], [Mes]]=""),"",DATE(A139,MATCH(B139,{"enero","febrero","marzo","abril","mayo","junio","julio","agosto","septiembre","octubre","noviembre","diciembre"},0)+1,0))</f>
        <v>45688</v>
      </c>
      <c r="D139" t="s">
        <v>193</v>
      </c>
      <c r="E139" t="str">
        <f>+IFERROR(VLOOKUP(Fact_Contabilidad[[#This Row], [Concepto Anterior]],Conceptos_Contabilidad[#All],5,0),"")</f>
        <v>Activos fijos creados Dogama</v>
      </c>
      <c r="F139" t="str">
        <f ca="1">+IFERROR(VLOOKUP(Fact_Contabilidad[[#This Row], [Concepto Anterior]],Conceptos_Contabilidad[#All],7,0),"")</f>
        <v/>
      </c>
      <c r="G139" t="s">
        <v>172</v>
      </c>
      <c r="H139" t="s">
        <v>172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93">
        <v>63</v>
      </c>
    </row>
    <row r="140" spans="1:11" ht="18.75" customHeight="1" x14ac:dyDescent="0.35">
      <c r="A140" s="93">
        <v>2025</v>
      </c>
      <c r="B140" t="s">
        <v>171</v>
      </c>
      <c r="C140" s="100">
        <f>IF(OR(Fact_Contabilidad[[#This Row], [Año]]="",Fact_Contabilidad[[#This Row], [Mes]]=""),"",DATE(A140,MATCH(B140,{"enero","febrero","marzo","abril","mayo","junio","julio","agosto","septiembre","octubre","noviembre","diciembre"},0)+1,0))</f>
        <v>45688</v>
      </c>
      <c r="D140" t="s">
        <v>194</v>
      </c>
      <c r="E140" t="str">
        <f>+IFERROR(VLOOKUP(Fact_Contabilidad[[#This Row], [Concepto Anterior]],Conceptos_Contabilidad[#All],5,0),"")</f>
        <v>Instructivos en proceso</v>
      </c>
      <c r="F140" t="str">
        <f ca="1">+IFERROR(VLOOKUP(Fact_Contabilidad[[#This Row], [Concepto Anterior]],Conceptos_Contabilidad[#All],7,0),"")</f>
        <v/>
      </c>
      <c r="G140" t="s">
        <v>172</v>
      </c>
      <c r="H140" t="s">
        <v>172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93">
        <v>0</v>
      </c>
    </row>
    <row r="141" spans="1:11" ht="18.75" customHeight="1" x14ac:dyDescent="0.35">
      <c r="A141" s="102">
        <v>2025</v>
      </c>
      <c r="B141" t="s">
        <v>171</v>
      </c>
      <c r="C141" s="100">
        <f>IF(OR(Fact_Contabilidad[[#This Row], [Año]]="",Fact_Contabilidad[[#This Row], [Mes]]=""),"",DATE(A141,MATCH(B141,{"enero","febrero","marzo","abril","mayo","junio","julio","agosto","septiembre","octubre","noviembre","diciembre"},0)+1,0))</f>
        <v>45688</v>
      </c>
      <c r="D141" t="s">
        <v>195</v>
      </c>
      <c r="E141" t="str">
        <f>+IFERROR(VLOOKUP(Fact_Contabilidad[[#This Row], [Concepto Anterior]],Conceptos_Contabilidad[#All],5,0),"")</f>
        <v>Instructivos en validación PMO</v>
      </c>
      <c r="F141" t="str">
        <f ca="1">+IFERROR(VLOOKUP(Fact_Contabilidad[[#This Row], [Concepto Anterior]],Conceptos_Contabilidad[#All],7,0),"")</f>
        <v/>
      </c>
      <c r="G141" t="s">
        <v>172</v>
      </c>
      <c r="H141" t="s">
        <v>172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171</v>
      </c>
      <c r="C142" s="100">
        <f>IF(OR(Fact_Contabilidad[[#This Row], [Año]]="",Fact_Contabilidad[[#This Row], [Mes]]=""),"",DATE(A142,MATCH(B142,{"enero","febrero","marzo","abril","mayo","junio","julio","agosto","septiembre","octubre","noviembre","diciembre"},0)+1,0))</f>
        <v>45688</v>
      </c>
      <c r="D142" t="s">
        <v>196</v>
      </c>
      <c r="E142" t="str">
        <f>+IFERROR(VLOOKUP(Fact_Contabilidad[[#This Row], [Concepto Anterior]],Conceptos_Contabilidad[#All],5,0),"")</f>
        <v>Instructivos aprobados</v>
      </c>
      <c r="F142" t="str">
        <f ca="1">+IFERROR(VLOOKUP(Fact_Contabilidad[[#This Row], [Concepto Anterior]],Conceptos_Contabilidad[#All],7,0),"")</f>
        <v/>
      </c>
      <c r="G142" t="s">
        <v>172</v>
      </c>
      <c r="H142" t="s">
        <v>172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171</v>
      </c>
      <c r="C143" s="100">
        <f>IF(OR(Fact_Contabilidad[[#This Row], [Año]]="",Fact_Contabilidad[[#This Row], [Mes]]=""),"",DATE(A143,MATCH(B143,{"enero","febrero","marzo","abril","mayo","junio","julio","agosto","septiembre","octubre","noviembre","diciembre"},0)+1,0))</f>
        <v>45688</v>
      </c>
      <c r="D143" t="s">
        <v>197</v>
      </c>
      <c r="E143" t="str">
        <f>+IFERROR(VLOOKUP(Fact_Contabilidad[[#This Row], [Concepto Anterior]],Conceptos_Contabilidad[#All],5,0),"")</f>
        <v>Políticas en proceso</v>
      </c>
      <c r="F143" t="str">
        <f ca="1">+IFERROR(VLOOKUP(Fact_Contabilidad[[#This Row], [Concepto Anterior]],Conceptos_Contabilidad[#All],7,0),"")</f>
        <v/>
      </c>
      <c r="G143" t="s">
        <v>172</v>
      </c>
      <c r="H143" t="s">
        <v>172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171</v>
      </c>
      <c r="C144" s="100">
        <f>IF(OR(Fact_Contabilidad[[#This Row], [Año]]="",Fact_Contabilidad[[#This Row], [Mes]]=""),"",DATE(A144,MATCH(B144,{"enero","febrero","marzo","abril","mayo","junio","julio","agosto","septiembre","octubre","noviembre","diciembre"},0)+1,0))</f>
        <v>45688</v>
      </c>
      <c r="D144" t="s">
        <v>198</v>
      </c>
      <c r="E144" t="str">
        <f>+IFERROR(VLOOKUP(Fact_Contabilidad[[#This Row], [Concepto Anterior]],Conceptos_Contabilidad[#All],5,0),"")</f>
        <v>Políticas aprobadas</v>
      </c>
      <c r="F144" t="str">
        <f ca="1">+IFERROR(VLOOKUP(Fact_Contabilidad[[#This Row], [Concepto Anterior]],Conceptos_Contabilidad[#All],7,0),"")</f>
        <v/>
      </c>
      <c r="G144" t="s">
        <v>172</v>
      </c>
      <c r="H144" t="s">
        <v>172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93">
        <v>0</v>
      </c>
    </row>
    <row r="145" spans="1:11" ht="18.75" customHeight="1" x14ac:dyDescent="0.35">
      <c r="A145" s="93">
        <v>2025</v>
      </c>
      <c r="B145" t="s">
        <v>171</v>
      </c>
      <c r="C145" s="100">
        <f>IF(OR(Fact_Contabilidad[[#This Row], [Año]]="",Fact_Contabilidad[[#This Row], [Mes]]=""),"",DATE(A145,MATCH(B145,{"enero","febrero","marzo","abril","mayo","junio","julio","agosto","septiembre","octubre","noviembre","diciembre"},0)+1,0))</f>
        <v>45688</v>
      </c>
      <c r="D145" t="s">
        <v>199</v>
      </c>
      <c r="E145" t="str">
        <f>+IFERROR(VLOOKUP(Fact_Contabilidad[[#This Row], [Concepto Anterior]],Conceptos_Contabilidad[#All],5,0),"")</f>
        <v>Facturas contabilizadas Triplematch</v>
      </c>
      <c r="F145" t="str">
        <f ca="1">+IFERROR(VLOOKUP(Fact_Contabilidad[[#This Row], [Concepto Anterior]],Conceptos_Contabilidad[#All],7,0),"")</f>
        <v/>
      </c>
      <c r="G145" t="s">
        <v>172</v>
      </c>
      <c r="H145" t="s">
        <v>172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93">
        <v>0</v>
      </c>
    </row>
    <row r="146" spans="1:11" ht="18.75" customHeight="1" x14ac:dyDescent="0.35">
      <c r="A146" s="93">
        <v>2025</v>
      </c>
      <c r="B146" t="s">
        <v>171</v>
      </c>
      <c r="C146" s="100">
        <f>IF(OR(Fact_Contabilidad[[#This Row], [Año]]="",Fact_Contabilidad[[#This Row], [Mes]]=""),"",DATE(A146,MATCH(B146,{"enero","febrero","marzo","abril","mayo","junio","julio","agosto","septiembre","octubre","noviembre","diciembre"},0)+1,0))</f>
        <v>45688</v>
      </c>
      <c r="D146" t="s">
        <v>200</v>
      </c>
      <c r="E146" t="str">
        <f>+IFERROR(VLOOKUP(Fact_Contabilidad[[#This Row], [Concepto Anterior]],Conceptos_Contabilidad[#All],5,0),"")</f>
        <v>Facturas contabilizadas Script</v>
      </c>
      <c r="F146" t="str">
        <f ca="1">+IFERROR(VLOOKUP(Fact_Contabilidad[[#This Row], [Concepto Anterior]],Conceptos_Contabilidad[#All],7,0),"")</f>
        <v/>
      </c>
      <c r="G146" t="s">
        <v>172</v>
      </c>
      <c r="H146" t="s">
        <v>172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93">
        <v>0</v>
      </c>
    </row>
    <row r="147" spans="1:11" ht="18.75" customHeight="1" x14ac:dyDescent="0.35">
      <c r="A147" s="93">
        <v>2025</v>
      </c>
      <c r="B147" t="s">
        <v>174</v>
      </c>
      <c r="C147" s="100">
        <f>IF(OR(Fact_Contabilidad[[#This Row], [Año]]="",Fact_Contabilidad[[#This Row], [Mes]]=""),"",DATE(A147,MATCH(B147,{"enero","febrero","marzo","abril","mayo","junio","julio","agosto","septiembre","octubre","noviembre","diciembre"},0)+1,0))</f>
        <v>45716</v>
      </c>
      <c r="D147" t="s">
        <v>79</v>
      </c>
      <c r="E147" t="str">
        <f>+IFERROR(VLOOKUP(Fact_Contabilidad[[#This Row], [Concepto Anterior]],Conceptos_Contabilidad[#All],5,0),"")</f>
        <v>Cuentas Contables Conciliadas</v>
      </c>
      <c r="F147" t="str">
        <f ca="1">+IFERROR(VLOOKUP(Fact_Contabilidad[[#This Row], [Concepto Anterior]],Conceptos_Contabilidad[#All],7,0),"")</f>
        <v/>
      </c>
      <c r="G147" t="s">
        <v>172</v>
      </c>
      <c r="H147" t="s">
        <v>172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93">
        <v>1290</v>
      </c>
    </row>
    <row r="148" spans="1:11" ht="18.75" customHeight="1" x14ac:dyDescent="0.35">
      <c r="A148" s="93">
        <v>2025</v>
      </c>
      <c r="B148" t="s">
        <v>174</v>
      </c>
      <c r="C148" s="100">
        <f>IF(OR(Fact_Contabilidad[[#This Row], [Año]]="",Fact_Contabilidad[[#This Row], [Mes]]=""),"",DATE(A148,MATCH(B148,{"enero","febrero","marzo","abril","mayo","junio","julio","agosto","septiembre","octubre","noviembre","diciembre"},0)+1,0))</f>
        <v>45716</v>
      </c>
      <c r="D148" t="s">
        <v>70</v>
      </c>
      <c r="E148" t="str">
        <f>+IFERROR(VLOOKUP(Fact_Contabilidad[[#This Row], [Concepto Anterior]],Conceptos_Contabilidad[#All],5,0),"")</f>
        <v>Facturas Contabilizada</v>
      </c>
      <c r="F148" t="str">
        <f ca="1">+IFERROR(VLOOKUP(Fact_Contabilidad[[#This Row], [Concepto Anterior]],Conceptos_Contabilidad[#All],7,0),"")</f>
        <v/>
      </c>
      <c r="G148" t="s">
        <v>172</v>
      </c>
      <c r="H148" t="s">
        <v>172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93">
        <v>8036</v>
      </c>
    </row>
    <row r="149" spans="1:11" ht="18.75" customHeight="1" x14ac:dyDescent="0.35">
      <c r="A149" s="93">
        <v>2025</v>
      </c>
      <c r="B149" t="s">
        <v>174</v>
      </c>
      <c r="C149" s="100">
        <f>IF(OR(Fact_Contabilidad[[#This Row], [Año]]="",Fact_Contabilidad[[#This Row], [Mes]]=""),"",DATE(A149,MATCH(B149,{"enero","febrero","marzo","abril","mayo","junio","julio","agosto","septiembre","octubre","noviembre","diciembre"},0)+1,0))</f>
        <v>45716</v>
      </c>
      <c r="D149" t="s">
        <v>71</v>
      </c>
      <c r="E149" t="str">
        <f>+IFERROR(VLOOKUP(Fact_Contabilidad[[#This Row], [Concepto Anterior]],Conceptos_Contabilidad[#All],5,0),"")</f>
        <v>Facturas Contabilizada</v>
      </c>
      <c r="F149" t="str">
        <f ca="1">+IFERROR(VLOOKUP(Fact_Contabilidad[[#This Row], [Concepto Anterior]],Conceptos_Contabilidad[#All],7,0),"")</f>
        <v/>
      </c>
      <c r="G149" t="s">
        <v>172</v>
      </c>
      <c r="H149" t="s">
        <v>172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93">
        <v>1479</v>
      </c>
    </row>
    <row r="150" spans="1:11" ht="18.75" customHeight="1" x14ac:dyDescent="0.35">
      <c r="A150" s="93">
        <v>2025</v>
      </c>
      <c r="B150" t="s">
        <v>174</v>
      </c>
      <c r="C150" s="100">
        <f>IF(OR(Fact_Contabilidad[[#This Row], [Año]]="",Fact_Contabilidad[[#This Row], [Mes]]=""),"",DATE(A150,MATCH(B150,{"enero","febrero","marzo","abril","mayo","junio","julio","agosto","septiembre","octubre","noviembre","diciembre"},0)+1,0))</f>
        <v>45716</v>
      </c>
      <c r="D150" t="s">
        <v>130</v>
      </c>
      <c r="E150" t="str">
        <f>+IFERROR(VLOOKUP(Fact_Contabilidad[[#This Row], [Concepto Anterior]],Conceptos_Contabilidad[#All],5,0),"")</f>
        <v>Facturas Contabilizada</v>
      </c>
      <c r="F150" t="str">
        <f ca="1">+IFERROR(VLOOKUP(Fact_Contabilidad[[#This Row], [Concepto Anterior]],Conceptos_Contabilidad[#All],7,0),"")</f>
        <v/>
      </c>
      <c r="G150" t="s">
        <v>172</v>
      </c>
      <c r="H150" t="s">
        <v>172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93">
        <v>82</v>
      </c>
    </row>
    <row r="151" spans="1:11" ht="18.75" customHeight="1" x14ac:dyDescent="0.35">
      <c r="A151" s="93">
        <v>2025</v>
      </c>
      <c r="B151" t="s">
        <v>174</v>
      </c>
      <c r="C151" s="100">
        <f>IF(OR(Fact_Contabilidad[[#This Row], [Año]]="",Fact_Contabilidad[[#This Row], [Mes]]=""),"",DATE(A151,MATCH(B151,{"enero","febrero","marzo","abril","mayo","junio","julio","agosto","septiembre","octubre","noviembre","diciembre"},0)+1,0))</f>
        <v>45716</v>
      </c>
      <c r="D151" t="s">
        <v>134</v>
      </c>
      <c r="E151" t="str">
        <f>+IFERROR(VLOOKUP(Fact_Contabilidad[[#This Row], [Concepto Anterior]],Conceptos_Contabilidad[#All],5,0),"")</f>
        <v>Facturas Contabilizada</v>
      </c>
      <c r="F151" t="str">
        <f ca="1">+IFERROR(VLOOKUP(Fact_Contabilidad[[#This Row], [Concepto Anterior]],Conceptos_Contabilidad[#All],7,0),"")</f>
        <v/>
      </c>
      <c r="G151" t="s">
        <v>172</v>
      </c>
      <c r="H151" t="s">
        <v>172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93">
        <v>26</v>
      </c>
    </row>
    <row r="152" spans="1:11" ht="18.75" customHeight="1" x14ac:dyDescent="0.35">
      <c r="A152" s="93">
        <v>2025</v>
      </c>
      <c r="B152" t="s">
        <v>174</v>
      </c>
      <c r="C152" s="100">
        <f>IF(OR(Fact_Contabilidad[[#This Row], [Año]]="",Fact_Contabilidad[[#This Row], [Mes]]=""),"",DATE(A152,MATCH(B152,{"enero","febrero","marzo","abril","mayo","junio","julio","agosto","septiembre","octubre","noviembre","diciembre"},0)+1,0))</f>
        <v>45716</v>
      </c>
      <c r="D152" t="s">
        <v>131</v>
      </c>
      <c r="E152" t="str">
        <f>+IFERROR(VLOOKUP(Fact_Contabilidad[[#This Row], [Concepto Anterior]],Conceptos_Contabilidad[#All],5,0),"")</f>
        <v>Facturas Contabilizada</v>
      </c>
      <c r="F152" t="str">
        <f ca="1">+IFERROR(VLOOKUP(Fact_Contabilidad[[#This Row], [Concepto Anterior]],Conceptos_Contabilidad[#All],7,0),"")</f>
        <v/>
      </c>
      <c r="G152" t="s">
        <v>172</v>
      </c>
      <c r="H152" t="s">
        <v>172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93">
        <v>62</v>
      </c>
    </row>
    <row r="153" spans="1:11" ht="18.75" customHeight="1" x14ac:dyDescent="0.35">
      <c r="A153" s="93">
        <v>2025</v>
      </c>
      <c r="B153" t="s">
        <v>174</v>
      </c>
      <c r="C153" s="100">
        <f>IF(OR(Fact_Contabilidad[[#This Row], [Año]]="",Fact_Contabilidad[[#This Row], [Mes]]=""),"",DATE(A153,MATCH(B153,{"enero","febrero","marzo","abril","mayo","junio","julio","agosto","septiembre","octubre","noviembre","diciembre"},0)+1,0))</f>
        <v>45716</v>
      </c>
      <c r="D153" t="s">
        <v>133</v>
      </c>
      <c r="E153" t="str">
        <f>+IFERROR(VLOOKUP(Fact_Contabilidad[[#This Row], [Concepto Anterior]],Conceptos_Contabilidad[#All],5,0),"")</f>
        <v>Facturas Contabilizada</v>
      </c>
      <c r="F153" t="str">
        <f ca="1">+IFERROR(VLOOKUP(Fact_Contabilidad[[#This Row], [Concepto Anterior]],Conceptos_Contabilidad[#All],7,0),"")</f>
        <v/>
      </c>
      <c r="G153" t="s">
        <v>172</v>
      </c>
      <c r="H153" t="s">
        <v>172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93">
        <v>1</v>
      </c>
    </row>
    <row r="154" spans="1:11" ht="18.75" customHeight="1" x14ac:dyDescent="0.35">
      <c r="A154" s="93">
        <v>2025</v>
      </c>
      <c r="B154" t="s">
        <v>174</v>
      </c>
      <c r="C154" s="100">
        <f>IF(OR(Fact_Contabilidad[[#This Row], [Año]]="",Fact_Contabilidad[[#This Row], [Mes]]=""),"",DATE(A154,MATCH(B154,{"enero","febrero","marzo","abril","mayo","junio","julio","agosto","septiembre","octubre","noviembre","diciembre"},0)+1,0))</f>
        <v>45716</v>
      </c>
      <c r="D154" t="s">
        <v>132</v>
      </c>
      <c r="E154" t="str">
        <f>+IFERROR(VLOOKUP(Fact_Contabilidad[[#This Row], [Concepto Anterior]],Conceptos_Contabilidad[#All],5,0),"")</f>
        <v>Facturas Contabilizada</v>
      </c>
      <c r="F154" t="str">
        <f ca="1">+IFERROR(VLOOKUP(Fact_Contabilidad[[#This Row], [Concepto Anterior]],Conceptos_Contabilidad[#All],7,0),"")</f>
        <v/>
      </c>
      <c r="G154" t="s">
        <v>172</v>
      </c>
      <c r="H154" t="s">
        <v>172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93">
        <v>6</v>
      </c>
    </row>
    <row r="155" spans="1:11" ht="18.75" customHeight="1" x14ac:dyDescent="0.35">
      <c r="A155" s="93">
        <v>2025</v>
      </c>
      <c r="B155" t="s">
        <v>174</v>
      </c>
      <c r="C155" s="100">
        <f>IF(OR(Fact_Contabilidad[[#This Row], [Año]]="",Fact_Contabilidad[[#This Row], [Mes]]=""),"",DATE(A155,MATCH(B155,{"enero","febrero","marzo","abril","mayo","junio","julio","agosto","septiembre","octubre","noviembre","diciembre"},0)+1,0))</f>
        <v>45716</v>
      </c>
      <c r="D155" t="s">
        <v>147</v>
      </c>
      <c r="E155" t="str">
        <f>+IFERROR(VLOOKUP(Fact_Contabilidad[[#This Row], [Concepto Anterior]],Conceptos_Contabilidad[#All],5,0),"")</f>
        <v>Gestión Gastos No deducibles + recuperación de embargos</v>
      </c>
      <c r="F155" t="str">
        <f ca="1">+IFERROR(VLOOKUP(Fact_Contabilidad[[#This Row], [Concepto Anterior]],Conceptos_Contabilidad[#All],7,0),"")</f>
        <v/>
      </c>
      <c r="G155" t="s">
        <v>172</v>
      </c>
      <c r="H155" t="s">
        <v>172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93">
        <v>0</v>
      </c>
    </row>
    <row r="156" spans="1:11" ht="18.75" customHeight="1" x14ac:dyDescent="0.35">
      <c r="A156" s="93">
        <v>2025</v>
      </c>
      <c r="B156" t="s">
        <v>174</v>
      </c>
      <c r="C156" s="100">
        <f>IF(OR(Fact_Contabilidad[[#This Row], [Año]]="",Fact_Contabilidad[[#This Row], [Mes]]=""),"",DATE(A156,MATCH(B156,{"enero","febrero","marzo","abril","mayo","junio","julio","agosto","septiembre","octubre","noviembre","diciembre"},0)+1,0))</f>
        <v>45716</v>
      </c>
      <c r="D156" t="s">
        <v>146</v>
      </c>
      <c r="E156" t="str">
        <f>+IFERROR(VLOOKUP(Fact_Contabilidad[[#This Row], [Concepto Anterior]],Conceptos_Contabilidad[#All],5,0),"")</f>
        <v>Gestión Gastos No deducibles + recuperación de embargos</v>
      </c>
      <c r="F156" t="str">
        <f ca="1">+IFERROR(VLOOKUP(Fact_Contabilidad[[#This Row], [Concepto Anterior]],Conceptos_Contabilidad[#All],7,0),"")</f>
        <v/>
      </c>
      <c r="G156" t="s">
        <v>172</v>
      </c>
      <c r="H156" t="s">
        <v>172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93">
        <v>16755078</v>
      </c>
    </row>
    <row r="157" spans="1:11" ht="18.75" customHeight="1" x14ac:dyDescent="0.35">
      <c r="A157" s="102">
        <v>2025</v>
      </c>
      <c r="B157" t="s">
        <v>174</v>
      </c>
      <c r="C157" s="100">
        <f>IF(OR(Fact_Contabilidad[[#This Row], [Año]]="",Fact_Contabilidad[[#This Row], [Mes]]=""),"",DATE(A157,MATCH(B157,{"enero","febrero","marzo","abril","mayo","junio","julio","agosto","septiembre","octubre","noviembre","diciembre"},0)+1,0))</f>
        <v>45716</v>
      </c>
      <c r="D157" t="s">
        <v>136</v>
      </c>
      <c r="E157" t="str">
        <f>+IFERROR(VLOOKUP(Fact_Contabilidad[[#This Row], [Concepto Anterior]],Conceptos_Contabilidad[#All],5,0),"")</f>
        <v>el 95 % del cumplimiento (sale del promedio de la fila)</v>
      </c>
      <c r="F157" t="str">
        <f ca="1">+IFERROR(VLOOKUP(Fact_Contabilidad[[#This Row], [Concepto Anterior]],Conceptos_Contabilidad[#All],7,0),"")</f>
        <v/>
      </c>
      <c r="G157" t="s">
        <v>172</v>
      </c>
      <c r="H157" t="s">
        <v>172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92">
        <v>0.71</v>
      </c>
    </row>
    <row r="158" spans="1:11" ht="18.75" customHeight="1" x14ac:dyDescent="0.35">
      <c r="A158" s="93">
        <v>2025</v>
      </c>
      <c r="B158" t="s">
        <v>174</v>
      </c>
      <c r="C158" s="100">
        <f>IF(OR(Fact_Contabilidad[[#This Row], [Año]]="",Fact_Contabilidad[[#This Row], [Mes]]=""),"",DATE(A158,MATCH(B158,{"enero","febrero","marzo","abril","mayo","junio","julio","agosto","septiembre","octubre","noviembre","diciembre"},0)+1,0))</f>
        <v>45716</v>
      </c>
      <c r="D158" t="s">
        <v>135</v>
      </c>
      <c r="E158" t="str">
        <f>+IFERROR(VLOOKUP(Fact_Contabilidad[[#This Row], [Concepto Anterior]],Conceptos_Contabilidad[#All],5,0),"")</f>
        <v>Gestión Gastos No deducibles + recuperación de embargos</v>
      </c>
      <c r="F158" t="str">
        <f ca="1">+IFERROR(VLOOKUP(Fact_Contabilidad[[#This Row], [Concepto Anterior]],Conceptos_Contabilidad[#All],7,0),"")</f>
        <v/>
      </c>
      <c r="G158" t="s">
        <v>172</v>
      </c>
      <c r="H158" t="s">
        <v>172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93">
        <v>79000</v>
      </c>
    </row>
    <row r="159" spans="1:11" ht="18.75" customHeight="1" x14ac:dyDescent="0.35">
      <c r="A159" s="93">
        <v>2025</v>
      </c>
      <c r="B159" t="s">
        <v>174</v>
      </c>
      <c r="C159" s="100">
        <f>IF(OR(Fact_Contabilidad[[#This Row], [Año]]="",Fact_Contabilidad[[#This Row], [Mes]]=""),"",DATE(A159,MATCH(B159,{"enero","febrero","marzo","abril","mayo","junio","julio","agosto","septiembre","octubre","noviembre","diciembre"},0)+1,0))</f>
        <v>45716</v>
      </c>
      <c r="D159" t="s">
        <v>76</v>
      </c>
      <c r="E159" t="str">
        <f>+IFERROR(VLOOKUP(Fact_Contabilidad[[#This Row], [Concepto Anterior]],Conceptos_Contabilidad[#All],5,0),"")</f>
        <v>Informes Contables</v>
      </c>
      <c r="F159" t="str">
        <f ca="1">+IFERROR(VLOOKUP(Fact_Contabilidad[[#This Row], [Concepto Anterior]],Conceptos_Contabilidad[#All],7,0),"")</f>
        <v/>
      </c>
      <c r="G159" t="s">
        <v>172</v>
      </c>
      <c r="H159" t="s">
        <v>172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93">
        <v>7</v>
      </c>
    </row>
    <row r="160" spans="1:11" ht="18.75" customHeight="1" x14ac:dyDescent="0.35">
      <c r="A160" s="93">
        <v>2025</v>
      </c>
      <c r="B160" t="s">
        <v>174</v>
      </c>
      <c r="C160" s="100">
        <f>IF(OR(Fact_Contabilidad[[#This Row], [Año]]="",Fact_Contabilidad[[#This Row], [Mes]]=""),"",DATE(A160,MATCH(B160,{"enero","febrero","marzo","abril","mayo","junio","julio","agosto","septiembre","octubre","noviembre","diciembre"},0)+1,0))</f>
        <v>45716</v>
      </c>
      <c r="D160" t="s">
        <v>102</v>
      </c>
      <c r="E160" t="str">
        <f>+IFERROR(VLOOKUP(Fact_Contabilidad[[#This Row], [Concepto Anterior]],Conceptos_Contabilidad[#All],5,0),"")</f>
        <v>Numero de razones sociales atendidas directas</v>
      </c>
      <c r="F160" t="str">
        <f ca="1">+IFERROR(VLOOKUP(Fact_Contabilidad[[#This Row], [Concepto Anterior]],Conceptos_Contabilidad[#All],7,0),"")</f>
        <v/>
      </c>
      <c r="G160" t="s">
        <v>172</v>
      </c>
      <c r="H160" t="s">
        <v>172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93">
        <v>16</v>
      </c>
    </row>
    <row r="161" spans="1:11" ht="18.75" customHeight="1" x14ac:dyDescent="0.35">
      <c r="A161" s="93">
        <v>2025</v>
      </c>
      <c r="B161" t="s">
        <v>174</v>
      </c>
      <c r="C161" s="100">
        <f>IF(OR(Fact_Contabilidad[[#This Row], [Año]]="",Fact_Contabilidad[[#This Row], [Mes]]=""),"",DATE(A161,MATCH(B161,{"enero","febrero","marzo","abril","mayo","junio","julio","agosto","septiembre","octubre","noviembre","diciembre"},0)+1,0))</f>
        <v>45716</v>
      </c>
      <c r="D161" t="s">
        <v>137</v>
      </c>
      <c r="E161" t="str">
        <f>+IFERROR(VLOOKUP(Fact_Contabilidad[[#This Row], [Concepto Anterior]],Conceptos_Contabilidad[#All],5,0),"")</f>
        <v>Numero de razones sociales atendidas indirectas (matricial)</v>
      </c>
      <c r="F161" t="str">
        <f ca="1">+IFERROR(VLOOKUP(Fact_Contabilidad[[#This Row], [Concepto Anterior]],Conceptos_Contabilidad[#All],7,0),"")</f>
        <v/>
      </c>
      <c r="G161" t="s">
        <v>172</v>
      </c>
      <c r="H161" t="s">
        <v>172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93">
        <v>12</v>
      </c>
    </row>
    <row r="162" spans="1:11" ht="18.75" customHeight="1" x14ac:dyDescent="0.35">
      <c r="A162" s="93">
        <v>2025</v>
      </c>
      <c r="B162" t="s">
        <v>174</v>
      </c>
      <c r="C162" s="100">
        <f>IF(OR(Fact_Contabilidad[[#This Row], [Año]]="",Fact_Contabilidad[[#This Row], [Mes]]=""),"",DATE(A162,MATCH(B162,{"enero","febrero","marzo","abril","mayo","junio","julio","agosto","septiembre","octubre","noviembre","diciembre"},0)+1,0))</f>
        <v>45716</v>
      </c>
      <c r="D162" t="s">
        <v>78</v>
      </c>
      <c r="E162" t="str">
        <f>+IFERROR(VLOOKUP(Fact_Contabilidad[[#This Row], [Concepto Anterior]],Conceptos_Contabilidad[#All],5,0),"")</f>
        <v>Gestión Gastos No deducibles + recuperación de embargos</v>
      </c>
      <c r="F162" t="str">
        <f ca="1">+IFERROR(VLOOKUP(Fact_Contabilidad[[#This Row], [Concepto Anterior]],Conceptos_Contabilidad[#All],7,0),"")</f>
        <v/>
      </c>
      <c r="G162" t="s">
        <v>172</v>
      </c>
      <c r="H162" t="s">
        <v>172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174</v>
      </c>
      <c r="C163" s="100">
        <f>IF(OR(Fact_Contabilidad[[#This Row], [Año]]="",Fact_Contabilidad[[#This Row], [Mes]]=""),"",DATE(A163,MATCH(B163,{"enero","febrero","marzo","abril","mayo","junio","julio","agosto","septiembre","octubre","noviembre","diciembre"},0)+1,0))</f>
        <v>45716</v>
      </c>
      <c r="D163" t="s">
        <v>192</v>
      </c>
      <c r="E163" t="str">
        <f>+IFERROR(VLOOKUP(Fact_Contabilidad[[#This Row], [Concepto Anterior]],Conceptos_Contabilidad[#All],5,0),"")</f>
        <v>Activos fijos creados Comodín</v>
      </c>
      <c r="F163" t="str">
        <f ca="1">+IFERROR(VLOOKUP(Fact_Contabilidad[[#This Row], [Concepto Anterior]],Conceptos_Contabilidad[#All],7,0),"")</f>
        <v/>
      </c>
      <c r="G163" t="s">
        <v>172</v>
      </c>
      <c r="H163" t="s">
        <v>172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93">
        <v>50</v>
      </c>
    </row>
    <row r="164" spans="1:11" ht="18.75" customHeight="1" x14ac:dyDescent="0.35">
      <c r="A164" s="93">
        <v>2025</v>
      </c>
      <c r="B164" t="s">
        <v>174</v>
      </c>
      <c r="C164" s="100">
        <f>IF(OR(Fact_Contabilidad[[#This Row], [Año]]="",Fact_Contabilidad[[#This Row], [Mes]]=""),"",DATE(A164,MATCH(B164,{"enero","febrero","marzo","abril","mayo","junio","julio","agosto","septiembre","octubre","noviembre","diciembre"},0)+1,0))</f>
        <v>45716</v>
      </c>
      <c r="D164" t="s">
        <v>193</v>
      </c>
      <c r="E164" t="str">
        <f>+IFERROR(VLOOKUP(Fact_Contabilidad[[#This Row], [Concepto Anterior]],Conceptos_Contabilidad[#All],5,0),"")</f>
        <v>Activos fijos creados Dogama</v>
      </c>
      <c r="F164" t="str">
        <f ca="1">+IFERROR(VLOOKUP(Fact_Contabilidad[[#This Row], [Concepto Anterior]],Conceptos_Contabilidad[#All],7,0),"")</f>
        <v/>
      </c>
      <c r="G164" t="s">
        <v>172</v>
      </c>
      <c r="H164" t="s">
        <v>172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93">
        <v>1</v>
      </c>
    </row>
    <row r="165" spans="1:11" ht="18.75" customHeight="1" x14ac:dyDescent="0.35">
      <c r="A165" s="93">
        <v>2025</v>
      </c>
      <c r="B165" t="s">
        <v>174</v>
      </c>
      <c r="C165" s="100">
        <f>IF(OR(Fact_Contabilidad[[#This Row], [Año]]="",Fact_Contabilidad[[#This Row], [Mes]]=""),"",DATE(A165,MATCH(B165,{"enero","febrero","marzo","abril","mayo","junio","julio","agosto","septiembre","octubre","noviembre","diciembre"},0)+1,0))</f>
        <v>45716</v>
      </c>
      <c r="D165" t="s">
        <v>194</v>
      </c>
      <c r="E165" t="str">
        <f>+IFERROR(VLOOKUP(Fact_Contabilidad[[#This Row], [Concepto Anterior]],Conceptos_Contabilidad[#All],5,0),"")</f>
        <v>Instructivos en proceso</v>
      </c>
      <c r="F165" t="str">
        <f ca="1">+IFERROR(VLOOKUP(Fact_Contabilidad[[#This Row], [Concepto Anterior]],Conceptos_Contabilidad[#All],7,0),"")</f>
        <v/>
      </c>
      <c r="G165" t="s">
        <v>172</v>
      </c>
      <c r="H165" t="s">
        <v>172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93">
        <v>0</v>
      </c>
    </row>
    <row r="166" spans="1:11" ht="18.75" customHeight="1" x14ac:dyDescent="0.35">
      <c r="A166" s="93">
        <v>2025</v>
      </c>
      <c r="B166" t="s">
        <v>174</v>
      </c>
      <c r="C166" s="100">
        <f>IF(OR(Fact_Contabilidad[[#This Row], [Año]]="",Fact_Contabilidad[[#This Row], [Mes]]=""),"",DATE(A166,MATCH(B166,{"enero","febrero","marzo","abril","mayo","junio","julio","agosto","septiembre","octubre","noviembre","diciembre"},0)+1,0))</f>
        <v>45716</v>
      </c>
      <c r="D166" t="s">
        <v>195</v>
      </c>
      <c r="E166" t="str">
        <f>+IFERROR(VLOOKUP(Fact_Contabilidad[[#This Row], [Concepto Anterior]],Conceptos_Contabilidad[#All],5,0),"")</f>
        <v>Instructivos en validación PMO</v>
      </c>
      <c r="F166" t="str">
        <f ca="1">+IFERROR(VLOOKUP(Fact_Contabilidad[[#This Row], [Concepto Anterior]],Conceptos_Contabilidad[#All],7,0),"")</f>
        <v/>
      </c>
      <c r="G166" t="s">
        <v>172</v>
      </c>
      <c r="H166" t="s">
        <v>172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93">
        <v>0</v>
      </c>
    </row>
    <row r="167" spans="1:11" ht="18.75" customHeight="1" x14ac:dyDescent="0.35">
      <c r="A167" s="102">
        <v>2025</v>
      </c>
      <c r="B167" t="s">
        <v>174</v>
      </c>
      <c r="C167" s="100">
        <f>IF(OR(Fact_Contabilidad[[#This Row], [Año]]="",Fact_Contabilidad[[#This Row], [Mes]]=""),"",DATE(A167,MATCH(B167,{"enero","febrero","marzo","abril","mayo","junio","julio","agosto","septiembre","octubre","noviembre","diciembre"},0)+1,0))</f>
        <v>45716</v>
      </c>
      <c r="D167" t="s">
        <v>196</v>
      </c>
      <c r="E167" t="str">
        <f>+IFERROR(VLOOKUP(Fact_Contabilidad[[#This Row], [Concepto Anterior]],Conceptos_Contabilidad[#All],5,0),"")</f>
        <v>Instructivos aprobados</v>
      </c>
      <c r="F167" t="str">
        <f ca="1">+IFERROR(VLOOKUP(Fact_Contabilidad[[#This Row], [Concepto Anterior]],Conceptos_Contabilidad[#All],7,0),"")</f>
        <v/>
      </c>
      <c r="G167" t="s">
        <v>172</v>
      </c>
      <c r="H167" t="s">
        <v>172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93">
        <v>0</v>
      </c>
    </row>
    <row r="168" spans="1:11" ht="18.75" customHeight="1" x14ac:dyDescent="0.35">
      <c r="A168" s="93">
        <v>2025</v>
      </c>
      <c r="B168" t="s">
        <v>174</v>
      </c>
      <c r="C168" s="100">
        <f>IF(OR(Fact_Contabilidad[[#This Row], [Año]]="",Fact_Contabilidad[[#This Row], [Mes]]=""),"",DATE(A168,MATCH(B168,{"enero","febrero","marzo","abril","mayo","junio","julio","agosto","septiembre","octubre","noviembre","diciembre"},0)+1,0))</f>
        <v>45716</v>
      </c>
      <c r="D168" t="s">
        <v>197</v>
      </c>
      <c r="E168" t="str">
        <f>+IFERROR(VLOOKUP(Fact_Contabilidad[[#This Row], [Concepto Anterior]],Conceptos_Contabilidad[#All],5,0),"")</f>
        <v>Políticas en proceso</v>
      </c>
      <c r="F168" t="str">
        <f ca="1">+IFERROR(VLOOKUP(Fact_Contabilidad[[#This Row], [Concepto Anterior]],Conceptos_Contabilidad[#All],7,0),"")</f>
        <v/>
      </c>
      <c r="G168" t="s">
        <v>172</v>
      </c>
      <c r="H168" t="s">
        <v>172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174</v>
      </c>
      <c r="C169" s="100">
        <f>IF(OR(Fact_Contabilidad[[#This Row], [Año]]="",Fact_Contabilidad[[#This Row], [Mes]]=""),"",DATE(A169,MATCH(B169,{"enero","febrero","marzo","abril","mayo","junio","julio","agosto","septiembre","octubre","noviembre","diciembre"},0)+1,0))</f>
        <v>45716</v>
      </c>
      <c r="D169" t="s">
        <v>198</v>
      </c>
      <c r="E169" t="str">
        <f>+IFERROR(VLOOKUP(Fact_Contabilidad[[#This Row], [Concepto Anterior]],Conceptos_Contabilidad[#All],5,0),"")</f>
        <v>Políticas aprobadas</v>
      </c>
      <c r="F169" t="str">
        <f ca="1">+IFERROR(VLOOKUP(Fact_Contabilidad[[#This Row], [Concepto Anterior]],Conceptos_Contabilidad[#All],7,0),"")</f>
        <v/>
      </c>
      <c r="G169" t="s">
        <v>172</v>
      </c>
      <c r="H169" t="s">
        <v>172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93">
        <v>0</v>
      </c>
    </row>
    <row r="170" spans="1:11" ht="18.75" customHeight="1" x14ac:dyDescent="0.35">
      <c r="A170" s="93">
        <v>2025</v>
      </c>
      <c r="B170" t="s">
        <v>174</v>
      </c>
      <c r="C170" s="100">
        <f>IF(OR(Fact_Contabilidad[[#This Row], [Año]]="",Fact_Contabilidad[[#This Row], [Mes]]=""),"",DATE(A170,MATCH(B170,{"enero","febrero","marzo","abril","mayo","junio","julio","agosto","septiembre","octubre","noviembre","diciembre"},0)+1,0))</f>
        <v>45716</v>
      </c>
      <c r="D170" t="s">
        <v>199</v>
      </c>
      <c r="E170" t="str">
        <f>+IFERROR(VLOOKUP(Fact_Contabilidad[[#This Row], [Concepto Anterior]],Conceptos_Contabilidad[#All],5,0),"")</f>
        <v>Facturas contabilizadas Triplematch</v>
      </c>
      <c r="F170" t="str">
        <f ca="1">+IFERROR(VLOOKUP(Fact_Contabilidad[[#This Row], [Concepto Anterior]],Conceptos_Contabilidad[#All],7,0),"")</f>
        <v/>
      </c>
      <c r="G170" t="s">
        <v>172</v>
      </c>
      <c r="H170" t="s">
        <v>172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93">
        <v>0</v>
      </c>
    </row>
    <row r="171" spans="1:11" ht="18.75" customHeight="1" x14ac:dyDescent="0.35">
      <c r="A171" s="93">
        <v>2025</v>
      </c>
      <c r="B171" t="s">
        <v>174</v>
      </c>
      <c r="C171" s="100">
        <f>IF(OR(Fact_Contabilidad[[#This Row], [Año]]="",Fact_Contabilidad[[#This Row], [Mes]]=""),"",DATE(A171,MATCH(B171,{"enero","febrero","marzo","abril","mayo","junio","julio","agosto","septiembre","octubre","noviembre","diciembre"},0)+1,0))</f>
        <v>45716</v>
      </c>
      <c r="D171" t="s">
        <v>200</v>
      </c>
      <c r="E171" t="str">
        <f>+IFERROR(VLOOKUP(Fact_Contabilidad[[#This Row], [Concepto Anterior]],Conceptos_Contabilidad[#All],5,0),"")</f>
        <v>Facturas contabilizadas Script</v>
      </c>
      <c r="F171" t="str">
        <f ca="1">+IFERROR(VLOOKUP(Fact_Contabilidad[[#This Row], [Concepto Anterior]],Conceptos_Contabilidad[#All],7,0),"")</f>
        <v/>
      </c>
      <c r="G171" t="s">
        <v>172</v>
      </c>
      <c r="H171" t="s">
        <v>172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175</v>
      </c>
      <c r="C172" s="100">
        <f>IF(OR(Fact_Contabilidad[[#This Row], [Año]]="",Fact_Contabilidad[[#This Row], [Mes]]=""),"",DATE(A172,MATCH(B172,{"enero","febrero","marzo","abril","mayo","junio","julio","agosto","septiembre","octubre","noviembre","diciembre"},0)+1,0))</f>
        <v>45747</v>
      </c>
      <c r="D172" t="s">
        <v>79</v>
      </c>
      <c r="E172" t="str">
        <f>+IFERROR(VLOOKUP(Fact_Contabilidad[[#This Row], [Concepto Anterior]],Conceptos_Contabilidad[#All],5,0),"")</f>
        <v>Cuentas Contables Conciliadas</v>
      </c>
      <c r="F172" t="str">
        <f ca="1">+IFERROR(VLOOKUP(Fact_Contabilidad[[#This Row], [Concepto Anterior]],Conceptos_Contabilidad[#All],7,0),"")</f>
        <v/>
      </c>
      <c r="G172" t="s">
        <v>172</v>
      </c>
      <c r="H172" t="s">
        <v>172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93">
        <v>1295</v>
      </c>
    </row>
    <row r="173" spans="1:11" ht="18.75" customHeight="1" x14ac:dyDescent="0.35">
      <c r="A173" s="93">
        <v>2025</v>
      </c>
      <c r="B173" t="s">
        <v>175</v>
      </c>
      <c r="C173" s="100">
        <f>IF(OR(Fact_Contabilidad[[#This Row], [Año]]="",Fact_Contabilidad[[#This Row], [Mes]]=""),"",DATE(A173,MATCH(B173,{"enero","febrero","marzo","abril","mayo","junio","julio","agosto","septiembre","octubre","noviembre","diciembre"},0)+1,0))</f>
        <v>45747</v>
      </c>
      <c r="D173" t="s">
        <v>70</v>
      </c>
      <c r="E173" t="str">
        <f>+IFERROR(VLOOKUP(Fact_Contabilidad[[#This Row], [Concepto Anterior]],Conceptos_Contabilidad[#All],5,0),"")</f>
        <v>Facturas Contabilizada</v>
      </c>
      <c r="F173" t="str">
        <f ca="1">+IFERROR(VLOOKUP(Fact_Contabilidad[[#This Row], [Concepto Anterior]],Conceptos_Contabilidad[#All],7,0),"")</f>
        <v/>
      </c>
      <c r="G173" t="s">
        <v>172</v>
      </c>
      <c r="H173" t="s">
        <v>172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93">
        <v>8043</v>
      </c>
    </row>
    <row r="174" spans="1:11" ht="18.75" customHeight="1" x14ac:dyDescent="0.35">
      <c r="A174" s="93">
        <v>2025</v>
      </c>
      <c r="B174" t="s">
        <v>175</v>
      </c>
      <c r="C174" s="100">
        <f>IF(OR(Fact_Contabilidad[[#This Row], [Año]]="",Fact_Contabilidad[[#This Row], [Mes]]=""),"",DATE(A174,MATCH(B174,{"enero","febrero","marzo","abril","mayo","junio","julio","agosto","septiembre","octubre","noviembre","diciembre"},0)+1,0))</f>
        <v>45747</v>
      </c>
      <c r="D174" t="s">
        <v>71</v>
      </c>
      <c r="E174" t="str">
        <f>+IFERROR(VLOOKUP(Fact_Contabilidad[[#This Row], [Concepto Anterior]],Conceptos_Contabilidad[#All],5,0),"")</f>
        <v>Facturas Contabilizada</v>
      </c>
      <c r="F174" t="str">
        <f ca="1">+IFERROR(VLOOKUP(Fact_Contabilidad[[#This Row], [Concepto Anterior]],Conceptos_Contabilidad[#All],7,0),"")</f>
        <v/>
      </c>
      <c r="G174" t="s">
        <v>172</v>
      </c>
      <c r="H174" t="s">
        <v>172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93">
        <v>1662</v>
      </c>
    </row>
    <row r="175" spans="1:11" ht="18.75" customHeight="1" x14ac:dyDescent="0.35">
      <c r="A175" s="93">
        <v>2025</v>
      </c>
      <c r="B175" t="s">
        <v>175</v>
      </c>
      <c r="C175" s="100">
        <f>IF(OR(Fact_Contabilidad[[#This Row], [Año]]="",Fact_Contabilidad[[#This Row], [Mes]]=""),"",DATE(A175,MATCH(B175,{"enero","febrero","marzo","abril","mayo","junio","julio","agosto","septiembre","octubre","noviembre","diciembre"},0)+1,0))</f>
        <v>45747</v>
      </c>
      <c r="D175" t="s">
        <v>130</v>
      </c>
      <c r="E175" t="str">
        <f>+IFERROR(VLOOKUP(Fact_Contabilidad[[#This Row], [Concepto Anterior]],Conceptos_Contabilidad[#All],5,0),"")</f>
        <v>Facturas Contabilizada</v>
      </c>
      <c r="F175" t="str">
        <f ca="1">+IFERROR(VLOOKUP(Fact_Contabilidad[[#This Row], [Concepto Anterior]],Conceptos_Contabilidad[#All],7,0),"")</f>
        <v/>
      </c>
      <c r="G175" t="s">
        <v>172</v>
      </c>
      <c r="H175" t="s">
        <v>172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93">
        <v>127</v>
      </c>
    </row>
    <row r="176" spans="1:11" ht="18.75" customHeight="1" x14ac:dyDescent="0.35">
      <c r="A176" s="93">
        <v>2025</v>
      </c>
      <c r="B176" t="s">
        <v>175</v>
      </c>
      <c r="C176" s="100">
        <f>IF(OR(Fact_Contabilidad[[#This Row], [Año]]="",Fact_Contabilidad[[#This Row], [Mes]]=""),"",DATE(A176,MATCH(B176,{"enero","febrero","marzo","abril","mayo","junio","julio","agosto","septiembre","octubre","noviembre","diciembre"},0)+1,0))</f>
        <v>45747</v>
      </c>
      <c r="D176" t="s">
        <v>134</v>
      </c>
      <c r="E176" t="str">
        <f>+IFERROR(VLOOKUP(Fact_Contabilidad[[#This Row], [Concepto Anterior]],Conceptos_Contabilidad[#All],5,0),"")</f>
        <v>Facturas Contabilizada</v>
      </c>
      <c r="F176" t="str">
        <f ca="1">+IFERROR(VLOOKUP(Fact_Contabilidad[[#This Row], [Concepto Anterior]],Conceptos_Contabilidad[#All],7,0),"")</f>
        <v/>
      </c>
      <c r="G176" t="s">
        <v>172</v>
      </c>
      <c r="H176" t="s">
        <v>172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93">
        <v>48</v>
      </c>
    </row>
    <row r="177" spans="1:11" ht="18.75" customHeight="1" x14ac:dyDescent="0.35">
      <c r="A177" s="93">
        <v>2025</v>
      </c>
      <c r="B177" t="s">
        <v>175</v>
      </c>
      <c r="C177" s="100">
        <f>IF(OR(Fact_Contabilidad[[#This Row], [Año]]="",Fact_Contabilidad[[#This Row], [Mes]]=""),"",DATE(A177,MATCH(B177,{"enero","febrero","marzo","abril","mayo","junio","julio","agosto","septiembre","octubre","noviembre","diciembre"},0)+1,0))</f>
        <v>45747</v>
      </c>
      <c r="D177" t="s">
        <v>131</v>
      </c>
      <c r="E177" t="str">
        <f>+IFERROR(VLOOKUP(Fact_Contabilidad[[#This Row], [Concepto Anterior]],Conceptos_Contabilidad[#All],5,0),"")</f>
        <v>Facturas Contabilizada</v>
      </c>
      <c r="F177" t="str">
        <f ca="1">+IFERROR(VLOOKUP(Fact_Contabilidad[[#This Row], [Concepto Anterior]],Conceptos_Contabilidad[#All],7,0),"")</f>
        <v/>
      </c>
      <c r="G177" t="s">
        <v>172</v>
      </c>
      <c r="H177" t="s">
        <v>172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93">
        <v>87</v>
      </c>
    </row>
    <row r="178" spans="1:11" ht="18.75" customHeight="1" x14ac:dyDescent="0.35">
      <c r="A178" s="93">
        <v>2025</v>
      </c>
      <c r="B178" t="s">
        <v>175</v>
      </c>
      <c r="C178" s="100">
        <f>IF(OR(Fact_Contabilidad[[#This Row], [Año]]="",Fact_Contabilidad[[#This Row], [Mes]]=""),"",DATE(A178,MATCH(B178,{"enero","febrero","marzo","abril","mayo","junio","julio","agosto","septiembre","octubre","noviembre","diciembre"},0)+1,0))</f>
        <v>45747</v>
      </c>
      <c r="D178" t="s">
        <v>133</v>
      </c>
      <c r="E178" t="str">
        <f>+IFERROR(VLOOKUP(Fact_Contabilidad[[#This Row], [Concepto Anterior]],Conceptos_Contabilidad[#All],5,0),"")</f>
        <v>Facturas Contabilizada</v>
      </c>
      <c r="F178" t="str">
        <f ca="1">+IFERROR(VLOOKUP(Fact_Contabilidad[[#This Row], [Concepto Anterior]],Conceptos_Contabilidad[#All],7,0),"")</f>
        <v/>
      </c>
      <c r="G178" t="s">
        <v>172</v>
      </c>
      <c r="H178" t="s">
        <v>172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93">
        <v>3</v>
      </c>
    </row>
    <row r="179" spans="1:11" ht="18.75" customHeight="1" x14ac:dyDescent="0.35">
      <c r="A179" s="93">
        <v>2025</v>
      </c>
      <c r="B179" t="s">
        <v>175</v>
      </c>
      <c r="C179" s="100">
        <f>IF(OR(Fact_Contabilidad[[#This Row], [Año]]="",Fact_Contabilidad[[#This Row], [Mes]]=""),"",DATE(A179,MATCH(B179,{"enero","febrero","marzo","abril","mayo","junio","julio","agosto","septiembre","octubre","noviembre","diciembre"},0)+1,0))</f>
        <v>45747</v>
      </c>
      <c r="D179" t="s">
        <v>132</v>
      </c>
      <c r="E179" t="str">
        <f>+IFERROR(VLOOKUP(Fact_Contabilidad[[#This Row], [Concepto Anterior]],Conceptos_Contabilidad[#All],5,0),"")</f>
        <v>Facturas Contabilizada</v>
      </c>
      <c r="F179" t="str">
        <f ca="1">+IFERROR(VLOOKUP(Fact_Contabilidad[[#This Row], [Concepto Anterior]],Conceptos_Contabilidad[#All],7,0),"")</f>
        <v/>
      </c>
      <c r="G179" t="s">
        <v>172</v>
      </c>
      <c r="H179" t="s">
        <v>172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93">
        <v>10</v>
      </c>
    </row>
    <row r="180" spans="1:11" ht="18.75" customHeight="1" x14ac:dyDescent="0.35">
      <c r="A180" s="93">
        <v>2025</v>
      </c>
      <c r="B180" t="s">
        <v>175</v>
      </c>
      <c r="C180" s="100">
        <f>IF(OR(Fact_Contabilidad[[#This Row], [Año]]="",Fact_Contabilidad[[#This Row], [Mes]]=""),"",DATE(A180,MATCH(B180,{"enero","febrero","marzo","abril","mayo","junio","julio","agosto","septiembre","octubre","noviembre","diciembre"},0)+1,0))</f>
        <v>45747</v>
      </c>
      <c r="D180" t="s">
        <v>147</v>
      </c>
      <c r="E180" t="str">
        <f>+IFERROR(VLOOKUP(Fact_Contabilidad[[#This Row], [Concepto Anterior]],Conceptos_Contabilidad[#All],5,0),"")</f>
        <v>Gestión Gastos No deducibles + recuperación de embargos</v>
      </c>
      <c r="F180" t="str">
        <f ca="1">+IFERROR(VLOOKUP(Fact_Contabilidad[[#This Row], [Concepto Anterior]],Conceptos_Contabilidad[#All],7,0),"")</f>
        <v/>
      </c>
      <c r="G180" t="s">
        <v>172</v>
      </c>
      <c r="H180" t="s">
        <v>172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93">
        <v>0</v>
      </c>
    </row>
    <row r="181" spans="1:11" ht="18.75" customHeight="1" x14ac:dyDescent="0.35">
      <c r="A181" s="93">
        <v>2025</v>
      </c>
      <c r="B181" t="s">
        <v>175</v>
      </c>
      <c r="C181" s="100">
        <f>IF(OR(Fact_Contabilidad[[#This Row], [Año]]="",Fact_Contabilidad[[#This Row], [Mes]]=""),"",DATE(A181,MATCH(B181,{"enero","febrero","marzo","abril","mayo","junio","julio","agosto","septiembre","octubre","noviembre","diciembre"},0)+1,0))</f>
        <v>45747</v>
      </c>
      <c r="D181" t="s">
        <v>146</v>
      </c>
      <c r="E181" t="str">
        <f>+IFERROR(VLOOKUP(Fact_Contabilidad[[#This Row], [Concepto Anterior]],Conceptos_Contabilidad[#All],5,0),"")</f>
        <v>Gestión Gastos No deducibles + recuperación de embargos</v>
      </c>
      <c r="F181" t="str">
        <f ca="1">+IFERROR(VLOOKUP(Fact_Contabilidad[[#This Row], [Concepto Anterior]],Conceptos_Contabilidad[#All],7,0),"")</f>
        <v/>
      </c>
      <c r="G181" t="s">
        <v>172</v>
      </c>
      <c r="H181" t="s">
        <v>172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93">
        <v>29126200</v>
      </c>
    </row>
    <row r="182" spans="1:11" ht="18.75" customHeight="1" x14ac:dyDescent="0.35">
      <c r="A182" s="93">
        <v>2025</v>
      </c>
      <c r="B182" t="s">
        <v>175</v>
      </c>
      <c r="C182" s="100">
        <f>IF(OR(Fact_Contabilidad[[#This Row], [Año]]="",Fact_Contabilidad[[#This Row], [Mes]]=""),"",DATE(A182,MATCH(B182,{"enero","febrero","marzo","abril","mayo","junio","julio","agosto","septiembre","octubre","noviembre","diciembre"},0)+1,0))</f>
        <v>45747</v>
      </c>
      <c r="D182" t="s">
        <v>136</v>
      </c>
      <c r="E182" t="str">
        <f>+IFERROR(VLOOKUP(Fact_Contabilidad[[#This Row], [Concepto Anterior]],Conceptos_Contabilidad[#All],5,0),"")</f>
        <v>el 95 % del cumplimiento (sale del promedio de la fila)</v>
      </c>
      <c r="F182" t="str">
        <f ca="1">+IFERROR(VLOOKUP(Fact_Contabilidad[[#This Row], [Concepto Anterior]],Conceptos_Contabilidad[#All],7,0),"")</f>
        <v/>
      </c>
      <c r="G182" t="s">
        <v>172</v>
      </c>
      <c r="H182" t="s">
        <v>172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92">
        <v>0.72</v>
      </c>
    </row>
    <row r="183" spans="1:11" ht="18.75" customHeight="1" x14ac:dyDescent="0.35">
      <c r="A183" s="102">
        <v>2025</v>
      </c>
      <c r="B183" t="s">
        <v>175</v>
      </c>
      <c r="C183" s="100">
        <f>IF(OR(Fact_Contabilidad[[#This Row], [Año]]="",Fact_Contabilidad[[#This Row], [Mes]]=""),"",DATE(A183,MATCH(B183,{"enero","febrero","marzo","abril","mayo","junio","julio","agosto","septiembre","octubre","noviembre","diciembre"},0)+1,0))</f>
        <v>45747</v>
      </c>
      <c r="D183" t="s">
        <v>135</v>
      </c>
      <c r="E183" t="str">
        <f>+IFERROR(VLOOKUP(Fact_Contabilidad[[#This Row], [Concepto Anterior]],Conceptos_Contabilidad[#All],5,0),"")</f>
        <v>Gestión Gastos No deducibles + recuperación de embargos</v>
      </c>
      <c r="F183" t="str">
        <f ca="1">+IFERROR(VLOOKUP(Fact_Contabilidad[[#This Row], [Concepto Anterior]],Conceptos_Contabilidad[#All],7,0),"")</f>
        <v/>
      </c>
      <c r="G183" t="s">
        <v>172</v>
      </c>
      <c r="H183" t="s">
        <v>172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93">
        <v>16800</v>
      </c>
    </row>
    <row r="184" spans="1:11" ht="18.75" customHeight="1" x14ac:dyDescent="0.35">
      <c r="A184" s="93">
        <v>2025</v>
      </c>
      <c r="B184" t="s">
        <v>175</v>
      </c>
      <c r="C184" s="100">
        <f>IF(OR(Fact_Contabilidad[[#This Row], [Año]]="",Fact_Contabilidad[[#This Row], [Mes]]=""),"",DATE(A184,MATCH(B184,{"enero","febrero","marzo","abril","mayo","junio","julio","agosto","septiembre","octubre","noviembre","diciembre"},0)+1,0))</f>
        <v>45747</v>
      </c>
      <c r="D184" t="s">
        <v>76</v>
      </c>
      <c r="E184" t="str">
        <f>+IFERROR(VLOOKUP(Fact_Contabilidad[[#This Row], [Concepto Anterior]],Conceptos_Contabilidad[#All],5,0),"")</f>
        <v>Informes Contables</v>
      </c>
      <c r="F184" t="str">
        <f ca="1">+IFERROR(VLOOKUP(Fact_Contabilidad[[#This Row], [Concepto Anterior]],Conceptos_Contabilidad[#All],7,0),"")</f>
        <v/>
      </c>
      <c r="G184" t="s">
        <v>172</v>
      </c>
      <c r="H184" t="s">
        <v>172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93">
        <v>7</v>
      </c>
    </row>
    <row r="185" spans="1:11" ht="18.75" customHeight="1" x14ac:dyDescent="0.35">
      <c r="A185" s="93">
        <v>2025</v>
      </c>
      <c r="B185" t="s">
        <v>175</v>
      </c>
      <c r="C185" s="100">
        <f>IF(OR(Fact_Contabilidad[[#This Row], [Año]]="",Fact_Contabilidad[[#This Row], [Mes]]=""),"",DATE(A185,MATCH(B185,{"enero","febrero","marzo","abril","mayo","junio","julio","agosto","septiembre","octubre","noviembre","diciembre"},0)+1,0))</f>
        <v>45747</v>
      </c>
      <c r="D185" t="s">
        <v>102</v>
      </c>
      <c r="E185" t="str">
        <f>+IFERROR(VLOOKUP(Fact_Contabilidad[[#This Row], [Concepto Anterior]],Conceptos_Contabilidad[#All],5,0),"")</f>
        <v>Numero de razones sociales atendidas directas</v>
      </c>
      <c r="F185" t="str">
        <f ca="1">+IFERROR(VLOOKUP(Fact_Contabilidad[[#This Row], [Concepto Anterior]],Conceptos_Contabilidad[#All],7,0),"")</f>
        <v/>
      </c>
      <c r="G185" t="s">
        <v>172</v>
      </c>
      <c r="H185" t="s">
        <v>172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93">
        <v>16</v>
      </c>
    </row>
    <row r="186" spans="1:11" ht="18.75" customHeight="1" x14ac:dyDescent="0.35">
      <c r="A186" s="93">
        <v>2025</v>
      </c>
      <c r="B186" t="s">
        <v>175</v>
      </c>
      <c r="C186" s="100">
        <f>IF(OR(Fact_Contabilidad[[#This Row], [Año]]="",Fact_Contabilidad[[#This Row], [Mes]]=""),"",DATE(A186,MATCH(B186,{"enero","febrero","marzo","abril","mayo","junio","julio","agosto","septiembre","octubre","noviembre","diciembre"},0)+1,0))</f>
        <v>45747</v>
      </c>
      <c r="D186" t="s">
        <v>137</v>
      </c>
      <c r="E186" t="str">
        <f>+IFERROR(VLOOKUP(Fact_Contabilidad[[#This Row], [Concepto Anterior]],Conceptos_Contabilidad[#All],5,0),"")</f>
        <v>Numero de razones sociales atendidas indirectas (matricial)</v>
      </c>
      <c r="F186" t="str">
        <f ca="1">+IFERROR(VLOOKUP(Fact_Contabilidad[[#This Row], [Concepto Anterior]],Conceptos_Contabilidad[#All],7,0),"")</f>
        <v/>
      </c>
      <c r="G186" t="s">
        <v>172</v>
      </c>
      <c r="H186" t="s">
        <v>172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93">
        <v>12</v>
      </c>
    </row>
    <row r="187" spans="1:11" ht="18.75" customHeight="1" x14ac:dyDescent="0.35">
      <c r="A187" s="93">
        <v>2025</v>
      </c>
      <c r="B187" t="s">
        <v>175</v>
      </c>
      <c r="C187" s="100">
        <f>IF(OR(Fact_Contabilidad[[#This Row], [Año]]="",Fact_Contabilidad[[#This Row], [Mes]]=""),"",DATE(A187,MATCH(B187,{"enero","febrero","marzo","abril","mayo","junio","julio","agosto","septiembre","octubre","noviembre","diciembre"},0)+1,0))</f>
        <v>45747</v>
      </c>
      <c r="D187" t="s">
        <v>78</v>
      </c>
      <c r="E187" t="str">
        <f>+IFERROR(VLOOKUP(Fact_Contabilidad[[#This Row], [Concepto Anterior]],Conceptos_Contabilidad[#All],5,0),"")</f>
        <v>Gestión Gastos No deducibles + recuperación de embargos</v>
      </c>
      <c r="F187" t="str">
        <f ca="1">+IFERROR(VLOOKUP(Fact_Contabilidad[[#This Row], [Concepto Anterior]],Conceptos_Contabilidad[#All],7,0),"")</f>
        <v/>
      </c>
      <c r="G187" t="s">
        <v>172</v>
      </c>
      <c r="H187" t="s">
        <v>172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93">
        <v>360000000</v>
      </c>
    </row>
    <row r="188" spans="1:11" ht="18.75" customHeight="1" x14ac:dyDescent="0.35">
      <c r="A188" s="93">
        <v>2025</v>
      </c>
      <c r="B188" t="s">
        <v>8</v>
      </c>
      <c r="C188" s="100">
        <f>IF(OR(Fact_Contabilidad[[#This Row], [Año]]="",Fact_Contabilidad[[#This Row], [Mes]]=""),"",DATE(A188,MATCH(B188,{"enero","febrero","marzo","abril","mayo","junio","julio","agosto","septiembre","octubre","noviembre","diciembre"},0)+1,0))</f>
        <v>45747</v>
      </c>
      <c r="D188" t="s">
        <v>192</v>
      </c>
      <c r="E188" t="str">
        <f>+IFERROR(VLOOKUP(Fact_Contabilidad[[#This Row], [Concepto Anterior]],Conceptos_Contabilidad[#All],5,0),"")</f>
        <v>Activos fijos creados Comodín</v>
      </c>
      <c r="F188" t="str">
        <f ca="1">+IFERROR(VLOOKUP(Fact_Contabilidad[[#This Row], [Concepto Anterior]],Conceptos_Contabilidad[#All],7,0),"")</f>
        <v/>
      </c>
      <c r="G188" t="s">
        <v>172</v>
      </c>
      <c r="H188" t="s">
        <v>172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93">
        <v>101</v>
      </c>
    </row>
    <row r="189" spans="1:11" ht="18.75" customHeight="1" x14ac:dyDescent="0.35">
      <c r="A189" s="93">
        <v>2025</v>
      </c>
      <c r="B189" t="s">
        <v>8</v>
      </c>
      <c r="C189" s="100">
        <f>IF(OR(Fact_Contabilidad[[#This Row], [Año]]="",Fact_Contabilidad[[#This Row], [Mes]]=""),"",DATE(A189,MATCH(B189,{"enero","febrero","marzo","abril","mayo","junio","julio","agosto","septiembre","octubre","noviembre","diciembre"},0)+1,0))</f>
        <v>45747</v>
      </c>
      <c r="D189" t="s">
        <v>193</v>
      </c>
      <c r="E189" t="str">
        <f>+IFERROR(VLOOKUP(Fact_Contabilidad[[#This Row], [Concepto Anterior]],Conceptos_Contabilidad[#All],5,0),"")</f>
        <v>Activos fijos creados Dogama</v>
      </c>
      <c r="F189" t="str">
        <f ca="1">+IFERROR(VLOOKUP(Fact_Contabilidad[[#This Row], [Concepto Anterior]],Conceptos_Contabilidad[#All],7,0),"")</f>
        <v/>
      </c>
      <c r="G189" t="s">
        <v>172</v>
      </c>
      <c r="H189" t="s">
        <v>172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93">
        <v>1</v>
      </c>
    </row>
    <row r="190" spans="1:11" ht="18.75" customHeight="1" x14ac:dyDescent="0.35">
      <c r="A190" s="93">
        <v>2025</v>
      </c>
      <c r="B190" t="s">
        <v>8</v>
      </c>
      <c r="C190" s="100">
        <f>IF(OR(Fact_Contabilidad[[#This Row], [Año]]="",Fact_Contabilidad[[#This Row], [Mes]]=""),"",DATE(A190,MATCH(B190,{"enero","febrero","marzo","abril","mayo","junio","julio","agosto","septiembre","octubre","noviembre","diciembre"},0)+1,0))</f>
        <v>45747</v>
      </c>
      <c r="D190" t="s">
        <v>194</v>
      </c>
      <c r="E190" t="str">
        <f>+IFERROR(VLOOKUP(Fact_Contabilidad[[#This Row], [Concepto Anterior]],Conceptos_Contabilidad[#All],5,0),"")</f>
        <v>Instructivos en proceso</v>
      </c>
      <c r="F190" t="str">
        <f ca="1">+IFERROR(VLOOKUP(Fact_Contabilidad[[#This Row], [Concepto Anterior]],Conceptos_Contabilidad[#All],7,0),"")</f>
        <v/>
      </c>
      <c r="G190" t="s">
        <v>172</v>
      </c>
      <c r="H190" t="s">
        <v>172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93">
        <v>0</v>
      </c>
    </row>
    <row r="191" spans="1:11" ht="18.75" customHeight="1" x14ac:dyDescent="0.35">
      <c r="A191" s="93">
        <v>2025</v>
      </c>
      <c r="B191" t="s">
        <v>8</v>
      </c>
      <c r="C191" s="100">
        <f>IF(OR(Fact_Contabilidad[[#This Row], [Año]]="",Fact_Contabilidad[[#This Row], [Mes]]=""),"",DATE(A191,MATCH(B191,{"enero","febrero","marzo","abril","mayo","junio","julio","agosto","septiembre","octubre","noviembre","diciembre"},0)+1,0))</f>
        <v>45747</v>
      </c>
      <c r="D191" t="s">
        <v>195</v>
      </c>
      <c r="E191" t="str">
        <f>+IFERROR(VLOOKUP(Fact_Contabilidad[[#This Row], [Concepto Anterior]],Conceptos_Contabilidad[#All],5,0),"")</f>
        <v>Instructivos en validación PMO</v>
      </c>
      <c r="F191" t="str">
        <f ca="1">+IFERROR(VLOOKUP(Fact_Contabilidad[[#This Row], [Concepto Anterior]],Conceptos_Contabilidad[#All],7,0),"")</f>
        <v/>
      </c>
      <c r="G191" t="s">
        <v>172</v>
      </c>
      <c r="H191" t="s">
        <v>172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93">
        <v>0</v>
      </c>
    </row>
    <row r="192" spans="1:11" ht="18.75" customHeight="1" x14ac:dyDescent="0.35">
      <c r="A192" s="93">
        <v>2025</v>
      </c>
      <c r="B192" t="s">
        <v>8</v>
      </c>
      <c r="C192" s="100">
        <f>IF(OR(Fact_Contabilidad[[#This Row], [Año]]="",Fact_Contabilidad[[#This Row], [Mes]]=""),"",DATE(A192,MATCH(B192,{"enero","febrero","marzo","abril","mayo","junio","julio","agosto","septiembre","octubre","noviembre","diciembre"},0)+1,0))</f>
        <v>45747</v>
      </c>
      <c r="D192" t="s">
        <v>196</v>
      </c>
      <c r="E192" t="str">
        <f>+IFERROR(VLOOKUP(Fact_Contabilidad[[#This Row], [Concepto Anterior]],Conceptos_Contabilidad[#All],5,0),"")</f>
        <v>Instructivos aprobados</v>
      </c>
      <c r="F192" t="str">
        <f ca="1">+IFERROR(VLOOKUP(Fact_Contabilidad[[#This Row], [Concepto Anterior]],Conceptos_Contabilidad[#All],7,0),"")</f>
        <v/>
      </c>
      <c r="G192" t="s">
        <v>172</v>
      </c>
      <c r="H192" t="s">
        <v>172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93">
        <v>0</v>
      </c>
    </row>
    <row r="193" spans="1:11" ht="18.75" customHeight="1" x14ac:dyDescent="0.35">
      <c r="A193" s="102">
        <v>2025</v>
      </c>
      <c r="B193" t="s">
        <v>8</v>
      </c>
      <c r="C193" s="100">
        <f>IF(OR(Fact_Contabilidad[[#This Row], [Año]]="",Fact_Contabilidad[[#This Row], [Mes]]=""),"",DATE(A193,MATCH(B193,{"enero","febrero","marzo","abril","mayo","junio","julio","agosto","septiembre","octubre","noviembre","diciembre"},0)+1,0))</f>
        <v>45747</v>
      </c>
      <c r="D193" t="s">
        <v>197</v>
      </c>
      <c r="E193" t="str">
        <f>+IFERROR(VLOOKUP(Fact_Contabilidad[[#This Row], [Concepto Anterior]],Conceptos_Contabilidad[#All],5,0),"")</f>
        <v>Políticas en proceso</v>
      </c>
      <c r="F193" t="str">
        <f ca="1">+IFERROR(VLOOKUP(Fact_Contabilidad[[#This Row], [Concepto Anterior]],Conceptos_Contabilidad[#All],7,0),"")</f>
        <v/>
      </c>
      <c r="G193" t="s">
        <v>172</v>
      </c>
      <c r="H193" t="s">
        <v>172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93">
        <v>1</v>
      </c>
    </row>
    <row r="194" spans="1:11" ht="18.75" customHeight="1" x14ac:dyDescent="0.35">
      <c r="A194" s="93">
        <v>2025</v>
      </c>
      <c r="B194" t="s">
        <v>8</v>
      </c>
      <c r="C194" s="100">
        <f>IF(OR(Fact_Contabilidad[[#This Row], [Año]]="",Fact_Contabilidad[[#This Row], [Mes]]=""),"",DATE(A194,MATCH(B194,{"enero","febrero","marzo","abril","mayo","junio","julio","agosto","septiembre","octubre","noviembre","diciembre"},0)+1,0))</f>
        <v>45747</v>
      </c>
      <c r="D194" t="s">
        <v>198</v>
      </c>
      <c r="E194" t="str">
        <f>+IFERROR(VLOOKUP(Fact_Contabilidad[[#This Row], [Concepto Anterior]],Conceptos_Contabilidad[#All],5,0),"")</f>
        <v>Políticas aprobadas</v>
      </c>
      <c r="F194" t="str">
        <f ca="1">+IFERROR(VLOOKUP(Fact_Contabilidad[[#This Row], [Concepto Anterior]],Conceptos_Contabilidad[#All],7,0),"")</f>
        <v/>
      </c>
      <c r="G194" t="s">
        <v>172</v>
      </c>
      <c r="H194" t="s">
        <v>172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93">
        <v>0</v>
      </c>
    </row>
    <row r="195" spans="1:11" ht="18.75" customHeight="1" x14ac:dyDescent="0.35">
      <c r="A195" s="93">
        <v>2025</v>
      </c>
      <c r="B195" t="s">
        <v>175</v>
      </c>
      <c r="C195" s="100">
        <f>IF(OR(Fact_Contabilidad[[#This Row], [Año]]="",Fact_Contabilidad[[#This Row], [Mes]]=""),"",DATE(A195,MATCH(B195,{"enero","febrero","marzo","abril","mayo","junio","julio","agosto","septiembre","octubre","noviembre","diciembre"},0)+1,0))</f>
        <v>45747</v>
      </c>
      <c r="D195" t="s">
        <v>199</v>
      </c>
      <c r="E195" t="str">
        <f>+IFERROR(VLOOKUP(Fact_Contabilidad[[#This Row], [Concepto Anterior]],Conceptos_Contabilidad[#All],5,0),"")</f>
        <v>Facturas contabilizadas Triplematch</v>
      </c>
      <c r="F195" t="str">
        <f ca="1">+IFERROR(VLOOKUP(Fact_Contabilidad[[#This Row], [Concepto Anterior]],Conceptos_Contabilidad[#All],7,0),"")</f>
        <v/>
      </c>
      <c r="G195" t="s">
        <v>172</v>
      </c>
      <c r="H195" t="s">
        <v>172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175</v>
      </c>
      <c r="C196" s="100">
        <f>IF(OR(Fact_Contabilidad[[#This Row], [Año]]="",Fact_Contabilidad[[#This Row], [Mes]]=""),"",DATE(A196,MATCH(B196,{"enero","febrero","marzo","abril","mayo","junio","julio","agosto","septiembre","octubre","noviembre","diciembre"},0)+1,0))</f>
        <v>45747</v>
      </c>
      <c r="D196" t="s">
        <v>200</v>
      </c>
      <c r="E196" t="str">
        <f>+IFERROR(VLOOKUP(Fact_Contabilidad[[#This Row], [Concepto Anterior]],Conceptos_Contabilidad[#All],5,0),"")</f>
        <v>Facturas contabilizadas Script</v>
      </c>
      <c r="F196" t="str">
        <f ca="1">+IFERROR(VLOOKUP(Fact_Contabilidad[[#This Row], [Concepto Anterior]],Conceptos_Contabilidad[#All],7,0),"")</f>
        <v/>
      </c>
      <c r="G196" t="s">
        <v>172</v>
      </c>
      <c r="H196" t="s">
        <v>172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93">
        <v>0</v>
      </c>
    </row>
    <row r="197" spans="1:11" ht="18.75" customHeight="1" x14ac:dyDescent="0.35">
      <c r="A197" s="93">
        <v>2025</v>
      </c>
      <c r="B197" t="s">
        <v>176</v>
      </c>
      <c r="C197" s="100">
        <f>IF(OR(Fact_Contabilidad[[#This Row], [Año]]="",Fact_Contabilidad[[#This Row], [Mes]]=""),"",DATE(A197,MATCH(B197,{"enero","febrero","marzo","abril","mayo","junio","julio","agosto","septiembre","octubre","noviembre","diciembre"},0)+1,0))</f>
        <v>45777</v>
      </c>
      <c r="D197" t="s">
        <v>79</v>
      </c>
      <c r="E197" t="str">
        <f>+IFERROR(VLOOKUP(Fact_Contabilidad[[#This Row], [Concepto Anterior]],Conceptos_Contabilidad[#All],5,0),"")</f>
        <v>Cuentas Contables Conciliadas</v>
      </c>
      <c r="F197" t="str">
        <f ca="1">+IFERROR(VLOOKUP(Fact_Contabilidad[[#This Row], [Concepto Anterior]],Conceptos_Contabilidad[#All],7,0),"")</f>
        <v/>
      </c>
      <c r="G197" t="s">
        <v>172</v>
      </c>
      <c r="H197" t="s">
        <v>172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93">
        <v>1311</v>
      </c>
    </row>
    <row r="198" spans="1:11" ht="18.75" customHeight="1" x14ac:dyDescent="0.35">
      <c r="A198" s="93">
        <v>2025</v>
      </c>
      <c r="B198" t="s">
        <v>176</v>
      </c>
      <c r="C198" s="100">
        <f>IF(OR(Fact_Contabilidad[[#This Row], [Año]]="",Fact_Contabilidad[[#This Row], [Mes]]=""),"",DATE(A198,MATCH(B198,{"enero","febrero","marzo","abril","mayo","junio","julio","agosto","septiembre","octubre","noviembre","diciembre"},0)+1,0))</f>
        <v>45777</v>
      </c>
      <c r="D198" t="s">
        <v>70</v>
      </c>
      <c r="E198" t="str">
        <f>+IFERROR(VLOOKUP(Fact_Contabilidad[[#This Row], [Concepto Anterior]],Conceptos_Contabilidad[#All],5,0),"")</f>
        <v>Facturas Contabilizada</v>
      </c>
      <c r="F198" t="str">
        <f ca="1">+IFERROR(VLOOKUP(Fact_Contabilidad[[#This Row], [Concepto Anterior]],Conceptos_Contabilidad[#All],7,0),"")</f>
        <v/>
      </c>
      <c r="G198" t="s">
        <v>172</v>
      </c>
      <c r="H198" t="s">
        <v>172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93">
        <v>8269</v>
      </c>
    </row>
    <row r="199" spans="1:11" ht="18.75" customHeight="1" x14ac:dyDescent="0.35">
      <c r="A199" s="93">
        <v>2025</v>
      </c>
      <c r="B199" t="s">
        <v>176</v>
      </c>
      <c r="C199" s="100">
        <f>IF(OR(Fact_Contabilidad[[#This Row], [Año]]="",Fact_Contabilidad[[#This Row], [Mes]]=""),"",DATE(A199,MATCH(B199,{"enero","febrero","marzo","abril","mayo","junio","julio","agosto","septiembre","octubre","noviembre","diciembre"},0)+1,0))</f>
        <v>45777</v>
      </c>
      <c r="D199" t="s">
        <v>71</v>
      </c>
      <c r="E199" t="str">
        <f>+IFERROR(VLOOKUP(Fact_Contabilidad[[#This Row], [Concepto Anterior]],Conceptos_Contabilidad[#All],5,0),"")</f>
        <v>Facturas Contabilizada</v>
      </c>
      <c r="F199" t="str">
        <f ca="1">+IFERROR(VLOOKUP(Fact_Contabilidad[[#This Row], [Concepto Anterior]],Conceptos_Contabilidad[#All],7,0),"")</f>
        <v/>
      </c>
      <c r="G199" t="s">
        <v>172</v>
      </c>
      <c r="H199" t="s">
        <v>172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93">
        <v>1108</v>
      </c>
    </row>
    <row r="200" spans="1:11" ht="18.75" customHeight="1" x14ac:dyDescent="0.35">
      <c r="A200" s="93">
        <v>2025</v>
      </c>
      <c r="B200" t="s">
        <v>176</v>
      </c>
      <c r="C200" s="100">
        <f>IF(OR(Fact_Contabilidad[[#This Row], [Año]]="",Fact_Contabilidad[[#This Row], [Mes]]=""),"",DATE(A200,MATCH(B200,{"enero","febrero","marzo","abril","mayo","junio","julio","agosto","septiembre","octubre","noviembre","diciembre"},0)+1,0))</f>
        <v>45777</v>
      </c>
      <c r="D200" t="s">
        <v>130</v>
      </c>
      <c r="E200" t="str">
        <f>+IFERROR(VLOOKUP(Fact_Contabilidad[[#This Row], [Concepto Anterior]],Conceptos_Contabilidad[#All],5,0),"")</f>
        <v>Facturas Contabilizada</v>
      </c>
      <c r="F200" t="str">
        <f ca="1">+IFERROR(VLOOKUP(Fact_Contabilidad[[#This Row], [Concepto Anterior]],Conceptos_Contabilidad[#All],7,0),"")</f>
        <v/>
      </c>
      <c r="G200" t="s">
        <v>172</v>
      </c>
      <c r="H200" t="s">
        <v>172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93">
        <v>173</v>
      </c>
    </row>
    <row r="201" spans="1:11" ht="18.75" customHeight="1" x14ac:dyDescent="0.35">
      <c r="A201" s="93">
        <v>2025</v>
      </c>
      <c r="B201" t="s">
        <v>176</v>
      </c>
      <c r="C201" s="100">
        <f>IF(OR(Fact_Contabilidad[[#This Row], [Año]]="",Fact_Contabilidad[[#This Row], [Mes]]=""),"",DATE(A201,MATCH(B201,{"enero","febrero","marzo","abril","mayo","junio","julio","agosto","septiembre","octubre","noviembre","diciembre"},0)+1,0))</f>
        <v>45777</v>
      </c>
      <c r="D201" t="s">
        <v>134</v>
      </c>
      <c r="E201" t="str">
        <f>+IFERROR(VLOOKUP(Fact_Contabilidad[[#This Row], [Concepto Anterior]],Conceptos_Contabilidad[#All],5,0),"")</f>
        <v>Facturas Contabilizada</v>
      </c>
      <c r="F201" t="str">
        <f ca="1">+IFERROR(VLOOKUP(Fact_Contabilidad[[#This Row], [Concepto Anterior]],Conceptos_Contabilidad[#All],7,0),"")</f>
        <v/>
      </c>
      <c r="G201" t="s">
        <v>172</v>
      </c>
      <c r="H201" t="s">
        <v>172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93">
        <v>8</v>
      </c>
    </row>
    <row r="202" spans="1:11" ht="18.75" customHeight="1" x14ac:dyDescent="0.35">
      <c r="A202" s="93">
        <v>2025</v>
      </c>
      <c r="B202" t="s">
        <v>176</v>
      </c>
      <c r="C202" s="100">
        <f>IF(OR(Fact_Contabilidad[[#This Row], [Año]]="",Fact_Contabilidad[[#This Row], [Mes]]=""),"",DATE(A202,MATCH(B202,{"enero","febrero","marzo","abril","mayo","junio","julio","agosto","septiembre","octubre","noviembre","diciembre"},0)+1,0))</f>
        <v>45777</v>
      </c>
      <c r="D202" t="s">
        <v>131</v>
      </c>
      <c r="E202" t="str">
        <f>+IFERROR(VLOOKUP(Fact_Contabilidad[[#This Row], [Concepto Anterior]],Conceptos_Contabilidad[#All],5,0),"")</f>
        <v>Facturas Contabilizada</v>
      </c>
      <c r="F202" t="str">
        <f ca="1">+IFERROR(VLOOKUP(Fact_Contabilidad[[#This Row], [Concepto Anterior]],Conceptos_Contabilidad[#All],7,0),"")</f>
        <v/>
      </c>
      <c r="G202" t="s">
        <v>172</v>
      </c>
      <c r="H202" t="s">
        <v>172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93">
        <v>71</v>
      </c>
    </row>
    <row r="203" spans="1:11" ht="18.75" customHeight="1" x14ac:dyDescent="0.35">
      <c r="A203" s="102">
        <v>2025</v>
      </c>
      <c r="B203" t="s">
        <v>176</v>
      </c>
      <c r="C203" s="100">
        <f>IF(OR(Fact_Contabilidad[[#This Row], [Año]]="",Fact_Contabilidad[[#This Row], [Mes]]=""),"",DATE(A203,MATCH(B203,{"enero","febrero","marzo","abril","mayo","junio","julio","agosto","septiembre","octubre","noviembre","diciembre"},0)+1,0))</f>
        <v>45777</v>
      </c>
      <c r="D203" t="s">
        <v>133</v>
      </c>
      <c r="E203" t="str">
        <f>+IFERROR(VLOOKUP(Fact_Contabilidad[[#This Row], [Concepto Anterior]],Conceptos_Contabilidad[#All],5,0),"")</f>
        <v>Facturas Contabilizada</v>
      </c>
      <c r="F203" t="str">
        <f ca="1">+IFERROR(VLOOKUP(Fact_Contabilidad[[#This Row], [Concepto Anterior]],Conceptos_Contabilidad[#All],7,0),"")</f>
        <v/>
      </c>
      <c r="G203" t="s">
        <v>172</v>
      </c>
      <c r="H203" t="s">
        <v>172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93">
        <v>0</v>
      </c>
    </row>
    <row r="204" spans="1:11" ht="18.75" customHeight="1" x14ac:dyDescent="0.35">
      <c r="A204" s="93">
        <v>2025</v>
      </c>
      <c r="B204" t="s">
        <v>176</v>
      </c>
      <c r="C204" s="100">
        <f>IF(OR(Fact_Contabilidad[[#This Row], [Año]]="",Fact_Contabilidad[[#This Row], [Mes]]=""),"",DATE(A204,MATCH(B204,{"enero","febrero","marzo","abril","mayo","junio","julio","agosto","septiembre","octubre","noviembre","diciembre"},0)+1,0))</f>
        <v>45777</v>
      </c>
      <c r="D204" t="s">
        <v>132</v>
      </c>
      <c r="E204" t="str">
        <f>+IFERROR(VLOOKUP(Fact_Contabilidad[[#This Row], [Concepto Anterior]],Conceptos_Contabilidad[#All],5,0),"")</f>
        <v>Facturas Contabilizada</v>
      </c>
      <c r="F204" t="str">
        <f ca="1">+IFERROR(VLOOKUP(Fact_Contabilidad[[#This Row], [Concepto Anterior]],Conceptos_Contabilidad[#All],7,0),"")</f>
        <v/>
      </c>
      <c r="G204" t="s">
        <v>172</v>
      </c>
      <c r="H204" t="s">
        <v>172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93">
        <v>6</v>
      </c>
    </row>
    <row r="205" spans="1:11" ht="18.75" customHeight="1" x14ac:dyDescent="0.35">
      <c r="A205" s="93">
        <v>2025</v>
      </c>
      <c r="B205" t="s">
        <v>176</v>
      </c>
      <c r="C205" s="100">
        <f>IF(OR(Fact_Contabilidad[[#This Row], [Año]]="",Fact_Contabilidad[[#This Row], [Mes]]=""),"",DATE(A205,MATCH(B205,{"enero","febrero","marzo","abril","mayo","junio","julio","agosto","septiembre","octubre","noviembre","diciembre"},0)+1,0))</f>
        <v>45777</v>
      </c>
      <c r="D205" t="s">
        <v>147</v>
      </c>
      <c r="E205" t="str">
        <f>+IFERROR(VLOOKUP(Fact_Contabilidad[[#This Row], [Concepto Anterior]],Conceptos_Contabilidad[#All],5,0),"")</f>
        <v>Gestión Gastos No deducibles + recuperación de embargos</v>
      </c>
      <c r="F205" t="str">
        <f ca="1">+IFERROR(VLOOKUP(Fact_Contabilidad[[#This Row], [Concepto Anterior]],Conceptos_Contabilidad[#All],7,0),"")</f>
        <v/>
      </c>
      <c r="G205" t="s">
        <v>172</v>
      </c>
      <c r="H205" t="s">
        <v>172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93">
        <v>0</v>
      </c>
    </row>
    <row r="206" spans="1:11" ht="18.75" customHeight="1" x14ac:dyDescent="0.35">
      <c r="A206" s="93">
        <v>2025</v>
      </c>
      <c r="B206" t="s">
        <v>176</v>
      </c>
      <c r="C206" s="100">
        <f>IF(OR(Fact_Contabilidad[[#This Row], [Año]]="",Fact_Contabilidad[[#This Row], [Mes]]=""),"",DATE(A206,MATCH(B206,{"enero","febrero","marzo","abril","mayo","junio","julio","agosto","septiembre","octubre","noviembre","diciembre"},0)+1,0))</f>
        <v>45777</v>
      </c>
      <c r="D206" t="s">
        <v>146</v>
      </c>
      <c r="E206" t="str">
        <f>+IFERROR(VLOOKUP(Fact_Contabilidad[[#This Row], [Concepto Anterior]],Conceptos_Contabilidad[#All],5,0),"")</f>
        <v>Gestión Gastos No deducibles + recuperación de embargos</v>
      </c>
      <c r="F206" t="str">
        <f ca="1">+IFERROR(VLOOKUP(Fact_Contabilidad[[#This Row], [Concepto Anterior]],Conceptos_Contabilidad[#All],7,0),"")</f>
        <v/>
      </c>
      <c r="G206" t="s">
        <v>172</v>
      </c>
      <c r="H206" t="s">
        <v>172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93">
        <v>39631857</v>
      </c>
    </row>
    <row r="207" spans="1:11" ht="18.75" customHeight="1" x14ac:dyDescent="0.35">
      <c r="A207" s="93">
        <v>2025</v>
      </c>
      <c r="B207" t="s">
        <v>176</v>
      </c>
      <c r="C207" s="100">
        <f>IF(OR(Fact_Contabilidad[[#This Row], [Año]]="",Fact_Contabilidad[[#This Row], [Mes]]=""),"",DATE(A207,MATCH(B207,{"enero","febrero","marzo","abril","mayo","junio","julio","agosto","septiembre","octubre","noviembre","diciembre"},0)+1,0))</f>
        <v>45777</v>
      </c>
      <c r="D207" t="s">
        <v>136</v>
      </c>
      <c r="E207" t="str">
        <f>+IFERROR(VLOOKUP(Fact_Contabilidad[[#This Row], [Concepto Anterior]],Conceptos_Contabilidad[#All],5,0),"")</f>
        <v>el 95 % del cumplimiento (sale del promedio de la fila)</v>
      </c>
      <c r="F207" t="str">
        <f ca="1">+IFERROR(VLOOKUP(Fact_Contabilidad[[#This Row], [Concepto Anterior]],Conceptos_Contabilidad[#All],7,0),"")</f>
        <v/>
      </c>
      <c r="G207" t="s">
        <v>172</v>
      </c>
      <c r="H207" t="s">
        <v>172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92">
        <v>0.75</v>
      </c>
    </row>
    <row r="208" spans="1:11" ht="18.75" customHeight="1" x14ac:dyDescent="0.35">
      <c r="A208" s="93">
        <v>2025</v>
      </c>
      <c r="B208" t="s">
        <v>176</v>
      </c>
      <c r="C208" s="100">
        <f>IF(OR(Fact_Contabilidad[[#This Row], [Año]]="",Fact_Contabilidad[[#This Row], [Mes]]=""),"",DATE(A208,MATCH(B208,{"enero","febrero","marzo","abril","mayo","junio","julio","agosto","septiembre","octubre","noviembre","diciembre"},0)+1,0))</f>
        <v>45777</v>
      </c>
      <c r="D208" t="s">
        <v>135</v>
      </c>
      <c r="E208" t="str">
        <f>+IFERROR(VLOOKUP(Fact_Contabilidad[[#This Row], [Concepto Anterior]],Conceptos_Contabilidad[#All],5,0),"")</f>
        <v>Gestión Gastos No deducibles + recuperación de embargos</v>
      </c>
      <c r="F208" t="str">
        <f ca="1">+IFERROR(VLOOKUP(Fact_Contabilidad[[#This Row], [Concepto Anterior]],Conceptos_Contabilidad[#All],7,0),"")</f>
        <v/>
      </c>
      <c r="G208" t="s">
        <v>172</v>
      </c>
      <c r="H208" t="s">
        <v>172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93">
        <v>3396547</v>
      </c>
    </row>
    <row r="209" spans="1:11" ht="18.75" customHeight="1" x14ac:dyDescent="0.35">
      <c r="A209" s="93">
        <v>2025</v>
      </c>
      <c r="B209" t="s">
        <v>176</v>
      </c>
      <c r="C209" s="100">
        <f>IF(OR(Fact_Contabilidad[[#This Row], [Año]]="",Fact_Contabilidad[[#This Row], [Mes]]=""),"",DATE(A209,MATCH(B209,{"enero","febrero","marzo","abril","mayo","junio","julio","agosto","septiembre","octubre","noviembre","diciembre"},0)+1,0))</f>
        <v>45777</v>
      </c>
      <c r="D209" t="s">
        <v>76</v>
      </c>
      <c r="E209" t="str">
        <f>+IFERROR(VLOOKUP(Fact_Contabilidad[[#This Row], [Concepto Anterior]],Conceptos_Contabilidad[#All],5,0),"")</f>
        <v>Informes Contables</v>
      </c>
      <c r="F209" t="str">
        <f ca="1">+IFERROR(VLOOKUP(Fact_Contabilidad[[#This Row], [Concepto Anterior]],Conceptos_Contabilidad[#All],7,0),"")</f>
        <v/>
      </c>
      <c r="G209" t="s">
        <v>172</v>
      </c>
      <c r="H209" t="s">
        <v>172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93">
        <v>17</v>
      </c>
    </row>
    <row r="210" spans="1:11" ht="18.75" customHeight="1" x14ac:dyDescent="0.35">
      <c r="A210" s="93">
        <v>2025</v>
      </c>
      <c r="B210" t="s">
        <v>176</v>
      </c>
      <c r="C210" s="100">
        <f>IF(OR(Fact_Contabilidad[[#This Row], [Año]]="",Fact_Contabilidad[[#This Row], [Mes]]=""),"",DATE(A210,MATCH(B210,{"enero","febrero","marzo","abril","mayo","junio","julio","agosto","septiembre","octubre","noviembre","diciembre"},0)+1,0))</f>
        <v>45777</v>
      </c>
      <c r="D210" t="s">
        <v>102</v>
      </c>
      <c r="E210" t="str">
        <f>+IFERROR(VLOOKUP(Fact_Contabilidad[[#This Row], [Concepto Anterior]],Conceptos_Contabilidad[#All],5,0),"")</f>
        <v>Numero de razones sociales atendidas directas</v>
      </c>
      <c r="F210" t="str">
        <f ca="1">+IFERROR(VLOOKUP(Fact_Contabilidad[[#This Row], [Concepto Anterior]],Conceptos_Contabilidad[#All],7,0),"")</f>
        <v/>
      </c>
      <c r="G210" t="s">
        <v>172</v>
      </c>
      <c r="H210" t="s">
        <v>172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93">
        <v>16</v>
      </c>
    </row>
    <row r="211" spans="1:11" ht="18.75" customHeight="1" x14ac:dyDescent="0.35">
      <c r="A211" s="93">
        <v>2025</v>
      </c>
      <c r="B211" t="s">
        <v>176</v>
      </c>
      <c r="C211" s="100">
        <f>IF(OR(Fact_Contabilidad[[#This Row], [Año]]="",Fact_Contabilidad[[#This Row], [Mes]]=""),"",DATE(A211,MATCH(B211,{"enero","febrero","marzo","abril","mayo","junio","julio","agosto","septiembre","octubre","noviembre","diciembre"},0)+1,0))</f>
        <v>45777</v>
      </c>
      <c r="D211" t="s">
        <v>137</v>
      </c>
      <c r="E211" t="str">
        <f>+IFERROR(VLOOKUP(Fact_Contabilidad[[#This Row], [Concepto Anterior]],Conceptos_Contabilidad[#All],5,0),"")</f>
        <v>Numero de razones sociales atendidas indirectas (matricial)</v>
      </c>
      <c r="F211" t="str">
        <f ca="1">+IFERROR(VLOOKUP(Fact_Contabilidad[[#This Row], [Concepto Anterior]],Conceptos_Contabilidad[#All],7,0),"")</f>
        <v/>
      </c>
      <c r="G211" t="s">
        <v>172</v>
      </c>
      <c r="H211" t="s">
        <v>172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93">
        <v>12</v>
      </c>
    </row>
    <row r="212" spans="1:11" ht="18.75" customHeight="1" x14ac:dyDescent="0.35">
      <c r="A212" s="93">
        <v>2025</v>
      </c>
      <c r="B212" t="s">
        <v>176</v>
      </c>
      <c r="C212" s="100">
        <f>IF(OR(Fact_Contabilidad[[#This Row], [Año]]="",Fact_Contabilidad[[#This Row], [Mes]]=""),"",DATE(A212,MATCH(B212,{"enero","febrero","marzo","abril","mayo","junio","julio","agosto","septiembre","octubre","noviembre","diciembre"},0)+1,0))</f>
        <v>45777</v>
      </c>
      <c r="D212" t="s">
        <v>78</v>
      </c>
      <c r="E212" t="str">
        <f>+IFERROR(VLOOKUP(Fact_Contabilidad[[#This Row], [Concepto Anterior]],Conceptos_Contabilidad[#All],5,0),"")</f>
        <v>Gestión Gastos No deducibles + recuperación de embargos</v>
      </c>
      <c r="F212" t="str">
        <f ca="1">+IFERROR(VLOOKUP(Fact_Contabilidad[[#This Row], [Concepto Anterior]],Conceptos_Contabilidad[#All],7,0),"")</f>
        <v/>
      </c>
      <c r="G212" t="s">
        <v>172</v>
      </c>
      <c r="H212" t="s">
        <v>172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93">
        <v>0</v>
      </c>
    </row>
    <row r="213" spans="1:11" ht="18.75" customHeight="1" x14ac:dyDescent="0.35">
      <c r="A213" s="102">
        <v>2025</v>
      </c>
      <c r="B213" t="s">
        <v>9</v>
      </c>
      <c r="C213" s="100">
        <f>IF(OR(Fact_Contabilidad[[#This Row], [Año]]="",Fact_Contabilidad[[#This Row], [Mes]]=""),"",DATE(A213,MATCH(B213,{"enero","febrero","marzo","abril","mayo","junio","julio","agosto","septiembre","octubre","noviembre","diciembre"},0)+1,0))</f>
        <v>45777</v>
      </c>
      <c r="D213" t="s">
        <v>192</v>
      </c>
      <c r="E213" t="str">
        <f>+IFERROR(VLOOKUP(Fact_Contabilidad[[#This Row], [Concepto Anterior]],Conceptos_Contabilidad[#All],5,0),"")</f>
        <v>Activos fijos creados Comodín</v>
      </c>
      <c r="F213" t="str">
        <f ca="1">+IFERROR(VLOOKUP(Fact_Contabilidad[[#This Row], [Concepto Anterior]],Conceptos_Contabilidad[#All],7,0),"")</f>
        <v/>
      </c>
      <c r="G213" t="s">
        <v>172</v>
      </c>
      <c r="H213" t="s">
        <v>172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93">
        <v>130</v>
      </c>
    </row>
    <row r="214" spans="1:11" ht="18.75" customHeight="1" x14ac:dyDescent="0.35">
      <c r="A214" s="93">
        <v>2025</v>
      </c>
      <c r="B214" t="s">
        <v>9</v>
      </c>
      <c r="C214" s="100">
        <f>IF(OR(Fact_Contabilidad[[#This Row], [Año]]="",Fact_Contabilidad[[#This Row], [Mes]]=""),"",DATE(A214,MATCH(B214,{"enero","febrero","marzo","abril","mayo","junio","julio","agosto","septiembre","octubre","noviembre","diciembre"},0)+1,0))</f>
        <v>45777</v>
      </c>
      <c r="D214" t="s">
        <v>193</v>
      </c>
      <c r="E214" t="str">
        <f>+IFERROR(VLOOKUP(Fact_Contabilidad[[#This Row], [Concepto Anterior]],Conceptos_Contabilidad[#All],5,0),"")</f>
        <v>Activos fijos creados Dogama</v>
      </c>
      <c r="F214" t="str">
        <f ca="1">+IFERROR(VLOOKUP(Fact_Contabilidad[[#This Row], [Concepto Anterior]],Conceptos_Contabilidad[#All],7,0),"")</f>
        <v/>
      </c>
      <c r="G214" t="s">
        <v>172</v>
      </c>
      <c r="H214" t="s">
        <v>172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93">
        <v>3</v>
      </c>
    </row>
    <row r="215" spans="1:11" ht="18.75" customHeight="1" x14ac:dyDescent="0.35">
      <c r="A215" s="93">
        <v>2025</v>
      </c>
      <c r="B215" t="s">
        <v>9</v>
      </c>
      <c r="C215" s="100">
        <f>IF(OR(Fact_Contabilidad[[#This Row], [Año]]="",Fact_Contabilidad[[#This Row], [Mes]]=""),"",DATE(A215,MATCH(B215,{"enero","febrero","marzo","abril","mayo","junio","julio","agosto","septiembre","octubre","noviembre","diciembre"},0)+1,0))</f>
        <v>45777</v>
      </c>
      <c r="D215" t="s">
        <v>194</v>
      </c>
      <c r="E215" t="str">
        <f>+IFERROR(VLOOKUP(Fact_Contabilidad[[#This Row], [Concepto Anterior]],Conceptos_Contabilidad[#All],5,0),"")</f>
        <v>Instructivos en proceso</v>
      </c>
      <c r="F215" t="str">
        <f ca="1">+IFERROR(VLOOKUP(Fact_Contabilidad[[#This Row], [Concepto Anterior]],Conceptos_Contabilidad[#All],7,0),"")</f>
        <v/>
      </c>
      <c r="G215" t="s">
        <v>172</v>
      </c>
      <c r="H215" t="s">
        <v>172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93">
        <v>0</v>
      </c>
    </row>
    <row r="216" spans="1:11" ht="18.75" customHeight="1" x14ac:dyDescent="0.35">
      <c r="A216" s="93">
        <v>2025</v>
      </c>
      <c r="B216" t="s">
        <v>9</v>
      </c>
      <c r="C216" s="100">
        <f>IF(OR(Fact_Contabilidad[[#This Row], [Año]]="",Fact_Contabilidad[[#This Row], [Mes]]=""),"",DATE(A216,MATCH(B216,{"enero","febrero","marzo","abril","mayo","junio","julio","agosto","septiembre","octubre","noviembre","diciembre"},0)+1,0))</f>
        <v>45777</v>
      </c>
      <c r="D216" t="s">
        <v>195</v>
      </c>
      <c r="E216" t="str">
        <f>+IFERROR(VLOOKUP(Fact_Contabilidad[[#This Row], [Concepto Anterior]],Conceptos_Contabilidad[#All],5,0),"")</f>
        <v>Instructivos en validación PMO</v>
      </c>
      <c r="F216" t="str">
        <f ca="1">+IFERROR(VLOOKUP(Fact_Contabilidad[[#This Row], [Concepto Anterior]],Conceptos_Contabilidad[#All],7,0),"")</f>
        <v/>
      </c>
      <c r="G216" t="s">
        <v>172</v>
      </c>
      <c r="H216" t="s">
        <v>172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93">
        <v>0</v>
      </c>
    </row>
    <row r="217" spans="1:11" ht="18.75" customHeight="1" x14ac:dyDescent="0.35">
      <c r="A217" s="93">
        <v>2025</v>
      </c>
      <c r="B217" t="s">
        <v>9</v>
      </c>
      <c r="C217" s="100">
        <f>IF(OR(Fact_Contabilidad[[#This Row], [Año]]="",Fact_Contabilidad[[#This Row], [Mes]]=""),"",DATE(A217,MATCH(B217,{"enero","febrero","marzo","abril","mayo","junio","julio","agosto","septiembre","octubre","noviembre","diciembre"},0)+1,0))</f>
        <v>45777</v>
      </c>
      <c r="D217" t="s">
        <v>196</v>
      </c>
      <c r="E217" t="str">
        <f>+IFERROR(VLOOKUP(Fact_Contabilidad[[#This Row], [Concepto Anterior]],Conceptos_Contabilidad[#All],5,0),"")</f>
        <v>Instructivos aprobados</v>
      </c>
      <c r="F217" t="str">
        <f ca="1">+IFERROR(VLOOKUP(Fact_Contabilidad[[#This Row], [Concepto Anterior]],Conceptos_Contabilidad[#All],7,0),"")</f>
        <v/>
      </c>
      <c r="G217" t="s">
        <v>172</v>
      </c>
      <c r="H217" t="s">
        <v>172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93">
        <v>0</v>
      </c>
    </row>
    <row r="218" spans="1:11" ht="18.75" customHeight="1" x14ac:dyDescent="0.35">
      <c r="A218" s="93">
        <v>2025</v>
      </c>
      <c r="B218" t="s">
        <v>9</v>
      </c>
      <c r="C218" s="100">
        <f>IF(OR(Fact_Contabilidad[[#This Row], [Año]]="",Fact_Contabilidad[[#This Row], [Mes]]=""),"",DATE(A218,MATCH(B218,{"enero","febrero","marzo","abril","mayo","junio","julio","agosto","septiembre","octubre","noviembre","diciembre"},0)+1,0))</f>
        <v>45777</v>
      </c>
      <c r="D218" t="s">
        <v>197</v>
      </c>
      <c r="E218" t="str">
        <f>+IFERROR(VLOOKUP(Fact_Contabilidad[[#This Row], [Concepto Anterior]],Conceptos_Contabilidad[#All],5,0),"")</f>
        <v>Políticas en proceso</v>
      </c>
      <c r="F218" t="str">
        <f ca="1">+IFERROR(VLOOKUP(Fact_Contabilidad[[#This Row], [Concepto Anterior]],Conceptos_Contabilidad[#All],7,0),"")</f>
        <v/>
      </c>
      <c r="G218" t="s">
        <v>172</v>
      </c>
      <c r="H218" t="s">
        <v>172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93">
        <v>1</v>
      </c>
    </row>
    <row r="219" spans="1:11" ht="18.75" customHeight="1" x14ac:dyDescent="0.35">
      <c r="A219" s="93">
        <v>2025</v>
      </c>
      <c r="B219" t="s">
        <v>9</v>
      </c>
      <c r="C219" s="100">
        <f>IF(OR(Fact_Contabilidad[[#This Row], [Año]]="",Fact_Contabilidad[[#This Row], [Mes]]=""),"",DATE(A219,MATCH(B219,{"enero","febrero","marzo","abril","mayo","junio","julio","agosto","septiembre","octubre","noviembre","diciembre"},0)+1,0))</f>
        <v>45777</v>
      </c>
      <c r="D219" t="s">
        <v>198</v>
      </c>
      <c r="E219" t="str">
        <f>+IFERROR(VLOOKUP(Fact_Contabilidad[[#This Row], [Concepto Anterior]],Conceptos_Contabilidad[#All],5,0),"")</f>
        <v>Políticas aprobadas</v>
      </c>
      <c r="F219" t="str">
        <f ca="1">+IFERROR(VLOOKUP(Fact_Contabilidad[[#This Row], [Concepto Anterior]],Conceptos_Contabilidad[#All],7,0),"")</f>
        <v/>
      </c>
      <c r="G219" t="s">
        <v>172</v>
      </c>
      <c r="H219" t="s">
        <v>172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93">
        <v>0</v>
      </c>
    </row>
    <row r="220" spans="1:11" ht="18.75" customHeight="1" x14ac:dyDescent="0.35">
      <c r="A220" s="93">
        <v>2025</v>
      </c>
      <c r="B220" t="s">
        <v>176</v>
      </c>
      <c r="C220" s="100">
        <f>IF(OR(Fact_Contabilidad[[#This Row], [Año]]="",Fact_Contabilidad[[#This Row], [Mes]]=""),"",DATE(A220,MATCH(B220,{"enero","febrero","marzo","abril","mayo","junio","julio","agosto","septiembre","octubre","noviembre","diciembre"},0)+1,0))</f>
        <v>45777</v>
      </c>
      <c r="D220" t="s">
        <v>199</v>
      </c>
      <c r="E220" t="str">
        <f>+IFERROR(VLOOKUP(Fact_Contabilidad[[#This Row], [Concepto Anterior]],Conceptos_Contabilidad[#All],5,0),"")</f>
        <v>Facturas contabilizadas Triplematch</v>
      </c>
      <c r="F220" t="str">
        <f ca="1">+IFERROR(VLOOKUP(Fact_Contabilidad[[#This Row], [Concepto Anterior]],Conceptos_Contabilidad[#All],7,0),"")</f>
        <v/>
      </c>
      <c r="G220" t="s">
        <v>172</v>
      </c>
      <c r="H220" t="s">
        <v>172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93">
        <v>0</v>
      </c>
    </row>
    <row r="221" spans="1:11" ht="18.75" customHeight="1" x14ac:dyDescent="0.35">
      <c r="A221" s="93">
        <v>2025</v>
      </c>
      <c r="B221" t="s">
        <v>176</v>
      </c>
      <c r="C221" s="100">
        <f>IF(OR(Fact_Contabilidad[[#This Row], [Año]]="",Fact_Contabilidad[[#This Row], [Mes]]=""),"",DATE(A221,MATCH(B221,{"enero","febrero","marzo","abril","mayo","junio","julio","agosto","septiembre","octubre","noviembre","diciembre"},0)+1,0))</f>
        <v>45777</v>
      </c>
      <c r="D221" t="s">
        <v>200</v>
      </c>
      <c r="E221" t="str">
        <f>+IFERROR(VLOOKUP(Fact_Contabilidad[[#This Row], [Concepto Anterior]],Conceptos_Contabilidad[#All],5,0),"")</f>
        <v>Facturas contabilizadas Script</v>
      </c>
      <c r="F221" t="str">
        <f ca="1">+IFERROR(VLOOKUP(Fact_Contabilidad[[#This Row], [Concepto Anterior]],Conceptos_Contabilidad[#All],7,0),"")</f>
        <v/>
      </c>
      <c r="G221" t="s">
        <v>172</v>
      </c>
      <c r="H221" t="s">
        <v>172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93">
        <v>0</v>
      </c>
    </row>
    <row r="222" spans="1:11" ht="18.75" customHeight="1" x14ac:dyDescent="0.35">
      <c r="A222" s="93">
        <v>2025</v>
      </c>
      <c r="B222" t="s">
        <v>177</v>
      </c>
      <c r="C222" s="100">
        <f>IF(OR(Fact_Contabilidad[[#This Row], [Año]]="",Fact_Contabilidad[[#This Row], [Mes]]=""),"",DATE(A222,MATCH(B222,{"enero","febrero","marzo","abril","mayo","junio","julio","agosto","septiembre","octubre","noviembre","diciembre"},0)+1,0))</f>
        <v>45808</v>
      </c>
      <c r="D222" t="s">
        <v>79</v>
      </c>
      <c r="E222" t="str">
        <f>+IFERROR(VLOOKUP(Fact_Contabilidad[[#This Row], [Concepto Anterior]],Conceptos_Contabilidad[#All],5,0),"")</f>
        <v>Cuentas Contables Conciliadas</v>
      </c>
      <c r="F222" t="str">
        <f ca="1">+IFERROR(VLOOKUP(Fact_Contabilidad[[#This Row], [Concepto Anterior]],Conceptos_Contabilidad[#All],7,0),"")</f>
        <v/>
      </c>
      <c r="G222" t="s">
        <v>172</v>
      </c>
      <c r="H222" t="s">
        <v>172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93">
        <v>1321</v>
      </c>
    </row>
    <row r="223" spans="1:11" ht="18.75" customHeight="1" x14ac:dyDescent="0.35">
      <c r="A223" s="102">
        <v>2025</v>
      </c>
      <c r="B223" t="s">
        <v>177</v>
      </c>
      <c r="C223" s="100">
        <f>IF(OR(Fact_Contabilidad[[#This Row], [Año]]="",Fact_Contabilidad[[#This Row], [Mes]]=""),"",DATE(A223,MATCH(B223,{"enero","febrero","marzo","abril","mayo","junio","julio","agosto","septiembre","octubre","noviembre","diciembre"},0)+1,0))</f>
        <v>45808</v>
      </c>
      <c r="D223" t="s">
        <v>70</v>
      </c>
      <c r="E223" t="str">
        <f>+IFERROR(VLOOKUP(Fact_Contabilidad[[#This Row], [Concepto Anterior]],Conceptos_Contabilidad[#All],5,0),"")</f>
        <v>Facturas Contabilizada</v>
      </c>
      <c r="F223" t="str">
        <f ca="1">+IFERROR(VLOOKUP(Fact_Contabilidad[[#This Row], [Concepto Anterior]],Conceptos_Contabilidad[#All],7,0),"")</f>
        <v/>
      </c>
      <c r="G223" t="s">
        <v>172</v>
      </c>
      <c r="H223" t="s">
        <v>172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93">
        <v>9283</v>
      </c>
    </row>
    <row r="224" spans="1:11" ht="18.75" customHeight="1" x14ac:dyDescent="0.35">
      <c r="A224" s="93">
        <v>2025</v>
      </c>
      <c r="B224" t="s">
        <v>177</v>
      </c>
      <c r="C224" s="100">
        <f>IF(OR(Fact_Contabilidad[[#This Row], [Año]]="",Fact_Contabilidad[[#This Row], [Mes]]=""),"",DATE(A224,MATCH(B224,{"enero","febrero","marzo","abril","mayo","junio","julio","agosto","septiembre","octubre","noviembre","diciembre"},0)+1,0))</f>
        <v>45808</v>
      </c>
      <c r="D224" t="s">
        <v>71</v>
      </c>
      <c r="E224" t="str">
        <f>+IFERROR(VLOOKUP(Fact_Contabilidad[[#This Row], [Concepto Anterior]],Conceptos_Contabilidad[#All],5,0),"")</f>
        <v>Facturas Contabilizada</v>
      </c>
      <c r="F224" t="str">
        <f ca="1">+IFERROR(VLOOKUP(Fact_Contabilidad[[#This Row], [Concepto Anterior]],Conceptos_Contabilidad[#All],7,0),"")</f>
        <v/>
      </c>
      <c r="G224" t="s">
        <v>172</v>
      </c>
      <c r="H224" t="s">
        <v>172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93">
        <v>795</v>
      </c>
    </row>
    <row r="225" spans="1:11" ht="18.75" customHeight="1" x14ac:dyDescent="0.35">
      <c r="A225" s="93">
        <v>2025</v>
      </c>
      <c r="B225" t="s">
        <v>177</v>
      </c>
      <c r="C225" s="100">
        <f>IF(OR(Fact_Contabilidad[[#This Row], [Año]]="",Fact_Contabilidad[[#This Row], [Mes]]=""),"",DATE(A225,MATCH(B225,{"enero","febrero","marzo","abril","mayo","junio","julio","agosto","septiembre","octubre","noviembre","diciembre"},0)+1,0))</f>
        <v>45808</v>
      </c>
      <c r="D225" t="s">
        <v>130</v>
      </c>
      <c r="E225" t="str">
        <f>+IFERROR(VLOOKUP(Fact_Contabilidad[[#This Row], [Concepto Anterior]],Conceptos_Contabilidad[#All],5,0),"")</f>
        <v>Facturas Contabilizada</v>
      </c>
      <c r="F225" t="str">
        <f ca="1">+IFERROR(VLOOKUP(Fact_Contabilidad[[#This Row], [Concepto Anterior]],Conceptos_Contabilidad[#All],7,0),"")</f>
        <v/>
      </c>
      <c r="G225" t="s">
        <v>172</v>
      </c>
      <c r="H225" t="s">
        <v>172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93">
        <v>120</v>
      </c>
    </row>
    <row r="226" spans="1:11" ht="18.75" customHeight="1" x14ac:dyDescent="0.35">
      <c r="A226" s="93">
        <v>2025</v>
      </c>
      <c r="B226" t="s">
        <v>177</v>
      </c>
      <c r="C226" s="100">
        <f>IF(OR(Fact_Contabilidad[[#This Row], [Año]]="",Fact_Contabilidad[[#This Row], [Mes]]=""),"",DATE(A226,MATCH(B226,{"enero","febrero","marzo","abril","mayo","junio","julio","agosto","septiembre","octubre","noviembre","diciembre"},0)+1,0))</f>
        <v>45808</v>
      </c>
      <c r="D226" t="s">
        <v>134</v>
      </c>
      <c r="E226" t="str">
        <f>+IFERROR(VLOOKUP(Fact_Contabilidad[[#This Row], [Concepto Anterior]],Conceptos_Contabilidad[#All],5,0),"")</f>
        <v>Facturas Contabilizada</v>
      </c>
      <c r="F226" t="str">
        <f ca="1">+IFERROR(VLOOKUP(Fact_Contabilidad[[#This Row], [Concepto Anterior]],Conceptos_Contabilidad[#All],7,0),"")</f>
        <v/>
      </c>
      <c r="G226" t="s">
        <v>172</v>
      </c>
      <c r="H226" t="s">
        <v>172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93">
        <v>69</v>
      </c>
    </row>
    <row r="227" spans="1:11" ht="18.75" customHeight="1" x14ac:dyDescent="0.35">
      <c r="A227" s="93">
        <v>2025</v>
      </c>
      <c r="B227" t="s">
        <v>177</v>
      </c>
      <c r="C227" s="100">
        <f>IF(OR(Fact_Contabilidad[[#This Row], [Año]]="",Fact_Contabilidad[[#This Row], [Mes]]=""),"",DATE(A227,MATCH(B227,{"enero","febrero","marzo","abril","mayo","junio","julio","agosto","septiembre","octubre","noviembre","diciembre"},0)+1,0))</f>
        <v>45808</v>
      </c>
      <c r="D227" t="s">
        <v>131</v>
      </c>
      <c r="E227" t="str">
        <f>+IFERROR(VLOOKUP(Fact_Contabilidad[[#This Row], [Concepto Anterior]],Conceptos_Contabilidad[#All],5,0),"")</f>
        <v>Facturas Contabilizada</v>
      </c>
      <c r="F227" t="str">
        <f ca="1">+IFERROR(VLOOKUP(Fact_Contabilidad[[#This Row], [Concepto Anterior]],Conceptos_Contabilidad[#All],7,0),"")</f>
        <v/>
      </c>
      <c r="G227" t="s">
        <v>172</v>
      </c>
      <c r="H227" t="s">
        <v>172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93">
        <v>86</v>
      </c>
    </row>
    <row r="228" spans="1:11" ht="18.75" customHeight="1" x14ac:dyDescent="0.35">
      <c r="A228" s="93">
        <v>2025</v>
      </c>
      <c r="B228" t="s">
        <v>177</v>
      </c>
      <c r="C228" s="100">
        <f>IF(OR(Fact_Contabilidad[[#This Row], [Año]]="",Fact_Contabilidad[[#This Row], [Mes]]=""),"",DATE(A228,MATCH(B228,{"enero","febrero","marzo","abril","mayo","junio","julio","agosto","septiembre","octubre","noviembre","diciembre"},0)+1,0))</f>
        <v>45808</v>
      </c>
      <c r="D228" t="s">
        <v>133</v>
      </c>
      <c r="E228" t="str">
        <f>+IFERROR(VLOOKUP(Fact_Contabilidad[[#This Row], [Concepto Anterior]],Conceptos_Contabilidad[#All],5,0),"")</f>
        <v>Facturas Contabilizada</v>
      </c>
      <c r="F228" t="str">
        <f ca="1">+IFERROR(VLOOKUP(Fact_Contabilidad[[#This Row], [Concepto Anterior]],Conceptos_Contabilidad[#All],7,0),"")</f>
        <v/>
      </c>
      <c r="G228" t="s">
        <v>172</v>
      </c>
      <c r="H228" t="s">
        <v>172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93">
        <v>10</v>
      </c>
    </row>
    <row r="229" spans="1:11" ht="18.75" customHeight="1" x14ac:dyDescent="0.35">
      <c r="A229" s="93">
        <v>2025</v>
      </c>
      <c r="B229" t="s">
        <v>177</v>
      </c>
      <c r="C229" s="100">
        <f>IF(OR(Fact_Contabilidad[[#This Row], [Año]]="",Fact_Contabilidad[[#This Row], [Mes]]=""),"",DATE(A229,MATCH(B229,{"enero","febrero","marzo","abril","mayo","junio","julio","agosto","septiembre","octubre","noviembre","diciembre"},0)+1,0))</f>
        <v>45808</v>
      </c>
      <c r="D229" t="s">
        <v>132</v>
      </c>
      <c r="E229" t="str">
        <f>+IFERROR(VLOOKUP(Fact_Contabilidad[[#This Row], [Concepto Anterior]],Conceptos_Contabilidad[#All],5,0),"")</f>
        <v>Facturas Contabilizada</v>
      </c>
      <c r="F229" t="str">
        <f ca="1">+IFERROR(VLOOKUP(Fact_Contabilidad[[#This Row], [Concepto Anterior]],Conceptos_Contabilidad[#All],7,0),"")</f>
        <v/>
      </c>
      <c r="G229" t="s">
        <v>172</v>
      </c>
      <c r="H229" t="s">
        <v>172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93">
        <v>22</v>
      </c>
    </row>
    <row r="230" spans="1:11" ht="18.75" customHeight="1" x14ac:dyDescent="0.35">
      <c r="A230" s="93">
        <v>2025</v>
      </c>
      <c r="B230" t="s">
        <v>177</v>
      </c>
      <c r="C230" s="100">
        <f>IF(OR(Fact_Contabilidad[[#This Row], [Año]]="",Fact_Contabilidad[[#This Row], [Mes]]=""),"",DATE(A230,MATCH(B230,{"enero","febrero","marzo","abril","mayo","junio","julio","agosto","septiembre","octubre","noviembre","diciembre"},0)+1,0))</f>
        <v>45808</v>
      </c>
      <c r="D230" t="s">
        <v>147</v>
      </c>
      <c r="E230" t="str">
        <f>+IFERROR(VLOOKUP(Fact_Contabilidad[[#This Row], [Concepto Anterior]],Conceptos_Contabilidad[#All],5,0),"")</f>
        <v>Gestión Gastos No deducibles + recuperación de embargos</v>
      </c>
      <c r="F230" t="str">
        <f ca="1">+IFERROR(VLOOKUP(Fact_Contabilidad[[#This Row], [Concepto Anterior]],Conceptos_Contabilidad[#All],7,0),"")</f>
        <v/>
      </c>
      <c r="G230" t="s">
        <v>172</v>
      </c>
      <c r="H230" t="s">
        <v>172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93">
        <v>0</v>
      </c>
    </row>
    <row r="231" spans="1:11" ht="18.75" customHeight="1" x14ac:dyDescent="0.35">
      <c r="A231" s="93">
        <v>2025</v>
      </c>
      <c r="B231" t="s">
        <v>177</v>
      </c>
      <c r="C231" s="100">
        <f>IF(OR(Fact_Contabilidad[[#This Row], [Año]]="",Fact_Contabilidad[[#This Row], [Mes]]=""),"",DATE(A231,MATCH(B231,{"enero","febrero","marzo","abril","mayo","junio","julio","agosto","septiembre","octubre","noviembre","diciembre"},0)+1,0))</f>
        <v>45808</v>
      </c>
      <c r="D231" t="s">
        <v>146</v>
      </c>
      <c r="E231" t="str">
        <f>+IFERROR(VLOOKUP(Fact_Contabilidad[[#This Row], [Concepto Anterior]],Conceptos_Contabilidad[#All],5,0),"")</f>
        <v>Gestión Gastos No deducibles + recuperación de embargos</v>
      </c>
      <c r="F231" t="str">
        <f ca="1">+IFERROR(VLOOKUP(Fact_Contabilidad[[#This Row], [Concepto Anterior]],Conceptos_Contabilidad[#All],7,0),"")</f>
        <v/>
      </c>
      <c r="G231" t="s">
        <v>172</v>
      </c>
      <c r="H231" t="s">
        <v>172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93">
        <v>116292787</v>
      </c>
    </row>
    <row r="232" spans="1:11" ht="18.75" customHeight="1" x14ac:dyDescent="0.35">
      <c r="A232" s="93">
        <v>2025</v>
      </c>
      <c r="B232" t="s">
        <v>177</v>
      </c>
      <c r="C232" s="100">
        <f>IF(OR(Fact_Contabilidad[[#This Row], [Año]]="",Fact_Contabilidad[[#This Row], [Mes]]=""),"",DATE(A232,MATCH(B232,{"enero","febrero","marzo","abril","mayo","junio","julio","agosto","septiembre","octubre","noviembre","diciembre"},0)+1,0))</f>
        <v>45808</v>
      </c>
      <c r="D232" t="s">
        <v>136</v>
      </c>
      <c r="E232" t="str">
        <f>+IFERROR(VLOOKUP(Fact_Contabilidad[[#This Row], [Concepto Anterior]],Conceptos_Contabilidad[#All],5,0),"")</f>
        <v>el 95 % del cumplimiento (sale del promedio de la fila)</v>
      </c>
      <c r="F232" t="str">
        <f ca="1">+IFERROR(VLOOKUP(Fact_Contabilidad[[#This Row], [Concepto Anterior]],Conceptos_Contabilidad[#All],7,0),"")</f>
        <v/>
      </c>
      <c r="G232" t="s">
        <v>172</v>
      </c>
      <c r="H232" t="s">
        <v>172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92">
        <v>0.84</v>
      </c>
    </row>
    <row r="233" spans="1:11" ht="18.75" customHeight="1" x14ac:dyDescent="0.35">
      <c r="A233" s="102">
        <v>2025</v>
      </c>
      <c r="B233" t="s">
        <v>177</v>
      </c>
      <c r="C233" s="100">
        <f>IF(OR(Fact_Contabilidad[[#This Row], [Año]]="",Fact_Contabilidad[[#This Row], [Mes]]=""),"",DATE(A233,MATCH(B233,{"enero","febrero","marzo","abril","mayo","junio","julio","agosto","septiembre","octubre","noviembre","diciembre"},0)+1,0))</f>
        <v>45808</v>
      </c>
      <c r="D233" t="s">
        <v>135</v>
      </c>
      <c r="E233" t="str">
        <f>+IFERROR(VLOOKUP(Fact_Contabilidad[[#This Row], [Concepto Anterior]],Conceptos_Contabilidad[#All],5,0),"")</f>
        <v>Gestión Gastos No deducibles + recuperación de embargos</v>
      </c>
      <c r="F233" t="str">
        <f ca="1">+IFERROR(VLOOKUP(Fact_Contabilidad[[#This Row], [Concepto Anterior]],Conceptos_Contabilidad[#All],7,0),"")</f>
        <v/>
      </c>
      <c r="G233" t="s">
        <v>172</v>
      </c>
      <c r="H233" t="s">
        <v>172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93">
        <v>1087480</v>
      </c>
    </row>
    <row r="234" spans="1:11" ht="18.75" customHeight="1" x14ac:dyDescent="0.35">
      <c r="A234" s="102">
        <v>2025</v>
      </c>
      <c r="B234" t="s">
        <v>177</v>
      </c>
      <c r="C234" s="100">
        <f>IF(OR(Fact_Contabilidad[[#This Row], [Año]]="",Fact_Contabilidad[[#This Row], [Mes]]=""),"",DATE(A234,MATCH(B234,{"enero","febrero","marzo","abril","mayo","junio","julio","agosto","septiembre","octubre","noviembre","diciembre"},0)+1,0))</f>
        <v>45808</v>
      </c>
      <c r="D234" t="s">
        <v>76</v>
      </c>
      <c r="E234" t="str">
        <f>+IFERROR(VLOOKUP(Fact_Contabilidad[[#This Row], [Concepto Anterior]],Conceptos_Contabilidad[#All],5,0),"")</f>
        <v>Informes Contables</v>
      </c>
      <c r="F234" t="str">
        <f ca="1">+IFERROR(VLOOKUP(Fact_Contabilidad[[#This Row], [Concepto Anterior]],Conceptos_Contabilidad[#All],7,0),"")</f>
        <v/>
      </c>
      <c r="G234" t="s">
        <v>172</v>
      </c>
      <c r="H234" t="s">
        <v>172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93">
        <v>6</v>
      </c>
    </row>
    <row r="235" spans="1:11" ht="18.75" customHeight="1" x14ac:dyDescent="0.35">
      <c r="A235" s="102">
        <v>2025</v>
      </c>
      <c r="B235" t="s">
        <v>177</v>
      </c>
      <c r="C235" s="100">
        <f>IF(OR(Fact_Contabilidad[[#This Row], [Año]]="",Fact_Contabilidad[[#This Row], [Mes]]=""),"",DATE(A235,MATCH(B235,{"enero","febrero","marzo","abril","mayo","junio","julio","agosto","septiembre","octubre","noviembre","diciembre"},0)+1,0))</f>
        <v>45808</v>
      </c>
      <c r="D235" t="s">
        <v>102</v>
      </c>
      <c r="E235" t="str">
        <f>+IFERROR(VLOOKUP(Fact_Contabilidad[[#This Row], [Concepto Anterior]],Conceptos_Contabilidad[#All],5,0),"")</f>
        <v>Numero de razones sociales atendidas directas</v>
      </c>
      <c r="F235" t="str">
        <f ca="1">+IFERROR(VLOOKUP(Fact_Contabilidad[[#This Row], [Concepto Anterior]],Conceptos_Contabilidad[#All],7,0),"")</f>
        <v/>
      </c>
      <c r="G235" t="s">
        <v>172</v>
      </c>
      <c r="H235" t="s">
        <v>172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93">
        <v>16</v>
      </c>
    </row>
    <row r="236" spans="1:11" ht="18.75" customHeight="1" x14ac:dyDescent="0.35">
      <c r="A236" s="102">
        <v>2025</v>
      </c>
      <c r="B236" t="s">
        <v>177</v>
      </c>
      <c r="C236" s="100">
        <f>IF(OR(Fact_Contabilidad[[#This Row], [Año]]="",Fact_Contabilidad[[#This Row], [Mes]]=""),"",DATE(A236,MATCH(B236,{"enero","febrero","marzo","abril","mayo","junio","julio","agosto","septiembre","octubre","noviembre","diciembre"},0)+1,0))</f>
        <v>45808</v>
      </c>
      <c r="D236" t="s">
        <v>137</v>
      </c>
      <c r="E236" t="str">
        <f>+IFERROR(VLOOKUP(Fact_Contabilidad[[#This Row], [Concepto Anterior]],Conceptos_Contabilidad[#All],5,0),"")</f>
        <v>Numero de razones sociales atendidas indirectas (matricial)</v>
      </c>
      <c r="F236" t="str">
        <f ca="1">+IFERROR(VLOOKUP(Fact_Contabilidad[[#This Row], [Concepto Anterior]],Conceptos_Contabilidad[#All],7,0),"")</f>
        <v/>
      </c>
      <c r="G236" t="s">
        <v>172</v>
      </c>
      <c r="H236" t="s">
        <v>172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93">
        <v>12</v>
      </c>
    </row>
    <row r="237" spans="1:11" ht="18.75" customHeight="1" x14ac:dyDescent="0.35">
      <c r="A237" s="102">
        <v>2025</v>
      </c>
      <c r="B237" t="s">
        <v>177</v>
      </c>
      <c r="C237" s="100">
        <f>IF(OR(Fact_Contabilidad[[#This Row], [Año]]="",Fact_Contabilidad[[#This Row], [Mes]]=""),"",DATE(A237,MATCH(B237,{"enero","febrero","marzo","abril","mayo","junio","julio","agosto","septiembre","octubre","noviembre","diciembre"},0)+1,0))</f>
        <v>45808</v>
      </c>
      <c r="D237" t="s">
        <v>78</v>
      </c>
      <c r="E237" t="str">
        <f>+IFERROR(VLOOKUP(Fact_Contabilidad[[#This Row], [Concepto Anterior]],Conceptos_Contabilidad[#All],5,0),"")</f>
        <v>Gestión Gastos No deducibles + recuperación de embargos</v>
      </c>
      <c r="F237" t="str">
        <f ca="1">+IFERROR(VLOOKUP(Fact_Contabilidad[[#This Row], [Concepto Anterior]],Conceptos_Contabilidad[#All],7,0),"")</f>
        <v/>
      </c>
      <c r="G237" t="s">
        <v>172</v>
      </c>
      <c r="H237" t="s">
        <v>172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93">
        <v>0</v>
      </c>
    </row>
    <row r="238" spans="1:11" ht="18.75" customHeight="1" x14ac:dyDescent="0.35">
      <c r="A238" s="102">
        <v>2025</v>
      </c>
      <c r="B238" t="s">
        <v>10</v>
      </c>
      <c r="C238" s="100">
        <f>IF(OR(Fact_Contabilidad[[#This Row], [Año]]="",Fact_Contabilidad[[#This Row], [Mes]]=""),"",DATE(A238,MATCH(B238,{"enero","febrero","marzo","abril","mayo","junio","julio","agosto","septiembre","octubre","noviembre","diciembre"},0)+1,0))</f>
        <v>45808</v>
      </c>
      <c r="D238" t="s">
        <v>192</v>
      </c>
      <c r="E238" t="str">
        <f>+IFERROR(VLOOKUP(Fact_Contabilidad[[#This Row], [Concepto Anterior]],Conceptos_Contabilidad[#All],5,0),"")</f>
        <v>Activos fijos creados Comodín</v>
      </c>
      <c r="F238" t="str">
        <f ca="1">+IFERROR(VLOOKUP(Fact_Contabilidad[[#This Row], [Concepto Anterior]],Conceptos_Contabilidad[#All],7,0),"")</f>
        <v/>
      </c>
      <c r="G238" t="s">
        <v>172</v>
      </c>
      <c r="H238" t="s">
        <v>172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93">
        <v>160</v>
      </c>
    </row>
    <row r="239" spans="1:11" ht="18.75" customHeight="1" x14ac:dyDescent="0.35">
      <c r="A239" s="102">
        <v>2025</v>
      </c>
      <c r="B239" t="s">
        <v>10</v>
      </c>
      <c r="C239" s="100">
        <f>IF(OR(Fact_Contabilidad[[#This Row], [Año]]="",Fact_Contabilidad[[#This Row], [Mes]]=""),"",DATE(A239,MATCH(B239,{"enero","febrero","marzo","abril","mayo","junio","julio","agosto","septiembre","octubre","noviembre","diciembre"},0)+1,0))</f>
        <v>45808</v>
      </c>
      <c r="D239" t="s">
        <v>193</v>
      </c>
      <c r="E239" t="str">
        <f>+IFERROR(VLOOKUP(Fact_Contabilidad[[#This Row], [Concepto Anterior]],Conceptos_Contabilidad[#All],5,0),"")</f>
        <v>Activos fijos creados Dogama</v>
      </c>
      <c r="F239" t="str">
        <f ca="1">+IFERROR(VLOOKUP(Fact_Contabilidad[[#This Row], [Concepto Anterior]],Conceptos_Contabilidad[#All],7,0),"")</f>
        <v/>
      </c>
      <c r="G239" t="s">
        <v>172</v>
      </c>
      <c r="H239" t="s">
        <v>172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93">
        <v>3</v>
      </c>
    </row>
    <row r="240" spans="1:11" ht="18.75" customHeight="1" x14ac:dyDescent="0.35">
      <c r="A240" s="102">
        <v>2025</v>
      </c>
      <c r="B240" t="s">
        <v>10</v>
      </c>
      <c r="C240" s="100">
        <f>IF(OR(Fact_Contabilidad[[#This Row], [Año]]="",Fact_Contabilidad[[#This Row], [Mes]]=""),"",DATE(A240,MATCH(B240,{"enero","febrero","marzo","abril","mayo","junio","julio","agosto","septiembre","octubre","noviembre","diciembre"},0)+1,0))</f>
        <v>45808</v>
      </c>
      <c r="D240" t="s">
        <v>194</v>
      </c>
      <c r="E240" t="str">
        <f>+IFERROR(VLOOKUP(Fact_Contabilidad[[#This Row], [Concepto Anterior]],Conceptos_Contabilidad[#All],5,0),"")</f>
        <v>Instructivos en proceso</v>
      </c>
      <c r="F240" t="str">
        <f ca="1">+IFERROR(VLOOKUP(Fact_Contabilidad[[#This Row], [Concepto Anterior]],Conceptos_Contabilidad[#All],7,0),"")</f>
        <v/>
      </c>
      <c r="G240" t="s">
        <v>172</v>
      </c>
      <c r="H240" t="s">
        <v>172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93">
        <v>0</v>
      </c>
    </row>
    <row r="241" spans="1:11" ht="18.75" customHeight="1" x14ac:dyDescent="0.35">
      <c r="A241" s="102">
        <v>2025</v>
      </c>
      <c r="B241" t="s">
        <v>10</v>
      </c>
      <c r="C241" s="100">
        <f>IF(OR(Fact_Contabilidad[[#This Row], [Año]]="",Fact_Contabilidad[[#This Row], [Mes]]=""),"",DATE(A241,MATCH(B241,{"enero","febrero","marzo","abril","mayo","junio","julio","agosto","septiembre","octubre","noviembre","diciembre"},0)+1,0))</f>
        <v>45808</v>
      </c>
      <c r="D241" t="s">
        <v>195</v>
      </c>
      <c r="E241" t="str">
        <f>+IFERROR(VLOOKUP(Fact_Contabilidad[[#This Row], [Concepto Anterior]],Conceptos_Contabilidad[#All],5,0),"")</f>
        <v>Instructivos en validación PMO</v>
      </c>
      <c r="F241" t="str">
        <f ca="1">+IFERROR(VLOOKUP(Fact_Contabilidad[[#This Row], [Concepto Anterior]],Conceptos_Contabilidad[#All],7,0),"")</f>
        <v/>
      </c>
      <c r="G241" t="s">
        <v>172</v>
      </c>
      <c r="H241" t="s">
        <v>172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93">
        <v>0</v>
      </c>
    </row>
    <row r="242" spans="1:11" ht="18.75" customHeight="1" x14ac:dyDescent="0.35">
      <c r="A242" s="102">
        <v>2025</v>
      </c>
      <c r="B242" t="s">
        <v>10</v>
      </c>
      <c r="C242" s="100">
        <f>IF(OR(Fact_Contabilidad[[#This Row], [Año]]="",Fact_Contabilidad[[#This Row], [Mes]]=""),"",DATE(A242,MATCH(B242,{"enero","febrero","marzo","abril","mayo","junio","julio","agosto","septiembre","octubre","noviembre","diciembre"},0)+1,0))</f>
        <v>45808</v>
      </c>
      <c r="D242" t="s">
        <v>196</v>
      </c>
      <c r="E242" t="str">
        <f>+IFERROR(VLOOKUP(Fact_Contabilidad[[#This Row], [Concepto Anterior]],Conceptos_Contabilidad[#All],5,0),"")</f>
        <v>Instructivos aprobados</v>
      </c>
      <c r="F242" t="str">
        <f ca="1">+IFERROR(VLOOKUP(Fact_Contabilidad[[#This Row], [Concepto Anterior]],Conceptos_Contabilidad[#All],7,0),"")</f>
        <v/>
      </c>
      <c r="G242" t="s">
        <v>172</v>
      </c>
      <c r="H242" t="s">
        <v>172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93">
        <v>0</v>
      </c>
    </row>
    <row r="243" spans="1:11" ht="18.75" customHeight="1" x14ac:dyDescent="0.35">
      <c r="A243" s="102">
        <v>2025</v>
      </c>
      <c r="B243" t="s">
        <v>10</v>
      </c>
      <c r="C243" s="100">
        <f>IF(OR(Fact_Contabilidad[[#This Row], [Año]]="",Fact_Contabilidad[[#This Row], [Mes]]=""),"",DATE(A243,MATCH(B243,{"enero","febrero","marzo","abril","mayo","junio","julio","agosto","septiembre","octubre","noviembre","diciembre"},0)+1,0))</f>
        <v>45808</v>
      </c>
      <c r="D243" t="s">
        <v>197</v>
      </c>
      <c r="E243" t="str">
        <f>+IFERROR(VLOOKUP(Fact_Contabilidad[[#This Row], [Concepto Anterior]],Conceptos_Contabilidad[#All],5,0),"")</f>
        <v>Políticas en proceso</v>
      </c>
      <c r="F243" t="str">
        <f ca="1">+IFERROR(VLOOKUP(Fact_Contabilidad[[#This Row], [Concepto Anterior]],Conceptos_Contabilidad[#All],7,0),"")</f>
        <v/>
      </c>
      <c r="G243" t="s">
        <v>172</v>
      </c>
      <c r="H243" t="s">
        <v>172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93">
        <v>1</v>
      </c>
    </row>
    <row r="244" spans="1:11" ht="18.75" customHeight="1" x14ac:dyDescent="0.35">
      <c r="A244" s="102">
        <v>2025</v>
      </c>
      <c r="B244" t="s">
        <v>10</v>
      </c>
      <c r="C244" s="100">
        <f>IF(OR(Fact_Contabilidad[[#This Row], [Año]]="",Fact_Contabilidad[[#This Row], [Mes]]=""),"",DATE(A244,MATCH(B244,{"enero","febrero","marzo","abril","mayo","junio","julio","agosto","septiembre","octubre","noviembre","diciembre"},0)+1,0))</f>
        <v>45808</v>
      </c>
      <c r="D244" t="s">
        <v>198</v>
      </c>
      <c r="E244" t="str">
        <f>+IFERROR(VLOOKUP(Fact_Contabilidad[[#This Row], [Concepto Anterior]],Conceptos_Contabilidad[#All],5,0),"")</f>
        <v>Políticas aprobadas</v>
      </c>
      <c r="F244" t="str">
        <f ca="1">+IFERROR(VLOOKUP(Fact_Contabilidad[[#This Row], [Concepto Anterior]],Conceptos_Contabilidad[#All],7,0),"")</f>
        <v/>
      </c>
      <c r="G244" t="s">
        <v>172</v>
      </c>
      <c r="H244" t="s">
        <v>172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93">
        <v>0</v>
      </c>
    </row>
    <row r="245" spans="1:11" ht="18.75" customHeight="1" x14ac:dyDescent="0.35">
      <c r="A245" s="102">
        <v>2025</v>
      </c>
      <c r="B245" t="s">
        <v>177</v>
      </c>
      <c r="C245" s="100">
        <f>IF(OR(Fact_Contabilidad[[#This Row], [Año]]="",Fact_Contabilidad[[#This Row], [Mes]]=""),"",DATE(A245,MATCH(B245,{"enero","febrero","marzo","abril","mayo","junio","julio","agosto","septiembre","octubre","noviembre","diciembre"},0)+1,0))</f>
        <v>45808</v>
      </c>
      <c r="D245" t="s">
        <v>199</v>
      </c>
      <c r="E245" t="str">
        <f>+IFERROR(VLOOKUP(Fact_Contabilidad[[#This Row], [Concepto Anterior]],Conceptos_Contabilidad[#All],5,0),"")</f>
        <v>Facturas contabilizadas Triplematch</v>
      </c>
      <c r="F245" t="str">
        <f ca="1">+IFERROR(VLOOKUP(Fact_Contabilidad[[#This Row], [Concepto Anterior]],Conceptos_Contabilidad[#All],7,0),"")</f>
        <v/>
      </c>
      <c r="G245" t="s">
        <v>172</v>
      </c>
      <c r="H245" t="s">
        <v>172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93">
        <v>0</v>
      </c>
    </row>
    <row r="246" spans="1:11" ht="18.75" customHeight="1" x14ac:dyDescent="0.35">
      <c r="A246" s="102">
        <v>2025</v>
      </c>
      <c r="B246" t="s">
        <v>177</v>
      </c>
      <c r="C246" s="100">
        <f>IF(OR(Fact_Contabilidad[[#This Row], [Año]]="",Fact_Contabilidad[[#This Row], [Mes]]=""),"",DATE(A246,MATCH(B246,{"enero","febrero","marzo","abril","mayo","junio","julio","agosto","septiembre","octubre","noviembre","diciembre"},0)+1,0))</f>
        <v>45808</v>
      </c>
      <c r="D246" t="s">
        <v>200</v>
      </c>
      <c r="E246" t="str">
        <f>+IFERROR(VLOOKUP(Fact_Contabilidad[[#This Row], [Concepto Anterior]],Conceptos_Contabilidad[#All],5,0),"")</f>
        <v>Facturas contabilizadas Script</v>
      </c>
      <c r="F246" t="str">
        <f ca="1">+IFERROR(VLOOKUP(Fact_Contabilidad[[#This Row], [Concepto Anterior]],Conceptos_Contabilidad[#All],7,0),"")</f>
        <v/>
      </c>
      <c r="G246" t="s">
        <v>172</v>
      </c>
      <c r="H246" t="s">
        <v>172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93">
        <v>0</v>
      </c>
    </row>
    <row r="247" spans="1:11" ht="18.75" customHeight="1" x14ac:dyDescent="0.35">
      <c r="A247" s="102">
        <v>2025</v>
      </c>
      <c r="B247" t="s">
        <v>178</v>
      </c>
      <c r="C247" s="100">
        <f>IF(OR(Fact_Contabilidad[[#This Row], [Año]]="",Fact_Contabilidad[[#This Row], [Mes]]=""),"",DATE(A247,MATCH(B247,{"enero","febrero","marzo","abril","mayo","junio","julio","agosto","septiembre","octubre","noviembre","diciembre"},0)+1,0))</f>
        <v>45838</v>
      </c>
      <c r="D247" t="s">
        <v>79</v>
      </c>
      <c r="E247" t="str">
        <f>+IFERROR(VLOOKUP(Fact_Contabilidad[[#This Row], [Concepto Anterior]],Conceptos_Contabilidad[#All],5,0),"")</f>
        <v>Cuentas Contables Conciliadas</v>
      </c>
      <c r="F247" t="str">
        <f ca="1">+IFERROR(VLOOKUP(Fact_Contabilidad[[#This Row], [Concepto Anterior]],Conceptos_Contabilidad[#All],7,0),"")</f>
        <v/>
      </c>
      <c r="G247" t="s">
        <v>172</v>
      </c>
      <c r="H247" t="s">
        <v>172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93">
        <v>1327</v>
      </c>
    </row>
    <row r="248" spans="1:11" ht="18.75" customHeight="1" x14ac:dyDescent="0.35">
      <c r="A248" s="102">
        <v>2025</v>
      </c>
      <c r="B248" t="s">
        <v>178</v>
      </c>
      <c r="C248" s="100">
        <f>IF(OR(Fact_Contabilidad[[#This Row], [Año]]="",Fact_Contabilidad[[#This Row], [Mes]]=""),"",DATE(A248,MATCH(B248,{"enero","febrero","marzo","abril","mayo","junio","julio","agosto","septiembre","octubre","noviembre","diciembre"},0)+1,0))</f>
        <v>45838</v>
      </c>
      <c r="D248" t="s">
        <v>70</v>
      </c>
      <c r="E248" t="str">
        <f>+IFERROR(VLOOKUP(Fact_Contabilidad[[#This Row], [Concepto Anterior]],Conceptos_Contabilidad[#All],5,0),"")</f>
        <v>Facturas Contabilizada</v>
      </c>
      <c r="F248" t="str">
        <f ca="1">+IFERROR(VLOOKUP(Fact_Contabilidad[[#This Row], [Concepto Anterior]],Conceptos_Contabilidad[#All],7,0),"")</f>
        <v/>
      </c>
      <c r="G248" t="s">
        <v>172</v>
      </c>
      <c r="H248" t="s">
        <v>172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93">
        <v>9663</v>
      </c>
    </row>
    <row r="249" spans="1:11" ht="18.75" customHeight="1" x14ac:dyDescent="0.35">
      <c r="A249" s="102">
        <v>2025</v>
      </c>
      <c r="B249" t="s">
        <v>178</v>
      </c>
      <c r="C249" s="100">
        <f>IF(OR(Fact_Contabilidad[[#This Row], [Año]]="",Fact_Contabilidad[[#This Row], [Mes]]=""),"",DATE(A249,MATCH(B249,{"enero","febrero","marzo","abril","mayo","junio","julio","agosto","septiembre","octubre","noviembre","diciembre"},0)+1,0))</f>
        <v>45838</v>
      </c>
      <c r="D249" t="s">
        <v>71</v>
      </c>
      <c r="E249" t="str">
        <f>+IFERROR(VLOOKUP(Fact_Contabilidad[[#This Row], [Concepto Anterior]],Conceptos_Contabilidad[#All],5,0),"")</f>
        <v>Facturas Contabilizada</v>
      </c>
      <c r="F249" t="str">
        <f ca="1">+IFERROR(VLOOKUP(Fact_Contabilidad[[#This Row], [Concepto Anterior]],Conceptos_Contabilidad[#All],7,0),"")</f>
        <v/>
      </c>
      <c r="G249" t="s">
        <v>172</v>
      </c>
      <c r="H249" t="s">
        <v>172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93">
        <v>699</v>
      </c>
    </row>
    <row r="250" spans="1:11" ht="18.75" customHeight="1" x14ac:dyDescent="0.35">
      <c r="A250" s="102">
        <v>2025</v>
      </c>
      <c r="B250" t="s">
        <v>178</v>
      </c>
      <c r="C250" s="100">
        <f>IF(OR(Fact_Contabilidad[[#This Row], [Año]]="",Fact_Contabilidad[[#This Row], [Mes]]=""),"",DATE(A250,MATCH(B250,{"enero","febrero","marzo","abril","mayo","junio","julio","agosto","septiembre","octubre","noviembre","diciembre"},0)+1,0))</f>
        <v>45838</v>
      </c>
      <c r="D250" t="s">
        <v>130</v>
      </c>
      <c r="E250" t="str">
        <f>+IFERROR(VLOOKUP(Fact_Contabilidad[[#This Row], [Concepto Anterior]],Conceptos_Contabilidad[#All],5,0),"")</f>
        <v>Facturas Contabilizada</v>
      </c>
      <c r="F250" t="str">
        <f ca="1">+IFERROR(VLOOKUP(Fact_Contabilidad[[#This Row], [Concepto Anterior]],Conceptos_Contabilidad[#All],7,0),"")</f>
        <v/>
      </c>
      <c r="G250" t="s">
        <v>172</v>
      </c>
      <c r="H250" t="s">
        <v>172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93">
        <v>149</v>
      </c>
    </row>
    <row r="251" spans="1:11" ht="18.75" customHeight="1" x14ac:dyDescent="0.35">
      <c r="A251" s="102">
        <v>2025</v>
      </c>
      <c r="B251" t="s">
        <v>178</v>
      </c>
      <c r="C251" s="100">
        <f>IF(OR(Fact_Contabilidad[[#This Row], [Año]]="",Fact_Contabilidad[[#This Row], [Mes]]=""),"",DATE(A251,MATCH(B251,{"enero","febrero","marzo","abril","mayo","junio","julio","agosto","septiembre","octubre","noviembre","diciembre"},0)+1,0))</f>
        <v>45838</v>
      </c>
      <c r="D251" t="s">
        <v>134</v>
      </c>
      <c r="E251" t="str">
        <f>+IFERROR(VLOOKUP(Fact_Contabilidad[[#This Row], [Concepto Anterior]],Conceptos_Contabilidad[#All],5,0),"")</f>
        <v>Facturas Contabilizada</v>
      </c>
      <c r="F251" t="str">
        <f ca="1">+IFERROR(VLOOKUP(Fact_Contabilidad[[#This Row], [Concepto Anterior]],Conceptos_Contabilidad[#All],7,0),"")</f>
        <v/>
      </c>
      <c r="G251" t="s">
        <v>172</v>
      </c>
      <c r="H251" t="s">
        <v>172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93">
        <v>43</v>
      </c>
    </row>
    <row r="252" spans="1:11" ht="18.75" customHeight="1" x14ac:dyDescent="0.35">
      <c r="A252" s="102">
        <v>2025</v>
      </c>
      <c r="B252" t="s">
        <v>178</v>
      </c>
      <c r="C252" s="100">
        <f>IF(OR(Fact_Contabilidad[[#This Row], [Año]]="",Fact_Contabilidad[[#This Row], [Mes]]=""),"",DATE(A252,MATCH(B252,{"enero","febrero","marzo","abril","mayo","junio","julio","agosto","septiembre","octubre","noviembre","diciembre"},0)+1,0))</f>
        <v>45838</v>
      </c>
      <c r="D252" t="s">
        <v>131</v>
      </c>
      <c r="E252" t="str">
        <f>+IFERROR(VLOOKUP(Fact_Contabilidad[[#This Row], [Concepto Anterior]],Conceptos_Contabilidad[#All],5,0),"")</f>
        <v>Facturas Contabilizada</v>
      </c>
      <c r="F252" t="str">
        <f ca="1">+IFERROR(VLOOKUP(Fact_Contabilidad[[#This Row], [Concepto Anterior]],Conceptos_Contabilidad[#All],7,0),"")</f>
        <v/>
      </c>
      <c r="G252" t="s">
        <v>172</v>
      </c>
      <c r="H252" t="s">
        <v>172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93">
        <v>83</v>
      </c>
    </row>
    <row r="253" spans="1:11" ht="18.75" customHeight="1" x14ac:dyDescent="0.35">
      <c r="A253" s="102">
        <v>2025</v>
      </c>
      <c r="B253" t="s">
        <v>178</v>
      </c>
      <c r="C253" s="100">
        <f>IF(OR(Fact_Contabilidad[[#This Row], [Año]]="",Fact_Contabilidad[[#This Row], [Mes]]=""),"",DATE(A253,MATCH(B253,{"enero","febrero","marzo","abril","mayo","junio","julio","agosto","septiembre","octubre","noviembre","diciembre"},0)+1,0))</f>
        <v>45838</v>
      </c>
      <c r="D253" t="s">
        <v>133</v>
      </c>
      <c r="E253" t="str">
        <f>+IFERROR(VLOOKUP(Fact_Contabilidad[[#This Row], [Concepto Anterior]],Conceptos_Contabilidad[#All],5,0),"")</f>
        <v>Facturas Contabilizada</v>
      </c>
      <c r="F253" t="str">
        <f ca="1">+IFERROR(VLOOKUP(Fact_Contabilidad[[#This Row], [Concepto Anterior]],Conceptos_Contabilidad[#All],7,0),"")</f>
        <v/>
      </c>
      <c r="G253" t="s">
        <v>172</v>
      </c>
      <c r="H253" t="s">
        <v>172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93">
        <v>10</v>
      </c>
    </row>
    <row r="254" spans="1:11" ht="18.75" customHeight="1" x14ac:dyDescent="0.35">
      <c r="A254" s="102">
        <v>2025</v>
      </c>
      <c r="B254" t="s">
        <v>178</v>
      </c>
      <c r="C254" s="100">
        <f>IF(OR(Fact_Contabilidad[[#This Row], [Año]]="",Fact_Contabilidad[[#This Row], [Mes]]=""),"",DATE(A254,MATCH(B254,{"enero","febrero","marzo","abril","mayo","junio","julio","agosto","septiembre","octubre","noviembre","diciembre"},0)+1,0))</f>
        <v>45838</v>
      </c>
      <c r="D254" t="s">
        <v>132</v>
      </c>
      <c r="E254" t="str">
        <f>+IFERROR(VLOOKUP(Fact_Contabilidad[[#This Row], [Concepto Anterior]],Conceptos_Contabilidad[#All],5,0),"")</f>
        <v>Facturas Contabilizada</v>
      </c>
      <c r="F254" t="str">
        <f ca="1">+IFERROR(VLOOKUP(Fact_Contabilidad[[#This Row], [Concepto Anterior]],Conceptos_Contabilidad[#All],7,0),"")</f>
        <v/>
      </c>
      <c r="G254" t="s">
        <v>172</v>
      </c>
      <c r="H254" t="s">
        <v>172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93">
        <v>26</v>
      </c>
    </row>
    <row r="255" spans="1:11" ht="18.75" customHeight="1" x14ac:dyDescent="0.35">
      <c r="A255" s="102">
        <v>2025</v>
      </c>
      <c r="B255" t="s">
        <v>178</v>
      </c>
      <c r="C255" s="100">
        <f>IF(OR(Fact_Contabilidad[[#This Row], [Año]]="",Fact_Contabilidad[[#This Row], [Mes]]=""),"",DATE(A255,MATCH(B255,{"enero","febrero","marzo","abril","mayo","junio","julio","agosto","septiembre","octubre","noviembre","diciembre"},0)+1,0))</f>
        <v>45838</v>
      </c>
      <c r="D255" t="s">
        <v>147</v>
      </c>
      <c r="E255" t="str">
        <f>+IFERROR(VLOOKUP(Fact_Contabilidad[[#This Row], [Concepto Anterior]],Conceptos_Contabilidad[#All],5,0),"")</f>
        <v>Gestión Gastos No deducibles + recuperación de embargos</v>
      </c>
      <c r="F255" t="str">
        <f ca="1">+IFERROR(VLOOKUP(Fact_Contabilidad[[#This Row], [Concepto Anterior]],Conceptos_Contabilidad[#All],7,0),"")</f>
        <v/>
      </c>
      <c r="G255" t="s">
        <v>172</v>
      </c>
      <c r="H255" t="s">
        <v>172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93">
        <v>93773133</v>
      </c>
    </row>
    <row r="256" spans="1:11" ht="18.75" customHeight="1" x14ac:dyDescent="0.35">
      <c r="A256" s="102">
        <v>2025</v>
      </c>
      <c r="B256" t="s">
        <v>178</v>
      </c>
      <c r="C256" s="100">
        <f>IF(OR(Fact_Contabilidad[[#This Row], [Año]]="",Fact_Contabilidad[[#This Row], [Mes]]=""),"",DATE(A256,MATCH(B256,{"enero","febrero","marzo","abril","mayo","junio","julio","agosto","septiembre","octubre","noviembre","diciembre"},0)+1,0))</f>
        <v>45838</v>
      </c>
      <c r="D256" t="s">
        <v>146</v>
      </c>
      <c r="E256" t="str">
        <f>+IFERROR(VLOOKUP(Fact_Contabilidad[[#This Row], [Concepto Anterior]],Conceptos_Contabilidad[#All],5,0),"")</f>
        <v>Gestión Gastos No deducibles + recuperación de embargos</v>
      </c>
      <c r="F256" t="str">
        <f ca="1">+IFERROR(VLOOKUP(Fact_Contabilidad[[#This Row], [Concepto Anterior]],Conceptos_Contabilidad[#All],7,0),"")</f>
        <v/>
      </c>
      <c r="G256" t="s">
        <v>172</v>
      </c>
      <c r="H256" t="s">
        <v>172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93">
        <v>18957206</v>
      </c>
    </row>
    <row r="257" spans="1:11" ht="18.75" customHeight="1" x14ac:dyDescent="0.35">
      <c r="A257" s="102">
        <v>2025</v>
      </c>
      <c r="B257" t="s">
        <v>178</v>
      </c>
      <c r="C257" s="100">
        <f>IF(OR(Fact_Contabilidad[[#This Row], [Año]]="",Fact_Contabilidad[[#This Row], [Mes]]=""),"",DATE(A257,MATCH(B257,{"enero","febrero","marzo","abril","mayo","junio","julio","agosto","septiembre","octubre","noviembre","diciembre"},0)+1,0))</f>
        <v>45838</v>
      </c>
      <c r="D257" t="s">
        <v>136</v>
      </c>
      <c r="E257" t="str">
        <f>+IFERROR(VLOOKUP(Fact_Contabilidad[[#This Row], [Concepto Anterior]],Conceptos_Contabilidad[#All],5,0),"")</f>
        <v>el 95 % del cumplimiento (sale del promedio de la fila)</v>
      </c>
      <c r="F257" t="str">
        <f ca="1">+IFERROR(VLOOKUP(Fact_Contabilidad[[#This Row], [Concepto Anterior]],Conceptos_Contabilidad[#All],7,0),"")</f>
        <v/>
      </c>
      <c r="G257" t="s">
        <v>172</v>
      </c>
      <c r="H257" t="s">
        <v>172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92">
        <v>0.93</v>
      </c>
    </row>
    <row r="258" spans="1:11" ht="18.75" customHeight="1" x14ac:dyDescent="0.35">
      <c r="A258" s="102">
        <v>2025</v>
      </c>
      <c r="B258" t="s">
        <v>178</v>
      </c>
      <c r="C258" s="100">
        <f>IF(OR(Fact_Contabilidad[[#This Row], [Año]]="",Fact_Contabilidad[[#This Row], [Mes]]=""),"",DATE(A258,MATCH(B258,{"enero","febrero","marzo","abril","mayo","junio","julio","agosto","septiembre","octubre","noviembre","diciembre"},0)+1,0))</f>
        <v>45838</v>
      </c>
      <c r="D258" t="s">
        <v>135</v>
      </c>
      <c r="E258" t="str">
        <f>+IFERROR(VLOOKUP(Fact_Contabilidad[[#This Row], [Concepto Anterior]],Conceptos_Contabilidad[#All],5,0),"")</f>
        <v>Gestión Gastos No deducibles + recuperación de embargos</v>
      </c>
      <c r="F258" t="str">
        <f ca="1">+IFERROR(VLOOKUP(Fact_Contabilidad[[#This Row], [Concepto Anterior]],Conceptos_Contabilidad[#All],7,0),"")</f>
        <v/>
      </c>
      <c r="G258" t="s">
        <v>172</v>
      </c>
      <c r="H258" t="s">
        <v>172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93">
        <v>2803741</v>
      </c>
    </row>
    <row r="259" spans="1:11" ht="18.75" customHeight="1" x14ac:dyDescent="0.35">
      <c r="A259" s="102">
        <v>2025</v>
      </c>
      <c r="B259" t="s">
        <v>178</v>
      </c>
      <c r="C259" s="100">
        <f>IF(OR(Fact_Contabilidad[[#This Row], [Año]]="",Fact_Contabilidad[[#This Row], [Mes]]=""),"",DATE(A259,MATCH(B259,{"enero","febrero","marzo","abril","mayo","junio","julio","agosto","septiembre","octubre","noviembre","diciembre"},0)+1,0))</f>
        <v>45838</v>
      </c>
      <c r="D259" t="s">
        <v>76</v>
      </c>
      <c r="E259" t="str">
        <f>+IFERROR(VLOOKUP(Fact_Contabilidad[[#This Row], [Concepto Anterior]],Conceptos_Contabilidad[#All],5,0),"")</f>
        <v>Informes Contables</v>
      </c>
      <c r="F259" t="str">
        <f ca="1">+IFERROR(VLOOKUP(Fact_Contabilidad[[#This Row], [Concepto Anterior]],Conceptos_Contabilidad[#All],7,0),"")</f>
        <v/>
      </c>
      <c r="G259" t="s">
        <v>172</v>
      </c>
      <c r="H259" t="s">
        <v>172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93">
        <v>9</v>
      </c>
    </row>
    <row r="260" spans="1:11" ht="18.75" customHeight="1" x14ac:dyDescent="0.35">
      <c r="A260" s="102">
        <v>2025</v>
      </c>
      <c r="B260" t="s">
        <v>178</v>
      </c>
      <c r="C260" s="100">
        <f>IF(OR(Fact_Contabilidad[[#This Row], [Año]]="",Fact_Contabilidad[[#This Row], [Mes]]=""),"",DATE(A260,MATCH(B260,{"enero","febrero","marzo","abril","mayo","junio","julio","agosto","septiembre","octubre","noviembre","diciembre"},0)+1,0))</f>
        <v>45838</v>
      </c>
      <c r="D260" t="s">
        <v>102</v>
      </c>
      <c r="E260" t="str">
        <f>+IFERROR(VLOOKUP(Fact_Contabilidad[[#This Row], [Concepto Anterior]],Conceptos_Contabilidad[#All],5,0),"")</f>
        <v>Numero de razones sociales atendidas directas</v>
      </c>
      <c r="F260" t="str">
        <f ca="1">+IFERROR(VLOOKUP(Fact_Contabilidad[[#This Row], [Concepto Anterior]],Conceptos_Contabilidad[#All],7,0),"")</f>
        <v/>
      </c>
      <c r="G260" t="s">
        <v>172</v>
      </c>
      <c r="H260" t="s">
        <v>172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93">
        <v>16</v>
      </c>
    </row>
    <row r="261" spans="1:11" ht="18.75" customHeight="1" x14ac:dyDescent="0.35">
      <c r="A261" s="102">
        <v>2025</v>
      </c>
      <c r="B261" t="s">
        <v>178</v>
      </c>
      <c r="C261" s="100">
        <f>IF(OR(Fact_Contabilidad[[#This Row], [Año]]="",Fact_Contabilidad[[#This Row], [Mes]]=""),"",DATE(A261,MATCH(B261,{"enero","febrero","marzo","abril","mayo","junio","julio","agosto","septiembre","octubre","noviembre","diciembre"},0)+1,0))</f>
        <v>45838</v>
      </c>
      <c r="D261" t="s">
        <v>137</v>
      </c>
      <c r="E261" t="str">
        <f>+IFERROR(VLOOKUP(Fact_Contabilidad[[#This Row], [Concepto Anterior]],Conceptos_Contabilidad[#All],5,0),"")</f>
        <v>Numero de razones sociales atendidas indirectas (matricial)</v>
      </c>
      <c r="F261" t="str">
        <f ca="1">+IFERROR(VLOOKUP(Fact_Contabilidad[[#This Row], [Concepto Anterior]],Conceptos_Contabilidad[#All],7,0),"")</f>
        <v/>
      </c>
      <c r="G261" t="s">
        <v>172</v>
      </c>
      <c r="H261" t="s">
        <v>172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93">
        <v>12</v>
      </c>
    </row>
    <row r="262" spans="1:11" ht="18.75" customHeight="1" x14ac:dyDescent="0.35">
      <c r="A262" s="102">
        <v>2025</v>
      </c>
      <c r="B262" t="s">
        <v>178</v>
      </c>
      <c r="C262" s="100">
        <f>IF(OR(Fact_Contabilidad[[#This Row], [Año]]="",Fact_Contabilidad[[#This Row], [Mes]]=""),"",DATE(A262,MATCH(B262,{"enero","febrero","marzo","abril","mayo","junio","julio","agosto","septiembre","octubre","noviembre","diciembre"},0)+1,0))</f>
        <v>45838</v>
      </c>
      <c r="D262" t="s">
        <v>78</v>
      </c>
      <c r="E262" t="str">
        <f>+IFERROR(VLOOKUP(Fact_Contabilidad[[#This Row], [Concepto Anterior]],Conceptos_Contabilidad[#All],5,0),"")</f>
        <v>Gestión Gastos No deducibles + recuperación de embargos</v>
      </c>
      <c r="F262" t="str">
        <f ca="1">+IFERROR(VLOOKUP(Fact_Contabilidad[[#This Row], [Concepto Anterior]],Conceptos_Contabilidad[#All],7,0),"")</f>
        <v/>
      </c>
      <c r="G262" t="s">
        <v>172</v>
      </c>
      <c r="H262" t="s">
        <v>172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93">
        <v>0</v>
      </c>
    </row>
    <row r="263" spans="1:11" ht="18.75" customHeight="1" x14ac:dyDescent="0.35">
      <c r="A263" s="102">
        <v>2025</v>
      </c>
      <c r="B263" t="s">
        <v>11</v>
      </c>
      <c r="C263" s="100">
        <f>IF(OR(Fact_Contabilidad[[#This Row], [Año]]="",Fact_Contabilidad[[#This Row], [Mes]]=""),"",DATE(A263,MATCH(B263,{"enero","febrero","marzo","abril","mayo","junio","julio","agosto","septiembre","octubre","noviembre","diciembre"},0)+1,0))</f>
        <v>45838</v>
      </c>
      <c r="D263" t="s">
        <v>192</v>
      </c>
      <c r="E263" t="str">
        <f>+IFERROR(VLOOKUP(Fact_Contabilidad[[#This Row], [Concepto Anterior]],Conceptos_Contabilidad[#All],5,0),"")</f>
        <v>Activos fijos creados Comodín</v>
      </c>
      <c r="F263" t="str">
        <f ca="1">+IFERROR(VLOOKUP(Fact_Contabilidad[[#This Row], [Concepto Anterior]],Conceptos_Contabilidad[#All],7,0),"")</f>
        <v/>
      </c>
      <c r="G263" t="s">
        <v>172</v>
      </c>
      <c r="H263" t="s">
        <v>172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93">
        <v>75</v>
      </c>
    </row>
    <row r="264" spans="1:11" ht="18.75" customHeight="1" x14ac:dyDescent="0.35">
      <c r="A264" s="102">
        <v>2025</v>
      </c>
      <c r="B264" t="s">
        <v>11</v>
      </c>
      <c r="C264" s="100">
        <f>IF(OR(Fact_Contabilidad[[#This Row], [Año]]="",Fact_Contabilidad[[#This Row], [Mes]]=""),"",DATE(A264,MATCH(B264,{"enero","febrero","marzo","abril","mayo","junio","julio","agosto","septiembre","octubre","noviembre","diciembre"},0)+1,0))</f>
        <v>45838</v>
      </c>
      <c r="D264" t="s">
        <v>193</v>
      </c>
      <c r="E264" t="str">
        <f>+IFERROR(VLOOKUP(Fact_Contabilidad[[#This Row], [Concepto Anterior]],Conceptos_Contabilidad[#All],5,0),"")</f>
        <v>Activos fijos creados Dogama</v>
      </c>
      <c r="F264" t="str">
        <f ca="1">+IFERROR(VLOOKUP(Fact_Contabilidad[[#This Row], [Concepto Anterior]],Conceptos_Contabilidad[#All],7,0),"")</f>
        <v/>
      </c>
      <c r="G264" t="s">
        <v>172</v>
      </c>
      <c r="H264" t="s">
        <v>172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93">
        <v>0</v>
      </c>
    </row>
    <row r="265" spans="1:11" ht="18.75" customHeight="1" x14ac:dyDescent="0.35">
      <c r="A265" s="102">
        <v>2025</v>
      </c>
      <c r="B265" t="s">
        <v>11</v>
      </c>
      <c r="C265" s="100">
        <f>IF(OR(Fact_Contabilidad[[#This Row], [Año]]="",Fact_Contabilidad[[#This Row], [Mes]]=""),"",DATE(A265,MATCH(B265,{"enero","febrero","marzo","abril","mayo","junio","julio","agosto","septiembre","octubre","noviembre","diciembre"},0)+1,0))</f>
        <v>45838</v>
      </c>
      <c r="D265" t="s">
        <v>194</v>
      </c>
      <c r="E265" t="str">
        <f>+IFERROR(VLOOKUP(Fact_Contabilidad[[#This Row], [Concepto Anterior]],Conceptos_Contabilidad[#All],5,0),"")</f>
        <v>Instructivos en proceso</v>
      </c>
      <c r="F265" t="str">
        <f ca="1">+IFERROR(VLOOKUP(Fact_Contabilidad[[#This Row], [Concepto Anterior]],Conceptos_Contabilidad[#All],7,0),"")</f>
        <v/>
      </c>
      <c r="G265" t="s">
        <v>172</v>
      </c>
      <c r="H265" t="s">
        <v>172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93">
        <v>0</v>
      </c>
    </row>
    <row r="266" spans="1:11" ht="18.75" customHeight="1" x14ac:dyDescent="0.35">
      <c r="A266" s="102">
        <v>2025</v>
      </c>
      <c r="B266" t="s">
        <v>11</v>
      </c>
      <c r="C266" s="100">
        <f>IF(OR(Fact_Contabilidad[[#This Row], [Año]]="",Fact_Contabilidad[[#This Row], [Mes]]=""),"",DATE(A266,MATCH(B266,{"enero","febrero","marzo","abril","mayo","junio","julio","agosto","septiembre","octubre","noviembre","diciembre"},0)+1,0))</f>
        <v>45838</v>
      </c>
      <c r="D266" t="s">
        <v>195</v>
      </c>
      <c r="E266" t="str">
        <f>+IFERROR(VLOOKUP(Fact_Contabilidad[[#This Row], [Concepto Anterior]],Conceptos_Contabilidad[#All],5,0),"")</f>
        <v>Instructivos en validación PMO</v>
      </c>
      <c r="F266" t="str">
        <f ca="1">+IFERROR(VLOOKUP(Fact_Contabilidad[[#This Row], [Concepto Anterior]],Conceptos_Contabilidad[#All],7,0),"")</f>
        <v/>
      </c>
      <c r="G266" t="s">
        <v>172</v>
      </c>
      <c r="H266" t="s">
        <v>172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93">
        <v>0</v>
      </c>
    </row>
    <row r="267" spans="1:11" ht="18.75" customHeight="1" x14ac:dyDescent="0.35">
      <c r="A267" s="102">
        <v>2025</v>
      </c>
      <c r="B267" t="s">
        <v>11</v>
      </c>
      <c r="C267" s="100">
        <f>IF(OR(Fact_Contabilidad[[#This Row], [Año]]="",Fact_Contabilidad[[#This Row], [Mes]]=""),"",DATE(A267,MATCH(B267,{"enero","febrero","marzo","abril","mayo","junio","julio","agosto","septiembre","octubre","noviembre","diciembre"},0)+1,0))</f>
        <v>45838</v>
      </c>
      <c r="D267" t="s">
        <v>196</v>
      </c>
      <c r="E267" t="str">
        <f>+IFERROR(VLOOKUP(Fact_Contabilidad[[#This Row], [Concepto Anterior]],Conceptos_Contabilidad[#All],5,0),"")</f>
        <v>Instructivos aprobados</v>
      </c>
      <c r="F267" t="str">
        <f ca="1">+IFERROR(VLOOKUP(Fact_Contabilidad[[#This Row], [Concepto Anterior]],Conceptos_Contabilidad[#All],7,0),"")</f>
        <v/>
      </c>
      <c r="G267" t="s">
        <v>172</v>
      </c>
      <c r="H267" t="s">
        <v>172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93">
        <v>0</v>
      </c>
    </row>
    <row r="268" spans="1:11" ht="18.75" customHeight="1" x14ac:dyDescent="0.35">
      <c r="A268" s="102">
        <v>2025</v>
      </c>
      <c r="B268" t="s">
        <v>11</v>
      </c>
      <c r="C268" s="100">
        <f>IF(OR(Fact_Contabilidad[[#This Row], [Año]]="",Fact_Contabilidad[[#This Row], [Mes]]=""),"",DATE(A268,MATCH(B268,{"enero","febrero","marzo","abril","mayo","junio","julio","agosto","septiembre","octubre","noviembre","diciembre"},0)+1,0))</f>
        <v>45838</v>
      </c>
      <c r="D268" t="s">
        <v>197</v>
      </c>
      <c r="E268" t="str">
        <f>+IFERROR(VLOOKUP(Fact_Contabilidad[[#This Row], [Concepto Anterior]],Conceptos_Contabilidad[#All],5,0),"")</f>
        <v>Políticas en proceso</v>
      </c>
      <c r="F268" t="str">
        <f ca="1">+IFERROR(VLOOKUP(Fact_Contabilidad[[#This Row], [Concepto Anterior]],Conceptos_Contabilidad[#All],7,0),"")</f>
        <v/>
      </c>
      <c r="G268" t="s">
        <v>172</v>
      </c>
      <c r="H268" t="s">
        <v>172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93">
        <v>1</v>
      </c>
    </row>
    <row r="269" spans="1:11" ht="18.75" customHeight="1" x14ac:dyDescent="0.35">
      <c r="A269" s="102">
        <v>2025</v>
      </c>
      <c r="B269" t="s">
        <v>11</v>
      </c>
      <c r="C269" s="100">
        <f>IF(OR(Fact_Contabilidad[[#This Row], [Año]]="",Fact_Contabilidad[[#This Row], [Mes]]=""),"",DATE(A269,MATCH(B269,{"enero","febrero","marzo","abril","mayo","junio","julio","agosto","septiembre","octubre","noviembre","diciembre"},0)+1,0))</f>
        <v>45838</v>
      </c>
      <c r="D269" t="s">
        <v>198</v>
      </c>
      <c r="E269" t="str">
        <f>+IFERROR(VLOOKUP(Fact_Contabilidad[[#This Row], [Concepto Anterior]],Conceptos_Contabilidad[#All],5,0),"")</f>
        <v>Políticas aprobadas</v>
      </c>
      <c r="F269" t="str">
        <f ca="1">+IFERROR(VLOOKUP(Fact_Contabilidad[[#This Row], [Concepto Anterior]],Conceptos_Contabilidad[#All],7,0),"")</f>
        <v/>
      </c>
      <c r="G269" t="s">
        <v>172</v>
      </c>
      <c r="H269" t="s">
        <v>172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93">
        <v>3</v>
      </c>
    </row>
    <row r="270" spans="1:11" ht="18.75" customHeight="1" x14ac:dyDescent="0.35">
      <c r="A270" s="102">
        <v>2025</v>
      </c>
      <c r="B270" t="s">
        <v>178</v>
      </c>
      <c r="C270" s="100">
        <f>IF(OR(Fact_Contabilidad[[#This Row], [Año]]="",Fact_Contabilidad[[#This Row], [Mes]]=""),"",DATE(A270,MATCH(B270,{"enero","febrero","marzo","abril","mayo","junio","julio","agosto","septiembre","octubre","noviembre","diciembre"},0)+1,0))</f>
        <v>45838</v>
      </c>
      <c r="D270" t="s">
        <v>199</v>
      </c>
      <c r="E270" t="str">
        <f>+IFERROR(VLOOKUP(Fact_Contabilidad[[#This Row], [Concepto Anterior]],Conceptos_Contabilidad[#All],5,0),"")</f>
        <v>Facturas contabilizadas Triplematch</v>
      </c>
      <c r="F270" t="str">
        <f ca="1">+IFERROR(VLOOKUP(Fact_Contabilidad[[#This Row], [Concepto Anterior]],Conceptos_Contabilidad[#All],7,0),"")</f>
        <v/>
      </c>
      <c r="G270" t="s">
        <v>172</v>
      </c>
      <c r="H270" t="s">
        <v>172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93">
        <v>373</v>
      </c>
    </row>
    <row r="271" spans="1:11" ht="18.75" customHeight="1" x14ac:dyDescent="0.35">
      <c r="A271" s="102">
        <v>2025</v>
      </c>
      <c r="B271" t="s">
        <v>178</v>
      </c>
      <c r="C271" s="100">
        <f>IF(OR(Fact_Contabilidad[[#This Row], [Año]]="",Fact_Contabilidad[[#This Row], [Mes]]=""),"",DATE(A271,MATCH(B271,{"enero","febrero","marzo","abril","mayo","junio","julio","agosto","septiembre","octubre","noviembre","diciembre"},0)+1,0))</f>
        <v>45838</v>
      </c>
      <c r="D271" t="s">
        <v>200</v>
      </c>
      <c r="E271" t="str">
        <f>+IFERROR(VLOOKUP(Fact_Contabilidad[[#This Row], [Concepto Anterior]],Conceptos_Contabilidad[#All],5,0),"")</f>
        <v>Facturas contabilizadas Script</v>
      </c>
      <c r="F271" t="str">
        <f ca="1">+IFERROR(VLOOKUP(Fact_Contabilidad[[#This Row], [Concepto Anterior]],Conceptos_Contabilidad[#All],7,0),"")</f>
        <v/>
      </c>
      <c r="G271" t="s">
        <v>172</v>
      </c>
      <c r="H271" t="s">
        <v>172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93">
        <v>0</v>
      </c>
    </row>
    <row r="272" spans="1:11" ht="18.75" customHeight="1" x14ac:dyDescent="0.35">
      <c r="A272" s="102">
        <v>2025</v>
      </c>
      <c r="B272" t="s">
        <v>179</v>
      </c>
      <c r="C272" s="100">
        <f>IF(OR(Fact_Contabilidad[[#This Row], [Año]]="",Fact_Contabilidad[[#This Row], [Mes]]=""),"",DATE(A272,MATCH(B272,{"enero","febrero","marzo","abril","mayo","junio","julio","agosto","septiembre","octubre","noviembre","diciembre"},0)+1,0))</f>
        <v>45869</v>
      </c>
      <c r="D272" t="s">
        <v>79</v>
      </c>
      <c r="E272" t="str">
        <f>+IFERROR(VLOOKUP(Fact_Contabilidad[[#This Row], [Concepto Anterior]],Conceptos_Contabilidad[#All],5,0),"")</f>
        <v>Cuentas Contables Conciliadas</v>
      </c>
      <c r="F272" t="str">
        <f ca="1">+IFERROR(VLOOKUP(Fact_Contabilidad[[#This Row], [Concepto Anterior]],Conceptos_Contabilidad[#All],7,0),"")</f>
        <v/>
      </c>
      <c r="G272" t="s">
        <v>172</v>
      </c>
      <c r="H272" t="s">
        <v>172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93">
        <v>1329</v>
      </c>
    </row>
    <row r="273" spans="1:11" ht="18.75" customHeight="1" x14ac:dyDescent="0.35">
      <c r="A273" s="102">
        <v>2025</v>
      </c>
      <c r="B273" t="s">
        <v>179</v>
      </c>
      <c r="C273" s="100">
        <f>IF(OR(Fact_Contabilidad[[#This Row], [Año]]="",Fact_Contabilidad[[#This Row], [Mes]]=""),"",DATE(A273,MATCH(B273,{"enero","febrero","marzo","abril","mayo","junio","julio","agosto","septiembre","octubre","noviembre","diciembre"},0)+1,0))</f>
        <v>45869</v>
      </c>
      <c r="D273" t="s">
        <v>70</v>
      </c>
      <c r="E273" t="str">
        <f>+IFERROR(VLOOKUP(Fact_Contabilidad[[#This Row], [Concepto Anterior]],Conceptos_Contabilidad[#All],5,0),"")</f>
        <v>Facturas Contabilizada</v>
      </c>
      <c r="F273" t="str">
        <f ca="1">+IFERROR(VLOOKUP(Fact_Contabilidad[[#This Row], [Concepto Anterior]],Conceptos_Contabilidad[#All],7,0),"")</f>
        <v/>
      </c>
      <c r="G273" t="s">
        <v>172</v>
      </c>
      <c r="H273" t="s">
        <v>172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93">
        <v>11346</v>
      </c>
    </row>
    <row r="274" spans="1:11" ht="18.75" customHeight="1" x14ac:dyDescent="0.35">
      <c r="A274" s="102">
        <v>2025</v>
      </c>
      <c r="B274" t="s">
        <v>179</v>
      </c>
      <c r="C274" s="100">
        <f>IF(OR(Fact_Contabilidad[[#This Row], [Año]]="",Fact_Contabilidad[[#This Row], [Mes]]=""),"",DATE(A274,MATCH(B274,{"enero","febrero","marzo","abril","mayo","junio","julio","agosto","septiembre","octubre","noviembre","diciembre"},0)+1,0))</f>
        <v>45869</v>
      </c>
      <c r="D274" t="s">
        <v>71</v>
      </c>
      <c r="E274" t="str">
        <f>+IFERROR(VLOOKUP(Fact_Contabilidad[[#This Row], [Concepto Anterior]],Conceptos_Contabilidad[#All],5,0),"")</f>
        <v>Facturas Contabilizada</v>
      </c>
      <c r="F274" t="str">
        <f ca="1">+IFERROR(VLOOKUP(Fact_Contabilidad[[#This Row], [Concepto Anterior]],Conceptos_Contabilidad[#All],7,0),"")</f>
        <v/>
      </c>
      <c r="G274" t="s">
        <v>172</v>
      </c>
      <c r="H274" t="s">
        <v>172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93">
        <v>395</v>
      </c>
    </row>
    <row r="275" spans="1:11" ht="18.75" customHeight="1" x14ac:dyDescent="0.35">
      <c r="A275" s="102">
        <v>2025</v>
      </c>
      <c r="B275" t="s">
        <v>179</v>
      </c>
      <c r="C275" s="100">
        <f>IF(OR(Fact_Contabilidad[[#This Row], [Año]]="",Fact_Contabilidad[[#This Row], [Mes]]=""),"",DATE(A275,MATCH(B275,{"enero","febrero","marzo","abril","mayo","junio","julio","agosto","septiembre","octubre","noviembre","diciembre"},0)+1,0))</f>
        <v>45869</v>
      </c>
      <c r="D275" t="s">
        <v>130</v>
      </c>
      <c r="E275" t="str">
        <f>+IFERROR(VLOOKUP(Fact_Contabilidad[[#This Row], [Concepto Anterior]],Conceptos_Contabilidad[#All],5,0),"")</f>
        <v>Facturas Contabilizada</v>
      </c>
      <c r="F275" t="str">
        <f ca="1">+IFERROR(VLOOKUP(Fact_Contabilidad[[#This Row], [Concepto Anterior]],Conceptos_Contabilidad[#All],7,0),"")</f>
        <v/>
      </c>
      <c r="G275" t="s">
        <v>172</v>
      </c>
      <c r="H275" t="s">
        <v>172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93">
        <v>111</v>
      </c>
    </row>
    <row r="276" spans="1:11" ht="18.75" customHeight="1" x14ac:dyDescent="0.35">
      <c r="A276" s="102">
        <v>2025</v>
      </c>
      <c r="B276" t="s">
        <v>179</v>
      </c>
      <c r="C276" s="100">
        <f>IF(OR(Fact_Contabilidad[[#This Row], [Año]]="",Fact_Contabilidad[[#This Row], [Mes]]=""),"",DATE(A276,MATCH(B276,{"enero","febrero","marzo","abril","mayo","junio","julio","agosto","septiembre","octubre","noviembre","diciembre"},0)+1,0))</f>
        <v>45869</v>
      </c>
      <c r="D276" t="s">
        <v>134</v>
      </c>
      <c r="E276" t="str">
        <f>+IFERROR(VLOOKUP(Fact_Contabilidad[[#This Row], [Concepto Anterior]],Conceptos_Contabilidad[#All],5,0),"")</f>
        <v>Facturas Contabilizada</v>
      </c>
      <c r="F276" t="str">
        <f ca="1">+IFERROR(VLOOKUP(Fact_Contabilidad[[#This Row], [Concepto Anterior]],Conceptos_Contabilidad[#All],7,0),"")</f>
        <v/>
      </c>
      <c r="G276" t="s">
        <v>172</v>
      </c>
      <c r="H276" t="s">
        <v>172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93">
        <v>51</v>
      </c>
    </row>
    <row r="277" spans="1:11" ht="18.75" customHeight="1" x14ac:dyDescent="0.35">
      <c r="A277" s="102">
        <v>2025</v>
      </c>
      <c r="B277" t="s">
        <v>179</v>
      </c>
      <c r="C277" s="100">
        <f>IF(OR(Fact_Contabilidad[[#This Row], [Año]]="",Fact_Contabilidad[[#This Row], [Mes]]=""),"",DATE(A277,MATCH(B277,{"enero","febrero","marzo","abril","mayo","junio","julio","agosto","septiembre","octubre","noviembre","diciembre"},0)+1,0))</f>
        <v>45869</v>
      </c>
      <c r="D277" t="s">
        <v>131</v>
      </c>
      <c r="E277" t="str">
        <f>+IFERROR(VLOOKUP(Fact_Contabilidad[[#This Row], [Concepto Anterior]],Conceptos_Contabilidad[#All],5,0),"")</f>
        <v>Facturas Contabilizada</v>
      </c>
      <c r="F277" t="str">
        <f ca="1">+IFERROR(VLOOKUP(Fact_Contabilidad[[#This Row], [Concepto Anterior]],Conceptos_Contabilidad[#All],7,0),"")</f>
        <v/>
      </c>
      <c r="G277" t="s">
        <v>172</v>
      </c>
      <c r="H277" t="s">
        <v>172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93">
        <v>62</v>
      </c>
    </row>
    <row r="278" spans="1:11" ht="18.75" customHeight="1" x14ac:dyDescent="0.35">
      <c r="A278" s="102">
        <v>2025</v>
      </c>
      <c r="B278" t="s">
        <v>179</v>
      </c>
      <c r="C278" s="100">
        <f>IF(OR(Fact_Contabilidad[[#This Row], [Año]]="",Fact_Contabilidad[[#This Row], [Mes]]=""),"",DATE(A278,MATCH(B278,{"enero","febrero","marzo","abril","mayo","junio","julio","agosto","septiembre","octubre","noviembre","diciembre"},0)+1,0))</f>
        <v>45869</v>
      </c>
      <c r="D278" t="s">
        <v>133</v>
      </c>
      <c r="E278" t="str">
        <f>+IFERROR(VLOOKUP(Fact_Contabilidad[[#This Row], [Concepto Anterior]],Conceptos_Contabilidad[#All],5,0),"")</f>
        <v>Facturas Contabilizada</v>
      </c>
      <c r="F278" t="str">
        <f ca="1">+IFERROR(VLOOKUP(Fact_Contabilidad[[#This Row], [Concepto Anterior]],Conceptos_Contabilidad[#All],7,0),"")</f>
        <v/>
      </c>
      <c r="G278" t="s">
        <v>172</v>
      </c>
      <c r="H278" t="s">
        <v>172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93">
        <v>11</v>
      </c>
    </row>
    <row r="279" spans="1:11" ht="18.75" customHeight="1" x14ac:dyDescent="0.35">
      <c r="A279" s="102">
        <v>2025</v>
      </c>
      <c r="B279" t="s">
        <v>179</v>
      </c>
      <c r="C279" s="100">
        <f>IF(OR(Fact_Contabilidad[[#This Row], [Año]]="",Fact_Contabilidad[[#This Row], [Mes]]=""),"",DATE(A279,MATCH(B279,{"enero","febrero","marzo","abril","mayo","junio","julio","agosto","septiembre","octubre","noviembre","diciembre"},0)+1,0))</f>
        <v>45869</v>
      </c>
      <c r="D279" t="s">
        <v>132</v>
      </c>
      <c r="E279" t="str">
        <f>+IFERROR(VLOOKUP(Fact_Contabilidad[[#This Row], [Concepto Anterior]],Conceptos_Contabilidad[#All],5,0),"")</f>
        <v>Facturas Contabilizada</v>
      </c>
      <c r="F279" t="str">
        <f ca="1">+IFERROR(VLOOKUP(Fact_Contabilidad[[#This Row], [Concepto Anterior]],Conceptos_Contabilidad[#All],7,0),"")</f>
        <v/>
      </c>
      <c r="G279" t="s">
        <v>172</v>
      </c>
      <c r="H279" t="s">
        <v>172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93">
        <v>32</v>
      </c>
    </row>
    <row r="280" spans="1:11" ht="18.75" customHeight="1" x14ac:dyDescent="0.35">
      <c r="A280" s="102">
        <v>2025</v>
      </c>
      <c r="B280" t="s">
        <v>179</v>
      </c>
      <c r="C280" s="100">
        <f>IF(OR(Fact_Contabilidad[[#This Row], [Año]]="",Fact_Contabilidad[[#This Row], [Mes]]=""),"",DATE(A280,MATCH(B280,{"enero","febrero","marzo","abril","mayo","junio","julio","agosto","septiembre","octubre","noviembre","diciembre"},0)+1,0))</f>
        <v>45869</v>
      </c>
      <c r="D280" t="s">
        <v>147</v>
      </c>
      <c r="E280" t="str">
        <f>+IFERROR(VLOOKUP(Fact_Contabilidad[[#This Row], [Concepto Anterior]],Conceptos_Contabilidad[#All],5,0),"")</f>
        <v>Gestión Gastos No deducibles + recuperación de embargos</v>
      </c>
      <c r="F280" t="str">
        <f ca="1">+IFERROR(VLOOKUP(Fact_Contabilidad[[#This Row], [Concepto Anterior]],Conceptos_Contabilidad[#All],7,0),"")</f>
        <v/>
      </c>
      <c r="G280" t="s">
        <v>172</v>
      </c>
      <c r="H280" t="s">
        <v>172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93">
        <v>13420205</v>
      </c>
    </row>
    <row r="281" spans="1:11" ht="18.75" customHeight="1" x14ac:dyDescent="0.35">
      <c r="A281" s="102">
        <v>2025</v>
      </c>
      <c r="B281" t="s">
        <v>179</v>
      </c>
      <c r="C281" s="100">
        <f>IF(OR(Fact_Contabilidad[[#This Row], [Año]]="",Fact_Contabilidad[[#This Row], [Mes]]=""),"",DATE(A281,MATCH(B281,{"enero","febrero","marzo","abril","mayo","junio","julio","agosto","septiembre","octubre","noviembre","diciembre"},0)+1,0))</f>
        <v>45869</v>
      </c>
      <c r="D281" t="s">
        <v>146</v>
      </c>
      <c r="E281" t="str">
        <f>+IFERROR(VLOOKUP(Fact_Contabilidad[[#This Row], [Concepto Anterior]],Conceptos_Contabilidad[#All],5,0),"")</f>
        <v>Gestión Gastos No deducibles + recuperación de embargos</v>
      </c>
      <c r="F281" t="str">
        <f ca="1">+IFERROR(VLOOKUP(Fact_Contabilidad[[#This Row], [Concepto Anterior]],Conceptos_Contabilidad[#All],7,0),"")</f>
        <v/>
      </c>
      <c r="G281" t="s">
        <v>172</v>
      </c>
      <c r="H281" t="s">
        <v>172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93">
        <v>97439592</v>
      </c>
    </row>
    <row r="282" spans="1:11" ht="18.75" customHeight="1" x14ac:dyDescent="0.35">
      <c r="A282" s="102">
        <v>2025</v>
      </c>
      <c r="B282" t="s">
        <v>179</v>
      </c>
      <c r="C282" s="100">
        <f>IF(OR(Fact_Contabilidad[[#This Row], [Año]]="",Fact_Contabilidad[[#This Row], [Mes]]=""),"",DATE(A282,MATCH(B282,{"enero","febrero","marzo","abril","mayo","junio","julio","agosto","septiembre","octubre","noviembre","diciembre"},0)+1,0))</f>
        <v>45869</v>
      </c>
      <c r="D282" t="s">
        <v>136</v>
      </c>
      <c r="E282" t="str">
        <f>+IFERROR(VLOOKUP(Fact_Contabilidad[[#This Row], [Concepto Anterior]],Conceptos_Contabilidad[#All],5,0),"")</f>
        <v>el 95 % del cumplimiento (sale del promedio de la fila)</v>
      </c>
      <c r="F282" t="str">
        <f ca="1">+IFERROR(VLOOKUP(Fact_Contabilidad[[#This Row], [Concepto Anterior]],Conceptos_Contabilidad[#All],7,0),"")</f>
        <v/>
      </c>
      <c r="G282" t="s">
        <v>172</v>
      </c>
      <c r="H282" t="s">
        <v>172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92">
        <v>0.95</v>
      </c>
    </row>
    <row r="283" spans="1:11" ht="18.75" customHeight="1" x14ac:dyDescent="0.35">
      <c r="A283" s="102">
        <v>2025</v>
      </c>
      <c r="B283" t="s">
        <v>179</v>
      </c>
      <c r="C283" s="100">
        <f>IF(OR(Fact_Contabilidad[[#This Row], [Año]]="",Fact_Contabilidad[[#This Row], [Mes]]=""),"",DATE(A283,MATCH(B283,{"enero","febrero","marzo","abril","mayo","junio","julio","agosto","septiembre","octubre","noviembre","diciembre"},0)+1,0))</f>
        <v>45869</v>
      </c>
      <c r="D283" t="s">
        <v>135</v>
      </c>
      <c r="E283" t="str">
        <f>+IFERROR(VLOOKUP(Fact_Contabilidad[[#This Row], [Concepto Anterior]],Conceptos_Contabilidad[#All],5,0),"")</f>
        <v>Gestión Gastos No deducibles + recuperación de embargos</v>
      </c>
      <c r="F283" t="str">
        <f ca="1">+IFERROR(VLOOKUP(Fact_Contabilidad[[#This Row], [Concepto Anterior]],Conceptos_Contabilidad[#All],7,0),"")</f>
        <v/>
      </c>
      <c r="G283" t="s">
        <v>172</v>
      </c>
      <c r="H283" t="s">
        <v>172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93">
        <v>5153560</v>
      </c>
    </row>
    <row r="284" spans="1:11" ht="18.75" customHeight="1" x14ac:dyDescent="0.35">
      <c r="A284" s="102">
        <v>2025</v>
      </c>
      <c r="B284" t="s">
        <v>179</v>
      </c>
      <c r="C284" s="100">
        <f>IF(OR(Fact_Contabilidad[[#This Row], [Año]]="",Fact_Contabilidad[[#This Row], [Mes]]=""),"",DATE(A284,MATCH(B284,{"enero","febrero","marzo","abril","mayo","junio","julio","agosto","septiembre","octubre","noviembre","diciembre"},0)+1,0))</f>
        <v>45869</v>
      </c>
      <c r="D284" t="s">
        <v>76</v>
      </c>
      <c r="E284" t="str">
        <f>+IFERROR(VLOOKUP(Fact_Contabilidad[[#This Row], [Concepto Anterior]],Conceptos_Contabilidad[#All],5,0),"")</f>
        <v>Informes Contables</v>
      </c>
      <c r="F284" t="str">
        <f ca="1">+IFERROR(VLOOKUP(Fact_Contabilidad[[#This Row], [Concepto Anterior]],Conceptos_Contabilidad[#All],7,0),"")</f>
        <v/>
      </c>
      <c r="G284" t="s">
        <v>172</v>
      </c>
      <c r="H284" t="s">
        <v>172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93">
        <v>4</v>
      </c>
    </row>
    <row r="285" spans="1:11" ht="18.75" customHeight="1" x14ac:dyDescent="0.35">
      <c r="A285" s="102">
        <v>2025</v>
      </c>
      <c r="B285" t="s">
        <v>179</v>
      </c>
      <c r="C285" s="100">
        <f>IF(OR(Fact_Contabilidad[[#This Row], [Año]]="",Fact_Contabilidad[[#This Row], [Mes]]=""),"",DATE(A285,MATCH(B285,{"enero","febrero","marzo","abril","mayo","junio","julio","agosto","septiembre","octubre","noviembre","diciembre"},0)+1,0))</f>
        <v>45869</v>
      </c>
      <c r="D285" t="s">
        <v>102</v>
      </c>
      <c r="E285" t="str">
        <f>+IFERROR(VLOOKUP(Fact_Contabilidad[[#This Row], [Concepto Anterior]],Conceptos_Contabilidad[#All],5,0),"")</f>
        <v>Numero de razones sociales atendidas directas</v>
      </c>
      <c r="F285" t="str">
        <f ca="1">+IFERROR(VLOOKUP(Fact_Contabilidad[[#This Row], [Concepto Anterior]],Conceptos_Contabilidad[#All],7,0),"")</f>
        <v/>
      </c>
      <c r="G285" t="s">
        <v>172</v>
      </c>
      <c r="H285" t="s">
        <v>172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93">
        <v>16</v>
      </c>
    </row>
    <row r="286" spans="1:11" ht="18.75" customHeight="1" x14ac:dyDescent="0.35">
      <c r="A286" s="102">
        <v>2025</v>
      </c>
      <c r="B286" t="s">
        <v>179</v>
      </c>
      <c r="C286" s="100">
        <f>IF(OR(Fact_Contabilidad[[#This Row], [Año]]="",Fact_Contabilidad[[#This Row], [Mes]]=""),"",DATE(A286,MATCH(B286,{"enero","febrero","marzo","abril","mayo","junio","julio","agosto","septiembre","octubre","noviembre","diciembre"},0)+1,0))</f>
        <v>45869</v>
      </c>
      <c r="D286" t="s">
        <v>137</v>
      </c>
      <c r="E286" t="str">
        <f>+IFERROR(VLOOKUP(Fact_Contabilidad[[#This Row], [Concepto Anterior]],Conceptos_Contabilidad[#All],5,0),"")</f>
        <v>Numero de razones sociales atendidas indirectas (matricial)</v>
      </c>
      <c r="F286" t="str">
        <f ca="1">+IFERROR(VLOOKUP(Fact_Contabilidad[[#This Row], [Concepto Anterior]],Conceptos_Contabilidad[#All],7,0),"")</f>
        <v/>
      </c>
      <c r="G286" t="s">
        <v>172</v>
      </c>
      <c r="H286" t="s">
        <v>172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93">
        <v>12</v>
      </c>
    </row>
    <row r="287" spans="1:11" ht="18.75" customHeight="1" x14ac:dyDescent="0.35">
      <c r="A287" s="102">
        <v>2025</v>
      </c>
      <c r="B287" t="s">
        <v>179</v>
      </c>
      <c r="C287" s="100">
        <f>IF(OR(Fact_Contabilidad[[#This Row], [Año]]="",Fact_Contabilidad[[#This Row], [Mes]]=""),"",DATE(A287,MATCH(B287,{"enero","febrero","marzo","abril","mayo","junio","julio","agosto","septiembre","octubre","noviembre","diciembre"},0)+1,0))</f>
        <v>45869</v>
      </c>
      <c r="D287" t="s">
        <v>78</v>
      </c>
      <c r="E287" t="str">
        <f>+IFERROR(VLOOKUP(Fact_Contabilidad[[#This Row], [Concepto Anterior]],Conceptos_Contabilidad[#All],5,0),"")</f>
        <v>Gestión Gastos No deducibles + recuperación de embargos</v>
      </c>
      <c r="F287" t="str">
        <f ca="1">+IFERROR(VLOOKUP(Fact_Contabilidad[[#This Row], [Concepto Anterior]],Conceptos_Contabilidad[#All],7,0),"")</f>
        <v/>
      </c>
      <c r="G287" t="s">
        <v>172</v>
      </c>
      <c r="H287" t="s">
        <v>172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93">
        <v>0</v>
      </c>
    </row>
    <row r="288" spans="1:11" ht="18.75" customHeight="1" x14ac:dyDescent="0.35">
      <c r="A288" s="102">
        <v>2025</v>
      </c>
      <c r="B288" t="s">
        <v>179</v>
      </c>
      <c r="C288" s="100">
        <f>IF(OR(Fact_Contabilidad[[#This Row], [Año]]="",Fact_Contabilidad[[#This Row], [Mes]]=""),"",DATE(A288,MATCH(B288,{"enero","febrero","marzo","abril","mayo","junio","julio","agosto","septiembre","octubre","noviembre","diciembre"},0)+1,0))</f>
        <v>45869</v>
      </c>
      <c r="D288" t="s">
        <v>192</v>
      </c>
      <c r="E288" t="str">
        <f>+IFERROR(VLOOKUP(Fact_Contabilidad[[#This Row], [Concepto Anterior]],Conceptos_Contabilidad[#All],5,0),"")</f>
        <v>Activos fijos creados Comodín</v>
      </c>
      <c r="F288" t="str">
        <f ca="1">+IFERROR(VLOOKUP(Fact_Contabilidad[[#This Row], [Concepto Anterior]],Conceptos_Contabilidad[#All],7,0),"")</f>
        <v/>
      </c>
      <c r="G288" t="s">
        <v>172</v>
      </c>
      <c r="H288" t="s">
        <v>172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93">
        <v>208</v>
      </c>
    </row>
    <row r="289" spans="1:11" ht="18.75" customHeight="1" x14ac:dyDescent="0.35">
      <c r="A289" s="102">
        <v>2025</v>
      </c>
      <c r="B289" t="s">
        <v>179</v>
      </c>
      <c r="C289" s="100">
        <f>IF(OR(Fact_Contabilidad[[#This Row], [Año]]="",Fact_Contabilidad[[#This Row], [Mes]]=""),"",DATE(A289,MATCH(B289,{"enero","febrero","marzo","abril","mayo","junio","julio","agosto","septiembre","octubre","noviembre","diciembre"},0)+1,0))</f>
        <v>45869</v>
      </c>
      <c r="D289" t="s">
        <v>193</v>
      </c>
      <c r="E289" t="str">
        <f>+IFERROR(VLOOKUP(Fact_Contabilidad[[#This Row], [Concepto Anterior]],Conceptos_Contabilidad[#All],5,0),"")</f>
        <v>Activos fijos creados Dogama</v>
      </c>
      <c r="F289" t="str">
        <f ca="1">+IFERROR(VLOOKUP(Fact_Contabilidad[[#This Row], [Concepto Anterior]],Conceptos_Contabilidad[#All],7,0),"")</f>
        <v/>
      </c>
      <c r="G289" t="s">
        <v>172</v>
      </c>
      <c r="H289" t="s">
        <v>172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93">
        <v>1</v>
      </c>
    </row>
    <row r="290" spans="1:11" ht="18.75" customHeight="1" x14ac:dyDescent="0.35">
      <c r="A290" s="102">
        <v>2025</v>
      </c>
      <c r="B290" t="s">
        <v>179</v>
      </c>
      <c r="C290" s="100">
        <f>IF(OR(Fact_Contabilidad[[#This Row], [Año]]="",Fact_Contabilidad[[#This Row], [Mes]]=""),"",DATE(A290,MATCH(B290,{"enero","febrero","marzo","abril","mayo","junio","julio","agosto","septiembre","octubre","noviembre","diciembre"},0)+1,0))</f>
        <v>45869</v>
      </c>
      <c r="D290" t="s">
        <v>194</v>
      </c>
      <c r="E290" t="str">
        <f>+IFERROR(VLOOKUP(Fact_Contabilidad[[#This Row], [Concepto Anterior]],Conceptos_Contabilidad[#All],5,0),"")</f>
        <v>Instructivos en proceso</v>
      </c>
      <c r="F290" t="str">
        <f ca="1">+IFERROR(VLOOKUP(Fact_Contabilidad[[#This Row], [Concepto Anterior]],Conceptos_Contabilidad[#All],7,0),"")</f>
        <v/>
      </c>
      <c r="G290" t="s">
        <v>172</v>
      </c>
      <c r="H290" t="s">
        <v>172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93">
        <v>0</v>
      </c>
    </row>
    <row r="291" spans="1:11" ht="18.75" customHeight="1" x14ac:dyDescent="0.35">
      <c r="A291" s="102">
        <v>2025</v>
      </c>
      <c r="B291" t="s">
        <v>179</v>
      </c>
      <c r="C291" s="100">
        <f>IF(OR(Fact_Contabilidad[[#This Row], [Año]]="",Fact_Contabilidad[[#This Row], [Mes]]=""),"",DATE(A291,MATCH(B291,{"enero","febrero","marzo","abril","mayo","junio","julio","agosto","septiembre","octubre","noviembre","diciembre"},0)+1,0))</f>
        <v>45869</v>
      </c>
      <c r="D291" t="s">
        <v>195</v>
      </c>
      <c r="E291" t="str">
        <f>+IFERROR(VLOOKUP(Fact_Contabilidad[[#This Row], [Concepto Anterior]],Conceptos_Contabilidad[#All],5,0),"")</f>
        <v>Instructivos en validación PMO</v>
      </c>
      <c r="F291" t="str">
        <f ca="1">+IFERROR(VLOOKUP(Fact_Contabilidad[[#This Row], [Concepto Anterior]],Conceptos_Contabilidad[#All],7,0),"")</f>
        <v/>
      </c>
      <c r="G291" t="s">
        <v>172</v>
      </c>
      <c r="H291" t="s">
        <v>172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93">
        <v>0</v>
      </c>
    </row>
    <row r="292" spans="1:11" ht="18.75" customHeight="1" x14ac:dyDescent="0.35">
      <c r="A292" s="102">
        <v>2025</v>
      </c>
      <c r="B292" t="s">
        <v>179</v>
      </c>
      <c r="C292" s="100">
        <f>IF(OR(Fact_Contabilidad[[#This Row], [Año]]="",Fact_Contabilidad[[#This Row], [Mes]]=""),"",DATE(A292,MATCH(B292,{"enero","febrero","marzo","abril","mayo","junio","julio","agosto","septiembre","octubre","noviembre","diciembre"},0)+1,0))</f>
        <v>45869</v>
      </c>
      <c r="D292" t="s">
        <v>196</v>
      </c>
      <c r="E292" t="str">
        <f>+IFERROR(VLOOKUP(Fact_Contabilidad[[#This Row], [Concepto Anterior]],Conceptos_Contabilidad[#All],5,0),"")</f>
        <v>Instructivos aprobados</v>
      </c>
      <c r="F292" t="str">
        <f ca="1">+IFERROR(VLOOKUP(Fact_Contabilidad[[#This Row], [Concepto Anterior]],Conceptos_Contabilidad[#All],7,0),"")</f>
        <v/>
      </c>
      <c r="G292" t="s">
        <v>172</v>
      </c>
      <c r="H292" t="s">
        <v>172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93">
        <v>0</v>
      </c>
    </row>
    <row r="293" spans="1:11" ht="18.75" customHeight="1" x14ac:dyDescent="0.35">
      <c r="A293" s="102">
        <v>2025</v>
      </c>
      <c r="B293" t="s">
        <v>179</v>
      </c>
      <c r="C293" s="100">
        <f>IF(OR(Fact_Contabilidad[[#This Row], [Año]]="",Fact_Contabilidad[[#This Row], [Mes]]=""),"",DATE(A293,MATCH(B293,{"enero","febrero","marzo","abril","mayo","junio","julio","agosto","septiembre","octubre","noviembre","diciembre"},0)+1,0))</f>
        <v>45869</v>
      </c>
      <c r="D293" t="s">
        <v>197</v>
      </c>
      <c r="E293" t="str">
        <f>+IFERROR(VLOOKUP(Fact_Contabilidad[[#This Row], [Concepto Anterior]],Conceptos_Contabilidad[#All],5,0),"")</f>
        <v>Políticas en proceso</v>
      </c>
      <c r="F293" t="str">
        <f ca="1">+IFERROR(VLOOKUP(Fact_Contabilidad[[#This Row], [Concepto Anterior]],Conceptos_Contabilidad[#All],7,0),"")</f>
        <v/>
      </c>
      <c r="G293" t="s">
        <v>172</v>
      </c>
      <c r="H293" t="s">
        <v>172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93">
        <v>1</v>
      </c>
    </row>
    <row r="294" spans="1:11" ht="18.75" customHeight="1" x14ac:dyDescent="0.35">
      <c r="A294" s="102">
        <v>2025</v>
      </c>
      <c r="B294" t="s">
        <v>179</v>
      </c>
      <c r="C294" s="100">
        <f>IF(OR(Fact_Contabilidad[[#This Row], [Año]]="",Fact_Contabilidad[[#This Row], [Mes]]=""),"",DATE(A294,MATCH(B294,{"enero","febrero","marzo","abril","mayo","junio","julio","agosto","septiembre","octubre","noviembre","diciembre"},0)+1,0))</f>
        <v>45869</v>
      </c>
      <c r="D294" t="s">
        <v>198</v>
      </c>
      <c r="E294" t="str">
        <f>+IFERROR(VLOOKUP(Fact_Contabilidad[[#This Row], [Concepto Anterior]],Conceptos_Contabilidad[#All],5,0),"")</f>
        <v>Políticas aprobadas</v>
      </c>
      <c r="F294" t="str">
        <f ca="1">+IFERROR(VLOOKUP(Fact_Contabilidad[[#This Row], [Concepto Anterior]],Conceptos_Contabilidad[#All],7,0),"")</f>
        <v/>
      </c>
      <c r="G294" t="s">
        <v>172</v>
      </c>
      <c r="H294" t="s">
        <v>172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93">
        <v>0</v>
      </c>
    </row>
    <row r="295" spans="1:11" ht="18.75" customHeight="1" x14ac:dyDescent="0.35">
      <c r="A295" s="102">
        <v>2025</v>
      </c>
      <c r="B295" t="s">
        <v>179</v>
      </c>
      <c r="C295" s="100">
        <f>IF(OR(Fact_Contabilidad[[#This Row], [Año]]="",Fact_Contabilidad[[#This Row], [Mes]]=""),"",DATE(A295,MATCH(B295,{"enero","febrero","marzo","abril","mayo","junio","julio","agosto","septiembre","octubre","noviembre","diciembre"},0)+1,0))</f>
        <v>45869</v>
      </c>
      <c r="D295" t="s">
        <v>199</v>
      </c>
      <c r="E295" t="str">
        <f>+IFERROR(VLOOKUP(Fact_Contabilidad[[#This Row], [Concepto Anterior]],Conceptos_Contabilidad[#All],5,0),"")</f>
        <v>Facturas contabilizadas Triplematch</v>
      </c>
      <c r="F295" t="str">
        <f ca="1">+IFERROR(VLOOKUP(Fact_Contabilidad[[#This Row], [Concepto Anterior]],Conceptos_Contabilidad[#All],7,0),"")</f>
        <v/>
      </c>
      <c r="G295" t="s">
        <v>172</v>
      </c>
      <c r="H295" t="s">
        <v>172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93">
        <v>1244</v>
      </c>
    </row>
    <row r="296" spans="1:11" ht="18.75" customHeight="1" x14ac:dyDescent="0.35">
      <c r="A296" s="102">
        <v>2025</v>
      </c>
      <c r="B296" t="s">
        <v>179</v>
      </c>
      <c r="C296" s="100">
        <f>IF(OR(Fact_Contabilidad[[#This Row], [Año]]="",Fact_Contabilidad[[#This Row], [Mes]]=""),"",DATE(A296,MATCH(B296,{"enero","febrero","marzo","abril","mayo","junio","julio","agosto","septiembre","octubre","noviembre","diciembre"},0)+1,0))</f>
        <v>45869</v>
      </c>
      <c r="D296" t="s">
        <v>200</v>
      </c>
      <c r="E296" t="str">
        <f>+IFERROR(VLOOKUP(Fact_Contabilidad[[#This Row], [Concepto Anterior]],Conceptos_Contabilidad[#All],5,0),"")</f>
        <v>Facturas contabilizadas Script</v>
      </c>
      <c r="F296" t="str">
        <f ca="1">+IFERROR(VLOOKUP(Fact_Contabilidad[[#This Row], [Concepto Anterior]],Conceptos_Contabilidad[#All],7,0),"")</f>
        <v/>
      </c>
      <c r="G296" t="s">
        <v>172</v>
      </c>
      <c r="H296" t="s">
        <v>172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93">
        <v>0</v>
      </c>
    </row>
    <row r="297" spans="1:11" ht="18.75" customHeight="1" x14ac:dyDescent="0.35">
      <c r="A297" s="102">
        <v>2025</v>
      </c>
      <c r="B297" t="s">
        <v>180</v>
      </c>
      <c r="C297" s="100">
        <f>IF(OR(Fact_Contabilidad[[#This Row], [Año]]="",Fact_Contabilidad[[#This Row], [Mes]]=""),"",DATE(A297,MATCH(B297,{"enero","febrero","marzo","abril","mayo","junio","julio","agosto","septiembre","octubre","noviembre","diciembre"},0)+1,0))</f>
        <v>45900</v>
      </c>
      <c r="D297" t="s">
        <v>79</v>
      </c>
      <c r="E297" t="str">
        <f>+IFERROR(VLOOKUP(Fact_Contabilidad[[#This Row], [Concepto Anterior]],Conceptos_Contabilidad[#All],5,0),"")</f>
        <v>Cuentas Contables Conciliadas</v>
      </c>
      <c r="F297" t="str">
        <f ca="1">+IFERROR(VLOOKUP(Fact_Contabilidad[[#This Row], [Concepto Anterior]],Conceptos_Contabilidad[#All],7,0),"")</f>
        <v/>
      </c>
      <c r="G297" t="s">
        <v>172</v>
      </c>
      <c r="H297" t="s">
        <v>172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93">
        <v>1334</v>
      </c>
    </row>
    <row r="298" spans="1:11" ht="18.75" customHeight="1" x14ac:dyDescent="0.35">
      <c r="A298" s="102">
        <v>2025</v>
      </c>
      <c r="B298" t="s">
        <v>180</v>
      </c>
      <c r="C298" s="100">
        <f>IF(OR(Fact_Contabilidad[[#This Row], [Año]]="",Fact_Contabilidad[[#This Row], [Mes]]=""),"",DATE(A298,MATCH(B298,{"enero","febrero","marzo","abril","mayo","junio","julio","agosto","septiembre","octubre","noviembre","diciembre"},0)+1,0))</f>
        <v>45900</v>
      </c>
      <c r="D298" t="s">
        <v>70</v>
      </c>
      <c r="E298" t="str">
        <f>+IFERROR(VLOOKUP(Fact_Contabilidad[[#This Row], [Concepto Anterior]],Conceptos_Contabilidad[#All],5,0),"")</f>
        <v>Facturas Contabilizada</v>
      </c>
      <c r="F298" t="str">
        <f ca="1">+IFERROR(VLOOKUP(Fact_Contabilidad[[#This Row], [Concepto Anterior]],Conceptos_Contabilidad[#All],7,0),"")</f>
        <v/>
      </c>
      <c r="G298" t="s">
        <v>172</v>
      </c>
      <c r="H298" t="s">
        <v>172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93">
        <v>9310</v>
      </c>
    </row>
    <row r="299" spans="1:11" ht="18.75" customHeight="1" x14ac:dyDescent="0.35">
      <c r="A299" s="102">
        <v>2025</v>
      </c>
      <c r="B299" t="s">
        <v>180</v>
      </c>
      <c r="C299" s="100">
        <f>IF(OR(Fact_Contabilidad[[#This Row], [Año]]="",Fact_Contabilidad[[#This Row], [Mes]]=""),"",DATE(A299,MATCH(B299,{"enero","febrero","marzo","abril","mayo","junio","julio","agosto","septiembre","octubre","noviembre","diciembre"},0)+1,0))</f>
        <v>45900</v>
      </c>
      <c r="D299" t="s">
        <v>71</v>
      </c>
      <c r="E299" t="str">
        <f>+IFERROR(VLOOKUP(Fact_Contabilidad[[#This Row], [Concepto Anterior]],Conceptos_Contabilidad[#All],5,0),"")</f>
        <v>Facturas Contabilizada</v>
      </c>
      <c r="F299" t="str">
        <f ca="1">+IFERROR(VLOOKUP(Fact_Contabilidad[[#This Row], [Concepto Anterior]],Conceptos_Contabilidad[#All],7,0),"")</f>
        <v/>
      </c>
      <c r="G299" t="s">
        <v>172</v>
      </c>
      <c r="H299" t="s">
        <v>172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93">
        <v>288</v>
      </c>
    </row>
    <row r="300" spans="1:11" ht="18.75" customHeight="1" x14ac:dyDescent="0.35">
      <c r="A300" s="102">
        <v>2025</v>
      </c>
      <c r="B300" t="s">
        <v>180</v>
      </c>
      <c r="C300" s="100">
        <f>IF(OR(Fact_Contabilidad[[#This Row], [Año]]="",Fact_Contabilidad[[#This Row], [Mes]]=""),"",DATE(A300,MATCH(B300,{"enero","febrero","marzo","abril","mayo","junio","julio","agosto","septiembre","octubre","noviembre","diciembre"},0)+1,0))</f>
        <v>45900</v>
      </c>
      <c r="D300" t="s">
        <v>130</v>
      </c>
      <c r="E300" t="str">
        <f>+IFERROR(VLOOKUP(Fact_Contabilidad[[#This Row], [Concepto Anterior]],Conceptos_Contabilidad[#All],5,0),"")</f>
        <v>Facturas Contabilizada</v>
      </c>
      <c r="F300" t="str">
        <f ca="1">+IFERROR(VLOOKUP(Fact_Contabilidad[[#This Row], [Concepto Anterior]],Conceptos_Contabilidad[#All],7,0),"")</f>
        <v/>
      </c>
      <c r="G300" t="s">
        <v>172</v>
      </c>
      <c r="H300" t="s">
        <v>172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93">
        <v>104</v>
      </c>
    </row>
    <row r="301" spans="1:11" ht="18.75" customHeight="1" x14ac:dyDescent="0.35">
      <c r="A301" s="102">
        <v>2025</v>
      </c>
      <c r="B301" t="s">
        <v>180</v>
      </c>
      <c r="C301" s="100">
        <f>IF(OR(Fact_Contabilidad[[#This Row], [Año]]="",Fact_Contabilidad[[#This Row], [Mes]]=""),"",DATE(A301,MATCH(B301,{"enero","febrero","marzo","abril","mayo","junio","julio","agosto","septiembre","octubre","noviembre","diciembre"},0)+1,0))</f>
        <v>45900</v>
      </c>
      <c r="D301" t="s">
        <v>134</v>
      </c>
      <c r="E301" t="str">
        <f>+IFERROR(VLOOKUP(Fact_Contabilidad[[#This Row], [Concepto Anterior]],Conceptos_Contabilidad[#All],5,0),"")</f>
        <v>Facturas Contabilizada</v>
      </c>
      <c r="F301" t="str">
        <f ca="1">+IFERROR(VLOOKUP(Fact_Contabilidad[[#This Row], [Concepto Anterior]],Conceptos_Contabilidad[#All],7,0),"")</f>
        <v/>
      </c>
      <c r="G301" t="s">
        <v>172</v>
      </c>
      <c r="H301" t="s">
        <v>172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93">
        <v>18</v>
      </c>
    </row>
    <row r="302" spans="1:11" ht="18.75" customHeight="1" x14ac:dyDescent="0.35">
      <c r="A302" s="102">
        <v>2025</v>
      </c>
      <c r="B302" t="s">
        <v>180</v>
      </c>
      <c r="C302" s="100">
        <f>IF(OR(Fact_Contabilidad[[#This Row], [Año]]="",Fact_Contabilidad[[#This Row], [Mes]]=""),"",DATE(A302,MATCH(B302,{"enero","febrero","marzo","abril","mayo","junio","julio","agosto","septiembre","octubre","noviembre","diciembre"},0)+1,0))</f>
        <v>45900</v>
      </c>
      <c r="D302" t="s">
        <v>131</v>
      </c>
      <c r="E302" t="str">
        <f>+IFERROR(VLOOKUP(Fact_Contabilidad[[#This Row], [Concepto Anterior]],Conceptos_Contabilidad[#All],5,0),"")</f>
        <v>Facturas Contabilizada</v>
      </c>
      <c r="F302" t="str">
        <f ca="1">+IFERROR(VLOOKUP(Fact_Contabilidad[[#This Row], [Concepto Anterior]],Conceptos_Contabilidad[#All],7,0),"")</f>
        <v/>
      </c>
      <c r="G302" t="s">
        <v>172</v>
      </c>
      <c r="H302" t="s">
        <v>172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93">
        <v>71</v>
      </c>
    </row>
    <row r="303" spans="1:11" ht="18.75" customHeight="1" x14ac:dyDescent="0.35">
      <c r="A303" s="102">
        <v>2025</v>
      </c>
      <c r="B303" t="s">
        <v>180</v>
      </c>
      <c r="C303" s="100">
        <f>IF(OR(Fact_Contabilidad[[#This Row], [Año]]="",Fact_Contabilidad[[#This Row], [Mes]]=""),"",DATE(A303,MATCH(B303,{"enero","febrero","marzo","abril","mayo","junio","julio","agosto","septiembre","octubre","noviembre","diciembre"},0)+1,0))</f>
        <v>45900</v>
      </c>
      <c r="D303" t="s">
        <v>133</v>
      </c>
      <c r="E303" t="str">
        <f>+IFERROR(VLOOKUP(Fact_Contabilidad[[#This Row], [Concepto Anterior]],Conceptos_Contabilidad[#All],5,0),"")</f>
        <v>Facturas Contabilizada</v>
      </c>
      <c r="F303" t="str">
        <f ca="1">+IFERROR(VLOOKUP(Fact_Contabilidad[[#This Row], [Concepto Anterior]],Conceptos_Contabilidad[#All],7,0),"")</f>
        <v/>
      </c>
      <c r="G303" t="s">
        <v>172</v>
      </c>
      <c r="H303" t="s">
        <v>172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93">
        <v>8</v>
      </c>
    </row>
    <row r="304" spans="1:11" ht="18.75" customHeight="1" x14ac:dyDescent="0.35">
      <c r="A304" s="102">
        <v>2025</v>
      </c>
      <c r="B304" t="s">
        <v>180</v>
      </c>
      <c r="C304" s="100">
        <f>IF(OR(Fact_Contabilidad[[#This Row], [Año]]="",Fact_Contabilidad[[#This Row], [Mes]]=""),"",DATE(A304,MATCH(B304,{"enero","febrero","marzo","abril","mayo","junio","julio","agosto","septiembre","octubre","noviembre","diciembre"},0)+1,0))</f>
        <v>45900</v>
      </c>
      <c r="D304" t="s">
        <v>132</v>
      </c>
      <c r="E304" t="str">
        <f>+IFERROR(VLOOKUP(Fact_Contabilidad[[#This Row], [Concepto Anterior]],Conceptos_Contabilidad[#All],5,0),"")</f>
        <v>Facturas Contabilizada</v>
      </c>
      <c r="F304" t="str">
        <f ca="1">+IFERROR(VLOOKUP(Fact_Contabilidad[[#This Row], [Concepto Anterior]],Conceptos_Contabilidad[#All],7,0),"")</f>
        <v/>
      </c>
      <c r="G304" t="s">
        <v>172</v>
      </c>
      <c r="H304" t="s">
        <v>172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93">
        <v>14</v>
      </c>
    </row>
    <row r="305" spans="1:11" ht="18.75" customHeight="1" x14ac:dyDescent="0.35">
      <c r="A305" s="102">
        <v>2025</v>
      </c>
      <c r="B305" t="s">
        <v>180</v>
      </c>
      <c r="C305" s="100">
        <f>IF(OR(Fact_Contabilidad[[#This Row], [Año]]="",Fact_Contabilidad[[#This Row], [Mes]]=""),"",DATE(A305,MATCH(B305,{"enero","febrero","marzo","abril","mayo","junio","julio","agosto","septiembre","octubre","noviembre","diciembre"},0)+1,0))</f>
        <v>45900</v>
      </c>
      <c r="D305" t="s">
        <v>147</v>
      </c>
      <c r="E305" t="str">
        <f>+IFERROR(VLOOKUP(Fact_Contabilidad[[#This Row], [Concepto Anterior]],Conceptos_Contabilidad[#All],5,0),"")</f>
        <v>Gestión Gastos No deducibles + recuperación de embargos</v>
      </c>
      <c r="F305" t="str">
        <f ca="1">+IFERROR(VLOOKUP(Fact_Contabilidad[[#This Row], [Concepto Anterior]],Conceptos_Contabilidad[#All],7,0),"")</f>
        <v/>
      </c>
      <c r="G305" t="s">
        <v>172</v>
      </c>
      <c r="H305" t="s">
        <v>172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93">
        <v>16122080</v>
      </c>
    </row>
    <row r="306" spans="1:11" ht="18.75" customHeight="1" x14ac:dyDescent="0.35">
      <c r="A306" s="102">
        <v>2025</v>
      </c>
      <c r="B306" t="s">
        <v>180</v>
      </c>
      <c r="C306" s="100">
        <f>IF(OR(Fact_Contabilidad[[#This Row], [Año]]="",Fact_Contabilidad[[#This Row], [Mes]]=""),"",DATE(A306,MATCH(B306,{"enero","febrero","marzo","abril","mayo","junio","julio","agosto","septiembre","octubre","noviembre","diciembre"},0)+1,0))</f>
        <v>45900</v>
      </c>
      <c r="D306" t="s">
        <v>146</v>
      </c>
      <c r="E306" t="str">
        <f>+IFERROR(VLOOKUP(Fact_Contabilidad[[#This Row], [Concepto Anterior]],Conceptos_Contabilidad[#All],5,0),"")</f>
        <v>Gestión Gastos No deducibles + recuperación de embargos</v>
      </c>
      <c r="F306" t="str">
        <f ca="1">+IFERROR(VLOOKUP(Fact_Contabilidad[[#This Row], [Concepto Anterior]],Conceptos_Contabilidad[#All],7,0),"")</f>
        <v/>
      </c>
      <c r="G306" t="s">
        <v>172</v>
      </c>
      <c r="H306" t="s">
        <v>172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93">
        <v>348831164</v>
      </c>
    </row>
    <row r="307" spans="1:11" ht="18.75" customHeight="1" x14ac:dyDescent="0.35">
      <c r="A307" s="102">
        <v>2025</v>
      </c>
      <c r="B307" t="s">
        <v>180</v>
      </c>
      <c r="C307" s="100">
        <f>IF(OR(Fact_Contabilidad[[#This Row], [Año]]="",Fact_Contabilidad[[#This Row], [Mes]]=""),"",DATE(A307,MATCH(B307,{"enero","febrero","marzo","abril","mayo","junio","julio","agosto","septiembre","octubre","noviembre","diciembre"},0)+1,0))</f>
        <v>45900</v>
      </c>
      <c r="D307" t="s">
        <v>136</v>
      </c>
      <c r="E307" t="str">
        <f>+IFERROR(VLOOKUP(Fact_Contabilidad[[#This Row], [Concepto Anterior]],Conceptos_Contabilidad[#All],5,0),"")</f>
        <v>el 95 % del cumplimiento (sale del promedio de la fila)</v>
      </c>
      <c r="F307" t="str">
        <f ca="1">+IFERROR(VLOOKUP(Fact_Contabilidad[[#This Row], [Concepto Anterior]],Conceptos_Contabilidad[#All],7,0),"")</f>
        <v/>
      </c>
      <c r="G307" t="s">
        <v>172</v>
      </c>
      <c r="H307" t="s">
        <v>172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92">
        <v>0.85</v>
      </c>
    </row>
    <row r="308" spans="1:11" ht="18.75" customHeight="1" x14ac:dyDescent="0.35">
      <c r="A308" s="102">
        <v>2025</v>
      </c>
      <c r="B308" t="s">
        <v>180</v>
      </c>
      <c r="C308" s="100">
        <f>IF(OR(Fact_Contabilidad[[#This Row], [Año]]="",Fact_Contabilidad[[#This Row], [Mes]]=""),"",DATE(A308,MATCH(B308,{"enero","febrero","marzo","abril","mayo","junio","julio","agosto","septiembre","octubre","noviembre","diciembre"},0)+1,0))</f>
        <v>45900</v>
      </c>
      <c r="D308" t="s">
        <v>135</v>
      </c>
      <c r="E308" t="str">
        <f>+IFERROR(VLOOKUP(Fact_Contabilidad[[#This Row], [Concepto Anterior]],Conceptos_Contabilidad[#All],5,0),"")</f>
        <v>Gestión Gastos No deducibles + recuperación de embargos</v>
      </c>
      <c r="F308" t="str">
        <f ca="1">+IFERROR(VLOOKUP(Fact_Contabilidad[[#This Row], [Concepto Anterior]],Conceptos_Contabilidad[#All],7,0),"")</f>
        <v/>
      </c>
      <c r="G308" t="s">
        <v>172</v>
      </c>
      <c r="H308" t="s">
        <v>172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93">
        <v>1256418</v>
      </c>
    </row>
    <row r="309" spans="1:11" ht="18.75" customHeight="1" x14ac:dyDescent="0.35">
      <c r="A309" s="102">
        <v>2025</v>
      </c>
      <c r="B309" t="s">
        <v>180</v>
      </c>
      <c r="C309" s="100">
        <f>IF(OR(Fact_Contabilidad[[#This Row], [Año]]="",Fact_Contabilidad[[#This Row], [Mes]]=""),"",DATE(A309,MATCH(B309,{"enero","febrero","marzo","abril","mayo","junio","julio","agosto","septiembre","octubre","noviembre","diciembre"},0)+1,0))</f>
        <v>45900</v>
      </c>
      <c r="D309" t="s">
        <v>76</v>
      </c>
      <c r="E309" t="str">
        <f>+IFERROR(VLOOKUP(Fact_Contabilidad[[#This Row], [Concepto Anterior]],Conceptos_Contabilidad[#All],5,0),"")</f>
        <v>Informes Contables</v>
      </c>
      <c r="F309" t="str">
        <f ca="1">+IFERROR(VLOOKUP(Fact_Contabilidad[[#This Row], [Concepto Anterior]],Conceptos_Contabilidad[#All],7,0),"")</f>
        <v/>
      </c>
      <c r="G309" t="s">
        <v>172</v>
      </c>
      <c r="H309" t="s">
        <v>172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93">
        <v>4</v>
      </c>
    </row>
    <row r="310" spans="1:11" ht="18.75" customHeight="1" x14ac:dyDescent="0.35">
      <c r="A310" s="102">
        <v>2025</v>
      </c>
      <c r="B310" t="s">
        <v>180</v>
      </c>
      <c r="C310" s="100">
        <f>IF(OR(Fact_Contabilidad[[#This Row], [Año]]="",Fact_Contabilidad[[#This Row], [Mes]]=""),"",DATE(A310,MATCH(B310,{"enero","febrero","marzo","abril","mayo","junio","julio","agosto","septiembre","octubre","noviembre","diciembre"},0)+1,0))</f>
        <v>45900</v>
      </c>
      <c r="D310" t="s">
        <v>102</v>
      </c>
      <c r="E310" t="str">
        <f>+IFERROR(VLOOKUP(Fact_Contabilidad[[#This Row], [Concepto Anterior]],Conceptos_Contabilidad[#All],5,0),"")</f>
        <v>Numero de razones sociales atendidas directas</v>
      </c>
      <c r="F310" t="str">
        <f ca="1">+IFERROR(VLOOKUP(Fact_Contabilidad[[#This Row], [Concepto Anterior]],Conceptos_Contabilidad[#All],7,0),"")</f>
        <v/>
      </c>
      <c r="G310" t="s">
        <v>172</v>
      </c>
      <c r="H310" t="s">
        <v>172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93">
        <v>16</v>
      </c>
    </row>
    <row r="311" spans="1:11" ht="18.75" customHeight="1" x14ac:dyDescent="0.35">
      <c r="A311" s="102">
        <v>2025</v>
      </c>
      <c r="B311" t="s">
        <v>180</v>
      </c>
      <c r="C311" s="100">
        <f>IF(OR(Fact_Contabilidad[[#This Row], [Año]]="",Fact_Contabilidad[[#This Row], [Mes]]=""),"",DATE(A311,MATCH(B311,{"enero","febrero","marzo","abril","mayo","junio","julio","agosto","septiembre","octubre","noviembre","diciembre"},0)+1,0))</f>
        <v>45900</v>
      </c>
      <c r="D311" t="s">
        <v>137</v>
      </c>
      <c r="E311" t="str">
        <f>+IFERROR(VLOOKUP(Fact_Contabilidad[[#This Row], [Concepto Anterior]],Conceptos_Contabilidad[#All],5,0),"")</f>
        <v>Numero de razones sociales atendidas indirectas (matricial)</v>
      </c>
      <c r="F311" t="str">
        <f ca="1">+IFERROR(VLOOKUP(Fact_Contabilidad[[#This Row], [Concepto Anterior]],Conceptos_Contabilidad[#All],7,0),"")</f>
        <v/>
      </c>
      <c r="G311" t="s">
        <v>172</v>
      </c>
      <c r="H311" t="s">
        <v>172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93">
        <v>12</v>
      </c>
    </row>
    <row r="312" spans="1:11" ht="18.75" customHeight="1" x14ac:dyDescent="0.35">
      <c r="A312" s="102">
        <v>2025</v>
      </c>
      <c r="B312" t="s">
        <v>180</v>
      </c>
      <c r="C312" s="100">
        <f>IF(OR(Fact_Contabilidad[[#This Row], [Año]]="",Fact_Contabilidad[[#This Row], [Mes]]=""),"",DATE(A312,MATCH(B312,{"enero","febrero","marzo","abril","mayo","junio","julio","agosto","septiembre","octubre","noviembre","diciembre"},0)+1,0))</f>
        <v>45900</v>
      </c>
      <c r="D312" t="s">
        <v>78</v>
      </c>
      <c r="E312" t="str">
        <f>+IFERROR(VLOOKUP(Fact_Contabilidad[[#This Row], [Concepto Anterior]],Conceptos_Contabilidad[#All],5,0),"")</f>
        <v>Gestión Gastos No deducibles + recuperación de embargos</v>
      </c>
      <c r="F312" t="str">
        <f ca="1">+IFERROR(VLOOKUP(Fact_Contabilidad[[#This Row], [Concepto Anterior]],Conceptos_Contabilidad[#All],7,0),"")</f>
        <v/>
      </c>
      <c r="G312" t="s">
        <v>172</v>
      </c>
      <c r="H312" t="s">
        <v>172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93">
        <v>0</v>
      </c>
    </row>
    <row r="313" spans="1:11" ht="18.75" customHeight="1" x14ac:dyDescent="0.35">
      <c r="A313" s="102">
        <v>2025</v>
      </c>
      <c r="B313" t="s">
        <v>180</v>
      </c>
      <c r="C313" s="100">
        <f>IF(OR(Fact_Contabilidad[[#This Row], [Año]]="",Fact_Contabilidad[[#This Row], [Mes]]=""),"",DATE(A313,MATCH(B313,{"enero","febrero","marzo","abril","mayo","junio","julio","agosto","septiembre","octubre","noviembre","diciembre"},0)+1,0))</f>
        <v>45900</v>
      </c>
      <c r="D313" t="s">
        <v>192</v>
      </c>
      <c r="E313" t="str">
        <f>+IFERROR(VLOOKUP(Fact_Contabilidad[[#This Row], [Concepto Anterior]],Conceptos_Contabilidad[#All],5,0),"")</f>
        <v>Activos fijos creados Comodín</v>
      </c>
      <c r="F313" t="str">
        <f ca="1">+IFERROR(VLOOKUP(Fact_Contabilidad[[#This Row], [Concepto Anterior]],Conceptos_Contabilidad[#All],7,0),"")</f>
        <v/>
      </c>
      <c r="G313" t="s">
        <v>172</v>
      </c>
      <c r="H313" t="s">
        <v>172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93">
        <v>116</v>
      </c>
    </row>
    <row r="314" spans="1:11" ht="18.75" customHeight="1" x14ac:dyDescent="0.35">
      <c r="A314" s="102">
        <v>2025</v>
      </c>
      <c r="B314" t="s">
        <v>180</v>
      </c>
      <c r="C314" s="100">
        <f>IF(OR(Fact_Contabilidad[[#This Row], [Año]]="",Fact_Contabilidad[[#This Row], [Mes]]=""),"",DATE(A314,MATCH(B314,{"enero","febrero","marzo","abril","mayo","junio","julio","agosto","septiembre","octubre","noviembre","diciembre"},0)+1,0))</f>
        <v>45900</v>
      </c>
      <c r="D314" t="s">
        <v>193</v>
      </c>
      <c r="E314" t="str">
        <f>+IFERROR(VLOOKUP(Fact_Contabilidad[[#This Row], [Concepto Anterior]],Conceptos_Contabilidad[#All],5,0),"")</f>
        <v>Activos fijos creados Dogama</v>
      </c>
      <c r="F314" t="str">
        <f ca="1">+IFERROR(VLOOKUP(Fact_Contabilidad[[#This Row], [Concepto Anterior]],Conceptos_Contabilidad[#All],7,0),"")</f>
        <v/>
      </c>
      <c r="G314" t="s">
        <v>172</v>
      </c>
      <c r="H314" t="s">
        <v>172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93">
        <v>2</v>
      </c>
    </row>
    <row r="315" spans="1:11" ht="18.75" customHeight="1" x14ac:dyDescent="0.35">
      <c r="A315" s="102">
        <v>2025</v>
      </c>
      <c r="B315" t="s">
        <v>180</v>
      </c>
      <c r="C315" s="100">
        <f>IF(OR(Fact_Contabilidad[[#This Row], [Año]]="",Fact_Contabilidad[[#This Row], [Mes]]=""),"",DATE(A315,MATCH(B315,{"enero","febrero","marzo","abril","mayo","junio","julio","agosto","septiembre","octubre","noviembre","diciembre"},0)+1,0))</f>
        <v>45900</v>
      </c>
      <c r="D315" t="s">
        <v>194</v>
      </c>
      <c r="E315" t="str">
        <f>+IFERROR(VLOOKUP(Fact_Contabilidad[[#This Row], [Concepto Anterior]],Conceptos_Contabilidad[#All],5,0),"")</f>
        <v>Instructivos en proceso</v>
      </c>
      <c r="F315" t="str">
        <f ca="1">+IFERROR(VLOOKUP(Fact_Contabilidad[[#This Row], [Concepto Anterior]],Conceptos_Contabilidad[#All],7,0),"")</f>
        <v/>
      </c>
      <c r="G315" t="s">
        <v>172</v>
      </c>
      <c r="H315" t="s">
        <v>172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93">
        <v>0</v>
      </c>
    </row>
    <row r="316" spans="1:11" ht="18.75" customHeight="1" x14ac:dyDescent="0.35">
      <c r="A316" s="102">
        <v>2025</v>
      </c>
      <c r="B316" t="s">
        <v>180</v>
      </c>
      <c r="C316" s="100">
        <f>IF(OR(Fact_Contabilidad[[#This Row], [Año]]="",Fact_Contabilidad[[#This Row], [Mes]]=""),"",DATE(A316,MATCH(B316,{"enero","febrero","marzo","abril","mayo","junio","julio","agosto","septiembre","octubre","noviembre","diciembre"},0)+1,0))</f>
        <v>45900</v>
      </c>
      <c r="D316" t="s">
        <v>195</v>
      </c>
      <c r="E316" t="str">
        <f>+IFERROR(VLOOKUP(Fact_Contabilidad[[#This Row], [Concepto Anterior]],Conceptos_Contabilidad[#All],5,0),"")</f>
        <v>Instructivos en validación PMO</v>
      </c>
      <c r="F316" t="str">
        <f ca="1">+IFERROR(VLOOKUP(Fact_Contabilidad[[#This Row], [Concepto Anterior]],Conceptos_Contabilidad[#All],7,0),"")</f>
        <v/>
      </c>
      <c r="G316" t="s">
        <v>172</v>
      </c>
      <c r="H316" t="s">
        <v>172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93">
        <v>0</v>
      </c>
    </row>
    <row r="317" spans="1:11" ht="18.75" customHeight="1" x14ac:dyDescent="0.35">
      <c r="A317" s="102">
        <v>2025</v>
      </c>
      <c r="B317" t="s">
        <v>180</v>
      </c>
      <c r="C317" s="100">
        <f>IF(OR(Fact_Contabilidad[[#This Row], [Año]]="",Fact_Contabilidad[[#This Row], [Mes]]=""),"",DATE(A317,MATCH(B317,{"enero","febrero","marzo","abril","mayo","junio","julio","agosto","septiembre","octubre","noviembre","diciembre"},0)+1,0))</f>
        <v>45900</v>
      </c>
      <c r="D317" t="s">
        <v>196</v>
      </c>
      <c r="E317" t="str">
        <f>+IFERROR(VLOOKUP(Fact_Contabilidad[[#This Row], [Concepto Anterior]],Conceptos_Contabilidad[#All],5,0),"")</f>
        <v>Instructivos aprobados</v>
      </c>
      <c r="F317" t="str">
        <f ca="1">+IFERROR(VLOOKUP(Fact_Contabilidad[[#This Row], [Concepto Anterior]],Conceptos_Contabilidad[#All],7,0),"")</f>
        <v/>
      </c>
      <c r="G317" t="s">
        <v>172</v>
      </c>
      <c r="H317" t="s">
        <v>172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93">
        <v>0</v>
      </c>
    </row>
    <row r="318" spans="1:11" ht="18.75" customHeight="1" x14ac:dyDescent="0.35">
      <c r="A318" s="102">
        <v>2025</v>
      </c>
      <c r="B318" t="s">
        <v>180</v>
      </c>
      <c r="C318" s="100">
        <f>IF(OR(Fact_Contabilidad[[#This Row], [Año]]="",Fact_Contabilidad[[#This Row], [Mes]]=""),"",DATE(A318,MATCH(B318,{"enero","febrero","marzo","abril","mayo","junio","julio","agosto","septiembre","octubre","noviembre","diciembre"},0)+1,0))</f>
        <v>45900</v>
      </c>
      <c r="D318" t="s">
        <v>197</v>
      </c>
      <c r="E318" t="str">
        <f>+IFERROR(VLOOKUP(Fact_Contabilidad[[#This Row], [Concepto Anterior]],Conceptos_Contabilidad[#All],5,0),"")</f>
        <v>Políticas en proceso</v>
      </c>
      <c r="F318" t="str">
        <f ca="1">+IFERROR(VLOOKUP(Fact_Contabilidad[[#This Row], [Concepto Anterior]],Conceptos_Contabilidad[#All],7,0),"")</f>
        <v/>
      </c>
      <c r="G318" t="s">
        <v>172</v>
      </c>
      <c r="H318" t="s">
        <v>172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93">
        <v>1</v>
      </c>
    </row>
    <row r="319" spans="1:11" ht="18.75" customHeight="1" x14ac:dyDescent="0.35">
      <c r="A319" s="102">
        <v>2025</v>
      </c>
      <c r="B319" t="s">
        <v>180</v>
      </c>
      <c r="C319" s="100">
        <f>IF(OR(Fact_Contabilidad[[#This Row], [Año]]="",Fact_Contabilidad[[#This Row], [Mes]]=""),"",DATE(A319,MATCH(B319,{"enero","febrero","marzo","abril","mayo","junio","julio","agosto","septiembre","octubre","noviembre","diciembre"},0)+1,0))</f>
        <v>45900</v>
      </c>
      <c r="D319" t="s">
        <v>198</v>
      </c>
      <c r="E319" t="str">
        <f>+IFERROR(VLOOKUP(Fact_Contabilidad[[#This Row], [Concepto Anterior]],Conceptos_Contabilidad[#All],5,0),"")</f>
        <v>Políticas aprobadas</v>
      </c>
      <c r="F319" t="str">
        <f ca="1">+IFERROR(VLOOKUP(Fact_Contabilidad[[#This Row], [Concepto Anterior]],Conceptos_Contabilidad[#All],7,0),"")</f>
        <v/>
      </c>
      <c r="G319" t="s">
        <v>172</v>
      </c>
      <c r="H319" t="s">
        <v>172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93">
        <v>0</v>
      </c>
    </row>
    <row r="320" spans="1:11" ht="18.75" customHeight="1" x14ac:dyDescent="0.35">
      <c r="A320" s="102">
        <v>2025</v>
      </c>
      <c r="B320" t="s">
        <v>180</v>
      </c>
      <c r="C320" s="100">
        <f>IF(OR(Fact_Contabilidad[[#This Row], [Año]]="",Fact_Contabilidad[[#This Row], [Mes]]=""),"",DATE(A320,MATCH(B320,{"enero","febrero","marzo","abril","mayo","junio","julio","agosto","septiembre","octubre","noviembre","diciembre"},0)+1,0))</f>
        <v>45900</v>
      </c>
      <c r="D320" t="s">
        <v>199</v>
      </c>
      <c r="E320" t="str">
        <f>+IFERROR(VLOOKUP(Fact_Contabilidad[[#This Row], [Concepto Anterior]],Conceptos_Contabilidad[#All],5,0),"")</f>
        <v>Facturas contabilizadas Triplematch</v>
      </c>
      <c r="F320" t="str">
        <f ca="1">+IFERROR(VLOOKUP(Fact_Contabilidad[[#This Row], [Concepto Anterior]],Conceptos_Contabilidad[#All],7,0),"")</f>
        <v/>
      </c>
      <c r="G320" t="s">
        <v>172</v>
      </c>
      <c r="H320" t="s">
        <v>172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93">
        <v>798</v>
      </c>
    </row>
    <row r="321" spans="1:11" ht="18.75" customHeight="1" x14ac:dyDescent="0.35">
      <c r="A321" s="102">
        <v>2025</v>
      </c>
      <c r="B321" t="s">
        <v>180</v>
      </c>
      <c r="C321" s="100">
        <f>IF(OR(Fact_Contabilidad[[#This Row], [Año]]="",Fact_Contabilidad[[#This Row], [Mes]]=""),"",DATE(A321,MATCH(B321,{"enero","febrero","marzo","abril","mayo","junio","julio","agosto","septiembre","octubre","noviembre","diciembre"},0)+1,0))</f>
        <v>45900</v>
      </c>
      <c r="D321" t="s">
        <v>200</v>
      </c>
      <c r="E321" t="str">
        <f>+IFERROR(VLOOKUP(Fact_Contabilidad[[#This Row], [Concepto Anterior]],Conceptos_Contabilidad[#All],5,0),"")</f>
        <v>Facturas contabilizadas Script</v>
      </c>
      <c r="F321" t="str">
        <f ca="1">+IFERROR(VLOOKUP(Fact_Contabilidad[[#This Row], [Concepto Anterior]],Conceptos_Contabilidad[#All],7,0),"")</f>
        <v/>
      </c>
      <c r="G321" t="s">
        <v>172</v>
      </c>
      <c r="H321" t="s">
        <v>172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93">
        <v>0</v>
      </c>
    </row>
    <row r="322" spans="1:11" ht="18.75" customHeight="1" x14ac:dyDescent="0.35">
      <c r="A322" s="102">
        <v>2025</v>
      </c>
      <c r="B322" t="s">
        <v>181</v>
      </c>
      <c r="C322" s="100">
        <f>IF(OR(Fact_Contabilidad[[#This Row], [Año]]="",Fact_Contabilidad[[#This Row], [Mes]]=""),"",DATE(A322,MATCH(B322,{"enero","febrero","marzo","abril","mayo","junio","julio","agosto","septiembre","octubre","noviembre","diciembre"},0)+1,0))</f>
        <v>45930</v>
      </c>
      <c r="D322" t="s">
        <v>79</v>
      </c>
      <c r="E322" t="str">
        <f>+IFERROR(VLOOKUP(Fact_Contabilidad[[#This Row], [Concepto Anterior]],Conceptos_Contabilidad[#All],5,0),"")</f>
        <v>Cuentas Contables Conciliadas</v>
      </c>
      <c r="F322" t="str">
        <f ca="1">+IFERROR(VLOOKUP(Fact_Contabilidad[[#This Row], [Concepto Anterior]],Conceptos_Contabilidad[#All],7,0),"")</f>
        <v/>
      </c>
      <c r="G322" t="s">
        <v>172</v>
      </c>
      <c r="H322" t="s">
        <v>172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93">
        <v>1348</v>
      </c>
    </row>
    <row r="323" spans="1:11" ht="18.75" customHeight="1" x14ac:dyDescent="0.35">
      <c r="A323" s="102">
        <v>2025</v>
      </c>
      <c r="B323" t="s">
        <v>181</v>
      </c>
      <c r="C323" s="100">
        <f>IF(OR(Fact_Contabilidad[[#This Row], [Año]]="",Fact_Contabilidad[[#This Row], [Mes]]=""),"",DATE(A323,MATCH(B323,{"enero","febrero","marzo","abril","mayo","junio","julio","agosto","septiembre","octubre","noviembre","diciembre"},0)+1,0))</f>
        <v>45930</v>
      </c>
      <c r="D323" t="s">
        <v>70</v>
      </c>
      <c r="E323" t="str">
        <f>+IFERROR(VLOOKUP(Fact_Contabilidad[[#This Row], [Concepto Anterior]],Conceptos_Contabilidad[#All],5,0),"")</f>
        <v>Facturas Contabilizada</v>
      </c>
      <c r="F323" t="str">
        <f ca="1">+IFERROR(VLOOKUP(Fact_Contabilidad[[#This Row], [Concepto Anterior]],Conceptos_Contabilidad[#All],7,0),"")</f>
        <v/>
      </c>
      <c r="G323" t="s">
        <v>172</v>
      </c>
      <c r="H323" t="s">
        <v>172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93">
        <v>10287</v>
      </c>
    </row>
    <row r="324" spans="1:11" ht="18.75" customHeight="1" x14ac:dyDescent="0.35">
      <c r="A324" s="102">
        <v>2025</v>
      </c>
      <c r="B324" t="s">
        <v>181</v>
      </c>
      <c r="C324" s="100">
        <f>IF(OR(Fact_Contabilidad[[#This Row], [Año]]="",Fact_Contabilidad[[#This Row], [Mes]]=""),"",DATE(A324,MATCH(B324,{"enero","febrero","marzo","abril","mayo","junio","julio","agosto","septiembre","octubre","noviembre","diciembre"},0)+1,0))</f>
        <v>45930</v>
      </c>
      <c r="D324" t="s">
        <v>71</v>
      </c>
      <c r="E324" t="str">
        <f>+IFERROR(VLOOKUP(Fact_Contabilidad[[#This Row], [Concepto Anterior]],Conceptos_Contabilidad[#All],5,0),"")</f>
        <v>Facturas Contabilizada</v>
      </c>
      <c r="F324" t="str">
        <f ca="1">+IFERROR(VLOOKUP(Fact_Contabilidad[[#This Row], [Concepto Anterior]],Conceptos_Contabilidad[#All],7,0),"")</f>
        <v/>
      </c>
      <c r="G324" t="s">
        <v>172</v>
      </c>
      <c r="H324" t="s">
        <v>172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93">
        <v>295</v>
      </c>
    </row>
    <row r="325" spans="1:11" ht="18.75" customHeight="1" x14ac:dyDescent="0.35">
      <c r="A325" s="102">
        <v>2025</v>
      </c>
      <c r="B325" t="s">
        <v>181</v>
      </c>
      <c r="C325" s="100">
        <f>IF(OR(Fact_Contabilidad[[#This Row], [Año]]="",Fact_Contabilidad[[#This Row], [Mes]]=""),"",DATE(A325,MATCH(B325,{"enero","febrero","marzo","abril","mayo","junio","julio","agosto","septiembre","octubre","noviembre","diciembre"},0)+1,0))</f>
        <v>45930</v>
      </c>
      <c r="D325" t="s">
        <v>130</v>
      </c>
      <c r="E325" t="str">
        <f>+IFERROR(VLOOKUP(Fact_Contabilidad[[#This Row], [Concepto Anterior]],Conceptos_Contabilidad[#All],5,0),"")</f>
        <v>Facturas Contabilizada</v>
      </c>
      <c r="F325" t="str">
        <f ca="1">+IFERROR(VLOOKUP(Fact_Contabilidad[[#This Row], [Concepto Anterior]],Conceptos_Contabilidad[#All],7,0),"")</f>
        <v/>
      </c>
      <c r="G325" t="s">
        <v>172</v>
      </c>
      <c r="H325" t="s">
        <v>172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93">
        <v>79</v>
      </c>
    </row>
    <row r="326" spans="1:11" ht="18.75" customHeight="1" x14ac:dyDescent="0.35">
      <c r="A326" s="102">
        <v>2025</v>
      </c>
      <c r="B326" t="s">
        <v>181</v>
      </c>
      <c r="C326" s="100">
        <f>IF(OR(Fact_Contabilidad[[#This Row], [Año]]="",Fact_Contabilidad[[#This Row], [Mes]]=""),"",DATE(A326,MATCH(B326,{"enero","febrero","marzo","abril","mayo","junio","julio","agosto","septiembre","octubre","noviembre","diciembre"},0)+1,0))</f>
        <v>45930</v>
      </c>
      <c r="D326" t="s">
        <v>134</v>
      </c>
      <c r="E326" t="str">
        <f>+IFERROR(VLOOKUP(Fact_Contabilidad[[#This Row], [Concepto Anterior]],Conceptos_Contabilidad[#All],5,0),"")</f>
        <v>Facturas Contabilizada</v>
      </c>
      <c r="F326" t="str">
        <f ca="1">+IFERROR(VLOOKUP(Fact_Contabilidad[[#This Row], [Concepto Anterior]],Conceptos_Contabilidad[#All],7,0),"")</f>
        <v/>
      </c>
      <c r="G326" t="s">
        <v>172</v>
      </c>
      <c r="H326" t="s">
        <v>172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93">
        <v>128</v>
      </c>
    </row>
    <row r="327" spans="1:11" ht="18.75" customHeight="1" x14ac:dyDescent="0.35">
      <c r="A327" s="102">
        <v>2025</v>
      </c>
      <c r="B327" t="s">
        <v>181</v>
      </c>
      <c r="C327" s="100">
        <f>IF(OR(Fact_Contabilidad[[#This Row], [Año]]="",Fact_Contabilidad[[#This Row], [Mes]]=""),"",DATE(A327,MATCH(B327,{"enero","febrero","marzo","abril","mayo","junio","julio","agosto","septiembre","octubre","noviembre","diciembre"},0)+1,0))</f>
        <v>45930</v>
      </c>
      <c r="D327" t="s">
        <v>131</v>
      </c>
      <c r="E327" t="str">
        <f>+IFERROR(VLOOKUP(Fact_Contabilidad[[#This Row], [Concepto Anterior]],Conceptos_Contabilidad[#All],5,0),"")</f>
        <v>Facturas Contabilizada</v>
      </c>
      <c r="F327" t="str">
        <f ca="1">+IFERROR(VLOOKUP(Fact_Contabilidad[[#This Row], [Concepto Anterior]],Conceptos_Contabilidad[#All],7,0),"")</f>
        <v/>
      </c>
      <c r="G327" t="s">
        <v>172</v>
      </c>
      <c r="H327" t="s">
        <v>172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93">
        <v>24</v>
      </c>
    </row>
    <row r="328" spans="1:11" ht="18.75" customHeight="1" x14ac:dyDescent="0.35">
      <c r="A328" s="102">
        <v>2025</v>
      </c>
      <c r="B328" t="s">
        <v>181</v>
      </c>
      <c r="C328" s="100">
        <f>IF(OR(Fact_Contabilidad[[#This Row], [Año]]="",Fact_Contabilidad[[#This Row], [Mes]]=""),"",DATE(A328,MATCH(B328,{"enero","febrero","marzo","abril","mayo","junio","julio","agosto","septiembre","octubre","noviembre","diciembre"},0)+1,0))</f>
        <v>45930</v>
      </c>
      <c r="D328" t="s">
        <v>133</v>
      </c>
      <c r="E328" t="str">
        <f>+IFERROR(VLOOKUP(Fact_Contabilidad[[#This Row], [Concepto Anterior]],Conceptos_Contabilidad[#All],5,0),"")</f>
        <v>Facturas Contabilizada</v>
      </c>
      <c r="F328" t="str">
        <f ca="1">+IFERROR(VLOOKUP(Fact_Contabilidad[[#This Row], [Concepto Anterior]],Conceptos_Contabilidad[#All],7,0),"")</f>
        <v/>
      </c>
      <c r="G328" t="s">
        <v>172</v>
      </c>
      <c r="H328" t="s">
        <v>172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93">
        <v>18</v>
      </c>
    </row>
    <row r="329" spans="1:11" ht="18.75" customHeight="1" x14ac:dyDescent="0.35">
      <c r="A329" s="102">
        <v>2025</v>
      </c>
      <c r="B329" t="s">
        <v>181</v>
      </c>
      <c r="C329" s="100">
        <f>IF(OR(Fact_Contabilidad[[#This Row], [Año]]="",Fact_Contabilidad[[#This Row], [Mes]]=""),"",DATE(A329,MATCH(B329,{"enero","febrero","marzo","abril","mayo","junio","julio","agosto","septiembre","octubre","noviembre","diciembre"},0)+1,0))</f>
        <v>45930</v>
      </c>
      <c r="D329" t="s">
        <v>132</v>
      </c>
      <c r="E329" t="str">
        <f>+IFERROR(VLOOKUP(Fact_Contabilidad[[#This Row], [Concepto Anterior]],Conceptos_Contabilidad[#All],5,0),"")</f>
        <v>Facturas Contabilizada</v>
      </c>
      <c r="F329" t="str">
        <f ca="1">+IFERROR(VLOOKUP(Fact_Contabilidad[[#This Row], [Concepto Anterior]],Conceptos_Contabilidad[#All],7,0),"")</f>
        <v/>
      </c>
      <c r="G329" t="s">
        <v>172</v>
      </c>
      <c r="H329" t="s">
        <v>172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93">
        <v>162</v>
      </c>
    </row>
    <row r="330" spans="1:11" ht="18.75" customHeight="1" x14ac:dyDescent="0.35">
      <c r="A330" s="102">
        <v>2025</v>
      </c>
      <c r="B330" t="s">
        <v>181</v>
      </c>
      <c r="C330" s="100">
        <f>IF(OR(Fact_Contabilidad[[#This Row], [Año]]="",Fact_Contabilidad[[#This Row], [Mes]]=""),"",DATE(A330,MATCH(B330,{"enero","febrero","marzo","abril","mayo","junio","julio","agosto","septiembre","octubre","noviembre","diciembre"},0)+1,0))</f>
        <v>45930</v>
      </c>
      <c r="D330" t="s">
        <v>147</v>
      </c>
      <c r="E330" t="str">
        <f>+IFERROR(VLOOKUP(Fact_Contabilidad[[#This Row], [Concepto Anterior]],Conceptos_Contabilidad[#All],5,0),"")</f>
        <v>Gestión Gastos No deducibles + recuperación de embargos</v>
      </c>
      <c r="F330" t="str">
        <f ca="1">+IFERROR(VLOOKUP(Fact_Contabilidad[[#This Row], [Concepto Anterior]],Conceptos_Contabilidad[#All],7,0),"")</f>
        <v/>
      </c>
      <c r="G330" t="s">
        <v>172</v>
      </c>
      <c r="H330" t="s">
        <v>172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93">
        <v>20858037</v>
      </c>
    </row>
    <row r="331" spans="1:11" ht="18.75" customHeight="1" x14ac:dyDescent="0.35">
      <c r="A331" s="102">
        <v>2025</v>
      </c>
      <c r="B331" t="s">
        <v>181</v>
      </c>
      <c r="C331" s="100">
        <f>IF(OR(Fact_Contabilidad[[#This Row], [Año]]="",Fact_Contabilidad[[#This Row], [Mes]]=""),"",DATE(A331,MATCH(B331,{"enero","febrero","marzo","abril","mayo","junio","julio","agosto","septiembre","octubre","noviembre","diciembre"},0)+1,0))</f>
        <v>45930</v>
      </c>
      <c r="D331" t="s">
        <v>146</v>
      </c>
      <c r="E331" t="str">
        <f>+IFERROR(VLOOKUP(Fact_Contabilidad[[#This Row], [Concepto Anterior]],Conceptos_Contabilidad[#All],5,0),"")</f>
        <v>Gestión Gastos No deducibles + recuperación de embargos</v>
      </c>
      <c r="F331" t="str">
        <f ca="1">+IFERROR(VLOOKUP(Fact_Contabilidad[[#This Row], [Concepto Anterior]],Conceptos_Contabilidad[#All],7,0),"")</f>
        <v/>
      </c>
      <c r="G331" t="s">
        <v>172</v>
      </c>
      <c r="H331" t="s">
        <v>172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93">
        <v>10467320</v>
      </c>
    </row>
    <row r="332" spans="1:11" ht="18.75" customHeight="1" x14ac:dyDescent="0.35">
      <c r="A332" s="102">
        <v>2025</v>
      </c>
      <c r="B332" t="s">
        <v>181</v>
      </c>
      <c r="C332" s="100">
        <f>IF(OR(Fact_Contabilidad[[#This Row], [Año]]="",Fact_Contabilidad[[#This Row], [Mes]]=""),"",DATE(A332,MATCH(B332,{"enero","febrero","marzo","abril","mayo","junio","julio","agosto","septiembre","octubre","noviembre","diciembre"},0)+1,0))</f>
        <v>45930</v>
      </c>
      <c r="D332" t="s">
        <v>136</v>
      </c>
      <c r="E332" t="str">
        <f>+IFERROR(VLOOKUP(Fact_Contabilidad[[#This Row], [Concepto Anterior]],Conceptos_Contabilidad[#All],5,0),"")</f>
        <v>el 95 % del cumplimiento (sale del promedio de la fila)</v>
      </c>
      <c r="F332" t="str">
        <f ca="1">+IFERROR(VLOOKUP(Fact_Contabilidad[[#This Row], [Concepto Anterior]],Conceptos_Contabilidad[#All],7,0),"")</f>
        <v/>
      </c>
      <c r="G332" t="s">
        <v>172</v>
      </c>
      <c r="H332" t="s">
        <v>172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92">
        <v>0.91</v>
      </c>
    </row>
    <row r="333" spans="1:11" ht="18.75" customHeight="1" x14ac:dyDescent="0.35">
      <c r="A333" s="102">
        <v>2025</v>
      </c>
      <c r="B333" t="s">
        <v>181</v>
      </c>
      <c r="C333" s="100">
        <f>IF(OR(Fact_Contabilidad[[#This Row], [Año]]="",Fact_Contabilidad[[#This Row], [Mes]]=""),"",DATE(A333,MATCH(B333,{"enero","febrero","marzo","abril","mayo","junio","julio","agosto","septiembre","octubre","noviembre","diciembre"},0)+1,0))</f>
        <v>45930</v>
      </c>
      <c r="D333" t="s">
        <v>135</v>
      </c>
      <c r="E333" t="str">
        <f>+IFERROR(VLOOKUP(Fact_Contabilidad[[#This Row], [Concepto Anterior]],Conceptos_Contabilidad[#All],5,0),"")</f>
        <v>Gestión Gastos No deducibles + recuperación de embargos</v>
      </c>
      <c r="F333" t="str">
        <f ca="1">+IFERROR(VLOOKUP(Fact_Contabilidad[[#This Row], [Concepto Anterior]],Conceptos_Contabilidad[#All],7,0),"")</f>
        <v/>
      </c>
      <c r="G333" t="s">
        <v>172</v>
      </c>
      <c r="H333" t="s">
        <v>172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93">
        <v>10752203</v>
      </c>
    </row>
    <row r="334" spans="1:11" ht="18.75" customHeight="1" x14ac:dyDescent="0.35">
      <c r="A334" s="102">
        <v>2025</v>
      </c>
      <c r="B334" t="s">
        <v>181</v>
      </c>
      <c r="C334" s="100">
        <f>IF(OR(Fact_Contabilidad[[#This Row], [Año]]="",Fact_Contabilidad[[#This Row], [Mes]]=""),"",DATE(A334,MATCH(B334,{"enero","febrero","marzo","abril","mayo","junio","julio","agosto","septiembre","octubre","noviembre","diciembre"},0)+1,0))</f>
        <v>45930</v>
      </c>
      <c r="D334" t="s">
        <v>76</v>
      </c>
      <c r="E334" t="str">
        <f>+IFERROR(VLOOKUP(Fact_Contabilidad[[#This Row], [Concepto Anterior]],Conceptos_Contabilidad[#All],5,0),"")</f>
        <v>Informes Contables</v>
      </c>
      <c r="F334" t="str">
        <f ca="1">+IFERROR(VLOOKUP(Fact_Contabilidad[[#This Row], [Concepto Anterior]],Conceptos_Contabilidad[#All],7,0),"")</f>
        <v/>
      </c>
      <c r="G334" t="s">
        <v>172</v>
      </c>
      <c r="H334" t="s">
        <v>172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93">
        <v>4</v>
      </c>
    </row>
    <row r="335" spans="1:11" ht="18.75" customHeight="1" x14ac:dyDescent="0.35">
      <c r="A335" s="102">
        <v>2025</v>
      </c>
      <c r="B335" t="s">
        <v>181</v>
      </c>
      <c r="C335" s="100">
        <f>IF(OR(Fact_Contabilidad[[#This Row], [Año]]="",Fact_Contabilidad[[#This Row], [Mes]]=""),"",DATE(A335,MATCH(B335,{"enero","febrero","marzo","abril","mayo","junio","julio","agosto","septiembre","octubre","noviembre","diciembre"},0)+1,0))</f>
        <v>45930</v>
      </c>
      <c r="D335" t="s">
        <v>102</v>
      </c>
      <c r="E335" t="str">
        <f>+IFERROR(VLOOKUP(Fact_Contabilidad[[#This Row], [Concepto Anterior]],Conceptos_Contabilidad[#All],5,0),"")</f>
        <v>Numero de razones sociales atendidas directas</v>
      </c>
      <c r="F335" t="str">
        <f ca="1">+IFERROR(VLOOKUP(Fact_Contabilidad[[#This Row], [Concepto Anterior]],Conceptos_Contabilidad[#All],7,0),"")</f>
        <v/>
      </c>
      <c r="G335" t="s">
        <v>172</v>
      </c>
      <c r="H335" t="s">
        <v>172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93">
        <v>16</v>
      </c>
    </row>
    <row r="336" spans="1:11" ht="18.75" customHeight="1" x14ac:dyDescent="0.35">
      <c r="A336" s="102">
        <v>2025</v>
      </c>
      <c r="B336" t="s">
        <v>181</v>
      </c>
      <c r="C336" s="100">
        <f>IF(OR(Fact_Contabilidad[[#This Row], [Año]]="",Fact_Contabilidad[[#This Row], [Mes]]=""),"",DATE(A336,MATCH(B336,{"enero","febrero","marzo","abril","mayo","junio","julio","agosto","septiembre","octubre","noviembre","diciembre"},0)+1,0))</f>
        <v>45930</v>
      </c>
      <c r="D336" t="s">
        <v>137</v>
      </c>
      <c r="E336" t="str">
        <f>+IFERROR(VLOOKUP(Fact_Contabilidad[[#This Row], [Concepto Anterior]],Conceptos_Contabilidad[#All],5,0),"")</f>
        <v>Numero de razones sociales atendidas indirectas (matricial)</v>
      </c>
      <c r="F336" t="str">
        <f ca="1">+IFERROR(VLOOKUP(Fact_Contabilidad[[#This Row], [Concepto Anterior]],Conceptos_Contabilidad[#All],7,0),"")</f>
        <v/>
      </c>
      <c r="G336" t="s">
        <v>172</v>
      </c>
      <c r="H336" t="s">
        <v>172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93">
        <v>12</v>
      </c>
    </row>
    <row r="337" spans="1:11" ht="18.75" customHeight="1" x14ac:dyDescent="0.35">
      <c r="A337" s="102">
        <v>2025</v>
      </c>
      <c r="B337" t="s">
        <v>181</v>
      </c>
      <c r="C337" s="100">
        <f>IF(OR(Fact_Contabilidad[[#This Row], [Año]]="",Fact_Contabilidad[[#This Row], [Mes]]=""),"",DATE(A337,MATCH(B337,{"enero","febrero","marzo","abril","mayo","junio","julio","agosto","septiembre","octubre","noviembre","diciembre"},0)+1,0))</f>
        <v>45930</v>
      </c>
      <c r="D337" t="s">
        <v>78</v>
      </c>
      <c r="E337" t="str">
        <f>+IFERROR(VLOOKUP(Fact_Contabilidad[[#This Row], [Concepto Anterior]],Conceptos_Contabilidad[#All],5,0),"")</f>
        <v>Gestión Gastos No deducibles + recuperación de embargos</v>
      </c>
      <c r="F337" t="str">
        <f ca="1">+IFERROR(VLOOKUP(Fact_Contabilidad[[#This Row], [Concepto Anterior]],Conceptos_Contabilidad[#All],7,0),"")</f>
        <v/>
      </c>
      <c r="G337" t="s">
        <v>172</v>
      </c>
      <c r="H337" t="s">
        <v>172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93">
        <v>0</v>
      </c>
    </row>
    <row r="338" spans="1:11" ht="18.75" customHeight="1" x14ac:dyDescent="0.35">
      <c r="A338" s="102">
        <v>2025</v>
      </c>
      <c r="B338" t="s">
        <v>181</v>
      </c>
      <c r="C338" s="100">
        <f>IF(OR(Fact_Contabilidad[[#This Row], [Año]]="",Fact_Contabilidad[[#This Row], [Mes]]=""),"",DATE(A338,MATCH(B338,{"enero","febrero","marzo","abril","mayo","junio","julio","agosto","septiembre","octubre","noviembre","diciembre"},0)+1,0))</f>
        <v>45930</v>
      </c>
      <c r="D338" t="s">
        <v>192</v>
      </c>
      <c r="E338" t="str">
        <f>+IFERROR(VLOOKUP(Fact_Contabilidad[[#This Row], [Concepto Anterior]],Conceptos_Contabilidad[#All],5,0),"")</f>
        <v>Activos fijos creados Comodín</v>
      </c>
      <c r="F338" t="str">
        <f ca="1">+IFERROR(VLOOKUP(Fact_Contabilidad[[#This Row], [Concepto Anterior]],Conceptos_Contabilidad[#All],7,0),"")</f>
        <v/>
      </c>
      <c r="G338" t="s">
        <v>172</v>
      </c>
      <c r="H338" t="s">
        <v>172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93">
        <v>176</v>
      </c>
    </row>
    <row r="339" spans="1:11" ht="18.75" customHeight="1" x14ac:dyDescent="0.35">
      <c r="A339" s="102">
        <v>2025</v>
      </c>
      <c r="B339" t="s">
        <v>181</v>
      </c>
      <c r="C339" s="100">
        <f>IF(OR(Fact_Contabilidad[[#This Row], [Año]]="",Fact_Contabilidad[[#This Row], [Mes]]=""),"",DATE(A339,MATCH(B339,{"enero","febrero","marzo","abril","mayo","junio","julio","agosto","septiembre","octubre","noviembre","diciembre"},0)+1,0))</f>
        <v>45930</v>
      </c>
      <c r="D339" t="s">
        <v>193</v>
      </c>
      <c r="E339" t="str">
        <f>+IFERROR(VLOOKUP(Fact_Contabilidad[[#This Row], [Concepto Anterior]],Conceptos_Contabilidad[#All],5,0),"")</f>
        <v>Activos fijos creados Dogama</v>
      </c>
      <c r="F339" t="str">
        <f ca="1">+IFERROR(VLOOKUP(Fact_Contabilidad[[#This Row], [Concepto Anterior]],Conceptos_Contabilidad[#All],7,0),"")</f>
        <v/>
      </c>
      <c r="G339" t="s">
        <v>172</v>
      </c>
      <c r="H339" t="s">
        <v>172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93">
        <v>0</v>
      </c>
    </row>
    <row r="340" spans="1:11" ht="18.75" customHeight="1" x14ac:dyDescent="0.35">
      <c r="A340" s="102">
        <v>2025</v>
      </c>
      <c r="B340" t="s">
        <v>181</v>
      </c>
      <c r="C340" s="100">
        <f>IF(OR(Fact_Contabilidad[[#This Row], [Año]]="",Fact_Contabilidad[[#This Row], [Mes]]=""),"",DATE(A340,MATCH(B340,{"enero","febrero","marzo","abril","mayo","junio","julio","agosto","septiembre","octubre","noviembre","diciembre"},0)+1,0))</f>
        <v>45930</v>
      </c>
      <c r="D340" t="s">
        <v>194</v>
      </c>
      <c r="E340" t="str">
        <f>+IFERROR(VLOOKUP(Fact_Contabilidad[[#This Row], [Concepto Anterior]],Conceptos_Contabilidad[#All],5,0),"")</f>
        <v>Instructivos en proceso</v>
      </c>
      <c r="F340" t="str">
        <f ca="1">+IFERROR(VLOOKUP(Fact_Contabilidad[[#This Row], [Concepto Anterior]],Conceptos_Contabilidad[#All],7,0),"")</f>
        <v/>
      </c>
      <c r="G340" t="s">
        <v>172</v>
      </c>
      <c r="H340" t="s">
        <v>172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93">
        <v>11</v>
      </c>
    </row>
    <row r="341" spans="1:11" ht="18.75" customHeight="1" x14ac:dyDescent="0.35">
      <c r="A341" s="102">
        <v>2025</v>
      </c>
      <c r="B341" t="s">
        <v>181</v>
      </c>
      <c r="C341" s="100">
        <f>IF(OR(Fact_Contabilidad[[#This Row], [Año]]="",Fact_Contabilidad[[#This Row], [Mes]]=""),"",DATE(A341,MATCH(B341,{"enero","febrero","marzo","abril","mayo","junio","julio","agosto","septiembre","octubre","noviembre","diciembre"},0)+1,0))</f>
        <v>45930</v>
      </c>
      <c r="D341" t="s">
        <v>195</v>
      </c>
      <c r="E341" t="str">
        <f>+IFERROR(VLOOKUP(Fact_Contabilidad[[#This Row], [Concepto Anterior]],Conceptos_Contabilidad[#All],5,0),"")</f>
        <v>Instructivos en validación PMO</v>
      </c>
      <c r="F341" t="str">
        <f ca="1">+IFERROR(VLOOKUP(Fact_Contabilidad[[#This Row], [Concepto Anterior]],Conceptos_Contabilidad[#All],7,0),"")</f>
        <v/>
      </c>
      <c r="G341" t="s">
        <v>172</v>
      </c>
      <c r="H341" t="s">
        <v>172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93">
        <v>15</v>
      </c>
    </row>
    <row r="342" spans="1:11" ht="18.75" customHeight="1" x14ac:dyDescent="0.35">
      <c r="A342" s="102">
        <v>2025</v>
      </c>
      <c r="B342" t="s">
        <v>181</v>
      </c>
      <c r="C342" s="100">
        <f>IF(OR(Fact_Contabilidad[[#This Row], [Año]]="",Fact_Contabilidad[[#This Row], [Mes]]=""),"",DATE(A342,MATCH(B342,{"enero","febrero","marzo","abril","mayo","junio","julio","agosto","septiembre","octubre","noviembre","diciembre"},0)+1,0))</f>
        <v>45930</v>
      </c>
      <c r="D342" t="s">
        <v>196</v>
      </c>
      <c r="E342" t="str">
        <f>+IFERROR(VLOOKUP(Fact_Contabilidad[[#This Row], [Concepto Anterior]],Conceptos_Contabilidad[#All],5,0),"")</f>
        <v>Instructivos aprobados</v>
      </c>
      <c r="F342" t="str">
        <f ca="1">+IFERROR(VLOOKUP(Fact_Contabilidad[[#This Row], [Concepto Anterior]],Conceptos_Contabilidad[#All],7,0),"")</f>
        <v/>
      </c>
      <c r="G342" t="s">
        <v>172</v>
      </c>
      <c r="H342" t="s">
        <v>172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93">
        <v>6</v>
      </c>
    </row>
    <row r="343" spans="1:11" ht="18.75" customHeight="1" x14ac:dyDescent="0.35">
      <c r="A343" s="102">
        <v>2025</v>
      </c>
      <c r="B343" t="s">
        <v>181</v>
      </c>
      <c r="C343" s="100">
        <f>IF(OR(Fact_Contabilidad[[#This Row], [Año]]="",Fact_Contabilidad[[#This Row], [Mes]]=""),"",DATE(A343,MATCH(B343,{"enero","febrero","marzo","abril","mayo","junio","julio","agosto","septiembre","octubre","noviembre","diciembre"},0)+1,0))</f>
        <v>45930</v>
      </c>
      <c r="D343" t="s">
        <v>197</v>
      </c>
      <c r="E343" t="str">
        <f>+IFERROR(VLOOKUP(Fact_Contabilidad[[#This Row], [Concepto Anterior]],Conceptos_Contabilidad[#All],5,0),"")</f>
        <v>Políticas en proceso</v>
      </c>
      <c r="F343" t="str">
        <f ca="1">+IFERROR(VLOOKUP(Fact_Contabilidad[[#This Row], [Concepto Anterior]],Conceptos_Contabilidad[#All],7,0),"")</f>
        <v/>
      </c>
      <c r="G343" t="s">
        <v>172</v>
      </c>
      <c r="H343" t="s">
        <v>172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93">
        <v>1</v>
      </c>
    </row>
    <row r="344" spans="1:11" ht="18.75" customHeight="1" x14ac:dyDescent="0.35">
      <c r="A344" s="102">
        <v>2025</v>
      </c>
      <c r="B344" t="s">
        <v>181</v>
      </c>
      <c r="C344" s="100">
        <f>IF(OR(Fact_Contabilidad[[#This Row], [Año]]="",Fact_Contabilidad[[#This Row], [Mes]]=""),"",DATE(A344,MATCH(B344,{"enero","febrero","marzo","abril","mayo","junio","julio","agosto","septiembre","octubre","noviembre","diciembre"},0)+1,0))</f>
        <v>45930</v>
      </c>
      <c r="D344" t="s">
        <v>198</v>
      </c>
      <c r="E344" t="str">
        <f>+IFERROR(VLOOKUP(Fact_Contabilidad[[#This Row], [Concepto Anterior]],Conceptos_Contabilidad[#All],5,0),"")</f>
        <v>Políticas aprobadas</v>
      </c>
      <c r="F344" t="str">
        <f ca="1">+IFERROR(VLOOKUP(Fact_Contabilidad[[#This Row], [Concepto Anterior]],Conceptos_Contabilidad[#All],7,0),"")</f>
        <v/>
      </c>
      <c r="G344" t="s">
        <v>172</v>
      </c>
      <c r="H344" t="s">
        <v>172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93">
        <v>0</v>
      </c>
    </row>
    <row r="345" spans="1:11" ht="18.75" customHeight="1" x14ac:dyDescent="0.35">
      <c r="A345" s="102">
        <v>2025</v>
      </c>
      <c r="B345" t="s">
        <v>181</v>
      </c>
      <c r="C345" s="100">
        <f>IF(OR(Fact_Contabilidad[[#This Row], [Año]]="",Fact_Contabilidad[[#This Row], [Mes]]=""),"",DATE(A345,MATCH(B345,{"enero","febrero","marzo","abril","mayo","junio","julio","agosto","septiembre","octubre","noviembre","diciembre"},0)+1,0))</f>
        <v>45930</v>
      </c>
      <c r="D345" t="s">
        <v>199</v>
      </c>
      <c r="E345" t="str">
        <f>+IFERROR(VLOOKUP(Fact_Contabilidad[[#This Row], [Concepto Anterior]],Conceptos_Contabilidad[#All],5,0),"")</f>
        <v>Facturas contabilizadas Triplematch</v>
      </c>
      <c r="F345" t="str">
        <f ca="1">+IFERROR(VLOOKUP(Fact_Contabilidad[[#This Row], [Concepto Anterior]],Conceptos_Contabilidad[#All],7,0),"")</f>
        <v/>
      </c>
      <c r="G345" t="s">
        <v>172</v>
      </c>
      <c r="H345" t="s">
        <v>172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93">
        <v>1043</v>
      </c>
    </row>
    <row r="346" spans="1:11" ht="18.75" customHeight="1" x14ac:dyDescent="0.35">
      <c r="A346" s="102">
        <v>2025</v>
      </c>
      <c r="B346" t="s">
        <v>181</v>
      </c>
      <c r="C346" s="100">
        <f>IF(OR(Fact_Contabilidad[[#This Row], [Año]]="",Fact_Contabilidad[[#This Row], [Mes]]=""),"",DATE(A346,MATCH(B346,{"enero","febrero","marzo","abril","mayo","junio","julio","agosto","septiembre","octubre","noviembre","diciembre"},0)+1,0))</f>
        <v>45930</v>
      </c>
      <c r="D346" t="s">
        <v>200</v>
      </c>
      <c r="E346" t="str">
        <f>+IFERROR(VLOOKUP(Fact_Contabilidad[[#This Row], [Concepto Anterior]],Conceptos_Contabilidad[#All],5,0),"")</f>
        <v>Facturas contabilizadas Script</v>
      </c>
      <c r="F346" t="str">
        <f ca="1">+IFERROR(VLOOKUP(Fact_Contabilidad[[#This Row], [Concepto Anterior]],Conceptos_Contabilidad[#All],7,0),"")</f>
        <v/>
      </c>
      <c r="G346" t="s">
        <v>172</v>
      </c>
      <c r="H346" t="s">
        <v>172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93">
        <v>567</v>
      </c>
    </row>
    <row r="347" spans="1:11" ht="18.75" customHeight="1" x14ac:dyDescent="0.35">
      <c r="A347" s="102">
        <v>2025</v>
      </c>
      <c r="B347" t="s">
        <v>17</v>
      </c>
      <c r="C347" s="100">
        <f>IF(OR(Fact_Contabilidad[[#This Row], [Año]]="",Fact_Contabilidad[[#This Row], [Mes]]=""),"",DATE(A347,MATCH(B347,{"enero","febrero","marzo","abril","mayo","junio","julio","agosto","septiembre","octubre","noviembre","diciembre"},0)+1,0))</f>
        <v>46022</v>
      </c>
      <c r="D347" t="s">
        <v>74</v>
      </c>
      <c r="E347" t="str">
        <f>+IFERROR(VLOOKUP(Fact_Contabilidad[[#This Row], [Concepto Anterior]],Conceptos_Contabilidad[#All],5,0),"")</f>
        <v>Descuentos por nomina de anticipo</v>
      </c>
      <c r="F347" t="str">
        <f ca="1">+IFERROR(VLOOKUP(Fact_Contabilidad[[#This Row], [Concepto Anterior]],Conceptos_Contabilidad[#All],7,0),"")</f>
        <v/>
      </c>
      <c r="G347" t="s">
        <v>172</v>
      </c>
      <c r="H347" t="s">
        <v>172</v>
      </c>
      <c r="I347" t="str">
        <f>+IFERROR(VLOOKUP(D347,Conceptos_Contabilidad[#All],2,0),"")</f>
        <v>Eficiencia</v>
      </c>
      <c r="J347" t="str">
        <f>+IFERROR(VLOOKUP(D347,Conceptos_Contabilidad[#All],3,0),"")</f>
        <v>Pesos</v>
      </c>
    </row>
    <row r="348" spans="1:11" ht="18.75" customHeight="1" x14ac:dyDescent="0.35">
      <c r="A348" s="102">
        <v>2024</v>
      </c>
      <c r="B348" t="s">
        <v>7</v>
      </c>
      <c r="C348" s="100">
        <f>IF(OR(Fact_Contabilidad[[#This Row], [Año]]="",Fact_Contabilidad[[#This Row], [Mes]]=""),"",DATE(A348,MATCH(B348,{"enero","febrero","marzo","abril","mayo","junio","julio","agosto","septiembre","octubre","noviembre","diciembre"},0)+1,0))</f>
        <v>45351</v>
      </c>
      <c r="D348" t="s">
        <v>136</v>
      </c>
      <c r="E348" t="str">
        <f>+IFERROR(VLOOKUP(Fact_Contabilidad[[#This Row], [Concepto Anterior]],Conceptos_Contabilidad[#All],5,0),"")</f>
        <v>el 95 % del cumplimiento (sale del promedio de la fila)</v>
      </c>
      <c r="F348" t="str">
        <f ca="1">+IFERROR(VLOOKUP(Fact_Contabilidad[[#This Row], [Concepto Anterior]],Conceptos_Contabilidad[#All],7,0),"")</f>
        <v/>
      </c>
      <c r="G348" t="s">
        <v>45</v>
      </c>
      <c r="H348" t="s">
        <v>201</v>
      </c>
      <c r="I348" t="str">
        <f>+IFERROR(VLOOKUP(D348,Conceptos_Contabilidad[#All],2,0),"")</f>
        <v>Volumetria</v>
      </c>
      <c r="J348" t="str">
        <f>+IFERROR(VLOOKUP(D348,Conceptos_Contabilidad[#All],3,0),"")</f>
        <v>Porcentaje</v>
      </c>
    </row>
    <row r="349" spans="1:11" ht="18.75" customHeight="1" x14ac:dyDescent="0.35">
      <c r="A349" s="103">
        <v>2023</v>
      </c>
      <c r="B349" t="s">
        <v>7</v>
      </c>
      <c r="C349" s="100">
        <f>IF(OR(Fact_Contabilidad[[#This Row], [Año]]="",Fact_Contabilidad[[#This Row], [Mes]]=""),"",DATE(A349,MATCH(B349,{"enero","febrero","marzo","abril","mayo","junio","julio","agosto","septiembre","octubre","noviembre","diciembre"},0)+1,0))</f>
        <v>44985</v>
      </c>
      <c r="D349" t="s">
        <v>136</v>
      </c>
      <c r="E349" t="str">
        <f>+IFERROR(VLOOKUP(Fact_Contabilidad[[#This Row], [Concepto Anterior]],Conceptos_Contabilidad[#All],5,0),"")</f>
        <v>el 95 % del cumplimiento (sale del promedio de la fila)</v>
      </c>
      <c r="F349" t="str">
        <f ca="1">+IFERROR(VLOOKUP(Fact_Contabilidad[[#This Row], [Concepto Anterior]],Conceptos_Contabilidad[#All],7,0),"")</f>
        <v/>
      </c>
      <c r="G349" t="s">
        <v>172</v>
      </c>
      <c r="H349" t="s">
        <v>172</v>
      </c>
      <c r="I349" t="str">
        <f>+IFERROR(VLOOKUP(D349,Conceptos_Contabilidad[#All],2,0),"")</f>
        <v>Volumetria</v>
      </c>
      <c r="J349" t="str">
        <f>+IFERROR(VLOOKUP(D349,Conceptos_Contabilidad[#All],3,0),"")</f>
        <v>Porcentaje</v>
      </c>
      <c r="K349" s="93">
        <v>33</v>
      </c>
    </row>
    <row r="350" spans="1:11" ht="18.75" customHeight="1" x14ac:dyDescent="0.35">
      <c r="A350" s="103">
        <v>2023</v>
      </c>
      <c r="B350" t="s">
        <v>16</v>
      </c>
      <c r="C350" s="100">
        <f>IF(OR(Fact_Contabilidad[[#This Row], [Año]]="",Fact_Contabilidad[[#This Row], [Mes]]=""),"",DATE(A350,MATCH(B350,{"enero","febrero","marzo","abril","mayo","junio","julio","agosto","septiembre","octubre","noviembre","diciembre"},0)+1,0))</f>
        <v>45260</v>
      </c>
      <c r="D350" t="s">
        <v>130</v>
      </c>
      <c r="E350" t="str">
        <f>+IFERROR(VLOOKUP(Fact_Contabilidad[[#This Row], [Concepto Anterior]],Conceptos_Contabilidad[#All],5,0),"")</f>
        <v>Facturas Contabilizada</v>
      </c>
      <c r="F350" t="str">
        <f ca="1">+IFERROR(VLOOKUP(Fact_Contabilidad[[#This Row], [Concepto Anterior]],Conceptos_Contabilidad[#All],7,0),"")</f>
        <v/>
      </c>
      <c r="G350" t="s">
        <v>42</v>
      </c>
      <c r="H350" t="s">
        <v>202</v>
      </c>
      <c r="I350" t="str">
        <f>+IFERROR(VLOOKUP(D350,Conceptos_Contabilidad[#All],2,0),"")</f>
        <v>Volumetria</v>
      </c>
      <c r="J350" t="str">
        <f>+IFERROR(VLOOKUP(D350,Conceptos_Contabilidad[#All],3,0),"")</f>
        <v>Cantidad</v>
      </c>
      <c r="K350" s="93">
        <v>30</v>
      </c>
    </row>
    <row r="351" spans="1:11" ht="18.75" customHeight="1" x14ac:dyDescent="0.35">
      <c r="A351" s="103">
        <v>2023</v>
      </c>
      <c r="B351" t="s">
        <v>16</v>
      </c>
      <c r="C351" s="100">
        <f>IF(OR(Fact_Contabilidad[[#This Row], [Año]]="",Fact_Contabilidad[[#This Row], [Mes]]=""),"",DATE(A351,MATCH(B351,{"enero","febrero","marzo","abril","mayo","junio","julio","agosto","septiembre","octubre","noviembre","diciembre"},0)+1,0))</f>
        <v>45260</v>
      </c>
      <c r="D351" t="s">
        <v>130</v>
      </c>
      <c r="E351" t="str">
        <f>+IFERROR(VLOOKUP(Fact_Contabilidad[[#This Row], [Concepto Anterior]],Conceptos_Contabilidad[#All],5,0),"")</f>
        <v>Facturas Contabilizada</v>
      </c>
      <c r="F351" t="str">
        <f ca="1">+IFERROR(VLOOKUP(Fact_Contabilidad[[#This Row], [Concepto Anterior]],Conceptos_Contabilidad[#All],7,0),"")</f>
        <v/>
      </c>
      <c r="G351" t="s">
        <v>42</v>
      </c>
      <c r="H351" t="s">
        <v>202</v>
      </c>
      <c r="I351" t="str">
        <f>+IFERROR(VLOOKUP(D351,Conceptos_Contabilidad[#All],2,0),"")</f>
        <v>Volumetria</v>
      </c>
      <c r="J351" t="str">
        <f>+IFERROR(VLOOKUP(D351,Conceptos_Contabilidad[#All],3,0),"")</f>
        <v>Cantidad</v>
      </c>
      <c r="K351" s="93">
        <v>30000000</v>
      </c>
    </row>
    <row r="352" spans="1:11" ht="18.75" customHeight="1" x14ac:dyDescent="0.35">
      <c r="A352" s="103">
        <v>2024</v>
      </c>
      <c r="B352" t="s">
        <v>6</v>
      </c>
      <c r="C352" s="100">
        <f>IF(OR(Fact_Contabilidad[[#This Row], [Año]]="",Fact_Contabilidad[[#This Row], [Mes]]=""),"",DATE(A352,MATCH(B352,{"enero","febrero","marzo","abril","mayo","junio","julio","agosto","septiembre","octubre","noviembre","diciembre"},0)+1,0))</f>
        <v>45322</v>
      </c>
      <c r="D352" t="s">
        <v>136</v>
      </c>
      <c r="E352" t="str">
        <f>+IFERROR(VLOOKUP(Fact_Contabilidad[[#This Row], [Concepto Anterior]],Conceptos_Contabilidad[#All],5,0),"")</f>
        <v>el 95 % del cumplimiento (sale del promedio de la fila)</v>
      </c>
      <c r="F352" t="str">
        <f ca="1">+IFERROR(VLOOKUP(Fact_Contabilidad[[#This Row], [Concepto Anterior]],Conceptos_Contabilidad[#All],7,0),"")</f>
        <v/>
      </c>
      <c r="G352" t="s">
        <v>172</v>
      </c>
      <c r="H352" t="s">
        <v>172</v>
      </c>
      <c r="I352" t="str">
        <f>+IFERROR(VLOOKUP(D352,Conceptos_Contabilidad[#All],2,0),"")</f>
        <v>Volumetria</v>
      </c>
      <c r="J352" t="str">
        <f>+IFERROR(VLOOKUP(D352,Conceptos_Contabilidad[#All],3,0),"")</f>
        <v>Porcentaje</v>
      </c>
      <c r="K352" s="93">
        <v>8.3000000000000007</v>
      </c>
    </row>
    <row r="353" spans="1:10" ht="18.75" customHeight="1" x14ac:dyDescent="0.35">
      <c r="A353" s="103"/>
      <c r="C353" s="100" t="str">
        <f>IF(OR(Fact_Contabilidad[[#This Row], [Año]]="",Fact_Contabilidad[[#This Row], [Mes]]=""),"",DATE(A353,MATCH(B353,{"enero","febrero","marzo","abril","mayo","junio","julio","agosto","septiembre","octubre","noviembre","diciembre"},0)+1,0))</f>
        <v/>
      </c>
      <c r="E353" t="str">
        <f>+IFERROR(VLOOKUP(Fact_Contabilidad[[#This Row], [Concepto Anterior]],Conceptos_Contabilidad[#All],5,0),"")</f>
        <v/>
      </c>
      <c r="F353" t="str">
        <f>+IFERROR(VLOOKUP(Fact_Contabilidad[[#This Row], 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ht="18.75" customHeight="1" x14ac:dyDescent="0.35">
      <c r="A354" s="103"/>
      <c r="C354" s="100" t="str">
        <f>IF(OR(Fact_Contabilidad[[#This Row], [Año]]="",Fact_Contabilidad[[#This Row], [Mes]]=""),"",DATE(A354,MATCH(B354,{"enero","febrero","marzo","abril","mayo","junio","julio","agosto","septiembre","octubre","noviembre","diciembre"},0)+1,0))</f>
        <v/>
      </c>
      <c r="E354" t="str">
        <f>+IFERROR(VLOOKUP(Fact_Contabilidad[[#This Row], [Concepto Anterior]],Conceptos_Contabilidad[#All],5,0),"")</f>
        <v/>
      </c>
      <c r="F354" t="str">
        <f>+IFERROR(VLOOKUP(Fact_Contabilidad[[#This Row], 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ht="18.75" customHeight="1" x14ac:dyDescent="0.35">
      <c r="A355" s="103"/>
      <c r="C355" s="100" t="str">
        <f>IF(OR(Fact_Contabilidad[[#This Row], [Año]]="",Fact_Contabilidad[[#This Row], [Mes]]=""),"",DATE(A355,MATCH(B355,{"enero","febrero","marzo","abril","mayo","junio","julio","agosto","septiembre","octubre","noviembre","diciembre"},0)+1,0))</f>
        <v/>
      </c>
      <c r="E355" t="str">
        <f>+IFERROR(VLOOKUP(Fact_Contabilidad[[#This Row], [Concepto Anterior]],Conceptos_Contabilidad[#All],5,0),"")</f>
        <v/>
      </c>
      <c r="F355" t="str">
        <f>+IFERROR(VLOOKUP(Fact_Contabilidad[[#This Row], 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ht="18.75" customHeight="1" x14ac:dyDescent="0.35">
      <c r="A356" s="103"/>
      <c r="C356" s="100" t="str">
        <f>IF(OR(Fact_Contabilidad[[#This Row], [Año]]="",Fact_Contabilidad[[#This Row], [Mes]]=""),"",DATE(A356,MATCH(B356,{"enero","febrero","marzo","abril","mayo","junio","julio","agosto","septiembre","octubre","noviembre","diciembre"},0)+1,0))</f>
        <v/>
      </c>
      <c r="E356" t="str">
        <f>+IFERROR(VLOOKUP(Fact_Contabilidad[[#This Row], [Concepto Anterior]],Conceptos_Contabilidad[#All],5,0),"")</f>
        <v/>
      </c>
      <c r="F356" t="str">
        <f>+IFERROR(VLOOKUP(Fact_Contabilidad[[#This Row], 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ht="18.75" customHeight="1" x14ac:dyDescent="0.35">
      <c r="A357" s="103"/>
      <c r="C357" s="100" t="str">
        <f>IF(OR(Fact_Contabilidad[[#This Row], [Año]]="",Fact_Contabilidad[[#This Row], [Mes]]=""),"",DATE(A357,MATCH(B357,{"enero","febrero","marzo","abril","mayo","junio","julio","agosto","septiembre","octubre","noviembre","diciembre"},0)+1,0))</f>
        <v/>
      </c>
      <c r="E357" t="str">
        <f>+IFERROR(VLOOKUP(Fact_Contabilidad[[#This Row], [Concepto Anterior]],Conceptos_Contabilidad[#All],5,0),"")</f>
        <v/>
      </c>
      <c r="F357" t="str">
        <f>+IFERROR(VLOOKUP(Fact_Contabilidad[[#This Row], 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ht="18.75" customHeight="1" x14ac:dyDescent="0.35">
      <c r="A358" s="103"/>
      <c r="C358" s="100" t="str">
        <f>IF(OR(Fact_Contabilidad[[#This Row], [Año]]="",Fact_Contabilidad[[#This Row], [Mes]]=""),"",DATE(A358,MATCH(B358,{"enero","febrero","marzo","abril","mayo","junio","julio","agosto","septiembre","octubre","noviembre","diciembre"},0)+1,0))</f>
        <v/>
      </c>
      <c r="E358" t="str">
        <f>+IFERROR(VLOOKUP(Fact_Contabilidad[[#This Row], [Concepto Anterior]],Conceptos_Contabilidad[#All],5,0),"")</f>
        <v/>
      </c>
      <c r="F358" t="str">
        <f>+IFERROR(VLOOKUP(Fact_Contabilidad[[#This Row], 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ht="18.75" customHeight="1" x14ac:dyDescent="0.35">
      <c r="A359" s="103"/>
      <c r="C359" s="100" t="str">
        <f>IF(OR(Fact_Contabilidad[[#This Row], [Año]]="",Fact_Contabilidad[[#This Row], [Mes]]=""),"",DATE(A359,MATCH(B359,{"enero","febrero","marzo","abril","mayo","junio","julio","agosto","septiembre","octubre","noviembre","diciembre"},0)+1,0))</f>
        <v/>
      </c>
      <c r="E359" t="str">
        <f>+IFERROR(VLOOKUP(Fact_Contabilidad[[#This Row], [Concepto Anterior]],Conceptos_Contabilidad[#All],5,0),"")</f>
        <v/>
      </c>
      <c r="F359" t="str">
        <f>+IFERROR(VLOOKUP(Fact_Contabilidad[[#This Row], 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ht="18.75" customHeight="1" x14ac:dyDescent="0.35">
      <c r="A360" s="103"/>
      <c r="C360" s="100" t="str">
        <f>IF(OR(Fact_Contabilidad[[#This Row], [Año]]="",Fact_Contabilidad[[#This Row], [Mes]]=""),"",DATE(A360,MATCH(B360,{"enero","febrero","marzo","abril","mayo","junio","julio","agosto","septiembre","octubre","noviembre","diciembre"},0)+1,0))</f>
        <v/>
      </c>
      <c r="E360" t="str">
        <f>+IFERROR(VLOOKUP(Fact_Contabilidad[[#This Row], [Concepto Anterior]],Conceptos_Contabilidad[#All],5,0),"")</f>
        <v/>
      </c>
      <c r="F360" t="str">
        <f>+IFERROR(VLOOKUP(Fact_Contabilidad[[#This Row], 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ht="18.75" customHeight="1" x14ac:dyDescent="0.35">
      <c r="A361" s="103"/>
      <c r="C361" s="100" t="str">
        <f>IF(OR(Fact_Contabilidad[[#This Row], [Año]]="",Fact_Contabilidad[[#This Row], [Mes]]=""),"",DATE(A361,MATCH(B361,{"enero","febrero","marzo","abril","mayo","junio","julio","agosto","septiembre","octubre","noviembre","diciembre"},0)+1,0))</f>
        <v/>
      </c>
      <c r="E361" t="str">
        <f>+IFERROR(VLOOKUP(Fact_Contabilidad[[#This Row], [Concepto Anterior]],Conceptos_Contabilidad[#All],5,0),"")</f>
        <v/>
      </c>
      <c r="F361" t="str">
        <f>+IFERROR(VLOOKUP(Fact_Contabilidad[[#This Row], 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ht="18.75" customHeight="1" x14ac:dyDescent="0.35">
      <c r="A362" s="103"/>
      <c r="C362" s="100" t="str">
        <f>IF(OR(Fact_Contabilidad[[#This Row], [Año]]="",Fact_Contabilidad[[#This Row], [Mes]]=""),"",DATE(A362,MATCH(B362,{"enero","febrero","marzo","abril","mayo","junio","julio","agosto","septiembre","octubre","noviembre","diciembre"},0)+1,0))</f>
        <v/>
      </c>
      <c r="E362" t="str">
        <f>+IFERROR(VLOOKUP(Fact_Contabilidad[[#This Row], [Concepto Anterior]],Conceptos_Contabilidad[#All],5,0),"")</f>
        <v/>
      </c>
      <c r="F362" t="str">
        <f>+IFERROR(VLOOKUP(Fact_Contabilidad[[#This Row], 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ht="18.75" customHeight="1" x14ac:dyDescent="0.35">
      <c r="A363" s="103"/>
      <c r="C363" s="100" t="str">
        <f>IF(OR(Fact_Contabilidad[[#This Row], [Año]]="",Fact_Contabilidad[[#This Row], [Mes]]=""),"",DATE(A363,MATCH(B363,{"enero","febrero","marzo","abril","mayo","junio","julio","agosto","septiembre","octubre","noviembre","diciembre"},0)+1,0))</f>
        <v/>
      </c>
      <c r="E363" t="str">
        <f>+IFERROR(VLOOKUP(Fact_Contabilidad[[#This Row], [Concepto Anterior]],Conceptos_Contabilidad[#All],5,0),"")</f>
        <v/>
      </c>
      <c r="F363" t="str">
        <f>+IFERROR(VLOOKUP(Fact_Contabilidad[[#This Row], 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ht="18.75" customHeight="1" x14ac:dyDescent="0.35">
      <c r="A364" s="103"/>
      <c r="C364" s="100" t="str">
        <f>IF(OR(Fact_Contabilidad[[#This Row], [Año]]="",Fact_Contabilidad[[#This Row], [Mes]]=""),"",DATE(A364,MATCH(B364,{"enero","febrero","marzo","abril","mayo","junio","julio","agosto","septiembre","octubre","noviembre","diciembre"},0)+1,0))</f>
        <v/>
      </c>
      <c r="E364" t="str">
        <f>+IFERROR(VLOOKUP(Fact_Contabilidad[[#This Row], [Concepto Anterior]],Conceptos_Contabilidad[#All],5,0),"")</f>
        <v/>
      </c>
      <c r="F364" t="str">
        <f>+IFERROR(VLOOKUP(Fact_Contabilidad[[#This Row], 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ht="18.75" customHeight="1" x14ac:dyDescent="0.35">
      <c r="A365" s="103"/>
      <c r="C365" s="100" t="str">
        <f>IF(OR(Fact_Contabilidad[[#This Row], [Año]]="",Fact_Contabilidad[[#This Row], [Mes]]=""),"",DATE(A365,MATCH(B365,{"enero","febrero","marzo","abril","mayo","junio","julio","agosto","septiembre","octubre","noviembre","diciembre"},0)+1,0))</f>
        <v/>
      </c>
      <c r="E365" t="str">
        <f>+IFERROR(VLOOKUP(Fact_Contabilidad[[#This Row], [Concepto Anterior]],Conceptos_Contabilidad[#All],5,0),"")</f>
        <v/>
      </c>
      <c r="F365" t="str">
        <f>+IFERROR(VLOOKUP(Fact_Contabilidad[[#This Row], 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ht="18.75" customHeight="1" x14ac:dyDescent="0.35">
      <c r="A366" s="103"/>
      <c r="C366" s="100" t="str">
        <f>IF(OR(Fact_Contabilidad[[#This Row], [Año]]="",Fact_Contabilidad[[#This Row], [Mes]]=""),"",DATE(A366,MATCH(B366,{"enero","febrero","marzo","abril","mayo","junio","julio","agosto","septiembre","octubre","noviembre","diciembre"},0)+1,0))</f>
        <v/>
      </c>
      <c r="E366" t="str">
        <f>+IFERROR(VLOOKUP(Fact_Contabilidad[[#This Row], [Concepto Anterior]],Conceptos_Contabilidad[#All],5,0),"")</f>
        <v/>
      </c>
      <c r="F366" t="str">
        <f>+IFERROR(VLOOKUP(Fact_Contabilidad[[#This Row], 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ht="18.75" customHeight="1" x14ac:dyDescent="0.35">
      <c r="A367" s="103"/>
      <c r="C367" s="100" t="str">
        <f>IF(OR(Fact_Contabilidad[[#This Row], [Año]]="",Fact_Contabilidad[[#This Row], [Mes]]=""),"",DATE(A367,MATCH(B367,{"enero","febrero","marzo","abril","mayo","junio","julio","agosto","septiembre","octubre","noviembre","diciembre"},0)+1,0))</f>
        <v/>
      </c>
      <c r="E367" t="str">
        <f>+IFERROR(VLOOKUP(Fact_Contabilidad[[#This Row], [Concepto Anterior]],Conceptos_Contabilidad[#All],5,0),"")</f>
        <v/>
      </c>
      <c r="F367" t="str">
        <f>+IFERROR(VLOOKUP(Fact_Contabilidad[[#This Row], 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ht="18.75" customHeight="1" x14ac:dyDescent="0.35">
      <c r="A368" s="103"/>
      <c r="C368" s="100" t="str">
        <f>IF(OR(Fact_Contabilidad[[#This Row], [Año]]="",Fact_Contabilidad[[#This Row], [Mes]]=""),"",DATE(A368,MATCH(B368,{"enero","febrero","marzo","abril","mayo","junio","julio","agosto","septiembre","octubre","noviembre","diciembre"},0)+1,0))</f>
        <v/>
      </c>
      <c r="E368" t="str">
        <f>+IFERROR(VLOOKUP(Fact_Contabilidad[[#This Row], [Concepto Anterior]],Conceptos_Contabilidad[#All],5,0),"")</f>
        <v/>
      </c>
      <c r="F368" t="str">
        <f>+IFERROR(VLOOKUP(Fact_Contabilidad[[#This Row], 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ht="18.75" customHeight="1" x14ac:dyDescent="0.35">
      <c r="A369" s="103"/>
      <c r="C369" s="100" t="str">
        <f>IF(OR(Fact_Contabilidad[[#This Row], [Año]]="",Fact_Contabilidad[[#This Row], [Mes]]=""),"",DATE(A369,MATCH(B369,{"enero","febrero","marzo","abril","mayo","junio","julio","agosto","septiembre","octubre","noviembre","diciembre"},0)+1,0))</f>
        <v/>
      </c>
      <c r="E369" t="str">
        <f>+IFERROR(VLOOKUP(Fact_Contabilidad[[#This Row], [Concepto Anterior]],Conceptos_Contabilidad[#All],5,0),"")</f>
        <v/>
      </c>
      <c r="F369" t="str">
        <f>+IFERROR(VLOOKUP(Fact_Contabilidad[[#This Row], 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ht="18.75" customHeight="1" x14ac:dyDescent="0.35">
      <c r="A370" s="103"/>
      <c r="C370" s="100" t="str">
        <f>IF(OR(Fact_Contabilidad[[#This Row], [Año]]="",Fact_Contabilidad[[#This Row], [Mes]]=""),"",DATE(A370,MATCH(B370,{"enero","febrero","marzo","abril","mayo","junio","julio","agosto","septiembre","octubre","noviembre","diciembre"},0)+1,0))</f>
        <v/>
      </c>
      <c r="E370" t="str">
        <f>+IFERROR(VLOOKUP(Fact_Contabilidad[[#This Row], [Concepto Anterior]],Conceptos_Contabilidad[#All],5,0),"")</f>
        <v/>
      </c>
      <c r="F370" t="str">
        <f>+IFERROR(VLOOKUP(Fact_Contabilidad[[#This Row], 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ht="18.75" customHeight="1" x14ac:dyDescent="0.35">
      <c r="A371" s="103"/>
      <c r="C371" s="100" t="str">
        <f>IF(OR(Fact_Contabilidad[[#This Row], [Año]]="",Fact_Contabilidad[[#This Row], [Mes]]=""),"",DATE(A371,MATCH(B371,{"enero","febrero","marzo","abril","mayo","junio","julio","agosto","septiembre","octubre","noviembre","diciembre"},0)+1,0))</f>
        <v/>
      </c>
      <c r="E371" t="str">
        <f>+IFERROR(VLOOKUP(Fact_Contabilidad[[#This Row], [Concepto Anterior]],Conceptos_Contabilidad[#All],5,0),"")</f>
        <v/>
      </c>
      <c r="F371" t="str">
        <f>+IFERROR(VLOOKUP(Fact_Contabilidad[[#This Row], 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ht="18.75" customHeight="1" x14ac:dyDescent="0.35">
      <c r="A372" s="103"/>
      <c r="C372" s="100" t="str">
        <f>IF(OR(Fact_Contabilidad[[#This Row], [Año]]="",Fact_Contabilidad[[#This Row], [Mes]]=""),"",DATE(A372,MATCH(B372,{"enero","febrero","marzo","abril","mayo","junio","julio","agosto","septiembre","octubre","noviembre","diciembre"},0)+1,0))</f>
        <v/>
      </c>
      <c r="E372" t="str">
        <f>+IFERROR(VLOOKUP(Fact_Contabilidad[[#This Row], [Concepto Anterior]],Conceptos_Contabilidad[#All],5,0),"")</f>
        <v/>
      </c>
      <c r="F372" t="str">
        <f>+IFERROR(VLOOKUP(Fact_Contabilidad[[#This Row], 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ht="18.75" customHeight="1" x14ac:dyDescent="0.35">
      <c r="A373" s="103"/>
      <c r="C373" s="100" t="str">
        <f>IF(OR(Fact_Contabilidad[[#This Row], [Año]]="",Fact_Contabilidad[[#This Row], [Mes]]=""),"",DATE(A373,MATCH(B373,{"enero","febrero","marzo","abril","mayo","junio","julio","agosto","septiembre","octubre","noviembre","diciembre"},0)+1,0))</f>
        <v/>
      </c>
      <c r="E373" t="str">
        <f>+IFERROR(VLOOKUP(Fact_Contabilidad[[#This Row], [Concepto Anterior]],Conceptos_Contabilidad[#All],5,0),"")</f>
        <v/>
      </c>
      <c r="F373" t="str">
        <f>+IFERROR(VLOOKUP(Fact_Contabilidad[[#This Row], 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ht="18.75" customHeight="1" x14ac:dyDescent="0.35">
      <c r="A374" s="103"/>
      <c r="C374" s="100" t="str">
        <f>IF(OR(Fact_Contabilidad[[#This Row], [Año]]="",Fact_Contabilidad[[#This Row], [Mes]]=""),"",DATE(A374,MATCH(B374,{"enero","febrero","marzo","abril","mayo","junio","julio","agosto","septiembre","octubre","noviembre","diciembre"},0)+1,0))</f>
        <v/>
      </c>
      <c r="E374" t="str">
        <f>+IFERROR(VLOOKUP(Fact_Contabilidad[[#This Row], [Concepto Anterior]],Conceptos_Contabilidad[#All],5,0),"")</f>
        <v/>
      </c>
      <c r="F374" t="str">
        <f>+IFERROR(VLOOKUP(Fact_Contabilidad[[#This Row], 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ht="18.75" customHeight="1" x14ac:dyDescent="0.35">
      <c r="A375" s="103"/>
      <c r="C375" s="100" t="str">
        <f>IF(OR(Fact_Contabilidad[[#This Row], [Año]]="",Fact_Contabilidad[[#This Row], [Mes]]=""),"",DATE(A375,MATCH(B375,{"enero","febrero","marzo","abril","mayo","junio","julio","agosto","septiembre","octubre","noviembre","diciembre"},0)+1,0))</f>
        <v/>
      </c>
      <c r="E375" t="str">
        <f>+IFERROR(VLOOKUP(Fact_Contabilidad[[#This Row], [Concepto Anterior]],Conceptos_Contabilidad[#All],5,0),"")</f>
        <v/>
      </c>
      <c r="F375" t="str">
        <f>+IFERROR(VLOOKUP(Fact_Contabilidad[[#This Row], 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ht="18.75" customHeight="1" x14ac:dyDescent="0.35">
      <c r="A376" s="103"/>
      <c r="C376" s="100" t="str">
        <f>IF(OR(Fact_Contabilidad[[#This Row], [Año]]="",Fact_Contabilidad[[#This Row], [Mes]]=""),"",DATE(A376,MATCH(B376,{"enero","febrero","marzo","abril","mayo","junio","julio","agosto","septiembre","octubre","noviembre","diciembre"},0)+1,0))</f>
        <v/>
      </c>
      <c r="E376" t="str">
        <f>+IFERROR(VLOOKUP(Fact_Contabilidad[[#This Row], [Concepto Anterior]],Conceptos_Contabilidad[#All],5,0),"")</f>
        <v/>
      </c>
      <c r="F376" t="str">
        <f>+IFERROR(VLOOKUP(Fact_Contabilidad[[#This Row], 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ht="18.75" customHeight="1" x14ac:dyDescent="0.35">
      <c r="A377" s="103"/>
      <c r="C377" s="100" t="str">
        <f>IF(OR(Fact_Contabilidad[[#This Row], [Año]]="",Fact_Contabilidad[[#This Row], [Mes]]=""),"",DATE(A377,MATCH(B377,{"enero","febrero","marzo","abril","mayo","junio","julio","agosto","septiembre","octubre","noviembre","diciembre"},0)+1,0))</f>
        <v/>
      </c>
      <c r="E377" t="str">
        <f>+IFERROR(VLOOKUP(Fact_Contabilidad[[#This Row], [Concepto Anterior]],Conceptos_Contabilidad[#All],5,0),"")</f>
        <v/>
      </c>
      <c r="F377" t="str">
        <f>+IFERROR(VLOOKUP(Fact_Contabilidad[[#This Row], 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ht="18.75" customHeight="1" x14ac:dyDescent="0.35">
      <c r="A378" s="103"/>
      <c r="C378" s="100" t="str">
        <f>IF(OR(Fact_Contabilidad[[#This Row], [Año]]="",Fact_Contabilidad[[#This Row], [Mes]]=""),"",DATE(A378,MATCH(B378,{"enero","febrero","marzo","abril","mayo","junio","julio","agosto","septiembre","octubre","noviembre","diciembre"},0)+1,0))</f>
        <v/>
      </c>
      <c r="E378" t="str">
        <f>+IFERROR(VLOOKUP(Fact_Contabilidad[[#This Row], [Concepto Anterior]],Conceptos_Contabilidad[#All],5,0),"")</f>
        <v/>
      </c>
      <c r="F378" t="str">
        <f>+IFERROR(VLOOKUP(Fact_Contabilidad[[#This Row], 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ht="18.75" customHeight="1" x14ac:dyDescent="0.35">
      <c r="A379" s="103"/>
      <c r="C379" s="100" t="str">
        <f>IF(OR(Fact_Contabilidad[[#This Row], [Año]]="",Fact_Contabilidad[[#This Row], [Mes]]=""),"",DATE(A379,MATCH(B379,{"enero","febrero","marzo","abril","mayo","junio","julio","agosto","septiembre","octubre","noviembre","diciembre"},0)+1,0))</f>
        <v/>
      </c>
      <c r="E379" t="str">
        <f>+IFERROR(VLOOKUP(Fact_Contabilidad[[#This Row], [Concepto Anterior]],Conceptos_Contabilidad[#All],5,0),"")</f>
        <v/>
      </c>
      <c r="F379" t="str">
        <f>+IFERROR(VLOOKUP(Fact_Contabilidad[[#This Row], 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ht="18.75" customHeight="1" x14ac:dyDescent="0.35">
      <c r="A380" s="103"/>
      <c r="C380" s="100" t="str">
        <f>IF(OR(Fact_Contabilidad[[#This Row], [Año]]="",Fact_Contabilidad[[#This Row], [Mes]]=""),"",DATE(A380,MATCH(B380,{"enero","febrero","marzo","abril","mayo","junio","julio","agosto","septiembre","octubre","noviembre","diciembre"},0)+1,0))</f>
        <v/>
      </c>
      <c r="E380" t="str">
        <f>+IFERROR(VLOOKUP(Fact_Contabilidad[[#This Row], [Concepto Anterior]],Conceptos_Contabilidad[#All],5,0),"")</f>
        <v/>
      </c>
      <c r="F380" t="str">
        <f>+IFERROR(VLOOKUP(Fact_Contabilidad[[#This Row], 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ht="18.75" customHeight="1" x14ac:dyDescent="0.35">
      <c r="A381" s="103"/>
      <c r="C381" s="100" t="str">
        <f>IF(OR(Fact_Contabilidad[[#This Row], [Año]]="",Fact_Contabilidad[[#This Row], [Mes]]=""),"",DATE(A381,MATCH(B381,{"enero","febrero","marzo","abril","mayo","junio","julio","agosto","septiembre","octubre","noviembre","diciembre"},0)+1,0))</f>
        <v/>
      </c>
      <c r="E381" t="str">
        <f>+IFERROR(VLOOKUP(Fact_Contabilidad[[#This Row], [Concepto Anterior]],Conceptos_Contabilidad[#All],5,0),"")</f>
        <v/>
      </c>
      <c r="F381" t="str">
        <f>+IFERROR(VLOOKUP(Fact_Contabilidad[[#This Row], 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ht="18.75" customHeight="1" x14ac:dyDescent="0.35">
      <c r="A382" s="103"/>
      <c r="C382" s="100" t="str">
        <f>IF(OR(Fact_Contabilidad[[#This Row], [Año]]="",Fact_Contabilidad[[#This Row], [Mes]]=""),"",DATE(A382,MATCH(B382,{"enero","febrero","marzo","abril","mayo","junio","julio","agosto","septiembre","octubre","noviembre","diciembre"},0)+1,0))</f>
        <v/>
      </c>
      <c r="E382" t="str">
        <f>+IFERROR(VLOOKUP(Fact_Contabilidad[[#This Row], [Concepto Anterior]],Conceptos_Contabilidad[#All],5,0),"")</f>
        <v/>
      </c>
      <c r="F382" t="str">
        <f>+IFERROR(VLOOKUP(Fact_Contabilidad[[#This Row], 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ht="18.75" customHeight="1" x14ac:dyDescent="0.35">
      <c r="A383" s="103"/>
      <c r="C383" s="100" t="str">
        <f>IF(OR(Fact_Contabilidad[[#This Row], [Año]]="",Fact_Contabilidad[[#This Row], [Mes]]=""),"",DATE(A383,MATCH(B383,{"enero","febrero","marzo","abril","mayo","junio","julio","agosto","septiembre","octubre","noviembre","diciembre"},0)+1,0))</f>
        <v/>
      </c>
      <c r="E383" t="str">
        <f>+IFERROR(VLOOKUP(Fact_Contabilidad[[#This Row], [Concepto Anterior]],Conceptos_Contabilidad[#All],5,0),"")</f>
        <v/>
      </c>
      <c r="F383" t="str">
        <f>+IFERROR(VLOOKUP(Fact_Contabilidad[[#This Row], 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ht="18.75" customHeight="1" x14ac:dyDescent="0.35">
      <c r="A384" s="103"/>
      <c r="C384" s="100" t="str">
        <f>IF(OR(Fact_Contabilidad[[#This Row], [Año]]="",Fact_Contabilidad[[#This Row], [Mes]]=""),"",DATE(A384,MATCH(B384,{"enero","febrero","marzo","abril","mayo","junio","julio","agosto","septiembre","octubre","noviembre","diciembre"},0)+1,0))</f>
        <v/>
      </c>
      <c r="E384" t="str">
        <f>+IFERROR(VLOOKUP(Fact_Contabilidad[[#This Row], [Concepto Anterior]],Conceptos_Contabilidad[#All],5,0),"")</f>
        <v/>
      </c>
      <c r="F384" t="str">
        <f>+IFERROR(VLOOKUP(Fact_Contabilidad[[#This Row], 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ht="18.75" customHeight="1" x14ac:dyDescent="0.35">
      <c r="A385" s="103"/>
      <c r="C385" s="100" t="str">
        <f>IF(OR(Fact_Contabilidad[[#This Row], [Año]]="",Fact_Contabilidad[[#This Row], [Mes]]=""),"",DATE(A385,MATCH(B385,{"enero","febrero","marzo","abril","mayo","junio","julio","agosto","septiembre","octubre","noviembre","diciembre"},0)+1,0))</f>
        <v/>
      </c>
      <c r="E385" t="str">
        <f>+IFERROR(VLOOKUP(Fact_Contabilidad[[#This Row], [Concepto Anterior]],Conceptos_Contabilidad[#All],5,0),"")</f>
        <v/>
      </c>
      <c r="F385" t="str">
        <f>+IFERROR(VLOOKUP(Fact_Contabilidad[[#This Row], 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ht="18.75" customHeight="1" x14ac:dyDescent="0.35">
      <c r="A386" s="103"/>
      <c r="C386" s="100" t="str">
        <f>IF(OR(Fact_Contabilidad[[#This Row], [Año]]="",Fact_Contabilidad[[#This Row], [Mes]]=""),"",DATE(A386,MATCH(B386,{"enero","febrero","marzo","abril","mayo","junio","julio","agosto","septiembre","octubre","noviembre","diciembre"},0)+1,0))</f>
        <v/>
      </c>
      <c r="E386" t="str">
        <f>+IFERROR(VLOOKUP(Fact_Contabilidad[[#This Row], [Concepto Anterior]],Conceptos_Contabilidad[#All],5,0),"")</f>
        <v/>
      </c>
      <c r="F386" t="str">
        <f>+IFERROR(VLOOKUP(Fact_Contabilidad[[#This Row], 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ht="18.75" customHeight="1" x14ac:dyDescent="0.35">
      <c r="A387" s="103"/>
      <c r="C387" s="100" t="str">
        <f>IF(OR(Fact_Contabilidad[[#This Row], [Año]]="",Fact_Contabilidad[[#This Row], [Mes]]=""),"",DATE(A387,MATCH(B387,{"enero","febrero","marzo","abril","mayo","junio","julio","agosto","septiembre","octubre","noviembre","diciembre"},0)+1,0))</f>
        <v/>
      </c>
      <c r="E387" t="str">
        <f>+IFERROR(VLOOKUP(Fact_Contabilidad[[#This Row], [Concepto Anterior]],Conceptos_Contabilidad[#All],5,0),"")</f>
        <v/>
      </c>
      <c r="F387" t="str">
        <f>+IFERROR(VLOOKUP(Fact_Contabilidad[[#This Row], 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ht="18.75" customHeight="1" x14ac:dyDescent="0.35">
      <c r="A388" s="103"/>
      <c r="C388" s="100" t="str">
        <f>IF(OR(Fact_Contabilidad[[#This Row], [Año]]="",Fact_Contabilidad[[#This Row], [Mes]]=""),"",DATE(A388,MATCH(B388,{"enero","febrero","marzo","abril","mayo","junio","julio","agosto","septiembre","octubre","noviembre","diciembre"},0)+1,0))</f>
        <v/>
      </c>
      <c r="E388" t="str">
        <f>+IFERROR(VLOOKUP(Fact_Contabilidad[[#This Row], [Concepto Anterior]],Conceptos_Contabilidad[#All],5,0),"")</f>
        <v/>
      </c>
      <c r="F388" t="str">
        <f>+IFERROR(VLOOKUP(Fact_Contabilidad[[#This Row], 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ht="18.75" customHeight="1" x14ac:dyDescent="0.35">
      <c r="A389" s="103"/>
      <c r="C389" s="100" t="str">
        <f>IF(OR(Fact_Contabilidad[[#This Row], [Año]]="",Fact_Contabilidad[[#This Row], [Mes]]=""),"",DATE(A389,MATCH(B389,{"enero","febrero","marzo","abril","mayo","junio","julio","agosto","septiembre","octubre","noviembre","diciembre"},0)+1,0))</f>
        <v/>
      </c>
      <c r="E389" t="str">
        <f>+IFERROR(VLOOKUP(Fact_Contabilidad[[#This Row], [Concepto Anterior]],Conceptos_Contabilidad[#All],5,0),"")</f>
        <v/>
      </c>
      <c r="F389" t="str">
        <f>+IFERROR(VLOOKUP(Fact_Contabilidad[[#This Row], 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ht="18.75" customHeight="1" x14ac:dyDescent="0.35">
      <c r="A390" s="103"/>
      <c r="C390" s="100" t="str">
        <f>IF(OR(Fact_Contabilidad[[#This Row], [Año]]="",Fact_Contabilidad[[#This Row], [Mes]]=""),"",DATE(A390,MATCH(B390,{"enero","febrero","marzo","abril","mayo","junio","julio","agosto","septiembre","octubre","noviembre","diciembre"},0)+1,0))</f>
        <v/>
      </c>
      <c r="E390" t="str">
        <f>+IFERROR(VLOOKUP(Fact_Contabilidad[[#This Row], [Concepto Anterior]],Conceptos_Contabilidad[#All],5,0),"")</f>
        <v/>
      </c>
      <c r="F390" t="str">
        <f>+IFERROR(VLOOKUP(Fact_Contabilidad[[#This Row], 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ht="18.75" customHeight="1" x14ac:dyDescent="0.35">
      <c r="A391" s="103"/>
      <c r="C391" s="100" t="str">
        <f>IF(OR(Fact_Contabilidad[[#This Row], [Año]]="",Fact_Contabilidad[[#This Row], [Mes]]=""),"",DATE(A391,MATCH(B391,{"enero","febrero","marzo","abril","mayo","junio","julio","agosto","septiembre","octubre","noviembre","diciembre"},0)+1,0))</f>
        <v/>
      </c>
      <c r="E391" t="str">
        <f>+IFERROR(VLOOKUP(Fact_Contabilidad[[#This Row], [Concepto Anterior]],Conceptos_Contabilidad[#All],5,0),"")</f>
        <v/>
      </c>
      <c r="F391" t="str">
        <f>+IFERROR(VLOOKUP(Fact_Contabilidad[[#This Row], 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ht="18.75" customHeight="1" x14ac:dyDescent="0.35">
      <c r="A392" s="103"/>
      <c r="C392" s="100" t="str">
        <f>IF(OR(Fact_Contabilidad[[#This Row], [Año]]="",Fact_Contabilidad[[#This Row], [Mes]]=""),"",DATE(A392,MATCH(B392,{"enero","febrero","marzo","abril","mayo","junio","julio","agosto","septiembre","octubre","noviembre","diciembre"},0)+1,0))</f>
        <v/>
      </c>
      <c r="E392" t="str">
        <f>+IFERROR(VLOOKUP(Fact_Contabilidad[[#This Row], [Concepto Anterior]],Conceptos_Contabilidad[#All],5,0),"")</f>
        <v/>
      </c>
      <c r="F392" t="str">
        <f>+IFERROR(VLOOKUP(Fact_Contabilidad[[#This Row], 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ht="18.75" customHeight="1" x14ac:dyDescent="0.35">
      <c r="A393" s="103"/>
      <c r="C393" s="100" t="str">
        <f>IF(OR(Fact_Contabilidad[[#This Row], [Año]]="",Fact_Contabilidad[[#This Row], [Mes]]=""),"",DATE(A393,MATCH(B393,{"enero","febrero","marzo","abril","mayo","junio","julio","agosto","septiembre","octubre","noviembre","diciembre"},0)+1,0))</f>
        <v/>
      </c>
      <c r="E393" t="str">
        <f>+IFERROR(VLOOKUP(Fact_Contabilidad[[#This Row], [Concepto Anterior]],Conceptos_Contabilidad[#All],5,0),"")</f>
        <v/>
      </c>
      <c r="F393" t="str">
        <f>+IFERROR(VLOOKUP(Fact_Contabilidad[[#This Row], 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ht="18.75" customHeight="1" x14ac:dyDescent="0.35">
      <c r="A394" s="103"/>
      <c r="C394" s="100" t="str">
        <f>IF(OR(Fact_Contabilidad[[#This Row], [Año]]="",Fact_Contabilidad[[#This Row], [Mes]]=""),"",DATE(A394,MATCH(B394,{"enero","febrero","marzo","abril","mayo","junio","julio","agosto","septiembre","octubre","noviembre","diciembre"},0)+1,0))</f>
        <v/>
      </c>
      <c r="E394" t="str">
        <f>+IFERROR(VLOOKUP(Fact_Contabilidad[[#This Row], [Concepto Anterior]],Conceptos_Contabilidad[#All],5,0),"")</f>
        <v/>
      </c>
      <c r="F394" t="str">
        <f>+IFERROR(VLOOKUP(Fact_Contabilidad[[#This Row], 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ht="18.75" customHeight="1" x14ac:dyDescent="0.35">
      <c r="A395" s="103"/>
      <c r="C395" s="100" t="str">
        <f>IF(OR(Fact_Contabilidad[[#This Row], [Año]]="",Fact_Contabilidad[[#This Row], [Mes]]=""),"",DATE(A395,MATCH(B395,{"enero","febrero","marzo","abril","mayo","junio","julio","agosto","septiembre","octubre","noviembre","diciembre"},0)+1,0))</f>
        <v/>
      </c>
      <c r="E395" t="str">
        <f>+IFERROR(VLOOKUP(Fact_Contabilidad[[#This Row], [Concepto Anterior]],Conceptos_Contabilidad[#All],5,0),"")</f>
        <v/>
      </c>
      <c r="F395" t="str">
        <f>+IFERROR(VLOOKUP(Fact_Contabilidad[[#This Row], 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ht="18.75" customHeight="1" x14ac:dyDescent="0.35">
      <c r="A396" s="103"/>
      <c r="C396" s="100" t="str">
        <f>IF(OR(Fact_Contabilidad[[#This Row], [Año]]="",Fact_Contabilidad[[#This Row], [Mes]]=""),"",DATE(A396,MATCH(B396,{"enero","febrero","marzo","abril","mayo","junio","julio","agosto","septiembre","octubre","noviembre","diciembre"},0)+1,0))</f>
        <v/>
      </c>
      <c r="E396" t="str">
        <f>+IFERROR(VLOOKUP(Fact_Contabilidad[[#This Row], [Concepto Anterior]],Conceptos_Contabilidad[#All],5,0),"")</f>
        <v/>
      </c>
      <c r="F396" t="str">
        <f>+IFERROR(VLOOKUP(Fact_Contabilidad[[#This Row], 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ht="18.75" customHeight="1" x14ac:dyDescent="0.35">
      <c r="A397" s="103"/>
      <c r="C397" s="100" t="str">
        <f>IF(OR(Fact_Contabilidad[[#This Row], [Año]]="",Fact_Contabilidad[[#This Row], [Mes]]=""),"",DATE(A397,MATCH(B397,{"enero","febrero","marzo","abril","mayo","junio","julio","agosto","septiembre","octubre","noviembre","diciembre"},0)+1,0))</f>
        <v/>
      </c>
      <c r="E397" t="str">
        <f>+IFERROR(VLOOKUP(Fact_Contabilidad[[#This Row], [Concepto Anterior]],Conceptos_Contabilidad[#All],5,0),"")</f>
        <v/>
      </c>
      <c r="F397" t="str">
        <f>+IFERROR(VLOOKUP(Fact_Contabilidad[[#This Row], 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ht="18.75" customHeight="1" x14ac:dyDescent="0.35">
      <c r="A398" s="103"/>
      <c r="C398" s="100" t="str">
        <f>IF(OR(Fact_Contabilidad[[#This Row], [Año]]="",Fact_Contabilidad[[#This Row], [Mes]]=""),"",DATE(A398,MATCH(B398,{"enero","febrero","marzo","abril","mayo","junio","julio","agosto","septiembre","octubre","noviembre","diciembre"},0)+1,0))</f>
        <v/>
      </c>
      <c r="E398" t="str">
        <f>+IFERROR(VLOOKUP(Fact_Contabilidad[[#This Row], [Concepto Anterior]],Conceptos_Contabilidad[#All],5,0),"")</f>
        <v/>
      </c>
      <c r="F398" t="str">
        <f>+IFERROR(VLOOKUP(Fact_Contabilidad[[#This Row], 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ht="18.75" customHeight="1" x14ac:dyDescent="0.35">
      <c r="A399" s="103"/>
      <c r="C399" s="100" t="str">
        <f>IF(OR(Fact_Contabilidad[[#This Row], [Año]]="",Fact_Contabilidad[[#This Row], [Mes]]=""),"",DATE(A399,MATCH(B399,{"enero","febrero","marzo","abril","mayo","junio","julio","agosto","septiembre","octubre","noviembre","diciembre"},0)+1,0))</f>
        <v/>
      </c>
      <c r="E399" t="str">
        <f>+IFERROR(VLOOKUP(Fact_Contabilidad[[#This Row], [Concepto Anterior]],Conceptos_Contabilidad[#All],5,0),"")</f>
        <v/>
      </c>
      <c r="F399" t="str">
        <f>+IFERROR(VLOOKUP(Fact_Contabilidad[[#This Row], 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ht="18.75" customHeight="1" x14ac:dyDescent="0.35">
      <c r="A400" s="103"/>
      <c r="C400" s="100" t="str">
        <f>IF(OR(Fact_Contabilidad[[#This Row], [Año]]="",Fact_Contabilidad[[#This Row], [Mes]]=""),"",DATE(A400,MATCH(B400,{"enero","febrero","marzo","abril","mayo","junio","julio","agosto","septiembre","octubre","noviembre","diciembre"},0)+1,0))</f>
        <v/>
      </c>
      <c r="E400" t="str">
        <f>+IFERROR(VLOOKUP(Fact_Contabilidad[[#This Row], [Concepto Anterior]],Conceptos_Contabilidad[#All],5,0),"")</f>
        <v/>
      </c>
      <c r="F400" t="str">
        <f>+IFERROR(VLOOKUP(Fact_Contabilidad[[#This Row], 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ht="18.75" customHeight="1" x14ac:dyDescent="0.35">
      <c r="A401" s="103"/>
      <c r="C401" s="100" t="str">
        <f>IF(OR(Fact_Contabilidad[[#This Row], [Año]]="",Fact_Contabilidad[[#This Row], [Mes]]=""),"",DATE(A401,MATCH(B401,{"enero","febrero","marzo","abril","mayo","junio","julio","agosto","septiembre","octubre","noviembre","diciembre"},0)+1,0))</f>
        <v/>
      </c>
      <c r="E401" t="str">
        <f>+IFERROR(VLOOKUP(Fact_Contabilidad[[#This Row], [Concepto Anterior]],Conceptos_Contabilidad[#All],5,0),"")</f>
        <v/>
      </c>
      <c r="F401" t="str">
        <f>+IFERROR(VLOOKUP(Fact_Contabilidad[[#This Row], 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ht="18.75" customHeight="1" x14ac:dyDescent="0.35">
      <c r="A402" s="103"/>
      <c r="C402" s="100" t="str">
        <f>IF(OR(Fact_Contabilidad[[#This Row], [Año]]="",Fact_Contabilidad[[#This Row], [Mes]]=""),"",DATE(A402,MATCH(B402,{"enero","febrero","marzo","abril","mayo","junio","julio","agosto","septiembre","octubre","noviembre","diciembre"},0)+1,0))</f>
        <v/>
      </c>
      <c r="E402" t="str">
        <f>+IFERROR(VLOOKUP(Fact_Contabilidad[[#This Row], [Concepto Anterior]],Conceptos_Contabilidad[#All],5,0),"")</f>
        <v/>
      </c>
      <c r="F402" t="str">
        <f>+IFERROR(VLOOKUP(Fact_Contabilidad[[#This Row], 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ht="18.75" customHeight="1" x14ac:dyDescent="0.35">
      <c r="A403" s="103"/>
      <c r="C403" s="100" t="str">
        <f>IF(OR(Fact_Contabilidad[[#This Row], [Año]]="",Fact_Contabilidad[[#This Row], [Mes]]=""),"",DATE(A403,MATCH(B403,{"enero","febrero","marzo","abril","mayo","junio","julio","agosto","septiembre","octubre","noviembre","diciembre"},0)+1,0))</f>
        <v/>
      </c>
      <c r="E403" t="str">
        <f>+IFERROR(VLOOKUP(Fact_Contabilidad[[#This Row], [Concepto Anterior]],Conceptos_Contabilidad[#All],5,0),"")</f>
        <v/>
      </c>
      <c r="F403" t="str">
        <f>+IFERROR(VLOOKUP(Fact_Contabilidad[[#This Row], 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ht="18.75" customHeight="1" x14ac:dyDescent="0.35">
      <c r="A404" s="103"/>
      <c r="C404" s="100" t="str">
        <f>IF(OR(Fact_Contabilidad[[#This Row], [Año]]="",Fact_Contabilidad[[#This Row], [Mes]]=""),"",DATE(A404,MATCH(B404,{"enero","febrero","marzo","abril","mayo","junio","julio","agosto","septiembre","octubre","noviembre","diciembre"},0)+1,0))</f>
        <v/>
      </c>
      <c r="E404" t="str">
        <f>+IFERROR(VLOOKUP(Fact_Contabilidad[[#This Row], [Concepto Anterior]],Conceptos_Contabilidad[#All],5,0),"")</f>
        <v/>
      </c>
      <c r="F404" t="str">
        <f>+IFERROR(VLOOKUP(Fact_Contabilidad[[#This Row], 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ht="18.75" customHeight="1" x14ac:dyDescent="0.35">
      <c r="A405" s="103"/>
      <c r="C405" s="100" t="str">
        <f>IF(OR(Fact_Contabilidad[[#This Row], [Año]]="",Fact_Contabilidad[[#This Row], [Mes]]=""),"",DATE(A405,MATCH(B405,{"enero","febrero","marzo","abril","mayo","junio","julio","agosto","septiembre","octubre","noviembre","diciembre"},0)+1,0))</f>
        <v/>
      </c>
      <c r="E405" t="str">
        <f>+IFERROR(VLOOKUP(Fact_Contabilidad[[#This Row], [Concepto Anterior]],Conceptos_Contabilidad[#All],5,0),"")</f>
        <v/>
      </c>
      <c r="F405" t="str">
        <f>+IFERROR(VLOOKUP(Fact_Contabilidad[[#This Row], 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ht="18.75" customHeight="1" x14ac:dyDescent="0.35">
      <c r="A406" s="103"/>
      <c r="C406" s="100" t="str">
        <f>IF(OR(Fact_Contabilidad[[#This Row], [Año]]="",Fact_Contabilidad[[#This Row], [Mes]]=""),"",DATE(A406,MATCH(B406,{"enero","febrero","marzo","abril","mayo","junio","julio","agosto","septiembre","octubre","noviembre","diciembre"},0)+1,0))</f>
        <v/>
      </c>
      <c r="E406" t="str">
        <f>+IFERROR(VLOOKUP(Fact_Contabilidad[[#This Row], [Concepto Anterior]],Conceptos_Contabilidad[#All],5,0),"")</f>
        <v/>
      </c>
      <c r="F406" t="str">
        <f>+IFERROR(VLOOKUP(Fact_Contabilidad[[#This Row], 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ht="18.75" customHeight="1" x14ac:dyDescent="0.35">
      <c r="A407" s="103"/>
      <c r="C407" s="100" t="str">
        <f>IF(OR(Fact_Contabilidad[[#This Row], [Año]]="",Fact_Contabilidad[[#This Row], [Mes]]=""),"",DATE(A407,MATCH(B407,{"enero","febrero","marzo","abril","mayo","junio","julio","agosto","septiembre","octubre","noviembre","diciembre"},0)+1,0))</f>
        <v/>
      </c>
      <c r="E407" t="str">
        <f>+IFERROR(VLOOKUP(Fact_Contabilidad[[#This Row], [Concepto Anterior]],Conceptos_Contabilidad[#All],5,0),"")</f>
        <v/>
      </c>
      <c r="F407" t="str">
        <f>+IFERROR(VLOOKUP(Fact_Contabilidad[[#This Row], 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ht="18.75" customHeight="1" x14ac:dyDescent="0.35">
      <c r="A408" s="103"/>
      <c r="C408" s="100" t="str">
        <f>IF(OR(Fact_Contabilidad[[#This Row], [Año]]="",Fact_Contabilidad[[#This Row], [Mes]]=""),"",DATE(A408,MATCH(B408,{"enero","febrero","marzo","abril","mayo","junio","julio","agosto","septiembre","octubre","noviembre","diciembre"},0)+1,0))</f>
        <v/>
      </c>
      <c r="E408" t="str">
        <f>+IFERROR(VLOOKUP(Fact_Contabilidad[[#This Row], [Concepto Anterior]],Conceptos_Contabilidad[#All],5,0),"")</f>
        <v/>
      </c>
      <c r="F408" t="str">
        <f>+IFERROR(VLOOKUP(Fact_Contabilidad[[#This Row], 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ht="18.75" customHeight="1" x14ac:dyDescent="0.35">
      <c r="A409" s="103"/>
      <c r="C409" s="100" t="str">
        <f>IF(OR(Fact_Contabilidad[[#This Row], [Año]]="",Fact_Contabilidad[[#This Row], [Mes]]=""),"",DATE(A409,MATCH(B409,{"enero","febrero","marzo","abril","mayo","junio","julio","agosto","septiembre","octubre","noviembre","diciembre"},0)+1,0))</f>
        <v/>
      </c>
      <c r="E409" t="str">
        <f>+IFERROR(VLOOKUP(Fact_Contabilidad[[#This Row], [Concepto Anterior]],Conceptos_Contabilidad[#All],5,0),"")</f>
        <v/>
      </c>
      <c r="F409" t="str">
        <f>+IFERROR(VLOOKUP(Fact_Contabilidad[[#This Row], 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ht="18.75" customHeight="1" x14ac:dyDescent="0.35">
      <c r="A410" s="103"/>
      <c r="C410" s="100" t="str">
        <f>IF(OR(Fact_Contabilidad[[#This Row], [Año]]="",Fact_Contabilidad[[#This Row], [Mes]]=""),"",DATE(A410,MATCH(B410,{"enero","febrero","marzo","abril","mayo","junio","julio","agosto","septiembre","octubre","noviembre","diciembre"},0)+1,0))</f>
        <v/>
      </c>
      <c r="E410" t="str">
        <f>+IFERROR(VLOOKUP(Fact_Contabilidad[[#This Row], [Concepto Anterior]],Conceptos_Contabilidad[#All],5,0),"")</f>
        <v/>
      </c>
      <c r="F410" t="str">
        <f>+IFERROR(VLOOKUP(Fact_Contabilidad[[#This Row], 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ht="18.75" customHeight="1" x14ac:dyDescent="0.35">
      <c r="A411" s="103"/>
      <c r="C411" s="100" t="str">
        <f>IF(OR(Fact_Contabilidad[[#This Row], [Año]]="",Fact_Contabilidad[[#This Row], [Mes]]=""),"",DATE(A411,MATCH(B411,{"enero","febrero","marzo","abril","mayo","junio","julio","agosto","septiembre","octubre","noviembre","diciembre"},0)+1,0))</f>
        <v/>
      </c>
      <c r="E411" t="str">
        <f>+IFERROR(VLOOKUP(Fact_Contabilidad[[#This Row], [Concepto Anterior]],Conceptos_Contabilidad[#All],5,0),"")</f>
        <v/>
      </c>
      <c r="F411" t="str">
        <f>+IFERROR(VLOOKUP(Fact_Contabilidad[[#This Row], 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ht="18.75" customHeight="1" x14ac:dyDescent="0.35">
      <c r="A412" s="103"/>
      <c r="C412" s="100" t="str">
        <f>IF(OR(Fact_Contabilidad[[#This Row], [Año]]="",Fact_Contabilidad[[#This Row], [Mes]]=""),"",DATE(A412,MATCH(B412,{"enero","febrero","marzo","abril","mayo","junio","julio","agosto","septiembre","octubre","noviembre","diciembre"},0)+1,0))</f>
        <v/>
      </c>
      <c r="E412" t="str">
        <f>+IFERROR(VLOOKUP(Fact_Contabilidad[[#This Row], [Concepto Anterior]],Conceptos_Contabilidad[#All],5,0),"")</f>
        <v/>
      </c>
      <c r="F412" t="str">
        <f>+IFERROR(VLOOKUP(Fact_Contabilidad[[#This Row], 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ht="18.75" customHeight="1" x14ac:dyDescent="0.35">
      <c r="A413" s="103"/>
      <c r="C413" s="100" t="str">
        <f>IF(OR(Fact_Contabilidad[[#This Row], [Año]]="",Fact_Contabilidad[[#This Row], [Mes]]=""),"",DATE(A413,MATCH(B413,{"enero","febrero","marzo","abril","mayo","junio","julio","agosto","septiembre","octubre","noviembre","diciembre"},0)+1,0))</f>
        <v/>
      </c>
      <c r="E413" t="str">
        <f>+IFERROR(VLOOKUP(Fact_Contabilidad[[#This Row], [Concepto Anterior]],Conceptos_Contabilidad[#All],5,0),"")</f>
        <v/>
      </c>
      <c r="F413" t="str">
        <f>+IFERROR(VLOOKUP(Fact_Contabilidad[[#This Row], 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ht="18.75" customHeight="1" x14ac:dyDescent="0.35">
      <c r="A414" s="103"/>
      <c r="C414" s="100" t="str">
        <f>IF(OR(Fact_Contabilidad[[#This Row], [Año]]="",Fact_Contabilidad[[#This Row], [Mes]]=""),"",DATE(A414,MATCH(B414,{"enero","febrero","marzo","abril","mayo","junio","julio","agosto","septiembre","octubre","noviembre","diciembre"},0)+1,0))</f>
        <v/>
      </c>
      <c r="E414" t="str">
        <f>+IFERROR(VLOOKUP(Fact_Contabilidad[[#This Row], [Concepto Anterior]],Conceptos_Contabilidad[#All],5,0),"")</f>
        <v/>
      </c>
      <c r="F414" t="str">
        <f>+IFERROR(VLOOKUP(Fact_Contabilidad[[#This Row], 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ht="18.75" customHeight="1" x14ac:dyDescent="0.35">
      <c r="A415" s="103"/>
      <c r="C415" s="100" t="str">
        <f>IF(OR(Fact_Contabilidad[[#This Row], [Año]]="",Fact_Contabilidad[[#This Row], [Mes]]=""),"",DATE(A415,MATCH(B415,{"enero","febrero","marzo","abril","mayo","junio","julio","agosto","septiembre","octubre","noviembre","diciembre"},0)+1,0))</f>
        <v/>
      </c>
      <c r="E415" t="str">
        <f>+IFERROR(VLOOKUP(Fact_Contabilidad[[#This Row], [Concepto Anterior]],Conceptos_Contabilidad[#All],5,0),"")</f>
        <v/>
      </c>
      <c r="F415" t="str">
        <f>+IFERROR(VLOOKUP(Fact_Contabilidad[[#This Row], 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ht="18.75" customHeight="1" x14ac:dyDescent="0.35">
      <c r="A416" s="103"/>
      <c r="C416" s="100" t="str">
        <f>IF(OR(Fact_Contabilidad[[#This Row], [Año]]="",Fact_Contabilidad[[#This Row], [Mes]]=""),"",DATE(A416,MATCH(B416,{"enero","febrero","marzo","abril","mayo","junio","julio","agosto","septiembre","octubre","noviembre","diciembre"},0)+1,0))</f>
        <v/>
      </c>
      <c r="E416" t="str">
        <f>+IFERROR(VLOOKUP(Fact_Contabilidad[[#This Row], [Concepto Anterior]],Conceptos_Contabilidad[#All],5,0),"")</f>
        <v/>
      </c>
      <c r="F416" t="str">
        <f>+IFERROR(VLOOKUP(Fact_Contabilidad[[#This Row], 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ht="18.75" customHeight="1" x14ac:dyDescent="0.35">
      <c r="A417" s="103"/>
      <c r="C417" s="100" t="str">
        <f>IF(OR(Fact_Contabilidad[[#This Row], [Año]]="",Fact_Contabilidad[[#This Row], [Mes]]=""),"",DATE(A417,MATCH(B417,{"enero","febrero","marzo","abril","mayo","junio","julio","agosto","septiembre","octubre","noviembre","diciembre"},0)+1,0))</f>
        <v/>
      </c>
      <c r="E417" t="str">
        <f>+IFERROR(VLOOKUP(Fact_Contabilidad[[#This Row], [Concepto Anterior]],Conceptos_Contabilidad[#All],5,0),"")</f>
        <v/>
      </c>
      <c r="F417" t="str">
        <f>+IFERROR(VLOOKUP(Fact_Contabilidad[[#This Row], 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ht="18.75" customHeight="1" x14ac:dyDescent="0.35">
      <c r="A418" s="103"/>
      <c r="C418" s="100" t="str">
        <f>IF(OR(Fact_Contabilidad[[#This Row], [Año]]="",Fact_Contabilidad[[#This Row], [Mes]]=""),"",DATE(A418,MATCH(B418,{"enero","febrero","marzo","abril","mayo","junio","julio","agosto","septiembre","octubre","noviembre","diciembre"},0)+1,0))</f>
        <v/>
      </c>
      <c r="E418" t="str">
        <f>+IFERROR(VLOOKUP(Fact_Contabilidad[[#This Row], [Concepto Anterior]],Conceptos_Contabilidad[#All],5,0),"")</f>
        <v/>
      </c>
      <c r="F418" t="str">
        <f>+IFERROR(VLOOKUP(Fact_Contabilidad[[#This Row], 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ht="18.75" customHeight="1" x14ac:dyDescent="0.35">
      <c r="A419" s="103"/>
      <c r="C419" s="100" t="str">
        <f>IF(OR(Fact_Contabilidad[[#This Row], [Año]]="",Fact_Contabilidad[[#This Row], [Mes]]=""),"",DATE(A419,MATCH(B419,{"enero","febrero","marzo","abril","mayo","junio","julio","agosto","septiembre","octubre","noviembre","diciembre"},0)+1,0))</f>
        <v/>
      </c>
      <c r="E419" t="str">
        <f>+IFERROR(VLOOKUP(Fact_Contabilidad[[#This Row], [Concepto Anterior]],Conceptos_Contabilidad[#All],5,0),"")</f>
        <v/>
      </c>
      <c r="F419" t="str">
        <f>+IFERROR(VLOOKUP(Fact_Contabilidad[[#This Row], 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ht="18.75" customHeight="1" x14ac:dyDescent="0.35">
      <c r="A420" s="103"/>
      <c r="C420" s="100" t="str">
        <f>IF(OR(Fact_Contabilidad[[#This Row], [Año]]="",Fact_Contabilidad[[#This Row], [Mes]]=""),"",DATE(A420,MATCH(B420,{"enero","febrero","marzo","abril","mayo","junio","julio","agosto","septiembre","octubre","noviembre","diciembre"},0)+1,0))</f>
        <v/>
      </c>
      <c r="E420" t="str">
        <f>+IFERROR(VLOOKUP(Fact_Contabilidad[[#This Row], [Concepto Anterior]],Conceptos_Contabilidad[#All],5,0),"")</f>
        <v/>
      </c>
      <c r="F420" t="str">
        <f>+IFERROR(VLOOKUP(Fact_Contabilidad[[#This Row], 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ht="18.75" customHeight="1" x14ac:dyDescent="0.35">
      <c r="A421" s="103"/>
      <c r="C421" s="100" t="str">
        <f>IF(OR(Fact_Contabilidad[[#This Row], [Año]]="",Fact_Contabilidad[[#This Row], [Mes]]=""),"",DATE(A421,MATCH(B421,{"enero","febrero","marzo","abril","mayo","junio","julio","agosto","septiembre","octubre","noviembre","diciembre"},0)+1,0))</f>
        <v/>
      </c>
      <c r="E421" t="str">
        <f>+IFERROR(VLOOKUP(Fact_Contabilidad[[#This Row], [Concepto Anterior]],Conceptos_Contabilidad[#All],5,0),"")</f>
        <v/>
      </c>
      <c r="F421" t="str">
        <f>+IFERROR(VLOOKUP(Fact_Contabilidad[[#This Row], 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ht="18.75" customHeight="1" x14ac:dyDescent="0.35">
      <c r="A422" s="103"/>
      <c r="C422" s="100" t="str">
        <f>IF(OR(Fact_Contabilidad[[#This Row], [Año]]="",Fact_Contabilidad[[#This Row], [Mes]]=""),"",DATE(A422,MATCH(B422,{"enero","febrero","marzo","abril","mayo","junio","julio","agosto","septiembre","octubre","noviembre","diciembre"},0)+1,0))</f>
        <v/>
      </c>
      <c r="E422" t="str">
        <f>+IFERROR(VLOOKUP(Fact_Contabilidad[[#This Row], [Concepto Anterior]],Conceptos_Contabilidad[#All],5,0),"")</f>
        <v/>
      </c>
      <c r="F422" t="str">
        <f>+IFERROR(VLOOKUP(Fact_Contabilidad[[#This Row], 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ht="18.75" customHeight="1" x14ac:dyDescent="0.35">
      <c r="A423" s="103"/>
      <c r="C423" s="100" t="str">
        <f>IF(OR(Fact_Contabilidad[[#This Row], [Año]]="",Fact_Contabilidad[[#This Row], [Mes]]=""),"",DATE(A423,MATCH(B423,{"enero","febrero","marzo","abril","mayo","junio","julio","agosto","septiembre","octubre","noviembre","diciembre"},0)+1,0))</f>
        <v/>
      </c>
      <c r="E423" t="str">
        <f>+IFERROR(VLOOKUP(Fact_Contabilidad[[#This Row], [Concepto Anterior]],Conceptos_Contabilidad[#All],5,0),"")</f>
        <v/>
      </c>
      <c r="F423" t="str">
        <f>+IFERROR(VLOOKUP(Fact_Contabilidad[[#This Row], 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ht="18.75" customHeight="1" x14ac:dyDescent="0.35">
      <c r="A424" s="103"/>
      <c r="C424" s="100" t="str">
        <f>IF(OR(Fact_Contabilidad[[#This Row], [Año]]="",Fact_Contabilidad[[#This Row], [Mes]]=""),"",DATE(A424,MATCH(B424,{"enero","febrero","marzo","abril","mayo","junio","julio","agosto","septiembre","octubre","noviembre","diciembre"},0)+1,0))</f>
        <v/>
      </c>
      <c r="E424" t="str">
        <f>+IFERROR(VLOOKUP(Fact_Contabilidad[[#This Row], [Concepto Anterior]],Conceptos_Contabilidad[#All],5,0),"")</f>
        <v/>
      </c>
      <c r="F424" t="str">
        <f>+IFERROR(VLOOKUP(Fact_Contabilidad[[#This Row], 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ht="18.75" customHeight="1" x14ac:dyDescent="0.35">
      <c r="A425" s="103"/>
      <c r="C425" s="100" t="str">
        <f>IF(OR(Fact_Contabilidad[[#This Row], [Año]]="",Fact_Contabilidad[[#This Row], [Mes]]=""),"",DATE(A425,MATCH(B425,{"enero","febrero","marzo","abril","mayo","junio","julio","agosto","septiembre","octubre","noviembre","diciembre"},0)+1,0))</f>
        <v/>
      </c>
      <c r="E425" t="str">
        <f>+IFERROR(VLOOKUP(Fact_Contabilidad[[#This Row], [Concepto Anterior]],Conceptos_Contabilidad[#All],5,0),"")</f>
        <v/>
      </c>
      <c r="F425" t="str">
        <f>+IFERROR(VLOOKUP(Fact_Contabilidad[[#This Row], 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ht="18.75" customHeight="1" x14ac:dyDescent="0.35">
      <c r="A426" s="103"/>
      <c r="C426" s="100" t="str">
        <f>IF(OR(Fact_Contabilidad[[#This Row], [Año]]="",Fact_Contabilidad[[#This Row], [Mes]]=""),"",DATE(A426,MATCH(B426,{"enero","febrero","marzo","abril","mayo","junio","julio","agosto","septiembre","octubre","noviembre","diciembre"},0)+1,0))</f>
        <v/>
      </c>
      <c r="E426" t="str">
        <f>+IFERROR(VLOOKUP(Fact_Contabilidad[[#This Row], [Concepto Anterior]],Conceptos_Contabilidad[#All],5,0),"")</f>
        <v/>
      </c>
      <c r="F426" t="str">
        <f>+IFERROR(VLOOKUP(Fact_Contabilidad[[#This Row], 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ht="18.75" customHeight="1" x14ac:dyDescent="0.35">
      <c r="A427" s="103"/>
      <c r="C427" s="100" t="str">
        <f>IF(OR(Fact_Contabilidad[[#This Row], [Año]]="",Fact_Contabilidad[[#This Row], [Mes]]=""),"",DATE(A427,MATCH(B427,{"enero","febrero","marzo","abril","mayo","junio","julio","agosto","septiembre","octubre","noviembre","diciembre"},0)+1,0))</f>
        <v/>
      </c>
      <c r="E427" t="str">
        <f>+IFERROR(VLOOKUP(Fact_Contabilidad[[#This Row], [Concepto Anterior]],Conceptos_Contabilidad[#All],5,0),"")</f>
        <v/>
      </c>
      <c r="F427" t="str">
        <f>+IFERROR(VLOOKUP(Fact_Contabilidad[[#This Row], 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ht="18.75" customHeight="1" x14ac:dyDescent="0.35">
      <c r="A428" s="103"/>
      <c r="C428" s="100" t="str">
        <f>IF(OR(Fact_Contabilidad[[#This Row], [Año]]="",Fact_Contabilidad[[#This Row], [Mes]]=""),"",DATE(A428,MATCH(B428,{"enero","febrero","marzo","abril","mayo","junio","julio","agosto","septiembre","octubre","noviembre","diciembre"},0)+1,0))</f>
        <v/>
      </c>
      <c r="E428" t="str">
        <f>+IFERROR(VLOOKUP(Fact_Contabilidad[[#This Row], [Concepto Anterior]],Conceptos_Contabilidad[#All],5,0),"")</f>
        <v/>
      </c>
      <c r="F428" t="str">
        <f>+IFERROR(VLOOKUP(Fact_Contabilidad[[#This Row], 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ht="18.75" customHeight="1" x14ac:dyDescent="0.35">
      <c r="A429" s="103"/>
      <c r="C429" s="100" t="str">
        <f>IF(OR(Fact_Contabilidad[[#This Row], [Año]]="",Fact_Contabilidad[[#This Row], [Mes]]=""),"",DATE(A429,MATCH(B429,{"enero","febrero","marzo","abril","mayo","junio","julio","agosto","septiembre","octubre","noviembre","diciembre"},0)+1,0))</f>
        <v/>
      </c>
      <c r="E429" t="str">
        <f>+IFERROR(VLOOKUP(Fact_Contabilidad[[#This Row], [Concepto Anterior]],Conceptos_Contabilidad[#All],5,0),"")</f>
        <v/>
      </c>
      <c r="F429" t="str">
        <f>+IFERROR(VLOOKUP(Fact_Contabilidad[[#This Row], 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ht="18.75" customHeight="1" x14ac:dyDescent="0.35">
      <c r="A430" s="103"/>
      <c r="C430" s="100" t="str">
        <f>IF(OR(Fact_Contabilidad[[#This Row], [Año]]="",Fact_Contabilidad[[#This Row], [Mes]]=""),"",DATE(A430,MATCH(B430,{"enero","febrero","marzo","abril","mayo","junio","julio","agosto","septiembre","octubre","noviembre","diciembre"},0)+1,0))</f>
        <v/>
      </c>
      <c r="E430" t="str">
        <f>+IFERROR(VLOOKUP(Fact_Contabilidad[[#This Row], [Concepto Anterior]],Conceptos_Contabilidad[#All],5,0),"")</f>
        <v/>
      </c>
      <c r="F430" t="str">
        <f>+IFERROR(VLOOKUP(Fact_Contabilidad[[#This Row], 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ht="18.75" customHeight="1" x14ac:dyDescent="0.35">
      <c r="A431" s="103"/>
      <c r="C431" s="100" t="str">
        <f>IF(OR(Fact_Contabilidad[[#This Row], [Año]]="",Fact_Contabilidad[[#This Row], [Mes]]=""),"",DATE(A431,MATCH(B431,{"enero","febrero","marzo","abril","mayo","junio","julio","agosto","septiembre","octubre","noviembre","diciembre"},0)+1,0))</f>
        <v/>
      </c>
      <c r="E431" t="str">
        <f>+IFERROR(VLOOKUP(Fact_Contabilidad[[#This Row], [Concepto Anterior]],Conceptos_Contabilidad[#All],5,0),"")</f>
        <v/>
      </c>
      <c r="F431" t="str">
        <f>+IFERROR(VLOOKUP(Fact_Contabilidad[[#This Row], 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ht="18.75" customHeight="1" x14ac:dyDescent="0.35">
      <c r="A432" s="103"/>
      <c r="C432" s="100" t="str">
        <f>IF(OR(Fact_Contabilidad[[#This Row], [Año]]="",Fact_Contabilidad[[#This Row], [Mes]]=""),"",DATE(A432,MATCH(B432,{"enero","febrero","marzo","abril","mayo","junio","julio","agosto","septiembre","octubre","noviembre","diciembre"},0)+1,0))</f>
        <v/>
      </c>
      <c r="E432" t="str">
        <f>+IFERROR(VLOOKUP(Fact_Contabilidad[[#This Row], [Concepto Anterior]],Conceptos_Contabilidad[#All],5,0),"")</f>
        <v/>
      </c>
      <c r="F432" t="str">
        <f>+IFERROR(VLOOKUP(Fact_Contabilidad[[#This Row], 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ht="18.75" customHeight="1" x14ac:dyDescent="0.35">
      <c r="A433" s="103"/>
      <c r="C433" s="100" t="str">
        <f>IF(OR(Fact_Contabilidad[[#This Row], [Año]]="",Fact_Contabilidad[[#This Row], [Mes]]=""),"",DATE(A433,MATCH(B433,{"enero","febrero","marzo","abril","mayo","junio","julio","agosto","septiembre","octubre","noviembre","diciembre"},0)+1,0))</f>
        <v/>
      </c>
      <c r="E433" t="str">
        <f>+IFERROR(VLOOKUP(Fact_Contabilidad[[#This Row], [Concepto Anterior]],Conceptos_Contabilidad[#All],5,0),"")</f>
        <v/>
      </c>
      <c r="F433" t="str">
        <f>+IFERROR(VLOOKUP(Fact_Contabilidad[[#This Row], 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ht="18.75" customHeight="1" x14ac:dyDescent="0.35">
      <c r="A434" s="103"/>
      <c r="C434" s="100" t="str">
        <f>IF(OR(Fact_Contabilidad[[#This Row], [Año]]="",Fact_Contabilidad[[#This Row], [Mes]]=""),"",DATE(A434,MATCH(B434,{"enero","febrero","marzo","abril","mayo","junio","julio","agosto","septiembre","octubre","noviembre","diciembre"},0)+1,0))</f>
        <v/>
      </c>
      <c r="E434" t="str">
        <f>+IFERROR(VLOOKUP(Fact_Contabilidad[[#This Row], [Concepto Anterior]],Conceptos_Contabilidad[#All],5,0),"")</f>
        <v/>
      </c>
      <c r="F434" t="str">
        <f>+IFERROR(VLOOKUP(Fact_Contabilidad[[#This Row], 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ht="18.75" customHeight="1" x14ac:dyDescent="0.35">
      <c r="A435" s="103"/>
      <c r="C435" s="100" t="str">
        <f>IF(OR(Fact_Contabilidad[[#This Row], [Año]]="",Fact_Contabilidad[[#This Row], [Mes]]=""),"",DATE(A435,MATCH(B435,{"enero","febrero","marzo","abril","mayo","junio","julio","agosto","septiembre","octubre","noviembre","diciembre"},0)+1,0))</f>
        <v/>
      </c>
      <c r="E435" t="str">
        <f>+IFERROR(VLOOKUP(Fact_Contabilidad[[#This Row], [Concepto Anterior]],Conceptos_Contabilidad[#All],5,0),"")</f>
        <v/>
      </c>
      <c r="F435" t="str">
        <f>+IFERROR(VLOOKUP(Fact_Contabilidad[[#This Row], 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ht="18.75" customHeight="1" x14ac:dyDescent="0.35">
      <c r="A436" s="103"/>
      <c r="C436" s="100" t="str">
        <f>IF(OR(Fact_Contabilidad[[#This Row], [Año]]="",Fact_Contabilidad[[#This Row], [Mes]]=""),"",DATE(A436,MATCH(B436,{"enero","febrero","marzo","abril","mayo","junio","julio","agosto","septiembre","octubre","noviembre","diciembre"},0)+1,0))</f>
        <v/>
      </c>
      <c r="E436" t="str">
        <f>+IFERROR(VLOOKUP(Fact_Contabilidad[[#This Row], [Concepto Anterior]],Conceptos_Contabilidad[#All],5,0),"")</f>
        <v/>
      </c>
      <c r="F436" t="str">
        <f>+IFERROR(VLOOKUP(Fact_Contabilidad[[#This Row], 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ht="18.75" customHeight="1" x14ac:dyDescent="0.35">
      <c r="A437" s="103"/>
      <c r="C437" s="100" t="str">
        <f>IF(OR(Fact_Contabilidad[[#This Row], [Año]]="",Fact_Contabilidad[[#This Row], [Mes]]=""),"",DATE(A437,MATCH(B437,{"enero","febrero","marzo","abril","mayo","junio","julio","agosto","septiembre","octubre","noviembre","diciembre"},0)+1,0))</f>
        <v/>
      </c>
      <c r="E437" t="str">
        <f>+IFERROR(VLOOKUP(Fact_Contabilidad[[#This Row], [Concepto Anterior]],Conceptos_Contabilidad[#All],5,0),"")</f>
        <v/>
      </c>
      <c r="F437" t="str">
        <f>+IFERROR(VLOOKUP(Fact_Contabilidad[[#This Row], 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ht="18.75" customHeight="1" x14ac:dyDescent="0.35">
      <c r="A438" s="103"/>
      <c r="C438" s="100" t="str">
        <f>IF(OR(Fact_Contabilidad[[#This Row], [Año]]="",Fact_Contabilidad[[#This Row], [Mes]]=""),"",DATE(A438,MATCH(B438,{"enero","febrero","marzo","abril","mayo","junio","julio","agosto","septiembre","octubre","noviembre","diciembre"},0)+1,0))</f>
        <v/>
      </c>
      <c r="E438" t="str">
        <f>+IFERROR(VLOOKUP(Fact_Contabilidad[[#This Row], [Concepto Anterior]],Conceptos_Contabilidad[#All],5,0),"")</f>
        <v/>
      </c>
      <c r="F438" t="str">
        <f>+IFERROR(VLOOKUP(Fact_Contabilidad[[#This Row], 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ht="18.75" customHeight="1" x14ac:dyDescent="0.35">
      <c r="A439" s="103"/>
      <c r="C439" s="100" t="str">
        <f>IF(OR(Fact_Contabilidad[[#This Row], [Año]]="",Fact_Contabilidad[[#This Row], [Mes]]=""),"",DATE(A439,MATCH(B439,{"enero","febrero","marzo","abril","mayo","junio","julio","agosto","septiembre","octubre","noviembre","diciembre"},0)+1,0))</f>
        <v/>
      </c>
      <c r="E439" t="str">
        <f>+IFERROR(VLOOKUP(Fact_Contabilidad[[#This Row], [Concepto Anterior]],Conceptos_Contabilidad[#All],5,0),"")</f>
        <v/>
      </c>
      <c r="F439" t="str">
        <f>+IFERROR(VLOOKUP(Fact_Contabilidad[[#This Row], 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ht="18.75" customHeight="1" x14ac:dyDescent="0.35">
      <c r="A440" s="103"/>
      <c r="C440" s="100" t="str">
        <f>IF(OR(Fact_Contabilidad[[#This Row], [Año]]="",Fact_Contabilidad[[#This Row], [Mes]]=""),"",DATE(A440,MATCH(B440,{"enero","febrero","marzo","abril","mayo","junio","julio","agosto","septiembre","octubre","noviembre","diciembre"},0)+1,0))</f>
        <v/>
      </c>
      <c r="E440" t="str">
        <f>+IFERROR(VLOOKUP(Fact_Contabilidad[[#This Row], [Concepto Anterior]],Conceptos_Contabilidad[#All],5,0),"")</f>
        <v/>
      </c>
      <c r="F440" t="str">
        <f>+IFERROR(VLOOKUP(Fact_Contabilidad[[#This Row], 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ht="18.75" customHeight="1" x14ac:dyDescent="0.35">
      <c r="A441" s="103"/>
      <c r="C441" s="100" t="str">
        <f>IF(OR(Fact_Contabilidad[[#This Row], [Año]]="",Fact_Contabilidad[[#This Row], [Mes]]=""),"",DATE(A441,MATCH(B441,{"enero","febrero","marzo","abril","mayo","junio","julio","agosto","septiembre","octubre","noviembre","diciembre"},0)+1,0))</f>
        <v/>
      </c>
      <c r="E441" t="str">
        <f>+IFERROR(VLOOKUP(Fact_Contabilidad[[#This Row], [Concepto Anterior]],Conceptos_Contabilidad[#All],5,0),"")</f>
        <v/>
      </c>
      <c r="F441" t="str">
        <f>+IFERROR(VLOOKUP(Fact_Contabilidad[[#This Row], 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ht="18.75" customHeight="1" x14ac:dyDescent="0.35">
      <c r="A442" s="103"/>
      <c r="C442" s="100" t="str">
        <f>IF(OR(Fact_Contabilidad[[#This Row], [Año]]="",Fact_Contabilidad[[#This Row], [Mes]]=""),"",DATE(A442,MATCH(B442,{"enero","febrero","marzo","abril","mayo","junio","julio","agosto","septiembre","octubre","noviembre","diciembre"},0)+1,0))</f>
        <v/>
      </c>
      <c r="E442" t="str">
        <f>+IFERROR(VLOOKUP(Fact_Contabilidad[[#This Row], [Concepto Anterior]],Conceptos_Contabilidad[#All],5,0),"")</f>
        <v/>
      </c>
      <c r="F442" t="str">
        <f>+IFERROR(VLOOKUP(Fact_Contabilidad[[#This Row], 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ht="18.75" customHeight="1" x14ac:dyDescent="0.35">
      <c r="A443" s="103"/>
      <c r="C443" s="100" t="str">
        <f>IF(OR(Fact_Contabilidad[[#This Row], [Año]]="",Fact_Contabilidad[[#This Row], [Mes]]=""),"",DATE(A443,MATCH(B443,{"enero","febrero","marzo","abril","mayo","junio","julio","agosto","septiembre","octubre","noviembre","diciembre"},0)+1,0))</f>
        <v/>
      </c>
      <c r="E443" t="str">
        <f>+IFERROR(VLOOKUP(Fact_Contabilidad[[#This Row], [Concepto Anterior]],Conceptos_Contabilidad[#All],5,0),"")</f>
        <v/>
      </c>
      <c r="F443" t="str">
        <f>+IFERROR(VLOOKUP(Fact_Contabilidad[[#This Row], 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ht="18.75" customHeight="1" x14ac:dyDescent="0.35">
      <c r="A444" s="103"/>
      <c r="C444" s="100" t="str">
        <f>IF(OR(Fact_Contabilidad[[#This Row], [Año]]="",Fact_Contabilidad[[#This Row], [Mes]]=""),"",DATE(A444,MATCH(B444,{"enero","febrero","marzo","abril","mayo","junio","julio","agosto","septiembre","octubre","noviembre","diciembre"},0)+1,0))</f>
        <v/>
      </c>
      <c r="E444" t="str">
        <f>+IFERROR(VLOOKUP(Fact_Contabilidad[[#This Row], [Concepto Anterior]],Conceptos_Contabilidad[#All],5,0),"")</f>
        <v/>
      </c>
      <c r="F444" t="str">
        <f>+IFERROR(VLOOKUP(Fact_Contabilidad[[#This Row], 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ht="18.75" customHeight="1" x14ac:dyDescent="0.35">
      <c r="A445" s="103"/>
      <c r="C445" s="100" t="str">
        <f>IF(OR(Fact_Contabilidad[[#This Row], [Año]]="",Fact_Contabilidad[[#This Row], [Mes]]=""),"",DATE(A445,MATCH(B445,{"enero","febrero","marzo","abril","mayo","junio","julio","agosto","septiembre","octubre","noviembre","diciembre"},0)+1,0))</f>
        <v/>
      </c>
      <c r="E445" t="str">
        <f>+IFERROR(VLOOKUP(Fact_Contabilidad[[#This Row], [Concepto Anterior]],Conceptos_Contabilidad[#All],5,0),"")</f>
        <v/>
      </c>
      <c r="F445" t="str">
        <f>+IFERROR(VLOOKUP(Fact_Contabilidad[[#This Row], 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ht="18.75" customHeight="1" x14ac:dyDescent="0.35">
      <c r="A446" s="103"/>
      <c r="C446" s="100" t="str">
        <f>IF(OR(Fact_Contabilidad[[#This Row], [Año]]="",Fact_Contabilidad[[#This Row], [Mes]]=""),"",DATE(A446,MATCH(B446,{"enero","febrero","marzo","abril","mayo","junio","julio","agosto","septiembre","octubre","noviembre","diciembre"},0)+1,0))</f>
        <v/>
      </c>
      <c r="E446" t="str">
        <f>+IFERROR(VLOOKUP(Fact_Contabilidad[[#This Row], [Concepto Anterior]],Conceptos_Contabilidad[#All],5,0),"")</f>
        <v/>
      </c>
      <c r="F446" t="str">
        <f>+IFERROR(VLOOKUP(Fact_Contabilidad[[#This Row], 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ht="18.75" customHeight="1" x14ac:dyDescent="0.35">
      <c r="A447" s="103"/>
      <c r="C447" s="100" t="str">
        <f>IF(OR(Fact_Contabilidad[[#This Row], [Año]]="",Fact_Contabilidad[[#This Row], [Mes]]=""),"",DATE(A447,MATCH(B447,{"enero","febrero","marzo","abril","mayo","junio","julio","agosto","septiembre","octubre","noviembre","diciembre"},0)+1,0))</f>
        <v/>
      </c>
      <c r="E447" t="str">
        <f>+IFERROR(VLOOKUP(Fact_Contabilidad[[#This Row], [Concepto Anterior]],Conceptos_Contabilidad[#All],5,0),"")</f>
        <v/>
      </c>
      <c r="F447" t="str">
        <f>+IFERROR(VLOOKUP(Fact_Contabilidad[[#This Row], 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ht="18.75" customHeight="1" x14ac:dyDescent="0.35">
      <c r="A448" s="103"/>
      <c r="C448" s="100" t="str">
        <f>IF(OR(Fact_Contabilidad[[#This Row], [Año]]="",Fact_Contabilidad[[#This Row], [Mes]]=""),"",DATE(A448,MATCH(B448,{"enero","febrero","marzo","abril","mayo","junio","julio","agosto","septiembre","octubre","noviembre","diciembre"},0)+1,0))</f>
        <v/>
      </c>
      <c r="E448" t="str">
        <f>+IFERROR(VLOOKUP(Fact_Contabilidad[[#This Row], [Concepto Anterior]],Conceptos_Contabilidad[#All],5,0),"")</f>
        <v/>
      </c>
      <c r="F448" t="str">
        <f>+IFERROR(VLOOKUP(Fact_Contabilidad[[#This Row], 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ht="18.75" customHeight="1" x14ac:dyDescent="0.35">
      <c r="A449" s="103"/>
      <c r="C449" s="100" t="str">
        <f>IF(OR(Fact_Contabilidad[[#This Row], [Año]]="",Fact_Contabilidad[[#This Row], [Mes]]=""),"",DATE(A449,MATCH(B449,{"enero","febrero","marzo","abril","mayo","junio","julio","agosto","septiembre","octubre","noviembre","diciembre"},0)+1,0))</f>
        <v/>
      </c>
      <c r="E449" t="str">
        <f>+IFERROR(VLOOKUP(Fact_Contabilidad[[#This Row], [Concepto Anterior]],Conceptos_Contabilidad[#All],5,0),"")</f>
        <v/>
      </c>
      <c r="F449" t="str">
        <f>+IFERROR(VLOOKUP(Fact_Contabilidad[[#This Row], 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ht="18.75" customHeight="1" x14ac:dyDescent="0.35">
      <c r="A450" s="103"/>
      <c r="C450" s="100" t="str">
        <f>IF(OR(Fact_Contabilidad[[#This Row], [Año]]="",Fact_Contabilidad[[#This Row], [Mes]]=""),"",DATE(A450,MATCH(B450,{"enero","febrero","marzo","abril","mayo","junio","julio","agosto","septiembre","octubre","noviembre","diciembre"},0)+1,0))</f>
        <v/>
      </c>
      <c r="E450" t="str">
        <f>+IFERROR(VLOOKUP(Fact_Contabilidad[[#This Row], [Concepto Anterior]],Conceptos_Contabilidad[#All],5,0),"")</f>
        <v/>
      </c>
      <c r="F450" t="str">
        <f>+IFERROR(VLOOKUP(Fact_Contabilidad[[#This Row], 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ht="18.75" customHeight="1" x14ac:dyDescent="0.35">
      <c r="A451" s="103"/>
      <c r="C451" s="100" t="str">
        <f>IF(OR(Fact_Contabilidad[[#This Row], [Año]]="",Fact_Contabilidad[[#This Row], [Mes]]=""),"",DATE(A451,MATCH(B451,{"enero","febrero","marzo","abril","mayo","junio","julio","agosto","septiembre","octubre","noviembre","diciembre"},0)+1,0))</f>
        <v/>
      </c>
      <c r="E451" t="str">
        <f>+IFERROR(VLOOKUP(Fact_Contabilidad[[#This Row], [Concepto Anterior]],Conceptos_Contabilidad[#All],5,0),"")</f>
        <v/>
      </c>
      <c r="F451" t="str">
        <f>+IFERROR(VLOOKUP(Fact_Contabilidad[[#This Row], 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ht="18.75" customHeight="1" x14ac:dyDescent="0.35">
      <c r="A452" s="103"/>
      <c r="C452" s="100" t="str">
        <f>IF(OR(Fact_Contabilidad[[#This Row], [Año]]="",Fact_Contabilidad[[#This Row], [Mes]]=""),"",DATE(A452,MATCH(B452,{"enero","febrero","marzo","abril","mayo","junio","julio","agosto","septiembre","octubre","noviembre","diciembre"},0)+1,0))</f>
        <v/>
      </c>
      <c r="E452" t="str">
        <f>+IFERROR(VLOOKUP(Fact_Contabilidad[[#This Row], [Concepto Anterior]],Conceptos_Contabilidad[#All],5,0),"")</f>
        <v/>
      </c>
      <c r="F452" t="str">
        <f>+IFERROR(VLOOKUP(Fact_Contabilidad[[#This Row], 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ht="18.75" customHeight="1" x14ac:dyDescent="0.35">
      <c r="A453" s="103"/>
      <c r="C453" s="100" t="str">
        <f>IF(OR(Fact_Contabilidad[[#This Row], [Año]]="",Fact_Contabilidad[[#This Row], [Mes]]=""),"",DATE(A453,MATCH(B453,{"enero","febrero","marzo","abril","mayo","junio","julio","agosto","septiembre","octubre","noviembre","diciembre"},0)+1,0))</f>
        <v/>
      </c>
      <c r="E453" t="str">
        <f>+IFERROR(VLOOKUP(Fact_Contabilidad[[#This Row], [Concepto Anterior]],Conceptos_Contabilidad[#All],5,0),"")</f>
        <v/>
      </c>
      <c r="F453" t="str">
        <f>+IFERROR(VLOOKUP(Fact_Contabilidad[[#This Row], 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ht="18.75" customHeight="1" x14ac:dyDescent="0.35">
      <c r="A454" s="103"/>
      <c r="C454" s="100" t="str">
        <f>IF(OR(Fact_Contabilidad[[#This Row], [Año]]="",Fact_Contabilidad[[#This Row], [Mes]]=""),"",DATE(A454,MATCH(B454,{"enero","febrero","marzo","abril","mayo","junio","julio","agosto","septiembre","octubre","noviembre","diciembre"},0)+1,0))</f>
        <v/>
      </c>
      <c r="E454" t="str">
        <f>+IFERROR(VLOOKUP(Fact_Contabilidad[[#This Row], [Concepto Anterior]],Conceptos_Contabilidad[#All],5,0),"")</f>
        <v/>
      </c>
      <c r="F454" t="str">
        <f>+IFERROR(VLOOKUP(Fact_Contabilidad[[#This Row], 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ht="18.75" customHeight="1" x14ac:dyDescent="0.35">
      <c r="A455" s="103"/>
      <c r="C455" s="100" t="str">
        <f>IF(OR(Fact_Contabilidad[[#This Row], [Año]]="",Fact_Contabilidad[[#This Row], [Mes]]=""),"",DATE(A455,MATCH(B455,{"enero","febrero","marzo","abril","mayo","junio","julio","agosto","septiembre","octubre","noviembre","diciembre"},0)+1,0))</f>
        <v/>
      </c>
      <c r="E455" t="str">
        <f>+IFERROR(VLOOKUP(Fact_Contabilidad[[#This Row], [Concepto Anterior]],Conceptos_Contabilidad[#All],5,0),"")</f>
        <v/>
      </c>
      <c r="F455" t="str">
        <f>+IFERROR(VLOOKUP(Fact_Contabilidad[[#This Row], 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ht="18.75" customHeight="1" x14ac:dyDescent="0.35">
      <c r="A456" s="103"/>
      <c r="C456" s="100" t="str">
        <f>IF(OR(Fact_Contabilidad[[#This Row], [Año]]="",Fact_Contabilidad[[#This Row], [Mes]]=""),"",DATE(A456,MATCH(B456,{"enero","febrero","marzo","abril","mayo","junio","julio","agosto","septiembre","octubre","noviembre","diciembre"},0)+1,0))</f>
        <v/>
      </c>
      <c r="E456" t="str">
        <f>+IFERROR(VLOOKUP(Fact_Contabilidad[[#This Row], [Concepto Anterior]],Conceptos_Contabilidad[#All],5,0),"")</f>
        <v/>
      </c>
      <c r="F456" t="str">
        <f>+IFERROR(VLOOKUP(Fact_Contabilidad[[#This Row], 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ht="18.75" customHeight="1" x14ac:dyDescent="0.35">
      <c r="A457" s="103"/>
      <c r="C457" s="100" t="str">
        <f>IF(OR(Fact_Contabilidad[[#This Row], [Año]]="",Fact_Contabilidad[[#This Row], [Mes]]=""),"",DATE(A457,MATCH(B457,{"enero","febrero","marzo","abril","mayo","junio","julio","agosto","septiembre","octubre","noviembre","diciembre"},0)+1,0))</f>
        <v/>
      </c>
      <c r="E457" t="str">
        <f>+IFERROR(VLOOKUP(Fact_Contabilidad[[#This Row], [Concepto Anterior]],Conceptos_Contabilidad[#All],5,0),"")</f>
        <v/>
      </c>
      <c r="F457" t="str">
        <f>+IFERROR(VLOOKUP(Fact_Contabilidad[[#This Row], 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ht="18.75" customHeight="1" x14ac:dyDescent="0.35">
      <c r="A458" s="103"/>
      <c r="C458" s="100" t="str">
        <f>IF(OR(Fact_Contabilidad[[#This Row], [Año]]="",Fact_Contabilidad[[#This Row], [Mes]]=""),"",DATE(A458,MATCH(B458,{"enero","febrero","marzo","abril","mayo","junio","julio","agosto","septiembre","octubre","noviembre","diciembre"},0)+1,0))</f>
        <v/>
      </c>
      <c r="E458" t="str">
        <f>+IFERROR(VLOOKUP(Fact_Contabilidad[[#This Row], [Concepto Anterior]],Conceptos_Contabilidad[#All],5,0),"")</f>
        <v/>
      </c>
      <c r="F458" t="str">
        <f>+IFERROR(VLOOKUP(Fact_Contabilidad[[#This Row], 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ht="18.75" customHeight="1" x14ac:dyDescent="0.35">
      <c r="A459" s="103"/>
      <c r="C459" s="100" t="str">
        <f>IF(OR(Fact_Contabilidad[[#This Row], [Año]]="",Fact_Contabilidad[[#This Row], [Mes]]=""),"",DATE(A459,MATCH(B459,{"enero","febrero","marzo","abril","mayo","junio","julio","agosto","septiembre","octubre","noviembre","diciembre"},0)+1,0))</f>
        <v/>
      </c>
      <c r="E459" t="str">
        <f>+IFERROR(VLOOKUP(Fact_Contabilidad[[#This Row], [Concepto Anterior]],Conceptos_Contabilidad[#All],5,0),"")</f>
        <v/>
      </c>
      <c r="F459" t="str">
        <f>+IFERROR(VLOOKUP(Fact_Contabilidad[[#This Row], 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ht="18.75" customHeight="1" x14ac:dyDescent="0.35">
      <c r="A460" s="103"/>
      <c r="C460" s="100" t="str">
        <f>IF(OR(Fact_Contabilidad[[#This Row], [Año]]="",Fact_Contabilidad[[#This Row], [Mes]]=""),"",DATE(A460,MATCH(B460,{"enero","febrero","marzo","abril","mayo","junio","julio","agosto","septiembre","octubre","noviembre","diciembre"},0)+1,0))</f>
        <v/>
      </c>
      <c r="E460" t="str">
        <f>+IFERROR(VLOOKUP(Fact_Contabilidad[[#This Row], [Concepto Anterior]],Conceptos_Contabilidad[#All],5,0),"")</f>
        <v/>
      </c>
      <c r="F460" t="str">
        <f>+IFERROR(VLOOKUP(Fact_Contabilidad[[#This Row], 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ht="18.75" customHeight="1" x14ac:dyDescent="0.35">
      <c r="A461" s="103"/>
      <c r="C461" s="100" t="str">
        <f>IF(OR(Fact_Contabilidad[[#This Row], [Año]]="",Fact_Contabilidad[[#This Row], [Mes]]=""),"",DATE(A461,MATCH(B461,{"enero","febrero","marzo","abril","mayo","junio","julio","agosto","septiembre","octubre","noviembre","diciembre"},0)+1,0))</f>
        <v/>
      </c>
      <c r="E461" t="str">
        <f>+IFERROR(VLOOKUP(Fact_Contabilidad[[#This Row], [Concepto Anterior]],Conceptos_Contabilidad[#All],5,0),"")</f>
        <v/>
      </c>
      <c r="F461" t="str">
        <f>+IFERROR(VLOOKUP(Fact_Contabilidad[[#This Row], 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ht="18.75" customHeight="1" x14ac:dyDescent="0.35">
      <c r="A462" s="103"/>
      <c r="C462" s="100" t="str">
        <f>IF(OR(Fact_Contabilidad[[#This Row], [Año]]="",Fact_Contabilidad[[#This Row], [Mes]]=""),"",DATE(A462,MATCH(B462,{"enero","febrero","marzo","abril","mayo","junio","julio","agosto","septiembre","octubre","noviembre","diciembre"},0)+1,0))</f>
        <v/>
      </c>
      <c r="E462" t="str">
        <f>+IFERROR(VLOOKUP(Fact_Contabilidad[[#This Row], [Concepto Anterior]],Conceptos_Contabilidad[#All],5,0),"")</f>
        <v/>
      </c>
      <c r="F462" t="str">
        <f>+IFERROR(VLOOKUP(Fact_Contabilidad[[#This Row], 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ht="18.75" customHeight="1" x14ac:dyDescent="0.35">
      <c r="A463" s="103"/>
      <c r="C463" s="100" t="str">
        <f>IF(OR(Fact_Contabilidad[[#This Row], [Año]]="",Fact_Contabilidad[[#This Row], [Mes]]=""),"",DATE(A463,MATCH(B463,{"enero","febrero","marzo","abril","mayo","junio","julio","agosto","septiembre","octubre","noviembre","diciembre"},0)+1,0))</f>
        <v/>
      </c>
      <c r="E463" t="str">
        <f>+IFERROR(VLOOKUP(Fact_Contabilidad[[#This Row], [Concepto Anterior]],Conceptos_Contabilidad[#All],5,0),"")</f>
        <v/>
      </c>
      <c r="F463" t="str">
        <f>+IFERROR(VLOOKUP(Fact_Contabilidad[[#This Row], 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ht="18.75" customHeight="1" x14ac:dyDescent="0.35">
      <c r="A464" s="103"/>
      <c r="C464" s="100" t="str">
        <f>IF(OR(Fact_Contabilidad[[#This Row], [Año]]="",Fact_Contabilidad[[#This Row], [Mes]]=""),"",DATE(A464,MATCH(B464,{"enero","febrero","marzo","abril","mayo","junio","julio","agosto","septiembre","octubre","noviembre","diciembre"},0)+1,0))</f>
        <v/>
      </c>
      <c r="E464" t="str">
        <f>+IFERROR(VLOOKUP(Fact_Contabilidad[[#This Row], [Concepto Anterior]],Conceptos_Contabilidad[#All],5,0),"")</f>
        <v/>
      </c>
      <c r="F464" t="str">
        <f>+IFERROR(VLOOKUP(Fact_Contabilidad[[#This Row], 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ht="18.75" customHeight="1" x14ac:dyDescent="0.35">
      <c r="A465" s="103"/>
      <c r="C465" s="100" t="str">
        <f>IF(OR(Fact_Contabilidad[[#This Row], [Año]]="",Fact_Contabilidad[[#This Row], [Mes]]=""),"",DATE(A465,MATCH(B465,{"enero","febrero","marzo","abril","mayo","junio","julio","agosto","septiembre","octubre","noviembre","diciembre"},0)+1,0))</f>
        <v/>
      </c>
      <c r="E465" t="str">
        <f>+IFERROR(VLOOKUP(Fact_Contabilidad[[#This Row], [Concepto Anterior]],Conceptos_Contabilidad[#All],5,0),"")</f>
        <v/>
      </c>
      <c r="F465" t="str">
        <f>+IFERROR(VLOOKUP(Fact_Contabilidad[[#This Row], 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ht="18.75" customHeight="1" x14ac:dyDescent="0.35">
      <c r="A466" s="103"/>
      <c r="C466" s="100" t="str">
        <f>IF(OR(Fact_Contabilidad[[#This Row], [Año]]="",Fact_Contabilidad[[#This Row], [Mes]]=""),"",DATE(A466,MATCH(B466,{"enero","febrero","marzo","abril","mayo","junio","julio","agosto","septiembre","octubre","noviembre","diciembre"},0)+1,0))</f>
        <v/>
      </c>
      <c r="E466" t="str">
        <f>+IFERROR(VLOOKUP(Fact_Contabilidad[[#This Row], [Concepto Anterior]],Conceptos_Contabilidad[#All],5,0),"")</f>
        <v/>
      </c>
      <c r="F466" t="str">
        <f>+IFERROR(VLOOKUP(Fact_Contabilidad[[#This Row], 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ht="18.75" customHeight="1" x14ac:dyDescent="0.35">
      <c r="A467" s="103"/>
      <c r="C467" s="100" t="str">
        <f>IF(OR(Fact_Contabilidad[[#This Row], [Año]]="",Fact_Contabilidad[[#This Row], [Mes]]=""),"",DATE(A467,MATCH(B467,{"enero","febrero","marzo","abril","mayo","junio","julio","agosto","septiembre","octubre","noviembre","diciembre"},0)+1,0))</f>
        <v/>
      </c>
      <c r="E467" t="str">
        <f>+IFERROR(VLOOKUP(Fact_Contabilidad[[#This Row], [Concepto Anterior]],Conceptos_Contabilidad[#All],5,0),"")</f>
        <v/>
      </c>
      <c r="F467" t="str">
        <f>+IFERROR(VLOOKUP(Fact_Contabilidad[[#This Row], 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ht="18.75" customHeight="1" x14ac:dyDescent="0.35">
      <c r="A468" s="103"/>
      <c r="C468" s="100" t="str">
        <f>IF(OR(Fact_Contabilidad[[#This Row], [Año]]="",Fact_Contabilidad[[#This Row], [Mes]]=""),"",DATE(A468,MATCH(B468,{"enero","febrero","marzo","abril","mayo","junio","julio","agosto","septiembre","octubre","noviembre","diciembre"},0)+1,0))</f>
        <v/>
      </c>
      <c r="E468" t="str">
        <f>+IFERROR(VLOOKUP(Fact_Contabilidad[[#This Row], [Concepto Anterior]],Conceptos_Contabilidad[#All],5,0),"")</f>
        <v/>
      </c>
      <c r="F468" t="str">
        <f>+IFERROR(VLOOKUP(Fact_Contabilidad[[#This Row], 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ht="18.75" customHeight="1" x14ac:dyDescent="0.35">
      <c r="A469" s="103"/>
      <c r="C469" s="100" t="str">
        <f>IF(OR(Fact_Contabilidad[[#This Row], [Año]]="",Fact_Contabilidad[[#This Row], [Mes]]=""),"",DATE(A469,MATCH(B469,{"enero","febrero","marzo","abril","mayo","junio","julio","agosto","septiembre","octubre","noviembre","diciembre"},0)+1,0))</f>
        <v/>
      </c>
      <c r="E469" t="str">
        <f>+IFERROR(VLOOKUP(Fact_Contabilidad[[#This Row], [Concepto Anterior]],Conceptos_Contabilidad[#All],5,0),"")</f>
        <v/>
      </c>
      <c r="F469" t="str">
        <f>+IFERROR(VLOOKUP(Fact_Contabilidad[[#This Row], 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ht="18.75" customHeight="1" x14ac:dyDescent="0.35">
      <c r="A470" s="103"/>
      <c r="C470" s="100" t="str">
        <f>IF(OR(Fact_Contabilidad[[#This Row], [Año]]="",Fact_Contabilidad[[#This Row], [Mes]]=""),"",DATE(A470,MATCH(B470,{"enero","febrero","marzo","abril","mayo","junio","julio","agosto","septiembre","octubre","noviembre","diciembre"},0)+1,0))</f>
        <v/>
      </c>
      <c r="E470" t="str">
        <f>+IFERROR(VLOOKUP(Fact_Contabilidad[[#This Row], [Concepto Anterior]],Conceptos_Contabilidad[#All],5,0),"")</f>
        <v/>
      </c>
      <c r="F470" t="str">
        <f>+IFERROR(VLOOKUP(Fact_Contabilidad[[#This Row], 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ht="18.75" customHeight="1" x14ac:dyDescent="0.35">
      <c r="A471" s="103"/>
      <c r="C471" s="100" t="str">
        <f>IF(OR(Fact_Contabilidad[[#This Row], [Año]]="",Fact_Contabilidad[[#This Row], [Mes]]=""),"",DATE(A471,MATCH(B471,{"enero","febrero","marzo","abril","mayo","junio","julio","agosto","septiembre","octubre","noviembre","diciembre"},0)+1,0))</f>
        <v/>
      </c>
      <c r="E471" t="str">
        <f>+IFERROR(VLOOKUP(Fact_Contabilidad[[#This Row], [Concepto Anterior]],Conceptos_Contabilidad[#All],5,0),"")</f>
        <v/>
      </c>
      <c r="F471" t="str">
        <f>+IFERROR(VLOOKUP(Fact_Contabilidad[[#This Row], 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ht="18.75" customHeight="1" x14ac:dyDescent="0.35">
      <c r="A472" s="103"/>
      <c r="C472" s="100" t="str">
        <f>IF(OR(Fact_Contabilidad[[#This Row], [Año]]="",Fact_Contabilidad[[#This Row], [Mes]]=""),"",DATE(A472,MATCH(B472,{"enero","febrero","marzo","abril","mayo","junio","julio","agosto","septiembre","octubre","noviembre","diciembre"},0)+1,0))</f>
        <v/>
      </c>
      <c r="E472" t="str">
        <f>+IFERROR(VLOOKUP(Fact_Contabilidad[[#This Row], [Concepto Anterior]],Conceptos_Contabilidad[#All],5,0),"")</f>
        <v/>
      </c>
      <c r="F472" t="str">
        <f>+IFERROR(VLOOKUP(Fact_Contabilidad[[#This Row], 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ht="18.75" customHeight="1" x14ac:dyDescent="0.35">
      <c r="A473" s="103"/>
      <c r="C473" s="100" t="str">
        <f>IF(OR(Fact_Contabilidad[[#This Row], [Año]]="",Fact_Contabilidad[[#This Row], [Mes]]=""),"",DATE(A473,MATCH(B473,{"enero","febrero","marzo","abril","mayo","junio","julio","agosto","septiembre","octubre","noviembre","diciembre"},0)+1,0))</f>
        <v/>
      </c>
      <c r="E473" t="str">
        <f>+IFERROR(VLOOKUP(Fact_Contabilidad[[#This Row], [Concepto Anterior]],Conceptos_Contabilidad[#All],5,0),"")</f>
        <v/>
      </c>
      <c r="F473" t="str">
        <f>+IFERROR(VLOOKUP(Fact_Contabilidad[[#This Row], 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ht="18.75" customHeight="1" x14ac:dyDescent="0.35">
      <c r="A474" s="103"/>
      <c r="C474" s="100" t="str">
        <f>IF(OR(Fact_Contabilidad[[#This Row], [Año]]="",Fact_Contabilidad[[#This Row], [Mes]]=""),"",DATE(A474,MATCH(B474,{"enero","febrero","marzo","abril","mayo","junio","julio","agosto","septiembre","octubre","noviembre","diciembre"},0)+1,0))</f>
        <v/>
      </c>
      <c r="E474" t="str">
        <f>+IFERROR(VLOOKUP(Fact_Contabilidad[[#This Row], [Concepto Anterior]],Conceptos_Contabilidad[#All],5,0),"")</f>
        <v/>
      </c>
      <c r="F474" t="str">
        <f>+IFERROR(VLOOKUP(Fact_Contabilidad[[#This Row], 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ht="18.75" customHeight="1" x14ac:dyDescent="0.35">
      <c r="A475" s="103"/>
      <c r="C475" s="100" t="str">
        <f>IF(OR(Fact_Contabilidad[[#This Row], [Año]]="",Fact_Contabilidad[[#This Row], [Mes]]=""),"",DATE(A475,MATCH(B475,{"enero","febrero","marzo","abril","mayo","junio","julio","agosto","septiembre","octubre","noviembre","diciembre"},0)+1,0))</f>
        <v/>
      </c>
      <c r="E475" t="str">
        <f>+IFERROR(VLOOKUP(Fact_Contabilidad[[#This Row], [Concepto Anterior]],Conceptos_Contabilidad[#All],5,0),"")</f>
        <v/>
      </c>
      <c r="F475" t="str">
        <f>+IFERROR(VLOOKUP(Fact_Contabilidad[[#This Row], 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ht="18.75" customHeight="1" x14ac:dyDescent="0.35">
      <c r="A476" s="103"/>
      <c r="C476" s="100" t="str">
        <f>IF(OR(Fact_Contabilidad[[#This Row], [Año]]="",Fact_Contabilidad[[#This Row], [Mes]]=""),"",DATE(A476,MATCH(B476,{"enero","febrero","marzo","abril","mayo","junio","julio","agosto","septiembre","octubre","noviembre","diciembre"},0)+1,0))</f>
        <v/>
      </c>
      <c r="E476" t="str">
        <f>+IFERROR(VLOOKUP(Fact_Contabilidad[[#This Row], [Concepto Anterior]],Conceptos_Contabilidad[#All],5,0),"")</f>
        <v/>
      </c>
      <c r="F476" t="str">
        <f>+IFERROR(VLOOKUP(Fact_Contabilidad[[#This Row], 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ht="18.75" customHeight="1" x14ac:dyDescent="0.35">
      <c r="A477" s="103"/>
      <c r="C477" s="100" t="str">
        <f>IF(OR(Fact_Contabilidad[[#This Row], [Año]]="",Fact_Contabilidad[[#This Row], [Mes]]=""),"",DATE(A477,MATCH(B477,{"enero","febrero","marzo","abril","mayo","junio","julio","agosto","septiembre","octubre","noviembre","diciembre"},0)+1,0))</f>
        <v/>
      </c>
      <c r="E477" t="str">
        <f>+IFERROR(VLOOKUP(Fact_Contabilidad[[#This Row], [Concepto Anterior]],Conceptos_Contabilidad[#All],5,0),"")</f>
        <v/>
      </c>
      <c r="F477" t="str">
        <f>+IFERROR(VLOOKUP(Fact_Contabilidad[[#This Row], 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ht="18.75" customHeight="1" x14ac:dyDescent="0.35">
      <c r="A478" s="103"/>
      <c r="C478" s="100" t="str">
        <f>IF(OR(Fact_Contabilidad[[#This Row], [Año]]="",Fact_Contabilidad[[#This Row], [Mes]]=""),"",DATE(A478,MATCH(B478,{"enero","febrero","marzo","abril","mayo","junio","julio","agosto","septiembre","octubre","noviembre","diciembre"},0)+1,0))</f>
        <v/>
      </c>
      <c r="E478" t="str">
        <f>+IFERROR(VLOOKUP(Fact_Contabilidad[[#This Row], [Concepto Anterior]],Conceptos_Contabilidad[#All],5,0),"")</f>
        <v/>
      </c>
      <c r="F478" t="str">
        <f>+IFERROR(VLOOKUP(Fact_Contabilidad[[#This Row], 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ht="18.75" customHeight="1" x14ac:dyDescent="0.35">
      <c r="A479" s="103"/>
      <c r="C479" s="100" t="str">
        <f>IF(OR(Fact_Contabilidad[[#This Row], [Año]]="",Fact_Contabilidad[[#This Row], [Mes]]=""),"",DATE(A479,MATCH(B479,{"enero","febrero","marzo","abril","mayo","junio","julio","agosto","septiembre","octubre","noviembre","diciembre"},0)+1,0))</f>
        <v/>
      </c>
      <c r="E479" t="str">
        <f>+IFERROR(VLOOKUP(Fact_Contabilidad[[#This Row], [Concepto Anterior]],Conceptos_Contabilidad[#All],5,0),"")</f>
        <v/>
      </c>
      <c r="F479" t="str">
        <f>+IFERROR(VLOOKUP(Fact_Contabilidad[[#This Row], 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ht="18.75" customHeight="1" x14ac:dyDescent="0.35">
      <c r="A480" s="103"/>
      <c r="C480" s="100" t="str">
        <f>IF(OR(Fact_Contabilidad[[#This Row], [Año]]="",Fact_Contabilidad[[#This Row], [Mes]]=""),"",DATE(A480,MATCH(B480,{"enero","febrero","marzo","abril","mayo","junio","julio","agosto","septiembre","octubre","noviembre","diciembre"},0)+1,0))</f>
        <v/>
      </c>
      <c r="E480" t="str">
        <f>+IFERROR(VLOOKUP(Fact_Contabilidad[[#This Row], [Concepto Anterior]],Conceptos_Contabilidad[#All],5,0),"")</f>
        <v/>
      </c>
      <c r="F480" t="str">
        <f>+IFERROR(VLOOKUP(Fact_Contabilidad[[#This Row], 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ht="18.75" customHeight="1" x14ac:dyDescent="0.35">
      <c r="A481" s="103"/>
      <c r="C481" s="100" t="str">
        <f>IF(OR(Fact_Contabilidad[[#This Row], [Año]]="",Fact_Contabilidad[[#This Row], [Mes]]=""),"",DATE(A481,MATCH(B481,{"enero","febrero","marzo","abril","mayo","junio","julio","agosto","septiembre","octubre","noviembre","diciembre"},0)+1,0))</f>
        <v/>
      </c>
      <c r="E481" t="str">
        <f>+IFERROR(VLOOKUP(Fact_Contabilidad[[#This Row], [Concepto Anterior]],Conceptos_Contabilidad[#All],5,0),"")</f>
        <v/>
      </c>
      <c r="F481" t="str">
        <f>+IFERROR(VLOOKUP(Fact_Contabilidad[[#This Row], 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ht="18.75" customHeight="1" x14ac:dyDescent="0.35">
      <c r="A482" s="103"/>
      <c r="C482" s="100" t="str">
        <f>IF(OR(Fact_Contabilidad[[#This Row], [Año]]="",Fact_Contabilidad[[#This Row], [Mes]]=""),"",DATE(A482,MATCH(B482,{"enero","febrero","marzo","abril","mayo","junio","julio","agosto","septiembre","octubre","noviembre","diciembre"},0)+1,0))</f>
        <v/>
      </c>
      <c r="E482" t="str">
        <f>+IFERROR(VLOOKUP(Fact_Contabilidad[[#This Row], [Concepto Anterior]],Conceptos_Contabilidad[#All],5,0),"")</f>
        <v/>
      </c>
      <c r="F482" t="str">
        <f>+IFERROR(VLOOKUP(Fact_Contabilidad[[#This Row], 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ht="18.75" customHeight="1" x14ac:dyDescent="0.35">
      <c r="A483" s="103"/>
      <c r="C483" s="100" t="str">
        <f>IF(OR(Fact_Contabilidad[[#This Row], [Año]]="",Fact_Contabilidad[[#This Row], [Mes]]=""),"",DATE(A483,MATCH(B483,{"enero","febrero","marzo","abril","mayo","junio","julio","agosto","septiembre","octubre","noviembre","diciembre"},0)+1,0))</f>
        <v/>
      </c>
      <c r="E483" t="str">
        <f>+IFERROR(VLOOKUP(Fact_Contabilidad[[#This Row], [Concepto Anterior]],Conceptos_Contabilidad[#All],5,0),"")</f>
        <v/>
      </c>
      <c r="F483" t="str">
        <f>+IFERROR(VLOOKUP(Fact_Contabilidad[[#This Row], 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ht="18.75" customHeight="1" x14ac:dyDescent="0.35">
      <c r="A484" s="103"/>
      <c r="C484" s="100" t="str">
        <f>IF(OR(Fact_Contabilidad[[#This Row], [Año]]="",Fact_Contabilidad[[#This Row], [Mes]]=""),"",DATE(A484,MATCH(B484,{"enero","febrero","marzo","abril","mayo","junio","julio","agosto","septiembre","octubre","noviembre","diciembre"},0)+1,0))</f>
        <v/>
      </c>
      <c r="E484" t="str">
        <f>+IFERROR(VLOOKUP(Fact_Contabilidad[[#This Row], [Concepto Anterior]],Conceptos_Contabilidad[#All],5,0),"")</f>
        <v/>
      </c>
      <c r="F484" t="str">
        <f>+IFERROR(VLOOKUP(Fact_Contabilidad[[#This Row], 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ht="18.75" customHeight="1" x14ac:dyDescent="0.35">
      <c r="A485" s="103"/>
      <c r="C485" s="100" t="str">
        <f>IF(OR(Fact_Contabilidad[[#This Row], [Año]]="",Fact_Contabilidad[[#This Row], [Mes]]=""),"",DATE(A485,MATCH(B485,{"enero","febrero","marzo","abril","mayo","junio","julio","agosto","septiembre","octubre","noviembre","diciembre"},0)+1,0))</f>
        <v/>
      </c>
      <c r="E485" t="str">
        <f>+IFERROR(VLOOKUP(Fact_Contabilidad[[#This Row], [Concepto Anterior]],Conceptos_Contabilidad[#All],5,0),"")</f>
        <v/>
      </c>
      <c r="F485" t="str">
        <f>+IFERROR(VLOOKUP(Fact_Contabilidad[[#This Row], 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ht="18.75" customHeight="1" x14ac:dyDescent="0.35">
      <c r="A486" s="103"/>
      <c r="C486" s="100" t="str">
        <f>IF(OR(Fact_Contabilidad[[#This Row], [Año]]="",Fact_Contabilidad[[#This Row], [Mes]]=""),"",DATE(A486,MATCH(B486,{"enero","febrero","marzo","abril","mayo","junio","julio","agosto","septiembre","octubre","noviembre","diciembre"},0)+1,0))</f>
        <v/>
      </c>
      <c r="E486" t="str">
        <f>+IFERROR(VLOOKUP(Fact_Contabilidad[[#This Row], [Concepto Anterior]],Conceptos_Contabilidad[#All],5,0),"")</f>
        <v/>
      </c>
      <c r="F486" t="str">
        <f>+IFERROR(VLOOKUP(Fact_Contabilidad[[#This Row], 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ht="18.75" customHeight="1" x14ac:dyDescent="0.35">
      <c r="A487" s="103"/>
      <c r="C487" s="100" t="str">
        <f>IF(OR(Fact_Contabilidad[[#This Row], [Año]]="",Fact_Contabilidad[[#This Row], [Mes]]=""),"",DATE(A487,MATCH(B487,{"enero","febrero","marzo","abril","mayo","junio","julio","agosto","septiembre","octubre","noviembre","diciembre"},0)+1,0))</f>
        <v/>
      </c>
      <c r="E487" t="str">
        <f>+IFERROR(VLOOKUP(Fact_Contabilidad[[#This Row], [Concepto Anterior]],Conceptos_Contabilidad[#All],5,0),"")</f>
        <v/>
      </c>
      <c r="F487" t="str">
        <f>+IFERROR(VLOOKUP(Fact_Contabilidad[[#This Row], 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ht="18.75" customHeight="1" x14ac:dyDescent="0.35">
      <c r="A488" s="103"/>
      <c r="C488" s="100" t="str">
        <f>IF(OR(Fact_Contabilidad[[#This Row], [Año]]="",Fact_Contabilidad[[#This Row], [Mes]]=""),"",DATE(A488,MATCH(B488,{"enero","febrero","marzo","abril","mayo","junio","julio","agosto","septiembre","octubre","noviembre","diciembre"},0)+1,0))</f>
        <v/>
      </c>
      <c r="E488" t="str">
        <f>+IFERROR(VLOOKUP(Fact_Contabilidad[[#This Row], [Concepto Anterior]],Conceptos_Contabilidad[#All],5,0),"")</f>
        <v/>
      </c>
      <c r="F488" t="str">
        <f>+IFERROR(VLOOKUP(Fact_Contabilidad[[#This Row], 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ht="18.75" customHeight="1" x14ac:dyDescent="0.35">
      <c r="A489" s="103"/>
      <c r="C489" s="100" t="str">
        <f>IF(OR(Fact_Contabilidad[[#This Row], [Año]]="",Fact_Contabilidad[[#This Row], [Mes]]=""),"",DATE(A489,MATCH(B489,{"enero","febrero","marzo","abril","mayo","junio","julio","agosto","septiembre","octubre","noviembre","diciembre"},0)+1,0))</f>
        <v/>
      </c>
      <c r="E489" t="str">
        <f>+IFERROR(VLOOKUP(Fact_Contabilidad[[#This Row], [Concepto Anterior]],Conceptos_Contabilidad[#All],5,0),"")</f>
        <v/>
      </c>
      <c r="F489" t="str">
        <f>+IFERROR(VLOOKUP(Fact_Contabilidad[[#This Row], 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ht="18.75" customHeight="1" x14ac:dyDescent="0.35">
      <c r="A490" s="103"/>
      <c r="C490" s="100" t="str">
        <f>IF(OR(Fact_Contabilidad[[#This Row], [Año]]="",Fact_Contabilidad[[#This Row], [Mes]]=""),"",DATE(A490,MATCH(B490,{"enero","febrero","marzo","abril","mayo","junio","julio","agosto","septiembre","octubre","noviembre","diciembre"},0)+1,0))</f>
        <v/>
      </c>
      <c r="E490" t="str">
        <f>+IFERROR(VLOOKUP(Fact_Contabilidad[[#This Row], [Concepto Anterior]],Conceptos_Contabilidad[#All],5,0),"")</f>
        <v/>
      </c>
      <c r="F490" t="str">
        <f>+IFERROR(VLOOKUP(Fact_Contabilidad[[#This Row], 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ht="18.75" customHeight="1" x14ac:dyDescent="0.35">
      <c r="A491" s="103"/>
      <c r="C491" s="100" t="str">
        <f>IF(OR(Fact_Contabilidad[[#This Row], [Año]]="",Fact_Contabilidad[[#This Row], [Mes]]=""),"",DATE(A491,MATCH(B491,{"enero","febrero","marzo","abril","mayo","junio","julio","agosto","septiembre","octubre","noviembre","diciembre"},0)+1,0))</f>
        <v/>
      </c>
      <c r="E491" t="str">
        <f>+IFERROR(VLOOKUP(Fact_Contabilidad[[#This Row], [Concepto Anterior]],Conceptos_Contabilidad[#All],5,0),"")</f>
        <v/>
      </c>
      <c r="F491" t="str">
        <f>+IFERROR(VLOOKUP(Fact_Contabilidad[[#This Row], 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ht="18.75" customHeight="1" x14ac:dyDescent="0.35">
      <c r="A492" s="103"/>
      <c r="C492" s="100" t="str">
        <f>IF(OR(Fact_Contabilidad[[#This Row], [Año]]="",Fact_Contabilidad[[#This Row], [Mes]]=""),"",DATE(A492,MATCH(B492,{"enero","febrero","marzo","abril","mayo","junio","julio","agosto","septiembre","octubre","noviembre","diciembre"},0)+1,0))</f>
        <v/>
      </c>
      <c r="E492" t="str">
        <f>+IFERROR(VLOOKUP(Fact_Contabilidad[[#This Row], [Concepto Anterior]],Conceptos_Contabilidad[#All],5,0),"")</f>
        <v/>
      </c>
      <c r="F492" t="str">
        <f>+IFERROR(VLOOKUP(Fact_Contabilidad[[#This Row], 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ht="18.75" customHeight="1" x14ac:dyDescent="0.35">
      <c r="A493" s="103"/>
      <c r="C493" s="100" t="str">
        <f>IF(OR(Fact_Contabilidad[[#This Row], [Año]]="",Fact_Contabilidad[[#This Row], [Mes]]=""),"",DATE(A493,MATCH(B493,{"enero","febrero","marzo","abril","mayo","junio","julio","agosto","septiembre","octubre","noviembre","diciembre"},0)+1,0))</f>
        <v/>
      </c>
      <c r="E493" t="str">
        <f>+IFERROR(VLOOKUP(Fact_Contabilidad[[#This Row], [Concepto Anterior]],Conceptos_Contabilidad[#All],5,0),"")</f>
        <v/>
      </c>
      <c r="F493" t="str">
        <f>+IFERROR(VLOOKUP(Fact_Contabilidad[[#This Row], 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ht="18.75" customHeight="1" x14ac:dyDescent="0.35">
      <c r="A494" s="103"/>
      <c r="C494" s="100" t="str">
        <f>IF(OR(Fact_Contabilidad[[#This Row], [Año]]="",Fact_Contabilidad[[#This Row], [Mes]]=""),"",DATE(A494,MATCH(B494,{"enero","febrero","marzo","abril","mayo","junio","julio","agosto","septiembre","octubre","noviembre","diciembre"},0)+1,0))</f>
        <v/>
      </c>
      <c r="E494" t="str">
        <f>+IFERROR(VLOOKUP(Fact_Contabilidad[[#This Row], [Concepto Anterior]],Conceptos_Contabilidad[#All],5,0),"")</f>
        <v/>
      </c>
      <c r="F494" t="str">
        <f>+IFERROR(VLOOKUP(Fact_Contabilidad[[#This Row], 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ht="18.75" customHeight="1" x14ac:dyDescent="0.35">
      <c r="A495" s="103"/>
      <c r="C495" s="100" t="str">
        <f>IF(OR(Fact_Contabilidad[[#This Row], [Año]]="",Fact_Contabilidad[[#This Row], [Mes]]=""),"",DATE(A495,MATCH(B495,{"enero","febrero","marzo","abril","mayo","junio","julio","agosto","septiembre","octubre","noviembre","diciembre"},0)+1,0))</f>
        <v/>
      </c>
      <c r="E495" t="str">
        <f>+IFERROR(VLOOKUP(Fact_Contabilidad[[#This Row], [Concepto Anterior]],Conceptos_Contabilidad[#All],5,0),"")</f>
        <v/>
      </c>
      <c r="F495" t="str">
        <f>+IFERROR(VLOOKUP(Fact_Contabilidad[[#This Row], 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ht="18.75" customHeight="1" x14ac:dyDescent="0.35">
      <c r="A496" s="103"/>
      <c r="C496" s="100" t="str">
        <f>IF(OR(Fact_Contabilidad[[#This Row], [Año]]="",Fact_Contabilidad[[#This Row], [Mes]]=""),"",DATE(A496,MATCH(B496,{"enero","febrero","marzo","abril","mayo","junio","julio","agosto","septiembre","octubre","noviembre","diciembre"},0)+1,0))</f>
        <v/>
      </c>
      <c r="E496" t="str">
        <f>+IFERROR(VLOOKUP(Fact_Contabilidad[[#This Row], [Concepto Anterior]],Conceptos_Contabilidad[#All],5,0),"")</f>
        <v/>
      </c>
      <c r="F496" t="str">
        <f>+IFERROR(VLOOKUP(Fact_Contabilidad[[#This Row], 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ht="18.75" customHeight="1" x14ac:dyDescent="0.35">
      <c r="A497" s="103"/>
      <c r="C497" s="100" t="str">
        <f>IF(OR(Fact_Contabilidad[[#This Row], [Año]]="",Fact_Contabilidad[[#This Row], [Mes]]=""),"",DATE(A497,MATCH(B497,{"enero","febrero","marzo","abril","mayo","junio","julio","agosto","septiembre","octubre","noviembre","diciembre"},0)+1,0))</f>
        <v/>
      </c>
      <c r="E497" t="str">
        <f>+IFERROR(VLOOKUP(Fact_Contabilidad[[#This Row], [Concepto Anterior]],Conceptos_Contabilidad[#All],5,0),"")</f>
        <v/>
      </c>
      <c r="F497" t="str">
        <f>+IFERROR(VLOOKUP(Fact_Contabilidad[[#This Row], 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ht="18.75" customHeight="1" x14ac:dyDescent="0.35">
      <c r="A498" s="103"/>
      <c r="C498" s="100" t="str">
        <f>IF(OR(Fact_Contabilidad[[#This Row], [Año]]="",Fact_Contabilidad[[#This Row], [Mes]]=""),"",DATE(A498,MATCH(B498,{"enero","febrero","marzo","abril","mayo","junio","julio","agosto","septiembre","octubre","noviembre","diciembre"},0)+1,0))</f>
        <v/>
      </c>
      <c r="E498" t="str">
        <f>+IFERROR(VLOOKUP(Fact_Contabilidad[[#This Row], [Concepto Anterior]],Conceptos_Contabilidad[#All],5,0),"")</f>
        <v/>
      </c>
      <c r="F498" t="str">
        <f>+IFERROR(VLOOKUP(Fact_Contabilidad[[#This Row], 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ht="18.75" customHeight="1" x14ac:dyDescent="0.35">
      <c r="A499" s="103"/>
      <c r="C499" s="100" t="str">
        <f>IF(OR(Fact_Contabilidad[[#This Row], [Año]]="",Fact_Contabilidad[[#This Row], [Mes]]=""),"",DATE(A499,MATCH(B499,{"enero","febrero","marzo","abril","mayo","junio","julio","agosto","septiembre","octubre","noviembre","diciembre"},0)+1,0))</f>
        <v/>
      </c>
      <c r="E499" t="str">
        <f>+IFERROR(VLOOKUP(Fact_Contabilidad[[#This Row], [Concepto Anterior]],Conceptos_Contabilidad[#All],5,0),"")</f>
        <v/>
      </c>
      <c r="F499" t="str">
        <f>+IFERROR(VLOOKUP(Fact_Contabilidad[[#This Row], 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ht="18.75" customHeight="1" x14ac:dyDescent="0.35">
      <c r="A500" s="103"/>
      <c r="C500" s="100" t="str">
        <f>IF(OR(Fact_Contabilidad[[#This Row], [Año]]="",Fact_Contabilidad[[#This Row], [Mes]]=""),"",DATE(A500,MATCH(B500,{"enero","febrero","marzo","abril","mayo","junio","julio","agosto","septiembre","octubre","noviembre","diciembre"},0)+1,0))</f>
        <v/>
      </c>
      <c r="E500" t="str">
        <f>+IFERROR(VLOOKUP(Fact_Contabilidad[[#This Row], [Concepto Anterior]],Conceptos_Contabilidad[#All],5,0),"")</f>
        <v/>
      </c>
      <c r="F500" t="str">
        <f>+IFERROR(VLOOKUP(Fact_Contabilidad[[#This Row], 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ht="18.75" customHeight="1" x14ac:dyDescent="0.35">
      <c r="A501" s="103"/>
      <c r="C501" s="100" t="str">
        <f>IF(OR(Fact_Contabilidad[[#This Row], [Año]]="",Fact_Contabilidad[[#This Row], [Mes]]=""),"",DATE(A501,MATCH(B501,{"enero","febrero","marzo","abril","mayo","junio","julio","agosto","septiembre","octubre","noviembre","diciembre"},0)+1,0))</f>
        <v/>
      </c>
      <c r="E501" t="str">
        <f>+IFERROR(VLOOKUP(Fact_Contabilidad[[#This Row], [Concepto Anterior]],Conceptos_Contabilidad[#All],5,0),"")</f>
        <v/>
      </c>
      <c r="F501" t="str">
        <f>+IFERROR(VLOOKUP(Fact_Contabilidad[[#This Row], 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ht="18.75" customHeight="1" x14ac:dyDescent="0.35">
      <c r="A502" s="103"/>
      <c r="C502" s="100" t="str">
        <f>IF(OR(Fact_Contabilidad[[#This Row], [Año]]="",Fact_Contabilidad[[#This Row], [Mes]]=""),"",DATE(A502,MATCH(B502,{"enero","febrero","marzo","abril","mayo","junio","julio","agosto","septiembre","octubre","noviembre","diciembre"},0)+1,0))</f>
        <v/>
      </c>
      <c r="E502" t="str">
        <f>+IFERROR(VLOOKUP(Fact_Contabilidad[[#This Row], [Concepto Anterior]],Conceptos_Contabilidad[#All],5,0),"")</f>
        <v/>
      </c>
      <c r="F502" t="str">
        <f>+IFERROR(VLOOKUP(Fact_Contabilidad[[#This Row], 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ht="18.75" customHeight="1" x14ac:dyDescent="0.35">
      <c r="A503" s="103"/>
      <c r="C503" s="100" t="str">
        <f>IF(OR(Fact_Contabilidad[[#This Row], [Año]]="",Fact_Contabilidad[[#This Row], [Mes]]=""),"",DATE(A503,MATCH(B503,{"enero","febrero","marzo","abril","mayo","junio","julio","agosto","septiembre","octubre","noviembre","diciembre"},0)+1,0))</f>
        <v/>
      </c>
      <c r="E503" t="str">
        <f>+IFERROR(VLOOKUP(Fact_Contabilidad[[#This Row], [Concepto Anterior]],Conceptos_Contabilidad[#All],5,0),"")</f>
        <v/>
      </c>
      <c r="F503" t="str">
        <f>+IFERROR(VLOOKUP(Fact_Contabilidad[[#This Row], 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ht="18.75" customHeight="1" x14ac:dyDescent="0.35">
      <c r="A504" s="103"/>
      <c r="C504" s="100" t="str">
        <f>IF(OR(Fact_Contabilidad[[#This Row], [Año]]="",Fact_Contabilidad[[#This Row], [Mes]]=""),"",DATE(A504,MATCH(B504,{"enero","febrero","marzo","abril","mayo","junio","julio","agosto","septiembre","octubre","noviembre","diciembre"},0)+1,0))</f>
        <v/>
      </c>
      <c r="E504" t="str">
        <f>+IFERROR(VLOOKUP(Fact_Contabilidad[[#This Row], [Concepto Anterior]],Conceptos_Contabilidad[#All],5,0),"")</f>
        <v/>
      </c>
      <c r="F504" t="str">
        <f>+IFERROR(VLOOKUP(Fact_Contabilidad[[#This Row], 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ht="18.75" customHeight="1" x14ac:dyDescent="0.35">
      <c r="A505" s="103"/>
      <c r="C505" s="100" t="str">
        <f>IF(OR(Fact_Contabilidad[[#This Row], [Año]]="",Fact_Contabilidad[[#This Row], [Mes]]=""),"",DATE(A505,MATCH(B505,{"enero","febrero","marzo","abril","mayo","junio","julio","agosto","septiembre","octubre","noviembre","diciembre"},0)+1,0))</f>
        <v/>
      </c>
      <c r="E505" t="str">
        <f>+IFERROR(VLOOKUP(Fact_Contabilidad[[#This Row], [Concepto Anterior]],Conceptos_Contabilidad[#All],5,0),"")</f>
        <v/>
      </c>
      <c r="F505" t="str">
        <f>+IFERROR(VLOOKUP(Fact_Contabilidad[[#This Row], 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ht="18.75" customHeight="1" x14ac:dyDescent="0.35">
      <c r="A506" s="103"/>
      <c r="C506" s="100" t="str">
        <f>IF(OR(Fact_Contabilidad[[#This Row], [Año]]="",Fact_Contabilidad[[#This Row], [Mes]]=""),"",DATE(A506,MATCH(B506,{"enero","febrero","marzo","abril","mayo","junio","julio","agosto","septiembre","octubre","noviembre","diciembre"},0)+1,0))</f>
        <v/>
      </c>
      <c r="E506" t="str">
        <f>+IFERROR(VLOOKUP(Fact_Contabilidad[[#This Row], [Concepto Anterior]],Conceptos_Contabilidad[#All],5,0),"")</f>
        <v/>
      </c>
      <c r="F506" t="str">
        <f>+IFERROR(VLOOKUP(Fact_Contabilidad[[#This Row], 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ht="18.75" customHeight="1" x14ac:dyDescent="0.35">
      <c r="A507" s="103"/>
      <c r="C507" s="100" t="str">
        <f>IF(OR(Fact_Contabilidad[[#This Row], [Año]]="",Fact_Contabilidad[[#This Row], [Mes]]=""),"",DATE(A507,MATCH(B507,{"enero","febrero","marzo","abril","mayo","junio","julio","agosto","septiembre","octubre","noviembre","diciembre"},0)+1,0))</f>
        <v/>
      </c>
      <c r="E507" t="str">
        <f>+IFERROR(VLOOKUP(Fact_Contabilidad[[#This Row], [Concepto Anterior]],Conceptos_Contabilidad[#All],5,0),"")</f>
        <v/>
      </c>
      <c r="F507" t="str">
        <f>+IFERROR(VLOOKUP(Fact_Contabilidad[[#This Row], 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ht="18.75" customHeight="1" x14ac:dyDescent="0.35">
      <c r="A508" s="103"/>
      <c r="C508" s="100" t="str">
        <f>IF(OR(Fact_Contabilidad[[#This Row], [Año]]="",Fact_Contabilidad[[#This Row], [Mes]]=""),"",DATE(A508,MATCH(B508,{"enero","febrero","marzo","abril","mayo","junio","julio","agosto","septiembre","octubre","noviembre","diciembre"},0)+1,0))</f>
        <v/>
      </c>
      <c r="E508" t="str">
        <f>+IFERROR(VLOOKUP(Fact_Contabilidad[[#This Row], [Concepto Anterior]],Conceptos_Contabilidad[#All],5,0),"")</f>
        <v/>
      </c>
      <c r="F508" t="str">
        <f>+IFERROR(VLOOKUP(Fact_Contabilidad[[#This Row], 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ht="18.75" customHeight="1" x14ac:dyDescent="0.35">
      <c r="A509" s="103"/>
      <c r="C509" s="100" t="str">
        <f>IF(OR(Fact_Contabilidad[[#This Row], [Año]]="",Fact_Contabilidad[[#This Row], [Mes]]=""),"",DATE(A509,MATCH(B509,{"enero","febrero","marzo","abril","mayo","junio","julio","agosto","septiembre","octubre","noviembre","diciembre"},0)+1,0))</f>
        <v/>
      </c>
      <c r="E509" t="str">
        <f>+IFERROR(VLOOKUP(Fact_Contabilidad[[#This Row], [Concepto Anterior]],Conceptos_Contabilidad[#All],5,0),"")</f>
        <v/>
      </c>
      <c r="F509" t="str">
        <f>+IFERROR(VLOOKUP(Fact_Contabilidad[[#This Row], 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ht="18.75" customHeight="1" x14ac:dyDescent="0.35">
      <c r="A510" s="103"/>
      <c r="C510" s="100" t="str">
        <f>IF(OR(Fact_Contabilidad[[#This Row], [Año]]="",Fact_Contabilidad[[#This Row], [Mes]]=""),"",DATE(A510,MATCH(B510,{"enero","febrero","marzo","abril","mayo","junio","julio","agosto","septiembre","octubre","noviembre","diciembre"},0)+1,0))</f>
        <v/>
      </c>
      <c r="E510" t="str">
        <f>+IFERROR(VLOOKUP(Fact_Contabilidad[[#This Row], [Concepto Anterior]],Conceptos_Contabilidad[#All],5,0),"")</f>
        <v/>
      </c>
      <c r="F510" t="str">
        <f>+IFERROR(VLOOKUP(Fact_Contabilidad[[#This Row], 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ht="18.75" customHeight="1" x14ac:dyDescent="0.35">
      <c r="A511" s="103"/>
      <c r="C511" s="100" t="str">
        <f>IF(OR(Fact_Contabilidad[[#This Row], [Año]]="",Fact_Contabilidad[[#This Row], [Mes]]=""),"",DATE(A511,MATCH(B511,{"enero","febrero","marzo","abril","mayo","junio","julio","agosto","septiembre","octubre","noviembre","diciembre"},0)+1,0))</f>
        <v/>
      </c>
      <c r="E511" t="str">
        <f>+IFERROR(VLOOKUP(Fact_Contabilidad[[#This Row], [Concepto Anterior]],Conceptos_Contabilidad[#All],5,0),"")</f>
        <v/>
      </c>
      <c r="F511" t="str">
        <f>+IFERROR(VLOOKUP(Fact_Contabilidad[[#This Row], 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ht="18.75" customHeight="1" x14ac:dyDescent="0.35">
      <c r="A512" s="103"/>
      <c r="C512" s="100" t="str">
        <f>IF(OR(Fact_Contabilidad[[#This Row], [Año]]="",Fact_Contabilidad[[#This Row], [Mes]]=""),"",DATE(A512,MATCH(B512,{"enero","febrero","marzo","abril","mayo","junio","julio","agosto","septiembre","octubre","noviembre","diciembre"},0)+1,0))</f>
        <v/>
      </c>
      <c r="E512" t="str">
        <f>+IFERROR(VLOOKUP(Fact_Contabilidad[[#This Row], [Concepto Anterior]],Conceptos_Contabilidad[#All],5,0),"")</f>
        <v/>
      </c>
      <c r="F512" t="str">
        <f>+IFERROR(VLOOKUP(Fact_Contabilidad[[#This Row], 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ht="18.75" customHeight="1" x14ac:dyDescent="0.35">
      <c r="A513" s="103"/>
      <c r="C513" s="100" t="str">
        <f>IF(OR(Fact_Contabilidad[[#This Row], [Año]]="",Fact_Contabilidad[[#This Row], [Mes]]=""),"",DATE(A513,MATCH(B513,{"enero","febrero","marzo","abril","mayo","junio","julio","agosto","septiembre","octubre","noviembre","diciembre"},0)+1,0))</f>
        <v/>
      </c>
      <c r="E513" t="str">
        <f>+IFERROR(VLOOKUP(Fact_Contabilidad[[#This Row], [Concepto Anterior]],Conceptos_Contabilidad[#All],5,0),"")</f>
        <v/>
      </c>
      <c r="F513" t="str">
        <f>+IFERROR(VLOOKUP(Fact_Contabilidad[[#This Row], 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ht="18.75" customHeight="1" x14ac:dyDescent="0.35">
      <c r="A514" s="103"/>
      <c r="C514" s="100" t="str">
        <f>IF(OR(Fact_Contabilidad[[#This Row], [Año]]="",Fact_Contabilidad[[#This Row], [Mes]]=""),"",DATE(A514,MATCH(B514,{"enero","febrero","marzo","abril","mayo","junio","julio","agosto","septiembre","octubre","noviembre","diciembre"},0)+1,0))</f>
        <v/>
      </c>
      <c r="E514" t="str">
        <f>+IFERROR(VLOOKUP(Fact_Contabilidad[[#This Row], [Concepto Anterior]],Conceptos_Contabilidad[#All],5,0),"")</f>
        <v/>
      </c>
      <c r="F514" t="str">
        <f>+IFERROR(VLOOKUP(Fact_Contabilidad[[#This Row], 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ht="18.75" customHeight="1" x14ac:dyDescent="0.35">
      <c r="A515" s="103"/>
      <c r="C515" s="100" t="str">
        <f>IF(OR(Fact_Contabilidad[[#This Row], [Año]]="",Fact_Contabilidad[[#This Row], [Mes]]=""),"",DATE(A515,MATCH(B515,{"enero","febrero","marzo","abril","mayo","junio","julio","agosto","septiembre","octubre","noviembre","diciembre"},0)+1,0))</f>
        <v/>
      </c>
      <c r="E515" t="str">
        <f>+IFERROR(VLOOKUP(Fact_Contabilidad[[#This Row], [Concepto Anterior]],Conceptos_Contabilidad[#All],5,0),"")</f>
        <v/>
      </c>
      <c r="F515" t="str">
        <f>+IFERROR(VLOOKUP(Fact_Contabilidad[[#This Row], 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ht="18.75" customHeight="1" x14ac:dyDescent="0.35">
      <c r="A516" s="103"/>
      <c r="C516" s="100" t="str">
        <f>IF(OR(Fact_Contabilidad[[#This Row], [Año]]="",Fact_Contabilidad[[#This Row], [Mes]]=""),"",DATE(A516,MATCH(B516,{"enero","febrero","marzo","abril","mayo","junio","julio","agosto","septiembre","octubre","noviembre","diciembre"},0)+1,0))</f>
        <v/>
      </c>
      <c r="E516" t="str">
        <f>+IFERROR(VLOOKUP(Fact_Contabilidad[[#This Row], [Concepto Anterior]],Conceptos_Contabilidad[#All],5,0),"")</f>
        <v/>
      </c>
      <c r="F516" t="str">
        <f>+IFERROR(VLOOKUP(Fact_Contabilidad[[#This Row], 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ht="18.75" customHeight="1" x14ac:dyDescent="0.35">
      <c r="A517" s="103"/>
      <c r="C517" s="100" t="str">
        <f>IF(OR(Fact_Contabilidad[[#This Row], [Año]]="",Fact_Contabilidad[[#This Row], [Mes]]=""),"",DATE(A517,MATCH(B517,{"enero","febrero","marzo","abril","mayo","junio","julio","agosto","septiembre","octubre","noviembre","diciembre"},0)+1,0))</f>
        <v/>
      </c>
      <c r="E517" t="str">
        <f>+IFERROR(VLOOKUP(Fact_Contabilidad[[#This Row], [Concepto Anterior]],Conceptos_Contabilidad[#All],5,0),"")</f>
        <v/>
      </c>
      <c r="F517" t="str">
        <f>+IFERROR(VLOOKUP(Fact_Contabilidad[[#This Row], 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ht="18.75" customHeight="1" x14ac:dyDescent="0.35">
      <c r="A518" s="103"/>
      <c r="C518" s="100" t="str">
        <f>IF(OR(Fact_Contabilidad[[#This Row], [Año]]="",Fact_Contabilidad[[#This Row], [Mes]]=""),"",DATE(A518,MATCH(B518,{"enero","febrero","marzo","abril","mayo","junio","julio","agosto","septiembre","octubre","noviembre","diciembre"},0)+1,0))</f>
        <v/>
      </c>
      <c r="E518" t="str">
        <f>+IFERROR(VLOOKUP(Fact_Contabilidad[[#This Row], [Concepto Anterior]],Conceptos_Contabilidad[#All],5,0),"")</f>
        <v/>
      </c>
      <c r="F518" t="str">
        <f>+IFERROR(VLOOKUP(Fact_Contabilidad[[#This Row], 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ht="18.75" customHeight="1" x14ac:dyDescent="0.35">
      <c r="A519" s="103"/>
      <c r="C519" s="100" t="str">
        <f>IF(OR(Fact_Contabilidad[[#This Row], [Año]]="",Fact_Contabilidad[[#This Row], [Mes]]=""),"",DATE(A519,MATCH(B519,{"enero","febrero","marzo","abril","mayo","junio","julio","agosto","septiembre","octubre","noviembre","diciembre"},0)+1,0))</f>
        <v/>
      </c>
      <c r="E519" t="str">
        <f>+IFERROR(VLOOKUP(Fact_Contabilidad[[#This Row], [Concepto Anterior]],Conceptos_Contabilidad[#All],5,0),"")</f>
        <v/>
      </c>
      <c r="F519" t="str">
        <f>+IFERROR(VLOOKUP(Fact_Contabilidad[[#This Row], 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ht="18.75" customHeight="1" x14ac:dyDescent="0.35">
      <c r="A520" s="103"/>
      <c r="C520" s="100" t="str">
        <f>IF(OR(Fact_Contabilidad[[#This Row], [Año]]="",Fact_Contabilidad[[#This Row], [Mes]]=""),"",DATE(A520,MATCH(B520,{"enero","febrero","marzo","abril","mayo","junio","julio","agosto","septiembre","octubre","noviembre","diciembre"},0)+1,0))</f>
        <v/>
      </c>
      <c r="E520" t="str">
        <f>+IFERROR(VLOOKUP(Fact_Contabilidad[[#This Row], [Concepto Anterior]],Conceptos_Contabilidad[#All],5,0),"")</f>
        <v/>
      </c>
      <c r="F520" t="str">
        <f>+IFERROR(VLOOKUP(Fact_Contabilidad[[#This Row], 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ht="18.75" customHeight="1" x14ac:dyDescent="0.35">
      <c r="A521" s="103"/>
      <c r="C521" s="100" t="str">
        <f>IF(OR(Fact_Contabilidad[[#This Row], [Año]]="",Fact_Contabilidad[[#This Row], [Mes]]=""),"",DATE(A521,MATCH(B521,{"enero","febrero","marzo","abril","mayo","junio","julio","agosto","septiembre","octubre","noviembre","diciembre"},0)+1,0))</f>
        <v/>
      </c>
      <c r="E521" t="str">
        <f>+IFERROR(VLOOKUP(Fact_Contabilidad[[#This Row], [Concepto Anterior]],Conceptos_Contabilidad[#All],5,0),"")</f>
        <v/>
      </c>
      <c r="F521" t="str">
        <f>+IFERROR(VLOOKUP(Fact_Contabilidad[[#This Row], 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ht="18.75" customHeight="1" x14ac:dyDescent="0.35">
      <c r="A522" s="103"/>
      <c r="C522" s="100" t="str">
        <f>IF(OR(Fact_Contabilidad[[#This Row], [Año]]="",Fact_Contabilidad[[#This Row], [Mes]]=""),"",DATE(A522,MATCH(B522,{"enero","febrero","marzo","abril","mayo","junio","julio","agosto","septiembre","octubre","noviembre","diciembre"},0)+1,0))</f>
        <v/>
      </c>
      <c r="E522" t="str">
        <f>+IFERROR(VLOOKUP(Fact_Contabilidad[[#This Row], [Concepto Anterior]],Conceptos_Contabilidad[#All],5,0),"")</f>
        <v/>
      </c>
      <c r="F522" t="str">
        <f>+IFERROR(VLOOKUP(Fact_Contabilidad[[#This Row], 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ht="18.75" customHeight="1" x14ac:dyDescent="0.35">
      <c r="A523" s="103"/>
      <c r="C523" s="100" t="str">
        <f>IF(OR(Fact_Contabilidad[[#This Row], [Año]]="",Fact_Contabilidad[[#This Row], [Mes]]=""),"",DATE(A523,MATCH(B523,{"enero","febrero","marzo","abril","mayo","junio","julio","agosto","septiembre","octubre","noviembre","diciembre"},0)+1,0))</f>
        <v/>
      </c>
      <c r="E523" t="str">
        <f>+IFERROR(VLOOKUP(Fact_Contabilidad[[#This Row], [Concepto Anterior]],Conceptos_Contabilidad[#All],5,0),"")</f>
        <v/>
      </c>
      <c r="F523" t="str">
        <f>+IFERROR(VLOOKUP(Fact_Contabilidad[[#This Row], 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ht="18.75" customHeight="1" x14ac:dyDescent="0.35">
      <c r="A524" s="103"/>
      <c r="C524" s="100" t="str">
        <f>IF(OR(Fact_Contabilidad[[#This Row], [Año]]="",Fact_Contabilidad[[#This Row], [Mes]]=""),"",DATE(A524,MATCH(B524,{"enero","febrero","marzo","abril","mayo","junio","julio","agosto","septiembre","octubre","noviembre","diciembre"},0)+1,0))</f>
        <v/>
      </c>
      <c r="E524" t="str">
        <f>+IFERROR(VLOOKUP(Fact_Contabilidad[[#This Row], [Concepto Anterior]],Conceptos_Contabilidad[#All],5,0),"")</f>
        <v/>
      </c>
      <c r="F524" t="str">
        <f>+IFERROR(VLOOKUP(Fact_Contabilidad[[#This Row], 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ht="18.75" customHeight="1" x14ac:dyDescent="0.35">
      <c r="A525" s="103"/>
      <c r="C525" s="100" t="str">
        <f>IF(OR(Fact_Contabilidad[[#This Row], [Año]]="",Fact_Contabilidad[[#This Row], [Mes]]=""),"",DATE(A525,MATCH(B525,{"enero","febrero","marzo","abril","mayo","junio","julio","agosto","septiembre","octubre","noviembre","diciembre"},0)+1,0))</f>
        <v/>
      </c>
      <c r="E525" t="str">
        <f>+IFERROR(VLOOKUP(Fact_Contabilidad[[#This Row], [Concepto Anterior]],Conceptos_Contabilidad[#All],5,0),"")</f>
        <v/>
      </c>
      <c r="F525" t="str">
        <f>+IFERROR(VLOOKUP(Fact_Contabilidad[[#This Row], 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ht="18.75" customHeight="1" x14ac:dyDescent="0.35">
      <c r="A526" s="103"/>
      <c r="C526" s="100" t="str">
        <f>IF(OR(Fact_Contabilidad[[#This Row], [Año]]="",Fact_Contabilidad[[#This Row], [Mes]]=""),"",DATE(A526,MATCH(B526,{"enero","febrero","marzo","abril","mayo","junio","julio","agosto","septiembre","octubre","noviembre","diciembre"},0)+1,0))</f>
        <v/>
      </c>
      <c r="E526" t="str">
        <f>+IFERROR(VLOOKUP(Fact_Contabilidad[[#This Row], [Concepto Anterior]],Conceptos_Contabilidad[#All],5,0),"")</f>
        <v/>
      </c>
      <c r="F526" t="str">
        <f>+IFERROR(VLOOKUP(Fact_Contabilidad[[#This Row], 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ht="18.75" customHeight="1" x14ac:dyDescent="0.35">
      <c r="A527" s="103"/>
      <c r="C527" s="100" t="str">
        <f>IF(OR(Fact_Contabilidad[[#This Row], [Año]]="",Fact_Contabilidad[[#This Row], [Mes]]=""),"",DATE(A527,MATCH(B527,{"enero","febrero","marzo","abril","mayo","junio","julio","agosto","septiembre","octubre","noviembre","diciembre"},0)+1,0))</f>
        <v/>
      </c>
      <c r="E527" t="str">
        <f>+IFERROR(VLOOKUP(Fact_Contabilidad[[#This Row], [Concepto Anterior]],Conceptos_Contabilidad[#All],5,0),"")</f>
        <v/>
      </c>
      <c r="F527" t="str">
        <f>+IFERROR(VLOOKUP(Fact_Contabilidad[[#This Row], 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ht="18.75" customHeight="1" x14ac:dyDescent="0.35">
      <c r="A528" s="103"/>
      <c r="C528" s="100" t="str">
        <f>IF(OR(Fact_Contabilidad[[#This Row], [Año]]="",Fact_Contabilidad[[#This Row], [Mes]]=""),"",DATE(A528,MATCH(B528,{"enero","febrero","marzo","abril","mayo","junio","julio","agosto","septiembre","octubre","noviembre","diciembre"},0)+1,0))</f>
        <v/>
      </c>
      <c r="E528" t="str">
        <f>+IFERROR(VLOOKUP(Fact_Contabilidad[[#This Row], [Concepto Anterior]],Conceptos_Contabilidad[#All],5,0),"")</f>
        <v/>
      </c>
      <c r="F528" t="str">
        <f>+IFERROR(VLOOKUP(Fact_Contabilidad[[#This Row], 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ht="18.75" customHeight="1" x14ac:dyDescent="0.35">
      <c r="A529" s="103"/>
      <c r="C529" s="100" t="str">
        <f>IF(OR(Fact_Contabilidad[[#This Row], [Año]]="",Fact_Contabilidad[[#This Row], [Mes]]=""),"",DATE(A529,MATCH(B529,{"enero","febrero","marzo","abril","mayo","junio","julio","agosto","septiembre","octubre","noviembre","diciembre"},0)+1,0))</f>
        <v/>
      </c>
      <c r="E529" t="str">
        <f>+IFERROR(VLOOKUP(Fact_Contabilidad[[#This Row], [Concepto Anterior]],Conceptos_Contabilidad[#All],5,0),"")</f>
        <v/>
      </c>
      <c r="F529" t="str">
        <f>+IFERROR(VLOOKUP(Fact_Contabilidad[[#This Row], 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ht="18.75" customHeight="1" x14ac:dyDescent="0.35">
      <c r="A530" s="103"/>
      <c r="C530" s="100" t="str">
        <f>IF(OR(Fact_Contabilidad[[#This Row], [Año]]="",Fact_Contabilidad[[#This Row], [Mes]]=""),"",DATE(A530,MATCH(B530,{"enero","febrero","marzo","abril","mayo","junio","julio","agosto","septiembre","octubre","noviembre","diciembre"},0)+1,0))</f>
        <v/>
      </c>
      <c r="E530" t="str">
        <f>+IFERROR(VLOOKUP(Fact_Contabilidad[[#This Row], [Concepto Anterior]],Conceptos_Contabilidad[#All],5,0),"")</f>
        <v/>
      </c>
      <c r="F530" t="str">
        <f>+IFERROR(VLOOKUP(Fact_Contabilidad[[#This Row], 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ht="18.75" customHeight="1" x14ac:dyDescent="0.35">
      <c r="A531" s="103"/>
      <c r="C531" s="100" t="str">
        <f>IF(OR(Fact_Contabilidad[[#This Row], [Año]]="",Fact_Contabilidad[[#This Row], [Mes]]=""),"",DATE(A531,MATCH(B531,{"enero","febrero","marzo","abril","mayo","junio","julio","agosto","septiembre","octubre","noviembre","diciembre"},0)+1,0))</f>
        <v/>
      </c>
      <c r="E531" t="str">
        <f>+IFERROR(VLOOKUP(Fact_Contabilidad[[#This Row], [Concepto Anterior]],Conceptos_Contabilidad[#All],5,0),"")</f>
        <v/>
      </c>
      <c r="F531" t="str">
        <f>+IFERROR(VLOOKUP(Fact_Contabilidad[[#This Row], 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ht="18.75" customHeight="1" x14ac:dyDescent="0.35">
      <c r="A532" s="103"/>
      <c r="C532" s="100" t="str">
        <f>IF(OR(Fact_Contabilidad[[#This Row], [Año]]="",Fact_Contabilidad[[#This Row], [Mes]]=""),"",DATE(A532,MATCH(B532,{"enero","febrero","marzo","abril","mayo","junio","julio","agosto","septiembre","octubre","noviembre","diciembre"},0)+1,0))</f>
        <v/>
      </c>
      <c r="E532" t="str">
        <f>+IFERROR(VLOOKUP(Fact_Contabilidad[[#This Row], [Concepto Anterior]],Conceptos_Contabilidad[#All],5,0),"")</f>
        <v/>
      </c>
      <c r="F532" t="str">
        <f>+IFERROR(VLOOKUP(Fact_Contabilidad[[#This Row], 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ht="18.75" customHeight="1" x14ac:dyDescent="0.35">
      <c r="A533" s="103"/>
      <c r="C533" s="100" t="str">
        <f>IF(OR(Fact_Contabilidad[[#This Row], [Año]]="",Fact_Contabilidad[[#This Row], [Mes]]=""),"",DATE(A533,MATCH(B533,{"enero","febrero","marzo","abril","mayo","junio","julio","agosto","septiembre","octubre","noviembre","diciembre"},0)+1,0))</f>
        <v/>
      </c>
      <c r="E533" t="str">
        <f>+IFERROR(VLOOKUP(Fact_Contabilidad[[#This Row], [Concepto Anterior]],Conceptos_Contabilidad[#All],5,0),"")</f>
        <v/>
      </c>
      <c r="F533" t="str">
        <f>+IFERROR(VLOOKUP(Fact_Contabilidad[[#This Row], 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ht="18.75" customHeight="1" x14ac:dyDescent="0.35">
      <c r="A534" s="103"/>
      <c r="C534" s="100" t="str">
        <f>IF(OR(Fact_Contabilidad[[#This Row], [Año]]="",Fact_Contabilidad[[#This Row], [Mes]]=""),"",DATE(A534,MATCH(B534,{"enero","febrero","marzo","abril","mayo","junio","julio","agosto","septiembre","octubre","noviembre","diciembre"},0)+1,0))</f>
        <v/>
      </c>
      <c r="E534" t="str">
        <f>+IFERROR(VLOOKUP(Fact_Contabilidad[[#This Row], [Concepto Anterior]],Conceptos_Contabilidad[#All],5,0),"")</f>
        <v/>
      </c>
      <c r="F534" t="str">
        <f>+IFERROR(VLOOKUP(Fact_Contabilidad[[#This Row], 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ht="18.75" customHeight="1" x14ac:dyDescent="0.35">
      <c r="A535" s="103"/>
      <c r="C535" s="100" t="str">
        <f>IF(OR(Fact_Contabilidad[[#This Row], [Año]]="",Fact_Contabilidad[[#This Row], [Mes]]=""),"",DATE(A535,MATCH(B535,{"enero","febrero","marzo","abril","mayo","junio","julio","agosto","septiembre","octubre","noviembre","diciembre"},0)+1,0))</f>
        <v/>
      </c>
      <c r="E535" t="str">
        <f>+IFERROR(VLOOKUP(Fact_Contabilidad[[#This Row], [Concepto Anterior]],Conceptos_Contabilidad[#All],5,0),"")</f>
        <v/>
      </c>
      <c r="F535" t="str">
        <f>+IFERROR(VLOOKUP(Fact_Contabilidad[[#This Row], 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ht="18.75" customHeight="1" x14ac:dyDescent="0.35">
      <c r="A536" s="103"/>
      <c r="C536" s="100" t="str">
        <f>IF(OR(Fact_Contabilidad[[#This Row], [Año]]="",Fact_Contabilidad[[#This Row], [Mes]]=""),"",DATE(A536,MATCH(B536,{"enero","febrero","marzo","abril","mayo","junio","julio","agosto","septiembre","octubre","noviembre","diciembre"},0)+1,0))</f>
        <v/>
      </c>
      <c r="E536" t="str">
        <f>+IFERROR(VLOOKUP(Fact_Contabilidad[[#This Row], [Concepto Anterior]],Conceptos_Contabilidad[#All],5,0),"")</f>
        <v/>
      </c>
      <c r="F536" t="str">
        <f>+IFERROR(VLOOKUP(Fact_Contabilidad[[#This Row], 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ht="18.75" customHeight="1" x14ac:dyDescent="0.35">
      <c r="A537" s="103"/>
      <c r="C537" s="100" t="str">
        <f>IF(OR(Fact_Contabilidad[[#This Row], [Año]]="",Fact_Contabilidad[[#This Row], [Mes]]=""),"",DATE(A537,MATCH(B537,{"enero","febrero","marzo","abril","mayo","junio","julio","agosto","septiembre","octubre","noviembre","diciembre"},0)+1,0))</f>
        <v/>
      </c>
      <c r="E537" t="str">
        <f>+IFERROR(VLOOKUP(Fact_Contabilidad[[#This Row], [Concepto Anterior]],Conceptos_Contabilidad[#All],5,0),"")</f>
        <v/>
      </c>
      <c r="F537" t="str">
        <f>+IFERROR(VLOOKUP(Fact_Contabilidad[[#This Row], 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ht="18.75" customHeight="1" x14ac:dyDescent="0.35">
      <c r="A538" s="103"/>
      <c r="C538" s="100" t="str">
        <f>IF(OR(Fact_Contabilidad[[#This Row], [Año]]="",Fact_Contabilidad[[#This Row], [Mes]]=""),"",DATE(A538,MATCH(B538,{"enero","febrero","marzo","abril","mayo","junio","julio","agosto","septiembre","octubre","noviembre","diciembre"},0)+1,0))</f>
        <v/>
      </c>
      <c r="E538" t="str">
        <f>+IFERROR(VLOOKUP(Fact_Contabilidad[[#This Row], [Concepto Anterior]],Conceptos_Contabilidad[#All],5,0),"")</f>
        <v/>
      </c>
      <c r="F538" t="str">
        <f>+IFERROR(VLOOKUP(Fact_Contabilidad[[#This Row], 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ht="18.75" customHeight="1" x14ac:dyDescent="0.35">
      <c r="A539" s="103"/>
      <c r="C539" s="100" t="str">
        <f>IF(OR(Fact_Contabilidad[[#This Row], [Año]]="",Fact_Contabilidad[[#This Row], [Mes]]=""),"",DATE(A539,MATCH(B539,{"enero","febrero","marzo","abril","mayo","junio","julio","agosto","septiembre","octubre","noviembre","diciembre"},0)+1,0))</f>
        <v/>
      </c>
      <c r="E539" t="str">
        <f>+IFERROR(VLOOKUP(Fact_Contabilidad[[#This Row], [Concepto Anterior]],Conceptos_Contabilidad[#All],5,0),"")</f>
        <v/>
      </c>
      <c r="F539" t="str">
        <f>+IFERROR(VLOOKUP(Fact_Contabilidad[[#This Row], 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ht="18.75" customHeight="1" x14ac:dyDescent="0.35">
      <c r="A540" s="103"/>
      <c r="C540" s="100" t="str">
        <f>IF(OR(Fact_Contabilidad[[#This Row], [Año]]="",Fact_Contabilidad[[#This Row], [Mes]]=""),"",DATE(A540,MATCH(B540,{"enero","febrero","marzo","abril","mayo","junio","julio","agosto","septiembre","octubre","noviembre","diciembre"},0)+1,0))</f>
        <v/>
      </c>
      <c r="E540" t="str">
        <f>+IFERROR(VLOOKUP(Fact_Contabilidad[[#This Row], [Concepto Anterior]],Conceptos_Contabilidad[#All],5,0),"")</f>
        <v/>
      </c>
      <c r="F540" t="str">
        <f>+IFERROR(VLOOKUP(Fact_Contabilidad[[#This Row], 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ht="18.75" customHeight="1" x14ac:dyDescent="0.35">
      <c r="A541" s="103"/>
      <c r="C541" s="100" t="str">
        <f>IF(OR(Fact_Contabilidad[[#This Row], [Año]]="",Fact_Contabilidad[[#This Row], [Mes]]=""),"",DATE(A541,MATCH(B541,{"enero","febrero","marzo","abril","mayo","junio","julio","agosto","septiembre","octubre","noviembre","diciembre"},0)+1,0))</f>
        <v/>
      </c>
      <c r="E541" t="str">
        <f>+IFERROR(VLOOKUP(Fact_Contabilidad[[#This Row], [Concepto Anterior]],Conceptos_Contabilidad[#All],5,0),"")</f>
        <v/>
      </c>
      <c r="F541" t="str">
        <f>+IFERROR(VLOOKUP(Fact_Contabilidad[[#This Row], 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ht="18.75" customHeight="1" x14ac:dyDescent="0.35">
      <c r="A542" s="103"/>
      <c r="C542" s="100" t="str">
        <f>IF(OR(Fact_Contabilidad[[#This Row], [Año]]="",Fact_Contabilidad[[#This Row], [Mes]]=""),"",DATE(A542,MATCH(B542,{"enero","febrero","marzo","abril","mayo","junio","julio","agosto","septiembre","octubre","noviembre","diciembre"},0)+1,0))</f>
        <v/>
      </c>
      <c r="E542" t="str">
        <f>+IFERROR(VLOOKUP(Fact_Contabilidad[[#This Row], [Concepto Anterior]],Conceptos_Contabilidad[#All],5,0),"")</f>
        <v/>
      </c>
      <c r="F542" t="str">
        <f>+IFERROR(VLOOKUP(Fact_Contabilidad[[#This Row], 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ht="18.75" customHeight="1" x14ac:dyDescent="0.35">
      <c r="A543" s="103"/>
      <c r="C543" s="100" t="str">
        <f>IF(OR(Fact_Contabilidad[[#This Row], [Año]]="",Fact_Contabilidad[[#This Row], [Mes]]=""),"",DATE(A543,MATCH(B543,{"enero","febrero","marzo","abril","mayo","junio","julio","agosto","septiembre","octubre","noviembre","diciembre"},0)+1,0))</f>
        <v/>
      </c>
      <c r="E543" t="str">
        <f>+IFERROR(VLOOKUP(Fact_Contabilidad[[#This Row], [Concepto Anterior]],Conceptos_Contabilidad[#All],5,0),"")</f>
        <v/>
      </c>
      <c r="F543" t="str">
        <f>+IFERROR(VLOOKUP(Fact_Contabilidad[[#This Row], 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ht="18.75" customHeight="1" x14ac:dyDescent="0.35">
      <c r="A544" s="103"/>
      <c r="C544" s="100" t="str">
        <f>IF(OR(Fact_Contabilidad[[#This Row], [Año]]="",Fact_Contabilidad[[#This Row], [Mes]]=""),"",DATE(A544,MATCH(B544,{"enero","febrero","marzo","abril","mayo","junio","julio","agosto","septiembre","octubre","noviembre","diciembre"},0)+1,0))</f>
        <v/>
      </c>
      <c r="E544" t="str">
        <f>+IFERROR(VLOOKUP(Fact_Contabilidad[[#This Row], [Concepto Anterior]],Conceptos_Contabilidad[#All],5,0),"")</f>
        <v/>
      </c>
      <c r="F544" t="str">
        <f>+IFERROR(VLOOKUP(Fact_Contabilidad[[#This Row], 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ht="18.75" customHeight="1" x14ac:dyDescent="0.35">
      <c r="A545" s="103"/>
      <c r="C545" s="100" t="str">
        <f>IF(OR(Fact_Contabilidad[[#This Row], [Año]]="",Fact_Contabilidad[[#This Row], [Mes]]=""),"",DATE(A545,MATCH(B545,{"enero","febrero","marzo","abril","mayo","junio","julio","agosto","septiembre","octubre","noviembre","diciembre"},0)+1,0))</f>
        <v/>
      </c>
      <c r="E545" t="str">
        <f>+IFERROR(VLOOKUP(Fact_Contabilidad[[#This Row], [Concepto Anterior]],Conceptos_Contabilidad[#All],5,0),"")</f>
        <v/>
      </c>
      <c r="F545" t="str">
        <f>+IFERROR(VLOOKUP(Fact_Contabilidad[[#This Row], 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ht="18.75" customHeight="1" x14ac:dyDescent="0.35">
      <c r="A546" s="103"/>
      <c r="C546" s="100" t="str">
        <f>IF(OR(Fact_Contabilidad[[#This Row], [Año]]="",Fact_Contabilidad[[#This Row], [Mes]]=""),"",DATE(A546,MATCH(B546,{"enero","febrero","marzo","abril","mayo","junio","julio","agosto","septiembre","octubre","noviembre","diciembre"},0)+1,0))</f>
        <v/>
      </c>
      <c r="E546" t="str">
        <f>+IFERROR(VLOOKUP(Fact_Contabilidad[[#This Row], [Concepto Anterior]],Conceptos_Contabilidad[#All],5,0),"")</f>
        <v/>
      </c>
      <c r="F546" t="str">
        <f>+IFERROR(VLOOKUP(Fact_Contabilidad[[#This Row], 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ht="18.75" customHeight="1" x14ac:dyDescent="0.35">
      <c r="A547" s="103"/>
      <c r="C547" s="100" t="str">
        <f>IF(OR(Fact_Contabilidad[[#This Row], [Año]]="",Fact_Contabilidad[[#This Row], [Mes]]=""),"",DATE(A547,MATCH(B547,{"enero","febrero","marzo","abril","mayo","junio","julio","agosto","septiembre","octubre","noviembre","diciembre"},0)+1,0))</f>
        <v/>
      </c>
      <c r="E547" t="str">
        <f>+IFERROR(VLOOKUP(Fact_Contabilidad[[#This Row], [Concepto Anterior]],Conceptos_Contabilidad[#All],5,0),"")</f>
        <v/>
      </c>
      <c r="F547" t="str">
        <f>+IFERROR(VLOOKUP(Fact_Contabilidad[[#This Row], 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ht="18.75" customHeight="1" x14ac:dyDescent="0.35">
      <c r="A548" s="103"/>
      <c r="C548" s="100" t="str">
        <f>IF(OR(Fact_Contabilidad[[#This Row], [Año]]="",Fact_Contabilidad[[#This Row], [Mes]]=""),"",DATE(A548,MATCH(B548,{"enero","febrero","marzo","abril","mayo","junio","julio","agosto","septiembre","octubre","noviembre","diciembre"},0)+1,0))</f>
        <v/>
      </c>
      <c r="E548" t="str">
        <f>+IFERROR(VLOOKUP(Fact_Contabilidad[[#This Row], [Concepto Anterior]],Conceptos_Contabilidad[#All],5,0),"")</f>
        <v/>
      </c>
      <c r="F548" t="str">
        <f>+IFERROR(VLOOKUP(Fact_Contabilidad[[#This Row], 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ht="18.75" customHeight="1" x14ac:dyDescent="0.35">
      <c r="A549" s="103"/>
      <c r="C549" s="100" t="str">
        <f>IF(OR(Fact_Contabilidad[[#This Row], [Año]]="",Fact_Contabilidad[[#This Row], [Mes]]=""),"",DATE(A549,MATCH(B549,{"enero","febrero","marzo","abril","mayo","junio","julio","agosto","septiembre","octubre","noviembre","diciembre"},0)+1,0))</f>
        <v/>
      </c>
      <c r="E549" t="str">
        <f>+IFERROR(VLOOKUP(Fact_Contabilidad[[#This Row], [Concepto Anterior]],Conceptos_Contabilidad[#All],5,0),"")</f>
        <v/>
      </c>
      <c r="F549" t="str">
        <f>+IFERROR(VLOOKUP(Fact_Contabilidad[[#This Row], 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ht="18.75" customHeight="1" x14ac:dyDescent="0.35">
      <c r="A550" s="103"/>
      <c r="C550" s="100" t="str">
        <f>IF(OR(Fact_Contabilidad[[#This Row], [Año]]="",Fact_Contabilidad[[#This Row], [Mes]]=""),"",DATE(A550,MATCH(B550,{"enero","febrero","marzo","abril","mayo","junio","julio","agosto","septiembre","octubre","noviembre","diciembre"},0)+1,0))</f>
        <v/>
      </c>
      <c r="E550" t="str">
        <f>+IFERROR(VLOOKUP(Fact_Contabilidad[[#This Row], [Concepto Anterior]],Conceptos_Contabilidad[#All],5,0),"")</f>
        <v/>
      </c>
      <c r="F550" t="str">
        <f>+IFERROR(VLOOKUP(Fact_Contabilidad[[#This Row], 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ht="18.75" customHeight="1" x14ac:dyDescent="0.35">
      <c r="A551" s="103"/>
      <c r="C551" s="100" t="str">
        <f>IF(OR(Fact_Contabilidad[[#This Row], [Año]]="",Fact_Contabilidad[[#This Row], [Mes]]=""),"",DATE(A551,MATCH(B551,{"enero","febrero","marzo","abril","mayo","junio","julio","agosto","septiembre","octubre","noviembre","diciembre"},0)+1,0))</f>
        <v/>
      </c>
      <c r="E551" t="str">
        <f>+IFERROR(VLOOKUP(Fact_Contabilidad[[#This Row], [Concepto Anterior]],Conceptos_Contabilidad[#All],5,0),"")</f>
        <v/>
      </c>
      <c r="F551" t="str">
        <f>+IFERROR(VLOOKUP(Fact_Contabilidad[[#This Row], 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ht="18.75" customHeight="1" x14ac:dyDescent="0.35">
      <c r="A552" s="103"/>
      <c r="C552" s="100" t="str">
        <f>IF(OR(Fact_Contabilidad[[#This Row], [Año]]="",Fact_Contabilidad[[#This Row], [Mes]]=""),"",DATE(A552,MATCH(B552,{"enero","febrero","marzo","abril","mayo","junio","julio","agosto","septiembre","octubre","noviembre","diciembre"},0)+1,0))</f>
        <v/>
      </c>
      <c r="E552" t="str">
        <f>+IFERROR(VLOOKUP(Fact_Contabilidad[[#This Row], [Concepto Anterior]],Conceptos_Contabilidad[#All],5,0),"")</f>
        <v/>
      </c>
      <c r="F552" t="str">
        <f>+IFERROR(VLOOKUP(Fact_Contabilidad[[#This Row], 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ht="18.75" customHeight="1" x14ac:dyDescent="0.35">
      <c r="A553" s="103"/>
      <c r="C553" s="100" t="str">
        <f>IF(OR(Fact_Contabilidad[[#This Row], [Año]]="",Fact_Contabilidad[[#This Row], [Mes]]=""),"",DATE(A553,MATCH(B553,{"enero","febrero","marzo","abril","mayo","junio","julio","agosto","septiembre","octubre","noviembre","diciembre"},0)+1,0))</f>
        <v/>
      </c>
      <c r="E553" t="str">
        <f>+IFERROR(VLOOKUP(Fact_Contabilidad[[#This Row], [Concepto Anterior]],Conceptos_Contabilidad[#All],5,0),"")</f>
        <v/>
      </c>
      <c r="F553" t="str">
        <f>+IFERROR(VLOOKUP(Fact_Contabilidad[[#This Row], 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ht="18.75" customHeight="1" x14ac:dyDescent="0.35">
      <c r="A554" s="103"/>
      <c r="C554" s="100" t="str">
        <f>IF(OR(Fact_Contabilidad[[#This Row], [Año]]="",Fact_Contabilidad[[#This Row], [Mes]]=""),"",DATE(A554,MATCH(B554,{"enero","febrero","marzo","abril","mayo","junio","julio","agosto","septiembre","octubre","noviembre","diciembre"},0)+1,0))</f>
        <v/>
      </c>
      <c r="E554" t="str">
        <f>+IFERROR(VLOOKUP(Fact_Contabilidad[[#This Row], [Concepto Anterior]],Conceptos_Contabilidad[#All],5,0),"")</f>
        <v/>
      </c>
      <c r="F554" t="str">
        <f>+IFERROR(VLOOKUP(Fact_Contabilidad[[#This Row], 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ht="18.75" customHeight="1" x14ac:dyDescent="0.35">
      <c r="A555" s="103"/>
      <c r="C555" s="100" t="str">
        <f>IF(OR(Fact_Contabilidad[[#This Row], [Año]]="",Fact_Contabilidad[[#This Row], [Mes]]=""),"",DATE(A555,MATCH(B555,{"enero","febrero","marzo","abril","mayo","junio","julio","agosto","septiembre","octubre","noviembre","diciembre"},0)+1,0))</f>
        <v/>
      </c>
      <c r="E555" t="str">
        <f>+IFERROR(VLOOKUP(Fact_Contabilidad[[#This Row], [Concepto Anterior]],Conceptos_Contabilidad[#All],5,0),"")</f>
        <v/>
      </c>
      <c r="F555" t="str">
        <f>+IFERROR(VLOOKUP(Fact_Contabilidad[[#This Row], 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ht="18.75" customHeight="1" x14ac:dyDescent="0.35">
      <c r="A556" s="103"/>
      <c r="C556" s="100" t="str">
        <f>IF(OR(Fact_Contabilidad[[#This Row], [Año]]="",Fact_Contabilidad[[#This Row], [Mes]]=""),"",DATE(A556,MATCH(B556,{"enero","febrero","marzo","abril","mayo","junio","julio","agosto","septiembre","octubre","noviembre","diciembre"},0)+1,0))</f>
        <v/>
      </c>
      <c r="E556" t="str">
        <f>+IFERROR(VLOOKUP(Fact_Contabilidad[[#This Row], [Concepto Anterior]],Conceptos_Contabilidad[#All],5,0),"")</f>
        <v/>
      </c>
      <c r="F556" t="str">
        <f>+IFERROR(VLOOKUP(Fact_Contabilidad[[#This Row], 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ht="18.75" customHeight="1" x14ac:dyDescent="0.35">
      <c r="A557" s="103"/>
      <c r="C557" s="100" t="str">
        <f>IF(OR(Fact_Contabilidad[[#This Row], [Año]]="",Fact_Contabilidad[[#This Row], [Mes]]=""),"",DATE(A557,MATCH(B557,{"enero","febrero","marzo","abril","mayo","junio","julio","agosto","septiembre","octubre","noviembre","diciembre"},0)+1,0))</f>
        <v/>
      </c>
      <c r="E557" t="str">
        <f>+IFERROR(VLOOKUP(Fact_Contabilidad[[#This Row], [Concepto Anterior]],Conceptos_Contabilidad[#All],5,0),"")</f>
        <v/>
      </c>
      <c r="F557" t="str">
        <f>+IFERROR(VLOOKUP(Fact_Contabilidad[[#This Row], 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ht="18.75" customHeight="1" x14ac:dyDescent="0.35">
      <c r="A558" s="103"/>
      <c r="C558" s="100" t="str">
        <f>IF(OR(Fact_Contabilidad[[#This Row], [Año]]="",Fact_Contabilidad[[#This Row], [Mes]]=""),"",DATE(A558,MATCH(B558,{"enero","febrero","marzo","abril","mayo","junio","julio","agosto","septiembre","octubre","noviembre","diciembre"},0)+1,0))</f>
        <v/>
      </c>
      <c r="E558" t="str">
        <f>+IFERROR(VLOOKUP(Fact_Contabilidad[[#This Row], [Concepto Anterior]],Conceptos_Contabilidad[#All],5,0),"")</f>
        <v/>
      </c>
      <c r="F558" t="str">
        <f>+IFERROR(VLOOKUP(Fact_Contabilidad[[#This Row], 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ht="18.75" customHeight="1" x14ac:dyDescent="0.35">
      <c r="A559" s="103"/>
      <c r="C559" s="100" t="str">
        <f>IF(OR(Fact_Contabilidad[[#This Row], [Año]]="",Fact_Contabilidad[[#This Row], [Mes]]=""),"",DATE(A559,MATCH(B559,{"enero","febrero","marzo","abril","mayo","junio","julio","agosto","septiembre","octubre","noviembre","diciembre"},0)+1,0))</f>
        <v/>
      </c>
      <c r="E559" t="str">
        <f>+IFERROR(VLOOKUP(Fact_Contabilidad[[#This Row], [Concepto Anterior]],Conceptos_Contabilidad[#All],5,0),"")</f>
        <v/>
      </c>
      <c r="F559" t="str">
        <f>+IFERROR(VLOOKUP(Fact_Contabilidad[[#This Row], 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ht="18.75" customHeight="1" x14ac:dyDescent="0.35">
      <c r="A560" s="103"/>
      <c r="C560" s="100" t="str">
        <f>IF(OR(Fact_Contabilidad[[#This Row], [Año]]="",Fact_Contabilidad[[#This Row], [Mes]]=""),"",DATE(A560,MATCH(B560,{"enero","febrero","marzo","abril","mayo","junio","julio","agosto","septiembre","octubre","noviembre","diciembre"},0)+1,0))</f>
        <v/>
      </c>
      <c r="E560" t="str">
        <f>+IFERROR(VLOOKUP(Fact_Contabilidad[[#This Row], [Concepto Anterior]],Conceptos_Contabilidad[#All],5,0),"")</f>
        <v/>
      </c>
      <c r="F560" t="str">
        <f>+IFERROR(VLOOKUP(Fact_Contabilidad[[#This Row], 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ht="18.75" customHeight="1" x14ac:dyDescent="0.35">
      <c r="A561" s="103"/>
      <c r="C561" s="100" t="str">
        <f>IF(OR(Fact_Contabilidad[[#This Row], [Año]]="",Fact_Contabilidad[[#This Row], [Mes]]=""),"",DATE(A561,MATCH(B561,{"enero","febrero","marzo","abril","mayo","junio","julio","agosto","septiembre","octubre","noviembre","diciembre"},0)+1,0))</f>
        <v/>
      </c>
      <c r="E561" t="str">
        <f>+IFERROR(VLOOKUP(Fact_Contabilidad[[#This Row], [Concepto Anterior]],Conceptos_Contabilidad[#All],5,0),"")</f>
        <v/>
      </c>
      <c r="F561" t="str">
        <f>+IFERROR(VLOOKUP(Fact_Contabilidad[[#This Row], 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ht="18.75" customHeight="1" x14ac:dyDescent="0.35">
      <c r="A562" s="103"/>
      <c r="C562" s="100" t="str">
        <f>IF(OR(Fact_Contabilidad[[#This Row], [Año]]="",Fact_Contabilidad[[#This Row], [Mes]]=""),"",DATE(A562,MATCH(B562,{"enero","febrero","marzo","abril","mayo","junio","julio","agosto","septiembre","octubre","noviembre","diciembre"},0)+1,0))</f>
        <v/>
      </c>
      <c r="E562" t="str">
        <f>+IFERROR(VLOOKUP(Fact_Contabilidad[[#This Row], [Concepto Anterior]],Conceptos_Contabilidad[#All],5,0),"")</f>
        <v/>
      </c>
      <c r="F562" t="str">
        <f>+IFERROR(VLOOKUP(Fact_Contabilidad[[#This Row], 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ht="18.75" customHeight="1" x14ac:dyDescent="0.35">
      <c r="A563" s="103"/>
      <c r="C563" s="100" t="str">
        <f>IF(OR(Fact_Contabilidad[[#This Row], [Año]]="",Fact_Contabilidad[[#This Row], [Mes]]=""),"",DATE(A563,MATCH(B563,{"enero","febrero","marzo","abril","mayo","junio","julio","agosto","septiembre","octubre","noviembre","diciembre"},0)+1,0))</f>
        <v/>
      </c>
      <c r="E563" t="str">
        <f>+IFERROR(VLOOKUP(Fact_Contabilidad[[#This Row], [Concepto Anterior]],Conceptos_Contabilidad[#All],5,0),"")</f>
        <v/>
      </c>
      <c r="F563" t="str">
        <f>+IFERROR(VLOOKUP(Fact_Contabilidad[[#This Row], 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ht="18.75" customHeight="1" x14ac:dyDescent="0.35">
      <c r="A564" s="103"/>
      <c r="C564" s="100" t="str">
        <f>IF(OR(Fact_Contabilidad[[#This Row], [Año]]="",Fact_Contabilidad[[#This Row], [Mes]]=""),"",DATE(A564,MATCH(B564,{"enero","febrero","marzo","abril","mayo","junio","julio","agosto","septiembre","octubre","noviembre","diciembre"},0)+1,0))</f>
        <v/>
      </c>
      <c r="E564" t="str">
        <f>+IFERROR(VLOOKUP(Fact_Contabilidad[[#This Row], [Concepto Anterior]],Conceptos_Contabilidad[#All],5,0),"")</f>
        <v/>
      </c>
      <c r="F564" t="str">
        <f>+IFERROR(VLOOKUP(Fact_Contabilidad[[#This Row], 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ht="18.75" customHeight="1" x14ac:dyDescent="0.35">
      <c r="A565" s="103"/>
      <c r="C565" s="100" t="str">
        <f>IF(OR(Fact_Contabilidad[[#This Row], [Año]]="",Fact_Contabilidad[[#This Row], [Mes]]=""),"",DATE(A565,MATCH(B565,{"enero","febrero","marzo","abril","mayo","junio","julio","agosto","septiembre","octubre","noviembre","diciembre"},0)+1,0))</f>
        <v/>
      </c>
      <c r="E565" t="str">
        <f>+IFERROR(VLOOKUP(Fact_Contabilidad[[#This Row], [Concepto Anterior]],Conceptos_Contabilidad[#All],5,0),"")</f>
        <v/>
      </c>
      <c r="F565" t="str">
        <f>+IFERROR(VLOOKUP(Fact_Contabilidad[[#This Row], 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ht="18.75" customHeight="1" x14ac:dyDescent="0.35">
      <c r="A566" s="103"/>
      <c r="C566" s="100" t="str">
        <f>IF(OR(Fact_Contabilidad[[#This Row], [Año]]="",Fact_Contabilidad[[#This Row], [Mes]]=""),"",DATE(A566,MATCH(B566,{"enero","febrero","marzo","abril","mayo","junio","julio","agosto","septiembre","octubre","noviembre","diciembre"},0)+1,0))</f>
        <v/>
      </c>
      <c r="E566" t="str">
        <f>+IFERROR(VLOOKUP(Fact_Contabilidad[[#This Row], [Concepto Anterior]],Conceptos_Contabilidad[#All],5,0),"")</f>
        <v/>
      </c>
      <c r="F566" t="str">
        <f>+IFERROR(VLOOKUP(Fact_Contabilidad[[#This Row], 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ht="18.75" customHeight="1" x14ac:dyDescent="0.35">
      <c r="A567" s="103"/>
      <c r="C567" s="100" t="str">
        <f>IF(OR(Fact_Contabilidad[[#This Row], [Año]]="",Fact_Contabilidad[[#This Row], [Mes]]=""),"",DATE(A567,MATCH(B567,{"enero","febrero","marzo","abril","mayo","junio","julio","agosto","septiembre","octubre","noviembre","diciembre"},0)+1,0))</f>
        <v/>
      </c>
      <c r="E567" t="str">
        <f>+IFERROR(VLOOKUP(Fact_Contabilidad[[#This Row], [Concepto Anterior]],Conceptos_Contabilidad[#All],5,0),"")</f>
        <v/>
      </c>
      <c r="F567" t="str">
        <f>+IFERROR(VLOOKUP(Fact_Contabilidad[[#This Row], 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ht="18.75" customHeight="1" x14ac:dyDescent="0.35">
      <c r="A568" s="103"/>
      <c r="C568" s="100" t="str">
        <f>IF(OR(Fact_Contabilidad[[#This Row], [Año]]="",Fact_Contabilidad[[#This Row], [Mes]]=""),"",DATE(A568,MATCH(B568,{"enero","febrero","marzo","abril","mayo","junio","julio","agosto","septiembre","octubre","noviembre","diciembre"},0)+1,0))</f>
        <v/>
      </c>
      <c r="E568" t="str">
        <f>+IFERROR(VLOOKUP(Fact_Contabilidad[[#This Row], [Concepto Anterior]],Conceptos_Contabilidad[#All],5,0),"")</f>
        <v/>
      </c>
      <c r="F568" t="str">
        <f>+IFERROR(VLOOKUP(Fact_Contabilidad[[#This Row], 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ht="18.75" customHeight="1" x14ac:dyDescent="0.35">
      <c r="A569" s="103"/>
      <c r="C569" s="100" t="str">
        <f>IF(OR(Fact_Contabilidad[[#This Row], [Año]]="",Fact_Contabilidad[[#This Row], [Mes]]=""),"",DATE(A569,MATCH(B569,{"enero","febrero","marzo","abril","mayo","junio","julio","agosto","septiembre","octubre","noviembre","diciembre"},0)+1,0))</f>
        <v/>
      </c>
      <c r="E569" t="str">
        <f>+IFERROR(VLOOKUP(Fact_Contabilidad[[#This Row], [Concepto Anterior]],Conceptos_Contabilidad[#All],5,0),"")</f>
        <v/>
      </c>
      <c r="F569" t="str">
        <f>+IFERROR(VLOOKUP(Fact_Contabilidad[[#This Row], 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ht="18.75" customHeight="1" x14ac:dyDescent="0.35">
      <c r="A570" s="103"/>
      <c r="C570" s="100" t="str">
        <f>IF(OR(Fact_Contabilidad[[#This Row], [Año]]="",Fact_Contabilidad[[#This Row], [Mes]]=""),"",DATE(A570,MATCH(B570,{"enero","febrero","marzo","abril","mayo","junio","julio","agosto","septiembre","octubre","noviembre","diciembre"},0)+1,0))</f>
        <v/>
      </c>
      <c r="E570" t="str">
        <f>+IFERROR(VLOOKUP(Fact_Contabilidad[[#This Row], [Concepto Anterior]],Conceptos_Contabilidad[#All],5,0),"")</f>
        <v/>
      </c>
      <c r="F570" t="str">
        <f>+IFERROR(VLOOKUP(Fact_Contabilidad[[#This Row], 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ht="18.75" customHeight="1" x14ac:dyDescent="0.35">
      <c r="A571" s="103"/>
      <c r="C571" s="100" t="str">
        <f>IF(OR(Fact_Contabilidad[[#This Row], [Año]]="",Fact_Contabilidad[[#This Row], [Mes]]=""),"",DATE(A571,MATCH(B571,{"enero","febrero","marzo","abril","mayo","junio","julio","agosto","septiembre","octubre","noviembre","diciembre"},0)+1,0))</f>
        <v/>
      </c>
      <c r="E571" t="str">
        <f>+IFERROR(VLOOKUP(Fact_Contabilidad[[#This Row], [Concepto Anterior]],Conceptos_Contabilidad[#All],5,0),"")</f>
        <v/>
      </c>
      <c r="F571" t="str">
        <f>+IFERROR(VLOOKUP(Fact_Contabilidad[[#This Row], 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ht="18.75" customHeight="1" x14ac:dyDescent="0.35">
      <c r="A572" s="103"/>
      <c r="C572" s="100" t="str">
        <f>IF(OR(Fact_Contabilidad[[#This Row], [Año]]="",Fact_Contabilidad[[#This Row], [Mes]]=""),"",DATE(A572,MATCH(B572,{"enero","febrero","marzo","abril","mayo","junio","julio","agosto","septiembre","octubre","noviembre","diciembre"},0)+1,0))</f>
        <v/>
      </c>
      <c r="E572" t="str">
        <f>+IFERROR(VLOOKUP(Fact_Contabilidad[[#This Row], [Concepto Anterior]],Conceptos_Contabilidad[#All],5,0),"")</f>
        <v/>
      </c>
      <c r="F572" t="str">
        <f>+IFERROR(VLOOKUP(Fact_Contabilidad[[#This Row], 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ht="18.75" customHeight="1" x14ac:dyDescent="0.35">
      <c r="A573" s="103"/>
      <c r="C573" s="100" t="str">
        <f>IF(OR(Fact_Contabilidad[[#This Row], [Año]]="",Fact_Contabilidad[[#This Row], [Mes]]=""),"",DATE(A573,MATCH(B573,{"enero","febrero","marzo","abril","mayo","junio","julio","agosto","septiembre","octubre","noviembre","diciembre"},0)+1,0))</f>
        <v/>
      </c>
      <c r="E573" t="str">
        <f>+IFERROR(VLOOKUP(Fact_Contabilidad[[#This Row], [Concepto Anterior]],Conceptos_Contabilidad[#All],5,0),"")</f>
        <v/>
      </c>
      <c r="F573" t="str">
        <f>+IFERROR(VLOOKUP(Fact_Contabilidad[[#This Row], 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ht="18.75" customHeight="1" x14ac:dyDescent="0.35">
      <c r="A574" s="103"/>
      <c r="C574" s="100" t="str">
        <f>IF(OR(Fact_Contabilidad[[#This Row], [Año]]="",Fact_Contabilidad[[#This Row], [Mes]]=""),"",DATE(A574,MATCH(B574,{"enero","febrero","marzo","abril","mayo","junio","julio","agosto","septiembre","octubre","noviembre","diciembre"},0)+1,0))</f>
        <v/>
      </c>
      <c r="E574" t="str">
        <f>+IFERROR(VLOOKUP(Fact_Contabilidad[[#This Row], [Concepto Anterior]],Conceptos_Contabilidad[#All],5,0),"")</f>
        <v/>
      </c>
      <c r="F574" t="str">
        <f>+IFERROR(VLOOKUP(Fact_Contabilidad[[#This Row], 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ht="18.75" customHeight="1" x14ac:dyDescent="0.35">
      <c r="A575" s="103"/>
      <c r="C575" s="100" t="str">
        <f>IF(OR(Fact_Contabilidad[[#This Row], [Año]]="",Fact_Contabilidad[[#This Row], [Mes]]=""),"",DATE(A575,MATCH(B575,{"enero","febrero","marzo","abril","mayo","junio","julio","agosto","septiembre","octubre","noviembre","diciembre"},0)+1,0))</f>
        <v/>
      </c>
      <c r="E575" t="str">
        <f>+IFERROR(VLOOKUP(Fact_Contabilidad[[#This Row], [Concepto Anterior]],Conceptos_Contabilidad[#All],5,0),"")</f>
        <v/>
      </c>
      <c r="F575" t="str">
        <f>+IFERROR(VLOOKUP(Fact_Contabilidad[[#This Row], 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ht="18.75" customHeight="1" x14ac:dyDescent="0.35">
      <c r="A576" s="103"/>
      <c r="C576" s="100" t="str">
        <f>IF(OR(Fact_Contabilidad[[#This Row], [Año]]="",Fact_Contabilidad[[#This Row], [Mes]]=""),"",DATE(A576,MATCH(B576,{"enero","febrero","marzo","abril","mayo","junio","julio","agosto","septiembre","octubre","noviembre","diciembre"},0)+1,0))</f>
        <v/>
      </c>
      <c r="E576" t="str">
        <f>+IFERROR(VLOOKUP(Fact_Contabilidad[[#This Row], [Concepto Anterior]],Conceptos_Contabilidad[#All],5,0),"")</f>
        <v/>
      </c>
      <c r="F576" t="str">
        <f>+IFERROR(VLOOKUP(Fact_Contabilidad[[#This Row], 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ht="18.75" customHeight="1" x14ac:dyDescent="0.35">
      <c r="A577" s="103"/>
      <c r="C577" s="100" t="str">
        <f>IF(OR(Fact_Contabilidad[[#This Row], [Año]]="",Fact_Contabilidad[[#This Row], [Mes]]=""),"",DATE(A577,MATCH(B577,{"enero","febrero","marzo","abril","mayo","junio","julio","agosto","septiembre","octubre","noviembre","diciembre"},0)+1,0))</f>
        <v/>
      </c>
      <c r="E577" t="str">
        <f>+IFERROR(VLOOKUP(Fact_Contabilidad[[#This Row], [Concepto Anterior]],Conceptos_Contabilidad[#All],5,0),"")</f>
        <v/>
      </c>
      <c r="F577" t="str">
        <f>+IFERROR(VLOOKUP(Fact_Contabilidad[[#This Row], 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ht="18.75" customHeight="1" x14ac:dyDescent="0.35">
      <c r="A578" s="103"/>
      <c r="C578" s="100" t="str">
        <f>IF(OR(Fact_Contabilidad[[#This Row], [Año]]="",Fact_Contabilidad[[#This Row], [Mes]]=""),"",DATE(A578,MATCH(B578,{"enero","febrero","marzo","abril","mayo","junio","julio","agosto","septiembre","octubre","noviembre","diciembre"},0)+1,0))</f>
        <v/>
      </c>
      <c r="E578" t="str">
        <f>+IFERROR(VLOOKUP(Fact_Contabilidad[[#This Row], [Concepto Anterior]],Conceptos_Contabilidad[#All],5,0),"")</f>
        <v/>
      </c>
      <c r="F578" t="str">
        <f>+IFERROR(VLOOKUP(Fact_Contabilidad[[#This Row], 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ht="18.75" customHeight="1" x14ac:dyDescent="0.35">
      <c r="A579" s="103"/>
      <c r="C579" s="100" t="str">
        <f>IF(OR(Fact_Contabilidad[[#This Row], [Año]]="",Fact_Contabilidad[[#This Row], [Mes]]=""),"",DATE(A579,MATCH(B579,{"enero","febrero","marzo","abril","mayo","junio","julio","agosto","septiembre","octubre","noviembre","diciembre"},0)+1,0))</f>
        <v/>
      </c>
      <c r="E579" t="str">
        <f>+IFERROR(VLOOKUP(Fact_Contabilidad[[#This Row], [Concepto Anterior]],Conceptos_Contabilidad[#All],5,0),"")</f>
        <v/>
      </c>
      <c r="F579" t="str">
        <f>+IFERROR(VLOOKUP(Fact_Contabilidad[[#This Row], 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ht="18.75" customHeight="1" x14ac:dyDescent="0.35">
      <c r="A580" s="103"/>
      <c r="C580" s="100" t="str">
        <f>IF(OR(Fact_Contabilidad[[#This Row], [Año]]="",Fact_Contabilidad[[#This Row], [Mes]]=""),"",DATE(A580,MATCH(B580,{"enero","febrero","marzo","abril","mayo","junio","julio","agosto","septiembre","octubre","noviembre","diciembre"},0)+1,0))</f>
        <v/>
      </c>
      <c r="E580" t="str">
        <f>+IFERROR(VLOOKUP(Fact_Contabilidad[[#This Row], [Concepto Anterior]],Conceptos_Contabilidad[#All],5,0),"")</f>
        <v/>
      </c>
      <c r="F580" t="str">
        <f>+IFERROR(VLOOKUP(Fact_Contabilidad[[#This Row], 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ht="18.75" customHeight="1" x14ac:dyDescent="0.35">
      <c r="A581" s="103"/>
      <c r="C581" s="100" t="str">
        <f>IF(OR(Fact_Contabilidad[[#This Row], [Año]]="",Fact_Contabilidad[[#This Row], [Mes]]=""),"",DATE(A581,MATCH(B581,{"enero","febrero","marzo","abril","mayo","junio","julio","agosto","septiembre","octubre","noviembre","diciembre"},0)+1,0))</f>
        <v/>
      </c>
      <c r="E581" t="str">
        <f>+IFERROR(VLOOKUP(Fact_Contabilidad[[#This Row], [Concepto Anterior]],Conceptos_Contabilidad[#All],5,0),"")</f>
        <v/>
      </c>
      <c r="F581" t="str">
        <f>+IFERROR(VLOOKUP(Fact_Contabilidad[[#This Row], 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ht="18.75" customHeight="1" x14ac:dyDescent="0.35">
      <c r="A582" s="103"/>
      <c r="C582" s="100" t="str">
        <f>IF(OR(Fact_Contabilidad[[#This Row], [Año]]="",Fact_Contabilidad[[#This Row], [Mes]]=""),"",DATE(A582,MATCH(B582,{"enero","febrero","marzo","abril","mayo","junio","julio","agosto","septiembre","octubre","noviembre","diciembre"},0)+1,0))</f>
        <v/>
      </c>
      <c r="E582" t="str">
        <f>+IFERROR(VLOOKUP(Fact_Contabilidad[[#This Row], [Concepto Anterior]],Conceptos_Contabilidad[#All],5,0),"")</f>
        <v/>
      </c>
      <c r="F582" t="str">
        <f>+IFERROR(VLOOKUP(Fact_Contabilidad[[#This Row], 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ht="18.75" customHeight="1" x14ac:dyDescent="0.35">
      <c r="A583" s="103"/>
      <c r="C583" s="100" t="str">
        <f>IF(OR(Fact_Contabilidad[[#This Row], [Año]]="",Fact_Contabilidad[[#This Row], [Mes]]=""),"",DATE(A583,MATCH(B583,{"enero","febrero","marzo","abril","mayo","junio","julio","agosto","septiembre","octubre","noviembre","diciembre"},0)+1,0))</f>
        <v/>
      </c>
      <c r="E583" t="str">
        <f>+IFERROR(VLOOKUP(Fact_Contabilidad[[#This Row], [Concepto Anterior]],Conceptos_Contabilidad[#All],5,0),"")</f>
        <v/>
      </c>
      <c r="F583" t="str">
        <f>+IFERROR(VLOOKUP(Fact_Contabilidad[[#This Row], 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ht="18.75" customHeight="1" x14ac:dyDescent="0.35">
      <c r="A584" s="103"/>
      <c r="C584" s="100" t="str">
        <f>IF(OR(Fact_Contabilidad[[#This Row], [Año]]="",Fact_Contabilidad[[#This Row], [Mes]]=""),"",DATE(A584,MATCH(B584,{"enero","febrero","marzo","abril","mayo","junio","julio","agosto","septiembre","octubre","noviembre","diciembre"},0)+1,0))</f>
        <v/>
      </c>
      <c r="E584" t="str">
        <f>+IFERROR(VLOOKUP(Fact_Contabilidad[[#This Row], [Concepto Anterior]],Conceptos_Contabilidad[#All],5,0),"")</f>
        <v/>
      </c>
      <c r="F584" t="str">
        <f>+IFERROR(VLOOKUP(Fact_Contabilidad[[#This Row], 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ht="18.75" customHeight="1" x14ac:dyDescent="0.35">
      <c r="A585" s="103"/>
      <c r="C585" s="100" t="str">
        <f>IF(OR(Fact_Contabilidad[[#This Row], [Año]]="",Fact_Contabilidad[[#This Row], [Mes]]=""),"",DATE(A585,MATCH(B585,{"enero","febrero","marzo","abril","mayo","junio","julio","agosto","septiembre","octubre","noviembre","diciembre"},0)+1,0))</f>
        <v/>
      </c>
      <c r="E585" t="str">
        <f>+IFERROR(VLOOKUP(Fact_Contabilidad[[#This Row], [Concepto Anterior]],Conceptos_Contabilidad[#All],5,0),"")</f>
        <v/>
      </c>
      <c r="F585" t="str">
        <f>+IFERROR(VLOOKUP(Fact_Contabilidad[[#This Row], 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ht="18.75" customHeight="1" x14ac:dyDescent="0.35">
      <c r="A586" s="103"/>
      <c r="C586" s="100" t="str">
        <f>IF(OR(Fact_Contabilidad[[#This Row], [Año]]="",Fact_Contabilidad[[#This Row], [Mes]]=""),"",DATE(A586,MATCH(B586,{"enero","febrero","marzo","abril","mayo","junio","julio","agosto","septiembre","octubre","noviembre","diciembre"},0)+1,0))</f>
        <v/>
      </c>
      <c r="E586" t="str">
        <f>+IFERROR(VLOOKUP(Fact_Contabilidad[[#This Row], [Concepto Anterior]],Conceptos_Contabilidad[#All],5,0),"")</f>
        <v/>
      </c>
      <c r="F586" t="str">
        <f>+IFERROR(VLOOKUP(Fact_Contabilidad[[#This Row], 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ht="18.75" customHeight="1" x14ac:dyDescent="0.35">
      <c r="A587" s="103"/>
      <c r="C587" s="100" t="str">
        <f>IF(OR(Fact_Contabilidad[[#This Row], [Año]]="",Fact_Contabilidad[[#This Row], [Mes]]=""),"",DATE(A587,MATCH(B587,{"enero","febrero","marzo","abril","mayo","junio","julio","agosto","septiembre","octubre","noviembre","diciembre"},0)+1,0))</f>
        <v/>
      </c>
      <c r="E587" t="str">
        <f>+IFERROR(VLOOKUP(Fact_Contabilidad[[#This Row], [Concepto Anterior]],Conceptos_Contabilidad[#All],5,0),"")</f>
        <v/>
      </c>
      <c r="F587" t="str">
        <f>+IFERROR(VLOOKUP(Fact_Contabilidad[[#This Row], 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ht="18.75" customHeight="1" x14ac:dyDescent="0.35">
      <c r="A588" s="103"/>
      <c r="C588" s="100" t="str">
        <f>IF(OR(Fact_Contabilidad[[#This Row], [Año]]="",Fact_Contabilidad[[#This Row], [Mes]]=""),"",DATE(A588,MATCH(B588,{"enero","febrero","marzo","abril","mayo","junio","julio","agosto","septiembre","octubre","noviembre","diciembre"},0)+1,0))</f>
        <v/>
      </c>
      <c r="E588" t="str">
        <f>+IFERROR(VLOOKUP(Fact_Contabilidad[[#This Row], [Concepto Anterior]],Conceptos_Contabilidad[#All],5,0),"")</f>
        <v/>
      </c>
      <c r="F588" t="str">
        <f>+IFERROR(VLOOKUP(Fact_Contabilidad[[#This Row], 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ht="18.75" customHeight="1" x14ac:dyDescent="0.35">
      <c r="A589" s="103"/>
      <c r="C589" s="100" t="str">
        <f>IF(OR(Fact_Contabilidad[[#This Row], [Año]]="",Fact_Contabilidad[[#This Row], [Mes]]=""),"",DATE(A589,MATCH(B589,{"enero","febrero","marzo","abril","mayo","junio","julio","agosto","septiembre","octubre","noviembre","diciembre"},0)+1,0))</f>
        <v/>
      </c>
      <c r="E589" t="str">
        <f>+IFERROR(VLOOKUP(Fact_Contabilidad[[#This Row], [Concepto Anterior]],Conceptos_Contabilidad[#All],5,0),"")</f>
        <v/>
      </c>
      <c r="F589" t="str">
        <f>+IFERROR(VLOOKUP(Fact_Contabilidad[[#This Row], 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ht="18.75" customHeight="1" x14ac:dyDescent="0.35">
      <c r="A590" s="103"/>
      <c r="C590" s="100" t="str">
        <f>IF(OR(Fact_Contabilidad[[#This Row], [Año]]="",Fact_Contabilidad[[#This Row], [Mes]]=""),"",DATE(A590,MATCH(B590,{"enero","febrero","marzo","abril","mayo","junio","julio","agosto","septiembre","octubre","noviembre","diciembre"},0)+1,0))</f>
        <v/>
      </c>
      <c r="E590" t="str">
        <f>+IFERROR(VLOOKUP(Fact_Contabilidad[[#This Row], [Concepto Anterior]],Conceptos_Contabilidad[#All],5,0),"")</f>
        <v/>
      </c>
      <c r="F590" t="str">
        <f>+IFERROR(VLOOKUP(Fact_Contabilidad[[#This Row], 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ht="18.75" customHeight="1" x14ac:dyDescent="0.35">
      <c r="A591" s="103"/>
      <c r="C591" s="100" t="str">
        <f>IF(OR(Fact_Contabilidad[[#This Row], [Año]]="",Fact_Contabilidad[[#This Row], [Mes]]=""),"",DATE(A591,MATCH(B591,{"enero","febrero","marzo","abril","mayo","junio","julio","agosto","septiembre","octubre","noviembre","diciembre"},0)+1,0))</f>
        <v/>
      </c>
      <c r="E591" t="str">
        <f>+IFERROR(VLOOKUP(Fact_Contabilidad[[#This Row], [Concepto Anterior]],Conceptos_Contabilidad[#All],5,0),"")</f>
        <v/>
      </c>
      <c r="F591" t="str">
        <f>+IFERROR(VLOOKUP(Fact_Contabilidad[[#This Row], 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ht="18.75" customHeight="1" x14ac:dyDescent="0.35">
      <c r="A592" s="103"/>
      <c r="C592" s="100" t="str">
        <f>IF(OR(Fact_Contabilidad[[#This Row], [Año]]="",Fact_Contabilidad[[#This Row], [Mes]]=""),"",DATE(A592,MATCH(B592,{"enero","febrero","marzo","abril","mayo","junio","julio","agosto","septiembre","octubre","noviembre","diciembre"},0)+1,0))</f>
        <v/>
      </c>
      <c r="E592" t="str">
        <f>+IFERROR(VLOOKUP(Fact_Contabilidad[[#This Row], [Concepto Anterior]],Conceptos_Contabilidad[#All],5,0),"")</f>
        <v/>
      </c>
      <c r="F592" t="str">
        <f>+IFERROR(VLOOKUP(Fact_Contabilidad[[#This Row], 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ht="18.75" customHeight="1" x14ac:dyDescent="0.35">
      <c r="A593" s="103"/>
      <c r="C593" s="100" t="str">
        <f>IF(OR(Fact_Contabilidad[[#This Row], [Año]]="",Fact_Contabilidad[[#This Row], [Mes]]=""),"",DATE(A593,MATCH(B593,{"enero","febrero","marzo","abril","mayo","junio","julio","agosto","septiembre","octubre","noviembre","diciembre"},0)+1,0))</f>
        <v/>
      </c>
      <c r="E593" t="str">
        <f>+IFERROR(VLOOKUP(Fact_Contabilidad[[#This Row], [Concepto Anterior]],Conceptos_Contabilidad[#All],5,0),"")</f>
        <v/>
      </c>
      <c r="F593" t="str">
        <f>+IFERROR(VLOOKUP(Fact_Contabilidad[[#This Row], 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ht="18.75" customHeight="1" x14ac:dyDescent="0.35">
      <c r="A594" s="103"/>
      <c r="C594" s="100" t="str">
        <f>IF(OR(Fact_Contabilidad[[#This Row], [Año]]="",Fact_Contabilidad[[#This Row], [Mes]]=""),"",DATE(A594,MATCH(B594,{"enero","febrero","marzo","abril","mayo","junio","julio","agosto","septiembre","octubre","noviembre","diciembre"},0)+1,0))</f>
        <v/>
      </c>
      <c r="E594" t="str">
        <f>+IFERROR(VLOOKUP(Fact_Contabilidad[[#This Row], [Concepto Anterior]],Conceptos_Contabilidad[#All],5,0),"")</f>
        <v/>
      </c>
      <c r="F594" t="str">
        <f>+IFERROR(VLOOKUP(Fact_Contabilidad[[#This Row], 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ht="18.75" customHeight="1" x14ac:dyDescent="0.35">
      <c r="A595" s="103"/>
      <c r="C595" s="100" t="str">
        <f>IF(OR(Fact_Contabilidad[[#This Row], [Año]]="",Fact_Contabilidad[[#This Row], [Mes]]=""),"",DATE(A595,MATCH(B595,{"enero","febrero","marzo","abril","mayo","junio","julio","agosto","septiembre","octubre","noviembre","diciembre"},0)+1,0))</f>
        <v/>
      </c>
      <c r="E595" t="str">
        <f>+IFERROR(VLOOKUP(Fact_Contabilidad[[#This Row], [Concepto Anterior]],Conceptos_Contabilidad[#All],5,0),"")</f>
        <v/>
      </c>
      <c r="F595" t="str">
        <f>+IFERROR(VLOOKUP(Fact_Contabilidad[[#This Row], 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ht="18.75" customHeight="1" x14ac:dyDescent="0.35">
      <c r="A596" s="103"/>
      <c r="C596" s="100" t="str">
        <f>IF(OR(Fact_Contabilidad[[#This Row], [Año]]="",Fact_Contabilidad[[#This Row], [Mes]]=""),"",DATE(A596,MATCH(B596,{"enero","febrero","marzo","abril","mayo","junio","julio","agosto","septiembre","octubre","noviembre","diciembre"},0)+1,0))</f>
        <v/>
      </c>
      <c r="E596" t="str">
        <f>+IFERROR(VLOOKUP(Fact_Contabilidad[[#This Row], [Concepto Anterior]],Conceptos_Contabilidad[#All],5,0),"")</f>
        <v/>
      </c>
      <c r="F596" t="str">
        <f>+IFERROR(VLOOKUP(Fact_Contabilidad[[#This Row], 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ht="18.75" customHeight="1" x14ac:dyDescent="0.35">
      <c r="A597" s="103"/>
      <c r="C597" s="100" t="str">
        <f>IF(OR(Fact_Contabilidad[[#This Row], [Año]]="",Fact_Contabilidad[[#This Row], [Mes]]=""),"",DATE(A597,MATCH(B597,{"enero","febrero","marzo","abril","mayo","junio","julio","agosto","septiembre","octubre","noviembre","diciembre"},0)+1,0))</f>
        <v/>
      </c>
      <c r="E597" t="str">
        <f>+IFERROR(VLOOKUP(Fact_Contabilidad[[#This Row], [Concepto Anterior]],Conceptos_Contabilidad[#All],5,0),"")</f>
        <v/>
      </c>
      <c r="F597" t="str">
        <f>+IFERROR(VLOOKUP(Fact_Contabilidad[[#This Row], 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ht="18.75" customHeight="1" x14ac:dyDescent="0.35">
      <c r="A598" s="103"/>
      <c r="C598" s="100" t="str">
        <f>IF(OR(Fact_Contabilidad[[#This Row], [Año]]="",Fact_Contabilidad[[#This Row], [Mes]]=""),"",DATE(A598,MATCH(B598,{"enero","febrero","marzo","abril","mayo","junio","julio","agosto","septiembre","octubre","noviembre","diciembre"},0)+1,0))</f>
        <v/>
      </c>
      <c r="E598" t="str">
        <f>+IFERROR(VLOOKUP(Fact_Contabilidad[[#This Row], [Concepto Anterior]],Conceptos_Contabilidad[#All],5,0),"")</f>
        <v/>
      </c>
      <c r="F598" t="str">
        <f>+IFERROR(VLOOKUP(Fact_Contabilidad[[#This Row], 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ht="18.75" customHeight="1" x14ac:dyDescent="0.35">
      <c r="A599" s="103"/>
      <c r="C599" s="100" t="str">
        <f>IF(OR(Fact_Contabilidad[[#This Row], [Año]]="",Fact_Contabilidad[[#This Row], [Mes]]=""),"",DATE(A599,MATCH(B599,{"enero","febrero","marzo","abril","mayo","junio","julio","agosto","septiembre","octubre","noviembre","diciembre"},0)+1,0))</f>
        <v/>
      </c>
      <c r="E599" t="str">
        <f>+IFERROR(VLOOKUP(Fact_Contabilidad[[#This Row], [Concepto Anterior]],Conceptos_Contabilidad[#All],5,0),"")</f>
        <v/>
      </c>
      <c r="F599" t="str">
        <f>+IFERROR(VLOOKUP(Fact_Contabilidad[[#This Row], 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ht="18.75" customHeight="1" x14ac:dyDescent="0.35">
      <c r="A600" s="103"/>
      <c r="C600" s="100" t="str">
        <f>IF(OR(Fact_Contabilidad[[#This Row], [Año]]="",Fact_Contabilidad[[#This Row], [Mes]]=""),"",DATE(A600,MATCH(B600,{"enero","febrero","marzo","abril","mayo","junio","julio","agosto","septiembre","octubre","noviembre","diciembre"},0)+1,0))</f>
        <v/>
      </c>
      <c r="E600" t="str">
        <f>+IFERROR(VLOOKUP(Fact_Contabilidad[[#This Row], [Concepto Anterior]],Conceptos_Contabilidad[#All],5,0),"")</f>
        <v/>
      </c>
      <c r="F600" t="str">
        <f>+IFERROR(VLOOKUP(Fact_Contabilidad[[#This Row], 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ht="18.75" customHeight="1" x14ac:dyDescent="0.35">
      <c r="A601" s="103"/>
      <c r="C601" s="100" t="str">
        <f>IF(OR(Fact_Contabilidad[[#This Row], [Año]]="",Fact_Contabilidad[[#This Row], [Mes]]=""),"",DATE(A601,MATCH(B601,{"enero","febrero","marzo","abril","mayo","junio","julio","agosto","septiembre","octubre","noviembre","diciembre"},0)+1,0))</f>
        <v/>
      </c>
      <c r="E601" t="str">
        <f>+IFERROR(VLOOKUP(Fact_Contabilidad[[#This Row], [Concepto Anterior]],Conceptos_Contabilidad[#All],5,0),"")</f>
        <v/>
      </c>
      <c r="F601" t="str">
        <f>+IFERROR(VLOOKUP(Fact_Contabilidad[[#This Row], 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ht="18.75" customHeight="1" x14ac:dyDescent="0.35">
      <c r="A602" s="103"/>
      <c r="C602" s="100" t="str">
        <f>IF(OR(Fact_Contabilidad[[#This Row], [Año]]="",Fact_Contabilidad[[#This Row], [Mes]]=""),"",DATE(A602,MATCH(B602,{"enero","febrero","marzo","abril","mayo","junio","julio","agosto","septiembre","octubre","noviembre","diciembre"},0)+1,0))</f>
        <v/>
      </c>
      <c r="E602" t="str">
        <f>+IFERROR(VLOOKUP(Fact_Contabilidad[[#This Row], [Concepto Anterior]],Conceptos_Contabilidad[#All],5,0),"")</f>
        <v/>
      </c>
      <c r="F602" t="str">
        <f>+IFERROR(VLOOKUP(Fact_Contabilidad[[#This Row], 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ht="18.75" customHeight="1" x14ac:dyDescent="0.35">
      <c r="A603" s="103"/>
      <c r="C603" s="100" t="str">
        <f>IF(OR(Fact_Contabilidad[[#This Row], [Año]]="",Fact_Contabilidad[[#This Row], [Mes]]=""),"",DATE(A603,MATCH(B603,{"enero","febrero","marzo","abril","mayo","junio","julio","agosto","septiembre","octubre","noviembre","diciembre"},0)+1,0))</f>
        <v/>
      </c>
      <c r="E603" t="str">
        <f>+IFERROR(VLOOKUP(Fact_Contabilidad[[#This Row], [Concepto Anterior]],Conceptos_Contabilidad[#All],5,0),"")</f>
        <v/>
      </c>
      <c r="F603" t="str">
        <f>+IFERROR(VLOOKUP(Fact_Contabilidad[[#This Row], 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ht="18.75" customHeight="1" x14ac:dyDescent="0.35">
      <c r="A604" s="103"/>
      <c r="C604" s="100" t="str">
        <f>IF(OR(Fact_Contabilidad[[#This Row], [Año]]="",Fact_Contabilidad[[#This Row], [Mes]]=""),"",DATE(A604,MATCH(B604,{"enero","febrero","marzo","abril","mayo","junio","julio","agosto","septiembre","octubre","noviembre","diciembre"},0)+1,0))</f>
        <v/>
      </c>
      <c r="E604" t="str">
        <f>+IFERROR(VLOOKUP(Fact_Contabilidad[[#This Row], [Concepto Anterior]],Conceptos_Contabilidad[#All],5,0),"")</f>
        <v/>
      </c>
      <c r="F604" t="str">
        <f>+IFERROR(VLOOKUP(Fact_Contabilidad[[#This Row], 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ht="18.75" customHeight="1" x14ac:dyDescent="0.35">
      <c r="A605" s="103"/>
      <c r="C605" s="100" t="str">
        <f>IF(OR(Fact_Contabilidad[[#This Row], [Año]]="",Fact_Contabilidad[[#This Row], [Mes]]=""),"",DATE(A605,MATCH(B605,{"enero","febrero","marzo","abril","mayo","junio","julio","agosto","septiembre","octubre","noviembre","diciembre"},0)+1,0))</f>
        <v/>
      </c>
      <c r="E605" t="str">
        <f>+IFERROR(VLOOKUP(Fact_Contabilidad[[#This Row], [Concepto Anterior]],Conceptos_Contabilidad[#All],5,0),"")</f>
        <v/>
      </c>
      <c r="F605" t="str">
        <f>+IFERROR(VLOOKUP(Fact_Contabilidad[[#This Row], 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ht="18.75" customHeight="1" x14ac:dyDescent="0.35">
      <c r="A606" s="103"/>
      <c r="C606" s="100" t="str">
        <f>IF(OR(Fact_Contabilidad[[#This Row], [Año]]="",Fact_Contabilidad[[#This Row], [Mes]]=""),"",DATE(A606,MATCH(B606,{"enero","febrero","marzo","abril","mayo","junio","julio","agosto","septiembre","octubre","noviembre","diciembre"},0)+1,0))</f>
        <v/>
      </c>
      <c r="E606" t="str">
        <f>+IFERROR(VLOOKUP(Fact_Contabilidad[[#This Row], [Concepto Anterior]],Conceptos_Contabilidad[#All],5,0),"")</f>
        <v/>
      </c>
      <c r="F606" t="str">
        <f>+IFERROR(VLOOKUP(Fact_Contabilidad[[#This Row], 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ht="18.75" customHeight="1" x14ac:dyDescent="0.35">
      <c r="A607" s="103"/>
      <c r="C607" s="100" t="str">
        <f>IF(OR(Fact_Contabilidad[[#This Row], [Año]]="",Fact_Contabilidad[[#This Row], [Mes]]=""),"",DATE(A607,MATCH(B607,{"enero","febrero","marzo","abril","mayo","junio","julio","agosto","septiembre","octubre","noviembre","diciembre"},0)+1,0))</f>
        <v/>
      </c>
      <c r="E607" t="str">
        <f>+IFERROR(VLOOKUP(Fact_Contabilidad[[#This Row], [Concepto Anterior]],Conceptos_Contabilidad[#All],5,0),"")</f>
        <v/>
      </c>
      <c r="F607" t="str">
        <f>+IFERROR(VLOOKUP(Fact_Contabilidad[[#This Row], 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ht="18.75" customHeight="1" x14ac:dyDescent="0.35">
      <c r="A608" s="103"/>
      <c r="C608" s="100" t="str">
        <f>IF(OR(Fact_Contabilidad[[#This Row], [Año]]="",Fact_Contabilidad[[#This Row], [Mes]]=""),"",DATE(A608,MATCH(B608,{"enero","febrero","marzo","abril","mayo","junio","julio","agosto","septiembre","octubre","noviembre","diciembre"},0)+1,0))</f>
        <v/>
      </c>
      <c r="E608" t="str">
        <f>+IFERROR(VLOOKUP(Fact_Contabilidad[[#This Row], [Concepto Anterior]],Conceptos_Contabilidad[#All],5,0),"")</f>
        <v/>
      </c>
      <c r="F608" t="str">
        <f>+IFERROR(VLOOKUP(Fact_Contabilidad[[#This Row], 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ht="18.75" customHeight="1" x14ac:dyDescent="0.35">
      <c r="A609" s="103"/>
      <c r="C609" s="100" t="str">
        <f>IF(OR(Fact_Contabilidad[[#This Row], [Año]]="",Fact_Contabilidad[[#This Row], [Mes]]=""),"",DATE(A609,MATCH(B609,{"enero","febrero","marzo","abril","mayo","junio","julio","agosto","septiembre","octubre","noviembre","diciembre"},0)+1,0))</f>
        <v/>
      </c>
      <c r="E609" t="str">
        <f>+IFERROR(VLOOKUP(Fact_Contabilidad[[#This Row], [Concepto Anterior]],Conceptos_Contabilidad[#All],5,0),"")</f>
        <v/>
      </c>
      <c r="F609" t="str">
        <f>+IFERROR(VLOOKUP(Fact_Contabilidad[[#This Row], 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ht="18.75" customHeight="1" x14ac:dyDescent="0.35">
      <c r="A610" s="103"/>
      <c r="C610" s="100" t="str">
        <f>IF(OR(Fact_Contabilidad[[#This Row], [Año]]="",Fact_Contabilidad[[#This Row], [Mes]]=""),"",DATE(A610,MATCH(B610,{"enero","febrero","marzo","abril","mayo","junio","julio","agosto","septiembre","octubre","noviembre","diciembre"},0)+1,0))</f>
        <v/>
      </c>
      <c r="E610" t="str">
        <f>+IFERROR(VLOOKUP(Fact_Contabilidad[[#This Row], [Concepto Anterior]],Conceptos_Contabilidad[#All],5,0),"")</f>
        <v/>
      </c>
      <c r="F610" t="str">
        <f>+IFERROR(VLOOKUP(Fact_Contabilidad[[#This Row], 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ht="18.75" customHeight="1" x14ac:dyDescent="0.35">
      <c r="A611" s="103"/>
      <c r="C611" s="100" t="str">
        <f>IF(OR(Fact_Contabilidad[[#This Row], [Año]]="",Fact_Contabilidad[[#This Row], [Mes]]=""),"",DATE(A611,MATCH(B611,{"enero","febrero","marzo","abril","mayo","junio","julio","agosto","septiembre","octubre","noviembre","diciembre"},0)+1,0))</f>
        <v/>
      </c>
      <c r="E611" t="str">
        <f>+IFERROR(VLOOKUP(Fact_Contabilidad[[#This Row], [Concepto Anterior]],Conceptos_Contabilidad[#All],5,0),"")</f>
        <v/>
      </c>
      <c r="F611" t="str">
        <f>+IFERROR(VLOOKUP(Fact_Contabilidad[[#This Row], 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ht="18.75" customHeight="1" x14ac:dyDescent="0.35">
      <c r="A612" s="103"/>
      <c r="C612" s="100" t="str">
        <f>IF(OR(Fact_Contabilidad[[#This Row], [Año]]="",Fact_Contabilidad[[#This Row], [Mes]]=""),"",DATE(A612,MATCH(B612,{"enero","febrero","marzo","abril","mayo","junio","julio","agosto","septiembre","octubre","noviembre","diciembre"},0)+1,0))</f>
        <v/>
      </c>
      <c r="E612" t="str">
        <f>+IFERROR(VLOOKUP(Fact_Contabilidad[[#This Row], [Concepto Anterior]],Conceptos_Contabilidad[#All],5,0),"")</f>
        <v/>
      </c>
      <c r="F612" t="str">
        <f>+IFERROR(VLOOKUP(Fact_Contabilidad[[#This Row], 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ht="18.75" customHeight="1" x14ac:dyDescent="0.35">
      <c r="A613" s="103"/>
      <c r="C613" s="100" t="str">
        <f>IF(OR(Fact_Contabilidad[[#This Row], [Año]]="",Fact_Contabilidad[[#This Row], [Mes]]=""),"",DATE(A613,MATCH(B613,{"enero","febrero","marzo","abril","mayo","junio","julio","agosto","septiembre","octubre","noviembre","diciembre"},0)+1,0))</f>
        <v/>
      </c>
      <c r="E613" t="str">
        <f>+IFERROR(VLOOKUP(Fact_Contabilidad[[#This Row], [Concepto Anterior]],Conceptos_Contabilidad[#All],5,0),"")</f>
        <v/>
      </c>
      <c r="F613" t="str">
        <f>+IFERROR(VLOOKUP(Fact_Contabilidad[[#This Row], 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ht="18.75" customHeight="1" x14ac:dyDescent="0.35">
      <c r="A614" s="103"/>
      <c r="C614" s="100" t="str">
        <f>IF(OR(Fact_Contabilidad[[#This Row], [Año]]="",Fact_Contabilidad[[#This Row], [Mes]]=""),"",DATE(A614,MATCH(B614,{"enero","febrero","marzo","abril","mayo","junio","julio","agosto","septiembre","octubre","noviembre","diciembre"},0)+1,0))</f>
        <v/>
      </c>
      <c r="E614" t="str">
        <f>+IFERROR(VLOOKUP(Fact_Contabilidad[[#This Row], [Concepto Anterior]],Conceptos_Contabilidad[#All],5,0),"")</f>
        <v/>
      </c>
      <c r="F614" t="str">
        <f>+IFERROR(VLOOKUP(Fact_Contabilidad[[#This Row], 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ht="18.75" customHeight="1" x14ac:dyDescent="0.35">
      <c r="A615" s="103"/>
      <c r="C615" s="100" t="str">
        <f>IF(OR(Fact_Contabilidad[[#This Row], [Año]]="",Fact_Contabilidad[[#This Row], [Mes]]=""),"",DATE(A615,MATCH(B615,{"enero","febrero","marzo","abril","mayo","junio","julio","agosto","septiembre","octubre","noviembre","diciembre"},0)+1,0))</f>
        <v/>
      </c>
      <c r="E615" t="str">
        <f>+IFERROR(VLOOKUP(Fact_Contabilidad[[#This Row], [Concepto Anterior]],Conceptos_Contabilidad[#All],5,0),"")</f>
        <v/>
      </c>
      <c r="F615" t="str">
        <f>+IFERROR(VLOOKUP(Fact_Contabilidad[[#This Row], 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ht="18.75" customHeight="1" x14ac:dyDescent="0.35">
      <c r="A616" s="103"/>
      <c r="C616" s="100" t="str">
        <f>IF(OR(Fact_Contabilidad[[#This Row], [Año]]="",Fact_Contabilidad[[#This Row], [Mes]]=""),"",DATE(A616,MATCH(B616,{"enero","febrero","marzo","abril","mayo","junio","julio","agosto","septiembre","octubre","noviembre","diciembre"},0)+1,0))</f>
        <v/>
      </c>
      <c r="E616" t="str">
        <f>+IFERROR(VLOOKUP(Fact_Contabilidad[[#This Row], [Concepto Anterior]],Conceptos_Contabilidad[#All],5,0),"")</f>
        <v/>
      </c>
      <c r="F616" t="str">
        <f>+IFERROR(VLOOKUP(Fact_Contabilidad[[#This Row], 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ht="18.75" customHeight="1" x14ac:dyDescent="0.35">
      <c r="A617" s="103"/>
      <c r="C617" s="100" t="str">
        <f>IF(OR(Fact_Contabilidad[[#This Row], [Año]]="",Fact_Contabilidad[[#This Row], [Mes]]=""),"",DATE(A617,MATCH(B617,{"enero","febrero","marzo","abril","mayo","junio","julio","agosto","septiembre","octubre","noviembre","diciembre"},0)+1,0))</f>
        <v/>
      </c>
      <c r="E617" t="str">
        <f>+IFERROR(VLOOKUP(Fact_Contabilidad[[#This Row], [Concepto Anterior]],Conceptos_Contabilidad[#All],5,0),"")</f>
        <v/>
      </c>
      <c r="F617" t="str">
        <f>+IFERROR(VLOOKUP(Fact_Contabilidad[[#This Row], 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ht="18.75" customHeight="1" x14ac:dyDescent="0.35">
      <c r="A618" s="103"/>
      <c r="C618" s="100" t="str">
        <f>IF(OR(Fact_Contabilidad[[#This Row], [Año]]="",Fact_Contabilidad[[#This Row], [Mes]]=""),"",DATE(A618,MATCH(B618,{"enero","febrero","marzo","abril","mayo","junio","julio","agosto","septiembre","octubre","noviembre","diciembre"},0)+1,0))</f>
        <v/>
      </c>
      <c r="E618" t="str">
        <f>+IFERROR(VLOOKUP(Fact_Contabilidad[[#This Row], [Concepto Anterior]],Conceptos_Contabilidad[#All],5,0),"")</f>
        <v/>
      </c>
      <c r="F618" t="str">
        <f>+IFERROR(VLOOKUP(Fact_Contabilidad[[#This Row], 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ht="18.75" customHeight="1" x14ac:dyDescent="0.35">
      <c r="A619" s="103"/>
      <c r="C619" s="100" t="str">
        <f>IF(OR(Fact_Contabilidad[[#This Row], [Año]]="",Fact_Contabilidad[[#This Row], [Mes]]=""),"",DATE(A619,MATCH(B619,{"enero","febrero","marzo","abril","mayo","junio","julio","agosto","septiembre","octubre","noviembre","diciembre"},0)+1,0))</f>
        <v/>
      </c>
      <c r="E619" t="str">
        <f>+IFERROR(VLOOKUP(Fact_Contabilidad[[#This Row], [Concepto Anterior]],Conceptos_Contabilidad[#All],5,0),"")</f>
        <v/>
      </c>
      <c r="F619" t="str">
        <f>+IFERROR(VLOOKUP(Fact_Contabilidad[[#This Row], 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ht="18.75" customHeight="1" x14ac:dyDescent="0.35">
      <c r="A620" s="103"/>
      <c r="C620" s="100" t="str">
        <f>IF(OR(Fact_Contabilidad[[#This Row], [Año]]="",Fact_Contabilidad[[#This Row], [Mes]]=""),"",DATE(A620,MATCH(B620,{"enero","febrero","marzo","abril","mayo","junio","julio","agosto","septiembre","octubre","noviembre","diciembre"},0)+1,0))</f>
        <v/>
      </c>
      <c r="E620" t="str">
        <f>+IFERROR(VLOOKUP(Fact_Contabilidad[[#This Row], [Concepto Anterior]],Conceptos_Contabilidad[#All],5,0),"")</f>
        <v/>
      </c>
      <c r="F620" t="str">
        <f>+IFERROR(VLOOKUP(Fact_Contabilidad[[#This Row], 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ht="18.75" customHeight="1" x14ac:dyDescent="0.35">
      <c r="A621" s="103"/>
      <c r="C621" s="100" t="str">
        <f>IF(OR(Fact_Contabilidad[[#This Row], [Año]]="",Fact_Contabilidad[[#This Row], [Mes]]=""),"",DATE(A621,MATCH(B621,{"enero","febrero","marzo","abril","mayo","junio","julio","agosto","septiembre","octubre","noviembre","diciembre"},0)+1,0))</f>
        <v/>
      </c>
      <c r="E621" t="str">
        <f>+IFERROR(VLOOKUP(Fact_Contabilidad[[#This Row], [Concepto Anterior]],Conceptos_Contabilidad[#All],5,0),"")</f>
        <v/>
      </c>
      <c r="F621" t="str">
        <f>+IFERROR(VLOOKUP(Fact_Contabilidad[[#This Row], 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ht="18.75" customHeight="1" x14ac:dyDescent="0.35">
      <c r="A622" s="103"/>
      <c r="C622" s="100" t="str">
        <f>IF(OR(Fact_Contabilidad[[#This Row], [Año]]="",Fact_Contabilidad[[#This Row], [Mes]]=""),"",DATE(A622,MATCH(B622,{"enero","febrero","marzo","abril","mayo","junio","julio","agosto","septiembre","octubre","noviembre","diciembre"},0)+1,0))</f>
        <v/>
      </c>
      <c r="E622" t="str">
        <f>+IFERROR(VLOOKUP(Fact_Contabilidad[[#This Row], [Concepto Anterior]],Conceptos_Contabilidad[#All],5,0),"")</f>
        <v/>
      </c>
      <c r="F622" t="str">
        <f>+IFERROR(VLOOKUP(Fact_Contabilidad[[#This Row], 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ht="18.75" customHeight="1" x14ac:dyDescent="0.35">
      <c r="A623" s="103"/>
      <c r="C623" s="100" t="str">
        <f>IF(OR(Fact_Contabilidad[[#This Row], [Año]]="",Fact_Contabilidad[[#This Row], [Mes]]=""),"",DATE(A623,MATCH(B623,{"enero","febrero","marzo","abril","mayo","junio","julio","agosto","septiembre","octubre","noviembre","diciembre"},0)+1,0))</f>
        <v/>
      </c>
      <c r="E623" t="str">
        <f>+IFERROR(VLOOKUP(Fact_Contabilidad[[#This Row], [Concepto Anterior]],Conceptos_Contabilidad[#All],5,0),"")</f>
        <v/>
      </c>
      <c r="F623" t="str">
        <f>+IFERROR(VLOOKUP(Fact_Contabilidad[[#This Row], 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ht="18.75" customHeight="1" x14ac:dyDescent="0.35">
      <c r="A624" s="103"/>
      <c r="C624" s="100" t="str">
        <f>IF(OR(Fact_Contabilidad[[#This Row], [Año]]="",Fact_Contabilidad[[#This Row], [Mes]]=""),"",DATE(A624,MATCH(B624,{"enero","febrero","marzo","abril","mayo","junio","julio","agosto","septiembre","octubre","noviembre","diciembre"},0)+1,0))</f>
        <v/>
      </c>
      <c r="E624" t="str">
        <f>+IFERROR(VLOOKUP(Fact_Contabilidad[[#This Row], [Concepto Anterior]],Conceptos_Contabilidad[#All],5,0),"")</f>
        <v/>
      </c>
      <c r="F624" t="str">
        <f>+IFERROR(VLOOKUP(Fact_Contabilidad[[#This Row], 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ht="18.75" customHeight="1" x14ac:dyDescent="0.35">
      <c r="A625" s="103"/>
      <c r="C625" s="100" t="str">
        <f>IF(OR(Fact_Contabilidad[[#This Row], [Año]]="",Fact_Contabilidad[[#This Row], [Mes]]=""),"",DATE(A625,MATCH(B625,{"enero","febrero","marzo","abril","mayo","junio","julio","agosto","septiembre","octubre","noviembre","diciembre"},0)+1,0))</f>
        <v/>
      </c>
      <c r="E625" t="str">
        <f>+IFERROR(VLOOKUP(Fact_Contabilidad[[#This Row], [Concepto Anterior]],Conceptos_Contabilidad[#All],5,0),"")</f>
        <v/>
      </c>
      <c r="F625" t="str">
        <f>+IFERROR(VLOOKUP(Fact_Contabilidad[[#This Row], 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ht="18.75" customHeight="1" x14ac:dyDescent="0.35">
      <c r="A626" s="103"/>
      <c r="C626" s="100" t="str">
        <f>IF(OR(Fact_Contabilidad[[#This Row], [Año]]="",Fact_Contabilidad[[#This Row], [Mes]]=""),"",DATE(A626,MATCH(B626,{"enero","febrero","marzo","abril","mayo","junio","julio","agosto","septiembre","octubre","noviembre","diciembre"},0)+1,0))</f>
        <v/>
      </c>
      <c r="E626" t="str">
        <f>+IFERROR(VLOOKUP(Fact_Contabilidad[[#This Row], [Concepto Anterior]],Conceptos_Contabilidad[#All],5,0),"")</f>
        <v/>
      </c>
      <c r="F626" t="str">
        <f>+IFERROR(VLOOKUP(Fact_Contabilidad[[#This Row], 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ht="18.75" customHeight="1" x14ac:dyDescent="0.35">
      <c r="A627" s="103"/>
      <c r="C627" s="100" t="str">
        <f>IF(OR(Fact_Contabilidad[[#This Row], [Año]]="",Fact_Contabilidad[[#This Row], [Mes]]=""),"",DATE(A627,MATCH(B627,{"enero","febrero","marzo","abril","mayo","junio","julio","agosto","septiembre","octubre","noviembre","diciembre"},0)+1,0))</f>
        <v/>
      </c>
      <c r="E627" t="str">
        <f>+IFERROR(VLOOKUP(Fact_Contabilidad[[#This Row], [Concepto Anterior]],Conceptos_Contabilidad[#All],5,0),"")</f>
        <v/>
      </c>
      <c r="F627" t="str">
        <f>+IFERROR(VLOOKUP(Fact_Contabilidad[[#This Row], 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ht="18.75" customHeight="1" x14ac:dyDescent="0.35">
      <c r="A628" s="103"/>
      <c r="C628" s="100" t="str">
        <f>IF(OR(Fact_Contabilidad[[#This Row], [Año]]="",Fact_Contabilidad[[#This Row], [Mes]]=""),"",DATE(A628,MATCH(B628,{"enero","febrero","marzo","abril","mayo","junio","julio","agosto","septiembre","octubre","noviembre","diciembre"},0)+1,0))</f>
        <v/>
      </c>
      <c r="E628" t="str">
        <f>+IFERROR(VLOOKUP(Fact_Contabilidad[[#This Row], [Concepto Anterior]],Conceptos_Contabilidad[#All],5,0),"")</f>
        <v/>
      </c>
      <c r="F628" t="str">
        <f>+IFERROR(VLOOKUP(Fact_Contabilidad[[#This Row], 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ht="18.75" customHeight="1" x14ac:dyDescent="0.35">
      <c r="A629" s="103"/>
      <c r="C629" s="100" t="str">
        <f>IF(OR(Fact_Contabilidad[[#This Row], [Año]]="",Fact_Contabilidad[[#This Row], [Mes]]=""),"",DATE(A629,MATCH(B629,{"enero","febrero","marzo","abril","mayo","junio","julio","agosto","septiembre","octubre","noviembre","diciembre"},0)+1,0))</f>
        <v/>
      </c>
      <c r="E629" t="str">
        <f>+IFERROR(VLOOKUP(Fact_Contabilidad[[#This Row], [Concepto Anterior]],Conceptos_Contabilidad[#All],5,0),"")</f>
        <v/>
      </c>
      <c r="F629" t="str">
        <f>+IFERROR(VLOOKUP(Fact_Contabilidad[[#This Row], 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ht="18.75" customHeight="1" x14ac:dyDescent="0.35">
      <c r="A630" s="103"/>
      <c r="C630" s="100" t="str">
        <f>IF(OR(Fact_Contabilidad[[#This Row], [Año]]="",Fact_Contabilidad[[#This Row], [Mes]]=""),"",DATE(A630,MATCH(B630,{"enero","febrero","marzo","abril","mayo","junio","julio","agosto","septiembre","octubre","noviembre","diciembre"},0)+1,0))</f>
        <v/>
      </c>
      <c r="E630" t="str">
        <f>+IFERROR(VLOOKUP(Fact_Contabilidad[[#This Row], [Concepto Anterior]],Conceptos_Contabilidad[#All],5,0),"")</f>
        <v/>
      </c>
      <c r="F630" t="str">
        <f>+IFERROR(VLOOKUP(Fact_Contabilidad[[#This Row], 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ht="18.75" customHeight="1" x14ac:dyDescent="0.35">
      <c r="A631" s="103"/>
      <c r="C631" s="100" t="str">
        <f>IF(OR(Fact_Contabilidad[[#This Row], [Año]]="",Fact_Contabilidad[[#This Row], [Mes]]=""),"",DATE(A631,MATCH(B631,{"enero","febrero","marzo","abril","mayo","junio","julio","agosto","septiembre","octubre","noviembre","diciembre"},0)+1,0))</f>
        <v/>
      </c>
      <c r="E631" t="str">
        <f>+IFERROR(VLOOKUP(Fact_Contabilidad[[#This Row], [Concepto Anterior]],Conceptos_Contabilidad[#All],5,0),"")</f>
        <v/>
      </c>
      <c r="F631" t="str">
        <f>+IFERROR(VLOOKUP(Fact_Contabilidad[[#This Row], 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ht="18.75" customHeight="1" x14ac:dyDescent="0.35">
      <c r="A632" s="103"/>
      <c r="C632" s="100" t="str">
        <f>IF(OR(Fact_Contabilidad[[#This Row], [Año]]="",Fact_Contabilidad[[#This Row], [Mes]]=""),"",DATE(A632,MATCH(B632,{"enero","febrero","marzo","abril","mayo","junio","julio","agosto","septiembre","octubre","noviembre","diciembre"},0)+1,0))</f>
        <v/>
      </c>
      <c r="E632" t="str">
        <f>+IFERROR(VLOOKUP(Fact_Contabilidad[[#This Row], [Concepto Anterior]],Conceptos_Contabilidad[#All],5,0),"")</f>
        <v/>
      </c>
      <c r="F632" t="str">
        <f>+IFERROR(VLOOKUP(Fact_Contabilidad[[#This Row], 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ht="18.75" customHeight="1" x14ac:dyDescent="0.35">
      <c r="A633" s="103"/>
      <c r="C633" s="100" t="str">
        <f>IF(OR(Fact_Contabilidad[[#This Row], [Año]]="",Fact_Contabilidad[[#This Row], [Mes]]=""),"",DATE(A633,MATCH(B633,{"enero","febrero","marzo","abril","mayo","junio","julio","agosto","septiembre","octubre","noviembre","diciembre"},0)+1,0))</f>
        <v/>
      </c>
      <c r="E633" t="str">
        <f>+IFERROR(VLOOKUP(Fact_Contabilidad[[#This Row], [Concepto Anterior]],Conceptos_Contabilidad[#All],5,0),"")</f>
        <v/>
      </c>
      <c r="F633" t="str">
        <f>+IFERROR(VLOOKUP(Fact_Contabilidad[[#This Row], 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ht="18.75" customHeight="1" x14ac:dyDescent="0.35">
      <c r="A634" s="103"/>
      <c r="C634" s="100" t="str">
        <f>IF(OR(Fact_Contabilidad[[#This Row], [Año]]="",Fact_Contabilidad[[#This Row], [Mes]]=""),"",DATE(A634,MATCH(B634,{"enero","febrero","marzo","abril","mayo","junio","julio","agosto","septiembre","octubre","noviembre","diciembre"},0)+1,0))</f>
        <v/>
      </c>
      <c r="E634" t="str">
        <f>+IFERROR(VLOOKUP(Fact_Contabilidad[[#This Row], [Concepto Anterior]],Conceptos_Contabilidad[#All],5,0),"")</f>
        <v/>
      </c>
      <c r="F634" t="str">
        <f>+IFERROR(VLOOKUP(Fact_Contabilidad[[#This Row], 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ht="18.75" customHeight="1" x14ac:dyDescent="0.35">
      <c r="A635" s="103"/>
      <c r="C635" s="100" t="str">
        <f>IF(OR(Fact_Contabilidad[[#This Row], [Año]]="",Fact_Contabilidad[[#This Row], [Mes]]=""),"",DATE(A635,MATCH(B635,{"enero","febrero","marzo","abril","mayo","junio","julio","agosto","septiembre","octubre","noviembre","diciembre"},0)+1,0))</f>
        <v/>
      </c>
      <c r="E635" t="str">
        <f>+IFERROR(VLOOKUP(Fact_Contabilidad[[#This Row], [Concepto Anterior]],Conceptos_Contabilidad[#All],5,0),"")</f>
        <v/>
      </c>
      <c r="F635" t="str">
        <f>+IFERROR(VLOOKUP(Fact_Contabilidad[[#This Row], 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ht="18.75" customHeight="1" x14ac:dyDescent="0.35">
      <c r="A636" s="103"/>
      <c r="C636" s="100" t="str">
        <f>IF(OR(Fact_Contabilidad[[#This Row], [Año]]="",Fact_Contabilidad[[#This Row], [Mes]]=""),"",DATE(A636,MATCH(B636,{"enero","febrero","marzo","abril","mayo","junio","julio","agosto","septiembre","octubre","noviembre","diciembre"},0)+1,0))</f>
        <v/>
      </c>
      <c r="E636" t="str">
        <f>+IFERROR(VLOOKUP(Fact_Contabilidad[[#This Row], [Concepto Anterior]],Conceptos_Contabilidad[#All],5,0),"")</f>
        <v/>
      </c>
      <c r="F636" t="str">
        <f>+IFERROR(VLOOKUP(Fact_Contabilidad[[#This Row], 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ht="18.75" customHeight="1" x14ac:dyDescent="0.35">
      <c r="A637" s="103"/>
      <c r="C637" s="100" t="str">
        <f>IF(OR(Fact_Contabilidad[[#This Row], [Año]]="",Fact_Contabilidad[[#This Row], [Mes]]=""),"",DATE(A637,MATCH(B637,{"enero","febrero","marzo","abril","mayo","junio","julio","agosto","septiembre","octubre","noviembre","diciembre"},0)+1,0))</f>
        <v/>
      </c>
      <c r="E637" t="str">
        <f>+IFERROR(VLOOKUP(Fact_Contabilidad[[#This Row], [Concepto Anterior]],Conceptos_Contabilidad[#All],5,0),"")</f>
        <v/>
      </c>
      <c r="F637" t="str">
        <f>+IFERROR(VLOOKUP(Fact_Contabilidad[[#This Row], 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ht="18.75" customHeight="1" x14ac:dyDescent="0.35">
      <c r="A638" s="103"/>
      <c r="C638" s="100" t="str">
        <f>IF(OR(Fact_Contabilidad[[#This Row], [Año]]="",Fact_Contabilidad[[#This Row], [Mes]]=""),"",DATE(A638,MATCH(B638,{"enero","febrero","marzo","abril","mayo","junio","julio","agosto","septiembre","octubre","noviembre","diciembre"},0)+1,0))</f>
        <v/>
      </c>
      <c r="E638" t="str">
        <f>+IFERROR(VLOOKUP(Fact_Contabilidad[[#This Row], [Concepto Anterior]],Conceptos_Contabilidad[#All],5,0),"")</f>
        <v/>
      </c>
      <c r="F638" t="str">
        <f>+IFERROR(VLOOKUP(Fact_Contabilidad[[#This Row], 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ht="18.75" customHeight="1" x14ac:dyDescent="0.35">
      <c r="A639" s="103"/>
      <c r="C639" s="100" t="str">
        <f>IF(OR(Fact_Contabilidad[[#This Row], [Año]]="",Fact_Contabilidad[[#This Row], [Mes]]=""),"",DATE(A639,MATCH(B639,{"enero","febrero","marzo","abril","mayo","junio","julio","agosto","septiembre","octubre","noviembre","diciembre"},0)+1,0))</f>
        <v/>
      </c>
      <c r="E639" t="str">
        <f>+IFERROR(VLOOKUP(Fact_Contabilidad[[#This Row], [Concepto Anterior]],Conceptos_Contabilidad[#All],5,0),"")</f>
        <v/>
      </c>
      <c r="F639" t="str">
        <f>+IFERROR(VLOOKUP(Fact_Contabilidad[[#This Row], 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ht="18.75" customHeight="1" x14ac:dyDescent="0.35">
      <c r="A640" s="103"/>
      <c r="C640" s="100" t="str">
        <f>IF(OR(Fact_Contabilidad[[#This Row], [Año]]="",Fact_Contabilidad[[#This Row], [Mes]]=""),"",DATE(A640,MATCH(B640,{"enero","febrero","marzo","abril","mayo","junio","julio","agosto","septiembre","octubre","noviembre","diciembre"},0)+1,0))</f>
        <v/>
      </c>
      <c r="E640" t="str">
        <f>+IFERROR(VLOOKUP(Fact_Contabilidad[[#This Row], [Concepto Anterior]],Conceptos_Contabilidad[#All],5,0),"")</f>
        <v/>
      </c>
      <c r="F640" t="str">
        <f>+IFERROR(VLOOKUP(Fact_Contabilidad[[#This Row], 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ht="18.75" customHeight="1" x14ac:dyDescent="0.35">
      <c r="A641" s="103"/>
      <c r="C641" s="100" t="str">
        <f>IF(OR(Fact_Contabilidad[[#This Row], [Año]]="",Fact_Contabilidad[[#This Row], [Mes]]=""),"",DATE(A641,MATCH(B641,{"enero","febrero","marzo","abril","mayo","junio","julio","agosto","septiembre","octubre","noviembre","diciembre"},0)+1,0))</f>
        <v/>
      </c>
      <c r="E641" t="str">
        <f>+IFERROR(VLOOKUP(Fact_Contabilidad[[#This Row], [Concepto Anterior]],Conceptos_Contabilidad[#All],5,0),"")</f>
        <v/>
      </c>
      <c r="F641" t="str">
        <f>+IFERROR(VLOOKUP(Fact_Contabilidad[[#This Row], 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ht="18.75" customHeight="1" x14ac:dyDescent="0.35">
      <c r="A642" s="103"/>
      <c r="C642" s="100" t="str">
        <f>IF(OR(Fact_Contabilidad[[#This Row], [Año]]="",Fact_Contabilidad[[#This Row], [Mes]]=""),"",DATE(A642,MATCH(B642,{"enero","febrero","marzo","abril","mayo","junio","julio","agosto","septiembre","octubre","noviembre","diciembre"},0)+1,0))</f>
        <v/>
      </c>
      <c r="E642" t="str">
        <f>+IFERROR(VLOOKUP(Fact_Contabilidad[[#This Row], [Concepto Anterior]],Conceptos_Contabilidad[#All],5,0),"")</f>
        <v/>
      </c>
      <c r="F642" t="str">
        <f>+IFERROR(VLOOKUP(Fact_Contabilidad[[#This Row], 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ht="18.75" customHeight="1" x14ac:dyDescent="0.35">
      <c r="A643" s="103"/>
      <c r="C643" s="100" t="str">
        <f>IF(OR(Fact_Contabilidad[[#This Row], [Año]]="",Fact_Contabilidad[[#This Row], [Mes]]=""),"",DATE(A643,MATCH(B643,{"enero","febrero","marzo","abril","mayo","junio","julio","agosto","septiembre","octubre","noviembre","diciembre"},0)+1,0))</f>
        <v/>
      </c>
      <c r="E643" t="str">
        <f>+IFERROR(VLOOKUP(Fact_Contabilidad[[#This Row], [Concepto Anterior]],Conceptos_Contabilidad[#All],5,0),"")</f>
        <v/>
      </c>
      <c r="F643" t="str">
        <f>+IFERROR(VLOOKUP(Fact_Contabilidad[[#This Row], 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ht="18.75" customHeight="1" x14ac:dyDescent="0.35">
      <c r="A644" s="103"/>
      <c r="C644" s="100" t="str">
        <f>IF(OR(Fact_Contabilidad[[#This Row], [Año]]="",Fact_Contabilidad[[#This Row], [Mes]]=""),"",DATE(A644,MATCH(B644,{"enero","febrero","marzo","abril","mayo","junio","julio","agosto","septiembre","octubre","noviembre","diciembre"},0)+1,0))</f>
        <v/>
      </c>
      <c r="E644" t="str">
        <f>+IFERROR(VLOOKUP(Fact_Contabilidad[[#This Row], [Concepto Anterior]],Conceptos_Contabilidad[#All],5,0),"")</f>
        <v/>
      </c>
      <c r="F644" t="str">
        <f>+IFERROR(VLOOKUP(Fact_Contabilidad[[#This Row], 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ht="18.75" customHeight="1" x14ac:dyDescent="0.35">
      <c r="A645" s="103"/>
      <c r="C645" s="100" t="str">
        <f>IF(OR(Fact_Contabilidad[[#This Row], [Año]]="",Fact_Contabilidad[[#This Row], [Mes]]=""),"",DATE(A645,MATCH(B645,{"enero","febrero","marzo","abril","mayo","junio","julio","agosto","septiembre","octubre","noviembre","diciembre"},0)+1,0))</f>
        <v/>
      </c>
      <c r="E645" t="str">
        <f>+IFERROR(VLOOKUP(Fact_Contabilidad[[#This Row], [Concepto Anterior]],Conceptos_Contabilidad[#All],5,0),"")</f>
        <v/>
      </c>
      <c r="F645" t="str">
        <f>+IFERROR(VLOOKUP(Fact_Contabilidad[[#This Row], 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ht="18.75" customHeight="1" x14ac:dyDescent="0.35">
      <c r="A646" s="103"/>
      <c r="C646" s="100" t="str">
        <f>IF(OR(Fact_Contabilidad[[#This Row], [Año]]="",Fact_Contabilidad[[#This Row], [Mes]]=""),"",DATE(A646,MATCH(B646,{"enero","febrero","marzo","abril","mayo","junio","julio","agosto","septiembre","octubre","noviembre","diciembre"},0)+1,0))</f>
        <v/>
      </c>
      <c r="E646" t="str">
        <f>+IFERROR(VLOOKUP(Fact_Contabilidad[[#This Row], [Concepto Anterior]],Conceptos_Contabilidad[#All],5,0),"")</f>
        <v/>
      </c>
      <c r="F646" t="str">
        <f>+IFERROR(VLOOKUP(Fact_Contabilidad[[#This Row], 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ht="18.75" customHeight="1" x14ac:dyDescent="0.35">
      <c r="A647" s="103"/>
      <c r="C647" s="100" t="str">
        <f>IF(OR(Fact_Contabilidad[[#This Row], [Año]]="",Fact_Contabilidad[[#This Row], [Mes]]=""),"",DATE(A647,MATCH(B647,{"enero","febrero","marzo","abril","mayo","junio","julio","agosto","septiembre","octubre","noviembre","diciembre"},0)+1,0))</f>
        <v/>
      </c>
      <c r="E647" t="str">
        <f>+IFERROR(VLOOKUP(Fact_Contabilidad[[#This Row], [Concepto Anterior]],Conceptos_Contabilidad[#All],5,0),"")</f>
        <v/>
      </c>
      <c r="F647" t="str">
        <f>+IFERROR(VLOOKUP(Fact_Contabilidad[[#This Row], 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ht="18.75" customHeight="1" x14ac:dyDescent="0.35">
      <c r="A648" s="103"/>
      <c r="C648" s="100" t="str">
        <f>IF(OR(Fact_Contabilidad[[#This Row], [Año]]="",Fact_Contabilidad[[#This Row], [Mes]]=""),"",DATE(A648,MATCH(B648,{"enero","febrero","marzo","abril","mayo","junio","julio","agosto","septiembre","octubre","noviembre","diciembre"},0)+1,0))</f>
        <v/>
      </c>
      <c r="E648" t="str">
        <f>+IFERROR(VLOOKUP(Fact_Contabilidad[[#This Row], [Concepto Anterior]],Conceptos_Contabilidad[#All],5,0),"")</f>
        <v/>
      </c>
      <c r="F648" t="str">
        <f>+IFERROR(VLOOKUP(Fact_Contabilidad[[#This Row], 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ht="18.75" customHeight="1" x14ac:dyDescent="0.35">
      <c r="A649" s="103"/>
      <c r="C649" s="100" t="str">
        <f>IF(OR(Fact_Contabilidad[[#This Row], [Año]]="",Fact_Contabilidad[[#This Row], [Mes]]=""),"",DATE(A649,MATCH(B649,{"enero","febrero","marzo","abril","mayo","junio","julio","agosto","septiembre","octubre","noviembre","diciembre"},0)+1,0))</f>
        <v/>
      </c>
      <c r="E649" t="str">
        <f>+IFERROR(VLOOKUP(Fact_Contabilidad[[#This Row], [Concepto Anterior]],Conceptos_Contabilidad[#All],5,0),"")</f>
        <v/>
      </c>
      <c r="F649" t="str">
        <f>+IFERROR(VLOOKUP(Fact_Contabilidad[[#This Row], 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ht="18.75" customHeight="1" x14ac:dyDescent="0.35">
      <c r="A650" s="103"/>
      <c r="C650" s="100" t="str">
        <f>IF(OR(Fact_Contabilidad[[#This Row], [Año]]="",Fact_Contabilidad[[#This Row], [Mes]]=""),"",DATE(A650,MATCH(B650,{"enero","febrero","marzo","abril","mayo","junio","julio","agosto","septiembre","octubre","noviembre","diciembre"},0)+1,0))</f>
        <v/>
      </c>
      <c r="E650" t="str">
        <f>+IFERROR(VLOOKUP(Fact_Contabilidad[[#This Row], [Concepto Anterior]],Conceptos_Contabilidad[#All],5,0),"")</f>
        <v/>
      </c>
      <c r="F650" t="str">
        <f>+IFERROR(VLOOKUP(Fact_Contabilidad[[#This Row], 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ht="18.75" customHeight="1" x14ac:dyDescent="0.35">
      <c r="A651" s="103"/>
      <c r="C651" s="100" t="str">
        <f>IF(OR(Fact_Contabilidad[[#This Row], [Año]]="",Fact_Contabilidad[[#This Row], [Mes]]=""),"",DATE(A651,MATCH(B651,{"enero","febrero","marzo","abril","mayo","junio","julio","agosto","septiembre","octubre","noviembre","diciembre"},0)+1,0))</f>
        <v/>
      </c>
      <c r="E651" t="str">
        <f>+IFERROR(VLOOKUP(Fact_Contabilidad[[#This Row], [Concepto Anterior]],Conceptos_Contabilidad[#All],5,0),"")</f>
        <v/>
      </c>
      <c r="F651" t="str">
        <f>+IFERROR(VLOOKUP(Fact_Contabilidad[[#This Row], 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ht="18.75" customHeight="1" x14ac:dyDescent="0.35">
      <c r="A652" s="103"/>
      <c r="C652" s="100" t="str">
        <f>IF(OR(Fact_Contabilidad[[#This Row], [Año]]="",Fact_Contabilidad[[#This Row], [Mes]]=""),"",DATE(A652,MATCH(B652,{"enero","febrero","marzo","abril","mayo","junio","julio","agosto","septiembre","octubre","noviembre","diciembre"},0)+1,0))</f>
        <v/>
      </c>
      <c r="E652" t="str">
        <f>+IFERROR(VLOOKUP(Fact_Contabilidad[[#This Row], [Concepto Anterior]],Conceptos_Contabilidad[#All],5,0),"")</f>
        <v/>
      </c>
      <c r="F652" t="str">
        <f>+IFERROR(VLOOKUP(Fact_Contabilidad[[#This Row], 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ht="18.75" customHeight="1" x14ac:dyDescent="0.35">
      <c r="A653" s="103"/>
      <c r="C653" s="100" t="str">
        <f>IF(OR(Fact_Contabilidad[[#This Row], [Año]]="",Fact_Contabilidad[[#This Row], [Mes]]=""),"",DATE(A653,MATCH(B653,{"enero","febrero","marzo","abril","mayo","junio","julio","agosto","septiembre","octubre","noviembre","diciembre"},0)+1,0))</f>
        <v/>
      </c>
      <c r="E653" t="str">
        <f>+IFERROR(VLOOKUP(Fact_Contabilidad[[#This Row], [Concepto Anterior]],Conceptos_Contabilidad[#All],5,0),"")</f>
        <v/>
      </c>
      <c r="F653" t="str">
        <f>+IFERROR(VLOOKUP(Fact_Contabilidad[[#This Row], 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ht="18.75" customHeight="1" x14ac:dyDescent="0.35">
      <c r="A654" s="103"/>
      <c r="C654" s="100" t="str">
        <f>IF(OR(Fact_Contabilidad[[#This Row], [Año]]="",Fact_Contabilidad[[#This Row], [Mes]]=""),"",DATE(A654,MATCH(B654,{"enero","febrero","marzo","abril","mayo","junio","julio","agosto","septiembre","octubre","noviembre","diciembre"},0)+1,0))</f>
        <v/>
      </c>
      <c r="E654" t="str">
        <f>+IFERROR(VLOOKUP(Fact_Contabilidad[[#This Row], [Concepto Anterior]],Conceptos_Contabilidad[#All],5,0),"")</f>
        <v/>
      </c>
      <c r="F654" t="str">
        <f>+IFERROR(VLOOKUP(Fact_Contabilidad[[#This Row], 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ht="18.75" customHeight="1" x14ac:dyDescent="0.35">
      <c r="A655" s="103"/>
      <c r="C655" s="100" t="str">
        <f>IF(OR(Fact_Contabilidad[[#This Row], [Año]]="",Fact_Contabilidad[[#This Row], [Mes]]=""),"",DATE(A655,MATCH(B655,{"enero","febrero","marzo","abril","mayo","junio","julio","agosto","septiembre","octubre","noviembre","diciembre"},0)+1,0))</f>
        <v/>
      </c>
      <c r="E655" t="str">
        <f>+IFERROR(VLOOKUP(Fact_Contabilidad[[#This Row], [Concepto Anterior]],Conceptos_Contabilidad[#All],5,0),"")</f>
        <v/>
      </c>
      <c r="F655" t="str">
        <f>+IFERROR(VLOOKUP(Fact_Contabilidad[[#This Row], 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ht="18.75" customHeight="1" x14ac:dyDescent="0.35">
      <c r="A656" s="103"/>
      <c r="C656" s="100" t="str">
        <f>IF(OR(Fact_Contabilidad[[#This Row], [Año]]="",Fact_Contabilidad[[#This Row], [Mes]]=""),"",DATE(A656,MATCH(B656,{"enero","febrero","marzo","abril","mayo","junio","julio","agosto","septiembre","octubre","noviembre","diciembre"},0)+1,0))</f>
        <v/>
      </c>
      <c r="E656" t="str">
        <f>+IFERROR(VLOOKUP(Fact_Contabilidad[[#This Row], [Concepto Anterior]],Conceptos_Contabilidad[#All],5,0),"")</f>
        <v/>
      </c>
      <c r="F656" t="str">
        <f>+IFERROR(VLOOKUP(Fact_Contabilidad[[#This Row], 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ht="18.75" customHeight="1" x14ac:dyDescent="0.35">
      <c r="A657" s="103"/>
      <c r="C657" s="100" t="str">
        <f>IF(OR(Fact_Contabilidad[[#This Row], [Año]]="",Fact_Contabilidad[[#This Row], [Mes]]=""),"",DATE(A657,MATCH(B657,{"enero","febrero","marzo","abril","mayo","junio","julio","agosto","septiembre","octubre","noviembre","diciembre"},0)+1,0))</f>
        <v/>
      </c>
      <c r="E657" t="str">
        <f>+IFERROR(VLOOKUP(Fact_Contabilidad[[#This Row], [Concepto Anterior]],Conceptos_Contabilidad[#All],5,0),"")</f>
        <v/>
      </c>
      <c r="F657" t="str">
        <f>+IFERROR(VLOOKUP(Fact_Contabilidad[[#This Row], 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ht="18.75" customHeight="1" x14ac:dyDescent="0.35">
      <c r="A658" s="103"/>
      <c r="C658" s="100" t="str">
        <f>IF(OR(Fact_Contabilidad[[#This Row], [Año]]="",Fact_Contabilidad[[#This Row], [Mes]]=""),"",DATE(A658,MATCH(B658,{"enero","febrero","marzo","abril","mayo","junio","julio","agosto","septiembre","octubre","noviembre","diciembre"},0)+1,0))</f>
        <v/>
      </c>
      <c r="E658" t="str">
        <f>+IFERROR(VLOOKUP(Fact_Contabilidad[[#This Row], [Concepto Anterior]],Conceptos_Contabilidad[#All],5,0),"")</f>
        <v/>
      </c>
      <c r="F658" t="str">
        <f>+IFERROR(VLOOKUP(Fact_Contabilidad[[#This Row], 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ht="18.75" customHeight="1" x14ac:dyDescent="0.35">
      <c r="A659" s="103"/>
      <c r="C659" s="100" t="str">
        <f>IF(OR(Fact_Contabilidad[[#This Row], [Año]]="",Fact_Contabilidad[[#This Row], [Mes]]=""),"",DATE(A659,MATCH(B659,{"enero","febrero","marzo","abril","mayo","junio","julio","agosto","septiembre","octubre","noviembre","diciembre"},0)+1,0))</f>
        <v/>
      </c>
      <c r="E659" t="str">
        <f>+IFERROR(VLOOKUP(Fact_Contabilidad[[#This Row], [Concepto Anterior]],Conceptos_Contabilidad[#All],5,0),"")</f>
        <v/>
      </c>
      <c r="F659" t="str">
        <f>+IFERROR(VLOOKUP(Fact_Contabilidad[[#This Row], 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ht="18.75" customHeight="1" x14ac:dyDescent="0.35">
      <c r="A660" s="103"/>
      <c r="C660" s="100" t="str">
        <f>IF(OR(Fact_Contabilidad[[#This Row], [Año]]="",Fact_Contabilidad[[#This Row], [Mes]]=""),"",DATE(A660,MATCH(B660,{"enero","febrero","marzo","abril","mayo","junio","julio","agosto","septiembre","octubre","noviembre","diciembre"},0)+1,0))</f>
        <v/>
      </c>
      <c r="E660" t="str">
        <f>+IFERROR(VLOOKUP(Fact_Contabilidad[[#This Row], [Concepto Anterior]],Conceptos_Contabilidad[#All],5,0),"")</f>
        <v/>
      </c>
      <c r="F660" t="str">
        <f>+IFERROR(VLOOKUP(Fact_Contabilidad[[#This Row], 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ht="18.75" customHeight="1" x14ac:dyDescent="0.35">
      <c r="A661" s="103"/>
      <c r="C661" s="100" t="str">
        <f>IF(OR(Fact_Contabilidad[[#This Row], [Año]]="",Fact_Contabilidad[[#This Row], [Mes]]=""),"",DATE(A661,MATCH(B661,{"enero","febrero","marzo","abril","mayo","junio","julio","agosto","septiembre","octubre","noviembre","diciembre"},0)+1,0))</f>
        <v/>
      </c>
      <c r="E661" t="str">
        <f>+IFERROR(VLOOKUP(Fact_Contabilidad[[#This Row], [Concepto Anterior]],Conceptos_Contabilidad[#All],5,0),"")</f>
        <v/>
      </c>
      <c r="F661" t="str">
        <f>+IFERROR(VLOOKUP(Fact_Contabilidad[[#This Row], 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ht="18.75" customHeight="1" x14ac:dyDescent="0.35">
      <c r="A662" s="103"/>
      <c r="C662" s="100" t="str">
        <f>IF(OR(Fact_Contabilidad[[#This Row], [Año]]="",Fact_Contabilidad[[#This Row], [Mes]]=""),"",DATE(A662,MATCH(B662,{"enero","febrero","marzo","abril","mayo","junio","julio","agosto","septiembre","octubre","noviembre","diciembre"},0)+1,0))</f>
        <v/>
      </c>
      <c r="E662" t="str">
        <f>+IFERROR(VLOOKUP(Fact_Contabilidad[[#This Row], [Concepto Anterior]],Conceptos_Contabilidad[#All],5,0),"")</f>
        <v/>
      </c>
      <c r="F662" t="str">
        <f>+IFERROR(VLOOKUP(Fact_Contabilidad[[#This Row], 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ht="18.75" customHeight="1" x14ac:dyDescent="0.35">
      <c r="A663" s="103"/>
      <c r="C663" s="100" t="str">
        <f>IF(OR(Fact_Contabilidad[[#This Row], [Año]]="",Fact_Contabilidad[[#This Row], [Mes]]=""),"",DATE(A663,MATCH(B663,{"enero","febrero","marzo","abril","mayo","junio","julio","agosto","septiembre","octubre","noviembre","diciembre"},0)+1,0))</f>
        <v/>
      </c>
      <c r="E663" t="str">
        <f>+IFERROR(VLOOKUP(Fact_Contabilidad[[#This Row], [Concepto Anterior]],Conceptos_Contabilidad[#All],5,0),"")</f>
        <v/>
      </c>
      <c r="F663" t="str">
        <f>+IFERROR(VLOOKUP(Fact_Contabilidad[[#This Row], 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ht="18.75" customHeight="1" x14ac:dyDescent="0.35">
      <c r="A664" s="103"/>
      <c r="C664" s="100" t="str">
        <f>IF(OR(Fact_Contabilidad[[#This Row], [Año]]="",Fact_Contabilidad[[#This Row], [Mes]]=""),"",DATE(A664,MATCH(B664,{"enero","febrero","marzo","abril","mayo","junio","julio","agosto","septiembre","octubre","noviembre","diciembre"},0)+1,0))</f>
        <v/>
      </c>
      <c r="E664" t="str">
        <f>+IFERROR(VLOOKUP(Fact_Contabilidad[[#This Row], [Concepto Anterior]],Conceptos_Contabilidad[#All],5,0),"")</f>
        <v/>
      </c>
      <c r="F664" t="str">
        <f>+IFERROR(VLOOKUP(Fact_Contabilidad[[#This Row], 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ht="18.75" customHeight="1" x14ac:dyDescent="0.35">
      <c r="A665" s="103"/>
      <c r="C665" s="100" t="str">
        <f>IF(OR(Fact_Contabilidad[[#This Row], [Año]]="",Fact_Contabilidad[[#This Row], [Mes]]=""),"",DATE(A665,MATCH(B665,{"enero","febrero","marzo","abril","mayo","junio","julio","agosto","septiembre","octubre","noviembre","diciembre"},0)+1,0))</f>
        <v/>
      </c>
      <c r="E665" t="str">
        <f>+IFERROR(VLOOKUP(Fact_Contabilidad[[#This Row], [Concepto Anterior]],Conceptos_Contabilidad[#All],5,0),"")</f>
        <v/>
      </c>
      <c r="F665" t="str">
        <f>+IFERROR(VLOOKUP(Fact_Contabilidad[[#This Row], 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ht="18.75" customHeight="1" x14ac:dyDescent="0.35">
      <c r="A666" s="103"/>
      <c r="C666" s="100" t="str">
        <f>IF(OR(Fact_Contabilidad[[#This Row], [Año]]="",Fact_Contabilidad[[#This Row], [Mes]]=""),"",DATE(A666,MATCH(B666,{"enero","febrero","marzo","abril","mayo","junio","julio","agosto","septiembre","octubre","noviembre","diciembre"},0)+1,0))</f>
        <v/>
      </c>
      <c r="E666" t="str">
        <f>+IFERROR(VLOOKUP(Fact_Contabilidad[[#This Row], [Concepto Anterior]],Conceptos_Contabilidad[#All],5,0),"")</f>
        <v/>
      </c>
      <c r="F666" t="str">
        <f>+IFERROR(VLOOKUP(Fact_Contabilidad[[#This Row], 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ht="18.75" customHeight="1" x14ac:dyDescent="0.35">
      <c r="A667" s="103"/>
      <c r="C667" s="100" t="str">
        <f>IF(OR(Fact_Contabilidad[[#This Row], [Año]]="",Fact_Contabilidad[[#This Row], [Mes]]=""),"",DATE(A667,MATCH(B667,{"enero","febrero","marzo","abril","mayo","junio","julio","agosto","septiembre","octubre","noviembre","diciembre"},0)+1,0))</f>
        <v/>
      </c>
      <c r="E667" t="str">
        <f>+IFERROR(VLOOKUP(Fact_Contabilidad[[#This Row], [Concepto Anterior]],Conceptos_Contabilidad[#All],5,0),"")</f>
        <v/>
      </c>
      <c r="F667" t="str">
        <f>+IFERROR(VLOOKUP(Fact_Contabilidad[[#This Row], 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ht="18.75" customHeight="1" x14ac:dyDescent="0.35">
      <c r="A668" s="103"/>
      <c r="C668" s="100" t="str">
        <f>IF(OR(Fact_Contabilidad[[#This Row], [Año]]="",Fact_Contabilidad[[#This Row], [Mes]]=""),"",DATE(A668,MATCH(B668,{"enero","febrero","marzo","abril","mayo","junio","julio","agosto","septiembre","octubre","noviembre","diciembre"},0)+1,0))</f>
        <v/>
      </c>
      <c r="E668" t="str">
        <f>+IFERROR(VLOOKUP(Fact_Contabilidad[[#This Row], [Concepto Anterior]],Conceptos_Contabilidad[#All],5,0),"")</f>
        <v/>
      </c>
      <c r="F668" t="str">
        <f>+IFERROR(VLOOKUP(Fact_Contabilidad[[#This Row], 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ht="18.75" customHeight="1" x14ac:dyDescent="0.35">
      <c r="A669" s="103"/>
      <c r="C669" s="100" t="str">
        <f>IF(OR(Fact_Contabilidad[[#This Row], [Año]]="",Fact_Contabilidad[[#This Row], [Mes]]=""),"",DATE(A669,MATCH(B669,{"enero","febrero","marzo","abril","mayo","junio","julio","agosto","septiembre","octubre","noviembre","diciembre"},0)+1,0))</f>
        <v/>
      </c>
      <c r="E669" t="str">
        <f>+IFERROR(VLOOKUP(Fact_Contabilidad[[#This Row], [Concepto Anterior]],Conceptos_Contabilidad[#All],5,0),"")</f>
        <v/>
      </c>
      <c r="F669" t="str">
        <f>+IFERROR(VLOOKUP(Fact_Contabilidad[[#This Row], 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ht="18.75" customHeight="1" x14ac:dyDescent="0.35">
      <c r="A670" s="103"/>
      <c r="C670" s="100" t="str">
        <f>IF(OR(Fact_Contabilidad[[#This Row], [Año]]="",Fact_Contabilidad[[#This Row], [Mes]]=""),"",DATE(A670,MATCH(B670,{"enero","febrero","marzo","abril","mayo","junio","julio","agosto","septiembre","octubre","noviembre","diciembre"},0)+1,0))</f>
        <v/>
      </c>
      <c r="E670" t="str">
        <f>+IFERROR(VLOOKUP(Fact_Contabilidad[[#This Row], [Concepto Anterior]],Conceptos_Contabilidad[#All],5,0),"")</f>
        <v/>
      </c>
      <c r="F670" t="str">
        <f>+IFERROR(VLOOKUP(Fact_Contabilidad[[#This Row], 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ht="18.75" customHeight="1" x14ac:dyDescent="0.35">
      <c r="A671" s="103"/>
      <c r="C671" s="100" t="str">
        <f>IF(OR(Fact_Contabilidad[[#This Row], [Año]]="",Fact_Contabilidad[[#This Row], [Mes]]=""),"",DATE(A671,MATCH(B671,{"enero","febrero","marzo","abril","mayo","junio","julio","agosto","septiembre","octubre","noviembre","diciembre"},0)+1,0))</f>
        <v/>
      </c>
      <c r="E671" t="str">
        <f>+IFERROR(VLOOKUP(Fact_Contabilidad[[#This Row], [Concepto Anterior]],Conceptos_Contabilidad[#All],5,0),"")</f>
        <v/>
      </c>
      <c r="F671" t="str">
        <f>+IFERROR(VLOOKUP(Fact_Contabilidad[[#This Row], 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ht="18.75" customHeight="1" x14ac:dyDescent="0.35">
      <c r="A672" s="103"/>
      <c r="C672" s="100" t="str">
        <f>IF(OR(Fact_Contabilidad[[#This Row], [Año]]="",Fact_Contabilidad[[#This Row], [Mes]]=""),"",DATE(A672,MATCH(B672,{"enero","febrero","marzo","abril","mayo","junio","julio","agosto","septiembre","octubre","noviembre","diciembre"},0)+1,0))</f>
        <v/>
      </c>
      <c r="E672" t="str">
        <f>+IFERROR(VLOOKUP(Fact_Contabilidad[[#This Row], [Concepto Anterior]],Conceptos_Contabilidad[#All],5,0),"")</f>
        <v/>
      </c>
      <c r="F672" t="str">
        <f>+IFERROR(VLOOKUP(Fact_Contabilidad[[#This Row], 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ht="18.75" customHeight="1" x14ac:dyDescent="0.35">
      <c r="A673" s="103"/>
      <c r="C673" s="100" t="str">
        <f>IF(OR(Fact_Contabilidad[[#This Row], [Año]]="",Fact_Contabilidad[[#This Row], [Mes]]=""),"",DATE(A673,MATCH(B673,{"enero","febrero","marzo","abril","mayo","junio","julio","agosto","septiembre","octubre","noviembre","diciembre"},0)+1,0))</f>
        <v/>
      </c>
      <c r="E673" t="str">
        <f>+IFERROR(VLOOKUP(Fact_Contabilidad[[#This Row], [Concepto Anterior]],Conceptos_Contabilidad[#All],5,0),"")</f>
        <v/>
      </c>
      <c r="F673" t="str">
        <f>+IFERROR(VLOOKUP(Fact_Contabilidad[[#This Row], 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ht="18.75" customHeight="1" x14ac:dyDescent="0.35">
      <c r="A674" s="103"/>
      <c r="C674" s="100" t="str">
        <f>IF(OR(Fact_Contabilidad[[#This Row], [Año]]="",Fact_Contabilidad[[#This Row], [Mes]]=""),"",DATE(A674,MATCH(B674,{"enero","febrero","marzo","abril","mayo","junio","julio","agosto","septiembre","octubre","noviembre","diciembre"},0)+1,0))</f>
        <v/>
      </c>
      <c r="E674" t="str">
        <f>+IFERROR(VLOOKUP(Fact_Contabilidad[[#This Row], [Concepto Anterior]],Conceptos_Contabilidad[#All],5,0),"")</f>
        <v/>
      </c>
      <c r="F674" t="str">
        <f>+IFERROR(VLOOKUP(Fact_Contabilidad[[#This Row], 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ht="18.75" customHeight="1" x14ac:dyDescent="0.35">
      <c r="A675" s="103"/>
      <c r="C675" s="100" t="str">
        <f>IF(OR(Fact_Contabilidad[[#This Row], [Año]]="",Fact_Contabilidad[[#This Row], [Mes]]=""),"",DATE(A675,MATCH(B675,{"enero","febrero","marzo","abril","mayo","junio","julio","agosto","septiembre","octubre","noviembre","diciembre"},0)+1,0))</f>
        <v/>
      </c>
      <c r="E675" t="str">
        <f>+IFERROR(VLOOKUP(Fact_Contabilidad[[#This Row], [Concepto Anterior]],Conceptos_Contabilidad[#All],5,0),"")</f>
        <v/>
      </c>
      <c r="F675" t="str">
        <f>+IFERROR(VLOOKUP(Fact_Contabilidad[[#This Row], 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ht="18.75" customHeight="1" x14ac:dyDescent="0.35">
      <c r="A676" s="103"/>
      <c r="C676" s="100" t="str">
        <f>IF(OR(Fact_Contabilidad[[#This Row], [Año]]="",Fact_Contabilidad[[#This Row], [Mes]]=""),"",DATE(A676,MATCH(B676,{"enero","febrero","marzo","abril","mayo","junio","julio","agosto","septiembre","octubre","noviembre","diciembre"},0)+1,0))</f>
        <v/>
      </c>
      <c r="E676" t="str">
        <f>+IFERROR(VLOOKUP(Fact_Contabilidad[[#This Row], [Concepto Anterior]],Conceptos_Contabilidad[#All],5,0),"")</f>
        <v/>
      </c>
      <c r="F676" t="str">
        <f>+IFERROR(VLOOKUP(Fact_Contabilidad[[#This Row], 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ht="18.75" customHeight="1" x14ac:dyDescent="0.35">
      <c r="A677" s="103"/>
      <c r="C677" s="100" t="str">
        <f>IF(OR(Fact_Contabilidad[[#This Row], [Año]]="",Fact_Contabilidad[[#This Row], [Mes]]=""),"",DATE(A677,MATCH(B677,{"enero","febrero","marzo","abril","mayo","junio","julio","agosto","septiembre","octubre","noviembre","diciembre"},0)+1,0))</f>
        <v/>
      </c>
      <c r="E677" t="str">
        <f>+IFERROR(VLOOKUP(Fact_Contabilidad[[#This Row], [Concepto Anterior]],Conceptos_Contabilidad[#All],5,0),"")</f>
        <v/>
      </c>
      <c r="F677" t="str">
        <f>+IFERROR(VLOOKUP(Fact_Contabilidad[[#This Row], 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ht="18.75" customHeight="1" x14ac:dyDescent="0.35">
      <c r="A678" s="103"/>
      <c r="C678" s="100" t="str">
        <f>IF(OR(Fact_Contabilidad[[#This Row], [Año]]="",Fact_Contabilidad[[#This Row], [Mes]]=""),"",DATE(A678,MATCH(B678,{"enero","febrero","marzo","abril","mayo","junio","julio","agosto","septiembre","octubre","noviembre","diciembre"},0)+1,0))</f>
        <v/>
      </c>
      <c r="E678" t="str">
        <f>+IFERROR(VLOOKUP(Fact_Contabilidad[[#This Row], [Concepto Anterior]],Conceptos_Contabilidad[#All],5,0),"")</f>
        <v/>
      </c>
      <c r="F678" t="str">
        <f>+IFERROR(VLOOKUP(Fact_Contabilidad[[#This Row], 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ht="18.75" customHeight="1" x14ac:dyDescent="0.35">
      <c r="A679" s="103"/>
      <c r="C679" s="100" t="str">
        <f>IF(OR(Fact_Contabilidad[[#This Row], [Año]]="",Fact_Contabilidad[[#This Row], [Mes]]=""),"",DATE(A679,MATCH(B679,{"enero","febrero","marzo","abril","mayo","junio","julio","agosto","septiembre","octubre","noviembre","diciembre"},0)+1,0))</f>
        <v/>
      </c>
      <c r="E679" t="str">
        <f>+IFERROR(VLOOKUP(Fact_Contabilidad[[#This Row], [Concepto Anterior]],Conceptos_Contabilidad[#All],5,0),"")</f>
        <v/>
      </c>
      <c r="F679" t="str">
        <f>+IFERROR(VLOOKUP(Fact_Contabilidad[[#This Row], 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ht="18.75" customHeight="1" x14ac:dyDescent="0.35">
      <c r="A680" s="103"/>
      <c r="C680" s="100" t="str">
        <f>IF(OR(Fact_Contabilidad[[#This Row], [Año]]="",Fact_Contabilidad[[#This Row], [Mes]]=""),"",DATE(A680,MATCH(B680,{"enero","febrero","marzo","abril","mayo","junio","julio","agosto","septiembre","octubre","noviembre","diciembre"},0)+1,0))</f>
        <v/>
      </c>
      <c r="E680" t="str">
        <f>+IFERROR(VLOOKUP(Fact_Contabilidad[[#This Row], [Concepto Anterior]],Conceptos_Contabilidad[#All],5,0),"")</f>
        <v/>
      </c>
      <c r="F680" t="str">
        <f>+IFERROR(VLOOKUP(Fact_Contabilidad[[#This Row], 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ht="18.75" customHeight="1" x14ac:dyDescent="0.35">
      <c r="A681" s="103"/>
      <c r="C681" s="100" t="str">
        <f>IF(OR(Fact_Contabilidad[[#This Row], [Año]]="",Fact_Contabilidad[[#This Row], [Mes]]=""),"",DATE(A681,MATCH(B681,{"enero","febrero","marzo","abril","mayo","junio","julio","agosto","septiembre","octubre","noviembre","diciembre"},0)+1,0))</f>
        <v/>
      </c>
      <c r="E681" t="str">
        <f>+IFERROR(VLOOKUP(Fact_Contabilidad[[#This Row], [Concepto Anterior]],Conceptos_Contabilidad[#All],5,0),"")</f>
        <v/>
      </c>
      <c r="F681" t="str">
        <f>+IFERROR(VLOOKUP(Fact_Contabilidad[[#This Row], 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ht="18.75" customHeight="1" x14ac:dyDescent="0.35">
      <c r="A682" s="103"/>
      <c r="C682" s="100" t="str">
        <f>IF(OR(Fact_Contabilidad[[#This Row], [Año]]="",Fact_Contabilidad[[#This Row], [Mes]]=""),"",DATE(A682,MATCH(B682,{"enero","febrero","marzo","abril","mayo","junio","julio","agosto","septiembre","octubre","noviembre","diciembre"},0)+1,0))</f>
        <v/>
      </c>
      <c r="E682" t="str">
        <f>+IFERROR(VLOOKUP(Fact_Contabilidad[[#This Row], [Concepto Anterior]],Conceptos_Contabilidad[#All],5,0),"")</f>
        <v/>
      </c>
      <c r="F682" t="str">
        <f>+IFERROR(VLOOKUP(Fact_Contabilidad[[#This Row], 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ht="18.75" customHeight="1" x14ac:dyDescent="0.35">
      <c r="A683" s="103"/>
      <c r="C683" s="100" t="str">
        <f>IF(OR(Fact_Contabilidad[[#This Row], [Año]]="",Fact_Contabilidad[[#This Row], [Mes]]=""),"",DATE(A683,MATCH(B683,{"enero","febrero","marzo","abril","mayo","junio","julio","agosto","septiembre","octubre","noviembre","diciembre"},0)+1,0))</f>
        <v/>
      </c>
      <c r="E683" t="str">
        <f>+IFERROR(VLOOKUP(Fact_Contabilidad[[#This Row], [Concepto Anterior]],Conceptos_Contabilidad[#All],5,0),"")</f>
        <v/>
      </c>
      <c r="F683" t="str">
        <f>+IFERROR(VLOOKUP(Fact_Contabilidad[[#This Row], 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ht="18.75" customHeight="1" x14ac:dyDescent="0.35">
      <c r="A684" s="103"/>
      <c r="C684" s="100" t="str">
        <f>IF(OR(Fact_Contabilidad[[#This Row], [Año]]="",Fact_Contabilidad[[#This Row], [Mes]]=""),"",DATE(A684,MATCH(B684,{"enero","febrero","marzo","abril","mayo","junio","julio","agosto","septiembre","octubre","noviembre","diciembre"},0)+1,0))</f>
        <v/>
      </c>
      <c r="E684" t="str">
        <f>+IFERROR(VLOOKUP(Fact_Contabilidad[[#This Row], [Concepto Anterior]],Conceptos_Contabilidad[#All],5,0),"")</f>
        <v/>
      </c>
      <c r="F684" t="str">
        <f>+IFERROR(VLOOKUP(Fact_Contabilidad[[#This Row], 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ht="18.75" customHeight="1" x14ac:dyDescent="0.35">
      <c r="A685" s="103"/>
      <c r="C685" s="100" t="str">
        <f>IF(OR(Fact_Contabilidad[[#This Row], [Año]]="",Fact_Contabilidad[[#This Row], [Mes]]=""),"",DATE(A685,MATCH(B685,{"enero","febrero","marzo","abril","mayo","junio","julio","agosto","septiembre","octubre","noviembre","diciembre"},0)+1,0))</f>
        <v/>
      </c>
      <c r="E685" t="str">
        <f>+IFERROR(VLOOKUP(Fact_Contabilidad[[#This Row], [Concepto Anterior]],Conceptos_Contabilidad[#All],5,0),"")</f>
        <v/>
      </c>
      <c r="F685" t="str">
        <f>+IFERROR(VLOOKUP(Fact_Contabilidad[[#This Row], 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ht="18.75" customHeight="1" x14ac:dyDescent="0.35">
      <c r="A686" s="103"/>
      <c r="C686" s="100" t="str">
        <f>IF(OR(Fact_Contabilidad[[#This Row], [Año]]="",Fact_Contabilidad[[#This Row], [Mes]]=""),"",DATE(A686,MATCH(B686,{"enero","febrero","marzo","abril","mayo","junio","julio","agosto","septiembre","octubre","noviembre","diciembre"},0)+1,0))</f>
        <v/>
      </c>
      <c r="E686" t="str">
        <f>+IFERROR(VLOOKUP(Fact_Contabilidad[[#This Row], [Concepto Anterior]],Conceptos_Contabilidad[#All],5,0),"")</f>
        <v/>
      </c>
      <c r="F686" t="str">
        <f>+IFERROR(VLOOKUP(Fact_Contabilidad[[#This Row], 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ht="18.75" customHeight="1" x14ac:dyDescent="0.35">
      <c r="A687" s="103"/>
      <c r="C687" s="100" t="str">
        <f>IF(OR(Fact_Contabilidad[[#This Row], [Año]]="",Fact_Contabilidad[[#This Row], [Mes]]=""),"",DATE(A687,MATCH(B687,{"enero","febrero","marzo","abril","mayo","junio","julio","agosto","septiembre","octubre","noviembre","diciembre"},0)+1,0))</f>
        <v/>
      </c>
      <c r="E687" t="str">
        <f>+IFERROR(VLOOKUP(Fact_Contabilidad[[#This Row], [Concepto Anterior]],Conceptos_Contabilidad[#All],5,0),"")</f>
        <v/>
      </c>
      <c r="F687" t="str">
        <f>+IFERROR(VLOOKUP(Fact_Contabilidad[[#This Row], 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ht="18.75" customHeight="1" x14ac:dyDescent="0.35">
      <c r="A688" s="103"/>
      <c r="C688" s="100" t="str">
        <f>IF(OR(Fact_Contabilidad[[#This Row], [Año]]="",Fact_Contabilidad[[#This Row], [Mes]]=""),"",DATE(A688,MATCH(B688,{"enero","febrero","marzo","abril","mayo","junio","julio","agosto","septiembre","octubre","noviembre","diciembre"},0)+1,0))</f>
        <v/>
      </c>
      <c r="E688" t="str">
        <f>+IFERROR(VLOOKUP(Fact_Contabilidad[[#This Row], [Concepto Anterior]],Conceptos_Contabilidad[#All],5,0),"")</f>
        <v/>
      </c>
      <c r="F688" t="str">
        <f>+IFERROR(VLOOKUP(Fact_Contabilidad[[#This Row], 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ht="18.75" customHeight="1" x14ac:dyDescent="0.35">
      <c r="A689" s="103"/>
      <c r="C689" s="100" t="str">
        <f>IF(OR(Fact_Contabilidad[[#This Row], [Año]]="",Fact_Contabilidad[[#This Row], [Mes]]=""),"",DATE(A689,MATCH(B689,{"enero","febrero","marzo","abril","mayo","junio","julio","agosto","septiembre","octubre","noviembre","diciembre"},0)+1,0))</f>
        <v/>
      </c>
      <c r="E689" t="str">
        <f>+IFERROR(VLOOKUP(Fact_Contabilidad[[#This Row], [Concepto Anterior]],Conceptos_Contabilidad[#All],5,0),"")</f>
        <v/>
      </c>
      <c r="F689" t="str">
        <f>+IFERROR(VLOOKUP(Fact_Contabilidad[[#This Row], 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ht="18.75" customHeight="1" x14ac:dyDescent="0.35">
      <c r="A690" s="103"/>
      <c r="C690" s="100" t="str">
        <f>IF(OR(Fact_Contabilidad[[#This Row], [Año]]="",Fact_Contabilidad[[#This Row], [Mes]]=""),"",DATE(A690,MATCH(B690,{"enero","febrero","marzo","abril","mayo","junio","julio","agosto","septiembre","octubre","noviembre","diciembre"},0)+1,0))</f>
        <v/>
      </c>
      <c r="E690" t="str">
        <f>+IFERROR(VLOOKUP(Fact_Contabilidad[[#This Row], [Concepto Anterior]],Conceptos_Contabilidad[#All],5,0),"")</f>
        <v/>
      </c>
      <c r="F690" t="str">
        <f>+IFERROR(VLOOKUP(Fact_Contabilidad[[#This Row], 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ht="18.75" customHeight="1" x14ac:dyDescent="0.35">
      <c r="A691" s="103"/>
      <c r="C691" s="100" t="str">
        <f>IF(OR(Fact_Contabilidad[[#This Row], [Año]]="",Fact_Contabilidad[[#This Row], [Mes]]=""),"",DATE(A691,MATCH(B691,{"enero","febrero","marzo","abril","mayo","junio","julio","agosto","septiembre","octubre","noviembre","diciembre"},0)+1,0))</f>
        <v/>
      </c>
      <c r="E691" t="str">
        <f>+IFERROR(VLOOKUP(Fact_Contabilidad[[#This Row], [Concepto Anterior]],Conceptos_Contabilidad[#All],5,0),"")</f>
        <v/>
      </c>
      <c r="F691" t="str">
        <f>+IFERROR(VLOOKUP(Fact_Contabilidad[[#This Row], 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ht="18.75" customHeight="1" x14ac:dyDescent="0.35">
      <c r="A692" s="103"/>
      <c r="C692" s="100" t="str">
        <f>IF(OR(Fact_Contabilidad[[#This Row], [Año]]="",Fact_Contabilidad[[#This Row], [Mes]]=""),"",DATE(A692,MATCH(B692,{"enero","febrero","marzo","abril","mayo","junio","julio","agosto","septiembre","octubre","noviembre","diciembre"},0)+1,0))</f>
        <v/>
      </c>
      <c r="E692" t="str">
        <f>+IFERROR(VLOOKUP(Fact_Contabilidad[[#This Row], [Concepto Anterior]],Conceptos_Contabilidad[#All],5,0),"")</f>
        <v/>
      </c>
      <c r="F692" t="str">
        <f>+IFERROR(VLOOKUP(Fact_Contabilidad[[#This Row], 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ht="18.75" customHeight="1" x14ac:dyDescent="0.35">
      <c r="A693" s="103"/>
      <c r="C693" s="100" t="str">
        <f>IF(OR(Fact_Contabilidad[[#This Row], [Año]]="",Fact_Contabilidad[[#This Row], [Mes]]=""),"",DATE(A693,MATCH(B693,{"enero","febrero","marzo","abril","mayo","junio","julio","agosto","septiembre","octubre","noviembre","diciembre"},0)+1,0))</f>
        <v/>
      </c>
      <c r="E693" t="str">
        <f>+IFERROR(VLOOKUP(Fact_Contabilidad[[#This Row], [Concepto Anterior]],Conceptos_Contabilidad[#All],5,0),"")</f>
        <v/>
      </c>
      <c r="F693" t="str">
        <f>+IFERROR(VLOOKUP(Fact_Contabilidad[[#This Row], 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ht="18.75" customHeight="1" x14ac:dyDescent="0.35">
      <c r="A694" s="103"/>
      <c r="C694" s="100" t="str">
        <f>IF(OR(Fact_Contabilidad[[#This Row], [Año]]="",Fact_Contabilidad[[#This Row], [Mes]]=""),"",DATE(A694,MATCH(B694,{"enero","febrero","marzo","abril","mayo","junio","julio","agosto","septiembre","octubre","noviembre","diciembre"},0)+1,0))</f>
        <v/>
      </c>
      <c r="E694" t="str">
        <f>+IFERROR(VLOOKUP(Fact_Contabilidad[[#This Row], [Concepto Anterior]],Conceptos_Contabilidad[#All],5,0),"")</f>
        <v/>
      </c>
      <c r="F694" t="str">
        <f>+IFERROR(VLOOKUP(Fact_Contabilidad[[#This Row], 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ht="18.75" customHeight="1" x14ac:dyDescent="0.35">
      <c r="A695" s="103"/>
      <c r="C695" s="100" t="str">
        <f>IF(OR(Fact_Contabilidad[[#This Row], [Año]]="",Fact_Contabilidad[[#This Row], [Mes]]=""),"",DATE(A695,MATCH(B695,{"enero","febrero","marzo","abril","mayo","junio","julio","agosto","septiembre","octubre","noviembre","diciembre"},0)+1,0))</f>
        <v/>
      </c>
      <c r="E695" t="str">
        <f>+IFERROR(VLOOKUP(Fact_Contabilidad[[#This Row], [Concepto Anterior]],Conceptos_Contabilidad[#All],5,0),"")</f>
        <v/>
      </c>
      <c r="F695" t="str">
        <f>+IFERROR(VLOOKUP(Fact_Contabilidad[[#This Row], 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ht="18.75" customHeight="1" x14ac:dyDescent="0.35">
      <c r="A696" s="103"/>
      <c r="C696" s="100" t="str">
        <f>IF(OR(Fact_Contabilidad[[#This Row], [Año]]="",Fact_Contabilidad[[#This Row], [Mes]]=""),"",DATE(A696,MATCH(B696,{"enero","febrero","marzo","abril","mayo","junio","julio","agosto","septiembre","octubre","noviembre","diciembre"},0)+1,0))</f>
        <v/>
      </c>
      <c r="E696" t="str">
        <f>+IFERROR(VLOOKUP(Fact_Contabilidad[[#This Row], [Concepto Anterior]],Conceptos_Contabilidad[#All],5,0),"")</f>
        <v/>
      </c>
      <c r="F696" t="str">
        <f>+IFERROR(VLOOKUP(Fact_Contabilidad[[#This Row], 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ht="18.75" customHeight="1" x14ac:dyDescent="0.35">
      <c r="A697" s="103"/>
      <c r="C697" s="100" t="str">
        <f>IF(OR(Fact_Contabilidad[[#This Row], [Año]]="",Fact_Contabilidad[[#This Row], [Mes]]=""),"",DATE(A697,MATCH(B697,{"enero","febrero","marzo","abril","mayo","junio","julio","agosto","septiembre","octubre","noviembre","diciembre"},0)+1,0))</f>
        <v/>
      </c>
      <c r="E697" t="str">
        <f>+IFERROR(VLOOKUP(Fact_Contabilidad[[#This Row], [Concepto Anterior]],Conceptos_Contabilidad[#All],5,0),"")</f>
        <v/>
      </c>
      <c r="F697" t="str">
        <f>+IFERROR(VLOOKUP(Fact_Contabilidad[[#This Row], 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ht="18.75" customHeight="1" x14ac:dyDescent="0.35">
      <c r="A698" s="103"/>
      <c r="C698" s="100" t="str">
        <f>IF(OR(Fact_Contabilidad[[#This Row], [Año]]="",Fact_Contabilidad[[#This Row], [Mes]]=""),"",DATE(A698,MATCH(B698,{"enero","febrero","marzo","abril","mayo","junio","julio","agosto","septiembre","octubre","noviembre","diciembre"},0)+1,0))</f>
        <v/>
      </c>
      <c r="E698" t="str">
        <f>+IFERROR(VLOOKUP(Fact_Contabilidad[[#This Row], [Concepto Anterior]],Conceptos_Contabilidad[#All],5,0),"")</f>
        <v/>
      </c>
      <c r="F698" t="str">
        <f>+IFERROR(VLOOKUP(Fact_Contabilidad[[#This Row], 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ht="18.75" customHeight="1" x14ac:dyDescent="0.35">
      <c r="A699" s="103"/>
      <c r="C699" s="100" t="str">
        <f>IF(OR(Fact_Contabilidad[[#This Row], [Año]]="",Fact_Contabilidad[[#This Row], [Mes]]=""),"",DATE(A699,MATCH(B699,{"enero","febrero","marzo","abril","mayo","junio","julio","agosto","septiembre","octubre","noviembre","diciembre"},0)+1,0))</f>
        <v/>
      </c>
      <c r="E699" t="str">
        <f>+IFERROR(VLOOKUP(Fact_Contabilidad[[#This Row], [Concepto Anterior]],Conceptos_Contabilidad[#All],5,0),"")</f>
        <v/>
      </c>
      <c r="F699" t="str">
        <f>+IFERROR(VLOOKUP(Fact_Contabilidad[[#This Row], 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ht="18.75" customHeight="1" x14ac:dyDescent="0.35">
      <c r="A700" s="103"/>
      <c r="C700" s="100" t="str">
        <f>IF(OR(Fact_Contabilidad[[#This Row], [Año]]="",Fact_Contabilidad[[#This Row], [Mes]]=""),"",DATE(A700,MATCH(B700,{"enero","febrero","marzo","abril","mayo","junio","julio","agosto","septiembre","octubre","noviembre","diciembre"},0)+1,0))</f>
        <v/>
      </c>
      <c r="E700" t="str">
        <f>+IFERROR(VLOOKUP(Fact_Contabilidad[[#This Row], [Concepto Anterior]],Conceptos_Contabilidad[#All],5,0),"")</f>
        <v/>
      </c>
      <c r="F700" t="str">
        <f>+IFERROR(VLOOKUP(Fact_Contabilidad[[#This Row], 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ht="18.75" customHeight="1" x14ac:dyDescent="0.35">
      <c r="A701" s="103"/>
      <c r="C701" s="100" t="str">
        <f>IF(OR(Fact_Contabilidad[[#This Row], [Año]]="",Fact_Contabilidad[[#This Row], [Mes]]=""),"",DATE(A701,MATCH(B701,{"enero","febrero","marzo","abril","mayo","junio","julio","agosto","septiembre","octubre","noviembre","diciembre"},0)+1,0))</f>
        <v/>
      </c>
      <c r="E701" t="str">
        <f>+IFERROR(VLOOKUP(Fact_Contabilidad[[#This Row], [Concepto Anterior]],Conceptos_Contabilidad[#All],5,0),"")</f>
        <v/>
      </c>
      <c r="F701" t="str">
        <f>+IFERROR(VLOOKUP(Fact_Contabilidad[[#This Row], 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ht="18.75" customHeight="1" x14ac:dyDescent="0.35">
      <c r="A702" s="103"/>
      <c r="C702" s="100" t="str">
        <f>IF(OR(Fact_Contabilidad[[#This Row], [Año]]="",Fact_Contabilidad[[#This Row], [Mes]]=""),"",DATE(A702,MATCH(B702,{"enero","febrero","marzo","abril","mayo","junio","julio","agosto","septiembre","octubre","noviembre","diciembre"},0)+1,0))</f>
        <v/>
      </c>
      <c r="E702" t="str">
        <f>+IFERROR(VLOOKUP(Fact_Contabilidad[[#This Row], [Concepto Anterior]],Conceptos_Contabilidad[#All],5,0),"")</f>
        <v/>
      </c>
      <c r="F702" t="str">
        <f>+IFERROR(VLOOKUP(Fact_Contabilidad[[#This Row], 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ht="18.75" customHeight="1" x14ac:dyDescent="0.35">
      <c r="A703" s="103"/>
      <c r="C703" s="100" t="str">
        <f>IF(OR(Fact_Contabilidad[[#This Row], [Año]]="",Fact_Contabilidad[[#This Row], [Mes]]=""),"",DATE(A703,MATCH(B703,{"enero","febrero","marzo","abril","mayo","junio","julio","agosto","septiembre","octubre","noviembre","diciembre"},0)+1,0))</f>
        <v/>
      </c>
      <c r="E703" t="str">
        <f>+IFERROR(VLOOKUP(Fact_Contabilidad[[#This Row], [Concepto Anterior]],Conceptos_Contabilidad[#All],5,0),"")</f>
        <v/>
      </c>
      <c r="F703" t="str">
        <f>+IFERROR(VLOOKUP(Fact_Contabilidad[[#This Row], 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ht="18.75" customHeight="1" x14ac:dyDescent="0.35">
      <c r="A704" s="103"/>
      <c r="C704" s="100" t="str">
        <f>IF(OR(Fact_Contabilidad[[#This Row], [Año]]="",Fact_Contabilidad[[#This Row], [Mes]]=""),"",DATE(A704,MATCH(B704,{"enero","febrero","marzo","abril","mayo","junio","julio","agosto","septiembre","octubre","noviembre","diciembre"},0)+1,0))</f>
        <v/>
      </c>
      <c r="E704" t="str">
        <f>+IFERROR(VLOOKUP(Fact_Contabilidad[[#This Row], [Concepto Anterior]],Conceptos_Contabilidad[#All],5,0),"")</f>
        <v/>
      </c>
      <c r="F704" t="str">
        <f>+IFERROR(VLOOKUP(Fact_Contabilidad[[#This Row], 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ht="18.75" customHeight="1" x14ac:dyDescent="0.35">
      <c r="A705" s="103"/>
      <c r="C705" s="100" t="str">
        <f>IF(OR(Fact_Contabilidad[[#This Row], [Año]]="",Fact_Contabilidad[[#This Row], [Mes]]=""),"",DATE(A705,MATCH(B705,{"enero","febrero","marzo","abril","mayo","junio","julio","agosto","septiembre","octubre","noviembre","diciembre"},0)+1,0))</f>
        <v/>
      </c>
      <c r="E705" t="str">
        <f>+IFERROR(VLOOKUP(Fact_Contabilidad[[#This Row], [Concepto Anterior]],Conceptos_Contabilidad[#All],5,0),"")</f>
        <v/>
      </c>
      <c r="F705" t="str">
        <f>+IFERROR(VLOOKUP(Fact_Contabilidad[[#This Row], 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ht="18.75" customHeight="1" x14ac:dyDescent="0.35">
      <c r="A706" s="103"/>
      <c r="C706" s="100" t="str">
        <f>IF(OR(Fact_Contabilidad[[#This Row], [Año]]="",Fact_Contabilidad[[#This Row], [Mes]]=""),"",DATE(A706,MATCH(B706,{"enero","febrero","marzo","abril","mayo","junio","julio","agosto","septiembre","octubre","noviembre","diciembre"},0)+1,0))</f>
        <v/>
      </c>
      <c r="E706" t="str">
        <f>+IFERROR(VLOOKUP(Fact_Contabilidad[[#This Row], [Concepto Anterior]],Conceptos_Contabilidad[#All],5,0),"")</f>
        <v/>
      </c>
      <c r="F706" t="str">
        <f>+IFERROR(VLOOKUP(Fact_Contabilidad[[#This Row], 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ht="18.75" customHeight="1" x14ac:dyDescent="0.35">
      <c r="A707" s="103"/>
      <c r="C707" s="100" t="str">
        <f>IF(OR(Fact_Contabilidad[[#This Row], [Año]]="",Fact_Contabilidad[[#This Row], [Mes]]=""),"",DATE(A707,MATCH(B707,{"enero","febrero","marzo","abril","mayo","junio","julio","agosto","septiembre","octubre","noviembre","diciembre"},0)+1,0))</f>
        <v/>
      </c>
      <c r="E707" t="str">
        <f>+IFERROR(VLOOKUP(Fact_Contabilidad[[#This Row], [Concepto Anterior]],Conceptos_Contabilidad[#All],5,0),"")</f>
        <v/>
      </c>
      <c r="F707" t="str">
        <f>+IFERROR(VLOOKUP(Fact_Contabilidad[[#This Row], 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ht="18.75" customHeight="1" x14ac:dyDescent="0.35">
      <c r="A708" s="103"/>
      <c r="C708" s="100" t="str">
        <f>IF(OR(Fact_Contabilidad[[#This Row], [Año]]="",Fact_Contabilidad[[#This Row], [Mes]]=""),"",DATE(A708,MATCH(B708,{"enero","febrero","marzo","abril","mayo","junio","julio","agosto","septiembre","octubre","noviembre","diciembre"},0)+1,0))</f>
        <v/>
      </c>
      <c r="E708" t="str">
        <f>+IFERROR(VLOOKUP(Fact_Contabilidad[[#This Row], [Concepto Anterior]],Conceptos_Contabilidad[#All],5,0),"")</f>
        <v/>
      </c>
      <c r="F708" t="str">
        <f>+IFERROR(VLOOKUP(Fact_Contabilidad[[#This Row], 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ht="18.75" customHeight="1" x14ac:dyDescent="0.35">
      <c r="A709" s="103"/>
      <c r="C709" s="100" t="str">
        <f>IF(OR(Fact_Contabilidad[[#This Row], [Año]]="",Fact_Contabilidad[[#This Row], [Mes]]=""),"",DATE(A709,MATCH(B709,{"enero","febrero","marzo","abril","mayo","junio","julio","agosto","septiembre","octubre","noviembre","diciembre"},0)+1,0))</f>
        <v/>
      </c>
      <c r="E709" t="str">
        <f>+IFERROR(VLOOKUP(Fact_Contabilidad[[#This Row], [Concepto Anterior]],Conceptos_Contabilidad[#All],5,0),"")</f>
        <v/>
      </c>
      <c r="F709" t="str">
        <f>+IFERROR(VLOOKUP(Fact_Contabilidad[[#This Row], 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ht="18.75" customHeight="1" x14ac:dyDescent="0.35">
      <c r="A710" s="103"/>
      <c r="C710" s="100" t="str">
        <f>IF(OR(Fact_Contabilidad[[#This Row], [Año]]="",Fact_Contabilidad[[#This Row], [Mes]]=""),"",DATE(A710,MATCH(B710,{"enero","febrero","marzo","abril","mayo","junio","julio","agosto","septiembre","octubre","noviembre","diciembre"},0)+1,0))</f>
        <v/>
      </c>
      <c r="E710" t="str">
        <f>+IFERROR(VLOOKUP(Fact_Contabilidad[[#This Row], [Concepto Anterior]],Conceptos_Contabilidad[#All],5,0),"")</f>
        <v/>
      </c>
      <c r="F710" t="str">
        <f>+IFERROR(VLOOKUP(Fact_Contabilidad[[#This Row], 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ht="18.75" customHeight="1" x14ac:dyDescent="0.35">
      <c r="A711" s="103"/>
      <c r="C711" s="100" t="str">
        <f>IF(OR(Fact_Contabilidad[[#This Row], [Año]]="",Fact_Contabilidad[[#This Row], [Mes]]=""),"",DATE(A711,MATCH(B711,{"enero","febrero","marzo","abril","mayo","junio","julio","agosto","septiembre","octubre","noviembre","diciembre"},0)+1,0))</f>
        <v/>
      </c>
      <c r="E711" t="str">
        <f>+IFERROR(VLOOKUP(Fact_Contabilidad[[#This Row], [Concepto Anterior]],Conceptos_Contabilidad[#All],5,0),"")</f>
        <v/>
      </c>
      <c r="F711" t="str">
        <f>+IFERROR(VLOOKUP(Fact_Contabilidad[[#This Row], 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ht="18.75" customHeight="1" x14ac:dyDescent="0.35">
      <c r="A712" s="103"/>
      <c r="C712" s="100" t="str">
        <f>IF(OR(Fact_Contabilidad[[#This Row], [Año]]="",Fact_Contabilidad[[#This Row], [Mes]]=""),"",DATE(A712,MATCH(B712,{"enero","febrero","marzo","abril","mayo","junio","julio","agosto","septiembre","octubre","noviembre","diciembre"},0)+1,0))</f>
        <v/>
      </c>
      <c r="E712" t="str">
        <f>+IFERROR(VLOOKUP(Fact_Contabilidad[[#This Row], [Concepto Anterior]],Conceptos_Contabilidad[#All],5,0),"")</f>
        <v/>
      </c>
      <c r="F712" t="str">
        <f>+IFERROR(VLOOKUP(Fact_Contabilidad[[#This Row], 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ht="18.75" customHeight="1" x14ac:dyDescent="0.35">
      <c r="A713" s="103"/>
      <c r="C713" s="100" t="str">
        <f>IF(OR(Fact_Contabilidad[[#This Row], [Año]]="",Fact_Contabilidad[[#This Row], [Mes]]=""),"",DATE(A713,MATCH(B713,{"enero","febrero","marzo","abril","mayo","junio","julio","agosto","septiembre","octubre","noviembre","diciembre"},0)+1,0))</f>
        <v/>
      </c>
      <c r="E713" t="str">
        <f>+IFERROR(VLOOKUP(Fact_Contabilidad[[#This Row], [Concepto Anterior]],Conceptos_Contabilidad[#All],5,0),"")</f>
        <v/>
      </c>
      <c r="F713" t="str">
        <f>+IFERROR(VLOOKUP(Fact_Contabilidad[[#This Row], 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ht="18.75" customHeight="1" x14ac:dyDescent="0.35">
      <c r="A714" s="103"/>
      <c r="C714" s="100" t="str">
        <f>IF(OR(Fact_Contabilidad[[#This Row], [Año]]="",Fact_Contabilidad[[#This Row], [Mes]]=""),"",DATE(A714,MATCH(B714,{"enero","febrero","marzo","abril","mayo","junio","julio","agosto","septiembre","octubre","noviembre","diciembre"},0)+1,0))</f>
        <v/>
      </c>
      <c r="E714" t="str">
        <f>+IFERROR(VLOOKUP(Fact_Contabilidad[[#This Row], [Concepto Anterior]],Conceptos_Contabilidad[#All],5,0),"")</f>
        <v/>
      </c>
      <c r="F714" t="str">
        <f>+IFERROR(VLOOKUP(Fact_Contabilidad[[#This Row], 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ht="18.75" customHeight="1" x14ac:dyDescent="0.35">
      <c r="A715" s="103"/>
      <c r="C715" s="100" t="str">
        <f>IF(OR(Fact_Contabilidad[[#This Row], [Año]]="",Fact_Contabilidad[[#This Row], [Mes]]=""),"",DATE(A715,MATCH(B715,{"enero","febrero","marzo","abril","mayo","junio","julio","agosto","septiembre","octubre","noviembre","diciembre"},0)+1,0))</f>
        <v/>
      </c>
      <c r="E715" t="str">
        <f>+IFERROR(VLOOKUP(Fact_Contabilidad[[#This Row], [Concepto Anterior]],Conceptos_Contabilidad[#All],5,0),"")</f>
        <v/>
      </c>
      <c r="F715" t="str">
        <f>+IFERROR(VLOOKUP(Fact_Contabilidad[[#This Row], 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ht="18.75" customHeight="1" x14ac:dyDescent="0.35">
      <c r="A716" s="103"/>
      <c r="C716" s="100" t="str">
        <f>IF(OR(Fact_Contabilidad[[#This Row], [Año]]="",Fact_Contabilidad[[#This Row], [Mes]]=""),"",DATE(A716,MATCH(B716,{"enero","febrero","marzo","abril","mayo","junio","julio","agosto","septiembre","octubre","noviembre","diciembre"},0)+1,0))</f>
        <v/>
      </c>
      <c r="E716" t="str">
        <f>+IFERROR(VLOOKUP(Fact_Contabilidad[[#This Row], [Concepto Anterior]],Conceptos_Contabilidad[#All],5,0),"")</f>
        <v/>
      </c>
      <c r="F716" t="str">
        <f>+IFERROR(VLOOKUP(Fact_Contabilidad[[#This Row], 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ht="18.75" customHeight="1" x14ac:dyDescent="0.35">
      <c r="A717" s="103"/>
      <c r="C717" s="100" t="str">
        <f>IF(OR(Fact_Contabilidad[[#This Row], [Año]]="",Fact_Contabilidad[[#This Row], [Mes]]=""),"",DATE(A717,MATCH(B717,{"enero","febrero","marzo","abril","mayo","junio","julio","agosto","septiembre","octubre","noviembre","diciembre"},0)+1,0))</f>
        <v/>
      </c>
      <c r="E717" t="str">
        <f>+IFERROR(VLOOKUP(Fact_Contabilidad[[#This Row], [Concepto Anterior]],Conceptos_Contabilidad[#All],5,0),"")</f>
        <v/>
      </c>
      <c r="F717" t="str">
        <f>+IFERROR(VLOOKUP(Fact_Contabilidad[[#This Row], 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ht="18.75" customHeight="1" x14ac:dyDescent="0.35">
      <c r="A718" s="103"/>
      <c r="C718" s="100" t="str">
        <f>IF(OR(Fact_Contabilidad[[#This Row], [Año]]="",Fact_Contabilidad[[#This Row], [Mes]]=""),"",DATE(A718,MATCH(B718,{"enero","febrero","marzo","abril","mayo","junio","julio","agosto","septiembre","octubre","noviembre","diciembre"},0)+1,0))</f>
        <v/>
      </c>
      <c r="E718" t="str">
        <f>+IFERROR(VLOOKUP(Fact_Contabilidad[[#This Row], [Concepto Anterior]],Conceptos_Contabilidad[#All],5,0),"")</f>
        <v/>
      </c>
      <c r="F718" t="str">
        <f>+IFERROR(VLOOKUP(Fact_Contabilidad[[#This Row], 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ht="18.75" customHeight="1" x14ac:dyDescent="0.35">
      <c r="A719" s="103"/>
      <c r="C719" s="100" t="str">
        <f>IF(OR(Fact_Contabilidad[[#This Row], [Año]]="",Fact_Contabilidad[[#This Row], [Mes]]=""),"",DATE(A719,MATCH(B719,{"enero","febrero","marzo","abril","mayo","junio","julio","agosto","septiembre","octubre","noviembre","diciembre"},0)+1,0))</f>
        <v/>
      </c>
      <c r="E719" t="str">
        <f>+IFERROR(VLOOKUP(Fact_Contabilidad[[#This Row], [Concepto Anterior]],Conceptos_Contabilidad[#All],5,0),"")</f>
        <v/>
      </c>
      <c r="F719" t="str">
        <f>+IFERROR(VLOOKUP(Fact_Contabilidad[[#This Row], 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ht="18.75" customHeight="1" x14ac:dyDescent="0.35">
      <c r="A720" s="103"/>
      <c r="C720" s="100" t="str">
        <f>IF(OR(Fact_Contabilidad[[#This Row], [Año]]="",Fact_Contabilidad[[#This Row], [Mes]]=""),"",DATE(A720,MATCH(B720,{"enero","febrero","marzo","abril","mayo","junio","julio","agosto","septiembre","octubre","noviembre","diciembre"},0)+1,0))</f>
        <v/>
      </c>
      <c r="E720" t="str">
        <f>+IFERROR(VLOOKUP(Fact_Contabilidad[[#This Row], [Concepto Anterior]],Conceptos_Contabilidad[#All],5,0),"")</f>
        <v/>
      </c>
      <c r="F720" t="str">
        <f>+IFERROR(VLOOKUP(Fact_Contabilidad[[#This Row], 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ht="18.75" customHeight="1" x14ac:dyDescent="0.35">
      <c r="A721" s="103"/>
      <c r="C721" s="100" t="str">
        <f>IF(OR(Fact_Contabilidad[[#This Row], [Año]]="",Fact_Contabilidad[[#This Row], [Mes]]=""),"",DATE(A721,MATCH(B721,{"enero","febrero","marzo","abril","mayo","junio","julio","agosto","septiembre","octubre","noviembre","diciembre"},0)+1,0))</f>
        <v/>
      </c>
      <c r="E721" t="str">
        <f>+IFERROR(VLOOKUP(Fact_Contabilidad[[#This Row], [Concepto Anterior]],Conceptos_Contabilidad[#All],5,0),"")</f>
        <v/>
      </c>
      <c r="F721" t="str">
        <f>+IFERROR(VLOOKUP(Fact_Contabilidad[[#This Row], 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ht="18.75" customHeight="1" x14ac:dyDescent="0.35">
      <c r="A722" s="103"/>
      <c r="C722" s="100" t="str">
        <f>IF(OR(Fact_Contabilidad[[#This Row], [Año]]="",Fact_Contabilidad[[#This Row], [Mes]]=""),"",DATE(A722,MATCH(B722,{"enero","febrero","marzo","abril","mayo","junio","julio","agosto","septiembre","octubre","noviembre","diciembre"},0)+1,0))</f>
        <v/>
      </c>
      <c r="E722" t="str">
        <f>+IFERROR(VLOOKUP(Fact_Contabilidad[[#This Row], [Concepto Anterior]],Conceptos_Contabilidad[#All],5,0),"")</f>
        <v/>
      </c>
      <c r="F722" t="str">
        <f>+IFERROR(VLOOKUP(Fact_Contabilidad[[#This Row], 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ht="18.75" customHeight="1" x14ac:dyDescent="0.35">
      <c r="A723" s="103"/>
      <c r="C723" s="100" t="str">
        <f>IF(OR(Fact_Contabilidad[[#This Row], [Año]]="",Fact_Contabilidad[[#This Row], [Mes]]=""),"",DATE(A723,MATCH(B723,{"enero","febrero","marzo","abril","mayo","junio","julio","agosto","septiembre","octubre","noviembre","diciembre"},0)+1,0))</f>
        <v/>
      </c>
      <c r="E723" t="str">
        <f>+IFERROR(VLOOKUP(Fact_Contabilidad[[#This Row], [Concepto Anterior]],Conceptos_Contabilidad[#All],5,0),"")</f>
        <v/>
      </c>
      <c r="F723" t="str">
        <f>+IFERROR(VLOOKUP(Fact_Contabilidad[[#This Row], 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ht="18.75" customHeight="1" x14ac:dyDescent="0.35">
      <c r="A724" s="103"/>
      <c r="C724" s="100" t="str">
        <f>IF(OR(Fact_Contabilidad[[#This Row], [Año]]="",Fact_Contabilidad[[#This Row], [Mes]]=""),"",DATE(A724,MATCH(B724,{"enero","febrero","marzo","abril","mayo","junio","julio","agosto","septiembre","octubre","noviembre","diciembre"},0)+1,0))</f>
        <v/>
      </c>
      <c r="E724" t="str">
        <f>+IFERROR(VLOOKUP(Fact_Contabilidad[[#This Row], [Concepto Anterior]],Conceptos_Contabilidad[#All],5,0),"")</f>
        <v/>
      </c>
      <c r="F724" t="str">
        <f>+IFERROR(VLOOKUP(Fact_Contabilidad[[#This Row], 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ht="18.75" customHeight="1" x14ac:dyDescent="0.35">
      <c r="A725" s="103"/>
      <c r="C725" s="100" t="str">
        <f>IF(OR(Fact_Contabilidad[[#This Row], [Año]]="",Fact_Contabilidad[[#This Row], [Mes]]=""),"",DATE(A725,MATCH(B725,{"enero","febrero","marzo","abril","mayo","junio","julio","agosto","septiembre","octubre","noviembre","diciembre"},0)+1,0))</f>
        <v/>
      </c>
      <c r="E725" t="str">
        <f>+IFERROR(VLOOKUP(Fact_Contabilidad[[#This Row], [Concepto Anterior]],Conceptos_Contabilidad[#All],5,0),"")</f>
        <v/>
      </c>
      <c r="F725" t="str">
        <f>+IFERROR(VLOOKUP(Fact_Contabilidad[[#This Row], 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ht="18.75" customHeight="1" x14ac:dyDescent="0.35">
      <c r="A726" s="103"/>
      <c r="C726" s="100" t="str">
        <f>IF(OR(Fact_Contabilidad[[#This Row], [Año]]="",Fact_Contabilidad[[#This Row], [Mes]]=""),"",DATE(A726,MATCH(B726,{"enero","febrero","marzo","abril","mayo","junio","julio","agosto","septiembre","octubre","noviembre","diciembre"},0)+1,0))</f>
        <v/>
      </c>
      <c r="E726" t="str">
        <f>+IFERROR(VLOOKUP(Fact_Contabilidad[[#This Row], [Concepto Anterior]],Conceptos_Contabilidad[#All],5,0),"")</f>
        <v/>
      </c>
      <c r="F726" t="str">
        <f>+IFERROR(VLOOKUP(Fact_Contabilidad[[#This Row], 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ht="18.75" customHeight="1" x14ac:dyDescent="0.35">
      <c r="A727" s="103"/>
      <c r="C727" s="100" t="str">
        <f>IF(OR(Fact_Contabilidad[[#This Row], [Año]]="",Fact_Contabilidad[[#This Row], [Mes]]=""),"",DATE(A727,MATCH(B727,{"enero","febrero","marzo","abril","mayo","junio","julio","agosto","septiembre","octubre","noviembre","diciembre"},0)+1,0))</f>
        <v/>
      </c>
      <c r="E727" t="str">
        <f>+IFERROR(VLOOKUP(Fact_Contabilidad[[#This Row], [Concepto Anterior]],Conceptos_Contabilidad[#All],5,0),"")</f>
        <v/>
      </c>
      <c r="F727" t="str">
        <f>+IFERROR(VLOOKUP(Fact_Contabilidad[[#This Row], 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ht="18.75" customHeight="1" x14ac:dyDescent="0.35">
      <c r="A728" s="103"/>
      <c r="C728" s="100" t="str">
        <f>IF(OR(Fact_Contabilidad[[#This Row], [Año]]="",Fact_Contabilidad[[#This Row], [Mes]]=""),"",DATE(A728,MATCH(B728,{"enero","febrero","marzo","abril","mayo","junio","julio","agosto","septiembre","octubre","noviembre","diciembre"},0)+1,0))</f>
        <v/>
      </c>
      <c r="E728" t="str">
        <f>+IFERROR(VLOOKUP(Fact_Contabilidad[[#This Row], [Concepto Anterior]],Conceptos_Contabilidad[#All],5,0),"")</f>
        <v/>
      </c>
      <c r="F728" t="str">
        <f>+IFERROR(VLOOKUP(Fact_Contabilidad[[#This Row], 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ht="18.75" customHeight="1" x14ac:dyDescent="0.35">
      <c r="A729" s="103"/>
      <c r="C729" s="100" t="str">
        <f>IF(OR(Fact_Contabilidad[[#This Row], [Año]]="",Fact_Contabilidad[[#This Row], [Mes]]=""),"",DATE(A729,MATCH(B729,{"enero","febrero","marzo","abril","mayo","junio","julio","agosto","septiembre","octubre","noviembre","diciembre"},0)+1,0))</f>
        <v/>
      </c>
      <c r="E729" t="str">
        <f>+IFERROR(VLOOKUP(Fact_Contabilidad[[#This Row], [Concepto Anterior]],Conceptos_Contabilidad[#All],5,0),"")</f>
        <v/>
      </c>
      <c r="F729" t="str">
        <f>+IFERROR(VLOOKUP(Fact_Contabilidad[[#This Row], 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ht="18.75" customHeight="1" x14ac:dyDescent="0.35">
      <c r="A730" s="103"/>
      <c r="C730" s="100" t="str">
        <f>IF(OR(Fact_Contabilidad[[#This Row], [Año]]="",Fact_Contabilidad[[#This Row], [Mes]]=""),"",DATE(A730,MATCH(B730,{"enero","febrero","marzo","abril","mayo","junio","julio","agosto","septiembre","octubre","noviembre","diciembre"},0)+1,0))</f>
        <v/>
      </c>
      <c r="E730" t="str">
        <f>+IFERROR(VLOOKUP(Fact_Contabilidad[[#This Row], [Concepto Anterior]],Conceptos_Contabilidad[#All],5,0),"")</f>
        <v/>
      </c>
      <c r="F730" t="str">
        <f>+IFERROR(VLOOKUP(Fact_Contabilidad[[#This Row], 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ht="18.75" customHeight="1" x14ac:dyDescent="0.35">
      <c r="A731" s="103"/>
      <c r="C731" s="100" t="str">
        <f>IF(OR(Fact_Contabilidad[[#This Row], [Año]]="",Fact_Contabilidad[[#This Row], [Mes]]=""),"",DATE(A731,MATCH(B731,{"enero","febrero","marzo","abril","mayo","junio","julio","agosto","septiembre","octubre","noviembre","diciembre"},0)+1,0))</f>
        <v/>
      </c>
      <c r="E731" t="str">
        <f>+IFERROR(VLOOKUP(Fact_Contabilidad[[#This Row], [Concepto Anterior]],Conceptos_Contabilidad[#All],5,0),"")</f>
        <v/>
      </c>
      <c r="F731" t="str">
        <f>+IFERROR(VLOOKUP(Fact_Contabilidad[[#This Row], 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ht="18.75" customHeight="1" x14ac:dyDescent="0.35">
      <c r="A732" s="103"/>
      <c r="C732" s="100" t="str">
        <f>IF(OR(Fact_Contabilidad[[#This Row], [Año]]="",Fact_Contabilidad[[#This Row], [Mes]]=""),"",DATE(A732,MATCH(B732,{"enero","febrero","marzo","abril","mayo","junio","julio","agosto","septiembre","octubre","noviembre","diciembre"},0)+1,0))</f>
        <v/>
      </c>
      <c r="E732" t="str">
        <f>+IFERROR(VLOOKUP(Fact_Contabilidad[[#This Row], [Concepto Anterior]],Conceptos_Contabilidad[#All],5,0),"")</f>
        <v/>
      </c>
      <c r="F732" t="str">
        <f>+IFERROR(VLOOKUP(Fact_Contabilidad[[#This Row], 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ht="18.75" customHeight="1" x14ac:dyDescent="0.35">
      <c r="A733" s="103"/>
      <c r="C733" s="100" t="str">
        <f>IF(OR(Fact_Contabilidad[[#This Row], [Año]]="",Fact_Contabilidad[[#This Row], [Mes]]=""),"",DATE(A733,MATCH(B733,{"enero","febrero","marzo","abril","mayo","junio","julio","agosto","septiembre","octubre","noviembre","diciembre"},0)+1,0))</f>
        <v/>
      </c>
      <c r="E733" t="str">
        <f>+IFERROR(VLOOKUP(Fact_Contabilidad[[#This Row], [Concepto Anterior]],Conceptos_Contabilidad[#All],5,0),"")</f>
        <v/>
      </c>
      <c r="F733" t="str">
        <f>+IFERROR(VLOOKUP(Fact_Contabilidad[[#This Row], 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ht="18.75" customHeight="1" x14ac:dyDescent="0.35">
      <c r="A734" s="103"/>
      <c r="C734" s="100" t="str">
        <f>IF(OR(Fact_Contabilidad[[#This Row], [Año]]="",Fact_Contabilidad[[#This Row], [Mes]]=""),"",DATE(A734,MATCH(B734,{"enero","febrero","marzo","abril","mayo","junio","julio","agosto","septiembre","octubre","noviembre","diciembre"},0)+1,0))</f>
        <v/>
      </c>
      <c r="E734" t="str">
        <f>+IFERROR(VLOOKUP(Fact_Contabilidad[[#This Row], [Concepto Anterior]],Conceptos_Contabilidad[#All],5,0),"")</f>
        <v/>
      </c>
      <c r="F734" t="str">
        <f>+IFERROR(VLOOKUP(Fact_Contabilidad[[#This Row], 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ht="18.75" customHeight="1" x14ac:dyDescent="0.35">
      <c r="A735" s="103"/>
      <c r="C735" s="100" t="str">
        <f>IF(OR(Fact_Contabilidad[[#This Row], [Año]]="",Fact_Contabilidad[[#This Row], [Mes]]=""),"",DATE(A735,MATCH(B735,{"enero","febrero","marzo","abril","mayo","junio","julio","agosto","septiembre","octubre","noviembre","diciembre"},0)+1,0))</f>
        <v/>
      </c>
      <c r="E735" t="str">
        <f>+IFERROR(VLOOKUP(Fact_Contabilidad[[#This Row], [Concepto Anterior]],Conceptos_Contabilidad[#All],5,0),"")</f>
        <v/>
      </c>
      <c r="F735" t="str">
        <f>+IFERROR(VLOOKUP(Fact_Contabilidad[[#This Row], 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ht="18.75" customHeight="1" x14ac:dyDescent="0.35">
      <c r="A736" s="103"/>
      <c r="C736" s="100" t="str">
        <f>IF(OR(Fact_Contabilidad[[#This Row], [Año]]="",Fact_Contabilidad[[#This Row], [Mes]]=""),"",DATE(A736,MATCH(B736,{"enero","febrero","marzo","abril","mayo","junio","julio","agosto","septiembre","octubre","noviembre","diciembre"},0)+1,0))</f>
        <v/>
      </c>
      <c r="E736" t="str">
        <f>+IFERROR(VLOOKUP(Fact_Contabilidad[[#This Row], [Concepto Anterior]],Conceptos_Contabilidad[#All],5,0),"")</f>
        <v/>
      </c>
      <c r="F736" t="str">
        <f>+IFERROR(VLOOKUP(Fact_Contabilidad[[#This Row], 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ht="18.75" customHeight="1" x14ac:dyDescent="0.35">
      <c r="A737" s="103"/>
      <c r="C737" s="100" t="str">
        <f>IF(OR(Fact_Contabilidad[[#This Row], [Año]]="",Fact_Contabilidad[[#This Row], [Mes]]=""),"",DATE(A737,MATCH(B737,{"enero","febrero","marzo","abril","mayo","junio","julio","agosto","septiembre","octubre","noviembre","diciembre"},0)+1,0))</f>
        <v/>
      </c>
      <c r="E737" t="str">
        <f>+IFERROR(VLOOKUP(Fact_Contabilidad[[#This Row], [Concepto Anterior]],Conceptos_Contabilidad[#All],5,0),"")</f>
        <v/>
      </c>
      <c r="F737" t="str">
        <f>+IFERROR(VLOOKUP(Fact_Contabilidad[[#This Row], 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ht="18.75" customHeight="1" x14ac:dyDescent="0.35">
      <c r="A738" s="103"/>
      <c r="C738" s="100" t="str">
        <f>IF(OR(Fact_Contabilidad[[#This Row], [Año]]="",Fact_Contabilidad[[#This Row], [Mes]]=""),"",DATE(A738,MATCH(B738,{"enero","febrero","marzo","abril","mayo","junio","julio","agosto","septiembre","octubre","noviembre","diciembre"},0)+1,0))</f>
        <v/>
      </c>
      <c r="E738" t="str">
        <f>+IFERROR(VLOOKUP(Fact_Contabilidad[[#This Row], [Concepto Anterior]],Conceptos_Contabilidad[#All],5,0),"")</f>
        <v/>
      </c>
      <c r="F738" t="str">
        <f>+IFERROR(VLOOKUP(Fact_Contabilidad[[#This Row], 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ht="18.75" customHeight="1" x14ac:dyDescent="0.35">
      <c r="A739" s="103"/>
      <c r="C739" s="100" t="str">
        <f>IF(OR(Fact_Contabilidad[[#This Row], [Año]]="",Fact_Contabilidad[[#This Row], [Mes]]=""),"",DATE(A739,MATCH(B739,{"enero","febrero","marzo","abril","mayo","junio","julio","agosto","septiembre","octubre","noviembre","diciembre"},0)+1,0))</f>
        <v/>
      </c>
      <c r="E739" t="str">
        <f>+IFERROR(VLOOKUP(Fact_Contabilidad[[#This Row], [Concepto Anterior]],Conceptos_Contabilidad[#All],5,0),"")</f>
        <v/>
      </c>
      <c r="F739" t="str">
        <f>+IFERROR(VLOOKUP(Fact_Contabilidad[[#This Row], 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ht="18.75" customHeight="1" x14ac:dyDescent="0.35">
      <c r="A740" s="103"/>
      <c r="C740" s="100" t="str">
        <f>IF(OR(Fact_Contabilidad[[#This Row], [Año]]="",Fact_Contabilidad[[#This Row], [Mes]]=""),"",DATE(A740,MATCH(B740,{"enero","febrero","marzo","abril","mayo","junio","julio","agosto","septiembre","octubre","noviembre","diciembre"},0)+1,0))</f>
        <v/>
      </c>
      <c r="E740" t="str">
        <f>+IFERROR(VLOOKUP(Fact_Contabilidad[[#This Row], [Concepto Anterior]],Conceptos_Contabilidad[#All],5,0),"")</f>
        <v/>
      </c>
      <c r="F740" t="str">
        <f>+IFERROR(VLOOKUP(Fact_Contabilidad[[#This Row], 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ht="18.75" customHeight="1" x14ac:dyDescent="0.35">
      <c r="A741" s="103"/>
      <c r="C741" s="100" t="str">
        <f>IF(OR(Fact_Contabilidad[[#This Row], [Año]]="",Fact_Contabilidad[[#This Row], [Mes]]=""),"",DATE(A741,MATCH(B741,{"enero","febrero","marzo","abril","mayo","junio","julio","agosto","septiembre","octubre","noviembre","diciembre"},0)+1,0))</f>
        <v/>
      </c>
      <c r="E741" t="str">
        <f>+IFERROR(VLOOKUP(Fact_Contabilidad[[#This Row], [Concepto Anterior]],Conceptos_Contabilidad[#All],5,0),"")</f>
        <v/>
      </c>
      <c r="F741" t="str">
        <f>+IFERROR(VLOOKUP(Fact_Contabilidad[[#This Row], 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ht="18.75" customHeight="1" x14ac:dyDescent="0.35">
      <c r="A742" s="103"/>
      <c r="C742" s="100" t="str">
        <f>IF(OR(Fact_Contabilidad[[#This Row], [Año]]="",Fact_Contabilidad[[#This Row], [Mes]]=""),"",DATE(A742,MATCH(B742,{"enero","febrero","marzo","abril","mayo","junio","julio","agosto","septiembre","octubre","noviembre","diciembre"},0)+1,0))</f>
        <v/>
      </c>
      <c r="E742" t="str">
        <f>+IFERROR(VLOOKUP(Fact_Contabilidad[[#This Row], [Concepto Anterior]],Conceptos_Contabilidad[#All],5,0),"")</f>
        <v/>
      </c>
      <c r="F742" t="str">
        <f>+IFERROR(VLOOKUP(Fact_Contabilidad[[#This Row], 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ht="18.75" customHeight="1" x14ac:dyDescent="0.35">
      <c r="A743" s="103"/>
      <c r="C743" s="100" t="str">
        <f>IF(OR(Fact_Contabilidad[[#This Row], [Año]]="",Fact_Contabilidad[[#This Row], [Mes]]=""),"",DATE(A743,MATCH(B743,{"enero","febrero","marzo","abril","mayo","junio","julio","agosto","septiembre","octubre","noviembre","diciembre"},0)+1,0))</f>
        <v/>
      </c>
      <c r="E743" t="str">
        <f>+IFERROR(VLOOKUP(Fact_Contabilidad[[#This Row], [Concepto Anterior]],Conceptos_Contabilidad[#All],5,0),"")</f>
        <v/>
      </c>
      <c r="F743" t="str">
        <f>+IFERROR(VLOOKUP(Fact_Contabilidad[[#This Row], 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ht="18.75" customHeight="1" x14ac:dyDescent="0.35">
      <c r="A744" s="103"/>
      <c r="C744" s="100" t="str">
        <f>IF(OR(Fact_Contabilidad[[#This Row], [Año]]="",Fact_Contabilidad[[#This Row], [Mes]]=""),"",DATE(A744,MATCH(B744,{"enero","febrero","marzo","abril","mayo","junio","julio","agosto","septiembre","octubre","noviembre","diciembre"},0)+1,0))</f>
        <v/>
      </c>
      <c r="E744" t="str">
        <f>+IFERROR(VLOOKUP(Fact_Contabilidad[[#This Row], [Concepto Anterior]],Conceptos_Contabilidad[#All],5,0),"")</f>
        <v/>
      </c>
      <c r="F744" t="str">
        <f>+IFERROR(VLOOKUP(Fact_Contabilidad[[#This Row], 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ht="18.75" customHeight="1" x14ac:dyDescent="0.35">
      <c r="A745" s="103"/>
      <c r="C745" s="100" t="str">
        <f>IF(OR(Fact_Contabilidad[[#This Row], [Año]]="",Fact_Contabilidad[[#This Row], [Mes]]=""),"",DATE(A745,MATCH(B745,{"enero","febrero","marzo","abril","mayo","junio","julio","agosto","septiembre","octubre","noviembre","diciembre"},0)+1,0))</f>
        <v/>
      </c>
      <c r="E745" t="str">
        <f>+IFERROR(VLOOKUP(Fact_Contabilidad[[#This Row], [Concepto Anterior]],Conceptos_Contabilidad[#All],5,0),"")</f>
        <v/>
      </c>
      <c r="F745" t="str">
        <f>+IFERROR(VLOOKUP(Fact_Contabilidad[[#This Row], 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ht="18.75" customHeight="1" x14ac:dyDescent="0.35">
      <c r="A746" s="103"/>
      <c r="C746" s="100" t="str">
        <f>IF(OR(Fact_Contabilidad[[#This Row], [Año]]="",Fact_Contabilidad[[#This Row], [Mes]]=""),"",DATE(A746,MATCH(B746,{"enero","febrero","marzo","abril","mayo","junio","julio","agosto","septiembre","octubre","noviembre","diciembre"},0)+1,0))</f>
        <v/>
      </c>
      <c r="E746" t="str">
        <f>+IFERROR(VLOOKUP(Fact_Contabilidad[[#This Row], [Concepto Anterior]],Conceptos_Contabilidad[#All],5,0),"")</f>
        <v/>
      </c>
      <c r="F746" t="str">
        <f>+IFERROR(VLOOKUP(Fact_Contabilidad[[#This Row], 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ht="18.75" customHeight="1" x14ac:dyDescent="0.35">
      <c r="A747" s="103"/>
      <c r="C747" s="100" t="str">
        <f>IF(OR(Fact_Contabilidad[[#This Row], [Año]]="",Fact_Contabilidad[[#This Row], [Mes]]=""),"",DATE(A747,MATCH(B747,{"enero","febrero","marzo","abril","mayo","junio","julio","agosto","septiembre","octubre","noviembre","diciembre"},0)+1,0))</f>
        <v/>
      </c>
      <c r="E747" t="str">
        <f>+IFERROR(VLOOKUP(Fact_Contabilidad[[#This Row], [Concepto Anterior]],Conceptos_Contabilidad[#All],5,0),"")</f>
        <v/>
      </c>
      <c r="F747" t="str">
        <f>+IFERROR(VLOOKUP(Fact_Contabilidad[[#This Row], 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ht="18.75" customHeight="1" x14ac:dyDescent="0.35">
      <c r="A748" s="103"/>
      <c r="C748" s="100" t="str">
        <f>IF(OR(Fact_Contabilidad[[#This Row], [Año]]="",Fact_Contabilidad[[#This Row], [Mes]]=""),"",DATE(A748,MATCH(B748,{"enero","febrero","marzo","abril","mayo","junio","julio","agosto","septiembre","octubre","noviembre","diciembre"},0)+1,0))</f>
        <v/>
      </c>
      <c r="E748" t="str">
        <f>+IFERROR(VLOOKUP(Fact_Contabilidad[[#This Row], [Concepto Anterior]],Conceptos_Contabilidad[#All],5,0),"")</f>
        <v/>
      </c>
      <c r="F748" t="str">
        <f>+IFERROR(VLOOKUP(Fact_Contabilidad[[#This Row], 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ht="18.75" customHeight="1" x14ac:dyDescent="0.35">
      <c r="A749" s="103"/>
      <c r="C749" s="100" t="str">
        <f>IF(OR(Fact_Contabilidad[[#This Row], [Año]]="",Fact_Contabilidad[[#This Row], [Mes]]=""),"",DATE(A749,MATCH(B749,{"enero","febrero","marzo","abril","mayo","junio","julio","agosto","septiembre","octubre","noviembre","diciembre"},0)+1,0))</f>
        <v/>
      </c>
      <c r="E749" t="str">
        <f>+IFERROR(VLOOKUP(Fact_Contabilidad[[#This Row], [Concepto Anterior]],Conceptos_Contabilidad[#All],5,0),"")</f>
        <v/>
      </c>
      <c r="F749" t="str">
        <f>+IFERROR(VLOOKUP(Fact_Contabilidad[[#This Row], 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ht="18.75" customHeight="1" x14ac:dyDescent="0.35">
      <c r="A750" s="103"/>
      <c r="C750" s="100" t="str">
        <f>IF(OR(Fact_Contabilidad[[#This Row], [Año]]="",Fact_Contabilidad[[#This Row], [Mes]]=""),"",DATE(A750,MATCH(B750,{"enero","febrero","marzo","abril","mayo","junio","julio","agosto","septiembre","octubre","noviembre","diciembre"},0)+1,0))</f>
        <v/>
      </c>
      <c r="E750" t="str">
        <f>+IFERROR(VLOOKUP(Fact_Contabilidad[[#This Row], [Concepto Anterior]],Conceptos_Contabilidad[#All],5,0),"")</f>
        <v/>
      </c>
      <c r="F750" t="str">
        <f>+IFERROR(VLOOKUP(Fact_Contabilidad[[#This Row], 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ht="18.75" customHeight="1" x14ac:dyDescent="0.35">
      <c r="A751" s="103"/>
      <c r="C751" s="100" t="str">
        <f>IF(OR(Fact_Contabilidad[[#This Row], [Año]]="",Fact_Contabilidad[[#This Row], [Mes]]=""),"",DATE(A751,MATCH(B751,{"enero","febrero","marzo","abril","mayo","junio","julio","agosto","septiembre","octubre","noviembre","diciembre"},0)+1,0))</f>
        <v/>
      </c>
      <c r="E751" t="str">
        <f>+IFERROR(VLOOKUP(Fact_Contabilidad[[#This Row], [Concepto Anterior]],Conceptos_Contabilidad[#All],5,0),"")</f>
        <v/>
      </c>
      <c r="F751" t="str">
        <f>+IFERROR(VLOOKUP(Fact_Contabilidad[[#This Row], 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ht="18.75" customHeight="1" x14ac:dyDescent="0.35">
      <c r="A752" s="103"/>
      <c r="C752" s="100" t="str">
        <f>IF(OR(Fact_Contabilidad[[#This Row], [Año]]="",Fact_Contabilidad[[#This Row], [Mes]]=""),"",DATE(A752,MATCH(B752,{"enero","febrero","marzo","abril","mayo","junio","julio","agosto","septiembre","octubre","noviembre","diciembre"},0)+1,0))</f>
        <v/>
      </c>
      <c r="E752" t="str">
        <f>+IFERROR(VLOOKUP(Fact_Contabilidad[[#This Row], [Concepto Anterior]],Conceptos_Contabilidad[#All],5,0),"")</f>
        <v/>
      </c>
      <c r="F752" t="str">
        <f>+IFERROR(VLOOKUP(Fact_Contabilidad[[#This Row], 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ht="18.75" customHeight="1" x14ac:dyDescent="0.35">
      <c r="A753" s="103"/>
      <c r="C753" s="100" t="str">
        <f>IF(OR(Fact_Contabilidad[[#This Row], [Año]]="",Fact_Contabilidad[[#This Row], [Mes]]=""),"",DATE(A753,MATCH(B753,{"enero","febrero","marzo","abril","mayo","junio","julio","agosto","septiembre","octubre","noviembre","diciembre"},0)+1,0))</f>
        <v/>
      </c>
      <c r="E753" t="str">
        <f>+IFERROR(VLOOKUP(Fact_Contabilidad[[#This Row], [Concepto Anterior]],Conceptos_Contabilidad[#All],5,0),"")</f>
        <v/>
      </c>
      <c r="F753" t="str">
        <f>+IFERROR(VLOOKUP(Fact_Contabilidad[[#This Row], 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ht="18.75" customHeight="1" x14ac:dyDescent="0.35">
      <c r="A754" s="103"/>
      <c r="C754" s="100" t="str">
        <f>IF(OR(Fact_Contabilidad[[#This Row], [Año]]="",Fact_Contabilidad[[#This Row], [Mes]]=""),"",DATE(A754,MATCH(B754,{"enero","febrero","marzo","abril","mayo","junio","julio","agosto","septiembre","octubre","noviembre","diciembre"},0)+1,0))</f>
        <v/>
      </c>
      <c r="E754" t="str">
        <f>+IFERROR(VLOOKUP(Fact_Contabilidad[[#This Row], [Concepto Anterior]],Conceptos_Contabilidad[#All],5,0),"")</f>
        <v/>
      </c>
      <c r="F754" t="str">
        <f>+IFERROR(VLOOKUP(Fact_Contabilidad[[#This Row], 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ht="18.75" customHeight="1" x14ac:dyDescent="0.35">
      <c r="A755" s="103"/>
      <c r="C755" s="100" t="str">
        <f>IF(OR(Fact_Contabilidad[[#This Row], [Año]]="",Fact_Contabilidad[[#This Row], [Mes]]=""),"",DATE(A755,MATCH(B755,{"enero","febrero","marzo","abril","mayo","junio","julio","agosto","septiembre","octubre","noviembre","diciembre"},0)+1,0))</f>
        <v/>
      </c>
      <c r="E755" t="str">
        <f>+IFERROR(VLOOKUP(Fact_Contabilidad[[#This Row], [Concepto Anterior]],Conceptos_Contabilidad[#All],5,0),"")</f>
        <v/>
      </c>
      <c r="F755" t="str">
        <f>+IFERROR(VLOOKUP(Fact_Contabilidad[[#This Row], 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ht="18.75" customHeight="1" x14ac:dyDescent="0.35">
      <c r="A756" s="103"/>
      <c r="C756" s="100" t="str">
        <f>IF(OR(Fact_Contabilidad[[#This Row], [Año]]="",Fact_Contabilidad[[#This Row], [Mes]]=""),"",DATE(A756,MATCH(B756,{"enero","febrero","marzo","abril","mayo","junio","julio","agosto","septiembre","octubre","noviembre","diciembre"},0)+1,0))</f>
        <v/>
      </c>
      <c r="E756" t="str">
        <f>+IFERROR(VLOOKUP(Fact_Contabilidad[[#This Row], [Concepto Anterior]],Conceptos_Contabilidad[#All],5,0),"")</f>
        <v/>
      </c>
      <c r="F756" t="str">
        <f>+IFERROR(VLOOKUP(Fact_Contabilidad[[#This Row], 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ht="18.75" customHeight="1" x14ac:dyDescent="0.35">
      <c r="A757" s="103"/>
      <c r="C757" s="100" t="str">
        <f>IF(OR(Fact_Contabilidad[[#This Row], [Año]]="",Fact_Contabilidad[[#This Row], [Mes]]=""),"",DATE(A757,MATCH(B757,{"enero","febrero","marzo","abril","mayo","junio","julio","agosto","septiembre","octubre","noviembre","diciembre"},0)+1,0))</f>
        <v/>
      </c>
      <c r="E757" t="str">
        <f>+IFERROR(VLOOKUP(Fact_Contabilidad[[#This Row], [Concepto Anterior]],Conceptos_Contabilidad[#All],5,0),"")</f>
        <v/>
      </c>
      <c r="F757" t="str">
        <f>+IFERROR(VLOOKUP(Fact_Contabilidad[[#This Row], 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ht="18.75" customHeight="1" x14ac:dyDescent="0.35">
      <c r="A758" s="103"/>
      <c r="C758" s="100" t="str">
        <f>IF(OR(Fact_Contabilidad[[#This Row], [Año]]="",Fact_Contabilidad[[#This Row], [Mes]]=""),"",DATE(A758,MATCH(B758,{"enero","febrero","marzo","abril","mayo","junio","julio","agosto","septiembre","octubre","noviembre","diciembre"},0)+1,0))</f>
        <v/>
      </c>
      <c r="E758" t="str">
        <f>+IFERROR(VLOOKUP(Fact_Contabilidad[[#This Row], [Concepto Anterior]],Conceptos_Contabilidad[#All],5,0),"")</f>
        <v/>
      </c>
      <c r="F758" t="str">
        <f>+IFERROR(VLOOKUP(Fact_Contabilidad[[#This Row], 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ht="18.75" customHeight="1" x14ac:dyDescent="0.35">
      <c r="A759" s="103"/>
      <c r="C759" s="100" t="str">
        <f>IF(OR(Fact_Contabilidad[[#This Row], [Año]]="",Fact_Contabilidad[[#This Row], [Mes]]=""),"",DATE(A759,MATCH(B759,{"enero","febrero","marzo","abril","mayo","junio","julio","agosto","septiembre","octubre","noviembre","diciembre"},0)+1,0))</f>
        <v/>
      </c>
      <c r="E759" t="str">
        <f>+IFERROR(VLOOKUP(Fact_Contabilidad[[#This Row], [Concepto Anterior]],Conceptos_Contabilidad[#All],5,0),"")</f>
        <v/>
      </c>
      <c r="F759" t="str">
        <f>+IFERROR(VLOOKUP(Fact_Contabilidad[[#This Row], 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ht="18.75" customHeight="1" x14ac:dyDescent="0.35">
      <c r="A760" s="103"/>
      <c r="C760" s="100" t="str">
        <f>IF(OR(Fact_Contabilidad[[#This Row], [Año]]="",Fact_Contabilidad[[#This Row], [Mes]]=""),"",DATE(A760,MATCH(B760,{"enero","febrero","marzo","abril","mayo","junio","julio","agosto","septiembre","octubre","noviembre","diciembre"},0)+1,0))</f>
        <v/>
      </c>
      <c r="E760" t="str">
        <f>+IFERROR(VLOOKUP(Fact_Contabilidad[[#This Row], [Concepto Anterior]],Conceptos_Contabilidad[#All],5,0),"")</f>
        <v/>
      </c>
      <c r="F760" t="str">
        <f>+IFERROR(VLOOKUP(Fact_Contabilidad[[#This Row], 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ht="18.75" customHeight="1" x14ac:dyDescent="0.35">
      <c r="A761" s="103"/>
      <c r="C761" s="100" t="str">
        <f>IF(OR(Fact_Contabilidad[[#This Row], [Año]]="",Fact_Contabilidad[[#This Row], [Mes]]=""),"",DATE(A761,MATCH(B761,{"enero","febrero","marzo","abril","mayo","junio","julio","agosto","septiembre","octubre","noviembre","diciembre"},0)+1,0))</f>
        <v/>
      </c>
      <c r="E761" t="str">
        <f>+IFERROR(VLOOKUP(Fact_Contabilidad[[#This Row], [Concepto Anterior]],Conceptos_Contabilidad[#All],5,0),"")</f>
        <v/>
      </c>
      <c r="F761" t="str">
        <f>+IFERROR(VLOOKUP(Fact_Contabilidad[[#This Row], 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ht="18.75" customHeight="1" x14ac:dyDescent="0.35">
      <c r="A762" s="103"/>
      <c r="C762" s="100" t="str">
        <f>IF(OR(Fact_Contabilidad[[#This Row], [Año]]="",Fact_Contabilidad[[#This Row], [Mes]]=""),"",DATE(A762,MATCH(B762,{"enero","febrero","marzo","abril","mayo","junio","julio","agosto","septiembre","octubre","noviembre","diciembre"},0)+1,0))</f>
        <v/>
      </c>
      <c r="E762" t="str">
        <f>+IFERROR(VLOOKUP(Fact_Contabilidad[[#This Row], [Concepto Anterior]],Conceptos_Contabilidad[#All],5,0),"")</f>
        <v/>
      </c>
      <c r="F762" t="str">
        <f>+IFERROR(VLOOKUP(Fact_Contabilidad[[#This Row], 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ht="18.75" customHeight="1" x14ac:dyDescent="0.35">
      <c r="A763" s="103"/>
      <c r="C763" s="100" t="str">
        <f>IF(OR(Fact_Contabilidad[[#This Row], [Año]]="",Fact_Contabilidad[[#This Row], [Mes]]=""),"",DATE(A763,MATCH(B763,{"enero","febrero","marzo","abril","mayo","junio","julio","agosto","septiembre","octubre","noviembre","diciembre"},0)+1,0))</f>
        <v/>
      </c>
      <c r="E763" t="str">
        <f>+IFERROR(VLOOKUP(Fact_Contabilidad[[#This Row], [Concepto Anterior]],Conceptos_Contabilidad[#All],5,0),"")</f>
        <v/>
      </c>
      <c r="F763" t="str">
        <f>+IFERROR(VLOOKUP(Fact_Contabilidad[[#This Row], 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ht="18.75" customHeight="1" x14ac:dyDescent="0.35">
      <c r="A764" s="103"/>
      <c r="C764" s="100" t="str">
        <f>IF(OR(Fact_Contabilidad[[#This Row], [Año]]="",Fact_Contabilidad[[#This Row], [Mes]]=""),"",DATE(A764,MATCH(B764,{"enero","febrero","marzo","abril","mayo","junio","julio","agosto","septiembre","octubre","noviembre","diciembre"},0)+1,0))</f>
        <v/>
      </c>
      <c r="E764" t="str">
        <f>+IFERROR(VLOOKUP(Fact_Contabilidad[[#This Row], [Concepto Anterior]],Conceptos_Contabilidad[#All],5,0),"")</f>
        <v/>
      </c>
      <c r="F764" t="str">
        <f>+IFERROR(VLOOKUP(Fact_Contabilidad[[#This Row], 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ht="18.75" customHeight="1" x14ac:dyDescent="0.35">
      <c r="A765" s="103"/>
      <c r="C765" s="100" t="str">
        <f>IF(OR(Fact_Contabilidad[[#This Row], [Año]]="",Fact_Contabilidad[[#This Row], [Mes]]=""),"",DATE(A765,MATCH(B765,{"enero","febrero","marzo","abril","mayo","junio","julio","agosto","septiembre","octubre","noviembre","diciembre"},0)+1,0))</f>
        <v/>
      </c>
      <c r="E765" t="str">
        <f>+IFERROR(VLOOKUP(Fact_Contabilidad[[#This Row], [Concepto Anterior]],Conceptos_Contabilidad[#All],5,0),"")</f>
        <v/>
      </c>
      <c r="F765" t="str">
        <f>+IFERROR(VLOOKUP(Fact_Contabilidad[[#This Row], 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ht="18.75" customHeight="1" x14ac:dyDescent="0.35">
      <c r="A766" s="103"/>
      <c r="C766" s="100" t="str">
        <f>IF(OR(Fact_Contabilidad[[#This Row], [Año]]="",Fact_Contabilidad[[#This Row], [Mes]]=""),"",DATE(A766,MATCH(B766,{"enero","febrero","marzo","abril","mayo","junio","julio","agosto","septiembre","octubre","noviembre","diciembre"},0)+1,0))</f>
        <v/>
      </c>
      <c r="E766" t="str">
        <f>+IFERROR(VLOOKUP(Fact_Contabilidad[[#This Row], [Concepto Anterior]],Conceptos_Contabilidad[#All],5,0),"")</f>
        <v/>
      </c>
      <c r="F766" t="str">
        <f>+IFERROR(VLOOKUP(Fact_Contabilidad[[#This Row], 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ht="18.75" customHeight="1" x14ac:dyDescent="0.35">
      <c r="A767" s="103"/>
      <c r="C767" s="100" t="str">
        <f>IF(OR(Fact_Contabilidad[[#This Row], [Año]]="",Fact_Contabilidad[[#This Row], [Mes]]=""),"",DATE(A767,MATCH(B767,{"enero","febrero","marzo","abril","mayo","junio","julio","agosto","septiembre","octubre","noviembre","diciembre"},0)+1,0))</f>
        <v/>
      </c>
      <c r="E767" t="str">
        <f>+IFERROR(VLOOKUP(Fact_Contabilidad[[#This Row], [Concepto Anterior]],Conceptos_Contabilidad[#All],5,0),"")</f>
        <v/>
      </c>
      <c r="F767" t="str">
        <f>+IFERROR(VLOOKUP(Fact_Contabilidad[[#This Row], 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ht="18.75" customHeight="1" x14ac:dyDescent="0.35">
      <c r="A768" s="103"/>
      <c r="C768" s="100" t="str">
        <f>IF(OR(Fact_Contabilidad[[#This Row], [Año]]="",Fact_Contabilidad[[#This Row], [Mes]]=""),"",DATE(A768,MATCH(B768,{"enero","febrero","marzo","abril","mayo","junio","julio","agosto","septiembre","octubre","noviembre","diciembre"},0)+1,0))</f>
        <v/>
      </c>
      <c r="E768" t="str">
        <f>+IFERROR(VLOOKUP(Fact_Contabilidad[[#This Row], [Concepto Anterior]],Conceptos_Contabilidad[#All],5,0),"")</f>
        <v/>
      </c>
      <c r="F768" t="str">
        <f>+IFERROR(VLOOKUP(Fact_Contabilidad[[#This Row], 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ht="18.75" customHeight="1" x14ac:dyDescent="0.35">
      <c r="A769" s="103"/>
      <c r="C769" s="100" t="str">
        <f>IF(OR(Fact_Contabilidad[[#This Row], [Año]]="",Fact_Contabilidad[[#This Row], [Mes]]=""),"",DATE(A769,MATCH(B769,{"enero","febrero","marzo","abril","mayo","junio","julio","agosto","septiembre","octubre","noviembre","diciembre"},0)+1,0))</f>
        <v/>
      </c>
      <c r="E769" t="str">
        <f>+IFERROR(VLOOKUP(Fact_Contabilidad[[#This Row], [Concepto Anterior]],Conceptos_Contabilidad[#All],5,0),"")</f>
        <v/>
      </c>
      <c r="F769" t="str">
        <f>+IFERROR(VLOOKUP(Fact_Contabilidad[[#This Row], 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ht="18.75" customHeight="1" x14ac:dyDescent="0.35">
      <c r="A770" s="103"/>
      <c r="C770" s="100" t="str">
        <f>IF(OR(Fact_Contabilidad[[#This Row], [Año]]="",Fact_Contabilidad[[#This Row], [Mes]]=""),"",DATE(A770,MATCH(B770,{"enero","febrero","marzo","abril","mayo","junio","julio","agosto","septiembre","octubre","noviembre","diciembre"},0)+1,0))</f>
        <v/>
      </c>
      <c r="E770" t="str">
        <f>+IFERROR(VLOOKUP(Fact_Contabilidad[[#This Row], [Concepto Anterior]],Conceptos_Contabilidad[#All],5,0),"")</f>
        <v/>
      </c>
      <c r="F770" t="str">
        <f>+IFERROR(VLOOKUP(Fact_Contabilidad[[#This Row], 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ht="18.75" customHeight="1" x14ac:dyDescent="0.35">
      <c r="A771" s="103"/>
      <c r="C771" s="100" t="str">
        <f>IF(OR(Fact_Contabilidad[[#This Row], [Año]]="",Fact_Contabilidad[[#This Row], [Mes]]=""),"",DATE(A771,MATCH(B771,{"enero","febrero","marzo","abril","mayo","junio","julio","agosto","septiembre","octubre","noviembre","diciembre"},0)+1,0))</f>
        <v/>
      </c>
      <c r="E771" t="str">
        <f>+IFERROR(VLOOKUP(Fact_Contabilidad[[#This Row], [Concepto Anterior]],Conceptos_Contabilidad[#All],5,0),"")</f>
        <v/>
      </c>
      <c r="F771" t="str">
        <f>+IFERROR(VLOOKUP(Fact_Contabilidad[[#This Row], 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ht="18.75" customHeight="1" x14ac:dyDescent="0.35">
      <c r="A772" s="103"/>
      <c r="C772" s="100" t="str">
        <f>IF(OR(Fact_Contabilidad[[#This Row], [Año]]="",Fact_Contabilidad[[#This Row], [Mes]]=""),"",DATE(A772,MATCH(B772,{"enero","febrero","marzo","abril","mayo","junio","julio","agosto","septiembre","octubre","noviembre","diciembre"},0)+1,0))</f>
        <v/>
      </c>
      <c r="E772" t="str">
        <f>+IFERROR(VLOOKUP(Fact_Contabilidad[[#This Row], [Concepto Anterior]],Conceptos_Contabilidad[#All],5,0),"")</f>
        <v/>
      </c>
      <c r="F772" t="str">
        <f>+IFERROR(VLOOKUP(Fact_Contabilidad[[#This Row], 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ht="18.75" customHeight="1" x14ac:dyDescent="0.35">
      <c r="A773" s="103"/>
      <c r="C773" s="100" t="str">
        <f>IF(OR(Fact_Contabilidad[[#This Row], [Año]]="",Fact_Contabilidad[[#This Row], [Mes]]=""),"",DATE(A773,MATCH(B773,{"enero","febrero","marzo","abril","mayo","junio","julio","agosto","septiembre","octubre","noviembre","diciembre"},0)+1,0))</f>
        <v/>
      </c>
      <c r="E773" t="str">
        <f>+IFERROR(VLOOKUP(Fact_Contabilidad[[#This Row], [Concepto Anterior]],Conceptos_Contabilidad[#All],5,0),"")</f>
        <v/>
      </c>
      <c r="F773" t="str">
        <f>+IFERROR(VLOOKUP(Fact_Contabilidad[[#This Row], 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ht="18.75" customHeight="1" x14ac:dyDescent="0.35">
      <c r="A774" s="103"/>
      <c r="C774" s="100" t="str">
        <f>IF(OR(Fact_Contabilidad[[#This Row], [Año]]="",Fact_Contabilidad[[#This Row], [Mes]]=""),"",DATE(A774,MATCH(B774,{"enero","febrero","marzo","abril","mayo","junio","julio","agosto","septiembre","octubre","noviembre","diciembre"},0)+1,0))</f>
        <v/>
      </c>
      <c r="E774" t="str">
        <f>+IFERROR(VLOOKUP(Fact_Contabilidad[[#This Row], [Concepto Anterior]],Conceptos_Contabilidad[#All],5,0),"")</f>
        <v/>
      </c>
      <c r="F774" t="str">
        <f>+IFERROR(VLOOKUP(Fact_Contabilidad[[#This Row], 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ht="18.75" customHeight="1" x14ac:dyDescent="0.35">
      <c r="A775" s="103"/>
      <c r="C775" s="100" t="str">
        <f>IF(OR(Fact_Contabilidad[[#This Row], [Año]]="",Fact_Contabilidad[[#This Row], [Mes]]=""),"",DATE(A775,MATCH(B775,{"enero","febrero","marzo","abril","mayo","junio","julio","agosto","septiembre","octubre","noviembre","diciembre"},0)+1,0))</f>
        <v/>
      </c>
      <c r="E775" t="str">
        <f>+IFERROR(VLOOKUP(Fact_Contabilidad[[#This Row], [Concepto Anterior]],Conceptos_Contabilidad[#All],5,0),"")</f>
        <v/>
      </c>
      <c r="F775" t="str">
        <f>+IFERROR(VLOOKUP(Fact_Contabilidad[[#This Row], 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ht="18.75" customHeight="1" x14ac:dyDescent="0.35">
      <c r="A776" s="103"/>
      <c r="C776" s="100" t="str">
        <f>IF(OR(Fact_Contabilidad[[#This Row], [Año]]="",Fact_Contabilidad[[#This Row], [Mes]]=""),"",DATE(A776,MATCH(B776,{"enero","febrero","marzo","abril","mayo","junio","julio","agosto","septiembre","octubre","noviembre","diciembre"},0)+1,0))</f>
        <v/>
      </c>
      <c r="E776" t="str">
        <f>+IFERROR(VLOOKUP(Fact_Contabilidad[[#This Row], [Concepto Anterior]],Conceptos_Contabilidad[#All],5,0),"")</f>
        <v/>
      </c>
      <c r="F776" t="str">
        <f>+IFERROR(VLOOKUP(Fact_Contabilidad[[#This Row], 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ht="18.75" customHeight="1" x14ac:dyDescent="0.35">
      <c r="A777" s="103"/>
      <c r="C777" s="100" t="str">
        <f>IF(OR(Fact_Contabilidad[[#This Row], [Año]]="",Fact_Contabilidad[[#This Row], [Mes]]=""),"",DATE(A777,MATCH(B777,{"enero","febrero","marzo","abril","mayo","junio","julio","agosto","septiembre","octubre","noviembre","diciembre"},0)+1,0))</f>
        <v/>
      </c>
      <c r="E777" t="str">
        <f>+IFERROR(VLOOKUP(Fact_Contabilidad[[#This Row], [Concepto Anterior]],Conceptos_Contabilidad[#All],5,0),"")</f>
        <v/>
      </c>
      <c r="F777" t="str">
        <f>+IFERROR(VLOOKUP(Fact_Contabilidad[[#This Row], 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ht="18.75" customHeight="1" x14ac:dyDescent="0.35">
      <c r="A778" s="103"/>
      <c r="C778" s="100" t="str">
        <f>IF(OR(Fact_Contabilidad[[#This Row], [Año]]="",Fact_Contabilidad[[#This Row], [Mes]]=""),"",DATE(A778,MATCH(B778,{"enero","febrero","marzo","abril","mayo","junio","julio","agosto","septiembre","octubre","noviembre","diciembre"},0)+1,0))</f>
        <v/>
      </c>
      <c r="E778" t="str">
        <f>+IFERROR(VLOOKUP(Fact_Contabilidad[[#This Row], [Concepto Anterior]],Conceptos_Contabilidad[#All],5,0),"")</f>
        <v/>
      </c>
      <c r="F778" t="str">
        <f>+IFERROR(VLOOKUP(Fact_Contabilidad[[#This Row], 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ht="18.75" customHeight="1" x14ac:dyDescent="0.35">
      <c r="A779" s="103"/>
      <c r="C779" s="100" t="str">
        <f>IF(OR(Fact_Contabilidad[[#This Row], [Año]]="",Fact_Contabilidad[[#This Row], [Mes]]=""),"",DATE(A779,MATCH(B779,{"enero","febrero","marzo","abril","mayo","junio","julio","agosto","septiembre","octubre","noviembre","diciembre"},0)+1,0))</f>
        <v/>
      </c>
      <c r="E779" t="str">
        <f>+IFERROR(VLOOKUP(Fact_Contabilidad[[#This Row], [Concepto Anterior]],Conceptos_Contabilidad[#All],5,0),"")</f>
        <v/>
      </c>
      <c r="F779" t="str">
        <f>+IFERROR(VLOOKUP(Fact_Contabilidad[[#This Row], 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ht="18.75" customHeight="1" x14ac:dyDescent="0.35">
      <c r="A780" s="103"/>
      <c r="C780" s="100" t="str">
        <f>IF(OR(Fact_Contabilidad[[#This Row], [Año]]="",Fact_Contabilidad[[#This Row], [Mes]]=""),"",DATE(A780,MATCH(B780,{"enero","febrero","marzo","abril","mayo","junio","julio","agosto","septiembre","octubre","noviembre","diciembre"},0)+1,0))</f>
        <v/>
      </c>
      <c r="E780" t="str">
        <f>+IFERROR(VLOOKUP(Fact_Contabilidad[[#This Row], [Concepto Anterior]],Conceptos_Contabilidad[#All],5,0),"")</f>
        <v/>
      </c>
      <c r="F780" t="str">
        <f>+IFERROR(VLOOKUP(Fact_Contabilidad[[#This Row], 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ht="18.75" customHeight="1" x14ac:dyDescent="0.35">
      <c r="A781" s="103"/>
      <c r="C781" s="100" t="str">
        <f>IF(OR(Fact_Contabilidad[[#This Row], [Año]]="",Fact_Contabilidad[[#This Row], [Mes]]=""),"",DATE(A781,MATCH(B781,{"enero","febrero","marzo","abril","mayo","junio","julio","agosto","septiembre","octubre","noviembre","diciembre"},0)+1,0))</f>
        <v/>
      </c>
      <c r="E781" t="str">
        <f>+IFERROR(VLOOKUP(Fact_Contabilidad[[#This Row], [Concepto Anterior]],Conceptos_Contabilidad[#All],5,0),"")</f>
        <v/>
      </c>
      <c r="F781" t="str">
        <f>+IFERROR(VLOOKUP(Fact_Contabilidad[[#This Row], 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ht="18.75" customHeight="1" x14ac:dyDescent="0.35">
      <c r="A782" s="103"/>
      <c r="C782" s="100" t="str">
        <f>IF(OR(Fact_Contabilidad[[#This Row], [Año]]="",Fact_Contabilidad[[#This Row], [Mes]]=""),"",DATE(A782,MATCH(B782,{"enero","febrero","marzo","abril","mayo","junio","julio","agosto","septiembre","octubre","noviembre","diciembre"},0)+1,0))</f>
        <v/>
      </c>
      <c r="E782" t="str">
        <f>+IFERROR(VLOOKUP(Fact_Contabilidad[[#This Row], [Concepto Anterior]],Conceptos_Contabilidad[#All],5,0),"")</f>
        <v/>
      </c>
      <c r="F782" t="str">
        <f>+IFERROR(VLOOKUP(Fact_Contabilidad[[#This Row], 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ht="18.75" customHeight="1" x14ac:dyDescent="0.35">
      <c r="A783" s="103"/>
      <c r="C783" s="100" t="str">
        <f>IF(OR(Fact_Contabilidad[[#This Row], [Año]]="",Fact_Contabilidad[[#This Row], [Mes]]=""),"",DATE(A783,MATCH(B783,{"enero","febrero","marzo","abril","mayo","junio","julio","agosto","septiembre","octubre","noviembre","diciembre"},0)+1,0))</f>
        <v/>
      </c>
      <c r="E783" t="str">
        <f>+IFERROR(VLOOKUP(Fact_Contabilidad[[#This Row], [Concepto Anterior]],Conceptos_Contabilidad[#All],5,0),"")</f>
        <v/>
      </c>
      <c r="F783" t="str">
        <f>+IFERROR(VLOOKUP(Fact_Contabilidad[[#This Row], 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ht="18.75" customHeight="1" x14ac:dyDescent="0.35">
      <c r="A784" s="103"/>
      <c r="C784" s="100" t="str">
        <f>IF(OR(Fact_Contabilidad[[#This Row], [Año]]="",Fact_Contabilidad[[#This Row], [Mes]]=""),"",DATE(A784,MATCH(B784,{"enero","febrero","marzo","abril","mayo","junio","julio","agosto","septiembre","octubre","noviembre","diciembre"},0)+1,0))</f>
        <v/>
      </c>
      <c r="E784" t="str">
        <f>+IFERROR(VLOOKUP(Fact_Contabilidad[[#This Row], [Concepto Anterior]],Conceptos_Contabilidad[#All],5,0),"")</f>
        <v/>
      </c>
      <c r="F784" t="str">
        <f>+IFERROR(VLOOKUP(Fact_Contabilidad[[#This Row], 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ht="18.75" customHeight="1" x14ac:dyDescent="0.35">
      <c r="A785" s="103"/>
      <c r="C785" s="100" t="str">
        <f>IF(OR(Fact_Contabilidad[[#This Row], [Año]]="",Fact_Contabilidad[[#This Row], [Mes]]=""),"",DATE(A785,MATCH(B785,{"enero","febrero","marzo","abril","mayo","junio","julio","agosto","septiembre","octubre","noviembre","diciembre"},0)+1,0))</f>
        <v/>
      </c>
      <c r="E785" t="str">
        <f>+IFERROR(VLOOKUP(Fact_Contabilidad[[#This Row], [Concepto Anterior]],Conceptos_Contabilidad[#All],5,0),"")</f>
        <v/>
      </c>
      <c r="F785" t="str">
        <f>+IFERROR(VLOOKUP(Fact_Contabilidad[[#This Row], 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ht="18.75" customHeight="1" x14ac:dyDescent="0.35">
      <c r="A786" s="103"/>
      <c r="C786" s="100" t="str">
        <f>IF(OR(Fact_Contabilidad[[#This Row], [Año]]="",Fact_Contabilidad[[#This Row], [Mes]]=""),"",DATE(A786,MATCH(B786,{"enero","febrero","marzo","abril","mayo","junio","julio","agosto","septiembre","octubre","noviembre","diciembre"},0)+1,0))</f>
        <v/>
      </c>
      <c r="E786" t="str">
        <f>+IFERROR(VLOOKUP(Fact_Contabilidad[[#This Row], [Concepto Anterior]],Conceptos_Contabilidad[#All],5,0),"")</f>
        <v/>
      </c>
      <c r="F786" t="str">
        <f>+IFERROR(VLOOKUP(Fact_Contabilidad[[#This Row], 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ht="18.75" customHeight="1" x14ac:dyDescent="0.35">
      <c r="A787" s="103"/>
      <c r="C787" s="100" t="str">
        <f>IF(OR(Fact_Contabilidad[[#This Row], [Año]]="",Fact_Contabilidad[[#This Row], [Mes]]=""),"",DATE(A787,MATCH(B787,{"enero","febrero","marzo","abril","mayo","junio","julio","agosto","septiembre","octubre","noviembre","diciembre"},0)+1,0))</f>
        <v/>
      </c>
      <c r="E787" t="str">
        <f>+IFERROR(VLOOKUP(Fact_Contabilidad[[#This Row], [Concepto Anterior]],Conceptos_Contabilidad[#All],5,0),"")</f>
        <v/>
      </c>
      <c r="F787" t="str">
        <f>+IFERROR(VLOOKUP(Fact_Contabilidad[[#This Row], 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ht="18.75" customHeight="1" x14ac:dyDescent="0.35">
      <c r="A788" s="103"/>
      <c r="C788" s="100" t="str">
        <f>IF(OR(Fact_Contabilidad[[#This Row], [Año]]="",Fact_Contabilidad[[#This Row], [Mes]]=""),"",DATE(A788,MATCH(B788,{"enero","febrero","marzo","abril","mayo","junio","julio","agosto","septiembre","octubre","noviembre","diciembre"},0)+1,0))</f>
        <v/>
      </c>
      <c r="E788" t="str">
        <f>+IFERROR(VLOOKUP(Fact_Contabilidad[[#This Row], [Concepto Anterior]],Conceptos_Contabilidad[#All],5,0),"")</f>
        <v/>
      </c>
      <c r="F788" t="str">
        <f>+IFERROR(VLOOKUP(Fact_Contabilidad[[#This Row], 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ht="18.75" customHeight="1" x14ac:dyDescent="0.35">
      <c r="A789" s="103"/>
      <c r="C789" s="100" t="str">
        <f>IF(OR(Fact_Contabilidad[[#This Row], [Año]]="",Fact_Contabilidad[[#This Row], [Mes]]=""),"",DATE(A789,MATCH(B789,{"enero","febrero","marzo","abril","mayo","junio","julio","agosto","septiembre","octubre","noviembre","diciembre"},0)+1,0))</f>
        <v/>
      </c>
      <c r="E789" t="str">
        <f>+IFERROR(VLOOKUP(Fact_Contabilidad[[#This Row], [Concepto Anterior]],Conceptos_Contabilidad[#All],5,0),"")</f>
        <v/>
      </c>
      <c r="F789" t="str">
        <f>+IFERROR(VLOOKUP(Fact_Contabilidad[[#This Row], 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ht="18.75" customHeight="1" x14ac:dyDescent="0.35">
      <c r="A790" s="103"/>
      <c r="C790" s="100" t="str">
        <f>IF(OR(Fact_Contabilidad[[#This Row], [Año]]="",Fact_Contabilidad[[#This Row], [Mes]]=""),"",DATE(A790,MATCH(B790,{"enero","febrero","marzo","abril","mayo","junio","julio","agosto","septiembre","octubre","noviembre","diciembre"},0)+1,0))</f>
        <v/>
      </c>
      <c r="E790" t="str">
        <f>+IFERROR(VLOOKUP(Fact_Contabilidad[[#This Row], [Concepto Anterior]],Conceptos_Contabilidad[#All],5,0),"")</f>
        <v/>
      </c>
      <c r="F790" t="str">
        <f>+IFERROR(VLOOKUP(Fact_Contabilidad[[#This Row], 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ht="18.75" customHeight="1" x14ac:dyDescent="0.35">
      <c r="A791" s="103"/>
      <c r="C791" s="100" t="str">
        <f>IF(OR(Fact_Contabilidad[[#This Row], [Año]]="",Fact_Contabilidad[[#This Row], [Mes]]=""),"",DATE(A791,MATCH(B791,{"enero","febrero","marzo","abril","mayo","junio","julio","agosto","septiembre","octubre","noviembre","diciembre"},0)+1,0))</f>
        <v/>
      </c>
      <c r="E791" t="str">
        <f>+IFERROR(VLOOKUP(Fact_Contabilidad[[#This Row], [Concepto Anterior]],Conceptos_Contabilidad[#All],5,0),"")</f>
        <v/>
      </c>
      <c r="F791" t="str">
        <f>+IFERROR(VLOOKUP(Fact_Contabilidad[[#This Row], 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ht="18.75" customHeight="1" x14ac:dyDescent="0.35">
      <c r="A792" s="103"/>
      <c r="C792" s="100" t="str">
        <f>IF(OR(Fact_Contabilidad[[#This Row], [Año]]="",Fact_Contabilidad[[#This Row], [Mes]]=""),"",DATE(A792,MATCH(B792,{"enero","febrero","marzo","abril","mayo","junio","julio","agosto","septiembre","octubre","noviembre","diciembre"},0)+1,0))</f>
        <v/>
      </c>
      <c r="E792" t="str">
        <f>+IFERROR(VLOOKUP(Fact_Contabilidad[[#This Row], [Concepto Anterior]],Conceptos_Contabilidad[#All],5,0),"")</f>
        <v/>
      </c>
      <c r="F792" t="str">
        <f>+IFERROR(VLOOKUP(Fact_Contabilidad[[#This Row], 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ht="18.75" customHeight="1" x14ac:dyDescent="0.35">
      <c r="A793" s="103"/>
      <c r="C793" s="100" t="str">
        <f>IF(OR(Fact_Contabilidad[[#This Row], [Año]]="",Fact_Contabilidad[[#This Row], [Mes]]=""),"",DATE(A793,MATCH(B793,{"enero","febrero","marzo","abril","mayo","junio","julio","agosto","septiembre","octubre","noviembre","diciembre"},0)+1,0))</f>
        <v/>
      </c>
      <c r="E793" t="str">
        <f>+IFERROR(VLOOKUP(Fact_Contabilidad[[#This Row], [Concepto Anterior]],Conceptos_Contabilidad[#All],5,0),"")</f>
        <v/>
      </c>
      <c r="F793" t="str">
        <f>+IFERROR(VLOOKUP(Fact_Contabilidad[[#This Row], 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ht="18.75" customHeight="1" x14ac:dyDescent="0.35">
      <c r="A794" s="103"/>
      <c r="C794" s="100" t="str">
        <f>IF(OR(Fact_Contabilidad[[#This Row], [Año]]="",Fact_Contabilidad[[#This Row], [Mes]]=""),"",DATE(A794,MATCH(B794,{"enero","febrero","marzo","abril","mayo","junio","julio","agosto","septiembre","octubre","noviembre","diciembre"},0)+1,0))</f>
        <v/>
      </c>
      <c r="E794" t="str">
        <f>+IFERROR(VLOOKUP(Fact_Contabilidad[[#This Row], [Concepto Anterior]],Conceptos_Contabilidad[#All],5,0),"")</f>
        <v/>
      </c>
      <c r="F794" t="str">
        <f>+IFERROR(VLOOKUP(Fact_Contabilidad[[#This Row], 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ht="18.75" customHeight="1" x14ac:dyDescent="0.35">
      <c r="A795" s="103"/>
      <c r="C795" s="100" t="str">
        <f>IF(OR(Fact_Contabilidad[[#This Row], [Año]]="",Fact_Contabilidad[[#This Row], [Mes]]=""),"",DATE(A795,MATCH(B795,{"enero","febrero","marzo","abril","mayo","junio","julio","agosto","septiembre","octubre","noviembre","diciembre"},0)+1,0))</f>
        <v/>
      </c>
      <c r="E795" t="str">
        <f>+IFERROR(VLOOKUP(Fact_Contabilidad[[#This Row], [Concepto Anterior]],Conceptos_Contabilidad[#All],5,0),"")</f>
        <v/>
      </c>
      <c r="F795" t="str">
        <f>+IFERROR(VLOOKUP(Fact_Contabilidad[[#This Row], 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ht="18.75" customHeight="1" x14ac:dyDescent="0.35">
      <c r="A796" s="103"/>
      <c r="C796" s="100" t="str">
        <f>IF(OR(Fact_Contabilidad[[#This Row], [Año]]="",Fact_Contabilidad[[#This Row], [Mes]]=""),"",DATE(A796,MATCH(B796,{"enero","febrero","marzo","abril","mayo","junio","julio","agosto","septiembre","octubre","noviembre","diciembre"},0)+1,0))</f>
        <v/>
      </c>
      <c r="E796" t="str">
        <f>+IFERROR(VLOOKUP(Fact_Contabilidad[[#This Row], [Concepto Anterior]],Conceptos_Contabilidad[#All],5,0),"")</f>
        <v/>
      </c>
      <c r="F796" t="str">
        <f>+IFERROR(VLOOKUP(Fact_Contabilidad[[#This Row], 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ht="18.75" customHeight="1" x14ac:dyDescent="0.35">
      <c r="A797" s="103"/>
      <c r="C797" s="100" t="str">
        <f>IF(OR(Fact_Contabilidad[[#This Row], [Año]]="",Fact_Contabilidad[[#This Row], [Mes]]=""),"",DATE(A797,MATCH(B797,{"enero","febrero","marzo","abril","mayo","junio","julio","agosto","septiembre","octubre","noviembre","diciembre"},0)+1,0))</f>
        <v/>
      </c>
      <c r="E797" t="str">
        <f>+IFERROR(VLOOKUP(Fact_Contabilidad[[#This Row], [Concepto Anterior]],Conceptos_Contabilidad[#All],5,0),"")</f>
        <v/>
      </c>
      <c r="F797" t="str">
        <f>+IFERROR(VLOOKUP(Fact_Contabilidad[[#This Row], 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ht="18.75" customHeight="1" x14ac:dyDescent="0.35">
      <c r="A798" s="103"/>
      <c r="C798" s="100" t="str">
        <f>IF(OR(Fact_Contabilidad[[#This Row], [Año]]="",Fact_Contabilidad[[#This Row], [Mes]]=""),"",DATE(A798,MATCH(B798,{"enero","febrero","marzo","abril","mayo","junio","julio","agosto","septiembre","octubre","noviembre","diciembre"},0)+1,0))</f>
        <v/>
      </c>
      <c r="E798" t="str">
        <f>+IFERROR(VLOOKUP(Fact_Contabilidad[[#This Row], [Concepto Anterior]],Conceptos_Contabilidad[#All],5,0),"")</f>
        <v/>
      </c>
      <c r="F798" t="str">
        <f>+IFERROR(VLOOKUP(Fact_Contabilidad[[#This Row], 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ht="18.75" customHeight="1" x14ac:dyDescent="0.35">
      <c r="A799" s="103"/>
      <c r="C799" s="100" t="str">
        <f>IF(OR(Fact_Contabilidad[[#This Row], [Año]]="",Fact_Contabilidad[[#This Row], [Mes]]=""),"",DATE(A799,MATCH(B799,{"enero","febrero","marzo","abril","mayo","junio","julio","agosto","septiembre","octubre","noviembre","diciembre"},0)+1,0))</f>
        <v/>
      </c>
      <c r="E799" t="str">
        <f>+IFERROR(VLOOKUP(Fact_Contabilidad[[#This Row], [Concepto Anterior]],Conceptos_Contabilidad[#All],5,0),"")</f>
        <v/>
      </c>
      <c r="F799" t="str">
        <f>+IFERROR(VLOOKUP(Fact_Contabilidad[[#This Row], 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ht="18.75" customHeight="1" x14ac:dyDescent="0.35">
      <c r="A800" s="103"/>
      <c r="C800" s="100" t="str">
        <f>IF(OR(Fact_Contabilidad[[#This Row], [Año]]="",Fact_Contabilidad[[#This Row], [Mes]]=""),"",DATE(A800,MATCH(B800,{"enero","febrero","marzo","abril","mayo","junio","julio","agosto","septiembre","octubre","noviembre","diciembre"},0)+1,0))</f>
        <v/>
      </c>
      <c r="E800" t="str">
        <f>+IFERROR(VLOOKUP(Fact_Contabilidad[[#This Row], [Concepto Anterior]],Conceptos_Contabilidad[#All],5,0),"")</f>
        <v/>
      </c>
      <c r="F800" t="str">
        <f>+IFERROR(VLOOKUP(Fact_Contabilidad[[#This Row], 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ht="18.75" customHeight="1" x14ac:dyDescent="0.35">
      <c r="A801" s="103"/>
      <c r="C801" s="100" t="str">
        <f>IF(OR(Fact_Contabilidad[[#This Row], [Año]]="",Fact_Contabilidad[[#This Row], [Mes]]=""),"",DATE(A801,MATCH(B801,{"enero","febrero","marzo","abril","mayo","junio","julio","agosto","septiembre","octubre","noviembre","diciembre"},0)+1,0))</f>
        <v/>
      </c>
      <c r="E801" t="str">
        <f>+IFERROR(VLOOKUP(Fact_Contabilidad[[#This Row], [Concepto Anterior]],Conceptos_Contabilidad[#All],5,0),"")</f>
        <v/>
      </c>
      <c r="F801" t="str">
        <f>+IFERROR(VLOOKUP(Fact_Contabilidad[[#This Row], 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ht="18.75" customHeight="1" x14ac:dyDescent="0.35">
      <c r="A802" s="103"/>
      <c r="C802" s="100" t="str">
        <f>IF(OR(Fact_Contabilidad[[#This Row], [Año]]="",Fact_Contabilidad[[#This Row], [Mes]]=""),"",DATE(A802,MATCH(B802,{"enero","febrero","marzo","abril","mayo","junio","julio","agosto","septiembre","octubre","noviembre","diciembre"},0)+1,0))</f>
        <v/>
      </c>
      <c r="E802" t="str">
        <f>+IFERROR(VLOOKUP(Fact_Contabilidad[[#This Row], [Concepto Anterior]],Conceptos_Contabilidad[#All],5,0),"")</f>
        <v/>
      </c>
      <c r="F802" t="str">
        <f>+IFERROR(VLOOKUP(Fact_Contabilidad[[#This Row], 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ht="18.75" customHeight="1" x14ac:dyDescent="0.35">
      <c r="A803" s="103"/>
      <c r="C803" s="100" t="str">
        <f>IF(OR(Fact_Contabilidad[[#This Row], [Año]]="",Fact_Contabilidad[[#This Row], [Mes]]=""),"",DATE(A803,MATCH(B803,{"enero","febrero","marzo","abril","mayo","junio","julio","agosto","septiembre","octubre","noviembre","diciembre"},0)+1,0))</f>
        <v/>
      </c>
      <c r="E803" t="str">
        <f>+IFERROR(VLOOKUP(Fact_Contabilidad[[#This Row], [Concepto Anterior]],Conceptos_Contabilidad[#All],5,0),"")</f>
        <v/>
      </c>
      <c r="F803" t="str">
        <f>+IFERROR(VLOOKUP(Fact_Contabilidad[[#This Row], 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ht="18.75" customHeight="1" x14ac:dyDescent="0.35">
      <c r="A804" s="103"/>
      <c r="C804" s="100" t="str">
        <f>IF(OR(Fact_Contabilidad[[#This Row], [Año]]="",Fact_Contabilidad[[#This Row], [Mes]]=""),"",DATE(A804,MATCH(B804,{"enero","febrero","marzo","abril","mayo","junio","julio","agosto","septiembre","octubre","noviembre","diciembre"},0)+1,0))</f>
        <v/>
      </c>
      <c r="E804" t="str">
        <f>+IFERROR(VLOOKUP(Fact_Contabilidad[[#This Row], [Concepto Anterior]],Conceptos_Contabilidad[#All],5,0),"")</f>
        <v/>
      </c>
      <c r="F804" t="str">
        <f>+IFERROR(VLOOKUP(Fact_Contabilidad[[#This Row], 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ht="18.75" customHeight="1" x14ac:dyDescent="0.35">
      <c r="A805" s="103"/>
      <c r="C805" s="100" t="str">
        <f>IF(OR(Fact_Contabilidad[[#This Row], [Año]]="",Fact_Contabilidad[[#This Row], [Mes]]=""),"",DATE(A805,MATCH(B805,{"enero","febrero","marzo","abril","mayo","junio","julio","agosto","septiembre","octubre","noviembre","diciembre"},0)+1,0))</f>
        <v/>
      </c>
      <c r="E805" t="str">
        <f>+IFERROR(VLOOKUP(Fact_Contabilidad[[#This Row], [Concepto Anterior]],Conceptos_Contabilidad[#All],5,0),"")</f>
        <v/>
      </c>
      <c r="F805" t="str">
        <f>+IFERROR(VLOOKUP(Fact_Contabilidad[[#This Row], 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ht="18.75" customHeight="1" x14ac:dyDescent="0.35">
      <c r="A806" s="103"/>
      <c r="C806" s="100" t="str">
        <f>IF(OR(Fact_Contabilidad[[#This Row], [Año]]="",Fact_Contabilidad[[#This Row], [Mes]]=""),"",DATE(A806,MATCH(B806,{"enero","febrero","marzo","abril","mayo","junio","julio","agosto","septiembre","octubre","noviembre","diciembre"},0)+1,0))</f>
        <v/>
      </c>
      <c r="E806" t="str">
        <f>+IFERROR(VLOOKUP(Fact_Contabilidad[[#This Row], [Concepto Anterior]],Conceptos_Contabilidad[#All],5,0),"")</f>
        <v/>
      </c>
      <c r="F806" t="str">
        <f>+IFERROR(VLOOKUP(Fact_Contabilidad[[#This Row], 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ht="18.75" customHeight="1" x14ac:dyDescent="0.35">
      <c r="A807" s="103"/>
      <c r="C807" s="100" t="str">
        <f>IF(OR(Fact_Contabilidad[[#This Row], [Año]]="",Fact_Contabilidad[[#This Row], [Mes]]=""),"",DATE(A807,MATCH(B807,{"enero","febrero","marzo","abril","mayo","junio","julio","agosto","septiembre","octubre","noviembre","diciembre"},0)+1,0))</f>
        <v/>
      </c>
      <c r="E807" t="str">
        <f>+IFERROR(VLOOKUP(Fact_Contabilidad[[#This Row], [Concepto Anterior]],Conceptos_Contabilidad[#All],5,0),"")</f>
        <v/>
      </c>
      <c r="F807" t="str">
        <f>+IFERROR(VLOOKUP(Fact_Contabilidad[[#This Row], 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ht="18.75" customHeight="1" x14ac:dyDescent="0.35">
      <c r="A808" s="103"/>
      <c r="C808" s="100" t="str">
        <f>IF(OR(Fact_Contabilidad[[#This Row], [Año]]="",Fact_Contabilidad[[#This Row], [Mes]]=""),"",DATE(A808,MATCH(B808,{"enero","febrero","marzo","abril","mayo","junio","julio","agosto","septiembre","octubre","noviembre","diciembre"},0)+1,0))</f>
        <v/>
      </c>
      <c r="E808" t="str">
        <f>+IFERROR(VLOOKUP(Fact_Contabilidad[[#This Row], [Concepto Anterior]],Conceptos_Contabilidad[#All],5,0),"")</f>
        <v/>
      </c>
      <c r="F808" t="str">
        <f>+IFERROR(VLOOKUP(Fact_Contabilidad[[#This Row], 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ht="18.75" customHeight="1" x14ac:dyDescent="0.35">
      <c r="A809" s="103"/>
      <c r="C809" s="100" t="str">
        <f>IF(OR(Fact_Contabilidad[[#This Row], [Año]]="",Fact_Contabilidad[[#This Row], [Mes]]=""),"",DATE(A809,MATCH(B809,{"enero","febrero","marzo","abril","mayo","junio","julio","agosto","septiembre","octubre","noviembre","diciembre"},0)+1,0))</f>
        <v/>
      </c>
      <c r="E809" t="str">
        <f>+IFERROR(VLOOKUP(Fact_Contabilidad[[#This Row], [Concepto Anterior]],Conceptos_Contabilidad[#All],5,0),"")</f>
        <v/>
      </c>
      <c r="F809" t="str">
        <f>+IFERROR(VLOOKUP(Fact_Contabilidad[[#This Row], 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ht="18.75" customHeight="1" x14ac:dyDescent="0.35">
      <c r="A810" s="103"/>
      <c r="C810" s="100" t="str">
        <f>IF(OR(Fact_Contabilidad[[#This Row], [Año]]="",Fact_Contabilidad[[#This Row], [Mes]]=""),"",DATE(A810,MATCH(B810,{"enero","febrero","marzo","abril","mayo","junio","julio","agosto","septiembre","octubre","noviembre","diciembre"},0)+1,0))</f>
        <v/>
      </c>
      <c r="E810" t="str">
        <f>+IFERROR(VLOOKUP(Fact_Contabilidad[[#This Row], [Concepto Anterior]],Conceptos_Contabilidad[#All],5,0),"")</f>
        <v/>
      </c>
      <c r="F810" t="str">
        <f>+IFERROR(VLOOKUP(Fact_Contabilidad[[#This Row], 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ht="18.75" customHeight="1" x14ac:dyDescent="0.35">
      <c r="A811" s="103"/>
      <c r="C811" s="100" t="str">
        <f>IF(OR(Fact_Contabilidad[[#This Row], [Año]]="",Fact_Contabilidad[[#This Row], [Mes]]=""),"",DATE(A811,MATCH(B811,{"enero","febrero","marzo","abril","mayo","junio","julio","agosto","septiembre","octubre","noviembre","diciembre"},0)+1,0))</f>
        <v/>
      </c>
      <c r="E811" t="str">
        <f>+IFERROR(VLOOKUP(Fact_Contabilidad[[#This Row], [Concepto Anterior]],Conceptos_Contabilidad[#All],5,0),"")</f>
        <v/>
      </c>
      <c r="F811" t="str">
        <f>+IFERROR(VLOOKUP(Fact_Contabilidad[[#This Row], 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ht="18.75" customHeight="1" x14ac:dyDescent="0.35">
      <c r="A812" s="103"/>
      <c r="C812" s="100" t="str">
        <f>IF(OR(Fact_Contabilidad[[#This Row], [Año]]="",Fact_Contabilidad[[#This Row], [Mes]]=""),"",DATE(A812,MATCH(B812,{"enero","febrero","marzo","abril","mayo","junio","julio","agosto","septiembre","octubre","noviembre","diciembre"},0)+1,0))</f>
        <v/>
      </c>
      <c r="E812" t="str">
        <f>+IFERROR(VLOOKUP(Fact_Contabilidad[[#This Row], [Concepto Anterior]],Conceptos_Contabilidad[#All],5,0),"")</f>
        <v/>
      </c>
      <c r="F812" t="str">
        <f>+IFERROR(VLOOKUP(Fact_Contabilidad[[#This Row], 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ht="18.75" customHeight="1" x14ac:dyDescent="0.35">
      <c r="A813" s="103"/>
      <c r="C813" s="100" t="str">
        <f>IF(OR(Fact_Contabilidad[[#This Row], [Año]]="",Fact_Contabilidad[[#This Row], [Mes]]=""),"",DATE(A813,MATCH(B813,{"enero","febrero","marzo","abril","mayo","junio","julio","agosto","septiembre","octubre","noviembre","diciembre"},0)+1,0))</f>
        <v/>
      </c>
      <c r="E813" t="str">
        <f>+IFERROR(VLOOKUP(Fact_Contabilidad[[#This Row], [Concepto Anterior]],Conceptos_Contabilidad[#All],5,0),"")</f>
        <v/>
      </c>
      <c r="F813" t="str">
        <f>+IFERROR(VLOOKUP(Fact_Contabilidad[[#This Row], 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ht="18.75" customHeight="1" x14ac:dyDescent="0.35">
      <c r="A814" s="103"/>
      <c r="C814" s="100" t="str">
        <f>IF(OR(Fact_Contabilidad[[#This Row], [Año]]="",Fact_Contabilidad[[#This Row], [Mes]]=""),"",DATE(A814,MATCH(B814,{"enero","febrero","marzo","abril","mayo","junio","julio","agosto","septiembre","octubre","noviembre","diciembre"},0)+1,0))</f>
        <v/>
      </c>
      <c r="E814" t="str">
        <f>+IFERROR(VLOOKUP(Fact_Contabilidad[[#This Row], [Concepto Anterior]],Conceptos_Contabilidad[#All],5,0),"")</f>
        <v/>
      </c>
      <c r="F814" t="str">
        <f>+IFERROR(VLOOKUP(Fact_Contabilidad[[#This Row], 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ht="18.75" customHeight="1" x14ac:dyDescent="0.35">
      <c r="A815" s="103"/>
      <c r="C815" s="100" t="str">
        <f>IF(OR(Fact_Contabilidad[[#This Row], [Año]]="",Fact_Contabilidad[[#This Row], [Mes]]=""),"",DATE(A815,MATCH(B815,{"enero","febrero","marzo","abril","mayo","junio","julio","agosto","septiembre","octubre","noviembre","diciembre"},0)+1,0))</f>
        <v/>
      </c>
      <c r="E815" t="str">
        <f>+IFERROR(VLOOKUP(Fact_Contabilidad[[#This Row], [Concepto Anterior]],Conceptos_Contabilidad[#All],5,0),"")</f>
        <v/>
      </c>
      <c r="F815" t="str">
        <f>+IFERROR(VLOOKUP(Fact_Contabilidad[[#This Row], 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ht="18.75" customHeight="1" x14ac:dyDescent="0.35">
      <c r="A816" s="103"/>
      <c r="C816" s="100" t="str">
        <f>IF(OR(Fact_Contabilidad[[#This Row], [Año]]="",Fact_Contabilidad[[#This Row], [Mes]]=""),"",DATE(A816,MATCH(B816,{"enero","febrero","marzo","abril","mayo","junio","julio","agosto","septiembre","octubre","noviembre","diciembre"},0)+1,0))</f>
        <v/>
      </c>
      <c r="E816" t="str">
        <f>+IFERROR(VLOOKUP(Fact_Contabilidad[[#This Row], [Concepto Anterior]],Conceptos_Contabilidad[#All],5,0),"")</f>
        <v/>
      </c>
      <c r="F816" t="str">
        <f>+IFERROR(VLOOKUP(Fact_Contabilidad[[#This Row], 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ht="18.75" customHeight="1" x14ac:dyDescent="0.35">
      <c r="A817" s="103"/>
      <c r="C817" s="100" t="str">
        <f>IF(OR(Fact_Contabilidad[[#This Row], [Año]]="",Fact_Contabilidad[[#This Row], [Mes]]=""),"",DATE(A817,MATCH(B817,{"enero","febrero","marzo","abril","mayo","junio","julio","agosto","septiembre","octubre","noviembre","diciembre"},0)+1,0))</f>
        <v/>
      </c>
      <c r="E817" t="str">
        <f>+IFERROR(VLOOKUP(Fact_Contabilidad[[#This Row], [Concepto Anterior]],Conceptos_Contabilidad[#All],5,0),"")</f>
        <v/>
      </c>
      <c r="F817" t="str">
        <f>+IFERROR(VLOOKUP(Fact_Contabilidad[[#This Row], 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ht="18.75" customHeight="1" x14ac:dyDescent="0.35">
      <c r="A818" s="103"/>
      <c r="C818" s="100" t="str">
        <f>IF(OR(Fact_Contabilidad[[#This Row], [Año]]="",Fact_Contabilidad[[#This Row], [Mes]]=""),"",DATE(A818,MATCH(B818,{"enero","febrero","marzo","abril","mayo","junio","julio","agosto","septiembre","octubre","noviembre","diciembre"},0)+1,0))</f>
        <v/>
      </c>
      <c r="E818" t="str">
        <f>+IFERROR(VLOOKUP(Fact_Contabilidad[[#This Row], [Concepto Anterior]],Conceptos_Contabilidad[#All],5,0),"")</f>
        <v/>
      </c>
      <c r="F818" t="str">
        <f>+IFERROR(VLOOKUP(Fact_Contabilidad[[#This Row], 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ht="18.75" customHeight="1" x14ac:dyDescent="0.35">
      <c r="A819" s="103"/>
      <c r="C819" s="100" t="str">
        <f>IF(OR(Fact_Contabilidad[[#This Row], [Año]]="",Fact_Contabilidad[[#This Row], [Mes]]=""),"",DATE(A819,MATCH(B819,{"enero","febrero","marzo","abril","mayo","junio","julio","agosto","septiembre","octubre","noviembre","diciembre"},0)+1,0))</f>
        <v/>
      </c>
      <c r="E819" t="str">
        <f>+IFERROR(VLOOKUP(Fact_Contabilidad[[#This Row], [Concepto Anterior]],Conceptos_Contabilidad[#All],5,0),"")</f>
        <v/>
      </c>
      <c r="F819" t="str">
        <f>+IFERROR(VLOOKUP(Fact_Contabilidad[[#This Row], 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ht="18.75" customHeight="1" x14ac:dyDescent="0.35">
      <c r="A820" s="103"/>
      <c r="C820" s="100" t="str">
        <f>IF(OR(Fact_Contabilidad[[#This Row], [Año]]="",Fact_Contabilidad[[#This Row], [Mes]]=""),"",DATE(A820,MATCH(B820,{"enero","febrero","marzo","abril","mayo","junio","julio","agosto","septiembre","octubre","noviembre","diciembre"},0)+1,0))</f>
        <v/>
      </c>
      <c r="E820" t="str">
        <f>+IFERROR(VLOOKUP(Fact_Contabilidad[[#This Row], [Concepto Anterior]],Conceptos_Contabilidad[#All],5,0),"")</f>
        <v/>
      </c>
      <c r="F820" t="str">
        <f>+IFERROR(VLOOKUP(Fact_Contabilidad[[#This Row], 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ht="18.75" customHeight="1" x14ac:dyDescent="0.35">
      <c r="A821" s="103"/>
      <c r="C821" s="100" t="str">
        <f>IF(OR(Fact_Contabilidad[[#This Row], [Año]]="",Fact_Contabilidad[[#This Row], [Mes]]=""),"",DATE(A821,MATCH(B821,{"enero","febrero","marzo","abril","mayo","junio","julio","agosto","septiembre","octubre","noviembre","diciembre"},0)+1,0))</f>
        <v/>
      </c>
      <c r="E821" t="str">
        <f>+IFERROR(VLOOKUP(Fact_Contabilidad[[#This Row], [Concepto Anterior]],Conceptos_Contabilidad[#All],5,0),"")</f>
        <v/>
      </c>
      <c r="F821" t="str">
        <f>+IFERROR(VLOOKUP(Fact_Contabilidad[[#This Row], 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ht="18.75" customHeight="1" x14ac:dyDescent="0.35">
      <c r="A822" s="103"/>
      <c r="C822" s="100" t="str">
        <f>IF(OR(Fact_Contabilidad[[#This Row], [Año]]="",Fact_Contabilidad[[#This Row], [Mes]]=""),"",DATE(A822,MATCH(B822,{"enero","febrero","marzo","abril","mayo","junio","julio","agosto","septiembre","octubre","noviembre","diciembre"},0)+1,0))</f>
        <v/>
      </c>
      <c r="E822" t="str">
        <f>+IFERROR(VLOOKUP(Fact_Contabilidad[[#This Row], [Concepto Anterior]],Conceptos_Contabilidad[#All],5,0),"")</f>
        <v/>
      </c>
      <c r="F822" t="str">
        <f>+IFERROR(VLOOKUP(Fact_Contabilidad[[#This Row], 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ht="18.75" customHeight="1" x14ac:dyDescent="0.35">
      <c r="A823" s="103"/>
      <c r="C823" s="100" t="str">
        <f>IF(OR(Fact_Contabilidad[[#This Row], [Año]]="",Fact_Contabilidad[[#This Row], [Mes]]=""),"",DATE(A823,MATCH(B823,{"enero","febrero","marzo","abril","mayo","junio","julio","agosto","septiembre","octubre","noviembre","diciembre"},0)+1,0))</f>
        <v/>
      </c>
      <c r="E823" t="str">
        <f>+IFERROR(VLOOKUP(Fact_Contabilidad[[#This Row], [Concepto Anterior]],Conceptos_Contabilidad[#All],5,0),"")</f>
        <v/>
      </c>
      <c r="F823" t="str">
        <f>+IFERROR(VLOOKUP(Fact_Contabilidad[[#This Row], 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ht="18.75" customHeight="1" x14ac:dyDescent="0.35">
      <c r="A824" s="103"/>
      <c r="C824" s="100" t="str">
        <f>IF(OR(Fact_Contabilidad[[#This Row], [Año]]="",Fact_Contabilidad[[#This Row], [Mes]]=""),"",DATE(A824,MATCH(B824,{"enero","febrero","marzo","abril","mayo","junio","julio","agosto","septiembre","octubre","noviembre","diciembre"},0)+1,0))</f>
        <v/>
      </c>
      <c r="E824" t="str">
        <f>+IFERROR(VLOOKUP(Fact_Contabilidad[[#This Row], [Concepto Anterior]],Conceptos_Contabilidad[#All],5,0),"")</f>
        <v/>
      </c>
      <c r="F824" t="str">
        <f>+IFERROR(VLOOKUP(Fact_Contabilidad[[#This Row], 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ht="18.75" customHeight="1" x14ac:dyDescent="0.35">
      <c r="A825" s="103"/>
      <c r="C825" s="100" t="str">
        <f>IF(OR(Fact_Contabilidad[[#This Row], [Año]]="",Fact_Contabilidad[[#This Row], [Mes]]=""),"",DATE(A825,MATCH(B825,{"enero","febrero","marzo","abril","mayo","junio","julio","agosto","septiembre","octubre","noviembre","diciembre"},0)+1,0))</f>
        <v/>
      </c>
      <c r="E825" t="str">
        <f>+IFERROR(VLOOKUP(Fact_Contabilidad[[#This Row], [Concepto Anterior]],Conceptos_Contabilidad[#All],5,0),"")</f>
        <v/>
      </c>
      <c r="F825" t="str">
        <f>+IFERROR(VLOOKUP(Fact_Contabilidad[[#This Row], 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ht="18.75" customHeight="1" x14ac:dyDescent="0.35">
      <c r="A826" s="103"/>
      <c r="C826" s="100" t="str">
        <f>IF(OR(Fact_Contabilidad[[#This Row], [Año]]="",Fact_Contabilidad[[#This Row], [Mes]]=""),"",DATE(A826,MATCH(B826,{"enero","febrero","marzo","abril","mayo","junio","julio","agosto","septiembre","octubre","noviembre","diciembre"},0)+1,0))</f>
        <v/>
      </c>
      <c r="E826" t="str">
        <f>+IFERROR(VLOOKUP(Fact_Contabilidad[[#This Row], [Concepto Anterior]],Conceptos_Contabilidad[#All],5,0),"")</f>
        <v/>
      </c>
      <c r="F826" t="str">
        <f>+IFERROR(VLOOKUP(Fact_Contabilidad[[#This Row], 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ht="18.75" customHeight="1" x14ac:dyDescent="0.35">
      <c r="A827" s="103"/>
      <c r="C827" s="100" t="str">
        <f>IF(OR(Fact_Contabilidad[[#This Row], [Año]]="",Fact_Contabilidad[[#This Row], [Mes]]=""),"",DATE(A827,MATCH(B827,{"enero","febrero","marzo","abril","mayo","junio","julio","agosto","septiembre","octubre","noviembre","diciembre"},0)+1,0))</f>
        <v/>
      </c>
      <c r="E827" t="str">
        <f>+IFERROR(VLOOKUP(Fact_Contabilidad[[#This Row], [Concepto Anterior]],Conceptos_Contabilidad[#All],5,0),"")</f>
        <v/>
      </c>
      <c r="F827" t="str">
        <f>+IFERROR(VLOOKUP(Fact_Contabilidad[[#This Row], 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ht="18.75" customHeight="1" x14ac:dyDescent="0.35">
      <c r="A828" s="103"/>
      <c r="C828" s="100" t="str">
        <f>IF(OR(Fact_Contabilidad[[#This Row], [Año]]="",Fact_Contabilidad[[#This Row], [Mes]]=""),"",DATE(A828,MATCH(B828,{"enero","febrero","marzo","abril","mayo","junio","julio","agosto","septiembre","octubre","noviembre","diciembre"},0)+1,0))</f>
        <v/>
      </c>
      <c r="E828" t="str">
        <f>+IFERROR(VLOOKUP(Fact_Contabilidad[[#This Row], [Concepto Anterior]],Conceptos_Contabilidad[#All],5,0),"")</f>
        <v/>
      </c>
      <c r="F828" t="str">
        <f>+IFERROR(VLOOKUP(Fact_Contabilidad[[#This Row], 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ht="18.75" customHeight="1" x14ac:dyDescent="0.35">
      <c r="A829" s="103"/>
      <c r="C829" s="100" t="str">
        <f>IF(OR(Fact_Contabilidad[[#This Row], [Año]]="",Fact_Contabilidad[[#This Row], [Mes]]=""),"",DATE(A829,MATCH(B829,{"enero","febrero","marzo","abril","mayo","junio","julio","agosto","septiembre","octubre","noviembre","diciembre"},0)+1,0))</f>
        <v/>
      </c>
      <c r="E829" t="str">
        <f>+IFERROR(VLOOKUP(Fact_Contabilidad[[#This Row], [Concepto Anterior]],Conceptos_Contabilidad[#All],5,0),"")</f>
        <v/>
      </c>
      <c r="F829" t="str">
        <f>+IFERROR(VLOOKUP(Fact_Contabilidad[[#This Row], 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ht="18.75" customHeight="1" x14ac:dyDescent="0.35">
      <c r="A830" s="103"/>
      <c r="C830" s="100" t="str">
        <f>IF(OR(Fact_Contabilidad[[#This Row], [Año]]="",Fact_Contabilidad[[#This Row], [Mes]]=""),"",DATE(A830,MATCH(B830,{"enero","febrero","marzo","abril","mayo","junio","julio","agosto","septiembre","octubre","noviembre","diciembre"},0)+1,0))</f>
        <v/>
      </c>
      <c r="E830" t="str">
        <f>+IFERROR(VLOOKUP(Fact_Contabilidad[[#This Row], [Concepto Anterior]],Conceptos_Contabilidad[#All],5,0),"")</f>
        <v/>
      </c>
      <c r="F830" t="str">
        <f>+IFERROR(VLOOKUP(Fact_Contabilidad[[#This Row], 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ht="18.75" customHeight="1" x14ac:dyDescent="0.35">
      <c r="A831" s="103"/>
      <c r="C831" s="100" t="str">
        <f>IF(OR(Fact_Contabilidad[[#This Row], [Año]]="",Fact_Contabilidad[[#This Row], [Mes]]=""),"",DATE(A831,MATCH(B831,{"enero","febrero","marzo","abril","mayo","junio","julio","agosto","septiembre","octubre","noviembre","diciembre"},0)+1,0))</f>
        <v/>
      </c>
      <c r="E831" t="str">
        <f>+IFERROR(VLOOKUP(Fact_Contabilidad[[#This Row], [Concepto Anterior]],Conceptos_Contabilidad[#All],5,0),"")</f>
        <v/>
      </c>
      <c r="F831" t="str">
        <f>+IFERROR(VLOOKUP(Fact_Contabilidad[[#This Row], 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ht="18.75" customHeight="1" x14ac:dyDescent="0.35">
      <c r="A832" s="103"/>
      <c r="C832" s="100" t="str">
        <f>IF(OR(Fact_Contabilidad[[#This Row], [Año]]="",Fact_Contabilidad[[#This Row], [Mes]]=""),"",DATE(A832,MATCH(B832,{"enero","febrero","marzo","abril","mayo","junio","julio","agosto","septiembre","octubre","noviembre","diciembre"},0)+1,0))</f>
        <v/>
      </c>
      <c r="E832" t="str">
        <f>+IFERROR(VLOOKUP(Fact_Contabilidad[[#This Row], [Concepto Anterior]],Conceptos_Contabilidad[#All],5,0),"")</f>
        <v/>
      </c>
      <c r="F832" t="str">
        <f>+IFERROR(VLOOKUP(Fact_Contabilidad[[#This Row], 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ht="18.75" customHeight="1" x14ac:dyDescent="0.35">
      <c r="A833" s="103"/>
      <c r="C833" s="100" t="str">
        <f>IF(OR(Fact_Contabilidad[[#This Row], [Año]]="",Fact_Contabilidad[[#This Row], [Mes]]=""),"",DATE(A833,MATCH(B833,{"enero","febrero","marzo","abril","mayo","junio","julio","agosto","septiembre","octubre","noviembre","diciembre"},0)+1,0))</f>
        <v/>
      </c>
      <c r="E833" t="str">
        <f>+IFERROR(VLOOKUP(Fact_Contabilidad[[#This Row], [Concepto Anterior]],Conceptos_Contabilidad[#All],5,0),"")</f>
        <v/>
      </c>
      <c r="F833" t="str">
        <f>+IFERROR(VLOOKUP(Fact_Contabilidad[[#This Row], 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ht="18.75" customHeight="1" x14ac:dyDescent="0.35">
      <c r="A834" s="103"/>
      <c r="C834" s="100" t="str">
        <f>IF(OR(Fact_Contabilidad[[#This Row], [Año]]="",Fact_Contabilidad[[#This Row], [Mes]]=""),"",DATE(A834,MATCH(B834,{"enero","febrero","marzo","abril","mayo","junio","julio","agosto","septiembre","octubre","noviembre","diciembre"},0)+1,0))</f>
        <v/>
      </c>
      <c r="E834" t="str">
        <f>+IFERROR(VLOOKUP(Fact_Contabilidad[[#This Row], [Concepto Anterior]],Conceptos_Contabilidad[#All],5,0),"")</f>
        <v/>
      </c>
      <c r="F834" t="str">
        <f>+IFERROR(VLOOKUP(Fact_Contabilidad[[#This Row], 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ht="18.75" customHeight="1" x14ac:dyDescent="0.35">
      <c r="A835" s="103"/>
      <c r="C835" s="100" t="str">
        <f>IF(OR(Fact_Contabilidad[[#This Row], [Año]]="",Fact_Contabilidad[[#This Row], [Mes]]=""),"",DATE(A835,MATCH(B835,{"enero","febrero","marzo","abril","mayo","junio","julio","agosto","septiembre","octubre","noviembre","diciembre"},0)+1,0))</f>
        <v/>
      </c>
      <c r="E835" t="str">
        <f>+IFERROR(VLOOKUP(Fact_Contabilidad[[#This Row], [Concepto Anterior]],Conceptos_Contabilidad[#All],5,0),"")</f>
        <v/>
      </c>
      <c r="F835" t="str">
        <f>+IFERROR(VLOOKUP(Fact_Contabilidad[[#This Row], 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ht="18.75" customHeight="1" x14ac:dyDescent="0.35">
      <c r="A836" s="103"/>
      <c r="C836" s="100" t="str">
        <f>IF(OR(Fact_Contabilidad[[#This Row], [Año]]="",Fact_Contabilidad[[#This Row], [Mes]]=""),"",DATE(A836,MATCH(B836,{"enero","febrero","marzo","abril","mayo","junio","julio","agosto","septiembre","octubre","noviembre","diciembre"},0)+1,0))</f>
        <v/>
      </c>
      <c r="E836" t="str">
        <f>+IFERROR(VLOOKUP(Fact_Contabilidad[[#This Row], [Concepto Anterior]],Conceptos_Contabilidad[#All],5,0),"")</f>
        <v/>
      </c>
      <c r="F836" t="str">
        <f>+IFERROR(VLOOKUP(Fact_Contabilidad[[#This Row], 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ht="18.75" customHeight="1" x14ac:dyDescent="0.35">
      <c r="A837" s="103"/>
      <c r="C837" s="100" t="str">
        <f>IF(OR(Fact_Contabilidad[[#This Row], [Año]]="",Fact_Contabilidad[[#This Row], [Mes]]=""),"",DATE(A837,MATCH(B837,{"enero","febrero","marzo","abril","mayo","junio","julio","agosto","septiembre","octubre","noviembre","diciembre"},0)+1,0))</f>
        <v/>
      </c>
      <c r="E837" t="str">
        <f>+IFERROR(VLOOKUP(Fact_Contabilidad[[#This Row], [Concepto Anterior]],Conceptos_Contabilidad[#All],5,0),"")</f>
        <v/>
      </c>
      <c r="F837" t="str">
        <f>+IFERROR(VLOOKUP(Fact_Contabilidad[[#This Row], 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ht="18.75" customHeight="1" x14ac:dyDescent="0.35">
      <c r="A838" s="103"/>
      <c r="C838" s="100" t="str">
        <f>IF(OR(Fact_Contabilidad[[#This Row], [Año]]="",Fact_Contabilidad[[#This Row], [Mes]]=""),"",DATE(A838,MATCH(B838,{"enero","febrero","marzo","abril","mayo","junio","julio","agosto","septiembre","octubre","noviembre","diciembre"},0)+1,0))</f>
        <v/>
      </c>
      <c r="E838" t="str">
        <f>+IFERROR(VLOOKUP(Fact_Contabilidad[[#This Row], [Concepto Anterior]],Conceptos_Contabilidad[#All],5,0),"")</f>
        <v/>
      </c>
      <c r="F838" t="str">
        <f>+IFERROR(VLOOKUP(Fact_Contabilidad[[#This Row], 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ht="18.75" customHeight="1" x14ac:dyDescent="0.35">
      <c r="A839" s="103"/>
      <c r="C839" s="100" t="str">
        <f>IF(OR(Fact_Contabilidad[[#This Row], [Año]]="",Fact_Contabilidad[[#This Row], [Mes]]=""),"",DATE(A839,MATCH(B839,{"enero","febrero","marzo","abril","mayo","junio","julio","agosto","septiembre","octubre","noviembre","diciembre"},0)+1,0))</f>
        <v/>
      </c>
      <c r="E839" t="str">
        <f>+IFERROR(VLOOKUP(Fact_Contabilidad[[#This Row], [Concepto Anterior]],Conceptos_Contabilidad[#All],5,0),"")</f>
        <v/>
      </c>
      <c r="F839" t="str">
        <f>+IFERROR(VLOOKUP(Fact_Contabilidad[[#This Row], 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ht="18.75" customHeight="1" x14ac:dyDescent="0.35">
      <c r="A840" s="103"/>
      <c r="C840" s="100" t="str">
        <f>IF(OR(Fact_Contabilidad[[#This Row], [Año]]="",Fact_Contabilidad[[#This Row], [Mes]]=""),"",DATE(A840,MATCH(B840,{"enero","febrero","marzo","abril","mayo","junio","julio","agosto","septiembre","octubre","noviembre","diciembre"},0)+1,0))</f>
        <v/>
      </c>
      <c r="E840" t="str">
        <f>+IFERROR(VLOOKUP(Fact_Contabilidad[[#This Row], [Concepto Anterior]],Conceptos_Contabilidad[#All],5,0),"")</f>
        <v/>
      </c>
      <c r="F840" t="str">
        <f>+IFERROR(VLOOKUP(Fact_Contabilidad[[#This Row], 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ht="18.75" customHeight="1" x14ac:dyDescent="0.35">
      <c r="A841" s="103"/>
      <c r="C841" s="100" t="str">
        <f>IF(OR(Fact_Contabilidad[[#This Row], [Año]]="",Fact_Contabilidad[[#This Row], [Mes]]=""),"",DATE(A841,MATCH(B841,{"enero","febrero","marzo","abril","mayo","junio","julio","agosto","septiembre","octubre","noviembre","diciembre"},0)+1,0))</f>
        <v/>
      </c>
      <c r="E841" t="str">
        <f>+IFERROR(VLOOKUP(Fact_Contabilidad[[#This Row], [Concepto Anterior]],Conceptos_Contabilidad[#All],5,0),"")</f>
        <v/>
      </c>
      <c r="F841" t="str">
        <f>+IFERROR(VLOOKUP(Fact_Contabilidad[[#This Row], 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ht="18.75" customHeight="1" x14ac:dyDescent="0.35">
      <c r="A842" s="103"/>
      <c r="C842" s="100" t="str">
        <f>IF(OR(Fact_Contabilidad[[#This Row], [Año]]="",Fact_Contabilidad[[#This Row], [Mes]]=""),"",DATE(A842,MATCH(B842,{"enero","febrero","marzo","abril","mayo","junio","julio","agosto","septiembre","octubre","noviembre","diciembre"},0)+1,0))</f>
        <v/>
      </c>
      <c r="E842" t="str">
        <f>+IFERROR(VLOOKUP(Fact_Contabilidad[[#This Row], [Concepto Anterior]],Conceptos_Contabilidad[#All],5,0),"")</f>
        <v/>
      </c>
      <c r="F842" t="str">
        <f>+IFERROR(VLOOKUP(Fact_Contabilidad[[#This Row], 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ht="18.75" customHeight="1" x14ac:dyDescent="0.35">
      <c r="A843" s="103"/>
      <c r="C843" s="100" t="str">
        <f>IF(OR(Fact_Contabilidad[[#This Row], [Año]]="",Fact_Contabilidad[[#This Row], [Mes]]=""),"",DATE(A843,MATCH(B843,{"enero","febrero","marzo","abril","mayo","junio","julio","agosto","septiembre","octubre","noviembre","diciembre"},0)+1,0))</f>
        <v/>
      </c>
      <c r="E843" t="str">
        <f>+IFERROR(VLOOKUP(Fact_Contabilidad[[#This Row], [Concepto Anterior]],Conceptos_Contabilidad[#All],5,0),"")</f>
        <v/>
      </c>
      <c r="F843" t="str">
        <f>+IFERROR(VLOOKUP(Fact_Contabilidad[[#This Row], 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ht="18.75" customHeight="1" x14ac:dyDescent="0.35">
      <c r="A844" s="103"/>
      <c r="C844" s="100" t="str">
        <f>IF(OR(Fact_Contabilidad[[#This Row], [Año]]="",Fact_Contabilidad[[#This Row], [Mes]]=""),"",DATE(A844,MATCH(B844,{"enero","febrero","marzo","abril","mayo","junio","julio","agosto","septiembre","octubre","noviembre","diciembre"},0)+1,0))</f>
        <v/>
      </c>
      <c r="E844" t="str">
        <f>+IFERROR(VLOOKUP(Fact_Contabilidad[[#This Row], [Concepto Anterior]],Conceptos_Contabilidad[#All],5,0),"")</f>
        <v/>
      </c>
      <c r="F844" t="str">
        <f>+IFERROR(VLOOKUP(Fact_Contabilidad[[#This Row], 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ht="18.75" customHeight="1" x14ac:dyDescent="0.35">
      <c r="A845" s="103"/>
      <c r="C845" s="100" t="str">
        <f>IF(OR(Fact_Contabilidad[[#This Row], [Año]]="",Fact_Contabilidad[[#This Row], [Mes]]=""),"",DATE(A845,MATCH(B845,{"enero","febrero","marzo","abril","mayo","junio","julio","agosto","septiembre","octubre","noviembre","diciembre"},0)+1,0))</f>
        <v/>
      </c>
      <c r="E845" t="str">
        <f>+IFERROR(VLOOKUP(Fact_Contabilidad[[#This Row], [Concepto Anterior]],Conceptos_Contabilidad[#All],5,0),"")</f>
        <v/>
      </c>
      <c r="F845" t="str">
        <f>+IFERROR(VLOOKUP(Fact_Contabilidad[[#This Row], 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ht="18.75" customHeight="1" x14ac:dyDescent="0.35">
      <c r="A846" s="103"/>
      <c r="C846" s="100" t="str">
        <f>IF(OR(Fact_Contabilidad[[#This Row], [Año]]="",Fact_Contabilidad[[#This Row], [Mes]]=""),"",DATE(A846,MATCH(B846,{"enero","febrero","marzo","abril","mayo","junio","julio","agosto","septiembre","octubre","noviembre","diciembre"},0)+1,0))</f>
        <v/>
      </c>
      <c r="E846" t="str">
        <f>+IFERROR(VLOOKUP(Fact_Contabilidad[[#This Row], [Concepto Anterior]],Conceptos_Contabilidad[#All],5,0),"")</f>
        <v/>
      </c>
      <c r="F846" t="str">
        <f>+IFERROR(VLOOKUP(Fact_Contabilidad[[#This Row], 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ht="18.75" customHeight="1" x14ac:dyDescent="0.35">
      <c r="A847" s="103"/>
      <c r="C847" s="100" t="str">
        <f>IF(OR(Fact_Contabilidad[[#This Row], [Año]]="",Fact_Contabilidad[[#This Row], [Mes]]=""),"",DATE(A847,MATCH(B847,{"enero","febrero","marzo","abril","mayo","junio","julio","agosto","septiembre","octubre","noviembre","diciembre"},0)+1,0))</f>
        <v/>
      </c>
      <c r="E847" t="str">
        <f>+IFERROR(VLOOKUP(Fact_Contabilidad[[#This Row], [Concepto Anterior]],Conceptos_Contabilidad[#All],5,0),"")</f>
        <v/>
      </c>
      <c r="F847" t="str">
        <f>+IFERROR(VLOOKUP(Fact_Contabilidad[[#This Row], 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ht="18.75" customHeight="1" x14ac:dyDescent="0.35">
      <c r="A848" s="103"/>
      <c r="C848" s="100" t="str">
        <f>IF(OR(Fact_Contabilidad[[#This Row], [Año]]="",Fact_Contabilidad[[#This Row], [Mes]]=""),"",DATE(A848,MATCH(B848,{"enero","febrero","marzo","abril","mayo","junio","julio","agosto","septiembre","octubre","noviembre","diciembre"},0)+1,0))</f>
        <v/>
      </c>
      <c r="E848" t="str">
        <f>+IFERROR(VLOOKUP(Fact_Contabilidad[[#This Row], [Concepto Anterior]],Conceptos_Contabilidad[#All],5,0),"")</f>
        <v/>
      </c>
      <c r="F848" t="str">
        <f>+IFERROR(VLOOKUP(Fact_Contabilidad[[#This Row], 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ht="18.75" customHeight="1" x14ac:dyDescent="0.35">
      <c r="A849" s="103"/>
      <c r="C849" s="100" t="str">
        <f>IF(OR(Fact_Contabilidad[[#This Row], [Año]]="",Fact_Contabilidad[[#This Row], [Mes]]=""),"",DATE(A849,MATCH(B849,{"enero","febrero","marzo","abril","mayo","junio","julio","agosto","septiembre","octubre","noviembre","diciembre"},0)+1,0))</f>
        <v/>
      </c>
      <c r="E849" t="str">
        <f>+IFERROR(VLOOKUP(Fact_Contabilidad[[#This Row], [Concepto Anterior]],Conceptos_Contabilidad[#All],5,0),"")</f>
        <v/>
      </c>
      <c r="F849" t="str">
        <f>+IFERROR(VLOOKUP(Fact_Contabilidad[[#This Row], 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ht="18.75" customHeight="1" x14ac:dyDescent="0.35">
      <c r="A850" s="103"/>
      <c r="C850" s="100" t="str">
        <f>IF(OR(Fact_Contabilidad[[#This Row], [Año]]="",Fact_Contabilidad[[#This Row], [Mes]]=""),"",DATE(A850,MATCH(B850,{"enero","febrero","marzo","abril","mayo","junio","julio","agosto","septiembre","octubre","noviembre","diciembre"},0)+1,0))</f>
        <v/>
      </c>
      <c r="E850" t="str">
        <f>+IFERROR(VLOOKUP(Fact_Contabilidad[[#This Row], [Concepto Anterior]],Conceptos_Contabilidad[#All],5,0),"")</f>
        <v/>
      </c>
      <c r="F850" t="str">
        <f>+IFERROR(VLOOKUP(Fact_Contabilidad[[#This Row], 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ht="18.75" customHeight="1" x14ac:dyDescent="0.35">
      <c r="A851" s="103"/>
      <c r="C851" s="100" t="str">
        <f>IF(OR(Fact_Contabilidad[[#This Row], [Año]]="",Fact_Contabilidad[[#This Row], [Mes]]=""),"",DATE(A851,MATCH(B851,{"enero","febrero","marzo","abril","mayo","junio","julio","agosto","septiembre","octubre","noviembre","diciembre"},0)+1,0))</f>
        <v/>
      </c>
      <c r="E851" t="str">
        <f>+IFERROR(VLOOKUP(Fact_Contabilidad[[#This Row], [Concepto Anterior]],Conceptos_Contabilidad[#All],5,0),"")</f>
        <v/>
      </c>
      <c r="F851" t="str">
        <f>+IFERROR(VLOOKUP(Fact_Contabilidad[[#This Row], 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ht="18.75" customHeight="1" x14ac:dyDescent="0.35">
      <c r="A852" s="103"/>
      <c r="C852" s="100" t="str">
        <f>IF(OR(Fact_Contabilidad[[#This Row], [Año]]="",Fact_Contabilidad[[#This Row], [Mes]]=""),"",DATE(A852,MATCH(B852,{"enero","febrero","marzo","abril","mayo","junio","julio","agosto","septiembre","octubre","noviembre","diciembre"},0)+1,0))</f>
        <v/>
      </c>
      <c r="E852" t="str">
        <f>+IFERROR(VLOOKUP(Fact_Contabilidad[[#This Row], [Concepto Anterior]],Conceptos_Contabilidad[#All],5,0),"")</f>
        <v/>
      </c>
      <c r="F852" t="str">
        <f>+IFERROR(VLOOKUP(Fact_Contabilidad[[#This Row], 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ht="18.75" customHeight="1" x14ac:dyDescent="0.35">
      <c r="A853" s="103"/>
      <c r="C853" s="100" t="str">
        <f>IF(OR(Fact_Contabilidad[[#This Row], [Año]]="",Fact_Contabilidad[[#This Row], [Mes]]=""),"",DATE(A853,MATCH(B853,{"enero","febrero","marzo","abril","mayo","junio","julio","agosto","septiembre","octubre","noviembre","diciembre"},0)+1,0))</f>
        <v/>
      </c>
      <c r="E853" t="str">
        <f>+IFERROR(VLOOKUP(Fact_Contabilidad[[#This Row], [Concepto Anterior]],Conceptos_Contabilidad[#All],5,0),"")</f>
        <v/>
      </c>
      <c r="F853" t="str">
        <f>+IFERROR(VLOOKUP(Fact_Contabilidad[[#This Row], 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ht="18.75" customHeight="1" x14ac:dyDescent="0.35">
      <c r="A854" s="103"/>
      <c r="C854" s="100" t="str">
        <f>IF(OR(Fact_Contabilidad[[#This Row], [Año]]="",Fact_Contabilidad[[#This Row], [Mes]]=""),"",DATE(A854,MATCH(B854,{"enero","febrero","marzo","abril","mayo","junio","julio","agosto","septiembre","octubre","noviembre","diciembre"},0)+1,0))</f>
        <v/>
      </c>
      <c r="E854" t="str">
        <f>+IFERROR(VLOOKUP(Fact_Contabilidad[[#This Row], [Concepto Anterior]],Conceptos_Contabilidad[#All],5,0),"")</f>
        <v/>
      </c>
      <c r="F854" t="str">
        <f>+IFERROR(VLOOKUP(Fact_Contabilidad[[#This Row], 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ht="18.75" customHeight="1" x14ac:dyDescent="0.35">
      <c r="A855" s="103"/>
      <c r="C855" s="100" t="str">
        <f>IF(OR(Fact_Contabilidad[[#This Row], [Año]]="",Fact_Contabilidad[[#This Row], [Mes]]=""),"",DATE(A855,MATCH(B855,{"enero","febrero","marzo","abril","mayo","junio","julio","agosto","septiembre","octubre","noviembre","diciembre"},0)+1,0))</f>
        <v/>
      </c>
      <c r="E855" t="str">
        <f>+IFERROR(VLOOKUP(Fact_Contabilidad[[#This Row], [Concepto Anterior]],Conceptos_Contabilidad[#All],5,0),"")</f>
        <v/>
      </c>
      <c r="F855" t="str">
        <f>+IFERROR(VLOOKUP(Fact_Contabilidad[[#This Row], 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ht="18.75" customHeight="1" x14ac:dyDescent="0.35">
      <c r="A856" s="103"/>
      <c r="C856" s="100" t="str">
        <f>IF(OR(Fact_Contabilidad[[#This Row], [Año]]="",Fact_Contabilidad[[#This Row], [Mes]]=""),"",DATE(A856,MATCH(B856,{"enero","febrero","marzo","abril","mayo","junio","julio","agosto","septiembre","octubre","noviembre","diciembre"},0)+1,0))</f>
        <v/>
      </c>
      <c r="E856" t="str">
        <f>+IFERROR(VLOOKUP(Fact_Contabilidad[[#This Row], [Concepto Anterior]],Conceptos_Contabilidad[#All],5,0),"")</f>
        <v/>
      </c>
      <c r="F856" t="str">
        <f>+IFERROR(VLOOKUP(Fact_Contabilidad[[#This Row], 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ht="18.75" customHeight="1" x14ac:dyDescent="0.35">
      <c r="A857" s="103"/>
      <c r="C857" s="100" t="str">
        <f>IF(OR(Fact_Contabilidad[[#This Row], [Año]]="",Fact_Contabilidad[[#This Row], [Mes]]=""),"",DATE(A857,MATCH(B857,{"enero","febrero","marzo","abril","mayo","junio","julio","agosto","septiembre","octubre","noviembre","diciembre"},0)+1,0))</f>
        <v/>
      </c>
      <c r="E857" t="str">
        <f>+IFERROR(VLOOKUP(Fact_Contabilidad[[#This Row], [Concepto Anterior]],Conceptos_Contabilidad[#All],5,0),"")</f>
        <v/>
      </c>
      <c r="F857" t="str">
        <f>+IFERROR(VLOOKUP(Fact_Contabilidad[[#This Row], 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ht="18.75" customHeight="1" x14ac:dyDescent="0.35">
      <c r="A858" s="103"/>
      <c r="C858" s="100" t="str">
        <f>IF(OR(Fact_Contabilidad[[#This Row], [Año]]="",Fact_Contabilidad[[#This Row], [Mes]]=""),"",DATE(A858,MATCH(B858,{"enero","febrero","marzo","abril","mayo","junio","julio","agosto","septiembre","octubre","noviembre","diciembre"},0)+1,0))</f>
        <v/>
      </c>
      <c r="E858" t="str">
        <f>+IFERROR(VLOOKUP(Fact_Contabilidad[[#This Row], [Concepto Anterior]],Conceptos_Contabilidad[#All],5,0),"")</f>
        <v/>
      </c>
      <c r="F858" t="str">
        <f>+IFERROR(VLOOKUP(Fact_Contabilidad[[#This Row], 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ht="18.75" customHeight="1" x14ac:dyDescent="0.35">
      <c r="A859" s="103"/>
      <c r="C859" s="100" t="str">
        <f>IF(OR(Fact_Contabilidad[[#This Row], [Año]]="",Fact_Contabilidad[[#This Row], [Mes]]=""),"",DATE(A859,MATCH(B859,{"enero","febrero","marzo","abril","mayo","junio","julio","agosto","septiembre","octubre","noviembre","diciembre"},0)+1,0))</f>
        <v/>
      </c>
      <c r="E859" t="str">
        <f>+IFERROR(VLOOKUP(Fact_Contabilidad[[#This Row], [Concepto Anterior]],Conceptos_Contabilidad[#All],5,0),"")</f>
        <v/>
      </c>
      <c r="F859" t="str">
        <f>+IFERROR(VLOOKUP(Fact_Contabilidad[[#This Row], 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ht="18.75" customHeight="1" x14ac:dyDescent="0.35">
      <c r="A860" s="103"/>
      <c r="C860" s="100" t="str">
        <f>IF(OR(Fact_Contabilidad[[#This Row], [Año]]="",Fact_Contabilidad[[#This Row], [Mes]]=""),"",DATE(A860,MATCH(B860,{"enero","febrero","marzo","abril","mayo","junio","julio","agosto","septiembre","octubre","noviembre","diciembre"},0)+1,0))</f>
        <v/>
      </c>
      <c r="E860" t="str">
        <f>+IFERROR(VLOOKUP(Fact_Contabilidad[[#This Row], [Concepto Anterior]],Conceptos_Contabilidad[#All],5,0),"")</f>
        <v/>
      </c>
      <c r="F860" t="str">
        <f>+IFERROR(VLOOKUP(Fact_Contabilidad[[#This Row], 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ht="18.75" customHeight="1" x14ac:dyDescent="0.35">
      <c r="A861" s="103"/>
      <c r="C861" s="100" t="str">
        <f>IF(OR(Fact_Contabilidad[[#This Row], [Año]]="",Fact_Contabilidad[[#This Row], [Mes]]=""),"",DATE(A861,MATCH(B861,{"enero","febrero","marzo","abril","mayo","junio","julio","agosto","septiembre","octubre","noviembre","diciembre"},0)+1,0))</f>
        <v/>
      </c>
      <c r="E861" t="str">
        <f>+IFERROR(VLOOKUP(Fact_Contabilidad[[#This Row], [Concepto Anterior]],Conceptos_Contabilidad[#All],5,0),"")</f>
        <v/>
      </c>
      <c r="F861" t="str">
        <f>+IFERROR(VLOOKUP(Fact_Contabilidad[[#This Row], 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ht="18.75" customHeight="1" x14ac:dyDescent="0.35">
      <c r="A862" s="103"/>
      <c r="C862" s="100" t="str">
        <f>IF(OR(Fact_Contabilidad[[#This Row], [Año]]="",Fact_Contabilidad[[#This Row], [Mes]]=""),"",DATE(A862,MATCH(B862,{"enero","febrero","marzo","abril","mayo","junio","julio","agosto","septiembre","octubre","noviembre","diciembre"},0)+1,0))</f>
        <v/>
      </c>
      <c r="E862" t="str">
        <f>+IFERROR(VLOOKUP(Fact_Contabilidad[[#This Row], [Concepto Anterior]],Conceptos_Contabilidad[#All],5,0),"")</f>
        <v/>
      </c>
      <c r="F862" t="str">
        <f>+IFERROR(VLOOKUP(Fact_Contabilidad[[#This Row], 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ht="18.75" customHeight="1" x14ac:dyDescent="0.35">
      <c r="A863" s="103"/>
      <c r="C863" s="100" t="str">
        <f>IF(OR(Fact_Contabilidad[[#This Row], [Año]]="",Fact_Contabilidad[[#This Row], [Mes]]=""),"",DATE(A863,MATCH(B863,{"enero","febrero","marzo","abril","mayo","junio","julio","agosto","septiembre","octubre","noviembre","diciembre"},0)+1,0))</f>
        <v/>
      </c>
      <c r="E863" t="str">
        <f>+IFERROR(VLOOKUP(Fact_Contabilidad[[#This Row], [Concepto Anterior]],Conceptos_Contabilidad[#All],5,0),"")</f>
        <v/>
      </c>
      <c r="F863" t="str">
        <f>+IFERROR(VLOOKUP(Fact_Contabilidad[[#This Row], 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ht="18.75" customHeight="1" x14ac:dyDescent="0.35">
      <c r="A864" s="103"/>
      <c r="C864" s="100" t="str">
        <f>IF(OR(Fact_Contabilidad[[#This Row], [Año]]="",Fact_Contabilidad[[#This Row], [Mes]]=""),"",DATE(A864,MATCH(B864,{"enero","febrero","marzo","abril","mayo","junio","julio","agosto","septiembre","octubre","noviembre","diciembre"},0)+1,0))</f>
        <v/>
      </c>
      <c r="E864" t="str">
        <f>+IFERROR(VLOOKUP(Fact_Contabilidad[[#This Row], [Concepto Anterior]],Conceptos_Contabilidad[#All],5,0),"")</f>
        <v/>
      </c>
      <c r="F864" t="str">
        <f>+IFERROR(VLOOKUP(Fact_Contabilidad[[#This Row], 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ht="18.75" customHeight="1" x14ac:dyDescent="0.35">
      <c r="A865" s="103"/>
      <c r="C865" s="100" t="str">
        <f>IF(OR(Fact_Contabilidad[[#This Row], [Año]]="",Fact_Contabilidad[[#This Row], [Mes]]=""),"",DATE(A865,MATCH(B865,{"enero","febrero","marzo","abril","mayo","junio","julio","agosto","septiembre","octubre","noviembre","diciembre"},0)+1,0))</f>
        <v/>
      </c>
      <c r="E865" t="str">
        <f>+IFERROR(VLOOKUP(Fact_Contabilidad[[#This Row], [Concepto Anterior]],Conceptos_Contabilidad[#All],5,0),"")</f>
        <v/>
      </c>
      <c r="F865" t="str">
        <f>+IFERROR(VLOOKUP(Fact_Contabilidad[[#This Row], 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ht="18.75" customHeight="1" x14ac:dyDescent="0.35">
      <c r="A866" s="103"/>
      <c r="C866" s="100" t="str">
        <f>IF(OR(Fact_Contabilidad[[#This Row], [Año]]="",Fact_Contabilidad[[#This Row], [Mes]]=""),"",DATE(A866,MATCH(B866,{"enero","febrero","marzo","abril","mayo","junio","julio","agosto","septiembre","octubre","noviembre","diciembre"},0)+1,0))</f>
        <v/>
      </c>
      <c r="E866" t="str">
        <f>+IFERROR(VLOOKUP(Fact_Contabilidad[[#This Row], [Concepto Anterior]],Conceptos_Contabilidad[#All],5,0),"")</f>
        <v/>
      </c>
      <c r="F866" t="str">
        <f>+IFERROR(VLOOKUP(Fact_Contabilidad[[#This Row], 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ht="18.75" customHeight="1" x14ac:dyDescent="0.35">
      <c r="A867" s="103"/>
      <c r="C867" s="100" t="str">
        <f>IF(OR(Fact_Contabilidad[[#This Row], [Año]]="",Fact_Contabilidad[[#This Row], [Mes]]=""),"",DATE(A867,MATCH(B867,{"enero","febrero","marzo","abril","mayo","junio","julio","agosto","septiembre","octubre","noviembre","diciembre"},0)+1,0))</f>
        <v/>
      </c>
      <c r="E867" t="str">
        <f>+IFERROR(VLOOKUP(Fact_Contabilidad[[#This Row], [Concepto Anterior]],Conceptos_Contabilidad[#All],5,0),"")</f>
        <v/>
      </c>
      <c r="F867" t="str">
        <f>+IFERROR(VLOOKUP(Fact_Contabilidad[[#This Row], 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ht="18.75" customHeight="1" x14ac:dyDescent="0.35">
      <c r="A868" s="103"/>
      <c r="C868" s="100" t="str">
        <f>IF(OR(Fact_Contabilidad[[#This Row], [Año]]="",Fact_Contabilidad[[#This Row], [Mes]]=""),"",DATE(A868,MATCH(B868,{"enero","febrero","marzo","abril","mayo","junio","julio","agosto","septiembre","octubre","noviembre","diciembre"},0)+1,0))</f>
        <v/>
      </c>
      <c r="E868" t="str">
        <f>+IFERROR(VLOOKUP(Fact_Contabilidad[[#This Row], [Concepto Anterior]],Conceptos_Contabilidad[#All],5,0),"")</f>
        <v/>
      </c>
      <c r="F868" t="str">
        <f>+IFERROR(VLOOKUP(Fact_Contabilidad[[#This Row], 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ht="18.75" customHeight="1" x14ac:dyDescent="0.35">
      <c r="A869" s="103"/>
      <c r="C869" s="100" t="str">
        <f>IF(OR(Fact_Contabilidad[[#This Row], [Año]]="",Fact_Contabilidad[[#This Row], [Mes]]=""),"",DATE(A869,MATCH(B869,{"enero","febrero","marzo","abril","mayo","junio","julio","agosto","septiembre","octubre","noviembre","diciembre"},0)+1,0))</f>
        <v/>
      </c>
      <c r="E869" t="str">
        <f>+IFERROR(VLOOKUP(Fact_Contabilidad[[#This Row], [Concepto Anterior]],Conceptos_Contabilidad[#All],5,0),"")</f>
        <v/>
      </c>
      <c r="F869" t="str">
        <f>+IFERROR(VLOOKUP(Fact_Contabilidad[[#This Row], 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ht="18.75" customHeight="1" x14ac:dyDescent="0.35">
      <c r="A870" s="103"/>
      <c r="C870" s="100" t="str">
        <f>IF(OR(Fact_Contabilidad[[#This Row], [Año]]="",Fact_Contabilidad[[#This Row], [Mes]]=""),"",DATE(A870,MATCH(B870,{"enero","febrero","marzo","abril","mayo","junio","julio","agosto","septiembre","octubre","noviembre","diciembre"},0)+1,0))</f>
        <v/>
      </c>
      <c r="E870" t="str">
        <f>+IFERROR(VLOOKUP(Fact_Contabilidad[[#This Row], [Concepto Anterior]],Conceptos_Contabilidad[#All],5,0),"")</f>
        <v/>
      </c>
      <c r="F870" t="str">
        <f>+IFERROR(VLOOKUP(Fact_Contabilidad[[#This Row], 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ht="18.75" customHeight="1" x14ac:dyDescent="0.35">
      <c r="A871" s="103"/>
      <c r="C871" s="100" t="str">
        <f>IF(OR(Fact_Contabilidad[[#This Row], [Año]]="",Fact_Contabilidad[[#This Row], [Mes]]=""),"",DATE(A871,MATCH(B871,{"enero","febrero","marzo","abril","mayo","junio","julio","agosto","septiembre","octubre","noviembre","diciembre"},0)+1,0))</f>
        <v/>
      </c>
      <c r="E871" t="str">
        <f>+IFERROR(VLOOKUP(Fact_Contabilidad[[#This Row], [Concepto Anterior]],Conceptos_Contabilidad[#All],5,0),"")</f>
        <v/>
      </c>
      <c r="F871" t="str">
        <f>+IFERROR(VLOOKUP(Fact_Contabilidad[[#This Row], 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ht="18.75" customHeight="1" x14ac:dyDescent="0.35">
      <c r="A872" s="103"/>
      <c r="C872" s="100" t="str">
        <f>IF(OR(Fact_Contabilidad[[#This Row], [Año]]="",Fact_Contabilidad[[#This Row], [Mes]]=""),"",DATE(A872,MATCH(B872,{"enero","febrero","marzo","abril","mayo","junio","julio","agosto","septiembre","octubre","noviembre","diciembre"},0)+1,0))</f>
        <v/>
      </c>
      <c r="E872" t="str">
        <f>+IFERROR(VLOOKUP(Fact_Contabilidad[[#This Row], [Concepto Anterior]],Conceptos_Contabilidad[#All],5,0),"")</f>
        <v/>
      </c>
      <c r="F872" t="str">
        <f>+IFERROR(VLOOKUP(Fact_Contabilidad[[#This Row], 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ht="18.75" customHeight="1" x14ac:dyDescent="0.35">
      <c r="A873" s="103"/>
      <c r="C873" s="100" t="str">
        <f>IF(OR(Fact_Contabilidad[[#This Row], [Año]]="",Fact_Contabilidad[[#This Row], [Mes]]=""),"",DATE(A873,MATCH(B873,{"enero","febrero","marzo","abril","mayo","junio","julio","agosto","septiembre","octubre","noviembre","diciembre"},0)+1,0))</f>
        <v/>
      </c>
      <c r="E873" t="str">
        <f>+IFERROR(VLOOKUP(Fact_Contabilidad[[#This Row], [Concepto Anterior]],Conceptos_Contabilidad[#All],5,0),"")</f>
        <v/>
      </c>
      <c r="F873" t="str">
        <f>+IFERROR(VLOOKUP(Fact_Contabilidad[[#This Row], 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ht="18.75" customHeight="1" x14ac:dyDescent="0.35">
      <c r="A874" s="103"/>
      <c r="C874" s="100" t="str">
        <f>IF(OR(Fact_Contabilidad[[#This Row], [Año]]="",Fact_Contabilidad[[#This Row], [Mes]]=""),"",DATE(A874,MATCH(B874,{"enero","febrero","marzo","abril","mayo","junio","julio","agosto","septiembre","octubre","noviembre","diciembre"},0)+1,0))</f>
        <v/>
      </c>
      <c r="E874" t="str">
        <f>+IFERROR(VLOOKUP(Fact_Contabilidad[[#This Row], [Concepto Anterior]],Conceptos_Contabilidad[#All],5,0),"")</f>
        <v/>
      </c>
      <c r="F874" t="str">
        <f>+IFERROR(VLOOKUP(Fact_Contabilidad[[#This Row], 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ht="18.75" customHeight="1" x14ac:dyDescent="0.35">
      <c r="A875" s="103"/>
      <c r="C875" s="100" t="str">
        <f>IF(OR(Fact_Contabilidad[[#This Row], [Año]]="",Fact_Contabilidad[[#This Row], [Mes]]=""),"",DATE(A875,MATCH(B875,{"enero","febrero","marzo","abril","mayo","junio","julio","agosto","septiembre","octubre","noviembre","diciembre"},0)+1,0))</f>
        <v/>
      </c>
      <c r="E875" t="str">
        <f>+IFERROR(VLOOKUP(Fact_Contabilidad[[#This Row], [Concepto Anterior]],Conceptos_Contabilidad[#All],5,0),"")</f>
        <v/>
      </c>
      <c r="F875" t="str">
        <f>+IFERROR(VLOOKUP(Fact_Contabilidad[[#This Row], 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ht="18.75" customHeight="1" x14ac:dyDescent="0.35">
      <c r="A876" s="103"/>
      <c r="C876" s="100" t="str">
        <f>IF(OR(Fact_Contabilidad[[#This Row], [Año]]="",Fact_Contabilidad[[#This Row], [Mes]]=""),"",DATE(A876,MATCH(B876,{"enero","febrero","marzo","abril","mayo","junio","julio","agosto","septiembre","octubre","noviembre","diciembre"},0)+1,0))</f>
        <v/>
      </c>
      <c r="E876" t="str">
        <f>+IFERROR(VLOOKUP(Fact_Contabilidad[[#This Row], [Concepto Anterior]],Conceptos_Contabilidad[#All],5,0),"")</f>
        <v/>
      </c>
      <c r="F876" t="str">
        <f>+IFERROR(VLOOKUP(Fact_Contabilidad[[#This Row], 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ht="18.75" customHeight="1" x14ac:dyDescent="0.35">
      <c r="A877" s="103"/>
      <c r="C877" s="100" t="str">
        <f>IF(OR(Fact_Contabilidad[[#This Row], [Año]]="",Fact_Contabilidad[[#This Row], [Mes]]=""),"",DATE(A877,MATCH(B877,{"enero","febrero","marzo","abril","mayo","junio","julio","agosto","septiembre","octubre","noviembre","diciembre"},0)+1,0))</f>
        <v/>
      </c>
      <c r="E877" t="str">
        <f>+IFERROR(VLOOKUP(Fact_Contabilidad[[#This Row], [Concepto Anterior]],Conceptos_Contabilidad[#All],5,0),"")</f>
        <v/>
      </c>
      <c r="F877" t="str">
        <f>+IFERROR(VLOOKUP(Fact_Contabilidad[[#This Row], 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ht="18.75" customHeight="1" x14ac:dyDescent="0.35">
      <c r="A878" s="103"/>
      <c r="C878" s="100" t="str">
        <f>IF(OR(Fact_Contabilidad[[#This Row], [Año]]="",Fact_Contabilidad[[#This Row], [Mes]]=""),"",DATE(A878,MATCH(B878,{"enero","febrero","marzo","abril","mayo","junio","julio","agosto","septiembre","octubre","noviembre","diciembre"},0)+1,0))</f>
        <v/>
      </c>
      <c r="E878" t="str">
        <f>+IFERROR(VLOOKUP(Fact_Contabilidad[[#This Row], [Concepto Anterior]],Conceptos_Contabilidad[#All],5,0),"")</f>
        <v/>
      </c>
      <c r="F878" t="str">
        <f>+IFERROR(VLOOKUP(Fact_Contabilidad[[#This Row], 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ht="18.75" customHeight="1" x14ac:dyDescent="0.35">
      <c r="A879" s="103"/>
      <c r="C879" s="100" t="str">
        <f>IF(OR(Fact_Contabilidad[[#This Row], [Año]]="",Fact_Contabilidad[[#This Row], [Mes]]=""),"",DATE(A879,MATCH(B879,{"enero","febrero","marzo","abril","mayo","junio","julio","agosto","septiembre","octubre","noviembre","diciembre"},0)+1,0))</f>
        <v/>
      </c>
      <c r="E879" t="str">
        <f>+IFERROR(VLOOKUP(Fact_Contabilidad[[#This Row], [Concepto Anterior]],Conceptos_Contabilidad[#All],5,0),"")</f>
        <v/>
      </c>
      <c r="F879" t="str">
        <f>+IFERROR(VLOOKUP(Fact_Contabilidad[[#This Row], 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ht="18.75" customHeight="1" x14ac:dyDescent="0.35">
      <c r="A880" s="103"/>
      <c r="C880" s="100" t="str">
        <f>IF(OR(Fact_Contabilidad[[#This Row], [Año]]="",Fact_Contabilidad[[#This Row], [Mes]]=""),"",DATE(A880,MATCH(B880,{"enero","febrero","marzo","abril","mayo","junio","julio","agosto","septiembre","octubre","noviembre","diciembre"},0)+1,0))</f>
        <v/>
      </c>
      <c r="E880" t="str">
        <f>+IFERROR(VLOOKUP(Fact_Contabilidad[[#This Row], [Concepto Anterior]],Conceptos_Contabilidad[#All],5,0),"")</f>
        <v/>
      </c>
      <c r="F880" t="str">
        <f>+IFERROR(VLOOKUP(Fact_Contabilidad[[#This Row], 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ht="18.75" customHeight="1" x14ac:dyDescent="0.35">
      <c r="A881" s="103"/>
      <c r="C881" s="100" t="str">
        <f>IF(OR(Fact_Contabilidad[[#This Row], [Año]]="",Fact_Contabilidad[[#This Row], [Mes]]=""),"",DATE(A881,MATCH(B881,{"enero","febrero","marzo","abril","mayo","junio","julio","agosto","septiembre","octubre","noviembre","diciembre"},0)+1,0))</f>
        <v/>
      </c>
      <c r="E881" t="str">
        <f>+IFERROR(VLOOKUP(Fact_Contabilidad[[#This Row], [Concepto Anterior]],Conceptos_Contabilidad[#All],5,0),"")</f>
        <v/>
      </c>
      <c r="F881" t="str">
        <f>+IFERROR(VLOOKUP(Fact_Contabilidad[[#This Row], 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ht="18.75" customHeight="1" x14ac:dyDescent="0.35">
      <c r="A882" s="103"/>
      <c r="C882" s="100" t="str">
        <f>IF(OR(Fact_Contabilidad[[#This Row], [Año]]="",Fact_Contabilidad[[#This Row], [Mes]]=""),"",DATE(A882,MATCH(B882,{"enero","febrero","marzo","abril","mayo","junio","julio","agosto","septiembre","octubre","noviembre","diciembre"},0)+1,0))</f>
        <v/>
      </c>
      <c r="E882" t="str">
        <f>+IFERROR(VLOOKUP(Fact_Contabilidad[[#This Row], [Concepto Anterior]],Conceptos_Contabilidad[#All],5,0),"")</f>
        <v/>
      </c>
      <c r="F882" t="str">
        <f>+IFERROR(VLOOKUP(Fact_Contabilidad[[#This Row], 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ht="18.75" customHeight="1" x14ac:dyDescent="0.35">
      <c r="A883" s="103"/>
      <c r="C883" s="100" t="str">
        <f>IF(OR(Fact_Contabilidad[[#This Row], [Año]]="",Fact_Contabilidad[[#This Row], [Mes]]=""),"",DATE(A883,MATCH(B883,{"enero","febrero","marzo","abril","mayo","junio","julio","agosto","septiembre","octubre","noviembre","diciembre"},0)+1,0))</f>
        <v/>
      </c>
      <c r="E883" t="str">
        <f>+IFERROR(VLOOKUP(Fact_Contabilidad[[#This Row], [Concepto Anterior]],Conceptos_Contabilidad[#All],5,0),"")</f>
        <v/>
      </c>
      <c r="F883" t="str">
        <f>+IFERROR(VLOOKUP(Fact_Contabilidad[[#This Row], 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ht="18.75" customHeight="1" x14ac:dyDescent="0.35">
      <c r="A884" s="103"/>
      <c r="C884" s="100" t="str">
        <f>IF(OR(Fact_Contabilidad[[#This Row], [Año]]="",Fact_Contabilidad[[#This Row], [Mes]]=""),"",DATE(A884,MATCH(B884,{"enero","febrero","marzo","abril","mayo","junio","julio","agosto","septiembre","octubre","noviembre","diciembre"},0)+1,0))</f>
        <v/>
      </c>
      <c r="E884" t="str">
        <f>+IFERROR(VLOOKUP(Fact_Contabilidad[[#This Row], [Concepto Anterior]],Conceptos_Contabilidad[#All],5,0),"")</f>
        <v/>
      </c>
      <c r="F884" t="str">
        <f>+IFERROR(VLOOKUP(Fact_Contabilidad[[#This Row], 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ht="18.75" customHeight="1" x14ac:dyDescent="0.35">
      <c r="A885" s="103"/>
      <c r="C885" s="100" t="str">
        <f>IF(OR(Fact_Contabilidad[[#This Row], [Año]]="",Fact_Contabilidad[[#This Row], [Mes]]=""),"",DATE(A885,MATCH(B885,{"enero","febrero","marzo","abril","mayo","junio","julio","agosto","septiembre","octubre","noviembre","diciembre"},0)+1,0))</f>
        <v/>
      </c>
      <c r="E885" t="str">
        <f>+IFERROR(VLOOKUP(Fact_Contabilidad[[#This Row], [Concepto Anterior]],Conceptos_Contabilidad[#All],5,0),"")</f>
        <v/>
      </c>
      <c r="F885" t="str">
        <f>+IFERROR(VLOOKUP(Fact_Contabilidad[[#This Row], 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ht="18.75" customHeight="1" x14ac:dyDescent="0.35">
      <c r="A886" s="103"/>
      <c r="C886" s="100" t="str">
        <f>IF(OR(Fact_Contabilidad[[#This Row], [Año]]="",Fact_Contabilidad[[#This Row], [Mes]]=""),"",DATE(A886,MATCH(B886,{"enero","febrero","marzo","abril","mayo","junio","julio","agosto","septiembre","octubre","noviembre","diciembre"},0)+1,0))</f>
        <v/>
      </c>
      <c r="E886" t="str">
        <f>+IFERROR(VLOOKUP(Fact_Contabilidad[[#This Row], [Concepto Anterior]],Conceptos_Contabilidad[#All],5,0),"")</f>
        <v/>
      </c>
      <c r="F886" t="str">
        <f>+IFERROR(VLOOKUP(Fact_Contabilidad[[#This Row], 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ht="18.75" customHeight="1" x14ac:dyDescent="0.35">
      <c r="A887" s="103"/>
      <c r="C887" s="100" t="str">
        <f>IF(OR(Fact_Contabilidad[[#This Row], [Año]]="",Fact_Contabilidad[[#This Row], [Mes]]=""),"",DATE(A887,MATCH(B887,{"enero","febrero","marzo","abril","mayo","junio","julio","agosto","septiembre","octubre","noviembre","diciembre"},0)+1,0))</f>
        <v/>
      </c>
      <c r="E887" t="str">
        <f>+IFERROR(VLOOKUP(Fact_Contabilidad[[#This Row], [Concepto Anterior]],Conceptos_Contabilidad[#All],5,0),"")</f>
        <v/>
      </c>
      <c r="F887" t="str">
        <f>+IFERROR(VLOOKUP(Fact_Contabilidad[[#This Row], 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ht="18.75" customHeight="1" x14ac:dyDescent="0.35">
      <c r="A888" s="103"/>
      <c r="C888" s="100" t="str">
        <f>IF(OR(Fact_Contabilidad[[#This Row], [Año]]="",Fact_Contabilidad[[#This Row], [Mes]]=""),"",DATE(A888,MATCH(B888,{"enero","febrero","marzo","abril","mayo","junio","julio","agosto","septiembre","octubre","noviembre","diciembre"},0)+1,0))</f>
        <v/>
      </c>
      <c r="E888" t="str">
        <f>+IFERROR(VLOOKUP(Fact_Contabilidad[[#This Row], [Concepto Anterior]],Conceptos_Contabilidad[#All],5,0),"")</f>
        <v/>
      </c>
      <c r="F888" t="str">
        <f>+IFERROR(VLOOKUP(Fact_Contabilidad[[#This Row], 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ht="18.75" customHeight="1" x14ac:dyDescent="0.35">
      <c r="A889" s="103"/>
      <c r="C889" s="100" t="str">
        <f>IF(OR(Fact_Contabilidad[[#This Row], [Año]]="",Fact_Contabilidad[[#This Row], [Mes]]=""),"",DATE(A889,MATCH(B889,{"enero","febrero","marzo","abril","mayo","junio","julio","agosto","septiembre","octubre","noviembre","diciembre"},0)+1,0))</f>
        <v/>
      </c>
      <c r="E889" t="str">
        <f>+IFERROR(VLOOKUP(Fact_Contabilidad[[#This Row], [Concepto Anterior]],Conceptos_Contabilidad[#All],5,0),"")</f>
        <v/>
      </c>
      <c r="F889" t="str">
        <f>+IFERROR(VLOOKUP(Fact_Contabilidad[[#This Row], 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ht="18.75" customHeight="1" x14ac:dyDescent="0.35">
      <c r="A890" s="103"/>
      <c r="C890" s="100" t="str">
        <f>IF(OR(Fact_Contabilidad[[#This Row], [Año]]="",Fact_Contabilidad[[#This Row], [Mes]]=""),"",DATE(A890,MATCH(B890,{"enero","febrero","marzo","abril","mayo","junio","julio","agosto","septiembre","octubre","noviembre","diciembre"},0)+1,0))</f>
        <v/>
      </c>
      <c r="E890" t="str">
        <f>+IFERROR(VLOOKUP(Fact_Contabilidad[[#This Row], [Concepto Anterior]],Conceptos_Contabilidad[#All],5,0),"")</f>
        <v/>
      </c>
      <c r="F890" t="str">
        <f>+IFERROR(VLOOKUP(Fact_Contabilidad[[#This Row], 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ht="18.75" customHeight="1" x14ac:dyDescent="0.35">
      <c r="A891" s="103"/>
      <c r="C891" s="100" t="str">
        <f>IF(OR(Fact_Contabilidad[[#This Row], [Año]]="",Fact_Contabilidad[[#This Row], [Mes]]=""),"",DATE(A891,MATCH(B891,{"enero","febrero","marzo","abril","mayo","junio","julio","agosto","septiembre","octubre","noviembre","diciembre"},0)+1,0))</f>
        <v/>
      </c>
      <c r="E891" t="str">
        <f>+IFERROR(VLOOKUP(Fact_Contabilidad[[#This Row], [Concepto Anterior]],Conceptos_Contabilidad[#All],5,0),"")</f>
        <v/>
      </c>
      <c r="F891" t="str">
        <f>+IFERROR(VLOOKUP(Fact_Contabilidad[[#This Row], 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ht="18.75" customHeight="1" x14ac:dyDescent="0.35">
      <c r="A892" s="103"/>
      <c r="C892" s="100" t="str">
        <f>IF(OR(Fact_Contabilidad[[#This Row], [Año]]="",Fact_Contabilidad[[#This Row], [Mes]]=""),"",DATE(A892,MATCH(B892,{"enero","febrero","marzo","abril","mayo","junio","julio","agosto","septiembre","octubre","noviembre","diciembre"},0)+1,0))</f>
        <v/>
      </c>
      <c r="E892" t="str">
        <f>+IFERROR(VLOOKUP(Fact_Contabilidad[[#This Row], [Concepto Anterior]],Conceptos_Contabilidad[#All],5,0),"")</f>
        <v/>
      </c>
      <c r="F892" t="str">
        <f>+IFERROR(VLOOKUP(Fact_Contabilidad[[#This Row], 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ht="18.75" customHeight="1" x14ac:dyDescent="0.35">
      <c r="A893" s="103"/>
      <c r="C893" s="100" t="str">
        <f>IF(OR(Fact_Contabilidad[[#This Row], [Año]]="",Fact_Contabilidad[[#This Row], [Mes]]=""),"",DATE(A893,MATCH(B893,{"enero","febrero","marzo","abril","mayo","junio","julio","agosto","septiembre","octubre","noviembre","diciembre"},0)+1,0))</f>
        <v/>
      </c>
      <c r="E893" t="str">
        <f>+IFERROR(VLOOKUP(Fact_Contabilidad[[#This Row], [Concepto Anterior]],Conceptos_Contabilidad[#All],5,0),"")</f>
        <v/>
      </c>
      <c r="F893" t="str">
        <f>+IFERROR(VLOOKUP(Fact_Contabilidad[[#This Row], 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ht="18.75" customHeight="1" x14ac:dyDescent="0.35">
      <c r="A894" s="103"/>
      <c r="C894" s="100" t="str">
        <f>IF(OR(Fact_Contabilidad[[#This Row], [Año]]="",Fact_Contabilidad[[#This Row], [Mes]]=""),"",DATE(A894,MATCH(B894,{"enero","febrero","marzo","abril","mayo","junio","julio","agosto","septiembre","octubre","noviembre","diciembre"},0)+1,0))</f>
        <v/>
      </c>
      <c r="E894" t="str">
        <f>+IFERROR(VLOOKUP(Fact_Contabilidad[[#This Row], [Concepto Anterior]],Conceptos_Contabilidad[#All],5,0),"")</f>
        <v/>
      </c>
      <c r="F894" t="str">
        <f>+IFERROR(VLOOKUP(Fact_Contabilidad[[#This Row], 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ht="18.75" customHeight="1" x14ac:dyDescent="0.35">
      <c r="A895" s="103"/>
      <c r="C895" s="100" t="str">
        <f>IF(OR(Fact_Contabilidad[[#This Row], [Año]]="",Fact_Contabilidad[[#This Row], [Mes]]=""),"",DATE(A895,MATCH(B895,{"enero","febrero","marzo","abril","mayo","junio","julio","agosto","septiembre","octubre","noviembre","diciembre"},0)+1,0))</f>
        <v/>
      </c>
      <c r="E895" t="str">
        <f>+IFERROR(VLOOKUP(Fact_Contabilidad[[#This Row], [Concepto Anterior]],Conceptos_Contabilidad[#All],5,0),"")</f>
        <v/>
      </c>
      <c r="F895" t="str">
        <f>+IFERROR(VLOOKUP(Fact_Contabilidad[[#This Row], 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ht="18.75" customHeight="1" x14ac:dyDescent="0.35">
      <c r="A896" s="103"/>
      <c r="C896" s="100" t="str">
        <f>IF(OR(Fact_Contabilidad[[#This Row], [Año]]="",Fact_Contabilidad[[#This Row], [Mes]]=""),"",DATE(A896,MATCH(B896,{"enero","febrero","marzo","abril","mayo","junio","julio","agosto","septiembre","octubre","noviembre","diciembre"},0)+1,0))</f>
        <v/>
      </c>
      <c r="E896" t="str">
        <f>+IFERROR(VLOOKUP(Fact_Contabilidad[[#This Row], [Concepto Anterior]],Conceptos_Contabilidad[#All],5,0),"")</f>
        <v/>
      </c>
      <c r="F896" t="str">
        <f>+IFERROR(VLOOKUP(Fact_Contabilidad[[#This Row], 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ht="18.75" customHeight="1" x14ac:dyDescent="0.35">
      <c r="A897" s="103"/>
      <c r="C897" s="100" t="str">
        <f>IF(OR(Fact_Contabilidad[[#This Row], [Año]]="",Fact_Contabilidad[[#This Row], [Mes]]=""),"",DATE(A897,MATCH(B897,{"enero","febrero","marzo","abril","mayo","junio","julio","agosto","septiembre","octubre","noviembre","diciembre"},0)+1,0))</f>
        <v/>
      </c>
      <c r="E897" t="str">
        <f>+IFERROR(VLOOKUP(Fact_Contabilidad[[#This Row], [Concepto Anterior]],Conceptos_Contabilidad[#All],5,0),"")</f>
        <v/>
      </c>
      <c r="F897" t="str">
        <f>+IFERROR(VLOOKUP(Fact_Contabilidad[[#This Row], 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ht="18.75" customHeight="1" x14ac:dyDescent="0.35">
      <c r="A898" s="103"/>
      <c r="C898" s="100" t="str">
        <f>IF(OR(Fact_Contabilidad[[#This Row], [Año]]="",Fact_Contabilidad[[#This Row], [Mes]]=""),"",DATE(A898,MATCH(B898,{"enero","febrero","marzo","abril","mayo","junio","julio","agosto","septiembre","octubre","noviembre","diciembre"},0)+1,0))</f>
        <v/>
      </c>
      <c r="E898" t="str">
        <f>+IFERROR(VLOOKUP(Fact_Contabilidad[[#This Row], [Concepto Anterior]],Conceptos_Contabilidad[#All],5,0),"")</f>
        <v/>
      </c>
      <c r="F898" t="str">
        <f>+IFERROR(VLOOKUP(Fact_Contabilidad[[#This Row], 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ht="18.75" customHeight="1" x14ac:dyDescent="0.35">
      <c r="A899" s="103"/>
      <c r="C899" s="100" t="str">
        <f>IF(OR(Fact_Contabilidad[[#This Row], [Año]]="",Fact_Contabilidad[[#This Row], [Mes]]=""),"",DATE(A899,MATCH(B899,{"enero","febrero","marzo","abril","mayo","junio","julio","agosto","septiembre","octubre","noviembre","diciembre"},0)+1,0))</f>
        <v/>
      </c>
      <c r="E899" t="str">
        <f>+IFERROR(VLOOKUP(Fact_Contabilidad[[#This Row], [Concepto Anterior]],Conceptos_Contabilidad[#All],5,0),"")</f>
        <v/>
      </c>
      <c r="F899" t="str">
        <f>+IFERROR(VLOOKUP(Fact_Contabilidad[[#This Row], 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ht="18.75" customHeight="1" x14ac:dyDescent="0.35">
      <c r="A900" s="103"/>
      <c r="C900" s="100" t="str">
        <f>IF(OR(Fact_Contabilidad[[#This Row], [Año]]="",Fact_Contabilidad[[#This Row], [Mes]]=""),"",DATE(A900,MATCH(B900,{"enero","febrero","marzo","abril","mayo","junio","julio","agosto","septiembre","octubre","noviembre","diciembre"},0)+1,0))</f>
        <v/>
      </c>
      <c r="E900" t="str">
        <f>+IFERROR(VLOOKUP(Fact_Contabilidad[[#This Row], [Concepto Anterior]],Conceptos_Contabilidad[#All],5,0),"")</f>
        <v/>
      </c>
      <c r="F900" t="str">
        <f>+IFERROR(VLOOKUP(Fact_Contabilidad[[#This Row], 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ht="18.75" customHeight="1" x14ac:dyDescent="0.35">
      <c r="A901" s="103"/>
      <c r="C901" s="100" t="str">
        <f>IF(OR(Fact_Contabilidad[[#This Row], [Año]]="",Fact_Contabilidad[[#This Row], [Mes]]=""),"",DATE(A901,MATCH(B901,{"enero","febrero","marzo","abril","mayo","junio","julio","agosto","septiembre","octubre","noviembre","diciembre"},0)+1,0))</f>
        <v/>
      </c>
      <c r="E901" t="str">
        <f>+IFERROR(VLOOKUP(Fact_Contabilidad[[#This Row], [Concepto Anterior]],Conceptos_Contabilidad[#All],5,0),"")</f>
        <v/>
      </c>
      <c r="F901" t="str">
        <f>+IFERROR(VLOOKUP(Fact_Contabilidad[[#This Row], 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ht="18.75" customHeight="1" x14ac:dyDescent="0.35">
      <c r="A902" s="103"/>
      <c r="C902" s="100" t="str">
        <f>IF(OR(Fact_Contabilidad[[#This Row], [Año]]="",Fact_Contabilidad[[#This Row], [Mes]]=""),"",DATE(A902,MATCH(B902,{"enero","febrero","marzo","abril","mayo","junio","julio","agosto","septiembre","octubre","noviembre","diciembre"},0)+1,0))</f>
        <v/>
      </c>
      <c r="E902" t="str">
        <f>+IFERROR(VLOOKUP(Fact_Contabilidad[[#This Row], [Concepto Anterior]],Conceptos_Contabilidad[#All],5,0),"")</f>
        <v/>
      </c>
      <c r="F902" t="str">
        <f>+IFERROR(VLOOKUP(Fact_Contabilidad[[#This Row], 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ht="18.75" customHeight="1" x14ac:dyDescent="0.35">
      <c r="A903" s="103"/>
      <c r="C903" s="100" t="str">
        <f>IF(OR(Fact_Contabilidad[[#This Row], [Año]]="",Fact_Contabilidad[[#This Row], [Mes]]=""),"",DATE(A903,MATCH(B903,{"enero","febrero","marzo","abril","mayo","junio","julio","agosto","septiembre","octubre","noviembre","diciembre"},0)+1,0))</f>
        <v/>
      </c>
      <c r="E903" t="str">
        <f>+IFERROR(VLOOKUP(Fact_Contabilidad[[#This Row], [Concepto Anterior]],Conceptos_Contabilidad[#All],5,0),"")</f>
        <v/>
      </c>
      <c r="F903" t="str">
        <f>+IFERROR(VLOOKUP(Fact_Contabilidad[[#This Row], 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ht="18.75" customHeight="1" x14ac:dyDescent="0.35">
      <c r="A904" s="103"/>
      <c r="C904" s="100" t="str">
        <f>IF(OR(Fact_Contabilidad[[#This Row], [Año]]="",Fact_Contabilidad[[#This Row], [Mes]]=""),"",DATE(A904,MATCH(B904,{"enero","febrero","marzo","abril","mayo","junio","julio","agosto","septiembre","octubre","noviembre","diciembre"},0)+1,0))</f>
        <v/>
      </c>
      <c r="E904" t="str">
        <f>+IFERROR(VLOOKUP(Fact_Contabilidad[[#This Row], [Concepto Anterior]],Conceptos_Contabilidad[#All],5,0),"")</f>
        <v/>
      </c>
      <c r="F904" t="str">
        <f>+IFERROR(VLOOKUP(Fact_Contabilidad[[#This Row], 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ht="18.75" customHeight="1" x14ac:dyDescent="0.35">
      <c r="A905" s="103"/>
      <c r="C905" s="100" t="str">
        <f>IF(OR(Fact_Contabilidad[[#This Row], [Año]]="",Fact_Contabilidad[[#This Row], [Mes]]=""),"",DATE(A905,MATCH(B905,{"enero","febrero","marzo","abril","mayo","junio","julio","agosto","septiembre","octubre","noviembre","diciembre"},0)+1,0))</f>
        <v/>
      </c>
      <c r="E905" t="str">
        <f>+IFERROR(VLOOKUP(Fact_Contabilidad[[#This Row], [Concepto Anterior]],Conceptos_Contabilidad[#All],5,0),"")</f>
        <v/>
      </c>
      <c r="F905" t="str">
        <f>+IFERROR(VLOOKUP(Fact_Contabilidad[[#This Row], 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ht="18.75" customHeight="1" x14ac:dyDescent="0.35">
      <c r="A906" s="103"/>
      <c r="C906" s="100" t="str">
        <f>IF(OR(Fact_Contabilidad[[#This Row], [Año]]="",Fact_Contabilidad[[#This Row], [Mes]]=""),"",DATE(A906,MATCH(B906,{"enero","febrero","marzo","abril","mayo","junio","julio","agosto","septiembre","octubre","noviembre","diciembre"},0)+1,0))</f>
        <v/>
      </c>
      <c r="E906" t="str">
        <f>+IFERROR(VLOOKUP(Fact_Contabilidad[[#This Row], [Concepto Anterior]],Conceptos_Contabilidad[#All],5,0),"")</f>
        <v/>
      </c>
      <c r="F906" t="str">
        <f>+IFERROR(VLOOKUP(Fact_Contabilidad[[#This Row], 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ht="18.75" customHeight="1" x14ac:dyDescent="0.35">
      <c r="A907" s="103"/>
      <c r="C907" s="100" t="str">
        <f>IF(OR(Fact_Contabilidad[[#This Row], [Año]]="",Fact_Contabilidad[[#This Row], [Mes]]=""),"",DATE(A907,MATCH(B907,{"enero","febrero","marzo","abril","mayo","junio","julio","agosto","septiembre","octubre","noviembre","diciembre"},0)+1,0))</f>
        <v/>
      </c>
      <c r="E907" t="str">
        <f>+IFERROR(VLOOKUP(Fact_Contabilidad[[#This Row], [Concepto Anterior]],Conceptos_Contabilidad[#All],5,0),"")</f>
        <v/>
      </c>
      <c r="F907" t="str">
        <f>+IFERROR(VLOOKUP(Fact_Contabilidad[[#This Row], 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ht="18.75" customHeight="1" x14ac:dyDescent="0.35">
      <c r="A908" s="103"/>
      <c r="C908" s="100" t="str">
        <f>IF(OR(Fact_Contabilidad[[#This Row], [Año]]="",Fact_Contabilidad[[#This Row], [Mes]]=""),"",DATE(A908,MATCH(B908,{"enero","febrero","marzo","abril","mayo","junio","julio","agosto","septiembre","octubre","noviembre","diciembre"},0)+1,0))</f>
        <v/>
      </c>
      <c r="E908" t="str">
        <f>+IFERROR(VLOOKUP(Fact_Contabilidad[[#This Row], [Concepto Anterior]],Conceptos_Contabilidad[#All],5,0),"")</f>
        <v/>
      </c>
      <c r="F908" t="str">
        <f>+IFERROR(VLOOKUP(Fact_Contabilidad[[#This Row], 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ht="18.75" customHeight="1" x14ac:dyDescent="0.35">
      <c r="A909" s="103"/>
      <c r="C909" s="100" t="str">
        <f>IF(OR(Fact_Contabilidad[[#This Row], [Año]]="",Fact_Contabilidad[[#This Row], [Mes]]=""),"",DATE(A909,MATCH(B909,{"enero","febrero","marzo","abril","mayo","junio","julio","agosto","septiembre","octubre","noviembre","diciembre"},0)+1,0))</f>
        <v/>
      </c>
      <c r="E909" t="str">
        <f>+IFERROR(VLOOKUP(Fact_Contabilidad[[#This Row], [Concepto Anterior]],Conceptos_Contabilidad[#All],5,0),"")</f>
        <v/>
      </c>
      <c r="F909" t="str">
        <f>+IFERROR(VLOOKUP(Fact_Contabilidad[[#This Row], 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ht="18.75" customHeight="1" x14ac:dyDescent="0.35">
      <c r="A910" s="103"/>
      <c r="C910" s="100" t="str">
        <f>IF(OR(Fact_Contabilidad[[#This Row], [Año]]="",Fact_Contabilidad[[#This Row], [Mes]]=""),"",DATE(A910,MATCH(B910,{"enero","febrero","marzo","abril","mayo","junio","julio","agosto","septiembre","octubre","noviembre","diciembre"},0)+1,0))</f>
        <v/>
      </c>
      <c r="E910" t="str">
        <f>+IFERROR(VLOOKUP(Fact_Contabilidad[[#This Row], [Concepto Anterior]],Conceptos_Contabilidad[#All],5,0),"")</f>
        <v/>
      </c>
      <c r="F910" t="str">
        <f>+IFERROR(VLOOKUP(Fact_Contabilidad[[#This Row], 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ht="18.75" customHeight="1" x14ac:dyDescent="0.35">
      <c r="A911" s="103"/>
      <c r="C911" s="100" t="str">
        <f>IF(OR(Fact_Contabilidad[[#This Row], [Año]]="",Fact_Contabilidad[[#This Row], [Mes]]=""),"",DATE(A911,MATCH(B911,{"enero","febrero","marzo","abril","mayo","junio","julio","agosto","septiembre","octubre","noviembre","diciembre"},0)+1,0))</f>
        <v/>
      </c>
      <c r="E911" t="str">
        <f>+IFERROR(VLOOKUP(Fact_Contabilidad[[#This Row], [Concepto Anterior]],Conceptos_Contabilidad[#All],5,0),"")</f>
        <v/>
      </c>
      <c r="F911" t="str">
        <f>+IFERROR(VLOOKUP(Fact_Contabilidad[[#This Row], 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ht="18.75" customHeight="1" x14ac:dyDescent="0.35">
      <c r="A912" s="103"/>
      <c r="C912" s="100" t="str">
        <f>IF(OR(Fact_Contabilidad[[#This Row], [Año]]="",Fact_Contabilidad[[#This Row], [Mes]]=""),"",DATE(A912,MATCH(B912,{"enero","febrero","marzo","abril","mayo","junio","julio","agosto","septiembre","octubre","noviembre","diciembre"},0)+1,0))</f>
        <v/>
      </c>
      <c r="E912" t="str">
        <f>+IFERROR(VLOOKUP(Fact_Contabilidad[[#This Row], [Concepto Anterior]],Conceptos_Contabilidad[#All],5,0),"")</f>
        <v/>
      </c>
      <c r="F912" t="str">
        <f>+IFERROR(VLOOKUP(Fact_Contabilidad[[#This Row], 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ht="18.75" customHeight="1" x14ac:dyDescent="0.35">
      <c r="A913" s="103"/>
      <c r="C913" s="100" t="str">
        <f>IF(OR(Fact_Contabilidad[[#This Row], [Año]]="",Fact_Contabilidad[[#This Row], [Mes]]=""),"",DATE(A913,MATCH(B913,{"enero","febrero","marzo","abril","mayo","junio","julio","agosto","septiembre","octubre","noviembre","diciembre"},0)+1,0))</f>
        <v/>
      </c>
      <c r="E913" t="str">
        <f>+IFERROR(VLOOKUP(Fact_Contabilidad[[#This Row], [Concepto Anterior]],Conceptos_Contabilidad[#All],5,0),"")</f>
        <v/>
      </c>
      <c r="F913" t="str">
        <f>+IFERROR(VLOOKUP(Fact_Contabilidad[[#This Row], 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ht="18.75" customHeight="1" x14ac:dyDescent="0.35">
      <c r="A914" s="103"/>
      <c r="C914" s="100" t="str">
        <f>IF(OR(Fact_Contabilidad[[#This Row], [Año]]="",Fact_Contabilidad[[#This Row], [Mes]]=""),"",DATE(A914,MATCH(B914,{"enero","febrero","marzo","abril","mayo","junio","julio","agosto","septiembre","octubre","noviembre","diciembre"},0)+1,0))</f>
        <v/>
      </c>
      <c r="E914" t="str">
        <f>+IFERROR(VLOOKUP(Fact_Contabilidad[[#This Row], [Concepto Anterior]],Conceptos_Contabilidad[#All],5,0),"")</f>
        <v/>
      </c>
      <c r="F914" t="str">
        <f>+IFERROR(VLOOKUP(Fact_Contabilidad[[#This Row], 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ht="18.75" customHeight="1" x14ac:dyDescent="0.35">
      <c r="A915" s="103"/>
      <c r="C915" s="100" t="str">
        <f>IF(OR(Fact_Contabilidad[[#This Row], [Año]]="",Fact_Contabilidad[[#This Row], [Mes]]=""),"",DATE(A915,MATCH(B915,{"enero","febrero","marzo","abril","mayo","junio","julio","agosto","septiembre","octubre","noviembre","diciembre"},0)+1,0))</f>
        <v/>
      </c>
      <c r="E915" t="str">
        <f>+IFERROR(VLOOKUP(Fact_Contabilidad[[#This Row], [Concepto Anterior]],Conceptos_Contabilidad[#All],5,0),"")</f>
        <v/>
      </c>
      <c r="F915" t="str">
        <f>+IFERROR(VLOOKUP(Fact_Contabilidad[[#This Row], 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ht="18.75" customHeight="1" x14ac:dyDescent="0.35">
      <c r="A916" s="103"/>
      <c r="C916" s="100" t="str">
        <f>IF(OR(Fact_Contabilidad[[#This Row], [Año]]="",Fact_Contabilidad[[#This Row], [Mes]]=""),"",DATE(A916,MATCH(B916,{"enero","febrero","marzo","abril","mayo","junio","julio","agosto","septiembre","octubre","noviembre","diciembre"},0)+1,0))</f>
        <v/>
      </c>
      <c r="E916" t="str">
        <f>+IFERROR(VLOOKUP(Fact_Contabilidad[[#This Row], [Concepto Anterior]],Conceptos_Contabilidad[#All],5,0),"")</f>
        <v/>
      </c>
      <c r="F916" t="str">
        <f>+IFERROR(VLOOKUP(Fact_Contabilidad[[#This Row], 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ht="18.75" customHeight="1" x14ac:dyDescent="0.35">
      <c r="A917" s="103"/>
      <c r="C917" s="100" t="str">
        <f>IF(OR(Fact_Contabilidad[[#This Row], [Año]]="",Fact_Contabilidad[[#This Row], [Mes]]=""),"",DATE(A917,MATCH(B917,{"enero","febrero","marzo","abril","mayo","junio","julio","agosto","septiembre","octubre","noviembre","diciembre"},0)+1,0))</f>
        <v/>
      </c>
      <c r="E917" t="str">
        <f>+IFERROR(VLOOKUP(Fact_Contabilidad[[#This Row], [Concepto Anterior]],Conceptos_Contabilidad[#All],5,0),"")</f>
        <v/>
      </c>
      <c r="F917" t="str">
        <f>+IFERROR(VLOOKUP(Fact_Contabilidad[[#This Row], 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ht="18.75" customHeight="1" x14ac:dyDescent="0.35">
      <c r="A918" s="103"/>
      <c r="C918" s="100" t="str">
        <f>IF(OR(Fact_Contabilidad[[#This Row], [Año]]="",Fact_Contabilidad[[#This Row], [Mes]]=""),"",DATE(A918,MATCH(B918,{"enero","febrero","marzo","abril","mayo","junio","julio","agosto","septiembre","octubre","noviembre","diciembre"},0)+1,0))</f>
        <v/>
      </c>
      <c r="E918" t="str">
        <f>+IFERROR(VLOOKUP(Fact_Contabilidad[[#This Row], [Concepto Anterior]],Conceptos_Contabilidad[#All],5,0),"")</f>
        <v/>
      </c>
      <c r="F918" t="str">
        <f>+IFERROR(VLOOKUP(Fact_Contabilidad[[#This Row], 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ht="18.75" customHeight="1" x14ac:dyDescent="0.35">
      <c r="A919" s="103"/>
      <c r="C919" s="100" t="str">
        <f>IF(OR(Fact_Contabilidad[[#This Row], [Año]]="",Fact_Contabilidad[[#This Row], [Mes]]=""),"",DATE(A919,MATCH(B919,{"enero","febrero","marzo","abril","mayo","junio","julio","agosto","septiembre","octubre","noviembre","diciembre"},0)+1,0))</f>
        <v/>
      </c>
      <c r="E919" t="str">
        <f>+IFERROR(VLOOKUP(Fact_Contabilidad[[#This Row], [Concepto Anterior]],Conceptos_Contabilidad[#All],5,0),"")</f>
        <v/>
      </c>
      <c r="F919" t="str">
        <f>+IFERROR(VLOOKUP(Fact_Contabilidad[[#This Row], 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ht="18.75" customHeight="1" x14ac:dyDescent="0.35">
      <c r="A920" s="103"/>
      <c r="C920" s="100" t="str">
        <f>IF(OR(Fact_Contabilidad[[#This Row], [Año]]="",Fact_Contabilidad[[#This Row], [Mes]]=""),"",DATE(A920,MATCH(B920,{"enero","febrero","marzo","abril","mayo","junio","julio","agosto","septiembre","octubre","noviembre","diciembre"},0)+1,0))</f>
        <v/>
      </c>
      <c r="E920" t="str">
        <f>+IFERROR(VLOOKUP(Fact_Contabilidad[[#This Row], [Concepto Anterior]],Conceptos_Contabilidad[#All],5,0),"")</f>
        <v/>
      </c>
      <c r="F920" t="str">
        <f>+IFERROR(VLOOKUP(Fact_Contabilidad[[#This Row], 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ht="18.75" customHeight="1" x14ac:dyDescent="0.35">
      <c r="A921" s="103"/>
      <c r="C921" s="100" t="str">
        <f>IF(OR(Fact_Contabilidad[[#This Row], [Año]]="",Fact_Contabilidad[[#This Row], [Mes]]=""),"",DATE(A921,MATCH(B921,{"enero","febrero","marzo","abril","mayo","junio","julio","agosto","septiembre","octubre","noviembre","diciembre"},0)+1,0))</f>
        <v/>
      </c>
      <c r="E921" t="str">
        <f>+IFERROR(VLOOKUP(Fact_Contabilidad[[#This Row], [Concepto Anterior]],Conceptos_Contabilidad[#All],5,0),"")</f>
        <v/>
      </c>
      <c r="F921" t="str">
        <f>+IFERROR(VLOOKUP(Fact_Contabilidad[[#This Row], 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ht="18.75" customHeight="1" x14ac:dyDescent="0.35">
      <c r="A922" s="103"/>
      <c r="C922" s="100" t="str">
        <f>IF(OR(Fact_Contabilidad[[#This Row], [Año]]="",Fact_Contabilidad[[#This Row], [Mes]]=""),"",DATE(A922,MATCH(B922,{"enero","febrero","marzo","abril","mayo","junio","julio","agosto","septiembre","octubre","noviembre","diciembre"},0)+1,0))</f>
        <v/>
      </c>
      <c r="E922" t="str">
        <f>+IFERROR(VLOOKUP(Fact_Contabilidad[[#This Row], [Concepto Anterior]],Conceptos_Contabilidad[#All],5,0),"")</f>
        <v/>
      </c>
      <c r="F922" t="str">
        <f>+IFERROR(VLOOKUP(Fact_Contabilidad[[#This Row], 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ht="18.75" customHeight="1" x14ac:dyDescent="0.35">
      <c r="A923" s="103"/>
      <c r="C923" s="100" t="str">
        <f>IF(OR(Fact_Contabilidad[[#This Row], [Año]]="",Fact_Contabilidad[[#This Row], [Mes]]=""),"",DATE(A923,MATCH(B923,{"enero","febrero","marzo","abril","mayo","junio","julio","agosto","septiembre","octubre","noviembre","diciembre"},0)+1,0))</f>
        <v/>
      </c>
      <c r="E923" t="str">
        <f>+IFERROR(VLOOKUP(Fact_Contabilidad[[#This Row], [Concepto Anterior]],Conceptos_Contabilidad[#All],5,0),"")</f>
        <v/>
      </c>
      <c r="F923" t="str">
        <f>+IFERROR(VLOOKUP(Fact_Contabilidad[[#This Row], 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ht="18.75" customHeight="1" x14ac:dyDescent="0.35">
      <c r="A924" s="103"/>
      <c r="C924" s="100" t="str">
        <f>IF(OR(Fact_Contabilidad[[#This Row], [Año]]="",Fact_Contabilidad[[#This Row], [Mes]]=""),"",DATE(A924,MATCH(B924,{"enero","febrero","marzo","abril","mayo","junio","julio","agosto","septiembre","octubre","noviembre","diciembre"},0)+1,0))</f>
        <v/>
      </c>
      <c r="E924" t="str">
        <f>+IFERROR(VLOOKUP(Fact_Contabilidad[[#This Row], [Concepto Anterior]],Conceptos_Contabilidad[#All],5,0),"")</f>
        <v/>
      </c>
      <c r="F924" t="str">
        <f>+IFERROR(VLOOKUP(Fact_Contabilidad[[#This Row], 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ht="18.75" customHeight="1" x14ac:dyDescent="0.35">
      <c r="A925" s="103"/>
      <c r="C925" s="100" t="str">
        <f>IF(OR(Fact_Contabilidad[[#This Row], [Año]]="",Fact_Contabilidad[[#This Row], [Mes]]=""),"",DATE(A925,MATCH(B925,{"enero","febrero","marzo","abril","mayo","junio","julio","agosto","septiembre","octubre","noviembre","diciembre"},0)+1,0))</f>
        <v/>
      </c>
      <c r="E925" t="str">
        <f>+IFERROR(VLOOKUP(Fact_Contabilidad[[#This Row], [Concepto Anterior]],Conceptos_Contabilidad[#All],5,0),"")</f>
        <v/>
      </c>
      <c r="F925" t="str">
        <f>+IFERROR(VLOOKUP(Fact_Contabilidad[[#This Row], 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ht="18.75" customHeight="1" x14ac:dyDescent="0.35">
      <c r="A926" s="103"/>
      <c r="C926" s="100" t="str">
        <f>IF(OR(Fact_Contabilidad[[#This Row], [Año]]="",Fact_Contabilidad[[#This Row], [Mes]]=""),"",DATE(A926,MATCH(B926,{"enero","febrero","marzo","abril","mayo","junio","julio","agosto","septiembre","octubre","noviembre","diciembre"},0)+1,0))</f>
        <v/>
      </c>
      <c r="E926" t="str">
        <f>+IFERROR(VLOOKUP(Fact_Contabilidad[[#This Row], [Concepto Anterior]],Conceptos_Contabilidad[#All],5,0),"")</f>
        <v/>
      </c>
      <c r="F926" t="str">
        <f>+IFERROR(VLOOKUP(Fact_Contabilidad[[#This Row], 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ht="18.75" customHeight="1" x14ac:dyDescent="0.35">
      <c r="A927" s="103"/>
      <c r="C927" s="100" t="str">
        <f>IF(OR(Fact_Contabilidad[[#This Row], [Año]]="",Fact_Contabilidad[[#This Row], [Mes]]=""),"",DATE(A927,MATCH(B927,{"enero","febrero","marzo","abril","mayo","junio","julio","agosto","septiembre","octubre","noviembre","diciembre"},0)+1,0))</f>
        <v/>
      </c>
      <c r="E927" t="str">
        <f>+IFERROR(VLOOKUP(Fact_Contabilidad[[#This Row], [Concepto Anterior]],Conceptos_Contabilidad[#All],5,0),"")</f>
        <v/>
      </c>
      <c r="F927" t="str">
        <f>+IFERROR(VLOOKUP(Fact_Contabilidad[[#This Row], 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ht="18.75" customHeight="1" x14ac:dyDescent="0.35">
      <c r="A928" s="103"/>
      <c r="C928" s="100" t="str">
        <f>IF(OR(Fact_Contabilidad[[#This Row], [Año]]="",Fact_Contabilidad[[#This Row], [Mes]]=""),"",DATE(A928,MATCH(B928,{"enero","febrero","marzo","abril","mayo","junio","julio","agosto","septiembre","octubre","noviembre","diciembre"},0)+1,0))</f>
        <v/>
      </c>
      <c r="E928" t="str">
        <f>+IFERROR(VLOOKUP(Fact_Contabilidad[[#This Row], [Concepto Anterior]],Conceptos_Contabilidad[#All],5,0),"")</f>
        <v/>
      </c>
      <c r="F928" t="str">
        <f>+IFERROR(VLOOKUP(Fact_Contabilidad[[#This Row], 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ht="18.75" customHeight="1" x14ac:dyDescent="0.35">
      <c r="A929" s="103"/>
      <c r="C929" s="100" t="str">
        <f>IF(OR(Fact_Contabilidad[[#This Row], [Año]]="",Fact_Contabilidad[[#This Row], [Mes]]=""),"",DATE(A929,MATCH(B929,{"enero","febrero","marzo","abril","mayo","junio","julio","agosto","septiembre","octubre","noviembre","diciembre"},0)+1,0))</f>
        <v/>
      </c>
      <c r="E929" t="str">
        <f>+IFERROR(VLOOKUP(Fact_Contabilidad[[#This Row], [Concepto Anterior]],Conceptos_Contabilidad[#All],5,0),"")</f>
        <v/>
      </c>
      <c r="F929" t="str">
        <f>+IFERROR(VLOOKUP(Fact_Contabilidad[[#This Row], 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ht="18.75" customHeight="1" x14ac:dyDescent="0.35">
      <c r="A930" s="103"/>
      <c r="C930" s="100" t="str">
        <f>IF(OR(Fact_Contabilidad[[#This Row], [Año]]="",Fact_Contabilidad[[#This Row], [Mes]]=""),"",DATE(A930,MATCH(B930,{"enero","febrero","marzo","abril","mayo","junio","julio","agosto","septiembre","octubre","noviembre","diciembre"},0)+1,0))</f>
        <v/>
      </c>
      <c r="E930" t="str">
        <f>+IFERROR(VLOOKUP(Fact_Contabilidad[[#This Row], [Concepto Anterior]],Conceptos_Contabilidad[#All],5,0),"")</f>
        <v/>
      </c>
      <c r="F930" t="str">
        <f>+IFERROR(VLOOKUP(Fact_Contabilidad[[#This Row], 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ht="18.75" customHeight="1" x14ac:dyDescent="0.35">
      <c r="A931" s="103"/>
      <c r="C931" s="100" t="str">
        <f>IF(OR(Fact_Contabilidad[[#This Row], [Año]]="",Fact_Contabilidad[[#This Row], [Mes]]=""),"",DATE(A931,MATCH(B931,{"enero","febrero","marzo","abril","mayo","junio","julio","agosto","septiembre","octubre","noviembre","diciembre"},0)+1,0))</f>
        <v/>
      </c>
      <c r="E931" t="str">
        <f>+IFERROR(VLOOKUP(Fact_Contabilidad[[#This Row], [Concepto Anterior]],Conceptos_Contabilidad[#All],5,0),"")</f>
        <v/>
      </c>
      <c r="F931" t="str">
        <f>+IFERROR(VLOOKUP(Fact_Contabilidad[[#This Row], 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ht="18.75" customHeight="1" x14ac:dyDescent="0.35">
      <c r="A932" s="103"/>
      <c r="C932" s="100" t="str">
        <f>IF(OR(Fact_Contabilidad[[#This Row], [Año]]="",Fact_Contabilidad[[#This Row], [Mes]]=""),"",DATE(A932,MATCH(B932,{"enero","febrero","marzo","abril","mayo","junio","julio","agosto","septiembre","octubre","noviembre","diciembre"},0)+1,0))</f>
        <v/>
      </c>
      <c r="E932" t="str">
        <f>+IFERROR(VLOOKUP(Fact_Contabilidad[[#This Row], [Concepto Anterior]],Conceptos_Contabilidad[#All],5,0),"")</f>
        <v/>
      </c>
      <c r="F932" t="str">
        <f>+IFERROR(VLOOKUP(Fact_Contabilidad[[#This Row], 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ht="18.75" customHeight="1" x14ac:dyDescent="0.35">
      <c r="A933" s="103"/>
      <c r="C933" s="100" t="str">
        <f>IF(OR(Fact_Contabilidad[[#This Row], [Año]]="",Fact_Contabilidad[[#This Row], [Mes]]=""),"",DATE(A933,MATCH(B933,{"enero","febrero","marzo","abril","mayo","junio","julio","agosto","septiembre","octubre","noviembre","diciembre"},0)+1,0))</f>
        <v/>
      </c>
      <c r="E933" t="str">
        <f>+IFERROR(VLOOKUP(Fact_Contabilidad[[#This Row], [Concepto Anterior]],Conceptos_Contabilidad[#All],5,0),"")</f>
        <v/>
      </c>
      <c r="F933" t="str">
        <f>+IFERROR(VLOOKUP(Fact_Contabilidad[[#This Row], 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ht="18.75" customHeight="1" x14ac:dyDescent="0.35">
      <c r="A934" s="103"/>
      <c r="C934" s="100" t="str">
        <f>IF(OR(Fact_Contabilidad[[#This Row], [Año]]="",Fact_Contabilidad[[#This Row], [Mes]]=""),"",DATE(A934,MATCH(B934,{"enero","febrero","marzo","abril","mayo","junio","julio","agosto","septiembre","octubre","noviembre","diciembre"},0)+1,0))</f>
        <v/>
      </c>
      <c r="E934" t="str">
        <f>+IFERROR(VLOOKUP(Fact_Contabilidad[[#This Row], [Concepto Anterior]],Conceptos_Contabilidad[#All],5,0),"")</f>
        <v/>
      </c>
      <c r="F934" t="str">
        <f>+IFERROR(VLOOKUP(Fact_Contabilidad[[#This Row], 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ht="18.75" customHeight="1" x14ac:dyDescent="0.35">
      <c r="A935" s="103"/>
      <c r="C935" s="100" t="str">
        <f>IF(OR(Fact_Contabilidad[[#This Row], [Año]]="",Fact_Contabilidad[[#This Row], [Mes]]=""),"",DATE(A935,MATCH(B935,{"enero","febrero","marzo","abril","mayo","junio","julio","agosto","septiembre","octubre","noviembre","diciembre"},0)+1,0))</f>
        <v/>
      </c>
      <c r="E935" t="str">
        <f>+IFERROR(VLOOKUP(Fact_Contabilidad[[#This Row], [Concepto Anterior]],Conceptos_Contabilidad[#All],5,0),"")</f>
        <v/>
      </c>
      <c r="F935" t="str">
        <f>+IFERROR(VLOOKUP(Fact_Contabilidad[[#This Row], 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ht="18.75" customHeight="1" x14ac:dyDescent="0.35">
      <c r="A936" s="103"/>
      <c r="C936" s="100" t="str">
        <f>IF(OR(Fact_Contabilidad[[#This Row], [Año]]="",Fact_Contabilidad[[#This Row], [Mes]]=""),"",DATE(A936,MATCH(B936,{"enero","febrero","marzo","abril","mayo","junio","julio","agosto","septiembre","octubre","noviembre","diciembre"},0)+1,0))</f>
        <v/>
      </c>
      <c r="E936" t="str">
        <f>+IFERROR(VLOOKUP(Fact_Contabilidad[[#This Row], [Concepto Anterior]],Conceptos_Contabilidad[#All],5,0),"")</f>
        <v/>
      </c>
      <c r="F936" t="str">
        <f>+IFERROR(VLOOKUP(Fact_Contabilidad[[#This Row], 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ht="18.75" customHeight="1" x14ac:dyDescent="0.35">
      <c r="A937" s="103"/>
      <c r="C937" s="100" t="str">
        <f>IF(OR(Fact_Contabilidad[[#This Row], [Año]]="",Fact_Contabilidad[[#This Row], [Mes]]=""),"",DATE(A937,MATCH(B937,{"enero","febrero","marzo","abril","mayo","junio","julio","agosto","septiembre","octubre","noviembre","diciembre"},0)+1,0))</f>
        <v/>
      </c>
      <c r="E937" t="str">
        <f>+IFERROR(VLOOKUP(Fact_Contabilidad[[#This Row], [Concepto Anterior]],Conceptos_Contabilidad[#All],5,0),"")</f>
        <v/>
      </c>
      <c r="F937" t="str">
        <f>+IFERROR(VLOOKUP(Fact_Contabilidad[[#This Row], 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ht="18.75" customHeight="1" x14ac:dyDescent="0.35">
      <c r="A938" s="103"/>
      <c r="C938" s="100" t="str">
        <f>IF(OR(Fact_Contabilidad[[#This Row], [Año]]="",Fact_Contabilidad[[#This Row], [Mes]]=""),"",DATE(A938,MATCH(B938,{"enero","febrero","marzo","abril","mayo","junio","julio","agosto","septiembre","octubre","noviembre","diciembre"},0)+1,0))</f>
        <v/>
      </c>
      <c r="E938" t="str">
        <f>+IFERROR(VLOOKUP(Fact_Contabilidad[[#This Row], [Concepto Anterior]],Conceptos_Contabilidad[#All],5,0),"")</f>
        <v/>
      </c>
      <c r="F938" t="str">
        <f>+IFERROR(VLOOKUP(Fact_Contabilidad[[#This Row], 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ht="18.75" customHeight="1" x14ac:dyDescent="0.35">
      <c r="A939" s="103"/>
      <c r="C939" s="100" t="str">
        <f>IF(OR(Fact_Contabilidad[[#This Row], [Año]]="",Fact_Contabilidad[[#This Row], [Mes]]=""),"",DATE(A939,MATCH(B939,{"enero","febrero","marzo","abril","mayo","junio","julio","agosto","septiembre","octubre","noviembre","diciembre"},0)+1,0))</f>
        <v/>
      </c>
      <c r="E939" t="str">
        <f>+IFERROR(VLOOKUP(Fact_Contabilidad[[#This Row], [Concepto Anterior]],Conceptos_Contabilidad[#All],5,0),"")</f>
        <v/>
      </c>
      <c r="F939" t="str">
        <f>+IFERROR(VLOOKUP(Fact_Contabilidad[[#This Row], 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ht="18.75" customHeight="1" x14ac:dyDescent="0.35">
      <c r="A940" s="103"/>
      <c r="C940" s="100" t="str">
        <f>IF(OR(Fact_Contabilidad[[#This Row], [Año]]="",Fact_Contabilidad[[#This Row], [Mes]]=""),"",DATE(A940,MATCH(B940,{"enero","febrero","marzo","abril","mayo","junio","julio","agosto","septiembre","octubre","noviembre","diciembre"},0)+1,0))</f>
        <v/>
      </c>
      <c r="E940" t="str">
        <f>+IFERROR(VLOOKUP(Fact_Contabilidad[[#This Row], [Concepto Anterior]],Conceptos_Contabilidad[#All],5,0),"")</f>
        <v/>
      </c>
      <c r="F940" t="str">
        <f>+IFERROR(VLOOKUP(Fact_Contabilidad[[#This Row], 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ht="18.75" customHeight="1" x14ac:dyDescent="0.35">
      <c r="A941" s="103"/>
      <c r="C941" s="100" t="str">
        <f>IF(OR(Fact_Contabilidad[[#This Row], [Año]]="",Fact_Contabilidad[[#This Row], [Mes]]=""),"",DATE(A941,MATCH(B941,{"enero","febrero","marzo","abril","mayo","junio","julio","agosto","septiembre","octubre","noviembre","diciembre"},0)+1,0))</f>
        <v/>
      </c>
      <c r="E941" t="str">
        <f>+IFERROR(VLOOKUP(Fact_Contabilidad[[#This Row], [Concepto Anterior]],Conceptos_Contabilidad[#All],5,0),"")</f>
        <v/>
      </c>
      <c r="F941" t="str">
        <f>+IFERROR(VLOOKUP(Fact_Contabilidad[[#This Row], 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ht="18.75" customHeight="1" x14ac:dyDescent="0.35">
      <c r="A942" s="103"/>
      <c r="C942" s="100" t="str">
        <f>IF(OR(Fact_Contabilidad[[#This Row], [Año]]="",Fact_Contabilidad[[#This Row], [Mes]]=""),"",DATE(A942,MATCH(B942,{"enero","febrero","marzo","abril","mayo","junio","julio","agosto","septiembre","octubre","noviembre","diciembre"},0)+1,0))</f>
        <v/>
      </c>
      <c r="E942" t="str">
        <f>+IFERROR(VLOOKUP(Fact_Contabilidad[[#This Row], [Concepto Anterior]],Conceptos_Contabilidad[#All],5,0),"")</f>
        <v/>
      </c>
      <c r="F942" t="str">
        <f>+IFERROR(VLOOKUP(Fact_Contabilidad[[#This Row], 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ht="18.75" customHeight="1" x14ac:dyDescent="0.35">
      <c r="A943" s="103"/>
      <c r="C943" s="100" t="str">
        <f>IF(OR(Fact_Contabilidad[[#This Row], [Año]]="",Fact_Contabilidad[[#This Row], [Mes]]=""),"",DATE(A943,MATCH(B943,{"enero","febrero","marzo","abril","mayo","junio","julio","agosto","septiembre","octubre","noviembre","diciembre"},0)+1,0))</f>
        <v/>
      </c>
      <c r="E943" t="str">
        <f>+IFERROR(VLOOKUP(Fact_Contabilidad[[#This Row], [Concepto Anterior]],Conceptos_Contabilidad[#All],5,0),"")</f>
        <v/>
      </c>
      <c r="F943" t="str">
        <f>+IFERROR(VLOOKUP(Fact_Contabilidad[[#This Row], 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ht="18.75" customHeight="1" x14ac:dyDescent="0.35">
      <c r="A944" s="103"/>
      <c r="C944" s="100" t="str">
        <f>IF(OR(Fact_Contabilidad[[#This Row], [Año]]="",Fact_Contabilidad[[#This Row], [Mes]]=""),"",DATE(A944,MATCH(B944,{"enero","febrero","marzo","abril","mayo","junio","julio","agosto","septiembre","octubre","noviembre","diciembre"},0)+1,0))</f>
        <v/>
      </c>
      <c r="E944" t="str">
        <f>+IFERROR(VLOOKUP(Fact_Contabilidad[[#This Row], [Concepto Anterior]],Conceptos_Contabilidad[#All],5,0),"")</f>
        <v/>
      </c>
      <c r="F944" t="str">
        <f>+IFERROR(VLOOKUP(Fact_Contabilidad[[#This Row], 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ht="18.75" customHeight="1" x14ac:dyDescent="0.35">
      <c r="A945" s="103"/>
      <c r="C945" s="100" t="str">
        <f>IF(OR(Fact_Contabilidad[[#This Row], [Año]]="",Fact_Contabilidad[[#This Row], [Mes]]=""),"",DATE(A945,MATCH(B945,{"enero","febrero","marzo","abril","mayo","junio","julio","agosto","septiembre","octubre","noviembre","diciembre"},0)+1,0))</f>
        <v/>
      </c>
      <c r="E945" t="str">
        <f>+IFERROR(VLOOKUP(Fact_Contabilidad[[#This Row], [Concepto Anterior]],Conceptos_Contabilidad[#All],5,0),"")</f>
        <v/>
      </c>
      <c r="F945" t="str">
        <f>+IFERROR(VLOOKUP(Fact_Contabilidad[[#This Row], 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ht="18.75" customHeight="1" x14ac:dyDescent="0.35">
      <c r="A946" s="103"/>
      <c r="C946" s="100" t="str">
        <f>IF(OR(Fact_Contabilidad[[#This Row], [Año]]="",Fact_Contabilidad[[#This Row], [Mes]]=""),"",DATE(A946,MATCH(B946,{"enero","febrero","marzo","abril","mayo","junio","julio","agosto","septiembre","octubre","noviembre","diciembre"},0)+1,0))</f>
        <v/>
      </c>
      <c r="E946" t="str">
        <f>+IFERROR(VLOOKUP(Fact_Contabilidad[[#This Row], [Concepto Anterior]],Conceptos_Contabilidad[#All],5,0),"")</f>
        <v/>
      </c>
      <c r="F946" t="str">
        <f>+IFERROR(VLOOKUP(Fact_Contabilidad[[#This Row], 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ht="18.75" customHeight="1" x14ac:dyDescent="0.35">
      <c r="A947" s="103"/>
      <c r="C947" s="100" t="str">
        <f>IF(OR(Fact_Contabilidad[[#This Row], [Año]]="",Fact_Contabilidad[[#This Row], [Mes]]=""),"",DATE(A947,MATCH(B947,{"enero","febrero","marzo","abril","mayo","junio","julio","agosto","septiembre","octubre","noviembre","diciembre"},0)+1,0))</f>
        <v/>
      </c>
      <c r="E947" t="str">
        <f>+IFERROR(VLOOKUP(Fact_Contabilidad[[#This Row], [Concepto Anterior]],Conceptos_Contabilidad[#All],5,0),"")</f>
        <v/>
      </c>
      <c r="F947" t="str">
        <f>+IFERROR(VLOOKUP(Fact_Contabilidad[[#This Row], 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ht="18.75" customHeight="1" x14ac:dyDescent="0.35">
      <c r="A948" s="103"/>
      <c r="C948" s="100" t="str">
        <f>IF(OR(Fact_Contabilidad[[#This Row], [Año]]="",Fact_Contabilidad[[#This Row], [Mes]]=""),"",DATE(A948,MATCH(B948,{"enero","febrero","marzo","abril","mayo","junio","julio","agosto","septiembre","octubre","noviembre","diciembre"},0)+1,0))</f>
        <v/>
      </c>
      <c r="E948" t="str">
        <f>+IFERROR(VLOOKUP(Fact_Contabilidad[[#This Row], [Concepto Anterior]],Conceptos_Contabilidad[#All],5,0),"")</f>
        <v/>
      </c>
      <c r="F948" t="str">
        <f>+IFERROR(VLOOKUP(Fact_Contabilidad[[#This Row], 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ht="18.75" customHeight="1" x14ac:dyDescent="0.35">
      <c r="A949" s="103"/>
      <c r="C949" s="100" t="str">
        <f>IF(OR(Fact_Contabilidad[[#This Row], [Año]]="",Fact_Contabilidad[[#This Row], [Mes]]=""),"",DATE(A949,MATCH(B949,{"enero","febrero","marzo","abril","mayo","junio","julio","agosto","septiembre","octubre","noviembre","diciembre"},0)+1,0))</f>
        <v/>
      </c>
      <c r="E949" t="str">
        <f>+IFERROR(VLOOKUP(Fact_Contabilidad[[#This Row], [Concepto Anterior]],Conceptos_Contabilidad[#All],5,0),"")</f>
        <v/>
      </c>
      <c r="F949" t="str">
        <f>+IFERROR(VLOOKUP(Fact_Contabilidad[[#This Row], 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ht="18.75" customHeight="1" x14ac:dyDescent="0.35">
      <c r="A950" s="103"/>
      <c r="C950" s="100" t="str">
        <f>IF(OR(Fact_Contabilidad[[#This Row], [Año]]="",Fact_Contabilidad[[#This Row], [Mes]]=""),"",DATE(A950,MATCH(B950,{"enero","febrero","marzo","abril","mayo","junio","julio","agosto","septiembre","octubre","noviembre","diciembre"},0)+1,0))</f>
        <v/>
      </c>
      <c r="E950" t="str">
        <f>+IFERROR(VLOOKUP(Fact_Contabilidad[[#This Row], [Concepto Anterior]],Conceptos_Contabilidad[#All],5,0),"")</f>
        <v/>
      </c>
      <c r="F950" t="str">
        <f>+IFERROR(VLOOKUP(Fact_Contabilidad[[#This Row], 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ht="18.75" customHeight="1" x14ac:dyDescent="0.35">
      <c r="A951" s="103"/>
      <c r="C951" s="100" t="str">
        <f>IF(OR(Fact_Contabilidad[[#This Row], [Año]]="",Fact_Contabilidad[[#This Row], [Mes]]=""),"",DATE(A951,MATCH(B951,{"enero","febrero","marzo","abril","mayo","junio","julio","agosto","septiembre","octubre","noviembre","diciembre"},0)+1,0))</f>
        <v/>
      </c>
      <c r="E951" t="str">
        <f>+IFERROR(VLOOKUP(Fact_Contabilidad[[#This Row], [Concepto Anterior]],Conceptos_Contabilidad[#All],5,0),"")</f>
        <v/>
      </c>
      <c r="F951" t="str">
        <f>+IFERROR(VLOOKUP(Fact_Contabilidad[[#This Row], 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ht="18.75" customHeight="1" x14ac:dyDescent="0.35">
      <c r="A952" s="103"/>
      <c r="C952" s="100" t="str">
        <f>IF(OR(Fact_Contabilidad[[#This Row], [Año]]="",Fact_Contabilidad[[#This Row], [Mes]]=""),"",DATE(A952,MATCH(B952,{"enero","febrero","marzo","abril","mayo","junio","julio","agosto","septiembre","octubre","noviembre","diciembre"},0)+1,0))</f>
        <v/>
      </c>
      <c r="E952" t="str">
        <f>+IFERROR(VLOOKUP(Fact_Contabilidad[[#This Row], [Concepto Anterior]],Conceptos_Contabilidad[#All],5,0),"")</f>
        <v/>
      </c>
      <c r="F952" t="str">
        <f>+IFERROR(VLOOKUP(Fact_Contabilidad[[#This Row], 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ht="18.75" customHeight="1" x14ac:dyDescent="0.35">
      <c r="A953" s="103"/>
      <c r="C953" s="100" t="str">
        <f>IF(OR(Fact_Contabilidad[[#This Row], [Año]]="",Fact_Contabilidad[[#This Row], [Mes]]=""),"",DATE(A953,MATCH(B953,{"enero","febrero","marzo","abril","mayo","junio","julio","agosto","septiembre","octubre","noviembre","diciembre"},0)+1,0))</f>
        <v/>
      </c>
      <c r="E953" t="str">
        <f>+IFERROR(VLOOKUP(Fact_Contabilidad[[#This Row], [Concepto Anterior]],Conceptos_Contabilidad[#All],5,0),"")</f>
        <v/>
      </c>
      <c r="F953" t="str">
        <f>+IFERROR(VLOOKUP(Fact_Contabilidad[[#This Row], 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ht="18.75" customHeight="1" x14ac:dyDescent="0.35">
      <c r="A954" s="103"/>
      <c r="C954" s="100" t="str">
        <f>IF(OR(Fact_Contabilidad[[#This Row], [Año]]="",Fact_Contabilidad[[#This Row], [Mes]]=""),"",DATE(A954,MATCH(B954,{"enero","febrero","marzo","abril","mayo","junio","julio","agosto","septiembre","octubre","noviembre","diciembre"},0)+1,0))</f>
        <v/>
      </c>
      <c r="E954" t="str">
        <f>+IFERROR(VLOOKUP(Fact_Contabilidad[[#This Row], [Concepto Anterior]],Conceptos_Contabilidad[#All],5,0),"")</f>
        <v/>
      </c>
      <c r="F954" t="str">
        <f>+IFERROR(VLOOKUP(Fact_Contabilidad[[#This Row], 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ht="18.75" customHeight="1" x14ac:dyDescent="0.35">
      <c r="A955" s="103"/>
      <c r="C955" s="100" t="str">
        <f>IF(OR(Fact_Contabilidad[[#This Row], [Año]]="",Fact_Contabilidad[[#This Row], [Mes]]=""),"",DATE(A955,MATCH(B955,{"enero","febrero","marzo","abril","mayo","junio","julio","agosto","septiembre","octubre","noviembre","diciembre"},0)+1,0))</f>
        <v/>
      </c>
      <c r="E955" t="str">
        <f>+IFERROR(VLOOKUP(Fact_Contabilidad[[#This Row], [Concepto Anterior]],Conceptos_Contabilidad[#All],5,0),"")</f>
        <v/>
      </c>
      <c r="F955" t="str">
        <f>+IFERROR(VLOOKUP(Fact_Contabilidad[[#This Row], 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ht="18.75" customHeight="1" x14ac:dyDescent="0.35">
      <c r="A956" s="103"/>
      <c r="C956" s="100" t="str">
        <f>IF(OR(Fact_Contabilidad[[#This Row], [Año]]="",Fact_Contabilidad[[#This Row], [Mes]]=""),"",DATE(A956,MATCH(B956,{"enero","febrero","marzo","abril","mayo","junio","julio","agosto","septiembre","octubre","noviembre","diciembre"},0)+1,0))</f>
        <v/>
      </c>
      <c r="E956" t="str">
        <f>+IFERROR(VLOOKUP(Fact_Contabilidad[[#This Row], [Concepto Anterior]],Conceptos_Contabilidad[#All],5,0),"")</f>
        <v/>
      </c>
      <c r="F956" t="str">
        <f>+IFERROR(VLOOKUP(Fact_Contabilidad[[#This Row], 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ht="18.75" customHeight="1" x14ac:dyDescent="0.35">
      <c r="A957" s="103"/>
      <c r="C957" s="100" t="str">
        <f>IF(OR(Fact_Contabilidad[[#This Row], [Año]]="",Fact_Contabilidad[[#This Row], [Mes]]=""),"",DATE(A957,MATCH(B957,{"enero","febrero","marzo","abril","mayo","junio","julio","agosto","septiembre","octubre","noviembre","diciembre"},0)+1,0))</f>
        <v/>
      </c>
      <c r="E957" t="str">
        <f>+IFERROR(VLOOKUP(Fact_Contabilidad[[#This Row], [Concepto Anterior]],Conceptos_Contabilidad[#All],5,0),"")</f>
        <v/>
      </c>
      <c r="F957" t="str">
        <f>+IFERROR(VLOOKUP(Fact_Contabilidad[[#This Row], 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ht="18.75" customHeight="1" x14ac:dyDescent="0.35">
      <c r="A958" s="103"/>
      <c r="C958" s="100" t="str">
        <f>IF(OR(Fact_Contabilidad[[#This Row], [Año]]="",Fact_Contabilidad[[#This Row], [Mes]]=""),"",DATE(A958,MATCH(B958,{"enero","febrero","marzo","abril","mayo","junio","julio","agosto","septiembre","octubre","noviembre","diciembre"},0)+1,0))</f>
        <v/>
      </c>
      <c r="E958" t="str">
        <f>+IFERROR(VLOOKUP(Fact_Contabilidad[[#This Row], [Concepto Anterior]],Conceptos_Contabilidad[#All],5,0),"")</f>
        <v/>
      </c>
      <c r="F958" t="str">
        <f>+IFERROR(VLOOKUP(Fact_Contabilidad[[#This Row], 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ht="18.75" customHeight="1" x14ac:dyDescent="0.35">
      <c r="A959" s="103"/>
      <c r="C959" s="100" t="str">
        <f>IF(OR(Fact_Contabilidad[[#This Row], [Año]]="",Fact_Contabilidad[[#This Row], [Mes]]=""),"",DATE(A959,MATCH(B959,{"enero","febrero","marzo","abril","mayo","junio","julio","agosto","septiembre","octubre","noviembre","diciembre"},0)+1,0))</f>
        <v/>
      </c>
      <c r="E959" t="str">
        <f>+IFERROR(VLOOKUP(Fact_Contabilidad[[#This Row], [Concepto Anterior]],Conceptos_Contabilidad[#All],5,0),"")</f>
        <v/>
      </c>
      <c r="F959" t="str">
        <f>+IFERROR(VLOOKUP(Fact_Contabilidad[[#This Row], 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ht="18.75" customHeight="1" x14ac:dyDescent="0.35">
      <c r="A960" s="103"/>
      <c r="C960" s="100" t="str">
        <f>IF(OR(Fact_Contabilidad[[#This Row], [Año]]="",Fact_Contabilidad[[#This Row], [Mes]]=""),"",DATE(A960,MATCH(B960,{"enero","febrero","marzo","abril","mayo","junio","julio","agosto","septiembre","octubre","noviembre","diciembre"},0)+1,0))</f>
        <v/>
      </c>
      <c r="E960" t="str">
        <f>+IFERROR(VLOOKUP(Fact_Contabilidad[[#This Row], [Concepto Anterior]],Conceptos_Contabilidad[#All],5,0),"")</f>
        <v/>
      </c>
      <c r="F960" t="str">
        <f>+IFERROR(VLOOKUP(Fact_Contabilidad[[#This Row], 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ht="18.75" customHeight="1" x14ac:dyDescent="0.35">
      <c r="A961" s="103"/>
      <c r="C961" s="100" t="str">
        <f>IF(OR(Fact_Contabilidad[[#This Row], [Año]]="",Fact_Contabilidad[[#This Row], [Mes]]=""),"",DATE(A961,MATCH(B961,{"enero","febrero","marzo","abril","mayo","junio","julio","agosto","septiembre","octubre","noviembre","diciembre"},0)+1,0))</f>
        <v/>
      </c>
      <c r="E961" t="str">
        <f>+IFERROR(VLOOKUP(Fact_Contabilidad[[#This Row], [Concepto Anterior]],Conceptos_Contabilidad[#All],5,0),"")</f>
        <v/>
      </c>
      <c r="F961" t="str">
        <f>+IFERROR(VLOOKUP(Fact_Contabilidad[[#This Row], 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ht="18.75" customHeight="1" x14ac:dyDescent="0.35">
      <c r="A962" s="103"/>
      <c r="C962" s="100" t="str">
        <f>IF(OR(Fact_Contabilidad[[#This Row], [Año]]="",Fact_Contabilidad[[#This Row], [Mes]]=""),"",DATE(A962,MATCH(B962,{"enero","febrero","marzo","abril","mayo","junio","julio","agosto","septiembre","octubre","noviembre","diciembre"},0)+1,0))</f>
        <v/>
      </c>
      <c r="E962" t="str">
        <f>+IFERROR(VLOOKUP(Fact_Contabilidad[[#This Row], [Concepto Anterior]],Conceptos_Contabilidad[#All],5,0),"")</f>
        <v/>
      </c>
      <c r="F962" t="str">
        <f>+IFERROR(VLOOKUP(Fact_Contabilidad[[#This Row], 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ht="18.75" customHeight="1" x14ac:dyDescent="0.35">
      <c r="A963" s="103"/>
      <c r="C963" s="100" t="str">
        <f>IF(OR(Fact_Contabilidad[[#This Row], [Año]]="",Fact_Contabilidad[[#This Row], [Mes]]=""),"",DATE(A963,MATCH(B963,{"enero","febrero","marzo","abril","mayo","junio","julio","agosto","septiembre","octubre","noviembre","diciembre"},0)+1,0))</f>
        <v/>
      </c>
      <c r="E963" t="str">
        <f>+IFERROR(VLOOKUP(Fact_Contabilidad[[#This Row], [Concepto Anterior]],Conceptos_Contabilidad[#All],5,0),"")</f>
        <v/>
      </c>
      <c r="F963" t="str">
        <f>+IFERROR(VLOOKUP(Fact_Contabilidad[[#This Row], 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ht="18.75" customHeight="1" x14ac:dyDescent="0.35">
      <c r="A964" s="103"/>
      <c r="C964" s="100" t="str">
        <f>IF(OR(Fact_Contabilidad[[#This Row], [Año]]="",Fact_Contabilidad[[#This Row], [Mes]]=""),"",DATE(A964,MATCH(B964,{"enero","febrero","marzo","abril","mayo","junio","julio","agosto","septiembre","octubre","noviembre","diciembre"},0)+1,0))</f>
        <v/>
      </c>
      <c r="E964" t="str">
        <f>+IFERROR(VLOOKUP(Fact_Contabilidad[[#This Row], [Concepto Anterior]],Conceptos_Contabilidad[#All],5,0),"")</f>
        <v/>
      </c>
      <c r="F964" t="str">
        <f>+IFERROR(VLOOKUP(Fact_Contabilidad[[#This Row], 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ht="18.75" customHeight="1" x14ac:dyDescent="0.35">
      <c r="A965" s="103"/>
      <c r="C965" s="100" t="str">
        <f>IF(OR(Fact_Contabilidad[[#This Row], [Año]]="",Fact_Contabilidad[[#This Row], [Mes]]=""),"",DATE(A965,MATCH(B965,{"enero","febrero","marzo","abril","mayo","junio","julio","agosto","septiembre","octubre","noviembre","diciembre"},0)+1,0))</f>
        <v/>
      </c>
      <c r="E965" t="str">
        <f>+IFERROR(VLOOKUP(Fact_Contabilidad[[#This Row], [Concepto Anterior]],Conceptos_Contabilidad[#All],5,0),"")</f>
        <v/>
      </c>
      <c r="F965" t="str">
        <f>+IFERROR(VLOOKUP(Fact_Contabilidad[[#This Row], 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ht="18.75" customHeight="1" x14ac:dyDescent="0.35">
      <c r="A966" s="103"/>
      <c r="C966" s="100" t="str">
        <f>IF(OR(Fact_Contabilidad[[#This Row], [Año]]="",Fact_Contabilidad[[#This Row], [Mes]]=""),"",DATE(A966,MATCH(B966,{"enero","febrero","marzo","abril","mayo","junio","julio","agosto","septiembre","octubre","noviembre","diciembre"},0)+1,0))</f>
        <v/>
      </c>
      <c r="E966" t="str">
        <f>+IFERROR(VLOOKUP(Fact_Contabilidad[[#This Row], [Concepto Anterior]],Conceptos_Contabilidad[#All],5,0),"")</f>
        <v/>
      </c>
      <c r="F966" t="str">
        <f>+IFERROR(VLOOKUP(Fact_Contabilidad[[#This Row], 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ht="18.75" customHeight="1" x14ac:dyDescent="0.35">
      <c r="A967" s="103"/>
      <c r="C967" s="100" t="str">
        <f>IF(OR(Fact_Contabilidad[[#This Row], [Año]]="",Fact_Contabilidad[[#This Row], [Mes]]=""),"",DATE(A967,MATCH(B967,{"enero","febrero","marzo","abril","mayo","junio","julio","agosto","septiembre","octubre","noviembre","diciembre"},0)+1,0))</f>
        <v/>
      </c>
      <c r="E967" t="str">
        <f>+IFERROR(VLOOKUP(Fact_Contabilidad[[#This Row], [Concepto Anterior]],Conceptos_Contabilidad[#All],5,0),"")</f>
        <v/>
      </c>
      <c r="F967" t="str">
        <f>+IFERROR(VLOOKUP(Fact_Contabilidad[[#This Row], 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ht="18.75" customHeight="1" x14ac:dyDescent="0.35">
      <c r="A968" s="103"/>
      <c r="C968" s="100" t="str">
        <f>IF(OR(Fact_Contabilidad[[#This Row], [Año]]="",Fact_Contabilidad[[#This Row], [Mes]]=""),"",DATE(A968,MATCH(B968,{"enero","febrero","marzo","abril","mayo","junio","julio","agosto","septiembre","octubre","noviembre","diciembre"},0)+1,0))</f>
        <v/>
      </c>
      <c r="E968" t="str">
        <f>+IFERROR(VLOOKUP(Fact_Contabilidad[[#This Row], [Concepto Anterior]],Conceptos_Contabilidad[#All],5,0),"")</f>
        <v/>
      </c>
      <c r="F968" t="str">
        <f>+IFERROR(VLOOKUP(Fact_Contabilidad[[#This Row], 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ht="18.75" customHeight="1" x14ac:dyDescent="0.35">
      <c r="A969" s="103"/>
      <c r="C969" s="100" t="str">
        <f>IF(OR(Fact_Contabilidad[[#This Row], [Año]]="",Fact_Contabilidad[[#This Row], [Mes]]=""),"",DATE(A969,MATCH(B969,{"enero","febrero","marzo","abril","mayo","junio","julio","agosto","septiembre","octubre","noviembre","diciembre"},0)+1,0))</f>
        <v/>
      </c>
      <c r="E969" t="str">
        <f>+IFERROR(VLOOKUP(Fact_Contabilidad[[#This Row], [Concepto Anterior]],Conceptos_Contabilidad[#All],5,0),"")</f>
        <v/>
      </c>
      <c r="F969" t="str">
        <f>+IFERROR(VLOOKUP(Fact_Contabilidad[[#This Row], 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ht="18.75" customHeight="1" x14ac:dyDescent="0.35">
      <c r="A970" s="103"/>
      <c r="C970" s="100" t="str">
        <f>IF(OR(Fact_Contabilidad[[#This Row], [Año]]="",Fact_Contabilidad[[#This Row], [Mes]]=""),"",DATE(A970,MATCH(B970,{"enero","febrero","marzo","abril","mayo","junio","julio","agosto","septiembre","octubre","noviembre","diciembre"},0)+1,0))</f>
        <v/>
      </c>
      <c r="E970" t="str">
        <f>+IFERROR(VLOOKUP(Fact_Contabilidad[[#This Row], [Concepto Anterior]],Conceptos_Contabilidad[#All],5,0),"")</f>
        <v/>
      </c>
      <c r="F970" t="str">
        <f>+IFERROR(VLOOKUP(Fact_Contabilidad[[#This Row], 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ht="18.75" customHeight="1" x14ac:dyDescent="0.35">
      <c r="A971" s="103"/>
      <c r="C971" s="100" t="str">
        <f>IF(OR(Fact_Contabilidad[[#This Row], [Año]]="",Fact_Contabilidad[[#This Row], [Mes]]=""),"",DATE(A971,MATCH(B971,{"enero","febrero","marzo","abril","mayo","junio","julio","agosto","septiembre","octubre","noviembre","diciembre"},0)+1,0))</f>
        <v/>
      </c>
      <c r="E971" t="str">
        <f>+IFERROR(VLOOKUP(Fact_Contabilidad[[#This Row], [Concepto Anterior]],Conceptos_Contabilidad[#All],5,0),"")</f>
        <v/>
      </c>
      <c r="F971" t="str">
        <f>+IFERROR(VLOOKUP(Fact_Contabilidad[[#This Row], 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ht="18.75" customHeight="1" x14ac:dyDescent="0.35">
      <c r="A972" s="103"/>
      <c r="C972" s="100" t="str">
        <f>IF(OR(Fact_Contabilidad[[#This Row], [Año]]="",Fact_Contabilidad[[#This Row], [Mes]]=""),"",DATE(A972,MATCH(B972,{"enero","febrero","marzo","abril","mayo","junio","julio","agosto","septiembre","octubre","noviembre","diciembre"},0)+1,0))</f>
        <v/>
      </c>
      <c r="E972" t="str">
        <f>+IFERROR(VLOOKUP(Fact_Contabilidad[[#This Row], [Concepto Anterior]],Conceptos_Contabilidad[#All],5,0),"")</f>
        <v/>
      </c>
      <c r="F972" t="str">
        <f>+IFERROR(VLOOKUP(Fact_Contabilidad[[#This Row], 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ht="18.75" customHeight="1" x14ac:dyDescent="0.35">
      <c r="A973" s="103"/>
      <c r="C973" s="100" t="str">
        <f>IF(OR(Fact_Contabilidad[[#This Row], [Año]]="",Fact_Contabilidad[[#This Row], [Mes]]=""),"",DATE(A973,MATCH(B973,{"enero","febrero","marzo","abril","mayo","junio","julio","agosto","septiembre","octubre","noviembre","diciembre"},0)+1,0))</f>
        <v/>
      </c>
      <c r="E973" t="str">
        <f>+IFERROR(VLOOKUP(Fact_Contabilidad[[#This Row], [Concepto Anterior]],Conceptos_Contabilidad[#All],5,0),"")</f>
        <v/>
      </c>
      <c r="F973" t="str">
        <f>+IFERROR(VLOOKUP(Fact_Contabilidad[[#This Row], 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ht="18.75" customHeight="1" x14ac:dyDescent="0.35">
      <c r="A974" s="103"/>
      <c r="C974" s="100" t="str">
        <f>IF(OR(Fact_Contabilidad[[#This Row], [Año]]="",Fact_Contabilidad[[#This Row], [Mes]]=""),"",DATE(A974,MATCH(B974,{"enero","febrero","marzo","abril","mayo","junio","julio","agosto","septiembre","octubre","noviembre","diciembre"},0)+1,0))</f>
        <v/>
      </c>
      <c r="E974" t="str">
        <f>+IFERROR(VLOOKUP(Fact_Contabilidad[[#This Row], [Concepto Anterior]],Conceptos_Contabilidad[#All],5,0),"")</f>
        <v/>
      </c>
      <c r="F974" t="str">
        <f>+IFERROR(VLOOKUP(Fact_Contabilidad[[#This Row], 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ht="18.75" customHeight="1" x14ac:dyDescent="0.35">
      <c r="A975" s="103"/>
      <c r="C975" s="100" t="str">
        <f>IF(OR(Fact_Contabilidad[[#This Row], [Año]]="",Fact_Contabilidad[[#This Row], [Mes]]=""),"",DATE(A975,MATCH(B975,{"enero","febrero","marzo","abril","mayo","junio","julio","agosto","septiembre","octubre","noviembre","diciembre"},0)+1,0))</f>
        <v/>
      </c>
      <c r="E975" t="str">
        <f>+IFERROR(VLOOKUP(Fact_Contabilidad[[#This Row], [Concepto Anterior]],Conceptos_Contabilidad[#All],5,0),"")</f>
        <v/>
      </c>
      <c r="F975" t="str">
        <f>+IFERROR(VLOOKUP(Fact_Contabilidad[[#This Row], 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ht="18.75" customHeight="1" x14ac:dyDescent="0.35">
      <c r="A976" s="103"/>
      <c r="C976" s="100" t="str">
        <f>IF(OR(Fact_Contabilidad[[#This Row], [Año]]="",Fact_Contabilidad[[#This Row], [Mes]]=""),"",DATE(A976,MATCH(B976,{"enero","febrero","marzo","abril","mayo","junio","julio","agosto","septiembre","octubre","noviembre","diciembre"},0)+1,0))</f>
        <v/>
      </c>
      <c r="E976" t="str">
        <f>+IFERROR(VLOOKUP(Fact_Contabilidad[[#This Row], [Concepto Anterior]],Conceptos_Contabilidad[#All],5,0),"")</f>
        <v/>
      </c>
      <c r="F976" t="str">
        <f>+IFERROR(VLOOKUP(Fact_Contabilidad[[#This Row], 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ht="18.75" customHeight="1" x14ac:dyDescent="0.35">
      <c r="A977" s="103"/>
      <c r="C977" s="100" t="str">
        <f>IF(OR(Fact_Contabilidad[[#This Row], [Año]]="",Fact_Contabilidad[[#This Row], [Mes]]=""),"",DATE(A977,MATCH(B977,{"enero","febrero","marzo","abril","mayo","junio","julio","agosto","septiembre","octubre","noviembre","diciembre"},0)+1,0))</f>
        <v/>
      </c>
      <c r="E977" t="str">
        <f>+IFERROR(VLOOKUP(Fact_Contabilidad[[#This Row], [Concepto Anterior]],Conceptos_Contabilidad[#All],5,0),"")</f>
        <v/>
      </c>
      <c r="F977" t="str">
        <f>+IFERROR(VLOOKUP(Fact_Contabilidad[[#This Row], 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ht="18.75" customHeight="1" x14ac:dyDescent="0.35">
      <c r="A978" s="103"/>
      <c r="C978" s="100" t="str">
        <f>IF(OR(Fact_Contabilidad[[#This Row], [Año]]="",Fact_Contabilidad[[#This Row], [Mes]]=""),"",DATE(A978,MATCH(B978,{"enero","febrero","marzo","abril","mayo","junio","julio","agosto","septiembre","octubre","noviembre","diciembre"},0)+1,0))</f>
        <v/>
      </c>
      <c r="E978" t="str">
        <f>+IFERROR(VLOOKUP(Fact_Contabilidad[[#This Row], [Concepto Anterior]],Conceptos_Contabilidad[#All],5,0),"")</f>
        <v/>
      </c>
      <c r="F978" t="str">
        <f>+IFERROR(VLOOKUP(Fact_Contabilidad[[#This Row], 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ht="18.75" customHeight="1" x14ac:dyDescent="0.35">
      <c r="A979" s="103"/>
      <c r="C979" s="100" t="str">
        <f>IF(OR(Fact_Contabilidad[[#This Row], [Año]]="",Fact_Contabilidad[[#This Row], [Mes]]=""),"",DATE(A979,MATCH(B979,{"enero","febrero","marzo","abril","mayo","junio","julio","agosto","septiembre","octubre","noviembre","diciembre"},0)+1,0))</f>
        <v/>
      </c>
      <c r="E979" t="str">
        <f>+IFERROR(VLOOKUP(Fact_Contabilidad[[#This Row], [Concepto Anterior]],Conceptos_Contabilidad[#All],5,0),"")</f>
        <v/>
      </c>
      <c r="F979" t="str">
        <f>+IFERROR(VLOOKUP(Fact_Contabilidad[[#This Row], 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ht="18.75" customHeight="1" x14ac:dyDescent="0.35">
      <c r="A980" s="103"/>
      <c r="C980" s="100" t="str">
        <f>IF(OR(Fact_Contabilidad[[#This Row], [Año]]="",Fact_Contabilidad[[#This Row], [Mes]]=""),"",DATE(A980,MATCH(B980,{"enero","febrero","marzo","abril","mayo","junio","julio","agosto","septiembre","octubre","noviembre","diciembre"},0)+1,0))</f>
        <v/>
      </c>
      <c r="E980" t="str">
        <f>+IFERROR(VLOOKUP(Fact_Contabilidad[[#This Row], [Concepto Anterior]],Conceptos_Contabilidad[#All],5,0),"")</f>
        <v/>
      </c>
      <c r="F980" t="str">
        <f>+IFERROR(VLOOKUP(Fact_Contabilidad[[#This Row], 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ht="18.75" customHeight="1" x14ac:dyDescent="0.35">
      <c r="A981" s="103"/>
      <c r="C981" s="100" t="str">
        <f>IF(OR(Fact_Contabilidad[[#This Row], [Año]]="",Fact_Contabilidad[[#This Row], [Mes]]=""),"",DATE(A981,MATCH(B981,{"enero","febrero","marzo","abril","mayo","junio","julio","agosto","septiembre","octubre","noviembre","diciembre"},0)+1,0))</f>
        <v/>
      </c>
      <c r="E981" t="str">
        <f>+IFERROR(VLOOKUP(Fact_Contabilidad[[#This Row], [Concepto Anterior]],Conceptos_Contabilidad[#All],5,0),"")</f>
        <v/>
      </c>
      <c r="F981" t="str">
        <f>+IFERROR(VLOOKUP(Fact_Contabilidad[[#This Row], 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ht="18.75" customHeight="1" x14ac:dyDescent="0.35">
      <c r="A982" s="103"/>
      <c r="C982" s="100" t="str">
        <f>IF(OR(Fact_Contabilidad[[#This Row], [Año]]="",Fact_Contabilidad[[#This Row], [Mes]]=""),"",DATE(A982,MATCH(B982,{"enero","febrero","marzo","abril","mayo","junio","julio","agosto","septiembre","octubre","noviembre","diciembre"},0)+1,0))</f>
        <v/>
      </c>
      <c r="E982" t="str">
        <f>+IFERROR(VLOOKUP(Fact_Contabilidad[[#This Row], [Concepto Anterior]],Conceptos_Contabilidad[#All],5,0),"")</f>
        <v/>
      </c>
      <c r="F982" t="str">
        <f>+IFERROR(VLOOKUP(Fact_Contabilidad[[#This Row], 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ht="18.75" customHeight="1" x14ac:dyDescent="0.35">
      <c r="A983" s="103"/>
      <c r="C983" s="100" t="str">
        <f>IF(OR(Fact_Contabilidad[[#This Row], [Año]]="",Fact_Contabilidad[[#This Row], [Mes]]=""),"",DATE(A983,MATCH(B983,{"enero","febrero","marzo","abril","mayo","junio","julio","agosto","septiembre","octubre","noviembre","diciembre"},0)+1,0))</f>
        <v/>
      </c>
      <c r="E983" t="str">
        <f>+IFERROR(VLOOKUP(Fact_Contabilidad[[#This Row], [Concepto Anterior]],Conceptos_Contabilidad[#All],5,0),"")</f>
        <v/>
      </c>
      <c r="F983" t="str">
        <f>+IFERROR(VLOOKUP(Fact_Contabilidad[[#This Row], 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ht="18.75" customHeight="1" x14ac:dyDescent="0.35">
      <c r="A984" s="103"/>
      <c r="C984" s="100" t="str">
        <f>IF(OR(Fact_Contabilidad[[#This Row], [Año]]="",Fact_Contabilidad[[#This Row], [Mes]]=""),"",DATE(A984,MATCH(B984,{"enero","febrero","marzo","abril","mayo","junio","julio","agosto","septiembre","octubre","noviembre","diciembre"},0)+1,0))</f>
        <v/>
      </c>
      <c r="E984" t="str">
        <f>+IFERROR(VLOOKUP(Fact_Contabilidad[[#This Row], [Concepto Anterior]],Conceptos_Contabilidad[#All],5,0),"")</f>
        <v/>
      </c>
      <c r="F984" t="str">
        <f>+IFERROR(VLOOKUP(Fact_Contabilidad[[#This Row], 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ht="18.75" customHeight="1" x14ac:dyDescent="0.35">
      <c r="A985" s="103"/>
      <c r="C985" s="100" t="str">
        <f>IF(OR(Fact_Contabilidad[[#This Row], [Año]]="",Fact_Contabilidad[[#This Row], [Mes]]=""),"",DATE(A985,MATCH(B985,{"enero","febrero","marzo","abril","mayo","junio","julio","agosto","septiembre","octubre","noviembre","diciembre"},0)+1,0))</f>
        <v/>
      </c>
      <c r="E985" t="str">
        <f>+IFERROR(VLOOKUP(Fact_Contabilidad[[#This Row], [Concepto Anterior]],Conceptos_Contabilidad[#All],5,0),"")</f>
        <v/>
      </c>
      <c r="F985" t="str">
        <f>+IFERROR(VLOOKUP(Fact_Contabilidad[[#This Row], 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ht="18.75" customHeight="1" x14ac:dyDescent="0.35">
      <c r="A986" s="103"/>
      <c r="C986" s="100" t="str">
        <f>IF(OR(Fact_Contabilidad[[#This Row], [Año]]="",Fact_Contabilidad[[#This Row], [Mes]]=""),"",DATE(A986,MATCH(B986,{"enero","febrero","marzo","abril","mayo","junio","julio","agosto","septiembre","octubre","noviembre","diciembre"},0)+1,0))</f>
        <v/>
      </c>
      <c r="E986" t="str">
        <f>+IFERROR(VLOOKUP(Fact_Contabilidad[[#This Row], [Concepto Anterior]],Conceptos_Contabilidad[#All],5,0),"")</f>
        <v/>
      </c>
      <c r="F986" t="str">
        <f>+IFERROR(VLOOKUP(Fact_Contabilidad[[#This Row], 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ht="18.75" customHeight="1" x14ac:dyDescent="0.35">
      <c r="A987" s="103"/>
      <c r="C987" s="100" t="str">
        <f>IF(OR(Fact_Contabilidad[[#This Row], [Año]]="",Fact_Contabilidad[[#This Row], [Mes]]=""),"",DATE(A987,MATCH(B987,{"enero","febrero","marzo","abril","mayo","junio","julio","agosto","septiembre","octubre","noviembre","diciembre"},0)+1,0))</f>
        <v/>
      </c>
      <c r="E987" t="str">
        <f>+IFERROR(VLOOKUP(Fact_Contabilidad[[#This Row], [Concepto Anterior]],Conceptos_Contabilidad[#All],5,0),"")</f>
        <v/>
      </c>
      <c r="F987" t="str">
        <f>+IFERROR(VLOOKUP(Fact_Contabilidad[[#This Row], 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ht="18.75" customHeight="1" x14ac:dyDescent="0.35">
      <c r="A988" s="103"/>
      <c r="C988" s="100" t="str">
        <f>IF(OR(Fact_Contabilidad[[#This Row], [Año]]="",Fact_Contabilidad[[#This Row], [Mes]]=""),"",DATE(A988,MATCH(B988,{"enero","febrero","marzo","abril","mayo","junio","julio","agosto","septiembre","octubre","noviembre","diciembre"},0)+1,0))</f>
        <v/>
      </c>
      <c r="E988" t="str">
        <f>+IFERROR(VLOOKUP(Fact_Contabilidad[[#This Row], [Concepto Anterior]],Conceptos_Contabilidad[#All],5,0),"")</f>
        <v/>
      </c>
      <c r="F988" t="str">
        <f>+IFERROR(VLOOKUP(Fact_Contabilidad[[#This Row], 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ht="18.75" customHeight="1" x14ac:dyDescent="0.35">
      <c r="A989" s="103"/>
      <c r="C989" s="100" t="str">
        <f>IF(OR(Fact_Contabilidad[[#This Row], [Año]]="",Fact_Contabilidad[[#This Row], [Mes]]=""),"",DATE(A989,MATCH(B989,{"enero","febrero","marzo","abril","mayo","junio","julio","agosto","septiembre","octubre","noviembre","diciembre"},0)+1,0))</f>
        <v/>
      </c>
      <c r="E989" t="str">
        <f>+IFERROR(VLOOKUP(Fact_Contabilidad[[#This Row], [Concepto Anterior]],Conceptos_Contabilidad[#All],5,0),"")</f>
        <v/>
      </c>
      <c r="F989" t="str">
        <f>+IFERROR(VLOOKUP(Fact_Contabilidad[[#This Row], 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ht="18.75" customHeight="1" x14ac:dyDescent="0.35">
      <c r="A990" s="103"/>
      <c r="C990" s="100" t="str">
        <f>IF(OR(Fact_Contabilidad[[#This Row], [Año]]="",Fact_Contabilidad[[#This Row], [Mes]]=""),"",DATE(A990,MATCH(B990,{"enero","febrero","marzo","abril","mayo","junio","julio","agosto","septiembre","octubre","noviembre","diciembre"},0)+1,0))</f>
        <v/>
      </c>
      <c r="E990" t="str">
        <f>+IFERROR(VLOOKUP(Fact_Contabilidad[[#This Row], [Concepto Anterior]],Conceptos_Contabilidad[#All],5,0),"")</f>
        <v/>
      </c>
      <c r="F990" t="str">
        <f>+IFERROR(VLOOKUP(Fact_Contabilidad[[#This Row], 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ht="18.75" customHeight="1" x14ac:dyDescent="0.35">
      <c r="A991" s="103"/>
      <c r="C991" s="100" t="str">
        <f>IF(OR(Fact_Contabilidad[[#This Row], [Año]]="",Fact_Contabilidad[[#This Row], [Mes]]=""),"",DATE(A991,MATCH(B991,{"enero","febrero","marzo","abril","mayo","junio","julio","agosto","septiembre","octubre","noviembre","diciembre"},0)+1,0))</f>
        <v/>
      </c>
      <c r="E991" t="str">
        <f>+IFERROR(VLOOKUP(Fact_Contabilidad[[#This Row], [Concepto Anterior]],Conceptos_Contabilidad[#All],5,0),"")</f>
        <v/>
      </c>
      <c r="F991" t="str">
        <f>+IFERROR(VLOOKUP(Fact_Contabilidad[[#This Row], 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ht="18.75" customHeight="1" x14ac:dyDescent="0.35">
      <c r="A992" s="103"/>
      <c r="C992" s="100" t="str">
        <f>IF(OR(Fact_Contabilidad[[#This Row], [Año]]="",Fact_Contabilidad[[#This Row], [Mes]]=""),"",DATE(A992,MATCH(B992,{"enero","febrero","marzo","abril","mayo","junio","julio","agosto","septiembre","octubre","noviembre","diciembre"},0)+1,0))</f>
        <v/>
      </c>
      <c r="E992" t="str">
        <f>+IFERROR(VLOOKUP(Fact_Contabilidad[[#This Row], [Concepto Anterior]],Conceptos_Contabilidad[#All],5,0),"")</f>
        <v/>
      </c>
      <c r="F992" t="str">
        <f>+IFERROR(VLOOKUP(Fact_Contabilidad[[#This Row], 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ht="18.75" customHeight="1" x14ac:dyDescent="0.35">
      <c r="A993" s="103"/>
      <c r="C993" s="100" t="str">
        <f>IF(OR(Fact_Contabilidad[[#This Row], [Año]]="",Fact_Contabilidad[[#This Row], [Mes]]=""),"",DATE(A993,MATCH(B993,{"enero","febrero","marzo","abril","mayo","junio","julio","agosto","septiembre","octubre","noviembre","diciembre"},0)+1,0))</f>
        <v/>
      </c>
      <c r="E993" t="str">
        <f>+IFERROR(VLOOKUP(Fact_Contabilidad[[#This Row], [Concepto Anterior]],Conceptos_Contabilidad[#All],5,0),"")</f>
        <v/>
      </c>
      <c r="F993" t="str">
        <f>+IFERROR(VLOOKUP(Fact_Contabilidad[[#This Row], 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ht="18.75" customHeight="1" x14ac:dyDescent="0.35">
      <c r="A994" s="103"/>
      <c r="C994" s="100" t="str">
        <f>IF(OR(Fact_Contabilidad[[#This Row], [Año]]="",Fact_Contabilidad[[#This Row], [Mes]]=""),"",DATE(A994,MATCH(B994,{"enero","febrero","marzo","abril","mayo","junio","julio","agosto","septiembre","octubre","noviembre","diciembre"},0)+1,0))</f>
        <v/>
      </c>
      <c r="E994" t="str">
        <f>+IFERROR(VLOOKUP(Fact_Contabilidad[[#This Row], [Concepto Anterior]],Conceptos_Contabilidad[#All],5,0),"")</f>
        <v/>
      </c>
      <c r="F994" t="str">
        <f>+IFERROR(VLOOKUP(Fact_Contabilidad[[#This Row], 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ht="18.75" customHeight="1" x14ac:dyDescent="0.35">
      <c r="A995" s="103"/>
      <c r="C995" s="100" t="str">
        <f>IF(OR(Fact_Contabilidad[[#This Row], [Año]]="",Fact_Contabilidad[[#This Row], [Mes]]=""),"",DATE(A995,MATCH(B995,{"enero","febrero","marzo","abril","mayo","junio","julio","agosto","septiembre","octubre","noviembre","diciembre"},0)+1,0))</f>
        <v/>
      </c>
      <c r="E995" t="str">
        <f>+IFERROR(VLOOKUP(Fact_Contabilidad[[#This Row], [Concepto Anterior]],Conceptos_Contabilidad[#All],5,0),"")</f>
        <v/>
      </c>
      <c r="F995" t="str">
        <f>+IFERROR(VLOOKUP(Fact_Contabilidad[[#This Row], 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ht="18.75" customHeight="1" x14ac:dyDescent="0.35">
      <c r="A996" s="103"/>
      <c r="C996" s="100" t="str">
        <f>IF(OR(Fact_Contabilidad[[#This Row], [Año]]="",Fact_Contabilidad[[#This Row], [Mes]]=""),"",DATE(A996,MATCH(B996,{"enero","febrero","marzo","abril","mayo","junio","julio","agosto","septiembre","octubre","noviembre","diciembre"},0)+1,0))</f>
        <v/>
      </c>
      <c r="E996" t="str">
        <f>+IFERROR(VLOOKUP(Fact_Contabilidad[[#This Row], [Concepto Anterior]],Conceptos_Contabilidad[#All],5,0),"")</f>
        <v/>
      </c>
      <c r="F996" t="str">
        <f>+IFERROR(VLOOKUP(Fact_Contabilidad[[#This Row], 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ht="18.75" customHeight="1" x14ac:dyDescent="0.35">
      <c r="A997" s="103"/>
      <c r="C997" s="100" t="str">
        <f>IF(OR(Fact_Contabilidad[[#This Row], [Año]]="",Fact_Contabilidad[[#This Row], [Mes]]=""),"",DATE(A997,MATCH(B997,{"enero","febrero","marzo","abril","mayo","junio","julio","agosto","septiembre","octubre","noviembre","diciembre"},0)+1,0))</f>
        <v/>
      </c>
      <c r="E997" t="str">
        <f>+IFERROR(VLOOKUP(Fact_Contabilidad[[#This Row], [Concepto Anterior]],Conceptos_Contabilidad[#All],5,0),"")</f>
        <v/>
      </c>
      <c r="F997" t="str">
        <f>+IFERROR(VLOOKUP(Fact_Contabilidad[[#This Row], 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ht="18.75" customHeight="1" x14ac:dyDescent="0.35">
      <c r="A998" s="103"/>
      <c r="C998" s="100" t="str">
        <f>IF(OR(Fact_Contabilidad[[#This Row], [Año]]="",Fact_Contabilidad[[#This Row], [Mes]]=""),"",DATE(A998,MATCH(B998,{"enero","febrero","marzo","abril","mayo","junio","julio","agosto","septiembre","octubre","noviembre","diciembre"},0)+1,0))</f>
        <v/>
      </c>
      <c r="E998" t="str">
        <f>+IFERROR(VLOOKUP(Fact_Contabilidad[[#This Row], [Concepto Anterior]],Conceptos_Contabilidad[#All],5,0),"")</f>
        <v/>
      </c>
      <c r="F998" t="str">
        <f>+IFERROR(VLOOKUP(Fact_Contabilidad[[#This Row], 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ht="18.75" customHeight="1" x14ac:dyDescent="0.35">
      <c r="A999" s="103"/>
      <c r="C999" s="100" t="str">
        <f>IF(OR(Fact_Contabilidad[[#This Row], [Año]]="",Fact_Contabilidad[[#This Row], [Mes]]=""),"",DATE(A999,MATCH(B999,{"enero","febrero","marzo","abril","mayo","junio","julio","agosto","septiembre","octubre","noviembre","diciembre"},0)+1,0))</f>
        <v/>
      </c>
      <c r="E999" t="str">
        <f>+IFERROR(VLOOKUP(Fact_Contabilidad[[#This Row], [Concepto Anterior]],Conceptos_Contabilidad[#All],5,0),"")</f>
        <v/>
      </c>
      <c r="F999" t="str">
        <f>+IFERROR(VLOOKUP(Fact_Contabilidad[[#This Row], 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ht="18.75" customHeight="1" x14ac:dyDescent="0.35">
      <c r="A1000" s="103"/>
      <c r="C1000" s="100" t="str">
        <f>IF(OR(Fact_Contabilidad[[#This Row], [Año]]="",Fact_Contabilidad[[#This Row], [Mes]]=""),"",DATE(A1000,MATCH(B1000,{"enero","febrero","marzo","abril","mayo","junio","julio","agosto","septiembre","octubre","noviembre","diciembre"},0)+1,0))</f>
        <v/>
      </c>
      <c r="E1000" t="str">
        <f>+IFERROR(VLOOKUP(Fact_Contabilidad[[#This Row], [Concepto Anterior]],Conceptos_Contabilidad[#All],5,0),"")</f>
        <v/>
      </c>
      <c r="F1000" t="str">
        <f>+IFERROR(VLOOKUP(Fact_Contabilidad[[#This Row], 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ht="18.75" customHeight="1" x14ac:dyDescent="0.35">
      <c r="A1001" s="103"/>
      <c r="C1001" s="100" t="str">
        <f>IF(OR(Fact_Contabilidad[[#This Row], [Año]]="",Fact_Contabilidad[[#This Row], [Mes]]=""),"",DATE(A1001,MATCH(B1001,{"enero","febrero","marzo","abril","mayo","junio","julio","agosto","septiembre","octubre","noviembre","diciembre"},0)+1,0))</f>
        <v/>
      </c>
      <c r="E1001" t="str">
        <f>+IFERROR(VLOOKUP(Fact_Contabilidad[[#This Row], [Concepto Anterior]],Conceptos_Contabilidad[#All],5,0),"")</f>
        <v/>
      </c>
      <c r="F1001" t="str">
        <f>+IFERROR(VLOOKUP(Fact_Contabilidad[[#This Row], 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ht="18.75" customHeight="1" x14ac:dyDescent="0.35">
      <c r="A1002" s="103"/>
      <c r="C1002" s="100" t="str">
        <f>IF(OR(Fact_Contabilidad[[#This Row], [Año]]="",Fact_Contabilidad[[#This Row], [Mes]]=""),"",DATE(A1002,MATCH(B1002,{"enero","febrero","marzo","abril","mayo","junio","julio","agosto","septiembre","octubre","noviembre","diciembre"},0)+1,0))</f>
        <v/>
      </c>
      <c r="E1002" t="str">
        <f>+IFERROR(VLOOKUP(Fact_Contabilidad[[#This Row], [Concepto Anterior]],Conceptos_Contabilidad[#All],5,0),"")</f>
        <v/>
      </c>
      <c r="F1002" t="str">
        <f>+IFERROR(VLOOKUP(Fact_Contabilidad[[#This Row], 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ht="18.75" customHeight="1" x14ac:dyDescent="0.35">
      <c r="A1003" s="103"/>
      <c r="C1003" s="100" t="str">
        <f>IF(OR(Fact_Contabilidad[[#This Row], [Año]]="",Fact_Contabilidad[[#This Row], [Mes]]=""),"",DATE(A1003,MATCH(B1003,{"enero","febrero","marzo","abril","mayo","junio","julio","agosto","septiembre","octubre","noviembre","diciembre"},0)+1,0))</f>
        <v/>
      </c>
      <c r="E1003" t="str">
        <f>+IFERROR(VLOOKUP(Fact_Contabilidad[[#This Row], [Concepto Anterior]],Conceptos_Contabilidad[#All],5,0),"")</f>
        <v/>
      </c>
      <c r="F1003" t="str">
        <f>+IFERROR(VLOOKUP(Fact_Contabilidad[[#This Row], 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ht="18.75" customHeight="1" x14ac:dyDescent="0.35">
      <c r="A1004" s="103"/>
      <c r="C1004" s="100" t="str">
        <f>IF(OR(Fact_Contabilidad[[#This Row], [Año]]="",Fact_Contabilidad[[#This Row], [Mes]]=""),"",DATE(A1004,MATCH(B1004,{"enero","febrero","marzo","abril","mayo","junio","julio","agosto","septiembre","octubre","noviembre","diciembre"},0)+1,0))</f>
        <v/>
      </c>
      <c r="E1004" t="str">
        <f>+IFERROR(VLOOKUP(Fact_Contabilidad[[#This Row], [Concepto Anterior]],Conceptos_Contabilidad[#All],5,0),"")</f>
        <v/>
      </c>
      <c r="F1004" t="str">
        <f>+IFERROR(VLOOKUP(Fact_Contabilidad[[#This Row], 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ht="18.75" customHeight="1" x14ac:dyDescent="0.35">
      <c r="A1005" s="103"/>
      <c r="C1005" s="100" t="str">
        <f>IF(OR(Fact_Contabilidad[[#This Row], [Año]]="",Fact_Contabilidad[[#This Row], [Mes]]=""),"",DATE(A1005,MATCH(B1005,{"enero","febrero","marzo","abril","mayo","junio","julio","agosto","septiembre","octubre","noviembre","diciembre"},0)+1,0))</f>
        <v/>
      </c>
      <c r="E1005" t="str">
        <f>+IFERROR(VLOOKUP(Fact_Contabilidad[[#This Row], [Concepto Anterior]],Conceptos_Contabilidad[#All],5,0),"")</f>
        <v/>
      </c>
      <c r="F1005" t="str">
        <f>+IFERROR(VLOOKUP(Fact_Contabilidad[[#This Row], 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ht="18.75" customHeight="1" x14ac:dyDescent="0.35">
      <c r="A1006" s="103"/>
      <c r="C1006" s="100" t="str">
        <f>IF(OR(Fact_Contabilidad[[#This Row], [Año]]="",Fact_Contabilidad[[#This Row], [Mes]]=""),"",DATE(A1006,MATCH(B1006,{"enero","febrero","marzo","abril","mayo","junio","julio","agosto","septiembre","octubre","noviembre","diciembre"},0)+1,0))</f>
        <v/>
      </c>
      <c r="E1006" t="str">
        <f>+IFERROR(VLOOKUP(Fact_Contabilidad[[#This Row], [Concepto Anterior]],Conceptos_Contabilidad[#All],5,0),"")</f>
        <v/>
      </c>
      <c r="F1006" t="str">
        <f>+IFERROR(VLOOKUP(Fact_Contabilidad[[#This Row], 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ht="18.75" customHeight="1" x14ac:dyDescent="0.35">
      <c r="A1007" s="103"/>
      <c r="C1007" s="100" t="str">
        <f>IF(OR(Fact_Contabilidad[[#This Row], [Año]]="",Fact_Contabilidad[[#This Row], [Mes]]=""),"",DATE(A1007,MATCH(B1007,{"enero","febrero","marzo","abril","mayo","junio","julio","agosto","septiembre","octubre","noviembre","diciembre"},0)+1,0))</f>
        <v/>
      </c>
      <c r="E1007" t="str">
        <f>+IFERROR(VLOOKUP(Fact_Contabilidad[[#This Row], [Concepto Anterior]],Conceptos_Contabilidad[#All],5,0),"")</f>
        <v/>
      </c>
      <c r="F1007" t="str">
        <f>+IFERROR(VLOOKUP(Fact_Contabilidad[[#This Row], 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ht="18.75" customHeight="1" x14ac:dyDescent="0.35">
      <c r="A1008" s="103"/>
      <c r="C1008" s="100" t="str">
        <f>IF(OR(Fact_Contabilidad[[#This Row], [Año]]="",Fact_Contabilidad[[#This Row], [Mes]]=""),"",DATE(A1008,MATCH(B1008,{"enero","febrero","marzo","abril","mayo","junio","julio","agosto","septiembre","octubre","noviembre","diciembre"},0)+1,0))</f>
        <v/>
      </c>
      <c r="E1008" t="str">
        <f>+IFERROR(VLOOKUP(Fact_Contabilidad[[#This Row], [Concepto Anterior]],Conceptos_Contabilidad[#All],5,0),"")</f>
        <v/>
      </c>
      <c r="F1008" t="str">
        <f>+IFERROR(VLOOKUP(Fact_Contabilidad[[#This Row], 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ht="18.75" customHeight="1" x14ac:dyDescent="0.35">
      <c r="A1009" s="103"/>
      <c r="C1009" s="100" t="str">
        <f>IF(OR(Fact_Contabilidad[[#This Row], [Año]]="",Fact_Contabilidad[[#This Row], [Mes]]=""),"",DATE(A1009,MATCH(B1009,{"enero","febrero","marzo","abril","mayo","junio","julio","agosto","septiembre","octubre","noviembre","diciembre"},0)+1,0))</f>
        <v/>
      </c>
      <c r="E1009" t="str">
        <f>+IFERROR(VLOOKUP(Fact_Contabilidad[[#This Row], [Concepto Anterior]],Conceptos_Contabilidad[#All],5,0),"")</f>
        <v/>
      </c>
      <c r="F1009" t="str">
        <f>+IFERROR(VLOOKUP(Fact_Contabilidad[[#This Row], 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ht="18.75" customHeight="1" x14ac:dyDescent="0.35">
      <c r="A1010" s="103"/>
      <c r="C1010" s="100" t="str">
        <f>IF(OR(Fact_Contabilidad[[#This Row], [Año]]="",Fact_Contabilidad[[#This Row], [Mes]]=""),"",DATE(A1010,MATCH(B1010,{"enero","febrero","marzo","abril","mayo","junio","julio","agosto","septiembre","octubre","noviembre","diciembre"},0)+1,0))</f>
        <v/>
      </c>
      <c r="E1010" t="str">
        <f>+IFERROR(VLOOKUP(Fact_Contabilidad[[#This Row], [Concepto Anterior]],Conceptos_Contabilidad[#All],5,0),"")</f>
        <v/>
      </c>
      <c r="F1010" t="str">
        <f>+IFERROR(VLOOKUP(Fact_Contabilidad[[#This Row], 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ht="18.75" customHeight="1" x14ac:dyDescent="0.35">
      <c r="A1011" s="103"/>
      <c r="C1011" s="100" t="str">
        <f>IF(OR(Fact_Contabilidad[[#This Row], [Año]]="",Fact_Contabilidad[[#This Row], [Mes]]=""),"",DATE(A1011,MATCH(B1011,{"enero","febrero","marzo","abril","mayo","junio","julio","agosto","septiembre","octubre","noviembre","diciembre"},0)+1,0))</f>
        <v/>
      </c>
      <c r="E1011" t="str">
        <f>+IFERROR(VLOOKUP(Fact_Contabilidad[[#This Row], [Concepto Anterior]],Conceptos_Contabilidad[#All],5,0),"")</f>
        <v/>
      </c>
      <c r="F1011" t="str">
        <f>+IFERROR(VLOOKUP(Fact_Contabilidad[[#This Row], 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ht="18.75" customHeight="1" x14ac:dyDescent="0.35">
      <c r="A1012" s="103"/>
      <c r="C1012" s="100" t="str">
        <f>IF(OR(Fact_Contabilidad[[#This Row], [Año]]="",Fact_Contabilidad[[#This Row], [Mes]]=""),"",DATE(A1012,MATCH(B1012,{"enero","febrero","marzo","abril","mayo","junio","julio","agosto","septiembre","octubre","noviembre","diciembre"},0)+1,0))</f>
        <v/>
      </c>
      <c r="E1012" t="str">
        <f>+IFERROR(VLOOKUP(Fact_Contabilidad[[#This Row], [Concepto Anterior]],Conceptos_Contabilidad[#All],5,0),"")</f>
        <v/>
      </c>
      <c r="F1012" t="str">
        <f>+IFERROR(VLOOKUP(Fact_Contabilidad[[#This Row], 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ht="18.75" customHeight="1" x14ac:dyDescent="0.35">
      <c r="A1013" s="103"/>
      <c r="C1013" s="100" t="str">
        <f>IF(OR(Fact_Contabilidad[[#This Row], [Año]]="",Fact_Contabilidad[[#This Row], [Mes]]=""),"",DATE(A1013,MATCH(B1013,{"enero","febrero","marzo","abril","mayo","junio","julio","agosto","septiembre","octubre","noviembre","diciembre"},0)+1,0))</f>
        <v/>
      </c>
      <c r="E1013" t="str">
        <f>+IFERROR(VLOOKUP(Fact_Contabilidad[[#This Row], [Concepto Anterior]],Conceptos_Contabilidad[#All],5,0),"")</f>
        <v/>
      </c>
      <c r="F1013" t="str">
        <f>+IFERROR(VLOOKUP(Fact_Contabilidad[[#This Row], 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ht="18.75" customHeight="1" x14ac:dyDescent="0.35">
      <c r="A1014" s="103"/>
      <c r="C1014" s="100" t="str">
        <f>IF(OR(Fact_Contabilidad[[#This Row], [Año]]="",Fact_Contabilidad[[#This Row], [Mes]]=""),"",DATE(A1014,MATCH(B1014,{"enero","febrero","marzo","abril","mayo","junio","julio","agosto","septiembre","octubre","noviembre","diciembre"},0)+1,0))</f>
        <v/>
      </c>
      <c r="E1014" t="str">
        <f>+IFERROR(VLOOKUP(Fact_Contabilidad[[#This Row], [Concepto Anterior]],Conceptos_Contabilidad[#All],5,0),"")</f>
        <v/>
      </c>
      <c r="F1014" t="str">
        <f>+IFERROR(VLOOKUP(Fact_Contabilidad[[#This Row], 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ht="18.75" customHeight="1" x14ac:dyDescent="0.35">
      <c r="A1015" s="103"/>
      <c r="C1015" s="100" t="str">
        <f>IF(OR(Fact_Contabilidad[[#This Row], [Año]]="",Fact_Contabilidad[[#This Row], [Mes]]=""),"",DATE(A1015,MATCH(B1015,{"enero","febrero","marzo","abril","mayo","junio","julio","agosto","septiembre","octubre","noviembre","diciembre"},0)+1,0))</f>
        <v/>
      </c>
      <c r="E1015" t="str">
        <f>+IFERROR(VLOOKUP(Fact_Contabilidad[[#This Row], [Concepto Anterior]],Conceptos_Contabilidad[#All],5,0),"")</f>
        <v/>
      </c>
      <c r="F1015" t="str">
        <f>+IFERROR(VLOOKUP(Fact_Contabilidad[[#This Row], 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ht="18.75" customHeight="1" x14ac:dyDescent="0.35">
      <c r="A1016" s="103"/>
      <c r="C1016" s="100" t="str">
        <f>IF(OR(Fact_Contabilidad[[#This Row], [Año]]="",Fact_Contabilidad[[#This Row], [Mes]]=""),"",DATE(A1016,MATCH(B1016,{"enero","febrero","marzo","abril","mayo","junio","julio","agosto","septiembre","octubre","noviembre","diciembre"},0)+1,0))</f>
        <v/>
      </c>
      <c r="E1016" t="str">
        <f>+IFERROR(VLOOKUP(Fact_Contabilidad[[#This Row], [Concepto Anterior]],Conceptos_Contabilidad[#All],5,0),"")</f>
        <v/>
      </c>
      <c r="F1016" t="str">
        <f>+IFERROR(VLOOKUP(Fact_Contabilidad[[#This Row], 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ht="18.75" customHeight="1" x14ac:dyDescent="0.35">
      <c r="A1017" s="103"/>
      <c r="C1017" s="100" t="str">
        <f>IF(OR(Fact_Contabilidad[[#This Row], [Año]]="",Fact_Contabilidad[[#This Row], [Mes]]=""),"",DATE(A1017,MATCH(B1017,{"enero","febrero","marzo","abril","mayo","junio","julio","agosto","septiembre","octubre","noviembre","diciembre"},0)+1,0))</f>
        <v/>
      </c>
      <c r="E1017" t="str">
        <f>+IFERROR(VLOOKUP(Fact_Contabilidad[[#This Row], [Concepto Anterior]],Conceptos_Contabilidad[#All],5,0),"")</f>
        <v/>
      </c>
      <c r="F1017" t="str">
        <f>+IFERROR(VLOOKUP(Fact_Contabilidad[[#This Row], 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ht="18.75" customHeight="1" x14ac:dyDescent="0.35">
      <c r="A1018" s="103"/>
      <c r="C1018" s="100" t="str">
        <f>IF(OR(Fact_Contabilidad[[#This Row], [Año]]="",Fact_Contabilidad[[#This Row], [Mes]]=""),"",DATE(A1018,MATCH(B1018,{"enero","febrero","marzo","abril","mayo","junio","julio","agosto","septiembre","octubre","noviembre","diciembre"},0)+1,0))</f>
        <v/>
      </c>
      <c r="E1018" t="str">
        <f>+IFERROR(VLOOKUP(Fact_Contabilidad[[#This Row], [Concepto Anterior]],Conceptos_Contabilidad[#All],5,0),"")</f>
        <v/>
      </c>
      <c r="F1018" t="str">
        <f>+IFERROR(VLOOKUP(Fact_Contabilidad[[#This Row], 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ht="18.75" customHeight="1" x14ac:dyDescent="0.35">
      <c r="A1019" s="103"/>
      <c r="C1019" s="100" t="str">
        <f>IF(OR(Fact_Contabilidad[[#This Row], [Año]]="",Fact_Contabilidad[[#This Row], [Mes]]=""),"",DATE(A1019,MATCH(B1019,{"enero","febrero","marzo","abril","mayo","junio","julio","agosto","septiembre","octubre","noviembre","diciembre"},0)+1,0))</f>
        <v/>
      </c>
      <c r="E1019" t="str">
        <f>+IFERROR(VLOOKUP(Fact_Contabilidad[[#This Row], [Concepto Anterior]],Conceptos_Contabilidad[#All],5,0),"")</f>
        <v/>
      </c>
      <c r="F1019" t="str">
        <f>+IFERROR(VLOOKUP(Fact_Contabilidad[[#This Row], 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ht="18.75" customHeight="1" x14ac:dyDescent="0.35">
      <c r="A1020" s="103"/>
      <c r="C1020" s="100" t="str">
        <f>IF(OR(Fact_Contabilidad[[#This Row], [Año]]="",Fact_Contabilidad[[#This Row], [Mes]]=""),"",DATE(A1020,MATCH(B1020,{"enero","febrero","marzo","abril","mayo","junio","julio","agosto","septiembre","octubre","noviembre","diciembre"},0)+1,0))</f>
        <v/>
      </c>
      <c r="E1020" t="str">
        <f>+IFERROR(VLOOKUP(Fact_Contabilidad[[#This Row], [Concepto Anterior]],Conceptos_Contabilidad[#All],5,0),"")</f>
        <v/>
      </c>
      <c r="F1020" t="str">
        <f>+IFERROR(VLOOKUP(Fact_Contabilidad[[#This Row], 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ht="18.75" customHeight="1" x14ac:dyDescent="0.35">
      <c r="A1021" s="103"/>
      <c r="C1021" s="100" t="str">
        <f>IF(OR(Fact_Contabilidad[[#This Row], [Año]]="",Fact_Contabilidad[[#This Row], [Mes]]=""),"",DATE(A1021,MATCH(B1021,{"enero","febrero","marzo","abril","mayo","junio","julio","agosto","septiembre","octubre","noviembre","diciembre"},0)+1,0))</f>
        <v/>
      </c>
      <c r="E1021" t="str">
        <f>+IFERROR(VLOOKUP(Fact_Contabilidad[[#This Row], [Concepto Anterior]],Conceptos_Contabilidad[#All],5,0),"")</f>
        <v/>
      </c>
      <c r="F1021" t="str">
        <f>+IFERROR(VLOOKUP(Fact_Contabilidad[[#This Row], 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ht="18.75" customHeight="1" x14ac:dyDescent="0.35">
      <c r="A1022" s="103"/>
      <c r="C1022" s="100" t="str">
        <f>IF(OR(Fact_Contabilidad[[#This Row], [Año]]="",Fact_Contabilidad[[#This Row], [Mes]]=""),"",DATE(A1022,MATCH(B1022,{"enero","febrero","marzo","abril","mayo","junio","julio","agosto","septiembre","octubre","noviembre","diciembre"},0)+1,0))</f>
        <v/>
      </c>
      <c r="E1022" t="str">
        <f>+IFERROR(VLOOKUP(Fact_Contabilidad[[#This Row], [Concepto Anterior]],Conceptos_Contabilidad[#All],5,0),"")</f>
        <v/>
      </c>
      <c r="F1022" t="str">
        <f>+IFERROR(VLOOKUP(Fact_Contabilidad[[#This Row], 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ht="18.75" customHeight="1" x14ac:dyDescent="0.35">
      <c r="A1023" s="103"/>
      <c r="C1023" s="100" t="str">
        <f>IF(OR(Fact_Contabilidad[[#This Row], [Año]]="",Fact_Contabilidad[[#This Row], [Mes]]=""),"",DATE(A1023,MATCH(B1023,{"enero","febrero","marzo","abril","mayo","junio","julio","agosto","septiembre","octubre","noviembre","diciembre"},0)+1,0))</f>
        <v/>
      </c>
      <c r="E1023" t="str">
        <f>+IFERROR(VLOOKUP(Fact_Contabilidad[[#This Row], [Concepto Anterior]],Conceptos_Contabilidad[#All],5,0),"")</f>
        <v/>
      </c>
      <c r="F1023" t="str">
        <f>+IFERROR(VLOOKUP(Fact_Contabilidad[[#This Row], 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ht="18.75" customHeight="1" x14ac:dyDescent="0.35">
      <c r="A1024" s="103"/>
      <c r="C1024" s="100" t="str">
        <f>IF(OR(Fact_Contabilidad[[#This Row], [Año]]="",Fact_Contabilidad[[#This Row], [Mes]]=""),"",DATE(A1024,MATCH(B1024,{"enero","febrero","marzo","abril","mayo","junio","julio","agosto","septiembre","octubre","noviembre","diciembre"},0)+1,0))</f>
        <v/>
      </c>
      <c r="E1024" t="str">
        <f>+IFERROR(VLOOKUP(Fact_Contabilidad[[#This Row], [Concepto Anterior]],Conceptos_Contabilidad[#All],5,0),"")</f>
        <v/>
      </c>
      <c r="F1024" t="str">
        <f>+IFERROR(VLOOKUP(Fact_Contabilidad[[#This Row], 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ht="18.75" customHeight="1" x14ac:dyDescent="0.35">
      <c r="A1025" s="103"/>
      <c r="C1025" s="100" t="str">
        <f>IF(OR(Fact_Contabilidad[[#This Row], [Año]]="",Fact_Contabilidad[[#This Row], [Mes]]=""),"",DATE(A1025,MATCH(B1025,{"enero","febrero","marzo","abril","mayo","junio","julio","agosto","septiembre","octubre","noviembre","diciembre"},0)+1,0))</f>
        <v/>
      </c>
      <c r="E1025" t="str">
        <f>+IFERROR(VLOOKUP(Fact_Contabilidad[[#This Row], [Concepto Anterior]],Conceptos_Contabilidad[#All],5,0),"")</f>
        <v/>
      </c>
      <c r="F1025" t="str">
        <f>+IFERROR(VLOOKUP(Fact_Contabilidad[[#This Row], 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ht="18.75" customHeight="1" x14ac:dyDescent="0.35">
      <c r="A1026" s="103"/>
      <c r="C1026" s="100" t="str">
        <f>IF(OR(Fact_Contabilidad[[#This Row], [Año]]="",Fact_Contabilidad[[#This Row], [Mes]]=""),"",DATE(A1026,MATCH(B1026,{"enero","febrero","marzo","abril","mayo","junio","julio","agosto","septiembre","octubre","noviembre","diciembre"},0)+1,0))</f>
        <v/>
      </c>
      <c r="E1026" t="str">
        <f>+IFERROR(VLOOKUP(Fact_Contabilidad[[#This Row], [Concepto Anterior]],Conceptos_Contabilidad[#All],5,0),"")</f>
        <v/>
      </c>
      <c r="F1026" t="str">
        <f>+IFERROR(VLOOKUP(Fact_Contabilidad[[#This Row], 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ht="18.75" customHeight="1" x14ac:dyDescent="0.35">
      <c r="A1027" s="103"/>
      <c r="C1027" s="100" t="str">
        <f>IF(OR(Fact_Contabilidad[[#This Row], [Año]]="",Fact_Contabilidad[[#This Row], [Mes]]=""),"",DATE(A1027,MATCH(B1027,{"enero","febrero","marzo","abril","mayo","junio","julio","agosto","septiembre","octubre","noviembre","diciembre"},0)+1,0))</f>
        <v/>
      </c>
      <c r="E1027" t="str">
        <f>+IFERROR(VLOOKUP(Fact_Contabilidad[[#This Row], [Concepto Anterior]],Conceptos_Contabilidad[#All],5,0),"")</f>
        <v/>
      </c>
      <c r="F1027" t="str">
        <f>+IFERROR(VLOOKUP(Fact_Contabilidad[[#This Row], 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ht="18.75" customHeight="1" x14ac:dyDescent="0.35">
      <c r="A1028" s="103"/>
      <c r="C1028" s="100" t="str">
        <f>IF(OR(Fact_Contabilidad[[#This Row], [Año]]="",Fact_Contabilidad[[#This Row], [Mes]]=""),"",DATE(A1028,MATCH(B1028,{"enero","febrero","marzo","abril","mayo","junio","julio","agosto","septiembre","octubre","noviembre","diciembre"},0)+1,0))</f>
        <v/>
      </c>
      <c r="E1028" t="str">
        <f>+IFERROR(VLOOKUP(Fact_Contabilidad[[#This Row], [Concepto Anterior]],Conceptos_Contabilidad[#All],5,0),"")</f>
        <v/>
      </c>
      <c r="F1028" t="str">
        <f>+IFERROR(VLOOKUP(Fact_Contabilidad[[#This Row], 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ht="18.75" customHeight="1" x14ac:dyDescent="0.35">
      <c r="A1029" s="103"/>
      <c r="C1029" s="100" t="str">
        <f>IF(OR(Fact_Contabilidad[[#This Row], [Año]]="",Fact_Contabilidad[[#This Row], [Mes]]=""),"",DATE(A1029,MATCH(B1029,{"enero","febrero","marzo","abril","mayo","junio","julio","agosto","septiembre","octubre","noviembre","diciembre"},0)+1,0))</f>
        <v/>
      </c>
      <c r="E1029" t="str">
        <f>+IFERROR(VLOOKUP(Fact_Contabilidad[[#This Row], [Concepto Anterior]],Conceptos_Contabilidad[#All],5,0),"")</f>
        <v/>
      </c>
      <c r="F1029" t="str">
        <f>+IFERROR(VLOOKUP(Fact_Contabilidad[[#This Row], 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ht="18.75" customHeight="1" x14ac:dyDescent="0.35">
      <c r="A1030" s="103"/>
      <c r="C1030" s="100" t="str">
        <f>IF(OR(Fact_Contabilidad[[#This Row], [Año]]="",Fact_Contabilidad[[#This Row], [Mes]]=""),"",DATE(A1030,MATCH(B1030,{"enero","febrero","marzo","abril","mayo","junio","julio","agosto","septiembre","octubre","noviembre","diciembre"},0)+1,0))</f>
        <v/>
      </c>
      <c r="E1030" t="str">
        <f>+IFERROR(VLOOKUP(Fact_Contabilidad[[#This Row], [Concepto Anterior]],Conceptos_Contabilidad[#All],5,0),"")</f>
        <v/>
      </c>
      <c r="F1030" t="str">
        <f>+IFERROR(VLOOKUP(Fact_Contabilidad[[#This Row], 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ht="18.75" customHeight="1" x14ac:dyDescent="0.35">
      <c r="A1031" s="103"/>
      <c r="C1031" s="100" t="str">
        <f>IF(OR(Fact_Contabilidad[[#This Row], [Año]]="",Fact_Contabilidad[[#This Row], [Mes]]=""),"",DATE(A1031,MATCH(B1031,{"enero","febrero","marzo","abril","mayo","junio","julio","agosto","septiembre","octubre","noviembre","diciembre"},0)+1,0))</f>
        <v/>
      </c>
      <c r="E1031" t="str">
        <f>+IFERROR(VLOOKUP(Fact_Contabilidad[[#This Row], [Concepto Anterior]],Conceptos_Contabilidad[#All],5,0),"")</f>
        <v/>
      </c>
      <c r="F1031" t="str">
        <f>+IFERROR(VLOOKUP(Fact_Contabilidad[[#This Row], 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ht="18.75" customHeight="1" x14ac:dyDescent="0.35">
      <c r="A1032" s="103"/>
      <c r="C1032" s="100" t="str">
        <f>IF(OR(Fact_Contabilidad[[#This Row], [Año]]="",Fact_Contabilidad[[#This Row], [Mes]]=""),"",DATE(A1032,MATCH(B1032,{"enero","febrero","marzo","abril","mayo","junio","julio","agosto","septiembre","octubre","noviembre","diciembre"},0)+1,0))</f>
        <v/>
      </c>
      <c r="E1032" t="str">
        <f>+IFERROR(VLOOKUP(Fact_Contabilidad[[#This Row], [Concepto Anterior]],Conceptos_Contabilidad[#All],5,0),"")</f>
        <v/>
      </c>
      <c r="F1032" t="str">
        <f>+IFERROR(VLOOKUP(Fact_Contabilidad[[#This Row], 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ht="18.75" customHeight="1" x14ac:dyDescent="0.35">
      <c r="A1033" s="103"/>
      <c r="C1033" s="100" t="str">
        <f>IF(OR(Fact_Contabilidad[[#This Row], [Año]]="",Fact_Contabilidad[[#This Row], [Mes]]=""),"",DATE(A1033,MATCH(B1033,{"enero","febrero","marzo","abril","mayo","junio","julio","agosto","septiembre","octubre","noviembre","diciembre"},0)+1,0))</f>
        <v/>
      </c>
      <c r="E1033" t="str">
        <f>+IFERROR(VLOOKUP(Fact_Contabilidad[[#This Row], [Concepto Anterior]],Conceptos_Contabilidad[#All],5,0),"")</f>
        <v/>
      </c>
      <c r="F1033" t="str">
        <f>+IFERROR(VLOOKUP(Fact_Contabilidad[[#This Row], 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ht="18.75" customHeight="1" x14ac:dyDescent="0.35">
      <c r="A1034" s="103"/>
      <c r="C1034" s="100" t="str">
        <f>IF(OR(Fact_Contabilidad[[#This Row], [Año]]="",Fact_Contabilidad[[#This Row], [Mes]]=""),"",DATE(A1034,MATCH(B1034,{"enero","febrero","marzo","abril","mayo","junio","julio","agosto","septiembre","octubre","noviembre","diciembre"},0)+1,0))</f>
        <v/>
      </c>
      <c r="E1034" t="str">
        <f>+IFERROR(VLOOKUP(Fact_Contabilidad[[#This Row], [Concepto Anterior]],Conceptos_Contabilidad[#All],5,0),"")</f>
        <v/>
      </c>
      <c r="F1034" t="str">
        <f>+IFERROR(VLOOKUP(Fact_Contabilidad[[#This Row], 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ht="18.75" customHeight="1" x14ac:dyDescent="0.35">
      <c r="A1035" s="103"/>
      <c r="C1035" s="100" t="str">
        <f>IF(OR(Fact_Contabilidad[[#This Row], [Año]]="",Fact_Contabilidad[[#This Row], [Mes]]=""),"",DATE(A1035,MATCH(B1035,{"enero","febrero","marzo","abril","mayo","junio","julio","agosto","septiembre","octubre","noviembre","diciembre"},0)+1,0))</f>
        <v/>
      </c>
      <c r="E1035" t="str">
        <f>+IFERROR(VLOOKUP(Fact_Contabilidad[[#This Row], [Concepto Anterior]],Conceptos_Contabilidad[#All],5,0),"")</f>
        <v/>
      </c>
      <c r="F1035" t="str">
        <f>+IFERROR(VLOOKUP(Fact_Contabilidad[[#This Row], 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ht="18.75" customHeight="1" x14ac:dyDescent="0.35">
      <c r="A1036" s="103"/>
      <c r="C1036" s="100" t="str">
        <f>IF(OR(Fact_Contabilidad[[#This Row], [Año]]="",Fact_Contabilidad[[#This Row], [Mes]]=""),"",DATE(A1036,MATCH(B1036,{"enero","febrero","marzo","abril","mayo","junio","julio","agosto","septiembre","octubre","noviembre","diciembre"},0)+1,0))</f>
        <v/>
      </c>
      <c r="E1036" t="str">
        <f>+IFERROR(VLOOKUP(Fact_Contabilidad[[#This Row], [Concepto Anterior]],Conceptos_Contabilidad[#All],5,0),"")</f>
        <v/>
      </c>
      <c r="F1036" t="str">
        <f>+IFERROR(VLOOKUP(Fact_Contabilidad[[#This Row], 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ht="18.75" customHeight="1" x14ac:dyDescent="0.35">
      <c r="A1037" s="103"/>
      <c r="C1037" s="100" t="str">
        <f>IF(OR(Fact_Contabilidad[[#This Row], [Año]]="",Fact_Contabilidad[[#This Row], [Mes]]=""),"",DATE(A1037,MATCH(B1037,{"enero","febrero","marzo","abril","mayo","junio","julio","agosto","septiembre","octubre","noviembre","diciembre"},0)+1,0))</f>
        <v/>
      </c>
      <c r="E1037" t="str">
        <f>+IFERROR(VLOOKUP(Fact_Contabilidad[[#This Row], [Concepto Anterior]],Conceptos_Contabilidad[#All],5,0),"")</f>
        <v/>
      </c>
      <c r="F1037" t="str">
        <f>+IFERROR(VLOOKUP(Fact_Contabilidad[[#This Row], 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ht="18.75" customHeight="1" x14ac:dyDescent="0.35">
      <c r="A1038" s="103"/>
      <c r="C1038" s="100" t="str">
        <f>IF(OR(Fact_Contabilidad[[#This Row], [Año]]="",Fact_Contabilidad[[#This Row], [Mes]]=""),"",DATE(A1038,MATCH(B1038,{"enero","febrero","marzo","abril","mayo","junio","julio","agosto","septiembre","octubre","noviembre","diciembre"},0)+1,0))</f>
        <v/>
      </c>
      <c r="E1038" t="str">
        <f>+IFERROR(VLOOKUP(Fact_Contabilidad[[#This Row], [Concepto Anterior]],Conceptos_Contabilidad[#All],5,0),"")</f>
        <v/>
      </c>
      <c r="F1038" t="str">
        <f>+IFERROR(VLOOKUP(Fact_Contabilidad[[#This Row], 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ht="18.75" customHeight="1" x14ac:dyDescent="0.35">
      <c r="A1039" s="103"/>
      <c r="C1039" s="100" t="str">
        <f>IF(OR(Fact_Contabilidad[[#This Row], [Año]]="",Fact_Contabilidad[[#This Row], [Mes]]=""),"",DATE(A1039,MATCH(B1039,{"enero","febrero","marzo","abril","mayo","junio","julio","agosto","septiembre","octubre","noviembre","diciembre"},0)+1,0))</f>
        <v/>
      </c>
      <c r="E1039" t="str">
        <f>+IFERROR(VLOOKUP(Fact_Contabilidad[[#This Row], [Concepto Anterior]],Conceptos_Contabilidad[#All],5,0),"")</f>
        <v/>
      </c>
      <c r="F1039" t="str">
        <f>+IFERROR(VLOOKUP(Fact_Contabilidad[[#This Row], 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ht="18.75" customHeight="1" x14ac:dyDescent="0.35">
      <c r="A1040" s="103"/>
      <c r="C1040" s="100" t="str">
        <f>IF(OR(Fact_Contabilidad[[#This Row], [Año]]="",Fact_Contabilidad[[#This Row], [Mes]]=""),"",DATE(A1040,MATCH(B1040,{"enero","febrero","marzo","abril","mayo","junio","julio","agosto","septiembre","octubre","noviembre","diciembre"},0)+1,0))</f>
        <v/>
      </c>
      <c r="E1040" t="str">
        <f>+IFERROR(VLOOKUP(Fact_Contabilidad[[#This Row], [Concepto Anterior]],Conceptos_Contabilidad[#All],5,0),"")</f>
        <v/>
      </c>
      <c r="F1040" t="str">
        <f>+IFERROR(VLOOKUP(Fact_Contabilidad[[#This Row], 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ht="18.75" customHeight="1" x14ac:dyDescent="0.35">
      <c r="A1041" s="103"/>
      <c r="C1041" s="100" t="str">
        <f>IF(OR(Fact_Contabilidad[[#This Row], [Año]]="",Fact_Contabilidad[[#This Row], [Mes]]=""),"",DATE(A1041,MATCH(B1041,{"enero","febrero","marzo","abril","mayo","junio","julio","agosto","septiembre","octubre","noviembre","diciembre"},0)+1,0))</f>
        <v/>
      </c>
      <c r="E1041" t="str">
        <f>+IFERROR(VLOOKUP(Fact_Contabilidad[[#This Row], [Concepto Anterior]],Conceptos_Contabilidad[#All],5,0),"")</f>
        <v/>
      </c>
      <c r="F1041" t="str">
        <f>+IFERROR(VLOOKUP(Fact_Contabilidad[[#This Row], 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ht="18.75" customHeight="1" x14ac:dyDescent="0.35">
      <c r="A1042" s="103"/>
      <c r="C1042" s="100" t="str">
        <f>IF(OR(Fact_Contabilidad[[#This Row], [Año]]="",Fact_Contabilidad[[#This Row], [Mes]]=""),"",DATE(A1042,MATCH(B1042,{"enero","febrero","marzo","abril","mayo","junio","julio","agosto","septiembre","octubre","noviembre","diciembre"},0)+1,0))</f>
        <v/>
      </c>
      <c r="E1042" t="str">
        <f>+IFERROR(VLOOKUP(Fact_Contabilidad[[#This Row], [Concepto Anterior]],Conceptos_Contabilidad[#All],5,0),"")</f>
        <v/>
      </c>
      <c r="F1042" t="str">
        <f>+IFERROR(VLOOKUP(Fact_Contabilidad[[#This Row], 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ht="18.75" customHeight="1" x14ac:dyDescent="0.35">
      <c r="A1043" s="103"/>
      <c r="C1043" s="100" t="str">
        <f>IF(OR(Fact_Contabilidad[[#This Row], [Año]]="",Fact_Contabilidad[[#This Row], [Mes]]=""),"",DATE(A1043,MATCH(B1043,{"enero","febrero","marzo","abril","mayo","junio","julio","agosto","septiembre","octubre","noviembre","diciembre"},0)+1,0))</f>
        <v/>
      </c>
      <c r="E1043" t="str">
        <f>+IFERROR(VLOOKUP(Fact_Contabilidad[[#This Row], [Concepto Anterior]],Conceptos_Contabilidad[#All],5,0),"")</f>
        <v/>
      </c>
      <c r="F1043" t="str">
        <f>+IFERROR(VLOOKUP(Fact_Contabilidad[[#This Row], 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ht="18.75" customHeight="1" x14ac:dyDescent="0.35">
      <c r="A1044" s="103"/>
      <c r="C1044" s="100" t="str">
        <f>IF(OR(Fact_Contabilidad[[#This Row], [Año]]="",Fact_Contabilidad[[#This Row], [Mes]]=""),"",DATE(A1044,MATCH(B1044,{"enero","febrero","marzo","abril","mayo","junio","julio","agosto","septiembre","octubre","noviembre","diciembre"},0)+1,0))</f>
        <v/>
      </c>
      <c r="E1044" t="str">
        <f>+IFERROR(VLOOKUP(Fact_Contabilidad[[#This Row], [Concepto Anterior]],Conceptos_Contabilidad[#All],5,0),"")</f>
        <v/>
      </c>
      <c r="F1044" t="str">
        <f>+IFERROR(VLOOKUP(Fact_Contabilidad[[#This Row], 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ht="18.75" customHeight="1" x14ac:dyDescent="0.35">
      <c r="A1045" s="103"/>
      <c r="C1045" s="100" t="str">
        <f>IF(OR(Fact_Contabilidad[[#This Row], [Año]]="",Fact_Contabilidad[[#This Row], [Mes]]=""),"",DATE(A1045,MATCH(B1045,{"enero","febrero","marzo","abril","mayo","junio","julio","agosto","septiembre","octubre","noviembre","diciembre"},0)+1,0))</f>
        <v/>
      </c>
      <c r="E1045" t="str">
        <f>+IFERROR(VLOOKUP(Fact_Contabilidad[[#This Row], [Concepto Anterior]],Conceptos_Contabilidad[#All],5,0),"")</f>
        <v/>
      </c>
      <c r="F1045" t="str">
        <f>+IFERROR(VLOOKUP(Fact_Contabilidad[[#This Row], 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ht="18.75" customHeight="1" x14ac:dyDescent="0.35">
      <c r="A1046" s="103"/>
      <c r="C1046" s="100" t="str">
        <f>IF(OR(Fact_Contabilidad[[#This Row], [Año]]="",Fact_Contabilidad[[#This Row], [Mes]]=""),"",DATE(A1046,MATCH(B1046,{"enero","febrero","marzo","abril","mayo","junio","julio","agosto","septiembre","octubre","noviembre","diciembre"},0)+1,0))</f>
        <v/>
      </c>
      <c r="E1046" t="str">
        <f>+IFERROR(VLOOKUP(Fact_Contabilidad[[#This Row], [Concepto Anterior]],Conceptos_Contabilidad[#All],5,0),"")</f>
        <v/>
      </c>
      <c r="F1046" t="str">
        <f>+IFERROR(VLOOKUP(Fact_Contabilidad[[#This Row], 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ht="18.75" customHeight="1" x14ac:dyDescent="0.35">
      <c r="A1047" s="103"/>
      <c r="C1047" s="100" t="str">
        <f>IF(OR(Fact_Contabilidad[[#This Row], [Año]]="",Fact_Contabilidad[[#This Row], [Mes]]=""),"",DATE(A1047,MATCH(B1047,{"enero","febrero","marzo","abril","mayo","junio","julio","agosto","septiembre","octubre","noviembre","diciembre"},0)+1,0))</f>
        <v/>
      </c>
      <c r="E1047" t="str">
        <f>+IFERROR(VLOOKUP(Fact_Contabilidad[[#This Row], [Concepto Anterior]],Conceptos_Contabilidad[#All],5,0),"")</f>
        <v/>
      </c>
      <c r="F1047" t="str">
        <f>+IFERROR(VLOOKUP(Fact_Contabilidad[[#This Row], 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ht="18.75" customHeight="1" x14ac:dyDescent="0.35">
      <c r="A1048" s="103"/>
      <c r="C1048" s="100" t="str">
        <f>IF(OR(Fact_Contabilidad[[#This Row], [Año]]="",Fact_Contabilidad[[#This Row], [Mes]]=""),"",DATE(A1048,MATCH(B1048,{"enero","febrero","marzo","abril","mayo","junio","julio","agosto","septiembre","octubre","noviembre","diciembre"},0)+1,0))</f>
        <v/>
      </c>
      <c r="E1048" t="str">
        <f>+IFERROR(VLOOKUP(Fact_Contabilidad[[#This Row], [Concepto Anterior]],Conceptos_Contabilidad[#All],5,0),"")</f>
        <v/>
      </c>
      <c r="F1048" t="str">
        <f>+IFERROR(VLOOKUP(Fact_Contabilidad[[#This Row], 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ht="18.75" customHeight="1" x14ac:dyDescent="0.35">
      <c r="A1049" s="103"/>
      <c r="C1049" s="100" t="str">
        <f>IF(OR(Fact_Contabilidad[[#This Row], [Año]]="",Fact_Contabilidad[[#This Row], [Mes]]=""),"",DATE(A1049,MATCH(B1049,{"enero","febrero","marzo","abril","mayo","junio","julio","agosto","septiembre","octubre","noviembre","diciembre"},0)+1,0))</f>
        <v/>
      </c>
      <c r="E1049" t="str">
        <f>+IFERROR(VLOOKUP(Fact_Contabilidad[[#This Row], [Concepto Anterior]],Conceptos_Contabilidad[#All],5,0),"")</f>
        <v/>
      </c>
      <c r="F1049" t="str">
        <f>+IFERROR(VLOOKUP(Fact_Contabilidad[[#This Row], 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ht="18.75" customHeight="1" x14ac:dyDescent="0.35">
      <c r="A1050" s="103"/>
      <c r="C1050" s="100" t="str">
        <f>IF(OR(Fact_Contabilidad[[#This Row], [Año]]="",Fact_Contabilidad[[#This Row], [Mes]]=""),"",DATE(A1050,MATCH(B1050,{"enero","febrero","marzo","abril","mayo","junio","julio","agosto","septiembre","octubre","noviembre","diciembre"},0)+1,0))</f>
        <v/>
      </c>
      <c r="E1050" t="str">
        <f>+IFERROR(VLOOKUP(Fact_Contabilidad[[#This Row], [Concepto Anterior]],Conceptos_Contabilidad[#All],5,0),"")</f>
        <v/>
      </c>
      <c r="F1050" t="str">
        <f>+IFERROR(VLOOKUP(Fact_Contabilidad[[#This Row], 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ht="18.75" customHeight="1" x14ac:dyDescent="0.35">
      <c r="A1051" s="103"/>
      <c r="C1051" s="100" t="str">
        <f>IF(OR(Fact_Contabilidad[[#This Row], [Año]]="",Fact_Contabilidad[[#This Row], [Mes]]=""),"",DATE(A1051,MATCH(B1051,{"enero","febrero","marzo","abril","mayo","junio","julio","agosto","septiembre","octubre","noviembre","diciembre"},0)+1,0))</f>
        <v/>
      </c>
      <c r="E1051" t="str">
        <f>+IFERROR(VLOOKUP(Fact_Contabilidad[[#This Row], [Concepto Anterior]],Conceptos_Contabilidad[#All],5,0),"")</f>
        <v/>
      </c>
      <c r="F1051" t="str">
        <f>+IFERROR(VLOOKUP(Fact_Contabilidad[[#This Row], 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ht="18.75" customHeight="1" x14ac:dyDescent="0.35">
      <c r="A1052" s="103"/>
      <c r="C1052" s="100" t="str">
        <f>IF(OR(Fact_Contabilidad[[#This Row], [Año]]="",Fact_Contabilidad[[#This Row], [Mes]]=""),"",DATE(A1052,MATCH(B1052,{"enero","febrero","marzo","abril","mayo","junio","julio","agosto","septiembre","octubre","noviembre","diciembre"},0)+1,0))</f>
        <v/>
      </c>
      <c r="E1052" t="str">
        <f>+IFERROR(VLOOKUP(Fact_Contabilidad[[#This Row], [Concepto Anterior]],Conceptos_Contabilidad[#All],5,0),"")</f>
        <v/>
      </c>
      <c r="F1052" t="str">
        <f>+IFERROR(VLOOKUP(Fact_Contabilidad[[#This Row], 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ht="18.75" customHeight="1" x14ac:dyDescent="0.35">
      <c r="A1053" s="103"/>
      <c r="C1053" s="100" t="str">
        <f>IF(OR(Fact_Contabilidad[[#This Row], [Año]]="",Fact_Contabilidad[[#This Row], [Mes]]=""),"",DATE(A1053,MATCH(B1053,{"enero","febrero","marzo","abril","mayo","junio","julio","agosto","septiembre","octubre","noviembre","diciembre"},0)+1,0))</f>
        <v/>
      </c>
      <c r="E1053" t="str">
        <f>+IFERROR(VLOOKUP(Fact_Contabilidad[[#This Row], [Concepto Anterior]],Conceptos_Contabilidad[#All],5,0),"")</f>
        <v/>
      </c>
      <c r="F1053" t="str">
        <f>+IFERROR(VLOOKUP(Fact_Contabilidad[[#This Row], 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ht="18.75" customHeight="1" x14ac:dyDescent="0.35">
      <c r="A1054" s="103"/>
      <c r="C1054" s="100" t="str">
        <f>IF(OR(Fact_Contabilidad[[#This Row], [Año]]="",Fact_Contabilidad[[#This Row], [Mes]]=""),"",DATE(A1054,MATCH(B1054,{"enero","febrero","marzo","abril","mayo","junio","julio","agosto","septiembre","octubre","noviembre","diciembre"},0)+1,0))</f>
        <v/>
      </c>
      <c r="E1054" t="str">
        <f>+IFERROR(VLOOKUP(Fact_Contabilidad[[#This Row], [Concepto Anterior]],Conceptos_Contabilidad[#All],5,0),"")</f>
        <v/>
      </c>
      <c r="F1054" t="str">
        <f>+IFERROR(VLOOKUP(Fact_Contabilidad[[#This Row], 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ht="18.75" customHeight="1" x14ac:dyDescent="0.35">
      <c r="A1055" s="103"/>
      <c r="C1055" s="100" t="str">
        <f>IF(OR(Fact_Contabilidad[[#This Row], [Año]]="",Fact_Contabilidad[[#This Row], [Mes]]=""),"",DATE(A1055,MATCH(B1055,{"enero","febrero","marzo","abril","mayo","junio","julio","agosto","septiembre","octubre","noviembre","diciembre"},0)+1,0))</f>
        <v/>
      </c>
      <c r="E1055" t="str">
        <f>+IFERROR(VLOOKUP(Fact_Contabilidad[[#This Row], [Concepto Anterior]],Conceptos_Contabilidad[#All],5,0),"")</f>
        <v/>
      </c>
      <c r="F1055" t="str">
        <f>+IFERROR(VLOOKUP(Fact_Contabilidad[[#This Row], 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ht="18.75" customHeight="1" x14ac:dyDescent="0.35">
      <c r="A1056" s="103"/>
      <c r="C1056" s="100" t="str">
        <f>IF(OR(Fact_Contabilidad[[#This Row], [Año]]="",Fact_Contabilidad[[#This Row], [Mes]]=""),"",DATE(A1056,MATCH(B1056,{"enero","febrero","marzo","abril","mayo","junio","julio","agosto","septiembre","octubre","noviembre","diciembre"},0)+1,0))</f>
        <v/>
      </c>
      <c r="E1056" t="str">
        <f>+IFERROR(VLOOKUP(Fact_Contabilidad[[#This Row], [Concepto Anterior]],Conceptos_Contabilidad[#All],5,0),"")</f>
        <v/>
      </c>
      <c r="F1056" t="str">
        <f>+IFERROR(VLOOKUP(Fact_Contabilidad[[#This Row], 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ht="18.75" customHeight="1" x14ac:dyDescent="0.35">
      <c r="A1057" s="103"/>
      <c r="C1057" s="100" t="str">
        <f>IF(OR(Fact_Contabilidad[[#This Row], [Año]]="",Fact_Contabilidad[[#This Row], [Mes]]=""),"",DATE(A1057,MATCH(B1057,{"enero","febrero","marzo","abril","mayo","junio","julio","agosto","septiembre","octubre","noviembre","diciembre"},0)+1,0))</f>
        <v/>
      </c>
      <c r="E1057" t="str">
        <f>+IFERROR(VLOOKUP(Fact_Contabilidad[[#This Row], [Concepto Anterior]],Conceptos_Contabilidad[#All],5,0),"")</f>
        <v/>
      </c>
      <c r="F1057" t="str">
        <f>+IFERROR(VLOOKUP(Fact_Contabilidad[[#This Row], 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ht="18.75" customHeight="1" x14ac:dyDescent="0.35">
      <c r="A1058" s="103"/>
      <c r="C1058" s="100" t="str">
        <f>IF(OR(Fact_Contabilidad[[#This Row], [Año]]="",Fact_Contabilidad[[#This Row], [Mes]]=""),"",DATE(A1058,MATCH(B1058,{"enero","febrero","marzo","abril","mayo","junio","julio","agosto","septiembre","octubre","noviembre","diciembre"},0)+1,0))</f>
        <v/>
      </c>
      <c r="E1058" t="str">
        <f>+IFERROR(VLOOKUP(Fact_Contabilidad[[#This Row], [Concepto Anterior]],Conceptos_Contabilidad[#All],5,0),"")</f>
        <v/>
      </c>
      <c r="F1058" t="str">
        <f>+IFERROR(VLOOKUP(Fact_Contabilidad[[#This Row], 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ht="18.75" customHeight="1" x14ac:dyDescent="0.35">
      <c r="A1059" s="103"/>
      <c r="C1059" s="100" t="str">
        <f>IF(OR(Fact_Contabilidad[[#This Row], [Año]]="",Fact_Contabilidad[[#This Row], [Mes]]=""),"",DATE(A1059,MATCH(B1059,{"enero","febrero","marzo","abril","mayo","junio","julio","agosto","septiembre","octubre","noviembre","diciembre"},0)+1,0))</f>
        <v/>
      </c>
      <c r="E1059" t="str">
        <f>+IFERROR(VLOOKUP(Fact_Contabilidad[[#This Row], [Concepto Anterior]],Conceptos_Contabilidad[#All],5,0),"")</f>
        <v/>
      </c>
      <c r="F1059" t="str">
        <f>+IFERROR(VLOOKUP(Fact_Contabilidad[[#This Row], 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ht="18.75" customHeight="1" x14ac:dyDescent="0.35">
      <c r="A1060" s="103"/>
      <c r="C1060" s="100" t="str">
        <f>IF(OR(Fact_Contabilidad[[#This Row], [Año]]="",Fact_Contabilidad[[#This Row], [Mes]]=""),"",DATE(A1060,MATCH(B1060,{"enero","febrero","marzo","abril","mayo","junio","julio","agosto","septiembre","octubre","noviembre","diciembre"},0)+1,0))</f>
        <v/>
      </c>
      <c r="E1060" t="str">
        <f>+IFERROR(VLOOKUP(Fact_Contabilidad[[#This Row], [Concepto Anterior]],Conceptos_Contabilidad[#All],5,0),"")</f>
        <v/>
      </c>
      <c r="F1060" t="str">
        <f>+IFERROR(VLOOKUP(Fact_Contabilidad[[#This Row], 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ht="18.75" customHeight="1" x14ac:dyDescent="0.35">
      <c r="A1061" s="103"/>
      <c r="C1061" s="100" t="str">
        <f>IF(OR(Fact_Contabilidad[[#This Row], [Año]]="",Fact_Contabilidad[[#This Row], [Mes]]=""),"",DATE(A1061,MATCH(B1061,{"enero","febrero","marzo","abril","mayo","junio","julio","agosto","septiembre","octubre","noviembre","diciembre"},0)+1,0))</f>
        <v/>
      </c>
      <c r="E1061" t="str">
        <f>+IFERROR(VLOOKUP(Fact_Contabilidad[[#This Row], [Concepto Anterior]],Conceptos_Contabilidad[#All],5,0),"")</f>
        <v/>
      </c>
      <c r="F1061" t="str">
        <f>+IFERROR(VLOOKUP(Fact_Contabilidad[[#This Row], 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ht="18.75" customHeight="1" x14ac:dyDescent="0.35">
      <c r="A1062" s="103"/>
      <c r="C1062" s="100" t="str">
        <f>IF(OR(Fact_Contabilidad[[#This Row], [Año]]="",Fact_Contabilidad[[#This Row], [Mes]]=""),"",DATE(A1062,MATCH(B1062,{"enero","febrero","marzo","abril","mayo","junio","julio","agosto","septiembre","octubre","noviembre","diciembre"},0)+1,0))</f>
        <v/>
      </c>
      <c r="E1062" t="str">
        <f>+IFERROR(VLOOKUP(Fact_Contabilidad[[#This Row], [Concepto Anterior]],Conceptos_Contabilidad[#All],5,0),"")</f>
        <v/>
      </c>
      <c r="F1062" t="str">
        <f>+IFERROR(VLOOKUP(Fact_Contabilidad[[#This Row], 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ht="18.75" customHeight="1" x14ac:dyDescent="0.35">
      <c r="A1063" s="103"/>
      <c r="C1063" s="100" t="str">
        <f>IF(OR(Fact_Contabilidad[[#This Row], [Año]]="",Fact_Contabilidad[[#This Row], [Mes]]=""),"",DATE(A1063,MATCH(B1063,{"enero","febrero","marzo","abril","mayo","junio","julio","agosto","septiembre","octubre","noviembre","diciembre"},0)+1,0))</f>
        <v/>
      </c>
      <c r="E1063" t="str">
        <f>+IFERROR(VLOOKUP(Fact_Contabilidad[[#This Row], [Concepto Anterior]],Conceptos_Contabilidad[#All],5,0),"")</f>
        <v/>
      </c>
      <c r="F1063" t="str">
        <f>+IFERROR(VLOOKUP(Fact_Contabilidad[[#This Row], 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ht="18.75" customHeight="1" x14ac:dyDescent="0.35">
      <c r="A1064" s="103"/>
      <c r="C1064" s="100" t="str">
        <f>IF(OR(Fact_Contabilidad[[#This Row], [Año]]="",Fact_Contabilidad[[#This Row], [Mes]]=""),"",DATE(A1064,MATCH(B1064,{"enero","febrero","marzo","abril","mayo","junio","julio","agosto","septiembre","octubre","noviembre","diciembre"},0)+1,0))</f>
        <v/>
      </c>
      <c r="E1064" t="str">
        <f>+IFERROR(VLOOKUP(Fact_Contabilidad[[#This Row], [Concepto Anterior]],Conceptos_Contabilidad[#All],5,0),"")</f>
        <v/>
      </c>
      <c r="F1064" t="str">
        <f>+IFERROR(VLOOKUP(Fact_Contabilidad[[#This Row], 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ht="18.75" customHeight="1" x14ac:dyDescent="0.35">
      <c r="A1065" s="103"/>
      <c r="C1065" s="100" t="str">
        <f>IF(OR(Fact_Contabilidad[[#This Row], [Año]]="",Fact_Contabilidad[[#This Row], [Mes]]=""),"",DATE(A1065,MATCH(B1065,{"enero","febrero","marzo","abril","mayo","junio","julio","agosto","septiembre","octubre","noviembre","diciembre"},0)+1,0))</f>
        <v/>
      </c>
      <c r="E1065" t="str">
        <f>+IFERROR(VLOOKUP(Fact_Contabilidad[[#This Row], [Concepto Anterior]],Conceptos_Contabilidad[#All],5,0),"")</f>
        <v/>
      </c>
      <c r="F1065" t="str">
        <f>+IFERROR(VLOOKUP(Fact_Contabilidad[[#This Row], 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ht="18.75" customHeight="1" x14ac:dyDescent="0.35">
      <c r="A1066" s="103"/>
      <c r="C1066" s="100" t="str">
        <f>IF(OR(Fact_Contabilidad[[#This Row], [Año]]="",Fact_Contabilidad[[#This Row], [Mes]]=""),"",DATE(A1066,MATCH(B1066,{"enero","febrero","marzo","abril","mayo","junio","julio","agosto","septiembre","octubre","noviembre","diciembre"},0)+1,0))</f>
        <v/>
      </c>
      <c r="E1066" t="str">
        <f>+IFERROR(VLOOKUP(Fact_Contabilidad[[#This Row], [Concepto Anterior]],Conceptos_Contabilidad[#All],5,0),"")</f>
        <v/>
      </c>
      <c r="F1066" t="str">
        <f>+IFERROR(VLOOKUP(Fact_Contabilidad[[#This Row], 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ht="18.75" customHeight="1" x14ac:dyDescent="0.35">
      <c r="A1067" s="103"/>
      <c r="C1067" s="100" t="str">
        <f>IF(OR(Fact_Contabilidad[[#This Row], [Año]]="",Fact_Contabilidad[[#This Row], [Mes]]=""),"",DATE(A1067,MATCH(B1067,{"enero","febrero","marzo","abril","mayo","junio","julio","agosto","septiembre","octubre","noviembre","diciembre"},0)+1,0))</f>
        <v/>
      </c>
      <c r="E1067" t="str">
        <f>+IFERROR(VLOOKUP(Fact_Contabilidad[[#This Row], [Concepto Anterior]],Conceptos_Contabilidad[#All],5,0),"")</f>
        <v/>
      </c>
      <c r="F1067" t="str">
        <f>+IFERROR(VLOOKUP(Fact_Contabilidad[[#This Row], 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ht="18.75" customHeight="1" x14ac:dyDescent="0.35">
      <c r="A1068" s="103"/>
      <c r="C1068" s="100" t="str">
        <f>IF(OR(Fact_Contabilidad[[#This Row], [Año]]="",Fact_Contabilidad[[#This Row], [Mes]]=""),"",DATE(A1068,MATCH(B1068,{"enero","febrero","marzo","abril","mayo","junio","julio","agosto","septiembre","octubre","noviembre","diciembre"},0)+1,0))</f>
        <v/>
      </c>
      <c r="E1068" t="str">
        <f>+IFERROR(VLOOKUP(Fact_Contabilidad[[#This Row], [Concepto Anterior]],Conceptos_Contabilidad[#All],5,0),"")</f>
        <v/>
      </c>
      <c r="F1068" t="str">
        <f>+IFERROR(VLOOKUP(Fact_Contabilidad[[#This Row], 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ht="18.75" customHeight="1" x14ac:dyDescent="0.35">
      <c r="A1069" s="103"/>
      <c r="C1069" s="100" t="str">
        <f>IF(OR(Fact_Contabilidad[[#This Row], [Año]]="",Fact_Contabilidad[[#This Row], [Mes]]=""),"",DATE(A1069,MATCH(B1069,{"enero","febrero","marzo","abril","mayo","junio","julio","agosto","septiembre","octubre","noviembre","diciembre"},0)+1,0))</f>
        <v/>
      </c>
      <c r="E1069" t="str">
        <f>+IFERROR(VLOOKUP(Fact_Contabilidad[[#This Row], [Concepto Anterior]],Conceptos_Contabilidad[#All],5,0),"")</f>
        <v/>
      </c>
      <c r="F1069" t="str">
        <f>+IFERROR(VLOOKUP(Fact_Contabilidad[[#This Row], 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ht="18.75" customHeight="1" x14ac:dyDescent="0.35">
      <c r="A1070" s="103"/>
      <c r="C1070" s="100" t="str">
        <f>IF(OR(Fact_Contabilidad[[#This Row], [Año]]="",Fact_Contabilidad[[#This Row], [Mes]]=""),"",DATE(A1070,MATCH(B1070,{"enero","febrero","marzo","abril","mayo","junio","julio","agosto","septiembre","octubre","noviembre","diciembre"},0)+1,0))</f>
        <v/>
      </c>
      <c r="E1070" t="str">
        <f>+IFERROR(VLOOKUP(Fact_Contabilidad[[#This Row], [Concepto Anterior]],Conceptos_Contabilidad[#All],5,0),"")</f>
        <v/>
      </c>
      <c r="F1070" t="str">
        <f>+IFERROR(VLOOKUP(Fact_Contabilidad[[#This Row], 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ht="18.75" customHeight="1" x14ac:dyDescent="0.35">
      <c r="A1071" s="103"/>
      <c r="C1071" s="100" t="str">
        <f>IF(OR(Fact_Contabilidad[[#This Row], [Año]]="",Fact_Contabilidad[[#This Row], [Mes]]=""),"",DATE(A1071,MATCH(B1071,{"enero","febrero","marzo","abril","mayo","junio","julio","agosto","septiembre","octubre","noviembre","diciembre"},0)+1,0))</f>
        <v/>
      </c>
      <c r="E1071" t="str">
        <f>+IFERROR(VLOOKUP(Fact_Contabilidad[[#This Row], [Concepto Anterior]],Conceptos_Contabilidad[#All],5,0),"")</f>
        <v/>
      </c>
      <c r="F1071" t="str">
        <f>+IFERROR(VLOOKUP(Fact_Contabilidad[[#This Row], 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ht="18.75" customHeight="1" x14ac:dyDescent="0.35">
      <c r="A1072" s="103"/>
      <c r="C1072" s="100" t="str">
        <f>IF(OR(Fact_Contabilidad[[#This Row], [Año]]="",Fact_Contabilidad[[#This Row], [Mes]]=""),"",DATE(A1072,MATCH(B1072,{"enero","febrero","marzo","abril","mayo","junio","julio","agosto","septiembre","octubre","noviembre","diciembre"},0)+1,0))</f>
        <v/>
      </c>
      <c r="E1072" t="str">
        <f>+IFERROR(VLOOKUP(Fact_Contabilidad[[#This Row], [Concepto Anterior]],Conceptos_Contabilidad[#All],5,0),"")</f>
        <v/>
      </c>
      <c r="F1072" t="str">
        <f>+IFERROR(VLOOKUP(Fact_Contabilidad[[#This Row], 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ht="18.75" customHeight="1" x14ac:dyDescent="0.35">
      <c r="A1073" s="103"/>
      <c r="C1073" s="100" t="str">
        <f>IF(OR(Fact_Contabilidad[[#This Row], [Año]]="",Fact_Contabilidad[[#This Row], [Mes]]=""),"",DATE(A1073,MATCH(B1073,{"enero","febrero","marzo","abril","mayo","junio","julio","agosto","septiembre","octubre","noviembre","diciembre"},0)+1,0))</f>
        <v/>
      </c>
      <c r="E1073" t="str">
        <f>+IFERROR(VLOOKUP(Fact_Contabilidad[[#This Row], [Concepto Anterior]],Conceptos_Contabilidad[#All],5,0),"")</f>
        <v/>
      </c>
      <c r="F1073" t="str">
        <f>+IFERROR(VLOOKUP(Fact_Contabilidad[[#This Row], 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ht="18.75" customHeight="1" x14ac:dyDescent="0.35">
      <c r="A1074" s="103"/>
      <c r="C1074" s="100" t="str">
        <f>IF(OR(Fact_Contabilidad[[#This Row], [Año]]="",Fact_Contabilidad[[#This Row], [Mes]]=""),"",DATE(A1074,MATCH(B1074,{"enero","febrero","marzo","abril","mayo","junio","julio","agosto","septiembre","octubre","noviembre","diciembre"},0)+1,0))</f>
        <v/>
      </c>
      <c r="E1074" t="str">
        <f>+IFERROR(VLOOKUP(Fact_Contabilidad[[#This Row], [Concepto Anterior]],Conceptos_Contabilidad[#All],5,0),"")</f>
        <v/>
      </c>
      <c r="F1074" t="str">
        <f>+IFERROR(VLOOKUP(Fact_Contabilidad[[#This Row], 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ht="18.75" customHeight="1" x14ac:dyDescent="0.35">
      <c r="A1075" s="103"/>
      <c r="C1075" s="100" t="str">
        <f>IF(OR(Fact_Contabilidad[[#This Row], [Año]]="",Fact_Contabilidad[[#This Row], [Mes]]=""),"",DATE(A1075,MATCH(B1075,{"enero","febrero","marzo","abril","mayo","junio","julio","agosto","septiembre","octubre","noviembre","diciembre"},0)+1,0))</f>
        <v/>
      </c>
      <c r="E1075" t="str">
        <f>+IFERROR(VLOOKUP(Fact_Contabilidad[[#This Row], [Concepto Anterior]],Conceptos_Contabilidad[#All],5,0),"")</f>
        <v/>
      </c>
      <c r="F1075" t="str">
        <f>+IFERROR(VLOOKUP(Fact_Contabilidad[[#This Row], 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ht="18.75" customHeight="1" x14ac:dyDescent="0.35">
      <c r="A1076" s="103"/>
      <c r="C1076" s="100" t="str">
        <f>IF(OR(Fact_Contabilidad[[#This Row], [Año]]="",Fact_Contabilidad[[#This Row], [Mes]]=""),"",DATE(A1076,MATCH(B1076,{"enero","febrero","marzo","abril","mayo","junio","julio","agosto","septiembre","octubre","noviembre","diciembre"},0)+1,0))</f>
        <v/>
      </c>
      <c r="E1076" t="str">
        <f>+IFERROR(VLOOKUP(Fact_Contabilidad[[#This Row], [Concepto Anterior]],Conceptos_Contabilidad[#All],5,0),"")</f>
        <v/>
      </c>
      <c r="F1076" t="str">
        <f>+IFERROR(VLOOKUP(Fact_Contabilidad[[#This Row], 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ht="18.75" customHeight="1" x14ac:dyDescent="0.35">
      <c r="A1077" s="103"/>
      <c r="C1077" s="100" t="str">
        <f>IF(OR(Fact_Contabilidad[[#This Row], [Año]]="",Fact_Contabilidad[[#This Row], [Mes]]=""),"",DATE(A1077,MATCH(B1077,{"enero","febrero","marzo","abril","mayo","junio","julio","agosto","septiembre","octubre","noviembre","diciembre"},0)+1,0))</f>
        <v/>
      </c>
      <c r="E1077" t="str">
        <f>+IFERROR(VLOOKUP(Fact_Contabilidad[[#This Row], [Concepto Anterior]],Conceptos_Contabilidad[#All],5,0),"")</f>
        <v/>
      </c>
      <c r="F1077" t="str">
        <f>+IFERROR(VLOOKUP(Fact_Contabilidad[[#This Row], 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ht="18.75" customHeight="1" x14ac:dyDescent="0.35">
      <c r="A1078" s="103"/>
      <c r="C1078" s="100" t="str">
        <f>IF(OR(Fact_Contabilidad[[#This Row], [Año]]="",Fact_Contabilidad[[#This Row], [Mes]]=""),"",DATE(A1078,MATCH(B1078,{"enero","febrero","marzo","abril","mayo","junio","julio","agosto","septiembre","octubre","noviembre","diciembre"},0)+1,0))</f>
        <v/>
      </c>
      <c r="E1078" t="str">
        <f>+IFERROR(VLOOKUP(Fact_Contabilidad[[#This Row], [Concepto Anterior]],Conceptos_Contabilidad[#All],5,0),"")</f>
        <v/>
      </c>
      <c r="F1078" t="str">
        <f>+IFERROR(VLOOKUP(Fact_Contabilidad[[#This Row], 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ht="18.75" customHeight="1" x14ac:dyDescent="0.35">
      <c r="A1079" s="103"/>
      <c r="C1079" s="100" t="str">
        <f>IF(OR(Fact_Contabilidad[[#This Row], [Año]]="",Fact_Contabilidad[[#This Row], [Mes]]=""),"",DATE(A1079,MATCH(B1079,{"enero","febrero","marzo","abril","mayo","junio","julio","agosto","septiembre","octubre","noviembre","diciembre"},0)+1,0))</f>
        <v/>
      </c>
      <c r="E1079" t="str">
        <f>+IFERROR(VLOOKUP(Fact_Contabilidad[[#This Row], [Concepto Anterior]],Conceptos_Contabilidad[#All],5,0),"")</f>
        <v/>
      </c>
      <c r="F1079" t="str">
        <f>+IFERROR(VLOOKUP(Fact_Contabilidad[[#This Row], 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ht="18.75" customHeight="1" x14ac:dyDescent="0.35">
      <c r="A1080" s="103"/>
      <c r="C1080" s="100" t="str">
        <f>IF(OR(Fact_Contabilidad[[#This Row], [Año]]="",Fact_Contabilidad[[#This Row], [Mes]]=""),"",DATE(A1080,MATCH(B1080,{"enero","febrero","marzo","abril","mayo","junio","julio","agosto","septiembre","octubre","noviembre","diciembre"},0)+1,0))</f>
        <v/>
      </c>
      <c r="E1080" t="str">
        <f>+IFERROR(VLOOKUP(Fact_Contabilidad[[#This Row], [Concepto Anterior]],Conceptos_Contabilidad[#All],5,0),"")</f>
        <v/>
      </c>
      <c r="F1080" t="str">
        <f>+IFERROR(VLOOKUP(Fact_Contabilidad[[#This Row], 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ht="18.75" customHeight="1" x14ac:dyDescent="0.35">
      <c r="A1081" s="103"/>
      <c r="C1081" s="100" t="str">
        <f>IF(OR(Fact_Contabilidad[[#This Row], [Año]]="",Fact_Contabilidad[[#This Row], [Mes]]=""),"",DATE(A1081,MATCH(B1081,{"enero","febrero","marzo","abril","mayo","junio","julio","agosto","septiembre","octubre","noviembre","diciembre"},0)+1,0))</f>
        <v/>
      </c>
      <c r="E1081" t="str">
        <f>+IFERROR(VLOOKUP(Fact_Contabilidad[[#This Row], [Concepto Anterior]],Conceptos_Contabilidad[#All],5,0),"")</f>
        <v/>
      </c>
      <c r="F1081" t="str">
        <f>+IFERROR(VLOOKUP(Fact_Contabilidad[[#This Row], 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ht="18.75" customHeight="1" x14ac:dyDescent="0.35">
      <c r="A1082" s="103"/>
      <c r="C1082" s="100" t="str">
        <f>IF(OR(Fact_Contabilidad[[#This Row], [Año]]="",Fact_Contabilidad[[#This Row], [Mes]]=""),"",DATE(A1082,MATCH(B1082,{"enero","febrero","marzo","abril","mayo","junio","julio","agosto","septiembre","octubre","noviembre","diciembre"},0)+1,0))</f>
        <v/>
      </c>
      <c r="E1082" t="str">
        <f>+IFERROR(VLOOKUP(Fact_Contabilidad[[#This Row], [Concepto Anterior]],Conceptos_Contabilidad[#All],5,0),"")</f>
        <v/>
      </c>
      <c r="F1082" t="str">
        <f>+IFERROR(VLOOKUP(Fact_Contabilidad[[#This Row], 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ht="18.75" customHeight="1" x14ac:dyDescent="0.35">
      <c r="A1083" s="103"/>
      <c r="C1083" s="100" t="str">
        <f>IF(OR(Fact_Contabilidad[[#This Row], [Año]]="",Fact_Contabilidad[[#This Row], [Mes]]=""),"",DATE(A1083,MATCH(B1083,{"enero","febrero","marzo","abril","mayo","junio","julio","agosto","septiembre","octubre","noviembre","diciembre"},0)+1,0))</f>
        <v/>
      </c>
      <c r="E1083" t="str">
        <f>+IFERROR(VLOOKUP(Fact_Contabilidad[[#This Row], [Concepto Anterior]],Conceptos_Contabilidad[#All],5,0),"")</f>
        <v/>
      </c>
      <c r="F1083" t="str">
        <f>+IFERROR(VLOOKUP(Fact_Contabilidad[[#This Row], 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ht="18.75" customHeight="1" x14ac:dyDescent="0.35">
      <c r="A1084" s="103"/>
      <c r="C1084" s="100" t="str">
        <f>IF(OR(Fact_Contabilidad[[#This Row], [Año]]="",Fact_Contabilidad[[#This Row], [Mes]]=""),"",DATE(A1084,MATCH(B1084,{"enero","febrero","marzo","abril","mayo","junio","julio","agosto","septiembre","octubre","noviembre","diciembre"},0)+1,0))</f>
        <v/>
      </c>
      <c r="E1084" t="str">
        <f>+IFERROR(VLOOKUP(Fact_Contabilidad[[#This Row], [Concepto Anterior]],Conceptos_Contabilidad[#All],5,0),"")</f>
        <v/>
      </c>
      <c r="F1084" t="str">
        <f>+IFERROR(VLOOKUP(Fact_Contabilidad[[#This Row], 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ht="18.75" customHeight="1" x14ac:dyDescent="0.35">
      <c r="A1085" s="103"/>
      <c r="C1085" s="100" t="str">
        <f>IF(OR(Fact_Contabilidad[[#This Row], [Año]]="",Fact_Contabilidad[[#This Row], [Mes]]=""),"",DATE(A1085,MATCH(B1085,{"enero","febrero","marzo","abril","mayo","junio","julio","agosto","septiembre","octubre","noviembre","diciembre"},0)+1,0))</f>
        <v/>
      </c>
      <c r="E1085" t="str">
        <f>+IFERROR(VLOOKUP(Fact_Contabilidad[[#This Row], [Concepto Anterior]],Conceptos_Contabilidad[#All],5,0),"")</f>
        <v/>
      </c>
      <c r="F1085" t="str">
        <f>+IFERROR(VLOOKUP(Fact_Contabilidad[[#This Row], 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ht="18.75" customHeight="1" x14ac:dyDescent="0.35">
      <c r="A1086" s="103"/>
      <c r="C1086" s="100" t="str">
        <f>IF(OR(Fact_Contabilidad[[#This Row], [Año]]="",Fact_Contabilidad[[#This Row], [Mes]]=""),"",DATE(A1086,MATCH(B1086,{"enero","febrero","marzo","abril","mayo","junio","julio","agosto","septiembre","octubre","noviembre","diciembre"},0)+1,0))</f>
        <v/>
      </c>
      <c r="E1086" t="str">
        <f>+IFERROR(VLOOKUP(Fact_Contabilidad[[#This Row], [Concepto Anterior]],Conceptos_Contabilidad[#All],5,0),"")</f>
        <v/>
      </c>
      <c r="F1086" t="str">
        <f>+IFERROR(VLOOKUP(Fact_Contabilidad[[#This Row], 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ht="18.75" customHeight="1" x14ac:dyDescent="0.35">
      <c r="A1087" s="103"/>
      <c r="C1087" s="100" t="str">
        <f>IF(OR(Fact_Contabilidad[[#This Row], [Año]]="",Fact_Contabilidad[[#This Row], [Mes]]=""),"",DATE(A1087,MATCH(B1087,{"enero","febrero","marzo","abril","mayo","junio","julio","agosto","septiembre","octubre","noviembre","diciembre"},0)+1,0))</f>
        <v/>
      </c>
      <c r="E1087" t="str">
        <f>+IFERROR(VLOOKUP(Fact_Contabilidad[[#This Row], [Concepto Anterior]],Conceptos_Contabilidad[#All],5,0),"")</f>
        <v/>
      </c>
      <c r="F1087" t="str">
        <f>+IFERROR(VLOOKUP(Fact_Contabilidad[[#This Row], 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ht="18.75" customHeight="1" x14ac:dyDescent="0.35">
      <c r="A1088" s="103"/>
      <c r="C1088" s="100" t="str">
        <f>IF(OR(Fact_Contabilidad[[#This Row], [Año]]="",Fact_Contabilidad[[#This Row], [Mes]]=""),"",DATE(A1088,MATCH(B1088,{"enero","febrero","marzo","abril","mayo","junio","julio","agosto","septiembre","octubre","noviembre","diciembre"},0)+1,0))</f>
        <v/>
      </c>
      <c r="E1088" t="str">
        <f>+IFERROR(VLOOKUP(Fact_Contabilidad[[#This Row], [Concepto Anterior]],Conceptos_Contabilidad[#All],5,0),"")</f>
        <v/>
      </c>
      <c r="F1088" t="str">
        <f>+IFERROR(VLOOKUP(Fact_Contabilidad[[#This Row], 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ht="18.75" customHeight="1" x14ac:dyDescent="0.35">
      <c r="A1089" s="103"/>
      <c r="C1089" s="100" t="str">
        <f>IF(OR(Fact_Contabilidad[[#This Row], [Año]]="",Fact_Contabilidad[[#This Row], [Mes]]=""),"",DATE(A1089,MATCH(B1089,{"enero","febrero","marzo","abril","mayo","junio","julio","agosto","septiembre","octubre","noviembre","diciembre"},0)+1,0))</f>
        <v/>
      </c>
      <c r="E1089" t="str">
        <f>+IFERROR(VLOOKUP(Fact_Contabilidad[[#This Row], [Concepto Anterior]],Conceptos_Contabilidad[#All],5,0),"")</f>
        <v/>
      </c>
      <c r="F1089" t="str">
        <f>+IFERROR(VLOOKUP(Fact_Contabilidad[[#This Row], 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ht="18.75" customHeight="1" x14ac:dyDescent="0.35">
      <c r="A1090" s="103"/>
      <c r="C1090" s="100" t="str">
        <f>IF(OR(Fact_Contabilidad[[#This Row], [Año]]="",Fact_Contabilidad[[#This Row], [Mes]]=""),"",DATE(A1090,MATCH(B1090,{"enero","febrero","marzo","abril","mayo","junio","julio","agosto","septiembre","octubre","noviembre","diciembre"},0)+1,0))</f>
        <v/>
      </c>
      <c r="E1090" t="str">
        <f>+IFERROR(VLOOKUP(Fact_Contabilidad[[#This Row], [Concepto Anterior]],Conceptos_Contabilidad[#All],5,0),"")</f>
        <v/>
      </c>
      <c r="F1090" t="str">
        <f>+IFERROR(VLOOKUP(Fact_Contabilidad[[#This Row], 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ht="18.75" customHeight="1" x14ac:dyDescent="0.35">
      <c r="A1091" s="103"/>
      <c r="C1091" s="100" t="str">
        <f>IF(OR(Fact_Contabilidad[[#This Row], [Año]]="",Fact_Contabilidad[[#This Row], [Mes]]=""),"",DATE(A1091,MATCH(B1091,{"enero","febrero","marzo","abril","mayo","junio","julio","agosto","septiembre","octubre","noviembre","diciembre"},0)+1,0))</f>
        <v/>
      </c>
      <c r="E1091" t="str">
        <f>+IFERROR(VLOOKUP(Fact_Contabilidad[[#This Row], [Concepto Anterior]],Conceptos_Contabilidad[#All],5,0),"")</f>
        <v/>
      </c>
      <c r="F1091" t="str">
        <f>+IFERROR(VLOOKUP(Fact_Contabilidad[[#This Row], 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ht="18.75" customHeight="1" x14ac:dyDescent="0.35">
      <c r="A1092" s="103"/>
      <c r="C1092" s="100" t="str">
        <f>IF(OR(Fact_Contabilidad[[#This Row], [Año]]="",Fact_Contabilidad[[#This Row], [Mes]]=""),"",DATE(A1092,MATCH(B1092,{"enero","febrero","marzo","abril","mayo","junio","julio","agosto","septiembre","octubre","noviembre","diciembre"},0)+1,0))</f>
        <v/>
      </c>
      <c r="E1092" t="str">
        <f>+IFERROR(VLOOKUP(Fact_Contabilidad[[#This Row], [Concepto Anterior]],Conceptos_Contabilidad[#All],5,0),"")</f>
        <v/>
      </c>
      <c r="F1092" t="str">
        <f>+IFERROR(VLOOKUP(Fact_Contabilidad[[#This Row], 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ht="18.75" customHeight="1" x14ac:dyDescent="0.35">
      <c r="A1093" s="103"/>
      <c r="C1093" s="100" t="str">
        <f>IF(OR(Fact_Contabilidad[[#This Row], [Año]]="",Fact_Contabilidad[[#This Row], [Mes]]=""),"",DATE(A1093,MATCH(B1093,{"enero","febrero","marzo","abril","mayo","junio","julio","agosto","septiembre","octubre","noviembre","diciembre"},0)+1,0))</f>
        <v/>
      </c>
      <c r="E1093" t="str">
        <f>+IFERROR(VLOOKUP(Fact_Contabilidad[[#This Row], [Concepto Anterior]],Conceptos_Contabilidad[#All],5,0),"")</f>
        <v/>
      </c>
      <c r="F1093" t="str">
        <f>+IFERROR(VLOOKUP(Fact_Contabilidad[[#This Row], 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ht="18.75" customHeight="1" x14ac:dyDescent="0.35">
      <c r="A1094" s="103"/>
      <c r="C1094" s="100" t="str">
        <f>IF(OR(Fact_Contabilidad[[#This Row], [Año]]="",Fact_Contabilidad[[#This Row], [Mes]]=""),"",DATE(A1094,MATCH(B1094,{"enero","febrero","marzo","abril","mayo","junio","julio","agosto","septiembre","octubre","noviembre","diciembre"},0)+1,0))</f>
        <v/>
      </c>
      <c r="E1094" t="str">
        <f>+IFERROR(VLOOKUP(Fact_Contabilidad[[#This Row], [Concepto Anterior]],Conceptos_Contabilidad[#All],5,0),"")</f>
        <v/>
      </c>
      <c r="F1094" t="str">
        <f>+IFERROR(VLOOKUP(Fact_Contabilidad[[#This Row], 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ht="18.75" customHeight="1" x14ac:dyDescent="0.35">
      <c r="A1095" s="103"/>
      <c r="C1095" s="100" t="str">
        <f>IF(OR(Fact_Contabilidad[[#This Row], [Año]]="",Fact_Contabilidad[[#This Row], [Mes]]=""),"",DATE(A1095,MATCH(B1095,{"enero","febrero","marzo","abril","mayo","junio","julio","agosto","septiembre","octubre","noviembre","diciembre"},0)+1,0))</f>
        <v/>
      </c>
      <c r="E1095" t="str">
        <f>+IFERROR(VLOOKUP(Fact_Contabilidad[[#This Row], [Concepto Anterior]],Conceptos_Contabilidad[#All],5,0),"")</f>
        <v/>
      </c>
      <c r="F1095" t="str">
        <f>+IFERROR(VLOOKUP(Fact_Contabilidad[[#This Row], 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ht="18.75" customHeight="1" x14ac:dyDescent="0.35">
      <c r="A1096" s="103"/>
      <c r="C1096" s="100" t="str">
        <f>IF(OR(Fact_Contabilidad[[#This Row], [Año]]="",Fact_Contabilidad[[#This Row], [Mes]]=""),"",DATE(A1096,MATCH(B1096,{"enero","febrero","marzo","abril","mayo","junio","julio","agosto","septiembre","octubre","noviembre","diciembre"},0)+1,0))</f>
        <v/>
      </c>
      <c r="E1096" t="str">
        <f>+IFERROR(VLOOKUP(Fact_Contabilidad[[#This Row], [Concepto Anterior]],Conceptos_Contabilidad[#All],5,0),"")</f>
        <v/>
      </c>
      <c r="F1096" t="str">
        <f>+IFERROR(VLOOKUP(Fact_Contabilidad[[#This Row], 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ht="18.75" customHeight="1" x14ac:dyDescent="0.35">
      <c r="A1097" s="103"/>
      <c r="C1097" s="100" t="str">
        <f>IF(OR(Fact_Contabilidad[[#This Row], [Año]]="",Fact_Contabilidad[[#This Row], [Mes]]=""),"",DATE(A1097,MATCH(B1097,{"enero","febrero","marzo","abril","mayo","junio","julio","agosto","septiembre","octubre","noviembre","diciembre"},0)+1,0))</f>
        <v/>
      </c>
      <c r="E1097" t="str">
        <f>+IFERROR(VLOOKUP(Fact_Contabilidad[[#This Row], [Concepto Anterior]],Conceptos_Contabilidad[#All],5,0),"")</f>
        <v/>
      </c>
      <c r="F1097" t="str">
        <f>+IFERROR(VLOOKUP(Fact_Contabilidad[[#This Row], 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ht="18.75" customHeight="1" x14ac:dyDescent="0.35">
      <c r="A1098" s="103"/>
      <c r="C1098" s="100" t="str">
        <f>IF(OR(Fact_Contabilidad[[#This Row], [Año]]="",Fact_Contabilidad[[#This Row], [Mes]]=""),"",DATE(A1098,MATCH(B1098,{"enero","febrero","marzo","abril","mayo","junio","julio","agosto","septiembre","octubre","noviembre","diciembre"},0)+1,0))</f>
        <v/>
      </c>
      <c r="E1098" t="str">
        <f>+IFERROR(VLOOKUP(Fact_Contabilidad[[#This Row], [Concepto Anterior]],Conceptos_Contabilidad[#All],5,0),"")</f>
        <v/>
      </c>
      <c r="F1098" t="str">
        <f>+IFERROR(VLOOKUP(Fact_Contabilidad[[#This Row], 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ht="18.75" customHeight="1" x14ac:dyDescent="0.35">
      <c r="A1099" s="103"/>
      <c r="C1099" s="100" t="str">
        <f>IF(OR(Fact_Contabilidad[[#This Row], [Año]]="",Fact_Contabilidad[[#This Row], [Mes]]=""),"",DATE(A1099,MATCH(B1099,{"enero","febrero","marzo","abril","mayo","junio","julio","agosto","septiembre","octubre","noviembre","diciembre"},0)+1,0))</f>
        <v/>
      </c>
      <c r="E1099" t="str">
        <f>+IFERROR(VLOOKUP(Fact_Contabilidad[[#This Row], [Concepto Anterior]],Conceptos_Contabilidad[#All],5,0),"")</f>
        <v/>
      </c>
      <c r="F1099" t="str">
        <f>+IFERROR(VLOOKUP(Fact_Contabilidad[[#This Row], 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ht="18.75" customHeight="1" x14ac:dyDescent="0.35">
      <c r="A1100" s="103"/>
      <c r="C1100" s="100" t="str">
        <f>IF(OR(Fact_Contabilidad[[#This Row], [Año]]="",Fact_Contabilidad[[#This Row], [Mes]]=""),"",DATE(A1100,MATCH(B1100,{"enero","febrero","marzo","abril","mayo","junio","julio","agosto","septiembre","octubre","noviembre","diciembre"},0)+1,0))</f>
        <v/>
      </c>
      <c r="E1100" t="str">
        <f>+IFERROR(VLOOKUP(Fact_Contabilidad[[#This Row], [Concepto Anterior]],Conceptos_Contabilidad[#All],5,0),"")</f>
        <v/>
      </c>
      <c r="F1100" t="str">
        <f>+IFERROR(VLOOKUP(Fact_Contabilidad[[#This Row], 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ht="18.75" customHeight="1" x14ac:dyDescent="0.35">
      <c r="A1101" s="103"/>
      <c r="C1101" s="100" t="str">
        <f>IF(OR(Fact_Contabilidad[[#This Row], [Año]]="",Fact_Contabilidad[[#This Row], [Mes]]=""),"",DATE(A1101,MATCH(B1101,{"enero","febrero","marzo","abril","mayo","junio","julio","agosto","septiembre","octubre","noviembre","diciembre"},0)+1,0))</f>
        <v/>
      </c>
      <c r="E1101" t="str">
        <f>+IFERROR(VLOOKUP(Fact_Contabilidad[[#This Row], [Concepto Anterior]],Conceptos_Contabilidad[#All],5,0),"")</f>
        <v/>
      </c>
      <c r="F1101" t="str">
        <f>+IFERROR(VLOOKUP(Fact_Contabilidad[[#This Row], 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ht="18.75" customHeight="1" x14ac:dyDescent="0.35">
      <c r="A1102" s="103"/>
      <c r="C1102" s="100" t="str">
        <f>IF(OR(Fact_Contabilidad[[#This Row], [Año]]="",Fact_Contabilidad[[#This Row], [Mes]]=""),"",DATE(A1102,MATCH(B1102,{"enero","febrero","marzo","abril","mayo","junio","julio","agosto","septiembre","octubre","noviembre","diciembre"},0)+1,0))</f>
        <v/>
      </c>
      <c r="E1102" t="str">
        <f>+IFERROR(VLOOKUP(Fact_Contabilidad[[#This Row], [Concepto Anterior]],Conceptos_Contabilidad[#All],5,0),"")</f>
        <v/>
      </c>
      <c r="F1102" t="str">
        <f>+IFERROR(VLOOKUP(Fact_Contabilidad[[#This Row], 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ht="18.75" customHeight="1" x14ac:dyDescent="0.35">
      <c r="A1103" s="103"/>
      <c r="C1103" s="100" t="str">
        <f>IF(OR(Fact_Contabilidad[[#This Row], [Año]]="",Fact_Contabilidad[[#This Row], [Mes]]=""),"",DATE(A1103,MATCH(B1103,{"enero","febrero","marzo","abril","mayo","junio","julio","agosto","septiembre","octubre","noviembre","diciembre"},0)+1,0))</f>
        <v/>
      </c>
      <c r="E1103" t="str">
        <f>+IFERROR(VLOOKUP(Fact_Contabilidad[[#This Row], [Concepto Anterior]],Conceptos_Contabilidad[#All],5,0),"")</f>
        <v/>
      </c>
      <c r="F1103" t="str">
        <f>+IFERROR(VLOOKUP(Fact_Contabilidad[[#This Row], 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ht="18.75" customHeight="1" x14ac:dyDescent="0.35">
      <c r="A1104" s="103"/>
      <c r="C1104" s="100" t="str">
        <f>IF(OR(Fact_Contabilidad[[#This Row], [Año]]="",Fact_Contabilidad[[#This Row], [Mes]]=""),"",DATE(A1104,MATCH(B1104,{"enero","febrero","marzo","abril","mayo","junio","julio","agosto","septiembre","octubre","noviembre","diciembre"},0)+1,0))</f>
        <v/>
      </c>
      <c r="E1104" t="str">
        <f>+IFERROR(VLOOKUP(Fact_Contabilidad[[#This Row], [Concepto Anterior]],Conceptos_Contabilidad[#All],5,0),"")</f>
        <v/>
      </c>
      <c r="F1104" t="str">
        <f>+IFERROR(VLOOKUP(Fact_Contabilidad[[#This Row], 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ht="18.75" customHeight="1" x14ac:dyDescent="0.35">
      <c r="A1105" s="103"/>
      <c r="C1105" s="100" t="str">
        <f>IF(OR(Fact_Contabilidad[[#This Row], [Año]]="",Fact_Contabilidad[[#This Row], [Mes]]=""),"",DATE(A1105,MATCH(B1105,{"enero","febrero","marzo","abril","mayo","junio","julio","agosto","septiembre","octubre","noviembre","diciembre"},0)+1,0))</f>
        <v/>
      </c>
      <c r="E1105" t="str">
        <f>+IFERROR(VLOOKUP(Fact_Contabilidad[[#This Row], [Concepto Anterior]],Conceptos_Contabilidad[#All],5,0),"")</f>
        <v/>
      </c>
      <c r="F1105" t="str">
        <f>+IFERROR(VLOOKUP(Fact_Contabilidad[[#This Row], 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ht="18.75" customHeight="1" x14ac:dyDescent="0.35">
      <c r="A1106" s="103"/>
      <c r="C1106" s="100" t="str">
        <f>IF(OR(Fact_Contabilidad[[#This Row], [Año]]="",Fact_Contabilidad[[#This Row], [Mes]]=""),"",DATE(A1106,MATCH(B1106,{"enero","febrero","marzo","abril","mayo","junio","julio","agosto","septiembre","octubre","noviembre","diciembre"},0)+1,0))</f>
        <v/>
      </c>
      <c r="E1106" t="str">
        <f>+IFERROR(VLOOKUP(Fact_Contabilidad[[#This Row], [Concepto Anterior]],Conceptos_Contabilidad[#All],5,0),"")</f>
        <v/>
      </c>
      <c r="F1106" t="str">
        <f>+IFERROR(VLOOKUP(Fact_Contabilidad[[#This Row], 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ht="18.75" customHeight="1" x14ac:dyDescent="0.35">
      <c r="A1107" s="103"/>
      <c r="C1107" s="100" t="str">
        <f>IF(OR(Fact_Contabilidad[[#This Row], [Año]]="",Fact_Contabilidad[[#This Row], [Mes]]=""),"",DATE(A1107,MATCH(B1107,{"enero","febrero","marzo","abril","mayo","junio","julio","agosto","septiembre","octubre","noviembre","diciembre"},0)+1,0))</f>
        <v/>
      </c>
      <c r="E1107" t="str">
        <f>+IFERROR(VLOOKUP(Fact_Contabilidad[[#This Row], [Concepto Anterior]],Conceptos_Contabilidad[#All],5,0),"")</f>
        <v/>
      </c>
      <c r="F1107" t="str">
        <f>+IFERROR(VLOOKUP(Fact_Contabilidad[[#This Row], 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ht="18.75" customHeight="1" x14ac:dyDescent="0.35">
      <c r="A1108" s="103"/>
      <c r="C1108" s="100" t="str">
        <f>IF(OR(Fact_Contabilidad[[#This Row], [Año]]="",Fact_Contabilidad[[#This Row], [Mes]]=""),"",DATE(A1108,MATCH(B1108,{"enero","febrero","marzo","abril","mayo","junio","julio","agosto","septiembre","octubre","noviembre","diciembre"},0)+1,0))</f>
        <v/>
      </c>
      <c r="E1108" t="str">
        <f>+IFERROR(VLOOKUP(Fact_Contabilidad[[#This Row], [Concepto Anterior]],Conceptos_Contabilidad[#All],5,0),"")</f>
        <v/>
      </c>
      <c r="F1108" t="str">
        <f>+IFERROR(VLOOKUP(Fact_Contabilidad[[#This Row], 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ht="18.75" customHeight="1" x14ac:dyDescent="0.35">
      <c r="A1109" s="103"/>
      <c r="C1109" s="100" t="str">
        <f>IF(OR(Fact_Contabilidad[[#This Row], [Año]]="",Fact_Contabilidad[[#This Row], [Mes]]=""),"",DATE(A1109,MATCH(B1109,{"enero","febrero","marzo","abril","mayo","junio","julio","agosto","septiembre","octubre","noviembre","diciembre"},0)+1,0))</f>
        <v/>
      </c>
      <c r="E1109" t="str">
        <f>+IFERROR(VLOOKUP(Fact_Contabilidad[[#This Row], [Concepto Anterior]],Conceptos_Contabilidad[#All],5,0),"")</f>
        <v/>
      </c>
      <c r="F1109" t="str">
        <f>+IFERROR(VLOOKUP(Fact_Contabilidad[[#This Row], 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ht="18.75" customHeight="1" x14ac:dyDescent="0.35">
      <c r="A1110" s="103"/>
      <c r="C1110" s="100" t="str">
        <f>IF(OR(Fact_Contabilidad[[#This Row], [Año]]="",Fact_Contabilidad[[#This Row], [Mes]]=""),"",DATE(A1110,MATCH(B1110,{"enero","febrero","marzo","abril","mayo","junio","julio","agosto","septiembre","octubre","noviembre","diciembre"},0)+1,0))</f>
        <v/>
      </c>
      <c r="E1110" t="str">
        <f>+IFERROR(VLOOKUP(Fact_Contabilidad[[#This Row], [Concepto Anterior]],Conceptos_Contabilidad[#All],5,0),"")</f>
        <v/>
      </c>
      <c r="F1110" t="str">
        <f>+IFERROR(VLOOKUP(Fact_Contabilidad[[#This Row], 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ht="18.75" customHeight="1" x14ac:dyDescent="0.35">
      <c r="A1111" s="103"/>
      <c r="C1111" s="100" t="str">
        <f>IF(OR(Fact_Contabilidad[[#This Row], [Año]]="",Fact_Contabilidad[[#This Row], [Mes]]=""),"",DATE(A1111,MATCH(B1111,{"enero","febrero","marzo","abril","mayo","junio","julio","agosto","septiembre","octubre","noviembre","diciembre"},0)+1,0))</f>
        <v/>
      </c>
      <c r="E1111" t="str">
        <f>+IFERROR(VLOOKUP(Fact_Contabilidad[[#This Row], [Concepto Anterior]],Conceptos_Contabilidad[#All],5,0),"")</f>
        <v/>
      </c>
      <c r="F1111" t="str">
        <f>+IFERROR(VLOOKUP(Fact_Contabilidad[[#This Row], 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ht="18.75" customHeight="1" x14ac:dyDescent="0.35">
      <c r="A1112" s="103"/>
      <c r="C1112" s="100" t="str">
        <f>IF(OR(Fact_Contabilidad[[#This Row], [Año]]="",Fact_Contabilidad[[#This Row], [Mes]]=""),"",DATE(A1112,MATCH(B1112,{"enero","febrero","marzo","abril","mayo","junio","julio","agosto","septiembre","octubre","noviembre","diciembre"},0)+1,0))</f>
        <v/>
      </c>
      <c r="E1112" t="str">
        <f>+IFERROR(VLOOKUP(Fact_Contabilidad[[#This Row], [Concepto Anterior]],Conceptos_Contabilidad[#All],5,0),"")</f>
        <v/>
      </c>
      <c r="F1112" t="str">
        <f>+IFERROR(VLOOKUP(Fact_Contabilidad[[#This Row], 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ht="18.75" customHeight="1" x14ac:dyDescent="0.35">
      <c r="A1113" s="103"/>
      <c r="C1113" s="100" t="str">
        <f>IF(OR(Fact_Contabilidad[[#This Row], [Año]]="",Fact_Contabilidad[[#This Row], [Mes]]=""),"",DATE(A1113,MATCH(B1113,{"enero","febrero","marzo","abril","mayo","junio","julio","agosto","septiembre","octubre","noviembre","diciembre"},0)+1,0))</f>
        <v/>
      </c>
      <c r="E1113" t="str">
        <f>+IFERROR(VLOOKUP(Fact_Contabilidad[[#This Row], [Concepto Anterior]],Conceptos_Contabilidad[#All],5,0),"")</f>
        <v/>
      </c>
      <c r="F1113" t="str">
        <f>+IFERROR(VLOOKUP(Fact_Contabilidad[[#This Row], 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ht="18.75" customHeight="1" x14ac:dyDescent="0.35">
      <c r="A1114" s="103"/>
      <c r="C1114" s="100" t="str">
        <f>IF(OR(Fact_Contabilidad[[#This Row], [Año]]="",Fact_Contabilidad[[#This Row], [Mes]]=""),"",DATE(A1114,MATCH(B1114,{"enero","febrero","marzo","abril","mayo","junio","julio","agosto","septiembre","octubre","noviembre","diciembre"},0)+1,0))</f>
        <v/>
      </c>
      <c r="E1114" t="str">
        <f>+IFERROR(VLOOKUP(Fact_Contabilidad[[#This Row], [Concepto Anterior]],Conceptos_Contabilidad[#All],5,0),"")</f>
        <v/>
      </c>
      <c r="F1114" t="str">
        <f>+IFERROR(VLOOKUP(Fact_Contabilidad[[#This Row], 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ht="18.75" customHeight="1" x14ac:dyDescent="0.35">
      <c r="A1115" s="103"/>
      <c r="C1115" s="100" t="str">
        <f>IF(OR(Fact_Contabilidad[[#This Row], [Año]]="",Fact_Contabilidad[[#This Row], [Mes]]=""),"",DATE(A1115,MATCH(B1115,{"enero","febrero","marzo","abril","mayo","junio","julio","agosto","septiembre","octubre","noviembre","diciembre"},0)+1,0))</f>
        <v/>
      </c>
      <c r="E1115" t="str">
        <f>+IFERROR(VLOOKUP(Fact_Contabilidad[[#This Row], [Concepto Anterior]],Conceptos_Contabilidad[#All],5,0),"")</f>
        <v/>
      </c>
      <c r="F1115" t="str">
        <f>+IFERROR(VLOOKUP(Fact_Contabilidad[[#This Row], 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ht="18.75" customHeight="1" x14ac:dyDescent="0.35">
      <c r="A1116" s="103"/>
      <c r="C1116" s="100" t="str">
        <f>IF(OR(Fact_Contabilidad[[#This Row], [Año]]="",Fact_Contabilidad[[#This Row], [Mes]]=""),"",DATE(A1116,MATCH(B1116,{"enero","febrero","marzo","abril","mayo","junio","julio","agosto","septiembre","octubre","noviembre","diciembre"},0)+1,0))</f>
        <v/>
      </c>
      <c r="E1116" t="str">
        <f>+IFERROR(VLOOKUP(Fact_Contabilidad[[#This Row], [Concepto Anterior]],Conceptos_Contabilidad[#All],5,0),"")</f>
        <v/>
      </c>
      <c r="F1116" t="str">
        <f>+IFERROR(VLOOKUP(Fact_Contabilidad[[#This Row], 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ht="18.75" customHeight="1" x14ac:dyDescent="0.35">
      <c r="A1117" s="103"/>
      <c r="C1117" s="100" t="str">
        <f>IF(OR(Fact_Contabilidad[[#This Row], [Año]]="",Fact_Contabilidad[[#This Row], [Mes]]=""),"",DATE(A1117,MATCH(B1117,{"enero","febrero","marzo","abril","mayo","junio","julio","agosto","septiembre","octubre","noviembre","diciembre"},0)+1,0))</f>
        <v/>
      </c>
      <c r="E1117" t="str">
        <f>+IFERROR(VLOOKUP(Fact_Contabilidad[[#This Row], [Concepto Anterior]],Conceptos_Contabilidad[#All],5,0),"")</f>
        <v/>
      </c>
      <c r="F1117" t="str">
        <f>+IFERROR(VLOOKUP(Fact_Contabilidad[[#This Row], 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ht="18.75" customHeight="1" x14ac:dyDescent="0.35">
      <c r="A1118" s="103"/>
      <c r="C1118" s="100" t="str">
        <f>IF(OR(Fact_Contabilidad[[#This Row], [Año]]="",Fact_Contabilidad[[#This Row], [Mes]]=""),"",DATE(A1118,MATCH(B1118,{"enero","febrero","marzo","abril","mayo","junio","julio","agosto","septiembre","octubre","noviembre","diciembre"},0)+1,0))</f>
        <v/>
      </c>
      <c r="E1118" t="str">
        <f>+IFERROR(VLOOKUP(Fact_Contabilidad[[#This Row], [Concepto Anterior]],Conceptos_Contabilidad[#All],5,0),"")</f>
        <v/>
      </c>
      <c r="F1118" t="str">
        <f>+IFERROR(VLOOKUP(Fact_Contabilidad[[#This Row], 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ht="18.75" customHeight="1" x14ac:dyDescent="0.35">
      <c r="A1119" s="103"/>
      <c r="C1119" s="100" t="str">
        <f>IF(OR(Fact_Contabilidad[[#This Row], [Año]]="",Fact_Contabilidad[[#This Row], [Mes]]=""),"",DATE(A1119,MATCH(B1119,{"enero","febrero","marzo","abril","mayo","junio","julio","agosto","septiembre","octubre","noviembre","diciembre"},0)+1,0))</f>
        <v/>
      </c>
      <c r="E1119" t="str">
        <f>+IFERROR(VLOOKUP(Fact_Contabilidad[[#This Row], [Concepto Anterior]],Conceptos_Contabilidad[#All],5,0),"")</f>
        <v/>
      </c>
      <c r="F1119" t="str">
        <f>+IFERROR(VLOOKUP(Fact_Contabilidad[[#This Row], 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ht="18.75" customHeight="1" x14ac:dyDescent="0.35">
      <c r="A1120" s="103"/>
      <c r="C1120" s="100" t="str">
        <f>IF(OR(Fact_Contabilidad[[#This Row], [Año]]="",Fact_Contabilidad[[#This Row], [Mes]]=""),"",DATE(A1120,MATCH(B1120,{"enero","febrero","marzo","abril","mayo","junio","julio","agosto","septiembre","octubre","noviembre","diciembre"},0)+1,0))</f>
        <v/>
      </c>
      <c r="E1120" t="str">
        <f>+IFERROR(VLOOKUP(Fact_Contabilidad[[#This Row], [Concepto Anterior]],Conceptos_Contabilidad[#All],5,0),"")</f>
        <v/>
      </c>
      <c r="F1120" t="str">
        <f>+IFERROR(VLOOKUP(Fact_Contabilidad[[#This Row], 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ht="18.75" customHeight="1" x14ac:dyDescent="0.35">
      <c r="A1121" s="103"/>
      <c r="C1121" s="100" t="str">
        <f>IF(OR(Fact_Contabilidad[[#This Row], [Año]]="",Fact_Contabilidad[[#This Row], [Mes]]=""),"",DATE(A1121,MATCH(B1121,{"enero","febrero","marzo","abril","mayo","junio","julio","agosto","septiembre","octubre","noviembre","diciembre"},0)+1,0))</f>
        <v/>
      </c>
      <c r="E1121" t="str">
        <f>+IFERROR(VLOOKUP(Fact_Contabilidad[[#This Row], [Concepto Anterior]],Conceptos_Contabilidad[#All],5,0),"")</f>
        <v/>
      </c>
      <c r="F1121" t="str">
        <f>+IFERROR(VLOOKUP(Fact_Contabilidad[[#This Row], 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ht="18.75" customHeight="1" x14ac:dyDescent="0.35">
      <c r="A1122" s="103"/>
      <c r="C1122" s="100" t="str">
        <f>IF(OR(Fact_Contabilidad[[#This Row], [Año]]="",Fact_Contabilidad[[#This Row], [Mes]]=""),"",DATE(A1122,MATCH(B1122,{"enero","febrero","marzo","abril","mayo","junio","julio","agosto","septiembre","octubre","noviembre","diciembre"},0)+1,0))</f>
        <v/>
      </c>
      <c r="E1122" t="str">
        <f>+IFERROR(VLOOKUP(Fact_Contabilidad[[#This Row], [Concepto Anterior]],Conceptos_Contabilidad[#All],5,0),"")</f>
        <v/>
      </c>
      <c r="F1122" t="str">
        <f>+IFERROR(VLOOKUP(Fact_Contabilidad[[#This Row], 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ht="18.75" customHeight="1" x14ac:dyDescent="0.35">
      <c r="A1123" s="103"/>
      <c r="C1123" s="100" t="str">
        <f>IF(OR(Fact_Contabilidad[[#This Row], [Año]]="",Fact_Contabilidad[[#This Row], [Mes]]=""),"",DATE(A1123,MATCH(B1123,{"enero","febrero","marzo","abril","mayo","junio","julio","agosto","septiembre","octubre","noviembre","diciembre"},0)+1,0))</f>
        <v/>
      </c>
      <c r="E1123" t="str">
        <f>+IFERROR(VLOOKUP(Fact_Contabilidad[[#This Row], [Concepto Anterior]],Conceptos_Contabilidad[#All],5,0),"")</f>
        <v/>
      </c>
      <c r="F1123" t="str">
        <f>+IFERROR(VLOOKUP(Fact_Contabilidad[[#This Row], 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ht="18.75" customHeight="1" x14ac:dyDescent="0.35">
      <c r="A1124" s="103"/>
      <c r="C1124" s="100" t="str">
        <f>IF(OR(Fact_Contabilidad[[#This Row], [Año]]="",Fact_Contabilidad[[#This Row], [Mes]]=""),"",DATE(A1124,MATCH(B1124,{"enero","febrero","marzo","abril","mayo","junio","julio","agosto","septiembre","octubre","noviembre","diciembre"},0)+1,0))</f>
        <v/>
      </c>
      <c r="E1124" t="str">
        <f>+IFERROR(VLOOKUP(Fact_Contabilidad[[#This Row], [Concepto Anterior]],Conceptos_Contabilidad[#All],5,0),"")</f>
        <v/>
      </c>
      <c r="F1124" t="str">
        <f>+IFERROR(VLOOKUP(Fact_Contabilidad[[#This Row], 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ht="18.75" customHeight="1" x14ac:dyDescent="0.35">
      <c r="A1125" s="103"/>
      <c r="C1125" s="100" t="str">
        <f>IF(OR(Fact_Contabilidad[[#This Row], [Año]]="",Fact_Contabilidad[[#This Row], [Mes]]=""),"",DATE(A1125,MATCH(B1125,{"enero","febrero","marzo","abril","mayo","junio","julio","agosto","septiembre","octubre","noviembre","diciembre"},0)+1,0))</f>
        <v/>
      </c>
      <c r="E1125" t="str">
        <f>+IFERROR(VLOOKUP(Fact_Contabilidad[[#This Row], [Concepto Anterior]],Conceptos_Contabilidad[#All],5,0),"")</f>
        <v/>
      </c>
      <c r="F1125" t="str">
        <f>+IFERROR(VLOOKUP(Fact_Contabilidad[[#This Row], 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ht="18.75" customHeight="1" x14ac:dyDescent="0.35">
      <c r="A1126" s="103"/>
      <c r="C1126" s="100" t="str">
        <f>IF(OR(Fact_Contabilidad[[#This Row], [Año]]="",Fact_Contabilidad[[#This Row], [Mes]]=""),"",DATE(A1126,MATCH(B1126,{"enero","febrero","marzo","abril","mayo","junio","julio","agosto","septiembre","octubre","noviembre","diciembre"},0)+1,0))</f>
        <v/>
      </c>
      <c r="E1126" t="str">
        <f>+IFERROR(VLOOKUP(Fact_Contabilidad[[#This Row], [Concepto Anterior]],Conceptos_Contabilidad[#All],5,0),"")</f>
        <v/>
      </c>
      <c r="F1126" t="str">
        <f>+IFERROR(VLOOKUP(Fact_Contabilidad[[#This Row], 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ht="18.75" customHeight="1" x14ac:dyDescent="0.35">
      <c r="A1127" s="103"/>
      <c r="C1127" s="100" t="str">
        <f>IF(OR(Fact_Contabilidad[[#This Row], [Año]]="",Fact_Contabilidad[[#This Row], [Mes]]=""),"",DATE(A1127,MATCH(B1127,{"enero","febrero","marzo","abril","mayo","junio","julio","agosto","septiembre","octubre","noviembre","diciembre"},0)+1,0))</f>
        <v/>
      </c>
      <c r="E1127" t="str">
        <f>+IFERROR(VLOOKUP(Fact_Contabilidad[[#This Row], [Concepto Anterior]],Conceptos_Contabilidad[#All],5,0),"")</f>
        <v/>
      </c>
      <c r="F1127" t="str">
        <f>+IFERROR(VLOOKUP(Fact_Contabilidad[[#This Row], 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ht="18.75" customHeight="1" x14ac:dyDescent="0.35">
      <c r="A1128" s="103"/>
      <c r="C1128" s="100" t="str">
        <f>IF(OR(Fact_Contabilidad[[#This Row], [Año]]="",Fact_Contabilidad[[#This Row], [Mes]]=""),"",DATE(A1128,MATCH(B1128,{"enero","febrero","marzo","abril","mayo","junio","julio","agosto","septiembre","octubre","noviembre","diciembre"},0)+1,0))</f>
        <v/>
      </c>
      <c r="E1128" t="str">
        <f>+IFERROR(VLOOKUP(Fact_Contabilidad[[#This Row], [Concepto Anterior]],Conceptos_Contabilidad[#All],5,0),"")</f>
        <v/>
      </c>
      <c r="F1128" t="str">
        <f>+IFERROR(VLOOKUP(Fact_Contabilidad[[#This Row], 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ht="18.75" customHeight="1" x14ac:dyDescent="0.35">
      <c r="A1129" s="103"/>
      <c r="C1129" s="100" t="str">
        <f>IF(OR(Fact_Contabilidad[[#This Row], [Año]]="",Fact_Contabilidad[[#This Row], [Mes]]=""),"",DATE(A1129,MATCH(B1129,{"enero","febrero","marzo","abril","mayo","junio","julio","agosto","septiembre","octubre","noviembre","diciembre"},0)+1,0))</f>
        <v/>
      </c>
      <c r="E1129" t="str">
        <f>+IFERROR(VLOOKUP(Fact_Contabilidad[[#This Row], [Concepto Anterior]],Conceptos_Contabilidad[#All],5,0),"")</f>
        <v/>
      </c>
      <c r="F1129" t="str">
        <f>+IFERROR(VLOOKUP(Fact_Contabilidad[[#This Row], 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ht="18.75" customHeight="1" x14ac:dyDescent="0.35">
      <c r="A1130" s="103"/>
      <c r="C1130" s="100" t="str">
        <f>IF(OR(Fact_Contabilidad[[#This Row], [Año]]="",Fact_Contabilidad[[#This Row], [Mes]]=""),"",DATE(A1130,MATCH(B1130,{"enero","febrero","marzo","abril","mayo","junio","julio","agosto","septiembre","octubre","noviembre","diciembre"},0)+1,0))</f>
        <v/>
      </c>
      <c r="E1130" t="str">
        <f>+IFERROR(VLOOKUP(Fact_Contabilidad[[#This Row], [Concepto Anterior]],Conceptos_Contabilidad[#All],5,0),"")</f>
        <v/>
      </c>
      <c r="F1130" t="str">
        <f>+IFERROR(VLOOKUP(Fact_Contabilidad[[#This Row], 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ht="18.75" customHeight="1" x14ac:dyDescent="0.35">
      <c r="A1131" s="103"/>
      <c r="C1131" s="100" t="str">
        <f>IF(OR(Fact_Contabilidad[[#This Row], [Año]]="",Fact_Contabilidad[[#This Row], [Mes]]=""),"",DATE(A1131,MATCH(B1131,{"enero","febrero","marzo","abril","mayo","junio","julio","agosto","septiembre","octubre","noviembre","diciembre"},0)+1,0))</f>
        <v/>
      </c>
      <c r="E1131" t="str">
        <f>+IFERROR(VLOOKUP(Fact_Contabilidad[[#This Row], [Concepto Anterior]],Conceptos_Contabilidad[#All],5,0),"")</f>
        <v/>
      </c>
      <c r="F1131" t="str">
        <f>+IFERROR(VLOOKUP(Fact_Contabilidad[[#This Row], 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ht="18.75" customHeight="1" x14ac:dyDescent="0.35">
      <c r="A1132" s="103"/>
      <c r="C1132" s="100" t="str">
        <f>IF(OR(Fact_Contabilidad[[#This Row], [Año]]="",Fact_Contabilidad[[#This Row], [Mes]]=""),"",DATE(A1132,MATCH(B1132,{"enero","febrero","marzo","abril","mayo","junio","julio","agosto","septiembre","octubre","noviembre","diciembre"},0)+1,0))</f>
        <v/>
      </c>
      <c r="E1132" t="str">
        <f>+IFERROR(VLOOKUP(Fact_Contabilidad[[#This Row], [Concepto Anterior]],Conceptos_Contabilidad[#All],5,0),"")</f>
        <v/>
      </c>
      <c r="F1132" t="str">
        <f>+IFERROR(VLOOKUP(Fact_Contabilidad[[#This Row], 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ht="18.75" customHeight="1" x14ac:dyDescent="0.35">
      <c r="A1133" s="103"/>
      <c r="C1133" s="100" t="str">
        <f>IF(OR(Fact_Contabilidad[[#This Row], [Año]]="",Fact_Contabilidad[[#This Row], [Mes]]=""),"",DATE(A1133,MATCH(B1133,{"enero","febrero","marzo","abril","mayo","junio","julio","agosto","septiembre","octubre","noviembre","diciembre"},0)+1,0))</f>
        <v/>
      </c>
      <c r="E1133" t="str">
        <f>+IFERROR(VLOOKUP(Fact_Contabilidad[[#This Row], [Concepto Anterior]],Conceptos_Contabilidad[#All],5,0),"")</f>
        <v/>
      </c>
      <c r="F1133" t="str">
        <f>+IFERROR(VLOOKUP(Fact_Contabilidad[[#This Row], 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ht="18.75" customHeight="1" x14ac:dyDescent="0.35">
      <c r="A1134" s="103"/>
      <c r="C1134" s="100" t="str">
        <f>IF(OR(Fact_Contabilidad[[#This Row], [Año]]="",Fact_Contabilidad[[#This Row], [Mes]]=""),"",DATE(A1134,MATCH(B1134,{"enero","febrero","marzo","abril","mayo","junio","julio","agosto","septiembre","octubre","noviembre","diciembre"},0)+1,0))</f>
        <v/>
      </c>
      <c r="E1134" t="str">
        <f>+IFERROR(VLOOKUP(Fact_Contabilidad[[#This Row], [Concepto Anterior]],Conceptos_Contabilidad[#All],5,0),"")</f>
        <v/>
      </c>
      <c r="F1134" t="str">
        <f>+IFERROR(VLOOKUP(Fact_Contabilidad[[#This Row], 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ht="18.75" customHeight="1" x14ac:dyDescent="0.35">
      <c r="A1135" s="103"/>
      <c r="C1135" s="100" t="str">
        <f>IF(OR(Fact_Contabilidad[[#This Row], [Año]]="",Fact_Contabilidad[[#This Row], [Mes]]=""),"",DATE(A1135,MATCH(B1135,{"enero","febrero","marzo","abril","mayo","junio","julio","agosto","septiembre","octubre","noviembre","diciembre"},0)+1,0))</f>
        <v/>
      </c>
      <c r="E1135" t="str">
        <f>+IFERROR(VLOOKUP(Fact_Contabilidad[[#This Row], [Concepto Anterior]],Conceptos_Contabilidad[#All],5,0),"")</f>
        <v/>
      </c>
      <c r="F1135" t="str">
        <f>+IFERROR(VLOOKUP(Fact_Contabilidad[[#This Row], 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ht="18.75" customHeight="1" x14ac:dyDescent="0.35">
      <c r="A1136" s="103"/>
      <c r="C1136" s="100" t="str">
        <f>IF(OR(Fact_Contabilidad[[#This Row], [Año]]="",Fact_Contabilidad[[#This Row], [Mes]]=""),"",DATE(A1136,MATCH(B1136,{"enero","febrero","marzo","abril","mayo","junio","julio","agosto","septiembre","octubre","noviembre","diciembre"},0)+1,0))</f>
        <v/>
      </c>
      <c r="E1136" t="str">
        <f>+IFERROR(VLOOKUP(Fact_Contabilidad[[#This Row], [Concepto Anterior]],Conceptos_Contabilidad[#All],5,0),"")</f>
        <v/>
      </c>
      <c r="F1136" t="str">
        <f>+IFERROR(VLOOKUP(Fact_Contabilidad[[#This Row], 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ht="18.75" customHeight="1" x14ac:dyDescent="0.35">
      <c r="A1137" s="103"/>
      <c r="C1137" s="100" t="str">
        <f>IF(OR(Fact_Contabilidad[[#This Row], [Año]]="",Fact_Contabilidad[[#This Row], [Mes]]=""),"",DATE(A1137,MATCH(B1137,{"enero","febrero","marzo","abril","mayo","junio","julio","agosto","septiembre","octubre","noviembre","diciembre"},0)+1,0))</f>
        <v/>
      </c>
      <c r="E1137" t="str">
        <f>+IFERROR(VLOOKUP(Fact_Contabilidad[[#This Row], [Concepto Anterior]],Conceptos_Contabilidad[#All],5,0),"")</f>
        <v/>
      </c>
      <c r="F1137" t="str">
        <f>+IFERROR(VLOOKUP(Fact_Contabilidad[[#This Row], 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ht="18.75" customHeight="1" x14ac:dyDescent="0.35">
      <c r="A1138" s="103"/>
      <c r="C1138" s="100" t="str">
        <f>IF(OR(Fact_Contabilidad[[#This Row], [Año]]="",Fact_Contabilidad[[#This Row], [Mes]]=""),"",DATE(A1138,MATCH(B1138,{"enero","febrero","marzo","abril","mayo","junio","julio","agosto","septiembre","octubre","noviembre","diciembre"},0)+1,0))</f>
        <v/>
      </c>
      <c r="E1138" t="str">
        <f>+IFERROR(VLOOKUP(Fact_Contabilidad[[#This Row], [Concepto Anterior]],Conceptos_Contabilidad[#All],5,0),"")</f>
        <v/>
      </c>
      <c r="F1138" t="str">
        <f>+IFERROR(VLOOKUP(Fact_Contabilidad[[#This Row], 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ht="18.75" customHeight="1" x14ac:dyDescent="0.35">
      <c r="A1139" s="103"/>
      <c r="C1139" s="100" t="str">
        <f>IF(OR(Fact_Contabilidad[[#This Row], [Año]]="",Fact_Contabilidad[[#This Row], [Mes]]=""),"",DATE(A1139,MATCH(B1139,{"enero","febrero","marzo","abril","mayo","junio","julio","agosto","septiembre","octubre","noviembre","diciembre"},0)+1,0))</f>
        <v/>
      </c>
      <c r="E1139" t="str">
        <f>+IFERROR(VLOOKUP(Fact_Contabilidad[[#This Row], [Concepto Anterior]],Conceptos_Contabilidad[#All],5,0),"")</f>
        <v/>
      </c>
      <c r="F1139" t="str">
        <f>+IFERROR(VLOOKUP(Fact_Contabilidad[[#This Row], 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ht="18.75" customHeight="1" x14ac:dyDescent="0.35">
      <c r="A1140" s="103"/>
      <c r="C1140" s="100" t="str">
        <f>IF(OR(Fact_Contabilidad[[#This Row], [Año]]="",Fact_Contabilidad[[#This Row], [Mes]]=""),"",DATE(A1140,MATCH(B1140,{"enero","febrero","marzo","abril","mayo","junio","julio","agosto","septiembre","octubre","noviembre","diciembre"},0)+1,0))</f>
        <v/>
      </c>
      <c r="E1140" t="str">
        <f>+IFERROR(VLOOKUP(Fact_Contabilidad[[#This Row], [Concepto Anterior]],Conceptos_Contabilidad[#All],5,0),"")</f>
        <v/>
      </c>
      <c r="F1140" t="str">
        <f>+IFERROR(VLOOKUP(Fact_Contabilidad[[#This Row], 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ht="18.75" customHeight="1" x14ac:dyDescent="0.35">
      <c r="A1141" s="103"/>
      <c r="C1141" s="100" t="str">
        <f>IF(OR(Fact_Contabilidad[[#This Row], [Año]]="",Fact_Contabilidad[[#This Row], [Mes]]=""),"",DATE(A1141,MATCH(B1141,{"enero","febrero","marzo","abril","mayo","junio","julio","agosto","septiembre","octubre","noviembre","diciembre"},0)+1,0))</f>
        <v/>
      </c>
      <c r="E1141" t="str">
        <f>+IFERROR(VLOOKUP(Fact_Contabilidad[[#This Row], [Concepto Anterior]],Conceptos_Contabilidad[#All],5,0),"")</f>
        <v/>
      </c>
      <c r="F1141" t="str">
        <f>+IFERROR(VLOOKUP(Fact_Contabilidad[[#This Row], 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ht="18.75" customHeight="1" x14ac:dyDescent="0.35">
      <c r="A1142" s="103"/>
      <c r="C1142" s="100" t="str">
        <f>IF(OR(Fact_Contabilidad[[#This Row], [Año]]="",Fact_Contabilidad[[#This Row], [Mes]]=""),"",DATE(A1142,MATCH(B1142,{"enero","febrero","marzo","abril","mayo","junio","julio","agosto","septiembre","octubre","noviembre","diciembre"},0)+1,0))</f>
        <v/>
      </c>
      <c r="E1142" t="str">
        <f>+IFERROR(VLOOKUP(Fact_Contabilidad[[#This Row], [Concepto Anterior]],Conceptos_Contabilidad[#All],5,0),"")</f>
        <v/>
      </c>
      <c r="F1142" t="str">
        <f>+IFERROR(VLOOKUP(Fact_Contabilidad[[#This Row], 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ht="18.75" customHeight="1" x14ac:dyDescent="0.35">
      <c r="A1143" s="103"/>
      <c r="C1143" s="100" t="str">
        <f>IF(OR(Fact_Contabilidad[[#This Row], [Año]]="",Fact_Contabilidad[[#This Row], [Mes]]=""),"",DATE(A1143,MATCH(B1143,{"enero","febrero","marzo","abril","mayo","junio","julio","agosto","septiembre","octubre","noviembre","diciembre"},0)+1,0))</f>
        <v/>
      </c>
      <c r="E1143" t="str">
        <f>+IFERROR(VLOOKUP(Fact_Contabilidad[[#This Row], [Concepto Anterior]],Conceptos_Contabilidad[#All],5,0),"")</f>
        <v/>
      </c>
      <c r="F1143" t="str">
        <f>+IFERROR(VLOOKUP(Fact_Contabilidad[[#This Row], 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ht="18.75" customHeight="1" x14ac:dyDescent="0.35">
      <c r="A1144" s="103"/>
      <c r="C1144" s="100" t="str">
        <f>IF(OR(Fact_Contabilidad[[#This Row], [Año]]="",Fact_Contabilidad[[#This Row], [Mes]]=""),"",DATE(A1144,MATCH(B1144,{"enero","febrero","marzo","abril","mayo","junio","julio","agosto","septiembre","octubre","noviembre","diciembre"},0)+1,0))</f>
        <v/>
      </c>
      <c r="E1144" t="str">
        <f>+IFERROR(VLOOKUP(Fact_Contabilidad[[#This Row], [Concepto Anterior]],Conceptos_Contabilidad[#All],5,0),"")</f>
        <v/>
      </c>
      <c r="F1144" t="str">
        <f>+IFERROR(VLOOKUP(Fact_Contabilidad[[#This Row], 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ht="18.75" customHeight="1" x14ac:dyDescent="0.35">
      <c r="A1145" s="103"/>
      <c r="C1145" s="100" t="str">
        <f>IF(OR(Fact_Contabilidad[[#This Row], [Año]]="",Fact_Contabilidad[[#This Row], [Mes]]=""),"",DATE(A1145,MATCH(B1145,{"enero","febrero","marzo","abril","mayo","junio","julio","agosto","septiembre","octubre","noviembre","diciembre"},0)+1,0))</f>
        <v/>
      </c>
      <c r="E1145" t="str">
        <f>+IFERROR(VLOOKUP(Fact_Contabilidad[[#This Row], [Concepto Anterior]],Conceptos_Contabilidad[#All],5,0),"")</f>
        <v/>
      </c>
      <c r="F1145" t="str">
        <f>+IFERROR(VLOOKUP(Fact_Contabilidad[[#This Row], 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ht="18.75" customHeight="1" x14ac:dyDescent="0.35">
      <c r="A1146" s="103"/>
      <c r="C1146" s="100" t="str">
        <f>IF(OR(Fact_Contabilidad[[#This Row], [Año]]="",Fact_Contabilidad[[#This Row], [Mes]]=""),"",DATE(A1146,MATCH(B1146,{"enero","febrero","marzo","abril","mayo","junio","julio","agosto","septiembre","octubre","noviembre","diciembre"},0)+1,0))</f>
        <v/>
      </c>
      <c r="E1146" t="str">
        <f>+IFERROR(VLOOKUP(Fact_Contabilidad[[#This Row], [Concepto Anterior]],Conceptos_Contabilidad[#All],5,0),"")</f>
        <v/>
      </c>
      <c r="F1146" t="str">
        <f>+IFERROR(VLOOKUP(Fact_Contabilidad[[#This Row], 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ht="18.75" customHeight="1" x14ac:dyDescent="0.35">
      <c r="A1147" s="103"/>
      <c r="C1147" s="100" t="str">
        <f>IF(OR(Fact_Contabilidad[[#This Row], [Año]]="",Fact_Contabilidad[[#This Row], [Mes]]=""),"",DATE(A1147,MATCH(B1147,{"enero","febrero","marzo","abril","mayo","junio","julio","agosto","septiembre","octubre","noviembre","diciembre"},0)+1,0))</f>
        <v/>
      </c>
      <c r="E1147" t="str">
        <f>+IFERROR(VLOOKUP(Fact_Contabilidad[[#This Row], [Concepto Anterior]],Conceptos_Contabilidad[#All],5,0),"")</f>
        <v/>
      </c>
      <c r="F1147" t="str">
        <f>+IFERROR(VLOOKUP(Fact_Contabilidad[[#This Row], 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ht="18.75" customHeight="1" x14ac:dyDescent="0.35">
      <c r="A1148" s="103"/>
      <c r="C1148" s="100" t="str">
        <f>IF(OR(Fact_Contabilidad[[#This Row], [Año]]="",Fact_Contabilidad[[#This Row], [Mes]]=""),"",DATE(A1148,MATCH(B1148,{"enero","febrero","marzo","abril","mayo","junio","julio","agosto","septiembre","octubre","noviembre","diciembre"},0)+1,0))</f>
        <v/>
      </c>
      <c r="E1148" t="str">
        <f>+IFERROR(VLOOKUP(Fact_Contabilidad[[#This Row], [Concepto Anterior]],Conceptos_Contabilidad[#All],5,0),"")</f>
        <v/>
      </c>
      <c r="F1148" t="str">
        <f>+IFERROR(VLOOKUP(Fact_Contabilidad[[#This Row], 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ht="18.75" customHeight="1" x14ac:dyDescent="0.35">
      <c r="A1149" s="103"/>
      <c r="C1149" s="100" t="str">
        <f>IF(OR(Fact_Contabilidad[[#This Row], [Año]]="",Fact_Contabilidad[[#This Row], [Mes]]=""),"",DATE(A1149,MATCH(B1149,{"enero","febrero","marzo","abril","mayo","junio","julio","agosto","septiembre","octubre","noviembre","diciembre"},0)+1,0))</f>
        <v/>
      </c>
      <c r="E1149" t="str">
        <f>+IFERROR(VLOOKUP(Fact_Contabilidad[[#This Row], [Concepto Anterior]],Conceptos_Contabilidad[#All],5,0),"")</f>
        <v/>
      </c>
      <c r="F1149" t="str">
        <f>+IFERROR(VLOOKUP(Fact_Contabilidad[[#This Row], 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ht="18.75" customHeight="1" x14ac:dyDescent="0.35">
      <c r="A1150" s="103"/>
      <c r="C1150" s="100" t="str">
        <f>IF(OR(Fact_Contabilidad[[#This Row], [Año]]="",Fact_Contabilidad[[#This Row], [Mes]]=""),"",DATE(A1150,MATCH(B1150,{"enero","febrero","marzo","abril","mayo","junio","julio","agosto","septiembre","octubre","noviembre","diciembre"},0)+1,0))</f>
        <v/>
      </c>
      <c r="E1150" t="str">
        <f>+IFERROR(VLOOKUP(Fact_Contabilidad[[#This Row], [Concepto Anterior]],Conceptos_Contabilidad[#All],5,0),"")</f>
        <v/>
      </c>
      <c r="F1150" t="str">
        <f>+IFERROR(VLOOKUP(Fact_Contabilidad[[#This Row], 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ht="18.75" customHeight="1" x14ac:dyDescent="0.35">
      <c r="A1151" s="103"/>
      <c r="C1151" s="100" t="str">
        <f>IF(OR(Fact_Contabilidad[[#This Row], [Año]]="",Fact_Contabilidad[[#This Row], [Mes]]=""),"",DATE(A1151,MATCH(B1151,{"enero","febrero","marzo","abril","mayo","junio","julio","agosto","septiembre","octubre","noviembre","diciembre"},0)+1,0))</f>
        <v/>
      </c>
      <c r="E1151" t="str">
        <f>+IFERROR(VLOOKUP(Fact_Contabilidad[[#This Row], [Concepto Anterior]],Conceptos_Contabilidad[#All],5,0),"")</f>
        <v/>
      </c>
      <c r="F1151" t="str">
        <f>+IFERROR(VLOOKUP(Fact_Contabilidad[[#This Row], 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ht="18.75" customHeight="1" x14ac:dyDescent="0.35">
      <c r="A1152" s="103"/>
      <c r="C1152" s="100" t="str">
        <f>IF(OR(Fact_Contabilidad[[#This Row], [Año]]="",Fact_Contabilidad[[#This Row], [Mes]]=""),"",DATE(A1152,MATCH(B1152,{"enero","febrero","marzo","abril","mayo","junio","julio","agosto","septiembre","octubre","noviembre","diciembre"},0)+1,0))</f>
        <v/>
      </c>
      <c r="E1152" t="str">
        <f>+IFERROR(VLOOKUP(Fact_Contabilidad[[#This Row], [Concepto Anterior]],Conceptos_Contabilidad[#All],5,0),"")</f>
        <v/>
      </c>
      <c r="F1152" t="str">
        <f>+IFERROR(VLOOKUP(Fact_Contabilidad[[#This Row], 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ht="18.75" customHeight="1" x14ac:dyDescent="0.35">
      <c r="A1153" s="103"/>
      <c r="C1153" s="100" t="str">
        <f>IF(OR(Fact_Contabilidad[[#This Row], [Año]]="",Fact_Contabilidad[[#This Row], [Mes]]=""),"",DATE(A1153,MATCH(B1153,{"enero","febrero","marzo","abril","mayo","junio","julio","agosto","septiembre","octubre","noviembre","diciembre"},0)+1,0))</f>
        <v/>
      </c>
      <c r="E1153" t="str">
        <f>+IFERROR(VLOOKUP(Fact_Contabilidad[[#This Row], [Concepto Anterior]],Conceptos_Contabilidad[#All],5,0),"")</f>
        <v/>
      </c>
      <c r="F1153" t="str">
        <f>+IFERROR(VLOOKUP(Fact_Contabilidad[[#This Row], 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ht="18.75" customHeight="1" x14ac:dyDescent="0.35">
      <c r="A1154" s="103"/>
      <c r="C1154" s="100" t="str">
        <f>IF(OR(Fact_Contabilidad[[#This Row], [Año]]="",Fact_Contabilidad[[#This Row], [Mes]]=""),"",DATE(A1154,MATCH(B1154,{"enero","febrero","marzo","abril","mayo","junio","julio","agosto","septiembre","octubre","noviembre","diciembre"},0)+1,0))</f>
        <v/>
      </c>
      <c r="E1154" t="str">
        <f>+IFERROR(VLOOKUP(Fact_Contabilidad[[#This Row], [Concepto Anterior]],Conceptos_Contabilidad[#All],5,0),"")</f>
        <v/>
      </c>
      <c r="F1154" t="str">
        <f>+IFERROR(VLOOKUP(Fact_Contabilidad[[#This Row], 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ht="18.75" customHeight="1" x14ac:dyDescent="0.35">
      <c r="A1155" s="103"/>
      <c r="C1155" s="100" t="str">
        <f>IF(OR(Fact_Contabilidad[[#This Row], [Año]]="",Fact_Contabilidad[[#This Row], [Mes]]=""),"",DATE(A1155,MATCH(B1155,{"enero","febrero","marzo","abril","mayo","junio","julio","agosto","septiembre","octubre","noviembre","diciembre"},0)+1,0))</f>
        <v/>
      </c>
      <c r="E1155" t="str">
        <f>+IFERROR(VLOOKUP(Fact_Contabilidad[[#This Row], [Concepto Anterior]],Conceptos_Contabilidad[#All],5,0),"")</f>
        <v/>
      </c>
      <c r="F1155" t="str">
        <f>+IFERROR(VLOOKUP(Fact_Contabilidad[[#This Row], 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ht="18.75" customHeight="1" x14ac:dyDescent="0.35">
      <c r="A1156" s="103"/>
      <c r="C1156" s="100" t="str">
        <f>IF(OR(Fact_Contabilidad[[#This Row], [Año]]="",Fact_Contabilidad[[#This Row], [Mes]]=""),"",DATE(A1156,MATCH(B1156,{"enero","febrero","marzo","abril","mayo","junio","julio","agosto","septiembre","octubre","noviembre","diciembre"},0)+1,0))</f>
        <v/>
      </c>
      <c r="E1156" t="str">
        <f>+IFERROR(VLOOKUP(Fact_Contabilidad[[#This Row], [Concepto Anterior]],Conceptos_Contabilidad[#All],5,0),"")</f>
        <v/>
      </c>
      <c r="F1156" t="str">
        <f>+IFERROR(VLOOKUP(Fact_Contabilidad[[#This Row], 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ht="18.75" customHeight="1" x14ac:dyDescent="0.35">
      <c r="A1157" s="103"/>
      <c r="C1157" s="100" t="str">
        <f>IF(OR(Fact_Contabilidad[[#This Row], [Año]]="",Fact_Contabilidad[[#This Row], [Mes]]=""),"",DATE(A1157,MATCH(B1157,{"enero","febrero","marzo","abril","mayo","junio","julio","agosto","septiembre","octubre","noviembre","diciembre"},0)+1,0))</f>
        <v/>
      </c>
      <c r="E1157" t="str">
        <f>+IFERROR(VLOOKUP(Fact_Contabilidad[[#This Row], [Concepto Anterior]],Conceptos_Contabilidad[#All],5,0),"")</f>
        <v/>
      </c>
      <c r="F1157" t="str">
        <f>+IFERROR(VLOOKUP(Fact_Contabilidad[[#This Row], 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ht="18.75" customHeight="1" x14ac:dyDescent="0.35">
      <c r="A1158" s="103"/>
      <c r="C1158" s="100" t="str">
        <f>IF(OR(Fact_Contabilidad[[#This Row], [Año]]="",Fact_Contabilidad[[#This Row], [Mes]]=""),"",DATE(A1158,MATCH(B1158,{"enero","febrero","marzo","abril","mayo","junio","julio","agosto","septiembre","octubre","noviembre","diciembre"},0)+1,0))</f>
        <v/>
      </c>
      <c r="E1158" t="str">
        <f>+IFERROR(VLOOKUP(Fact_Contabilidad[[#This Row], [Concepto Anterior]],Conceptos_Contabilidad[#All],5,0),"")</f>
        <v/>
      </c>
      <c r="F1158" t="str">
        <f>+IFERROR(VLOOKUP(Fact_Contabilidad[[#This Row], 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ht="18.75" customHeight="1" x14ac:dyDescent="0.35">
      <c r="A1159" s="103"/>
      <c r="C1159" s="100" t="str">
        <f>IF(OR(Fact_Contabilidad[[#This Row], [Año]]="",Fact_Contabilidad[[#This Row], [Mes]]=""),"",DATE(A1159,MATCH(B1159,{"enero","febrero","marzo","abril","mayo","junio","julio","agosto","septiembre","octubre","noviembre","diciembre"},0)+1,0))</f>
        <v/>
      </c>
      <c r="E1159" t="str">
        <f>+IFERROR(VLOOKUP(Fact_Contabilidad[[#This Row], [Concepto Anterior]],Conceptos_Contabilidad[#All],5,0),"")</f>
        <v/>
      </c>
      <c r="F1159" t="str">
        <f>+IFERROR(VLOOKUP(Fact_Contabilidad[[#This Row], 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ht="18.75" customHeight="1" x14ac:dyDescent="0.35">
      <c r="A1160" s="103"/>
      <c r="C1160" s="100" t="str">
        <f>IF(OR(Fact_Contabilidad[[#This Row], [Año]]="",Fact_Contabilidad[[#This Row], [Mes]]=""),"",DATE(A1160,MATCH(B1160,{"enero","febrero","marzo","abril","mayo","junio","julio","agosto","septiembre","octubre","noviembre","diciembre"},0)+1,0))</f>
        <v/>
      </c>
      <c r="E1160" t="str">
        <f>+IFERROR(VLOOKUP(Fact_Contabilidad[[#This Row], [Concepto Anterior]],Conceptos_Contabilidad[#All],5,0),"")</f>
        <v/>
      </c>
      <c r="F1160" t="str">
        <f>+IFERROR(VLOOKUP(Fact_Contabilidad[[#This Row], 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ht="18.75" customHeight="1" x14ac:dyDescent="0.35">
      <c r="A1161" s="103"/>
      <c r="C1161" s="100" t="str">
        <f>IF(OR(Fact_Contabilidad[[#This Row], [Año]]="",Fact_Contabilidad[[#This Row], [Mes]]=""),"",DATE(A1161,MATCH(B1161,{"enero","febrero","marzo","abril","mayo","junio","julio","agosto","septiembre","octubre","noviembre","diciembre"},0)+1,0))</f>
        <v/>
      </c>
      <c r="E1161" t="str">
        <f>+IFERROR(VLOOKUP(Fact_Contabilidad[[#This Row], [Concepto Anterior]],Conceptos_Contabilidad[#All],5,0),"")</f>
        <v/>
      </c>
      <c r="F1161" t="str">
        <f>+IFERROR(VLOOKUP(Fact_Contabilidad[[#This Row], 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ht="18.75" customHeight="1" x14ac:dyDescent="0.35">
      <c r="A1162" s="103"/>
      <c r="C1162" s="100" t="str">
        <f>IF(OR(Fact_Contabilidad[[#This Row], [Año]]="",Fact_Contabilidad[[#This Row], [Mes]]=""),"",DATE(A1162,MATCH(B1162,{"enero","febrero","marzo","abril","mayo","junio","julio","agosto","septiembre","octubre","noviembre","diciembre"},0)+1,0))</f>
        <v/>
      </c>
      <c r="E1162" t="str">
        <f>+IFERROR(VLOOKUP(Fact_Contabilidad[[#This Row], [Concepto Anterior]],Conceptos_Contabilidad[#All],5,0),"")</f>
        <v/>
      </c>
      <c r="F1162" t="str">
        <f>+IFERROR(VLOOKUP(Fact_Contabilidad[[#This Row], 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ht="18.75" customHeight="1" x14ac:dyDescent="0.35">
      <c r="A1163" s="103"/>
      <c r="C1163" s="100" t="str">
        <f>IF(OR(Fact_Contabilidad[[#This Row], [Año]]="",Fact_Contabilidad[[#This Row], [Mes]]=""),"",DATE(A1163,MATCH(B1163,{"enero","febrero","marzo","abril","mayo","junio","julio","agosto","septiembre","octubre","noviembre","diciembre"},0)+1,0))</f>
        <v/>
      </c>
      <c r="E1163" t="str">
        <f>+IFERROR(VLOOKUP(Fact_Contabilidad[[#This Row], [Concepto Anterior]],Conceptos_Contabilidad[#All],5,0),"")</f>
        <v/>
      </c>
      <c r="F1163" t="str">
        <f>+IFERROR(VLOOKUP(Fact_Contabilidad[[#This Row], 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ht="18.75" customHeight="1" x14ac:dyDescent="0.35">
      <c r="A1164" s="103"/>
      <c r="C1164" s="100" t="str">
        <f>IF(OR(Fact_Contabilidad[[#This Row], [Año]]="",Fact_Contabilidad[[#This Row], [Mes]]=""),"",DATE(A1164,MATCH(B1164,{"enero","febrero","marzo","abril","mayo","junio","julio","agosto","septiembre","octubre","noviembre","diciembre"},0)+1,0))</f>
        <v/>
      </c>
      <c r="E1164" t="str">
        <f>+IFERROR(VLOOKUP(Fact_Contabilidad[[#This Row], [Concepto Anterior]],Conceptos_Contabilidad[#All],5,0),"")</f>
        <v/>
      </c>
      <c r="F1164" t="str">
        <f>+IFERROR(VLOOKUP(Fact_Contabilidad[[#This Row], 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ht="18.75" customHeight="1" x14ac:dyDescent="0.35">
      <c r="A1165" s="103"/>
      <c r="C1165" s="100" t="str">
        <f>IF(OR(Fact_Contabilidad[[#This Row], [Año]]="",Fact_Contabilidad[[#This Row], [Mes]]=""),"",DATE(A1165,MATCH(B1165,{"enero","febrero","marzo","abril","mayo","junio","julio","agosto","septiembre","octubre","noviembre","diciembre"},0)+1,0))</f>
        <v/>
      </c>
      <c r="E1165" t="str">
        <f>+IFERROR(VLOOKUP(Fact_Contabilidad[[#This Row], [Concepto Anterior]],Conceptos_Contabilidad[#All],5,0),"")</f>
        <v/>
      </c>
      <c r="F1165" t="str">
        <f>+IFERROR(VLOOKUP(Fact_Contabilidad[[#This Row], 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ht="18.75" customHeight="1" x14ac:dyDescent="0.35">
      <c r="A1166" s="103"/>
      <c r="C1166" s="100" t="str">
        <f>IF(OR(Fact_Contabilidad[[#This Row], [Año]]="",Fact_Contabilidad[[#This Row], [Mes]]=""),"",DATE(A1166,MATCH(B1166,{"enero","febrero","marzo","abril","mayo","junio","julio","agosto","septiembre","octubre","noviembre","diciembre"},0)+1,0))</f>
        <v/>
      </c>
      <c r="E1166" t="str">
        <f>+IFERROR(VLOOKUP(Fact_Contabilidad[[#This Row], [Concepto Anterior]],Conceptos_Contabilidad[#All],5,0),"")</f>
        <v/>
      </c>
      <c r="F1166" t="str">
        <f>+IFERROR(VLOOKUP(Fact_Contabilidad[[#This Row], 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ht="18.75" customHeight="1" x14ac:dyDescent="0.35">
      <c r="A1167" s="103"/>
      <c r="C1167" s="100" t="str">
        <f>IF(OR(Fact_Contabilidad[[#This Row], [Año]]="",Fact_Contabilidad[[#This Row], [Mes]]=""),"",DATE(A1167,MATCH(B1167,{"enero","febrero","marzo","abril","mayo","junio","julio","agosto","septiembre","octubre","noviembre","diciembre"},0)+1,0))</f>
        <v/>
      </c>
      <c r="E1167" t="str">
        <f>+IFERROR(VLOOKUP(Fact_Contabilidad[[#This Row], [Concepto Anterior]],Conceptos_Contabilidad[#All],5,0),"")</f>
        <v/>
      </c>
      <c r="F1167" t="str">
        <f>+IFERROR(VLOOKUP(Fact_Contabilidad[[#This Row], 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ht="18.75" customHeight="1" x14ac:dyDescent="0.35">
      <c r="A1168" s="103"/>
      <c r="C1168" s="100" t="str">
        <f>IF(OR(Fact_Contabilidad[[#This Row], [Año]]="",Fact_Contabilidad[[#This Row], [Mes]]=""),"",DATE(A1168,MATCH(B1168,{"enero","febrero","marzo","abril","mayo","junio","julio","agosto","septiembre","octubre","noviembre","diciembre"},0)+1,0))</f>
        <v/>
      </c>
      <c r="E1168" t="str">
        <f>+IFERROR(VLOOKUP(Fact_Contabilidad[[#This Row], [Concepto Anterior]],Conceptos_Contabilidad[#All],5,0),"")</f>
        <v/>
      </c>
      <c r="F1168" t="str">
        <f>+IFERROR(VLOOKUP(Fact_Contabilidad[[#This Row], 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ht="18.75" customHeight="1" x14ac:dyDescent="0.35">
      <c r="A1169" s="103"/>
      <c r="C1169" s="100" t="str">
        <f>IF(OR(Fact_Contabilidad[[#This Row], [Año]]="",Fact_Contabilidad[[#This Row], [Mes]]=""),"",DATE(A1169,MATCH(B1169,{"enero","febrero","marzo","abril","mayo","junio","julio","agosto","septiembre","octubre","noviembre","diciembre"},0)+1,0))</f>
        <v/>
      </c>
      <c r="E1169" t="str">
        <f>+IFERROR(VLOOKUP(Fact_Contabilidad[[#This Row], [Concepto Anterior]],Conceptos_Contabilidad[#All],5,0),"")</f>
        <v/>
      </c>
      <c r="F1169" t="str">
        <f>+IFERROR(VLOOKUP(Fact_Contabilidad[[#This Row], 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ht="18.75" customHeight="1" x14ac:dyDescent="0.35">
      <c r="A1170" s="103"/>
      <c r="C1170" s="100" t="str">
        <f>IF(OR(Fact_Contabilidad[[#This Row], [Año]]="",Fact_Contabilidad[[#This Row], [Mes]]=""),"",DATE(A1170,MATCH(B1170,{"enero","febrero","marzo","abril","mayo","junio","julio","agosto","septiembre","octubre","noviembre","diciembre"},0)+1,0))</f>
        <v/>
      </c>
      <c r="E1170" t="str">
        <f>+IFERROR(VLOOKUP(Fact_Contabilidad[[#This Row], [Concepto Anterior]],Conceptos_Contabilidad[#All],5,0),"")</f>
        <v/>
      </c>
      <c r="F1170" t="str">
        <f>+IFERROR(VLOOKUP(Fact_Contabilidad[[#This Row], 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ht="18.75" customHeight="1" x14ac:dyDescent="0.35">
      <c r="A1171" s="103"/>
      <c r="C1171" s="100" t="str">
        <f>IF(OR(Fact_Contabilidad[[#This Row], [Año]]="",Fact_Contabilidad[[#This Row], [Mes]]=""),"",DATE(A1171,MATCH(B1171,{"enero","febrero","marzo","abril","mayo","junio","julio","agosto","septiembre","octubre","noviembre","diciembre"},0)+1,0))</f>
        <v/>
      </c>
      <c r="E1171" t="str">
        <f>+IFERROR(VLOOKUP(Fact_Contabilidad[[#This Row], [Concepto Anterior]],Conceptos_Contabilidad[#All],5,0),"")</f>
        <v/>
      </c>
      <c r="F1171" t="str">
        <f>+IFERROR(VLOOKUP(Fact_Contabilidad[[#This Row], 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ht="18.75" customHeight="1" x14ac:dyDescent="0.35">
      <c r="A1172" s="103"/>
      <c r="C1172" s="100" t="str">
        <f>IF(OR(Fact_Contabilidad[[#This Row], [Año]]="",Fact_Contabilidad[[#This Row], [Mes]]=""),"",DATE(A1172,MATCH(B1172,{"enero","febrero","marzo","abril","mayo","junio","julio","agosto","septiembre","octubre","noviembre","diciembre"},0)+1,0))</f>
        <v/>
      </c>
      <c r="E1172" t="str">
        <f>+IFERROR(VLOOKUP(Fact_Contabilidad[[#This Row], [Concepto Anterior]],Conceptos_Contabilidad[#All],5,0),"")</f>
        <v/>
      </c>
      <c r="F1172" t="str">
        <f>+IFERROR(VLOOKUP(Fact_Contabilidad[[#This Row], 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ht="18.75" customHeight="1" x14ac:dyDescent="0.35">
      <c r="A1173" s="103"/>
      <c r="C1173" s="100" t="str">
        <f>IF(OR(Fact_Contabilidad[[#This Row], [Año]]="",Fact_Contabilidad[[#This Row], [Mes]]=""),"",DATE(A1173,MATCH(B1173,{"enero","febrero","marzo","abril","mayo","junio","julio","agosto","septiembre","octubre","noviembre","diciembre"},0)+1,0))</f>
        <v/>
      </c>
      <c r="E1173" t="str">
        <f>+IFERROR(VLOOKUP(Fact_Contabilidad[[#This Row], [Concepto Anterior]],Conceptos_Contabilidad[#All],5,0),"")</f>
        <v/>
      </c>
      <c r="F1173" t="str">
        <f>+IFERROR(VLOOKUP(Fact_Contabilidad[[#This Row], 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ht="18.75" customHeight="1" x14ac:dyDescent="0.35">
      <c r="A1174" s="103"/>
      <c r="C1174" s="100" t="str">
        <f>IF(OR(Fact_Contabilidad[[#This Row], [Año]]="",Fact_Contabilidad[[#This Row], [Mes]]=""),"",DATE(A1174,MATCH(B1174,{"enero","febrero","marzo","abril","mayo","junio","julio","agosto","septiembre","octubre","noviembre","diciembre"},0)+1,0))</f>
        <v/>
      </c>
      <c r="E1174" t="str">
        <f>+IFERROR(VLOOKUP(Fact_Contabilidad[[#This Row], [Concepto Anterior]],Conceptos_Contabilidad[#All],5,0),"")</f>
        <v/>
      </c>
      <c r="F1174" t="str">
        <f>+IFERROR(VLOOKUP(Fact_Contabilidad[[#This Row], 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ht="18.75" customHeight="1" x14ac:dyDescent="0.35">
      <c r="A1175" s="103"/>
      <c r="C1175" s="100" t="str">
        <f>IF(OR(Fact_Contabilidad[[#This Row], [Año]]="",Fact_Contabilidad[[#This Row], [Mes]]=""),"",DATE(A1175,MATCH(B1175,{"enero","febrero","marzo","abril","mayo","junio","julio","agosto","septiembre","octubre","noviembre","diciembre"},0)+1,0))</f>
        <v/>
      </c>
      <c r="E1175" t="str">
        <f>+IFERROR(VLOOKUP(Fact_Contabilidad[[#This Row], [Concepto Anterior]],Conceptos_Contabilidad[#All],5,0),"")</f>
        <v/>
      </c>
      <c r="F1175" t="str">
        <f>+IFERROR(VLOOKUP(Fact_Contabilidad[[#This Row], 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ht="18.75" customHeight="1" x14ac:dyDescent="0.35">
      <c r="A1176" s="103"/>
      <c r="C1176" s="100" t="str">
        <f>IF(OR(Fact_Contabilidad[[#This Row], [Año]]="",Fact_Contabilidad[[#This Row], [Mes]]=""),"",DATE(A1176,MATCH(B1176,{"enero","febrero","marzo","abril","mayo","junio","julio","agosto","septiembre","octubre","noviembre","diciembre"},0)+1,0))</f>
        <v/>
      </c>
      <c r="E1176" t="str">
        <f>+IFERROR(VLOOKUP(Fact_Contabilidad[[#This Row], [Concepto Anterior]],Conceptos_Contabilidad[#All],5,0),"")</f>
        <v/>
      </c>
      <c r="F1176" t="str">
        <f>+IFERROR(VLOOKUP(Fact_Contabilidad[[#This Row], 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ht="18.75" customHeight="1" x14ac:dyDescent="0.35">
      <c r="A1177" s="103"/>
      <c r="C1177" s="100" t="str">
        <f>IF(OR(Fact_Contabilidad[[#This Row], [Año]]="",Fact_Contabilidad[[#This Row], [Mes]]=""),"",DATE(A1177,MATCH(B1177,{"enero","febrero","marzo","abril","mayo","junio","julio","agosto","septiembre","octubre","noviembre","diciembre"},0)+1,0))</f>
        <v/>
      </c>
      <c r="E1177" t="str">
        <f>+IFERROR(VLOOKUP(Fact_Contabilidad[[#This Row], [Concepto Anterior]],Conceptos_Contabilidad[#All],5,0),"")</f>
        <v/>
      </c>
      <c r="F1177" t="str">
        <f>+IFERROR(VLOOKUP(Fact_Contabilidad[[#This Row], 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ht="18.75" customHeight="1" x14ac:dyDescent="0.35">
      <c r="A1178" s="103"/>
      <c r="C1178" s="100" t="str">
        <f>IF(OR(Fact_Contabilidad[[#This Row], [Año]]="",Fact_Contabilidad[[#This Row], [Mes]]=""),"",DATE(A1178,MATCH(B1178,{"enero","febrero","marzo","abril","mayo","junio","julio","agosto","septiembre","octubre","noviembre","diciembre"},0)+1,0))</f>
        <v/>
      </c>
      <c r="E1178" t="str">
        <f>+IFERROR(VLOOKUP(Fact_Contabilidad[[#This Row], [Concepto Anterior]],Conceptos_Contabilidad[#All],5,0),"")</f>
        <v/>
      </c>
      <c r="F1178" t="str">
        <f>+IFERROR(VLOOKUP(Fact_Contabilidad[[#This Row], 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ht="18.75" customHeight="1" x14ac:dyDescent="0.35">
      <c r="A1179" s="103"/>
      <c r="C1179" s="100" t="str">
        <f>IF(OR(Fact_Contabilidad[[#This Row], [Año]]="",Fact_Contabilidad[[#This Row], [Mes]]=""),"",DATE(A1179,MATCH(B1179,{"enero","febrero","marzo","abril","mayo","junio","julio","agosto","septiembre","octubre","noviembre","diciembre"},0)+1,0))</f>
        <v/>
      </c>
      <c r="E1179" t="str">
        <f>+IFERROR(VLOOKUP(Fact_Contabilidad[[#This Row], [Concepto Anterior]],Conceptos_Contabilidad[#All],5,0),"")</f>
        <v/>
      </c>
      <c r="F1179" t="str">
        <f>+IFERROR(VLOOKUP(Fact_Contabilidad[[#This Row], 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ht="18.75" customHeight="1" x14ac:dyDescent="0.35">
      <c r="A1180" s="103"/>
      <c r="C1180" s="100" t="str">
        <f>IF(OR(Fact_Contabilidad[[#This Row], [Año]]="",Fact_Contabilidad[[#This Row], [Mes]]=""),"",DATE(A1180,MATCH(B1180,{"enero","febrero","marzo","abril","mayo","junio","julio","agosto","septiembre","octubre","noviembre","diciembre"},0)+1,0))</f>
        <v/>
      </c>
      <c r="E1180" t="str">
        <f>+IFERROR(VLOOKUP(Fact_Contabilidad[[#This Row], [Concepto Anterior]],Conceptos_Contabilidad[#All],5,0),"")</f>
        <v/>
      </c>
      <c r="F1180" t="str">
        <f>+IFERROR(VLOOKUP(Fact_Contabilidad[[#This Row], 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ht="18.75" customHeight="1" x14ac:dyDescent="0.35">
      <c r="A1181" s="103"/>
      <c r="C1181" s="100" t="str">
        <f>IF(OR(Fact_Contabilidad[[#This Row], [Año]]="",Fact_Contabilidad[[#This Row], [Mes]]=""),"",DATE(A1181,MATCH(B1181,{"enero","febrero","marzo","abril","mayo","junio","julio","agosto","septiembre","octubre","noviembre","diciembre"},0)+1,0))</f>
        <v/>
      </c>
      <c r="E1181" t="str">
        <f>+IFERROR(VLOOKUP(Fact_Contabilidad[[#This Row], [Concepto Anterior]],Conceptos_Contabilidad[#All],5,0),"")</f>
        <v/>
      </c>
      <c r="F1181" t="str">
        <f>+IFERROR(VLOOKUP(Fact_Contabilidad[[#This Row], 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ht="18.75" customHeight="1" x14ac:dyDescent="0.35">
      <c r="A1182" s="103"/>
      <c r="C1182" s="100" t="str">
        <f>IF(OR(Fact_Contabilidad[[#This Row], [Año]]="",Fact_Contabilidad[[#This Row], [Mes]]=""),"",DATE(A1182,MATCH(B1182,{"enero","febrero","marzo","abril","mayo","junio","julio","agosto","septiembre","octubre","noviembre","diciembre"},0)+1,0))</f>
        <v/>
      </c>
      <c r="E1182" t="str">
        <f>+IFERROR(VLOOKUP(Fact_Contabilidad[[#This Row], [Concepto Anterior]],Conceptos_Contabilidad[#All],5,0),"")</f>
        <v/>
      </c>
      <c r="F1182" t="str">
        <f>+IFERROR(VLOOKUP(Fact_Contabilidad[[#This Row], 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ht="18.75" customHeight="1" x14ac:dyDescent="0.35">
      <c r="A1183" s="103"/>
      <c r="C1183" s="100" t="str">
        <f>IF(OR(Fact_Contabilidad[[#This Row], [Año]]="",Fact_Contabilidad[[#This Row], [Mes]]=""),"",DATE(A1183,MATCH(B1183,{"enero","febrero","marzo","abril","mayo","junio","julio","agosto","septiembre","octubre","noviembre","diciembre"},0)+1,0))</f>
        <v/>
      </c>
      <c r="E1183" t="str">
        <f>+IFERROR(VLOOKUP(Fact_Contabilidad[[#This Row], [Concepto Anterior]],Conceptos_Contabilidad[#All],5,0),"")</f>
        <v/>
      </c>
      <c r="F1183" t="str">
        <f>+IFERROR(VLOOKUP(Fact_Contabilidad[[#This Row], 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ht="18.75" customHeight="1" x14ac:dyDescent="0.35">
      <c r="A1184" s="103"/>
      <c r="C1184" s="100" t="str">
        <f>IF(OR(Fact_Contabilidad[[#This Row], [Año]]="",Fact_Contabilidad[[#This Row], [Mes]]=""),"",DATE(A1184,MATCH(B1184,{"enero","febrero","marzo","abril","mayo","junio","julio","agosto","septiembre","octubre","noviembre","diciembre"},0)+1,0))</f>
        <v/>
      </c>
      <c r="E1184" t="str">
        <f>+IFERROR(VLOOKUP(Fact_Contabilidad[[#This Row], [Concepto Anterior]],Conceptos_Contabilidad[#All],5,0),"")</f>
        <v/>
      </c>
      <c r="F1184" t="str">
        <f>+IFERROR(VLOOKUP(Fact_Contabilidad[[#This Row], 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ht="18.75" customHeight="1" x14ac:dyDescent="0.35">
      <c r="A1185" s="103"/>
      <c r="C1185" s="100" t="str">
        <f>IF(OR(Fact_Contabilidad[[#This Row], [Año]]="",Fact_Contabilidad[[#This Row], [Mes]]=""),"",DATE(A1185,MATCH(B1185,{"enero","febrero","marzo","abril","mayo","junio","julio","agosto","septiembre","octubre","noviembre","diciembre"},0)+1,0))</f>
        <v/>
      </c>
      <c r="E1185" t="str">
        <f>+IFERROR(VLOOKUP(Fact_Contabilidad[[#This Row], [Concepto Anterior]],Conceptos_Contabilidad[#All],5,0),"")</f>
        <v/>
      </c>
      <c r="F1185" t="str">
        <f>+IFERROR(VLOOKUP(Fact_Contabilidad[[#This Row], 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ht="18.75" customHeight="1" x14ac:dyDescent="0.35">
      <c r="A1186" s="103"/>
      <c r="C1186" s="100" t="str">
        <f>IF(OR(Fact_Contabilidad[[#This Row], [Año]]="",Fact_Contabilidad[[#This Row], [Mes]]=""),"",DATE(A1186,MATCH(B1186,{"enero","febrero","marzo","abril","mayo","junio","julio","agosto","septiembre","octubre","noviembre","diciembre"},0)+1,0))</f>
        <v/>
      </c>
      <c r="E1186" t="str">
        <f>+IFERROR(VLOOKUP(Fact_Contabilidad[[#This Row], [Concepto Anterior]],Conceptos_Contabilidad[#All],5,0),"")</f>
        <v/>
      </c>
      <c r="F1186" t="str">
        <f>+IFERROR(VLOOKUP(Fact_Contabilidad[[#This Row], 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ht="18.75" customHeight="1" x14ac:dyDescent="0.35">
      <c r="A1187" s="103"/>
      <c r="C1187" s="100" t="str">
        <f>IF(OR(Fact_Contabilidad[[#This Row], [Año]]="",Fact_Contabilidad[[#This Row], [Mes]]=""),"",DATE(A1187,MATCH(B1187,{"enero","febrero","marzo","abril","mayo","junio","julio","agosto","septiembre","octubre","noviembre","diciembre"},0)+1,0))</f>
        <v/>
      </c>
      <c r="E1187" t="str">
        <f>+IFERROR(VLOOKUP(Fact_Contabilidad[[#This Row], [Concepto Anterior]],Conceptos_Contabilidad[#All],5,0),"")</f>
        <v/>
      </c>
      <c r="F1187" t="str">
        <f>+IFERROR(VLOOKUP(Fact_Contabilidad[[#This Row], 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ht="18.75" customHeight="1" x14ac:dyDescent="0.35">
      <c r="A1188" s="103"/>
      <c r="C1188" s="100" t="str">
        <f>IF(OR(Fact_Contabilidad[[#This Row], [Año]]="",Fact_Contabilidad[[#This Row], [Mes]]=""),"",DATE(A1188,MATCH(B1188,{"enero","febrero","marzo","abril","mayo","junio","julio","agosto","septiembre","octubre","noviembre","diciembre"},0)+1,0))</f>
        <v/>
      </c>
      <c r="E1188" t="str">
        <f>+IFERROR(VLOOKUP(Fact_Contabilidad[[#This Row], [Concepto Anterior]],Conceptos_Contabilidad[#All],5,0),"")</f>
        <v/>
      </c>
      <c r="F1188" t="str">
        <f>+IFERROR(VLOOKUP(Fact_Contabilidad[[#This Row], 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ht="18.75" customHeight="1" x14ac:dyDescent="0.35">
      <c r="A1189" s="103"/>
      <c r="C1189" s="100" t="str">
        <f>IF(OR(Fact_Contabilidad[[#This Row], [Año]]="",Fact_Contabilidad[[#This Row], [Mes]]=""),"",DATE(A1189,MATCH(B1189,{"enero","febrero","marzo","abril","mayo","junio","julio","agosto","septiembre","octubre","noviembre","diciembre"},0)+1,0))</f>
        <v/>
      </c>
      <c r="E1189" t="str">
        <f>+IFERROR(VLOOKUP(Fact_Contabilidad[[#This Row], [Concepto Anterior]],Conceptos_Contabilidad[#All],5,0),"")</f>
        <v/>
      </c>
      <c r="F1189" t="str">
        <f>+IFERROR(VLOOKUP(Fact_Contabilidad[[#This Row], 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ht="18.75" customHeight="1" x14ac:dyDescent="0.35">
      <c r="A1190" s="103"/>
      <c r="C1190" s="100" t="str">
        <f>IF(OR(Fact_Contabilidad[[#This Row], [Año]]="",Fact_Contabilidad[[#This Row], [Mes]]=""),"",DATE(A1190,MATCH(B1190,{"enero","febrero","marzo","abril","mayo","junio","julio","agosto","septiembre","octubre","noviembre","diciembre"},0)+1,0))</f>
        <v/>
      </c>
      <c r="E1190" t="str">
        <f>+IFERROR(VLOOKUP(Fact_Contabilidad[[#This Row], [Concepto Anterior]],Conceptos_Contabilidad[#All],5,0),"")</f>
        <v/>
      </c>
      <c r="F1190" t="str">
        <f>+IFERROR(VLOOKUP(Fact_Contabilidad[[#This Row], 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ht="18.75" customHeight="1" x14ac:dyDescent="0.35">
      <c r="A1191" s="103"/>
      <c r="C1191" s="100" t="str">
        <f>IF(OR(Fact_Contabilidad[[#This Row], [Año]]="",Fact_Contabilidad[[#This Row], [Mes]]=""),"",DATE(A1191,MATCH(B1191,{"enero","febrero","marzo","abril","mayo","junio","julio","agosto","septiembre","octubre","noviembre","diciembre"},0)+1,0))</f>
        <v/>
      </c>
      <c r="E1191" t="str">
        <f>+IFERROR(VLOOKUP(Fact_Contabilidad[[#This Row], [Concepto Anterior]],Conceptos_Contabilidad[#All],5,0),"")</f>
        <v/>
      </c>
      <c r="F1191" t="str">
        <f>+IFERROR(VLOOKUP(Fact_Contabilidad[[#This Row], 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ht="18.75" customHeight="1" x14ac:dyDescent="0.35">
      <c r="A1192" s="103"/>
      <c r="C1192" s="100" t="str">
        <f>IF(OR(Fact_Contabilidad[[#This Row], [Año]]="",Fact_Contabilidad[[#This Row], [Mes]]=""),"",DATE(A1192,MATCH(B1192,{"enero","febrero","marzo","abril","mayo","junio","julio","agosto","septiembre","octubre","noviembre","diciembre"},0)+1,0))</f>
        <v/>
      </c>
      <c r="E1192" t="str">
        <f>+IFERROR(VLOOKUP(Fact_Contabilidad[[#This Row], [Concepto Anterior]],Conceptos_Contabilidad[#All],5,0),"")</f>
        <v/>
      </c>
      <c r="F1192" t="str">
        <f>+IFERROR(VLOOKUP(Fact_Contabilidad[[#This Row], 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ht="18.75" customHeight="1" x14ac:dyDescent="0.35">
      <c r="A1193" s="103"/>
      <c r="C1193" s="100" t="str">
        <f>IF(OR(Fact_Contabilidad[[#This Row], [Año]]="",Fact_Contabilidad[[#This Row], [Mes]]=""),"",DATE(A1193,MATCH(B1193,{"enero","febrero","marzo","abril","mayo","junio","julio","agosto","septiembre","octubre","noviembre","diciembre"},0)+1,0))</f>
        <v/>
      </c>
      <c r="E1193" t="str">
        <f>+IFERROR(VLOOKUP(Fact_Contabilidad[[#This Row], [Concepto Anterior]],Conceptos_Contabilidad[#All],5,0),"")</f>
        <v/>
      </c>
      <c r="F1193" t="str">
        <f>+IFERROR(VLOOKUP(Fact_Contabilidad[[#This Row], 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ht="18.75" customHeight="1" x14ac:dyDescent="0.35">
      <c r="A1194" s="103"/>
      <c r="C1194" s="100" t="str">
        <f>IF(OR(Fact_Contabilidad[[#This Row], [Año]]="",Fact_Contabilidad[[#This Row], [Mes]]=""),"",DATE(A1194,MATCH(B1194,{"enero","febrero","marzo","abril","mayo","junio","julio","agosto","septiembre","octubre","noviembre","diciembre"},0)+1,0))</f>
        <v/>
      </c>
      <c r="E1194" t="str">
        <f>+IFERROR(VLOOKUP(Fact_Contabilidad[[#This Row], [Concepto Anterior]],Conceptos_Contabilidad[#All],5,0),"")</f>
        <v/>
      </c>
      <c r="F1194" t="str">
        <f>+IFERROR(VLOOKUP(Fact_Contabilidad[[#This Row], 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ht="18.75" customHeight="1" x14ac:dyDescent="0.35">
      <c r="A1195" s="103"/>
      <c r="C1195" s="100" t="str">
        <f>IF(OR(Fact_Contabilidad[[#This Row], [Año]]="",Fact_Contabilidad[[#This Row], [Mes]]=""),"",DATE(A1195,MATCH(B1195,{"enero","febrero","marzo","abril","mayo","junio","julio","agosto","septiembre","octubre","noviembre","diciembre"},0)+1,0))</f>
        <v/>
      </c>
      <c r="E1195" t="str">
        <f>+IFERROR(VLOOKUP(Fact_Contabilidad[[#This Row], [Concepto Anterior]],Conceptos_Contabilidad[#All],5,0),"")</f>
        <v/>
      </c>
      <c r="F1195" t="str">
        <f>+IFERROR(VLOOKUP(Fact_Contabilidad[[#This Row], 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ht="18.75" customHeight="1" x14ac:dyDescent="0.35">
      <c r="A1196" s="103"/>
      <c r="C1196" s="100" t="str">
        <f>IF(OR(Fact_Contabilidad[[#This Row], [Año]]="",Fact_Contabilidad[[#This Row], [Mes]]=""),"",DATE(A1196,MATCH(B1196,{"enero","febrero","marzo","abril","mayo","junio","julio","agosto","septiembre","octubre","noviembre","diciembre"},0)+1,0))</f>
        <v/>
      </c>
      <c r="E1196" t="str">
        <f>+IFERROR(VLOOKUP(Fact_Contabilidad[[#This Row], [Concepto Anterior]],Conceptos_Contabilidad[#All],5,0),"")</f>
        <v/>
      </c>
      <c r="F1196" t="str">
        <f>+IFERROR(VLOOKUP(Fact_Contabilidad[[#This Row], 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ht="18.75" customHeight="1" x14ac:dyDescent="0.35">
      <c r="A1197" s="103"/>
      <c r="C1197" s="100" t="str">
        <f>IF(OR(Fact_Contabilidad[[#This Row], [Año]]="",Fact_Contabilidad[[#This Row], [Mes]]=""),"",DATE(A1197,MATCH(B1197,{"enero","febrero","marzo","abril","mayo","junio","julio","agosto","septiembre","octubre","noviembre","diciembre"},0)+1,0))</f>
        <v/>
      </c>
      <c r="E1197" t="str">
        <f>+IFERROR(VLOOKUP(Fact_Contabilidad[[#This Row], [Concepto Anterior]],Conceptos_Contabilidad[#All],5,0),"")</f>
        <v/>
      </c>
      <c r="F1197" t="str">
        <f>+IFERROR(VLOOKUP(Fact_Contabilidad[[#This Row], 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ht="18.75" customHeight="1" x14ac:dyDescent="0.35">
      <c r="A1198" s="103"/>
      <c r="C1198" s="100" t="str">
        <f>IF(OR(Fact_Contabilidad[[#This Row], [Año]]="",Fact_Contabilidad[[#This Row], [Mes]]=""),"",DATE(A1198,MATCH(B1198,{"enero","febrero","marzo","abril","mayo","junio","julio","agosto","septiembre","octubre","noviembre","diciembre"},0)+1,0))</f>
        <v/>
      </c>
      <c r="E1198" t="str">
        <f>+IFERROR(VLOOKUP(Fact_Contabilidad[[#This Row], [Concepto Anterior]],Conceptos_Contabilidad[#All],5,0),"")</f>
        <v/>
      </c>
      <c r="F1198" t="str">
        <f>+IFERROR(VLOOKUP(Fact_Contabilidad[[#This Row], 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ht="18.75" customHeight="1" x14ac:dyDescent="0.35">
      <c r="A1199" s="103"/>
      <c r="C1199" s="100" t="str">
        <f>IF(OR(Fact_Contabilidad[[#This Row], [Año]]="",Fact_Contabilidad[[#This Row], [Mes]]=""),"",DATE(A1199,MATCH(B1199,{"enero","febrero","marzo","abril","mayo","junio","julio","agosto","septiembre","octubre","noviembre","diciembre"},0)+1,0))</f>
        <v/>
      </c>
      <c r="E1199" t="str">
        <f>+IFERROR(VLOOKUP(Fact_Contabilidad[[#This Row], [Concepto Anterior]],Conceptos_Contabilidad[#All],5,0),"")</f>
        <v/>
      </c>
      <c r="F1199" t="str">
        <f>+IFERROR(VLOOKUP(Fact_Contabilidad[[#This Row], 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ht="18.75" customHeight="1" x14ac:dyDescent="0.35">
      <c r="A1200" s="103"/>
      <c r="C1200" s="100" t="str">
        <f>IF(OR(Fact_Contabilidad[[#This Row], [Año]]="",Fact_Contabilidad[[#This Row], [Mes]]=""),"",DATE(A1200,MATCH(B1200,{"enero","febrero","marzo","abril","mayo","junio","julio","agosto","septiembre","octubre","noviembre","diciembre"},0)+1,0))</f>
        <v/>
      </c>
      <c r="E1200" t="str">
        <f>+IFERROR(VLOOKUP(Fact_Contabilidad[[#This Row], [Concepto Anterior]],Conceptos_Contabilidad[#All],5,0),"")</f>
        <v/>
      </c>
      <c r="F1200" t="str">
        <f>+IFERROR(VLOOKUP(Fact_Contabilidad[[#This Row], 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ht="18.75" customHeight="1" x14ac:dyDescent="0.35">
      <c r="A1201" s="103"/>
      <c r="C1201" s="100" t="str">
        <f>IF(OR(Fact_Contabilidad[[#This Row], [Año]]="",Fact_Contabilidad[[#This Row], [Mes]]=""),"",DATE(A1201,MATCH(B1201,{"enero","febrero","marzo","abril","mayo","junio","julio","agosto","septiembre","octubre","noviembre","diciembre"},0)+1,0))</f>
        <v/>
      </c>
      <c r="E1201" t="str">
        <f>+IFERROR(VLOOKUP(Fact_Contabilidad[[#This Row], [Concepto Anterior]],Conceptos_Contabilidad[#All],5,0),"")</f>
        <v/>
      </c>
      <c r="F1201" t="str">
        <f>+IFERROR(VLOOKUP(Fact_Contabilidad[[#This Row], 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ht="18.75" customHeight="1" x14ac:dyDescent="0.35">
      <c r="A1202" s="103"/>
      <c r="C1202" s="100" t="str">
        <f>IF(OR(Fact_Contabilidad[[#This Row], [Año]]="",Fact_Contabilidad[[#This Row], [Mes]]=""),"",DATE(A1202,MATCH(B1202,{"enero","febrero","marzo","abril","mayo","junio","julio","agosto","septiembre","octubre","noviembre","diciembre"},0)+1,0))</f>
        <v/>
      </c>
      <c r="E1202" t="str">
        <f>+IFERROR(VLOOKUP(Fact_Contabilidad[[#This Row], [Concepto Anterior]],Conceptos_Contabilidad[#All],5,0),"")</f>
        <v/>
      </c>
      <c r="F1202" t="str">
        <f>+IFERROR(VLOOKUP(Fact_Contabilidad[[#This Row], 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ht="18.75" customHeight="1" x14ac:dyDescent="0.35">
      <c r="A1203" s="103"/>
      <c r="C1203" s="100" t="str">
        <f>IF(OR(Fact_Contabilidad[[#This Row], [Año]]="",Fact_Contabilidad[[#This Row], [Mes]]=""),"",DATE(A1203,MATCH(B1203,{"enero","febrero","marzo","abril","mayo","junio","julio","agosto","septiembre","octubre","noviembre","diciembre"},0)+1,0))</f>
        <v/>
      </c>
      <c r="E1203" t="str">
        <f>+IFERROR(VLOOKUP(Fact_Contabilidad[[#This Row], [Concepto Anterior]],Conceptos_Contabilidad[#All],5,0),"")</f>
        <v/>
      </c>
      <c r="F1203" t="str">
        <f>+IFERROR(VLOOKUP(Fact_Contabilidad[[#This Row], 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ht="18.75" customHeight="1" x14ac:dyDescent="0.35">
      <c r="A1204" s="103"/>
      <c r="C1204" s="100" t="str">
        <f>IF(OR(Fact_Contabilidad[[#This Row], [Año]]="",Fact_Contabilidad[[#This Row], [Mes]]=""),"",DATE(A1204,MATCH(B1204,{"enero","febrero","marzo","abril","mayo","junio","julio","agosto","septiembre","octubre","noviembre","diciembre"},0)+1,0))</f>
        <v/>
      </c>
      <c r="E1204" t="str">
        <f>+IFERROR(VLOOKUP(Fact_Contabilidad[[#This Row], [Concepto Anterior]],Conceptos_Contabilidad[#All],5,0),"")</f>
        <v/>
      </c>
      <c r="F1204" t="str">
        <f>+IFERROR(VLOOKUP(Fact_Contabilidad[[#This Row], 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ht="18.75" customHeight="1" x14ac:dyDescent="0.35">
      <c r="A1205" s="103"/>
      <c r="C1205" s="100" t="str">
        <f>IF(OR(Fact_Contabilidad[[#This Row], [Año]]="",Fact_Contabilidad[[#This Row], [Mes]]=""),"",DATE(A1205,MATCH(B1205,{"enero","febrero","marzo","abril","mayo","junio","julio","agosto","septiembre","octubre","noviembre","diciembre"},0)+1,0))</f>
        <v/>
      </c>
      <c r="E1205" t="str">
        <f>+IFERROR(VLOOKUP(Fact_Contabilidad[[#This Row], [Concepto Anterior]],Conceptos_Contabilidad[#All],5,0),"")</f>
        <v/>
      </c>
      <c r="F1205" t="str">
        <f>+IFERROR(VLOOKUP(Fact_Contabilidad[[#This Row], 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ht="18.75" customHeight="1" x14ac:dyDescent="0.35">
      <c r="A1206" s="103"/>
      <c r="C1206" s="100" t="str">
        <f>IF(OR(Fact_Contabilidad[[#This Row], [Año]]="",Fact_Contabilidad[[#This Row], [Mes]]=""),"",DATE(A1206,MATCH(B1206,{"enero","febrero","marzo","abril","mayo","junio","julio","agosto","septiembre","octubre","noviembre","diciembre"},0)+1,0))</f>
        <v/>
      </c>
      <c r="E1206" t="str">
        <f>+IFERROR(VLOOKUP(Fact_Contabilidad[[#This Row], [Concepto Anterior]],Conceptos_Contabilidad[#All],5,0),"")</f>
        <v/>
      </c>
      <c r="F1206" t="str">
        <f>+IFERROR(VLOOKUP(Fact_Contabilidad[[#This Row], 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ht="18.75" customHeight="1" x14ac:dyDescent="0.35">
      <c r="A1207" s="103"/>
      <c r="C1207" s="100" t="str">
        <f>IF(OR(Fact_Contabilidad[[#This Row], [Año]]="",Fact_Contabilidad[[#This Row], [Mes]]=""),"",DATE(A1207,MATCH(B1207,{"enero","febrero","marzo","abril","mayo","junio","julio","agosto","septiembre","octubre","noviembre","diciembre"},0)+1,0))</f>
        <v/>
      </c>
      <c r="E1207" t="str">
        <f>+IFERROR(VLOOKUP(Fact_Contabilidad[[#This Row], [Concepto Anterior]],Conceptos_Contabilidad[#All],5,0),"")</f>
        <v/>
      </c>
      <c r="F1207" t="str">
        <f>+IFERROR(VLOOKUP(Fact_Contabilidad[[#This Row], 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ht="18.75" customHeight="1" x14ac:dyDescent="0.35">
      <c r="A1208" s="103"/>
      <c r="C1208" s="100" t="str">
        <f>IF(OR(Fact_Contabilidad[[#This Row], [Año]]="",Fact_Contabilidad[[#This Row], [Mes]]=""),"",DATE(A1208,MATCH(B1208,{"enero","febrero","marzo","abril","mayo","junio","julio","agosto","septiembre","octubre","noviembre","diciembre"},0)+1,0))</f>
        <v/>
      </c>
      <c r="E1208" t="str">
        <f>+IFERROR(VLOOKUP(Fact_Contabilidad[[#This Row], [Concepto Anterior]],Conceptos_Contabilidad[#All],5,0),"")</f>
        <v/>
      </c>
      <c r="F1208" t="str">
        <f>+IFERROR(VLOOKUP(Fact_Contabilidad[[#This Row], 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ht="18.75" customHeight="1" x14ac:dyDescent="0.35">
      <c r="A1209" s="103"/>
      <c r="C1209" s="100" t="str">
        <f>IF(OR(Fact_Contabilidad[[#This Row], [Año]]="",Fact_Contabilidad[[#This Row], [Mes]]=""),"",DATE(A1209,MATCH(B1209,{"enero","febrero","marzo","abril","mayo","junio","julio","agosto","septiembre","octubre","noviembre","diciembre"},0)+1,0))</f>
        <v/>
      </c>
      <c r="E1209" t="str">
        <f>+IFERROR(VLOOKUP(Fact_Contabilidad[[#This Row], [Concepto Anterior]],Conceptos_Contabilidad[#All],5,0),"")</f>
        <v/>
      </c>
      <c r="F1209" t="str">
        <f>+IFERROR(VLOOKUP(Fact_Contabilidad[[#This Row], 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ht="18.75" customHeight="1" x14ac:dyDescent="0.35">
      <c r="A1210" s="103"/>
      <c r="C1210" s="100" t="str">
        <f>IF(OR(Fact_Contabilidad[[#This Row], [Año]]="",Fact_Contabilidad[[#This Row], [Mes]]=""),"",DATE(A1210,MATCH(B1210,{"enero","febrero","marzo","abril","mayo","junio","julio","agosto","septiembre","octubre","noviembre","diciembre"},0)+1,0))</f>
        <v/>
      </c>
      <c r="E1210" t="str">
        <f>+IFERROR(VLOOKUP(Fact_Contabilidad[[#This Row], [Concepto Anterior]],Conceptos_Contabilidad[#All],5,0),"")</f>
        <v/>
      </c>
      <c r="F1210" t="str">
        <f>+IFERROR(VLOOKUP(Fact_Contabilidad[[#This Row], 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ht="18.75" customHeight="1" x14ac:dyDescent="0.35">
      <c r="A1211" s="103"/>
      <c r="C1211" s="100" t="str">
        <f>IF(OR(Fact_Contabilidad[[#This Row], [Año]]="",Fact_Contabilidad[[#This Row], [Mes]]=""),"",DATE(A1211,MATCH(B1211,{"enero","febrero","marzo","abril","mayo","junio","julio","agosto","septiembre","octubre","noviembre","diciembre"},0)+1,0))</f>
        <v/>
      </c>
      <c r="E1211" t="str">
        <f>+IFERROR(VLOOKUP(Fact_Contabilidad[[#This Row], [Concepto Anterior]],Conceptos_Contabilidad[#All],5,0),"")</f>
        <v/>
      </c>
      <c r="F1211" t="str">
        <f>+IFERROR(VLOOKUP(Fact_Contabilidad[[#This Row], 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ht="18.75" customHeight="1" x14ac:dyDescent="0.35">
      <c r="A1212" s="103"/>
      <c r="C1212" s="100" t="str">
        <f>IF(OR(Fact_Contabilidad[[#This Row], [Año]]="",Fact_Contabilidad[[#This Row], [Mes]]=""),"",DATE(A1212,MATCH(B1212,{"enero","febrero","marzo","abril","mayo","junio","julio","agosto","septiembre","octubre","noviembre","diciembre"},0)+1,0))</f>
        <v/>
      </c>
      <c r="E1212" t="str">
        <f>+IFERROR(VLOOKUP(Fact_Contabilidad[[#This Row], [Concepto Anterior]],Conceptos_Contabilidad[#All],5,0),"")</f>
        <v/>
      </c>
      <c r="F1212" t="str">
        <f>+IFERROR(VLOOKUP(Fact_Contabilidad[[#This Row], 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ht="18.75" customHeight="1" x14ac:dyDescent="0.35">
      <c r="A1213" s="103"/>
      <c r="C1213" s="100" t="str">
        <f>IF(OR(Fact_Contabilidad[[#This Row], [Año]]="",Fact_Contabilidad[[#This Row], [Mes]]=""),"",DATE(A1213,MATCH(B1213,{"enero","febrero","marzo","abril","mayo","junio","julio","agosto","septiembre","octubre","noviembre","diciembre"},0)+1,0))</f>
        <v/>
      </c>
      <c r="E1213" t="str">
        <f>+IFERROR(VLOOKUP(Fact_Contabilidad[[#This Row], [Concepto Anterior]],Conceptos_Contabilidad[#All],5,0),"")</f>
        <v/>
      </c>
      <c r="F1213" t="str">
        <f>+IFERROR(VLOOKUP(Fact_Contabilidad[[#This Row], 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ht="18.75" customHeight="1" x14ac:dyDescent="0.35">
      <c r="A1214" s="103"/>
      <c r="C1214" s="100" t="str">
        <f>IF(OR(Fact_Contabilidad[[#This Row], [Año]]="",Fact_Contabilidad[[#This Row], [Mes]]=""),"",DATE(A1214,MATCH(B1214,{"enero","febrero","marzo","abril","mayo","junio","julio","agosto","septiembre","octubre","noviembre","diciembre"},0)+1,0))</f>
        <v/>
      </c>
      <c r="E1214" t="str">
        <f>+IFERROR(VLOOKUP(Fact_Contabilidad[[#This Row], [Concepto Anterior]],Conceptos_Contabilidad[#All],5,0),"")</f>
        <v/>
      </c>
      <c r="F1214" t="str">
        <f>+IFERROR(VLOOKUP(Fact_Contabilidad[[#This Row], 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ht="18.75" customHeight="1" x14ac:dyDescent="0.35">
      <c r="A1215" s="103"/>
      <c r="C1215" s="100" t="str">
        <f>IF(OR(Fact_Contabilidad[[#This Row], [Año]]="",Fact_Contabilidad[[#This Row], [Mes]]=""),"",DATE(A1215,MATCH(B1215,{"enero","febrero","marzo","abril","mayo","junio","julio","agosto","septiembre","octubre","noviembre","diciembre"},0)+1,0))</f>
        <v/>
      </c>
      <c r="E1215" t="str">
        <f>+IFERROR(VLOOKUP(Fact_Contabilidad[[#This Row], [Concepto Anterior]],Conceptos_Contabilidad[#All],5,0),"")</f>
        <v/>
      </c>
      <c r="F1215" t="str">
        <f>+IFERROR(VLOOKUP(Fact_Contabilidad[[#This Row], 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ht="18.75" customHeight="1" x14ac:dyDescent="0.35">
      <c r="A1216" s="103"/>
      <c r="C1216" s="100" t="str">
        <f>IF(OR(Fact_Contabilidad[[#This Row], [Año]]="",Fact_Contabilidad[[#This Row], [Mes]]=""),"",DATE(A1216,MATCH(B1216,{"enero","febrero","marzo","abril","mayo","junio","julio","agosto","septiembre","octubre","noviembre","diciembre"},0)+1,0))</f>
        <v/>
      </c>
      <c r="E1216" t="str">
        <f>+IFERROR(VLOOKUP(Fact_Contabilidad[[#This Row], [Concepto Anterior]],Conceptos_Contabilidad[#All],5,0),"")</f>
        <v/>
      </c>
      <c r="F1216" t="str">
        <f>+IFERROR(VLOOKUP(Fact_Contabilidad[[#This Row], 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ht="18.75" customHeight="1" x14ac:dyDescent="0.35">
      <c r="A1217" s="103"/>
      <c r="C1217" s="100" t="str">
        <f>IF(OR(Fact_Contabilidad[[#This Row], [Año]]="",Fact_Contabilidad[[#This Row], [Mes]]=""),"",DATE(A1217,MATCH(B1217,{"enero","febrero","marzo","abril","mayo","junio","julio","agosto","septiembre","octubre","noviembre","diciembre"},0)+1,0))</f>
        <v/>
      </c>
      <c r="E1217" t="str">
        <f>+IFERROR(VLOOKUP(Fact_Contabilidad[[#This Row], [Concepto Anterior]],Conceptos_Contabilidad[#All],5,0),"")</f>
        <v/>
      </c>
      <c r="F1217" t="str">
        <f>+IFERROR(VLOOKUP(Fact_Contabilidad[[#This Row], 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ht="18.75" customHeight="1" x14ac:dyDescent="0.35">
      <c r="A1218" s="103"/>
      <c r="C1218" s="100" t="str">
        <f>IF(OR(Fact_Contabilidad[[#This Row], [Año]]="",Fact_Contabilidad[[#This Row], [Mes]]=""),"",DATE(A1218,MATCH(B1218,{"enero","febrero","marzo","abril","mayo","junio","julio","agosto","septiembre","octubre","noviembre","diciembre"},0)+1,0))</f>
        <v/>
      </c>
      <c r="E1218" t="str">
        <f>+IFERROR(VLOOKUP(Fact_Contabilidad[[#This Row], [Concepto Anterior]],Conceptos_Contabilidad[#All],5,0),"")</f>
        <v/>
      </c>
      <c r="F1218" t="str">
        <f>+IFERROR(VLOOKUP(Fact_Contabilidad[[#This Row], 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ht="18.75" customHeight="1" x14ac:dyDescent="0.35">
      <c r="A1219" s="103"/>
      <c r="C1219" s="100" t="str">
        <f>IF(OR(Fact_Contabilidad[[#This Row], [Año]]="",Fact_Contabilidad[[#This Row], [Mes]]=""),"",DATE(A1219,MATCH(B1219,{"enero","febrero","marzo","abril","mayo","junio","julio","agosto","septiembre","octubre","noviembre","diciembre"},0)+1,0))</f>
        <v/>
      </c>
      <c r="E1219" t="str">
        <f>+IFERROR(VLOOKUP(Fact_Contabilidad[[#This Row], [Concepto Anterior]],Conceptos_Contabilidad[#All],5,0),"")</f>
        <v/>
      </c>
      <c r="F1219" t="str">
        <f>+IFERROR(VLOOKUP(Fact_Contabilidad[[#This Row], 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ht="18.75" customHeight="1" x14ac:dyDescent="0.35">
      <c r="A1220" s="103"/>
      <c r="C1220" s="100" t="str">
        <f>IF(OR(Fact_Contabilidad[[#This Row], [Año]]="",Fact_Contabilidad[[#This Row], [Mes]]=""),"",DATE(A1220,MATCH(B1220,{"enero","febrero","marzo","abril","mayo","junio","julio","agosto","septiembre","octubre","noviembre","diciembre"},0)+1,0))</f>
        <v/>
      </c>
      <c r="E1220" t="str">
        <f>+IFERROR(VLOOKUP(Fact_Contabilidad[[#This Row], [Concepto Anterior]],Conceptos_Contabilidad[#All],5,0),"")</f>
        <v/>
      </c>
      <c r="F1220" t="str">
        <f>+IFERROR(VLOOKUP(Fact_Contabilidad[[#This Row], 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ht="18.75" customHeight="1" x14ac:dyDescent="0.35">
      <c r="A1221" s="103"/>
      <c r="C1221" s="100" t="str">
        <f>IF(OR(Fact_Contabilidad[[#This Row], [Año]]="",Fact_Contabilidad[[#This Row], [Mes]]=""),"",DATE(A1221,MATCH(B1221,{"enero","febrero","marzo","abril","mayo","junio","julio","agosto","septiembre","octubre","noviembre","diciembre"},0)+1,0))</f>
        <v/>
      </c>
      <c r="E1221" t="str">
        <f>+IFERROR(VLOOKUP(Fact_Contabilidad[[#This Row], [Concepto Anterior]],Conceptos_Contabilidad[#All],5,0),"")</f>
        <v/>
      </c>
      <c r="F1221" t="str">
        <f>+IFERROR(VLOOKUP(Fact_Contabilidad[[#This Row], 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ht="18.75" customHeight="1" x14ac:dyDescent="0.35">
      <c r="A1222" s="103"/>
      <c r="C1222" s="100" t="str">
        <f>IF(OR(Fact_Contabilidad[[#This Row], [Año]]="",Fact_Contabilidad[[#This Row], [Mes]]=""),"",DATE(A1222,MATCH(B1222,{"enero","febrero","marzo","abril","mayo","junio","julio","agosto","septiembre","octubre","noviembre","diciembre"},0)+1,0))</f>
        <v/>
      </c>
      <c r="E1222" t="str">
        <f>+IFERROR(VLOOKUP(Fact_Contabilidad[[#This Row], [Concepto Anterior]],Conceptos_Contabilidad[#All],5,0),"")</f>
        <v/>
      </c>
      <c r="F1222" t="str">
        <f>+IFERROR(VLOOKUP(Fact_Contabilidad[[#This Row], 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ht="18.75" customHeight="1" x14ac:dyDescent="0.35">
      <c r="A1223" s="103"/>
      <c r="C1223" s="100" t="str">
        <f>IF(OR(Fact_Contabilidad[[#This Row], [Año]]="",Fact_Contabilidad[[#This Row], [Mes]]=""),"",DATE(A1223,MATCH(B1223,{"enero","febrero","marzo","abril","mayo","junio","julio","agosto","septiembre","octubre","noviembre","diciembre"},0)+1,0))</f>
        <v/>
      </c>
      <c r="E1223" t="str">
        <f>+IFERROR(VLOOKUP(Fact_Contabilidad[[#This Row], [Concepto Anterior]],Conceptos_Contabilidad[#All],5,0),"")</f>
        <v/>
      </c>
      <c r="F1223" t="str">
        <f>+IFERROR(VLOOKUP(Fact_Contabilidad[[#This Row], 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ht="18.75" customHeight="1" x14ac:dyDescent="0.35">
      <c r="A1224" s="103"/>
      <c r="C1224" s="100" t="str">
        <f>IF(OR(Fact_Contabilidad[[#This Row], [Año]]="",Fact_Contabilidad[[#This Row], [Mes]]=""),"",DATE(A1224,MATCH(B1224,{"enero","febrero","marzo","abril","mayo","junio","julio","agosto","septiembre","octubre","noviembre","diciembre"},0)+1,0))</f>
        <v/>
      </c>
      <c r="E1224" t="str">
        <f>+IFERROR(VLOOKUP(Fact_Contabilidad[[#This Row], [Concepto Anterior]],Conceptos_Contabilidad[#All],5,0),"")</f>
        <v/>
      </c>
      <c r="F1224" t="str">
        <f>+IFERROR(VLOOKUP(Fact_Contabilidad[[#This Row], 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ht="18.75" customHeight="1" x14ac:dyDescent="0.35">
      <c r="A1225" s="103"/>
      <c r="C1225" s="100" t="str">
        <f>IF(OR(Fact_Contabilidad[[#This Row], [Año]]="",Fact_Contabilidad[[#This Row], [Mes]]=""),"",DATE(A1225,MATCH(B1225,{"enero","febrero","marzo","abril","mayo","junio","julio","agosto","septiembre","octubre","noviembre","diciembre"},0)+1,0))</f>
        <v/>
      </c>
      <c r="E1225" t="str">
        <f>+IFERROR(VLOOKUP(Fact_Contabilidad[[#This Row], [Concepto Anterior]],Conceptos_Contabilidad[#All],5,0),"")</f>
        <v/>
      </c>
      <c r="F1225" t="str">
        <f>+IFERROR(VLOOKUP(Fact_Contabilidad[[#This Row], 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ht="18.75" customHeight="1" x14ac:dyDescent="0.35">
      <c r="A1226" s="103"/>
      <c r="C1226" s="100" t="str">
        <f>IF(OR(Fact_Contabilidad[[#This Row], [Año]]="",Fact_Contabilidad[[#This Row], [Mes]]=""),"",DATE(A1226,MATCH(B1226,{"enero","febrero","marzo","abril","mayo","junio","julio","agosto","septiembre","octubre","noviembre","diciembre"},0)+1,0))</f>
        <v/>
      </c>
      <c r="E1226" t="str">
        <f>+IFERROR(VLOOKUP(Fact_Contabilidad[[#This Row], [Concepto Anterior]],Conceptos_Contabilidad[#All],5,0),"")</f>
        <v/>
      </c>
      <c r="F1226" t="str">
        <f>+IFERROR(VLOOKUP(Fact_Contabilidad[[#This Row], 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ht="18.75" customHeight="1" x14ac:dyDescent="0.35">
      <c r="A1227" s="103"/>
      <c r="C1227" s="100" t="str">
        <f>IF(OR(Fact_Contabilidad[[#This Row], [Año]]="",Fact_Contabilidad[[#This Row], [Mes]]=""),"",DATE(A1227,MATCH(B1227,{"enero","febrero","marzo","abril","mayo","junio","julio","agosto","septiembre","octubre","noviembre","diciembre"},0)+1,0))</f>
        <v/>
      </c>
      <c r="E1227" t="str">
        <f>+IFERROR(VLOOKUP(Fact_Contabilidad[[#This Row], [Concepto Anterior]],Conceptos_Contabilidad[#All],5,0),"")</f>
        <v/>
      </c>
      <c r="F1227" t="str">
        <f>+IFERROR(VLOOKUP(Fact_Contabilidad[[#This Row], 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ht="18.75" customHeight="1" x14ac:dyDescent="0.35">
      <c r="A1228" s="103"/>
      <c r="C1228" s="100" t="str">
        <f>IF(OR(Fact_Contabilidad[[#This Row], [Año]]="",Fact_Contabilidad[[#This Row], [Mes]]=""),"",DATE(A1228,MATCH(B1228,{"enero","febrero","marzo","abril","mayo","junio","julio","agosto","septiembre","octubre","noviembre","diciembre"},0)+1,0))</f>
        <v/>
      </c>
      <c r="E1228" t="str">
        <f>+IFERROR(VLOOKUP(Fact_Contabilidad[[#This Row], [Concepto Anterior]],Conceptos_Contabilidad[#All],5,0),"")</f>
        <v/>
      </c>
      <c r="F1228" t="str">
        <f>+IFERROR(VLOOKUP(Fact_Contabilidad[[#This Row], 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ht="18.75" customHeight="1" x14ac:dyDescent="0.35">
      <c r="A1229" s="103"/>
      <c r="C1229" s="100" t="str">
        <f>IF(OR(Fact_Contabilidad[[#This Row], [Año]]="",Fact_Contabilidad[[#This Row], [Mes]]=""),"",DATE(A1229,MATCH(B1229,{"enero","febrero","marzo","abril","mayo","junio","julio","agosto","septiembre","octubre","noviembre","diciembre"},0)+1,0))</f>
        <v/>
      </c>
      <c r="E1229" t="str">
        <f>+IFERROR(VLOOKUP(Fact_Contabilidad[[#This Row], [Concepto Anterior]],Conceptos_Contabilidad[#All],5,0),"")</f>
        <v/>
      </c>
      <c r="F1229" t="str">
        <f>+IFERROR(VLOOKUP(Fact_Contabilidad[[#This Row], 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ht="18.75" customHeight="1" x14ac:dyDescent="0.35">
      <c r="A1230" s="103"/>
      <c r="C1230" s="100" t="str">
        <f>IF(OR(Fact_Contabilidad[[#This Row], [Año]]="",Fact_Contabilidad[[#This Row], [Mes]]=""),"",DATE(A1230,MATCH(B1230,{"enero","febrero","marzo","abril","mayo","junio","julio","agosto","septiembre","octubre","noviembre","diciembre"},0)+1,0))</f>
        <v/>
      </c>
      <c r="E1230" t="str">
        <f>+IFERROR(VLOOKUP(Fact_Contabilidad[[#This Row], [Concepto Anterior]],Conceptos_Contabilidad[#All],5,0),"")</f>
        <v/>
      </c>
      <c r="F1230" t="str">
        <f>+IFERROR(VLOOKUP(Fact_Contabilidad[[#This Row], 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ht="18.75" customHeight="1" x14ac:dyDescent="0.35">
      <c r="A1231" s="103"/>
      <c r="C1231" s="100" t="str">
        <f>IF(OR(Fact_Contabilidad[[#This Row], [Año]]="",Fact_Contabilidad[[#This Row], [Mes]]=""),"",DATE(A1231,MATCH(B1231,{"enero","febrero","marzo","abril","mayo","junio","julio","agosto","septiembre","octubre","noviembre","diciembre"},0)+1,0))</f>
        <v/>
      </c>
      <c r="E1231" t="str">
        <f>+IFERROR(VLOOKUP(Fact_Contabilidad[[#This Row], [Concepto Anterior]],Conceptos_Contabilidad[#All],5,0),"")</f>
        <v/>
      </c>
      <c r="F1231" t="str">
        <f>+IFERROR(VLOOKUP(Fact_Contabilidad[[#This Row], 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ht="18.75" customHeight="1" x14ac:dyDescent="0.35">
      <c r="A1232" s="103"/>
      <c r="C1232" s="100" t="str">
        <f>IF(OR(Fact_Contabilidad[[#This Row], [Año]]="",Fact_Contabilidad[[#This Row], [Mes]]=""),"",DATE(A1232,MATCH(B1232,{"enero","febrero","marzo","abril","mayo","junio","julio","agosto","septiembre","octubre","noviembre","diciembre"},0)+1,0))</f>
        <v/>
      </c>
      <c r="E1232" t="str">
        <f>+IFERROR(VLOOKUP(Fact_Contabilidad[[#This Row], [Concepto Anterior]],Conceptos_Contabilidad[#All],5,0),"")</f>
        <v/>
      </c>
      <c r="F1232" t="str">
        <f>+IFERROR(VLOOKUP(Fact_Contabilidad[[#This Row], 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ht="18.75" customHeight="1" x14ac:dyDescent="0.35">
      <c r="A1233" s="103"/>
      <c r="C1233" s="100" t="str">
        <f>IF(OR(Fact_Contabilidad[[#This Row], [Año]]="",Fact_Contabilidad[[#This Row], [Mes]]=""),"",DATE(A1233,MATCH(B1233,{"enero","febrero","marzo","abril","mayo","junio","julio","agosto","septiembre","octubre","noviembre","diciembre"},0)+1,0))</f>
        <v/>
      </c>
      <c r="E1233" t="str">
        <f>+IFERROR(VLOOKUP(Fact_Contabilidad[[#This Row], [Concepto Anterior]],Conceptos_Contabilidad[#All],5,0),"")</f>
        <v/>
      </c>
      <c r="F1233" t="str">
        <f>+IFERROR(VLOOKUP(Fact_Contabilidad[[#This Row], 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ht="18.75" customHeight="1" x14ac:dyDescent="0.35">
      <c r="A1234" s="103"/>
      <c r="C1234" s="100" t="str">
        <f>IF(OR(Fact_Contabilidad[[#This Row], [Año]]="",Fact_Contabilidad[[#This Row], [Mes]]=""),"",DATE(A1234,MATCH(B1234,{"enero","febrero","marzo","abril","mayo","junio","julio","agosto","septiembre","octubre","noviembre","diciembre"},0)+1,0))</f>
        <v/>
      </c>
      <c r="E1234" t="str">
        <f>+IFERROR(VLOOKUP(Fact_Contabilidad[[#This Row], [Concepto Anterior]],Conceptos_Contabilidad[#All],5,0),"")</f>
        <v/>
      </c>
      <c r="F1234" t="str">
        <f>+IFERROR(VLOOKUP(Fact_Contabilidad[[#This Row], 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ht="18.75" customHeight="1" x14ac:dyDescent="0.35">
      <c r="A1235" s="103"/>
      <c r="C1235" s="100" t="str">
        <f>IF(OR(Fact_Contabilidad[[#This Row], [Año]]="",Fact_Contabilidad[[#This Row], [Mes]]=""),"",DATE(A1235,MATCH(B1235,{"enero","febrero","marzo","abril","mayo","junio","julio","agosto","septiembre","octubre","noviembre","diciembre"},0)+1,0))</f>
        <v/>
      </c>
      <c r="E1235" t="str">
        <f>+IFERROR(VLOOKUP(Fact_Contabilidad[[#This Row], [Concepto Anterior]],Conceptos_Contabilidad[#All],5,0),"")</f>
        <v/>
      </c>
      <c r="F1235" t="str">
        <f>+IFERROR(VLOOKUP(Fact_Contabilidad[[#This Row], 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ht="18.75" customHeight="1" x14ac:dyDescent="0.35">
      <c r="A1236" s="103"/>
      <c r="C1236" s="100" t="str">
        <f>IF(OR(Fact_Contabilidad[[#This Row], [Año]]="",Fact_Contabilidad[[#This Row], [Mes]]=""),"",DATE(A1236,MATCH(B1236,{"enero","febrero","marzo","abril","mayo","junio","julio","agosto","septiembre","octubre","noviembre","diciembre"},0)+1,0))</f>
        <v/>
      </c>
      <c r="E1236" t="str">
        <f>+IFERROR(VLOOKUP(Fact_Contabilidad[[#This Row], [Concepto Anterior]],Conceptos_Contabilidad[#All],5,0),"")</f>
        <v/>
      </c>
      <c r="F1236" t="str">
        <f>+IFERROR(VLOOKUP(Fact_Contabilidad[[#This Row], 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ht="18.75" customHeight="1" x14ac:dyDescent="0.35">
      <c r="A1237" s="103"/>
      <c r="C1237" s="100" t="str">
        <f>IF(OR(Fact_Contabilidad[[#This Row], [Año]]="",Fact_Contabilidad[[#This Row], [Mes]]=""),"",DATE(A1237,MATCH(B1237,{"enero","febrero","marzo","abril","mayo","junio","julio","agosto","septiembre","octubre","noviembre","diciembre"},0)+1,0))</f>
        <v/>
      </c>
      <c r="E1237" t="str">
        <f>+IFERROR(VLOOKUP(Fact_Contabilidad[[#This Row], [Concepto Anterior]],Conceptos_Contabilidad[#All],5,0),"")</f>
        <v/>
      </c>
      <c r="F1237" t="str">
        <f>+IFERROR(VLOOKUP(Fact_Contabilidad[[#This Row], 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ht="18.75" customHeight="1" x14ac:dyDescent="0.35">
      <c r="A1238" s="103"/>
      <c r="C1238" s="100" t="str">
        <f>IF(OR(Fact_Contabilidad[[#This Row], [Año]]="",Fact_Contabilidad[[#This Row], [Mes]]=""),"",DATE(A1238,MATCH(B1238,{"enero","febrero","marzo","abril","mayo","junio","julio","agosto","septiembre","octubre","noviembre","diciembre"},0)+1,0))</f>
        <v/>
      </c>
      <c r="E1238" t="str">
        <f>+IFERROR(VLOOKUP(Fact_Contabilidad[[#This Row], [Concepto Anterior]],Conceptos_Contabilidad[#All],5,0),"")</f>
        <v/>
      </c>
      <c r="F1238" t="str">
        <f>+IFERROR(VLOOKUP(Fact_Contabilidad[[#This Row], 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ht="18.75" customHeight="1" x14ac:dyDescent="0.35">
      <c r="A1239" s="103"/>
      <c r="C1239" s="100" t="str">
        <f>IF(OR(Fact_Contabilidad[[#This Row], [Año]]="",Fact_Contabilidad[[#This Row], [Mes]]=""),"",DATE(A1239,MATCH(B1239,{"enero","febrero","marzo","abril","mayo","junio","julio","agosto","septiembre","octubre","noviembre","diciembre"},0)+1,0))</f>
        <v/>
      </c>
      <c r="E1239" t="str">
        <f>+IFERROR(VLOOKUP(Fact_Contabilidad[[#This Row], [Concepto Anterior]],Conceptos_Contabilidad[#All],5,0),"")</f>
        <v/>
      </c>
      <c r="F1239" t="str">
        <f>+IFERROR(VLOOKUP(Fact_Contabilidad[[#This Row], 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ht="18.75" customHeight="1" x14ac:dyDescent="0.35">
      <c r="A1240" s="103"/>
      <c r="C1240" s="100" t="str">
        <f>IF(OR(Fact_Contabilidad[[#This Row], [Año]]="",Fact_Contabilidad[[#This Row], [Mes]]=""),"",DATE(A1240,MATCH(B1240,{"enero","febrero","marzo","abril","mayo","junio","julio","agosto","septiembre","octubre","noviembre","diciembre"},0)+1,0))</f>
        <v/>
      </c>
      <c r="E1240" t="str">
        <f>+IFERROR(VLOOKUP(Fact_Contabilidad[[#This Row], [Concepto Anterior]],Conceptos_Contabilidad[#All],5,0),"")</f>
        <v/>
      </c>
      <c r="F1240" t="str">
        <f>+IFERROR(VLOOKUP(Fact_Contabilidad[[#This Row], 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ht="18.75" customHeight="1" x14ac:dyDescent="0.35">
      <c r="A1241" s="103"/>
      <c r="C1241" s="100" t="str">
        <f>IF(OR(Fact_Contabilidad[[#This Row], [Año]]="",Fact_Contabilidad[[#This Row], [Mes]]=""),"",DATE(A1241,MATCH(B1241,{"enero","febrero","marzo","abril","mayo","junio","julio","agosto","septiembre","octubre","noviembre","diciembre"},0)+1,0))</f>
        <v/>
      </c>
      <c r="E1241" t="str">
        <f>+IFERROR(VLOOKUP(Fact_Contabilidad[[#This Row], [Concepto Anterior]],Conceptos_Contabilidad[#All],5,0),"")</f>
        <v/>
      </c>
      <c r="F1241" t="str">
        <f>+IFERROR(VLOOKUP(Fact_Contabilidad[[#This Row], 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ht="18.75" customHeight="1" x14ac:dyDescent="0.35">
      <c r="A1242" s="103"/>
      <c r="C1242" s="100" t="str">
        <f>IF(OR(Fact_Contabilidad[[#This Row], [Año]]="",Fact_Contabilidad[[#This Row], [Mes]]=""),"",DATE(A1242,MATCH(B1242,{"enero","febrero","marzo","abril","mayo","junio","julio","agosto","septiembre","octubre","noviembre","diciembre"},0)+1,0))</f>
        <v/>
      </c>
      <c r="E1242" t="str">
        <f>+IFERROR(VLOOKUP(Fact_Contabilidad[[#This Row], [Concepto Anterior]],Conceptos_Contabilidad[#All],5,0),"")</f>
        <v/>
      </c>
      <c r="F1242" t="str">
        <f>+IFERROR(VLOOKUP(Fact_Contabilidad[[#This Row], 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ht="18.75" customHeight="1" x14ac:dyDescent="0.35">
      <c r="A1243" s="103"/>
      <c r="C1243" s="100" t="str">
        <f>IF(OR(Fact_Contabilidad[[#This Row], [Año]]="",Fact_Contabilidad[[#This Row], [Mes]]=""),"",DATE(A1243,MATCH(B1243,{"enero","febrero","marzo","abril","mayo","junio","julio","agosto","septiembre","octubre","noviembre","diciembre"},0)+1,0))</f>
        <v/>
      </c>
      <c r="E1243" t="str">
        <f>+IFERROR(VLOOKUP(Fact_Contabilidad[[#This Row], [Concepto Anterior]],Conceptos_Contabilidad[#All],5,0),"")</f>
        <v/>
      </c>
      <c r="F1243" t="str">
        <f>+IFERROR(VLOOKUP(Fact_Contabilidad[[#This Row], 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ht="18.75" customHeight="1" x14ac:dyDescent="0.35">
      <c r="A1244" s="103"/>
      <c r="C1244" s="100" t="str">
        <f>IF(OR(Fact_Contabilidad[[#This Row], [Año]]="",Fact_Contabilidad[[#This Row], [Mes]]=""),"",DATE(A1244,MATCH(B1244,{"enero","febrero","marzo","abril","mayo","junio","julio","agosto","septiembre","octubre","noviembre","diciembre"},0)+1,0))</f>
        <v/>
      </c>
      <c r="E1244" t="str">
        <f>+IFERROR(VLOOKUP(Fact_Contabilidad[[#This Row], [Concepto Anterior]],Conceptos_Contabilidad[#All],5,0),"")</f>
        <v/>
      </c>
      <c r="F1244" t="str">
        <f>+IFERROR(VLOOKUP(Fact_Contabilidad[[#This Row], 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ht="18.75" customHeight="1" x14ac:dyDescent="0.35">
      <c r="A1245" s="103"/>
      <c r="C1245" s="100" t="str">
        <f>IF(OR(Fact_Contabilidad[[#This Row], [Año]]="",Fact_Contabilidad[[#This Row], [Mes]]=""),"",DATE(A1245,MATCH(B1245,{"enero","febrero","marzo","abril","mayo","junio","julio","agosto","septiembre","octubre","noviembre","diciembre"},0)+1,0))</f>
        <v/>
      </c>
      <c r="E1245" t="str">
        <f>+IFERROR(VLOOKUP(Fact_Contabilidad[[#This Row], [Concepto Anterior]],Conceptos_Contabilidad[#All],5,0),"")</f>
        <v/>
      </c>
      <c r="F1245" t="str">
        <f>+IFERROR(VLOOKUP(Fact_Contabilidad[[#This Row], 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ht="18.75" customHeight="1" x14ac:dyDescent="0.35">
      <c r="A1246" s="103"/>
      <c r="C1246" s="100" t="str">
        <f>IF(OR(Fact_Contabilidad[[#This Row], [Año]]="",Fact_Contabilidad[[#This Row], [Mes]]=""),"",DATE(A1246,MATCH(B1246,{"enero","febrero","marzo","abril","mayo","junio","julio","agosto","septiembre","octubre","noviembre","diciembre"},0)+1,0))</f>
        <v/>
      </c>
      <c r="E1246" t="str">
        <f>+IFERROR(VLOOKUP(Fact_Contabilidad[[#This Row], [Concepto Anterior]],Conceptos_Contabilidad[#All],5,0),"")</f>
        <v/>
      </c>
      <c r="F1246" t="str">
        <f>+IFERROR(VLOOKUP(Fact_Contabilidad[[#This Row], 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ht="18.75" customHeight="1" x14ac:dyDescent="0.35">
      <c r="A1247" s="103"/>
      <c r="C1247" s="100" t="str">
        <f>IF(OR(Fact_Contabilidad[[#This Row], [Año]]="",Fact_Contabilidad[[#This Row], [Mes]]=""),"",DATE(A1247,MATCH(B1247,{"enero","febrero","marzo","abril","mayo","junio","julio","agosto","septiembre","octubre","noviembre","diciembre"},0)+1,0))</f>
        <v/>
      </c>
      <c r="E1247" t="str">
        <f>+IFERROR(VLOOKUP(Fact_Contabilidad[[#This Row], [Concepto Anterior]],Conceptos_Contabilidad[#All],5,0),"")</f>
        <v/>
      </c>
      <c r="F1247" t="str">
        <f>+IFERROR(VLOOKUP(Fact_Contabilidad[[#This Row], 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ht="18.75" customHeight="1" x14ac:dyDescent="0.35">
      <c r="A1248" s="103"/>
      <c r="C1248" s="100" t="str">
        <f>IF(OR(Fact_Contabilidad[[#This Row], [Año]]="",Fact_Contabilidad[[#This Row], [Mes]]=""),"",DATE(A1248,MATCH(B1248,{"enero","febrero","marzo","abril","mayo","junio","julio","agosto","septiembre","octubre","noviembre","diciembre"},0)+1,0))</f>
        <v/>
      </c>
      <c r="E1248" t="str">
        <f>+IFERROR(VLOOKUP(Fact_Contabilidad[[#This Row], [Concepto Anterior]],Conceptos_Contabilidad[#All],5,0),"")</f>
        <v/>
      </c>
      <c r="F1248" t="str">
        <f>+IFERROR(VLOOKUP(Fact_Contabilidad[[#This Row], 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ht="18.75" customHeight="1" x14ac:dyDescent="0.35">
      <c r="A1249" s="103"/>
      <c r="C1249" s="100" t="str">
        <f>IF(OR(Fact_Contabilidad[[#This Row], [Año]]="",Fact_Contabilidad[[#This Row], [Mes]]=""),"",DATE(A1249,MATCH(B1249,{"enero","febrero","marzo","abril","mayo","junio","julio","agosto","septiembre","octubre","noviembre","diciembre"},0)+1,0))</f>
        <v/>
      </c>
      <c r="E1249" t="str">
        <f>+IFERROR(VLOOKUP(Fact_Contabilidad[[#This Row], [Concepto Anterior]],Conceptos_Contabilidad[#All],5,0),"")</f>
        <v/>
      </c>
      <c r="F1249" t="str">
        <f>+IFERROR(VLOOKUP(Fact_Contabilidad[[#This Row], 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ht="18.75" customHeight="1" x14ac:dyDescent="0.35">
      <c r="A1250" s="103"/>
      <c r="C1250" s="100" t="str">
        <f>IF(OR(Fact_Contabilidad[[#This Row], [Año]]="",Fact_Contabilidad[[#This Row], [Mes]]=""),"",DATE(A1250,MATCH(B1250,{"enero","febrero","marzo","abril","mayo","junio","julio","agosto","septiembre","octubre","noviembre","diciembre"},0)+1,0))</f>
        <v/>
      </c>
      <c r="E1250" t="str">
        <f>+IFERROR(VLOOKUP(Fact_Contabilidad[[#This Row], [Concepto Anterior]],Conceptos_Contabilidad[#All],5,0),"")</f>
        <v/>
      </c>
      <c r="F1250" t="str">
        <f>+IFERROR(VLOOKUP(Fact_Contabilidad[[#This Row], 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ht="18.75" customHeight="1" x14ac:dyDescent="0.35">
      <c r="A1251" s="103"/>
      <c r="C1251" s="100" t="str">
        <f>IF(OR(Fact_Contabilidad[[#This Row], [Año]]="",Fact_Contabilidad[[#This Row], [Mes]]=""),"",DATE(A1251,MATCH(B1251,{"enero","febrero","marzo","abril","mayo","junio","julio","agosto","septiembre","octubre","noviembre","diciembre"},0)+1,0))</f>
        <v/>
      </c>
      <c r="E1251" t="str">
        <f>+IFERROR(VLOOKUP(Fact_Contabilidad[[#This Row], [Concepto Anterior]],Conceptos_Contabilidad[#All],5,0),"")</f>
        <v/>
      </c>
      <c r="F1251" t="str">
        <f>+IFERROR(VLOOKUP(Fact_Contabilidad[[#This Row], 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ht="18.75" customHeight="1" x14ac:dyDescent="0.35">
      <c r="A1252" s="103"/>
      <c r="C1252" s="100" t="str">
        <f>IF(OR(Fact_Contabilidad[[#This Row], [Año]]="",Fact_Contabilidad[[#This Row], [Mes]]=""),"",DATE(A1252,MATCH(B1252,{"enero","febrero","marzo","abril","mayo","junio","julio","agosto","septiembre","octubre","noviembre","diciembre"},0)+1,0))</f>
        <v/>
      </c>
      <c r="E1252" t="str">
        <f>+IFERROR(VLOOKUP(Fact_Contabilidad[[#This Row], [Concepto Anterior]],Conceptos_Contabilidad[#All],5,0),"")</f>
        <v/>
      </c>
      <c r="F1252" t="str">
        <f>+IFERROR(VLOOKUP(Fact_Contabilidad[[#This Row], 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ht="18.75" customHeight="1" x14ac:dyDescent="0.35">
      <c r="A1253" s="103"/>
      <c r="C1253" s="100" t="str">
        <f>IF(OR(Fact_Contabilidad[[#This Row], [Año]]="",Fact_Contabilidad[[#This Row], [Mes]]=""),"",DATE(A1253,MATCH(B1253,{"enero","febrero","marzo","abril","mayo","junio","julio","agosto","septiembre","octubre","noviembre","diciembre"},0)+1,0))</f>
        <v/>
      </c>
      <c r="E1253" t="str">
        <f>+IFERROR(VLOOKUP(Fact_Contabilidad[[#This Row], [Concepto Anterior]],Conceptos_Contabilidad[#All],5,0),"")</f>
        <v/>
      </c>
      <c r="F1253" t="str">
        <f>+IFERROR(VLOOKUP(Fact_Contabilidad[[#This Row], 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ht="18.75" customHeight="1" x14ac:dyDescent="0.35">
      <c r="A1254" s="103"/>
      <c r="C1254" s="100" t="str">
        <f>IF(OR(Fact_Contabilidad[[#This Row], [Año]]="",Fact_Contabilidad[[#This Row], [Mes]]=""),"",DATE(A1254,MATCH(B1254,{"enero","febrero","marzo","abril","mayo","junio","julio","agosto","septiembre","octubre","noviembre","diciembre"},0)+1,0))</f>
        <v/>
      </c>
      <c r="E1254" t="str">
        <f>+IFERROR(VLOOKUP(Fact_Contabilidad[[#This Row], [Concepto Anterior]],Conceptos_Contabilidad[#All],5,0),"")</f>
        <v/>
      </c>
      <c r="F1254" t="str">
        <f>+IFERROR(VLOOKUP(Fact_Contabilidad[[#This Row], 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ht="18.75" customHeight="1" x14ac:dyDescent="0.35">
      <c r="A1255" s="103"/>
      <c r="C1255" s="100" t="str">
        <f>IF(OR(Fact_Contabilidad[[#This Row], [Año]]="",Fact_Contabilidad[[#This Row], [Mes]]=""),"",DATE(A1255,MATCH(B1255,{"enero","febrero","marzo","abril","mayo","junio","julio","agosto","septiembre","octubre","noviembre","diciembre"},0)+1,0))</f>
        <v/>
      </c>
      <c r="E1255" t="str">
        <f>+IFERROR(VLOOKUP(Fact_Contabilidad[[#This Row], [Concepto Anterior]],Conceptos_Contabilidad[#All],5,0),"")</f>
        <v/>
      </c>
      <c r="F1255" t="str">
        <f>+IFERROR(VLOOKUP(Fact_Contabilidad[[#This Row], 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ht="18.75" customHeight="1" x14ac:dyDescent="0.35">
      <c r="A1256" s="103"/>
      <c r="C1256" s="100" t="str">
        <f>IF(OR(Fact_Contabilidad[[#This Row], [Año]]="",Fact_Contabilidad[[#This Row], [Mes]]=""),"",DATE(A1256,MATCH(B1256,{"enero","febrero","marzo","abril","mayo","junio","julio","agosto","septiembre","octubre","noviembre","diciembre"},0)+1,0))</f>
        <v/>
      </c>
      <c r="E1256" t="str">
        <f>+IFERROR(VLOOKUP(Fact_Contabilidad[[#This Row], [Concepto Anterior]],Conceptos_Contabilidad[#All],5,0),"")</f>
        <v/>
      </c>
      <c r="F1256" t="str">
        <f>+IFERROR(VLOOKUP(Fact_Contabilidad[[#This Row], 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ht="18.75" customHeight="1" x14ac:dyDescent="0.35">
      <c r="A1257" s="103"/>
      <c r="C1257" s="100" t="str">
        <f>IF(OR(Fact_Contabilidad[[#This Row], [Año]]="",Fact_Contabilidad[[#This Row], [Mes]]=""),"",DATE(A1257,MATCH(B1257,{"enero","febrero","marzo","abril","mayo","junio","julio","agosto","septiembre","octubre","noviembre","diciembre"},0)+1,0))</f>
        <v/>
      </c>
      <c r="E1257" t="str">
        <f>+IFERROR(VLOOKUP(Fact_Contabilidad[[#This Row], [Concepto Anterior]],Conceptos_Contabilidad[#All],5,0),"")</f>
        <v/>
      </c>
      <c r="F1257" t="str">
        <f>+IFERROR(VLOOKUP(Fact_Contabilidad[[#This Row], 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ht="18.75" customHeight="1" x14ac:dyDescent="0.35">
      <c r="A1258" s="103"/>
      <c r="C1258" s="100" t="str">
        <f>IF(OR(Fact_Contabilidad[[#This Row], [Año]]="",Fact_Contabilidad[[#This Row], [Mes]]=""),"",DATE(A1258,MATCH(B1258,{"enero","febrero","marzo","abril","mayo","junio","julio","agosto","septiembre","octubre","noviembre","diciembre"},0)+1,0))</f>
        <v/>
      </c>
      <c r="E1258" t="str">
        <f>+IFERROR(VLOOKUP(Fact_Contabilidad[[#This Row], [Concepto Anterior]],Conceptos_Contabilidad[#All],5,0),"")</f>
        <v/>
      </c>
      <c r="F1258" t="str">
        <f>+IFERROR(VLOOKUP(Fact_Contabilidad[[#This Row], 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ht="18.75" customHeight="1" x14ac:dyDescent="0.35">
      <c r="A1259" s="103"/>
      <c r="C1259" s="100" t="str">
        <f>IF(OR(Fact_Contabilidad[[#This Row], [Año]]="",Fact_Contabilidad[[#This Row], [Mes]]=""),"",DATE(A1259,MATCH(B1259,{"enero","febrero","marzo","abril","mayo","junio","julio","agosto","septiembre","octubre","noviembre","diciembre"},0)+1,0))</f>
        <v/>
      </c>
      <c r="E1259" t="str">
        <f>+IFERROR(VLOOKUP(Fact_Contabilidad[[#This Row], [Concepto Anterior]],Conceptos_Contabilidad[#All],5,0),"")</f>
        <v/>
      </c>
      <c r="F1259" t="str">
        <f>+IFERROR(VLOOKUP(Fact_Contabilidad[[#This Row], 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ht="18.75" customHeight="1" x14ac:dyDescent="0.35">
      <c r="A1260" s="103"/>
      <c r="C1260" s="100" t="str">
        <f>IF(OR(Fact_Contabilidad[[#This Row], [Año]]="",Fact_Contabilidad[[#This Row], [Mes]]=""),"",DATE(A1260,MATCH(B1260,{"enero","febrero","marzo","abril","mayo","junio","julio","agosto","septiembre","octubre","noviembre","diciembre"},0)+1,0))</f>
        <v/>
      </c>
      <c r="E1260" t="str">
        <f>+IFERROR(VLOOKUP(Fact_Contabilidad[[#This Row], [Concepto Anterior]],Conceptos_Contabilidad[#All],5,0),"")</f>
        <v/>
      </c>
      <c r="F1260" t="str">
        <f>+IFERROR(VLOOKUP(Fact_Contabilidad[[#This Row], 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ht="18.75" customHeight="1" x14ac:dyDescent="0.35">
      <c r="A1261" s="103"/>
      <c r="C1261" s="100" t="str">
        <f>IF(OR(Fact_Contabilidad[[#This Row], [Año]]="",Fact_Contabilidad[[#This Row], [Mes]]=""),"",DATE(A1261,MATCH(B1261,{"enero","febrero","marzo","abril","mayo","junio","julio","agosto","septiembre","octubre","noviembre","diciembre"},0)+1,0))</f>
        <v/>
      </c>
      <c r="E1261" t="str">
        <f>+IFERROR(VLOOKUP(Fact_Contabilidad[[#This Row], [Concepto Anterior]],Conceptos_Contabilidad[#All],5,0),"")</f>
        <v/>
      </c>
      <c r="F1261" t="str">
        <f>+IFERROR(VLOOKUP(Fact_Contabilidad[[#This Row], 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ht="18.75" customHeight="1" x14ac:dyDescent="0.35">
      <c r="A1262" s="103"/>
      <c r="C1262" s="100" t="str">
        <f>IF(OR(Fact_Contabilidad[[#This Row], [Año]]="",Fact_Contabilidad[[#This Row], [Mes]]=""),"",DATE(A1262,MATCH(B1262,{"enero","febrero","marzo","abril","mayo","junio","julio","agosto","septiembre","octubre","noviembre","diciembre"},0)+1,0))</f>
        <v/>
      </c>
      <c r="E1262" t="str">
        <f>+IFERROR(VLOOKUP(Fact_Contabilidad[[#This Row], [Concepto Anterior]],Conceptos_Contabilidad[#All],5,0),"")</f>
        <v/>
      </c>
      <c r="F1262" t="str">
        <f>+IFERROR(VLOOKUP(Fact_Contabilidad[[#This Row], 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ht="18.75" customHeight="1" x14ac:dyDescent="0.35">
      <c r="A1263" s="103"/>
      <c r="C1263" s="100" t="str">
        <f>IF(OR(Fact_Contabilidad[[#This Row], [Año]]="",Fact_Contabilidad[[#This Row], [Mes]]=""),"",DATE(A1263,MATCH(B1263,{"enero","febrero","marzo","abril","mayo","junio","julio","agosto","septiembre","octubre","noviembre","diciembre"},0)+1,0))</f>
        <v/>
      </c>
      <c r="E1263" t="str">
        <f>+IFERROR(VLOOKUP(Fact_Contabilidad[[#This Row], [Concepto Anterior]],Conceptos_Contabilidad[#All],5,0),"")</f>
        <v/>
      </c>
      <c r="F1263" t="str">
        <f>+IFERROR(VLOOKUP(Fact_Contabilidad[[#This Row], 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ht="18.75" customHeight="1" x14ac:dyDescent="0.35">
      <c r="A1264" s="103"/>
      <c r="C1264" s="100" t="str">
        <f>IF(OR(Fact_Contabilidad[[#This Row], [Año]]="",Fact_Contabilidad[[#This Row], [Mes]]=""),"",DATE(A1264,MATCH(B1264,{"enero","febrero","marzo","abril","mayo","junio","julio","agosto","septiembre","octubre","noviembre","diciembre"},0)+1,0))</f>
        <v/>
      </c>
      <c r="E1264" t="str">
        <f>+IFERROR(VLOOKUP(Fact_Contabilidad[[#This Row], [Concepto Anterior]],Conceptos_Contabilidad[#All],5,0),"")</f>
        <v/>
      </c>
      <c r="F1264" t="str">
        <f>+IFERROR(VLOOKUP(Fact_Contabilidad[[#This Row], 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ht="18.75" customHeight="1" x14ac:dyDescent="0.35">
      <c r="A1265" s="103"/>
      <c r="C1265" s="100" t="str">
        <f>IF(OR(Fact_Contabilidad[[#This Row], [Año]]="",Fact_Contabilidad[[#This Row], [Mes]]=""),"",DATE(A1265,MATCH(B1265,{"enero","febrero","marzo","abril","mayo","junio","julio","agosto","septiembre","octubre","noviembre","diciembre"},0)+1,0))</f>
        <v/>
      </c>
      <c r="E1265" t="str">
        <f>+IFERROR(VLOOKUP(Fact_Contabilidad[[#This Row], [Concepto Anterior]],Conceptos_Contabilidad[#All],5,0),"")</f>
        <v/>
      </c>
      <c r="F1265" t="str">
        <f>+IFERROR(VLOOKUP(Fact_Contabilidad[[#This Row], 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ht="18.75" customHeight="1" x14ac:dyDescent="0.35">
      <c r="A1266" s="103"/>
      <c r="C1266" s="100" t="str">
        <f>IF(OR(Fact_Contabilidad[[#This Row], [Año]]="",Fact_Contabilidad[[#This Row], [Mes]]=""),"",DATE(A1266,MATCH(B1266,{"enero","febrero","marzo","abril","mayo","junio","julio","agosto","septiembre","octubre","noviembre","diciembre"},0)+1,0))</f>
        <v/>
      </c>
      <c r="E1266" t="str">
        <f>+IFERROR(VLOOKUP(Fact_Contabilidad[[#This Row], [Concepto Anterior]],Conceptos_Contabilidad[#All],5,0),"")</f>
        <v/>
      </c>
      <c r="F1266" t="str">
        <f>+IFERROR(VLOOKUP(Fact_Contabilidad[[#This Row], 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ht="18.75" customHeight="1" x14ac:dyDescent="0.35">
      <c r="A1267" s="103"/>
      <c r="C1267" s="100" t="str">
        <f>IF(OR(Fact_Contabilidad[[#This Row], [Año]]="",Fact_Contabilidad[[#This Row], [Mes]]=""),"",DATE(A1267,MATCH(B1267,{"enero","febrero","marzo","abril","mayo","junio","julio","agosto","septiembre","octubre","noviembre","diciembre"},0)+1,0))</f>
        <v/>
      </c>
      <c r="E1267" t="str">
        <f>+IFERROR(VLOOKUP(Fact_Contabilidad[[#This Row], [Concepto Anterior]],Conceptos_Contabilidad[#All],5,0),"")</f>
        <v/>
      </c>
      <c r="F1267" t="str">
        <f>+IFERROR(VLOOKUP(Fact_Contabilidad[[#This Row], 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ht="18.75" customHeight="1" x14ac:dyDescent="0.35">
      <c r="A1268" s="103"/>
      <c r="C1268" s="100" t="str">
        <f>IF(OR(Fact_Contabilidad[[#This Row], [Año]]="",Fact_Contabilidad[[#This Row], [Mes]]=""),"",DATE(A1268,MATCH(B1268,{"enero","febrero","marzo","abril","mayo","junio","julio","agosto","septiembre","octubre","noviembre","diciembre"},0)+1,0))</f>
        <v/>
      </c>
      <c r="E1268" t="str">
        <f>+IFERROR(VLOOKUP(Fact_Contabilidad[[#This Row], [Concepto Anterior]],Conceptos_Contabilidad[#All],5,0),"")</f>
        <v/>
      </c>
      <c r="F1268" t="str">
        <f>+IFERROR(VLOOKUP(Fact_Contabilidad[[#This Row], 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ht="18.75" customHeight="1" x14ac:dyDescent="0.35">
      <c r="A1269" s="103"/>
      <c r="C1269" s="100" t="str">
        <f>IF(OR(Fact_Contabilidad[[#This Row], [Año]]="",Fact_Contabilidad[[#This Row], [Mes]]=""),"",DATE(A1269,MATCH(B1269,{"enero","febrero","marzo","abril","mayo","junio","julio","agosto","septiembre","octubre","noviembre","diciembre"},0)+1,0))</f>
        <v/>
      </c>
      <c r="E1269" t="str">
        <f>+IFERROR(VLOOKUP(Fact_Contabilidad[[#This Row], [Concepto Anterior]],Conceptos_Contabilidad[#All],5,0),"")</f>
        <v/>
      </c>
      <c r="F1269" t="str">
        <f>+IFERROR(VLOOKUP(Fact_Contabilidad[[#This Row], 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ht="18.75" customHeight="1" x14ac:dyDescent="0.35">
      <c r="A1270" s="103"/>
      <c r="C1270" s="100" t="str">
        <f>IF(OR(Fact_Contabilidad[[#This Row], [Año]]="",Fact_Contabilidad[[#This Row], [Mes]]=""),"",DATE(A1270,MATCH(B1270,{"enero","febrero","marzo","abril","mayo","junio","julio","agosto","septiembre","octubre","noviembre","diciembre"},0)+1,0))</f>
        <v/>
      </c>
      <c r="E1270" t="str">
        <f>+IFERROR(VLOOKUP(Fact_Contabilidad[[#This Row], [Concepto Anterior]],Conceptos_Contabilidad[#All],5,0),"")</f>
        <v/>
      </c>
      <c r="F1270" t="str">
        <f>+IFERROR(VLOOKUP(Fact_Contabilidad[[#This Row], 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ht="18.75" customHeight="1" x14ac:dyDescent="0.35">
      <c r="A1271" s="103"/>
      <c r="C1271" s="100" t="str">
        <f>IF(OR(Fact_Contabilidad[[#This Row], [Año]]="",Fact_Contabilidad[[#This Row], [Mes]]=""),"",DATE(A1271,MATCH(B1271,{"enero","febrero","marzo","abril","mayo","junio","julio","agosto","septiembre","octubre","noviembre","diciembre"},0)+1,0))</f>
        <v/>
      </c>
      <c r="E1271" t="str">
        <f>+IFERROR(VLOOKUP(Fact_Contabilidad[[#This Row], [Concepto Anterior]],Conceptos_Contabilidad[#All],5,0),"")</f>
        <v/>
      </c>
      <c r="F1271" t="str">
        <f>+IFERROR(VLOOKUP(Fact_Contabilidad[[#This Row], 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ht="18.75" customHeight="1" x14ac:dyDescent="0.35">
      <c r="A1272" s="103"/>
      <c r="C1272" s="100" t="str">
        <f>IF(OR(Fact_Contabilidad[[#This Row], [Año]]="",Fact_Contabilidad[[#This Row], [Mes]]=""),"",DATE(A1272,MATCH(B1272,{"enero","febrero","marzo","abril","mayo","junio","julio","agosto","septiembre","octubre","noviembre","diciembre"},0)+1,0))</f>
        <v/>
      </c>
      <c r="E1272" t="str">
        <f>+IFERROR(VLOOKUP(Fact_Contabilidad[[#This Row], [Concepto Anterior]],Conceptos_Contabilidad[#All],5,0),"")</f>
        <v/>
      </c>
      <c r="F1272" t="str">
        <f>+IFERROR(VLOOKUP(Fact_Contabilidad[[#This Row], 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ht="18.75" customHeight="1" x14ac:dyDescent="0.35">
      <c r="A1273" s="103"/>
      <c r="C1273" s="100" t="str">
        <f>IF(OR(Fact_Contabilidad[[#This Row], [Año]]="",Fact_Contabilidad[[#This Row], [Mes]]=""),"",DATE(A1273,MATCH(B1273,{"enero","febrero","marzo","abril","mayo","junio","julio","agosto","septiembre","octubre","noviembre","diciembre"},0)+1,0))</f>
        <v/>
      </c>
      <c r="E1273" t="str">
        <f>+IFERROR(VLOOKUP(Fact_Contabilidad[[#This Row], [Concepto Anterior]],Conceptos_Contabilidad[#All],5,0),"")</f>
        <v/>
      </c>
      <c r="F1273" t="str">
        <f>+IFERROR(VLOOKUP(Fact_Contabilidad[[#This Row], 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ht="18.75" customHeight="1" x14ac:dyDescent="0.35">
      <c r="A1274" s="103"/>
      <c r="C1274" s="100" t="str">
        <f>IF(OR(Fact_Contabilidad[[#This Row], [Año]]="",Fact_Contabilidad[[#This Row], [Mes]]=""),"",DATE(A1274,MATCH(B1274,{"enero","febrero","marzo","abril","mayo","junio","julio","agosto","septiembre","octubre","noviembre","diciembre"},0)+1,0))</f>
        <v/>
      </c>
      <c r="E1274" t="str">
        <f>+IFERROR(VLOOKUP(Fact_Contabilidad[[#This Row], [Concepto Anterior]],Conceptos_Contabilidad[#All],5,0),"")</f>
        <v/>
      </c>
      <c r="F1274" t="str">
        <f>+IFERROR(VLOOKUP(Fact_Contabilidad[[#This Row], 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ht="18.75" customHeight="1" x14ac:dyDescent="0.35">
      <c r="A1275" s="103"/>
      <c r="C1275" s="100" t="str">
        <f>IF(OR(Fact_Contabilidad[[#This Row], [Año]]="",Fact_Contabilidad[[#This Row], [Mes]]=""),"",DATE(A1275,MATCH(B1275,{"enero","febrero","marzo","abril","mayo","junio","julio","agosto","septiembre","octubre","noviembre","diciembre"},0)+1,0))</f>
        <v/>
      </c>
      <c r="E1275" t="str">
        <f>+IFERROR(VLOOKUP(Fact_Contabilidad[[#This Row], [Concepto Anterior]],Conceptos_Contabilidad[#All],5,0),"")</f>
        <v/>
      </c>
      <c r="F1275" t="str">
        <f>+IFERROR(VLOOKUP(Fact_Contabilidad[[#This Row], 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ht="18.75" customHeight="1" x14ac:dyDescent="0.35">
      <c r="A1276" s="103"/>
      <c r="C1276" s="100" t="str">
        <f>IF(OR(Fact_Contabilidad[[#This Row], [Año]]="",Fact_Contabilidad[[#This Row], [Mes]]=""),"",DATE(A1276,MATCH(B1276,{"enero","febrero","marzo","abril","mayo","junio","julio","agosto","septiembre","octubre","noviembre","diciembre"},0)+1,0))</f>
        <v/>
      </c>
      <c r="E1276" t="str">
        <f>+IFERROR(VLOOKUP(Fact_Contabilidad[[#This Row], [Concepto Anterior]],Conceptos_Contabilidad[#All],5,0),"")</f>
        <v/>
      </c>
      <c r="F1276" t="str">
        <f>+IFERROR(VLOOKUP(Fact_Contabilidad[[#This Row], 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ht="18.75" customHeight="1" x14ac:dyDescent="0.35">
      <c r="A1277" s="103"/>
      <c r="C1277" s="100" t="str">
        <f>IF(OR(Fact_Contabilidad[[#This Row], [Año]]="",Fact_Contabilidad[[#This Row], [Mes]]=""),"",DATE(A1277,MATCH(B1277,{"enero","febrero","marzo","abril","mayo","junio","julio","agosto","septiembre","octubre","noviembre","diciembre"},0)+1,0))</f>
        <v/>
      </c>
      <c r="E1277" t="str">
        <f>+IFERROR(VLOOKUP(Fact_Contabilidad[[#This Row], [Concepto Anterior]],Conceptos_Contabilidad[#All],5,0),"")</f>
        <v/>
      </c>
      <c r="F1277" t="str">
        <f>+IFERROR(VLOOKUP(Fact_Contabilidad[[#This Row], 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ht="18.75" customHeight="1" x14ac:dyDescent="0.35">
      <c r="A1278" s="103"/>
      <c r="C1278" s="100" t="str">
        <f>IF(OR(Fact_Contabilidad[[#This Row], [Año]]="",Fact_Contabilidad[[#This Row], [Mes]]=""),"",DATE(A1278,MATCH(B1278,{"enero","febrero","marzo","abril","mayo","junio","julio","agosto","septiembre","octubre","noviembre","diciembre"},0)+1,0))</f>
        <v/>
      </c>
      <c r="E1278" t="str">
        <f>+IFERROR(VLOOKUP(Fact_Contabilidad[[#This Row], [Concepto Anterior]],Conceptos_Contabilidad[#All],5,0),"")</f>
        <v/>
      </c>
      <c r="F1278" t="str">
        <f>+IFERROR(VLOOKUP(Fact_Contabilidad[[#This Row], 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ht="18.75" customHeight="1" x14ac:dyDescent="0.35">
      <c r="A1279" s="103"/>
      <c r="C1279" s="100" t="str">
        <f>IF(OR(Fact_Contabilidad[[#This Row], [Año]]="",Fact_Contabilidad[[#This Row], [Mes]]=""),"",DATE(A1279,MATCH(B1279,{"enero","febrero","marzo","abril","mayo","junio","julio","agosto","septiembre","octubre","noviembre","diciembre"},0)+1,0))</f>
        <v/>
      </c>
      <c r="E1279" t="str">
        <f>+IFERROR(VLOOKUP(Fact_Contabilidad[[#This Row], [Concepto Anterior]],Conceptos_Contabilidad[#All],5,0),"")</f>
        <v/>
      </c>
      <c r="F1279" t="str">
        <f>+IFERROR(VLOOKUP(Fact_Contabilidad[[#This Row], 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ht="18.75" customHeight="1" x14ac:dyDescent="0.35">
      <c r="A1280" s="103"/>
      <c r="C1280" s="100" t="str">
        <f>IF(OR(Fact_Contabilidad[[#This Row], [Año]]="",Fact_Contabilidad[[#This Row], [Mes]]=""),"",DATE(A1280,MATCH(B1280,{"enero","febrero","marzo","abril","mayo","junio","julio","agosto","septiembre","octubre","noviembre","diciembre"},0)+1,0))</f>
        <v/>
      </c>
      <c r="E1280" t="str">
        <f>+IFERROR(VLOOKUP(Fact_Contabilidad[[#This Row], [Concepto Anterior]],Conceptos_Contabilidad[#All],5,0),"")</f>
        <v/>
      </c>
      <c r="F1280" t="str">
        <f>+IFERROR(VLOOKUP(Fact_Contabilidad[[#This Row], 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ht="18.75" customHeight="1" x14ac:dyDescent="0.35">
      <c r="A1281" s="103"/>
      <c r="C1281" s="100" t="str">
        <f>IF(OR(Fact_Contabilidad[[#This Row], [Año]]="",Fact_Contabilidad[[#This Row], [Mes]]=""),"",DATE(A1281,MATCH(B1281,{"enero","febrero","marzo","abril","mayo","junio","julio","agosto","septiembre","octubre","noviembre","diciembre"},0)+1,0))</f>
        <v/>
      </c>
      <c r="E1281" t="str">
        <f>+IFERROR(VLOOKUP(Fact_Contabilidad[[#This Row], [Concepto Anterior]],Conceptos_Contabilidad[#All],5,0),"")</f>
        <v/>
      </c>
      <c r="F1281" t="str">
        <f>+IFERROR(VLOOKUP(Fact_Contabilidad[[#This Row], 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ht="18.75" customHeight="1" x14ac:dyDescent="0.35">
      <c r="A1282" s="103"/>
      <c r="C1282" s="100" t="str">
        <f>IF(OR(Fact_Contabilidad[[#This Row], [Año]]="",Fact_Contabilidad[[#This Row], [Mes]]=""),"",DATE(A1282,MATCH(B1282,{"enero","febrero","marzo","abril","mayo","junio","julio","agosto","septiembre","octubre","noviembre","diciembre"},0)+1,0))</f>
        <v/>
      </c>
      <c r="E1282" t="str">
        <f>+IFERROR(VLOOKUP(Fact_Contabilidad[[#This Row], [Concepto Anterior]],Conceptos_Contabilidad[#All],5,0),"")</f>
        <v/>
      </c>
      <c r="F1282" t="str">
        <f>+IFERROR(VLOOKUP(Fact_Contabilidad[[#This Row], 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ht="18.75" customHeight="1" x14ac:dyDescent="0.35">
      <c r="A1283" s="103"/>
      <c r="C1283" s="100" t="str">
        <f>IF(OR(Fact_Contabilidad[[#This Row], [Año]]="",Fact_Contabilidad[[#This Row], [Mes]]=""),"",DATE(A1283,MATCH(B1283,{"enero","febrero","marzo","abril","mayo","junio","julio","agosto","septiembre","octubre","noviembre","diciembre"},0)+1,0))</f>
        <v/>
      </c>
      <c r="E1283" t="str">
        <f>+IFERROR(VLOOKUP(Fact_Contabilidad[[#This Row], [Concepto Anterior]],Conceptos_Contabilidad[#All],5,0),"")</f>
        <v/>
      </c>
      <c r="F1283" t="str">
        <f>+IFERROR(VLOOKUP(Fact_Contabilidad[[#This Row], 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ht="18.75" customHeight="1" x14ac:dyDescent="0.35">
      <c r="A1284" s="103"/>
      <c r="C1284" s="100" t="str">
        <f>IF(OR(Fact_Contabilidad[[#This Row], [Año]]="",Fact_Contabilidad[[#This Row], [Mes]]=""),"",DATE(A1284,MATCH(B1284,{"enero","febrero","marzo","abril","mayo","junio","julio","agosto","septiembre","octubre","noviembre","diciembre"},0)+1,0))</f>
        <v/>
      </c>
      <c r="E1284" t="str">
        <f>+IFERROR(VLOOKUP(Fact_Contabilidad[[#This Row], [Concepto Anterior]],Conceptos_Contabilidad[#All],5,0),"")</f>
        <v/>
      </c>
      <c r="F1284" t="str">
        <f>+IFERROR(VLOOKUP(Fact_Contabilidad[[#This Row], 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ht="18.75" customHeight="1" x14ac:dyDescent="0.35">
      <c r="A1285" s="103"/>
      <c r="C1285" s="100" t="str">
        <f>IF(OR(Fact_Contabilidad[[#This Row], [Año]]="",Fact_Contabilidad[[#This Row], [Mes]]=""),"",DATE(A1285,MATCH(B1285,{"enero","febrero","marzo","abril","mayo","junio","julio","agosto","septiembre","octubre","noviembre","diciembre"},0)+1,0))</f>
        <v/>
      </c>
      <c r="E1285" t="str">
        <f>+IFERROR(VLOOKUP(Fact_Contabilidad[[#This Row], [Concepto Anterior]],Conceptos_Contabilidad[#All],5,0),"")</f>
        <v/>
      </c>
      <c r="F1285" t="str">
        <f>+IFERROR(VLOOKUP(Fact_Contabilidad[[#This Row], 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ht="18.75" customHeight="1" x14ac:dyDescent="0.35">
      <c r="A1286" s="103"/>
      <c r="C1286" s="100" t="str">
        <f>IF(OR(Fact_Contabilidad[[#This Row], [Año]]="",Fact_Contabilidad[[#This Row], [Mes]]=""),"",DATE(A1286,MATCH(B1286,{"enero","febrero","marzo","abril","mayo","junio","julio","agosto","septiembre","octubre","noviembre","diciembre"},0)+1,0))</f>
        <v/>
      </c>
      <c r="E1286" t="str">
        <f>+IFERROR(VLOOKUP(Fact_Contabilidad[[#This Row], [Concepto Anterior]],Conceptos_Contabilidad[#All],5,0),"")</f>
        <v/>
      </c>
      <c r="F1286" t="str">
        <f>+IFERROR(VLOOKUP(Fact_Contabilidad[[#This Row], 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ht="18.75" customHeight="1" x14ac:dyDescent="0.35">
      <c r="A1287" s="103"/>
      <c r="C1287" s="100" t="str">
        <f>IF(OR(Fact_Contabilidad[[#This Row], [Año]]="",Fact_Contabilidad[[#This Row], [Mes]]=""),"",DATE(A1287,MATCH(B1287,{"enero","febrero","marzo","abril","mayo","junio","julio","agosto","septiembre","octubre","noviembre","diciembre"},0)+1,0))</f>
        <v/>
      </c>
      <c r="E1287" t="str">
        <f>+IFERROR(VLOOKUP(Fact_Contabilidad[[#This Row], [Concepto Anterior]],Conceptos_Contabilidad[#All],5,0),"")</f>
        <v/>
      </c>
      <c r="F1287" t="str">
        <f>+IFERROR(VLOOKUP(Fact_Contabilidad[[#This Row], 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ht="18.75" customHeight="1" x14ac:dyDescent="0.35">
      <c r="A1288" s="103"/>
      <c r="C1288" s="100" t="str">
        <f>IF(OR(Fact_Contabilidad[[#This Row], [Año]]="",Fact_Contabilidad[[#This Row], [Mes]]=""),"",DATE(A1288,MATCH(B1288,{"enero","febrero","marzo","abril","mayo","junio","julio","agosto","septiembre","octubre","noviembre","diciembre"},0)+1,0))</f>
        <v/>
      </c>
      <c r="E1288" t="str">
        <f>+IFERROR(VLOOKUP(Fact_Contabilidad[[#This Row], [Concepto Anterior]],Conceptos_Contabilidad[#All],5,0),"")</f>
        <v/>
      </c>
      <c r="F1288" t="str">
        <f>+IFERROR(VLOOKUP(Fact_Contabilidad[[#This Row], 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ht="18.75" customHeight="1" x14ac:dyDescent="0.35">
      <c r="A1289" s="103"/>
      <c r="C1289" s="100" t="str">
        <f>IF(OR(Fact_Contabilidad[[#This Row], [Año]]="",Fact_Contabilidad[[#This Row], [Mes]]=""),"",DATE(A1289,MATCH(B1289,{"enero","febrero","marzo","abril","mayo","junio","julio","agosto","septiembre","octubre","noviembre","diciembre"},0)+1,0))</f>
        <v/>
      </c>
      <c r="E1289" t="str">
        <f>+IFERROR(VLOOKUP(Fact_Contabilidad[[#This Row], [Concepto Anterior]],Conceptos_Contabilidad[#All],5,0),"")</f>
        <v/>
      </c>
      <c r="F1289" t="str">
        <f>+IFERROR(VLOOKUP(Fact_Contabilidad[[#This Row], 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ht="18.75" customHeight="1" x14ac:dyDescent="0.35">
      <c r="A1290" s="103"/>
      <c r="C1290" s="100" t="str">
        <f>IF(OR(Fact_Contabilidad[[#This Row], [Año]]="",Fact_Contabilidad[[#This Row], [Mes]]=""),"",DATE(A1290,MATCH(B1290,{"enero","febrero","marzo","abril","mayo","junio","julio","agosto","septiembre","octubre","noviembre","diciembre"},0)+1,0))</f>
        <v/>
      </c>
      <c r="E1290" t="str">
        <f>+IFERROR(VLOOKUP(Fact_Contabilidad[[#This Row], [Concepto Anterior]],Conceptos_Contabilidad[#All],5,0),"")</f>
        <v/>
      </c>
      <c r="F1290" t="str">
        <f>+IFERROR(VLOOKUP(Fact_Contabilidad[[#This Row], 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ht="18.75" customHeight="1" x14ac:dyDescent="0.35">
      <c r="A1291" s="103"/>
      <c r="C1291" s="100" t="str">
        <f>IF(OR(Fact_Contabilidad[[#This Row], [Año]]="",Fact_Contabilidad[[#This Row], [Mes]]=""),"",DATE(A1291,MATCH(B1291,{"enero","febrero","marzo","abril","mayo","junio","julio","agosto","septiembre","octubre","noviembre","diciembre"},0)+1,0))</f>
        <v/>
      </c>
      <c r="E1291" t="str">
        <f>+IFERROR(VLOOKUP(Fact_Contabilidad[[#This Row], [Concepto Anterior]],Conceptos_Contabilidad[#All],5,0),"")</f>
        <v/>
      </c>
      <c r="F1291" t="str">
        <f>+IFERROR(VLOOKUP(Fact_Contabilidad[[#This Row], 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ht="18.75" customHeight="1" x14ac:dyDescent="0.35">
      <c r="A1292" s="103"/>
      <c r="C1292" s="100" t="str">
        <f>IF(OR(Fact_Contabilidad[[#This Row], [Año]]="",Fact_Contabilidad[[#This Row], [Mes]]=""),"",DATE(A1292,MATCH(B1292,{"enero","febrero","marzo","abril","mayo","junio","julio","agosto","septiembre","octubre","noviembre","diciembre"},0)+1,0))</f>
        <v/>
      </c>
      <c r="E1292" t="str">
        <f>+IFERROR(VLOOKUP(Fact_Contabilidad[[#This Row], [Concepto Anterior]],Conceptos_Contabilidad[#All],5,0),"")</f>
        <v/>
      </c>
      <c r="F1292" t="str">
        <f>+IFERROR(VLOOKUP(Fact_Contabilidad[[#This Row], 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ht="18.75" customHeight="1" x14ac:dyDescent="0.35">
      <c r="A1293" s="103"/>
      <c r="C1293" s="100" t="str">
        <f>IF(OR(Fact_Contabilidad[[#This Row], [Año]]="",Fact_Contabilidad[[#This Row], [Mes]]=""),"",DATE(A1293,MATCH(B1293,{"enero","febrero","marzo","abril","mayo","junio","julio","agosto","septiembre","octubre","noviembre","diciembre"},0)+1,0))</f>
        <v/>
      </c>
      <c r="E1293" t="str">
        <f>+IFERROR(VLOOKUP(Fact_Contabilidad[[#This Row], [Concepto Anterior]],Conceptos_Contabilidad[#All],5,0),"")</f>
        <v/>
      </c>
      <c r="F1293" t="str">
        <f>+IFERROR(VLOOKUP(Fact_Contabilidad[[#This Row], 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ht="18.75" customHeight="1" x14ac:dyDescent="0.35">
      <c r="A1294" s="103"/>
      <c r="C1294" s="100" t="str">
        <f>IF(OR(Fact_Contabilidad[[#This Row], [Año]]="",Fact_Contabilidad[[#This Row], [Mes]]=""),"",DATE(A1294,MATCH(B1294,{"enero","febrero","marzo","abril","mayo","junio","julio","agosto","septiembre","octubre","noviembre","diciembre"},0)+1,0))</f>
        <v/>
      </c>
      <c r="E1294" t="str">
        <f>+IFERROR(VLOOKUP(Fact_Contabilidad[[#This Row], [Concepto Anterior]],Conceptos_Contabilidad[#All],5,0),"")</f>
        <v/>
      </c>
      <c r="F1294" t="str">
        <f>+IFERROR(VLOOKUP(Fact_Contabilidad[[#This Row], 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ht="18.75" customHeight="1" x14ac:dyDescent="0.35">
      <c r="A1295" s="103"/>
      <c r="C1295" s="100" t="str">
        <f>IF(OR(Fact_Contabilidad[[#This Row], [Año]]="",Fact_Contabilidad[[#This Row], [Mes]]=""),"",DATE(A1295,MATCH(B1295,{"enero","febrero","marzo","abril","mayo","junio","julio","agosto","septiembre","octubre","noviembre","diciembre"},0)+1,0))</f>
        <v/>
      </c>
      <c r="E1295" t="str">
        <f>+IFERROR(VLOOKUP(Fact_Contabilidad[[#This Row], [Concepto Anterior]],Conceptos_Contabilidad[#All],5,0),"")</f>
        <v/>
      </c>
      <c r="F1295" t="str">
        <f>+IFERROR(VLOOKUP(Fact_Contabilidad[[#This Row], 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ht="18.75" customHeight="1" x14ac:dyDescent="0.35">
      <c r="A1296" s="103"/>
      <c r="C1296" s="100" t="str">
        <f>IF(OR(Fact_Contabilidad[[#This Row], [Año]]="",Fact_Contabilidad[[#This Row], [Mes]]=""),"",DATE(A1296,MATCH(B1296,{"enero","febrero","marzo","abril","mayo","junio","julio","agosto","septiembre","octubre","noviembre","diciembre"},0)+1,0))</f>
        <v/>
      </c>
      <c r="E1296" t="str">
        <f>+IFERROR(VLOOKUP(Fact_Contabilidad[[#This Row], [Concepto Anterior]],Conceptos_Contabilidad[#All],5,0),"")</f>
        <v/>
      </c>
      <c r="F1296" t="str">
        <f>+IFERROR(VLOOKUP(Fact_Contabilidad[[#This Row], 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ht="18.75" customHeight="1" x14ac:dyDescent="0.35">
      <c r="A1297" s="103"/>
      <c r="C1297" s="100" t="str">
        <f>IF(OR(Fact_Contabilidad[[#This Row], [Año]]="",Fact_Contabilidad[[#This Row], [Mes]]=""),"",DATE(A1297,MATCH(B1297,{"enero","febrero","marzo","abril","mayo","junio","julio","agosto","septiembre","octubre","noviembre","diciembre"},0)+1,0))</f>
        <v/>
      </c>
      <c r="E1297" t="str">
        <f>+IFERROR(VLOOKUP(Fact_Contabilidad[[#This Row], [Concepto Anterior]],Conceptos_Contabilidad[#All],5,0),"")</f>
        <v/>
      </c>
      <c r="F1297" t="str">
        <f>+IFERROR(VLOOKUP(Fact_Contabilidad[[#This Row], 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ht="18.75" customHeight="1" x14ac:dyDescent="0.35">
      <c r="A1298" s="103"/>
      <c r="C1298" s="100" t="str">
        <f>IF(OR(Fact_Contabilidad[[#This Row], [Año]]="",Fact_Contabilidad[[#This Row], [Mes]]=""),"",DATE(A1298,MATCH(B1298,{"enero","febrero","marzo","abril","mayo","junio","julio","agosto","septiembre","octubre","noviembre","diciembre"},0)+1,0))</f>
        <v/>
      </c>
      <c r="E1298" t="str">
        <f>+IFERROR(VLOOKUP(Fact_Contabilidad[[#This Row], [Concepto Anterior]],Conceptos_Contabilidad[#All],5,0),"")</f>
        <v/>
      </c>
      <c r="F1298" t="str">
        <f>+IFERROR(VLOOKUP(Fact_Contabilidad[[#This Row], 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ht="18.75" customHeight="1" x14ac:dyDescent="0.35">
      <c r="A1299" s="103"/>
      <c r="C1299" s="100" t="str">
        <f>IF(OR(Fact_Contabilidad[[#This Row], [Año]]="",Fact_Contabilidad[[#This Row], [Mes]]=""),"",DATE(A1299,MATCH(B1299,{"enero","febrero","marzo","abril","mayo","junio","julio","agosto","septiembre","octubre","noviembre","diciembre"},0)+1,0))</f>
        <v/>
      </c>
      <c r="E1299" t="str">
        <f>+IFERROR(VLOOKUP(Fact_Contabilidad[[#This Row], [Concepto Anterior]],Conceptos_Contabilidad[#All],5,0),"")</f>
        <v/>
      </c>
      <c r="F1299" t="str">
        <f>+IFERROR(VLOOKUP(Fact_Contabilidad[[#This Row], 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ht="18.75" customHeight="1" x14ac:dyDescent="0.35">
      <c r="A1300" s="103"/>
      <c r="C1300" s="100" t="str">
        <f>IF(OR(Fact_Contabilidad[[#This Row], [Año]]="",Fact_Contabilidad[[#This Row], [Mes]]=""),"",DATE(A1300,MATCH(B1300,{"enero","febrero","marzo","abril","mayo","junio","julio","agosto","septiembre","octubre","noviembre","diciembre"},0)+1,0))</f>
        <v/>
      </c>
      <c r="E1300" t="str">
        <f>+IFERROR(VLOOKUP(Fact_Contabilidad[[#This Row], [Concepto Anterior]],Conceptos_Contabilidad[#All],5,0),"")</f>
        <v/>
      </c>
      <c r="F1300" t="str">
        <f>+IFERROR(VLOOKUP(Fact_Contabilidad[[#This Row], 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ht="18.75" customHeight="1" x14ac:dyDescent="0.35">
      <c r="A1301" s="103"/>
      <c r="C1301" s="100" t="str">
        <f>IF(OR(Fact_Contabilidad[[#This Row], [Año]]="",Fact_Contabilidad[[#This Row], [Mes]]=""),"",DATE(A1301,MATCH(B1301,{"enero","febrero","marzo","abril","mayo","junio","julio","agosto","septiembre","octubre","noviembre","diciembre"},0)+1,0))</f>
        <v/>
      </c>
      <c r="E1301" t="str">
        <f>+IFERROR(VLOOKUP(Fact_Contabilidad[[#This Row], [Concepto Anterior]],Conceptos_Contabilidad[#All],5,0),"")</f>
        <v/>
      </c>
      <c r="F1301" t="str">
        <f>+IFERROR(VLOOKUP(Fact_Contabilidad[[#This Row], 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ht="18.75" customHeight="1" x14ac:dyDescent="0.35">
      <c r="A1302" s="103"/>
      <c r="C1302" s="100" t="str">
        <f>IF(OR(Fact_Contabilidad[[#This Row], [Año]]="",Fact_Contabilidad[[#This Row], [Mes]]=""),"",DATE(A1302,MATCH(B1302,{"enero","febrero","marzo","abril","mayo","junio","julio","agosto","septiembre","octubre","noviembre","diciembre"},0)+1,0))</f>
        <v/>
      </c>
      <c r="E1302" t="str">
        <f>+IFERROR(VLOOKUP(Fact_Contabilidad[[#This Row], [Concepto Anterior]],Conceptos_Contabilidad[#All],5,0),"")</f>
        <v/>
      </c>
      <c r="F1302" t="str">
        <f>+IFERROR(VLOOKUP(Fact_Contabilidad[[#This Row], 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ht="18.75" customHeight="1" x14ac:dyDescent="0.35">
      <c r="A1303" s="103"/>
      <c r="C1303" s="100" t="str">
        <f>IF(OR(Fact_Contabilidad[[#This Row], [Año]]="",Fact_Contabilidad[[#This Row], [Mes]]=""),"",DATE(A1303,MATCH(B1303,{"enero","febrero","marzo","abril","mayo","junio","julio","agosto","septiembre","octubre","noviembre","diciembre"},0)+1,0))</f>
        <v/>
      </c>
      <c r="E1303" t="str">
        <f>+IFERROR(VLOOKUP(Fact_Contabilidad[[#This Row], [Concepto Anterior]],Conceptos_Contabilidad[#All],5,0),"")</f>
        <v/>
      </c>
      <c r="F1303" t="str">
        <f>+IFERROR(VLOOKUP(Fact_Contabilidad[[#This Row], 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ht="18.75" customHeight="1" x14ac:dyDescent="0.35">
      <c r="A1304" s="103"/>
      <c r="C1304" s="100" t="str">
        <f>IF(OR(Fact_Contabilidad[[#This Row], [Año]]="",Fact_Contabilidad[[#This Row], [Mes]]=""),"",DATE(A1304,MATCH(B1304,{"enero","febrero","marzo","abril","mayo","junio","julio","agosto","septiembre","octubre","noviembre","diciembre"},0)+1,0))</f>
        <v/>
      </c>
      <c r="E1304" t="str">
        <f>+IFERROR(VLOOKUP(Fact_Contabilidad[[#This Row], [Concepto Anterior]],Conceptos_Contabilidad[#All],5,0),"")</f>
        <v/>
      </c>
      <c r="F1304" t="str">
        <f>+IFERROR(VLOOKUP(Fact_Contabilidad[[#This Row], 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ht="18.75" customHeight="1" x14ac:dyDescent="0.35">
      <c r="A1305" s="103"/>
      <c r="C1305" s="100" t="str">
        <f>IF(OR(Fact_Contabilidad[[#This Row], [Año]]="",Fact_Contabilidad[[#This Row], [Mes]]=""),"",DATE(A1305,MATCH(B1305,{"enero","febrero","marzo","abril","mayo","junio","julio","agosto","septiembre","octubre","noviembre","diciembre"},0)+1,0))</f>
        <v/>
      </c>
      <c r="E1305" t="str">
        <f>+IFERROR(VLOOKUP(Fact_Contabilidad[[#This Row], [Concepto Anterior]],Conceptos_Contabilidad[#All],5,0),"")</f>
        <v/>
      </c>
      <c r="F1305" t="str">
        <f>+IFERROR(VLOOKUP(Fact_Contabilidad[[#This Row], 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ht="18.75" customHeight="1" x14ac:dyDescent="0.35">
      <c r="A1306" s="103"/>
      <c r="C1306" s="100" t="str">
        <f>IF(OR(Fact_Contabilidad[[#This Row], [Año]]="",Fact_Contabilidad[[#This Row], [Mes]]=""),"",DATE(A1306,MATCH(B1306,{"enero","febrero","marzo","abril","mayo","junio","julio","agosto","septiembre","octubre","noviembre","diciembre"},0)+1,0))</f>
        <v/>
      </c>
      <c r="E1306" t="str">
        <f>+IFERROR(VLOOKUP(Fact_Contabilidad[[#This Row], [Concepto Anterior]],Conceptos_Contabilidad[#All],5,0),"")</f>
        <v/>
      </c>
      <c r="F1306" t="str">
        <f>+IFERROR(VLOOKUP(Fact_Contabilidad[[#This Row], 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ht="18.75" customHeight="1" x14ac:dyDescent="0.35">
      <c r="A1307" s="103"/>
      <c r="C1307" s="100" t="str">
        <f>IF(OR(Fact_Contabilidad[[#This Row], [Año]]="",Fact_Contabilidad[[#This Row], [Mes]]=""),"",DATE(A1307,MATCH(B1307,{"enero","febrero","marzo","abril","mayo","junio","julio","agosto","septiembre","octubre","noviembre","diciembre"},0)+1,0))</f>
        <v/>
      </c>
      <c r="E1307" t="str">
        <f>+IFERROR(VLOOKUP(Fact_Contabilidad[[#This Row], [Concepto Anterior]],Conceptos_Contabilidad[#All],5,0),"")</f>
        <v/>
      </c>
      <c r="F1307" t="str">
        <f>+IFERROR(VLOOKUP(Fact_Contabilidad[[#This Row], 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ht="18.75" customHeight="1" x14ac:dyDescent="0.35">
      <c r="A1308" s="103"/>
      <c r="C1308" s="100" t="str">
        <f>IF(OR(Fact_Contabilidad[[#This Row], [Año]]="",Fact_Contabilidad[[#This Row], [Mes]]=""),"",DATE(A1308,MATCH(B1308,{"enero","febrero","marzo","abril","mayo","junio","julio","agosto","septiembre","octubre","noviembre","diciembre"},0)+1,0))</f>
        <v/>
      </c>
      <c r="E1308" t="str">
        <f>+IFERROR(VLOOKUP(Fact_Contabilidad[[#This Row], [Concepto Anterior]],Conceptos_Contabilidad[#All],5,0),"")</f>
        <v/>
      </c>
      <c r="F1308" t="str">
        <f>+IFERROR(VLOOKUP(Fact_Contabilidad[[#This Row], 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ht="18.75" customHeight="1" x14ac:dyDescent="0.35">
      <c r="A1309" s="103"/>
      <c r="C1309" s="100" t="str">
        <f>IF(OR(Fact_Contabilidad[[#This Row], [Año]]="",Fact_Contabilidad[[#This Row], [Mes]]=""),"",DATE(A1309,MATCH(B1309,{"enero","febrero","marzo","abril","mayo","junio","julio","agosto","septiembre","octubre","noviembre","diciembre"},0)+1,0))</f>
        <v/>
      </c>
      <c r="E1309" t="str">
        <f>+IFERROR(VLOOKUP(Fact_Contabilidad[[#This Row], [Concepto Anterior]],Conceptos_Contabilidad[#All],5,0),"")</f>
        <v/>
      </c>
      <c r="F1309" t="str">
        <f>+IFERROR(VLOOKUP(Fact_Contabilidad[[#This Row], 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ht="18.75" customHeight="1" x14ac:dyDescent="0.35">
      <c r="A1310" s="103"/>
      <c r="C1310" s="100" t="str">
        <f>IF(OR(Fact_Contabilidad[[#This Row], [Año]]="",Fact_Contabilidad[[#This Row], [Mes]]=""),"",DATE(A1310,MATCH(B1310,{"enero","febrero","marzo","abril","mayo","junio","julio","agosto","septiembre","octubre","noviembre","diciembre"},0)+1,0))</f>
        <v/>
      </c>
      <c r="E1310" t="str">
        <f>+IFERROR(VLOOKUP(Fact_Contabilidad[[#This Row], [Concepto Anterior]],Conceptos_Contabilidad[#All],5,0),"")</f>
        <v/>
      </c>
      <c r="F1310" t="str">
        <f>+IFERROR(VLOOKUP(Fact_Contabilidad[[#This Row], 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ht="18.75" customHeight="1" x14ac:dyDescent="0.35">
      <c r="A1311" s="103"/>
      <c r="C1311" s="100" t="str">
        <f>IF(OR(Fact_Contabilidad[[#This Row], [Año]]="",Fact_Contabilidad[[#This Row], [Mes]]=""),"",DATE(A1311,MATCH(B1311,{"enero","febrero","marzo","abril","mayo","junio","julio","agosto","septiembre","octubre","noviembre","diciembre"},0)+1,0))</f>
        <v/>
      </c>
      <c r="E1311" t="str">
        <f>+IFERROR(VLOOKUP(Fact_Contabilidad[[#This Row], [Concepto Anterior]],Conceptos_Contabilidad[#All],5,0),"")</f>
        <v/>
      </c>
      <c r="F1311" t="str">
        <f>+IFERROR(VLOOKUP(Fact_Contabilidad[[#This Row], 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ht="18.75" customHeight="1" x14ac:dyDescent="0.35">
      <c r="A1312" s="103"/>
      <c r="C1312" s="100" t="str">
        <f>IF(OR(Fact_Contabilidad[[#This Row], [Año]]="",Fact_Contabilidad[[#This Row], [Mes]]=""),"",DATE(A1312,MATCH(B1312,{"enero","febrero","marzo","abril","mayo","junio","julio","agosto","septiembre","octubre","noviembre","diciembre"},0)+1,0))</f>
        <v/>
      </c>
      <c r="E1312" t="str">
        <f>+IFERROR(VLOOKUP(Fact_Contabilidad[[#This Row], [Concepto Anterior]],Conceptos_Contabilidad[#All],5,0),"")</f>
        <v/>
      </c>
      <c r="F1312" t="str">
        <f>+IFERROR(VLOOKUP(Fact_Contabilidad[[#This Row], 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ht="18.75" customHeight="1" x14ac:dyDescent="0.35">
      <c r="A1313" s="103"/>
      <c r="C1313" s="100" t="str">
        <f>IF(OR(Fact_Contabilidad[[#This Row], [Año]]="",Fact_Contabilidad[[#This Row], [Mes]]=""),"",DATE(A1313,MATCH(B1313,{"enero","febrero","marzo","abril","mayo","junio","julio","agosto","septiembre","octubre","noviembre","diciembre"},0)+1,0))</f>
        <v/>
      </c>
      <c r="E1313" t="str">
        <f>+IFERROR(VLOOKUP(Fact_Contabilidad[[#This Row], [Concepto Anterior]],Conceptos_Contabilidad[#All],5,0),"")</f>
        <v/>
      </c>
      <c r="F1313" t="str">
        <f>+IFERROR(VLOOKUP(Fact_Contabilidad[[#This Row], 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ht="18.75" customHeight="1" x14ac:dyDescent="0.35">
      <c r="A1314" s="103"/>
      <c r="C1314" s="100" t="str">
        <f>IF(OR(Fact_Contabilidad[[#This Row], [Año]]="",Fact_Contabilidad[[#This Row], [Mes]]=""),"",DATE(A1314,MATCH(B1314,{"enero","febrero","marzo","abril","mayo","junio","julio","agosto","septiembre","octubre","noviembre","diciembre"},0)+1,0))</f>
        <v/>
      </c>
      <c r="E1314" t="str">
        <f>+IFERROR(VLOOKUP(Fact_Contabilidad[[#This Row], [Concepto Anterior]],Conceptos_Contabilidad[#All],5,0),"")</f>
        <v/>
      </c>
      <c r="F1314" t="str">
        <f>+IFERROR(VLOOKUP(Fact_Contabilidad[[#This Row], 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ht="18.75" customHeight="1" x14ac:dyDescent="0.35">
      <c r="A1315" s="103"/>
      <c r="C1315" s="100" t="str">
        <f>IF(OR(Fact_Contabilidad[[#This Row], [Año]]="",Fact_Contabilidad[[#This Row], [Mes]]=""),"",DATE(A1315,MATCH(B1315,{"enero","febrero","marzo","abril","mayo","junio","julio","agosto","septiembre","octubre","noviembre","diciembre"},0)+1,0))</f>
        <v/>
      </c>
      <c r="E1315" t="str">
        <f>+IFERROR(VLOOKUP(Fact_Contabilidad[[#This Row], [Concepto Anterior]],Conceptos_Contabilidad[#All],5,0),"")</f>
        <v/>
      </c>
      <c r="F1315" t="str">
        <f>+IFERROR(VLOOKUP(Fact_Contabilidad[[#This Row], 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ht="18.75" customHeight="1" x14ac:dyDescent="0.35">
      <c r="A1316" s="103"/>
      <c r="C1316" s="100" t="str">
        <f>IF(OR(Fact_Contabilidad[[#This Row], [Año]]="",Fact_Contabilidad[[#This Row], [Mes]]=""),"",DATE(A1316,MATCH(B1316,{"enero","febrero","marzo","abril","mayo","junio","julio","agosto","septiembre","octubre","noviembre","diciembre"},0)+1,0))</f>
        <v/>
      </c>
      <c r="E1316" t="str">
        <f>+IFERROR(VLOOKUP(Fact_Contabilidad[[#This Row], [Concepto Anterior]],Conceptos_Contabilidad[#All],5,0),"")</f>
        <v/>
      </c>
      <c r="F1316" t="str">
        <f>+IFERROR(VLOOKUP(Fact_Contabilidad[[#This Row], 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ht="18.75" customHeight="1" x14ac:dyDescent="0.35">
      <c r="A1317" s="103"/>
      <c r="C1317" s="100" t="str">
        <f>IF(OR(Fact_Contabilidad[[#This Row], [Año]]="",Fact_Contabilidad[[#This Row], [Mes]]=""),"",DATE(A1317,MATCH(B1317,{"enero","febrero","marzo","abril","mayo","junio","julio","agosto","septiembre","octubre","noviembre","diciembre"},0)+1,0))</f>
        <v/>
      </c>
      <c r="E1317" t="str">
        <f>+IFERROR(VLOOKUP(Fact_Contabilidad[[#This Row], [Concepto Anterior]],Conceptos_Contabilidad[#All],5,0),"")</f>
        <v/>
      </c>
      <c r="F1317" t="str">
        <f>+IFERROR(VLOOKUP(Fact_Contabilidad[[#This Row], 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ht="18.75" customHeight="1" x14ac:dyDescent="0.35">
      <c r="A1318" s="103"/>
      <c r="C1318" s="100" t="str">
        <f>IF(OR(Fact_Contabilidad[[#This Row], [Año]]="",Fact_Contabilidad[[#This Row], [Mes]]=""),"",DATE(A1318,MATCH(B1318,{"enero","febrero","marzo","abril","mayo","junio","julio","agosto","septiembre","octubre","noviembre","diciembre"},0)+1,0))</f>
        <v/>
      </c>
      <c r="E1318" t="str">
        <f>+IFERROR(VLOOKUP(Fact_Contabilidad[[#This Row], [Concepto Anterior]],Conceptos_Contabilidad[#All],5,0),"")</f>
        <v/>
      </c>
      <c r="F1318" t="str">
        <f>+IFERROR(VLOOKUP(Fact_Contabilidad[[#This Row], 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ht="18.75" customHeight="1" x14ac:dyDescent="0.35">
      <c r="A1319" s="103"/>
      <c r="C1319" s="100" t="str">
        <f>IF(OR(Fact_Contabilidad[[#This Row], [Año]]="",Fact_Contabilidad[[#This Row], [Mes]]=""),"",DATE(A1319,MATCH(B1319,{"enero","febrero","marzo","abril","mayo","junio","julio","agosto","septiembre","octubre","noviembre","diciembre"},0)+1,0))</f>
        <v/>
      </c>
      <c r="E1319" t="str">
        <f>+IFERROR(VLOOKUP(Fact_Contabilidad[[#This Row], [Concepto Anterior]],Conceptos_Contabilidad[#All],5,0),"")</f>
        <v/>
      </c>
      <c r="F1319" t="str">
        <f>+IFERROR(VLOOKUP(Fact_Contabilidad[[#This Row], 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ht="18.75" customHeight="1" x14ac:dyDescent="0.35">
      <c r="A1320" s="103"/>
      <c r="C1320" s="100" t="str">
        <f>IF(OR(Fact_Contabilidad[[#This Row], [Año]]="",Fact_Contabilidad[[#This Row], [Mes]]=""),"",DATE(A1320,MATCH(B1320,{"enero","febrero","marzo","abril","mayo","junio","julio","agosto","septiembre","octubre","noviembre","diciembre"},0)+1,0))</f>
        <v/>
      </c>
      <c r="E1320" t="str">
        <f>+IFERROR(VLOOKUP(Fact_Contabilidad[[#This Row], [Concepto Anterior]],Conceptos_Contabilidad[#All],5,0),"")</f>
        <v/>
      </c>
      <c r="F1320" t="str">
        <f>+IFERROR(VLOOKUP(Fact_Contabilidad[[#This Row], 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ht="18.75" customHeight="1" x14ac:dyDescent="0.35">
      <c r="A1321" s="103"/>
      <c r="C1321" s="100" t="str">
        <f>IF(OR(Fact_Contabilidad[[#This Row], [Año]]="",Fact_Contabilidad[[#This Row], [Mes]]=""),"",DATE(A1321,MATCH(B1321,{"enero","febrero","marzo","abril","mayo","junio","julio","agosto","septiembre","octubre","noviembre","diciembre"},0)+1,0))</f>
        <v/>
      </c>
      <c r="E1321" t="str">
        <f>+IFERROR(VLOOKUP(Fact_Contabilidad[[#This Row], [Concepto Anterior]],Conceptos_Contabilidad[#All],5,0),"")</f>
        <v/>
      </c>
      <c r="F1321" t="str">
        <f>+IFERROR(VLOOKUP(Fact_Contabilidad[[#This Row], 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ht="18.75" customHeight="1" x14ac:dyDescent="0.35">
      <c r="A1322" s="103"/>
      <c r="C1322" s="100" t="str">
        <f>IF(OR(Fact_Contabilidad[[#This Row], [Año]]="",Fact_Contabilidad[[#This Row], [Mes]]=""),"",DATE(A1322,MATCH(B1322,{"enero","febrero","marzo","abril","mayo","junio","julio","agosto","septiembre","octubre","noviembre","diciembre"},0)+1,0))</f>
        <v/>
      </c>
      <c r="E1322" t="str">
        <f>+IFERROR(VLOOKUP(Fact_Contabilidad[[#This Row], [Concepto Anterior]],Conceptos_Contabilidad[#All],5,0),"")</f>
        <v/>
      </c>
      <c r="F1322" t="str">
        <f>+IFERROR(VLOOKUP(Fact_Contabilidad[[#This Row], 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ht="18.75" customHeight="1" x14ac:dyDescent="0.35">
      <c r="A1323" s="103"/>
      <c r="C1323" s="100" t="str">
        <f>IF(OR(Fact_Contabilidad[[#This Row], [Año]]="",Fact_Contabilidad[[#This Row], [Mes]]=""),"",DATE(A1323,MATCH(B1323,{"enero","febrero","marzo","abril","mayo","junio","julio","agosto","septiembre","octubre","noviembre","diciembre"},0)+1,0))</f>
        <v/>
      </c>
      <c r="E1323" t="str">
        <f>+IFERROR(VLOOKUP(Fact_Contabilidad[[#This Row], [Concepto Anterior]],Conceptos_Contabilidad[#All],5,0),"")</f>
        <v/>
      </c>
      <c r="F1323" t="str">
        <f>+IFERROR(VLOOKUP(Fact_Contabilidad[[#This Row], 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ht="18.75" customHeight="1" x14ac:dyDescent="0.35">
      <c r="A1324" s="103"/>
      <c r="C1324" s="100" t="str">
        <f>IF(OR(Fact_Contabilidad[[#This Row], [Año]]="",Fact_Contabilidad[[#This Row], [Mes]]=""),"",DATE(A1324,MATCH(B1324,{"enero","febrero","marzo","abril","mayo","junio","julio","agosto","septiembre","octubre","noviembre","diciembre"},0)+1,0))</f>
        <v/>
      </c>
      <c r="E1324" t="str">
        <f>+IFERROR(VLOOKUP(Fact_Contabilidad[[#This Row], [Concepto Anterior]],Conceptos_Contabilidad[#All],5,0),"")</f>
        <v/>
      </c>
      <c r="F1324" t="str">
        <f>+IFERROR(VLOOKUP(Fact_Contabilidad[[#This Row], 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ht="18.75" customHeight="1" x14ac:dyDescent="0.35">
      <c r="A1325" s="103"/>
      <c r="C1325" s="100" t="str">
        <f>IF(OR(Fact_Contabilidad[[#This Row], [Año]]="",Fact_Contabilidad[[#This Row], [Mes]]=""),"",DATE(A1325,MATCH(B1325,{"enero","febrero","marzo","abril","mayo","junio","julio","agosto","septiembre","octubre","noviembre","diciembre"},0)+1,0))</f>
        <v/>
      </c>
      <c r="E1325" t="str">
        <f>+IFERROR(VLOOKUP(Fact_Contabilidad[[#This Row], [Concepto Anterior]],Conceptos_Contabilidad[#All],5,0),"")</f>
        <v/>
      </c>
      <c r="F1325" t="str">
        <f>+IFERROR(VLOOKUP(Fact_Contabilidad[[#This Row], 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ht="18.75" customHeight="1" x14ac:dyDescent="0.35">
      <c r="A1326" s="103"/>
      <c r="C1326" s="100" t="str">
        <f>IF(OR(Fact_Contabilidad[[#This Row], [Año]]="",Fact_Contabilidad[[#This Row], [Mes]]=""),"",DATE(A1326,MATCH(B1326,{"enero","febrero","marzo","abril","mayo","junio","julio","agosto","septiembre","octubre","noviembre","diciembre"},0)+1,0))</f>
        <v/>
      </c>
      <c r="E1326" t="str">
        <f>+IFERROR(VLOOKUP(Fact_Contabilidad[[#This Row], [Concepto Anterior]],Conceptos_Contabilidad[#All],5,0),"")</f>
        <v/>
      </c>
      <c r="F1326" t="str">
        <f>+IFERROR(VLOOKUP(Fact_Contabilidad[[#This Row], 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ht="18.75" customHeight="1" x14ac:dyDescent="0.35">
      <c r="A1327" s="103"/>
      <c r="C1327" s="100" t="str">
        <f>IF(OR(Fact_Contabilidad[[#This Row], [Año]]="",Fact_Contabilidad[[#This Row], [Mes]]=""),"",DATE(A1327,MATCH(B1327,{"enero","febrero","marzo","abril","mayo","junio","julio","agosto","septiembre","octubre","noviembre","diciembre"},0)+1,0))</f>
        <v/>
      </c>
      <c r="E1327" t="str">
        <f>+IFERROR(VLOOKUP(Fact_Contabilidad[[#This Row], [Concepto Anterior]],Conceptos_Contabilidad[#All],5,0),"")</f>
        <v/>
      </c>
      <c r="F1327" t="str">
        <f>+IFERROR(VLOOKUP(Fact_Contabilidad[[#This Row], 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ht="18.75" customHeight="1" x14ac:dyDescent="0.35">
      <c r="A1328" s="103"/>
      <c r="C1328" s="100" t="str">
        <f>IF(OR(Fact_Contabilidad[[#This Row], [Año]]="",Fact_Contabilidad[[#This Row], [Mes]]=""),"",DATE(A1328,MATCH(B1328,{"enero","febrero","marzo","abril","mayo","junio","julio","agosto","septiembre","octubre","noviembre","diciembre"},0)+1,0))</f>
        <v/>
      </c>
      <c r="E1328" t="str">
        <f>+IFERROR(VLOOKUP(Fact_Contabilidad[[#This Row], [Concepto Anterior]],Conceptos_Contabilidad[#All],5,0),"")</f>
        <v/>
      </c>
      <c r="F1328" t="str">
        <f>+IFERROR(VLOOKUP(Fact_Contabilidad[[#This Row], 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ht="18.75" customHeight="1" x14ac:dyDescent="0.35">
      <c r="A1329" s="103"/>
      <c r="C1329" s="100" t="str">
        <f>IF(OR(Fact_Contabilidad[[#This Row], [Año]]="",Fact_Contabilidad[[#This Row], [Mes]]=""),"",DATE(A1329,MATCH(B1329,{"enero","febrero","marzo","abril","mayo","junio","julio","agosto","septiembre","octubre","noviembre","diciembre"},0)+1,0))</f>
        <v/>
      </c>
      <c r="E1329" t="str">
        <f>+IFERROR(VLOOKUP(Fact_Contabilidad[[#This Row], [Concepto Anterior]],Conceptos_Contabilidad[#All],5,0),"")</f>
        <v/>
      </c>
      <c r="F1329" t="str">
        <f>+IFERROR(VLOOKUP(Fact_Contabilidad[[#This Row], 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ht="18.75" customHeight="1" x14ac:dyDescent="0.35">
      <c r="A1330" s="103"/>
      <c r="C1330" s="100" t="str">
        <f>IF(OR(Fact_Contabilidad[[#This Row], [Año]]="",Fact_Contabilidad[[#This Row], [Mes]]=""),"",DATE(A1330,MATCH(B1330,{"enero","febrero","marzo","abril","mayo","junio","julio","agosto","septiembre","octubre","noviembre","diciembre"},0)+1,0))</f>
        <v/>
      </c>
      <c r="E1330" t="str">
        <f>+IFERROR(VLOOKUP(Fact_Contabilidad[[#This Row], [Concepto Anterior]],Conceptos_Contabilidad[#All],5,0),"")</f>
        <v/>
      </c>
      <c r="F1330" t="str">
        <f>+IFERROR(VLOOKUP(Fact_Contabilidad[[#This Row], 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ht="18.75" customHeight="1" x14ac:dyDescent="0.35">
      <c r="A1331" s="103"/>
      <c r="C1331" s="100" t="str">
        <f>IF(OR(Fact_Contabilidad[[#This Row], [Año]]="",Fact_Contabilidad[[#This Row], [Mes]]=""),"",DATE(A1331,MATCH(B1331,{"enero","febrero","marzo","abril","mayo","junio","julio","agosto","septiembre","octubre","noviembre","diciembre"},0)+1,0))</f>
        <v/>
      </c>
      <c r="E1331" t="str">
        <f>+IFERROR(VLOOKUP(Fact_Contabilidad[[#This Row], [Concepto Anterior]],Conceptos_Contabilidad[#All],5,0),"")</f>
        <v/>
      </c>
      <c r="F1331" t="str">
        <f>+IFERROR(VLOOKUP(Fact_Contabilidad[[#This Row], 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ht="18.75" customHeight="1" x14ac:dyDescent="0.35">
      <c r="A1332" s="103"/>
      <c r="C1332" s="100" t="str">
        <f>IF(OR(Fact_Contabilidad[[#This Row], [Año]]="",Fact_Contabilidad[[#This Row], [Mes]]=""),"",DATE(A1332,MATCH(B1332,{"enero","febrero","marzo","abril","mayo","junio","julio","agosto","septiembre","octubre","noviembre","diciembre"},0)+1,0))</f>
        <v/>
      </c>
      <c r="E1332" t="str">
        <f>+IFERROR(VLOOKUP(Fact_Contabilidad[[#This Row], [Concepto Anterior]],Conceptos_Contabilidad[#All],5,0),"")</f>
        <v/>
      </c>
      <c r="F1332" t="str">
        <f>+IFERROR(VLOOKUP(Fact_Contabilidad[[#This Row], 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ht="18.75" customHeight="1" x14ac:dyDescent="0.35">
      <c r="A1333" s="103"/>
      <c r="C1333" s="100" t="str">
        <f>IF(OR(Fact_Contabilidad[[#This Row], [Año]]="",Fact_Contabilidad[[#This Row], [Mes]]=""),"",DATE(A1333,MATCH(B1333,{"enero","febrero","marzo","abril","mayo","junio","julio","agosto","septiembre","octubre","noviembre","diciembre"},0)+1,0))</f>
        <v/>
      </c>
      <c r="E1333" t="str">
        <f>+IFERROR(VLOOKUP(Fact_Contabilidad[[#This Row], [Concepto Anterior]],Conceptos_Contabilidad[#All],5,0),"")</f>
        <v/>
      </c>
      <c r="F1333" t="str">
        <f>+IFERROR(VLOOKUP(Fact_Contabilidad[[#This Row], 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ht="18.75" customHeight="1" x14ac:dyDescent="0.35">
      <c r="A1334" s="103"/>
      <c r="C1334" s="100" t="str">
        <f>IF(OR(Fact_Contabilidad[[#This Row], [Año]]="",Fact_Contabilidad[[#This Row], [Mes]]=""),"",DATE(A1334,MATCH(B1334,{"enero","febrero","marzo","abril","mayo","junio","julio","agosto","septiembre","octubre","noviembre","diciembre"},0)+1,0))</f>
        <v/>
      </c>
      <c r="E1334" t="str">
        <f>+IFERROR(VLOOKUP(Fact_Contabilidad[[#This Row], [Concepto Anterior]],Conceptos_Contabilidad[#All],5,0),"")</f>
        <v/>
      </c>
      <c r="F1334" t="str">
        <f>+IFERROR(VLOOKUP(Fact_Contabilidad[[#This Row], 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ht="18.75" customHeight="1" x14ac:dyDescent="0.35">
      <c r="A1335" s="103"/>
      <c r="C1335" s="100" t="str">
        <f>IF(OR(Fact_Contabilidad[[#This Row], [Año]]="",Fact_Contabilidad[[#This Row], [Mes]]=""),"",DATE(A1335,MATCH(B1335,{"enero","febrero","marzo","abril","mayo","junio","julio","agosto","septiembre","octubre","noviembre","diciembre"},0)+1,0))</f>
        <v/>
      </c>
      <c r="E1335" t="str">
        <f>+IFERROR(VLOOKUP(Fact_Contabilidad[[#This Row], [Concepto Anterior]],Conceptos_Contabilidad[#All],5,0),"")</f>
        <v/>
      </c>
      <c r="F1335" t="str">
        <f>+IFERROR(VLOOKUP(Fact_Contabilidad[[#This Row], 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ht="18.75" customHeight="1" x14ac:dyDescent="0.35">
      <c r="A1336" s="103"/>
      <c r="C1336" s="100" t="str">
        <f>IF(OR(Fact_Contabilidad[[#This Row], [Año]]="",Fact_Contabilidad[[#This Row], [Mes]]=""),"",DATE(A1336,MATCH(B1336,{"enero","febrero","marzo","abril","mayo","junio","julio","agosto","septiembre","octubre","noviembre","diciembre"},0)+1,0))</f>
        <v/>
      </c>
      <c r="E1336" t="str">
        <f>+IFERROR(VLOOKUP(Fact_Contabilidad[[#This Row], [Concepto Anterior]],Conceptos_Contabilidad[#All],5,0),"")</f>
        <v/>
      </c>
      <c r="F1336" t="str">
        <f>+IFERROR(VLOOKUP(Fact_Contabilidad[[#This Row], 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ht="18.75" customHeight="1" x14ac:dyDescent="0.35">
      <c r="A1337" s="103"/>
      <c r="C1337" s="100" t="str">
        <f>IF(OR(Fact_Contabilidad[[#This Row], [Año]]="",Fact_Contabilidad[[#This Row], [Mes]]=""),"",DATE(A1337,MATCH(B1337,{"enero","febrero","marzo","abril","mayo","junio","julio","agosto","septiembre","octubre","noviembre","diciembre"},0)+1,0))</f>
        <v/>
      </c>
      <c r="E1337" t="str">
        <f>+IFERROR(VLOOKUP(Fact_Contabilidad[[#This Row], [Concepto Anterior]],Conceptos_Contabilidad[#All],5,0),"")</f>
        <v/>
      </c>
      <c r="F1337" t="str">
        <f>+IFERROR(VLOOKUP(Fact_Contabilidad[[#This Row], 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ht="18.75" customHeight="1" x14ac:dyDescent="0.35">
      <c r="A1338" s="103"/>
      <c r="C1338" s="100" t="str">
        <f>IF(OR(Fact_Contabilidad[[#This Row], [Año]]="",Fact_Contabilidad[[#This Row], [Mes]]=""),"",DATE(A1338,MATCH(B1338,{"enero","febrero","marzo","abril","mayo","junio","julio","agosto","septiembre","octubre","noviembre","diciembre"},0)+1,0))</f>
        <v/>
      </c>
      <c r="E1338" t="str">
        <f>+IFERROR(VLOOKUP(Fact_Contabilidad[[#This Row], [Concepto Anterior]],Conceptos_Contabilidad[#All],5,0),"")</f>
        <v/>
      </c>
      <c r="F1338" t="str">
        <f>+IFERROR(VLOOKUP(Fact_Contabilidad[[#This Row], 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ht="18.75" customHeight="1" x14ac:dyDescent="0.35">
      <c r="A1339" s="103"/>
      <c r="C1339" s="100" t="str">
        <f>IF(OR(Fact_Contabilidad[[#This Row], [Año]]="",Fact_Contabilidad[[#This Row], [Mes]]=""),"",DATE(A1339,MATCH(B1339,{"enero","febrero","marzo","abril","mayo","junio","julio","agosto","septiembre","octubre","noviembre","diciembre"},0)+1,0))</f>
        <v/>
      </c>
      <c r="E1339" t="str">
        <f>+IFERROR(VLOOKUP(Fact_Contabilidad[[#This Row], [Concepto Anterior]],Conceptos_Contabilidad[#All],5,0),"")</f>
        <v/>
      </c>
      <c r="F1339" t="str">
        <f>+IFERROR(VLOOKUP(Fact_Contabilidad[[#This Row], 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ht="18.75" customHeight="1" x14ac:dyDescent="0.35">
      <c r="A1340" s="103"/>
      <c r="C1340" s="100" t="str">
        <f>IF(OR(Fact_Contabilidad[[#This Row], [Año]]="",Fact_Contabilidad[[#This Row], [Mes]]=""),"",DATE(A1340,MATCH(B1340,{"enero","febrero","marzo","abril","mayo","junio","julio","agosto","septiembre","octubre","noviembre","diciembre"},0)+1,0))</f>
        <v/>
      </c>
      <c r="E1340" t="str">
        <f>+IFERROR(VLOOKUP(Fact_Contabilidad[[#This Row], [Concepto Anterior]],Conceptos_Contabilidad[#All],5,0),"")</f>
        <v/>
      </c>
      <c r="F1340" t="str">
        <f>+IFERROR(VLOOKUP(Fact_Contabilidad[[#This Row], 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ht="18.75" customHeight="1" x14ac:dyDescent="0.35">
      <c r="A1341" s="103"/>
      <c r="C1341" s="100" t="str">
        <f>IF(OR(Fact_Contabilidad[[#This Row], [Año]]="",Fact_Contabilidad[[#This Row], [Mes]]=""),"",DATE(A1341,MATCH(B1341,{"enero","febrero","marzo","abril","mayo","junio","julio","agosto","septiembre","octubre","noviembre","diciembre"},0)+1,0))</f>
        <v/>
      </c>
      <c r="E1341" t="str">
        <f>+IFERROR(VLOOKUP(Fact_Contabilidad[[#This Row], [Concepto Anterior]],Conceptos_Contabilidad[#All],5,0),"")</f>
        <v/>
      </c>
      <c r="F1341" t="str">
        <f>+IFERROR(VLOOKUP(Fact_Contabilidad[[#This Row], 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ht="18.75" customHeight="1" x14ac:dyDescent="0.35">
      <c r="A1342" s="103"/>
      <c r="C1342" s="100" t="str">
        <f>IF(OR(Fact_Contabilidad[[#This Row], [Año]]="",Fact_Contabilidad[[#This Row], [Mes]]=""),"",DATE(A1342,MATCH(B1342,{"enero","febrero","marzo","abril","mayo","junio","julio","agosto","septiembre","octubre","noviembre","diciembre"},0)+1,0))</f>
        <v/>
      </c>
      <c r="E1342" t="str">
        <f>+IFERROR(VLOOKUP(Fact_Contabilidad[[#This Row], [Concepto Anterior]],Conceptos_Contabilidad[#All],5,0),"")</f>
        <v/>
      </c>
      <c r="F1342" t="str">
        <f>+IFERROR(VLOOKUP(Fact_Contabilidad[[#This Row], 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ht="18.75" customHeight="1" x14ac:dyDescent="0.35">
      <c r="A1343" s="103"/>
      <c r="C1343" s="100" t="str">
        <f>IF(OR(Fact_Contabilidad[[#This Row], [Año]]="",Fact_Contabilidad[[#This Row], [Mes]]=""),"",DATE(A1343,MATCH(B1343,{"enero","febrero","marzo","abril","mayo","junio","julio","agosto","septiembre","octubre","noviembre","diciembre"},0)+1,0))</f>
        <v/>
      </c>
      <c r="E1343" t="str">
        <f>+IFERROR(VLOOKUP(Fact_Contabilidad[[#This Row], [Concepto Anterior]],Conceptos_Contabilidad[#All],5,0),"")</f>
        <v/>
      </c>
      <c r="F1343" t="str">
        <f>+IFERROR(VLOOKUP(Fact_Contabilidad[[#This Row], 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ht="18.75" customHeight="1" x14ac:dyDescent="0.35">
      <c r="A1344" s="103"/>
      <c r="C1344" s="100" t="str">
        <f>IF(OR(Fact_Contabilidad[[#This Row], [Año]]="",Fact_Contabilidad[[#This Row], [Mes]]=""),"",DATE(A1344,MATCH(B1344,{"enero","febrero","marzo","abril","mayo","junio","julio","agosto","septiembre","octubre","noviembre","diciembre"},0)+1,0))</f>
        <v/>
      </c>
      <c r="E1344" t="str">
        <f>+IFERROR(VLOOKUP(Fact_Contabilidad[[#This Row], [Concepto Anterior]],Conceptos_Contabilidad[#All],5,0),"")</f>
        <v/>
      </c>
      <c r="F1344" t="str">
        <f>+IFERROR(VLOOKUP(Fact_Contabilidad[[#This Row], 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ht="18.75" customHeight="1" x14ac:dyDescent="0.35">
      <c r="A1345" s="103"/>
      <c r="C1345" s="100" t="str">
        <f>IF(OR(Fact_Contabilidad[[#This Row], [Año]]="",Fact_Contabilidad[[#This Row], [Mes]]=""),"",DATE(A1345,MATCH(B1345,{"enero","febrero","marzo","abril","mayo","junio","julio","agosto","septiembre","octubre","noviembre","diciembre"},0)+1,0))</f>
        <v/>
      </c>
      <c r="E1345" t="str">
        <f>+IFERROR(VLOOKUP(Fact_Contabilidad[[#This Row], [Concepto Anterior]],Conceptos_Contabilidad[#All],5,0),"")</f>
        <v/>
      </c>
      <c r="F1345" t="str">
        <f>+IFERROR(VLOOKUP(Fact_Contabilidad[[#This Row], 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ht="18.75" customHeight="1" x14ac:dyDescent="0.35">
      <c r="A1346" s="103"/>
      <c r="C1346" s="100" t="str">
        <f>IF(OR(Fact_Contabilidad[[#This Row], [Año]]="",Fact_Contabilidad[[#This Row], [Mes]]=""),"",DATE(A1346,MATCH(B1346,{"enero","febrero","marzo","abril","mayo","junio","julio","agosto","septiembre","octubre","noviembre","diciembre"},0)+1,0))</f>
        <v/>
      </c>
      <c r="E1346" t="str">
        <f>+IFERROR(VLOOKUP(Fact_Contabilidad[[#This Row], [Concepto Anterior]],Conceptos_Contabilidad[#All],5,0),"")</f>
        <v/>
      </c>
      <c r="F1346" t="str">
        <f>+IFERROR(VLOOKUP(Fact_Contabilidad[[#This Row], 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ht="18.75" customHeight="1" x14ac:dyDescent="0.35">
      <c r="A1347" s="103"/>
      <c r="C1347" s="100" t="str">
        <f>IF(OR(Fact_Contabilidad[[#This Row], [Año]]="",Fact_Contabilidad[[#This Row], [Mes]]=""),"",DATE(A1347,MATCH(B1347,{"enero","febrero","marzo","abril","mayo","junio","julio","agosto","septiembre","octubre","noviembre","diciembre"},0)+1,0))</f>
        <v/>
      </c>
      <c r="E1347" t="str">
        <f>+IFERROR(VLOOKUP(Fact_Contabilidad[[#This Row], [Concepto Anterior]],Conceptos_Contabilidad[#All],5,0),"")</f>
        <v/>
      </c>
      <c r="F1347" t="str">
        <f>+IFERROR(VLOOKUP(Fact_Contabilidad[[#This Row], 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ht="18.75" customHeight="1" x14ac:dyDescent="0.35">
      <c r="A1348" s="103"/>
      <c r="C1348" s="100" t="str">
        <f>IF(OR(Fact_Contabilidad[[#This Row], [Año]]="",Fact_Contabilidad[[#This Row], [Mes]]=""),"",DATE(A1348,MATCH(B1348,{"enero","febrero","marzo","abril","mayo","junio","julio","agosto","septiembre","octubre","noviembre","diciembre"},0)+1,0))</f>
        <v/>
      </c>
      <c r="E1348" t="str">
        <f>+IFERROR(VLOOKUP(Fact_Contabilidad[[#This Row], [Concepto Anterior]],Conceptos_Contabilidad[#All],5,0),"")</f>
        <v/>
      </c>
      <c r="F1348" t="str">
        <f>+IFERROR(VLOOKUP(Fact_Contabilidad[[#This Row], 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ht="18.75" customHeight="1" x14ac:dyDescent="0.35">
      <c r="A1349" s="103"/>
      <c r="C1349" s="100" t="str">
        <f>IF(OR(Fact_Contabilidad[[#This Row], [Año]]="",Fact_Contabilidad[[#This Row], [Mes]]=""),"",DATE(A1349,MATCH(B1349,{"enero","febrero","marzo","abril","mayo","junio","julio","agosto","septiembre","octubre","noviembre","diciembre"},0)+1,0))</f>
        <v/>
      </c>
      <c r="E1349" t="str">
        <f>+IFERROR(VLOOKUP(Fact_Contabilidad[[#This Row], [Concepto Anterior]],Conceptos_Contabilidad[#All],5,0),"")</f>
        <v/>
      </c>
      <c r="F1349" t="str">
        <f>+IFERROR(VLOOKUP(Fact_Contabilidad[[#This Row], 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ht="18.75" customHeight="1" x14ac:dyDescent="0.35">
      <c r="A1350" s="103"/>
      <c r="C1350" s="100" t="str">
        <f>IF(OR(Fact_Contabilidad[[#This Row], [Año]]="",Fact_Contabilidad[[#This Row], [Mes]]=""),"",DATE(A1350,MATCH(B1350,{"enero","febrero","marzo","abril","mayo","junio","julio","agosto","septiembre","octubre","noviembre","diciembre"},0)+1,0))</f>
        <v/>
      </c>
      <c r="E1350" t="str">
        <f>+IFERROR(VLOOKUP(Fact_Contabilidad[[#This Row], [Concepto Anterior]],Conceptos_Contabilidad[#All],5,0),"")</f>
        <v/>
      </c>
      <c r="F1350" t="str">
        <f>+IFERROR(VLOOKUP(Fact_Contabilidad[[#This Row], 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ht="18.75" customHeight="1" x14ac:dyDescent="0.35">
      <c r="A1351" s="103"/>
      <c r="C1351" s="100" t="str">
        <f>IF(OR(Fact_Contabilidad[[#This Row], [Año]]="",Fact_Contabilidad[[#This Row], [Mes]]=""),"",DATE(A1351,MATCH(B1351,{"enero","febrero","marzo","abril","mayo","junio","julio","agosto","septiembre","octubre","noviembre","diciembre"},0)+1,0))</f>
        <v/>
      </c>
      <c r="E1351" t="str">
        <f>+IFERROR(VLOOKUP(Fact_Contabilidad[[#This Row], [Concepto Anterior]],Conceptos_Contabilidad[#All],5,0),"")</f>
        <v/>
      </c>
      <c r="F1351" t="str">
        <f>+IFERROR(VLOOKUP(Fact_Contabilidad[[#This Row], 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ht="18.75" customHeight="1" x14ac:dyDescent="0.35">
      <c r="A1352" s="103"/>
      <c r="C1352" s="100" t="str">
        <f>IF(OR(Fact_Contabilidad[[#This Row], [Año]]="",Fact_Contabilidad[[#This Row], [Mes]]=""),"",DATE(A1352,MATCH(B1352,{"enero","febrero","marzo","abril","mayo","junio","julio","agosto","septiembre","octubre","noviembre","diciembre"},0)+1,0))</f>
        <v/>
      </c>
      <c r="E1352" t="str">
        <f>+IFERROR(VLOOKUP(Fact_Contabilidad[[#This Row], [Concepto Anterior]],Conceptos_Contabilidad[#All],5,0),"")</f>
        <v/>
      </c>
      <c r="F1352" t="str">
        <f>+IFERROR(VLOOKUP(Fact_Contabilidad[[#This Row], 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ht="18.75" customHeight="1" x14ac:dyDescent="0.35">
      <c r="A1353" s="103"/>
      <c r="C1353" s="100" t="str">
        <f>IF(OR(Fact_Contabilidad[[#This Row], [Año]]="",Fact_Contabilidad[[#This Row], [Mes]]=""),"",DATE(A1353,MATCH(B1353,{"enero","febrero","marzo","abril","mayo","junio","julio","agosto","septiembre","octubre","noviembre","diciembre"},0)+1,0))</f>
        <v/>
      </c>
      <c r="E1353" t="str">
        <f>+IFERROR(VLOOKUP(Fact_Contabilidad[[#This Row], [Concepto Anterior]],Conceptos_Contabilidad[#All],5,0),"")</f>
        <v/>
      </c>
      <c r="F1353" t="str">
        <f>+IFERROR(VLOOKUP(Fact_Contabilidad[[#This Row], 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ht="18.75" customHeight="1" x14ac:dyDescent="0.35">
      <c r="A1354" s="103"/>
      <c r="C1354" s="100" t="str">
        <f>IF(OR(Fact_Contabilidad[[#This Row], [Año]]="",Fact_Contabilidad[[#This Row], [Mes]]=""),"",DATE(A1354,MATCH(B1354,{"enero","febrero","marzo","abril","mayo","junio","julio","agosto","septiembre","octubre","noviembre","diciembre"},0)+1,0))</f>
        <v/>
      </c>
      <c r="E1354" t="str">
        <f>+IFERROR(VLOOKUP(Fact_Contabilidad[[#This Row], [Concepto Anterior]],Conceptos_Contabilidad[#All],5,0),"")</f>
        <v/>
      </c>
      <c r="F1354" t="str">
        <f>+IFERROR(VLOOKUP(Fact_Contabilidad[[#This Row], 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ht="18.75" customHeight="1" x14ac:dyDescent="0.35">
      <c r="A1355" s="103"/>
      <c r="C1355" s="100" t="str">
        <f>IF(OR(Fact_Contabilidad[[#This Row], [Año]]="",Fact_Contabilidad[[#This Row], [Mes]]=""),"",DATE(A1355,MATCH(B1355,{"enero","febrero","marzo","abril","mayo","junio","julio","agosto","septiembre","octubre","noviembre","diciembre"},0)+1,0))</f>
        <v/>
      </c>
      <c r="E1355" t="str">
        <f>+IFERROR(VLOOKUP(Fact_Contabilidad[[#This Row], [Concepto Anterior]],Conceptos_Contabilidad[#All],5,0),"")</f>
        <v/>
      </c>
      <c r="F1355" t="str">
        <f>+IFERROR(VLOOKUP(Fact_Contabilidad[[#This Row], 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ht="18.75" customHeight="1" x14ac:dyDescent="0.35">
      <c r="A1356" s="103"/>
      <c r="C1356" s="100" t="str">
        <f>IF(OR(Fact_Contabilidad[[#This Row], [Año]]="",Fact_Contabilidad[[#This Row], [Mes]]=""),"",DATE(A1356,MATCH(B1356,{"enero","febrero","marzo","abril","mayo","junio","julio","agosto","septiembre","octubre","noviembre","diciembre"},0)+1,0))</f>
        <v/>
      </c>
      <c r="E1356" t="str">
        <f>+IFERROR(VLOOKUP(Fact_Contabilidad[[#This Row], [Concepto Anterior]],Conceptos_Contabilidad[#All],5,0),"")</f>
        <v/>
      </c>
      <c r="F1356" t="str">
        <f>+IFERROR(VLOOKUP(Fact_Contabilidad[[#This Row], 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ht="18.75" customHeight="1" x14ac:dyDescent="0.35">
      <c r="A1357" s="103"/>
      <c r="C1357" s="100" t="str">
        <f>IF(OR(Fact_Contabilidad[[#This Row], [Año]]="",Fact_Contabilidad[[#This Row], [Mes]]=""),"",DATE(A1357,MATCH(B1357,{"enero","febrero","marzo","abril","mayo","junio","julio","agosto","septiembre","octubre","noviembre","diciembre"},0)+1,0))</f>
        <v/>
      </c>
      <c r="E1357" t="str">
        <f>+IFERROR(VLOOKUP(Fact_Contabilidad[[#This Row], [Concepto Anterior]],Conceptos_Contabilidad[#All],5,0),"")</f>
        <v/>
      </c>
      <c r="F1357" t="str">
        <f>+IFERROR(VLOOKUP(Fact_Contabilidad[[#This Row], 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ht="18.75" customHeight="1" x14ac:dyDescent="0.35">
      <c r="A1358" s="103"/>
      <c r="C1358" s="100" t="str">
        <f>IF(OR(Fact_Contabilidad[[#This Row], [Año]]="",Fact_Contabilidad[[#This Row], [Mes]]=""),"",DATE(A1358,MATCH(B1358,{"enero","febrero","marzo","abril","mayo","junio","julio","agosto","septiembre","octubre","noviembre","diciembre"},0)+1,0))</f>
        <v/>
      </c>
      <c r="E1358" t="str">
        <f>+IFERROR(VLOOKUP(Fact_Contabilidad[[#This Row], [Concepto Anterior]],Conceptos_Contabilidad[#All],5,0),"")</f>
        <v/>
      </c>
      <c r="F1358" t="str">
        <f>+IFERROR(VLOOKUP(Fact_Contabilidad[[#This Row], 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ht="18.75" customHeight="1" x14ac:dyDescent="0.35">
      <c r="A1359" s="103"/>
      <c r="C1359" s="100" t="str">
        <f>IF(OR(Fact_Contabilidad[[#This Row], [Año]]="",Fact_Contabilidad[[#This Row], [Mes]]=""),"",DATE(A1359,MATCH(B1359,{"enero","febrero","marzo","abril","mayo","junio","julio","agosto","septiembre","octubre","noviembre","diciembre"},0)+1,0))</f>
        <v/>
      </c>
      <c r="E1359" t="str">
        <f>+IFERROR(VLOOKUP(Fact_Contabilidad[[#This Row], [Concepto Anterior]],Conceptos_Contabilidad[#All],5,0),"")</f>
        <v/>
      </c>
      <c r="F1359" t="str">
        <f>+IFERROR(VLOOKUP(Fact_Contabilidad[[#This Row], 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ht="18.75" customHeight="1" x14ac:dyDescent="0.35">
      <c r="A1360" s="103"/>
      <c r="C1360" s="100" t="str">
        <f>IF(OR(Fact_Contabilidad[[#This Row], [Año]]="",Fact_Contabilidad[[#This Row], [Mes]]=""),"",DATE(A1360,MATCH(B1360,{"enero","febrero","marzo","abril","mayo","junio","julio","agosto","septiembre","octubre","noviembre","diciembre"},0)+1,0))</f>
        <v/>
      </c>
      <c r="E1360" t="str">
        <f>+IFERROR(VLOOKUP(Fact_Contabilidad[[#This Row], [Concepto Anterior]],Conceptos_Contabilidad[#All],5,0),"")</f>
        <v/>
      </c>
      <c r="F1360" t="str">
        <f>+IFERROR(VLOOKUP(Fact_Contabilidad[[#This Row], 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ht="18.75" customHeight="1" x14ac:dyDescent="0.35">
      <c r="A1361" s="103"/>
      <c r="C1361" s="100" t="str">
        <f>IF(OR(Fact_Contabilidad[[#This Row], [Año]]="",Fact_Contabilidad[[#This Row], [Mes]]=""),"",DATE(A1361,MATCH(B1361,{"enero","febrero","marzo","abril","mayo","junio","julio","agosto","septiembre","octubre","noviembre","diciembre"},0)+1,0))</f>
        <v/>
      </c>
      <c r="E1361" t="str">
        <f>+IFERROR(VLOOKUP(Fact_Contabilidad[[#This Row], [Concepto Anterior]],Conceptos_Contabilidad[#All],5,0),"")</f>
        <v/>
      </c>
      <c r="F1361" t="str">
        <f>+IFERROR(VLOOKUP(Fact_Contabilidad[[#This Row], 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ht="18.75" customHeight="1" x14ac:dyDescent="0.35">
      <c r="A1362" s="103"/>
      <c r="C1362" s="100" t="str">
        <f>IF(OR(Fact_Contabilidad[[#This Row], [Año]]="",Fact_Contabilidad[[#This Row], [Mes]]=""),"",DATE(A1362,MATCH(B1362,{"enero","febrero","marzo","abril","mayo","junio","julio","agosto","septiembre","octubre","noviembre","diciembre"},0)+1,0))</f>
        <v/>
      </c>
      <c r="E1362" t="str">
        <f>+IFERROR(VLOOKUP(Fact_Contabilidad[[#This Row], [Concepto Anterior]],Conceptos_Contabilidad[#All],5,0),"")</f>
        <v/>
      </c>
      <c r="F1362" t="str">
        <f>+IFERROR(VLOOKUP(Fact_Contabilidad[[#This Row], 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ht="18.75" customHeight="1" x14ac:dyDescent="0.35">
      <c r="A1363" s="103"/>
      <c r="C1363" s="100" t="str">
        <f>IF(OR(Fact_Contabilidad[[#This Row], [Año]]="",Fact_Contabilidad[[#This Row], [Mes]]=""),"",DATE(A1363,MATCH(B1363,{"enero","febrero","marzo","abril","mayo","junio","julio","agosto","septiembre","octubre","noviembre","diciembre"},0)+1,0))</f>
        <v/>
      </c>
      <c r="E1363" t="str">
        <f>+IFERROR(VLOOKUP(Fact_Contabilidad[[#This Row], [Concepto Anterior]],Conceptos_Contabilidad[#All],5,0),"")</f>
        <v/>
      </c>
      <c r="F1363" t="str">
        <f>+IFERROR(VLOOKUP(Fact_Contabilidad[[#This Row], 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ht="18.75" customHeight="1" x14ac:dyDescent="0.35">
      <c r="A1364" s="103"/>
      <c r="C1364" s="100" t="str">
        <f>IF(OR(Fact_Contabilidad[[#This Row], [Año]]="",Fact_Contabilidad[[#This Row], [Mes]]=""),"",DATE(A1364,MATCH(B1364,{"enero","febrero","marzo","abril","mayo","junio","julio","agosto","septiembre","octubre","noviembre","diciembre"},0)+1,0))</f>
        <v/>
      </c>
      <c r="E1364" t="str">
        <f>+IFERROR(VLOOKUP(Fact_Contabilidad[[#This Row], [Concepto Anterior]],Conceptos_Contabilidad[#All],5,0),"")</f>
        <v/>
      </c>
      <c r="F1364" t="str">
        <f>+IFERROR(VLOOKUP(Fact_Contabilidad[[#This Row], 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ht="18.75" customHeight="1" x14ac:dyDescent="0.35">
      <c r="A1365" s="103"/>
      <c r="C1365" s="100" t="str">
        <f>IF(OR(Fact_Contabilidad[[#This Row], [Año]]="",Fact_Contabilidad[[#This Row], [Mes]]=""),"",DATE(A1365,MATCH(B1365,{"enero","febrero","marzo","abril","mayo","junio","julio","agosto","septiembre","octubre","noviembre","diciembre"},0)+1,0))</f>
        <v/>
      </c>
      <c r="E1365" t="str">
        <f>+IFERROR(VLOOKUP(Fact_Contabilidad[[#This Row], [Concepto Anterior]],Conceptos_Contabilidad[#All],5,0),"")</f>
        <v/>
      </c>
      <c r="F1365" t="str">
        <f>+IFERROR(VLOOKUP(Fact_Contabilidad[[#This Row], 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ht="18.75" customHeight="1" x14ac:dyDescent="0.35">
      <c r="A1366" s="103"/>
      <c r="C1366" s="100" t="str">
        <f>IF(OR(Fact_Contabilidad[[#This Row], [Año]]="",Fact_Contabilidad[[#This Row], [Mes]]=""),"",DATE(A1366,MATCH(B1366,{"enero","febrero","marzo","abril","mayo","junio","julio","agosto","septiembre","octubre","noviembre","diciembre"},0)+1,0))</f>
        <v/>
      </c>
      <c r="E1366" t="str">
        <f>+IFERROR(VLOOKUP(Fact_Contabilidad[[#This Row], [Concepto Anterior]],Conceptos_Contabilidad[#All],5,0),"")</f>
        <v/>
      </c>
      <c r="F1366" t="str">
        <f>+IFERROR(VLOOKUP(Fact_Contabilidad[[#This Row], 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ht="18.75" customHeight="1" x14ac:dyDescent="0.35">
      <c r="A1367" s="103"/>
      <c r="C1367" s="100" t="str">
        <f>IF(OR(Fact_Contabilidad[[#This Row], [Año]]="",Fact_Contabilidad[[#This Row], [Mes]]=""),"",DATE(A1367,MATCH(B1367,{"enero","febrero","marzo","abril","mayo","junio","julio","agosto","septiembre","octubre","noviembre","diciembre"},0)+1,0))</f>
        <v/>
      </c>
      <c r="E1367" t="str">
        <f>+IFERROR(VLOOKUP(Fact_Contabilidad[[#This Row], [Concepto Anterior]],Conceptos_Contabilidad[#All],5,0),"")</f>
        <v/>
      </c>
      <c r="F1367" t="str">
        <f>+IFERROR(VLOOKUP(Fact_Contabilidad[[#This Row], 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ht="18.75" customHeight="1" x14ac:dyDescent="0.35">
      <c r="A1368" s="103"/>
      <c r="C1368" s="100" t="str">
        <f>IF(OR(Fact_Contabilidad[[#This Row], [Año]]="",Fact_Contabilidad[[#This Row], [Mes]]=""),"",DATE(A1368,MATCH(B1368,{"enero","febrero","marzo","abril","mayo","junio","julio","agosto","septiembre","octubre","noviembre","diciembre"},0)+1,0))</f>
        <v/>
      </c>
      <c r="E1368" t="str">
        <f>+IFERROR(VLOOKUP(Fact_Contabilidad[[#This Row], [Concepto Anterior]],Conceptos_Contabilidad[#All],5,0),"")</f>
        <v/>
      </c>
      <c r="F1368" t="str">
        <f>+IFERROR(VLOOKUP(Fact_Contabilidad[[#This Row], 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ht="18.75" customHeight="1" x14ac:dyDescent="0.35">
      <c r="A1369" s="103"/>
      <c r="C1369" s="100" t="str">
        <f>IF(OR(Fact_Contabilidad[[#This Row], [Año]]="",Fact_Contabilidad[[#This Row], [Mes]]=""),"",DATE(A1369,MATCH(B1369,{"enero","febrero","marzo","abril","mayo","junio","julio","agosto","septiembre","octubre","noviembre","diciembre"},0)+1,0))</f>
        <v/>
      </c>
      <c r="E1369" t="str">
        <f>+IFERROR(VLOOKUP(Fact_Contabilidad[[#This Row], [Concepto Anterior]],Conceptos_Contabilidad[#All],5,0),"")</f>
        <v/>
      </c>
      <c r="F1369" t="str">
        <f>+IFERROR(VLOOKUP(Fact_Contabilidad[[#This Row], 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ht="18.75" customHeight="1" x14ac:dyDescent="0.35">
      <c r="A1370" s="103"/>
      <c r="C1370" s="100" t="str">
        <f>IF(OR(Fact_Contabilidad[[#This Row], [Año]]="",Fact_Contabilidad[[#This Row], [Mes]]=""),"",DATE(A1370,MATCH(B1370,{"enero","febrero","marzo","abril","mayo","junio","julio","agosto","septiembre","octubre","noviembre","diciembre"},0)+1,0))</f>
        <v/>
      </c>
      <c r="E1370" t="str">
        <f>+IFERROR(VLOOKUP(Fact_Contabilidad[[#This Row], [Concepto Anterior]],Conceptos_Contabilidad[#All],5,0),"")</f>
        <v/>
      </c>
      <c r="F1370" t="str">
        <f>+IFERROR(VLOOKUP(Fact_Contabilidad[[#This Row], 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ht="18.75" customHeight="1" x14ac:dyDescent="0.35">
      <c r="A1371" s="103"/>
      <c r="C1371" s="100" t="str">
        <f>IF(OR(Fact_Contabilidad[[#This Row], [Año]]="",Fact_Contabilidad[[#This Row], [Mes]]=""),"",DATE(A1371,MATCH(B1371,{"enero","febrero","marzo","abril","mayo","junio","julio","agosto","septiembre","octubre","noviembre","diciembre"},0)+1,0))</f>
        <v/>
      </c>
      <c r="E1371" t="str">
        <f>+IFERROR(VLOOKUP(Fact_Contabilidad[[#This Row], [Concepto Anterior]],Conceptos_Contabilidad[#All],5,0),"")</f>
        <v/>
      </c>
      <c r="F1371" t="str">
        <f>+IFERROR(VLOOKUP(Fact_Contabilidad[[#This Row], 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ht="18.75" customHeight="1" x14ac:dyDescent="0.35">
      <c r="A1372" s="103"/>
      <c r="C1372" s="100" t="str">
        <f>IF(OR(Fact_Contabilidad[[#This Row], [Año]]="",Fact_Contabilidad[[#This Row], [Mes]]=""),"",DATE(A1372,MATCH(B1372,{"enero","febrero","marzo","abril","mayo","junio","julio","agosto","septiembre","octubre","noviembre","diciembre"},0)+1,0))</f>
        <v/>
      </c>
      <c r="E1372" t="str">
        <f>+IFERROR(VLOOKUP(Fact_Contabilidad[[#This Row], [Concepto Anterior]],Conceptos_Contabilidad[#All],5,0),"")</f>
        <v/>
      </c>
      <c r="F1372" t="str">
        <f>+IFERROR(VLOOKUP(Fact_Contabilidad[[#This Row], 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ht="18.75" customHeight="1" x14ac:dyDescent="0.35">
      <c r="A1373" s="103"/>
      <c r="C1373" s="100" t="str">
        <f>IF(OR(Fact_Contabilidad[[#This Row], [Año]]="",Fact_Contabilidad[[#This Row], [Mes]]=""),"",DATE(A1373,MATCH(B1373,{"enero","febrero","marzo","abril","mayo","junio","julio","agosto","septiembre","octubre","noviembre","diciembre"},0)+1,0))</f>
        <v/>
      </c>
      <c r="E1373" t="str">
        <f>+IFERROR(VLOOKUP(Fact_Contabilidad[[#This Row], [Concepto Anterior]],Conceptos_Contabilidad[#All],5,0),"")</f>
        <v/>
      </c>
      <c r="F1373" t="str">
        <f>+IFERROR(VLOOKUP(Fact_Contabilidad[[#This Row], 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ht="18.75" customHeight="1" x14ac:dyDescent="0.35">
      <c r="A1374" s="103"/>
      <c r="C1374" s="100" t="str">
        <f>IF(OR(Fact_Contabilidad[[#This Row], [Año]]="",Fact_Contabilidad[[#This Row], [Mes]]=""),"",DATE(A1374,MATCH(B1374,{"enero","febrero","marzo","abril","mayo","junio","julio","agosto","septiembre","octubre","noviembre","diciembre"},0)+1,0))</f>
        <v/>
      </c>
      <c r="E1374" t="str">
        <f>+IFERROR(VLOOKUP(Fact_Contabilidad[[#This Row], [Concepto Anterior]],Conceptos_Contabilidad[#All],5,0),"")</f>
        <v/>
      </c>
      <c r="F1374" t="str">
        <f>+IFERROR(VLOOKUP(Fact_Contabilidad[[#This Row], 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ht="18.75" customHeight="1" x14ac:dyDescent="0.35">
      <c r="A1375" s="103"/>
      <c r="C1375" s="100" t="str">
        <f>IF(OR(Fact_Contabilidad[[#This Row], [Año]]="",Fact_Contabilidad[[#This Row], [Mes]]=""),"",DATE(A1375,MATCH(B1375,{"enero","febrero","marzo","abril","mayo","junio","julio","agosto","septiembre","octubre","noviembre","diciembre"},0)+1,0))</f>
        <v/>
      </c>
      <c r="E1375" t="str">
        <f>+IFERROR(VLOOKUP(Fact_Contabilidad[[#This Row], [Concepto Anterior]],Conceptos_Contabilidad[#All],5,0),"")</f>
        <v/>
      </c>
      <c r="F1375" t="str">
        <f>+IFERROR(VLOOKUP(Fact_Contabilidad[[#This Row], 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ht="18.75" customHeight="1" x14ac:dyDescent="0.35">
      <c r="A1376" s="103"/>
      <c r="C1376" s="100" t="str">
        <f>IF(OR(Fact_Contabilidad[[#This Row], [Año]]="",Fact_Contabilidad[[#This Row], [Mes]]=""),"",DATE(A1376,MATCH(B1376,{"enero","febrero","marzo","abril","mayo","junio","julio","agosto","septiembre","octubre","noviembre","diciembre"},0)+1,0))</f>
        <v/>
      </c>
      <c r="E1376" t="str">
        <f>+IFERROR(VLOOKUP(Fact_Contabilidad[[#This Row], [Concepto Anterior]],Conceptos_Contabilidad[#All],5,0),"")</f>
        <v/>
      </c>
      <c r="F1376" t="str">
        <f>+IFERROR(VLOOKUP(Fact_Contabilidad[[#This Row], 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ht="18.75" customHeight="1" x14ac:dyDescent="0.35">
      <c r="A1377" s="103"/>
      <c r="C1377" s="100" t="str">
        <f>IF(OR(Fact_Contabilidad[[#This Row], [Año]]="",Fact_Contabilidad[[#This Row], [Mes]]=""),"",DATE(A1377,MATCH(B1377,{"enero","febrero","marzo","abril","mayo","junio","julio","agosto","septiembre","octubre","noviembre","diciembre"},0)+1,0))</f>
        <v/>
      </c>
      <c r="E1377" t="str">
        <f>+IFERROR(VLOOKUP(Fact_Contabilidad[[#This Row], [Concepto Anterior]],Conceptos_Contabilidad[#All],5,0),"")</f>
        <v/>
      </c>
      <c r="F1377" t="str">
        <f>+IFERROR(VLOOKUP(Fact_Contabilidad[[#This Row], 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ht="18.75" customHeight="1" x14ac:dyDescent="0.35">
      <c r="A1378" s="103"/>
      <c r="C1378" s="100" t="str">
        <f>IF(OR(Fact_Contabilidad[[#This Row], [Año]]="",Fact_Contabilidad[[#This Row], [Mes]]=""),"",DATE(A1378,MATCH(B1378,{"enero","febrero","marzo","abril","mayo","junio","julio","agosto","septiembre","octubre","noviembre","diciembre"},0)+1,0))</f>
        <v/>
      </c>
      <c r="E1378" t="str">
        <f>+IFERROR(VLOOKUP(Fact_Contabilidad[[#This Row], [Concepto Anterior]],Conceptos_Contabilidad[#All],5,0),"")</f>
        <v/>
      </c>
      <c r="F1378" t="str">
        <f>+IFERROR(VLOOKUP(Fact_Contabilidad[[#This Row], 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ht="18.75" customHeight="1" x14ac:dyDescent="0.35">
      <c r="A1379" s="103"/>
      <c r="C1379" s="100" t="str">
        <f>IF(OR(Fact_Contabilidad[[#This Row], [Año]]="",Fact_Contabilidad[[#This Row], [Mes]]=""),"",DATE(A1379,MATCH(B1379,{"enero","febrero","marzo","abril","mayo","junio","julio","agosto","septiembre","octubre","noviembre","diciembre"},0)+1,0))</f>
        <v/>
      </c>
      <c r="E1379" t="str">
        <f>+IFERROR(VLOOKUP(Fact_Contabilidad[[#This Row], [Concepto Anterior]],Conceptos_Contabilidad[#All],5,0),"")</f>
        <v/>
      </c>
      <c r="F1379" t="str">
        <f>+IFERROR(VLOOKUP(Fact_Contabilidad[[#This Row], 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ht="18.75" customHeight="1" x14ac:dyDescent="0.35">
      <c r="A1380" s="103"/>
      <c r="C1380" s="100" t="str">
        <f>IF(OR(Fact_Contabilidad[[#This Row], [Año]]="",Fact_Contabilidad[[#This Row], [Mes]]=""),"",DATE(A1380,MATCH(B1380,{"enero","febrero","marzo","abril","mayo","junio","julio","agosto","septiembre","octubre","noviembre","diciembre"},0)+1,0))</f>
        <v/>
      </c>
      <c r="E1380" t="str">
        <f>+IFERROR(VLOOKUP(Fact_Contabilidad[[#This Row], [Concepto Anterior]],Conceptos_Contabilidad[#All],5,0),"")</f>
        <v/>
      </c>
      <c r="F1380" t="str">
        <f>+IFERROR(VLOOKUP(Fact_Contabilidad[[#This Row], 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ht="18.75" customHeight="1" x14ac:dyDescent="0.35">
      <c r="A1381" s="103"/>
      <c r="C1381" s="100" t="str">
        <f>IF(OR(Fact_Contabilidad[[#This Row], [Año]]="",Fact_Contabilidad[[#This Row], [Mes]]=""),"",DATE(A1381,MATCH(B1381,{"enero","febrero","marzo","abril","mayo","junio","julio","agosto","septiembre","octubre","noviembre","diciembre"},0)+1,0))</f>
        <v/>
      </c>
      <c r="E1381" t="str">
        <f>+IFERROR(VLOOKUP(Fact_Contabilidad[[#This Row], [Concepto Anterior]],Conceptos_Contabilidad[#All],5,0),"")</f>
        <v/>
      </c>
      <c r="F1381" t="str">
        <f>+IFERROR(VLOOKUP(Fact_Contabilidad[[#This Row], 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ht="18.75" customHeight="1" x14ac:dyDescent="0.35">
      <c r="A1382" s="103"/>
      <c r="C1382" s="100" t="str">
        <f>IF(OR(Fact_Contabilidad[[#This Row], [Año]]="",Fact_Contabilidad[[#This Row], [Mes]]=""),"",DATE(A1382,MATCH(B1382,{"enero","febrero","marzo","abril","mayo","junio","julio","agosto","septiembre","octubre","noviembre","diciembre"},0)+1,0))</f>
        <v/>
      </c>
      <c r="E1382" t="str">
        <f>+IFERROR(VLOOKUP(Fact_Contabilidad[[#This Row], [Concepto Anterior]],Conceptos_Contabilidad[#All],5,0),"")</f>
        <v/>
      </c>
      <c r="F1382" t="str">
        <f>+IFERROR(VLOOKUP(Fact_Contabilidad[[#This Row], 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ht="18.75" customHeight="1" x14ac:dyDescent="0.35">
      <c r="A1383" s="103"/>
      <c r="C1383" s="100" t="str">
        <f>IF(OR(Fact_Contabilidad[[#This Row], [Año]]="",Fact_Contabilidad[[#This Row], [Mes]]=""),"",DATE(A1383,MATCH(B1383,{"enero","febrero","marzo","abril","mayo","junio","julio","agosto","septiembre","octubre","noviembre","diciembre"},0)+1,0))</f>
        <v/>
      </c>
      <c r="E1383" t="str">
        <f>+IFERROR(VLOOKUP(Fact_Contabilidad[[#This Row], [Concepto Anterior]],Conceptos_Contabilidad[#All],5,0),"")</f>
        <v/>
      </c>
      <c r="F1383" t="str">
        <f>+IFERROR(VLOOKUP(Fact_Contabilidad[[#This Row], 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ht="18.75" customHeight="1" x14ac:dyDescent="0.35">
      <c r="A1384" s="103"/>
      <c r="C1384" s="100" t="str">
        <f>IF(OR(Fact_Contabilidad[[#This Row], [Año]]="",Fact_Contabilidad[[#This Row], [Mes]]=""),"",DATE(A1384,MATCH(B1384,{"enero","febrero","marzo","abril","mayo","junio","julio","agosto","septiembre","octubre","noviembre","diciembre"},0)+1,0))</f>
        <v/>
      </c>
      <c r="E1384" t="str">
        <f>+IFERROR(VLOOKUP(Fact_Contabilidad[[#This Row], [Concepto Anterior]],Conceptos_Contabilidad[#All],5,0),"")</f>
        <v/>
      </c>
      <c r="F1384" t="str">
        <f>+IFERROR(VLOOKUP(Fact_Contabilidad[[#This Row], 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ht="18.75" customHeight="1" x14ac:dyDescent="0.35">
      <c r="A1385" s="103"/>
      <c r="C1385" s="100" t="str">
        <f>IF(OR(Fact_Contabilidad[[#This Row], [Año]]="",Fact_Contabilidad[[#This Row], [Mes]]=""),"",DATE(A1385,MATCH(B1385,{"enero","febrero","marzo","abril","mayo","junio","julio","agosto","septiembre","octubre","noviembre","diciembre"},0)+1,0))</f>
        <v/>
      </c>
      <c r="E1385" t="str">
        <f>+IFERROR(VLOOKUP(Fact_Contabilidad[[#This Row], [Concepto Anterior]],Conceptos_Contabilidad[#All],5,0),"")</f>
        <v/>
      </c>
      <c r="F1385" t="str">
        <f>+IFERROR(VLOOKUP(Fact_Contabilidad[[#This Row], 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ht="18.75" customHeight="1" x14ac:dyDescent="0.35">
      <c r="A1386" s="103"/>
      <c r="C1386" s="100" t="str">
        <f>IF(OR(Fact_Contabilidad[[#This Row], [Año]]="",Fact_Contabilidad[[#This Row], [Mes]]=""),"",DATE(A1386,MATCH(B1386,{"enero","febrero","marzo","abril","mayo","junio","julio","agosto","septiembre","octubre","noviembre","diciembre"},0)+1,0))</f>
        <v/>
      </c>
      <c r="E1386" t="str">
        <f>+IFERROR(VLOOKUP(Fact_Contabilidad[[#This Row], [Concepto Anterior]],Conceptos_Contabilidad[#All],5,0),"")</f>
        <v/>
      </c>
      <c r="F1386" t="str">
        <f>+IFERROR(VLOOKUP(Fact_Contabilidad[[#This Row], 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ht="18.75" customHeight="1" x14ac:dyDescent="0.35">
      <c r="A1387" s="103"/>
      <c r="C1387" s="100" t="str">
        <f>IF(OR(Fact_Contabilidad[[#This Row], [Año]]="",Fact_Contabilidad[[#This Row], [Mes]]=""),"",DATE(A1387,MATCH(B1387,{"enero","febrero","marzo","abril","mayo","junio","julio","agosto","septiembre","octubre","noviembre","diciembre"},0)+1,0))</f>
        <v/>
      </c>
      <c r="E1387" t="str">
        <f>+IFERROR(VLOOKUP(Fact_Contabilidad[[#This Row], [Concepto Anterior]],Conceptos_Contabilidad[#All],5,0),"")</f>
        <v/>
      </c>
      <c r="F1387" t="str">
        <f>+IFERROR(VLOOKUP(Fact_Contabilidad[[#This Row], 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ht="18.75" customHeight="1" x14ac:dyDescent="0.35">
      <c r="A1388" s="103"/>
      <c r="C1388" s="100" t="str">
        <f>IF(OR(Fact_Contabilidad[[#This Row], [Año]]="",Fact_Contabilidad[[#This Row], [Mes]]=""),"",DATE(A1388,MATCH(B1388,{"enero","febrero","marzo","abril","mayo","junio","julio","agosto","septiembre","octubre","noviembre","diciembre"},0)+1,0))</f>
        <v/>
      </c>
      <c r="E1388" t="str">
        <f>+IFERROR(VLOOKUP(Fact_Contabilidad[[#This Row], [Concepto Anterior]],Conceptos_Contabilidad[#All],5,0),"")</f>
        <v/>
      </c>
      <c r="F1388" t="str">
        <f>+IFERROR(VLOOKUP(Fact_Contabilidad[[#This Row], 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ht="18.75" customHeight="1" x14ac:dyDescent="0.35">
      <c r="A1389" s="103"/>
      <c r="C1389" s="100" t="str">
        <f>IF(OR(Fact_Contabilidad[[#This Row], [Año]]="",Fact_Contabilidad[[#This Row], [Mes]]=""),"",DATE(A1389,MATCH(B1389,{"enero","febrero","marzo","abril","mayo","junio","julio","agosto","septiembre","octubre","noviembre","diciembre"},0)+1,0))</f>
        <v/>
      </c>
      <c r="E1389" t="str">
        <f>+IFERROR(VLOOKUP(Fact_Contabilidad[[#This Row], [Concepto Anterior]],Conceptos_Contabilidad[#All],5,0),"")</f>
        <v/>
      </c>
      <c r="F1389" t="str">
        <f>+IFERROR(VLOOKUP(Fact_Contabilidad[[#This Row], 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ht="18.75" customHeight="1" x14ac:dyDescent="0.35">
      <c r="A1390" s="103"/>
      <c r="C1390" s="100" t="str">
        <f>IF(OR(Fact_Contabilidad[[#This Row], [Año]]="",Fact_Contabilidad[[#This Row], [Mes]]=""),"",DATE(A1390,MATCH(B1390,{"enero","febrero","marzo","abril","mayo","junio","julio","agosto","septiembre","octubre","noviembre","diciembre"},0)+1,0))</f>
        <v/>
      </c>
      <c r="E1390" t="str">
        <f>+IFERROR(VLOOKUP(Fact_Contabilidad[[#This Row], [Concepto Anterior]],Conceptos_Contabilidad[#All],5,0),"")</f>
        <v/>
      </c>
      <c r="F1390" t="str">
        <f>+IFERROR(VLOOKUP(Fact_Contabilidad[[#This Row], 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ht="18.75" customHeight="1" x14ac:dyDescent="0.35">
      <c r="A1391" s="103"/>
      <c r="C1391" s="100" t="str">
        <f>IF(OR(Fact_Contabilidad[[#This Row], [Año]]="",Fact_Contabilidad[[#This Row], [Mes]]=""),"",DATE(A1391,MATCH(B1391,{"enero","febrero","marzo","abril","mayo","junio","julio","agosto","septiembre","octubre","noviembre","diciembre"},0)+1,0))</f>
        <v/>
      </c>
      <c r="E1391" t="str">
        <f>+IFERROR(VLOOKUP(Fact_Contabilidad[[#This Row], [Concepto Anterior]],Conceptos_Contabilidad[#All],5,0),"")</f>
        <v/>
      </c>
      <c r="F1391" t="str">
        <f>+IFERROR(VLOOKUP(Fact_Contabilidad[[#This Row], 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ht="18.75" customHeight="1" x14ac:dyDescent="0.35">
      <c r="A1392" s="103"/>
      <c r="C1392" s="100" t="str">
        <f>IF(OR(Fact_Contabilidad[[#This Row], [Año]]="",Fact_Contabilidad[[#This Row], [Mes]]=""),"",DATE(A1392,MATCH(B1392,{"enero","febrero","marzo","abril","mayo","junio","julio","agosto","septiembre","octubre","noviembre","diciembre"},0)+1,0))</f>
        <v/>
      </c>
      <c r="E1392" t="str">
        <f>+IFERROR(VLOOKUP(Fact_Contabilidad[[#This Row], [Concepto Anterior]],Conceptos_Contabilidad[#All],5,0),"")</f>
        <v/>
      </c>
      <c r="F1392" t="str">
        <f>+IFERROR(VLOOKUP(Fact_Contabilidad[[#This Row], 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ht="18.75" customHeight="1" x14ac:dyDescent="0.35">
      <c r="A1393" s="103"/>
      <c r="C1393" s="100" t="str">
        <f>IF(OR(Fact_Contabilidad[[#This Row], [Año]]="",Fact_Contabilidad[[#This Row], [Mes]]=""),"",DATE(A1393,MATCH(B1393,{"enero","febrero","marzo","abril","mayo","junio","julio","agosto","septiembre","octubre","noviembre","diciembre"},0)+1,0))</f>
        <v/>
      </c>
      <c r="E1393" t="str">
        <f>+IFERROR(VLOOKUP(Fact_Contabilidad[[#This Row], [Concepto Anterior]],Conceptos_Contabilidad[#All],5,0),"")</f>
        <v/>
      </c>
      <c r="F1393" t="str">
        <f>+IFERROR(VLOOKUP(Fact_Contabilidad[[#This Row], 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ht="18.75" customHeight="1" x14ac:dyDescent="0.35">
      <c r="A1394" s="103"/>
      <c r="C1394" s="100" t="str">
        <f>IF(OR(Fact_Contabilidad[[#This Row], [Año]]="",Fact_Contabilidad[[#This Row], [Mes]]=""),"",DATE(A1394,MATCH(B1394,{"enero","febrero","marzo","abril","mayo","junio","julio","agosto","septiembre","octubre","noviembre","diciembre"},0)+1,0))</f>
        <v/>
      </c>
      <c r="E1394" t="str">
        <f>+IFERROR(VLOOKUP(Fact_Contabilidad[[#This Row], [Concepto Anterior]],Conceptos_Contabilidad[#All],5,0),"")</f>
        <v/>
      </c>
      <c r="F1394" t="str">
        <f>+IFERROR(VLOOKUP(Fact_Contabilidad[[#This Row], 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ht="18.75" customHeight="1" x14ac:dyDescent="0.35">
      <c r="A1395" s="103"/>
      <c r="C1395" s="100" t="str">
        <f>IF(OR(Fact_Contabilidad[[#This Row], [Año]]="",Fact_Contabilidad[[#This Row], [Mes]]=""),"",DATE(A1395,MATCH(B1395,{"enero","febrero","marzo","abril","mayo","junio","julio","agosto","septiembre","octubre","noviembre","diciembre"},0)+1,0))</f>
        <v/>
      </c>
      <c r="E1395" t="str">
        <f>+IFERROR(VLOOKUP(Fact_Contabilidad[[#This Row], [Concepto Anterior]],Conceptos_Contabilidad[#All],5,0),"")</f>
        <v/>
      </c>
      <c r="F1395" t="str">
        <f>+IFERROR(VLOOKUP(Fact_Contabilidad[[#This Row], 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ht="18.75" customHeight="1" x14ac:dyDescent="0.35">
      <c r="A1396" s="103"/>
      <c r="C1396" s="100" t="str">
        <f>IF(OR(Fact_Contabilidad[[#This Row], [Año]]="",Fact_Contabilidad[[#This Row], [Mes]]=""),"",DATE(A1396,MATCH(B1396,{"enero","febrero","marzo","abril","mayo","junio","julio","agosto","septiembre","octubre","noviembre","diciembre"},0)+1,0))</f>
        <v/>
      </c>
      <c r="E1396" t="str">
        <f>+IFERROR(VLOOKUP(Fact_Contabilidad[[#This Row], [Concepto Anterior]],Conceptos_Contabilidad[#All],5,0),"")</f>
        <v/>
      </c>
      <c r="F1396" t="str">
        <f>+IFERROR(VLOOKUP(Fact_Contabilidad[[#This Row], 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ht="18.75" customHeight="1" x14ac:dyDescent="0.35">
      <c r="A1397" s="103"/>
      <c r="C1397" s="100" t="str">
        <f>IF(OR(Fact_Contabilidad[[#This Row], [Año]]="",Fact_Contabilidad[[#This Row], [Mes]]=""),"",DATE(A1397,MATCH(B1397,{"enero","febrero","marzo","abril","mayo","junio","julio","agosto","septiembre","octubre","noviembre","diciembre"},0)+1,0))</f>
        <v/>
      </c>
      <c r="E1397" t="str">
        <f>+IFERROR(VLOOKUP(Fact_Contabilidad[[#This Row], [Concepto Anterior]],Conceptos_Contabilidad[#All],5,0),"")</f>
        <v/>
      </c>
      <c r="F1397" t="str">
        <f>+IFERROR(VLOOKUP(Fact_Contabilidad[[#This Row], 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ht="18.75" customHeight="1" x14ac:dyDescent="0.35">
      <c r="A1398" s="103"/>
      <c r="C1398" s="100" t="str">
        <f>IF(OR(Fact_Contabilidad[[#This Row], [Año]]="",Fact_Contabilidad[[#This Row], [Mes]]=""),"",DATE(A1398,MATCH(B1398,{"enero","febrero","marzo","abril","mayo","junio","julio","agosto","septiembre","octubre","noviembre","diciembre"},0)+1,0))</f>
        <v/>
      </c>
      <c r="E1398" t="str">
        <f>+IFERROR(VLOOKUP(Fact_Contabilidad[[#This Row], [Concepto Anterior]],Conceptos_Contabilidad[#All],5,0),"")</f>
        <v/>
      </c>
      <c r="F1398" t="str">
        <f>+IFERROR(VLOOKUP(Fact_Contabilidad[[#This Row], 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ht="18.75" customHeight="1" x14ac:dyDescent="0.35">
      <c r="A1399" s="103"/>
      <c r="C1399" s="100" t="str">
        <f>IF(OR(Fact_Contabilidad[[#This Row], [Año]]="",Fact_Contabilidad[[#This Row], [Mes]]=""),"",DATE(A1399,MATCH(B1399,{"enero","febrero","marzo","abril","mayo","junio","julio","agosto","septiembre","octubre","noviembre","diciembre"},0)+1,0))</f>
        <v/>
      </c>
      <c r="E1399" t="str">
        <f>+IFERROR(VLOOKUP(Fact_Contabilidad[[#This Row], [Concepto Anterior]],Conceptos_Contabilidad[#All],5,0),"")</f>
        <v/>
      </c>
      <c r="F1399" t="str">
        <f>+IFERROR(VLOOKUP(Fact_Contabilidad[[#This Row], 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ht="18.75" customHeight="1" x14ac:dyDescent="0.35">
      <c r="A1400" s="103"/>
      <c r="C1400" s="100" t="str">
        <f>IF(OR(Fact_Contabilidad[[#This Row], [Año]]="",Fact_Contabilidad[[#This Row], [Mes]]=""),"",DATE(A1400,MATCH(B1400,{"enero","febrero","marzo","abril","mayo","junio","julio","agosto","septiembre","octubre","noviembre","diciembre"},0)+1,0))</f>
        <v/>
      </c>
      <c r="E1400" t="str">
        <f>+IFERROR(VLOOKUP(Fact_Contabilidad[[#This Row], [Concepto Anterior]],Conceptos_Contabilidad[#All],5,0),"")</f>
        <v/>
      </c>
      <c r="F1400" t="str">
        <f>+IFERROR(VLOOKUP(Fact_Contabilidad[[#This Row], 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ht="18.75" customHeight="1" x14ac:dyDescent="0.35">
      <c r="A1401" s="103"/>
      <c r="C1401" s="100" t="str">
        <f>IF(OR(Fact_Contabilidad[[#This Row], [Año]]="",Fact_Contabilidad[[#This Row], [Mes]]=""),"",DATE(A1401,MATCH(B1401,{"enero","febrero","marzo","abril","mayo","junio","julio","agosto","septiembre","octubre","noviembre","diciembre"},0)+1,0))</f>
        <v/>
      </c>
      <c r="E1401" t="str">
        <f>+IFERROR(VLOOKUP(Fact_Contabilidad[[#This Row], [Concepto Anterior]],Conceptos_Contabilidad[#All],5,0),"")</f>
        <v/>
      </c>
      <c r="F1401" t="str">
        <f>+IFERROR(VLOOKUP(Fact_Contabilidad[[#This Row], 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ht="18.75" customHeight="1" x14ac:dyDescent="0.35">
      <c r="A1402" s="103"/>
      <c r="C1402" s="100" t="str">
        <f>IF(OR(Fact_Contabilidad[[#This Row], [Año]]="",Fact_Contabilidad[[#This Row], [Mes]]=""),"",DATE(A1402,MATCH(B1402,{"enero","febrero","marzo","abril","mayo","junio","julio","agosto","septiembre","octubre","noviembre","diciembre"},0)+1,0))</f>
        <v/>
      </c>
      <c r="E1402" t="str">
        <f>+IFERROR(VLOOKUP(Fact_Contabilidad[[#This Row], [Concepto Anterior]],Conceptos_Contabilidad[#All],5,0),"")</f>
        <v/>
      </c>
      <c r="F1402" t="str">
        <f>+IFERROR(VLOOKUP(Fact_Contabilidad[[#This Row], 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ht="18.75" customHeight="1" x14ac:dyDescent="0.35">
      <c r="A1403" s="103"/>
      <c r="C1403" s="100" t="str">
        <f>IF(OR(Fact_Contabilidad[[#This Row], [Año]]="",Fact_Contabilidad[[#This Row], [Mes]]=""),"",DATE(A1403,MATCH(B1403,{"enero","febrero","marzo","abril","mayo","junio","julio","agosto","septiembre","octubre","noviembre","diciembre"},0)+1,0))</f>
        <v/>
      </c>
      <c r="E1403" t="str">
        <f>+IFERROR(VLOOKUP(Fact_Contabilidad[[#This Row], [Concepto Anterior]],Conceptos_Contabilidad[#All],5,0),"")</f>
        <v/>
      </c>
      <c r="F1403" t="str">
        <f>+IFERROR(VLOOKUP(Fact_Contabilidad[[#This Row], 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ht="18.75" customHeight="1" x14ac:dyDescent="0.35">
      <c r="A1404" s="103"/>
      <c r="C1404" s="100" t="str">
        <f>IF(OR(Fact_Contabilidad[[#This Row], [Año]]="",Fact_Contabilidad[[#This Row], [Mes]]=""),"",DATE(A1404,MATCH(B1404,{"enero","febrero","marzo","abril","mayo","junio","julio","agosto","septiembre","octubre","noviembre","diciembre"},0)+1,0))</f>
        <v/>
      </c>
      <c r="E1404" t="str">
        <f>+IFERROR(VLOOKUP(Fact_Contabilidad[[#This Row], [Concepto Anterior]],Conceptos_Contabilidad[#All],5,0),"")</f>
        <v/>
      </c>
      <c r="F1404" t="str">
        <f>+IFERROR(VLOOKUP(Fact_Contabilidad[[#This Row], 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ht="18.75" customHeight="1" x14ac:dyDescent="0.35">
      <c r="A1405" s="103"/>
      <c r="C1405" s="100" t="str">
        <f>IF(OR(Fact_Contabilidad[[#This Row], [Año]]="",Fact_Contabilidad[[#This Row], [Mes]]=""),"",DATE(A1405,MATCH(B1405,{"enero","febrero","marzo","abril","mayo","junio","julio","agosto","septiembre","octubre","noviembre","diciembre"},0)+1,0))</f>
        <v/>
      </c>
      <c r="E1405" t="str">
        <f>+IFERROR(VLOOKUP(Fact_Contabilidad[[#This Row], [Concepto Anterior]],Conceptos_Contabilidad[#All],5,0),"")</f>
        <v/>
      </c>
      <c r="F1405" t="str">
        <f>+IFERROR(VLOOKUP(Fact_Contabilidad[[#This Row], 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ht="18.75" customHeight="1" x14ac:dyDescent="0.35">
      <c r="A1406" s="103"/>
      <c r="C1406" s="100" t="str">
        <f>IF(OR(Fact_Contabilidad[[#This Row], [Año]]="",Fact_Contabilidad[[#This Row], [Mes]]=""),"",DATE(A1406,MATCH(B1406,{"enero","febrero","marzo","abril","mayo","junio","julio","agosto","septiembre","octubre","noviembre","diciembre"},0)+1,0))</f>
        <v/>
      </c>
      <c r="E1406" t="str">
        <f>+IFERROR(VLOOKUP(Fact_Contabilidad[[#This Row], [Concepto Anterior]],Conceptos_Contabilidad[#All],5,0),"")</f>
        <v/>
      </c>
      <c r="F1406" t="str">
        <f>+IFERROR(VLOOKUP(Fact_Contabilidad[[#This Row], 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ht="18.75" customHeight="1" x14ac:dyDescent="0.35">
      <c r="A1407" s="103"/>
      <c r="C1407" s="100" t="str">
        <f>IF(OR(Fact_Contabilidad[[#This Row], [Año]]="",Fact_Contabilidad[[#This Row], [Mes]]=""),"",DATE(A1407,MATCH(B1407,{"enero","febrero","marzo","abril","mayo","junio","julio","agosto","septiembre","octubre","noviembre","diciembre"},0)+1,0))</f>
        <v/>
      </c>
      <c r="E1407" t="str">
        <f>+IFERROR(VLOOKUP(Fact_Contabilidad[[#This Row], [Concepto Anterior]],Conceptos_Contabilidad[#All],5,0),"")</f>
        <v/>
      </c>
      <c r="F1407" t="str">
        <f>+IFERROR(VLOOKUP(Fact_Contabilidad[[#This Row], 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ht="18.75" customHeight="1" x14ac:dyDescent="0.35">
      <c r="A1408" s="103"/>
      <c r="C1408" s="100" t="str">
        <f>IF(OR(Fact_Contabilidad[[#This Row], [Año]]="",Fact_Contabilidad[[#This Row], [Mes]]=""),"",DATE(A1408,MATCH(B1408,{"enero","febrero","marzo","abril","mayo","junio","julio","agosto","septiembre","octubre","noviembre","diciembre"},0)+1,0))</f>
        <v/>
      </c>
      <c r="E1408" t="str">
        <f>+IFERROR(VLOOKUP(Fact_Contabilidad[[#This Row], [Concepto Anterior]],Conceptos_Contabilidad[#All],5,0),"")</f>
        <v/>
      </c>
      <c r="F1408" t="str">
        <f>+IFERROR(VLOOKUP(Fact_Contabilidad[[#This Row], 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ht="18.75" customHeight="1" x14ac:dyDescent="0.35">
      <c r="A1409" s="103"/>
      <c r="C1409" s="100" t="str">
        <f>IF(OR(Fact_Contabilidad[[#This Row], [Año]]="",Fact_Contabilidad[[#This Row], [Mes]]=""),"",DATE(A1409,MATCH(B1409,{"enero","febrero","marzo","abril","mayo","junio","julio","agosto","septiembre","octubre","noviembre","diciembre"},0)+1,0))</f>
        <v/>
      </c>
      <c r="E1409" t="str">
        <f>+IFERROR(VLOOKUP(Fact_Contabilidad[[#This Row], [Concepto Anterior]],Conceptos_Contabilidad[#All],5,0),"")</f>
        <v/>
      </c>
      <c r="F1409" t="str">
        <f>+IFERROR(VLOOKUP(Fact_Contabilidad[[#This Row], 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ht="18.75" customHeight="1" x14ac:dyDescent="0.35">
      <c r="A1410" s="103"/>
      <c r="C1410" s="100" t="str">
        <f>IF(OR(Fact_Contabilidad[[#This Row], [Año]]="",Fact_Contabilidad[[#This Row], [Mes]]=""),"",DATE(A1410,MATCH(B1410,{"enero","febrero","marzo","abril","mayo","junio","julio","agosto","septiembre","octubre","noviembre","diciembre"},0)+1,0))</f>
        <v/>
      </c>
      <c r="E1410" t="str">
        <f>+IFERROR(VLOOKUP(Fact_Contabilidad[[#This Row], [Concepto Anterior]],Conceptos_Contabilidad[#All],5,0),"")</f>
        <v/>
      </c>
      <c r="F1410" t="str">
        <f>+IFERROR(VLOOKUP(Fact_Contabilidad[[#This Row], 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ht="18.75" customHeight="1" x14ac:dyDescent="0.35">
      <c r="A1411" s="103"/>
      <c r="C1411" s="100" t="str">
        <f>IF(OR(Fact_Contabilidad[[#This Row], [Año]]="",Fact_Contabilidad[[#This Row], [Mes]]=""),"",DATE(A1411,MATCH(B1411,{"enero","febrero","marzo","abril","mayo","junio","julio","agosto","septiembre","octubre","noviembre","diciembre"},0)+1,0))</f>
        <v/>
      </c>
      <c r="E1411" t="str">
        <f>+IFERROR(VLOOKUP(Fact_Contabilidad[[#This Row], [Concepto Anterior]],Conceptos_Contabilidad[#All],5,0),"")</f>
        <v/>
      </c>
      <c r="F1411" t="str">
        <f>+IFERROR(VLOOKUP(Fact_Contabilidad[[#This Row], 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ht="18.75" customHeight="1" x14ac:dyDescent="0.35">
      <c r="A1412" s="103"/>
      <c r="C1412" s="100" t="str">
        <f>IF(OR(Fact_Contabilidad[[#This Row], [Año]]="",Fact_Contabilidad[[#This Row], [Mes]]=""),"",DATE(A1412,MATCH(B1412,{"enero","febrero","marzo","abril","mayo","junio","julio","agosto","septiembre","octubre","noviembre","diciembre"},0)+1,0))</f>
        <v/>
      </c>
      <c r="E1412" t="str">
        <f>+IFERROR(VLOOKUP(Fact_Contabilidad[[#This Row], [Concepto Anterior]],Conceptos_Contabilidad[#All],5,0),"")</f>
        <v/>
      </c>
      <c r="F1412" t="str">
        <f>+IFERROR(VLOOKUP(Fact_Contabilidad[[#This Row], 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ht="18.75" customHeight="1" x14ac:dyDescent="0.35">
      <c r="A1413" s="103"/>
      <c r="C1413" s="100" t="str">
        <f>IF(OR(Fact_Contabilidad[[#This Row], [Año]]="",Fact_Contabilidad[[#This Row], [Mes]]=""),"",DATE(A1413,MATCH(B1413,{"enero","febrero","marzo","abril","mayo","junio","julio","agosto","septiembre","octubre","noviembre","diciembre"},0)+1,0))</f>
        <v/>
      </c>
      <c r="E1413" t="str">
        <f>+IFERROR(VLOOKUP(Fact_Contabilidad[[#This Row], [Concepto Anterior]],Conceptos_Contabilidad[#All],5,0),"")</f>
        <v/>
      </c>
      <c r="F1413" t="str">
        <f>+IFERROR(VLOOKUP(Fact_Contabilidad[[#This Row], 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ht="18.75" customHeight="1" x14ac:dyDescent="0.35">
      <c r="A1414" s="103"/>
      <c r="C1414" s="100" t="str">
        <f>IF(OR(Fact_Contabilidad[[#This Row], [Año]]="",Fact_Contabilidad[[#This Row], [Mes]]=""),"",DATE(A1414,MATCH(B1414,{"enero","febrero","marzo","abril","mayo","junio","julio","agosto","septiembre","octubre","noviembre","diciembre"},0)+1,0))</f>
        <v/>
      </c>
      <c r="E1414" t="str">
        <f>+IFERROR(VLOOKUP(Fact_Contabilidad[[#This Row], [Concepto Anterior]],Conceptos_Contabilidad[#All],5,0),"")</f>
        <v/>
      </c>
      <c r="F1414" t="str">
        <f>+IFERROR(VLOOKUP(Fact_Contabilidad[[#This Row], 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ht="18.75" customHeight="1" x14ac:dyDescent="0.35">
      <c r="A1415" s="103"/>
      <c r="C1415" s="100" t="str">
        <f>IF(OR(Fact_Contabilidad[[#This Row], [Año]]="",Fact_Contabilidad[[#This Row], [Mes]]=""),"",DATE(A1415,MATCH(B1415,{"enero","febrero","marzo","abril","mayo","junio","julio","agosto","septiembre","octubre","noviembre","diciembre"},0)+1,0))</f>
        <v/>
      </c>
      <c r="E1415" t="str">
        <f>+IFERROR(VLOOKUP(Fact_Contabilidad[[#This Row], [Concepto Anterior]],Conceptos_Contabilidad[#All],5,0),"")</f>
        <v/>
      </c>
      <c r="F1415" t="str">
        <f>+IFERROR(VLOOKUP(Fact_Contabilidad[[#This Row], 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ht="18.75" customHeight="1" x14ac:dyDescent="0.35">
      <c r="A1416" s="103"/>
      <c r="C1416" s="100" t="str">
        <f>IF(OR(Fact_Contabilidad[[#This Row], [Año]]="",Fact_Contabilidad[[#This Row], [Mes]]=""),"",DATE(A1416,MATCH(B1416,{"enero","febrero","marzo","abril","mayo","junio","julio","agosto","septiembre","octubre","noviembre","diciembre"},0)+1,0))</f>
        <v/>
      </c>
      <c r="E1416" t="str">
        <f>+IFERROR(VLOOKUP(Fact_Contabilidad[[#This Row], [Concepto Anterior]],Conceptos_Contabilidad[#All],5,0),"")</f>
        <v/>
      </c>
      <c r="F1416" t="str">
        <f>+IFERROR(VLOOKUP(Fact_Contabilidad[[#This Row], 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ht="18.75" customHeight="1" x14ac:dyDescent="0.35">
      <c r="A1417" s="103"/>
      <c r="C1417" s="100" t="str">
        <f>IF(OR(Fact_Contabilidad[[#This Row], [Año]]="",Fact_Contabilidad[[#This Row], [Mes]]=""),"",DATE(A1417,MATCH(B1417,{"enero","febrero","marzo","abril","mayo","junio","julio","agosto","septiembre","octubre","noviembre","diciembre"},0)+1,0))</f>
        <v/>
      </c>
      <c r="E1417" t="str">
        <f>+IFERROR(VLOOKUP(Fact_Contabilidad[[#This Row], [Concepto Anterior]],Conceptos_Contabilidad[#All],5,0),"")</f>
        <v/>
      </c>
      <c r="F1417" t="str">
        <f>+IFERROR(VLOOKUP(Fact_Contabilidad[[#This Row], 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ht="18.75" customHeight="1" x14ac:dyDescent="0.35">
      <c r="A1418" s="103"/>
      <c r="C1418" s="100" t="str">
        <f>IF(OR(Fact_Contabilidad[[#This Row], [Año]]="",Fact_Contabilidad[[#This Row], [Mes]]=""),"",DATE(A1418,MATCH(B1418,{"enero","febrero","marzo","abril","mayo","junio","julio","agosto","septiembre","octubre","noviembre","diciembre"},0)+1,0))</f>
        <v/>
      </c>
      <c r="E1418" t="str">
        <f>+IFERROR(VLOOKUP(Fact_Contabilidad[[#This Row], [Concepto Anterior]],Conceptos_Contabilidad[#All],5,0),"")</f>
        <v/>
      </c>
      <c r="F1418" t="str">
        <f>+IFERROR(VLOOKUP(Fact_Contabilidad[[#This Row], 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ht="18.75" customHeight="1" x14ac:dyDescent="0.35">
      <c r="A1419" s="103"/>
      <c r="C1419" s="100" t="str">
        <f>IF(OR(Fact_Contabilidad[[#This Row], [Año]]="",Fact_Contabilidad[[#This Row], [Mes]]=""),"",DATE(A1419,MATCH(B1419,{"enero","febrero","marzo","abril","mayo","junio","julio","agosto","septiembre","octubre","noviembre","diciembre"},0)+1,0))</f>
        <v/>
      </c>
      <c r="E1419" t="str">
        <f>+IFERROR(VLOOKUP(Fact_Contabilidad[[#This Row], [Concepto Anterior]],Conceptos_Contabilidad[#All],5,0),"")</f>
        <v/>
      </c>
      <c r="F1419" t="str">
        <f>+IFERROR(VLOOKUP(Fact_Contabilidad[[#This Row], 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ht="18.75" customHeight="1" x14ac:dyDescent="0.35">
      <c r="A1420" s="103"/>
      <c r="C1420" s="100" t="str">
        <f>IF(OR(Fact_Contabilidad[[#This Row], [Año]]="",Fact_Contabilidad[[#This Row], [Mes]]=""),"",DATE(A1420,MATCH(B1420,{"enero","febrero","marzo","abril","mayo","junio","julio","agosto","septiembre","octubre","noviembre","diciembre"},0)+1,0))</f>
        <v/>
      </c>
      <c r="E1420" t="str">
        <f>+IFERROR(VLOOKUP(Fact_Contabilidad[[#This Row], [Concepto Anterior]],Conceptos_Contabilidad[#All],5,0),"")</f>
        <v/>
      </c>
      <c r="F1420" t="str">
        <f>+IFERROR(VLOOKUP(Fact_Contabilidad[[#This Row], 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ht="18.75" customHeight="1" x14ac:dyDescent="0.35">
      <c r="A1421" s="103"/>
      <c r="C1421" s="100" t="str">
        <f>IF(OR(Fact_Contabilidad[[#This Row], [Año]]="",Fact_Contabilidad[[#This Row], [Mes]]=""),"",DATE(A1421,MATCH(B1421,{"enero","febrero","marzo","abril","mayo","junio","julio","agosto","septiembre","octubre","noviembre","diciembre"},0)+1,0))</f>
        <v/>
      </c>
      <c r="E1421" t="str">
        <f>+IFERROR(VLOOKUP(Fact_Contabilidad[[#This Row], [Concepto Anterior]],Conceptos_Contabilidad[#All],5,0),"")</f>
        <v/>
      </c>
      <c r="F1421" t="str">
        <f>+IFERROR(VLOOKUP(Fact_Contabilidad[[#This Row], 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ht="18.75" customHeight="1" x14ac:dyDescent="0.35">
      <c r="A1422" s="103"/>
      <c r="C1422" s="100" t="str">
        <f>IF(OR(Fact_Contabilidad[[#This Row], [Año]]="",Fact_Contabilidad[[#This Row], [Mes]]=""),"",DATE(A1422,MATCH(B1422,{"enero","febrero","marzo","abril","mayo","junio","julio","agosto","septiembre","octubre","noviembre","diciembre"},0)+1,0))</f>
        <v/>
      </c>
      <c r="E1422" t="str">
        <f>+IFERROR(VLOOKUP(Fact_Contabilidad[[#This Row], [Concepto Anterior]],Conceptos_Contabilidad[#All],5,0),"")</f>
        <v/>
      </c>
      <c r="F1422" t="str">
        <f>+IFERROR(VLOOKUP(Fact_Contabilidad[[#This Row], 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ht="18.75" customHeight="1" x14ac:dyDescent="0.35">
      <c r="A1423" s="103"/>
      <c r="C1423" s="100" t="str">
        <f>IF(OR(Fact_Contabilidad[[#This Row], [Año]]="",Fact_Contabilidad[[#This Row], [Mes]]=""),"",DATE(A1423,MATCH(B1423,{"enero","febrero","marzo","abril","mayo","junio","julio","agosto","septiembre","octubre","noviembre","diciembre"},0)+1,0))</f>
        <v/>
      </c>
      <c r="E1423" t="str">
        <f>+IFERROR(VLOOKUP(Fact_Contabilidad[[#This Row], [Concepto Anterior]],Conceptos_Contabilidad[#All],5,0),"")</f>
        <v/>
      </c>
      <c r="F1423" t="str">
        <f>+IFERROR(VLOOKUP(Fact_Contabilidad[[#This Row], 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ht="18.75" customHeight="1" x14ac:dyDescent="0.35">
      <c r="A1424" s="103"/>
      <c r="C1424" s="100" t="str">
        <f>IF(OR(Fact_Contabilidad[[#This Row], [Año]]="",Fact_Contabilidad[[#This Row], [Mes]]=""),"",DATE(A1424,MATCH(B1424,{"enero","febrero","marzo","abril","mayo","junio","julio","agosto","septiembre","octubre","noviembre","diciembre"},0)+1,0))</f>
        <v/>
      </c>
      <c r="E1424" t="str">
        <f>+IFERROR(VLOOKUP(Fact_Contabilidad[[#This Row], [Concepto Anterior]],Conceptos_Contabilidad[#All],5,0),"")</f>
        <v/>
      </c>
      <c r="F1424" t="str">
        <f>+IFERROR(VLOOKUP(Fact_Contabilidad[[#This Row], 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ht="18.75" customHeight="1" x14ac:dyDescent="0.35">
      <c r="A1425" s="103"/>
      <c r="C1425" s="100" t="str">
        <f>IF(OR(Fact_Contabilidad[[#This Row], [Año]]="",Fact_Contabilidad[[#This Row], [Mes]]=""),"",DATE(A1425,MATCH(B1425,{"enero","febrero","marzo","abril","mayo","junio","julio","agosto","septiembre","octubre","noviembre","diciembre"},0)+1,0))</f>
        <v/>
      </c>
      <c r="E1425" t="str">
        <f>+IFERROR(VLOOKUP(Fact_Contabilidad[[#This Row], [Concepto Anterior]],Conceptos_Contabilidad[#All],5,0),"")</f>
        <v/>
      </c>
      <c r="F1425" t="str">
        <f>+IFERROR(VLOOKUP(Fact_Contabilidad[[#This Row], 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ht="18.75" customHeight="1" x14ac:dyDescent="0.35">
      <c r="A1426" s="103"/>
      <c r="C1426" s="100" t="str">
        <f>IF(OR(Fact_Contabilidad[[#This Row], [Año]]="",Fact_Contabilidad[[#This Row], [Mes]]=""),"",DATE(A1426,MATCH(B1426,{"enero","febrero","marzo","abril","mayo","junio","julio","agosto","septiembre","octubre","noviembre","diciembre"},0)+1,0))</f>
        <v/>
      </c>
      <c r="E1426" t="str">
        <f>+IFERROR(VLOOKUP(Fact_Contabilidad[[#This Row], [Concepto Anterior]],Conceptos_Contabilidad[#All],5,0),"")</f>
        <v/>
      </c>
      <c r="F1426" t="str">
        <f>+IFERROR(VLOOKUP(Fact_Contabilidad[[#This Row], 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ht="18.75" customHeight="1" x14ac:dyDescent="0.35">
      <c r="A1427" s="103"/>
      <c r="C1427" s="100" t="str">
        <f>IF(OR(Fact_Contabilidad[[#This Row], [Año]]="",Fact_Contabilidad[[#This Row], [Mes]]=""),"",DATE(A1427,MATCH(B1427,{"enero","febrero","marzo","abril","mayo","junio","julio","agosto","septiembre","octubre","noviembre","diciembre"},0)+1,0))</f>
        <v/>
      </c>
      <c r="E1427" t="str">
        <f>+IFERROR(VLOOKUP(Fact_Contabilidad[[#This Row], [Concepto Anterior]],Conceptos_Contabilidad[#All],5,0),"")</f>
        <v/>
      </c>
      <c r="F1427" t="str">
        <f>+IFERROR(VLOOKUP(Fact_Contabilidad[[#This Row], 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ht="18.75" customHeight="1" x14ac:dyDescent="0.35">
      <c r="A1428" s="103"/>
      <c r="C1428" s="100" t="str">
        <f>IF(OR(Fact_Contabilidad[[#This Row], [Año]]="",Fact_Contabilidad[[#This Row], [Mes]]=""),"",DATE(A1428,MATCH(B1428,{"enero","febrero","marzo","abril","mayo","junio","julio","agosto","septiembre","octubre","noviembre","diciembre"},0)+1,0))</f>
        <v/>
      </c>
      <c r="E1428" t="str">
        <f>+IFERROR(VLOOKUP(Fact_Contabilidad[[#This Row], [Concepto Anterior]],Conceptos_Contabilidad[#All],5,0),"")</f>
        <v/>
      </c>
      <c r="F1428" t="str">
        <f>+IFERROR(VLOOKUP(Fact_Contabilidad[[#This Row], 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ht="18.75" customHeight="1" x14ac:dyDescent="0.35">
      <c r="A1429" s="103"/>
      <c r="C1429" s="100" t="str">
        <f>IF(OR(Fact_Contabilidad[[#This Row], [Año]]="",Fact_Contabilidad[[#This Row], [Mes]]=""),"",DATE(A1429,MATCH(B1429,{"enero","febrero","marzo","abril","mayo","junio","julio","agosto","septiembre","octubre","noviembre","diciembre"},0)+1,0))</f>
        <v/>
      </c>
      <c r="E1429" t="str">
        <f>+IFERROR(VLOOKUP(Fact_Contabilidad[[#This Row], [Concepto Anterior]],Conceptos_Contabilidad[#All],5,0),"")</f>
        <v/>
      </c>
      <c r="F1429" t="str">
        <f>+IFERROR(VLOOKUP(Fact_Contabilidad[[#This Row], 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ht="18.75" customHeight="1" x14ac:dyDescent="0.35">
      <c r="A1430" s="103"/>
      <c r="C1430" s="100" t="str">
        <f>IF(OR(Fact_Contabilidad[[#This Row], [Año]]="",Fact_Contabilidad[[#This Row], [Mes]]=""),"",DATE(A1430,MATCH(B1430,{"enero","febrero","marzo","abril","mayo","junio","julio","agosto","septiembre","octubre","noviembre","diciembre"},0)+1,0))</f>
        <v/>
      </c>
      <c r="E1430" t="str">
        <f>+IFERROR(VLOOKUP(Fact_Contabilidad[[#This Row], [Concepto Anterior]],Conceptos_Contabilidad[#All],5,0),"")</f>
        <v/>
      </c>
      <c r="F1430" t="str">
        <f>+IFERROR(VLOOKUP(Fact_Contabilidad[[#This Row], 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ht="18.75" customHeight="1" x14ac:dyDescent="0.35">
      <c r="A1431" s="103"/>
      <c r="C1431" s="100" t="str">
        <f>IF(OR(Fact_Contabilidad[[#This Row], [Año]]="",Fact_Contabilidad[[#This Row], [Mes]]=""),"",DATE(A1431,MATCH(B1431,{"enero","febrero","marzo","abril","mayo","junio","julio","agosto","septiembre","octubre","noviembre","diciembre"},0)+1,0))</f>
        <v/>
      </c>
      <c r="E1431" t="str">
        <f>+IFERROR(VLOOKUP(Fact_Contabilidad[[#This Row], [Concepto Anterior]],Conceptos_Contabilidad[#All],5,0),"")</f>
        <v/>
      </c>
      <c r="F1431" t="str">
        <f>+IFERROR(VLOOKUP(Fact_Contabilidad[[#This Row], 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ht="18.75" customHeight="1" x14ac:dyDescent="0.35">
      <c r="A1432" s="103"/>
      <c r="C1432" s="100" t="str">
        <f>IF(OR(Fact_Contabilidad[[#This Row], [Año]]="",Fact_Contabilidad[[#This Row], [Mes]]=""),"",DATE(A1432,MATCH(B1432,{"enero","febrero","marzo","abril","mayo","junio","julio","agosto","septiembre","octubre","noviembre","diciembre"},0)+1,0))</f>
        <v/>
      </c>
      <c r="E1432" t="str">
        <f>+IFERROR(VLOOKUP(Fact_Contabilidad[[#This Row], [Concepto Anterior]],Conceptos_Contabilidad[#All],5,0),"")</f>
        <v/>
      </c>
      <c r="F1432" t="str">
        <f>+IFERROR(VLOOKUP(Fact_Contabilidad[[#This Row], 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ht="18.75" customHeight="1" x14ac:dyDescent="0.35">
      <c r="A1433" s="103"/>
      <c r="C1433" s="100" t="str">
        <f>IF(OR(Fact_Contabilidad[[#This Row], [Año]]="",Fact_Contabilidad[[#This Row], [Mes]]=""),"",DATE(A1433,MATCH(B1433,{"enero","febrero","marzo","abril","mayo","junio","julio","agosto","septiembre","octubre","noviembre","diciembre"},0)+1,0))</f>
        <v/>
      </c>
      <c r="E1433" t="str">
        <f>+IFERROR(VLOOKUP(Fact_Contabilidad[[#This Row], [Concepto Anterior]],Conceptos_Contabilidad[#All],5,0),"")</f>
        <v/>
      </c>
      <c r="F1433" t="str">
        <f>+IFERROR(VLOOKUP(Fact_Contabilidad[[#This Row], 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ht="18.75" customHeight="1" x14ac:dyDescent="0.35">
      <c r="A1434" s="103"/>
      <c r="C1434" s="100" t="str">
        <f>IF(OR(Fact_Contabilidad[[#This Row], [Año]]="",Fact_Contabilidad[[#This Row], [Mes]]=""),"",DATE(A1434,MATCH(B1434,{"enero","febrero","marzo","abril","mayo","junio","julio","agosto","septiembre","octubre","noviembre","diciembre"},0)+1,0))</f>
        <v/>
      </c>
      <c r="E1434" t="str">
        <f>+IFERROR(VLOOKUP(Fact_Contabilidad[[#This Row], [Concepto Anterior]],Conceptos_Contabilidad[#All],5,0),"")</f>
        <v/>
      </c>
      <c r="F1434" t="str">
        <f>+IFERROR(VLOOKUP(Fact_Contabilidad[[#This Row], 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ht="18.75" customHeight="1" x14ac:dyDescent="0.35">
      <c r="A1435" s="103"/>
      <c r="C1435" s="100" t="str">
        <f>IF(OR(Fact_Contabilidad[[#This Row], [Año]]="",Fact_Contabilidad[[#This Row], [Mes]]=""),"",DATE(A1435,MATCH(B1435,{"enero","febrero","marzo","abril","mayo","junio","julio","agosto","septiembre","octubre","noviembre","diciembre"},0)+1,0))</f>
        <v/>
      </c>
      <c r="E1435" t="str">
        <f>+IFERROR(VLOOKUP(Fact_Contabilidad[[#This Row], [Concepto Anterior]],Conceptos_Contabilidad[#All],5,0),"")</f>
        <v/>
      </c>
      <c r="F1435" t="str">
        <f>+IFERROR(VLOOKUP(Fact_Contabilidad[[#This Row], 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ht="18.75" customHeight="1" x14ac:dyDescent="0.35">
      <c r="A1436" s="103"/>
      <c r="C1436" s="100" t="str">
        <f>IF(OR(Fact_Contabilidad[[#This Row], [Año]]="",Fact_Contabilidad[[#This Row], [Mes]]=""),"",DATE(A1436,MATCH(B1436,{"enero","febrero","marzo","abril","mayo","junio","julio","agosto","septiembre","octubre","noviembre","diciembre"},0)+1,0))</f>
        <v/>
      </c>
      <c r="E1436" t="str">
        <f>+IFERROR(VLOOKUP(Fact_Contabilidad[[#This Row], [Concepto Anterior]],Conceptos_Contabilidad[#All],5,0),"")</f>
        <v/>
      </c>
      <c r="F1436" t="str">
        <f>+IFERROR(VLOOKUP(Fact_Contabilidad[[#This Row], 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ht="18.75" customHeight="1" x14ac:dyDescent="0.35">
      <c r="A1437" s="103"/>
      <c r="C1437" s="100" t="str">
        <f>IF(OR(Fact_Contabilidad[[#This Row], [Año]]="",Fact_Contabilidad[[#This Row], [Mes]]=""),"",DATE(A1437,MATCH(B1437,{"enero","febrero","marzo","abril","mayo","junio","julio","agosto","septiembre","octubre","noviembre","diciembre"},0)+1,0))</f>
        <v/>
      </c>
      <c r="E1437" t="str">
        <f>+IFERROR(VLOOKUP(Fact_Contabilidad[[#This Row], [Concepto Anterior]],Conceptos_Contabilidad[#All],5,0),"")</f>
        <v/>
      </c>
      <c r="F1437" t="str">
        <f>+IFERROR(VLOOKUP(Fact_Contabilidad[[#This Row], 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ht="18.75" customHeight="1" x14ac:dyDescent="0.35">
      <c r="A1438" s="103"/>
      <c r="C1438" s="100" t="str">
        <f>IF(OR(Fact_Contabilidad[[#This Row], [Año]]="",Fact_Contabilidad[[#This Row], [Mes]]=""),"",DATE(A1438,MATCH(B1438,{"enero","febrero","marzo","abril","mayo","junio","julio","agosto","septiembre","octubre","noviembre","diciembre"},0)+1,0))</f>
        <v/>
      </c>
      <c r="E1438" t="str">
        <f>+IFERROR(VLOOKUP(Fact_Contabilidad[[#This Row], [Concepto Anterior]],Conceptos_Contabilidad[#All],5,0),"")</f>
        <v/>
      </c>
      <c r="F1438" t="str">
        <f>+IFERROR(VLOOKUP(Fact_Contabilidad[[#This Row], 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ht="18.75" customHeight="1" x14ac:dyDescent="0.35">
      <c r="A1439" s="103"/>
      <c r="C1439" s="100" t="str">
        <f>IF(OR(Fact_Contabilidad[[#This Row], [Año]]="",Fact_Contabilidad[[#This Row], [Mes]]=""),"",DATE(A1439,MATCH(B1439,{"enero","febrero","marzo","abril","mayo","junio","julio","agosto","septiembre","octubre","noviembre","diciembre"},0)+1,0))</f>
        <v/>
      </c>
      <c r="E1439" t="str">
        <f>+IFERROR(VLOOKUP(Fact_Contabilidad[[#This Row], [Concepto Anterior]],Conceptos_Contabilidad[#All],5,0),"")</f>
        <v/>
      </c>
      <c r="F1439" t="str">
        <f>+IFERROR(VLOOKUP(Fact_Contabilidad[[#This Row], 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ht="18.75" customHeight="1" x14ac:dyDescent="0.35">
      <c r="A1440" s="103"/>
      <c r="C1440" s="100" t="str">
        <f>IF(OR(Fact_Contabilidad[[#This Row], [Año]]="",Fact_Contabilidad[[#This Row], [Mes]]=""),"",DATE(A1440,MATCH(B1440,{"enero","febrero","marzo","abril","mayo","junio","julio","agosto","septiembre","octubre","noviembre","diciembre"},0)+1,0))</f>
        <v/>
      </c>
      <c r="E1440" t="str">
        <f>+IFERROR(VLOOKUP(Fact_Contabilidad[[#This Row], [Concepto Anterior]],Conceptos_Contabilidad[#All],5,0),"")</f>
        <v/>
      </c>
      <c r="F1440" t="str">
        <f>+IFERROR(VLOOKUP(Fact_Contabilidad[[#This Row], 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ht="18.75" customHeight="1" x14ac:dyDescent="0.35">
      <c r="A1441" s="103"/>
      <c r="C1441" s="100" t="str">
        <f>IF(OR(Fact_Contabilidad[[#This Row], [Año]]="",Fact_Contabilidad[[#This Row], [Mes]]=""),"",DATE(A1441,MATCH(B1441,{"enero","febrero","marzo","abril","mayo","junio","julio","agosto","septiembre","octubre","noviembre","diciembre"},0)+1,0))</f>
        <v/>
      </c>
      <c r="E1441" t="str">
        <f>+IFERROR(VLOOKUP(Fact_Contabilidad[[#This Row], [Concepto Anterior]],Conceptos_Contabilidad[#All],5,0),"")</f>
        <v/>
      </c>
      <c r="F1441" t="str">
        <f>+IFERROR(VLOOKUP(Fact_Contabilidad[[#This Row], 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ht="18.75" customHeight="1" x14ac:dyDescent="0.35">
      <c r="A1442" s="103"/>
      <c r="C1442" s="100" t="str">
        <f>IF(OR(Fact_Contabilidad[[#This Row], [Año]]="",Fact_Contabilidad[[#This Row], [Mes]]=""),"",DATE(A1442,MATCH(B1442,{"enero","febrero","marzo","abril","mayo","junio","julio","agosto","septiembre","octubre","noviembre","diciembre"},0)+1,0))</f>
        <v/>
      </c>
      <c r="E1442" t="str">
        <f>+IFERROR(VLOOKUP(Fact_Contabilidad[[#This Row], [Concepto Anterior]],Conceptos_Contabilidad[#All],5,0),"")</f>
        <v/>
      </c>
      <c r="F1442" t="str">
        <f>+IFERROR(VLOOKUP(Fact_Contabilidad[[#This Row], 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ht="18.75" customHeight="1" x14ac:dyDescent="0.35">
      <c r="A1443" s="103"/>
      <c r="C1443" s="100" t="str">
        <f>IF(OR(Fact_Contabilidad[[#This Row], [Año]]="",Fact_Contabilidad[[#This Row], [Mes]]=""),"",DATE(A1443,MATCH(B1443,{"enero","febrero","marzo","abril","mayo","junio","julio","agosto","septiembre","octubre","noviembre","diciembre"},0)+1,0))</f>
        <v/>
      </c>
      <c r="E1443" t="str">
        <f>+IFERROR(VLOOKUP(Fact_Contabilidad[[#This Row], [Concepto Anterior]],Conceptos_Contabilidad[#All],5,0),"")</f>
        <v/>
      </c>
      <c r="F1443" t="str">
        <f>+IFERROR(VLOOKUP(Fact_Contabilidad[[#This Row], 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ht="18.75" customHeight="1" x14ac:dyDescent="0.35">
      <c r="A1444" s="103"/>
      <c r="C1444" s="100" t="str">
        <f>IF(OR(Fact_Contabilidad[[#This Row], [Año]]="",Fact_Contabilidad[[#This Row], [Mes]]=""),"",DATE(A1444,MATCH(B1444,{"enero","febrero","marzo","abril","mayo","junio","julio","agosto","septiembre","octubre","noviembre","diciembre"},0)+1,0))</f>
        <v/>
      </c>
      <c r="E1444" t="str">
        <f>+IFERROR(VLOOKUP(Fact_Contabilidad[[#This Row], [Concepto Anterior]],Conceptos_Contabilidad[#All],5,0),"")</f>
        <v/>
      </c>
      <c r="F1444" t="str">
        <f>+IFERROR(VLOOKUP(Fact_Contabilidad[[#This Row], 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ht="18.75" customHeight="1" x14ac:dyDescent="0.35">
      <c r="A1445" s="103"/>
      <c r="C1445" s="100" t="str">
        <f>IF(OR(Fact_Contabilidad[[#This Row], [Año]]="",Fact_Contabilidad[[#This Row], [Mes]]=""),"",DATE(A1445,MATCH(B1445,{"enero","febrero","marzo","abril","mayo","junio","julio","agosto","septiembre","octubre","noviembre","diciembre"},0)+1,0))</f>
        <v/>
      </c>
      <c r="E1445" t="str">
        <f>+IFERROR(VLOOKUP(Fact_Contabilidad[[#This Row], [Concepto Anterior]],Conceptos_Contabilidad[#All],5,0),"")</f>
        <v/>
      </c>
      <c r="F1445" t="str">
        <f>+IFERROR(VLOOKUP(Fact_Contabilidad[[#This Row], 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ht="18.75" customHeight="1" x14ac:dyDescent="0.35">
      <c r="A1446" s="103"/>
      <c r="C1446" s="100" t="str">
        <f>IF(OR(Fact_Contabilidad[[#This Row], [Año]]="",Fact_Contabilidad[[#This Row], [Mes]]=""),"",DATE(A1446,MATCH(B1446,{"enero","febrero","marzo","abril","mayo","junio","julio","agosto","septiembre","octubre","noviembre","diciembre"},0)+1,0))</f>
        <v/>
      </c>
      <c r="E1446" t="str">
        <f>+IFERROR(VLOOKUP(Fact_Contabilidad[[#This Row], [Concepto Anterior]],Conceptos_Contabilidad[#All],5,0),"")</f>
        <v/>
      </c>
      <c r="F1446" t="str">
        <f>+IFERROR(VLOOKUP(Fact_Contabilidad[[#This Row], 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ht="18.75" customHeight="1" x14ac:dyDescent="0.35">
      <c r="A1447" s="103"/>
      <c r="C1447" s="100" t="str">
        <f>IF(OR(Fact_Contabilidad[[#This Row], [Año]]="",Fact_Contabilidad[[#This Row], [Mes]]=""),"",DATE(A1447,MATCH(B1447,{"enero","febrero","marzo","abril","mayo","junio","julio","agosto","septiembre","octubre","noviembre","diciembre"},0)+1,0))</f>
        <v/>
      </c>
      <c r="E1447" t="str">
        <f>+IFERROR(VLOOKUP(Fact_Contabilidad[[#This Row], [Concepto Anterior]],Conceptos_Contabilidad[#All],5,0),"")</f>
        <v/>
      </c>
      <c r="F1447" t="str">
        <f>+IFERROR(VLOOKUP(Fact_Contabilidad[[#This Row], 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ht="18.75" customHeight="1" x14ac:dyDescent="0.35">
      <c r="A1448" s="103"/>
      <c r="C1448" s="100" t="str">
        <f>IF(OR(Fact_Contabilidad[[#This Row], [Año]]="",Fact_Contabilidad[[#This Row], [Mes]]=""),"",DATE(A1448,MATCH(B1448,{"enero","febrero","marzo","abril","mayo","junio","julio","agosto","septiembre","octubre","noviembre","diciembre"},0)+1,0))</f>
        <v/>
      </c>
      <c r="E1448" t="str">
        <f>+IFERROR(VLOOKUP(Fact_Contabilidad[[#This Row], [Concepto Anterior]],Conceptos_Contabilidad[#All],5,0),"")</f>
        <v/>
      </c>
      <c r="F1448" t="str">
        <f>+IFERROR(VLOOKUP(Fact_Contabilidad[[#This Row], 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ht="18.75" customHeight="1" x14ac:dyDescent="0.35">
      <c r="A1449" s="103"/>
      <c r="C1449" s="100" t="str">
        <f>IF(OR(Fact_Contabilidad[[#This Row], [Año]]="",Fact_Contabilidad[[#This Row], [Mes]]=""),"",DATE(A1449,MATCH(B1449,{"enero","febrero","marzo","abril","mayo","junio","julio","agosto","septiembre","octubre","noviembre","diciembre"},0)+1,0))</f>
        <v/>
      </c>
      <c r="E1449" t="str">
        <f>+IFERROR(VLOOKUP(Fact_Contabilidad[[#This Row], [Concepto Anterior]],Conceptos_Contabilidad[#All],5,0),"")</f>
        <v/>
      </c>
      <c r="F1449" t="str">
        <f>+IFERROR(VLOOKUP(Fact_Contabilidad[[#This Row], 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ht="18.75" customHeight="1" x14ac:dyDescent="0.35">
      <c r="A1450" s="103"/>
      <c r="C1450" s="100" t="str">
        <f>IF(OR(Fact_Contabilidad[[#This Row], [Año]]="",Fact_Contabilidad[[#This Row], [Mes]]=""),"",DATE(A1450,MATCH(B1450,{"enero","febrero","marzo","abril","mayo","junio","julio","agosto","septiembre","octubre","noviembre","diciembre"},0)+1,0))</f>
        <v/>
      </c>
      <c r="E1450" t="str">
        <f>+IFERROR(VLOOKUP(Fact_Contabilidad[[#This Row], [Concepto Anterior]],Conceptos_Contabilidad[#All],5,0),"")</f>
        <v/>
      </c>
      <c r="F1450" t="str">
        <f>+IFERROR(VLOOKUP(Fact_Contabilidad[[#This Row], 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ht="18.75" customHeight="1" x14ac:dyDescent="0.35">
      <c r="A1451" s="103"/>
      <c r="C1451" s="100" t="str">
        <f>IF(OR(Fact_Contabilidad[[#This Row], [Año]]="",Fact_Contabilidad[[#This Row], [Mes]]=""),"",DATE(A1451,MATCH(B1451,{"enero","febrero","marzo","abril","mayo","junio","julio","agosto","septiembre","octubre","noviembre","diciembre"},0)+1,0))</f>
        <v/>
      </c>
      <c r="E1451" t="str">
        <f>+IFERROR(VLOOKUP(Fact_Contabilidad[[#This Row], [Concepto Anterior]],Conceptos_Contabilidad[#All],5,0),"")</f>
        <v/>
      </c>
      <c r="F1451" t="str">
        <f>+IFERROR(VLOOKUP(Fact_Contabilidad[[#This Row], 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ht="18.75" customHeight="1" x14ac:dyDescent="0.35">
      <c r="A1452" s="103"/>
      <c r="C1452" s="100" t="str">
        <f>IF(OR(Fact_Contabilidad[[#This Row], [Año]]="",Fact_Contabilidad[[#This Row], [Mes]]=""),"",DATE(A1452,MATCH(B1452,{"enero","febrero","marzo","abril","mayo","junio","julio","agosto","septiembre","octubre","noviembre","diciembre"},0)+1,0))</f>
        <v/>
      </c>
      <c r="E1452" t="str">
        <f>+IFERROR(VLOOKUP(Fact_Contabilidad[[#This Row], [Concepto Anterior]],Conceptos_Contabilidad[#All],5,0),"")</f>
        <v/>
      </c>
      <c r="F1452" t="str">
        <f>+IFERROR(VLOOKUP(Fact_Contabilidad[[#This Row], 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ht="18.75" customHeight="1" x14ac:dyDescent="0.35">
      <c r="A1453" s="103"/>
      <c r="C1453" s="100" t="str">
        <f>IF(OR(Fact_Contabilidad[[#This Row], [Año]]="",Fact_Contabilidad[[#This Row], [Mes]]=""),"",DATE(A1453,MATCH(B1453,{"enero","febrero","marzo","abril","mayo","junio","julio","agosto","septiembre","octubre","noviembre","diciembre"},0)+1,0))</f>
        <v/>
      </c>
      <c r="E1453" t="str">
        <f>+IFERROR(VLOOKUP(Fact_Contabilidad[[#This Row], [Concepto Anterior]],Conceptos_Contabilidad[#All],5,0),"")</f>
        <v/>
      </c>
      <c r="F1453" t="str">
        <f>+IFERROR(VLOOKUP(Fact_Contabilidad[[#This Row], 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ht="18.75" customHeight="1" x14ac:dyDescent="0.35">
      <c r="A1454" s="103"/>
      <c r="C1454" s="100" t="str">
        <f>IF(OR(Fact_Contabilidad[[#This Row], [Año]]="",Fact_Contabilidad[[#This Row], [Mes]]=""),"",DATE(A1454,MATCH(B1454,{"enero","febrero","marzo","abril","mayo","junio","julio","agosto","septiembre","octubre","noviembre","diciembre"},0)+1,0))</f>
        <v/>
      </c>
      <c r="E1454" t="str">
        <f>+IFERROR(VLOOKUP(Fact_Contabilidad[[#This Row], [Concepto Anterior]],Conceptos_Contabilidad[#All],5,0),"")</f>
        <v/>
      </c>
      <c r="F1454" t="str">
        <f>+IFERROR(VLOOKUP(Fact_Contabilidad[[#This Row], 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ht="18.75" customHeight="1" x14ac:dyDescent="0.35">
      <c r="A1455" s="103"/>
      <c r="C1455" s="100" t="str">
        <f>IF(OR(Fact_Contabilidad[[#This Row], [Año]]="",Fact_Contabilidad[[#This Row], [Mes]]=""),"",DATE(A1455,MATCH(B1455,{"enero","febrero","marzo","abril","mayo","junio","julio","agosto","septiembre","octubre","noviembre","diciembre"},0)+1,0))</f>
        <v/>
      </c>
      <c r="E1455" t="str">
        <f>+IFERROR(VLOOKUP(Fact_Contabilidad[[#This Row], [Concepto Anterior]],Conceptos_Contabilidad[#All],5,0),"")</f>
        <v/>
      </c>
      <c r="F1455" t="str">
        <f>+IFERROR(VLOOKUP(Fact_Contabilidad[[#This Row], 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ht="18.75" customHeight="1" x14ac:dyDescent="0.35">
      <c r="A1456" s="103"/>
      <c r="C1456" s="100" t="str">
        <f>IF(OR(Fact_Contabilidad[[#This Row], [Año]]="",Fact_Contabilidad[[#This Row], [Mes]]=""),"",DATE(A1456,MATCH(B1456,{"enero","febrero","marzo","abril","mayo","junio","julio","agosto","septiembre","octubre","noviembre","diciembre"},0)+1,0))</f>
        <v/>
      </c>
      <c r="E1456" t="str">
        <f>+IFERROR(VLOOKUP(Fact_Contabilidad[[#This Row], [Concepto Anterior]],Conceptos_Contabilidad[#All],5,0),"")</f>
        <v/>
      </c>
      <c r="F1456" t="str">
        <f>+IFERROR(VLOOKUP(Fact_Contabilidad[[#This Row], 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ht="18.75" customHeight="1" x14ac:dyDescent="0.35">
      <c r="A1457" s="103"/>
      <c r="C1457" s="100" t="str">
        <f>IF(OR(Fact_Contabilidad[[#This Row], [Año]]="",Fact_Contabilidad[[#This Row], [Mes]]=""),"",DATE(A1457,MATCH(B1457,{"enero","febrero","marzo","abril","mayo","junio","julio","agosto","septiembre","octubre","noviembre","diciembre"},0)+1,0))</f>
        <v/>
      </c>
      <c r="E1457" t="str">
        <f>+IFERROR(VLOOKUP(Fact_Contabilidad[[#This Row], [Concepto Anterior]],Conceptos_Contabilidad[#All],5,0),"")</f>
        <v/>
      </c>
      <c r="F1457" t="str">
        <f>+IFERROR(VLOOKUP(Fact_Contabilidad[[#This Row], 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ht="18.75" customHeight="1" x14ac:dyDescent="0.35">
      <c r="A1458" s="103"/>
      <c r="C1458" s="100" t="str">
        <f>IF(OR(Fact_Contabilidad[[#This Row], [Año]]="",Fact_Contabilidad[[#This Row], [Mes]]=""),"",DATE(A1458,MATCH(B1458,{"enero","febrero","marzo","abril","mayo","junio","julio","agosto","septiembre","octubre","noviembre","diciembre"},0)+1,0))</f>
        <v/>
      </c>
      <c r="E1458" t="str">
        <f>+IFERROR(VLOOKUP(Fact_Contabilidad[[#This Row], [Concepto Anterior]],Conceptos_Contabilidad[#All],5,0),"")</f>
        <v/>
      </c>
      <c r="F1458" t="str">
        <f>+IFERROR(VLOOKUP(Fact_Contabilidad[[#This Row], 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ht="18.75" customHeight="1" x14ac:dyDescent="0.35">
      <c r="A1459" s="103"/>
      <c r="C1459" s="100" t="str">
        <f>IF(OR(Fact_Contabilidad[[#This Row], [Año]]="",Fact_Contabilidad[[#This Row], [Mes]]=""),"",DATE(A1459,MATCH(B1459,{"enero","febrero","marzo","abril","mayo","junio","julio","agosto","septiembre","octubre","noviembre","diciembre"},0)+1,0))</f>
        <v/>
      </c>
      <c r="E1459" t="str">
        <f>+IFERROR(VLOOKUP(Fact_Contabilidad[[#This Row], [Concepto Anterior]],Conceptos_Contabilidad[#All],5,0),"")</f>
        <v/>
      </c>
      <c r="F1459" t="str">
        <f>+IFERROR(VLOOKUP(Fact_Contabilidad[[#This Row], 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ht="18.75" customHeight="1" x14ac:dyDescent="0.35">
      <c r="A1460" s="103"/>
      <c r="C1460" s="100" t="str">
        <f>IF(OR(Fact_Contabilidad[[#This Row], [Año]]="",Fact_Contabilidad[[#This Row], [Mes]]=""),"",DATE(A1460,MATCH(B1460,{"enero","febrero","marzo","abril","mayo","junio","julio","agosto","septiembre","octubre","noviembre","diciembre"},0)+1,0))</f>
        <v/>
      </c>
      <c r="E1460" t="str">
        <f>+IFERROR(VLOOKUP(Fact_Contabilidad[[#This Row], [Concepto Anterior]],Conceptos_Contabilidad[#All],5,0),"")</f>
        <v/>
      </c>
      <c r="F1460" t="str">
        <f>+IFERROR(VLOOKUP(Fact_Contabilidad[[#This Row], 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ht="18.75" customHeight="1" x14ac:dyDescent="0.35">
      <c r="A1461" s="103"/>
      <c r="C1461" s="100" t="str">
        <f>IF(OR(Fact_Contabilidad[[#This Row], [Año]]="",Fact_Contabilidad[[#This Row], [Mes]]=""),"",DATE(A1461,MATCH(B1461,{"enero","febrero","marzo","abril","mayo","junio","julio","agosto","septiembre","octubre","noviembre","diciembre"},0)+1,0))</f>
        <v/>
      </c>
      <c r="E1461" t="str">
        <f>+IFERROR(VLOOKUP(Fact_Contabilidad[[#This Row], [Concepto Anterior]],Conceptos_Contabilidad[#All],5,0),"")</f>
        <v/>
      </c>
      <c r="F1461" t="str">
        <f>+IFERROR(VLOOKUP(Fact_Contabilidad[[#This Row], 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ht="18.75" customHeight="1" x14ac:dyDescent="0.35">
      <c r="A1462" s="103"/>
      <c r="C1462" s="100" t="str">
        <f>IF(OR(Fact_Contabilidad[[#This Row], [Año]]="",Fact_Contabilidad[[#This Row], [Mes]]=""),"",DATE(A1462,MATCH(B1462,{"enero","febrero","marzo","abril","mayo","junio","julio","agosto","septiembre","octubre","noviembre","diciembre"},0)+1,0))</f>
        <v/>
      </c>
      <c r="E1462" t="str">
        <f>+IFERROR(VLOOKUP(Fact_Contabilidad[[#This Row], [Concepto Anterior]],Conceptos_Contabilidad[#All],5,0),"")</f>
        <v/>
      </c>
      <c r="F1462" t="str">
        <f>+IFERROR(VLOOKUP(Fact_Contabilidad[[#This Row], 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ht="18.75" customHeight="1" x14ac:dyDescent="0.35">
      <c r="A1463" s="103"/>
      <c r="C1463" s="100" t="str">
        <f>IF(OR(Fact_Contabilidad[[#This Row], [Año]]="",Fact_Contabilidad[[#This Row], [Mes]]=""),"",DATE(A1463,MATCH(B1463,{"enero","febrero","marzo","abril","mayo","junio","julio","agosto","septiembre","octubre","noviembre","diciembre"},0)+1,0))</f>
        <v/>
      </c>
      <c r="E1463" t="str">
        <f>+IFERROR(VLOOKUP(Fact_Contabilidad[[#This Row], [Concepto Anterior]],Conceptos_Contabilidad[#All],5,0),"")</f>
        <v/>
      </c>
      <c r="F1463" t="str">
        <f>+IFERROR(VLOOKUP(Fact_Contabilidad[[#This Row], 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ht="18.75" customHeight="1" x14ac:dyDescent="0.35">
      <c r="A1464" s="103"/>
      <c r="C1464" s="100" t="str">
        <f>IF(OR(Fact_Contabilidad[[#This Row], [Año]]="",Fact_Contabilidad[[#This Row], [Mes]]=""),"",DATE(A1464,MATCH(B1464,{"enero","febrero","marzo","abril","mayo","junio","julio","agosto","septiembre","octubre","noviembre","diciembre"},0)+1,0))</f>
        <v/>
      </c>
      <c r="E1464" t="str">
        <f>+IFERROR(VLOOKUP(Fact_Contabilidad[[#This Row], [Concepto Anterior]],Conceptos_Contabilidad[#All],5,0),"")</f>
        <v/>
      </c>
      <c r="F1464" t="str">
        <f>+IFERROR(VLOOKUP(Fact_Contabilidad[[#This Row], 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ht="18.75" customHeight="1" x14ac:dyDescent="0.35">
      <c r="A1465" s="103"/>
      <c r="C1465" s="100" t="str">
        <f>IF(OR(Fact_Contabilidad[[#This Row], [Año]]="",Fact_Contabilidad[[#This Row], [Mes]]=""),"",DATE(A1465,MATCH(B1465,{"enero","febrero","marzo","abril","mayo","junio","julio","agosto","septiembre","octubre","noviembre","diciembre"},0)+1,0))</f>
        <v/>
      </c>
      <c r="E1465" t="str">
        <f>+IFERROR(VLOOKUP(Fact_Contabilidad[[#This Row], [Concepto Anterior]],Conceptos_Contabilidad[#All],5,0),"")</f>
        <v/>
      </c>
      <c r="F1465" t="str">
        <f>+IFERROR(VLOOKUP(Fact_Contabilidad[[#This Row], 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ht="18.75" customHeight="1" x14ac:dyDescent="0.35">
      <c r="A1466" s="103"/>
      <c r="C1466" s="100" t="str">
        <f>IF(OR(Fact_Contabilidad[[#This Row], [Año]]="",Fact_Contabilidad[[#This Row], [Mes]]=""),"",DATE(A1466,MATCH(B1466,{"enero","febrero","marzo","abril","mayo","junio","julio","agosto","septiembre","octubre","noviembre","diciembre"},0)+1,0))</f>
        <v/>
      </c>
      <c r="E1466" t="str">
        <f>+IFERROR(VLOOKUP(Fact_Contabilidad[[#This Row], [Concepto Anterior]],Conceptos_Contabilidad[#All],5,0),"")</f>
        <v/>
      </c>
      <c r="F1466" t="str">
        <f>+IFERROR(VLOOKUP(Fact_Contabilidad[[#This Row], 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ht="18.75" customHeight="1" x14ac:dyDescent="0.35">
      <c r="A1467" s="103"/>
      <c r="C1467" s="100" t="str">
        <f>IF(OR(Fact_Contabilidad[[#This Row], [Año]]="",Fact_Contabilidad[[#This Row], [Mes]]=""),"",DATE(A1467,MATCH(B1467,{"enero","febrero","marzo","abril","mayo","junio","julio","agosto","septiembre","octubre","noviembre","diciembre"},0)+1,0))</f>
        <v/>
      </c>
      <c r="E1467" t="str">
        <f>+IFERROR(VLOOKUP(Fact_Contabilidad[[#This Row], [Concepto Anterior]],Conceptos_Contabilidad[#All],5,0),"")</f>
        <v/>
      </c>
      <c r="F1467" t="str">
        <f>+IFERROR(VLOOKUP(Fact_Contabilidad[[#This Row], 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ht="18.75" customHeight="1" x14ac:dyDescent="0.35">
      <c r="A1468" s="103"/>
      <c r="C1468" s="100" t="str">
        <f>IF(OR(Fact_Contabilidad[[#This Row], [Año]]="",Fact_Contabilidad[[#This Row], [Mes]]=""),"",DATE(A1468,MATCH(B1468,{"enero","febrero","marzo","abril","mayo","junio","julio","agosto","septiembre","octubre","noviembre","diciembre"},0)+1,0))</f>
        <v/>
      </c>
      <c r="E1468" t="str">
        <f>+IFERROR(VLOOKUP(Fact_Contabilidad[[#This Row], [Concepto Anterior]],Conceptos_Contabilidad[#All],5,0),"")</f>
        <v/>
      </c>
      <c r="F1468" t="str">
        <f>+IFERROR(VLOOKUP(Fact_Contabilidad[[#This Row], 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ht="18.75" customHeight="1" x14ac:dyDescent="0.35">
      <c r="A1469" s="103"/>
      <c r="C1469" s="100" t="str">
        <f>IF(OR(Fact_Contabilidad[[#This Row], [Año]]="",Fact_Contabilidad[[#This Row], [Mes]]=""),"",DATE(A1469,MATCH(B1469,{"enero","febrero","marzo","abril","mayo","junio","julio","agosto","septiembre","octubre","noviembre","diciembre"},0)+1,0))</f>
        <v/>
      </c>
      <c r="E1469" t="str">
        <f>+IFERROR(VLOOKUP(Fact_Contabilidad[[#This Row], [Concepto Anterior]],Conceptos_Contabilidad[#All],5,0),"")</f>
        <v/>
      </c>
      <c r="F1469" t="str">
        <f>+IFERROR(VLOOKUP(Fact_Contabilidad[[#This Row], 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ht="18.75" customHeight="1" x14ac:dyDescent="0.35">
      <c r="A1470" s="103"/>
      <c r="C1470" s="100" t="str">
        <f>IF(OR(Fact_Contabilidad[[#This Row], [Año]]="",Fact_Contabilidad[[#This Row], [Mes]]=""),"",DATE(A1470,MATCH(B1470,{"enero","febrero","marzo","abril","mayo","junio","julio","agosto","septiembre","octubre","noviembre","diciembre"},0)+1,0))</f>
        <v/>
      </c>
      <c r="E1470" t="str">
        <f>+IFERROR(VLOOKUP(Fact_Contabilidad[[#This Row], [Concepto Anterior]],Conceptos_Contabilidad[#All],5,0),"")</f>
        <v/>
      </c>
      <c r="F1470" t="str">
        <f>+IFERROR(VLOOKUP(Fact_Contabilidad[[#This Row], 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ht="18.75" customHeight="1" x14ac:dyDescent="0.35">
      <c r="A1471" s="103"/>
      <c r="C1471" s="100" t="str">
        <f>IF(OR(Fact_Contabilidad[[#This Row], [Año]]="",Fact_Contabilidad[[#This Row], [Mes]]=""),"",DATE(A1471,MATCH(B1471,{"enero","febrero","marzo","abril","mayo","junio","julio","agosto","septiembre","octubre","noviembre","diciembre"},0)+1,0))</f>
        <v/>
      </c>
      <c r="E1471" t="str">
        <f>+IFERROR(VLOOKUP(Fact_Contabilidad[[#This Row], [Concepto Anterior]],Conceptos_Contabilidad[#All],5,0),"")</f>
        <v/>
      </c>
      <c r="F1471" t="str">
        <f>+IFERROR(VLOOKUP(Fact_Contabilidad[[#This Row], 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ht="18.75" customHeight="1" x14ac:dyDescent="0.35">
      <c r="A1472" s="103"/>
      <c r="C1472" s="100" t="str">
        <f>IF(OR(Fact_Contabilidad[[#This Row], [Año]]="",Fact_Contabilidad[[#This Row], [Mes]]=""),"",DATE(A1472,MATCH(B1472,{"enero","febrero","marzo","abril","mayo","junio","julio","agosto","septiembre","octubre","noviembre","diciembre"},0)+1,0))</f>
        <v/>
      </c>
      <c r="E1472" t="str">
        <f>+IFERROR(VLOOKUP(Fact_Contabilidad[[#This Row], [Concepto Anterior]],Conceptos_Contabilidad[#All],5,0),"")</f>
        <v/>
      </c>
      <c r="F1472" t="str">
        <f>+IFERROR(VLOOKUP(Fact_Contabilidad[[#This Row], 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ht="18.75" customHeight="1" x14ac:dyDescent="0.35">
      <c r="A1473" s="103"/>
      <c r="C1473" s="100" t="str">
        <f>IF(OR(Fact_Contabilidad[[#This Row], [Año]]="",Fact_Contabilidad[[#This Row], [Mes]]=""),"",DATE(A1473,MATCH(B1473,{"enero","febrero","marzo","abril","mayo","junio","julio","agosto","septiembre","octubre","noviembre","diciembre"},0)+1,0))</f>
        <v/>
      </c>
      <c r="E1473" t="str">
        <f>+IFERROR(VLOOKUP(Fact_Contabilidad[[#This Row], [Concepto Anterior]],Conceptos_Contabilidad[#All],5,0),"")</f>
        <v/>
      </c>
      <c r="F1473" t="str">
        <f>+IFERROR(VLOOKUP(Fact_Contabilidad[[#This Row], 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ht="18.75" customHeight="1" x14ac:dyDescent="0.35">
      <c r="A1474" s="103"/>
      <c r="C1474" s="100" t="str">
        <f>IF(OR(Fact_Contabilidad[[#This Row], [Año]]="",Fact_Contabilidad[[#This Row], [Mes]]=""),"",DATE(A1474,MATCH(B1474,{"enero","febrero","marzo","abril","mayo","junio","julio","agosto","septiembre","octubre","noviembre","diciembre"},0)+1,0))</f>
        <v/>
      </c>
      <c r="E1474" t="str">
        <f>+IFERROR(VLOOKUP(Fact_Contabilidad[[#This Row], [Concepto Anterior]],Conceptos_Contabilidad[#All],5,0),"")</f>
        <v/>
      </c>
      <c r="F1474" t="str">
        <f>+IFERROR(VLOOKUP(Fact_Contabilidad[[#This Row], 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ht="18.75" customHeight="1" x14ac:dyDescent="0.35">
      <c r="A1475" s="103"/>
      <c r="C1475" s="100" t="str">
        <f>IF(OR(Fact_Contabilidad[[#This Row], [Año]]="",Fact_Contabilidad[[#This Row], [Mes]]=""),"",DATE(A1475,MATCH(B1475,{"enero","febrero","marzo","abril","mayo","junio","julio","agosto","septiembre","octubre","noviembre","diciembre"},0)+1,0))</f>
        <v/>
      </c>
      <c r="E1475" t="str">
        <f>+IFERROR(VLOOKUP(Fact_Contabilidad[[#This Row], [Concepto Anterior]],Conceptos_Contabilidad[#All],5,0),"")</f>
        <v/>
      </c>
      <c r="F1475" t="str">
        <f>+IFERROR(VLOOKUP(Fact_Contabilidad[[#This Row], 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ht="18.75" customHeight="1" x14ac:dyDescent="0.35">
      <c r="A1476" s="103"/>
      <c r="C1476" s="100" t="str">
        <f>IF(OR(Fact_Contabilidad[[#This Row], [Año]]="",Fact_Contabilidad[[#This Row], [Mes]]=""),"",DATE(A1476,MATCH(B1476,{"enero","febrero","marzo","abril","mayo","junio","julio","agosto","septiembre","octubre","noviembre","diciembre"},0)+1,0))</f>
        <v/>
      </c>
      <c r="E1476" t="str">
        <f>+IFERROR(VLOOKUP(Fact_Contabilidad[[#This Row], [Concepto Anterior]],Conceptos_Contabilidad[#All],5,0),"")</f>
        <v/>
      </c>
      <c r="F1476" t="str">
        <f>+IFERROR(VLOOKUP(Fact_Contabilidad[[#This Row], 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ht="18.75" customHeight="1" x14ac:dyDescent="0.35">
      <c r="A1477" s="103"/>
      <c r="C1477" s="100" t="str">
        <f>IF(OR(Fact_Contabilidad[[#This Row], [Año]]="",Fact_Contabilidad[[#This Row], [Mes]]=""),"",DATE(A1477,MATCH(B1477,{"enero","febrero","marzo","abril","mayo","junio","julio","agosto","septiembre","octubre","noviembre","diciembre"},0)+1,0))</f>
        <v/>
      </c>
      <c r="E1477" t="str">
        <f>+IFERROR(VLOOKUP(Fact_Contabilidad[[#This Row], [Concepto Anterior]],Conceptos_Contabilidad[#All],5,0),"")</f>
        <v/>
      </c>
      <c r="F1477" t="str">
        <f>+IFERROR(VLOOKUP(Fact_Contabilidad[[#This Row], 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ht="18.75" customHeight="1" x14ac:dyDescent="0.35">
      <c r="A1478" s="103"/>
      <c r="C1478" s="100" t="str">
        <f>IF(OR(Fact_Contabilidad[[#This Row], [Año]]="",Fact_Contabilidad[[#This Row], [Mes]]=""),"",DATE(A1478,MATCH(B1478,{"enero","febrero","marzo","abril","mayo","junio","julio","agosto","septiembre","octubre","noviembre","diciembre"},0)+1,0))</f>
        <v/>
      </c>
      <c r="E1478" t="str">
        <f>+IFERROR(VLOOKUP(Fact_Contabilidad[[#This Row], [Concepto Anterior]],Conceptos_Contabilidad[#All],5,0),"")</f>
        <v/>
      </c>
      <c r="F1478" t="str">
        <f>+IFERROR(VLOOKUP(Fact_Contabilidad[[#This Row], 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ht="18.75" customHeight="1" x14ac:dyDescent="0.35">
      <c r="A1479" s="103"/>
      <c r="C1479" s="100" t="str">
        <f>IF(OR(Fact_Contabilidad[[#This Row], [Año]]="",Fact_Contabilidad[[#This Row], [Mes]]=""),"",DATE(A1479,MATCH(B1479,{"enero","febrero","marzo","abril","mayo","junio","julio","agosto","septiembre","octubre","noviembre","diciembre"},0)+1,0))</f>
        <v/>
      </c>
      <c r="E1479" t="str">
        <f>+IFERROR(VLOOKUP(Fact_Contabilidad[[#This Row], [Concepto Anterior]],Conceptos_Contabilidad[#All],5,0),"")</f>
        <v/>
      </c>
      <c r="F1479" t="str">
        <f>+IFERROR(VLOOKUP(Fact_Contabilidad[[#This Row], 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ht="18.75" customHeight="1" x14ac:dyDescent="0.35">
      <c r="A1480" s="103"/>
      <c r="C1480" s="100" t="str">
        <f>IF(OR(Fact_Contabilidad[[#This Row], [Año]]="",Fact_Contabilidad[[#This Row], [Mes]]=""),"",DATE(A1480,MATCH(B1480,{"enero","febrero","marzo","abril","mayo","junio","julio","agosto","septiembre","octubre","noviembre","diciembre"},0)+1,0))</f>
        <v/>
      </c>
      <c r="E1480" t="str">
        <f>+IFERROR(VLOOKUP(Fact_Contabilidad[[#This Row], [Concepto Anterior]],Conceptos_Contabilidad[#All],5,0),"")</f>
        <v/>
      </c>
      <c r="F1480" t="str">
        <f>+IFERROR(VLOOKUP(Fact_Contabilidad[[#This Row], 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ht="18.75" customHeight="1" x14ac:dyDescent="0.35">
      <c r="A1481" s="103"/>
      <c r="C1481" s="100" t="str">
        <f>IF(OR(Fact_Contabilidad[[#This Row], [Año]]="",Fact_Contabilidad[[#This Row], [Mes]]=""),"",DATE(A1481,MATCH(B1481,{"enero","febrero","marzo","abril","mayo","junio","julio","agosto","septiembre","octubre","noviembre","diciembre"},0)+1,0))</f>
        <v/>
      </c>
      <c r="E1481" t="str">
        <f>+IFERROR(VLOOKUP(Fact_Contabilidad[[#This Row], [Concepto Anterior]],Conceptos_Contabilidad[#All],5,0),"")</f>
        <v/>
      </c>
      <c r="F1481" t="str">
        <f>+IFERROR(VLOOKUP(Fact_Contabilidad[[#This Row], 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ht="18.75" customHeight="1" x14ac:dyDescent="0.35">
      <c r="A1482" s="103"/>
      <c r="C1482" s="100" t="str">
        <f>IF(OR(Fact_Contabilidad[[#This Row], [Año]]="",Fact_Contabilidad[[#This Row], [Mes]]=""),"",DATE(A1482,MATCH(B1482,{"enero","febrero","marzo","abril","mayo","junio","julio","agosto","septiembre","octubre","noviembre","diciembre"},0)+1,0))</f>
        <v/>
      </c>
      <c r="E1482" t="str">
        <f>+IFERROR(VLOOKUP(Fact_Contabilidad[[#This Row], [Concepto Anterior]],Conceptos_Contabilidad[#All],5,0),"")</f>
        <v/>
      </c>
      <c r="F1482" t="str">
        <f>+IFERROR(VLOOKUP(Fact_Contabilidad[[#This Row], 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ht="18.75" customHeight="1" x14ac:dyDescent="0.35">
      <c r="A1483" s="103"/>
      <c r="C1483" s="100" t="str">
        <f>IF(OR(Fact_Contabilidad[[#This Row], [Año]]="",Fact_Contabilidad[[#This Row], [Mes]]=""),"",DATE(A1483,MATCH(B1483,{"enero","febrero","marzo","abril","mayo","junio","julio","agosto","septiembre","octubre","noviembre","diciembre"},0)+1,0))</f>
        <v/>
      </c>
      <c r="E1483" t="str">
        <f>+IFERROR(VLOOKUP(Fact_Contabilidad[[#This Row], [Concepto Anterior]],Conceptos_Contabilidad[#All],5,0),"")</f>
        <v/>
      </c>
      <c r="F1483" t="str">
        <f>+IFERROR(VLOOKUP(Fact_Contabilidad[[#This Row], 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ht="18.75" customHeight="1" x14ac:dyDescent="0.35">
      <c r="A1484" s="103"/>
      <c r="C1484" s="100" t="str">
        <f>IF(OR(Fact_Contabilidad[[#This Row], [Año]]="",Fact_Contabilidad[[#This Row], [Mes]]=""),"",DATE(A1484,MATCH(B1484,{"enero","febrero","marzo","abril","mayo","junio","julio","agosto","septiembre","octubre","noviembre","diciembre"},0)+1,0))</f>
        <v/>
      </c>
      <c r="E1484" t="str">
        <f>+IFERROR(VLOOKUP(Fact_Contabilidad[[#This Row], [Concepto Anterior]],Conceptos_Contabilidad[#All],5,0),"")</f>
        <v/>
      </c>
      <c r="F1484" t="str">
        <f>+IFERROR(VLOOKUP(Fact_Contabilidad[[#This Row], 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ht="18.75" customHeight="1" x14ac:dyDescent="0.35">
      <c r="A1485" s="103"/>
      <c r="C1485" s="100" t="str">
        <f>IF(OR(Fact_Contabilidad[[#This Row], [Año]]="",Fact_Contabilidad[[#This Row], [Mes]]=""),"",DATE(A1485,MATCH(B1485,{"enero","febrero","marzo","abril","mayo","junio","julio","agosto","septiembre","octubre","noviembre","diciembre"},0)+1,0))</f>
        <v/>
      </c>
      <c r="E1485" t="str">
        <f>+IFERROR(VLOOKUP(Fact_Contabilidad[[#This Row], [Concepto Anterior]],Conceptos_Contabilidad[#All],5,0),"")</f>
        <v/>
      </c>
      <c r="F1485" t="str">
        <f>+IFERROR(VLOOKUP(Fact_Contabilidad[[#This Row], 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ht="18.75" customHeight="1" x14ac:dyDescent="0.35">
      <c r="A1486" s="103"/>
      <c r="C1486" s="100" t="str">
        <f>IF(OR(Fact_Contabilidad[[#This Row], [Año]]="",Fact_Contabilidad[[#This Row], [Mes]]=""),"",DATE(A1486,MATCH(B1486,{"enero","febrero","marzo","abril","mayo","junio","julio","agosto","septiembre","octubre","noviembre","diciembre"},0)+1,0))</f>
        <v/>
      </c>
      <c r="E1486" t="str">
        <f>+IFERROR(VLOOKUP(Fact_Contabilidad[[#This Row], [Concepto Anterior]],Conceptos_Contabilidad[#All],5,0),"")</f>
        <v/>
      </c>
      <c r="F1486" t="str">
        <f>+IFERROR(VLOOKUP(Fact_Contabilidad[[#This Row], 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ht="18.75" customHeight="1" x14ac:dyDescent="0.35">
      <c r="A1487" s="103"/>
      <c r="C1487" s="100" t="str">
        <f>IF(OR(Fact_Contabilidad[[#This Row], [Año]]="",Fact_Contabilidad[[#This Row], [Mes]]=""),"",DATE(A1487,MATCH(B1487,{"enero","febrero","marzo","abril","mayo","junio","julio","agosto","septiembre","octubre","noviembre","diciembre"},0)+1,0))</f>
        <v/>
      </c>
      <c r="E1487" t="str">
        <f>+IFERROR(VLOOKUP(Fact_Contabilidad[[#This Row], [Concepto Anterior]],Conceptos_Contabilidad[#All],5,0),"")</f>
        <v/>
      </c>
      <c r="F1487" t="str">
        <f>+IFERROR(VLOOKUP(Fact_Contabilidad[[#This Row], 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ht="18.75" customHeight="1" x14ac:dyDescent="0.35">
      <c r="A1488" s="103"/>
      <c r="C1488" s="100" t="str">
        <f>IF(OR(Fact_Contabilidad[[#This Row], [Año]]="",Fact_Contabilidad[[#This Row], [Mes]]=""),"",DATE(A1488,MATCH(B1488,{"enero","febrero","marzo","abril","mayo","junio","julio","agosto","septiembre","octubre","noviembre","diciembre"},0)+1,0))</f>
        <v/>
      </c>
      <c r="E1488" t="str">
        <f>+IFERROR(VLOOKUP(Fact_Contabilidad[[#This Row], [Concepto Anterior]],Conceptos_Contabilidad[#All],5,0),"")</f>
        <v/>
      </c>
      <c r="F1488" t="str">
        <f>+IFERROR(VLOOKUP(Fact_Contabilidad[[#This Row], 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ht="18.75" customHeight="1" x14ac:dyDescent="0.35">
      <c r="A1489" s="103"/>
      <c r="C1489" s="100" t="str">
        <f>IF(OR(Fact_Contabilidad[[#This Row], [Año]]="",Fact_Contabilidad[[#This Row], [Mes]]=""),"",DATE(A1489,MATCH(B1489,{"enero","febrero","marzo","abril","mayo","junio","julio","agosto","septiembre","octubre","noviembre","diciembre"},0)+1,0))</f>
        <v/>
      </c>
      <c r="E1489" t="str">
        <f>+IFERROR(VLOOKUP(Fact_Contabilidad[[#This Row], [Concepto Anterior]],Conceptos_Contabilidad[#All],5,0),"")</f>
        <v/>
      </c>
      <c r="F1489" t="str">
        <f>+IFERROR(VLOOKUP(Fact_Contabilidad[[#This Row], 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ht="18.75" customHeight="1" x14ac:dyDescent="0.35">
      <c r="A1490" s="103"/>
      <c r="C1490" s="100" t="str">
        <f>IF(OR(Fact_Contabilidad[[#This Row], [Año]]="",Fact_Contabilidad[[#This Row], [Mes]]=""),"",DATE(A1490,MATCH(B1490,{"enero","febrero","marzo","abril","mayo","junio","julio","agosto","septiembre","octubre","noviembre","diciembre"},0)+1,0))</f>
        <v/>
      </c>
      <c r="E1490" t="str">
        <f>+IFERROR(VLOOKUP(Fact_Contabilidad[[#This Row], [Concepto Anterior]],Conceptos_Contabilidad[#All],5,0),"")</f>
        <v/>
      </c>
      <c r="F1490" t="str">
        <f>+IFERROR(VLOOKUP(Fact_Contabilidad[[#This Row], 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ht="18.75" customHeight="1" x14ac:dyDescent="0.35">
      <c r="A1491" s="103"/>
      <c r="C1491" s="100" t="str">
        <f>IF(OR(Fact_Contabilidad[[#This Row], [Año]]="",Fact_Contabilidad[[#This Row], [Mes]]=""),"",DATE(A1491,MATCH(B1491,{"enero","febrero","marzo","abril","mayo","junio","julio","agosto","septiembre","octubre","noviembre","diciembre"},0)+1,0))</f>
        <v/>
      </c>
      <c r="E1491" t="str">
        <f>+IFERROR(VLOOKUP(Fact_Contabilidad[[#This Row], [Concepto Anterior]],Conceptos_Contabilidad[#All],5,0),"")</f>
        <v/>
      </c>
      <c r="F1491" t="str">
        <f>+IFERROR(VLOOKUP(Fact_Contabilidad[[#This Row], 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ht="18.75" customHeight="1" x14ac:dyDescent="0.35">
      <c r="A1492" s="103"/>
      <c r="C1492" s="100" t="str">
        <f>IF(OR(Fact_Contabilidad[[#This Row], [Año]]="",Fact_Contabilidad[[#This Row], [Mes]]=""),"",DATE(A1492,MATCH(B1492,{"enero","febrero","marzo","abril","mayo","junio","julio","agosto","septiembre","octubre","noviembre","diciembre"},0)+1,0))</f>
        <v/>
      </c>
      <c r="E1492" t="str">
        <f>+IFERROR(VLOOKUP(Fact_Contabilidad[[#This Row], [Concepto Anterior]],Conceptos_Contabilidad[#All],5,0),"")</f>
        <v/>
      </c>
      <c r="F1492" t="str">
        <f>+IFERROR(VLOOKUP(Fact_Contabilidad[[#This Row], 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ht="18.75" customHeight="1" x14ac:dyDescent="0.35">
      <c r="A1493" s="103"/>
      <c r="C1493" s="100" t="str">
        <f>IF(OR(Fact_Contabilidad[[#This Row], [Año]]="",Fact_Contabilidad[[#This Row], [Mes]]=""),"",DATE(A1493,MATCH(B1493,{"enero","febrero","marzo","abril","mayo","junio","julio","agosto","septiembre","octubre","noviembre","diciembre"},0)+1,0))</f>
        <v/>
      </c>
      <c r="E1493" t="str">
        <f>+IFERROR(VLOOKUP(Fact_Contabilidad[[#This Row], [Concepto Anterior]],Conceptos_Contabilidad[#All],5,0),"")</f>
        <v/>
      </c>
      <c r="F1493" t="str">
        <f>+IFERROR(VLOOKUP(Fact_Contabilidad[[#This Row], 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ht="18.75" customHeight="1" x14ac:dyDescent="0.35">
      <c r="A1494" s="103"/>
      <c r="C1494" s="100" t="str">
        <f>IF(OR(Fact_Contabilidad[[#This Row], [Año]]="",Fact_Contabilidad[[#This Row], [Mes]]=""),"",DATE(A1494,MATCH(B1494,{"enero","febrero","marzo","abril","mayo","junio","julio","agosto","septiembre","octubre","noviembre","diciembre"},0)+1,0))</f>
        <v/>
      </c>
      <c r="E1494" t="str">
        <f>+IFERROR(VLOOKUP(Fact_Contabilidad[[#This Row], [Concepto Anterior]],Conceptos_Contabilidad[#All],5,0),"")</f>
        <v/>
      </c>
      <c r="F1494" t="str">
        <f>+IFERROR(VLOOKUP(Fact_Contabilidad[[#This Row], 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ht="18.75" customHeight="1" x14ac:dyDescent="0.35">
      <c r="A1495" s="103"/>
      <c r="C1495" s="100" t="str">
        <f>IF(OR(Fact_Contabilidad[[#This Row], [Año]]="",Fact_Contabilidad[[#This Row], [Mes]]=""),"",DATE(A1495,MATCH(B1495,{"enero","febrero","marzo","abril","mayo","junio","julio","agosto","septiembre","octubre","noviembre","diciembre"},0)+1,0))</f>
        <v/>
      </c>
      <c r="E1495" t="str">
        <f>+IFERROR(VLOOKUP(Fact_Contabilidad[[#This Row], [Concepto Anterior]],Conceptos_Contabilidad[#All],5,0),"")</f>
        <v/>
      </c>
      <c r="F1495" t="str">
        <f>+IFERROR(VLOOKUP(Fact_Contabilidad[[#This Row], 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ht="18.75" customHeight="1" x14ac:dyDescent="0.35">
      <c r="A1496" s="103"/>
      <c r="C1496" s="100" t="str">
        <f>IF(OR(Fact_Contabilidad[[#This Row], [Año]]="",Fact_Contabilidad[[#This Row], [Mes]]=""),"",DATE(A1496,MATCH(B1496,{"enero","febrero","marzo","abril","mayo","junio","julio","agosto","septiembre","octubre","noviembre","diciembre"},0)+1,0))</f>
        <v/>
      </c>
      <c r="E1496" t="str">
        <f>+IFERROR(VLOOKUP(Fact_Contabilidad[[#This Row], [Concepto Anterior]],Conceptos_Contabilidad[#All],5,0),"")</f>
        <v/>
      </c>
      <c r="F1496" t="str">
        <f>+IFERROR(VLOOKUP(Fact_Contabilidad[[#This Row], 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ht="18.75" customHeight="1" x14ac:dyDescent="0.35">
      <c r="A1497" s="103"/>
      <c r="C1497" s="100" t="str">
        <f>IF(OR(Fact_Contabilidad[[#This Row], [Año]]="",Fact_Contabilidad[[#This Row], [Mes]]=""),"",DATE(A1497,MATCH(B1497,{"enero","febrero","marzo","abril","mayo","junio","julio","agosto","septiembre","octubre","noviembre","diciembre"},0)+1,0))</f>
        <v/>
      </c>
      <c r="E1497" t="str">
        <f>+IFERROR(VLOOKUP(Fact_Contabilidad[[#This Row], [Concepto Anterior]],Conceptos_Contabilidad[#All],5,0),"")</f>
        <v/>
      </c>
      <c r="F1497" t="str">
        <f>+IFERROR(VLOOKUP(Fact_Contabilidad[[#This Row], 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ht="18.75" customHeight="1" x14ac:dyDescent="0.35">
      <c r="A1498" s="103"/>
      <c r="C1498" s="100" t="str">
        <f>IF(OR(Fact_Contabilidad[[#This Row], [Año]]="",Fact_Contabilidad[[#This Row], [Mes]]=""),"",DATE(A1498,MATCH(B1498,{"enero","febrero","marzo","abril","mayo","junio","julio","agosto","septiembre","octubre","noviembre","diciembre"},0)+1,0))</f>
        <v/>
      </c>
      <c r="E1498" t="str">
        <f>+IFERROR(VLOOKUP(Fact_Contabilidad[[#This Row], [Concepto Anterior]],Conceptos_Contabilidad[#All],5,0),"")</f>
        <v/>
      </c>
      <c r="F1498" t="str">
        <f>+IFERROR(VLOOKUP(Fact_Contabilidad[[#This Row], 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ht="18.75" customHeight="1" x14ac:dyDescent="0.35">
      <c r="A1499" s="103"/>
      <c r="C1499" s="100" t="str">
        <f>IF(OR(Fact_Contabilidad[[#This Row], [Año]]="",Fact_Contabilidad[[#This Row], [Mes]]=""),"",DATE(A1499,MATCH(B1499,{"enero","febrero","marzo","abril","mayo","junio","julio","agosto","septiembre","octubre","noviembre","diciembre"},0)+1,0))</f>
        <v/>
      </c>
      <c r="E1499" t="str">
        <f>+IFERROR(VLOOKUP(Fact_Contabilidad[[#This Row], [Concepto Anterior]],Conceptos_Contabilidad[#All],5,0),"")</f>
        <v/>
      </c>
      <c r="F1499" t="str">
        <f>+IFERROR(VLOOKUP(Fact_Contabilidad[[#This Row], 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ht="18.75" customHeight="1" x14ac:dyDescent="0.35">
      <c r="A1500" s="103"/>
      <c r="C1500" s="100" t="str">
        <f>IF(OR(Fact_Contabilidad[[#This Row], [Año]]="",Fact_Contabilidad[[#This Row], [Mes]]=""),"",DATE(A1500,MATCH(B1500,{"enero","febrero","marzo","abril","mayo","junio","julio","agosto","septiembre","octubre","noviembre","diciembre"},0)+1,0))</f>
        <v/>
      </c>
      <c r="E1500" t="str">
        <f>+IFERROR(VLOOKUP(Fact_Contabilidad[[#This Row], [Concepto Anterior]],Conceptos_Contabilidad[#All],5,0),"")</f>
        <v/>
      </c>
      <c r="F1500" t="str">
        <f>+IFERROR(VLOOKUP(Fact_Contabilidad[[#This Row], 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ht="18.75" customHeight="1" x14ac:dyDescent="0.35">
      <c r="A1501" s="103"/>
      <c r="C1501" s="100" t="str">
        <f>IF(OR(Fact_Contabilidad[[#This Row], [Año]]="",Fact_Contabilidad[[#This Row], [Mes]]=""),"",DATE(A1501,MATCH(B1501,{"enero","febrero","marzo","abril","mayo","junio","julio","agosto","septiembre","octubre","noviembre","diciembre"},0)+1,0))</f>
        <v/>
      </c>
      <c r="E1501" t="str">
        <f>+IFERROR(VLOOKUP(Fact_Contabilidad[[#This Row], [Concepto Anterior]],Conceptos_Contabilidad[#All],5,0),"")</f>
        <v/>
      </c>
      <c r="F1501" t="str">
        <f>+IFERROR(VLOOKUP(Fact_Contabilidad[[#This Row], 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ht="18.75" customHeight="1" x14ac:dyDescent="0.35">
      <c r="A1502" s="103"/>
      <c r="C1502" s="100" t="str">
        <f>IF(OR(Fact_Contabilidad[[#This Row], [Año]]="",Fact_Contabilidad[[#This Row], [Mes]]=""),"",DATE(A1502,MATCH(B1502,{"enero","febrero","marzo","abril","mayo","junio","julio","agosto","septiembre","octubre","noviembre","diciembre"},0)+1,0))</f>
        <v/>
      </c>
      <c r="E1502" t="str">
        <f>+IFERROR(VLOOKUP(Fact_Contabilidad[[#This Row], [Concepto Anterior]],Conceptos_Contabilidad[#All],5,0),"")</f>
        <v/>
      </c>
      <c r="F1502" t="str">
        <f>+IFERROR(VLOOKUP(Fact_Contabilidad[[#This Row], 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ht="18.75" customHeight="1" x14ac:dyDescent="0.35">
      <c r="A1503" s="103"/>
      <c r="C1503" s="100" t="str">
        <f>IF(OR(Fact_Contabilidad[[#This Row], [Año]]="",Fact_Contabilidad[[#This Row], [Mes]]=""),"",DATE(A1503,MATCH(B1503,{"enero","febrero","marzo","abril","mayo","junio","julio","agosto","septiembre","octubre","noviembre","diciembre"},0)+1,0))</f>
        <v/>
      </c>
      <c r="E1503" t="str">
        <f>+IFERROR(VLOOKUP(Fact_Contabilidad[[#This Row], [Concepto Anterior]],Conceptos_Contabilidad[#All],5,0),"")</f>
        <v/>
      </c>
      <c r="F1503" t="str">
        <f>+IFERROR(VLOOKUP(Fact_Contabilidad[[#This Row], 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ht="18.75" customHeight="1" x14ac:dyDescent="0.35">
      <c r="A1504" s="103"/>
      <c r="C1504" s="100" t="str">
        <f>IF(OR(Fact_Contabilidad[[#This Row], [Año]]="",Fact_Contabilidad[[#This Row], [Mes]]=""),"",DATE(A1504,MATCH(B1504,{"enero","febrero","marzo","abril","mayo","junio","julio","agosto","septiembre","octubre","noviembre","diciembre"},0)+1,0))</f>
        <v/>
      </c>
      <c r="E1504" t="str">
        <f>+IFERROR(VLOOKUP(Fact_Contabilidad[[#This Row], [Concepto Anterior]],Conceptos_Contabilidad[#All],5,0),"")</f>
        <v/>
      </c>
      <c r="F1504" t="str">
        <f>+IFERROR(VLOOKUP(Fact_Contabilidad[[#This Row], 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ht="18.75" customHeight="1" x14ac:dyDescent="0.35">
      <c r="A1505" s="103"/>
      <c r="C1505" s="100" t="str">
        <f>IF(OR(Fact_Contabilidad[[#This Row], [Año]]="",Fact_Contabilidad[[#This Row], [Mes]]=""),"",DATE(A1505,MATCH(B1505,{"enero","febrero","marzo","abril","mayo","junio","julio","agosto","septiembre","octubre","noviembre","diciembre"},0)+1,0))</f>
        <v/>
      </c>
      <c r="E1505" t="str">
        <f>+IFERROR(VLOOKUP(Fact_Contabilidad[[#This Row], [Concepto Anterior]],Conceptos_Contabilidad[#All],5,0),"")</f>
        <v/>
      </c>
      <c r="F1505" t="str">
        <f>+IFERROR(VLOOKUP(Fact_Contabilidad[[#This Row], 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ht="18.75" customHeight="1" x14ac:dyDescent="0.35">
      <c r="A1506" s="103"/>
      <c r="C1506" s="100" t="str">
        <f>IF(OR(Fact_Contabilidad[[#This Row], [Año]]="",Fact_Contabilidad[[#This Row], [Mes]]=""),"",DATE(A1506,MATCH(B1506,{"enero","febrero","marzo","abril","mayo","junio","julio","agosto","septiembre","octubre","noviembre","diciembre"},0)+1,0))</f>
        <v/>
      </c>
      <c r="E1506" t="str">
        <f>+IFERROR(VLOOKUP(Fact_Contabilidad[[#This Row], [Concepto Anterior]],Conceptos_Contabilidad[#All],5,0),"")</f>
        <v/>
      </c>
      <c r="F1506" t="str">
        <f>+IFERROR(VLOOKUP(Fact_Contabilidad[[#This Row], 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ht="18.75" customHeight="1" x14ac:dyDescent="0.35">
      <c r="A1507" s="103"/>
      <c r="C1507" s="100" t="str">
        <f>IF(OR(Fact_Contabilidad[[#This Row], [Año]]="",Fact_Contabilidad[[#This Row], [Mes]]=""),"",DATE(A1507,MATCH(B1507,{"enero","febrero","marzo","abril","mayo","junio","julio","agosto","septiembre","octubre","noviembre","diciembre"},0)+1,0))</f>
        <v/>
      </c>
      <c r="E1507" t="str">
        <f>+IFERROR(VLOOKUP(Fact_Contabilidad[[#This Row], [Concepto Anterior]],Conceptos_Contabilidad[#All],5,0),"")</f>
        <v/>
      </c>
      <c r="F1507" t="str">
        <f>+IFERROR(VLOOKUP(Fact_Contabilidad[[#This Row], 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ht="18.75" customHeight="1" x14ac:dyDescent="0.35">
      <c r="A1508" s="103"/>
      <c r="C1508" s="100" t="str">
        <f>IF(OR(Fact_Contabilidad[[#This Row], [Año]]="",Fact_Contabilidad[[#This Row], [Mes]]=""),"",DATE(A1508,MATCH(B1508,{"enero","febrero","marzo","abril","mayo","junio","julio","agosto","septiembre","octubre","noviembre","diciembre"},0)+1,0))</f>
        <v/>
      </c>
      <c r="E1508" t="str">
        <f>+IFERROR(VLOOKUP(Fact_Contabilidad[[#This Row], [Concepto Anterior]],Conceptos_Contabilidad[#All],5,0),"")</f>
        <v/>
      </c>
      <c r="F1508" t="str">
        <f>+IFERROR(VLOOKUP(Fact_Contabilidad[[#This Row], 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ht="18.75" customHeight="1" x14ac:dyDescent="0.35">
      <c r="A1509" s="103"/>
      <c r="C1509" s="100" t="str">
        <f>IF(OR(Fact_Contabilidad[[#This Row], [Año]]="",Fact_Contabilidad[[#This Row], [Mes]]=""),"",DATE(A1509,MATCH(B1509,{"enero","febrero","marzo","abril","mayo","junio","julio","agosto","septiembre","octubre","noviembre","diciembre"},0)+1,0))</f>
        <v/>
      </c>
      <c r="E1509" t="str">
        <f>+IFERROR(VLOOKUP(Fact_Contabilidad[[#This Row], [Concepto Anterior]],Conceptos_Contabilidad[#All],5,0),"")</f>
        <v/>
      </c>
      <c r="F1509" t="str">
        <f>+IFERROR(VLOOKUP(Fact_Contabilidad[[#This Row], 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ht="18.75" customHeight="1" x14ac:dyDescent="0.35">
      <c r="A1510" s="103"/>
      <c r="C1510" s="100" t="str">
        <f>IF(OR(Fact_Contabilidad[[#This Row], [Año]]="",Fact_Contabilidad[[#This Row], [Mes]]=""),"",DATE(A1510,MATCH(B1510,{"enero","febrero","marzo","abril","mayo","junio","julio","agosto","septiembre","octubre","noviembre","diciembre"},0)+1,0))</f>
        <v/>
      </c>
      <c r="E1510" t="str">
        <f>+IFERROR(VLOOKUP(Fact_Contabilidad[[#This Row], [Concepto Anterior]],Conceptos_Contabilidad[#All],5,0),"")</f>
        <v/>
      </c>
      <c r="F1510" t="str">
        <f>+IFERROR(VLOOKUP(Fact_Contabilidad[[#This Row], 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ht="18.75" customHeight="1" x14ac:dyDescent="0.35">
      <c r="A1511" s="103"/>
      <c r="C1511" s="100" t="str">
        <f>IF(OR(Fact_Contabilidad[[#This Row], [Año]]="",Fact_Contabilidad[[#This Row], [Mes]]=""),"",DATE(A1511,MATCH(B1511,{"enero","febrero","marzo","abril","mayo","junio","julio","agosto","septiembre","octubre","noviembre","diciembre"},0)+1,0))</f>
        <v/>
      </c>
      <c r="E1511" t="str">
        <f>+IFERROR(VLOOKUP(Fact_Contabilidad[[#This Row], [Concepto Anterior]],Conceptos_Contabilidad[#All],5,0),"")</f>
        <v/>
      </c>
      <c r="F1511" t="str">
        <f>+IFERROR(VLOOKUP(Fact_Contabilidad[[#This Row], 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ht="18.75" customHeight="1" x14ac:dyDescent="0.35">
      <c r="A1512" s="103"/>
      <c r="C1512" s="100" t="str">
        <f>IF(OR(Fact_Contabilidad[[#This Row], [Año]]="",Fact_Contabilidad[[#This Row], [Mes]]=""),"",DATE(A1512,MATCH(B1512,{"enero","febrero","marzo","abril","mayo","junio","julio","agosto","septiembre","octubre","noviembre","diciembre"},0)+1,0))</f>
        <v/>
      </c>
      <c r="E1512" t="str">
        <f>+IFERROR(VLOOKUP(Fact_Contabilidad[[#This Row], [Concepto Anterior]],Conceptos_Contabilidad[#All],5,0),"")</f>
        <v/>
      </c>
      <c r="F1512" t="str">
        <f>+IFERROR(VLOOKUP(Fact_Contabilidad[[#This Row], 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ht="18.75" customHeight="1" x14ac:dyDescent="0.35">
      <c r="A1513" s="103"/>
      <c r="C1513" s="100" t="str">
        <f>IF(OR(Fact_Contabilidad[[#This Row], [Año]]="",Fact_Contabilidad[[#This Row], [Mes]]=""),"",DATE(A1513,MATCH(B1513,{"enero","febrero","marzo","abril","mayo","junio","julio","agosto","septiembre","octubre","noviembre","diciembre"},0)+1,0))</f>
        <v/>
      </c>
      <c r="E1513" t="str">
        <f>+IFERROR(VLOOKUP(Fact_Contabilidad[[#This Row], [Concepto Anterior]],Conceptos_Contabilidad[#All],5,0),"")</f>
        <v/>
      </c>
      <c r="F1513" t="str">
        <f>+IFERROR(VLOOKUP(Fact_Contabilidad[[#This Row], 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ht="18.75" customHeight="1" x14ac:dyDescent="0.35">
      <c r="A1514" s="103"/>
      <c r="C1514" s="100" t="str">
        <f>IF(OR(Fact_Contabilidad[[#This Row], [Año]]="",Fact_Contabilidad[[#This Row], [Mes]]=""),"",DATE(A1514,MATCH(B1514,{"enero","febrero","marzo","abril","mayo","junio","julio","agosto","septiembre","octubre","noviembre","diciembre"},0)+1,0))</f>
        <v/>
      </c>
      <c r="E1514" t="str">
        <f>+IFERROR(VLOOKUP(Fact_Contabilidad[[#This Row], [Concepto Anterior]],Conceptos_Contabilidad[#All],5,0),"")</f>
        <v/>
      </c>
      <c r="F1514" t="str">
        <f>+IFERROR(VLOOKUP(Fact_Contabilidad[[#This Row], 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ht="18.75" customHeight="1" x14ac:dyDescent="0.35">
      <c r="A1515" s="103"/>
      <c r="C1515" s="100" t="str">
        <f>IF(OR(Fact_Contabilidad[[#This Row], [Año]]="",Fact_Contabilidad[[#This Row], [Mes]]=""),"",DATE(A1515,MATCH(B1515,{"enero","febrero","marzo","abril","mayo","junio","julio","agosto","septiembre","octubre","noviembre","diciembre"},0)+1,0))</f>
        <v/>
      </c>
      <c r="E1515" t="str">
        <f>+IFERROR(VLOOKUP(Fact_Contabilidad[[#This Row], [Concepto Anterior]],Conceptos_Contabilidad[#All],5,0),"")</f>
        <v/>
      </c>
      <c r="F1515" t="str">
        <f>+IFERROR(VLOOKUP(Fact_Contabilidad[[#This Row], 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ht="18.75" customHeight="1" x14ac:dyDescent="0.35">
      <c r="A1516" s="103"/>
      <c r="C1516" s="100" t="str">
        <f>IF(OR(Fact_Contabilidad[[#This Row], [Año]]="",Fact_Contabilidad[[#This Row], [Mes]]=""),"",DATE(A1516,MATCH(B1516,{"enero","febrero","marzo","abril","mayo","junio","julio","agosto","septiembre","octubre","noviembre","diciembre"},0)+1,0))</f>
        <v/>
      </c>
      <c r="E1516" t="str">
        <f>+IFERROR(VLOOKUP(Fact_Contabilidad[[#This Row], [Concepto Anterior]],Conceptos_Contabilidad[#All],5,0),"")</f>
        <v/>
      </c>
      <c r="F1516" t="str">
        <f>+IFERROR(VLOOKUP(Fact_Contabilidad[[#This Row], 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ht="18.75" customHeight="1" x14ac:dyDescent="0.35">
      <c r="A1517" s="103"/>
      <c r="C1517" s="100" t="str">
        <f>IF(OR(Fact_Contabilidad[[#This Row], [Año]]="",Fact_Contabilidad[[#This Row], [Mes]]=""),"",DATE(A1517,MATCH(B1517,{"enero","febrero","marzo","abril","mayo","junio","julio","agosto","septiembre","octubre","noviembre","diciembre"},0)+1,0))</f>
        <v/>
      </c>
      <c r="E1517" t="str">
        <f>+IFERROR(VLOOKUP(Fact_Contabilidad[[#This Row], [Concepto Anterior]],Conceptos_Contabilidad[#All],5,0),"")</f>
        <v/>
      </c>
      <c r="F1517" t="str">
        <f>+IFERROR(VLOOKUP(Fact_Contabilidad[[#This Row], 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ht="18.75" customHeight="1" x14ac:dyDescent="0.35">
      <c r="A1518" s="103"/>
      <c r="C1518" s="100" t="str">
        <f>IF(OR(Fact_Contabilidad[[#This Row], [Año]]="",Fact_Contabilidad[[#This Row], [Mes]]=""),"",DATE(A1518,MATCH(B1518,{"enero","febrero","marzo","abril","mayo","junio","julio","agosto","septiembre","octubre","noviembre","diciembre"},0)+1,0))</f>
        <v/>
      </c>
      <c r="E1518" t="str">
        <f>+IFERROR(VLOOKUP(Fact_Contabilidad[[#This Row], [Concepto Anterior]],Conceptos_Contabilidad[#All],5,0),"")</f>
        <v/>
      </c>
      <c r="F1518" t="str">
        <f>+IFERROR(VLOOKUP(Fact_Contabilidad[[#This Row], 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ht="18.75" customHeight="1" x14ac:dyDescent="0.35">
      <c r="A1519" s="103"/>
      <c r="C1519" s="100" t="str">
        <f>IF(OR(Fact_Contabilidad[[#This Row], [Año]]="",Fact_Contabilidad[[#This Row], [Mes]]=""),"",DATE(A1519,MATCH(B1519,{"enero","febrero","marzo","abril","mayo","junio","julio","agosto","septiembre","octubre","noviembre","diciembre"},0)+1,0))</f>
        <v/>
      </c>
      <c r="E1519" t="str">
        <f>+IFERROR(VLOOKUP(Fact_Contabilidad[[#This Row], [Concepto Anterior]],Conceptos_Contabilidad[#All],5,0),"")</f>
        <v/>
      </c>
      <c r="F1519" t="str">
        <f>+IFERROR(VLOOKUP(Fact_Contabilidad[[#This Row], 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ht="18.75" customHeight="1" x14ac:dyDescent="0.35">
      <c r="A1520" s="103"/>
      <c r="C1520" s="100" t="str">
        <f>IF(OR(Fact_Contabilidad[[#This Row], [Año]]="",Fact_Contabilidad[[#This Row], [Mes]]=""),"",DATE(A1520,MATCH(B1520,{"enero","febrero","marzo","abril","mayo","junio","julio","agosto","septiembre","octubre","noviembre","diciembre"},0)+1,0))</f>
        <v/>
      </c>
      <c r="E1520" t="str">
        <f>+IFERROR(VLOOKUP(Fact_Contabilidad[[#This Row], [Concepto Anterior]],Conceptos_Contabilidad[#All],5,0),"")</f>
        <v/>
      </c>
      <c r="F1520" t="str">
        <f>+IFERROR(VLOOKUP(Fact_Contabilidad[[#This Row], 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ht="18.75" customHeight="1" x14ac:dyDescent="0.35">
      <c r="A1521" s="103"/>
      <c r="C1521" s="100" t="str">
        <f>IF(OR(Fact_Contabilidad[[#This Row], [Año]]="",Fact_Contabilidad[[#This Row], [Mes]]=""),"",DATE(A1521,MATCH(B1521,{"enero","febrero","marzo","abril","mayo","junio","julio","agosto","septiembre","octubre","noviembre","diciembre"},0)+1,0))</f>
        <v/>
      </c>
      <c r="E1521" t="str">
        <f>+IFERROR(VLOOKUP(Fact_Contabilidad[[#This Row], [Concepto Anterior]],Conceptos_Contabilidad[#All],5,0),"")</f>
        <v/>
      </c>
      <c r="F1521" t="str">
        <f>+IFERROR(VLOOKUP(Fact_Contabilidad[[#This Row], 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ht="18.75" customHeight="1" x14ac:dyDescent="0.35">
      <c r="A1522" s="103"/>
      <c r="C1522" s="100" t="str">
        <f>IF(OR(Fact_Contabilidad[[#This Row], [Año]]="",Fact_Contabilidad[[#This Row], [Mes]]=""),"",DATE(A1522,MATCH(B1522,{"enero","febrero","marzo","abril","mayo","junio","julio","agosto","septiembre","octubre","noviembre","diciembre"},0)+1,0))</f>
        <v/>
      </c>
      <c r="E1522" t="str">
        <f>+IFERROR(VLOOKUP(Fact_Contabilidad[[#This Row], [Concepto Anterior]],Conceptos_Contabilidad[#All],5,0),"")</f>
        <v/>
      </c>
      <c r="F1522" t="str">
        <f>+IFERROR(VLOOKUP(Fact_Contabilidad[[#This Row], 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ht="18.75" customHeight="1" x14ac:dyDescent="0.35">
      <c r="A1523" s="103"/>
      <c r="C1523" s="100" t="str">
        <f>IF(OR(Fact_Contabilidad[[#This Row], [Año]]="",Fact_Contabilidad[[#This Row], [Mes]]=""),"",DATE(A1523,MATCH(B1523,{"enero","febrero","marzo","abril","mayo","junio","julio","agosto","septiembre","octubre","noviembre","diciembre"},0)+1,0))</f>
        <v/>
      </c>
      <c r="E1523" t="str">
        <f>+IFERROR(VLOOKUP(Fact_Contabilidad[[#This Row], [Concepto Anterior]],Conceptos_Contabilidad[#All],5,0),"")</f>
        <v/>
      </c>
      <c r="F1523" t="str">
        <f>+IFERROR(VLOOKUP(Fact_Contabilidad[[#This Row], 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ht="18.75" customHeight="1" x14ac:dyDescent="0.35">
      <c r="A1524" s="103"/>
      <c r="C1524" s="100" t="str">
        <f>IF(OR(Fact_Contabilidad[[#This Row], [Año]]="",Fact_Contabilidad[[#This Row], [Mes]]=""),"",DATE(A1524,MATCH(B1524,{"enero","febrero","marzo","abril","mayo","junio","julio","agosto","septiembre","octubre","noviembre","diciembre"},0)+1,0))</f>
        <v/>
      </c>
      <c r="E1524" t="str">
        <f>+IFERROR(VLOOKUP(Fact_Contabilidad[[#This Row], [Concepto Anterior]],Conceptos_Contabilidad[#All],5,0),"")</f>
        <v/>
      </c>
      <c r="F1524" t="str">
        <f>+IFERROR(VLOOKUP(Fact_Contabilidad[[#This Row], 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ht="18.75" customHeight="1" x14ac:dyDescent="0.35">
      <c r="A1525" s="103"/>
      <c r="C1525" s="100" t="str">
        <f>IF(OR(Fact_Contabilidad[[#This Row], [Año]]="",Fact_Contabilidad[[#This Row], [Mes]]=""),"",DATE(A1525,MATCH(B1525,{"enero","febrero","marzo","abril","mayo","junio","julio","agosto","septiembre","octubre","noviembre","diciembre"},0)+1,0))</f>
        <v/>
      </c>
      <c r="E1525" t="str">
        <f>+IFERROR(VLOOKUP(Fact_Contabilidad[[#This Row], [Concepto Anterior]],Conceptos_Contabilidad[#All],5,0),"")</f>
        <v/>
      </c>
      <c r="F1525" t="str">
        <f>+IFERROR(VLOOKUP(Fact_Contabilidad[[#This Row], 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ht="18.75" customHeight="1" x14ac:dyDescent="0.35">
      <c r="A1526" s="103"/>
      <c r="C1526" s="100" t="str">
        <f>IF(OR(Fact_Contabilidad[[#This Row], [Año]]="",Fact_Contabilidad[[#This Row], [Mes]]=""),"",DATE(A1526,MATCH(B1526,{"enero","febrero","marzo","abril","mayo","junio","julio","agosto","septiembre","octubre","noviembre","diciembre"},0)+1,0))</f>
        <v/>
      </c>
      <c r="E1526" t="str">
        <f>+IFERROR(VLOOKUP(Fact_Contabilidad[[#This Row], [Concepto Anterior]],Conceptos_Contabilidad[#All],5,0),"")</f>
        <v/>
      </c>
      <c r="F1526" t="str">
        <f>+IFERROR(VLOOKUP(Fact_Contabilidad[[#This Row], 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ht="18.75" customHeight="1" x14ac:dyDescent="0.35">
      <c r="A1527" s="103"/>
      <c r="C1527" s="100" t="str">
        <f>IF(OR(Fact_Contabilidad[[#This Row], [Año]]="",Fact_Contabilidad[[#This Row], [Mes]]=""),"",DATE(A1527,MATCH(B1527,{"enero","febrero","marzo","abril","mayo","junio","julio","agosto","septiembre","octubre","noviembre","diciembre"},0)+1,0))</f>
        <v/>
      </c>
      <c r="E1527" t="str">
        <f>+IFERROR(VLOOKUP(Fact_Contabilidad[[#This Row], [Concepto Anterior]],Conceptos_Contabilidad[#All],5,0),"")</f>
        <v/>
      </c>
      <c r="F1527" t="str">
        <f>+IFERROR(VLOOKUP(Fact_Contabilidad[[#This Row], 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ht="18.75" customHeight="1" x14ac:dyDescent="0.35">
      <c r="A1528" s="103"/>
      <c r="C1528" s="100" t="str">
        <f>IF(OR(Fact_Contabilidad[[#This Row], [Año]]="",Fact_Contabilidad[[#This Row], [Mes]]=""),"",DATE(A1528,MATCH(B1528,{"enero","febrero","marzo","abril","mayo","junio","julio","agosto","septiembre","octubre","noviembre","diciembre"},0)+1,0))</f>
        <v/>
      </c>
      <c r="E1528" t="str">
        <f>+IFERROR(VLOOKUP(Fact_Contabilidad[[#This Row], [Concepto Anterior]],Conceptos_Contabilidad[#All],5,0),"")</f>
        <v/>
      </c>
      <c r="F1528" t="str">
        <f>+IFERROR(VLOOKUP(Fact_Contabilidad[[#This Row], 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ht="18.75" customHeight="1" x14ac:dyDescent="0.35">
      <c r="A1529" s="103"/>
      <c r="C1529" s="100" t="str">
        <f>IF(OR(Fact_Contabilidad[[#This Row], [Año]]="",Fact_Contabilidad[[#This Row], [Mes]]=""),"",DATE(A1529,MATCH(B1529,{"enero","febrero","marzo","abril","mayo","junio","julio","agosto","septiembre","octubre","noviembre","diciembre"},0)+1,0))</f>
        <v/>
      </c>
      <c r="E1529" t="str">
        <f>+IFERROR(VLOOKUP(Fact_Contabilidad[[#This Row], [Concepto Anterior]],Conceptos_Contabilidad[#All],5,0),"")</f>
        <v/>
      </c>
      <c r="F1529" t="str">
        <f>+IFERROR(VLOOKUP(Fact_Contabilidad[[#This Row], 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ht="18.75" customHeight="1" x14ac:dyDescent="0.35">
      <c r="A1530" s="103"/>
      <c r="C1530" s="100" t="str">
        <f>IF(OR(Fact_Contabilidad[[#This Row], [Año]]="",Fact_Contabilidad[[#This Row], [Mes]]=""),"",DATE(A1530,MATCH(B1530,{"enero","febrero","marzo","abril","mayo","junio","julio","agosto","septiembre","octubre","noviembre","diciembre"},0)+1,0))</f>
        <v/>
      </c>
      <c r="E1530" t="str">
        <f>+IFERROR(VLOOKUP(Fact_Contabilidad[[#This Row], [Concepto Anterior]],Conceptos_Contabilidad[#All],5,0),"")</f>
        <v/>
      </c>
      <c r="F1530" t="str">
        <f>+IFERROR(VLOOKUP(Fact_Contabilidad[[#This Row], 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ht="18.75" customHeight="1" x14ac:dyDescent="0.35">
      <c r="A1531" s="103"/>
      <c r="C1531" s="100" t="str">
        <f>IF(OR(Fact_Contabilidad[[#This Row], [Año]]="",Fact_Contabilidad[[#This Row], [Mes]]=""),"",DATE(A1531,MATCH(B1531,{"enero","febrero","marzo","abril","mayo","junio","julio","agosto","septiembre","octubre","noviembre","diciembre"},0)+1,0))</f>
        <v/>
      </c>
      <c r="E1531" t="str">
        <f>+IFERROR(VLOOKUP(Fact_Contabilidad[[#This Row], [Concepto Anterior]],Conceptos_Contabilidad[#All],5,0),"")</f>
        <v/>
      </c>
      <c r="F1531" t="str">
        <f>+IFERROR(VLOOKUP(Fact_Contabilidad[[#This Row], 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ht="18.75" customHeight="1" x14ac:dyDescent="0.35">
      <c r="A1532" s="103"/>
      <c r="C1532" s="100" t="str">
        <f>IF(OR(Fact_Contabilidad[[#This Row], [Año]]="",Fact_Contabilidad[[#This Row], [Mes]]=""),"",DATE(A1532,MATCH(B1532,{"enero","febrero","marzo","abril","mayo","junio","julio","agosto","septiembre","octubre","noviembre","diciembre"},0)+1,0))</f>
        <v/>
      </c>
      <c r="E1532" t="str">
        <f>+IFERROR(VLOOKUP(Fact_Contabilidad[[#This Row], [Concepto Anterior]],Conceptos_Contabilidad[#All],5,0),"")</f>
        <v/>
      </c>
      <c r="F1532" t="str">
        <f>+IFERROR(VLOOKUP(Fact_Contabilidad[[#This Row], 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ht="18.75" customHeight="1" x14ac:dyDescent="0.35">
      <c r="A1533" s="103"/>
      <c r="C1533" s="100" t="str">
        <f>IF(OR(Fact_Contabilidad[[#This Row], [Año]]="",Fact_Contabilidad[[#This Row], [Mes]]=""),"",DATE(A1533,MATCH(B1533,{"enero","febrero","marzo","abril","mayo","junio","julio","agosto","septiembre","octubre","noviembre","diciembre"},0)+1,0))</f>
        <v/>
      </c>
      <c r="E1533" t="str">
        <f>+IFERROR(VLOOKUP(Fact_Contabilidad[[#This Row], [Concepto Anterior]],Conceptos_Contabilidad[#All],5,0),"")</f>
        <v/>
      </c>
      <c r="F1533" t="str">
        <f>+IFERROR(VLOOKUP(Fact_Contabilidad[[#This Row], 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ht="18.75" customHeight="1" x14ac:dyDescent="0.35">
      <c r="A1534" s="103"/>
      <c r="C1534" s="100" t="str">
        <f>IF(OR(Fact_Contabilidad[[#This Row], [Año]]="",Fact_Contabilidad[[#This Row], [Mes]]=""),"",DATE(A1534,MATCH(B1534,{"enero","febrero","marzo","abril","mayo","junio","julio","agosto","septiembre","octubre","noviembre","diciembre"},0)+1,0))</f>
        <v/>
      </c>
      <c r="E1534" t="str">
        <f>+IFERROR(VLOOKUP(Fact_Contabilidad[[#This Row], [Concepto Anterior]],Conceptos_Contabilidad[#All],5,0),"")</f>
        <v/>
      </c>
      <c r="F1534" t="str">
        <f>+IFERROR(VLOOKUP(Fact_Contabilidad[[#This Row], 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ht="18.75" customHeight="1" x14ac:dyDescent="0.35">
      <c r="A1535" s="103"/>
      <c r="C1535" s="100" t="str">
        <f>IF(OR(Fact_Contabilidad[[#This Row], [Año]]="",Fact_Contabilidad[[#This Row], [Mes]]=""),"",DATE(A1535,MATCH(B1535,{"enero","febrero","marzo","abril","mayo","junio","julio","agosto","septiembre","octubre","noviembre","diciembre"},0)+1,0))</f>
        <v/>
      </c>
      <c r="E1535" t="str">
        <f>+IFERROR(VLOOKUP(Fact_Contabilidad[[#This Row], [Concepto Anterior]],Conceptos_Contabilidad[#All],5,0),"")</f>
        <v/>
      </c>
      <c r="F1535" t="str">
        <f>+IFERROR(VLOOKUP(Fact_Contabilidad[[#This Row], 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ht="18.75" customHeight="1" x14ac:dyDescent="0.35">
      <c r="A1536" s="103"/>
      <c r="C1536" s="100" t="str">
        <f>IF(OR(Fact_Contabilidad[[#This Row], [Año]]="",Fact_Contabilidad[[#This Row], [Mes]]=""),"",DATE(A1536,MATCH(B1536,{"enero","febrero","marzo","abril","mayo","junio","julio","agosto","septiembre","octubre","noviembre","diciembre"},0)+1,0))</f>
        <v/>
      </c>
      <c r="E1536" t="str">
        <f>+IFERROR(VLOOKUP(Fact_Contabilidad[[#This Row], [Concepto Anterior]],Conceptos_Contabilidad[#All],5,0),"")</f>
        <v/>
      </c>
      <c r="F1536" t="str">
        <f>+IFERROR(VLOOKUP(Fact_Contabilidad[[#This Row], 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ht="18.75" customHeight="1" x14ac:dyDescent="0.35">
      <c r="A1537" s="103"/>
      <c r="C1537" s="100" t="str">
        <f>IF(OR(Fact_Contabilidad[[#This Row], [Año]]="",Fact_Contabilidad[[#This Row], [Mes]]=""),"",DATE(A1537,MATCH(B1537,{"enero","febrero","marzo","abril","mayo","junio","julio","agosto","septiembre","octubre","noviembre","diciembre"},0)+1,0))</f>
        <v/>
      </c>
      <c r="E1537" t="str">
        <f>+IFERROR(VLOOKUP(Fact_Contabilidad[[#This Row], [Concepto Anterior]],Conceptos_Contabilidad[#All],5,0),"")</f>
        <v/>
      </c>
      <c r="F1537" t="str">
        <f>+IFERROR(VLOOKUP(Fact_Contabilidad[[#This Row], 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ht="18.75" customHeight="1" x14ac:dyDescent="0.35">
      <c r="A1538" s="103"/>
      <c r="C1538" s="100" t="str">
        <f>IF(OR(Fact_Contabilidad[[#This Row], [Año]]="",Fact_Contabilidad[[#This Row], [Mes]]=""),"",DATE(A1538,MATCH(B1538,{"enero","febrero","marzo","abril","mayo","junio","julio","agosto","septiembre","octubre","noviembre","diciembre"},0)+1,0))</f>
        <v/>
      </c>
      <c r="E1538" t="str">
        <f>+IFERROR(VLOOKUP(Fact_Contabilidad[[#This Row], [Concepto Anterior]],Conceptos_Contabilidad[#All],5,0),"")</f>
        <v/>
      </c>
      <c r="F1538" t="str">
        <f>+IFERROR(VLOOKUP(Fact_Contabilidad[[#This Row], 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ht="18.75" customHeight="1" x14ac:dyDescent="0.35">
      <c r="A1539" s="103"/>
      <c r="C1539" s="100" t="str">
        <f>IF(OR(Fact_Contabilidad[[#This Row], [Año]]="",Fact_Contabilidad[[#This Row], [Mes]]=""),"",DATE(A1539,MATCH(B1539,{"enero","febrero","marzo","abril","mayo","junio","julio","agosto","septiembre","octubre","noviembre","diciembre"},0)+1,0))</f>
        <v/>
      </c>
      <c r="E1539" t="str">
        <f>+IFERROR(VLOOKUP(Fact_Contabilidad[[#This Row], [Concepto Anterior]],Conceptos_Contabilidad[#All],5,0),"")</f>
        <v/>
      </c>
      <c r="F1539" t="str">
        <f>+IFERROR(VLOOKUP(Fact_Contabilidad[[#This Row], 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ht="18.75" customHeight="1" x14ac:dyDescent="0.35">
      <c r="A1540" s="103"/>
      <c r="C1540" s="100" t="str">
        <f>IF(OR(Fact_Contabilidad[[#This Row], [Año]]="",Fact_Contabilidad[[#This Row], [Mes]]=""),"",DATE(A1540,MATCH(B1540,{"enero","febrero","marzo","abril","mayo","junio","julio","agosto","septiembre","octubre","noviembre","diciembre"},0)+1,0))</f>
        <v/>
      </c>
      <c r="E1540" t="str">
        <f>+IFERROR(VLOOKUP(Fact_Contabilidad[[#This Row], [Concepto Anterior]],Conceptos_Contabilidad[#All],5,0),"")</f>
        <v/>
      </c>
      <c r="F1540" t="str">
        <f>+IFERROR(VLOOKUP(Fact_Contabilidad[[#This Row], 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ht="18.75" customHeight="1" x14ac:dyDescent="0.35">
      <c r="A1541" s="103"/>
      <c r="C1541" s="100" t="str">
        <f>IF(OR(Fact_Contabilidad[[#This Row], [Año]]="",Fact_Contabilidad[[#This Row], [Mes]]=""),"",DATE(A1541,MATCH(B1541,{"enero","febrero","marzo","abril","mayo","junio","julio","agosto","septiembre","octubre","noviembre","diciembre"},0)+1,0))</f>
        <v/>
      </c>
      <c r="E1541" t="str">
        <f>+IFERROR(VLOOKUP(Fact_Contabilidad[[#This Row], [Concepto Anterior]],Conceptos_Contabilidad[#All],5,0),"")</f>
        <v/>
      </c>
      <c r="F1541" t="str">
        <f>+IFERROR(VLOOKUP(Fact_Contabilidad[[#This Row], 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ht="18.75" customHeight="1" x14ac:dyDescent="0.35">
      <c r="A1542" s="103"/>
      <c r="C1542" s="100" t="str">
        <f>IF(OR(Fact_Contabilidad[[#This Row], [Año]]="",Fact_Contabilidad[[#This Row], [Mes]]=""),"",DATE(A1542,MATCH(B1542,{"enero","febrero","marzo","abril","mayo","junio","julio","agosto","septiembre","octubre","noviembre","diciembre"},0)+1,0))</f>
        <v/>
      </c>
      <c r="E1542" t="str">
        <f>+IFERROR(VLOOKUP(Fact_Contabilidad[[#This Row], [Concepto Anterior]],Conceptos_Contabilidad[#All],5,0),"")</f>
        <v/>
      </c>
      <c r="F1542" t="str">
        <f>+IFERROR(VLOOKUP(Fact_Contabilidad[[#This Row], 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ht="18.75" customHeight="1" x14ac:dyDescent="0.35">
      <c r="A1543" s="103"/>
      <c r="C1543" s="100" t="str">
        <f>IF(OR(Fact_Contabilidad[[#This Row], [Año]]="",Fact_Contabilidad[[#This Row], [Mes]]=""),"",DATE(A1543,MATCH(B1543,{"enero","febrero","marzo","abril","mayo","junio","julio","agosto","septiembre","octubre","noviembre","diciembre"},0)+1,0))</f>
        <v/>
      </c>
      <c r="E1543" t="str">
        <f>+IFERROR(VLOOKUP(Fact_Contabilidad[[#This Row], [Concepto Anterior]],Conceptos_Contabilidad[#All],5,0),"")</f>
        <v/>
      </c>
      <c r="F1543" t="str">
        <f>+IFERROR(VLOOKUP(Fact_Contabilidad[[#This Row], 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ht="18.75" customHeight="1" x14ac:dyDescent="0.35">
      <c r="A1544" s="103"/>
      <c r="C1544" s="100" t="str">
        <f>IF(OR(Fact_Contabilidad[[#This Row], [Año]]="",Fact_Contabilidad[[#This Row], [Mes]]=""),"",DATE(A1544,MATCH(B1544,{"enero","febrero","marzo","abril","mayo","junio","julio","agosto","septiembre","octubre","noviembre","diciembre"},0)+1,0))</f>
        <v/>
      </c>
      <c r="E1544" t="str">
        <f>+IFERROR(VLOOKUP(Fact_Contabilidad[[#This Row], [Concepto Anterior]],Conceptos_Contabilidad[#All],5,0),"")</f>
        <v/>
      </c>
      <c r="F1544" t="str">
        <f>+IFERROR(VLOOKUP(Fact_Contabilidad[[#This Row], 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ht="18.75" customHeight="1" x14ac:dyDescent="0.35">
      <c r="A1545" s="103"/>
      <c r="C1545" s="100" t="str">
        <f>IF(OR(Fact_Contabilidad[[#This Row], [Año]]="",Fact_Contabilidad[[#This Row], [Mes]]=""),"",DATE(A1545,MATCH(B1545,{"enero","febrero","marzo","abril","mayo","junio","julio","agosto","septiembre","octubre","noviembre","diciembre"},0)+1,0))</f>
        <v/>
      </c>
      <c r="E1545" t="str">
        <f>+IFERROR(VLOOKUP(Fact_Contabilidad[[#This Row], [Concepto Anterior]],Conceptos_Contabilidad[#All],5,0),"")</f>
        <v/>
      </c>
      <c r="F1545" t="str">
        <f>+IFERROR(VLOOKUP(Fact_Contabilidad[[#This Row], 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ht="18.75" customHeight="1" x14ac:dyDescent="0.35">
      <c r="A1546" s="103"/>
      <c r="C1546" s="100" t="str">
        <f>IF(OR(Fact_Contabilidad[[#This Row], [Año]]="",Fact_Contabilidad[[#This Row], [Mes]]=""),"",DATE(A1546,MATCH(B1546,{"enero","febrero","marzo","abril","mayo","junio","julio","agosto","septiembre","octubre","noviembre","diciembre"},0)+1,0))</f>
        <v/>
      </c>
      <c r="E1546" t="str">
        <f>+IFERROR(VLOOKUP(Fact_Contabilidad[[#This Row], [Concepto Anterior]],Conceptos_Contabilidad[#All],5,0),"")</f>
        <v/>
      </c>
      <c r="F1546" t="str">
        <f>+IFERROR(VLOOKUP(Fact_Contabilidad[[#This Row], 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ht="18.75" customHeight="1" x14ac:dyDescent="0.35">
      <c r="A1547" s="103"/>
      <c r="C1547" s="100" t="str">
        <f>IF(OR(Fact_Contabilidad[[#This Row], [Año]]="",Fact_Contabilidad[[#This Row], [Mes]]=""),"",DATE(A1547,MATCH(B1547,{"enero","febrero","marzo","abril","mayo","junio","julio","agosto","septiembre","octubre","noviembre","diciembre"},0)+1,0))</f>
        <v/>
      </c>
      <c r="E1547" t="str">
        <f>+IFERROR(VLOOKUP(Fact_Contabilidad[[#This Row], [Concepto Anterior]],Conceptos_Contabilidad[#All],5,0),"")</f>
        <v/>
      </c>
      <c r="F1547" t="str">
        <f>+IFERROR(VLOOKUP(Fact_Contabilidad[[#This Row], 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ht="18.75" customHeight="1" x14ac:dyDescent="0.35">
      <c r="A1548" s="103"/>
      <c r="C1548" s="100" t="str">
        <f>IF(OR(Fact_Contabilidad[[#This Row], [Año]]="",Fact_Contabilidad[[#This Row], [Mes]]=""),"",DATE(A1548,MATCH(B1548,{"enero","febrero","marzo","abril","mayo","junio","julio","agosto","septiembre","octubre","noviembre","diciembre"},0)+1,0))</f>
        <v/>
      </c>
      <c r="E1548" t="str">
        <f>+IFERROR(VLOOKUP(Fact_Contabilidad[[#This Row], [Concepto Anterior]],Conceptos_Contabilidad[#All],5,0),"")</f>
        <v/>
      </c>
      <c r="F1548" t="str">
        <f>+IFERROR(VLOOKUP(Fact_Contabilidad[[#This Row], 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ht="18.75" customHeight="1" x14ac:dyDescent="0.35">
      <c r="A1549" s="103"/>
      <c r="C1549" s="100" t="str">
        <f>IF(OR(Fact_Contabilidad[[#This Row], [Año]]="",Fact_Contabilidad[[#This Row], [Mes]]=""),"",DATE(A1549,MATCH(B1549,{"enero","febrero","marzo","abril","mayo","junio","julio","agosto","septiembre","octubre","noviembre","diciembre"},0)+1,0))</f>
        <v/>
      </c>
      <c r="E1549" t="str">
        <f>+IFERROR(VLOOKUP(Fact_Contabilidad[[#This Row], [Concepto Anterior]],Conceptos_Contabilidad[#All],5,0),"")</f>
        <v/>
      </c>
      <c r="F1549" t="str">
        <f>+IFERROR(VLOOKUP(Fact_Contabilidad[[#This Row], 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ht="18.75" customHeight="1" x14ac:dyDescent="0.35">
      <c r="A1550" s="103"/>
      <c r="C1550" s="100" t="str">
        <f>IF(OR(Fact_Contabilidad[[#This Row], [Año]]="",Fact_Contabilidad[[#This Row], [Mes]]=""),"",DATE(A1550,MATCH(B1550,{"enero","febrero","marzo","abril","mayo","junio","julio","agosto","septiembre","octubre","noviembre","diciembre"},0)+1,0))</f>
        <v/>
      </c>
      <c r="E1550" t="str">
        <f>+IFERROR(VLOOKUP(Fact_Contabilidad[[#This Row], [Concepto Anterior]],Conceptos_Contabilidad[#All],5,0),"")</f>
        <v/>
      </c>
      <c r="F1550" t="str">
        <f>+IFERROR(VLOOKUP(Fact_Contabilidad[[#This Row], 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ht="18.75" customHeight="1" x14ac:dyDescent="0.35">
      <c r="A1551" s="103"/>
      <c r="C1551" s="100" t="str">
        <f>IF(OR(Fact_Contabilidad[[#This Row], [Año]]="",Fact_Contabilidad[[#This Row], [Mes]]=""),"",DATE(A1551,MATCH(B1551,{"enero","febrero","marzo","abril","mayo","junio","julio","agosto","septiembre","octubre","noviembre","diciembre"},0)+1,0))</f>
        <v/>
      </c>
      <c r="E1551" t="str">
        <f>+IFERROR(VLOOKUP(Fact_Contabilidad[[#This Row], [Concepto Anterior]],Conceptos_Contabilidad[#All],5,0),"")</f>
        <v/>
      </c>
      <c r="F1551" t="str">
        <f>+IFERROR(VLOOKUP(Fact_Contabilidad[[#This Row], 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ht="18.75" customHeight="1" x14ac:dyDescent="0.35">
      <c r="A1552" s="103"/>
      <c r="C1552" s="100" t="str">
        <f>IF(OR(Fact_Contabilidad[[#This Row], [Año]]="",Fact_Contabilidad[[#This Row], [Mes]]=""),"",DATE(A1552,MATCH(B1552,{"enero","febrero","marzo","abril","mayo","junio","julio","agosto","septiembre","octubre","noviembre","diciembre"},0)+1,0))</f>
        <v/>
      </c>
      <c r="E1552" t="str">
        <f>+IFERROR(VLOOKUP(Fact_Contabilidad[[#This Row], [Concepto Anterior]],Conceptos_Contabilidad[#All],5,0),"")</f>
        <v/>
      </c>
      <c r="F1552" t="str">
        <f>+IFERROR(VLOOKUP(Fact_Contabilidad[[#This Row], 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ht="18.75" customHeight="1" x14ac:dyDescent="0.35">
      <c r="A1553" s="103"/>
      <c r="C1553" s="100" t="str">
        <f>IF(OR(Fact_Contabilidad[[#This Row], [Año]]="",Fact_Contabilidad[[#This Row], [Mes]]=""),"",DATE(A1553,MATCH(B1553,{"enero","febrero","marzo","abril","mayo","junio","julio","agosto","septiembre","octubre","noviembre","diciembre"},0)+1,0))</f>
        <v/>
      </c>
      <c r="E1553" t="str">
        <f>+IFERROR(VLOOKUP(Fact_Contabilidad[[#This Row], [Concepto Anterior]],Conceptos_Contabilidad[#All],5,0),"")</f>
        <v/>
      </c>
      <c r="F1553" t="str">
        <f>+IFERROR(VLOOKUP(Fact_Contabilidad[[#This Row], 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ht="18.75" customHeight="1" x14ac:dyDescent="0.35">
      <c r="A1554" s="103"/>
      <c r="C1554" s="100" t="str">
        <f>IF(OR(Fact_Contabilidad[[#This Row], [Año]]="",Fact_Contabilidad[[#This Row], [Mes]]=""),"",DATE(A1554,MATCH(B1554,{"enero","febrero","marzo","abril","mayo","junio","julio","agosto","septiembre","octubre","noviembre","diciembre"},0)+1,0))</f>
        <v/>
      </c>
      <c r="E1554" t="str">
        <f>+IFERROR(VLOOKUP(Fact_Contabilidad[[#This Row], [Concepto Anterior]],Conceptos_Contabilidad[#All],5,0),"")</f>
        <v/>
      </c>
      <c r="F1554" t="str">
        <f>+IFERROR(VLOOKUP(Fact_Contabilidad[[#This Row], 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ht="18.75" customHeight="1" x14ac:dyDescent="0.35">
      <c r="A1555" s="103"/>
      <c r="C1555" s="100" t="str">
        <f>IF(OR(Fact_Contabilidad[[#This Row], [Año]]="",Fact_Contabilidad[[#This Row], [Mes]]=""),"",DATE(A1555,MATCH(B1555,{"enero","febrero","marzo","abril","mayo","junio","julio","agosto","septiembre","octubre","noviembre","diciembre"},0)+1,0))</f>
        <v/>
      </c>
      <c r="E1555" t="str">
        <f>+IFERROR(VLOOKUP(Fact_Contabilidad[[#This Row], [Concepto Anterior]],Conceptos_Contabilidad[#All],5,0),"")</f>
        <v/>
      </c>
      <c r="F1555" t="str">
        <f>+IFERROR(VLOOKUP(Fact_Contabilidad[[#This Row], 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ht="18.75" customHeight="1" x14ac:dyDescent="0.35">
      <c r="A1556" s="103"/>
      <c r="C1556" s="100" t="str">
        <f>IF(OR(Fact_Contabilidad[[#This Row], [Año]]="",Fact_Contabilidad[[#This Row], [Mes]]=""),"",DATE(A1556,MATCH(B1556,{"enero","febrero","marzo","abril","mayo","junio","julio","agosto","septiembre","octubre","noviembre","diciembre"},0)+1,0))</f>
        <v/>
      </c>
      <c r="E1556" t="str">
        <f>+IFERROR(VLOOKUP(Fact_Contabilidad[[#This Row], [Concepto Anterior]],Conceptos_Contabilidad[#All],5,0),"")</f>
        <v/>
      </c>
      <c r="F1556" t="str">
        <f>+IFERROR(VLOOKUP(Fact_Contabilidad[[#This Row], 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ht="18.75" customHeight="1" x14ac:dyDescent="0.35">
      <c r="A1557" s="103"/>
      <c r="C1557" s="100" t="str">
        <f>IF(OR(Fact_Contabilidad[[#This Row], [Año]]="",Fact_Contabilidad[[#This Row], [Mes]]=""),"",DATE(A1557,MATCH(B1557,{"enero","febrero","marzo","abril","mayo","junio","julio","agosto","septiembre","octubre","noviembre","diciembre"},0)+1,0))</f>
        <v/>
      </c>
      <c r="E1557" t="str">
        <f>+IFERROR(VLOOKUP(Fact_Contabilidad[[#This Row], [Concepto Anterior]],Conceptos_Contabilidad[#All],5,0),"")</f>
        <v/>
      </c>
      <c r="F1557" t="str">
        <f>+IFERROR(VLOOKUP(Fact_Contabilidad[[#This Row], 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ht="18.75" customHeight="1" x14ac:dyDescent="0.35">
      <c r="A1558" s="103"/>
      <c r="C1558" s="100" t="str">
        <f>IF(OR(Fact_Contabilidad[[#This Row], [Año]]="",Fact_Contabilidad[[#This Row], [Mes]]=""),"",DATE(A1558,MATCH(B1558,{"enero","febrero","marzo","abril","mayo","junio","julio","agosto","septiembre","octubre","noviembre","diciembre"},0)+1,0))</f>
        <v/>
      </c>
      <c r="E1558" t="str">
        <f>+IFERROR(VLOOKUP(Fact_Contabilidad[[#This Row], [Concepto Anterior]],Conceptos_Contabilidad[#All],5,0),"")</f>
        <v/>
      </c>
      <c r="F1558" t="str">
        <f>+IFERROR(VLOOKUP(Fact_Contabilidad[[#This Row], 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ht="18.75" customHeight="1" x14ac:dyDescent="0.35">
      <c r="A1559" s="103"/>
      <c r="C1559" s="100" t="str">
        <f>IF(OR(Fact_Contabilidad[[#This Row], [Año]]="",Fact_Contabilidad[[#This Row], [Mes]]=""),"",DATE(A1559,MATCH(B1559,{"enero","febrero","marzo","abril","mayo","junio","julio","agosto","septiembre","octubre","noviembre","diciembre"},0)+1,0))</f>
        <v/>
      </c>
      <c r="E1559" t="str">
        <f>+IFERROR(VLOOKUP(Fact_Contabilidad[[#This Row], [Concepto Anterior]],Conceptos_Contabilidad[#All],5,0),"")</f>
        <v/>
      </c>
      <c r="F1559" t="str">
        <f>+IFERROR(VLOOKUP(Fact_Contabilidad[[#This Row], 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ht="18.75" customHeight="1" x14ac:dyDescent="0.35">
      <c r="A1560" s="103"/>
      <c r="C1560" s="100" t="str">
        <f>IF(OR(Fact_Contabilidad[[#This Row], [Año]]="",Fact_Contabilidad[[#This Row], [Mes]]=""),"",DATE(A1560,MATCH(B1560,{"enero","febrero","marzo","abril","mayo","junio","julio","agosto","septiembre","octubre","noviembre","diciembre"},0)+1,0))</f>
        <v/>
      </c>
      <c r="E1560" t="str">
        <f>+IFERROR(VLOOKUP(Fact_Contabilidad[[#This Row], [Concepto Anterior]],Conceptos_Contabilidad[#All],5,0),"")</f>
        <v/>
      </c>
      <c r="F1560" t="str">
        <f>+IFERROR(VLOOKUP(Fact_Contabilidad[[#This Row], 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ht="18.75" customHeight="1" x14ac:dyDescent="0.35">
      <c r="A1561" s="103"/>
      <c r="C1561" s="100" t="str">
        <f>IF(OR(Fact_Contabilidad[[#This Row], [Año]]="",Fact_Contabilidad[[#This Row], [Mes]]=""),"",DATE(A1561,MATCH(B1561,{"enero","febrero","marzo","abril","mayo","junio","julio","agosto","septiembre","octubre","noviembre","diciembre"},0)+1,0))</f>
        <v/>
      </c>
      <c r="E1561" t="str">
        <f>+IFERROR(VLOOKUP(Fact_Contabilidad[[#This Row], [Concepto Anterior]],Conceptos_Contabilidad[#All],5,0),"")</f>
        <v/>
      </c>
      <c r="F1561" t="str">
        <f>+IFERROR(VLOOKUP(Fact_Contabilidad[[#This Row], 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ht="18.75" customHeight="1" x14ac:dyDescent="0.35">
      <c r="A1562" s="103"/>
      <c r="C1562" s="100" t="str">
        <f>IF(OR(Fact_Contabilidad[[#This Row], [Año]]="",Fact_Contabilidad[[#This Row], [Mes]]=""),"",DATE(A1562,MATCH(B1562,{"enero","febrero","marzo","abril","mayo","junio","julio","agosto","septiembre","octubre","noviembre","diciembre"},0)+1,0))</f>
        <v/>
      </c>
      <c r="E1562" t="str">
        <f>+IFERROR(VLOOKUP(Fact_Contabilidad[[#This Row], [Concepto Anterior]],Conceptos_Contabilidad[#All],5,0),"")</f>
        <v/>
      </c>
      <c r="F1562" t="str">
        <f>+IFERROR(VLOOKUP(Fact_Contabilidad[[#This Row], 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ht="18.75" customHeight="1" x14ac:dyDescent="0.35">
      <c r="A1563" s="103"/>
      <c r="C1563" s="100" t="str">
        <f>IF(OR(Fact_Contabilidad[[#This Row], [Año]]="",Fact_Contabilidad[[#This Row], [Mes]]=""),"",DATE(A1563,MATCH(B1563,{"enero","febrero","marzo","abril","mayo","junio","julio","agosto","septiembre","octubre","noviembre","diciembre"},0)+1,0))</f>
        <v/>
      </c>
      <c r="E1563" t="str">
        <f>+IFERROR(VLOOKUP(Fact_Contabilidad[[#This Row], [Concepto Anterior]],Conceptos_Contabilidad[#All],5,0),"")</f>
        <v/>
      </c>
      <c r="F1563" t="str">
        <f>+IFERROR(VLOOKUP(Fact_Contabilidad[[#This Row], 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ht="18.75" customHeight="1" x14ac:dyDescent="0.35">
      <c r="A1564" s="103"/>
      <c r="C1564" s="100" t="str">
        <f>IF(OR(Fact_Contabilidad[[#This Row], [Año]]="",Fact_Contabilidad[[#This Row], [Mes]]=""),"",DATE(A1564,MATCH(B1564,{"enero","febrero","marzo","abril","mayo","junio","julio","agosto","septiembre","octubre","noviembre","diciembre"},0)+1,0))</f>
        <v/>
      </c>
      <c r="E1564" t="str">
        <f>+IFERROR(VLOOKUP(Fact_Contabilidad[[#This Row], [Concepto Anterior]],Conceptos_Contabilidad[#All],5,0),"")</f>
        <v/>
      </c>
      <c r="F1564" t="str">
        <f>+IFERROR(VLOOKUP(Fact_Contabilidad[[#This Row], 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ht="18.75" customHeight="1" x14ac:dyDescent="0.35">
      <c r="A1565" s="103"/>
      <c r="C1565" s="100" t="str">
        <f>IF(OR(Fact_Contabilidad[[#This Row], [Año]]="",Fact_Contabilidad[[#This Row], [Mes]]=""),"",DATE(A1565,MATCH(B1565,{"enero","febrero","marzo","abril","mayo","junio","julio","agosto","septiembre","octubre","noviembre","diciembre"},0)+1,0))</f>
        <v/>
      </c>
      <c r="E1565" t="str">
        <f>+IFERROR(VLOOKUP(Fact_Contabilidad[[#This Row], [Concepto Anterior]],Conceptos_Contabilidad[#All],5,0),"")</f>
        <v/>
      </c>
      <c r="F1565" t="str">
        <f>+IFERROR(VLOOKUP(Fact_Contabilidad[[#This Row], 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ht="18.75" customHeight="1" x14ac:dyDescent="0.35">
      <c r="A1566" s="103"/>
      <c r="C1566" s="100" t="str">
        <f>IF(OR(Fact_Contabilidad[[#This Row], [Año]]="",Fact_Contabilidad[[#This Row], [Mes]]=""),"",DATE(A1566,MATCH(B1566,{"enero","febrero","marzo","abril","mayo","junio","julio","agosto","septiembre","octubre","noviembre","diciembre"},0)+1,0))</f>
        <v/>
      </c>
      <c r="E1566" t="str">
        <f>+IFERROR(VLOOKUP(Fact_Contabilidad[[#This Row], [Concepto Anterior]],Conceptos_Contabilidad[#All],5,0),"")</f>
        <v/>
      </c>
      <c r="F1566" t="str">
        <f>+IFERROR(VLOOKUP(Fact_Contabilidad[[#This Row], 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ht="18.75" customHeight="1" x14ac:dyDescent="0.35">
      <c r="A1567" s="103"/>
      <c r="C1567" s="100" t="str">
        <f>IF(OR(Fact_Contabilidad[[#This Row], [Año]]="",Fact_Contabilidad[[#This Row], [Mes]]=""),"",DATE(A1567,MATCH(B1567,{"enero","febrero","marzo","abril","mayo","junio","julio","agosto","septiembre","octubre","noviembre","diciembre"},0)+1,0))</f>
        <v/>
      </c>
      <c r="E1567" t="str">
        <f>+IFERROR(VLOOKUP(Fact_Contabilidad[[#This Row], [Concepto Anterior]],Conceptos_Contabilidad[#All],5,0),"")</f>
        <v/>
      </c>
      <c r="F1567" t="str">
        <f>+IFERROR(VLOOKUP(Fact_Contabilidad[[#This Row], 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ht="18.75" customHeight="1" x14ac:dyDescent="0.35">
      <c r="A1568" s="103"/>
      <c r="C1568" s="100" t="str">
        <f>IF(OR(Fact_Contabilidad[[#This Row], [Año]]="",Fact_Contabilidad[[#This Row], [Mes]]=""),"",DATE(A1568,MATCH(B1568,{"enero","febrero","marzo","abril","mayo","junio","julio","agosto","septiembre","octubre","noviembre","diciembre"},0)+1,0))</f>
        <v/>
      </c>
      <c r="E1568" t="str">
        <f>+IFERROR(VLOOKUP(Fact_Contabilidad[[#This Row], [Concepto Anterior]],Conceptos_Contabilidad[#All],5,0),"")</f>
        <v/>
      </c>
      <c r="F1568" t="str">
        <f>+IFERROR(VLOOKUP(Fact_Contabilidad[[#This Row], 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ht="18.75" customHeight="1" x14ac:dyDescent="0.35">
      <c r="A1569" s="103"/>
      <c r="C1569" s="100" t="str">
        <f>IF(OR(Fact_Contabilidad[[#This Row], [Año]]="",Fact_Contabilidad[[#This Row], [Mes]]=""),"",DATE(A1569,MATCH(B1569,{"enero","febrero","marzo","abril","mayo","junio","julio","agosto","septiembre","octubre","noviembre","diciembre"},0)+1,0))</f>
        <v/>
      </c>
      <c r="E1569" t="str">
        <f>+IFERROR(VLOOKUP(Fact_Contabilidad[[#This Row], [Concepto Anterior]],Conceptos_Contabilidad[#All],5,0),"")</f>
        <v/>
      </c>
      <c r="F1569" t="str">
        <f>+IFERROR(VLOOKUP(Fact_Contabilidad[[#This Row], 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ht="18.75" customHeight="1" x14ac:dyDescent="0.35">
      <c r="A1570" s="103"/>
      <c r="C1570" s="100" t="str">
        <f>IF(OR(Fact_Contabilidad[[#This Row], [Año]]="",Fact_Contabilidad[[#This Row], [Mes]]=""),"",DATE(A1570,MATCH(B1570,{"enero","febrero","marzo","abril","mayo","junio","julio","agosto","septiembre","octubre","noviembre","diciembre"},0)+1,0))</f>
        <v/>
      </c>
      <c r="E1570" t="str">
        <f>+IFERROR(VLOOKUP(Fact_Contabilidad[[#This Row], [Concepto Anterior]],Conceptos_Contabilidad[#All],5,0),"")</f>
        <v/>
      </c>
      <c r="F1570" t="str">
        <f>+IFERROR(VLOOKUP(Fact_Contabilidad[[#This Row], 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ht="18.75" customHeight="1" x14ac:dyDescent="0.35">
      <c r="A1571" s="103"/>
      <c r="C1571" s="100" t="str">
        <f>IF(OR(Fact_Contabilidad[[#This Row], [Año]]="",Fact_Contabilidad[[#This Row], [Mes]]=""),"",DATE(A1571,MATCH(B1571,{"enero","febrero","marzo","abril","mayo","junio","julio","agosto","septiembre","octubre","noviembre","diciembre"},0)+1,0))</f>
        <v/>
      </c>
      <c r="E1571" t="str">
        <f>+IFERROR(VLOOKUP(Fact_Contabilidad[[#This Row], [Concepto Anterior]],Conceptos_Contabilidad[#All],5,0),"")</f>
        <v/>
      </c>
      <c r="F1571" t="str">
        <f>+IFERROR(VLOOKUP(Fact_Contabilidad[[#This Row], 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ht="18.75" customHeight="1" x14ac:dyDescent="0.35">
      <c r="A1572" s="103"/>
      <c r="C1572" s="100" t="str">
        <f>IF(OR(Fact_Contabilidad[[#This Row], [Año]]="",Fact_Contabilidad[[#This Row], [Mes]]=""),"",DATE(A1572,MATCH(B1572,{"enero","febrero","marzo","abril","mayo","junio","julio","agosto","septiembre","octubre","noviembre","diciembre"},0)+1,0))</f>
        <v/>
      </c>
      <c r="E1572" t="str">
        <f>+IFERROR(VLOOKUP(Fact_Contabilidad[[#This Row], [Concepto Anterior]],Conceptos_Contabilidad[#All],5,0),"")</f>
        <v/>
      </c>
      <c r="F1572" t="str">
        <f>+IFERROR(VLOOKUP(Fact_Contabilidad[[#This Row], 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ht="18.75" customHeight="1" x14ac:dyDescent="0.35">
      <c r="A1573" s="103"/>
      <c r="C1573" s="100" t="str">
        <f>IF(OR(Fact_Contabilidad[[#This Row], [Año]]="",Fact_Contabilidad[[#This Row], [Mes]]=""),"",DATE(A1573,MATCH(B1573,{"enero","febrero","marzo","abril","mayo","junio","julio","agosto","septiembre","octubre","noviembre","diciembre"},0)+1,0))</f>
        <v/>
      </c>
      <c r="E1573" t="str">
        <f>+IFERROR(VLOOKUP(Fact_Contabilidad[[#This Row], [Concepto Anterior]],Conceptos_Contabilidad[#All],5,0),"")</f>
        <v/>
      </c>
      <c r="F1573" t="str">
        <f>+IFERROR(VLOOKUP(Fact_Contabilidad[[#This Row], 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ht="18.75" customHeight="1" x14ac:dyDescent="0.35">
      <c r="A1574" s="103"/>
      <c r="C1574" s="100" t="str">
        <f>IF(OR(Fact_Contabilidad[[#This Row], [Año]]="",Fact_Contabilidad[[#This Row], [Mes]]=""),"",DATE(A1574,MATCH(B1574,{"enero","febrero","marzo","abril","mayo","junio","julio","agosto","septiembre","octubre","noviembre","diciembre"},0)+1,0))</f>
        <v/>
      </c>
      <c r="E1574" t="str">
        <f>+IFERROR(VLOOKUP(Fact_Contabilidad[[#This Row], [Concepto Anterior]],Conceptos_Contabilidad[#All],5,0),"")</f>
        <v/>
      </c>
      <c r="F1574" t="str">
        <f>+IFERROR(VLOOKUP(Fact_Contabilidad[[#This Row], 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ht="18.75" customHeight="1" x14ac:dyDescent="0.35">
      <c r="A1575" s="103"/>
      <c r="C1575" s="100" t="str">
        <f>IF(OR(Fact_Contabilidad[[#This Row], [Año]]="",Fact_Contabilidad[[#This Row], [Mes]]=""),"",DATE(A1575,MATCH(B1575,{"enero","febrero","marzo","abril","mayo","junio","julio","agosto","septiembre","octubre","noviembre","diciembre"},0)+1,0))</f>
        <v/>
      </c>
      <c r="E1575" t="str">
        <f>+IFERROR(VLOOKUP(Fact_Contabilidad[[#This Row], [Concepto Anterior]],Conceptos_Contabilidad[#All],5,0),"")</f>
        <v/>
      </c>
      <c r="F1575" t="str">
        <f>+IFERROR(VLOOKUP(Fact_Contabilidad[[#This Row], 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ht="18.75" customHeight="1" x14ac:dyDescent="0.35">
      <c r="A1576" s="103"/>
      <c r="C1576" s="100" t="str">
        <f>IF(OR(Fact_Contabilidad[[#This Row], [Año]]="",Fact_Contabilidad[[#This Row], [Mes]]=""),"",DATE(A1576,MATCH(B1576,{"enero","febrero","marzo","abril","mayo","junio","julio","agosto","septiembre","octubre","noviembre","diciembre"},0)+1,0))</f>
        <v/>
      </c>
      <c r="E1576" t="str">
        <f>+IFERROR(VLOOKUP(Fact_Contabilidad[[#This Row], [Concepto Anterior]],Conceptos_Contabilidad[#All],5,0),"")</f>
        <v/>
      </c>
      <c r="F1576" t="str">
        <f>+IFERROR(VLOOKUP(Fact_Contabilidad[[#This Row], 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ht="18.75" customHeight="1" x14ac:dyDescent="0.35">
      <c r="A1577" s="103"/>
      <c r="C1577" s="100" t="str">
        <f>IF(OR(Fact_Contabilidad[[#This Row], [Año]]="",Fact_Contabilidad[[#This Row], [Mes]]=""),"",DATE(A1577,MATCH(B1577,{"enero","febrero","marzo","abril","mayo","junio","julio","agosto","septiembre","octubre","noviembre","diciembre"},0)+1,0))</f>
        <v/>
      </c>
      <c r="E1577" t="str">
        <f>+IFERROR(VLOOKUP(Fact_Contabilidad[[#This Row], [Concepto Anterior]],Conceptos_Contabilidad[#All],5,0),"")</f>
        <v/>
      </c>
      <c r="F1577" t="str">
        <f>+IFERROR(VLOOKUP(Fact_Contabilidad[[#This Row], 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ht="18.75" customHeight="1" x14ac:dyDescent="0.35">
      <c r="A1578" s="103"/>
      <c r="C1578" s="100" t="str">
        <f>IF(OR(Fact_Contabilidad[[#This Row], [Año]]="",Fact_Contabilidad[[#This Row], [Mes]]=""),"",DATE(A1578,MATCH(B1578,{"enero","febrero","marzo","abril","mayo","junio","julio","agosto","septiembre","octubre","noviembre","diciembre"},0)+1,0))</f>
        <v/>
      </c>
      <c r="E1578" t="str">
        <f>+IFERROR(VLOOKUP(Fact_Contabilidad[[#This Row], [Concepto Anterior]],Conceptos_Contabilidad[#All],5,0),"")</f>
        <v/>
      </c>
      <c r="F1578" t="str">
        <f>+IFERROR(VLOOKUP(Fact_Contabilidad[[#This Row], 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ht="18.75" customHeight="1" x14ac:dyDescent="0.35">
      <c r="A1579" s="103"/>
      <c r="C1579" s="100" t="str">
        <f>IF(OR(Fact_Contabilidad[[#This Row], [Año]]="",Fact_Contabilidad[[#This Row], [Mes]]=""),"",DATE(A1579,MATCH(B1579,{"enero","febrero","marzo","abril","mayo","junio","julio","agosto","septiembre","octubre","noviembre","diciembre"},0)+1,0))</f>
        <v/>
      </c>
      <c r="E1579" t="str">
        <f>+IFERROR(VLOOKUP(Fact_Contabilidad[[#This Row], [Concepto Anterior]],Conceptos_Contabilidad[#All],5,0),"")</f>
        <v/>
      </c>
      <c r="F1579" t="str">
        <f>+IFERROR(VLOOKUP(Fact_Contabilidad[[#This Row], 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ht="18.75" customHeight="1" x14ac:dyDescent="0.35">
      <c r="A1580" s="103"/>
      <c r="C1580" s="100" t="str">
        <f>IF(OR(Fact_Contabilidad[[#This Row], [Año]]="",Fact_Contabilidad[[#This Row], [Mes]]=""),"",DATE(A1580,MATCH(B1580,{"enero","febrero","marzo","abril","mayo","junio","julio","agosto","septiembre","octubre","noviembre","diciembre"},0)+1,0))</f>
        <v/>
      </c>
      <c r="E1580" t="str">
        <f>+IFERROR(VLOOKUP(Fact_Contabilidad[[#This Row], [Concepto Anterior]],Conceptos_Contabilidad[#All],5,0),"")</f>
        <v/>
      </c>
      <c r="F1580" t="str">
        <f>+IFERROR(VLOOKUP(Fact_Contabilidad[[#This Row], 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ht="18.75" customHeight="1" x14ac:dyDescent="0.35">
      <c r="A1581" s="103"/>
      <c r="C1581" s="100" t="str">
        <f>IF(OR(Fact_Contabilidad[[#This Row], [Año]]="",Fact_Contabilidad[[#This Row], [Mes]]=""),"",DATE(A1581,MATCH(B1581,{"enero","febrero","marzo","abril","mayo","junio","julio","agosto","septiembre","octubre","noviembre","diciembre"},0)+1,0))</f>
        <v/>
      </c>
      <c r="E1581" t="str">
        <f>+IFERROR(VLOOKUP(Fact_Contabilidad[[#This Row], [Concepto Anterior]],Conceptos_Contabilidad[#All],5,0),"")</f>
        <v/>
      </c>
      <c r="F1581" t="str">
        <f>+IFERROR(VLOOKUP(Fact_Contabilidad[[#This Row], 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ht="18.75" customHeight="1" x14ac:dyDescent="0.35">
      <c r="A1582" s="103"/>
      <c r="C1582" s="100" t="str">
        <f>IF(OR(Fact_Contabilidad[[#This Row], [Año]]="",Fact_Contabilidad[[#This Row], [Mes]]=""),"",DATE(A1582,MATCH(B1582,{"enero","febrero","marzo","abril","mayo","junio","julio","agosto","septiembre","octubre","noviembre","diciembre"},0)+1,0))</f>
        <v/>
      </c>
      <c r="E1582" t="str">
        <f>+IFERROR(VLOOKUP(Fact_Contabilidad[[#This Row], [Concepto Anterior]],Conceptos_Contabilidad[#All],5,0),"")</f>
        <v/>
      </c>
      <c r="F1582" t="str">
        <f>+IFERROR(VLOOKUP(Fact_Contabilidad[[#This Row], 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ht="18.75" customHeight="1" x14ac:dyDescent="0.35">
      <c r="A1583" s="103"/>
      <c r="C1583" s="100" t="str">
        <f>IF(OR(Fact_Contabilidad[[#This Row], [Año]]="",Fact_Contabilidad[[#This Row], [Mes]]=""),"",DATE(A1583,MATCH(B1583,{"enero","febrero","marzo","abril","mayo","junio","julio","agosto","septiembre","octubre","noviembre","diciembre"},0)+1,0))</f>
        <v/>
      </c>
      <c r="E1583" t="str">
        <f>+IFERROR(VLOOKUP(Fact_Contabilidad[[#This Row], [Concepto Anterior]],Conceptos_Contabilidad[#All],5,0),"")</f>
        <v/>
      </c>
      <c r="F1583" t="str">
        <f>+IFERROR(VLOOKUP(Fact_Contabilidad[[#This Row], 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ht="18.75" customHeight="1" x14ac:dyDescent="0.35">
      <c r="A1584" s="103"/>
      <c r="C1584" s="100" t="str">
        <f>IF(OR(Fact_Contabilidad[[#This Row], [Año]]="",Fact_Contabilidad[[#This Row], [Mes]]=""),"",DATE(A1584,MATCH(B1584,{"enero","febrero","marzo","abril","mayo","junio","julio","agosto","septiembre","octubre","noviembre","diciembre"},0)+1,0))</f>
        <v/>
      </c>
      <c r="E1584" t="str">
        <f>+IFERROR(VLOOKUP(Fact_Contabilidad[[#This Row], [Concepto Anterior]],Conceptos_Contabilidad[#All],5,0),"")</f>
        <v/>
      </c>
      <c r="F1584" t="str">
        <f>+IFERROR(VLOOKUP(Fact_Contabilidad[[#This Row], 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ht="18.75" customHeight="1" x14ac:dyDescent="0.35">
      <c r="A1585" s="103"/>
      <c r="C1585" s="100" t="str">
        <f>IF(OR(Fact_Contabilidad[[#This Row], [Año]]="",Fact_Contabilidad[[#This Row], [Mes]]=""),"",DATE(A1585,MATCH(B1585,{"enero","febrero","marzo","abril","mayo","junio","julio","agosto","septiembre","octubre","noviembre","diciembre"},0)+1,0))</f>
        <v/>
      </c>
      <c r="E1585" t="str">
        <f>+IFERROR(VLOOKUP(Fact_Contabilidad[[#This Row], [Concepto Anterior]],Conceptos_Contabilidad[#All],5,0),"")</f>
        <v/>
      </c>
      <c r="F1585" t="str">
        <f>+IFERROR(VLOOKUP(Fact_Contabilidad[[#This Row], 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ht="18.75" customHeight="1" x14ac:dyDescent="0.35">
      <c r="A1586" s="103"/>
      <c r="C1586" s="100" t="str">
        <f>IF(OR(Fact_Contabilidad[[#This Row], [Año]]="",Fact_Contabilidad[[#This Row], [Mes]]=""),"",DATE(A1586,MATCH(B1586,{"enero","febrero","marzo","abril","mayo","junio","julio","agosto","septiembre","octubre","noviembre","diciembre"},0)+1,0))</f>
        <v/>
      </c>
      <c r="E1586" t="str">
        <f>+IFERROR(VLOOKUP(Fact_Contabilidad[[#This Row], [Concepto Anterior]],Conceptos_Contabilidad[#All],5,0),"")</f>
        <v/>
      </c>
      <c r="F1586" t="str">
        <f>+IFERROR(VLOOKUP(Fact_Contabilidad[[#This Row], 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ht="18.75" customHeight="1" x14ac:dyDescent="0.35">
      <c r="A1587" s="103"/>
      <c r="C1587" s="100" t="str">
        <f>IF(OR(Fact_Contabilidad[[#This Row], [Año]]="",Fact_Contabilidad[[#This Row], [Mes]]=""),"",DATE(A1587,MATCH(B1587,{"enero","febrero","marzo","abril","mayo","junio","julio","agosto","septiembre","octubre","noviembre","diciembre"},0)+1,0))</f>
        <v/>
      </c>
      <c r="E1587" t="str">
        <f>+IFERROR(VLOOKUP(Fact_Contabilidad[[#This Row], [Concepto Anterior]],Conceptos_Contabilidad[#All],5,0),"")</f>
        <v/>
      </c>
      <c r="F1587" t="str">
        <f>+IFERROR(VLOOKUP(Fact_Contabilidad[[#This Row], 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ht="18.75" customHeight="1" x14ac:dyDescent="0.35">
      <c r="A1588" s="103"/>
      <c r="C1588" s="100" t="str">
        <f>IF(OR(Fact_Contabilidad[[#This Row], [Año]]="",Fact_Contabilidad[[#This Row], [Mes]]=""),"",DATE(A1588,MATCH(B1588,{"enero","febrero","marzo","abril","mayo","junio","julio","agosto","septiembre","octubre","noviembre","diciembre"},0)+1,0))</f>
        <v/>
      </c>
      <c r="E1588" t="str">
        <f>+IFERROR(VLOOKUP(Fact_Contabilidad[[#This Row], [Concepto Anterior]],Conceptos_Contabilidad[#All],5,0),"")</f>
        <v/>
      </c>
      <c r="F1588" t="str">
        <f>+IFERROR(VLOOKUP(Fact_Contabilidad[[#This Row], 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ht="18.75" customHeight="1" x14ac:dyDescent="0.35">
      <c r="A1589" s="103"/>
      <c r="C1589" s="100" t="str">
        <f>IF(OR(Fact_Contabilidad[[#This Row], [Año]]="",Fact_Contabilidad[[#This Row], [Mes]]=""),"",DATE(A1589,MATCH(B1589,{"enero","febrero","marzo","abril","mayo","junio","julio","agosto","septiembre","octubre","noviembre","diciembre"},0)+1,0))</f>
        <v/>
      </c>
      <c r="E1589" t="str">
        <f>+IFERROR(VLOOKUP(Fact_Contabilidad[[#This Row], [Concepto Anterior]],Conceptos_Contabilidad[#All],5,0),"")</f>
        <v/>
      </c>
      <c r="F1589" t="str">
        <f>+IFERROR(VLOOKUP(Fact_Contabilidad[[#This Row], 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ht="18.75" customHeight="1" x14ac:dyDescent="0.35">
      <c r="A1590" s="103"/>
      <c r="C1590" s="100" t="str">
        <f>IF(OR(Fact_Contabilidad[[#This Row], [Año]]="",Fact_Contabilidad[[#This Row], [Mes]]=""),"",DATE(A1590,MATCH(B1590,{"enero","febrero","marzo","abril","mayo","junio","julio","agosto","septiembre","octubre","noviembre","diciembre"},0)+1,0))</f>
        <v/>
      </c>
      <c r="E1590" t="str">
        <f>+IFERROR(VLOOKUP(Fact_Contabilidad[[#This Row], [Concepto Anterior]],Conceptos_Contabilidad[#All],5,0),"")</f>
        <v/>
      </c>
      <c r="F1590" t="str">
        <f>+IFERROR(VLOOKUP(Fact_Contabilidad[[#This Row], 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ht="18.75" customHeight="1" x14ac:dyDescent="0.35">
      <c r="A1591" s="103"/>
      <c r="C1591" s="100" t="str">
        <f>IF(OR(Fact_Contabilidad[[#This Row], [Año]]="",Fact_Contabilidad[[#This Row], [Mes]]=""),"",DATE(A1591,MATCH(B1591,{"enero","febrero","marzo","abril","mayo","junio","julio","agosto","septiembre","octubre","noviembre","diciembre"},0)+1,0))</f>
        <v/>
      </c>
      <c r="E1591" t="str">
        <f>+IFERROR(VLOOKUP(Fact_Contabilidad[[#This Row], [Concepto Anterior]],Conceptos_Contabilidad[#All],5,0),"")</f>
        <v/>
      </c>
      <c r="F1591" t="str">
        <f>+IFERROR(VLOOKUP(Fact_Contabilidad[[#This Row], 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ht="18.75" customHeight="1" x14ac:dyDescent="0.35">
      <c r="A1592" s="103"/>
      <c r="C1592" s="100" t="str">
        <f>IF(OR(Fact_Contabilidad[[#This Row], [Año]]="",Fact_Contabilidad[[#This Row], [Mes]]=""),"",DATE(A1592,MATCH(B1592,{"enero","febrero","marzo","abril","mayo","junio","julio","agosto","septiembre","octubre","noviembre","diciembre"},0)+1,0))</f>
        <v/>
      </c>
      <c r="E1592" t="str">
        <f>+IFERROR(VLOOKUP(Fact_Contabilidad[[#This Row], [Concepto Anterior]],Conceptos_Contabilidad[#All],5,0),"")</f>
        <v/>
      </c>
      <c r="F1592" t="str">
        <f>+IFERROR(VLOOKUP(Fact_Contabilidad[[#This Row], 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ht="18.75" customHeight="1" x14ac:dyDescent="0.35">
      <c r="A1593" s="103"/>
      <c r="C1593" s="100" t="str">
        <f>IF(OR(Fact_Contabilidad[[#This Row], [Año]]="",Fact_Contabilidad[[#This Row], [Mes]]=""),"",DATE(A1593,MATCH(B1593,{"enero","febrero","marzo","abril","mayo","junio","julio","agosto","septiembre","octubre","noviembre","diciembre"},0)+1,0))</f>
        <v/>
      </c>
      <c r="E1593" t="str">
        <f>+IFERROR(VLOOKUP(Fact_Contabilidad[[#This Row], [Concepto Anterior]],Conceptos_Contabilidad[#All],5,0),"")</f>
        <v/>
      </c>
      <c r="F1593" t="str">
        <f>+IFERROR(VLOOKUP(Fact_Contabilidad[[#This Row], 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ht="18.75" customHeight="1" x14ac:dyDescent="0.35">
      <c r="A1594" s="103"/>
      <c r="C1594" s="100" t="str">
        <f>IF(OR(Fact_Contabilidad[[#This Row], [Año]]="",Fact_Contabilidad[[#This Row], [Mes]]=""),"",DATE(A1594,MATCH(B1594,{"enero","febrero","marzo","abril","mayo","junio","julio","agosto","septiembre","octubre","noviembre","diciembre"},0)+1,0))</f>
        <v/>
      </c>
      <c r="E1594" t="str">
        <f>+IFERROR(VLOOKUP(Fact_Contabilidad[[#This Row], [Concepto Anterior]],Conceptos_Contabilidad[#All],5,0),"")</f>
        <v/>
      </c>
      <c r="F1594" t="str">
        <f>+IFERROR(VLOOKUP(Fact_Contabilidad[[#This Row], 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ht="18.75" customHeight="1" x14ac:dyDescent="0.35">
      <c r="A1595" s="103"/>
      <c r="C1595" s="100" t="str">
        <f>IF(OR(Fact_Contabilidad[[#This Row], [Año]]="",Fact_Contabilidad[[#This Row], [Mes]]=""),"",DATE(A1595,MATCH(B1595,{"enero","febrero","marzo","abril","mayo","junio","julio","agosto","septiembre","octubre","noviembre","diciembre"},0)+1,0))</f>
        <v/>
      </c>
      <c r="E1595" t="str">
        <f>+IFERROR(VLOOKUP(Fact_Contabilidad[[#This Row], [Concepto Anterior]],Conceptos_Contabilidad[#All],5,0),"")</f>
        <v/>
      </c>
      <c r="F1595" t="str">
        <f>+IFERROR(VLOOKUP(Fact_Contabilidad[[#This Row], 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ht="18.75" customHeight="1" x14ac:dyDescent="0.35">
      <c r="A1596" s="103"/>
      <c r="C1596" s="100" t="str">
        <f>IF(OR(Fact_Contabilidad[[#This Row], [Año]]="",Fact_Contabilidad[[#This Row], [Mes]]=""),"",DATE(A1596,MATCH(B1596,{"enero","febrero","marzo","abril","mayo","junio","julio","agosto","septiembre","octubre","noviembre","diciembre"},0)+1,0))</f>
        <v/>
      </c>
      <c r="E1596" t="str">
        <f>+IFERROR(VLOOKUP(Fact_Contabilidad[[#This Row], [Concepto Anterior]],Conceptos_Contabilidad[#All],5,0),"")</f>
        <v/>
      </c>
      <c r="F1596" t="str">
        <f>+IFERROR(VLOOKUP(Fact_Contabilidad[[#This Row], 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ht="18.75" customHeight="1" x14ac:dyDescent="0.35">
      <c r="A1597" s="103"/>
      <c r="C1597" s="100" t="str">
        <f>IF(OR(Fact_Contabilidad[[#This Row], [Año]]="",Fact_Contabilidad[[#This Row], [Mes]]=""),"",DATE(A1597,MATCH(B1597,{"enero","febrero","marzo","abril","mayo","junio","julio","agosto","septiembre","octubre","noviembre","diciembre"},0)+1,0))</f>
        <v/>
      </c>
      <c r="E1597" t="str">
        <f>+IFERROR(VLOOKUP(Fact_Contabilidad[[#This Row], [Concepto Anterior]],Conceptos_Contabilidad[#All],5,0),"")</f>
        <v/>
      </c>
      <c r="F1597" t="str">
        <f>+IFERROR(VLOOKUP(Fact_Contabilidad[[#This Row], 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ht="18.75" customHeight="1" x14ac:dyDescent="0.35">
      <c r="A1598" s="103"/>
      <c r="C1598" s="100" t="str">
        <f>IF(OR(Fact_Contabilidad[[#This Row], [Año]]="",Fact_Contabilidad[[#This Row], [Mes]]=""),"",DATE(A1598,MATCH(B1598,{"enero","febrero","marzo","abril","mayo","junio","julio","agosto","septiembre","octubre","noviembre","diciembre"},0)+1,0))</f>
        <v/>
      </c>
      <c r="E1598" t="str">
        <f>+IFERROR(VLOOKUP(Fact_Contabilidad[[#This Row], [Concepto Anterior]],Conceptos_Contabilidad[#All],5,0),"")</f>
        <v/>
      </c>
      <c r="F1598" t="str">
        <f>+IFERROR(VLOOKUP(Fact_Contabilidad[[#This Row], 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ht="18.75" customHeight="1" x14ac:dyDescent="0.35">
      <c r="A1599" s="103"/>
      <c r="C1599" s="100" t="str">
        <f>IF(OR(Fact_Contabilidad[[#This Row], [Año]]="",Fact_Contabilidad[[#This Row], [Mes]]=""),"",DATE(A1599,MATCH(B1599,{"enero","febrero","marzo","abril","mayo","junio","julio","agosto","septiembre","octubre","noviembre","diciembre"},0)+1,0))</f>
        <v/>
      </c>
      <c r="E1599" t="str">
        <f>+IFERROR(VLOOKUP(Fact_Contabilidad[[#This Row], [Concepto Anterior]],Conceptos_Contabilidad[#All],5,0),"")</f>
        <v/>
      </c>
      <c r="F1599" t="str">
        <f>+IFERROR(VLOOKUP(Fact_Contabilidad[[#This Row], 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ht="18.75" customHeight="1" x14ac:dyDescent="0.35">
      <c r="A1600" s="103"/>
      <c r="C1600" s="100" t="str">
        <f>IF(OR(Fact_Contabilidad[[#This Row], [Año]]="",Fact_Contabilidad[[#This Row], [Mes]]=""),"",DATE(A1600,MATCH(B1600,{"enero","febrero","marzo","abril","mayo","junio","julio","agosto","septiembre","octubre","noviembre","diciembre"},0)+1,0))</f>
        <v/>
      </c>
      <c r="E1600" t="str">
        <f>+IFERROR(VLOOKUP(Fact_Contabilidad[[#This Row], [Concepto Anterior]],Conceptos_Contabilidad[#All],5,0),"")</f>
        <v/>
      </c>
      <c r="F1600" t="str">
        <f>+IFERROR(VLOOKUP(Fact_Contabilidad[[#This Row], 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ht="18.75" customHeight="1" x14ac:dyDescent="0.35">
      <c r="A1601" s="103"/>
      <c r="C1601" s="100" t="str">
        <f>IF(OR(Fact_Contabilidad[[#This Row], [Año]]="",Fact_Contabilidad[[#This Row], [Mes]]=""),"",DATE(A1601,MATCH(B1601,{"enero","febrero","marzo","abril","mayo","junio","julio","agosto","septiembre","octubre","noviembre","diciembre"},0)+1,0))</f>
        <v/>
      </c>
      <c r="E1601" t="str">
        <f>+IFERROR(VLOOKUP(Fact_Contabilidad[[#This Row], [Concepto Anterior]],Conceptos_Contabilidad[#All],5,0),"")</f>
        <v/>
      </c>
      <c r="F1601" t="str">
        <f>+IFERROR(VLOOKUP(Fact_Contabilidad[[#This Row], 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ht="18.75" customHeight="1" x14ac:dyDescent="0.35">
      <c r="A1602" s="103"/>
      <c r="C1602" s="100" t="str">
        <f>IF(OR(Fact_Contabilidad[[#This Row], [Año]]="",Fact_Contabilidad[[#This Row], [Mes]]=""),"",DATE(A1602,MATCH(B1602,{"enero","febrero","marzo","abril","mayo","junio","julio","agosto","septiembre","octubre","noviembre","diciembre"},0)+1,0))</f>
        <v/>
      </c>
      <c r="E1602" t="str">
        <f>+IFERROR(VLOOKUP(Fact_Contabilidad[[#This Row], [Concepto Anterior]],Conceptos_Contabilidad[#All],5,0),"")</f>
        <v/>
      </c>
      <c r="F1602" t="str">
        <f>+IFERROR(VLOOKUP(Fact_Contabilidad[[#This Row], 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ht="18.75" customHeight="1" x14ac:dyDescent="0.35">
      <c r="A1603" s="103"/>
      <c r="C1603" s="100" t="str">
        <f>IF(OR(Fact_Contabilidad[[#This Row], [Año]]="",Fact_Contabilidad[[#This Row], [Mes]]=""),"",DATE(A1603,MATCH(B1603,{"enero","febrero","marzo","abril","mayo","junio","julio","agosto","septiembre","octubre","noviembre","diciembre"},0)+1,0))</f>
        <v/>
      </c>
      <c r="E1603" t="str">
        <f>+IFERROR(VLOOKUP(Fact_Contabilidad[[#This Row], [Concepto Anterior]],Conceptos_Contabilidad[#All],5,0),"")</f>
        <v/>
      </c>
      <c r="F1603" t="str">
        <f>+IFERROR(VLOOKUP(Fact_Contabilidad[[#This Row], 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ht="18.75" customHeight="1" x14ac:dyDescent="0.35">
      <c r="A1604" s="103"/>
      <c r="C1604" s="100" t="str">
        <f>IF(OR(Fact_Contabilidad[[#This Row], [Año]]="",Fact_Contabilidad[[#This Row], [Mes]]=""),"",DATE(A1604,MATCH(B1604,{"enero","febrero","marzo","abril","mayo","junio","julio","agosto","septiembre","octubre","noviembre","diciembre"},0)+1,0))</f>
        <v/>
      </c>
      <c r="E1604" t="str">
        <f>+IFERROR(VLOOKUP(Fact_Contabilidad[[#This Row], [Concepto Anterior]],Conceptos_Contabilidad[#All],5,0),"")</f>
        <v/>
      </c>
      <c r="F1604" t="str">
        <f>+IFERROR(VLOOKUP(Fact_Contabilidad[[#This Row], 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ht="18.75" customHeight="1" x14ac:dyDescent="0.35">
      <c r="A1605" s="103"/>
      <c r="C1605" s="100" t="str">
        <f>IF(OR(Fact_Contabilidad[[#This Row], [Año]]="",Fact_Contabilidad[[#This Row], [Mes]]=""),"",DATE(A1605,MATCH(B1605,{"enero","febrero","marzo","abril","mayo","junio","julio","agosto","septiembre","octubre","noviembre","diciembre"},0)+1,0))</f>
        <v/>
      </c>
      <c r="E1605" t="str">
        <f>+IFERROR(VLOOKUP(Fact_Contabilidad[[#This Row], [Concepto Anterior]],Conceptos_Contabilidad[#All],5,0),"")</f>
        <v/>
      </c>
      <c r="F1605" t="str">
        <f>+IFERROR(VLOOKUP(Fact_Contabilidad[[#This Row], 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ht="18.75" customHeight="1" x14ac:dyDescent="0.35">
      <c r="A1606" s="103"/>
      <c r="C1606" s="100" t="str">
        <f>IF(OR(Fact_Contabilidad[[#This Row], [Año]]="",Fact_Contabilidad[[#This Row], [Mes]]=""),"",DATE(A1606,MATCH(B1606,{"enero","febrero","marzo","abril","mayo","junio","julio","agosto","septiembre","octubre","noviembre","diciembre"},0)+1,0))</f>
        <v/>
      </c>
      <c r="E1606" t="str">
        <f>+IFERROR(VLOOKUP(Fact_Contabilidad[[#This Row], [Concepto Anterior]],Conceptos_Contabilidad[#All],5,0),"")</f>
        <v/>
      </c>
      <c r="F1606" t="str">
        <f>+IFERROR(VLOOKUP(Fact_Contabilidad[[#This Row], 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ht="18.75" customHeight="1" x14ac:dyDescent="0.35">
      <c r="A1607" s="103"/>
      <c r="C1607" s="100" t="str">
        <f>IF(OR(Fact_Contabilidad[[#This Row], [Año]]="",Fact_Contabilidad[[#This Row], [Mes]]=""),"",DATE(A1607,MATCH(B1607,{"enero","febrero","marzo","abril","mayo","junio","julio","agosto","septiembre","octubre","noviembre","diciembre"},0)+1,0))</f>
        <v/>
      </c>
      <c r="E1607" t="str">
        <f>+IFERROR(VLOOKUP(Fact_Contabilidad[[#This Row], [Concepto Anterior]],Conceptos_Contabilidad[#All],5,0),"")</f>
        <v/>
      </c>
      <c r="F1607" t="str">
        <f>+IFERROR(VLOOKUP(Fact_Contabilidad[[#This Row], 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ht="18.75" customHeight="1" x14ac:dyDescent="0.35">
      <c r="A1608" s="103"/>
      <c r="C1608" s="100" t="str">
        <f>IF(OR(Fact_Contabilidad[[#This Row], [Año]]="",Fact_Contabilidad[[#This Row], [Mes]]=""),"",DATE(A1608,MATCH(B1608,{"enero","febrero","marzo","abril","mayo","junio","julio","agosto","septiembre","octubre","noviembre","diciembre"},0)+1,0))</f>
        <v/>
      </c>
      <c r="E1608" t="str">
        <f>+IFERROR(VLOOKUP(Fact_Contabilidad[[#This Row], [Concepto Anterior]],Conceptos_Contabilidad[#All],5,0),"")</f>
        <v/>
      </c>
      <c r="F1608" t="str">
        <f>+IFERROR(VLOOKUP(Fact_Contabilidad[[#This Row], 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ht="18.75" customHeight="1" x14ac:dyDescent="0.35">
      <c r="A1609" s="103"/>
      <c r="C1609" s="100" t="str">
        <f>IF(OR(Fact_Contabilidad[[#This Row], [Año]]="",Fact_Contabilidad[[#This Row], [Mes]]=""),"",DATE(A1609,MATCH(B1609,{"enero","febrero","marzo","abril","mayo","junio","julio","agosto","septiembre","octubre","noviembre","diciembre"},0)+1,0))</f>
        <v/>
      </c>
      <c r="E1609" t="str">
        <f>+IFERROR(VLOOKUP(Fact_Contabilidad[[#This Row], [Concepto Anterior]],Conceptos_Contabilidad[#All],5,0),"")</f>
        <v/>
      </c>
      <c r="F1609" t="str">
        <f>+IFERROR(VLOOKUP(Fact_Contabilidad[[#This Row], 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ht="18.75" customHeight="1" x14ac:dyDescent="0.35">
      <c r="A1610" s="103"/>
      <c r="C1610" s="100" t="str">
        <f>IF(OR(Fact_Contabilidad[[#This Row], [Año]]="",Fact_Contabilidad[[#This Row], [Mes]]=""),"",DATE(A1610,MATCH(B1610,{"enero","febrero","marzo","abril","mayo","junio","julio","agosto","septiembre","octubre","noviembre","diciembre"},0)+1,0))</f>
        <v/>
      </c>
      <c r="E1610" t="str">
        <f>+IFERROR(VLOOKUP(Fact_Contabilidad[[#This Row], [Concepto Anterior]],Conceptos_Contabilidad[#All],5,0),"")</f>
        <v/>
      </c>
      <c r="F1610" t="str">
        <f>+IFERROR(VLOOKUP(Fact_Contabilidad[[#This Row], 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ht="18.75" customHeight="1" x14ac:dyDescent="0.35">
      <c r="A1611" s="103"/>
      <c r="C1611" s="100" t="str">
        <f>IF(OR(Fact_Contabilidad[[#This Row], [Año]]="",Fact_Contabilidad[[#This Row], [Mes]]=""),"",DATE(A1611,MATCH(B1611,{"enero","febrero","marzo","abril","mayo","junio","julio","agosto","septiembre","octubre","noviembre","diciembre"},0)+1,0))</f>
        <v/>
      </c>
      <c r="E1611" t="str">
        <f>+IFERROR(VLOOKUP(Fact_Contabilidad[[#This Row], [Concepto Anterior]],Conceptos_Contabilidad[#All],5,0),"")</f>
        <v/>
      </c>
      <c r="F1611" t="str">
        <f>+IFERROR(VLOOKUP(Fact_Contabilidad[[#This Row], 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ht="18.75" customHeight="1" x14ac:dyDescent="0.35">
      <c r="A1612" s="103"/>
      <c r="C1612" s="100" t="str">
        <f>IF(OR(Fact_Contabilidad[[#This Row], [Año]]="",Fact_Contabilidad[[#This Row], [Mes]]=""),"",DATE(A1612,MATCH(B1612,{"enero","febrero","marzo","abril","mayo","junio","julio","agosto","septiembre","octubre","noviembre","diciembre"},0)+1,0))</f>
        <v/>
      </c>
      <c r="E1612" t="str">
        <f>+IFERROR(VLOOKUP(Fact_Contabilidad[[#This Row], [Concepto Anterior]],Conceptos_Contabilidad[#All],5,0),"")</f>
        <v/>
      </c>
      <c r="F1612" t="str">
        <f>+IFERROR(VLOOKUP(Fact_Contabilidad[[#This Row], 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ht="18.75" customHeight="1" x14ac:dyDescent="0.35">
      <c r="A1613" s="103"/>
      <c r="C1613" s="100" t="str">
        <f>IF(OR(Fact_Contabilidad[[#This Row], [Año]]="",Fact_Contabilidad[[#This Row], [Mes]]=""),"",DATE(A1613,MATCH(B1613,{"enero","febrero","marzo","abril","mayo","junio","julio","agosto","septiembre","octubre","noviembre","diciembre"},0)+1,0))</f>
        <v/>
      </c>
      <c r="E1613" t="str">
        <f>+IFERROR(VLOOKUP(Fact_Contabilidad[[#This Row], [Concepto Anterior]],Conceptos_Contabilidad[#All],5,0),"")</f>
        <v/>
      </c>
      <c r="F1613" t="str">
        <f>+IFERROR(VLOOKUP(Fact_Contabilidad[[#This Row], 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ht="18.75" customHeight="1" x14ac:dyDescent="0.35">
      <c r="A1614" s="103"/>
      <c r="C1614" s="100" t="str">
        <f>IF(OR(Fact_Contabilidad[[#This Row], [Año]]="",Fact_Contabilidad[[#This Row], [Mes]]=""),"",DATE(A1614,MATCH(B1614,{"enero","febrero","marzo","abril","mayo","junio","julio","agosto","septiembre","octubre","noviembre","diciembre"},0)+1,0))</f>
        <v/>
      </c>
      <c r="E1614" t="str">
        <f>+IFERROR(VLOOKUP(Fact_Contabilidad[[#This Row], [Concepto Anterior]],Conceptos_Contabilidad[#All],5,0),"")</f>
        <v/>
      </c>
      <c r="F1614" t="str">
        <f>+IFERROR(VLOOKUP(Fact_Contabilidad[[#This Row], 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ht="18.75" customHeight="1" x14ac:dyDescent="0.35">
      <c r="A1615" s="103"/>
      <c r="C1615" s="100" t="str">
        <f>IF(OR(Fact_Contabilidad[[#This Row], [Año]]="",Fact_Contabilidad[[#This Row], [Mes]]=""),"",DATE(A1615,MATCH(B1615,{"enero","febrero","marzo","abril","mayo","junio","julio","agosto","septiembre","octubre","noviembre","diciembre"},0)+1,0))</f>
        <v/>
      </c>
      <c r="E1615" t="str">
        <f>+IFERROR(VLOOKUP(Fact_Contabilidad[[#This Row], [Concepto Anterior]],Conceptos_Contabilidad[#All],5,0),"")</f>
        <v/>
      </c>
      <c r="F1615" t="str">
        <f>+IFERROR(VLOOKUP(Fact_Contabilidad[[#This Row], 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ht="18.75" customHeight="1" x14ac:dyDescent="0.35">
      <c r="A1616" s="103"/>
      <c r="C1616" s="100" t="str">
        <f>IF(OR(Fact_Contabilidad[[#This Row], [Año]]="",Fact_Contabilidad[[#This Row], [Mes]]=""),"",DATE(A1616,MATCH(B1616,{"enero","febrero","marzo","abril","mayo","junio","julio","agosto","septiembre","octubre","noviembre","diciembre"},0)+1,0))</f>
        <v/>
      </c>
      <c r="E1616" t="str">
        <f>+IFERROR(VLOOKUP(Fact_Contabilidad[[#This Row], [Concepto Anterior]],Conceptos_Contabilidad[#All],5,0),"")</f>
        <v/>
      </c>
      <c r="F1616" t="str">
        <f>+IFERROR(VLOOKUP(Fact_Contabilidad[[#This Row], 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ht="18.75" customHeight="1" x14ac:dyDescent="0.35">
      <c r="A1617" s="103"/>
      <c r="C1617" s="100" t="str">
        <f>IF(OR(Fact_Contabilidad[[#This Row], [Año]]="",Fact_Contabilidad[[#This Row], [Mes]]=""),"",DATE(A1617,MATCH(B1617,{"enero","febrero","marzo","abril","mayo","junio","julio","agosto","septiembre","octubre","noviembre","diciembre"},0)+1,0))</f>
        <v/>
      </c>
      <c r="E1617" t="str">
        <f>+IFERROR(VLOOKUP(Fact_Contabilidad[[#This Row], [Concepto Anterior]],Conceptos_Contabilidad[#All],5,0),"")</f>
        <v/>
      </c>
      <c r="F1617" t="str">
        <f>+IFERROR(VLOOKUP(Fact_Contabilidad[[#This Row], 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ht="18.75" customHeight="1" x14ac:dyDescent="0.35">
      <c r="A1618" s="103"/>
      <c r="C1618" s="100" t="str">
        <f>IF(OR(Fact_Contabilidad[[#This Row], [Año]]="",Fact_Contabilidad[[#This Row], [Mes]]=""),"",DATE(A1618,MATCH(B1618,{"enero","febrero","marzo","abril","mayo","junio","julio","agosto","septiembre","octubre","noviembre","diciembre"},0)+1,0))</f>
        <v/>
      </c>
      <c r="E1618" t="str">
        <f>+IFERROR(VLOOKUP(Fact_Contabilidad[[#This Row], [Concepto Anterior]],Conceptos_Contabilidad[#All],5,0),"")</f>
        <v/>
      </c>
      <c r="F1618" t="str">
        <f>+IFERROR(VLOOKUP(Fact_Contabilidad[[#This Row], 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ht="18.75" customHeight="1" x14ac:dyDescent="0.35">
      <c r="A1619" s="103"/>
      <c r="C1619" s="100" t="str">
        <f>IF(OR(Fact_Contabilidad[[#This Row], [Año]]="",Fact_Contabilidad[[#This Row], [Mes]]=""),"",DATE(A1619,MATCH(B1619,{"enero","febrero","marzo","abril","mayo","junio","julio","agosto","septiembre","octubre","noviembre","diciembre"},0)+1,0))</f>
        <v/>
      </c>
      <c r="E1619" t="str">
        <f>+IFERROR(VLOOKUP(Fact_Contabilidad[[#This Row], [Concepto Anterior]],Conceptos_Contabilidad[#All],5,0),"")</f>
        <v/>
      </c>
      <c r="F1619" t="str">
        <f>+IFERROR(VLOOKUP(Fact_Contabilidad[[#This Row], 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ht="18.75" customHeight="1" x14ac:dyDescent="0.35">
      <c r="A1620" s="103"/>
      <c r="C1620" s="100" t="str">
        <f>IF(OR(Fact_Contabilidad[[#This Row], [Año]]="",Fact_Contabilidad[[#This Row], [Mes]]=""),"",DATE(A1620,MATCH(B1620,{"enero","febrero","marzo","abril","mayo","junio","julio","agosto","septiembre","octubre","noviembre","diciembre"},0)+1,0))</f>
        <v/>
      </c>
      <c r="E1620" t="str">
        <f>+IFERROR(VLOOKUP(Fact_Contabilidad[[#This Row], [Concepto Anterior]],Conceptos_Contabilidad[#All],5,0),"")</f>
        <v/>
      </c>
      <c r="F1620" t="str">
        <f>+IFERROR(VLOOKUP(Fact_Contabilidad[[#This Row], 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ht="18.75" customHeight="1" x14ac:dyDescent="0.35">
      <c r="A1621" s="103"/>
      <c r="C1621" s="100" t="str">
        <f>IF(OR(Fact_Contabilidad[[#This Row], [Año]]="",Fact_Contabilidad[[#This Row], [Mes]]=""),"",DATE(A1621,MATCH(B1621,{"enero","febrero","marzo","abril","mayo","junio","julio","agosto","septiembre","octubre","noviembre","diciembre"},0)+1,0))</f>
        <v/>
      </c>
      <c r="E1621" t="str">
        <f>+IFERROR(VLOOKUP(Fact_Contabilidad[[#This Row], [Concepto Anterior]],Conceptos_Contabilidad[#All],5,0),"")</f>
        <v/>
      </c>
      <c r="F1621" t="str">
        <f>+IFERROR(VLOOKUP(Fact_Contabilidad[[#This Row], 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ht="18.75" customHeight="1" x14ac:dyDescent="0.35">
      <c r="A1622" s="103"/>
      <c r="C1622" s="100" t="str">
        <f>IF(OR(Fact_Contabilidad[[#This Row], [Año]]="",Fact_Contabilidad[[#This Row], [Mes]]=""),"",DATE(A1622,MATCH(B1622,{"enero","febrero","marzo","abril","mayo","junio","julio","agosto","septiembre","octubre","noviembre","diciembre"},0)+1,0))</f>
        <v/>
      </c>
      <c r="E1622" t="str">
        <f>+IFERROR(VLOOKUP(Fact_Contabilidad[[#This Row], [Concepto Anterior]],Conceptos_Contabilidad[#All],5,0),"")</f>
        <v/>
      </c>
      <c r="F1622" t="str">
        <f>+IFERROR(VLOOKUP(Fact_Contabilidad[[#This Row], 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ht="18.75" customHeight="1" x14ac:dyDescent="0.35">
      <c r="A1623" s="103"/>
      <c r="C1623" s="100" t="str">
        <f>IF(OR(Fact_Contabilidad[[#This Row], [Año]]="",Fact_Contabilidad[[#This Row], [Mes]]=""),"",DATE(A1623,MATCH(B1623,{"enero","febrero","marzo","abril","mayo","junio","julio","agosto","septiembre","octubre","noviembre","diciembre"},0)+1,0))</f>
        <v/>
      </c>
      <c r="E1623" t="str">
        <f>+IFERROR(VLOOKUP(Fact_Contabilidad[[#This Row], [Concepto Anterior]],Conceptos_Contabilidad[#All],5,0),"")</f>
        <v/>
      </c>
      <c r="F1623" t="str">
        <f>+IFERROR(VLOOKUP(Fact_Contabilidad[[#This Row], 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ht="18.75" customHeight="1" x14ac:dyDescent="0.35">
      <c r="A1624" s="103"/>
      <c r="C1624" s="100" t="str">
        <f>IF(OR(Fact_Contabilidad[[#This Row], [Año]]="",Fact_Contabilidad[[#This Row], [Mes]]=""),"",DATE(A1624,MATCH(B1624,{"enero","febrero","marzo","abril","mayo","junio","julio","agosto","septiembre","octubre","noviembre","diciembre"},0)+1,0))</f>
        <v/>
      </c>
      <c r="E1624" t="str">
        <f>+IFERROR(VLOOKUP(Fact_Contabilidad[[#This Row], [Concepto Anterior]],Conceptos_Contabilidad[#All],5,0),"")</f>
        <v/>
      </c>
      <c r="F1624" t="str">
        <f>+IFERROR(VLOOKUP(Fact_Contabilidad[[#This Row], 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ht="18.75" customHeight="1" x14ac:dyDescent="0.35">
      <c r="A1625" s="103"/>
      <c r="C1625" s="100" t="str">
        <f>IF(OR(Fact_Contabilidad[[#This Row], [Año]]="",Fact_Contabilidad[[#This Row], [Mes]]=""),"",DATE(A1625,MATCH(B1625,{"enero","febrero","marzo","abril","mayo","junio","julio","agosto","septiembre","octubre","noviembre","diciembre"},0)+1,0))</f>
        <v/>
      </c>
      <c r="E1625" t="str">
        <f>+IFERROR(VLOOKUP(Fact_Contabilidad[[#This Row], [Concepto Anterior]],Conceptos_Contabilidad[#All],5,0),"")</f>
        <v/>
      </c>
      <c r="F1625" t="str">
        <f>+IFERROR(VLOOKUP(Fact_Contabilidad[[#This Row], 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ht="18.75" customHeight="1" x14ac:dyDescent="0.35">
      <c r="A1626" s="103"/>
      <c r="C1626" s="100" t="str">
        <f>IF(OR(Fact_Contabilidad[[#This Row], [Año]]="",Fact_Contabilidad[[#This Row], [Mes]]=""),"",DATE(A1626,MATCH(B1626,{"enero","febrero","marzo","abril","mayo","junio","julio","agosto","septiembre","octubre","noviembre","diciembre"},0)+1,0))</f>
        <v/>
      </c>
      <c r="E1626" t="str">
        <f>+IFERROR(VLOOKUP(Fact_Contabilidad[[#This Row], [Concepto Anterior]],Conceptos_Contabilidad[#All],5,0),"")</f>
        <v/>
      </c>
      <c r="F1626" t="str">
        <f>+IFERROR(VLOOKUP(Fact_Contabilidad[[#This Row], 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ht="18.75" customHeight="1" x14ac:dyDescent="0.35">
      <c r="A1627" s="103"/>
      <c r="C1627" s="100" t="str">
        <f>IF(OR(Fact_Contabilidad[[#This Row], [Año]]="",Fact_Contabilidad[[#This Row], [Mes]]=""),"",DATE(A1627,MATCH(B1627,{"enero","febrero","marzo","abril","mayo","junio","julio","agosto","septiembre","octubre","noviembre","diciembre"},0)+1,0))</f>
        <v/>
      </c>
      <c r="E1627" t="str">
        <f>+IFERROR(VLOOKUP(Fact_Contabilidad[[#This Row], [Concepto Anterior]],Conceptos_Contabilidad[#All],5,0),"")</f>
        <v/>
      </c>
      <c r="F1627" t="str">
        <f>+IFERROR(VLOOKUP(Fact_Contabilidad[[#This Row], 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ht="18.75" customHeight="1" x14ac:dyDescent="0.35">
      <c r="A1628" s="103"/>
      <c r="C1628" s="100" t="str">
        <f>IF(OR(Fact_Contabilidad[[#This Row], [Año]]="",Fact_Contabilidad[[#This Row], [Mes]]=""),"",DATE(A1628,MATCH(B1628,{"enero","febrero","marzo","abril","mayo","junio","julio","agosto","septiembre","octubre","noviembre","diciembre"},0)+1,0))</f>
        <v/>
      </c>
      <c r="E1628" t="str">
        <f>+IFERROR(VLOOKUP(Fact_Contabilidad[[#This Row], [Concepto Anterior]],Conceptos_Contabilidad[#All],5,0),"")</f>
        <v/>
      </c>
      <c r="F1628" t="str">
        <f>+IFERROR(VLOOKUP(Fact_Contabilidad[[#This Row], 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ht="18.75" customHeight="1" x14ac:dyDescent="0.35">
      <c r="A1629" s="103"/>
      <c r="C1629" s="100" t="str">
        <f>IF(OR(Fact_Contabilidad[[#This Row], [Año]]="",Fact_Contabilidad[[#This Row], [Mes]]=""),"",DATE(A1629,MATCH(B1629,{"enero","febrero","marzo","abril","mayo","junio","julio","agosto","septiembre","octubre","noviembre","diciembre"},0)+1,0))</f>
        <v/>
      </c>
      <c r="E1629" t="str">
        <f>+IFERROR(VLOOKUP(Fact_Contabilidad[[#This Row], [Concepto Anterior]],Conceptos_Contabilidad[#All],5,0),"")</f>
        <v/>
      </c>
      <c r="F1629" t="str">
        <f>+IFERROR(VLOOKUP(Fact_Contabilidad[[#This Row], 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ht="18.75" customHeight="1" x14ac:dyDescent="0.35">
      <c r="A1630" s="103"/>
      <c r="C1630" s="100" t="str">
        <f>IF(OR(Fact_Contabilidad[[#This Row], [Año]]="",Fact_Contabilidad[[#This Row], [Mes]]=""),"",DATE(A1630,MATCH(B1630,{"enero","febrero","marzo","abril","mayo","junio","julio","agosto","septiembre","octubre","noviembre","diciembre"},0)+1,0))</f>
        <v/>
      </c>
      <c r="E1630" t="str">
        <f>+IFERROR(VLOOKUP(Fact_Contabilidad[[#This Row], [Concepto Anterior]],Conceptos_Contabilidad[#All],5,0),"")</f>
        <v/>
      </c>
      <c r="F1630" t="str">
        <f>+IFERROR(VLOOKUP(Fact_Contabilidad[[#This Row], 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ht="18.75" customHeight="1" x14ac:dyDescent="0.35">
      <c r="A1631" s="103"/>
      <c r="C1631" s="100" t="str">
        <f>IF(OR(Fact_Contabilidad[[#This Row], [Año]]="",Fact_Contabilidad[[#This Row], [Mes]]=""),"",DATE(A1631,MATCH(B1631,{"enero","febrero","marzo","abril","mayo","junio","julio","agosto","septiembre","octubre","noviembre","diciembre"},0)+1,0))</f>
        <v/>
      </c>
      <c r="E1631" t="str">
        <f>+IFERROR(VLOOKUP(Fact_Contabilidad[[#This Row], [Concepto Anterior]],Conceptos_Contabilidad[#All],5,0),"")</f>
        <v/>
      </c>
      <c r="F1631" t="str">
        <f>+IFERROR(VLOOKUP(Fact_Contabilidad[[#This Row], 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ht="18.75" customHeight="1" x14ac:dyDescent="0.35">
      <c r="A1632" s="103"/>
      <c r="C1632" s="100" t="str">
        <f>IF(OR(Fact_Contabilidad[[#This Row], [Año]]="",Fact_Contabilidad[[#This Row], [Mes]]=""),"",DATE(A1632,MATCH(B1632,{"enero","febrero","marzo","abril","mayo","junio","julio","agosto","septiembre","octubre","noviembre","diciembre"},0)+1,0))</f>
        <v/>
      </c>
      <c r="E1632" t="str">
        <f>+IFERROR(VLOOKUP(Fact_Contabilidad[[#This Row], [Concepto Anterior]],Conceptos_Contabilidad[#All],5,0),"")</f>
        <v/>
      </c>
      <c r="F1632" t="str">
        <f>+IFERROR(VLOOKUP(Fact_Contabilidad[[#This Row], 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ht="18.75" customHeight="1" x14ac:dyDescent="0.35">
      <c r="A1633" s="103"/>
      <c r="C1633" s="100" t="str">
        <f>IF(OR(Fact_Contabilidad[[#This Row], [Año]]="",Fact_Contabilidad[[#This Row], [Mes]]=""),"",DATE(A1633,MATCH(B1633,{"enero","febrero","marzo","abril","mayo","junio","julio","agosto","septiembre","octubre","noviembre","diciembre"},0)+1,0))</f>
        <v/>
      </c>
      <c r="E1633" t="str">
        <f>+IFERROR(VLOOKUP(Fact_Contabilidad[[#This Row], [Concepto Anterior]],Conceptos_Contabilidad[#All],5,0),"")</f>
        <v/>
      </c>
      <c r="F1633" t="str">
        <f>+IFERROR(VLOOKUP(Fact_Contabilidad[[#This Row], 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ht="18.75" customHeight="1" x14ac:dyDescent="0.35">
      <c r="A1634" s="103"/>
      <c r="C1634" s="100" t="str">
        <f>IF(OR(Fact_Contabilidad[[#This Row], [Año]]="",Fact_Contabilidad[[#This Row], [Mes]]=""),"",DATE(A1634,MATCH(B1634,{"enero","febrero","marzo","abril","mayo","junio","julio","agosto","septiembre","octubre","noviembre","diciembre"},0)+1,0))</f>
        <v/>
      </c>
      <c r="E1634" t="str">
        <f>+IFERROR(VLOOKUP(Fact_Contabilidad[[#This Row], [Concepto Anterior]],Conceptos_Contabilidad[#All],5,0),"")</f>
        <v/>
      </c>
      <c r="F1634" t="str">
        <f>+IFERROR(VLOOKUP(Fact_Contabilidad[[#This Row], 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ht="18.75" customHeight="1" x14ac:dyDescent="0.35">
      <c r="A1635" s="103"/>
      <c r="C1635" s="100" t="str">
        <f>IF(OR(Fact_Contabilidad[[#This Row], [Año]]="",Fact_Contabilidad[[#This Row], [Mes]]=""),"",DATE(A1635,MATCH(B1635,{"enero","febrero","marzo","abril","mayo","junio","julio","agosto","septiembre","octubre","noviembre","diciembre"},0)+1,0))</f>
        <v/>
      </c>
      <c r="E1635" t="str">
        <f>+IFERROR(VLOOKUP(Fact_Contabilidad[[#This Row], [Concepto Anterior]],Conceptos_Contabilidad[#All],5,0),"")</f>
        <v/>
      </c>
      <c r="F1635" t="str">
        <f>+IFERROR(VLOOKUP(Fact_Contabilidad[[#This Row], 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ht="18.75" customHeight="1" x14ac:dyDescent="0.35">
      <c r="A1636" s="103"/>
      <c r="C1636" s="100" t="str">
        <f>IF(OR(Fact_Contabilidad[[#This Row], [Año]]="",Fact_Contabilidad[[#This Row], [Mes]]=""),"",DATE(A1636,MATCH(B1636,{"enero","febrero","marzo","abril","mayo","junio","julio","agosto","septiembre","octubre","noviembre","diciembre"},0)+1,0))</f>
        <v/>
      </c>
      <c r="E1636" t="str">
        <f>+IFERROR(VLOOKUP(Fact_Contabilidad[[#This Row], [Concepto Anterior]],Conceptos_Contabilidad[#All],5,0),"")</f>
        <v/>
      </c>
      <c r="F1636" t="str">
        <f>+IFERROR(VLOOKUP(Fact_Contabilidad[[#This Row], 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ht="18.75" customHeight="1" x14ac:dyDescent="0.35">
      <c r="A1637" s="103"/>
      <c r="C1637" s="100" t="str">
        <f>IF(OR(Fact_Contabilidad[[#This Row], [Año]]="",Fact_Contabilidad[[#This Row], [Mes]]=""),"",DATE(A1637,MATCH(B1637,{"enero","febrero","marzo","abril","mayo","junio","julio","agosto","septiembre","octubre","noviembre","diciembre"},0)+1,0))</f>
        <v/>
      </c>
      <c r="E1637" t="str">
        <f>+IFERROR(VLOOKUP(Fact_Contabilidad[[#This Row], [Concepto Anterior]],Conceptos_Contabilidad[#All],5,0),"")</f>
        <v/>
      </c>
      <c r="F1637" t="str">
        <f>+IFERROR(VLOOKUP(Fact_Contabilidad[[#This Row], 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ht="18.75" customHeight="1" x14ac:dyDescent="0.35">
      <c r="A1638" s="103"/>
      <c r="C1638" s="100" t="str">
        <f>IF(OR(Fact_Contabilidad[[#This Row], [Año]]="",Fact_Contabilidad[[#This Row], [Mes]]=""),"",DATE(A1638,MATCH(B1638,{"enero","febrero","marzo","abril","mayo","junio","julio","agosto","septiembre","octubre","noviembre","diciembre"},0)+1,0))</f>
        <v/>
      </c>
      <c r="E1638" t="str">
        <f>+IFERROR(VLOOKUP(Fact_Contabilidad[[#This Row], [Concepto Anterior]],Conceptos_Contabilidad[#All],5,0),"")</f>
        <v/>
      </c>
      <c r="F1638" t="str">
        <f>+IFERROR(VLOOKUP(Fact_Contabilidad[[#This Row], 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ht="18.75" customHeight="1" x14ac:dyDescent="0.35">
      <c r="A1639" s="103"/>
      <c r="C1639" s="100" t="str">
        <f>IF(OR(Fact_Contabilidad[[#This Row], [Año]]="",Fact_Contabilidad[[#This Row], [Mes]]=""),"",DATE(A1639,MATCH(B1639,{"enero","febrero","marzo","abril","mayo","junio","julio","agosto","septiembre","octubre","noviembre","diciembre"},0)+1,0))</f>
        <v/>
      </c>
      <c r="E1639" t="str">
        <f>+IFERROR(VLOOKUP(Fact_Contabilidad[[#This Row], [Concepto Anterior]],Conceptos_Contabilidad[#All],5,0),"")</f>
        <v/>
      </c>
      <c r="F1639" t="str">
        <f>+IFERROR(VLOOKUP(Fact_Contabilidad[[#This Row], 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ht="18.75" customHeight="1" x14ac:dyDescent="0.35">
      <c r="A1640" s="103"/>
      <c r="C1640" s="100" t="str">
        <f>IF(OR(Fact_Contabilidad[[#This Row], [Año]]="",Fact_Contabilidad[[#This Row], [Mes]]=""),"",DATE(A1640,MATCH(B1640,{"enero","febrero","marzo","abril","mayo","junio","julio","agosto","septiembre","octubre","noviembre","diciembre"},0)+1,0))</f>
        <v/>
      </c>
      <c r="E1640" t="str">
        <f>+IFERROR(VLOOKUP(Fact_Contabilidad[[#This Row], [Concepto Anterior]],Conceptos_Contabilidad[#All],5,0),"")</f>
        <v/>
      </c>
      <c r="F1640" t="str">
        <f>+IFERROR(VLOOKUP(Fact_Contabilidad[[#This Row], 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ht="18.75" customHeight="1" x14ac:dyDescent="0.35">
      <c r="A1641" s="103"/>
      <c r="C1641" s="100" t="str">
        <f>IF(OR(Fact_Contabilidad[[#This Row], [Año]]="",Fact_Contabilidad[[#This Row], [Mes]]=""),"",DATE(A1641,MATCH(B1641,{"enero","febrero","marzo","abril","mayo","junio","julio","agosto","septiembre","octubre","noviembre","diciembre"},0)+1,0))</f>
        <v/>
      </c>
      <c r="E1641" t="str">
        <f>+IFERROR(VLOOKUP(Fact_Contabilidad[[#This Row], [Concepto Anterior]],Conceptos_Contabilidad[#All],5,0),"")</f>
        <v/>
      </c>
      <c r="F1641" t="str">
        <f>+IFERROR(VLOOKUP(Fact_Contabilidad[[#This Row], 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ht="18.75" customHeight="1" x14ac:dyDescent="0.35">
      <c r="A1642" s="103"/>
      <c r="C1642" s="100" t="str">
        <f>IF(OR(Fact_Contabilidad[[#This Row], [Año]]="",Fact_Contabilidad[[#This Row], [Mes]]=""),"",DATE(A1642,MATCH(B1642,{"enero","febrero","marzo","abril","mayo","junio","julio","agosto","septiembre","octubre","noviembre","diciembre"},0)+1,0))</f>
        <v/>
      </c>
      <c r="E1642" t="str">
        <f>+IFERROR(VLOOKUP(Fact_Contabilidad[[#This Row], [Concepto Anterior]],Conceptos_Contabilidad[#All],5,0),"")</f>
        <v/>
      </c>
      <c r="F1642" t="str">
        <f>+IFERROR(VLOOKUP(Fact_Contabilidad[[#This Row], 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ht="18.75" customHeight="1" x14ac:dyDescent="0.35">
      <c r="A1643" s="103"/>
      <c r="C1643" s="100" t="str">
        <f>IF(OR(Fact_Contabilidad[[#This Row], [Año]]="",Fact_Contabilidad[[#This Row], [Mes]]=""),"",DATE(A1643,MATCH(B1643,{"enero","febrero","marzo","abril","mayo","junio","julio","agosto","septiembre","octubre","noviembre","diciembre"},0)+1,0))</f>
        <v/>
      </c>
      <c r="E1643" t="str">
        <f>+IFERROR(VLOOKUP(Fact_Contabilidad[[#This Row], [Concepto Anterior]],Conceptos_Contabilidad[#All],5,0),"")</f>
        <v/>
      </c>
      <c r="F1643" t="str">
        <f>+IFERROR(VLOOKUP(Fact_Contabilidad[[#This Row], 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ht="18.75" customHeight="1" x14ac:dyDescent="0.35">
      <c r="A1644" s="103"/>
      <c r="C1644" s="100" t="str">
        <f>IF(OR(Fact_Contabilidad[[#This Row], [Año]]="",Fact_Contabilidad[[#This Row], [Mes]]=""),"",DATE(A1644,MATCH(B1644,{"enero","febrero","marzo","abril","mayo","junio","julio","agosto","septiembre","octubre","noviembre","diciembre"},0)+1,0))</f>
        <v/>
      </c>
      <c r="E1644" t="str">
        <f>+IFERROR(VLOOKUP(Fact_Contabilidad[[#This Row], [Concepto Anterior]],Conceptos_Contabilidad[#All],5,0),"")</f>
        <v/>
      </c>
      <c r="F1644" t="str">
        <f>+IFERROR(VLOOKUP(Fact_Contabilidad[[#This Row], 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ht="18.75" customHeight="1" x14ac:dyDescent="0.35">
      <c r="A1645" s="103"/>
      <c r="C1645" s="100" t="str">
        <f>IF(OR(Fact_Contabilidad[[#This Row], [Año]]="",Fact_Contabilidad[[#This Row], [Mes]]=""),"",DATE(A1645,MATCH(B1645,{"enero","febrero","marzo","abril","mayo","junio","julio","agosto","septiembre","octubre","noviembre","diciembre"},0)+1,0))</f>
        <v/>
      </c>
      <c r="E1645" t="str">
        <f>+IFERROR(VLOOKUP(Fact_Contabilidad[[#This Row], [Concepto Anterior]],Conceptos_Contabilidad[#All],5,0),"")</f>
        <v/>
      </c>
      <c r="F1645" t="str">
        <f>+IFERROR(VLOOKUP(Fact_Contabilidad[[#This Row], 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ht="18.75" customHeight="1" x14ac:dyDescent="0.35">
      <c r="A1646" s="103"/>
      <c r="C1646" s="100" t="str">
        <f>IF(OR(Fact_Contabilidad[[#This Row], [Año]]="",Fact_Contabilidad[[#This Row], [Mes]]=""),"",DATE(A1646,MATCH(B1646,{"enero","febrero","marzo","abril","mayo","junio","julio","agosto","septiembre","octubre","noviembre","diciembre"},0)+1,0))</f>
        <v/>
      </c>
      <c r="E1646" t="str">
        <f>+IFERROR(VLOOKUP(Fact_Contabilidad[[#This Row], [Concepto Anterior]],Conceptos_Contabilidad[#All],5,0),"")</f>
        <v/>
      </c>
      <c r="F1646" t="str">
        <f>+IFERROR(VLOOKUP(Fact_Contabilidad[[#This Row], 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ht="18.75" customHeight="1" x14ac:dyDescent="0.35">
      <c r="A1647" s="103"/>
      <c r="C1647" s="100" t="str">
        <f>IF(OR(Fact_Contabilidad[[#This Row], [Año]]="",Fact_Contabilidad[[#This Row], [Mes]]=""),"",DATE(A1647,MATCH(B1647,{"enero","febrero","marzo","abril","mayo","junio","julio","agosto","septiembre","octubre","noviembre","diciembre"},0)+1,0))</f>
        <v/>
      </c>
      <c r="E1647" t="str">
        <f>+IFERROR(VLOOKUP(Fact_Contabilidad[[#This Row], [Concepto Anterior]],Conceptos_Contabilidad[#All],5,0),"")</f>
        <v/>
      </c>
      <c r="F1647" t="str">
        <f>+IFERROR(VLOOKUP(Fact_Contabilidad[[#This Row], 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ht="18.75" customHeight="1" x14ac:dyDescent="0.35">
      <c r="A1648" s="103"/>
      <c r="C1648" s="100" t="str">
        <f>IF(OR(Fact_Contabilidad[[#This Row], [Año]]="",Fact_Contabilidad[[#This Row], [Mes]]=""),"",DATE(A1648,MATCH(B1648,{"enero","febrero","marzo","abril","mayo","junio","julio","agosto","septiembre","octubre","noviembre","diciembre"},0)+1,0))</f>
        <v/>
      </c>
      <c r="E1648" t="str">
        <f>+IFERROR(VLOOKUP(Fact_Contabilidad[[#This Row], [Concepto Anterior]],Conceptos_Contabilidad[#All],5,0),"")</f>
        <v/>
      </c>
      <c r="F1648" t="str">
        <f>+IFERROR(VLOOKUP(Fact_Contabilidad[[#This Row], 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ht="18.75" customHeight="1" x14ac:dyDescent="0.35">
      <c r="A1649" s="103"/>
      <c r="C1649" s="100" t="str">
        <f>IF(OR(Fact_Contabilidad[[#This Row], [Año]]="",Fact_Contabilidad[[#This Row], [Mes]]=""),"",DATE(A1649,MATCH(B1649,{"enero","febrero","marzo","abril","mayo","junio","julio","agosto","septiembre","octubre","noviembre","diciembre"},0)+1,0))</f>
        <v/>
      </c>
      <c r="E1649" t="str">
        <f>+IFERROR(VLOOKUP(Fact_Contabilidad[[#This Row], [Concepto Anterior]],Conceptos_Contabilidad[#All],5,0),"")</f>
        <v/>
      </c>
      <c r="F1649" t="str">
        <f>+IFERROR(VLOOKUP(Fact_Contabilidad[[#This Row], 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ht="18.75" customHeight="1" x14ac:dyDescent="0.35">
      <c r="A1650" s="103"/>
      <c r="C1650" s="100" t="str">
        <f>IF(OR(Fact_Contabilidad[[#This Row], [Año]]="",Fact_Contabilidad[[#This Row], [Mes]]=""),"",DATE(A1650,MATCH(B1650,{"enero","febrero","marzo","abril","mayo","junio","julio","agosto","septiembre","octubre","noviembre","diciembre"},0)+1,0))</f>
        <v/>
      </c>
      <c r="E1650" t="str">
        <f>+IFERROR(VLOOKUP(Fact_Contabilidad[[#This Row], [Concepto Anterior]],Conceptos_Contabilidad[#All],5,0),"")</f>
        <v/>
      </c>
      <c r="F1650" t="str">
        <f>+IFERROR(VLOOKUP(Fact_Contabilidad[[#This Row], 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ht="18.75" customHeight="1" x14ac:dyDescent="0.35">
      <c r="A1651" s="103"/>
      <c r="C1651" s="100" t="str">
        <f>IF(OR(Fact_Contabilidad[[#This Row], [Año]]="",Fact_Contabilidad[[#This Row], [Mes]]=""),"",DATE(A1651,MATCH(B1651,{"enero","febrero","marzo","abril","mayo","junio","julio","agosto","septiembre","octubre","noviembre","diciembre"},0)+1,0))</f>
        <v/>
      </c>
      <c r="E1651" t="str">
        <f>+IFERROR(VLOOKUP(Fact_Contabilidad[[#This Row], [Concepto Anterior]],Conceptos_Contabilidad[#All],5,0),"")</f>
        <v/>
      </c>
      <c r="F1651" t="str">
        <f>+IFERROR(VLOOKUP(Fact_Contabilidad[[#This Row], 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ht="18.75" customHeight="1" x14ac:dyDescent="0.35">
      <c r="A1652" s="103"/>
      <c r="C1652" s="100" t="str">
        <f>IF(OR(Fact_Contabilidad[[#This Row], [Año]]="",Fact_Contabilidad[[#This Row], [Mes]]=""),"",DATE(A1652,MATCH(B1652,{"enero","febrero","marzo","abril","mayo","junio","julio","agosto","septiembre","octubre","noviembre","diciembre"},0)+1,0))</f>
        <v/>
      </c>
      <c r="E1652" t="str">
        <f>+IFERROR(VLOOKUP(Fact_Contabilidad[[#This Row], [Concepto Anterior]],Conceptos_Contabilidad[#All],5,0),"")</f>
        <v/>
      </c>
      <c r="F1652" t="str">
        <f>+IFERROR(VLOOKUP(Fact_Contabilidad[[#This Row], 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ht="18.75" customHeight="1" x14ac:dyDescent="0.35">
      <c r="A1653" s="103"/>
      <c r="C1653" s="100" t="str">
        <f>IF(OR(Fact_Contabilidad[[#This Row], [Año]]="",Fact_Contabilidad[[#This Row], [Mes]]=""),"",DATE(A1653,MATCH(B1653,{"enero","febrero","marzo","abril","mayo","junio","julio","agosto","septiembre","octubre","noviembre","diciembre"},0)+1,0))</f>
        <v/>
      </c>
      <c r="E1653" t="str">
        <f>+IFERROR(VLOOKUP(Fact_Contabilidad[[#This Row], [Concepto Anterior]],Conceptos_Contabilidad[#All],5,0),"")</f>
        <v/>
      </c>
      <c r="F1653" t="str">
        <f>+IFERROR(VLOOKUP(Fact_Contabilidad[[#This Row], 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ht="18.75" customHeight="1" x14ac:dyDescent="0.35">
      <c r="A1654" s="103"/>
      <c r="C1654" s="100" t="str">
        <f>IF(OR(Fact_Contabilidad[[#This Row], [Año]]="",Fact_Contabilidad[[#This Row], [Mes]]=""),"",DATE(A1654,MATCH(B1654,{"enero","febrero","marzo","abril","mayo","junio","julio","agosto","septiembre","octubre","noviembre","diciembre"},0)+1,0))</f>
        <v/>
      </c>
      <c r="E1654" t="str">
        <f>+IFERROR(VLOOKUP(Fact_Contabilidad[[#This Row], [Concepto Anterior]],Conceptos_Contabilidad[#All],5,0),"")</f>
        <v/>
      </c>
      <c r="F1654" t="str">
        <f>+IFERROR(VLOOKUP(Fact_Contabilidad[[#This Row], 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ht="18.75" customHeight="1" x14ac:dyDescent="0.35">
      <c r="A1655" s="103"/>
      <c r="C1655" s="100" t="str">
        <f>IF(OR(Fact_Contabilidad[[#This Row], [Año]]="",Fact_Contabilidad[[#This Row], [Mes]]=""),"",DATE(A1655,MATCH(B1655,{"enero","febrero","marzo","abril","mayo","junio","julio","agosto","septiembre","octubre","noviembre","diciembre"},0)+1,0))</f>
        <v/>
      </c>
      <c r="E1655" t="str">
        <f>+IFERROR(VLOOKUP(Fact_Contabilidad[[#This Row], [Concepto Anterior]],Conceptos_Contabilidad[#All],5,0),"")</f>
        <v/>
      </c>
      <c r="F1655" t="str">
        <f>+IFERROR(VLOOKUP(Fact_Contabilidad[[#This Row], 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ht="18.75" customHeight="1" x14ac:dyDescent="0.35">
      <c r="A1656" s="103"/>
      <c r="C1656" s="100" t="str">
        <f>IF(OR(Fact_Contabilidad[[#This Row], [Año]]="",Fact_Contabilidad[[#This Row], [Mes]]=""),"",DATE(A1656,MATCH(B1656,{"enero","febrero","marzo","abril","mayo","junio","julio","agosto","septiembre","octubre","noviembre","diciembre"},0)+1,0))</f>
        <v/>
      </c>
      <c r="E1656" t="str">
        <f>+IFERROR(VLOOKUP(Fact_Contabilidad[[#This Row], [Concepto Anterior]],Conceptos_Contabilidad[#All],5,0),"")</f>
        <v/>
      </c>
      <c r="F1656" t="str">
        <f>+IFERROR(VLOOKUP(Fact_Contabilidad[[#This Row], 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ht="18.75" customHeight="1" x14ac:dyDescent="0.35">
      <c r="A1657" s="103"/>
      <c r="C1657" s="100" t="str">
        <f>IF(OR(Fact_Contabilidad[[#This Row], [Año]]="",Fact_Contabilidad[[#This Row], [Mes]]=""),"",DATE(A1657,MATCH(B1657,{"enero","febrero","marzo","abril","mayo","junio","julio","agosto","septiembre","octubre","noviembre","diciembre"},0)+1,0))</f>
        <v/>
      </c>
      <c r="E1657" t="str">
        <f>+IFERROR(VLOOKUP(Fact_Contabilidad[[#This Row], [Concepto Anterior]],Conceptos_Contabilidad[#All],5,0),"")</f>
        <v/>
      </c>
      <c r="F1657" t="str">
        <f>+IFERROR(VLOOKUP(Fact_Contabilidad[[#This Row], 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ht="18.75" customHeight="1" x14ac:dyDescent="0.35">
      <c r="A1658" s="103"/>
      <c r="C1658" s="100" t="str">
        <f>IF(OR(Fact_Contabilidad[[#This Row], [Año]]="",Fact_Contabilidad[[#This Row], [Mes]]=""),"",DATE(A1658,MATCH(B1658,{"enero","febrero","marzo","abril","mayo","junio","julio","agosto","septiembre","octubre","noviembre","diciembre"},0)+1,0))</f>
        <v/>
      </c>
      <c r="E1658" t="str">
        <f>+IFERROR(VLOOKUP(Fact_Contabilidad[[#This Row], [Concepto Anterior]],Conceptos_Contabilidad[#All],5,0),"")</f>
        <v/>
      </c>
      <c r="F1658" t="str">
        <f>+IFERROR(VLOOKUP(Fact_Contabilidad[[#This Row], 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ht="18.75" customHeight="1" x14ac:dyDescent="0.35">
      <c r="A1659" s="103"/>
      <c r="C1659" s="100" t="str">
        <f>IF(OR(Fact_Contabilidad[[#This Row], [Año]]="",Fact_Contabilidad[[#This Row], [Mes]]=""),"",DATE(A1659,MATCH(B1659,{"enero","febrero","marzo","abril","mayo","junio","julio","agosto","septiembre","octubre","noviembre","diciembre"},0)+1,0))</f>
        <v/>
      </c>
      <c r="E1659" t="str">
        <f>+IFERROR(VLOOKUP(Fact_Contabilidad[[#This Row], [Concepto Anterior]],Conceptos_Contabilidad[#All],5,0),"")</f>
        <v/>
      </c>
      <c r="F1659" t="str">
        <f>+IFERROR(VLOOKUP(Fact_Contabilidad[[#This Row], 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ht="18.75" customHeight="1" x14ac:dyDescent="0.35">
      <c r="A1660" s="103"/>
      <c r="C1660" s="100" t="str">
        <f>IF(OR(Fact_Contabilidad[[#This Row], [Año]]="",Fact_Contabilidad[[#This Row], [Mes]]=""),"",DATE(A1660,MATCH(B1660,{"enero","febrero","marzo","abril","mayo","junio","julio","agosto","septiembre","octubre","noviembre","diciembre"},0)+1,0))</f>
        <v/>
      </c>
      <c r="E1660" t="str">
        <f>+IFERROR(VLOOKUP(Fact_Contabilidad[[#This Row], [Concepto Anterior]],Conceptos_Contabilidad[#All],5,0),"")</f>
        <v/>
      </c>
      <c r="F1660" t="str">
        <f>+IFERROR(VLOOKUP(Fact_Contabilidad[[#This Row], 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ht="18.75" customHeight="1" x14ac:dyDescent="0.35">
      <c r="A1661" s="103"/>
      <c r="C1661" s="100" t="str">
        <f>IF(OR(Fact_Contabilidad[[#This Row], [Año]]="",Fact_Contabilidad[[#This Row], [Mes]]=""),"",DATE(A1661,MATCH(B1661,{"enero","febrero","marzo","abril","mayo","junio","julio","agosto","septiembre","octubre","noviembre","diciembre"},0)+1,0))</f>
        <v/>
      </c>
      <c r="E1661" t="str">
        <f>+IFERROR(VLOOKUP(Fact_Contabilidad[[#This Row], [Concepto Anterior]],Conceptos_Contabilidad[#All],5,0),"")</f>
        <v/>
      </c>
      <c r="F1661" t="str">
        <f>+IFERROR(VLOOKUP(Fact_Contabilidad[[#This Row], 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ht="18.75" customHeight="1" x14ac:dyDescent="0.35">
      <c r="A1662" s="103"/>
      <c r="C1662" s="100" t="str">
        <f>IF(OR(Fact_Contabilidad[[#This Row], [Año]]="",Fact_Contabilidad[[#This Row], [Mes]]=""),"",DATE(A1662,MATCH(B1662,{"enero","febrero","marzo","abril","mayo","junio","julio","agosto","septiembre","octubre","noviembre","diciembre"},0)+1,0))</f>
        <v/>
      </c>
      <c r="E1662" t="str">
        <f>+IFERROR(VLOOKUP(Fact_Contabilidad[[#This Row], [Concepto Anterior]],Conceptos_Contabilidad[#All],5,0),"")</f>
        <v/>
      </c>
      <c r="F1662" t="str">
        <f>+IFERROR(VLOOKUP(Fact_Contabilidad[[#This Row], 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ht="18.75" customHeight="1" x14ac:dyDescent="0.35">
      <c r="A1663" s="103"/>
      <c r="C1663" s="100" t="str">
        <f>IF(OR(Fact_Contabilidad[[#This Row], [Año]]="",Fact_Contabilidad[[#This Row], [Mes]]=""),"",DATE(A1663,MATCH(B1663,{"enero","febrero","marzo","abril","mayo","junio","julio","agosto","septiembre","octubre","noviembre","diciembre"},0)+1,0))</f>
        <v/>
      </c>
      <c r="E1663" t="str">
        <f>+IFERROR(VLOOKUP(Fact_Contabilidad[[#This Row], [Concepto Anterior]],Conceptos_Contabilidad[#All],5,0),"")</f>
        <v/>
      </c>
      <c r="F1663" t="str">
        <f>+IFERROR(VLOOKUP(Fact_Contabilidad[[#This Row], 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ht="18.75" customHeight="1" x14ac:dyDescent="0.35">
      <c r="A1664" s="103"/>
      <c r="C1664" s="100" t="str">
        <f>IF(OR(Fact_Contabilidad[[#This Row], [Año]]="",Fact_Contabilidad[[#This Row], [Mes]]=""),"",DATE(A1664,MATCH(B1664,{"enero","febrero","marzo","abril","mayo","junio","julio","agosto","septiembre","octubre","noviembre","diciembre"},0)+1,0))</f>
        <v/>
      </c>
      <c r="E1664" t="str">
        <f>+IFERROR(VLOOKUP(Fact_Contabilidad[[#This Row], [Concepto Anterior]],Conceptos_Contabilidad[#All],5,0),"")</f>
        <v/>
      </c>
      <c r="F1664" t="str">
        <f>+IFERROR(VLOOKUP(Fact_Contabilidad[[#This Row], 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ht="18.75" customHeight="1" x14ac:dyDescent="0.35">
      <c r="A1665" s="103"/>
      <c r="C1665" s="100" t="str">
        <f>IF(OR(Fact_Contabilidad[[#This Row], [Año]]="",Fact_Contabilidad[[#This Row], [Mes]]=""),"",DATE(A1665,MATCH(B1665,{"enero","febrero","marzo","abril","mayo","junio","julio","agosto","septiembre","octubre","noviembre","diciembre"},0)+1,0))</f>
        <v/>
      </c>
      <c r="E1665" t="str">
        <f>+IFERROR(VLOOKUP(Fact_Contabilidad[[#This Row], [Concepto Anterior]],Conceptos_Contabilidad[#All],5,0),"")</f>
        <v/>
      </c>
      <c r="F1665" t="str">
        <f>+IFERROR(VLOOKUP(Fact_Contabilidad[[#This Row], 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ht="18.75" customHeight="1" x14ac:dyDescent="0.35">
      <c r="A1666" s="103"/>
      <c r="C1666" s="100" t="str">
        <f>IF(OR(Fact_Contabilidad[[#This Row], [Año]]="",Fact_Contabilidad[[#This Row], [Mes]]=""),"",DATE(A1666,MATCH(B1666,{"enero","febrero","marzo","abril","mayo","junio","julio","agosto","septiembre","octubre","noviembre","diciembre"},0)+1,0))</f>
        <v/>
      </c>
      <c r="E1666" t="str">
        <f>+IFERROR(VLOOKUP(Fact_Contabilidad[[#This Row], [Concepto Anterior]],Conceptos_Contabilidad[#All],5,0),"")</f>
        <v/>
      </c>
      <c r="F1666" t="str">
        <f>+IFERROR(VLOOKUP(Fact_Contabilidad[[#This Row], 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ht="18.75" customHeight="1" x14ac:dyDescent="0.35">
      <c r="A1667" s="103"/>
      <c r="C1667" s="100" t="str">
        <f>IF(OR(Fact_Contabilidad[[#This Row], [Año]]="",Fact_Contabilidad[[#This Row], [Mes]]=""),"",DATE(A1667,MATCH(B1667,{"enero","febrero","marzo","abril","mayo","junio","julio","agosto","septiembre","octubre","noviembre","diciembre"},0)+1,0))</f>
        <v/>
      </c>
      <c r="E1667" t="str">
        <f>+IFERROR(VLOOKUP(Fact_Contabilidad[[#This Row], [Concepto Anterior]],Conceptos_Contabilidad[#All],5,0),"")</f>
        <v/>
      </c>
      <c r="F1667" t="str">
        <f>+IFERROR(VLOOKUP(Fact_Contabilidad[[#This Row], 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ht="18.75" customHeight="1" x14ac:dyDescent="0.35">
      <c r="A1668" s="103"/>
      <c r="C1668" s="100" t="str">
        <f>IF(OR(Fact_Contabilidad[[#This Row], [Año]]="",Fact_Contabilidad[[#This Row], [Mes]]=""),"",DATE(A1668,MATCH(B1668,{"enero","febrero","marzo","abril","mayo","junio","julio","agosto","septiembre","octubre","noviembre","diciembre"},0)+1,0))</f>
        <v/>
      </c>
      <c r="E1668" t="str">
        <f>+IFERROR(VLOOKUP(Fact_Contabilidad[[#This Row], [Concepto Anterior]],Conceptos_Contabilidad[#All],5,0),"")</f>
        <v/>
      </c>
      <c r="F1668" t="str">
        <f>+IFERROR(VLOOKUP(Fact_Contabilidad[[#This Row], 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ht="18.75" customHeight="1" x14ac:dyDescent="0.35">
      <c r="A1669" s="103"/>
      <c r="C1669" s="100" t="str">
        <f>IF(OR(Fact_Contabilidad[[#This Row], [Año]]="",Fact_Contabilidad[[#This Row], [Mes]]=""),"",DATE(A1669,MATCH(B1669,{"enero","febrero","marzo","abril","mayo","junio","julio","agosto","septiembre","octubre","noviembre","diciembre"},0)+1,0))</f>
        <v/>
      </c>
      <c r="E1669" t="str">
        <f>+IFERROR(VLOOKUP(Fact_Contabilidad[[#This Row], [Concepto Anterior]],Conceptos_Contabilidad[#All],5,0),"")</f>
        <v/>
      </c>
      <c r="F1669" t="str">
        <f>+IFERROR(VLOOKUP(Fact_Contabilidad[[#This Row], 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ht="18.75" customHeight="1" x14ac:dyDescent="0.35">
      <c r="A1670" s="103"/>
      <c r="C1670" s="100" t="str">
        <f>IF(OR(Fact_Contabilidad[[#This Row], [Año]]="",Fact_Contabilidad[[#This Row], [Mes]]=""),"",DATE(A1670,MATCH(B1670,{"enero","febrero","marzo","abril","mayo","junio","julio","agosto","septiembre","octubre","noviembre","diciembre"},0)+1,0))</f>
        <v/>
      </c>
      <c r="E1670" t="str">
        <f>+IFERROR(VLOOKUP(Fact_Contabilidad[[#This Row], [Concepto Anterior]],Conceptos_Contabilidad[#All],5,0),"")</f>
        <v/>
      </c>
      <c r="F1670" t="str">
        <f>+IFERROR(VLOOKUP(Fact_Contabilidad[[#This Row], 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ht="18.75" customHeight="1" x14ac:dyDescent="0.35">
      <c r="A1671" s="103"/>
      <c r="C1671" s="100" t="str">
        <f>IF(OR(Fact_Contabilidad[[#This Row], [Año]]="",Fact_Contabilidad[[#This Row], [Mes]]=""),"",DATE(A1671,MATCH(B1671,{"enero","febrero","marzo","abril","mayo","junio","julio","agosto","septiembre","octubre","noviembre","diciembre"},0)+1,0))</f>
        <v/>
      </c>
      <c r="E1671" t="str">
        <f>+IFERROR(VLOOKUP(Fact_Contabilidad[[#This Row], [Concepto Anterior]],Conceptos_Contabilidad[#All],5,0),"")</f>
        <v/>
      </c>
      <c r="F1671" t="str">
        <f>+IFERROR(VLOOKUP(Fact_Contabilidad[[#This Row], 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ht="18.75" customHeight="1" x14ac:dyDescent="0.35">
      <c r="A1672" s="103"/>
      <c r="C1672" s="100" t="str">
        <f>IF(OR(Fact_Contabilidad[[#This Row], [Año]]="",Fact_Contabilidad[[#This Row], [Mes]]=""),"",DATE(A1672,MATCH(B1672,{"enero","febrero","marzo","abril","mayo","junio","julio","agosto","septiembre","octubre","noviembre","diciembre"},0)+1,0))</f>
        <v/>
      </c>
      <c r="E1672" t="str">
        <f>+IFERROR(VLOOKUP(Fact_Contabilidad[[#This Row], [Concepto Anterior]],Conceptos_Contabilidad[#All],5,0),"")</f>
        <v/>
      </c>
      <c r="F1672" t="str">
        <f>+IFERROR(VLOOKUP(Fact_Contabilidad[[#This Row], 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ht="18.75" customHeight="1" x14ac:dyDescent="0.35">
      <c r="A1673" s="103"/>
      <c r="C1673" s="100" t="str">
        <f>IF(OR(Fact_Contabilidad[[#This Row], [Año]]="",Fact_Contabilidad[[#This Row], [Mes]]=""),"",DATE(A1673,MATCH(B1673,{"enero","febrero","marzo","abril","mayo","junio","julio","agosto","septiembre","octubre","noviembre","diciembre"},0)+1,0))</f>
        <v/>
      </c>
      <c r="E1673" t="str">
        <f>+IFERROR(VLOOKUP(Fact_Contabilidad[[#This Row], [Concepto Anterior]],Conceptos_Contabilidad[#All],5,0),"")</f>
        <v/>
      </c>
      <c r="F1673" t="str">
        <f>+IFERROR(VLOOKUP(Fact_Contabilidad[[#This Row], 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ht="18.75" customHeight="1" x14ac:dyDescent="0.35">
      <c r="A1674" s="103"/>
      <c r="C1674" s="100" t="str">
        <f>IF(OR(Fact_Contabilidad[[#This Row], [Año]]="",Fact_Contabilidad[[#This Row], [Mes]]=""),"",DATE(A1674,MATCH(B1674,{"enero","febrero","marzo","abril","mayo","junio","julio","agosto","septiembre","octubre","noviembre","diciembre"},0)+1,0))</f>
        <v/>
      </c>
      <c r="E1674" t="str">
        <f>+IFERROR(VLOOKUP(Fact_Contabilidad[[#This Row], [Concepto Anterior]],Conceptos_Contabilidad[#All],5,0),"")</f>
        <v/>
      </c>
      <c r="F1674" t="str">
        <f>+IFERROR(VLOOKUP(Fact_Contabilidad[[#This Row], 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ht="18.75" customHeight="1" x14ac:dyDescent="0.35">
      <c r="A1675" s="103"/>
      <c r="C1675" s="100" t="str">
        <f>IF(OR(Fact_Contabilidad[[#This Row], [Año]]="",Fact_Contabilidad[[#This Row], [Mes]]=""),"",DATE(A1675,MATCH(B1675,{"enero","febrero","marzo","abril","mayo","junio","julio","agosto","septiembre","octubre","noviembre","diciembre"},0)+1,0))</f>
        <v/>
      </c>
      <c r="E1675" t="str">
        <f>+IFERROR(VLOOKUP(Fact_Contabilidad[[#This Row], [Concepto Anterior]],Conceptos_Contabilidad[#All],5,0),"")</f>
        <v/>
      </c>
      <c r="F1675" t="str">
        <f>+IFERROR(VLOOKUP(Fact_Contabilidad[[#This Row], 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ht="18.75" customHeight="1" x14ac:dyDescent="0.35">
      <c r="A1676" s="103"/>
      <c r="C1676" s="100" t="str">
        <f>IF(OR(Fact_Contabilidad[[#This Row], [Año]]="",Fact_Contabilidad[[#This Row], [Mes]]=""),"",DATE(A1676,MATCH(B1676,{"enero","febrero","marzo","abril","mayo","junio","julio","agosto","septiembre","octubre","noviembre","diciembre"},0)+1,0))</f>
        <v/>
      </c>
      <c r="E1676" t="str">
        <f>+IFERROR(VLOOKUP(Fact_Contabilidad[[#This Row], [Concepto Anterior]],Conceptos_Contabilidad[#All],5,0),"")</f>
        <v/>
      </c>
      <c r="F1676" t="str">
        <f>+IFERROR(VLOOKUP(Fact_Contabilidad[[#This Row], 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ht="18.75" customHeight="1" x14ac:dyDescent="0.35">
      <c r="A1677" s="103"/>
      <c r="C1677" s="100" t="str">
        <f>IF(OR(Fact_Contabilidad[[#This Row], [Año]]="",Fact_Contabilidad[[#This Row], [Mes]]=""),"",DATE(A1677,MATCH(B1677,{"enero","febrero","marzo","abril","mayo","junio","julio","agosto","septiembre","octubre","noviembre","diciembre"},0)+1,0))</f>
        <v/>
      </c>
      <c r="E1677" t="str">
        <f>+IFERROR(VLOOKUP(Fact_Contabilidad[[#This Row], [Concepto Anterior]],Conceptos_Contabilidad[#All],5,0),"")</f>
        <v/>
      </c>
      <c r="F1677" t="str">
        <f>+IFERROR(VLOOKUP(Fact_Contabilidad[[#This Row], 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ht="18.75" customHeight="1" x14ac:dyDescent="0.35">
      <c r="A1678" s="103"/>
      <c r="C1678" s="100" t="str">
        <f>IF(OR(Fact_Contabilidad[[#This Row], [Año]]="",Fact_Contabilidad[[#This Row], [Mes]]=""),"",DATE(A1678,MATCH(B1678,{"enero","febrero","marzo","abril","mayo","junio","julio","agosto","septiembre","octubre","noviembre","diciembre"},0)+1,0))</f>
        <v/>
      </c>
      <c r="E1678" t="str">
        <f>+IFERROR(VLOOKUP(Fact_Contabilidad[[#This Row], [Concepto Anterior]],Conceptos_Contabilidad[#All],5,0),"")</f>
        <v/>
      </c>
      <c r="F1678" t="str">
        <f>+IFERROR(VLOOKUP(Fact_Contabilidad[[#This Row], 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ht="18.75" customHeight="1" x14ac:dyDescent="0.35">
      <c r="A1679" s="103"/>
      <c r="C1679" s="100" t="str">
        <f>IF(OR(Fact_Contabilidad[[#This Row], [Año]]="",Fact_Contabilidad[[#This Row], [Mes]]=""),"",DATE(A1679,MATCH(B1679,{"enero","febrero","marzo","abril","mayo","junio","julio","agosto","septiembre","octubre","noviembre","diciembre"},0)+1,0))</f>
        <v/>
      </c>
      <c r="E1679" t="str">
        <f>+IFERROR(VLOOKUP(Fact_Contabilidad[[#This Row], [Concepto Anterior]],Conceptos_Contabilidad[#All],5,0),"")</f>
        <v/>
      </c>
      <c r="F1679" t="str">
        <f>+IFERROR(VLOOKUP(Fact_Contabilidad[[#This Row], 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ht="18.75" customHeight="1" x14ac:dyDescent="0.35">
      <c r="A1680" s="103"/>
      <c r="C1680" s="100" t="str">
        <f>IF(OR(Fact_Contabilidad[[#This Row], [Año]]="",Fact_Contabilidad[[#This Row], [Mes]]=""),"",DATE(A1680,MATCH(B1680,{"enero","febrero","marzo","abril","mayo","junio","julio","agosto","septiembre","octubre","noviembre","diciembre"},0)+1,0))</f>
        <v/>
      </c>
      <c r="E1680" t="str">
        <f>+IFERROR(VLOOKUP(Fact_Contabilidad[[#This Row], [Concepto Anterior]],Conceptos_Contabilidad[#All],5,0),"")</f>
        <v/>
      </c>
      <c r="F1680" t="str">
        <f>+IFERROR(VLOOKUP(Fact_Contabilidad[[#This Row], 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ht="18.75" customHeight="1" x14ac:dyDescent="0.35">
      <c r="A1681" s="103"/>
      <c r="C1681" s="100" t="str">
        <f>IF(OR(Fact_Contabilidad[[#This Row], [Año]]="",Fact_Contabilidad[[#This Row], [Mes]]=""),"",DATE(A1681,MATCH(B1681,{"enero","febrero","marzo","abril","mayo","junio","julio","agosto","septiembre","octubre","noviembre","diciembre"},0)+1,0))</f>
        <v/>
      </c>
      <c r="E1681" t="str">
        <f>+IFERROR(VLOOKUP(Fact_Contabilidad[[#This Row], [Concepto Anterior]],Conceptos_Contabilidad[#All],5,0),"")</f>
        <v/>
      </c>
      <c r="F1681" t="str">
        <f>+IFERROR(VLOOKUP(Fact_Contabilidad[[#This Row], 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ht="18.75" customHeight="1" x14ac:dyDescent="0.35">
      <c r="A1682" s="103"/>
      <c r="C1682" s="100" t="str">
        <f>IF(OR(Fact_Contabilidad[[#This Row], [Año]]="",Fact_Contabilidad[[#This Row], [Mes]]=""),"",DATE(A1682,MATCH(B1682,{"enero","febrero","marzo","abril","mayo","junio","julio","agosto","septiembre","octubre","noviembre","diciembre"},0)+1,0))</f>
        <v/>
      </c>
      <c r="E1682" t="str">
        <f>+IFERROR(VLOOKUP(Fact_Contabilidad[[#This Row], [Concepto Anterior]],Conceptos_Contabilidad[#All],5,0),"")</f>
        <v/>
      </c>
      <c r="F1682" t="str">
        <f>+IFERROR(VLOOKUP(Fact_Contabilidad[[#This Row], 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ht="18.75" customHeight="1" x14ac:dyDescent="0.35">
      <c r="A1683" s="103"/>
      <c r="C1683" s="100" t="str">
        <f>IF(OR(Fact_Contabilidad[[#This Row], [Año]]="",Fact_Contabilidad[[#This Row], [Mes]]=""),"",DATE(A1683,MATCH(B1683,{"enero","febrero","marzo","abril","mayo","junio","julio","agosto","septiembre","octubre","noviembre","diciembre"},0)+1,0))</f>
        <v/>
      </c>
      <c r="E1683" t="str">
        <f>+IFERROR(VLOOKUP(Fact_Contabilidad[[#This Row], [Concepto Anterior]],Conceptos_Contabilidad[#All],5,0),"")</f>
        <v/>
      </c>
      <c r="F1683" t="str">
        <f>+IFERROR(VLOOKUP(Fact_Contabilidad[[#This Row], 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ht="18.75" customHeight="1" x14ac:dyDescent="0.35">
      <c r="A1684" s="103"/>
      <c r="C1684" s="100" t="str">
        <f>IF(OR(Fact_Contabilidad[[#This Row], [Año]]="",Fact_Contabilidad[[#This Row], [Mes]]=""),"",DATE(A1684,MATCH(B1684,{"enero","febrero","marzo","abril","mayo","junio","julio","agosto","septiembre","octubre","noviembre","diciembre"},0)+1,0))</f>
        <v/>
      </c>
      <c r="E1684" t="str">
        <f>+IFERROR(VLOOKUP(Fact_Contabilidad[[#This Row], [Concepto Anterior]],Conceptos_Contabilidad[#All],5,0),"")</f>
        <v/>
      </c>
      <c r="F1684" t="str">
        <f>+IFERROR(VLOOKUP(Fact_Contabilidad[[#This Row], 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ht="18.75" customHeight="1" x14ac:dyDescent="0.35">
      <c r="A1685" s="103"/>
      <c r="C1685" s="100" t="str">
        <f>IF(OR(Fact_Contabilidad[[#This Row], [Año]]="",Fact_Contabilidad[[#This Row], [Mes]]=""),"",DATE(A1685,MATCH(B1685,{"enero","febrero","marzo","abril","mayo","junio","julio","agosto","septiembre","octubre","noviembre","diciembre"},0)+1,0))</f>
        <v/>
      </c>
      <c r="E1685" t="str">
        <f>+IFERROR(VLOOKUP(Fact_Contabilidad[[#This Row], [Concepto Anterior]],Conceptos_Contabilidad[#All],5,0),"")</f>
        <v/>
      </c>
      <c r="F1685" t="str">
        <f>+IFERROR(VLOOKUP(Fact_Contabilidad[[#This Row], 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ht="18.75" customHeight="1" x14ac:dyDescent="0.35">
      <c r="A1686" s="103"/>
      <c r="C1686" s="100" t="str">
        <f>IF(OR(Fact_Contabilidad[[#This Row], [Año]]="",Fact_Contabilidad[[#This Row], [Mes]]=""),"",DATE(A1686,MATCH(B1686,{"enero","febrero","marzo","abril","mayo","junio","julio","agosto","septiembre","octubre","noviembre","diciembre"},0)+1,0))</f>
        <v/>
      </c>
      <c r="E1686" t="str">
        <f>+IFERROR(VLOOKUP(Fact_Contabilidad[[#This Row], [Concepto Anterior]],Conceptos_Contabilidad[#All],5,0),"")</f>
        <v/>
      </c>
      <c r="F1686" t="str">
        <f>+IFERROR(VLOOKUP(Fact_Contabilidad[[#This Row], 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ht="18.75" customHeight="1" x14ac:dyDescent="0.35">
      <c r="A1687" s="103"/>
      <c r="C1687" s="100" t="str">
        <f>IF(OR(Fact_Contabilidad[[#This Row], [Año]]="",Fact_Contabilidad[[#This Row], [Mes]]=""),"",DATE(A1687,MATCH(B1687,{"enero","febrero","marzo","abril","mayo","junio","julio","agosto","septiembre","octubre","noviembre","diciembre"},0)+1,0))</f>
        <v/>
      </c>
      <c r="E1687" t="str">
        <f>+IFERROR(VLOOKUP(Fact_Contabilidad[[#This Row], [Concepto Anterior]],Conceptos_Contabilidad[#All],5,0),"")</f>
        <v/>
      </c>
      <c r="F1687" t="str">
        <f>+IFERROR(VLOOKUP(Fact_Contabilidad[[#This Row], 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ht="18.75" customHeight="1" x14ac:dyDescent="0.35">
      <c r="A1688" s="103"/>
      <c r="C1688" s="100" t="str">
        <f>IF(OR(Fact_Contabilidad[[#This Row], [Año]]="",Fact_Contabilidad[[#This Row], [Mes]]=""),"",DATE(A1688,MATCH(B1688,{"enero","febrero","marzo","abril","mayo","junio","julio","agosto","septiembre","octubre","noviembre","diciembre"},0)+1,0))</f>
        <v/>
      </c>
      <c r="E1688" t="str">
        <f>+IFERROR(VLOOKUP(Fact_Contabilidad[[#This Row], [Concepto Anterior]],Conceptos_Contabilidad[#All],5,0),"")</f>
        <v/>
      </c>
      <c r="F1688" t="str">
        <f>+IFERROR(VLOOKUP(Fact_Contabilidad[[#This Row], 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ht="18.75" customHeight="1" x14ac:dyDescent="0.35">
      <c r="A1689" s="103"/>
      <c r="C1689" s="100" t="str">
        <f>IF(OR(Fact_Contabilidad[[#This Row], [Año]]="",Fact_Contabilidad[[#This Row], [Mes]]=""),"",DATE(A1689,MATCH(B1689,{"enero","febrero","marzo","abril","mayo","junio","julio","agosto","septiembre","octubre","noviembre","diciembre"},0)+1,0))</f>
        <v/>
      </c>
      <c r="E1689" t="str">
        <f>+IFERROR(VLOOKUP(Fact_Contabilidad[[#This Row], [Concepto Anterior]],Conceptos_Contabilidad[#All],5,0),"")</f>
        <v/>
      </c>
      <c r="F1689" t="str">
        <f>+IFERROR(VLOOKUP(Fact_Contabilidad[[#This Row], 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ht="18.75" customHeight="1" x14ac:dyDescent="0.35">
      <c r="A1690" s="103"/>
      <c r="C1690" s="100" t="str">
        <f>IF(OR(Fact_Contabilidad[[#This Row], [Año]]="",Fact_Contabilidad[[#This Row], [Mes]]=""),"",DATE(A1690,MATCH(B1690,{"enero","febrero","marzo","abril","mayo","junio","julio","agosto","septiembre","octubre","noviembre","diciembre"},0)+1,0))</f>
        <v/>
      </c>
      <c r="E1690" t="str">
        <f>+IFERROR(VLOOKUP(Fact_Contabilidad[[#This Row], [Concepto Anterior]],Conceptos_Contabilidad[#All],5,0),"")</f>
        <v/>
      </c>
      <c r="F1690" t="str">
        <f>+IFERROR(VLOOKUP(Fact_Contabilidad[[#This Row], 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ht="18.75" customHeight="1" x14ac:dyDescent="0.35">
      <c r="A1691" s="103"/>
      <c r="C1691" s="100" t="str">
        <f>IF(OR(Fact_Contabilidad[[#This Row], [Año]]="",Fact_Contabilidad[[#This Row], [Mes]]=""),"",DATE(A1691,MATCH(B1691,{"enero","febrero","marzo","abril","mayo","junio","julio","agosto","septiembre","octubre","noviembre","diciembre"},0)+1,0))</f>
        <v/>
      </c>
      <c r="E1691" t="str">
        <f>+IFERROR(VLOOKUP(Fact_Contabilidad[[#This Row], [Concepto Anterior]],Conceptos_Contabilidad[#All],5,0),"")</f>
        <v/>
      </c>
      <c r="F1691" t="str">
        <f>+IFERROR(VLOOKUP(Fact_Contabilidad[[#This Row], 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ht="18.75" customHeight="1" x14ac:dyDescent="0.35">
      <c r="A1692" s="103"/>
      <c r="C1692" s="100" t="str">
        <f>IF(OR(Fact_Contabilidad[[#This Row], [Año]]="",Fact_Contabilidad[[#This Row], [Mes]]=""),"",DATE(A1692,MATCH(B1692,{"enero","febrero","marzo","abril","mayo","junio","julio","agosto","septiembre","octubre","noviembre","diciembre"},0)+1,0))</f>
        <v/>
      </c>
      <c r="E1692" t="str">
        <f>+IFERROR(VLOOKUP(Fact_Contabilidad[[#This Row], [Concepto Anterior]],Conceptos_Contabilidad[#All],5,0),"")</f>
        <v/>
      </c>
      <c r="F1692" t="str">
        <f>+IFERROR(VLOOKUP(Fact_Contabilidad[[#This Row], 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ht="18.75" customHeight="1" x14ac:dyDescent="0.35">
      <c r="A1693" s="103"/>
      <c r="C1693" s="100" t="str">
        <f>IF(OR(Fact_Contabilidad[[#This Row], [Año]]="",Fact_Contabilidad[[#This Row], [Mes]]=""),"",DATE(A1693,MATCH(B1693,{"enero","febrero","marzo","abril","mayo","junio","julio","agosto","septiembre","octubre","noviembre","diciembre"},0)+1,0))</f>
        <v/>
      </c>
      <c r="E1693" t="str">
        <f>+IFERROR(VLOOKUP(Fact_Contabilidad[[#This Row], [Concepto Anterior]],Conceptos_Contabilidad[#All],5,0),"")</f>
        <v/>
      </c>
      <c r="F1693" t="str">
        <f>+IFERROR(VLOOKUP(Fact_Contabilidad[[#This Row], 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ht="18.75" customHeight="1" x14ac:dyDescent="0.35">
      <c r="A1694" s="103"/>
      <c r="C1694" s="100" t="str">
        <f>IF(OR(Fact_Contabilidad[[#This Row], [Año]]="",Fact_Contabilidad[[#This Row], [Mes]]=""),"",DATE(A1694,MATCH(B1694,{"enero","febrero","marzo","abril","mayo","junio","julio","agosto","septiembre","octubre","noviembre","diciembre"},0)+1,0))</f>
        <v/>
      </c>
      <c r="E1694" t="str">
        <f>+IFERROR(VLOOKUP(Fact_Contabilidad[[#This Row], [Concepto Anterior]],Conceptos_Contabilidad[#All],5,0),"")</f>
        <v/>
      </c>
      <c r="F1694" t="str">
        <f>+IFERROR(VLOOKUP(Fact_Contabilidad[[#This Row], 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ht="18.75" customHeight="1" x14ac:dyDescent="0.35">
      <c r="A1695" s="103"/>
      <c r="C1695" s="100" t="str">
        <f>IF(OR(Fact_Contabilidad[[#This Row], [Año]]="",Fact_Contabilidad[[#This Row], [Mes]]=""),"",DATE(A1695,MATCH(B1695,{"enero","febrero","marzo","abril","mayo","junio","julio","agosto","septiembre","octubre","noviembre","diciembre"},0)+1,0))</f>
        <v/>
      </c>
      <c r="E1695" t="str">
        <f>+IFERROR(VLOOKUP(Fact_Contabilidad[[#This Row], [Concepto Anterior]],Conceptos_Contabilidad[#All],5,0),"")</f>
        <v/>
      </c>
      <c r="F1695" t="str">
        <f>+IFERROR(VLOOKUP(Fact_Contabilidad[[#This Row], 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ht="18.75" customHeight="1" x14ac:dyDescent="0.35">
      <c r="A1696" s="103"/>
      <c r="C1696" s="100" t="str">
        <f>IF(OR(Fact_Contabilidad[[#This Row], [Año]]="",Fact_Contabilidad[[#This Row], [Mes]]=""),"",DATE(A1696,MATCH(B1696,{"enero","febrero","marzo","abril","mayo","junio","julio","agosto","septiembre","octubre","noviembre","diciembre"},0)+1,0))</f>
        <v/>
      </c>
      <c r="E1696" t="str">
        <f>+IFERROR(VLOOKUP(Fact_Contabilidad[[#This Row], [Concepto Anterior]],Conceptos_Contabilidad[#All],5,0),"")</f>
        <v/>
      </c>
      <c r="F1696" t="str">
        <f>+IFERROR(VLOOKUP(Fact_Contabilidad[[#This Row], 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ht="18.75" customHeight="1" x14ac:dyDescent="0.35">
      <c r="A1697" s="103"/>
      <c r="C1697" s="100" t="str">
        <f>IF(OR(Fact_Contabilidad[[#This Row], [Año]]="",Fact_Contabilidad[[#This Row], [Mes]]=""),"",DATE(A1697,MATCH(B1697,{"enero","febrero","marzo","abril","mayo","junio","julio","agosto","septiembre","octubre","noviembre","diciembre"},0)+1,0))</f>
        <v/>
      </c>
      <c r="E1697" t="str">
        <f>+IFERROR(VLOOKUP(Fact_Contabilidad[[#This Row], [Concepto Anterior]],Conceptos_Contabilidad[#All],5,0),"")</f>
        <v/>
      </c>
      <c r="F1697" t="str">
        <f>+IFERROR(VLOOKUP(Fact_Contabilidad[[#This Row], 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ht="18.75" customHeight="1" x14ac:dyDescent="0.35">
      <c r="A1698" s="103"/>
      <c r="C1698" s="100" t="str">
        <f>IF(OR(Fact_Contabilidad[[#This Row], [Año]]="",Fact_Contabilidad[[#This Row], [Mes]]=""),"",DATE(A1698,MATCH(B1698,{"enero","febrero","marzo","abril","mayo","junio","julio","agosto","septiembre","octubre","noviembre","diciembre"},0)+1,0))</f>
        <v/>
      </c>
      <c r="E1698" t="str">
        <f>+IFERROR(VLOOKUP(Fact_Contabilidad[[#This Row], [Concepto Anterior]],Conceptos_Contabilidad[#All],5,0),"")</f>
        <v/>
      </c>
      <c r="F1698" t="str">
        <f>+IFERROR(VLOOKUP(Fact_Contabilidad[[#This Row], 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ht="18.75" customHeight="1" x14ac:dyDescent="0.35">
      <c r="A1699" s="103"/>
      <c r="C1699" s="100" t="str">
        <f>IF(OR(Fact_Contabilidad[[#This Row], [Año]]="",Fact_Contabilidad[[#This Row], [Mes]]=""),"",DATE(A1699,MATCH(B1699,{"enero","febrero","marzo","abril","mayo","junio","julio","agosto","septiembre","octubre","noviembre","diciembre"},0)+1,0))</f>
        <v/>
      </c>
      <c r="E1699" t="str">
        <f>+IFERROR(VLOOKUP(Fact_Contabilidad[[#This Row], [Concepto Anterior]],Conceptos_Contabilidad[#All],5,0),"")</f>
        <v/>
      </c>
      <c r="F1699" t="str">
        <f>+IFERROR(VLOOKUP(Fact_Contabilidad[[#This Row], 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ht="18.75" customHeight="1" x14ac:dyDescent="0.35">
      <c r="A1700" s="103"/>
      <c r="C1700" s="100" t="str">
        <f>IF(OR(Fact_Contabilidad[[#This Row], [Año]]="",Fact_Contabilidad[[#This Row], [Mes]]=""),"",DATE(A1700,MATCH(B1700,{"enero","febrero","marzo","abril","mayo","junio","julio","agosto","septiembre","octubre","noviembre","diciembre"},0)+1,0))</f>
        <v/>
      </c>
      <c r="E1700" t="str">
        <f>+IFERROR(VLOOKUP(Fact_Contabilidad[[#This Row], [Concepto Anterior]],Conceptos_Contabilidad[#All],5,0),"")</f>
        <v/>
      </c>
      <c r="F1700" t="str">
        <f>+IFERROR(VLOOKUP(Fact_Contabilidad[[#This Row], 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ht="18.75" customHeight="1" x14ac:dyDescent="0.35">
      <c r="A1701" s="103"/>
      <c r="C1701" s="100" t="str">
        <f>IF(OR(Fact_Contabilidad[[#This Row], [Año]]="",Fact_Contabilidad[[#This Row], [Mes]]=""),"",DATE(A1701,MATCH(B1701,{"enero","febrero","marzo","abril","mayo","junio","julio","agosto","septiembre","octubre","noviembre","diciembre"},0)+1,0))</f>
        <v/>
      </c>
      <c r="E1701" t="str">
        <f>+IFERROR(VLOOKUP(Fact_Contabilidad[[#This Row], [Concepto Anterior]],Conceptos_Contabilidad[#All],5,0),"")</f>
        <v/>
      </c>
      <c r="F1701" t="str">
        <f>+IFERROR(VLOOKUP(Fact_Contabilidad[[#This Row], 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ht="18.75" customHeight="1" x14ac:dyDescent="0.35">
      <c r="A1702" s="103"/>
      <c r="C1702" s="100" t="str">
        <f>IF(OR(Fact_Contabilidad[[#This Row], [Año]]="",Fact_Contabilidad[[#This Row], [Mes]]=""),"",DATE(A1702,MATCH(B1702,{"enero","febrero","marzo","abril","mayo","junio","julio","agosto","septiembre","octubre","noviembre","diciembre"},0)+1,0))</f>
        <v/>
      </c>
      <c r="E1702" t="str">
        <f>+IFERROR(VLOOKUP(Fact_Contabilidad[[#This Row], [Concepto Anterior]],Conceptos_Contabilidad[#All],5,0),"")</f>
        <v/>
      </c>
      <c r="F1702" t="str">
        <f>+IFERROR(VLOOKUP(Fact_Contabilidad[[#This Row], 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ht="18.75" customHeight="1" x14ac:dyDescent="0.35">
      <c r="A1703" s="103"/>
      <c r="C1703" s="100" t="str">
        <f>IF(OR(Fact_Contabilidad[[#This Row], [Año]]="",Fact_Contabilidad[[#This Row], [Mes]]=""),"",DATE(A1703,MATCH(B1703,{"enero","febrero","marzo","abril","mayo","junio","julio","agosto","septiembre","octubre","noviembre","diciembre"},0)+1,0))</f>
        <v/>
      </c>
      <c r="E1703" t="str">
        <f>+IFERROR(VLOOKUP(Fact_Contabilidad[[#This Row], [Concepto Anterior]],Conceptos_Contabilidad[#All],5,0),"")</f>
        <v/>
      </c>
      <c r="F1703" t="str">
        <f>+IFERROR(VLOOKUP(Fact_Contabilidad[[#This Row], 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ht="18.75" customHeight="1" x14ac:dyDescent="0.35">
      <c r="A1704" s="103"/>
      <c r="C1704" s="100" t="str">
        <f>IF(OR(Fact_Contabilidad[[#This Row], [Año]]="",Fact_Contabilidad[[#This Row], [Mes]]=""),"",DATE(A1704,MATCH(B1704,{"enero","febrero","marzo","abril","mayo","junio","julio","agosto","septiembre","octubre","noviembre","diciembre"},0)+1,0))</f>
        <v/>
      </c>
      <c r="E1704" t="str">
        <f>+IFERROR(VLOOKUP(Fact_Contabilidad[[#This Row], [Concepto Anterior]],Conceptos_Contabilidad[#All],5,0),"")</f>
        <v/>
      </c>
      <c r="F1704" t="str">
        <f>+IFERROR(VLOOKUP(Fact_Contabilidad[[#This Row], 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ht="18.75" customHeight="1" x14ac:dyDescent="0.35">
      <c r="A1705" s="103"/>
      <c r="C1705" s="100" t="str">
        <f>IF(OR(Fact_Contabilidad[[#This Row], [Año]]="",Fact_Contabilidad[[#This Row], [Mes]]=""),"",DATE(A1705,MATCH(B1705,{"enero","febrero","marzo","abril","mayo","junio","julio","agosto","septiembre","octubre","noviembre","diciembre"},0)+1,0))</f>
        <v/>
      </c>
      <c r="E1705" t="str">
        <f>+IFERROR(VLOOKUP(Fact_Contabilidad[[#This Row], [Concepto Anterior]],Conceptos_Contabilidad[#All],5,0),"")</f>
        <v/>
      </c>
      <c r="F1705" t="str">
        <f>+IFERROR(VLOOKUP(Fact_Contabilidad[[#This Row], 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ht="18.75" customHeight="1" x14ac:dyDescent="0.35">
      <c r="A1706" s="103"/>
      <c r="C1706" s="100" t="str">
        <f>IF(OR(Fact_Contabilidad[[#This Row], [Año]]="",Fact_Contabilidad[[#This Row], [Mes]]=""),"",DATE(A1706,MATCH(B1706,{"enero","febrero","marzo","abril","mayo","junio","julio","agosto","septiembre","octubre","noviembre","diciembre"},0)+1,0))</f>
        <v/>
      </c>
      <c r="E1706" t="str">
        <f>+IFERROR(VLOOKUP(Fact_Contabilidad[[#This Row], [Concepto Anterior]],Conceptos_Contabilidad[#All],5,0),"")</f>
        <v/>
      </c>
      <c r="F1706" t="str">
        <f>+IFERROR(VLOOKUP(Fact_Contabilidad[[#This Row], 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ht="18.75" customHeight="1" x14ac:dyDescent="0.35">
      <c r="A1707" s="103"/>
      <c r="C1707" s="100" t="str">
        <f>IF(OR(Fact_Contabilidad[[#This Row], [Año]]="",Fact_Contabilidad[[#This Row], [Mes]]=""),"",DATE(A1707,MATCH(B1707,{"enero","febrero","marzo","abril","mayo","junio","julio","agosto","septiembre","octubre","noviembre","diciembre"},0)+1,0))</f>
        <v/>
      </c>
      <c r="E1707" t="str">
        <f>+IFERROR(VLOOKUP(Fact_Contabilidad[[#This Row], [Concepto Anterior]],Conceptos_Contabilidad[#All],5,0),"")</f>
        <v/>
      </c>
      <c r="F1707" t="str">
        <f>+IFERROR(VLOOKUP(Fact_Contabilidad[[#This Row], 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ht="18.75" customHeight="1" x14ac:dyDescent="0.35">
      <c r="A1708" s="103"/>
      <c r="C1708" s="100" t="str">
        <f>IF(OR(Fact_Contabilidad[[#This Row], [Año]]="",Fact_Contabilidad[[#This Row], [Mes]]=""),"",DATE(A1708,MATCH(B1708,{"enero","febrero","marzo","abril","mayo","junio","julio","agosto","septiembre","octubre","noviembre","diciembre"},0)+1,0))</f>
        <v/>
      </c>
      <c r="E1708" t="str">
        <f>+IFERROR(VLOOKUP(Fact_Contabilidad[[#This Row], [Concepto Anterior]],Conceptos_Contabilidad[#All],5,0),"")</f>
        <v/>
      </c>
      <c r="F1708" t="str">
        <f>+IFERROR(VLOOKUP(Fact_Contabilidad[[#This Row], 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ht="18.75" customHeight="1" x14ac:dyDescent="0.35">
      <c r="A1709" s="103"/>
      <c r="C1709" s="100" t="str">
        <f>IF(OR(Fact_Contabilidad[[#This Row], [Año]]="",Fact_Contabilidad[[#This Row], [Mes]]=""),"",DATE(A1709,MATCH(B1709,{"enero","febrero","marzo","abril","mayo","junio","julio","agosto","septiembre","octubre","noviembre","diciembre"},0)+1,0))</f>
        <v/>
      </c>
      <c r="E1709" t="str">
        <f>+IFERROR(VLOOKUP(Fact_Contabilidad[[#This Row], [Concepto Anterior]],Conceptos_Contabilidad[#All],5,0),"")</f>
        <v/>
      </c>
      <c r="F1709" t="str">
        <f>+IFERROR(VLOOKUP(Fact_Contabilidad[[#This Row], 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ht="18.75" customHeight="1" x14ac:dyDescent="0.35">
      <c r="A1710" s="103"/>
      <c r="C1710" s="100" t="str">
        <f>IF(OR(Fact_Contabilidad[[#This Row], [Año]]="",Fact_Contabilidad[[#This Row], [Mes]]=""),"",DATE(A1710,MATCH(B1710,{"enero","febrero","marzo","abril","mayo","junio","julio","agosto","septiembre","octubre","noviembre","diciembre"},0)+1,0))</f>
        <v/>
      </c>
      <c r="E1710" t="str">
        <f>+IFERROR(VLOOKUP(Fact_Contabilidad[[#This Row], [Concepto Anterior]],Conceptos_Contabilidad[#All],5,0),"")</f>
        <v/>
      </c>
      <c r="F1710" t="str">
        <f>+IFERROR(VLOOKUP(Fact_Contabilidad[[#This Row], 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ht="18.75" customHeight="1" x14ac:dyDescent="0.35">
      <c r="A1711" s="103"/>
      <c r="C1711" s="100" t="str">
        <f>IF(OR(Fact_Contabilidad[[#This Row], [Año]]="",Fact_Contabilidad[[#This Row], [Mes]]=""),"",DATE(A1711,MATCH(B1711,{"enero","febrero","marzo","abril","mayo","junio","julio","agosto","septiembre","octubre","noviembre","diciembre"},0)+1,0))</f>
        <v/>
      </c>
      <c r="E1711" t="str">
        <f>+IFERROR(VLOOKUP(Fact_Contabilidad[[#This Row], [Concepto Anterior]],Conceptos_Contabilidad[#All],5,0),"")</f>
        <v/>
      </c>
      <c r="F1711" t="str">
        <f>+IFERROR(VLOOKUP(Fact_Contabilidad[[#This Row], 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ht="18.75" customHeight="1" x14ac:dyDescent="0.35">
      <c r="A1712" s="103"/>
      <c r="C1712" s="100" t="str">
        <f>IF(OR(Fact_Contabilidad[[#This Row], [Año]]="",Fact_Contabilidad[[#This Row], [Mes]]=""),"",DATE(A1712,MATCH(B1712,{"enero","febrero","marzo","abril","mayo","junio","julio","agosto","septiembre","octubre","noviembre","diciembre"},0)+1,0))</f>
        <v/>
      </c>
      <c r="E1712" t="str">
        <f>+IFERROR(VLOOKUP(Fact_Contabilidad[[#This Row], [Concepto Anterior]],Conceptos_Contabilidad[#All],5,0),"")</f>
        <v/>
      </c>
      <c r="F1712" t="str">
        <f>+IFERROR(VLOOKUP(Fact_Contabilidad[[#This Row], 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ht="18.75" customHeight="1" x14ac:dyDescent="0.35">
      <c r="A1713" s="103"/>
      <c r="C1713" s="100" t="str">
        <f>IF(OR(Fact_Contabilidad[[#This Row], [Año]]="",Fact_Contabilidad[[#This Row], [Mes]]=""),"",DATE(A1713,MATCH(B1713,{"enero","febrero","marzo","abril","mayo","junio","julio","agosto","septiembre","octubre","noviembre","diciembre"},0)+1,0))</f>
        <v/>
      </c>
      <c r="E1713" t="str">
        <f>+IFERROR(VLOOKUP(Fact_Contabilidad[[#This Row], [Concepto Anterior]],Conceptos_Contabilidad[#All],5,0),"")</f>
        <v/>
      </c>
      <c r="F1713" t="str">
        <f>+IFERROR(VLOOKUP(Fact_Contabilidad[[#This Row], 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ht="18.75" customHeight="1" x14ac:dyDescent="0.35">
      <c r="A1714" s="103"/>
      <c r="C1714" s="100" t="str">
        <f>IF(OR(Fact_Contabilidad[[#This Row], [Año]]="",Fact_Contabilidad[[#This Row], [Mes]]=""),"",DATE(A1714,MATCH(B1714,{"enero","febrero","marzo","abril","mayo","junio","julio","agosto","septiembre","octubre","noviembre","diciembre"},0)+1,0))</f>
        <v/>
      </c>
      <c r="E1714" t="str">
        <f>+IFERROR(VLOOKUP(Fact_Contabilidad[[#This Row], [Concepto Anterior]],Conceptos_Contabilidad[#All],5,0),"")</f>
        <v/>
      </c>
      <c r="F1714" t="str">
        <f>+IFERROR(VLOOKUP(Fact_Contabilidad[[#This Row], 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ht="18.75" customHeight="1" x14ac:dyDescent="0.35">
      <c r="A1715" s="103"/>
      <c r="C1715" s="100" t="str">
        <f>IF(OR(Fact_Contabilidad[[#This Row], [Año]]="",Fact_Contabilidad[[#This Row], [Mes]]=""),"",DATE(A1715,MATCH(B1715,{"enero","febrero","marzo","abril","mayo","junio","julio","agosto","septiembre","octubre","noviembre","diciembre"},0)+1,0))</f>
        <v/>
      </c>
      <c r="E1715" t="str">
        <f>+IFERROR(VLOOKUP(Fact_Contabilidad[[#This Row], [Concepto Anterior]],Conceptos_Contabilidad[#All],5,0),"")</f>
        <v/>
      </c>
      <c r="F1715" t="str">
        <f>+IFERROR(VLOOKUP(Fact_Contabilidad[[#This Row], 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ht="18.75" customHeight="1" x14ac:dyDescent="0.35">
      <c r="A1716" s="103"/>
      <c r="C1716" s="100" t="str">
        <f>IF(OR(Fact_Contabilidad[[#This Row], [Año]]="",Fact_Contabilidad[[#This Row], [Mes]]=""),"",DATE(A1716,MATCH(B1716,{"enero","febrero","marzo","abril","mayo","junio","julio","agosto","septiembre","octubre","noviembre","diciembre"},0)+1,0))</f>
        <v/>
      </c>
      <c r="E1716" t="str">
        <f>+IFERROR(VLOOKUP(Fact_Contabilidad[[#This Row], [Concepto Anterior]],Conceptos_Contabilidad[#All],5,0),"")</f>
        <v/>
      </c>
      <c r="F1716" t="str">
        <f>+IFERROR(VLOOKUP(Fact_Contabilidad[[#This Row], 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ht="18.75" customHeight="1" x14ac:dyDescent="0.35">
      <c r="A1717" s="103"/>
      <c r="C1717" s="100" t="str">
        <f>IF(OR(Fact_Contabilidad[[#This Row], [Año]]="",Fact_Contabilidad[[#This Row], [Mes]]=""),"",DATE(A1717,MATCH(B1717,{"enero","febrero","marzo","abril","mayo","junio","julio","agosto","septiembre","octubre","noviembre","diciembre"},0)+1,0))</f>
        <v/>
      </c>
      <c r="E1717" t="str">
        <f>+IFERROR(VLOOKUP(Fact_Contabilidad[[#This Row], [Concepto Anterior]],Conceptos_Contabilidad[#All],5,0),"")</f>
        <v/>
      </c>
      <c r="F1717" t="str">
        <f>+IFERROR(VLOOKUP(Fact_Contabilidad[[#This Row], 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ht="18.75" customHeight="1" x14ac:dyDescent="0.35">
      <c r="A1718" s="103"/>
      <c r="C1718" s="100" t="str">
        <f>IF(OR(Fact_Contabilidad[[#This Row], [Año]]="",Fact_Contabilidad[[#This Row], [Mes]]=""),"",DATE(A1718,MATCH(B1718,{"enero","febrero","marzo","abril","mayo","junio","julio","agosto","septiembre","octubre","noviembre","diciembre"},0)+1,0))</f>
        <v/>
      </c>
      <c r="E1718" t="str">
        <f>+IFERROR(VLOOKUP(Fact_Contabilidad[[#This Row], [Concepto Anterior]],Conceptos_Contabilidad[#All],5,0),"")</f>
        <v/>
      </c>
      <c r="F1718" t="str">
        <f>+IFERROR(VLOOKUP(Fact_Contabilidad[[#This Row], 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ht="18.75" customHeight="1" x14ac:dyDescent="0.35">
      <c r="A1719" s="103"/>
      <c r="C1719" s="100" t="str">
        <f>IF(OR(Fact_Contabilidad[[#This Row], [Año]]="",Fact_Contabilidad[[#This Row], [Mes]]=""),"",DATE(A1719,MATCH(B1719,{"enero","febrero","marzo","abril","mayo","junio","julio","agosto","septiembre","octubre","noviembre","diciembre"},0)+1,0))</f>
        <v/>
      </c>
      <c r="E1719" t="str">
        <f>+IFERROR(VLOOKUP(Fact_Contabilidad[[#This Row], [Concepto Anterior]],Conceptos_Contabilidad[#All],5,0),"")</f>
        <v/>
      </c>
      <c r="F1719" t="str">
        <f>+IFERROR(VLOOKUP(Fact_Contabilidad[[#This Row], 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ht="18.75" customHeight="1" x14ac:dyDescent="0.35">
      <c r="A1720" s="103"/>
      <c r="C1720" s="100" t="str">
        <f>IF(OR(Fact_Contabilidad[[#This Row], [Año]]="",Fact_Contabilidad[[#This Row], [Mes]]=""),"",DATE(A1720,MATCH(B1720,{"enero","febrero","marzo","abril","mayo","junio","julio","agosto","septiembre","octubre","noviembre","diciembre"},0)+1,0))</f>
        <v/>
      </c>
      <c r="E1720" t="str">
        <f>+IFERROR(VLOOKUP(Fact_Contabilidad[[#This Row], [Concepto Anterior]],Conceptos_Contabilidad[#All],5,0),"")</f>
        <v/>
      </c>
      <c r="F1720" t="str">
        <f>+IFERROR(VLOOKUP(Fact_Contabilidad[[#This Row], 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ht="18.75" customHeight="1" x14ac:dyDescent="0.35">
      <c r="A1721" s="103"/>
      <c r="C1721" s="100" t="str">
        <f>IF(OR(Fact_Contabilidad[[#This Row], [Año]]="",Fact_Contabilidad[[#This Row], [Mes]]=""),"",DATE(A1721,MATCH(B1721,{"enero","febrero","marzo","abril","mayo","junio","julio","agosto","septiembre","octubre","noviembre","diciembre"},0)+1,0))</f>
        <v/>
      </c>
      <c r="E1721" t="str">
        <f>+IFERROR(VLOOKUP(Fact_Contabilidad[[#This Row], [Concepto Anterior]],Conceptos_Contabilidad[#All],5,0),"")</f>
        <v/>
      </c>
      <c r="F1721" t="str">
        <f>+IFERROR(VLOOKUP(Fact_Contabilidad[[#This Row], 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ht="18.75" customHeight="1" x14ac:dyDescent="0.35">
      <c r="A1722" s="103"/>
      <c r="C1722" s="100" t="str">
        <f>IF(OR(Fact_Contabilidad[[#This Row], [Año]]="",Fact_Contabilidad[[#This Row], [Mes]]=""),"",DATE(A1722,MATCH(B1722,{"enero","febrero","marzo","abril","mayo","junio","julio","agosto","septiembre","octubre","noviembre","diciembre"},0)+1,0))</f>
        <v/>
      </c>
      <c r="E1722" t="str">
        <f>+IFERROR(VLOOKUP(Fact_Contabilidad[[#This Row], [Concepto Anterior]],Conceptos_Contabilidad[#All],5,0),"")</f>
        <v/>
      </c>
      <c r="F1722" t="str">
        <f>+IFERROR(VLOOKUP(Fact_Contabilidad[[#This Row], 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ht="18.75" customHeight="1" x14ac:dyDescent="0.35">
      <c r="A1723" s="103"/>
      <c r="C1723" s="100" t="str">
        <f>IF(OR(Fact_Contabilidad[[#This Row], [Año]]="",Fact_Contabilidad[[#This Row], [Mes]]=""),"",DATE(A1723,MATCH(B1723,{"enero","febrero","marzo","abril","mayo","junio","julio","agosto","septiembre","octubre","noviembre","diciembre"},0)+1,0))</f>
        <v/>
      </c>
      <c r="E1723" t="str">
        <f>+IFERROR(VLOOKUP(Fact_Contabilidad[[#This Row], [Concepto Anterior]],Conceptos_Contabilidad[#All],5,0),"")</f>
        <v/>
      </c>
      <c r="F1723" t="str">
        <f>+IFERROR(VLOOKUP(Fact_Contabilidad[[#This Row], 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ht="18.75" customHeight="1" x14ac:dyDescent="0.35">
      <c r="A1724" s="103"/>
      <c r="C1724" s="100" t="str">
        <f>IF(OR(Fact_Contabilidad[[#This Row], [Año]]="",Fact_Contabilidad[[#This Row], [Mes]]=""),"",DATE(A1724,MATCH(B1724,{"enero","febrero","marzo","abril","mayo","junio","julio","agosto","septiembre","octubre","noviembre","diciembre"},0)+1,0))</f>
        <v/>
      </c>
      <c r="E1724" t="str">
        <f>+IFERROR(VLOOKUP(Fact_Contabilidad[[#This Row], [Concepto Anterior]],Conceptos_Contabilidad[#All],5,0),"")</f>
        <v/>
      </c>
      <c r="F1724" t="str">
        <f>+IFERROR(VLOOKUP(Fact_Contabilidad[[#This Row], 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ht="18.75" customHeight="1" x14ac:dyDescent="0.35">
      <c r="A1725" s="103"/>
      <c r="C1725" s="100" t="str">
        <f>IF(OR(Fact_Contabilidad[[#This Row], [Año]]="",Fact_Contabilidad[[#This Row], [Mes]]=""),"",DATE(A1725,MATCH(B1725,{"enero","febrero","marzo","abril","mayo","junio","julio","agosto","septiembre","octubre","noviembre","diciembre"},0)+1,0))</f>
        <v/>
      </c>
      <c r="E1725" t="str">
        <f>+IFERROR(VLOOKUP(Fact_Contabilidad[[#This Row], [Concepto Anterior]],Conceptos_Contabilidad[#All],5,0),"")</f>
        <v/>
      </c>
      <c r="F1725" t="str">
        <f>+IFERROR(VLOOKUP(Fact_Contabilidad[[#This Row], 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ht="18.75" customHeight="1" x14ac:dyDescent="0.35">
      <c r="A1726" s="103"/>
      <c r="C1726" s="100" t="str">
        <f>IF(OR(Fact_Contabilidad[[#This Row], [Año]]="",Fact_Contabilidad[[#This Row], [Mes]]=""),"",DATE(A1726,MATCH(B1726,{"enero","febrero","marzo","abril","mayo","junio","julio","agosto","septiembre","octubre","noviembre","diciembre"},0)+1,0))</f>
        <v/>
      </c>
      <c r="E1726" t="str">
        <f>+IFERROR(VLOOKUP(Fact_Contabilidad[[#This Row], [Concepto Anterior]],Conceptos_Contabilidad[#All],5,0),"")</f>
        <v/>
      </c>
      <c r="F1726" t="str">
        <f>+IFERROR(VLOOKUP(Fact_Contabilidad[[#This Row], 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ht="18.75" customHeight="1" x14ac:dyDescent="0.35">
      <c r="A1727" s="103"/>
      <c r="C1727" s="100" t="str">
        <f>IF(OR(Fact_Contabilidad[[#This Row], [Año]]="",Fact_Contabilidad[[#This Row], [Mes]]=""),"",DATE(A1727,MATCH(B1727,{"enero","febrero","marzo","abril","mayo","junio","julio","agosto","septiembre","octubre","noviembre","diciembre"},0)+1,0))</f>
        <v/>
      </c>
      <c r="E1727" t="str">
        <f>+IFERROR(VLOOKUP(Fact_Contabilidad[[#This Row], [Concepto Anterior]],Conceptos_Contabilidad[#All],5,0),"")</f>
        <v/>
      </c>
      <c r="F1727" t="str">
        <f>+IFERROR(VLOOKUP(Fact_Contabilidad[[#This Row], 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ht="18.75" customHeight="1" x14ac:dyDescent="0.35">
      <c r="A1728" s="103"/>
      <c r="C1728" s="100" t="str">
        <f>IF(OR(Fact_Contabilidad[[#This Row], [Año]]="",Fact_Contabilidad[[#This Row], [Mes]]=""),"",DATE(A1728,MATCH(B1728,{"enero","febrero","marzo","abril","mayo","junio","julio","agosto","septiembre","octubre","noviembre","diciembre"},0)+1,0))</f>
        <v/>
      </c>
      <c r="E1728" t="str">
        <f>+IFERROR(VLOOKUP(Fact_Contabilidad[[#This Row], [Concepto Anterior]],Conceptos_Contabilidad[#All],5,0),"")</f>
        <v/>
      </c>
      <c r="F1728" t="str">
        <f>+IFERROR(VLOOKUP(Fact_Contabilidad[[#This Row], 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ht="18.75" customHeight="1" x14ac:dyDescent="0.35">
      <c r="A1729" s="103"/>
      <c r="C1729" s="100" t="str">
        <f>IF(OR(Fact_Contabilidad[[#This Row], [Año]]="",Fact_Contabilidad[[#This Row], [Mes]]=""),"",DATE(A1729,MATCH(B1729,{"enero","febrero","marzo","abril","mayo","junio","julio","agosto","septiembre","octubre","noviembre","diciembre"},0)+1,0))</f>
        <v/>
      </c>
      <c r="E1729" t="str">
        <f>+IFERROR(VLOOKUP(Fact_Contabilidad[[#This Row], [Concepto Anterior]],Conceptos_Contabilidad[#All],5,0),"")</f>
        <v/>
      </c>
      <c r="F1729" t="str">
        <f>+IFERROR(VLOOKUP(Fact_Contabilidad[[#This Row], 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ht="18.75" customHeight="1" x14ac:dyDescent="0.35">
      <c r="A1730" s="103"/>
      <c r="C1730" s="100" t="str">
        <f>IF(OR(Fact_Contabilidad[[#This Row], [Año]]="",Fact_Contabilidad[[#This Row], [Mes]]=""),"",DATE(A1730,MATCH(B1730,{"enero","febrero","marzo","abril","mayo","junio","julio","agosto","septiembre","octubre","noviembre","diciembre"},0)+1,0))</f>
        <v/>
      </c>
      <c r="E1730" t="str">
        <f>+IFERROR(VLOOKUP(Fact_Contabilidad[[#This Row], [Concepto Anterior]],Conceptos_Contabilidad[#All],5,0),"")</f>
        <v/>
      </c>
      <c r="F1730" t="str">
        <f>+IFERROR(VLOOKUP(Fact_Contabilidad[[#This Row], 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ht="18.75" customHeight="1" x14ac:dyDescent="0.35">
      <c r="A1731" s="103"/>
      <c r="C1731" s="100" t="str">
        <f>IF(OR(Fact_Contabilidad[[#This Row], [Año]]="",Fact_Contabilidad[[#This Row], [Mes]]=""),"",DATE(A1731,MATCH(B1731,{"enero","febrero","marzo","abril","mayo","junio","julio","agosto","septiembre","octubre","noviembre","diciembre"},0)+1,0))</f>
        <v/>
      </c>
      <c r="E1731" t="str">
        <f>+IFERROR(VLOOKUP(Fact_Contabilidad[[#This Row], [Concepto Anterior]],Conceptos_Contabilidad[#All],5,0),"")</f>
        <v/>
      </c>
      <c r="F1731" t="str">
        <f>+IFERROR(VLOOKUP(Fact_Contabilidad[[#This Row], 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ht="18.75" customHeight="1" x14ac:dyDescent="0.35">
      <c r="A1732" s="103"/>
      <c r="C1732" s="100" t="str">
        <f>IF(OR(Fact_Contabilidad[[#This Row], [Año]]="",Fact_Contabilidad[[#This Row], [Mes]]=""),"",DATE(A1732,MATCH(B1732,{"enero","febrero","marzo","abril","mayo","junio","julio","agosto","septiembre","octubre","noviembre","diciembre"},0)+1,0))</f>
        <v/>
      </c>
      <c r="E1732" t="str">
        <f>+IFERROR(VLOOKUP(Fact_Contabilidad[[#This Row], [Concepto Anterior]],Conceptos_Contabilidad[#All],5,0),"")</f>
        <v/>
      </c>
      <c r="F1732" t="str">
        <f>+IFERROR(VLOOKUP(Fact_Contabilidad[[#This Row], 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ht="18.75" customHeight="1" x14ac:dyDescent="0.35">
      <c r="A1733" s="103"/>
      <c r="C1733" s="100" t="str">
        <f>IF(OR(Fact_Contabilidad[[#This Row], [Año]]="",Fact_Contabilidad[[#This Row], [Mes]]=""),"",DATE(A1733,MATCH(B1733,{"enero","febrero","marzo","abril","mayo","junio","julio","agosto","septiembre","octubre","noviembre","diciembre"},0)+1,0))</f>
        <v/>
      </c>
      <c r="E1733" t="str">
        <f>+IFERROR(VLOOKUP(Fact_Contabilidad[[#This Row], [Concepto Anterior]],Conceptos_Contabilidad[#All],5,0),"")</f>
        <v/>
      </c>
      <c r="F1733" t="str">
        <f>+IFERROR(VLOOKUP(Fact_Contabilidad[[#This Row], 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ht="18.75" customHeight="1" x14ac:dyDescent="0.35">
      <c r="A1734" s="103"/>
      <c r="C1734" s="100" t="str">
        <f>IF(OR(Fact_Contabilidad[[#This Row], [Año]]="",Fact_Contabilidad[[#This Row], [Mes]]=""),"",DATE(A1734,MATCH(B1734,{"enero","febrero","marzo","abril","mayo","junio","julio","agosto","septiembre","octubre","noviembre","diciembre"},0)+1,0))</f>
        <v/>
      </c>
      <c r="E1734" t="str">
        <f>+IFERROR(VLOOKUP(Fact_Contabilidad[[#This Row], [Concepto Anterior]],Conceptos_Contabilidad[#All],5,0),"")</f>
        <v/>
      </c>
      <c r="F1734" t="str">
        <f>+IFERROR(VLOOKUP(Fact_Contabilidad[[#This Row], 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ht="18.75" customHeight="1" x14ac:dyDescent="0.35">
      <c r="A1735" s="103"/>
      <c r="C1735" s="100" t="str">
        <f>IF(OR(Fact_Contabilidad[[#This Row], [Año]]="",Fact_Contabilidad[[#This Row], [Mes]]=""),"",DATE(A1735,MATCH(B1735,{"enero","febrero","marzo","abril","mayo","junio","julio","agosto","septiembre","octubre","noviembre","diciembre"},0)+1,0))</f>
        <v/>
      </c>
      <c r="E1735" t="str">
        <f>+IFERROR(VLOOKUP(Fact_Contabilidad[[#This Row], [Concepto Anterior]],Conceptos_Contabilidad[#All],5,0),"")</f>
        <v/>
      </c>
      <c r="F1735" t="str">
        <f>+IFERROR(VLOOKUP(Fact_Contabilidad[[#This Row], 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ht="18.75" customHeight="1" x14ac:dyDescent="0.35">
      <c r="A1736" s="103"/>
      <c r="C1736" s="100" t="str">
        <f>IF(OR(Fact_Contabilidad[[#This Row], [Año]]="",Fact_Contabilidad[[#This Row], [Mes]]=""),"",DATE(A1736,MATCH(B1736,{"enero","febrero","marzo","abril","mayo","junio","julio","agosto","septiembre","octubre","noviembre","diciembre"},0)+1,0))</f>
        <v/>
      </c>
      <c r="E1736" t="str">
        <f>+IFERROR(VLOOKUP(Fact_Contabilidad[[#This Row], [Concepto Anterior]],Conceptos_Contabilidad[#All],5,0),"")</f>
        <v/>
      </c>
      <c r="F1736" t="str">
        <f>+IFERROR(VLOOKUP(Fact_Contabilidad[[#This Row], 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ht="18.75" customHeight="1" x14ac:dyDescent="0.35">
      <c r="A1737" s="103"/>
      <c r="C1737" s="100" t="str">
        <f>IF(OR(Fact_Contabilidad[[#This Row], [Año]]="",Fact_Contabilidad[[#This Row], [Mes]]=""),"",DATE(A1737,MATCH(B1737,{"enero","febrero","marzo","abril","mayo","junio","julio","agosto","septiembre","octubre","noviembre","diciembre"},0)+1,0))</f>
        <v/>
      </c>
      <c r="E1737" t="str">
        <f>+IFERROR(VLOOKUP(Fact_Contabilidad[[#This Row], [Concepto Anterior]],Conceptos_Contabilidad[#All],5,0),"")</f>
        <v/>
      </c>
      <c r="F1737" t="str">
        <f>+IFERROR(VLOOKUP(Fact_Contabilidad[[#This Row], 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ht="18.75" customHeight="1" x14ac:dyDescent="0.35">
      <c r="A1738" s="103"/>
      <c r="C1738" s="100" t="str">
        <f>IF(OR(Fact_Contabilidad[[#This Row], [Año]]="",Fact_Contabilidad[[#This Row], [Mes]]=""),"",DATE(A1738,MATCH(B1738,{"enero","febrero","marzo","abril","mayo","junio","julio","agosto","septiembre","octubre","noviembre","diciembre"},0)+1,0))</f>
        <v/>
      </c>
      <c r="E1738" t="str">
        <f>+IFERROR(VLOOKUP(Fact_Contabilidad[[#This Row], [Concepto Anterior]],Conceptos_Contabilidad[#All],5,0),"")</f>
        <v/>
      </c>
      <c r="F1738" t="str">
        <f>+IFERROR(VLOOKUP(Fact_Contabilidad[[#This Row], 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ht="18.75" customHeight="1" x14ac:dyDescent="0.35">
      <c r="A1739" s="103"/>
      <c r="C1739" s="100" t="str">
        <f>IF(OR(Fact_Contabilidad[[#This Row], [Año]]="",Fact_Contabilidad[[#This Row], [Mes]]=""),"",DATE(A1739,MATCH(B1739,{"enero","febrero","marzo","abril","mayo","junio","julio","agosto","septiembre","octubre","noviembre","diciembre"},0)+1,0))</f>
        <v/>
      </c>
      <c r="E1739" t="str">
        <f>+IFERROR(VLOOKUP(Fact_Contabilidad[[#This Row], [Concepto Anterior]],Conceptos_Contabilidad[#All],5,0),"")</f>
        <v/>
      </c>
      <c r="F1739" t="str">
        <f>+IFERROR(VLOOKUP(Fact_Contabilidad[[#This Row], 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ht="18.75" customHeight="1" x14ac:dyDescent="0.35">
      <c r="A1740" s="103"/>
      <c r="C1740" s="100" t="str">
        <f>IF(OR(Fact_Contabilidad[[#This Row], [Año]]="",Fact_Contabilidad[[#This Row], [Mes]]=""),"",DATE(A1740,MATCH(B1740,{"enero","febrero","marzo","abril","mayo","junio","julio","agosto","septiembre","octubre","noviembre","diciembre"},0)+1,0))</f>
        <v/>
      </c>
      <c r="E1740" t="str">
        <f>+IFERROR(VLOOKUP(Fact_Contabilidad[[#This Row], [Concepto Anterior]],Conceptos_Contabilidad[#All],5,0),"")</f>
        <v/>
      </c>
      <c r="F1740" t="str">
        <f>+IFERROR(VLOOKUP(Fact_Contabilidad[[#This Row], 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ht="18.75" customHeight="1" x14ac:dyDescent="0.35">
      <c r="A1741" s="103"/>
      <c r="C1741" s="100" t="str">
        <f>IF(OR(Fact_Contabilidad[[#This Row], [Año]]="",Fact_Contabilidad[[#This Row], [Mes]]=""),"",DATE(A1741,MATCH(B1741,{"enero","febrero","marzo","abril","mayo","junio","julio","agosto","septiembre","octubre","noviembre","diciembre"},0)+1,0))</f>
        <v/>
      </c>
      <c r="E1741" t="str">
        <f>+IFERROR(VLOOKUP(Fact_Contabilidad[[#This Row], [Concepto Anterior]],Conceptos_Contabilidad[#All],5,0),"")</f>
        <v/>
      </c>
      <c r="F1741" t="str">
        <f>+IFERROR(VLOOKUP(Fact_Contabilidad[[#This Row], 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ht="18.75" customHeight="1" x14ac:dyDescent="0.35">
      <c r="A1742" s="103"/>
      <c r="C1742" s="100" t="str">
        <f>IF(OR(Fact_Contabilidad[[#This Row], [Año]]="",Fact_Contabilidad[[#This Row], [Mes]]=""),"",DATE(A1742,MATCH(B1742,{"enero","febrero","marzo","abril","mayo","junio","julio","agosto","septiembre","octubre","noviembre","diciembre"},0)+1,0))</f>
        <v/>
      </c>
      <c r="E1742" t="str">
        <f>+IFERROR(VLOOKUP(Fact_Contabilidad[[#This Row], [Concepto Anterior]],Conceptos_Contabilidad[#All],5,0),"")</f>
        <v/>
      </c>
      <c r="F1742" t="str">
        <f>+IFERROR(VLOOKUP(Fact_Contabilidad[[#This Row], 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ht="18.75" customHeight="1" x14ac:dyDescent="0.35">
      <c r="A1743" s="103"/>
      <c r="C1743" s="100" t="str">
        <f>IF(OR(Fact_Contabilidad[[#This Row], [Año]]="",Fact_Contabilidad[[#This Row], [Mes]]=""),"",DATE(A1743,MATCH(B1743,{"enero","febrero","marzo","abril","mayo","junio","julio","agosto","septiembre","octubre","noviembre","diciembre"},0)+1,0))</f>
        <v/>
      </c>
      <c r="E1743" t="str">
        <f>+IFERROR(VLOOKUP(Fact_Contabilidad[[#This Row], [Concepto Anterior]],Conceptos_Contabilidad[#All],5,0),"")</f>
        <v/>
      </c>
      <c r="F1743" t="str">
        <f>+IFERROR(VLOOKUP(Fact_Contabilidad[[#This Row], 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ht="18.75" customHeight="1" x14ac:dyDescent="0.35">
      <c r="A1744" s="103"/>
      <c r="C1744" s="100" t="str">
        <f>IF(OR(Fact_Contabilidad[[#This Row], [Año]]="",Fact_Contabilidad[[#This Row], [Mes]]=""),"",DATE(A1744,MATCH(B1744,{"enero","febrero","marzo","abril","mayo","junio","julio","agosto","septiembre","octubre","noviembre","diciembre"},0)+1,0))</f>
        <v/>
      </c>
      <c r="E1744" t="str">
        <f>+IFERROR(VLOOKUP(Fact_Contabilidad[[#This Row], [Concepto Anterior]],Conceptos_Contabilidad[#All],5,0),"")</f>
        <v/>
      </c>
      <c r="F1744" t="str">
        <f>+IFERROR(VLOOKUP(Fact_Contabilidad[[#This Row], 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ht="18.75" customHeight="1" x14ac:dyDescent="0.35">
      <c r="A1745" s="103"/>
      <c r="C1745" s="100" t="str">
        <f>IF(OR(Fact_Contabilidad[[#This Row], [Año]]="",Fact_Contabilidad[[#This Row], [Mes]]=""),"",DATE(A1745,MATCH(B1745,{"enero","febrero","marzo","abril","mayo","junio","julio","agosto","septiembre","octubre","noviembre","diciembre"},0)+1,0))</f>
        <v/>
      </c>
      <c r="E1745" t="str">
        <f>+IFERROR(VLOOKUP(Fact_Contabilidad[[#This Row], [Concepto Anterior]],Conceptos_Contabilidad[#All],5,0),"")</f>
        <v/>
      </c>
      <c r="F1745" t="str">
        <f>+IFERROR(VLOOKUP(Fact_Contabilidad[[#This Row], 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ht="18.75" customHeight="1" x14ac:dyDescent="0.35">
      <c r="A1746" s="103"/>
      <c r="C1746" s="100" t="str">
        <f>IF(OR(Fact_Contabilidad[[#This Row], [Año]]="",Fact_Contabilidad[[#This Row], [Mes]]=""),"",DATE(A1746,MATCH(B1746,{"enero","febrero","marzo","abril","mayo","junio","julio","agosto","septiembre","octubre","noviembre","diciembre"},0)+1,0))</f>
        <v/>
      </c>
      <c r="E1746" t="str">
        <f>+IFERROR(VLOOKUP(Fact_Contabilidad[[#This Row], [Concepto Anterior]],Conceptos_Contabilidad[#All],5,0),"")</f>
        <v/>
      </c>
      <c r="F1746" t="str">
        <f>+IFERROR(VLOOKUP(Fact_Contabilidad[[#This Row], 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ht="18.75" customHeight="1" x14ac:dyDescent="0.35">
      <c r="A1747" s="103"/>
      <c r="C1747" s="100" t="str">
        <f>IF(OR(Fact_Contabilidad[[#This Row], [Año]]="",Fact_Contabilidad[[#This Row], [Mes]]=""),"",DATE(A1747,MATCH(B1747,{"enero","febrero","marzo","abril","mayo","junio","julio","agosto","septiembre","octubre","noviembre","diciembre"},0)+1,0))</f>
        <v/>
      </c>
      <c r="E1747" t="str">
        <f>+IFERROR(VLOOKUP(Fact_Contabilidad[[#This Row], [Concepto Anterior]],Conceptos_Contabilidad[#All],5,0),"")</f>
        <v/>
      </c>
      <c r="F1747" t="str">
        <f>+IFERROR(VLOOKUP(Fact_Contabilidad[[#This Row], 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ht="18.75" customHeight="1" x14ac:dyDescent="0.35">
      <c r="A1748" s="103"/>
      <c r="C1748" s="100" t="str">
        <f>IF(OR(Fact_Contabilidad[[#This Row], [Año]]="",Fact_Contabilidad[[#This Row], [Mes]]=""),"",DATE(A1748,MATCH(B1748,{"enero","febrero","marzo","abril","mayo","junio","julio","agosto","septiembre","octubre","noviembre","diciembre"},0)+1,0))</f>
        <v/>
      </c>
      <c r="E1748" t="str">
        <f>+IFERROR(VLOOKUP(Fact_Contabilidad[[#This Row], [Concepto Anterior]],Conceptos_Contabilidad[#All],5,0),"")</f>
        <v/>
      </c>
      <c r="F1748" t="str">
        <f>+IFERROR(VLOOKUP(Fact_Contabilidad[[#This Row], 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ht="18.75" customHeight="1" x14ac:dyDescent="0.35">
      <c r="A1749" s="103"/>
      <c r="C1749" s="100" t="str">
        <f>IF(OR(Fact_Contabilidad[[#This Row], [Año]]="",Fact_Contabilidad[[#This Row], [Mes]]=""),"",DATE(A1749,MATCH(B1749,{"enero","febrero","marzo","abril","mayo","junio","julio","agosto","septiembre","octubre","noviembre","diciembre"},0)+1,0))</f>
        <v/>
      </c>
      <c r="E1749" t="str">
        <f>+IFERROR(VLOOKUP(Fact_Contabilidad[[#This Row], [Concepto Anterior]],Conceptos_Contabilidad[#All],5,0),"")</f>
        <v/>
      </c>
      <c r="F1749" t="str">
        <f>+IFERROR(VLOOKUP(Fact_Contabilidad[[#This Row], 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ht="18.75" customHeight="1" x14ac:dyDescent="0.35">
      <c r="A1750" s="103"/>
      <c r="C1750" s="100" t="str">
        <f>IF(OR(Fact_Contabilidad[[#This Row], [Año]]="",Fact_Contabilidad[[#This Row], [Mes]]=""),"",DATE(A1750,MATCH(B1750,{"enero","febrero","marzo","abril","mayo","junio","julio","agosto","septiembre","octubre","noviembre","diciembre"},0)+1,0))</f>
        <v/>
      </c>
      <c r="E1750" t="str">
        <f>+IFERROR(VLOOKUP(Fact_Contabilidad[[#This Row], [Concepto Anterior]],Conceptos_Contabilidad[#All],5,0),"")</f>
        <v/>
      </c>
      <c r="F1750" t="str">
        <f>+IFERROR(VLOOKUP(Fact_Contabilidad[[#This Row], 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ht="18.75" customHeight="1" x14ac:dyDescent="0.35">
      <c r="A1751" s="103"/>
      <c r="C1751" s="100" t="str">
        <f>IF(OR(Fact_Contabilidad[[#This Row], [Año]]="",Fact_Contabilidad[[#This Row], [Mes]]=""),"",DATE(A1751,MATCH(B1751,{"enero","febrero","marzo","abril","mayo","junio","julio","agosto","septiembre","octubre","noviembre","diciembre"},0)+1,0))</f>
        <v/>
      </c>
      <c r="E1751" t="str">
        <f>+IFERROR(VLOOKUP(Fact_Contabilidad[[#This Row], [Concepto Anterior]],Conceptos_Contabilidad[#All],5,0),"")</f>
        <v/>
      </c>
      <c r="F1751" t="str">
        <f>+IFERROR(VLOOKUP(Fact_Contabilidad[[#This Row], 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ht="18.75" customHeight="1" x14ac:dyDescent="0.35">
      <c r="A1752" s="103"/>
      <c r="C1752" s="100" t="str">
        <f>IF(OR(Fact_Contabilidad[[#This Row], [Año]]="",Fact_Contabilidad[[#This Row], [Mes]]=""),"",DATE(A1752,MATCH(B1752,{"enero","febrero","marzo","abril","mayo","junio","julio","agosto","septiembre","octubre","noviembre","diciembre"},0)+1,0))</f>
        <v/>
      </c>
      <c r="E1752" t="str">
        <f>+IFERROR(VLOOKUP(Fact_Contabilidad[[#This Row], [Concepto Anterior]],Conceptos_Contabilidad[#All],5,0),"")</f>
        <v/>
      </c>
      <c r="F1752" t="str">
        <f>+IFERROR(VLOOKUP(Fact_Contabilidad[[#This Row], 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ht="18.75" customHeight="1" x14ac:dyDescent="0.35">
      <c r="A1753" s="103"/>
      <c r="C1753" s="100" t="str">
        <f>IF(OR(Fact_Contabilidad[[#This Row], [Año]]="",Fact_Contabilidad[[#This Row], [Mes]]=""),"",DATE(A1753,MATCH(B1753,{"enero","febrero","marzo","abril","mayo","junio","julio","agosto","septiembre","octubre","noviembre","diciembre"},0)+1,0))</f>
        <v/>
      </c>
      <c r="E1753" t="str">
        <f>+IFERROR(VLOOKUP(Fact_Contabilidad[[#This Row], [Concepto Anterior]],Conceptos_Contabilidad[#All],5,0),"")</f>
        <v/>
      </c>
      <c r="F1753" t="str">
        <f>+IFERROR(VLOOKUP(Fact_Contabilidad[[#This Row], 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ht="18.75" customHeight="1" x14ac:dyDescent="0.35">
      <c r="A1754" s="103"/>
      <c r="C1754" s="100" t="str">
        <f>IF(OR(Fact_Contabilidad[[#This Row], [Año]]="",Fact_Contabilidad[[#This Row], [Mes]]=""),"",DATE(A1754,MATCH(B1754,{"enero","febrero","marzo","abril","mayo","junio","julio","agosto","septiembre","octubre","noviembre","diciembre"},0)+1,0))</f>
        <v/>
      </c>
      <c r="E1754" t="str">
        <f>+IFERROR(VLOOKUP(Fact_Contabilidad[[#This Row], [Concepto Anterior]],Conceptos_Contabilidad[#All],5,0),"")</f>
        <v/>
      </c>
      <c r="F1754" t="str">
        <f>+IFERROR(VLOOKUP(Fact_Contabilidad[[#This Row], 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ht="18.75" customHeight="1" x14ac:dyDescent="0.35">
      <c r="A1755" s="103"/>
      <c r="C1755" s="100" t="str">
        <f>IF(OR(Fact_Contabilidad[[#This Row], [Año]]="",Fact_Contabilidad[[#This Row], [Mes]]=""),"",DATE(A1755,MATCH(B1755,{"enero","febrero","marzo","abril","mayo","junio","julio","agosto","septiembre","octubre","noviembre","diciembre"},0)+1,0))</f>
        <v/>
      </c>
      <c r="E1755" t="str">
        <f>+IFERROR(VLOOKUP(Fact_Contabilidad[[#This Row], [Concepto Anterior]],Conceptos_Contabilidad[#All],5,0),"")</f>
        <v/>
      </c>
      <c r="F1755" t="str">
        <f>+IFERROR(VLOOKUP(Fact_Contabilidad[[#This Row], 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ht="18.75" customHeight="1" x14ac:dyDescent="0.35">
      <c r="A1756" s="103"/>
      <c r="C1756" s="100" t="str">
        <f>IF(OR(Fact_Contabilidad[[#This Row], [Año]]="",Fact_Contabilidad[[#This Row], [Mes]]=""),"",DATE(A1756,MATCH(B1756,{"enero","febrero","marzo","abril","mayo","junio","julio","agosto","septiembre","octubre","noviembre","diciembre"},0)+1,0))</f>
        <v/>
      </c>
      <c r="E1756" t="str">
        <f>+IFERROR(VLOOKUP(Fact_Contabilidad[[#This Row], [Concepto Anterior]],Conceptos_Contabilidad[#All],5,0),"")</f>
        <v/>
      </c>
      <c r="F1756" t="str">
        <f>+IFERROR(VLOOKUP(Fact_Contabilidad[[#This Row], 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ht="18.75" customHeight="1" x14ac:dyDescent="0.35">
      <c r="A1757" s="103"/>
      <c r="C1757" s="100" t="str">
        <f>IF(OR(Fact_Contabilidad[[#This Row], [Año]]="",Fact_Contabilidad[[#This Row], [Mes]]=""),"",DATE(A1757,MATCH(B1757,{"enero","febrero","marzo","abril","mayo","junio","julio","agosto","septiembre","octubre","noviembre","diciembre"},0)+1,0))</f>
        <v/>
      </c>
      <c r="E1757" t="str">
        <f>+IFERROR(VLOOKUP(Fact_Contabilidad[[#This Row], [Concepto Anterior]],Conceptos_Contabilidad[#All],5,0),"")</f>
        <v/>
      </c>
      <c r="F1757" t="str">
        <f>+IFERROR(VLOOKUP(Fact_Contabilidad[[#This Row], 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ht="18.75" customHeight="1" x14ac:dyDescent="0.35">
      <c r="A1758" s="103"/>
      <c r="C1758" s="100" t="str">
        <f>IF(OR(Fact_Contabilidad[[#This Row], [Año]]="",Fact_Contabilidad[[#This Row], [Mes]]=""),"",DATE(A1758,MATCH(B1758,{"enero","febrero","marzo","abril","mayo","junio","julio","agosto","septiembre","octubre","noviembre","diciembre"},0)+1,0))</f>
        <v/>
      </c>
      <c r="E1758" t="str">
        <f>+IFERROR(VLOOKUP(Fact_Contabilidad[[#This Row], [Concepto Anterior]],Conceptos_Contabilidad[#All],5,0),"")</f>
        <v/>
      </c>
      <c r="F1758" t="str">
        <f>+IFERROR(VLOOKUP(Fact_Contabilidad[[#This Row], 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ht="18.75" customHeight="1" x14ac:dyDescent="0.35">
      <c r="A1759" s="103"/>
      <c r="C1759" s="100" t="str">
        <f>IF(OR(Fact_Contabilidad[[#This Row], [Año]]="",Fact_Contabilidad[[#This Row], [Mes]]=""),"",DATE(A1759,MATCH(B1759,{"enero","febrero","marzo","abril","mayo","junio","julio","agosto","septiembre","octubre","noviembre","diciembre"},0)+1,0))</f>
        <v/>
      </c>
      <c r="E1759" t="str">
        <f>+IFERROR(VLOOKUP(Fact_Contabilidad[[#This Row], [Concepto Anterior]],Conceptos_Contabilidad[#All],5,0),"")</f>
        <v/>
      </c>
      <c r="F1759" t="str">
        <f>+IFERROR(VLOOKUP(Fact_Contabilidad[[#This Row], 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ht="18.75" customHeight="1" x14ac:dyDescent="0.35">
      <c r="A1760" s="103"/>
      <c r="C1760" s="100" t="str">
        <f>IF(OR(Fact_Contabilidad[[#This Row], [Año]]="",Fact_Contabilidad[[#This Row], [Mes]]=""),"",DATE(A1760,MATCH(B1760,{"enero","febrero","marzo","abril","mayo","junio","julio","agosto","septiembre","octubre","noviembre","diciembre"},0)+1,0))</f>
        <v/>
      </c>
      <c r="E1760" t="str">
        <f>+IFERROR(VLOOKUP(Fact_Contabilidad[[#This Row], [Concepto Anterior]],Conceptos_Contabilidad[#All],5,0),"")</f>
        <v/>
      </c>
      <c r="F1760" t="str">
        <f>+IFERROR(VLOOKUP(Fact_Contabilidad[[#This Row], 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ht="18.75" customHeight="1" x14ac:dyDescent="0.35">
      <c r="A1761" s="103"/>
      <c r="C1761" s="100" t="str">
        <f>IF(OR(Fact_Contabilidad[[#This Row], [Año]]="",Fact_Contabilidad[[#This Row], [Mes]]=""),"",DATE(A1761,MATCH(B1761,{"enero","febrero","marzo","abril","mayo","junio","julio","agosto","septiembre","octubre","noviembre","diciembre"},0)+1,0))</f>
        <v/>
      </c>
      <c r="E1761" t="str">
        <f>+IFERROR(VLOOKUP(Fact_Contabilidad[[#This Row], [Concepto Anterior]],Conceptos_Contabilidad[#All],5,0),"")</f>
        <v/>
      </c>
      <c r="F1761" t="str">
        <f>+IFERROR(VLOOKUP(Fact_Contabilidad[[#This Row], 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ht="18.75" customHeight="1" x14ac:dyDescent="0.35">
      <c r="A1762" s="103"/>
      <c r="C1762" s="100" t="str">
        <f>IF(OR(Fact_Contabilidad[[#This Row], [Año]]="",Fact_Contabilidad[[#This Row], [Mes]]=""),"",DATE(A1762,MATCH(B1762,{"enero","febrero","marzo","abril","mayo","junio","julio","agosto","septiembre","octubre","noviembre","diciembre"},0)+1,0))</f>
        <v/>
      </c>
      <c r="E1762" t="str">
        <f>+IFERROR(VLOOKUP(Fact_Contabilidad[[#This Row], [Concepto Anterior]],Conceptos_Contabilidad[#All],5,0),"")</f>
        <v/>
      </c>
      <c r="F1762" t="str">
        <f>+IFERROR(VLOOKUP(Fact_Contabilidad[[#This Row], 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ht="18.75" customHeight="1" x14ac:dyDescent="0.35">
      <c r="A1763" s="103"/>
      <c r="C1763" s="100" t="str">
        <f>IF(OR(Fact_Contabilidad[[#This Row], [Año]]="",Fact_Contabilidad[[#This Row], [Mes]]=""),"",DATE(A1763,MATCH(B1763,{"enero","febrero","marzo","abril","mayo","junio","julio","agosto","septiembre","octubre","noviembre","diciembre"},0)+1,0))</f>
        <v/>
      </c>
      <c r="E1763" t="str">
        <f>+IFERROR(VLOOKUP(Fact_Contabilidad[[#This Row], [Concepto Anterior]],Conceptos_Contabilidad[#All],5,0),"")</f>
        <v/>
      </c>
      <c r="F1763" t="str">
        <f>+IFERROR(VLOOKUP(Fact_Contabilidad[[#This Row], 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ht="18.75" customHeight="1" x14ac:dyDescent="0.35">
      <c r="A1764" s="103"/>
      <c r="C1764" s="100" t="str">
        <f>IF(OR(Fact_Contabilidad[[#This Row], [Año]]="",Fact_Contabilidad[[#This Row], [Mes]]=""),"",DATE(A1764,MATCH(B1764,{"enero","febrero","marzo","abril","mayo","junio","julio","agosto","septiembre","octubre","noviembre","diciembre"},0)+1,0))</f>
        <v/>
      </c>
      <c r="E1764" t="str">
        <f>+IFERROR(VLOOKUP(Fact_Contabilidad[[#This Row], [Concepto Anterior]],Conceptos_Contabilidad[#All],5,0),"")</f>
        <v/>
      </c>
      <c r="F1764" t="str">
        <f>+IFERROR(VLOOKUP(Fact_Contabilidad[[#This Row], 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ht="18.75" customHeight="1" x14ac:dyDescent="0.35">
      <c r="A1765" s="103"/>
      <c r="C1765" s="100" t="str">
        <f>IF(OR(Fact_Contabilidad[[#This Row], [Año]]="",Fact_Contabilidad[[#This Row], [Mes]]=""),"",DATE(A1765,MATCH(B1765,{"enero","febrero","marzo","abril","mayo","junio","julio","agosto","septiembre","octubre","noviembre","diciembre"},0)+1,0))</f>
        <v/>
      </c>
      <c r="E1765" t="str">
        <f>+IFERROR(VLOOKUP(Fact_Contabilidad[[#This Row], [Concepto Anterior]],Conceptos_Contabilidad[#All],5,0),"")</f>
        <v/>
      </c>
      <c r="F1765" t="str">
        <f>+IFERROR(VLOOKUP(Fact_Contabilidad[[#This Row], 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ht="18.75" customHeight="1" x14ac:dyDescent="0.35">
      <c r="A1766" s="103"/>
      <c r="C1766" s="100" t="str">
        <f>IF(OR(Fact_Contabilidad[[#This Row], [Año]]="",Fact_Contabilidad[[#This Row], [Mes]]=""),"",DATE(A1766,MATCH(B1766,{"enero","febrero","marzo","abril","mayo","junio","julio","agosto","septiembre","octubre","noviembre","diciembre"},0)+1,0))</f>
        <v/>
      </c>
      <c r="E1766" t="str">
        <f>+IFERROR(VLOOKUP(Fact_Contabilidad[[#This Row], [Concepto Anterior]],Conceptos_Contabilidad[#All],5,0),"")</f>
        <v/>
      </c>
      <c r="F1766" t="str">
        <f>+IFERROR(VLOOKUP(Fact_Contabilidad[[#This Row], 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ht="18.75" customHeight="1" x14ac:dyDescent="0.35">
      <c r="A1767" s="103"/>
      <c r="C1767" s="100" t="str">
        <f>IF(OR(Fact_Contabilidad[[#This Row], [Año]]="",Fact_Contabilidad[[#This Row], [Mes]]=""),"",DATE(A1767,MATCH(B1767,{"enero","febrero","marzo","abril","mayo","junio","julio","agosto","septiembre","octubre","noviembre","diciembre"},0)+1,0))</f>
        <v/>
      </c>
      <c r="E1767" t="str">
        <f>+IFERROR(VLOOKUP(Fact_Contabilidad[[#This Row], [Concepto Anterior]],Conceptos_Contabilidad[#All],5,0),"")</f>
        <v/>
      </c>
      <c r="F1767" t="str">
        <f>+IFERROR(VLOOKUP(Fact_Contabilidad[[#This Row], 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ht="18.75" customHeight="1" x14ac:dyDescent="0.35">
      <c r="A1768" s="103"/>
      <c r="C1768" s="100" t="str">
        <f>IF(OR(Fact_Contabilidad[[#This Row], [Año]]="",Fact_Contabilidad[[#This Row], [Mes]]=""),"",DATE(A1768,MATCH(B1768,{"enero","febrero","marzo","abril","mayo","junio","julio","agosto","septiembre","octubre","noviembre","diciembre"},0)+1,0))</f>
        <v/>
      </c>
      <c r="E1768" t="str">
        <f>+IFERROR(VLOOKUP(Fact_Contabilidad[[#This Row], [Concepto Anterior]],Conceptos_Contabilidad[#All],5,0),"")</f>
        <v/>
      </c>
      <c r="F1768" t="str">
        <f>+IFERROR(VLOOKUP(Fact_Contabilidad[[#This Row], 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ht="18.75" customHeight="1" x14ac:dyDescent="0.35">
      <c r="A1769" s="103"/>
      <c r="C1769" s="100" t="str">
        <f>IF(OR(Fact_Contabilidad[[#This Row], [Año]]="",Fact_Contabilidad[[#This Row], [Mes]]=""),"",DATE(A1769,MATCH(B1769,{"enero","febrero","marzo","abril","mayo","junio","julio","agosto","septiembre","octubre","noviembre","diciembre"},0)+1,0))</f>
        <v/>
      </c>
      <c r="E1769" t="str">
        <f>+IFERROR(VLOOKUP(Fact_Contabilidad[[#This Row], [Concepto Anterior]],Conceptos_Contabilidad[#All],5,0),"")</f>
        <v/>
      </c>
      <c r="F1769" t="str">
        <f>+IFERROR(VLOOKUP(Fact_Contabilidad[[#This Row], 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ht="18.75" customHeight="1" x14ac:dyDescent="0.35">
      <c r="A1770" s="103"/>
      <c r="C1770" s="100" t="str">
        <f>IF(OR(Fact_Contabilidad[[#This Row], [Año]]="",Fact_Contabilidad[[#This Row], [Mes]]=""),"",DATE(A1770,MATCH(B1770,{"enero","febrero","marzo","abril","mayo","junio","julio","agosto","septiembre","octubre","noviembre","diciembre"},0)+1,0))</f>
        <v/>
      </c>
      <c r="E1770" t="str">
        <f>+IFERROR(VLOOKUP(Fact_Contabilidad[[#This Row], [Concepto Anterior]],Conceptos_Contabilidad[#All],5,0),"")</f>
        <v/>
      </c>
      <c r="F1770" t="str">
        <f>+IFERROR(VLOOKUP(Fact_Contabilidad[[#This Row], 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ht="18.75" customHeight="1" x14ac:dyDescent="0.35">
      <c r="A1771" s="103"/>
      <c r="C1771" s="100" t="str">
        <f>IF(OR(Fact_Contabilidad[[#This Row], [Año]]="",Fact_Contabilidad[[#This Row], [Mes]]=""),"",DATE(A1771,MATCH(B1771,{"enero","febrero","marzo","abril","mayo","junio","julio","agosto","septiembre","octubre","noviembre","diciembre"},0)+1,0))</f>
        <v/>
      </c>
      <c r="E1771" t="str">
        <f>+IFERROR(VLOOKUP(Fact_Contabilidad[[#This Row], [Concepto Anterior]],Conceptos_Contabilidad[#All],5,0),"")</f>
        <v/>
      </c>
      <c r="F1771" t="str">
        <f>+IFERROR(VLOOKUP(Fact_Contabilidad[[#This Row], 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ht="18.75" customHeight="1" x14ac:dyDescent="0.35">
      <c r="A1772" s="103"/>
      <c r="C1772" s="100" t="str">
        <f>IF(OR(Fact_Contabilidad[[#This Row], [Año]]="",Fact_Contabilidad[[#This Row], [Mes]]=""),"",DATE(A1772,MATCH(B1772,{"enero","febrero","marzo","abril","mayo","junio","julio","agosto","septiembre","octubre","noviembre","diciembre"},0)+1,0))</f>
        <v/>
      </c>
      <c r="E1772" t="str">
        <f>+IFERROR(VLOOKUP(Fact_Contabilidad[[#This Row], [Concepto Anterior]],Conceptos_Contabilidad[#All],5,0),"")</f>
        <v/>
      </c>
      <c r="F1772" t="str">
        <f>+IFERROR(VLOOKUP(Fact_Contabilidad[[#This Row], 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ht="18.75" customHeight="1" x14ac:dyDescent="0.35">
      <c r="A1773" s="103"/>
      <c r="C1773" s="100" t="str">
        <f>IF(OR(Fact_Contabilidad[[#This Row], [Año]]="",Fact_Contabilidad[[#This Row], [Mes]]=""),"",DATE(A1773,MATCH(B1773,{"enero","febrero","marzo","abril","mayo","junio","julio","agosto","septiembre","octubre","noviembre","diciembre"},0)+1,0))</f>
        <v/>
      </c>
      <c r="E1773" t="str">
        <f>+IFERROR(VLOOKUP(Fact_Contabilidad[[#This Row], [Concepto Anterior]],Conceptos_Contabilidad[#All],5,0),"")</f>
        <v/>
      </c>
      <c r="F1773" t="str">
        <f>+IFERROR(VLOOKUP(Fact_Contabilidad[[#This Row], 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ht="18.75" customHeight="1" x14ac:dyDescent="0.35">
      <c r="A1774" s="103"/>
      <c r="C1774" s="100" t="str">
        <f>IF(OR(Fact_Contabilidad[[#This Row], [Año]]="",Fact_Contabilidad[[#This Row], [Mes]]=""),"",DATE(A1774,MATCH(B1774,{"enero","febrero","marzo","abril","mayo","junio","julio","agosto","septiembre","octubre","noviembre","diciembre"},0)+1,0))</f>
        <v/>
      </c>
      <c r="E1774" t="str">
        <f>+IFERROR(VLOOKUP(Fact_Contabilidad[[#This Row], [Concepto Anterior]],Conceptos_Contabilidad[#All],5,0),"")</f>
        <v/>
      </c>
      <c r="F1774" t="str">
        <f>+IFERROR(VLOOKUP(Fact_Contabilidad[[#This Row], 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ht="18.75" customHeight="1" x14ac:dyDescent="0.35">
      <c r="A1775" s="103"/>
      <c r="C1775" s="100" t="str">
        <f>IF(OR(Fact_Contabilidad[[#This Row], [Año]]="",Fact_Contabilidad[[#This Row], [Mes]]=""),"",DATE(A1775,MATCH(B1775,{"enero","febrero","marzo","abril","mayo","junio","julio","agosto","septiembre","octubre","noviembre","diciembre"},0)+1,0))</f>
        <v/>
      </c>
      <c r="E1775" t="str">
        <f>+IFERROR(VLOOKUP(Fact_Contabilidad[[#This Row], [Concepto Anterior]],Conceptos_Contabilidad[#All],5,0),"")</f>
        <v/>
      </c>
      <c r="F1775" t="str">
        <f>+IFERROR(VLOOKUP(Fact_Contabilidad[[#This Row], 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ht="18.75" customHeight="1" x14ac:dyDescent="0.35">
      <c r="A1776" s="103"/>
      <c r="C1776" s="100" t="str">
        <f>IF(OR(Fact_Contabilidad[[#This Row], [Año]]="",Fact_Contabilidad[[#This Row], [Mes]]=""),"",DATE(A1776,MATCH(B1776,{"enero","febrero","marzo","abril","mayo","junio","julio","agosto","septiembre","octubre","noviembre","diciembre"},0)+1,0))</f>
        <v/>
      </c>
      <c r="E1776" t="str">
        <f>+IFERROR(VLOOKUP(Fact_Contabilidad[[#This Row], [Concepto Anterior]],Conceptos_Contabilidad[#All],5,0),"")</f>
        <v/>
      </c>
      <c r="F1776" t="str">
        <f>+IFERROR(VLOOKUP(Fact_Contabilidad[[#This Row], 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ht="18.75" customHeight="1" x14ac:dyDescent="0.35">
      <c r="A1777" s="103"/>
      <c r="C1777" s="100" t="str">
        <f>IF(OR(Fact_Contabilidad[[#This Row], [Año]]="",Fact_Contabilidad[[#This Row], [Mes]]=""),"",DATE(A1777,MATCH(B1777,{"enero","febrero","marzo","abril","mayo","junio","julio","agosto","septiembre","octubre","noviembre","diciembre"},0)+1,0))</f>
        <v/>
      </c>
      <c r="E1777" t="str">
        <f>+IFERROR(VLOOKUP(Fact_Contabilidad[[#This Row], [Concepto Anterior]],Conceptos_Contabilidad[#All],5,0),"")</f>
        <v/>
      </c>
      <c r="F1777" t="str">
        <f>+IFERROR(VLOOKUP(Fact_Contabilidad[[#This Row], 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ht="18.75" customHeight="1" x14ac:dyDescent="0.35">
      <c r="A1778" s="103"/>
      <c r="C1778" s="100" t="str">
        <f>IF(OR(Fact_Contabilidad[[#This Row], [Año]]="",Fact_Contabilidad[[#This Row], [Mes]]=""),"",DATE(A1778,MATCH(B1778,{"enero","febrero","marzo","abril","mayo","junio","julio","agosto","septiembre","octubre","noviembre","diciembre"},0)+1,0))</f>
        <v/>
      </c>
      <c r="E1778" t="str">
        <f>+IFERROR(VLOOKUP(Fact_Contabilidad[[#This Row], [Concepto Anterior]],Conceptos_Contabilidad[#All],5,0),"")</f>
        <v/>
      </c>
      <c r="F1778" t="str">
        <f>+IFERROR(VLOOKUP(Fact_Contabilidad[[#This Row], 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ht="18.75" customHeight="1" x14ac:dyDescent="0.35">
      <c r="A1779" s="103"/>
      <c r="C1779" s="100" t="str">
        <f>IF(OR(Fact_Contabilidad[[#This Row], [Año]]="",Fact_Contabilidad[[#This Row], [Mes]]=""),"",DATE(A1779,MATCH(B1779,{"enero","febrero","marzo","abril","mayo","junio","julio","agosto","septiembre","octubre","noviembre","diciembre"},0)+1,0))</f>
        <v/>
      </c>
      <c r="E1779" t="str">
        <f>+IFERROR(VLOOKUP(Fact_Contabilidad[[#This Row], [Concepto Anterior]],Conceptos_Contabilidad[#All],5,0),"")</f>
        <v/>
      </c>
      <c r="F1779" t="str">
        <f>+IFERROR(VLOOKUP(Fact_Contabilidad[[#This Row], 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ht="18.75" customHeight="1" x14ac:dyDescent="0.35">
      <c r="A1780" s="103"/>
      <c r="C1780" s="100" t="str">
        <f>IF(OR(Fact_Contabilidad[[#This Row], [Año]]="",Fact_Contabilidad[[#This Row], [Mes]]=""),"",DATE(A1780,MATCH(B1780,{"enero","febrero","marzo","abril","mayo","junio","julio","agosto","septiembre","octubre","noviembre","diciembre"},0)+1,0))</f>
        <v/>
      </c>
      <c r="E1780" t="str">
        <f>+IFERROR(VLOOKUP(Fact_Contabilidad[[#This Row], [Concepto Anterior]],Conceptos_Contabilidad[#All],5,0),"")</f>
        <v/>
      </c>
      <c r="F1780" t="str">
        <f>+IFERROR(VLOOKUP(Fact_Contabilidad[[#This Row], 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ht="18.75" customHeight="1" x14ac:dyDescent="0.35">
      <c r="A1781" s="103"/>
      <c r="C1781" s="100" t="str">
        <f>IF(OR(Fact_Contabilidad[[#This Row], [Año]]="",Fact_Contabilidad[[#This Row], [Mes]]=""),"",DATE(A1781,MATCH(B1781,{"enero","febrero","marzo","abril","mayo","junio","julio","agosto","septiembre","octubre","noviembre","diciembre"},0)+1,0))</f>
        <v/>
      </c>
      <c r="E1781" t="str">
        <f>+IFERROR(VLOOKUP(Fact_Contabilidad[[#This Row], [Concepto Anterior]],Conceptos_Contabilidad[#All],5,0),"")</f>
        <v/>
      </c>
      <c r="F1781" t="str">
        <f>+IFERROR(VLOOKUP(Fact_Contabilidad[[#This Row], 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ht="18.75" customHeight="1" x14ac:dyDescent="0.35">
      <c r="A1782" s="103"/>
      <c r="C1782" s="100" t="str">
        <f>IF(OR(Fact_Contabilidad[[#This Row], [Año]]="",Fact_Contabilidad[[#This Row], [Mes]]=""),"",DATE(A1782,MATCH(B1782,{"enero","febrero","marzo","abril","mayo","junio","julio","agosto","septiembre","octubre","noviembre","diciembre"},0)+1,0))</f>
        <v/>
      </c>
      <c r="E1782" t="str">
        <f>+IFERROR(VLOOKUP(Fact_Contabilidad[[#This Row], [Concepto Anterior]],Conceptos_Contabilidad[#All],5,0),"")</f>
        <v/>
      </c>
      <c r="F1782" t="str">
        <f>+IFERROR(VLOOKUP(Fact_Contabilidad[[#This Row], 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ht="18.75" customHeight="1" x14ac:dyDescent="0.35">
      <c r="A1783" s="103"/>
      <c r="C1783" s="100" t="str">
        <f>IF(OR(Fact_Contabilidad[[#This Row], [Año]]="",Fact_Contabilidad[[#This Row], [Mes]]=""),"",DATE(A1783,MATCH(B1783,{"enero","febrero","marzo","abril","mayo","junio","julio","agosto","septiembre","octubre","noviembre","diciembre"},0)+1,0))</f>
        <v/>
      </c>
      <c r="E1783" t="str">
        <f>+IFERROR(VLOOKUP(Fact_Contabilidad[[#This Row], [Concepto Anterior]],Conceptos_Contabilidad[#All],5,0),"")</f>
        <v/>
      </c>
      <c r="F1783" t="str">
        <f>+IFERROR(VLOOKUP(Fact_Contabilidad[[#This Row], 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ht="18.75" customHeight="1" x14ac:dyDescent="0.35">
      <c r="A1784" s="103"/>
      <c r="C1784" s="100" t="str">
        <f>IF(OR(Fact_Contabilidad[[#This Row], [Año]]="",Fact_Contabilidad[[#This Row], [Mes]]=""),"",DATE(A1784,MATCH(B1784,{"enero","febrero","marzo","abril","mayo","junio","julio","agosto","septiembre","octubre","noviembre","diciembre"},0)+1,0))</f>
        <v/>
      </c>
      <c r="E1784" t="str">
        <f>+IFERROR(VLOOKUP(Fact_Contabilidad[[#This Row], [Concepto Anterior]],Conceptos_Contabilidad[#All],5,0),"")</f>
        <v/>
      </c>
      <c r="F1784" t="str">
        <f>+IFERROR(VLOOKUP(Fact_Contabilidad[[#This Row], 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ht="18.75" customHeight="1" x14ac:dyDescent="0.35">
      <c r="A1785" s="103"/>
      <c r="C1785" s="100" t="str">
        <f>IF(OR(Fact_Contabilidad[[#This Row], [Año]]="",Fact_Contabilidad[[#This Row], [Mes]]=""),"",DATE(A1785,MATCH(B1785,{"enero","febrero","marzo","abril","mayo","junio","julio","agosto","septiembre","octubre","noviembre","diciembre"},0)+1,0))</f>
        <v/>
      </c>
      <c r="E1785" t="str">
        <f>+IFERROR(VLOOKUP(Fact_Contabilidad[[#This Row], [Concepto Anterior]],Conceptos_Contabilidad[#All],5,0),"")</f>
        <v/>
      </c>
      <c r="F1785" t="str">
        <f>+IFERROR(VLOOKUP(Fact_Contabilidad[[#This Row], 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ht="18.75" customHeight="1" x14ac:dyDescent="0.35">
      <c r="A1786" s="103"/>
      <c r="C1786" s="100" t="str">
        <f>IF(OR(Fact_Contabilidad[[#This Row], [Año]]="",Fact_Contabilidad[[#This Row], [Mes]]=""),"",DATE(A1786,MATCH(B1786,{"enero","febrero","marzo","abril","mayo","junio","julio","agosto","septiembre","octubre","noviembre","diciembre"},0)+1,0))</f>
        <v/>
      </c>
      <c r="E1786" t="str">
        <f>+IFERROR(VLOOKUP(Fact_Contabilidad[[#This Row], [Concepto Anterior]],Conceptos_Contabilidad[#All],5,0),"")</f>
        <v/>
      </c>
      <c r="F1786" t="str">
        <f>+IFERROR(VLOOKUP(Fact_Contabilidad[[#This Row], 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ht="18.75" customHeight="1" x14ac:dyDescent="0.35">
      <c r="A1787" s="103"/>
      <c r="C1787" s="100" t="str">
        <f>IF(OR(Fact_Contabilidad[[#This Row], [Año]]="",Fact_Contabilidad[[#This Row], [Mes]]=""),"",DATE(A1787,MATCH(B1787,{"enero","febrero","marzo","abril","mayo","junio","julio","agosto","septiembre","octubre","noviembre","diciembre"},0)+1,0))</f>
        <v/>
      </c>
      <c r="E1787" t="str">
        <f>+IFERROR(VLOOKUP(Fact_Contabilidad[[#This Row], [Concepto Anterior]],Conceptos_Contabilidad[#All],5,0),"")</f>
        <v/>
      </c>
      <c r="F1787" t="str">
        <f>+IFERROR(VLOOKUP(Fact_Contabilidad[[#This Row], 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ht="18.75" customHeight="1" x14ac:dyDescent="0.35">
      <c r="A1788" s="103"/>
      <c r="C1788" s="100" t="str">
        <f>IF(OR(Fact_Contabilidad[[#This Row], [Año]]="",Fact_Contabilidad[[#This Row], [Mes]]=""),"",DATE(A1788,MATCH(B1788,{"enero","febrero","marzo","abril","mayo","junio","julio","agosto","septiembre","octubre","noviembre","diciembre"},0)+1,0))</f>
        <v/>
      </c>
      <c r="E1788" t="str">
        <f>+IFERROR(VLOOKUP(Fact_Contabilidad[[#This Row], [Concepto Anterior]],Conceptos_Contabilidad[#All],5,0),"")</f>
        <v/>
      </c>
      <c r="F1788" t="str">
        <f>+IFERROR(VLOOKUP(Fact_Contabilidad[[#This Row], 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ht="18.75" customHeight="1" x14ac:dyDescent="0.35">
      <c r="A1789" s="103"/>
      <c r="C1789" s="100" t="str">
        <f>IF(OR(Fact_Contabilidad[[#This Row], [Año]]="",Fact_Contabilidad[[#This Row], [Mes]]=""),"",DATE(A1789,MATCH(B1789,{"enero","febrero","marzo","abril","mayo","junio","julio","agosto","septiembre","octubre","noviembre","diciembre"},0)+1,0))</f>
        <v/>
      </c>
      <c r="E1789" t="str">
        <f>+IFERROR(VLOOKUP(Fact_Contabilidad[[#This Row], [Concepto Anterior]],Conceptos_Contabilidad[#All],5,0),"")</f>
        <v/>
      </c>
      <c r="F1789" t="str">
        <f>+IFERROR(VLOOKUP(Fact_Contabilidad[[#This Row], 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ht="18.75" customHeight="1" x14ac:dyDescent="0.35">
      <c r="A1790" s="103"/>
      <c r="C1790" s="100" t="str">
        <f>IF(OR(Fact_Contabilidad[[#This Row], [Año]]="",Fact_Contabilidad[[#This Row], [Mes]]=""),"",DATE(A1790,MATCH(B1790,{"enero","febrero","marzo","abril","mayo","junio","julio","agosto","septiembre","octubre","noviembre","diciembre"},0)+1,0))</f>
        <v/>
      </c>
      <c r="E1790" t="str">
        <f>+IFERROR(VLOOKUP(Fact_Contabilidad[[#This Row], [Concepto Anterior]],Conceptos_Contabilidad[#All],5,0),"")</f>
        <v/>
      </c>
      <c r="F1790" t="str">
        <f>+IFERROR(VLOOKUP(Fact_Contabilidad[[#This Row], 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ht="18.75" customHeight="1" x14ac:dyDescent="0.35">
      <c r="A1791" s="103"/>
      <c r="C1791" s="100" t="str">
        <f>IF(OR(Fact_Contabilidad[[#This Row], [Año]]="",Fact_Contabilidad[[#This Row], [Mes]]=""),"",DATE(A1791,MATCH(B1791,{"enero","febrero","marzo","abril","mayo","junio","julio","agosto","septiembre","octubre","noviembre","diciembre"},0)+1,0))</f>
        <v/>
      </c>
      <c r="E1791" t="str">
        <f>+IFERROR(VLOOKUP(Fact_Contabilidad[[#This Row], [Concepto Anterior]],Conceptos_Contabilidad[#All],5,0),"")</f>
        <v/>
      </c>
      <c r="F1791" t="str">
        <f>+IFERROR(VLOOKUP(Fact_Contabilidad[[#This Row], 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ht="18.75" customHeight="1" x14ac:dyDescent="0.35">
      <c r="A1792" s="103"/>
      <c r="C1792" s="100" t="str">
        <f>IF(OR(Fact_Contabilidad[[#This Row], [Año]]="",Fact_Contabilidad[[#This Row], [Mes]]=""),"",DATE(A1792,MATCH(B1792,{"enero","febrero","marzo","abril","mayo","junio","julio","agosto","septiembre","octubre","noviembre","diciembre"},0)+1,0))</f>
        <v/>
      </c>
      <c r="E1792" t="str">
        <f>+IFERROR(VLOOKUP(Fact_Contabilidad[[#This Row], [Concepto Anterior]],Conceptos_Contabilidad[#All],5,0),"")</f>
        <v/>
      </c>
      <c r="F1792" t="str">
        <f>+IFERROR(VLOOKUP(Fact_Contabilidad[[#This Row], 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ht="18.75" customHeight="1" x14ac:dyDescent="0.35">
      <c r="A1793" s="103"/>
      <c r="C1793" s="100" t="str">
        <f>IF(OR(Fact_Contabilidad[[#This Row], [Año]]="",Fact_Contabilidad[[#This Row], [Mes]]=""),"",DATE(A1793,MATCH(B1793,{"enero","febrero","marzo","abril","mayo","junio","julio","agosto","septiembre","octubre","noviembre","diciembre"},0)+1,0))</f>
        <v/>
      </c>
      <c r="E1793" t="str">
        <f>+IFERROR(VLOOKUP(Fact_Contabilidad[[#This Row], [Concepto Anterior]],Conceptos_Contabilidad[#All],5,0),"")</f>
        <v/>
      </c>
      <c r="F1793" t="str">
        <f>+IFERROR(VLOOKUP(Fact_Contabilidad[[#This Row], 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ht="18.75" customHeight="1" x14ac:dyDescent="0.35">
      <c r="A1794" s="103"/>
      <c r="C1794" s="100" t="str">
        <f>IF(OR(Fact_Contabilidad[[#This Row], [Año]]="",Fact_Contabilidad[[#This Row], [Mes]]=""),"",DATE(A1794,MATCH(B1794,{"enero","febrero","marzo","abril","mayo","junio","julio","agosto","septiembre","octubre","noviembre","diciembre"},0)+1,0))</f>
        <v/>
      </c>
      <c r="E1794" t="str">
        <f>+IFERROR(VLOOKUP(Fact_Contabilidad[[#This Row], [Concepto Anterior]],Conceptos_Contabilidad[#All],5,0),"")</f>
        <v/>
      </c>
      <c r="F1794" t="str">
        <f>+IFERROR(VLOOKUP(Fact_Contabilidad[[#This Row], 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ht="18.75" customHeight="1" x14ac:dyDescent="0.35">
      <c r="A1795" s="103"/>
      <c r="C1795" s="100" t="str">
        <f>IF(OR(Fact_Contabilidad[[#This Row], [Año]]="",Fact_Contabilidad[[#This Row], [Mes]]=""),"",DATE(A1795,MATCH(B1795,{"enero","febrero","marzo","abril","mayo","junio","julio","agosto","septiembre","octubre","noviembre","diciembre"},0)+1,0))</f>
        <v/>
      </c>
      <c r="E1795" t="str">
        <f>+IFERROR(VLOOKUP(Fact_Contabilidad[[#This Row], [Concepto Anterior]],Conceptos_Contabilidad[#All],5,0),"")</f>
        <v/>
      </c>
      <c r="F1795" t="str">
        <f>+IFERROR(VLOOKUP(Fact_Contabilidad[[#This Row], 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ht="18.75" customHeight="1" x14ac:dyDescent="0.35">
      <c r="A1796" s="103"/>
      <c r="C1796" s="100" t="str">
        <f>IF(OR(Fact_Contabilidad[[#This Row], [Año]]="",Fact_Contabilidad[[#This Row], [Mes]]=""),"",DATE(A1796,MATCH(B1796,{"enero","febrero","marzo","abril","mayo","junio","julio","agosto","septiembre","octubre","noviembre","diciembre"},0)+1,0))</f>
        <v/>
      </c>
      <c r="E1796" t="str">
        <f>+IFERROR(VLOOKUP(Fact_Contabilidad[[#This Row], [Concepto Anterior]],Conceptos_Contabilidad[#All],5,0),"")</f>
        <v/>
      </c>
      <c r="F1796" t="str">
        <f>+IFERROR(VLOOKUP(Fact_Contabilidad[[#This Row], 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ht="18.75" customHeight="1" x14ac:dyDescent="0.35">
      <c r="A1797" s="103"/>
      <c r="C1797" s="100" t="str">
        <f>IF(OR(Fact_Contabilidad[[#This Row], [Año]]="",Fact_Contabilidad[[#This Row], [Mes]]=""),"",DATE(A1797,MATCH(B1797,{"enero","febrero","marzo","abril","mayo","junio","julio","agosto","septiembre","octubre","noviembre","diciembre"},0)+1,0))</f>
        <v/>
      </c>
      <c r="E1797" t="str">
        <f>+IFERROR(VLOOKUP(Fact_Contabilidad[[#This Row], [Concepto Anterior]],Conceptos_Contabilidad[#All],5,0),"")</f>
        <v/>
      </c>
      <c r="F1797" t="str">
        <f>+IFERROR(VLOOKUP(Fact_Contabilidad[[#This Row], 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ht="18.75" customHeight="1" x14ac:dyDescent="0.35">
      <c r="A1798" s="103"/>
      <c r="C1798" s="100" t="str">
        <f>IF(OR(Fact_Contabilidad[[#This Row], [Año]]="",Fact_Contabilidad[[#This Row], [Mes]]=""),"",DATE(A1798,MATCH(B1798,{"enero","febrero","marzo","abril","mayo","junio","julio","agosto","septiembre","octubre","noviembre","diciembre"},0)+1,0))</f>
        <v/>
      </c>
      <c r="E1798" t="str">
        <f>+IFERROR(VLOOKUP(Fact_Contabilidad[[#This Row], [Concepto Anterior]],Conceptos_Contabilidad[#All],5,0),"")</f>
        <v/>
      </c>
      <c r="F1798" t="str">
        <f>+IFERROR(VLOOKUP(Fact_Contabilidad[[#This Row], 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ht="18.75" customHeight="1" x14ac:dyDescent="0.35">
      <c r="A1799" s="103"/>
      <c r="C1799" s="100" t="str">
        <f>IF(OR(Fact_Contabilidad[[#This Row], [Año]]="",Fact_Contabilidad[[#This Row], [Mes]]=""),"",DATE(A1799,MATCH(B1799,{"enero","febrero","marzo","abril","mayo","junio","julio","agosto","septiembre","octubre","noviembre","diciembre"},0)+1,0))</f>
        <v/>
      </c>
      <c r="E1799" t="str">
        <f>+IFERROR(VLOOKUP(Fact_Contabilidad[[#This Row], [Concepto Anterior]],Conceptos_Contabilidad[#All],5,0),"")</f>
        <v/>
      </c>
      <c r="F1799" t="str">
        <f>+IFERROR(VLOOKUP(Fact_Contabilidad[[#This Row], 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ht="18.75" customHeight="1" x14ac:dyDescent="0.35">
      <c r="A1800" s="103"/>
      <c r="C1800" s="100" t="str">
        <f>IF(OR(Fact_Contabilidad[[#This Row], [Año]]="",Fact_Contabilidad[[#This Row], [Mes]]=""),"",DATE(A1800,MATCH(B1800,{"enero","febrero","marzo","abril","mayo","junio","julio","agosto","septiembre","octubre","noviembre","diciembre"},0)+1,0))</f>
        <v/>
      </c>
      <c r="E1800" t="str">
        <f>+IFERROR(VLOOKUP(Fact_Contabilidad[[#This Row], [Concepto Anterior]],Conceptos_Contabilidad[#All],5,0),"")</f>
        <v/>
      </c>
      <c r="F1800" t="str">
        <f>+IFERROR(VLOOKUP(Fact_Contabilidad[[#This Row], 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ht="18.75" customHeight="1" x14ac:dyDescent="0.35">
      <c r="A1801" s="103"/>
      <c r="C1801" s="100" t="str">
        <f>IF(OR(Fact_Contabilidad[[#This Row], [Año]]="",Fact_Contabilidad[[#This Row], [Mes]]=""),"",DATE(A1801,MATCH(B1801,{"enero","febrero","marzo","abril","mayo","junio","julio","agosto","septiembre","octubre","noviembre","diciembre"},0)+1,0))</f>
        <v/>
      </c>
      <c r="E1801" t="str">
        <f>+IFERROR(VLOOKUP(Fact_Contabilidad[[#This Row], [Concepto Anterior]],Conceptos_Contabilidad[#All],5,0),"")</f>
        <v/>
      </c>
      <c r="F1801" t="str">
        <f>+IFERROR(VLOOKUP(Fact_Contabilidad[[#This Row], 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ht="18.75" customHeight="1" x14ac:dyDescent="0.35">
      <c r="A1802" s="103"/>
      <c r="C1802" s="100" t="str">
        <f>IF(OR(Fact_Contabilidad[[#This Row], [Año]]="",Fact_Contabilidad[[#This Row], [Mes]]=""),"",DATE(A1802,MATCH(B1802,{"enero","febrero","marzo","abril","mayo","junio","julio","agosto","septiembre","octubre","noviembre","diciembre"},0)+1,0))</f>
        <v/>
      </c>
      <c r="E1802" t="str">
        <f>+IFERROR(VLOOKUP(Fact_Contabilidad[[#This Row], [Concepto Anterior]],Conceptos_Contabilidad[#All],5,0),"")</f>
        <v/>
      </c>
      <c r="F1802" t="str">
        <f>+IFERROR(VLOOKUP(Fact_Contabilidad[[#This Row], 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ht="18.75" customHeight="1" x14ac:dyDescent="0.35">
      <c r="A1803" s="103"/>
      <c r="C1803" s="100" t="str">
        <f>IF(OR(Fact_Contabilidad[[#This Row], [Año]]="",Fact_Contabilidad[[#This Row], [Mes]]=""),"",DATE(A1803,MATCH(B1803,{"enero","febrero","marzo","abril","mayo","junio","julio","agosto","septiembre","octubre","noviembre","diciembre"},0)+1,0))</f>
        <v/>
      </c>
      <c r="E1803" t="str">
        <f>+IFERROR(VLOOKUP(Fact_Contabilidad[[#This Row], [Concepto Anterior]],Conceptos_Contabilidad[#All],5,0),"")</f>
        <v/>
      </c>
      <c r="F1803" t="str">
        <f>+IFERROR(VLOOKUP(Fact_Contabilidad[[#This Row], 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ht="18.75" customHeight="1" x14ac:dyDescent="0.35">
      <c r="A1804" s="103"/>
      <c r="C1804" s="100" t="str">
        <f>IF(OR(Fact_Contabilidad[[#This Row], [Año]]="",Fact_Contabilidad[[#This Row], [Mes]]=""),"",DATE(A1804,MATCH(B1804,{"enero","febrero","marzo","abril","mayo","junio","julio","agosto","septiembre","octubre","noviembre","diciembre"},0)+1,0))</f>
        <v/>
      </c>
      <c r="E1804" t="str">
        <f>+IFERROR(VLOOKUP(Fact_Contabilidad[[#This Row], [Concepto Anterior]],Conceptos_Contabilidad[#All],5,0),"")</f>
        <v/>
      </c>
      <c r="F1804" t="str">
        <f>+IFERROR(VLOOKUP(Fact_Contabilidad[[#This Row], 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ht="18.75" customHeight="1" x14ac:dyDescent="0.35">
      <c r="A1805" s="103"/>
      <c r="C1805" s="100" t="str">
        <f>IF(OR(Fact_Contabilidad[[#This Row], [Año]]="",Fact_Contabilidad[[#This Row], [Mes]]=""),"",DATE(A1805,MATCH(B1805,{"enero","febrero","marzo","abril","mayo","junio","julio","agosto","septiembre","octubre","noviembre","diciembre"},0)+1,0))</f>
        <v/>
      </c>
      <c r="E1805" t="str">
        <f>+IFERROR(VLOOKUP(Fact_Contabilidad[[#This Row], [Concepto Anterior]],Conceptos_Contabilidad[#All],5,0),"")</f>
        <v/>
      </c>
      <c r="F1805" t="str">
        <f>+IFERROR(VLOOKUP(Fact_Contabilidad[[#This Row], 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ht="18.75" customHeight="1" x14ac:dyDescent="0.35">
      <c r="A1806" s="103"/>
      <c r="C1806" s="100" t="str">
        <f>IF(OR(Fact_Contabilidad[[#This Row], [Año]]="",Fact_Contabilidad[[#This Row], [Mes]]=""),"",DATE(A1806,MATCH(B1806,{"enero","febrero","marzo","abril","mayo","junio","julio","agosto","septiembre","octubre","noviembre","diciembre"},0)+1,0))</f>
        <v/>
      </c>
      <c r="E1806" t="str">
        <f>+IFERROR(VLOOKUP(Fact_Contabilidad[[#This Row], [Concepto Anterior]],Conceptos_Contabilidad[#All],5,0),"")</f>
        <v/>
      </c>
      <c r="F1806" t="str">
        <f>+IFERROR(VLOOKUP(Fact_Contabilidad[[#This Row], 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ht="18.75" customHeight="1" x14ac:dyDescent="0.35">
      <c r="A1807" s="103"/>
      <c r="C1807" s="100" t="str">
        <f>IF(OR(Fact_Contabilidad[[#This Row], [Año]]="",Fact_Contabilidad[[#This Row], [Mes]]=""),"",DATE(A1807,MATCH(B1807,{"enero","febrero","marzo","abril","mayo","junio","julio","agosto","septiembre","octubre","noviembre","diciembre"},0)+1,0))</f>
        <v/>
      </c>
      <c r="E1807" t="str">
        <f>+IFERROR(VLOOKUP(Fact_Contabilidad[[#This Row], [Concepto Anterior]],Conceptos_Contabilidad[#All],5,0),"")</f>
        <v/>
      </c>
      <c r="F1807" t="str">
        <f>+IFERROR(VLOOKUP(Fact_Contabilidad[[#This Row], 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ht="18.75" customHeight="1" x14ac:dyDescent="0.35">
      <c r="A1808" s="103"/>
      <c r="C1808" s="100" t="str">
        <f>IF(OR(Fact_Contabilidad[[#This Row], [Año]]="",Fact_Contabilidad[[#This Row], [Mes]]=""),"",DATE(A1808,MATCH(B1808,{"enero","febrero","marzo","abril","mayo","junio","julio","agosto","septiembre","octubre","noviembre","diciembre"},0)+1,0))</f>
        <v/>
      </c>
      <c r="E1808" t="str">
        <f>+IFERROR(VLOOKUP(Fact_Contabilidad[[#This Row], [Concepto Anterior]],Conceptos_Contabilidad[#All],5,0),"")</f>
        <v/>
      </c>
      <c r="F1808" t="str">
        <f>+IFERROR(VLOOKUP(Fact_Contabilidad[[#This Row], 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ht="18.75" customHeight="1" x14ac:dyDescent="0.35">
      <c r="A1809" s="103"/>
      <c r="C1809" s="100" t="str">
        <f>IF(OR(Fact_Contabilidad[[#This Row], [Año]]="",Fact_Contabilidad[[#This Row], [Mes]]=""),"",DATE(A1809,MATCH(B1809,{"enero","febrero","marzo","abril","mayo","junio","julio","agosto","septiembre","octubre","noviembre","diciembre"},0)+1,0))</f>
        <v/>
      </c>
      <c r="E1809" t="str">
        <f>+IFERROR(VLOOKUP(Fact_Contabilidad[[#This Row], [Concepto Anterior]],Conceptos_Contabilidad[#All],5,0),"")</f>
        <v/>
      </c>
      <c r="F1809" t="str">
        <f>+IFERROR(VLOOKUP(Fact_Contabilidad[[#This Row], 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ht="18.75" customHeight="1" x14ac:dyDescent="0.35">
      <c r="A1810" s="103"/>
      <c r="C1810" s="100" t="str">
        <f>IF(OR(Fact_Contabilidad[[#This Row], [Año]]="",Fact_Contabilidad[[#This Row], [Mes]]=""),"",DATE(A1810,MATCH(B1810,{"enero","febrero","marzo","abril","mayo","junio","julio","agosto","septiembre","octubre","noviembre","diciembre"},0)+1,0))</f>
        <v/>
      </c>
      <c r="E1810" t="str">
        <f>+IFERROR(VLOOKUP(Fact_Contabilidad[[#This Row], [Concepto Anterior]],Conceptos_Contabilidad[#All],5,0),"")</f>
        <v/>
      </c>
      <c r="F1810" t="str">
        <f>+IFERROR(VLOOKUP(Fact_Contabilidad[[#This Row], 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ht="18.75" customHeight="1" x14ac:dyDescent="0.35">
      <c r="A1811" s="103"/>
      <c r="C1811" s="100" t="str">
        <f>IF(OR(Fact_Contabilidad[[#This Row], [Año]]="",Fact_Contabilidad[[#This Row], [Mes]]=""),"",DATE(A1811,MATCH(B1811,{"enero","febrero","marzo","abril","mayo","junio","julio","agosto","septiembre","octubre","noviembre","diciembre"},0)+1,0))</f>
        <v/>
      </c>
      <c r="E1811" t="str">
        <f>+IFERROR(VLOOKUP(Fact_Contabilidad[[#This Row], [Concepto Anterior]],Conceptos_Contabilidad[#All],5,0),"")</f>
        <v/>
      </c>
      <c r="F1811" t="str">
        <f>+IFERROR(VLOOKUP(Fact_Contabilidad[[#This Row], 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ht="18.75" customHeight="1" x14ac:dyDescent="0.35">
      <c r="A1812" s="103"/>
      <c r="C1812" s="100" t="str">
        <f>IF(OR(Fact_Contabilidad[[#This Row], [Año]]="",Fact_Contabilidad[[#This Row], [Mes]]=""),"",DATE(A1812,MATCH(B1812,{"enero","febrero","marzo","abril","mayo","junio","julio","agosto","septiembre","octubre","noviembre","diciembre"},0)+1,0))</f>
        <v/>
      </c>
      <c r="E1812" t="str">
        <f>+IFERROR(VLOOKUP(Fact_Contabilidad[[#This Row], [Concepto Anterior]],Conceptos_Contabilidad[#All],5,0),"")</f>
        <v/>
      </c>
      <c r="F1812" t="str">
        <f>+IFERROR(VLOOKUP(Fact_Contabilidad[[#This Row], 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ht="18.75" customHeight="1" x14ac:dyDescent="0.35">
      <c r="A1813" s="103"/>
      <c r="C1813" s="100" t="str">
        <f>IF(OR(Fact_Contabilidad[[#This Row], [Año]]="",Fact_Contabilidad[[#This Row], [Mes]]=""),"",DATE(A1813,MATCH(B1813,{"enero","febrero","marzo","abril","mayo","junio","julio","agosto","septiembre","octubre","noviembre","diciembre"},0)+1,0))</f>
        <v/>
      </c>
      <c r="E1813" t="str">
        <f>+IFERROR(VLOOKUP(Fact_Contabilidad[[#This Row], [Concepto Anterior]],Conceptos_Contabilidad[#All],5,0),"")</f>
        <v/>
      </c>
      <c r="F1813" t="str">
        <f>+IFERROR(VLOOKUP(Fact_Contabilidad[[#This Row], 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ht="18.75" customHeight="1" x14ac:dyDescent="0.35">
      <c r="A1814" s="103"/>
      <c r="C1814" s="100" t="str">
        <f>IF(OR(Fact_Contabilidad[[#This Row], [Año]]="",Fact_Contabilidad[[#This Row], [Mes]]=""),"",DATE(A1814,MATCH(B1814,{"enero","febrero","marzo","abril","mayo","junio","julio","agosto","septiembre","octubre","noviembre","diciembre"},0)+1,0))</f>
        <v/>
      </c>
      <c r="E1814" t="str">
        <f>+IFERROR(VLOOKUP(Fact_Contabilidad[[#This Row], [Concepto Anterior]],Conceptos_Contabilidad[#All],5,0),"")</f>
        <v/>
      </c>
      <c r="F1814" t="str">
        <f>+IFERROR(VLOOKUP(Fact_Contabilidad[[#This Row], 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ht="18.75" customHeight="1" x14ac:dyDescent="0.35">
      <c r="A1815" s="103"/>
      <c r="C1815" s="100" t="str">
        <f>IF(OR(Fact_Contabilidad[[#This Row], [Año]]="",Fact_Contabilidad[[#This Row], [Mes]]=""),"",DATE(A1815,MATCH(B1815,{"enero","febrero","marzo","abril","mayo","junio","julio","agosto","septiembre","octubre","noviembre","diciembre"},0)+1,0))</f>
        <v/>
      </c>
      <c r="E1815" t="str">
        <f>+IFERROR(VLOOKUP(Fact_Contabilidad[[#This Row], [Concepto Anterior]],Conceptos_Contabilidad[#All],5,0),"")</f>
        <v/>
      </c>
      <c r="F1815" t="str">
        <f>+IFERROR(VLOOKUP(Fact_Contabilidad[[#This Row], 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ht="18.75" customHeight="1" x14ac:dyDescent="0.35">
      <c r="A1816" s="103"/>
      <c r="C1816" s="100" t="str">
        <f>IF(OR(Fact_Contabilidad[[#This Row], [Año]]="",Fact_Contabilidad[[#This Row], [Mes]]=""),"",DATE(A1816,MATCH(B1816,{"enero","febrero","marzo","abril","mayo","junio","julio","agosto","septiembre","octubre","noviembre","diciembre"},0)+1,0))</f>
        <v/>
      </c>
      <c r="E1816" t="str">
        <f>+IFERROR(VLOOKUP(Fact_Contabilidad[[#This Row], [Concepto Anterior]],Conceptos_Contabilidad[#All],5,0),"")</f>
        <v/>
      </c>
      <c r="F1816" t="str">
        <f>+IFERROR(VLOOKUP(Fact_Contabilidad[[#This Row], 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ht="18.75" customHeight="1" x14ac:dyDescent="0.35">
      <c r="A1817" s="103"/>
      <c r="C1817" s="100" t="str">
        <f>IF(OR(Fact_Contabilidad[[#This Row], [Año]]="",Fact_Contabilidad[[#This Row], [Mes]]=""),"",DATE(A1817,MATCH(B1817,{"enero","febrero","marzo","abril","mayo","junio","julio","agosto","septiembre","octubre","noviembre","diciembre"},0)+1,0))</f>
        <v/>
      </c>
      <c r="E1817" t="str">
        <f>+IFERROR(VLOOKUP(Fact_Contabilidad[[#This Row], [Concepto Anterior]],Conceptos_Contabilidad[#All],5,0),"")</f>
        <v/>
      </c>
      <c r="F1817" t="str">
        <f>+IFERROR(VLOOKUP(Fact_Contabilidad[[#This Row], 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ht="18.75" customHeight="1" x14ac:dyDescent="0.35">
      <c r="A1818" s="103"/>
      <c r="C1818" s="100" t="str">
        <f>IF(OR(Fact_Contabilidad[[#This Row], [Año]]="",Fact_Contabilidad[[#This Row], [Mes]]=""),"",DATE(A1818,MATCH(B1818,{"enero","febrero","marzo","abril","mayo","junio","julio","agosto","septiembre","octubre","noviembre","diciembre"},0)+1,0))</f>
        <v/>
      </c>
      <c r="E1818" t="str">
        <f>+IFERROR(VLOOKUP(Fact_Contabilidad[[#This Row], [Concepto Anterior]],Conceptos_Contabilidad[#All],5,0),"")</f>
        <v/>
      </c>
      <c r="F1818" t="str">
        <f>+IFERROR(VLOOKUP(Fact_Contabilidad[[#This Row], 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ht="18.75" customHeight="1" x14ac:dyDescent="0.35">
      <c r="A1819" s="103"/>
      <c r="C1819" s="100" t="str">
        <f>IF(OR(Fact_Contabilidad[[#This Row], [Año]]="",Fact_Contabilidad[[#This Row], [Mes]]=""),"",DATE(A1819,MATCH(B1819,{"enero","febrero","marzo","abril","mayo","junio","julio","agosto","septiembre","octubre","noviembre","diciembre"},0)+1,0))</f>
        <v/>
      </c>
      <c r="E1819" t="str">
        <f>+IFERROR(VLOOKUP(Fact_Contabilidad[[#This Row], [Concepto Anterior]],Conceptos_Contabilidad[#All],5,0),"")</f>
        <v/>
      </c>
      <c r="F1819" t="str">
        <f>+IFERROR(VLOOKUP(Fact_Contabilidad[[#This Row], 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ht="18.75" customHeight="1" x14ac:dyDescent="0.35">
      <c r="A1820" s="103"/>
      <c r="C1820" s="100" t="str">
        <f>IF(OR(Fact_Contabilidad[[#This Row], [Año]]="",Fact_Contabilidad[[#This Row], [Mes]]=""),"",DATE(A1820,MATCH(B1820,{"enero","febrero","marzo","abril","mayo","junio","julio","agosto","septiembre","octubre","noviembre","diciembre"},0)+1,0))</f>
        <v/>
      </c>
      <c r="E1820" t="str">
        <f>+IFERROR(VLOOKUP(Fact_Contabilidad[[#This Row], [Concepto Anterior]],Conceptos_Contabilidad[#All],5,0),"")</f>
        <v/>
      </c>
      <c r="F1820" t="str">
        <f>+IFERROR(VLOOKUP(Fact_Contabilidad[[#This Row], 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ht="18.75" customHeight="1" x14ac:dyDescent="0.35">
      <c r="A1821" s="103"/>
      <c r="C1821" s="100" t="str">
        <f>IF(OR(Fact_Contabilidad[[#This Row], [Año]]="",Fact_Contabilidad[[#This Row], [Mes]]=""),"",DATE(A1821,MATCH(B1821,{"enero","febrero","marzo","abril","mayo","junio","julio","agosto","septiembre","octubre","noviembre","diciembre"},0)+1,0))</f>
        <v/>
      </c>
      <c r="E1821" t="str">
        <f>+IFERROR(VLOOKUP(Fact_Contabilidad[[#This Row], [Concepto Anterior]],Conceptos_Contabilidad[#All],5,0),"")</f>
        <v/>
      </c>
      <c r="F1821" t="str">
        <f>+IFERROR(VLOOKUP(Fact_Contabilidad[[#This Row], 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ht="18.75" customHeight="1" x14ac:dyDescent="0.35">
      <c r="A1822" s="103"/>
      <c r="C1822" s="100" t="str">
        <f>IF(OR(Fact_Contabilidad[[#This Row], [Año]]="",Fact_Contabilidad[[#This Row], [Mes]]=""),"",DATE(A1822,MATCH(B1822,{"enero","febrero","marzo","abril","mayo","junio","julio","agosto","septiembre","octubre","noviembre","diciembre"},0)+1,0))</f>
        <v/>
      </c>
      <c r="E1822" t="str">
        <f>+IFERROR(VLOOKUP(Fact_Contabilidad[[#This Row], [Concepto Anterior]],Conceptos_Contabilidad[#All],5,0),"")</f>
        <v/>
      </c>
      <c r="F1822" t="str">
        <f>+IFERROR(VLOOKUP(Fact_Contabilidad[[#This Row], 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ht="18.75" customHeight="1" x14ac:dyDescent="0.35">
      <c r="A1823" s="103"/>
      <c r="C1823" s="100" t="str">
        <f>IF(OR(Fact_Contabilidad[[#This Row], [Año]]="",Fact_Contabilidad[[#This Row], [Mes]]=""),"",DATE(A1823,MATCH(B1823,{"enero","febrero","marzo","abril","mayo","junio","julio","agosto","septiembre","octubre","noviembre","diciembre"},0)+1,0))</f>
        <v/>
      </c>
      <c r="E1823" t="str">
        <f>+IFERROR(VLOOKUP(Fact_Contabilidad[[#This Row], [Concepto Anterior]],Conceptos_Contabilidad[#All],5,0),"")</f>
        <v/>
      </c>
      <c r="F1823" t="str">
        <f>+IFERROR(VLOOKUP(Fact_Contabilidad[[#This Row], 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ht="18.75" customHeight="1" x14ac:dyDescent="0.35">
      <c r="A1824" s="103"/>
      <c r="C1824" s="100" t="str">
        <f>IF(OR(Fact_Contabilidad[[#This Row], [Año]]="",Fact_Contabilidad[[#This Row], [Mes]]=""),"",DATE(A1824,MATCH(B1824,{"enero","febrero","marzo","abril","mayo","junio","julio","agosto","septiembre","octubre","noviembre","diciembre"},0)+1,0))</f>
        <v/>
      </c>
      <c r="E1824" t="str">
        <f>+IFERROR(VLOOKUP(Fact_Contabilidad[[#This Row], [Concepto Anterior]],Conceptos_Contabilidad[#All],5,0),"")</f>
        <v/>
      </c>
      <c r="F1824" t="str">
        <f>+IFERROR(VLOOKUP(Fact_Contabilidad[[#This Row], 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ht="18.75" customHeight="1" x14ac:dyDescent="0.35">
      <c r="A1825" s="103"/>
      <c r="C1825" s="100" t="str">
        <f>IF(OR(Fact_Contabilidad[[#This Row], [Año]]="",Fact_Contabilidad[[#This Row], [Mes]]=""),"",DATE(A1825,MATCH(B1825,{"enero","febrero","marzo","abril","mayo","junio","julio","agosto","septiembre","octubre","noviembre","diciembre"},0)+1,0))</f>
        <v/>
      </c>
      <c r="E1825" t="str">
        <f>+IFERROR(VLOOKUP(Fact_Contabilidad[[#This Row], [Concepto Anterior]],Conceptos_Contabilidad[#All],5,0),"")</f>
        <v/>
      </c>
      <c r="F1825" t="str">
        <f>+IFERROR(VLOOKUP(Fact_Contabilidad[[#This Row], 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ht="18.75" customHeight="1" x14ac:dyDescent="0.35">
      <c r="A1826" s="103"/>
      <c r="C1826" s="100" t="str">
        <f>IF(OR(Fact_Contabilidad[[#This Row], [Año]]="",Fact_Contabilidad[[#This Row], [Mes]]=""),"",DATE(A1826,MATCH(B1826,{"enero","febrero","marzo","abril","mayo","junio","julio","agosto","septiembre","octubre","noviembre","diciembre"},0)+1,0))</f>
        <v/>
      </c>
      <c r="E1826" t="str">
        <f>+IFERROR(VLOOKUP(Fact_Contabilidad[[#This Row], [Concepto Anterior]],Conceptos_Contabilidad[#All],5,0),"")</f>
        <v/>
      </c>
      <c r="F1826" t="str">
        <f>+IFERROR(VLOOKUP(Fact_Contabilidad[[#This Row], 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ht="18.75" customHeight="1" x14ac:dyDescent="0.35">
      <c r="A1827" s="103"/>
      <c r="C1827" s="100" t="str">
        <f>IF(OR(Fact_Contabilidad[[#This Row], [Año]]="",Fact_Contabilidad[[#This Row], [Mes]]=""),"",DATE(A1827,MATCH(B1827,{"enero","febrero","marzo","abril","mayo","junio","julio","agosto","septiembre","octubre","noviembre","diciembre"},0)+1,0))</f>
        <v/>
      </c>
      <c r="E1827" t="str">
        <f>+IFERROR(VLOOKUP(Fact_Contabilidad[[#This Row], [Concepto Anterior]],Conceptos_Contabilidad[#All],5,0),"")</f>
        <v/>
      </c>
      <c r="F1827" t="str">
        <f>+IFERROR(VLOOKUP(Fact_Contabilidad[[#This Row], 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ht="18.75" customHeight="1" x14ac:dyDescent="0.35">
      <c r="A1828" s="103"/>
      <c r="C1828" s="100" t="str">
        <f>IF(OR(Fact_Contabilidad[[#This Row], [Año]]="",Fact_Contabilidad[[#This Row], [Mes]]=""),"",DATE(A1828,MATCH(B1828,{"enero","febrero","marzo","abril","mayo","junio","julio","agosto","septiembre","octubre","noviembre","diciembre"},0)+1,0))</f>
        <v/>
      </c>
      <c r="E1828" t="str">
        <f>+IFERROR(VLOOKUP(Fact_Contabilidad[[#This Row], [Concepto Anterior]],Conceptos_Contabilidad[#All],5,0),"")</f>
        <v/>
      </c>
      <c r="F1828" t="str">
        <f>+IFERROR(VLOOKUP(Fact_Contabilidad[[#This Row], 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ht="18.75" customHeight="1" x14ac:dyDescent="0.35">
      <c r="A1829" s="103"/>
      <c r="C1829" s="100" t="str">
        <f>IF(OR(Fact_Contabilidad[[#This Row], [Año]]="",Fact_Contabilidad[[#This Row], [Mes]]=""),"",DATE(A1829,MATCH(B1829,{"enero","febrero","marzo","abril","mayo","junio","julio","agosto","septiembre","octubre","noviembre","diciembre"},0)+1,0))</f>
        <v/>
      </c>
      <c r="E1829" t="str">
        <f>+IFERROR(VLOOKUP(Fact_Contabilidad[[#This Row], [Concepto Anterior]],Conceptos_Contabilidad[#All],5,0),"")</f>
        <v/>
      </c>
      <c r="F1829" t="str">
        <f>+IFERROR(VLOOKUP(Fact_Contabilidad[[#This Row], 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ht="18.75" customHeight="1" x14ac:dyDescent="0.35">
      <c r="A1830" s="103"/>
      <c r="C1830" s="100" t="str">
        <f>IF(OR(Fact_Contabilidad[[#This Row], [Año]]="",Fact_Contabilidad[[#This Row], [Mes]]=""),"",DATE(A1830,MATCH(B1830,{"enero","febrero","marzo","abril","mayo","junio","julio","agosto","septiembre","octubre","noviembre","diciembre"},0)+1,0))</f>
        <v/>
      </c>
      <c r="E1830" t="str">
        <f>+IFERROR(VLOOKUP(Fact_Contabilidad[[#This Row], [Concepto Anterior]],Conceptos_Contabilidad[#All],5,0),"")</f>
        <v/>
      </c>
      <c r="F1830" t="str">
        <f>+IFERROR(VLOOKUP(Fact_Contabilidad[[#This Row], 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ht="18.75" customHeight="1" x14ac:dyDescent="0.35">
      <c r="A1831" s="103"/>
      <c r="C1831" s="100" t="str">
        <f>IF(OR(Fact_Contabilidad[[#This Row], [Año]]="",Fact_Contabilidad[[#This Row], [Mes]]=""),"",DATE(A1831,MATCH(B1831,{"enero","febrero","marzo","abril","mayo","junio","julio","agosto","septiembre","octubre","noviembre","diciembre"},0)+1,0))</f>
        <v/>
      </c>
      <c r="E1831" t="str">
        <f>+IFERROR(VLOOKUP(Fact_Contabilidad[[#This Row], [Concepto Anterior]],Conceptos_Contabilidad[#All],5,0),"")</f>
        <v/>
      </c>
      <c r="F1831" t="str">
        <f>+IFERROR(VLOOKUP(Fact_Contabilidad[[#This Row], 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ht="18.75" customHeight="1" x14ac:dyDescent="0.35">
      <c r="A1832" s="103"/>
      <c r="C1832" s="100" t="str">
        <f>IF(OR(Fact_Contabilidad[[#This Row], [Año]]="",Fact_Contabilidad[[#This Row], [Mes]]=""),"",DATE(A1832,MATCH(B1832,{"enero","febrero","marzo","abril","mayo","junio","julio","agosto","septiembre","octubre","noviembre","diciembre"},0)+1,0))</f>
        <v/>
      </c>
      <c r="E1832" t="str">
        <f>+IFERROR(VLOOKUP(Fact_Contabilidad[[#This Row], [Concepto Anterior]],Conceptos_Contabilidad[#All],5,0),"")</f>
        <v/>
      </c>
      <c r="F1832" t="str">
        <f>+IFERROR(VLOOKUP(Fact_Contabilidad[[#This Row], 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ht="18.75" customHeight="1" x14ac:dyDescent="0.35">
      <c r="A1833" s="103"/>
      <c r="C1833" s="100" t="str">
        <f>IF(OR(Fact_Contabilidad[[#This Row], [Año]]="",Fact_Contabilidad[[#This Row], [Mes]]=""),"",DATE(A1833,MATCH(B1833,{"enero","febrero","marzo","abril","mayo","junio","julio","agosto","septiembre","octubre","noviembre","diciembre"},0)+1,0))</f>
        <v/>
      </c>
      <c r="E1833" t="str">
        <f>+IFERROR(VLOOKUP(Fact_Contabilidad[[#This Row], [Concepto Anterior]],Conceptos_Contabilidad[#All],5,0),"")</f>
        <v/>
      </c>
      <c r="F1833" t="str">
        <f>+IFERROR(VLOOKUP(Fact_Contabilidad[[#This Row], 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ht="18.75" customHeight="1" x14ac:dyDescent="0.35">
      <c r="A1834" s="103"/>
      <c r="C1834" s="100" t="str">
        <f>IF(OR(Fact_Contabilidad[[#This Row], [Año]]="",Fact_Contabilidad[[#This Row], [Mes]]=""),"",DATE(A1834,MATCH(B1834,{"enero","febrero","marzo","abril","mayo","junio","julio","agosto","septiembre","octubre","noviembre","diciembre"},0)+1,0))</f>
        <v/>
      </c>
      <c r="E1834" t="str">
        <f>+IFERROR(VLOOKUP(Fact_Contabilidad[[#This Row], [Concepto Anterior]],Conceptos_Contabilidad[#All],5,0),"")</f>
        <v/>
      </c>
      <c r="F1834" t="str">
        <f>+IFERROR(VLOOKUP(Fact_Contabilidad[[#This Row], 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ht="18.75" customHeight="1" x14ac:dyDescent="0.35">
      <c r="A1835" s="103"/>
      <c r="C1835" s="100" t="str">
        <f>IF(OR(Fact_Contabilidad[[#This Row], [Año]]="",Fact_Contabilidad[[#This Row], [Mes]]=""),"",DATE(A1835,MATCH(B1835,{"enero","febrero","marzo","abril","mayo","junio","julio","agosto","septiembre","octubre","noviembre","diciembre"},0)+1,0))</f>
        <v/>
      </c>
      <c r="E1835" t="str">
        <f>+IFERROR(VLOOKUP(Fact_Contabilidad[[#This Row], [Concepto Anterior]],Conceptos_Contabilidad[#All],5,0),"")</f>
        <v/>
      </c>
      <c r="F1835" t="str">
        <f>+IFERROR(VLOOKUP(Fact_Contabilidad[[#This Row], 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ht="18.75" customHeight="1" x14ac:dyDescent="0.35">
      <c r="A1836" s="103"/>
      <c r="C1836" s="100" t="str">
        <f>IF(OR(Fact_Contabilidad[[#This Row], [Año]]="",Fact_Contabilidad[[#This Row], [Mes]]=""),"",DATE(A1836,MATCH(B1836,{"enero","febrero","marzo","abril","mayo","junio","julio","agosto","septiembre","octubre","noviembre","diciembre"},0)+1,0))</f>
        <v/>
      </c>
      <c r="E1836" t="str">
        <f>+IFERROR(VLOOKUP(Fact_Contabilidad[[#This Row], [Concepto Anterior]],Conceptos_Contabilidad[#All],5,0),"")</f>
        <v/>
      </c>
      <c r="F1836" t="str">
        <f>+IFERROR(VLOOKUP(Fact_Contabilidad[[#This Row], 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ht="18.75" customHeight="1" x14ac:dyDescent="0.35">
      <c r="A1837" s="103"/>
      <c r="C1837" s="100" t="str">
        <f>IF(OR(Fact_Contabilidad[[#This Row], [Año]]="",Fact_Contabilidad[[#This Row], [Mes]]=""),"",DATE(A1837,MATCH(B1837,{"enero","febrero","marzo","abril","mayo","junio","julio","agosto","septiembre","octubre","noviembre","diciembre"},0)+1,0))</f>
        <v/>
      </c>
      <c r="E1837" t="str">
        <f>+IFERROR(VLOOKUP(Fact_Contabilidad[[#This Row], [Concepto Anterior]],Conceptos_Contabilidad[#All],5,0),"")</f>
        <v/>
      </c>
      <c r="F1837" t="str">
        <f>+IFERROR(VLOOKUP(Fact_Contabilidad[[#This Row], 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ht="18.75" customHeight="1" x14ac:dyDescent="0.35">
      <c r="A1838" s="103"/>
      <c r="C1838" s="100" t="str">
        <f>IF(OR(Fact_Contabilidad[[#This Row], [Año]]="",Fact_Contabilidad[[#This Row], [Mes]]=""),"",DATE(A1838,MATCH(B1838,{"enero","febrero","marzo","abril","mayo","junio","julio","agosto","septiembre","octubre","noviembre","diciembre"},0)+1,0))</f>
        <v/>
      </c>
      <c r="E1838" t="str">
        <f>+IFERROR(VLOOKUP(Fact_Contabilidad[[#This Row], [Concepto Anterior]],Conceptos_Contabilidad[#All],5,0),"")</f>
        <v/>
      </c>
      <c r="F1838" t="str">
        <f>+IFERROR(VLOOKUP(Fact_Contabilidad[[#This Row], 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ht="18.75" customHeight="1" x14ac:dyDescent="0.35">
      <c r="A1839" s="103"/>
      <c r="C1839" s="100" t="str">
        <f>IF(OR(Fact_Contabilidad[[#This Row], [Año]]="",Fact_Contabilidad[[#This Row], [Mes]]=""),"",DATE(A1839,MATCH(B1839,{"enero","febrero","marzo","abril","mayo","junio","julio","agosto","septiembre","octubre","noviembre","diciembre"},0)+1,0))</f>
        <v/>
      </c>
      <c r="E1839" t="str">
        <f>+IFERROR(VLOOKUP(Fact_Contabilidad[[#This Row], [Concepto Anterior]],Conceptos_Contabilidad[#All],5,0),"")</f>
        <v/>
      </c>
      <c r="F1839" t="str">
        <f>+IFERROR(VLOOKUP(Fact_Contabilidad[[#This Row], 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ht="18.75" customHeight="1" x14ac:dyDescent="0.35">
      <c r="A1840" s="103"/>
      <c r="C1840" s="100" t="str">
        <f>IF(OR(Fact_Contabilidad[[#This Row], [Año]]="",Fact_Contabilidad[[#This Row], [Mes]]=""),"",DATE(A1840,MATCH(B1840,{"enero","febrero","marzo","abril","mayo","junio","julio","agosto","septiembre","octubre","noviembre","diciembre"},0)+1,0))</f>
        <v/>
      </c>
      <c r="E1840" t="str">
        <f>+IFERROR(VLOOKUP(Fact_Contabilidad[[#This Row], [Concepto Anterior]],Conceptos_Contabilidad[#All],5,0),"")</f>
        <v/>
      </c>
      <c r="F1840" t="str">
        <f>+IFERROR(VLOOKUP(Fact_Contabilidad[[#This Row], 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ht="18.75" customHeight="1" x14ac:dyDescent="0.35">
      <c r="A1841" s="103"/>
      <c r="C1841" s="100" t="str">
        <f>IF(OR(Fact_Contabilidad[[#This Row], [Año]]="",Fact_Contabilidad[[#This Row], [Mes]]=""),"",DATE(A1841,MATCH(B1841,{"enero","febrero","marzo","abril","mayo","junio","julio","agosto","septiembre","octubre","noviembre","diciembre"},0)+1,0))</f>
        <v/>
      </c>
      <c r="E1841" t="str">
        <f>+IFERROR(VLOOKUP(Fact_Contabilidad[[#This Row], [Concepto Anterior]],Conceptos_Contabilidad[#All],5,0),"")</f>
        <v/>
      </c>
      <c r="F1841" t="str">
        <f>+IFERROR(VLOOKUP(Fact_Contabilidad[[#This Row], 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ht="18.75" customHeight="1" x14ac:dyDescent="0.35">
      <c r="A1842" s="103"/>
      <c r="C1842" s="100" t="str">
        <f>IF(OR(Fact_Contabilidad[[#This Row], [Año]]="",Fact_Contabilidad[[#This Row], [Mes]]=""),"",DATE(A1842,MATCH(B1842,{"enero","febrero","marzo","abril","mayo","junio","julio","agosto","septiembre","octubre","noviembre","diciembre"},0)+1,0))</f>
        <v/>
      </c>
      <c r="E1842" t="str">
        <f>+IFERROR(VLOOKUP(Fact_Contabilidad[[#This Row], [Concepto Anterior]],Conceptos_Contabilidad[#All],5,0),"")</f>
        <v/>
      </c>
      <c r="F1842" t="str">
        <f>+IFERROR(VLOOKUP(Fact_Contabilidad[[#This Row], 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ht="18.75" customHeight="1" x14ac:dyDescent="0.35">
      <c r="A1843" s="103"/>
      <c r="C1843" s="100" t="str">
        <f>IF(OR(Fact_Contabilidad[[#This Row], [Año]]="",Fact_Contabilidad[[#This Row], [Mes]]=""),"",DATE(A1843,MATCH(B1843,{"enero","febrero","marzo","abril","mayo","junio","julio","agosto","septiembre","octubre","noviembre","diciembre"},0)+1,0))</f>
        <v/>
      </c>
      <c r="E1843" t="str">
        <f>+IFERROR(VLOOKUP(Fact_Contabilidad[[#This Row], [Concepto Anterior]],Conceptos_Contabilidad[#All],5,0),"")</f>
        <v/>
      </c>
      <c r="F1843" t="str">
        <f>+IFERROR(VLOOKUP(Fact_Contabilidad[[#This Row], 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ht="18.75" customHeight="1" x14ac:dyDescent="0.35">
      <c r="A1844" s="103"/>
      <c r="C1844" s="100" t="str">
        <f>IF(OR(Fact_Contabilidad[[#This Row], [Año]]="",Fact_Contabilidad[[#This Row], [Mes]]=""),"",DATE(A1844,MATCH(B1844,{"enero","febrero","marzo","abril","mayo","junio","julio","agosto","septiembre","octubre","noviembre","diciembre"},0)+1,0))</f>
        <v/>
      </c>
      <c r="E1844" t="str">
        <f>+IFERROR(VLOOKUP(Fact_Contabilidad[[#This Row], [Concepto Anterior]],Conceptos_Contabilidad[#All],5,0),"")</f>
        <v/>
      </c>
      <c r="F1844" t="str">
        <f>+IFERROR(VLOOKUP(Fact_Contabilidad[[#This Row], 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ht="18.75" customHeight="1" x14ac:dyDescent="0.35">
      <c r="A1845" s="103"/>
      <c r="C1845" s="100" t="str">
        <f>IF(OR(Fact_Contabilidad[[#This Row], [Año]]="",Fact_Contabilidad[[#This Row], [Mes]]=""),"",DATE(A1845,MATCH(B1845,{"enero","febrero","marzo","abril","mayo","junio","julio","agosto","septiembre","octubre","noviembre","diciembre"},0)+1,0))</f>
        <v/>
      </c>
      <c r="E1845" t="str">
        <f>+IFERROR(VLOOKUP(Fact_Contabilidad[[#This Row], [Concepto Anterior]],Conceptos_Contabilidad[#All],5,0),"")</f>
        <v/>
      </c>
      <c r="F1845" t="str">
        <f>+IFERROR(VLOOKUP(Fact_Contabilidad[[#This Row], 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ht="18.75" customHeight="1" x14ac:dyDescent="0.35">
      <c r="A1846" s="103"/>
      <c r="C1846" s="100" t="str">
        <f>IF(OR(Fact_Contabilidad[[#This Row], [Año]]="",Fact_Contabilidad[[#This Row], [Mes]]=""),"",DATE(A1846,MATCH(B1846,{"enero","febrero","marzo","abril","mayo","junio","julio","agosto","septiembre","octubre","noviembre","diciembre"},0)+1,0))</f>
        <v/>
      </c>
      <c r="E1846" t="str">
        <f>+IFERROR(VLOOKUP(Fact_Contabilidad[[#This Row], [Concepto Anterior]],Conceptos_Contabilidad[#All],5,0),"")</f>
        <v/>
      </c>
      <c r="F1846" t="str">
        <f>+IFERROR(VLOOKUP(Fact_Contabilidad[[#This Row], 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ht="18.75" customHeight="1" x14ac:dyDescent="0.35">
      <c r="A1847" s="103"/>
      <c r="C1847" s="100" t="str">
        <f>IF(OR(Fact_Contabilidad[[#This Row], [Año]]="",Fact_Contabilidad[[#This Row], [Mes]]=""),"",DATE(A1847,MATCH(B1847,{"enero","febrero","marzo","abril","mayo","junio","julio","agosto","septiembre","octubre","noviembre","diciembre"},0)+1,0))</f>
        <v/>
      </c>
      <c r="E1847" t="str">
        <f>+IFERROR(VLOOKUP(Fact_Contabilidad[[#This Row], [Concepto Anterior]],Conceptos_Contabilidad[#All],5,0),"")</f>
        <v/>
      </c>
      <c r="F1847" t="str">
        <f>+IFERROR(VLOOKUP(Fact_Contabilidad[[#This Row], 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ht="18.75" customHeight="1" x14ac:dyDescent="0.35">
      <c r="A1848" s="103"/>
      <c r="C1848" s="100" t="str">
        <f>IF(OR(Fact_Contabilidad[[#This Row], [Año]]="",Fact_Contabilidad[[#This Row], [Mes]]=""),"",DATE(A1848,MATCH(B1848,{"enero","febrero","marzo","abril","mayo","junio","julio","agosto","septiembre","octubre","noviembre","diciembre"},0)+1,0))</f>
        <v/>
      </c>
      <c r="E1848" t="str">
        <f>+IFERROR(VLOOKUP(Fact_Contabilidad[[#This Row], [Concepto Anterior]],Conceptos_Contabilidad[#All],5,0),"")</f>
        <v/>
      </c>
      <c r="F1848" t="str">
        <f>+IFERROR(VLOOKUP(Fact_Contabilidad[[#This Row], 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ht="18.75" customHeight="1" x14ac:dyDescent="0.35">
      <c r="A1849" s="103"/>
      <c r="C1849" s="100" t="str">
        <f>IF(OR(Fact_Contabilidad[[#This Row], [Año]]="",Fact_Contabilidad[[#This Row], [Mes]]=""),"",DATE(A1849,MATCH(B1849,{"enero","febrero","marzo","abril","mayo","junio","julio","agosto","septiembre","octubre","noviembre","diciembre"},0)+1,0))</f>
        <v/>
      </c>
      <c r="E1849" t="str">
        <f>+IFERROR(VLOOKUP(Fact_Contabilidad[[#This Row], [Concepto Anterior]],Conceptos_Contabilidad[#All],5,0),"")</f>
        <v/>
      </c>
      <c r="F1849" t="str">
        <f>+IFERROR(VLOOKUP(Fact_Contabilidad[[#This Row], 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ht="18.75" customHeight="1" x14ac:dyDescent="0.35">
      <c r="A1850" s="103"/>
      <c r="C1850" s="100" t="str">
        <f>IF(OR(Fact_Contabilidad[[#This Row], [Año]]="",Fact_Contabilidad[[#This Row], [Mes]]=""),"",DATE(A1850,MATCH(B1850,{"enero","febrero","marzo","abril","mayo","junio","julio","agosto","septiembre","octubre","noviembre","diciembre"},0)+1,0))</f>
        <v/>
      </c>
      <c r="E1850" t="str">
        <f>+IFERROR(VLOOKUP(Fact_Contabilidad[[#This Row], [Concepto Anterior]],Conceptos_Contabilidad[#All],5,0),"")</f>
        <v/>
      </c>
      <c r="F1850" t="str">
        <f>+IFERROR(VLOOKUP(Fact_Contabilidad[[#This Row], 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ht="18.75" customHeight="1" x14ac:dyDescent="0.35">
      <c r="A1851" s="103"/>
      <c r="C1851" s="100" t="str">
        <f>IF(OR(Fact_Contabilidad[[#This Row], [Año]]="",Fact_Contabilidad[[#This Row], [Mes]]=""),"",DATE(A1851,MATCH(B1851,{"enero","febrero","marzo","abril","mayo","junio","julio","agosto","septiembre","octubre","noviembre","diciembre"},0)+1,0))</f>
        <v/>
      </c>
      <c r="E1851" t="str">
        <f>+IFERROR(VLOOKUP(Fact_Contabilidad[[#This Row], [Concepto Anterior]],Conceptos_Contabilidad[#All],5,0),"")</f>
        <v/>
      </c>
      <c r="F1851" t="str">
        <f>+IFERROR(VLOOKUP(Fact_Contabilidad[[#This Row], 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ht="18.75" customHeight="1" x14ac:dyDescent="0.35">
      <c r="A1852" s="103"/>
      <c r="C1852" s="100" t="str">
        <f>IF(OR(Fact_Contabilidad[[#This Row], [Año]]="",Fact_Contabilidad[[#This Row], [Mes]]=""),"",DATE(A1852,MATCH(B1852,{"enero","febrero","marzo","abril","mayo","junio","julio","agosto","septiembre","octubre","noviembre","diciembre"},0)+1,0))</f>
        <v/>
      </c>
      <c r="E1852" t="str">
        <f>+IFERROR(VLOOKUP(Fact_Contabilidad[[#This Row], [Concepto Anterior]],Conceptos_Contabilidad[#All],5,0),"")</f>
        <v/>
      </c>
      <c r="F1852" t="str">
        <f>+IFERROR(VLOOKUP(Fact_Contabilidad[[#This Row], 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ht="18.75" customHeight="1" x14ac:dyDescent="0.35">
      <c r="A1853" s="103"/>
      <c r="C1853" s="100" t="str">
        <f>IF(OR(Fact_Contabilidad[[#This Row], [Año]]="",Fact_Contabilidad[[#This Row], [Mes]]=""),"",DATE(A1853,MATCH(B1853,{"enero","febrero","marzo","abril","mayo","junio","julio","agosto","septiembre","octubre","noviembre","diciembre"},0)+1,0))</f>
        <v/>
      </c>
      <c r="E1853" t="str">
        <f>+IFERROR(VLOOKUP(Fact_Contabilidad[[#This Row], [Concepto Anterior]],Conceptos_Contabilidad[#All],5,0),"")</f>
        <v/>
      </c>
      <c r="F1853" t="str">
        <f>+IFERROR(VLOOKUP(Fact_Contabilidad[[#This Row], 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ht="18.75" customHeight="1" x14ac:dyDescent="0.35">
      <c r="A1854" s="103"/>
      <c r="C1854" s="100" t="str">
        <f>IF(OR(Fact_Contabilidad[[#This Row], [Año]]="",Fact_Contabilidad[[#This Row], [Mes]]=""),"",DATE(A1854,MATCH(B1854,{"enero","febrero","marzo","abril","mayo","junio","julio","agosto","septiembre","octubre","noviembre","diciembre"},0)+1,0))</f>
        <v/>
      </c>
      <c r="E1854" t="str">
        <f>+IFERROR(VLOOKUP(Fact_Contabilidad[[#This Row], [Concepto Anterior]],Conceptos_Contabilidad[#All],5,0),"")</f>
        <v/>
      </c>
      <c r="F1854" t="str">
        <f>+IFERROR(VLOOKUP(Fact_Contabilidad[[#This Row], 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ht="18.75" customHeight="1" x14ac:dyDescent="0.35">
      <c r="A1855" s="103"/>
      <c r="C1855" s="100" t="str">
        <f>IF(OR(Fact_Contabilidad[[#This Row], [Año]]="",Fact_Contabilidad[[#This Row], [Mes]]=""),"",DATE(A1855,MATCH(B1855,{"enero","febrero","marzo","abril","mayo","junio","julio","agosto","septiembre","octubre","noviembre","diciembre"},0)+1,0))</f>
        <v/>
      </c>
      <c r="E1855" t="str">
        <f>+IFERROR(VLOOKUP(Fact_Contabilidad[[#This Row], [Concepto Anterior]],Conceptos_Contabilidad[#All],5,0),"")</f>
        <v/>
      </c>
      <c r="F1855" t="str">
        <f>+IFERROR(VLOOKUP(Fact_Contabilidad[[#This Row], 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ht="18.75" customHeight="1" x14ac:dyDescent="0.35">
      <c r="A1856" s="103"/>
      <c r="C1856" s="100" t="str">
        <f>IF(OR(Fact_Contabilidad[[#This Row], [Año]]="",Fact_Contabilidad[[#This Row], [Mes]]=""),"",DATE(A1856,MATCH(B1856,{"enero","febrero","marzo","abril","mayo","junio","julio","agosto","septiembre","octubre","noviembre","diciembre"},0)+1,0))</f>
        <v/>
      </c>
      <c r="E1856" t="str">
        <f>+IFERROR(VLOOKUP(Fact_Contabilidad[[#This Row], [Concepto Anterior]],Conceptos_Contabilidad[#All],5,0),"")</f>
        <v/>
      </c>
      <c r="F1856" t="str">
        <f>+IFERROR(VLOOKUP(Fact_Contabilidad[[#This Row], 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ht="18.75" customHeight="1" x14ac:dyDescent="0.35">
      <c r="A1857" s="103"/>
      <c r="C1857" s="100" t="str">
        <f>IF(OR(Fact_Contabilidad[[#This Row], [Año]]="",Fact_Contabilidad[[#This Row], [Mes]]=""),"",DATE(A1857,MATCH(B1857,{"enero","febrero","marzo","abril","mayo","junio","julio","agosto","septiembre","octubre","noviembre","diciembre"},0)+1,0))</f>
        <v/>
      </c>
      <c r="E1857" t="str">
        <f>+IFERROR(VLOOKUP(Fact_Contabilidad[[#This Row], [Concepto Anterior]],Conceptos_Contabilidad[#All],5,0),"")</f>
        <v/>
      </c>
      <c r="F1857" t="str">
        <f>+IFERROR(VLOOKUP(Fact_Contabilidad[[#This Row], 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ht="18.75" customHeight="1" x14ac:dyDescent="0.35">
      <c r="A1858" s="103"/>
      <c r="C1858" s="100" t="str">
        <f>IF(OR(Fact_Contabilidad[[#This Row], [Año]]="",Fact_Contabilidad[[#This Row], [Mes]]=""),"",DATE(A1858,MATCH(B1858,{"enero","febrero","marzo","abril","mayo","junio","julio","agosto","septiembre","octubre","noviembre","diciembre"},0)+1,0))</f>
        <v/>
      </c>
      <c r="E1858" t="str">
        <f>+IFERROR(VLOOKUP(Fact_Contabilidad[[#This Row], [Concepto Anterior]],Conceptos_Contabilidad[#All],5,0),"")</f>
        <v/>
      </c>
      <c r="F1858" t="str">
        <f>+IFERROR(VLOOKUP(Fact_Contabilidad[[#This Row], 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ht="18.75" customHeight="1" x14ac:dyDescent="0.35">
      <c r="A1859" s="103"/>
      <c r="C1859" s="100" t="str">
        <f>IF(OR(Fact_Contabilidad[[#This Row], [Año]]="",Fact_Contabilidad[[#This Row], [Mes]]=""),"",DATE(A1859,MATCH(B1859,{"enero","febrero","marzo","abril","mayo","junio","julio","agosto","septiembre","octubre","noviembre","diciembre"},0)+1,0))</f>
        <v/>
      </c>
      <c r="E1859" t="str">
        <f>+IFERROR(VLOOKUP(Fact_Contabilidad[[#This Row], [Concepto Anterior]],Conceptos_Contabilidad[#All],5,0),"")</f>
        <v/>
      </c>
      <c r="F1859" t="str">
        <f>+IFERROR(VLOOKUP(Fact_Contabilidad[[#This Row], 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ht="18.75" customHeight="1" x14ac:dyDescent="0.35">
      <c r="A1860" s="103"/>
      <c r="C1860" s="100" t="str">
        <f>IF(OR(Fact_Contabilidad[[#This Row], [Año]]="",Fact_Contabilidad[[#This Row], [Mes]]=""),"",DATE(A1860,MATCH(B1860,{"enero","febrero","marzo","abril","mayo","junio","julio","agosto","septiembre","octubre","noviembre","diciembre"},0)+1,0))</f>
        <v/>
      </c>
      <c r="E1860" t="str">
        <f>+IFERROR(VLOOKUP(Fact_Contabilidad[[#This Row], [Concepto Anterior]],Conceptos_Contabilidad[#All],5,0),"")</f>
        <v/>
      </c>
      <c r="F1860" t="str">
        <f>+IFERROR(VLOOKUP(Fact_Contabilidad[[#This Row], 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ht="18.75" customHeight="1" x14ac:dyDescent="0.35">
      <c r="A1861" s="103"/>
      <c r="C1861" s="100" t="str">
        <f>IF(OR(Fact_Contabilidad[[#This Row], [Año]]="",Fact_Contabilidad[[#This Row], [Mes]]=""),"",DATE(A1861,MATCH(B1861,{"enero","febrero","marzo","abril","mayo","junio","julio","agosto","septiembre","octubre","noviembre","diciembre"},0)+1,0))</f>
        <v/>
      </c>
      <c r="E1861" t="str">
        <f>+IFERROR(VLOOKUP(Fact_Contabilidad[[#This Row], [Concepto Anterior]],Conceptos_Contabilidad[#All],5,0),"")</f>
        <v/>
      </c>
      <c r="F1861" t="str">
        <f>+IFERROR(VLOOKUP(Fact_Contabilidad[[#This Row], 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ht="18.75" customHeight="1" x14ac:dyDescent="0.35">
      <c r="A1862" s="103"/>
      <c r="C1862" s="100" t="str">
        <f>IF(OR(Fact_Contabilidad[[#This Row], [Año]]="",Fact_Contabilidad[[#This Row], [Mes]]=""),"",DATE(A1862,MATCH(B1862,{"enero","febrero","marzo","abril","mayo","junio","julio","agosto","septiembre","octubre","noviembre","diciembre"},0)+1,0))</f>
        <v/>
      </c>
      <c r="E1862" t="str">
        <f>+IFERROR(VLOOKUP(Fact_Contabilidad[[#This Row], [Concepto Anterior]],Conceptos_Contabilidad[#All],5,0),"")</f>
        <v/>
      </c>
      <c r="F1862" t="str">
        <f>+IFERROR(VLOOKUP(Fact_Contabilidad[[#This Row], 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ht="18.75" customHeight="1" x14ac:dyDescent="0.35">
      <c r="A1863" s="103"/>
      <c r="C1863" s="100" t="str">
        <f>IF(OR(Fact_Contabilidad[[#This Row], [Año]]="",Fact_Contabilidad[[#This Row], [Mes]]=""),"",DATE(A1863,MATCH(B1863,{"enero","febrero","marzo","abril","mayo","junio","julio","agosto","septiembre","octubre","noviembre","diciembre"},0)+1,0))</f>
        <v/>
      </c>
      <c r="E1863" t="str">
        <f>+IFERROR(VLOOKUP(Fact_Contabilidad[[#This Row], [Concepto Anterior]],Conceptos_Contabilidad[#All],5,0),"")</f>
        <v/>
      </c>
      <c r="F1863" t="str">
        <f>+IFERROR(VLOOKUP(Fact_Contabilidad[[#This Row], 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ht="18.75" customHeight="1" x14ac:dyDescent="0.35">
      <c r="A1864" s="103"/>
      <c r="C1864" s="100" t="str">
        <f>IF(OR(Fact_Contabilidad[[#This Row], [Año]]="",Fact_Contabilidad[[#This Row], [Mes]]=""),"",DATE(A1864,MATCH(B1864,{"enero","febrero","marzo","abril","mayo","junio","julio","agosto","septiembre","octubre","noviembre","diciembre"},0)+1,0))</f>
        <v/>
      </c>
      <c r="E1864" t="str">
        <f>+IFERROR(VLOOKUP(Fact_Contabilidad[[#This Row], [Concepto Anterior]],Conceptos_Contabilidad[#All],5,0),"")</f>
        <v/>
      </c>
      <c r="F1864" t="str">
        <f>+IFERROR(VLOOKUP(Fact_Contabilidad[[#This Row], 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ht="18.75" customHeight="1" x14ac:dyDescent="0.35">
      <c r="A1865" s="103"/>
      <c r="C1865" s="100" t="str">
        <f>IF(OR(Fact_Contabilidad[[#This Row], [Año]]="",Fact_Contabilidad[[#This Row], [Mes]]=""),"",DATE(A1865,MATCH(B1865,{"enero","febrero","marzo","abril","mayo","junio","julio","agosto","septiembre","octubre","noviembre","diciembre"},0)+1,0))</f>
        <v/>
      </c>
      <c r="E1865" t="str">
        <f>+IFERROR(VLOOKUP(Fact_Contabilidad[[#This Row], [Concepto Anterior]],Conceptos_Contabilidad[#All],5,0),"")</f>
        <v/>
      </c>
      <c r="F1865" t="str">
        <f>+IFERROR(VLOOKUP(Fact_Contabilidad[[#This Row], 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ht="18.75" customHeight="1" x14ac:dyDescent="0.35">
      <c r="A1866" s="103"/>
      <c r="C1866" s="100" t="str">
        <f>IF(OR(Fact_Contabilidad[[#This Row], [Año]]="",Fact_Contabilidad[[#This Row], [Mes]]=""),"",DATE(A1866,MATCH(B1866,{"enero","febrero","marzo","abril","mayo","junio","julio","agosto","septiembre","octubre","noviembre","diciembre"},0)+1,0))</f>
        <v/>
      </c>
      <c r="E1866" t="str">
        <f>+IFERROR(VLOOKUP(Fact_Contabilidad[[#This Row], [Concepto Anterior]],Conceptos_Contabilidad[#All],5,0),"")</f>
        <v/>
      </c>
      <c r="F1866" t="str">
        <f>+IFERROR(VLOOKUP(Fact_Contabilidad[[#This Row], 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ht="18.75" customHeight="1" x14ac:dyDescent="0.35">
      <c r="A1867" s="103"/>
      <c r="C1867" s="100" t="str">
        <f>IF(OR(Fact_Contabilidad[[#This Row], [Año]]="",Fact_Contabilidad[[#This Row], [Mes]]=""),"",DATE(A1867,MATCH(B1867,{"enero","febrero","marzo","abril","mayo","junio","julio","agosto","septiembre","octubre","noviembre","diciembre"},0)+1,0))</f>
        <v/>
      </c>
      <c r="E1867" t="str">
        <f>+IFERROR(VLOOKUP(Fact_Contabilidad[[#This Row], [Concepto Anterior]],Conceptos_Contabilidad[#All],5,0),"")</f>
        <v/>
      </c>
      <c r="F1867" t="str">
        <f>+IFERROR(VLOOKUP(Fact_Contabilidad[[#This Row], 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ht="18.75" customHeight="1" x14ac:dyDescent="0.35">
      <c r="A1868" s="103"/>
      <c r="C1868" s="100" t="str">
        <f>IF(OR(Fact_Contabilidad[[#This Row], [Año]]="",Fact_Contabilidad[[#This Row], [Mes]]=""),"",DATE(A1868,MATCH(B1868,{"enero","febrero","marzo","abril","mayo","junio","julio","agosto","septiembre","octubre","noviembre","diciembre"},0)+1,0))</f>
        <v/>
      </c>
      <c r="E1868" t="str">
        <f>+IFERROR(VLOOKUP(Fact_Contabilidad[[#This Row], [Concepto Anterior]],Conceptos_Contabilidad[#All],5,0),"")</f>
        <v/>
      </c>
      <c r="F1868" t="str">
        <f>+IFERROR(VLOOKUP(Fact_Contabilidad[[#This Row], 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ht="18.75" customHeight="1" x14ac:dyDescent="0.35">
      <c r="A1869" s="103"/>
      <c r="C1869" s="100" t="str">
        <f>IF(OR(Fact_Contabilidad[[#This Row], [Año]]="",Fact_Contabilidad[[#This Row], [Mes]]=""),"",DATE(A1869,MATCH(B1869,{"enero","febrero","marzo","abril","mayo","junio","julio","agosto","septiembre","octubre","noviembre","diciembre"},0)+1,0))</f>
        <v/>
      </c>
      <c r="E1869" t="str">
        <f>+IFERROR(VLOOKUP(Fact_Contabilidad[[#This Row], [Concepto Anterior]],Conceptos_Contabilidad[#All],5,0),"")</f>
        <v/>
      </c>
      <c r="F1869" t="str">
        <f>+IFERROR(VLOOKUP(Fact_Contabilidad[[#This Row], 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ht="18.75" customHeight="1" x14ac:dyDescent="0.35">
      <c r="A1870" s="103"/>
      <c r="C1870" s="100" t="str">
        <f>IF(OR(Fact_Contabilidad[[#This Row], [Año]]="",Fact_Contabilidad[[#This Row], [Mes]]=""),"",DATE(A1870,MATCH(B1870,{"enero","febrero","marzo","abril","mayo","junio","julio","agosto","septiembre","octubre","noviembre","diciembre"},0)+1,0))</f>
        <v/>
      </c>
      <c r="E1870" t="str">
        <f>+IFERROR(VLOOKUP(Fact_Contabilidad[[#This Row], [Concepto Anterior]],Conceptos_Contabilidad[#All],5,0),"")</f>
        <v/>
      </c>
      <c r="F1870" t="str">
        <f>+IFERROR(VLOOKUP(Fact_Contabilidad[[#This Row], 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ht="18.75" customHeight="1" x14ac:dyDescent="0.35">
      <c r="A1871" s="103"/>
      <c r="C1871" s="100" t="str">
        <f>IF(OR(Fact_Contabilidad[[#This Row], [Año]]="",Fact_Contabilidad[[#This Row], [Mes]]=""),"",DATE(A1871,MATCH(B1871,{"enero","febrero","marzo","abril","mayo","junio","julio","agosto","septiembre","octubre","noviembre","diciembre"},0)+1,0))</f>
        <v/>
      </c>
      <c r="E1871" t="str">
        <f>+IFERROR(VLOOKUP(Fact_Contabilidad[[#This Row], [Concepto Anterior]],Conceptos_Contabilidad[#All],5,0),"")</f>
        <v/>
      </c>
      <c r="F1871" t="str">
        <f>+IFERROR(VLOOKUP(Fact_Contabilidad[[#This Row], 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ht="18.75" customHeight="1" x14ac:dyDescent="0.35">
      <c r="A1872" s="103"/>
      <c r="C1872" s="100" t="str">
        <f>IF(OR(Fact_Contabilidad[[#This Row], [Año]]="",Fact_Contabilidad[[#This Row], [Mes]]=""),"",DATE(A1872,MATCH(B1872,{"enero","febrero","marzo","abril","mayo","junio","julio","agosto","septiembre","octubre","noviembre","diciembre"},0)+1,0))</f>
        <v/>
      </c>
      <c r="E1872" t="str">
        <f>+IFERROR(VLOOKUP(Fact_Contabilidad[[#This Row], [Concepto Anterior]],Conceptos_Contabilidad[#All],5,0),"")</f>
        <v/>
      </c>
      <c r="F1872" t="str">
        <f>+IFERROR(VLOOKUP(Fact_Contabilidad[[#This Row], 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ht="18.75" customHeight="1" x14ac:dyDescent="0.35">
      <c r="A1873" s="103"/>
      <c r="C1873" s="100" t="str">
        <f>IF(OR(Fact_Contabilidad[[#This Row], [Año]]="",Fact_Contabilidad[[#This Row], [Mes]]=""),"",DATE(A1873,MATCH(B1873,{"enero","febrero","marzo","abril","mayo","junio","julio","agosto","septiembre","octubre","noviembre","diciembre"},0)+1,0))</f>
        <v/>
      </c>
      <c r="E1873" t="str">
        <f>+IFERROR(VLOOKUP(Fact_Contabilidad[[#This Row], [Concepto Anterior]],Conceptos_Contabilidad[#All],5,0),"")</f>
        <v/>
      </c>
      <c r="F1873" t="str">
        <f>+IFERROR(VLOOKUP(Fact_Contabilidad[[#This Row], 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ht="18.75" customHeight="1" x14ac:dyDescent="0.35">
      <c r="A1874" s="103"/>
      <c r="C1874" s="100" t="str">
        <f>IF(OR(Fact_Contabilidad[[#This Row], [Año]]="",Fact_Contabilidad[[#This Row], [Mes]]=""),"",DATE(A1874,MATCH(B1874,{"enero","febrero","marzo","abril","mayo","junio","julio","agosto","septiembre","octubre","noviembre","diciembre"},0)+1,0))</f>
        <v/>
      </c>
      <c r="E1874" t="str">
        <f>+IFERROR(VLOOKUP(Fact_Contabilidad[[#This Row], [Concepto Anterior]],Conceptos_Contabilidad[#All],5,0),"")</f>
        <v/>
      </c>
      <c r="F1874" t="str">
        <f>+IFERROR(VLOOKUP(Fact_Contabilidad[[#This Row], 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ht="18.75" customHeight="1" x14ac:dyDescent="0.35">
      <c r="A1875" s="103"/>
      <c r="C1875" s="100" t="str">
        <f>IF(OR(Fact_Contabilidad[[#This Row], [Año]]="",Fact_Contabilidad[[#This Row], [Mes]]=""),"",DATE(A1875,MATCH(B1875,{"enero","febrero","marzo","abril","mayo","junio","julio","agosto","septiembre","octubre","noviembre","diciembre"},0)+1,0))</f>
        <v/>
      </c>
      <c r="E1875" t="str">
        <f>+IFERROR(VLOOKUP(Fact_Contabilidad[[#This Row], [Concepto Anterior]],Conceptos_Contabilidad[#All],5,0),"")</f>
        <v/>
      </c>
      <c r="F1875" t="str">
        <f>+IFERROR(VLOOKUP(Fact_Contabilidad[[#This Row], 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ht="18.75" customHeight="1" x14ac:dyDescent="0.35">
      <c r="A1876" s="103"/>
      <c r="C1876" s="100" t="str">
        <f>IF(OR(Fact_Contabilidad[[#This Row], [Año]]="",Fact_Contabilidad[[#This Row], [Mes]]=""),"",DATE(A1876,MATCH(B1876,{"enero","febrero","marzo","abril","mayo","junio","julio","agosto","septiembre","octubre","noviembre","diciembre"},0)+1,0))</f>
        <v/>
      </c>
      <c r="E1876" t="str">
        <f>+IFERROR(VLOOKUP(Fact_Contabilidad[[#This Row], [Concepto Anterior]],Conceptos_Contabilidad[#All],5,0),"")</f>
        <v/>
      </c>
      <c r="F1876" t="str">
        <f>+IFERROR(VLOOKUP(Fact_Contabilidad[[#This Row], 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ht="18.75" customHeight="1" x14ac:dyDescent="0.35">
      <c r="A1877" s="103"/>
      <c r="C1877" s="100" t="str">
        <f>IF(OR(Fact_Contabilidad[[#This Row], [Año]]="",Fact_Contabilidad[[#This Row], [Mes]]=""),"",DATE(A1877,MATCH(B1877,{"enero","febrero","marzo","abril","mayo","junio","julio","agosto","septiembre","octubre","noviembre","diciembre"},0)+1,0))</f>
        <v/>
      </c>
      <c r="E1877" t="str">
        <f>+IFERROR(VLOOKUP(Fact_Contabilidad[[#This Row], [Concepto Anterior]],Conceptos_Contabilidad[#All],5,0),"")</f>
        <v/>
      </c>
      <c r="F1877" t="str">
        <f>+IFERROR(VLOOKUP(Fact_Contabilidad[[#This Row], 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ht="18.75" customHeight="1" x14ac:dyDescent="0.35">
      <c r="A1878" s="103"/>
      <c r="C1878" s="100" t="str">
        <f>IF(OR(Fact_Contabilidad[[#This Row], [Año]]="",Fact_Contabilidad[[#This Row], [Mes]]=""),"",DATE(A1878,MATCH(B1878,{"enero","febrero","marzo","abril","mayo","junio","julio","agosto","septiembre","octubre","noviembre","diciembre"},0)+1,0))</f>
        <v/>
      </c>
      <c r="E1878" t="str">
        <f>+IFERROR(VLOOKUP(Fact_Contabilidad[[#This Row], [Concepto Anterior]],Conceptos_Contabilidad[#All],5,0),"")</f>
        <v/>
      </c>
      <c r="F1878" t="str">
        <f>+IFERROR(VLOOKUP(Fact_Contabilidad[[#This Row], 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ht="18.75" customHeight="1" x14ac:dyDescent="0.35">
      <c r="A1879" s="103"/>
      <c r="C1879" s="100" t="str">
        <f>IF(OR(Fact_Contabilidad[[#This Row], [Año]]="",Fact_Contabilidad[[#This Row], [Mes]]=""),"",DATE(A1879,MATCH(B1879,{"enero","febrero","marzo","abril","mayo","junio","julio","agosto","septiembre","octubre","noviembre","diciembre"},0)+1,0))</f>
        <v/>
      </c>
      <c r="E1879" t="str">
        <f>+IFERROR(VLOOKUP(Fact_Contabilidad[[#This Row], [Concepto Anterior]],Conceptos_Contabilidad[#All],5,0),"")</f>
        <v/>
      </c>
      <c r="F1879" t="str">
        <f>+IFERROR(VLOOKUP(Fact_Contabilidad[[#This Row], 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ht="18.75" customHeight="1" x14ac:dyDescent="0.35">
      <c r="A1880" s="103"/>
      <c r="C1880" s="100" t="str">
        <f>IF(OR(Fact_Contabilidad[[#This Row], [Año]]="",Fact_Contabilidad[[#This Row], [Mes]]=""),"",DATE(A1880,MATCH(B1880,{"enero","febrero","marzo","abril","mayo","junio","julio","agosto","septiembre","octubre","noviembre","diciembre"},0)+1,0))</f>
        <v/>
      </c>
      <c r="E1880" t="str">
        <f>+IFERROR(VLOOKUP(Fact_Contabilidad[[#This Row], [Concepto Anterior]],Conceptos_Contabilidad[#All],5,0),"")</f>
        <v/>
      </c>
      <c r="F1880" t="str">
        <f>+IFERROR(VLOOKUP(Fact_Contabilidad[[#This Row], 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ht="18.75" customHeight="1" x14ac:dyDescent="0.35">
      <c r="A1881" s="103"/>
      <c r="C1881" s="100" t="str">
        <f>IF(OR(Fact_Contabilidad[[#This Row], [Año]]="",Fact_Contabilidad[[#This Row], [Mes]]=""),"",DATE(A1881,MATCH(B1881,{"enero","febrero","marzo","abril","mayo","junio","julio","agosto","septiembre","octubre","noviembre","diciembre"},0)+1,0))</f>
        <v/>
      </c>
      <c r="E1881" t="str">
        <f>+IFERROR(VLOOKUP(Fact_Contabilidad[[#This Row], [Concepto Anterior]],Conceptos_Contabilidad[#All],5,0),"")</f>
        <v/>
      </c>
      <c r="F1881" t="str">
        <f>+IFERROR(VLOOKUP(Fact_Contabilidad[[#This Row], 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ht="18.75" customHeight="1" x14ac:dyDescent="0.35">
      <c r="A1882" s="103"/>
      <c r="C1882" s="100" t="str">
        <f>IF(OR(Fact_Contabilidad[[#This Row], [Año]]="",Fact_Contabilidad[[#This Row], [Mes]]=""),"",DATE(A1882,MATCH(B1882,{"enero","febrero","marzo","abril","mayo","junio","julio","agosto","septiembre","octubre","noviembre","diciembre"},0)+1,0))</f>
        <v/>
      </c>
      <c r="E1882" t="str">
        <f>+IFERROR(VLOOKUP(Fact_Contabilidad[[#This Row], [Concepto Anterior]],Conceptos_Contabilidad[#All],5,0),"")</f>
        <v/>
      </c>
      <c r="F1882" t="str">
        <f>+IFERROR(VLOOKUP(Fact_Contabilidad[[#This Row], 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ht="18.75" customHeight="1" x14ac:dyDescent="0.35">
      <c r="A1883" s="103"/>
      <c r="C1883" s="100" t="str">
        <f>IF(OR(Fact_Contabilidad[[#This Row], [Año]]="",Fact_Contabilidad[[#This Row], [Mes]]=""),"",DATE(A1883,MATCH(B1883,{"enero","febrero","marzo","abril","mayo","junio","julio","agosto","septiembre","octubre","noviembre","diciembre"},0)+1,0))</f>
        <v/>
      </c>
      <c r="E1883" t="str">
        <f>+IFERROR(VLOOKUP(Fact_Contabilidad[[#This Row], [Concepto Anterior]],Conceptos_Contabilidad[#All],5,0),"")</f>
        <v/>
      </c>
      <c r="F1883" t="str">
        <f>+IFERROR(VLOOKUP(Fact_Contabilidad[[#This Row], 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ht="18.75" customHeight="1" x14ac:dyDescent="0.35">
      <c r="A1884" s="103"/>
      <c r="C1884" s="100" t="str">
        <f>IF(OR(Fact_Contabilidad[[#This Row], [Año]]="",Fact_Contabilidad[[#This Row], [Mes]]=""),"",DATE(A1884,MATCH(B1884,{"enero","febrero","marzo","abril","mayo","junio","julio","agosto","septiembre","octubre","noviembre","diciembre"},0)+1,0))</f>
        <v/>
      </c>
      <c r="E1884" t="str">
        <f>+IFERROR(VLOOKUP(Fact_Contabilidad[[#This Row], [Concepto Anterior]],Conceptos_Contabilidad[#All],5,0),"")</f>
        <v/>
      </c>
      <c r="F1884" t="str">
        <f>+IFERROR(VLOOKUP(Fact_Contabilidad[[#This Row], 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ht="18.75" customHeight="1" x14ac:dyDescent="0.35">
      <c r="A1885" s="103"/>
      <c r="C1885" s="100" t="str">
        <f>IF(OR(Fact_Contabilidad[[#This Row], [Año]]="",Fact_Contabilidad[[#This Row], [Mes]]=""),"",DATE(A1885,MATCH(B1885,{"enero","febrero","marzo","abril","mayo","junio","julio","agosto","septiembre","octubre","noviembre","diciembre"},0)+1,0))</f>
        <v/>
      </c>
      <c r="E1885" t="str">
        <f>+IFERROR(VLOOKUP(Fact_Contabilidad[[#This Row], [Concepto Anterior]],Conceptos_Contabilidad[#All],5,0),"")</f>
        <v/>
      </c>
      <c r="F1885" t="str">
        <f>+IFERROR(VLOOKUP(Fact_Contabilidad[[#This Row], 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ht="18.75" customHeight="1" x14ac:dyDescent="0.35">
      <c r="A1886" s="103"/>
      <c r="C1886" s="100" t="str">
        <f>IF(OR(Fact_Contabilidad[[#This Row], [Año]]="",Fact_Contabilidad[[#This Row], [Mes]]=""),"",DATE(A1886,MATCH(B1886,{"enero","febrero","marzo","abril","mayo","junio","julio","agosto","septiembre","octubre","noviembre","diciembre"},0)+1,0))</f>
        <v/>
      </c>
      <c r="E1886" t="str">
        <f>+IFERROR(VLOOKUP(Fact_Contabilidad[[#This Row], [Concepto Anterior]],Conceptos_Contabilidad[#All],5,0),"")</f>
        <v/>
      </c>
      <c r="F1886" t="str">
        <f>+IFERROR(VLOOKUP(Fact_Contabilidad[[#This Row], 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ht="18.75" customHeight="1" x14ac:dyDescent="0.35">
      <c r="A1887" s="103"/>
      <c r="C1887" s="100" t="str">
        <f>IF(OR(Fact_Contabilidad[[#This Row], [Año]]="",Fact_Contabilidad[[#This Row], [Mes]]=""),"",DATE(A1887,MATCH(B1887,{"enero","febrero","marzo","abril","mayo","junio","julio","agosto","septiembre","octubre","noviembre","diciembre"},0)+1,0))</f>
        <v/>
      </c>
      <c r="E1887" t="str">
        <f>+IFERROR(VLOOKUP(Fact_Contabilidad[[#This Row], [Concepto Anterior]],Conceptos_Contabilidad[#All],5,0),"")</f>
        <v/>
      </c>
      <c r="F1887" t="str">
        <f>+IFERROR(VLOOKUP(Fact_Contabilidad[[#This Row], 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ht="18.75" customHeight="1" x14ac:dyDescent="0.35">
      <c r="A1888" s="103"/>
      <c r="C1888" s="100" t="str">
        <f>IF(OR(Fact_Contabilidad[[#This Row], [Año]]="",Fact_Contabilidad[[#This Row], [Mes]]=""),"",DATE(A1888,MATCH(B1888,{"enero","febrero","marzo","abril","mayo","junio","julio","agosto","septiembre","octubre","noviembre","diciembre"},0)+1,0))</f>
        <v/>
      </c>
      <c r="E1888" t="str">
        <f>+IFERROR(VLOOKUP(Fact_Contabilidad[[#This Row], [Concepto Anterior]],Conceptos_Contabilidad[#All],5,0),"")</f>
        <v/>
      </c>
      <c r="F1888" t="str">
        <f>+IFERROR(VLOOKUP(Fact_Contabilidad[[#This Row], 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ht="18.75" customHeight="1" x14ac:dyDescent="0.35">
      <c r="A1889" s="103"/>
      <c r="C1889" s="100" t="str">
        <f>IF(OR(Fact_Contabilidad[[#This Row], [Año]]="",Fact_Contabilidad[[#This Row], [Mes]]=""),"",DATE(A1889,MATCH(B1889,{"enero","febrero","marzo","abril","mayo","junio","julio","agosto","septiembre","octubre","noviembre","diciembre"},0)+1,0))</f>
        <v/>
      </c>
      <c r="E1889" t="str">
        <f>+IFERROR(VLOOKUP(Fact_Contabilidad[[#This Row], [Concepto Anterior]],Conceptos_Contabilidad[#All],5,0),"")</f>
        <v/>
      </c>
      <c r="F1889" t="str">
        <f>+IFERROR(VLOOKUP(Fact_Contabilidad[[#This Row], 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ht="18.75" customHeight="1" x14ac:dyDescent="0.35">
      <c r="A1890" s="103"/>
      <c r="C1890" s="100" t="str">
        <f>IF(OR(Fact_Contabilidad[[#This Row], [Año]]="",Fact_Contabilidad[[#This Row], [Mes]]=""),"",DATE(A1890,MATCH(B1890,{"enero","febrero","marzo","abril","mayo","junio","julio","agosto","septiembre","octubre","noviembre","diciembre"},0)+1,0))</f>
        <v/>
      </c>
      <c r="E1890" t="str">
        <f>+IFERROR(VLOOKUP(Fact_Contabilidad[[#This Row], [Concepto Anterior]],Conceptos_Contabilidad[#All],5,0),"")</f>
        <v/>
      </c>
      <c r="F1890" t="str">
        <f>+IFERROR(VLOOKUP(Fact_Contabilidad[[#This Row], 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ht="18.75" customHeight="1" x14ac:dyDescent="0.35">
      <c r="A1891" s="103"/>
      <c r="C1891" s="100" t="str">
        <f>IF(OR(Fact_Contabilidad[[#This Row], [Año]]="",Fact_Contabilidad[[#This Row], [Mes]]=""),"",DATE(A1891,MATCH(B1891,{"enero","febrero","marzo","abril","mayo","junio","julio","agosto","septiembre","octubre","noviembre","diciembre"},0)+1,0))</f>
        <v/>
      </c>
      <c r="E1891" t="str">
        <f>+IFERROR(VLOOKUP(Fact_Contabilidad[[#This Row], [Concepto Anterior]],Conceptos_Contabilidad[#All],5,0),"")</f>
        <v/>
      </c>
      <c r="F1891" t="str">
        <f>+IFERROR(VLOOKUP(Fact_Contabilidad[[#This Row], 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ht="18.75" customHeight="1" x14ac:dyDescent="0.35">
      <c r="A1892" s="103"/>
      <c r="C1892" s="100" t="str">
        <f>IF(OR(Fact_Contabilidad[[#This Row], [Año]]="",Fact_Contabilidad[[#This Row], [Mes]]=""),"",DATE(A1892,MATCH(B1892,{"enero","febrero","marzo","abril","mayo","junio","julio","agosto","septiembre","octubre","noviembre","diciembre"},0)+1,0))</f>
        <v/>
      </c>
      <c r="E1892" t="str">
        <f>+IFERROR(VLOOKUP(Fact_Contabilidad[[#This Row], [Concepto Anterior]],Conceptos_Contabilidad[#All],5,0),"")</f>
        <v/>
      </c>
      <c r="F1892" t="str">
        <f>+IFERROR(VLOOKUP(Fact_Contabilidad[[#This Row], 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ht="18.75" customHeight="1" x14ac:dyDescent="0.35">
      <c r="A1893" s="103"/>
      <c r="C1893" s="100" t="str">
        <f>IF(OR(Fact_Contabilidad[[#This Row], [Año]]="",Fact_Contabilidad[[#This Row], [Mes]]=""),"",DATE(A1893,MATCH(B1893,{"enero","febrero","marzo","abril","mayo","junio","julio","agosto","septiembre","octubre","noviembre","diciembre"},0)+1,0))</f>
        <v/>
      </c>
      <c r="E1893" t="str">
        <f>+IFERROR(VLOOKUP(Fact_Contabilidad[[#This Row], [Concepto Anterior]],Conceptos_Contabilidad[#All],5,0),"")</f>
        <v/>
      </c>
      <c r="F1893" t="str">
        <f>+IFERROR(VLOOKUP(Fact_Contabilidad[[#This Row], 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ht="18.75" customHeight="1" x14ac:dyDescent="0.35">
      <c r="A1894" s="103"/>
      <c r="C1894" s="100" t="str">
        <f>IF(OR(Fact_Contabilidad[[#This Row], [Año]]="",Fact_Contabilidad[[#This Row], [Mes]]=""),"",DATE(A1894,MATCH(B1894,{"enero","febrero","marzo","abril","mayo","junio","julio","agosto","septiembre","octubre","noviembre","diciembre"},0)+1,0))</f>
        <v/>
      </c>
      <c r="E1894" t="str">
        <f>+IFERROR(VLOOKUP(Fact_Contabilidad[[#This Row], [Concepto Anterior]],Conceptos_Contabilidad[#All],5,0),"")</f>
        <v/>
      </c>
      <c r="F1894" t="str">
        <f>+IFERROR(VLOOKUP(Fact_Contabilidad[[#This Row], 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ht="18.75" customHeight="1" x14ac:dyDescent="0.35">
      <c r="A1895" s="103"/>
      <c r="C1895" s="100" t="str">
        <f>IF(OR(Fact_Contabilidad[[#This Row], [Año]]="",Fact_Contabilidad[[#This Row], [Mes]]=""),"",DATE(A1895,MATCH(B1895,{"enero","febrero","marzo","abril","mayo","junio","julio","agosto","septiembre","octubre","noviembre","diciembre"},0)+1,0))</f>
        <v/>
      </c>
      <c r="E1895" t="str">
        <f>+IFERROR(VLOOKUP(Fact_Contabilidad[[#This Row], [Concepto Anterior]],Conceptos_Contabilidad[#All],5,0),"")</f>
        <v/>
      </c>
      <c r="F1895" t="str">
        <f>+IFERROR(VLOOKUP(Fact_Contabilidad[[#This Row], 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ht="18.75" customHeight="1" x14ac:dyDescent="0.35">
      <c r="A1896" s="103"/>
      <c r="C1896" s="100" t="str">
        <f>IF(OR(Fact_Contabilidad[[#This Row], [Año]]="",Fact_Contabilidad[[#This Row], [Mes]]=""),"",DATE(A1896,MATCH(B1896,{"enero","febrero","marzo","abril","mayo","junio","julio","agosto","septiembre","octubre","noviembre","diciembre"},0)+1,0))</f>
        <v/>
      </c>
      <c r="E1896" t="str">
        <f>+IFERROR(VLOOKUP(Fact_Contabilidad[[#This Row], [Concepto Anterior]],Conceptos_Contabilidad[#All],5,0),"")</f>
        <v/>
      </c>
      <c r="F1896" t="str">
        <f>+IFERROR(VLOOKUP(Fact_Contabilidad[[#This Row], 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ht="18.75" customHeight="1" x14ac:dyDescent="0.35">
      <c r="A1897" s="103"/>
      <c r="C1897" s="100" t="str">
        <f>IF(OR(Fact_Contabilidad[[#This Row], [Año]]="",Fact_Contabilidad[[#This Row], [Mes]]=""),"",DATE(A1897,MATCH(B1897,{"enero","febrero","marzo","abril","mayo","junio","julio","agosto","septiembre","octubre","noviembre","diciembre"},0)+1,0))</f>
        <v/>
      </c>
      <c r="E1897" t="str">
        <f>+IFERROR(VLOOKUP(Fact_Contabilidad[[#This Row], [Concepto Anterior]],Conceptos_Contabilidad[#All],5,0),"")</f>
        <v/>
      </c>
      <c r="F1897" t="str">
        <f>+IFERROR(VLOOKUP(Fact_Contabilidad[[#This Row], 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ht="18.75" customHeight="1" x14ac:dyDescent="0.35">
      <c r="A1898" s="103"/>
      <c r="C1898" s="100" t="str">
        <f>IF(OR(Fact_Contabilidad[[#This Row], [Año]]="",Fact_Contabilidad[[#This Row], [Mes]]=""),"",DATE(A1898,MATCH(B1898,{"enero","febrero","marzo","abril","mayo","junio","julio","agosto","septiembre","octubre","noviembre","diciembre"},0)+1,0))</f>
        <v/>
      </c>
      <c r="E1898" t="str">
        <f>+IFERROR(VLOOKUP(Fact_Contabilidad[[#This Row], [Concepto Anterior]],Conceptos_Contabilidad[#All],5,0),"")</f>
        <v/>
      </c>
      <c r="F1898" t="str">
        <f>+IFERROR(VLOOKUP(Fact_Contabilidad[[#This Row], 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ht="18.75" customHeight="1" x14ac:dyDescent="0.35">
      <c r="A1899" s="103"/>
      <c r="C1899" s="100" t="str">
        <f>IF(OR(Fact_Contabilidad[[#This Row], [Año]]="",Fact_Contabilidad[[#This Row], [Mes]]=""),"",DATE(A1899,MATCH(B1899,{"enero","febrero","marzo","abril","mayo","junio","julio","agosto","septiembre","octubre","noviembre","diciembre"},0)+1,0))</f>
        <v/>
      </c>
      <c r="E1899" t="str">
        <f>+IFERROR(VLOOKUP(Fact_Contabilidad[[#This Row], [Concepto Anterior]],Conceptos_Contabilidad[#All],5,0),"")</f>
        <v/>
      </c>
      <c r="F1899" t="str">
        <f>+IFERROR(VLOOKUP(Fact_Contabilidad[[#This Row], 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ht="18.75" customHeight="1" x14ac:dyDescent="0.35">
      <c r="A1900" s="103"/>
      <c r="C1900" s="100" t="str">
        <f>IF(OR(Fact_Contabilidad[[#This Row], [Año]]="",Fact_Contabilidad[[#This Row], [Mes]]=""),"",DATE(A1900,MATCH(B1900,{"enero","febrero","marzo","abril","mayo","junio","julio","agosto","septiembre","octubre","noviembre","diciembre"},0)+1,0))</f>
        <v/>
      </c>
      <c r="E1900" t="str">
        <f>+IFERROR(VLOOKUP(Fact_Contabilidad[[#This Row], [Concepto Anterior]],Conceptos_Contabilidad[#All],5,0),"")</f>
        <v/>
      </c>
      <c r="F1900" t="str">
        <f>+IFERROR(VLOOKUP(Fact_Contabilidad[[#This Row], 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ht="18.75" customHeight="1" x14ac:dyDescent="0.35">
      <c r="A1901" s="103"/>
      <c r="C1901" s="100" t="str">
        <f>IF(OR(Fact_Contabilidad[[#This Row], [Año]]="",Fact_Contabilidad[[#This Row], [Mes]]=""),"",DATE(A1901,MATCH(B1901,{"enero","febrero","marzo","abril","mayo","junio","julio","agosto","septiembre","octubre","noviembre","diciembre"},0)+1,0))</f>
        <v/>
      </c>
      <c r="E1901" t="str">
        <f>+IFERROR(VLOOKUP(Fact_Contabilidad[[#This Row], [Concepto Anterior]],Conceptos_Contabilidad[#All],5,0),"")</f>
        <v/>
      </c>
      <c r="F1901" t="str">
        <f>+IFERROR(VLOOKUP(Fact_Contabilidad[[#This Row], 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ht="18.75" customHeight="1" x14ac:dyDescent="0.35">
      <c r="A1902" s="103"/>
      <c r="C1902" s="100" t="str">
        <f>IF(OR(Fact_Contabilidad[[#This Row], [Año]]="",Fact_Contabilidad[[#This Row], [Mes]]=""),"",DATE(A1902,MATCH(B1902,{"enero","febrero","marzo","abril","mayo","junio","julio","agosto","septiembre","octubre","noviembre","diciembre"},0)+1,0))</f>
        <v/>
      </c>
      <c r="E1902" t="str">
        <f>+IFERROR(VLOOKUP(Fact_Contabilidad[[#This Row], [Concepto Anterior]],Conceptos_Contabilidad[#All],5,0),"")</f>
        <v/>
      </c>
      <c r="F1902" t="str">
        <f>+IFERROR(VLOOKUP(Fact_Contabilidad[[#This Row], 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ht="18.75" customHeight="1" x14ac:dyDescent="0.35">
      <c r="A1903" s="103"/>
      <c r="C1903" s="100" t="str">
        <f>IF(OR(Fact_Contabilidad[[#This Row], [Año]]="",Fact_Contabilidad[[#This Row], [Mes]]=""),"",DATE(A1903,MATCH(B1903,{"enero","febrero","marzo","abril","mayo","junio","julio","agosto","septiembre","octubre","noviembre","diciembre"},0)+1,0))</f>
        <v/>
      </c>
      <c r="E1903" t="str">
        <f>+IFERROR(VLOOKUP(Fact_Contabilidad[[#This Row], [Concepto Anterior]],Conceptos_Contabilidad[#All],5,0),"")</f>
        <v/>
      </c>
      <c r="F1903" t="str">
        <f>+IFERROR(VLOOKUP(Fact_Contabilidad[[#This Row], 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ht="18.75" customHeight="1" x14ac:dyDescent="0.35">
      <c r="A1904" s="103"/>
      <c r="C1904" s="100" t="str">
        <f>IF(OR(Fact_Contabilidad[[#This Row], [Año]]="",Fact_Contabilidad[[#This Row], [Mes]]=""),"",DATE(A1904,MATCH(B1904,{"enero","febrero","marzo","abril","mayo","junio","julio","agosto","septiembre","octubre","noviembre","diciembre"},0)+1,0))</f>
        <v/>
      </c>
      <c r="E1904" t="str">
        <f>+IFERROR(VLOOKUP(Fact_Contabilidad[[#This Row], [Concepto Anterior]],Conceptos_Contabilidad[#All],5,0),"")</f>
        <v/>
      </c>
      <c r="F1904" t="str">
        <f>+IFERROR(VLOOKUP(Fact_Contabilidad[[#This Row], 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ht="18.75" customHeight="1" x14ac:dyDescent="0.35">
      <c r="A1905" s="103"/>
      <c r="C1905" s="100" t="str">
        <f>IF(OR(Fact_Contabilidad[[#This Row], [Año]]="",Fact_Contabilidad[[#This Row], [Mes]]=""),"",DATE(A1905,MATCH(B1905,{"enero","febrero","marzo","abril","mayo","junio","julio","agosto","septiembre","octubre","noviembre","diciembre"},0)+1,0))</f>
        <v/>
      </c>
      <c r="E1905" t="str">
        <f>+IFERROR(VLOOKUP(Fact_Contabilidad[[#This Row], [Concepto Anterior]],Conceptos_Contabilidad[#All],5,0),"")</f>
        <v/>
      </c>
      <c r="F1905" t="str">
        <f>+IFERROR(VLOOKUP(Fact_Contabilidad[[#This Row], 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ht="18.75" customHeight="1" x14ac:dyDescent="0.35">
      <c r="A1906" s="103"/>
      <c r="C1906" s="100" t="str">
        <f>IF(OR(Fact_Contabilidad[[#This Row], [Año]]="",Fact_Contabilidad[[#This Row], [Mes]]=""),"",DATE(A1906,MATCH(B1906,{"enero","febrero","marzo","abril","mayo","junio","julio","agosto","septiembre","octubre","noviembre","diciembre"},0)+1,0))</f>
        <v/>
      </c>
      <c r="E1906" t="str">
        <f>+IFERROR(VLOOKUP(Fact_Contabilidad[[#This Row], [Concepto Anterior]],Conceptos_Contabilidad[#All],5,0),"")</f>
        <v/>
      </c>
      <c r="F1906" t="str">
        <f>+IFERROR(VLOOKUP(Fact_Contabilidad[[#This Row], 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ht="18.75" customHeight="1" x14ac:dyDescent="0.35">
      <c r="A1907" s="103"/>
      <c r="C1907" s="100" t="str">
        <f>IF(OR(Fact_Contabilidad[[#This Row], [Año]]="",Fact_Contabilidad[[#This Row], [Mes]]=""),"",DATE(A1907,MATCH(B1907,{"enero","febrero","marzo","abril","mayo","junio","julio","agosto","septiembre","octubre","noviembre","diciembre"},0)+1,0))</f>
        <v/>
      </c>
      <c r="E1907" t="str">
        <f>+IFERROR(VLOOKUP(Fact_Contabilidad[[#This Row], [Concepto Anterior]],Conceptos_Contabilidad[#All],5,0),"")</f>
        <v/>
      </c>
      <c r="F1907" t="str">
        <f>+IFERROR(VLOOKUP(Fact_Contabilidad[[#This Row], 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ht="18.75" customHeight="1" x14ac:dyDescent="0.35">
      <c r="A1908" s="103"/>
      <c r="C1908" s="100" t="str">
        <f>IF(OR(Fact_Contabilidad[[#This Row], [Año]]="",Fact_Contabilidad[[#This Row], [Mes]]=""),"",DATE(A1908,MATCH(B1908,{"enero","febrero","marzo","abril","mayo","junio","julio","agosto","septiembre","octubre","noviembre","diciembre"},0)+1,0))</f>
        <v/>
      </c>
      <c r="E1908" t="str">
        <f>+IFERROR(VLOOKUP(Fact_Contabilidad[[#This Row], [Concepto Anterior]],Conceptos_Contabilidad[#All],5,0),"")</f>
        <v/>
      </c>
      <c r="F1908" t="str">
        <f>+IFERROR(VLOOKUP(Fact_Contabilidad[[#This Row], 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ht="18.75" customHeight="1" x14ac:dyDescent="0.35">
      <c r="A1909" s="103"/>
      <c r="C1909" s="100" t="str">
        <f>IF(OR(Fact_Contabilidad[[#This Row], [Año]]="",Fact_Contabilidad[[#This Row], [Mes]]=""),"",DATE(A1909,MATCH(B1909,{"enero","febrero","marzo","abril","mayo","junio","julio","agosto","septiembre","octubre","noviembre","diciembre"},0)+1,0))</f>
        <v/>
      </c>
      <c r="E1909" t="str">
        <f>+IFERROR(VLOOKUP(Fact_Contabilidad[[#This Row], [Concepto Anterior]],Conceptos_Contabilidad[#All],5,0),"")</f>
        <v/>
      </c>
      <c r="F1909" t="str">
        <f>+IFERROR(VLOOKUP(Fact_Contabilidad[[#This Row], 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ht="18.75" customHeight="1" x14ac:dyDescent="0.35">
      <c r="A1910" s="103"/>
      <c r="C1910" s="100" t="str">
        <f>IF(OR(Fact_Contabilidad[[#This Row], [Año]]="",Fact_Contabilidad[[#This Row], [Mes]]=""),"",DATE(A1910,MATCH(B1910,{"enero","febrero","marzo","abril","mayo","junio","julio","agosto","septiembre","octubre","noviembre","diciembre"},0)+1,0))</f>
        <v/>
      </c>
      <c r="E1910" t="str">
        <f>+IFERROR(VLOOKUP(Fact_Contabilidad[[#This Row], [Concepto Anterior]],Conceptos_Contabilidad[#All],5,0),"")</f>
        <v/>
      </c>
      <c r="F1910" t="str">
        <f>+IFERROR(VLOOKUP(Fact_Contabilidad[[#This Row], 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ht="18.75" customHeight="1" x14ac:dyDescent="0.35">
      <c r="A1911" s="103"/>
      <c r="C1911" s="100" t="str">
        <f>IF(OR(Fact_Contabilidad[[#This Row], [Año]]="",Fact_Contabilidad[[#This Row], [Mes]]=""),"",DATE(A1911,MATCH(B1911,{"enero","febrero","marzo","abril","mayo","junio","julio","agosto","septiembre","octubre","noviembre","diciembre"},0)+1,0))</f>
        <v/>
      </c>
      <c r="E1911" t="str">
        <f>+IFERROR(VLOOKUP(Fact_Contabilidad[[#This Row], [Concepto Anterior]],Conceptos_Contabilidad[#All],5,0),"")</f>
        <v/>
      </c>
      <c r="F1911" t="str">
        <f>+IFERROR(VLOOKUP(Fact_Contabilidad[[#This Row], 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ht="18.75" customHeight="1" x14ac:dyDescent="0.35">
      <c r="A1912" s="103"/>
      <c r="C1912" s="100" t="str">
        <f>IF(OR(Fact_Contabilidad[[#This Row], [Año]]="",Fact_Contabilidad[[#This Row], [Mes]]=""),"",DATE(A1912,MATCH(B1912,{"enero","febrero","marzo","abril","mayo","junio","julio","agosto","septiembre","octubre","noviembre","diciembre"},0)+1,0))</f>
        <v/>
      </c>
      <c r="E1912" t="str">
        <f>+IFERROR(VLOOKUP(Fact_Contabilidad[[#This Row], [Concepto Anterior]],Conceptos_Contabilidad[#All],5,0),"")</f>
        <v/>
      </c>
      <c r="F1912" t="str">
        <f>+IFERROR(VLOOKUP(Fact_Contabilidad[[#This Row], 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ht="18.75" customHeight="1" x14ac:dyDescent="0.35">
      <c r="A1913" s="103"/>
      <c r="C1913" s="100" t="str">
        <f>IF(OR(Fact_Contabilidad[[#This Row], [Año]]="",Fact_Contabilidad[[#This Row], [Mes]]=""),"",DATE(A1913,MATCH(B1913,{"enero","febrero","marzo","abril","mayo","junio","julio","agosto","septiembre","octubre","noviembre","diciembre"},0)+1,0))</f>
        <v/>
      </c>
      <c r="E1913" t="str">
        <f>+IFERROR(VLOOKUP(Fact_Contabilidad[[#This Row], [Concepto Anterior]],Conceptos_Contabilidad[#All],5,0),"")</f>
        <v/>
      </c>
      <c r="F1913" t="str">
        <f>+IFERROR(VLOOKUP(Fact_Contabilidad[[#This Row], 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ht="18.75" customHeight="1" x14ac:dyDescent="0.35">
      <c r="A1914" s="103"/>
      <c r="C1914" s="100" t="str">
        <f>IF(OR(Fact_Contabilidad[[#This Row], [Año]]="",Fact_Contabilidad[[#This Row], [Mes]]=""),"",DATE(A1914,MATCH(B1914,{"enero","febrero","marzo","abril","mayo","junio","julio","agosto","septiembre","octubre","noviembre","diciembre"},0)+1,0))</f>
        <v/>
      </c>
      <c r="E1914" t="str">
        <f>+IFERROR(VLOOKUP(Fact_Contabilidad[[#This Row], [Concepto Anterior]],Conceptos_Contabilidad[#All],5,0),"")</f>
        <v/>
      </c>
      <c r="F1914" t="str">
        <f>+IFERROR(VLOOKUP(Fact_Contabilidad[[#This Row], 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ht="18.75" customHeight="1" x14ac:dyDescent="0.35">
      <c r="A1915" s="103"/>
      <c r="C1915" s="100" t="str">
        <f>IF(OR(Fact_Contabilidad[[#This Row], [Año]]="",Fact_Contabilidad[[#This Row], [Mes]]=""),"",DATE(A1915,MATCH(B1915,{"enero","febrero","marzo","abril","mayo","junio","julio","agosto","septiembre","octubre","noviembre","diciembre"},0)+1,0))</f>
        <v/>
      </c>
      <c r="E1915" t="str">
        <f>+IFERROR(VLOOKUP(Fact_Contabilidad[[#This Row], [Concepto Anterior]],Conceptos_Contabilidad[#All],5,0),"")</f>
        <v/>
      </c>
      <c r="F1915" t="str">
        <f>+IFERROR(VLOOKUP(Fact_Contabilidad[[#This Row], 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ht="18.75" customHeight="1" x14ac:dyDescent="0.35">
      <c r="A1916" s="103"/>
      <c r="C1916" s="100" t="str">
        <f>IF(OR(Fact_Contabilidad[[#This Row], [Año]]="",Fact_Contabilidad[[#This Row], [Mes]]=""),"",DATE(A1916,MATCH(B1916,{"enero","febrero","marzo","abril","mayo","junio","julio","agosto","septiembre","octubre","noviembre","diciembre"},0)+1,0))</f>
        <v/>
      </c>
      <c r="E1916" t="str">
        <f>+IFERROR(VLOOKUP(Fact_Contabilidad[[#This Row], [Concepto Anterior]],Conceptos_Contabilidad[#All],5,0),"")</f>
        <v/>
      </c>
      <c r="F1916" t="str">
        <f>+IFERROR(VLOOKUP(Fact_Contabilidad[[#This Row], 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ht="18.75" customHeight="1" x14ac:dyDescent="0.35">
      <c r="A1917" s="103"/>
      <c r="C1917" s="100" t="str">
        <f>IF(OR(Fact_Contabilidad[[#This Row], [Año]]="",Fact_Contabilidad[[#This Row], [Mes]]=""),"",DATE(A1917,MATCH(B1917,{"enero","febrero","marzo","abril","mayo","junio","julio","agosto","septiembre","octubre","noviembre","diciembre"},0)+1,0))</f>
        <v/>
      </c>
      <c r="E1917" t="str">
        <f>+IFERROR(VLOOKUP(Fact_Contabilidad[[#This Row], [Concepto Anterior]],Conceptos_Contabilidad[#All],5,0),"")</f>
        <v/>
      </c>
      <c r="F1917" t="str">
        <f>+IFERROR(VLOOKUP(Fact_Contabilidad[[#This Row], 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ht="18.75" customHeight="1" x14ac:dyDescent="0.35">
      <c r="A1918" s="103"/>
      <c r="C1918" s="100" t="str">
        <f>IF(OR(Fact_Contabilidad[[#This Row], [Año]]="",Fact_Contabilidad[[#This Row], [Mes]]=""),"",DATE(A1918,MATCH(B1918,{"enero","febrero","marzo","abril","mayo","junio","julio","agosto","septiembre","octubre","noviembre","diciembre"},0)+1,0))</f>
        <v/>
      </c>
      <c r="E1918" t="str">
        <f>+IFERROR(VLOOKUP(Fact_Contabilidad[[#This Row], [Concepto Anterior]],Conceptos_Contabilidad[#All],5,0),"")</f>
        <v/>
      </c>
      <c r="F1918" t="str">
        <f>+IFERROR(VLOOKUP(Fact_Contabilidad[[#This Row], 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ht="18.75" customHeight="1" x14ac:dyDescent="0.35">
      <c r="A1919" s="103"/>
      <c r="C1919" s="100" t="str">
        <f>IF(OR(Fact_Contabilidad[[#This Row], [Año]]="",Fact_Contabilidad[[#This Row], [Mes]]=""),"",DATE(A1919,MATCH(B1919,{"enero","febrero","marzo","abril","mayo","junio","julio","agosto","septiembre","octubre","noviembre","diciembre"},0)+1,0))</f>
        <v/>
      </c>
      <c r="E1919" t="str">
        <f>+IFERROR(VLOOKUP(Fact_Contabilidad[[#This Row], [Concepto Anterior]],Conceptos_Contabilidad[#All],5,0),"")</f>
        <v/>
      </c>
      <c r="F1919" t="str">
        <f>+IFERROR(VLOOKUP(Fact_Contabilidad[[#This Row], 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ht="18.75" customHeight="1" x14ac:dyDescent="0.35">
      <c r="A1920" s="103"/>
      <c r="C1920" s="100" t="str">
        <f>IF(OR(Fact_Contabilidad[[#This Row], [Año]]="",Fact_Contabilidad[[#This Row], [Mes]]=""),"",DATE(A1920,MATCH(B1920,{"enero","febrero","marzo","abril","mayo","junio","julio","agosto","septiembre","octubre","noviembre","diciembre"},0)+1,0))</f>
        <v/>
      </c>
      <c r="E1920" t="str">
        <f>+IFERROR(VLOOKUP(Fact_Contabilidad[[#This Row], [Concepto Anterior]],Conceptos_Contabilidad[#All],5,0),"")</f>
        <v/>
      </c>
      <c r="F1920" t="str">
        <f>+IFERROR(VLOOKUP(Fact_Contabilidad[[#This Row], 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ht="18.75" customHeight="1" x14ac:dyDescent="0.35">
      <c r="A1921" s="103"/>
      <c r="C1921" s="100" t="str">
        <f>IF(OR(Fact_Contabilidad[[#This Row], [Año]]="",Fact_Contabilidad[[#This Row], [Mes]]=""),"",DATE(A1921,MATCH(B1921,{"enero","febrero","marzo","abril","mayo","junio","julio","agosto","septiembre","octubre","noviembre","diciembre"},0)+1,0))</f>
        <v/>
      </c>
      <c r="E1921" t="str">
        <f>+IFERROR(VLOOKUP(Fact_Contabilidad[[#This Row], [Concepto Anterior]],Conceptos_Contabilidad[#All],5,0),"")</f>
        <v/>
      </c>
      <c r="F1921" t="str">
        <f>+IFERROR(VLOOKUP(Fact_Contabilidad[[#This Row], 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ht="18.75" customHeight="1" x14ac:dyDescent="0.35">
      <c r="A1922" s="103"/>
      <c r="C1922" s="100" t="str">
        <f>IF(OR(Fact_Contabilidad[[#This Row], [Año]]="",Fact_Contabilidad[[#This Row], [Mes]]=""),"",DATE(A1922,MATCH(B1922,{"enero","febrero","marzo","abril","mayo","junio","julio","agosto","septiembre","octubre","noviembre","diciembre"},0)+1,0))</f>
        <v/>
      </c>
      <c r="E1922" t="str">
        <f>+IFERROR(VLOOKUP(Fact_Contabilidad[[#This Row], [Concepto Anterior]],Conceptos_Contabilidad[#All],5,0),"")</f>
        <v/>
      </c>
      <c r="F1922" t="str">
        <f>+IFERROR(VLOOKUP(Fact_Contabilidad[[#This Row], 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ht="18.75" customHeight="1" x14ac:dyDescent="0.35">
      <c r="A1923" s="103"/>
      <c r="C1923" s="100" t="str">
        <f>IF(OR(Fact_Contabilidad[[#This Row], [Año]]="",Fact_Contabilidad[[#This Row], [Mes]]=""),"",DATE(A1923,MATCH(B1923,{"enero","febrero","marzo","abril","mayo","junio","julio","agosto","septiembre","octubre","noviembre","diciembre"},0)+1,0))</f>
        <v/>
      </c>
      <c r="E1923" t="str">
        <f>+IFERROR(VLOOKUP(Fact_Contabilidad[[#This Row], [Concepto Anterior]],Conceptos_Contabilidad[#All],5,0),"")</f>
        <v/>
      </c>
      <c r="F1923" t="str">
        <f>+IFERROR(VLOOKUP(Fact_Contabilidad[[#This Row], 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ht="18.75" customHeight="1" x14ac:dyDescent="0.35">
      <c r="A1924" s="103"/>
      <c r="C1924" s="100" t="str">
        <f>IF(OR(Fact_Contabilidad[[#This Row], [Año]]="",Fact_Contabilidad[[#This Row], [Mes]]=""),"",DATE(A1924,MATCH(B1924,{"enero","febrero","marzo","abril","mayo","junio","julio","agosto","septiembre","octubre","noviembre","diciembre"},0)+1,0))</f>
        <v/>
      </c>
      <c r="E1924" t="str">
        <f>+IFERROR(VLOOKUP(Fact_Contabilidad[[#This Row], [Concepto Anterior]],Conceptos_Contabilidad[#All],5,0),"")</f>
        <v/>
      </c>
      <c r="F1924" t="str">
        <f>+IFERROR(VLOOKUP(Fact_Contabilidad[[#This Row], 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ht="18.75" customHeight="1" x14ac:dyDescent="0.35">
      <c r="A1925" s="103"/>
      <c r="C1925" s="100" t="str">
        <f>IF(OR(Fact_Contabilidad[[#This Row], [Año]]="",Fact_Contabilidad[[#This Row], [Mes]]=""),"",DATE(A1925,MATCH(B1925,{"enero","febrero","marzo","abril","mayo","junio","julio","agosto","septiembre","octubre","noviembre","diciembre"},0)+1,0))</f>
        <v/>
      </c>
      <c r="E1925" t="str">
        <f>+IFERROR(VLOOKUP(Fact_Contabilidad[[#This Row], [Concepto Anterior]],Conceptos_Contabilidad[#All],5,0),"")</f>
        <v/>
      </c>
      <c r="F1925" t="str">
        <f>+IFERROR(VLOOKUP(Fact_Contabilidad[[#This Row], 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ht="18.75" customHeight="1" x14ac:dyDescent="0.35">
      <c r="A1926" s="103"/>
      <c r="C1926" s="100" t="str">
        <f>IF(OR(Fact_Contabilidad[[#This Row], [Año]]="",Fact_Contabilidad[[#This Row], [Mes]]=""),"",DATE(A1926,MATCH(B1926,{"enero","febrero","marzo","abril","mayo","junio","julio","agosto","septiembre","octubre","noviembre","diciembre"},0)+1,0))</f>
        <v/>
      </c>
      <c r="E1926" t="str">
        <f>+IFERROR(VLOOKUP(Fact_Contabilidad[[#This Row], [Concepto Anterior]],Conceptos_Contabilidad[#All],5,0),"")</f>
        <v/>
      </c>
      <c r="F1926" t="str">
        <f>+IFERROR(VLOOKUP(Fact_Contabilidad[[#This Row], 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ht="18.75" customHeight="1" x14ac:dyDescent="0.35">
      <c r="A1927" s="103"/>
      <c r="C1927" s="100" t="str">
        <f>IF(OR(Fact_Contabilidad[[#This Row], [Año]]="",Fact_Contabilidad[[#This Row], [Mes]]=""),"",DATE(A1927,MATCH(B1927,{"enero","febrero","marzo","abril","mayo","junio","julio","agosto","septiembre","octubre","noviembre","diciembre"},0)+1,0))</f>
        <v/>
      </c>
      <c r="E1927" t="str">
        <f>+IFERROR(VLOOKUP(Fact_Contabilidad[[#This Row], [Concepto Anterior]],Conceptos_Contabilidad[#All],5,0),"")</f>
        <v/>
      </c>
      <c r="F1927" t="str">
        <f>+IFERROR(VLOOKUP(Fact_Contabilidad[[#This Row], 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ht="18.75" customHeight="1" x14ac:dyDescent="0.35">
      <c r="A1928" s="103"/>
      <c r="C1928" s="100" t="str">
        <f>IF(OR(Fact_Contabilidad[[#This Row], [Año]]="",Fact_Contabilidad[[#This Row], [Mes]]=""),"",DATE(A1928,MATCH(B1928,{"enero","febrero","marzo","abril","mayo","junio","julio","agosto","septiembre","octubre","noviembre","diciembre"},0)+1,0))</f>
        <v/>
      </c>
      <c r="E1928" t="str">
        <f>+IFERROR(VLOOKUP(Fact_Contabilidad[[#This Row], [Concepto Anterior]],Conceptos_Contabilidad[#All],5,0),"")</f>
        <v/>
      </c>
      <c r="F1928" t="str">
        <f>+IFERROR(VLOOKUP(Fact_Contabilidad[[#This Row], 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ht="18.75" customHeight="1" x14ac:dyDescent="0.35">
      <c r="A1929" s="103"/>
      <c r="C1929" s="100" t="str">
        <f>IF(OR(Fact_Contabilidad[[#This Row], [Año]]="",Fact_Contabilidad[[#This Row], [Mes]]=""),"",DATE(A1929,MATCH(B1929,{"enero","febrero","marzo","abril","mayo","junio","julio","agosto","septiembre","octubre","noviembre","diciembre"},0)+1,0))</f>
        <v/>
      </c>
      <c r="E1929" t="str">
        <f>+IFERROR(VLOOKUP(Fact_Contabilidad[[#This Row], [Concepto Anterior]],Conceptos_Contabilidad[#All],5,0),"")</f>
        <v/>
      </c>
      <c r="F1929" t="str">
        <f>+IFERROR(VLOOKUP(Fact_Contabilidad[[#This Row], 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ht="18.75" customHeight="1" x14ac:dyDescent="0.35">
      <c r="A1930" s="103"/>
      <c r="C1930" s="100" t="str">
        <f>IF(OR(Fact_Contabilidad[[#This Row], [Año]]="",Fact_Contabilidad[[#This Row], [Mes]]=""),"",DATE(A1930,MATCH(B1930,{"enero","febrero","marzo","abril","mayo","junio","julio","agosto","septiembre","octubre","noviembre","diciembre"},0)+1,0))</f>
        <v/>
      </c>
      <c r="E1930" t="str">
        <f>+IFERROR(VLOOKUP(Fact_Contabilidad[[#This Row], [Concepto Anterior]],Conceptos_Contabilidad[#All],5,0),"")</f>
        <v/>
      </c>
      <c r="F1930" t="str">
        <f>+IFERROR(VLOOKUP(Fact_Contabilidad[[#This Row], 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ht="18.75" customHeight="1" x14ac:dyDescent="0.35">
      <c r="A1931" s="103"/>
      <c r="C1931" s="100" t="str">
        <f>IF(OR(Fact_Contabilidad[[#This Row], [Año]]="",Fact_Contabilidad[[#This Row], [Mes]]=""),"",DATE(A1931,MATCH(B1931,{"enero","febrero","marzo","abril","mayo","junio","julio","agosto","septiembre","octubre","noviembre","diciembre"},0)+1,0))</f>
        <v/>
      </c>
      <c r="E1931" t="str">
        <f>+IFERROR(VLOOKUP(Fact_Contabilidad[[#This Row], [Concepto Anterior]],Conceptos_Contabilidad[#All],5,0),"")</f>
        <v/>
      </c>
      <c r="F1931" t="str">
        <f>+IFERROR(VLOOKUP(Fact_Contabilidad[[#This Row], 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ht="18.75" customHeight="1" x14ac:dyDescent="0.35">
      <c r="A1932" s="103"/>
      <c r="C1932" s="100" t="str">
        <f>IF(OR(Fact_Contabilidad[[#This Row], [Año]]="",Fact_Contabilidad[[#This Row], [Mes]]=""),"",DATE(A1932,MATCH(B1932,{"enero","febrero","marzo","abril","mayo","junio","julio","agosto","septiembre","octubre","noviembre","diciembre"},0)+1,0))</f>
        <v/>
      </c>
      <c r="E1932" t="str">
        <f>+IFERROR(VLOOKUP(Fact_Contabilidad[[#This Row], [Concepto Anterior]],Conceptos_Contabilidad[#All],5,0),"")</f>
        <v/>
      </c>
      <c r="F1932" t="str">
        <f>+IFERROR(VLOOKUP(Fact_Contabilidad[[#This Row], 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ht="18.75" customHeight="1" x14ac:dyDescent="0.35">
      <c r="A1933" s="103"/>
      <c r="C1933" s="100" t="str">
        <f>IF(OR(Fact_Contabilidad[[#This Row], [Año]]="",Fact_Contabilidad[[#This Row], [Mes]]=""),"",DATE(A1933,MATCH(B1933,{"enero","febrero","marzo","abril","mayo","junio","julio","agosto","septiembre","octubre","noviembre","diciembre"},0)+1,0))</f>
        <v/>
      </c>
      <c r="E1933" t="str">
        <f>+IFERROR(VLOOKUP(Fact_Contabilidad[[#This Row], [Concepto Anterior]],Conceptos_Contabilidad[#All],5,0),"")</f>
        <v/>
      </c>
      <c r="F1933" t="str">
        <f>+IFERROR(VLOOKUP(Fact_Contabilidad[[#This Row], 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ht="18.75" customHeight="1" x14ac:dyDescent="0.35">
      <c r="A1934" s="103"/>
      <c r="C1934" s="100" t="str">
        <f>IF(OR(Fact_Contabilidad[[#This Row], [Año]]="",Fact_Contabilidad[[#This Row], [Mes]]=""),"",DATE(A1934,MATCH(B1934,{"enero","febrero","marzo","abril","mayo","junio","julio","agosto","septiembre","octubre","noviembre","diciembre"},0)+1,0))</f>
        <v/>
      </c>
      <c r="E1934" t="str">
        <f>+IFERROR(VLOOKUP(Fact_Contabilidad[[#This Row], [Concepto Anterior]],Conceptos_Contabilidad[#All],5,0),"")</f>
        <v/>
      </c>
      <c r="F1934" t="str">
        <f>+IFERROR(VLOOKUP(Fact_Contabilidad[[#This Row], 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ht="18.75" customHeight="1" x14ac:dyDescent="0.35">
      <c r="A1935" s="103"/>
      <c r="C1935" s="100" t="str">
        <f>IF(OR(Fact_Contabilidad[[#This Row], [Año]]="",Fact_Contabilidad[[#This Row], [Mes]]=""),"",DATE(A1935,MATCH(B1935,{"enero","febrero","marzo","abril","mayo","junio","julio","agosto","septiembre","octubre","noviembre","diciembre"},0)+1,0))</f>
        <v/>
      </c>
      <c r="E1935" t="str">
        <f>+IFERROR(VLOOKUP(Fact_Contabilidad[[#This Row], [Concepto Anterior]],Conceptos_Contabilidad[#All],5,0),"")</f>
        <v/>
      </c>
      <c r="F1935" t="str">
        <f>+IFERROR(VLOOKUP(Fact_Contabilidad[[#This Row], 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ht="18.75" customHeight="1" x14ac:dyDescent="0.35">
      <c r="A1936" s="103"/>
      <c r="C1936" s="100" t="str">
        <f>IF(OR(Fact_Contabilidad[[#This Row], [Año]]="",Fact_Contabilidad[[#This Row], [Mes]]=""),"",DATE(A1936,MATCH(B1936,{"enero","febrero","marzo","abril","mayo","junio","julio","agosto","septiembre","octubre","noviembre","diciembre"},0)+1,0))</f>
        <v/>
      </c>
      <c r="E1936" t="str">
        <f>+IFERROR(VLOOKUP(Fact_Contabilidad[[#This Row], [Concepto Anterior]],Conceptos_Contabilidad[#All],5,0),"")</f>
        <v/>
      </c>
      <c r="F1936" t="str">
        <f>+IFERROR(VLOOKUP(Fact_Contabilidad[[#This Row], 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ht="18.75" customHeight="1" x14ac:dyDescent="0.35">
      <c r="A1937" s="103"/>
      <c r="C1937" s="100" t="str">
        <f>IF(OR(Fact_Contabilidad[[#This Row], [Año]]="",Fact_Contabilidad[[#This Row], [Mes]]=""),"",DATE(A1937,MATCH(B1937,{"enero","febrero","marzo","abril","mayo","junio","julio","agosto","septiembre","octubre","noviembre","diciembre"},0)+1,0))</f>
        <v/>
      </c>
      <c r="E1937" t="str">
        <f>+IFERROR(VLOOKUP(Fact_Contabilidad[[#This Row], [Concepto Anterior]],Conceptos_Contabilidad[#All],5,0),"")</f>
        <v/>
      </c>
      <c r="F1937" t="str">
        <f>+IFERROR(VLOOKUP(Fact_Contabilidad[[#This Row], 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ht="18.75" customHeight="1" x14ac:dyDescent="0.35">
      <c r="A1938" s="103"/>
      <c r="C1938" s="100" t="str">
        <f>IF(OR(Fact_Contabilidad[[#This Row], [Año]]="",Fact_Contabilidad[[#This Row], [Mes]]=""),"",DATE(A1938,MATCH(B1938,{"enero","febrero","marzo","abril","mayo","junio","julio","agosto","septiembre","octubre","noviembre","diciembre"},0)+1,0))</f>
        <v/>
      </c>
      <c r="E1938" t="str">
        <f>+IFERROR(VLOOKUP(Fact_Contabilidad[[#This Row], [Concepto Anterior]],Conceptos_Contabilidad[#All],5,0),"")</f>
        <v/>
      </c>
      <c r="F1938" t="str">
        <f>+IFERROR(VLOOKUP(Fact_Contabilidad[[#This Row], 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ht="18.75" customHeight="1" x14ac:dyDescent="0.35">
      <c r="A1939" s="103"/>
      <c r="C1939" s="100" t="str">
        <f>IF(OR(Fact_Contabilidad[[#This Row], [Año]]="",Fact_Contabilidad[[#This Row], [Mes]]=""),"",DATE(A1939,MATCH(B1939,{"enero","febrero","marzo","abril","mayo","junio","julio","agosto","septiembre","octubre","noviembre","diciembre"},0)+1,0))</f>
        <v/>
      </c>
      <c r="E1939" t="str">
        <f>+IFERROR(VLOOKUP(Fact_Contabilidad[[#This Row], [Concepto Anterior]],Conceptos_Contabilidad[#All],5,0),"")</f>
        <v/>
      </c>
      <c r="F1939" t="str">
        <f>+IFERROR(VLOOKUP(Fact_Contabilidad[[#This Row], 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ht="18.75" customHeight="1" x14ac:dyDescent="0.35">
      <c r="A1940" s="103"/>
      <c r="C1940" s="100" t="str">
        <f>IF(OR(Fact_Contabilidad[[#This Row], [Año]]="",Fact_Contabilidad[[#This Row], [Mes]]=""),"",DATE(A1940,MATCH(B1940,{"enero","febrero","marzo","abril","mayo","junio","julio","agosto","septiembre","octubre","noviembre","diciembre"},0)+1,0))</f>
        <v/>
      </c>
      <c r="E1940" t="str">
        <f>+IFERROR(VLOOKUP(Fact_Contabilidad[[#This Row], [Concepto Anterior]],Conceptos_Contabilidad[#All],5,0),"")</f>
        <v/>
      </c>
      <c r="F1940" t="str">
        <f>+IFERROR(VLOOKUP(Fact_Contabilidad[[#This Row], 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ht="18.75" customHeight="1" x14ac:dyDescent="0.35">
      <c r="A1941" s="103"/>
      <c r="C1941" s="100" t="str">
        <f>IF(OR(Fact_Contabilidad[[#This Row], [Año]]="",Fact_Contabilidad[[#This Row], [Mes]]=""),"",DATE(A1941,MATCH(B1941,{"enero","febrero","marzo","abril","mayo","junio","julio","agosto","septiembre","octubre","noviembre","diciembre"},0)+1,0))</f>
        <v/>
      </c>
      <c r="E1941" t="str">
        <f>+IFERROR(VLOOKUP(Fact_Contabilidad[[#This Row], [Concepto Anterior]],Conceptos_Contabilidad[#All],5,0),"")</f>
        <v/>
      </c>
      <c r="F1941" t="str">
        <f>+IFERROR(VLOOKUP(Fact_Contabilidad[[#This Row], 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ht="18.75" customHeight="1" x14ac:dyDescent="0.35">
      <c r="A1942" s="103"/>
      <c r="C1942" s="100" t="str">
        <f>IF(OR(Fact_Contabilidad[[#This Row], [Año]]="",Fact_Contabilidad[[#This Row], [Mes]]=""),"",DATE(A1942,MATCH(B1942,{"enero","febrero","marzo","abril","mayo","junio","julio","agosto","septiembre","octubre","noviembre","diciembre"},0)+1,0))</f>
        <v/>
      </c>
      <c r="E1942" t="str">
        <f>+IFERROR(VLOOKUP(Fact_Contabilidad[[#This Row], [Concepto Anterior]],Conceptos_Contabilidad[#All],5,0),"")</f>
        <v/>
      </c>
      <c r="F1942" t="str">
        <f>+IFERROR(VLOOKUP(Fact_Contabilidad[[#This Row], 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ht="18.75" customHeight="1" x14ac:dyDescent="0.35">
      <c r="A1943" s="103"/>
      <c r="C1943" s="100" t="str">
        <f>IF(OR(Fact_Contabilidad[[#This Row], [Año]]="",Fact_Contabilidad[[#This Row], [Mes]]=""),"",DATE(A1943,MATCH(B1943,{"enero","febrero","marzo","abril","mayo","junio","julio","agosto","septiembre","octubre","noviembre","diciembre"},0)+1,0))</f>
        <v/>
      </c>
      <c r="E1943" t="str">
        <f>+IFERROR(VLOOKUP(Fact_Contabilidad[[#This Row], [Concepto Anterior]],Conceptos_Contabilidad[#All],5,0),"")</f>
        <v/>
      </c>
      <c r="F1943" t="str">
        <f>+IFERROR(VLOOKUP(Fact_Contabilidad[[#This Row], 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ht="18.75" customHeight="1" x14ac:dyDescent="0.35">
      <c r="A1944" s="103"/>
      <c r="C1944" s="100" t="str">
        <f>IF(OR(Fact_Contabilidad[[#This Row], [Año]]="",Fact_Contabilidad[[#This Row], [Mes]]=""),"",DATE(A1944,MATCH(B1944,{"enero","febrero","marzo","abril","mayo","junio","julio","agosto","septiembre","octubre","noviembre","diciembre"},0)+1,0))</f>
        <v/>
      </c>
      <c r="E1944" t="str">
        <f>+IFERROR(VLOOKUP(Fact_Contabilidad[[#This Row], [Concepto Anterior]],Conceptos_Contabilidad[#All],5,0),"")</f>
        <v/>
      </c>
      <c r="F1944" t="str">
        <f>+IFERROR(VLOOKUP(Fact_Contabilidad[[#This Row], 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ht="18.75" customHeight="1" x14ac:dyDescent="0.35">
      <c r="A1945" s="103"/>
      <c r="C1945" s="100" t="str">
        <f>IF(OR(Fact_Contabilidad[[#This Row], [Año]]="",Fact_Contabilidad[[#This Row], [Mes]]=""),"",DATE(A1945,MATCH(B1945,{"enero","febrero","marzo","abril","mayo","junio","julio","agosto","septiembre","octubre","noviembre","diciembre"},0)+1,0))</f>
        <v/>
      </c>
      <c r="E1945" t="str">
        <f>+IFERROR(VLOOKUP(Fact_Contabilidad[[#This Row], [Concepto Anterior]],Conceptos_Contabilidad[#All],5,0),"")</f>
        <v/>
      </c>
      <c r="F1945" t="str">
        <f>+IFERROR(VLOOKUP(Fact_Contabilidad[[#This Row], 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ht="18.75" customHeight="1" x14ac:dyDescent="0.35">
      <c r="A1946" s="103"/>
      <c r="C1946" s="100" t="str">
        <f>IF(OR(Fact_Contabilidad[[#This Row], [Año]]="",Fact_Contabilidad[[#This Row], [Mes]]=""),"",DATE(A1946,MATCH(B1946,{"enero","febrero","marzo","abril","mayo","junio","julio","agosto","septiembre","octubre","noviembre","diciembre"},0)+1,0))</f>
        <v/>
      </c>
      <c r="E1946" t="str">
        <f>+IFERROR(VLOOKUP(Fact_Contabilidad[[#This Row], [Concepto Anterior]],Conceptos_Contabilidad[#All],5,0),"")</f>
        <v/>
      </c>
      <c r="F1946" t="str">
        <f>+IFERROR(VLOOKUP(Fact_Contabilidad[[#This Row], 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ht="18.75" customHeight="1" x14ac:dyDescent="0.35">
      <c r="A1947" s="103"/>
      <c r="C1947" s="100" t="str">
        <f>IF(OR(Fact_Contabilidad[[#This Row], [Año]]="",Fact_Contabilidad[[#This Row], [Mes]]=""),"",DATE(A1947,MATCH(B1947,{"enero","febrero","marzo","abril","mayo","junio","julio","agosto","septiembre","octubre","noviembre","diciembre"},0)+1,0))</f>
        <v/>
      </c>
      <c r="E1947" t="str">
        <f>+IFERROR(VLOOKUP(Fact_Contabilidad[[#This Row], [Concepto Anterior]],Conceptos_Contabilidad[#All],5,0),"")</f>
        <v/>
      </c>
      <c r="F1947" t="str">
        <f>+IFERROR(VLOOKUP(Fact_Contabilidad[[#This Row], 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ht="18.75" customHeight="1" x14ac:dyDescent="0.35">
      <c r="A1948" s="103"/>
      <c r="C1948" s="100" t="str">
        <f>IF(OR(Fact_Contabilidad[[#This Row], [Año]]="",Fact_Contabilidad[[#This Row], [Mes]]=""),"",DATE(A1948,MATCH(B1948,{"enero","febrero","marzo","abril","mayo","junio","julio","agosto","septiembre","octubre","noviembre","diciembre"},0)+1,0))</f>
        <v/>
      </c>
      <c r="E1948" t="str">
        <f>+IFERROR(VLOOKUP(Fact_Contabilidad[[#This Row], [Concepto Anterior]],Conceptos_Contabilidad[#All],5,0),"")</f>
        <v/>
      </c>
      <c r="F1948" t="str">
        <f>+IFERROR(VLOOKUP(Fact_Contabilidad[[#This Row], 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ht="18.75" customHeight="1" x14ac:dyDescent="0.35">
      <c r="A1949" s="103"/>
      <c r="C1949" s="100" t="str">
        <f>IF(OR(Fact_Contabilidad[[#This Row], [Año]]="",Fact_Contabilidad[[#This Row], [Mes]]=""),"",DATE(A1949,MATCH(B1949,{"enero","febrero","marzo","abril","mayo","junio","julio","agosto","septiembre","octubre","noviembre","diciembre"},0)+1,0))</f>
        <v/>
      </c>
      <c r="E1949" t="str">
        <f>+IFERROR(VLOOKUP(Fact_Contabilidad[[#This Row], [Concepto Anterior]],Conceptos_Contabilidad[#All],5,0),"")</f>
        <v/>
      </c>
      <c r="F1949" t="str">
        <f>+IFERROR(VLOOKUP(Fact_Contabilidad[[#This Row], 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ht="18.75" customHeight="1" x14ac:dyDescent="0.35">
      <c r="A1950" s="103"/>
      <c r="C1950" s="100" t="str">
        <f>IF(OR(Fact_Contabilidad[[#This Row], [Año]]="",Fact_Contabilidad[[#This Row], [Mes]]=""),"",DATE(A1950,MATCH(B1950,{"enero","febrero","marzo","abril","mayo","junio","julio","agosto","septiembre","octubre","noviembre","diciembre"},0)+1,0))</f>
        <v/>
      </c>
      <c r="E1950" t="str">
        <f>+IFERROR(VLOOKUP(Fact_Contabilidad[[#This Row], [Concepto Anterior]],Conceptos_Contabilidad[#All],5,0),"")</f>
        <v/>
      </c>
      <c r="F1950" t="str">
        <f>+IFERROR(VLOOKUP(Fact_Contabilidad[[#This Row], 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ht="18.75" customHeight="1" x14ac:dyDescent="0.35">
      <c r="A1951" s="103"/>
      <c r="C1951" s="100" t="str">
        <f>IF(OR(Fact_Contabilidad[[#This Row], [Año]]="",Fact_Contabilidad[[#This Row], [Mes]]=""),"",DATE(A1951,MATCH(B1951,{"enero","febrero","marzo","abril","mayo","junio","julio","agosto","septiembre","octubre","noviembre","diciembre"},0)+1,0))</f>
        <v/>
      </c>
      <c r="E1951" t="str">
        <f>+IFERROR(VLOOKUP(Fact_Contabilidad[[#This Row], [Concepto Anterior]],Conceptos_Contabilidad[#All],5,0),"")</f>
        <v/>
      </c>
      <c r="F1951" t="str">
        <f>+IFERROR(VLOOKUP(Fact_Contabilidad[[#This Row], 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ht="18.75" customHeight="1" x14ac:dyDescent="0.35">
      <c r="A1952" s="103"/>
      <c r="C1952" s="100" t="str">
        <f>IF(OR(Fact_Contabilidad[[#This Row], [Año]]="",Fact_Contabilidad[[#This Row], [Mes]]=""),"",DATE(A1952,MATCH(B1952,{"enero","febrero","marzo","abril","mayo","junio","julio","agosto","septiembre","octubre","noviembre","diciembre"},0)+1,0))</f>
        <v/>
      </c>
      <c r="E1952" t="str">
        <f>+IFERROR(VLOOKUP(Fact_Contabilidad[[#This Row], [Concepto Anterior]],Conceptos_Contabilidad[#All],5,0),"")</f>
        <v/>
      </c>
      <c r="F1952" t="str">
        <f>+IFERROR(VLOOKUP(Fact_Contabilidad[[#This Row], 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ht="18.75" customHeight="1" x14ac:dyDescent="0.35">
      <c r="A1953" s="103"/>
      <c r="C1953" s="100" t="str">
        <f>IF(OR(Fact_Contabilidad[[#This Row], [Año]]="",Fact_Contabilidad[[#This Row], [Mes]]=""),"",DATE(A1953,MATCH(B1953,{"enero","febrero","marzo","abril","mayo","junio","julio","agosto","septiembre","octubre","noviembre","diciembre"},0)+1,0))</f>
        <v/>
      </c>
      <c r="E1953" t="str">
        <f>+IFERROR(VLOOKUP(Fact_Contabilidad[[#This Row], [Concepto Anterior]],Conceptos_Contabilidad[#All],5,0),"")</f>
        <v/>
      </c>
      <c r="F1953" t="str">
        <f>+IFERROR(VLOOKUP(Fact_Contabilidad[[#This Row], 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ht="18.75" customHeight="1" x14ac:dyDescent="0.35">
      <c r="A1954" s="103"/>
      <c r="C1954" s="100" t="str">
        <f>IF(OR(Fact_Contabilidad[[#This Row], [Año]]="",Fact_Contabilidad[[#This Row], [Mes]]=""),"",DATE(A1954,MATCH(B1954,{"enero","febrero","marzo","abril","mayo","junio","julio","agosto","septiembre","octubre","noviembre","diciembre"},0)+1,0))</f>
        <v/>
      </c>
      <c r="E1954" t="str">
        <f>+IFERROR(VLOOKUP(Fact_Contabilidad[[#This Row], [Concepto Anterior]],Conceptos_Contabilidad[#All],5,0),"")</f>
        <v/>
      </c>
      <c r="F1954" t="str">
        <f>+IFERROR(VLOOKUP(Fact_Contabilidad[[#This Row], 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ht="18.75" customHeight="1" x14ac:dyDescent="0.35">
      <c r="A1955" s="103"/>
      <c r="C1955" s="100" t="str">
        <f>IF(OR(Fact_Contabilidad[[#This Row], [Año]]="",Fact_Contabilidad[[#This Row], [Mes]]=""),"",DATE(A1955,MATCH(B1955,{"enero","febrero","marzo","abril","mayo","junio","julio","agosto","septiembre","octubre","noviembre","diciembre"},0)+1,0))</f>
        <v/>
      </c>
      <c r="E1955" t="str">
        <f>+IFERROR(VLOOKUP(Fact_Contabilidad[[#This Row], [Concepto Anterior]],Conceptos_Contabilidad[#All],5,0),"")</f>
        <v/>
      </c>
      <c r="F1955" t="str">
        <f>+IFERROR(VLOOKUP(Fact_Contabilidad[[#This Row], 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ht="18.75" customHeight="1" x14ac:dyDescent="0.35">
      <c r="A1956" s="103"/>
      <c r="C1956" s="100" t="str">
        <f>IF(OR(Fact_Contabilidad[[#This Row], [Año]]="",Fact_Contabilidad[[#This Row], [Mes]]=""),"",DATE(A1956,MATCH(B1956,{"enero","febrero","marzo","abril","mayo","junio","julio","agosto","septiembre","octubre","noviembre","diciembre"},0)+1,0))</f>
        <v/>
      </c>
      <c r="E1956" t="str">
        <f>+IFERROR(VLOOKUP(Fact_Contabilidad[[#This Row], [Concepto Anterior]],Conceptos_Contabilidad[#All],5,0),"")</f>
        <v/>
      </c>
      <c r="F1956" t="str">
        <f>+IFERROR(VLOOKUP(Fact_Contabilidad[[#This Row], 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ht="18.75" customHeight="1" x14ac:dyDescent="0.35">
      <c r="A1957" s="103"/>
      <c r="C1957" s="100" t="str">
        <f>IF(OR(Fact_Contabilidad[[#This Row], [Año]]="",Fact_Contabilidad[[#This Row], [Mes]]=""),"",DATE(A1957,MATCH(B1957,{"enero","febrero","marzo","abril","mayo","junio","julio","agosto","septiembre","octubre","noviembre","diciembre"},0)+1,0))</f>
        <v/>
      </c>
      <c r="E1957" t="str">
        <f>+IFERROR(VLOOKUP(Fact_Contabilidad[[#This Row], [Concepto Anterior]],Conceptos_Contabilidad[#All],5,0),"")</f>
        <v/>
      </c>
      <c r="F1957" t="str">
        <f>+IFERROR(VLOOKUP(Fact_Contabilidad[[#This Row], 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ht="18.75" customHeight="1" x14ac:dyDescent="0.35">
      <c r="A1958" s="103"/>
      <c r="C1958" s="100" t="str">
        <f>IF(OR(Fact_Contabilidad[[#This Row], [Año]]="",Fact_Contabilidad[[#This Row], [Mes]]=""),"",DATE(A1958,MATCH(B1958,{"enero","febrero","marzo","abril","mayo","junio","julio","agosto","septiembre","octubre","noviembre","diciembre"},0)+1,0))</f>
        <v/>
      </c>
      <c r="E1958" t="str">
        <f>+IFERROR(VLOOKUP(Fact_Contabilidad[[#This Row], [Concepto Anterior]],Conceptos_Contabilidad[#All],5,0),"")</f>
        <v/>
      </c>
      <c r="F1958" t="str">
        <f>+IFERROR(VLOOKUP(Fact_Contabilidad[[#This Row], 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ht="18.75" customHeight="1" x14ac:dyDescent="0.35">
      <c r="A1959" s="103"/>
      <c r="C1959" s="100" t="str">
        <f>IF(OR(Fact_Contabilidad[[#This Row], [Año]]="",Fact_Contabilidad[[#This Row], [Mes]]=""),"",DATE(A1959,MATCH(B1959,{"enero","febrero","marzo","abril","mayo","junio","julio","agosto","septiembre","octubre","noviembre","diciembre"},0)+1,0))</f>
        <v/>
      </c>
      <c r="E1959" t="str">
        <f>+IFERROR(VLOOKUP(Fact_Contabilidad[[#This Row], [Concepto Anterior]],Conceptos_Contabilidad[#All],5,0),"")</f>
        <v/>
      </c>
      <c r="F1959" t="str">
        <f>+IFERROR(VLOOKUP(Fact_Contabilidad[[#This Row], 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ht="18.75" customHeight="1" x14ac:dyDescent="0.35">
      <c r="A1960" s="103"/>
      <c r="C1960" s="100" t="str">
        <f>IF(OR(Fact_Contabilidad[[#This Row], [Año]]="",Fact_Contabilidad[[#This Row], [Mes]]=""),"",DATE(A1960,MATCH(B1960,{"enero","febrero","marzo","abril","mayo","junio","julio","agosto","septiembre","octubre","noviembre","diciembre"},0)+1,0))</f>
        <v/>
      </c>
      <c r="E1960" t="str">
        <f>+IFERROR(VLOOKUP(Fact_Contabilidad[[#This Row], [Concepto Anterior]],Conceptos_Contabilidad[#All],5,0),"")</f>
        <v/>
      </c>
      <c r="F1960" t="str">
        <f>+IFERROR(VLOOKUP(Fact_Contabilidad[[#This Row], 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ht="18.75" customHeight="1" x14ac:dyDescent="0.35">
      <c r="A1961" s="103"/>
      <c r="C1961" s="100" t="str">
        <f>IF(OR(Fact_Contabilidad[[#This Row], [Año]]="",Fact_Contabilidad[[#This Row], [Mes]]=""),"",DATE(A1961,MATCH(B1961,{"enero","febrero","marzo","abril","mayo","junio","julio","agosto","septiembre","octubre","noviembre","diciembre"},0)+1,0))</f>
        <v/>
      </c>
      <c r="E1961" t="str">
        <f>+IFERROR(VLOOKUP(Fact_Contabilidad[[#This Row], [Concepto Anterior]],Conceptos_Contabilidad[#All],5,0),"")</f>
        <v/>
      </c>
      <c r="F1961" t="str">
        <f>+IFERROR(VLOOKUP(Fact_Contabilidad[[#This Row], 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ht="18.75" customHeight="1" x14ac:dyDescent="0.35">
      <c r="A1962" s="103"/>
      <c r="C1962" s="100" t="str">
        <f>IF(OR(Fact_Contabilidad[[#This Row], [Año]]="",Fact_Contabilidad[[#This Row], [Mes]]=""),"",DATE(A1962,MATCH(B1962,{"enero","febrero","marzo","abril","mayo","junio","julio","agosto","septiembre","octubre","noviembre","diciembre"},0)+1,0))</f>
        <v/>
      </c>
      <c r="E1962" t="str">
        <f>+IFERROR(VLOOKUP(Fact_Contabilidad[[#This Row], [Concepto Anterior]],Conceptos_Contabilidad[#All],5,0),"")</f>
        <v/>
      </c>
      <c r="F1962" t="str">
        <f>+IFERROR(VLOOKUP(Fact_Contabilidad[[#This Row], 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ht="18.75" customHeight="1" x14ac:dyDescent="0.35">
      <c r="A1963" s="103"/>
      <c r="C1963" s="100" t="str">
        <f>IF(OR(Fact_Contabilidad[[#This Row], [Año]]="",Fact_Contabilidad[[#This Row], [Mes]]=""),"",DATE(A1963,MATCH(B1963,{"enero","febrero","marzo","abril","mayo","junio","julio","agosto","septiembre","octubre","noviembre","diciembre"},0)+1,0))</f>
        <v/>
      </c>
      <c r="E1963" t="str">
        <f>+IFERROR(VLOOKUP(Fact_Contabilidad[[#This Row], [Concepto Anterior]],Conceptos_Contabilidad[#All],5,0),"")</f>
        <v/>
      </c>
      <c r="F1963" t="str">
        <f>+IFERROR(VLOOKUP(Fact_Contabilidad[[#This Row], 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ht="18.75" customHeight="1" x14ac:dyDescent="0.35">
      <c r="A1964" s="103"/>
      <c r="C1964" s="100" t="str">
        <f>IF(OR(Fact_Contabilidad[[#This Row], [Año]]="",Fact_Contabilidad[[#This Row], [Mes]]=""),"",DATE(A1964,MATCH(B1964,{"enero","febrero","marzo","abril","mayo","junio","julio","agosto","septiembre","octubre","noviembre","diciembre"},0)+1,0))</f>
        <v/>
      </c>
      <c r="E1964" t="str">
        <f>+IFERROR(VLOOKUP(Fact_Contabilidad[[#This Row], [Concepto Anterior]],Conceptos_Contabilidad[#All],5,0),"")</f>
        <v/>
      </c>
      <c r="F1964" t="str">
        <f>+IFERROR(VLOOKUP(Fact_Contabilidad[[#This Row], 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ht="18.75" customHeight="1" x14ac:dyDescent="0.35">
      <c r="A1965" s="103"/>
      <c r="C1965" s="100" t="str">
        <f>IF(OR(Fact_Contabilidad[[#This Row], [Año]]="",Fact_Contabilidad[[#This Row], [Mes]]=""),"",DATE(A1965,MATCH(B1965,{"enero","febrero","marzo","abril","mayo","junio","julio","agosto","septiembre","octubre","noviembre","diciembre"},0)+1,0))</f>
        <v/>
      </c>
      <c r="E1965" t="str">
        <f>+IFERROR(VLOOKUP(Fact_Contabilidad[[#This Row], [Concepto Anterior]],Conceptos_Contabilidad[#All],5,0),"")</f>
        <v/>
      </c>
      <c r="F1965" t="str">
        <f>+IFERROR(VLOOKUP(Fact_Contabilidad[[#This Row], 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ht="18.75" customHeight="1" x14ac:dyDescent="0.35">
      <c r="A1966" s="103"/>
      <c r="C1966" s="100" t="str">
        <f>IF(OR(Fact_Contabilidad[[#This Row], [Año]]="",Fact_Contabilidad[[#This Row], [Mes]]=""),"",DATE(A1966,MATCH(B1966,{"enero","febrero","marzo","abril","mayo","junio","julio","agosto","septiembre","octubre","noviembre","diciembre"},0)+1,0))</f>
        <v/>
      </c>
      <c r="E1966" t="str">
        <f>+IFERROR(VLOOKUP(Fact_Contabilidad[[#This Row], [Concepto Anterior]],Conceptos_Contabilidad[#All],5,0),"")</f>
        <v/>
      </c>
      <c r="F1966" t="str">
        <f>+IFERROR(VLOOKUP(Fact_Contabilidad[[#This Row], 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ht="18.75" customHeight="1" x14ac:dyDescent="0.35">
      <c r="A1967" s="103"/>
      <c r="C1967" s="100" t="str">
        <f>IF(OR(Fact_Contabilidad[[#This Row], [Año]]="",Fact_Contabilidad[[#This Row], [Mes]]=""),"",DATE(A1967,MATCH(B1967,{"enero","febrero","marzo","abril","mayo","junio","julio","agosto","septiembre","octubre","noviembre","diciembre"},0)+1,0))</f>
        <v/>
      </c>
      <c r="E1967" t="str">
        <f>+IFERROR(VLOOKUP(Fact_Contabilidad[[#This Row], [Concepto Anterior]],Conceptos_Contabilidad[#All],5,0),"")</f>
        <v/>
      </c>
      <c r="F1967" t="str">
        <f>+IFERROR(VLOOKUP(Fact_Contabilidad[[#This Row], 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ht="18.75" customHeight="1" x14ac:dyDescent="0.35">
      <c r="A1968" s="103"/>
      <c r="C1968" s="100" t="str">
        <f>IF(OR(Fact_Contabilidad[[#This Row], [Año]]="",Fact_Contabilidad[[#This Row], [Mes]]=""),"",DATE(A1968,MATCH(B1968,{"enero","febrero","marzo","abril","mayo","junio","julio","agosto","septiembre","octubre","noviembre","diciembre"},0)+1,0))</f>
        <v/>
      </c>
      <c r="E1968" t="str">
        <f>+IFERROR(VLOOKUP(Fact_Contabilidad[[#This Row], [Concepto Anterior]],Conceptos_Contabilidad[#All],5,0),"")</f>
        <v/>
      </c>
      <c r="F1968" t="str">
        <f>+IFERROR(VLOOKUP(Fact_Contabilidad[[#This Row], 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ht="18.75" customHeight="1" x14ac:dyDescent="0.35">
      <c r="A1969" s="103"/>
      <c r="C1969" s="100" t="str">
        <f>IF(OR(Fact_Contabilidad[[#This Row], [Año]]="",Fact_Contabilidad[[#This Row], [Mes]]=""),"",DATE(A1969,MATCH(B1969,{"enero","febrero","marzo","abril","mayo","junio","julio","agosto","septiembre","octubre","noviembre","diciembre"},0)+1,0))</f>
        <v/>
      </c>
      <c r="E1969" t="str">
        <f>+IFERROR(VLOOKUP(Fact_Contabilidad[[#This Row], [Concepto Anterior]],Conceptos_Contabilidad[#All],5,0),"")</f>
        <v/>
      </c>
      <c r="F1969" t="str">
        <f>+IFERROR(VLOOKUP(Fact_Contabilidad[[#This Row], 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ht="18.75" customHeight="1" x14ac:dyDescent="0.35">
      <c r="A1970" s="103"/>
      <c r="C1970" s="100" t="str">
        <f>IF(OR(Fact_Contabilidad[[#This Row], [Año]]="",Fact_Contabilidad[[#This Row], [Mes]]=""),"",DATE(A1970,MATCH(B1970,{"enero","febrero","marzo","abril","mayo","junio","julio","agosto","septiembre","octubre","noviembre","diciembre"},0)+1,0))</f>
        <v/>
      </c>
      <c r="E1970" t="str">
        <f>+IFERROR(VLOOKUP(Fact_Contabilidad[[#This Row], [Concepto Anterior]],Conceptos_Contabilidad[#All],5,0),"")</f>
        <v/>
      </c>
      <c r="F1970" t="str">
        <f>+IFERROR(VLOOKUP(Fact_Contabilidad[[#This Row], 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ht="18.75" customHeight="1" x14ac:dyDescent="0.35">
      <c r="A1971" s="103"/>
      <c r="C1971" s="100" t="str">
        <f>IF(OR(Fact_Contabilidad[[#This Row], [Año]]="",Fact_Contabilidad[[#This Row], [Mes]]=""),"",DATE(A1971,MATCH(B1971,{"enero","febrero","marzo","abril","mayo","junio","julio","agosto","septiembre","octubre","noviembre","diciembre"},0)+1,0))</f>
        <v/>
      </c>
      <c r="E1971" t="str">
        <f>+IFERROR(VLOOKUP(Fact_Contabilidad[[#This Row], [Concepto Anterior]],Conceptos_Contabilidad[#All],5,0),"")</f>
        <v/>
      </c>
      <c r="F1971" t="str">
        <f>+IFERROR(VLOOKUP(Fact_Contabilidad[[#This Row], 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ht="18.75" customHeight="1" x14ac:dyDescent="0.35">
      <c r="A1972" s="103"/>
      <c r="C1972" s="100" t="str">
        <f>IF(OR(Fact_Contabilidad[[#This Row], [Año]]="",Fact_Contabilidad[[#This Row], [Mes]]=""),"",DATE(A1972,MATCH(B1972,{"enero","febrero","marzo","abril","mayo","junio","julio","agosto","septiembre","octubre","noviembre","diciembre"},0)+1,0))</f>
        <v/>
      </c>
      <c r="E1972" t="str">
        <f>+IFERROR(VLOOKUP(Fact_Contabilidad[[#This Row], [Concepto Anterior]],Conceptos_Contabilidad[#All],5,0),"")</f>
        <v/>
      </c>
      <c r="F1972" t="str">
        <f>+IFERROR(VLOOKUP(Fact_Contabilidad[[#This Row], 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ht="18.75" customHeight="1" x14ac:dyDescent="0.35">
      <c r="A1973" s="103"/>
      <c r="C1973" s="100" t="str">
        <f>IF(OR(Fact_Contabilidad[[#This Row], [Año]]="",Fact_Contabilidad[[#This Row], [Mes]]=""),"",DATE(A1973,MATCH(B1973,{"enero","febrero","marzo","abril","mayo","junio","julio","agosto","septiembre","octubre","noviembre","diciembre"},0)+1,0))</f>
        <v/>
      </c>
      <c r="E1973" t="str">
        <f>+IFERROR(VLOOKUP(Fact_Contabilidad[[#This Row], [Concepto Anterior]],Conceptos_Contabilidad[#All],5,0),"")</f>
        <v/>
      </c>
      <c r="F1973" t="str">
        <f>+IFERROR(VLOOKUP(Fact_Contabilidad[[#This Row], 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ht="18.75" customHeight="1" x14ac:dyDescent="0.35">
      <c r="A1974" s="103"/>
      <c r="C1974" s="100" t="str">
        <f>IF(OR(Fact_Contabilidad[[#This Row], [Año]]="",Fact_Contabilidad[[#This Row], [Mes]]=""),"",DATE(A1974,MATCH(B1974,{"enero","febrero","marzo","abril","mayo","junio","julio","agosto","septiembre","octubre","noviembre","diciembre"},0)+1,0))</f>
        <v/>
      </c>
      <c r="E1974" t="str">
        <f>+IFERROR(VLOOKUP(Fact_Contabilidad[[#This Row], [Concepto Anterior]],Conceptos_Contabilidad[#All],5,0),"")</f>
        <v/>
      </c>
      <c r="F1974" t="str">
        <f>+IFERROR(VLOOKUP(Fact_Contabilidad[[#This Row], 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ht="18.75" customHeight="1" x14ac:dyDescent="0.35">
      <c r="A1975" s="103"/>
      <c r="C1975" s="100" t="str">
        <f>IF(OR(Fact_Contabilidad[[#This Row], [Año]]="",Fact_Contabilidad[[#This Row], [Mes]]=""),"",DATE(A1975,MATCH(B1975,{"enero","febrero","marzo","abril","mayo","junio","julio","agosto","septiembre","octubre","noviembre","diciembre"},0)+1,0))</f>
        <v/>
      </c>
      <c r="E1975" t="str">
        <f>+IFERROR(VLOOKUP(Fact_Contabilidad[[#This Row], [Concepto Anterior]],Conceptos_Contabilidad[#All],5,0),"")</f>
        <v/>
      </c>
      <c r="F1975" t="str">
        <f>+IFERROR(VLOOKUP(Fact_Contabilidad[[#This Row], 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ht="18.75" customHeight="1" x14ac:dyDescent="0.35">
      <c r="A1976" s="103"/>
      <c r="C1976" s="100" t="str">
        <f>IF(OR(Fact_Contabilidad[[#This Row], [Año]]="",Fact_Contabilidad[[#This Row], [Mes]]=""),"",DATE(A1976,MATCH(B1976,{"enero","febrero","marzo","abril","mayo","junio","julio","agosto","septiembre","octubre","noviembre","diciembre"},0)+1,0))</f>
        <v/>
      </c>
      <c r="E1976" t="str">
        <f>+IFERROR(VLOOKUP(Fact_Contabilidad[[#This Row], [Concepto Anterior]],Conceptos_Contabilidad[#All],5,0),"")</f>
        <v/>
      </c>
      <c r="F1976" t="str">
        <f>+IFERROR(VLOOKUP(Fact_Contabilidad[[#This Row], 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ht="18.75" customHeight="1" x14ac:dyDescent="0.35">
      <c r="A1977" s="103"/>
      <c r="C1977" s="100" t="str">
        <f>IF(OR(Fact_Contabilidad[[#This Row], [Año]]="",Fact_Contabilidad[[#This Row], [Mes]]=""),"",DATE(A1977,MATCH(B1977,{"enero","febrero","marzo","abril","mayo","junio","julio","agosto","septiembre","octubre","noviembre","diciembre"},0)+1,0))</f>
        <v/>
      </c>
      <c r="E1977" t="str">
        <f>+IFERROR(VLOOKUP(Fact_Contabilidad[[#This Row], [Concepto Anterior]],Conceptos_Contabilidad[#All],5,0),"")</f>
        <v/>
      </c>
      <c r="F1977" t="str">
        <f>+IFERROR(VLOOKUP(Fact_Contabilidad[[#This Row], 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ht="18.75" customHeight="1" x14ac:dyDescent="0.35">
      <c r="A1978" s="103"/>
      <c r="C1978" s="100" t="str">
        <f>IF(OR(Fact_Contabilidad[[#This Row], [Año]]="",Fact_Contabilidad[[#This Row], [Mes]]=""),"",DATE(A1978,MATCH(B1978,{"enero","febrero","marzo","abril","mayo","junio","julio","agosto","septiembre","octubre","noviembre","diciembre"},0)+1,0))</f>
        <v/>
      </c>
      <c r="E1978" t="str">
        <f>+IFERROR(VLOOKUP(Fact_Contabilidad[[#This Row], [Concepto Anterior]],Conceptos_Contabilidad[#All],5,0),"")</f>
        <v/>
      </c>
      <c r="F1978" t="str">
        <f>+IFERROR(VLOOKUP(Fact_Contabilidad[[#This Row], 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ht="18.75" customHeight="1" x14ac:dyDescent="0.35">
      <c r="A1979" s="103"/>
      <c r="C1979" s="100" t="str">
        <f>IF(OR(Fact_Contabilidad[[#This Row], [Año]]="",Fact_Contabilidad[[#This Row], [Mes]]=""),"",DATE(A1979,MATCH(B1979,{"enero","febrero","marzo","abril","mayo","junio","julio","agosto","septiembre","octubre","noviembre","diciembre"},0)+1,0))</f>
        <v/>
      </c>
      <c r="E1979" t="str">
        <f>+IFERROR(VLOOKUP(Fact_Contabilidad[[#This Row], [Concepto Anterior]],Conceptos_Contabilidad[#All],5,0),"")</f>
        <v/>
      </c>
      <c r="F1979" t="str">
        <f>+IFERROR(VLOOKUP(Fact_Contabilidad[[#This Row], 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ht="18.75" customHeight="1" x14ac:dyDescent="0.35">
      <c r="A1980" s="103"/>
      <c r="C1980" s="100" t="str">
        <f>IF(OR(Fact_Contabilidad[[#This Row], [Año]]="",Fact_Contabilidad[[#This Row], [Mes]]=""),"",DATE(A1980,MATCH(B1980,{"enero","febrero","marzo","abril","mayo","junio","julio","agosto","septiembre","octubre","noviembre","diciembre"},0)+1,0))</f>
        <v/>
      </c>
      <c r="E1980" t="str">
        <f>+IFERROR(VLOOKUP(Fact_Contabilidad[[#This Row], [Concepto Anterior]],Conceptos_Contabilidad[#All],5,0),"")</f>
        <v/>
      </c>
      <c r="F1980" t="str">
        <f>+IFERROR(VLOOKUP(Fact_Contabilidad[[#This Row], 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ht="18.75" customHeight="1" x14ac:dyDescent="0.35">
      <c r="A1981" s="103"/>
      <c r="C1981" s="100" t="str">
        <f>IF(OR(Fact_Contabilidad[[#This Row], [Año]]="",Fact_Contabilidad[[#This Row], [Mes]]=""),"",DATE(A1981,MATCH(B1981,{"enero","febrero","marzo","abril","mayo","junio","julio","agosto","septiembre","octubre","noviembre","diciembre"},0)+1,0))</f>
        <v/>
      </c>
      <c r="E1981" t="str">
        <f>+IFERROR(VLOOKUP(Fact_Contabilidad[[#This Row], [Concepto Anterior]],Conceptos_Contabilidad[#All],5,0),"")</f>
        <v/>
      </c>
      <c r="F1981" t="str">
        <f>+IFERROR(VLOOKUP(Fact_Contabilidad[[#This Row], 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ht="18.75" customHeight="1" x14ac:dyDescent="0.35">
      <c r="A1982" s="103"/>
      <c r="C1982" s="100" t="str">
        <f>IF(OR(Fact_Contabilidad[[#This Row], [Año]]="",Fact_Contabilidad[[#This Row], [Mes]]=""),"",DATE(A1982,MATCH(B1982,{"enero","febrero","marzo","abril","mayo","junio","julio","agosto","septiembre","octubre","noviembre","diciembre"},0)+1,0))</f>
        <v/>
      </c>
      <c r="E1982" t="str">
        <f>+IFERROR(VLOOKUP(Fact_Contabilidad[[#This Row], [Concepto Anterior]],Conceptos_Contabilidad[#All],5,0),"")</f>
        <v/>
      </c>
      <c r="F1982" t="str">
        <f>+IFERROR(VLOOKUP(Fact_Contabilidad[[#This Row], 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ht="18.75" customHeight="1" x14ac:dyDescent="0.35">
      <c r="A1983" s="103"/>
      <c r="C1983" s="100" t="str">
        <f>IF(OR(Fact_Contabilidad[[#This Row], [Año]]="",Fact_Contabilidad[[#This Row], [Mes]]=""),"",DATE(A1983,MATCH(B1983,{"enero","febrero","marzo","abril","mayo","junio","julio","agosto","septiembre","octubre","noviembre","diciembre"},0)+1,0))</f>
        <v/>
      </c>
      <c r="E1983" t="str">
        <f>+IFERROR(VLOOKUP(Fact_Contabilidad[[#This Row], [Concepto Anterior]],Conceptos_Contabilidad[#All],5,0),"")</f>
        <v/>
      </c>
      <c r="F1983" t="str">
        <f>+IFERROR(VLOOKUP(Fact_Contabilidad[[#This Row], 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ht="18.75" customHeight="1" x14ac:dyDescent="0.35">
      <c r="A1984" s="103"/>
      <c r="C1984" s="100" t="str">
        <f>IF(OR(Fact_Contabilidad[[#This Row], [Año]]="",Fact_Contabilidad[[#This Row], [Mes]]=""),"",DATE(A1984,MATCH(B1984,{"enero","febrero","marzo","abril","mayo","junio","julio","agosto","septiembre","octubre","noviembre","diciembre"},0)+1,0))</f>
        <v/>
      </c>
      <c r="E1984" t="str">
        <f>+IFERROR(VLOOKUP(Fact_Contabilidad[[#This Row], [Concepto Anterior]],Conceptos_Contabilidad[#All],5,0),"")</f>
        <v/>
      </c>
      <c r="F1984" t="str">
        <f>+IFERROR(VLOOKUP(Fact_Contabilidad[[#This Row], 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ht="18.75" customHeight="1" x14ac:dyDescent="0.35">
      <c r="A1985" s="103"/>
      <c r="C1985" s="100" t="str">
        <f>IF(OR(Fact_Contabilidad[[#This Row], [Año]]="",Fact_Contabilidad[[#This Row], [Mes]]=""),"",DATE(A1985,MATCH(B1985,{"enero","febrero","marzo","abril","mayo","junio","julio","agosto","septiembre","octubre","noviembre","diciembre"},0)+1,0))</f>
        <v/>
      </c>
      <c r="E1985" t="str">
        <f>+IFERROR(VLOOKUP(Fact_Contabilidad[[#This Row], [Concepto Anterior]],Conceptos_Contabilidad[#All],5,0),"")</f>
        <v/>
      </c>
      <c r="F1985" t="str">
        <f>+IFERROR(VLOOKUP(Fact_Contabilidad[[#This Row], 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ht="18.75" customHeight="1" x14ac:dyDescent="0.35">
      <c r="A1986" s="103"/>
      <c r="C1986" s="100" t="str">
        <f>IF(OR(Fact_Contabilidad[[#This Row], [Año]]="",Fact_Contabilidad[[#This Row], [Mes]]=""),"",DATE(A1986,MATCH(B1986,{"enero","febrero","marzo","abril","mayo","junio","julio","agosto","septiembre","octubre","noviembre","diciembre"},0)+1,0))</f>
        <v/>
      </c>
      <c r="E1986" t="str">
        <f>+IFERROR(VLOOKUP(Fact_Contabilidad[[#This Row], [Concepto Anterior]],Conceptos_Contabilidad[#All],5,0),"")</f>
        <v/>
      </c>
      <c r="F1986" t="str">
        <f>+IFERROR(VLOOKUP(Fact_Contabilidad[[#This Row], 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ht="18.75" customHeight="1" x14ac:dyDescent="0.35">
      <c r="A1987" s="103"/>
      <c r="C1987" s="100" t="str">
        <f>IF(OR(Fact_Contabilidad[[#This Row], [Año]]="",Fact_Contabilidad[[#This Row], [Mes]]=""),"",DATE(A1987,MATCH(B1987,{"enero","febrero","marzo","abril","mayo","junio","julio","agosto","septiembre","octubre","noviembre","diciembre"},0)+1,0))</f>
        <v/>
      </c>
      <c r="E1987" t="str">
        <f>+IFERROR(VLOOKUP(Fact_Contabilidad[[#This Row], [Concepto Anterior]],Conceptos_Contabilidad[#All],5,0),"")</f>
        <v/>
      </c>
      <c r="F1987" t="str">
        <f>+IFERROR(VLOOKUP(Fact_Contabilidad[[#This Row], 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ht="18.75" customHeight="1" x14ac:dyDescent="0.35">
      <c r="A1988" s="103"/>
      <c r="C1988" s="100" t="str">
        <f>IF(OR(Fact_Contabilidad[[#This Row], [Año]]="",Fact_Contabilidad[[#This Row], [Mes]]=""),"",DATE(A1988,MATCH(B1988,{"enero","febrero","marzo","abril","mayo","junio","julio","agosto","septiembre","octubre","noviembre","diciembre"},0)+1,0))</f>
        <v/>
      </c>
      <c r="E1988" t="str">
        <f>+IFERROR(VLOOKUP(Fact_Contabilidad[[#This Row], [Concepto Anterior]],Conceptos_Contabilidad[#All],5,0),"")</f>
        <v/>
      </c>
      <c r="F1988" t="str">
        <f>+IFERROR(VLOOKUP(Fact_Contabilidad[[#This Row], 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ht="18.75" customHeight="1" x14ac:dyDescent="0.35">
      <c r="A1989" s="103"/>
      <c r="C1989" s="100" t="str">
        <f>IF(OR(Fact_Contabilidad[[#This Row], [Año]]="",Fact_Contabilidad[[#This Row], [Mes]]=""),"",DATE(A1989,MATCH(B1989,{"enero","febrero","marzo","abril","mayo","junio","julio","agosto","septiembre","octubre","noviembre","diciembre"},0)+1,0))</f>
        <v/>
      </c>
      <c r="E1989" t="str">
        <f>+IFERROR(VLOOKUP(Fact_Contabilidad[[#This Row], [Concepto Anterior]],Conceptos_Contabilidad[#All],5,0),"")</f>
        <v/>
      </c>
      <c r="F1989" t="str">
        <f>+IFERROR(VLOOKUP(Fact_Contabilidad[[#This Row], 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ht="18.75" customHeight="1" x14ac:dyDescent="0.35">
      <c r="A1990" s="103"/>
      <c r="C1990" s="100" t="str">
        <f>IF(OR(Fact_Contabilidad[[#This Row], [Año]]="",Fact_Contabilidad[[#This Row], [Mes]]=""),"",DATE(A1990,MATCH(B1990,{"enero","febrero","marzo","abril","mayo","junio","julio","agosto","septiembre","octubre","noviembre","diciembre"},0)+1,0))</f>
        <v/>
      </c>
      <c r="E1990" t="str">
        <f>+IFERROR(VLOOKUP(Fact_Contabilidad[[#This Row], [Concepto Anterior]],Conceptos_Contabilidad[#All],5,0),"")</f>
        <v/>
      </c>
      <c r="F1990" t="str">
        <f>+IFERROR(VLOOKUP(Fact_Contabilidad[[#This Row], 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ht="18.75" customHeight="1" x14ac:dyDescent="0.35">
      <c r="A1991" s="103"/>
      <c r="C1991" s="100" t="str">
        <f>IF(OR(Fact_Contabilidad[[#This Row], [Año]]="",Fact_Contabilidad[[#This Row], [Mes]]=""),"",DATE(A1991,MATCH(B1991,{"enero","febrero","marzo","abril","mayo","junio","julio","agosto","septiembre","octubre","noviembre","diciembre"},0)+1,0))</f>
        <v/>
      </c>
      <c r="E1991" t="str">
        <f>+IFERROR(VLOOKUP(Fact_Contabilidad[[#This Row], [Concepto Anterior]],Conceptos_Contabilidad[#All],5,0),"")</f>
        <v/>
      </c>
      <c r="F1991" t="str">
        <f>+IFERROR(VLOOKUP(Fact_Contabilidad[[#This Row], 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ht="18.75" customHeight="1" x14ac:dyDescent="0.35">
      <c r="A1992" s="103"/>
      <c r="C1992" s="100" t="str">
        <f>IF(OR(Fact_Contabilidad[[#This Row], [Año]]="",Fact_Contabilidad[[#This Row], [Mes]]=""),"",DATE(A1992,MATCH(B1992,{"enero","febrero","marzo","abril","mayo","junio","julio","agosto","septiembre","octubre","noviembre","diciembre"},0)+1,0))</f>
        <v/>
      </c>
      <c r="E1992" t="str">
        <f>+IFERROR(VLOOKUP(Fact_Contabilidad[[#This Row], [Concepto Anterior]],Conceptos_Contabilidad[#All],5,0),"")</f>
        <v/>
      </c>
      <c r="F1992" t="str">
        <f>+IFERROR(VLOOKUP(Fact_Contabilidad[[#This Row], 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ht="18.75" customHeight="1" x14ac:dyDescent="0.35">
      <c r="A1993" s="103"/>
      <c r="C1993" s="100" t="str">
        <f>IF(OR(Fact_Contabilidad[[#This Row], [Año]]="",Fact_Contabilidad[[#This Row], [Mes]]=""),"",DATE(A1993,MATCH(B1993,{"enero","febrero","marzo","abril","mayo","junio","julio","agosto","septiembre","octubre","noviembre","diciembre"},0)+1,0))</f>
        <v/>
      </c>
      <c r="E1993" t="str">
        <f>+IFERROR(VLOOKUP(Fact_Contabilidad[[#This Row], [Concepto Anterior]],Conceptos_Contabilidad[#All],5,0),"")</f>
        <v/>
      </c>
      <c r="F1993" t="str">
        <f>+IFERROR(VLOOKUP(Fact_Contabilidad[[#This Row], 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ht="18.75" customHeight="1" x14ac:dyDescent="0.35">
      <c r="A1994" s="103"/>
      <c r="C1994" s="100" t="str">
        <f>IF(OR(Fact_Contabilidad[[#This Row], [Año]]="",Fact_Contabilidad[[#This Row], [Mes]]=""),"",DATE(A1994,MATCH(B1994,{"enero","febrero","marzo","abril","mayo","junio","julio","agosto","septiembre","octubre","noviembre","diciembre"},0)+1,0))</f>
        <v/>
      </c>
      <c r="E1994" t="str">
        <f>+IFERROR(VLOOKUP(Fact_Contabilidad[[#This Row], [Concepto Anterior]],Conceptos_Contabilidad[#All],5,0),"")</f>
        <v/>
      </c>
      <c r="F1994" t="str">
        <f>+IFERROR(VLOOKUP(Fact_Contabilidad[[#This Row], 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ht="18.75" customHeight="1" x14ac:dyDescent="0.35">
      <c r="A1995" s="103"/>
      <c r="C1995" s="100" t="str">
        <f>IF(OR(Fact_Contabilidad[[#This Row], [Año]]="",Fact_Contabilidad[[#This Row], [Mes]]=""),"",DATE(A1995,MATCH(B1995,{"enero","febrero","marzo","abril","mayo","junio","julio","agosto","septiembre","octubre","noviembre","diciembre"},0)+1,0))</f>
        <v/>
      </c>
      <c r="E1995" t="str">
        <f>+IFERROR(VLOOKUP(Fact_Contabilidad[[#This Row], [Concepto Anterior]],Conceptos_Contabilidad[#All],5,0),"")</f>
        <v/>
      </c>
      <c r="F1995" t="str">
        <f>+IFERROR(VLOOKUP(Fact_Contabilidad[[#This Row], 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ht="18.75" customHeight="1" x14ac:dyDescent="0.35">
      <c r="A1996" s="103"/>
      <c r="C1996" s="100" t="str">
        <f>IF(OR(Fact_Contabilidad[[#This Row], [Año]]="",Fact_Contabilidad[[#This Row], [Mes]]=""),"",DATE(A1996,MATCH(B1996,{"enero","febrero","marzo","abril","mayo","junio","julio","agosto","septiembre","octubre","noviembre","diciembre"},0)+1,0))</f>
        <v/>
      </c>
      <c r="E1996" t="str">
        <f>+IFERROR(VLOOKUP(Fact_Contabilidad[[#This Row], [Concepto Anterior]],Conceptos_Contabilidad[#All],5,0),"")</f>
        <v/>
      </c>
      <c r="F1996" t="str">
        <f>+IFERROR(VLOOKUP(Fact_Contabilidad[[#This Row], 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ht="18.75" customHeight="1" x14ac:dyDescent="0.35">
      <c r="A1997" s="103"/>
      <c r="C1997" s="100" t="str">
        <f>IF(OR(Fact_Contabilidad[[#This Row], [Año]]="",Fact_Contabilidad[[#This Row], [Mes]]=""),"",DATE(A1997,MATCH(B1997,{"enero","febrero","marzo","abril","mayo","junio","julio","agosto","septiembre","octubre","noviembre","diciembre"},0)+1,0))</f>
        <v/>
      </c>
      <c r="E1997" t="str">
        <f>+IFERROR(VLOOKUP(Fact_Contabilidad[[#This Row], [Concepto Anterior]],Conceptos_Contabilidad[#All],5,0),"")</f>
        <v/>
      </c>
      <c r="F1997" t="str">
        <f>+IFERROR(VLOOKUP(Fact_Contabilidad[[#This Row], 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ht="18.75" customHeight="1" x14ac:dyDescent="0.35">
      <c r="A1998" s="103"/>
      <c r="C1998" s="100" t="str">
        <f>IF(OR(Fact_Contabilidad[[#This Row], [Año]]="",Fact_Contabilidad[[#This Row], [Mes]]=""),"",DATE(A1998,MATCH(B1998,{"enero","febrero","marzo","abril","mayo","junio","julio","agosto","septiembre","octubre","noviembre","diciembre"},0)+1,0))</f>
        <v/>
      </c>
      <c r="E1998" t="str">
        <f>+IFERROR(VLOOKUP(Fact_Contabilidad[[#This Row], [Concepto Anterior]],Conceptos_Contabilidad[#All],5,0),"")</f>
        <v/>
      </c>
      <c r="F1998" t="str">
        <f>+IFERROR(VLOOKUP(Fact_Contabilidad[[#This Row], 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ht="18.75" customHeight="1" x14ac:dyDescent="0.35">
      <c r="A1999" s="103"/>
      <c r="C1999" s="100" t="str">
        <f>IF(OR(Fact_Contabilidad[[#This Row], [Año]]="",Fact_Contabilidad[[#This Row], [Mes]]=""),"",DATE(A1999,MATCH(B1999,{"enero","febrero","marzo","abril","mayo","junio","julio","agosto","septiembre","octubre","noviembre","diciembre"},0)+1,0))</f>
        <v/>
      </c>
      <c r="E1999" t="str">
        <f>+IFERROR(VLOOKUP(Fact_Contabilidad[[#This Row], [Concepto Anterior]],Conceptos_Contabilidad[#All],5,0),"")</f>
        <v/>
      </c>
      <c r="F1999" t="str">
        <f>+IFERROR(VLOOKUP(Fact_Contabilidad[[#This Row], 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ht="18.75" customHeight="1" x14ac:dyDescent="0.35">
      <c r="A2000" s="103"/>
      <c r="C2000" s="100" t="str">
        <f>IF(OR(Fact_Contabilidad[[#This Row], [Año]]="",Fact_Contabilidad[[#This Row], [Mes]]=""),"",DATE(A2000,MATCH(B2000,{"enero","febrero","marzo","abril","mayo","junio","julio","agosto","septiembre","octubre","noviembre","diciembre"},0)+1,0))</f>
        <v/>
      </c>
      <c r="E2000" t="str">
        <f>+IFERROR(VLOOKUP(Fact_Contabilidad[[#This Row], [Concepto Anterior]],Conceptos_Contabilidad[#All],5,0),"")</f>
        <v/>
      </c>
      <c r="F2000" t="str">
        <f>+IFERROR(VLOOKUP(Fact_Contabilidad[[#This Row], 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ht="18.75" customHeight="1" x14ac:dyDescent="0.35">
      <c r="A2001" s="103"/>
      <c r="C2001" s="100" t="str">
        <f>IF(OR(Fact_Contabilidad[[#This Row], [Año]]="",Fact_Contabilidad[[#This Row], [Mes]]=""),"",DATE(A2001,MATCH(B2001,{"enero","febrero","marzo","abril","mayo","junio","julio","agosto","septiembre","octubre","noviembre","diciembre"},0)+1,0))</f>
        <v/>
      </c>
      <c r="E2001" t="str">
        <f>+IFERROR(VLOOKUP(Fact_Contabilidad[[#This Row], [Concepto Anterior]],Conceptos_Contabilidad[#All],5,0),"")</f>
        <v/>
      </c>
      <c r="F2001" t="str">
        <f>+IFERROR(VLOOKUP(Fact_Contabilidad[[#This Row], 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ht="18.75" customHeight="1" x14ac:dyDescent="0.35">
      <c r="A2002" s="103"/>
      <c r="C2002" s="100" t="str">
        <f>IF(OR(Fact_Contabilidad[[#This Row], [Año]]="",Fact_Contabilidad[[#This Row], [Mes]]=""),"",DATE(A2002,MATCH(B2002,{"enero","febrero","marzo","abril","mayo","junio","julio","agosto","septiembre","octubre","noviembre","diciembre"},0)+1,0))</f>
        <v/>
      </c>
      <c r="E2002" t="str">
        <f>+IFERROR(VLOOKUP(Fact_Contabilidad[[#This Row], [Concepto Anterior]],Conceptos_Contabilidad[#All],5,0),"")</f>
        <v/>
      </c>
      <c r="F2002" t="str">
        <f>+IFERROR(VLOOKUP(Fact_Contabilidad[[#This Row], 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ht="18.75" customHeight="1" x14ac:dyDescent="0.35">
      <c r="A2003" s="103"/>
      <c r="C2003" s="100" t="str">
        <f>IF(OR(Fact_Contabilidad[[#This Row], [Año]]="",Fact_Contabilidad[[#This Row], [Mes]]=""),"",DATE(A2003,MATCH(B2003,{"enero","febrero","marzo","abril","mayo","junio","julio","agosto","septiembre","octubre","noviembre","diciembre"},0)+1,0))</f>
        <v/>
      </c>
      <c r="E2003" t="str">
        <f>+IFERROR(VLOOKUP(Fact_Contabilidad[[#This Row], [Concepto Anterior]],Conceptos_Contabilidad[#All],5,0),"")</f>
        <v/>
      </c>
      <c r="F2003" t="str">
        <f>+IFERROR(VLOOKUP(Fact_Contabilidad[[#This Row], 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ht="18.75" customHeight="1" x14ac:dyDescent="0.35">
      <c r="A2004" s="103"/>
      <c r="C2004" s="100" t="str">
        <f>IF(OR(Fact_Contabilidad[[#This Row], [Año]]="",Fact_Contabilidad[[#This Row], [Mes]]=""),"",DATE(A2004,MATCH(B2004,{"enero","febrero","marzo","abril","mayo","junio","julio","agosto","septiembre","octubre","noviembre","diciembre"},0)+1,0))</f>
        <v/>
      </c>
      <c r="E2004" t="str">
        <f>+IFERROR(VLOOKUP(Fact_Contabilidad[[#This Row], [Concepto Anterior]],Conceptos_Contabilidad[#All],5,0),"")</f>
        <v/>
      </c>
      <c r="F2004" t="str">
        <f>+IFERROR(VLOOKUP(Fact_Contabilidad[[#This Row], 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ht="18.75" customHeight="1" x14ac:dyDescent="0.35">
      <c r="A2005" s="103"/>
      <c r="C2005" s="100" t="str">
        <f>IF(OR(Fact_Contabilidad[[#This Row], [Año]]="",Fact_Contabilidad[[#This Row], [Mes]]=""),"",DATE(A2005,MATCH(B2005,{"enero","febrero","marzo","abril","mayo","junio","julio","agosto","septiembre","octubre","noviembre","diciembre"},0)+1,0))</f>
        <v/>
      </c>
      <c r="E2005" t="str">
        <f>+IFERROR(VLOOKUP(Fact_Contabilidad[[#This Row], [Concepto Anterior]],Conceptos_Contabilidad[#All],5,0),"")</f>
        <v/>
      </c>
      <c r="F2005" t="str">
        <f>+IFERROR(VLOOKUP(Fact_Contabilidad[[#This Row], 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ht="18.75" customHeight="1" x14ac:dyDescent="0.35">
      <c r="A2006" s="103"/>
      <c r="C2006" s="100" t="str">
        <f>IF(OR(Fact_Contabilidad[[#This Row], [Año]]="",Fact_Contabilidad[[#This Row], [Mes]]=""),"",DATE(A2006,MATCH(B2006,{"enero","febrero","marzo","abril","mayo","junio","julio","agosto","septiembre","octubre","noviembre","diciembre"},0)+1,0))</f>
        <v/>
      </c>
      <c r="E2006" t="str">
        <f>+IFERROR(VLOOKUP(Fact_Contabilidad[[#This Row], [Concepto Anterior]],Conceptos_Contabilidad[#All],5,0),"")</f>
        <v/>
      </c>
      <c r="F2006" t="str">
        <f>+IFERROR(VLOOKUP(Fact_Contabilidad[[#This Row], 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ht="18.75" customHeight="1" x14ac:dyDescent="0.35">
      <c r="A2007" s="103"/>
      <c r="C2007" s="100" t="str">
        <f>IF(OR(Fact_Contabilidad[[#This Row], [Año]]="",Fact_Contabilidad[[#This Row], [Mes]]=""),"",DATE(A2007,MATCH(B2007,{"enero","febrero","marzo","abril","mayo","junio","julio","agosto","septiembre","octubre","noviembre","diciembre"},0)+1,0))</f>
        <v/>
      </c>
      <c r="E2007" t="str">
        <f>+IFERROR(VLOOKUP(Fact_Contabilidad[[#This Row], [Concepto Anterior]],Conceptos_Contabilidad[#All],5,0),"")</f>
        <v/>
      </c>
      <c r="F2007" t="str">
        <f>+IFERROR(VLOOKUP(Fact_Contabilidad[[#This Row], 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ht="18.75" customHeight="1" x14ac:dyDescent="0.35">
      <c r="A2008" s="103"/>
      <c r="C2008" s="100" t="str">
        <f>IF(OR(Fact_Contabilidad[[#This Row], [Año]]="",Fact_Contabilidad[[#This Row], [Mes]]=""),"",DATE(A2008,MATCH(B2008,{"enero","febrero","marzo","abril","mayo","junio","julio","agosto","septiembre","octubre","noviembre","diciembre"},0)+1,0))</f>
        <v/>
      </c>
      <c r="E2008" t="str">
        <f>+IFERROR(VLOOKUP(Fact_Contabilidad[[#This Row], [Concepto Anterior]],Conceptos_Contabilidad[#All],5,0),"")</f>
        <v/>
      </c>
      <c r="F2008" t="str">
        <f>+IFERROR(VLOOKUP(Fact_Contabilidad[[#This Row], 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ht="18.75" customHeight="1" x14ac:dyDescent="0.35">
      <c r="A2009" s="103"/>
      <c r="C2009" s="100" t="str">
        <f>IF(OR(Fact_Contabilidad[[#This Row], [Año]]="",Fact_Contabilidad[[#This Row], [Mes]]=""),"",DATE(A2009,MATCH(B2009,{"enero","febrero","marzo","abril","mayo","junio","julio","agosto","septiembre","octubre","noviembre","diciembre"},0)+1,0))</f>
        <v/>
      </c>
      <c r="E2009" t="str">
        <f>+IFERROR(VLOOKUP(Fact_Contabilidad[[#This Row], [Concepto Anterior]],Conceptos_Contabilidad[#All],5,0),"")</f>
        <v/>
      </c>
      <c r="F2009" t="str">
        <f>+IFERROR(VLOOKUP(Fact_Contabilidad[[#This Row], 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ht="18.75" customHeight="1" x14ac:dyDescent="0.35">
      <c r="A2010" s="103"/>
      <c r="C2010" s="100" t="str">
        <f>IF(OR(Fact_Contabilidad[[#This Row], [Año]]="",Fact_Contabilidad[[#This Row], [Mes]]=""),"",DATE(A2010,MATCH(B2010,{"enero","febrero","marzo","abril","mayo","junio","julio","agosto","septiembre","octubre","noviembre","diciembre"},0)+1,0))</f>
        <v/>
      </c>
      <c r="E2010" t="str">
        <f>+IFERROR(VLOOKUP(Fact_Contabilidad[[#This Row], [Concepto Anterior]],Conceptos_Contabilidad[#All],5,0),"")</f>
        <v/>
      </c>
      <c r="F2010" t="str">
        <f>+IFERROR(VLOOKUP(Fact_Contabilidad[[#This Row], 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ht="18.75" customHeight="1" x14ac:dyDescent="0.35">
      <c r="A2011" s="103"/>
      <c r="C2011" s="100" t="str">
        <f>IF(OR(Fact_Contabilidad[[#This Row], [Año]]="",Fact_Contabilidad[[#This Row], [Mes]]=""),"",DATE(A2011,MATCH(B2011,{"enero","febrero","marzo","abril","mayo","junio","julio","agosto","septiembre","octubre","noviembre","diciembre"},0)+1,0))</f>
        <v/>
      </c>
      <c r="E2011" t="str">
        <f>+IFERROR(VLOOKUP(Fact_Contabilidad[[#This Row], [Concepto Anterior]],Conceptos_Contabilidad[#All],5,0),"")</f>
        <v/>
      </c>
      <c r="F2011" t="str">
        <f>+IFERROR(VLOOKUP(Fact_Contabilidad[[#This Row], 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ht="18.75" customHeight="1" x14ac:dyDescent="0.35">
      <c r="A2012" s="103"/>
      <c r="C2012" s="100" t="str">
        <f>IF(OR(Fact_Contabilidad[[#This Row], [Año]]="",Fact_Contabilidad[[#This Row], [Mes]]=""),"",DATE(A2012,MATCH(B2012,{"enero","febrero","marzo","abril","mayo","junio","julio","agosto","septiembre","octubre","noviembre","diciembre"},0)+1,0))</f>
        <v/>
      </c>
      <c r="E2012" t="str">
        <f>+IFERROR(VLOOKUP(Fact_Contabilidad[[#This Row], [Concepto Anterior]],Conceptos_Contabilidad[#All],5,0),"")</f>
        <v/>
      </c>
      <c r="F2012" t="str">
        <f>+IFERROR(VLOOKUP(Fact_Contabilidad[[#This Row], 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ht="18.75" customHeight="1" x14ac:dyDescent="0.35">
      <c r="A2013" s="103"/>
      <c r="C2013" s="100" t="str">
        <f>IF(OR(Fact_Contabilidad[[#This Row], [Año]]="",Fact_Contabilidad[[#This Row], [Mes]]=""),"",DATE(A2013,MATCH(B2013,{"enero","febrero","marzo","abril","mayo","junio","julio","agosto","septiembre","octubre","noviembre","diciembre"},0)+1,0))</f>
        <v/>
      </c>
      <c r="E2013" t="str">
        <f>+IFERROR(VLOOKUP(Fact_Contabilidad[[#This Row], [Concepto Anterior]],Conceptos_Contabilidad[#All],5,0),"")</f>
        <v/>
      </c>
      <c r="F2013" t="str">
        <f>+IFERROR(VLOOKUP(Fact_Contabilidad[[#This Row], 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ht="18.75" customHeight="1" x14ac:dyDescent="0.35">
      <c r="A2014" s="103"/>
      <c r="C2014" s="100" t="str">
        <f>IF(OR(Fact_Contabilidad[[#This Row], [Año]]="",Fact_Contabilidad[[#This Row], [Mes]]=""),"",DATE(A2014,MATCH(B2014,{"enero","febrero","marzo","abril","mayo","junio","julio","agosto","septiembre","octubre","noviembre","diciembre"},0)+1,0))</f>
        <v/>
      </c>
      <c r="E2014" t="str">
        <f>+IFERROR(VLOOKUP(Fact_Contabilidad[[#This Row], [Concepto Anterior]],Conceptos_Contabilidad[#All],5,0),"")</f>
        <v/>
      </c>
      <c r="F2014" t="str">
        <f>+IFERROR(VLOOKUP(Fact_Contabilidad[[#This Row], 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ht="18.75" customHeight="1" x14ac:dyDescent="0.35">
      <c r="A2015" s="103"/>
      <c r="C2015" s="100" t="str">
        <f>IF(OR(Fact_Contabilidad[[#This Row], [Año]]="",Fact_Contabilidad[[#This Row], [Mes]]=""),"",DATE(A2015,MATCH(B2015,{"enero","febrero","marzo","abril","mayo","junio","julio","agosto","septiembre","octubre","noviembre","diciembre"},0)+1,0))</f>
        <v/>
      </c>
      <c r="E2015" t="str">
        <f>+IFERROR(VLOOKUP(Fact_Contabilidad[[#This Row], [Concepto Anterior]],Conceptos_Contabilidad[#All],5,0),"")</f>
        <v/>
      </c>
      <c r="F2015" t="str">
        <f>+IFERROR(VLOOKUP(Fact_Contabilidad[[#This Row], 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ht="18.75" customHeight="1" x14ac:dyDescent="0.35">
      <c r="A2016" s="103"/>
      <c r="C2016" s="100" t="str">
        <f>IF(OR(Fact_Contabilidad[[#This Row], [Año]]="",Fact_Contabilidad[[#This Row], [Mes]]=""),"",DATE(A2016,MATCH(B2016,{"enero","febrero","marzo","abril","mayo","junio","julio","agosto","septiembre","octubre","noviembre","diciembre"},0)+1,0))</f>
        <v/>
      </c>
      <c r="E2016" t="str">
        <f>+IFERROR(VLOOKUP(Fact_Contabilidad[[#This Row], [Concepto Anterior]],Conceptos_Contabilidad[#All],5,0),"")</f>
        <v/>
      </c>
      <c r="F2016" t="str">
        <f>+IFERROR(VLOOKUP(Fact_Contabilidad[[#This Row], 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ht="18.75" customHeight="1" x14ac:dyDescent="0.35">
      <c r="A2017" s="103"/>
      <c r="C2017" s="100" t="str">
        <f>IF(OR(Fact_Contabilidad[[#This Row], [Año]]="",Fact_Contabilidad[[#This Row], [Mes]]=""),"",DATE(A2017,MATCH(B2017,{"enero","febrero","marzo","abril","mayo","junio","julio","agosto","septiembre","octubre","noviembre","diciembre"},0)+1,0))</f>
        <v/>
      </c>
      <c r="E2017" t="str">
        <f>+IFERROR(VLOOKUP(Fact_Contabilidad[[#This Row], [Concepto Anterior]],Conceptos_Contabilidad[#All],5,0),"")</f>
        <v/>
      </c>
      <c r="F2017" t="str">
        <f>+IFERROR(VLOOKUP(Fact_Contabilidad[[#This Row], 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ht="18.75" customHeight="1" x14ac:dyDescent="0.35">
      <c r="A2018" s="103"/>
      <c r="C2018" s="100" t="str">
        <f>IF(OR(Fact_Contabilidad[[#This Row], [Año]]="",Fact_Contabilidad[[#This Row], [Mes]]=""),"",DATE(A2018,MATCH(B2018,{"enero","febrero","marzo","abril","mayo","junio","julio","agosto","septiembre","octubre","noviembre","diciembre"},0)+1,0))</f>
        <v/>
      </c>
      <c r="E2018" t="str">
        <f>+IFERROR(VLOOKUP(Fact_Contabilidad[[#This Row], [Concepto Anterior]],Conceptos_Contabilidad[#All],5,0),"")</f>
        <v/>
      </c>
      <c r="F2018" t="str">
        <f>+IFERROR(VLOOKUP(Fact_Contabilidad[[#This Row], 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ht="18.75" customHeight="1" x14ac:dyDescent="0.35">
      <c r="A2019" s="103"/>
      <c r="C2019" s="100" t="str">
        <f>IF(OR(Fact_Contabilidad[[#This Row], [Año]]="",Fact_Contabilidad[[#This Row], [Mes]]=""),"",DATE(A2019,MATCH(B2019,{"enero","febrero","marzo","abril","mayo","junio","julio","agosto","septiembre","octubre","noviembre","diciembre"},0)+1,0))</f>
        <v/>
      </c>
      <c r="E2019" t="str">
        <f>+IFERROR(VLOOKUP(Fact_Contabilidad[[#This Row], [Concepto Anterior]],Conceptos_Contabilidad[#All],5,0),"")</f>
        <v/>
      </c>
      <c r="F2019" t="str">
        <f>+IFERROR(VLOOKUP(Fact_Contabilidad[[#This Row], 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ht="18.75" customHeight="1" x14ac:dyDescent="0.35">
      <c r="A2020" s="103"/>
      <c r="C2020" s="100" t="str">
        <f>IF(OR(Fact_Contabilidad[[#This Row], [Año]]="",Fact_Contabilidad[[#This Row], [Mes]]=""),"",DATE(A2020,MATCH(B2020,{"enero","febrero","marzo","abril","mayo","junio","julio","agosto","septiembre","octubre","noviembre","diciembre"},0)+1,0))</f>
        <v/>
      </c>
      <c r="E2020" t="str">
        <f>+IFERROR(VLOOKUP(Fact_Contabilidad[[#This Row], [Concepto Anterior]],Conceptos_Contabilidad[#All],5,0),"")</f>
        <v/>
      </c>
      <c r="F2020" t="str">
        <f>+IFERROR(VLOOKUP(Fact_Contabilidad[[#This Row], 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ht="18.75" customHeight="1" x14ac:dyDescent="0.35">
      <c r="A2021" s="103"/>
      <c r="C2021" s="100" t="str">
        <f>IF(OR(Fact_Contabilidad[[#This Row], [Año]]="",Fact_Contabilidad[[#This Row], [Mes]]=""),"",DATE(A2021,MATCH(B2021,{"enero","febrero","marzo","abril","mayo","junio","julio","agosto","septiembre","octubre","noviembre","diciembre"},0)+1,0))</f>
        <v/>
      </c>
      <c r="E2021" t="str">
        <f>+IFERROR(VLOOKUP(Fact_Contabilidad[[#This Row], [Concepto Anterior]],Conceptos_Contabilidad[#All],5,0),"")</f>
        <v/>
      </c>
      <c r="F2021" t="str">
        <f>+IFERROR(VLOOKUP(Fact_Contabilidad[[#This Row], 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ht="18.75" customHeight="1" x14ac:dyDescent="0.35">
      <c r="A2022" s="103"/>
      <c r="C2022" s="100" t="str">
        <f>IF(OR(Fact_Contabilidad[[#This Row], [Año]]="",Fact_Contabilidad[[#This Row], [Mes]]=""),"",DATE(A2022,MATCH(B2022,{"enero","febrero","marzo","abril","mayo","junio","julio","agosto","septiembre","octubre","noviembre","diciembre"},0)+1,0))</f>
        <v/>
      </c>
      <c r="E2022" t="str">
        <f>+IFERROR(VLOOKUP(Fact_Contabilidad[[#This Row], [Concepto Anterior]],Conceptos_Contabilidad[#All],5,0),"")</f>
        <v/>
      </c>
      <c r="F2022" t="str">
        <f>+IFERROR(VLOOKUP(Fact_Contabilidad[[#This Row], 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ht="18.75" customHeight="1" x14ac:dyDescent="0.35">
      <c r="A2023" s="103"/>
      <c r="C2023" s="100" t="str">
        <f>IF(OR(Fact_Contabilidad[[#This Row], [Año]]="",Fact_Contabilidad[[#This Row], [Mes]]=""),"",DATE(A2023,MATCH(B2023,{"enero","febrero","marzo","abril","mayo","junio","julio","agosto","septiembre","octubre","noviembre","diciembre"},0)+1,0))</f>
        <v/>
      </c>
      <c r="E2023" t="str">
        <f>+IFERROR(VLOOKUP(Fact_Contabilidad[[#This Row], [Concepto Anterior]],Conceptos_Contabilidad[#All],5,0),"")</f>
        <v/>
      </c>
      <c r="F2023" t="str">
        <f>+IFERROR(VLOOKUP(Fact_Contabilidad[[#This Row], 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ht="18.75" customHeight="1" x14ac:dyDescent="0.35">
      <c r="A2024" s="103"/>
      <c r="C2024" s="100" t="str">
        <f>IF(OR(Fact_Contabilidad[[#This Row], [Año]]="",Fact_Contabilidad[[#This Row], [Mes]]=""),"",DATE(A2024,MATCH(B2024,{"enero","febrero","marzo","abril","mayo","junio","julio","agosto","septiembre","octubre","noviembre","diciembre"},0)+1,0))</f>
        <v/>
      </c>
      <c r="E2024" t="str">
        <f>+IFERROR(VLOOKUP(Fact_Contabilidad[[#This Row], [Concepto Anterior]],Conceptos_Contabilidad[#All],5,0),"")</f>
        <v/>
      </c>
      <c r="F2024" t="str">
        <f>+IFERROR(VLOOKUP(Fact_Contabilidad[[#This Row], 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ht="18.75" customHeight="1" x14ac:dyDescent="0.35">
      <c r="A2025" s="103"/>
      <c r="C2025" s="100" t="str">
        <f>IF(OR(Fact_Contabilidad[[#This Row], [Año]]="",Fact_Contabilidad[[#This Row], [Mes]]=""),"",DATE(A2025,MATCH(B2025,{"enero","febrero","marzo","abril","mayo","junio","julio","agosto","septiembre","octubre","noviembre","diciembre"},0)+1,0))</f>
        <v/>
      </c>
      <c r="E2025" t="str">
        <f>+IFERROR(VLOOKUP(Fact_Contabilidad[[#This Row], [Concepto Anterior]],Conceptos_Contabilidad[#All],5,0),"")</f>
        <v/>
      </c>
      <c r="F2025" t="str">
        <f>+IFERROR(VLOOKUP(Fact_Contabilidad[[#This Row], 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ht="18.75" customHeight="1" x14ac:dyDescent="0.35">
      <c r="A2026" s="103"/>
      <c r="C2026" s="100" t="str">
        <f>IF(OR(Fact_Contabilidad[[#This Row], [Año]]="",Fact_Contabilidad[[#This Row], [Mes]]=""),"",DATE(A2026,MATCH(B2026,{"enero","febrero","marzo","abril","mayo","junio","julio","agosto","septiembre","octubre","noviembre","diciembre"},0)+1,0))</f>
        <v/>
      </c>
      <c r="E2026" t="str">
        <f>+IFERROR(VLOOKUP(Fact_Contabilidad[[#This Row], [Concepto Anterior]],Conceptos_Contabilidad[#All],5,0),"")</f>
        <v/>
      </c>
      <c r="F2026" t="str">
        <f>+IFERROR(VLOOKUP(Fact_Contabilidad[[#This Row], 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ht="18.75" customHeight="1" x14ac:dyDescent="0.35">
      <c r="A2027" s="103"/>
      <c r="C2027" s="100" t="str">
        <f>IF(OR(Fact_Contabilidad[[#This Row], [Año]]="",Fact_Contabilidad[[#This Row], [Mes]]=""),"",DATE(A2027,MATCH(B2027,{"enero","febrero","marzo","abril","mayo","junio","julio","agosto","septiembre","octubre","noviembre","diciembre"},0)+1,0))</f>
        <v/>
      </c>
      <c r="E2027" t="str">
        <f>+IFERROR(VLOOKUP(Fact_Contabilidad[[#This Row], [Concepto Anterior]],Conceptos_Contabilidad[#All],5,0),"")</f>
        <v/>
      </c>
      <c r="F2027" t="str">
        <f>+IFERROR(VLOOKUP(Fact_Contabilidad[[#This Row], 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ht="18.75" customHeight="1" x14ac:dyDescent="0.35">
      <c r="A2028" s="103"/>
      <c r="C2028" s="100" t="str">
        <f>IF(OR(Fact_Contabilidad[[#This Row], [Año]]="",Fact_Contabilidad[[#This Row], [Mes]]=""),"",DATE(A2028,MATCH(B2028,{"enero","febrero","marzo","abril","mayo","junio","julio","agosto","septiembre","octubre","noviembre","diciembre"},0)+1,0))</f>
        <v/>
      </c>
      <c r="E2028" t="str">
        <f>+IFERROR(VLOOKUP(Fact_Contabilidad[[#This Row], [Concepto Anterior]],Conceptos_Contabilidad[#All],5,0),"")</f>
        <v/>
      </c>
      <c r="F2028" t="str">
        <f>+IFERROR(VLOOKUP(Fact_Contabilidad[[#This Row], 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ht="18.75" customHeight="1" x14ac:dyDescent="0.35">
      <c r="A2029" s="103"/>
      <c r="C2029" s="100" t="str">
        <f>IF(OR(Fact_Contabilidad[[#This Row], [Año]]="",Fact_Contabilidad[[#This Row], [Mes]]=""),"",DATE(A2029,MATCH(B2029,{"enero","febrero","marzo","abril","mayo","junio","julio","agosto","septiembre","octubre","noviembre","diciembre"},0)+1,0))</f>
        <v/>
      </c>
      <c r="E2029" t="str">
        <f>+IFERROR(VLOOKUP(Fact_Contabilidad[[#This Row], [Concepto Anterior]],Conceptos_Contabilidad[#All],5,0),"")</f>
        <v/>
      </c>
      <c r="F2029" t="str">
        <f>+IFERROR(VLOOKUP(Fact_Contabilidad[[#This Row], 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ht="18.75" customHeight="1" x14ac:dyDescent="0.35">
      <c r="A2030" s="103"/>
      <c r="C2030" s="100" t="str">
        <f>IF(OR(Fact_Contabilidad[[#This Row], [Año]]="",Fact_Contabilidad[[#This Row], [Mes]]=""),"",DATE(A2030,MATCH(B2030,{"enero","febrero","marzo","abril","mayo","junio","julio","agosto","septiembre","octubre","noviembre","diciembre"},0)+1,0))</f>
        <v/>
      </c>
      <c r="E2030" t="str">
        <f>+IFERROR(VLOOKUP(Fact_Contabilidad[[#This Row], [Concepto Anterior]],Conceptos_Contabilidad[#All],5,0),"")</f>
        <v/>
      </c>
      <c r="F2030" t="str">
        <f>+IFERROR(VLOOKUP(Fact_Contabilidad[[#This Row], 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ht="18.75" customHeight="1" x14ac:dyDescent="0.35">
      <c r="A2031" s="103"/>
      <c r="C2031" s="100" t="str">
        <f>IF(OR(Fact_Contabilidad[[#This Row], [Año]]="",Fact_Contabilidad[[#This Row], [Mes]]=""),"",DATE(A2031,MATCH(B2031,{"enero","febrero","marzo","abril","mayo","junio","julio","agosto","septiembre","octubre","noviembre","diciembre"},0)+1,0))</f>
        <v/>
      </c>
      <c r="E2031" t="str">
        <f>+IFERROR(VLOOKUP(Fact_Contabilidad[[#This Row], [Concepto Anterior]],Conceptos_Contabilidad[#All],5,0),"")</f>
        <v/>
      </c>
      <c r="F2031" t="str">
        <f>+IFERROR(VLOOKUP(Fact_Contabilidad[[#This Row], 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ht="18.75" customHeight="1" x14ac:dyDescent="0.35">
      <c r="A2032" s="103"/>
      <c r="C2032" s="100" t="str">
        <f>IF(OR(Fact_Contabilidad[[#This Row], [Año]]="",Fact_Contabilidad[[#This Row], [Mes]]=""),"",DATE(A2032,MATCH(B2032,{"enero","febrero","marzo","abril","mayo","junio","julio","agosto","septiembre","octubre","noviembre","diciembre"},0)+1,0))</f>
        <v/>
      </c>
      <c r="E2032" t="str">
        <f>+IFERROR(VLOOKUP(Fact_Contabilidad[[#This Row], [Concepto Anterior]],Conceptos_Contabilidad[#All],5,0),"")</f>
        <v/>
      </c>
      <c r="F2032" t="str">
        <f>+IFERROR(VLOOKUP(Fact_Contabilidad[[#This Row], 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ht="18.75" customHeight="1" x14ac:dyDescent="0.35">
      <c r="A2033" s="103"/>
      <c r="C2033" s="100" t="str">
        <f>IF(OR(Fact_Contabilidad[[#This Row], [Año]]="",Fact_Contabilidad[[#This Row], [Mes]]=""),"",DATE(A2033,MATCH(B2033,{"enero","febrero","marzo","abril","mayo","junio","julio","agosto","septiembre","octubre","noviembre","diciembre"},0)+1,0))</f>
        <v/>
      </c>
      <c r="E2033" t="str">
        <f>+IFERROR(VLOOKUP(Fact_Contabilidad[[#This Row], [Concepto Anterior]],Conceptos_Contabilidad[#All],5,0),"")</f>
        <v/>
      </c>
      <c r="F2033" t="str">
        <f>+IFERROR(VLOOKUP(Fact_Contabilidad[[#This Row], 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ht="18.75" customHeight="1" x14ac:dyDescent="0.35">
      <c r="A2034" s="103"/>
      <c r="C2034" s="100" t="str">
        <f>IF(OR(Fact_Contabilidad[[#This Row], [Año]]="",Fact_Contabilidad[[#This Row], [Mes]]=""),"",DATE(A2034,MATCH(B2034,{"enero","febrero","marzo","abril","mayo","junio","julio","agosto","septiembre","octubre","noviembre","diciembre"},0)+1,0))</f>
        <v/>
      </c>
      <c r="E2034" t="str">
        <f>+IFERROR(VLOOKUP(Fact_Contabilidad[[#This Row], [Concepto Anterior]],Conceptos_Contabilidad[#All],5,0),"")</f>
        <v/>
      </c>
      <c r="F2034" t="str">
        <f>+IFERROR(VLOOKUP(Fact_Contabilidad[[#This Row], 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ht="18.75" customHeight="1" x14ac:dyDescent="0.35">
      <c r="A2035" s="103"/>
      <c r="C2035" s="100" t="str">
        <f>IF(OR(Fact_Contabilidad[[#This Row], [Año]]="",Fact_Contabilidad[[#This Row], [Mes]]=""),"",DATE(A2035,MATCH(B2035,{"enero","febrero","marzo","abril","mayo","junio","julio","agosto","septiembre","octubre","noviembre","diciembre"},0)+1,0))</f>
        <v/>
      </c>
      <c r="E2035" t="str">
        <f>+IFERROR(VLOOKUP(Fact_Contabilidad[[#This Row], [Concepto Anterior]],Conceptos_Contabilidad[#All],5,0),"")</f>
        <v/>
      </c>
      <c r="F2035" t="str">
        <f>+IFERROR(VLOOKUP(Fact_Contabilidad[[#This Row], 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ht="18.75" customHeight="1" x14ac:dyDescent="0.35">
      <c r="A2036" s="103"/>
      <c r="C2036" s="100" t="str">
        <f>IF(OR(Fact_Contabilidad[[#This Row], [Año]]="",Fact_Contabilidad[[#This Row], [Mes]]=""),"",DATE(A2036,MATCH(B2036,{"enero","febrero","marzo","abril","mayo","junio","julio","agosto","septiembre","octubre","noviembre","diciembre"},0)+1,0))</f>
        <v/>
      </c>
      <c r="E2036" t="str">
        <f>+IFERROR(VLOOKUP(Fact_Contabilidad[[#This Row], [Concepto Anterior]],Conceptos_Contabilidad[#All],5,0),"")</f>
        <v/>
      </c>
      <c r="F2036" t="str">
        <f>+IFERROR(VLOOKUP(Fact_Contabilidad[[#This Row], 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ht="18.75" customHeight="1" x14ac:dyDescent="0.35">
      <c r="A2037" s="103"/>
      <c r="C2037" s="100" t="str">
        <f>IF(OR(Fact_Contabilidad[[#This Row], [Año]]="",Fact_Contabilidad[[#This Row], [Mes]]=""),"",DATE(A2037,MATCH(B2037,{"enero","febrero","marzo","abril","mayo","junio","julio","agosto","septiembre","octubre","noviembre","diciembre"},0)+1,0))</f>
        <v/>
      </c>
      <c r="E2037" t="str">
        <f>+IFERROR(VLOOKUP(Fact_Contabilidad[[#This Row], [Concepto Anterior]],Conceptos_Contabilidad[#All],5,0),"")</f>
        <v/>
      </c>
      <c r="F2037" t="str">
        <f>+IFERROR(VLOOKUP(Fact_Contabilidad[[#This Row], 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ht="18.75" customHeight="1" x14ac:dyDescent="0.35">
      <c r="A2038" s="103"/>
      <c r="C2038" s="100" t="str">
        <f>IF(OR(Fact_Contabilidad[[#This Row], [Año]]="",Fact_Contabilidad[[#This Row], [Mes]]=""),"",DATE(A2038,MATCH(B2038,{"enero","febrero","marzo","abril","mayo","junio","julio","agosto","septiembre","octubre","noviembre","diciembre"},0)+1,0))</f>
        <v/>
      </c>
      <c r="E2038" t="str">
        <f>+IFERROR(VLOOKUP(Fact_Contabilidad[[#This Row], [Concepto Anterior]],Conceptos_Contabilidad[#All],5,0),"")</f>
        <v/>
      </c>
      <c r="F2038" t="str">
        <f>+IFERROR(VLOOKUP(Fact_Contabilidad[[#This Row], 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ht="18.75" customHeight="1" x14ac:dyDescent="0.35">
      <c r="A2039" s="103"/>
      <c r="C2039" s="100" t="str">
        <f>IF(OR(Fact_Contabilidad[[#This Row], [Año]]="",Fact_Contabilidad[[#This Row], [Mes]]=""),"",DATE(A2039,MATCH(B2039,{"enero","febrero","marzo","abril","mayo","junio","julio","agosto","septiembre","octubre","noviembre","diciembre"},0)+1,0))</f>
        <v/>
      </c>
      <c r="E2039" t="str">
        <f>+IFERROR(VLOOKUP(Fact_Contabilidad[[#This Row], [Concepto Anterior]],Conceptos_Contabilidad[#All],5,0),"")</f>
        <v/>
      </c>
      <c r="F2039" t="str">
        <f>+IFERROR(VLOOKUP(Fact_Contabilidad[[#This Row], 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ht="18.75" customHeight="1" x14ac:dyDescent="0.35">
      <c r="A2040" s="103"/>
      <c r="C2040" s="100" t="str">
        <f>IF(OR(Fact_Contabilidad[[#This Row], [Año]]="",Fact_Contabilidad[[#This Row], [Mes]]=""),"",DATE(A2040,MATCH(B2040,{"enero","febrero","marzo","abril","mayo","junio","julio","agosto","septiembre","octubre","noviembre","diciembre"},0)+1,0))</f>
        <v/>
      </c>
      <c r="E2040" t="str">
        <f>+IFERROR(VLOOKUP(Fact_Contabilidad[[#This Row], [Concepto Anterior]],Conceptos_Contabilidad[#All],5,0),"")</f>
        <v/>
      </c>
      <c r="F2040" t="str">
        <f>+IFERROR(VLOOKUP(Fact_Contabilidad[[#This Row], 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ht="18.75" customHeight="1" x14ac:dyDescent="0.35">
      <c r="A2041" s="103"/>
      <c r="C2041" s="100" t="str">
        <f>IF(OR(Fact_Contabilidad[[#This Row], [Año]]="",Fact_Contabilidad[[#This Row], [Mes]]=""),"",DATE(A2041,MATCH(B2041,{"enero","febrero","marzo","abril","mayo","junio","julio","agosto","septiembre","octubre","noviembre","diciembre"},0)+1,0))</f>
        <v/>
      </c>
      <c r="E2041" t="str">
        <f>+IFERROR(VLOOKUP(Fact_Contabilidad[[#This Row], [Concepto Anterior]],Conceptos_Contabilidad[#All],5,0),"")</f>
        <v/>
      </c>
      <c r="F2041" t="str">
        <f>+IFERROR(VLOOKUP(Fact_Contabilidad[[#This Row], 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ht="18.75" customHeight="1" x14ac:dyDescent="0.35">
      <c r="A2042" s="103"/>
      <c r="C2042" s="100" t="str">
        <f>IF(OR(Fact_Contabilidad[[#This Row], [Año]]="",Fact_Contabilidad[[#This Row], [Mes]]=""),"",DATE(A2042,MATCH(B2042,{"enero","febrero","marzo","abril","mayo","junio","julio","agosto","septiembre","octubre","noviembre","diciembre"},0)+1,0))</f>
        <v/>
      </c>
      <c r="E2042" t="str">
        <f>+IFERROR(VLOOKUP(Fact_Contabilidad[[#This Row], [Concepto Anterior]],Conceptos_Contabilidad[#All],5,0),"")</f>
        <v/>
      </c>
      <c r="F2042" t="str">
        <f>+IFERROR(VLOOKUP(Fact_Contabilidad[[#This Row], 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ht="18.75" customHeight="1" x14ac:dyDescent="0.35">
      <c r="A2043" s="103"/>
      <c r="C2043" s="100" t="str">
        <f>IF(OR(Fact_Contabilidad[[#This Row], [Año]]="",Fact_Contabilidad[[#This Row], [Mes]]=""),"",DATE(A2043,MATCH(B2043,{"enero","febrero","marzo","abril","mayo","junio","julio","agosto","septiembre","octubre","noviembre","diciembre"},0)+1,0))</f>
        <v/>
      </c>
      <c r="E2043" t="str">
        <f>+IFERROR(VLOOKUP(Fact_Contabilidad[[#This Row], [Concepto Anterior]],Conceptos_Contabilidad[#All],5,0),"")</f>
        <v/>
      </c>
      <c r="F2043" t="str">
        <f>+IFERROR(VLOOKUP(Fact_Contabilidad[[#This Row], 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ht="18.75" customHeight="1" x14ac:dyDescent="0.35">
      <c r="A2044" s="103"/>
      <c r="C2044" s="100" t="str">
        <f>IF(OR(Fact_Contabilidad[[#This Row], [Año]]="",Fact_Contabilidad[[#This Row], [Mes]]=""),"",DATE(A2044,MATCH(B2044,{"enero","febrero","marzo","abril","mayo","junio","julio","agosto","septiembre","octubre","noviembre","diciembre"},0)+1,0))</f>
        <v/>
      </c>
      <c r="E2044" t="str">
        <f>+IFERROR(VLOOKUP(Fact_Contabilidad[[#This Row], [Concepto Anterior]],Conceptos_Contabilidad[#All],5,0),"")</f>
        <v/>
      </c>
      <c r="F2044" t="str">
        <f>+IFERROR(VLOOKUP(Fact_Contabilidad[[#This Row], 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ht="18.75" customHeight="1" x14ac:dyDescent="0.35">
      <c r="A2045" s="103"/>
      <c r="C2045" s="100" t="str">
        <f>IF(OR(Fact_Contabilidad[[#This Row], [Año]]="",Fact_Contabilidad[[#This Row], [Mes]]=""),"",DATE(A2045,MATCH(B2045,{"enero","febrero","marzo","abril","mayo","junio","julio","agosto","septiembre","octubre","noviembre","diciembre"},0)+1,0))</f>
        <v/>
      </c>
      <c r="E2045" t="str">
        <f>+IFERROR(VLOOKUP(Fact_Contabilidad[[#This Row], [Concepto Anterior]],Conceptos_Contabilidad[#All],5,0),"")</f>
        <v/>
      </c>
      <c r="F2045" t="str">
        <f>+IFERROR(VLOOKUP(Fact_Contabilidad[[#This Row], 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ht="18.75" customHeight="1" x14ac:dyDescent="0.35">
      <c r="A2046" s="103"/>
      <c r="C2046" s="100" t="str">
        <f>IF(OR(Fact_Contabilidad[[#This Row], [Año]]="",Fact_Contabilidad[[#This Row], [Mes]]=""),"",DATE(A2046,MATCH(B2046,{"enero","febrero","marzo","abril","mayo","junio","julio","agosto","septiembre","octubre","noviembre","diciembre"},0)+1,0))</f>
        <v/>
      </c>
      <c r="E2046" t="str">
        <f>+IFERROR(VLOOKUP(Fact_Contabilidad[[#This Row], [Concepto Anterior]],Conceptos_Contabilidad[#All],5,0),"")</f>
        <v/>
      </c>
      <c r="F2046" t="str">
        <f>+IFERROR(VLOOKUP(Fact_Contabilidad[[#This Row], 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ht="18.75" customHeight="1" x14ac:dyDescent="0.35">
      <c r="A2047" s="103"/>
      <c r="C2047" s="100" t="str">
        <f>IF(OR(Fact_Contabilidad[[#This Row], [Año]]="",Fact_Contabilidad[[#This Row], [Mes]]=""),"",DATE(A2047,MATCH(B2047,{"enero","febrero","marzo","abril","mayo","junio","julio","agosto","septiembre","octubre","noviembre","diciembre"},0)+1,0))</f>
        <v/>
      </c>
      <c r="E2047" t="str">
        <f>+IFERROR(VLOOKUP(Fact_Contabilidad[[#This Row], [Concepto Anterior]],Conceptos_Contabilidad[#All],5,0),"")</f>
        <v/>
      </c>
      <c r="F2047" t="str">
        <f>+IFERROR(VLOOKUP(Fact_Contabilidad[[#This Row], 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ht="18.75" customHeight="1" x14ac:dyDescent="0.35">
      <c r="A2048" s="103"/>
      <c r="C2048" s="100" t="str">
        <f>IF(OR(Fact_Contabilidad[[#This Row], [Año]]="",Fact_Contabilidad[[#This Row], [Mes]]=""),"",DATE(A2048,MATCH(B2048,{"enero","febrero","marzo","abril","mayo","junio","julio","agosto","septiembre","octubre","noviembre","diciembre"},0)+1,0))</f>
        <v/>
      </c>
      <c r="E2048" t="str">
        <f>+IFERROR(VLOOKUP(Fact_Contabilidad[[#This Row], [Concepto Anterior]],Conceptos_Contabilidad[#All],5,0),"")</f>
        <v/>
      </c>
      <c r="F2048" t="str">
        <f>+IFERROR(VLOOKUP(Fact_Contabilidad[[#This Row], 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ht="18.75" customHeight="1" x14ac:dyDescent="0.35">
      <c r="A2049" s="103"/>
      <c r="C2049" s="100" t="str">
        <f>IF(OR(Fact_Contabilidad[[#This Row], [Año]]="",Fact_Contabilidad[[#This Row], [Mes]]=""),"",DATE(A2049,MATCH(B2049,{"enero","febrero","marzo","abril","mayo","junio","julio","agosto","septiembre","octubre","noviembre","diciembre"},0)+1,0))</f>
        <v/>
      </c>
      <c r="E2049" t="str">
        <f>+IFERROR(VLOOKUP(Fact_Contabilidad[[#This Row], [Concepto Anterior]],Conceptos_Contabilidad[#All],5,0),"")</f>
        <v/>
      </c>
      <c r="F2049" t="str">
        <f>+IFERROR(VLOOKUP(Fact_Contabilidad[[#This Row], 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ht="18.75" customHeight="1" x14ac:dyDescent="0.35">
      <c r="A2050" s="103"/>
      <c r="C2050" s="100" t="str">
        <f>IF(OR(Fact_Contabilidad[[#This Row], [Año]]="",Fact_Contabilidad[[#This Row], [Mes]]=""),"",DATE(A2050,MATCH(B2050,{"enero","febrero","marzo","abril","mayo","junio","julio","agosto","septiembre","octubre","noviembre","diciembre"},0)+1,0))</f>
        <v/>
      </c>
      <c r="E2050" t="str">
        <f>+IFERROR(VLOOKUP(Fact_Contabilidad[[#This Row], [Concepto Anterior]],Conceptos_Contabilidad[#All],5,0),"")</f>
        <v/>
      </c>
      <c r="F2050" t="str">
        <f>+IFERROR(VLOOKUP(Fact_Contabilidad[[#This Row], 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ht="18.75" customHeight="1" x14ac:dyDescent="0.35">
      <c r="A2051" s="103"/>
      <c r="C2051" s="100" t="str">
        <f>IF(OR(Fact_Contabilidad[[#This Row], [Año]]="",Fact_Contabilidad[[#This Row], [Mes]]=""),"",DATE(A2051,MATCH(B2051,{"enero","febrero","marzo","abril","mayo","junio","julio","agosto","septiembre","octubre","noviembre","diciembre"},0)+1,0))</f>
        <v/>
      </c>
      <c r="E2051" t="str">
        <f>+IFERROR(VLOOKUP(Fact_Contabilidad[[#This Row], [Concepto Anterior]],Conceptos_Contabilidad[#All],5,0),"")</f>
        <v/>
      </c>
      <c r="F2051" t="str">
        <f>+IFERROR(VLOOKUP(Fact_Contabilidad[[#This Row], 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ht="18.75" customHeight="1" x14ac:dyDescent="0.35">
      <c r="A2052" s="103"/>
      <c r="C2052" s="100" t="str">
        <f>IF(OR(Fact_Contabilidad[[#This Row], [Año]]="",Fact_Contabilidad[[#This Row], [Mes]]=""),"",DATE(A2052,MATCH(B2052,{"enero","febrero","marzo","abril","mayo","junio","julio","agosto","septiembre","octubre","noviembre","diciembre"},0)+1,0))</f>
        <v/>
      </c>
      <c r="E2052" t="str">
        <f>+IFERROR(VLOOKUP(Fact_Contabilidad[[#This Row], [Concepto Anterior]],Conceptos_Contabilidad[#All],5,0),"")</f>
        <v/>
      </c>
      <c r="F2052" t="str">
        <f>+IFERROR(VLOOKUP(Fact_Contabilidad[[#This Row], 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ht="18.75" customHeight="1" x14ac:dyDescent="0.35">
      <c r="A2053" s="103"/>
      <c r="C2053" s="100" t="str">
        <f>IF(OR(Fact_Contabilidad[[#This Row], [Año]]="",Fact_Contabilidad[[#This Row], [Mes]]=""),"",DATE(A2053,MATCH(B2053,{"enero","febrero","marzo","abril","mayo","junio","julio","agosto","septiembre","octubre","noviembre","diciembre"},0)+1,0))</f>
        <v/>
      </c>
      <c r="E2053" t="str">
        <f>+IFERROR(VLOOKUP(Fact_Contabilidad[[#This Row], [Concepto Anterior]],Conceptos_Contabilidad[#All],5,0),"")</f>
        <v/>
      </c>
      <c r="F2053" t="str">
        <f>+IFERROR(VLOOKUP(Fact_Contabilidad[[#This Row], 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ht="18.75" customHeight="1" x14ac:dyDescent="0.35">
      <c r="A2054" s="103"/>
      <c r="C2054" s="100" t="str">
        <f>IF(OR(Fact_Contabilidad[[#This Row], [Año]]="",Fact_Contabilidad[[#This Row], [Mes]]=""),"",DATE(A2054,MATCH(B2054,{"enero","febrero","marzo","abril","mayo","junio","julio","agosto","septiembre","octubre","noviembre","diciembre"},0)+1,0))</f>
        <v/>
      </c>
      <c r="E2054" t="str">
        <f>+IFERROR(VLOOKUP(Fact_Contabilidad[[#This Row], [Concepto Anterior]],Conceptos_Contabilidad[#All],5,0),"")</f>
        <v/>
      </c>
      <c r="F2054" t="str">
        <f>+IFERROR(VLOOKUP(Fact_Contabilidad[[#This Row], 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ht="18.75" customHeight="1" x14ac:dyDescent="0.35">
      <c r="A2055" s="103"/>
      <c r="C2055" s="100" t="str">
        <f>IF(OR(Fact_Contabilidad[[#This Row], [Año]]="",Fact_Contabilidad[[#This Row], [Mes]]=""),"",DATE(A2055,MATCH(B2055,{"enero","febrero","marzo","abril","mayo","junio","julio","agosto","septiembre","octubre","noviembre","diciembre"},0)+1,0))</f>
        <v/>
      </c>
      <c r="E2055" t="str">
        <f>+IFERROR(VLOOKUP(Fact_Contabilidad[[#This Row], [Concepto Anterior]],Conceptos_Contabilidad[#All],5,0),"")</f>
        <v/>
      </c>
      <c r="F2055" t="str">
        <f>+IFERROR(VLOOKUP(Fact_Contabilidad[[#This Row], 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ht="18.75" customHeight="1" x14ac:dyDescent="0.35">
      <c r="A2056" s="103"/>
      <c r="C2056" s="100" t="str">
        <f>IF(OR(Fact_Contabilidad[[#This Row], [Año]]="",Fact_Contabilidad[[#This Row], [Mes]]=""),"",DATE(A2056,MATCH(B2056,{"enero","febrero","marzo","abril","mayo","junio","julio","agosto","septiembre","octubre","noviembre","diciembre"},0)+1,0))</f>
        <v/>
      </c>
      <c r="E2056" t="str">
        <f>+IFERROR(VLOOKUP(Fact_Contabilidad[[#This Row], [Concepto Anterior]],Conceptos_Contabilidad[#All],5,0),"")</f>
        <v/>
      </c>
      <c r="F2056" t="str">
        <f>+IFERROR(VLOOKUP(Fact_Contabilidad[[#This Row], 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ht="18.75" customHeight="1" x14ac:dyDescent="0.35">
      <c r="A2057" s="103"/>
      <c r="C2057" s="100" t="str">
        <f>IF(OR(Fact_Contabilidad[[#This Row], [Año]]="",Fact_Contabilidad[[#This Row], [Mes]]=""),"",DATE(A2057,MATCH(B2057,{"enero","febrero","marzo","abril","mayo","junio","julio","agosto","septiembre","octubre","noviembre","diciembre"},0)+1,0))</f>
        <v/>
      </c>
      <c r="E2057" t="str">
        <f>+IFERROR(VLOOKUP(Fact_Contabilidad[[#This Row], [Concepto Anterior]],Conceptos_Contabilidad[#All],5,0),"")</f>
        <v/>
      </c>
      <c r="F2057" t="str">
        <f>+IFERROR(VLOOKUP(Fact_Contabilidad[[#This Row], 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ht="18.75" customHeight="1" x14ac:dyDescent="0.35">
      <c r="A2058" s="103"/>
      <c r="C2058" s="100" t="str">
        <f>IF(OR(Fact_Contabilidad[[#This Row], [Año]]="",Fact_Contabilidad[[#This Row], [Mes]]=""),"",DATE(A2058,MATCH(B2058,{"enero","febrero","marzo","abril","mayo","junio","julio","agosto","septiembre","octubre","noviembre","diciembre"},0)+1,0))</f>
        <v/>
      </c>
      <c r="E2058" t="str">
        <f>+IFERROR(VLOOKUP(Fact_Contabilidad[[#This Row], [Concepto Anterior]],Conceptos_Contabilidad[#All],5,0),"")</f>
        <v/>
      </c>
      <c r="F2058" t="str">
        <f>+IFERROR(VLOOKUP(Fact_Contabilidad[[#This Row], 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ht="18.75" customHeight="1" x14ac:dyDescent="0.35">
      <c r="A2059" s="103"/>
      <c r="C2059" s="100" t="str">
        <f>IF(OR(Fact_Contabilidad[[#This Row], [Año]]="",Fact_Contabilidad[[#This Row], [Mes]]=""),"",DATE(A2059,MATCH(B2059,{"enero","febrero","marzo","abril","mayo","junio","julio","agosto","septiembre","octubre","noviembre","diciembre"},0)+1,0))</f>
        <v/>
      </c>
      <c r="E2059" t="str">
        <f>+IFERROR(VLOOKUP(Fact_Contabilidad[[#This Row], [Concepto Anterior]],Conceptos_Contabilidad[#All],5,0),"")</f>
        <v/>
      </c>
      <c r="F2059" t="str">
        <f>+IFERROR(VLOOKUP(Fact_Contabilidad[[#This Row], 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ht="18.75" customHeight="1" x14ac:dyDescent="0.35">
      <c r="A2060" s="103"/>
      <c r="C2060" s="100" t="str">
        <f>IF(OR(Fact_Contabilidad[[#This Row], [Año]]="",Fact_Contabilidad[[#This Row], [Mes]]=""),"",DATE(A2060,MATCH(B2060,{"enero","febrero","marzo","abril","mayo","junio","julio","agosto","septiembre","octubre","noviembre","diciembre"},0)+1,0))</f>
        <v/>
      </c>
      <c r="E2060" t="str">
        <f>+IFERROR(VLOOKUP(Fact_Contabilidad[[#This Row], [Concepto Anterior]],Conceptos_Contabilidad[#All],5,0),"")</f>
        <v/>
      </c>
      <c r="F2060" t="str">
        <f>+IFERROR(VLOOKUP(Fact_Contabilidad[[#This Row], 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ht="18.75" customHeight="1" x14ac:dyDescent="0.35">
      <c r="A2061" s="103"/>
      <c r="C2061" s="100" t="str">
        <f>IF(OR(Fact_Contabilidad[[#This Row], [Año]]="",Fact_Contabilidad[[#This Row], [Mes]]=""),"",DATE(A2061,MATCH(B2061,{"enero","febrero","marzo","abril","mayo","junio","julio","agosto","septiembre","octubre","noviembre","diciembre"},0)+1,0))</f>
        <v/>
      </c>
      <c r="E2061" t="str">
        <f>+IFERROR(VLOOKUP(Fact_Contabilidad[[#This Row], [Concepto Anterior]],Conceptos_Contabilidad[#All],5,0),"")</f>
        <v/>
      </c>
      <c r="F2061" t="str">
        <f>+IFERROR(VLOOKUP(Fact_Contabilidad[[#This Row], 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ht="18.75" customHeight="1" x14ac:dyDescent="0.35">
      <c r="A2062" s="103"/>
      <c r="C2062" s="100" t="str">
        <f>IF(OR(Fact_Contabilidad[[#This Row], [Año]]="",Fact_Contabilidad[[#This Row], [Mes]]=""),"",DATE(A2062,MATCH(B2062,{"enero","febrero","marzo","abril","mayo","junio","julio","agosto","septiembre","octubre","noviembre","diciembre"},0)+1,0))</f>
        <v/>
      </c>
      <c r="E2062" t="str">
        <f>+IFERROR(VLOOKUP(Fact_Contabilidad[[#This Row], [Concepto Anterior]],Conceptos_Contabilidad[#All],5,0),"")</f>
        <v/>
      </c>
      <c r="F2062" t="str">
        <f>+IFERROR(VLOOKUP(Fact_Contabilidad[[#This Row], 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ht="18.75" customHeight="1" x14ac:dyDescent="0.35">
      <c r="A2063" s="103"/>
      <c r="C2063" s="100" t="str">
        <f>IF(OR(Fact_Contabilidad[[#This Row], [Año]]="",Fact_Contabilidad[[#This Row], [Mes]]=""),"",DATE(A2063,MATCH(B2063,{"enero","febrero","marzo","abril","mayo","junio","julio","agosto","septiembre","octubre","noviembre","diciembre"},0)+1,0))</f>
        <v/>
      </c>
      <c r="E2063" t="str">
        <f>+IFERROR(VLOOKUP(Fact_Contabilidad[[#This Row], [Concepto Anterior]],Conceptos_Contabilidad[#All],5,0),"")</f>
        <v/>
      </c>
      <c r="F2063" t="str">
        <f>+IFERROR(VLOOKUP(Fact_Contabilidad[[#This Row], 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ht="18.75" customHeight="1" x14ac:dyDescent="0.35">
      <c r="A2064" s="103"/>
      <c r="C2064" s="100" t="str">
        <f>IF(OR(Fact_Contabilidad[[#This Row], [Año]]="",Fact_Contabilidad[[#This Row], [Mes]]=""),"",DATE(A2064,MATCH(B2064,{"enero","febrero","marzo","abril","mayo","junio","julio","agosto","septiembre","octubre","noviembre","diciembre"},0)+1,0))</f>
        <v/>
      </c>
      <c r="E2064" t="str">
        <f>+IFERROR(VLOOKUP(Fact_Contabilidad[[#This Row], [Concepto Anterior]],Conceptos_Contabilidad[#All],5,0),"")</f>
        <v/>
      </c>
      <c r="F2064" t="str">
        <f>+IFERROR(VLOOKUP(Fact_Contabilidad[[#This Row], 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ht="18.75" customHeight="1" x14ac:dyDescent="0.35">
      <c r="A2065" s="103"/>
      <c r="C2065" s="100" t="str">
        <f>IF(OR(Fact_Contabilidad[[#This Row], [Año]]="",Fact_Contabilidad[[#This Row], [Mes]]=""),"",DATE(A2065,MATCH(B2065,{"enero","febrero","marzo","abril","mayo","junio","julio","agosto","septiembre","octubre","noviembre","diciembre"},0)+1,0))</f>
        <v/>
      </c>
      <c r="E2065" t="str">
        <f>+IFERROR(VLOOKUP(Fact_Contabilidad[[#This Row], [Concepto Anterior]],Conceptos_Contabilidad[#All],5,0),"")</f>
        <v/>
      </c>
      <c r="F2065" t="str">
        <f>+IFERROR(VLOOKUP(Fact_Contabilidad[[#This Row], 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ht="18.75" customHeight="1" x14ac:dyDescent="0.35">
      <c r="A2066" s="103"/>
      <c r="C2066" s="100" t="str">
        <f>IF(OR(Fact_Contabilidad[[#This Row], [Año]]="",Fact_Contabilidad[[#This Row], [Mes]]=""),"",DATE(A2066,MATCH(B2066,{"enero","febrero","marzo","abril","mayo","junio","julio","agosto","septiembre","octubre","noviembre","diciembre"},0)+1,0))</f>
        <v/>
      </c>
      <c r="E2066" t="str">
        <f>+IFERROR(VLOOKUP(Fact_Contabilidad[[#This Row], [Concepto Anterior]],Conceptos_Contabilidad[#All],5,0),"")</f>
        <v/>
      </c>
      <c r="F2066" t="str">
        <f>+IFERROR(VLOOKUP(Fact_Contabilidad[[#This Row], 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ht="18.75" customHeight="1" x14ac:dyDescent="0.35">
      <c r="A2067" s="103"/>
      <c r="C2067" s="100" t="str">
        <f>IF(OR(Fact_Contabilidad[[#This Row], [Año]]="",Fact_Contabilidad[[#This Row], [Mes]]=""),"",DATE(A2067,MATCH(B2067,{"enero","febrero","marzo","abril","mayo","junio","julio","agosto","septiembre","octubre","noviembre","diciembre"},0)+1,0))</f>
        <v/>
      </c>
      <c r="E2067" t="str">
        <f>+IFERROR(VLOOKUP(Fact_Contabilidad[[#This Row], [Concepto Anterior]],Conceptos_Contabilidad[#All],5,0),"")</f>
        <v/>
      </c>
      <c r="F2067" t="str">
        <f>+IFERROR(VLOOKUP(Fact_Contabilidad[[#This Row], 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ht="18.75" customHeight="1" x14ac:dyDescent="0.35">
      <c r="A2068" s="103"/>
      <c r="C2068" s="100" t="str">
        <f>IF(OR(Fact_Contabilidad[[#This Row], [Año]]="",Fact_Contabilidad[[#This Row], [Mes]]=""),"",DATE(A2068,MATCH(B2068,{"enero","febrero","marzo","abril","mayo","junio","julio","agosto","septiembre","octubre","noviembre","diciembre"},0)+1,0))</f>
        <v/>
      </c>
      <c r="E2068" t="str">
        <f>+IFERROR(VLOOKUP(Fact_Contabilidad[[#This Row], [Concepto Anterior]],Conceptos_Contabilidad[#All],5,0),"")</f>
        <v/>
      </c>
      <c r="F2068" t="str">
        <f>+IFERROR(VLOOKUP(Fact_Contabilidad[[#This Row], 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ht="18.75" customHeight="1" x14ac:dyDescent="0.35">
      <c r="A2069" s="103"/>
      <c r="C2069" s="100" t="str">
        <f>IF(OR(Fact_Contabilidad[[#This Row], [Año]]="",Fact_Contabilidad[[#This Row], [Mes]]=""),"",DATE(A2069,MATCH(B2069,{"enero","febrero","marzo","abril","mayo","junio","julio","agosto","septiembre","octubre","noviembre","diciembre"},0)+1,0))</f>
        <v/>
      </c>
      <c r="E2069" t="str">
        <f>+IFERROR(VLOOKUP(Fact_Contabilidad[[#This Row], [Concepto Anterior]],Conceptos_Contabilidad[#All],5,0),"")</f>
        <v/>
      </c>
      <c r="F2069" t="str">
        <f>+IFERROR(VLOOKUP(Fact_Contabilidad[[#This Row], 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ht="18.75" customHeight="1" x14ac:dyDescent="0.35">
      <c r="A2070" s="103"/>
      <c r="C2070" s="100" t="str">
        <f>IF(OR(Fact_Contabilidad[[#This Row], [Año]]="",Fact_Contabilidad[[#This Row], [Mes]]=""),"",DATE(A2070,MATCH(B2070,{"enero","febrero","marzo","abril","mayo","junio","julio","agosto","septiembre","octubre","noviembre","diciembre"},0)+1,0))</f>
        <v/>
      </c>
      <c r="E2070" t="str">
        <f>+IFERROR(VLOOKUP(Fact_Contabilidad[[#This Row], [Concepto Anterior]],Conceptos_Contabilidad[#All],5,0),"")</f>
        <v/>
      </c>
      <c r="F2070" t="str">
        <f>+IFERROR(VLOOKUP(Fact_Contabilidad[[#This Row], 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ht="18.75" customHeight="1" x14ac:dyDescent="0.35">
      <c r="A2071" s="103"/>
      <c r="C2071" s="100" t="str">
        <f>IF(OR(Fact_Contabilidad[[#This Row], [Año]]="",Fact_Contabilidad[[#This Row], [Mes]]=""),"",DATE(A2071,MATCH(B2071,{"enero","febrero","marzo","abril","mayo","junio","julio","agosto","septiembre","octubre","noviembre","diciembre"},0)+1,0))</f>
        <v/>
      </c>
      <c r="E2071" t="str">
        <f>+IFERROR(VLOOKUP(Fact_Contabilidad[[#This Row], [Concepto Anterior]],Conceptos_Contabilidad[#All],5,0),"")</f>
        <v/>
      </c>
      <c r="F2071" t="str">
        <f>+IFERROR(VLOOKUP(Fact_Contabilidad[[#This Row], 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ht="18.75" customHeight="1" x14ac:dyDescent="0.35">
      <c r="A2072" s="103"/>
      <c r="C2072" s="100" t="str">
        <f>IF(OR(Fact_Contabilidad[[#This Row], [Año]]="",Fact_Contabilidad[[#This Row], [Mes]]=""),"",DATE(A2072,MATCH(B2072,{"enero","febrero","marzo","abril","mayo","junio","julio","agosto","septiembre","octubre","noviembre","diciembre"},0)+1,0))</f>
        <v/>
      </c>
      <c r="E2072" t="str">
        <f>+IFERROR(VLOOKUP(Fact_Contabilidad[[#This Row], [Concepto Anterior]],Conceptos_Contabilidad[#All],5,0),"")</f>
        <v/>
      </c>
      <c r="F2072" t="str">
        <f>+IFERROR(VLOOKUP(Fact_Contabilidad[[#This Row], 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ht="18.75" customHeight="1" x14ac:dyDescent="0.35">
      <c r="A2073" s="103"/>
      <c r="C2073" s="100" t="str">
        <f>IF(OR(Fact_Contabilidad[[#This Row], [Año]]="",Fact_Contabilidad[[#This Row], [Mes]]=""),"",DATE(A2073,MATCH(B2073,{"enero","febrero","marzo","abril","mayo","junio","julio","agosto","septiembre","octubre","noviembre","diciembre"},0)+1,0))</f>
        <v/>
      </c>
      <c r="E2073" t="str">
        <f>+IFERROR(VLOOKUP(Fact_Contabilidad[[#This Row], [Concepto Anterior]],Conceptos_Contabilidad[#All],5,0),"")</f>
        <v/>
      </c>
      <c r="F2073" t="str">
        <f>+IFERROR(VLOOKUP(Fact_Contabilidad[[#This Row], 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ht="18.75" customHeight="1" x14ac:dyDescent="0.35">
      <c r="A2074" s="103"/>
      <c r="C2074" s="100" t="str">
        <f>IF(OR(Fact_Contabilidad[[#This Row], [Año]]="",Fact_Contabilidad[[#This Row], [Mes]]=""),"",DATE(A2074,MATCH(B2074,{"enero","febrero","marzo","abril","mayo","junio","julio","agosto","septiembre","octubre","noviembre","diciembre"},0)+1,0))</f>
        <v/>
      </c>
      <c r="E2074" t="str">
        <f>+IFERROR(VLOOKUP(Fact_Contabilidad[[#This Row], [Concepto Anterior]],Conceptos_Contabilidad[#All],5,0),"")</f>
        <v/>
      </c>
      <c r="F2074" t="str">
        <f>+IFERROR(VLOOKUP(Fact_Contabilidad[[#This Row], 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ht="18.75" customHeight="1" x14ac:dyDescent="0.35">
      <c r="A2075" s="103"/>
      <c r="C2075" s="100" t="str">
        <f>IF(OR(Fact_Contabilidad[[#This Row], [Año]]="",Fact_Contabilidad[[#This Row], [Mes]]=""),"",DATE(A2075,MATCH(B2075,{"enero","febrero","marzo","abril","mayo","junio","julio","agosto","septiembre","octubre","noviembre","diciembre"},0)+1,0))</f>
        <v/>
      </c>
      <c r="E2075" t="str">
        <f>+IFERROR(VLOOKUP(Fact_Contabilidad[[#This Row], [Concepto Anterior]],Conceptos_Contabilidad[#All],5,0),"")</f>
        <v/>
      </c>
      <c r="F2075" t="str">
        <f>+IFERROR(VLOOKUP(Fact_Contabilidad[[#This Row], 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ht="18.75" customHeight="1" x14ac:dyDescent="0.35">
      <c r="A2076" s="103"/>
      <c r="C2076" s="100" t="str">
        <f>IF(OR(Fact_Contabilidad[[#This Row], [Año]]="",Fact_Contabilidad[[#This Row], [Mes]]=""),"",DATE(A2076,MATCH(B2076,{"enero","febrero","marzo","abril","mayo","junio","julio","agosto","septiembre","octubre","noviembre","diciembre"},0)+1,0))</f>
        <v/>
      </c>
      <c r="E2076" t="str">
        <f>+IFERROR(VLOOKUP(Fact_Contabilidad[[#This Row], [Concepto Anterior]],Conceptos_Contabilidad[#All],5,0),"")</f>
        <v/>
      </c>
      <c r="F2076" t="str">
        <f>+IFERROR(VLOOKUP(Fact_Contabilidad[[#This Row], 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ht="18.75" customHeight="1" x14ac:dyDescent="0.35">
      <c r="A2077" s="103"/>
      <c r="C2077" s="100" t="str">
        <f>IF(OR(Fact_Contabilidad[[#This Row], [Año]]="",Fact_Contabilidad[[#This Row], [Mes]]=""),"",DATE(A2077,MATCH(B2077,{"enero","febrero","marzo","abril","mayo","junio","julio","agosto","septiembre","octubre","noviembre","diciembre"},0)+1,0))</f>
        <v/>
      </c>
      <c r="E2077" t="str">
        <f>+IFERROR(VLOOKUP(Fact_Contabilidad[[#This Row], [Concepto Anterior]],Conceptos_Contabilidad[#All],5,0),"")</f>
        <v/>
      </c>
      <c r="F2077" t="str">
        <f>+IFERROR(VLOOKUP(Fact_Contabilidad[[#This Row], 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ht="18.75" customHeight="1" x14ac:dyDescent="0.35">
      <c r="A2078" s="103"/>
      <c r="C2078" s="100" t="str">
        <f>IF(OR(Fact_Contabilidad[[#This Row], [Año]]="",Fact_Contabilidad[[#This Row], [Mes]]=""),"",DATE(A2078,MATCH(B2078,{"enero","febrero","marzo","abril","mayo","junio","julio","agosto","septiembre","octubre","noviembre","diciembre"},0)+1,0))</f>
        <v/>
      </c>
      <c r="E2078" t="str">
        <f>+IFERROR(VLOOKUP(Fact_Contabilidad[[#This Row], [Concepto Anterior]],Conceptos_Contabilidad[#All],5,0),"")</f>
        <v/>
      </c>
      <c r="F2078" t="str">
        <f>+IFERROR(VLOOKUP(Fact_Contabilidad[[#This Row], 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ht="18.75" customHeight="1" x14ac:dyDescent="0.35">
      <c r="A2079" s="103"/>
      <c r="C2079" s="100" t="str">
        <f>IF(OR(Fact_Contabilidad[[#This Row], [Año]]="",Fact_Contabilidad[[#This Row], [Mes]]=""),"",DATE(A2079,MATCH(B2079,{"enero","febrero","marzo","abril","mayo","junio","julio","agosto","septiembre","octubre","noviembre","diciembre"},0)+1,0))</f>
        <v/>
      </c>
      <c r="E2079" t="str">
        <f>+IFERROR(VLOOKUP(Fact_Contabilidad[[#This Row], [Concepto Anterior]],Conceptos_Contabilidad[#All],5,0),"")</f>
        <v/>
      </c>
      <c r="F2079" t="str">
        <f>+IFERROR(VLOOKUP(Fact_Contabilidad[[#This Row], 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ht="18.75" customHeight="1" x14ac:dyDescent="0.35">
      <c r="A2080" s="103"/>
      <c r="C2080" s="100" t="str">
        <f>IF(OR(Fact_Contabilidad[[#This Row], [Año]]="",Fact_Contabilidad[[#This Row], [Mes]]=""),"",DATE(A2080,MATCH(B2080,{"enero","febrero","marzo","abril","mayo","junio","julio","agosto","septiembre","octubre","noviembre","diciembre"},0)+1,0))</f>
        <v/>
      </c>
      <c r="E2080" t="str">
        <f>+IFERROR(VLOOKUP(Fact_Contabilidad[[#This Row], [Concepto Anterior]],Conceptos_Contabilidad[#All],5,0),"")</f>
        <v/>
      </c>
      <c r="F2080" t="str">
        <f>+IFERROR(VLOOKUP(Fact_Contabilidad[[#This Row], 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ht="18.75" customHeight="1" x14ac:dyDescent="0.35">
      <c r="A2081" s="103"/>
      <c r="C2081" s="100" t="str">
        <f>IF(OR(Fact_Contabilidad[[#This Row], [Año]]="",Fact_Contabilidad[[#This Row], [Mes]]=""),"",DATE(A2081,MATCH(B2081,{"enero","febrero","marzo","abril","mayo","junio","julio","agosto","septiembre","octubre","noviembre","diciembre"},0)+1,0))</f>
        <v/>
      </c>
      <c r="E2081" t="str">
        <f>+IFERROR(VLOOKUP(Fact_Contabilidad[[#This Row], [Concepto Anterior]],Conceptos_Contabilidad[#All],5,0),"")</f>
        <v/>
      </c>
      <c r="F2081" t="str">
        <f>+IFERROR(VLOOKUP(Fact_Contabilidad[[#This Row], 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ht="18.75" customHeight="1" x14ac:dyDescent="0.35">
      <c r="A2082" s="103"/>
      <c r="C2082" s="100" t="str">
        <f>IF(OR(Fact_Contabilidad[[#This Row], [Año]]="",Fact_Contabilidad[[#This Row], [Mes]]=""),"",DATE(A2082,MATCH(B2082,{"enero","febrero","marzo","abril","mayo","junio","julio","agosto","septiembre","octubre","noviembre","diciembre"},0)+1,0))</f>
        <v/>
      </c>
      <c r="E2082" t="str">
        <f>+IFERROR(VLOOKUP(Fact_Contabilidad[[#This Row], [Concepto Anterior]],Conceptos_Contabilidad[#All],5,0),"")</f>
        <v/>
      </c>
      <c r="F2082" t="str">
        <f>+IFERROR(VLOOKUP(Fact_Contabilidad[[#This Row], 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ht="18.75" customHeight="1" x14ac:dyDescent="0.35">
      <c r="A2083" s="103"/>
      <c r="C2083" s="100" t="str">
        <f>IF(OR(Fact_Contabilidad[[#This Row], [Año]]="",Fact_Contabilidad[[#This Row], [Mes]]=""),"",DATE(A2083,MATCH(B2083,{"enero","febrero","marzo","abril","mayo","junio","julio","agosto","septiembre","octubre","noviembre","diciembre"},0)+1,0))</f>
        <v/>
      </c>
      <c r="E2083" t="str">
        <f>+IFERROR(VLOOKUP(Fact_Contabilidad[[#This Row], [Concepto Anterior]],Conceptos_Contabilidad[#All],5,0),"")</f>
        <v/>
      </c>
      <c r="F2083" t="str">
        <f>+IFERROR(VLOOKUP(Fact_Contabilidad[[#This Row], 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ht="18.75" customHeight="1" x14ac:dyDescent="0.35">
      <c r="A2084" s="103"/>
      <c r="C2084" s="100" t="str">
        <f>IF(OR(Fact_Contabilidad[[#This Row], [Año]]="",Fact_Contabilidad[[#This Row], [Mes]]=""),"",DATE(A2084,MATCH(B2084,{"enero","febrero","marzo","abril","mayo","junio","julio","agosto","septiembre","octubre","noviembre","diciembre"},0)+1,0))</f>
        <v/>
      </c>
      <c r="E2084" t="str">
        <f>+IFERROR(VLOOKUP(Fact_Contabilidad[[#This Row], [Concepto Anterior]],Conceptos_Contabilidad[#All],5,0),"")</f>
        <v/>
      </c>
      <c r="F2084" t="str">
        <f>+IFERROR(VLOOKUP(Fact_Contabilidad[[#This Row], 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ht="18.75" customHeight="1" x14ac:dyDescent="0.35">
      <c r="A2085" s="103"/>
      <c r="C2085" s="100" t="str">
        <f>IF(OR(Fact_Contabilidad[[#This Row], [Año]]="",Fact_Contabilidad[[#This Row], [Mes]]=""),"",DATE(A2085,MATCH(B2085,{"enero","febrero","marzo","abril","mayo","junio","julio","agosto","septiembre","octubre","noviembre","diciembre"},0)+1,0))</f>
        <v/>
      </c>
      <c r="E2085" t="str">
        <f>+IFERROR(VLOOKUP(Fact_Contabilidad[[#This Row], [Concepto Anterior]],Conceptos_Contabilidad[#All],5,0),"")</f>
        <v/>
      </c>
      <c r="F2085" t="str">
        <f>+IFERROR(VLOOKUP(Fact_Contabilidad[[#This Row], 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ht="18.75" customHeight="1" x14ac:dyDescent="0.35">
      <c r="A2086" s="103"/>
      <c r="C2086" s="100" t="str">
        <f>IF(OR(Fact_Contabilidad[[#This Row], [Año]]="",Fact_Contabilidad[[#This Row], [Mes]]=""),"",DATE(A2086,MATCH(B2086,{"enero","febrero","marzo","abril","mayo","junio","julio","agosto","septiembre","octubre","noviembre","diciembre"},0)+1,0))</f>
        <v/>
      </c>
      <c r="E2086" t="str">
        <f>+IFERROR(VLOOKUP(Fact_Contabilidad[[#This Row], [Concepto Anterior]],Conceptos_Contabilidad[#All],5,0),"")</f>
        <v/>
      </c>
      <c r="F2086" t="str">
        <f>+IFERROR(VLOOKUP(Fact_Contabilidad[[#This Row], 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ht="18.75" customHeight="1" x14ac:dyDescent="0.35">
      <c r="A2087" s="103"/>
      <c r="C2087" s="100" t="str">
        <f>IF(OR(Fact_Contabilidad[[#This Row], [Año]]="",Fact_Contabilidad[[#This Row], [Mes]]=""),"",DATE(A2087,MATCH(B2087,{"enero","febrero","marzo","abril","mayo","junio","julio","agosto","septiembre","octubre","noviembre","diciembre"},0)+1,0))</f>
        <v/>
      </c>
      <c r="E2087" t="str">
        <f>+IFERROR(VLOOKUP(Fact_Contabilidad[[#This Row], [Concepto Anterior]],Conceptos_Contabilidad[#All],5,0),"")</f>
        <v/>
      </c>
      <c r="F2087" t="str">
        <f>+IFERROR(VLOOKUP(Fact_Contabilidad[[#This Row], 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ht="18.75" customHeight="1" x14ac:dyDescent="0.35">
      <c r="A2088" s="103"/>
      <c r="C2088" s="100" t="str">
        <f>IF(OR(Fact_Contabilidad[[#This Row], [Año]]="",Fact_Contabilidad[[#This Row], [Mes]]=""),"",DATE(A2088,MATCH(B2088,{"enero","febrero","marzo","abril","mayo","junio","julio","agosto","septiembre","octubre","noviembre","diciembre"},0)+1,0))</f>
        <v/>
      </c>
      <c r="E2088" t="str">
        <f>+IFERROR(VLOOKUP(Fact_Contabilidad[[#This Row], [Concepto Anterior]],Conceptos_Contabilidad[#All],5,0),"")</f>
        <v/>
      </c>
      <c r="F2088" t="str">
        <f>+IFERROR(VLOOKUP(Fact_Contabilidad[[#This Row], 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ht="18.75" customHeight="1" x14ac:dyDescent="0.35">
      <c r="A2089" s="103"/>
      <c r="C2089" s="100" t="str">
        <f>IF(OR(Fact_Contabilidad[[#This Row], [Año]]="",Fact_Contabilidad[[#This Row], [Mes]]=""),"",DATE(A2089,MATCH(B2089,{"enero","febrero","marzo","abril","mayo","junio","julio","agosto","septiembre","octubre","noviembre","diciembre"},0)+1,0))</f>
        <v/>
      </c>
      <c r="E2089" t="str">
        <f>+IFERROR(VLOOKUP(Fact_Contabilidad[[#This Row], [Concepto Anterior]],Conceptos_Contabilidad[#All],5,0),"")</f>
        <v/>
      </c>
      <c r="F2089" t="str">
        <f>+IFERROR(VLOOKUP(Fact_Contabilidad[[#This Row], 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ht="18.75" customHeight="1" x14ac:dyDescent="0.35">
      <c r="A2090" s="103"/>
      <c r="C2090" s="100" t="str">
        <f>IF(OR(Fact_Contabilidad[[#This Row], [Año]]="",Fact_Contabilidad[[#This Row], [Mes]]=""),"",DATE(A2090,MATCH(B2090,{"enero","febrero","marzo","abril","mayo","junio","julio","agosto","septiembre","octubre","noviembre","diciembre"},0)+1,0))</f>
        <v/>
      </c>
      <c r="E2090" t="str">
        <f>+IFERROR(VLOOKUP(Fact_Contabilidad[[#This Row], [Concepto Anterior]],Conceptos_Contabilidad[#All],5,0),"")</f>
        <v/>
      </c>
      <c r="F2090" t="str">
        <f>+IFERROR(VLOOKUP(Fact_Contabilidad[[#This Row], 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ht="18.75" customHeight="1" x14ac:dyDescent="0.35">
      <c r="A2091" s="103"/>
      <c r="C2091" s="100" t="str">
        <f>IF(OR(Fact_Contabilidad[[#This Row], [Año]]="",Fact_Contabilidad[[#This Row], [Mes]]=""),"",DATE(A2091,MATCH(B2091,{"enero","febrero","marzo","abril","mayo","junio","julio","agosto","septiembre","octubre","noviembre","diciembre"},0)+1,0))</f>
        <v/>
      </c>
      <c r="E2091" t="str">
        <f>+IFERROR(VLOOKUP(Fact_Contabilidad[[#This Row], [Concepto Anterior]],Conceptos_Contabilidad[#All],5,0),"")</f>
        <v/>
      </c>
      <c r="F2091" t="str">
        <f>+IFERROR(VLOOKUP(Fact_Contabilidad[[#This Row], 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ht="18.75" customHeight="1" x14ac:dyDescent="0.35">
      <c r="A2092" s="103"/>
      <c r="C2092" s="100" t="str">
        <f>IF(OR(Fact_Contabilidad[[#This Row], [Año]]="",Fact_Contabilidad[[#This Row], [Mes]]=""),"",DATE(A2092,MATCH(B2092,{"enero","febrero","marzo","abril","mayo","junio","julio","agosto","septiembre","octubre","noviembre","diciembre"},0)+1,0))</f>
        <v/>
      </c>
      <c r="E2092" t="str">
        <f>+IFERROR(VLOOKUP(Fact_Contabilidad[[#This Row], [Concepto Anterior]],Conceptos_Contabilidad[#All],5,0),"")</f>
        <v/>
      </c>
      <c r="F2092" t="str">
        <f>+IFERROR(VLOOKUP(Fact_Contabilidad[[#This Row], 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ht="18.75" customHeight="1" x14ac:dyDescent="0.35">
      <c r="A2093" s="103"/>
      <c r="C2093" s="100" t="str">
        <f>IF(OR(Fact_Contabilidad[[#This Row], [Año]]="",Fact_Contabilidad[[#This Row], [Mes]]=""),"",DATE(A2093,MATCH(B2093,{"enero","febrero","marzo","abril","mayo","junio","julio","agosto","septiembre","octubre","noviembre","diciembre"},0)+1,0))</f>
        <v/>
      </c>
      <c r="E2093" t="str">
        <f>+IFERROR(VLOOKUP(Fact_Contabilidad[[#This Row], [Concepto Anterior]],Conceptos_Contabilidad[#All],5,0),"")</f>
        <v/>
      </c>
      <c r="F2093" t="str">
        <f>+IFERROR(VLOOKUP(Fact_Contabilidad[[#This Row], 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ht="18.75" customHeight="1" x14ac:dyDescent="0.35">
      <c r="A2094" s="103"/>
      <c r="C2094" s="100" t="str">
        <f>IF(OR(Fact_Contabilidad[[#This Row], [Año]]="",Fact_Contabilidad[[#This Row], [Mes]]=""),"",DATE(A2094,MATCH(B2094,{"enero","febrero","marzo","abril","mayo","junio","julio","agosto","septiembre","octubre","noviembre","diciembre"},0)+1,0))</f>
        <v/>
      </c>
      <c r="E2094" t="str">
        <f>+IFERROR(VLOOKUP(Fact_Contabilidad[[#This Row], [Concepto Anterior]],Conceptos_Contabilidad[#All],5,0),"")</f>
        <v/>
      </c>
      <c r="F2094" t="str">
        <f>+IFERROR(VLOOKUP(Fact_Contabilidad[[#This Row], 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ht="18.75" customHeight="1" x14ac:dyDescent="0.35">
      <c r="A2095" s="103"/>
      <c r="C2095" s="100" t="str">
        <f>IF(OR(Fact_Contabilidad[[#This Row], [Año]]="",Fact_Contabilidad[[#This Row], [Mes]]=""),"",DATE(A2095,MATCH(B2095,{"enero","febrero","marzo","abril","mayo","junio","julio","agosto","septiembre","octubre","noviembre","diciembre"},0)+1,0))</f>
        <v/>
      </c>
      <c r="E2095" t="str">
        <f>+IFERROR(VLOOKUP(Fact_Contabilidad[[#This Row], [Concepto Anterior]],Conceptos_Contabilidad[#All],5,0),"")</f>
        <v/>
      </c>
      <c r="F2095" t="str">
        <f>+IFERROR(VLOOKUP(Fact_Contabilidad[[#This Row], 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ht="18.75" customHeight="1" x14ac:dyDescent="0.35">
      <c r="A2096" s="103"/>
      <c r="C2096" s="100" t="str">
        <f>IF(OR(Fact_Contabilidad[[#This Row], [Año]]="",Fact_Contabilidad[[#This Row], [Mes]]=""),"",DATE(A2096,MATCH(B2096,{"enero","febrero","marzo","abril","mayo","junio","julio","agosto","septiembre","octubre","noviembre","diciembre"},0)+1,0))</f>
        <v/>
      </c>
      <c r="E2096" t="str">
        <f>+IFERROR(VLOOKUP(Fact_Contabilidad[[#This Row], [Concepto Anterior]],Conceptos_Contabilidad[#All],5,0),"")</f>
        <v/>
      </c>
      <c r="F2096" t="str">
        <f>+IFERROR(VLOOKUP(Fact_Contabilidad[[#This Row], 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ht="18.75" customHeight="1" x14ac:dyDescent="0.35">
      <c r="A2097" s="103"/>
      <c r="C2097" s="100" t="str">
        <f>IF(OR(Fact_Contabilidad[[#This Row], [Año]]="",Fact_Contabilidad[[#This Row], [Mes]]=""),"",DATE(A2097,MATCH(B2097,{"enero","febrero","marzo","abril","mayo","junio","julio","agosto","septiembre","octubre","noviembre","diciembre"},0)+1,0))</f>
        <v/>
      </c>
      <c r="E2097" t="str">
        <f>+IFERROR(VLOOKUP(Fact_Contabilidad[[#This Row], [Concepto Anterior]],Conceptos_Contabilidad[#All],5,0),"")</f>
        <v/>
      </c>
      <c r="F2097" t="str">
        <f>+IFERROR(VLOOKUP(Fact_Contabilidad[[#This Row], 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ht="18.75" customHeight="1" x14ac:dyDescent="0.35">
      <c r="A2098" s="103"/>
      <c r="C2098" s="100" t="str">
        <f>IF(OR(Fact_Contabilidad[[#This Row], [Año]]="",Fact_Contabilidad[[#This Row], [Mes]]=""),"",DATE(A2098,MATCH(B2098,{"enero","febrero","marzo","abril","mayo","junio","julio","agosto","septiembre","octubre","noviembre","diciembre"},0)+1,0))</f>
        <v/>
      </c>
      <c r="E2098" t="str">
        <f>+IFERROR(VLOOKUP(Fact_Contabilidad[[#This Row], [Concepto Anterior]],Conceptos_Contabilidad[#All],5,0),"")</f>
        <v/>
      </c>
      <c r="F2098" t="str">
        <f>+IFERROR(VLOOKUP(Fact_Contabilidad[[#This Row], 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ht="18.75" customHeight="1" x14ac:dyDescent="0.35">
      <c r="A2099" s="103"/>
      <c r="C2099" s="100" t="str">
        <f>IF(OR(Fact_Contabilidad[[#This Row], [Año]]="",Fact_Contabilidad[[#This Row], [Mes]]=""),"",DATE(A2099,MATCH(B2099,{"enero","febrero","marzo","abril","mayo","junio","julio","agosto","septiembre","octubre","noviembre","diciembre"},0)+1,0))</f>
        <v/>
      </c>
      <c r="E2099" t="str">
        <f>+IFERROR(VLOOKUP(Fact_Contabilidad[[#This Row], [Concepto Anterior]],Conceptos_Contabilidad[#All],5,0),"")</f>
        <v/>
      </c>
      <c r="F2099" t="str">
        <f>+IFERROR(VLOOKUP(Fact_Contabilidad[[#This Row], 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ht="18.75" customHeight="1" x14ac:dyDescent="0.35">
      <c r="A2100" s="103"/>
      <c r="C2100" s="100" t="str">
        <f>IF(OR(Fact_Contabilidad[[#This Row], [Año]]="",Fact_Contabilidad[[#This Row], [Mes]]=""),"",DATE(A2100,MATCH(B2100,{"enero","febrero","marzo","abril","mayo","junio","julio","agosto","septiembre","octubre","noviembre","diciembre"},0)+1,0))</f>
        <v/>
      </c>
      <c r="E2100" t="str">
        <f>+IFERROR(VLOOKUP(Fact_Contabilidad[[#This Row], [Concepto Anterior]],Conceptos_Contabilidad[#All],5,0),"")</f>
        <v/>
      </c>
      <c r="F2100" t="str">
        <f>+IFERROR(VLOOKUP(Fact_Contabilidad[[#This Row], 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ht="18.75" customHeight="1" x14ac:dyDescent="0.35">
      <c r="A2101" s="103"/>
      <c r="C2101" s="100" t="str">
        <f>IF(OR(Fact_Contabilidad[[#This Row], [Año]]="",Fact_Contabilidad[[#This Row], [Mes]]=""),"",DATE(A2101,MATCH(B2101,{"enero","febrero","marzo","abril","mayo","junio","julio","agosto","septiembre","octubre","noviembre","diciembre"},0)+1,0))</f>
        <v/>
      </c>
      <c r="E2101" t="str">
        <f>+IFERROR(VLOOKUP(Fact_Contabilidad[[#This Row], [Concepto Anterior]],Conceptos_Contabilidad[#All],5,0),"")</f>
        <v/>
      </c>
      <c r="F2101" t="str">
        <f>+IFERROR(VLOOKUP(Fact_Contabilidad[[#This Row], 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ht="18.75" customHeight="1" x14ac:dyDescent="0.35">
      <c r="A2102" s="103"/>
      <c r="C2102" s="100" t="str">
        <f>IF(OR(Fact_Contabilidad[[#This Row], [Año]]="",Fact_Contabilidad[[#This Row], [Mes]]=""),"",DATE(A2102,MATCH(B2102,{"enero","febrero","marzo","abril","mayo","junio","julio","agosto","septiembre","octubre","noviembre","diciembre"},0)+1,0))</f>
        <v/>
      </c>
      <c r="E2102" t="str">
        <f>+IFERROR(VLOOKUP(Fact_Contabilidad[[#This Row], [Concepto Anterior]],Conceptos_Contabilidad[#All],5,0),"")</f>
        <v/>
      </c>
      <c r="F2102" t="str">
        <f>+IFERROR(VLOOKUP(Fact_Contabilidad[[#This Row], 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ht="18.75" customHeight="1" x14ac:dyDescent="0.35">
      <c r="A2103" s="103"/>
      <c r="C2103" s="100" t="str">
        <f>IF(OR(Fact_Contabilidad[[#This Row], [Año]]="",Fact_Contabilidad[[#This Row], [Mes]]=""),"",DATE(A2103,MATCH(B2103,{"enero","febrero","marzo","abril","mayo","junio","julio","agosto","septiembre","octubre","noviembre","diciembre"},0)+1,0))</f>
        <v/>
      </c>
      <c r="E2103" t="str">
        <f>+IFERROR(VLOOKUP(Fact_Contabilidad[[#This Row], [Concepto Anterior]],Conceptos_Contabilidad[#All],5,0),"")</f>
        <v/>
      </c>
      <c r="F2103" t="str">
        <f>+IFERROR(VLOOKUP(Fact_Contabilidad[[#This Row], 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ht="18.75" customHeight="1" x14ac:dyDescent="0.35">
      <c r="A2104" s="103"/>
      <c r="C2104" s="100" t="str">
        <f>IF(OR(Fact_Contabilidad[[#This Row], [Año]]="",Fact_Contabilidad[[#This Row], [Mes]]=""),"",DATE(A2104,MATCH(B2104,{"enero","febrero","marzo","abril","mayo","junio","julio","agosto","septiembre","octubre","noviembre","diciembre"},0)+1,0))</f>
        <v/>
      </c>
      <c r="E2104" t="str">
        <f>+IFERROR(VLOOKUP(Fact_Contabilidad[[#This Row], [Concepto Anterior]],Conceptos_Contabilidad[#All],5,0),"")</f>
        <v/>
      </c>
      <c r="F2104" t="str">
        <f>+IFERROR(VLOOKUP(Fact_Contabilidad[[#This Row], 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ht="18.75" customHeight="1" x14ac:dyDescent="0.35">
      <c r="A2105" s="103"/>
      <c r="C2105" s="100" t="str">
        <f>IF(OR(Fact_Contabilidad[[#This Row], [Año]]="",Fact_Contabilidad[[#This Row], [Mes]]=""),"",DATE(A2105,MATCH(B2105,{"enero","febrero","marzo","abril","mayo","junio","julio","agosto","septiembre","octubre","noviembre","diciembre"},0)+1,0))</f>
        <v/>
      </c>
      <c r="E2105" t="str">
        <f>+IFERROR(VLOOKUP(Fact_Contabilidad[[#This Row], [Concepto Anterior]],Conceptos_Contabilidad[#All],5,0),"")</f>
        <v/>
      </c>
      <c r="F2105" t="str">
        <f>+IFERROR(VLOOKUP(Fact_Contabilidad[[#This Row], 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ht="18.75" customHeight="1" x14ac:dyDescent="0.35">
      <c r="A2106" s="103"/>
      <c r="C2106" s="100" t="str">
        <f>IF(OR(Fact_Contabilidad[[#This Row], [Año]]="",Fact_Contabilidad[[#This Row], [Mes]]=""),"",DATE(A2106,MATCH(B2106,{"enero","febrero","marzo","abril","mayo","junio","julio","agosto","septiembre","octubre","noviembre","diciembre"},0)+1,0))</f>
        <v/>
      </c>
      <c r="E2106" t="str">
        <f>+IFERROR(VLOOKUP(Fact_Contabilidad[[#This Row], [Concepto Anterior]],Conceptos_Contabilidad[#All],5,0),"")</f>
        <v/>
      </c>
      <c r="F2106" t="str">
        <f>+IFERROR(VLOOKUP(Fact_Contabilidad[[#This Row], 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ht="18.75" customHeight="1" x14ac:dyDescent="0.35">
      <c r="A2107" s="103"/>
      <c r="C2107" s="100" t="str">
        <f>IF(OR(Fact_Contabilidad[[#This Row], [Año]]="",Fact_Contabilidad[[#This Row], [Mes]]=""),"",DATE(A2107,MATCH(B2107,{"enero","febrero","marzo","abril","mayo","junio","julio","agosto","septiembre","octubre","noviembre","diciembre"},0)+1,0))</f>
        <v/>
      </c>
      <c r="E2107" t="str">
        <f>+IFERROR(VLOOKUP(Fact_Contabilidad[[#This Row], [Concepto Anterior]],Conceptos_Contabilidad[#All],5,0),"")</f>
        <v/>
      </c>
      <c r="F2107" t="str">
        <f>+IFERROR(VLOOKUP(Fact_Contabilidad[[#This Row], 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ht="18.75" customHeight="1" x14ac:dyDescent="0.35">
      <c r="A2108" s="103"/>
      <c r="C2108" s="100" t="str">
        <f>IF(OR(Fact_Contabilidad[[#This Row], [Año]]="",Fact_Contabilidad[[#This Row], [Mes]]=""),"",DATE(A2108,MATCH(B2108,{"enero","febrero","marzo","abril","mayo","junio","julio","agosto","septiembre","octubre","noviembre","diciembre"},0)+1,0))</f>
        <v/>
      </c>
      <c r="E2108" t="str">
        <f>+IFERROR(VLOOKUP(Fact_Contabilidad[[#This Row], [Concepto Anterior]],Conceptos_Contabilidad[#All],5,0),"")</f>
        <v/>
      </c>
      <c r="F2108" t="str">
        <f>+IFERROR(VLOOKUP(Fact_Contabilidad[[#This Row], 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ht="18.75" customHeight="1" x14ac:dyDescent="0.35">
      <c r="A2109" s="103"/>
      <c r="C2109" s="100" t="str">
        <f>IF(OR(Fact_Contabilidad[[#This Row], [Año]]="",Fact_Contabilidad[[#This Row], [Mes]]=""),"",DATE(A2109,MATCH(B2109,{"enero","febrero","marzo","abril","mayo","junio","julio","agosto","septiembre","octubre","noviembre","diciembre"},0)+1,0))</f>
        <v/>
      </c>
      <c r="E2109" t="str">
        <f>+IFERROR(VLOOKUP(Fact_Contabilidad[[#This Row], [Concepto Anterior]],Conceptos_Contabilidad[#All],5,0),"")</f>
        <v/>
      </c>
      <c r="F2109" t="str">
        <f>+IFERROR(VLOOKUP(Fact_Contabilidad[[#This Row], 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ht="18.75" customHeight="1" x14ac:dyDescent="0.35">
      <c r="A2110" s="103"/>
      <c r="C2110" s="100" t="str">
        <f>IF(OR(Fact_Contabilidad[[#This Row], [Año]]="",Fact_Contabilidad[[#This Row], [Mes]]=""),"",DATE(A2110,MATCH(B2110,{"enero","febrero","marzo","abril","mayo","junio","julio","agosto","septiembre","octubre","noviembre","diciembre"},0)+1,0))</f>
        <v/>
      </c>
      <c r="E2110" t="str">
        <f>+IFERROR(VLOOKUP(Fact_Contabilidad[[#This Row], [Concepto Anterior]],Conceptos_Contabilidad[#All],5,0),"")</f>
        <v/>
      </c>
      <c r="F2110" t="str">
        <f>+IFERROR(VLOOKUP(Fact_Contabilidad[[#This Row], 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ht="18.75" customHeight="1" x14ac:dyDescent="0.35">
      <c r="A2111" s="103"/>
      <c r="C2111" s="100" t="str">
        <f>IF(OR(Fact_Contabilidad[[#This Row], [Año]]="",Fact_Contabilidad[[#This Row], [Mes]]=""),"",DATE(A2111,MATCH(B2111,{"enero","febrero","marzo","abril","mayo","junio","julio","agosto","septiembre","octubre","noviembre","diciembre"},0)+1,0))</f>
        <v/>
      </c>
      <c r="E2111" t="str">
        <f>+IFERROR(VLOOKUP(Fact_Contabilidad[[#This Row], [Concepto Anterior]],Conceptos_Contabilidad[#All],5,0),"")</f>
        <v/>
      </c>
      <c r="F2111" t="str">
        <f>+IFERROR(VLOOKUP(Fact_Contabilidad[[#This Row], 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ht="18.75" customHeight="1" x14ac:dyDescent="0.35">
      <c r="A2112" s="103"/>
      <c r="C2112" s="100" t="str">
        <f>IF(OR(Fact_Contabilidad[[#This Row], [Año]]="",Fact_Contabilidad[[#This Row], [Mes]]=""),"",DATE(A2112,MATCH(B2112,{"enero","febrero","marzo","abril","mayo","junio","julio","agosto","septiembre","octubre","noviembre","diciembre"},0)+1,0))</f>
        <v/>
      </c>
      <c r="E2112" t="str">
        <f>+IFERROR(VLOOKUP(Fact_Contabilidad[[#This Row], [Concepto Anterior]],Conceptos_Contabilidad[#All],5,0),"")</f>
        <v/>
      </c>
      <c r="F2112" t="str">
        <f>+IFERROR(VLOOKUP(Fact_Contabilidad[[#This Row], 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ht="18.75" customHeight="1" x14ac:dyDescent="0.35">
      <c r="A2113" s="103"/>
      <c r="C2113" s="100" t="str">
        <f>IF(OR(Fact_Contabilidad[[#This Row], [Año]]="",Fact_Contabilidad[[#This Row], [Mes]]=""),"",DATE(A2113,MATCH(B2113,{"enero","febrero","marzo","abril","mayo","junio","julio","agosto","septiembre","octubre","noviembre","diciembre"},0)+1,0))</f>
        <v/>
      </c>
      <c r="E2113" t="str">
        <f>+IFERROR(VLOOKUP(Fact_Contabilidad[[#This Row], [Concepto Anterior]],Conceptos_Contabilidad[#All],5,0),"")</f>
        <v/>
      </c>
      <c r="F2113" t="str">
        <f>+IFERROR(VLOOKUP(Fact_Contabilidad[[#This Row], 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ht="18.75" customHeight="1" x14ac:dyDescent="0.35">
      <c r="A2114" s="103"/>
      <c r="C2114" s="100" t="str">
        <f>IF(OR(Fact_Contabilidad[[#This Row], [Año]]="",Fact_Contabilidad[[#This Row], [Mes]]=""),"",DATE(A2114,MATCH(B2114,{"enero","febrero","marzo","abril","mayo","junio","julio","agosto","septiembre","octubre","noviembre","diciembre"},0)+1,0))</f>
        <v/>
      </c>
      <c r="E2114" t="str">
        <f>+IFERROR(VLOOKUP(Fact_Contabilidad[[#This Row], [Concepto Anterior]],Conceptos_Contabilidad[#All],5,0),"")</f>
        <v/>
      </c>
      <c r="F2114" t="str">
        <f>+IFERROR(VLOOKUP(Fact_Contabilidad[[#This Row], 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ht="18.75" customHeight="1" x14ac:dyDescent="0.35">
      <c r="A2115" s="103"/>
      <c r="C2115" s="100" t="str">
        <f>IF(OR(Fact_Contabilidad[[#This Row], [Año]]="",Fact_Contabilidad[[#This Row], [Mes]]=""),"",DATE(A2115,MATCH(B2115,{"enero","febrero","marzo","abril","mayo","junio","julio","agosto","septiembre","octubre","noviembre","diciembre"},0)+1,0))</f>
        <v/>
      </c>
      <c r="E2115" t="str">
        <f>+IFERROR(VLOOKUP(Fact_Contabilidad[[#This Row], [Concepto Anterior]],Conceptos_Contabilidad[#All],5,0),"")</f>
        <v/>
      </c>
      <c r="F2115" t="str">
        <f>+IFERROR(VLOOKUP(Fact_Contabilidad[[#This Row], 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ht="18.75" customHeight="1" x14ac:dyDescent="0.35">
      <c r="A2116" s="103"/>
      <c r="C2116" s="100" t="str">
        <f>IF(OR(Fact_Contabilidad[[#This Row], [Año]]="",Fact_Contabilidad[[#This Row], [Mes]]=""),"",DATE(A2116,MATCH(B2116,{"enero","febrero","marzo","abril","mayo","junio","julio","agosto","septiembre","octubre","noviembre","diciembre"},0)+1,0))</f>
        <v/>
      </c>
      <c r="E2116" t="str">
        <f>+IFERROR(VLOOKUP(Fact_Contabilidad[[#This Row], [Concepto Anterior]],Conceptos_Contabilidad[#All],5,0),"")</f>
        <v/>
      </c>
      <c r="F2116" t="str">
        <f>+IFERROR(VLOOKUP(Fact_Contabilidad[[#This Row], 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ht="18.75" customHeight="1" x14ac:dyDescent="0.35">
      <c r="A2117" s="103"/>
      <c r="C2117" s="100" t="str">
        <f>IF(OR(Fact_Contabilidad[[#This Row], [Año]]="",Fact_Contabilidad[[#This Row], [Mes]]=""),"",DATE(A2117,MATCH(B2117,{"enero","febrero","marzo","abril","mayo","junio","julio","agosto","septiembre","octubre","noviembre","diciembre"},0)+1,0))</f>
        <v/>
      </c>
      <c r="E2117" t="str">
        <f>+IFERROR(VLOOKUP(Fact_Contabilidad[[#This Row], [Concepto Anterior]],Conceptos_Contabilidad[#All],5,0),"")</f>
        <v/>
      </c>
      <c r="F2117" t="str">
        <f>+IFERROR(VLOOKUP(Fact_Contabilidad[[#This Row], 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ht="18.75" customHeight="1" x14ac:dyDescent="0.35">
      <c r="A2118" s="103"/>
      <c r="C2118" s="100" t="str">
        <f>IF(OR(Fact_Contabilidad[[#This Row], [Año]]="",Fact_Contabilidad[[#This Row], [Mes]]=""),"",DATE(A2118,MATCH(B2118,{"enero","febrero","marzo","abril","mayo","junio","julio","agosto","septiembre","octubre","noviembre","diciembre"},0)+1,0))</f>
        <v/>
      </c>
      <c r="E2118" t="str">
        <f>+IFERROR(VLOOKUP(Fact_Contabilidad[[#This Row], [Concepto Anterior]],Conceptos_Contabilidad[#All],5,0),"")</f>
        <v/>
      </c>
      <c r="F2118" t="str">
        <f>+IFERROR(VLOOKUP(Fact_Contabilidad[[#This Row], 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ht="18.75" customHeight="1" x14ac:dyDescent="0.35">
      <c r="A2119" s="103"/>
      <c r="C2119" s="100" t="str">
        <f>IF(OR(Fact_Contabilidad[[#This Row], [Año]]="",Fact_Contabilidad[[#This Row], [Mes]]=""),"",DATE(A2119,MATCH(B2119,{"enero","febrero","marzo","abril","mayo","junio","julio","agosto","septiembre","octubre","noviembre","diciembre"},0)+1,0))</f>
        <v/>
      </c>
      <c r="E2119" t="str">
        <f>+IFERROR(VLOOKUP(Fact_Contabilidad[[#This Row], [Concepto Anterior]],Conceptos_Contabilidad[#All],5,0),"")</f>
        <v/>
      </c>
      <c r="F2119" t="str">
        <f>+IFERROR(VLOOKUP(Fact_Contabilidad[[#This Row], 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ht="18.75" customHeight="1" x14ac:dyDescent="0.35">
      <c r="A2120" s="103"/>
      <c r="C2120" s="100" t="str">
        <f>IF(OR(Fact_Contabilidad[[#This Row], [Año]]="",Fact_Contabilidad[[#This Row], [Mes]]=""),"",DATE(A2120,MATCH(B2120,{"enero","febrero","marzo","abril","mayo","junio","julio","agosto","septiembre","octubre","noviembre","diciembre"},0)+1,0))</f>
        <v/>
      </c>
      <c r="E2120" t="str">
        <f>+IFERROR(VLOOKUP(Fact_Contabilidad[[#This Row], [Concepto Anterior]],Conceptos_Contabilidad[#All],5,0),"")</f>
        <v/>
      </c>
      <c r="F2120" t="str">
        <f>+IFERROR(VLOOKUP(Fact_Contabilidad[[#This Row], 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ht="18.75" customHeight="1" x14ac:dyDescent="0.35">
      <c r="A2121" s="103"/>
      <c r="C2121" s="100" t="str">
        <f>IF(OR(Fact_Contabilidad[[#This Row], [Año]]="",Fact_Contabilidad[[#This Row], [Mes]]=""),"",DATE(A2121,MATCH(B2121,{"enero","febrero","marzo","abril","mayo","junio","julio","agosto","septiembre","octubre","noviembre","diciembre"},0)+1,0))</f>
        <v/>
      </c>
      <c r="E2121" t="str">
        <f>+IFERROR(VLOOKUP(Fact_Contabilidad[[#This Row], [Concepto Anterior]],Conceptos_Contabilidad[#All],5,0),"")</f>
        <v/>
      </c>
      <c r="F2121" t="str">
        <f>+IFERROR(VLOOKUP(Fact_Contabilidad[[#This Row], 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ht="18.75" customHeight="1" x14ac:dyDescent="0.35">
      <c r="A2122" s="103"/>
      <c r="C2122" s="100" t="str">
        <f>IF(OR(Fact_Contabilidad[[#This Row], [Año]]="",Fact_Contabilidad[[#This Row], [Mes]]=""),"",DATE(A2122,MATCH(B2122,{"enero","febrero","marzo","abril","mayo","junio","julio","agosto","septiembre","octubre","noviembre","diciembre"},0)+1,0))</f>
        <v/>
      </c>
      <c r="E2122" t="str">
        <f>+IFERROR(VLOOKUP(Fact_Contabilidad[[#This Row], [Concepto Anterior]],Conceptos_Contabilidad[#All],5,0),"")</f>
        <v/>
      </c>
      <c r="F2122" t="str">
        <f>+IFERROR(VLOOKUP(Fact_Contabilidad[[#This Row], 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ht="18.75" customHeight="1" x14ac:dyDescent="0.35">
      <c r="A2123" s="103"/>
      <c r="C2123" s="100" t="str">
        <f>IF(OR(Fact_Contabilidad[[#This Row], [Año]]="",Fact_Contabilidad[[#This Row], [Mes]]=""),"",DATE(A2123,MATCH(B2123,{"enero","febrero","marzo","abril","mayo","junio","julio","agosto","septiembre","octubre","noviembre","diciembre"},0)+1,0))</f>
        <v/>
      </c>
      <c r="E2123" t="str">
        <f>+IFERROR(VLOOKUP(Fact_Contabilidad[[#This Row], [Concepto Anterior]],Conceptos_Contabilidad[#All],5,0),"")</f>
        <v/>
      </c>
      <c r="F2123" t="str">
        <f>+IFERROR(VLOOKUP(Fact_Contabilidad[[#This Row], 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ht="18.75" customHeight="1" x14ac:dyDescent="0.35">
      <c r="A2124" s="103"/>
      <c r="C2124" s="100" t="str">
        <f>IF(OR(Fact_Contabilidad[[#This Row], [Año]]="",Fact_Contabilidad[[#This Row], [Mes]]=""),"",DATE(A2124,MATCH(B2124,{"enero","febrero","marzo","abril","mayo","junio","julio","agosto","septiembre","octubre","noviembre","diciembre"},0)+1,0))</f>
        <v/>
      </c>
      <c r="E2124" t="str">
        <f>+IFERROR(VLOOKUP(Fact_Contabilidad[[#This Row], [Concepto Anterior]],Conceptos_Contabilidad[#All],5,0),"")</f>
        <v/>
      </c>
      <c r="F2124" t="str">
        <f>+IFERROR(VLOOKUP(Fact_Contabilidad[[#This Row], 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ht="18.75" customHeight="1" x14ac:dyDescent="0.35">
      <c r="A2125" s="103"/>
      <c r="C2125" s="100" t="str">
        <f>IF(OR(Fact_Contabilidad[[#This Row], [Año]]="",Fact_Contabilidad[[#This Row], [Mes]]=""),"",DATE(A2125,MATCH(B2125,{"enero","febrero","marzo","abril","mayo","junio","julio","agosto","septiembre","octubre","noviembre","diciembre"},0)+1,0))</f>
        <v/>
      </c>
      <c r="E2125" t="str">
        <f>+IFERROR(VLOOKUP(Fact_Contabilidad[[#This Row], [Concepto Anterior]],Conceptos_Contabilidad[#All],5,0),"")</f>
        <v/>
      </c>
      <c r="F2125" t="str">
        <f>+IFERROR(VLOOKUP(Fact_Contabilidad[[#This Row], 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ht="18.75" customHeight="1" x14ac:dyDescent="0.35">
      <c r="A2126" s="103"/>
      <c r="C2126" s="100" t="str">
        <f>IF(OR(Fact_Contabilidad[[#This Row], [Año]]="",Fact_Contabilidad[[#This Row], [Mes]]=""),"",DATE(A2126,MATCH(B2126,{"enero","febrero","marzo","abril","mayo","junio","julio","agosto","septiembre","octubre","noviembre","diciembre"},0)+1,0))</f>
        <v/>
      </c>
      <c r="E2126" t="str">
        <f>+IFERROR(VLOOKUP(Fact_Contabilidad[[#This Row], [Concepto Anterior]],Conceptos_Contabilidad[#All],5,0),"")</f>
        <v/>
      </c>
      <c r="F2126" t="str">
        <f>+IFERROR(VLOOKUP(Fact_Contabilidad[[#This Row], 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ht="18.75" customHeight="1" x14ac:dyDescent="0.35">
      <c r="A2127" s="103"/>
      <c r="C2127" s="100" t="str">
        <f>IF(OR(Fact_Contabilidad[[#This Row], [Año]]="",Fact_Contabilidad[[#This Row], [Mes]]=""),"",DATE(A2127,MATCH(B2127,{"enero","febrero","marzo","abril","mayo","junio","julio","agosto","septiembre","octubre","noviembre","diciembre"},0)+1,0))</f>
        <v/>
      </c>
      <c r="E2127" t="str">
        <f>+IFERROR(VLOOKUP(Fact_Contabilidad[[#This Row], [Concepto Anterior]],Conceptos_Contabilidad[#All],5,0),"")</f>
        <v/>
      </c>
      <c r="F2127" t="str">
        <f>+IFERROR(VLOOKUP(Fact_Contabilidad[[#This Row], 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ht="18.75" customHeight="1" x14ac:dyDescent="0.35">
      <c r="A2128" s="103"/>
      <c r="C2128" s="100" t="str">
        <f>IF(OR(Fact_Contabilidad[[#This Row], [Año]]="",Fact_Contabilidad[[#This Row], [Mes]]=""),"",DATE(A2128,MATCH(B2128,{"enero","febrero","marzo","abril","mayo","junio","julio","agosto","septiembre","octubre","noviembre","diciembre"},0)+1,0))</f>
        <v/>
      </c>
      <c r="E2128" t="str">
        <f>+IFERROR(VLOOKUP(Fact_Contabilidad[[#This Row], [Concepto Anterior]],Conceptos_Contabilidad[#All],5,0),"")</f>
        <v/>
      </c>
      <c r="F2128" t="str">
        <f>+IFERROR(VLOOKUP(Fact_Contabilidad[[#This Row], 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ht="18.75" customHeight="1" x14ac:dyDescent="0.35">
      <c r="A2129" s="103"/>
      <c r="C2129" s="100" t="str">
        <f>IF(OR(Fact_Contabilidad[[#This Row], [Año]]="",Fact_Contabilidad[[#This Row], [Mes]]=""),"",DATE(A2129,MATCH(B2129,{"enero","febrero","marzo","abril","mayo","junio","julio","agosto","septiembre","octubre","noviembre","diciembre"},0)+1,0))</f>
        <v/>
      </c>
      <c r="E2129" t="str">
        <f>+IFERROR(VLOOKUP(Fact_Contabilidad[[#This Row], [Concepto Anterior]],Conceptos_Contabilidad[#All],5,0),"")</f>
        <v/>
      </c>
      <c r="F2129" t="str">
        <f>+IFERROR(VLOOKUP(Fact_Contabilidad[[#This Row], 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ht="18.75" customHeight="1" x14ac:dyDescent="0.35">
      <c r="A2130" s="103"/>
      <c r="C2130" s="100" t="str">
        <f>IF(OR(Fact_Contabilidad[[#This Row], [Año]]="",Fact_Contabilidad[[#This Row], [Mes]]=""),"",DATE(A2130,MATCH(B2130,{"enero","febrero","marzo","abril","mayo","junio","julio","agosto","septiembre","octubre","noviembre","diciembre"},0)+1,0))</f>
        <v/>
      </c>
      <c r="E2130" t="str">
        <f>+IFERROR(VLOOKUP(Fact_Contabilidad[[#This Row], [Concepto Anterior]],Conceptos_Contabilidad[#All],5,0),"")</f>
        <v/>
      </c>
      <c r="F2130" t="str">
        <f>+IFERROR(VLOOKUP(Fact_Contabilidad[[#This Row], 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ht="18.75" customHeight="1" x14ac:dyDescent="0.35">
      <c r="A2131" s="103"/>
      <c r="C2131" s="100" t="str">
        <f>IF(OR(Fact_Contabilidad[[#This Row], [Año]]="",Fact_Contabilidad[[#This Row], [Mes]]=""),"",DATE(A2131,MATCH(B2131,{"enero","febrero","marzo","abril","mayo","junio","julio","agosto","septiembre","octubre","noviembre","diciembre"},0)+1,0))</f>
        <v/>
      </c>
      <c r="E2131" t="str">
        <f>+IFERROR(VLOOKUP(Fact_Contabilidad[[#This Row], [Concepto Anterior]],Conceptos_Contabilidad[#All],5,0),"")</f>
        <v/>
      </c>
      <c r="F2131" t="str">
        <f>+IFERROR(VLOOKUP(Fact_Contabilidad[[#This Row], 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ht="18.75" customHeight="1" x14ac:dyDescent="0.35">
      <c r="A2132" s="103"/>
      <c r="C2132" s="100" t="str">
        <f>IF(OR(Fact_Contabilidad[[#This Row], [Año]]="",Fact_Contabilidad[[#This Row], [Mes]]=""),"",DATE(A2132,MATCH(B2132,{"enero","febrero","marzo","abril","mayo","junio","julio","agosto","septiembre","octubre","noviembre","diciembre"},0)+1,0))</f>
        <v/>
      </c>
      <c r="E2132" t="str">
        <f>+IFERROR(VLOOKUP(Fact_Contabilidad[[#This Row], [Concepto Anterior]],Conceptos_Contabilidad[#All],5,0),"")</f>
        <v/>
      </c>
      <c r="F2132" t="str">
        <f>+IFERROR(VLOOKUP(Fact_Contabilidad[[#This Row], 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ht="18.75" customHeight="1" x14ac:dyDescent="0.35">
      <c r="A2133" s="103"/>
      <c r="C2133" s="100" t="str">
        <f>IF(OR(Fact_Contabilidad[[#This Row], [Año]]="",Fact_Contabilidad[[#This Row], [Mes]]=""),"",DATE(A2133,MATCH(B2133,{"enero","febrero","marzo","abril","mayo","junio","julio","agosto","septiembre","octubre","noviembre","diciembre"},0)+1,0))</f>
        <v/>
      </c>
      <c r="E2133" t="str">
        <f>+IFERROR(VLOOKUP(Fact_Contabilidad[[#This Row], [Concepto Anterior]],Conceptos_Contabilidad[#All],5,0),"")</f>
        <v/>
      </c>
      <c r="F2133" t="str">
        <f>+IFERROR(VLOOKUP(Fact_Contabilidad[[#This Row], 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ht="18.75" customHeight="1" x14ac:dyDescent="0.35">
      <c r="A2134" s="103"/>
      <c r="C2134" s="100" t="str">
        <f>IF(OR(Fact_Contabilidad[[#This Row], [Año]]="",Fact_Contabilidad[[#This Row], [Mes]]=""),"",DATE(A2134,MATCH(B2134,{"enero","febrero","marzo","abril","mayo","junio","julio","agosto","septiembre","octubre","noviembre","diciembre"},0)+1,0))</f>
        <v/>
      </c>
      <c r="E2134" t="str">
        <f>+IFERROR(VLOOKUP(Fact_Contabilidad[[#This Row], [Concepto Anterior]],Conceptos_Contabilidad[#All],5,0),"")</f>
        <v/>
      </c>
      <c r="F2134" t="str">
        <f>+IFERROR(VLOOKUP(Fact_Contabilidad[[#This Row], 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ht="18.75" customHeight="1" x14ac:dyDescent="0.35">
      <c r="A2135" s="103"/>
      <c r="C2135" s="100" t="str">
        <f>IF(OR(Fact_Contabilidad[[#This Row], [Año]]="",Fact_Contabilidad[[#This Row], [Mes]]=""),"",DATE(A2135,MATCH(B2135,{"enero","febrero","marzo","abril","mayo","junio","julio","agosto","septiembre","octubre","noviembre","diciembre"},0)+1,0))</f>
        <v/>
      </c>
      <c r="E2135" t="str">
        <f>+IFERROR(VLOOKUP(Fact_Contabilidad[[#This Row], [Concepto Anterior]],Conceptos_Contabilidad[#All],5,0),"")</f>
        <v/>
      </c>
      <c r="F2135" t="str">
        <f>+IFERROR(VLOOKUP(Fact_Contabilidad[[#This Row], 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ht="18.75" customHeight="1" x14ac:dyDescent="0.35">
      <c r="A2136" s="103"/>
      <c r="C2136" s="100" t="str">
        <f>IF(OR(Fact_Contabilidad[[#This Row], [Año]]="",Fact_Contabilidad[[#This Row], [Mes]]=""),"",DATE(A2136,MATCH(B2136,{"enero","febrero","marzo","abril","mayo","junio","julio","agosto","septiembre","octubre","noviembre","diciembre"},0)+1,0))</f>
        <v/>
      </c>
      <c r="E2136" t="str">
        <f>+IFERROR(VLOOKUP(Fact_Contabilidad[[#This Row], [Concepto Anterior]],Conceptos_Contabilidad[#All],5,0),"")</f>
        <v/>
      </c>
      <c r="F2136" t="str">
        <f>+IFERROR(VLOOKUP(Fact_Contabilidad[[#This Row], 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ht="18.75" customHeight="1" x14ac:dyDescent="0.35">
      <c r="A2137" s="103"/>
      <c r="C2137" s="100" t="str">
        <f>IF(OR(Fact_Contabilidad[[#This Row], [Año]]="",Fact_Contabilidad[[#This Row], [Mes]]=""),"",DATE(A2137,MATCH(B2137,{"enero","febrero","marzo","abril","mayo","junio","julio","agosto","septiembre","octubre","noviembre","diciembre"},0)+1,0))</f>
        <v/>
      </c>
      <c r="E2137" t="str">
        <f>+IFERROR(VLOOKUP(Fact_Contabilidad[[#This Row], [Concepto Anterior]],Conceptos_Contabilidad[#All],5,0),"")</f>
        <v/>
      </c>
      <c r="F2137" t="str">
        <f>+IFERROR(VLOOKUP(Fact_Contabilidad[[#This Row], 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ht="18.75" customHeight="1" x14ac:dyDescent="0.35">
      <c r="A2138" s="103"/>
      <c r="C2138" s="100" t="str">
        <f>IF(OR(Fact_Contabilidad[[#This Row], [Año]]="",Fact_Contabilidad[[#This Row], [Mes]]=""),"",DATE(A2138,MATCH(B2138,{"enero","febrero","marzo","abril","mayo","junio","julio","agosto","septiembre","octubre","noviembre","diciembre"},0)+1,0))</f>
        <v/>
      </c>
      <c r="E2138" t="str">
        <f>+IFERROR(VLOOKUP(Fact_Contabilidad[[#This Row], [Concepto Anterior]],Conceptos_Contabilidad[#All],5,0),"")</f>
        <v/>
      </c>
      <c r="F2138" t="str">
        <f>+IFERROR(VLOOKUP(Fact_Contabilidad[[#This Row], 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ht="18.75" customHeight="1" x14ac:dyDescent="0.35">
      <c r="A2139" s="103"/>
      <c r="C2139" s="100" t="str">
        <f>IF(OR(Fact_Contabilidad[[#This Row], [Año]]="",Fact_Contabilidad[[#This Row], [Mes]]=""),"",DATE(A2139,MATCH(B2139,{"enero","febrero","marzo","abril","mayo","junio","julio","agosto","septiembre","octubre","noviembre","diciembre"},0)+1,0))</f>
        <v/>
      </c>
      <c r="E2139" t="str">
        <f>+IFERROR(VLOOKUP(Fact_Contabilidad[[#This Row], [Concepto Anterior]],Conceptos_Contabilidad[#All],5,0),"")</f>
        <v/>
      </c>
      <c r="F2139" t="str">
        <f>+IFERROR(VLOOKUP(Fact_Contabilidad[[#This Row], 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ht="18.75" customHeight="1" x14ac:dyDescent="0.35">
      <c r="A2140" s="103"/>
      <c r="C2140" s="100" t="str">
        <f>IF(OR(Fact_Contabilidad[[#This Row], [Año]]="",Fact_Contabilidad[[#This Row], [Mes]]=""),"",DATE(A2140,MATCH(B2140,{"enero","febrero","marzo","abril","mayo","junio","julio","agosto","septiembre","octubre","noviembre","diciembre"},0)+1,0))</f>
        <v/>
      </c>
      <c r="E2140" t="str">
        <f>+IFERROR(VLOOKUP(Fact_Contabilidad[[#This Row], [Concepto Anterior]],Conceptos_Contabilidad[#All],5,0),"")</f>
        <v/>
      </c>
      <c r="F2140" t="str">
        <f>+IFERROR(VLOOKUP(Fact_Contabilidad[[#This Row], 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ht="18.75" customHeight="1" x14ac:dyDescent="0.35">
      <c r="A2141" s="103"/>
      <c r="C2141" s="100" t="str">
        <f>IF(OR(Fact_Contabilidad[[#This Row], [Año]]="",Fact_Contabilidad[[#This Row], [Mes]]=""),"",DATE(A2141,MATCH(B2141,{"enero","febrero","marzo","abril","mayo","junio","julio","agosto","septiembre","octubre","noviembre","diciembre"},0)+1,0))</f>
        <v/>
      </c>
      <c r="E2141" t="str">
        <f>+IFERROR(VLOOKUP(Fact_Contabilidad[[#This Row], [Concepto Anterior]],Conceptos_Contabilidad[#All],5,0),"")</f>
        <v/>
      </c>
      <c r="F2141" t="str">
        <f>+IFERROR(VLOOKUP(Fact_Contabilidad[[#This Row], 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ht="18.75" customHeight="1" x14ac:dyDescent="0.35">
      <c r="A2142" s="103"/>
      <c r="C2142" s="100" t="str">
        <f>IF(OR(Fact_Contabilidad[[#This Row], [Año]]="",Fact_Contabilidad[[#This Row], [Mes]]=""),"",DATE(A2142,MATCH(B2142,{"enero","febrero","marzo","abril","mayo","junio","julio","agosto","septiembre","octubre","noviembre","diciembre"},0)+1,0))</f>
        <v/>
      </c>
      <c r="E2142" t="str">
        <f>+IFERROR(VLOOKUP(Fact_Contabilidad[[#This Row], [Concepto Anterior]],Conceptos_Contabilidad[#All],5,0),"")</f>
        <v/>
      </c>
      <c r="F2142" t="str">
        <f>+IFERROR(VLOOKUP(Fact_Contabilidad[[#This Row], 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ht="18.75" customHeight="1" x14ac:dyDescent="0.35">
      <c r="A2143" s="103"/>
      <c r="C2143" s="100" t="str">
        <f>IF(OR(Fact_Contabilidad[[#This Row], [Año]]="",Fact_Contabilidad[[#This Row], [Mes]]=""),"",DATE(A2143,MATCH(B2143,{"enero","febrero","marzo","abril","mayo","junio","julio","agosto","septiembre","octubre","noviembre","diciembre"},0)+1,0))</f>
        <v/>
      </c>
      <c r="E2143" t="str">
        <f>+IFERROR(VLOOKUP(Fact_Contabilidad[[#This Row], [Concepto Anterior]],Conceptos_Contabilidad[#All],5,0),"")</f>
        <v/>
      </c>
      <c r="F2143" t="str">
        <f>+IFERROR(VLOOKUP(Fact_Contabilidad[[#This Row], 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ht="18.75" customHeight="1" x14ac:dyDescent="0.35">
      <c r="A2144" s="103"/>
      <c r="C2144" s="100" t="str">
        <f>IF(OR(Fact_Contabilidad[[#This Row], [Año]]="",Fact_Contabilidad[[#This Row], [Mes]]=""),"",DATE(A2144,MATCH(B2144,{"enero","febrero","marzo","abril","mayo","junio","julio","agosto","septiembre","octubre","noviembre","diciembre"},0)+1,0))</f>
        <v/>
      </c>
      <c r="E2144" t="str">
        <f>+IFERROR(VLOOKUP(Fact_Contabilidad[[#This Row], [Concepto Anterior]],Conceptos_Contabilidad[#All],5,0),"")</f>
        <v/>
      </c>
      <c r="F2144" t="str">
        <f>+IFERROR(VLOOKUP(Fact_Contabilidad[[#This Row], 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ht="18.75" customHeight="1" x14ac:dyDescent="0.35">
      <c r="A2145" s="103"/>
      <c r="C2145" s="100" t="str">
        <f>IF(OR(Fact_Contabilidad[[#This Row], [Año]]="",Fact_Contabilidad[[#This Row], [Mes]]=""),"",DATE(A2145,MATCH(B2145,{"enero","febrero","marzo","abril","mayo","junio","julio","agosto","septiembre","octubre","noviembre","diciembre"},0)+1,0))</f>
        <v/>
      </c>
      <c r="E2145" t="str">
        <f>+IFERROR(VLOOKUP(Fact_Contabilidad[[#This Row], [Concepto Anterior]],Conceptos_Contabilidad[#All],5,0),"")</f>
        <v/>
      </c>
      <c r="F2145" t="str">
        <f>+IFERROR(VLOOKUP(Fact_Contabilidad[[#This Row], 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ht="18.75" customHeight="1" x14ac:dyDescent="0.35">
      <c r="A2146" s="103"/>
      <c r="C2146" s="100" t="str">
        <f>IF(OR(Fact_Contabilidad[[#This Row], [Año]]="",Fact_Contabilidad[[#This Row], [Mes]]=""),"",DATE(A2146,MATCH(B2146,{"enero","febrero","marzo","abril","mayo","junio","julio","agosto","septiembre","octubre","noviembre","diciembre"},0)+1,0))</f>
        <v/>
      </c>
      <c r="E2146" t="str">
        <f>+IFERROR(VLOOKUP(Fact_Contabilidad[[#This Row], [Concepto Anterior]],Conceptos_Contabilidad[#All],5,0),"")</f>
        <v/>
      </c>
      <c r="F2146" t="str">
        <f>+IFERROR(VLOOKUP(Fact_Contabilidad[[#This Row], 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ht="18.75" customHeight="1" x14ac:dyDescent="0.35">
      <c r="A2147" s="103"/>
      <c r="C2147" s="100" t="str">
        <f>IF(OR(Fact_Contabilidad[[#This Row], [Año]]="",Fact_Contabilidad[[#This Row], [Mes]]=""),"",DATE(A2147,MATCH(B2147,{"enero","febrero","marzo","abril","mayo","junio","julio","agosto","septiembre","octubre","noviembre","diciembre"},0)+1,0))</f>
        <v/>
      </c>
      <c r="E2147" t="str">
        <f>+IFERROR(VLOOKUP(Fact_Contabilidad[[#This Row], [Concepto Anterior]],Conceptos_Contabilidad[#All],5,0),"")</f>
        <v/>
      </c>
      <c r="F2147" t="str">
        <f>+IFERROR(VLOOKUP(Fact_Contabilidad[[#This Row], 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ht="18.75" customHeight="1" x14ac:dyDescent="0.35">
      <c r="A2148" s="103"/>
      <c r="C2148" s="100" t="str">
        <f>IF(OR(Fact_Contabilidad[[#This Row], [Año]]="",Fact_Contabilidad[[#This Row], [Mes]]=""),"",DATE(A2148,MATCH(B2148,{"enero","febrero","marzo","abril","mayo","junio","julio","agosto","septiembre","octubre","noviembre","diciembre"},0)+1,0))</f>
        <v/>
      </c>
      <c r="E2148" t="str">
        <f>+IFERROR(VLOOKUP(Fact_Contabilidad[[#This Row], [Concepto Anterior]],Conceptos_Contabilidad[#All],5,0),"")</f>
        <v/>
      </c>
      <c r="F2148" t="str">
        <f>+IFERROR(VLOOKUP(Fact_Contabilidad[[#This Row], 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ht="18.75" customHeight="1" x14ac:dyDescent="0.35">
      <c r="A2149" s="103"/>
      <c r="C2149" s="100" t="str">
        <f>IF(OR(Fact_Contabilidad[[#This Row], [Año]]="",Fact_Contabilidad[[#This Row], [Mes]]=""),"",DATE(A2149,MATCH(B2149,{"enero","febrero","marzo","abril","mayo","junio","julio","agosto","septiembre","octubre","noviembre","diciembre"},0)+1,0))</f>
        <v/>
      </c>
      <c r="E2149" t="str">
        <f>+IFERROR(VLOOKUP(Fact_Contabilidad[[#This Row], [Concepto Anterior]],Conceptos_Contabilidad[#All],5,0),"")</f>
        <v/>
      </c>
      <c r="F2149" t="str">
        <f>+IFERROR(VLOOKUP(Fact_Contabilidad[[#This Row], 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ht="18.75" customHeight="1" x14ac:dyDescent="0.35">
      <c r="A2150" s="103"/>
      <c r="C2150" s="100" t="str">
        <f>IF(OR(Fact_Contabilidad[[#This Row], [Año]]="",Fact_Contabilidad[[#This Row], [Mes]]=""),"",DATE(A2150,MATCH(B2150,{"enero","febrero","marzo","abril","mayo","junio","julio","agosto","septiembre","octubre","noviembre","diciembre"},0)+1,0))</f>
        <v/>
      </c>
      <c r="E2150" t="str">
        <f>+IFERROR(VLOOKUP(Fact_Contabilidad[[#This Row], [Concepto Anterior]],Conceptos_Contabilidad[#All],5,0),"")</f>
        <v/>
      </c>
      <c r="F2150" t="str">
        <f>+IFERROR(VLOOKUP(Fact_Contabilidad[[#This Row], 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ht="18.75" customHeight="1" x14ac:dyDescent="0.35">
      <c r="A2151" s="103"/>
      <c r="C2151" s="100" t="str">
        <f>IF(OR(Fact_Contabilidad[[#This Row], [Año]]="",Fact_Contabilidad[[#This Row], [Mes]]=""),"",DATE(A2151,MATCH(B2151,{"enero","febrero","marzo","abril","mayo","junio","julio","agosto","septiembre","octubre","noviembre","diciembre"},0)+1,0))</f>
        <v/>
      </c>
      <c r="E2151" t="str">
        <f>+IFERROR(VLOOKUP(Fact_Contabilidad[[#This Row], [Concepto Anterior]],Conceptos_Contabilidad[#All],5,0),"")</f>
        <v/>
      </c>
      <c r="F2151" t="str">
        <f>+IFERROR(VLOOKUP(Fact_Contabilidad[[#This Row], 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ht="18.75" customHeight="1" x14ac:dyDescent="0.35">
      <c r="A2152" s="103"/>
      <c r="C2152" s="100" t="str">
        <f>IF(OR(Fact_Contabilidad[[#This Row], [Año]]="",Fact_Contabilidad[[#This Row], [Mes]]=""),"",DATE(A2152,MATCH(B2152,{"enero","febrero","marzo","abril","mayo","junio","julio","agosto","septiembre","octubre","noviembre","diciembre"},0)+1,0))</f>
        <v/>
      </c>
      <c r="E2152" t="str">
        <f>+IFERROR(VLOOKUP(Fact_Contabilidad[[#This Row], [Concepto Anterior]],Conceptos_Contabilidad[#All],5,0),"")</f>
        <v/>
      </c>
      <c r="F2152" t="str">
        <f>+IFERROR(VLOOKUP(Fact_Contabilidad[[#This Row], 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ht="18.75" customHeight="1" x14ac:dyDescent="0.35">
      <c r="A2153" s="103"/>
      <c r="C2153" s="100" t="str">
        <f>IF(OR(Fact_Contabilidad[[#This Row], [Año]]="",Fact_Contabilidad[[#This Row], [Mes]]=""),"",DATE(A2153,MATCH(B2153,{"enero","febrero","marzo","abril","mayo","junio","julio","agosto","septiembre","octubre","noviembre","diciembre"},0)+1,0))</f>
        <v/>
      </c>
      <c r="E2153" t="str">
        <f>+IFERROR(VLOOKUP(Fact_Contabilidad[[#This Row], [Concepto Anterior]],Conceptos_Contabilidad[#All],5,0),"")</f>
        <v/>
      </c>
      <c r="F2153" t="str">
        <f>+IFERROR(VLOOKUP(Fact_Contabilidad[[#This Row], 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ht="18.75" customHeight="1" x14ac:dyDescent="0.35">
      <c r="A2154" s="103"/>
      <c r="C2154" s="100" t="str">
        <f>IF(OR(Fact_Contabilidad[[#This Row], [Año]]="",Fact_Contabilidad[[#This Row], [Mes]]=""),"",DATE(A2154,MATCH(B2154,{"enero","febrero","marzo","abril","mayo","junio","julio","agosto","septiembre","octubre","noviembre","diciembre"},0)+1,0))</f>
        <v/>
      </c>
      <c r="E2154" t="str">
        <f>+IFERROR(VLOOKUP(Fact_Contabilidad[[#This Row], [Concepto Anterior]],Conceptos_Contabilidad[#All],5,0),"")</f>
        <v/>
      </c>
      <c r="F2154" t="str">
        <f>+IFERROR(VLOOKUP(Fact_Contabilidad[[#This Row], 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ht="18.75" customHeight="1" x14ac:dyDescent="0.35">
      <c r="A2155" s="103"/>
      <c r="C2155" s="100" t="str">
        <f>IF(OR(Fact_Contabilidad[[#This Row], [Año]]="",Fact_Contabilidad[[#This Row], [Mes]]=""),"",DATE(A2155,MATCH(B2155,{"enero","febrero","marzo","abril","mayo","junio","julio","agosto","septiembre","octubre","noviembre","diciembre"},0)+1,0))</f>
        <v/>
      </c>
      <c r="E2155" t="str">
        <f>+IFERROR(VLOOKUP(Fact_Contabilidad[[#This Row], [Concepto Anterior]],Conceptos_Contabilidad[#All],5,0),"")</f>
        <v/>
      </c>
      <c r="F2155" t="str">
        <f>+IFERROR(VLOOKUP(Fact_Contabilidad[[#This Row], 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ht="18.75" customHeight="1" x14ac:dyDescent="0.35">
      <c r="A2156" s="103"/>
      <c r="C2156" s="100" t="str">
        <f>IF(OR(Fact_Contabilidad[[#This Row], [Año]]="",Fact_Contabilidad[[#This Row], [Mes]]=""),"",DATE(A2156,MATCH(B2156,{"enero","febrero","marzo","abril","mayo","junio","julio","agosto","septiembre","octubre","noviembre","diciembre"},0)+1,0))</f>
        <v/>
      </c>
      <c r="E2156" t="str">
        <f>+IFERROR(VLOOKUP(Fact_Contabilidad[[#This Row], [Concepto Anterior]],Conceptos_Contabilidad[#All],5,0),"")</f>
        <v/>
      </c>
      <c r="F2156" t="str">
        <f>+IFERROR(VLOOKUP(Fact_Contabilidad[[#This Row], 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ht="18.75" customHeight="1" x14ac:dyDescent="0.35">
      <c r="A2157" s="103"/>
      <c r="C2157" s="100" t="str">
        <f>IF(OR(Fact_Contabilidad[[#This Row], [Año]]="",Fact_Contabilidad[[#This Row], [Mes]]=""),"",DATE(A2157,MATCH(B2157,{"enero","febrero","marzo","abril","mayo","junio","julio","agosto","septiembre","octubre","noviembre","diciembre"},0)+1,0))</f>
        <v/>
      </c>
      <c r="E2157" t="str">
        <f>+IFERROR(VLOOKUP(Fact_Contabilidad[[#This Row], [Concepto Anterior]],Conceptos_Contabilidad[#All],5,0),"")</f>
        <v/>
      </c>
      <c r="F2157" t="str">
        <f>+IFERROR(VLOOKUP(Fact_Contabilidad[[#This Row], 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ht="18.75" customHeight="1" x14ac:dyDescent="0.35">
      <c r="A2158" s="103"/>
      <c r="C2158" s="100" t="str">
        <f>IF(OR(Fact_Contabilidad[[#This Row], [Año]]="",Fact_Contabilidad[[#This Row], [Mes]]=""),"",DATE(A2158,MATCH(B2158,{"enero","febrero","marzo","abril","mayo","junio","julio","agosto","septiembre","octubre","noviembre","diciembre"},0)+1,0))</f>
        <v/>
      </c>
      <c r="E2158" t="str">
        <f>+IFERROR(VLOOKUP(Fact_Contabilidad[[#This Row], [Concepto Anterior]],Conceptos_Contabilidad[#All],5,0),"")</f>
        <v/>
      </c>
      <c r="F2158" t="str">
        <f>+IFERROR(VLOOKUP(Fact_Contabilidad[[#This Row], 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ht="18.75" customHeight="1" x14ac:dyDescent="0.35">
      <c r="A2159" s="103"/>
      <c r="C2159" s="100" t="str">
        <f>IF(OR(Fact_Contabilidad[[#This Row], [Año]]="",Fact_Contabilidad[[#This Row], [Mes]]=""),"",DATE(A2159,MATCH(B2159,{"enero","febrero","marzo","abril","mayo","junio","julio","agosto","septiembre","octubre","noviembre","diciembre"},0)+1,0))</f>
        <v/>
      </c>
      <c r="E2159" t="str">
        <f>+IFERROR(VLOOKUP(Fact_Contabilidad[[#This Row], [Concepto Anterior]],Conceptos_Contabilidad[#All],5,0),"")</f>
        <v/>
      </c>
      <c r="F2159" t="str">
        <f>+IFERROR(VLOOKUP(Fact_Contabilidad[[#This Row], 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ht="18.75" customHeight="1" x14ac:dyDescent="0.35">
      <c r="A2160" s="103"/>
      <c r="C2160" s="100" t="str">
        <f>IF(OR(Fact_Contabilidad[[#This Row], [Año]]="",Fact_Contabilidad[[#This Row], [Mes]]=""),"",DATE(A2160,MATCH(B2160,{"enero","febrero","marzo","abril","mayo","junio","julio","agosto","septiembre","octubre","noviembre","diciembre"},0)+1,0))</f>
        <v/>
      </c>
      <c r="E2160" t="str">
        <f>+IFERROR(VLOOKUP(Fact_Contabilidad[[#This Row], [Concepto Anterior]],Conceptos_Contabilidad[#All],5,0),"")</f>
        <v/>
      </c>
      <c r="F2160" t="str">
        <f>+IFERROR(VLOOKUP(Fact_Contabilidad[[#This Row], 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ht="18.75" customHeight="1" x14ac:dyDescent="0.35">
      <c r="A2161" s="103"/>
      <c r="C2161" s="100" t="str">
        <f>IF(OR(Fact_Contabilidad[[#This Row], [Año]]="",Fact_Contabilidad[[#This Row], [Mes]]=""),"",DATE(A2161,MATCH(B2161,{"enero","febrero","marzo","abril","mayo","junio","julio","agosto","septiembre","octubre","noviembre","diciembre"},0)+1,0))</f>
        <v/>
      </c>
      <c r="E2161" t="str">
        <f>+IFERROR(VLOOKUP(Fact_Contabilidad[[#This Row], [Concepto Anterior]],Conceptos_Contabilidad[#All],5,0),"")</f>
        <v/>
      </c>
      <c r="F2161" t="str">
        <f>+IFERROR(VLOOKUP(Fact_Contabilidad[[#This Row], 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ht="18.75" customHeight="1" x14ac:dyDescent="0.35">
      <c r="A2162" s="103"/>
      <c r="C2162" s="100" t="str">
        <f>IF(OR(Fact_Contabilidad[[#This Row], [Año]]="",Fact_Contabilidad[[#This Row], [Mes]]=""),"",DATE(A2162,MATCH(B2162,{"enero","febrero","marzo","abril","mayo","junio","julio","agosto","septiembre","octubre","noviembre","diciembre"},0)+1,0))</f>
        <v/>
      </c>
      <c r="E2162" t="str">
        <f>+IFERROR(VLOOKUP(Fact_Contabilidad[[#This Row], [Concepto Anterior]],Conceptos_Contabilidad[#All],5,0),"")</f>
        <v/>
      </c>
      <c r="F2162" t="str">
        <f>+IFERROR(VLOOKUP(Fact_Contabilidad[[#This Row], 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ht="18.75" customHeight="1" x14ac:dyDescent="0.35">
      <c r="A2163" s="103"/>
      <c r="C2163" s="100" t="str">
        <f>IF(OR(Fact_Contabilidad[[#This Row], [Año]]="",Fact_Contabilidad[[#This Row], [Mes]]=""),"",DATE(A2163,MATCH(B2163,{"enero","febrero","marzo","abril","mayo","junio","julio","agosto","septiembre","octubre","noviembre","diciembre"},0)+1,0))</f>
        <v/>
      </c>
      <c r="E2163" t="str">
        <f>+IFERROR(VLOOKUP(Fact_Contabilidad[[#This Row], [Concepto Anterior]],Conceptos_Contabilidad[#All],5,0),"")</f>
        <v/>
      </c>
      <c r="F2163" t="str">
        <f>+IFERROR(VLOOKUP(Fact_Contabilidad[[#This Row], 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ht="18.75" customHeight="1" x14ac:dyDescent="0.35">
      <c r="A2164" s="103"/>
      <c r="C2164" s="100" t="str">
        <f>IF(OR(Fact_Contabilidad[[#This Row], [Año]]="",Fact_Contabilidad[[#This Row], [Mes]]=""),"",DATE(A2164,MATCH(B2164,{"enero","febrero","marzo","abril","mayo","junio","julio","agosto","septiembre","octubre","noviembre","diciembre"},0)+1,0))</f>
        <v/>
      </c>
      <c r="E2164" t="str">
        <f>+IFERROR(VLOOKUP(Fact_Contabilidad[[#This Row], [Concepto Anterior]],Conceptos_Contabilidad[#All],5,0),"")</f>
        <v/>
      </c>
      <c r="F2164" t="str">
        <f>+IFERROR(VLOOKUP(Fact_Contabilidad[[#This Row], 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ht="18.75" customHeight="1" x14ac:dyDescent="0.35">
      <c r="A2165" s="103"/>
      <c r="C2165" s="100" t="str">
        <f>IF(OR(Fact_Contabilidad[[#This Row], [Año]]="",Fact_Contabilidad[[#This Row], [Mes]]=""),"",DATE(A2165,MATCH(B2165,{"enero","febrero","marzo","abril","mayo","junio","julio","agosto","septiembre","octubre","noviembre","diciembre"},0)+1,0))</f>
        <v/>
      </c>
      <c r="E2165" t="str">
        <f>+IFERROR(VLOOKUP(Fact_Contabilidad[[#This Row], [Concepto Anterior]],Conceptos_Contabilidad[#All],5,0),"")</f>
        <v/>
      </c>
      <c r="F2165" t="str">
        <f>+IFERROR(VLOOKUP(Fact_Contabilidad[[#This Row], 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ht="18.75" customHeight="1" x14ac:dyDescent="0.35">
      <c r="A2166" s="103"/>
      <c r="C2166" s="100" t="str">
        <f>IF(OR(Fact_Contabilidad[[#This Row], [Año]]="",Fact_Contabilidad[[#This Row], [Mes]]=""),"",DATE(A2166,MATCH(B2166,{"enero","febrero","marzo","abril","mayo","junio","julio","agosto","septiembre","octubre","noviembre","diciembre"},0)+1,0))</f>
        <v/>
      </c>
      <c r="E2166" t="str">
        <f>+IFERROR(VLOOKUP(Fact_Contabilidad[[#This Row], [Concepto Anterior]],Conceptos_Contabilidad[#All],5,0),"")</f>
        <v/>
      </c>
      <c r="F2166" t="str">
        <f>+IFERROR(VLOOKUP(Fact_Contabilidad[[#This Row], 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ht="18.75" customHeight="1" x14ac:dyDescent="0.35">
      <c r="A2167" s="103"/>
      <c r="C2167" s="100" t="str">
        <f>IF(OR(Fact_Contabilidad[[#This Row], [Año]]="",Fact_Contabilidad[[#This Row], [Mes]]=""),"",DATE(A2167,MATCH(B2167,{"enero","febrero","marzo","abril","mayo","junio","julio","agosto","septiembre","octubre","noviembre","diciembre"},0)+1,0))</f>
        <v/>
      </c>
      <c r="E2167" t="str">
        <f>+IFERROR(VLOOKUP(Fact_Contabilidad[[#This Row], [Concepto Anterior]],Conceptos_Contabilidad[#All],5,0),"")</f>
        <v/>
      </c>
      <c r="F2167" t="str">
        <f>+IFERROR(VLOOKUP(Fact_Contabilidad[[#This Row], 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ht="18.75" customHeight="1" x14ac:dyDescent="0.35">
      <c r="A2168" s="103"/>
      <c r="C2168" s="100" t="str">
        <f>IF(OR(Fact_Contabilidad[[#This Row], [Año]]="",Fact_Contabilidad[[#This Row], [Mes]]=""),"",DATE(A2168,MATCH(B2168,{"enero","febrero","marzo","abril","mayo","junio","julio","agosto","septiembre","octubre","noviembre","diciembre"},0)+1,0))</f>
        <v/>
      </c>
      <c r="E2168" t="str">
        <f>+IFERROR(VLOOKUP(Fact_Contabilidad[[#This Row], [Concepto Anterior]],Conceptos_Contabilidad[#All],5,0),"")</f>
        <v/>
      </c>
      <c r="F2168" t="str">
        <f>+IFERROR(VLOOKUP(Fact_Contabilidad[[#This Row], 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ht="18.75" customHeight="1" x14ac:dyDescent="0.35">
      <c r="A2169" s="103"/>
      <c r="C2169" s="100" t="str">
        <f>IF(OR(Fact_Contabilidad[[#This Row], [Año]]="",Fact_Contabilidad[[#This Row], [Mes]]=""),"",DATE(A2169,MATCH(B2169,{"enero","febrero","marzo","abril","mayo","junio","julio","agosto","septiembre","octubre","noviembre","diciembre"},0)+1,0))</f>
        <v/>
      </c>
      <c r="E2169" t="str">
        <f>+IFERROR(VLOOKUP(Fact_Contabilidad[[#This Row], [Concepto Anterior]],Conceptos_Contabilidad[#All],5,0),"")</f>
        <v/>
      </c>
      <c r="F2169" t="str">
        <f>+IFERROR(VLOOKUP(Fact_Contabilidad[[#This Row], 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ht="18.75" customHeight="1" x14ac:dyDescent="0.35">
      <c r="A2170" s="103"/>
      <c r="C2170" s="100" t="str">
        <f>IF(OR(Fact_Contabilidad[[#This Row], [Año]]="",Fact_Contabilidad[[#This Row], [Mes]]=""),"",DATE(A2170,MATCH(B2170,{"enero","febrero","marzo","abril","mayo","junio","julio","agosto","septiembre","octubre","noviembre","diciembre"},0)+1,0))</f>
        <v/>
      </c>
      <c r="E2170" t="str">
        <f>+IFERROR(VLOOKUP(Fact_Contabilidad[[#This Row], [Concepto Anterior]],Conceptos_Contabilidad[#All],5,0),"")</f>
        <v/>
      </c>
      <c r="F2170" t="str">
        <f>+IFERROR(VLOOKUP(Fact_Contabilidad[[#This Row], 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ht="18.75" customHeight="1" x14ac:dyDescent="0.35">
      <c r="A2171" s="103"/>
      <c r="C2171" s="100" t="str">
        <f>IF(OR(Fact_Contabilidad[[#This Row], [Año]]="",Fact_Contabilidad[[#This Row], [Mes]]=""),"",DATE(A2171,MATCH(B2171,{"enero","febrero","marzo","abril","mayo","junio","julio","agosto","septiembre","octubre","noviembre","diciembre"},0)+1,0))</f>
        <v/>
      </c>
      <c r="E2171" t="str">
        <f>+IFERROR(VLOOKUP(Fact_Contabilidad[[#This Row], [Concepto Anterior]],Conceptos_Contabilidad[#All],5,0),"")</f>
        <v/>
      </c>
      <c r="F2171" t="str">
        <f>+IFERROR(VLOOKUP(Fact_Contabilidad[[#This Row], 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ht="18.75" customHeight="1" x14ac:dyDescent="0.35">
      <c r="A2172" s="103"/>
      <c r="C2172" s="100" t="str">
        <f>IF(OR(Fact_Contabilidad[[#This Row], [Año]]="",Fact_Contabilidad[[#This Row], [Mes]]=""),"",DATE(A2172,MATCH(B2172,{"enero","febrero","marzo","abril","mayo","junio","julio","agosto","septiembre","octubre","noviembre","diciembre"},0)+1,0))</f>
        <v/>
      </c>
      <c r="E2172" t="str">
        <f>+IFERROR(VLOOKUP(Fact_Contabilidad[[#This Row], [Concepto Anterior]],Conceptos_Contabilidad[#All],5,0),"")</f>
        <v/>
      </c>
      <c r="F2172" t="str">
        <f>+IFERROR(VLOOKUP(Fact_Contabilidad[[#This Row], 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ht="18.75" customHeight="1" x14ac:dyDescent="0.35">
      <c r="A2173" s="103"/>
      <c r="C2173" s="100" t="str">
        <f>IF(OR(Fact_Contabilidad[[#This Row], [Año]]="",Fact_Contabilidad[[#This Row], [Mes]]=""),"",DATE(A2173,MATCH(B2173,{"enero","febrero","marzo","abril","mayo","junio","julio","agosto","septiembre","octubre","noviembre","diciembre"},0)+1,0))</f>
        <v/>
      </c>
      <c r="E2173" t="str">
        <f>+IFERROR(VLOOKUP(Fact_Contabilidad[[#This Row], [Concepto Anterior]],Conceptos_Contabilidad[#All],5,0),"")</f>
        <v/>
      </c>
      <c r="F2173" t="str">
        <f>+IFERROR(VLOOKUP(Fact_Contabilidad[[#This Row], 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ht="18.75" customHeight="1" x14ac:dyDescent="0.35">
      <c r="A2174" s="103"/>
      <c r="C2174" s="100" t="str">
        <f>IF(OR(Fact_Contabilidad[[#This Row], [Año]]="",Fact_Contabilidad[[#This Row], [Mes]]=""),"",DATE(A2174,MATCH(B2174,{"enero","febrero","marzo","abril","mayo","junio","julio","agosto","septiembre","octubre","noviembre","diciembre"},0)+1,0))</f>
        <v/>
      </c>
      <c r="E2174" t="str">
        <f>+IFERROR(VLOOKUP(Fact_Contabilidad[[#This Row], [Concepto Anterior]],Conceptos_Contabilidad[#All],5,0),"")</f>
        <v/>
      </c>
      <c r="F2174" t="str">
        <f>+IFERROR(VLOOKUP(Fact_Contabilidad[[#This Row], 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ht="18.75" customHeight="1" x14ac:dyDescent="0.35">
      <c r="A2175" s="103"/>
      <c r="C2175" s="100" t="str">
        <f>IF(OR(Fact_Contabilidad[[#This Row], [Año]]="",Fact_Contabilidad[[#This Row], [Mes]]=""),"",DATE(A2175,MATCH(B2175,{"enero","febrero","marzo","abril","mayo","junio","julio","agosto","septiembre","octubre","noviembre","diciembre"},0)+1,0))</f>
        <v/>
      </c>
      <c r="E2175" t="str">
        <f>+IFERROR(VLOOKUP(Fact_Contabilidad[[#This Row], [Concepto Anterior]],Conceptos_Contabilidad[#All],5,0),"")</f>
        <v/>
      </c>
      <c r="F2175" t="str">
        <f>+IFERROR(VLOOKUP(Fact_Contabilidad[[#This Row], 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ht="18.75" customHeight="1" x14ac:dyDescent="0.35">
      <c r="A2176" s="103"/>
      <c r="C2176" s="100" t="str">
        <f>IF(OR(Fact_Contabilidad[[#This Row], [Año]]="",Fact_Contabilidad[[#This Row], [Mes]]=""),"",DATE(A2176,MATCH(B2176,{"enero","febrero","marzo","abril","mayo","junio","julio","agosto","septiembre","octubre","noviembre","diciembre"},0)+1,0))</f>
        <v/>
      </c>
      <c r="E2176" t="str">
        <f>+IFERROR(VLOOKUP(Fact_Contabilidad[[#This Row], [Concepto Anterior]],Conceptos_Contabilidad[#All],5,0),"")</f>
        <v/>
      </c>
      <c r="F2176" t="str">
        <f>+IFERROR(VLOOKUP(Fact_Contabilidad[[#This Row], 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ht="18.75" customHeight="1" x14ac:dyDescent="0.35">
      <c r="A2177" s="103"/>
      <c r="C2177" s="100" t="str">
        <f>IF(OR(Fact_Contabilidad[[#This Row], [Año]]="",Fact_Contabilidad[[#This Row], [Mes]]=""),"",DATE(A2177,MATCH(B2177,{"enero","febrero","marzo","abril","mayo","junio","julio","agosto","septiembre","octubre","noviembre","diciembre"},0)+1,0))</f>
        <v/>
      </c>
      <c r="E2177" t="str">
        <f>+IFERROR(VLOOKUP(Fact_Contabilidad[[#This Row], [Concepto Anterior]],Conceptos_Contabilidad[#All],5,0),"")</f>
        <v/>
      </c>
      <c r="F2177" t="str">
        <f>+IFERROR(VLOOKUP(Fact_Contabilidad[[#This Row], 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ht="18.75" customHeight="1" x14ac:dyDescent="0.35">
      <c r="A2178" s="103"/>
      <c r="C2178" s="100" t="str">
        <f>IF(OR(Fact_Contabilidad[[#This Row], [Año]]="",Fact_Contabilidad[[#This Row], [Mes]]=""),"",DATE(A2178,MATCH(B2178,{"enero","febrero","marzo","abril","mayo","junio","julio","agosto","septiembre","octubre","noviembre","diciembre"},0)+1,0))</f>
        <v/>
      </c>
      <c r="E2178" t="str">
        <f>+IFERROR(VLOOKUP(Fact_Contabilidad[[#This Row], [Concepto Anterior]],Conceptos_Contabilidad[#All],5,0),"")</f>
        <v/>
      </c>
      <c r="F2178" t="str">
        <f>+IFERROR(VLOOKUP(Fact_Contabilidad[[#This Row], 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ht="18.75" customHeight="1" x14ac:dyDescent="0.35">
      <c r="A2179" s="103"/>
      <c r="C2179" s="100" t="str">
        <f>IF(OR(Fact_Contabilidad[[#This Row], [Año]]="",Fact_Contabilidad[[#This Row], [Mes]]=""),"",DATE(A2179,MATCH(B2179,{"enero","febrero","marzo","abril","mayo","junio","julio","agosto","septiembre","octubre","noviembre","diciembre"},0)+1,0))</f>
        <v/>
      </c>
      <c r="E2179" t="str">
        <f>+IFERROR(VLOOKUP(Fact_Contabilidad[[#This Row], [Concepto Anterior]],Conceptos_Contabilidad[#All],5,0),"")</f>
        <v/>
      </c>
      <c r="F2179" t="str">
        <f>+IFERROR(VLOOKUP(Fact_Contabilidad[[#This Row], 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ht="18.75" customHeight="1" x14ac:dyDescent="0.35">
      <c r="A2180" s="103"/>
      <c r="C2180" s="100" t="str">
        <f>IF(OR(Fact_Contabilidad[[#This Row], [Año]]="",Fact_Contabilidad[[#This Row], [Mes]]=""),"",DATE(A2180,MATCH(B2180,{"enero","febrero","marzo","abril","mayo","junio","julio","agosto","septiembre","octubre","noviembre","diciembre"},0)+1,0))</f>
        <v/>
      </c>
      <c r="E2180" t="str">
        <f>+IFERROR(VLOOKUP(Fact_Contabilidad[[#This Row], [Concepto Anterior]],Conceptos_Contabilidad[#All],5,0),"")</f>
        <v/>
      </c>
      <c r="F2180" t="str">
        <f>+IFERROR(VLOOKUP(Fact_Contabilidad[[#This Row], 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ht="18.75" customHeight="1" x14ac:dyDescent="0.35">
      <c r="A2181" s="103"/>
      <c r="C2181" s="100" t="str">
        <f>IF(OR(Fact_Contabilidad[[#This Row], [Año]]="",Fact_Contabilidad[[#This Row], [Mes]]=""),"",DATE(A2181,MATCH(B2181,{"enero","febrero","marzo","abril","mayo","junio","julio","agosto","septiembre","octubre","noviembre","diciembre"},0)+1,0))</f>
        <v/>
      </c>
      <c r="E2181" t="str">
        <f>+IFERROR(VLOOKUP(Fact_Contabilidad[[#This Row], [Concepto Anterior]],Conceptos_Contabilidad[#All],5,0),"")</f>
        <v/>
      </c>
      <c r="F2181" t="str">
        <f>+IFERROR(VLOOKUP(Fact_Contabilidad[[#This Row], 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ht="18.75" customHeight="1" x14ac:dyDescent="0.35">
      <c r="A2182" s="103"/>
      <c r="C2182" s="100" t="str">
        <f>IF(OR(Fact_Contabilidad[[#This Row], [Año]]="",Fact_Contabilidad[[#This Row], [Mes]]=""),"",DATE(A2182,MATCH(B2182,{"enero","febrero","marzo","abril","mayo","junio","julio","agosto","septiembre","octubre","noviembre","diciembre"},0)+1,0))</f>
        <v/>
      </c>
      <c r="E2182" t="str">
        <f>+IFERROR(VLOOKUP(Fact_Contabilidad[[#This Row], [Concepto Anterior]],Conceptos_Contabilidad[#All],5,0),"")</f>
        <v/>
      </c>
      <c r="F2182" t="str">
        <f>+IFERROR(VLOOKUP(Fact_Contabilidad[[#This Row], 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ht="18.75" customHeight="1" x14ac:dyDescent="0.35">
      <c r="A2183" s="103"/>
      <c r="C2183" s="100" t="str">
        <f>IF(OR(Fact_Contabilidad[[#This Row], [Año]]="",Fact_Contabilidad[[#This Row], [Mes]]=""),"",DATE(A2183,MATCH(B2183,{"enero","febrero","marzo","abril","mayo","junio","julio","agosto","septiembre","octubre","noviembre","diciembre"},0)+1,0))</f>
        <v/>
      </c>
      <c r="E2183" t="str">
        <f>+IFERROR(VLOOKUP(Fact_Contabilidad[[#This Row], [Concepto Anterior]],Conceptos_Contabilidad[#All],5,0),"")</f>
        <v/>
      </c>
      <c r="F2183" t="str">
        <f>+IFERROR(VLOOKUP(Fact_Contabilidad[[#This Row], 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ht="18.75" customHeight="1" x14ac:dyDescent="0.35">
      <c r="A2184" s="103"/>
      <c r="C2184" s="100" t="str">
        <f>IF(OR(Fact_Contabilidad[[#This Row], [Año]]="",Fact_Contabilidad[[#This Row], [Mes]]=""),"",DATE(A2184,MATCH(B2184,{"enero","febrero","marzo","abril","mayo","junio","julio","agosto","septiembre","octubre","noviembre","diciembre"},0)+1,0))</f>
        <v/>
      </c>
      <c r="E2184" t="str">
        <f>+IFERROR(VLOOKUP(Fact_Contabilidad[[#This Row], [Concepto Anterior]],Conceptos_Contabilidad[#All],5,0),"")</f>
        <v/>
      </c>
      <c r="F2184" t="str">
        <f>+IFERROR(VLOOKUP(Fact_Contabilidad[[#This Row], 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ht="18.75" customHeight="1" x14ac:dyDescent="0.35">
      <c r="A2185" s="103"/>
      <c r="C2185" s="100" t="str">
        <f>IF(OR(Fact_Contabilidad[[#This Row], [Año]]="",Fact_Contabilidad[[#This Row], [Mes]]=""),"",DATE(A2185,MATCH(B2185,{"enero","febrero","marzo","abril","mayo","junio","julio","agosto","septiembre","octubre","noviembre","diciembre"},0)+1,0))</f>
        <v/>
      </c>
      <c r="E2185" t="str">
        <f>+IFERROR(VLOOKUP(Fact_Contabilidad[[#This Row], [Concepto Anterior]],Conceptos_Contabilidad[#All],5,0),"")</f>
        <v/>
      </c>
      <c r="F2185" t="str">
        <f>+IFERROR(VLOOKUP(Fact_Contabilidad[[#This Row], 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ht="18.75" customHeight="1" x14ac:dyDescent="0.35">
      <c r="A2186" s="103"/>
      <c r="C2186" s="100" t="str">
        <f>IF(OR(Fact_Contabilidad[[#This Row], [Año]]="",Fact_Contabilidad[[#This Row], [Mes]]=""),"",DATE(A2186,MATCH(B2186,{"enero","febrero","marzo","abril","mayo","junio","julio","agosto","septiembre","octubre","noviembre","diciembre"},0)+1,0))</f>
        <v/>
      </c>
      <c r="E2186" t="str">
        <f>+IFERROR(VLOOKUP(Fact_Contabilidad[[#This Row], [Concepto Anterior]],Conceptos_Contabilidad[#All],5,0),"")</f>
        <v/>
      </c>
      <c r="F2186" t="str">
        <f>+IFERROR(VLOOKUP(Fact_Contabilidad[[#This Row], 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ht="18.75" customHeight="1" x14ac:dyDescent="0.35">
      <c r="A2187" s="103"/>
      <c r="C2187" s="100" t="str">
        <f>IF(OR(Fact_Contabilidad[[#This Row], [Año]]="",Fact_Contabilidad[[#This Row], [Mes]]=""),"",DATE(A2187,MATCH(B2187,{"enero","febrero","marzo","abril","mayo","junio","julio","agosto","septiembre","octubre","noviembre","diciembre"},0)+1,0))</f>
        <v/>
      </c>
      <c r="E2187" t="str">
        <f>+IFERROR(VLOOKUP(Fact_Contabilidad[[#This Row], [Concepto Anterior]],Conceptos_Contabilidad[#All],5,0),"")</f>
        <v/>
      </c>
      <c r="F2187" t="str">
        <f>+IFERROR(VLOOKUP(Fact_Contabilidad[[#This Row], 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ht="18.75" customHeight="1" x14ac:dyDescent="0.35">
      <c r="A2188" s="103"/>
      <c r="C2188" s="100" t="str">
        <f>IF(OR(Fact_Contabilidad[[#This Row], [Año]]="",Fact_Contabilidad[[#This Row], [Mes]]=""),"",DATE(A2188,MATCH(B2188,{"enero","febrero","marzo","abril","mayo","junio","julio","agosto","septiembre","octubre","noviembre","diciembre"},0)+1,0))</f>
        <v/>
      </c>
      <c r="E2188" t="str">
        <f>+IFERROR(VLOOKUP(Fact_Contabilidad[[#This Row], [Concepto Anterior]],Conceptos_Contabilidad[#All],5,0),"")</f>
        <v/>
      </c>
      <c r="F2188" t="str">
        <f>+IFERROR(VLOOKUP(Fact_Contabilidad[[#This Row], 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ht="18.75" customHeight="1" x14ac:dyDescent="0.35">
      <c r="A2189" s="103"/>
      <c r="C2189" s="100" t="str">
        <f>IF(OR(Fact_Contabilidad[[#This Row], [Año]]="",Fact_Contabilidad[[#This Row], [Mes]]=""),"",DATE(A2189,MATCH(B2189,{"enero","febrero","marzo","abril","mayo","junio","julio","agosto","septiembre","octubre","noviembre","diciembre"},0)+1,0))</f>
        <v/>
      </c>
      <c r="E2189" t="str">
        <f>+IFERROR(VLOOKUP(Fact_Contabilidad[[#This Row], [Concepto Anterior]],Conceptos_Contabilidad[#All],5,0),"")</f>
        <v/>
      </c>
      <c r="F2189" t="str">
        <f>+IFERROR(VLOOKUP(Fact_Contabilidad[[#This Row], 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ht="18.75" customHeight="1" x14ac:dyDescent="0.35">
      <c r="A2190" s="103"/>
      <c r="C2190" s="100" t="str">
        <f>IF(OR(Fact_Contabilidad[[#This Row], [Año]]="",Fact_Contabilidad[[#This Row], [Mes]]=""),"",DATE(A2190,MATCH(B2190,{"enero","febrero","marzo","abril","mayo","junio","julio","agosto","septiembre","octubre","noviembre","diciembre"},0)+1,0))</f>
        <v/>
      </c>
      <c r="E2190" t="str">
        <f>+IFERROR(VLOOKUP(Fact_Contabilidad[[#This Row], [Concepto Anterior]],Conceptos_Contabilidad[#All],5,0),"")</f>
        <v/>
      </c>
      <c r="F2190" t="str">
        <f>+IFERROR(VLOOKUP(Fact_Contabilidad[[#This Row], 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ht="18.75" customHeight="1" x14ac:dyDescent="0.35">
      <c r="A2191" s="103"/>
      <c r="C2191" s="100" t="str">
        <f>IF(OR(Fact_Contabilidad[[#This Row], [Año]]="",Fact_Contabilidad[[#This Row], [Mes]]=""),"",DATE(A2191,MATCH(B2191,{"enero","febrero","marzo","abril","mayo","junio","julio","agosto","septiembre","octubre","noviembre","diciembre"},0)+1,0))</f>
        <v/>
      </c>
      <c r="E2191" t="str">
        <f>+IFERROR(VLOOKUP(Fact_Contabilidad[[#This Row], [Concepto Anterior]],Conceptos_Contabilidad[#All],5,0),"")</f>
        <v/>
      </c>
      <c r="F2191" t="str">
        <f>+IFERROR(VLOOKUP(Fact_Contabilidad[[#This Row], 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ht="18.75" customHeight="1" x14ac:dyDescent="0.35">
      <c r="A2192" s="103"/>
      <c r="C2192" s="100" t="str">
        <f>IF(OR(Fact_Contabilidad[[#This Row], [Año]]="",Fact_Contabilidad[[#This Row], [Mes]]=""),"",DATE(A2192,MATCH(B2192,{"enero","febrero","marzo","abril","mayo","junio","julio","agosto","septiembre","octubre","noviembre","diciembre"},0)+1,0))</f>
        <v/>
      </c>
      <c r="E2192" t="str">
        <f>+IFERROR(VLOOKUP(Fact_Contabilidad[[#This Row], [Concepto Anterior]],Conceptos_Contabilidad[#All],5,0),"")</f>
        <v/>
      </c>
      <c r="F2192" t="str">
        <f>+IFERROR(VLOOKUP(Fact_Contabilidad[[#This Row], 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ht="18.75" customHeight="1" x14ac:dyDescent="0.35">
      <c r="A2193" s="103"/>
      <c r="C2193" s="100" t="str">
        <f>IF(OR(Fact_Contabilidad[[#This Row], [Año]]="",Fact_Contabilidad[[#This Row], [Mes]]=""),"",DATE(A2193,MATCH(B2193,{"enero","febrero","marzo","abril","mayo","junio","julio","agosto","septiembre","octubre","noviembre","diciembre"},0)+1,0))</f>
        <v/>
      </c>
      <c r="E2193" t="str">
        <f>+IFERROR(VLOOKUP(Fact_Contabilidad[[#This Row], [Concepto Anterior]],Conceptos_Contabilidad[#All],5,0),"")</f>
        <v/>
      </c>
      <c r="F2193" t="str">
        <f>+IFERROR(VLOOKUP(Fact_Contabilidad[[#This Row], 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ht="18.75" customHeight="1" x14ac:dyDescent="0.35">
      <c r="A2194" s="103"/>
      <c r="C2194" s="100" t="str">
        <f>IF(OR(Fact_Contabilidad[[#This Row], [Año]]="",Fact_Contabilidad[[#This Row], [Mes]]=""),"",DATE(A2194,MATCH(B2194,{"enero","febrero","marzo","abril","mayo","junio","julio","agosto","septiembre","octubre","noviembre","diciembre"},0)+1,0))</f>
        <v/>
      </c>
      <c r="E2194" t="str">
        <f>+IFERROR(VLOOKUP(Fact_Contabilidad[[#This Row], [Concepto Anterior]],Conceptos_Contabilidad[#All],5,0),"")</f>
        <v/>
      </c>
      <c r="F2194" t="str">
        <f>+IFERROR(VLOOKUP(Fact_Contabilidad[[#This Row], 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ht="18.75" customHeight="1" x14ac:dyDescent="0.35">
      <c r="A2195" s="103"/>
      <c r="C2195" s="100" t="str">
        <f>IF(OR(Fact_Contabilidad[[#This Row], [Año]]="",Fact_Contabilidad[[#This Row], [Mes]]=""),"",DATE(A2195,MATCH(B2195,{"enero","febrero","marzo","abril","mayo","junio","julio","agosto","septiembre","octubre","noviembre","diciembre"},0)+1,0))</f>
        <v/>
      </c>
      <c r="E2195" t="str">
        <f>+IFERROR(VLOOKUP(Fact_Contabilidad[[#This Row], [Concepto Anterior]],Conceptos_Contabilidad[#All],5,0),"")</f>
        <v/>
      </c>
      <c r="F2195" t="str">
        <f>+IFERROR(VLOOKUP(Fact_Contabilidad[[#This Row], 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ht="18.75" customHeight="1" x14ac:dyDescent="0.35">
      <c r="A2196" s="103"/>
      <c r="C2196" s="100" t="str">
        <f>IF(OR(Fact_Contabilidad[[#This Row], [Año]]="",Fact_Contabilidad[[#This Row], [Mes]]=""),"",DATE(A2196,MATCH(B2196,{"enero","febrero","marzo","abril","mayo","junio","julio","agosto","septiembre","octubre","noviembre","diciembre"},0)+1,0))</f>
        <v/>
      </c>
      <c r="E2196" t="str">
        <f>+IFERROR(VLOOKUP(Fact_Contabilidad[[#This Row], [Concepto Anterior]],Conceptos_Contabilidad[#All],5,0),"")</f>
        <v/>
      </c>
      <c r="F2196" t="str">
        <f>+IFERROR(VLOOKUP(Fact_Contabilidad[[#This Row], 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ht="18.75" customHeight="1" x14ac:dyDescent="0.35">
      <c r="A2197" s="103"/>
      <c r="C2197" s="100" t="str">
        <f>IF(OR(Fact_Contabilidad[[#This Row], [Año]]="",Fact_Contabilidad[[#This Row], [Mes]]=""),"",DATE(A2197,MATCH(B2197,{"enero","febrero","marzo","abril","mayo","junio","julio","agosto","septiembre","octubre","noviembre","diciembre"},0)+1,0))</f>
        <v/>
      </c>
      <c r="E2197" t="str">
        <f>+IFERROR(VLOOKUP(Fact_Contabilidad[[#This Row], [Concepto Anterior]],Conceptos_Contabilidad[#All],5,0),"")</f>
        <v/>
      </c>
      <c r="F2197" t="str">
        <f>+IFERROR(VLOOKUP(Fact_Contabilidad[[#This Row], 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ht="18.75" customHeight="1" x14ac:dyDescent="0.35">
      <c r="A2198" s="103"/>
      <c r="C2198" s="100" t="str">
        <f>IF(OR(Fact_Contabilidad[[#This Row], [Año]]="",Fact_Contabilidad[[#This Row], [Mes]]=""),"",DATE(A2198,MATCH(B2198,{"enero","febrero","marzo","abril","mayo","junio","julio","agosto","septiembre","octubre","noviembre","diciembre"},0)+1,0))</f>
        <v/>
      </c>
      <c r="E2198" t="str">
        <f>+IFERROR(VLOOKUP(Fact_Contabilidad[[#This Row], [Concepto Anterior]],Conceptos_Contabilidad[#All],5,0),"")</f>
        <v/>
      </c>
      <c r="F2198" t="str">
        <f>+IFERROR(VLOOKUP(Fact_Contabilidad[[#This Row], 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ht="18.75" customHeight="1" x14ac:dyDescent="0.35">
      <c r="A2199" s="103"/>
      <c r="C2199" s="100" t="str">
        <f>IF(OR(Fact_Contabilidad[[#This Row], [Año]]="",Fact_Contabilidad[[#This Row], [Mes]]=""),"",DATE(A2199,MATCH(B2199,{"enero","febrero","marzo","abril","mayo","junio","julio","agosto","septiembre","octubre","noviembre","diciembre"},0)+1,0))</f>
        <v/>
      </c>
      <c r="E2199" t="str">
        <f>+IFERROR(VLOOKUP(Fact_Contabilidad[[#This Row], [Concepto Anterior]],Conceptos_Contabilidad[#All],5,0),"")</f>
        <v/>
      </c>
      <c r="F2199" t="str">
        <f>+IFERROR(VLOOKUP(Fact_Contabilidad[[#This Row], 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ht="18.75" customHeight="1" x14ac:dyDescent="0.35">
      <c r="A2200" s="103"/>
      <c r="C2200" s="100" t="str">
        <f>IF(OR(Fact_Contabilidad[[#This Row], [Año]]="",Fact_Contabilidad[[#This Row], [Mes]]=""),"",DATE(A2200,MATCH(B2200,{"enero","febrero","marzo","abril","mayo","junio","julio","agosto","septiembre","octubre","noviembre","diciembre"},0)+1,0))</f>
        <v/>
      </c>
      <c r="E2200" t="str">
        <f>+IFERROR(VLOOKUP(Fact_Contabilidad[[#This Row], [Concepto Anterior]],Conceptos_Contabilidad[#All],5,0),"")</f>
        <v/>
      </c>
      <c r="F2200" t="str">
        <f>+IFERROR(VLOOKUP(Fact_Contabilidad[[#This Row], 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ht="18.75" customHeight="1" x14ac:dyDescent="0.35">
      <c r="A2201" s="103"/>
      <c r="C2201" s="100" t="str">
        <f>IF(OR(Fact_Contabilidad[[#This Row], [Año]]="",Fact_Contabilidad[[#This Row], [Mes]]=""),"",DATE(A2201,MATCH(B2201,{"enero","febrero","marzo","abril","mayo","junio","julio","agosto","septiembre","octubre","noviembre","diciembre"},0)+1,0))</f>
        <v/>
      </c>
      <c r="E2201" t="str">
        <f>+IFERROR(VLOOKUP(Fact_Contabilidad[[#This Row], [Concepto Anterior]],Conceptos_Contabilidad[#All],5,0),"")</f>
        <v/>
      </c>
      <c r="F2201" t="str">
        <f>+IFERROR(VLOOKUP(Fact_Contabilidad[[#This Row], 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ht="18.75" customHeight="1" x14ac:dyDescent="0.35">
      <c r="A2202" s="103"/>
      <c r="C2202" s="100" t="str">
        <f>IF(OR(Fact_Contabilidad[[#This Row], [Año]]="",Fact_Contabilidad[[#This Row], [Mes]]=""),"",DATE(A2202,MATCH(B2202,{"enero","febrero","marzo","abril","mayo","junio","julio","agosto","septiembre","octubre","noviembre","diciembre"},0)+1,0))</f>
        <v/>
      </c>
      <c r="E2202" t="str">
        <f>+IFERROR(VLOOKUP(Fact_Contabilidad[[#This Row], [Concepto Anterior]],Conceptos_Contabilidad[#All],5,0),"")</f>
        <v/>
      </c>
      <c r="F2202" t="str">
        <f>+IFERROR(VLOOKUP(Fact_Contabilidad[[#This Row], 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ht="18.75" customHeight="1" x14ac:dyDescent="0.35">
      <c r="A2203" s="103"/>
      <c r="C2203" s="100" t="str">
        <f>IF(OR(Fact_Contabilidad[[#This Row], [Año]]="",Fact_Contabilidad[[#This Row], [Mes]]=""),"",DATE(A2203,MATCH(B2203,{"enero","febrero","marzo","abril","mayo","junio","julio","agosto","septiembre","octubre","noviembre","diciembre"},0)+1,0))</f>
        <v/>
      </c>
      <c r="E2203" t="str">
        <f>+IFERROR(VLOOKUP(Fact_Contabilidad[[#This Row], [Concepto Anterior]],Conceptos_Contabilidad[#All],5,0),"")</f>
        <v/>
      </c>
      <c r="F2203" t="str">
        <f>+IFERROR(VLOOKUP(Fact_Contabilidad[[#This Row], 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ht="18.75" customHeight="1" x14ac:dyDescent="0.35">
      <c r="A2204" s="103"/>
      <c r="C2204" s="100" t="str">
        <f>IF(OR(Fact_Contabilidad[[#This Row], [Año]]="",Fact_Contabilidad[[#This Row], [Mes]]=""),"",DATE(A2204,MATCH(B2204,{"enero","febrero","marzo","abril","mayo","junio","julio","agosto","septiembre","octubre","noviembre","diciembre"},0)+1,0))</f>
        <v/>
      </c>
      <c r="E2204" t="str">
        <f>+IFERROR(VLOOKUP(Fact_Contabilidad[[#This Row], [Concepto Anterior]],Conceptos_Contabilidad[#All],5,0),"")</f>
        <v/>
      </c>
      <c r="F2204" t="str">
        <f>+IFERROR(VLOOKUP(Fact_Contabilidad[[#This Row], 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ht="18.75" customHeight="1" x14ac:dyDescent="0.35">
      <c r="A2205" s="103"/>
      <c r="C2205" s="100" t="str">
        <f>IF(OR(Fact_Contabilidad[[#This Row], [Año]]="",Fact_Contabilidad[[#This Row], [Mes]]=""),"",DATE(A2205,MATCH(B2205,{"enero","febrero","marzo","abril","mayo","junio","julio","agosto","septiembre","octubre","noviembre","diciembre"},0)+1,0))</f>
        <v/>
      </c>
      <c r="E2205" t="str">
        <f>+IFERROR(VLOOKUP(Fact_Contabilidad[[#This Row], [Concepto Anterior]],Conceptos_Contabilidad[#All],5,0),"")</f>
        <v/>
      </c>
      <c r="F2205" t="str">
        <f>+IFERROR(VLOOKUP(Fact_Contabilidad[[#This Row], 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ht="18.75" customHeight="1" x14ac:dyDescent="0.35">
      <c r="A2206" s="103"/>
      <c r="C2206" s="100" t="str">
        <f>IF(OR(Fact_Contabilidad[[#This Row], [Año]]="",Fact_Contabilidad[[#This Row], [Mes]]=""),"",DATE(A2206,MATCH(B2206,{"enero","febrero","marzo","abril","mayo","junio","julio","agosto","septiembre","octubre","noviembre","diciembre"},0)+1,0))</f>
        <v/>
      </c>
      <c r="E2206" t="str">
        <f>+IFERROR(VLOOKUP(Fact_Contabilidad[[#This Row], [Concepto Anterior]],Conceptos_Contabilidad[#All],5,0),"")</f>
        <v/>
      </c>
      <c r="F2206" t="str">
        <f>+IFERROR(VLOOKUP(Fact_Contabilidad[[#This Row], 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ht="18.75" customHeight="1" x14ac:dyDescent="0.35">
      <c r="A2207" s="103"/>
      <c r="C2207" s="100" t="str">
        <f>IF(OR(Fact_Contabilidad[[#This Row], [Año]]="",Fact_Contabilidad[[#This Row], [Mes]]=""),"",DATE(A2207,MATCH(B2207,{"enero","febrero","marzo","abril","mayo","junio","julio","agosto","septiembre","octubre","noviembre","diciembre"},0)+1,0))</f>
        <v/>
      </c>
      <c r="E2207" t="str">
        <f>+IFERROR(VLOOKUP(Fact_Contabilidad[[#This Row], [Concepto Anterior]],Conceptos_Contabilidad[#All],5,0),"")</f>
        <v/>
      </c>
      <c r="F2207" t="str">
        <f>+IFERROR(VLOOKUP(Fact_Contabilidad[[#This Row], 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ht="18.75" customHeight="1" x14ac:dyDescent="0.35">
      <c r="A2208" s="103"/>
      <c r="C2208" s="100" t="str">
        <f>IF(OR(Fact_Contabilidad[[#This Row], [Año]]="",Fact_Contabilidad[[#This Row], [Mes]]=""),"",DATE(A2208,MATCH(B2208,{"enero","febrero","marzo","abril","mayo","junio","julio","agosto","septiembre","octubre","noviembre","diciembre"},0)+1,0))</f>
        <v/>
      </c>
      <c r="E2208" t="str">
        <f>+IFERROR(VLOOKUP(Fact_Contabilidad[[#This Row], [Concepto Anterior]],Conceptos_Contabilidad[#All],5,0),"")</f>
        <v/>
      </c>
      <c r="F2208" t="str">
        <f>+IFERROR(VLOOKUP(Fact_Contabilidad[[#This Row], 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ht="18.75" customHeight="1" x14ac:dyDescent="0.35">
      <c r="A2209" s="103"/>
      <c r="C2209" s="100" t="str">
        <f>IF(OR(Fact_Contabilidad[[#This Row], [Año]]="",Fact_Contabilidad[[#This Row], [Mes]]=""),"",DATE(A2209,MATCH(B2209,{"enero","febrero","marzo","abril","mayo","junio","julio","agosto","septiembre","octubre","noviembre","diciembre"},0)+1,0))</f>
        <v/>
      </c>
      <c r="E2209" t="str">
        <f>+IFERROR(VLOOKUP(Fact_Contabilidad[[#This Row], [Concepto Anterior]],Conceptos_Contabilidad[#All],5,0),"")</f>
        <v/>
      </c>
      <c r="F2209" t="str">
        <f>+IFERROR(VLOOKUP(Fact_Contabilidad[[#This Row], 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ht="18.75" customHeight="1" x14ac:dyDescent="0.35">
      <c r="A2210" s="103"/>
      <c r="C2210" s="100" t="str">
        <f>IF(OR(Fact_Contabilidad[[#This Row], [Año]]="",Fact_Contabilidad[[#This Row], [Mes]]=""),"",DATE(A2210,MATCH(B2210,{"enero","febrero","marzo","abril","mayo","junio","julio","agosto","septiembre","octubre","noviembre","diciembre"},0)+1,0))</f>
        <v/>
      </c>
      <c r="E2210" t="str">
        <f>+IFERROR(VLOOKUP(Fact_Contabilidad[[#This Row], [Concepto Anterior]],Conceptos_Contabilidad[#All],5,0),"")</f>
        <v/>
      </c>
      <c r="F2210" t="str">
        <f>+IFERROR(VLOOKUP(Fact_Contabilidad[[#This Row], 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ht="18.75" customHeight="1" x14ac:dyDescent="0.35">
      <c r="A2211" s="103"/>
      <c r="C2211" s="100" t="str">
        <f>IF(OR(Fact_Contabilidad[[#This Row], [Año]]="",Fact_Contabilidad[[#This Row], [Mes]]=""),"",DATE(A2211,MATCH(B2211,{"enero","febrero","marzo","abril","mayo","junio","julio","agosto","septiembre","octubre","noviembre","diciembre"},0)+1,0))</f>
        <v/>
      </c>
      <c r="E2211" t="str">
        <f>+IFERROR(VLOOKUP(Fact_Contabilidad[[#This Row], [Concepto Anterior]],Conceptos_Contabilidad[#All],5,0),"")</f>
        <v/>
      </c>
      <c r="F2211" t="str">
        <f>+IFERROR(VLOOKUP(Fact_Contabilidad[[#This Row], 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ht="18.75" customHeight="1" x14ac:dyDescent="0.35">
      <c r="A2212" s="103"/>
      <c r="C2212" s="100" t="str">
        <f>IF(OR(Fact_Contabilidad[[#This Row], [Año]]="",Fact_Contabilidad[[#This Row], [Mes]]=""),"",DATE(A2212,MATCH(B2212,{"enero","febrero","marzo","abril","mayo","junio","julio","agosto","septiembre","octubre","noviembre","diciembre"},0)+1,0))</f>
        <v/>
      </c>
      <c r="E2212" t="str">
        <f>+IFERROR(VLOOKUP(Fact_Contabilidad[[#This Row], [Concepto Anterior]],Conceptos_Contabilidad[#All],5,0),"")</f>
        <v/>
      </c>
      <c r="F2212" t="str">
        <f>+IFERROR(VLOOKUP(Fact_Contabilidad[[#This Row], 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ht="18.75" customHeight="1" x14ac:dyDescent="0.35">
      <c r="A2213" s="103"/>
      <c r="C2213" s="100" t="str">
        <f>IF(OR(Fact_Contabilidad[[#This Row], [Año]]="",Fact_Contabilidad[[#This Row], [Mes]]=""),"",DATE(A2213,MATCH(B2213,{"enero","febrero","marzo","abril","mayo","junio","julio","agosto","septiembre","octubre","noviembre","diciembre"},0)+1,0))</f>
        <v/>
      </c>
      <c r="E2213" t="str">
        <f>+IFERROR(VLOOKUP(Fact_Contabilidad[[#This Row], [Concepto Anterior]],Conceptos_Contabilidad[#All],5,0),"")</f>
        <v/>
      </c>
      <c r="F2213" t="str">
        <f>+IFERROR(VLOOKUP(Fact_Contabilidad[[#This Row], 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ht="18.75" customHeight="1" x14ac:dyDescent="0.35">
      <c r="A2214" s="103"/>
      <c r="C2214" s="100" t="str">
        <f>IF(OR(Fact_Contabilidad[[#This Row], [Año]]="",Fact_Contabilidad[[#This Row], [Mes]]=""),"",DATE(A2214,MATCH(B2214,{"enero","febrero","marzo","abril","mayo","junio","julio","agosto","septiembre","octubre","noviembre","diciembre"},0)+1,0))</f>
        <v/>
      </c>
      <c r="E2214" t="str">
        <f>+IFERROR(VLOOKUP(Fact_Contabilidad[[#This Row], [Concepto Anterior]],Conceptos_Contabilidad[#All],5,0),"")</f>
        <v/>
      </c>
      <c r="F2214" t="str">
        <f>+IFERROR(VLOOKUP(Fact_Contabilidad[[#This Row], 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ht="18.75" customHeight="1" x14ac:dyDescent="0.35">
      <c r="A2215" s="103"/>
      <c r="C2215" s="100" t="str">
        <f>IF(OR(Fact_Contabilidad[[#This Row], [Año]]="",Fact_Contabilidad[[#This Row], [Mes]]=""),"",DATE(A2215,MATCH(B2215,{"enero","febrero","marzo","abril","mayo","junio","julio","agosto","septiembre","octubre","noviembre","diciembre"},0)+1,0))</f>
        <v/>
      </c>
      <c r="E2215" t="str">
        <f>+IFERROR(VLOOKUP(Fact_Contabilidad[[#This Row], [Concepto Anterior]],Conceptos_Contabilidad[#All],5,0),"")</f>
        <v/>
      </c>
      <c r="F2215" t="str">
        <f>+IFERROR(VLOOKUP(Fact_Contabilidad[[#This Row], 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ht="18.75" customHeight="1" x14ac:dyDescent="0.35">
      <c r="A2216" s="103"/>
      <c r="C2216" s="100" t="str">
        <f>IF(OR(Fact_Contabilidad[[#This Row], [Año]]="",Fact_Contabilidad[[#This Row], [Mes]]=""),"",DATE(A2216,MATCH(B2216,{"enero","febrero","marzo","abril","mayo","junio","julio","agosto","septiembre","octubre","noviembre","diciembre"},0)+1,0))</f>
        <v/>
      </c>
      <c r="E2216" t="str">
        <f>+IFERROR(VLOOKUP(Fact_Contabilidad[[#This Row], [Concepto Anterior]],Conceptos_Contabilidad[#All],5,0),"")</f>
        <v/>
      </c>
      <c r="F2216" t="str">
        <f>+IFERROR(VLOOKUP(Fact_Contabilidad[[#This Row], 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ht="18.75" customHeight="1" x14ac:dyDescent="0.35">
      <c r="A2217" s="103"/>
      <c r="C2217" s="100" t="str">
        <f>IF(OR(Fact_Contabilidad[[#This Row], [Año]]="",Fact_Contabilidad[[#This Row], [Mes]]=""),"",DATE(A2217,MATCH(B2217,{"enero","febrero","marzo","abril","mayo","junio","julio","agosto","septiembre","octubre","noviembre","diciembre"},0)+1,0))</f>
        <v/>
      </c>
      <c r="E2217" t="str">
        <f>+IFERROR(VLOOKUP(Fact_Contabilidad[[#This Row], [Concepto Anterior]],Conceptos_Contabilidad[#All],5,0),"")</f>
        <v/>
      </c>
      <c r="F2217" t="str">
        <f>+IFERROR(VLOOKUP(Fact_Contabilidad[[#This Row], 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ht="18.75" customHeight="1" x14ac:dyDescent="0.35">
      <c r="A2218" s="103"/>
      <c r="C2218" s="100" t="str">
        <f>IF(OR(Fact_Contabilidad[[#This Row], [Año]]="",Fact_Contabilidad[[#This Row], [Mes]]=""),"",DATE(A2218,MATCH(B2218,{"enero","febrero","marzo","abril","mayo","junio","julio","agosto","septiembre","octubre","noviembre","diciembre"},0)+1,0))</f>
        <v/>
      </c>
      <c r="E2218" t="str">
        <f>+IFERROR(VLOOKUP(Fact_Contabilidad[[#This Row], [Concepto Anterior]],Conceptos_Contabilidad[#All],5,0),"")</f>
        <v/>
      </c>
      <c r="F2218" t="str">
        <f>+IFERROR(VLOOKUP(Fact_Contabilidad[[#This Row], 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ht="18.75" customHeight="1" x14ac:dyDescent="0.35">
      <c r="A2219" s="103"/>
      <c r="C2219" s="100" t="str">
        <f>IF(OR(Fact_Contabilidad[[#This Row], [Año]]="",Fact_Contabilidad[[#This Row], [Mes]]=""),"",DATE(A2219,MATCH(B2219,{"enero","febrero","marzo","abril","mayo","junio","julio","agosto","septiembre","octubre","noviembre","diciembre"},0)+1,0))</f>
        <v/>
      </c>
      <c r="E2219" t="str">
        <f>+IFERROR(VLOOKUP(Fact_Contabilidad[[#This Row], [Concepto Anterior]],Conceptos_Contabilidad[#All],5,0),"")</f>
        <v/>
      </c>
      <c r="F2219" t="str">
        <f>+IFERROR(VLOOKUP(Fact_Contabilidad[[#This Row], 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ht="18.75" customHeight="1" x14ac:dyDescent="0.35">
      <c r="A2220" s="103"/>
      <c r="C2220" s="100" t="str">
        <f>IF(OR(Fact_Contabilidad[[#This Row], [Año]]="",Fact_Contabilidad[[#This Row], [Mes]]=""),"",DATE(A2220,MATCH(B2220,{"enero","febrero","marzo","abril","mayo","junio","julio","agosto","septiembre","octubre","noviembre","diciembre"},0)+1,0))</f>
        <v/>
      </c>
      <c r="E2220" t="str">
        <f>+IFERROR(VLOOKUP(Fact_Contabilidad[[#This Row], [Concepto Anterior]],Conceptos_Contabilidad[#All],5,0),"")</f>
        <v/>
      </c>
      <c r="F2220" t="str">
        <f>+IFERROR(VLOOKUP(Fact_Contabilidad[[#This Row], 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ht="18.75" customHeight="1" x14ac:dyDescent="0.35">
      <c r="A2221" s="103"/>
      <c r="C2221" s="100" t="str">
        <f>IF(OR(Fact_Contabilidad[[#This Row], [Año]]="",Fact_Contabilidad[[#This Row], [Mes]]=""),"",DATE(A2221,MATCH(B2221,{"enero","febrero","marzo","abril","mayo","junio","julio","agosto","septiembre","octubre","noviembre","diciembre"},0)+1,0))</f>
        <v/>
      </c>
      <c r="E2221" t="str">
        <f>+IFERROR(VLOOKUP(Fact_Contabilidad[[#This Row], [Concepto Anterior]],Conceptos_Contabilidad[#All],5,0),"")</f>
        <v/>
      </c>
      <c r="F2221" t="str">
        <f>+IFERROR(VLOOKUP(Fact_Contabilidad[[#This Row], 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ht="18.75" customHeight="1" x14ac:dyDescent="0.35">
      <c r="A2222" s="103"/>
      <c r="C2222" s="100" t="str">
        <f>IF(OR(Fact_Contabilidad[[#This Row], [Año]]="",Fact_Contabilidad[[#This Row], [Mes]]=""),"",DATE(A2222,MATCH(B2222,{"enero","febrero","marzo","abril","mayo","junio","julio","agosto","septiembre","octubre","noviembre","diciembre"},0)+1,0))</f>
        <v/>
      </c>
      <c r="E2222" t="str">
        <f>+IFERROR(VLOOKUP(Fact_Contabilidad[[#This Row], [Concepto Anterior]],Conceptos_Contabilidad[#All],5,0),"")</f>
        <v/>
      </c>
      <c r="F2222" t="str">
        <f>+IFERROR(VLOOKUP(Fact_Contabilidad[[#This Row], 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ht="18.75" customHeight="1" x14ac:dyDescent="0.35">
      <c r="A2223" s="103"/>
      <c r="C2223" s="100" t="str">
        <f>IF(OR(Fact_Contabilidad[[#This Row], [Año]]="",Fact_Contabilidad[[#This Row], [Mes]]=""),"",DATE(A2223,MATCH(B2223,{"enero","febrero","marzo","abril","mayo","junio","julio","agosto","septiembre","octubre","noviembre","diciembre"},0)+1,0))</f>
        <v/>
      </c>
      <c r="E2223" t="str">
        <f>+IFERROR(VLOOKUP(Fact_Contabilidad[[#This Row], [Concepto Anterior]],Conceptos_Contabilidad[#All],5,0),"")</f>
        <v/>
      </c>
      <c r="F2223" t="str">
        <f>+IFERROR(VLOOKUP(Fact_Contabilidad[[#This Row], 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ht="18.75" customHeight="1" x14ac:dyDescent="0.35">
      <c r="A2224" s="103"/>
      <c r="C2224" s="100" t="str">
        <f>IF(OR(Fact_Contabilidad[[#This Row], [Año]]="",Fact_Contabilidad[[#This Row], [Mes]]=""),"",DATE(A2224,MATCH(B2224,{"enero","febrero","marzo","abril","mayo","junio","julio","agosto","septiembre","octubre","noviembre","diciembre"},0)+1,0))</f>
        <v/>
      </c>
      <c r="E2224" t="str">
        <f>+IFERROR(VLOOKUP(Fact_Contabilidad[[#This Row], [Concepto Anterior]],Conceptos_Contabilidad[#All],5,0),"")</f>
        <v/>
      </c>
      <c r="F2224" t="str">
        <f>+IFERROR(VLOOKUP(Fact_Contabilidad[[#This Row], 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ht="18.75" customHeight="1" x14ac:dyDescent="0.35">
      <c r="A2225" s="103"/>
      <c r="C2225" s="100" t="str">
        <f>IF(OR(Fact_Contabilidad[[#This Row], [Año]]="",Fact_Contabilidad[[#This Row], [Mes]]=""),"",DATE(A2225,MATCH(B2225,{"enero","febrero","marzo","abril","mayo","junio","julio","agosto","septiembre","octubre","noviembre","diciembre"},0)+1,0))</f>
        <v/>
      </c>
      <c r="E2225" t="str">
        <f>+IFERROR(VLOOKUP(Fact_Contabilidad[[#This Row], [Concepto Anterior]],Conceptos_Contabilidad[#All],5,0),"")</f>
        <v/>
      </c>
      <c r="F2225" t="str">
        <f>+IFERROR(VLOOKUP(Fact_Contabilidad[[#This Row], 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ht="18.75" customHeight="1" x14ac:dyDescent="0.35">
      <c r="A2226" s="103"/>
      <c r="C2226" s="100" t="str">
        <f>IF(OR(Fact_Contabilidad[[#This Row], [Año]]="",Fact_Contabilidad[[#This Row], [Mes]]=""),"",DATE(A2226,MATCH(B2226,{"enero","febrero","marzo","abril","mayo","junio","julio","agosto","septiembre","octubre","noviembre","diciembre"},0)+1,0))</f>
        <v/>
      </c>
      <c r="E2226" t="str">
        <f>+IFERROR(VLOOKUP(Fact_Contabilidad[[#This Row], [Concepto Anterior]],Conceptos_Contabilidad[#All],5,0),"")</f>
        <v/>
      </c>
      <c r="F2226" t="str">
        <f>+IFERROR(VLOOKUP(Fact_Contabilidad[[#This Row], 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ht="18.75" customHeight="1" x14ac:dyDescent="0.35">
      <c r="A2227" s="103"/>
      <c r="C2227" s="100" t="str">
        <f>IF(OR(Fact_Contabilidad[[#This Row], [Año]]="",Fact_Contabilidad[[#This Row], [Mes]]=""),"",DATE(A2227,MATCH(B2227,{"enero","febrero","marzo","abril","mayo","junio","julio","agosto","septiembre","octubre","noviembre","diciembre"},0)+1,0))</f>
        <v/>
      </c>
      <c r="E2227" t="str">
        <f>+IFERROR(VLOOKUP(Fact_Contabilidad[[#This Row], [Concepto Anterior]],Conceptos_Contabilidad[#All],5,0),"")</f>
        <v/>
      </c>
      <c r="F2227" t="str">
        <f>+IFERROR(VLOOKUP(Fact_Contabilidad[[#This Row], 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ht="18.75" customHeight="1" x14ac:dyDescent="0.35">
      <c r="A2228" s="103"/>
      <c r="C2228" s="100" t="str">
        <f>IF(OR(Fact_Contabilidad[[#This Row], [Año]]="",Fact_Contabilidad[[#This Row], [Mes]]=""),"",DATE(A2228,MATCH(B2228,{"enero","febrero","marzo","abril","mayo","junio","julio","agosto","septiembre","octubre","noviembre","diciembre"},0)+1,0))</f>
        <v/>
      </c>
      <c r="E2228" t="str">
        <f>+IFERROR(VLOOKUP(Fact_Contabilidad[[#This Row], [Concepto Anterior]],Conceptos_Contabilidad[#All],5,0),"")</f>
        <v/>
      </c>
      <c r="F2228" t="str">
        <f>+IFERROR(VLOOKUP(Fact_Contabilidad[[#This Row], 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ht="18.75" customHeight="1" x14ac:dyDescent="0.35">
      <c r="A2229" s="103"/>
      <c r="C2229" s="100" t="str">
        <f>IF(OR(Fact_Contabilidad[[#This Row], [Año]]="",Fact_Contabilidad[[#This Row], [Mes]]=""),"",DATE(A2229,MATCH(B2229,{"enero","febrero","marzo","abril","mayo","junio","julio","agosto","septiembre","octubre","noviembre","diciembre"},0)+1,0))</f>
        <v/>
      </c>
      <c r="E2229" t="str">
        <f>+IFERROR(VLOOKUP(Fact_Contabilidad[[#This Row], [Concepto Anterior]],Conceptos_Contabilidad[#All],5,0),"")</f>
        <v/>
      </c>
      <c r="F2229" t="str">
        <f>+IFERROR(VLOOKUP(Fact_Contabilidad[[#This Row], 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ht="18.75" customHeight="1" x14ac:dyDescent="0.35">
      <c r="A2230" s="103"/>
      <c r="C2230" s="100" t="str">
        <f>IF(OR(Fact_Contabilidad[[#This Row], [Año]]="",Fact_Contabilidad[[#This Row], [Mes]]=""),"",DATE(A2230,MATCH(B2230,{"enero","febrero","marzo","abril","mayo","junio","julio","agosto","septiembre","octubre","noviembre","diciembre"},0)+1,0))</f>
        <v/>
      </c>
      <c r="E2230" t="str">
        <f>+IFERROR(VLOOKUP(Fact_Contabilidad[[#This Row], [Concepto Anterior]],Conceptos_Contabilidad[#All],5,0),"")</f>
        <v/>
      </c>
      <c r="F2230" t="str">
        <f>+IFERROR(VLOOKUP(Fact_Contabilidad[[#This Row], 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ht="18.75" customHeight="1" x14ac:dyDescent="0.35">
      <c r="A2231" s="103"/>
      <c r="C2231" s="100" t="str">
        <f>IF(OR(Fact_Contabilidad[[#This Row], [Año]]="",Fact_Contabilidad[[#This Row], [Mes]]=""),"",DATE(A2231,MATCH(B2231,{"enero","febrero","marzo","abril","mayo","junio","julio","agosto","septiembre","octubre","noviembre","diciembre"},0)+1,0))</f>
        <v/>
      </c>
      <c r="E2231" t="str">
        <f>+IFERROR(VLOOKUP(Fact_Contabilidad[[#This Row], [Concepto Anterior]],Conceptos_Contabilidad[#All],5,0),"")</f>
        <v/>
      </c>
      <c r="F2231" t="str">
        <f>+IFERROR(VLOOKUP(Fact_Contabilidad[[#This Row], 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ht="18.75" customHeight="1" x14ac:dyDescent="0.35">
      <c r="A2232" s="103"/>
      <c r="C2232" s="100" t="str">
        <f>IF(OR(Fact_Contabilidad[[#This Row], [Año]]="",Fact_Contabilidad[[#This Row], [Mes]]=""),"",DATE(A2232,MATCH(B2232,{"enero","febrero","marzo","abril","mayo","junio","julio","agosto","septiembre","octubre","noviembre","diciembre"},0)+1,0))</f>
        <v/>
      </c>
      <c r="E2232" t="str">
        <f>+IFERROR(VLOOKUP(Fact_Contabilidad[[#This Row], [Concepto Anterior]],Conceptos_Contabilidad[#All],5,0),"")</f>
        <v/>
      </c>
      <c r="F2232" t="str">
        <f>+IFERROR(VLOOKUP(Fact_Contabilidad[[#This Row], 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ht="18.75" customHeight="1" x14ac:dyDescent="0.35">
      <c r="A2233" s="103"/>
      <c r="C2233" s="100" t="str">
        <f>IF(OR(Fact_Contabilidad[[#This Row], [Año]]="",Fact_Contabilidad[[#This Row], [Mes]]=""),"",DATE(A2233,MATCH(B2233,{"enero","febrero","marzo","abril","mayo","junio","julio","agosto","septiembre","octubre","noviembre","diciembre"},0)+1,0))</f>
        <v/>
      </c>
      <c r="E2233" t="str">
        <f>+IFERROR(VLOOKUP(Fact_Contabilidad[[#This Row], [Concepto Anterior]],Conceptos_Contabilidad[#All],5,0),"")</f>
        <v/>
      </c>
      <c r="F2233" t="str">
        <f>+IFERROR(VLOOKUP(Fact_Contabilidad[[#This Row], 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ht="18.75" customHeight="1" x14ac:dyDescent="0.35">
      <c r="A2234" s="103"/>
      <c r="C2234" s="100" t="str">
        <f>IF(OR(Fact_Contabilidad[[#This Row], [Año]]="",Fact_Contabilidad[[#This Row], [Mes]]=""),"",DATE(A2234,MATCH(B2234,{"enero","febrero","marzo","abril","mayo","junio","julio","agosto","septiembre","octubre","noviembre","diciembre"},0)+1,0))</f>
        <v/>
      </c>
      <c r="E2234" t="str">
        <f>+IFERROR(VLOOKUP(Fact_Contabilidad[[#This Row], [Concepto Anterior]],Conceptos_Contabilidad[#All],5,0),"")</f>
        <v/>
      </c>
      <c r="F2234" t="str">
        <f>+IFERROR(VLOOKUP(Fact_Contabilidad[[#This Row], 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ht="18.75" customHeight="1" x14ac:dyDescent="0.35">
      <c r="A2235" s="103"/>
      <c r="C2235" s="100" t="str">
        <f>IF(OR(Fact_Contabilidad[[#This Row], [Año]]="",Fact_Contabilidad[[#This Row], [Mes]]=""),"",DATE(A2235,MATCH(B2235,{"enero","febrero","marzo","abril","mayo","junio","julio","agosto","septiembre","octubre","noviembre","diciembre"},0)+1,0))</f>
        <v/>
      </c>
      <c r="E2235" t="str">
        <f>+IFERROR(VLOOKUP(Fact_Contabilidad[[#This Row], [Concepto Anterior]],Conceptos_Contabilidad[#All],5,0),"")</f>
        <v/>
      </c>
      <c r="F2235" t="str">
        <f>+IFERROR(VLOOKUP(Fact_Contabilidad[[#This Row], 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ht="18.75" customHeight="1" x14ac:dyDescent="0.35">
      <c r="A2236" s="103"/>
      <c r="C2236" s="100" t="str">
        <f>IF(OR(Fact_Contabilidad[[#This Row], [Año]]="",Fact_Contabilidad[[#This Row], [Mes]]=""),"",DATE(A2236,MATCH(B2236,{"enero","febrero","marzo","abril","mayo","junio","julio","agosto","septiembre","octubre","noviembre","diciembre"},0)+1,0))</f>
        <v/>
      </c>
      <c r="E2236" t="str">
        <f>+IFERROR(VLOOKUP(Fact_Contabilidad[[#This Row], [Concepto Anterior]],Conceptos_Contabilidad[#All],5,0),"")</f>
        <v/>
      </c>
      <c r="F2236" t="str">
        <f>+IFERROR(VLOOKUP(Fact_Contabilidad[[#This Row], 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ht="18.75" customHeight="1" x14ac:dyDescent="0.35">
      <c r="A2237" s="103"/>
      <c r="C2237" s="100" t="str">
        <f>IF(OR(Fact_Contabilidad[[#This Row], [Año]]="",Fact_Contabilidad[[#This Row], [Mes]]=""),"",DATE(A2237,MATCH(B2237,{"enero","febrero","marzo","abril","mayo","junio","julio","agosto","septiembre","octubre","noviembre","diciembre"},0)+1,0))</f>
        <v/>
      </c>
      <c r="E2237" t="str">
        <f>+IFERROR(VLOOKUP(Fact_Contabilidad[[#This Row], [Concepto Anterior]],Conceptos_Contabilidad[#All],5,0),"")</f>
        <v/>
      </c>
      <c r="F2237" t="str">
        <f>+IFERROR(VLOOKUP(Fact_Contabilidad[[#This Row], 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ht="18.75" customHeight="1" x14ac:dyDescent="0.35">
      <c r="A2238" s="103"/>
      <c r="C2238" s="100" t="str">
        <f>IF(OR(Fact_Contabilidad[[#This Row], [Año]]="",Fact_Contabilidad[[#This Row], [Mes]]=""),"",DATE(A2238,MATCH(B2238,{"enero","febrero","marzo","abril","mayo","junio","julio","agosto","septiembre","octubre","noviembre","diciembre"},0)+1,0))</f>
        <v/>
      </c>
      <c r="E2238" t="str">
        <f>+IFERROR(VLOOKUP(Fact_Contabilidad[[#This Row], [Concepto Anterior]],Conceptos_Contabilidad[#All],5,0),"")</f>
        <v/>
      </c>
      <c r="F2238" t="str">
        <f>+IFERROR(VLOOKUP(Fact_Contabilidad[[#This Row], 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ht="18.75" customHeight="1" x14ac:dyDescent="0.35">
      <c r="A2239" s="103"/>
      <c r="C2239" s="100" t="str">
        <f>IF(OR(Fact_Contabilidad[[#This Row], [Año]]="",Fact_Contabilidad[[#This Row], [Mes]]=""),"",DATE(A2239,MATCH(B2239,{"enero","febrero","marzo","abril","mayo","junio","julio","agosto","septiembre","octubre","noviembre","diciembre"},0)+1,0))</f>
        <v/>
      </c>
      <c r="E2239" t="str">
        <f>+IFERROR(VLOOKUP(Fact_Contabilidad[[#This Row], [Concepto Anterior]],Conceptos_Contabilidad[#All],5,0),"")</f>
        <v/>
      </c>
      <c r="F2239" t="str">
        <f>+IFERROR(VLOOKUP(Fact_Contabilidad[[#This Row], 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ht="18.75" customHeight="1" x14ac:dyDescent="0.35">
      <c r="A2240" s="103"/>
      <c r="C2240" s="100" t="str">
        <f>IF(OR(Fact_Contabilidad[[#This Row], [Año]]="",Fact_Contabilidad[[#This Row], [Mes]]=""),"",DATE(A2240,MATCH(B2240,{"enero","febrero","marzo","abril","mayo","junio","julio","agosto","septiembre","octubre","noviembre","diciembre"},0)+1,0))</f>
        <v/>
      </c>
      <c r="E2240" t="str">
        <f>+IFERROR(VLOOKUP(Fact_Contabilidad[[#This Row], [Concepto Anterior]],Conceptos_Contabilidad[#All],5,0),"")</f>
        <v/>
      </c>
      <c r="F2240" t="str">
        <f>+IFERROR(VLOOKUP(Fact_Contabilidad[[#This Row], 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ht="18.75" customHeight="1" x14ac:dyDescent="0.35">
      <c r="A2241" s="103"/>
      <c r="C2241" s="100" t="str">
        <f>IF(OR(Fact_Contabilidad[[#This Row], [Año]]="",Fact_Contabilidad[[#This Row], [Mes]]=""),"",DATE(A2241,MATCH(B2241,{"enero","febrero","marzo","abril","mayo","junio","julio","agosto","septiembre","octubre","noviembre","diciembre"},0)+1,0))</f>
        <v/>
      </c>
      <c r="E2241" t="str">
        <f>+IFERROR(VLOOKUP(Fact_Contabilidad[[#This Row], [Concepto Anterior]],Conceptos_Contabilidad[#All],5,0),"")</f>
        <v/>
      </c>
      <c r="F2241" t="str">
        <f>+IFERROR(VLOOKUP(Fact_Contabilidad[[#This Row], 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ht="18.75" customHeight="1" x14ac:dyDescent="0.35">
      <c r="A2242" s="103"/>
      <c r="C2242" s="100" t="str">
        <f>IF(OR(Fact_Contabilidad[[#This Row], [Año]]="",Fact_Contabilidad[[#This Row], [Mes]]=""),"",DATE(A2242,MATCH(B2242,{"enero","febrero","marzo","abril","mayo","junio","julio","agosto","septiembre","octubre","noviembre","diciembre"},0)+1,0))</f>
        <v/>
      </c>
      <c r="E2242" t="str">
        <f>+IFERROR(VLOOKUP(Fact_Contabilidad[[#This Row], [Concepto Anterior]],Conceptos_Contabilidad[#All],5,0),"")</f>
        <v/>
      </c>
      <c r="F2242" t="str">
        <f>+IFERROR(VLOOKUP(Fact_Contabilidad[[#This Row], 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ht="18.75" customHeight="1" x14ac:dyDescent="0.35">
      <c r="A2243" s="103"/>
      <c r="C2243" s="100" t="str">
        <f>IF(OR(Fact_Contabilidad[[#This Row], [Año]]="",Fact_Contabilidad[[#This Row], [Mes]]=""),"",DATE(A2243,MATCH(B2243,{"enero","febrero","marzo","abril","mayo","junio","julio","agosto","septiembre","octubre","noviembre","diciembre"},0)+1,0))</f>
        <v/>
      </c>
      <c r="E2243" t="str">
        <f>+IFERROR(VLOOKUP(Fact_Contabilidad[[#This Row], [Concepto Anterior]],Conceptos_Contabilidad[#All],5,0),"")</f>
        <v/>
      </c>
      <c r="F2243" t="str">
        <f>+IFERROR(VLOOKUP(Fact_Contabilidad[[#This Row], 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ht="18.75" customHeight="1" x14ac:dyDescent="0.35">
      <c r="A2244" s="103"/>
      <c r="C2244" s="100" t="str">
        <f>IF(OR(Fact_Contabilidad[[#This Row], [Año]]="",Fact_Contabilidad[[#This Row], [Mes]]=""),"",DATE(A2244,MATCH(B2244,{"enero","febrero","marzo","abril","mayo","junio","julio","agosto","septiembre","octubre","noviembre","diciembre"},0)+1,0))</f>
        <v/>
      </c>
      <c r="E2244" t="str">
        <f>+IFERROR(VLOOKUP(Fact_Contabilidad[[#This Row], [Concepto Anterior]],Conceptos_Contabilidad[#All],5,0),"")</f>
        <v/>
      </c>
      <c r="F2244" t="str">
        <f>+IFERROR(VLOOKUP(Fact_Contabilidad[[#This Row], 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ht="18.75" customHeight="1" x14ac:dyDescent="0.35">
      <c r="A2245" s="103"/>
      <c r="C2245" s="100" t="str">
        <f>IF(OR(Fact_Contabilidad[[#This Row], [Año]]="",Fact_Contabilidad[[#This Row], [Mes]]=""),"",DATE(A2245,MATCH(B2245,{"enero","febrero","marzo","abril","mayo","junio","julio","agosto","septiembre","octubre","noviembre","diciembre"},0)+1,0))</f>
        <v/>
      </c>
      <c r="E2245" t="str">
        <f>+IFERROR(VLOOKUP(Fact_Contabilidad[[#This Row], [Concepto Anterior]],Conceptos_Contabilidad[#All],5,0),"")</f>
        <v/>
      </c>
      <c r="F2245" t="str">
        <f>+IFERROR(VLOOKUP(Fact_Contabilidad[[#This Row], 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ht="18.75" customHeight="1" x14ac:dyDescent="0.35">
      <c r="A2246" s="103"/>
      <c r="C2246" s="100" t="str">
        <f>IF(OR(Fact_Contabilidad[[#This Row], [Año]]="",Fact_Contabilidad[[#This Row], [Mes]]=""),"",DATE(A2246,MATCH(B2246,{"enero","febrero","marzo","abril","mayo","junio","julio","agosto","septiembre","octubre","noviembre","diciembre"},0)+1,0))</f>
        <v/>
      </c>
      <c r="E2246" t="str">
        <f>+IFERROR(VLOOKUP(Fact_Contabilidad[[#This Row], [Concepto Anterior]],Conceptos_Contabilidad[#All],5,0),"")</f>
        <v/>
      </c>
      <c r="F2246" t="str">
        <f>+IFERROR(VLOOKUP(Fact_Contabilidad[[#This Row], 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ht="18.75" customHeight="1" x14ac:dyDescent="0.35">
      <c r="A2247" s="103"/>
      <c r="C2247" s="100" t="str">
        <f>IF(OR(Fact_Contabilidad[[#This Row], [Año]]="",Fact_Contabilidad[[#This Row], [Mes]]=""),"",DATE(A2247,MATCH(B2247,{"enero","febrero","marzo","abril","mayo","junio","julio","agosto","septiembre","octubre","noviembre","diciembre"},0)+1,0))</f>
        <v/>
      </c>
      <c r="E2247" t="str">
        <f>+IFERROR(VLOOKUP(Fact_Contabilidad[[#This Row], [Concepto Anterior]],Conceptos_Contabilidad[#All],5,0),"")</f>
        <v/>
      </c>
      <c r="F2247" t="str">
        <f>+IFERROR(VLOOKUP(Fact_Contabilidad[[#This Row], 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ht="18.75" customHeight="1" x14ac:dyDescent="0.35">
      <c r="A2248" s="103"/>
      <c r="C2248" s="100" t="str">
        <f>IF(OR(Fact_Contabilidad[[#This Row], [Año]]="",Fact_Contabilidad[[#This Row], [Mes]]=""),"",DATE(A2248,MATCH(B2248,{"enero","febrero","marzo","abril","mayo","junio","julio","agosto","septiembre","octubre","noviembre","diciembre"},0)+1,0))</f>
        <v/>
      </c>
      <c r="E2248" t="str">
        <f>+IFERROR(VLOOKUP(Fact_Contabilidad[[#This Row], [Concepto Anterior]],Conceptos_Contabilidad[#All],5,0),"")</f>
        <v/>
      </c>
      <c r="F2248" t="str">
        <f>+IFERROR(VLOOKUP(Fact_Contabilidad[[#This Row], 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ht="18.75" customHeight="1" x14ac:dyDescent="0.35">
      <c r="A2249" s="103"/>
      <c r="C2249" s="100" t="str">
        <f>IF(OR(Fact_Contabilidad[[#This Row], [Año]]="",Fact_Contabilidad[[#This Row], [Mes]]=""),"",DATE(A2249,MATCH(B2249,{"enero","febrero","marzo","abril","mayo","junio","julio","agosto","septiembre","octubre","noviembre","diciembre"},0)+1,0))</f>
        <v/>
      </c>
      <c r="E2249" t="str">
        <f>+IFERROR(VLOOKUP(Fact_Contabilidad[[#This Row], [Concepto Anterior]],Conceptos_Contabilidad[#All],5,0),"")</f>
        <v/>
      </c>
      <c r="F2249" t="str">
        <f>+IFERROR(VLOOKUP(Fact_Contabilidad[[#This Row], 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ht="18.75" customHeight="1" x14ac:dyDescent="0.35">
      <c r="A2250" s="103"/>
      <c r="C2250" s="100" t="str">
        <f>IF(OR(Fact_Contabilidad[[#This Row], [Año]]="",Fact_Contabilidad[[#This Row], [Mes]]=""),"",DATE(A2250,MATCH(B2250,{"enero","febrero","marzo","abril","mayo","junio","julio","agosto","septiembre","octubre","noviembre","diciembre"},0)+1,0))</f>
        <v/>
      </c>
      <c r="E2250" t="str">
        <f>+IFERROR(VLOOKUP(Fact_Contabilidad[[#This Row], [Concepto Anterior]],Conceptos_Contabilidad[#All],5,0),"")</f>
        <v/>
      </c>
      <c r="F2250" t="str">
        <f>+IFERROR(VLOOKUP(Fact_Contabilidad[[#This Row], 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ht="18.75" customHeight="1" x14ac:dyDescent="0.35">
      <c r="A2251" s="103"/>
      <c r="C2251" s="100" t="str">
        <f>IF(OR(Fact_Contabilidad[[#This Row], [Año]]="",Fact_Contabilidad[[#This Row], [Mes]]=""),"",DATE(A2251,MATCH(B2251,{"enero","febrero","marzo","abril","mayo","junio","julio","agosto","septiembre","octubre","noviembre","diciembre"},0)+1,0))</f>
        <v/>
      </c>
      <c r="E2251" t="str">
        <f>+IFERROR(VLOOKUP(Fact_Contabilidad[[#This Row], [Concepto Anterior]],Conceptos_Contabilidad[#All],5,0),"")</f>
        <v/>
      </c>
      <c r="F2251" t="str">
        <f>+IFERROR(VLOOKUP(Fact_Contabilidad[[#This Row], 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ht="18.75" customHeight="1" x14ac:dyDescent="0.35">
      <c r="A2252" s="103"/>
      <c r="C2252" s="100" t="str">
        <f>IF(OR(Fact_Contabilidad[[#This Row], [Año]]="",Fact_Contabilidad[[#This Row], [Mes]]=""),"",DATE(A2252,MATCH(B2252,{"enero","febrero","marzo","abril","mayo","junio","julio","agosto","septiembre","octubre","noviembre","diciembre"},0)+1,0))</f>
        <v/>
      </c>
      <c r="E2252" t="str">
        <f>+IFERROR(VLOOKUP(Fact_Contabilidad[[#This Row], [Concepto Anterior]],Conceptos_Contabilidad[#All],5,0),"")</f>
        <v/>
      </c>
      <c r="F2252" t="str">
        <f>+IFERROR(VLOOKUP(Fact_Contabilidad[[#This Row], 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ht="18.75" customHeight="1" x14ac:dyDescent="0.35">
      <c r="A2253" s="103"/>
      <c r="C2253" s="100" t="str">
        <f>IF(OR(Fact_Contabilidad[[#This Row], [Año]]="",Fact_Contabilidad[[#This Row], [Mes]]=""),"",DATE(A2253,MATCH(B2253,{"enero","febrero","marzo","abril","mayo","junio","julio","agosto","septiembre","octubre","noviembre","diciembre"},0)+1,0))</f>
        <v/>
      </c>
      <c r="E2253" t="str">
        <f>+IFERROR(VLOOKUP(Fact_Contabilidad[[#This Row], [Concepto Anterior]],Conceptos_Contabilidad[#All],5,0),"")</f>
        <v/>
      </c>
      <c r="F2253" t="str">
        <f>+IFERROR(VLOOKUP(Fact_Contabilidad[[#This Row], 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ht="18.75" customHeight="1" x14ac:dyDescent="0.35">
      <c r="A2254" s="103"/>
      <c r="C2254" s="100" t="str">
        <f>IF(OR(Fact_Contabilidad[[#This Row], [Año]]="",Fact_Contabilidad[[#This Row], [Mes]]=""),"",DATE(A2254,MATCH(B2254,{"enero","febrero","marzo","abril","mayo","junio","julio","agosto","septiembre","octubre","noviembre","diciembre"},0)+1,0))</f>
        <v/>
      </c>
      <c r="E2254" t="str">
        <f>+IFERROR(VLOOKUP(Fact_Contabilidad[[#This Row], [Concepto Anterior]],Conceptos_Contabilidad[#All],5,0),"")</f>
        <v/>
      </c>
      <c r="F2254" t="str">
        <f>+IFERROR(VLOOKUP(Fact_Contabilidad[[#This Row], 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ht="18.75" customHeight="1" x14ac:dyDescent="0.35">
      <c r="A2255" s="103"/>
      <c r="C2255" s="100" t="str">
        <f>IF(OR(Fact_Contabilidad[[#This Row], [Año]]="",Fact_Contabilidad[[#This Row], [Mes]]=""),"",DATE(A2255,MATCH(B2255,{"enero","febrero","marzo","abril","mayo","junio","julio","agosto","septiembre","octubre","noviembre","diciembre"},0)+1,0))</f>
        <v/>
      </c>
      <c r="E2255" t="str">
        <f>+IFERROR(VLOOKUP(Fact_Contabilidad[[#This Row], [Concepto Anterior]],Conceptos_Contabilidad[#All],5,0),"")</f>
        <v/>
      </c>
      <c r="F2255" t="str">
        <f>+IFERROR(VLOOKUP(Fact_Contabilidad[[#This Row], 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ht="18.75" customHeight="1" x14ac:dyDescent="0.35">
      <c r="A2256" s="103"/>
      <c r="C2256" s="100" t="str">
        <f>IF(OR(Fact_Contabilidad[[#This Row], [Año]]="",Fact_Contabilidad[[#This Row], [Mes]]=""),"",DATE(A2256,MATCH(B2256,{"enero","febrero","marzo","abril","mayo","junio","julio","agosto","septiembre","octubre","noviembre","diciembre"},0)+1,0))</f>
        <v/>
      </c>
      <c r="E2256" t="str">
        <f>+IFERROR(VLOOKUP(Fact_Contabilidad[[#This Row], [Concepto Anterior]],Conceptos_Contabilidad[#All],5,0),"")</f>
        <v/>
      </c>
      <c r="F2256" t="str">
        <f>+IFERROR(VLOOKUP(Fact_Contabilidad[[#This Row], 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ht="18.75" customHeight="1" x14ac:dyDescent="0.35">
      <c r="A2257" s="103"/>
      <c r="C2257" s="100" t="str">
        <f>IF(OR(Fact_Contabilidad[[#This Row], [Año]]="",Fact_Contabilidad[[#This Row], [Mes]]=""),"",DATE(A2257,MATCH(B2257,{"enero","febrero","marzo","abril","mayo","junio","julio","agosto","septiembre","octubre","noviembre","diciembre"},0)+1,0))</f>
        <v/>
      </c>
      <c r="E2257" t="str">
        <f>+IFERROR(VLOOKUP(Fact_Contabilidad[[#This Row], [Concepto Anterior]],Conceptos_Contabilidad[#All],5,0),"")</f>
        <v/>
      </c>
      <c r="F2257" t="str">
        <f>+IFERROR(VLOOKUP(Fact_Contabilidad[[#This Row], 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ht="18.75" customHeight="1" x14ac:dyDescent="0.35">
      <c r="A2258" s="103"/>
      <c r="C2258" s="100" t="str">
        <f>IF(OR(Fact_Contabilidad[[#This Row], [Año]]="",Fact_Contabilidad[[#This Row], [Mes]]=""),"",DATE(A2258,MATCH(B2258,{"enero","febrero","marzo","abril","mayo","junio","julio","agosto","septiembre","octubre","noviembre","diciembre"},0)+1,0))</f>
        <v/>
      </c>
      <c r="E2258" t="str">
        <f>+IFERROR(VLOOKUP(Fact_Contabilidad[[#This Row], [Concepto Anterior]],Conceptos_Contabilidad[#All],5,0),"")</f>
        <v/>
      </c>
      <c r="F2258" t="str">
        <f>+IFERROR(VLOOKUP(Fact_Contabilidad[[#This Row], 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ht="18.75" customHeight="1" x14ac:dyDescent="0.35">
      <c r="A2259" s="103"/>
      <c r="C2259" s="100" t="str">
        <f>IF(OR(Fact_Contabilidad[[#This Row], [Año]]="",Fact_Contabilidad[[#This Row], [Mes]]=""),"",DATE(A2259,MATCH(B2259,{"enero","febrero","marzo","abril","mayo","junio","julio","agosto","septiembre","octubre","noviembre","diciembre"},0)+1,0))</f>
        <v/>
      </c>
      <c r="E2259" t="str">
        <f>+IFERROR(VLOOKUP(Fact_Contabilidad[[#This Row], [Concepto Anterior]],Conceptos_Contabilidad[#All],5,0),"")</f>
        <v/>
      </c>
      <c r="F2259" t="str">
        <f>+IFERROR(VLOOKUP(Fact_Contabilidad[[#This Row], 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ht="18.75" customHeight="1" x14ac:dyDescent="0.35">
      <c r="A2260" s="103"/>
      <c r="C2260" s="100" t="str">
        <f>IF(OR(Fact_Contabilidad[[#This Row], [Año]]="",Fact_Contabilidad[[#This Row], [Mes]]=""),"",DATE(A2260,MATCH(B2260,{"enero","febrero","marzo","abril","mayo","junio","julio","agosto","septiembre","octubre","noviembre","diciembre"},0)+1,0))</f>
        <v/>
      </c>
      <c r="E2260" t="str">
        <f>+IFERROR(VLOOKUP(Fact_Contabilidad[[#This Row], [Concepto Anterior]],Conceptos_Contabilidad[#All],5,0),"")</f>
        <v/>
      </c>
      <c r="F2260" t="str">
        <f>+IFERROR(VLOOKUP(Fact_Contabilidad[[#This Row], 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ht="18.75" customHeight="1" x14ac:dyDescent="0.35">
      <c r="A2261" s="103"/>
      <c r="C2261" s="100" t="str">
        <f>IF(OR(Fact_Contabilidad[[#This Row], [Año]]="",Fact_Contabilidad[[#This Row], [Mes]]=""),"",DATE(A2261,MATCH(B2261,{"enero","febrero","marzo","abril","mayo","junio","julio","agosto","septiembre","octubre","noviembre","diciembre"},0)+1,0))</f>
        <v/>
      </c>
      <c r="E2261" t="str">
        <f>+IFERROR(VLOOKUP(Fact_Contabilidad[[#This Row], [Concepto Anterior]],Conceptos_Contabilidad[#All],5,0),"")</f>
        <v/>
      </c>
      <c r="F2261" t="str">
        <f>+IFERROR(VLOOKUP(Fact_Contabilidad[[#This Row], 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ht="18.75" customHeight="1" x14ac:dyDescent="0.35">
      <c r="A2262" s="103"/>
      <c r="C2262" s="100" t="str">
        <f>IF(OR(Fact_Contabilidad[[#This Row], [Año]]="",Fact_Contabilidad[[#This Row], [Mes]]=""),"",DATE(A2262,MATCH(B2262,{"enero","febrero","marzo","abril","mayo","junio","julio","agosto","septiembre","octubre","noviembre","diciembre"},0)+1,0))</f>
        <v/>
      </c>
      <c r="E2262" t="str">
        <f>+IFERROR(VLOOKUP(Fact_Contabilidad[[#This Row], [Concepto Anterior]],Conceptos_Contabilidad[#All],5,0),"")</f>
        <v/>
      </c>
      <c r="F2262" t="str">
        <f>+IFERROR(VLOOKUP(Fact_Contabilidad[[#This Row], 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ht="18.75" customHeight="1" x14ac:dyDescent="0.35">
      <c r="A2263" s="103"/>
      <c r="C2263" s="100" t="str">
        <f>IF(OR(Fact_Contabilidad[[#This Row], [Año]]="",Fact_Contabilidad[[#This Row], [Mes]]=""),"",DATE(A2263,MATCH(B2263,{"enero","febrero","marzo","abril","mayo","junio","julio","agosto","septiembre","octubre","noviembre","diciembre"},0)+1,0))</f>
        <v/>
      </c>
      <c r="E2263" t="str">
        <f>+IFERROR(VLOOKUP(Fact_Contabilidad[[#This Row], [Concepto Anterior]],Conceptos_Contabilidad[#All],5,0),"")</f>
        <v/>
      </c>
      <c r="F2263" t="str">
        <f>+IFERROR(VLOOKUP(Fact_Contabilidad[[#This Row], 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ht="18.75" customHeight="1" x14ac:dyDescent="0.35">
      <c r="A2264" s="103"/>
      <c r="C2264" s="100" t="str">
        <f>IF(OR(Fact_Contabilidad[[#This Row], [Año]]="",Fact_Contabilidad[[#This Row], [Mes]]=""),"",DATE(A2264,MATCH(B2264,{"enero","febrero","marzo","abril","mayo","junio","julio","agosto","septiembre","octubre","noviembre","diciembre"},0)+1,0))</f>
        <v/>
      </c>
      <c r="E2264" t="str">
        <f>+IFERROR(VLOOKUP(Fact_Contabilidad[[#This Row], [Concepto Anterior]],Conceptos_Contabilidad[#All],5,0),"")</f>
        <v/>
      </c>
      <c r="F2264" t="str">
        <f>+IFERROR(VLOOKUP(Fact_Contabilidad[[#This Row], 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ht="18.75" customHeight="1" x14ac:dyDescent="0.35">
      <c r="A2265" s="103"/>
      <c r="C2265" s="100" t="str">
        <f>IF(OR(Fact_Contabilidad[[#This Row], [Año]]="",Fact_Contabilidad[[#This Row], [Mes]]=""),"",DATE(A2265,MATCH(B2265,{"enero","febrero","marzo","abril","mayo","junio","julio","agosto","septiembre","octubre","noviembre","diciembre"},0)+1,0))</f>
        <v/>
      </c>
      <c r="E2265" t="str">
        <f>+IFERROR(VLOOKUP(Fact_Contabilidad[[#This Row], [Concepto Anterior]],Conceptos_Contabilidad[#All],5,0),"")</f>
        <v/>
      </c>
      <c r="F2265" t="str">
        <f>+IFERROR(VLOOKUP(Fact_Contabilidad[[#This Row], 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ht="18.75" customHeight="1" x14ac:dyDescent="0.35">
      <c r="A2266" s="103"/>
      <c r="C2266" s="100" t="str">
        <f>IF(OR(Fact_Contabilidad[[#This Row], [Año]]="",Fact_Contabilidad[[#This Row], [Mes]]=""),"",DATE(A2266,MATCH(B2266,{"enero","febrero","marzo","abril","mayo","junio","julio","agosto","septiembre","octubre","noviembre","diciembre"},0)+1,0))</f>
        <v/>
      </c>
      <c r="E2266" t="str">
        <f>+IFERROR(VLOOKUP(Fact_Contabilidad[[#This Row], [Concepto Anterior]],Conceptos_Contabilidad[#All],5,0),"")</f>
        <v/>
      </c>
      <c r="F2266" t="str">
        <f>+IFERROR(VLOOKUP(Fact_Contabilidad[[#This Row], 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ht="18.75" customHeight="1" x14ac:dyDescent="0.35">
      <c r="A2267" s="103"/>
      <c r="C2267" s="100" t="str">
        <f>IF(OR(Fact_Contabilidad[[#This Row], [Año]]="",Fact_Contabilidad[[#This Row], [Mes]]=""),"",DATE(A2267,MATCH(B2267,{"enero","febrero","marzo","abril","mayo","junio","julio","agosto","septiembre","octubre","noviembre","diciembre"},0)+1,0))</f>
        <v/>
      </c>
      <c r="E2267" t="str">
        <f>+IFERROR(VLOOKUP(Fact_Contabilidad[[#This Row], [Concepto Anterior]],Conceptos_Contabilidad[#All],5,0),"")</f>
        <v/>
      </c>
      <c r="F2267" t="str">
        <f>+IFERROR(VLOOKUP(Fact_Contabilidad[[#This Row], 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ht="18.75" customHeight="1" x14ac:dyDescent="0.35">
      <c r="A2268" s="103"/>
      <c r="C2268" s="100" t="str">
        <f>IF(OR(Fact_Contabilidad[[#This Row], [Año]]="",Fact_Contabilidad[[#This Row], [Mes]]=""),"",DATE(A2268,MATCH(B2268,{"enero","febrero","marzo","abril","mayo","junio","julio","agosto","septiembre","octubre","noviembre","diciembre"},0)+1,0))</f>
        <v/>
      </c>
      <c r="E2268" t="str">
        <f>+IFERROR(VLOOKUP(Fact_Contabilidad[[#This Row], [Concepto Anterior]],Conceptos_Contabilidad[#All],5,0),"")</f>
        <v/>
      </c>
      <c r="F2268" t="str">
        <f>+IFERROR(VLOOKUP(Fact_Contabilidad[[#This Row], 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ht="18.75" customHeight="1" x14ac:dyDescent="0.35">
      <c r="A2269" s="103"/>
      <c r="C2269" s="100" t="str">
        <f>IF(OR(Fact_Contabilidad[[#This Row], [Año]]="",Fact_Contabilidad[[#This Row], [Mes]]=""),"",DATE(A2269,MATCH(B2269,{"enero","febrero","marzo","abril","mayo","junio","julio","agosto","septiembre","octubre","noviembre","diciembre"},0)+1,0))</f>
        <v/>
      </c>
      <c r="E2269" t="str">
        <f>+IFERROR(VLOOKUP(Fact_Contabilidad[[#This Row], [Concepto Anterior]],Conceptos_Contabilidad[#All],5,0),"")</f>
        <v/>
      </c>
      <c r="F2269" t="str">
        <f>+IFERROR(VLOOKUP(Fact_Contabilidad[[#This Row], 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ht="18.75" customHeight="1" x14ac:dyDescent="0.35">
      <c r="A2270" s="103"/>
      <c r="C2270" s="100" t="str">
        <f>IF(OR(Fact_Contabilidad[[#This Row], [Año]]="",Fact_Contabilidad[[#This Row], [Mes]]=""),"",DATE(A2270,MATCH(B2270,{"enero","febrero","marzo","abril","mayo","junio","julio","agosto","septiembre","octubre","noviembre","diciembre"},0)+1,0))</f>
        <v/>
      </c>
      <c r="E2270" t="str">
        <f>+IFERROR(VLOOKUP(Fact_Contabilidad[[#This Row], [Concepto Anterior]],Conceptos_Contabilidad[#All],5,0),"")</f>
        <v/>
      </c>
      <c r="F2270" t="str">
        <f>+IFERROR(VLOOKUP(Fact_Contabilidad[[#This Row], 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ht="18.75" customHeight="1" x14ac:dyDescent="0.35">
      <c r="A2271" s="103"/>
      <c r="C2271" s="100" t="str">
        <f>IF(OR(Fact_Contabilidad[[#This Row], [Año]]="",Fact_Contabilidad[[#This Row], [Mes]]=""),"",DATE(A2271,MATCH(B2271,{"enero","febrero","marzo","abril","mayo","junio","julio","agosto","septiembre","octubre","noviembre","diciembre"},0)+1,0))</f>
        <v/>
      </c>
      <c r="E2271" t="str">
        <f>+IFERROR(VLOOKUP(Fact_Contabilidad[[#This Row], [Concepto Anterior]],Conceptos_Contabilidad[#All],5,0),"")</f>
        <v/>
      </c>
      <c r="F2271" t="str">
        <f>+IFERROR(VLOOKUP(Fact_Contabilidad[[#This Row], 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ht="18.75" customHeight="1" x14ac:dyDescent="0.35">
      <c r="A2272" s="103"/>
      <c r="C2272" s="100" t="str">
        <f>IF(OR(Fact_Contabilidad[[#This Row], [Año]]="",Fact_Contabilidad[[#This Row], [Mes]]=""),"",DATE(A2272,MATCH(B2272,{"enero","febrero","marzo","abril","mayo","junio","julio","agosto","septiembre","octubre","noviembre","diciembre"},0)+1,0))</f>
        <v/>
      </c>
      <c r="E2272" t="str">
        <f>+IFERROR(VLOOKUP(Fact_Contabilidad[[#This Row], [Concepto Anterior]],Conceptos_Contabilidad[#All],5,0),"")</f>
        <v/>
      </c>
      <c r="F2272" t="str">
        <f>+IFERROR(VLOOKUP(Fact_Contabilidad[[#This Row], 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ht="18.75" customHeight="1" x14ac:dyDescent="0.35">
      <c r="A2273" s="103"/>
      <c r="C2273" s="100" t="str">
        <f>IF(OR(Fact_Contabilidad[[#This Row], [Año]]="",Fact_Contabilidad[[#This Row], [Mes]]=""),"",DATE(A2273,MATCH(B2273,{"enero","febrero","marzo","abril","mayo","junio","julio","agosto","septiembre","octubre","noviembre","diciembre"},0)+1,0))</f>
        <v/>
      </c>
      <c r="E2273" t="str">
        <f>+IFERROR(VLOOKUP(Fact_Contabilidad[[#This Row], [Concepto Anterior]],Conceptos_Contabilidad[#All],5,0),"")</f>
        <v/>
      </c>
      <c r="F2273" t="str">
        <f>+IFERROR(VLOOKUP(Fact_Contabilidad[[#This Row], 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ht="18.75" customHeight="1" x14ac:dyDescent="0.35">
      <c r="A2274" s="103"/>
      <c r="C2274" s="100" t="str">
        <f>IF(OR(Fact_Contabilidad[[#This Row], [Año]]="",Fact_Contabilidad[[#This Row], [Mes]]=""),"",DATE(A2274,MATCH(B2274,{"enero","febrero","marzo","abril","mayo","junio","julio","agosto","septiembre","octubre","noviembre","diciembre"},0)+1,0))</f>
        <v/>
      </c>
      <c r="E2274" t="str">
        <f>+IFERROR(VLOOKUP(Fact_Contabilidad[[#This Row], [Concepto Anterior]],Conceptos_Contabilidad[#All],5,0),"")</f>
        <v/>
      </c>
      <c r="F2274" t="str">
        <f>+IFERROR(VLOOKUP(Fact_Contabilidad[[#This Row], 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ht="18.75" customHeight="1" x14ac:dyDescent="0.35">
      <c r="A2275" s="103"/>
      <c r="C2275" s="100" t="str">
        <f>IF(OR(Fact_Contabilidad[[#This Row], [Año]]="",Fact_Contabilidad[[#This Row], [Mes]]=""),"",DATE(A2275,MATCH(B2275,{"enero","febrero","marzo","abril","mayo","junio","julio","agosto","septiembre","octubre","noviembre","diciembre"},0)+1,0))</f>
        <v/>
      </c>
      <c r="E2275" t="str">
        <f>+IFERROR(VLOOKUP(Fact_Contabilidad[[#This Row], [Concepto Anterior]],Conceptos_Contabilidad[#All],5,0),"")</f>
        <v/>
      </c>
      <c r="F2275" t="str">
        <f>+IFERROR(VLOOKUP(Fact_Contabilidad[[#This Row], 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ht="18.75" customHeight="1" x14ac:dyDescent="0.35">
      <c r="A2276" s="103"/>
      <c r="C2276" s="100" t="str">
        <f>IF(OR(Fact_Contabilidad[[#This Row], [Año]]="",Fact_Contabilidad[[#This Row], [Mes]]=""),"",DATE(A2276,MATCH(B2276,{"enero","febrero","marzo","abril","mayo","junio","julio","agosto","septiembre","octubre","noviembre","diciembre"},0)+1,0))</f>
        <v/>
      </c>
      <c r="E2276" t="str">
        <f>+IFERROR(VLOOKUP(Fact_Contabilidad[[#This Row], [Concepto Anterior]],Conceptos_Contabilidad[#All],5,0),"")</f>
        <v/>
      </c>
      <c r="F2276" t="str">
        <f>+IFERROR(VLOOKUP(Fact_Contabilidad[[#This Row], 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ht="18.75" customHeight="1" x14ac:dyDescent="0.35">
      <c r="A2277" s="103"/>
      <c r="C2277" s="100" t="str">
        <f>IF(OR(Fact_Contabilidad[[#This Row], [Año]]="",Fact_Contabilidad[[#This Row], [Mes]]=""),"",DATE(A2277,MATCH(B2277,{"enero","febrero","marzo","abril","mayo","junio","julio","agosto","septiembre","octubre","noviembre","diciembre"},0)+1,0))</f>
        <v/>
      </c>
      <c r="E2277" t="str">
        <f>+IFERROR(VLOOKUP(Fact_Contabilidad[[#This Row], [Concepto Anterior]],Conceptos_Contabilidad[#All],5,0),"")</f>
        <v/>
      </c>
      <c r="F2277" t="str">
        <f>+IFERROR(VLOOKUP(Fact_Contabilidad[[#This Row], 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ht="18.75" customHeight="1" x14ac:dyDescent="0.35">
      <c r="A2278" s="103"/>
      <c r="C2278" s="100" t="str">
        <f>IF(OR(Fact_Contabilidad[[#This Row], [Año]]="",Fact_Contabilidad[[#This Row], [Mes]]=""),"",DATE(A2278,MATCH(B2278,{"enero","febrero","marzo","abril","mayo","junio","julio","agosto","septiembre","octubre","noviembre","diciembre"},0)+1,0))</f>
        <v/>
      </c>
      <c r="E2278" t="str">
        <f>+IFERROR(VLOOKUP(Fact_Contabilidad[[#This Row], [Concepto Anterior]],Conceptos_Contabilidad[#All],5,0),"")</f>
        <v/>
      </c>
      <c r="F2278" t="str">
        <f>+IFERROR(VLOOKUP(Fact_Contabilidad[[#This Row], 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ht="18.75" customHeight="1" x14ac:dyDescent="0.35">
      <c r="A2279" s="103"/>
      <c r="C2279" s="100" t="str">
        <f>IF(OR(Fact_Contabilidad[[#This Row], [Año]]="",Fact_Contabilidad[[#This Row], [Mes]]=""),"",DATE(A2279,MATCH(B2279,{"enero","febrero","marzo","abril","mayo","junio","julio","agosto","septiembre","octubre","noviembre","diciembre"},0)+1,0))</f>
        <v/>
      </c>
      <c r="E2279" t="str">
        <f>+IFERROR(VLOOKUP(Fact_Contabilidad[[#This Row], [Concepto Anterior]],Conceptos_Contabilidad[#All],5,0),"")</f>
        <v/>
      </c>
      <c r="F2279" t="str">
        <f>+IFERROR(VLOOKUP(Fact_Contabilidad[[#This Row], 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ht="18.75" customHeight="1" x14ac:dyDescent="0.35">
      <c r="A2280" s="103"/>
      <c r="C2280" s="100" t="str">
        <f>IF(OR(Fact_Contabilidad[[#This Row], [Año]]="",Fact_Contabilidad[[#This Row], [Mes]]=""),"",DATE(A2280,MATCH(B2280,{"enero","febrero","marzo","abril","mayo","junio","julio","agosto","septiembre","octubre","noviembre","diciembre"},0)+1,0))</f>
        <v/>
      </c>
      <c r="E2280" t="str">
        <f>+IFERROR(VLOOKUP(Fact_Contabilidad[[#This Row], [Concepto Anterior]],Conceptos_Contabilidad[#All],5,0),"")</f>
        <v/>
      </c>
      <c r="F2280" t="str">
        <f>+IFERROR(VLOOKUP(Fact_Contabilidad[[#This Row], 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ht="18.75" customHeight="1" x14ac:dyDescent="0.35">
      <c r="A2281" s="103"/>
      <c r="C2281" s="100" t="str">
        <f>IF(OR(Fact_Contabilidad[[#This Row], [Año]]="",Fact_Contabilidad[[#This Row], [Mes]]=""),"",DATE(A2281,MATCH(B2281,{"enero","febrero","marzo","abril","mayo","junio","julio","agosto","septiembre","octubre","noviembre","diciembre"},0)+1,0))</f>
        <v/>
      </c>
      <c r="E2281" t="str">
        <f>+IFERROR(VLOOKUP(Fact_Contabilidad[[#This Row], [Concepto Anterior]],Conceptos_Contabilidad[#All],5,0),"")</f>
        <v/>
      </c>
      <c r="F2281" t="str">
        <f>+IFERROR(VLOOKUP(Fact_Contabilidad[[#This Row], 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ht="18.75" customHeight="1" x14ac:dyDescent="0.35">
      <c r="A2282" s="103"/>
      <c r="C2282" s="100" t="str">
        <f>IF(OR(Fact_Contabilidad[[#This Row], [Año]]="",Fact_Contabilidad[[#This Row], [Mes]]=""),"",DATE(A2282,MATCH(B2282,{"enero","febrero","marzo","abril","mayo","junio","julio","agosto","septiembre","octubre","noviembre","diciembre"},0)+1,0))</f>
        <v/>
      </c>
      <c r="E2282" t="str">
        <f>+IFERROR(VLOOKUP(Fact_Contabilidad[[#This Row], [Concepto Anterior]],Conceptos_Contabilidad[#All],5,0),"")</f>
        <v/>
      </c>
      <c r="F2282" t="str">
        <f>+IFERROR(VLOOKUP(Fact_Contabilidad[[#This Row], 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ht="18.75" customHeight="1" x14ac:dyDescent="0.35">
      <c r="A2283" s="103"/>
      <c r="C2283" s="100" t="str">
        <f>IF(OR(Fact_Contabilidad[[#This Row], [Año]]="",Fact_Contabilidad[[#This Row], [Mes]]=""),"",DATE(A2283,MATCH(B2283,{"enero","febrero","marzo","abril","mayo","junio","julio","agosto","septiembre","octubre","noviembre","diciembre"},0)+1,0))</f>
        <v/>
      </c>
      <c r="E2283" t="str">
        <f>+IFERROR(VLOOKUP(Fact_Contabilidad[[#This Row], [Concepto Anterior]],Conceptos_Contabilidad[#All],5,0),"")</f>
        <v/>
      </c>
      <c r="F2283" t="str">
        <f>+IFERROR(VLOOKUP(Fact_Contabilidad[[#This Row], 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ht="18.75" customHeight="1" x14ac:dyDescent="0.35">
      <c r="A2284" s="103"/>
      <c r="C2284" s="100" t="str">
        <f>IF(OR(Fact_Contabilidad[[#This Row], [Año]]="",Fact_Contabilidad[[#This Row], [Mes]]=""),"",DATE(A2284,MATCH(B2284,{"enero","febrero","marzo","abril","mayo","junio","julio","agosto","septiembre","octubre","noviembre","diciembre"},0)+1,0))</f>
        <v/>
      </c>
      <c r="E2284" t="str">
        <f>+IFERROR(VLOOKUP(Fact_Contabilidad[[#This Row], [Concepto Anterior]],Conceptos_Contabilidad[#All],5,0),"")</f>
        <v/>
      </c>
      <c r="F2284" t="str">
        <f>+IFERROR(VLOOKUP(Fact_Contabilidad[[#This Row], 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ht="18.75" customHeight="1" x14ac:dyDescent="0.35">
      <c r="A2285" s="103"/>
      <c r="C2285" s="100" t="str">
        <f>IF(OR(Fact_Contabilidad[[#This Row], [Año]]="",Fact_Contabilidad[[#This Row], [Mes]]=""),"",DATE(A2285,MATCH(B2285,{"enero","febrero","marzo","abril","mayo","junio","julio","agosto","septiembre","octubre","noviembre","diciembre"},0)+1,0))</f>
        <v/>
      </c>
      <c r="E2285" t="str">
        <f>+IFERROR(VLOOKUP(Fact_Contabilidad[[#This Row], [Concepto Anterior]],Conceptos_Contabilidad[#All],5,0),"")</f>
        <v/>
      </c>
      <c r="F2285" t="str">
        <f>+IFERROR(VLOOKUP(Fact_Contabilidad[[#This Row], 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ht="18.75" customHeight="1" x14ac:dyDescent="0.35">
      <c r="A2286" s="103"/>
      <c r="C2286" s="100" t="str">
        <f>IF(OR(Fact_Contabilidad[[#This Row], [Año]]="",Fact_Contabilidad[[#This Row], [Mes]]=""),"",DATE(A2286,MATCH(B2286,{"enero","febrero","marzo","abril","mayo","junio","julio","agosto","septiembre","octubre","noviembre","diciembre"},0)+1,0))</f>
        <v/>
      </c>
      <c r="E2286" t="str">
        <f>+IFERROR(VLOOKUP(Fact_Contabilidad[[#This Row], [Concepto Anterior]],Conceptos_Contabilidad[#All],5,0),"")</f>
        <v/>
      </c>
      <c r="F2286" t="str">
        <f>+IFERROR(VLOOKUP(Fact_Contabilidad[[#This Row], 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ht="18.75" customHeight="1" x14ac:dyDescent="0.35">
      <c r="A2287" s="103"/>
      <c r="C2287" s="100" t="str">
        <f>IF(OR(Fact_Contabilidad[[#This Row], [Año]]="",Fact_Contabilidad[[#This Row], [Mes]]=""),"",DATE(A2287,MATCH(B2287,{"enero","febrero","marzo","abril","mayo","junio","julio","agosto","septiembre","octubre","noviembre","diciembre"},0)+1,0))</f>
        <v/>
      </c>
      <c r="E2287" t="str">
        <f>+IFERROR(VLOOKUP(Fact_Contabilidad[[#This Row], [Concepto Anterior]],Conceptos_Contabilidad[#All],5,0),"")</f>
        <v/>
      </c>
      <c r="F2287" t="str">
        <f>+IFERROR(VLOOKUP(Fact_Contabilidad[[#This Row], 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ht="18.75" customHeight="1" x14ac:dyDescent="0.35">
      <c r="A2288" s="103"/>
      <c r="C2288" s="100" t="str">
        <f>IF(OR(Fact_Contabilidad[[#This Row], [Año]]="",Fact_Contabilidad[[#This Row], [Mes]]=""),"",DATE(A2288,MATCH(B2288,{"enero","febrero","marzo","abril","mayo","junio","julio","agosto","septiembre","octubre","noviembre","diciembre"},0)+1,0))</f>
        <v/>
      </c>
      <c r="E2288" t="str">
        <f>+IFERROR(VLOOKUP(Fact_Contabilidad[[#This Row], [Concepto Anterior]],Conceptos_Contabilidad[#All],5,0),"")</f>
        <v/>
      </c>
      <c r="F2288" t="str">
        <f>+IFERROR(VLOOKUP(Fact_Contabilidad[[#This Row], 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ht="18.75" customHeight="1" x14ac:dyDescent="0.35">
      <c r="A2289" s="103"/>
      <c r="C2289" s="100" t="str">
        <f>IF(OR(Fact_Contabilidad[[#This Row], [Año]]="",Fact_Contabilidad[[#This Row], [Mes]]=""),"",DATE(A2289,MATCH(B2289,{"enero","febrero","marzo","abril","mayo","junio","julio","agosto","septiembre","octubre","noviembre","diciembre"},0)+1,0))</f>
        <v/>
      </c>
      <c r="E2289" t="str">
        <f>+IFERROR(VLOOKUP(Fact_Contabilidad[[#This Row], [Concepto Anterior]],Conceptos_Contabilidad[#All],5,0),"")</f>
        <v/>
      </c>
      <c r="F2289" t="str">
        <f>+IFERROR(VLOOKUP(Fact_Contabilidad[[#This Row], 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ht="18.75" customHeight="1" x14ac:dyDescent="0.35">
      <c r="A2290" s="103"/>
      <c r="C2290" s="100" t="str">
        <f>IF(OR(Fact_Contabilidad[[#This Row], [Año]]="",Fact_Contabilidad[[#This Row], [Mes]]=""),"",DATE(A2290,MATCH(B2290,{"enero","febrero","marzo","abril","mayo","junio","julio","agosto","septiembre","octubre","noviembre","diciembre"},0)+1,0))</f>
        <v/>
      </c>
      <c r="E2290" t="str">
        <f>+IFERROR(VLOOKUP(Fact_Contabilidad[[#This Row], [Concepto Anterior]],Conceptos_Contabilidad[#All],5,0),"")</f>
        <v/>
      </c>
      <c r="F2290" t="str">
        <f>+IFERROR(VLOOKUP(Fact_Contabilidad[[#This Row], 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ht="18.75" customHeight="1" x14ac:dyDescent="0.35">
      <c r="A2291" s="103"/>
      <c r="C2291" s="100" t="str">
        <f>IF(OR(Fact_Contabilidad[[#This Row], [Año]]="",Fact_Contabilidad[[#This Row], [Mes]]=""),"",DATE(A2291,MATCH(B2291,{"enero","febrero","marzo","abril","mayo","junio","julio","agosto","septiembre","octubre","noviembre","diciembre"},0)+1,0))</f>
        <v/>
      </c>
      <c r="E2291" t="str">
        <f>+IFERROR(VLOOKUP(Fact_Contabilidad[[#This Row], [Concepto Anterior]],Conceptos_Contabilidad[#All],5,0),"")</f>
        <v/>
      </c>
      <c r="F2291" t="str">
        <f>+IFERROR(VLOOKUP(Fact_Contabilidad[[#This Row], 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ht="18.75" customHeight="1" x14ac:dyDescent="0.35">
      <c r="A2292" s="103"/>
      <c r="C2292" s="100" t="str">
        <f>IF(OR(Fact_Contabilidad[[#This Row], [Año]]="",Fact_Contabilidad[[#This Row], [Mes]]=""),"",DATE(A2292,MATCH(B2292,{"enero","febrero","marzo","abril","mayo","junio","julio","agosto","septiembre","octubre","noviembre","diciembre"},0)+1,0))</f>
        <v/>
      </c>
      <c r="E2292" t="str">
        <f>+IFERROR(VLOOKUP(Fact_Contabilidad[[#This Row], [Concepto Anterior]],Conceptos_Contabilidad[#All],5,0),"")</f>
        <v/>
      </c>
      <c r="F2292" t="str">
        <f>+IFERROR(VLOOKUP(Fact_Contabilidad[[#This Row], 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ht="18.75" customHeight="1" x14ac:dyDescent="0.35">
      <c r="A2293" s="103"/>
      <c r="C2293" s="100" t="str">
        <f>IF(OR(Fact_Contabilidad[[#This Row], [Año]]="",Fact_Contabilidad[[#This Row], [Mes]]=""),"",DATE(A2293,MATCH(B2293,{"enero","febrero","marzo","abril","mayo","junio","julio","agosto","septiembre","octubre","noviembre","diciembre"},0)+1,0))</f>
        <v/>
      </c>
      <c r="E2293" t="str">
        <f>+IFERROR(VLOOKUP(Fact_Contabilidad[[#This Row], [Concepto Anterior]],Conceptos_Contabilidad[#All],5,0),"")</f>
        <v/>
      </c>
      <c r="F2293" t="str">
        <f>+IFERROR(VLOOKUP(Fact_Contabilidad[[#This Row], 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ht="18.75" customHeight="1" x14ac:dyDescent="0.35">
      <c r="A2294" s="103"/>
      <c r="C2294" s="100" t="str">
        <f>IF(OR(Fact_Contabilidad[[#This Row], [Año]]="",Fact_Contabilidad[[#This Row], [Mes]]=""),"",DATE(A2294,MATCH(B2294,{"enero","febrero","marzo","abril","mayo","junio","julio","agosto","septiembre","octubre","noviembre","diciembre"},0)+1,0))</f>
        <v/>
      </c>
      <c r="E2294" t="str">
        <f>+IFERROR(VLOOKUP(Fact_Contabilidad[[#This Row], [Concepto Anterior]],Conceptos_Contabilidad[#All],5,0),"")</f>
        <v/>
      </c>
      <c r="F2294" t="str">
        <f>+IFERROR(VLOOKUP(Fact_Contabilidad[[#This Row], 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ht="18.75" customHeight="1" x14ac:dyDescent="0.35">
      <c r="A2295" s="103"/>
      <c r="C2295" s="100" t="str">
        <f>IF(OR(Fact_Contabilidad[[#This Row], [Año]]="",Fact_Contabilidad[[#This Row], [Mes]]=""),"",DATE(A2295,MATCH(B2295,{"enero","febrero","marzo","abril","mayo","junio","julio","agosto","septiembre","octubre","noviembre","diciembre"},0)+1,0))</f>
        <v/>
      </c>
      <c r="E2295" t="str">
        <f>+IFERROR(VLOOKUP(Fact_Contabilidad[[#This Row], [Concepto Anterior]],Conceptos_Contabilidad[#All],5,0),"")</f>
        <v/>
      </c>
      <c r="F2295" t="str">
        <f>+IFERROR(VLOOKUP(Fact_Contabilidad[[#This Row], 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ht="18.75" customHeight="1" x14ac:dyDescent="0.35">
      <c r="A2296" s="103"/>
      <c r="C2296" s="100" t="str">
        <f>IF(OR(Fact_Contabilidad[[#This Row], [Año]]="",Fact_Contabilidad[[#This Row], [Mes]]=""),"",DATE(A2296,MATCH(B2296,{"enero","febrero","marzo","abril","mayo","junio","julio","agosto","septiembre","octubre","noviembre","diciembre"},0)+1,0))</f>
        <v/>
      </c>
      <c r="E2296" t="str">
        <f>+IFERROR(VLOOKUP(Fact_Contabilidad[[#This Row], [Concepto Anterior]],Conceptos_Contabilidad[#All],5,0),"")</f>
        <v/>
      </c>
      <c r="F2296" t="str">
        <f>+IFERROR(VLOOKUP(Fact_Contabilidad[[#This Row], 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ht="18.75" customHeight="1" x14ac:dyDescent="0.35">
      <c r="A2297" s="103"/>
      <c r="C2297" s="100" t="str">
        <f>IF(OR(Fact_Contabilidad[[#This Row], [Año]]="",Fact_Contabilidad[[#This Row], [Mes]]=""),"",DATE(A2297,MATCH(B2297,{"enero","febrero","marzo","abril","mayo","junio","julio","agosto","septiembre","octubre","noviembre","diciembre"},0)+1,0))</f>
        <v/>
      </c>
      <c r="E2297" t="str">
        <f>+IFERROR(VLOOKUP(Fact_Contabilidad[[#This Row], [Concepto Anterior]],Conceptos_Contabilidad[#All],5,0),"")</f>
        <v/>
      </c>
      <c r="F2297" t="str">
        <f>+IFERROR(VLOOKUP(Fact_Contabilidad[[#This Row], 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ht="18.75" customHeight="1" x14ac:dyDescent="0.35">
      <c r="A2298" s="103"/>
      <c r="C2298" s="100" t="str">
        <f>IF(OR(Fact_Contabilidad[[#This Row], [Año]]="",Fact_Contabilidad[[#This Row], [Mes]]=""),"",DATE(A2298,MATCH(B2298,{"enero","febrero","marzo","abril","mayo","junio","julio","agosto","septiembre","octubre","noviembre","diciembre"},0)+1,0))</f>
        <v/>
      </c>
      <c r="E2298" t="str">
        <f>+IFERROR(VLOOKUP(Fact_Contabilidad[[#This Row], [Concepto Anterior]],Conceptos_Contabilidad[#All],5,0),"")</f>
        <v/>
      </c>
      <c r="F2298" t="str">
        <f>+IFERROR(VLOOKUP(Fact_Contabilidad[[#This Row], 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ht="18.75" customHeight="1" x14ac:dyDescent="0.35">
      <c r="A2299" s="103"/>
      <c r="C2299" s="100" t="str">
        <f>IF(OR(Fact_Contabilidad[[#This Row], [Año]]="",Fact_Contabilidad[[#This Row], [Mes]]=""),"",DATE(A2299,MATCH(B2299,{"enero","febrero","marzo","abril","mayo","junio","julio","agosto","septiembre","octubre","noviembre","diciembre"},0)+1,0))</f>
        <v/>
      </c>
      <c r="E2299" t="str">
        <f>+IFERROR(VLOOKUP(Fact_Contabilidad[[#This Row], [Concepto Anterior]],Conceptos_Contabilidad[#All],5,0),"")</f>
        <v/>
      </c>
      <c r="F2299" t="str">
        <f>+IFERROR(VLOOKUP(Fact_Contabilidad[[#This Row], 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ht="18.75" customHeight="1" x14ac:dyDescent="0.35">
      <c r="A2300" s="103"/>
      <c r="C2300" s="100" t="str">
        <f>IF(OR(Fact_Contabilidad[[#This Row], [Año]]="",Fact_Contabilidad[[#This Row], [Mes]]=""),"",DATE(A2300,MATCH(B2300,{"enero","febrero","marzo","abril","mayo","junio","julio","agosto","septiembre","octubre","noviembre","diciembre"},0)+1,0))</f>
        <v/>
      </c>
      <c r="E2300" t="str">
        <f>+IFERROR(VLOOKUP(Fact_Contabilidad[[#This Row], [Concepto Anterior]],Conceptos_Contabilidad[#All],5,0),"")</f>
        <v/>
      </c>
      <c r="F2300" t="str">
        <f>+IFERROR(VLOOKUP(Fact_Contabilidad[[#This Row], 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ht="18.75" customHeight="1" x14ac:dyDescent="0.35">
      <c r="A2301" s="103"/>
      <c r="C2301" s="100" t="str">
        <f>IF(OR(Fact_Contabilidad[[#This Row], [Año]]="",Fact_Contabilidad[[#This Row], [Mes]]=""),"",DATE(A2301,MATCH(B2301,{"enero","febrero","marzo","abril","mayo","junio","julio","agosto","septiembre","octubre","noviembre","diciembre"},0)+1,0))</f>
        <v/>
      </c>
      <c r="E2301" t="str">
        <f>+IFERROR(VLOOKUP(Fact_Contabilidad[[#This Row], [Concepto Anterior]],Conceptos_Contabilidad[#All],5,0),"")</f>
        <v/>
      </c>
      <c r="F2301" t="str">
        <f>+IFERROR(VLOOKUP(Fact_Contabilidad[[#This Row], 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ht="18.75" customHeight="1" x14ac:dyDescent="0.35">
      <c r="A2302" s="103"/>
      <c r="C2302" s="100" t="str">
        <f>IF(OR(Fact_Contabilidad[[#This Row], [Año]]="",Fact_Contabilidad[[#This Row], [Mes]]=""),"",DATE(A2302,MATCH(B2302,{"enero","febrero","marzo","abril","mayo","junio","julio","agosto","septiembre","octubre","noviembre","diciembre"},0)+1,0))</f>
        <v/>
      </c>
      <c r="E2302" t="str">
        <f>+IFERROR(VLOOKUP(Fact_Contabilidad[[#This Row], [Concepto Anterior]],Conceptos_Contabilidad[#All],5,0),"")</f>
        <v/>
      </c>
      <c r="F2302" t="str">
        <f>+IFERROR(VLOOKUP(Fact_Contabilidad[[#This Row], 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ht="18.75" customHeight="1" x14ac:dyDescent="0.35">
      <c r="A2303" s="103"/>
      <c r="C2303" s="100" t="str">
        <f>IF(OR(Fact_Contabilidad[[#This Row], [Año]]="",Fact_Contabilidad[[#This Row], [Mes]]=""),"",DATE(A2303,MATCH(B2303,{"enero","febrero","marzo","abril","mayo","junio","julio","agosto","septiembre","octubre","noviembre","diciembre"},0)+1,0))</f>
        <v/>
      </c>
      <c r="E2303" t="str">
        <f>+IFERROR(VLOOKUP(Fact_Contabilidad[[#This Row], [Concepto Anterior]],Conceptos_Contabilidad[#All],5,0),"")</f>
        <v/>
      </c>
      <c r="F2303" t="str">
        <f>+IFERROR(VLOOKUP(Fact_Contabilidad[[#This Row], 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ht="18.75" customHeight="1" x14ac:dyDescent="0.35">
      <c r="A2304" s="103"/>
      <c r="C2304" s="100" t="str">
        <f>IF(OR(Fact_Contabilidad[[#This Row], [Año]]="",Fact_Contabilidad[[#This Row], [Mes]]=""),"",DATE(A2304,MATCH(B2304,{"enero","febrero","marzo","abril","mayo","junio","julio","agosto","septiembre","octubre","noviembre","diciembre"},0)+1,0))</f>
        <v/>
      </c>
      <c r="E2304" t="str">
        <f>+IFERROR(VLOOKUP(Fact_Contabilidad[[#This Row], [Concepto Anterior]],Conceptos_Contabilidad[#All],5,0),"")</f>
        <v/>
      </c>
      <c r="F2304" t="str">
        <f>+IFERROR(VLOOKUP(Fact_Contabilidad[[#This Row], 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ht="18.75" customHeight="1" x14ac:dyDescent="0.35">
      <c r="A2305" s="103"/>
      <c r="C2305" s="100" t="str">
        <f>IF(OR(Fact_Contabilidad[[#This Row], [Año]]="",Fact_Contabilidad[[#This Row], [Mes]]=""),"",DATE(A2305,MATCH(B2305,{"enero","febrero","marzo","abril","mayo","junio","julio","agosto","septiembre","octubre","noviembre","diciembre"},0)+1,0))</f>
        <v/>
      </c>
      <c r="E2305" t="str">
        <f>+IFERROR(VLOOKUP(Fact_Contabilidad[[#This Row], [Concepto Anterior]],Conceptos_Contabilidad[#All],5,0),"")</f>
        <v/>
      </c>
      <c r="F2305" t="str">
        <f>+IFERROR(VLOOKUP(Fact_Contabilidad[[#This Row], 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ht="18.75" customHeight="1" x14ac:dyDescent="0.35">
      <c r="A2306" s="103"/>
      <c r="C2306" s="100" t="str">
        <f>IF(OR(Fact_Contabilidad[[#This Row], [Año]]="",Fact_Contabilidad[[#This Row], [Mes]]=""),"",DATE(A2306,MATCH(B2306,{"enero","febrero","marzo","abril","mayo","junio","julio","agosto","septiembre","octubre","noviembre","diciembre"},0)+1,0))</f>
        <v/>
      </c>
      <c r="E2306" t="str">
        <f>+IFERROR(VLOOKUP(Fact_Contabilidad[[#This Row], [Concepto Anterior]],Conceptos_Contabilidad[#All],5,0),"")</f>
        <v/>
      </c>
      <c r="F2306" t="str">
        <f>+IFERROR(VLOOKUP(Fact_Contabilidad[[#This Row], 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ht="18.75" customHeight="1" x14ac:dyDescent="0.35">
      <c r="A2307" s="103"/>
      <c r="C2307" s="100" t="str">
        <f>IF(OR(Fact_Contabilidad[[#This Row], [Año]]="",Fact_Contabilidad[[#This Row], [Mes]]=""),"",DATE(A2307,MATCH(B2307,{"enero","febrero","marzo","abril","mayo","junio","julio","agosto","septiembre","octubre","noviembre","diciembre"},0)+1,0))</f>
        <v/>
      </c>
      <c r="E2307" t="str">
        <f>+IFERROR(VLOOKUP(Fact_Contabilidad[[#This Row], [Concepto Anterior]],Conceptos_Contabilidad[#All],5,0),"")</f>
        <v/>
      </c>
      <c r="F2307" t="str">
        <f>+IFERROR(VLOOKUP(Fact_Contabilidad[[#This Row], 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ht="18.75" customHeight="1" x14ac:dyDescent="0.35">
      <c r="A2308" s="103"/>
      <c r="C2308" s="100" t="str">
        <f>IF(OR(Fact_Contabilidad[[#This Row], [Año]]="",Fact_Contabilidad[[#This Row], [Mes]]=""),"",DATE(A2308,MATCH(B2308,{"enero","febrero","marzo","abril","mayo","junio","julio","agosto","septiembre","octubre","noviembre","diciembre"},0)+1,0))</f>
        <v/>
      </c>
      <c r="E2308" t="str">
        <f>+IFERROR(VLOOKUP(Fact_Contabilidad[[#This Row], [Concepto Anterior]],Conceptos_Contabilidad[#All],5,0),"")</f>
        <v/>
      </c>
      <c r="F2308" t="str">
        <f>+IFERROR(VLOOKUP(Fact_Contabilidad[[#This Row], 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ht="18.75" customHeight="1" x14ac:dyDescent="0.35">
      <c r="A2309" s="103"/>
      <c r="C2309" s="100" t="str">
        <f>IF(OR(Fact_Contabilidad[[#This Row], [Año]]="",Fact_Contabilidad[[#This Row], [Mes]]=""),"",DATE(A2309,MATCH(B2309,{"enero","febrero","marzo","abril","mayo","junio","julio","agosto","septiembre","octubre","noviembre","diciembre"},0)+1,0))</f>
        <v/>
      </c>
      <c r="E2309" t="str">
        <f>+IFERROR(VLOOKUP(Fact_Contabilidad[[#This Row], [Concepto Anterior]],Conceptos_Contabilidad[#All],5,0),"")</f>
        <v/>
      </c>
      <c r="F2309" t="str">
        <f>+IFERROR(VLOOKUP(Fact_Contabilidad[[#This Row], 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ht="18.75" customHeight="1" x14ac:dyDescent="0.35">
      <c r="A2310" s="103"/>
      <c r="C2310" s="100" t="str">
        <f>IF(OR(Fact_Contabilidad[[#This Row], [Año]]="",Fact_Contabilidad[[#This Row], [Mes]]=""),"",DATE(A2310,MATCH(B2310,{"enero","febrero","marzo","abril","mayo","junio","julio","agosto","septiembre","octubre","noviembre","diciembre"},0)+1,0))</f>
        <v/>
      </c>
      <c r="E2310" t="str">
        <f>+IFERROR(VLOOKUP(Fact_Contabilidad[[#This Row], [Concepto Anterior]],Conceptos_Contabilidad[#All],5,0),"")</f>
        <v/>
      </c>
      <c r="F2310" t="str">
        <f>+IFERROR(VLOOKUP(Fact_Contabilidad[[#This Row], 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ht="18.75" customHeight="1" x14ac:dyDescent="0.35">
      <c r="A2311" s="103"/>
      <c r="C2311" s="100" t="str">
        <f>IF(OR(Fact_Contabilidad[[#This Row], [Año]]="",Fact_Contabilidad[[#This Row], [Mes]]=""),"",DATE(A2311,MATCH(B2311,{"enero","febrero","marzo","abril","mayo","junio","julio","agosto","septiembre","octubre","noviembre","diciembre"},0)+1,0))</f>
        <v/>
      </c>
      <c r="E2311" t="str">
        <f>+IFERROR(VLOOKUP(Fact_Contabilidad[[#This Row], [Concepto Anterior]],Conceptos_Contabilidad[#All],5,0),"")</f>
        <v/>
      </c>
      <c r="F2311" t="str">
        <f>+IFERROR(VLOOKUP(Fact_Contabilidad[[#This Row], 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ht="18.75" customHeight="1" x14ac:dyDescent="0.35">
      <c r="A2312" s="103"/>
      <c r="C2312" s="100" t="str">
        <f>IF(OR(Fact_Contabilidad[[#This Row], [Año]]="",Fact_Contabilidad[[#This Row], [Mes]]=""),"",DATE(A2312,MATCH(B2312,{"enero","febrero","marzo","abril","mayo","junio","julio","agosto","septiembre","octubre","noviembre","diciembre"},0)+1,0))</f>
        <v/>
      </c>
      <c r="E2312" t="str">
        <f>+IFERROR(VLOOKUP(Fact_Contabilidad[[#This Row], [Concepto Anterior]],Conceptos_Contabilidad[#All],5,0),"")</f>
        <v/>
      </c>
      <c r="F2312" t="str">
        <f>+IFERROR(VLOOKUP(Fact_Contabilidad[[#This Row], 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ht="18.75" customHeight="1" x14ac:dyDescent="0.35">
      <c r="A2313" s="103"/>
      <c r="C2313" s="100" t="str">
        <f>IF(OR(Fact_Contabilidad[[#This Row], [Año]]="",Fact_Contabilidad[[#This Row], [Mes]]=""),"",DATE(A2313,MATCH(B2313,{"enero","febrero","marzo","abril","mayo","junio","julio","agosto","septiembre","octubre","noviembre","diciembre"},0)+1,0))</f>
        <v/>
      </c>
      <c r="E2313" t="str">
        <f>+IFERROR(VLOOKUP(Fact_Contabilidad[[#This Row], [Concepto Anterior]],Conceptos_Contabilidad[#All],5,0),"")</f>
        <v/>
      </c>
      <c r="F2313" t="str">
        <f>+IFERROR(VLOOKUP(Fact_Contabilidad[[#This Row], 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ht="18.75" customHeight="1" x14ac:dyDescent="0.35">
      <c r="A2314" s="103"/>
      <c r="C2314" s="100" t="str">
        <f>IF(OR(Fact_Contabilidad[[#This Row], [Año]]="",Fact_Contabilidad[[#This Row], [Mes]]=""),"",DATE(A2314,MATCH(B2314,{"enero","febrero","marzo","abril","mayo","junio","julio","agosto","septiembre","octubre","noviembre","diciembre"},0)+1,0))</f>
        <v/>
      </c>
      <c r="E2314" t="str">
        <f>+IFERROR(VLOOKUP(Fact_Contabilidad[[#This Row], [Concepto Anterior]],Conceptos_Contabilidad[#All],5,0),"")</f>
        <v/>
      </c>
      <c r="F2314" t="str">
        <f>+IFERROR(VLOOKUP(Fact_Contabilidad[[#This Row], 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ht="18.75" customHeight="1" x14ac:dyDescent="0.35">
      <c r="A2315" s="103"/>
      <c r="C2315" s="100" t="str">
        <f>IF(OR(Fact_Contabilidad[[#This Row], [Año]]="",Fact_Contabilidad[[#This Row], [Mes]]=""),"",DATE(A2315,MATCH(B2315,{"enero","febrero","marzo","abril","mayo","junio","julio","agosto","septiembre","octubre","noviembre","diciembre"},0)+1,0))</f>
        <v/>
      </c>
      <c r="E2315" t="str">
        <f>+IFERROR(VLOOKUP(Fact_Contabilidad[[#This Row], [Concepto Anterior]],Conceptos_Contabilidad[#All],5,0),"")</f>
        <v/>
      </c>
      <c r="F2315" t="str">
        <f>+IFERROR(VLOOKUP(Fact_Contabilidad[[#This Row], 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ht="18.75" customHeight="1" x14ac:dyDescent="0.35">
      <c r="A2316" s="103"/>
      <c r="C2316" s="100" t="str">
        <f>IF(OR(Fact_Contabilidad[[#This Row], [Año]]="",Fact_Contabilidad[[#This Row], [Mes]]=""),"",DATE(A2316,MATCH(B2316,{"enero","febrero","marzo","abril","mayo","junio","julio","agosto","septiembre","octubre","noviembre","diciembre"},0)+1,0))</f>
        <v/>
      </c>
      <c r="E2316" t="str">
        <f>+IFERROR(VLOOKUP(Fact_Contabilidad[[#This Row], [Concepto Anterior]],Conceptos_Contabilidad[#All],5,0),"")</f>
        <v/>
      </c>
      <c r="F2316" t="str">
        <f>+IFERROR(VLOOKUP(Fact_Contabilidad[[#This Row], 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ht="18.75" customHeight="1" x14ac:dyDescent="0.35">
      <c r="A2317" s="103"/>
      <c r="C2317" s="100" t="str">
        <f>IF(OR(Fact_Contabilidad[[#This Row], [Año]]="",Fact_Contabilidad[[#This Row], [Mes]]=""),"",DATE(A2317,MATCH(B2317,{"enero","febrero","marzo","abril","mayo","junio","julio","agosto","septiembre","octubre","noviembre","diciembre"},0)+1,0))</f>
        <v/>
      </c>
      <c r="E2317" t="str">
        <f>+IFERROR(VLOOKUP(Fact_Contabilidad[[#This Row], [Concepto Anterior]],Conceptos_Contabilidad[#All],5,0),"")</f>
        <v/>
      </c>
      <c r="F2317" t="str">
        <f>+IFERROR(VLOOKUP(Fact_Contabilidad[[#This Row], 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ht="18.75" customHeight="1" x14ac:dyDescent="0.35">
      <c r="A2318" s="103"/>
      <c r="C2318" s="100" t="str">
        <f>IF(OR(Fact_Contabilidad[[#This Row], [Año]]="",Fact_Contabilidad[[#This Row], [Mes]]=""),"",DATE(A2318,MATCH(B2318,{"enero","febrero","marzo","abril","mayo","junio","julio","agosto","septiembre","octubre","noviembre","diciembre"},0)+1,0))</f>
        <v/>
      </c>
      <c r="E2318" t="str">
        <f>+IFERROR(VLOOKUP(Fact_Contabilidad[[#This Row], [Concepto Anterior]],Conceptos_Contabilidad[#All],5,0),"")</f>
        <v/>
      </c>
      <c r="F2318" t="str">
        <f>+IFERROR(VLOOKUP(Fact_Contabilidad[[#This Row], 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ht="18.75" customHeight="1" x14ac:dyDescent="0.35">
      <c r="A2319" s="103"/>
      <c r="C2319" s="100" t="str">
        <f>IF(OR(Fact_Contabilidad[[#This Row], [Año]]="",Fact_Contabilidad[[#This Row], [Mes]]=""),"",DATE(A2319,MATCH(B2319,{"enero","febrero","marzo","abril","mayo","junio","julio","agosto","septiembre","octubre","noviembre","diciembre"},0)+1,0))</f>
        <v/>
      </c>
      <c r="E2319" t="str">
        <f>+IFERROR(VLOOKUP(Fact_Contabilidad[[#This Row], [Concepto Anterior]],Conceptos_Contabilidad[#All],5,0),"")</f>
        <v/>
      </c>
      <c r="F2319" t="str">
        <f>+IFERROR(VLOOKUP(Fact_Contabilidad[[#This Row], 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ht="18.75" customHeight="1" x14ac:dyDescent="0.35">
      <c r="A2320" s="103"/>
      <c r="C2320" s="100" t="str">
        <f>IF(OR(Fact_Contabilidad[[#This Row], [Año]]="",Fact_Contabilidad[[#This Row], [Mes]]=""),"",DATE(A2320,MATCH(B2320,{"enero","febrero","marzo","abril","mayo","junio","julio","agosto","septiembre","octubre","noviembre","diciembre"},0)+1,0))</f>
        <v/>
      </c>
      <c r="E2320" t="str">
        <f>+IFERROR(VLOOKUP(Fact_Contabilidad[[#This Row], [Concepto Anterior]],Conceptos_Contabilidad[#All],5,0),"")</f>
        <v/>
      </c>
      <c r="F2320" t="str">
        <f>+IFERROR(VLOOKUP(Fact_Contabilidad[[#This Row], 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ht="18.75" customHeight="1" x14ac:dyDescent="0.35">
      <c r="A2321" s="103"/>
      <c r="C2321" s="100" t="str">
        <f>IF(OR(Fact_Contabilidad[[#This Row], [Año]]="",Fact_Contabilidad[[#This Row], [Mes]]=""),"",DATE(A2321,MATCH(B2321,{"enero","febrero","marzo","abril","mayo","junio","julio","agosto","septiembre","octubre","noviembre","diciembre"},0)+1,0))</f>
        <v/>
      </c>
      <c r="E2321" t="str">
        <f>+IFERROR(VLOOKUP(Fact_Contabilidad[[#This Row], [Concepto Anterior]],Conceptos_Contabilidad[#All],5,0),"")</f>
        <v/>
      </c>
      <c r="F2321" t="str">
        <f>+IFERROR(VLOOKUP(Fact_Contabilidad[[#This Row], 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ht="18.75" customHeight="1" x14ac:dyDescent="0.35">
      <c r="A2322" s="103"/>
      <c r="C2322" s="100" t="str">
        <f>IF(OR(Fact_Contabilidad[[#This Row], [Año]]="",Fact_Contabilidad[[#This Row], [Mes]]=""),"",DATE(A2322,MATCH(B2322,{"enero","febrero","marzo","abril","mayo","junio","julio","agosto","septiembre","octubre","noviembre","diciembre"},0)+1,0))</f>
        <v/>
      </c>
      <c r="E2322" t="str">
        <f>+IFERROR(VLOOKUP(Fact_Contabilidad[[#This Row], [Concepto Anterior]],Conceptos_Contabilidad[#All],5,0),"")</f>
        <v/>
      </c>
      <c r="F2322" t="str">
        <f>+IFERROR(VLOOKUP(Fact_Contabilidad[[#This Row], 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ht="18.75" customHeight="1" x14ac:dyDescent="0.35">
      <c r="A2323" s="103"/>
      <c r="C2323" s="100" t="str">
        <f>IF(OR(Fact_Contabilidad[[#This Row], [Año]]="",Fact_Contabilidad[[#This Row], [Mes]]=""),"",DATE(A2323,MATCH(B2323,{"enero","febrero","marzo","abril","mayo","junio","julio","agosto","septiembre","octubre","noviembre","diciembre"},0)+1,0))</f>
        <v/>
      </c>
      <c r="E2323" t="str">
        <f>+IFERROR(VLOOKUP(Fact_Contabilidad[[#This Row], [Concepto Anterior]],Conceptos_Contabilidad[#All],5,0),"")</f>
        <v/>
      </c>
      <c r="F2323" t="str">
        <f>+IFERROR(VLOOKUP(Fact_Contabilidad[[#This Row], 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ht="18.75" customHeight="1" x14ac:dyDescent="0.35">
      <c r="A2324" s="103"/>
      <c r="C2324" s="100" t="str">
        <f>IF(OR(Fact_Contabilidad[[#This Row], [Año]]="",Fact_Contabilidad[[#This Row], [Mes]]=""),"",DATE(A2324,MATCH(B2324,{"enero","febrero","marzo","abril","mayo","junio","julio","agosto","septiembre","octubre","noviembre","diciembre"},0)+1,0))</f>
        <v/>
      </c>
      <c r="E2324" t="str">
        <f>+IFERROR(VLOOKUP(Fact_Contabilidad[[#This Row], [Concepto Anterior]],Conceptos_Contabilidad[#All],5,0),"")</f>
        <v/>
      </c>
      <c r="F2324" t="str">
        <f>+IFERROR(VLOOKUP(Fact_Contabilidad[[#This Row], 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ht="18.75" customHeight="1" x14ac:dyDescent="0.35">
      <c r="A2325" s="103"/>
      <c r="C2325" s="100" t="str">
        <f>IF(OR(Fact_Contabilidad[[#This Row], [Año]]="",Fact_Contabilidad[[#This Row], [Mes]]=""),"",DATE(A2325,MATCH(B2325,{"enero","febrero","marzo","abril","mayo","junio","julio","agosto","septiembre","octubre","noviembre","diciembre"},0)+1,0))</f>
        <v/>
      </c>
      <c r="E2325" t="str">
        <f>+IFERROR(VLOOKUP(Fact_Contabilidad[[#This Row], [Concepto Anterior]],Conceptos_Contabilidad[#All],5,0),"")</f>
        <v/>
      </c>
      <c r="F2325" t="str">
        <f>+IFERROR(VLOOKUP(Fact_Contabilidad[[#This Row], 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ht="18.75" customHeight="1" x14ac:dyDescent="0.35">
      <c r="A2326" s="103"/>
      <c r="C2326" s="100" t="str">
        <f>IF(OR(Fact_Contabilidad[[#This Row], [Año]]="",Fact_Contabilidad[[#This Row], [Mes]]=""),"",DATE(A2326,MATCH(B2326,{"enero","febrero","marzo","abril","mayo","junio","julio","agosto","septiembre","octubre","noviembre","diciembre"},0)+1,0))</f>
        <v/>
      </c>
      <c r="E2326" t="str">
        <f>+IFERROR(VLOOKUP(Fact_Contabilidad[[#This Row], [Concepto Anterior]],Conceptos_Contabilidad[#All],5,0),"")</f>
        <v/>
      </c>
      <c r="F2326" t="str">
        <f>+IFERROR(VLOOKUP(Fact_Contabilidad[[#This Row], 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ht="18.75" customHeight="1" x14ac:dyDescent="0.35">
      <c r="A2327" s="103"/>
      <c r="C2327" s="100" t="str">
        <f>IF(OR(Fact_Contabilidad[[#This Row], [Año]]="",Fact_Contabilidad[[#This Row], [Mes]]=""),"",DATE(A2327,MATCH(B2327,{"enero","febrero","marzo","abril","mayo","junio","julio","agosto","septiembre","octubre","noviembre","diciembre"},0)+1,0))</f>
        <v/>
      </c>
      <c r="E2327" t="str">
        <f>+IFERROR(VLOOKUP(Fact_Contabilidad[[#This Row], [Concepto Anterior]],Conceptos_Contabilidad[#All],5,0),"")</f>
        <v/>
      </c>
      <c r="F2327" t="str">
        <f>+IFERROR(VLOOKUP(Fact_Contabilidad[[#This Row], 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ht="18.75" customHeight="1" x14ac:dyDescent="0.35">
      <c r="A2328" s="103"/>
      <c r="C2328" s="100" t="str">
        <f>IF(OR(Fact_Contabilidad[[#This Row], [Año]]="",Fact_Contabilidad[[#This Row], [Mes]]=""),"",DATE(A2328,MATCH(B2328,{"enero","febrero","marzo","abril","mayo","junio","julio","agosto","septiembre","octubre","noviembre","diciembre"},0)+1,0))</f>
        <v/>
      </c>
      <c r="E2328" t="str">
        <f>+IFERROR(VLOOKUP(Fact_Contabilidad[[#This Row], [Concepto Anterior]],Conceptos_Contabilidad[#All],5,0),"")</f>
        <v/>
      </c>
      <c r="F2328" t="str">
        <f>+IFERROR(VLOOKUP(Fact_Contabilidad[[#This Row], 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ht="18.75" customHeight="1" x14ac:dyDescent="0.35">
      <c r="A2329" s="103"/>
      <c r="C2329" s="100" t="str">
        <f>IF(OR(Fact_Contabilidad[[#This Row], [Año]]="",Fact_Contabilidad[[#This Row], [Mes]]=""),"",DATE(A2329,MATCH(B2329,{"enero","febrero","marzo","abril","mayo","junio","julio","agosto","septiembre","octubre","noviembre","diciembre"},0)+1,0))</f>
        <v/>
      </c>
      <c r="E2329" t="str">
        <f>+IFERROR(VLOOKUP(Fact_Contabilidad[[#This Row], [Concepto Anterior]],Conceptos_Contabilidad[#All],5,0),"")</f>
        <v/>
      </c>
      <c r="F2329" t="str">
        <f>+IFERROR(VLOOKUP(Fact_Contabilidad[[#This Row], 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ht="18.75" customHeight="1" x14ac:dyDescent="0.35">
      <c r="A2330" s="103"/>
      <c r="C2330" s="100" t="str">
        <f>IF(OR(Fact_Contabilidad[[#This Row], [Año]]="",Fact_Contabilidad[[#This Row], [Mes]]=""),"",DATE(A2330,MATCH(B2330,{"enero","febrero","marzo","abril","mayo","junio","julio","agosto","septiembre","octubre","noviembre","diciembre"},0)+1,0))</f>
        <v/>
      </c>
      <c r="E2330" t="str">
        <f>+IFERROR(VLOOKUP(Fact_Contabilidad[[#This Row], [Concepto Anterior]],Conceptos_Contabilidad[#All],5,0),"")</f>
        <v/>
      </c>
      <c r="F2330" t="str">
        <f>+IFERROR(VLOOKUP(Fact_Contabilidad[[#This Row], 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ht="18.75" customHeight="1" x14ac:dyDescent="0.35">
      <c r="A2331" s="103"/>
      <c r="C2331" s="100" t="str">
        <f>IF(OR(Fact_Contabilidad[[#This Row], [Año]]="",Fact_Contabilidad[[#This Row], [Mes]]=""),"",DATE(A2331,MATCH(B2331,{"enero","febrero","marzo","abril","mayo","junio","julio","agosto","septiembre","octubre","noviembre","diciembre"},0)+1,0))</f>
        <v/>
      </c>
      <c r="E2331" t="str">
        <f>+IFERROR(VLOOKUP(Fact_Contabilidad[[#This Row], [Concepto Anterior]],Conceptos_Contabilidad[#All],5,0),"")</f>
        <v/>
      </c>
      <c r="F2331" t="str">
        <f>+IFERROR(VLOOKUP(Fact_Contabilidad[[#This Row], 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ht="18.75" customHeight="1" x14ac:dyDescent="0.35">
      <c r="A2332" s="103"/>
      <c r="C2332" s="100" t="str">
        <f>IF(OR(Fact_Contabilidad[[#This Row], [Año]]="",Fact_Contabilidad[[#This Row], [Mes]]=""),"",DATE(A2332,MATCH(B2332,{"enero","febrero","marzo","abril","mayo","junio","julio","agosto","septiembre","octubre","noviembre","diciembre"},0)+1,0))</f>
        <v/>
      </c>
      <c r="E2332" t="str">
        <f>+IFERROR(VLOOKUP(Fact_Contabilidad[[#This Row], [Concepto Anterior]],Conceptos_Contabilidad[#All],5,0),"")</f>
        <v/>
      </c>
      <c r="F2332" t="str">
        <f>+IFERROR(VLOOKUP(Fact_Contabilidad[[#This Row], 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ht="18.75" customHeight="1" x14ac:dyDescent="0.35">
      <c r="A2333" s="103"/>
      <c r="C2333" s="100" t="str">
        <f>IF(OR(Fact_Contabilidad[[#This Row], [Año]]="",Fact_Contabilidad[[#This Row], [Mes]]=""),"",DATE(A2333,MATCH(B2333,{"enero","febrero","marzo","abril","mayo","junio","julio","agosto","septiembre","octubre","noviembre","diciembre"},0)+1,0))</f>
        <v/>
      </c>
      <c r="E2333" t="str">
        <f>+IFERROR(VLOOKUP(Fact_Contabilidad[[#This Row], [Concepto Anterior]],Conceptos_Contabilidad[#All],5,0),"")</f>
        <v/>
      </c>
      <c r="F2333" t="str">
        <f>+IFERROR(VLOOKUP(Fact_Contabilidad[[#This Row], 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ht="18.75" customHeight="1" x14ac:dyDescent="0.35">
      <c r="A2334" s="103"/>
      <c r="C2334" s="100" t="str">
        <f>IF(OR(Fact_Contabilidad[[#This Row], [Año]]="",Fact_Contabilidad[[#This Row], [Mes]]=""),"",DATE(A2334,MATCH(B2334,{"enero","febrero","marzo","abril","mayo","junio","julio","agosto","septiembre","octubre","noviembre","diciembre"},0)+1,0))</f>
        <v/>
      </c>
      <c r="E2334" t="str">
        <f>+IFERROR(VLOOKUP(Fact_Contabilidad[[#This Row], [Concepto Anterior]],Conceptos_Contabilidad[#All],5,0),"")</f>
        <v/>
      </c>
      <c r="F2334" t="str">
        <f>+IFERROR(VLOOKUP(Fact_Contabilidad[[#This Row], 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ht="18.75" customHeight="1" x14ac:dyDescent="0.35">
      <c r="A2335" s="103"/>
      <c r="C2335" s="100" t="str">
        <f>IF(OR(Fact_Contabilidad[[#This Row], [Año]]="",Fact_Contabilidad[[#This Row], [Mes]]=""),"",DATE(A2335,MATCH(B2335,{"enero","febrero","marzo","abril","mayo","junio","julio","agosto","septiembre","octubre","noviembre","diciembre"},0)+1,0))</f>
        <v/>
      </c>
      <c r="E2335" t="str">
        <f>+IFERROR(VLOOKUP(Fact_Contabilidad[[#This Row], [Concepto Anterior]],Conceptos_Contabilidad[#All],5,0),"")</f>
        <v/>
      </c>
      <c r="F2335" t="str">
        <f>+IFERROR(VLOOKUP(Fact_Contabilidad[[#This Row], 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ht="18.75" customHeight="1" x14ac:dyDescent="0.35">
      <c r="A2336" s="103"/>
      <c r="C2336" s="100" t="str">
        <f>IF(OR(Fact_Contabilidad[[#This Row], [Año]]="",Fact_Contabilidad[[#This Row], [Mes]]=""),"",DATE(A2336,MATCH(B2336,{"enero","febrero","marzo","abril","mayo","junio","julio","agosto","septiembre","octubre","noviembre","diciembre"},0)+1,0))</f>
        <v/>
      </c>
      <c r="E2336" t="str">
        <f>+IFERROR(VLOOKUP(Fact_Contabilidad[[#This Row], [Concepto Anterior]],Conceptos_Contabilidad[#All],5,0),"")</f>
        <v/>
      </c>
      <c r="F2336" t="str">
        <f>+IFERROR(VLOOKUP(Fact_Contabilidad[[#This Row], 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ht="18.75" customHeight="1" x14ac:dyDescent="0.35">
      <c r="A2337" s="103"/>
      <c r="C2337" s="100" t="str">
        <f>IF(OR(Fact_Contabilidad[[#This Row], [Año]]="",Fact_Contabilidad[[#This Row], [Mes]]=""),"",DATE(A2337,MATCH(B2337,{"enero","febrero","marzo","abril","mayo","junio","julio","agosto","septiembre","octubre","noviembre","diciembre"},0)+1,0))</f>
        <v/>
      </c>
      <c r="E2337" t="str">
        <f>+IFERROR(VLOOKUP(Fact_Contabilidad[[#This Row], [Concepto Anterior]],Conceptos_Contabilidad[#All],5,0),"")</f>
        <v/>
      </c>
      <c r="F2337" t="str">
        <f>+IFERROR(VLOOKUP(Fact_Contabilidad[[#This Row], 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ht="18.75" customHeight="1" x14ac:dyDescent="0.35">
      <c r="A2338" s="103"/>
      <c r="C2338" s="100" t="str">
        <f>IF(OR(Fact_Contabilidad[[#This Row], [Año]]="",Fact_Contabilidad[[#This Row], [Mes]]=""),"",DATE(A2338,MATCH(B2338,{"enero","febrero","marzo","abril","mayo","junio","julio","agosto","septiembre","octubre","noviembre","diciembre"},0)+1,0))</f>
        <v/>
      </c>
      <c r="E2338" t="str">
        <f>+IFERROR(VLOOKUP(Fact_Contabilidad[[#This Row], [Concepto Anterior]],Conceptos_Contabilidad[#All],5,0),"")</f>
        <v/>
      </c>
      <c r="F2338" t="str">
        <f>+IFERROR(VLOOKUP(Fact_Contabilidad[[#This Row], 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ht="18.75" customHeight="1" x14ac:dyDescent="0.35">
      <c r="A2339" s="103"/>
      <c r="C2339" s="100" t="str">
        <f>IF(OR(Fact_Contabilidad[[#This Row], [Año]]="",Fact_Contabilidad[[#This Row], [Mes]]=""),"",DATE(A2339,MATCH(B2339,{"enero","febrero","marzo","abril","mayo","junio","julio","agosto","septiembre","octubre","noviembre","diciembre"},0)+1,0))</f>
        <v/>
      </c>
      <c r="E2339" t="str">
        <f>+IFERROR(VLOOKUP(Fact_Contabilidad[[#This Row], [Concepto Anterior]],Conceptos_Contabilidad[#All],5,0),"")</f>
        <v/>
      </c>
      <c r="F2339" t="str">
        <f>+IFERROR(VLOOKUP(Fact_Contabilidad[[#This Row], 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ht="18.75" customHeight="1" x14ac:dyDescent="0.35">
      <c r="A2340" s="103"/>
      <c r="C2340" s="100" t="str">
        <f>IF(OR(Fact_Contabilidad[[#This Row], [Año]]="",Fact_Contabilidad[[#This Row], [Mes]]=""),"",DATE(A2340,MATCH(B2340,{"enero","febrero","marzo","abril","mayo","junio","julio","agosto","septiembre","octubre","noviembre","diciembre"},0)+1,0))</f>
        <v/>
      </c>
      <c r="E2340" t="str">
        <f>+IFERROR(VLOOKUP(Fact_Contabilidad[[#This Row], [Concepto Anterior]],Conceptos_Contabilidad[#All],5,0),"")</f>
        <v/>
      </c>
      <c r="F2340" t="str">
        <f>+IFERROR(VLOOKUP(Fact_Contabilidad[[#This Row], 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ht="18.75" customHeight="1" x14ac:dyDescent="0.35">
      <c r="A2341" s="103"/>
      <c r="C2341" s="100" t="str">
        <f>IF(OR(Fact_Contabilidad[[#This Row], [Año]]="",Fact_Contabilidad[[#This Row], [Mes]]=""),"",DATE(A2341,MATCH(B2341,{"enero","febrero","marzo","abril","mayo","junio","julio","agosto","septiembre","octubre","noviembre","diciembre"},0)+1,0))</f>
        <v/>
      </c>
      <c r="E2341" t="str">
        <f>+IFERROR(VLOOKUP(Fact_Contabilidad[[#This Row], [Concepto Anterior]],Conceptos_Contabilidad[#All],5,0),"")</f>
        <v/>
      </c>
      <c r="F2341" t="str">
        <f>+IFERROR(VLOOKUP(Fact_Contabilidad[[#This Row], 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ht="18.75" customHeight="1" x14ac:dyDescent="0.35">
      <c r="A2342" s="103"/>
      <c r="C2342" s="100" t="str">
        <f>IF(OR(Fact_Contabilidad[[#This Row], [Año]]="",Fact_Contabilidad[[#This Row], [Mes]]=""),"",DATE(A2342,MATCH(B2342,{"enero","febrero","marzo","abril","mayo","junio","julio","agosto","septiembre","octubre","noviembre","diciembre"},0)+1,0))</f>
        <v/>
      </c>
      <c r="E2342" t="str">
        <f>+IFERROR(VLOOKUP(Fact_Contabilidad[[#This Row], [Concepto Anterior]],Conceptos_Contabilidad[#All],5,0),"")</f>
        <v/>
      </c>
      <c r="F2342" t="str">
        <f>+IFERROR(VLOOKUP(Fact_Contabilidad[[#This Row], 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ht="18.75" customHeight="1" x14ac:dyDescent="0.35">
      <c r="A2343" s="103"/>
      <c r="C2343" s="100" t="str">
        <f>IF(OR(Fact_Contabilidad[[#This Row], [Año]]="",Fact_Contabilidad[[#This Row], [Mes]]=""),"",DATE(A2343,MATCH(B2343,{"enero","febrero","marzo","abril","mayo","junio","julio","agosto","septiembre","octubre","noviembre","diciembre"},0)+1,0))</f>
        <v/>
      </c>
      <c r="E2343" t="str">
        <f>+IFERROR(VLOOKUP(Fact_Contabilidad[[#This Row], [Concepto Anterior]],Conceptos_Contabilidad[#All],5,0),"")</f>
        <v/>
      </c>
      <c r="F2343" t="str">
        <f>+IFERROR(VLOOKUP(Fact_Contabilidad[[#This Row], 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ht="18.75" customHeight="1" x14ac:dyDescent="0.35">
      <c r="A2344" s="103"/>
      <c r="C2344" s="100" t="str">
        <f>IF(OR(Fact_Contabilidad[[#This Row], [Año]]="",Fact_Contabilidad[[#This Row], [Mes]]=""),"",DATE(A2344,MATCH(B2344,{"enero","febrero","marzo","abril","mayo","junio","julio","agosto","septiembre","octubre","noviembre","diciembre"},0)+1,0))</f>
        <v/>
      </c>
      <c r="E2344" t="str">
        <f>+IFERROR(VLOOKUP(Fact_Contabilidad[[#This Row], [Concepto Anterior]],Conceptos_Contabilidad[#All],5,0),"")</f>
        <v/>
      </c>
      <c r="F2344" t="str">
        <f>+IFERROR(VLOOKUP(Fact_Contabilidad[[#This Row], 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ht="18.75" customHeight="1" x14ac:dyDescent="0.35">
      <c r="A2345" s="103"/>
      <c r="C2345" s="100" t="str">
        <f>IF(OR(Fact_Contabilidad[[#This Row], [Año]]="",Fact_Contabilidad[[#This Row], [Mes]]=""),"",DATE(A2345,MATCH(B2345,{"enero","febrero","marzo","abril","mayo","junio","julio","agosto","septiembre","octubre","noviembre","diciembre"},0)+1,0))</f>
        <v/>
      </c>
      <c r="E2345" t="str">
        <f>+IFERROR(VLOOKUP(Fact_Contabilidad[[#This Row], [Concepto Anterior]],Conceptos_Contabilidad[#All],5,0),"")</f>
        <v/>
      </c>
      <c r="F2345" t="str">
        <f>+IFERROR(VLOOKUP(Fact_Contabilidad[[#This Row], 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ht="18.75" customHeight="1" x14ac:dyDescent="0.35">
      <c r="A2346" s="103"/>
      <c r="C2346" s="100" t="str">
        <f>IF(OR(Fact_Contabilidad[[#This Row], [Año]]="",Fact_Contabilidad[[#This Row], [Mes]]=""),"",DATE(A2346,MATCH(B2346,{"enero","febrero","marzo","abril","mayo","junio","julio","agosto","septiembre","octubre","noviembre","diciembre"},0)+1,0))</f>
        <v/>
      </c>
      <c r="E2346" t="str">
        <f>+IFERROR(VLOOKUP(Fact_Contabilidad[[#This Row], [Concepto Anterior]],Conceptos_Contabilidad[#All],5,0),"")</f>
        <v/>
      </c>
      <c r="F2346" t="str">
        <f>+IFERROR(VLOOKUP(Fact_Contabilidad[[#This Row], 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ht="18.75" customHeight="1" x14ac:dyDescent="0.35">
      <c r="A2347" s="103"/>
      <c r="C2347" s="100" t="str">
        <f>IF(OR(Fact_Contabilidad[[#This Row], [Año]]="",Fact_Contabilidad[[#This Row], [Mes]]=""),"",DATE(A2347,MATCH(B2347,{"enero","febrero","marzo","abril","mayo","junio","julio","agosto","septiembre","octubre","noviembre","diciembre"},0)+1,0))</f>
        <v/>
      </c>
      <c r="E2347" t="str">
        <f>+IFERROR(VLOOKUP(Fact_Contabilidad[[#This Row], [Concepto Anterior]],Conceptos_Contabilidad[#All],5,0),"")</f>
        <v/>
      </c>
      <c r="F2347" t="str">
        <f>+IFERROR(VLOOKUP(Fact_Contabilidad[[#This Row], 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ht="18.75" customHeight="1" x14ac:dyDescent="0.35">
      <c r="A2348" s="103"/>
      <c r="C2348" s="100" t="str">
        <f>IF(OR(Fact_Contabilidad[[#This Row], [Año]]="",Fact_Contabilidad[[#This Row], [Mes]]=""),"",DATE(A2348,MATCH(B2348,{"enero","febrero","marzo","abril","mayo","junio","julio","agosto","septiembre","octubre","noviembre","diciembre"},0)+1,0))</f>
        <v/>
      </c>
      <c r="E2348" t="str">
        <f>+IFERROR(VLOOKUP(Fact_Contabilidad[[#This Row], [Concepto Anterior]],Conceptos_Contabilidad[#All],5,0),"")</f>
        <v/>
      </c>
      <c r="F2348" t="str">
        <f>+IFERROR(VLOOKUP(Fact_Contabilidad[[#This Row], 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ht="18.75" customHeight="1" x14ac:dyDescent="0.35">
      <c r="A2349" s="103"/>
      <c r="C2349" s="100" t="str">
        <f>IF(OR(Fact_Contabilidad[[#This Row], [Año]]="",Fact_Contabilidad[[#This Row], [Mes]]=""),"",DATE(A2349,MATCH(B2349,{"enero","febrero","marzo","abril","mayo","junio","julio","agosto","septiembre","octubre","noviembre","diciembre"},0)+1,0))</f>
        <v/>
      </c>
      <c r="E2349" t="str">
        <f>+IFERROR(VLOOKUP(Fact_Contabilidad[[#This Row], [Concepto Anterior]],Conceptos_Contabilidad[#All],5,0),"")</f>
        <v/>
      </c>
      <c r="F2349" t="str">
        <f>+IFERROR(VLOOKUP(Fact_Contabilidad[[#This Row], 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ht="18.75" customHeight="1" x14ac:dyDescent="0.35">
      <c r="A2350" s="103"/>
      <c r="C2350" s="100" t="str">
        <f>IF(OR(Fact_Contabilidad[[#This Row], [Año]]="",Fact_Contabilidad[[#This Row], [Mes]]=""),"",DATE(A2350,MATCH(B2350,{"enero","febrero","marzo","abril","mayo","junio","julio","agosto","septiembre","octubre","noviembre","diciembre"},0)+1,0))</f>
        <v/>
      </c>
      <c r="E2350" t="str">
        <f>+IFERROR(VLOOKUP(Fact_Contabilidad[[#This Row], [Concepto Anterior]],Conceptos_Contabilidad[#All],5,0),"")</f>
        <v/>
      </c>
      <c r="F2350" t="str">
        <f>+IFERROR(VLOOKUP(Fact_Contabilidad[[#This Row], 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ht="18.75" customHeight="1" x14ac:dyDescent="0.35">
      <c r="A2351" s="103"/>
      <c r="C2351" s="100" t="str">
        <f>IF(OR(Fact_Contabilidad[[#This Row], [Año]]="",Fact_Contabilidad[[#This Row], [Mes]]=""),"",DATE(A2351,MATCH(B2351,{"enero","febrero","marzo","abril","mayo","junio","julio","agosto","septiembre","octubre","noviembre","diciembre"},0)+1,0))</f>
        <v/>
      </c>
      <c r="E2351" t="str">
        <f>+IFERROR(VLOOKUP(Fact_Contabilidad[[#This Row], [Concepto Anterior]],Conceptos_Contabilidad[#All],5,0),"")</f>
        <v/>
      </c>
      <c r="F2351" t="str">
        <f>+IFERROR(VLOOKUP(Fact_Contabilidad[[#This Row], 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ht="18.75" customHeight="1" x14ac:dyDescent="0.35">
      <c r="A2352" s="103"/>
      <c r="C2352" s="100" t="str">
        <f>IF(OR(Fact_Contabilidad[[#This Row], [Año]]="",Fact_Contabilidad[[#This Row], [Mes]]=""),"",DATE(A2352,MATCH(B2352,{"enero","febrero","marzo","abril","mayo","junio","julio","agosto","septiembre","octubre","noviembre","diciembre"},0)+1,0))</f>
        <v/>
      </c>
      <c r="E2352" t="str">
        <f>+IFERROR(VLOOKUP(Fact_Contabilidad[[#This Row], [Concepto Anterior]],Conceptos_Contabilidad[#All],5,0),"")</f>
        <v/>
      </c>
      <c r="F2352" t="str">
        <f>+IFERROR(VLOOKUP(Fact_Contabilidad[[#This Row], 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ht="18.75" customHeight="1" x14ac:dyDescent="0.35">
      <c r="A2353" s="103"/>
      <c r="C2353" s="100" t="str">
        <f>IF(OR(Fact_Contabilidad[[#This Row], [Año]]="",Fact_Contabilidad[[#This Row], [Mes]]=""),"",DATE(A2353,MATCH(B2353,{"enero","febrero","marzo","abril","mayo","junio","julio","agosto","septiembre","octubre","noviembre","diciembre"},0)+1,0))</f>
        <v/>
      </c>
      <c r="E2353" t="str">
        <f>+IFERROR(VLOOKUP(Fact_Contabilidad[[#This Row], [Concepto Anterior]],Conceptos_Contabilidad[#All],5,0),"")</f>
        <v/>
      </c>
      <c r="F2353" t="str">
        <f>+IFERROR(VLOOKUP(Fact_Contabilidad[[#This Row], 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ht="18.75" customHeight="1" x14ac:dyDescent="0.35">
      <c r="A2354" s="103"/>
      <c r="C2354" s="100" t="str">
        <f>IF(OR(Fact_Contabilidad[[#This Row], [Año]]="",Fact_Contabilidad[[#This Row], [Mes]]=""),"",DATE(A2354,MATCH(B2354,{"enero","febrero","marzo","abril","mayo","junio","julio","agosto","septiembre","octubre","noviembre","diciembre"},0)+1,0))</f>
        <v/>
      </c>
      <c r="E2354" t="str">
        <f>+IFERROR(VLOOKUP(Fact_Contabilidad[[#This Row], [Concepto Anterior]],Conceptos_Contabilidad[#All],5,0),"")</f>
        <v/>
      </c>
      <c r="F2354" t="str">
        <f>+IFERROR(VLOOKUP(Fact_Contabilidad[[#This Row], 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ht="18.75" customHeight="1" x14ac:dyDescent="0.35">
      <c r="A2355" s="103"/>
      <c r="C2355" s="100" t="str">
        <f>IF(OR(Fact_Contabilidad[[#This Row], [Año]]="",Fact_Contabilidad[[#This Row], [Mes]]=""),"",DATE(A2355,MATCH(B2355,{"enero","febrero","marzo","abril","mayo","junio","julio","agosto","septiembre","octubre","noviembre","diciembre"},0)+1,0))</f>
        <v/>
      </c>
      <c r="E2355" t="str">
        <f>+IFERROR(VLOOKUP(Fact_Contabilidad[[#This Row], [Concepto Anterior]],Conceptos_Contabilidad[#All],5,0),"")</f>
        <v/>
      </c>
      <c r="F2355" t="str">
        <f>+IFERROR(VLOOKUP(Fact_Contabilidad[[#This Row], 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ht="18.75" customHeight="1" x14ac:dyDescent="0.35">
      <c r="A2356" s="103"/>
      <c r="C2356" s="100" t="str">
        <f>IF(OR(Fact_Contabilidad[[#This Row], [Año]]="",Fact_Contabilidad[[#This Row], [Mes]]=""),"",DATE(A2356,MATCH(B2356,{"enero","febrero","marzo","abril","mayo","junio","julio","agosto","septiembre","octubre","noviembre","diciembre"},0)+1,0))</f>
        <v/>
      </c>
      <c r="E2356" t="str">
        <f>+IFERROR(VLOOKUP(Fact_Contabilidad[[#This Row], [Concepto Anterior]],Conceptos_Contabilidad[#All],5,0),"")</f>
        <v/>
      </c>
      <c r="F2356" t="str">
        <f>+IFERROR(VLOOKUP(Fact_Contabilidad[[#This Row], 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ht="18.75" customHeight="1" x14ac:dyDescent="0.35">
      <c r="A2357" s="103"/>
      <c r="C2357" s="100" t="str">
        <f>IF(OR(Fact_Contabilidad[[#This Row], [Año]]="",Fact_Contabilidad[[#This Row], [Mes]]=""),"",DATE(A2357,MATCH(B2357,{"enero","febrero","marzo","abril","mayo","junio","julio","agosto","septiembre","octubre","noviembre","diciembre"},0)+1,0))</f>
        <v/>
      </c>
      <c r="E2357" t="str">
        <f>+IFERROR(VLOOKUP(Fact_Contabilidad[[#This Row], [Concepto Anterior]],Conceptos_Contabilidad[#All],5,0),"")</f>
        <v/>
      </c>
      <c r="F2357" t="str">
        <f>+IFERROR(VLOOKUP(Fact_Contabilidad[[#This Row], 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ht="18.75" customHeight="1" x14ac:dyDescent="0.35">
      <c r="A2358" s="103"/>
      <c r="C2358" s="100" t="str">
        <f>IF(OR(Fact_Contabilidad[[#This Row], [Año]]="",Fact_Contabilidad[[#This Row], [Mes]]=""),"",DATE(A2358,MATCH(B2358,{"enero","febrero","marzo","abril","mayo","junio","julio","agosto","septiembre","octubre","noviembre","diciembre"},0)+1,0))</f>
        <v/>
      </c>
      <c r="E2358" t="str">
        <f>+IFERROR(VLOOKUP(Fact_Contabilidad[[#This Row], [Concepto Anterior]],Conceptos_Contabilidad[#All],5,0),"")</f>
        <v/>
      </c>
      <c r="F2358" t="str">
        <f>+IFERROR(VLOOKUP(Fact_Contabilidad[[#This Row], 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ht="18.75" customHeight="1" x14ac:dyDescent="0.35">
      <c r="A2359" s="103"/>
      <c r="C2359" s="100" t="str">
        <f>IF(OR(Fact_Contabilidad[[#This Row], [Año]]="",Fact_Contabilidad[[#This Row], [Mes]]=""),"",DATE(A2359,MATCH(B2359,{"enero","febrero","marzo","abril","mayo","junio","julio","agosto","septiembre","octubre","noviembre","diciembre"},0)+1,0))</f>
        <v/>
      </c>
      <c r="E2359" t="str">
        <f>+IFERROR(VLOOKUP(Fact_Contabilidad[[#This Row], [Concepto Anterior]],Conceptos_Contabilidad[#All],5,0),"")</f>
        <v/>
      </c>
      <c r="F2359" t="str">
        <f>+IFERROR(VLOOKUP(Fact_Contabilidad[[#This Row], 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ht="18.75" customHeight="1" x14ac:dyDescent="0.35">
      <c r="A2360" s="103"/>
      <c r="C2360" s="100" t="str">
        <f>IF(OR(Fact_Contabilidad[[#This Row], [Año]]="",Fact_Contabilidad[[#This Row], [Mes]]=""),"",DATE(A2360,MATCH(B2360,{"enero","febrero","marzo","abril","mayo","junio","julio","agosto","septiembre","octubre","noviembre","diciembre"},0)+1,0))</f>
        <v/>
      </c>
      <c r="E2360" t="str">
        <f>+IFERROR(VLOOKUP(Fact_Contabilidad[[#This Row], [Concepto Anterior]],Conceptos_Contabilidad[#All],5,0),"")</f>
        <v/>
      </c>
      <c r="F2360" t="str">
        <f>+IFERROR(VLOOKUP(Fact_Contabilidad[[#This Row], 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ht="18.75" customHeight="1" x14ac:dyDescent="0.35">
      <c r="A2361" s="103"/>
      <c r="C2361" s="100" t="str">
        <f>IF(OR(Fact_Contabilidad[[#This Row], [Año]]="",Fact_Contabilidad[[#This Row], [Mes]]=""),"",DATE(A2361,MATCH(B2361,{"enero","febrero","marzo","abril","mayo","junio","julio","agosto","septiembre","octubre","noviembre","diciembre"},0)+1,0))</f>
        <v/>
      </c>
      <c r="E2361" t="str">
        <f>+IFERROR(VLOOKUP(Fact_Contabilidad[[#This Row], [Concepto Anterior]],Conceptos_Contabilidad[#All],5,0),"")</f>
        <v/>
      </c>
      <c r="F2361" t="str">
        <f>+IFERROR(VLOOKUP(Fact_Contabilidad[[#This Row], 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ht="18.75" customHeight="1" x14ac:dyDescent="0.35">
      <c r="A2362" s="103"/>
      <c r="C2362" s="100" t="str">
        <f>IF(OR(Fact_Contabilidad[[#This Row], [Año]]="",Fact_Contabilidad[[#This Row], [Mes]]=""),"",DATE(A2362,MATCH(B2362,{"enero","febrero","marzo","abril","mayo","junio","julio","agosto","septiembre","octubre","noviembre","diciembre"},0)+1,0))</f>
        <v/>
      </c>
      <c r="E2362" t="str">
        <f>+IFERROR(VLOOKUP(Fact_Contabilidad[[#This Row], [Concepto Anterior]],Conceptos_Contabilidad[#All],5,0),"")</f>
        <v/>
      </c>
      <c r="F2362" t="str">
        <f>+IFERROR(VLOOKUP(Fact_Contabilidad[[#This Row], 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ht="18.75" customHeight="1" x14ac:dyDescent="0.35">
      <c r="A2363" s="103"/>
      <c r="C2363" s="100" t="str">
        <f>IF(OR(Fact_Contabilidad[[#This Row], [Año]]="",Fact_Contabilidad[[#This Row], [Mes]]=""),"",DATE(A2363,MATCH(B2363,{"enero","febrero","marzo","abril","mayo","junio","julio","agosto","septiembre","octubre","noviembre","diciembre"},0)+1,0))</f>
        <v/>
      </c>
      <c r="E2363" t="str">
        <f>+IFERROR(VLOOKUP(Fact_Contabilidad[[#This Row], [Concepto Anterior]],Conceptos_Contabilidad[#All],5,0),"")</f>
        <v/>
      </c>
      <c r="F2363" t="str">
        <f>+IFERROR(VLOOKUP(Fact_Contabilidad[[#This Row], 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ht="18.75" customHeight="1" x14ac:dyDescent="0.35">
      <c r="A2364" s="103"/>
      <c r="C2364" s="100" t="str">
        <f>IF(OR(Fact_Contabilidad[[#This Row], [Año]]="",Fact_Contabilidad[[#This Row], [Mes]]=""),"",DATE(A2364,MATCH(B2364,{"enero","febrero","marzo","abril","mayo","junio","julio","agosto","septiembre","octubre","noviembre","diciembre"},0)+1,0))</f>
        <v/>
      </c>
      <c r="E2364" t="str">
        <f>+IFERROR(VLOOKUP(Fact_Contabilidad[[#This Row], [Concepto Anterior]],Conceptos_Contabilidad[#All],5,0),"")</f>
        <v/>
      </c>
      <c r="F2364" t="str">
        <f>+IFERROR(VLOOKUP(Fact_Contabilidad[[#This Row], 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ht="18.75" customHeight="1" x14ac:dyDescent="0.35">
      <c r="A2365" s="103"/>
      <c r="C2365" s="100" t="str">
        <f>IF(OR(Fact_Contabilidad[[#This Row], [Año]]="",Fact_Contabilidad[[#This Row], [Mes]]=""),"",DATE(A2365,MATCH(B2365,{"enero","febrero","marzo","abril","mayo","junio","julio","agosto","septiembre","octubre","noviembre","diciembre"},0)+1,0))</f>
        <v/>
      </c>
      <c r="E2365" t="str">
        <f>+IFERROR(VLOOKUP(Fact_Contabilidad[[#This Row], [Concepto Anterior]],Conceptos_Contabilidad[#All],5,0),"")</f>
        <v/>
      </c>
      <c r="F2365" t="str">
        <f>+IFERROR(VLOOKUP(Fact_Contabilidad[[#This Row], 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ht="18.75" customHeight="1" x14ac:dyDescent="0.35">
      <c r="A2366" s="103"/>
      <c r="C2366" s="100" t="str">
        <f>IF(OR(Fact_Contabilidad[[#This Row], [Año]]="",Fact_Contabilidad[[#This Row], [Mes]]=""),"",DATE(A2366,MATCH(B2366,{"enero","febrero","marzo","abril","mayo","junio","julio","agosto","septiembre","octubre","noviembre","diciembre"},0)+1,0))</f>
        <v/>
      </c>
      <c r="E2366" t="str">
        <f>+IFERROR(VLOOKUP(Fact_Contabilidad[[#This Row], [Concepto Anterior]],Conceptos_Contabilidad[#All],5,0),"")</f>
        <v/>
      </c>
      <c r="F2366" t="str">
        <f>+IFERROR(VLOOKUP(Fact_Contabilidad[[#This Row], 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ht="18.75" customHeight="1" x14ac:dyDescent="0.35">
      <c r="A2367" s="103"/>
      <c r="C2367" s="100" t="str">
        <f>IF(OR(Fact_Contabilidad[[#This Row], [Año]]="",Fact_Contabilidad[[#This Row], [Mes]]=""),"",DATE(A2367,MATCH(B2367,{"enero","febrero","marzo","abril","mayo","junio","julio","agosto","septiembre","octubre","noviembre","diciembre"},0)+1,0))</f>
        <v/>
      </c>
      <c r="E2367" t="str">
        <f>+IFERROR(VLOOKUP(Fact_Contabilidad[[#This Row], [Concepto Anterior]],Conceptos_Contabilidad[#All],5,0),"")</f>
        <v/>
      </c>
      <c r="F2367" t="str">
        <f>+IFERROR(VLOOKUP(Fact_Contabilidad[[#This Row], 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ht="18.75" customHeight="1" x14ac:dyDescent="0.35">
      <c r="A2368" s="103"/>
      <c r="C2368" s="100" t="str">
        <f>IF(OR(Fact_Contabilidad[[#This Row], [Año]]="",Fact_Contabilidad[[#This Row], [Mes]]=""),"",DATE(A2368,MATCH(B2368,{"enero","febrero","marzo","abril","mayo","junio","julio","agosto","septiembre","octubre","noviembre","diciembre"},0)+1,0))</f>
        <v/>
      </c>
      <c r="E2368" t="str">
        <f>+IFERROR(VLOOKUP(Fact_Contabilidad[[#This Row], [Concepto Anterior]],Conceptos_Contabilidad[#All],5,0),"")</f>
        <v/>
      </c>
      <c r="F2368" t="str">
        <f>+IFERROR(VLOOKUP(Fact_Contabilidad[[#This Row], 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ht="18.75" customHeight="1" x14ac:dyDescent="0.35">
      <c r="A2369" s="103"/>
      <c r="C2369" s="100" t="str">
        <f>IF(OR(Fact_Contabilidad[[#This Row], [Año]]="",Fact_Contabilidad[[#This Row], [Mes]]=""),"",DATE(A2369,MATCH(B2369,{"enero","febrero","marzo","abril","mayo","junio","julio","agosto","septiembre","octubre","noviembre","diciembre"},0)+1,0))</f>
        <v/>
      </c>
      <c r="E2369" t="str">
        <f>+IFERROR(VLOOKUP(Fact_Contabilidad[[#This Row], [Concepto Anterior]],Conceptos_Contabilidad[#All],5,0),"")</f>
        <v/>
      </c>
      <c r="F2369" t="str">
        <f>+IFERROR(VLOOKUP(Fact_Contabilidad[[#This Row], 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ht="18.75" customHeight="1" x14ac:dyDescent="0.35">
      <c r="A2370" s="103"/>
      <c r="C2370" s="100" t="str">
        <f>IF(OR(Fact_Contabilidad[[#This Row], [Año]]="",Fact_Contabilidad[[#This Row], [Mes]]=""),"",DATE(A2370,MATCH(B2370,{"enero","febrero","marzo","abril","mayo","junio","julio","agosto","septiembre","octubre","noviembre","diciembre"},0)+1,0))</f>
        <v/>
      </c>
      <c r="E2370" t="str">
        <f>+IFERROR(VLOOKUP(Fact_Contabilidad[[#This Row], [Concepto Anterior]],Conceptos_Contabilidad[#All],5,0),"")</f>
        <v/>
      </c>
      <c r="F2370" t="str">
        <f>+IFERROR(VLOOKUP(Fact_Contabilidad[[#This Row], 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ht="18.75" customHeight="1" x14ac:dyDescent="0.35">
      <c r="A2371" s="103"/>
      <c r="C2371" s="100" t="str">
        <f>IF(OR(Fact_Contabilidad[[#This Row], [Año]]="",Fact_Contabilidad[[#This Row], [Mes]]=""),"",DATE(A2371,MATCH(B2371,{"enero","febrero","marzo","abril","mayo","junio","julio","agosto","septiembre","octubre","noviembre","diciembre"},0)+1,0))</f>
        <v/>
      </c>
      <c r="E2371" t="str">
        <f>+IFERROR(VLOOKUP(Fact_Contabilidad[[#This Row], [Concepto Anterior]],Conceptos_Contabilidad[#All],5,0),"")</f>
        <v/>
      </c>
      <c r="F2371" t="str">
        <f>+IFERROR(VLOOKUP(Fact_Contabilidad[[#This Row], 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ht="18.75" customHeight="1" x14ac:dyDescent="0.35">
      <c r="A2372" s="103"/>
      <c r="C2372" s="100" t="str">
        <f>IF(OR(Fact_Contabilidad[[#This Row], [Año]]="",Fact_Contabilidad[[#This Row], [Mes]]=""),"",DATE(A2372,MATCH(B2372,{"enero","febrero","marzo","abril","mayo","junio","julio","agosto","septiembre","octubre","noviembre","diciembre"},0)+1,0))</f>
        <v/>
      </c>
      <c r="E2372" t="str">
        <f>+IFERROR(VLOOKUP(Fact_Contabilidad[[#This Row], [Concepto Anterior]],Conceptos_Contabilidad[#All],5,0),"")</f>
        <v/>
      </c>
      <c r="F2372" t="str">
        <f>+IFERROR(VLOOKUP(Fact_Contabilidad[[#This Row], 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ht="18.75" customHeight="1" x14ac:dyDescent="0.35">
      <c r="A2373" s="103"/>
      <c r="C2373" s="100" t="str">
        <f>IF(OR(Fact_Contabilidad[[#This Row], [Año]]="",Fact_Contabilidad[[#This Row], [Mes]]=""),"",DATE(A2373,MATCH(B2373,{"enero","febrero","marzo","abril","mayo","junio","julio","agosto","septiembre","octubre","noviembre","diciembre"},0)+1,0))</f>
        <v/>
      </c>
      <c r="E2373" t="str">
        <f>+IFERROR(VLOOKUP(Fact_Contabilidad[[#This Row], [Concepto Anterior]],Conceptos_Contabilidad[#All],5,0),"")</f>
        <v/>
      </c>
      <c r="F2373" t="str">
        <f>+IFERROR(VLOOKUP(Fact_Contabilidad[[#This Row], 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ht="18.75" customHeight="1" x14ac:dyDescent="0.35">
      <c r="A2374" s="103"/>
      <c r="C2374" s="100" t="str">
        <f>IF(OR(Fact_Contabilidad[[#This Row], [Año]]="",Fact_Contabilidad[[#This Row], [Mes]]=""),"",DATE(A2374,MATCH(B2374,{"enero","febrero","marzo","abril","mayo","junio","julio","agosto","septiembre","octubre","noviembre","diciembre"},0)+1,0))</f>
        <v/>
      </c>
      <c r="E2374" t="str">
        <f>+IFERROR(VLOOKUP(Fact_Contabilidad[[#This Row], [Concepto Anterior]],Conceptos_Contabilidad[#All],5,0),"")</f>
        <v/>
      </c>
      <c r="F2374" t="str">
        <f>+IFERROR(VLOOKUP(Fact_Contabilidad[[#This Row], 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ht="18.75" customHeight="1" x14ac:dyDescent="0.35">
      <c r="A2375" s="103"/>
      <c r="C2375" s="100" t="str">
        <f>IF(OR(Fact_Contabilidad[[#This Row], [Año]]="",Fact_Contabilidad[[#This Row], [Mes]]=""),"",DATE(A2375,MATCH(B2375,{"enero","febrero","marzo","abril","mayo","junio","julio","agosto","septiembre","octubre","noviembre","diciembre"},0)+1,0))</f>
        <v/>
      </c>
      <c r="E2375" t="str">
        <f>+IFERROR(VLOOKUP(Fact_Contabilidad[[#This Row], [Concepto Anterior]],Conceptos_Contabilidad[#All],5,0),"")</f>
        <v/>
      </c>
      <c r="F2375" t="str">
        <f>+IFERROR(VLOOKUP(Fact_Contabilidad[[#This Row], 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ht="18.75" customHeight="1" x14ac:dyDescent="0.35">
      <c r="A2376" s="103"/>
      <c r="C2376" s="100" t="str">
        <f>IF(OR(Fact_Contabilidad[[#This Row], [Año]]="",Fact_Contabilidad[[#This Row], [Mes]]=""),"",DATE(A2376,MATCH(B2376,{"enero","febrero","marzo","abril","mayo","junio","julio","agosto","septiembre","octubre","noviembre","diciembre"},0)+1,0))</f>
        <v/>
      </c>
      <c r="E2376" t="str">
        <f>+IFERROR(VLOOKUP(Fact_Contabilidad[[#This Row], [Concepto Anterior]],Conceptos_Contabilidad[#All],5,0),"")</f>
        <v/>
      </c>
      <c r="F2376" t="str">
        <f>+IFERROR(VLOOKUP(Fact_Contabilidad[[#This Row], 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ht="18.75" customHeight="1" x14ac:dyDescent="0.35">
      <c r="A2377" s="103"/>
      <c r="C2377" s="100" t="str">
        <f>IF(OR(Fact_Contabilidad[[#This Row], [Año]]="",Fact_Contabilidad[[#This Row], [Mes]]=""),"",DATE(A2377,MATCH(B2377,{"enero","febrero","marzo","abril","mayo","junio","julio","agosto","septiembre","octubre","noviembre","diciembre"},0)+1,0))</f>
        <v/>
      </c>
      <c r="E2377" t="str">
        <f>+IFERROR(VLOOKUP(Fact_Contabilidad[[#This Row], [Concepto Anterior]],Conceptos_Contabilidad[#All],5,0),"")</f>
        <v/>
      </c>
      <c r="F2377" t="str">
        <f>+IFERROR(VLOOKUP(Fact_Contabilidad[[#This Row], 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ht="18.75" customHeight="1" x14ac:dyDescent="0.35">
      <c r="A2378" s="103"/>
      <c r="C2378" s="100" t="str">
        <f>IF(OR(Fact_Contabilidad[[#This Row], [Año]]="",Fact_Contabilidad[[#This Row], [Mes]]=""),"",DATE(A2378,MATCH(B2378,{"enero","febrero","marzo","abril","mayo","junio","julio","agosto","septiembre","octubre","noviembre","diciembre"},0)+1,0))</f>
        <v/>
      </c>
      <c r="E2378" t="str">
        <f>+IFERROR(VLOOKUP(Fact_Contabilidad[[#This Row], [Concepto Anterior]],Conceptos_Contabilidad[#All],5,0),"")</f>
        <v/>
      </c>
      <c r="F2378" t="str">
        <f>+IFERROR(VLOOKUP(Fact_Contabilidad[[#This Row], 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ht="18.75" customHeight="1" x14ac:dyDescent="0.35">
      <c r="A2379" s="103"/>
      <c r="C2379" s="100" t="str">
        <f>IF(OR(Fact_Contabilidad[[#This Row], [Año]]="",Fact_Contabilidad[[#This Row], [Mes]]=""),"",DATE(A2379,MATCH(B2379,{"enero","febrero","marzo","abril","mayo","junio","julio","agosto","septiembre","octubre","noviembre","diciembre"},0)+1,0))</f>
        <v/>
      </c>
      <c r="E2379" t="str">
        <f>+IFERROR(VLOOKUP(Fact_Contabilidad[[#This Row], [Concepto Anterior]],Conceptos_Contabilidad[#All],5,0),"")</f>
        <v/>
      </c>
      <c r="F2379" t="str">
        <f>+IFERROR(VLOOKUP(Fact_Contabilidad[[#This Row], 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ht="18.75" customHeight="1" x14ac:dyDescent="0.35">
      <c r="A2380" s="103"/>
      <c r="C2380" s="100" t="str">
        <f>IF(OR(Fact_Contabilidad[[#This Row], [Año]]="",Fact_Contabilidad[[#This Row], [Mes]]=""),"",DATE(A2380,MATCH(B2380,{"enero","febrero","marzo","abril","mayo","junio","julio","agosto","septiembre","octubre","noviembre","diciembre"},0)+1,0))</f>
        <v/>
      </c>
      <c r="E2380" t="str">
        <f>+IFERROR(VLOOKUP(Fact_Contabilidad[[#This Row], [Concepto Anterior]],Conceptos_Contabilidad[#All],5,0),"")</f>
        <v/>
      </c>
      <c r="F2380" t="str">
        <f>+IFERROR(VLOOKUP(Fact_Contabilidad[[#This Row], 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ht="18.75" customHeight="1" x14ac:dyDescent="0.35">
      <c r="A2381" s="103"/>
      <c r="C2381" s="100" t="str">
        <f>IF(OR(Fact_Contabilidad[[#This Row], [Año]]="",Fact_Contabilidad[[#This Row], [Mes]]=""),"",DATE(A2381,MATCH(B2381,{"enero","febrero","marzo","abril","mayo","junio","julio","agosto","septiembre","octubre","noviembre","diciembre"},0)+1,0))</f>
        <v/>
      </c>
      <c r="E2381" t="str">
        <f>+IFERROR(VLOOKUP(Fact_Contabilidad[[#This Row], [Concepto Anterior]],Conceptos_Contabilidad[#All],5,0),"")</f>
        <v/>
      </c>
      <c r="F2381" t="str">
        <f>+IFERROR(VLOOKUP(Fact_Contabilidad[[#This Row], 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ht="18.75" customHeight="1" x14ac:dyDescent="0.35">
      <c r="A2382" s="103"/>
      <c r="C2382" s="100" t="str">
        <f>IF(OR(Fact_Contabilidad[[#This Row], [Año]]="",Fact_Contabilidad[[#This Row], [Mes]]=""),"",DATE(A2382,MATCH(B2382,{"enero","febrero","marzo","abril","mayo","junio","julio","agosto","septiembre","octubre","noviembre","diciembre"},0)+1,0))</f>
        <v/>
      </c>
      <c r="E2382" t="str">
        <f>+IFERROR(VLOOKUP(Fact_Contabilidad[[#This Row], [Concepto Anterior]],Conceptos_Contabilidad[#All],5,0),"")</f>
        <v/>
      </c>
      <c r="F2382" t="str">
        <f>+IFERROR(VLOOKUP(Fact_Contabilidad[[#This Row], 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ht="18.75" customHeight="1" x14ac:dyDescent="0.35">
      <c r="A2383" s="103"/>
      <c r="C2383" s="100" t="str">
        <f>IF(OR(Fact_Contabilidad[[#This Row], [Año]]="",Fact_Contabilidad[[#This Row], [Mes]]=""),"",DATE(A2383,MATCH(B2383,{"enero","febrero","marzo","abril","mayo","junio","julio","agosto","septiembre","octubre","noviembre","diciembre"},0)+1,0))</f>
        <v/>
      </c>
      <c r="E2383" t="str">
        <f>+IFERROR(VLOOKUP(Fact_Contabilidad[[#This Row], [Concepto Anterior]],Conceptos_Contabilidad[#All],5,0),"")</f>
        <v/>
      </c>
      <c r="F2383" t="str">
        <f>+IFERROR(VLOOKUP(Fact_Contabilidad[[#This Row], 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ht="18.75" customHeight="1" x14ac:dyDescent="0.35">
      <c r="A2384" s="103"/>
      <c r="C2384" s="100" t="str">
        <f>IF(OR(Fact_Contabilidad[[#This Row], [Año]]="",Fact_Contabilidad[[#This Row], [Mes]]=""),"",DATE(A2384,MATCH(B2384,{"enero","febrero","marzo","abril","mayo","junio","julio","agosto","septiembre","octubre","noviembre","diciembre"},0)+1,0))</f>
        <v/>
      </c>
      <c r="E2384" t="str">
        <f>+IFERROR(VLOOKUP(Fact_Contabilidad[[#This Row], [Concepto Anterior]],Conceptos_Contabilidad[#All],5,0),"")</f>
        <v/>
      </c>
      <c r="F2384" t="str">
        <f>+IFERROR(VLOOKUP(Fact_Contabilidad[[#This Row], 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ht="18.75" customHeight="1" x14ac:dyDescent="0.35">
      <c r="A2385" s="103"/>
      <c r="C2385" s="100" t="str">
        <f>IF(OR(Fact_Contabilidad[[#This Row], [Año]]="",Fact_Contabilidad[[#This Row], [Mes]]=""),"",DATE(A2385,MATCH(B2385,{"enero","febrero","marzo","abril","mayo","junio","julio","agosto","septiembre","octubre","noviembre","diciembre"},0)+1,0))</f>
        <v/>
      </c>
      <c r="E2385" t="str">
        <f>+IFERROR(VLOOKUP(Fact_Contabilidad[[#This Row], [Concepto Anterior]],Conceptos_Contabilidad[#All],5,0),"")</f>
        <v/>
      </c>
      <c r="F2385" t="str">
        <f>+IFERROR(VLOOKUP(Fact_Contabilidad[[#This Row], 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ht="18.75" customHeight="1" x14ac:dyDescent="0.35">
      <c r="A2386" s="103"/>
      <c r="C2386" s="100" t="str">
        <f>IF(OR(Fact_Contabilidad[[#This Row], [Año]]="",Fact_Contabilidad[[#This Row], [Mes]]=""),"",DATE(A2386,MATCH(B2386,{"enero","febrero","marzo","abril","mayo","junio","julio","agosto","septiembre","octubre","noviembre","diciembre"},0)+1,0))</f>
        <v/>
      </c>
      <c r="E2386" t="str">
        <f>+IFERROR(VLOOKUP(Fact_Contabilidad[[#This Row], [Concepto Anterior]],Conceptos_Contabilidad[#All],5,0),"")</f>
        <v/>
      </c>
      <c r="F2386" t="str">
        <f>+IFERROR(VLOOKUP(Fact_Contabilidad[[#This Row], 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ht="18.75" customHeight="1" x14ac:dyDescent="0.35">
      <c r="A2387" s="103"/>
      <c r="C2387" s="100" t="str">
        <f>IF(OR(Fact_Contabilidad[[#This Row], [Año]]="",Fact_Contabilidad[[#This Row], [Mes]]=""),"",DATE(A2387,MATCH(B2387,{"enero","febrero","marzo","abril","mayo","junio","julio","agosto","septiembre","octubre","noviembre","diciembre"},0)+1,0))</f>
        <v/>
      </c>
      <c r="E2387" t="str">
        <f>+IFERROR(VLOOKUP(Fact_Contabilidad[[#This Row], [Concepto Anterior]],Conceptos_Contabilidad[#All],5,0),"")</f>
        <v/>
      </c>
      <c r="F2387" t="str">
        <f>+IFERROR(VLOOKUP(Fact_Contabilidad[[#This Row], 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ht="18.75" customHeight="1" x14ac:dyDescent="0.35">
      <c r="A2388" s="103"/>
      <c r="C2388" s="100" t="str">
        <f>IF(OR(Fact_Contabilidad[[#This Row], [Año]]="",Fact_Contabilidad[[#This Row], [Mes]]=""),"",DATE(A2388,MATCH(B2388,{"enero","febrero","marzo","abril","mayo","junio","julio","agosto","septiembre","octubre","noviembre","diciembre"},0)+1,0))</f>
        <v/>
      </c>
      <c r="E2388" t="str">
        <f>+IFERROR(VLOOKUP(Fact_Contabilidad[[#This Row], [Concepto Anterior]],Conceptos_Contabilidad[#All],5,0),"")</f>
        <v/>
      </c>
      <c r="F2388" t="str">
        <f>+IFERROR(VLOOKUP(Fact_Contabilidad[[#This Row], 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ht="18.75" customHeight="1" x14ac:dyDescent="0.35">
      <c r="A2389" s="103"/>
      <c r="C2389" s="100" t="str">
        <f>IF(OR(Fact_Contabilidad[[#This Row], [Año]]="",Fact_Contabilidad[[#This Row], [Mes]]=""),"",DATE(A2389,MATCH(B2389,{"enero","febrero","marzo","abril","mayo","junio","julio","agosto","septiembre","octubre","noviembre","diciembre"},0)+1,0))</f>
        <v/>
      </c>
      <c r="E2389" t="str">
        <f>+IFERROR(VLOOKUP(Fact_Contabilidad[[#This Row], [Concepto Anterior]],Conceptos_Contabilidad[#All],5,0),"")</f>
        <v/>
      </c>
      <c r="F2389" t="str">
        <f>+IFERROR(VLOOKUP(Fact_Contabilidad[[#This Row], 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ht="18.75" customHeight="1" x14ac:dyDescent="0.35">
      <c r="A2390" s="103"/>
      <c r="C2390" s="100" t="str">
        <f>IF(OR(Fact_Contabilidad[[#This Row], [Año]]="",Fact_Contabilidad[[#This Row], [Mes]]=""),"",DATE(A2390,MATCH(B2390,{"enero","febrero","marzo","abril","mayo","junio","julio","agosto","septiembre","octubre","noviembre","diciembre"},0)+1,0))</f>
        <v/>
      </c>
      <c r="E2390" t="str">
        <f>+IFERROR(VLOOKUP(Fact_Contabilidad[[#This Row], [Concepto Anterior]],Conceptos_Contabilidad[#All],5,0),"")</f>
        <v/>
      </c>
      <c r="F2390" t="str">
        <f>+IFERROR(VLOOKUP(Fact_Contabilidad[[#This Row], 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ht="18.75" customHeight="1" x14ac:dyDescent="0.35">
      <c r="A2391" s="103"/>
      <c r="C2391" s="100" t="str">
        <f>IF(OR(Fact_Contabilidad[[#This Row], [Año]]="",Fact_Contabilidad[[#This Row], [Mes]]=""),"",DATE(A2391,MATCH(B2391,{"enero","febrero","marzo","abril","mayo","junio","julio","agosto","septiembre","octubre","noviembre","diciembre"},0)+1,0))</f>
        <v/>
      </c>
      <c r="E2391" t="str">
        <f>+IFERROR(VLOOKUP(Fact_Contabilidad[[#This Row], [Concepto Anterior]],Conceptos_Contabilidad[#All],5,0),"")</f>
        <v/>
      </c>
      <c r="F2391" t="str">
        <f>+IFERROR(VLOOKUP(Fact_Contabilidad[[#This Row], 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ht="18.75" customHeight="1" x14ac:dyDescent="0.35">
      <c r="A2392" s="103"/>
      <c r="C2392" s="100" t="str">
        <f>IF(OR(Fact_Contabilidad[[#This Row], [Año]]="",Fact_Contabilidad[[#This Row], [Mes]]=""),"",DATE(A2392,MATCH(B2392,{"enero","febrero","marzo","abril","mayo","junio","julio","agosto","septiembre","octubre","noviembre","diciembre"},0)+1,0))</f>
        <v/>
      </c>
      <c r="E2392" t="str">
        <f>+IFERROR(VLOOKUP(Fact_Contabilidad[[#This Row], [Concepto Anterior]],Conceptos_Contabilidad[#All],5,0),"")</f>
        <v/>
      </c>
      <c r="F2392" t="str">
        <f>+IFERROR(VLOOKUP(Fact_Contabilidad[[#This Row], 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ht="18.75" customHeight="1" x14ac:dyDescent="0.35">
      <c r="A2393" s="103"/>
      <c r="C2393" s="100" t="str">
        <f>IF(OR(Fact_Contabilidad[[#This Row], [Año]]="",Fact_Contabilidad[[#This Row], [Mes]]=""),"",DATE(A2393,MATCH(B2393,{"enero","febrero","marzo","abril","mayo","junio","julio","agosto","septiembre","octubre","noviembre","diciembre"},0)+1,0))</f>
        <v/>
      </c>
      <c r="E2393" t="str">
        <f>+IFERROR(VLOOKUP(Fact_Contabilidad[[#This Row], [Concepto Anterior]],Conceptos_Contabilidad[#All],5,0),"")</f>
        <v/>
      </c>
      <c r="F2393" t="str">
        <f>+IFERROR(VLOOKUP(Fact_Contabilidad[[#This Row], 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ht="18.75" customHeight="1" x14ac:dyDescent="0.35">
      <c r="A2394" s="103"/>
      <c r="C2394" s="100" t="str">
        <f>IF(OR(Fact_Contabilidad[[#This Row], [Año]]="",Fact_Contabilidad[[#This Row], [Mes]]=""),"",DATE(A2394,MATCH(B2394,{"enero","febrero","marzo","abril","mayo","junio","julio","agosto","septiembre","octubre","noviembre","diciembre"},0)+1,0))</f>
        <v/>
      </c>
      <c r="E2394" t="str">
        <f>+IFERROR(VLOOKUP(Fact_Contabilidad[[#This Row], [Concepto Anterior]],Conceptos_Contabilidad[#All],5,0),"")</f>
        <v/>
      </c>
      <c r="F2394" t="str">
        <f>+IFERROR(VLOOKUP(Fact_Contabilidad[[#This Row], 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ht="18.75" customHeight="1" x14ac:dyDescent="0.35">
      <c r="A2395" s="103"/>
      <c r="C2395" s="100" t="str">
        <f>IF(OR(Fact_Contabilidad[[#This Row], [Año]]="",Fact_Contabilidad[[#This Row], [Mes]]=""),"",DATE(A2395,MATCH(B2395,{"enero","febrero","marzo","abril","mayo","junio","julio","agosto","septiembre","octubre","noviembre","diciembre"},0)+1,0))</f>
        <v/>
      </c>
      <c r="E2395" t="str">
        <f>+IFERROR(VLOOKUP(Fact_Contabilidad[[#This Row], [Concepto Anterior]],Conceptos_Contabilidad[#All],5,0),"")</f>
        <v/>
      </c>
      <c r="F2395" t="str">
        <f>+IFERROR(VLOOKUP(Fact_Contabilidad[[#This Row], 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ht="18.75" customHeight="1" x14ac:dyDescent="0.35">
      <c r="A2396" s="103"/>
      <c r="C2396" s="100" t="str">
        <f>IF(OR(Fact_Contabilidad[[#This Row], [Año]]="",Fact_Contabilidad[[#This Row], [Mes]]=""),"",DATE(A2396,MATCH(B2396,{"enero","febrero","marzo","abril","mayo","junio","julio","agosto","septiembre","octubre","noviembre","diciembre"},0)+1,0))</f>
        <v/>
      </c>
      <c r="E2396" t="str">
        <f>+IFERROR(VLOOKUP(Fact_Contabilidad[[#This Row], [Concepto Anterior]],Conceptos_Contabilidad[#All],5,0),"")</f>
        <v/>
      </c>
      <c r="F2396" t="str">
        <f>+IFERROR(VLOOKUP(Fact_Contabilidad[[#This Row], 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ht="18.75" customHeight="1" x14ac:dyDescent="0.35">
      <c r="A2397" s="103"/>
      <c r="C2397" s="100" t="str">
        <f>IF(OR(Fact_Contabilidad[[#This Row], [Año]]="",Fact_Contabilidad[[#This Row], [Mes]]=""),"",DATE(A2397,MATCH(B2397,{"enero","febrero","marzo","abril","mayo","junio","julio","agosto","septiembre","octubre","noviembre","diciembre"},0)+1,0))</f>
        <v/>
      </c>
      <c r="E2397" t="str">
        <f>+IFERROR(VLOOKUP(Fact_Contabilidad[[#This Row], [Concepto Anterior]],Conceptos_Contabilidad[#All],5,0),"")</f>
        <v/>
      </c>
      <c r="F2397" t="str">
        <f>+IFERROR(VLOOKUP(Fact_Contabilidad[[#This Row], 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ht="18.75" customHeight="1" x14ac:dyDescent="0.35">
      <c r="A2398" s="103"/>
      <c r="C2398" s="100" t="str">
        <f>IF(OR(Fact_Contabilidad[[#This Row], [Año]]="",Fact_Contabilidad[[#This Row], [Mes]]=""),"",DATE(A2398,MATCH(B2398,{"enero","febrero","marzo","abril","mayo","junio","julio","agosto","septiembre","octubre","noviembre","diciembre"},0)+1,0))</f>
        <v/>
      </c>
      <c r="E2398" t="str">
        <f>+IFERROR(VLOOKUP(Fact_Contabilidad[[#This Row], [Concepto Anterior]],Conceptos_Contabilidad[#All],5,0),"")</f>
        <v/>
      </c>
      <c r="F2398" t="str">
        <f>+IFERROR(VLOOKUP(Fact_Contabilidad[[#This Row], 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ht="18.75" customHeight="1" x14ac:dyDescent="0.35">
      <c r="A2399" s="103"/>
      <c r="C2399" s="100" t="str">
        <f>IF(OR(Fact_Contabilidad[[#This Row], [Año]]="",Fact_Contabilidad[[#This Row], [Mes]]=""),"",DATE(A2399,MATCH(B2399,{"enero","febrero","marzo","abril","mayo","junio","julio","agosto","septiembre","octubre","noviembre","diciembre"},0)+1,0))</f>
        <v/>
      </c>
      <c r="E2399" t="str">
        <f>+IFERROR(VLOOKUP(Fact_Contabilidad[[#This Row], [Concepto Anterior]],Conceptos_Contabilidad[#All],5,0),"")</f>
        <v/>
      </c>
      <c r="F2399" t="str">
        <f>+IFERROR(VLOOKUP(Fact_Contabilidad[[#This Row], 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ht="18.75" customHeight="1" x14ac:dyDescent="0.35">
      <c r="A2400" s="103"/>
      <c r="C2400" s="100" t="str">
        <f>IF(OR(Fact_Contabilidad[[#This Row], [Año]]="",Fact_Contabilidad[[#This Row], [Mes]]=""),"",DATE(A2400,MATCH(B2400,{"enero","febrero","marzo","abril","mayo","junio","julio","agosto","septiembre","octubre","noviembre","diciembre"},0)+1,0))</f>
        <v/>
      </c>
      <c r="E2400" t="str">
        <f>+IFERROR(VLOOKUP(Fact_Contabilidad[[#This Row], [Concepto Anterior]],Conceptos_Contabilidad[#All],5,0),"")</f>
        <v/>
      </c>
      <c r="F2400" t="str">
        <f>+IFERROR(VLOOKUP(Fact_Contabilidad[[#This Row], 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ht="18.75" customHeight="1" x14ac:dyDescent="0.35">
      <c r="A2401" s="103"/>
      <c r="C2401" s="100" t="str">
        <f>IF(OR(Fact_Contabilidad[[#This Row], [Año]]="",Fact_Contabilidad[[#This Row], [Mes]]=""),"",DATE(A2401,MATCH(B2401,{"enero","febrero","marzo","abril","mayo","junio","julio","agosto","septiembre","octubre","noviembre","diciembre"},0)+1,0))</f>
        <v/>
      </c>
      <c r="E2401" t="str">
        <f>+IFERROR(VLOOKUP(Fact_Contabilidad[[#This Row], [Concepto Anterior]],Conceptos_Contabilidad[#All],5,0),"")</f>
        <v/>
      </c>
      <c r="F2401" t="str">
        <f>+IFERROR(VLOOKUP(Fact_Contabilidad[[#This Row], 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ht="18.75" customHeight="1" x14ac:dyDescent="0.35">
      <c r="A2402" s="103"/>
      <c r="C2402" s="100" t="str">
        <f>IF(OR(Fact_Contabilidad[[#This Row], [Año]]="",Fact_Contabilidad[[#This Row], [Mes]]=""),"",DATE(A2402,MATCH(B2402,{"enero","febrero","marzo","abril","mayo","junio","julio","agosto","septiembre","octubre","noviembre","diciembre"},0)+1,0))</f>
        <v/>
      </c>
      <c r="E2402" t="str">
        <f>+IFERROR(VLOOKUP(Fact_Contabilidad[[#This Row], [Concepto Anterior]],Conceptos_Contabilidad[#All],5,0),"")</f>
        <v/>
      </c>
      <c r="F2402" t="str">
        <f>+IFERROR(VLOOKUP(Fact_Contabilidad[[#This Row], 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ht="18.75" customHeight="1" x14ac:dyDescent="0.35">
      <c r="A2403" s="103"/>
      <c r="C2403" s="100" t="str">
        <f>IF(OR(Fact_Contabilidad[[#This Row], [Año]]="",Fact_Contabilidad[[#This Row], [Mes]]=""),"",DATE(A2403,MATCH(B2403,{"enero","febrero","marzo","abril","mayo","junio","julio","agosto","septiembre","octubre","noviembre","diciembre"},0)+1,0))</f>
        <v/>
      </c>
      <c r="E2403" t="str">
        <f>+IFERROR(VLOOKUP(Fact_Contabilidad[[#This Row], [Concepto Anterior]],Conceptos_Contabilidad[#All],5,0),"")</f>
        <v/>
      </c>
      <c r="F2403" t="str">
        <f>+IFERROR(VLOOKUP(Fact_Contabilidad[[#This Row], 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ht="18.75" customHeight="1" x14ac:dyDescent="0.35">
      <c r="A2404" s="103"/>
      <c r="C2404" s="100" t="str">
        <f>IF(OR(Fact_Contabilidad[[#This Row], [Año]]="",Fact_Contabilidad[[#This Row], [Mes]]=""),"",DATE(A2404,MATCH(B2404,{"enero","febrero","marzo","abril","mayo","junio","julio","agosto","septiembre","octubre","noviembre","diciembre"},0)+1,0))</f>
        <v/>
      </c>
      <c r="E2404" t="str">
        <f>+IFERROR(VLOOKUP(Fact_Contabilidad[[#This Row], [Concepto Anterior]],Conceptos_Contabilidad[#All],5,0),"")</f>
        <v/>
      </c>
      <c r="F2404" t="str">
        <f>+IFERROR(VLOOKUP(Fact_Contabilidad[[#This Row], 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ht="18.75" customHeight="1" x14ac:dyDescent="0.35">
      <c r="A2405" s="103"/>
      <c r="C2405" s="100" t="str">
        <f>IF(OR(Fact_Contabilidad[[#This Row], [Año]]="",Fact_Contabilidad[[#This Row], [Mes]]=""),"",DATE(A2405,MATCH(B2405,{"enero","febrero","marzo","abril","mayo","junio","julio","agosto","septiembre","octubre","noviembre","diciembre"},0)+1,0))</f>
        <v/>
      </c>
      <c r="E2405" t="str">
        <f>+IFERROR(VLOOKUP(Fact_Contabilidad[[#This Row], [Concepto Anterior]],Conceptos_Contabilidad[#All],5,0),"")</f>
        <v/>
      </c>
      <c r="F2405" t="str">
        <f>+IFERROR(VLOOKUP(Fact_Contabilidad[[#This Row], 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ht="18.75" customHeight="1" x14ac:dyDescent="0.35">
      <c r="A2406" s="103"/>
      <c r="C2406" s="100" t="str">
        <f>IF(OR(Fact_Contabilidad[[#This Row], [Año]]="",Fact_Contabilidad[[#This Row], [Mes]]=""),"",DATE(A2406,MATCH(B2406,{"enero","febrero","marzo","abril","mayo","junio","julio","agosto","septiembre","octubre","noviembre","diciembre"},0)+1,0))</f>
        <v/>
      </c>
      <c r="E2406" t="str">
        <f>+IFERROR(VLOOKUP(Fact_Contabilidad[[#This Row], [Concepto Anterior]],Conceptos_Contabilidad[#All],5,0),"")</f>
        <v/>
      </c>
      <c r="F2406" t="str">
        <f>+IFERROR(VLOOKUP(Fact_Contabilidad[[#This Row], 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ht="18.75" customHeight="1" x14ac:dyDescent="0.35">
      <c r="A2407" s="103"/>
      <c r="C2407" s="100" t="str">
        <f>IF(OR(Fact_Contabilidad[[#This Row], [Año]]="",Fact_Contabilidad[[#This Row], [Mes]]=""),"",DATE(A2407,MATCH(B2407,{"enero","febrero","marzo","abril","mayo","junio","julio","agosto","septiembre","octubre","noviembre","diciembre"},0)+1,0))</f>
        <v/>
      </c>
      <c r="E2407" t="str">
        <f>+IFERROR(VLOOKUP(Fact_Contabilidad[[#This Row], [Concepto Anterior]],Conceptos_Contabilidad[#All],5,0),"")</f>
        <v/>
      </c>
      <c r="F2407" t="str">
        <f>+IFERROR(VLOOKUP(Fact_Contabilidad[[#This Row], 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ht="18.75" customHeight="1" x14ac:dyDescent="0.35">
      <c r="A2408" s="103"/>
      <c r="C2408" s="100" t="str">
        <f>IF(OR(Fact_Contabilidad[[#This Row], [Año]]="",Fact_Contabilidad[[#This Row], [Mes]]=""),"",DATE(A2408,MATCH(B2408,{"enero","febrero","marzo","abril","mayo","junio","julio","agosto","septiembre","octubre","noviembre","diciembre"},0)+1,0))</f>
        <v/>
      </c>
      <c r="E2408" t="str">
        <f>+IFERROR(VLOOKUP(Fact_Contabilidad[[#This Row], [Concepto Anterior]],Conceptos_Contabilidad[#All],5,0),"")</f>
        <v/>
      </c>
      <c r="F2408" t="str">
        <f>+IFERROR(VLOOKUP(Fact_Contabilidad[[#This Row], 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ht="18.75" customHeight="1" x14ac:dyDescent="0.35">
      <c r="A2409" s="103"/>
      <c r="C2409" s="100" t="str">
        <f>IF(OR(Fact_Contabilidad[[#This Row], [Año]]="",Fact_Contabilidad[[#This Row], [Mes]]=""),"",DATE(A2409,MATCH(B2409,{"enero","febrero","marzo","abril","mayo","junio","julio","agosto","septiembre","octubre","noviembre","diciembre"},0)+1,0))</f>
        <v/>
      </c>
      <c r="E2409" t="str">
        <f>+IFERROR(VLOOKUP(Fact_Contabilidad[[#This Row], [Concepto Anterior]],Conceptos_Contabilidad[#All],5,0),"")</f>
        <v/>
      </c>
      <c r="F2409" t="str">
        <f>+IFERROR(VLOOKUP(Fact_Contabilidad[[#This Row], 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ht="18.75" customHeight="1" x14ac:dyDescent="0.35">
      <c r="A2410" s="103"/>
      <c r="C2410" s="100" t="str">
        <f>IF(OR(Fact_Contabilidad[[#This Row], [Año]]="",Fact_Contabilidad[[#This Row], [Mes]]=""),"",DATE(A2410,MATCH(B2410,{"enero","febrero","marzo","abril","mayo","junio","julio","agosto","septiembre","octubre","noviembre","diciembre"},0)+1,0))</f>
        <v/>
      </c>
      <c r="E2410" t="str">
        <f>+IFERROR(VLOOKUP(Fact_Contabilidad[[#This Row], [Concepto Anterior]],Conceptos_Contabilidad[#All],5,0),"")</f>
        <v/>
      </c>
      <c r="F2410" t="str">
        <f>+IFERROR(VLOOKUP(Fact_Contabilidad[[#This Row], 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ht="18.75" customHeight="1" x14ac:dyDescent="0.35">
      <c r="A2411" s="103"/>
      <c r="C2411" s="100" t="str">
        <f>IF(OR(Fact_Contabilidad[[#This Row], [Año]]="",Fact_Contabilidad[[#This Row], [Mes]]=""),"",DATE(A2411,MATCH(B2411,{"enero","febrero","marzo","abril","mayo","junio","julio","agosto","septiembre","octubre","noviembre","diciembre"},0)+1,0))</f>
        <v/>
      </c>
      <c r="E2411" t="str">
        <f>+IFERROR(VLOOKUP(Fact_Contabilidad[[#This Row], [Concepto Anterior]],Conceptos_Contabilidad[#All],5,0),"")</f>
        <v/>
      </c>
      <c r="F2411" t="str">
        <f>+IFERROR(VLOOKUP(Fact_Contabilidad[[#This Row], 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ht="18.75" customHeight="1" x14ac:dyDescent="0.35">
      <c r="A2412" s="103"/>
      <c r="C2412" s="100" t="str">
        <f>IF(OR(Fact_Contabilidad[[#This Row], [Año]]="",Fact_Contabilidad[[#This Row], [Mes]]=""),"",DATE(A2412,MATCH(B2412,{"enero","febrero","marzo","abril","mayo","junio","julio","agosto","septiembre","octubre","noviembre","diciembre"},0)+1,0))</f>
        <v/>
      </c>
      <c r="E2412" t="str">
        <f>+IFERROR(VLOOKUP(Fact_Contabilidad[[#This Row], [Concepto Anterior]],Conceptos_Contabilidad[#All],5,0),"")</f>
        <v/>
      </c>
      <c r="F2412" t="str">
        <f>+IFERROR(VLOOKUP(Fact_Contabilidad[[#This Row], 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ht="18.75" customHeight="1" x14ac:dyDescent="0.35">
      <c r="A2413" s="103"/>
      <c r="C2413" s="100" t="str">
        <f>IF(OR(Fact_Contabilidad[[#This Row], [Año]]="",Fact_Contabilidad[[#This Row], [Mes]]=""),"",DATE(A2413,MATCH(B2413,{"enero","febrero","marzo","abril","mayo","junio","julio","agosto","septiembre","octubre","noviembre","diciembre"},0)+1,0))</f>
        <v/>
      </c>
      <c r="E2413" t="str">
        <f>+IFERROR(VLOOKUP(Fact_Contabilidad[[#This Row], [Concepto Anterior]],Conceptos_Contabilidad[#All],5,0),"")</f>
        <v/>
      </c>
      <c r="F2413" t="str">
        <f>+IFERROR(VLOOKUP(Fact_Contabilidad[[#This Row], 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ht="18.75" customHeight="1" x14ac:dyDescent="0.35">
      <c r="A2414" s="103"/>
      <c r="C2414" s="100" t="str">
        <f>IF(OR(Fact_Contabilidad[[#This Row], [Año]]="",Fact_Contabilidad[[#This Row], [Mes]]=""),"",DATE(A2414,MATCH(B2414,{"enero","febrero","marzo","abril","mayo","junio","julio","agosto","septiembre","octubre","noviembre","diciembre"},0)+1,0))</f>
        <v/>
      </c>
      <c r="E2414" t="str">
        <f>+IFERROR(VLOOKUP(Fact_Contabilidad[[#This Row], [Concepto Anterior]],Conceptos_Contabilidad[#All],5,0),"")</f>
        <v/>
      </c>
      <c r="F2414" t="str">
        <f>+IFERROR(VLOOKUP(Fact_Contabilidad[[#This Row], 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ht="18.75" customHeight="1" x14ac:dyDescent="0.35">
      <c r="A2415" s="103"/>
      <c r="C2415" s="100" t="str">
        <f>IF(OR(Fact_Contabilidad[[#This Row], [Año]]="",Fact_Contabilidad[[#This Row], [Mes]]=""),"",DATE(A2415,MATCH(B2415,{"enero","febrero","marzo","abril","mayo","junio","julio","agosto","septiembre","octubre","noviembre","diciembre"},0)+1,0))</f>
        <v/>
      </c>
      <c r="E2415" t="str">
        <f>+IFERROR(VLOOKUP(Fact_Contabilidad[[#This Row], [Concepto Anterior]],Conceptos_Contabilidad[#All],5,0),"")</f>
        <v/>
      </c>
      <c r="F2415" t="str">
        <f>+IFERROR(VLOOKUP(Fact_Contabilidad[[#This Row], 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ht="18.75" customHeight="1" x14ac:dyDescent="0.35">
      <c r="A2416" s="103"/>
      <c r="C2416" s="100" t="str">
        <f>IF(OR(Fact_Contabilidad[[#This Row], [Año]]="",Fact_Contabilidad[[#This Row], [Mes]]=""),"",DATE(A2416,MATCH(B2416,{"enero","febrero","marzo","abril","mayo","junio","julio","agosto","septiembre","octubre","noviembre","diciembre"},0)+1,0))</f>
        <v/>
      </c>
      <c r="E2416" t="str">
        <f>+IFERROR(VLOOKUP(Fact_Contabilidad[[#This Row], [Concepto Anterior]],Conceptos_Contabilidad[#All],5,0),"")</f>
        <v/>
      </c>
      <c r="F2416" t="str">
        <f>+IFERROR(VLOOKUP(Fact_Contabilidad[[#This Row], 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ht="18.75" customHeight="1" x14ac:dyDescent="0.35">
      <c r="A2417" s="103"/>
      <c r="C2417" s="100" t="str">
        <f>IF(OR(Fact_Contabilidad[[#This Row], [Año]]="",Fact_Contabilidad[[#This Row], [Mes]]=""),"",DATE(A2417,MATCH(B2417,{"enero","febrero","marzo","abril","mayo","junio","julio","agosto","septiembre","octubre","noviembre","diciembre"},0)+1,0))</f>
        <v/>
      </c>
      <c r="E2417" t="str">
        <f>+IFERROR(VLOOKUP(Fact_Contabilidad[[#This Row], [Concepto Anterior]],Conceptos_Contabilidad[#All],5,0),"")</f>
        <v/>
      </c>
      <c r="F2417" t="str">
        <f>+IFERROR(VLOOKUP(Fact_Contabilidad[[#This Row], 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ht="18.75" customHeight="1" x14ac:dyDescent="0.35">
      <c r="A2418" s="103"/>
      <c r="C2418" s="100" t="str">
        <f>IF(OR(Fact_Contabilidad[[#This Row], [Año]]="",Fact_Contabilidad[[#This Row], [Mes]]=""),"",DATE(A2418,MATCH(B2418,{"enero","febrero","marzo","abril","mayo","junio","julio","agosto","septiembre","octubre","noviembre","diciembre"},0)+1,0))</f>
        <v/>
      </c>
      <c r="E2418" t="str">
        <f>+IFERROR(VLOOKUP(Fact_Contabilidad[[#This Row], [Concepto Anterior]],Conceptos_Contabilidad[#All],5,0),"")</f>
        <v/>
      </c>
      <c r="F2418" t="str">
        <f>+IFERROR(VLOOKUP(Fact_Contabilidad[[#This Row], 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ht="18.75" customHeight="1" x14ac:dyDescent="0.35">
      <c r="A2419" s="103"/>
      <c r="C2419" s="100" t="str">
        <f>IF(OR(Fact_Contabilidad[[#This Row], [Año]]="",Fact_Contabilidad[[#This Row], [Mes]]=""),"",DATE(A2419,MATCH(B2419,{"enero","febrero","marzo","abril","mayo","junio","julio","agosto","septiembre","octubre","noviembre","diciembre"},0)+1,0))</f>
        <v/>
      </c>
      <c r="E2419" t="str">
        <f>+IFERROR(VLOOKUP(Fact_Contabilidad[[#This Row], [Concepto Anterior]],Conceptos_Contabilidad[#All],5,0),"")</f>
        <v/>
      </c>
      <c r="F2419" t="str">
        <f>+IFERROR(VLOOKUP(Fact_Contabilidad[[#This Row], 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ht="18.75" customHeight="1" x14ac:dyDescent="0.35">
      <c r="A2420" s="103"/>
      <c r="C2420" s="100" t="str">
        <f>IF(OR(Fact_Contabilidad[[#This Row], [Año]]="",Fact_Contabilidad[[#This Row], [Mes]]=""),"",DATE(A2420,MATCH(B2420,{"enero","febrero","marzo","abril","mayo","junio","julio","agosto","septiembre","octubre","noviembre","diciembre"},0)+1,0))</f>
        <v/>
      </c>
      <c r="E2420" t="str">
        <f>+IFERROR(VLOOKUP(Fact_Contabilidad[[#This Row], [Concepto Anterior]],Conceptos_Contabilidad[#All],5,0),"")</f>
        <v/>
      </c>
      <c r="F2420" t="str">
        <f>+IFERROR(VLOOKUP(Fact_Contabilidad[[#This Row], 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ht="18.75" customHeight="1" x14ac:dyDescent="0.35">
      <c r="A2421" s="103"/>
      <c r="C2421" s="100" t="str">
        <f>IF(OR(Fact_Contabilidad[[#This Row], [Año]]="",Fact_Contabilidad[[#This Row], [Mes]]=""),"",DATE(A2421,MATCH(B2421,{"enero","febrero","marzo","abril","mayo","junio","julio","agosto","septiembre","octubre","noviembre","diciembre"},0)+1,0))</f>
        <v/>
      </c>
      <c r="E2421" t="str">
        <f>+IFERROR(VLOOKUP(Fact_Contabilidad[[#This Row], [Concepto Anterior]],Conceptos_Contabilidad[#All],5,0),"")</f>
        <v/>
      </c>
      <c r="F2421" t="str">
        <f>+IFERROR(VLOOKUP(Fact_Contabilidad[[#This Row], 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ht="18.75" customHeight="1" x14ac:dyDescent="0.35">
      <c r="A2422" s="103"/>
      <c r="C2422" s="100" t="str">
        <f>IF(OR(Fact_Contabilidad[[#This Row], [Año]]="",Fact_Contabilidad[[#This Row], [Mes]]=""),"",DATE(A2422,MATCH(B2422,{"enero","febrero","marzo","abril","mayo","junio","julio","agosto","septiembre","octubre","noviembre","diciembre"},0)+1,0))</f>
        <v/>
      </c>
      <c r="E2422" t="str">
        <f>+IFERROR(VLOOKUP(Fact_Contabilidad[[#This Row], [Concepto Anterior]],Conceptos_Contabilidad[#All],5,0),"")</f>
        <v/>
      </c>
      <c r="F2422" t="str">
        <f>+IFERROR(VLOOKUP(Fact_Contabilidad[[#This Row], 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ht="18.75" customHeight="1" x14ac:dyDescent="0.35">
      <c r="A2423" s="103"/>
      <c r="C2423" s="100" t="str">
        <f>IF(OR(Fact_Contabilidad[[#This Row], [Año]]="",Fact_Contabilidad[[#This Row], [Mes]]=""),"",DATE(A2423,MATCH(B2423,{"enero","febrero","marzo","abril","mayo","junio","julio","agosto","septiembre","octubre","noviembre","diciembre"},0)+1,0))</f>
        <v/>
      </c>
      <c r="E2423" t="str">
        <f>+IFERROR(VLOOKUP(Fact_Contabilidad[[#This Row], [Concepto Anterior]],Conceptos_Contabilidad[#All],5,0),"")</f>
        <v/>
      </c>
      <c r="F2423" t="str">
        <f>+IFERROR(VLOOKUP(Fact_Contabilidad[[#This Row], 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ht="18.75" customHeight="1" x14ac:dyDescent="0.35">
      <c r="A2424" s="103"/>
      <c r="C2424" s="100" t="str">
        <f>IF(OR(Fact_Contabilidad[[#This Row], [Año]]="",Fact_Contabilidad[[#This Row], [Mes]]=""),"",DATE(A2424,MATCH(B2424,{"enero","febrero","marzo","abril","mayo","junio","julio","agosto","septiembre","octubre","noviembre","diciembre"},0)+1,0))</f>
        <v/>
      </c>
      <c r="E2424" t="str">
        <f>+IFERROR(VLOOKUP(Fact_Contabilidad[[#This Row], [Concepto Anterior]],Conceptos_Contabilidad[#All],5,0),"")</f>
        <v/>
      </c>
      <c r="F2424" t="str">
        <f>+IFERROR(VLOOKUP(Fact_Contabilidad[[#This Row], 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ht="18.75" customHeight="1" x14ac:dyDescent="0.35">
      <c r="A2425" s="103"/>
      <c r="C2425" s="100" t="str">
        <f>IF(OR(Fact_Contabilidad[[#This Row], [Año]]="",Fact_Contabilidad[[#This Row], [Mes]]=""),"",DATE(A2425,MATCH(B2425,{"enero","febrero","marzo","abril","mayo","junio","julio","agosto","septiembre","octubre","noviembre","diciembre"},0)+1,0))</f>
        <v/>
      </c>
      <c r="E2425" t="str">
        <f>+IFERROR(VLOOKUP(Fact_Contabilidad[[#This Row], [Concepto Anterior]],Conceptos_Contabilidad[#All],5,0),"")</f>
        <v/>
      </c>
      <c r="F2425" t="str">
        <f>+IFERROR(VLOOKUP(Fact_Contabilidad[[#This Row], 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ht="18.75" customHeight="1" x14ac:dyDescent="0.35">
      <c r="A2426" s="103"/>
      <c r="C2426" s="100" t="str">
        <f>IF(OR(Fact_Contabilidad[[#This Row], [Año]]="",Fact_Contabilidad[[#This Row], [Mes]]=""),"",DATE(A2426,MATCH(B2426,{"enero","febrero","marzo","abril","mayo","junio","julio","agosto","septiembre","octubre","noviembre","diciembre"},0)+1,0))</f>
        <v/>
      </c>
      <c r="E2426" t="str">
        <f>+IFERROR(VLOOKUP(Fact_Contabilidad[[#This Row], [Concepto Anterior]],Conceptos_Contabilidad[#All],5,0),"")</f>
        <v/>
      </c>
      <c r="F2426" t="str">
        <f>+IFERROR(VLOOKUP(Fact_Contabilidad[[#This Row], 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ht="18.75" customHeight="1" x14ac:dyDescent="0.35">
      <c r="A2427" s="103"/>
      <c r="C2427" s="100" t="str">
        <f>IF(OR(Fact_Contabilidad[[#This Row], [Año]]="",Fact_Contabilidad[[#This Row], [Mes]]=""),"",DATE(A2427,MATCH(B2427,{"enero","febrero","marzo","abril","mayo","junio","julio","agosto","septiembre","octubre","noviembre","diciembre"},0)+1,0))</f>
        <v/>
      </c>
      <c r="E2427" t="str">
        <f>+IFERROR(VLOOKUP(Fact_Contabilidad[[#This Row], [Concepto Anterior]],Conceptos_Contabilidad[#All],5,0),"")</f>
        <v/>
      </c>
      <c r="F2427" t="str">
        <f>+IFERROR(VLOOKUP(Fact_Contabilidad[[#This Row], 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ht="18.75" customHeight="1" x14ac:dyDescent="0.35">
      <c r="A2428" s="103"/>
      <c r="C2428" s="100" t="str">
        <f>IF(OR(Fact_Contabilidad[[#This Row], [Año]]="",Fact_Contabilidad[[#This Row], [Mes]]=""),"",DATE(A2428,MATCH(B2428,{"enero","febrero","marzo","abril","mayo","junio","julio","agosto","septiembre","octubre","noviembre","diciembre"},0)+1,0))</f>
        <v/>
      </c>
      <c r="E2428" t="str">
        <f>+IFERROR(VLOOKUP(Fact_Contabilidad[[#This Row], [Concepto Anterior]],Conceptos_Contabilidad[#All],5,0),"")</f>
        <v/>
      </c>
      <c r="F2428" t="str">
        <f>+IFERROR(VLOOKUP(Fact_Contabilidad[[#This Row], 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ht="18.75" customHeight="1" x14ac:dyDescent="0.35">
      <c r="A2429" s="103"/>
      <c r="C2429" s="100" t="str">
        <f>IF(OR(Fact_Contabilidad[[#This Row], [Año]]="",Fact_Contabilidad[[#This Row], [Mes]]=""),"",DATE(A2429,MATCH(B2429,{"enero","febrero","marzo","abril","mayo","junio","julio","agosto","septiembre","octubre","noviembre","diciembre"},0)+1,0))</f>
        <v/>
      </c>
      <c r="E2429" t="str">
        <f>+IFERROR(VLOOKUP(Fact_Contabilidad[[#This Row], [Concepto Anterior]],Conceptos_Contabilidad[#All],5,0),"")</f>
        <v/>
      </c>
      <c r="F2429" t="str">
        <f>+IFERROR(VLOOKUP(Fact_Contabilidad[[#This Row], 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ht="18.75" customHeight="1" x14ac:dyDescent="0.35">
      <c r="A2430" s="103"/>
      <c r="C2430" s="100" t="str">
        <f>IF(OR(Fact_Contabilidad[[#This Row], [Año]]="",Fact_Contabilidad[[#This Row], [Mes]]=""),"",DATE(A2430,MATCH(B2430,{"enero","febrero","marzo","abril","mayo","junio","julio","agosto","septiembre","octubre","noviembre","diciembre"},0)+1,0))</f>
        <v/>
      </c>
      <c r="E2430" t="str">
        <f>+IFERROR(VLOOKUP(Fact_Contabilidad[[#This Row], [Concepto Anterior]],Conceptos_Contabilidad[#All],5,0),"")</f>
        <v/>
      </c>
      <c r="F2430" t="str">
        <f>+IFERROR(VLOOKUP(Fact_Contabilidad[[#This Row], 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ht="18.75" customHeight="1" x14ac:dyDescent="0.35">
      <c r="A2431" s="103"/>
      <c r="C2431" s="100" t="str">
        <f>IF(OR(Fact_Contabilidad[[#This Row], [Año]]="",Fact_Contabilidad[[#This Row], [Mes]]=""),"",DATE(A2431,MATCH(B2431,{"enero","febrero","marzo","abril","mayo","junio","julio","agosto","septiembre","octubre","noviembre","diciembre"},0)+1,0))</f>
        <v/>
      </c>
      <c r="E2431" t="str">
        <f>+IFERROR(VLOOKUP(Fact_Contabilidad[[#This Row], [Concepto Anterior]],Conceptos_Contabilidad[#All],5,0),"")</f>
        <v/>
      </c>
      <c r="F2431" t="str">
        <f>+IFERROR(VLOOKUP(Fact_Contabilidad[[#This Row], 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ht="18.75" customHeight="1" x14ac:dyDescent="0.35">
      <c r="A2432" s="103"/>
      <c r="C2432" s="100" t="str">
        <f>IF(OR(Fact_Contabilidad[[#This Row], [Año]]="",Fact_Contabilidad[[#This Row], [Mes]]=""),"",DATE(A2432,MATCH(B2432,{"enero","febrero","marzo","abril","mayo","junio","julio","agosto","septiembre","octubre","noviembre","diciembre"},0)+1,0))</f>
        <v/>
      </c>
      <c r="E2432" t="str">
        <f>+IFERROR(VLOOKUP(Fact_Contabilidad[[#This Row], [Concepto Anterior]],Conceptos_Contabilidad[#All],5,0),"")</f>
        <v/>
      </c>
      <c r="F2432" t="str">
        <f>+IFERROR(VLOOKUP(Fact_Contabilidad[[#This Row], 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ht="18.75" customHeight="1" x14ac:dyDescent="0.35">
      <c r="A2433" s="103"/>
      <c r="C2433" s="100" t="str">
        <f>IF(OR(Fact_Contabilidad[[#This Row], [Año]]="",Fact_Contabilidad[[#This Row], [Mes]]=""),"",DATE(A2433,MATCH(B2433,{"enero","febrero","marzo","abril","mayo","junio","julio","agosto","septiembre","octubre","noviembre","diciembre"},0)+1,0))</f>
        <v/>
      </c>
      <c r="E2433" t="str">
        <f>+IFERROR(VLOOKUP(Fact_Contabilidad[[#This Row], [Concepto Anterior]],Conceptos_Contabilidad[#All],5,0),"")</f>
        <v/>
      </c>
      <c r="F2433" t="str">
        <f>+IFERROR(VLOOKUP(Fact_Contabilidad[[#This Row], 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ht="18.75" customHeight="1" x14ac:dyDescent="0.35">
      <c r="A2434" s="103"/>
      <c r="C2434" s="100" t="str">
        <f>IF(OR(Fact_Contabilidad[[#This Row], [Año]]="",Fact_Contabilidad[[#This Row], [Mes]]=""),"",DATE(A2434,MATCH(B2434,{"enero","febrero","marzo","abril","mayo","junio","julio","agosto","septiembre","octubre","noviembre","diciembre"},0)+1,0))</f>
        <v/>
      </c>
      <c r="E2434" t="str">
        <f>+IFERROR(VLOOKUP(Fact_Contabilidad[[#This Row], [Concepto Anterior]],Conceptos_Contabilidad[#All],5,0),"")</f>
        <v/>
      </c>
      <c r="F2434" t="str">
        <f>+IFERROR(VLOOKUP(Fact_Contabilidad[[#This Row], 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ht="18.75" customHeight="1" x14ac:dyDescent="0.35">
      <c r="A2435" s="103"/>
      <c r="C2435" s="100" t="str">
        <f>IF(OR(Fact_Contabilidad[[#This Row], [Año]]="",Fact_Contabilidad[[#This Row], [Mes]]=""),"",DATE(A2435,MATCH(B2435,{"enero","febrero","marzo","abril","mayo","junio","julio","agosto","septiembre","octubre","noviembre","diciembre"},0)+1,0))</f>
        <v/>
      </c>
      <c r="E2435" t="str">
        <f>+IFERROR(VLOOKUP(Fact_Contabilidad[[#This Row], [Concepto Anterior]],Conceptos_Contabilidad[#All],5,0),"")</f>
        <v/>
      </c>
      <c r="F2435" t="str">
        <f>+IFERROR(VLOOKUP(Fact_Contabilidad[[#This Row], 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ht="18.75" customHeight="1" x14ac:dyDescent="0.35">
      <c r="A2436" s="103"/>
      <c r="C2436" s="100" t="str">
        <f>IF(OR(Fact_Contabilidad[[#This Row], [Año]]="",Fact_Contabilidad[[#This Row], [Mes]]=""),"",DATE(A2436,MATCH(B2436,{"enero","febrero","marzo","abril","mayo","junio","julio","agosto","septiembre","octubre","noviembre","diciembre"},0)+1,0))</f>
        <v/>
      </c>
      <c r="E2436" t="str">
        <f>+IFERROR(VLOOKUP(Fact_Contabilidad[[#This Row], [Concepto Anterior]],Conceptos_Contabilidad[#All],5,0),"")</f>
        <v/>
      </c>
      <c r="F2436" t="str">
        <f>+IFERROR(VLOOKUP(Fact_Contabilidad[[#This Row], 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ht="18.75" customHeight="1" x14ac:dyDescent="0.35">
      <c r="A2437" s="103"/>
      <c r="C2437" s="100" t="str">
        <f>IF(OR(Fact_Contabilidad[[#This Row], [Año]]="",Fact_Contabilidad[[#This Row], [Mes]]=""),"",DATE(A2437,MATCH(B2437,{"enero","febrero","marzo","abril","mayo","junio","julio","agosto","septiembre","octubre","noviembre","diciembre"},0)+1,0))</f>
        <v/>
      </c>
      <c r="E2437" t="str">
        <f>+IFERROR(VLOOKUP(Fact_Contabilidad[[#This Row], [Concepto Anterior]],Conceptos_Contabilidad[#All],5,0),"")</f>
        <v/>
      </c>
      <c r="F2437" t="str">
        <f>+IFERROR(VLOOKUP(Fact_Contabilidad[[#This Row], 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ht="18.75" customHeight="1" x14ac:dyDescent="0.35">
      <c r="A2438" s="103"/>
      <c r="C2438" s="100" t="str">
        <f>IF(OR(Fact_Contabilidad[[#This Row], [Año]]="",Fact_Contabilidad[[#This Row], [Mes]]=""),"",DATE(A2438,MATCH(B2438,{"enero","febrero","marzo","abril","mayo","junio","julio","agosto","septiembre","octubre","noviembre","diciembre"},0)+1,0))</f>
        <v/>
      </c>
      <c r="E2438" t="str">
        <f>+IFERROR(VLOOKUP(Fact_Contabilidad[[#This Row], [Concepto Anterior]],Conceptos_Contabilidad[#All],5,0),"")</f>
        <v/>
      </c>
      <c r="F2438" t="str">
        <f>+IFERROR(VLOOKUP(Fact_Contabilidad[[#This Row], 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ht="18.75" customHeight="1" x14ac:dyDescent="0.35">
      <c r="A2439" s="103"/>
      <c r="C2439" s="100" t="str">
        <f>IF(OR(Fact_Contabilidad[[#This Row], [Año]]="",Fact_Contabilidad[[#This Row], [Mes]]=""),"",DATE(A2439,MATCH(B2439,{"enero","febrero","marzo","abril","mayo","junio","julio","agosto","septiembre","octubre","noviembre","diciembre"},0)+1,0))</f>
        <v/>
      </c>
      <c r="E2439" t="str">
        <f>+IFERROR(VLOOKUP(Fact_Contabilidad[[#This Row], [Concepto Anterior]],Conceptos_Contabilidad[#All],5,0),"")</f>
        <v/>
      </c>
      <c r="F2439" t="str">
        <f>+IFERROR(VLOOKUP(Fact_Contabilidad[[#This Row], 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ht="18.75" customHeight="1" x14ac:dyDescent="0.35">
      <c r="A2440" s="103"/>
      <c r="C2440" s="100" t="str">
        <f>IF(OR(Fact_Contabilidad[[#This Row], [Año]]="",Fact_Contabilidad[[#This Row], [Mes]]=""),"",DATE(A2440,MATCH(B2440,{"enero","febrero","marzo","abril","mayo","junio","julio","agosto","septiembre","octubre","noviembre","diciembre"},0)+1,0))</f>
        <v/>
      </c>
      <c r="E2440" t="str">
        <f>+IFERROR(VLOOKUP(Fact_Contabilidad[[#This Row], [Concepto Anterior]],Conceptos_Contabilidad[#All],5,0),"")</f>
        <v/>
      </c>
      <c r="F2440" t="str">
        <f>+IFERROR(VLOOKUP(Fact_Contabilidad[[#This Row], 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ht="18.75" customHeight="1" x14ac:dyDescent="0.35">
      <c r="A2441" s="103"/>
      <c r="C2441" s="100" t="str">
        <f>IF(OR(Fact_Contabilidad[[#This Row], [Año]]="",Fact_Contabilidad[[#This Row], [Mes]]=""),"",DATE(A2441,MATCH(B2441,{"enero","febrero","marzo","abril","mayo","junio","julio","agosto","septiembre","octubre","noviembre","diciembre"},0)+1,0))</f>
        <v/>
      </c>
      <c r="E2441" t="str">
        <f>+IFERROR(VLOOKUP(Fact_Contabilidad[[#This Row], [Concepto Anterior]],Conceptos_Contabilidad[#All],5,0),"")</f>
        <v/>
      </c>
      <c r="F2441" t="str">
        <f>+IFERROR(VLOOKUP(Fact_Contabilidad[[#This Row], 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ht="18.75" customHeight="1" x14ac:dyDescent="0.35">
      <c r="A2442" s="103"/>
      <c r="C2442" s="100" t="str">
        <f>IF(OR(Fact_Contabilidad[[#This Row], [Año]]="",Fact_Contabilidad[[#This Row], [Mes]]=""),"",DATE(A2442,MATCH(B2442,{"enero","febrero","marzo","abril","mayo","junio","julio","agosto","septiembre","octubre","noviembre","diciembre"},0)+1,0))</f>
        <v/>
      </c>
      <c r="E2442" t="str">
        <f>+IFERROR(VLOOKUP(Fact_Contabilidad[[#This Row], [Concepto Anterior]],Conceptos_Contabilidad[#All],5,0),"")</f>
        <v/>
      </c>
      <c r="F2442" t="str">
        <f>+IFERROR(VLOOKUP(Fact_Contabilidad[[#This Row], 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ht="18.75" customHeight="1" x14ac:dyDescent="0.35">
      <c r="A2443" s="103"/>
      <c r="C2443" s="100" t="str">
        <f>IF(OR(Fact_Contabilidad[[#This Row], [Año]]="",Fact_Contabilidad[[#This Row], [Mes]]=""),"",DATE(A2443,MATCH(B2443,{"enero","febrero","marzo","abril","mayo","junio","julio","agosto","septiembre","octubre","noviembre","diciembre"},0)+1,0))</f>
        <v/>
      </c>
      <c r="E2443" t="str">
        <f>+IFERROR(VLOOKUP(Fact_Contabilidad[[#This Row], [Concepto Anterior]],Conceptos_Contabilidad[#All],5,0),"")</f>
        <v/>
      </c>
      <c r="F2443" t="str">
        <f>+IFERROR(VLOOKUP(Fact_Contabilidad[[#This Row], 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ht="18.75" customHeight="1" x14ac:dyDescent="0.35">
      <c r="A2444" s="103"/>
      <c r="C2444" s="100" t="str">
        <f>IF(OR(Fact_Contabilidad[[#This Row], [Año]]="",Fact_Contabilidad[[#This Row], [Mes]]=""),"",DATE(A2444,MATCH(B2444,{"enero","febrero","marzo","abril","mayo","junio","julio","agosto","septiembre","octubre","noviembre","diciembre"},0)+1,0))</f>
        <v/>
      </c>
      <c r="E2444" t="str">
        <f>+IFERROR(VLOOKUP(Fact_Contabilidad[[#This Row], [Concepto Anterior]],Conceptos_Contabilidad[#All],5,0),"")</f>
        <v/>
      </c>
      <c r="F2444" t="str">
        <f>+IFERROR(VLOOKUP(Fact_Contabilidad[[#This Row], 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ht="18.75" customHeight="1" x14ac:dyDescent="0.35">
      <c r="A2445" s="103"/>
      <c r="C2445" s="100" t="str">
        <f>IF(OR(Fact_Contabilidad[[#This Row], [Año]]="",Fact_Contabilidad[[#This Row], [Mes]]=""),"",DATE(A2445,MATCH(B2445,{"enero","febrero","marzo","abril","mayo","junio","julio","agosto","septiembre","octubre","noviembre","diciembre"},0)+1,0))</f>
        <v/>
      </c>
      <c r="E2445" t="str">
        <f>+IFERROR(VLOOKUP(Fact_Contabilidad[[#This Row], [Concepto Anterior]],Conceptos_Contabilidad[#All],5,0),"")</f>
        <v/>
      </c>
      <c r="F2445" t="str">
        <f>+IFERROR(VLOOKUP(Fact_Contabilidad[[#This Row], 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ht="18.75" customHeight="1" x14ac:dyDescent="0.35">
      <c r="A2446" s="103"/>
      <c r="C2446" s="100" t="str">
        <f>IF(OR(Fact_Contabilidad[[#This Row], [Año]]="",Fact_Contabilidad[[#This Row], [Mes]]=""),"",DATE(A2446,MATCH(B2446,{"enero","febrero","marzo","abril","mayo","junio","julio","agosto","septiembre","octubre","noviembre","diciembre"},0)+1,0))</f>
        <v/>
      </c>
      <c r="E2446" t="str">
        <f>+IFERROR(VLOOKUP(Fact_Contabilidad[[#This Row], [Concepto Anterior]],Conceptos_Contabilidad[#All],5,0),"")</f>
        <v/>
      </c>
      <c r="F2446" t="str">
        <f>+IFERROR(VLOOKUP(Fact_Contabilidad[[#This Row], 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ht="18.75" customHeight="1" x14ac:dyDescent="0.35">
      <c r="A2447" s="103"/>
      <c r="C2447" s="100" t="str">
        <f>IF(OR(Fact_Contabilidad[[#This Row], [Año]]="",Fact_Contabilidad[[#This Row], [Mes]]=""),"",DATE(A2447,MATCH(B2447,{"enero","febrero","marzo","abril","mayo","junio","julio","agosto","septiembre","octubre","noviembre","diciembre"},0)+1,0))</f>
        <v/>
      </c>
      <c r="E2447" t="str">
        <f>+IFERROR(VLOOKUP(Fact_Contabilidad[[#This Row], [Concepto Anterior]],Conceptos_Contabilidad[#All],5,0),"")</f>
        <v/>
      </c>
      <c r="F2447" t="str">
        <f>+IFERROR(VLOOKUP(Fact_Contabilidad[[#This Row], 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ht="18.75" customHeight="1" x14ac:dyDescent="0.35">
      <c r="A2448" s="103"/>
      <c r="C2448" s="100" t="str">
        <f>IF(OR(Fact_Contabilidad[[#This Row], [Año]]="",Fact_Contabilidad[[#This Row], [Mes]]=""),"",DATE(A2448,MATCH(B2448,{"enero","febrero","marzo","abril","mayo","junio","julio","agosto","septiembre","octubre","noviembre","diciembre"},0)+1,0))</f>
        <v/>
      </c>
      <c r="E2448" t="str">
        <f>+IFERROR(VLOOKUP(Fact_Contabilidad[[#This Row], [Concepto Anterior]],Conceptos_Contabilidad[#All],5,0),"")</f>
        <v/>
      </c>
      <c r="F2448" t="str">
        <f>+IFERROR(VLOOKUP(Fact_Contabilidad[[#This Row], 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ht="18.75" customHeight="1" x14ac:dyDescent="0.35">
      <c r="A2449" s="103"/>
      <c r="C2449" s="100" t="str">
        <f>IF(OR(Fact_Contabilidad[[#This Row], [Año]]="",Fact_Contabilidad[[#This Row], [Mes]]=""),"",DATE(A2449,MATCH(B2449,{"enero","febrero","marzo","abril","mayo","junio","julio","agosto","septiembre","octubre","noviembre","diciembre"},0)+1,0))</f>
        <v/>
      </c>
      <c r="E2449" t="str">
        <f>+IFERROR(VLOOKUP(Fact_Contabilidad[[#This Row], [Concepto Anterior]],Conceptos_Contabilidad[#All],5,0),"")</f>
        <v/>
      </c>
      <c r="F2449" t="str">
        <f>+IFERROR(VLOOKUP(Fact_Contabilidad[[#This Row], 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ht="18.75" customHeight="1" x14ac:dyDescent="0.35">
      <c r="A2450" s="103"/>
      <c r="C2450" s="100" t="str">
        <f>IF(OR(Fact_Contabilidad[[#This Row], [Año]]="",Fact_Contabilidad[[#This Row], [Mes]]=""),"",DATE(A2450,MATCH(B2450,{"enero","febrero","marzo","abril","mayo","junio","julio","agosto","septiembre","octubre","noviembre","diciembre"},0)+1,0))</f>
        <v/>
      </c>
      <c r="E2450" t="str">
        <f>+IFERROR(VLOOKUP(Fact_Contabilidad[[#This Row], [Concepto Anterior]],Conceptos_Contabilidad[#All],5,0),"")</f>
        <v/>
      </c>
      <c r="F2450" t="str">
        <f>+IFERROR(VLOOKUP(Fact_Contabilidad[[#This Row], 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ht="18.75" customHeight="1" x14ac:dyDescent="0.35">
      <c r="A2451" s="103"/>
      <c r="C2451" s="100" t="str">
        <f>IF(OR(Fact_Contabilidad[[#This Row], [Año]]="",Fact_Contabilidad[[#This Row], [Mes]]=""),"",DATE(A2451,MATCH(B2451,{"enero","febrero","marzo","abril","mayo","junio","julio","agosto","septiembre","octubre","noviembre","diciembre"},0)+1,0))</f>
        <v/>
      </c>
      <c r="E2451" t="str">
        <f>+IFERROR(VLOOKUP(Fact_Contabilidad[[#This Row], [Concepto Anterior]],Conceptos_Contabilidad[#All],5,0),"")</f>
        <v/>
      </c>
      <c r="F2451" t="str">
        <f>+IFERROR(VLOOKUP(Fact_Contabilidad[[#This Row], 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ht="18.75" customHeight="1" x14ac:dyDescent="0.35">
      <c r="A2452" s="103"/>
      <c r="C2452" s="100" t="str">
        <f>IF(OR(Fact_Contabilidad[[#This Row], [Año]]="",Fact_Contabilidad[[#This Row], [Mes]]=""),"",DATE(A2452,MATCH(B2452,{"enero","febrero","marzo","abril","mayo","junio","julio","agosto","septiembre","octubre","noviembre","diciembre"},0)+1,0))</f>
        <v/>
      </c>
      <c r="E2452" t="str">
        <f>+IFERROR(VLOOKUP(Fact_Contabilidad[[#This Row], [Concepto Anterior]],Conceptos_Contabilidad[#All],5,0),"")</f>
        <v/>
      </c>
      <c r="F2452" t="str">
        <f>+IFERROR(VLOOKUP(Fact_Contabilidad[[#This Row], 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ht="18.75" customHeight="1" x14ac:dyDescent="0.35">
      <c r="A2453" s="103"/>
      <c r="C2453" s="100" t="str">
        <f>IF(OR(Fact_Contabilidad[[#This Row], [Año]]="",Fact_Contabilidad[[#This Row], [Mes]]=""),"",DATE(A2453,MATCH(B2453,{"enero","febrero","marzo","abril","mayo","junio","julio","agosto","septiembre","octubre","noviembre","diciembre"},0)+1,0))</f>
        <v/>
      </c>
      <c r="E2453" t="str">
        <f>+IFERROR(VLOOKUP(Fact_Contabilidad[[#This Row], [Concepto Anterior]],Conceptos_Contabilidad[#All],5,0),"")</f>
        <v/>
      </c>
      <c r="F2453" t="str">
        <f>+IFERROR(VLOOKUP(Fact_Contabilidad[[#This Row], 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ht="18.75" customHeight="1" x14ac:dyDescent="0.35">
      <c r="A2454" s="103"/>
      <c r="C2454" s="100" t="str">
        <f>IF(OR(Fact_Contabilidad[[#This Row], [Año]]="",Fact_Contabilidad[[#This Row], [Mes]]=""),"",DATE(A2454,MATCH(B2454,{"enero","febrero","marzo","abril","mayo","junio","julio","agosto","septiembre","octubre","noviembre","diciembre"},0)+1,0))</f>
        <v/>
      </c>
      <c r="E2454" t="str">
        <f>+IFERROR(VLOOKUP(Fact_Contabilidad[[#This Row], [Concepto Anterior]],Conceptos_Contabilidad[#All],5,0),"")</f>
        <v/>
      </c>
      <c r="F2454" t="str">
        <f>+IFERROR(VLOOKUP(Fact_Contabilidad[[#This Row], 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ht="18.75" customHeight="1" x14ac:dyDescent="0.35">
      <c r="A2455" s="103"/>
      <c r="C2455" s="100" t="str">
        <f>IF(OR(Fact_Contabilidad[[#This Row], [Año]]="",Fact_Contabilidad[[#This Row], [Mes]]=""),"",DATE(A2455,MATCH(B2455,{"enero","febrero","marzo","abril","mayo","junio","julio","agosto","septiembre","octubre","noviembre","diciembre"},0)+1,0))</f>
        <v/>
      </c>
      <c r="E2455" t="str">
        <f>+IFERROR(VLOOKUP(Fact_Contabilidad[[#This Row], [Concepto Anterior]],Conceptos_Contabilidad[#All],5,0),"")</f>
        <v/>
      </c>
      <c r="F2455" t="str">
        <f>+IFERROR(VLOOKUP(Fact_Contabilidad[[#This Row], 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ht="18.75" customHeight="1" x14ac:dyDescent="0.35">
      <c r="A2456" s="103"/>
      <c r="C2456" s="100" t="str">
        <f>IF(OR(Fact_Contabilidad[[#This Row], [Año]]="",Fact_Contabilidad[[#This Row], [Mes]]=""),"",DATE(A2456,MATCH(B2456,{"enero","febrero","marzo","abril","mayo","junio","julio","agosto","septiembre","octubre","noviembre","diciembre"},0)+1,0))</f>
        <v/>
      </c>
      <c r="E2456" t="str">
        <f>+IFERROR(VLOOKUP(Fact_Contabilidad[[#This Row], [Concepto Anterior]],Conceptos_Contabilidad[#All],5,0),"")</f>
        <v/>
      </c>
      <c r="F2456" t="str">
        <f>+IFERROR(VLOOKUP(Fact_Contabilidad[[#This Row], 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ht="18.75" customHeight="1" x14ac:dyDescent="0.35">
      <c r="A2457" s="103"/>
      <c r="C2457" s="100" t="str">
        <f>IF(OR(Fact_Contabilidad[[#This Row], [Año]]="",Fact_Contabilidad[[#This Row], [Mes]]=""),"",DATE(A2457,MATCH(B2457,{"enero","febrero","marzo","abril","mayo","junio","julio","agosto","septiembre","octubre","noviembre","diciembre"},0)+1,0))</f>
        <v/>
      </c>
      <c r="E2457" t="str">
        <f>+IFERROR(VLOOKUP(Fact_Contabilidad[[#This Row], [Concepto Anterior]],Conceptos_Contabilidad[#All],5,0),"")</f>
        <v/>
      </c>
      <c r="F2457" t="str">
        <f>+IFERROR(VLOOKUP(Fact_Contabilidad[[#This Row], 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ht="18.75" customHeight="1" x14ac:dyDescent="0.35">
      <c r="A2458" s="103"/>
      <c r="C2458" s="100" t="str">
        <f>IF(OR(Fact_Contabilidad[[#This Row], [Año]]="",Fact_Contabilidad[[#This Row], [Mes]]=""),"",DATE(A2458,MATCH(B2458,{"enero","febrero","marzo","abril","mayo","junio","julio","agosto","septiembre","octubre","noviembre","diciembre"},0)+1,0))</f>
        <v/>
      </c>
      <c r="E2458" t="str">
        <f>+IFERROR(VLOOKUP(Fact_Contabilidad[[#This Row], [Concepto Anterior]],Conceptos_Contabilidad[#All],5,0),"")</f>
        <v/>
      </c>
      <c r="F2458" t="str">
        <f>+IFERROR(VLOOKUP(Fact_Contabilidad[[#This Row], 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ht="18.75" customHeight="1" x14ac:dyDescent="0.35">
      <c r="A2459" s="103"/>
      <c r="C2459" s="100" t="str">
        <f>IF(OR(Fact_Contabilidad[[#This Row], [Año]]="",Fact_Contabilidad[[#This Row], [Mes]]=""),"",DATE(A2459,MATCH(B2459,{"enero","febrero","marzo","abril","mayo","junio","julio","agosto","septiembre","octubre","noviembre","diciembre"},0)+1,0))</f>
        <v/>
      </c>
      <c r="E2459" t="str">
        <f>+IFERROR(VLOOKUP(Fact_Contabilidad[[#This Row], [Concepto Anterior]],Conceptos_Contabilidad[#All],5,0),"")</f>
        <v/>
      </c>
      <c r="F2459" t="str">
        <f>+IFERROR(VLOOKUP(Fact_Contabilidad[[#This Row], 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ht="18.75" customHeight="1" x14ac:dyDescent="0.35">
      <c r="A2460" s="103"/>
      <c r="C2460" s="100" t="str">
        <f>IF(OR(Fact_Contabilidad[[#This Row], [Año]]="",Fact_Contabilidad[[#This Row], [Mes]]=""),"",DATE(A2460,MATCH(B2460,{"enero","febrero","marzo","abril","mayo","junio","julio","agosto","septiembre","octubre","noviembre","diciembre"},0)+1,0))</f>
        <v/>
      </c>
      <c r="E2460" t="str">
        <f>+IFERROR(VLOOKUP(Fact_Contabilidad[[#This Row], [Concepto Anterior]],Conceptos_Contabilidad[#All],5,0),"")</f>
        <v/>
      </c>
      <c r="F2460" t="str">
        <f>+IFERROR(VLOOKUP(Fact_Contabilidad[[#This Row], 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ht="18.75" customHeight="1" x14ac:dyDescent="0.35">
      <c r="A2461" s="103"/>
      <c r="C2461" s="100" t="str">
        <f>IF(OR(Fact_Contabilidad[[#This Row], [Año]]="",Fact_Contabilidad[[#This Row], [Mes]]=""),"",DATE(A2461,MATCH(B2461,{"enero","febrero","marzo","abril","mayo","junio","julio","agosto","septiembre","octubre","noviembre","diciembre"},0)+1,0))</f>
        <v/>
      </c>
      <c r="E2461" t="str">
        <f>+IFERROR(VLOOKUP(Fact_Contabilidad[[#This Row], [Concepto Anterior]],Conceptos_Contabilidad[#All],5,0),"")</f>
        <v/>
      </c>
      <c r="F2461" t="str">
        <f>+IFERROR(VLOOKUP(Fact_Contabilidad[[#This Row], 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ht="18.75" customHeight="1" x14ac:dyDescent="0.35">
      <c r="A2462" s="103"/>
      <c r="C2462" s="100" t="str">
        <f>IF(OR(Fact_Contabilidad[[#This Row], [Año]]="",Fact_Contabilidad[[#This Row], [Mes]]=""),"",DATE(A2462,MATCH(B2462,{"enero","febrero","marzo","abril","mayo","junio","julio","agosto","septiembre","octubre","noviembre","diciembre"},0)+1,0))</f>
        <v/>
      </c>
      <c r="E2462" t="str">
        <f>+IFERROR(VLOOKUP(Fact_Contabilidad[[#This Row], [Concepto Anterior]],Conceptos_Contabilidad[#All],5,0),"")</f>
        <v/>
      </c>
      <c r="F2462" t="str">
        <f>+IFERROR(VLOOKUP(Fact_Contabilidad[[#This Row], 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ht="18.75" customHeight="1" x14ac:dyDescent="0.35">
      <c r="A2463" s="103"/>
      <c r="C2463" s="100" t="str">
        <f>IF(OR(Fact_Contabilidad[[#This Row], [Año]]="",Fact_Contabilidad[[#This Row], [Mes]]=""),"",DATE(A2463,MATCH(B2463,{"enero","febrero","marzo","abril","mayo","junio","julio","agosto","septiembre","octubre","noviembre","diciembre"},0)+1,0))</f>
        <v/>
      </c>
      <c r="E2463" t="str">
        <f>+IFERROR(VLOOKUP(Fact_Contabilidad[[#This Row], [Concepto Anterior]],Conceptos_Contabilidad[#All],5,0),"")</f>
        <v/>
      </c>
      <c r="F2463" t="str">
        <f>+IFERROR(VLOOKUP(Fact_Contabilidad[[#This Row], 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ht="18.75" customHeight="1" x14ac:dyDescent="0.35">
      <c r="A2464" s="103"/>
      <c r="C2464" s="100" t="str">
        <f>IF(OR(Fact_Contabilidad[[#This Row], [Año]]="",Fact_Contabilidad[[#This Row], [Mes]]=""),"",DATE(A2464,MATCH(B2464,{"enero","febrero","marzo","abril","mayo","junio","julio","agosto","septiembre","octubre","noviembre","diciembre"},0)+1,0))</f>
        <v/>
      </c>
      <c r="E2464" t="str">
        <f>+IFERROR(VLOOKUP(Fact_Contabilidad[[#This Row], [Concepto Anterior]],Conceptos_Contabilidad[#All],5,0),"")</f>
        <v/>
      </c>
      <c r="F2464" t="str">
        <f>+IFERROR(VLOOKUP(Fact_Contabilidad[[#This Row], 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ht="18.75" customHeight="1" x14ac:dyDescent="0.35">
      <c r="A2465" s="103"/>
      <c r="C2465" s="100" t="str">
        <f>IF(OR(Fact_Contabilidad[[#This Row], [Año]]="",Fact_Contabilidad[[#This Row], [Mes]]=""),"",DATE(A2465,MATCH(B2465,{"enero","febrero","marzo","abril","mayo","junio","julio","agosto","septiembre","octubre","noviembre","diciembre"},0)+1,0))</f>
        <v/>
      </c>
      <c r="E2465" t="str">
        <f>+IFERROR(VLOOKUP(Fact_Contabilidad[[#This Row], [Concepto Anterior]],Conceptos_Contabilidad[#All],5,0),"")</f>
        <v/>
      </c>
      <c r="F2465" t="str">
        <f>+IFERROR(VLOOKUP(Fact_Contabilidad[[#This Row], 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ht="18.75" customHeight="1" x14ac:dyDescent="0.35">
      <c r="A2466" s="103"/>
      <c r="C2466" s="100" t="str">
        <f>IF(OR(Fact_Contabilidad[[#This Row], [Año]]="",Fact_Contabilidad[[#This Row], [Mes]]=""),"",DATE(A2466,MATCH(B2466,{"enero","febrero","marzo","abril","mayo","junio","julio","agosto","septiembre","octubre","noviembre","diciembre"},0)+1,0))</f>
        <v/>
      </c>
      <c r="E2466" t="str">
        <f>+IFERROR(VLOOKUP(Fact_Contabilidad[[#This Row], [Concepto Anterior]],Conceptos_Contabilidad[#All],5,0),"")</f>
        <v/>
      </c>
      <c r="F2466" t="str">
        <f>+IFERROR(VLOOKUP(Fact_Contabilidad[[#This Row], 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ht="18.75" customHeight="1" x14ac:dyDescent="0.35">
      <c r="A2467" s="103"/>
      <c r="C2467" s="100" t="str">
        <f>IF(OR(Fact_Contabilidad[[#This Row], [Año]]="",Fact_Contabilidad[[#This Row], [Mes]]=""),"",DATE(A2467,MATCH(B2467,{"enero","febrero","marzo","abril","mayo","junio","julio","agosto","septiembre","octubre","noviembre","diciembre"},0)+1,0))</f>
        <v/>
      </c>
      <c r="E2467" t="str">
        <f>+IFERROR(VLOOKUP(Fact_Contabilidad[[#This Row], [Concepto Anterior]],Conceptos_Contabilidad[#All],5,0),"")</f>
        <v/>
      </c>
      <c r="F2467" t="str">
        <f>+IFERROR(VLOOKUP(Fact_Contabilidad[[#This Row], 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ht="18.75" customHeight="1" x14ac:dyDescent="0.35">
      <c r="A2468" s="103"/>
      <c r="C2468" s="100" t="str">
        <f>IF(OR(Fact_Contabilidad[[#This Row], [Año]]="",Fact_Contabilidad[[#This Row], [Mes]]=""),"",DATE(A2468,MATCH(B2468,{"enero","febrero","marzo","abril","mayo","junio","julio","agosto","septiembre","octubre","noviembre","diciembre"},0)+1,0))</f>
        <v/>
      </c>
      <c r="E2468" t="str">
        <f>+IFERROR(VLOOKUP(Fact_Contabilidad[[#This Row], [Concepto Anterior]],Conceptos_Contabilidad[#All],5,0),"")</f>
        <v/>
      </c>
      <c r="F2468" t="str">
        <f>+IFERROR(VLOOKUP(Fact_Contabilidad[[#This Row], 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ht="18.75" customHeight="1" x14ac:dyDescent="0.35">
      <c r="A2469" s="103"/>
      <c r="C2469" s="100" t="str">
        <f>IF(OR(Fact_Contabilidad[[#This Row], [Año]]="",Fact_Contabilidad[[#This Row], [Mes]]=""),"",DATE(A2469,MATCH(B2469,{"enero","febrero","marzo","abril","mayo","junio","julio","agosto","septiembre","octubre","noviembre","diciembre"},0)+1,0))</f>
        <v/>
      </c>
      <c r="E2469" t="str">
        <f>+IFERROR(VLOOKUP(Fact_Contabilidad[[#This Row], [Concepto Anterior]],Conceptos_Contabilidad[#All],5,0),"")</f>
        <v/>
      </c>
      <c r="F2469" t="str">
        <f>+IFERROR(VLOOKUP(Fact_Contabilidad[[#This Row], 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ht="18.75" customHeight="1" x14ac:dyDescent="0.35">
      <c r="A2470" s="103"/>
      <c r="C2470" s="100" t="str">
        <f>IF(OR(Fact_Contabilidad[[#This Row], [Año]]="",Fact_Contabilidad[[#This Row], [Mes]]=""),"",DATE(A2470,MATCH(B2470,{"enero","febrero","marzo","abril","mayo","junio","julio","agosto","septiembre","octubre","noviembre","diciembre"},0)+1,0))</f>
        <v/>
      </c>
      <c r="E2470" t="str">
        <f>+IFERROR(VLOOKUP(Fact_Contabilidad[[#This Row], [Concepto Anterior]],Conceptos_Contabilidad[#All],5,0),"")</f>
        <v/>
      </c>
      <c r="F2470" t="str">
        <f>+IFERROR(VLOOKUP(Fact_Contabilidad[[#This Row], 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ht="18.75" customHeight="1" x14ac:dyDescent="0.35">
      <c r="A2471" s="103"/>
      <c r="C2471" s="100" t="str">
        <f>IF(OR(Fact_Contabilidad[[#This Row], [Año]]="",Fact_Contabilidad[[#This Row], [Mes]]=""),"",DATE(A2471,MATCH(B2471,{"enero","febrero","marzo","abril","mayo","junio","julio","agosto","septiembre","octubre","noviembre","diciembre"},0)+1,0))</f>
        <v/>
      </c>
      <c r="E2471" t="str">
        <f>+IFERROR(VLOOKUP(Fact_Contabilidad[[#This Row], [Concepto Anterior]],Conceptos_Contabilidad[#All],5,0),"")</f>
        <v/>
      </c>
      <c r="F2471" t="str">
        <f>+IFERROR(VLOOKUP(Fact_Contabilidad[[#This Row], 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ht="18.75" customHeight="1" x14ac:dyDescent="0.35">
      <c r="A2472" s="103"/>
      <c r="C2472" s="100" t="str">
        <f>IF(OR(Fact_Contabilidad[[#This Row], [Año]]="",Fact_Contabilidad[[#This Row], [Mes]]=""),"",DATE(A2472,MATCH(B2472,{"enero","febrero","marzo","abril","mayo","junio","julio","agosto","septiembre","octubre","noviembre","diciembre"},0)+1,0))</f>
        <v/>
      </c>
      <c r="E2472" t="str">
        <f>+IFERROR(VLOOKUP(Fact_Contabilidad[[#This Row], [Concepto Anterior]],Conceptos_Contabilidad[#All],5,0),"")</f>
        <v/>
      </c>
      <c r="F2472" t="str">
        <f>+IFERROR(VLOOKUP(Fact_Contabilidad[[#This Row], 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ht="18.75" customHeight="1" x14ac:dyDescent="0.35">
      <c r="A2473" s="103"/>
      <c r="C2473" s="100" t="str">
        <f>IF(OR(Fact_Contabilidad[[#This Row], [Año]]="",Fact_Contabilidad[[#This Row], [Mes]]=""),"",DATE(A2473,MATCH(B2473,{"enero","febrero","marzo","abril","mayo","junio","julio","agosto","septiembre","octubre","noviembre","diciembre"},0)+1,0))</f>
        <v/>
      </c>
      <c r="E2473" t="str">
        <f>+IFERROR(VLOOKUP(Fact_Contabilidad[[#This Row], [Concepto Anterior]],Conceptos_Contabilidad[#All],5,0),"")</f>
        <v/>
      </c>
      <c r="F2473" t="str">
        <f>+IFERROR(VLOOKUP(Fact_Contabilidad[[#This Row], 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ht="18.75" customHeight="1" x14ac:dyDescent="0.35">
      <c r="A2474" s="103"/>
      <c r="C2474" s="100" t="str">
        <f>IF(OR(Fact_Contabilidad[[#This Row], [Año]]="",Fact_Contabilidad[[#This Row], [Mes]]=""),"",DATE(A2474,MATCH(B2474,{"enero","febrero","marzo","abril","mayo","junio","julio","agosto","septiembre","octubre","noviembre","diciembre"},0)+1,0))</f>
        <v/>
      </c>
      <c r="E2474" t="str">
        <f>+IFERROR(VLOOKUP(Fact_Contabilidad[[#This Row], [Concepto Anterior]],Conceptos_Contabilidad[#All],5,0),"")</f>
        <v/>
      </c>
      <c r="F2474" t="str">
        <f>+IFERROR(VLOOKUP(Fact_Contabilidad[[#This Row], 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ht="18.75" customHeight="1" x14ac:dyDescent="0.35">
      <c r="A2475" s="103"/>
      <c r="C2475" s="100" t="str">
        <f>IF(OR(Fact_Contabilidad[[#This Row], [Año]]="",Fact_Contabilidad[[#This Row], [Mes]]=""),"",DATE(A2475,MATCH(B2475,{"enero","febrero","marzo","abril","mayo","junio","julio","agosto","septiembre","octubre","noviembre","diciembre"},0)+1,0))</f>
        <v/>
      </c>
      <c r="E2475" t="str">
        <f>+IFERROR(VLOOKUP(Fact_Contabilidad[[#This Row], [Concepto Anterior]],Conceptos_Contabilidad[#All],5,0),"")</f>
        <v/>
      </c>
      <c r="F2475" t="str">
        <f>+IFERROR(VLOOKUP(Fact_Contabilidad[[#This Row], 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ht="18.75" customHeight="1" x14ac:dyDescent="0.35">
      <c r="A2476" s="103"/>
      <c r="C2476" s="100" t="str">
        <f>IF(OR(Fact_Contabilidad[[#This Row], [Año]]="",Fact_Contabilidad[[#This Row], [Mes]]=""),"",DATE(A2476,MATCH(B2476,{"enero","febrero","marzo","abril","mayo","junio","julio","agosto","septiembre","octubre","noviembre","diciembre"},0)+1,0))</f>
        <v/>
      </c>
      <c r="E2476" t="str">
        <f>+IFERROR(VLOOKUP(Fact_Contabilidad[[#This Row], [Concepto Anterior]],Conceptos_Contabilidad[#All],5,0),"")</f>
        <v/>
      </c>
      <c r="F2476" t="str">
        <f>+IFERROR(VLOOKUP(Fact_Contabilidad[[#This Row], 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ht="18.75" customHeight="1" x14ac:dyDescent="0.35">
      <c r="A2477" s="103"/>
      <c r="C2477" s="100" t="str">
        <f>IF(OR(Fact_Contabilidad[[#This Row], [Año]]="",Fact_Contabilidad[[#This Row], [Mes]]=""),"",DATE(A2477,MATCH(B2477,{"enero","febrero","marzo","abril","mayo","junio","julio","agosto","septiembre","octubre","noviembre","diciembre"},0)+1,0))</f>
        <v/>
      </c>
      <c r="E2477" t="str">
        <f>+IFERROR(VLOOKUP(Fact_Contabilidad[[#This Row], [Concepto Anterior]],Conceptos_Contabilidad[#All],5,0),"")</f>
        <v/>
      </c>
      <c r="F2477" t="str">
        <f>+IFERROR(VLOOKUP(Fact_Contabilidad[[#This Row], 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ht="18.75" customHeight="1" x14ac:dyDescent="0.35">
      <c r="A2478" s="103"/>
      <c r="C2478" s="100" t="str">
        <f>IF(OR(Fact_Contabilidad[[#This Row], [Año]]="",Fact_Contabilidad[[#This Row], [Mes]]=""),"",DATE(A2478,MATCH(B2478,{"enero","febrero","marzo","abril","mayo","junio","julio","agosto","septiembre","octubre","noviembre","diciembre"},0)+1,0))</f>
        <v/>
      </c>
      <c r="E2478" t="str">
        <f>+IFERROR(VLOOKUP(Fact_Contabilidad[[#This Row], [Concepto Anterior]],Conceptos_Contabilidad[#All],5,0),"")</f>
        <v/>
      </c>
      <c r="F2478" t="str">
        <f>+IFERROR(VLOOKUP(Fact_Contabilidad[[#This Row], 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ht="18.75" customHeight="1" x14ac:dyDescent="0.35">
      <c r="A2479" s="103"/>
      <c r="C2479" s="100" t="str">
        <f>IF(OR(Fact_Contabilidad[[#This Row], [Año]]="",Fact_Contabilidad[[#This Row], [Mes]]=""),"",DATE(A2479,MATCH(B2479,{"enero","febrero","marzo","abril","mayo","junio","julio","agosto","septiembre","octubre","noviembre","diciembre"},0)+1,0))</f>
        <v/>
      </c>
      <c r="E2479" t="str">
        <f>+IFERROR(VLOOKUP(Fact_Contabilidad[[#This Row], [Concepto Anterior]],Conceptos_Contabilidad[#All],5,0),"")</f>
        <v/>
      </c>
      <c r="F2479" t="str">
        <f>+IFERROR(VLOOKUP(Fact_Contabilidad[[#This Row], 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ht="18.75" customHeight="1" x14ac:dyDescent="0.35">
      <c r="A2480" s="103"/>
      <c r="C2480" s="100" t="str">
        <f>IF(OR(Fact_Contabilidad[[#This Row], [Año]]="",Fact_Contabilidad[[#This Row], [Mes]]=""),"",DATE(A2480,MATCH(B2480,{"enero","febrero","marzo","abril","mayo","junio","julio","agosto","septiembre","octubre","noviembre","diciembre"},0)+1,0))</f>
        <v/>
      </c>
      <c r="E2480" t="str">
        <f>+IFERROR(VLOOKUP(Fact_Contabilidad[[#This Row], [Concepto Anterior]],Conceptos_Contabilidad[#All],5,0),"")</f>
        <v/>
      </c>
      <c r="F2480" t="str">
        <f>+IFERROR(VLOOKUP(Fact_Contabilidad[[#This Row], 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ht="18.75" customHeight="1" x14ac:dyDescent="0.35">
      <c r="A2481" s="103"/>
      <c r="C2481" s="100" t="str">
        <f>IF(OR(Fact_Contabilidad[[#This Row], [Año]]="",Fact_Contabilidad[[#This Row], [Mes]]=""),"",DATE(A2481,MATCH(B2481,{"enero","febrero","marzo","abril","mayo","junio","julio","agosto","septiembre","octubre","noviembre","diciembre"},0)+1,0))</f>
        <v/>
      </c>
      <c r="E2481" t="str">
        <f>+IFERROR(VLOOKUP(Fact_Contabilidad[[#This Row], [Concepto Anterior]],Conceptos_Contabilidad[#All],5,0),"")</f>
        <v/>
      </c>
      <c r="F2481" t="str">
        <f>+IFERROR(VLOOKUP(Fact_Contabilidad[[#This Row], 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ht="18.75" customHeight="1" x14ac:dyDescent="0.35">
      <c r="A2482" s="103"/>
      <c r="C2482" s="100" t="str">
        <f>IF(OR(Fact_Contabilidad[[#This Row], [Año]]="",Fact_Contabilidad[[#This Row], [Mes]]=""),"",DATE(A2482,MATCH(B2482,{"enero","febrero","marzo","abril","mayo","junio","julio","agosto","septiembre","octubre","noviembre","diciembre"},0)+1,0))</f>
        <v/>
      </c>
      <c r="E2482" t="str">
        <f>+IFERROR(VLOOKUP(Fact_Contabilidad[[#This Row], [Concepto Anterior]],Conceptos_Contabilidad[#All],5,0),"")</f>
        <v/>
      </c>
      <c r="F2482" t="str">
        <f>+IFERROR(VLOOKUP(Fact_Contabilidad[[#This Row], 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ht="18.75" customHeight="1" x14ac:dyDescent="0.35">
      <c r="A2483" s="103"/>
      <c r="C2483" s="100" t="str">
        <f>IF(OR(Fact_Contabilidad[[#This Row], [Año]]="",Fact_Contabilidad[[#This Row], [Mes]]=""),"",DATE(A2483,MATCH(B2483,{"enero","febrero","marzo","abril","mayo","junio","julio","agosto","septiembre","octubre","noviembre","diciembre"},0)+1,0))</f>
        <v/>
      </c>
      <c r="E2483" t="str">
        <f>+IFERROR(VLOOKUP(Fact_Contabilidad[[#This Row], [Concepto Anterior]],Conceptos_Contabilidad[#All],5,0),"")</f>
        <v/>
      </c>
      <c r="F2483" t="str">
        <f>+IFERROR(VLOOKUP(Fact_Contabilidad[[#This Row], 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ht="18.75" customHeight="1" x14ac:dyDescent="0.35">
      <c r="A2484" s="103"/>
      <c r="C2484" s="100" t="str">
        <f>IF(OR(Fact_Contabilidad[[#This Row], [Año]]="",Fact_Contabilidad[[#This Row], [Mes]]=""),"",DATE(A2484,MATCH(B2484,{"enero","febrero","marzo","abril","mayo","junio","julio","agosto","septiembre","octubre","noviembre","diciembre"},0)+1,0))</f>
        <v/>
      </c>
      <c r="E2484" t="str">
        <f>+IFERROR(VLOOKUP(Fact_Contabilidad[[#This Row], [Concepto Anterior]],Conceptos_Contabilidad[#All],5,0),"")</f>
        <v/>
      </c>
      <c r="F2484" t="str">
        <f>+IFERROR(VLOOKUP(Fact_Contabilidad[[#This Row], 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ht="18.75" customHeight="1" x14ac:dyDescent="0.35">
      <c r="A2485" s="103"/>
      <c r="C2485" s="100" t="str">
        <f>IF(OR(Fact_Contabilidad[[#This Row], [Año]]="",Fact_Contabilidad[[#This Row], [Mes]]=""),"",DATE(A2485,MATCH(B2485,{"enero","febrero","marzo","abril","mayo","junio","julio","agosto","septiembre","octubre","noviembre","diciembre"},0)+1,0))</f>
        <v/>
      </c>
      <c r="E2485" t="str">
        <f>+IFERROR(VLOOKUP(Fact_Contabilidad[[#This Row], [Concepto Anterior]],Conceptos_Contabilidad[#All],5,0),"")</f>
        <v/>
      </c>
      <c r="F2485" t="str">
        <f>+IFERROR(VLOOKUP(Fact_Contabilidad[[#This Row], 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ht="18.75" customHeight="1" x14ac:dyDescent="0.35">
      <c r="A2486" s="103"/>
      <c r="C2486" s="100" t="str">
        <f>IF(OR(Fact_Contabilidad[[#This Row], [Año]]="",Fact_Contabilidad[[#This Row], [Mes]]=""),"",DATE(A2486,MATCH(B2486,{"enero","febrero","marzo","abril","mayo","junio","julio","agosto","septiembre","octubre","noviembre","diciembre"},0)+1,0))</f>
        <v/>
      </c>
      <c r="E2486" t="str">
        <f>+IFERROR(VLOOKUP(Fact_Contabilidad[[#This Row], [Concepto Anterior]],Conceptos_Contabilidad[#All],5,0),"")</f>
        <v/>
      </c>
      <c r="F2486" t="str">
        <f>+IFERROR(VLOOKUP(Fact_Contabilidad[[#This Row], 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ht="18.75" customHeight="1" x14ac:dyDescent="0.35">
      <c r="A2487" s="103"/>
      <c r="C2487" s="100" t="str">
        <f>IF(OR(Fact_Contabilidad[[#This Row], [Año]]="",Fact_Contabilidad[[#This Row], [Mes]]=""),"",DATE(A2487,MATCH(B2487,{"enero","febrero","marzo","abril","mayo","junio","julio","agosto","septiembre","octubre","noviembre","diciembre"},0)+1,0))</f>
        <v/>
      </c>
      <c r="E2487" t="str">
        <f>+IFERROR(VLOOKUP(Fact_Contabilidad[[#This Row], [Concepto Anterior]],Conceptos_Contabilidad[#All],5,0),"")</f>
        <v/>
      </c>
      <c r="F2487" t="str">
        <f>+IFERROR(VLOOKUP(Fact_Contabilidad[[#This Row], 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ht="18.75" customHeight="1" x14ac:dyDescent="0.35">
      <c r="A2488" s="103"/>
      <c r="C2488" s="100" t="str">
        <f>IF(OR(Fact_Contabilidad[[#This Row], [Año]]="",Fact_Contabilidad[[#This Row], [Mes]]=""),"",DATE(A2488,MATCH(B2488,{"enero","febrero","marzo","abril","mayo","junio","julio","agosto","septiembre","octubre","noviembre","diciembre"},0)+1,0))</f>
        <v/>
      </c>
      <c r="E2488" t="str">
        <f>+IFERROR(VLOOKUP(Fact_Contabilidad[[#This Row], [Concepto Anterior]],Conceptos_Contabilidad[#All],5,0),"")</f>
        <v/>
      </c>
      <c r="F2488" t="str">
        <f>+IFERROR(VLOOKUP(Fact_Contabilidad[[#This Row], 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ht="18.75" customHeight="1" x14ac:dyDescent="0.35">
      <c r="A2489" s="103"/>
      <c r="C2489" s="100" t="str">
        <f>IF(OR(Fact_Contabilidad[[#This Row], [Año]]="",Fact_Contabilidad[[#This Row], [Mes]]=""),"",DATE(A2489,MATCH(B2489,{"enero","febrero","marzo","abril","mayo","junio","julio","agosto","septiembre","octubre","noviembre","diciembre"},0)+1,0))</f>
        <v/>
      </c>
      <c r="E2489" t="str">
        <f>+IFERROR(VLOOKUP(Fact_Contabilidad[[#This Row], [Concepto Anterior]],Conceptos_Contabilidad[#All],5,0),"")</f>
        <v/>
      </c>
      <c r="F2489" t="str">
        <f>+IFERROR(VLOOKUP(Fact_Contabilidad[[#This Row], 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ht="18.75" customHeight="1" x14ac:dyDescent="0.35">
      <c r="A2490" s="103"/>
      <c r="C2490" s="100" t="str">
        <f>IF(OR(Fact_Contabilidad[[#This Row], [Año]]="",Fact_Contabilidad[[#This Row], [Mes]]=""),"",DATE(A2490,MATCH(B2490,{"enero","febrero","marzo","abril","mayo","junio","julio","agosto","septiembre","octubre","noviembre","diciembre"},0)+1,0))</f>
        <v/>
      </c>
      <c r="E2490" t="str">
        <f>+IFERROR(VLOOKUP(Fact_Contabilidad[[#This Row], [Concepto Anterior]],Conceptos_Contabilidad[#All],5,0),"")</f>
        <v/>
      </c>
      <c r="F2490" t="str">
        <f>+IFERROR(VLOOKUP(Fact_Contabilidad[[#This Row], 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ht="18.75" customHeight="1" x14ac:dyDescent="0.35">
      <c r="A2491" s="103"/>
      <c r="C2491" s="100" t="str">
        <f>IF(OR(Fact_Contabilidad[[#This Row], [Año]]="",Fact_Contabilidad[[#This Row], [Mes]]=""),"",DATE(A2491,MATCH(B2491,{"enero","febrero","marzo","abril","mayo","junio","julio","agosto","septiembre","octubre","noviembre","diciembre"},0)+1,0))</f>
        <v/>
      </c>
      <c r="E2491" t="str">
        <f>+IFERROR(VLOOKUP(Fact_Contabilidad[[#This Row], [Concepto Anterior]],Conceptos_Contabilidad[#All],5,0),"")</f>
        <v/>
      </c>
      <c r="F2491" t="str">
        <f>+IFERROR(VLOOKUP(Fact_Contabilidad[[#This Row], 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ht="18.75" customHeight="1" x14ac:dyDescent="0.35">
      <c r="A2492" s="103"/>
      <c r="C2492" s="100" t="str">
        <f>IF(OR(Fact_Contabilidad[[#This Row], [Año]]="",Fact_Contabilidad[[#This Row], [Mes]]=""),"",DATE(A2492,MATCH(B2492,{"enero","febrero","marzo","abril","mayo","junio","julio","agosto","septiembre","octubre","noviembre","diciembre"},0)+1,0))</f>
        <v/>
      </c>
      <c r="E2492" t="str">
        <f>+IFERROR(VLOOKUP(Fact_Contabilidad[[#This Row], [Concepto Anterior]],Conceptos_Contabilidad[#All],5,0),"")</f>
        <v/>
      </c>
      <c r="F2492" t="str">
        <f>+IFERROR(VLOOKUP(Fact_Contabilidad[[#This Row], 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ht="18.75" customHeight="1" x14ac:dyDescent="0.35">
      <c r="A2493" s="103"/>
      <c r="C2493" s="100" t="str">
        <f>IF(OR(Fact_Contabilidad[[#This Row], [Año]]="",Fact_Contabilidad[[#This Row], [Mes]]=""),"",DATE(A2493,MATCH(B2493,{"enero","febrero","marzo","abril","mayo","junio","julio","agosto","septiembre","octubre","noviembre","diciembre"},0)+1,0))</f>
        <v/>
      </c>
      <c r="E2493" t="str">
        <f>+IFERROR(VLOOKUP(Fact_Contabilidad[[#This Row], [Concepto Anterior]],Conceptos_Contabilidad[#All],5,0),"")</f>
        <v/>
      </c>
      <c r="F2493" t="str">
        <f>+IFERROR(VLOOKUP(Fact_Contabilidad[[#This Row], 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ht="18.75" customHeight="1" x14ac:dyDescent="0.35">
      <c r="A2494" s="103"/>
      <c r="C2494" s="100" t="str">
        <f>IF(OR(Fact_Contabilidad[[#This Row], [Año]]="",Fact_Contabilidad[[#This Row], [Mes]]=""),"",DATE(A2494,MATCH(B2494,{"enero","febrero","marzo","abril","mayo","junio","julio","agosto","septiembre","octubre","noviembre","diciembre"},0)+1,0))</f>
        <v/>
      </c>
      <c r="E2494" t="str">
        <f>+IFERROR(VLOOKUP(Fact_Contabilidad[[#This Row], [Concepto Anterior]],Conceptos_Contabilidad[#All],5,0),"")</f>
        <v/>
      </c>
      <c r="F2494" t="str">
        <f>+IFERROR(VLOOKUP(Fact_Contabilidad[[#This Row], 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ht="18.75" customHeight="1" x14ac:dyDescent="0.35">
      <c r="A2495" s="103"/>
      <c r="C2495" s="100" t="str">
        <f>IF(OR(Fact_Contabilidad[[#This Row], [Año]]="",Fact_Contabilidad[[#This Row], [Mes]]=""),"",DATE(A2495,MATCH(B2495,{"enero","febrero","marzo","abril","mayo","junio","julio","agosto","septiembre","octubre","noviembre","diciembre"},0)+1,0))</f>
        <v/>
      </c>
      <c r="E2495" t="str">
        <f>+IFERROR(VLOOKUP(Fact_Contabilidad[[#This Row], [Concepto Anterior]],Conceptos_Contabilidad[#All],5,0),"")</f>
        <v/>
      </c>
      <c r="F2495" t="str">
        <f>+IFERROR(VLOOKUP(Fact_Contabilidad[[#This Row], 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ht="18.75" customHeight="1" x14ac:dyDescent="0.35">
      <c r="A2496" s="103"/>
      <c r="C2496" s="100" t="str">
        <f>IF(OR(Fact_Contabilidad[[#This Row], [Año]]="",Fact_Contabilidad[[#This Row], [Mes]]=""),"",DATE(A2496,MATCH(B2496,{"enero","febrero","marzo","abril","mayo","junio","julio","agosto","septiembre","octubre","noviembre","diciembre"},0)+1,0))</f>
        <v/>
      </c>
      <c r="E2496" t="str">
        <f>+IFERROR(VLOOKUP(Fact_Contabilidad[[#This Row], [Concepto Anterior]],Conceptos_Contabilidad[#All],5,0),"")</f>
        <v/>
      </c>
      <c r="F2496" t="str">
        <f>+IFERROR(VLOOKUP(Fact_Contabilidad[[#This Row], 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ht="18.75" customHeight="1" x14ac:dyDescent="0.35">
      <c r="A2497" s="103"/>
      <c r="C2497" s="100" t="str">
        <f>IF(OR(Fact_Contabilidad[[#This Row], [Año]]="",Fact_Contabilidad[[#This Row], [Mes]]=""),"",DATE(A2497,MATCH(B2497,{"enero","febrero","marzo","abril","mayo","junio","julio","agosto","septiembre","octubre","noviembre","diciembre"},0)+1,0))</f>
        <v/>
      </c>
      <c r="E2497" t="str">
        <f>+IFERROR(VLOOKUP(Fact_Contabilidad[[#This Row], [Concepto Anterior]],Conceptos_Contabilidad[#All],5,0),"")</f>
        <v/>
      </c>
      <c r="F2497" t="str">
        <f>+IFERROR(VLOOKUP(Fact_Contabilidad[[#This Row], 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ht="18.75" customHeight="1" x14ac:dyDescent="0.35">
      <c r="A2498" s="103"/>
      <c r="C2498" s="100" t="str">
        <f>IF(OR(Fact_Contabilidad[[#This Row], [Año]]="",Fact_Contabilidad[[#This Row], [Mes]]=""),"",DATE(A2498,MATCH(B2498,{"enero","febrero","marzo","abril","mayo","junio","julio","agosto","septiembre","octubre","noviembre","diciembre"},0)+1,0))</f>
        <v/>
      </c>
      <c r="E2498" t="str">
        <f>+IFERROR(VLOOKUP(Fact_Contabilidad[[#This Row], [Concepto Anterior]],Conceptos_Contabilidad[#All],5,0),"")</f>
        <v/>
      </c>
      <c r="F2498" t="str">
        <f>+IFERROR(VLOOKUP(Fact_Contabilidad[[#This Row], 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ht="18.75" customHeight="1" x14ac:dyDescent="0.35">
      <c r="A2499" s="103"/>
      <c r="C2499" s="100" t="str">
        <f>IF(OR(Fact_Contabilidad[[#This Row], [Año]]="",Fact_Contabilidad[[#This Row], [Mes]]=""),"",DATE(A2499,MATCH(B2499,{"enero","febrero","marzo","abril","mayo","junio","julio","agosto","septiembre","octubre","noviembre","diciembre"},0)+1,0))</f>
        <v/>
      </c>
      <c r="E2499" t="str">
        <f>+IFERROR(VLOOKUP(Fact_Contabilidad[[#This Row], [Concepto Anterior]],Conceptos_Contabilidad[#All],5,0),"")</f>
        <v/>
      </c>
      <c r="F2499" t="str">
        <f>+IFERROR(VLOOKUP(Fact_Contabilidad[[#This Row], 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ht="18.75" customHeight="1" x14ac:dyDescent="0.35">
      <c r="A2500" s="103"/>
      <c r="C2500" s="100" t="str">
        <f>IF(OR(Fact_Contabilidad[[#This Row], [Año]]="",Fact_Contabilidad[[#This Row], [Mes]]=""),"",DATE(A2500,MATCH(B2500,{"enero","febrero","marzo","abril","mayo","junio","julio","agosto","septiembre","octubre","noviembre","diciembre"},0)+1,0))</f>
        <v/>
      </c>
      <c r="E2500" t="str">
        <f>+IFERROR(VLOOKUP(Fact_Contabilidad[[#This Row], [Concepto Anterior]],Conceptos_Contabilidad[#All],5,0),"")</f>
        <v/>
      </c>
      <c r="F2500" t="str">
        <f>+IFERROR(VLOOKUP(Fact_Contabilidad[[#This Row], 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ht="18.75" customHeight="1" x14ac:dyDescent="0.35">
      <c r="A2501" s="103"/>
      <c r="C2501" s="100" t="str">
        <f>IF(OR(Fact_Contabilidad[[#This Row], [Año]]="",Fact_Contabilidad[[#This Row], [Mes]]=""),"",DATE(A2501,MATCH(B2501,{"enero","febrero","marzo","abril","mayo","junio","julio","agosto","septiembre","octubre","noviembre","diciembre"},0)+1,0))</f>
        <v/>
      </c>
      <c r="E2501" t="str">
        <f>+IFERROR(VLOOKUP(Fact_Contabilidad[[#This Row], [Concepto Anterior]],Conceptos_Contabilidad[#All],5,0),"")</f>
        <v/>
      </c>
      <c r="F2501" t="str">
        <f>+IFERROR(VLOOKUP(Fact_Contabilidad[[#This Row], 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ht="18.75" customHeight="1" x14ac:dyDescent="0.35">
      <c r="A2502" s="103"/>
      <c r="C2502" s="100" t="str">
        <f>IF(OR(Fact_Contabilidad[[#This Row], [Año]]="",Fact_Contabilidad[[#This Row], [Mes]]=""),"",DATE(A2502,MATCH(B2502,{"enero","febrero","marzo","abril","mayo","junio","julio","agosto","septiembre","octubre","noviembre","diciembre"},0)+1,0))</f>
        <v/>
      </c>
      <c r="E2502" t="str">
        <f>+IFERROR(VLOOKUP(Fact_Contabilidad[[#This Row], [Concepto Anterior]],Conceptos_Contabilidad[#All],5,0),"")</f>
        <v/>
      </c>
      <c r="F2502" t="str">
        <f>+IFERROR(VLOOKUP(Fact_Contabilidad[[#This Row], 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ht="18.75" customHeight="1" x14ac:dyDescent="0.35">
      <c r="A2503" s="103"/>
      <c r="C2503" s="100" t="str">
        <f>IF(OR(Fact_Contabilidad[[#This Row], [Año]]="",Fact_Contabilidad[[#This Row], [Mes]]=""),"",DATE(A2503,MATCH(B2503,{"enero","febrero","marzo","abril","mayo","junio","julio","agosto","septiembre","octubre","noviembre","diciembre"},0)+1,0))</f>
        <v/>
      </c>
      <c r="E2503" t="str">
        <f>+IFERROR(VLOOKUP(Fact_Contabilidad[[#This Row], [Concepto Anterior]],Conceptos_Contabilidad[#All],5,0),"")</f>
        <v/>
      </c>
      <c r="F2503" t="str">
        <f>+IFERROR(VLOOKUP(Fact_Contabilidad[[#This Row], 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ht="18.75" customHeight="1" x14ac:dyDescent="0.35">
      <c r="A2504" s="103"/>
      <c r="C2504" s="100" t="str">
        <f>IF(OR(Fact_Contabilidad[[#This Row], [Año]]="",Fact_Contabilidad[[#This Row], [Mes]]=""),"",DATE(A2504,MATCH(B2504,{"enero","febrero","marzo","abril","mayo","junio","julio","agosto","septiembre","octubre","noviembre","diciembre"},0)+1,0))</f>
        <v/>
      </c>
      <c r="E2504" t="str">
        <f>+IFERROR(VLOOKUP(Fact_Contabilidad[[#This Row], [Concepto Anterior]],Conceptos_Contabilidad[#All],5,0),"")</f>
        <v/>
      </c>
      <c r="F2504" t="str">
        <f>+IFERROR(VLOOKUP(Fact_Contabilidad[[#This Row], 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ht="18.75" customHeight="1" x14ac:dyDescent="0.35">
      <c r="A2505" s="103"/>
      <c r="C2505" s="100" t="str">
        <f>IF(OR(Fact_Contabilidad[[#This Row], [Año]]="",Fact_Contabilidad[[#This Row], [Mes]]=""),"",DATE(A2505,MATCH(B2505,{"enero","febrero","marzo","abril","mayo","junio","julio","agosto","septiembre","octubre","noviembre","diciembre"},0)+1,0))</f>
        <v/>
      </c>
      <c r="E2505" t="str">
        <f>+IFERROR(VLOOKUP(Fact_Contabilidad[[#This Row], [Concepto Anterior]],Conceptos_Contabilidad[#All],5,0),"")</f>
        <v/>
      </c>
      <c r="F2505" t="str">
        <f>+IFERROR(VLOOKUP(Fact_Contabilidad[[#This Row], 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ht="18.75" customHeight="1" x14ac:dyDescent="0.35">
      <c r="A2506" s="103"/>
      <c r="C2506" s="100" t="str">
        <f>IF(OR(Fact_Contabilidad[[#This Row], [Año]]="",Fact_Contabilidad[[#This Row], [Mes]]=""),"",DATE(A2506,MATCH(B2506,{"enero","febrero","marzo","abril","mayo","junio","julio","agosto","septiembre","octubre","noviembre","diciembre"},0)+1,0))</f>
        <v/>
      </c>
      <c r="E2506" t="str">
        <f>+IFERROR(VLOOKUP(Fact_Contabilidad[[#This Row], [Concepto Anterior]],Conceptos_Contabilidad[#All],5,0),"")</f>
        <v/>
      </c>
      <c r="F2506" t="str">
        <f>+IFERROR(VLOOKUP(Fact_Contabilidad[[#This Row], 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ht="18.75" customHeight="1" x14ac:dyDescent="0.35">
      <c r="A2507" s="103"/>
      <c r="C2507" s="100" t="str">
        <f>IF(OR(Fact_Contabilidad[[#This Row], [Año]]="",Fact_Contabilidad[[#This Row], [Mes]]=""),"",DATE(A2507,MATCH(B2507,{"enero","febrero","marzo","abril","mayo","junio","julio","agosto","septiembre","octubre","noviembre","diciembre"},0)+1,0))</f>
        <v/>
      </c>
      <c r="E2507" t="str">
        <f>+IFERROR(VLOOKUP(Fact_Contabilidad[[#This Row], [Concepto Anterior]],Conceptos_Contabilidad[#All],5,0),"")</f>
        <v/>
      </c>
      <c r="F2507" t="str">
        <f>+IFERROR(VLOOKUP(Fact_Contabilidad[[#This Row], 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ht="18.75" customHeight="1" x14ac:dyDescent="0.35">
      <c r="A2508" s="103"/>
      <c r="C2508" s="100" t="str">
        <f>IF(OR(Fact_Contabilidad[[#This Row], [Año]]="",Fact_Contabilidad[[#This Row], [Mes]]=""),"",DATE(A2508,MATCH(B2508,{"enero","febrero","marzo","abril","mayo","junio","julio","agosto","septiembre","octubre","noviembre","diciembre"},0)+1,0))</f>
        <v/>
      </c>
      <c r="E2508" t="str">
        <f>+IFERROR(VLOOKUP(Fact_Contabilidad[[#This Row], [Concepto Anterior]],Conceptos_Contabilidad[#All],5,0),"")</f>
        <v/>
      </c>
      <c r="F2508" t="str">
        <f>+IFERROR(VLOOKUP(Fact_Contabilidad[[#This Row], 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ht="18.75" customHeight="1" x14ac:dyDescent="0.35">
      <c r="A2509" s="103"/>
      <c r="C2509" s="100" t="str">
        <f>IF(OR(Fact_Contabilidad[[#This Row], [Año]]="",Fact_Contabilidad[[#This Row], [Mes]]=""),"",DATE(A2509,MATCH(B2509,{"enero","febrero","marzo","abril","mayo","junio","julio","agosto","septiembre","octubre","noviembre","diciembre"},0)+1,0))</f>
        <v/>
      </c>
      <c r="E2509" t="str">
        <f>+IFERROR(VLOOKUP(Fact_Contabilidad[[#This Row], [Concepto Anterior]],Conceptos_Contabilidad[#All],5,0),"")</f>
        <v/>
      </c>
      <c r="F2509" t="str">
        <f>+IFERROR(VLOOKUP(Fact_Contabilidad[[#This Row], 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ht="18.75" customHeight="1" x14ac:dyDescent="0.35">
      <c r="A2510" s="103"/>
      <c r="C2510" s="100" t="str">
        <f>IF(OR(Fact_Contabilidad[[#This Row], [Año]]="",Fact_Contabilidad[[#This Row], [Mes]]=""),"",DATE(A2510,MATCH(B2510,{"enero","febrero","marzo","abril","mayo","junio","julio","agosto","septiembre","octubre","noviembre","diciembre"},0)+1,0))</f>
        <v/>
      </c>
      <c r="E2510" t="str">
        <f>+IFERROR(VLOOKUP(Fact_Contabilidad[[#This Row], [Concepto Anterior]],Conceptos_Contabilidad[#All],5,0),"")</f>
        <v/>
      </c>
      <c r="F2510" t="str">
        <f>+IFERROR(VLOOKUP(Fact_Contabilidad[[#This Row], 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ht="18.75" customHeight="1" x14ac:dyDescent="0.35">
      <c r="A2511" s="103"/>
      <c r="C2511" s="100" t="str">
        <f>IF(OR(Fact_Contabilidad[[#This Row], [Año]]="",Fact_Contabilidad[[#This Row], [Mes]]=""),"",DATE(A2511,MATCH(B2511,{"enero","febrero","marzo","abril","mayo","junio","julio","agosto","septiembre","octubre","noviembre","diciembre"},0)+1,0))</f>
        <v/>
      </c>
      <c r="E2511" t="str">
        <f>+IFERROR(VLOOKUP(Fact_Contabilidad[[#This Row], [Concepto Anterior]],Conceptos_Contabilidad[#All],5,0),"")</f>
        <v/>
      </c>
      <c r="F2511" t="str">
        <f>+IFERROR(VLOOKUP(Fact_Contabilidad[[#This Row], 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ht="18.75" customHeight="1" x14ac:dyDescent="0.35">
      <c r="A2512" s="103"/>
      <c r="C2512" s="100" t="str">
        <f>IF(OR(Fact_Contabilidad[[#This Row], [Año]]="",Fact_Contabilidad[[#This Row], [Mes]]=""),"",DATE(A2512,MATCH(B2512,{"enero","febrero","marzo","abril","mayo","junio","julio","agosto","septiembre","octubre","noviembre","diciembre"},0)+1,0))</f>
        <v/>
      </c>
      <c r="E2512" t="str">
        <f>+IFERROR(VLOOKUP(Fact_Contabilidad[[#This Row], [Concepto Anterior]],Conceptos_Contabilidad[#All],5,0),"")</f>
        <v/>
      </c>
      <c r="F2512" t="str">
        <f>+IFERROR(VLOOKUP(Fact_Contabilidad[[#This Row], 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ht="18.75" customHeight="1" x14ac:dyDescent="0.35">
      <c r="A2513" s="103"/>
      <c r="C2513" s="100" t="str">
        <f>IF(OR(Fact_Contabilidad[[#This Row], [Año]]="",Fact_Contabilidad[[#This Row], [Mes]]=""),"",DATE(A2513,MATCH(B2513,{"enero","febrero","marzo","abril","mayo","junio","julio","agosto","septiembre","octubre","noviembre","diciembre"},0)+1,0))</f>
        <v/>
      </c>
      <c r="E2513" t="str">
        <f>+IFERROR(VLOOKUP(Fact_Contabilidad[[#This Row], [Concepto Anterior]],Conceptos_Contabilidad[#All],5,0),"")</f>
        <v/>
      </c>
      <c r="F2513" t="str">
        <f>+IFERROR(VLOOKUP(Fact_Contabilidad[[#This Row], 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ht="18.75" customHeight="1" x14ac:dyDescent="0.35">
      <c r="A2514" s="103"/>
      <c r="C2514" s="100" t="str">
        <f>IF(OR(Fact_Contabilidad[[#This Row], [Año]]="",Fact_Contabilidad[[#This Row], [Mes]]=""),"",DATE(A2514,MATCH(B2514,{"enero","febrero","marzo","abril","mayo","junio","julio","agosto","septiembre","octubre","noviembre","diciembre"},0)+1,0))</f>
        <v/>
      </c>
      <c r="E2514" t="str">
        <f>+IFERROR(VLOOKUP(Fact_Contabilidad[[#This Row], [Concepto Anterior]],Conceptos_Contabilidad[#All],5,0),"")</f>
        <v/>
      </c>
      <c r="F2514" t="str">
        <f>+IFERROR(VLOOKUP(Fact_Contabilidad[[#This Row], 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ht="18.75" customHeight="1" x14ac:dyDescent="0.35">
      <c r="A2515" s="103"/>
      <c r="C2515" s="100" t="str">
        <f>IF(OR(Fact_Contabilidad[[#This Row], [Año]]="",Fact_Contabilidad[[#This Row], [Mes]]=""),"",DATE(A2515,MATCH(B2515,{"enero","febrero","marzo","abril","mayo","junio","julio","agosto","septiembre","octubre","noviembre","diciembre"},0)+1,0))</f>
        <v/>
      </c>
      <c r="E2515" t="str">
        <f>+IFERROR(VLOOKUP(Fact_Contabilidad[[#This Row], [Concepto Anterior]],Conceptos_Contabilidad[#All],5,0),"")</f>
        <v/>
      </c>
      <c r="F2515" t="str">
        <f>+IFERROR(VLOOKUP(Fact_Contabilidad[[#This Row], 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ht="18.75" customHeight="1" x14ac:dyDescent="0.35">
      <c r="A2516" s="103"/>
      <c r="C2516" s="100" t="str">
        <f>IF(OR(Fact_Contabilidad[[#This Row], [Año]]="",Fact_Contabilidad[[#This Row], [Mes]]=""),"",DATE(A2516,MATCH(B2516,{"enero","febrero","marzo","abril","mayo","junio","julio","agosto","septiembre","octubre","noviembre","diciembre"},0)+1,0))</f>
        <v/>
      </c>
      <c r="E2516" t="str">
        <f>+IFERROR(VLOOKUP(Fact_Contabilidad[[#This Row], [Concepto Anterior]],Conceptos_Contabilidad[#All],5,0),"")</f>
        <v/>
      </c>
      <c r="F2516" t="str">
        <f>+IFERROR(VLOOKUP(Fact_Contabilidad[[#This Row], 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ht="18.75" customHeight="1" x14ac:dyDescent="0.35">
      <c r="A2517" s="103"/>
      <c r="C2517" s="100" t="str">
        <f>IF(OR(Fact_Contabilidad[[#This Row], [Año]]="",Fact_Contabilidad[[#This Row], [Mes]]=""),"",DATE(A2517,MATCH(B2517,{"enero","febrero","marzo","abril","mayo","junio","julio","agosto","septiembre","octubre","noviembre","diciembre"},0)+1,0))</f>
        <v/>
      </c>
      <c r="E2517" t="str">
        <f>+IFERROR(VLOOKUP(Fact_Contabilidad[[#This Row], [Concepto Anterior]],Conceptos_Contabilidad[#All],5,0),"")</f>
        <v/>
      </c>
      <c r="F2517" t="str">
        <f>+IFERROR(VLOOKUP(Fact_Contabilidad[[#This Row], 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ht="18.75" customHeight="1" x14ac:dyDescent="0.35">
      <c r="A2518" s="103"/>
      <c r="C2518" s="100" t="str">
        <f>IF(OR(Fact_Contabilidad[[#This Row], [Año]]="",Fact_Contabilidad[[#This Row], [Mes]]=""),"",DATE(A2518,MATCH(B2518,{"enero","febrero","marzo","abril","mayo","junio","julio","agosto","septiembre","octubre","noviembre","diciembre"},0)+1,0))</f>
        <v/>
      </c>
      <c r="E2518" t="str">
        <f>+IFERROR(VLOOKUP(Fact_Contabilidad[[#This Row], [Concepto Anterior]],Conceptos_Contabilidad[#All],5,0),"")</f>
        <v/>
      </c>
      <c r="F2518" t="str">
        <f>+IFERROR(VLOOKUP(Fact_Contabilidad[[#This Row], 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ht="18.75" customHeight="1" x14ac:dyDescent="0.35">
      <c r="A2519" s="103"/>
      <c r="C2519" s="100" t="str">
        <f>IF(OR(Fact_Contabilidad[[#This Row], [Año]]="",Fact_Contabilidad[[#This Row], [Mes]]=""),"",DATE(A2519,MATCH(B2519,{"enero","febrero","marzo","abril","mayo","junio","julio","agosto","septiembre","octubre","noviembre","diciembre"},0)+1,0))</f>
        <v/>
      </c>
      <c r="E2519" t="str">
        <f>+IFERROR(VLOOKUP(Fact_Contabilidad[[#This Row], [Concepto Anterior]],Conceptos_Contabilidad[#All],5,0),"")</f>
        <v/>
      </c>
      <c r="F2519" t="str">
        <f>+IFERROR(VLOOKUP(Fact_Contabilidad[[#This Row], 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ht="18.75" customHeight="1" x14ac:dyDescent="0.35">
      <c r="A2520" s="103"/>
      <c r="C2520" s="100" t="str">
        <f>IF(OR(Fact_Contabilidad[[#This Row], [Año]]="",Fact_Contabilidad[[#This Row], [Mes]]=""),"",DATE(A2520,MATCH(B2520,{"enero","febrero","marzo","abril","mayo","junio","julio","agosto","septiembre","octubre","noviembre","diciembre"},0)+1,0))</f>
        <v/>
      </c>
      <c r="E2520" t="str">
        <f>+IFERROR(VLOOKUP(Fact_Contabilidad[[#This Row], [Concepto Anterior]],Conceptos_Contabilidad[#All],5,0),"")</f>
        <v/>
      </c>
      <c r="F2520" t="str">
        <f>+IFERROR(VLOOKUP(Fact_Contabilidad[[#This Row], 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ht="18.75" customHeight="1" x14ac:dyDescent="0.35">
      <c r="A2521" s="103"/>
      <c r="C2521" s="100" t="str">
        <f>IF(OR(Fact_Contabilidad[[#This Row], [Año]]="",Fact_Contabilidad[[#This Row], [Mes]]=""),"",DATE(A2521,MATCH(B2521,{"enero","febrero","marzo","abril","mayo","junio","julio","agosto","septiembre","octubre","noviembre","diciembre"},0)+1,0))</f>
        <v/>
      </c>
      <c r="E2521" t="str">
        <f>+IFERROR(VLOOKUP(Fact_Contabilidad[[#This Row], [Concepto Anterior]],Conceptos_Contabilidad[#All],5,0),"")</f>
        <v/>
      </c>
      <c r="F2521" t="str">
        <f>+IFERROR(VLOOKUP(Fact_Contabilidad[[#This Row], 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ht="18.75" customHeight="1" x14ac:dyDescent="0.35">
      <c r="A2522" s="103"/>
      <c r="C2522" s="100" t="str">
        <f>IF(OR(Fact_Contabilidad[[#This Row], [Año]]="",Fact_Contabilidad[[#This Row], [Mes]]=""),"",DATE(A2522,MATCH(B2522,{"enero","febrero","marzo","abril","mayo","junio","julio","agosto","septiembre","octubre","noviembre","diciembre"},0)+1,0))</f>
        <v/>
      </c>
      <c r="E2522" t="str">
        <f>+IFERROR(VLOOKUP(Fact_Contabilidad[[#This Row], [Concepto Anterior]],Conceptos_Contabilidad[#All],5,0),"")</f>
        <v/>
      </c>
      <c r="F2522" t="str">
        <f>+IFERROR(VLOOKUP(Fact_Contabilidad[[#This Row], 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ht="18.75" customHeight="1" x14ac:dyDescent="0.35">
      <c r="A2523" s="103"/>
      <c r="C2523" s="100" t="str">
        <f>IF(OR(Fact_Contabilidad[[#This Row], [Año]]="",Fact_Contabilidad[[#This Row], [Mes]]=""),"",DATE(A2523,MATCH(B2523,{"enero","febrero","marzo","abril","mayo","junio","julio","agosto","septiembre","octubre","noviembre","diciembre"},0)+1,0))</f>
        <v/>
      </c>
      <c r="E2523" t="str">
        <f>+IFERROR(VLOOKUP(Fact_Contabilidad[[#This Row], [Concepto Anterior]],Conceptos_Contabilidad[#All],5,0),"")</f>
        <v/>
      </c>
      <c r="F2523" t="str">
        <f>+IFERROR(VLOOKUP(Fact_Contabilidad[[#This Row], 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ht="18.75" customHeight="1" x14ac:dyDescent="0.35">
      <c r="A2524" s="103"/>
      <c r="C2524" s="100" t="str">
        <f>IF(OR(Fact_Contabilidad[[#This Row], [Año]]="",Fact_Contabilidad[[#This Row], [Mes]]=""),"",DATE(A2524,MATCH(B2524,{"enero","febrero","marzo","abril","mayo","junio","julio","agosto","septiembre","octubre","noviembre","diciembre"},0)+1,0))</f>
        <v/>
      </c>
      <c r="E2524" t="str">
        <f>+IFERROR(VLOOKUP(Fact_Contabilidad[[#This Row], [Concepto Anterior]],Conceptos_Contabilidad[#All],5,0),"")</f>
        <v/>
      </c>
      <c r="F2524" t="str">
        <f>+IFERROR(VLOOKUP(Fact_Contabilidad[[#This Row], 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ht="18.75" customHeight="1" x14ac:dyDescent="0.35">
      <c r="A2525" s="103"/>
      <c r="C2525" s="100" t="str">
        <f>IF(OR(Fact_Contabilidad[[#This Row], [Año]]="",Fact_Contabilidad[[#This Row], [Mes]]=""),"",DATE(A2525,MATCH(B2525,{"enero","febrero","marzo","abril","mayo","junio","julio","agosto","septiembre","octubre","noviembre","diciembre"},0)+1,0))</f>
        <v/>
      </c>
      <c r="E2525" t="str">
        <f>+IFERROR(VLOOKUP(Fact_Contabilidad[[#This Row], [Concepto Anterior]],Conceptos_Contabilidad[#All],5,0),"")</f>
        <v/>
      </c>
      <c r="F2525" t="str">
        <f>+IFERROR(VLOOKUP(Fact_Contabilidad[[#This Row], 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ht="18.75" customHeight="1" x14ac:dyDescent="0.35">
      <c r="A2526" s="103"/>
      <c r="C2526" s="100" t="str">
        <f>IF(OR(Fact_Contabilidad[[#This Row], [Año]]="",Fact_Contabilidad[[#This Row], [Mes]]=""),"",DATE(A2526,MATCH(B2526,{"enero","febrero","marzo","abril","mayo","junio","julio","agosto","septiembre","octubre","noviembre","diciembre"},0)+1,0))</f>
        <v/>
      </c>
      <c r="E2526" t="str">
        <f>+IFERROR(VLOOKUP(Fact_Contabilidad[[#This Row], [Concepto Anterior]],Conceptos_Contabilidad[#All],5,0),"")</f>
        <v/>
      </c>
      <c r="F2526" t="str">
        <f>+IFERROR(VLOOKUP(Fact_Contabilidad[[#This Row], 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ht="18.75" customHeight="1" x14ac:dyDescent="0.35">
      <c r="A2527" s="103"/>
      <c r="C2527" s="100" t="str">
        <f>IF(OR(Fact_Contabilidad[[#This Row], [Año]]="",Fact_Contabilidad[[#This Row], [Mes]]=""),"",DATE(A2527,MATCH(B2527,{"enero","febrero","marzo","abril","mayo","junio","julio","agosto","septiembre","octubre","noviembre","diciembre"},0)+1,0))</f>
        <v/>
      </c>
      <c r="E2527" t="str">
        <f>+IFERROR(VLOOKUP(Fact_Contabilidad[[#This Row], [Concepto Anterior]],Conceptos_Contabilidad[#All],5,0),"")</f>
        <v/>
      </c>
      <c r="F2527" t="str">
        <f>+IFERROR(VLOOKUP(Fact_Contabilidad[[#This Row], 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ht="18.75" customHeight="1" x14ac:dyDescent="0.35">
      <c r="A2528" s="103"/>
      <c r="C2528" s="100" t="str">
        <f>IF(OR(Fact_Contabilidad[[#This Row], [Año]]="",Fact_Contabilidad[[#This Row], [Mes]]=""),"",DATE(A2528,MATCH(B2528,{"enero","febrero","marzo","abril","mayo","junio","julio","agosto","septiembre","octubre","noviembre","diciembre"},0)+1,0))</f>
        <v/>
      </c>
      <c r="E2528" t="str">
        <f>+IFERROR(VLOOKUP(Fact_Contabilidad[[#This Row], [Concepto Anterior]],Conceptos_Contabilidad[#All],5,0),"")</f>
        <v/>
      </c>
      <c r="F2528" t="str">
        <f>+IFERROR(VLOOKUP(Fact_Contabilidad[[#This Row], 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ht="18.75" customHeight="1" x14ac:dyDescent="0.35">
      <c r="A2529" s="103"/>
      <c r="C2529" s="100" t="str">
        <f>IF(OR(Fact_Contabilidad[[#This Row], [Año]]="",Fact_Contabilidad[[#This Row], [Mes]]=""),"",DATE(A2529,MATCH(B2529,{"enero","febrero","marzo","abril","mayo","junio","julio","agosto","septiembre","octubre","noviembre","diciembre"},0)+1,0))</f>
        <v/>
      </c>
      <c r="E2529" t="str">
        <f>+IFERROR(VLOOKUP(Fact_Contabilidad[[#This Row], [Concepto Anterior]],Conceptos_Contabilidad[#All],5,0),"")</f>
        <v/>
      </c>
      <c r="F2529" t="str">
        <f>+IFERROR(VLOOKUP(Fact_Contabilidad[[#This Row], 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ht="18.75" customHeight="1" x14ac:dyDescent="0.35">
      <c r="A2530" s="103"/>
      <c r="C2530" s="100" t="str">
        <f>IF(OR(Fact_Contabilidad[[#This Row], [Año]]="",Fact_Contabilidad[[#This Row], [Mes]]=""),"",DATE(A2530,MATCH(B2530,{"enero","febrero","marzo","abril","mayo","junio","julio","agosto","septiembre","octubre","noviembre","diciembre"},0)+1,0))</f>
        <v/>
      </c>
      <c r="E2530" t="str">
        <f>+IFERROR(VLOOKUP(Fact_Contabilidad[[#This Row], [Concepto Anterior]],Conceptos_Contabilidad[#All],5,0),"")</f>
        <v/>
      </c>
      <c r="F2530" t="str">
        <f>+IFERROR(VLOOKUP(Fact_Contabilidad[[#This Row], 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ht="18.75" customHeight="1" x14ac:dyDescent="0.35">
      <c r="A2531" s="103"/>
      <c r="C2531" s="100" t="str">
        <f>IF(OR(Fact_Contabilidad[[#This Row], [Año]]="",Fact_Contabilidad[[#This Row], [Mes]]=""),"",DATE(A2531,MATCH(B2531,{"enero","febrero","marzo","abril","mayo","junio","julio","agosto","septiembre","octubre","noviembre","diciembre"},0)+1,0))</f>
        <v/>
      </c>
      <c r="E2531" t="str">
        <f>+IFERROR(VLOOKUP(Fact_Contabilidad[[#This Row], [Concepto Anterior]],Conceptos_Contabilidad[#All],5,0),"")</f>
        <v/>
      </c>
      <c r="F2531" t="str">
        <f>+IFERROR(VLOOKUP(Fact_Contabilidad[[#This Row], 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ht="18.75" customHeight="1" x14ac:dyDescent="0.35">
      <c r="A2532" s="103"/>
      <c r="C2532" s="100" t="str">
        <f>IF(OR(Fact_Contabilidad[[#This Row], [Año]]="",Fact_Contabilidad[[#This Row], [Mes]]=""),"",DATE(A2532,MATCH(B2532,{"enero","febrero","marzo","abril","mayo","junio","julio","agosto","septiembre","octubre","noviembre","diciembre"},0)+1,0))</f>
        <v/>
      </c>
      <c r="E2532" t="str">
        <f>+IFERROR(VLOOKUP(Fact_Contabilidad[[#This Row], [Concepto Anterior]],Conceptos_Contabilidad[#All],5,0),"")</f>
        <v/>
      </c>
      <c r="F2532" t="str">
        <f>+IFERROR(VLOOKUP(Fact_Contabilidad[[#This Row], 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ht="18.75" customHeight="1" x14ac:dyDescent="0.35">
      <c r="A2533" s="103"/>
      <c r="C2533" s="100" t="str">
        <f>IF(OR(Fact_Contabilidad[[#This Row], [Año]]="",Fact_Contabilidad[[#This Row], [Mes]]=""),"",DATE(A2533,MATCH(B2533,{"enero","febrero","marzo","abril","mayo","junio","julio","agosto","septiembre","octubre","noviembre","diciembre"},0)+1,0))</f>
        <v/>
      </c>
      <c r="E2533" t="str">
        <f>+IFERROR(VLOOKUP(Fact_Contabilidad[[#This Row], [Concepto Anterior]],Conceptos_Contabilidad[#All],5,0),"")</f>
        <v/>
      </c>
      <c r="F2533" t="str">
        <f>+IFERROR(VLOOKUP(Fact_Contabilidad[[#This Row], 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ht="18.75" customHeight="1" x14ac:dyDescent="0.35">
      <c r="A2534" s="103"/>
      <c r="C2534" s="100" t="str">
        <f>IF(OR(Fact_Contabilidad[[#This Row], [Año]]="",Fact_Contabilidad[[#This Row], [Mes]]=""),"",DATE(A2534,MATCH(B2534,{"enero","febrero","marzo","abril","mayo","junio","julio","agosto","septiembre","octubre","noviembre","diciembre"},0)+1,0))</f>
        <v/>
      </c>
      <c r="E2534" t="str">
        <f>+IFERROR(VLOOKUP(Fact_Contabilidad[[#This Row], [Concepto Anterior]],Conceptos_Contabilidad[#All],5,0),"")</f>
        <v/>
      </c>
      <c r="F2534" t="str">
        <f>+IFERROR(VLOOKUP(Fact_Contabilidad[[#This Row], 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ht="18.75" customHeight="1" x14ac:dyDescent="0.35">
      <c r="A2535" s="103"/>
      <c r="C2535" s="100" t="str">
        <f>IF(OR(Fact_Contabilidad[[#This Row], [Año]]="",Fact_Contabilidad[[#This Row], [Mes]]=""),"",DATE(A2535,MATCH(B2535,{"enero","febrero","marzo","abril","mayo","junio","julio","agosto","septiembre","octubre","noviembre","diciembre"},0)+1,0))</f>
        <v/>
      </c>
      <c r="E2535" t="str">
        <f>+IFERROR(VLOOKUP(Fact_Contabilidad[[#This Row], [Concepto Anterior]],Conceptos_Contabilidad[#All],5,0),"")</f>
        <v/>
      </c>
      <c r="F2535" t="str">
        <f>+IFERROR(VLOOKUP(Fact_Contabilidad[[#This Row], 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ht="18.75" customHeight="1" x14ac:dyDescent="0.35">
      <c r="A2536" s="103"/>
      <c r="C2536" s="100" t="str">
        <f>IF(OR(Fact_Contabilidad[[#This Row], [Año]]="",Fact_Contabilidad[[#This Row], [Mes]]=""),"",DATE(A2536,MATCH(B2536,{"enero","febrero","marzo","abril","mayo","junio","julio","agosto","septiembre","octubre","noviembre","diciembre"},0)+1,0))</f>
        <v/>
      </c>
      <c r="E2536" t="str">
        <f>+IFERROR(VLOOKUP(Fact_Contabilidad[[#This Row], [Concepto Anterior]],Conceptos_Contabilidad[#All],5,0),"")</f>
        <v/>
      </c>
      <c r="F2536" t="str">
        <f>+IFERROR(VLOOKUP(Fact_Contabilidad[[#This Row], 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ht="18.75" customHeight="1" x14ac:dyDescent="0.35">
      <c r="A2537" s="103"/>
      <c r="C2537" s="100" t="str">
        <f>IF(OR(Fact_Contabilidad[[#This Row], [Año]]="",Fact_Contabilidad[[#This Row], [Mes]]=""),"",DATE(A2537,MATCH(B2537,{"enero","febrero","marzo","abril","mayo","junio","julio","agosto","septiembre","octubre","noviembre","diciembre"},0)+1,0))</f>
        <v/>
      </c>
      <c r="E2537" t="str">
        <f>+IFERROR(VLOOKUP(Fact_Contabilidad[[#This Row], [Concepto Anterior]],Conceptos_Contabilidad[#All],5,0),"")</f>
        <v/>
      </c>
      <c r="F2537" t="str">
        <f>+IFERROR(VLOOKUP(Fact_Contabilidad[[#This Row], 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ht="18.75" customHeight="1" x14ac:dyDescent="0.35">
      <c r="A2538" s="103"/>
      <c r="C2538" s="100" t="str">
        <f>IF(OR(Fact_Contabilidad[[#This Row], [Año]]="",Fact_Contabilidad[[#This Row], [Mes]]=""),"",DATE(A2538,MATCH(B2538,{"enero","febrero","marzo","abril","mayo","junio","julio","agosto","septiembre","octubre","noviembre","diciembre"},0)+1,0))</f>
        <v/>
      </c>
      <c r="E2538" t="str">
        <f>+IFERROR(VLOOKUP(Fact_Contabilidad[[#This Row], [Concepto Anterior]],Conceptos_Contabilidad[#All],5,0),"")</f>
        <v/>
      </c>
      <c r="F2538" t="str">
        <f>+IFERROR(VLOOKUP(Fact_Contabilidad[[#This Row], 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ht="18.75" customHeight="1" x14ac:dyDescent="0.35">
      <c r="A2539" s="103"/>
      <c r="C2539" s="100" t="str">
        <f>IF(OR(Fact_Contabilidad[[#This Row], [Año]]="",Fact_Contabilidad[[#This Row], [Mes]]=""),"",DATE(A2539,MATCH(B2539,{"enero","febrero","marzo","abril","mayo","junio","julio","agosto","septiembre","octubre","noviembre","diciembre"},0)+1,0))</f>
        <v/>
      </c>
      <c r="E2539" t="str">
        <f>+IFERROR(VLOOKUP(Fact_Contabilidad[[#This Row], [Concepto Anterior]],Conceptos_Contabilidad[#All],5,0),"")</f>
        <v/>
      </c>
      <c r="F2539" t="str">
        <f>+IFERROR(VLOOKUP(Fact_Contabilidad[[#This Row], 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ht="18.75" customHeight="1" x14ac:dyDescent="0.35">
      <c r="A2540" s="103"/>
      <c r="C2540" s="100" t="str">
        <f>IF(OR(Fact_Contabilidad[[#This Row], [Año]]="",Fact_Contabilidad[[#This Row], [Mes]]=""),"",DATE(A2540,MATCH(B2540,{"enero","febrero","marzo","abril","mayo","junio","julio","agosto","septiembre","octubre","noviembre","diciembre"},0)+1,0))</f>
        <v/>
      </c>
      <c r="E2540" t="str">
        <f>+IFERROR(VLOOKUP(Fact_Contabilidad[[#This Row], [Concepto Anterior]],Conceptos_Contabilidad[#All],5,0),"")</f>
        <v/>
      </c>
      <c r="F2540" t="str">
        <f>+IFERROR(VLOOKUP(Fact_Contabilidad[[#This Row], 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ht="18.75" customHeight="1" x14ac:dyDescent="0.35">
      <c r="A2541" s="103"/>
      <c r="C2541" s="100" t="str">
        <f>IF(OR(Fact_Contabilidad[[#This Row], [Año]]="",Fact_Contabilidad[[#This Row], [Mes]]=""),"",DATE(A2541,MATCH(B2541,{"enero","febrero","marzo","abril","mayo","junio","julio","agosto","septiembre","octubre","noviembre","diciembre"},0)+1,0))</f>
        <v/>
      </c>
      <c r="E2541" t="str">
        <f>+IFERROR(VLOOKUP(Fact_Contabilidad[[#This Row], [Concepto Anterior]],Conceptos_Contabilidad[#All],5,0),"")</f>
        <v/>
      </c>
      <c r="F2541" t="str">
        <f>+IFERROR(VLOOKUP(Fact_Contabilidad[[#This Row], 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ht="18.75" customHeight="1" x14ac:dyDescent="0.35">
      <c r="A2542" s="103"/>
      <c r="C2542" s="100" t="str">
        <f>IF(OR(Fact_Contabilidad[[#This Row], [Año]]="",Fact_Contabilidad[[#This Row], [Mes]]=""),"",DATE(A2542,MATCH(B2542,{"enero","febrero","marzo","abril","mayo","junio","julio","agosto","septiembre","octubre","noviembre","diciembre"},0)+1,0))</f>
        <v/>
      </c>
      <c r="E2542" t="str">
        <f>+IFERROR(VLOOKUP(Fact_Contabilidad[[#This Row], [Concepto Anterior]],Conceptos_Contabilidad[#All],5,0),"")</f>
        <v/>
      </c>
      <c r="F2542" t="str">
        <f>+IFERROR(VLOOKUP(Fact_Contabilidad[[#This Row], 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ht="18.75" customHeight="1" x14ac:dyDescent="0.35">
      <c r="A2543" s="103"/>
      <c r="C2543" s="100" t="str">
        <f>IF(OR(Fact_Contabilidad[[#This Row], [Año]]="",Fact_Contabilidad[[#This Row], [Mes]]=""),"",DATE(A2543,MATCH(B2543,{"enero","febrero","marzo","abril","mayo","junio","julio","agosto","septiembre","octubre","noviembre","diciembre"},0)+1,0))</f>
        <v/>
      </c>
      <c r="E2543" t="str">
        <f>+IFERROR(VLOOKUP(Fact_Contabilidad[[#This Row], [Concepto Anterior]],Conceptos_Contabilidad[#All],5,0),"")</f>
        <v/>
      </c>
      <c r="F2543" t="str">
        <f>+IFERROR(VLOOKUP(Fact_Contabilidad[[#This Row], 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ht="18.75" customHeight="1" x14ac:dyDescent="0.35">
      <c r="A2544" s="103"/>
      <c r="C2544" s="100" t="str">
        <f>IF(OR(Fact_Contabilidad[[#This Row], [Año]]="",Fact_Contabilidad[[#This Row], [Mes]]=""),"",DATE(A2544,MATCH(B2544,{"enero","febrero","marzo","abril","mayo","junio","julio","agosto","septiembre","octubre","noviembre","diciembre"},0)+1,0))</f>
        <v/>
      </c>
      <c r="E2544" t="str">
        <f>+IFERROR(VLOOKUP(Fact_Contabilidad[[#This Row], [Concepto Anterior]],Conceptos_Contabilidad[#All],5,0),"")</f>
        <v/>
      </c>
      <c r="F2544" t="str">
        <f>+IFERROR(VLOOKUP(Fact_Contabilidad[[#This Row], 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ht="18.75" customHeight="1" x14ac:dyDescent="0.35">
      <c r="A2545" s="103"/>
      <c r="C2545" s="100" t="str">
        <f>IF(OR(Fact_Contabilidad[[#This Row], [Año]]="",Fact_Contabilidad[[#This Row], [Mes]]=""),"",DATE(A2545,MATCH(B2545,{"enero","febrero","marzo","abril","mayo","junio","julio","agosto","septiembre","octubre","noviembre","diciembre"},0)+1,0))</f>
        <v/>
      </c>
      <c r="E2545" t="str">
        <f>+IFERROR(VLOOKUP(Fact_Contabilidad[[#This Row], [Concepto Anterior]],Conceptos_Contabilidad[#All],5,0),"")</f>
        <v/>
      </c>
      <c r="F2545" t="str">
        <f>+IFERROR(VLOOKUP(Fact_Contabilidad[[#This Row], 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ht="18.75" customHeight="1" x14ac:dyDescent="0.35">
      <c r="A2546" s="103"/>
      <c r="C2546" s="100" t="str">
        <f>IF(OR(Fact_Contabilidad[[#This Row], [Año]]="",Fact_Contabilidad[[#This Row], [Mes]]=""),"",DATE(A2546,MATCH(B2546,{"enero","febrero","marzo","abril","mayo","junio","julio","agosto","septiembre","octubre","noviembre","diciembre"},0)+1,0))</f>
        <v/>
      </c>
      <c r="E2546" t="str">
        <f>+IFERROR(VLOOKUP(Fact_Contabilidad[[#This Row], [Concepto Anterior]],Conceptos_Contabilidad[#All],5,0),"")</f>
        <v/>
      </c>
      <c r="F2546" t="str">
        <f>+IFERROR(VLOOKUP(Fact_Contabilidad[[#This Row], 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ht="18.75" customHeight="1" x14ac:dyDescent="0.35">
      <c r="A2547" s="103"/>
      <c r="C2547" s="100" t="str">
        <f>IF(OR(Fact_Contabilidad[[#This Row], [Año]]="",Fact_Contabilidad[[#This Row], [Mes]]=""),"",DATE(A2547,MATCH(B2547,{"enero","febrero","marzo","abril","mayo","junio","julio","agosto","septiembre","octubre","noviembre","diciembre"},0)+1,0))</f>
        <v/>
      </c>
      <c r="E2547" t="str">
        <f>+IFERROR(VLOOKUP(Fact_Contabilidad[[#This Row], [Concepto Anterior]],Conceptos_Contabilidad[#All],5,0),"")</f>
        <v/>
      </c>
      <c r="F2547" t="str">
        <f>+IFERROR(VLOOKUP(Fact_Contabilidad[[#This Row], 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ht="18.75" customHeight="1" x14ac:dyDescent="0.35">
      <c r="A2548" s="103"/>
      <c r="C2548" s="100" t="str">
        <f>IF(OR(Fact_Contabilidad[[#This Row], [Año]]="",Fact_Contabilidad[[#This Row], [Mes]]=""),"",DATE(A2548,MATCH(B2548,{"enero","febrero","marzo","abril","mayo","junio","julio","agosto","septiembre","octubre","noviembre","diciembre"},0)+1,0))</f>
        <v/>
      </c>
      <c r="E2548" t="str">
        <f>+IFERROR(VLOOKUP(Fact_Contabilidad[[#This Row], [Concepto Anterior]],Conceptos_Contabilidad[#All],5,0),"")</f>
        <v/>
      </c>
      <c r="F2548" t="str">
        <f>+IFERROR(VLOOKUP(Fact_Contabilidad[[#This Row], 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ht="18.75" customHeight="1" x14ac:dyDescent="0.35">
      <c r="A2549" s="103"/>
      <c r="C2549" s="100" t="str">
        <f>IF(OR(Fact_Contabilidad[[#This Row], [Año]]="",Fact_Contabilidad[[#This Row], [Mes]]=""),"",DATE(A2549,MATCH(B2549,{"enero","febrero","marzo","abril","mayo","junio","julio","agosto","septiembre","octubre","noviembre","diciembre"},0)+1,0))</f>
        <v/>
      </c>
      <c r="E2549" t="str">
        <f>+IFERROR(VLOOKUP(Fact_Contabilidad[[#This Row], [Concepto Anterior]],Conceptos_Contabilidad[#All],5,0),"")</f>
        <v/>
      </c>
      <c r="F2549" t="str">
        <f>+IFERROR(VLOOKUP(Fact_Contabilidad[[#This Row], 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ht="18.75" customHeight="1" x14ac:dyDescent="0.35">
      <c r="A2550" s="103"/>
      <c r="C2550" s="100" t="str">
        <f>IF(OR(Fact_Contabilidad[[#This Row], [Año]]="",Fact_Contabilidad[[#This Row], [Mes]]=""),"",DATE(A2550,MATCH(B2550,{"enero","febrero","marzo","abril","mayo","junio","julio","agosto","septiembre","octubre","noviembre","diciembre"},0)+1,0))</f>
        <v/>
      </c>
      <c r="E2550" t="str">
        <f>+IFERROR(VLOOKUP(Fact_Contabilidad[[#This Row], [Concepto Anterior]],Conceptos_Contabilidad[#All],5,0),"")</f>
        <v/>
      </c>
      <c r="F2550" t="str">
        <f>+IFERROR(VLOOKUP(Fact_Contabilidad[[#This Row], 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ht="18.75" customHeight="1" x14ac:dyDescent="0.35">
      <c r="A2551" s="103"/>
      <c r="C2551" s="100" t="str">
        <f>IF(OR(Fact_Contabilidad[[#This Row], [Año]]="",Fact_Contabilidad[[#This Row], [Mes]]=""),"",DATE(A2551,MATCH(B2551,{"enero","febrero","marzo","abril","mayo","junio","julio","agosto","septiembre","octubre","noviembre","diciembre"},0)+1,0))</f>
        <v/>
      </c>
      <c r="E2551" t="str">
        <f>+IFERROR(VLOOKUP(Fact_Contabilidad[[#This Row], [Concepto Anterior]],Conceptos_Contabilidad[#All],5,0),"")</f>
        <v/>
      </c>
      <c r="F2551" t="str">
        <f>+IFERROR(VLOOKUP(Fact_Contabilidad[[#This Row], 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ht="18.75" customHeight="1" x14ac:dyDescent="0.35">
      <c r="A2552" s="103"/>
      <c r="C2552" s="100" t="str">
        <f>IF(OR(Fact_Contabilidad[[#This Row], [Año]]="",Fact_Contabilidad[[#This Row], [Mes]]=""),"",DATE(A2552,MATCH(B2552,{"enero","febrero","marzo","abril","mayo","junio","julio","agosto","septiembre","octubre","noviembre","diciembre"},0)+1,0))</f>
        <v/>
      </c>
      <c r="E2552" t="str">
        <f>+IFERROR(VLOOKUP(Fact_Contabilidad[[#This Row], [Concepto Anterior]],Conceptos_Contabilidad[#All],5,0),"")</f>
        <v/>
      </c>
      <c r="F2552" t="str">
        <f>+IFERROR(VLOOKUP(Fact_Contabilidad[[#This Row], 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ht="18.75" customHeight="1" x14ac:dyDescent="0.35">
      <c r="A2553" s="103"/>
      <c r="C2553" s="100" t="str">
        <f>IF(OR(Fact_Contabilidad[[#This Row], [Año]]="",Fact_Contabilidad[[#This Row], [Mes]]=""),"",DATE(A2553,MATCH(B2553,{"enero","febrero","marzo","abril","mayo","junio","julio","agosto","septiembre","octubre","noviembre","diciembre"},0)+1,0))</f>
        <v/>
      </c>
      <c r="E2553" t="str">
        <f>+IFERROR(VLOOKUP(Fact_Contabilidad[[#This Row], [Concepto Anterior]],Conceptos_Contabilidad[#All],5,0),"")</f>
        <v/>
      </c>
      <c r="F2553" t="str">
        <f>+IFERROR(VLOOKUP(Fact_Contabilidad[[#This Row], 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ht="18.75" customHeight="1" x14ac:dyDescent="0.35">
      <c r="A2554" s="103"/>
      <c r="C2554" s="100" t="str">
        <f>IF(OR(Fact_Contabilidad[[#This Row], [Año]]="",Fact_Contabilidad[[#This Row], [Mes]]=""),"",DATE(A2554,MATCH(B2554,{"enero","febrero","marzo","abril","mayo","junio","julio","agosto","septiembre","octubre","noviembre","diciembre"},0)+1,0))</f>
        <v/>
      </c>
      <c r="E2554" t="str">
        <f>+IFERROR(VLOOKUP(Fact_Contabilidad[[#This Row], [Concepto Anterior]],Conceptos_Contabilidad[#All],5,0),"")</f>
        <v/>
      </c>
      <c r="F2554" t="str">
        <f>+IFERROR(VLOOKUP(Fact_Contabilidad[[#This Row], 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ht="18.75" customHeight="1" x14ac:dyDescent="0.35">
      <c r="A2555" s="103"/>
      <c r="C2555" s="100" t="str">
        <f>IF(OR(Fact_Contabilidad[[#This Row], [Año]]="",Fact_Contabilidad[[#This Row], [Mes]]=""),"",DATE(A2555,MATCH(B2555,{"enero","febrero","marzo","abril","mayo","junio","julio","agosto","septiembre","octubre","noviembre","diciembre"},0)+1,0))</f>
        <v/>
      </c>
      <c r="E2555" t="str">
        <f>+IFERROR(VLOOKUP(Fact_Contabilidad[[#This Row], [Concepto Anterior]],Conceptos_Contabilidad[#All],5,0),"")</f>
        <v/>
      </c>
      <c r="F2555" t="str">
        <f>+IFERROR(VLOOKUP(Fact_Contabilidad[[#This Row], 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ht="18.75" customHeight="1" x14ac:dyDescent="0.35">
      <c r="A2556" s="103"/>
      <c r="C2556" s="100" t="str">
        <f>IF(OR(Fact_Contabilidad[[#This Row], [Año]]="",Fact_Contabilidad[[#This Row], [Mes]]=""),"",DATE(A2556,MATCH(B2556,{"enero","febrero","marzo","abril","mayo","junio","julio","agosto","septiembre","octubre","noviembre","diciembre"},0)+1,0))</f>
        <v/>
      </c>
      <c r="E2556" t="str">
        <f>+IFERROR(VLOOKUP(Fact_Contabilidad[[#This Row], [Concepto Anterior]],Conceptos_Contabilidad[#All],5,0),"")</f>
        <v/>
      </c>
      <c r="F2556" t="str">
        <f>+IFERROR(VLOOKUP(Fact_Contabilidad[[#This Row], 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ht="18.75" customHeight="1" x14ac:dyDescent="0.35">
      <c r="A2557" s="103"/>
      <c r="C2557" s="100" t="str">
        <f>IF(OR(Fact_Contabilidad[[#This Row], [Año]]="",Fact_Contabilidad[[#This Row], [Mes]]=""),"",DATE(A2557,MATCH(B2557,{"enero","febrero","marzo","abril","mayo","junio","julio","agosto","septiembre","octubre","noviembre","diciembre"},0)+1,0))</f>
        <v/>
      </c>
      <c r="E2557" t="str">
        <f>+IFERROR(VLOOKUP(Fact_Contabilidad[[#This Row], [Concepto Anterior]],Conceptos_Contabilidad[#All],5,0),"")</f>
        <v/>
      </c>
      <c r="F2557" t="str">
        <f>+IFERROR(VLOOKUP(Fact_Contabilidad[[#This Row], 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ht="18.75" customHeight="1" x14ac:dyDescent="0.35">
      <c r="A2558" s="103"/>
      <c r="C2558" s="100" t="str">
        <f>IF(OR(Fact_Contabilidad[[#This Row], [Año]]="",Fact_Contabilidad[[#This Row], [Mes]]=""),"",DATE(A2558,MATCH(B2558,{"enero","febrero","marzo","abril","mayo","junio","julio","agosto","septiembre","octubre","noviembre","diciembre"},0)+1,0))</f>
        <v/>
      </c>
      <c r="E2558" t="str">
        <f>+IFERROR(VLOOKUP(Fact_Contabilidad[[#This Row], [Concepto Anterior]],Conceptos_Contabilidad[#All],5,0),"")</f>
        <v/>
      </c>
      <c r="F2558" t="str">
        <f>+IFERROR(VLOOKUP(Fact_Contabilidad[[#This Row], 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ht="18.75" customHeight="1" x14ac:dyDescent="0.35">
      <c r="A2559" s="103"/>
      <c r="C2559" s="100" t="str">
        <f>IF(OR(Fact_Contabilidad[[#This Row], [Año]]="",Fact_Contabilidad[[#This Row], [Mes]]=""),"",DATE(A2559,MATCH(B2559,{"enero","febrero","marzo","abril","mayo","junio","julio","agosto","septiembre","octubre","noviembre","diciembre"},0)+1,0))</f>
        <v/>
      </c>
      <c r="E2559" t="str">
        <f>+IFERROR(VLOOKUP(Fact_Contabilidad[[#This Row], [Concepto Anterior]],Conceptos_Contabilidad[#All],5,0),"")</f>
        <v/>
      </c>
      <c r="F2559" t="str">
        <f>+IFERROR(VLOOKUP(Fact_Contabilidad[[#This Row], 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ht="18.75" customHeight="1" x14ac:dyDescent="0.35">
      <c r="A2560" s="103"/>
      <c r="C2560" s="100" t="str">
        <f>IF(OR(Fact_Contabilidad[[#This Row], [Año]]="",Fact_Contabilidad[[#This Row], [Mes]]=""),"",DATE(A2560,MATCH(B2560,{"enero","febrero","marzo","abril","mayo","junio","julio","agosto","septiembre","octubre","noviembre","diciembre"},0)+1,0))</f>
        <v/>
      </c>
      <c r="E2560" t="str">
        <f>+IFERROR(VLOOKUP(Fact_Contabilidad[[#This Row], [Concepto Anterior]],Conceptos_Contabilidad[#All],5,0),"")</f>
        <v/>
      </c>
      <c r="F2560" t="str">
        <f>+IFERROR(VLOOKUP(Fact_Contabilidad[[#This Row], 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ht="18.75" customHeight="1" x14ac:dyDescent="0.35">
      <c r="A2561" s="103"/>
      <c r="C2561" s="100" t="str">
        <f>IF(OR(Fact_Contabilidad[[#This Row], [Año]]="",Fact_Contabilidad[[#This Row], [Mes]]=""),"",DATE(A2561,MATCH(B2561,{"enero","febrero","marzo","abril","mayo","junio","julio","agosto","septiembre","octubre","noviembre","diciembre"},0)+1,0))</f>
        <v/>
      </c>
      <c r="E2561" t="str">
        <f>+IFERROR(VLOOKUP(Fact_Contabilidad[[#This Row], [Concepto Anterior]],Conceptos_Contabilidad[#All],5,0),"")</f>
        <v/>
      </c>
      <c r="F2561" t="str">
        <f>+IFERROR(VLOOKUP(Fact_Contabilidad[[#This Row], 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ht="18.75" customHeight="1" x14ac:dyDescent="0.35">
      <c r="A2562" s="103"/>
      <c r="C2562" s="100" t="str">
        <f>IF(OR(Fact_Contabilidad[[#This Row], [Año]]="",Fact_Contabilidad[[#This Row], [Mes]]=""),"",DATE(A2562,MATCH(B2562,{"enero","febrero","marzo","abril","mayo","junio","julio","agosto","septiembre","octubre","noviembre","diciembre"},0)+1,0))</f>
        <v/>
      </c>
      <c r="E2562" t="str">
        <f>+IFERROR(VLOOKUP(Fact_Contabilidad[[#This Row], [Concepto Anterior]],Conceptos_Contabilidad[#All],5,0),"")</f>
        <v/>
      </c>
      <c r="F2562" t="str">
        <f>+IFERROR(VLOOKUP(Fact_Contabilidad[[#This Row], 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ht="18.75" customHeight="1" x14ac:dyDescent="0.35">
      <c r="A2563" s="103"/>
      <c r="C2563" s="100" t="str">
        <f>IF(OR(Fact_Contabilidad[[#This Row], [Año]]="",Fact_Contabilidad[[#This Row], [Mes]]=""),"",DATE(A2563,MATCH(B2563,{"enero","febrero","marzo","abril","mayo","junio","julio","agosto","septiembre","octubre","noviembre","diciembre"},0)+1,0))</f>
        <v/>
      </c>
      <c r="E2563" t="str">
        <f>+IFERROR(VLOOKUP(Fact_Contabilidad[[#This Row], [Concepto Anterior]],Conceptos_Contabilidad[#All],5,0),"")</f>
        <v/>
      </c>
      <c r="F2563" t="str">
        <f>+IFERROR(VLOOKUP(Fact_Contabilidad[[#This Row], 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ht="18.75" customHeight="1" x14ac:dyDescent="0.35">
      <c r="A2564" s="103"/>
      <c r="C2564" s="100" t="str">
        <f>IF(OR(Fact_Contabilidad[[#This Row], [Año]]="",Fact_Contabilidad[[#This Row], [Mes]]=""),"",DATE(A2564,MATCH(B2564,{"enero","febrero","marzo","abril","mayo","junio","julio","agosto","septiembre","octubre","noviembre","diciembre"},0)+1,0))</f>
        <v/>
      </c>
      <c r="E2564" t="str">
        <f>+IFERROR(VLOOKUP(Fact_Contabilidad[[#This Row], [Concepto Anterior]],Conceptos_Contabilidad[#All],5,0),"")</f>
        <v/>
      </c>
      <c r="F2564" t="str">
        <f>+IFERROR(VLOOKUP(Fact_Contabilidad[[#This Row], 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ht="18.75" customHeight="1" x14ac:dyDescent="0.35">
      <c r="A2565" s="103"/>
      <c r="C2565" s="100" t="str">
        <f>IF(OR(Fact_Contabilidad[[#This Row], [Año]]="",Fact_Contabilidad[[#This Row], [Mes]]=""),"",DATE(A2565,MATCH(B2565,{"enero","febrero","marzo","abril","mayo","junio","julio","agosto","septiembre","octubre","noviembre","diciembre"},0)+1,0))</f>
        <v/>
      </c>
      <c r="E2565" t="str">
        <f>+IFERROR(VLOOKUP(Fact_Contabilidad[[#This Row], [Concepto Anterior]],Conceptos_Contabilidad[#All],5,0),"")</f>
        <v/>
      </c>
      <c r="F2565" t="str">
        <f>+IFERROR(VLOOKUP(Fact_Contabilidad[[#This Row], 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ht="18.75" customHeight="1" x14ac:dyDescent="0.35">
      <c r="A2566" s="103"/>
      <c r="C2566" s="100" t="str">
        <f>IF(OR(Fact_Contabilidad[[#This Row], [Año]]="",Fact_Contabilidad[[#This Row], [Mes]]=""),"",DATE(A2566,MATCH(B2566,{"enero","febrero","marzo","abril","mayo","junio","julio","agosto","septiembre","octubre","noviembre","diciembre"},0)+1,0))</f>
        <v/>
      </c>
      <c r="E2566" t="str">
        <f>+IFERROR(VLOOKUP(Fact_Contabilidad[[#This Row], [Concepto Anterior]],Conceptos_Contabilidad[#All],5,0),"")</f>
        <v/>
      </c>
      <c r="F2566" t="str">
        <f>+IFERROR(VLOOKUP(Fact_Contabilidad[[#This Row], 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ht="18.75" customHeight="1" x14ac:dyDescent="0.35">
      <c r="A2567" s="103"/>
      <c r="C2567" s="100" t="str">
        <f>IF(OR(Fact_Contabilidad[[#This Row], [Año]]="",Fact_Contabilidad[[#This Row], [Mes]]=""),"",DATE(A2567,MATCH(B2567,{"enero","febrero","marzo","abril","mayo","junio","julio","agosto","septiembre","octubre","noviembre","diciembre"},0)+1,0))</f>
        <v/>
      </c>
      <c r="E2567" t="str">
        <f>+IFERROR(VLOOKUP(Fact_Contabilidad[[#This Row], [Concepto Anterior]],Conceptos_Contabilidad[#All],5,0),"")</f>
        <v/>
      </c>
      <c r="F2567" t="str">
        <f>+IFERROR(VLOOKUP(Fact_Contabilidad[[#This Row], 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ht="18.75" customHeight="1" x14ac:dyDescent="0.35">
      <c r="A2568" s="103"/>
      <c r="C2568" s="100" t="str">
        <f>IF(OR(Fact_Contabilidad[[#This Row], [Año]]="",Fact_Contabilidad[[#This Row], [Mes]]=""),"",DATE(A2568,MATCH(B2568,{"enero","febrero","marzo","abril","mayo","junio","julio","agosto","septiembre","octubre","noviembre","diciembre"},0)+1,0))</f>
        <v/>
      </c>
      <c r="E2568" t="str">
        <f>+IFERROR(VLOOKUP(Fact_Contabilidad[[#This Row], [Concepto Anterior]],Conceptos_Contabilidad[#All],5,0),"")</f>
        <v/>
      </c>
      <c r="F2568" t="str">
        <f>+IFERROR(VLOOKUP(Fact_Contabilidad[[#This Row], 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ht="18.75" customHeight="1" x14ac:dyDescent="0.35">
      <c r="A2569" s="103"/>
      <c r="C2569" s="100" t="str">
        <f>IF(OR(Fact_Contabilidad[[#This Row], [Año]]="",Fact_Contabilidad[[#This Row], [Mes]]=""),"",DATE(A2569,MATCH(B2569,{"enero","febrero","marzo","abril","mayo","junio","julio","agosto","septiembre","octubre","noviembre","diciembre"},0)+1,0))</f>
        <v/>
      </c>
      <c r="E2569" t="str">
        <f>+IFERROR(VLOOKUP(Fact_Contabilidad[[#This Row], [Concepto Anterior]],Conceptos_Contabilidad[#All],5,0),"")</f>
        <v/>
      </c>
      <c r="F2569" t="str">
        <f>+IFERROR(VLOOKUP(Fact_Contabilidad[[#This Row], 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ht="18.75" customHeight="1" x14ac:dyDescent="0.35">
      <c r="A2570" s="103"/>
      <c r="C2570" s="100" t="str">
        <f>IF(OR(Fact_Contabilidad[[#This Row], [Año]]="",Fact_Contabilidad[[#This Row], [Mes]]=""),"",DATE(A2570,MATCH(B2570,{"enero","febrero","marzo","abril","mayo","junio","julio","agosto","septiembre","octubre","noviembre","diciembre"},0)+1,0))</f>
        <v/>
      </c>
      <c r="E2570" t="str">
        <f>+IFERROR(VLOOKUP(Fact_Contabilidad[[#This Row], [Concepto Anterior]],Conceptos_Contabilidad[#All],5,0),"")</f>
        <v/>
      </c>
      <c r="F2570" t="str">
        <f>+IFERROR(VLOOKUP(Fact_Contabilidad[[#This Row], 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ht="18.75" customHeight="1" x14ac:dyDescent="0.35">
      <c r="A2571" s="103"/>
      <c r="C2571" s="100" t="str">
        <f>IF(OR(Fact_Contabilidad[[#This Row], [Año]]="",Fact_Contabilidad[[#This Row], [Mes]]=""),"",DATE(A2571,MATCH(B2571,{"enero","febrero","marzo","abril","mayo","junio","julio","agosto","septiembre","octubre","noviembre","diciembre"},0)+1,0))</f>
        <v/>
      </c>
      <c r="E2571" t="str">
        <f>+IFERROR(VLOOKUP(Fact_Contabilidad[[#This Row], [Concepto Anterior]],Conceptos_Contabilidad[#All],5,0),"")</f>
        <v/>
      </c>
      <c r="F2571" t="str">
        <f>+IFERROR(VLOOKUP(Fact_Contabilidad[[#This Row], 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ht="18.75" customHeight="1" x14ac:dyDescent="0.35">
      <c r="A2572" s="103"/>
      <c r="C2572" s="100" t="str">
        <f>IF(OR(Fact_Contabilidad[[#This Row], [Año]]="",Fact_Contabilidad[[#This Row], [Mes]]=""),"",DATE(A2572,MATCH(B2572,{"enero","febrero","marzo","abril","mayo","junio","julio","agosto","septiembre","octubre","noviembre","diciembre"},0)+1,0))</f>
        <v/>
      </c>
      <c r="E2572" t="str">
        <f>+IFERROR(VLOOKUP(Fact_Contabilidad[[#This Row], [Concepto Anterior]],Conceptos_Contabilidad[#All],5,0),"")</f>
        <v/>
      </c>
      <c r="F2572" t="str">
        <f>+IFERROR(VLOOKUP(Fact_Contabilidad[[#This Row], 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ht="18.75" customHeight="1" x14ac:dyDescent="0.35">
      <c r="A2573" s="103"/>
      <c r="C2573" s="100" t="str">
        <f>IF(OR(Fact_Contabilidad[[#This Row], [Año]]="",Fact_Contabilidad[[#This Row], [Mes]]=""),"",DATE(A2573,MATCH(B2573,{"enero","febrero","marzo","abril","mayo","junio","julio","agosto","septiembre","octubre","noviembre","diciembre"},0)+1,0))</f>
        <v/>
      </c>
      <c r="E2573" t="str">
        <f>+IFERROR(VLOOKUP(Fact_Contabilidad[[#This Row], [Concepto Anterior]],Conceptos_Contabilidad[#All],5,0),"")</f>
        <v/>
      </c>
      <c r="F2573" t="str">
        <f>+IFERROR(VLOOKUP(Fact_Contabilidad[[#This Row], 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ht="18.75" customHeight="1" x14ac:dyDescent="0.35">
      <c r="A2574" s="103"/>
      <c r="C2574" s="100" t="str">
        <f>IF(OR(Fact_Contabilidad[[#This Row], [Año]]="",Fact_Contabilidad[[#This Row], [Mes]]=""),"",DATE(A2574,MATCH(B2574,{"enero","febrero","marzo","abril","mayo","junio","julio","agosto","septiembre","octubre","noviembre","diciembre"},0)+1,0))</f>
        <v/>
      </c>
      <c r="E2574" t="str">
        <f>+IFERROR(VLOOKUP(Fact_Contabilidad[[#This Row], [Concepto Anterior]],Conceptos_Contabilidad[#All],5,0),"")</f>
        <v/>
      </c>
      <c r="F2574" t="str">
        <f>+IFERROR(VLOOKUP(Fact_Contabilidad[[#This Row], 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ht="18.75" customHeight="1" x14ac:dyDescent="0.35">
      <c r="A2575" s="103"/>
      <c r="C2575" s="100" t="str">
        <f>IF(OR(Fact_Contabilidad[[#This Row], [Año]]="",Fact_Contabilidad[[#This Row], [Mes]]=""),"",DATE(A2575,MATCH(B2575,{"enero","febrero","marzo","abril","mayo","junio","julio","agosto","septiembre","octubre","noviembre","diciembre"},0)+1,0))</f>
        <v/>
      </c>
      <c r="E2575" t="str">
        <f>+IFERROR(VLOOKUP(Fact_Contabilidad[[#This Row], [Concepto Anterior]],Conceptos_Contabilidad[#All],5,0),"")</f>
        <v/>
      </c>
      <c r="F2575" t="str">
        <f>+IFERROR(VLOOKUP(Fact_Contabilidad[[#This Row], 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ht="18.75" customHeight="1" x14ac:dyDescent="0.35">
      <c r="A2576" s="103"/>
      <c r="C2576" s="100" t="str">
        <f>IF(OR(Fact_Contabilidad[[#This Row], [Año]]="",Fact_Contabilidad[[#This Row], [Mes]]=""),"",DATE(A2576,MATCH(B2576,{"enero","febrero","marzo","abril","mayo","junio","julio","agosto","septiembre","octubre","noviembre","diciembre"},0)+1,0))</f>
        <v/>
      </c>
      <c r="E2576" t="str">
        <f>+IFERROR(VLOOKUP(Fact_Contabilidad[[#This Row], [Concepto Anterior]],Conceptos_Contabilidad[#All],5,0),"")</f>
        <v/>
      </c>
      <c r="F2576" t="str">
        <f>+IFERROR(VLOOKUP(Fact_Contabilidad[[#This Row], 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ht="18.75" customHeight="1" x14ac:dyDescent="0.35">
      <c r="A2577" s="103"/>
      <c r="C2577" s="100" t="str">
        <f>IF(OR(Fact_Contabilidad[[#This Row], [Año]]="",Fact_Contabilidad[[#This Row], [Mes]]=""),"",DATE(A2577,MATCH(B2577,{"enero","febrero","marzo","abril","mayo","junio","julio","agosto","septiembre","octubre","noviembre","diciembre"},0)+1,0))</f>
        <v/>
      </c>
      <c r="E2577" t="str">
        <f>+IFERROR(VLOOKUP(Fact_Contabilidad[[#This Row], [Concepto Anterior]],Conceptos_Contabilidad[#All],5,0),"")</f>
        <v/>
      </c>
      <c r="F2577" t="str">
        <f>+IFERROR(VLOOKUP(Fact_Contabilidad[[#This Row], 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ht="18.75" customHeight="1" x14ac:dyDescent="0.35">
      <c r="A2578" s="103"/>
      <c r="C2578" s="100" t="str">
        <f>IF(OR(Fact_Contabilidad[[#This Row], [Año]]="",Fact_Contabilidad[[#This Row], [Mes]]=""),"",DATE(A2578,MATCH(B2578,{"enero","febrero","marzo","abril","mayo","junio","julio","agosto","septiembre","octubre","noviembre","diciembre"},0)+1,0))</f>
        <v/>
      </c>
      <c r="E2578" t="str">
        <f>+IFERROR(VLOOKUP(Fact_Contabilidad[[#This Row], [Concepto Anterior]],Conceptos_Contabilidad[#All],5,0),"")</f>
        <v/>
      </c>
      <c r="F2578" t="str">
        <f>+IFERROR(VLOOKUP(Fact_Contabilidad[[#This Row], 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ht="18.75" customHeight="1" x14ac:dyDescent="0.35">
      <c r="A2579" s="103"/>
      <c r="C2579" s="100" t="str">
        <f>IF(OR(Fact_Contabilidad[[#This Row], [Año]]="",Fact_Contabilidad[[#This Row], [Mes]]=""),"",DATE(A2579,MATCH(B2579,{"enero","febrero","marzo","abril","mayo","junio","julio","agosto","septiembre","octubre","noviembre","diciembre"},0)+1,0))</f>
        <v/>
      </c>
      <c r="E2579" t="str">
        <f>+IFERROR(VLOOKUP(Fact_Contabilidad[[#This Row], [Concepto Anterior]],Conceptos_Contabilidad[#All],5,0),"")</f>
        <v/>
      </c>
      <c r="F2579" t="str">
        <f>+IFERROR(VLOOKUP(Fact_Contabilidad[[#This Row], 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ht="18.75" customHeight="1" x14ac:dyDescent="0.35">
      <c r="A2580" s="103"/>
      <c r="C2580" s="100" t="str">
        <f>IF(OR(Fact_Contabilidad[[#This Row], [Año]]="",Fact_Contabilidad[[#This Row], [Mes]]=""),"",DATE(A2580,MATCH(B2580,{"enero","febrero","marzo","abril","mayo","junio","julio","agosto","septiembre","octubre","noviembre","diciembre"},0)+1,0))</f>
        <v/>
      </c>
      <c r="E2580" t="str">
        <f>+IFERROR(VLOOKUP(Fact_Contabilidad[[#This Row], [Concepto Anterior]],Conceptos_Contabilidad[#All],5,0),"")</f>
        <v/>
      </c>
      <c r="F2580" t="str">
        <f>+IFERROR(VLOOKUP(Fact_Contabilidad[[#This Row], 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ht="18.75" customHeight="1" x14ac:dyDescent="0.35">
      <c r="A2581" s="103"/>
      <c r="C2581" s="100" t="str">
        <f>IF(OR(Fact_Contabilidad[[#This Row], [Año]]="",Fact_Contabilidad[[#This Row], [Mes]]=""),"",DATE(A2581,MATCH(B2581,{"enero","febrero","marzo","abril","mayo","junio","julio","agosto","septiembre","octubre","noviembre","diciembre"},0)+1,0))</f>
        <v/>
      </c>
      <c r="E2581" t="str">
        <f>+IFERROR(VLOOKUP(Fact_Contabilidad[[#This Row], [Concepto Anterior]],Conceptos_Contabilidad[#All],5,0),"")</f>
        <v/>
      </c>
      <c r="F2581" t="str">
        <f>+IFERROR(VLOOKUP(Fact_Contabilidad[[#This Row], 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ht="18.75" customHeight="1" x14ac:dyDescent="0.35">
      <c r="A2582" s="103"/>
      <c r="C2582" s="100" t="str">
        <f>IF(OR(Fact_Contabilidad[[#This Row], [Año]]="",Fact_Contabilidad[[#This Row], [Mes]]=""),"",DATE(A2582,MATCH(B2582,{"enero","febrero","marzo","abril","mayo","junio","julio","agosto","septiembre","octubre","noviembre","diciembre"},0)+1,0))</f>
        <v/>
      </c>
      <c r="E2582" t="str">
        <f>+IFERROR(VLOOKUP(Fact_Contabilidad[[#This Row], [Concepto Anterior]],Conceptos_Contabilidad[#All],5,0),"")</f>
        <v/>
      </c>
      <c r="F2582" t="str">
        <f>+IFERROR(VLOOKUP(Fact_Contabilidad[[#This Row], 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ht="18.75" customHeight="1" x14ac:dyDescent="0.35">
      <c r="A2583" s="103"/>
      <c r="C2583" s="100" t="str">
        <f>IF(OR(Fact_Contabilidad[[#This Row], [Año]]="",Fact_Contabilidad[[#This Row], [Mes]]=""),"",DATE(A2583,MATCH(B2583,{"enero","febrero","marzo","abril","mayo","junio","julio","agosto","septiembre","octubre","noviembre","diciembre"},0)+1,0))</f>
        <v/>
      </c>
      <c r="E2583" t="str">
        <f>+IFERROR(VLOOKUP(Fact_Contabilidad[[#This Row], [Concepto Anterior]],Conceptos_Contabilidad[#All],5,0),"")</f>
        <v/>
      </c>
      <c r="F2583" t="str">
        <f>+IFERROR(VLOOKUP(Fact_Contabilidad[[#This Row], 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ht="18.75" customHeight="1" x14ac:dyDescent="0.35">
      <c r="A2584" s="103"/>
      <c r="C2584" s="100" t="str">
        <f>IF(OR(Fact_Contabilidad[[#This Row], [Año]]="",Fact_Contabilidad[[#This Row], [Mes]]=""),"",DATE(A2584,MATCH(B2584,{"enero","febrero","marzo","abril","mayo","junio","julio","agosto","septiembre","octubre","noviembre","diciembre"},0)+1,0))</f>
        <v/>
      </c>
      <c r="E2584" t="str">
        <f>+IFERROR(VLOOKUP(Fact_Contabilidad[[#This Row], [Concepto Anterior]],Conceptos_Contabilidad[#All],5,0),"")</f>
        <v/>
      </c>
      <c r="F2584" t="str">
        <f>+IFERROR(VLOOKUP(Fact_Contabilidad[[#This Row], 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ht="18.75" customHeight="1" x14ac:dyDescent="0.35">
      <c r="A2585" s="103"/>
      <c r="C2585" s="100" t="str">
        <f>IF(OR(Fact_Contabilidad[[#This Row], [Año]]="",Fact_Contabilidad[[#This Row], [Mes]]=""),"",DATE(A2585,MATCH(B2585,{"enero","febrero","marzo","abril","mayo","junio","julio","agosto","septiembre","octubre","noviembre","diciembre"},0)+1,0))</f>
        <v/>
      </c>
      <c r="E2585" t="str">
        <f>+IFERROR(VLOOKUP(Fact_Contabilidad[[#This Row], [Concepto Anterior]],Conceptos_Contabilidad[#All],5,0),"")</f>
        <v/>
      </c>
      <c r="F2585" t="str">
        <f>+IFERROR(VLOOKUP(Fact_Contabilidad[[#This Row], 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ht="18.75" customHeight="1" x14ac:dyDescent="0.35">
      <c r="A2586" s="103"/>
      <c r="C2586" s="100" t="str">
        <f>IF(OR(Fact_Contabilidad[[#This Row], [Año]]="",Fact_Contabilidad[[#This Row], [Mes]]=""),"",DATE(A2586,MATCH(B2586,{"enero","febrero","marzo","abril","mayo","junio","julio","agosto","septiembre","octubre","noviembre","diciembre"},0)+1,0))</f>
        <v/>
      </c>
      <c r="E2586" t="str">
        <f>+IFERROR(VLOOKUP(Fact_Contabilidad[[#This Row], [Concepto Anterior]],Conceptos_Contabilidad[#All],5,0),"")</f>
        <v/>
      </c>
      <c r="F2586" t="str">
        <f>+IFERROR(VLOOKUP(Fact_Contabilidad[[#This Row], 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ht="18.75" customHeight="1" x14ac:dyDescent="0.35">
      <c r="A2587" s="103"/>
      <c r="C2587" s="100" t="str">
        <f>IF(OR(Fact_Contabilidad[[#This Row], [Año]]="",Fact_Contabilidad[[#This Row], [Mes]]=""),"",DATE(A2587,MATCH(B2587,{"enero","febrero","marzo","abril","mayo","junio","julio","agosto","septiembre","octubre","noviembre","diciembre"},0)+1,0))</f>
        <v/>
      </c>
      <c r="E2587" t="str">
        <f>+IFERROR(VLOOKUP(Fact_Contabilidad[[#This Row], [Concepto Anterior]],Conceptos_Contabilidad[#All],5,0),"")</f>
        <v/>
      </c>
      <c r="F2587" t="str">
        <f>+IFERROR(VLOOKUP(Fact_Contabilidad[[#This Row], 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ht="18.75" customHeight="1" x14ac:dyDescent="0.35">
      <c r="A2588" s="103"/>
      <c r="C2588" s="100" t="str">
        <f>IF(OR(Fact_Contabilidad[[#This Row], [Año]]="",Fact_Contabilidad[[#This Row], [Mes]]=""),"",DATE(A2588,MATCH(B2588,{"enero","febrero","marzo","abril","mayo","junio","julio","agosto","septiembre","octubre","noviembre","diciembre"},0)+1,0))</f>
        <v/>
      </c>
      <c r="E2588" t="str">
        <f>+IFERROR(VLOOKUP(Fact_Contabilidad[[#This Row], [Concepto Anterior]],Conceptos_Contabilidad[#All],5,0),"")</f>
        <v/>
      </c>
      <c r="F2588" t="str">
        <f>+IFERROR(VLOOKUP(Fact_Contabilidad[[#This Row], 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ht="18.75" customHeight="1" x14ac:dyDescent="0.35">
      <c r="A2589" s="103"/>
      <c r="C2589" s="100" t="str">
        <f>IF(OR(Fact_Contabilidad[[#This Row], [Año]]="",Fact_Contabilidad[[#This Row], [Mes]]=""),"",DATE(A2589,MATCH(B2589,{"enero","febrero","marzo","abril","mayo","junio","julio","agosto","septiembre","octubre","noviembre","diciembre"},0)+1,0))</f>
        <v/>
      </c>
      <c r="E2589" t="str">
        <f>+IFERROR(VLOOKUP(Fact_Contabilidad[[#This Row], [Concepto Anterior]],Conceptos_Contabilidad[#All],5,0),"")</f>
        <v/>
      </c>
      <c r="F2589" t="str">
        <f>+IFERROR(VLOOKUP(Fact_Contabilidad[[#This Row], 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ht="18.75" customHeight="1" x14ac:dyDescent="0.35">
      <c r="A2590" s="103"/>
      <c r="C2590" s="100" t="str">
        <f>IF(OR(Fact_Contabilidad[[#This Row], [Año]]="",Fact_Contabilidad[[#This Row], [Mes]]=""),"",DATE(A2590,MATCH(B2590,{"enero","febrero","marzo","abril","mayo","junio","julio","agosto","septiembre","octubre","noviembre","diciembre"},0)+1,0))</f>
        <v/>
      </c>
      <c r="E2590" t="str">
        <f>+IFERROR(VLOOKUP(Fact_Contabilidad[[#This Row], [Concepto Anterior]],Conceptos_Contabilidad[#All],5,0),"")</f>
        <v/>
      </c>
      <c r="F2590" t="str">
        <f>+IFERROR(VLOOKUP(Fact_Contabilidad[[#This Row], 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ht="18.75" customHeight="1" x14ac:dyDescent="0.35">
      <c r="A2591" s="103"/>
      <c r="C2591" s="100" t="str">
        <f>IF(OR(Fact_Contabilidad[[#This Row], [Año]]="",Fact_Contabilidad[[#This Row], [Mes]]=""),"",DATE(A2591,MATCH(B2591,{"enero","febrero","marzo","abril","mayo","junio","julio","agosto","septiembre","octubre","noviembre","diciembre"},0)+1,0))</f>
        <v/>
      </c>
      <c r="E2591" t="str">
        <f>+IFERROR(VLOOKUP(Fact_Contabilidad[[#This Row], [Concepto Anterior]],Conceptos_Contabilidad[#All],5,0),"")</f>
        <v/>
      </c>
      <c r="F2591" t="str">
        <f>+IFERROR(VLOOKUP(Fact_Contabilidad[[#This Row], 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ht="18.75" customHeight="1" x14ac:dyDescent="0.35">
      <c r="A2592" s="103"/>
      <c r="C2592" s="100" t="str">
        <f>IF(OR(Fact_Contabilidad[[#This Row], [Año]]="",Fact_Contabilidad[[#This Row], [Mes]]=""),"",DATE(A2592,MATCH(B2592,{"enero","febrero","marzo","abril","mayo","junio","julio","agosto","septiembre","octubre","noviembre","diciembre"},0)+1,0))</f>
        <v/>
      </c>
      <c r="E2592" t="str">
        <f>+IFERROR(VLOOKUP(Fact_Contabilidad[[#This Row], [Concepto Anterior]],Conceptos_Contabilidad[#All],5,0),"")</f>
        <v/>
      </c>
      <c r="F2592" t="str">
        <f>+IFERROR(VLOOKUP(Fact_Contabilidad[[#This Row], 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ht="18.75" customHeight="1" x14ac:dyDescent="0.35">
      <c r="A2593" s="103"/>
      <c r="C2593" s="100" t="str">
        <f>IF(OR(Fact_Contabilidad[[#This Row], [Año]]="",Fact_Contabilidad[[#This Row], [Mes]]=""),"",DATE(A2593,MATCH(B2593,{"enero","febrero","marzo","abril","mayo","junio","julio","agosto","septiembre","octubre","noviembre","diciembre"},0)+1,0))</f>
        <v/>
      </c>
      <c r="E2593" t="str">
        <f>+IFERROR(VLOOKUP(Fact_Contabilidad[[#This Row], [Concepto Anterior]],Conceptos_Contabilidad[#All],5,0),"")</f>
        <v/>
      </c>
      <c r="F2593" t="str">
        <f>+IFERROR(VLOOKUP(Fact_Contabilidad[[#This Row], 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ht="18.75" customHeight="1" x14ac:dyDescent="0.35">
      <c r="A2594" s="103"/>
      <c r="C2594" s="100" t="str">
        <f>IF(OR(Fact_Contabilidad[[#This Row], [Año]]="",Fact_Contabilidad[[#This Row], [Mes]]=""),"",DATE(A2594,MATCH(B2594,{"enero","febrero","marzo","abril","mayo","junio","julio","agosto","septiembre","octubre","noviembre","diciembre"},0)+1,0))</f>
        <v/>
      </c>
      <c r="E2594" t="str">
        <f>+IFERROR(VLOOKUP(Fact_Contabilidad[[#This Row], [Concepto Anterior]],Conceptos_Contabilidad[#All],5,0),"")</f>
        <v/>
      </c>
      <c r="F2594" t="str">
        <f>+IFERROR(VLOOKUP(Fact_Contabilidad[[#This Row], 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ht="18.75" customHeight="1" x14ac:dyDescent="0.35">
      <c r="A2595" s="103"/>
      <c r="C2595" s="100" t="str">
        <f>IF(OR(Fact_Contabilidad[[#This Row], [Año]]="",Fact_Contabilidad[[#This Row], [Mes]]=""),"",DATE(A2595,MATCH(B2595,{"enero","febrero","marzo","abril","mayo","junio","julio","agosto","septiembre","octubre","noviembre","diciembre"},0)+1,0))</f>
        <v/>
      </c>
      <c r="E2595" t="str">
        <f>+IFERROR(VLOOKUP(Fact_Contabilidad[[#This Row], [Concepto Anterior]],Conceptos_Contabilidad[#All],5,0),"")</f>
        <v/>
      </c>
      <c r="F2595" t="str">
        <f>+IFERROR(VLOOKUP(Fact_Contabilidad[[#This Row], 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ht="18.75" customHeight="1" x14ac:dyDescent="0.35">
      <c r="A2596" s="103"/>
      <c r="C2596" s="100" t="str">
        <f>IF(OR(Fact_Contabilidad[[#This Row], [Año]]="",Fact_Contabilidad[[#This Row], [Mes]]=""),"",DATE(A2596,MATCH(B2596,{"enero","febrero","marzo","abril","mayo","junio","julio","agosto","septiembre","octubre","noviembre","diciembre"},0)+1,0))</f>
        <v/>
      </c>
      <c r="E2596" t="str">
        <f>+IFERROR(VLOOKUP(Fact_Contabilidad[[#This Row], [Concepto Anterior]],Conceptos_Contabilidad[#All],5,0),"")</f>
        <v/>
      </c>
      <c r="F2596" t="str">
        <f>+IFERROR(VLOOKUP(Fact_Contabilidad[[#This Row], 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ht="18.75" customHeight="1" x14ac:dyDescent="0.35">
      <c r="A2597" s="103"/>
      <c r="C2597" s="100" t="str">
        <f>IF(OR(Fact_Contabilidad[[#This Row], [Año]]="",Fact_Contabilidad[[#This Row], [Mes]]=""),"",DATE(A2597,MATCH(B2597,{"enero","febrero","marzo","abril","mayo","junio","julio","agosto","septiembre","octubre","noviembre","diciembre"},0)+1,0))</f>
        <v/>
      </c>
      <c r="E2597" t="str">
        <f>+IFERROR(VLOOKUP(Fact_Contabilidad[[#This Row], [Concepto Anterior]],Conceptos_Contabilidad[#All],5,0),"")</f>
        <v/>
      </c>
      <c r="F2597" t="str">
        <f>+IFERROR(VLOOKUP(Fact_Contabilidad[[#This Row], 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ht="18.75" customHeight="1" x14ac:dyDescent="0.35">
      <c r="A2598" s="103"/>
      <c r="C2598" s="100" t="str">
        <f>IF(OR(Fact_Contabilidad[[#This Row], [Año]]="",Fact_Contabilidad[[#This Row], [Mes]]=""),"",DATE(A2598,MATCH(B2598,{"enero","febrero","marzo","abril","mayo","junio","julio","agosto","septiembre","octubre","noviembre","diciembre"},0)+1,0))</f>
        <v/>
      </c>
      <c r="E2598" t="str">
        <f>+IFERROR(VLOOKUP(Fact_Contabilidad[[#This Row], [Concepto Anterior]],Conceptos_Contabilidad[#All],5,0),"")</f>
        <v/>
      </c>
      <c r="F2598" t="str">
        <f>+IFERROR(VLOOKUP(Fact_Contabilidad[[#This Row], 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ht="18.75" customHeight="1" x14ac:dyDescent="0.35">
      <c r="A2599" s="103"/>
      <c r="C2599" s="100" t="str">
        <f>IF(OR(Fact_Contabilidad[[#This Row], [Año]]="",Fact_Contabilidad[[#This Row], [Mes]]=""),"",DATE(A2599,MATCH(B2599,{"enero","febrero","marzo","abril","mayo","junio","julio","agosto","septiembre","octubre","noviembre","diciembre"},0)+1,0))</f>
        <v/>
      </c>
      <c r="E2599" t="str">
        <f>+IFERROR(VLOOKUP(Fact_Contabilidad[[#This Row], [Concepto Anterior]],Conceptos_Contabilidad[#All],5,0),"")</f>
        <v/>
      </c>
      <c r="F2599" t="str">
        <f>+IFERROR(VLOOKUP(Fact_Contabilidad[[#This Row], 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ht="18.75" customHeight="1" x14ac:dyDescent="0.35">
      <c r="A2600" s="103"/>
      <c r="C2600" s="100" t="str">
        <f>IF(OR(Fact_Contabilidad[[#This Row], [Año]]="",Fact_Contabilidad[[#This Row], [Mes]]=""),"",DATE(A2600,MATCH(B2600,{"enero","febrero","marzo","abril","mayo","junio","julio","agosto","septiembre","octubre","noviembre","diciembre"},0)+1,0))</f>
        <v/>
      </c>
      <c r="E2600" t="str">
        <f>+IFERROR(VLOOKUP(Fact_Contabilidad[[#This Row], [Concepto Anterior]],Conceptos_Contabilidad[#All],5,0),"")</f>
        <v/>
      </c>
      <c r="F2600" t="str">
        <f>+IFERROR(VLOOKUP(Fact_Contabilidad[[#This Row], 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ht="18.75" customHeight="1" x14ac:dyDescent="0.35">
      <c r="A2601" s="103"/>
      <c r="C2601" s="100" t="str">
        <f>IF(OR(Fact_Contabilidad[[#This Row], [Año]]="",Fact_Contabilidad[[#This Row], [Mes]]=""),"",DATE(A2601,MATCH(B2601,{"enero","febrero","marzo","abril","mayo","junio","julio","agosto","septiembre","octubre","noviembre","diciembre"},0)+1,0))</f>
        <v/>
      </c>
      <c r="E2601" t="str">
        <f>+IFERROR(VLOOKUP(Fact_Contabilidad[[#This Row], [Concepto Anterior]],Conceptos_Contabilidad[#All],5,0),"")</f>
        <v/>
      </c>
      <c r="F2601" t="str">
        <f>+IFERROR(VLOOKUP(Fact_Contabilidad[[#This Row], 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ht="18.75" customHeight="1" x14ac:dyDescent="0.35">
      <c r="A2602" s="103"/>
      <c r="C2602" s="100" t="str">
        <f>IF(OR(Fact_Contabilidad[[#This Row], [Año]]="",Fact_Contabilidad[[#This Row], [Mes]]=""),"",DATE(A2602,MATCH(B2602,{"enero","febrero","marzo","abril","mayo","junio","julio","agosto","septiembre","octubre","noviembre","diciembre"},0)+1,0))</f>
        <v/>
      </c>
      <c r="E2602" t="str">
        <f>+IFERROR(VLOOKUP(Fact_Contabilidad[[#This Row], [Concepto Anterior]],Conceptos_Contabilidad[#All],5,0),"")</f>
        <v/>
      </c>
      <c r="F2602" t="str">
        <f>+IFERROR(VLOOKUP(Fact_Contabilidad[[#This Row], 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ht="18.75" customHeight="1" x14ac:dyDescent="0.35">
      <c r="A2603" s="103"/>
      <c r="C2603" s="100" t="str">
        <f>IF(OR(Fact_Contabilidad[[#This Row], [Año]]="",Fact_Contabilidad[[#This Row], [Mes]]=""),"",DATE(A2603,MATCH(B2603,{"enero","febrero","marzo","abril","mayo","junio","julio","agosto","septiembre","octubre","noviembre","diciembre"},0)+1,0))</f>
        <v/>
      </c>
      <c r="E2603" t="str">
        <f>+IFERROR(VLOOKUP(Fact_Contabilidad[[#This Row], [Concepto Anterior]],Conceptos_Contabilidad[#All],5,0),"")</f>
        <v/>
      </c>
      <c r="F2603" t="str">
        <f>+IFERROR(VLOOKUP(Fact_Contabilidad[[#This Row], 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ht="18.75" customHeight="1" x14ac:dyDescent="0.35">
      <c r="A2604" s="103"/>
      <c r="C2604" s="100" t="str">
        <f>IF(OR(Fact_Contabilidad[[#This Row], [Año]]="",Fact_Contabilidad[[#This Row], [Mes]]=""),"",DATE(A2604,MATCH(B2604,{"enero","febrero","marzo","abril","mayo","junio","julio","agosto","septiembre","octubre","noviembre","diciembre"},0)+1,0))</f>
        <v/>
      </c>
      <c r="E2604" t="str">
        <f>+IFERROR(VLOOKUP(Fact_Contabilidad[[#This Row], [Concepto Anterior]],Conceptos_Contabilidad[#All],5,0),"")</f>
        <v/>
      </c>
      <c r="F2604" t="str">
        <f>+IFERROR(VLOOKUP(Fact_Contabilidad[[#This Row], 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ht="18.75" customHeight="1" x14ac:dyDescent="0.35">
      <c r="A2605" s="103"/>
      <c r="C2605" s="100" t="str">
        <f>IF(OR(Fact_Contabilidad[[#This Row], [Año]]="",Fact_Contabilidad[[#This Row], [Mes]]=""),"",DATE(A2605,MATCH(B2605,{"enero","febrero","marzo","abril","mayo","junio","julio","agosto","septiembre","octubre","noviembre","diciembre"},0)+1,0))</f>
        <v/>
      </c>
      <c r="E2605" t="str">
        <f>+IFERROR(VLOOKUP(Fact_Contabilidad[[#This Row], [Concepto Anterior]],Conceptos_Contabilidad[#All],5,0),"")</f>
        <v/>
      </c>
      <c r="F2605" t="str">
        <f>+IFERROR(VLOOKUP(Fact_Contabilidad[[#This Row], 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ht="18.75" customHeight="1" x14ac:dyDescent="0.35">
      <c r="A2606" s="103"/>
      <c r="C2606" s="100" t="str">
        <f>IF(OR(Fact_Contabilidad[[#This Row], [Año]]="",Fact_Contabilidad[[#This Row], [Mes]]=""),"",DATE(A2606,MATCH(B2606,{"enero","febrero","marzo","abril","mayo","junio","julio","agosto","septiembre","octubre","noviembre","diciembre"},0)+1,0))</f>
        <v/>
      </c>
      <c r="E2606" t="str">
        <f>+IFERROR(VLOOKUP(Fact_Contabilidad[[#This Row], [Concepto Anterior]],Conceptos_Contabilidad[#All],5,0),"")</f>
        <v/>
      </c>
      <c r="F2606" t="str">
        <f>+IFERROR(VLOOKUP(Fact_Contabilidad[[#This Row], 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ht="18.75" customHeight="1" x14ac:dyDescent="0.35">
      <c r="A2607" s="103"/>
      <c r="C2607" s="100" t="str">
        <f>IF(OR(Fact_Contabilidad[[#This Row], [Año]]="",Fact_Contabilidad[[#This Row], [Mes]]=""),"",DATE(A2607,MATCH(B2607,{"enero","febrero","marzo","abril","mayo","junio","julio","agosto","septiembre","octubre","noviembre","diciembre"},0)+1,0))</f>
        <v/>
      </c>
      <c r="E2607" t="str">
        <f>+IFERROR(VLOOKUP(Fact_Contabilidad[[#This Row], [Concepto Anterior]],Conceptos_Contabilidad[#All],5,0),"")</f>
        <v/>
      </c>
      <c r="F2607" t="str">
        <f>+IFERROR(VLOOKUP(Fact_Contabilidad[[#This Row], 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ht="18.75" customHeight="1" x14ac:dyDescent="0.35">
      <c r="A2608" s="103"/>
      <c r="C2608" s="100" t="str">
        <f>IF(OR(Fact_Contabilidad[[#This Row], [Año]]="",Fact_Contabilidad[[#This Row], [Mes]]=""),"",DATE(A2608,MATCH(B2608,{"enero","febrero","marzo","abril","mayo","junio","julio","agosto","septiembre","octubre","noviembre","diciembre"},0)+1,0))</f>
        <v/>
      </c>
      <c r="E2608" t="str">
        <f>+IFERROR(VLOOKUP(Fact_Contabilidad[[#This Row], [Concepto Anterior]],Conceptos_Contabilidad[#All],5,0),"")</f>
        <v/>
      </c>
      <c r="F2608" t="str">
        <f>+IFERROR(VLOOKUP(Fact_Contabilidad[[#This Row], 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ht="18.75" customHeight="1" x14ac:dyDescent="0.35">
      <c r="A2609" s="103"/>
      <c r="C2609" s="100" t="str">
        <f>IF(OR(Fact_Contabilidad[[#This Row], [Año]]="",Fact_Contabilidad[[#This Row], [Mes]]=""),"",DATE(A2609,MATCH(B2609,{"enero","febrero","marzo","abril","mayo","junio","julio","agosto","septiembre","octubre","noviembre","diciembre"},0)+1,0))</f>
        <v/>
      </c>
      <c r="E2609" t="str">
        <f>+IFERROR(VLOOKUP(Fact_Contabilidad[[#This Row], [Concepto Anterior]],Conceptos_Contabilidad[#All],5,0),"")</f>
        <v/>
      </c>
      <c r="F2609" t="str">
        <f>+IFERROR(VLOOKUP(Fact_Contabilidad[[#This Row], 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ht="18.75" customHeight="1" x14ac:dyDescent="0.35">
      <c r="A2610" s="103"/>
      <c r="C2610" s="100" t="str">
        <f>IF(OR(Fact_Contabilidad[[#This Row], [Año]]="",Fact_Contabilidad[[#This Row], [Mes]]=""),"",DATE(A2610,MATCH(B2610,{"enero","febrero","marzo","abril","mayo","junio","julio","agosto","septiembre","octubre","noviembre","diciembre"},0)+1,0))</f>
        <v/>
      </c>
      <c r="E2610" t="str">
        <f>+IFERROR(VLOOKUP(Fact_Contabilidad[[#This Row], [Concepto Anterior]],Conceptos_Contabilidad[#All],5,0),"")</f>
        <v/>
      </c>
      <c r="F2610" t="str">
        <f>+IFERROR(VLOOKUP(Fact_Contabilidad[[#This Row], 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ht="18.75" customHeight="1" x14ac:dyDescent="0.35">
      <c r="A2611" s="103"/>
      <c r="C2611" s="100" t="str">
        <f>IF(OR(Fact_Contabilidad[[#This Row], [Año]]="",Fact_Contabilidad[[#This Row], [Mes]]=""),"",DATE(A2611,MATCH(B2611,{"enero","febrero","marzo","abril","mayo","junio","julio","agosto","septiembre","octubre","noviembre","diciembre"},0)+1,0))</f>
        <v/>
      </c>
      <c r="E2611" t="str">
        <f>+IFERROR(VLOOKUP(Fact_Contabilidad[[#This Row], [Concepto Anterior]],Conceptos_Contabilidad[#All],5,0),"")</f>
        <v/>
      </c>
      <c r="F2611" t="str">
        <f>+IFERROR(VLOOKUP(Fact_Contabilidad[[#This Row], 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ht="18.75" customHeight="1" x14ac:dyDescent="0.35">
      <c r="A2612" s="103"/>
      <c r="C2612" s="100" t="str">
        <f>IF(OR(Fact_Contabilidad[[#This Row], [Año]]="",Fact_Contabilidad[[#This Row], [Mes]]=""),"",DATE(A2612,MATCH(B2612,{"enero","febrero","marzo","abril","mayo","junio","julio","agosto","septiembre","octubre","noviembre","diciembre"},0)+1,0))</f>
        <v/>
      </c>
      <c r="E2612" t="str">
        <f>+IFERROR(VLOOKUP(Fact_Contabilidad[[#This Row], [Concepto Anterior]],Conceptos_Contabilidad[#All],5,0),"")</f>
        <v/>
      </c>
      <c r="F2612" t="str">
        <f>+IFERROR(VLOOKUP(Fact_Contabilidad[[#This Row], 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ht="18.75" customHeight="1" x14ac:dyDescent="0.35">
      <c r="A2613" s="103"/>
      <c r="C2613" s="100" t="str">
        <f>IF(OR(Fact_Contabilidad[[#This Row], [Año]]="",Fact_Contabilidad[[#This Row], [Mes]]=""),"",DATE(A2613,MATCH(B2613,{"enero","febrero","marzo","abril","mayo","junio","julio","agosto","septiembre","octubre","noviembre","diciembre"},0)+1,0))</f>
        <v/>
      </c>
      <c r="E2613" t="str">
        <f>+IFERROR(VLOOKUP(Fact_Contabilidad[[#This Row], [Concepto Anterior]],Conceptos_Contabilidad[#All],5,0),"")</f>
        <v/>
      </c>
      <c r="F2613" t="str">
        <f>+IFERROR(VLOOKUP(Fact_Contabilidad[[#This Row], 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ht="18.75" customHeight="1" x14ac:dyDescent="0.35">
      <c r="A2614" s="103"/>
      <c r="C2614" s="100" t="str">
        <f>IF(OR(Fact_Contabilidad[[#This Row], [Año]]="",Fact_Contabilidad[[#This Row], [Mes]]=""),"",DATE(A2614,MATCH(B2614,{"enero","febrero","marzo","abril","mayo","junio","julio","agosto","septiembre","octubre","noviembre","diciembre"},0)+1,0))</f>
        <v/>
      </c>
      <c r="E2614" t="str">
        <f>+IFERROR(VLOOKUP(Fact_Contabilidad[[#This Row], [Concepto Anterior]],Conceptos_Contabilidad[#All],5,0),"")</f>
        <v/>
      </c>
      <c r="F2614" t="str">
        <f>+IFERROR(VLOOKUP(Fact_Contabilidad[[#This Row], 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ht="18.75" customHeight="1" x14ac:dyDescent="0.35">
      <c r="A2615" s="103"/>
      <c r="C2615" s="100" t="str">
        <f>IF(OR(Fact_Contabilidad[[#This Row], [Año]]="",Fact_Contabilidad[[#This Row], [Mes]]=""),"",DATE(A2615,MATCH(B2615,{"enero","febrero","marzo","abril","mayo","junio","julio","agosto","septiembre","octubre","noviembre","diciembre"},0)+1,0))</f>
        <v/>
      </c>
      <c r="E2615" t="str">
        <f>+IFERROR(VLOOKUP(Fact_Contabilidad[[#This Row], [Concepto Anterior]],Conceptos_Contabilidad[#All],5,0),"")</f>
        <v/>
      </c>
      <c r="F2615" t="str">
        <f>+IFERROR(VLOOKUP(Fact_Contabilidad[[#This Row], 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ht="18.75" customHeight="1" x14ac:dyDescent="0.35">
      <c r="A2616" s="103"/>
      <c r="C2616" s="100" t="str">
        <f>IF(OR(Fact_Contabilidad[[#This Row], [Año]]="",Fact_Contabilidad[[#This Row], [Mes]]=""),"",DATE(A2616,MATCH(B2616,{"enero","febrero","marzo","abril","mayo","junio","julio","agosto","septiembre","octubre","noviembre","diciembre"},0)+1,0))</f>
        <v/>
      </c>
      <c r="E2616" t="str">
        <f>+IFERROR(VLOOKUP(Fact_Contabilidad[[#This Row], [Concepto Anterior]],Conceptos_Contabilidad[#All],5,0),"")</f>
        <v/>
      </c>
      <c r="F2616" t="str">
        <f>+IFERROR(VLOOKUP(Fact_Contabilidad[[#This Row], 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ht="18.75" customHeight="1" x14ac:dyDescent="0.35">
      <c r="A2617" s="103"/>
      <c r="C2617" s="100" t="str">
        <f>IF(OR(Fact_Contabilidad[[#This Row], [Año]]="",Fact_Contabilidad[[#This Row], [Mes]]=""),"",DATE(A2617,MATCH(B2617,{"enero","febrero","marzo","abril","mayo","junio","julio","agosto","septiembre","octubre","noviembre","diciembre"},0)+1,0))</f>
        <v/>
      </c>
      <c r="E2617" t="str">
        <f>+IFERROR(VLOOKUP(Fact_Contabilidad[[#This Row], [Concepto Anterior]],Conceptos_Contabilidad[#All],5,0),"")</f>
        <v/>
      </c>
      <c r="F2617" t="str">
        <f>+IFERROR(VLOOKUP(Fact_Contabilidad[[#This Row], 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ht="18.75" customHeight="1" x14ac:dyDescent="0.35">
      <c r="A2618" s="103"/>
      <c r="C2618" s="100" t="str">
        <f>IF(OR(Fact_Contabilidad[[#This Row], [Año]]="",Fact_Contabilidad[[#This Row], [Mes]]=""),"",DATE(A2618,MATCH(B2618,{"enero","febrero","marzo","abril","mayo","junio","julio","agosto","septiembre","octubre","noviembre","diciembre"},0)+1,0))</f>
        <v/>
      </c>
      <c r="E2618" t="str">
        <f>+IFERROR(VLOOKUP(Fact_Contabilidad[[#This Row], [Concepto Anterior]],Conceptos_Contabilidad[#All],5,0),"")</f>
        <v/>
      </c>
      <c r="F2618" t="str">
        <f>+IFERROR(VLOOKUP(Fact_Contabilidad[[#This Row], 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ht="18.75" customHeight="1" x14ac:dyDescent="0.35">
      <c r="A2619" s="103"/>
      <c r="C2619" s="100" t="str">
        <f>IF(OR(Fact_Contabilidad[[#This Row], [Año]]="",Fact_Contabilidad[[#This Row], [Mes]]=""),"",DATE(A2619,MATCH(B2619,{"enero","febrero","marzo","abril","mayo","junio","julio","agosto","septiembre","octubre","noviembre","diciembre"},0)+1,0))</f>
        <v/>
      </c>
      <c r="E2619" t="str">
        <f>+IFERROR(VLOOKUP(Fact_Contabilidad[[#This Row], [Concepto Anterior]],Conceptos_Contabilidad[#All],5,0),"")</f>
        <v/>
      </c>
      <c r="F2619" t="str">
        <f>+IFERROR(VLOOKUP(Fact_Contabilidad[[#This Row], 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ht="18.75" customHeight="1" x14ac:dyDescent="0.35">
      <c r="A2620" s="103"/>
      <c r="C2620" s="100" t="str">
        <f>IF(OR(Fact_Contabilidad[[#This Row], [Año]]="",Fact_Contabilidad[[#This Row], [Mes]]=""),"",DATE(A2620,MATCH(B2620,{"enero","febrero","marzo","abril","mayo","junio","julio","agosto","septiembre","octubre","noviembre","diciembre"},0)+1,0))</f>
        <v/>
      </c>
      <c r="E2620" t="str">
        <f>+IFERROR(VLOOKUP(Fact_Contabilidad[[#This Row], [Concepto Anterior]],Conceptos_Contabilidad[#All],5,0),"")</f>
        <v/>
      </c>
      <c r="F2620" t="str">
        <f>+IFERROR(VLOOKUP(Fact_Contabilidad[[#This Row], 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ht="18.75" customHeight="1" x14ac:dyDescent="0.35">
      <c r="A2621" s="103"/>
      <c r="C2621" s="100" t="str">
        <f>IF(OR(Fact_Contabilidad[[#This Row], [Año]]="",Fact_Contabilidad[[#This Row], [Mes]]=""),"",DATE(A2621,MATCH(B2621,{"enero","febrero","marzo","abril","mayo","junio","julio","agosto","septiembre","octubre","noviembre","diciembre"},0)+1,0))</f>
        <v/>
      </c>
      <c r="E2621" t="str">
        <f>+IFERROR(VLOOKUP(Fact_Contabilidad[[#This Row], [Concepto Anterior]],Conceptos_Contabilidad[#All],5,0),"")</f>
        <v/>
      </c>
      <c r="F2621" t="str">
        <f>+IFERROR(VLOOKUP(Fact_Contabilidad[[#This Row], 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ht="18.75" customHeight="1" x14ac:dyDescent="0.35">
      <c r="A2622" s="103"/>
      <c r="C2622" s="100" t="str">
        <f>IF(OR(Fact_Contabilidad[[#This Row], [Año]]="",Fact_Contabilidad[[#This Row], [Mes]]=""),"",DATE(A2622,MATCH(B2622,{"enero","febrero","marzo","abril","mayo","junio","julio","agosto","septiembre","octubre","noviembre","diciembre"},0)+1,0))</f>
        <v/>
      </c>
      <c r="E2622" t="str">
        <f>+IFERROR(VLOOKUP(Fact_Contabilidad[[#This Row], [Concepto Anterior]],Conceptos_Contabilidad[#All],5,0),"")</f>
        <v/>
      </c>
      <c r="F2622" t="str">
        <f>+IFERROR(VLOOKUP(Fact_Contabilidad[[#This Row], 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ht="18.75" customHeight="1" x14ac:dyDescent="0.35">
      <c r="A2623" s="103"/>
      <c r="C2623" s="100" t="str">
        <f>IF(OR(Fact_Contabilidad[[#This Row], [Año]]="",Fact_Contabilidad[[#This Row], [Mes]]=""),"",DATE(A2623,MATCH(B2623,{"enero","febrero","marzo","abril","mayo","junio","julio","agosto","septiembre","octubre","noviembre","diciembre"},0)+1,0))</f>
        <v/>
      </c>
      <c r="E2623" t="str">
        <f>+IFERROR(VLOOKUP(Fact_Contabilidad[[#This Row], [Concepto Anterior]],Conceptos_Contabilidad[#All],5,0),"")</f>
        <v/>
      </c>
      <c r="F2623" t="str">
        <f>+IFERROR(VLOOKUP(Fact_Contabilidad[[#This Row], 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ht="18.75" customHeight="1" x14ac:dyDescent="0.35">
      <c r="A2624" s="103"/>
      <c r="C2624" s="100" t="str">
        <f>IF(OR(Fact_Contabilidad[[#This Row], [Año]]="",Fact_Contabilidad[[#This Row], [Mes]]=""),"",DATE(A2624,MATCH(B2624,{"enero","febrero","marzo","abril","mayo","junio","julio","agosto","septiembre","octubre","noviembre","diciembre"},0)+1,0))</f>
        <v/>
      </c>
      <c r="E2624" t="str">
        <f>+IFERROR(VLOOKUP(Fact_Contabilidad[[#This Row], [Concepto Anterior]],Conceptos_Contabilidad[#All],5,0),"")</f>
        <v/>
      </c>
      <c r="F2624" t="str">
        <f>+IFERROR(VLOOKUP(Fact_Contabilidad[[#This Row], 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ht="18.75" customHeight="1" x14ac:dyDescent="0.35">
      <c r="A2625" s="103"/>
      <c r="C2625" s="100" t="str">
        <f>IF(OR(Fact_Contabilidad[[#This Row], [Año]]="",Fact_Contabilidad[[#This Row], [Mes]]=""),"",DATE(A2625,MATCH(B2625,{"enero","febrero","marzo","abril","mayo","junio","julio","agosto","septiembre","octubre","noviembre","diciembre"},0)+1,0))</f>
        <v/>
      </c>
      <c r="E2625" t="str">
        <f>+IFERROR(VLOOKUP(Fact_Contabilidad[[#This Row], [Concepto Anterior]],Conceptos_Contabilidad[#All],5,0),"")</f>
        <v/>
      </c>
      <c r="F2625" t="str">
        <f>+IFERROR(VLOOKUP(Fact_Contabilidad[[#This Row], 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ht="18.75" customHeight="1" x14ac:dyDescent="0.35">
      <c r="A2626" s="103"/>
      <c r="C2626" s="100" t="str">
        <f>IF(OR(Fact_Contabilidad[[#This Row], [Año]]="",Fact_Contabilidad[[#This Row], [Mes]]=""),"",DATE(A2626,MATCH(B2626,{"enero","febrero","marzo","abril","mayo","junio","julio","agosto","septiembre","octubre","noviembre","diciembre"},0)+1,0))</f>
        <v/>
      </c>
      <c r="E2626" t="str">
        <f>+IFERROR(VLOOKUP(Fact_Contabilidad[[#This Row], [Concepto Anterior]],Conceptos_Contabilidad[#All],5,0),"")</f>
        <v/>
      </c>
      <c r="F2626" t="str">
        <f>+IFERROR(VLOOKUP(Fact_Contabilidad[[#This Row], 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ht="18.75" customHeight="1" x14ac:dyDescent="0.35">
      <c r="A2627" s="103"/>
      <c r="C2627" s="100" t="str">
        <f>IF(OR(Fact_Contabilidad[[#This Row], [Año]]="",Fact_Contabilidad[[#This Row], [Mes]]=""),"",DATE(A2627,MATCH(B2627,{"enero","febrero","marzo","abril","mayo","junio","julio","agosto","septiembre","octubre","noviembre","diciembre"},0)+1,0))</f>
        <v/>
      </c>
      <c r="E2627" t="str">
        <f>+IFERROR(VLOOKUP(Fact_Contabilidad[[#This Row], [Concepto Anterior]],Conceptos_Contabilidad[#All],5,0),"")</f>
        <v/>
      </c>
      <c r="F2627" t="str">
        <f>+IFERROR(VLOOKUP(Fact_Contabilidad[[#This Row], 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ht="18.75" customHeight="1" x14ac:dyDescent="0.35">
      <c r="A2628" s="103"/>
      <c r="C2628" s="100" t="str">
        <f>IF(OR(Fact_Contabilidad[[#This Row], [Año]]="",Fact_Contabilidad[[#This Row], [Mes]]=""),"",DATE(A2628,MATCH(B2628,{"enero","febrero","marzo","abril","mayo","junio","julio","agosto","septiembre","octubre","noviembre","diciembre"},0)+1,0))</f>
        <v/>
      </c>
      <c r="E2628" t="str">
        <f>+IFERROR(VLOOKUP(Fact_Contabilidad[[#This Row], [Concepto Anterior]],Conceptos_Contabilidad[#All],5,0),"")</f>
        <v/>
      </c>
      <c r="F2628" t="str">
        <f>+IFERROR(VLOOKUP(Fact_Contabilidad[[#This Row], 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ht="18.75" customHeight="1" x14ac:dyDescent="0.35">
      <c r="A2629" s="103"/>
      <c r="C2629" s="100" t="str">
        <f>IF(OR(Fact_Contabilidad[[#This Row], [Año]]="",Fact_Contabilidad[[#This Row], [Mes]]=""),"",DATE(A2629,MATCH(B2629,{"enero","febrero","marzo","abril","mayo","junio","julio","agosto","septiembre","octubre","noviembre","diciembre"},0)+1,0))</f>
        <v/>
      </c>
      <c r="E2629" t="str">
        <f>+IFERROR(VLOOKUP(Fact_Contabilidad[[#This Row], [Concepto Anterior]],Conceptos_Contabilidad[#All],5,0),"")</f>
        <v/>
      </c>
      <c r="F2629" t="str">
        <f>+IFERROR(VLOOKUP(Fact_Contabilidad[[#This Row], 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ht="18.75" customHeight="1" x14ac:dyDescent="0.35">
      <c r="A2630" s="103"/>
      <c r="C2630" s="100" t="str">
        <f>IF(OR(Fact_Contabilidad[[#This Row], [Año]]="",Fact_Contabilidad[[#This Row], [Mes]]=""),"",DATE(A2630,MATCH(B2630,{"enero","febrero","marzo","abril","mayo","junio","julio","agosto","septiembre","octubre","noviembre","diciembre"},0)+1,0))</f>
        <v/>
      </c>
      <c r="E2630" t="str">
        <f>+IFERROR(VLOOKUP(Fact_Contabilidad[[#This Row], [Concepto Anterior]],Conceptos_Contabilidad[#All],5,0),"")</f>
        <v/>
      </c>
      <c r="F2630" t="str">
        <f>+IFERROR(VLOOKUP(Fact_Contabilidad[[#This Row], 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ht="18.75" customHeight="1" x14ac:dyDescent="0.35">
      <c r="A2631" s="103"/>
      <c r="C2631" s="100" t="str">
        <f>IF(OR(Fact_Contabilidad[[#This Row], [Año]]="",Fact_Contabilidad[[#This Row], [Mes]]=""),"",DATE(A2631,MATCH(B2631,{"enero","febrero","marzo","abril","mayo","junio","julio","agosto","septiembre","octubre","noviembre","diciembre"},0)+1,0))</f>
        <v/>
      </c>
      <c r="E2631" t="str">
        <f>+IFERROR(VLOOKUP(Fact_Contabilidad[[#This Row], [Concepto Anterior]],Conceptos_Contabilidad[#All],5,0),"")</f>
        <v/>
      </c>
      <c r="F2631" t="str">
        <f>+IFERROR(VLOOKUP(Fact_Contabilidad[[#This Row], 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ht="18.75" customHeight="1" x14ac:dyDescent="0.35">
      <c r="A2632" s="103"/>
      <c r="C2632" s="100" t="str">
        <f>IF(OR(Fact_Contabilidad[[#This Row], [Año]]="",Fact_Contabilidad[[#This Row], [Mes]]=""),"",DATE(A2632,MATCH(B2632,{"enero","febrero","marzo","abril","mayo","junio","julio","agosto","septiembre","octubre","noviembre","diciembre"},0)+1,0))</f>
        <v/>
      </c>
      <c r="E2632" t="str">
        <f>+IFERROR(VLOOKUP(Fact_Contabilidad[[#This Row], [Concepto Anterior]],Conceptos_Contabilidad[#All],5,0),"")</f>
        <v/>
      </c>
      <c r="F2632" t="str">
        <f>+IFERROR(VLOOKUP(Fact_Contabilidad[[#This Row], 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ht="18.75" customHeight="1" x14ac:dyDescent="0.35">
      <c r="A2633" s="103"/>
      <c r="C2633" s="100" t="str">
        <f>IF(OR(Fact_Contabilidad[[#This Row], [Año]]="",Fact_Contabilidad[[#This Row], [Mes]]=""),"",DATE(A2633,MATCH(B2633,{"enero","febrero","marzo","abril","mayo","junio","julio","agosto","septiembre","octubre","noviembre","diciembre"},0)+1,0))</f>
        <v/>
      </c>
      <c r="E2633" t="str">
        <f>+IFERROR(VLOOKUP(Fact_Contabilidad[[#This Row], [Concepto Anterior]],Conceptos_Contabilidad[#All],5,0),"")</f>
        <v/>
      </c>
      <c r="F2633" t="str">
        <f>+IFERROR(VLOOKUP(Fact_Contabilidad[[#This Row], 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ht="18.75" customHeight="1" x14ac:dyDescent="0.35">
      <c r="A2634" s="103"/>
      <c r="C2634" s="100" t="str">
        <f>IF(OR(Fact_Contabilidad[[#This Row], [Año]]="",Fact_Contabilidad[[#This Row], [Mes]]=""),"",DATE(A2634,MATCH(B2634,{"enero","febrero","marzo","abril","mayo","junio","julio","agosto","septiembre","octubre","noviembre","diciembre"},0)+1,0))</f>
        <v/>
      </c>
      <c r="E2634" t="str">
        <f>+IFERROR(VLOOKUP(Fact_Contabilidad[[#This Row], [Concepto Anterior]],Conceptos_Contabilidad[#All],5,0),"")</f>
        <v/>
      </c>
      <c r="F2634" t="str">
        <f>+IFERROR(VLOOKUP(Fact_Contabilidad[[#This Row], 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ht="18.75" customHeight="1" x14ac:dyDescent="0.35">
      <c r="A2635" s="103"/>
      <c r="C2635" s="100" t="str">
        <f>IF(OR(Fact_Contabilidad[[#This Row], [Año]]="",Fact_Contabilidad[[#This Row], [Mes]]=""),"",DATE(A2635,MATCH(B2635,{"enero","febrero","marzo","abril","mayo","junio","julio","agosto","septiembre","octubre","noviembre","diciembre"},0)+1,0))</f>
        <v/>
      </c>
      <c r="E2635" t="str">
        <f>+IFERROR(VLOOKUP(Fact_Contabilidad[[#This Row], [Concepto Anterior]],Conceptos_Contabilidad[#All],5,0),"")</f>
        <v/>
      </c>
      <c r="F2635" t="str">
        <f>+IFERROR(VLOOKUP(Fact_Contabilidad[[#This Row], 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ht="18.75" customHeight="1" x14ac:dyDescent="0.35">
      <c r="A2636" s="103"/>
      <c r="C2636" s="100" t="str">
        <f>IF(OR(Fact_Contabilidad[[#This Row], [Año]]="",Fact_Contabilidad[[#This Row], [Mes]]=""),"",DATE(A2636,MATCH(B2636,{"enero","febrero","marzo","abril","mayo","junio","julio","agosto","septiembre","octubre","noviembre","diciembre"},0)+1,0))</f>
        <v/>
      </c>
      <c r="E2636" t="str">
        <f>+IFERROR(VLOOKUP(Fact_Contabilidad[[#This Row], [Concepto Anterior]],Conceptos_Contabilidad[#All],5,0),"")</f>
        <v/>
      </c>
      <c r="F2636" t="str">
        <f>+IFERROR(VLOOKUP(Fact_Contabilidad[[#This Row], 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ht="18.75" customHeight="1" x14ac:dyDescent="0.35">
      <c r="A2637" s="103"/>
      <c r="C2637" s="100" t="str">
        <f>IF(OR(Fact_Contabilidad[[#This Row], [Año]]="",Fact_Contabilidad[[#This Row], [Mes]]=""),"",DATE(A2637,MATCH(B2637,{"enero","febrero","marzo","abril","mayo","junio","julio","agosto","septiembre","octubre","noviembre","diciembre"},0)+1,0))</f>
        <v/>
      </c>
      <c r="E2637" t="str">
        <f>+IFERROR(VLOOKUP(Fact_Contabilidad[[#This Row], [Concepto Anterior]],Conceptos_Contabilidad[#All],5,0),"")</f>
        <v/>
      </c>
      <c r="F2637" t="str">
        <f>+IFERROR(VLOOKUP(Fact_Contabilidad[[#This Row], 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ht="18.75" customHeight="1" x14ac:dyDescent="0.35">
      <c r="A2638" s="103"/>
      <c r="C2638" s="100" t="str">
        <f>IF(OR(Fact_Contabilidad[[#This Row], [Año]]="",Fact_Contabilidad[[#This Row], [Mes]]=""),"",DATE(A2638,MATCH(B2638,{"enero","febrero","marzo","abril","mayo","junio","julio","agosto","septiembre","octubre","noviembre","diciembre"},0)+1,0))</f>
        <v/>
      </c>
      <c r="E2638" t="str">
        <f>+IFERROR(VLOOKUP(Fact_Contabilidad[[#This Row], [Concepto Anterior]],Conceptos_Contabilidad[#All],5,0),"")</f>
        <v/>
      </c>
      <c r="F2638" t="str">
        <f>+IFERROR(VLOOKUP(Fact_Contabilidad[[#This Row], 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ht="18.75" customHeight="1" x14ac:dyDescent="0.35">
      <c r="A2639" s="103"/>
      <c r="C2639" s="100" t="str">
        <f>IF(OR(Fact_Contabilidad[[#This Row], [Año]]="",Fact_Contabilidad[[#This Row], [Mes]]=""),"",DATE(A2639,MATCH(B2639,{"enero","febrero","marzo","abril","mayo","junio","julio","agosto","septiembre","octubre","noviembre","diciembre"},0)+1,0))</f>
        <v/>
      </c>
      <c r="E2639" t="str">
        <f>+IFERROR(VLOOKUP(Fact_Contabilidad[[#This Row], [Concepto Anterior]],Conceptos_Contabilidad[#All],5,0),"")</f>
        <v/>
      </c>
      <c r="F2639" t="str">
        <f>+IFERROR(VLOOKUP(Fact_Contabilidad[[#This Row], 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ht="18.75" customHeight="1" x14ac:dyDescent="0.35">
      <c r="A2640" s="103"/>
      <c r="C2640" s="100" t="str">
        <f>IF(OR(Fact_Contabilidad[[#This Row], [Año]]="",Fact_Contabilidad[[#This Row], [Mes]]=""),"",DATE(A2640,MATCH(B2640,{"enero","febrero","marzo","abril","mayo","junio","julio","agosto","septiembre","octubre","noviembre","diciembre"},0)+1,0))</f>
        <v/>
      </c>
      <c r="E2640" t="str">
        <f>+IFERROR(VLOOKUP(Fact_Contabilidad[[#This Row], [Concepto Anterior]],Conceptos_Contabilidad[#All],5,0),"")</f>
        <v/>
      </c>
      <c r="F2640" t="str">
        <f>+IFERROR(VLOOKUP(Fact_Contabilidad[[#This Row], 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ht="18.75" customHeight="1" x14ac:dyDescent="0.35">
      <c r="A2641" s="103"/>
      <c r="C2641" s="100" t="str">
        <f>IF(OR(Fact_Contabilidad[[#This Row], [Año]]="",Fact_Contabilidad[[#This Row], [Mes]]=""),"",DATE(A2641,MATCH(B2641,{"enero","febrero","marzo","abril","mayo","junio","julio","agosto","septiembre","octubre","noviembre","diciembre"},0)+1,0))</f>
        <v/>
      </c>
      <c r="E2641" t="str">
        <f>+IFERROR(VLOOKUP(Fact_Contabilidad[[#This Row], [Concepto Anterior]],Conceptos_Contabilidad[#All],5,0),"")</f>
        <v/>
      </c>
      <c r="F2641" t="str">
        <f>+IFERROR(VLOOKUP(Fact_Contabilidad[[#This Row], 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ht="18.75" customHeight="1" x14ac:dyDescent="0.35">
      <c r="A2642" s="103"/>
      <c r="C2642" s="100" t="str">
        <f>IF(OR(Fact_Contabilidad[[#This Row], [Año]]="",Fact_Contabilidad[[#This Row], [Mes]]=""),"",DATE(A2642,MATCH(B2642,{"enero","febrero","marzo","abril","mayo","junio","julio","agosto","septiembre","octubre","noviembre","diciembre"},0)+1,0))</f>
        <v/>
      </c>
      <c r="E2642" t="str">
        <f>+IFERROR(VLOOKUP(Fact_Contabilidad[[#This Row], [Concepto Anterior]],Conceptos_Contabilidad[#All],5,0),"")</f>
        <v/>
      </c>
      <c r="F2642" t="str">
        <f>+IFERROR(VLOOKUP(Fact_Contabilidad[[#This Row], 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ht="18.75" customHeight="1" x14ac:dyDescent="0.35">
      <c r="A2643" s="103"/>
      <c r="C2643" s="100" t="str">
        <f>IF(OR(Fact_Contabilidad[[#This Row], [Año]]="",Fact_Contabilidad[[#This Row], [Mes]]=""),"",DATE(A2643,MATCH(B2643,{"enero","febrero","marzo","abril","mayo","junio","julio","agosto","septiembre","octubre","noviembre","diciembre"},0)+1,0))</f>
        <v/>
      </c>
      <c r="E2643" t="str">
        <f>+IFERROR(VLOOKUP(Fact_Contabilidad[[#This Row], [Concepto Anterior]],Conceptos_Contabilidad[#All],5,0),"")</f>
        <v/>
      </c>
      <c r="F2643" t="str">
        <f>+IFERROR(VLOOKUP(Fact_Contabilidad[[#This Row], 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ht="18.75" customHeight="1" x14ac:dyDescent="0.35">
      <c r="A2644" s="103"/>
      <c r="C2644" s="100" t="str">
        <f>IF(OR(Fact_Contabilidad[[#This Row], [Año]]="",Fact_Contabilidad[[#This Row], [Mes]]=""),"",DATE(A2644,MATCH(B2644,{"enero","febrero","marzo","abril","mayo","junio","julio","agosto","septiembre","octubre","noviembre","diciembre"},0)+1,0))</f>
        <v/>
      </c>
      <c r="E2644" t="str">
        <f>+IFERROR(VLOOKUP(Fact_Contabilidad[[#This Row], [Concepto Anterior]],Conceptos_Contabilidad[#All],5,0),"")</f>
        <v/>
      </c>
      <c r="F2644" t="str">
        <f>+IFERROR(VLOOKUP(Fact_Contabilidad[[#This Row], 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ht="18.75" customHeight="1" x14ac:dyDescent="0.35">
      <c r="A2645" s="103"/>
      <c r="C2645" s="100" t="str">
        <f>IF(OR(Fact_Contabilidad[[#This Row], [Año]]="",Fact_Contabilidad[[#This Row], [Mes]]=""),"",DATE(A2645,MATCH(B2645,{"enero","febrero","marzo","abril","mayo","junio","julio","agosto","septiembre","octubre","noviembre","diciembre"},0)+1,0))</f>
        <v/>
      </c>
      <c r="E2645" t="str">
        <f>+IFERROR(VLOOKUP(Fact_Contabilidad[[#This Row], [Concepto Anterior]],Conceptos_Contabilidad[#All],5,0),"")</f>
        <v/>
      </c>
      <c r="F2645" t="str">
        <f>+IFERROR(VLOOKUP(Fact_Contabilidad[[#This Row], 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ht="18.75" customHeight="1" x14ac:dyDescent="0.35">
      <c r="A2646" s="103"/>
      <c r="C2646" s="100" t="str">
        <f>IF(OR(Fact_Contabilidad[[#This Row], [Año]]="",Fact_Contabilidad[[#This Row], [Mes]]=""),"",DATE(A2646,MATCH(B2646,{"enero","febrero","marzo","abril","mayo","junio","julio","agosto","septiembre","octubre","noviembre","diciembre"},0)+1,0))</f>
        <v/>
      </c>
      <c r="E2646" t="str">
        <f>+IFERROR(VLOOKUP(Fact_Contabilidad[[#This Row], [Concepto Anterior]],Conceptos_Contabilidad[#All],5,0),"")</f>
        <v/>
      </c>
      <c r="F2646" t="str">
        <f>+IFERROR(VLOOKUP(Fact_Contabilidad[[#This Row], 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ht="18.75" customHeight="1" x14ac:dyDescent="0.35">
      <c r="A2647" s="103"/>
      <c r="C2647" s="100" t="str">
        <f>IF(OR(Fact_Contabilidad[[#This Row], [Año]]="",Fact_Contabilidad[[#This Row], [Mes]]=""),"",DATE(A2647,MATCH(B2647,{"enero","febrero","marzo","abril","mayo","junio","julio","agosto","septiembre","octubre","noviembre","diciembre"},0)+1,0))</f>
        <v/>
      </c>
      <c r="E2647" t="str">
        <f>+IFERROR(VLOOKUP(Fact_Contabilidad[[#This Row], [Concepto Anterior]],Conceptos_Contabilidad[#All],5,0),"")</f>
        <v/>
      </c>
      <c r="F2647" t="str">
        <f>+IFERROR(VLOOKUP(Fact_Contabilidad[[#This Row], 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ht="18.75" customHeight="1" x14ac:dyDescent="0.35">
      <c r="A2648" s="103"/>
      <c r="C2648" s="100" t="str">
        <f>IF(OR(Fact_Contabilidad[[#This Row], [Año]]="",Fact_Contabilidad[[#This Row], [Mes]]=""),"",DATE(A2648,MATCH(B2648,{"enero","febrero","marzo","abril","mayo","junio","julio","agosto","septiembre","octubre","noviembre","diciembre"},0)+1,0))</f>
        <v/>
      </c>
      <c r="E2648" t="str">
        <f>+IFERROR(VLOOKUP(Fact_Contabilidad[[#This Row], [Concepto Anterior]],Conceptos_Contabilidad[#All],5,0),"")</f>
        <v/>
      </c>
      <c r="F2648" t="str">
        <f>+IFERROR(VLOOKUP(Fact_Contabilidad[[#This Row], 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ht="18.75" customHeight="1" x14ac:dyDescent="0.35">
      <c r="A2649" s="103"/>
      <c r="C2649" s="100" t="str">
        <f>IF(OR(Fact_Contabilidad[[#This Row], [Año]]="",Fact_Contabilidad[[#This Row], [Mes]]=""),"",DATE(A2649,MATCH(B2649,{"enero","febrero","marzo","abril","mayo","junio","julio","agosto","septiembre","octubre","noviembre","diciembre"},0)+1,0))</f>
        <v/>
      </c>
      <c r="E2649" t="str">
        <f>+IFERROR(VLOOKUP(Fact_Contabilidad[[#This Row], [Concepto Anterior]],Conceptos_Contabilidad[#All],5,0),"")</f>
        <v/>
      </c>
      <c r="F2649" t="str">
        <f>+IFERROR(VLOOKUP(Fact_Contabilidad[[#This Row], 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ht="18.75" customHeight="1" x14ac:dyDescent="0.35">
      <c r="A2650" s="103"/>
      <c r="C2650" s="100" t="str">
        <f>IF(OR(Fact_Contabilidad[[#This Row], [Año]]="",Fact_Contabilidad[[#This Row], [Mes]]=""),"",DATE(A2650,MATCH(B2650,{"enero","febrero","marzo","abril","mayo","junio","julio","agosto","septiembre","octubre","noviembre","diciembre"},0)+1,0))</f>
        <v/>
      </c>
      <c r="E2650" t="str">
        <f>+IFERROR(VLOOKUP(Fact_Contabilidad[[#This Row], [Concepto Anterior]],Conceptos_Contabilidad[#All],5,0),"")</f>
        <v/>
      </c>
      <c r="F2650" t="str">
        <f>+IFERROR(VLOOKUP(Fact_Contabilidad[[#This Row], 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ht="18.75" customHeight="1" x14ac:dyDescent="0.35">
      <c r="A2651" s="103"/>
      <c r="C2651" s="100" t="str">
        <f>IF(OR(Fact_Contabilidad[[#This Row], [Año]]="",Fact_Contabilidad[[#This Row], [Mes]]=""),"",DATE(A2651,MATCH(B2651,{"enero","febrero","marzo","abril","mayo","junio","julio","agosto","septiembre","octubre","noviembre","diciembre"},0)+1,0))</f>
        <v/>
      </c>
      <c r="E2651" t="str">
        <f>+IFERROR(VLOOKUP(Fact_Contabilidad[[#This Row], [Concepto Anterior]],Conceptos_Contabilidad[#All],5,0),"")</f>
        <v/>
      </c>
      <c r="F2651" t="str">
        <f>+IFERROR(VLOOKUP(Fact_Contabilidad[[#This Row], 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ht="18.75" customHeight="1" x14ac:dyDescent="0.35">
      <c r="A2652" s="103"/>
      <c r="C2652" s="100" t="str">
        <f>IF(OR(Fact_Contabilidad[[#This Row], [Año]]="",Fact_Contabilidad[[#This Row], [Mes]]=""),"",DATE(A2652,MATCH(B2652,{"enero","febrero","marzo","abril","mayo","junio","julio","agosto","septiembre","octubre","noviembre","diciembre"},0)+1,0))</f>
        <v/>
      </c>
      <c r="E2652" t="str">
        <f>+IFERROR(VLOOKUP(Fact_Contabilidad[[#This Row], [Concepto Anterior]],Conceptos_Contabilidad[#All],5,0),"")</f>
        <v/>
      </c>
      <c r="F2652" t="str">
        <f>+IFERROR(VLOOKUP(Fact_Contabilidad[[#This Row], 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ht="18.75" customHeight="1" x14ac:dyDescent="0.35">
      <c r="A2653" s="103"/>
      <c r="C2653" s="100" t="str">
        <f>IF(OR(Fact_Contabilidad[[#This Row], [Año]]="",Fact_Contabilidad[[#This Row], [Mes]]=""),"",DATE(A2653,MATCH(B2653,{"enero","febrero","marzo","abril","mayo","junio","julio","agosto","septiembre","octubre","noviembre","diciembre"},0)+1,0))</f>
        <v/>
      </c>
      <c r="E2653" t="str">
        <f>+IFERROR(VLOOKUP(Fact_Contabilidad[[#This Row], [Concepto Anterior]],Conceptos_Contabilidad[#All],5,0),"")</f>
        <v/>
      </c>
      <c r="F2653" t="str">
        <f>+IFERROR(VLOOKUP(Fact_Contabilidad[[#This Row], 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ht="18.75" customHeight="1" x14ac:dyDescent="0.35">
      <c r="A2654" s="103"/>
      <c r="C2654" s="100" t="str">
        <f>IF(OR(Fact_Contabilidad[[#This Row], [Año]]="",Fact_Contabilidad[[#This Row], [Mes]]=""),"",DATE(A2654,MATCH(B2654,{"enero","febrero","marzo","abril","mayo","junio","julio","agosto","septiembre","octubre","noviembre","diciembre"},0)+1,0))</f>
        <v/>
      </c>
      <c r="E2654" t="str">
        <f>+IFERROR(VLOOKUP(Fact_Contabilidad[[#This Row], [Concepto Anterior]],Conceptos_Contabilidad[#All],5,0),"")</f>
        <v/>
      </c>
      <c r="F2654" t="str">
        <f>+IFERROR(VLOOKUP(Fact_Contabilidad[[#This Row], 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ht="18.75" customHeight="1" x14ac:dyDescent="0.35">
      <c r="A2655" s="103"/>
      <c r="C2655" s="100" t="str">
        <f>IF(OR(Fact_Contabilidad[[#This Row], [Año]]="",Fact_Contabilidad[[#This Row], [Mes]]=""),"",DATE(A2655,MATCH(B2655,{"enero","febrero","marzo","abril","mayo","junio","julio","agosto","septiembre","octubre","noviembre","diciembre"},0)+1,0))</f>
        <v/>
      </c>
      <c r="E2655" t="str">
        <f>+IFERROR(VLOOKUP(Fact_Contabilidad[[#This Row], [Concepto Anterior]],Conceptos_Contabilidad[#All],5,0),"")</f>
        <v/>
      </c>
      <c r="F2655" t="str">
        <f>+IFERROR(VLOOKUP(Fact_Contabilidad[[#This Row], 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ht="18.75" customHeight="1" x14ac:dyDescent="0.35">
      <c r="A2656" s="103"/>
      <c r="C2656" s="100" t="str">
        <f>IF(OR(Fact_Contabilidad[[#This Row], [Año]]="",Fact_Contabilidad[[#This Row], [Mes]]=""),"",DATE(A2656,MATCH(B2656,{"enero","febrero","marzo","abril","mayo","junio","julio","agosto","septiembre","octubre","noviembre","diciembre"},0)+1,0))</f>
        <v/>
      </c>
      <c r="E2656" t="str">
        <f>+IFERROR(VLOOKUP(Fact_Contabilidad[[#This Row], [Concepto Anterior]],Conceptos_Contabilidad[#All],5,0),"")</f>
        <v/>
      </c>
      <c r="F2656" t="str">
        <f>+IFERROR(VLOOKUP(Fact_Contabilidad[[#This Row], 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ht="18.75" customHeight="1" x14ac:dyDescent="0.35">
      <c r="A2657" s="103"/>
      <c r="C2657" s="100" t="str">
        <f>IF(OR(Fact_Contabilidad[[#This Row], [Año]]="",Fact_Contabilidad[[#This Row], [Mes]]=""),"",DATE(A2657,MATCH(B2657,{"enero","febrero","marzo","abril","mayo","junio","julio","agosto","septiembre","octubre","noviembre","diciembre"},0)+1,0))</f>
        <v/>
      </c>
      <c r="E2657" t="str">
        <f>+IFERROR(VLOOKUP(Fact_Contabilidad[[#This Row], [Concepto Anterior]],Conceptos_Contabilidad[#All],5,0),"")</f>
        <v/>
      </c>
      <c r="F2657" t="str">
        <f>+IFERROR(VLOOKUP(Fact_Contabilidad[[#This Row], 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ht="18.75" customHeight="1" x14ac:dyDescent="0.35">
      <c r="A2658" s="103"/>
      <c r="C2658" s="100" t="str">
        <f>IF(OR(Fact_Contabilidad[[#This Row], [Año]]="",Fact_Contabilidad[[#This Row], [Mes]]=""),"",DATE(A2658,MATCH(B2658,{"enero","febrero","marzo","abril","mayo","junio","julio","agosto","septiembre","octubre","noviembre","diciembre"},0)+1,0))</f>
        <v/>
      </c>
      <c r="E2658" t="str">
        <f>+IFERROR(VLOOKUP(Fact_Contabilidad[[#This Row], [Concepto Anterior]],Conceptos_Contabilidad[#All],5,0),"")</f>
        <v/>
      </c>
      <c r="F2658" t="str">
        <f>+IFERROR(VLOOKUP(Fact_Contabilidad[[#This Row], 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ht="18.75" customHeight="1" x14ac:dyDescent="0.35">
      <c r="A2659" s="103"/>
      <c r="C2659" s="100" t="str">
        <f>IF(OR(Fact_Contabilidad[[#This Row], [Año]]="",Fact_Contabilidad[[#This Row], [Mes]]=""),"",DATE(A2659,MATCH(B2659,{"enero","febrero","marzo","abril","mayo","junio","julio","agosto","septiembre","octubre","noviembre","diciembre"},0)+1,0))</f>
        <v/>
      </c>
      <c r="E2659" t="str">
        <f>+IFERROR(VLOOKUP(Fact_Contabilidad[[#This Row], [Concepto Anterior]],Conceptos_Contabilidad[#All],5,0),"")</f>
        <v/>
      </c>
      <c r="F2659" t="str">
        <f>+IFERROR(VLOOKUP(Fact_Contabilidad[[#This Row], 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ht="18.75" customHeight="1" x14ac:dyDescent="0.35">
      <c r="A2660" s="103"/>
      <c r="C2660" s="100" t="str">
        <f>IF(OR(Fact_Contabilidad[[#This Row], [Año]]="",Fact_Contabilidad[[#This Row], [Mes]]=""),"",DATE(A2660,MATCH(B2660,{"enero","febrero","marzo","abril","mayo","junio","julio","agosto","septiembre","octubre","noviembre","diciembre"},0)+1,0))</f>
        <v/>
      </c>
      <c r="E2660" t="str">
        <f>+IFERROR(VLOOKUP(Fact_Contabilidad[[#This Row], [Concepto Anterior]],Conceptos_Contabilidad[#All],5,0),"")</f>
        <v/>
      </c>
      <c r="F2660" t="str">
        <f>+IFERROR(VLOOKUP(Fact_Contabilidad[[#This Row], 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ht="18.75" customHeight="1" x14ac:dyDescent="0.35">
      <c r="A2661" s="103"/>
      <c r="C2661" s="100" t="str">
        <f>IF(OR(Fact_Contabilidad[[#This Row], [Año]]="",Fact_Contabilidad[[#This Row], [Mes]]=""),"",DATE(A2661,MATCH(B2661,{"enero","febrero","marzo","abril","mayo","junio","julio","agosto","septiembre","octubre","noviembre","diciembre"},0)+1,0))</f>
        <v/>
      </c>
      <c r="E2661" t="str">
        <f>+IFERROR(VLOOKUP(Fact_Contabilidad[[#This Row], [Concepto Anterior]],Conceptos_Contabilidad[#All],5,0),"")</f>
        <v/>
      </c>
      <c r="F2661" t="str">
        <f>+IFERROR(VLOOKUP(Fact_Contabilidad[[#This Row], 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ht="18.75" customHeight="1" x14ac:dyDescent="0.35">
      <c r="A2662" s="103"/>
      <c r="C2662" s="100" t="str">
        <f>IF(OR(Fact_Contabilidad[[#This Row], [Año]]="",Fact_Contabilidad[[#This Row], [Mes]]=""),"",DATE(A2662,MATCH(B2662,{"enero","febrero","marzo","abril","mayo","junio","julio","agosto","septiembre","octubre","noviembre","diciembre"},0)+1,0))</f>
        <v/>
      </c>
      <c r="E2662" t="str">
        <f>+IFERROR(VLOOKUP(Fact_Contabilidad[[#This Row], [Concepto Anterior]],Conceptos_Contabilidad[#All],5,0),"")</f>
        <v/>
      </c>
      <c r="F2662" t="str">
        <f>+IFERROR(VLOOKUP(Fact_Contabilidad[[#This Row], 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ht="18.75" customHeight="1" x14ac:dyDescent="0.35">
      <c r="A2663" s="103"/>
      <c r="C2663" s="100" t="str">
        <f>IF(OR(Fact_Contabilidad[[#This Row], [Año]]="",Fact_Contabilidad[[#This Row], [Mes]]=""),"",DATE(A2663,MATCH(B2663,{"enero","febrero","marzo","abril","mayo","junio","julio","agosto","septiembre","octubre","noviembre","diciembre"},0)+1,0))</f>
        <v/>
      </c>
      <c r="E2663" t="str">
        <f>+IFERROR(VLOOKUP(Fact_Contabilidad[[#This Row], [Concepto Anterior]],Conceptos_Contabilidad[#All],5,0),"")</f>
        <v/>
      </c>
      <c r="F2663" t="str">
        <f>+IFERROR(VLOOKUP(Fact_Contabilidad[[#This Row], 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ht="18.75" customHeight="1" x14ac:dyDescent="0.35">
      <c r="A2664" s="103"/>
      <c r="C2664" s="100" t="str">
        <f>IF(OR(Fact_Contabilidad[[#This Row], [Año]]="",Fact_Contabilidad[[#This Row], [Mes]]=""),"",DATE(A2664,MATCH(B2664,{"enero","febrero","marzo","abril","mayo","junio","julio","agosto","septiembre","octubre","noviembre","diciembre"},0)+1,0))</f>
        <v/>
      </c>
      <c r="E2664" t="str">
        <f>+IFERROR(VLOOKUP(Fact_Contabilidad[[#This Row], [Concepto Anterior]],Conceptos_Contabilidad[#All],5,0),"")</f>
        <v/>
      </c>
      <c r="F2664" t="str">
        <f>+IFERROR(VLOOKUP(Fact_Contabilidad[[#This Row], 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ht="18.75" customHeight="1" x14ac:dyDescent="0.35">
      <c r="A2665" s="103"/>
      <c r="C2665" s="100" t="str">
        <f>IF(OR(Fact_Contabilidad[[#This Row], [Año]]="",Fact_Contabilidad[[#This Row], [Mes]]=""),"",DATE(A2665,MATCH(B2665,{"enero","febrero","marzo","abril","mayo","junio","julio","agosto","septiembre","octubre","noviembre","diciembre"},0)+1,0))</f>
        <v/>
      </c>
      <c r="E2665" t="str">
        <f>+IFERROR(VLOOKUP(Fact_Contabilidad[[#This Row], [Concepto Anterior]],Conceptos_Contabilidad[#All],5,0),"")</f>
        <v/>
      </c>
      <c r="F2665" t="str">
        <f>+IFERROR(VLOOKUP(Fact_Contabilidad[[#This Row], 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ht="18.75" customHeight="1" x14ac:dyDescent="0.35">
      <c r="A2666" s="103"/>
      <c r="C2666" s="100" t="str">
        <f>IF(OR(Fact_Contabilidad[[#This Row], [Año]]="",Fact_Contabilidad[[#This Row], [Mes]]=""),"",DATE(A2666,MATCH(B2666,{"enero","febrero","marzo","abril","mayo","junio","julio","agosto","septiembre","octubre","noviembre","diciembre"},0)+1,0))</f>
        <v/>
      </c>
      <c r="E2666" t="str">
        <f>+IFERROR(VLOOKUP(Fact_Contabilidad[[#This Row], [Concepto Anterior]],Conceptos_Contabilidad[#All],5,0),"")</f>
        <v/>
      </c>
      <c r="F2666" t="str">
        <f>+IFERROR(VLOOKUP(Fact_Contabilidad[[#This Row], 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ht="18.75" customHeight="1" x14ac:dyDescent="0.35">
      <c r="A2667" s="103"/>
      <c r="C2667" s="100" t="str">
        <f>IF(OR(Fact_Contabilidad[[#This Row], [Año]]="",Fact_Contabilidad[[#This Row], [Mes]]=""),"",DATE(A2667,MATCH(B2667,{"enero","febrero","marzo","abril","mayo","junio","julio","agosto","septiembre","octubre","noviembre","diciembre"},0)+1,0))</f>
        <v/>
      </c>
      <c r="E2667" t="str">
        <f>+IFERROR(VLOOKUP(Fact_Contabilidad[[#This Row], [Concepto Anterior]],Conceptos_Contabilidad[#All],5,0),"")</f>
        <v/>
      </c>
      <c r="F2667" t="str">
        <f>+IFERROR(VLOOKUP(Fact_Contabilidad[[#This Row], 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ht="18.75" customHeight="1" x14ac:dyDescent="0.35">
      <c r="A2668" s="103"/>
      <c r="C2668" s="100" t="str">
        <f>IF(OR(Fact_Contabilidad[[#This Row], [Año]]="",Fact_Contabilidad[[#This Row], [Mes]]=""),"",DATE(A2668,MATCH(B2668,{"enero","febrero","marzo","abril","mayo","junio","julio","agosto","septiembre","octubre","noviembre","diciembre"},0)+1,0))</f>
        <v/>
      </c>
      <c r="E2668" t="str">
        <f>+IFERROR(VLOOKUP(Fact_Contabilidad[[#This Row], [Concepto Anterior]],Conceptos_Contabilidad[#All],5,0),"")</f>
        <v/>
      </c>
      <c r="F2668" t="str">
        <f>+IFERROR(VLOOKUP(Fact_Contabilidad[[#This Row], 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ht="18.75" customHeight="1" x14ac:dyDescent="0.35">
      <c r="A2669" s="103"/>
      <c r="C2669" s="100" t="str">
        <f>IF(OR(Fact_Contabilidad[[#This Row], [Año]]="",Fact_Contabilidad[[#This Row], [Mes]]=""),"",DATE(A2669,MATCH(B2669,{"enero","febrero","marzo","abril","mayo","junio","julio","agosto","septiembre","octubre","noviembre","diciembre"},0)+1,0))</f>
        <v/>
      </c>
      <c r="E2669" t="str">
        <f>+IFERROR(VLOOKUP(Fact_Contabilidad[[#This Row], [Concepto Anterior]],Conceptos_Contabilidad[#All],5,0),"")</f>
        <v/>
      </c>
      <c r="F2669" t="str">
        <f>+IFERROR(VLOOKUP(Fact_Contabilidad[[#This Row], 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ht="18.75" customHeight="1" x14ac:dyDescent="0.35">
      <c r="A2670" s="103"/>
      <c r="C2670" s="100" t="str">
        <f>IF(OR(Fact_Contabilidad[[#This Row], [Año]]="",Fact_Contabilidad[[#This Row], [Mes]]=""),"",DATE(A2670,MATCH(B2670,{"enero","febrero","marzo","abril","mayo","junio","julio","agosto","septiembre","octubre","noviembre","diciembre"},0)+1,0))</f>
        <v/>
      </c>
      <c r="E2670" t="str">
        <f>+IFERROR(VLOOKUP(Fact_Contabilidad[[#This Row], [Concepto Anterior]],Conceptos_Contabilidad[#All],5,0),"")</f>
        <v/>
      </c>
      <c r="F2670" t="str">
        <f>+IFERROR(VLOOKUP(Fact_Contabilidad[[#This Row], 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ht="18.75" customHeight="1" x14ac:dyDescent="0.35">
      <c r="A2671" s="103"/>
      <c r="C2671" s="100" t="str">
        <f>IF(OR(Fact_Contabilidad[[#This Row], [Año]]="",Fact_Contabilidad[[#This Row], [Mes]]=""),"",DATE(A2671,MATCH(B2671,{"enero","febrero","marzo","abril","mayo","junio","julio","agosto","septiembre","octubre","noviembre","diciembre"},0)+1,0))</f>
        <v/>
      </c>
      <c r="E2671" t="str">
        <f>+IFERROR(VLOOKUP(Fact_Contabilidad[[#This Row], [Concepto Anterior]],Conceptos_Contabilidad[#All],5,0),"")</f>
        <v/>
      </c>
      <c r="F2671" t="str">
        <f>+IFERROR(VLOOKUP(Fact_Contabilidad[[#This Row], 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ht="18.75" customHeight="1" x14ac:dyDescent="0.35">
      <c r="A2672" s="103"/>
      <c r="C2672" s="100" t="str">
        <f>IF(OR(Fact_Contabilidad[[#This Row], [Año]]="",Fact_Contabilidad[[#This Row], [Mes]]=""),"",DATE(A2672,MATCH(B2672,{"enero","febrero","marzo","abril","mayo","junio","julio","agosto","septiembre","octubre","noviembre","diciembre"},0)+1,0))</f>
        <v/>
      </c>
      <c r="E2672" t="str">
        <f>+IFERROR(VLOOKUP(Fact_Contabilidad[[#This Row], [Concepto Anterior]],Conceptos_Contabilidad[#All],5,0),"")</f>
        <v/>
      </c>
      <c r="F2672" t="str">
        <f>+IFERROR(VLOOKUP(Fact_Contabilidad[[#This Row], 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ht="18.75" customHeight="1" x14ac:dyDescent="0.35">
      <c r="A2673" s="103"/>
      <c r="C2673" s="100" t="str">
        <f>IF(OR(Fact_Contabilidad[[#This Row], [Año]]="",Fact_Contabilidad[[#This Row], [Mes]]=""),"",DATE(A2673,MATCH(B2673,{"enero","febrero","marzo","abril","mayo","junio","julio","agosto","septiembre","octubre","noviembre","diciembre"},0)+1,0))</f>
        <v/>
      </c>
      <c r="E2673" t="str">
        <f>+IFERROR(VLOOKUP(Fact_Contabilidad[[#This Row], [Concepto Anterior]],Conceptos_Contabilidad[#All],5,0),"")</f>
        <v/>
      </c>
      <c r="F2673" t="str">
        <f>+IFERROR(VLOOKUP(Fact_Contabilidad[[#This Row], 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ht="18.75" customHeight="1" x14ac:dyDescent="0.35">
      <c r="A2674" s="103"/>
      <c r="C2674" s="100" t="str">
        <f>IF(OR(Fact_Contabilidad[[#This Row], [Año]]="",Fact_Contabilidad[[#This Row], [Mes]]=""),"",DATE(A2674,MATCH(B2674,{"enero","febrero","marzo","abril","mayo","junio","julio","agosto","septiembre","octubre","noviembre","diciembre"},0)+1,0))</f>
        <v/>
      </c>
      <c r="E2674" t="str">
        <f>+IFERROR(VLOOKUP(Fact_Contabilidad[[#This Row], [Concepto Anterior]],Conceptos_Contabilidad[#All],5,0),"")</f>
        <v/>
      </c>
      <c r="F2674" t="str">
        <f>+IFERROR(VLOOKUP(Fact_Contabilidad[[#This Row], 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ht="18.75" customHeight="1" x14ac:dyDescent="0.35">
      <c r="A2675" s="103"/>
      <c r="C2675" s="100" t="str">
        <f>IF(OR(Fact_Contabilidad[[#This Row], [Año]]="",Fact_Contabilidad[[#This Row], [Mes]]=""),"",DATE(A2675,MATCH(B2675,{"enero","febrero","marzo","abril","mayo","junio","julio","agosto","septiembre","octubre","noviembre","diciembre"},0)+1,0))</f>
        <v/>
      </c>
      <c r="E2675" t="str">
        <f>+IFERROR(VLOOKUP(Fact_Contabilidad[[#This Row], [Concepto Anterior]],Conceptos_Contabilidad[#All],5,0),"")</f>
        <v/>
      </c>
      <c r="F2675" t="str">
        <f>+IFERROR(VLOOKUP(Fact_Contabilidad[[#This Row], 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ht="18.75" customHeight="1" x14ac:dyDescent="0.35">
      <c r="A2676" s="103"/>
      <c r="C2676" s="100" t="str">
        <f>IF(OR(Fact_Contabilidad[[#This Row], [Año]]="",Fact_Contabilidad[[#This Row], [Mes]]=""),"",DATE(A2676,MATCH(B2676,{"enero","febrero","marzo","abril","mayo","junio","julio","agosto","septiembre","octubre","noviembre","diciembre"},0)+1,0))</f>
        <v/>
      </c>
      <c r="E2676" t="str">
        <f>+IFERROR(VLOOKUP(Fact_Contabilidad[[#This Row], [Concepto Anterior]],Conceptos_Contabilidad[#All],5,0),"")</f>
        <v/>
      </c>
      <c r="F2676" t="str">
        <f>+IFERROR(VLOOKUP(Fact_Contabilidad[[#This Row], 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ht="18.75" customHeight="1" x14ac:dyDescent="0.35">
      <c r="A2677" s="103"/>
      <c r="C2677" s="100" t="str">
        <f>IF(OR(Fact_Contabilidad[[#This Row], [Año]]="",Fact_Contabilidad[[#This Row], [Mes]]=""),"",DATE(A2677,MATCH(B2677,{"enero","febrero","marzo","abril","mayo","junio","julio","agosto","septiembre","octubre","noviembre","diciembre"},0)+1,0))</f>
        <v/>
      </c>
      <c r="E2677" t="str">
        <f>+IFERROR(VLOOKUP(Fact_Contabilidad[[#This Row], [Concepto Anterior]],Conceptos_Contabilidad[#All],5,0),"")</f>
        <v/>
      </c>
      <c r="F2677" t="str">
        <f>+IFERROR(VLOOKUP(Fact_Contabilidad[[#This Row], 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ht="18.75" customHeight="1" x14ac:dyDescent="0.35">
      <c r="A2678" s="103"/>
      <c r="C2678" s="100" t="str">
        <f>IF(OR(Fact_Contabilidad[[#This Row], [Año]]="",Fact_Contabilidad[[#This Row], [Mes]]=""),"",DATE(A2678,MATCH(B2678,{"enero","febrero","marzo","abril","mayo","junio","julio","agosto","septiembre","octubre","noviembre","diciembre"},0)+1,0))</f>
        <v/>
      </c>
      <c r="E2678" t="str">
        <f>+IFERROR(VLOOKUP(Fact_Contabilidad[[#This Row], [Concepto Anterior]],Conceptos_Contabilidad[#All],5,0),"")</f>
        <v/>
      </c>
      <c r="F2678" t="str">
        <f>+IFERROR(VLOOKUP(Fact_Contabilidad[[#This Row], 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ht="18.75" customHeight="1" x14ac:dyDescent="0.35">
      <c r="A2679" s="103"/>
      <c r="C2679" s="100" t="str">
        <f>IF(OR(Fact_Contabilidad[[#This Row], [Año]]="",Fact_Contabilidad[[#This Row], [Mes]]=""),"",DATE(A2679,MATCH(B2679,{"enero","febrero","marzo","abril","mayo","junio","julio","agosto","septiembre","octubre","noviembre","diciembre"},0)+1,0))</f>
        <v/>
      </c>
      <c r="E2679" t="str">
        <f>+IFERROR(VLOOKUP(Fact_Contabilidad[[#This Row], [Concepto Anterior]],Conceptos_Contabilidad[#All],5,0),"")</f>
        <v/>
      </c>
      <c r="F2679" t="str">
        <f>+IFERROR(VLOOKUP(Fact_Contabilidad[[#This Row], 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ht="18.75" customHeight="1" x14ac:dyDescent="0.35">
      <c r="A2680" s="103"/>
      <c r="C2680" s="100" t="str">
        <f>IF(OR(Fact_Contabilidad[[#This Row], [Año]]="",Fact_Contabilidad[[#This Row], [Mes]]=""),"",DATE(A2680,MATCH(B2680,{"enero","febrero","marzo","abril","mayo","junio","julio","agosto","septiembre","octubre","noviembre","diciembre"},0)+1,0))</f>
        <v/>
      </c>
      <c r="E2680" t="str">
        <f>+IFERROR(VLOOKUP(Fact_Contabilidad[[#This Row], [Concepto Anterior]],Conceptos_Contabilidad[#All],5,0),"")</f>
        <v/>
      </c>
      <c r="F2680" t="str">
        <f>+IFERROR(VLOOKUP(Fact_Contabilidad[[#This Row], 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ht="18.75" customHeight="1" x14ac:dyDescent="0.35">
      <c r="A2681" s="103"/>
      <c r="C2681" s="100" t="str">
        <f>IF(OR(Fact_Contabilidad[[#This Row], [Año]]="",Fact_Contabilidad[[#This Row], [Mes]]=""),"",DATE(A2681,MATCH(B2681,{"enero","febrero","marzo","abril","mayo","junio","julio","agosto","septiembre","octubre","noviembre","diciembre"},0)+1,0))</f>
        <v/>
      </c>
      <c r="E2681" t="str">
        <f>+IFERROR(VLOOKUP(Fact_Contabilidad[[#This Row], [Concepto Anterior]],Conceptos_Contabilidad[#All],5,0),"")</f>
        <v/>
      </c>
      <c r="F2681" t="str">
        <f>+IFERROR(VLOOKUP(Fact_Contabilidad[[#This Row], 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ht="18.75" customHeight="1" x14ac:dyDescent="0.35">
      <c r="A2682" s="103"/>
      <c r="C2682" s="100" t="str">
        <f>IF(OR(Fact_Contabilidad[[#This Row], [Año]]="",Fact_Contabilidad[[#This Row], [Mes]]=""),"",DATE(A2682,MATCH(B2682,{"enero","febrero","marzo","abril","mayo","junio","julio","agosto","septiembre","octubre","noviembre","diciembre"},0)+1,0))</f>
        <v/>
      </c>
      <c r="E2682" t="str">
        <f>+IFERROR(VLOOKUP(Fact_Contabilidad[[#This Row], [Concepto Anterior]],Conceptos_Contabilidad[#All],5,0),"")</f>
        <v/>
      </c>
      <c r="F2682" t="str">
        <f>+IFERROR(VLOOKUP(Fact_Contabilidad[[#This Row], 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ht="18.75" customHeight="1" x14ac:dyDescent="0.35">
      <c r="A2683" s="103"/>
      <c r="C2683" s="100" t="str">
        <f>IF(OR(Fact_Contabilidad[[#This Row], [Año]]="",Fact_Contabilidad[[#This Row], [Mes]]=""),"",DATE(A2683,MATCH(B2683,{"enero","febrero","marzo","abril","mayo","junio","julio","agosto","septiembre","octubre","noviembre","diciembre"},0)+1,0))</f>
        <v/>
      </c>
      <c r="E2683" t="str">
        <f>+IFERROR(VLOOKUP(Fact_Contabilidad[[#This Row], [Concepto Anterior]],Conceptos_Contabilidad[#All],5,0),"")</f>
        <v/>
      </c>
      <c r="F2683" t="str">
        <f>+IFERROR(VLOOKUP(Fact_Contabilidad[[#This Row], 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ht="18.75" customHeight="1" x14ac:dyDescent="0.35">
      <c r="A2684" s="103"/>
      <c r="C2684" s="100" t="str">
        <f>IF(OR(Fact_Contabilidad[[#This Row], [Año]]="",Fact_Contabilidad[[#This Row], [Mes]]=""),"",DATE(A2684,MATCH(B2684,{"enero","febrero","marzo","abril","mayo","junio","julio","agosto","septiembre","octubre","noviembre","diciembre"},0)+1,0))</f>
        <v/>
      </c>
      <c r="E2684" t="str">
        <f>+IFERROR(VLOOKUP(Fact_Contabilidad[[#This Row], [Concepto Anterior]],Conceptos_Contabilidad[#All],5,0),"")</f>
        <v/>
      </c>
      <c r="F2684" t="str">
        <f>+IFERROR(VLOOKUP(Fact_Contabilidad[[#This Row], 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ht="18.75" customHeight="1" x14ac:dyDescent="0.35">
      <c r="A2685" s="103"/>
      <c r="C2685" s="100" t="str">
        <f>IF(OR(Fact_Contabilidad[[#This Row], [Año]]="",Fact_Contabilidad[[#This Row], [Mes]]=""),"",DATE(A2685,MATCH(B2685,{"enero","febrero","marzo","abril","mayo","junio","julio","agosto","septiembre","octubre","noviembre","diciembre"},0)+1,0))</f>
        <v/>
      </c>
      <c r="E2685" t="str">
        <f>+IFERROR(VLOOKUP(Fact_Contabilidad[[#This Row], [Concepto Anterior]],Conceptos_Contabilidad[#All],5,0),"")</f>
        <v/>
      </c>
      <c r="F2685" t="str">
        <f>+IFERROR(VLOOKUP(Fact_Contabilidad[[#This Row], 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ht="18.75" customHeight="1" x14ac:dyDescent="0.35">
      <c r="A2686" s="103"/>
      <c r="C2686" s="100" t="str">
        <f>IF(OR(Fact_Contabilidad[[#This Row], [Año]]="",Fact_Contabilidad[[#This Row], [Mes]]=""),"",DATE(A2686,MATCH(B2686,{"enero","febrero","marzo","abril","mayo","junio","julio","agosto","septiembre","octubre","noviembre","diciembre"},0)+1,0))</f>
        <v/>
      </c>
      <c r="E2686" t="str">
        <f>+IFERROR(VLOOKUP(Fact_Contabilidad[[#This Row], [Concepto Anterior]],Conceptos_Contabilidad[#All],5,0),"")</f>
        <v/>
      </c>
      <c r="F2686" t="str">
        <f>+IFERROR(VLOOKUP(Fact_Contabilidad[[#This Row], 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ht="18.75" customHeight="1" x14ac:dyDescent="0.35">
      <c r="A2687" s="103"/>
      <c r="C2687" s="100" t="str">
        <f>IF(OR(Fact_Contabilidad[[#This Row], [Año]]="",Fact_Contabilidad[[#This Row], [Mes]]=""),"",DATE(A2687,MATCH(B2687,{"enero","febrero","marzo","abril","mayo","junio","julio","agosto","septiembre","octubre","noviembre","diciembre"},0)+1,0))</f>
        <v/>
      </c>
      <c r="E2687" t="str">
        <f>+IFERROR(VLOOKUP(Fact_Contabilidad[[#This Row], [Concepto Anterior]],Conceptos_Contabilidad[#All],5,0),"")</f>
        <v/>
      </c>
      <c r="F2687" t="str">
        <f>+IFERROR(VLOOKUP(Fact_Contabilidad[[#This Row], 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ht="18.75" customHeight="1" x14ac:dyDescent="0.35">
      <c r="A2688" s="103"/>
      <c r="C2688" s="100" t="str">
        <f>IF(OR(Fact_Contabilidad[[#This Row], [Año]]="",Fact_Contabilidad[[#This Row], [Mes]]=""),"",DATE(A2688,MATCH(B2688,{"enero","febrero","marzo","abril","mayo","junio","julio","agosto","septiembre","octubre","noviembre","diciembre"},0)+1,0))</f>
        <v/>
      </c>
      <c r="E2688" t="str">
        <f>+IFERROR(VLOOKUP(Fact_Contabilidad[[#This Row], [Concepto Anterior]],Conceptos_Contabilidad[#All],5,0),"")</f>
        <v/>
      </c>
      <c r="F2688" t="str">
        <f>+IFERROR(VLOOKUP(Fact_Contabilidad[[#This Row], 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ht="18.75" customHeight="1" x14ac:dyDescent="0.35">
      <c r="A2689" s="103"/>
      <c r="C2689" s="100" t="str">
        <f>IF(OR(Fact_Contabilidad[[#This Row], [Año]]="",Fact_Contabilidad[[#This Row], [Mes]]=""),"",DATE(A2689,MATCH(B2689,{"enero","febrero","marzo","abril","mayo","junio","julio","agosto","septiembre","octubre","noviembre","diciembre"},0)+1,0))</f>
        <v/>
      </c>
      <c r="E2689" t="str">
        <f>+IFERROR(VLOOKUP(Fact_Contabilidad[[#This Row], [Concepto Anterior]],Conceptos_Contabilidad[#All],5,0),"")</f>
        <v/>
      </c>
      <c r="F2689" t="str">
        <f>+IFERROR(VLOOKUP(Fact_Contabilidad[[#This Row], 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ht="18.75" customHeight="1" x14ac:dyDescent="0.35">
      <c r="A2690" s="103"/>
      <c r="C2690" s="100" t="str">
        <f>IF(OR(Fact_Contabilidad[[#This Row], [Año]]="",Fact_Contabilidad[[#This Row], [Mes]]=""),"",DATE(A2690,MATCH(B2690,{"enero","febrero","marzo","abril","mayo","junio","julio","agosto","septiembre","octubre","noviembre","diciembre"},0)+1,0))</f>
        <v/>
      </c>
      <c r="E2690" t="str">
        <f>+IFERROR(VLOOKUP(Fact_Contabilidad[[#This Row], [Concepto Anterior]],Conceptos_Contabilidad[#All],5,0),"")</f>
        <v/>
      </c>
      <c r="F2690" t="str">
        <f>+IFERROR(VLOOKUP(Fact_Contabilidad[[#This Row], 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ht="18.75" customHeight="1" x14ac:dyDescent="0.35">
      <c r="A2691" s="103"/>
      <c r="C2691" s="100" t="str">
        <f>IF(OR(Fact_Contabilidad[[#This Row], [Año]]="",Fact_Contabilidad[[#This Row], [Mes]]=""),"",DATE(A2691,MATCH(B2691,{"enero","febrero","marzo","abril","mayo","junio","julio","agosto","septiembre","octubre","noviembre","diciembre"},0)+1,0))</f>
        <v/>
      </c>
      <c r="E2691" t="str">
        <f>+IFERROR(VLOOKUP(Fact_Contabilidad[[#This Row], [Concepto Anterior]],Conceptos_Contabilidad[#All],5,0),"")</f>
        <v/>
      </c>
      <c r="F2691" t="str">
        <f>+IFERROR(VLOOKUP(Fact_Contabilidad[[#This Row], 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ht="18.75" customHeight="1" x14ac:dyDescent="0.35">
      <c r="A2692" s="103"/>
      <c r="C2692" s="100" t="str">
        <f>IF(OR(Fact_Contabilidad[[#This Row], [Año]]="",Fact_Contabilidad[[#This Row], [Mes]]=""),"",DATE(A2692,MATCH(B2692,{"enero","febrero","marzo","abril","mayo","junio","julio","agosto","septiembre","octubre","noviembre","diciembre"},0)+1,0))</f>
        <v/>
      </c>
      <c r="E2692" t="str">
        <f>+IFERROR(VLOOKUP(Fact_Contabilidad[[#This Row], [Concepto Anterior]],Conceptos_Contabilidad[#All],5,0),"")</f>
        <v/>
      </c>
      <c r="F2692" t="str">
        <f>+IFERROR(VLOOKUP(Fact_Contabilidad[[#This Row], 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ht="18.75" customHeight="1" x14ac:dyDescent="0.35">
      <c r="A2693" s="103"/>
      <c r="C2693" s="100" t="str">
        <f>IF(OR(Fact_Contabilidad[[#This Row], [Año]]="",Fact_Contabilidad[[#This Row], [Mes]]=""),"",DATE(A2693,MATCH(B2693,{"enero","febrero","marzo","abril","mayo","junio","julio","agosto","septiembre","octubre","noviembre","diciembre"},0)+1,0))</f>
        <v/>
      </c>
      <c r="E2693" t="str">
        <f>+IFERROR(VLOOKUP(Fact_Contabilidad[[#This Row], [Concepto Anterior]],Conceptos_Contabilidad[#All],5,0),"")</f>
        <v/>
      </c>
      <c r="F2693" t="str">
        <f>+IFERROR(VLOOKUP(Fact_Contabilidad[[#This Row], 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ht="18.75" customHeight="1" x14ac:dyDescent="0.35">
      <c r="A2694" s="103"/>
      <c r="C2694" s="100" t="str">
        <f>IF(OR(Fact_Contabilidad[[#This Row], [Año]]="",Fact_Contabilidad[[#This Row], [Mes]]=""),"",DATE(A2694,MATCH(B2694,{"enero","febrero","marzo","abril","mayo","junio","julio","agosto","septiembre","octubre","noviembre","diciembre"},0)+1,0))</f>
        <v/>
      </c>
      <c r="E2694" t="str">
        <f>+IFERROR(VLOOKUP(Fact_Contabilidad[[#This Row], [Concepto Anterior]],Conceptos_Contabilidad[#All],5,0),"")</f>
        <v/>
      </c>
      <c r="F2694" t="str">
        <f>+IFERROR(VLOOKUP(Fact_Contabilidad[[#This Row], 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ht="18.75" customHeight="1" x14ac:dyDescent="0.35">
      <c r="A2695" s="103"/>
      <c r="C2695" s="100" t="str">
        <f>IF(OR(Fact_Contabilidad[[#This Row], [Año]]="",Fact_Contabilidad[[#This Row], [Mes]]=""),"",DATE(A2695,MATCH(B2695,{"enero","febrero","marzo","abril","mayo","junio","julio","agosto","septiembre","octubre","noviembre","diciembre"},0)+1,0))</f>
        <v/>
      </c>
      <c r="E2695" t="str">
        <f>+IFERROR(VLOOKUP(Fact_Contabilidad[[#This Row], [Concepto Anterior]],Conceptos_Contabilidad[#All],5,0),"")</f>
        <v/>
      </c>
      <c r="F2695" t="str">
        <f>+IFERROR(VLOOKUP(Fact_Contabilidad[[#This Row], 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ht="18.75" customHeight="1" x14ac:dyDescent="0.35">
      <c r="A2696" s="103"/>
      <c r="C2696" s="100" t="str">
        <f>IF(OR(Fact_Contabilidad[[#This Row], [Año]]="",Fact_Contabilidad[[#This Row], [Mes]]=""),"",DATE(A2696,MATCH(B2696,{"enero","febrero","marzo","abril","mayo","junio","julio","agosto","septiembre","octubre","noviembre","diciembre"},0)+1,0))</f>
        <v/>
      </c>
      <c r="E2696" t="str">
        <f>+IFERROR(VLOOKUP(Fact_Contabilidad[[#This Row], [Concepto Anterior]],Conceptos_Contabilidad[#All],5,0),"")</f>
        <v/>
      </c>
      <c r="F2696" t="str">
        <f>+IFERROR(VLOOKUP(Fact_Contabilidad[[#This Row], 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ht="18.75" customHeight="1" x14ac:dyDescent="0.35">
      <c r="A2697" s="103"/>
      <c r="C2697" s="100" t="str">
        <f>IF(OR(Fact_Contabilidad[[#This Row], [Año]]="",Fact_Contabilidad[[#This Row], [Mes]]=""),"",DATE(A2697,MATCH(B2697,{"enero","febrero","marzo","abril","mayo","junio","julio","agosto","septiembre","octubre","noviembre","diciembre"},0)+1,0))</f>
        <v/>
      </c>
      <c r="E2697" t="str">
        <f>+IFERROR(VLOOKUP(Fact_Contabilidad[[#This Row], [Concepto Anterior]],Conceptos_Contabilidad[#All],5,0),"")</f>
        <v/>
      </c>
      <c r="F2697" t="str">
        <f>+IFERROR(VLOOKUP(Fact_Contabilidad[[#This Row], 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ht="18.75" customHeight="1" x14ac:dyDescent="0.35">
      <c r="A2698" s="103"/>
      <c r="C2698" s="100" t="str">
        <f>IF(OR(Fact_Contabilidad[[#This Row], [Año]]="",Fact_Contabilidad[[#This Row], [Mes]]=""),"",DATE(A2698,MATCH(B2698,{"enero","febrero","marzo","abril","mayo","junio","julio","agosto","septiembre","octubre","noviembre","diciembre"},0)+1,0))</f>
        <v/>
      </c>
      <c r="E2698" t="str">
        <f>+IFERROR(VLOOKUP(Fact_Contabilidad[[#This Row], [Concepto Anterior]],Conceptos_Contabilidad[#All],5,0),"")</f>
        <v/>
      </c>
      <c r="F2698" t="str">
        <f>+IFERROR(VLOOKUP(Fact_Contabilidad[[#This Row], 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ht="18.75" customHeight="1" x14ac:dyDescent="0.35">
      <c r="A2699" s="103"/>
      <c r="C2699" s="100" t="str">
        <f>IF(OR(Fact_Contabilidad[[#This Row], [Año]]="",Fact_Contabilidad[[#This Row], [Mes]]=""),"",DATE(A2699,MATCH(B2699,{"enero","febrero","marzo","abril","mayo","junio","julio","agosto","septiembre","octubre","noviembre","diciembre"},0)+1,0))</f>
        <v/>
      </c>
      <c r="E2699" t="str">
        <f>+IFERROR(VLOOKUP(Fact_Contabilidad[[#This Row], [Concepto Anterior]],Conceptos_Contabilidad[#All],5,0),"")</f>
        <v/>
      </c>
      <c r="F2699" t="str">
        <f>+IFERROR(VLOOKUP(Fact_Contabilidad[[#This Row], 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ht="18.75" customHeight="1" x14ac:dyDescent="0.35">
      <c r="A2700" s="103"/>
      <c r="C2700" s="100" t="str">
        <f>IF(OR(Fact_Contabilidad[[#This Row], [Año]]="",Fact_Contabilidad[[#This Row], [Mes]]=""),"",DATE(A2700,MATCH(B2700,{"enero","febrero","marzo","abril","mayo","junio","julio","agosto","septiembre","octubre","noviembre","diciembre"},0)+1,0))</f>
        <v/>
      </c>
      <c r="E2700" t="str">
        <f>+IFERROR(VLOOKUP(Fact_Contabilidad[[#This Row], [Concepto Anterior]],Conceptos_Contabilidad[#All],5,0),"")</f>
        <v/>
      </c>
      <c r="F2700" t="str">
        <f>+IFERROR(VLOOKUP(Fact_Contabilidad[[#This Row], 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ht="18.75" customHeight="1" x14ac:dyDescent="0.35">
      <c r="A2701" s="103"/>
      <c r="C2701" s="100" t="str">
        <f>IF(OR(Fact_Contabilidad[[#This Row], [Año]]="",Fact_Contabilidad[[#This Row], [Mes]]=""),"",DATE(A2701,MATCH(B2701,{"enero","febrero","marzo","abril","mayo","junio","julio","agosto","septiembre","octubre","noviembre","diciembre"},0)+1,0))</f>
        <v/>
      </c>
      <c r="E2701" t="str">
        <f>+IFERROR(VLOOKUP(Fact_Contabilidad[[#This Row], [Concepto Anterior]],Conceptos_Contabilidad[#All],5,0),"")</f>
        <v/>
      </c>
      <c r="F2701" t="str">
        <f>+IFERROR(VLOOKUP(Fact_Contabilidad[[#This Row], 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ht="18.75" customHeight="1" x14ac:dyDescent="0.35">
      <c r="A2702" s="103"/>
      <c r="C2702" s="100" t="str">
        <f>IF(OR(Fact_Contabilidad[[#This Row], [Año]]="",Fact_Contabilidad[[#This Row], [Mes]]=""),"",DATE(A2702,MATCH(B2702,{"enero","febrero","marzo","abril","mayo","junio","julio","agosto","septiembre","octubre","noviembre","diciembre"},0)+1,0))</f>
        <v/>
      </c>
      <c r="E2702" t="str">
        <f>+IFERROR(VLOOKUP(Fact_Contabilidad[[#This Row], [Concepto Anterior]],Conceptos_Contabilidad[#All],5,0),"")</f>
        <v/>
      </c>
      <c r="F2702" t="str">
        <f>+IFERROR(VLOOKUP(Fact_Contabilidad[[#This Row], 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ht="18.75" customHeight="1" x14ac:dyDescent="0.35">
      <c r="A2703" s="103"/>
      <c r="C2703" s="100" t="str">
        <f>IF(OR(Fact_Contabilidad[[#This Row], [Año]]="",Fact_Contabilidad[[#This Row], [Mes]]=""),"",DATE(A2703,MATCH(B2703,{"enero","febrero","marzo","abril","mayo","junio","julio","agosto","septiembre","octubre","noviembre","diciembre"},0)+1,0))</f>
        <v/>
      </c>
      <c r="E2703" t="str">
        <f>+IFERROR(VLOOKUP(Fact_Contabilidad[[#This Row], [Concepto Anterior]],Conceptos_Contabilidad[#All],5,0),"")</f>
        <v/>
      </c>
      <c r="F2703" t="str">
        <f>+IFERROR(VLOOKUP(Fact_Contabilidad[[#This Row], 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ht="18.75" customHeight="1" x14ac:dyDescent="0.35">
      <c r="A2704" s="103"/>
      <c r="C2704" s="100" t="str">
        <f>IF(OR(Fact_Contabilidad[[#This Row], [Año]]="",Fact_Contabilidad[[#This Row], [Mes]]=""),"",DATE(A2704,MATCH(B2704,{"enero","febrero","marzo","abril","mayo","junio","julio","agosto","septiembre","octubre","noviembre","diciembre"},0)+1,0))</f>
        <v/>
      </c>
      <c r="E2704" t="str">
        <f>+IFERROR(VLOOKUP(Fact_Contabilidad[[#This Row], [Concepto Anterior]],Conceptos_Contabilidad[#All],5,0),"")</f>
        <v/>
      </c>
      <c r="F2704" t="str">
        <f>+IFERROR(VLOOKUP(Fact_Contabilidad[[#This Row], 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ht="18.75" customHeight="1" x14ac:dyDescent="0.35">
      <c r="A2705" s="103"/>
      <c r="C2705" s="100" t="str">
        <f>IF(OR(Fact_Contabilidad[[#This Row], [Año]]="",Fact_Contabilidad[[#This Row], [Mes]]=""),"",DATE(A2705,MATCH(B2705,{"enero","febrero","marzo","abril","mayo","junio","julio","agosto","septiembre","octubre","noviembre","diciembre"},0)+1,0))</f>
        <v/>
      </c>
      <c r="E2705" t="str">
        <f>+IFERROR(VLOOKUP(Fact_Contabilidad[[#This Row], [Concepto Anterior]],Conceptos_Contabilidad[#All],5,0),"")</f>
        <v/>
      </c>
      <c r="F2705" t="str">
        <f>+IFERROR(VLOOKUP(Fact_Contabilidad[[#This Row], 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ht="18.75" customHeight="1" x14ac:dyDescent="0.35">
      <c r="A2706" s="103"/>
      <c r="C2706" s="100" t="str">
        <f>IF(OR(Fact_Contabilidad[[#This Row], [Año]]="",Fact_Contabilidad[[#This Row], [Mes]]=""),"",DATE(A2706,MATCH(B2706,{"enero","febrero","marzo","abril","mayo","junio","julio","agosto","septiembre","octubre","noviembre","diciembre"},0)+1,0))</f>
        <v/>
      </c>
      <c r="E2706" t="str">
        <f>+IFERROR(VLOOKUP(Fact_Contabilidad[[#This Row], [Concepto Anterior]],Conceptos_Contabilidad[#All],5,0),"")</f>
        <v/>
      </c>
      <c r="F2706" t="str">
        <f>+IFERROR(VLOOKUP(Fact_Contabilidad[[#This Row], 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ht="18.75" customHeight="1" x14ac:dyDescent="0.35">
      <c r="A2707" s="103"/>
      <c r="C2707" s="100" t="str">
        <f>IF(OR(Fact_Contabilidad[[#This Row], [Año]]="",Fact_Contabilidad[[#This Row], [Mes]]=""),"",DATE(A2707,MATCH(B2707,{"enero","febrero","marzo","abril","mayo","junio","julio","agosto","septiembre","octubre","noviembre","diciembre"},0)+1,0))</f>
        <v/>
      </c>
      <c r="E2707" t="str">
        <f>+IFERROR(VLOOKUP(Fact_Contabilidad[[#This Row], [Concepto Anterior]],Conceptos_Contabilidad[#All],5,0),"")</f>
        <v/>
      </c>
      <c r="F2707" t="str">
        <f>+IFERROR(VLOOKUP(Fact_Contabilidad[[#This Row], 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ht="18.75" customHeight="1" x14ac:dyDescent="0.35">
      <c r="A2708" s="103"/>
      <c r="C2708" s="100" t="str">
        <f>IF(OR(Fact_Contabilidad[[#This Row], [Año]]="",Fact_Contabilidad[[#This Row], [Mes]]=""),"",DATE(A2708,MATCH(B2708,{"enero","febrero","marzo","abril","mayo","junio","julio","agosto","septiembre","octubre","noviembre","diciembre"},0)+1,0))</f>
        <v/>
      </c>
      <c r="E2708" t="str">
        <f>+IFERROR(VLOOKUP(Fact_Contabilidad[[#This Row], [Concepto Anterior]],Conceptos_Contabilidad[#All],5,0),"")</f>
        <v/>
      </c>
      <c r="F2708" t="str">
        <f>+IFERROR(VLOOKUP(Fact_Contabilidad[[#This Row], 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ht="18.75" customHeight="1" x14ac:dyDescent="0.35">
      <c r="A2709" s="103"/>
      <c r="C2709" s="100" t="str">
        <f>IF(OR(Fact_Contabilidad[[#This Row], [Año]]="",Fact_Contabilidad[[#This Row], [Mes]]=""),"",DATE(A2709,MATCH(B2709,{"enero","febrero","marzo","abril","mayo","junio","julio","agosto","septiembre","octubre","noviembre","diciembre"},0)+1,0))</f>
        <v/>
      </c>
      <c r="E2709" t="str">
        <f>+IFERROR(VLOOKUP(Fact_Contabilidad[[#This Row], [Concepto Anterior]],Conceptos_Contabilidad[#All],5,0),"")</f>
        <v/>
      </c>
      <c r="F2709" t="str">
        <f>+IFERROR(VLOOKUP(Fact_Contabilidad[[#This Row], 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ht="18.75" customHeight="1" x14ac:dyDescent="0.35">
      <c r="A2710" s="103"/>
      <c r="C2710" s="100" t="str">
        <f>IF(OR(Fact_Contabilidad[[#This Row], [Año]]="",Fact_Contabilidad[[#This Row], [Mes]]=""),"",DATE(A2710,MATCH(B2710,{"enero","febrero","marzo","abril","mayo","junio","julio","agosto","septiembre","octubre","noviembre","diciembre"},0)+1,0))</f>
        <v/>
      </c>
      <c r="E2710" t="str">
        <f>+IFERROR(VLOOKUP(Fact_Contabilidad[[#This Row], [Concepto Anterior]],Conceptos_Contabilidad[#All],5,0),"")</f>
        <v/>
      </c>
      <c r="F2710" t="str">
        <f>+IFERROR(VLOOKUP(Fact_Contabilidad[[#This Row], 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ht="18.75" customHeight="1" x14ac:dyDescent="0.35">
      <c r="A2711" s="103"/>
      <c r="C2711" s="100" t="str">
        <f>IF(OR(Fact_Contabilidad[[#This Row], [Año]]="",Fact_Contabilidad[[#This Row], [Mes]]=""),"",DATE(A2711,MATCH(B2711,{"enero","febrero","marzo","abril","mayo","junio","julio","agosto","septiembre","octubre","noviembre","diciembre"},0)+1,0))</f>
        <v/>
      </c>
      <c r="E2711" t="str">
        <f>+IFERROR(VLOOKUP(Fact_Contabilidad[[#This Row], [Concepto Anterior]],Conceptos_Contabilidad[#All],5,0),"")</f>
        <v/>
      </c>
      <c r="F2711" t="str">
        <f>+IFERROR(VLOOKUP(Fact_Contabilidad[[#This Row], 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ht="18.75" customHeight="1" x14ac:dyDescent="0.35">
      <c r="A2712" s="103"/>
      <c r="C2712" s="100" t="str">
        <f>IF(OR(Fact_Contabilidad[[#This Row], [Año]]="",Fact_Contabilidad[[#This Row], [Mes]]=""),"",DATE(A2712,MATCH(B2712,{"enero","febrero","marzo","abril","mayo","junio","julio","agosto","septiembre","octubre","noviembre","diciembre"},0)+1,0))</f>
        <v/>
      </c>
      <c r="E2712" t="str">
        <f>+IFERROR(VLOOKUP(Fact_Contabilidad[[#This Row], [Concepto Anterior]],Conceptos_Contabilidad[#All],5,0),"")</f>
        <v/>
      </c>
      <c r="F2712" t="str">
        <f>+IFERROR(VLOOKUP(Fact_Contabilidad[[#This Row], 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ht="18.75" customHeight="1" x14ac:dyDescent="0.35">
      <c r="A2713" s="103"/>
      <c r="C2713" s="100" t="str">
        <f>IF(OR(Fact_Contabilidad[[#This Row], [Año]]="",Fact_Contabilidad[[#This Row], [Mes]]=""),"",DATE(A2713,MATCH(B2713,{"enero","febrero","marzo","abril","mayo","junio","julio","agosto","septiembre","octubre","noviembre","diciembre"},0)+1,0))</f>
        <v/>
      </c>
      <c r="E2713" t="str">
        <f>+IFERROR(VLOOKUP(Fact_Contabilidad[[#This Row], [Concepto Anterior]],Conceptos_Contabilidad[#All],5,0),"")</f>
        <v/>
      </c>
      <c r="F2713" t="str">
        <f>+IFERROR(VLOOKUP(Fact_Contabilidad[[#This Row], 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ht="18.75" customHeight="1" x14ac:dyDescent="0.35">
      <c r="A2714" s="103"/>
      <c r="C2714" s="100" t="str">
        <f>IF(OR(Fact_Contabilidad[[#This Row], [Año]]="",Fact_Contabilidad[[#This Row], [Mes]]=""),"",DATE(A2714,MATCH(B2714,{"enero","febrero","marzo","abril","mayo","junio","julio","agosto","septiembre","octubre","noviembre","diciembre"},0)+1,0))</f>
        <v/>
      </c>
      <c r="E2714" t="str">
        <f>+IFERROR(VLOOKUP(Fact_Contabilidad[[#This Row], [Concepto Anterior]],Conceptos_Contabilidad[#All],5,0),"")</f>
        <v/>
      </c>
      <c r="F2714" t="str">
        <f>+IFERROR(VLOOKUP(Fact_Contabilidad[[#This Row], 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ht="18.75" customHeight="1" x14ac:dyDescent="0.35">
      <c r="A2715" s="103"/>
      <c r="C2715" s="100" t="str">
        <f>IF(OR(Fact_Contabilidad[[#This Row], [Año]]="",Fact_Contabilidad[[#This Row], [Mes]]=""),"",DATE(A2715,MATCH(B2715,{"enero","febrero","marzo","abril","mayo","junio","julio","agosto","septiembre","octubre","noviembre","diciembre"},0)+1,0))</f>
        <v/>
      </c>
      <c r="E2715" t="str">
        <f>+IFERROR(VLOOKUP(Fact_Contabilidad[[#This Row], [Concepto Anterior]],Conceptos_Contabilidad[#All],5,0),"")</f>
        <v/>
      </c>
      <c r="F2715" t="str">
        <f>+IFERROR(VLOOKUP(Fact_Contabilidad[[#This Row], 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ht="18.75" customHeight="1" x14ac:dyDescent="0.35">
      <c r="A2716" s="103"/>
      <c r="C2716" s="100" t="str">
        <f>IF(OR(Fact_Contabilidad[[#This Row], [Año]]="",Fact_Contabilidad[[#This Row], [Mes]]=""),"",DATE(A2716,MATCH(B2716,{"enero","febrero","marzo","abril","mayo","junio","julio","agosto","septiembre","octubre","noviembre","diciembre"},0)+1,0))</f>
        <v/>
      </c>
      <c r="E2716" t="str">
        <f>+IFERROR(VLOOKUP(Fact_Contabilidad[[#This Row], [Concepto Anterior]],Conceptos_Contabilidad[#All],5,0),"")</f>
        <v/>
      </c>
      <c r="F2716" t="str">
        <f>+IFERROR(VLOOKUP(Fact_Contabilidad[[#This Row], 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ht="18.75" customHeight="1" x14ac:dyDescent="0.35">
      <c r="A2717" s="103"/>
      <c r="C2717" s="100" t="str">
        <f>IF(OR(Fact_Contabilidad[[#This Row], [Año]]="",Fact_Contabilidad[[#This Row], [Mes]]=""),"",DATE(A2717,MATCH(B2717,{"enero","febrero","marzo","abril","mayo","junio","julio","agosto","septiembre","octubre","noviembre","diciembre"},0)+1,0))</f>
        <v/>
      </c>
      <c r="E2717" t="str">
        <f>+IFERROR(VLOOKUP(Fact_Contabilidad[[#This Row], [Concepto Anterior]],Conceptos_Contabilidad[#All],5,0),"")</f>
        <v/>
      </c>
      <c r="F2717" t="str">
        <f>+IFERROR(VLOOKUP(Fact_Contabilidad[[#This Row], 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ht="18.75" customHeight="1" x14ac:dyDescent="0.35">
      <c r="A2718" s="103"/>
      <c r="C2718" s="100" t="str">
        <f>IF(OR(Fact_Contabilidad[[#This Row], [Año]]="",Fact_Contabilidad[[#This Row], [Mes]]=""),"",DATE(A2718,MATCH(B2718,{"enero","febrero","marzo","abril","mayo","junio","julio","agosto","septiembre","octubre","noviembre","diciembre"},0)+1,0))</f>
        <v/>
      </c>
      <c r="E2718" t="str">
        <f>+IFERROR(VLOOKUP(Fact_Contabilidad[[#This Row], [Concepto Anterior]],Conceptos_Contabilidad[#All],5,0),"")</f>
        <v/>
      </c>
      <c r="F2718" t="str">
        <f>+IFERROR(VLOOKUP(Fact_Contabilidad[[#This Row], 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ht="18.75" customHeight="1" x14ac:dyDescent="0.35">
      <c r="A2719" s="103"/>
      <c r="C2719" s="100" t="str">
        <f>IF(OR(Fact_Contabilidad[[#This Row], [Año]]="",Fact_Contabilidad[[#This Row], [Mes]]=""),"",DATE(A2719,MATCH(B2719,{"enero","febrero","marzo","abril","mayo","junio","julio","agosto","septiembre","octubre","noviembre","diciembre"},0)+1,0))</f>
        <v/>
      </c>
      <c r="E2719" t="str">
        <f>+IFERROR(VLOOKUP(Fact_Contabilidad[[#This Row], [Concepto Anterior]],Conceptos_Contabilidad[#All],5,0),"")</f>
        <v/>
      </c>
      <c r="F2719" t="str">
        <f>+IFERROR(VLOOKUP(Fact_Contabilidad[[#This Row], 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ht="18.75" customHeight="1" x14ac:dyDescent="0.35">
      <c r="A2720" s="103"/>
      <c r="C2720" s="100" t="str">
        <f>IF(OR(Fact_Contabilidad[[#This Row], [Año]]="",Fact_Contabilidad[[#This Row], [Mes]]=""),"",DATE(A2720,MATCH(B2720,{"enero","febrero","marzo","abril","mayo","junio","julio","agosto","septiembre","octubre","noviembre","diciembre"},0)+1,0))</f>
        <v/>
      </c>
      <c r="E2720" t="str">
        <f>+IFERROR(VLOOKUP(Fact_Contabilidad[[#This Row], [Concepto Anterior]],Conceptos_Contabilidad[#All],5,0),"")</f>
        <v/>
      </c>
      <c r="F2720" t="str">
        <f>+IFERROR(VLOOKUP(Fact_Contabilidad[[#This Row], 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ht="18.75" customHeight="1" x14ac:dyDescent="0.35">
      <c r="A2721" s="103"/>
      <c r="C2721" s="100" t="str">
        <f>IF(OR(Fact_Contabilidad[[#This Row], [Año]]="",Fact_Contabilidad[[#This Row], [Mes]]=""),"",DATE(A2721,MATCH(B2721,{"enero","febrero","marzo","abril","mayo","junio","julio","agosto","septiembre","octubre","noviembre","diciembre"},0)+1,0))</f>
        <v/>
      </c>
      <c r="E2721" t="str">
        <f>+IFERROR(VLOOKUP(Fact_Contabilidad[[#This Row], [Concepto Anterior]],Conceptos_Contabilidad[#All],5,0),"")</f>
        <v/>
      </c>
      <c r="F2721" t="str">
        <f>+IFERROR(VLOOKUP(Fact_Contabilidad[[#This Row], 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ht="18.75" customHeight="1" x14ac:dyDescent="0.35">
      <c r="A2722" s="103"/>
      <c r="C2722" s="100" t="str">
        <f>IF(OR(Fact_Contabilidad[[#This Row], [Año]]="",Fact_Contabilidad[[#This Row], [Mes]]=""),"",DATE(A2722,MATCH(B2722,{"enero","febrero","marzo","abril","mayo","junio","julio","agosto","septiembre","octubre","noviembre","diciembre"},0)+1,0))</f>
        <v/>
      </c>
      <c r="E2722" t="str">
        <f>+IFERROR(VLOOKUP(Fact_Contabilidad[[#This Row], [Concepto Anterior]],Conceptos_Contabilidad[#All],5,0),"")</f>
        <v/>
      </c>
      <c r="F2722" t="str">
        <f>+IFERROR(VLOOKUP(Fact_Contabilidad[[#This Row], 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ht="18.75" customHeight="1" x14ac:dyDescent="0.35">
      <c r="A2723" s="103"/>
      <c r="C2723" s="100" t="str">
        <f>IF(OR(Fact_Contabilidad[[#This Row], [Año]]="",Fact_Contabilidad[[#This Row], [Mes]]=""),"",DATE(A2723,MATCH(B2723,{"enero","febrero","marzo","abril","mayo","junio","julio","agosto","septiembre","octubre","noviembre","diciembre"},0)+1,0))</f>
        <v/>
      </c>
      <c r="E2723" t="str">
        <f>+IFERROR(VLOOKUP(Fact_Contabilidad[[#This Row], [Concepto Anterior]],Conceptos_Contabilidad[#All],5,0),"")</f>
        <v/>
      </c>
      <c r="F2723" t="str">
        <f>+IFERROR(VLOOKUP(Fact_Contabilidad[[#This Row], 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ht="18.75" customHeight="1" x14ac:dyDescent="0.35">
      <c r="A2724" s="103"/>
      <c r="C2724" s="100" t="str">
        <f>IF(OR(Fact_Contabilidad[[#This Row], [Año]]="",Fact_Contabilidad[[#This Row], [Mes]]=""),"",DATE(A2724,MATCH(B2724,{"enero","febrero","marzo","abril","mayo","junio","julio","agosto","septiembre","octubre","noviembre","diciembre"},0)+1,0))</f>
        <v/>
      </c>
      <c r="E2724" t="str">
        <f>+IFERROR(VLOOKUP(Fact_Contabilidad[[#This Row], [Concepto Anterior]],Conceptos_Contabilidad[#All],5,0),"")</f>
        <v/>
      </c>
      <c r="F2724" t="str">
        <f>+IFERROR(VLOOKUP(Fact_Contabilidad[[#This Row], 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ht="18.75" customHeight="1" x14ac:dyDescent="0.35">
      <c r="A2725" s="103"/>
      <c r="C2725" s="100" t="str">
        <f>IF(OR(Fact_Contabilidad[[#This Row], [Año]]="",Fact_Contabilidad[[#This Row], [Mes]]=""),"",DATE(A2725,MATCH(B2725,{"enero","febrero","marzo","abril","mayo","junio","julio","agosto","septiembre","octubre","noviembre","diciembre"},0)+1,0))</f>
        <v/>
      </c>
      <c r="E2725" t="str">
        <f>+IFERROR(VLOOKUP(Fact_Contabilidad[[#This Row], [Concepto Anterior]],Conceptos_Contabilidad[#All],5,0),"")</f>
        <v/>
      </c>
      <c r="F2725" t="str">
        <f>+IFERROR(VLOOKUP(Fact_Contabilidad[[#This Row], 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ht="18.75" customHeight="1" x14ac:dyDescent="0.35">
      <c r="A2726" s="103"/>
      <c r="C2726" s="100" t="str">
        <f>IF(OR(Fact_Contabilidad[[#This Row], [Año]]="",Fact_Contabilidad[[#This Row], [Mes]]=""),"",DATE(A2726,MATCH(B2726,{"enero","febrero","marzo","abril","mayo","junio","julio","agosto","septiembre","octubre","noviembre","diciembre"},0)+1,0))</f>
        <v/>
      </c>
      <c r="E2726" t="str">
        <f>+IFERROR(VLOOKUP(Fact_Contabilidad[[#This Row], [Concepto Anterior]],Conceptos_Contabilidad[#All],5,0),"")</f>
        <v/>
      </c>
      <c r="F2726" t="str">
        <f>+IFERROR(VLOOKUP(Fact_Contabilidad[[#This Row], 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ht="18.75" customHeight="1" x14ac:dyDescent="0.35">
      <c r="A2727" s="103"/>
      <c r="C2727" s="100" t="str">
        <f>IF(OR(Fact_Contabilidad[[#This Row], [Año]]="",Fact_Contabilidad[[#This Row], [Mes]]=""),"",DATE(A2727,MATCH(B2727,{"enero","febrero","marzo","abril","mayo","junio","julio","agosto","septiembre","octubre","noviembre","diciembre"},0)+1,0))</f>
        <v/>
      </c>
      <c r="E2727" t="str">
        <f>+IFERROR(VLOOKUP(Fact_Contabilidad[[#This Row], [Concepto Anterior]],Conceptos_Contabilidad[#All],5,0),"")</f>
        <v/>
      </c>
      <c r="F2727" t="str">
        <f>+IFERROR(VLOOKUP(Fact_Contabilidad[[#This Row], 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ht="18.75" customHeight="1" x14ac:dyDescent="0.35">
      <c r="A2728" s="103"/>
      <c r="C2728" s="100" t="str">
        <f>IF(OR(Fact_Contabilidad[[#This Row], [Año]]="",Fact_Contabilidad[[#This Row], [Mes]]=""),"",DATE(A2728,MATCH(B2728,{"enero","febrero","marzo","abril","mayo","junio","julio","agosto","septiembre","octubre","noviembre","diciembre"},0)+1,0))</f>
        <v/>
      </c>
      <c r="E2728" t="str">
        <f>+IFERROR(VLOOKUP(Fact_Contabilidad[[#This Row], [Concepto Anterior]],Conceptos_Contabilidad[#All],5,0),"")</f>
        <v/>
      </c>
      <c r="F2728" t="str">
        <f>+IFERROR(VLOOKUP(Fact_Contabilidad[[#This Row], 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ht="18.75" customHeight="1" x14ac:dyDescent="0.35">
      <c r="A2729" s="103"/>
      <c r="C2729" s="100" t="str">
        <f>IF(OR(Fact_Contabilidad[[#This Row], [Año]]="",Fact_Contabilidad[[#This Row], [Mes]]=""),"",DATE(A2729,MATCH(B2729,{"enero","febrero","marzo","abril","mayo","junio","julio","agosto","septiembre","octubre","noviembre","diciembre"},0)+1,0))</f>
        <v/>
      </c>
      <c r="E2729" t="str">
        <f>+IFERROR(VLOOKUP(Fact_Contabilidad[[#This Row], [Concepto Anterior]],Conceptos_Contabilidad[#All],5,0),"")</f>
        <v/>
      </c>
      <c r="F2729" t="str">
        <f>+IFERROR(VLOOKUP(Fact_Contabilidad[[#This Row], 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ht="18.75" customHeight="1" x14ac:dyDescent="0.35">
      <c r="A2730" s="103"/>
      <c r="C2730" s="100" t="str">
        <f>IF(OR(Fact_Contabilidad[[#This Row], [Año]]="",Fact_Contabilidad[[#This Row], [Mes]]=""),"",DATE(A2730,MATCH(B2730,{"enero","febrero","marzo","abril","mayo","junio","julio","agosto","septiembre","octubre","noviembre","diciembre"},0)+1,0))</f>
        <v/>
      </c>
      <c r="E2730" t="str">
        <f>+IFERROR(VLOOKUP(Fact_Contabilidad[[#This Row], [Concepto Anterior]],Conceptos_Contabilidad[#All],5,0),"")</f>
        <v/>
      </c>
      <c r="F2730" t="str">
        <f>+IFERROR(VLOOKUP(Fact_Contabilidad[[#This Row], 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ht="18.75" customHeight="1" x14ac:dyDescent="0.35">
      <c r="A2731" s="103"/>
      <c r="C2731" s="100" t="str">
        <f>IF(OR(Fact_Contabilidad[[#This Row], [Año]]="",Fact_Contabilidad[[#This Row], [Mes]]=""),"",DATE(A2731,MATCH(B2731,{"enero","febrero","marzo","abril","mayo","junio","julio","agosto","septiembre","octubre","noviembre","diciembre"},0)+1,0))</f>
        <v/>
      </c>
      <c r="E2731" t="str">
        <f>+IFERROR(VLOOKUP(Fact_Contabilidad[[#This Row], [Concepto Anterior]],Conceptos_Contabilidad[#All],5,0),"")</f>
        <v/>
      </c>
      <c r="F2731" t="str">
        <f>+IFERROR(VLOOKUP(Fact_Contabilidad[[#This Row], 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ht="18.75" customHeight="1" x14ac:dyDescent="0.35">
      <c r="A2732" s="103"/>
      <c r="C2732" s="100" t="str">
        <f>IF(OR(Fact_Contabilidad[[#This Row], [Año]]="",Fact_Contabilidad[[#This Row], [Mes]]=""),"",DATE(A2732,MATCH(B2732,{"enero","febrero","marzo","abril","mayo","junio","julio","agosto","septiembre","octubre","noviembre","diciembre"},0)+1,0))</f>
        <v/>
      </c>
      <c r="E2732" t="str">
        <f>+IFERROR(VLOOKUP(Fact_Contabilidad[[#This Row], [Concepto Anterior]],Conceptos_Contabilidad[#All],5,0),"")</f>
        <v/>
      </c>
      <c r="F2732" t="str">
        <f>+IFERROR(VLOOKUP(Fact_Contabilidad[[#This Row], 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ht="18.75" customHeight="1" x14ac:dyDescent="0.35">
      <c r="A2733" s="103"/>
      <c r="C2733" s="100" t="str">
        <f>IF(OR(Fact_Contabilidad[[#This Row], [Año]]="",Fact_Contabilidad[[#This Row], [Mes]]=""),"",DATE(A2733,MATCH(B2733,{"enero","febrero","marzo","abril","mayo","junio","julio","agosto","septiembre","octubre","noviembre","diciembre"},0)+1,0))</f>
        <v/>
      </c>
      <c r="E2733" t="str">
        <f>+IFERROR(VLOOKUP(Fact_Contabilidad[[#This Row], [Concepto Anterior]],Conceptos_Contabilidad[#All],5,0),"")</f>
        <v/>
      </c>
      <c r="F2733" t="str">
        <f>+IFERROR(VLOOKUP(Fact_Contabilidad[[#This Row], 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ht="18.75" customHeight="1" x14ac:dyDescent="0.35">
      <c r="A2734" s="103"/>
      <c r="C2734" s="100" t="str">
        <f>IF(OR(Fact_Contabilidad[[#This Row], [Año]]="",Fact_Contabilidad[[#This Row], [Mes]]=""),"",DATE(A2734,MATCH(B2734,{"enero","febrero","marzo","abril","mayo","junio","julio","agosto","septiembre","octubre","noviembre","diciembre"},0)+1,0))</f>
        <v/>
      </c>
      <c r="E2734" t="str">
        <f>+IFERROR(VLOOKUP(Fact_Contabilidad[[#This Row], [Concepto Anterior]],Conceptos_Contabilidad[#All],5,0),"")</f>
        <v/>
      </c>
      <c r="F2734" t="str">
        <f>+IFERROR(VLOOKUP(Fact_Contabilidad[[#This Row], 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ht="18.75" customHeight="1" x14ac:dyDescent="0.35">
      <c r="A2735" s="103"/>
      <c r="C2735" s="100" t="str">
        <f>IF(OR(Fact_Contabilidad[[#This Row], [Año]]="",Fact_Contabilidad[[#This Row], [Mes]]=""),"",DATE(A2735,MATCH(B2735,{"enero","febrero","marzo","abril","mayo","junio","julio","agosto","septiembre","octubre","noviembre","diciembre"},0)+1,0))</f>
        <v/>
      </c>
      <c r="E2735" t="str">
        <f>+IFERROR(VLOOKUP(Fact_Contabilidad[[#This Row], [Concepto Anterior]],Conceptos_Contabilidad[#All],5,0),"")</f>
        <v/>
      </c>
      <c r="F2735" t="str">
        <f>+IFERROR(VLOOKUP(Fact_Contabilidad[[#This Row], 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ht="18.75" customHeight="1" x14ac:dyDescent="0.35">
      <c r="A2736" s="103"/>
      <c r="C2736" s="100" t="str">
        <f>IF(OR(Fact_Contabilidad[[#This Row], [Año]]="",Fact_Contabilidad[[#This Row], [Mes]]=""),"",DATE(A2736,MATCH(B2736,{"enero","febrero","marzo","abril","mayo","junio","julio","agosto","septiembre","octubre","noviembre","diciembre"},0)+1,0))</f>
        <v/>
      </c>
      <c r="E2736" t="str">
        <f>+IFERROR(VLOOKUP(Fact_Contabilidad[[#This Row], [Concepto Anterior]],Conceptos_Contabilidad[#All],5,0),"")</f>
        <v/>
      </c>
      <c r="F2736" t="str">
        <f>+IFERROR(VLOOKUP(Fact_Contabilidad[[#This Row], 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ht="18.75" customHeight="1" x14ac:dyDescent="0.35">
      <c r="A2737" s="103"/>
      <c r="C2737" s="100" t="str">
        <f>IF(OR(Fact_Contabilidad[[#This Row], [Año]]="",Fact_Contabilidad[[#This Row], [Mes]]=""),"",DATE(A2737,MATCH(B2737,{"enero","febrero","marzo","abril","mayo","junio","julio","agosto","septiembre","octubre","noviembre","diciembre"},0)+1,0))</f>
        <v/>
      </c>
      <c r="E2737" t="str">
        <f>+IFERROR(VLOOKUP(Fact_Contabilidad[[#This Row], [Concepto Anterior]],Conceptos_Contabilidad[#All],5,0),"")</f>
        <v/>
      </c>
      <c r="F2737" t="str">
        <f>+IFERROR(VLOOKUP(Fact_Contabilidad[[#This Row], 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ht="18.75" customHeight="1" x14ac:dyDescent="0.35">
      <c r="A2738" s="103"/>
      <c r="C2738" s="100" t="str">
        <f>IF(OR(Fact_Contabilidad[[#This Row], [Año]]="",Fact_Contabilidad[[#This Row], [Mes]]=""),"",DATE(A2738,MATCH(B2738,{"enero","febrero","marzo","abril","mayo","junio","julio","agosto","septiembre","octubre","noviembre","diciembre"},0)+1,0))</f>
        <v/>
      </c>
      <c r="E2738" t="str">
        <f>+IFERROR(VLOOKUP(Fact_Contabilidad[[#This Row], [Concepto Anterior]],Conceptos_Contabilidad[#All],5,0),"")</f>
        <v/>
      </c>
      <c r="F2738" t="str">
        <f>+IFERROR(VLOOKUP(Fact_Contabilidad[[#This Row], 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ht="18.75" customHeight="1" x14ac:dyDescent="0.35">
      <c r="A2739" s="103"/>
      <c r="C2739" s="100" t="str">
        <f>IF(OR(Fact_Contabilidad[[#This Row], [Año]]="",Fact_Contabilidad[[#This Row], [Mes]]=""),"",DATE(A2739,MATCH(B2739,{"enero","febrero","marzo","abril","mayo","junio","julio","agosto","septiembre","octubre","noviembre","diciembre"},0)+1,0))</f>
        <v/>
      </c>
      <c r="E2739" t="str">
        <f>+IFERROR(VLOOKUP(Fact_Contabilidad[[#This Row], [Concepto Anterior]],Conceptos_Contabilidad[#All],5,0),"")</f>
        <v/>
      </c>
      <c r="F2739" t="str">
        <f>+IFERROR(VLOOKUP(Fact_Contabilidad[[#This Row], 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ht="18.75" customHeight="1" x14ac:dyDescent="0.35">
      <c r="A2740" s="103"/>
      <c r="C2740" s="100" t="str">
        <f>IF(OR(Fact_Contabilidad[[#This Row], [Año]]="",Fact_Contabilidad[[#This Row], [Mes]]=""),"",DATE(A2740,MATCH(B2740,{"enero","febrero","marzo","abril","mayo","junio","julio","agosto","septiembre","octubre","noviembre","diciembre"},0)+1,0))</f>
        <v/>
      </c>
      <c r="E2740" t="str">
        <f>+IFERROR(VLOOKUP(Fact_Contabilidad[[#This Row], [Concepto Anterior]],Conceptos_Contabilidad[#All],5,0),"")</f>
        <v/>
      </c>
      <c r="F2740" t="str">
        <f>+IFERROR(VLOOKUP(Fact_Contabilidad[[#This Row], 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ht="18.75" customHeight="1" x14ac:dyDescent="0.35">
      <c r="A2741" s="103"/>
      <c r="C2741" s="100" t="str">
        <f>IF(OR(Fact_Contabilidad[[#This Row], [Año]]="",Fact_Contabilidad[[#This Row], [Mes]]=""),"",DATE(A2741,MATCH(B2741,{"enero","febrero","marzo","abril","mayo","junio","julio","agosto","septiembre","octubre","noviembre","diciembre"},0)+1,0))</f>
        <v/>
      </c>
      <c r="E2741" t="str">
        <f>+IFERROR(VLOOKUP(Fact_Contabilidad[[#This Row], [Concepto Anterior]],Conceptos_Contabilidad[#All],5,0),"")</f>
        <v/>
      </c>
      <c r="F2741" t="str">
        <f>+IFERROR(VLOOKUP(Fact_Contabilidad[[#This Row], 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ht="18.75" customHeight="1" x14ac:dyDescent="0.35">
      <c r="A2742" s="103"/>
      <c r="C2742" s="100" t="str">
        <f>IF(OR(Fact_Contabilidad[[#This Row], [Año]]="",Fact_Contabilidad[[#This Row], [Mes]]=""),"",DATE(A2742,MATCH(B2742,{"enero","febrero","marzo","abril","mayo","junio","julio","agosto","septiembre","octubre","noviembre","diciembre"},0)+1,0))</f>
        <v/>
      </c>
      <c r="E2742" t="str">
        <f>+IFERROR(VLOOKUP(Fact_Contabilidad[[#This Row], [Concepto Anterior]],Conceptos_Contabilidad[#All],5,0),"")</f>
        <v/>
      </c>
      <c r="F2742" t="str">
        <f>+IFERROR(VLOOKUP(Fact_Contabilidad[[#This Row], 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ht="18.75" customHeight="1" x14ac:dyDescent="0.35">
      <c r="A2743" s="103"/>
      <c r="C2743" s="100" t="str">
        <f>IF(OR(Fact_Contabilidad[[#This Row], [Año]]="",Fact_Contabilidad[[#This Row], [Mes]]=""),"",DATE(A2743,MATCH(B2743,{"enero","febrero","marzo","abril","mayo","junio","julio","agosto","septiembre","octubre","noviembre","diciembre"},0)+1,0))</f>
        <v/>
      </c>
      <c r="E2743" t="str">
        <f>+IFERROR(VLOOKUP(Fact_Contabilidad[[#This Row], [Concepto Anterior]],Conceptos_Contabilidad[#All],5,0),"")</f>
        <v/>
      </c>
      <c r="F2743" t="str">
        <f>+IFERROR(VLOOKUP(Fact_Contabilidad[[#This Row], 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ht="18.75" customHeight="1" x14ac:dyDescent="0.35">
      <c r="A2744" s="103"/>
      <c r="C2744" s="100" t="str">
        <f>IF(OR(Fact_Contabilidad[[#This Row], [Año]]="",Fact_Contabilidad[[#This Row], [Mes]]=""),"",DATE(A2744,MATCH(B2744,{"enero","febrero","marzo","abril","mayo","junio","julio","agosto","septiembre","octubre","noviembre","diciembre"},0)+1,0))</f>
        <v/>
      </c>
      <c r="E2744" t="str">
        <f>+IFERROR(VLOOKUP(Fact_Contabilidad[[#This Row], [Concepto Anterior]],Conceptos_Contabilidad[#All],5,0),"")</f>
        <v/>
      </c>
      <c r="F2744" t="str">
        <f>+IFERROR(VLOOKUP(Fact_Contabilidad[[#This Row], 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ht="18.75" customHeight="1" x14ac:dyDescent="0.35">
      <c r="A2745" s="103"/>
      <c r="C2745" s="100" t="str">
        <f>IF(OR(Fact_Contabilidad[[#This Row], [Año]]="",Fact_Contabilidad[[#This Row], [Mes]]=""),"",DATE(A2745,MATCH(B2745,{"enero","febrero","marzo","abril","mayo","junio","julio","agosto","septiembre","octubre","noviembre","diciembre"},0)+1,0))</f>
        <v/>
      </c>
      <c r="E2745" t="str">
        <f>+IFERROR(VLOOKUP(Fact_Contabilidad[[#This Row], [Concepto Anterior]],Conceptos_Contabilidad[#All],5,0),"")</f>
        <v/>
      </c>
      <c r="F2745" t="str">
        <f>+IFERROR(VLOOKUP(Fact_Contabilidad[[#This Row], 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ht="18.75" customHeight="1" x14ac:dyDescent="0.35">
      <c r="A2746" s="103"/>
      <c r="C2746" s="100" t="str">
        <f>IF(OR(Fact_Contabilidad[[#This Row], [Año]]="",Fact_Contabilidad[[#This Row], [Mes]]=""),"",DATE(A2746,MATCH(B2746,{"enero","febrero","marzo","abril","mayo","junio","julio","agosto","septiembre","octubre","noviembre","diciembre"},0)+1,0))</f>
        <v/>
      </c>
      <c r="E2746" t="str">
        <f>+IFERROR(VLOOKUP(Fact_Contabilidad[[#This Row], [Concepto Anterior]],Conceptos_Contabilidad[#All],5,0),"")</f>
        <v/>
      </c>
      <c r="F2746" t="str">
        <f>+IFERROR(VLOOKUP(Fact_Contabilidad[[#This Row], 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ht="18.75" customHeight="1" x14ac:dyDescent="0.35">
      <c r="A2747" s="103"/>
      <c r="C2747" s="100" t="str">
        <f>IF(OR(Fact_Contabilidad[[#This Row], [Año]]="",Fact_Contabilidad[[#This Row], [Mes]]=""),"",DATE(A2747,MATCH(B2747,{"enero","febrero","marzo","abril","mayo","junio","julio","agosto","septiembre","octubre","noviembre","diciembre"},0)+1,0))</f>
        <v/>
      </c>
      <c r="E2747" t="str">
        <f>+IFERROR(VLOOKUP(Fact_Contabilidad[[#This Row], [Concepto Anterior]],Conceptos_Contabilidad[#All],5,0),"")</f>
        <v/>
      </c>
      <c r="F2747" t="str">
        <f>+IFERROR(VLOOKUP(Fact_Contabilidad[[#This Row], 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ht="18.75" customHeight="1" x14ac:dyDescent="0.35">
      <c r="A2748" s="103"/>
      <c r="C2748" s="100" t="str">
        <f>IF(OR(Fact_Contabilidad[[#This Row], [Año]]="",Fact_Contabilidad[[#This Row], [Mes]]=""),"",DATE(A2748,MATCH(B2748,{"enero","febrero","marzo","abril","mayo","junio","julio","agosto","septiembre","octubre","noviembre","diciembre"},0)+1,0))</f>
        <v/>
      </c>
      <c r="E2748" t="str">
        <f>+IFERROR(VLOOKUP(Fact_Contabilidad[[#This Row], [Concepto Anterior]],Conceptos_Contabilidad[#All],5,0),"")</f>
        <v/>
      </c>
      <c r="F2748" t="str">
        <f>+IFERROR(VLOOKUP(Fact_Contabilidad[[#This Row], 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ht="18.75" customHeight="1" x14ac:dyDescent="0.35">
      <c r="A2749" s="103"/>
      <c r="C2749" s="100" t="str">
        <f>IF(OR(Fact_Contabilidad[[#This Row], [Año]]="",Fact_Contabilidad[[#This Row], [Mes]]=""),"",DATE(A2749,MATCH(B2749,{"enero","febrero","marzo","abril","mayo","junio","julio","agosto","septiembre","octubre","noviembre","diciembre"},0)+1,0))</f>
        <v/>
      </c>
      <c r="E2749" t="str">
        <f>+IFERROR(VLOOKUP(Fact_Contabilidad[[#This Row], [Concepto Anterior]],Conceptos_Contabilidad[#All],5,0),"")</f>
        <v/>
      </c>
      <c r="F2749" t="str">
        <f>+IFERROR(VLOOKUP(Fact_Contabilidad[[#This Row], 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ht="18.75" customHeight="1" x14ac:dyDescent="0.35">
      <c r="A2750" s="103"/>
      <c r="C2750" s="100" t="str">
        <f>IF(OR(Fact_Contabilidad[[#This Row], [Año]]="",Fact_Contabilidad[[#This Row], [Mes]]=""),"",DATE(A2750,MATCH(B2750,{"enero","febrero","marzo","abril","mayo","junio","julio","agosto","septiembre","octubre","noviembre","diciembre"},0)+1,0))</f>
        <v/>
      </c>
      <c r="E2750" t="str">
        <f>+IFERROR(VLOOKUP(Fact_Contabilidad[[#This Row], [Concepto Anterior]],Conceptos_Contabilidad[#All],5,0),"")</f>
        <v/>
      </c>
      <c r="F2750" t="str">
        <f>+IFERROR(VLOOKUP(Fact_Contabilidad[[#This Row], 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ht="18.75" customHeight="1" x14ac:dyDescent="0.35">
      <c r="A2751" s="103"/>
      <c r="C2751" s="100" t="str">
        <f>IF(OR(Fact_Contabilidad[[#This Row], [Año]]="",Fact_Contabilidad[[#This Row], [Mes]]=""),"",DATE(A2751,MATCH(B2751,{"enero","febrero","marzo","abril","mayo","junio","julio","agosto","septiembre","octubre","noviembre","diciembre"},0)+1,0))</f>
        <v/>
      </c>
      <c r="E2751" t="str">
        <f>+IFERROR(VLOOKUP(Fact_Contabilidad[[#This Row], [Concepto Anterior]],Conceptos_Contabilidad[#All],5,0),"")</f>
        <v/>
      </c>
      <c r="F2751" t="str">
        <f>+IFERROR(VLOOKUP(Fact_Contabilidad[[#This Row], 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ht="18.75" customHeight="1" x14ac:dyDescent="0.35">
      <c r="A2752" s="103"/>
      <c r="C2752" s="100" t="str">
        <f>IF(OR(Fact_Contabilidad[[#This Row], [Año]]="",Fact_Contabilidad[[#This Row], [Mes]]=""),"",DATE(A2752,MATCH(B2752,{"enero","febrero","marzo","abril","mayo","junio","julio","agosto","septiembre","octubre","noviembre","diciembre"},0)+1,0))</f>
        <v/>
      </c>
      <c r="E2752" t="str">
        <f>+IFERROR(VLOOKUP(Fact_Contabilidad[[#This Row], [Concepto Anterior]],Conceptos_Contabilidad[#All],5,0),"")</f>
        <v/>
      </c>
      <c r="F2752" t="str">
        <f>+IFERROR(VLOOKUP(Fact_Contabilidad[[#This Row], 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ht="18.75" customHeight="1" x14ac:dyDescent="0.35">
      <c r="A2753" s="103"/>
      <c r="C2753" s="100" t="str">
        <f>IF(OR(Fact_Contabilidad[[#This Row], [Año]]="",Fact_Contabilidad[[#This Row], [Mes]]=""),"",DATE(A2753,MATCH(B2753,{"enero","febrero","marzo","abril","mayo","junio","julio","agosto","septiembre","octubre","noviembre","diciembre"},0)+1,0))</f>
        <v/>
      </c>
      <c r="E2753" t="str">
        <f>+IFERROR(VLOOKUP(Fact_Contabilidad[[#This Row], [Concepto Anterior]],Conceptos_Contabilidad[#All],5,0),"")</f>
        <v/>
      </c>
      <c r="F2753" t="str">
        <f>+IFERROR(VLOOKUP(Fact_Contabilidad[[#This Row], 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ht="18.75" customHeight="1" x14ac:dyDescent="0.35">
      <c r="A2754" s="103"/>
      <c r="C2754" s="100" t="str">
        <f>IF(OR(Fact_Contabilidad[[#This Row], [Año]]="",Fact_Contabilidad[[#This Row], [Mes]]=""),"",DATE(A2754,MATCH(B2754,{"enero","febrero","marzo","abril","mayo","junio","julio","agosto","septiembre","octubre","noviembre","diciembre"},0)+1,0))</f>
        <v/>
      </c>
      <c r="E2754" t="str">
        <f>+IFERROR(VLOOKUP(Fact_Contabilidad[[#This Row], [Concepto Anterior]],Conceptos_Contabilidad[#All],5,0),"")</f>
        <v/>
      </c>
      <c r="F2754" t="str">
        <f>+IFERROR(VLOOKUP(Fact_Contabilidad[[#This Row], 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ht="18.75" customHeight="1" x14ac:dyDescent="0.35">
      <c r="A2755" s="103"/>
      <c r="C2755" s="100" t="str">
        <f>IF(OR(Fact_Contabilidad[[#This Row], [Año]]="",Fact_Contabilidad[[#This Row], [Mes]]=""),"",DATE(A2755,MATCH(B2755,{"enero","febrero","marzo","abril","mayo","junio","julio","agosto","septiembre","octubre","noviembre","diciembre"},0)+1,0))</f>
        <v/>
      </c>
      <c r="E2755" t="str">
        <f>+IFERROR(VLOOKUP(Fact_Contabilidad[[#This Row], [Concepto Anterior]],Conceptos_Contabilidad[#All],5,0),"")</f>
        <v/>
      </c>
      <c r="F2755" t="str">
        <f>+IFERROR(VLOOKUP(Fact_Contabilidad[[#This Row], 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ht="18.75" customHeight="1" x14ac:dyDescent="0.35">
      <c r="A2756" s="103"/>
      <c r="C2756" s="100" t="str">
        <f>IF(OR(Fact_Contabilidad[[#This Row], [Año]]="",Fact_Contabilidad[[#This Row], [Mes]]=""),"",DATE(A2756,MATCH(B2756,{"enero","febrero","marzo","abril","mayo","junio","julio","agosto","septiembre","octubre","noviembre","diciembre"},0)+1,0))</f>
        <v/>
      </c>
      <c r="E2756" t="str">
        <f>+IFERROR(VLOOKUP(Fact_Contabilidad[[#This Row], [Concepto Anterior]],Conceptos_Contabilidad[#All],5,0),"")</f>
        <v/>
      </c>
      <c r="F2756" t="str">
        <f>+IFERROR(VLOOKUP(Fact_Contabilidad[[#This Row], 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ht="18.75" customHeight="1" x14ac:dyDescent="0.35">
      <c r="A2757" s="103"/>
      <c r="C2757" s="100" t="str">
        <f>IF(OR(Fact_Contabilidad[[#This Row], [Año]]="",Fact_Contabilidad[[#This Row], [Mes]]=""),"",DATE(A2757,MATCH(B2757,{"enero","febrero","marzo","abril","mayo","junio","julio","agosto","septiembre","octubre","noviembre","diciembre"},0)+1,0))</f>
        <v/>
      </c>
      <c r="E2757" t="str">
        <f>+IFERROR(VLOOKUP(Fact_Contabilidad[[#This Row], [Concepto Anterior]],Conceptos_Contabilidad[#All],5,0),"")</f>
        <v/>
      </c>
      <c r="F2757" t="str">
        <f>+IFERROR(VLOOKUP(Fact_Contabilidad[[#This Row], 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ht="18.75" customHeight="1" x14ac:dyDescent="0.35">
      <c r="A2758" s="103"/>
      <c r="C2758" s="100" t="str">
        <f>IF(OR(Fact_Contabilidad[[#This Row], [Año]]="",Fact_Contabilidad[[#This Row], [Mes]]=""),"",DATE(A2758,MATCH(B2758,{"enero","febrero","marzo","abril","mayo","junio","julio","agosto","septiembre","octubre","noviembre","diciembre"},0)+1,0))</f>
        <v/>
      </c>
      <c r="E2758" t="str">
        <f>+IFERROR(VLOOKUP(Fact_Contabilidad[[#This Row], [Concepto Anterior]],Conceptos_Contabilidad[#All],5,0),"")</f>
        <v/>
      </c>
      <c r="F2758" t="str">
        <f>+IFERROR(VLOOKUP(Fact_Contabilidad[[#This Row], 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ht="18.75" customHeight="1" x14ac:dyDescent="0.35">
      <c r="A2759" s="103"/>
      <c r="C2759" s="100" t="str">
        <f>IF(OR(Fact_Contabilidad[[#This Row], [Año]]="",Fact_Contabilidad[[#This Row], [Mes]]=""),"",DATE(A2759,MATCH(B2759,{"enero","febrero","marzo","abril","mayo","junio","julio","agosto","septiembre","octubre","noviembre","diciembre"},0)+1,0))</f>
        <v/>
      </c>
      <c r="E2759" t="str">
        <f>+IFERROR(VLOOKUP(Fact_Contabilidad[[#This Row], [Concepto Anterior]],Conceptos_Contabilidad[#All],5,0),"")</f>
        <v/>
      </c>
      <c r="F2759" t="str">
        <f>+IFERROR(VLOOKUP(Fact_Contabilidad[[#This Row], 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ht="18.75" customHeight="1" x14ac:dyDescent="0.35">
      <c r="A2760" s="103"/>
      <c r="C2760" s="100" t="str">
        <f>IF(OR(Fact_Contabilidad[[#This Row], [Año]]="",Fact_Contabilidad[[#This Row], [Mes]]=""),"",DATE(A2760,MATCH(B2760,{"enero","febrero","marzo","abril","mayo","junio","julio","agosto","septiembre","octubre","noviembre","diciembre"},0)+1,0))</f>
        <v/>
      </c>
      <c r="E2760" t="str">
        <f>+IFERROR(VLOOKUP(Fact_Contabilidad[[#This Row], [Concepto Anterior]],Conceptos_Contabilidad[#All],5,0),"")</f>
        <v/>
      </c>
      <c r="F2760" t="str">
        <f>+IFERROR(VLOOKUP(Fact_Contabilidad[[#This Row], 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ht="18.75" customHeight="1" x14ac:dyDescent="0.35">
      <c r="A2761" s="103"/>
      <c r="C2761" s="100" t="str">
        <f>IF(OR(Fact_Contabilidad[[#This Row], [Año]]="",Fact_Contabilidad[[#This Row], [Mes]]=""),"",DATE(A2761,MATCH(B2761,{"enero","febrero","marzo","abril","mayo","junio","julio","agosto","septiembre","octubre","noviembre","diciembre"},0)+1,0))</f>
        <v/>
      </c>
      <c r="E2761" t="str">
        <f>+IFERROR(VLOOKUP(Fact_Contabilidad[[#This Row], [Concepto Anterior]],Conceptos_Contabilidad[#All],5,0),"")</f>
        <v/>
      </c>
      <c r="F2761" t="str">
        <f>+IFERROR(VLOOKUP(Fact_Contabilidad[[#This Row], 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ht="18.75" customHeight="1" x14ac:dyDescent="0.35">
      <c r="A2762" s="103"/>
      <c r="C2762" s="100" t="str">
        <f>IF(OR(Fact_Contabilidad[[#This Row], [Año]]="",Fact_Contabilidad[[#This Row], [Mes]]=""),"",DATE(A2762,MATCH(B2762,{"enero","febrero","marzo","abril","mayo","junio","julio","agosto","septiembre","octubre","noviembre","diciembre"},0)+1,0))</f>
        <v/>
      </c>
      <c r="E2762" t="str">
        <f>+IFERROR(VLOOKUP(Fact_Contabilidad[[#This Row], [Concepto Anterior]],Conceptos_Contabilidad[#All],5,0),"")</f>
        <v/>
      </c>
      <c r="F2762" t="str">
        <f>+IFERROR(VLOOKUP(Fact_Contabilidad[[#This Row], 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ht="18.75" customHeight="1" x14ac:dyDescent="0.35">
      <c r="A2763" s="103"/>
      <c r="C2763" s="100" t="str">
        <f>IF(OR(Fact_Contabilidad[[#This Row], [Año]]="",Fact_Contabilidad[[#This Row], [Mes]]=""),"",DATE(A2763,MATCH(B2763,{"enero","febrero","marzo","abril","mayo","junio","julio","agosto","septiembre","octubre","noviembre","diciembre"},0)+1,0))</f>
        <v/>
      </c>
      <c r="E2763" t="str">
        <f>+IFERROR(VLOOKUP(Fact_Contabilidad[[#This Row], [Concepto Anterior]],Conceptos_Contabilidad[#All],5,0),"")</f>
        <v/>
      </c>
      <c r="F2763" t="str">
        <f>+IFERROR(VLOOKUP(Fact_Contabilidad[[#This Row], 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ht="18.75" customHeight="1" x14ac:dyDescent="0.35">
      <c r="A2764" s="103"/>
      <c r="C2764" s="100" t="str">
        <f>IF(OR(Fact_Contabilidad[[#This Row], [Año]]="",Fact_Contabilidad[[#This Row], [Mes]]=""),"",DATE(A2764,MATCH(B2764,{"enero","febrero","marzo","abril","mayo","junio","julio","agosto","septiembre","octubre","noviembre","diciembre"},0)+1,0))</f>
        <v/>
      </c>
      <c r="E2764" t="str">
        <f>+IFERROR(VLOOKUP(Fact_Contabilidad[[#This Row], [Concepto Anterior]],Conceptos_Contabilidad[#All],5,0),"")</f>
        <v/>
      </c>
      <c r="F2764" t="str">
        <f>+IFERROR(VLOOKUP(Fact_Contabilidad[[#This Row], 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ht="18.75" customHeight="1" x14ac:dyDescent="0.35">
      <c r="A2765" s="103"/>
      <c r="C2765" s="100" t="str">
        <f>IF(OR(Fact_Contabilidad[[#This Row], [Año]]="",Fact_Contabilidad[[#This Row], [Mes]]=""),"",DATE(A2765,MATCH(B2765,{"enero","febrero","marzo","abril","mayo","junio","julio","agosto","septiembre","octubre","noviembre","diciembre"},0)+1,0))</f>
        <v/>
      </c>
      <c r="E2765" t="str">
        <f>+IFERROR(VLOOKUP(Fact_Contabilidad[[#This Row], [Concepto Anterior]],Conceptos_Contabilidad[#All],5,0),"")</f>
        <v/>
      </c>
      <c r="F2765" t="str">
        <f>+IFERROR(VLOOKUP(Fact_Contabilidad[[#This Row], 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ht="18.75" customHeight="1" x14ac:dyDescent="0.35">
      <c r="A2766" s="103"/>
      <c r="C2766" s="100" t="str">
        <f>IF(OR(Fact_Contabilidad[[#This Row], [Año]]="",Fact_Contabilidad[[#This Row], [Mes]]=""),"",DATE(A2766,MATCH(B2766,{"enero","febrero","marzo","abril","mayo","junio","julio","agosto","septiembre","octubre","noviembre","diciembre"},0)+1,0))</f>
        <v/>
      </c>
      <c r="E2766" t="str">
        <f>+IFERROR(VLOOKUP(Fact_Contabilidad[[#This Row], [Concepto Anterior]],Conceptos_Contabilidad[#All],5,0),"")</f>
        <v/>
      </c>
      <c r="F2766" t="str">
        <f>+IFERROR(VLOOKUP(Fact_Contabilidad[[#This Row], 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ht="18.75" customHeight="1" x14ac:dyDescent="0.35">
      <c r="A2767" s="103"/>
      <c r="C2767" s="100" t="str">
        <f>IF(OR(Fact_Contabilidad[[#This Row], [Año]]="",Fact_Contabilidad[[#This Row], [Mes]]=""),"",DATE(A2767,MATCH(B2767,{"enero","febrero","marzo","abril","mayo","junio","julio","agosto","septiembre","octubre","noviembre","diciembre"},0)+1,0))</f>
        <v/>
      </c>
      <c r="E2767" t="str">
        <f>+IFERROR(VLOOKUP(Fact_Contabilidad[[#This Row], [Concepto Anterior]],Conceptos_Contabilidad[#All],5,0),"")</f>
        <v/>
      </c>
      <c r="F2767" t="str">
        <f>+IFERROR(VLOOKUP(Fact_Contabilidad[[#This Row], 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ht="18.75" customHeight="1" x14ac:dyDescent="0.35">
      <c r="A2768" s="103"/>
      <c r="C2768" s="100" t="str">
        <f>IF(OR(Fact_Contabilidad[[#This Row], [Año]]="",Fact_Contabilidad[[#This Row], [Mes]]=""),"",DATE(A2768,MATCH(B2768,{"enero","febrero","marzo","abril","mayo","junio","julio","agosto","septiembre","octubre","noviembre","diciembre"},0)+1,0))</f>
        <v/>
      </c>
      <c r="E2768" t="str">
        <f>+IFERROR(VLOOKUP(Fact_Contabilidad[[#This Row], [Concepto Anterior]],Conceptos_Contabilidad[#All],5,0),"")</f>
        <v/>
      </c>
      <c r="F2768" t="str">
        <f>+IFERROR(VLOOKUP(Fact_Contabilidad[[#This Row], 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ht="18.75" customHeight="1" x14ac:dyDescent="0.35">
      <c r="A2769" s="103"/>
      <c r="C2769" s="100" t="str">
        <f>IF(OR(Fact_Contabilidad[[#This Row], [Año]]="",Fact_Contabilidad[[#This Row], [Mes]]=""),"",DATE(A2769,MATCH(B2769,{"enero","febrero","marzo","abril","mayo","junio","julio","agosto","septiembre","octubre","noviembre","diciembre"},0)+1,0))</f>
        <v/>
      </c>
      <c r="E2769" t="str">
        <f>+IFERROR(VLOOKUP(Fact_Contabilidad[[#This Row], [Concepto Anterior]],Conceptos_Contabilidad[#All],5,0),"")</f>
        <v/>
      </c>
      <c r="F2769" t="str">
        <f>+IFERROR(VLOOKUP(Fact_Contabilidad[[#This Row], 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ht="18.75" customHeight="1" x14ac:dyDescent="0.35">
      <c r="A2770" s="103"/>
      <c r="C2770" s="100" t="str">
        <f>IF(OR(Fact_Contabilidad[[#This Row], [Año]]="",Fact_Contabilidad[[#This Row], [Mes]]=""),"",DATE(A2770,MATCH(B2770,{"enero","febrero","marzo","abril","mayo","junio","julio","agosto","septiembre","octubre","noviembre","diciembre"},0)+1,0))</f>
        <v/>
      </c>
      <c r="E2770" t="str">
        <f>+IFERROR(VLOOKUP(Fact_Contabilidad[[#This Row], [Concepto Anterior]],Conceptos_Contabilidad[#All],5,0),"")</f>
        <v/>
      </c>
      <c r="F2770" t="str">
        <f>+IFERROR(VLOOKUP(Fact_Contabilidad[[#This Row], 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ht="18.75" customHeight="1" x14ac:dyDescent="0.35">
      <c r="A2771" s="103"/>
      <c r="C2771" s="100" t="str">
        <f>IF(OR(Fact_Contabilidad[[#This Row], [Año]]="",Fact_Contabilidad[[#This Row], [Mes]]=""),"",DATE(A2771,MATCH(B2771,{"enero","febrero","marzo","abril","mayo","junio","julio","agosto","septiembre","octubre","noviembre","diciembre"},0)+1,0))</f>
        <v/>
      </c>
      <c r="E2771" t="str">
        <f>+IFERROR(VLOOKUP(Fact_Contabilidad[[#This Row], [Concepto Anterior]],Conceptos_Contabilidad[#All],5,0),"")</f>
        <v/>
      </c>
      <c r="F2771" t="str">
        <f>+IFERROR(VLOOKUP(Fact_Contabilidad[[#This Row], 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ht="18.75" customHeight="1" x14ac:dyDescent="0.35">
      <c r="A2772" s="103"/>
      <c r="C2772" s="100" t="str">
        <f>IF(OR(Fact_Contabilidad[[#This Row], [Año]]="",Fact_Contabilidad[[#This Row], [Mes]]=""),"",DATE(A2772,MATCH(B2772,{"enero","febrero","marzo","abril","mayo","junio","julio","agosto","septiembre","octubre","noviembre","diciembre"},0)+1,0))</f>
        <v/>
      </c>
      <c r="E2772" t="str">
        <f>+IFERROR(VLOOKUP(Fact_Contabilidad[[#This Row], [Concepto Anterior]],Conceptos_Contabilidad[#All],5,0),"")</f>
        <v/>
      </c>
      <c r="F2772" t="str">
        <f>+IFERROR(VLOOKUP(Fact_Contabilidad[[#This Row], 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ht="18.75" customHeight="1" x14ac:dyDescent="0.35">
      <c r="A2773" s="103"/>
      <c r="C2773" s="100" t="str">
        <f>IF(OR(Fact_Contabilidad[[#This Row], [Año]]="",Fact_Contabilidad[[#This Row], [Mes]]=""),"",DATE(A2773,MATCH(B2773,{"enero","febrero","marzo","abril","mayo","junio","julio","agosto","septiembre","octubre","noviembre","diciembre"},0)+1,0))</f>
        <v/>
      </c>
      <c r="E2773" t="str">
        <f>+IFERROR(VLOOKUP(Fact_Contabilidad[[#This Row], [Concepto Anterior]],Conceptos_Contabilidad[#All],5,0),"")</f>
        <v/>
      </c>
      <c r="F2773" t="str">
        <f>+IFERROR(VLOOKUP(Fact_Contabilidad[[#This Row], 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ht="18.75" customHeight="1" x14ac:dyDescent="0.35">
      <c r="A2774" s="103"/>
      <c r="C2774" s="100" t="str">
        <f>IF(OR(Fact_Contabilidad[[#This Row], [Año]]="",Fact_Contabilidad[[#This Row], [Mes]]=""),"",DATE(A2774,MATCH(B2774,{"enero","febrero","marzo","abril","mayo","junio","julio","agosto","septiembre","octubre","noviembre","diciembre"},0)+1,0))</f>
        <v/>
      </c>
      <c r="E2774" t="str">
        <f>+IFERROR(VLOOKUP(Fact_Contabilidad[[#This Row], [Concepto Anterior]],Conceptos_Contabilidad[#All],5,0),"")</f>
        <v/>
      </c>
      <c r="F2774" t="str">
        <f>+IFERROR(VLOOKUP(Fact_Contabilidad[[#This Row], 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ht="18.75" customHeight="1" x14ac:dyDescent="0.35">
      <c r="A2775" s="103"/>
      <c r="C2775" s="100" t="str">
        <f>IF(OR(Fact_Contabilidad[[#This Row], [Año]]="",Fact_Contabilidad[[#This Row], [Mes]]=""),"",DATE(A2775,MATCH(B2775,{"enero","febrero","marzo","abril","mayo","junio","julio","agosto","septiembre","octubre","noviembre","diciembre"},0)+1,0))</f>
        <v/>
      </c>
      <c r="E2775" t="str">
        <f>+IFERROR(VLOOKUP(Fact_Contabilidad[[#This Row], [Concepto Anterior]],Conceptos_Contabilidad[#All],5,0),"")</f>
        <v/>
      </c>
      <c r="F2775" t="str">
        <f>+IFERROR(VLOOKUP(Fact_Contabilidad[[#This Row], 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ht="18.75" customHeight="1" x14ac:dyDescent="0.35">
      <c r="A2776" s="103"/>
      <c r="C2776" s="100" t="str">
        <f>IF(OR(Fact_Contabilidad[[#This Row], [Año]]="",Fact_Contabilidad[[#This Row], [Mes]]=""),"",DATE(A2776,MATCH(B2776,{"enero","febrero","marzo","abril","mayo","junio","julio","agosto","septiembre","octubre","noviembre","diciembre"},0)+1,0))</f>
        <v/>
      </c>
      <c r="E2776" t="str">
        <f>+IFERROR(VLOOKUP(Fact_Contabilidad[[#This Row], [Concepto Anterior]],Conceptos_Contabilidad[#All],5,0),"")</f>
        <v/>
      </c>
      <c r="F2776" t="str">
        <f>+IFERROR(VLOOKUP(Fact_Contabilidad[[#This Row], 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ht="18.75" customHeight="1" x14ac:dyDescent="0.35">
      <c r="A2777" s="103"/>
      <c r="C2777" s="100" t="str">
        <f>IF(OR(Fact_Contabilidad[[#This Row], [Año]]="",Fact_Contabilidad[[#This Row], [Mes]]=""),"",DATE(A2777,MATCH(B2777,{"enero","febrero","marzo","abril","mayo","junio","julio","agosto","septiembre","octubre","noviembre","diciembre"},0)+1,0))</f>
        <v/>
      </c>
      <c r="E2777" t="str">
        <f>+IFERROR(VLOOKUP(Fact_Contabilidad[[#This Row], [Concepto Anterior]],Conceptos_Contabilidad[#All],5,0),"")</f>
        <v/>
      </c>
      <c r="F2777" t="str">
        <f>+IFERROR(VLOOKUP(Fact_Contabilidad[[#This Row], 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ht="18.75" customHeight="1" x14ac:dyDescent="0.35">
      <c r="A2778" s="103"/>
      <c r="C2778" s="100" t="str">
        <f>IF(OR(Fact_Contabilidad[[#This Row], [Año]]="",Fact_Contabilidad[[#This Row], [Mes]]=""),"",DATE(A2778,MATCH(B2778,{"enero","febrero","marzo","abril","mayo","junio","julio","agosto","septiembre","octubre","noviembre","diciembre"},0)+1,0))</f>
        <v/>
      </c>
      <c r="E2778" t="str">
        <f>+IFERROR(VLOOKUP(Fact_Contabilidad[[#This Row], [Concepto Anterior]],Conceptos_Contabilidad[#All],5,0),"")</f>
        <v/>
      </c>
      <c r="F2778" t="str">
        <f>+IFERROR(VLOOKUP(Fact_Contabilidad[[#This Row], 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ht="18.75" customHeight="1" x14ac:dyDescent="0.35">
      <c r="A2779" s="103"/>
      <c r="C2779" s="100" t="str">
        <f>IF(OR(Fact_Contabilidad[[#This Row], [Año]]="",Fact_Contabilidad[[#This Row], [Mes]]=""),"",DATE(A2779,MATCH(B2779,{"enero","febrero","marzo","abril","mayo","junio","julio","agosto","septiembre","octubre","noviembre","diciembre"},0)+1,0))</f>
        <v/>
      </c>
      <c r="E2779" t="str">
        <f>+IFERROR(VLOOKUP(Fact_Contabilidad[[#This Row], [Concepto Anterior]],Conceptos_Contabilidad[#All],5,0),"")</f>
        <v/>
      </c>
      <c r="F2779" t="str">
        <f>+IFERROR(VLOOKUP(Fact_Contabilidad[[#This Row], 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ht="18.75" customHeight="1" x14ac:dyDescent="0.35">
      <c r="A2780" s="103"/>
      <c r="C2780" s="100" t="str">
        <f>IF(OR(Fact_Contabilidad[[#This Row], [Año]]="",Fact_Contabilidad[[#This Row], [Mes]]=""),"",DATE(A2780,MATCH(B2780,{"enero","febrero","marzo","abril","mayo","junio","julio","agosto","septiembre","octubre","noviembre","diciembre"},0)+1,0))</f>
        <v/>
      </c>
      <c r="E2780" t="str">
        <f>+IFERROR(VLOOKUP(Fact_Contabilidad[[#This Row], [Concepto Anterior]],Conceptos_Contabilidad[#All],5,0),"")</f>
        <v/>
      </c>
      <c r="F2780" t="str">
        <f>+IFERROR(VLOOKUP(Fact_Contabilidad[[#This Row], 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ht="18.75" customHeight="1" x14ac:dyDescent="0.35">
      <c r="A2781" s="103"/>
      <c r="C2781" s="100" t="str">
        <f>IF(OR(Fact_Contabilidad[[#This Row], [Año]]="",Fact_Contabilidad[[#This Row], [Mes]]=""),"",DATE(A2781,MATCH(B2781,{"enero","febrero","marzo","abril","mayo","junio","julio","agosto","septiembre","octubre","noviembre","diciembre"},0)+1,0))</f>
        <v/>
      </c>
      <c r="E2781" t="str">
        <f>+IFERROR(VLOOKUP(Fact_Contabilidad[[#This Row], [Concepto Anterior]],Conceptos_Contabilidad[#All],5,0),"")</f>
        <v/>
      </c>
      <c r="F2781" t="str">
        <f>+IFERROR(VLOOKUP(Fact_Contabilidad[[#This Row], 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ht="18.75" customHeight="1" x14ac:dyDescent="0.35">
      <c r="A2782" s="103"/>
      <c r="C2782" s="100" t="str">
        <f>IF(OR(Fact_Contabilidad[[#This Row], [Año]]="",Fact_Contabilidad[[#This Row], [Mes]]=""),"",DATE(A2782,MATCH(B2782,{"enero","febrero","marzo","abril","mayo","junio","julio","agosto","septiembre","octubre","noviembre","diciembre"},0)+1,0))</f>
        <v/>
      </c>
      <c r="E2782" t="str">
        <f>+IFERROR(VLOOKUP(Fact_Contabilidad[[#This Row], [Concepto Anterior]],Conceptos_Contabilidad[#All],5,0),"")</f>
        <v/>
      </c>
      <c r="F2782" t="str">
        <f>+IFERROR(VLOOKUP(Fact_Contabilidad[[#This Row], 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ht="18.75" customHeight="1" x14ac:dyDescent="0.35">
      <c r="A2783" s="103"/>
      <c r="C2783" s="100" t="str">
        <f>IF(OR(Fact_Contabilidad[[#This Row], [Año]]="",Fact_Contabilidad[[#This Row], [Mes]]=""),"",DATE(A2783,MATCH(B2783,{"enero","febrero","marzo","abril","mayo","junio","julio","agosto","septiembre","octubre","noviembre","diciembre"},0)+1,0))</f>
        <v/>
      </c>
      <c r="E2783" t="str">
        <f>+IFERROR(VLOOKUP(Fact_Contabilidad[[#This Row], [Concepto Anterior]],Conceptos_Contabilidad[#All],5,0),"")</f>
        <v/>
      </c>
      <c r="F2783" t="str">
        <f>+IFERROR(VLOOKUP(Fact_Contabilidad[[#This Row], 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ht="18.75" customHeight="1" x14ac:dyDescent="0.35">
      <c r="A2784" s="103"/>
      <c r="C2784" s="100" t="str">
        <f>IF(OR(Fact_Contabilidad[[#This Row], [Año]]="",Fact_Contabilidad[[#This Row], [Mes]]=""),"",DATE(A2784,MATCH(B2784,{"enero","febrero","marzo","abril","mayo","junio","julio","agosto","septiembre","octubre","noviembre","diciembre"},0)+1,0))</f>
        <v/>
      </c>
      <c r="E2784" t="str">
        <f>+IFERROR(VLOOKUP(Fact_Contabilidad[[#This Row], [Concepto Anterior]],Conceptos_Contabilidad[#All],5,0),"")</f>
        <v/>
      </c>
      <c r="F2784" t="str">
        <f>+IFERROR(VLOOKUP(Fact_Contabilidad[[#This Row], 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ht="18.75" customHeight="1" x14ac:dyDescent="0.35">
      <c r="A2785" s="103"/>
      <c r="C2785" s="100" t="str">
        <f>IF(OR(Fact_Contabilidad[[#This Row], [Año]]="",Fact_Contabilidad[[#This Row], [Mes]]=""),"",DATE(A2785,MATCH(B2785,{"enero","febrero","marzo","abril","mayo","junio","julio","agosto","septiembre","octubre","noviembre","diciembre"},0)+1,0))</f>
        <v/>
      </c>
      <c r="E2785" t="str">
        <f>+IFERROR(VLOOKUP(Fact_Contabilidad[[#This Row], [Concepto Anterior]],Conceptos_Contabilidad[#All],5,0),"")</f>
        <v/>
      </c>
      <c r="F2785" t="str">
        <f>+IFERROR(VLOOKUP(Fact_Contabilidad[[#This Row], 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ht="18.75" customHeight="1" x14ac:dyDescent="0.35">
      <c r="A2786" s="103"/>
      <c r="C2786" s="100" t="str">
        <f>IF(OR(Fact_Contabilidad[[#This Row], [Año]]="",Fact_Contabilidad[[#This Row], [Mes]]=""),"",DATE(A2786,MATCH(B2786,{"enero","febrero","marzo","abril","mayo","junio","julio","agosto","septiembre","octubre","noviembre","diciembre"},0)+1,0))</f>
        <v/>
      </c>
      <c r="E2786" t="str">
        <f>+IFERROR(VLOOKUP(Fact_Contabilidad[[#This Row], [Concepto Anterior]],Conceptos_Contabilidad[#All],5,0),"")</f>
        <v/>
      </c>
      <c r="F2786" t="str">
        <f>+IFERROR(VLOOKUP(Fact_Contabilidad[[#This Row], 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ht="18.75" customHeight="1" x14ac:dyDescent="0.35">
      <c r="A2787" s="103"/>
      <c r="C2787" s="100" t="str">
        <f>IF(OR(Fact_Contabilidad[[#This Row], [Año]]="",Fact_Contabilidad[[#This Row], [Mes]]=""),"",DATE(A2787,MATCH(B2787,{"enero","febrero","marzo","abril","mayo","junio","julio","agosto","septiembre","octubre","noviembre","diciembre"},0)+1,0))</f>
        <v/>
      </c>
      <c r="E2787" t="str">
        <f>+IFERROR(VLOOKUP(Fact_Contabilidad[[#This Row], [Concepto Anterior]],Conceptos_Contabilidad[#All],5,0),"")</f>
        <v/>
      </c>
      <c r="F2787" t="str">
        <f>+IFERROR(VLOOKUP(Fact_Contabilidad[[#This Row], 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ht="18.75" customHeight="1" x14ac:dyDescent="0.35">
      <c r="A2788" s="103"/>
      <c r="C2788" s="100" t="str">
        <f>IF(OR(Fact_Contabilidad[[#This Row], [Año]]="",Fact_Contabilidad[[#This Row], [Mes]]=""),"",DATE(A2788,MATCH(B2788,{"enero","febrero","marzo","abril","mayo","junio","julio","agosto","septiembre","octubre","noviembre","diciembre"},0)+1,0))</f>
        <v/>
      </c>
      <c r="E2788" t="str">
        <f>+IFERROR(VLOOKUP(Fact_Contabilidad[[#This Row], [Concepto Anterior]],Conceptos_Contabilidad[#All],5,0),"")</f>
        <v/>
      </c>
      <c r="F2788" t="str">
        <f>+IFERROR(VLOOKUP(Fact_Contabilidad[[#This Row], 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ht="18.75" customHeight="1" x14ac:dyDescent="0.35">
      <c r="A2789" s="103"/>
      <c r="C2789" s="100" t="str">
        <f>IF(OR(Fact_Contabilidad[[#This Row], [Año]]="",Fact_Contabilidad[[#This Row], [Mes]]=""),"",DATE(A2789,MATCH(B2789,{"enero","febrero","marzo","abril","mayo","junio","julio","agosto","septiembre","octubre","noviembre","diciembre"},0)+1,0))</f>
        <v/>
      </c>
      <c r="E2789" t="str">
        <f>+IFERROR(VLOOKUP(Fact_Contabilidad[[#This Row], [Concepto Anterior]],Conceptos_Contabilidad[#All],5,0),"")</f>
        <v/>
      </c>
      <c r="F2789" t="str">
        <f>+IFERROR(VLOOKUP(Fact_Contabilidad[[#This Row], 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ht="18.75" customHeight="1" x14ac:dyDescent="0.35">
      <c r="A2790" s="103"/>
      <c r="C2790" s="100" t="str">
        <f>IF(OR(Fact_Contabilidad[[#This Row], [Año]]="",Fact_Contabilidad[[#This Row], [Mes]]=""),"",DATE(A2790,MATCH(B2790,{"enero","febrero","marzo","abril","mayo","junio","julio","agosto","septiembre","octubre","noviembre","diciembre"},0)+1,0))</f>
        <v/>
      </c>
      <c r="E2790" t="str">
        <f>+IFERROR(VLOOKUP(Fact_Contabilidad[[#This Row], [Concepto Anterior]],Conceptos_Contabilidad[#All],5,0),"")</f>
        <v/>
      </c>
      <c r="F2790" t="str">
        <f>+IFERROR(VLOOKUP(Fact_Contabilidad[[#This Row], 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ht="18.75" customHeight="1" x14ac:dyDescent="0.35">
      <c r="A2791" s="103"/>
      <c r="C2791" s="100" t="str">
        <f>IF(OR(Fact_Contabilidad[[#This Row], [Año]]="",Fact_Contabilidad[[#This Row], [Mes]]=""),"",DATE(A2791,MATCH(B2791,{"enero","febrero","marzo","abril","mayo","junio","julio","agosto","septiembre","octubre","noviembre","diciembre"},0)+1,0))</f>
        <v/>
      </c>
      <c r="E2791" t="str">
        <f>+IFERROR(VLOOKUP(Fact_Contabilidad[[#This Row], [Concepto Anterior]],Conceptos_Contabilidad[#All],5,0),"")</f>
        <v/>
      </c>
      <c r="F2791" t="str">
        <f>+IFERROR(VLOOKUP(Fact_Contabilidad[[#This Row], 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ht="18.75" customHeight="1" x14ac:dyDescent="0.35">
      <c r="A2792" s="103"/>
      <c r="C2792" s="100" t="str">
        <f>IF(OR(Fact_Contabilidad[[#This Row], [Año]]="",Fact_Contabilidad[[#This Row], [Mes]]=""),"",DATE(A2792,MATCH(B2792,{"enero","febrero","marzo","abril","mayo","junio","julio","agosto","septiembre","octubre","noviembre","diciembre"},0)+1,0))</f>
        <v/>
      </c>
      <c r="E2792" t="str">
        <f>+IFERROR(VLOOKUP(Fact_Contabilidad[[#This Row], [Concepto Anterior]],Conceptos_Contabilidad[#All],5,0),"")</f>
        <v/>
      </c>
      <c r="F2792" t="str">
        <f>+IFERROR(VLOOKUP(Fact_Contabilidad[[#This Row], 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ht="18.75" customHeight="1" x14ac:dyDescent="0.35">
      <c r="A2793" s="103"/>
      <c r="C2793" s="100" t="str">
        <f>IF(OR(Fact_Contabilidad[[#This Row], [Año]]="",Fact_Contabilidad[[#This Row], [Mes]]=""),"",DATE(A2793,MATCH(B2793,{"enero","febrero","marzo","abril","mayo","junio","julio","agosto","septiembre","octubre","noviembre","diciembre"},0)+1,0))</f>
        <v/>
      </c>
      <c r="E2793" t="str">
        <f>+IFERROR(VLOOKUP(Fact_Contabilidad[[#This Row], [Concepto Anterior]],Conceptos_Contabilidad[#All],5,0),"")</f>
        <v/>
      </c>
      <c r="F2793" t="str">
        <f>+IFERROR(VLOOKUP(Fact_Contabilidad[[#This Row], 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ht="18.75" customHeight="1" x14ac:dyDescent="0.35">
      <c r="A2794" s="103"/>
      <c r="C2794" s="100" t="str">
        <f>IF(OR(Fact_Contabilidad[[#This Row], [Año]]="",Fact_Contabilidad[[#This Row], [Mes]]=""),"",DATE(A2794,MATCH(B2794,{"enero","febrero","marzo","abril","mayo","junio","julio","agosto","septiembre","octubre","noviembre","diciembre"},0)+1,0))</f>
        <v/>
      </c>
      <c r="E2794" t="str">
        <f>+IFERROR(VLOOKUP(Fact_Contabilidad[[#This Row], [Concepto Anterior]],Conceptos_Contabilidad[#All],5,0),"")</f>
        <v/>
      </c>
      <c r="F2794" t="str">
        <f>+IFERROR(VLOOKUP(Fact_Contabilidad[[#This Row], 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ht="18.75" customHeight="1" x14ac:dyDescent="0.35">
      <c r="A2795" s="103"/>
      <c r="C2795" s="100" t="str">
        <f>IF(OR(Fact_Contabilidad[[#This Row], [Año]]="",Fact_Contabilidad[[#This Row], [Mes]]=""),"",DATE(A2795,MATCH(B2795,{"enero","febrero","marzo","abril","mayo","junio","julio","agosto","septiembre","octubre","noviembre","diciembre"},0)+1,0))</f>
        <v/>
      </c>
      <c r="E2795" t="str">
        <f>+IFERROR(VLOOKUP(Fact_Contabilidad[[#This Row], [Concepto Anterior]],Conceptos_Contabilidad[#All],5,0),"")</f>
        <v/>
      </c>
      <c r="F2795" t="str">
        <f>+IFERROR(VLOOKUP(Fact_Contabilidad[[#This Row], 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ht="18.75" customHeight="1" x14ac:dyDescent="0.35">
      <c r="A2796" s="103"/>
      <c r="C2796" s="100" t="str">
        <f>IF(OR(Fact_Contabilidad[[#This Row], [Año]]="",Fact_Contabilidad[[#This Row], [Mes]]=""),"",DATE(A2796,MATCH(B2796,{"enero","febrero","marzo","abril","mayo","junio","julio","agosto","septiembre","octubre","noviembre","diciembre"},0)+1,0))</f>
        <v/>
      </c>
      <c r="E2796" t="str">
        <f>+IFERROR(VLOOKUP(Fact_Contabilidad[[#This Row], [Concepto Anterior]],Conceptos_Contabilidad[#All],5,0),"")</f>
        <v/>
      </c>
      <c r="F2796" t="str">
        <f>+IFERROR(VLOOKUP(Fact_Contabilidad[[#This Row], 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ht="18.75" customHeight="1" x14ac:dyDescent="0.35">
      <c r="A2797" s="103"/>
      <c r="C2797" s="100" t="str">
        <f>IF(OR(Fact_Contabilidad[[#This Row], [Año]]="",Fact_Contabilidad[[#This Row], [Mes]]=""),"",DATE(A2797,MATCH(B2797,{"enero","febrero","marzo","abril","mayo","junio","julio","agosto","septiembre","octubre","noviembre","diciembre"},0)+1,0))</f>
        <v/>
      </c>
      <c r="E2797" t="str">
        <f>+IFERROR(VLOOKUP(Fact_Contabilidad[[#This Row], [Concepto Anterior]],Conceptos_Contabilidad[#All],5,0),"")</f>
        <v/>
      </c>
      <c r="F2797" t="str">
        <f>+IFERROR(VLOOKUP(Fact_Contabilidad[[#This Row], 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ht="18.75" customHeight="1" x14ac:dyDescent="0.35">
      <c r="A2798" s="103"/>
      <c r="C2798" s="100" t="str">
        <f>IF(OR(Fact_Contabilidad[[#This Row], [Año]]="",Fact_Contabilidad[[#This Row], [Mes]]=""),"",DATE(A2798,MATCH(B2798,{"enero","febrero","marzo","abril","mayo","junio","julio","agosto","septiembre","octubre","noviembre","diciembre"},0)+1,0))</f>
        <v/>
      </c>
      <c r="E2798" t="str">
        <f>+IFERROR(VLOOKUP(Fact_Contabilidad[[#This Row], [Concepto Anterior]],Conceptos_Contabilidad[#All],5,0),"")</f>
        <v/>
      </c>
      <c r="F2798" t="str">
        <f>+IFERROR(VLOOKUP(Fact_Contabilidad[[#This Row], 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ht="18.75" customHeight="1" x14ac:dyDescent="0.35">
      <c r="A2799" s="103"/>
      <c r="C2799" s="100" t="str">
        <f>IF(OR(Fact_Contabilidad[[#This Row], [Año]]="",Fact_Contabilidad[[#This Row], [Mes]]=""),"",DATE(A2799,MATCH(B2799,{"enero","febrero","marzo","abril","mayo","junio","julio","agosto","septiembre","octubre","noviembre","diciembre"},0)+1,0))</f>
        <v/>
      </c>
      <c r="E2799" t="str">
        <f>+IFERROR(VLOOKUP(Fact_Contabilidad[[#This Row], [Concepto Anterior]],Conceptos_Contabilidad[#All],5,0),"")</f>
        <v/>
      </c>
      <c r="F2799" t="str">
        <f>+IFERROR(VLOOKUP(Fact_Contabilidad[[#This Row], 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ht="18.75" customHeight="1" x14ac:dyDescent="0.35">
      <c r="A2800" s="103"/>
      <c r="C2800" s="100" t="str">
        <f>IF(OR(Fact_Contabilidad[[#This Row], [Año]]="",Fact_Contabilidad[[#This Row], [Mes]]=""),"",DATE(A2800,MATCH(B2800,{"enero","febrero","marzo","abril","mayo","junio","julio","agosto","septiembre","octubre","noviembre","diciembre"},0)+1,0))</f>
        <v/>
      </c>
      <c r="E2800" t="str">
        <f>+IFERROR(VLOOKUP(Fact_Contabilidad[[#This Row], [Concepto Anterior]],Conceptos_Contabilidad[#All],5,0),"")</f>
        <v/>
      </c>
      <c r="F2800" t="str">
        <f>+IFERROR(VLOOKUP(Fact_Contabilidad[[#This Row], 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ht="18.75" customHeight="1" x14ac:dyDescent="0.35">
      <c r="A2801" s="103"/>
      <c r="C2801" s="100" t="str">
        <f>IF(OR(Fact_Contabilidad[[#This Row], [Año]]="",Fact_Contabilidad[[#This Row], [Mes]]=""),"",DATE(A2801,MATCH(B2801,{"enero","febrero","marzo","abril","mayo","junio","julio","agosto","septiembre","octubre","noviembre","diciembre"},0)+1,0))</f>
        <v/>
      </c>
      <c r="E2801" t="str">
        <f>+IFERROR(VLOOKUP(Fact_Contabilidad[[#This Row], [Concepto Anterior]],Conceptos_Contabilidad[#All],5,0),"")</f>
        <v/>
      </c>
      <c r="F2801" t="str">
        <f>+IFERROR(VLOOKUP(Fact_Contabilidad[[#This Row], 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ht="18.75" customHeight="1" x14ac:dyDescent="0.35">
      <c r="A2802" s="103"/>
      <c r="C2802" s="100" t="str">
        <f>IF(OR(Fact_Contabilidad[[#This Row], [Año]]="",Fact_Contabilidad[[#This Row], [Mes]]=""),"",DATE(A2802,MATCH(B2802,{"enero","febrero","marzo","abril","mayo","junio","julio","agosto","septiembre","octubre","noviembre","diciembre"},0)+1,0))</f>
        <v/>
      </c>
      <c r="E2802" t="str">
        <f>+IFERROR(VLOOKUP(Fact_Contabilidad[[#This Row], [Concepto Anterior]],Conceptos_Contabilidad[#All],5,0),"")</f>
        <v/>
      </c>
      <c r="F2802" t="str">
        <f>+IFERROR(VLOOKUP(Fact_Contabilidad[[#This Row], 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ht="18.75" customHeight="1" x14ac:dyDescent="0.35">
      <c r="A2803" s="103"/>
      <c r="C2803" s="100" t="str">
        <f>IF(OR(Fact_Contabilidad[[#This Row], [Año]]="",Fact_Contabilidad[[#This Row], [Mes]]=""),"",DATE(A2803,MATCH(B2803,{"enero","febrero","marzo","abril","mayo","junio","julio","agosto","septiembre","octubre","noviembre","diciembre"},0)+1,0))</f>
        <v/>
      </c>
      <c r="E2803" t="str">
        <f>+IFERROR(VLOOKUP(Fact_Contabilidad[[#This Row], [Concepto Anterior]],Conceptos_Contabilidad[#All],5,0),"")</f>
        <v/>
      </c>
      <c r="F2803" t="str">
        <f>+IFERROR(VLOOKUP(Fact_Contabilidad[[#This Row], 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ht="18.75" customHeight="1" x14ac:dyDescent="0.35">
      <c r="A2804" s="103"/>
      <c r="C2804" s="100" t="str">
        <f>IF(OR(Fact_Contabilidad[[#This Row], [Año]]="",Fact_Contabilidad[[#This Row], [Mes]]=""),"",DATE(A2804,MATCH(B2804,{"enero","febrero","marzo","abril","mayo","junio","julio","agosto","septiembre","octubre","noviembre","diciembre"},0)+1,0))</f>
        <v/>
      </c>
      <c r="E2804" t="str">
        <f>+IFERROR(VLOOKUP(Fact_Contabilidad[[#This Row], [Concepto Anterior]],Conceptos_Contabilidad[#All],5,0),"")</f>
        <v/>
      </c>
      <c r="F2804" t="str">
        <f>+IFERROR(VLOOKUP(Fact_Contabilidad[[#This Row], 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ht="18.75" customHeight="1" x14ac:dyDescent="0.35">
      <c r="A2805" s="103"/>
      <c r="C2805" s="100" t="str">
        <f>IF(OR(Fact_Contabilidad[[#This Row], [Año]]="",Fact_Contabilidad[[#This Row], [Mes]]=""),"",DATE(A2805,MATCH(B2805,{"enero","febrero","marzo","abril","mayo","junio","julio","agosto","septiembre","octubre","noviembre","diciembre"},0)+1,0))</f>
        <v/>
      </c>
      <c r="E2805" t="str">
        <f>+IFERROR(VLOOKUP(Fact_Contabilidad[[#This Row], [Concepto Anterior]],Conceptos_Contabilidad[#All],5,0),"")</f>
        <v/>
      </c>
      <c r="F2805" t="str">
        <f>+IFERROR(VLOOKUP(Fact_Contabilidad[[#This Row], 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ht="18.75" customHeight="1" x14ac:dyDescent="0.35">
      <c r="A2806" s="103"/>
      <c r="C2806" s="100" t="str">
        <f>IF(OR(Fact_Contabilidad[[#This Row], [Año]]="",Fact_Contabilidad[[#This Row], [Mes]]=""),"",DATE(A2806,MATCH(B2806,{"enero","febrero","marzo","abril","mayo","junio","julio","agosto","septiembre","octubre","noviembre","diciembre"},0)+1,0))</f>
        <v/>
      </c>
      <c r="E2806" t="str">
        <f>+IFERROR(VLOOKUP(Fact_Contabilidad[[#This Row], [Concepto Anterior]],Conceptos_Contabilidad[#All],5,0),"")</f>
        <v/>
      </c>
      <c r="F2806" t="str">
        <f>+IFERROR(VLOOKUP(Fact_Contabilidad[[#This Row], 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ht="18.75" customHeight="1" x14ac:dyDescent="0.35">
      <c r="A2807" s="103"/>
      <c r="C2807" s="100" t="str">
        <f>IF(OR(Fact_Contabilidad[[#This Row], [Año]]="",Fact_Contabilidad[[#This Row], [Mes]]=""),"",DATE(A2807,MATCH(B2807,{"enero","febrero","marzo","abril","mayo","junio","julio","agosto","septiembre","octubre","noviembre","diciembre"},0)+1,0))</f>
        <v/>
      </c>
      <c r="E2807" t="str">
        <f>+IFERROR(VLOOKUP(Fact_Contabilidad[[#This Row], [Concepto Anterior]],Conceptos_Contabilidad[#All],5,0),"")</f>
        <v/>
      </c>
      <c r="F2807" t="str">
        <f>+IFERROR(VLOOKUP(Fact_Contabilidad[[#This Row], 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ht="18.75" customHeight="1" x14ac:dyDescent="0.35">
      <c r="A2808" s="103"/>
      <c r="C2808" s="100" t="str">
        <f>IF(OR(Fact_Contabilidad[[#This Row], [Año]]="",Fact_Contabilidad[[#This Row], [Mes]]=""),"",DATE(A2808,MATCH(B2808,{"enero","febrero","marzo","abril","mayo","junio","julio","agosto","septiembre","octubre","noviembre","diciembre"},0)+1,0))</f>
        <v/>
      </c>
      <c r="E2808" t="str">
        <f>+IFERROR(VLOOKUP(Fact_Contabilidad[[#This Row], [Concepto Anterior]],Conceptos_Contabilidad[#All],5,0),"")</f>
        <v/>
      </c>
      <c r="F2808" t="str">
        <f>+IFERROR(VLOOKUP(Fact_Contabilidad[[#This Row], 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ht="18.75" customHeight="1" x14ac:dyDescent="0.35">
      <c r="A2809" s="103"/>
      <c r="C2809" s="100" t="str">
        <f>IF(OR(Fact_Contabilidad[[#This Row], [Año]]="",Fact_Contabilidad[[#This Row], [Mes]]=""),"",DATE(A2809,MATCH(B2809,{"enero","febrero","marzo","abril","mayo","junio","julio","agosto","septiembre","octubre","noviembre","diciembre"},0)+1,0))</f>
        <v/>
      </c>
      <c r="E2809" t="str">
        <f>+IFERROR(VLOOKUP(Fact_Contabilidad[[#This Row], [Concepto Anterior]],Conceptos_Contabilidad[#All],5,0),"")</f>
        <v/>
      </c>
      <c r="F2809" t="str">
        <f>+IFERROR(VLOOKUP(Fact_Contabilidad[[#This Row], 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ht="18.75" customHeight="1" x14ac:dyDescent="0.35">
      <c r="A2810" s="103"/>
      <c r="C2810" s="100" t="str">
        <f>IF(OR(Fact_Contabilidad[[#This Row], [Año]]="",Fact_Contabilidad[[#This Row], [Mes]]=""),"",DATE(A2810,MATCH(B2810,{"enero","febrero","marzo","abril","mayo","junio","julio","agosto","septiembre","octubre","noviembre","diciembre"},0)+1,0))</f>
        <v/>
      </c>
      <c r="E2810" t="str">
        <f>+IFERROR(VLOOKUP(Fact_Contabilidad[[#This Row], [Concepto Anterior]],Conceptos_Contabilidad[#All],5,0),"")</f>
        <v/>
      </c>
      <c r="F2810" t="str">
        <f>+IFERROR(VLOOKUP(Fact_Contabilidad[[#This Row], 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ht="18.75" customHeight="1" x14ac:dyDescent="0.35">
      <c r="A2811" s="103"/>
      <c r="C2811" s="100" t="str">
        <f>IF(OR(Fact_Contabilidad[[#This Row], [Año]]="",Fact_Contabilidad[[#This Row], [Mes]]=""),"",DATE(A2811,MATCH(B2811,{"enero","febrero","marzo","abril","mayo","junio","julio","agosto","septiembre","octubre","noviembre","diciembre"},0)+1,0))</f>
        <v/>
      </c>
      <c r="E2811" t="str">
        <f>+IFERROR(VLOOKUP(Fact_Contabilidad[[#This Row], [Concepto Anterior]],Conceptos_Contabilidad[#All],5,0),"")</f>
        <v/>
      </c>
      <c r="F2811" t="str">
        <f>+IFERROR(VLOOKUP(Fact_Contabilidad[[#This Row], 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ht="18.75" customHeight="1" x14ac:dyDescent="0.35">
      <c r="A2812" s="103"/>
      <c r="C2812" s="100" t="str">
        <f>IF(OR(Fact_Contabilidad[[#This Row], [Año]]="",Fact_Contabilidad[[#This Row], [Mes]]=""),"",DATE(A2812,MATCH(B2812,{"enero","febrero","marzo","abril","mayo","junio","julio","agosto","septiembre","octubre","noviembre","diciembre"},0)+1,0))</f>
        <v/>
      </c>
      <c r="E2812" t="str">
        <f>+IFERROR(VLOOKUP(Fact_Contabilidad[[#This Row], [Concepto Anterior]],Conceptos_Contabilidad[#All],5,0),"")</f>
        <v/>
      </c>
      <c r="F2812" t="str">
        <f>+IFERROR(VLOOKUP(Fact_Contabilidad[[#This Row], 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ht="18.75" customHeight="1" x14ac:dyDescent="0.35">
      <c r="A2813" s="103"/>
      <c r="C2813" s="100" t="str">
        <f>IF(OR(Fact_Contabilidad[[#This Row], [Año]]="",Fact_Contabilidad[[#This Row], [Mes]]=""),"",DATE(A2813,MATCH(B2813,{"enero","febrero","marzo","abril","mayo","junio","julio","agosto","septiembre","octubre","noviembre","diciembre"},0)+1,0))</f>
        <v/>
      </c>
      <c r="E2813" t="str">
        <f>+IFERROR(VLOOKUP(Fact_Contabilidad[[#This Row], [Concepto Anterior]],Conceptos_Contabilidad[#All],5,0),"")</f>
        <v/>
      </c>
      <c r="F2813" t="str">
        <f>+IFERROR(VLOOKUP(Fact_Contabilidad[[#This Row], 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ht="18.75" customHeight="1" x14ac:dyDescent="0.35">
      <c r="A2814" s="103"/>
      <c r="C2814" s="100" t="str">
        <f>IF(OR(Fact_Contabilidad[[#This Row], [Año]]="",Fact_Contabilidad[[#This Row], [Mes]]=""),"",DATE(A2814,MATCH(B2814,{"enero","febrero","marzo","abril","mayo","junio","julio","agosto","septiembre","octubre","noviembre","diciembre"},0)+1,0))</f>
        <v/>
      </c>
      <c r="E2814" t="str">
        <f>+IFERROR(VLOOKUP(Fact_Contabilidad[[#This Row], [Concepto Anterior]],Conceptos_Contabilidad[#All],5,0),"")</f>
        <v/>
      </c>
      <c r="F2814" t="str">
        <f>+IFERROR(VLOOKUP(Fact_Contabilidad[[#This Row], 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ht="18.75" customHeight="1" x14ac:dyDescent="0.35">
      <c r="A2815" s="103"/>
      <c r="C2815" s="100" t="str">
        <f>IF(OR(Fact_Contabilidad[[#This Row], [Año]]="",Fact_Contabilidad[[#This Row], [Mes]]=""),"",DATE(A2815,MATCH(B2815,{"enero","febrero","marzo","abril","mayo","junio","julio","agosto","septiembre","octubre","noviembre","diciembre"},0)+1,0))</f>
        <v/>
      </c>
      <c r="E2815" t="str">
        <f>+IFERROR(VLOOKUP(Fact_Contabilidad[[#This Row], [Concepto Anterior]],Conceptos_Contabilidad[#All],5,0),"")</f>
        <v/>
      </c>
      <c r="F2815" t="str">
        <f>+IFERROR(VLOOKUP(Fact_Contabilidad[[#This Row], 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ht="18.75" customHeight="1" x14ac:dyDescent="0.35">
      <c r="A2816" s="103"/>
      <c r="C2816" s="100" t="str">
        <f>IF(OR(Fact_Contabilidad[[#This Row], [Año]]="",Fact_Contabilidad[[#This Row], [Mes]]=""),"",DATE(A2816,MATCH(B2816,{"enero","febrero","marzo","abril","mayo","junio","julio","agosto","septiembre","octubre","noviembre","diciembre"},0)+1,0))</f>
        <v/>
      </c>
      <c r="E2816" t="str">
        <f>+IFERROR(VLOOKUP(Fact_Contabilidad[[#This Row], [Concepto Anterior]],Conceptos_Contabilidad[#All],5,0),"")</f>
        <v/>
      </c>
      <c r="F2816" t="str">
        <f>+IFERROR(VLOOKUP(Fact_Contabilidad[[#This Row], 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ht="18.75" customHeight="1" x14ac:dyDescent="0.35">
      <c r="A2817" s="103"/>
      <c r="C2817" s="100" t="str">
        <f>IF(OR(Fact_Contabilidad[[#This Row], [Año]]="",Fact_Contabilidad[[#This Row], [Mes]]=""),"",DATE(A2817,MATCH(B2817,{"enero","febrero","marzo","abril","mayo","junio","julio","agosto","septiembre","octubre","noviembre","diciembre"},0)+1,0))</f>
        <v/>
      </c>
      <c r="E2817" t="str">
        <f>+IFERROR(VLOOKUP(Fact_Contabilidad[[#This Row], [Concepto Anterior]],Conceptos_Contabilidad[#All],5,0),"")</f>
        <v/>
      </c>
      <c r="F2817" t="str">
        <f>+IFERROR(VLOOKUP(Fact_Contabilidad[[#This Row], 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ht="18.75" customHeight="1" x14ac:dyDescent="0.35">
      <c r="A2818" s="103"/>
      <c r="C2818" s="100" t="str">
        <f>IF(OR(Fact_Contabilidad[[#This Row], [Año]]="",Fact_Contabilidad[[#This Row], [Mes]]=""),"",DATE(A2818,MATCH(B2818,{"enero","febrero","marzo","abril","mayo","junio","julio","agosto","septiembre","octubre","noviembre","diciembre"},0)+1,0))</f>
        <v/>
      </c>
      <c r="E2818" t="str">
        <f>+IFERROR(VLOOKUP(Fact_Contabilidad[[#This Row], [Concepto Anterior]],Conceptos_Contabilidad[#All],5,0),"")</f>
        <v/>
      </c>
      <c r="F2818" t="str">
        <f>+IFERROR(VLOOKUP(Fact_Contabilidad[[#This Row], 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ht="18.75" customHeight="1" x14ac:dyDescent="0.35">
      <c r="A2819" s="103"/>
      <c r="C2819" s="100" t="str">
        <f>IF(OR(Fact_Contabilidad[[#This Row], [Año]]="",Fact_Contabilidad[[#This Row], [Mes]]=""),"",DATE(A2819,MATCH(B2819,{"enero","febrero","marzo","abril","mayo","junio","julio","agosto","septiembre","octubre","noviembre","diciembre"},0)+1,0))</f>
        <v/>
      </c>
      <c r="E2819" t="str">
        <f>+IFERROR(VLOOKUP(Fact_Contabilidad[[#This Row], [Concepto Anterior]],Conceptos_Contabilidad[#All],5,0),"")</f>
        <v/>
      </c>
      <c r="F2819" t="str">
        <f>+IFERROR(VLOOKUP(Fact_Contabilidad[[#This Row], 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ht="18.75" customHeight="1" x14ac:dyDescent="0.35">
      <c r="A2820" s="103"/>
      <c r="C2820" s="100" t="str">
        <f>IF(OR(Fact_Contabilidad[[#This Row], [Año]]="",Fact_Contabilidad[[#This Row], [Mes]]=""),"",DATE(A2820,MATCH(B2820,{"enero","febrero","marzo","abril","mayo","junio","julio","agosto","septiembre","octubre","noviembre","diciembre"},0)+1,0))</f>
        <v/>
      </c>
      <c r="E2820" t="str">
        <f>+IFERROR(VLOOKUP(Fact_Contabilidad[[#This Row], [Concepto Anterior]],Conceptos_Contabilidad[#All],5,0),"")</f>
        <v/>
      </c>
      <c r="F2820" t="str">
        <f>+IFERROR(VLOOKUP(Fact_Contabilidad[[#This Row], 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ht="18.75" customHeight="1" x14ac:dyDescent="0.35">
      <c r="A2821" s="103"/>
      <c r="C2821" s="100" t="str">
        <f>IF(OR(Fact_Contabilidad[[#This Row], [Año]]="",Fact_Contabilidad[[#This Row], [Mes]]=""),"",DATE(A2821,MATCH(B2821,{"enero","febrero","marzo","abril","mayo","junio","julio","agosto","septiembre","octubre","noviembre","diciembre"},0)+1,0))</f>
        <v/>
      </c>
      <c r="E2821" t="str">
        <f>+IFERROR(VLOOKUP(Fact_Contabilidad[[#This Row], [Concepto Anterior]],Conceptos_Contabilidad[#All],5,0),"")</f>
        <v/>
      </c>
      <c r="F2821" t="str">
        <f>+IFERROR(VLOOKUP(Fact_Contabilidad[[#This Row], 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ht="18.75" customHeight="1" x14ac:dyDescent="0.35">
      <c r="A2822" s="103"/>
      <c r="C2822" s="100" t="str">
        <f>IF(OR(Fact_Contabilidad[[#This Row], [Año]]="",Fact_Contabilidad[[#This Row], [Mes]]=""),"",DATE(A2822,MATCH(B2822,{"enero","febrero","marzo","abril","mayo","junio","julio","agosto","septiembre","octubre","noviembre","diciembre"},0)+1,0))</f>
        <v/>
      </c>
      <c r="E2822" t="str">
        <f>+IFERROR(VLOOKUP(Fact_Contabilidad[[#This Row], [Concepto Anterior]],Conceptos_Contabilidad[#All],5,0),"")</f>
        <v/>
      </c>
      <c r="F2822" t="str">
        <f>+IFERROR(VLOOKUP(Fact_Contabilidad[[#This Row], 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ht="18.75" customHeight="1" x14ac:dyDescent="0.35">
      <c r="A2823" s="103"/>
      <c r="C2823" s="100" t="str">
        <f>IF(OR(Fact_Contabilidad[[#This Row], [Año]]="",Fact_Contabilidad[[#This Row], [Mes]]=""),"",DATE(A2823,MATCH(B2823,{"enero","febrero","marzo","abril","mayo","junio","julio","agosto","septiembre","octubre","noviembre","diciembre"},0)+1,0))</f>
        <v/>
      </c>
      <c r="E2823" t="str">
        <f>+IFERROR(VLOOKUP(Fact_Contabilidad[[#This Row], [Concepto Anterior]],Conceptos_Contabilidad[#All],5,0),"")</f>
        <v/>
      </c>
      <c r="F2823" t="str">
        <f>+IFERROR(VLOOKUP(Fact_Contabilidad[[#This Row], 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ht="18.75" customHeight="1" x14ac:dyDescent="0.35">
      <c r="A2824" s="103"/>
      <c r="C2824" s="100" t="str">
        <f>IF(OR(Fact_Contabilidad[[#This Row], [Año]]="",Fact_Contabilidad[[#This Row], [Mes]]=""),"",DATE(A2824,MATCH(B2824,{"enero","febrero","marzo","abril","mayo","junio","julio","agosto","septiembre","octubre","noviembre","diciembre"},0)+1,0))</f>
        <v/>
      </c>
      <c r="E2824" t="str">
        <f>+IFERROR(VLOOKUP(Fact_Contabilidad[[#This Row], [Concepto Anterior]],Conceptos_Contabilidad[#All],5,0),"")</f>
        <v/>
      </c>
      <c r="F2824" t="str">
        <f>+IFERROR(VLOOKUP(Fact_Contabilidad[[#This Row], 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ht="18.75" customHeight="1" x14ac:dyDescent="0.35">
      <c r="A2825" s="103"/>
      <c r="C2825" s="100" t="str">
        <f>IF(OR(Fact_Contabilidad[[#This Row], [Año]]="",Fact_Contabilidad[[#This Row], [Mes]]=""),"",DATE(A2825,MATCH(B2825,{"enero","febrero","marzo","abril","mayo","junio","julio","agosto","septiembre","octubre","noviembre","diciembre"},0)+1,0))</f>
        <v/>
      </c>
      <c r="E2825" t="str">
        <f>+IFERROR(VLOOKUP(Fact_Contabilidad[[#This Row], [Concepto Anterior]],Conceptos_Contabilidad[#All],5,0),"")</f>
        <v/>
      </c>
      <c r="F2825" t="str">
        <f>+IFERROR(VLOOKUP(Fact_Contabilidad[[#This Row], 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ht="18.75" customHeight="1" x14ac:dyDescent="0.35">
      <c r="A2826" s="103"/>
      <c r="C2826" s="100" t="str">
        <f>IF(OR(Fact_Contabilidad[[#This Row], [Año]]="",Fact_Contabilidad[[#This Row], [Mes]]=""),"",DATE(A2826,MATCH(B2826,{"enero","febrero","marzo","abril","mayo","junio","julio","agosto","septiembre","octubre","noviembre","diciembre"},0)+1,0))</f>
        <v/>
      </c>
      <c r="E2826" t="str">
        <f>+IFERROR(VLOOKUP(Fact_Contabilidad[[#This Row], [Concepto Anterior]],Conceptos_Contabilidad[#All],5,0),"")</f>
        <v/>
      </c>
      <c r="F2826" t="str">
        <f>+IFERROR(VLOOKUP(Fact_Contabilidad[[#This Row], 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ht="18.75" customHeight="1" x14ac:dyDescent="0.35">
      <c r="A2827" s="103"/>
      <c r="C2827" s="100" t="str">
        <f>IF(OR(Fact_Contabilidad[[#This Row], [Año]]="",Fact_Contabilidad[[#This Row], [Mes]]=""),"",DATE(A2827,MATCH(B2827,{"enero","febrero","marzo","abril","mayo","junio","julio","agosto","septiembre","octubre","noviembre","diciembre"},0)+1,0))</f>
        <v/>
      </c>
      <c r="E2827" t="str">
        <f>+IFERROR(VLOOKUP(Fact_Contabilidad[[#This Row], [Concepto Anterior]],Conceptos_Contabilidad[#All],5,0),"")</f>
        <v/>
      </c>
      <c r="F2827" t="str">
        <f>+IFERROR(VLOOKUP(Fact_Contabilidad[[#This Row], 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ht="18.75" customHeight="1" x14ac:dyDescent="0.35">
      <c r="A2828" s="103"/>
      <c r="C2828" s="100" t="str">
        <f>IF(OR(Fact_Contabilidad[[#This Row], [Año]]="",Fact_Contabilidad[[#This Row], [Mes]]=""),"",DATE(A2828,MATCH(B2828,{"enero","febrero","marzo","abril","mayo","junio","julio","agosto","septiembre","octubre","noviembre","diciembre"},0)+1,0))</f>
        <v/>
      </c>
      <c r="E2828" t="str">
        <f>+IFERROR(VLOOKUP(Fact_Contabilidad[[#This Row], [Concepto Anterior]],Conceptos_Contabilidad[#All],5,0),"")</f>
        <v/>
      </c>
      <c r="F2828" t="str">
        <f>+IFERROR(VLOOKUP(Fact_Contabilidad[[#This Row], 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ht="18.75" customHeight="1" x14ac:dyDescent="0.35">
      <c r="A2829" s="103"/>
      <c r="C2829" s="100" t="str">
        <f>IF(OR(Fact_Contabilidad[[#This Row], [Año]]="",Fact_Contabilidad[[#This Row], [Mes]]=""),"",DATE(A2829,MATCH(B2829,{"enero","febrero","marzo","abril","mayo","junio","julio","agosto","septiembre","octubre","noviembre","diciembre"},0)+1,0))</f>
        <v/>
      </c>
      <c r="E2829" t="str">
        <f>+IFERROR(VLOOKUP(Fact_Contabilidad[[#This Row], [Concepto Anterior]],Conceptos_Contabilidad[#All],5,0),"")</f>
        <v/>
      </c>
      <c r="F2829" t="str">
        <f>+IFERROR(VLOOKUP(Fact_Contabilidad[[#This Row], 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ht="18.75" customHeight="1" x14ac:dyDescent="0.35">
      <c r="A2830" s="103"/>
      <c r="C2830" s="100" t="str">
        <f>IF(OR(Fact_Contabilidad[[#This Row], [Año]]="",Fact_Contabilidad[[#This Row], [Mes]]=""),"",DATE(A2830,MATCH(B2830,{"enero","febrero","marzo","abril","mayo","junio","julio","agosto","septiembre","octubre","noviembre","diciembre"},0)+1,0))</f>
        <v/>
      </c>
      <c r="E2830" t="str">
        <f>+IFERROR(VLOOKUP(Fact_Contabilidad[[#This Row], [Concepto Anterior]],Conceptos_Contabilidad[#All],5,0),"")</f>
        <v/>
      </c>
      <c r="F2830" t="str">
        <f>+IFERROR(VLOOKUP(Fact_Contabilidad[[#This Row], 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ht="18.75" customHeight="1" x14ac:dyDescent="0.35">
      <c r="A2831" s="103"/>
      <c r="C2831" s="100" t="str">
        <f>IF(OR(Fact_Contabilidad[[#This Row], [Año]]="",Fact_Contabilidad[[#This Row], [Mes]]=""),"",DATE(A2831,MATCH(B2831,{"enero","febrero","marzo","abril","mayo","junio","julio","agosto","septiembre","octubre","noviembre","diciembre"},0)+1,0))</f>
        <v/>
      </c>
      <c r="E2831" t="str">
        <f>+IFERROR(VLOOKUP(Fact_Contabilidad[[#This Row], [Concepto Anterior]],Conceptos_Contabilidad[#All],5,0),"")</f>
        <v/>
      </c>
      <c r="F2831" t="str">
        <f>+IFERROR(VLOOKUP(Fact_Contabilidad[[#This Row], 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ht="18.75" customHeight="1" x14ac:dyDescent="0.35">
      <c r="A2832" s="103"/>
      <c r="C2832" s="100" t="str">
        <f>IF(OR(Fact_Contabilidad[[#This Row], [Año]]="",Fact_Contabilidad[[#This Row], [Mes]]=""),"",DATE(A2832,MATCH(B2832,{"enero","febrero","marzo","abril","mayo","junio","julio","agosto","septiembre","octubre","noviembre","diciembre"},0)+1,0))</f>
        <v/>
      </c>
      <c r="E2832" t="str">
        <f>+IFERROR(VLOOKUP(Fact_Contabilidad[[#This Row], [Concepto Anterior]],Conceptos_Contabilidad[#All],5,0),"")</f>
        <v/>
      </c>
      <c r="F2832" t="str">
        <f>+IFERROR(VLOOKUP(Fact_Contabilidad[[#This Row], 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ht="18.75" customHeight="1" x14ac:dyDescent="0.35">
      <c r="A2833" s="103"/>
      <c r="C2833" s="100" t="str">
        <f>IF(OR(Fact_Contabilidad[[#This Row], [Año]]="",Fact_Contabilidad[[#This Row], [Mes]]=""),"",DATE(A2833,MATCH(B2833,{"enero","febrero","marzo","abril","mayo","junio","julio","agosto","septiembre","octubre","noviembre","diciembre"},0)+1,0))</f>
        <v/>
      </c>
      <c r="E2833" t="str">
        <f>+IFERROR(VLOOKUP(Fact_Contabilidad[[#This Row], [Concepto Anterior]],Conceptos_Contabilidad[#All],5,0),"")</f>
        <v/>
      </c>
      <c r="F2833" t="str">
        <f>+IFERROR(VLOOKUP(Fact_Contabilidad[[#This Row], 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ht="18.75" customHeight="1" x14ac:dyDescent="0.35">
      <c r="A2834" s="103"/>
      <c r="C2834" s="100" t="str">
        <f>IF(OR(Fact_Contabilidad[[#This Row], [Año]]="",Fact_Contabilidad[[#This Row], [Mes]]=""),"",DATE(A2834,MATCH(B2834,{"enero","febrero","marzo","abril","mayo","junio","julio","agosto","septiembre","octubre","noviembre","diciembre"},0)+1,0))</f>
        <v/>
      </c>
      <c r="E2834" t="str">
        <f>+IFERROR(VLOOKUP(Fact_Contabilidad[[#This Row], [Concepto Anterior]],Conceptos_Contabilidad[#All],5,0),"")</f>
        <v/>
      </c>
      <c r="F2834" t="str">
        <f>+IFERROR(VLOOKUP(Fact_Contabilidad[[#This Row], 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ht="18.75" customHeight="1" x14ac:dyDescent="0.35">
      <c r="A2835" s="103"/>
      <c r="C2835" s="100" t="str">
        <f>IF(OR(Fact_Contabilidad[[#This Row], [Año]]="",Fact_Contabilidad[[#This Row], [Mes]]=""),"",DATE(A2835,MATCH(B2835,{"enero","febrero","marzo","abril","mayo","junio","julio","agosto","septiembre","octubre","noviembre","diciembre"},0)+1,0))</f>
        <v/>
      </c>
      <c r="E2835" t="str">
        <f>+IFERROR(VLOOKUP(Fact_Contabilidad[[#This Row], [Concepto Anterior]],Conceptos_Contabilidad[#All],5,0),"")</f>
        <v/>
      </c>
      <c r="F2835" t="str">
        <f>+IFERROR(VLOOKUP(Fact_Contabilidad[[#This Row], 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ht="18.75" customHeight="1" x14ac:dyDescent="0.35">
      <c r="A2836" s="103"/>
      <c r="C2836" s="100" t="str">
        <f>IF(OR(Fact_Contabilidad[[#This Row], [Año]]="",Fact_Contabilidad[[#This Row], [Mes]]=""),"",DATE(A2836,MATCH(B2836,{"enero","febrero","marzo","abril","mayo","junio","julio","agosto","septiembre","octubre","noviembre","diciembre"},0)+1,0))</f>
        <v/>
      </c>
      <c r="E2836" t="str">
        <f>+IFERROR(VLOOKUP(Fact_Contabilidad[[#This Row], [Concepto Anterior]],Conceptos_Contabilidad[#All],5,0),"")</f>
        <v/>
      </c>
      <c r="F2836" t="str">
        <f>+IFERROR(VLOOKUP(Fact_Contabilidad[[#This Row], 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ht="18.75" customHeight="1" x14ac:dyDescent="0.35">
      <c r="A2837" s="103"/>
      <c r="C2837" s="100" t="str">
        <f>IF(OR(Fact_Contabilidad[[#This Row], [Año]]="",Fact_Contabilidad[[#This Row], [Mes]]=""),"",DATE(A2837,MATCH(B2837,{"enero","febrero","marzo","abril","mayo","junio","julio","agosto","septiembre","octubre","noviembre","diciembre"},0)+1,0))</f>
        <v/>
      </c>
      <c r="E2837" t="str">
        <f>+IFERROR(VLOOKUP(Fact_Contabilidad[[#This Row], [Concepto Anterior]],Conceptos_Contabilidad[#All],5,0),"")</f>
        <v/>
      </c>
      <c r="F2837" t="str">
        <f>+IFERROR(VLOOKUP(Fact_Contabilidad[[#This Row], 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ht="18.75" customHeight="1" x14ac:dyDescent="0.35">
      <c r="A2838" s="103"/>
      <c r="C2838" s="100" t="str">
        <f>IF(OR(Fact_Contabilidad[[#This Row], [Año]]="",Fact_Contabilidad[[#This Row], [Mes]]=""),"",DATE(A2838,MATCH(B2838,{"enero","febrero","marzo","abril","mayo","junio","julio","agosto","septiembre","octubre","noviembre","diciembre"},0)+1,0))</f>
        <v/>
      </c>
      <c r="E2838" t="str">
        <f>+IFERROR(VLOOKUP(Fact_Contabilidad[[#This Row], [Concepto Anterior]],Conceptos_Contabilidad[#All],5,0),"")</f>
        <v/>
      </c>
      <c r="F2838" t="str">
        <f>+IFERROR(VLOOKUP(Fact_Contabilidad[[#This Row], 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ht="18.75" customHeight="1" x14ac:dyDescent="0.35">
      <c r="A2839" s="103"/>
      <c r="C2839" s="100" t="str">
        <f>IF(OR(Fact_Contabilidad[[#This Row], [Año]]="",Fact_Contabilidad[[#This Row], [Mes]]=""),"",DATE(A2839,MATCH(B2839,{"enero","febrero","marzo","abril","mayo","junio","julio","agosto","septiembre","octubre","noviembre","diciembre"},0)+1,0))</f>
        <v/>
      </c>
      <c r="E2839" t="str">
        <f>+IFERROR(VLOOKUP(Fact_Contabilidad[[#This Row], [Concepto Anterior]],Conceptos_Contabilidad[#All],5,0),"")</f>
        <v/>
      </c>
      <c r="F2839" t="str">
        <f>+IFERROR(VLOOKUP(Fact_Contabilidad[[#This Row], 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ht="18.75" customHeight="1" x14ac:dyDescent="0.35">
      <c r="A2840" s="103"/>
      <c r="C2840" s="100" t="str">
        <f>IF(OR(Fact_Contabilidad[[#This Row], [Año]]="",Fact_Contabilidad[[#This Row], [Mes]]=""),"",DATE(A2840,MATCH(B2840,{"enero","febrero","marzo","abril","mayo","junio","julio","agosto","septiembre","octubre","noviembre","diciembre"},0)+1,0))</f>
        <v/>
      </c>
      <c r="E2840" t="str">
        <f>+IFERROR(VLOOKUP(Fact_Contabilidad[[#This Row], [Concepto Anterior]],Conceptos_Contabilidad[#All],5,0),"")</f>
        <v/>
      </c>
      <c r="F2840" t="str">
        <f>+IFERROR(VLOOKUP(Fact_Contabilidad[[#This Row], 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ht="18.75" customHeight="1" x14ac:dyDescent="0.35">
      <c r="A2841" s="103"/>
      <c r="C2841" s="100" t="str">
        <f>IF(OR(Fact_Contabilidad[[#This Row], [Año]]="",Fact_Contabilidad[[#This Row], [Mes]]=""),"",DATE(A2841,MATCH(B2841,{"enero","febrero","marzo","abril","mayo","junio","julio","agosto","septiembre","octubre","noviembre","diciembre"},0)+1,0))</f>
        <v/>
      </c>
      <c r="E2841" t="str">
        <f>+IFERROR(VLOOKUP(Fact_Contabilidad[[#This Row], [Concepto Anterior]],Conceptos_Contabilidad[#All],5,0),"")</f>
        <v/>
      </c>
      <c r="F2841" t="str">
        <f>+IFERROR(VLOOKUP(Fact_Contabilidad[[#This Row], 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ht="18.75" customHeight="1" x14ac:dyDescent="0.35">
      <c r="A2842" s="103"/>
      <c r="C2842" s="100" t="str">
        <f>IF(OR(Fact_Contabilidad[[#This Row], [Año]]="",Fact_Contabilidad[[#This Row], [Mes]]=""),"",DATE(A2842,MATCH(B2842,{"enero","febrero","marzo","abril","mayo","junio","julio","agosto","septiembre","octubre","noviembre","diciembre"},0)+1,0))</f>
        <v/>
      </c>
      <c r="E2842" t="str">
        <f>+IFERROR(VLOOKUP(Fact_Contabilidad[[#This Row], [Concepto Anterior]],Conceptos_Contabilidad[#All],5,0),"")</f>
        <v/>
      </c>
      <c r="F2842" t="str">
        <f>+IFERROR(VLOOKUP(Fact_Contabilidad[[#This Row], 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ht="18.75" customHeight="1" x14ac:dyDescent="0.35">
      <c r="A2843" s="103"/>
      <c r="C2843" s="100" t="str">
        <f>IF(OR(Fact_Contabilidad[[#This Row], [Año]]="",Fact_Contabilidad[[#This Row], [Mes]]=""),"",DATE(A2843,MATCH(B2843,{"enero","febrero","marzo","abril","mayo","junio","julio","agosto","septiembre","octubre","noviembre","diciembre"},0)+1,0))</f>
        <v/>
      </c>
      <c r="E2843" t="str">
        <f>+IFERROR(VLOOKUP(Fact_Contabilidad[[#This Row], [Concepto Anterior]],Conceptos_Contabilidad[#All],5,0),"")</f>
        <v/>
      </c>
      <c r="F2843" t="str">
        <f>+IFERROR(VLOOKUP(Fact_Contabilidad[[#This Row], 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ht="18.75" customHeight="1" x14ac:dyDescent="0.35">
      <c r="A2844" s="103"/>
      <c r="C2844" s="100" t="str">
        <f>IF(OR(Fact_Contabilidad[[#This Row], [Año]]="",Fact_Contabilidad[[#This Row], [Mes]]=""),"",DATE(A2844,MATCH(B2844,{"enero","febrero","marzo","abril","mayo","junio","julio","agosto","septiembre","octubre","noviembre","diciembre"},0)+1,0))</f>
        <v/>
      </c>
      <c r="E2844" t="str">
        <f>+IFERROR(VLOOKUP(Fact_Contabilidad[[#This Row], [Concepto Anterior]],Conceptos_Contabilidad[#All],5,0),"")</f>
        <v/>
      </c>
      <c r="F2844" t="str">
        <f>+IFERROR(VLOOKUP(Fact_Contabilidad[[#This Row], 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ht="18.75" customHeight="1" x14ac:dyDescent="0.35">
      <c r="A2845" s="103"/>
      <c r="C2845" s="100" t="str">
        <f>IF(OR(Fact_Contabilidad[[#This Row], [Año]]="",Fact_Contabilidad[[#This Row], [Mes]]=""),"",DATE(A2845,MATCH(B2845,{"enero","febrero","marzo","abril","mayo","junio","julio","agosto","septiembre","octubre","noviembre","diciembre"},0)+1,0))</f>
        <v/>
      </c>
      <c r="E2845" t="str">
        <f>+IFERROR(VLOOKUP(Fact_Contabilidad[[#This Row], [Concepto Anterior]],Conceptos_Contabilidad[#All],5,0),"")</f>
        <v/>
      </c>
      <c r="F2845" t="str">
        <f>+IFERROR(VLOOKUP(Fact_Contabilidad[[#This Row], 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ht="18.75" customHeight="1" x14ac:dyDescent="0.35">
      <c r="A2846" s="103"/>
      <c r="C2846" s="100" t="str">
        <f>IF(OR(Fact_Contabilidad[[#This Row], [Año]]="",Fact_Contabilidad[[#This Row], [Mes]]=""),"",DATE(A2846,MATCH(B2846,{"enero","febrero","marzo","abril","mayo","junio","julio","agosto","septiembre","octubre","noviembre","diciembre"},0)+1,0))</f>
        <v/>
      </c>
      <c r="E2846" t="str">
        <f>+IFERROR(VLOOKUP(Fact_Contabilidad[[#This Row], [Concepto Anterior]],Conceptos_Contabilidad[#All],5,0),"")</f>
        <v/>
      </c>
      <c r="F2846" t="str">
        <f>+IFERROR(VLOOKUP(Fact_Contabilidad[[#This Row], 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ht="18.75" customHeight="1" x14ac:dyDescent="0.35">
      <c r="A2847" s="103"/>
      <c r="C2847" s="100" t="str">
        <f>IF(OR(Fact_Contabilidad[[#This Row], [Año]]="",Fact_Contabilidad[[#This Row], [Mes]]=""),"",DATE(A2847,MATCH(B2847,{"enero","febrero","marzo","abril","mayo","junio","julio","agosto","septiembre","octubre","noviembre","diciembre"},0)+1,0))</f>
        <v/>
      </c>
      <c r="E2847" t="str">
        <f>+IFERROR(VLOOKUP(Fact_Contabilidad[[#This Row], [Concepto Anterior]],Conceptos_Contabilidad[#All],5,0),"")</f>
        <v/>
      </c>
      <c r="F2847" t="str">
        <f>+IFERROR(VLOOKUP(Fact_Contabilidad[[#This Row], 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ht="18.75" customHeight="1" x14ac:dyDescent="0.35">
      <c r="A2848" s="103"/>
      <c r="C2848" s="100" t="str">
        <f>IF(OR(Fact_Contabilidad[[#This Row], [Año]]="",Fact_Contabilidad[[#This Row], [Mes]]=""),"",DATE(A2848,MATCH(B2848,{"enero","febrero","marzo","abril","mayo","junio","julio","agosto","septiembre","octubre","noviembre","diciembre"},0)+1,0))</f>
        <v/>
      </c>
      <c r="E2848" t="str">
        <f>+IFERROR(VLOOKUP(Fact_Contabilidad[[#This Row], [Concepto Anterior]],Conceptos_Contabilidad[#All],5,0),"")</f>
        <v/>
      </c>
      <c r="F2848" t="str">
        <f>+IFERROR(VLOOKUP(Fact_Contabilidad[[#This Row], 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ht="18.75" customHeight="1" x14ac:dyDescent="0.35">
      <c r="A2849" s="103"/>
      <c r="C2849" s="100" t="str">
        <f>IF(OR(Fact_Contabilidad[[#This Row], [Año]]="",Fact_Contabilidad[[#This Row], [Mes]]=""),"",DATE(A2849,MATCH(B2849,{"enero","febrero","marzo","abril","mayo","junio","julio","agosto","septiembre","octubre","noviembre","diciembre"},0)+1,0))</f>
        <v/>
      </c>
      <c r="E2849" t="str">
        <f>+IFERROR(VLOOKUP(Fact_Contabilidad[[#This Row], [Concepto Anterior]],Conceptos_Contabilidad[#All],5,0),"")</f>
        <v/>
      </c>
      <c r="F2849" t="str">
        <f>+IFERROR(VLOOKUP(Fact_Contabilidad[[#This Row], 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ht="18.75" customHeight="1" x14ac:dyDescent="0.35">
      <c r="A2850" s="103"/>
      <c r="C2850" s="100" t="str">
        <f>IF(OR(Fact_Contabilidad[[#This Row], [Año]]="",Fact_Contabilidad[[#This Row], [Mes]]=""),"",DATE(A2850,MATCH(B2850,{"enero","febrero","marzo","abril","mayo","junio","julio","agosto","septiembre","octubre","noviembre","diciembre"},0)+1,0))</f>
        <v/>
      </c>
      <c r="E2850" t="str">
        <f>+IFERROR(VLOOKUP(Fact_Contabilidad[[#This Row], [Concepto Anterior]],Conceptos_Contabilidad[#All],5,0),"")</f>
        <v/>
      </c>
      <c r="F2850" t="str">
        <f>+IFERROR(VLOOKUP(Fact_Contabilidad[[#This Row], 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ht="18.75" customHeight="1" x14ac:dyDescent="0.35">
      <c r="A2851" s="103"/>
      <c r="C2851" s="100" t="str">
        <f>IF(OR(Fact_Contabilidad[[#This Row], [Año]]="",Fact_Contabilidad[[#This Row], [Mes]]=""),"",DATE(A2851,MATCH(B2851,{"enero","febrero","marzo","abril","mayo","junio","julio","agosto","septiembre","octubre","noviembre","diciembre"},0)+1,0))</f>
        <v/>
      </c>
      <c r="E2851" t="str">
        <f>+IFERROR(VLOOKUP(Fact_Contabilidad[[#This Row], [Concepto Anterior]],Conceptos_Contabilidad[#All],5,0),"")</f>
        <v/>
      </c>
      <c r="F2851" t="str">
        <f>+IFERROR(VLOOKUP(Fact_Contabilidad[[#This Row], 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ht="18.75" customHeight="1" x14ac:dyDescent="0.35">
      <c r="A2852" s="103"/>
      <c r="C2852" s="100" t="str">
        <f>IF(OR(Fact_Contabilidad[[#This Row], [Año]]="",Fact_Contabilidad[[#This Row], [Mes]]=""),"",DATE(A2852,MATCH(B2852,{"enero","febrero","marzo","abril","mayo","junio","julio","agosto","septiembre","octubre","noviembre","diciembre"},0)+1,0))</f>
        <v/>
      </c>
      <c r="E2852" t="str">
        <f>+IFERROR(VLOOKUP(Fact_Contabilidad[[#This Row], [Concepto Anterior]],Conceptos_Contabilidad[#All],5,0),"")</f>
        <v/>
      </c>
      <c r="F2852" t="str">
        <f>+IFERROR(VLOOKUP(Fact_Contabilidad[[#This Row], 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ht="18.75" customHeight="1" x14ac:dyDescent="0.35">
      <c r="A2853" s="103"/>
      <c r="C2853" s="100" t="str">
        <f>IF(OR(Fact_Contabilidad[[#This Row], [Año]]="",Fact_Contabilidad[[#This Row], [Mes]]=""),"",DATE(A2853,MATCH(B2853,{"enero","febrero","marzo","abril","mayo","junio","julio","agosto","septiembre","octubre","noviembre","diciembre"},0)+1,0))</f>
        <v/>
      </c>
      <c r="E2853" t="str">
        <f>+IFERROR(VLOOKUP(Fact_Contabilidad[[#This Row], [Concepto Anterior]],Conceptos_Contabilidad[#All],5,0),"")</f>
        <v/>
      </c>
      <c r="F2853" t="str">
        <f>+IFERROR(VLOOKUP(Fact_Contabilidad[[#This Row], 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ht="18.75" customHeight="1" x14ac:dyDescent="0.35">
      <c r="A2854" s="103"/>
      <c r="C2854" s="100" t="str">
        <f>IF(OR(Fact_Contabilidad[[#This Row], [Año]]="",Fact_Contabilidad[[#This Row], [Mes]]=""),"",DATE(A2854,MATCH(B2854,{"enero","febrero","marzo","abril","mayo","junio","julio","agosto","septiembre","octubre","noviembre","diciembre"},0)+1,0))</f>
        <v/>
      </c>
      <c r="E2854" t="str">
        <f>+IFERROR(VLOOKUP(Fact_Contabilidad[[#This Row], [Concepto Anterior]],Conceptos_Contabilidad[#All],5,0),"")</f>
        <v/>
      </c>
      <c r="F2854" t="str">
        <f>+IFERROR(VLOOKUP(Fact_Contabilidad[[#This Row], 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ht="18.75" customHeight="1" x14ac:dyDescent="0.35">
      <c r="A2855" s="103"/>
      <c r="C2855" s="100" t="str">
        <f>IF(OR(Fact_Contabilidad[[#This Row], [Año]]="",Fact_Contabilidad[[#This Row], [Mes]]=""),"",DATE(A2855,MATCH(B2855,{"enero","febrero","marzo","abril","mayo","junio","julio","agosto","septiembre","octubre","noviembre","diciembre"},0)+1,0))</f>
        <v/>
      </c>
      <c r="E2855" t="str">
        <f>+IFERROR(VLOOKUP(Fact_Contabilidad[[#This Row], [Concepto Anterior]],Conceptos_Contabilidad[#All],5,0),"")</f>
        <v/>
      </c>
      <c r="F2855" t="str">
        <f>+IFERROR(VLOOKUP(Fact_Contabilidad[[#This Row], 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ht="18.75" customHeight="1" x14ac:dyDescent="0.35">
      <c r="A2856" s="103"/>
      <c r="C2856" s="100" t="str">
        <f>IF(OR(Fact_Contabilidad[[#This Row], [Año]]="",Fact_Contabilidad[[#This Row], [Mes]]=""),"",DATE(A2856,MATCH(B2856,{"enero","febrero","marzo","abril","mayo","junio","julio","agosto","septiembre","octubre","noviembre","diciembre"},0)+1,0))</f>
        <v/>
      </c>
      <c r="E2856" t="str">
        <f>+IFERROR(VLOOKUP(Fact_Contabilidad[[#This Row], [Concepto Anterior]],Conceptos_Contabilidad[#All],5,0),"")</f>
        <v/>
      </c>
      <c r="F2856" t="str">
        <f>+IFERROR(VLOOKUP(Fact_Contabilidad[[#This Row], 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ht="18.75" customHeight="1" x14ac:dyDescent="0.35">
      <c r="A2857" s="103"/>
      <c r="C2857" s="100" t="str">
        <f>IF(OR(Fact_Contabilidad[[#This Row], [Año]]="",Fact_Contabilidad[[#This Row], [Mes]]=""),"",DATE(A2857,MATCH(B2857,{"enero","febrero","marzo","abril","mayo","junio","julio","agosto","septiembre","octubre","noviembre","diciembre"},0)+1,0))</f>
        <v/>
      </c>
      <c r="E2857" t="str">
        <f>+IFERROR(VLOOKUP(Fact_Contabilidad[[#This Row], [Concepto Anterior]],Conceptos_Contabilidad[#All],5,0),"")</f>
        <v/>
      </c>
      <c r="F2857" t="str">
        <f>+IFERROR(VLOOKUP(Fact_Contabilidad[[#This Row], 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ht="18.75" customHeight="1" x14ac:dyDescent="0.35">
      <c r="A2858" s="103"/>
      <c r="C2858" s="100" t="str">
        <f>IF(OR(Fact_Contabilidad[[#This Row], [Año]]="",Fact_Contabilidad[[#This Row], [Mes]]=""),"",DATE(A2858,MATCH(B2858,{"enero","febrero","marzo","abril","mayo","junio","julio","agosto","septiembre","octubre","noviembre","diciembre"},0)+1,0))</f>
        <v/>
      </c>
      <c r="E2858" t="str">
        <f>+IFERROR(VLOOKUP(Fact_Contabilidad[[#This Row], [Concepto Anterior]],Conceptos_Contabilidad[#All],5,0),"")</f>
        <v/>
      </c>
      <c r="F2858" t="str">
        <f>+IFERROR(VLOOKUP(Fact_Contabilidad[[#This Row], 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ht="18.75" customHeight="1" x14ac:dyDescent="0.35">
      <c r="A2859" s="103"/>
      <c r="C2859" s="100" t="str">
        <f>IF(OR(Fact_Contabilidad[[#This Row], [Año]]="",Fact_Contabilidad[[#This Row], [Mes]]=""),"",DATE(A2859,MATCH(B2859,{"enero","febrero","marzo","abril","mayo","junio","julio","agosto","septiembre","octubre","noviembre","diciembre"},0)+1,0))</f>
        <v/>
      </c>
      <c r="E2859" t="str">
        <f>+IFERROR(VLOOKUP(Fact_Contabilidad[[#This Row], [Concepto Anterior]],Conceptos_Contabilidad[#All],5,0),"")</f>
        <v/>
      </c>
      <c r="F2859" t="str">
        <f>+IFERROR(VLOOKUP(Fact_Contabilidad[[#This Row], 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ht="18.75" customHeight="1" x14ac:dyDescent="0.35">
      <c r="A2860" s="103"/>
      <c r="C2860" s="100" t="str">
        <f>IF(OR(Fact_Contabilidad[[#This Row], [Año]]="",Fact_Contabilidad[[#This Row], [Mes]]=""),"",DATE(A2860,MATCH(B2860,{"enero","febrero","marzo","abril","mayo","junio","julio","agosto","septiembre","octubre","noviembre","diciembre"},0)+1,0))</f>
        <v/>
      </c>
      <c r="E2860" t="str">
        <f>+IFERROR(VLOOKUP(Fact_Contabilidad[[#This Row], [Concepto Anterior]],Conceptos_Contabilidad[#All],5,0),"")</f>
        <v/>
      </c>
      <c r="F2860" t="str">
        <f>+IFERROR(VLOOKUP(Fact_Contabilidad[[#This Row], 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ht="18.75" customHeight="1" x14ac:dyDescent="0.35">
      <c r="A2861" s="103"/>
      <c r="C2861" s="100" t="str">
        <f>IF(OR(Fact_Contabilidad[[#This Row], [Año]]="",Fact_Contabilidad[[#This Row], [Mes]]=""),"",DATE(A2861,MATCH(B2861,{"enero","febrero","marzo","abril","mayo","junio","julio","agosto","septiembre","octubre","noviembre","diciembre"},0)+1,0))</f>
        <v/>
      </c>
      <c r="E2861" t="str">
        <f>+IFERROR(VLOOKUP(Fact_Contabilidad[[#This Row], [Concepto Anterior]],Conceptos_Contabilidad[#All],5,0),"")</f>
        <v/>
      </c>
      <c r="F2861" t="str">
        <f>+IFERROR(VLOOKUP(Fact_Contabilidad[[#This Row], 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ht="18.75" customHeight="1" x14ac:dyDescent="0.35">
      <c r="A2862" s="103"/>
      <c r="C2862" s="100" t="str">
        <f>IF(OR(Fact_Contabilidad[[#This Row], [Año]]="",Fact_Contabilidad[[#This Row], [Mes]]=""),"",DATE(A2862,MATCH(B2862,{"enero","febrero","marzo","abril","mayo","junio","julio","agosto","septiembre","octubre","noviembre","diciembre"},0)+1,0))</f>
        <v/>
      </c>
      <c r="E2862" t="str">
        <f>+IFERROR(VLOOKUP(Fact_Contabilidad[[#This Row], [Concepto Anterior]],Conceptos_Contabilidad[#All],5,0),"")</f>
        <v/>
      </c>
      <c r="F2862" t="str">
        <f>+IFERROR(VLOOKUP(Fact_Contabilidad[[#This Row], 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ht="18.75" customHeight="1" x14ac:dyDescent="0.35">
      <c r="A2863" s="103"/>
      <c r="C2863" s="100" t="str">
        <f>IF(OR(Fact_Contabilidad[[#This Row], [Año]]="",Fact_Contabilidad[[#This Row], [Mes]]=""),"",DATE(A2863,MATCH(B2863,{"enero","febrero","marzo","abril","mayo","junio","julio","agosto","septiembre","octubre","noviembre","diciembre"},0)+1,0))</f>
        <v/>
      </c>
      <c r="E2863" t="str">
        <f>+IFERROR(VLOOKUP(Fact_Contabilidad[[#This Row], [Concepto Anterior]],Conceptos_Contabilidad[#All],5,0),"")</f>
        <v/>
      </c>
      <c r="F2863" t="str">
        <f>+IFERROR(VLOOKUP(Fact_Contabilidad[[#This Row], 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ht="18.75" customHeight="1" x14ac:dyDescent="0.35">
      <c r="A2864" s="103"/>
      <c r="C2864" s="100" t="str">
        <f>IF(OR(Fact_Contabilidad[[#This Row], [Año]]="",Fact_Contabilidad[[#This Row], [Mes]]=""),"",DATE(A2864,MATCH(B2864,{"enero","febrero","marzo","abril","mayo","junio","julio","agosto","septiembre","octubre","noviembre","diciembre"},0)+1,0))</f>
        <v/>
      </c>
      <c r="E2864" t="str">
        <f>+IFERROR(VLOOKUP(Fact_Contabilidad[[#This Row], [Concepto Anterior]],Conceptos_Contabilidad[#All],5,0),"")</f>
        <v/>
      </c>
      <c r="F2864" t="str">
        <f>+IFERROR(VLOOKUP(Fact_Contabilidad[[#This Row], 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ht="18.75" customHeight="1" x14ac:dyDescent="0.35">
      <c r="A2865" s="103"/>
      <c r="C2865" s="100" t="str">
        <f>IF(OR(Fact_Contabilidad[[#This Row], [Año]]="",Fact_Contabilidad[[#This Row], [Mes]]=""),"",DATE(A2865,MATCH(B2865,{"enero","febrero","marzo","abril","mayo","junio","julio","agosto","septiembre","octubre","noviembre","diciembre"},0)+1,0))</f>
        <v/>
      </c>
      <c r="E2865" t="str">
        <f>+IFERROR(VLOOKUP(Fact_Contabilidad[[#This Row], [Concepto Anterior]],Conceptos_Contabilidad[#All],5,0),"")</f>
        <v/>
      </c>
      <c r="F2865" t="str">
        <f>+IFERROR(VLOOKUP(Fact_Contabilidad[[#This Row], 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ht="18.75" customHeight="1" x14ac:dyDescent="0.35">
      <c r="A2866" s="103"/>
      <c r="C2866" s="100" t="str">
        <f>IF(OR(Fact_Contabilidad[[#This Row], [Año]]="",Fact_Contabilidad[[#This Row], [Mes]]=""),"",DATE(A2866,MATCH(B2866,{"enero","febrero","marzo","abril","mayo","junio","julio","agosto","septiembre","octubre","noviembre","diciembre"},0)+1,0))</f>
        <v/>
      </c>
      <c r="E2866" t="str">
        <f>+IFERROR(VLOOKUP(Fact_Contabilidad[[#This Row], [Concepto Anterior]],Conceptos_Contabilidad[#All],5,0),"")</f>
        <v/>
      </c>
      <c r="F2866" t="str">
        <f>+IFERROR(VLOOKUP(Fact_Contabilidad[[#This Row], 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ht="18.75" customHeight="1" x14ac:dyDescent="0.35">
      <c r="A2867" s="103"/>
      <c r="C2867" s="100" t="str">
        <f>IF(OR(Fact_Contabilidad[[#This Row], [Año]]="",Fact_Contabilidad[[#This Row], [Mes]]=""),"",DATE(A2867,MATCH(B2867,{"enero","febrero","marzo","abril","mayo","junio","julio","agosto","septiembre","octubre","noviembre","diciembre"},0)+1,0))</f>
        <v/>
      </c>
      <c r="E2867" t="str">
        <f>+IFERROR(VLOOKUP(Fact_Contabilidad[[#This Row], [Concepto Anterior]],Conceptos_Contabilidad[#All],5,0),"")</f>
        <v/>
      </c>
      <c r="F2867" t="str">
        <f>+IFERROR(VLOOKUP(Fact_Contabilidad[[#This Row], 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ht="18.75" customHeight="1" x14ac:dyDescent="0.35">
      <c r="A2868" s="103"/>
      <c r="C2868" s="100" t="str">
        <f>IF(OR(Fact_Contabilidad[[#This Row], [Año]]="",Fact_Contabilidad[[#This Row], [Mes]]=""),"",DATE(A2868,MATCH(B2868,{"enero","febrero","marzo","abril","mayo","junio","julio","agosto","septiembre","octubre","noviembre","diciembre"},0)+1,0))</f>
        <v/>
      </c>
      <c r="E2868" t="str">
        <f>+IFERROR(VLOOKUP(Fact_Contabilidad[[#This Row], [Concepto Anterior]],Conceptos_Contabilidad[#All],5,0),"")</f>
        <v/>
      </c>
      <c r="F2868" t="str">
        <f>+IFERROR(VLOOKUP(Fact_Contabilidad[[#This Row], 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ht="18.75" customHeight="1" x14ac:dyDescent="0.35">
      <c r="A2869" s="103"/>
      <c r="C2869" s="100" t="str">
        <f>IF(OR(Fact_Contabilidad[[#This Row], [Año]]="",Fact_Contabilidad[[#This Row], [Mes]]=""),"",DATE(A2869,MATCH(B2869,{"enero","febrero","marzo","abril","mayo","junio","julio","agosto","septiembre","octubre","noviembre","diciembre"},0)+1,0))</f>
        <v/>
      </c>
      <c r="E2869" t="str">
        <f>+IFERROR(VLOOKUP(Fact_Contabilidad[[#This Row], [Concepto Anterior]],Conceptos_Contabilidad[#All],5,0),"")</f>
        <v/>
      </c>
      <c r="F2869" t="str">
        <f>+IFERROR(VLOOKUP(Fact_Contabilidad[[#This Row], 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ht="18.75" customHeight="1" x14ac:dyDescent="0.35">
      <c r="A2870" s="103"/>
      <c r="C2870" s="100" t="str">
        <f>IF(OR(Fact_Contabilidad[[#This Row], [Año]]="",Fact_Contabilidad[[#This Row], [Mes]]=""),"",DATE(A2870,MATCH(B2870,{"enero","febrero","marzo","abril","mayo","junio","julio","agosto","septiembre","octubre","noviembre","diciembre"},0)+1,0))</f>
        <v/>
      </c>
      <c r="E2870" t="str">
        <f>+IFERROR(VLOOKUP(Fact_Contabilidad[[#This Row], [Concepto Anterior]],Conceptos_Contabilidad[#All],5,0),"")</f>
        <v/>
      </c>
      <c r="F2870" t="str">
        <f>+IFERROR(VLOOKUP(Fact_Contabilidad[[#This Row], 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ht="18.75" customHeight="1" x14ac:dyDescent="0.35">
      <c r="A2871" s="103"/>
      <c r="C2871" s="100" t="str">
        <f>IF(OR(Fact_Contabilidad[[#This Row], [Año]]="",Fact_Contabilidad[[#This Row], [Mes]]=""),"",DATE(A2871,MATCH(B2871,{"enero","febrero","marzo","abril","mayo","junio","julio","agosto","septiembre","octubre","noviembre","diciembre"},0)+1,0))</f>
        <v/>
      </c>
      <c r="E2871" t="str">
        <f>+IFERROR(VLOOKUP(Fact_Contabilidad[[#This Row], [Concepto Anterior]],Conceptos_Contabilidad[#All],5,0),"")</f>
        <v/>
      </c>
      <c r="F2871" t="str">
        <f>+IFERROR(VLOOKUP(Fact_Contabilidad[[#This Row], 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ht="18.75" customHeight="1" x14ac:dyDescent="0.35">
      <c r="A2872" s="103"/>
      <c r="C2872" s="100" t="str">
        <f>IF(OR(Fact_Contabilidad[[#This Row], [Año]]="",Fact_Contabilidad[[#This Row], [Mes]]=""),"",DATE(A2872,MATCH(B2872,{"enero","febrero","marzo","abril","mayo","junio","julio","agosto","septiembre","octubre","noviembre","diciembre"},0)+1,0))</f>
        <v/>
      </c>
      <c r="E2872" t="str">
        <f>+IFERROR(VLOOKUP(Fact_Contabilidad[[#This Row], [Concepto Anterior]],Conceptos_Contabilidad[#All],5,0),"")</f>
        <v/>
      </c>
      <c r="F2872" t="str">
        <f>+IFERROR(VLOOKUP(Fact_Contabilidad[[#This Row], 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ht="18.75" customHeight="1" x14ac:dyDescent="0.35">
      <c r="A2873" s="103"/>
      <c r="C2873" s="100" t="str">
        <f>IF(OR(Fact_Contabilidad[[#This Row], [Año]]="",Fact_Contabilidad[[#This Row], [Mes]]=""),"",DATE(A2873,MATCH(B2873,{"enero","febrero","marzo","abril","mayo","junio","julio","agosto","septiembre","octubre","noviembre","diciembre"},0)+1,0))</f>
        <v/>
      </c>
      <c r="E2873" t="str">
        <f>+IFERROR(VLOOKUP(Fact_Contabilidad[[#This Row], [Concepto Anterior]],Conceptos_Contabilidad[#All],5,0),"")</f>
        <v/>
      </c>
      <c r="F2873" t="str">
        <f>+IFERROR(VLOOKUP(Fact_Contabilidad[[#This Row], 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ht="18.75" customHeight="1" x14ac:dyDescent="0.35">
      <c r="A2874" s="103"/>
      <c r="C2874" s="100" t="str">
        <f>IF(OR(Fact_Contabilidad[[#This Row], [Año]]="",Fact_Contabilidad[[#This Row], [Mes]]=""),"",DATE(A2874,MATCH(B2874,{"enero","febrero","marzo","abril","mayo","junio","julio","agosto","septiembre","octubre","noviembre","diciembre"},0)+1,0))</f>
        <v/>
      </c>
      <c r="E2874" t="str">
        <f>+IFERROR(VLOOKUP(Fact_Contabilidad[[#This Row], [Concepto Anterior]],Conceptos_Contabilidad[#All],5,0),"")</f>
        <v/>
      </c>
      <c r="F2874" t="str">
        <f>+IFERROR(VLOOKUP(Fact_Contabilidad[[#This Row], 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ht="18.75" customHeight="1" x14ac:dyDescent="0.35">
      <c r="A2875" s="103"/>
      <c r="C2875" s="100" t="str">
        <f>IF(OR(Fact_Contabilidad[[#This Row], [Año]]="",Fact_Contabilidad[[#This Row], [Mes]]=""),"",DATE(A2875,MATCH(B2875,{"enero","febrero","marzo","abril","mayo","junio","julio","agosto","septiembre","octubre","noviembre","diciembre"},0)+1,0))</f>
        <v/>
      </c>
      <c r="E2875" t="str">
        <f>+IFERROR(VLOOKUP(Fact_Contabilidad[[#This Row], [Concepto Anterior]],Conceptos_Contabilidad[#All],5,0),"")</f>
        <v/>
      </c>
      <c r="F2875" t="str">
        <f>+IFERROR(VLOOKUP(Fact_Contabilidad[[#This Row], 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ht="18.75" customHeight="1" x14ac:dyDescent="0.35">
      <c r="A2876" s="103"/>
      <c r="C2876" s="100" t="str">
        <f>IF(OR(Fact_Contabilidad[[#This Row], [Año]]="",Fact_Contabilidad[[#This Row], [Mes]]=""),"",DATE(A2876,MATCH(B2876,{"enero","febrero","marzo","abril","mayo","junio","julio","agosto","septiembre","octubre","noviembre","diciembre"},0)+1,0))</f>
        <v/>
      </c>
      <c r="E2876" t="str">
        <f>+IFERROR(VLOOKUP(Fact_Contabilidad[[#This Row], [Concepto Anterior]],Conceptos_Contabilidad[#All],5,0),"")</f>
        <v/>
      </c>
      <c r="F2876" t="str">
        <f>+IFERROR(VLOOKUP(Fact_Contabilidad[[#This Row], 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ht="18.75" customHeight="1" x14ac:dyDescent="0.35">
      <c r="A2877" s="103"/>
      <c r="C2877" s="100" t="str">
        <f>IF(OR(Fact_Contabilidad[[#This Row], [Año]]="",Fact_Contabilidad[[#This Row], [Mes]]=""),"",DATE(A2877,MATCH(B2877,{"enero","febrero","marzo","abril","mayo","junio","julio","agosto","septiembre","octubre","noviembre","diciembre"},0)+1,0))</f>
        <v/>
      </c>
      <c r="E2877" t="str">
        <f>+IFERROR(VLOOKUP(Fact_Contabilidad[[#This Row], [Concepto Anterior]],Conceptos_Contabilidad[#All],5,0),"")</f>
        <v/>
      </c>
      <c r="F2877" t="str">
        <f>+IFERROR(VLOOKUP(Fact_Contabilidad[[#This Row], 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ht="18.75" customHeight="1" x14ac:dyDescent="0.35">
      <c r="A2878" s="103"/>
      <c r="C2878" s="100" t="str">
        <f>IF(OR(Fact_Contabilidad[[#This Row], [Año]]="",Fact_Contabilidad[[#This Row], [Mes]]=""),"",DATE(A2878,MATCH(B2878,{"enero","febrero","marzo","abril","mayo","junio","julio","agosto","septiembre","octubre","noviembre","diciembre"},0)+1,0))</f>
        <v/>
      </c>
      <c r="E2878" t="str">
        <f>+IFERROR(VLOOKUP(Fact_Contabilidad[[#This Row], [Concepto Anterior]],Conceptos_Contabilidad[#All],5,0),"")</f>
        <v/>
      </c>
      <c r="F2878" t="str">
        <f>+IFERROR(VLOOKUP(Fact_Contabilidad[[#This Row], 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ht="18.75" customHeight="1" x14ac:dyDescent="0.35">
      <c r="A2879" s="103"/>
      <c r="C2879" s="100" t="str">
        <f>IF(OR(Fact_Contabilidad[[#This Row], [Año]]="",Fact_Contabilidad[[#This Row], [Mes]]=""),"",DATE(A2879,MATCH(B2879,{"enero","febrero","marzo","abril","mayo","junio","julio","agosto","septiembre","octubre","noviembre","diciembre"},0)+1,0))</f>
        <v/>
      </c>
      <c r="E2879" t="str">
        <f>+IFERROR(VLOOKUP(Fact_Contabilidad[[#This Row], [Concepto Anterior]],Conceptos_Contabilidad[#All],5,0),"")</f>
        <v/>
      </c>
      <c r="F2879" t="str">
        <f>+IFERROR(VLOOKUP(Fact_Contabilidad[[#This Row], 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ht="18.75" customHeight="1" x14ac:dyDescent="0.35">
      <c r="A2880" s="103"/>
      <c r="C2880" s="100" t="str">
        <f>IF(OR(Fact_Contabilidad[[#This Row], [Año]]="",Fact_Contabilidad[[#This Row], [Mes]]=""),"",DATE(A2880,MATCH(B2880,{"enero","febrero","marzo","abril","mayo","junio","julio","agosto","septiembre","octubre","noviembre","diciembre"},0)+1,0))</f>
        <v/>
      </c>
      <c r="E2880" t="str">
        <f>+IFERROR(VLOOKUP(Fact_Contabilidad[[#This Row], [Concepto Anterior]],Conceptos_Contabilidad[#All],5,0),"")</f>
        <v/>
      </c>
      <c r="F2880" t="str">
        <f>+IFERROR(VLOOKUP(Fact_Contabilidad[[#This Row], 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ht="18.75" customHeight="1" x14ac:dyDescent="0.35">
      <c r="A2881" s="103"/>
      <c r="C2881" s="100" t="str">
        <f>IF(OR(Fact_Contabilidad[[#This Row], [Año]]="",Fact_Contabilidad[[#This Row], [Mes]]=""),"",DATE(A2881,MATCH(B2881,{"enero","febrero","marzo","abril","mayo","junio","julio","agosto","septiembre","octubre","noviembre","diciembre"},0)+1,0))</f>
        <v/>
      </c>
      <c r="E2881" t="str">
        <f>+IFERROR(VLOOKUP(Fact_Contabilidad[[#This Row], [Concepto Anterior]],Conceptos_Contabilidad[#All],5,0),"")</f>
        <v/>
      </c>
      <c r="F2881" t="str">
        <f>+IFERROR(VLOOKUP(Fact_Contabilidad[[#This Row], 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ht="18.75" customHeight="1" x14ac:dyDescent="0.35">
      <c r="A2882" s="103"/>
      <c r="C2882" s="100" t="str">
        <f>IF(OR(Fact_Contabilidad[[#This Row], [Año]]="",Fact_Contabilidad[[#This Row], [Mes]]=""),"",DATE(A2882,MATCH(B2882,{"enero","febrero","marzo","abril","mayo","junio","julio","agosto","septiembre","octubre","noviembre","diciembre"},0)+1,0))</f>
        <v/>
      </c>
      <c r="E2882" t="str">
        <f>+IFERROR(VLOOKUP(Fact_Contabilidad[[#This Row], [Concepto Anterior]],Conceptos_Contabilidad[#All],5,0),"")</f>
        <v/>
      </c>
      <c r="F2882" t="str">
        <f>+IFERROR(VLOOKUP(Fact_Contabilidad[[#This Row], 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ht="18.75" customHeight="1" x14ac:dyDescent="0.35">
      <c r="A2883" s="103"/>
      <c r="C2883" s="100" t="str">
        <f>IF(OR(Fact_Contabilidad[[#This Row], [Año]]="",Fact_Contabilidad[[#This Row], [Mes]]=""),"",DATE(A2883,MATCH(B2883,{"enero","febrero","marzo","abril","mayo","junio","julio","agosto","septiembre","octubre","noviembre","diciembre"},0)+1,0))</f>
        <v/>
      </c>
      <c r="E2883" t="str">
        <f>+IFERROR(VLOOKUP(Fact_Contabilidad[[#This Row], [Concepto Anterior]],Conceptos_Contabilidad[#All],5,0),"")</f>
        <v/>
      </c>
      <c r="F2883" t="str">
        <f>+IFERROR(VLOOKUP(Fact_Contabilidad[[#This Row], 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ht="18.75" customHeight="1" x14ac:dyDescent="0.35">
      <c r="A2884" s="103"/>
      <c r="C2884" s="100" t="str">
        <f>IF(OR(Fact_Contabilidad[[#This Row], [Año]]="",Fact_Contabilidad[[#This Row], [Mes]]=""),"",DATE(A2884,MATCH(B2884,{"enero","febrero","marzo","abril","mayo","junio","julio","agosto","septiembre","octubre","noviembre","diciembre"},0)+1,0))</f>
        <v/>
      </c>
      <c r="E2884" t="str">
        <f>+IFERROR(VLOOKUP(Fact_Contabilidad[[#This Row], [Concepto Anterior]],Conceptos_Contabilidad[#All],5,0),"")</f>
        <v/>
      </c>
      <c r="F2884" t="str">
        <f>+IFERROR(VLOOKUP(Fact_Contabilidad[[#This Row], 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ht="18.75" customHeight="1" x14ac:dyDescent="0.35">
      <c r="A2885" s="103"/>
      <c r="C2885" s="100" t="str">
        <f>IF(OR(Fact_Contabilidad[[#This Row], [Año]]="",Fact_Contabilidad[[#This Row], [Mes]]=""),"",DATE(A2885,MATCH(B2885,{"enero","febrero","marzo","abril","mayo","junio","julio","agosto","septiembre","octubre","noviembre","diciembre"},0)+1,0))</f>
        <v/>
      </c>
      <c r="E2885" t="str">
        <f>+IFERROR(VLOOKUP(Fact_Contabilidad[[#This Row], [Concepto Anterior]],Conceptos_Contabilidad[#All],5,0),"")</f>
        <v/>
      </c>
      <c r="F2885" t="str">
        <f>+IFERROR(VLOOKUP(Fact_Contabilidad[[#This Row], 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ht="18.75" customHeight="1" x14ac:dyDescent="0.35">
      <c r="A2886" s="103"/>
      <c r="C2886" s="100" t="str">
        <f>IF(OR(Fact_Contabilidad[[#This Row], [Año]]="",Fact_Contabilidad[[#This Row], [Mes]]=""),"",DATE(A2886,MATCH(B2886,{"enero","febrero","marzo","abril","mayo","junio","julio","agosto","septiembre","octubre","noviembre","diciembre"},0)+1,0))</f>
        <v/>
      </c>
      <c r="E2886" t="str">
        <f>+IFERROR(VLOOKUP(Fact_Contabilidad[[#This Row], [Concepto Anterior]],Conceptos_Contabilidad[#All],5,0),"")</f>
        <v/>
      </c>
      <c r="F2886" t="str">
        <f>+IFERROR(VLOOKUP(Fact_Contabilidad[[#This Row], 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ht="18.75" customHeight="1" x14ac:dyDescent="0.35">
      <c r="A2887" s="103"/>
      <c r="C2887" s="100" t="str">
        <f>IF(OR(Fact_Contabilidad[[#This Row], [Año]]="",Fact_Contabilidad[[#This Row], [Mes]]=""),"",DATE(A2887,MATCH(B2887,{"enero","febrero","marzo","abril","mayo","junio","julio","agosto","septiembre","octubre","noviembre","diciembre"},0)+1,0))</f>
        <v/>
      </c>
      <c r="E2887" t="str">
        <f>+IFERROR(VLOOKUP(Fact_Contabilidad[[#This Row], [Concepto Anterior]],Conceptos_Contabilidad[#All],5,0),"")</f>
        <v/>
      </c>
      <c r="F2887" t="str">
        <f>+IFERROR(VLOOKUP(Fact_Contabilidad[[#This Row], 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ht="18.75" customHeight="1" x14ac:dyDescent="0.35">
      <c r="A2888" s="103"/>
      <c r="C2888" s="100" t="str">
        <f>IF(OR(Fact_Contabilidad[[#This Row], [Año]]="",Fact_Contabilidad[[#This Row], [Mes]]=""),"",DATE(A2888,MATCH(B2888,{"enero","febrero","marzo","abril","mayo","junio","julio","agosto","septiembre","octubre","noviembre","diciembre"},0)+1,0))</f>
        <v/>
      </c>
      <c r="E2888" t="str">
        <f>+IFERROR(VLOOKUP(Fact_Contabilidad[[#This Row], [Concepto Anterior]],Conceptos_Contabilidad[#All],5,0),"")</f>
        <v/>
      </c>
      <c r="F2888" t="str">
        <f>+IFERROR(VLOOKUP(Fact_Contabilidad[[#This Row], 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ht="18.75" customHeight="1" x14ac:dyDescent="0.35">
      <c r="A2889" s="103"/>
      <c r="C2889" s="100" t="str">
        <f>IF(OR(Fact_Contabilidad[[#This Row], [Año]]="",Fact_Contabilidad[[#This Row], [Mes]]=""),"",DATE(A2889,MATCH(B2889,{"enero","febrero","marzo","abril","mayo","junio","julio","agosto","septiembre","octubre","noviembre","diciembre"},0)+1,0))</f>
        <v/>
      </c>
      <c r="E2889" t="str">
        <f>+IFERROR(VLOOKUP(Fact_Contabilidad[[#This Row], [Concepto Anterior]],Conceptos_Contabilidad[#All],5,0),"")</f>
        <v/>
      </c>
      <c r="F2889" t="str">
        <f>+IFERROR(VLOOKUP(Fact_Contabilidad[[#This Row], 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ht="18.75" customHeight="1" x14ac:dyDescent="0.35">
      <c r="A2890" s="103"/>
      <c r="C2890" s="100" t="str">
        <f>IF(OR(Fact_Contabilidad[[#This Row], [Año]]="",Fact_Contabilidad[[#This Row], [Mes]]=""),"",DATE(A2890,MATCH(B2890,{"enero","febrero","marzo","abril","mayo","junio","julio","agosto","septiembre","octubre","noviembre","diciembre"},0)+1,0))</f>
        <v/>
      </c>
      <c r="E2890" t="str">
        <f>+IFERROR(VLOOKUP(Fact_Contabilidad[[#This Row], [Concepto Anterior]],Conceptos_Contabilidad[#All],5,0),"")</f>
        <v/>
      </c>
      <c r="F2890" t="str">
        <f>+IFERROR(VLOOKUP(Fact_Contabilidad[[#This Row], 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ht="18.75" customHeight="1" x14ac:dyDescent="0.35">
      <c r="A2891" s="103"/>
      <c r="C2891" s="100" t="str">
        <f>IF(OR(Fact_Contabilidad[[#This Row], [Año]]="",Fact_Contabilidad[[#This Row], [Mes]]=""),"",DATE(A2891,MATCH(B2891,{"enero","febrero","marzo","abril","mayo","junio","julio","agosto","septiembre","octubre","noviembre","diciembre"},0)+1,0))</f>
        <v/>
      </c>
      <c r="E2891" t="str">
        <f>+IFERROR(VLOOKUP(Fact_Contabilidad[[#This Row], [Concepto Anterior]],Conceptos_Contabilidad[#All],5,0),"")</f>
        <v/>
      </c>
      <c r="F2891" t="str">
        <f>+IFERROR(VLOOKUP(Fact_Contabilidad[[#This Row], 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ht="18.75" customHeight="1" x14ac:dyDescent="0.35">
      <c r="A2892" s="103"/>
      <c r="C2892" s="100" t="str">
        <f>IF(OR(Fact_Contabilidad[[#This Row], [Año]]="",Fact_Contabilidad[[#This Row], [Mes]]=""),"",DATE(A2892,MATCH(B2892,{"enero","febrero","marzo","abril","mayo","junio","julio","agosto","septiembre","octubre","noviembre","diciembre"},0)+1,0))</f>
        <v/>
      </c>
      <c r="E2892" t="str">
        <f>+IFERROR(VLOOKUP(Fact_Contabilidad[[#This Row], [Concepto Anterior]],Conceptos_Contabilidad[#All],5,0),"")</f>
        <v/>
      </c>
      <c r="F2892" t="str">
        <f>+IFERROR(VLOOKUP(Fact_Contabilidad[[#This Row], 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ht="18.75" customHeight="1" x14ac:dyDescent="0.35">
      <c r="A2893" s="103"/>
      <c r="C2893" s="100" t="str">
        <f>IF(OR(Fact_Contabilidad[[#This Row], [Año]]="",Fact_Contabilidad[[#This Row], [Mes]]=""),"",DATE(A2893,MATCH(B2893,{"enero","febrero","marzo","abril","mayo","junio","julio","agosto","septiembre","octubre","noviembre","diciembre"},0)+1,0))</f>
        <v/>
      </c>
      <c r="E2893" t="str">
        <f>+IFERROR(VLOOKUP(Fact_Contabilidad[[#This Row], [Concepto Anterior]],Conceptos_Contabilidad[#All],5,0),"")</f>
        <v/>
      </c>
      <c r="F2893" t="str">
        <f>+IFERROR(VLOOKUP(Fact_Contabilidad[[#This Row], 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ht="18.75" customHeight="1" x14ac:dyDescent="0.35">
      <c r="A2894" s="103"/>
      <c r="C2894" s="100" t="str">
        <f>IF(OR(Fact_Contabilidad[[#This Row], [Año]]="",Fact_Contabilidad[[#This Row], [Mes]]=""),"",DATE(A2894,MATCH(B2894,{"enero","febrero","marzo","abril","mayo","junio","julio","agosto","septiembre","octubre","noviembre","diciembre"},0)+1,0))</f>
        <v/>
      </c>
      <c r="E2894" t="str">
        <f>+IFERROR(VLOOKUP(Fact_Contabilidad[[#This Row], [Concepto Anterior]],Conceptos_Contabilidad[#All],5,0),"")</f>
        <v/>
      </c>
      <c r="F2894" t="str">
        <f>+IFERROR(VLOOKUP(Fact_Contabilidad[[#This Row], 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ht="18.75" customHeight="1" x14ac:dyDescent="0.35">
      <c r="A2895" s="103"/>
      <c r="C2895" s="100" t="str">
        <f>IF(OR(Fact_Contabilidad[[#This Row], [Año]]="",Fact_Contabilidad[[#This Row], [Mes]]=""),"",DATE(A2895,MATCH(B2895,{"enero","febrero","marzo","abril","mayo","junio","julio","agosto","septiembre","octubre","noviembre","diciembre"},0)+1,0))</f>
        <v/>
      </c>
      <c r="E2895" t="str">
        <f>+IFERROR(VLOOKUP(Fact_Contabilidad[[#This Row], [Concepto Anterior]],Conceptos_Contabilidad[#All],5,0),"")</f>
        <v/>
      </c>
      <c r="F2895" t="str">
        <f>+IFERROR(VLOOKUP(Fact_Contabilidad[[#This Row], 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ht="18.75" customHeight="1" x14ac:dyDescent="0.35">
      <c r="A2896" s="103"/>
      <c r="C2896" s="100" t="str">
        <f>IF(OR(Fact_Contabilidad[[#This Row], [Año]]="",Fact_Contabilidad[[#This Row], [Mes]]=""),"",DATE(A2896,MATCH(B2896,{"enero","febrero","marzo","abril","mayo","junio","julio","agosto","septiembre","octubre","noviembre","diciembre"},0)+1,0))</f>
        <v/>
      </c>
      <c r="E2896" t="str">
        <f>+IFERROR(VLOOKUP(Fact_Contabilidad[[#This Row], [Concepto Anterior]],Conceptos_Contabilidad[#All],5,0),"")</f>
        <v/>
      </c>
      <c r="F2896" t="str">
        <f>+IFERROR(VLOOKUP(Fact_Contabilidad[[#This Row], 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ht="18.75" customHeight="1" x14ac:dyDescent="0.35">
      <c r="A2897" s="103"/>
      <c r="C2897" s="100" t="str">
        <f>IF(OR(Fact_Contabilidad[[#This Row], [Año]]="",Fact_Contabilidad[[#This Row], [Mes]]=""),"",DATE(A2897,MATCH(B2897,{"enero","febrero","marzo","abril","mayo","junio","julio","agosto","septiembre","octubre","noviembre","diciembre"},0)+1,0))</f>
        <v/>
      </c>
      <c r="E2897" t="str">
        <f>+IFERROR(VLOOKUP(Fact_Contabilidad[[#This Row], [Concepto Anterior]],Conceptos_Contabilidad[#All],5,0),"")</f>
        <v/>
      </c>
      <c r="F2897" t="str">
        <f>+IFERROR(VLOOKUP(Fact_Contabilidad[[#This Row], 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ht="18.75" customHeight="1" x14ac:dyDescent="0.35">
      <c r="A2898" s="103"/>
      <c r="C2898" s="100" t="str">
        <f>IF(OR(Fact_Contabilidad[[#This Row], [Año]]="",Fact_Contabilidad[[#This Row], [Mes]]=""),"",DATE(A2898,MATCH(B2898,{"enero","febrero","marzo","abril","mayo","junio","julio","agosto","septiembre","octubre","noviembre","diciembre"},0)+1,0))</f>
        <v/>
      </c>
      <c r="E2898" t="str">
        <f>+IFERROR(VLOOKUP(Fact_Contabilidad[[#This Row], [Concepto Anterior]],Conceptos_Contabilidad[#All],5,0),"")</f>
        <v/>
      </c>
      <c r="F2898" t="str">
        <f>+IFERROR(VLOOKUP(Fact_Contabilidad[[#This Row], 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ht="18.75" customHeight="1" x14ac:dyDescent="0.35">
      <c r="A2899" s="103"/>
      <c r="C2899" s="100" t="str">
        <f>IF(OR(Fact_Contabilidad[[#This Row], [Año]]="",Fact_Contabilidad[[#This Row], [Mes]]=""),"",DATE(A2899,MATCH(B2899,{"enero","febrero","marzo","abril","mayo","junio","julio","agosto","septiembre","octubre","noviembre","diciembre"},0)+1,0))</f>
        <v/>
      </c>
      <c r="E2899" t="str">
        <f>+IFERROR(VLOOKUP(Fact_Contabilidad[[#This Row], [Concepto Anterior]],Conceptos_Contabilidad[#All],5,0),"")</f>
        <v/>
      </c>
      <c r="F2899" t="str">
        <f>+IFERROR(VLOOKUP(Fact_Contabilidad[[#This Row], 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ht="18.75" customHeight="1" x14ac:dyDescent="0.35">
      <c r="A2900" s="103"/>
      <c r="C2900" s="100" t="str">
        <f>IF(OR(Fact_Contabilidad[[#This Row], [Año]]="",Fact_Contabilidad[[#This Row], [Mes]]=""),"",DATE(A2900,MATCH(B2900,{"enero","febrero","marzo","abril","mayo","junio","julio","agosto","septiembre","octubre","noviembre","diciembre"},0)+1,0))</f>
        <v/>
      </c>
      <c r="E2900" t="str">
        <f>+IFERROR(VLOOKUP(Fact_Contabilidad[[#This Row], [Concepto Anterior]],Conceptos_Contabilidad[#All],5,0),"")</f>
        <v/>
      </c>
      <c r="F2900" t="str">
        <f>+IFERROR(VLOOKUP(Fact_Contabilidad[[#This Row], 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ht="18.75" customHeight="1" x14ac:dyDescent="0.35">
      <c r="A2901" s="103"/>
      <c r="C2901" s="100" t="str">
        <f>IF(OR(Fact_Contabilidad[[#This Row], [Año]]="",Fact_Contabilidad[[#This Row], [Mes]]=""),"",DATE(A2901,MATCH(B2901,{"enero","febrero","marzo","abril","mayo","junio","julio","agosto","septiembre","octubre","noviembre","diciembre"},0)+1,0))</f>
        <v/>
      </c>
      <c r="E2901" t="str">
        <f>+IFERROR(VLOOKUP(Fact_Contabilidad[[#This Row], [Concepto Anterior]],Conceptos_Contabilidad[#All],5,0),"")</f>
        <v/>
      </c>
      <c r="F2901" t="str">
        <f>+IFERROR(VLOOKUP(Fact_Contabilidad[[#This Row], 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ht="18.75" customHeight="1" x14ac:dyDescent="0.35">
      <c r="A2902" s="103"/>
      <c r="C2902" s="100" t="str">
        <f>IF(OR(Fact_Contabilidad[[#This Row], [Año]]="",Fact_Contabilidad[[#This Row], [Mes]]=""),"",DATE(A2902,MATCH(B2902,{"enero","febrero","marzo","abril","mayo","junio","julio","agosto","septiembre","octubre","noviembre","diciembre"},0)+1,0))</f>
        <v/>
      </c>
      <c r="E2902" t="str">
        <f>+IFERROR(VLOOKUP(Fact_Contabilidad[[#This Row], [Concepto Anterior]],Conceptos_Contabilidad[#All],5,0),"")</f>
        <v/>
      </c>
      <c r="F2902" t="str">
        <f>+IFERROR(VLOOKUP(Fact_Contabilidad[[#This Row], 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ht="18.75" customHeight="1" x14ac:dyDescent="0.35">
      <c r="A2903" s="103"/>
      <c r="C2903" s="100" t="str">
        <f>IF(OR(Fact_Contabilidad[[#This Row], [Año]]="",Fact_Contabilidad[[#This Row], [Mes]]=""),"",DATE(A2903,MATCH(B2903,{"enero","febrero","marzo","abril","mayo","junio","julio","agosto","septiembre","octubre","noviembre","diciembre"},0)+1,0))</f>
        <v/>
      </c>
      <c r="E2903" t="str">
        <f>+IFERROR(VLOOKUP(Fact_Contabilidad[[#This Row], [Concepto Anterior]],Conceptos_Contabilidad[#All],5,0),"")</f>
        <v/>
      </c>
      <c r="F2903" t="str">
        <f>+IFERROR(VLOOKUP(Fact_Contabilidad[[#This Row], 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ht="18.75" customHeight="1" x14ac:dyDescent="0.35">
      <c r="A2904" s="103"/>
      <c r="C2904" s="100" t="str">
        <f>IF(OR(Fact_Contabilidad[[#This Row], [Año]]="",Fact_Contabilidad[[#This Row], [Mes]]=""),"",DATE(A2904,MATCH(B2904,{"enero","febrero","marzo","abril","mayo","junio","julio","agosto","septiembre","octubre","noviembre","diciembre"},0)+1,0))</f>
        <v/>
      </c>
      <c r="E2904" t="str">
        <f>+IFERROR(VLOOKUP(Fact_Contabilidad[[#This Row], [Concepto Anterior]],Conceptos_Contabilidad[#All],5,0),"")</f>
        <v/>
      </c>
      <c r="F2904" t="str">
        <f>+IFERROR(VLOOKUP(Fact_Contabilidad[[#This Row], 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ht="18.75" customHeight="1" x14ac:dyDescent="0.35">
      <c r="A2905" s="103"/>
      <c r="C2905" s="100" t="str">
        <f>IF(OR(Fact_Contabilidad[[#This Row], [Año]]="",Fact_Contabilidad[[#This Row], [Mes]]=""),"",DATE(A2905,MATCH(B2905,{"enero","febrero","marzo","abril","mayo","junio","julio","agosto","septiembre","octubre","noviembre","diciembre"},0)+1,0))</f>
        <v/>
      </c>
      <c r="E2905" t="str">
        <f>+IFERROR(VLOOKUP(Fact_Contabilidad[[#This Row], [Concepto Anterior]],Conceptos_Contabilidad[#All],5,0),"")</f>
        <v/>
      </c>
      <c r="F2905" t="str">
        <f>+IFERROR(VLOOKUP(Fact_Contabilidad[[#This Row], 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ht="18.75" customHeight="1" x14ac:dyDescent="0.35">
      <c r="A2906" s="103"/>
      <c r="C2906" s="100" t="str">
        <f>IF(OR(Fact_Contabilidad[[#This Row], [Año]]="",Fact_Contabilidad[[#This Row], [Mes]]=""),"",DATE(A2906,MATCH(B2906,{"enero","febrero","marzo","abril","mayo","junio","julio","agosto","septiembre","octubre","noviembre","diciembre"},0)+1,0))</f>
        <v/>
      </c>
      <c r="E2906" t="str">
        <f>+IFERROR(VLOOKUP(Fact_Contabilidad[[#This Row], [Concepto Anterior]],Conceptos_Contabilidad[#All],5,0),"")</f>
        <v/>
      </c>
      <c r="F2906" t="str">
        <f>+IFERROR(VLOOKUP(Fact_Contabilidad[[#This Row], 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ht="18.75" customHeight="1" x14ac:dyDescent="0.35">
      <c r="A2907" s="103"/>
      <c r="C2907" s="100" t="str">
        <f>IF(OR(Fact_Contabilidad[[#This Row], [Año]]="",Fact_Contabilidad[[#This Row], [Mes]]=""),"",DATE(A2907,MATCH(B2907,{"enero","febrero","marzo","abril","mayo","junio","julio","agosto","septiembre","octubre","noviembre","diciembre"},0)+1,0))</f>
        <v/>
      </c>
      <c r="E2907" t="str">
        <f>+IFERROR(VLOOKUP(Fact_Contabilidad[[#This Row], [Concepto Anterior]],Conceptos_Contabilidad[#All],5,0),"")</f>
        <v/>
      </c>
      <c r="F2907" t="str">
        <f>+IFERROR(VLOOKUP(Fact_Contabilidad[[#This Row], 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ht="18.75" customHeight="1" x14ac:dyDescent="0.35">
      <c r="A2908" s="103"/>
      <c r="C2908" s="100" t="str">
        <f>IF(OR(Fact_Contabilidad[[#This Row], [Año]]="",Fact_Contabilidad[[#This Row], [Mes]]=""),"",DATE(A2908,MATCH(B2908,{"enero","febrero","marzo","abril","mayo","junio","julio","agosto","septiembre","octubre","noviembre","diciembre"},0)+1,0))</f>
        <v/>
      </c>
      <c r="E2908" t="str">
        <f>+IFERROR(VLOOKUP(Fact_Contabilidad[[#This Row], [Concepto Anterior]],Conceptos_Contabilidad[#All],5,0),"")</f>
        <v/>
      </c>
      <c r="F2908" t="str">
        <f>+IFERROR(VLOOKUP(Fact_Contabilidad[[#This Row], 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ht="18.75" customHeight="1" x14ac:dyDescent="0.35">
      <c r="A2909" s="103"/>
      <c r="C2909" s="100" t="str">
        <f>IF(OR(Fact_Contabilidad[[#This Row], [Año]]="",Fact_Contabilidad[[#This Row], [Mes]]=""),"",DATE(A2909,MATCH(B2909,{"enero","febrero","marzo","abril","mayo","junio","julio","agosto","septiembre","octubre","noviembre","diciembre"},0)+1,0))</f>
        <v/>
      </c>
      <c r="E2909" t="str">
        <f>+IFERROR(VLOOKUP(Fact_Contabilidad[[#This Row], [Concepto Anterior]],Conceptos_Contabilidad[#All],5,0),"")</f>
        <v/>
      </c>
      <c r="F2909" t="str">
        <f>+IFERROR(VLOOKUP(Fact_Contabilidad[[#This Row], 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ht="18.75" customHeight="1" x14ac:dyDescent="0.35">
      <c r="A2910" s="103"/>
      <c r="C2910" s="100" t="str">
        <f>IF(OR(Fact_Contabilidad[[#This Row], [Año]]="",Fact_Contabilidad[[#This Row], [Mes]]=""),"",DATE(A2910,MATCH(B2910,{"enero","febrero","marzo","abril","mayo","junio","julio","agosto","septiembre","octubre","noviembre","diciembre"},0)+1,0))</f>
        <v/>
      </c>
      <c r="E2910" t="str">
        <f>+IFERROR(VLOOKUP(Fact_Contabilidad[[#This Row], [Concepto Anterior]],Conceptos_Contabilidad[#All],5,0),"")</f>
        <v/>
      </c>
      <c r="F2910" t="str">
        <f>+IFERROR(VLOOKUP(Fact_Contabilidad[[#This Row], 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ht="18.75" customHeight="1" x14ac:dyDescent="0.35">
      <c r="A2911" s="103"/>
      <c r="C2911" s="100" t="str">
        <f>IF(OR(Fact_Contabilidad[[#This Row], [Año]]="",Fact_Contabilidad[[#This Row], [Mes]]=""),"",DATE(A2911,MATCH(B2911,{"enero","febrero","marzo","abril","mayo","junio","julio","agosto","septiembre","octubre","noviembre","diciembre"},0)+1,0))</f>
        <v/>
      </c>
      <c r="E2911" t="str">
        <f>+IFERROR(VLOOKUP(Fact_Contabilidad[[#This Row], [Concepto Anterior]],Conceptos_Contabilidad[#All],5,0),"")</f>
        <v/>
      </c>
      <c r="F2911" t="str">
        <f>+IFERROR(VLOOKUP(Fact_Contabilidad[[#This Row], 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ht="18.75" customHeight="1" x14ac:dyDescent="0.35">
      <c r="A2912" s="103"/>
      <c r="C2912" s="100" t="str">
        <f>IF(OR(Fact_Contabilidad[[#This Row], [Año]]="",Fact_Contabilidad[[#This Row], [Mes]]=""),"",DATE(A2912,MATCH(B2912,{"enero","febrero","marzo","abril","mayo","junio","julio","agosto","septiembre","octubre","noviembre","diciembre"},0)+1,0))</f>
        <v/>
      </c>
      <c r="E2912" t="str">
        <f>+IFERROR(VLOOKUP(Fact_Contabilidad[[#This Row], [Concepto Anterior]],Conceptos_Contabilidad[#All],5,0),"")</f>
        <v/>
      </c>
      <c r="F2912" t="str">
        <f>+IFERROR(VLOOKUP(Fact_Contabilidad[[#This Row], 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ht="18.75" customHeight="1" x14ac:dyDescent="0.35">
      <c r="A2913" s="103"/>
      <c r="C2913" s="100" t="str">
        <f>IF(OR(Fact_Contabilidad[[#This Row], [Año]]="",Fact_Contabilidad[[#This Row], [Mes]]=""),"",DATE(A2913,MATCH(B2913,{"enero","febrero","marzo","abril","mayo","junio","julio","agosto","septiembre","octubre","noviembre","diciembre"},0)+1,0))</f>
        <v/>
      </c>
      <c r="E2913" t="str">
        <f>+IFERROR(VLOOKUP(Fact_Contabilidad[[#This Row], [Concepto Anterior]],Conceptos_Contabilidad[#All],5,0),"")</f>
        <v/>
      </c>
      <c r="F2913" t="str">
        <f>+IFERROR(VLOOKUP(Fact_Contabilidad[[#This Row], 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ht="18.75" customHeight="1" x14ac:dyDescent="0.35">
      <c r="A2914" s="103"/>
      <c r="C2914" s="100" t="str">
        <f>IF(OR(Fact_Contabilidad[[#This Row], [Año]]="",Fact_Contabilidad[[#This Row], [Mes]]=""),"",DATE(A2914,MATCH(B2914,{"enero","febrero","marzo","abril","mayo","junio","julio","agosto","septiembre","octubre","noviembre","diciembre"},0)+1,0))</f>
        <v/>
      </c>
      <c r="E2914" t="str">
        <f>+IFERROR(VLOOKUP(Fact_Contabilidad[[#This Row], [Concepto Anterior]],Conceptos_Contabilidad[#All],5,0),"")</f>
        <v/>
      </c>
      <c r="F2914" t="str">
        <f>+IFERROR(VLOOKUP(Fact_Contabilidad[[#This Row], 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ht="18.75" customHeight="1" x14ac:dyDescent="0.35">
      <c r="A2915" s="103"/>
      <c r="C2915" s="100" t="str">
        <f>IF(OR(Fact_Contabilidad[[#This Row], [Año]]="",Fact_Contabilidad[[#This Row], [Mes]]=""),"",DATE(A2915,MATCH(B2915,{"enero","febrero","marzo","abril","mayo","junio","julio","agosto","septiembre","octubre","noviembre","diciembre"},0)+1,0))</f>
        <v/>
      </c>
      <c r="E2915" t="str">
        <f>+IFERROR(VLOOKUP(Fact_Contabilidad[[#This Row], [Concepto Anterior]],Conceptos_Contabilidad[#All],5,0),"")</f>
        <v/>
      </c>
      <c r="F2915" t="str">
        <f>+IFERROR(VLOOKUP(Fact_Contabilidad[[#This Row], 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ht="18.75" customHeight="1" x14ac:dyDescent="0.35">
      <c r="A2916" s="103"/>
      <c r="C2916" s="100" t="str">
        <f>IF(OR(Fact_Contabilidad[[#This Row], [Año]]="",Fact_Contabilidad[[#This Row], [Mes]]=""),"",DATE(A2916,MATCH(B2916,{"enero","febrero","marzo","abril","mayo","junio","julio","agosto","septiembre","octubre","noviembre","diciembre"},0)+1,0))</f>
        <v/>
      </c>
      <c r="E2916" t="str">
        <f>+IFERROR(VLOOKUP(Fact_Contabilidad[[#This Row], [Concepto Anterior]],Conceptos_Contabilidad[#All],5,0),"")</f>
        <v/>
      </c>
      <c r="F2916" t="str">
        <f>+IFERROR(VLOOKUP(Fact_Contabilidad[[#This Row], 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ht="18.75" customHeight="1" x14ac:dyDescent="0.35">
      <c r="A2917" s="103"/>
      <c r="C2917" s="100" t="str">
        <f>IF(OR(Fact_Contabilidad[[#This Row], [Año]]="",Fact_Contabilidad[[#This Row], [Mes]]=""),"",DATE(A2917,MATCH(B2917,{"enero","febrero","marzo","abril","mayo","junio","julio","agosto","septiembre","octubre","noviembre","diciembre"},0)+1,0))</f>
        <v/>
      </c>
      <c r="E2917" t="str">
        <f>+IFERROR(VLOOKUP(Fact_Contabilidad[[#This Row], [Concepto Anterior]],Conceptos_Contabilidad[#All],5,0),"")</f>
        <v/>
      </c>
      <c r="F2917" t="str">
        <f>+IFERROR(VLOOKUP(Fact_Contabilidad[[#This Row], 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ht="18.75" customHeight="1" x14ac:dyDescent="0.35">
      <c r="A2918" s="103"/>
      <c r="C2918" s="100" t="str">
        <f>IF(OR(Fact_Contabilidad[[#This Row], [Año]]="",Fact_Contabilidad[[#This Row], [Mes]]=""),"",DATE(A2918,MATCH(B2918,{"enero","febrero","marzo","abril","mayo","junio","julio","agosto","septiembre","octubre","noviembre","diciembre"},0)+1,0))</f>
        <v/>
      </c>
      <c r="E2918" t="str">
        <f>+IFERROR(VLOOKUP(Fact_Contabilidad[[#This Row], [Concepto Anterior]],Conceptos_Contabilidad[#All],5,0),"")</f>
        <v/>
      </c>
      <c r="F2918" t="str">
        <f>+IFERROR(VLOOKUP(Fact_Contabilidad[[#This Row], 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ht="18.75" customHeight="1" x14ac:dyDescent="0.35">
      <c r="A2919" s="103"/>
      <c r="C2919" s="100" t="str">
        <f>IF(OR(Fact_Contabilidad[[#This Row], [Año]]="",Fact_Contabilidad[[#This Row], [Mes]]=""),"",DATE(A2919,MATCH(B2919,{"enero","febrero","marzo","abril","mayo","junio","julio","agosto","septiembre","octubre","noviembre","diciembre"},0)+1,0))</f>
        <v/>
      </c>
      <c r="E2919" t="str">
        <f>+IFERROR(VLOOKUP(Fact_Contabilidad[[#This Row], [Concepto Anterior]],Conceptos_Contabilidad[#All],5,0),"")</f>
        <v/>
      </c>
      <c r="F2919" t="str">
        <f>+IFERROR(VLOOKUP(Fact_Contabilidad[[#This Row], 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ht="18.75" customHeight="1" x14ac:dyDescent="0.35">
      <c r="A2920" s="103"/>
      <c r="C2920" s="100" t="str">
        <f>IF(OR(Fact_Contabilidad[[#This Row], [Año]]="",Fact_Contabilidad[[#This Row], [Mes]]=""),"",DATE(A2920,MATCH(B2920,{"enero","febrero","marzo","abril","mayo","junio","julio","agosto","septiembre","octubre","noviembre","diciembre"},0)+1,0))</f>
        <v/>
      </c>
      <c r="E2920" t="str">
        <f>+IFERROR(VLOOKUP(Fact_Contabilidad[[#This Row], [Concepto Anterior]],Conceptos_Contabilidad[#All],5,0),"")</f>
        <v/>
      </c>
      <c r="F2920" t="str">
        <f>+IFERROR(VLOOKUP(Fact_Contabilidad[[#This Row], 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ht="18.75" customHeight="1" x14ac:dyDescent="0.35">
      <c r="A2921" s="103"/>
      <c r="C2921" s="100" t="str">
        <f>IF(OR(Fact_Contabilidad[[#This Row], [Año]]="",Fact_Contabilidad[[#This Row], [Mes]]=""),"",DATE(A2921,MATCH(B2921,{"enero","febrero","marzo","abril","mayo","junio","julio","agosto","septiembre","octubre","noviembre","diciembre"},0)+1,0))</f>
        <v/>
      </c>
      <c r="E2921" t="str">
        <f>+IFERROR(VLOOKUP(Fact_Contabilidad[[#This Row], [Concepto Anterior]],Conceptos_Contabilidad[#All],5,0),"")</f>
        <v/>
      </c>
      <c r="F2921" t="str">
        <f>+IFERROR(VLOOKUP(Fact_Contabilidad[[#This Row], 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ht="18.75" customHeight="1" x14ac:dyDescent="0.35">
      <c r="A2922" s="103"/>
      <c r="C2922" s="100" t="str">
        <f>IF(OR(Fact_Contabilidad[[#This Row], [Año]]="",Fact_Contabilidad[[#This Row], [Mes]]=""),"",DATE(A2922,MATCH(B2922,{"enero","febrero","marzo","abril","mayo","junio","julio","agosto","septiembre","octubre","noviembre","diciembre"},0)+1,0))</f>
        <v/>
      </c>
      <c r="E2922" t="str">
        <f>+IFERROR(VLOOKUP(Fact_Contabilidad[[#This Row], [Concepto Anterior]],Conceptos_Contabilidad[#All],5,0),"")</f>
        <v/>
      </c>
      <c r="F2922" t="str">
        <f>+IFERROR(VLOOKUP(Fact_Contabilidad[[#This Row], 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ht="18.75" customHeight="1" x14ac:dyDescent="0.35">
      <c r="A2923" s="103"/>
      <c r="C2923" s="100" t="str">
        <f>IF(OR(Fact_Contabilidad[[#This Row], [Año]]="",Fact_Contabilidad[[#This Row], [Mes]]=""),"",DATE(A2923,MATCH(B2923,{"enero","febrero","marzo","abril","mayo","junio","julio","agosto","septiembre","octubre","noviembre","diciembre"},0)+1,0))</f>
        <v/>
      </c>
      <c r="E2923" t="str">
        <f>+IFERROR(VLOOKUP(Fact_Contabilidad[[#This Row], [Concepto Anterior]],Conceptos_Contabilidad[#All],5,0),"")</f>
        <v/>
      </c>
      <c r="F2923" t="str">
        <f>+IFERROR(VLOOKUP(Fact_Contabilidad[[#This Row], 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ht="18.75" customHeight="1" x14ac:dyDescent="0.35">
      <c r="A2924" s="103"/>
      <c r="C2924" s="100" t="str">
        <f>IF(OR(Fact_Contabilidad[[#This Row], [Año]]="",Fact_Contabilidad[[#This Row], [Mes]]=""),"",DATE(A2924,MATCH(B2924,{"enero","febrero","marzo","abril","mayo","junio","julio","agosto","septiembre","octubre","noviembre","diciembre"},0)+1,0))</f>
        <v/>
      </c>
      <c r="E2924" t="str">
        <f>+IFERROR(VLOOKUP(Fact_Contabilidad[[#This Row], [Concepto Anterior]],Conceptos_Contabilidad[#All],5,0),"")</f>
        <v/>
      </c>
      <c r="F2924" t="str">
        <f>+IFERROR(VLOOKUP(Fact_Contabilidad[[#This Row], 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ht="18.75" customHeight="1" x14ac:dyDescent="0.35">
      <c r="A2925" s="103"/>
      <c r="C2925" s="100" t="str">
        <f>IF(OR(Fact_Contabilidad[[#This Row], [Año]]="",Fact_Contabilidad[[#This Row], [Mes]]=""),"",DATE(A2925,MATCH(B2925,{"enero","febrero","marzo","abril","mayo","junio","julio","agosto","septiembre","octubre","noviembre","diciembre"},0)+1,0))</f>
        <v/>
      </c>
      <c r="E2925" t="str">
        <f>+IFERROR(VLOOKUP(Fact_Contabilidad[[#This Row], [Concepto Anterior]],Conceptos_Contabilidad[#All],5,0),"")</f>
        <v/>
      </c>
      <c r="F2925" t="str">
        <f>+IFERROR(VLOOKUP(Fact_Contabilidad[[#This Row], 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ht="18.75" customHeight="1" x14ac:dyDescent="0.35">
      <c r="A2926" s="103"/>
      <c r="C2926" s="100" t="str">
        <f>IF(OR(Fact_Contabilidad[[#This Row], [Año]]="",Fact_Contabilidad[[#This Row], [Mes]]=""),"",DATE(A2926,MATCH(B2926,{"enero","febrero","marzo","abril","mayo","junio","julio","agosto","septiembre","octubre","noviembre","diciembre"},0)+1,0))</f>
        <v/>
      </c>
      <c r="E2926" t="str">
        <f>+IFERROR(VLOOKUP(Fact_Contabilidad[[#This Row], [Concepto Anterior]],Conceptos_Contabilidad[#All],5,0),"")</f>
        <v/>
      </c>
      <c r="F2926" t="str">
        <f>+IFERROR(VLOOKUP(Fact_Contabilidad[[#This Row], 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ht="18.75" customHeight="1" x14ac:dyDescent="0.35">
      <c r="A2927" s="103"/>
      <c r="C2927" s="100" t="str">
        <f>IF(OR(Fact_Contabilidad[[#This Row], [Año]]="",Fact_Contabilidad[[#This Row], [Mes]]=""),"",DATE(A2927,MATCH(B2927,{"enero","febrero","marzo","abril","mayo","junio","julio","agosto","septiembre","octubre","noviembre","diciembre"},0)+1,0))</f>
        <v/>
      </c>
      <c r="E2927" t="str">
        <f>+IFERROR(VLOOKUP(Fact_Contabilidad[[#This Row], [Concepto Anterior]],Conceptos_Contabilidad[#All],5,0),"")</f>
        <v/>
      </c>
      <c r="F2927" t="str">
        <f>+IFERROR(VLOOKUP(Fact_Contabilidad[[#This Row], 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ht="18.75" customHeight="1" x14ac:dyDescent="0.35">
      <c r="A2928" s="103"/>
      <c r="C2928" s="100" t="str">
        <f>IF(OR(Fact_Contabilidad[[#This Row], [Año]]="",Fact_Contabilidad[[#This Row], [Mes]]=""),"",DATE(A2928,MATCH(B2928,{"enero","febrero","marzo","abril","mayo","junio","julio","agosto","septiembre","octubre","noviembre","diciembre"},0)+1,0))</f>
        <v/>
      </c>
      <c r="E2928" t="str">
        <f>+IFERROR(VLOOKUP(Fact_Contabilidad[[#This Row], [Concepto Anterior]],Conceptos_Contabilidad[#All],5,0),"")</f>
        <v/>
      </c>
      <c r="F2928" t="str">
        <f>+IFERROR(VLOOKUP(Fact_Contabilidad[[#This Row], 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ht="18.75" customHeight="1" x14ac:dyDescent="0.35">
      <c r="A2929" s="103"/>
      <c r="C2929" s="100" t="str">
        <f>IF(OR(Fact_Contabilidad[[#This Row], [Año]]="",Fact_Contabilidad[[#This Row], [Mes]]=""),"",DATE(A2929,MATCH(B2929,{"enero","febrero","marzo","abril","mayo","junio","julio","agosto","septiembre","octubre","noviembre","diciembre"},0)+1,0))</f>
        <v/>
      </c>
      <c r="E2929" t="str">
        <f>+IFERROR(VLOOKUP(Fact_Contabilidad[[#This Row], [Concepto Anterior]],Conceptos_Contabilidad[#All],5,0),"")</f>
        <v/>
      </c>
      <c r="F2929" t="str">
        <f>+IFERROR(VLOOKUP(Fact_Contabilidad[[#This Row], 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ht="18.75" customHeight="1" x14ac:dyDescent="0.35">
      <c r="A2930" s="103"/>
      <c r="C2930" s="100" t="str">
        <f>IF(OR(Fact_Contabilidad[[#This Row], [Año]]="",Fact_Contabilidad[[#This Row], [Mes]]=""),"",DATE(A2930,MATCH(B2930,{"enero","febrero","marzo","abril","mayo","junio","julio","agosto","septiembre","octubre","noviembre","diciembre"},0)+1,0))</f>
        <v/>
      </c>
      <c r="E2930" t="str">
        <f>+IFERROR(VLOOKUP(Fact_Contabilidad[[#This Row], [Concepto Anterior]],Conceptos_Contabilidad[#All],5,0),"")</f>
        <v/>
      </c>
      <c r="F2930" t="str">
        <f>+IFERROR(VLOOKUP(Fact_Contabilidad[[#This Row], 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ht="18.75" customHeight="1" x14ac:dyDescent="0.35">
      <c r="A2931" s="103"/>
      <c r="C2931" s="100" t="str">
        <f>IF(OR(Fact_Contabilidad[[#This Row], [Año]]="",Fact_Contabilidad[[#This Row], [Mes]]=""),"",DATE(A2931,MATCH(B2931,{"enero","febrero","marzo","abril","mayo","junio","julio","agosto","septiembre","octubre","noviembre","diciembre"},0)+1,0))</f>
        <v/>
      </c>
      <c r="E2931" t="str">
        <f>+IFERROR(VLOOKUP(Fact_Contabilidad[[#This Row], [Concepto Anterior]],Conceptos_Contabilidad[#All],5,0),"")</f>
        <v/>
      </c>
      <c r="F2931" t="str">
        <f>+IFERROR(VLOOKUP(Fact_Contabilidad[[#This Row], 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ht="18.75" customHeight="1" x14ac:dyDescent="0.35">
      <c r="A2932" s="103"/>
      <c r="C2932" s="100" t="str">
        <f>IF(OR(Fact_Contabilidad[[#This Row], [Año]]="",Fact_Contabilidad[[#This Row], [Mes]]=""),"",DATE(A2932,MATCH(B2932,{"enero","febrero","marzo","abril","mayo","junio","julio","agosto","septiembre","octubre","noviembre","diciembre"},0)+1,0))</f>
        <v/>
      </c>
      <c r="E2932" t="str">
        <f>+IFERROR(VLOOKUP(Fact_Contabilidad[[#This Row], [Concepto Anterior]],Conceptos_Contabilidad[#All],5,0),"")</f>
        <v/>
      </c>
      <c r="F2932" t="str">
        <f>+IFERROR(VLOOKUP(Fact_Contabilidad[[#This Row], 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ht="18.75" customHeight="1" x14ac:dyDescent="0.35">
      <c r="A2933" s="103"/>
      <c r="C2933" s="100" t="str">
        <f>IF(OR(Fact_Contabilidad[[#This Row], [Año]]="",Fact_Contabilidad[[#This Row], [Mes]]=""),"",DATE(A2933,MATCH(B2933,{"enero","febrero","marzo","abril","mayo","junio","julio","agosto","septiembre","octubre","noviembre","diciembre"},0)+1,0))</f>
        <v/>
      </c>
      <c r="E2933" t="str">
        <f>+IFERROR(VLOOKUP(Fact_Contabilidad[[#This Row], [Concepto Anterior]],Conceptos_Contabilidad[#All],5,0),"")</f>
        <v/>
      </c>
      <c r="F2933" t="str">
        <f>+IFERROR(VLOOKUP(Fact_Contabilidad[[#This Row], 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ht="18.75" customHeight="1" x14ac:dyDescent="0.35">
      <c r="A2934" s="103"/>
      <c r="C2934" s="100" t="str">
        <f>IF(OR(Fact_Contabilidad[[#This Row], [Año]]="",Fact_Contabilidad[[#This Row], [Mes]]=""),"",DATE(A2934,MATCH(B2934,{"enero","febrero","marzo","abril","mayo","junio","julio","agosto","septiembre","octubre","noviembre","diciembre"},0)+1,0))</f>
        <v/>
      </c>
      <c r="E2934" t="str">
        <f>+IFERROR(VLOOKUP(Fact_Contabilidad[[#This Row], [Concepto Anterior]],Conceptos_Contabilidad[#All],5,0),"")</f>
        <v/>
      </c>
      <c r="F2934" t="str">
        <f>+IFERROR(VLOOKUP(Fact_Contabilidad[[#This Row], 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ht="18.75" customHeight="1" x14ac:dyDescent="0.35">
      <c r="A2935" s="103"/>
      <c r="C2935" s="100" t="str">
        <f>IF(OR(Fact_Contabilidad[[#This Row], [Año]]="",Fact_Contabilidad[[#This Row], [Mes]]=""),"",DATE(A2935,MATCH(B2935,{"enero","febrero","marzo","abril","mayo","junio","julio","agosto","septiembre","octubre","noviembre","diciembre"},0)+1,0))</f>
        <v/>
      </c>
      <c r="E2935" t="str">
        <f>+IFERROR(VLOOKUP(Fact_Contabilidad[[#This Row], [Concepto Anterior]],Conceptos_Contabilidad[#All],5,0),"")</f>
        <v/>
      </c>
      <c r="F2935" t="str">
        <f>+IFERROR(VLOOKUP(Fact_Contabilidad[[#This Row], 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ht="18.75" customHeight="1" x14ac:dyDescent="0.35">
      <c r="A2936" s="103"/>
      <c r="C2936" s="100" t="str">
        <f>IF(OR(Fact_Contabilidad[[#This Row], [Año]]="",Fact_Contabilidad[[#This Row], [Mes]]=""),"",DATE(A2936,MATCH(B2936,{"enero","febrero","marzo","abril","mayo","junio","julio","agosto","septiembre","octubre","noviembre","diciembre"},0)+1,0))</f>
        <v/>
      </c>
      <c r="E2936" t="str">
        <f>+IFERROR(VLOOKUP(Fact_Contabilidad[[#This Row], [Concepto Anterior]],Conceptos_Contabilidad[#All],5,0),"")</f>
        <v/>
      </c>
      <c r="F2936" t="str">
        <f>+IFERROR(VLOOKUP(Fact_Contabilidad[[#This Row], 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ht="18.75" customHeight="1" x14ac:dyDescent="0.35">
      <c r="A2937" s="103"/>
      <c r="C2937" s="100" t="str">
        <f>IF(OR(Fact_Contabilidad[[#This Row], [Año]]="",Fact_Contabilidad[[#This Row], [Mes]]=""),"",DATE(A2937,MATCH(B2937,{"enero","febrero","marzo","abril","mayo","junio","julio","agosto","septiembre","octubre","noviembre","diciembre"},0)+1,0))</f>
        <v/>
      </c>
      <c r="E2937" t="str">
        <f>+IFERROR(VLOOKUP(Fact_Contabilidad[[#This Row], [Concepto Anterior]],Conceptos_Contabilidad[#All],5,0),"")</f>
        <v/>
      </c>
      <c r="F2937" t="str">
        <f>+IFERROR(VLOOKUP(Fact_Contabilidad[[#This Row], 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ht="18.75" customHeight="1" x14ac:dyDescent="0.35">
      <c r="A2938" s="103"/>
      <c r="C2938" s="100" t="str">
        <f>IF(OR(Fact_Contabilidad[[#This Row], [Año]]="",Fact_Contabilidad[[#This Row], [Mes]]=""),"",DATE(A2938,MATCH(B2938,{"enero","febrero","marzo","abril","mayo","junio","julio","agosto","septiembre","octubre","noviembre","diciembre"},0)+1,0))</f>
        <v/>
      </c>
      <c r="E2938" t="str">
        <f>+IFERROR(VLOOKUP(Fact_Contabilidad[[#This Row], [Concepto Anterior]],Conceptos_Contabilidad[#All],5,0),"")</f>
        <v/>
      </c>
      <c r="F2938" t="str">
        <f>+IFERROR(VLOOKUP(Fact_Contabilidad[[#This Row], 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ht="18.75" customHeight="1" x14ac:dyDescent="0.35">
      <c r="A2939" s="103"/>
      <c r="C2939" s="100" t="str">
        <f>IF(OR(Fact_Contabilidad[[#This Row], [Año]]="",Fact_Contabilidad[[#This Row], [Mes]]=""),"",DATE(A2939,MATCH(B2939,{"enero","febrero","marzo","abril","mayo","junio","julio","agosto","septiembre","octubre","noviembre","diciembre"},0)+1,0))</f>
        <v/>
      </c>
      <c r="E2939" t="str">
        <f>+IFERROR(VLOOKUP(Fact_Contabilidad[[#This Row], [Concepto Anterior]],Conceptos_Contabilidad[#All],5,0),"")</f>
        <v/>
      </c>
      <c r="F2939" t="str">
        <f>+IFERROR(VLOOKUP(Fact_Contabilidad[[#This Row], 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ht="18.75" customHeight="1" x14ac:dyDescent="0.35">
      <c r="A2940" s="103"/>
      <c r="C2940" s="100" t="str">
        <f>IF(OR(Fact_Contabilidad[[#This Row], [Año]]="",Fact_Contabilidad[[#This Row], [Mes]]=""),"",DATE(A2940,MATCH(B2940,{"enero","febrero","marzo","abril","mayo","junio","julio","agosto","septiembre","octubre","noviembre","diciembre"},0)+1,0))</f>
        <v/>
      </c>
      <c r="E2940" t="str">
        <f>+IFERROR(VLOOKUP(Fact_Contabilidad[[#This Row], [Concepto Anterior]],Conceptos_Contabilidad[#All],5,0),"")</f>
        <v/>
      </c>
      <c r="F2940" t="str">
        <f>+IFERROR(VLOOKUP(Fact_Contabilidad[[#This Row], 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ht="18.75" customHeight="1" x14ac:dyDescent="0.35">
      <c r="A2941" s="103"/>
      <c r="C2941" s="100" t="str">
        <f>IF(OR(Fact_Contabilidad[[#This Row], [Año]]="",Fact_Contabilidad[[#This Row], [Mes]]=""),"",DATE(A2941,MATCH(B2941,{"enero","febrero","marzo","abril","mayo","junio","julio","agosto","septiembre","octubre","noviembre","diciembre"},0)+1,0))</f>
        <v/>
      </c>
      <c r="E2941" t="str">
        <f>+IFERROR(VLOOKUP(Fact_Contabilidad[[#This Row], [Concepto Anterior]],Conceptos_Contabilidad[#All],5,0),"")</f>
        <v/>
      </c>
      <c r="F2941" t="str">
        <f>+IFERROR(VLOOKUP(Fact_Contabilidad[[#This Row], 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ht="18.75" customHeight="1" x14ac:dyDescent="0.35">
      <c r="A2942" s="103"/>
      <c r="C2942" s="100" t="str">
        <f>IF(OR(Fact_Contabilidad[[#This Row], [Año]]="",Fact_Contabilidad[[#This Row], [Mes]]=""),"",DATE(A2942,MATCH(B2942,{"enero","febrero","marzo","abril","mayo","junio","julio","agosto","septiembre","octubre","noviembre","diciembre"},0)+1,0))</f>
        <v/>
      </c>
      <c r="E2942" t="str">
        <f>+IFERROR(VLOOKUP(Fact_Contabilidad[[#This Row], [Concepto Anterior]],Conceptos_Contabilidad[#All],5,0),"")</f>
        <v/>
      </c>
      <c r="F2942" t="str">
        <f>+IFERROR(VLOOKUP(Fact_Contabilidad[[#This Row], 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ht="18.75" customHeight="1" x14ac:dyDescent="0.35">
      <c r="A2943" s="103"/>
      <c r="C2943" s="100" t="str">
        <f>IF(OR(Fact_Contabilidad[[#This Row], [Año]]="",Fact_Contabilidad[[#This Row], [Mes]]=""),"",DATE(A2943,MATCH(B2943,{"enero","febrero","marzo","abril","mayo","junio","julio","agosto","septiembre","octubre","noviembre","diciembre"},0)+1,0))</f>
        <v/>
      </c>
      <c r="E2943" t="str">
        <f>+IFERROR(VLOOKUP(Fact_Contabilidad[[#This Row], [Concepto Anterior]],Conceptos_Contabilidad[#All],5,0),"")</f>
        <v/>
      </c>
      <c r="F2943" t="str">
        <f>+IFERROR(VLOOKUP(Fact_Contabilidad[[#This Row], 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ht="18.75" customHeight="1" x14ac:dyDescent="0.35">
      <c r="A2944" s="103"/>
      <c r="C2944" s="100" t="str">
        <f>IF(OR(Fact_Contabilidad[[#This Row], [Año]]="",Fact_Contabilidad[[#This Row], [Mes]]=""),"",DATE(A2944,MATCH(B2944,{"enero","febrero","marzo","abril","mayo","junio","julio","agosto","septiembre","octubre","noviembre","diciembre"},0)+1,0))</f>
        <v/>
      </c>
      <c r="E2944" t="str">
        <f>+IFERROR(VLOOKUP(Fact_Contabilidad[[#This Row], [Concepto Anterior]],Conceptos_Contabilidad[#All],5,0),"")</f>
        <v/>
      </c>
      <c r="F2944" t="str">
        <f>+IFERROR(VLOOKUP(Fact_Contabilidad[[#This Row], 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ht="18.75" customHeight="1" x14ac:dyDescent="0.35">
      <c r="A2945" s="103"/>
      <c r="C2945" s="100" t="str">
        <f>IF(OR(Fact_Contabilidad[[#This Row], [Año]]="",Fact_Contabilidad[[#This Row], [Mes]]=""),"",DATE(A2945,MATCH(B2945,{"enero","febrero","marzo","abril","mayo","junio","julio","agosto","septiembre","octubre","noviembre","diciembre"},0)+1,0))</f>
        <v/>
      </c>
      <c r="E2945" t="str">
        <f>+IFERROR(VLOOKUP(Fact_Contabilidad[[#This Row], [Concepto Anterior]],Conceptos_Contabilidad[#All],5,0),"")</f>
        <v/>
      </c>
      <c r="F2945" t="str">
        <f>+IFERROR(VLOOKUP(Fact_Contabilidad[[#This Row], 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ht="18.75" customHeight="1" x14ac:dyDescent="0.35">
      <c r="A2946" s="103"/>
      <c r="C2946" s="100" t="str">
        <f>IF(OR(Fact_Contabilidad[[#This Row], [Año]]="",Fact_Contabilidad[[#This Row], [Mes]]=""),"",DATE(A2946,MATCH(B2946,{"enero","febrero","marzo","abril","mayo","junio","julio","agosto","septiembre","octubre","noviembre","diciembre"},0)+1,0))</f>
        <v/>
      </c>
      <c r="E2946" t="str">
        <f>+IFERROR(VLOOKUP(Fact_Contabilidad[[#This Row], [Concepto Anterior]],Conceptos_Contabilidad[#All],5,0),"")</f>
        <v/>
      </c>
      <c r="F2946" t="str">
        <f>+IFERROR(VLOOKUP(Fact_Contabilidad[[#This Row], 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ht="18.75" customHeight="1" x14ac:dyDescent="0.35">
      <c r="A2947" s="103"/>
      <c r="C2947" s="100" t="str">
        <f>IF(OR(Fact_Contabilidad[[#This Row], [Año]]="",Fact_Contabilidad[[#This Row], [Mes]]=""),"",DATE(A2947,MATCH(B2947,{"enero","febrero","marzo","abril","mayo","junio","julio","agosto","septiembre","octubre","noviembre","diciembre"},0)+1,0))</f>
        <v/>
      </c>
      <c r="E2947" t="str">
        <f>+IFERROR(VLOOKUP(Fact_Contabilidad[[#This Row], [Concepto Anterior]],Conceptos_Contabilidad[#All],5,0),"")</f>
        <v/>
      </c>
      <c r="F2947" t="str">
        <f>+IFERROR(VLOOKUP(Fact_Contabilidad[[#This Row], 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ht="18.75" customHeight="1" x14ac:dyDescent="0.35">
      <c r="A2948" s="103"/>
      <c r="C2948" s="100" t="str">
        <f>IF(OR(Fact_Contabilidad[[#This Row], [Año]]="",Fact_Contabilidad[[#This Row], [Mes]]=""),"",DATE(A2948,MATCH(B2948,{"enero","febrero","marzo","abril","mayo","junio","julio","agosto","septiembre","octubre","noviembre","diciembre"},0)+1,0))</f>
        <v/>
      </c>
      <c r="E2948" t="str">
        <f>+IFERROR(VLOOKUP(Fact_Contabilidad[[#This Row], [Concepto Anterior]],Conceptos_Contabilidad[#All],5,0),"")</f>
        <v/>
      </c>
      <c r="F2948" t="str">
        <f>+IFERROR(VLOOKUP(Fact_Contabilidad[[#This Row], 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ht="18.75" customHeight="1" x14ac:dyDescent="0.35">
      <c r="A2949" s="103"/>
      <c r="C2949" s="100" t="str">
        <f>IF(OR(Fact_Contabilidad[[#This Row], [Año]]="",Fact_Contabilidad[[#This Row], [Mes]]=""),"",DATE(A2949,MATCH(B2949,{"enero","febrero","marzo","abril","mayo","junio","julio","agosto","septiembre","octubre","noviembre","diciembre"},0)+1,0))</f>
        <v/>
      </c>
      <c r="E2949" t="str">
        <f>+IFERROR(VLOOKUP(Fact_Contabilidad[[#This Row], [Concepto Anterior]],Conceptos_Contabilidad[#All],5,0),"")</f>
        <v/>
      </c>
      <c r="F2949" t="str">
        <f>+IFERROR(VLOOKUP(Fact_Contabilidad[[#This Row], 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ht="18.75" customHeight="1" x14ac:dyDescent="0.35">
      <c r="A2950" s="103"/>
      <c r="C2950" s="100" t="str">
        <f>IF(OR(Fact_Contabilidad[[#This Row], [Año]]="",Fact_Contabilidad[[#This Row], [Mes]]=""),"",DATE(A2950,MATCH(B2950,{"enero","febrero","marzo","abril","mayo","junio","julio","agosto","septiembre","octubre","noviembre","diciembre"},0)+1,0))</f>
        <v/>
      </c>
      <c r="E2950" t="str">
        <f>+IFERROR(VLOOKUP(Fact_Contabilidad[[#This Row], [Concepto Anterior]],Conceptos_Contabilidad[#All],5,0),"")</f>
        <v/>
      </c>
      <c r="F2950" t="str">
        <f>+IFERROR(VLOOKUP(Fact_Contabilidad[[#This Row], 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ht="18.75" customHeight="1" x14ac:dyDescent="0.35">
      <c r="A2951" s="103"/>
      <c r="C2951" s="100" t="str">
        <f>IF(OR(Fact_Contabilidad[[#This Row], [Año]]="",Fact_Contabilidad[[#This Row], [Mes]]=""),"",DATE(A2951,MATCH(B2951,{"enero","febrero","marzo","abril","mayo","junio","julio","agosto","septiembre","octubre","noviembre","diciembre"},0)+1,0))</f>
        <v/>
      </c>
      <c r="E2951" t="str">
        <f>+IFERROR(VLOOKUP(Fact_Contabilidad[[#This Row], [Concepto Anterior]],Conceptos_Contabilidad[#All],5,0),"")</f>
        <v/>
      </c>
      <c r="F2951" t="str">
        <f>+IFERROR(VLOOKUP(Fact_Contabilidad[[#This Row], 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ht="18.75" customHeight="1" x14ac:dyDescent="0.35">
      <c r="A2952" s="103"/>
      <c r="C2952" s="100" t="str">
        <f>IF(OR(Fact_Contabilidad[[#This Row], [Año]]="",Fact_Contabilidad[[#This Row], [Mes]]=""),"",DATE(A2952,MATCH(B2952,{"enero","febrero","marzo","abril","mayo","junio","julio","agosto","septiembre","octubre","noviembre","diciembre"},0)+1,0))</f>
        <v/>
      </c>
      <c r="E2952" t="str">
        <f>+IFERROR(VLOOKUP(Fact_Contabilidad[[#This Row], [Concepto Anterior]],Conceptos_Contabilidad[#All],5,0),"")</f>
        <v/>
      </c>
      <c r="F2952" t="str">
        <f>+IFERROR(VLOOKUP(Fact_Contabilidad[[#This Row], 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ht="18.75" customHeight="1" x14ac:dyDescent="0.35">
      <c r="A2953" s="103"/>
      <c r="C2953" s="100" t="str">
        <f>IF(OR(Fact_Contabilidad[[#This Row], [Año]]="",Fact_Contabilidad[[#This Row], [Mes]]=""),"",DATE(A2953,MATCH(B2953,{"enero","febrero","marzo","abril","mayo","junio","julio","agosto","septiembre","octubre","noviembre","diciembre"},0)+1,0))</f>
        <v/>
      </c>
      <c r="E2953" t="str">
        <f>+IFERROR(VLOOKUP(Fact_Contabilidad[[#This Row], [Concepto Anterior]],Conceptos_Contabilidad[#All],5,0),"")</f>
        <v/>
      </c>
      <c r="F2953" t="str">
        <f>+IFERROR(VLOOKUP(Fact_Contabilidad[[#This Row], 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ht="18.75" customHeight="1" x14ac:dyDescent="0.35">
      <c r="A2954" s="103"/>
      <c r="C2954" s="100" t="str">
        <f>IF(OR(Fact_Contabilidad[[#This Row], [Año]]="",Fact_Contabilidad[[#This Row], [Mes]]=""),"",DATE(A2954,MATCH(B2954,{"enero","febrero","marzo","abril","mayo","junio","julio","agosto","septiembre","octubre","noviembre","diciembre"},0)+1,0))</f>
        <v/>
      </c>
      <c r="E2954" t="str">
        <f>+IFERROR(VLOOKUP(Fact_Contabilidad[[#This Row], [Concepto Anterior]],Conceptos_Contabilidad[#All],5,0),"")</f>
        <v/>
      </c>
      <c r="F2954" t="str">
        <f>+IFERROR(VLOOKUP(Fact_Contabilidad[[#This Row], 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ht="18.75" customHeight="1" x14ac:dyDescent="0.35">
      <c r="A2955" s="103"/>
      <c r="C2955" s="100" t="str">
        <f>IF(OR(Fact_Contabilidad[[#This Row], [Año]]="",Fact_Contabilidad[[#This Row], [Mes]]=""),"",DATE(A2955,MATCH(B2955,{"enero","febrero","marzo","abril","mayo","junio","julio","agosto","septiembre","octubre","noviembre","diciembre"},0)+1,0))</f>
        <v/>
      </c>
      <c r="E2955" t="str">
        <f>+IFERROR(VLOOKUP(Fact_Contabilidad[[#This Row], [Concepto Anterior]],Conceptos_Contabilidad[#All],5,0),"")</f>
        <v/>
      </c>
      <c r="F2955" t="str">
        <f>+IFERROR(VLOOKUP(Fact_Contabilidad[[#This Row], 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ht="18.75" customHeight="1" x14ac:dyDescent="0.35">
      <c r="A2956" s="103"/>
      <c r="C2956" s="100" t="str">
        <f>IF(OR(Fact_Contabilidad[[#This Row], [Año]]="",Fact_Contabilidad[[#This Row], [Mes]]=""),"",DATE(A2956,MATCH(B2956,{"enero","febrero","marzo","abril","mayo","junio","julio","agosto","septiembre","octubre","noviembre","diciembre"},0)+1,0))</f>
        <v/>
      </c>
      <c r="E2956" t="str">
        <f>+IFERROR(VLOOKUP(Fact_Contabilidad[[#This Row], [Concepto Anterior]],Conceptos_Contabilidad[#All],5,0),"")</f>
        <v/>
      </c>
      <c r="F2956" t="str">
        <f>+IFERROR(VLOOKUP(Fact_Contabilidad[[#This Row], 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ht="18.75" customHeight="1" x14ac:dyDescent="0.35">
      <c r="A2957" s="103"/>
      <c r="C2957" s="100" t="str">
        <f>IF(OR(Fact_Contabilidad[[#This Row], [Año]]="",Fact_Contabilidad[[#This Row], [Mes]]=""),"",DATE(A2957,MATCH(B2957,{"enero","febrero","marzo","abril","mayo","junio","julio","agosto","septiembre","octubre","noviembre","diciembre"},0)+1,0))</f>
        <v/>
      </c>
      <c r="E2957" t="str">
        <f>+IFERROR(VLOOKUP(Fact_Contabilidad[[#This Row], [Concepto Anterior]],Conceptos_Contabilidad[#All],5,0),"")</f>
        <v/>
      </c>
      <c r="F2957" t="str">
        <f>+IFERROR(VLOOKUP(Fact_Contabilidad[[#This Row], 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ht="18.75" customHeight="1" x14ac:dyDescent="0.35">
      <c r="A2958" s="103"/>
      <c r="C2958" s="100" t="str">
        <f>IF(OR(Fact_Contabilidad[[#This Row], [Año]]="",Fact_Contabilidad[[#This Row], [Mes]]=""),"",DATE(A2958,MATCH(B2958,{"enero","febrero","marzo","abril","mayo","junio","julio","agosto","septiembre","octubre","noviembre","diciembre"},0)+1,0))</f>
        <v/>
      </c>
      <c r="E2958" t="str">
        <f>+IFERROR(VLOOKUP(Fact_Contabilidad[[#This Row], [Concepto Anterior]],Conceptos_Contabilidad[#All],5,0),"")</f>
        <v/>
      </c>
      <c r="F2958" t="str">
        <f>+IFERROR(VLOOKUP(Fact_Contabilidad[[#This Row], 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ht="18.75" customHeight="1" x14ac:dyDescent="0.35">
      <c r="A2959" s="103"/>
      <c r="C2959" s="100" t="str">
        <f>IF(OR(Fact_Contabilidad[[#This Row], [Año]]="",Fact_Contabilidad[[#This Row], [Mes]]=""),"",DATE(A2959,MATCH(B2959,{"enero","febrero","marzo","abril","mayo","junio","julio","agosto","septiembre","octubre","noviembre","diciembre"},0)+1,0))</f>
        <v/>
      </c>
      <c r="E2959" t="str">
        <f>+IFERROR(VLOOKUP(Fact_Contabilidad[[#This Row], [Concepto Anterior]],Conceptos_Contabilidad[#All],5,0),"")</f>
        <v/>
      </c>
      <c r="F2959" t="str">
        <f>+IFERROR(VLOOKUP(Fact_Contabilidad[[#This Row], 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ht="18.75" customHeight="1" x14ac:dyDescent="0.35">
      <c r="A2960" s="103"/>
      <c r="C2960" s="100" t="str">
        <f>IF(OR(Fact_Contabilidad[[#This Row], [Año]]="",Fact_Contabilidad[[#This Row], [Mes]]=""),"",DATE(A2960,MATCH(B2960,{"enero","febrero","marzo","abril","mayo","junio","julio","agosto","septiembre","octubre","noviembre","diciembre"},0)+1,0))</f>
        <v/>
      </c>
      <c r="E2960" t="str">
        <f>+IFERROR(VLOOKUP(Fact_Contabilidad[[#This Row], [Concepto Anterior]],Conceptos_Contabilidad[#All],5,0),"")</f>
        <v/>
      </c>
      <c r="F2960" t="str">
        <f>+IFERROR(VLOOKUP(Fact_Contabilidad[[#This Row], 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ht="18.75" customHeight="1" x14ac:dyDescent="0.35">
      <c r="A2961" s="103"/>
      <c r="C2961" s="100" t="str">
        <f>IF(OR(Fact_Contabilidad[[#This Row], [Año]]="",Fact_Contabilidad[[#This Row], [Mes]]=""),"",DATE(A2961,MATCH(B2961,{"enero","febrero","marzo","abril","mayo","junio","julio","agosto","septiembre","octubre","noviembre","diciembre"},0)+1,0))</f>
        <v/>
      </c>
      <c r="E2961" t="str">
        <f>+IFERROR(VLOOKUP(Fact_Contabilidad[[#This Row], [Concepto Anterior]],Conceptos_Contabilidad[#All],5,0),"")</f>
        <v/>
      </c>
      <c r="F2961" t="str">
        <f>+IFERROR(VLOOKUP(Fact_Contabilidad[[#This Row], 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ht="18.75" customHeight="1" x14ac:dyDescent="0.35">
      <c r="A2962" s="103"/>
      <c r="C2962" s="100" t="str">
        <f>IF(OR(Fact_Contabilidad[[#This Row], [Año]]="",Fact_Contabilidad[[#This Row], [Mes]]=""),"",DATE(A2962,MATCH(B2962,{"enero","febrero","marzo","abril","mayo","junio","julio","agosto","septiembre","octubre","noviembre","diciembre"},0)+1,0))</f>
        <v/>
      </c>
      <c r="E2962" t="str">
        <f>+IFERROR(VLOOKUP(Fact_Contabilidad[[#This Row], [Concepto Anterior]],Conceptos_Contabilidad[#All],5,0),"")</f>
        <v/>
      </c>
      <c r="F2962" t="str">
        <f>+IFERROR(VLOOKUP(Fact_Contabilidad[[#This Row], 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ht="18.75" customHeight="1" x14ac:dyDescent="0.35">
      <c r="A2963" s="103"/>
      <c r="C2963" s="100" t="str">
        <f>IF(OR(Fact_Contabilidad[[#This Row], [Año]]="",Fact_Contabilidad[[#This Row], [Mes]]=""),"",DATE(A2963,MATCH(B2963,{"enero","febrero","marzo","abril","mayo","junio","julio","agosto","septiembre","octubre","noviembre","diciembre"},0)+1,0))</f>
        <v/>
      </c>
      <c r="E2963" t="str">
        <f>+IFERROR(VLOOKUP(Fact_Contabilidad[[#This Row], [Concepto Anterior]],Conceptos_Contabilidad[#All],5,0),"")</f>
        <v/>
      </c>
      <c r="F2963" t="str">
        <f>+IFERROR(VLOOKUP(Fact_Contabilidad[[#This Row], 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ht="18.75" customHeight="1" x14ac:dyDescent="0.35">
      <c r="A2964" s="103"/>
      <c r="C2964" s="100" t="str">
        <f>IF(OR(Fact_Contabilidad[[#This Row], [Año]]="",Fact_Contabilidad[[#This Row], [Mes]]=""),"",DATE(A2964,MATCH(B2964,{"enero","febrero","marzo","abril","mayo","junio","julio","agosto","septiembre","octubre","noviembre","diciembre"},0)+1,0))</f>
        <v/>
      </c>
      <c r="E2964" t="str">
        <f>+IFERROR(VLOOKUP(Fact_Contabilidad[[#This Row], [Concepto Anterior]],Conceptos_Contabilidad[#All],5,0),"")</f>
        <v/>
      </c>
      <c r="F2964" t="str">
        <f>+IFERROR(VLOOKUP(Fact_Contabilidad[[#This Row], 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ht="18.75" customHeight="1" x14ac:dyDescent="0.35">
      <c r="A2965" s="103"/>
      <c r="C2965" s="100" t="str">
        <f>IF(OR(Fact_Contabilidad[[#This Row], [Año]]="",Fact_Contabilidad[[#This Row], [Mes]]=""),"",DATE(A2965,MATCH(B2965,{"enero","febrero","marzo","abril","mayo","junio","julio","agosto","septiembre","octubre","noviembre","diciembre"},0)+1,0))</f>
        <v/>
      </c>
      <c r="E2965" t="str">
        <f>+IFERROR(VLOOKUP(Fact_Contabilidad[[#This Row], [Concepto Anterior]],Conceptos_Contabilidad[#All],5,0),"")</f>
        <v/>
      </c>
      <c r="F2965" t="str">
        <f>+IFERROR(VLOOKUP(Fact_Contabilidad[[#This Row], 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ht="18.75" customHeight="1" x14ac:dyDescent="0.35">
      <c r="A2966" s="103"/>
      <c r="C2966" s="100" t="str">
        <f>IF(OR(Fact_Contabilidad[[#This Row], [Año]]="",Fact_Contabilidad[[#This Row], [Mes]]=""),"",DATE(A2966,MATCH(B2966,{"enero","febrero","marzo","abril","mayo","junio","julio","agosto","septiembre","octubre","noviembre","diciembre"},0)+1,0))</f>
        <v/>
      </c>
      <c r="E2966" t="str">
        <f>+IFERROR(VLOOKUP(Fact_Contabilidad[[#This Row], [Concepto Anterior]],Conceptos_Contabilidad[#All],5,0),"")</f>
        <v/>
      </c>
      <c r="F2966" t="str">
        <f>+IFERROR(VLOOKUP(Fact_Contabilidad[[#This Row], 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ht="18.75" customHeight="1" x14ac:dyDescent="0.35">
      <c r="A2967" s="103"/>
      <c r="C2967" s="100" t="str">
        <f>IF(OR(Fact_Contabilidad[[#This Row], [Año]]="",Fact_Contabilidad[[#This Row], [Mes]]=""),"",DATE(A2967,MATCH(B2967,{"enero","febrero","marzo","abril","mayo","junio","julio","agosto","septiembre","octubre","noviembre","diciembre"},0)+1,0))</f>
        <v/>
      </c>
      <c r="E2967" t="str">
        <f>+IFERROR(VLOOKUP(Fact_Contabilidad[[#This Row], [Concepto Anterior]],Conceptos_Contabilidad[#All],5,0),"")</f>
        <v/>
      </c>
      <c r="F2967" t="str">
        <f>+IFERROR(VLOOKUP(Fact_Contabilidad[[#This Row], 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ht="18.75" customHeight="1" x14ac:dyDescent="0.35">
      <c r="A2968" s="103"/>
      <c r="C2968" s="100" t="str">
        <f>IF(OR(Fact_Contabilidad[[#This Row], [Año]]="",Fact_Contabilidad[[#This Row], [Mes]]=""),"",DATE(A2968,MATCH(B2968,{"enero","febrero","marzo","abril","mayo","junio","julio","agosto","septiembre","octubre","noviembre","diciembre"},0)+1,0))</f>
        <v/>
      </c>
      <c r="E2968" t="str">
        <f>+IFERROR(VLOOKUP(Fact_Contabilidad[[#This Row], [Concepto Anterior]],Conceptos_Contabilidad[#All],5,0),"")</f>
        <v/>
      </c>
      <c r="F2968" t="str">
        <f>+IFERROR(VLOOKUP(Fact_Contabilidad[[#This Row], 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ht="18.75" customHeight="1" x14ac:dyDescent="0.35">
      <c r="A2969" s="103"/>
      <c r="C2969" s="100" t="str">
        <f>IF(OR(Fact_Contabilidad[[#This Row], [Año]]="",Fact_Contabilidad[[#This Row], [Mes]]=""),"",DATE(A2969,MATCH(B2969,{"enero","febrero","marzo","abril","mayo","junio","julio","agosto","septiembre","octubre","noviembre","diciembre"},0)+1,0))</f>
        <v/>
      </c>
      <c r="E2969" t="str">
        <f>+IFERROR(VLOOKUP(Fact_Contabilidad[[#This Row], [Concepto Anterior]],Conceptos_Contabilidad[#All],5,0),"")</f>
        <v/>
      </c>
      <c r="F2969" t="str">
        <f>+IFERROR(VLOOKUP(Fact_Contabilidad[[#This Row], 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ht="18.75" customHeight="1" x14ac:dyDescent="0.35">
      <c r="A2970" s="103"/>
      <c r="C2970" s="100" t="str">
        <f>IF(OR(Fact_Contabilidad[[#This Row], [Año]]="",Fact_Contabilidad[[#This Row], [Mes]]=""),"",DATE(A2970,MATCH(B2970,{"enero","febrero","marzo","abril","mayo","junio","julio","agosto","septiembre","octubre","noviembre","diciembre"},0)+1,0))</f>
        <v/>
      </c>
      <c r="E2970" t="str">
        <f>+IFERROR(VLOOKUP(Fact_Contabilidad[[#This Row], [Concepto Anterior]],Conceptos_Contabilidad[#All],5,0),"")</f>
        <v/>
      </c>
      <c r="F2970" t="str">
        <f>+IFERROR(VLOOKUP(Fact_Contabilidad[[#This Row], 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ht="18.75" customHeight="1" x14ac:dyDescent="0.35">
      <c r="A2971" s="103"/>
      <c r="C2971" s="100" t="str">
        <f>IF(OR(Fact_Contabilidad[[#This Row], [Año]]="",Fact_Contabilidad[[#This Row], [Mes]]=""),"",DATE(A2971,MATCH(B2971,{"enero","febrero","marzo","abril","mayo","junio","julio","agosto","septiembre","octubre","noviembre","diciembre"},0)+1,0))</f>
        <v/>
      </c>
      <c r="E2971" t="str">
        <f>+IFERROR(VLOOKUP(Fact_Contabilidad[[#This Row], [Concepto Anterior]],Conceptos_Contabilidad[#All],5,0),"")</f>
        <v/>
      </c>
      <c r="F2971" t="str">
        <f>+IFERROR(VLOOKUP(Fact_Contabilidad[[#This Row], 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ht="18.75" customHeight="1" x14ac:dyDescent="0.35">
      <c r="A2972" s="103"/>
      <c r="C2972" s="100" t="str">
        <f>IF(OR(Fact_Contabilidad[[#This Row], [Año]]="",Fact_Contabilidad[[#This Row], [Mes]]=""),"",DATE(A2972,MATCH(B2972,{"enero","febrero","marzo","abril","mayo","junio","julio","agosto","septiembre","octubre","noviembre","diciembre"},0)+1,0))</f>
        <v/>
      </c>
      <c r="E2972" t="str">
        <f>+IFERROR(VLOOKUP(Fact_Contabilidad[[#This Row], [Concepto Anterior]],Conceptos_Contabilidad[#All],5,0),"")</f>
        <v/>
      </c>
      <c r="F2972" t="str">
        <f>+IFERROR(VLOOKUP(Fact_Contabilidad[[#This Row], 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ht="18.75" customHeight="1" x14ac:dyDescent="0.35">
      <c r="A2973" s="103"/>
      <c r="C2973" s="100" t="str">
        <f>IF(OR(Fact_Contabilidad[[#This Row], [Año]]="",Fact_Contabilidad[[#This Row], [Mes]]=""),"",DATE(A2973,MATCH(B2973,{"enero","febrero","marzo","abril","mayo","junio","julio","agosto","septiembre","octubre","noviembre","diciembre"},0)+1,0))</f>
        <v/>
      </c>
      <c r="E2973" t="str">
        <f>+IFERROR(VLOOKUP(Fact_Contabilidad[[#This Row], [Concepto Anterior]],Conceptos_Contabilidad[#All],5,0),"")</f>
        <v/>
      </c>
      <c r="F2973" t="str">
        <f>+IFERROR(VLOOKUP(Fact_Contabilidad[[#This Row], 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ht="18.75" customHeight="1" x14ac:dyDescent="0.35">
      <c r="A2974" s="103"/>
      <c r="C2974" s="100" t="str">
        <f>IF(OR(Fact_Contabilidad[[#This Row], [Año]]="",Fact_Contabilidad[[#This Row], [Mes]]=""),"",DATE(A2974,MATCH(B2974,{"enero","febrero","marzo","abril","mayo","junio","julio","agosto","septiembre","octubre","noviembre","diciembre"},0)+1,0))</f>
        <v/>
      </c>
      <c r="E2974" t="str">
        <f>+IFERROR(VLOOKUP(Fact_Contabilidad[[#This Row], [Concepto Anterior]],Conceptos_Contabilidad[#All],5,0),"")</f>
        <v/>
      </c>
      <c r="F2974" t="str">
        <f>+IFERROR(VLOOKUP(Fact_Contabilidad[[#This Row], 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ht="18.75" customHeight="1" x14ac:dyDescent="0.35">
      <c r="A2975" s="103"/>
      <c r="C2975" s="100" t="str">
        <f>IF(OR(Fact_Contabilidad[[#This Row], [Año]]="",Fact_Contabilidad[[#This Row], [Mes]]=""),"",DATE(A2975,MATCH(B2975,{"enero","febrero","marzo","abril","mayo","junio","julio","agosto","septiembre","octubre","noviembre","diciembre"},0)+1,0))</f>
        <v/>
      </c>
      <c r="E2975" t="str">
        <f>+IFERROR(VLOOKUP(Fact_Contabilidad[[#This Row], [Concepto Anterior]],Conceptos_Contabilidad[#All],5,0),"")</f>
        <v/>
      </c>
      <c r="F2975" t="str">
        <f>+IFERROR(VLOOKUP(Fact_Contabilidad[[#This Row], 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ht="18.75" customHeight="1" x14ac:dyDescent="0.35">
      <c r="A2976" s="103"/>
      <c r="C2976" s="100" t="str">
        <f>IF(OR(Fact_Contabilidad[[#This Row], [Año]]="",Fact_Contabilidad[[#This Row], [Mes]]=""),"",DATE(A2976,MATCH(B2976,{"enero","febrero","marzo","abril","mayo","junio","julio","agosto","septiembre","octubre","noviembre","diciembre"},0)+1,0))</f>
        <v/>
      </c>
      <c r="E2976" t="str">
        <f>+IFERROR(VLOOKUP(Fact_Contabilidad[[#This Row], [Concepto Anterior]],Conceptos_Contabilidad[#All],5,0),"")</f>
        <v/>
      </c>
      <c r="F2976" t="str">
        <f>+IFERROR(VLOOKUP(Fact_Contabilidad[[#This Row], 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ht="18.75" customHeight="1" x14ac:dyDescent="0.35">
      <c r="A2977" s="103"/>
      <c r="C2977" s="100" t="str">
        <f>IF(OR(Fact_Contabilidad[[#This Row], [Año]]="",Fact_Contabilidad[[#This Row], [Mes]]=""),"",DATE(A2977,MATCH(B2977,{"enero","febrero","marzo","abril","mayo","junio","julio","agosto","septiembre","octubre","noviembre","diciembre"},0)+1,0))</f>
        <v/>
      </c>
      <c r="E2977" t="str">
        <f>+IFERROR(VLOOKUP(Fact_Contabilidad[[#This Row], [Concepto Anterior]],Conceptos_Contabilidad[#All],5,0),"")</f>
        <v/>
      </c>
      <c r="F2977" t="str">
        <f>+IFERROR(VLOOKUP(Fact_Contabilidad[[#This Row], 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ht="18.75" customHeight="1" x14ac:dyDescent="0.35">
      <c r="A2978" s="103"/>
      <c r="C2978" s="100" t="str">
        <f>IF(OR(Fact_Contabilidad[[#This Row], [Año]]="",Fact_Contabilidad[[#This Row], [Mes]]=""),"",DATE(A2978,MATCH(B2978,{"enero","febrero","marzo","abril","mayo","junio","julio","agosto","septiembre","octubre","noviembre","diciembre"},0)+1,0))</f>
        <v/>
      </c>
      <c r="E2978" t="str">
        <f>+IFERROR(VLOOKUP(Fact_Contabilidad[[#This Row], [Concepto Anterior]],Conceptos_Contabilidad[#All],5,0),"")</f>
        <v/>
      </c>
      <c r="F2978" t="str">
        <f>+IFERROR(VLOOKUP(Fact_Contabilidad[[#This Row], 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ht="18.75" customHeight="1" x14ac:dyDescent="0.35">
      <c r="A2979" s="103"/>
      <c r="C2979" s="100" t="str">
        <f>IF(OR(Fact_Contabilidad[[#This Row], [Año]]="",Fact_Contabilidad[[#This Row], [Mes]]=""),"",DATE(A2979,MATCH(B2979,{"enero","febrero","marzo","abril","mayo","junio","julio","agosto","septiembre","octubre","noviembre","diciembre"},0)+1,0))</f>
        <v/>
      </c>
      <c r="E2979" t="str">
        <f>+IFERROR(VLOOKUP(Fact_Contabilidad[[#This Row], [Concepto Anterior]],Conceptos_Contabilidad[#All],5,0),"")</f>
        <v/>
      </c>
      <c r="F2979" t="str">
        <f>+IFERROR(VLOOKUP(Fact_Contabilidad[[#This Row], 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ht="18.75" customHeight="1" x14ac:dyDescent="0.35">
      <c r="A2980" s="103"/>
      <c r="C2980" s="100" t="str">
        <f>IF(OR(Fact_Contabilidad[[#This Row], [Año]]="",Fact_Contabilidad[[#This Row], [Mes]]=""),"",DATE(A2980,MATCH(B2980,{"enero","febrero","marzo","abril","mayo","junio","julio","agosto","septiembre","octubre","noviembre","diciembre"},0)+1,0))</f>
        <v/>
      </c>
      <c r="E2980" t="str">
        <f>+IFERROR(VLOOKUP(Fact_Contabilidad[[#This Row], [Concepto Anterior]],Conceptos_Contabilidad[#All],5,0),"")</f>
        <v/>
      </c>
      <c r="F2980" t="str">
        <f>+IFERROR(VLOOKUP(Fact_Contabilidad[[#This Row], 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ht="18.75" customHeight="1" x14ac:dyDescent="0.35">
      <c r="A2981" s="103"/>
      <c r="C2981" s="100" t="str">
        <f>IF(OR(Fact_Contabilidad[[#This Row], [Año]]="",Fact_Contabilidad[[#This Row], [Mes]]=""),"",DATE(A2981,MATCH(B2981,{"enero","febrero","marzo","abril","mayo","junio","julio","agosto","septiembre","octubre","noviembre","diciembre"},0)+1,0))</f>
        <v/>
      </c>
      <c r="E2981" t="str">
        <f>+IFERROR(VLOOKUP(Fact_Contabilidad[[#This Row], [Concepto Anterior]],Conceptos_Contabilidad[#All],5,0),"")</f>
        <v/>
      </c>
      <c r="F2981" t="str">
        <f>+IFERROR(VLOOKUP(Fact_Contabilidad[[#This Row], 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ht="18.75" customHeight="1" x14ac:dyDescent="0.35">
      <c r="A2982" s="103"/>
      <c r="C2982" s="100" t="str">
        <f>IF(OR(Fact_Contabilidad[[#This Row], [Año]]="",Fact_Contabilidad[[#This Row], [Mes]]=""),"",DATE(A2982,MATCH(B2982,{"enero","febrero","marzo","abril","mayo","junio","julio","agosto","septiembre","octubre","noviembre","diciembre"},0)+1,0))</f>
        <v/>
      </c>
      <c r="E2982" t="str">
        <f>+IFERROR(VLOOKUP(Fact_Contabilidad[[#This Row], [Concepto Anterior]],Conceptos_Contabilidad[#All],5,0),"")</f>
        <v/>
      </c>
      <c r="F2982" t="str">
        <f>+IFERROR(VLOOKUP(Fact_Contabilidad[[#This Row], 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ht="18.75" customHeight="1" x14ac:dyDescent="0.35">
      <c r="A2983" s="103"/>
      <c r="C2983" s="100" t="str">
        <f>IF(OR(Fact_Contabilidad[[#This Row], [Año]]="",Fact_Contabilidad[[#This Row], [Mes]]=""),"",DATE(A2983,MATCH(B2983,{"enero","febrero","marzo","abril","mayo","junio","julio","agosto","septiembre","octubre","noviembre","diciembre"},0)+1,0))</f>
        <v/>
      </c>
      <c r="E2983" t="str">
        <f>+IFERROR(VLOOKUP(Fact_Contabilidad[[#This Row], [Concepto Anterior]],Conceptos_Contabilidad[#All],5,0),"")</f>
        <v/>
      </c>
      <c r="F2983" t="str">
        <f>+IFERROR(VLOOKUP(Fact_Contabilidad[[#This Row], 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ht="18.75" customHeight="1" x14ac:dyDescent="0.35">
      <c r="A2984" s="103"/>
      <c r="C2984" s="100" t="str">
        <f>IF(OR(Fact_Contabilidad[[#This Row], [Año]]="",Fact_Contabilidad[[#This Row], [Mes]]=""),"",DATE(A2984,MATCH(B2984,{"enero","febrero","marzo","abril","mayo","junio","julio","agosto","septiembre","octubre","noviembre","diciembre"},0)+1,0))</f>
        <v/>
      </c>
      <c r="E2984" t="str">
        <f>+IFERROR(VLOOKUP(Fact_Contabilidad[[#This Row], [Concepto Anterior]],Conceptos_Contabilidad[#All],5,0),"")</f>
        <v/>
      </c>
      <c r="F2984" t="str">
        <f>+IFERROR(VLOOKUP(Fact_Contabilidad[[#This Row], 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ht="18.75" customHeight="1" x14ac:dyDescent="0.35">
      <c r="A2985" s="103"/>
      <c r="C2985" s="100" t="str">
        <f>IF(OR(Fact_Contabilidad[[#This Row], [Año]]="",Fact_Contabilidad[[#This Row], [Mes]]=""),"",DATE(A2985,MATCH(B2985,{"enero","febrero","marzo","abril","mayo","junio","julio","agosto","septiembre","octubre","noviembre","diciembre"},0)+1,0))</f>
        <v/>
      </c>
      <c r="E2985" t="str">
        <f>+IFERROR(VLOOKUP(Fact_Contabilidad[[#This Row], [Concepto Anterior]],Conceptos_Contabilidad[#All],5,0),"")</f>
        <v/>
      </c>
      <c r="F2985" t="str">
        <f>+IFERROR(VLOOKUP(Fact_Contabilidad[[#This Row], 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ht="18.75" customHeight="1" x14ac:dyDescent="0.35">
      <c r="A2986" s="103"/>
      <c r="C2986" s="100" t="str">
        <f>IF(OR(Fact_Contabilidad[[#This Row], [Año]]="",Fact_Contabilidad[[#This Row], [Mes]]=""),"",DATE(A2986,MATCH(B2986,{"enero","febrero","marzo","abril","mayo","junio","julio","agosto","septiembre","octubre","noviembre","diciembre"},0)+1,0))</f>
        <v/>
      </c>
      <c r="E2986" t="str">
        <f>+IFERROR(VLOOKUP(Fact_Contabilidad[[#This Row], [Concepto Anterior]],Conceptos_Contabilidad[#All],5,0),"")</f>
        <v/>
      </c>
      <c r="F2986" t="str">
        <f>+IFERROR(VLOOKUP(Fact_Contabilidad[[#This Row], 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ht="18.75" customHeight="1" x14ac:dyDescent="0.35">
      <c r="A2987" s="103"/>
      <c r="C2987" s="100" t="str">
        <f>IF(OR(Fact_Contabilidad[[#This Row], [Año]]="",Fact_Contabilidad[[#This Row], [Mes]]=""),"",DATE(A2987,MATCH(B2987,{"enero","febrero","marzo","abril","mayo","junio","julio","agosto","septiembre","octubre","noviembre","diciembre"},0)+1,0))</f>
        <v/>
      </c>
      <c r="E2987" t="str">
        <f>+IFERROR(VLOOKUP(Fact_Contabilidad[[#This Row], [Concepto Anterior]],Conceptos_Contabilidad[#All],5,0),"")</f>
        <v/>
      </c>
      <c r="F2987" t="str">
        <f>+IFERROR(VLOOKUP(Fact_Contabilidad[[#This Row], 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ht="18.75" customHeight="1" x14ac:dyDescent="0.35">
      <c r="A2988" s="103"/>
      <c r="C2988" s="100" t="str">
        <f>IF(OR(Fact_Contabilidad[[#This Row], [Año]]="",Fact_Contabilidad[[#This Row], [Mes]]=""),"",DATE(A2988,MATCH(B2988,{"enero","febrero","marzo","abril","mayo","junio","julio","agosto","septiembre","octubre","noviembre","diciembre"},0)+1,0))</f>
        <v/>
      </c>
      <c r="E2988" t="str">
        <f>+IFERROR(VLOOKUP(Fact_Contabilidad[[#This Row], [Concepto Anterior]],Conceptos_Contabilidad[#All],5,0),"")</f>
        <v/>
      </c>
      <c r="F2988" t="str">
        <f>+IFERROR(VLOOKUP(Fact_Contabilidad[[#This Row], 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ht="18.75" customHeight="1" x14ac:dyDescent="0.35">
      <c r="A2989" s="103"/>
      <c r="C2989" s="100" t="str">
        <f>IF(OR(Fact_Contabilidad[[#This Row], [Año]]="",Fact_Contabilidad[[#This Row], [Mes]]=""),"",DATE(A2989,MATCH(B2989,{"enero","febrero","marzo","abril","mayo","junio","julio","agosto","septiembre","octubre","noviembre","diciembre"},0)+1,0))</f>
        <v/>
      </c>
      <c r="E2989" t="str">
        <f>+IFERROR(VLOOKUP(Fact_Contabilidad[[#This Row], [Concepto Anterior]],Conceptos_Contabilidad[#All],5,0),"")</f>
        <v/>
      </c>
      <c r="F2989" t="str">
        <f>+IFERROR(VLOOKUP(Fact_Contabilidad[[#This Row], 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ht="18.75" customHeight="1" x14ac:dyDescent="0.35">
      <c r="A2990" s="103"/>
      <c r="C2990" s="100" t="str">
        <f>IF(OR(Fact_Contabilidad[[#This Row], [Año]]="",Fact_Contabilidad[[#This Row], [Mes]]=""),"",DATE(A2990,MATCH(B2990,{"enero","febrero","marzo","abril","mayo","junio","julio","agosto","septiembre","octubre","noviembre","diciembre"},0)+1,0))</f>
        <v/>
      </c>
      <c r="E2990" t="str">
        <f>+IFERROR(VLOOKUP(Fact_Contabilidad[[#This Row], [Concepto Anterior]],Conceptos_Contabilidad[#All],5,0),"")</f>
        <v/>
      </c>
      <c r="F2990" t="str">
        <f>+IFERROR(VLOOKUP(Fact_Contabilidad[[#This Row], 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ht="18.75" customHeight="1" x14ac:dyDescent="0.35">
      <c r="A2991" s="103"/>
      <c r="C2991" s="100" t="str">
        <f>IF(OR(Fact_Contabilidad[[#This Row], [Año]]="",Fact_Contabilidad[[#This Row], [Mes]]=""),"",DATE(A2991,MATCH(B2991,{"enero","febrero","marzo","abril","mayo","junio","julio","agosto","septiembre","octubre","noviembre","diciembre"},0)+1,0))</f>
        <v/>
      </c>
      <c r="E2991" t="str">
        <f>+IFERROR(VLOOKUP(Fact_Contabilidad[[#This Row], [Concepto Anterior]],Conceptos_Contabilidad[#All],5,0),"")</f>
        <v/>
      </c>
      <c r="F2991" t="str">
        <f>+IFERROR(VLOOKUP(Fact_Contabilidad[[#This Row], 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ht="18.75" customHeight="1" x14ac:dyDescent="0.35">
      <c r="A2992" s="103"/>
      <c r="C2992" s="100" t="str">
        <f>IF(OR(Fact_Contabilidad[[#This Row], [Año]]="",Fact_Contabilidad[[#This Row], [Mes]]=""),"",DATE(A2992,MATCH(B2992,{"enero","febrero","marzo","abril","mayo","junio","julio","agosto","septiembre","octubre","noviembre","diciembre"},0)+1,0))</f>
        <v/>
      </c>
      <c r="E2992" t="str">
        <f>+IFERROR(VLOOKUP(Fact_Contabilidad[[#This Row], [Concepto Anterior]],Conceptos_Contabilidad[#All],5,0),"")</f>
        <v/>
      </c>
      <c r="F2992" t="str">
        <f>+IFERROR(VLOOKUP(Fact_Contabilidad[[#This Row], 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ht="18.75" customHeight="1" x14ac:dyDescent="0.35">
      <c r="A2993" s="103"/>
      <c r="C2993" s="100" t="str">
        <f>IF(OR(Fact_Contabilidad[[#This Row], [Año]]="",Fact_Contabilidad[[#This Row], [Mes]]=""),"",DATE(A2993,MATCH(B2993,{"enero","febrero","marzo","abril","mayo","junio","julio","agosto","septiembre","octubre","noviembre","diciembre"},0)+1,0))</f>
        <v/>
      </c>
      <c r="E2993" t="str">
        <f>+IFERROR(VLOOKUP(Fact_Contabilidad[[#This Row], [Concepto Anterior]],Conceptos_Contabilidad[#All],5,0),"")</f>
        <v/>
      </c>
      <c r="F2993" t="str">
        <f>+IFERROR(VLOOKUP(Fact_Contabilidad[[#This Row], 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ht="18.75" customHeight="1" x14ac:dyDescent="0.35">
      <c r="A2994" s="103"/>
      <c r="C2994" s="100" t="str">
        <f>IF(OR(Fact_Contabilidad[[#This Row], [Año]]="",Fact_Contabilidad[[#This Row], [Mes]]=""),"",DATE(A2994,MATCH(B2994,{"enero","febrero","marzo","abril","mayo","junio","julio","agosto","septiembre","octubre","noviembre","diciembre"},0)+1,0))</f>
        <v/>
      </c>
      <c r="E2994" t="str">
        <f>+IFERROR(VLOOKUP(Fact_Contabilidad[[#This Row], [Concepto Anterior]],Conceptos_Contabilidad[#All],5,0),"")</f>
        <v/>
      </c>
      <c r="F2994" t="str">
        <f>+IFERROR(VLOOKUP(Fact_Contabilidad[[#This Row], 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ht="18.75" customHeight="1" x14ac:dyDescent="0.35">
      <c r="A2995" s="103"/>
      <c r="C2995" s="100" t="str">
        <f>IF(OR(Fact_Contabilidad[[#This Row], [Año]]="",Fact_Contabilidad[[#This Row], [Mes]]=""),"",DATE(A2995,MATCH(B2995,{"enero","febrero","marzo","abril","mayo","junio","julio","agosto","septiembre","octubre","noviembre","diciembre"},0)+1,0))</f>
        <v/>
      </c>
      <c r="E2995" t="str">
        <f>+IFERROR(VLOOKUP(Fact_Contabilidad[[#This Row], [Concepto Anterior]],Conceptos_Contabilidad[#All],5,0),"")</f>
        <v/>
      </c>
      <c r="F2995" t="str">
        <f>+IFERROR(VLOOKUP(Fact_Contabilidad[[#This Row], 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ht="18.75" customHeight="1" x14ac:dyDescent="0.35">
      <c r="A2996" s="103"/>
      <c r="C2996" s="100" t="str">
        <f>IF(OR(Fact_Contabilidad[[#This Row], [Año]]="",Fact_Contabilidad[[#This Row], [Mes]]=""),"",DATE(A2996,MATCH(B2996,{"enero","febrero","marzo","abril","mayo","junio","julio","agosto","septiembre","octubre","noviembre","diciembre"},0)+1,0))</f>
        <v/>
      </c>
      <c r="E2996" t="str">
        <f>+IFERROR(VLOOKUP(Fact_Contabilidad[[#This Row], [Concepto Anterior]],Conceptos_Contabilidad[#All],5,0),"")</f>
        <v/>
      </c>
      <c r="F2996" t="str">
        <f>+IFERROR(VLOOKUP(Fact_Contabilidad[[#This Row], 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ht="18.75" customHeight="1" x14ac:dyDescent="0.35">
      <c r="A2997" s="103"/>
      <c r="C2997" s="100" t="str">
        <f>IF(OR(Fact_Contabilidad[[#This Row], [Año]]="",Fact_Contabilidad[[#This Row], [Mes]]=""),"",DATE(A2997,MATCH(B2997,{"enero","febrero","marzo","abril","mayo","junio","julio","agosto","septiembre","octubre","noviembre","diciembre"},0)+1,0))</f>
        <v/>
      </c>
      <c r="E2997" t="str">
        <f>+IFERROR(VLOOKUP(Fact_Contabilidad[[#This Row], [Concepto Anterior]],Conceptos_Contabilidad[#All],5,0),"")</f>
        <v/>
      </c>
      <c r="F2997" t="str">
        <f>+IFERROR(VLOOKUP(Fact_Contabilidad[[#This Row], 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ht="18.75" customHeight="1" x14ac:dyDescent="0.35">
      <c r="A2998" s="103"/>
      <c r="C2998" s="100" t="str">
        <f>IF(OR(Fact_Contabilidad[[#This Row], [Año]]="",Fact_Contabilidad[[#This Row], [Mes]]=""),"",DATE(A2998,MATCH(B2998,{"enero","febrero","marzo","abril","mayo","junio","julio","agosto","septiembre","octubre","noviembre","diciembre"},0)+1,0))</f>
        <v/>
      </c>
      <c r="E2998" t="str">
        <f>+IFERROR(VLOOKUP(Fact_Contabilidad[[#This Row], [Concepto Anterior]],Conceptos_Contabilidad[#All],5,0),"")</f>
        <v/>
      </c>
      <c r="F2998" t="str">
        <f>+IFERROR(VLOOKUP(Fact_Contabilidad[[#This Row], 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ht="18.75" customHeight="1" x14ac:dyDescent="0.35">
      <c r="A2999" s="103"/>
      <c r="C2999" s="100" t="str">
        <f>IF(OR(Fact_Contabilidad[[#This Row], [Año]]="",Fact_Contabilidad[[#This Row], [Mes]]=""),"",DATE(A2999,MATCH(B2999,{"enero","febrero","marzo","abril","mayo","junio","julio","agosto","septiembre","octubre","noviembre","diciembre"},0)+1,0))</f>
        <v/>
      </c>
      <c r="E2999" t="str">
        <f>+IFERROR(VLOOKUP(Fact_Contabilidad[[#This Row], [Concepto Anterior]],Conceptos_Contabilidad[#All],5,0),"")</f>
        <v/>
      </c>
      <c r="F2999" t="str">
        <f>+IFERROR(VLOOKUP(Fact_Contabilidad[[#This Row], 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ht="18.75" customHeight="1" x14ac:dyDescent="0.35">
      <c r="A3000" s="103"/>
      <c r="C3000" s="100" t="str">
        <f>IF(OR(Fact_Contabilidad[[#This Row], [Año]]="",Fact_Contabilidad[[#This Row], [Mes]]=""),"",DATE(A3000,MATCH(B3000,{"enero","febrero","marzo","abril","mayo","junio","julio","agosto","septiembre","octubre","noviembre","diciembre"},0)+1,0))</f>
        <v/>
      </c>
      <c r="E3000" t="str">
        <f>+IFERROR(VLOOKUP(Fact_Contabilidad[[#This Row], [Concepto Anterior]],Conceptos_Contabilidad[#All],5,0),"")</f>
        <v/>
      </c>
      <c r="F3000" t="str">
        <f>+IFERROR(VLOOKUP(Fact_Contabilidad[[#This Row], 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ht="18.75" customHeight="1" x14ac:dyDescent="0.35">
      <c r="A3001" s="103"/>
      <c r="C3001" s="100"/>
    </row>
    <row r="3002" spans="1:10" ht="18.75" customHeight="1" x14ac:dyDescent="0.35">
      <c r="A3002" s="103"/>
      <c r="C3002" s="100"/>
    </row>
    <row r="3003" spans="1:10" ht="18.75" customHeight="1" x14ac:dyDescent="0.35">
      <c r="A3003" s="103"/>
      <c r="C3003" s="100"/>
    </row>
    <row r="3004" spans="1:10" ht="18.75" customHeight="1" x14ac:dyDescent="0.35">
      <c r="A3004" s="103"/>
      <c r="C3004" s="100"/>
    </row>
    <row r="3005" spans="1:10" ht="18.75" customHeight="1" x14ac:dyDescent="0.35">
      <c r="A3005" s="103"/>
      <c r="C3005" s="100"/>
    </row>
    <row r="3006" spans="1:10" ht="18.75" customHeight="1" x14ac:dyDescent="0.35">
      <c r="A3006" s="103"/>
      <c r="C3006" s="100"/>
    </row>
    <row r="3007" spans="1:10" ht="18.75" customHeight="1" x14ac:dyDescent="0.35">
      <c r="A3007" s="103"/>
      <c r="C3007" s="100"/>
    </row>
    <row r="3008" spans="1:10" ht="18.75" customHeight="1" x14ac:dyDescent="0.35">
      <c r="A3008" s="103"/>
      <c r="C3008" s="100"/>
    </row>
    <row r="3009" spans="1:3" ht="18.75" customHeight="1" x14ac:dyDescent="0.35">
      <c r="A3009" s="103"/>
      <c r="C3009" s="100"/>
    </row>
    <row r="3010" spans="1:3" ht="18.75" customHeight="1" x14ac:dyDescent="0.35">
      <c r="A3010" s="103"/>
      <c r="C3010" s="100"/>
    </row>
    <row r="3011" spans="1:3" ht="18.75" customHeight="1" x14ac:dyDescent="0.35">
      <c r="A3011" s="103"/>
      <c r="C3011" s="100"/>
    </row>
    <row r="3012" spans="1:3" ht="18.75" customHeight="1" x14ac:dyDescent="0.35">
      <c r="A3012" s="103"/>
      <c r="C3012" s="100"/>
    </row>
    <row r="3013" spans="1:3" ht="18.75" customHeight="1" x14ac:dyDescent="0.35">
      <c r="A3013" s="103"/>
      <c r="C3013" s="100"/>
    </row>
    <row r="3014" spans="1:3" ht="18.75" customHeight="1" x14ac:dyDescent="0.35">
      <c r="A3014" s="103"/>
      <c r="C3014" s="100"/>
    </row>
    <row r="3015" spans="1:3" ht="18.75" customHeight="1" x14ac:dyDescent="0.35">
      <c r="A3015" s="103"/>
      <c r="C3015" s="100"/>
    </row>
    <row r="3016" spans="1:3" ht="18.75" customHeight="1" x14ac:dyDescent="0.35">
      <c r="A3016" s="103"/>
      <c r="C3016" s="100"/>
    </row>
    <row r="3017" spans="1:3" ht="18.75" customHeight="1" x14ac:dyDescent="0.35">
      <c r="A3017" s="103"/>
      <c r="C3017" s="100"/>
    </row>
    <row r="3018" spans="1:3" ht="18.75" customHeight="1" x14ac:dyDescent="0.35">
      <c r="A3018" s="103"/>
      <c r="C3018" s="100"/>
    </row>
    <row r="3019" spans="1:3" ht="18.75" customHeight="1" x14ac:dyDescent="0.35">
      <c r="A3019" s="103"/>
      <c r="C3019" s="100"/>
    </row>
    <row r="3020" spans="1:3" ht="18.75" customHeight="1" x14ac:dyDescent="0.35">
      <c r="A3020" s="103"/>
      <c r="C3020" s="100"/>
    </row>
    <row r="3021" spans="1:3" ht="18.75" customHeight="1" x14ac:dyDescent="0.35">
      <c r="A3021" s="103"/>
      <c r="C3021" s="100"/>
    </row>
    <row r="3022" spans="1:3" ht="18.75" customHeight="1" x14ac:dyDescent="0.35">
      <c r="A3022" s="103"/>
      <c r="C3022" s="100"/>
    </row>
    <row r="3023" spans="1:3" ht="18.75" customHeight="1" x14ac:dyDescent="0.35">
      <c r="A3023" s="103"/>
      <c r="C3023" s="100"/>
    </row>
    <row r="3024" spans="1:3" ht="18.75" customHeight="1" x14ac:dyDescent="0.35">
      <c r="A3024" s="103"/>
      <c r="C3024" s="100"/>
    </row>
    <row r="3025" spans="1:3" ht="18.75" customHeight="1" x14ac:dyDescent="0.35">
      <c r="A3025" s="103"/>
      <c r="C3025" s="100"/>
    </row>
    <row r="3026" spans="1:3" ht="18.75" customHeight="1" x14ac:dyDescent="0.35">
      <c r="A3026" s="103"/>
      <c r="C3026" s="100"/>
    </row>
    <row r="3027" spans="1:3" ht="18.75" customHeight="1" x14ac:dyDescent="0.35">
      <c r="A3027" s="103"/>
      <c r="C3027" s="100"/>
    </row>
    <row r="3028" spans="1:3" ht="18.75" customHeight="1" x14ac:dyDescent="0.35">
      <c r="A3028" s="103"/>
      <c r="C3028" s="100"/>
    </row>
    <row r="3029" spans="1:3" ht="18.75" customHeight="1" x14ac:dyDescent="0.35">
      <c r="A3029" s="103"/>
      <c r="C3029" s="100"/>
    </row>
    <row r="3030" spans="1:3" ht="18.75" customHeight="1" x14ac:dyDescent="0.35">
      <c r="A3030" s="103"/>
      <c r="C3030" s="100"/>
    </row>
    <row r="3031" spans="1:3" ht="18.75" customHeight="1" x14ac:dyDescent="0.35">
      <c r="A3031" s="103"/>
      <c r="C3031" s="100"/>
    </row>
    <row r="3032" spans="1:3" ht="18.75" customHeight="1" x14ac:dyDescent="0.35">
      <c r="A3032" s="103"/>
      <c r="C3032" s="100"/>
    </row>
    <row r="3033" spans="1:3" ht="18.75" customHeight="1" x14ac:dyDescent="0.35">
      <c r="A3033" s="103"/>
      <c r="C3033" s="100"/>
    </row>
    <row r="3034" spans="1:3" ht="18.75" customHeight="1" x14ac:dyDescent="0.35">
      <c r="A3034" s="103"/>
      <c r="C3034" s="100"/>
    </row>
    <row r="3035" spans="1:3" ht="18.75" customHeight="1" x14ac:dyDescent="0.35">
      <c r="A3035" s="103"/>
      <c r="C3035" s="100"/>
    </row>
    <row r="3036" spans="1:3" ht="18.75" customHeight="1" x14ac:dyDescent="0.35">
      <c r="A3036" s="103"/>
      <c r="C3036" s="100"/>
    </row>
    <row r="3037" spans="1:3" ht="18.75" customHeight="1" x14ac:dyDescent="0.35">
      <c r="A3037" s="103"/>
      <c r="C3037" s="100"/>
    </row>
    <row r="3038" spans="1:3" ht="18.75" customHeight="1" x14ac:dyDescent="0.35">
      <c r="A3038" s="103"/>
      <c r="C3038" s="100"/>
    </row>
    <row r="3039" spans="1:3" ht="18.75" customHeight="1" x14ac:dyDescent="0.35">
      <c r="A3039" s="103"/>
      <c r="C3039" s="100"/>
    </row>
    <row r="3040" spans="1:3" ht="18.75" customHeight="1" x14ac:dyDescent="0.35">
      <c r="A3040" s="103"/>
      <c r="C3040" s="100"/>
    </row>
    <row r="3041" spans="1:3" ht="18.75" customHeight="1" x14ac:dyDescent="0.35">
      <c r="A3041" s="103"/>
      <c r="C3041" s="100"/>
    </row>
    <row r="3042" spans="1:3" ht="18.75" customHeight="1" x14ac:dyDescent="0.35">
      <c r="A3042" s="103"/>
      <c r="C3042" s="100"/>
    </row>
    <row r="3043" spans="1:3" ht="18.75" customHeight="1" x14ac:dyDescent="0.35">
      <c r="A3043" s="103"/>
      <c r="C3043" s="100"/>
    </row>
    <row r="3044" spans="1:3" ht="18.75" customHeight="1" x14ac:dyDescent="0.35">
      <c r="A3044" s="103"/>
      <c r="C3044" s="100"/>
    </row>
    <row r="3045" spans="1:3" ht="18.75" customHeight="1" x14ac:dyDescent="0.35">
      <c r="A3045" s="103"/>
      <c r="C3045" s="100"/>
    </row>
    <row r="3046" spans="1:3" ht="18.75" customHeight="1" x14ac:dyDescent="0.35">
      <c r="A3046" s="103"/>
      <c r="C3046" s="100"/>
    </row>
    <row r="3047" spans="1:3" ht="18.75" customHeight="1" x14ac:dyDescent="0.35">
      <c r="A3047" s="103"/>
      <c r="C3047" s="100"/>
    </row>
    <row r="3048" spans="1:3" ht="18.75" customHeight="1" x14ac:dyDescent="0.35">
      <c r="A3048" s="103"/>
      <c r="C3048" s="100"/>
    </row>
    <row r="3049" spans="1:3" ht="18.75" customHeight="1" x14ac:dyDescent="0.35">
      <c r="A3049" s="103"/>
      <c r="C3049" s="100"/>
    </row>
    <row r="3050" spans="1:3" ht="18.75" customHeight="1" x14ac:dyDescent="0.35">
      <c r="A3050" s="103"/>
      <c r="C3050" s="100"/>
    </row>
    <row r="3051" spans="1:3" ht="18.75" customHeight="1" x14ac:dyDescent="0.35">
      <c r="A3051" s="103"/>
      <c r="C3051" s="100"/>
    </row>
    <row r="3052" spans="1:3" ht="18.75" customHeight="1" x14ac:dyDescent="0.35">
      <c r="A3052" s="103"/>
      <c r="C3052" s="100"/>
    </row>
    <row r="3053" spans="1:3" ht="18.75" customHeight="1" x14ac:dyDescent="0.35">
      <c r="A3053" s="103"/>
      <c r="C3053" s="100"/>
    </row>
    <row r="3054" spans="1:3" ht="18.75" customHeight="1" x14ac:dyDescent="0.35">
      <c r="A3054" s="103"/>
      <c r="C3054" s="100"/>
    </row>
    <row r="3055" spans="1:3" ht="18.75" customHeight="1" x14ac:dyDescent="0.35">
      <c r="A3055" s="103"/>
      <c r="C3055" s="100"/>
    </row>
    <row r="3056" spans="1:3" ht="18.75" customHeight="1" x14ac:dyDescent="0.35">
      <c r="A3056" s="103"/>
      <c r="C3056" s="100"/>
    </row>
    <row r="3057" spans="1:3" ht="18.75" customHeight="1" x14ac:dyDescent="0.35">
      <c r="A3057" s="103"/>
      <c r="C3057" s="100"/>
    </row>
    <row r="3058" spans="1:3" ht="18.75" customHeight="1" x14ac:dyDescent="0.35">
      <c r="A3058" s="103"/>
      <c r="C3058" s="100"/>
    </row>
    <row r="3059" spans="1:3" ht="18.75" customHeight="1" x14ac:dyDescent="0.35">
      <c r="A3059" s="103"/>
      <c r="C3059" s="100"/>
    </row>
    <row r="3060" spans="1:3" ht="18.75" customHeight="1" x14ac:dyDescent="0.35">
      <c r="A3060" s="103"/>
      <c r="C3060" s="100"/>
    </row>
    <row r="3061" spans="1:3" ht="18.75" customHeight="1" x14ac:dyDescent="0.35">
      <c r="A3061" s="103"/>
      <c r="C3061" s="100"/>
    </row>
    <row r="3062" spans="1:3" ht="18.75" customHeight="1" x14ac:dyDescent="0.35">
      <c r="A3062" s="103"/>
      <c r="C3062" s="100"/>
    </row>
    <row r="3063" spans="1:3" ht="18.75" customHeight="1" x14ac:dyDescent="0.35">
      <c r="A3063" s="103"/>
      <c r="C3063" s="100"/>
    </row>
    <row r="3064" spans="1:3" ht="18.75" customHeight="1" x14ac:dyDescent="0.35">
      <c r="A3064" s="103"/>
      <c r="C3064" s="100"/>
    </row>
    <row r="3065" spans="1:3" ht="18.75" customHeight="1" x14ac:dyDescent="0.35">
      <c r="A3065" s="103"/>
      <c r="C3065" s="100"/>
    </row>
    <row r="3066" spans="1:3" ht="18.75" customHeight="1" x14ac:dyDescent="0.35">
      <c r="A3066" s="103"/>
      <c r="C3066" s="100"/>
    </row>
    <row r="3067" spans="1:3" ht="18.75" customHeight="1" x14ac:dyDescent="0.35">
      <c r="A3067" s="103"/>
      <c r="C3067" s="100"/>
    </row>
    <row r="3068" spans="1:3" ht="18.75" customHeight="1" x14ac:dyDescent="0.35">
      <c r="A3068" s="103"/>
      <c r="C3068" s="100"/>
    </row>
    <row r="3069" spans="1:3" ht="18.75" customHeight="1" x14ac:dyDescent="0.35">
      <c r="A3069" s="103"/>
      <c r="C3069" s="100"/>
    </row>
    <row r="3070" spans="1:3" ht="18.75" customHeight="1" x14ac:dyDescent="0.35">
      <c r="A3070" s="103"/>
      <c r="C3070" s="100"/>
    </row>
    <row r="3071" spans="1:3" ht="18.75" customHeight="1" x14ac:dyDescent="0.35">
      <c r="A3071" s="103"/>
      <c r="C3071" s="100"/>
    </row>
    <row r="3072" spans="1:3" ht="18.75" customHeight="1" x14ac:dyDescent="0.35">
      <c r="A3072" s="103"/>
      <c r="C3072" s="100"/>
    </row>
    <row r="3073" spans="1:3" ht="18.75" customHeight="1" x14ac:dyDescent="0.35">
      <c r="A3073" s="103"/>
      <c r="C3073" s="100"/>
    </row>
    <row r="3074" spans="1:3" ht="18.75" customHeight="1" x14ac:dyDescent="0.35">
      <c r="A3074" s="103"/>
      <c r="C3074" s="100"/>
    </row>
    <row r="3075" spans="1:3" ht="18.75" customHeight="1" x14ac:dyDescent="0.35">
      <c r="A3075" s="103"/>
      <c r="C3075" s="100"/>
    </row>
    <row r="3076" spans="1:3" ht="18.75" customHeight="1" x14ac:dyDescent="0.35">
      <c r="A3076" s="103"/>
      <c r="C3076" s="100"/>
    </row>
    <row r="3077" spans="1:3" ht="18.75" customHeight="1" x14ac:dyDescent="0.35">
      <c r="A3077" s="103"/>
      <c r="C3077" s="100"/>
    </row>
    <row r="3078" spans="1:3" ht="18.75" customHeight="1" x14ac:dyDescent="0.35">
      <c r="A3078" s="103"/>
      <c r="C3078" s="100"/>
    </row>
    <row r="3079" spans="1:3" ht="18.75" customHeight="1" x14ac:dyDescent="0.35">
      <c r="A3079" s="103"/>
      <c r="C3079" s="100"/>
    </row>
    <row r="3080" spans="1:3" ht="18.75" customHeight="1" x14ac:dyDescent="0.35">
      <c r="A3080" s="103"/>
      <c r="C3080" s="100"/>
    </row>
    <row r="3081" spans="1:3" ht="18.75" customHeight="1" x14ac:dyDescent="0.35">
      <c r="A3081" s="103"/>
      <c r="C3081" s="100"/>
    </row>
    <row r="3082" spans="1:3" ht="18.75" customHeight="1" x14ac:dyDescent="0.35">
      <c r="A3082" s="103"/>
      <c r="C3082" s="100"/>
    </row>
    <row r="3083" spans="1:3" ht="18.75" customHeight="1" x14ac:dyDescent="0.35">
      <c r="A3083" s="103"/>
      <c r="C3083" s="100"/>
    </row>
    <row r="3084" spans="1:3" ht="18.75" customHeight="1" x14ac:dyDescent="0.35">
      <c r="A3084" s="103"/>
      <c r="C3084" s="100"/>
    </row>
    <row r="3085" spans="1:3" ht="18.75" customHeight="1" x14ac:dyDescent="0.35">
      <c r="A3085" s="103"/>
      <c r="C3085" s="100"/>
    </row>
    <row r="3086" spans="1:3" ht="18.75" customHeight="1" x14ac:dyDescent="0.35">
      <c r="A3086" s="103"/>
      <c r="C3086" s="100"/>
    </row>
    <row r="3087" spans="1:3" ht="18.75" customHeight="1" x14ac:dyDescent="0.35">
      <c r="A3087" s="103"/>
      <c r="C3087" s="100"/>
    </row>
    <row r="3088" spans="1:3" ht="18.75" customHeight="1" x14ac:dyDescent="0.35">
      <c r="A3088" s="103"/>
      <c r="C3088" s="100"/>
    </row>
    <row r="3089" spans="1:3" ht="18.75" customHeight="1" x14ac:dyDescent="0.35">
      <c r="A3089" s="103"/>
      <c r="C3089" s="100"/>
    </row>
    <row r="3090" spans="1:3" ht="18.75" customHeight="1" x14ac:dyDescent="0.35">
      <c r="A3090" s="103"/>
      <c r="C3090" s="100"/>
    </row>
    <row r="3091" spans="1:3" ht="18.75" customHeight="1" x14ac:dyDescent="0.35">
      <c r="A3091" s="103"/>
      <c r="C3091" s="100"/>
    </row>
    <row r="3092" spans="1:3" ht="18.75" customHeight="1" x14ac:dyDescent="0.35">
      <c r="A3092" s="103"/>
      <c r="C3092" s="100"/>
    </row>
    <row r="3093" spans="1:3" ht="18.75" customHeight="1" x14ac:dyDescent="0.35">
      <c r="A3093" s="103"/>
      <c r="C3093" s="100"/>
    </row>
    <row r="3094" spans="1:3" ht="18.75" customHeight="1" x14ac:dyDescent="0.35">
      <c r="A3094" s="103"/>
      <c r="C3094" s="100"/>
    </row>
    <row r="3095" spans="1:3" ht="18.75" customHeight="1" x14ac:dyDescent="0.35">
      <c r="A3095" s="103"/>
      <c r="C3095" s="100"/>
    </row>
    <row r="3096" spans="1:3" ht="18.75" customHeight="1" x14ac:dyDescent="0.35">
      <c r="A3096" s="103"/>
      <c r="C3096" s="100"/>
    </row>
    <row r="3097" spans="1:3" ht="18.75" customHeight="1" x14ac:dyDescent="0.35">
      <c r="A3097" s="103"/>
      <c r="C3097" s="100"/>
    </row>
    <row r="3098" spans="1:3" ht="18.75" customHeight="1" x14ac:dyDescent="0.35">
      <c r="A3098" s="103"/>
      <c r="C3098" s="100"/>
    </row>
    <row r="3099" spans="1:3" ht="18.75" customHeight="1" x14ac:dyDescent="0.35">
      <c r="A3099" s="103"/>
      <c r="C3099" s="100"/>
    </row>
    <row r="3100" spans="1:3" ht="18.75" customHeight="1" x14ac:dyDescent="0.35">
      <c r="A3100" s="103"/>
      <c r="C3100" s="100"/>
    </row>
    <row r="3101" spans="1:3" ht="18.75" customHeight="1" x14ac:dyDescent="0.35">
      <c r="A3101" s="103"/>
      <c r="C3101" s="100"/>
    </row>
    <row r="3102" spans="1:3" ht="18.75" customHeight="1" x14ac:dyDescent="0.35">
      <c r="A3102" s="103"/>
      <c r="C3102" s="100"/>
    </row>
    <row r="3103" spans="1:3" ht="18.75" customHeight="1" x14ac:dyDescent="0.35">
      <c r="A3103" s="103"/>
      <c r="C3103" s="100"/>
    </row>
    <row r="3104" spans="1:3" ht="18.75" customHeight="1" x14ac:dyDescent="0.35">
      <c r="A3104" s="103"/>
      <c r="C3104" s="100"/>
    </row>
    <row r="3105" spans="1:3" ht="18.75" customHeight="1" x14ac:dyDescent="0.35">
      <c r="A3105" s="103"/>
      <c r="C3105" s="100"/>
    </row>
    <row r="3106" spans="1:3" ht="18.75" customHeight="1" x14ac:dyDescent="0.35">
      <c r="A3106" s="103"/>
      <c r="C3106" s="100"/>
    </row>
    <row r="3107" spans="1:3" ht="18.75" customHeight="1" x14ac:dyDescent="0.35">
      <c r="A3107" s="103"/>
      <c r="C3107" s="100"/>
    </row>
    <row r="3108" spans="1:3" ht="18.75" customHeight="1" x14ac:dyDescent="0.35">
      <c r="A3108" s="103"/>
      <c r="C3108" s="100"/>
    </row>
    <row r="3109" spans="1:3" ht="18.75" customHeight="1" x14ac:dyDescent="0.35">
      <c r="A3109" s="103"/>
      <c r="C3109" s="100"/>
    </row>
    <row r="3110" spans="1:3" ht="18.75" customHeight="1" x14ac:dyDescent="0.35">
      <c r="A3110" s="103"/>
      <c r="C3110" s="100"/>
    </row>
    <row r="3111" spans="1:3" ht="18.75" customHeight="1" x14ac:dyDescent="0.35">
      <c r="A3111" s="103"/>
      <c r="C3111" s="100"/>
    </row>
    <row r="3112" spans="1:3" ht="18.75" customHeight="1" x14ac:dyDescent="0.35">
      <c r="A3112" s="103"/>
      <c r="C3112" s="100"/>
    </row>
    <row r="3113" spans="1:3" ht="18.75" customHeight="1" x14ac:dyDescent="0.35">
      <c r="A3113" s="103"/>
      <c r="C3113" s="100"/>
    </row>
    <row r="3114" spans="1:3" ht="18.75" customHeight="1" x14ac:dyDescent="0.35">
      <c r="A3114" s="103"/>
      <c r="C3114" s="100"/>
    </row>
    <row r="3115" spans="1:3" ht="18.75" customHeight="1" x14ac:dyDescent="0.35">
      <c r="A3115" s="103"/>
      <c r="C3115" s="100"/>
    </row>
    <row r="3116" spans="1:3" ht="18.75" customHeight="1" x14ac:dyDescent="0.35">
      <c r="A3116" s="103"/>
      <c r="C3116" s="100"/>
    </row>
    <row r="3117" spans="1:3" ht="18.75" customHeight="1" x14ac:dyDescent="0.35">
      <c r="A3117" s="103"/>
      <c r="C3117" s="100"/>
    </row>
    <row r="3118" spans="1:3" ht="18.75" customHeight="1" x14ac:dyDescent="0.35">
      <c r="A3118" s="103"/>
      <c r="C3118" s="100"/>
    </row>
    <row r="3119" spans="1:3" ht="18.75" customHeight="1" x14ac:dyDescent="0.35">
      <c r="A3119" s="103"/>
      <c r="C3119" s="100"/>
    </row>
    <row r="3120" spans="1:3" ht="18.75" customHeight="1" x14ac:dyDescent="0.35">
      <c r="A3120" s="103"/>
      <c r="C3120" s="100"/>
    </row>
    <row r="3121" spans="1:3" ht="18.75" customHeight="1" x14ac:dyDescent="0.35">
      <c r="A3121" s="103"/>
      <c r="C3121" s="100"/>
    </row>
    <row r="3122" spans="1:3" ht="18.75" customHeight="1" x14ac:dyDescent="0.35">
      <c r="A3122" s="103"/>
      <c r="C3122" s="100"/>
    </row>
    <row r="3123" spans="1:3" ht="18.75" customHeight="1" x14ac:dyDescent="0.35">
      <c r="A3123" s="103"/>
      <c r="C3123" s="100"/>
    </row>
    <row r="3124" spans="1:3" ht="18.75" customHeight="1" x14ac:dyDescent="0.35">
      <c r="A3124" s="103"/>
      <c r="C3124" s="100"/>
    </row>
    <row r="3125" spans="1:3" ht="18.75" customHeight="1" x14ac:dyDescent="0.35">
      <c r="A3125" s="103"/>
      <c r="C3125" s="100"/>
    </row>
    <row r="3126" spans="1:3" ht="18.75" customHeight="1" x14ac:dyDescent="0.35">
      <c r="A3126" s="103"/>
      <c r="C3126" s="100"/>
    </row>
    <row r="3127" spans="1:3" ht="18.75" customHeight="1" x14ac:dyDescent="0.35">
      <c r="A3127" s="103"/>
      <c r="C3127" s="100"/>
    </row>
    <row r="3128" spans="1:3" ht="18.75" customHeight="1" x14ac:dyDescent="0.35">
      <c r="A3128" s="103"/>
      <c r="C3128" s="100"/>
    </row>
    <row r="3129" spans="1:3" ht="18.75" customHeight="1" x14ac:dyDescent="0.35">
      <c r="A3129" s="103"/>
      <c r="C3129" s="100"/>
    </row>
    <row r="3130" spans="1:3" ht="18.75" customHeight="1" x14ac:dyDescent="0.35">
      <c r="A3130" s="103"/>
      <c r="C3130" s="100"/>
    </row>
    <row r="3131" spans="1:3" ht="18.75" customHeight="1" x14ac:dyDescent="0.35">
      <c r="A3131" s="103"/>
      <c r="C3131" s="100"/>
    </row>
    <row r="3132" spans="1:3" ht="18.75" customHeight="1" x14ac:dyDescent="0.35">
      <c r="A3132" s="103"/>
      <c r="C3132" s="100"/>
    </row>
    <row r="3133" spans="1:3" ht="18.75" customHeight="1" x14ac:dyDescent="0.35">
      <c r="A3133" s="103"/>
      <c r="C3133" s="100"/>
    </row>
    <row r="3134" spans="1:3" ht="18.75" customHeight="1" x14ac:dyDescent="0.35">
      <c r="A3134" s="103"/>
      <c r="C3134" s="100"/>
    </row>
    <row r="3135" spans="1:3" ht="18.75" customHeight="1" x14ac:dyDescent="0.35">
      <c r="A3135" s="103"/>
      <c r="C3135" s="100"/>
    </row>
    <row r="3136" spans="1:3" ht="18.75" customHeight="1" x14ac:dyDescent="0.35">
      <c r="A3136" s="103"/>
      <c r="C3136" s="100"/>
    </row>
    <row r="3137" spans="1:3" ht="18.75" customHeight="1" x14ac:dyDescent="0.35">
      <c r="A3137" s="103"/>
      <c r="C3137" s="100"/>
    </row>
    <row r="3138" spans="1:3" ht="18.75" customHeight="1" x14ac:dyDescent="0.35">
      <c r="A3138" s="103"/>
      <c r="C3138" s="100"/>
    </row>
    <row r="3139" spans="1:3" ht="18.75" customHeight="1" x14ac:dyDescent="0.35">
      <c r="A3139" s="103"/>
      <c r="C3139" s="100"/>
    </row>
    <row r="3140" spans="1:3" ht="18.75" customHeight="1" x14ac:dyDescent="0.35">
      <c r="A3140" s="103"/>
      <c r="C3140" s="100"/>
    </row>
    <row r="3141" spans="1:3" ht="18.75" customHeight="1" x14ac:dyDescent="0.35">
      <c r="A3141" s="103"/>
      <c r="C3141" s="100"/>
    </row>
    <row r="3142" spans="1:3" ht="18.75" customHeight="1" x14ac:dyDescent="0.35">
      <c r="A3142" s="103"/>
      <c r="C3142" s="100"/>
    </row>
    <row r="3143" spans="1:3" ht="18.75" customHeight="1" x14ac:dyDescent="0.35">
      <c r="A3143" s="103"/>
      <c r="C3143" s="100"/>
    </row>
    <row r="3144" spans="1:3" ht="18.75" customHeight="1" x14ac:dyDescent="0.35">
      <c r="A3144" s="103"/>
      <c r="C3144" s="100"/>
    </row>
    <row r="3145" spans="1:3" ht="18.75" customHeight="1" x14ac:dyDescent="0.35">
      <c r="A3145" s="103"/>
      <c r="C3145" s="100"/>
    </row>
    <row r="3146" spans="1:3" ht="18.75" customHeight="1" x14ac:dyDescent="0.35">
      <c r="A3146" s="103"/>
      <c r="C3146" s="100"/>
    </row>
    <row r="3147" spans="1:3" ht="18.75" customHeight="1" x14ac:dyDescent="0.35">
      <c r="A3147" s="103"/>
      <c r="C3147" s="100"/>
    </row>
    <row r="3148" spans="1:3" ht="18.75" customHeight="1" x14ac:dyDescent="0.35">
      <c r="A3148" s="103"/>
      <c r="C3148" s="100"/>
    </row>
    <row r="3149" spans="1:3" ht="18.75" customHeight="1" x14ac:dyDescent="0.35">
      <c r="A3149" s="103"/>
      <c r="C3149" s="100"/>
    </row>
    <row r="3150" spans="1:3" ht="18.75" customHeight="1" x14ac:dyDescent="0.35">
      <c r="A3150" s="103"/>
      <c r="C3150" s="100"/>
    </row>
    <row r="3151" spans="1:3" ht="18.75" customHeight="1" x14ac:dyDescent="0.35">
      <c r="A3151" s="103"/>
      <c r="C3151" s="100"/>
    </row>
    <row r="3152" spans="1:3" ht="18.75" customHeight="1" x14ac:dyDescent="0.35">
      <c r="A3152" s="103"/>
      <c r="C3152" s="100"/>
    </row>
    <row r="3153" spans="1:3" ht="18.75" customHeight="1" x14ac:dyDescent="0.35">
      <c r="A3153" s="103"/>
      <c r="C3153" s="100"/>
    </row>
    <row r="3154" spans="1:3" ht="18.75" customHeight="1" x14ac:dyDescent="0.35">
      <c r="A3154" s="103"/>
      <c r="C3154" s="100"/>
    </row>
    <row r="3155" spans="1:3" ht="18.75" customHeight="1" x14ac:dyDescent="0.35">
      <c r="A3155" s="103"/>
      <c r="C3155" s="100"/>
    </row>
    <row r="3156" spans="1:3" ht="18.75" customHeight="1" x14ac:dyDescent="0.35">
      <c r="A3156" s="103"/>
      <c r="C3156" s="100"/>
    </row>
    <row r="3157" spans="1:3" ht="18.75" customHeight="1" x14ac:dyDescent="0.35">
      <c r="A3157" s="103"/>
      <c r="C3157" s="100"/>
    </row>
    <row r="3158" spans="1:3" ht="18.75" customHeight="1" x14ac:dyDescent="0.35">
      <c r="A3158" s="103"/>
      <c r="C3158" s="100"/>
    </row>
    <row r="3159" spans="1:3" ht="18.75" customHeight="1" x14ac:dyDescent="0.35">
      <c r="A3159" s="103"/>
      <c r="C3159" s="100"/>
    </row>
    <row r="3160" spans="1:3" ht="18.75" customHeight="1" x14ac:dyDescent="0.35">
      <c r="A3160" s="103"/>
      <c r="C3160" s="100"/>
    </row>
    <row r="3161" spans="1:3" ht="18.75" customHeight="1" x14ac:dyDescent="0.35">
      <c r="A3161" s="103"/>
      <c r="C3161" s="100"/>
    </row>
    <row r="3162" spans="1:3" ht="18.75" customHeight="1" x14ac:dyDescent="0.35">
      <c r="A3162" s="103"/>
      <c r="C3162" s="100"/>
    </row>
    <row r="3163" spans="1:3" ht="18.75" customHeight="1" x14ac:dyDescent="0.35">
      <c r="A3163" s="103"/>
      <c r="C3163" s="100"/>
    </row>
    <row r="3164" spans="1:3" ht="18.75" customHeight="1" x14ac:dyDescent="0.35">
      <c r="A3164" s="103"/>
      <c r="C3164" s="100"/>
    </row>
    <row r="3165" spans="1:3" ht="18.75" customHeight="1" x14ac:dyDescent="0.35">
      <c r="A3165" s="103"/>
      <c r="C3165" s="100"/>
    </row>
    <row r="3166" spans="1:3" ht="18.75" customHeight="1" x14ac:dyDescent="0.35">
      <c r="A3166" s="103"/>
      <c r="C3166" s="100"/>
    </row>
    <row r="3167" spans="1:3" ht="18.75" customHeight="1" x14ac:dyDescent="0.35">
      <c r="A3167" s="103"/>
      <c r="C3167" s="100"/>
    </row>
    <row r="3168" spans="1:3" ht="18.75" customHeight="1" x14ac:dyDescent="0.35">
      <c r="A3168" s="103"/>
      <c r="C3168" s="100"/>
    </row>
    <row r="3169" spans="1:3" ht="18.75" customHeight="1" x14ac:dyDescent="0.35">
      <c r="A3169" s="103"/>
      <c r="C3169" s="100"/>
    </row>
    <row r="3170" spans="1:3" ht="18.75" customHeight="1" x14ac:dyDescent="0.35">
      <c r="A3170" s="103"/>
      <c r="C3170" s="100"/>
    </row>
    <row r="3171" spans="1:3" ht="18.75" customHeight="1" x14ac:dyDescent="0.35">
      <c r="A3171" s="103"/>
      <c r="C3171" s="100"/>
    </row>
    <row r="3172" spans="1:3" ht="18.75" customHeight="1" x14ac:dyDescent="0.35">
      <c r="A3172" s="103"/>
      <c r="C3172" s="100"/>
    </row>
    <row r="3173" spans="1:3" ht="18.75" customHeight="1" x14ac:dyDescent="0.35">
      <c r="A3173" s="103"/>
      <c r="C3173" s="100"/>
    </row>
    <row r="3174" spans="1:3" ht="18.75" customHeight="1" x14ac:dyDescent="0.35">
      <c r="A3174" s="103"/>
      <c r="C3174" s="100"/>
    </row>
    <row r="3175" spans="1:3" ht="18.75" customHeight="1" x14ac:dyDescent="0.35">
      <c r="A3175" s="103"/>
      <c r="C3175" s="100"/>
    </row>
    <row r="3176" spans="1:3" ht="18.75" customHeight="1" x14ac:dyDescent="0.35">
      <c r="A3176" s="103"/>
      <c r="C3176" s="100"/>
    </row>
    <row r="3177" spans="1:3" ht="18.75" customHeight="1" x14ac:dyDescent="0.35">
      <c r="A3177" s="103"/>
      <c r="C3177" s="100"/>
    </row>
    <row r="3178" spans="1:3" ht="18.75" customHeight="1" x14ac:dyDescent="0.35">
      <c r="A3178" s="103"/>
      <c r="C3178" s="100"/>
    </row>
    <row r="3179" spans="1:3" ht="18.75" customHeight="1" x14ac:dyDescent="0.35">
      <c r="A3179" s="103"/>
      <c r="C3179" s="100"/>
    </row>
    <row r="3180" spans="1:3" ht="18.75" customHeight="1" x14ac:dyDescent="0.35">
      <c r="A3180" s="103"/>
      <c r="C3180" s="100"/>
    </row>
    <row r="3181" spans="1:3" ht="18.75" customHeight="1" x14ac:dyDescent="0.35">
      <c r="A3181" s="103"/>
      <c r="C3181" s="100"/>
    </row>
    <row r="3182" spans="1:3" ht="18.75" customHeight="1" x14ac:dyDescent="0.35">
      <c r="A3182" s="103"/>
      <c r="C3182" s="100"/>
    </row>
    <row r="3183" spans="1:3" ht="18.75" customHeight="1" x14ac:dyDescent="0.35">
      <c r="A3183" s="103"/>
      <c r="C3183" s="100"/>
    </row>
    <row r="3184" spans="1:3" ht="18.75" customHeight="1" x14ac:dyDescent="0.35">
      <c r="A3184" s="103"/>
      <c r="C3184" s="100"/>
    </row>
    <row r="3185" spans="1:3" ht="18.75" customHeight="1" x14ac:dyDescent="0.35">
      <c r="A3185" s="103"/>
      <c r="C3185" s="100"/>
    </row>
    <row r="3186" spans="1:3" ht="18.75" customHeight="1" x14ac:dyDescent="0.35">
      <c r="A3186" s="103"/>
      <c r="C3186" s="100"/>
    </row>
    <row r="3187" spans="1:3" ht="18.75" customHeight="1" x14ac:dyDescent="0.35">
      <c r="A3187" s="103"/>
      <c r="C3187" s="100"/>
    </row>
    <row r="3188" spans="1:3" ht="18.75" customHeight="1" x14ac:dyDescent="0.35">
      <c r="A3188" s="103"/>
      <c r="C3188" s="100"/>
    </row>
    <row r="3189" spans="1:3" ht="18.75" customHeight="1" x14ac:dyDescent="0.35">
      <c r="A3189" s="103"/>
      <c r="C3189" s="100"/>
    </row>
    <row r="3190" spans="1:3" ht="18.75" customHeight="1" x14ac:dyDescent="0.35">
      <c r="A3190" s="103"/>
      <c r="C3190" s="100"/>
    </row>
    <row r="3191" spans="1:3" ht="18.75" customHeight="1" x14ac:dyDescent="0.35">
      <c r="A3191" s="103"/>
      <c r="C3191" s="100"/>
    </row>
    <row r="3192" spans="1:3" ht="18.75" customHeight="1" x14ac:dyDescent="0.35">
      <c r="A3192" s="103"/>
      <c r="C3192" s="100"/>
    </row>
    <row r="3193" spans="1:3" ht="18.75" customHeight="1" x14ac:dyDescent="0.35">
      <c r="A3193" s="103"/>
      <c r="C3193" s="100"/>
    </row>
    <row r="3194" spans="1:3" ht="18.75" customHeight="1" x14ac:dyDescent="0.35">
      <c r="A3194" s="103"/>
      <c r="C3194" s="100"/>
    </row>
    <row r="3195" spans="1:3" ht="18.75" customHeight="1" x14ac:dyDescent="0.35">
      <c r="A3195" s="103"/>
      <c r="C3195" s="100"/>
    </row>
    <row r="3196" spans="1:3" ht="18.75" customHeight="1" x14ac:dyDescent="0.35">
      <c r="A3196" s="103"/>
      <c r="C3196" s="100"/>
    </row>
    <row r="3197" spans="1:3" ht="18.75" customHeight="1" x14ac:dyDescent="0.35">
      <c r="A3197" s="103"/>
      <c r="C3197" s="100"/>
    </row>
    <row r="3198" spans="1:3" ht="18.75" customHeight="1" x14ac:dyDescent="0.35">
      <c r="A3198" s="103"/>
      <c r="C3198" s="100"/>
    </row>
    <row r="3199" spans="1:3" ht="18.75" customHeight="1" x14ac:dyDescent="0.35">
      <c r="A3199" s="103"/>
      <c r="C3199" s="100"/>
    </row>
    <row r="3200" spans="1:3" ht="18.75" customHeight="1" x14ac:dyDescent="0.35">
      <c r="A3200" s="103"/>
      <c r="C3200" s="100"/>
    </row>
    <row r="3201" spans="1:3" ht="18.75" customHeight="1" x14ac:dyDescent="0.35">
      <c r="A3201" s="103"/>
      <c r="C3201" s="100"/>
    </row>
    <row r="3202" spans="1:3" ht="18.75" customHeight="1" x14ac:dyDescent="0.35">
      <c r="A3202" s="103"/>
      <c r="C3202" s="100"/>
    </row>
    <row r="3203" spans="1:3" ht="18.75" customHeight="1" x14ac:dyDescent="0.35">
      <c r="A3203" s="103"/>
      <c r="C3203" s="100"/>
    </row>
    <row r="3204" spans="1:3" ht="18.75" customHeight="1" x14ac:dyDescent="0.35">
      <c r="A3204" s="103"/>
      <c r="C3204" s="100"/>
    </row>
    <row r="3205" spans="1:3" ht="18.75" customHeight="1" x14ac:dyDescent="0.35">
      <c r="A3205" s="103"/>
      <c r="C3205" s="100"/>
    </row>
    <row r="3206" spans="1:3" ht="18.75" customHeight="1" x14ac:dyDescent="0.35">
      <c r="A3206" s="103"/>
      <c r="C3206" s="100"/>
    </row>
    <row r="3207" spans="1:3" ht="18.75" customHeight="1" x14ac:dyDescent="0.35">
      <c r="A3207" s="103"/>
      <c r="C3207" s="100"/>
    </row>
    <row r="3208" spans="1:3" ht="18.75" customHeight="1" x14ac:dyDescent="0.35">
      <c r="A3208" s="103"/>
      <c r="C3208" s="100"/>
    </row>
    <row r="3209" spans="1:3" ht="18.75" customHeight="1" x14ac:dyDescent="0.35">
      <c r="A3209" s="103"/>
      <c r="C3209" s="100"/>
    </row>
    <row r="3210" spans="1:3" ht="18.75" customHeight="1" x14ac:dyDescent="0.35">
      <c r="A3210" s="103"/>
      <c r="C3210" s="100"/>
    </row>
    <row r="3211" spans="1:3" ht="18.75" customHeight="1" x14ac:dyDescent="0.35">
      <c r="A3211" s="103"/>
      <c r="C3211" s="100"/>
    </row>
    <row r="3212" spans="1:3" ht="18.75" customHeight="1" x14ac:dyDescent="0.35">
      <c r="A3212" s="103"/>
      <c r="C3212" s="100"/>
    </row>
    <row r="3213" spans="1:3" ht="18.75" customHeight="1" x14ac:dyDescent="0.35">
      <c r="A3213" s="103"/>
      <c r="C3213" s="100"/>
    </row>
    <row r="3214" spans="1:3" ht="18.75" customHeight="1" x14ac:dyDescent="0.35">
      <c r="A3214" s="103"/>
      <c r="C3214" s="100"/>
    </row>
    <row r="3215" spans="1:3" ht="18.75" customHeight="1" x14ac:dyDescent="0.35">
      <c r="A3215" s="103"/>
      <c r="C3215" s="100"/>
    </row>
    <row r="3216" spans="1:3" ht="18.75" customHeight="1" x14ac:dyDescent="0.35">
      <c r="A3216" s="103"/>
      <c r="C3216" s="100"/>
    </row>
    <row r="3217" spans="1:3" ht="18.75" customHeight="1" x14ac:dyDescent="0.35">
      <c r="A3217" s="103"/>
      <c r="C3217" s="100"/>
    </row>
    <row r="3218" spans="1:3" ht="18.75" customHeight="1" x14ac:dyDescent="0.35">
      <c r="A3218" s="103"/>
      <c r="C3218" s="100"/>
    </row>
    <row r="3219" spans="1:3" ht="18.75" customHeight="1" x14ac:dyDescent="0.35">
      <c r="A3219" s="103"/>
      <c r="C3219" s="100"/>
    </row>
    <row r="3220" spans="1:3" ht="18.75" customHeight="1" x14ac:dyDescent="0.35">
      <c r="A3220" s="103"/>
      <c r="C3220" s="100"/>
    </row>
    <row r="3221" spans="1:3" ht="18.75" customHeight="1" x14ac:dyDescent="0.35">
      <c r="A3221" s="103"/>
      <c r="C3221" s="100"/>
    </row>
    <row r="3222" spans="1:3" ht="18.75" customHeight="1" x14ac:dyDescent="0.35">
      <c r="A3222" s="103"/>
      <c r="C3222" s="100"/>
    </row>
    <row r="3223" spans="1:3" ht="18.75" customHeight="1" x14ac:dyDescent="0.35">
      <c r="A3223" s="103"/>
      <c r="C3223" s="100"/>
    </row>
    <row r="3224" spans="1:3" ht="18.75" customHeight="1" x14ac:dyDescent="0.35">
      <c r="A3224" s="103"/>
      <c r="C3224" s="100"/>
    </row>
    <row r="3225" spans="1:3" ht="18.75" customHeight="1" x14ac:dyDescent="0.35">
      <c r="A3225" s="103"/>
      <c r="C3225" s="100"/>
    </row>
    <row r="3226" spans="1:3" ht="18.75" customHeight="1" x14ac:dyDescent="0.35">
      <c r="A3226" s="103"/>
      <c r="C3226" s="100"/>
    </row>
    <row r="3227" spans="1:3" ht="18.75" customHeight="1" x14ac:dyDescent="0.35">
      <c r="A3227" s="103"/>
      <c r="C3227" s="100"/>
    </row>
    <row r="3228" spans="1:3" ht="18.75" customHeight="1" x14ac:dyDescent="0.35">
      <c r="A3228" s="103"/>
      <c r="C3228" s="100"/>
    </row>
    <row r="3229" spans="1:3" ht="18.75" customHeight="1" x14ac:dyDescent="0.35">
      <c r="A3229" s="103"/>
      <c r="C3229" s="100"/>
    </row>
    <row r="3230" spans="1:3" ht="18.75" customHeight="1" x14ac:dyDescent="0.35">
      <c r="A3230" s="103"/>
      <c r="C3230" s="100"/>
    </row>
    <row r="3231" spans="1:3" ht="18.75" customHeight="1" x14ac:dyDescent="0.35">
      <c r="A3231" s="103"/>
      <c r="C3231" s="100"/>
    </row>
    <row r="3232" spans="1:3" ht="18.75" customHeight="1" x14ac:dyDescent="0.35">
      <c r="A3232" s="103"/>
      <c r="C3232" s="100"/>
    </row>
    <row r="3233" spans="1:3" ht="18.75" customHeight="1" x14ac:dyDescent="0.35">
      <c r="A3233" s="103"/>
      <c r="C3233" s="100"/>
    </row>
    <row r="3234" spans="1:3" ht="18.75" customHeight="1" x14ac:dyDescent="0.35">
      <c r="A3234" s="103"/>
      <c r="C3234" s="100"/>
    </row>
    <row r="3235" spans="1:3" ht="18.75" customHeight="1" x14ac:dyDescent="0.35">
      <c r="A3235" s="103"/>
      <c r="C3235" s="100"/>
    </row>
    <row r="3236" spans="1:3" ht="18.75" customHeight="1" x14ac:dyDescent="0.35">
      <c r="A3236" s="103"/>
      <c r="C3236" s="100"/>
    </row>
    <row r="3237" spans="1:3" ht="18.75" customHeight="1" x14ac:dyDescent="0.35">
      <c r="A3237" s="103"/>
      <c r="C3237" s="100"/>
    </row>
    <row r="3238" spans="1:3" ht="18.75" customHeight="1" x14ac:dyDescent="0.35">
      <c r="A3238" s="103"/>
      <c r="C3238" s="100"/>
    </row>
    <row r="3239" spans="1:3" ht="18.75" customHeight="1" x14ac:dyDescent="0.35">
      <c r="A3239" s="103"/>
      <c r="C3239" s="100"/>
    </row>
    <row r="3240" spans="1:3" ht="18.75" customHeight="1" x14ac:dyDescent="0.35">
      <c r="A3240" s="103"/>
      <c r="C3240" s="100"/>
    </row>
    <row r="3241" spans="1:3" ht="18.75" customHeight="1" x14ac:dyDescent="0.35">
      <c r="A3241" s="103"/>
      <c r="C3241" s="100"/>
    </row>
    <row r="3242" spans="1:3" ht="18.75" customHeight="1" x14ac:dyDescent="0.35">
      <c r="A3242" s="103"/>
      <c r="C3242" s="100"/>
    </row>
    <row r="3243" spans="1:3" ht="18.75" customHeight="1" x14ac:dyDescent="0.35">
      <c r="A3243" s="103"/>
      <c r="C3243" s="100"/>
    </row>
    <row r="3244" spans="1:3" ht="18.75" customHeight="1" x14ac:dyDescent="0.35">
      <c r="A3244" s="103"/>
      <c r="C3244" s="100"/>
    </row>
    <row r="3245" spans="1:3" ht="18.75" customHeight="1" x14ac:dyDescent="0.35">
      <c r="A3245" s="103"/>
      <c r="C3245" s="100"/>
    </row>
    <row r="3246" spans="1:3" ht="18.75" customHeight="1" x14ac:dyDescent="0.35">
      <c r="A3246" s="103"/>
      <c r="C3246" s="100"/>
    </row>
    <row r="3247" spans="1:3" ht="18.75" customHeight="1" x14ac:dyDescent="0.35">
      <c r="A3247" s="103"/>
      <c r="C3247" s="100"/>
    </row>
    <row r="3248" spans="1:3" ht="18.75" customHeight="1" x14ac:dyDescent="0.35">
      <c r="A3248" s="103"/>
      <c r="C3248" s="100"/>
    </row>
    <row r="3249" spans="1:3" ht="18.75" customHeight="1" x14ac:dyDescent="0.35">
      <c r="A3249" s="103"/>
      <c r="C3249" s="100"/>
    </row>
    <row r="3250" spans="1:3" ht="18.75" customHeight="1" x14ac:dyDescent="0.35">
      <c r="A3250" s="103"/>
      <c r="C3250" s="100"/>
    </row>
    <row r="3251" spans="1:3" ht="18.75" customHeight="1" x14ac:dyDescent="0.35">
      <c r="A3251" s="103"/>
      <c r="C3251" s="100"/>
    </row>
    <row r="3252" spans="1:3" ht="18.75" customHeight="1" x14ac:dyDescent="0.35">
      <c r="A3252" s="103"/>
      <c r="C3252" s="100"/>
    </row>
    <row r="3253" spans="1:3" ht="18.75" customHeight="1" x14ac:dyDescent="0.35">
      <c r="A3253" s="103"/>
      <c r="C3253" s="100"/>
    </row>
    <row r="3254" spans="1:3" ht="18.75" customHeight="1" x14ac:dyDescent="0.35">
      <c r="A3254" s="103"/>
      <c r="C3254" s="100"/>
    </row>
    <row r="3255" spans="1:3" ht="18.75" customHeight="1" x14ac:dyDescent="0.35">
      <c r="A3255" s="103"/>
      <c r="C3255" s="100"/>
    </row>
    <row r="3256" spans="1:3" ht="18.75" customHeight="1" x14ac:dyDescent="0.35">
      <c r="A3256" s="103"/>
      <c r="C3256" s="100"/>
    </row>
    <row r="3257" spans="1:3" ht="18.75" customHeight="1" x14ac:dyDescent="0.35">
      <c r="A3257" s="103"/>
      <c r="C3257" s="100"/>
    </row>
    <row r="3258" spans="1:3" ht="18.75" customHeight="1" x14ac:dyDescent="0.35">
      <c r="A3258" s="103"/>
      <c r="C3258" s="100"/>
    </row>
    <row r="3259" spans="1:3" ht="18.75" customHeight="1" x14ac:dyDescent="0.35">
      <c r="A3259" s="103"/>
      <c r="C3259" s="100"/>
    </row>
    <row r="3260" spans="1:3" ht="18.75" customHeight="1" x14ac:dyDescent="0.35">
      <c r="A3260" s="103"/>
      <c r="C3260" s="100"/>
    </row>
    <row r="3261" spans="1:3" ht="18.75" customHeight="1" x14ac:dyDescent="0.35">
      <c r="A3261" s="103"/>
      <c r="C3261" s="100"/>
    </row>
    <row r="3262" spans="1:3" ht="18.75" customHeight="1" x14ac:dyDescent="0.35">
      <c r="A3262" s="103"/>
      <c r="C3262" s="100"/>
    </row>
    <row r="3263" spans="1:3" ht="18.75" customHeight="1" x14ac:dyDescent="0.35">
      <c r="A3263" s="103"/>
      <c r="C3263" s="100"/>
    </row>
    <row r="3264" spans="1:3" ht="18.75" customHeight="1" x14ac:dyDescent="0.35">
      <c r="A3264" s="103"/>
      <c r="C3264" s="100"/>
    </row>
    <row r="3265" spans="1:3" ht="18.75" customHeight="1" x14ac:dyDescent="0.35">
      <c r="A3265" s="103"/>
      <c r="C3265" s="100"/>
    </row>
    <row r="3266" spans="1:3" ht="18.75" customHeight="1" x14ac:dyDescent="0.35">
      <c r="A3266" s="103"/>
      <c r="C3266" s="100"/>
    </row>
    <row r="3267" spans="1:3" ht="18.75" customHeight="1" x14ac:dyDescent="0.35">
      <c r="A3267" s="103"/>
      <c r="C3267" s="100"/>
    </row>
    <row r="3268" spans="1:3" ht="18.75" customHeight="1" x14ac:dyDescent="0.35">
      <c r="A3268" s="103"/>
      <c r="C3268" s="100"/>
    </row>
    <row r="3269" spans="1:3" ht="18.75" customHeight="1" x14ac:dyDescent="0.35">
      <c r="A3269" s="103"/>
      <c r="C3269" s="100"/>
    </row>
    <row r="3270" spans="1:3" ht="18.75" customHeight="1" x14ac:dyDescent="0.35">
      <c r="A3270" s="103"/>
      <c r="C3270" s="100"/>
    </row>
    <row r="3271" spans="1:3" ht="18.75" customHeight="1" x14ac:dyDescent="0.35">
      <c r="A3271" s="103"/>
      <c r="C3271" s="100"/>
    </row>
    <row r="3272" spans="1:3" ht="18.75" customHeight="1" x14ac:dyDescent="0.35">
      <c r="A3272" s="103"/>
      <c r="C3272" s="100"/>
    </row>
    <row r="3273" spans="1:3" ht="18.75" customHeight="1" x14ac:dyDescent="0.35">
      <c r="A3273" s="103"/>
      <c r="C3273" s="100"/>
    </row>
    <row r="3274" spans="1:3" ht="18.75" customHeight="1" x14ac:dyDescent="0.35">
      <c r="A3274" s="103"/>
      <c r="C3274" s="100"/>
    </row>
    <row r="3275" spans="1:3" ht="18.75" customHeight="1" x14ac:dyDescent="0.35">
      <c r="A3275" s="103"/>
      <c r="C3275" s="100"/>
    </row>
    <row r="3276" spans="1:3" ht="18.75" customHeight="1" x14ac:dyDescent="0.35">
      <c r="A3276" s="103"/>
      <c r="C3276" s="100"/>
    </row>
    <row r="3277" spans="1:3" ht="18.75" customHeight="1" x14ac:dyDescent="0.35">
      <c r="A3277" s="103"/>
      <c r="C3277" s="100"/>
    </row>
    <row r="3278" spans="1:3" ht="18.75" customHeight="1" x14ac:dyDescent="0.35">
      <c r="A3278" s="103"/>
      <c r="C3278" s="100"/>
    </row>
    <row r="3279" spans="1:3" ht="18.75" customHeight="1" x14ac:dyDescent="0.35">
      <c r="A3279" s="103"/>
      <c r="C3279" s="100"/>
    </row>
    <row r="3280" spans="1:3" ht="18.75" customHeight="1" x14ac:dyDescent="0.35">
      <c r="A3280" s="103"/>
      <c r="C3280" s="100"/>
    </row>
    <row r="3281" spans="1:3" ht="18.75" customHeight="1" x14ac:dyDescent="0.35">
      <c r="A3281" s="103"/>
      <c r="C3281" s="100"/>
    </row>
    <row r="3282" spans="1:3" ht="18.75" customHeight="1" x14ac:dyDescent="0.35">
      <c r="A3282" s="103"/>
      <c r="C3282" s="100"/>
    </row>
    <row r="3283" spans="1:3" ht="18.75" customHeight="1" x14ac:dyDescent="0.35">
      <c r="A3283" s="103"/>
      <c r="C3283" s="100"/>
    </row>
    <row r="3284" spans="1:3" ht="18.75" customHeight="1" x14ac:dyDescent="0.35">
      <c r="A3284" s="103"/>
      <c r="C3284" s="100"/>
    </row>
    <row r="3285" spans="1:3" ht="18.75" customHeight="1" x14ac:dyDescent="0.35">
      <c r="A3285" s="103"/>
      <c r="C3285" s="100"/>
    </row>
    <row r="3286" spans="1:3" ht="18.75" customHeight="1" x14ac:dyDescent="0.35">
      <c r="A3286" s="103"/>
      <c r="C3286" s="100"/>
    </row>
    <row r="3287" spans="1:3" ht="18.75" customHeight="1" x14ac:dyDescent="0.35">
      <c r="A3287" s="103"/>
      <c r="C3287" s="100"/>
    </row>
    <row r="3288" spans="1:3" ht="18.75" customHeight="1" x14ac:dyDescent="0.35">
      <c r="A3288" s="103"/>
      <c r="C3288" s="100"/>
    </row>
    <row r="3289" spans="1:3" ht="18.75" customHeight="1" x14ac:dyDescent="0.35">
      <c r="A3289" s="103"/>
      <c r="C3289" s="100"/>
    </row>
    <row r="3290" spans="1:3" ht="18.75" customHeight="1" x14ac:dyDescent="0.35">
      <c r="A3290" s="103"/>
      <c r="C3290" s="100"/>
    </row>
    <row r="3291" spans="1:3" ht="18.75" customHeight="1" x14ac:dyDescent="0.35">
      <c r="A3291" s="103"/>
      <c r="C3291" s="100"/>
    </row>
    <row r="3292" spans="1:3" ht="18.75" customHeight="1" x14ac:dyDescent="0.35">
      <c r="A3292" s="103"/>
      <c r="C3292" s="100"/>
    </row>
    <row r="3293" spans="1:3" ht="18.75" customHeight="1" x14ac:dyDescent="0.35">
      <c r="A3293" s="103"/>
      <c r="C3293" s="100"/>
    </row>
    <row r="3294" spans="1:3" ht="18.75" customHeight="1" x14ac:dyDescent="0.35">
      <c r="A3294" s="103"/>
      <c r="C3294" s="100"/>
    </row>
    <row r="3295" spans="1:3" ht="18.75" customHeight="1" x14ac:dyDescent="0.35">
      <c r="A3295" s="103"/>
      <c r="C3295" s="100"/>
    </row>
    <row r="3296" spans="1:3" ht="18.75" customHeight="1" x14ac:dyDescent="0.35">
      <c r="A3296" s="103"/>
      <c r="C3296" s="100"/>
    </row>
    <row r="3297" spans="1:3" ht="18.75" customHeight="1" x14ac:dyDescent="0.35">
      <c r="A3297" s="103"/>
      <c r="C3297" s="100"/>
    </row>
    <row r="3298" spans="1:3" ht="18.75" customHeight="1" x14ac:dyDescent="0.35">
      <c r="A3298" s="103"/>
      <c r="C3298" s="100"/>
    </row>
    <row r="3299" spans="1:3" ht="18.75" customHeight="1" x14ac:dyDescent="0.35">
      <c r="A3299" s="103"/>
      <c r="C3299" s="100"/>
    </row>
    <row r="3300" spans="1:3" ht="18.75" customHeight="1" x14ac:dyDescent="0.35">
      <c r="A3300" s="103"/>
      <c r="C3300" s="100"/>
    </row>
    <row r="3301" spans="1:3" ht="18.75" customHeight="1" x14ac:dyDescent="0.35">
      <c r="A3301" s="103"/>
      <c r="C3301" s="100"/>
    </row>
    <row r="3302" spans="1:3" ht="18.75" customHeight="1" x14ac:dyDescent="0.35">
      <c r="A3302" s="103"/>
      <c r="C3302" s="100"/>
    </row>
    <row r="3303" spans="1:3" ht="18.75" customHeight="1" x14ac:dyDescent="0.35">
      <c r="A3303" s="103"/>
      <c r="C3303" s="100"/>
    </row>
    <row r="3304" spans="1:3" ht="18.75" customHeight="1" x14ac:dyDescent="0.35">
      <c r="A3304" s="103"/>
      <c r="C3304" s="100"/>
    </row>
    <row r="3305" spans="1:3" ht="18.75" customHeight="1" x14ac:dyDescent="0.35">
      <c r="A3305" s="103"/>
      <c r="C3305" s="100"/>
    </row>
    <row r="3306" spans="1:3" ht="18.75" customHeight="1" x14ac:dyDescent="0.35">
      <c r="A3306" s="103"/>
      <c r="C3306" s="100"/>
    </row>
    <row r="3307" spans="1:3" ht="18.75" customHeight="1" x14ac:dyDescent="0.35">
      <c r="A3307" s="103"/>
      <c r="C3307" s="100"/>
    </row>
    <row r="3308" spans="1:3" ht="18.75" customHeight="1" x14ac:dyDescent="0.35">
      <c r="A3308" s="103"/>
      <c r="C3308" s="100"/>
    </row>
    <row r="3309" spans="1:3" ht="18.75" customHeight="1" x14ac:dyDescent="0.35">
      <c r="A3309" s="103"/>
      <c r="C3309" s="100"/>
    </row>
    <row r="3310" spans="1:3" ht="18.75" customHeight="1" x14ac:dyDescent="0.35">
      <c r="A3310" s="103"/>
      <c r="C3310" s="100"/>
    </row>
    <row r="3311" spans="1:3" ht="18.75" customHeight="1" x14ac:dyDescent="0.35">
      <c r="A3311" s="103"/>
      <c r="C3311" s="100"/>
    </row>
    <row r="3312" spans="1:3" ht="18.75" customHeight="1" x14ac:dyDescent="0.35">
      <c r="A3312" s="103"/>
      <c r="C3312" s="100"/>
    </row>
    <row r="3313" spans="1:3" ht="18.75" customHeight="1" x14ac:dyDescent="0.35">
      <c r="A3313" s="103"/>
      <c r="C3313" s="100"/>
    </row>
    <row r="3314" spans="1:3" ht="18.75" customHeight="1" x14ac:dyDescent="0.35">
      <c r="A3314" s="103"/>
      <c r="C3314" s="100"/>
    </row>
    <row r="3315" spans="1:3" ht="18.75" customHeight="1" x14ac:dyDescent="0.35">
      <c r="A3315" s="103"/>
      <c r="C3315" s="100"/>
    </row>
    <row r="3316" spans="1:3" ht="18.75" customHeight="1" x14ac:dyDescent="0.35">
      <c r="A3316" s="103"/>
      <c r="C3316" s="100"/>
    </row>
    <row r="3317" spans="1:3" ht="18.75" customHeight="1" x14ac:dyDescent="0.35">
      <c r="A3317" s="103"/>
      <c r="C3317" s="100"/>
    </row>
    <row r="3318" spans="1:3" ht="18.75" customHeight="1" x14ac:dyDescent="0.35">
      <c r="A3318" s="103"/>
      <c r="C3318" s="100"/>
    </row>
    <row r="3319" spans="1:3" ht="18.75" customHeight="1" x14ac:dyDescent="0.35">
      <c r="A3319" s="103"/>
      <c r="C3319" s="100"/>
    </row>
    <row r="3320" spans="1:3" ht="18.75" customHeight="1" x14ac:dyDescent="0.35">
      <c r="A3320" s="103"/>
      <c r="C3320" s="100"/>
    </row>
    <row r="3321" spans="1:3" ht="18.75" customHeight="1" x14ac:dyDescent="0.35">
      <c r="A3321" s="103"/>
      <c r="C3321" s="100"/>
    </row>
    <row r="3322" spans="1:3" ht="18.75" customHeight="1" x14ac:dyDescent="0.35">
      <c r="A3322" s="103"/>
      <c r="C3322" s="100"/>
    </row>
    <row r="3323" spans="1:3" ht="18.75" customHeight="1" x14ac:dyDescent="0.35">
      <c r="A3323" s="103"/>
      <c r="C3323" s="100"/>
    </row>
    <row r="3324" spans="1:3" ht="18.75" customHeight="1" x14ac:dyDescent="0.35">
      <c r="A3324" s="103"/>
      <c r="C3324" s="100"/>
    </row>
    <row r="3325" spans="1:3" ht="18.75" customHeight="1" x14ac:dyDescent="0.35">
      <c r="A3325" s="103"/>
      <c r="C3325" s="100"/>
    </row>
    <row r="3326" spans="1:3" ht="18.75" customHeight="1" x14ac:dyDescent="0.35">
      <c r="A3326" s="103"/>
      <c r="C3326" s="100"/>
    </row>
    <row r="3327" spans="1:3" ht="18.75" customHeight="1" x14ac:dyDescent="0.35">
      <c r="A3327" s="103"/>
      <c r="C3327" s="100"/>
    </row>
    <row r="3328" spans="1:3" ht="18.75" customHeight="1" x14ac:dyDescent="0.35">
      <c r="A3328" s="103"/>
      <c r="C3328" s="100"/>
    </row>
    <row r="3329" spans="1:3" ht="18.75" customHeight="1" x14ac:dyDescent="0.35">
      <c r="A3329" s="103"/>
      <c r="C3329" s="100"/>
    </row>
    <row r="3330" spans="1:3" ht="18.75" customHeight="1" x14ac:dyDescent="0.35">
      <c r="A3330" s="103"/>
      <c r="C3330" s="100"/>
    </row>
    <row r="3331" spans="1:3" ht="18.75" customHeight="1" x14ac:dyDescent="0.35">
      <c r="A3331" s="103"/>
      <c r="C3331" s="100"/>
    </row>
    <row r="3332" spans="1:3" ht="18.75" customHeight="1" x14ac:dyDescent="0.35">
      <c r="A3332" s="103"/>
      <c r="C3332" s="100"/>
    </row>
    <row r="3333" spans="1:3" ht="18.75" customHeight="1" x14ac:dyDescent="0.35">
      <c r="A3333" s="103"/>
      <c r="C3333" s="100"/>
    </row>
    <row r="3334" spans="1:3" ht="18.75" customHeight="1" x14ac:dyDescent="0.35">
      <c r="A3334" s="103"/>
      <c r="C3334" s="100"/>
    </row>
    <row r="3335" spans="1:3" ht="18.75" customHeight="1" x14ac:dyDescent="0.35">
      <c r="A3335" s="103"/>
      <c r="C3335" s="100"/>
    </row>
    <row r="3336" spans="1:3" ht="18.75" customHeight="1" x14ac:dyDescent="0.35">
      <c r="A3336" s="103"/>
      <c r="C3336" s="100"/>
    </row>
    <row r="3337" spans="1:3" ht="18.75" customHeight="1" x14ac:dyDescent="0.35">
      <c r="A3337" s="103"/>
      <c r="C3337" s="100"/>
    </row>
    <row r="3338" spans="1:3" ht="18.75" customHeight="1" x14ac:dyDescent="0.35">
      <c r="A3338" s="103"/>
      <c r="C3338" s="100"/>
    </row>
    <row r="3339" spans="1:3" ht="18.75" customHeight="1" x14ac:dyDescent="0.35">
      <c r="A3339" s="103"/>
      <c r="C3339" s="100"/>
    </row>
    <row r="3340" spans="1:3" ht="18.75" customHeight="1" x14ac:dyDescent="0.35">
      <c r="A3340" s="103"/>
      <c r="C3340" s="100"/>
    </row>
    <row r="3341" spans="1:3" ht="18.75" customHeight="1" x14ac:dyDescent="0.35">
      <c r="A3341" s="103"/>
      <c r="C3341" s="100"/>
    </row>
    <row r="3342" spans="1:3" ht="18.75" customHeight="1" x14ac:dyDescent="0.35">
      <c r="A3342" s="103"/>
      <c r="C3342" s="100"/>
    </row>
    <row r="3343" spans="1:3" ht="18.75" customHeight="1" x14ac:dyDescent="0.35">
      <c r="A3343" s="103"/>
      <c r="C3343" s="100"/>
    </row>
    <row r="3344" spans="1:3" ht="18.75" customHeight="1" x14ac:dyDescent="0.35">
      <c r="A3344" s="103"/>
      <c r="C3344" s="100"/>
    </row>
    <row r="3345" spans="1:3" ht="18.75" customHeight="1" x14ac:dyDescent="0.35">
      <c r="A3345" s="103"/>
      <c r="C3345" s="100"/>
    </row>
    <row r="3346" spans="1:3" ht="18.75" customHeight="1" x14ac:dyDescent="0.35">
      <c r="A3346" s="103"/>
      <c r="C3346" s="100"/>
    </row>
    <row r="3347" spans="1:3" ht="18.75" customHeight="1" x14ac:dyDescent="0.35">
      <c r="A3347" s="103"/>
      <c r="C3347" s="100"/>
    </row>
    <row r="3348" spans="1:3" ht="18.75" customHeight="1" x14ac:dyDescent="0.35">
      <c r="A3348" s="103"/>
      <c r="C3348" s="100"/>
    </row>
    <row r="3349" spans="1:3" ht="18.75" customHeight="1" x14ac:dyDescent="0.35">
      <c r="A3349" s="103"/>
      <c r="C3349" s="100"/>
    </row>
    <row r="3350" spans="1:3" ht="18.75" customHeight="1" x14ac:dyDescent="0.35">
      <c r="A3350" s="103"/>
      <c r="C3350" s="100"/>
    </row>
    <row r="3351" spans="1:3" ht="18.75" customHeight="1" x14ac:dyDescent="0.35">
      <c r="A3351" s="103"/>
      <c r="C3351" s="100"/>
    </row>
    <row r="3352" spans="1:3" ht="18.75" customHeight="1" x14ac:dyDescent="0.35">
      <c r="A3352" s="103"/>
      <c r="C3352" s="100"/>
    </row>
    <row r="3353" spans="1:3" ht="18.75" customHeight="1" x14ac:dyDescent="0.35">
      <c r="A3353" s="103"/>
      <c r="C3353" s="100"/>
    </row>
    <row r="3354" spans="1:3" ht="18.75" customHeight="1" x14ac:dyDescent="0.35">
      <c r="A3354" s="103"/>
      <c r="C3354" s="100"/>
    </row>
    <row r="3355" spans="1:3" ht="18.75" customHeight="1" x14ac:dyDescent="0.35">
      <c r="A3355" s="103"/>
      <c r="C3355" s="100"/>
    </row>
    <row r="3356" spans="1:3" ht="18.75" customHeight="1" x14ac:dyDescent="0.35">
      <c r="A3356" s="103"/>
      <c r="C3356" s="100"/>
    </row>
    <row r="3357" spans="1:3" ht="18.75" customHeight="1" x14ac:dyDescent="0.35">
      <c r="A3357" s="103"/>
      <c r="C3357" s="100"/>
    </row>
    <row r="3358" spans="1:3" ht="18.75" customHeight="1" x14ac:dyDescent="0.35">
      <c r="A3358" s="103"/>
      <c r="C3358" s="100"/>
    </row>
    <row r="3359" spans="1:3" ht="18.75" customHeight="1" x14ac:dyDescent="0.35">
      <c r="A3359" s="103"/>
      <c r="C3359" s="100"/>
    </row>
    <row r="3360" spans="1:3" ht="18.75" customHeight="1" x14ac:dyDescent="0.35">
      <c r="A3360" s="103"/>
      <c r="C3360" s="100"/>
    </row>
    <row r="3361" spans="1:3" ht="18.75" customHeight="1" x14ac:dyDescent="0.35">
      <c r="A3361" s="103"/>
      <c r="C3361" s="100"/>
    </row>
    <row r="3362" spans="1:3" ht="18.75" customHeight="1" x14ac:dyDescent="0.35">
      <c r="A3362" s="103"/>
      <c r="C3362" s="100"/>
    </row>
    <row r="3363" spans="1:3" ht="18.75" customHeight="1" x14ac:dyDescent="0.35">
      <c r="A3363" s="103"/>
      <c r="C3363" s="100"/>
    </row>
    <row r="3364" spans="1:3" ht="18.75" customHeight="1" x14ac:dyDescent="0.35">
      <c r="A3364" s="103"/>
      <c r="C3364" s="100"/>
    </row>
    <row r="3365" spans="1:3" ht="18.75" customHeight="1" x14ac:dyDescent="0.35">
      <c r="A3365" s="103"/>
      <c r="C3365" s="100"/>
    </row>
    <row r="3366" spans="1:3" ht="18.75" customHeight="1" x14ac:dyDescent="0.35">
      <c r="A3366" s="103"/>
      <c r="C3366" s="100"/>
    </row>
    <row r="3367" spans="1:3" ht="18.75" customHeight="1" x14ac:dyDescent="0.35">
      <c r="A3367" s="103"/>
      <c r="C3367" s="100"/>
    </row>
    <row r="3368" spans="1:3" ht="18.75" customHeight="1" x14ac:dyDescent="0.35">
      <c r="A3368" s="103"/>
      <c r="C3368" s="100"/>
    </row>
    <row r="3369" spans="1:3" ht="18.75" customHeight="1" x14ac:dyDescent="0.35">
      <c r="A3369" s="103"/>
      <c r="C3369" s="100"/>
    </row>
    <row r="3370" spans="1:3" ht="18.75" customHeight="1" x14ac:dyDescent="0.35">
      <c r="A3370" s="103"/>
      <c r="C3370" s="100"/>
    </row>
    <row r="3371" spans="1:3" ht="18.75" customHeight="1" x14ac:dyDescent="0.35">
      <c r="A3371" s="103"/>
      <c r="C3371" s="100"/>
    </row>
    <row r="3372" spans="1:3" ht="18.75" customHeight="1" x14ac:dyDescent="0.35">
      <c r="A3372" s="103"/>
      <c r="C3372" s="100"/>
    </row>
    <row r="3373" spans="1:3" ht="18.75" customHeight="1" x14ac:dyDescent="0.35">
      <c r="A3373" s="103"/>
      <c r="C3373" s="100"/>
    </row>
    <row r="3374" spans="1:3" ht="18.75" customHeight="1" x14ac:dyDescent="0.35">
      <c r="A3374" s="103"/>
      <c r="C3374" s="100"/>
    </row>
    <row r="3375" spans="1:3" ht="18.75" customHeight="1" x14ac:dyDescent="0.35">
      <c r="A3375" s="103"/>
      <c r="C3375" s="100"/>
    </row>
    <row r="3376" spans="1:3" ht="18.75" customHeight="1" x14ac:dyDescent="0.35">
      <c r="A3376" s="103"/>
      <c r="C3376" s="100"/>
    </row>
    <row r="3377" spans="1:3" ht="18.75" customHeight="1" x14ac:dyDescent="0.35">
      <c r="A3377" s="103"/>
      <c r="C3377" s="100"/>
    </row>
    <row r="3378" spans="1:3" ht="18.75" customHeight="1" x14ac:dyDescent="0.35">
      <c r="A3378" s="103"/>
      <c r="C3378" s="100"/>
    </row>
    <row r="3379" spans="1:3" ht="18.75" customHeight="1" x14ac:dyDescent="0.35">
      <c r="A3379" s="103"/>
      <c r="C3379" s="100"/>
    </row>
    <row r="3380" spans="1:3" ht="18.75" customHeight="1" x14ac:dyDescent="0.35">
      <c r="A3380" s="103"/>
      <c r="C3380" s="100"/>
    </row>
    <row r="3381" spans="1:3" ht="18.75" customHeight="1" x14ac:dyDescent="0.35">
      <c r="A3381" s="103"/>
      <c r="C3381" s="100"/>
    </row>
    <row r="3382" spans="1:3" ht="18.75" customHeight="1" x14ac:dyDescent="0.35">
      <c r="A3382" s="103"/>
      <c r="C3382" s="100"/>
    </row>
    <row r="3383" spans="1:3" ht="18.75" customHeight="1" x14ac:dyDescent="0.35">
      <c r="A3383" s="103"/>
      <c r="C3383" s="100"/>
    </row>
    <row r="3384" spans="1:3" ht="18.75" customHeight="1" x14ac:dyDescent="0.35">
      <c r="A3384" s="103"/>
      <c r="C3384" s="100"/>
    </row>
    <row r="3385" spans="1:3" ht="18.75" customHeight="1" x14ac:dyDescent="0.35">
      <c r="A3385" s="103"/>
      <c r="C3385" s="100"/>
    </row>
    <row r="3386" spans="1:3" ht="18.75" customHeight="1" x14ac:dyDescent="0.35">
      <c r="A3386" s="103"/>
      <c r="C3386" s="100"/>
    </row>
    <row r="3387" spans="1:3" ht="18.75" customHeight="1" x14ac:dyDescent="0.35">
      <c r="A3387" s="103"/>
      <c r="C3387" s="100"/>
    </row>
    <row r="3388" spans="1:3" ht="18.75" customHeight="1" x14ac:dyDescent="0.35">
      <c r="A3388" s="103"/>
      <c r="C3388" s="100"/>
    </row>
    <row r="3389" spans="1:3" ht="18.75" customHeight="1" x14ac:dyDescent="0.35">
      <c r="A3389" s="103"/>
      <c r="C3389" s="100"/>
    </row>
    <row r="3390" spans="1:3" ht="18.75" customHeight="1" x14ac:dyDescent="0.35">
      <c r="A3390" s="103"/>
      <c r="C3390" s="100"/>
    </row>
    <row r="3391" spans="1:3" ht="18.75" customHeight="1" x14ac:dyDescent="0.35">
      <c r="A3391" s="103"/>
      <c r="C3391" s="100"/>
    </row>
    <row r="3392" spans="1:3" ht="18.75" customHeight="1" x14ac:dyDescent="0.35">
      <c r="A3392" s="103"/>
      <c r="C3392" s="100"/>
    </row>
    <row r="3393" spans="1:3" ht="18.75" customHeight="1" x14ac:dyDescent="0.35">
      <c r="A3393" s="103"/>
      <c r="C3393" s="100"/>
    </row>
    <row r="3394" spans="1:3" ht="18.75" customHeight="1" x14ac:dyDescent="0.35">
      <c r="A3394" s="103"/>
      <c r="C3394" s="100"/>
    </row>
    <row r="3395" spans="1:3" ht="18.75" customHeight="1" x14ac:dyDescent="0.35">
      <c r="A3395" s="103"/>
      <c r="C3395" s="100"/>
    </row>
    <row r="3396" spans="1:3" ht="18.75" customHeight="1" x14ac:dyDescent="0.35">
      <c r="A3396" s="103"/>
      <c r="C3396" s="100"/>
    </row>
    <row r="3397" spans="1:3" ht="18.75" customHeight="1" x14ac:dyDescent="0.35">
      <c r="A3397" s="103"/>
      <c r="C3397" s="100"/>
    </row>
    <row r="3398" spans="1:3" ht="18.75" customHeight="1" x14ac:dyDescent="0.35">
      <c r="A3398" s="103"/>
      <c r="C3398" s="100"/>
    </row>
    <row r="3399" spans="1:3" ht="18.75" customHeight="1" x14ac:dyDescent="0.35">
      <c r="A3399" s="103"/>
      <c r="C3399" s="100"/>
    </row>
    <row r="3400" spans="1:3" ht="18.75" customHeight="1" x14ac:dyDescent="0.35">
      <c r="A3400" s="103"/>
      <c r="C3400" s="100"/>
    </row>
    <row r="3401" spans="1:3" ht="18.75" customHeight="1" x14ac:dyDescent="0.35">
      <c r="A3401" s="103"/>
      <c r="C3401" s="100"/>
    </row>
    <row r="3402" spans="1:3" ht="18.75" customHeight="1" x14ac:dyDescent="0.35">
      <c r="A3402" s="103"/>
      <c r="C3402" s="100"/>
    </row>
    <row r="3403" spans="1:3" ht="18.75" customHeight="1" x14ac:dyDescent="0.35">
      <c r="A3403" s="103"/>
      <c r="C3403" s="100"/>
    </row>
    <row r="3404" spans="1:3" ht="18.75" customHeight="1" x14ac:dyDescent="0.35">
      <c r="A3404" s="103"/>
      <c r="C3404" s="100"/>
    </row>
    <row r="3405" spans="1:3" ht="18.75" customHeight="1" x14ac:dyDescent="0.35">
      <c r="A3405" s="103"/>
      <c r="C3405" s="100"/>
    </row>
    <row r="3406" spans="1:3" ht="18.75" customHeight="1" x14ac:dyDescent="0.35">
      <c r="A3406" s="103"/>
      <c r="C3406" s="100"/>
    </row>
    <row r="3407" spans="1:3" ht="18.75" customHeight="1" x14ac:dyDescent="0.35">
      <c r="A3407" s="103"/>
      <c r="C3407" s="100"/>
    </row>
    <row r="3408" spans="1:3" ht="18.75" customHeight="1" x14ac:dyDescent="0.35">
      <c r="A3408" s="103"/>
      <c r="C3408" s="100"/>
    </row>
    <row r="3409" spans="1:3" ht="18.75" customHeight="1" x14ac:dyDescent="0.35">
      <c r="A3409" s="103"/>
      <c r="C3409" s="100"/>
    </row>
    <row r="3410" spans="1:3" ht="18.75" customHeight="1" x14ac:dyDescent="0.35">
      <c r="A3410" s="103"/>
      <c r="C3410" s="100"/>
    </row>
    <row r="3411" spans="1:3" ht="18.75" customHeight="1" x14ac:dyDescent="0.35">
      <c r="A3411" s="103"/>
      <c r="C3411" s="100"/>
    </row>
    <row r="3412" spans="1:3" ht="18.75" customHeight="1" x14ac:dyDescent="0.35">
      <c r="A3412" s="103"/>
      <c r="C3412" s="100"/>
    </row>
    <row r="3413" spans="1:3" ht="18.75" customHeight="1" x14ac:dyDescent="0.35">
      <c r="A3413" s="103"/>
      <c r="C3413" s="100"/>
    </row>
    <row r="3414" spans="1:3" ht="18.75" customHeight="1" x14ac:dyDescent="0.35">
      <c r="A3414" s="103"/>
      <c r="C3414" s="100"/>
    </row>
    <row r="3415" spans="1:3" ht="18.75" customHeight="1" x14ac:dyDescent="0.35">
      <c r="A3415" s="103"/>
      <c r="C3415" s="100"/>
    </row>
    <row r="3416" spans="1:3" ht="18.75" customHeight="1" x14ac:dyDescent="0.35">
      <c r="A3416" s="103"/>
      <c r="C3416" s="100"/>
    </row>
    <row r="3417" spans="1:3" ht="18.75" customHeight="1" x14ac:dyDescent="0.35">
      <c r="A3417" s="103"/>
      <c r="C3417" s="100"/>
    </row>
    <row r="3418" spans="1:3" ht="18.75" customHeight="1" x14ac:dyDescent="0.35">
      <c r="A3418" s="103"/>
      <c r="C3418" s="100"/>
    </row>
    <row r="3419" spans="1:3" ht="18.75" customHeight="1" x14ac:dyDescent="0.35">
      <c r="A3419" s="103"/>
      <c r="C3419" s="100"/>
    </row>
    <row r="3420" spans="1:3" ht="18.75" customHeight="1" x14ac:dyDescent="0.35">
      <c r="A3420" s="103"/>
      <c r="C3420" s="100"/>
    </row>
    <row r="3421" spans="1:3" ht="18.75" customHeight="1" x14ac:dyDescent="0.35">
      <c r="A3421" s="103"/>
      <c r="C3421" s="100"/>
    </row>
    <row r="3422" spans="1:3" ht="18.75" customHeight="1" x14ac:dyDescent="0.35">
      <c r="A3422" s="103"/>
      <c r="C3422" s="100"/>
    </row>
    <row r="3423" spans="1:3" ht="18.75" customHeight="1" x14ac:dyDescent="0.35">
      <c r="A3423" s="103"/>
      <c r="C3423" s="100"/>
    </row>
    <row r="3424" spans="1:3" ht="18.75" customHeight="1" x14ac:dyDescent="0.35">
      <c r="A3424" s="103"/>
      <c r="C3424" s="100"/>
    </row>
    <row r="3425" spans="1:3" ht="18.75" customHeight="1" x14ac:dyDescent="0.35">
      <c r="A3425" s="103"/>
      <c r="C3425" s="100"/>
    </row>
    <row r="3426" spans="1:3" ht="18.75" customHeight="1" x14ac:dyDescent="0.35">
      <c r="A3426" s="103"/>
      <c r="C3426" s="100"/>
    </row>
    <row r="3427" spans="1:3" ht="18.75" customHeight="1" x14ac:dyDescent="0.35">
      <c r="A3427" s="103"/>
      <c r="C3427" s="100"/>
    </row>
    <row r="3428" spans="1:3" ht="18.75" customHeight="1" x14ac:dyDescent="0.35">
      <c r="A3428" s="103"/>
      <c r="C3428" s="100"/>
    </row>
    <row r="3429" spans="1:3" ht="18.75" customHeight="1" x14ac:dyDescent="0.35">
      <c r="A3429" s="103"/>
      <c r="C3429" s="100"/>
    </row>
    <row r="3430" spans="1:3" ht="18.75" customHeight="1" x14ac:dyDescent="0.35">
      <c r="A3430" s="103"/>
      <c r="C3430" s="100"/>
    </row>
    <row r="3431" spans="1:3" ht="18.75" customHeight="1" x14ac:dyDescent="0.35">
      <c r="A3431" s="103"/>
      <c r="C3431" s="100"/>
    </row>
    <row r="3432" spans="1:3" ht="18.75" customHeight="1" x14ac:dyDescent="0.35">
      <c r="A3432" s="103"/>
      <c r="C3432" s="100"/>
    </row>
    <row r="3433" spans="1:3" ht="18.75" customHeight="1" x14ac:dyDescent="0.35">
      <c r="A3433" s="103"/>
      <c r="C3433" s="100"/>
    </row>
    <row r="3434" spans="1:3" ht="18.75" customHeight="1" x14ac:dyDescent="0.35">
      <c r="A3434" s="103"/>
      <c r="C3434" s="100"/>
    </row>
    <row r="3435" spans="1:3" ht="18.75" customHeight="1" x14ac:dyDescent="0.35">
      <c r="A3435" s="103"/>
      <c r="C3435" s="100"/>
    </row>
    <row r="3436" spans="1:3" ht="18.75" customHeight="1" x14ac:dyDescent="0.35">
      <c r="A3436" s="103"/>
      <c r="C3436" s="100"/>
    </row>
    <row r="3437" spans="1:3" ht="18.75" customHeight="1" x14ac:dyDescent="0.35">
      <c r="A3437" s="103"/>
      <c r="C3437" s="100"/>
    </row>
    <row r="3438" spans="1:3" ht="18.75" customHeight="1" x14ac:dyDescent="0.35">
      <c r="A3438" s="103"/>
      <c r="C3438" s="100"/>
    </row>
    <row r="3439" spans="1:3" ht="18.75" customHeight="1" x14ac:dyDescent="0.35">
      <c r="A3439" s="103"/>
      <c r="C3439" s="100"/>
    </row>
    <row r="3440" spans="1:3" ht="18.75" customHeight="1" x14ac:dyDescent="0.35">
      <c r="A3440" s="103"/>
      <c r="C3440" s="100"/>
    </row>
    <row r="3441" spans="1:3" ht="18.75" customHeight="1" x14ac:dyDescent="0.35">
      <c r="A3441" s="103"/>
      <c r="C3441" s="100"/>
    </row>
    <row r="3442" spans="1:3" ht="18.75" customHeight="1" x14ac:dyDescent="0.35">
      <c r="A3442" s="103"/>
      <c r="C3442" s="100"/>
    </row>
    <row r="3443" spans="1:3" ht="18.75" customHeight="1" x14ac:dyDescent="0.35">
      <c r="A3443" s="103"/>
      <c r="C3443" s="100"/>
    </row>
    <row r="3444" spans="1:3" ht="18.75" customHeight="1" x14ac:dyDescent="0.35">
      <c r="A3444" s="103"/>
      <c r="C3444" s="100"/>
    </row>
    <row r="3445" spans="1:3" ht="18.75" customHeight="1" x14ac:dyDescent="0.35">
      <c r="A3445" s="103"/>
      <c r="C3445" s="100"/>
    </row>
    <row r="3446" spans="1:3" ht="18.75" customHeight="1" x14ac:dyDescent="0.35">
      <c r="A3446" s="103"/>
      <c r="C3446" s="100"/>
    </row>
    <row r="3447" spans="1:3" ht="18.75" customHeight="1" x14ac:dyDescent="0.35">
      <c r="A3447" s="103"/>
      <c r="C3447" s="100"/>
    </row>
    <row r="3448" spans="1:3" ht="18.75" customHeight="1" x14ac:dyDescent="0.35">
      <c r="A3448" s="103"/>
      <c r="C3448" s="100"/>
    </row>
    <row r="3449" spans="1:3" ht="18.75" customHeight="1" x14ac:dyDescent="0.35">
      <c r="A3449" s="103"/>
      <c r="C3449" s="100"/>
    </row>
    <row r="3450" spans="1:3" ht="18.75" customHeight="1" x14ac:dyDescent="0.35">
      <c r="A3450" s="103"/>
      <c r="C3450" s="100"/>
    </row>
    <row r="3451" spans="1:3" ht="18.75" customHeight="1" x14ac:dyDescent="0.35">
      <c r="A3451" s="103"/>
      <c r="C3451" s="100"/>
    </row>
    <row r="3452" spans="1:3" ht="18.75" customHeight="1" x14ac:dyDescent="0.35">
      <c r="A3452" s="103"/>
      <c r="C3452" s="100"/>
    </row>
    <row r="3453" spans="1:3" ht="18.75" customHeight="1" x14ac:dyDescent="0.35">
      <c r="A3453" s="103"/>
      <c r="C3453" s="100"/>
    </row>
    <row r="3454" spans="1:3" ht="18.75" customHeight="1" x14ac:dyDescent="0.35">
      <c r="A3454" s="103"/>
      <c r="C3454" s="100"/>
    </row>
    <row r="3455" spans="1:3" ht="18.75" customHeight="1" x14ac:dyDescent="0.35">
      <c r="A3455" s="103"/>
      <c r="C3455" s="100"/>
    </row>
    <row r="3456" spans="1:3" ht="18.75" customHeight="1" x14ac:dyDescent="0.35">
      <c r="A3456" s="103"/>
      <c r="C3456" s="100"/>
    </row>
    <row r="3457" spans="1:3" ht="18.75" customHeight="1" x14ac:dyDescent="0.35">
      <c r="A3457" s="103"/>
      <c r="C3457" s="100"/>
    </row>
    <row r="3458" spans="1:3" ht="18.75" customHeight="1" x14ac:dyDescent="0.35">
      <c r="A3458" s="103"/>
      <c r="C3458" s="100"/>
    </row>
    <row r="3459" spans="1:3" ht="18.75" customHeight="1" x14ac:dyDescent="0.35">
      <c r="A3459" s="103"/>
      <c r="C3459" s="100"/>
    </row>
    <row r="3460" spans="1:3" ht="18.75" customHeight="1" x14ac:dyDescent="0.35">
      <c r="A3460" s="103"/>
      <c r="C3460" s="100"/>
    </row>
    <row r="3461" spans="1:3" ht="18.75" customHeight="1" x14ac:dyDescent="0.35">
      <c r="A3461" s="103"/>
      <c r="C3461" s="100"/>
    </row>
    <row r="3462" spans="1:3" ht="18.75" customHeight="1" x14ac:dyDescent="0.35">
      <c r="A3462" s="103"/>
      <c r="C3462" s="100"/>
    </row>
    <row r="3463" spans="1:3" ht="18.75" customHeight="1" x14ac:dyDescent="0.35">
      <c r="A3463" s="103"/>
      <c r="C3463" s="100"/>
    </row>
    <row r="3464" spans="1:3" ht="18.75" customHeight="1" x14ac:dyDescent="0.35">
      <c r="A3464" s="103"/>
      <c r="C3464" s="100"/>
    </row>
    <row r="3465" spans="1:3" ht="18.75" customHeight="1" x14ac:dyDescent="0.35">
      <c r="A3465" s="103"/>
      <c r="C3465" s="100"/>
    </row>
    <row r="3466" spans="1:3" ht="18.75" customHeight="1" x14ac:dyDescent="0.35">
      <c r="A3466" s="103"/>
      <c r="C3466" s="100"/>
    </row>
    <row r="3467" spans="1:3" ht="18.75" customHeight="1" x14ac:dyDescent="0.35">
      <c r="A3467" s="103"/>
      <c r="C3467" s="100"/>
    </row>
    <row r="3468" spans="1:3" ht="18.75" customHeight="1" x14ac:dyDescent="0.35">
      <c r="A3468" s="103"/>
      <c r="C3468" s="100"/>
    </row>
    <row r="3469" spans="1:3" ht="18.75" customHeight="1" x14ac:dyDescent="0.35">
      <c r="A3469" s="103"/>
      <c r="C3469" s="100"/>
    </row>
    <row r="3470" spans="1:3" ht="18.75" customHeight="1" x14ac:dyDescent="0.35">
      <c r="A3470" s="103"/>
      <c r="C3470" s="100"/>
    </row>
    <row r="3471" spans="1:3" ht="18.75" customHeight="1" x14ac:dyDescent="0.35">
      <c r="A3471" s="103"/>
      <c r="C3471" s="100"/>
    </row>
    <row r="3472" spans="1:3" ht="18.75" customHeight="1" x14ac:dyDescent="0.35">
      <c r="A3472" s="103"/>
      <c r="C3472" s="100"/>
    </row>
    <row r="3473" spans="1:3" ht="18.75" customHeight="1" x14ac:dyDescent="0.35">
      <c r="A3473" s="103"/>
      <c r="C3473" s="100"/>
    </row>
    <row r="3474" spans="1:3" ht="18.75" customHeight="1" x14ac:dyDescent="0.35">
      <c r="A3474" s="103"/>
      <c r="C3474" s="100"/>
    </row>
    <row r="3475" spans="1:3" ht="18.75" customHeight="1" x14ac:dyDescent="0.35">
      <c r="A3475" s="103"/>
      <c r="C3475" s="100"/>
    </row>
    <row r="3476" spans="1:3" ht="18.75" customHeight="1" x14ac:dyDescent="0.35">
      <c r="A3476" s="103"/>
      <c r="C3476" s="100"/>
    </row>
    <row r="3477" spans="1:3" ht="18.75" customHeight="1" x14ac:dyDescent="0.35">
      <c r="A3477" s="103"/>
      <c r="C3477" s="100"/>
    </row>
    <row r="3478" spans="1:3" ht="18.75" customHeight="1" x14ac:dyDescent="0.35">
      <c r="A3478" s="103"/>
      <c r="C3478" s="100"/>
    </row>
    <row r="3479" spans="1:3" ht="18.75" customHeight="1" x14ac:dyDescent="0.35">
      <c r="A3479" s="103"/>
      <c r="C3479" s="100"/>
    </row>
    <row r="3480" spans="1:3" ht="18.75" customHeight="1" x14ac:dyDescent="0.35">
      <c r="A3480" s="103"/>
      <c r="C3480" s="100"/>
    </row>
    <row r="3481" spans="1:3" ht="18.75" customHeight="1" x14ac:dyDescent="0.35">
      <c r="A3481" s="103"/>
      <c r="C3481" s="100"/>
    </row>
    <row r="3482" spans="1:3" ht="18.75" customHeight="1" x14ac:dyDescent="0.35">
      <c r="A3482" s="103"/>
      <c r="C3482" s="100"/>
    </row>
    <row r="3483" spans="1:3" ht="18.75" customHeight="1" x14ac:dyDescent="0.35">
      <c r="A3483" s="103"/>
      <c r="C3483" s="100"/>
    </row>
    <row r="3484" spans="1:3" ht="18.75" customHeight="1" x14ac:dyDescent="0.35">
      <c r="A3484" s="103"/>
      <c r="C3484" s="100"/>
    </row>
    <row r="3485" spans="1:3" ht="18.75" customHeight="1" x14ac:dyDescent="0.35">
      <c r="A3485" s="103"/>
      <c r="C3485" s="100"/>
    </row>
    <row r="3486" spans="1:3" ht="18.75" customHeight="1" x14ac:dyDescent="0.35">
      <c r="A3486" s="103"/>
      <c r="C3486" s="100"/>
    </row>
    <row r="3487" spans="1:3" ht="18.75" customHeight="1" x14ac:dyDescent="0.35">
      <c r="A3487" s="103"/>
      <c r="C3487" s="100"/>
    </row>
    <row r="3488" spans="1:3" ht="18.75" customHeight="1" x14ac:dyDescent="0.35">
      <c r="A3488" s="103"/>
      <c r="C3488" s="100"/>
    </row>
    <row r="3489" spans="1:3" ht="18.75" customHeight="1" x14ac:dyDescent="0.35">
      <c r="A3489" s="103"/>
      <c r="C3489" s="100"/>
    </row>
    <row r="3490" spans="1:3" ht="18.75" customHeight="1" x14ac:dyDescent="0.35">
      <c r="A3490" s="103"/>
      <c r="C3490" s="100"/>
    </row>
    <row r="3491" spans="1:3" ht="18.75" customHeight="1" x14ac:dyDescent="0.35">
      <c r="A3491" s="103"/>
      <c r="C3491" s="100"/>
    </row>
    <row r="3492" spans="1:3" ht="18.75" customHeight="1" x14ac:dyDescent="0.35">
      <c r="A3492" s="103"/>
      <c r="C3492" s="100"/>
    </row>
    <row r="3493" spans="1:3" ht="18.75" customHeight="1" x14ac:dyDescent="0.35">
      <c r="A3493" s="103"/>
      <c r="C3493" s="100"/>
    </row>
    <row r="3494" spans="1:3" ht="18.75" customHeight="1" x14ac:dyDescent="0.35">
      <c r="A3494" s="103"/>
      <c r="C3494" s="100"/>
    </row>
    <row r="3495" spans="1:3" ht="18.75" customHeight="1" x14ac:dyDescent="0.35">
      <c r="A3495" s="103"/>
      <c r="C3495" s="100"/>
    </row>
    <row r="3496" spans="1:3" ht="18.75" customHeight="1" x14ac:dyDescent="0.35">
      <c r="A3496" s="103"/>
      <c r="C3496" s="100"/>
    </row>
    <row r="3497" spans="1:3" ht="18.75" customHeight="1" x14ac:dyDescent="0.35">
      <c r="A3497" s="103"/>
      <c r="C3497" s="100"/>
    </row>
    <row r="3498" spans="1:3" ht="18.75" customHeight="1" x14ac:dyDescent="0.35">
      <c r="A3498" s="103"/>
      <c r="C3498" s="100"/>
    </row>
    <row r="3499" spans="1:3" ht="18.75" customHeight="1" x14ac:dyDescent="0.35">
      <c r="A3499" s="103"/>
      <c r="C3499" s="100"/>
    </row>
    <row r="3500" spans="1:3" ht="18.75" customHeight="1" x14ac:dyDescent="0.35">
      <c r="A3500" s="103"/>
      <c r="C3500" s="100"/>
    </row>
    <row r="3501" spans="1:3" ht="18.75" customHeight="1" x14ac:dyDescent="0.35">
      <c r="A3501" s="103"/>
      <c r="C3501" s="100"/>
    </row>
    <row r="3502" spans="1:3" ht="18.75" customHeight="1" x14ac:dyDescent="0.35">
      <c r="A3502" s="103"/>
      <c r="C3502" s="100"/>
    </row>
    <row r="3503" spans="1:3" ht="18.75" customHeight="1" x14ac:dyDescent="0.35">
      <c r="A3503" s="103"/>
      <c r="C3503" s="100"/>
    </row>
    <row r="3504" spans="1:3" ht="18.75" customHeight="1" x14ac:dyDescent="0.35">
      <c r="A3504" s="103"/>
      <c r="C3504" s="100"/>
    </row>
    <row r="3505" spans="1:3" ht="18.75" customHeight="1" x14ac:dyDescent="0.35">
      <c r="A3505" s="103"/>
      <c r="C3505" s="100"/>
    </row>
    <row r="3506" spans="1:3" ht="18.75" customHeight="1" x14ac:dyDescent="0.35">
      <c r="A3506" s="103"/>
      <c r="C3506" s="100"/>
    </row>
    <row r="3507" spans="1:3" ht="18.75" customHeight="1" x14ac:dyDescent="0.35">
      <c r="A3507" s="103"/>
      <c r="C3507" s="100"/>
    </row>
    <row r="3508" spans="1:3" ht="18.75" customHeight="1" x14ac:dyDescent="0.35">
      <c r="A3508" s="103"/>
      <c r="C3508" s="100"/>
    </row>
    <row r="3509" spans="1:3" ht="18.75" customHeight="1" x14ac:dyDescent="0.35">
      <c r="A3509" s="103"/>
      <c r="C3509" s="100"/>
    </row>
    <row r="3510" spans="1:3" ht="18.75" customHeight="1" x14ac:dyDescent="0.35">
      <c r="A3510" s="103"/>
      <c r="C3510" s="100"/>
    </row>
    <row r="3511" spans="1:3" ht="18.75" customHeight="1" x14ac:dyDescent="0.35">
      <c r="A3511" s="103"/>
      <c r="C3511" s="100"/>
    </row>
    <row r="3512" spans="1:3" ht="18.75" customHeight="1" x14ac:dyDescent="0.35">
      <c r="A3512" s="103"/>
      <c r="C3512" s="100"/>
    </row>
    <row r="3513" spans="1:3" ht="18.75" customHeight="1" x14ac:dyDescent="0.35">
      <c r="A3513" s="103"/>
      <c r="C3513" s="100"/>
    </row>
    <row r="3514" spans="1:3" ht="18.75" customHeight="1" x14ac:dyDescent="0.35">
      <c r="A3514" s="103"/>
      <c r="C3514" s="100"/>
    </row>
    <row r="3515" spans="1:3" ht="18.75" customHeight="1" x14ac:dyDescent="0.35">
      <c r="A3515" s="103"/>
      <c r="C3515" s="100"/>
    </row>
    <row r="3516" spans="1:3" ht="18.75" customHeight="1" x14ac:dyDescent="0.35">
      <c r="A3516" s="103"/>
      <c r="C3516" s="100"/>
    </row>
    <row r="3517" spans="1:3" ht="18.75" customHeight="1" x14ac:dyDescent="0.35">
      <c r="A3517" s="103"/>
      <c r="C3517" s="100"/>
    </row>
    <row r="3518" spans="1:3" ht="18.75" customHeight="1" x14ac:dyDescent="0.35">
      <c r="A3518" s="103"/>
      <c r="C3518" s="100"/>
    </row>
    <row r="3519" spans="1:3" ht="18.75" customHeight="1" x14ac:dyDescent="0.35">
      <c r="A3519" s="103"/>
      <c r="C3519" s="100"/>
    </row>
    <row r="3520" spans="1:3" ht="18.75" customHeight="1" x14ac:dyDescent="0.35">
      <c r="A3520" s="103"/>
      <c r="C3520" s="100"/>
    </row>
    <row r="3521" spans="1:3" ht="18.75" customHeight="1" x14ac:dyDescent="0.35">
      <c r="A3521" s="103"/>
      <c r="C3521" s="100"/>
    </row>
    <row r="3522" spans="1:3" ht="18.75" customHeight="1" x14ac:dyDescent="0.35">
      <c r="A3522" s="103"/>
      <c r="C3522" s="100"/>
    </row>
    <row r="3523" spans="1:3" ht="18.75" customHeight="1" x14ac:dyDescent="0.35">
      <c r="A3523" s="103"/>
      <c r="C3523" s="100"/>
    </row>
    <row r="3524" spans="1:3" ht="18.75" customHeight="1" x14ac:dyDescent="0.35">
      <c r="A3524" s="103"/>
      <c r="C3524" s="100"/>
    </row>
    <row r="3525" spans="1:3" ht="18.75" customHeight="1" x14ac:dyDescent="0.35">
      <c r="A3525" s="103"/>
      <c r="C3525" s="100"/>
    </row>
    <row r="3526" spans="1:3" ht="18.75" customHeight="1" x14ac:dyDescent="0.35">
      <c r="A3526" s="103"/>
      <c r="C3526" s="100"/>
    </row>
    <row r="3527" spans="1:3" ht="18.75" customHeight="1" x14ac:dyDescent="0.35">
      <c r="A3527" s="103"/>
      <c r="C3527" s="100"/>
    </row>
    <row r="3528" spans="1:3" ht="18.75" customHeight="1" x14ac:dyDescent="0.35">
      <c r="A3528" s="103"/>
      <c r="C3528" s="100"/>
    </row>
    <row r="3529" spans="1:3" ht="18.75" customHeight="1" x14ac:dyDescent="0.35">
      <c r="A3529" s="103"/>
      <c r="C3529" s="100"/>
    </row>
    <row r="3530" spans="1:3" ht="18.75" customHeight="1" x14ac:dyDescent="0.35">
      <c r="A3530" s="103"/>
      <c r="C3530" s="100"/>
    </row>
    <row r="3531" spans="1:3" ht="18.75" customHeight="1" x14ac:dyDescent="0.35">
      <c r="A3531" s="103"/>
      <c r="C3531" s="100"/>
    </row>
    <row r="3532" spans="1:3" ht="18.75" customHeight="1" x14ac:dyDescent="0.35">
      <c r="A3532" s="103"/>
      <c r="C3532" s="100"/>
    </row>
    <row r="3533" spans="1:3" ht="18.75" customHeight="1" x14ac:dyDescent="0.35">
      <c r="A3533" s="103"/>
      <c r="C3533" s="100"/>
    </row>
    <row r="3534" spans="1:3" ht="18.75" customHeight="1" x14ac:dyDescent="0.35">
      <c r="A3534" s="103"/>
      <c r="C3534" s="100"/>
    </row>
    <row r="3535" spans="1:3" ht="18.75" customHeight="1" x14ac:dyDescent="0.35">
      <c r="A3535" s="103"/>
      <c r="C3535" s="100"/>
    </row>
    <row r="3536" spans="1:3" ht="18.75" customHeight="1" x14ac:dyDescent="0.35">
      <c r="A3536" s="103"/>
      <c r="C3536" s="100"/>
    </row>
    <row r="3537" spans="1:3" ht="18.75" customHeight="1" x14ac:dyDescent="0.35">
      <c r="A3537" s="103"/>
      <c r="C3537" s="100"/>
    </row>
    <row r="3538" spans="1:3" ht="18.75" customHeight="1" x14ac:dyDescent="0.35">
      <c r="A3538" s="103"/>
      <c r="C3538" s="100"/>
    </row>
    <row r="3539" spans="1:3" ht="18.75" customHeight="1" x14ac:dyDescent="0.35">
      <c r="A3539" s="103"/>
      <c r="C3539" s="100"/>
    </row>
    <row r="3540" spans="1:3" ht="18.75" customHeight="1" x14ac:dyDescent="0.35">
      <c r="A3540" s="103"/>
      <c r="C3540" s="100"/>
    </row>
    <row r="3541" spans="1:3" ht="18.75" customHeight="1" x14ac:dyDescent="0.35">
      <c r="A3541" s="103"/>
      <c r="C3541" s="100"/>
    </row>
    <row r="3542" spans="1:3" ht="18.75" customHeight="1" x14ac:dyDescent="0.35">
      <c r="A3542" s="103"/>
      <c r="C3542" s="100"/>
    </row>
    <row r="3543" spans="1:3" ht="18.75" customHeight="1" x14ac:dyDescent="0.35">
      <c r="A3543" s="103"/>
      <c r="C3543" s="100"/>
    </row>
    <row r="3544" spans="1:3" ht="18.75" customHeight="1" x14ac:dyDescent="0.35">
      <c r="A3544" s="103"/>
      <c r="C3544" s="100"/>
    </row>
    <row r="3545" spans="1:3" ht="18.75" customHeight="1" x14ac:dyDescent="0.35">
      <c r="A3545" s="103"/>
      <c r="C3545" s="100"/>
    </row>
    <row r="3546" spans="1:3" ht="18.75" customHeight="1" x14ac:dyDescent="0.35">
      <c r="A3546" s="103"/>
      <c r="C3546" s="100"/>
    </row>
    <row r="3547" spans="1:3" ht="18.75" customHeight="1" x14ac:dyDescent="0.35">
      <c r="A3547" s="103"/>
      <c r="C3547" s="100"/>
    </row>
    <row r="3548" spans="1:3" ht="18.75" customHeight="1" x14ac:dyDescent="0.35">
      <c r="A3548" s="103"/>
      <c r="C3548" s="100"/>
    </row>
    <row r="3549" spans="1:3" ht="18.75" customHeight="1" x14ac:dyDescent="0.35">
      <c r="A3549" s="103"/>
      <c r="C3549" s="100"/>
    </row>
    <row r="3550" spans="1:3" ht="18.75" customHeight="1" x14ac:dyDescent="0.35">
      <c r="A3550" s="103"/>
      <c r="C3550" s="100"/>
    </row>
    <row r="3551" spans="1:3" ht="18.75" customHeight="1" x14ac:dyDescent="0.35">
      <c r="A3551" s="103"/>
      <c r="C3551" s="100"/>
    </row>
    <row r="3552" spans="1:3" ht="18.75" customHeight="1" x14ac:dyDescent="0.35">
      <c r="A3552" s="103"/>
      <c r="C3552" s="100"/>
    </row>
    <row r="3553" spans="1:3" ht="18.75" customHeight="1" x14ac:dyDescent="0.35">
      <c r="A3553" s="103"/>
      <c r="C3553" s="100"/>
    </row>
    <row r="3554" spans="1:3" ht="18.75" customHeight="1" x14ac:dyDescent="0.35">
      <c r="A3554" s="103"/>
      <c r="C3554" s="100"/>
    </row>
    <row r="3555" spans="1:3" ht="18.75" customHeight="1" x14ac:dyDescent="0.35">
      <c r="A3555" s="103"/>
      <c r="C3555" s="100"/>
    </row>
    <row r="3556" spans="1:3" ht="18.75" customHeight="1" x14ac:dyDescent="0.35">
      <c r="A3556" s="103"/>
      <c r="C3556" s="100"/>
    </row>
    <row r="3557" spans="1:3" ht="18.75" customHeight="1" x14ac:dyDescent="0.35">
      <c r="A3557" s="103"/>
      <c r="C3557" s="100"/>
    </row>
    <row r="3558" spans="1:3" ht="18.75" customHeight="1" x14ac:dyDescent="0.35">
      <c r="A3558" s="103"/>
      <c r="C3558" s="100"/>
    </row>
    <row r="3559" spans="1:3" ht="18.75" customHeight="1" x14ac:dyDescent="0.35">
      <c r="A3559" s="103"/>
      <c r="C3559" s="100"/>
    </row>
    <row r="3560" spans="1:3" ht="18.75" customHeight="1" x14ac:dyDescent="0.35">
      <c r="A3560" s="103"/>
      <c r="C3560" s="100"/>
    </row>
    <row r="3561" spans="1:3" ht="18.75" customHeight="1" x14ac:dyDescent="0.35">
      <c r="A3561" s="103"/>
      <c r="C3561" s="100"/>
    </row>
    <row r="3562" spans="1:3" ht="18.75" customHeight="1" x14ac:dyDescent="0.35">
      <c r="A3562" s="103"/>
      <c r="C3562" s="100"/>
    </row>
    <row r="3563" spans="1:3" ht="18.75" customHeight="1" x14ac:dyDescent="0.35">
      <c r="A3563" s="103"/>
      <c r="C3563" s="100"/>
    </row>
    <row r="3564" spans="1:3" ht="18.75" customHeight="1" x14ac:dyDescent="0.35">
      <c r="A3564" s="103"/>
      <c r="C3564" s="100"/>
    </row>
    <row r="3565" spans="1:3" ht="18.75" customHeight="1" x14ac:dyDescent="0.35">
      <c r="A3565" s="103"/>
      <c r="C3565" s="100"/>
    </row>
    <row r="3566" spans="1:3" ht="18.75" customHeight="1" x14ac:dyDescent="0.35">
      <c r="A3566" s="103"/>
      <c r="C3566" s="100"/>
    </row>
    <row r="3567" spans="1:3" ht="18.75" customHeight="1" x14ac:dyDescent="0.35">
      <c r="A3567" s="103"/>
      <c r="C3567" s="100"/>
    </row>
    <row r="3568" spans="1:3" ht="18.75" customHeight="1" x14ac:dyDescent="0.35">
      <c r="A3568" s="103"/>
      <c r="C3568" s="100"/>
    </row>
    <row r="3569" spans="1:3" ht="18.75" customHeight="1" x14ac:dyDescent="0.35">
      <c r="A3569" s="103"/>
      <c r="C3569" s="100"/>
    </row>
    <row r="3570" spans="1:3" ht="18.75" customHeight="1" x14ac:dyDescent="0.35">
      <c r="A3570" s="103"/>
      <c r="C3570" s="100"/>
    </row>
    <row r="3571" spans="1:3" ht="18.75" customHeight="1" x14ac:dyDescent="0.35">
      <c r="A3571" s="103"/>
      <c r="C3571" s="100"/>
    </row>
    <row r="3572" spans="1:3" ht="18.75" customHeight="1" x14ac:dyDescent="0.35">
      <c r="A3572" s="103"/>
      <c r="C3572" s="100"/>
    </row>
    <row r="3573" spans="1:3" ht="18.75" customHeight="1" x14ac:dyDescent="0.35">
      <c r="A3573" s="103"/>
      <c r="C3573" s="100"/>
    </row>
    <row r="3574" spans="1:3" ht="18.75" customHeight="1" x14ac:dyDescent="0.35">
      <c r="A3574" s="103"/>
      <c r="C3574" s="100"/>
    </row>
    <row r="3575" spans="1:3" ht="18.75" customHeight="1" x14ac:dyDescent="0.35">
      <c r="A3575" s="103"/>
      <c r="C3575" s="100"/>
    </row>
    <row r="3576" spans="1:3" ht="18.75" customHeight="1" x14ac:dyDescent="0.35">
      <c r="A3576" s="103"/>
      <c r="C3576" s="100"/>
    </row>
    <row r="3577" spans="1:3" ht="18.75" customHeight="1" x14ac:dyDescent="0.35">
      <c r="A3577" s="103"/>
      <c r="C3577" s="100"/>
    </row>
    <row r="3578" spans="1:3" ht="18.75" customHeight="1" x14ac:dyDescent="0.35">
      <c r="A3578" s="103"/>
      <c r="C3578" s="100"/>
    </row>
    <row r="3579" spans="1:3" ht="18.75" customHeight="1" x14ac:dyDescent="0.35">
      <c r="A3579" s="103"/>
      <c r="C3579" s="100"/>
    </row>
    <row r="3580" spans="1:3" ht="18.75" customHeight="1" x14ac:dyDescent="0.35">
      <c r="A3580" s="103"/>
      <c r="C3580" s="100"/>
    </row>
    <row r="3581" spans="1:3" ht="18.75" customHeight="1" x14ac:dyDescent="0.35">
      <c r="A3581" s="103"/>
      <c r="C3581" s="100"/>
    </row>
    <row r="3582" spans="1:3" ht="18.75" customHeight="1" x14ac:dyDescent="0.35">
      <c r="A3582" s="103"/>
      <c r="C3582" s="100"/>
    </row>
    <row r="3583" spans="1:3" ht="18.75" customHeight="1" x14ac:dyDescent="0.35">
      <c r="A3583" s="103"/>
      <c r="C3583" s="100"/>
    </row>
    <row r="3584" spans="1:3" ht="18.75" customHeight="1" x14ac:dyDescent="0.35">
      <c r="A3584" s="103"/>
      <c r="C3584" s="100"/>
    </row>
    <row r="3585" spans="1:3" ht="18.75" customHeight="1" x14ac:dyDescent="0.35">
      <c r="A3585" s="103"/>
      <c r="C3585" s="100"/>
    </row>
    <row r="3586" spans="1:3" ht="18.75" customHeight="1" x14ac:dyDescent="0.35">
      <c r="A3586" s="103"/>
      <c r="C3586" s="100"/>
    </row>
    <row r="3587" spans="1:3" ht="18.75" customHeight="1" x14ac:dyDescent="0.35">
      <c r="A3587" s="103"/>
      <c r="C3587" s="100"/>
    </row>
    <row r="3588" spans="1:3" ht="18.75" customHeight="1" x14ac:dyDescent="0.35">
      <c r="A3588" s="103"/>
      <c r="C3588" s="100"/>
    </row>
    <row r="3589" spans="1:3" ht="18.75" customHeight="1" x14ac:dyDescent="0.35">
      <c r="A3589" s="103"/>
      <c r="C3589" s="100"/>
    </row>
    <row r="3590" spans="1:3" ht="18.75" customHeight="1" x14ac:dyDescent="0.35">
      <c r="A3590" s="103"/>
      <c r="C3590" s="100"/>
    </row>
    <row r="3591" spans="1:3" ht="18.75" customHeight="1" x14ac:dyDescent="0.35">
      <c r="A3591" s="103"/>
      <c r="C3591" s="100"/>
    </row>
    <row r="3592" spans="1:3" ht="18.75" customHeight="1" x14ac:dyDescent="0.35">
      <c r="A3592" s="103"/>
      <c r="C3592" s="100"/>
    </row>
    <row r="3593" spans="1:3" ht="18.75" customHeight="1" x14ac:dyDescent="0.35">
      <c r="A3593" s="103"/>
      <c r="C3593" s="100"/>
    </row>
    <row r="3594" spans="1:3" ht="18.75" customHeight="1" x14ac:dyDescent="0.35">
      <c r="A3594" s="103"/>
      <c r="C3594" s="100"/>
    </row>
    <row r="3595" spans="1:3" ht="18.75" customHeight="1" x14ac:dyDescent="0.35">
      <c r="A3595" s="103"/>
      <c r="C3595" s="100"/>
    </row>
    <row r="3596" spans="1:3" ht="18.75" customHeight="1" x14ac:dyDescent="0.35">
      <c r="A3596" s="103"/>
      <c r="C3596" s="100"/>
    </row>
    <row r="3597" spans="1:3" ht="18.75" customHeight="1" x14ac:dyDescent="0.35">
      <c r="A3597" s="103"/>
      <c r="C3597" s="100"/>
    </row>
    <row r="3598" spans="1:3" ht="18.75" customHeight="1" x14ac:dyDescent="0.35">
      <c r="A3598" s="103"/>
      <c r="C3598" s="100"/>
    </row>
    <row r="3599" spans="1:3" ht="18.75" customHeight="1" x14ac:dyDescent="0.35">
      <c r="A3599" s="103"/>
      <c r="C3599" s="100"/>
    </row>
    <row r="3600" spans="1:3" ht="18.75" customHeight="1" x14ac:dyDescent="0.35">
      <c r="A3600" s="103"/>
      <c r="C3600" s="100"/>
    </row>
    <row r="3601" spans="1:3" ht="18.75" customHeight="1" x14ac:dyDescent="0.35">
      <c r="A3601" s="103"/>
      <c r="C3601" s="100"/>
    </row>
    <row r="3602" spans="1:3" ht="18.75" customHeight="1" x14ac:dyDescent="0.35">
      <c r="A3602" s="103"/>
      <c r="C3602" s="100"/>
    </row>
    <row r="3603" spans="1:3" ht="18.75" customHeight="1" x14ac:dyDescent="0.35">
      <c r="A3603" s="103"/>
      <c r="C3603" s="100"/>
    </row>
    <row r="3604" spans="1:3" ht="18.75" customHeight="1" x14ac:dyDescent="0.35">
      <c r="A3604" s="103"/>
      <c r="C3604" s="100"/>
    </row>
    <row r="3605" spans="1:3" ht="18.75" customHeight="1" x14ac:dyDescent="0.35">
      <c r="A3605" s="103"/>
      <c r="C3605" s="100"/>
    </row>
    <row r="3606" spans="1:3" ht="18.75" customHeight="1" x14ac:dyDescent="0.35">
      <c r="A3606" s="103"/>
      <c r="C3606" s="100"/>
    </row>
    <row r="3607" spans="1:3" ht="18.75" customHeight="1" x14ac:dyDescent="0.35">
      <c r="A3607" s="103"/>
      <c r="C3607" s="100"/>
    </row>
    <row r="3608" spans="1:3" ht="18.75" customHeight="1" x14ac:dyDescent="0.35">
      <c r="A3608" s="103"/>
      <c r="C3608" s="100"/>
    </row>
    <row r="3609" spans="1:3" ht="18.75" customHeight="1" x14ac:dyDescent="0.35">
      <c r="A3609" s="103"/>
      <c r="C3609" s="100"/>
    </row>
    <row r="3610" spans="1:3" ht="18.75" customHeight="1" x14ac:dyDescent="0.35">
      <c r="A3610" s="103"/>
      <c r="C3610" s="100"/>
    </row>
    <row r="3611" spans="1:3" ht="18.75" customHeight="1" x14ac:dyDescent="0.35">
      <c r="A3611" s="103"/>
      <c r="C3611" s="100"/>
    </row>
    <row r="3612" spans="1:3" ht="18.75" customHeight="1" x14ac:dyDescent="0.35">
      <c r="A3612" s="103"/>
      <c r="C3612" s="100"/>
    </row>
    <row r="3613" spans="1:3" ht="18.75" customHeight="1" x14ac:dyDescent="0.35">
      <c r="A3613" s="103"/>
      <c r="C3613" s="100"/>
    </row>
    <row r="3614" spans="1:3" ht="18.75" customHeight="1" x14ac:dyDescent="0.35">
      <c r="A3614" s="103"/>
      <c r="C3614" s="100"/>
    </row>
    <row r="3615" spans="1:3" ht="18.75" customHeight="1" x14ac:dyDescent="0.35">
      <c r="A3615" s="103"/>
      <c r="C3615" s="100"/>
    </row>
    <row r="3616" spans="1:3" ht="18.75" customHeight="1" x14ac:dyDescent="0.35">
      <c r="A3616" s="103"/>
      <c r="C3616" s="100"/>
    </row>
    <row r="3617" spans="1:3" ht="18.75" customHeight="1" x14ac:dyDescent="0.35">
      <c r="A3617" s="103"/>
      <c r="C3617" s="100"/>
    </row>
    <row r="3618" spans="1:3" ht="18.75" customHeight="1" x14ac:dyDescent="0.35">
      <c r="A3618" s="103"/>
      <c r="C3618" s="100"/>
    </row>
    <row r="3619" spans="1:3" ht="18.75" customHeight="1" x14ac:dyDescent="0.35">
      <c r="A3619" s="103"/>
      <c r="C3619" s="100"/>
    </row>
    <row r="3620" spans="1:3" ht="18.75" customHeight="1" x14ac:dyDescent="0.35">
      <c r="A3620" s="103"/>
      <c r="C3620" s="100"/>
    </row>
    <row r="3621" spans="1:3" ht="18.75" customHeight="1" x14ac:dyDescent="0.35">
      <c r="A3621" s="103"/>
      <c r="C3621" s="100"/>
    </row>
    <row r="3622" spans="1:3" ht="18.75" customHeight="1" x14ac:dyDescent="0.35">
      <c r="A3622" s="103"/>
      <c r="C3622" s="100"/>
    </row>
    <row r="3623" spans="1:3" ht="18.75" customHeight="1" x14ac:dyDescent="0.35">
      <c r="A3623" s="103"/>
      <c r="C3623" s="100"/>
    </row>
    <row r="3624" spans="1:3" ht="18.75" customHeight="1" x14ac:dyDescent="0.35">
      <c r="A3624" s="103"/>
      <c r="C3624" s="100"/>
    </row>
    <row r="3625" spans="1:3" ht="18.75" customHeight="1" x14ac:dyDescent="0.35">
      <c r="A3625" s="103"/>
      <c r="C3625" s="100"/>
    </row>
    <row r="3626" spans="1:3" ht="18.75" customHeight="1" x14ac:dyDescent="0.35">
      <c r="A3626" s="103"/>
      <c r="C3626" s="100"/>
    </row>
    <row r="3627" spans="1:3" ht="18.75" customHeight="1" x14ac:dyDescent="0.35">
      <c r="A3627" s="103"/>
      <c r="C3627" s="100"/>
    </row>
    <row r="3628" spans="1:3" ht="18.75" customHeight="1" x14ac:dyDescent="0.35">
      <c r="A3628" s="103"/>
      <c r="C3628" s="100"/>
    </row>
    <row r="3629" spans="1:3" ht="18.75" customHeight="1" x14ac:dyDescent="0.35">
      <c r="A3629" s="103"/>
      <c r="C3629" s="100"/>
    </row>
    <row r="3630" spans="1:3" ht="18.75" customHeight="1" x14ac:dyDescent="0.35">
      <c r="A3630" s="103"/>
      <c r="C3630" s="100"/>
    </row>
    <row r="3631" spans="1:3" ht="18.75" customHeight="1" x14ac:dyDescent="0.35">
      <c r="A3631" s="103"/>
      <c r="C3631" s="100"/>
    </row>
    <row r="3632" spans="1:3" ht="18.75" customHeight="1" x14ac:dyDescent="0.35">
      <c r="A3632" s="103"/>
      <c r="C3632" s="100"/>
    </row>
    <row r="3633" spans="1:3" ht="18.75" customHeight="1" x14ac:dyDescent="0.35">
      <c r="A3633" s="103"/>
      <c r="C3633" s="100"/>
    </row>
    <row r="3634" spans="1:3" ht="18.75" customHeight="1" x14ac:dyDescent="0.35">
      <c r="A3634" s="103"/>
      <c r="C3634" s="100"/>
    </row>
    <row r="3635" spans="1:3" ht="18.75" customHeight="1" x14ac:dyDescent="0.35">
      <c r="A3635" s="103"/>
      <c r="C3635" s="100"/>
    </row>
    <row r="3636" spans="1:3" ht="18.75" customHeight="1" x14ac:dyDescent="0.35">
      <c r="A3636" s="103"/>
      <c r="C3636" s="100"/>
    </row>
    <row r="3637" spans="1:3" ht="18.75" customHeight="1" x14ac:dyDescent="0.35">
      <c r="A3637" s="103"/>
      <c r="C3637" s="100"/>
    </row>
    <row r="3638" spans="1:3" ht="18.75" customHeight="1" x14ac:dyDescent="0.35">
      <c r="A3638" s="103"/>
      <c r="C3638" s="100"/>
    </row>
    <row r="3639" spans="1:3" ht="18.75" customHeight="1" x14ac:dyDescent="0.35">
      <c r="A3639" s="103"/>
      <c r="C3639" s="100"/>
    </row>
    <row r="3640" spans="1:3" ht="18.75" customHeight="1" x14ac:dyDescent="0.35">
      <c r="A3640" s="103"/>
      <c r="C3640" s="100"/>
    </row>
    <row r="3641" spans="1:3" ht="18.75" customHeight="1" x14ac:dyDescent="0.35">
      <c r="A3641" s="103"/>
      <c r="C3641" s="100"/>
    </row>
    <row r="3642" spans="1:3" ht="18.75" customHeight="1" x14ac:dyDescent="0.35">
      <c r="A3642" s="103"/>
      <c r="C3642" s="100"/>
    </row>
    <row r="3643" spans="1:3" ht="18.75" customHeight="1" x14ac:dyDescent="0.35">
      <c r="A3643" s="103"/>
      <c r="C3643" s="100"/>
    </row>
    <row r="3644" spans="1:3" ht="18.75" customHeight="1" x14ac:dyDescent="0.35">
      <c r="A3644" s="103"/>
      <c r="C3644" s="100"/>
    </row>
    <row r="3645" spans="1:3" ht="18.75" customHeight="1" x14ac:dyDescent="0.35">
      <c r="A3645" s="103"/>
      <c r="C3645" s="100"/>
    </row>
    <row r="3646" spans="1:3" ht="18.75" customHeight="1" x14ac:dyDescent="0.35">
      <c r="A3646" s="103"/>
      <c r="C3646" s="100"/>
    </row>
    <row r="3647" spans="1:3" ht="18.75" customHeight="1" x14ac:dyDescent="0.35">
      <c r="A3647" s="103"/>
      <c r="C3647" s="100"/>
    </row>
    <row r="3648" spans="1:3" ht="18.75" customHeight="1" x14ac:dyDescent="0.35">
      <c r="A3648" s="103"/>
      <c r="C3648" s="100"/>
    </row>
    <row r="3649" spans="1:3" ht="18.75" customHeight="1" x14ac:dyDescent="0.35">
      <c r="A3649" s="103"/>
      <c r="C3649" s="100"/>
    </row>
    <row r="3650" spans="1:3" ht="18.75" customHeight="1" x14ac:dyDescent="0.35">
      <c r="A3650" s="103"/>
      <c r="C3650" s="100"/>
    </row>
    <row r="3651" spans="1:3" ht="18.75" customHeight="1" x14ac:dyDescent="0.35">
      <c r="A3651" s="103"/>
      <c r="C3651" s="100"/>
    </row>
    <row r="3652" spans="1:3" ht="18.75" customHeight="1" x14ac:dyDescent="0.35">
      <c r="A3652" s="103"/>
      <c r="C3652" s="100"/>
    </row>
    <row r="3653" spans="1:3" ht="18.75" customHeight="1" x14ac:dyDescent="0.35">
      <c r="A3653" s="103"/>
      <c r="C3653" s="100"/>
    </row>
    <row r="3654" spans="1:3" ht="18.75" customHeight="1" x14ac:dyDescent="0.35">
      <c r="A3654" s="103"/>
      <c r="C3654" s="100"/>
    </row>
    <row r="3655" spans="1:3" ht="18.75" customHeight="1" x14ac:dyDescent="0.35">
      <c r="A3655" s="103"/>
      <c r="C3655" s="100"/>
    </row>
    <row r="3656" spans="1:3" ht="18.75" customHeight="1" x14ac:dyDescent="0.35">
      <c r="A3656" s="103"/>
      <c r="C3656" s="100"/>
    </row>
    <row r="3657" spans="1:3" ht="18.75" customHeight="1" x14ac:dyDescent="0.35">
      <c r="A3657" s="103"/>
      <c r="C3657" s="100"/>
    </row>
    <row r="3658" spans="1:3" ht="18.75" customHeight="1" x14ac:dyDescent="0.35">
      <c r="A3658" s="103"/>
      <c r="C3658" s="100"/>
    </row>
    <row r="3659" spans="1:3" ht="18.75" customHeight="1" x14ac:dyDescent="0.35">
      <c r="A3659" s="103"/>
      <c r="C3659" s="100"/>
    </row>
    <row r="3660" spans="1:3" ht="18.75" customHeight="1" x14ac:dyDescent="0.35">
      <c r="A3660" s="103"/>
      <c r="C3660" s="100"/>
    </row>
    <row r="3661" spans="1:3" ht="18.75" customHeight="1" x14ac:dyDescent="0.35">
      <c r="A3661" s="103"/>
      <c r="C3661" s="100"/>
    </row>
    <row r="3662" spans="1:3" ht="18.75" customHeight="1" x14ac:dyDescent="0.35">
      <c r="A3662" s="103"/>
      <c r="C3662" s="100"/>
    </row>
    <row r="3663" spans="1:3" ht="18.75" customHeight="1" x14ac:dyDescent="0.35">
      <c r="A3663" s="103"/>
      <c r="C3663" s="100"/>
    </row>
    <row r="3664" spans="1:3" ht="18.75" customHeight="1" x14ac:dyDescent="0.35">
      <c r="A3664" s="103"/>
      <c r="C3664" s="100"/>
    </row>
    <row r="3665" spans="1:3" ht="18.75" customHeight="1" x14ac:dyDescent="0.35">
      <c r="A3665" s="103"/>
      <c r="C3665" s="100"/>
    </row>
    <row r="3666" spans="1:3" ht="18.75" customHeight="1" x14ac:dyDescent="0.35">
      <c r="A3666" s="103"/>
      <c r="C3666" s="100"/>
    </row>
    <row r="3667" spans="1:3" ht="18.75" customHeight="1" x14ac:dyDescent="0.35">
      <c r="A3667" s="103"/>
      <c r="C3667" s="100"/>
    </row>
    <row r="3668" spans="1:3" ht="18.75" customHeight="1" x14ac:dyDescent="0.35">
      <c r="A3668" s="103"/>
      <c r="C3668" s="100"/>
    </row>
    <row r="3669" spans="1:3" ht="18.75" customHeight="1" x14ac:dyDescent="0.35">
      <c r="A3669" s="103"/>
      <c r="C3669" s="100"/>
    </row>
    <row r="3670" spans="1:3" ht="18.75" customHeight="1" x14ac:dyDescent="0.35">
      <c r="A3670" s="103"/>
      <c r="C3670" s="100"/>
    </row>
    <row r="3671" spans="1:3" ht="18.75" customHeight="1" x14ac:dyDescent="0.35">
      <c r="A3671" s="103"/>
      <c r="C3671" s="100"/>
    </row>
    <row r="3672" spans="1:3" ht="18.75" customHeight="1" x14ac:dyDescent="0.35">
      <c r="A3672" s="103"/>
      <c r="C3672" s="100"/>
    </row>
    <row r="3673" spans="1:3" ht="18.75" customHeight="1" x14ac:dyDescent="0.35">
      <c r="A3673" s="103"/>
      <c r="C3673" s="100"/>
    </row>
    <row r="3674" spans="1:3" ht="18.75" customHeight="1" x14ac:dyDescent="0.35">
      <c r="A3674" s="103"/>
      <c r="C3674" s="100"/>
    </row>
    <row r="3675" spans="1:3" ht="18.75" customHeight="1" x14ac:dyDescent="0.35">
      <c r="A3675" s="103"/>
      <c r="C3675" s="100"/>
    </row>
    <row r="3676" spans="1:3" ht="18.75" customHeight="1" x14ac:dyDescent="0.35">
      <c r="A3676" s="103"/>
      <c r="C3676" s="100"/>
    </row>
    <row r="3677" spans="1:3" ht="18.75" customHeight="1" x14ac:dyDescent="0.35">
      <c r="A3677" s="103"/>
      <c r="C3677" s="100"/>
    </row>
    <row r="3678" spans="1:3" ht="18.75" customHeight="1" x14ac:dyDescent="0.35">
      <c r="A3678" s="103"/>
      <c r="C3678" s="100"/>
    </row>
    <row r="3679" spans="1:3" ht="18.75" customHeight="1" x14ac:dyDescent="0.35">
      <c r="A3679" s="103"/>
      <c r="C3679" s="100"/>
    </row>
    <row r="3680" spans="1:3" ht="18.75" customHeight="1" x14ac:dyDescent="0.35">
      <c r="A3680" s="103"/>
      <c r="C3680" s="100"/>
    </row>
    <row r="3681" spans="1:3" ht="18.75" customHeight="1" x14ac:dyDescent="0.35">
      <c r="A3681" s="103"/>
      <c r="C3681" s="100"/>
    </row>
    <row r="3682" spans="1:3" ht="18.75" customHeight="1" x14ac:dyDescent="0.35">
      <c r="A3682" s="103"/>
      <c r="C3682" s="100"/>
    </row>
    <row r="3683" spans="1:3" ht="18.75" customHeight="1" x14ac:dyDescent="0.35">
      <c r="A3683" s="103"/>
      <c r="C3683" s="100"/>
    </row>
    <row r="3684" spans="1:3" ht="18.75" customHeight="1" x14ac:dyDescent="0.35">
      <c r="A3684" s="103"/>
      <c r="C3684" s="100"/>
    </row>
    <row r="3685" spans="1:3" ht="18.75" customHeight="1" x14ac:dyDescent="0.35">
      <c r="A3685" s="103"/>
      <c r="C3685" s="100"/>
    </row>
    <row r="3686" spans="1:3" ht="18.75" customHeight="1" x14ac:dyDescent="0.35">
      <c r="A3686" s="103"/>
      <c r="C3686" s="100"/>
    </row>
    <row r="3687" spans="1:3" ht="18.75" customHeight="1" x14ac:dyDescent="0.35">
      <c r="A3687" s="103"/>
      <c r="C3687" s="100"/>
    </row>
    <row r="3688" spans="1:3" ht="18.75" customHeight="1" x14ac:dyDescent="0.35">
      <c r="A3688" s="103"/>
      <c r="C3688" s="100"/>
    </row>
    <row r="3689" spans="1:3" ht="18.75" customHeight="1" x14ac:dyDescent="0.35">
      <c r="A3689" s="103"/>
      <c r="C3689" s="100"/>
    </row>
    <row r="3690" spans="1:3" ht="18.75" customHeight="1" x14ac:dyDescent="0.35">
      <c r="A3690" s="103"/>
      <c r="C3690" s="100"/>
    </row>
    <row r="3691" spans="1:3" ht="18.75" customHeight="1" x14ac:dyDescent="0.35">
      <c r="A3691" s="103"/>
      <c r="C3691" s="100"/>
    </row>
    <row r="3692" spans="1:3" ht="18.75" customHeight="1" x14ac:dyDescent="0.35">
      <c r="A3692" s="103"/>
      <c r="C3692" s="100"/>
    </row>
    <row r="3693" spans="1:3" ht="18.75" customHeight="1" x14ac:dyDescent="0.35">
      <c r="A3693" s="103"/>
      <c r="C3693" s="100"/>
    </row>
    <row r="3694" spans="1:3" ht="18.75" customHeight="1" x14ac:dyDescent="0.35">
      <c r="A3694" s="103"/>
      <c r="C3694" s="100"/>
    </row>
    <row r="3695" spans="1:3" ht="18.75" customHeight="1" x14ac:dyDescent="0.35">
      <c r="A3695" s="103"/>
      <c r="C3695" s="100"/>
    </row>
    <row r="3696" spans="1:3" ht="18.75" customHeight="1" x14ac:dyDescent="0.35">
      <c r="A3696" s="103"/>
      <c r="C3696" s="100"/>
    </row>
    <row r="3697" spans="1:3" ht="18.75" customHeight="1" x14ac:dyDescent="0.35">
      <c r="A3697" s="103"/>
      <c r="C3697" s="100"/>
    </row>
    <row r="3698" spans="1:3" ht="18.75" customHeight="1" x14ac:dyDescent="0.35">
      <c r="A3698" s="103"/>
      <c r="C3698" s="100"/>
    </row>
    <row r="3699" spans="1:3" ht="18.75" customHeight="1" x14ac:dyDescent="0.35">
      <c r="A3699" s="103"/>
      <c r="C3699" s="100"/>
    </row>
    <row r="3700" spans="1:3" ht="18.75" customHeight="1" x14ac:dyDescent="0.35">
      <c r="A3700" s="103"/>
      <c r="C3700" s="100"/>
    </row>
    <row r="3701" spans="1:3" ht="18.75" customHeight="1" x14ac:dyDescent="0.35">
      <c r="A3701" s="103"/>
      <c r="C3701" s="100"/>
    </row>
    <row r="3702" spans="1:3" ht="18.75" customHeight="1" x14ac:dyDescent="0.35">
      <c r="A3702" s="103"/>
      <c r="C3702" s="100"/>
    </row>
    <row r="3703" spans="1:3" ht="18.75" customHeight="1" x14ac:dyDescent="0.35">
      <c r="A3703" s="103"/>
      <c r="C3703" s="100"/>
    </row>
    <row r="3704" spans="1:3" ht="18.75" customHeight="1" x14ac:dyDescent="0.35">
      <c r="A3704" s="103"/>
      <c r="C3704" s="100"/>
    </row>
    <row r="3705" spans="1:3" ht="18.75" customHeight="1" x14ac:dyDescent="0.35">
      <c r="A3705" s="103"/>
      <c r="C3705" s="100"/>
    </row>
    <row r="3706" spans="1:3" ht="18.75" customHeight="1" x14ac:dyDescent="0.35">
      <c r="A3706" s="103"/>
      <c r="C3706" s="100"/>
    </row>
    <row r="3707" spans="1:3" ht="18.75" customHeight="1" x14ac:dyDescent="0.35">
      <c r="A3707" s="103"/>
      <c r="C3707" s="100"/>
    </row>
    <row r="3708" spans="1:3" ht="18.75" customHeight="1" x14ac:dyDescent="0.35">
      <c r="A3708" s="103"/>
      <c r="C3708" s="100"/>
    </row>
    <row r="3709" spans="1:3" ht="18.75" customHeight="1" x14ac:dyDescent="0.35">
      <c r="A3709" s="103"/>
      <c r="C3709" s="100"/>
    </row>
    <row r="3710" spans="1:3" ht="18.75" customHeight="1" x14ac:dyDescent="0.35">
      <c r="A3710" s="103"/>
      <c r="C3710" s="100"/>
    </row>
    <row r="3711" spans="1:3" ht="18.75" customHeight="1" x14ac:dyDescent="0.35">
      <c r="A3711" s="103"/>
      <c r="C3711" s="100"/>
    </row>
    <row r="3712" spans="1:3" ht="18.75" customHeight="1" x14ac:dyDescent="0.35">
      <c r="A3712" s="103"/>
      <c r="C3712" s="100"/>
    </row>
    <row r="3713" spans="1:3" ht="18.75" customHeight="1" x14ac:dyDescent="0.35">
      <c r="A3713" s="103"/>
      <c r="C3713" s="100"/>
    </row>
    <row r="3714" spans="1:3" ht="18.75" customHeight="1" x14ac:dyDescent="0.35">
      <c r="A3714" s="103"/>
      <c r="C3714" s="100"/>
    </row>
    <row r="3715" spans="1:3" ht="18.75" customHeight="1" x14ac:dyDescent="0.35">
      <c r="A3715" s="103"/>
      <c r="C3715" s="100"/>
    </row>
    <row r="3716" spans="1:3" ht="18.75" customHeight="1" x14ac:dyDescent="0.35">
      <c r="A3716" s="103"/>
      <c r="C3716" s="100"/>
    </row>
    <row r="3717" spans="1:3" ht="18.75" customHeight="1" x14ac:dyDescent="0.35">
      <c r="A3717" s="103"/>
      <c r="C3717" s="100"/>
    </row>
    <row r="3718" spans="1:3" ht="18.75" customHeight="1" x14ac:dyDescent="0.35">
      <c r="A3718" s="103"/>
      <c r="C3718" s="100"/>
    </row>
    <row r="3719" spans="1:3" ht="18.75" customHeight="1" x14ac:dyDescent="0.35">
      <c r="A3719" s="103"/>
      <c r="C3719" s="100"/>
    </row>
    <row r="3720" spans="1:3" ht="18.75" customHeight="1" x14ac:dyDescent="0.35">
      <c r="A3720" s="103"/>
      <c r="C3720" s="100"/>
    </row>
    <row r="3721" spans="1:3" ht="18.75" customHeight="1" x14ac:dyDescent="0.35">
      <c r="A3721" s="103"/>
      <c r="C3721" s="100"/>
    </row>
    <row r="3722" spans="1:3" ht="18.75" customHeight="1" x14ac:dyDescent="0.35">
      <c r="A3722" s="103"/>
      <c r="C3722" s="100"/>
    </row>
    <row r="3723" spans="1:3" ht="18.75" customHeight="1" x14ac:dyDescent="0.35">
      <c r="A3723" s="103"/>
      <c r="C3723" s="100"/>
    </row>
    <row r="3724" spans="1:3" ht="18.75" customHeight="1" x14ac:dyDescent="0.35">
      <c r="A3724" s="103"/>
      <c r="C3724" s="100"/>
    </row>
    <row r="3725" spans="1:3" ht="18.75" customHeight="1" x14ac:dyDescent="0.35">
      <c r="A3725" s="103"/>
      <c r="C3725" s="100"/>
    </row>
    <row r="3726" spans="1:3" ht="18.75" customHeight="1" x14ac:dyDescent="0.35">
      <c r="A3726" s="103"/>
      <c r="C3726" s="100"/>
    </row>
    <row r="3727" spans="1:3" ht="18.75" customHeight="1" x14ac:dyDescent="0.35">
      <c r="A3727" s="103"/>
      <c r="C3727" s="100"/>
    </row>
    <row r="3728" spans="1:3" ht="18.75" customHeight="1" x14ac:dyDescent="0.35">
      <c r="A3728" s="103"/>
      <c r="C3728" s="100"/>
    </row>
    <row r="3729" spans="1:3" ht="18.75" customHeight="1" x14ac:dyDescent="0.35">
      <c r="A3729" s="103"/>
      <c r="C3729" s="100"/>
    </row>
    <row r="3730" spans="1:3" ht="18.75" customHeight="1" x14ac:dyDescent="0.35">
      <c r="A3730" s="103"/>
      <c r="C3730" s="100"/>
    </row>
    <row r="3731" spans="1:3" ht="18.75" customHeight="1" x14ac:dyDescent="0.35">
      <c r="A3731" s="103"/>
      <c r="C3731" s="100"/>
    </row>
    <row r="3732" spans="1:3" ht="18.75" customHeight="1" x14ac:dyDescent="0.35">
      <c r="A3732" s="103"/>
      <c r="C3732" s="100"/>
    </row>
    <row r="3733" spans="1:3" ht="18.75" customHeight="1" x14ac:dyDescent="0.35">
      <c r="A3733" s="103"/>
      <c r="C3733" s="100"/>
    </row>
    <row r="3734" spans="1:3" ht="18.75" customHeight="1" x14ac:dyDescent="0.35">
      <c r="A3734" s="103"/>
      <c r="C3734" s="100"/>
    </row>
    <row r="3735" spans="1:3" ht="18.75" customHeight="1" x14ac:dyDescent="0.35">
      <c r="A3735" s="103"/>
      <c r="C3735" s="100"/>
    </row>
    <row r="3736" spans="1:3" ht="18.75" customHeight="1" x14ac:dyDescent="0.35">
      <c r="A3736" s="103"/>
      <c r="C3736" s="100"/>
    </row>
    <row r="3737" spans="1:3" ht="18.75" customHeight="1" x14ac:dyDescent="0.35">
      <c r="A3737" s="103"/>
      <c r="C3737" s="100"/>
    </row>
    <row r="3738" spans="1:3" ht="18.75" customHeight="1" x14ac:dyDescent="0.35">
      <c r="A3738" s="103"/>
      <c r="C3738" s="100"/>
    </row>
    <row r="3739" spans="1:3" ht="18.75" customHeight="1" x14ac:dyDescent="0.35">
      <c r="A3739" s="103"/>
      <c r="C3739" s="100"/>
    </row>
    <row r="3740" spans="1:3" ht="18.75" customHeight="1" x14ac:dyDescent="0.35">
      <c r="A3740" s="103"/>
      <c r="C3740" s="100"/>
    </row>
    <row r="3741" spans="1:3" ht="18.75" customHeight="1" x14ac:dyDescent="0.35">
      <c r="A3741" s="103"/>
      <c r="C3741" s="100"/>
    </row>
    <row r="3742" spans="1:3" ht="18.75" customHeight="1" x14ac:dyDescent="0.35">
      <c r="A3742" s="103"/>
      <c r="C3742" s="100"/>
    </row>
    <row r="3743" spans="1:3" ht="18.75" customHeight="1" x14ac:dyDescent="0.35">
      <c r="A3743" s="103"/>
      <c r="C3743" s="100"/>
    </row>
    <row r="3744" spans="1:3" ht="18.75" customHeight="1" x14ac:dyDescent="0.35">
      <c r="A3744" s="103"/>
      <c r="C3744" s="100"/>
    </row>
    <row r="3745" spans="1:3" ht="18.75" customHeight="1" x14ac:dyDescent="0.35">
      <c r="A3745" s="103"/>
      <c r="C3745" s="100"/>
    </row>
    <row r="3746" spans="1:3" ht="18.75" customHeight="1" x14ac:dyDescent="0.35">
      <c r="A3746" s="103"/>
      <c r="C3746" s="100"/>
    </row>
    <row r="3747" spans="1:3" ht="18.75" customHeight="1" x14ac:dyDescent="0.35">
      <c r="A3747" s="103"/>
      <c r="C3747" s="100"/>
    </row>
    <row r="3748" spans="1:3" ht="18.75" customHeight="1" x14ac:dyDescent="0.35">
      <c r="A3748" s="103"/>
      <c r="C3748" s="100"/>
    </row>
    <row r="3749" spans="1:3" ht="18.75" customHeight="1" x14ac:dyDescent="0.35">
      <c r="A3749" s="103"/>
      <c r="C3749" s="100"/>
    </row>
    <row r="3750" spans="1:3" ht="18.75" customHeight="1" x14ac:dyDescent="0.35">
      <c r="A3750" s="103"/>
      <c r="C3750" s="100"/>
    </row>
    <row r="3751" spans="1:3" ht="18.75" customHeight="1" x14ac:dyDescent="0.35">
      <c r="A3751" s="103"/>
      <c r="C3751" s="100"/>
    </row>
    <row r="3752" spans="1:3" ht="18.75" customHeight="1" x14ac:dyDescent="0.35">
      <c r="A3752" s="103"/>
      <c r="C3752" s="100"/>
    </row>
    <row r="3753" spans="1:3" ht="18.75" customHeight="1" x14ac:dyDescent="0.35">
      <c r="A3753" s="103"/>
      <c r="C3753" s="100"/>
    </row>
    <row r="3754" spans="1:3" ht="18.75" customHeight="1" x14ac:dyDescent="0.35">
      <c r="A3754" s="103"/>
      <c r="C3754" s="100"/>
    </row>
    <row r="3755" spans="1:3" ht="18.75" customHeight="1" x14ac:dyDescent="0.35">
      <c r="A3755" s="103"/>
      <c r="C3755" s="100"/>
    </row>
    <row r="3756" spans="1:3" ht="18.75" customHeight="1" x14ac:dyDescent="0.35">
      <c r="A3756" s="103"/>
      <c r="C3756" s="100"/>
    </row>
    <row r="3757" spans="1:3" ht="18.75" customHeight="1" x14ac:dyDescent="0.35">
      <c r="A3757" s="103"/>
      <c r="C3757" s="100"/>
    </row>
    <row r="3758" spans="1:3" ht="18.75" customHeight="1" x14ac:dyDescent="0.35">
      <c r="A3758" s="103"/>
      <c r="C3758" s="100"/>
    </row>
    <row r="3759" spans="1:3" ht="18.75" customHeight="1" x14ac:dyDescent="0.35">
      <c r="A3759" s="103"/>
      <c r="C3759" s="100"/>
    </row>
    <row r="3760" spans="1:3" ht="18.75" customHeight="1" x14ac:dyDescent="0.35">
      <c r="A3760" s="103"/>
      <c r="C3760" s="100"/>
    </row>
    <row r="3761" spans="1:3" ht="18.75" customHeight="1" x14ac:dyDescent="0.35">
      <c r="A3761" s="103"/>
      <c r="C3761" s="100"/>
    </row>
    <row r="3762" spans="1:3" ht="18.75" customHeight="1" x14ac:dyDescent="0.35">
      <c r="A3762" s="103"/>
      <c r="C3762" s="100"/>
    </row>
    <row r="3763" spans="1:3" ht="18.75" customHeight="1" x14ac:dyDescent="0.35">
      <c r="A3763" s="103"/>
      <c r="C3763" s="100"/>
    </row>
    <row r="3764" spans="1:3" ht="18.75" customHeight="1" x14ac:dyDescent="0.35">
      <c r="A3764" s="103"/>
      <c r="C3764" s="100"/>
    </row>
    <row r="3765" spans="1:3" ht="18.75" customHeight="1" x14ac:dyDescent="0.35">
      <c r="A3765" s="103"/>
      <c r="C3765" s="100"/>
    </row>
    <row r="3766" spans="1:3" ht="18.75" customHeight="1" x14ac:dyDescent="0.35">
      <c r="A3766" s="103"/>
      <c r="C3766" s="100"/>
    </row>
    <row r="3767" spans="1:3" ht="18.75" customHeight="1" x14ac:dyDescent="0.35">
      <c r="A3767" s="103"/>
      <c r="C3767" s="100"/>
    </row>
    <row r="3768" spans="1:3" ht="18.75" customHeight="1" x14ac:dyDescent="0.35">
      <c r="A3768" s="103"/>
      <c r="C3768" s="100"/>
    </row>
    <row r="3769" spans="1:3" ht="18.75" customHeight="1" x14ac:dyDescent="0.35">
      <c r="A3769" s="103"/>
      <c r="C3769" s="100"/>
    </row>
    <row r="3770" spans="1:3" ht="18.75" customHeight="1" x14ac:dyDescent="0.35">
      <c r="A3770" s="103"/>
      <c r="C3770" s="100"/>
    </row>
    <row r="3771" spans="1:3" ht="18.75" customHeight="1" x14ac:dyDescent="0.35">
      <c r="A3771" s="103"/>
      <c r="C3771" s="100"/>
    </row>
    <row r="3772" spans="1:3" ht="18.75" customHeight="1" x14ac:dyDescent="0.35">
      <c r="A3772" s="103"/>
      <c r="C3772" s="100"/>
    </row>
    <row r="3773" spans="1:3" ht="18.75" customHeight="1" x14ac:dyDescent="0.35">
      <c r="A3773" s="103"/>
      <c r="C3773" s="100"/>
    </row>
    <row r="3774" spans="1:3" ht="18.75" customHeight="1" x14ac:dyDescent="0.35">
      <c r="A3774" s="103"/>
      <c r="C3774" s="100"/>
    </row>
    <row r="3775" spans="1:3" ht="18.75" customHeight="1" x14ac:dyDescent="0.35">
      <c r="A3775" s="103"/>
      <c r="C3775" s="100"/>
    </row>
    <row r="3776" spans="1:3" ht="18.75" customHeight="1" x14ac:dyDescent="0.35">
      <c r="A3776" s="103"/>
      <c r="C3776" s="100"/>
    </row>
    <row r="3777" spans="1:3" ht="18.75" customHeight="1" x14ac:dyDescent="0.35">
      <c r="A3777" s="103"/>
      <c r="C3777" s="100"/>
    </row>
    <row r="3778" spans="1:3" ht="18.75" customHeight="1" x14ac:dyDescent="0.35">
      <c r="A3778" s="103"/>
      <c r="C3778" s="100"/>
    </row>
    <row r="3779" spans="1:3" ht="18.75" customHeight="1" x14ac:dyDescent="0.35">
      <c r="A3779" s="103"/>
      <c r="C3779" s="100"/>
    </row>
    <row r="3780" spans="1:3" ht="18.75" customHeight="1" x14ac:dyDescent="0.35">
      <c r="A3780" s="103"/>
      <c r="C3780" s="100"/>
    </row>
    <row r="3781" spans="1:3" ht="18.75" customHeight="1" x14ac:dyDescent="0.35">
      <c r="A3781" s="103"/>
      <c r="C3781" s="100"/>
    </row>
    <row r="3782" spans="1:3" ht="18.75" customHeight="1" x14ac:dyDescent="0.35">
      <c r="A3782" s="103"/>
      <c r="C3782" s="100"/>
    </row>
    <row r="3783" spans="1:3" ht="18.75" customHeight="1" x14ac:dyDescent="0.35">
      <c r="A3783" s="103"/>
      <c r="C3783" s="100"/>
    </row>
    <row r="3784" spans="1:3" ht="18.75" customHeight="1" x14ac:dyDescent="0.35">
      <c r="A3784" s="103"/>
      <c r="C3784" s="100"/>
    </row>
    <row r="3785" spans="1:3" ht="18.75" customHeight="1" x14ac:dyDescent="0.35">
      <c r="A3785" s="103"/>
      <c r="C3785" s="100"/>
    </row>
    <row r="3786" spans="1:3" ht="18.75" customHeight="1" x14ac:dyDescent="0.35">
      <c r="A3786" s="103"/>
      <c r="C3786" s="100"/>
    </row>
    <row r="3787" spans="1:3" ht="18.75" customHeight="1" x14ac:dyDescent="0.35">
      <c r="A3787" s="103"/>
      <c r="C3787" s="100"/>
    </row>
    <row r="3788" spans="1:3" ht="18.75" customHeight="1" x14ac:dyDescent="0.35">
      <c r="A3788" s="103"/>
      <c r="C3788" s="100"/>
    </row>
    <row r="3789" spans="1:3" ht="18.75" customHeight="1" x14ac:dyDescent="0.35">
      <c r="A3789" s="103"/>
      <c r="C3789" s="100"/>
    </row>
    <row r="3790" spans="1:3" ht="18.75" customHeight="1" x14ac:dyDescent="0.35">
      <c r="A3790" s="103"/>
      <c r="C3790" s="100"/>
    </row>
    <row r="3791" spans="1:3" ht="18.75" customHeight="1" x14ac:dyDescent="0.35">
      <c r="A3791" s="103"/>
      <c r="C3791" s="100"/>
    </row>
    <row r="3792" spans="1:3" ht="18.75" customHeight="1" x14ac:dyDescent="0.35">
      <c r="A3792" s="103"/>
      <c r="C3792" s="100"/>
    </row>
    <row r="3793" spans="1:3" ht="18.75" customHeight="1" x14ac:dyDescent="0.35">
      <c r="A3793" s="103"/>
      <c r="C3793" s="100"/>
    </row>
    <row r="3794" spans="1:3" ht="18.75" customHeight="1" x14ac:dyDescent="0.35">
      <c r="A3794" s="103"/>
      <c r="C3794" s="100"/>
    </row>
    <row r="3795" spans="1:3" ht="18.75" customHeight="1" x14ac:dyDescent="0.35">
      <c r="A3795" s="103"/>
      <c r="C3795" s="100"/>
    </row>
    <row r="3796" spans="1:3" ht="18.75" customHeight="1" x14ac:dyDescent="0.35">
      <c r="A3796" s="103"/>
      <c r="C3796" s="100"/>
    </row>
    <row r="3797" spans="1:3" ht="18.75" customHeight="1" x14ac:dyDescent="0.35">
      <c r="A3797" s="103"/>
      <c r="C3797" s="100"/>
    </row>
    <row r="3798" spans="1:3" ht="18.75" customHeight="1" x14ac:dyDescent="0.35">
      <c r="A3798" s="103"/>
      <c r="C3798" s="100"/>
    </row>
    <row r="3799" spans="1:3" ht="18.75" customHeight="1" x14ac:dyDescent="0.35">
      <c r="A3799" s="103"/>
      <c r="C3799" s="100"/>
    </row>
    <row r="3800" spans="1:3" ht="18.75" customHeight="1" x14ac:dyDescent="0.35">
      <c r="A3800" s="103"/>
      <c r="C3800" s="100"/>
    </row>
    <row r="3801" spans="1:3" ht="18.75" customHeight="1" x14ac:dyDescent="0.35">
      <c r="A3801" s="103"/>
      <c r="C3801" s="100"/>
    </row>
    <row r="3802" spans="1:3" ht="18.75" customHeight="1" x14ac:dyDescent="0.35">
      <c r="A3802" s="103"/>
      <c r="C3802" s="100"/>
    </row>
    <row r="3803" spans="1:3" ht="18.75" customHeight="1" x14ac:dyDescent="0.35">
      <c r="A3803" s="103"/>
      <c r="C3803" s="100"/>
    </row>
    <row r="3804" spans="1:3" ht="18.75" customHeight="1" x14ac:dyDescent="0.35">
      <c r="A3804" s="103"/>
      <c r="C3804" s="100"/>
    </row>
    <row r="3805" spans="1:3" ht="18.75" customHeight="1" x14ac:dyDescent="0.35">
      <c r="A3805" s="103"/>
      <c r="C3805" s="100"/>
    </row>
    <row r="3806" spans="1:3" ht="18.75" customHeight="1" x14ac:dyDescent="0.35">
      <c r="A3806" s="103"/>
      <c r="C3806" s="100"/>
    </row>
    <row r="3807" spans="1:3" ht="18.75" customHeight="1" x14ac:dyDescent="0.35">
      <c r="A3807" s="103"/>
      <c r="C3807" s="100"/>
    </row>
    <row r="3808" spans="1:3" ht="18.75" customHeight="1" x14ac:dyDescent="0.35">
      <c r="A3808" s="103"/>
      <c r="C3808" s="100"/>
    </row>
    <row r="3809" spans="1:3" ht="18.75" customHeight="1" x14ac:dyDescent="0.35">
      <c r="A3809" s="103"/>
      <c r="C3809" s="100"/>
    </row>
    <row r="3810" spans="1:3" ht="18.75" customHeight="1" x14ac:dyDescent="0.35">
      <c r="A3810" s="103"/>
      <c r="C3810" s="100"/>
    </row>
    <row r="3811" spans="1:3" ht="18.75" customHeight="1" x14ac:dyDescent="0.35">
      <c r="A3811" s="103"/>
      <c r="C3811" s="100"/>
    </row>
    <row r="3812" spans="1:3" ht="18.75" customHeight="1" x14ac:dyDescent="0.35">
      <c r="A3812" s="103"/>
      <c r="C3812" s="100"/>
    </row>
    <row r="3813" spans="1:3" ht="18.75" customHeight="1" x14ac:dyDescent="0.35">
      <c r="A3813" s="103"/>
      <c r="C3813" s="100"/>
    </row>
    <row r="3814" spans="1:3" ht="18.75" customHeight="1" x14ac:dyDescent="0.35">
      <c r="A3814" s="103"/>
      <c r="C3814" s="100"/>
    </row>
    <row r="3815" spans="1:3" ht="18.75" customHeight="1" x14ac:dyDescent="0.35">
      <c r="A3815" s="103"/>
      <c r="C3815" s="100"/>
    </row>
    <row r="3816" spans="1:3" ht="18.75" customHeight="1" x14ac:dyDescent="0.35">
      <c r="A3816" s="103"/>
      <c r="C3816" s="100"/>
    </row>
    <row r="3817" spans="1:3" ht="18.75" customHeight="1" x14ac:dyDescent="0.35">
      <c r="A3817" s="103"/>
      <c r="C3817" s="100"/>
    </row>
    <row r="3818" spans="1:3" ht="18.75" customHeight="1" x14ac:dyDescent="0.35">
      <c r="A3818" s="103"/>
      <c r="C3818" s="100"/>
    </row>
    <row r="3819" spans="1:3" ht="18.75" customHeight="1" x14ac:dyDescent="0.35">
      <c r="A3819" s="103"/>
      <c r="C3819" s="100"/>
    </row>
    <row r="3820" spans="1:3" ht="18.75" customHeight="1" x14ac:dyDescent="0.35">
      <c r="A3820" s="103"/>
      <c r="C3820" s="100"/>
    </row>
    <row r="3821" spans="1:3" ht="18.75" customHeight="1" x14ac:dyDescent="0.35">
      <c r="A3821" s="103"/>
      <c r="C3821" s="100"/>
    </row>
    <row r="3822" spans="1:3" ht="18.75" customHeight="1" x14ac:dyDescent="0.35">
      <c r="A3822" s="103"/>
      <c r="C3822" s="100"/>
    </row>
    <row r="3823" spans="1:3" ht="18.75" customHeight="1" x14ac:dyDescent="0.35">
      <c r="A3823" s="103"/>
      <c r="C3823" s="100"/>
    </row>
    <row r="3824" spans="1:3" ht="18.75" customHeight="1" x14ac:dyDescent="0.35">
      <c r="A3824" s="103"/>
      <c r="C3824" s="100"/>
    </row>
    <row r="3825" spans="1:3" ht="18.75" customHeight="1" x14ac:dyDescent="0.35">
      <c r="A3825" s="103"/>
      <c r="C3825" s="100"/>
    </row>
    <row r="3826" spans="1:3" ht="18.75" customHeight="1" x14ac:dyDescent="0.35">
      <c r="A3826" s="103"/>
      <c r="C3826" s="100"/>
    </row>
    <row r="3827" spans="1:3" ht="18.75" customHeight="1" x14ac:dyDescent="0.35">
      <c r="A3827" s="103"/>
      <c r="C3827" s="100"/>
    </row>
    <row r="3828" spans="1:3" ht="18.75" customHeight="1" x14ac:dyDescent="0.35">
      <c r="A3828" s="103"/>
      <c r="C3828" s="100"/>
    </row>
    <row r="3829" spans="1:3" ht="18.75" customHeight="1" x14ac:dyDescent="0.35">
      <c r="A3829" s="103"/>
      <c r="C3829" s="100"/>
    </row>
    <row r="3830" spans="1:3" ht="18.75" customHeight="1" x14ac:dyDescent="0.35">
      <c r="A3830" s="103"/>
      <c r="C3830" s="100"/>
    </row>
    <row r="3831" spans="1:3" ht="18.75" customHeight="1" x14ac:dyDescent="0.35">
      <c r="A3831" s="103"/>
      <c r="C3831" s="100"/>
    </row>
    <row r="3832" spans="1:3" ht="18.75" customHeight="1" x14ac:dyDescent="0.35">
      <c r="A3832" s="103"/>
      <c r="C3832" s="100"/>
    </row>
    <row r="3833" spans="1:3" ht="18.75" customHeight="1" x14ac:dyDescent="0.35">
      <c r="A3833" s="103"/>
      <c r="C3833" s="100"/>
    </row>
    <row r="3834" spans="1:3" ht="18.75" customHeight="1" x14ac:dyDescent="0.35">
      <c r="A3834" s="103"/>
      <c r="C3834" s="100"/>
    </row>
    <row r="3835" spans="1:3" ht="18.75" customHeight="1" x14ac:dyDescent="0.35">
      <c r="A3835" s="103"/>
      <c r="C3835" s="100"/>
    </row>
    <row r="3836" spans="1:3" ht="18.75" customHeight="1" x14ac:dyDescent="0.35">
      <c r="A3836" s="103"/>
      <c r="C3836" s="100"/>
    </row>
    <row r="3837" spans="1:3" ht="18.75" customHeight="1" x14ac:dyDescent="0.35">
      <c r="A3837" s="103"/>
      <c r="C3837" s="100"/>
    </row>
    <row r="3838" spans="1:3" ht="18.75" customHeight="1" x14ac:dyDescent="0.35">
      <c r="A3838" s="103"/>
      <c r="C3838" s="100"/>
    </row>
    <row r="3839" spans="1:3" ht="18.75" customHeight="1" x14ac:dyDescent="0.35">
      <c r="A3839" s="103"/>
      <c r="C3839" s="100"/>
    </row>
    <row r="3840" spans="1:3" ht="18.75" customHeight="1" x14ac:dyDescent="0.35">
      <c r="A3840" s="103"/>
      <c r="C3840" s="100"/>
    </row>
    <row r="3841" spans="1:3" ht="18.75" customHeight="1" x14ac:dyDescent="0.35">
      <c r="A3841" s="103"/>
      <c r="C3841" s="100"/>
    </row>
    <row r="3842" spans="1:3" ht="18.75" customHeight="1" x14ac:dyDescent="0.35">
      <c r="A3842" s="103"/>
      <c r="C3842" s="100"/>
    </row>
    <row r="3843" spans="1:3" ht="18.75" customHeight="1" x14ac:dyDescent="0.35">
      <c r="A3843" s="103"/>
      <c r="C3843" s="100"/>
    </row>
    <row r="3844" spans="1:3" ht="18.75" customHeight="1" x14ac:dyDescent="0.35">
      <c r="A3844" s="103"/>
      <c r="C3844" s="100"/>
    </row>
    <row r="3845" spans="1:3" ht="18.75" customHeight="1" x14ac:dyDescent="0.35">
      <c r="A3845" s="103"/>
      <c r="C3845" s="100"/>
    </row>
    <row r="3846" spans="1:3" ht="18.75" customHeight="1" x14ac:dyDescent="0.35">
      <c r="A3846" s="103"/>
      <c r="C3846" s="100"/>
    </row>
    <row r="3847" spans="1:3" ht="18.75" customHeight="1" x14ac:dyDescent="0.35">
      <c r="A3847" s="103"/>
      <c r="C3847" s="100"/>
    </row>
    <row r="3848" spans="1:3" ht="18.75" customHeight="1" x14ac:dyDescent="0.35">
      <c r="A3848" s="103"/>
      <c r="C3848" s="100"/>
    </row>
    <row r="3849" spans="1:3" ht="18.75" customHeight="1" x14ac:dyDescent="0.35">
      <c r="A3849" s="103"/>
      <c r="C3849" s="100"/>
    </row>
    <row r="3850" spans="1:3" ht="18.75" customHeight="1" x14ac:dyDescent="0.35">
      <c r="A3850" s="103"/>
      <c r="C3850" s="100"/>
    </row>
    <row r="3851" spans="1:3" ht="18.75" customHeight="1" x14ac:dyDescent="0.35">
      <c r="A3851" s="103"/>
      <c r="C3851" s="100"/>
    </row>
    <row r="3852" spans="1:3" ht="18.75" customHeight="1" x14ac:dyDescent="0.35">
      <c r="A3852" s="103"/>
      <c r="C3852" s="100"/>
    </row>
    <row r="3853" spans="1:3" ht="18.75" customHeight="1" x14ac:dyDescent="0.35">
      <c r="A3853" s="103"/>
      <c r="C3853" s="100"/>
    </row>
    <row r="3854" spans="1:3" ht="18.75" customHeight="1" x14ac:dyDescent="0.35">
      <c r="A3854" s="103"/>
      <c r="C3854" s="100"/>
    </row>
    <row r="3855" spans="1:3" ht="18.75" customHeight="1" x14ac:dyDescent="0.35">
      <c r="A3855" s="103"/>
      <c r="C3855" s="100"/>
    </row>
    <row r="3856" spans="1:3" ht="18.75" customHeight="1" x14ac:dyDescent="0.35">
      <c r="A3856" s="103"/>
      <c r="C3856" s="100"/>
    </row>
    <row r="3857" spans="1:3" ht="18.75" customHeight="1" x14ac:dyDescent="0.35">
      <c r="A3857" s="103"/>
      <c r="C3857" s="100"/>
    </row>
    <row r="3858" spans="1:3" ht="18.75" customHeight="1" x14ac:dyDescent="0.35">
      <c r="A3858" s="103"/>
      <c r="C3858" s="100"/>
    </row>
    <row r="3859" spans="1:3" ht="18.75" customHeight="1" x14ac:dyDescent="0.35">
      <c r="A3859" s="103"/>
      <c r="C3859" s="100"/>
    </row>
    <row r="3860" spans="1:3" ht="18.75" customHeight="1" x14ac:dyDescent="0.35">
      <c r="A3860" s="103"/>
      <c r="C3860" s="100"/>
    </row>
    <row r="3861" spans="1:3" ht="18.75" customHeight="1" x14ac:dyDescent="0.35">
      <c r="A3861" s="103"/>
      <c r="C3861" s="100"/>
    </row>
    <row r="3862" spans="1:3" ht="18.75" customHeight="1" x14ac:dyDescent="0.35">
      <c r="A3862" s="103"/>
      <c r="C3862" s="100"/>
    </row>
    <row r="3863" spans="1:3" ht="18.75" customHeight="1" x14ac:dyDescent="0.35">
      <c r="A3863" s="103"/>
      <c r="C3863" s="100"/>
    </row>
    <row r="3864" spans="1:3" ht="18.75" customHeight="1" x14ac:dyDescent="0.35">
      <c r="A3864" s="103"/>
      <c r="C3864" s="100"/>
    </row>
    <row r="3865" spans="1:3" ht="18.75" customHeight="1" x14ac:dyDescent="0.35">
      <c r="A3865" s="103"/>
      <c r="C3865" s="100"/>
    </row>
    <row r="3866" spans="1:3" ht="18.75" customHeight="1" x14ac:dyDescent="0.35">
      <c r="A3866" s="103"/>
      <c r="C3866" s="100"/>
    </row>
    <row r="3867" spans="1:3" ht="18.75" customHeight="1" x14ac:dyDescent="0.35">
      <c r="A3867" s="103"/>
      <c r="C3867" s="100"/>
    </row>
    <row r="3868" spans="1:3" ht="18.75" customHeight="1" x14ac:dyDescent="0.35">
      <c r="A3868" s="103"/>
      <c r="C3868" s="100"/>
    </row>
    <row r="3869" spans="1:3" ht="18.75" customHeight="1" x14ac:dyDescent="0.35">
      <c r="A3869" s="103"/>
      <c r="C3869" s="100"/>
    </row>
    <row r="3870" spans="1:3" ht="18.75" customHeight="1" x14ac:dyDescent="0.35">
      <c r="A3870" s="103"/>
      <c r="C3870" s="100"/>
    </row>
    <row r="3871" spans="1:3" ht="18.75" customHeight="1" x14ac:dyDescent="0.35">
      <c r="A3871" s="103"/>
      <c r="C3871" s="100"/>
    </row>
    <row r="3872" spans="1:3" ht="18.75" customHeight="1" x14ac:dyDescent="0.35">
      <c r="A3872" s="103"/>
      <c r="C3872" s="100"/>
    </row>
    <row r="3873" spans="1:3" ht="18.75" customHeight="1" x14ac:dyDescent="0.35">
      <c r="A3873" s="103"/>
      <c r="C3873" s="100"/>
    </row>
    <row r="3874" spans="1:3" ht="18.75" customHeight="1" x14ac:dyDescent="0.35">
      <c r="A3874" s="103"/>
      <c r="C3874" s="100"/>
    </row>
    <row r="3875" spans="1:3" ht="18.75" customHeight="1" x14ac:dyDescent="0.35">
      <c r="A3875" s="103"/>
      <c r="C3875" s="100"/>
    </row>
    <row r="3876" spans="1:3" ht="18.75" customHeight="1" x14ac:dyDescent="0.35">
      <c r="A3876" s="103"/>
      <c r="C3876" s="100"/>
    </row>
    <row r="3877" spans="1:3" ht="18.75" customHeight="1" x14ac:dyDescent="0.35">
      <c r="A3877" s="103"/>
      <c r="C3877" s="100"/>
    </row>
    <row r="3878" spans="1:3" ht="18.75" customHeight="1" x14ac:dyDescent="0.35">
      <c r="A3878" s="103"/>
      <c r="C3878" s="100"/>
    </row>
    <row r="3879" spans="1:3" ht="18.75" customHeight="1" x14ac:dyDescent="0.35">
      <c r="A3879" s="103"/>
      <c r="C3879" s="100"/>
    </row>
    <row r="3880" spans="1:3" ht="18.75" customHeight="1" x14ac:dyDescent="0.35">
      <c r="A3880" s="103"/>
      <c r="C3880" s="100"/>
    </row>
    <row r="3881" spans="1:3" ht="18.75" customHeight="1" x14ac:dyDescent="0.35">
      <c r="A3881" s="103"/>
      <c r="C3881" s="100"/>
    </row>
    <row r="3882" spans="1:3" ht="18.75" customHeight="1" x14ac:dyDescent="0.35">
      <c r="A3882" s="103"/>
      <c r="C3882" s="100"/>
    </row>
    <row r="3883" spans="1:3" ht="18.75" customHeight="1" x14ac:dyDescent="0.35">
      <c r="A3883" s="103"/>
      <c r="C3883" s="100"/>
    </row>
    <row r="3884" spans="1:3" ht="18.75" customHeight="1" x14ac:dyDescent="0.35">
      <c r="A3884" s="103"/>
      <c r="C3884" s="100"/>
    </row>
    <row r="3885" spans="1:3" ht="18.75" customHeight="1" x14ac:dyDescent="0.35">
      <c r="A3885" s="103"/>
      <c r="C3885" s="100"/>
    </row>
    <row r="3886" spans="1:3" ht="18.75" customHeight="1" x14ac:dyDescent="0.35">
      <c r="A3886" s="103"/>
      <c r="C3886" s="100"/>
    </row>
    <row r="3887" spans="1:3" ht="18.75" customHeight="1" x14ac:dyDescent="0.35">
      <c r="A3887" s="103"/>
      <c r="C3887" s="100"/>
    </row>
    <row r="3888" spans="1:3" ht="18.75" customHeight="1" x14ac:dyDescent="0.35">
      <c r="A3888" s="103"/>
      <c r="C3888" s="100"/>
    </row>
    <row r="3889" spans="1:3" ht="18.75" customHeight="1" x14ac:dyDescent="0.35">
      <c r="A3889" s="103"/>
      <c r="C3889" s="100"/>
    </row>
    <row r="3890" spans="1:3" ht="18.75" customHeight="1" x14ac:dyDescent="0.35">
      <c r="A3890" s="103"/>
      <c r="C3890" s="100"/>
    </row>
    <row r="3891" spans="1:3" ht="18.75" customHeight="1" x14ac:dyDescent="0.35">
      <c r="A3891" s="103"/>
      <c r="C3891" s="100"/>
    </row>
    <row r="3892" spans="1:3" ht="18.75" customHeight="1" x14ac:dyDescent="0.35">
      <c r="A3892" s="103"/>
      <c r="C3892" s="100"/>
    </row>
    <row r="3893" spans="1:3" ht="18.75" customHeight="1" x14ac:dyDescent="0.35">
      <c r="A3893" s="103"/>
      <c r="C3893" s="100"/>
    </row>
    <row r="3894" spans="1:3" ht="18.75" customHeight="1" x14ac:dyDescent="0.35">
      <c r="A3894" s="103"/>
      <c r="C3894" s="100"/>
    </row>
    <row r="3895" spans="1:3" ht="18.75" customHeight="1" x14ac:dyDescent="0.35">
      <c r="A3895" s="103"/>
      <c r="C3895" s="100"/>
    </row>
    <row r="3896" spans="1:3" ht="18.75" customHeight="1" x14ac:dyDescent="0.35">
      <c r="A3896" s="103"/>
      <c r="C3896" s="100"/>
    </row>
    <row r="3897" spans="1:3" ht="18.75" customHeight="1" x14ac:dyDescent="0.35">
      <c r="A3897" s="103"/>
      <c r="C3897" s="100"/>
    </row>
    <row r="3898" spans="1:3" ht="18.75" customHeight="1" x14ac:dyDescent="0.35">
      <c r="A3898" s="103"/>
      <c r="C3898" s="100"/>
    </row>
    <row r="3899" spans="1:3" ht="18.75" customHeight="1" x14ac:dyDescent="0.35">
      <c r="A3899" s="103"/>
      <c r="C3899" s="100"/>
    </row>
    <row r="3900" spans="1:3" ht="18.75" customHeight="1" x14ac:dyDescent="0.35">
      <c r="A3900" s="103"/>
      <c r="C3900" s="100"/>
    </row>
    <row r="3901" spans="1:3" ht="18.75" customHeight="1" x14ac:dyDescent="0.35">
      <c r="A3901" s="103"/>
      <c r="C3901" s="100"/>
    </row>
    <row r="3902" spans="1:3" ht="18.75" customHeight="1" x14ac:dyDescent="0.35">
      <c r="A3902" s="103"/>
      <c r="C3902" s="100"/>
    </row>
    <row r="3903" spans="1:3" ht="18.75" customHeight="1" x14ac:dyDescent="0.35">
      <c r="A3903" s="103"/>
      <c r="C3903" s="100"/>
    </row>
    <row r="3904" spans="1:3" ht="18.75" customHeight="1" x14ac:dyDescent="0.35">
      <c r="A3904" s="103"/>
      <c r="C3904" s="100"/>
    </row>
    <row r="3905" spans="1:3" ht="18.75" customHeight="1" x14ac:dyDescent="0.35">
      <c r="A3905" s="103"/>
      <c r="C3905" s="100"/>
    </row>
    <row r="3906" spans="1:3" ht="18.75" customHeight="1" x14ac:dyDescent="0.35">
      <c r="A3906" s="103"/>
      <c r="C3906" s="100"/>
    </row>
    <row r="3907" spans="1:3" ht="18.75" customHeight="1" x14ac:dyDescent="0.35">
      <c r="A3907" s="103"/>
      <c r="C3907" s="100"/>
    </row>
    <row r="3908" spans="1:3" ht="18.75" customHeight="1" x14ac:dyDescent="0.35">
      <c r="A3908" s="103"/>
      <c r="C3908" s="100"/>
    </row>
    <row r="3909" spans="1:3" ht="18.75" customHeight="1" x14ac:dyDescent="0.35">
      <c r="A3909" s="103"/>
      <c r="C3909" s="100"/>
    </row>
    <row r="3910" spans="1:3" ht="18.75" customHeight="1" x14ac:dyDescent="0.35">
      <c r="A3910" s="103"/>
      <c r="C3910" s="100"/>
    </row>
    <row r="3911" spans="1:3" ht="18.75" customHeight="1" x14ac:dyDescent="0.35">
      <c r="A3911" s="103"/>
      <c r="C3911" s="100"/>
    </row>
    <row r="3912" spans="1:3" ht="18.75" customHeight="1" x14ac:dyDescent="0.35">
      <c r="A3912" s="103"/>
      <c r="C3912" s="100"/>
    </row>
    <row r="3913" spans="1:3" ht="18.75" customHeight="1" x14ac:dyDescent="0.35">
      <c r="A3913" s="103"/>
      <c r="C3913" s="100"/>
    </row>
    <row r="3914" spans="1:3" ht="18.75" customHeight="1" x14ac:dyDescent="0.35">
      <c r="A3914" s="103"/>
      <c r="C3914" s="100"/>
    </row>
    <row r="3915" spans="1:3" ht="18.75" customHeight="1" x14ac:dyDescent="0.35">
      <c r="A3915" s="103"/>
      <c r="C3915" s="100"/>
    </row>
    <row r="3916" spans="1:3" ht="18.75" customHeight="1" x14ac:dyDescent="0.35">
      <c r="A3916" s="103"/>
      <c r="C3916" s="100"/>
    </row>
    <row r="3917" spans="1:3" ht="18.75" customHeight="1" x14ac:dyDescent="0.35">
      <c r="A3917" s="103"/>
      <c r="C3917" s="100"/>
    </row>
    <row r="3918" spans="1:3" ht="18.75" customHeight="1" x14ac:dyDescent="0.35">
      <c r="A3918" s="103"/>
      <c r="C3918" s="100"/>
    </row>
    <row r="3919" spans="1:3" ht="18.75" customHeight="1" x14ac:dyDescent="0.35">
      <c r="A3919" s="103"/>
      <c r="C3919" s="100"/>
    </row>
    <row r="3920" spans="1:3" ht="18.75" customHeight="1" x14ac:dyDescent="0.35">
      <c r="A3920" s="103"/>
      <c r="C3920" s="100"/>
    </row>
    <row r="3921" spans="1:3" ht="18.75" customHeight="1" x14ac:dyDescent="0.35">
      <c r="A3921" s="103"/>
      <c r="C3921" s="100"/>
    </row>
    <row r="3922" spans="1:3" ht="18.75" customHeight="1" x14ac:dyDescent="0.35">
      <c r="A3922" s="103"/>
      <c r="C3922" s="100"/>
    </row>
    <row r="3923" spans="1:3" ht="18.75" customHeight="1" x14ac:dyDescent="0.35">
      <c r="A3923" s="103"/>
      <c r="C3923" s="100"/>
    </row>
    <row r="3924" spans="1:3" ht="18.75" customHeight="1" x14ac:dyDescent="0.35">
      <c r="A3924" s="103"/>
      <c r="C3924" s="100"/>
    </row>
    <row r="3925" spans="1:3" ht="18.75" customHeight="1" x14ac:dyDescent="0.35">
      <c r="A3925" s="103"/>
      <c r="C3925" s="100"/>
    </row>
    <row r="3926" spans="1:3" ht="18.75" customHeight="1" x14ac:dyDescent="0.35">
      <c r="A3926" s="103"/>
      <c r="C3926" s="100"/>
    </row>
    <row r="3927" spans="1:3" ht="18.75" customHeight="1" x14ac:dyDescent="0.35">
      <c r="A3927" s="103"/>
      <c r="C3927" s="100"/>
    </row>
    <row r="3928" spans="1:3" ht="18.75" customHeight="1" x14ac:dyDescent="0.35">
      <c r="A3928" s="103"/>
      <c r="C3928" s="100"/>
    </row>
    <row r="3929" spans="1:3" ht="18.75" customHeight="1" x14ac:dyDescent="0.35">
      <c r="A3929" s="103"/>
      <c r="C3929" s="100"/>
    </row>
    <row r="3930" spans="1:3" ht="18.75" customHeight="1" x14ac:dyDescent="0.35">
      <c r="A3930" s="103"/>
      <c r="C3930" s="100"/>
    </row>
    <row r="3931" spans="1:3" ht="18.75" customHeight="1" x14ac:dyDescent="0.35">
      <c r="A3931" s="103"/>
      <c r="C3931" s="100"/>
    </row>
    <row r="3932" spans="1:3" ht="18.75" customHeight="1" x14ac:dyDescent="0.35">
      <c r="A3932" s="103"/>
      <c r="C3932" s="100"/>
    </row>
    <row r="3933" spans="1:3" ht="18.75" customHeight="1" x14ac:dyDescent="0.35">
      <c r="A3933" s="103"/>
      <c r="C3933" s="100"/>
    </row>
    <row r="3934" spans="1:3" ht="18.75" customHeight="1" x14ac:dyDescent="0.35">
      <c r="A3934" s="103"/>
      <c r="C3934" s="100"/>
    </row>
    <row r="3935" spans="1:3" ht="18.75" customHeight="1" x14ac:dyDescent="0.35">
      <c r="A3935" s="103"/>
      <c r="C3935" s="100"/>
    </row>
    <row r="3936" spans="1:3" ht="18.75" customHeight="1" x14ac:dyDescent="0.35">
      <c r="A3936" s="103"/>
      <c r="C3936" s="100"/>
    </row>
    <row r="3937" spans="1:3" ht="18.75" customHeight="1" x14ac:dyDescent="0.35">
      <c r="A3937" s="103"/>
      <c r="C3937" s="100"/>
    </row>
    <row r="3938" spans="1:3" ht="18.75" customHeight="1" x14ac:dyDescent="0.35">
      <c r="A3938" s="103"/>
      <c r="C3938" s="100"/>
    </row>
    <row r="3939" spans="1:3" ht="18.75" customHeight="1" x14ac:dyDescent="0.35">
      <c r="A3939" s="103"/>
      <c r="C3939" s="100"/>
    </row>
    <row r="3940" spans="1:3" ht="18.75" customHeight="1" x14ac:dyDescent="0.35">
      <c r="A3940" s="103"/>
      <c r="C3940" s="100"/>
    </row>
    <row r="3941" spans="1:3" ht="18.75" customHeight="1" x14ac:dyDescent="0.35">
      <c r="A3941" s="103"/>
      <c r="C3941" s="100"/>
    </row>
    <row r="3942" spans="1:3" ht="18.75" customHeight="1" x14ac:dyDescent="0.35">
      <c r="A3942" s="103"/>
      <c r="C3942" s="100"/>
    </row>
    <row r="3943" spans="1:3" ht="18.75" customHeight="1" x14ac:dyDescent="0.35">
      <c r="A3943" s="103"/>
      <c r="C3943" s="100"/>
    </row>
    <row r="3944" spans="1:3" ht="18.75" customHeight="1" x14ac:dyDescent="0.35">
      <c r="A3944" s="103"/>
      <c r="C3944" s="100"/>
    </row>
    <row r="3945" spans="1:3" ht="18.75" customHeight="1" x14ac:dyDescent="0.35">
      <c r="A3945" s="103"/>
      <c r="C3945" s="100"/>
    </row>
    <row r="3946" spans="1:3" ht="18.75" customHeight="1" x14ac:dyDescent="0.35">
      <c r="A3946" s="103"/>
      <c r="C3946" s="100"/>
    </row>
    <row r="3947" spans="1:3" ht="18.75" customHeight="1" x14ac:dyDescent="0.35">
      <c r="A3947" s="103"/>
      <c r="C3947" s="100"/>
    </row>
    <row r="3948" spans="1:3" ht="18.75" customHeight="1" x14ac:dyDescent="0.35">
      <c r="A3948" s="103"/>
      <c r="C3948" s="100"/>
    </row>
    <row r="3949" spans="1:3" ht="18.75" customHeight="1" x14ac:dyDescent="0.35">
      <c r="A3949" s="103"/>
      <c r="C3949" s="100"/>
    </row>
    <row r="3950" spans="1:3" ht="18.75" customHeight="1" x14ac:dyDescent="0.35">
      <c r="A3950" s="103"/>
      <c r="C3950" s="100"/>
    </row>
    <row r="3951" spans="1:3" ht="18.75" customHeight="1" x14ac:dyDescent="0.35">
      <c r="A3951" s="103"/>
      <c r="C3951" s="100"/>
    </row>
    <row r="3952" spans="1:3" ht="18.75" customHeight="1" x14ac:dyDescent="0.35">
      <c r="A3952" s="103"/>
      <c r="C3952" s="100"/>
    </row>
    <row r="3953" spans="1:3" ht="18.75" customHeight="1" x14ac:dyDescent="0.35">
      <c r="A3953" s="103"/>
      <c r="C3953" s="100"/>
    </row>
    <row r="3954" spans="1:3" ht="18.75" customHeight="1" x14ac:dyDescent="0.35">
      <c r="A3954" s="103"/>
      <c r="C3954" s="100"/>
    </row>
    <row r="3955" spans="1:3" ht="18.75" customHeight="1" x14ac:dyDescent="0.35">
      <c r="A3955" s="103"/>
      <c r="C3955" s="100"/>
    </row>
    <row r="3956" spans="1:3" ht="18.75" customHeight="1" x14ac:dyDescent="0.35">
      <c r="A3956" s="103"/>
      <c r="C3956" s="100"/>
    </row>
    <row r="3957" spans="1:3" ht="18.75" customHeight="1" x14ac:dyDescent="0.35">
      <c r="A3957" s="103"/>
      <c r="C3957" s="100"/>
    </row>
    <row r="3958" spans="1:3" ht="18.75" customHeight="1" x14ac:dyDescent="0.35">
      <c r="A3958" s="103"/>
      <c r="C3958" s="100"/>
    </row>
    <row r="3959" spans="1:3" ht="18.75" customHeight="1" x14ac:dyDescent="0.35">
      <c r="A3959" s="103"/>
      <c r="C3959" s="100"/>
    </row>
    <row r="3960" spans="1:3" ht="18.75" customHeight="1" x14ac:dyDescent="0.35">
      <c r="A3960" s="103"/>
      <c r="C3960" s="100"/>
    </row>
    <row r="3961" spans="1:3" ht="18.75" customHeight="1" x14ac:dyDescent="0.35">
      <c r="A3961" s="103"/>
      <c r="C3961" s="100"/>
    </row>
    <row r="3962" spans="1:3" ht="18.75" customHeight="1" x14ac:dyDescent="0.35">
      <c r="A3962" s="103"/>
      <c r="C3962" s="100"/>
    </row>
    <row r="3963" spans="1:3" ht="18.75" customHeight="1" x14ac:dyDescent="0.35">
      <c r="A3963" s="103"/>
      <c r="C3963" s="100"/>
    </row>
    <row r="3964" spans="1:3" ht="18.75" customHeight="1" x14ac:dyDescent="0.35">
      <c r="A3964" s="103"/>
      <c r="C3964" s="100"/>
    </row>
    <row r="3965" spans="1:3" ht="18.75" customHeight="1" x14ac:dyDescent="0.35">
      <c r="A3965" s="103"/>
      <c r="C3965" s="100"/>
    </row>
    <row r="3966" spans="1:3" ht="18.75" customHeight="1" x14ac:dyDescent="0.35">
      <c r="A3966" s="103"/>
      <c r="C3966" s="100"/>
    </row>
    <row r="3967" spans="1:3" ht="18.75" customHeight="1" x14ac:dyDescent="0.35">
      <c r="A3967" s="103"/>
      <c r="C3967" s="100"/>
    </row>
    <row r="3968" spans="1:3" ht="18.75" customHeight="1" x14ac:dyDescent="0.35">
      <c r="A3968" s="103"/>
      <c r="C3968" s="100"/>
    </row>
    <row r="3969" spans="1:3" ht="18.75" customHeight="1" x14ac:dyDescent="0.35">
      <c r="A3969" s="103"/>
      <c r="C3969" s="100"/>
    </row>
    <row r="3970" spans="1:3" ht="18.75" customHeight="1" x14ac:dyDescent="0.35">
      <c r="A3970" s="103"/>
      <c r="C3970" s="100"/>
    </row>
    <row r="3971" spans="1:3" ht="18.75" customHeight="1" x14ac:dyDescent="0.35">
      <c r="A3971" s="103"/>
      <c r="C3971" s="100"/>
    </row>
    <row r="3972" spans="1:3" ht="18.75" customHeight="1" x14ac:dyDescent="0.35">
      <c r="A3972" s="103"/>
      <c r="C3972" s="100"/>
    </row>
    <row r="3973" spans="1:3" ht="18.75" customHeight="1" x14ac:dyDescent="0.35">
      <c r="A3973" s="103"/>
      <c r="C3973" s="100"/>
    </row>
    <row r="3974" spans="1:3" ht="18.75" customHeight="1" x14ac:dyDescent="0.35">
      <c r="A3974" s="103"/>
      <c r="C3974" s="100"/>
    </row>
    <row r="3975" spans="1:3" ht="18.75" customHeight="1" x14ac:dyDescent="0.35">
      <c r="A3975" s="103"/>
      <c r="C3975" s="100"/>
    </row>
    <row r="3976" spans="1:3" ht="18.75" customHeight="1" x14ac:dyDescent="0.35">
      <c r="A3976" s="103"/>
      <c r="C3976" s="100"/>
    </row>
    <row r="3977" spans="1:3" ht="18.75" customHeight="1" x14ac:dyDescent="0.35">
      <c r="A3977" s="103"/>
      <c r="C3977" s="100"/>
    </row>
    <row r="3978" spans="1:3" ht="18.75" customHeight="1" x14ac:dyDescent="0.35">
      <c r="A3978" s="103"/>
      <c r="C3978" s="100"/>
    </row>
    <row r="3979" spans="1:3" ht="18.75" customHeight="1" x14ac:dyDescent="0.35">
      <c r="A3979" s="103"/>
      <c r="C3979" s="100"/>
    </row>
    <row r="3980" spans="1:3" ht="18.75" customHeight="1" x14ac:dyDescent="0.35">
      <c r="A3980" s="103"/>
      <c r="C3980" s="100"/>
    </row>
    <row r="3981" spans="1:3" ht="18.75" customHeight="1" x14ac:dyDescent="0.35">
      <c r="A3981" s="103"/>
      <c r="C3981" s="100"/>
    </row>
    <row r="3982" spans="1:3" ht="18.75" customHeight="1" x14ac:dyDescent="0.35">
      <c r="A3982" s="103"/>
      <c r="C3982" s="100"/>
    </row>
    <row r="3983" spans="1:3" ht="18.75" customHeight="1" x14ac:dyDescent="0.35">
      <c r="A3983" s="103"/>
      <c r="C3983" s="100"/>
    </row>
    <row r="3984" spans="1:3" ht="18.75" customHeight="1" x14ac:dyDescent="0.35">
      <c r="A3984" s="103"/>
      <c r="C3984" s="100"/>
    </row>
    <row r="3985" spans="1:3" ht="18.75" customHeight="1" x14ac:dyDescent="0.35">
      <c r="A3985" s="103"/>
      <c r="C3985" s="100"/>
    </row>
    <row r="3986" spans="1:3" ht="18.75" customHeight="1" x14ac:dyDescent="0.35">
      <c r="A3986" s="103"/>
      <c r="C3986" s="100"/>
    </row>
    <row r="3987" spans="1:3" ht="18.75" customHeight="1" x14ac:dyDescent="0.35">
      <c r="A3987" s="103"/>
      <c r="C3987" s="100"/>
    </row>
    <row r="3988" spans="1:3" ht="18.75" customHeight="1" x14ac:dyDescent="0.35">
      <c r="A3988" s="103"/>
      <c r="C3988" s="100"/>
    </row>
    <row r="3989" spans="1:3" ht="18.75" customHeight="1" x14ac:dyDescent="0.35">
      <c r="A3989" s="103"/>
      <c r="C3989" s="100"/>
    </row>
    <row r="3990" spans="1:3" ht="18.75" customHeight="1" x14ac:dyDescent="0.35">
      <c r="A3990" s="103"/>
      <c r="C3990" s="100"/>
    </row>
    <row r="3991" spans="1:3" ht="18.75" customHeight="1" x14ac:dyDescent="0.35">
      <c r="A3991" s="103"/>
      <c r="C3991" s="100"/>
    </row>
    <row r="3992" spans="1:3" ht="18.75" customHeight="1" x14ac:dyDescent="0.35">
      <c r="A3992" s="103"/>
      <c r="C3992" s="100"/>
    </row>
    <row r="3993" spans="1:3" ht="18.75" customHeight="1" x14ac:dyDescent="0.35">
      <c r="A3993" s="103"/>
      <c r="C3993" s="100"/>
    </row>
    <row r="3994" spans="1:3" ht="18.75" customHeight="1" x14ac:dyDescent="0.35">
      <c r="A3994" s="103"/>
      <c r="C3994" s="100"/>
    </row>
    <row r="3995" spans="1:3" ht="18.75" customHeight="1" x14ac:dyDescent="0.35">
      <c r="A3995" s="103"/>
      <c r="C3995" s="100"/>
    </row>
    <row r="3996" spans="1:3" ht="18.75" customHeight="1" x14ac:dyDescent="0.35">
      <c r="A3996" s="103"/>
      <c r="C3996" s="100"/>
    </row>
    <row r="3997" spans="1:3" ht="18.75" customHeight="1" x14ac:dyDescent="0.35">
      <c r="A3997" s="103"/>
      <c r="C3997" s="100"/>
    </row>
    <row r="3998" spans="1:3" ht="18.75" customHeight="1" x14ac:dyDescent="0.35">
      <c r="A3998" s="103"/>
      <c r="C3998" s="100"/>
    </row>
    <row r="3999" spans="1:3" ht="18.75" customHeight="1" x14ac:dyDescent="0.35">
      <c r="A3999" s="103"/>
      <c r="C3999" s="100"/>
    </row>
    <row r="4000" spans="1:3" ht="18.75" customHeight="1" x14ac:dyDescent="0.35">
      <c r="A4000" s="103"/>
      <c r="C4000" s="100"/>
    </row>
    <row r="4001" spans="1:3" ht="18.75" customHeight="1" x14ac:dyDescent="0.35">
      <c r="A4001" s="103"/>
      <c r="C4001" s="100"/>
    </row>
    <row r="4002" spans="1:3" ht="18.75" customHeight="1" x14ac:dyDescent="0.35">
      <c r="A4002" s="103"/>
      <c r="C4002" s="100"/>
    </row>
    <row r="4003" spans="1:3" ht="18.75" customHeight="1" x14ac:dyDescent="0.35">
      <c r="A4003" s="103"/>
      <c r="C4003" s="100"/>
    </row>
    <row r="4004" spans="1:3" ht="18.75" customHeight="1" x14ac:dyDescent="0.35">
      <c r="A4004" s="103"/>
      <c r="C4004" s="100"/>
    </row>
    <row r="4005" spans="1:3" ht="18.75" customHeight="1" x14ac:dyDescent="0.35">
      <c r="A4005" s="103"/>
      <c r="C4005" s="100"/>
    </row>
    <row r="4006" spans="1:3" ht="18.75" customHeight="1" x14ac:dyDescent="0.35">
      <c r="A4006" s="103"/>
      <c r="C4006" s="100"/>
    </row>
    <row r="4007" spans="1:3" ht="18.75" customHeight="1" x14ac:dyDescent="0.35">
      <c r="A4007" s="103"/>
      <c r="C4007" s="100"/>
    </row>
    <row r="4008" spans="1:3" ht="18.75" customHeight="1" x14ac:dyDescent="0.35">
      <c r="A4008" s="103"/>
      <c r="C4008" s="100"/>
    </row>
    <row r="4009" spans="1:3" ht="18.75" customHeight="1" x14ac:dyDescent="0.35">
      <c r="A4009" s="103"/>
      <c r="C4009" s="100"/>
    </row>
    <row r="4010" spans="1:3" ht="18.75" customHeight="1" x14ac:dyDescent="0.35">
      <c r="A4010" s="103"/>
      <c r="C4010" s="100"/>
    </row>
    <row r="4011" spans="1:3" ht="18.75" customHeight="1" x14ac:dyDescent="0.35">
      <c r="A4011" s="103"/>
      <c r="C4011" s="100"/>
    </row>
    <row r="4012" spans="1:3" ht="18.75" customHeight="1" x14ac:dyDescent="0.35">
      <c r="A4012" s="103"/>
      <c r="C4012" s="100"/>
    </row>
    <row r="4013" spans="1:3" ht="18.75" customHeight="1" x14ac:dyDescent="0.35">
      <c r="A4013" s="103"/>
      <c r="C4013" s="100"/>
    </row>
    <row r="4014" spans="1:3" ht="18.75" customHeight="1" x14ac:dyDescent="0.35">
      <c r="A4014" s="103"/>
      <c r="C4014" s="100"/>
    </row>
    <row r="4015" spans="1:3" ht="18.75" customHeight="1" x14ac:dyDescent="0.35">
      <c r="A4015" s="103"/>
      <c r="C4015" s="100"/>
    </row>
    <row r="4016" spans="1:3" ht="18.75" customHeight="1" x14ac:dyDescent="0.35">
      <c r="A4016" s="103"/>
      <c r="C4016" s="100"/>
    </row>
    <row r="4017" spans="1:3" ht="18.75" customHeight="1" x14ac:dyDescent="0.35">
      <c r="A4017" s="103"/>
      <c r="C4017" s="100"/>
    </row>
    <row r="4018" spans="1:3" ht="18.75" customHeight="1" x14ac:dyDescent="0.35">
      <c r="A4018" s="103"/>
      <c r="C4018" s="100"/>
    </row>
    <row r="4019" spans="1:3" ht="18.75" customHeight="1" x14ac:dyDescent="0.35">
      <c r="A4019" s="103"/>
      <c r="C4019" s="100"/>
    </row>
    <row r="4020" spans="1:3" ht="18.75" customHeight="1" x14ac:dyDescent="0.35">
      <c r="A4020" s="103"/>
      <c r="C4020" s="100"/>
    </row>
    <row r="4021" spans="1:3" ht="18.75" customHeight="1" x14ac:dyDescent="0.35">
      <c r="A4021" s="103"/>
      <c r="C4021" s="100"/>
    </row>
    <row r="4022" spans="1:3" ht="18.75" customHeight="1" x14ac:dyDescent="0.35">
      <c r="A4022" s="103"/>
      <c r="C4022" s="100"/>
    </row>
    <row r="4023" spans="1:3" ht="18.75" customHeight="1" x14ac:dyDescent="0.35">
      <c r="A4023" s="103"/>
      <c r="C4023" s="100"/>
    </row>
    <row r="4024" spans="1:3" ht="18.75" customHeight="1" x14ac:dyDescent="0.35">
      <c r="A4024" s="103"/>
      <c r="C4024" s="100"/>
    </row>
    <row r="4025" spans="1:3" ht="18.75" customHeight="1" x14ac:dyDescent="0.35">
      <c r="A4025" s="103"/>
      <c r="C4025" s="100"/>
    </row>
    <row r="4026" spans="1:3" ht="18.75" customHeight="1" x14ac:dyDescent="0.35">
      <c r="A4026" s="103"/>
      <c r="C4026" s="100"/>
    </row>
    <row r="4027" spans="1:3" ht="18.75" customHeight="1" x14ac:dyDescent="0.35">
      <c r="A4027" s="103"/>
      <c r="C4027" s="100"/>
    </row>
    <row r="4028" spans="1:3" ht="18.75" customHeight="1" x14ac:dyDescent="0.35">
      <c r="A4028" s="103"/>
      <c r="C4028" s="100"/>
    </row>
    <row r="4029" spans="1:3" ht="18.75" customHeight="1" x14ac:dyDescent="0.35">
      <c r="A4029" s="103"/>
      <c r="C4029" s="100"/>
    </row>
    <row r="4030" spans="1:3" ht="18.75" customHeight="1" x14ac:dyDescent="0.35">
      <c r="A4030" s="103"/>
      <c r="C4030" s="100"/>
    </row>
    <row r="4031" spans="1:3" ht="18.75" customHeight="1" x14ac:dyDescent="0.35">
      <c r="A4031" s="103"/>
      <c r="C4031" s="100"/>
    </row>
    <row r="4032" spans="1:3" ht="18.75" customHeight="1" x14ac:dyDescent="0.35">
      <c r="A4032" s="103"/>
      <c r="C4032" s="100"/>
    </row>
    <row r="4033" spans="1:3" ht="18.75" customHeight="1" x14ac:dyDescent="0.35">
      <c r="A4033" s="103"/>
      <c r="C4033" s="100"/>
    </row>
    <row r="4034" spans="1:3" ht="18.75" customHeight="1" x14ac:dyDescent="0.35">
      <c r="A4034" s="103"/>
      <c r="C4034" s="100"/>
    </row>
    <row r="4035" spans="1:3" ht="18.75" customHeight="1" x14ac:dyDescent="0.35">
      <c r="A4035" s="103"/>
      <c r="C4035" s="100"/>
    </row>
    <row r="4036" spans="1:3" ht="18.75" customHeight="1" x14ac:dyDescent="0.35">
      <c r="A4036" s="103"/>
      <c r="C4036" s="100"/>
    </row>
    <row r="4037" spans="1:3" ht="18.75" customHeight="1" x14ac:dyDescent="0.35">
      <c r="A4037" s="103"/>
      <c r="C4037" s="100"/>
    </row>
    <row r="4038" spans="1:3" ht="18.75" customHeight="1" x14ac:dyDescent="0.35">
      <c r="A4038" s="103"/>
      <c r="C4038" s="100"/>
    </row>
    <row r="4039" spans="1:3" ht="18.75" customHeight="1" x14ac:dyDescent="0.35">
      <c r="A4039" s="103"/>
      <c r="C4039" s="100"/>
    </row>
    <row r="4040" spans="1:3" ht="18.75" customHeight="1" x14ac:dyDescent="0.35">
      <c r="A4040" s="103"/>
      <c r="C4040" s="100"/>
    </row>
    <row r="4041" spans="1:3" ht="18.75" customHeight="1" x14ac:dyDescent="0.35">
      <c r="A4041" s="103"/>
      <c r="C4041" s="100"/>
    </row>
    <row r="4042" spans="1:3" ht="18.75" customHeight="1" x14ac:dyDescent="0.35">
      <c r="A4042" s="103"/>
      <c r="C4042" s="100"/>
    </row>
    <row r="4043" spans="1:3" ht="18.75" customHeight="1" x14ac:dyDescent="0.35">
      <c r="A4043" s="103"/>
      <c r="C4043" s="100"/>
    </row>
    <row r="4044" spans="1:3" ht="18.75" customHeight="1" x14ac:dyDescent="0.35">
      <c r="A4044" s="103"/>
      <c r="C4044" s="100"/>
    </row>
    <row r="4045" spans="1:3" ht="18.75" customHeight="1" x14ac:dyDescent="0.35">
      <c r="A4045" s="103"/>
      <c r="C4045" s="100"/>
    </row>
    <row r="4046" spans="1:3" ht="18.75" customHeight="1" x14ac:dyDescent="0.35">
      <c r="A4046" s="103"/>
      <c r="C4046" s="100"/>
    </row>
    <row r="4047" spans="1:3" ht="18.75" customHeight="1" x14ac:dyDescent="0.35">
      <c r="A4047" s="103"/>
      <c r="C4047" s="100"/>
    </row>
    <row r="4048" spans="1:3" ht="18.75" customHeight="1" x14ac:dyDescent="0.35">
      <c r="A4048" s="103"/>
      <c r="C4048" s="100"/>
    </row>
    <row r="4049" spans="1:3" ht="18.75" customHeight="1" x14ac:dyDescent="0.35">
      <c r="A4049" s="103"/>
      <c r="C4049" s="100"/>
    </row>
    <row r="4050" spans="1:3" ht="18.75" customHeight="1" x14ac:dyDescent="0.35">
      <c r="A4050" s="103"/>
      <c r="C4050" s="100"/>
    </row>
    <row r="4051" spans="1:3" ht="18.75" customHeight="1" x14ac:dyDescent="0.35">
      <c r="A4051" s="103"/>
      <c r="C4051" s="100"/>
    </row>
    <row r="4052" spans="1:3" ht="18.75" customHeight="1" x14ac:dyDescent="0.35">
      <c r="A4052" s="103"/>
      <c r="C4052" s="100"/>
    </row>
    <row r="4053" spans="1:3" ht="18.75" customHeight="1" x14ac:dyDescent="0.35">
      <c r="A4053" s="103"/>
      <c r="C4053" s="100"/>
    </row>
    <row r="4054" spans="1:3" ht="18.75" customHeight="1" x14ac:dyDescent="0.35">
      <c r="A4054" s="103"/>
      <c r="C4054" s="100"/>
    </row>
    <row r="4055" spans="1:3" ht="18.75" customHeight="1" x14ac:dyDescent="0.35">
      <c r="A4055" s="103"/>
      <c r="C4055" s="100"/>
    </row>
    <row r="4056" spans="1:3" ht="18.75" customHeight="1" x14ac:dyDescent="0.35">
      <c r="A4056" s="103"/>
      <c r="C4056" s="100"/>
    </row>
    <row r="4057" spans="1:3" ht="18.75" customHeight="1" x14ac:dyDescent="0.35">
      <c r="A4057" s="103"/>
      <c r="C4057" s="100"/>
    </row>
    <row r="4058" spans="1:3" ht="18.75" customHeight="1" x14ac:dyDescent="0.35">
      <c r="A4058" s="103"/>
      <c r="C4058" s="100"/>
    </row>
    <row r="4059" spans="1:3" ht="18.75" customHeight="1" x14ac:dyDescent="0.35">
      <c r="A4059" s="103"/>
      <c r="C4059" s="100"/>
    </row>
    <row r="4060" spans="1:3" ht="18.75" customHeight="1" x14ac:dyDescent="0.35">
      <c r="A4060" s="103"/>
      <c r="C4060" s="100"/>
    </row>
    <row r="4061" spans="1:3" ht="18.75" customHeight="1" x14ac:dyDescent="0.35">
      <c r="A4061" s="103"/>
      <c r="C4061" s="100"/>
    </row>
    <row r="4062" spans="1:3" ht="18.75" customHeight="1" x14ac:dyDescent="0.35">
      <c r="A4062" s="103"/>
      <c r="C4062" s="100"/>
    </row>
    <row r="4063" spans="1:3" ht="18.75" customHeight="1" x14ac:dyDescent="0.35">
      <c r="A4063" s="103"/>
      <c r="C4063" s="100"/>
    </row>
    <row r="4064" spans="1:3" ht="18.75" customHeight="1" x14ac:dyDescent="0.35">
      <c r="A4064" s="103"/>
      <c r="C4064" s="100"/>
    </row>
    <row r="4065" spans="1:3" ht="18.75" customHeight="1" x14ac:dyDescent="0.35">
      <c r="A4065" s="103"/>
      <c r="C4065" s="100"/>
    </row>
    <row r="4066" spans="1:3" ht="18.75" customHeight="1" x14ac:dyDescent="0.35">
      <c r="A4066" s="103"/>
      <c r="C4066" s="100"/>
    </row>
    <row r="4067" spans="1:3" ht="18.75" customHeight="1" x14ac:dyDescent="0.35">
      <c r="A4067" s="103"/>
      <c r="C4067" s="100"/>
    </row>
    <row r="4068" spans="1:3" ht="18.75" customHeight="1" x14ac:dyDescent="0.35">
      <c r="A4068" s="103"/>
      <c r="C4068" s="100"/>
    </row>
    <row r="4069" spans="1:3" ht="18.75" customHeight="1" x14ac:dyDescent="0.35">
      <c r="A4069" s="103"/>
      <c r="C4069" s="100"/>
    </row>
    <row r="4070" spans="1:3" ht="18.75" customHeight="1" x14ac:dyDescent="0.35">
      <c r="A4070" s="103"/>
      <c r="C4070" s="100"/>
    </row>
    <row r="4071" spans="1:3" ht="18.75" customHeight="1" x14ac:dyDescent="0.35">
      <c r="A4071" s="103"/>
      <c r="C4071" s="100"/>
    </row>
    <row r="4072" spans="1:3" ht="18.75" customHeight="1" x14ac:dyDescent="0.35">
      <c r="A4072" s="103"/>
      <c r="C4072" s="100"/>
    </row>
    <row r="4073" spans="1:3" ht="18.75" customHeight="1" x14ac:dyDescent="0.35">
      <c r="A4073" s="103"/>
      <c r="C4073" s="100"/>
    </row>
    <row r="4074" spans="1:3" ht="18.75" customHeight="1" x14ac:dyDescent="0.35">
      <c r="A4074" s="103"/>
      <c r="C4074" s="100"/>
    </row>
    <row r="4075" spans="1:3" ht="18.75" customHeight="1" x14ac:dyDescent="0.35">
      <c r="A4075" s="103"/>
      <c r="C4075" s="100"/>
    </row>
    <row r="4076" spans="1:3" ht="18.75" customHeight="1" x14ac:dyDescent="0.35">
      <c r="A4076" s="103"/>
      <c r="C4076" s="100"/>
    </row>
    <row r="4077" spans="1:3" ht="18.75" customHeight="1" x14ac:dyDescent="0.35">
      <c r="A4077" s="103"/>
      <c r="C4077" s="100"/>
    </row>
    <row r="4078" spans="1:3" ht="18.75" customHeight="1" x14ac:dyDescent="0.35">
      <c r="A4078" s="103"/>
      <c r="C4078" s="100"/>
    </row>
    <row r="4079" spans="1:3" ht="18.75" customHeight="1" x14ac:dyDescent="0.35">
      <c r="A4079" s="103"/>
      <c r="C4079" s="100"/>
    </row>
    <row r="4080" spans="1:3" ht="18.75" customHeight="1" x14ac:dyDescent="0.35">
      <c r="A4080" s="103"/>
      <c r="C4080" s="100"/>
    </row>
    <row r="4081" spans="1:3" ht="18.75" customHeight="1" x14ac:dyDescent="0.35">
      <c r="A4081" s="103"/>
      <c r="C4081" s="100"/>
    </row>
    <row r="4082" spans="1:3" ht="18.75" customHeight="1" x14ac:dyDescent="0.35">
      <c r="A4082" s="103"/>
      <c r="C4082" s="100"/>
    </row>
    <row r="4083" spans="1:3" ht="18.75" customHeight="1" x14ac:dyDescent="0.35">
      <c r="A4083" s="103"/>
      <c r="C4083" s="100"/>
    </row>
    <row r="4084" spans="1:3" ht="18.75" customHeight="1" x14ac:dyDescent="0.35">
      <c r="A4084" s="103"/>
      <c r="C4084" s="100"/>
    </row>
    <row r="4085" spans="1:3" ht="18.75" customHeight="1" x14ac:dyDescent="0.35">
      <c r="A4085" s="103"/>
      <c r="C4085" s="100"/>
    </row>
    <row r="4086" spans="1:3" ht="18.75" customHeight="1" x14ac:dyDescent="0.35">
      <c r="A4086" s="103"/>
      <c r="C4086" s="100"/>
    </row>
    <row r="4087" spans="1:3" ht="18.75" customHeight="1" x14ac:dyDescent="0.35">
      <c r="A4087" s="103"/>
      <c r="C4087" s="100"/>
    </row>
    <row r="4088" spans="1:3" ht="18.75" customHeight="1" x14ac:dyDescent="0.35">
      <c r="A4088" s="103"/>
      <c r="C4088" s="100"/>
    </row>
    <row r="4089" spans="1:3" ht="18.75" customHeight="1" x14ac:dyDescent="0.35">
      <c r="A4089" s="103"/>
      <c r="C4089" s="100"/>
    </row>
    <row r="4090" spans="1:3" ht="18.75" customHeight="1" x14ac:dyDescent="0.35">
      <c r="A4090" s="103"/>
      <c r="C4090" s="100"/>
    </row>
    <row r="4091" spans="1:3" ht="18.75" customHeight="1" x14ac:dyDescent="0.35">
      <c r="A4091" s="103"/>
      <c r="C4091" s="100"/>
    </row>
    <row r="4092" spans="1:3" ht="18.75" customHeight="1" x14ac:dyDescent="0.35">
      <c r="A4092" s="103"/>
      <c r="C4092" s="100"/>
    </row>
    <row r="4093" spans="1:3" ht="18.75" customHeight="1" x14ac:dyDescent="0.35">
      <c r="A4093" s="103"/>
      <c r="C4093" s="100"/>
    </row>
    <row r="4094" spans="1:3" ht="18.75" customHeight="1" x14ac:dyDescent="0.35">
      <c r="A4094" s="103"/>
      <c r="C4094" s="100"/>
    </row>
    <row r="4095" spans="1:3" ht="18.75" customHeight="1" x14ac:dyDescent="0.35">
      <c r="A4095" s="103"/>
      <c r="C4095" s="100"/>
    </row>
    <row r="4096" spans="1:3" ht="18.75" customHeight="1" x14ac:dyDescent="0.35">
      <c r="A4096" s="103"/>
      <c r="C4096" s="100"/>
    </row>
    <row r="4097" spans="1:3" ht="18.75" customHeight="1" x14ac:dyDescent="0.35">
      <c r="A4097" s="103"/>
      <c r="C4097" s="100"/>
    </row>
    <row r="4098" spans="1:3" ht="18.75" customHeight="1" x14ac:dyDescent="0.35">
      <c r="A4098" s="103"/>
      <c r="C4098" s="100"/>
    </row>
    <row r="4099" spans="1:3" ht="18.75" customHeight="1" x14ac:dyDescent="0.35">
      <c r="A4099" s="103"/>
      <c r="C4099" s="100"/>
    </row>
    <row r="4100" spans="1:3" ht="18.75" customHeight="1" x14ac:dyDescent="0.35">
      <c r="A4100" s="103"/>
      <c r="C4100" s="100"/>
    </row>
    <row r="4101" spans="1:3" ht="18.75" customHeight="1" x14ac:dyDescent="0.35">
      <c r="A4101" s="103"/>
      <c r="C4101" s="100"/>
    </row>
    <row r="4102" spans="1:3" ht="18.75" customHeight="1" x14ac:dyDescent="0.35">
      <c r="A4102" s="103"/>
      <c r="C4102" s="100"/>
    </row>
    <row r="4103" spans="1:3" ht="18.75" customHeight="1" x14ac:dyDescent="0.35">
      <c r="A4103" s="103"/>
      <c r="C4103" s="100"/>
    </row>
    <row r="4104" spans="1:3" ht="18.75" customHeight="1" x14ac:dyDescent="0.35">
      <c r="A4104" s="103"/>
      <c r="C4104" s="100"/>
    </row>
    <row r="4105" spans="1:3" ht="18.75" customHeight="1" x14ac:dyDescent="0.35">
      <c r="A4105" s="103"/>
      <c r="C4105" s="100"/>
    </row>
    <row r="4106" spans="1:3" ht="18.75" customHeight="1" x14ac:dyDescent="0.35">
      <c r="A4106" s="103"/>
      <c r="C4106" s="100"/>
    </row>
    <row r="4107" spans="1:3" ht="18.75" customHeight="1" x14ac:dyDescent="0.35">
      <c r="A4107" s="103"/>
      <c r="C4107" s="100"/>
    </row>
    <row r="4108" spans="1:3" ht="18.75" customHeight="1" x14ac:dyDescent="0.35">
      <c r="A4108" s="103"/>
      <c r="C4108" s="100"/>
    </row>
    <row r="4109" spans="1:3" ht="18.75" customHeight="1" x14ac:dyDescent="0.35">
      <c r="A4109" s="103"/>
      <c r="C4109" s="100"/>
    </row>
    <row r="4110" spans="1:3" ht="18.75" customHeight="1" x14ac:dyDescent="0.35">
      <c r="A4110" s="103"/>
      <c r="C4110" s="100"/>
    </row>
    <row r="4111" spans="1:3" ht="18.75" customHeight="1" x14ac:dyDescent="0.35">
      <c r="A4111" s="103"/>
      <c r="C4111" s="100"/>
    </row>
    <row r="4112" spans="1:3" ht="18.75" customHeight="1" x14ac:dyDescent="0.35">
      <c r="A4112" s="103"/>
      <c r="C4112" s="100"/>
    </row>
    <row r="4113" spans="1:3" ht="18.75" customHeight="1" x14ac:dyDescent="0.35">
      <c r="A4113" s="103"/>
      <c r="C4113" s="100"/>
    </row>
    <row r="4114" spans="1:3" ht="18.75" customHeight="1" x14ac:dyDescent="0.35">
      <c r="A4114" s="103"/>
      <c r="C4114" s="100"/>
    </row>
    <row r="4115" spans="1:3" ht="18.75" customHeight="1" x14ac:dyDescent="0.35">
      <c r="A4115" s="103"/>
      <c r="C4115" s="100"/>
    </row>
    <row r="4116" spans="1:3" ht="18.75" customHeight="1" x14ac:dyDescent="0.35">
      <c r="A4116" s="103"/>
      <c r="C4116" s="100"/>
    </row>
    <row r="4117" spans="1:3" ht="18.75" customHeight="1" x14ac:dyDescent="0.35">
      <c r="A4117" s="103"/>
      <c r="C4117" s="100"/>
    </row>
    <row r="4118" spans="1:3" ht="18.75" customHeight="1" x14ac:dyDescent="0.35">
      <c r="A4118" s="103"/>
      <c r="C4118" s="100"/>
    </row>
    <row r="4119" spans="1:3" ht="18.75" customHeight="1" x14ac:dyDescent="0.35">
      <c r="A4119" s="103"/>
      <c r="C4119" s="100"/>
    </row>
    <row r="4120" spans="1:3" ht="18.75" customHeight="1" x14ac:dyDescent="0.35">
      <c r="A4120" s="103"/>
      <c r="C4120" s="100"/>
    </row>
    <row r="4121" spans="1:3" ht="18.75" customHeight="1" x14ac:dyDescent="0.35">
      <c r="A4121" s="103"/>
      <c r="C4121" s="100"/>
    </row>
    <row r="4122" spans="1:3" ht="18.75" customHeight="1" x14ac:dyDescent="0.35">
      <c r="A4122" s="103"/>
      <c r="C4122" s="100"/>
    </row>
    <row r="4123" spans="1:3" ht="18.75" customHeight="1" x14ac:dyDescent="0.35">
      <c r="A4123" s="103"/>
      <c r="C4123" s="100"/>
    </row>
    <row r="4124" spans="1:3" ht="18.75" customHeight="1" x14ac:dyDescent="0.35">
      <c r="A4124" s="103"/>
      <c r="C4124" s="100"/>
    </row>
    <row r="4125" spans="1:3" ht="18.75" customHeight="1" x14ac:dyDescent="0.35">
      <c r="A4125" s="103"/>
      <c r="C4125" s="100"/>
    </row>
    <row r="4126" spans="1:3" ht="18.75" customHeight="1" x14ac:dyDescent="0.35">
      <c r="A4126" s="103"/>
      <c r="C4126" s="100"/>
    </row>
    <row r="4127" spans="1:3" ht="18.75" customHeight="1" x14ac:dyDescent="0.35">
      <c r="A4127" s="103"/>
      <c r="C4127" s="100"/>
    </row>
    <row r="4128" spans="1:3" ht="18.75" customHeight="1" x14ac:dyDescent="0.35">
      <c r="A4128" s="103"/>
      <c r="C4128" s="100"/>
    </row>
    <row r="4129" spans="1:3" ht="18.75" customHeight="1" x14ac:dyDescent="0.35">
      <c r="A4129" s="103"/>
      <c r="C4129" s="100"/>
    </row>
    <row r="4130" spans="1:3" ht="18.75" customHeight="1" x14ac:dyDescent="0.35">
      <c r="A4130" s="103"/>
      <c r="C4130" s="100"/>
    </row>
    <row r="4131" spans="1:3" ht="18.75" customHeight="1" x14ac:dyDescent="0.35">
      <c r="A4131" s="103"/>
      <c r="C4131" s="100"/>
    </row>
    <row r="4132" spans="1:3" ht="18.75" customHeight="1" x14ac:dyDescent="0.35">
      <c r="A4132" s="103"/>
      <c r="C4132" s="100"/>
    </row>
    <row r="4133" spans="1:3" ht="18.75" customHeight="1" x14ac:dyDescent="0.35">
      <c r="A4133" s="103"/>
      <c r="C4133" s="100"/>
    </row>
    <row r="4134" spans="1:3" ht="18.75" customHeight="1" x14ac:dyDescent="0.35">
      <c r="A4134" s="103"/>
      <c r="C4134" s="100"/>
    </row>
    <row r="4135" spans="1:3" ht="18.75" customHeight="1" x14ac:dyDescent="0.35">
      <c r="A4135" s="103"/>
      <c r="C4135" s="100"/>
    </row>
    <row r="4136" spans="1:3" ht="18.75" customHeight="1" x14ac:dyDescent="0.35">
      <c r="A4136" s="103"/>
      <c r="C4136" s="100"/>
    </row>
    <row r="4137" spans="1:3" ht="18.75" customHeight="1" x14ac:dyDescent="0.35">
      <c r="A4137" s="103"/>
      <c r="C4137" s="100"/>
    </row>
    <row r="4138" spans="1:3" ht="18.75" customHeight="1" x14ac:dyDescent="0.35">
      <c r="A4138" s="103"/>
      <c r="C4138" s="100"/>
    </row>
    <row r="4139" spans="1:3" ht="18.75" customHeight="1" x14ac:dyDescent="0.35">
      <c r="A4139" s="103"/>
      <c r="C4139" s="100"/>
    </row>
    <row r="4140" spans="1:3" ht="18.75" customHeight="1" x14ac:dyDescent="0.35">
      <c r="A4140" s="103"/>
      <c r="C4140" s="100"/>
    </row>
    <row r="4141" spans="1:3" ht="18.75" customHeight="1" x14ac:dyDescent="0.35">
      <c r="A4141" s="103"/>
      <c r="C4141" s="100"/>
    </row>
    <row r="4142" spans="1:3" ht="18.75" customHeight="1" x14ac:dyDescent="0.35">
      <c r="A4142" s="103"/>
      <c r="C4142" s="100"/>
    </row>
    <row r="4143" spans="1:3" ht="18.75" customHeight="1" x14ac:dyDescent="0.35">
      <c r="A4143" s="103"/>
      <c r="C4143" s="100"/>
    </row>
    <row r="4144" spans="1:3" ht="18.75" customHeight="1" x14ac:dyDescent="0.35">
      <c r="A4144" s="103"/>
      <c r="C4144" s="100"/>
    </row>
    <row r="4145" spans="1:3" ht="18.75" customHeight="1" x14ac:dyDescent="0.35">
      <c r="A4145" s="103"/>
      <c r="C4145" s="100"/>
    </row>
    <row r="4146" spans="1:3" ht="18.75" customHeight="1" x14ac:dyDescent="0.35">
      <c r="A4146" s="103"/>
      <c r="C4146" s="100"/>
    </row>
    <row r="4147" spans="1:3" ht="18.75" customHeight="1" x14ac:dyDescent="0.35">
      <c r="A4147" s="103"/>
      <c r="C4147" s="100"/>
    </row>
    <row r="4148" spans="1:3" ht="18.75" customHeight="1" x14ac:dyDescent="0.35">
      <c r="A4148" s="103"/>
      <c r="C4148" s="100"/>
    </row>
    <row r="4149" spans="1:3" ht="18.75" customHeight="1" x14ac:dyDescent="0.35">
      <c r="A4149" s="103"/>
      <c r="C4149" s="100"/>
    </row>
    <row r="4150" spans="1:3" ht="18.75" customHeight="1" x14ac:dyDescent="0.35">
      <c r="A4150" s="103"/>
      <c r="C4150" s="100"/>
    </row>
    <row r="4151" spans="1:3" ht="18.75" customHeight="1" x14ac:dyDescent="0.35">
      <c r="A4151" s="103"/>
      <c r="C4151" s="100"/>
    </row>
    <row r="4152" spans="1:3" ht="18.75" customHeight="1" x14ac:dyDescent="0.35">
      <c r="A4152" s="103"/>
      <c r="C4152" s="100"/>
    </row>
    <row r="4153" spans="1:3" ht="18.75" customHeight="1" x14ac:dyDescent="0.35">
      <c r="A4153" s="103"/>
      <c r="C4153" s="100"/>
    </row>
    <row r="4154" spans="1:3" ht="18.75" customHeight="1" x14ac:dyDescent="0.35">
      <c r="A4154" s="103"/>
      <c r="C4154" s="100"/>
    </row>
    <row r="4155" spans="1:3" ht="18.75" customHeight="1" x14ac:dyDescent="0.35">
      <c r="A4155" s="103"/>
      <c r="C4155" s="100"/>
    </row>
    <row r="4156" spans="1:3" ht="18.75" customHeight="1" x14ac:dyDescent="0.35">
      <c r="A4156" s="103"/>
      <c r="C4156" s="100"/>
    </row>
    <row r="4157" spans="1:3" ht="18.75" customHeight="1" x14ac:dyDescent="0.35">
      <c r="A4157" s="103"/>
      <c r="C4157" s="100"/>
    </row>
    <row r="4158" spans="1:3" ht="18.75" customHeight="1" x14ac:dyDescent="0.35">
      <c r="A4158" s="103"/>
      <c r="C4158" s="100"/>
    </row>
    <row r="4159" spans="1:3" ht="18.75" customHeight="1" x14ac:dyDescent="0.35">
      <c r="A4159" s="103"/>
      <c r="C4159" s="100"/>
    </row>
    <row r="4160" spans="1:3" ht="18.75" customHeight="1" x14ac:dyDescent="0.35">
      <c r="A4160" s="103"/>
      <c r="C4160" s="100"/>
    </row>
    <row r="4161" spans="1:3" ht="18.75" customHeight="1" x14ac:dyDescent="0.35">
      <c r="A4161" s="103"/>
      <c r="C4161" s="100"/>
    </row>
    <row r="4162" spans="1:3" ht="18.75" customHeight="1" x14ac:dyDescent="0.35">
      <c r="A4162" s="103"/>
      <c r="C4162" s="100"/>
    </row>
    <row r="4163" spans="1:3" ht="18.75" customHeight="1" x14ac:dyDescent="0.35">
      <c r="A4163" s="103"/>
      <c r="C4163" s="100"/>
    </row>
    <row r="4164" spans="1:3" ht="18.75" customHeight="1" x14ac:dyDescent="0.35">
      <c r="A4164" s="103"/>
      <c r="C4164" s="100"/>
    </row>
    <row r="4165" spans="1:3" ht="18.75" customHeight="1" x14ac:dyDescent="0.35">
      <c r="A4165" s="103"/>
      <c r="C4165" s="100"/>
    </row>
    <row r="4166" spans="1:3" ht="18.75" customHeight="1" x14ac:dyDescent="0.35">
      <c r="A4166" s="103"/>
      <c r="C4166" s="100"/>
    </row>
    <row r="4167" spans="1:3" ht="18.75" customHeight="1" x14ac:dyDescent="0.35">
      <c r="A4167" s="103"/>
      <c r="C4167" s="100"/>
    </row>
    <row r="4168" spans="1:3" ht="18.75" customHeight="1" x14ac:dyDescent="0.35">
      <c r="A4168" s="103"/>
      <c r="C4168" s="100"/>
    </row>
    <row r="4169" spans="1:3" ht="18.75" customHeight="1" x14ac:dyDescent="0.35">
      <c r="A4169" s="103"/>
      <c r="C4169" s="100"/>
    </row>
    <row r="4170" spans="1:3" ht="18.75" customHeight="1" x14ac:dyDescent="0.35">
      <c r="A4170" s="103"/>
      <c r="C4170" s="100"/>
    </row>
    <row r="4171" spans="1:3" ht="18.75" customHeight="1" x14ac:dyDescent="0.35">
      <c r="A4171" s="103"/>
      <c r="C4171" s="100"/>
    </row>
    <row r="4172" spans="1:3" ht="18.75" customHeight="1" x14ac:dyDescent="0.35">
      <c r="A4172" s="103"/>
      <c r="C4172" s="100"/>
    </row>
    <row r="4173" spans="1:3" ht="18.75" customHeight="1" x14ac:dyDescent="0.35">
      <c r="A4173" s="103"/>
      <c r="C4173" s="100"/>
    </row>
    <row r="4174" spans="1:3" ht="18.75" customHeight="1" x14ac:dyDescent="0.35">
      <c r="A4174" s="103"/>
      <c r="C4174" s="100"/>
    </row>
    <row r="4175" spans="1:3" ht="18.75" customHeight="1" x14ac:dyDescent="0.35">
      <c r="A4175" s="103"/>
      <c r="C4175" s="100"/>
    </row>
    <row r="4176" spans="1:3" ht="18.75" customHeight="1" x14ac:dyDescent="0.35">
      <c r="A4176" s="103"/>
      <c r="C4176" s="100"/>
    </row>
    <row r="4177" spans="1:3" ht="18.75" customHeight="1" x14ac:dyDescent="0.35">
      <c r="A4177" s="103"/>
      <c r="C4177" s="100"/>
    </row>
    <row r="4178" spans="1:3" ht="18.75" customHeight="1" x14ac:dyDescent="0.35">
      <c r="A4178" s="103"/>
      <c r="C4178" s="100"/>
    </row>
    <row r="4179" spans="1:3" ht="18.75" customHeight="1" x14ac:dyDescent="0.35">
      <c r="A4179" s="103"/>
      <c r="C4179" s="100"/>
    </row>
    <row r="4180" spans="1:3" ht="18.75" customHeight="1" x14ac:dyDescent="0.35">
      <c r="A4180" s="103"/>
      <c r="C4180" s="100"/>
    </row>
    <row r="4181" spans="1:3" ht="18.75" customHeight="1" x14ac:dyDescent="0.35">
      <c r="A4181" s="103"/>
      <c r="C4181" s="100"/>
    </row>
    <row r="4182" spans="1:3" ht="18.75" customHeight="1" x14ac:dyDescent="0.35">
      <c r="A4182" s="103"/>
      <c r="C4182" s="100"/>
    </row>
    <row r="4183" spans="1:3" ht="18.75" customHeight="1" x14ac:dyDescent="0.35">
      <c r="A4183" s="103"/>
      <c r="C4183" s="100"/>
    </row>
    <row r="4184" spans="1:3" ht="18.75" customHeight="1" x14ac:dyDescent="0.35">
      <c r="A4184" s="103"/>
      <c r="C4184" s="100"/>
    </row>
    <row r="4185" spans="1:3" ht="18.75" customHeight="1" x14ac:dyDescent="0.35">
      <c r="A4185" s="103"/>
      <c r="C4185" s="100"/>
    </row>
    <row r="4186" spans="1:3" ht="18.75" customHeight="1" x14ac:dyDescent="0.35">
      <c r="A4186" s="103"/>
      <c r="C4186" s="100"/>
    </row>
    <row r="4187" spans="1:3" ht="18.75" customHeight="1" x14ac:dyDescent="0.35">
      <c r="A4187" s="103"/>
      <c r="C4187" s="100"/>
    </row>
    <row r="4188" spans="1:3" ht="18.75" customHeight="1" x14ac:dyDescent="0.35">
      <c r="A4188" s="103"/>
      <c r="C4188" s="100"/>
    </row>
    <row r="4189" spans="1:3" ht="18.75" customHeight="1" x14ac:dyDescent="0.35">
      <c r="A4189" s="103"/>
      <c r="C4189" s="100"/>
    </row>
    <row r="4190" spans="1:3" ht="18.75" customHeight="1" x14ac:dyDescent="0.35">
      <c r="A4190" s="103"/>
      <c r="C4190" s="100"/>
    </row>
    <row r="4191" spans="1:3" ht="18.75" customHeight="1" x14ac:dyDescent="0.35">
      <c r="A4191" s="103"/>
      <c r="C4191" s="100"/>
    </row>
    <row r="4192" spans="1:3" ht="18.75" customHeight="1" x14ac:dyDescent="0.35">
      <c r="A4192" s="103"/>
      <c r="C4192" s="100"/>
    </row>
    <row r="4193" spans="1:3" ht="18.75" customHeight="1" x14ac:dyDescent="0.35">
      <c r="A4193" s="103"/>
      <c r="C4193" s="100"/>
    </row>
    <row r="4194" spans="1:3" ht="18.75" customHeight="1" x14ac:dyDescent="0.35">
      <c r="A4194" s="103"/>
      <c r="C4194" s="100"/>
    </row>
    <row r="4195" spans="1:3" ht="18.75" customHeight="1" x14ac:dyDescent="0.35">
      <c r="A4195" s="103"/>
      <c r="C4195" s="100"/>
    </row>
    <row r="4196" spans="1:3" ht="18.75" customHeight="1" x14ac:dyDescent="0.35">
      <c r="A4196" s="103"/>
      <c r="C4196" s="100"/>
    </row>
    <row r="4197" spans="1:3" ht="18.75" customHeight="1" x14ac:dyDescent="0.35">
      <c r="A4197" s="103"/>
      <c r="C4197" s="100"/>
    </row>
    <row r="4198" spans="1:3" ht="18.75" customHeight="1" x14ac:dyDescent="0.35">
      <c r="A4198" s="103"/>
      <c r="C4198" s="100"/>
    </row>
    <row r="4199" spans="1:3" ht="18.75" customHeight="1" x14ac:dyDescent="0.35">
      <c r="A4199" s="103"/>
      <c r="C4199" s="100"/>
    </row>
    <row r="4200" spans="1:3" ht="18.75" customHeight="1" x14ac:dyDescent="0.35">
      <c r="A4200" s="103"/>
      <c r="C4200" s="100"/>
    </row>
    <row r="4201" spans="1:3" ht="18.75" customHeight="1" x14ac:dyDescent="0.35">
      <c r="A4201" s="103"/>
      <c r="C4201" s="100"/>
    </row>
    <row r="4202" spans="1:3" ht="18.75" customHeight="1" x14ac:dyDescent="0.35">
      <c r="A4202" s="103"/>
      <c r="C4202" s="100"/>
    </row>
    <row r="4203" spans="1:3" ht="18.75" customHeight="1" x14ac:dyDescent="0.35">
      <c r="A4203" s="103"/>
      <c r="C4203" s="100"/>
    </row>
    <row r="4204" spans="1:3" ht="18.75" customHeight="1" x14ac:dyDescent="0.35">
      <c r="A4204" s="103"/>
      <c r="C4204" s="100"/>
    </row>
    <row r="4205" spans="1:3" ht="18.75" customHeight="1" x14ac:dyDescent="0.35">
      <c r="A4205" s="103"/>
      <c r="C4205" s="100"/>
    </row>
    <row r="4206" spans="1:3" ht="18.75" customHeight="1" x14ac:dyDescent="0.35">
      <c r="A4206" s="103"/>
      <c r="C4206" s="100"/>
    </row>
    <row r="4207" spans="1:3" ht="18.75" customHeight="1" x14ac:dyDescent="0.35">
      <c r="A4207" s="103"/>
      <c r="C4207" s="100"/>
    </row>
    <row r="4208" spans="1:3" ht="18.75" customHeight="1" x14ac:dyDescent="0.35">
      <c r="A4208" s="103"/>
      <c r="C4208" s="100"/>
    </row>
    <row r="4209" spans="1:3" ht="18.75" customHeight="1" x14ac:dyDescent="0.35">
      <c r="A4209" s="103"/>
      <c r="C4209" s="100"/>
    </row>
    <row r="4210" spans="1:3" ht="18.75" customHeight="1" x14ac:dyDescent="0.35">
      <c r="A4210" s="103"/>
      <c r="C4210" s="100"/>
    </row>
    <row r="4211" spans="1:3" ht="18.75" customHeight="1" x14ac:dyDescent="0.35">
      <c r="A4211" s="103"/>
      <c r="C4211" s="100"/>
    </row>
    <row r="4212" spans="1:3" ht="18.75" customHeight="1" x14ac:dyDescent="0.35">
      <c r="A4212" s="103"/>
      <c r="C4212" s="100"/>
    </row>
    <row r="4213" spans="1:3" ht="18.75" customHeight="1" x14ac:dyDescent="0.35">
      <c r="A4213" s="103"/>
      <c r="C4213" s="100"/>
    </row>
    <row r="4214" spans="1:3" ht="18.75" customHeight="1" x14ac:dyDescent="0.35">
      <c r="A4214" s="103"/>
      <c r="C4214" s="100"/>
    </row>
    <row r="4215" spans="1:3" ht="18.75" customHeight="1" x14ac:dyDescent="0.35">
      <c r="A4215" s="103"/>
      <c r="C4215" s="100"/>
    </row>
    <row r="4216" spans="1:3" ht="18.75" customHeight="1" x14ac:dyDescent="0.35">
      <c r="A4216" s="103"/>
      <c r="C4216" s="100"/>
    </row>
    <row r="4217" spans="1:3" ht="18.75" customHeight="1" x14ac:dyDescent="0.35">
      <c r="A4217" s="103"/>
      <c r="C4217" s="100"/>
    </row>
    <row r="4218" spans="1:3" ht="18.75" customHeight="1" x14ac:dyDescent="0.35">
      <c r="A4218" s="103"/>
      <c r="C4218" s="100"/>
    </row>
    <row r="4219" spans="1:3" ht="18.75" customHeight="1" x14ac:dyDescent="0.35">
      <c r="A4219" s="103"/>
      <c r="C4219" s="100"/>
    </row>
    <row r="4220" spans="1:3" ht="18.75" customHeight="1" x14ac:dyDescent="0.35">
      <c r="A4220" s="103"/>
      <c r="C4220" s="100"/>
    </row>
    <row r="4221" spans="1:3" ht="18.75" customHeight="1" x14ac:dyDescent="0.35">
      <c r="A4221" s="103"/>
      <c r="C4221" s="100"/>
    </row>
    <row r="4222" spans="1:3" ht="18.75" customHeight="1" x14ac:dyDescent="0.35">
      <c r="A4222" s="103"/>
      <c r="C4222" s="100"/>
    </row>
    <row r="4223" spans="1:3" ht="18.75" customHeight="1" x14ac:dyDescent="0.35">
      <c r="A4223" s="103"/>
      <c r="C4223" s="100"/>
    </row>
    <row r="4224" spans="1:3" ht="18.75" customHeight="1" x14ac:dyDescent="0.35">
      <c r="A4224" s="103"/>
      <c r="C4224" s="100"/>
    </row>
    <row r="4225" spans="1:3" ht="18.75" customHeight="1" x14ac:dyDescent="0.35">
      <c r="A4225" s="103"/>
      <c r="C4225" s="100"/>
    </row>
    <row r="4226" spans="1:3" ht="18.75" customHeight="1" x14ac:dyDescent="0.35">
      <c r="A4226" s="103"/>
      <c r="C4226" s="100"/>
    </row>
    <row r="4227" spans="1:3" ht="18.75" customHeight="1" x14ac:dyDescent="0.35">
      <c r="A4227" s="103"/>
      <c r="C4227" s="100"/>
    </row>
    <row r="4228" spans="1:3" ht="18.75" customHeight="1" x14ac:dyDescent="0.35">
      <c r="A4228" s="103"/>
      <c r="C4228" s="100"/>
    </row>
    <row r="4229" spans="1:3" ht="18.75" customHeight="1" x14ac:dyDescent="0.35">
      <c r="A4229" s="103"/>
      <c r="C4229" s="100"/>
    </row>
    <row r="4230" spans="1:3" ht="18.75" customHeight="1" x14ac:dyDescent="0.35">
      <c r="A4230" s="103"/>
      <c r="C4230" s="100"/>
    </row>
    <row r="4231" spans="1:3" ht="18.75" customHeight="1" x14ac:dyDescent="0.35">
      <c r="A4231" s="103"/>
      <c r="C4231" s="100"/>
    </row>
    <row r="4232" spans="1:3" ht="18.75" customHeight="1" x14ac:dyDescent="0.35">
      <c r="A4232" s="103"/>
      <c r="C4232" s="100"/>
    </row>
    <row r="4233" spans="1:3" ht="18.75" customHeight="1" x14ac:dyDescent="0.35">
      <c r="A4233" s="103"/>
      <c r="C4233" s="100"/>
    </row>
    <row r="4234" spans="1:3" ht="18.75" customHeight="1" x14ac:dyDescent="0.35">
      <c r="A4234" s="103"/>
      <c r="C4234" s="100"/>
    </row>
    <row r="4235" spans="1:3" ht="18.75" customHeight="1" x14ac:dyDescent="0.35">
      <c r="A4235" s="103"/>
      <c r="C4235" s="100"/>
    </row>
    <row r="4236" spans="1:3" ht="18.75" customHeight="1" x14ac:dyDescent="0.35">
      <c r="A4236" s="103"/>
      <c r="C4236" s="100"/>
    </row>
    <row r="4237" spans="1:3" ht="18.75" customHeight="1" x14ac:dyDescent="0.35">
      <c r="A4237" s="103"/>
      <c r="C4237" s="100"/>
    </row>
    <row r="4238" spans="1:3" ht="18.75" customHeight="1" x14ac:dyDescent="0.35">
      <c r="A4238" s="103"/>
      <c r="C4238" s="100"/>
    </row>
    <row r="4239" spans="1:3" ht="18.75" customHeight="1" x14ac:dyDescent="0.35">
      <c r="A4239" s="103"/>
      <c r="C4239" s="100"/>
    </row>
    <row r="4240" spans="1:3" ht="18.75" customHeight="1" x14ac:dyDescent="0.35">
      <c r="A4240" s="103"/>
      <c r="C4240" s="100"/>
    </row>
    <row r="4241" spans="1:3" ht="18.75" customHeight="1" x14ac:dyDescent="0.35">
      <c r="A4241" s="103"/>
      <c r="C4241" s="100"/>
    </row>
    <row r="4242" spans="1:3" ht="18.75" customHeight="1" x14ac:dyDescent="0.35">
      <c r="A4242" s="103"/>
      <c r="C4242" s="100"/>
    </row>
    <row r="4243" spans="1:3" ht="18.75" customHeight="1" x14ac:dyDescent="0.35">
      <c r="A4243" s="103"/>
      <c r="C4243" s="100"/>
    </row>
    <row r="4244" spans="1:3" ht="18.75" customHeight="1" x14ac:dyDescent="0.35">
      <c r="A4244" s="103"/>
      <c r="C4244" s="100"/>
    </row>
    <row r="4245" spans="1:3" ht="18.75" customHeight="1" x14ac:dyDescent="0.35">
      <c r="A4245" s="103"/>
      <c r="C4245" s="100"/>
    </row>
    <row r="4246" spans="1:3" ht="18.75" customHeight="1" x14ac:dyDescent="0.35">
      <c r="A4246" s="103"/>
      <c r="C4246" s="100"/>
    </row>
    <row r="4247" spans="1:3" ht="18.75" customHeight="1" x14ac:dyDescent="0.35">
      <c r="A4247" s="103"/>
      <c r="C4247" s="100"/>
    </row>
    <row r="4248" spans="1:3" ht="18.75" customHeight="1" x14ac:dyDescent="0.35">
      <c r="A4248" s="103"/>
      <c r="C4248" s="100"/>
    </row>
    <row r="4249" spans="1:3" ht="18.75" customHeight="1" x14ac:dyDescent="0.35">
      <c r="A4249" s="103"/>
      <c r="C4249" s="100"/>
    </row>
    <row r="4250" spans="1:3" ht="18.75" customHeight="1" x14ac:dyDescent="0.35">
      <c r="A4250" s="103"/>
      <c r="C4250" s="100"/>
    </row>
    <row r="4251" spans="1:3" ht="18.75" customHeight="1" x14ac:dyDescent="0.35">
      <c r="A4251" s="103"/>
      <c r="C4251" s="100"/>
    </row>
    <row r="4252" spans="1:3" ht="18.75" customHeight="1" x14ac:dyDescent="0.35">
      <c r="A4252" s="103"/>
      <c r="C4252" s="100"/>
    </row>
    <row r="4253" spans="1:3" ht="18.75" customHeight="1" x14ac:dyDescent="0.35">
      <c r="A4253" s="103"/>
      <c r="C4253" s="100"/>
    </row>
    <row r="4254" spans="1:3" ht="18.75" customHeight="1" x14ac:dyDescent="0.35">
      <c r="A4254" s="103"/>
      <c r="C4254" s="100"/>
    </row>
    <row r="4255" spans="1:3" ht="18.75" customHeight="1" x14ac:dyDescent="0.35">
      <c r="A4255" s="103"/>
      <c r="C4255" s="100"/>
    </row>
    <row r="4256" spans="1:3" ht="18.75" customHeight="1" x14ac:dyDescent="0.35">
      <c r="A4256" s="103"/>
      <c r="C4256" s="100"/>
    </row>
    <row r="4257" spans="1:3" ht="18.75" customHeight="1" x14ac:dyDescent="0.35">
      <c r="A4257" s="103"/>
      <c r="C4257" s="100"/>
    </row>
    <row r="4258" spans="1:3" ht="18.75" customHeight="1" x14ac:dyDescent="0.35">
      <c r="A4258" s="103"/>
      <c r="C4258" s="100"/>
    </row>
    <row r="4259" spans="1:3" ht="18.75" customHeight="1" x14ac:dyDescent="0.35">
      <c r="A4259" s="103"/>
      <c r="C4259" s="100"/>
    </row>
    <row r="4260" spans="1:3" ht="18.75" customHeight="1" x14ac:dyDescent="0.35">
      <c r="A4260" s="103"/>
      <c r="C4260" s="100"/>
    </row>
    <row r="4261" spans="1:3" ht="18.75" customHeight="1" x14ac:dyDescent="0.35">
      <c r="A4261" s="103"/>
      <c r="C4261" s="100"/>
    </row>
    <row r="4262" spans="1:3" ht="18.75" customHeight="1" x14ac:dyDescent="0.35">
      <c r="A4262" s="103"/>
      <c r="C4262" s="100"/>
    </row>
    <row r="4263" spans="1:3" ht="18.75" customHeight="1" x14ac:dyDescent="0.35">
      <c r="A4263" s="103"/>
      <c r="C4263" s="100"/>
    </row>
    <row r="4264" spans="1:3" ht="18.75" customHeight="1" x14ac:dyDescent="0.35">
      <c r="A4264" s="103"/>
      <c r="C4264" s="100"/>
    </row>
    <row r="4265" spans="1:3" ht="18.75" customHeight="1" x14ac:dyDescent="0.35">
      <c r="A4265" s="103"/>
      <c r="C4265" s="100"/>
    </row>
    <row r="4266" spans="1:3" ht="18.75" customHeight="1" x14ac:dyDescent="0.35">
      <c r="A4266" s="103"/>
      <c r="C4266" s="100"/>
    </row>
    <row r="4267" spans="1:3" ht="18.75" customHeight="1" x14ac:dyDescent="0.35">
      <c r="A4267" s="103"/>
      <c r="C4267" s="100"/>
    </row>
    <row r="4268" spans="1:3" ht="18.75" customHeight="1" x14ac:dyDescent="0.35">
      <c r="A4268" s="103"/>
      <c r="C4268" s="100"/>
    </row>
    <row r="4269" spans="1:3" ht="18.75" customHeight="1" x14ac:dyDescent="0.35">
      <c r="A4269" s="103"/>
      <c r="C4269" s="100"/>
    </row>
    <row r="4270" spans="1:3" ht="18.75" customHeight="1" x14ac:dyDescent="0.35">
      <c r="A4270" s="103"/>
      <c r="C4270" s="100"/>
    </row>
    <row r="4271" spans="1:3" ht="18.75" customHeight="1" x14ac:dyDescent="0.35">
      <c r="A4271" s="103"/>
      <c r="C4271" s="100"/>
    </row>
    <row r="4272" spans="1:3" ht="18.75" customHeight="1" x14ac:dyDescent="0.35">
      <c r="A4272" s="103"/>
      <c r="C4272" s="100"/>
    </row>
    <row r="4273" spans="1:3" ht="18.75" customHeight="1" x14ac:dyDescent="0.35">
      <c r="A4273" s="103"/>
      <c r="C4273" s="100"/>
    </row>
    <row r="4274" spans="1:3" ht="18.75" customHeight="1" x14ac:dyDescent="0.35">
      <c r="A4274" s="103"/>
      <c r="C4274" s="100"/>
    </row>
    <row r="4275" spans="1:3" ht="18.75" customHeight="1" x14ac:dyDescent="0.35">
      <c r="A4275" s="103"/>
      <c r="C4275" s="100"/>
    </row>
    <row r="4276" spans="1:3" ht="18.75" customHeight="1" x14ac:dyDescent="0.35">
      <c r="A4276" s="103"/>
      <c r="C4276" s="100"/>
    </row>
    <row r="4277" spans="1:3" ht="18.75" customHeight="1" x14ac:dyDescent="0.35">
      <c r="A4277" s="103"/>
      <c r="C4277" s="100"/>
    </row>
    <row r="4278" spans="1:3" ht="18.75" customHeight="1" x14ac:dyDescent="0.35">
      <c r="A4278" s="103"/>
      <c r="C4278" s="100"/>
    </row>
    <row r="4279" spans="1:3" ht="18.75" customHeight="1" x14ac:dyDescent="0.35">
      <c r="A4279" s="103"/>
      <c r="C4279" s="100"/>
    </row>
    <row r="4280" spans="1:3" ht="18.75" customHeight="1" x14ac:dyDescent="0.35">
      <c r="A4280" s="103"/>
      <c r="C4280" s="100"/>
    </row>
    <row r="4281" spans="1:3" ht="18.75" customHeight="1" x14ac:dyDescent="0.35">
      <c r="A4281" s="103"/>
      <c r="C4281" s="100"/>
    </row>
    <row r="4282" spans="1:3" ht="18.75" customHeight="1" x14ac:dyDescent="0.35">
      <c r="A4282" s="103"/>
      <c r="C4282" s="100"/>
    </row>
    <row r="4283" spans="1:3" ht="18.75" customHeight="1" x14ac:dyDescent="0.35">
      <c r="A4283" s="103"/>
      <c r="C4283" s="100"/>
    </row>
    <row r="4284" spans="1:3" ht="18.75" customHeight="1" x14ac:dyDescent="0.35">
      <c r="A4284" s="103"/>
      <c r="C4284" s="100"/>
    </row>
    <row r="4285" spans="1:3" ht="18.75" customHeight="1" x14ac:dyDescent="0.35">
      <c r="A4285" s="103"/>
      <c r="C4285" s="100"/>
    </row>
    <row r="4286" spans="1:3" ht="18.75" customHeight="1" x14ac:dyDescent="0.35">
      <c r="A4286" s="103"/>
      <c r="C4286" s="100"/>
    </row>
    <row r="4287" spans="1:3" ht="18.75" customHeight="1" x14ac:dyDescent="0.35">
      <c r="A4287" s="103"/>
      <c r="C4287" s="100"/>
    </row>
    <row r="4288" spans="1:3" ht="18.75" customHeight="1" x14ac:dyDescent="0.35">
      <c r="A4288" s="103"/>
      <c r="C4288" s="100"/>
    </row>
    <row r="4289" spans="1:3" ht="18.75" customHeight="1" x14ac:dyDescent="0.35">
      <c r="A4289" s="103"/>
      <c r="C4289" s="100"/>
    </row>
    <row r="4290" spans="1:3" ht="18.75" customHeight="1" x14ac:dyDescent="0.35">
      <c r="A4290" s="103"/>
      <c r="C4290" s="100"/>
    </row>
    <row r="4291" spans="1:3" ht="18.75" customHeight="1" x14ac:dyDescent="0.35">
      <c r="A4291" s="103"/>
      <c r="C4291" s="100"/>
    </row>
    <row r="4292" spans="1:3" ht="18.75" customHeight="1" x14ac:dyDescent="0.35">
      <c r="A4292" s="103"/>
      <c r="C4292" s="100"/>
    </row>
    <row r="4293" spans="1:3" ht="18.75" customHeight="1" x14ac:dyDescent="0.35">
      <c r="A4293" s="103"/>
      <c r="C4293" s="100"/>
    </row>
    <row r="4294" spans="1:3" ht="18.75" customHeight="1" x14ac:dyDescent="0.35">
      <c r="A4294" s="103"/>
      <c r="C4294" s="100"/>
    </row>
    <row r="4295" spans="1:3" ht="18.75" customHeight="1" x14ac:dyDescent="0.35">
      <c r="A4295" s="103"/>
      <c r="C4295" s="100"/>
    </row>
    <row r="4296" spans="1:3" ht="18.75" customHeight="1" x14ac:dyDescent="0.35">
      <c r="A4296" s="103"/>
      <c r="C4296" s="100"/>
    </row>
    <row r="4297" spans="1:3" ht="18.75" customHeight="1" x14ac:dyDescent="0.35">
      <c r="A4297" s="103"/>
      <c r="C4297" s="100"/>
    </row>
    <row r="4298" spans="1:3" ht="18.75" customHeight="1" x14ac:dyDescent="0.35">
      <c r="A4298" s="103"/>
      <c r="C4298" s="100"/>
    </row>
    <row r="4299" spans="1:3" ht="18.75" customHeight="1" x14ac:dyDescent="0.35">
      <c r="A4299" s="103"/>
      <c r="C4299" s="100"/>
    </row>
    <row r="4300" spans="1:3" ht="18.75" customHeight="1" x14ac:dyDescent="0.35">
      <c r="A4300" s="103"/>
      <c r="C4300" s="100"/>
    </row>
    <row r="4301" spans="1:3" ht="18.75" customHeight="1" x14ac:dyDescent="0.35">
      <c r="A4301" s="103"/>
      <c r="C4301" s="100"/>
    </row>
    <row r="4302" spans="1:3" ht="18.75" customHeight="1" x14ac:dyDescent="0.35">
      <c r="A4302" s="103"/>
      <c r="C4302" s="100"/>
    </row>
    <row r="4303" spans="1:3" ht="18.75" customHeight="1" x14ac:dyDescent="0.35">
      <c r="A4303" s="103"/>
      <c r="C4303" s="100"/>
    </row>
    <row r="4304" spans="1:3" ht="18.75" customHeight="1" x14ac:dyDescent="0.35">
      <c r="A4304" s="103"/>
      <c r="C4304" s="100"/>
    </row>
    <row r="4305" spans="1:3" ht="18.75" customHeight="1" x14ac:dyDescent="0.35">
      <c r="A4305" s="103"/>
      <c r="C4305" s="100"/>
    </row>
    <row r="4306" spans="1:3" ht="18.75" customHeight="1" x14ac:dyDescent="0.35">
      <c r="A4306" s="103"/>
      <c r="C4306" s="100"/>
    </row>
    <row r="4307" spans="1:3" ht="18.75" customHeight="1" x14ac:dyDescent="0.35">
      <c r="A4307" s="103"/>
      <c r="C4307" s="100"/>
    </row>
    <row r="4308" spans="1:3" ht="18.75" customHeight="1" x14ac:dyDescent="0.35">
      <c r="A4308" s="103"/>
      <c r="C4308" s="100"/>
    </row>
    <row r="4309" spans="1:3" ht="18.75" customHeight="1" x14ac:dyDescent="0.35">
      <c r="A4309" s="103"/>
      <c r="C4309" s="100"/>
    </row>
    <row r="4310" spans="1:3" ht="18.75" customHeight="1" x14ac:dyDescent="0.35">
      <c r="A4310" s="103"/>
      <c r="C4310" s="100"/>
    </row>
    <row r="4311" spans="1:3" ht="18.75" customHeight="1" x14ac:dyDescent="0.35">
      <c r="A4311" s="103"/>
      <c r="C4311" s="100"/>
    </row>
    <row r="4312" spans="1:3" ht="18.75" customHeight="1" x14ac:dyDescent="0.35">
      <c r="A4312" s="103"/>
      <c r="C4312" s="100"/>
    </row>
    <row r="4313" spans="1:3" ht="18.75" customHeight="1" x14ac:dyDescent="0.35">
      <c r="A4313" s="103"/>
      <c r="C4313" s="100"/>
    </row>
    <row r="4314" spans="1:3" ht="18.75" customHeight="1" x14ac:dyDescent="0.35">
      <c r="A4314" s="103"/>
      <c r="C4314" s="100"/>
    </row>
    <row r="4315" spans="1:3" ht="18.75" customHeight="1" x14ac:dyDescent="0.35">
      <c r="A4315" s="103"/>
      <c r="C4315" s="100"/>
    </row>
    <row r="4316" spans="1:3" ht="18.75" customHeight="1" x14ac:dyDescent="0.35">
      <c r="A4316" s="103"/>
      <c r="C4316" s="100"/>
    </row>
    <row r="4317" spans="1:3" ht="18.75" customHeight="1" x14ac:dyDescent="0.35">
      <c r="A4317" s="103"/>
      <c r="C4317" s="100"/>
    </row>
    <row r="4318" spans="1:3" ht="18.75" customHeight="1" x14ac:dyDescent="0.35">
      <c r="A4318" s="103"/>
      <c r="C4318" s="100"/>
    </row>
    <row r="4319" spans="1:3" ht="18.75" customHeight="1" x14ac:dyDescent="0.35">
      <c r="A4319" s="103"/>
      <c r="C4319" s="100"/>
    </row>
    <row r="4320" spans="1:3" ht="18.75" customHeight="1" x14ac:dyDescent="0.35">
      <c r="A4320" s="103"/>
      <c r="C4320" s="100"/>
    </row>
    <row r="4321" spans="1:3" ht="18.75" customHeight="1" x14ac:dyDescent="0.35">
      <c r="A4321" s="103"/>
      <c r="C4321" s="100"/>
    </row>
    <row r="4322" spans="1:3" ht="18.75" customHeight="1" x14ac:dyDescent="0.35">
      <c r="A4322" s="103"/>
      <c r="C4322" s="100"/>
    </row>
    <row r="4323" spans="1:3" ht="18.75" customHeight="1" x14ac:dyDescent="0.35">
      <c r="A4323" s="103"/>
      <c r="C4323" s="100"/>
    </row>
    <row r="4324" spans="1:3" ht="18.75" customHeight="1" x14ac:dyDescent="0.35">
      <c r="A4324" s="103"/>
      <c r="C4324" s="100"/>
    </row>
    <row r="4325" spans="1:3" ht="18.75" customHeight="1" x14ac:dyDescent="0.35">
      <c r="A4325" s="103"/>
      <c r="C4325" s="100"/>
    </row>
    <row r="4326" spans="1:3" ht="18.75" customHeight="1" x14ac:dyDescent="0.35">
      <c r="A4326" s="103"/>
      <c r="C4326" s="100"/>
    </row>
    <row r="4327" spans="1:3" ht="18.75" customHeight="1" x14ac:dyDescent="0.35">
      <c r="A4327" s="103"/>
      <c r="C4327" s="100"/>
    </row>
    <row r="4328" spans="1:3" ht="18.75" customHeight="1" x14ac:dyDescent="0.35">
      <c r="A4328" s="103"/>
      <c r="C4328" s="100"/>
    </row>
    <row r="4329" spans="1:3" ht="18.75" customHeight="1" x14ac:dyDescent="0.35">
      <c r="A4329" s="103"/>
      <c r="C4329" s="100"/>
    </row>
    <row r="4330" spans="1:3" ht="18.75" customHeight="1" x14ac:dyDescent="0.35">
      <c r="A4330" s="103"/>
      <c r="C4330" s="100"/>
    </row>
    <row r="4331" spans="1:3" ht="18.75" customHeight="1" x14ac:dyDescent="0.35">
      <c r="A4331" s="103"/>
      <c r="C4331" s="100"/>
    </row>
    <row r="4332" spans="1:3" ht="18.75" customHeight="1" x14ac:dyDescent="0.35">
      <c r="A4332" s="103"/>
      <c r="C4332" s="100"/>
    </row>
    <row r="4333" spans="1:3" ht="18.75" customHeight="1" x14ac:dyDescent="0.35">
      <c r="A4333" s="103"/>
      <c r="C4333" s="100"/>
    </row>
    <row r="4334" spans="1:3" ht="18.75" customHeight="1" x14ac:dyDescent="0.35">
      <c r="A4334" s="103"/>
      <c r="C4334" s="100"/>
    </row>
    <row r="4335" spans="1:3" ht="18.75" customHeight="1" x14ac:dyDescent="0.35">
      <c r="A4335" s="103"/>
      <c r="C4335" s="100"/>
    </row>
    <row r="4336" spans="1:3" ht="18.75" customHeight="1" x14ac:dyDescent="0.35">
      <c r="A4336" s="103"/>
      <c r="C4336" s="100"/>
    </row>
    <row r="4337" spans="1:3" ht="18.75" customHeight="1" x14ac:dyDescent="0.35">
      <c r="A4337" s="103"/>
      <c r="C4337" s="100"/>
    </row>
    <row r="4338" spans="1:3" ht="18.75" customHeight="1" x14ac:dyDescent="0.35">
      <c r="A4338" s="103"/>
      <c r="C4338" s="100"/>
    </row>
    <row r="4339" spans="1:3" ht="18.75" customHeight="1" x14ac:dyDescent="0.35">
      <c r="A4339" s="103"/>
      <c r="C4339" s="100"/>
    </row>
    <row r="4340" spans="1:3" ht="18.75" customHeight="1" x14ac:dyDescent="0.35">
      <c r="A4340" s="103"/>
      <c r="C4340" s="100"/>
    </row>
    <row r="4341" spans="1:3" ht="18.75" customHeight="1" x14ac:dyDescent="0.35">
      <c r="A4341" s="103"/>
      <c r="C4341" s="100"/>
    </row>
    <row r="4342" spans="1:3" ht="18.75" customHeight="1" x14ac:dyDescent="0.35">
      <c r="A4342" s="103"/>
      <c r="C4342" s="100"/>
    </row>
    <row r="4343" spans="1:3" ht="18.75" customHeight="1" x14ac:dyDescent="0.35">
      <c r="A4343" s="103"/>
      <c r="C4343" s="100"/>
    </row>
    <row r="4344" spans="1:3" ht="18.75" customHeight="1" x14ac:dyDescent="0.35">
      <c r="A4344" s="103"/>
      <c r="C4344" s="100"/>
    </row>
    <row r="4345" spans="1:3" ht="18.75" customHeight="1" x14ac:dyDescent="0.35">
      <c r="A4345" s="103"/>
      <c r="C4345" s="100"/>
    </row>
    <row r="4346" spans="1:3" ht="18.75" customHeight="1" x14ac:dyDescent="0.35">
      <c r="A4346" s="103"/>
      <c r="C4346" s="100"/>
    </row>
    <row r="4347" spans="1:3" ht="18.75" customHeight="1" x14ac:dyDescent="0.35">
      <c r="A4347" s="103"/>
      <c r="C4347" s="100"/>
    </row>
    <row r="4348" spans="1:3" ht="18.75" customHeight="1" x14ac:dyDescent="0.35">
      <c r="A4348" s="103"/>
      <c r="C4348" s="100"/>
    </row>
    <row r="4349" spans="1:3" ht="18.75" customHeight="1" x14ac:dyDescent="0.35">
      <c r="A4349" s="103"/>
      <c r="C4349" s="100"/>
    </row>
    <row r="4350" spans="1:3" ht="18.75" customHeight="1" x14ac:dyDescent="0.35">
      <c r="A4350" s="103"/>
      <c r="C4350" s="100"/>
    </row>
    <row r="4351" spans="1:3" ht="18.75" customHeight="1" x14ac:dyDescent="0.35">
      <c r="A4351" s="103"/>
      <c r="C4351" s="100"/>
    </row>
    <row r="4352" spans="1:3" ht="18.75" customHeight="1" x14ac:dyDescent="0.35">
      <c r="A4352" s="103"/>
      <c r="C4352" s="100"/>
    </row>
    <row r="4353" spans="1:3" ht="18.75" customHeight="1" x14ac:dyDescent="0.35">
      <c r="A4353" s="103"/>
      <c r="C4353" s="100"/>
    </row>
    <row r="4354" spans="1:3" ht="18.75" customHeight="1" x14ac:dyDescent="0.35">
      <c r="A4354" s="103"/>
      <c r="C4354" s="100"/>
    </row>
    <row r="4355" spans="1:3" ht="18.75" customHeight="1" x14ac:dyDescent="0.35">
      <c r="A4355" s="103"/>
      <c r="C4355" s="100"/>
    </row>
    <row r="4356" spans="1:3" ht="18.75" customHeight="1" x14ac:dyDescent="0.35">
      <c r="A4356" s="103"/>
      <c r="C4356" s="100"/>
    </row>
    <row r="4357" spans="1:3" ht="18.75" customHeight="1" x14ac:dyDescent="0.35">
      <c r="A4357" s="103"/>
      <c r="C4357" s="100"/>
    </row>
    <row r="4358" spans="1:3" ht="18.75" customHeight="1" x14ac:dyDescent="0.35">
      <c r="A4358" s="103"/>
      <c r="C4358" s="100"/>
    </row>
    <row r="4359" spans="1:3" ht="18.75" customHeight="1" x14ac:dyDescent="0.35">
      <c r="A4359" s="103"/>
      <c r="C4359" s="100"/>
    </row>
    <row r="4360" spans="1:3" ht="18.75" customHeight="1" x14ac:dyDescent="0.35">
      <c r="A4360" s="103"/>
      <c r="C4360" s="100"/>
    </row>
    <row r="4361" spans="1:3" ht="18.75" customHeight="1" x14ac:dyDescent="0.35">
      <c r="A4361" s="103"/>
      <c r="C4361" s="100"/>
    </row>
    <row r="4362" spans="1:3" ht="18.75" customHeight="1" x14ac:dyDescent="0.35">
      <c r="A4362" s="103"/>
      <c r="C4362" s="100"/>
    </row>
    <row r="4363" spans="1:3" ht="18.75" customHeight="1" x14ac:dyDescent="0.35">
      <c r="A4363" s="103"/>
      <c r="C4363" s="100"/>
    </row>
    <row r="4364" spans="1:3" ht="18.75" customHeight="1" x14ac:dyDescent="0.35">
      <c r="A4364" s="103"/>
      <c r="C4364" s="100"/>
    </row>
    <row r="4365" spans="1:3" ht="18.75" customHeight="1" x14ac:dyDescent="0.35">
      <c r="A4365" s="103"/>
      <c r="C4365" s="100"/>
    </row>
    <row r="4366" spans="1:3" ht="18.75" customHeight="1" x14ac:dyDescent="0.35">
      <c r="A4366" s="103"/>
      <c r="C4366" s="100"/>
    </row>
    <row r="4367" spans="1:3" ht="18.75" customHeight="1" x14ac:dyDescent="0.35">
      <c r="A4367" s="103"/>
      <c r="C4367" s="100"/>
    </row>
    <row r="4368" spans="1:3" ht="18.75" customHeight="1" x14ac:dyDescent="0.35">
      <c r="A4368" s="103"/>
      <c r="C4368" s="100"/>
    </row>
    <row r="4369" spans="1:3" ht="18.75" customHeight="1" x14ac:dyDescent="0.35">
      <c r="A4369" s="103"/>
      <c r="C4369" s="100"/>
    </row>
    <row r="4370" spans="1:3" ht="18.75" customHeight="1" x14ac:dyDescent="0.35">
      <c r="A4370" s="103"/>
      <c r="C4370" s="100"/>
    </row>
    <row r="4371" spans="1:3" ht="18.75" customHeight="1" x14ac:dyDescent="0.35">
      <c r="A4371" s="103"/>
      <c r="C4371" s="100"/>
    </row>
    <row r="4372" spans="1:3" ht="18.75" customHeight="1" x14ac:dyDescent="0.35">
      <c r="A4372" s="103"/>
      <c r="C4372" s="100"/>
    </row>
    <row r="4373" spans="1:3" ht="18.75" customHeight="1" x14ac:dyDescent="0.35">
      <c r="A4373" s="103"/>
      <c r="C4373" s="100"/>
    </row>
    <row r="4374" spans="1:3" ht="18.75" customHeight="1" x14ac:dyDescent="0.35">
      <c r="A4374" s="103"/>
      <c r="C4374" s="100"/>
    </row>
    <row r="4375" spans="1:3" ht="18.75" customHeight="1" x14ac:dyDescent="0.35">
      <c r="A4375" s="103"/>
      <c r="C4375" s="100"/>
    </row>
    <row r="4376" spans="1:3" ht="18.75" customHeight="1" x14ac:dyDescent="0.35">
      <c r="A4376" s="103"/>
      <c r="C4376" s="100"/>
    </row>
    <row r="4377" spans="1:3" ht="18.75" customHeight="1" x14ac:dyDescent="0.35">
      <c r="A4377" s="103"/>
      <c r="C4377" s="100"/>
    </row>
    <row r="4378" spans="1:3" ht="18.75" customHeight="1" x14ac:dyDescent="0.35">
      <c r="A4378" s="103"/>
      <c r="C4378" s="100"/>
    </row>
    <row r="4379" spans="1:3" ht="18.75" customHeight="1" x14ac:dyDescent="0.35">
      <c r="A4379" s="103"/>
      <c r="C4379" s="100"/>
    </row>
    <row r="4380" spans="1:3" ht="18.75" customHeight="1" x14ac:dyDescent="0.35">
      <c r="A4380" s="103"/>
      <c r="C4380" s="100"/>
    </row>
    <row r="4381" spans="1:3" ht="18.75" customHeight="1" x14ac:dyDescent="0.35">
      <c r="A4381" s="103"/>
      <c r="C4381" s="100"/>
    </row>
    <row r="4382" spans="1:3" ht="18.75" customHeight="1" x14ac:dyDescent="0.35">
      <c r="A4382" s="103"/>
      <c r="C4382" s="100"/>
    </row>
    <row r="4383" spans="1:3" ht="18.75" customHeight="1" x14ac:dyDescent="0.35">
      <c r="A4383" s="103"/>
      <c r="C4383" s="100"/>
    </row>
    <row r="4384" spans="1:3" ht="18.75" customHeight="1" x14ac:dyDescent="0.35">
      <c r="A4384" s="103"/>
      <c r="C4384" s="100"/>
    </row>
    <row r="4385" spans="1:3" ht="18.75" customHeight="1" x14ac:dyDescent="0.35">
      <c r="A4385" s="103"/>
      <c r="C4385" s="100"/>
    </row>
    <row r="4386" spans="1:3" ht="18.75" customHeight="1" x14ac:dyDescent="0.35">
      <c r="A4386" s="103"/>
      <c r="C4386" s="100"/>
    </row>
    <row r="4387" spans="1:3" ht="18.75" customHeight="1" x14ac:dyDescent="0.35">
      <c r="A4387" s="103"/>
      <c r="C4387" s="100"/>
    </row>
    <row r="4388" spans="1:3" ht="18.75" customHeight="1" x14ac:dyDescent="0.35">
      <c r="A4388" s="103"/>
      <c r="C4388" s="100"/>
    </row>
    <row r="4389" spans="1:3" ht="18.75" customHeight="1" x14ac:dyDescent="0.35">
      <c r="A4389" s="103"/>
      <c r="C4389" s="100"/>
    </row>
    <row r="4390" spans="1:3" ht="18.75" customHeight="1" x14ac:dyDescent="0.35">
      <c r="A4390" s="103"/>
      <c r="C4390" s="100"/>
    </row>
    <row r="4391" spans="1:3" ht="18.75" customHeight="1" x14ac:dyDescent="0.35">
      <c r="A4391" s="103"/>
      <c r="C4391" s="100"/>
    </row>
    <row r="4392" spans="1:3" ht="18.75" customHeight="1" x14ac:dyDescent="0.35">
      <c r="A4392" s="103"/>
      <c r="C4392" s="100"/>
    </row>
    <row r="4393" spans="1:3" ht="18.75" customHeight="1" x14ac:dyDescent="0.35">
      <c r="A4393" s="103"/>
      <c r="C4393" s="100"/>
    </row>
    <row r="4394" spans="1:3" ht="18.75" customHeight="1" x14ac:dyDescent="0.35">
      <c r="A4394" s="103"/>
      <c r="C4394" s="100"/>
    </row>
    <row r="4395" spans="1:3" ht="18.75" customHeight="1" x14ac:dyDescent="0.35">
      <c r="A4395" s="103"/>
      <c r="C4395" s="100"/>
    </row>
    <row r="4396" spans="1:3" ht="18.75" customHeight="1" x14ac:dyDescent="0.35">
      <c r="A4396" s="103"/>
      <c r="C4396" s="100"/>
    </row>
    <row r="4397" spans="1:3" ht="18.75" customHeight="1" x14ac:dyDescent="0.35">
      <c r="A4397" s="103"/>
      <c r="C4397" s="100"/>
    </row>
    <row r="4398" spans="1:3" ht="18.75" customHeight="1" x14ac:dyDescent="0.35">
      <c r="A4398" s="103"/>
      <c r="C4398" s="100"/>
    </row>
    <row r="4399" spans="1:3" ht="18.75" customHeight="1" x14ac:dyDescent="0.35">
      <c r="A4399" s="103"/>
      <c r="C4399" s="100"/>
    </row>
    <row r="4400" spans="1:3" ht="18.75" customHeight="1" x14ac:dyDescent="0.35">
      <c r="A4400" s="103"/>
      <c r="C4400" s="100"/>
    </row>
    <row r="4401" spans="1:3" ht="18.75" customHeight="1" x14ac:dyDescent="0.35">
      <c r="A4401" s="103"/>
      <c r="C4401" s="100"/>
    </row>
    <row r="4402" spans="1:3" ht="18.75" customHeight="1" x14ac:dyDescent="0.35">
      <c r="A4402" s="103"/>
      <c r="C4402" s="100"/>
    </row>
    <row r="4403" spans="1:3" ht="18.75" customHeight="1" x14ac:dyDescent="0.35">
      <c r="A4403" s="103"/>
      <c r="C4403" s="100"/>
    </row>
    <row r="4404" spans="1:3" ht="18.75" customHeight="1" x14ac:dyDescent="0.35">
      <c r="A4404" s="103"/>
      <c r="C4404" s="100"/>
    </row>
    <row r="4405" spans="1:3" ht="18.75" customHeight="1" x14ac:dyDescent="0.35">
      <c r="A4405" s="103"/>
      <c r="C4405" s="100"/>
    </row>
    <row r="4406" spans="1:3" ht="18.75" customHeight="1" x14ac:dyDescent="0.35">
      <c r="A4406" s="103"/>
      <c r="C4406" s="100"/>
    </row>
    <row r="4407" spans="1:3" ht="18.75" customHeight="1" x14ac:dyDescent="0.35">
      <c r="A4407" s="103"/>
      <c r="C4407" s="100"/>
    </row>
    <row r="4408" spans="1:3" ht="18.75" customHeight="1" x14ac:dyDescent="0.35">
      <c r="A4408" s="103"/>
      <c r="C4408" s="100"/>
    </row>
    <row r="4409" spans="1:3" ht="18.75" customHeight="1" x14ac:dyDescent="0.35">
      <c r="A4409" s="103"/>
      <c r="C4409" s="100"/>
    </row>
    <row r="4410" spans="1:3" ht="18.75" customHeight="1" x14ac:dyDescent="0.35">
      <c r="A4410" s="103"/>
      <c r="C4410" s="100"/>
    </row>
    <row r="4411" spans="1:3" ht="18.75" customHeight="1" x14ac:dyDescent="0.35">
      <c r="A4411" s="103"/>
      <c r="C4411" s="100"/>
    </row>
    <row r="4412" spans="1:3" ht="18.75" customHeight="1" x14ac:dyDescent="0.35">
      <c r="A4412" s="103"/>
      <c r="C4412" s="100"/>
    </row>
    <row r="4413" spans="1:3" ht="18.75" customHeight="1" x14ac:dyDescent="0.35">
      <c r="A4413" s="103"/>
      <c r="C4413" s="100"/>
    </row>
    <row r="4414" spans="1:3" ht="18.75" customHeight="1" x14ac:dyDescent="0.35">
      <c r="A4414" s="103"/>
      <c r="C4414" s="100"/>
    </row>
    <row r="4415" spans="1:3" ht="18.75" customHeight="1" x14ac:dyDescent="0.35">
      <c r="A4415" s="103"/>
      <c r="C4415" s="100"/>
    </row>
    <row r="4416" spans="1:3" ht="18.75" customHeight="1" x14ac:dyDescent="0.35">
      <c r="A4416" s="103"/>
      <c r="C4416" s="100"/>
    </row>
    <row r="4417" spans="1:3" ht="18.75" customHeight="1" x14ac:dyDescent="0.35">
      <c r="A4417" s="103"/>
      <c r="C4417" s="100"/>
    </row>
    <row r="4418" spans="1:3" ht="18.75" customHeight="1" x14ac:dyDescent="0.35">
      <c r="A4418" s="103"/>
      <c r="C4418" s="100"/>
    </row>
    <row r="4419" spans="1:3" ht="18.75" customHeight="1" x14ac:dyDescent="0.35">
      <c r="A4419" s="103"/>
      <c r="C4419" s="100"/>
    </row>
    <row r="4420" spans="1:3" ht="18.75" customHeight="1" x14ac:dyDescent="0.35">
      <c r="A4420" s="103"/>
      <c r="C4420" s="100"/>
    </row>
    <row r="4421" spans="1:3" ht="18.75" customHeight="1" x14ac:dyDescent="0.35">
      <c r="A4421" s="103"/>
      <c r="C4421" s="100"/>
    </row>
    <row r="4422" spans="1:3" ht="18.75" customHeight="1" x14ac:dyDescent="0.35">
      <c r="A4422" s="103"/>
      <c r="C4422" s="100"/>
    </row>
    <row r="4423" spans="1:3" ht="18.75" customHeight="1" x14ac:dyDescent="0.35">
      <c r="A4423" s="103"/>
      <c r="C4423" s="100"/>
    </row>
    <row r="4424" spans="1:3" ht="18.75" customHeight="1" x14ac:dyDescent="0.35">
      <c r="A4424" s="103"/>
      <c r="C4424" s="100"/>
    </row>
    <row r="4425" spans="1:3" ht="18.75" customHeight="1" x14ac:dyDescent="0.35">
      <c r="A4425" s="103"/>
      <c r="C4425" s="100"/>
    </row>
    <row r="4426" spans="1:3" ht="18.75" customHeight="1" x14ac:dyDescent="0.35">
      <c r="A4426" s="103"/>
      <c r="C4426" s="100"/>
    </row>
    <row r="4427" spans="1:3" ht="18.75" customHeight="1" x14ac:dyDescent="0.35">
      <c r="A4427" s="103"/>
      <c r="C4427" s="100"/>
    </row>
    <row r="4428" spans="1:3" ht="18.75" customHeight="1" x14ac:dyDescent="0.35">
      <c r="A4428" s="103"/>
      <c r="C4428" s="100"/>
    </row>
    <row r="4429" spans="1:3" ht="18.75" customHeight="1" x14ac:dyDescent="0.35">
      <c r="A4429" s="103"/>
      <c r="C4429" s="100"/>
    </row>
    <row r="4430" spans="1:3" ht="18.75" customHeight="1" x14ac:dyDescent="0.35">
      <c r="A4430" s="103"/>
      <c r="C4430" s="100"/>
    </row>
    <row r="4431" spans="1:3" ht="18.75" customHeight="1" x14ac:dyDescent="0.35">
      <c r="A4431" s="103"/>
      <c r="C4431" s="100"/>
    </row>
    <row r="4432" spans="1:3" ht="18.75" customHeight="1" x14ac:dyDescent="0.35">
      <c r="A4432" s="103"/>
      <c r="C4432" s="100"/>
    </row>
    <row r="4433" spans="1:3" ht="18.75" customHeight="1" x14ac:dyDescent="0.35">
      <c r="A4433" s="103"/>
      <c r="C4433" s="100"/>
    </row>
    <row r="4434" spans="1:3" ht="18.75" customHeight="1" x14ac:dyDescent="0.35">
      <c r="A4434" s="103"/>
      <c r="C4434" s="100"/>
    </row>
    <row r="4435" spans="1:3" ht="18.75" customHeight="1" x14ac:dyDescent="0.35">
      <c r="A4435" s="103"/>
      <c r="C4435" s="100"/>
    </row>
    <row r="4436" spans="1:3" ht="18.75" customHeight="1" x14ac:dyDescent="0.35">
      <c r="A4436" s="103"/>
      <c r="C4436" s="100"/>
    </row>
    <row r="4437" spans="1:3" ht="18.75" customHeight="1" x14ac:dyDescent="0.35">
      <c r="A4437" s="103"/>
      <c r="C4437" s="100"/>
    </row>
    <row r="4438" spans="1:3" ht="18.75" customHeight="1" x14ac:dyDescent="0.35">
      <c r="A4438" s="103"/>
      <c r="C4438" s="100"/>
    </row>
    <row r="4439" spans="1:3" ht="18.75" customHeight="1" x14ac:dyDescent="0.35">
      <c r="A4439" s="103"/>
      <c r="C4439" s="100"/>
    </row>
    <row r="4440" spans="1:3" ht="18.75" customHeight="1" x14ac:dyDescent="0.35">
      <c r="A4440" s="103"/>
      <c r="C4440" s="100"/>
    </row>
    <row r="4441" spans="1:3" ht="18.75" customHeight="1" x14ac:dyDescent="0.35">
      <c r="A4441" s="103"/>
      <c r="C4441" s="100"/>
    </row>
    <row r="4442" spans="1:3" ht="18.75" customHeight="1" x14ac:dyDescent="0.35">
      <c r="A4442" s="103"/>
      <c r="C4442" s="100"/>
    </row>
    <row r="4443" spans="1:3" ht="18.75" customHeight="1" x14ac:dyDescent="0.35">
      <c r="A4443" s="103"/>
      <c r="C4443" s="100"/>
    </row>
    <row r="4444" spans="1:3" ht="18.75" customHeight="1" x14ac:dyDescent="0.35">
      <c r="A4444" s="103"/>
      <c r="C4444" s="100"/>
    </row>
    <row r="4445" spans="1:3" ht="18.75" customHeight="1" x14ac:dyDescent="0.35">
      <c r="A4445" s="103"/>
      <c r="C4445" s="100"/>
    </row>
    <row r="4446" spans="1:3" ht="18.75" customHeight="1" x14ac:dyDescent="0.35">
      <c r="A4446" s="103"/>
      <c r="C4446" s="100"/>
    </row>
    <row r="4447" spans="1:3" ht="18.75" customHeight="1" x14ac:dyDescent="0.35">
      <c r="A4447" s="103"/>
      <c r="C4447" s="100"/>
    </row>
    <row r="4448" spans="1:3" ht="18.75" customHeight="1" x14ac:dyDescent="0.35">
      <c r="A4448" s="103"/>
      <c r="C4448" s="100"/>
    </row>
    <row r="4449" spans="1:3" ht="18.75" customHeight="1" x14ac:dyDescent="0.35">
      <c r="A4449" s="103"/>
      <c r="C4449" s="100"/>
    </row>
    <row r="4450" spans="1:3" ht="18.75" customHeight="1" x14ac:dyDescent="0.35">
      <c r="A4450" s="103"/>
      <c r="C4450" s="100"/>
    </row>
    <row r="4451" spans="1:3" ht="18.75" customHeight="1" x14ac:dyDescent="0.35">
      <c r="A4451" s="103"/>
      <c r="C4451" s="100"/>
    </row>
    <row r="4452" spans="1:3" ht="18.75" customHeight="1" x14ac:dyDescent="0.35">
      <c r="A4452" s="103"/>
      <c r="C4452" s="100"/>
    </row>
    <row r="4453" spans="1:3" ht="18.75" customHeight="1" x14ac:dyDescent="0.35">
      <c r="A4453" s="103"/>
      <c r="C4453" s="100"/>
    </row>
    <row r="4454" spans="1:3" ht="18.75" customHeight="1" x14ac:dyDescent="0.35">
      <c r="A4454" s="103"/>
      <c r="C4454" s="100"/>
    </row>
    <row r="4455" spans="1:3" ht="18.75" customHeight="1" x14ac:dyDescent="0.35">
      <c r="A4455" s="103"/>
      <c r="C4455" s="100"/>
    </row>
    <row r="4456" spans="1:3" ht="18.75" customHeight="1" x14ac:dyDescent="0.35">
      <c r="A4456" s="103"/>
      <c r="C4456" s="100"/>
    </row>
    <row r="4457" spans="1:3" ht="18.75" customHeight="1" x14ac:dyDescent="0.35">
      <c r="A4457" s="103"/>
      <c r="C4457" s="100"/>
    </row>
    <row r="4458" spans="1:3" ht="18.75" customHeight="1" x14ac:dyDescent="0.35">
      <c r="A4458" s="103"/>
      <c r="C4458" s="100"/>
    </row>
    <row r="4459" spans="1:3" ht="18.75" customHeight="1" x14ac:dyDescent="0.35">
      <c r="A4459" s="103"/>
      <c r="C4459" s="100"/>
    </row>
    <row r="4460" spans="1:3" ht="18.75" customHeight="1" x14ac:dyDescent="0.35">
      <c r="A4460" s="103"/>
      <c r="C4460" s="100"/>
    </row>
    <row r="4461" spans="1:3" ht="18.75" customHeight="1" x14ac:dyDescent="0.35">
      <c r="A4461" s="103"/>
      <c r="C4461" s="100"/>
    </row>
    <row r="4462" spans="1:3" ht="18.75" customHeight="1" x14ac:dyDescent="0.35">
      <c r="A4462" s="103"/>
      <c r="C4462" s="100"/>
    </row>
    <row r="4463" spans="1:3" ht="18.75" customHeight="1" x14ac:dyDescent="0.35">
      <c r="A4463" s="103"/>
      <c r="C4463" s="100"/>
    </row>
    <row r="4464" spans="1:3" ht="18.75" customHeight="1" x14ac:dyDescent="0.35">
      <c r="A4464" s="103"/>
      <c r="C4464" s="100"/>
    </row>
    <row r="4465" spans="1:3" ht="18.75" customHeight="1" x14ac:dyDescent="0.35">
      <c r="A4465" s="103"/>
      <c r="C4465" s="100"/>
    </row>
    <row r="4466" spans="1:3" ht="18.75" customHeight="1" x14ac:dyDescent="0.35">
      <c r="A4466" s="103"/>
      <c r="C4466" s="100"/>
    </row>
    <row r="4467" spans="1:3" ht="18.75" customHeight="1" x14ac:dyDescent="0.35">
      <c r="A4467" s="103"/>
      <c r="C4467" s="100"/>
    </row>
    <row r="4468" spans="1:3" ht="18.75" customHeight="1" x14ac:dyDescent="0.35">
      <c r="A4468" s="103"/>
      <c r="C4468" s="100"/>
    </row>
    <row r="4469" spans="1:3" ht="18.75" customHeight="1" x14ac:dyDescent="0.35">
      <c r="A4469" s="103"/>
      <c r="C4469" s="100"/>
    </row>
    <row r="4470" spans="1:3" ht="18.75" customHeight="1" x14ac:dyDescent="0.35">
      <c r="A4470" s="103"/>
      <c r="C4470" s="100"/>
    </row>
    <row r="4471" spans="1:3" ht="18.75" customHeight="1" x14ac:dyDescent="0.35">
      <c r="A4471" s="103"/>
      <c r="C4471" s="100"/>
    </row>
    <row r="4472" spans="1:3" ht="18.75" customHeight="1" x14ac:dyDescent="0.35">
      <c r="A4472" s="103"/>
      <c r="C4472" s="100"/>
    </row>
    <row r="4473" spans="1:3" ht="18.75" customHeight="1" x14ac:dyDescent="0.35">
      <c r="A4473" s="103"/>
      <c r="C4473" s="100"/>
    </row>
    <row r="4474" spans="1:3" ht="18.75" customHeight="1" x14ac:dyDescent="0.35">
      <c r="A4474" s="103"/>
      <c r="C4474" s="100"/>
    </row>
    <row r="4475" spans="1:3" ht="18.75" customHeight="1" x14ac:dyDescent="0.35">
      <c r="A4475" s="103"/>
      <c r="C4475" s="100"/>
    </row>
    <row r="4476" spans="1:3" ht="18.75" customHeight="1" x14ac:dyDescent="0.35">
      <c r="A4476" s="103"/>
      <c r="C4476" s="100"/>
    </row>
    <row r="4477" spans="1:3" ht="18.75" customHeight="1" x14ac:dyDescent="0.35">
      <c r="A4477" s="103"/>
      <c r="C4477" s="100"/>
    </row>
    <row r="4478" spans="1:3" ht="18.75" customHeight="1" x14ac:dyDescent="0.35">
      <c r="A4478" s="103"/>
      <c r="C4478" s="100"/>
    </row>
    <row r="4479" spans="1:3" ht="18.75" customHeight="1" x14ac:dyDescent="0.35">
      <c r="A4479" s="103"/>
      <c r="C4479" s="100"/>
    </row>
    <row r="4480" spans="1:3" ht="18.75" customHeight="1" x14ac:dyDescent="0.35">
      <c r="A4480" s="103"/>
      <c r="C4480" s="100"/>
    </row>
    <row r="4481" spans="1:3" ht="18.75" customHeight="1" x14ac:dyDescent="0.35">
      <c r="A4481" s="103"/>
      <c r="C4481" s="100"/>
    </row>
    <row r="4482" spans="1:3" ht="18.75" customHeight="1" x14ac:dyDescent="0.35">
      <c r="A4482" s="103"/>
      <c r="C4482" s="100"/>
    </row>
    <row r="4483" spans="1:3" ht="18.75" customHeight="1" x14ac:dyDescent="0.35">
      <c r="A4483" s="103"/>
      <c r="C4483" s="100"/>
    </row>
    <row r="4484" spans="1:3" ht="18.75" customHeight="1" x14ac:dyDescent="0.35">
      <c r="A4484" s="103"/>
      <c r="C4484" s="100"/>
    </row>
    <row r="4485" spans="1:3" ht="18.75" customHeight="1" x14ac:dyDescent="0.35">
      <c r="A4485" s="103"/>
      <c r="C4485" s="100"/>
    </row>
    <row r="4486" spans="1:3" ht="18.75" customHeight="1" x14ac:dyDescent="0.35">
      <c r="A4486" s="103"/>
      <c r="C4486" s="100"/>
    </row>
    <row r="4487" spans="1:3" ht="18.75" customHeight="1" x14ac:dyDescent="0.35">
      <c r="A4487" s="103"/>
      <c r="C4487" s="100"/>
    </row>
    <row r="4488" spans="1:3" ht="18.75" customHeight="1" x14ac:dyDescent="0.35">
      <c r="A4488" s="103"/>
      <c r="C4488" s="100"/>
    </row>
    <row r="4489" spans="1:3" ht="18.75" customHeight="1" x14ac:dyDescent="0.35">
      <c r="A4489" s="103"/>
      <c r="C4489" s="100"/>
    </row>
    <row r="4490" spans="1:3" ht="18.75" customHeight="1" x14ac:dyDescent="0.35">
      <c r="A4490" s="103"/>
      <c r="C4490" s="100"/>
    </row>
    <row r="4491" spans="1:3" ht="18.75" customHeight="1" x14ac:dyDescent="0.35">
      <c r="A4491" s="103"/>
      <c r="C4491" s="100"/>
    </row>
    <row r="4492" spans="1:3" ht="18.75" customHeight="1" x14ac:dyDescent="0.35">
      <c r="A4492" s="103"/>
      <c r="C4492" s="100"/>
    </row>
    <row r="4493" spans="1:3" ht="18.75" customHeight="1" x14ac:dyDescent="0.35">
      <c r="A4493" s="103"/>
      <c r="C4493" s="100"/>
    </row>
    <row r="4494" spans="1:3" ht="18.75" customHeight="1" x14ac:dyDescent="0.35">
      <c r="A4494" s="103"/>
      <c r="C4494" s="100"/>
    </row>
    <row r="4495" spans="1:3" ht="18.75" customHeight="1" x14ac:dyDescent="0.35">
      <c r="A4495" s="103"/>
      <c r="C4495" s="100"/>
    </row>
    <row r="4496" spans="1:3" ht="18.75" customHeight="1" x14ac:dyDescent="0.35">
      <c r="A4496" s="103"/>
      <c r="C4496" s="100"/>
    </row>
    <row r="4497" spans="1:3" ht="18.75" customHeight="1" x14ac:dyDescent="0.35">
      <c r="A4497" s="103"/>
      <c r="C4497" s="100"/>
    </row>
    <row r="4498" spans="1:3" ht="18.75" customHeight="1" x14ac:dyDescent="0.35">
      <c r="A4498" s="103"/>
      <c r="C4498" s="100"/>
    </row>
    <row r="4499" spans="1:3" ht="18.75" customHeight="1" x14ac:dyDescent="0.35">
      <c r="A4499" s="103"/>
      <c r="C4499" s="100"/>
    </row>
    <row r="4500" spans="1:3" ht="18.75" customHeight="1" x14ac:dyDescent="0.35">
      <c r="A4500" s="103"/>
      <c r="C4500" s="100"/>
    </row>
    <row r="4501" spans="1:3" ht="18.75" customHeight="1" x14ac:dyDescent="0.35">
      <c r="A4501" s="103"/>
      <c r="C4501" s="100"/>
    </row>
    <row r="4502" spans="1:3" ht="18.75" customHeight="1" x14ac:dyDescent="0.35">
      <c r="A4502" s="103"/>
      <c r="C4502" s="100"/>
    </row>
    <row r="4503" spans="1:3" ht="18.75" customHeight="1" x14ac:dyDescent="0.35">
      <c r="A4503" s="103"/>
      <c r="C4503" s="100"/>
    </row>
    <row r="4504" spans="1:3" ht="18.75" customHeight="1" x14ac:dyDescent="0.35">
      <c r="A4504" s="103"/>
      <c r="C4504" s="100"/>
    </row>
    <row r="4505" spans="1:3" ht="18.75" customHeight="1" x14ac:dyDescent="0.35">
      <c r="A4505" s="103"/>
      <c r="C4505" s="100"/>
    </row>
    <row r="4506" spans="1:3" ht="18.75" customHeight="1" x14ac:dyDescent="0.35">
      <c r="A4506" s="103"/>
      <c r="C4506" s="100"/>
    </row>
    <row r="4507" spans="1:3" ht="18.75" customHeight="1" x14ac:dyDescent="0.35">
      <c r="A4507" s="103"/>
      <c r="C4507" s="100"/>
    </row>
    <row r="4508" spans="1:3" ht="18.75" customHeight="1" x14ac:dyDescent="0.35">
      <c r="A4508" s="103"/>
      <c r="C4508" s="100"/>
    </row>
    <row r="4509" spans="1:3" ht="18.75" customHeight="1" x14ac:dyDescent="0.35">
      <c r="A4509" s="103"/>
      <c r="C4509" s="100"/>
    </row>
    <row r="4510" spans="1:3" ht="18.75" customHeight="1" x14ac:dyDescent="0.35">
      <c r="A4510" s="103"/>
      <c r="C4510" s="100"/>
    </row>
    <row r="4511" spans="1:3" ht="18.75" customHeight="1" x14ac:dyDescent="0.35">
      <c r="A4511" s="103"/>
      <c r="C4511" s="100"/>
    </row>
    <row r="4512" spans="1:3" ht="18.75" customHeight="1" x14ac:dyDescent="0.35">
      <c r="A4512" s="103"/>
      <c r="C4512" s="100"/>
    </row>
    <row r="4513" spans="1:3" ht="18.75" customHeight="1" x14ac:dyDescent="0.35">
      <c r="A4513" s="103"/>
      <c r="C4513" s="100"/>
    </row>
    <row r="4514" spans="1:3" ht="18.75" customHeight="1" x14ac:dyDescent="0.35">
      <c r="A4514" s="103"/>
      <c r="C4514" s="100"/>
    </row>
    <row r="4515" spans="1:3" ht="18.75" customHeight="1" x14ac:dyDescent="0.35">
      <c r="A4515" s="103"/>
      <c r="C4515" s="100"/>
    </row>
    <row r="4516" spans="1:3" ht="18.75" customHeight="1" x14ac:dyDescent="0.35">
      <c r="A4516" s="103"/>
      <c r="C4516" s="100"/>
    </row>
    <row r="4517" spans="1:3" ht="18.75" customHeight="1" x14ac:dyDescent="0.35">
      <c r="A4517" s="103"/>
      <c r="C4517" s="100"/>
    </row>
    <row r="4518" spans="1:3" ht="18.75" customHeight="1" x14ac:dyDescent="0.35">
      <c r="A4518" s="103"/>
      <c r="C4518" s="100"/>
    </row>
    <row r="4519" spans="1:3" ht="18.75" customHeight="1" x14ac:dyDescent="0.35">
      <c r="A4519" s="103"/>
      <c r="C4519" s="100"/>
    </row>
    <row r="4520" spans="1:3" ht="18.75" customHeight="1" x14ac:dyDescent="0.35">
      <c r="A4520" s="103"/>
      <c r="C4520" s="100"/>
    </row>
    <row r="4521" spans="1:3" ht="18.75" customHeight="1" x14ac:dyDescent="0.35">
      <c r="A4521" s="103"/>
      <c r="C4521" s="100"/>
    </row>
    <row r="4522" spans="1:3" ht="18.75" customHeight="1" x14ac:dyDescent="0.35">
      <c r="A4522" s="103"/>
      <c r="C4522" s="100"/>
    </row>
    <row r="4523" spans="1:3" ht="18.75" customHeight="1" x14ac:dyDescent="0.35">
      <c r="A4523" s="103"/>
      <c r="C4523" s="100"/>
    </row>
    <row r="4524" spans="1:3" ht="18.75" customHeight="1" x14ac:dyDescent="0.35">
      <c r="A4524" s="103"/>
      <c r="C4524" s="100"/>
    </row>
    <row r="4525" spans="1:3" ht="18.75" customHeight="1" x14ac:dyDescent="0.35">
      <c r="A4525" s="103"/>
      <c r="C4525" s="100"/>
    </row>
    <row r="4526" spans="1:3" ht="18.75" customHeight="1" x14ac:dyDescent="0.35">
      <c r="A4526" s="103"/>
      <c r="C4526" s="100"/>
    </row>
    <row r="4527" spans="1:3" ht="18.75" customHeight="1" x14ac:dyDescent="0.35">
      <c r="A4527" s="103"/>
      <c r="C4527" s="100"/>
    </row>
    <row r="4528" spans="1:3" ht="18.75" customHeight="1" x14ac:dyDescent="0.35">
      <c r="A4528" s="103"/>
      <c r="C4528" s="100"/>
    </row>
    <row r="4529" spans="1:3" ht="18.75" customHeight="1" x14ac:dyDescent="0.35">
      <c r="A4529" s="103"/>
      <c r="C4529" s="100"/>
    </row>
    <row r="4530" spans="1:3" ht="18.75" customHeight="1" x14ac:dyDescent="0.35">
      <c r="A4530" s="103"/>
      <c r="C4530" s="100"/>
    </row>
    <row r="4531" spans="1:3" ht="18.75" customHeight="1" x14ac:dyDescent="0.35">
      <c r="A4531" s="103"/>
      <c r="C4531" s="100"/>
    </row>
    <row r="4532" spans="1:3" ht="18.75" customHeight="1" x14ac:dyDescent="0.35">
      <c r="A4532" s="103"/>
      <c r="C4532" s="100"/>
    </row>
    <row r="4533" spans="1:3" ht="18.75" customHeight="1" x14ac:dyDescent="0.35">
      <c r="A4533" s="103"/>
      <c r="C4533" s="100"/>
    </row>
    <row r="4534" spans="1:3" ht="18.75" customHeight="1" x14ac:dyDescent="0.35">
      <c r="A4534" s="103"/>
      <c r="C4534" s="100"/>
    </row>
    <row r="4535" spans="1:3" ht="18.75" customHeight="1" x14ac:dyDescent="0.35">
      <c r="A4535" s="103"/>
      <c r="C4535" s="100"/>
    </row>
    <row r="4536" spans="1:3" ht="18.75" customHeight="1" x14ac:dyDescent="0.35">
      <c r="A4536" s="103"/>
      <c r="C4536" s="100"/>
    </row>
    <row r="4537" spans="1:3" ht="18.75" customHeight="1" x14ac:dyDescent="0.35">
      <c r="A4537" s="103"/>
      <c r="C4537" s="100"/>
    </row>
    <row r="4538" spans="1:3" ht="18.75" customHeight="1" x14ac:dyDescent="0.35">
      <c r="A4538" s="103"/>
      <c r="C4538" s="100"/>
    </row>
    <row r="4539" spans="1:3" ht="18.75" customHeight="1" x14ac:dyDescent="0.35">
      <c r="A4539" s="103"/>
      <c r="C4539" s="100"/>
    </row>
    <row r="4540" spans="1:3" ht="18.75" customHeight="1" x14ac:dyDescent="0.35">
      <c r="A4540" s="103"/>
      <c r="C4540" s="100"/>
    </row>
    <row r="4541" spans="1:3" ht="18.75" customHeight="1" x14ac:dyDescent="0.35">
      <c r="A4541" s="103"/>
      <c r="C4541" s="100"/>
    </row>
    <row r="4542" spans="1:3" ht="18.75" customHeight="1" x14ac:dyDescent="0.35">
      <c r="A4542" s="103"/>
      <c r="C4542" s="100"/>
    </row>
    <row r="4543" spans="1:3" ht="18.75" customHeight="1" x14ac:dyDescent="0.35">
      <c r="A4543" s="103"/>
      <c r="C4543" s="100"/>
    </row>
    <row r="4544" spans="1:3" ht="18.75" customHeight="1" x14ac:dyDescent="0.35">
      <c r="A4544" s="103"/>
      <c r="C4544" s="100"/>
    </row>
    <row r="4545" spans="1:3" ht="18.75" customHeight="1" x14ac:dyDescent="0.35">
      <c r="A4545" s="103"/>
      <c r="C4545" s="100"/>
    </row>
    <row r="4546" spans="1:3" ht="18.75" customHeight="1" x14ac:dyDescent="0.35">
      <c r="A4546" s="103"/>
      <c r="C4546" s="100"/>
    </row>
    <row r="4547" spans="1:3" ht="18.75" customHeight="1" x14ac:dyDescent="0.35">
      <c r="A4547" s="103"/>
      <c r="C4547" s="100"/>
    </row>
    <row r="4548" spans="1:3" ht="18.75" customHeight="1" x14ac:dyDescent="0.35">
      <c r="A4548" s="103"/>
      <c r="C4548" s="100"/>
    </row>
    <row r="4549" spans="1:3" ht="18.75" customHeight="1" x14ac:dyDescent="0.35">
      <c r="A4549" s="103"/>
      <c r="C4549" s="100"/>
    </row>
    <row r="4550" spans="1:3" ht="18.75" customHeight="1" x14ac:dyDescent="0.35">
      <c r="A4550" s="103"/>
      <c r="C4550" s="100"/>
    </row>
    <row r="4551" spans="1:3" ht="18.75" customHeight="1" x14ac:dyDescent="0.35">
      <c r="A4551" s="103"/>
      <c r="C4551" s="100"/>
    </row>
    <row r="4552" spans="1:3" ht="18.75" customHeight="1" x14ac:dyDescent="0.35">
      <c r="A4552" s="103"/>
      <c r="C4552" s="100"/>
    </row>
    <row r="4553" spans="1:3" ht="18.75" customHeight="1" x14ac:dyDescent="0.35">
      <c r="A4553" s="103"/>
      <c r="C4553" s="100"/>
    </row>
    <row r="4554" spans="1:3" ht="18.75" customHeight="1" x14ac:dyDescent="0.35">
      <c r="A4554" s="103"/>
      <c r="C4554" s="100"/>
    </row>
    <row r="4555" spans="1:3" ht="18.75" customHeight="1" x14ac:dyDescent="0.35">
      <c r="A4555" s="103"/>
      <c r="C4555" s="100"/>
    </row>
    <row r="4556" spans="1:3" ht="18.75" customHeight="1" x14ac:dyDescent="0.35">
      <c r="A4556" s="103"/>
      <c r="C4556" s="100"/>
    </row>
    <row r="4557" spans="1:3" ht="18.75" customHeight="1" x14ac:dyDescent="0.35">
      <c r="A4557" s="103"/>
      <c r="C4557" s="100"/>
    </row>
    <row r="4558" spans="1:3" ht="18.75" customHeight="1" x14ac:dyDescent="0.35">
      <c r="A4558" s="103"/>
      <c r="C4558" s="100"/>
    </row>
    <row r="4559" spans="1:3" ht="18.75" customHeight="1" x14ac:dyDescent="0.35">
      <c r="A4559" s="103"/>
      <c r="C4559" s="100"/>
    </row>
    <row r="4560" spans="1:3" ht="18.75" customHeight="1" x14ac:dyDescent="0.35">
      <c r="A4560" s="103"/>
      <c r="C4560" s="100"/>
    </row>
    <row r="4561" spans="1:3" ht="18.75" customHeight="1" x14ac:dyDescent="0.35">
      <c r="A4561" s="103"/>
      <c r="C4561" s="100"/>
    </row>
    <row r="4562" spans="1:3" ht="18.75" customHeight="1" x14ac:dyDescent="0.35">
      <c r="A4562" s="103"/>
      <c r="C4562" s="100"/>
    </row>
    <row r="4563" spans="1:3" ht="18.75" customHeight="1" x14ac:dyDescent="0.35">
      <c r="A4563" s="103"/>
      <c r="C4563" s="100"/>
    </row>
    <row r="4564" spans="1:3" ht="18.75" customHeight="1" x14ac:dyDescent="0.35">
      <c r="A4564" s="103"/>
      <c r="C4564" s="100"/>
    </row>
    <row r="4565" spans="1:3" ht="18.75" customHeight="1" x14ac:dyDescent="0.35">
      <c r="A4565" s="103"/>
      <c r="C4565" s="100"/>
    </row>
    <row r="4566" spans="1:3" ht="18.75" customHeight="1" x14ac:dyDescent="0.35">
      <c r="A4566" s="103"/>
      <c r="C4566" s="100"/>
    </row>
    <row r="4567" spans="1:3" ht="18.75" customHeight="1" x14ac:dyDescent="0.35">
      <c r="A4567" s="103"/>
      <c r="C4567" s="100"/>
    </row>
    <row r="4568" spans="1:3" ht="18.75" customHeight="1" x14ac:dyDescent="0.35">
      <c r="A4568" s="103"/>
      <c r="C4568" s="100"/>
    </row>
    <row r="4569" spans="1:3" ht="18.75" customHeight="1" x14ac:dyDescent="0.35">
      <c r="A4569" s="103"/>
      <c r="C4569" s="100"/>
    </row>
    <row r="4570" spans="1:3" ht="18.75" customHeight="1" x14ac:dyDescent="0.35">
      <c r="A4570" s="103"/>
      <c r="C4570" s="100"/>
    </row>
    <row r="4571" spans="1:3" ht="18.75" customHeight="1" x14ac:dyDescent="0.35">
      <c r="A4571" s="103"/>
      <c r="C4571" s="100"/>
    </row>
    <row r="4572" spans="1:3" ht="18.75" customHeight="1" x14ac:dyDescent="0.35">
      <c r="A4572" s="103"/>
      <c r="C4572" s="100"/>
    </row>
    <row r="4573" spans="1:3" ht="18.75" customHeight="1" x14ac:dyDescent="0.35">
      <c r="A4573" s="103"/>
      <c r="C4573" s="100"/>
    </row>
    <row r="4574" spans="1:3" ht="18.75" customHeight="1" x14ac:dyDescent="0.35">
      <c r="A4574" s="103"/>
      <c r="C4574" s="100"/>
    </row>
    <row r="4575" spans="1:3" ht="18.75" customHeight="1" x14ac:dyDescent="0.35">
      <c r="A4575" s="103"/>
      <c r="C4575" s="100"/>
    </row>
    <row r="4576" spans="1:3" ht="18.75" customHeight="1" x14ac:dyDescent="0.35">
      <c r="A4576" s="103"/>
      <c r="C4576" s="100"/>
    </row>
    <row r="4577" spans="1:3" ht="18.75" customHeight="1" x14ac:dyDescent="0.35">
      <c r="A4577" s="103"/>
      <c r="C4577" s="100"/>
    </row>
    <row r="4578" spans="1:3" ht="18.75" customHeight="1" x14ac:dyDescent="0.35">
      <c r="A4578" s="103"/>
      <c r="C4578" s="100"/>
    </row>
    <row r="4579" spans="1:3" ht="18.75" customHeight="1" x14ac:dyDescent="0.35">
      <c r="A4579" s="103"/>
      <c r="C4579" s="100"/>
    </row>
    <row r="4580" spans="1:3" ht="18.75" customHeight="1" x14ac:dyDescent="0.35">
      <c r="A4580" s="103"/>
      <c r="C4580" s="100"/>
    </row>
    <row r="4581" spans="1:3" ht="18.75" customHeight="1" x14ac:dyDescent="0.35">
      <c r="A4581" s="103"/>
      <c r="C4581" s="100"/>
    </row>
    <row r="4582" spans="1:3" ht="18.75" customHeight="1" x14ac:dyDescent="0.35">
      <c r="A4582" s="103"/>
      <c r="C4582" s="100"/>
    </row>
    <row r="4583" spans="1:3" ht="18.75" customHeight="1" x14ac:dyDescent="0.35">
      <c r="A4583" s="103"/>
      <c r="C4583" s="100"/>
    </row>
    <row r="4584" spans="1:3" ht="18.75" customHeight="1" x14ac:dyDescent="0.35">
      <c r="A4584" s="103"/>
      <c r="C4584" s="100"/>
    </row>
    <row r="4585" spans="1:3" ht="18.75" customHeight="1" x14ac:dyDescent="0.35">
      <c r="A4585" s="103"/>
      <c r="C4585" s="100"/>
    </row>
    <row r="4586" spans="1:3" ht="18.75" customHeight="1" x14ac:dyDescent="0.35">
      <c r="A4586" s="103"/>
      <c r="C4586" s="100"/>
    </row>
    <row r="4587" spans="1:3" ht="18.75" customHeight="1" x14ac:dyDescent="0.35">
      <c r="A4587" s="103"/>
      <c r="C4587" s="100"/>
    </row>
    <row r="4588" spans="1:3" ht="18.75" customHeight="1" x14ac:dyDescent="0.35">
      <c r="A4588" s="103"/>
      <c r="C4588" s="100"/>
    </row>
    <row r="4589" spans="1:3" ht="18.75" customHeight="1" x14ac:dyDescent="0.35">
      <c r="A4589" s="103"/>
      <c r="C4589" s="100"/>
    </row>
    <row r="4590" spans="1:3" ht="18.75" customHeight="1" x14ac:dyDescent="0.35">
      <c r="A4590" s="103"/>
      <c r="C4590" s="100"/>
    </row>
    <row r="4591" spans="1:3" ht="18.75" customHeight="1" x14ac:dyDescent="0.35">
      <c r="A4591" s="103"/>
      <c r="C4591" s="100"/>
    </row>
    <row r="4592" spans="1:3" ht="18.75" customHeight="1" x14ac:dyDescent="0.35">
      <c r="A4592" s="103"/>
      <c r="C4592" s="100"/>
    </row>
    <row r="4593" spans="1:3" ht="18.75" customHeight="1" x14ac:dyDescent="0.35">
      <c r="A4593" s="103"/>
      <c r="C4593" s="100"/>
    </row>
    <row r="4594" spans="1:3" ht="18.75" customHeight="1" x14ac:dyDescent="0.35">
      <c r="A4594" s="103"/>
      <c r="C4594" s="100"/>
    </row>
    <row r="4595" spans="1:3" ht="18.75" customHeight="1" x14ac:dyDescent="0.35">
      <c r="A4595" s="103"/>
      <c r="C4595" s="100"/>
    </row>
    <row r="4596" spans="1:3" ht="18.75" customHeight="1" x14ac:dyDescent="0.35">
      <c r="A4596" s="103"/>
      <c r="C4596" s="100"/>
    </row>
    <row r="4597" spans="1:3" ht="18.75" customHeight="1" x14ac:dyDescent="0.35">
      <c r="A4597" s="103"/>
      <c r="C4597" s="100"/>
    </row>
    <row r="4598" spans="1:3" ht="18.75" customHeight="1" x14ac:dyDescent="0.35">
      <c r="A4598" s="103"/>
      <c r="C4598" s="100"/>
    </row>
    <row r="4599" spans="1:3" ht="18.75" customHeight="1" x14ac:dyDescent="0.35">
      <c r="A4599" s="103"/>
      <c r="C4599" s="100"/>
    </row>
    <row r="4600" spans="1:3" ht="18.75" customHeight="1" x14ac:dyDescent="0.35">
      <c r="A4600" s="103"/>
      <c r="C4600" s="100"/>
    </row>
    <row r="4601" spans="1:3" ht="18.75" customHeight="1" x14ac:dyDescent="0.35">
      <c r="A4601" s="103"/>
      <c r="C4601" s="100"/>
    </row>
    <row r="4602" spans="1:3" ht="18.75" customHeight="1" x14ac:dyDescent="0.35">
      <c r="A4602" s="103"/>
      <c r="C4602" s="100"/>
    </row>
    <row r="4603" spans="1:3" ht="18.75" customHeight="1" x14ac:dyDescent="0.35">
      <c r="A4603" s="103"/>
      <c r="C4603" s="100"/>
    </row>
    <row r="4604" spans="1:3" ht="18.75" customHeight="1" x14ac:dyDescent="0.35">
      <c r="A4604" s="103"/>
      <c r="C4604" s="100"/>
    </row>
    <row r="4605" spans="1:3" ht="18.75" customHeight="1" x14ac:dyDescent="0.35">
      <c r="A4605" s="103"/>
      <c r="C4605" s="100"/>
    </row>
    <row r="4606" spans="1:3" ht="18.75" customHeight="1" x14ac:dyDescent="0.35">
      <c r="A4606" s="103"/>
      <c r="C4606" s="100"/>
    </row>
    <row r="4607" spans="1:3" ht="18.75" customHeight="1" x14ac:dyDescent="0.35">
      <c r="A4607" s="103"/>
      <c r="C4607" s="100"/>
    </row>
    <row r="4608" spans="1:3" ht="18.75" customHeight="1" x14ac:dyDescent="0.35">
      <c r="A4608" s="103"/>
      <c r="C4608" s="100"/>
    </row>
    <row r="4609" spans="1:3" ht="18.75" customHeight="1" x14ac:dyDescent="0.35">
      <c r="A4609" s="103"/>
      <c r="C4609" s="100"/>
    </row>
    <row r="4610" spans="1:3" ht="18.75" customHeight="1" x14ac:dyDescent="0.35">
      <c r="A4610" s="103"/>
      <c r="C4610" s="100"/>
    </row>
    <row r="4611" spans="1:3" ht="18.75" customHeight="1" x14ac:dyDescent="0.35">
      <c r="A4611" s="103"/>
      <c r="C4611" s="100"/>
    </row>
    <row r="4612" spans="1:3" ht="18.75" customHeight="1" x14ac:dyDescent="0.35">
      <c r="A4612" s="103"/>
      <c r="C4612" s="100"/>
    </row>
    <row r="4613" spans="1:3" ht="18.75" customHeight="1" x14ac:dyDescent="0.35">
      <c r="A4613" s="103"/>
      <c r="C4613" s="100"/>
    </row>
    <row r="4614" spans="1:3" ht="18.75" customHeight="1" x14ac:dyDescent="0.35">
      <c r="A4614" s="103"/>
      <c r="C4614" s="100"/>
    </row>
    <row r="4615" spans="1:3" ht="18.75" customHeight="1" x14ac:dyDescent="0.35">
      <c r="A4615" s="103"/>
      <c r="C4615" s="100"/>
    </row>
    <row r="4616" spans="1:3" ht="18.75" customHeight="1" x14ac:dyDescent="0.35">
      <c r="A4616" s="103"/>
      <c r="C4616" s="100"/>
    </row>
    <row r="4617" spans="1:3" ht="18.75" customHeight="1" x14ac:dyDescent="0.35">
      <c r="A4617" s="103"/>
      <c r="C4617" s="100"/>
    </row>
    <row r="4618" spans="1:3" ht="18.75" customHeight="1" x14ac:dyDescent="0.35">
      <c r="A4618" s="103"/>
      <c r="C4618" s="100"/>
    </row>
    <row r="4619" spans="1:3" ht="18.75" customHeight="1" x14ac:dyDescent="0.35">
      <c r="A4619" s="103"/>
      <c r="C4619" s="100"/>
    </row>
    <row r="4620" spans="1:3" ht="18.75" customHeight="1" x14ac:dyDescent="0.35">
      <c r="A4620" s="103"/>
      <c r="C4620" s="100"/>
    </row>
    <row r="4621" spans="1:3" ht="18.75" customHeight="1" x14ac:dyDescent="0.35">
      <c r="A4621" s="103"/>
      <c r="C4621" s="100"/>
    </row>
    <row r="4622" spans="1:3" ht="18.75" customHeight="1" x14ac:dyDescent="0.35">
      <c r="A4622" s="103"/>
      <c r="C4622" s="100"/>
    </row>
    <row r="4623" spans="1:3" ht="18.75" customHeight="1" x14ac:dyDescent="0.35">
      <c r="A4623" s="103"/>
      <c r="C4623" s="100"/>
    </row>
    <row r="4624" spans="1:3" ht="18.75" customHeight="1" x14ac:dyDescent="0.35">
      <c r="A4624" s="103"/>
      <c r="C4624" s="100"/>
    </row>
    <row r="4625" spans="1:3" ht="18.75" customHeight="1" x14ac:dyDescent="0.35">
      <c r="A4625" s="103"/>
      <c r="C4625" s="100"/>
    </row>
    <row r="4626" spans="1:3" ht="18.75" customHeight="1" x14ac:dyDescent="0.35">
      <c r="A4626" s="103"/>
      <c r="C4626" s="100"/>
    </row>
    <row r="4627" spans="1:3" ht="18.75" customHeight="1" x14ac:dyDescent="0.35">
      <c r="A4627" s="103"/>
      <c r="C4627" s="100"/>
    </row>
    <row r="4628" spans="1:3" ht="18.75" customHeight="1" x14ac:dyDescent="0.35">
      <c r="A4628" s="103"/>
      <c r="C4628" s="100"/>
    </row>
    <row r="4629" spans="1:3" ht="18.75" customHeight="1" x14ac:dyDescent="0.35">
      <c r="A4629" s="103"/>
      <c r="C4629" s="100"/>
    </row>
    <row r="4630" spans="1:3" ht="18.75" customHeight="1" x14ac:dyDescent="0.35">
      <c r="A4630" s="103"/>
      <c r="C4630" s="100"/>
    </row>
    <row r="4631" spans="1:3" ht="18.75" customHeight="1" x14ac:dyDescent="0.35">
      <c r="A4631" s="103"/>
      <c r="C4631" s="100"/>
    </row>
    <row r="4632" spans="1:3" ht="18.75" customHeight="1" x14ac:dyDescent="0.35">
      <c r="A4632" s="103"/>
      <c r="C4632" s="100"/>
    </row>
    <row r="4633" spans="1:3" ht="18.75" customHeight="1" x14ac:dyDescent="0.35">
      <c r="A4633" s="103"/>
      <c r="C4633" s="100"/>
    </row>
    <row r="4634" spans="1:3" ht="18.75" customHeight="1" x14ac:dyDescent="0.35">
      <c r="A4634" s="103"/>
      <c r="C4634" s="100"/>
    </row>
    <row r="4635" spans="1:3" ht="18.75" customHeight="1" x14ac:dyDescent="0.35">
      <c r="A4635" s="103"/>
      <c r="C4635" s="100"/>
    </row>
    <row r="4636" spans="1:3" ht="18.75" customHeight="1" x14ac:dyDescent="0.35">
      <c r="A4636" s="103"/>
      <c r="C4636" s="100"/>
    </row>
    <row r="4637" spans="1:3" ht="18.75" customHeight="1" x14ac:dyDescent="0.35">
      <c r="A4637" s="103"/>
      <c r="C4637" s="100"/>
    </row>
    <row r="4638" spans="1:3" ht="18.75" customHeight="1" x14ac:dyDescent="0.35">
      <c r="A4638" s="103"/>
      <c r="C4638" s="100"/>
    </row>
    <row r="4639" spans="1:3" ht="18.75" customHeight="1" x14ac:dyDescent="0.35">
      <c r="A4639" s="103"/>
      <c r="C4639" s="100"/>
    </row>
    <row r="4640" spans="1:3" ht="18.75" customHeight="1" x14ac:dyDescent="0.35">
      <c r="A4640" s="103"/>
      <c r="C4640" s="100"/>
    </row>
    <row r="4641" spans="1:3" ht="18.75" customHeight="1" x14ac:dyDescent="0.35">
      <c r="A4641" s="103"/>
      <c r="C4641" s="100"/>
    </row>
    <row r="4642" spans="1:3" ht="18.75" customHeight="1" x14ac:dyDescent="0.35">
      <c r="A4642" s="103"/>
      <c r="C4642" s="100"/>
    </row>
    <row r="4643" spans="1:3" ht="18.75" customHeight="1" x14ac:dyDescent="0.35">
      <c r="A4643" s="103"/>
      <c r="C4643" s="100"/>
    </row>
    <row r="4644" spans="1:3" ht="18.75" customHeight="1" x14ac:dyDescent="0.35">
      <c r="A4644" s="103"/>
      <c r="C4644" s="100"/>
    </row>
    <row r="4645" spans="1:3" ht="18.75" customHeight="1" x14ac:dyDescent="0.35">
      <c r="A4645" s="103"/>
      <c r="C4645" s="100"/>
    </row>
    <row r="4646" spans="1:3" ht="18.75" customHeight="1" x14ac:dyDescent="0.35">
      <c r="A4646" s="103"/>
      <c r="C4646" s="100"/>
    </row>
    <row r="4647" spans="1:3" ht="18.75" customHeight="1" x14ac:dyDescent="0.35">
      <c r="A4647" s="103"/>
      <c r="C4647" s="100"/>
    </row>
    <row r="4648" spans="1:3" ht="18.75" customHeight="1" x14ac:dyDescent="0.35">
      <c r="A4648" s="103"/>
      <c r="C4648" s="100"/>
    </row>
    <row r="4649" spans="1:3" ht="18.75" customHeight="1" x14ac:dyDescent="0.35">
      <c r="A4649" s="103"/>
      <c r="C4649" s="100"/>
    </row>
    <row r="4650" spans="1:3" ht="18.75" customHeight="1" x14ac:dyDescent="0.35">
      <c r="A4650" s="103"/>
      <c r="C4650" s="100"/>
    </row>
    <row r="4651" spans="1:3" ht="18.75" customHeight="1" x14ac:dyDescent="0.35">
      <c r="A4651" s="103"/>
      <c r="C4651" s="100"/>
    </row>
    <row r="4652" spans="1:3" ht="18.75" customHeight="1" x14ac:dyDescent="0.35">
      <c r="A4652" s="103"/>
      <c r="C4652" s="100"/>
    </row>
    <row r="4653" spans="1:3" ht="18.75" customHeight="1" x14ac:dyDescent="0.35">
      <c r="A4653" s="103"/>
      <c r="C4653" s="100"/>
    </row>
    <row r="4654" spans="1:3" ht="18.75" customHeight="1" x14ac:dyDescent="0.35">
      <c r="A4654" s="103"/>
      <c r="C4654" s="100"/>
    </row>
    <row r="4655" spans="1:3" ht="18.75" customHeight="1" x14ac:dyDescent="0.35">
      <c r="A4655" s="103"/>
      <c r="C4655" s="100"/>
    </row>
    <row r="4656" spans="1:3" ht="18.75" customHeight="1" x14ac:dyDescent="0.35">
      <c r="A4656" s="103"/>
      <c r="C4656" s="100"/>
    </row>
    <row r="4657" spans="1:3" ht="18.75" customHeight="1" x14ac:dyDescent="0.35">
      <c r="A4657" s="103"/>
      <c r="C4657" s="100"/>
    </row>
    <row r="4658" spans="1:3" ht="18.75" customHeight="1" x14ac:dyDescent="0.35">
      <c r="A4658" s="103"/>
      <c r="C4658" s="100"/>
    </row>
    <row r="4659" spans="1:3" ht="18.75" customHeight="1" x14ac:dyDescent="0.35">
      <c r="A4659" s="103"/>
      <c r="C4659" s="100"/>
    </row>
    <row r="4660" spans="1:3" ht="18.75" customHeight="1" x14ac:dyDescent="0.35">
      <c r="A4660" s="103"/>
      <c r="C4660" s="100"/>
    </row>
    <row r="4661" spans="1:3" ht="18.75" customHeight="1" x14ac:dyDescent="0.35">
      <c r="A4661" s="103"/>
      <c r="C4661" s="100"/>
    </row>
    <row r="4662" spans="1:3" ht="18.75" customHeight="1" x14ac:dyDescent="0.35">
      <c r="A4662" s="103"/>
      <c r="C4662" s="100"/>
    </row>
    <row r="4663" spans="1:3" ht="18.75" customHeight="1" x14ac:dyDescent="0.35">
      <c r="A4663" s="103"/>
      <c r="C4663" s="100"/>
    </row>
    <row r="4664" spans="1:3" ht="18.75" customHeight="1" x14ac:dyDescent="0.35">
      <c r="A4664" s="103"/>
      <c r="C4664" s="100"/>
    </row>
    <row r="4665" spans="1:3" ht="18.75" customHeight="1" x14ac:dyDescent="0.35">
      <c r="A4665" s="103"/>
      <c r="C4665" s="100"/>
    </row>
    <row r="4666" spans="1:3" ht="18.75" customHeight="1" x14ac:dyDescent="0.35">
      <c r="A4666" s="103"/>
      <c r="C4666" s="100"/>
    </row>
    <row r="4667" spans="1:3" ht="18.75" customHeight="1" x14ac:dyDescent="0.35">
      <c r="A4667" s="103"/>
      <c r="C4667" s="100"/>
    </row>
    <row r="4668" spans="1:3" ht="18.75" customHeight="1" x14ac:dyDescent="0.35">
      <c r="A4668" s="103"/>
      <c r="C4668" s="100"/>
    </row>
    <row r="4669" spans="1:3" ht="18.75" customHeight="1" x14ac:dyDescent="0.35">
      <c r="A4669" s="103"/>
      <c r="C4669" s="100"/>
    </row>
    <row r="4670" spans="1:3" ht="18.75" customHeight="1" x14ac:dyDescent="0.35">
      <c r="A4670" s="103"/>
      <c r="C4670" s="100"/>
    </row>
    <row r="4671" spans="1:3" ht="18.75" customHeight="1" x14ac:dyDescent="0.35">
      <c r="A4671" s="103"/>
      <c r="C4671" s="100"/>
    </row>
    <row r="4672" spans="1:3" ht="18.75" customHeight="1" x14ac:dyDescent="0.35">
      <c r="A4672" s="103"/>
      <c r="C4672" s="100"/>
    </row>
    <row r="4673" spans="1:3" ht="18.75" customHeight="1" x14ac:dyDescent="0.35">
      <c r="A4673" s="103"/>
      <c r="C4673" s="100"/>
    </row>
    <row r="4674" spans="1:3" ht="18.75" customHeight="1" x14ac:dyDescent="0.35">
      <c r="A4674" s="103"/>
      <c r="C4674" s="100"/>
    </row>
    <row r="4675" spans="1:3" ht="18.75" customHeight="1" x14ac:dyDescent="0.35">
      <c r="A4675" s="103"/>
      <c r="C4675" s="100"/>
    </row>
    <row r="4676" spans="1:3" ht="18.75" customHeight="1" x14ac:dyDescent="0.35">
      <c r="A4676" s="103"/>
      <c r="C4676" s="100"/>
    </row>
    <row r="4677" spans="1:3" ht="18.75" customHeight="1" x14ac:dyDescent="0.35">
      <c r="A4677" s="103"/>
      <c r="C4677" s="100"/>
    </row>
    <row r="4678" spans="1:3" ht="18.75" customHeight="1" x14ac:dyDescent="0.35">
      <c r="A4678" s="103"/>
      <c r="C4678" s="100"/>
    </row>
    <row r="4679" spans="1:3" ht="18.75" customHeight="1" x14ac:dyDescent="0.35">
      <c r="A4679" s="103"/>
      <c r="C4679" s="100"/>
    </row>
    <row r="4680" spans="1:3" ht="18.75" customHeight="1" x14ac:dyDescent="0.35">
      <c r="A4680" s="103"/>
      <c r="C4680" s="100"/>
    </row>
    <row r="4681" spans="1:3" ht="18.75" customHeight="1" x14ac:dyDescent="0.35">
      <c r="A4681" s="103"/>
      <c r="C4681" s="100"/>
    </row>
    <row r="4682" spans="1:3" ht="18.75" customHeight="1" x14ac:dyDescent="0.35">
      <c r="A4682" s="103"/>
      <c r="C4682" s="100"/>
    </row>
    <row r="4683" spans="1:3" ht="18.75" customHeight="1" x14ac:dyDescent="0.35">
      <c r="A4683" s="103"/>
      <c r="C4683" s="100"/>
    </row>
    <row r="4684" spans="1:3" ht="18.75" customHeight="1" x14ac:dyDescent="0.35">
      <c r="A4684" s="103"/>
      <c r="C4684" s="100"/>
    </row>
    <row r="4685" spans="1:3" ht="18.75" customHeight="1" x14ac:dyDescent="0.35">
      <c r="A4685" s="103"/>
      <c r="C4685" s="100"/>
    </row>
    <row r="4686" spans="1:3" ht="18.75" customHeight="1" x14ac:dyDescent="0.35">
      <c r="A4686" s="103"/>
      <c r="C4686" s="100"/>
    </row>
    <row r="4687" spans="1:3" ht="18.75" customHeight="1" x14ac:dyDescent="0.35">
      <c r="A4687" s="103"/>
      <c r="C4687" s="100"/>
    </row>
    <row r="4688" spans="1:3" ht="18.75" customHeight="1" x14ac:dyDescent="0.35">
      <c r="A4688" s="103"/>
      <c r="C4688" s="100"/>
    </row>
    <row r="4689" spans="1:3" ht="18.75" customHeight="1" x14ac:dyDescent="0.35">
      <c r="A4689" s="103"/>
      <c r="C4689" s="100"/>
    </row>
    <row r="4690" spans="1:3" ht="18.75" customHeight="1" x14ac:dyDescent="0.35">
      <c r="A4690" s="103"/>
      <c r="C4690" s="100"/>
    </row>
    <row r="4691" spans="1:3" ht="18.75" customHeight="1" x14ac:dyDescent="0.35">
      <c r="A4691" s="103"/>
      <c r="C4691" s="100"/>
    </row>
    <row r="4692" spans="1:3" ht="18.75" customHeight="1" x14ac:dyDescent="0.35">
      <c r="A4692" s="103"/>
      <c r="C4692" s="100"/>
    </row>
    <row r="4693" spans="1:3" ht="18.75" customHeight="1" x14ac:dyDescent="0.35">
      <c r="A4693" s="103"/>
      <c r="C4693" s="100"/>
    </row>
    <row r="4694" spans="1:3" ht="18.75" customHeight="1" x14ac:dyDescent="0.35">
      <c r="A4694" s="103"/>
      <c r="C4694" s="100"/>
    </row>
    <row r="4695" spans="1:3" ht="18.75" customHeight="1" x14ac:dyDescent="0.35">
      <c r="A4695" s="103"/>
      <c r="C4695" s="100"/>
    </row>
    <row r="4696" spans="1:3" ht="18.75" customHeight="1" x14ac:dyDescent="0.35">
      <c r="A4696" s="103"/>
      <c r="C4696" s="100"/>
    </row>
    <row r="4697" spans="1:3" ht="18.75" customHeight="1" x14ac:dyDescent="0.35">
      <c r="A4697" s="103"/>
      <c r="C4697" s="100"/>
    </row>
    <row r="4698" spans="1:3" ht="18.75" customHeight="1" x14ac:dyDescent="0.35">
      <c r="A4698" s="103"/>
      <c r="C4698" s="100"/>
    </row>
    <row r="4699" spans="1:3" ht="18.75" customHeight="1" x14ac:dyDescent="0.35">
      <c r="A4699" s="103"/>
      <c r="C4699" s="100"/>
    </row>
    <row r="4700" spans="1:3" ht="18.75" customHeight="1" x14ac:dyDescent="0.35">
      <c r="A4700" s="103"/>
      <c r="C4700" s="100"/>
    </row>
    <row r="4701" spans="1:3" ht="18.75" customHeight="1" x14ac:dyDescent="0.35">
      <c r="A4701" s="103"/>
      <c r="C4701" s="100"/>
    </row>
    <row r="4702" spans="1:3" ht="18.75" customHeight="1" x14ac:dyDescent="0.35">
      <c r="A4702" s="103"/>
      <c r="C4702" s="100"/>
    </row>
    <row r="4703" spans="1:3" ht="18.75" customHeight="1" x14ac:dyDescent="0.35">
      <c r="A4703" s="103"/>
      <c r="C4703" s="100"/>
    </row>
    <row r="4704" spans="1:3" ht="18.75" customHeight="1" x14ac:dyDescent="0.35">
      <c r="A4704" s="103"/>
      <c r="C4704" s="100"/>
    </row>
    <row r="4705" spans="1:3" ht="18.75" customHeight="1" x14ac:dyDescent="0.35">
      <c r="A4705" s="103"/>
      <c r="C4705" s="100"/>
    </row>
    <row r="4706" spans="1:3" ht="18.75" customHeight="1" x14ac:dyDescent="0.35">
      <c r="A4706" s="103"/>
      <c r="C4706" s="100"/>
    </row>
    <row r="4707" spans="1:3" ht="18.75" customHeight="1" x14ac:dyDescent="0.35">
      <c r="A4707" s="103"/>
      <c r="C4707" s="100"/>
    </row>
    <row r="4708" spans="1:3" ht="18.75" customHeight="1" x14ac:dyDescent="0.35">
      <c r="A4708" s="103"/>
      <c r="C4708" s="100"/>
    </row>
    <row r="4709" spans="1:3" ht="18.75" customHeight="1" x14ac:dyDescent="0.35">
      <c r="A4709" s="103"/>
      <c r="C4709" s="100"/>
    </row>
    <row r="4710" spans="1:3" ht="18.75" customHeight="1" x14ac:dyDescent="0.35">
      <c r="A4710" s="103"/>
      <c r="C4710" s="100"/>
    </row>
    <row r="4711" spans="1:3" ht="18.75" customHeight="1" x14ac:dyDescent="0.35">
      <c r="A4711" s="103"/>
      <c r="C4711" s="100"/>
    </row>
    <row r="4712" spans="1:3" ht="18.75" customHeight="1" x14ac:dyDescent="0.35">
      <c r="A4712" s="103"/>
      <c r="C4712" s="100"/>
    </row>
    <row r="4713" spans="1:3" ht="18.75" customHeight="1" x14ac:dyDescent="0.35">
      <c r="A4713" s="103"/>
      <c r="C4713" s="100"/>
    </row>
    <row r="4714" spans="1:3" ht="18.75" customHeight="1" x14ac:dyDescent="0.35">
      <c r="A4714" s="103"/>
      <c r="C4714" s="100"/>
    </row>
    <row r="4715" spans="1:3" ht="18.75" customHeight="1" x14ac:dyDescent="0.35">
      <c r="A4715" s="103"/>
      <c r="C4715" s="100"/>
    </row>
    <row r="4716" spans="1:3" ht="18.75" customHeight="1" x14ac:dyDescent="0.35">
      <c r="A4716" s="103"/>
      <c r="C4716" s="100"/>
    </row>
    <row r="4717" spans="1:3" ht="18.75" customHeight="1" x14ac:dyDescent="0.35">
      <c r="A4717" s="103"/>
      <c r="C4717" s="100"/>
    </row>
    <row r="4718" spans="1:3" ht="18.75" customHeight="1" x14ac:dyDescent="0.35">
      <c r="A4718" s="103"/>
      <c r="C4718" s="100"/>
    </row>
    <row r="4719" spans="1:3" ht="18.75" customHeight="1" x14ac:dyDescent="0.35">
      <c r="A4719" s="103"/>
      <c r="C4719" s="100"/>
    </row>
    <row r="4720" spans="1:3" ht="18.75" customHeight="1" x14ac:dyDescent="0.35">
      <c r="A4720" s="103"/>
      <c r="C4720" s="100"/>
    </row>
    <row r="4721" spans="1:3" ht="18.75" customHeight="1" x14ac:dyDescent="0.35">
      <c r="A4721" s="103"/>
      <c r="C4721" s="100"/>
    </row>
    <row r="4722" spans="1:3" ht="18.75" customHeight="1" x14ac:dyDescent="0.35">
      <c r="A4722" s="103"/>
      <c r="C4722" s="100"/>
    </row>
    <row r="4723" spans="1:3" ht="18.75" customHeight="1" x14ac:dyDescent="0.35">
      <c r="A4723" s="103"/>
      <c r="C4723" s="100"/>
    </row>
    <row r="4724" spans="1:3" ht="18.75" customHeight="1" x14ac:dyDescent="0.35">
      <c r="A4724" s="103"/>
      <c r="C4724" s="100"/>
    </row>
    <row r="4725" spans="1:3" ht="18.75" customHeight="1" x14ac:dyDescent="0.35">
      <c r="A4725" s="103"/>
      <c r="C4725" s="100"/>
    </row>
    <row r="4726" spans="1:3" ht="18.75" customHeight="1" x14ac:dyDescent="0.35">
      <c r="A4726" s="103"/>
      <c r="C4726" s="100"/>
    </row>
    <row r="4727" spans="1:3" ht="18.75" customHeight="1" x14ac:dyDescent="0.35">
      <c r="A4727" s="103"/>
      <c r="C4727" s="100"/>
    </row>
    <row r="4728" spans="1:3" ht="18.75" customHeight="1" x14ac:dyDescent="0.35">
      <c r="A4728" s="103"/>
      <c r="C4728" s="100"/>
    </row>
    <row r="4729" spans="1:3" ht="18.75" customHeight="1" x14ac:dyDescent="0.35">
      <c r="A4729" s="103"/>
      <c r="C4729" s="100"/>
    </row>
    <row r="4730" spans="1:3" ht="18.75" customHeight="1" x14ac:dyDescent="0.35">
      <c r="A4730" s="103"/>
      <c r="C4730" s="100"/>
    </row>
    <row r="4731" spans="1:3" ht="18.75" customHeight="1" x14ac:dyDescent="0.35">
      <c r="A4731" s="103"/>
      <c r="C4731" s="100"/>
    </row>
    <row r="4732" spans="1:3" ht="18.75" customHeight="1" x14ac:dyDescent="0.35">
      <c r="A4732" s="103"/>
      <c r="C4732" s="100"/>
    </row>
    <row r="4733" spans="1:3" ht="18.75" customHeight="1" x14ac:dyDescent="0.35">
      <c r="A4733" s="103"/>
      <c r="C4733" s="100"/>
    </row>
    <row r="4734" spans="1:3" ht="18.75" customHeight="1" x14ac:dyDescent="0.35">
      <c r="A4734" s="103"/>
      <c r="C4734" s="100"/>
    </row>
    <row r="4735" spans="1:3" ht="18.75" customHeight="1" x14ac:dyDescent="0.35">
      <c r="A4735" s="103"/>
      <c r="C4735" s="100"/>
    </row>
    <row r="4736" spans="1:3" ht="18.75" customHeight="1" x14ac:dyDescent="0.35">
      <c r="A4736" s="103"/>
      <c r="C4736" s="100"/>
    </row>
    <row r="4737" spans="1:3" ht="18.75" customHeight="1" x14ac:dyDescent="0.35">
      <c r="A4737" s="103"/>
      <c r="C4737" s="100"/>
    </row>
    <row r="4738" spans="1:3" ht="18.75" customHeight="1" x14ac:dyDescent="0.35">
      <c r="A4738" s="103"/>
      <c r="C4738" s="100"/>
    </row>
    <row r="4739" spans="1:3" ht="18.75" customHeight="1" x14ac:dyDescent="0.35">
      <c r="A4739" s="103"/>
      <c r="C4739" s="100"/>
    </row>
    <row r="4740" spans="1:3" ht="18.75" customHeight="1" x14ac:dyDescent="0.35">
      <c r="A4740" s="103"/>
      <c r="C4740" s="100"/>
    </row>
    <row r="4741" spans="1:3" ht="18.75" customHeight="1" x14ac:dyDescent="0.35">
      <c r="A4741" s="103"/>
      <c r="C4741" s="100"/>
    </row>
    <row r="4742" spans="1:3" ht="18.75" customHeight="1" x14ac:dyDescent="0.35">
      <c r="A4742" s="103"/>
      <c r="C4742" s="100"/>
    </row>
    <row r="4743" spans="1:3" ht="18.75" customHeight="1" x14ac:dyDescent="0.35">
      <c r="A4743" s="103"/>
      <c r="C4743" s="100"/>
    </row>
    <row r="4744" spans="1:3" ht="18.75" customHeight="1" x14ac:dyDescent="0.35">
      <c r="A4744" s="103"/>
      <c r="C4744" s="100"/>
    </row>
    <row r="4745" spans="1:3" ht="18.75" customHeight="1" x14ac:dyDescent="0.35">
      <c r="A4745" s="103"/>
      <c r="C4745" s="100"/>
    </row>
    <row r="4746" spans="1:3" ht="18.75" customHeight="1" x14ac:dyDescent="0.35">
      <c r="A4746" s="103"/>
      <c r="C4746" s="100"/>
    </row>
    <row r="4747" spans="1:3" ht="18.75" customHeight="1" x14ac:dyDescent="0.35">
      <c r="A4747" s="103"/>
      <c r="C4747" s="100"/>
    </row>
    <row r="4748" spans="1:3" ht="18.75" customHeight="1" x14ac:dyDescent="0.35">
      <c r="A4748" s="103"/>
      <c r="C4748" s="100"/>
    </row>
    <row r="4749" spans="1:3" ht="18.75" customHeight="1" x14ac:dyDescent="0.35">
      <c r="A4749" s="103"/>
      <c r="C4749" s="100"/>
    </row>
    <row r="4750" spans="1:3" ht="18.75" customHeight="1" x14ac:dyDescent="0.35">
      <c r="A4750" s="103"/>
      <c r="C4750" s="100"/>
    </row>
    <row r="4751" spans="1:3" ht="18.75" customHeight="1" x14ac:dyDescent="0.35">
      <c r="A4751" s="103"/>
      <c r="C4751" s="100"/>
    </row>
    <row r="4752" spans="1:3" ht="18.75" customHeight="1" x14ac:dyDescent="0.35">
      <c r="A4752" s="103"/>
      <c r="C4752" s="100"/>
    </row>
    <row r="4753" spans="1:3" ht="18.75" customHeight="1" x14ac:dyDescent="0.35">
      <c r="A4753" s="103"/>
      <c r="C4753" s="100"/>
    </row>
    <row r="4754" spans="1:3" ht="18.75" customHeight="1" x14ac:dyDescent="0.35">
      <c r="A4754" s="103"/>
      <c r="C4754" s="100"/>
    </row>
    <row r="4755" spans="1:3" ht="18.75" customHeight="1" x14ac:dyDescent="0.35">
      <c r="A4755" s="103"/>
      <c r="C4755" s="100"/>
    </row>
    <row r="4756" spans="1:3" ht="18.75" customHeight="1" x14ac:dyDescent="0.35">
      <c r="A4756" s="103"/>
      <c r="C4756" s="100"/>
    </row>
    <row r="4757" spans="1:3" ht="18.75" customHeight="1" x14ac:dyDescent="0.35">
      <c r="A4757" s="103"/>
      <c r="C4757" s="100"/>
    </row>
    <row r="4758" spans="1:3" ht="18.75" customHeight="1" x14ac:dyDescent="0.35">
      <c r="A4758" s="103"/>
      <c r="C4758" s="100"/>
    </row>
    <row r="4759" spans="1:3" ht="18.75" customHeight="1" x14ac:dyDescent="0.35">
      <c r="A4759" s="103"/>
      <c r="C4759" s="100"/>
    </row>
    <row r="4760" spans="1:3" ht="18.75" customHeight="1" x14ac:dyDescent="0.35">
      <c r="A4760" s="103"/>
      <c r="C4760" s="100"/>
    </row>
    <row r="4761" spans="1:3" ht="18.75" customHeight="1" x14ac:dyDescent="0.35">
      <c r="A4761" s="103"/>
      <c r="C4761" s="100"/>
    </row>
    <row r="4762" spans="1:3" ht="18.75" customHeight="1" x14ac:dyDescent="0.35">
      <c r="A4762" s="103"/>
      <c r="C4762" s="100"/>
    </row>
    <row r="4763" spans="1:3" ht="18.75" customHeight="1" x14ac:dyDescent="0.35">
      <c r="A4763" s="103"/>
      <c r="C4763" s="100"/>
    </row>
    <row r="4764" spans="1:3" ht="18.75" customHeight="1" x14ac:dyDescent="0.35">
      <c r="A4764" s="103"/>
      <c r="C4764" s="100"/>
    </row>
    <row r="4765" spans="1:3" ht="18.75" customHeight="1" x14ac:dyDescent="0.35">
      <c r="A4765" s="103"/>
      <c r="C4765" s="100"/>
    </row>
    <row r="4766" spans="1:3" ht="18.75" customHeight="1" x14ac:dyDescent="0.35">
      <c r="A4766" s="103"/>
      <c r="C4766" s="100"/>
    </row>
    <row r="4767" spans="1:3" ht="18.75" customHeight="1" x14ac:dyDescent="0.35">
      <c r="A4767" s="103"/>
      <c r="C4767" s="100"/>
    </row>
    <row r="4768" spans="1:3" ht="18.75" customHeight="1" x14ac:dyDescent="0.35">
      <c r="A4768" s="103"/>
      <c r="C4768" s="100"/>
    </row>
    <row r="4769" spans="1:3" ht="18.75" customHeight="1" x14ac:dyDescent="0.35">
      <c r="A4769" s="103"/>
      <c r="C4769" s="100"/>
    </row>
    <row r="4770" spans="1:3" ht="18.75" customHeight="1" x14ac:dyDescent="0.35">
      <c r="A4770" s="103"/>
      <c r="C4770" s="100"/>
    </row>
    <row r="4771" spans="1:3" ht="18.75" customHeight="1" x14ac:dyDescent="0.35">
      <c r="A4771" s="103"/>
      <c r="C4771" s="100"/>
    </row>
    <row r="4772" spans="1:3" ht="18.75" customHeight="1" x14ac:dyDescent="0.35">
      <c r="A4772" s="103"/>
      <c r="C4772" s="100"/>
    </row>
    <row r="4773" spans="1:3" ht="18.75" customHeight="1" x14ac:dyDescent="0.35">
      <c r="A4773" s="103"/>
      <c r="C4773" s="100"/>
    </row>
    <row r="4774" spans="1:3" ht="18.75" customHeight="1" x14ac:dyDescent="0.35">
      <c r="A4774" s="103"/>
      <c r="C4774" s="100"/>
    </row>
    <row r="4775" spans="1:3" ht="18.75" customHeight="1" x14ac:dyDescent="0.35">
      <c r="A4775" s="103"/>
      <c r="C4775" s="100"/>
    </row>
    <row r="4776" spans="1:3" ht="18.75" customHeight="1" x14ac:dyDescent="0.35">
      <c r="A4776" s="103"/>
      <c r="C4776" s="100"/>
    </row>
    <row r="4777" spans="1:3" ht="18.75" customHeight="1" x14ac:dyDescent="0.35">
      <c r="A4777" s="103"/>
      <c r="C4777" s="100"/>
    </row>
    <row r="4778" spans="1:3" ht="18.75" customHeight="1" x14ac:dyDescent="0.35">
      <c r="A4778" s="103"/>
      <c r="C4778" s="100"/>
    </row>
    <row r="4779" spans="1:3" ht="18.75" customHeight="1" x14ac:dyDescent="0.35">
      <c r="A4779" s="103"/>
      <c r="C4779" s="100"/>
    </row>
    <row r="4780" spans="1:3" ht="18.75" customHeight="1" x14ac:dyDescent="0.35">
      <c r="A4780" s="103"/>
      <c r="C4780" s="100"/>
    </row>
    <row r="4781" spans="1:3" ht="18.75" customHeight="1" x14ac:dyDescent="0.35">
      <c r="A4781" s="103"/>
      <c r="C4781" s="100"/>
    </row>
    <row r="4782" spans="1:3" ht="18.75" customHeight="1" x14ac:dyDescent="0.35">
      <c r="A4782" s="103"/>
      <c r="C4782" s="100"/>
    </row>
    <row r="4783" spans="1:3" ht="18.75" customHeight="1" x14ac:dyDescent="0.35">
      <c r="A4783" s="103"/>
      <c r="C4783" s="100"/>
    </row>
    <row r="4784" spans="1:3" ht="18.75" customHeight="1" x14ac:dyDescent="0.35">
      <c r="A4784" s="103"/>
      <c r="C4784" s="100"/>
    </row>
    <row r="4785" spans="1:3" ht="18.75" customHeight="1" x14ac:dyDescent="0.35">
      <c r="A4785" s="103"/>
      <c r="C4785" s="100"/>
    </row>
    <row r="4786" spans="1:3" ht="18.75" customHeight="1" x14ac:dyDescent="0.35">
      <c r="A4786" s="103"/>
      <c r="C4786" s="100"/>
    </row>
    <row r="4787" spans="1:3" ht="18.75" customHeight="1" x14ac:dyDescent="0.35">
      <c r="A4787" s="103"/>
      <c r="C4787" s="100"/>
    </row>
    <row r="4788" spans="1:3" ht="18.75" customHeight="1" x14ac:dyDescent="0.35">
      <c r="A4788" s="103"/>
      <c r="C4788" s="100"/>
    </row>
    <row r="4789" spans="1:3" ht="18.75" customHeight="1" x14ac:dyDescent="0.35">
      <c r="A4789" s="103"/>
      <c r="C4789" s="100"/>
    </row>
    <row r="4790" spans="1:3" ht="18.75" customHeight="1" x14ac:dyDescent="0.35">
      <c r="A4790" s="103"/>
      <c r="C4790" s="100"/>
    </row>
    <row r="4791" spans="1:3" ht="18.75" customHeight="1" x14ac:dyDescent="0.35">
      <c r="A4791" s="103"/>
      <c r="C4791" s="100"/>
    </row>
    <row r="4792" spans="1:3" ht="18.75" customHeight="1" x14ac:dyDescent="0.35">
      <c r="A4792" s="103"/>
      <c r="C4792" s="100"/>
    </row>
    <row r="4793" spans="1:3" ht="18.75" customHeight="1" x14ac:dyDescent="0.35">
      <c r="A4793" s="103"/>
      <c r="C4793" s="100"/>
    </row>
    <row r="4794" spans="1:3" ht="18.75" customHeight="1" x14ac:dyDescent="0.35">
      <c r="A4794" s="103"/>
      <c r="C4794" s="100"/>
    </row>
    <row r="4795" spans="1:3" ht="18.75" customHeight="1" x14ac:dyDescent="0.35">
      <c r="A4795" s="103"/>
      <c r="C4795" s="100"/>
    </row>
    <row r="4796" spans="1:3" ht="18.75" customHeight="1" x14ac:dyDescent="0.35">
      <c r="A4796" s="103"/>
      <c r="C4796" s="100"/>
    </row>
    <row r="4797" spans="1:3" ht="18.75" customHeight="1" x14ac:dyDescent="0.35">
      <c r="A4797" s="103"/>
      <c r="C4797" s="100"/>
    </row>
    <row r="4798" spans="1:3" ht="18.75" customHeight="1" x14ac:dyDescent="0.35">
      <c r="A4798" s="103"/>
      <c r="C4798" s="100"/>
    </row>
    <row r="4799" spans="1:3" ht="18.75" customHeight="1" x14ac:dyDescent="0.35">
      <c r="A4799" s="103"/>
      <c r="C4799" s="100"/>
    </row>
    <row r="4800" spans="1:3" ht="18.75" customHeight="1" x14ac:dyDescent="0.35">
      <c r="A4800" s="103"/>
      <c r="C4800" s="100"/>
    </row>
    <row r="4801" spans="1:3" ht="18.75" customHeight="1" x14ac:dyDescent="0.35">
      <c r="A4801" s="103"/>
      <c r="C4801" s="100"/>
    </row>
    <row r="4802" spans="1:3" ht="18.75" customHeight="1" x14ac:dyDescent="0.35">
      <c r="A4802" s="103"/>
      <c r="C4802" s="100"/>
    </row>
    <row r="4803" spans="1:3" ht="18.75" customHeight="1" x14ac:dyDescent="0.35">
      <c r="A4803" s="103"/>
      <c r="C4803" s="100"/>
    </row>
    <row r="4804" spans="1:3" ht="18.75" customHeight="1" x14ac:dyDescent="0.35">
      <c r="A4804" s="103"/>
      <c r="C4804" s="100"/>
    </row>
    <row r="4805" spans="1:3" ht="18.75" customHeight="1" x14ac:dyDescent="0.35">
      <c r="A4805" s="103"/>
      <c r="C4805" s="100"/>
    </row>
    <row r="4806" spans="1:3" ht="18.75" customHeight="1" x14ac:dyDescent="0.35">
      <c r="A4806" s="103"/>
      <c r="C4806" s="100"/>
    </row>
    <row r="4807" spans="1:3" ht="18.75" customHeight="1" x14ac:dyDescent="0.35">
      <c r="A4807" s="103"/>
      <c r="C4807" s="100"/>
    </row>
    <row r="4808" spans="1:3" ht="18.75" customHeight="1" x14ac:dyDescent="0.35">
      <c r="A4808" s="103"/>
      <c r="C4808" s="100"/>
    </row>
    <row r="4809" spans="1:3" ht="18.75" customHeight="1" x14ac:dyDescent="0.35">
      <c r="A4809" s="103"/>
      <c r="C4809" s="100"/>
    </row>
    <row r="4810" spans="1:3" ht="18.75" customHeight="1" x14ac:dyDescent="0.35">
      <c r="A4810" s="103"/>
      <c r="C4810" s="100"/>
    </row>
    <row r="4811" spans="1:3" ht="18.75" customHeight="1" x14ac:dyDescent="0.35">
      <c r="A4811" s="103"/>
      <c r="C4811" s="100"/>
    </row>
    <row r="4812" spans="1:3" ht="18.75" customHeight="1" x14ac:dyDescent="0.35">
      <c r="A4812" s="103"/>
      <c r="C4812" s="100"/>
    </row>
    <row r="4813" spans="1:3" ht="18.75" customHeight="1" x14ac:dyDescent="0.35">
      <c r="A4813" s="103"/>
      <c r="C4813" s="100"/>
    </row>
    <row r="4814" spans="1:3" ht="18.75" customHeight="1" x14ac:dyDescent="0.35">
      <c r="A4814" s="103"/>
      <c r="C4814" s="100"/>
    </row>
    <row r="4815" spans="1:3" ht="18.75" customHeight="1" x14ac:dyDescent="0.35">
      <c r="A4815" s="103"/>
      <c r="C4815" s="100"/>
    </row>
    <row r="4816" spans="1:3" ht="18.75" customHeight="1" x14ac:dyDescent="0.35">
      <c r="A4816" s="103"/>
      <c r="C4816" s="100"/>
    </row>
    <row r="4817" spans="1:3" ht="18.75" customHeight="1" x14ac:dyDescent="0.35">
      <c r="A4817" s="103"/>
      <c r="C4817" s="100"/>
    </row>
    <row r="4818" spans="1:3" ht="18.75" customHeight="1" x14ac:dyDescent="0.35">
      <c r="A4818" s="103"/>
      <c r="C4818" s="100"/>
    </row>
    <row r="4819" spans="1:3" ht="18.75" customHeight="1" x14ac:dyDescent="0.35">
      <c r="A4819" s="103"/>
      <c r="C4819" s="100"/>
    </row>
    <row r="4820" spans="1:3" ht="18.75" customHeight="1" x14ac:dyDescent="0.35">
      <c r="A4820" s="103"/>
      <c r="C4820" s="100"/>
    </row>
    <row r="4821" spans="1:3" ht="18.75" customHeight="1" x14ac:dyDescent="0.35">
      <c r="A4821" s="103"/>
      <c r="C4821" s="100"/>
    </row>
    <row r="4822" spans="1:3" ht="18.75" customHeight="1" x14ac:dyDescent="0.35">
      <c r="A4822" s="103"/>
      <c r="C4822" s="100"/>
    </row>
    <row r="4823" spans="1:3" ht="18.75" customHeight="1" x14ac:dyDescent="0.35">
      <c r="A4823" s="103"/>
      <c r="C4823" s="100"/>
    </row>
    <row r="4824" spans="1:3" ht="18.75" customHeight="1" x14ac:dyDescent="0.35">
      <c r="A4824" s="103"/>
      <c r="C4824" s="100"/>
    </row>
    <row r="4825" spans="1:3" ht="18.75" customHeight="1" x14ac:dyDescent="0.35">
      <c r="A4825" s="103"/>
      <c r="C4825" s="100"/>
    </row>
    <row r="4826" spans="1:3" ht="18.75" customHeight="1" x14ac:dyDescent="0.35">
      <c r="A4826" s="103"/>
      <c r="C4826" s="100"/>
    </row>
    <row r="4827" spans="1:3" ht="18.75" customHeight="1" x14ac:dyDescent="0.35">
      <c r="A4827" s="103"/>
      <c r="C4827" s="100"/>
    </row>
    <row r="4828" spans="1:3" ht="18.75" customHeight="1" x14ac:dyDescent="0.35">
      <c r="A4828" s="103"/>
      <c r="C4828" s="100"/>
    </row>
    <row r="4829" spans="1:3" ht="18.75" customHeight="1" x14ac:dyDescent="0.35">
      <c r="A4829" s="103"/>
      <c r="C4829" s="100"/>
    </row>
    <row r="4830" spans="1:3" ht="18.75" customHeight="1" x14ac:dyDescent="0.35">
      <c r="A4830" s="103"/>
      <c r="C4830" s="100"/>
    </row>
    <row r="4831" spans="1:3" ht="18.75" customHeight="1" x14ac:dyDescent="0.35">
      <c r="A4831" s="103"/>
      <c r="C4831" s="100"/>
    </row>
    <row r="4832" spans="1:3" ht="18.75" customHeight="1" x14ac:dyDescent="0.35">
      <c r="A4832" s="103"/>
      <c r="C4832" s="100"/>
    </row>
    <row r="4833" spans="1:3" ht="18.75" customHeight="1" x14ac:dyDescent="0.35">
      <c r="A4833" s="103"/>
      <c r="C4833" s="100"/>
    </row>
    <row r="4834" spans="1:3" ht="18.75" customHeight="1" x14ac:dyDescent="0.35">
      <c r="A4834" s="103"/>
      <c r="C4834" s="100"/>
    </row>
    <row r="4835" spans="1:3" ht="18.75" customHeight="1" x14ac:dyDescent="0.35">
      <c r="A4835" s="103"/>
      <c r="C4835" s="100"/>
    </row>
    <row r="4836" spans="1:3" ht="18.75" customHeight="1" x14ac:dyDescent="0.35">
      <c r="A4836" s="103"/>
      <c r="C4836" s="100"/>
    </row>
    <row r="4837" spans="1:3" ht="18.75" customHeight="1" x14ac:dyDescent="0.35">
      <c r="A4837" s="103"/>
      <c r="C4837" s="100"/>
    </row>
    <row r="4838" spans="1:3" ht="18.75" customHeight="1" x14ac:dyDescent="0.35">
      <c r="A4838" s="103"/>
      <c r="C4838" s="100"/>
    </row>
    <row r="4839" spans="1:3" ht="18.75" customHeight="1" x14ac:dyDescent="0.35">
      <c r="A4839" s="103"/>
      <c r="C4839" s="100"/>
    </row>
    <row r="4840" spans="1:3" ht="18.75" customHeight="1" x14ac:dyDescent="0.35">
      <c r="A4840" s="103"/>
      <c r="C4840" s="100"/>
    </row>
    <row r="4841" spans="1:3" ht="18.75" customHeight="1" x14ac:dyDescent="0.35">
      <c r="A4841" s="103"/>
      <c r="C4841" s="100"/>
    </row>
    <row r="4842" spans="1:3" ht="18.75" customHeight="1" x14ac:dyDescent="0.35">
      <c r="A4842" s="103"/>
      <c r="C4842" s="100"/>
    </row>
    <row r="4843" spans="1:3" ht="18.75" customHeight="1" x14ac:dyDescent="0.35">
      <c r="A4843" s="103"/>
      <c r="C4843" s="100"/>
    </row>
    <row r="4844" spans="1:3" ht="18.75" customHeight="1" x14ac:dyDescent="0.35">
      <c r="A4844" s="103"/>
      <c r="C4844" s="100"/>
    </row>
    <row r="4845" spans="1:3" ht="18.75" customHeight="1" x14ac:dyDescent="0.35">
      <c r="A4845" s="103"/>
      <c r="C4845" s="100"/>
    </row>
    <row r="4846" spans="1:3" ht="18.75" customHeight="1" x14ac:dyDescent="0.35">
      <c r="A4846" s="103"/>
      <c r="C4846" s="100"/>
    </row>
    <row r="4847" spans="1:3" ht="18.75" customHeight="1" x14ac:dyDescent="0.35">
      <c r="A4847" s="103"/>
      <c r="C4847" s="100"/>
    </row>
    <row r="4848" spans="1:3" ht="18.75" customHeight="1" x14ac:dyDescent="0.35">
      <c r="A4848" s="103"/>
      <c r="C4848" s="100"/>
    </row>
    <row r="4849" spans="1:3" ht="18.75" customHeight="1" x14ac:dyDescent="0.35">
      <c r="A4849" s="103"/>
      <c r="C4849" s="100"/>
    </row>
    <row r="4850" spans="1:3" ht="18.75" customHeight="1" x14ac:dyDescent="0.35">
      <c r="A4850" s="103"/>
      <c r="C4850" s="100"/>
    </row>
    <row r="4851" spans="1:3" ht="18.75" customHeight="1" x14ac:dyDescent="0.35">
      <c r="A4851" s="103"/>
      <c r="C4851" s="100"/>
    </row>
    <row r="4852" spans="1:3" ht="18.75" customHeight="1" x14ac:dyDescent="0.35">
      <c r="A4852" s="103"/>
      <c r="C4852" s="100"/>
    </row>
    <row r="4853" spans="1:3" ht="18.75" customHeight="1" x14ac:dyDescent="0.35">
      <c r="A4853" s="103"/>
      <c r="C4853" s="100"/>
    </row>
    <row r="4854" spans="1:3" ht="18.75" customHeight="1" x14ac:dyDescent="0.35">
      <c r="A4854" s="103"/>
      <c r="C4854" s="100"/>
    </row>
    <row r="4855" spans="1:3" ht="18.75" customHeight="1" x14ac:dyDescent="0.35">
      <c r="A4855" s="103"/>
      <c r="C4855" s="100"/>
    </row>
    <row r="4856" spans="1:3" ht="18.75" customHeight="1" x14ac:dyDescent="0.35">
      <c r="A4856" s="103"/>
      <c r="C4856" s="100"/>
    </row>
    <row r="4857" spans="1:3" ht="18.75" customHeight="1" x14ac:dyDescent="0.35">
      <c r="A4857" s="103"/>
      <c r="C4857" s="100"/>
    </row>
    <row r="4858" spans="1:3" ht="18.75" customHeight="1" x14ac:dyDescent="0.35">
      <c r="A4858" s="103"/>
      <c r="C4858" s="100"/>
    </row>
    <row r="4859" spans="1:3" ht="18.75" customHeight="1" x14ac:dyDescent="0.35">
      <c r="A4859" s="103"/>
      <c r="C4859" s="100"/>
    </row>
    <row r="4860" spans="1:3" ht="18.75" customHeight="1" x14ac:dyDescent="0.35">
      <c r="A4860" s="103"/>
      <c r="C4860" s="100"/>
    </row>
    <row r="4861" spans="1:3" ht="18.75" customHeight="1" x14ac:dyDescent="0.35">
      <c r="A4861" s="103"/>
      <c r="C4861" s="100"/>
    </row>
    <row r="4862" spans="1:3" ht="18.75" customHeight="1" x14ac:dyDescent="0.35">
      <c r="A4862" s="103"/>
      <c r="C4862" s="100"/>
    </row>
    <row r="4863" spans="1:3" ht="18.75" customHeight="1" x14ac:dyDescent="0.35">
      <c r="A4863" s="103"/>
      <c r="C4863" s="100"/>
    </row>
    <row r="4864" spans="1:3" ht="18.75" customHeight="1" x14ac:dyDescent="0.35">
      <c r="A4864" s="103"/>
      <c r="C4864" s="100"/>
    </row>
    <row r="4865" spans="1:3" ht="18.75" customHeight="1" x14ac:dyDescent="0.35">
      <c r="A4865" s="103"/>
      <c r="C4865" s="100"/>
    </row>
    <row r="4866" spans="1:3" ht="18.75" customHeight="1" x14ac:dyDescent="0.35">
      <c r="A4866" s="103"/>
      <c r="C4866" s="100"/>
    </row>
    <row r="4867" spans="1:3" ht="18.75" customHeight="1" x14ac:dyDescent="0.35">
      <c r="A4867" s="103"/>
      <c r="C4867" s="100"/>
    </row>
    <row r="4868" spans="1:3" ht="18.75" customHeight="1" x14ac:dyDescent="0.35">
      <c r="A4868" s="103"/>
      <c r="C4868" s="100"/>
    </row>
    <row r="4869" spans="1:3" ht="18.75" customHeight="1" x14ac:dyDescent="0.35">
      <c r="A4869" s="103"/>
      <c r="C4869" s="100"/>
    </row>
    <row r="4870" spans="1:3" ht="18.75" customHeight="1" x14ac:dyDescent="0.35">
      <c r="A4870" s="103"/>
      <c r="C4870" s="100"/>
    </row>
    <row r="4871" spans="1:3" ht="18.75" customHeight="1" x14ac:dyDescent="0.35">
      <c r="A4871" s="103"/>
      <c r="C4871" s="100"/>
    </row>
    <row r="4872" spans="1:3" ht="18.75" customHeight="1" x14ac:dyDescent="0.35">
      <c r="A4872" s="103"/>
      <c r="C4872" s="100"/>
    </row>
    <row r="4873" spans="1:3" ht="18.75" customHeight="1" x14ac:dyDescent="0.35">
      <c r="A4873" s="103"/>
      <c r="C4873" s="100"/>
    </row>
    <row r="4874" spans="1:3" ht="18.75" customHeight="1" x14ac:dyDescent="0.35">
      <c r="A4874" s="103"/>
      <c r="C4874" s="100"/>
    </row>
    <row r="4875" spans="1:3" ht="18.75" customHeight="1" x14ac:dyDescent="0.35">
      <c r="A4875" s="103"/>
      <c r="C4875" s="100"/>
    </row>
    <row r="4876" spans="1:3" ht="18.75" customHeight="1" x14ac:dyDescent="0.35">
      <c r="A4876" s="103"/>
      <c r="C4876" s="100"/>
    </row>
    <row r="4877" spans="1:3" ht="18.75" customHeight="1" x14ac:dyDescent="0.35">
      <c r="A4877" s="103"/>
      <c r="C4877" s="100"/>
    </row>
    <row r="4878" spans="1:3" ht="18.75" customHeight="1" x14ac:dyDescent="0.35">
      <c r="A4878" s="103"/>
      <c r="C4878" s="100"/>
    </row>
    <row r="4879" spans="1:3" ht="18.75" customHeight="1" x14ac:dyDescent="0.35">
      <c r="A4879" s="103"/>
      <c r="C4879" s="100"/>
    </row>
    <row r="4880" spans="1:3" ht="18.75" customHeight="1" x14ac:dyDescent="0.35">
      <c r="A4880" s="103"/>
      <c r="C4880" s="100"/>
    </row>
    <row r="4881" spans="1:3" ht="18.75" customHeight="1" x14ac:dyDescent="0.35">
      <c r="A4881" s="103"/>
      <c r="C4881" s="100"/>
    </row>
    <row r="4882" spans="1:3" ht="18.75" customHeight="1" x14ac:dyDescent="0.35">
      <c r="A4882" s="103"/>
      <c r="C4882" s="100"/>
    </row>
    <row r="4883" spans="1:3" ht="18.75" customHeight="1" x14ac:dyDescent="0.35">
      <c r="A4883" s="103"/>
      <c r="C4883" s="100"/>
    </row>
    <row r="4884" spans="1:3" ht="18.75" customHeight="1" x14ac:dyDescent="0.35">
      <c r="A4884" s="103"/>
      <c r="C4884" s="100"/>
    </row>
    <row r="4885" spans="1:3" ht="18.75" customHeight="1" x14ac:dyDescent="0.35">
      <c r="A4885" s="103"/>
      <c r="C4885" s="100"/>
    </row>
    <row r="4886" spans="1:3" ht="18.75" customHeight="1" x14ac:dyDescent="0.35">
      <c r="A4886" s="103"/>
      <c r="C4886" s="100"/>
    </row>
    <row r="4887" spans="1:3" ht="18.75" customHeight="1" x14ac:dyDescent="0.35">
      <c r="A4887" s="103"/>
      <c r="C4887" s="100"/>
    </row>
    <row r="4888" spans="1:3" ht="18.75" customHeight="1" x14ac:dyDescent="0.35">
      <c r="A4888" s="103"/>
      <c r="C4888" s="100"/>
    </row>
    <row r="4889" spans="1:3" ht="18.75" customHeight="1" x14ac:dyDescent="0.35">
      <c r="A4889" s="103"/>
      <c r="C4889" s="100"/>
    </row>
    <row r="4890" spans="1:3" ht="18.75" customHeight="1" x14ac:dyDescent="0.35">
      <c r="A4890" s="103"/>
      <c r="C4890" s="100"/>
    </row>
    <row r="4891" spans="1:3" ht="18.75" customHeight="1" x14ac:dyDescent="0.35">
      <c r="A4891" s="103"/>
      <c r="C4891" s="100"/>
    </row>
    <row r="4892" spans="1:3" ht="18.75" customHeight="1" x14ac:dyDescent="0.35">
      <c r="A4892" s="103"/>
      <c r="C4892" s="100"/>
    </row>
    <row r="4893" spans="1:3" ht="18.75" customHeight="1" x14ac:dyDescent="0.35">
      <c r="A4893" s="103"/>
      <c r="C4893" s="100"/>
    </row>
    <row r="4894" spans="1:3" ht="18.75" customHeight="1" x14ac:dyDescent="0.35">
      <c r="A4894" s="103"/>
      <c r="C4894" s="100"/>
    </row>
    <row r="4895" spans="1:3" ht="18.75" customHeight="1" x14ac:dyDescent="0.35">
      <c r="A4895" s="103"/>
      <c r="C4895" s="100"/>
    </row>
    <row r="4896" spans="1:3" ht="18.75" customHeight="1" x14ac:dyDescent="0.35">
      <c r="A4896" s="103"/>
      <c r="C4896" s="100"/>
    </row>
    <row r="4897" spans="1:3" ht="18.75" customHeight="1" x14ac:dyDescent="0.35">
      <c r="A4897" s="103"/>
      <c r="C4897" s="100"/>
    </row>
    <row r="4898" spans="1:3" ht="18.75" customHeight="1" x14ac:dyDescent="0.35">
      <c r="A4898" s="103"/>
      <c r="C4898" s="100"/>
    </row>
    <row r="4899" spans="1:3" ht="18.75" customHeight="1" x14ac:dyDescent="0.35">
      <c r="A4899" s="103"/>
      <c r="C4899" s="100"/>
    </row>
    <row r="4900" spans="1:3" ht="18.75" customHeight="1" x14ac:dyDescent="0.35">
      <c r="A4900" s="103"/>
      <c r="C4900" s="100"/>
    </row>
    <row r="4901" spans="1:3" ht="18.75" customHeight="1" x14ac:dyDescent="0.35">
      <c r="A4901" s="103"/>
      <c r="C4901" s="100"/>
    </row>
    <row r="4902" spans="1:3" ht="18.75" customHeight="1" x14ac:dyDescent="0.35">
      <c r="A4902" s="103"/>
      <c r="C4902" s="100"/>
    </row>
    <row r="4903" spans="1:3" ht="18.75" customHeight="1" x14ac:dyDescent="0.35">
      <c r="A4903" s="103"/>
      <c r="C4903" s="100"/>
    </row>
    <row r="4904" spans="1:3" ht="18.75" customHeight="1" x14ac:dyDescent="0.35">
      <c r="A4904" s="103"/>
      <c r="C4904" s="100"/>
    </row>
    <row r="4905" spans="1:3" ht="18.75" customHeight="1" x14ac:dyDescent="0.35">
      <c r="A4905" s="103"/>
      <c r="C4905" s="100"/>
    </row>
    <row r="4906" spans="1:3" ht="18.75" customHeight="1" x14ac:dyDescent="0.35">
      <c r="A4906" s="103"/>
      <c r="C4906" s="100"/>
    </row>
    <row r="4907" spans="1:3" ht="18.75" customHeight="1" x14ac:dyDescent="0.35">
      <c r="A4907" s="103"/>
      <c r="C4907" s="100"/>
    </row>
    <row r="4908" spans="1:3" ht="18.75" customHeight="1" x14ac:dyDescent="0.35">
      <c r="A4908" s="103"/>
      <c r="C4908" s="100"/>
    </row>
    <row r="4909" spans="1:3" ht="18.75" customHeight="1" x14ac:dyDescent="0.35">
      <c r="A4909" s="103"/>
      <c r="C4909" s="100"/>
    </row>
    <row r="4910" spans="1:3" ht="18.75" customHeight="1" x14ac:dyDescent="0.35">
      <c r="A4910" s="103"/>
      <c r="C4910" s="100"/>
    </row>
    <row r="4911" spans="1:3" ht="18.75" customHeight="1" x14ac:dyDescent="0.35">
      <c r="A4911" s="103"/>
      <c r="C4911" s="100"/>
    </row>
    <row r="4912" spans="1:3" ht="18.75" customHeight="1" x14ac:dyDescent="0.35">
      <c r="A4912" s="103"/>
      <c r="C4912" s="100"/>
    </row>
    <row r="4913" spans="1:3" ht="18.75" customHeight="1" x14ac:dyDescent="0.35">
      <c r="A4913" s="103"/>
      <c r="C4913" s="100"/>
    </row>
    <row r="4914" spans="1:3" ht="18.75" customHeight="1" x14ac:dyDescent="0.35">
      <c r="A4914" s="103"/>
      <c r="C4914" s="100"/>
    </row>
    <row r="4915" spans="1:3" ht="18.75" customHeight="1" x14ac:dyDescent="0.35">
      <c r="A4915" s="103"/>
      <c r="C4915" s="100"/>
    </row>
    <row r="4916" spans="1:3" ht="18.75" customHeight="1" x14ac:dyDescent="0.35">
      <c r="A4916" s="103"/>
      <c r="C4916" s="100"/>
    </row>
    <row r="4917" spans="1:3" ht="18.75" customHeight="1" x14ac:dyDescent="0.35">
      <c r="A4917" s="103"/>
      <c r="C4917" s="100"/>
    </row>
    <row r="4918" spans="1:3" ht="18.75" customHeight="1" x14ac:dyDescent="0.35">
      <c r="A4918" s="103"/>
      <c r="C4918" s="100"/>
    </row>
    <row r="4919" spans="1:3" ht="18.75" customHeight="1" x14ac:dyDescent="0.35">
      <c r="A4919" s="103"/>
      <c r="C4919" s="100"/>
    </row>
    <row r="4920" spans="1:3" ht="18.75" customHeight="1" x14ac:dyDescent="0.35">
      <c r="A4920" s="103"/>
      <c r="C4920" s="100"/>
    </row>
    <row r="4921" spans="1:3" ht="18.75" customHeight="1" x14ac:dyDescent="0.35">
      <c r="A4921" s="103"/>
      <c r="C4921" s="100"/>
    </row>
    <row r="4922" spans="1:3" ht="18.75" customHeight="1" x14ac:dyDescent="0.35">
      <c r="A4922" s="103"/>
      <c r="C4922" s="100"/>
    </row>
    <row r="4923" spans="1:3" ht="18.75" customHeight="1" x14ac:dyDescent="0.35">
      <c r="A4923" s="103"/>
      <c r="C4923" s="100"/>
    </row>
    <row r="4924" spans="1:3" ht="18.75" customHeight="1" x14ac:dyDescent="0.35">
      <c r="A4924" s="103"/>
      <c r="C4924" s="100"/>
    </row>
    <row r="4925" spans="1:3" ht="18.75" customHeight="1" x14ac:dyDescent="0.35">
      <c r="A4925" s="103"/>
      <c r="C4925" s="100"/>
    </row>
    <row r="4926" spans="1:3" ht="18.75" customHeight="1" x14ac:dyDescent="0.35">
      <c r="A4926" s="103"/>
      <c r="C4926" s="100"/>
    </row>
    <row r="4927" spans="1:3" ht="18.75" customHeight="1" x14ac:dyDescent="0.35">
      <c r="A4927" s="103"/>
      <c r="C4927" s="100"/>
    </row>
    <row r="4928" spans="1:3" ht="18.75" customHeight="1" x14ac:dyDescent="0.35">
      <c r="A4928" s="103"/>
      <c r="C4928" s="100"/>
    </row>
    <row r="4929" spans="1:3" ht="18.75" customHeight="1" x14ac:dyDescent="0.35">
      <c r="A4929" s="103"/>
      <c r="C4929" s="100"/>
    </row>
    <row r="4930" spans="1:3" ht="18.75" customHeight="1" x14ac:dyDescent="0.35">
      <c r="A4930" s="103"/>
      <c r="C4930" s="100"/>
    </row>
    <row r="4931" spans="1:3" ht="18.75" customHeight="1" x14ac:dyDescent="0.35">
      <c r="A4931" s="103"/>
      <c r="C4931" s="100"/>
    </row>
    <row r="4932" spans="1:3" ht="18.75" customHeight="1" x14ac:dyDescent="0.35">
      <c r="A4932" s="103"/>
      <c r="C4932" s="100"/>
    </row>
    <row r="4933" spans="1:3" ht="18.75" customHeight="1" x14ac:dyDescent="0.35">
      <c r="A4933" s="103"/>
      <c r="C4933" s="100"/>
    </row>
    <row r="4934" spans="1:3" ht="18.75" customHeight="1" x14ac:dyDescent="0.35">
      <c r="A4934" s="103"/>
      <c r="C4934" s="100"/>
    </row>
    <row r="4935" spans="1:3" ht="18.75" customHeight="1" x14ac:dyDescent="0.35">
      <c r="A4935" s="103"/>
      <c r="C4935" s="100"/>
    </row>
    <row r="4936" spans="1:3" ht="18.75" customHeight="1" x14ac:dyDescent="0.35">
      <c r="A4936" s="103"/>
      <c r="C4936" s="100"/>
    </row>
    <row r="4937" spans="1:3" ht="18.75" customHeight="1" x14ac:dyDescent="0.35">
      <c r="A4937" s="103"/>
      <c r="C4937" s="100"/>
    </row>
    <row r="4938" spans="1:3" ht="18.75" customHeight="1" x14ac:dyDescent="0.35">
      <c r="A4938" s="103"/>
      <c r="C4938" s="100"/>
    </row>
    <row r="4939" spans="1:3" ht="18.75" customHeight="1" x14ac:dyDescent="0.35">
      <c r="A4939" s="103"/>
      <c r="C4939" s="100"/>
    </row>
    <row r="4940" spans="1:3" ht="18.75" customHeight="1" x14ac:dyDescent="0.35">
      <c r="A4940" s="103"/>
      <c r="C4940" s="100"/>
    </row>
    <row r="4941" spans="1:3" ht="18.75" customHeight="1" x14ac:dyDescent="0.35">
      <c r="A4941" s="103"/>
      <c r="C4941" s="100"/>
    </row>
    <row r="4942" spans="1:3" ht="18.75" customHeight="1" x14ac:dyDescent="0.35">
      <c r="A4942" s="103"/>
      <c r="C4942" s="100"/>
    </row>
    <row r="4943" spans="1:3" ht="18.75" customHeight="1" x14ac:dyDescent="0.35">
      <c r="A4943" s="103"/>
      <c r="C4943" s="100"/>
    </row>
    <row r="4944" spans="1:3" ht="18.75" customHeight="1" x14ac:dyDescent="0.35">
      <c r="A4944" s="103"/>
      <c r="C4944" s="100"/>
    </row>
    <row r="4945" spans="1:3" ht="18.75" customHeight="1" x14ac:dyDescent="0.35">
      <c r="A4945" s="103"/>
      <c r="C4945" s="100"/>
    </row>
    <row r="4946" spans="1:3" ht="18.75" customHeight="1" x14ac:dyDescent="0.35">
      <c r="A4946" s="103"/>
      <c r="C4946" s="100"/>
    </row>
    <row r="4947" spans="1:3" ht="18.75" customHeight="1" x14ac:dyDescent="0.35">
      <c r="A4947" s="103"/>
      <c r="C4947" s="100"/>
    </row>
    <row r="4948" spans="1:3" ht="18.75" customHeight="1" x14ac:dyDescent="0.35">
      <c r="A4948" s="103"/>
      <c r="C4948" s="100"/>
    </row>
    <row r="4949" spans="1:3" ht="18.75" customHeight="1" x14ac:dyDescent="0.35">
      <c r="A4949" s="103"/>
      <c r="C4949" s="100"/>
    </row>
    <row r="4950" spans="1:3" ht="18.75" customHeight="1" x14ac:dyDescent="0.35">
      <c r="A4950" s="103"/>
      <c r="C4950" s="100"/>
    </row>
    <row r="4951" spans="1:3" ht="18.75" customHeight="1" x14ac:dyDescent="0.35">
      <c r="A4951" s="103"/>
      <c r="C4951" s="100"/>
    </row>
    <row r="4952" spans="1:3" ht="18.75" customHeight="1" x14ac:dyDescent="0.35">
      <c r="A4952" s="103"/>
      <c r="C4952" s="100"/>
    </row>
    <row r="4953" spans="1:3" ht="18.75" customHeight="1" x14ac:dyDescent="0.35">
      <c r="A4953" s="103"/>
      <c r="C4953" s="100"/>
    </row>
    <row r="4954" spans="1:3" ht="18.75" customHeight="1" x14ac:dyDescent="0.35">
      <c r="A4954" s="103"/>
      <c r="C4954" s="100"/>
    </row>
    <row r="4955" spans="1:3" ht="18.75" customHeight="1" x14ac:dyDescent="0.35">
      <c r="A4955" s="103"/>
      <c r="C4955" s="100"/>
    </row>
    <row r="4956" spans="1:3" ht="18.75" customHeight="1" x14ac:dyDescent="0.35">
      <c r="A4956" s="103"/>
      <c r="C4956" s="100"/>
    </row>
    <row r="4957" spans="1:3" ht="18.75" customHeight="1" x14ac:dyDescent="0.35">
      <c r="A4957" s="103"/>
      <c r="C4957" s="100"/>
    </row>
    <row r="4958" spans="1:3" ht="18.75" customHeight="1" x14ac:dyDescent="0.35">
      <c r="A4958" s="103"/>
      <c r="C4958" s="100"/>
    </row>
    <row r="4959" spans="1:3" ht="18.75" customHeight="1" x14ac:dyDescent="0.35">
      <c r="A4959" s="103"/>
      <c r="C4959" s="100"/>
    </row>
    <row r="4960" spans="1:3" ht="18.75" customHeight="1" x14ac:dyDescent="0.35">
      <c r="A4960" s="103"/>
      <c r="C4960" s="100"/>
    </row>
    <row r="4961" spans="1:3" ht="18.75" customHeight="1" x14ac:dyDescent="0.35">
      <c r="A4961" s="103"/>
      <c r="C4961" s="100"/>
    </row>
    <row r="4962" spans="1:3" ht="18.75" customHeight="1" x14ac:dyDescent="0.35">
      <c r="A4962" s="103"/>
      <c r="C4962" s="100"/>
    </row>
    <row r="4963" spans="1:3" ht="18.75" customHeight="1" x14ac:dyDescent="0.35">
      <c r="A4963" s="103"/>
      <c r="C4963" s="100"/>
    </row>
    <row r="4964" spans="1:3" ht="18.75" customHeight="1" x14ac:dyDescent="0.35">
      <c r="A4964" s="103"/>
      <c r="C4964" s="100"/>
    </row>
    <row r="4965" spans="1:3" ht="18.75" customHeight="1" x14ac:dyDescent="0.35">
      <c r="A4965" s="103"/>
      <c r="C4965" s="100"/>
    </row>
    <row r="4966" spans="1:3" ht="18.75" customHeight="1" x14ac:dyDescent="0.35">
      <c r="A4966" s="103"/>
      <c r="C4966" s="100"/>
    </row>
    <row r="4967" spans="1:3" ht="18.75" customHeight="1" x14ac:dyDescent="0.35">
      <c r="A4967" s="103"/>
      <c r="C4967" s="100"/>
    </row>
    <row r="4968" spans="1:3" ht="18.75" customHeight="1" x14ac:dyDescent="0.35">
      <c r="A4968" s="103"/>
      <c r="C4968" s="100"/>
    </row>
    <row r="4969" spans="1:3" ht="18.75" customHeight="1" x14ac:dyDescent="0.35">
      <c r="A4969" s="103"/>
      <c r="C4969" s="100"/>
    </row>
    <row r="4970" spans="1:3" ht="18.75" customHeight="1" x14ac:dyDescent="0.35">
      <c r="A4970" s="103"/>
      <c r="C4970" s="100"/>
    </row>
    <row r="4971" spans="1:3" ht="18.75" customHeight="1" x14ac:dyDescent="0.35">
      <c r="A4971" s="103"/>
      <c r="C4971" s="100"/>
    </row>
    <row r="4972" spans="1:3" ht="18.75" customHeight="1" x14ac:dyDescent="0.35">
      <c r="A4972" s="103"/>
      <c r="C4972" s="100"/>
    </row>
    <row r="4973" spans="1:3" ht="18.75" customHeight="1" x14ac:dyDescent="0.35">
      <c r="A4973" s="103"/>
      <c r="C4973" s="100"/>
    </row>
    <row r="4974" spans="1:3" ht="18.75" customHeight="1" x14ac:dyDescent="0.35">
      <c r="A4974" s="103"/>
      <c r="C4974" s="100"/>
    </row>
    <row r="4975" spans="1:3" ht="18.75" customHeight="1" x14ac:dyDescent="0.35">
      <c r="A4975" s="103"/>
      <c r="C4975" s="100"/>
    </row>
    <row r="4976" spans="1:3" ht="18.75" customHeight="1" x14ac:dyDescent="0.35">
      <c r="A4976" s="103"/>
      <c r="C4976" s="100"/>
    </row>
    <row r="4977" spans="1:3" ht="18.75" customHeight="1" x14ac:dyDescent="0.35">
      <c r="A4977" s="103"/>
      <c r="C4977" s="100"/>
    </row>
    <row r="4978" spans="1:3" ht="18.75" customHeight="1" x14ac:dyDescent="0.35">
      <c r="A4978" s="103"/>
      <c r="C4978" s="100"/>
    </row>
    <row r="4979" spans="1:3" ht="18.75" customHeight="1" x14ac:dyDescent="0.35">
      <c r="A4979" s="103"/>
      <c r="C4979" s="100"/>
    </row>
    <row r="4980" spans="1:3" ht="18.75" customHeight="1" x14ac:dyDescent="0.35">
      <c r="A4980" s="103"/>
      <c r="C4980" s="100"/>
    </row>
    <row r="4981" spans="1:3" ht="18.75" customHeight="1" x14ac:dyDescent="0.35">
      <c r="A4981" s="103"/>
      <c r="C4981" s="100"/>
    </row>
    <row r="4982" spans="1:3" ht="18.75" customHeight="1" x14ac:dyDescent="0.35">
      <c r="A4982" s="103"/>
      <c r="C4982" s="100"/>
    </row>
    <row r="4983" spans="1:3" ht="18.75" customHeight="1" x14ac:dyDescent="0.35">
      <c r="A4983" s="103"/>
      <c r="C4983" s="100"/>
    </row>
    <row r="4984" spans="1:3" ht="18.75" customHeight="1" x14ac:dyDescent="0.35">
      <c r="A4984" s="103"/>
      <c r="C4984" s="100"/>
    </row>
    <row r="4985" spans="1:3" ht="18.75" customHeight="1" x14ac:dyDescent="0.35">
      <c r="A4985" s="103"/>
      <c r="C4985" s="100"/>
    </row>
    <row r="4986" spans="1:3" ht="18.75" customHeight="1" x14ac:dyDescent="0.35">
      <c r="A4986" s="103"/>
      <c r="C4986" s="100"/>
    </row>
    <row r="4987" spans="1:3" ht="18.75" customHeight="1" x14ac:dyDescent="0.35">
      <c r="A4987" s="103"/>
      <c r="C4987" s="100"/>
    </row>
    <row r="4988" spans="1:3" ht="18.75" customHeight="1" x14ac:dyDescent="0.35">
      <c r="A4988" s="103"/>
      <c r="C4988" s="100"/>
    </row>
    <row r="4989" spans="1:3" ht="18.75" customHeight="1" x14ac:dyDescent="0.35">
      <c r="A4989" s="103"/>
      <c r="C4989" s="100"/>
    </row>
    <row r="4990" spans="1:3" ht="18.75" customHeight="1" x14ac:dyDescent="0.35">
      <c r="A4990" s="103"/>
      <c r="C4990" s="100"/>
    </row>
    <row r="4991" spans="1:3" ht="18.75" customHeight="1" x14ac:dyDescent="0.35">
      <c r="A4991" s="103"/>
      <c r="C4991" s="100"/>
    </row>
    <row r="4992" spans="1:3" ht="18.75" customHeight="1" x14ac:dyDescent="0.35">
      <c r="A4992" s="103"/>
      <c r="C4992" s="100"/>
    </row>
    <row r="4993" spans="1:3" ht="18.75" customHeight="1" x14ac:dyDescent="0.35">
      <c r="A4993" s="103"/>
      <c r="C4993" s="100"/>
    </row>
    <row r="4994" spans="1:3" ht="18.75" customHeight="1" x14ac:dyDescent="0.35">
      <c r="A4994" s="103"/>
      <c r="C4994" s="100"/>
    </row>
    <row r="4995" spans="1:3" ht="18.75" customHeight="1" x14ac:dyDescent="0.35">
      <c r="A4995" s="103"/>
      <c r="C4995" s="100"/>
    </row>
    <row r="4996" spans="1:3" ht="18.75" customHeight="1" x14ac:dyDescent="0.35">
      <c r="A4996" s="103"/>
      <c r="C4996" s="100"/>
    </row>
    <row r="4997" spans="1:3" ht="18.75" customHeight="1" x14ac:dyDescent="0.35">
      <c r="A4997" s="103"/>
      <c r="C4997" s="100"/>
    </row>
    <row r="4998" spans="1:3" ht="18.75" customHeight="1" x14ac:dyDescent="0.35">
      <c r="A4998" s="103"/>
      <c r="C4998" s="100"/>
    </row>
    <row r="4999" spans="1:3" ht="18.75" customHeight="1" x14ac:dyDescent="0.35">
      <c r="A4999" s="103"/>
      <c r="C4999" s="100"/>
    </row>
    <row r="5000" spans="1:3" ht="18.75" customHeight="1" x14ac:dyDescent="0.35">
      <c r="A5000" s="103"/>
      <c r="C5000" s="100"/>
    </row>
    <row r="5001" spans="1:3" ht="18.75" customHeight="1" x14ac:dyDescent="0.35">
      <c r="A5001" s="103"/>
      <c r="C5001" s="100"/>
    </row>
    <row r="5002" spans="1:3" ht="18.75" customHeight="1" x14ac:dyDescent="0.35">
      <c r="A5002" s="103"/>
      <c r="C5002" s="100"/>
    </row>
    <row r="5003" spans="1:3" ht="18.75" customHeight="1" x14ac:dyDescent="0.35">
      <c r="A5003" s="103"/>
      <c r="C5003" s="100"/>
    </row>
    <row r="5004" spans="1:3" ht="18.75" customHeight="1" x14ac:dyDescent="0.35">
      <c r="A5004" s="103"/>
      <c r="C5004" s="100"/>
    </row>
    <row r="5005" spans="1:3" ht="18.75" customHeight="1" x14ac:dyDescent="0.35">
      <c r="A5005" s="103"/>
      <c r="C5005" s="100"/>
    </row>
    <row r="5006" spans="1:3" ht="18.75" customHeight="1" x14ac:dyDescent="0.35">
      <c r="A5006" s="103"/>
      <c r="C5006" s="100"/>
    </row>
    <row r="5007" spans="1:3" ht="18.75" customHeight="1" x14ac:dyDescent="0.35">
      <c r="A5007" s="103"/>
      <c r="C5007" s="100"/>
    </row>
    <row r="5008" spans="1:3" ht="18.75" customHeight="1" x14ac:dyDescent="0.35">
      <c r="A5008" s="103"/>
      <c r="C5008" s="100"/>
    </row>
    <row r="5009" spans="1:3" ht="18.75" customHeight="1" x14ac:dyDescent="0.35">
      <c r="A5009" s="103"/>
      <c r="C5009" s="100"/>
    </row>
    <row r="5010" spans="1:3" ht="18.75" customHeight="1" x14ac:dyDescent="0.35">
      <c r="A5010" s="103"/>
      <c r="C5010" s="100"/>
    </row>
    <row r="5011" spans="1:3" ht="18.75" customHeight="1" x14ac:dyDescent="0.35">
      <c r="A5011" s="103"/>
      <c r="C5011" s="100"/>
    </row>
    <row r="5012" spans="1:3" ht="18.75" customHeight="1" x14ac:dyDescent="0.35">
      <c r="A5012" s="103"/>
      <c r="C5012" s="100"/>
    </row>
    <row r="5013" spans="1:3" ht="18.75" customHeight="1" x14ac:dyDescent="0.35">
      <c r="A5013" s="103"/>
      <c r="C5013" s="100"/>
    </row>
    <row r="5014" spans="1:3" ht="18.75" customHeight="1" x14ac:dyDescent="0.35">
      <c r="A5014" s="103"/>
      <c r="C5014" s="100"/>
    </row>
    <row r="5015" spans="1:3" ht="18.75" customHeight="1" x14ac:dyDescent="0.35">
      <c r="A5015" s="103"/>
      <c r="C5015" s="100"/>
    </row>
    <row r="5016" spans="1:3" ht="18.75" customHeight="1" x14ac:dyDescent="0.35">
      <c r="A5016" s="103"/>
      <c r="C5016" s="100"/>
    </row>
    <row r="5017" spans="1:3" ht="18.75" customHeight="1" x14ac:dyDescent="0.35">
      <c r="A5017" s="103"/>
      <c r="C5017" s="100"/>
    </row>
    <row r="5018" spans="1:3" ht="18.75" customHeight="1" x14ac:dyDescent="0.35">
      <c r="A5018" s="103"/>
      <c r="C5018" s="100"/>
    </row>
    <row r="5019" spans="1:3" ht="18.75" customHeight="1" x14ac:dyDescent="0.35">
      <c r="A5019" s="103"/>
      <c r="C5019" s="100"/>
    </row>
    <row r="5020" spans="1:3" ht="18.75" customHeight="1" x14ac:dyDescent="0.35">
      <c r="A5020" s="103"/>
      <c r="C5020" s="100"/>
    </row>
    <row r="5021" spans="1:3" ht="18.75" customHeight="1" x14ac:dyDescent="0.35">
      <c r="A5021" s="103"/>
      <c r="C5021" s="100"/>
    </row>
    <row r="5022" spans="1:3" ht="18.75" customHeight="1" x14ac:dyDescent="0.35">
      <c r="A5022" s="103"/>
      <c r="C5022" s="100"/>
    </row>
    <row r="5023" spans="1:3" ht="18.75" customHeight="1" x14ac:dyDescent="0.35">
      <c r="A5023" s="103"/>
      <c r="C5023" s="100"/>
    </row>
    <row r="5024" spans="1:3" ht="18.75" customHeight="1" x14ac:dyDescent="0.35">
      <c r="A5024" s="103"/>
      <c r="C5024" s="100"/>
    </row>
    <row r="5025" spans="1:3" ht="18.75" customHeight="1" x14ac:dyDescent="0.35">
      <c r="A5025" s="103"/>
      <c r="C5025" s="100"/>
    </row>
    <row r="5026" spans="1:3" ht="18.75" customHeight="1" x14ac:dyDescent="0.35">
      <c r="A5026" s="103"/>
      <c r="C5026" s="100"/>
    </row>
    <row r="5027" spans="1:3" ht="18.75" customHeight="1" x14ac:dyDescent="0.35">
      <c r="A5027" s="103"/>
      <c r="C5027" s="100"/>
    </row>
    <row r="5028" spans="1:3" ht="18.75" customHeight="1" x14ac:dyDescent="0.35">
      <c r="A5028" s="103"/>
      <c r="C5028" s="100"/>
    </row>
    <row r="5029" spans="1:3" ht="18.75" customHeight="1" x14ac:dyDescent="0.35">
      <c r="A5029" s="103"/>
      <c r="C5029" s="100"/>
    </row>
    <row r="5030" spans="1:3" ht="18.75" customHeight="1" x14ac:dyDescent="0.35">
      <c r="A5030" s="103"/>
      <c r="C5030" s="100"/>
    </row>
    <row r="5031" spans="1:3" ht="18.75" customHeight="1" x14ac:dyDescent="0.35">
      <c r="A5031" s="103"/>
      <c r="C5031" s="100"/>
    </row>
    <row r="5032" spans="1:3" ht="18.75" customHeight="1" x14ac:dyDescent="0.35">
      <c r="A5032" s="103"/>
      <c r="C5032" s="100"/>
    </row>
    <row r="5033" spans="1:3" ht="18.75" customHeight="1" x14ac:dyDescent="0.35">
      <c r="A5033" s="103"/>
      <c r="C5033" s="100"/>
    </row>
    <row r="5034" spans="1:3" ht="18.75" customHeight="1" x14ac:dyDescent="0.35">
      <c r="A5034" s="103"/>
      <c r="C5034" s="100"/>
    </row>
    <row r="5035" spans="1:3" ht="18.75" customHeight="1" x14ac:dyDescent="0.35">
      <c r="A5035" s="103"/>
      <c r="C5035" s="100"/>
    </row>
    <row r="5036" spans="1:3" ht="18.75" customHeight="1" x14ac:dyDescent="0.35">
      <c r="A5036" s="103"/>
      <c r="C5036" s="100"/>
    </row>
    <row r="5037" spans="1:3" ht="18.75" customHeight="1" x14ac:dyDescent="0.35">
      <c r="A5037" s="103"/>
      <c r="C5037" s="100"/>
    </row>
    <row r="5038" spans="1:3" ht="18.75" customHeight="1" x14ac:dyDescent="0.35">
      <c r="A5038" s="103"/>
      <c r="C5038" s="100"/>
    </row>
    <row r="5039" spans="1:3" ht="18.75" customHeight="1" x14ac:dyDescent="0.35">
      <c r="A5039" s="103"/>
      <c r="C5039" s="100"/>
    </row>
    <row r="5040" spans="1:3" ht="18.75" customHeight="1" x14ac:dyDescent="0.35">
      <c r="A5040" s="103"/>
      <c r="C5040" s="100"/>
    </row>
    <row r="5041" spans="1:3" ht="18.75" customHeight="1" x14ac:dyDescent="0.35">
      <c r="A5041" s="103"/>
      <c r="C5041" s="100"/>
    </row>
    <row r="5042" spans="1:3" ht="18.75" customHeight="1" x14ac:dyDescent="0.35">
      <c r="A5042" s="103"/>
      <c r="C5042" s="100"/>
    </row>
    <row r="5043" spans="1:3" ht="18.75" customHeight="1" x14ac:dyDescent="0.35">
      <c r="A5043" s="103"/>
      <c r="C5043" s="100"/>
    </row>
    <row r="5044" spans="1:3" ht="18.75" customHeight="1" x14ac:dyDescent="0.35">
      <c r="A5044" s="103"/>
      <c r="C5044" s="100"/>
    </row>
    <row r="5045" spans="1:3" ht="18.75" customHeight="1" x14ac:dyDescent="0.35">
      <c r="A5045" s="103"/>
      <c r="C5045" s="100"/>
    </row>
    <row r="5046" spans="1:3" ht="18.75" customHeight="1" x14ac:dyDescent="0.35">
      <c r="A5046" s="103"/>
      <c r="C5046" s="100"/>
    </row>
    <row r="5047" spans="1:3" ht="18.75" customHeight="1" x14ac:dyDescent="0.35">
      <c r="A5047" s="103"/>
      <c r="C5047" s="100"/>
    </row>
    <row r="5048" spans="1:3" ht="18.75" customHeight="1" x14ac:dyDescent="0.35">
      <c r="A5048" s="103"/>
      <c r="C5048" s="100"/>
    </row>
    <row r="5049" spans="1:3" ht="18.75" customHeight="1" x14ac:dyDescent="0.35">
      <c r="A5049" s="103"/>
      <c r="C5049" s="100"/>
    </row>
    <row r="5050" spans="1:3" ht="18.75" customHeight="1" x14ac:dyDescent="0.35">
      <c r="A5050" s="103"/>
      <c r="C5050" s="100"/>
    </row>
    <row r="5051" spans="1:3" ht="18.75" customHeight="1" x14ac:dyDescent="0.35">
      <c r="A5051" s="103"/>
      <c r="C5051" s="100"/>
    </row>
    <row r="5052" spans="1:3" ht="18.75" customHeight="1" x14ac:dyDescent="0.35">
      <c r="A5052" s="103"/>
      <c r="C5052" s="100"/>
    </row>
    <row r="5053" spans="1:3" ht="18.75" customHeight="1" x14ac:dyDescent="0.35">
      <c r="A5053" s="103"/>
      <c r="C5053" s="100"/>
    </row>
    <row r="5054" spans="1:3" ht="18.75" customHeight="1" x14ac:dyDescent="0.35">
      <c r="A5054" s="103"/>
      <c r="C5054" s="100"/>
    </row>
    <row r="5055" spans="1:3" ht="18.75" customHeight="1" x14ac:dyDescent="0.35">
      <c r="A5055" s="103"/>
      <c r="C5055" s="100"/>
    </row>
    <row r="5056" spans="1:3" ht="18.75" customHeight="1" x14ac:dyDescent="0.35">
      <c r="A5056" s="103"/>
      <c r="C5056" s="100"/>
    </row>
    <row r="5057" spans="1:3" ht="18.75" customHeight="1" x14ac:dyDescent="0.35">
      <c r="A5057" s="103"/>
      <c r="C5057" s="100"/>
    </row>
    <row r="5058" spans="1:3" ht="18.75" customHeight="1" x14ac:dyDescent="0.35">
      <c r="A5058" s="103"/>
      <c r="C5058" s="100"/>
    </row>
    <row r="5059" spans="1:3" ht="18.75" customHeight="1" x14ac:dyDescent="0.35">
      <c r="A5059" s="103"/>
      <c r="C5059" s="100"/>
    </row>
    <row r="5060" spans="1:3" ht="18.75" customHeight="1" x14ac:dyDescent="0.35">
      <c r="A5060" s="103"/>
      <c r="C5060" s="100"/>
    </row>
    <row r="5061" spans="1:3" ht="18.75" customHeight="1" x14ac:dyDescent="0.35">
      <c r="A5061" s="103"/>
      <c r="C5061" s="100"/>
    </row>
    <row r="5062" spans="1:3" ht="18.75" customHeight="1" x14ac:dyDescent="0.35">
      <c r="A5062" s="103"/>
      <c r="C5062" s="100"/>
    </row>
    <row r="5063" spans="1:3" ht="18.75" customHeight="1" x14ac:dyDescent="0.35">
      <c r="A5063" s="103"/>
      <c r="C5063" s="100"/>
    </row>
    <row r="5064" spans="1:3" ht="18.75" customHeight="1" x14ac:dyDescent="0.35">
      <c r="A5064" s="103"/>
      <c r="C5064" s="100"/>
    </row>
    <row r="5065" spans="1:3" ht="18.75" customHeight="1" x14ac:dyDescent="0.35">
      <c r="A5065" s="103"/>
      <c r="C5065" s="100"/>
    </row>
    <row r="5066" spans="1:3" ht="18.75" customHeight="1" x14ac:dyDescent="0.35">
      <c r="A5066" s="103"/>
      <c r="C5066" s="100"/>
    </row>
    <row r="5067" spans="1:3" ht="18.75" customHeight="1" x14ac:dyDescent="0.35">
      <c r="A5067" s="103"/>
      <c r="C5067" s="100"/>
    </row>
    <row r="5068" spans="1:3" ht="18.75" customHeight="1" x14ac:dyDescent="0.35">
      <c r="A5068" s="103"/>
      <c r="C5068" s="100"/>
    </row>
    <row r="5069" spans="1:3" ht="18.75" customHeight="1" x14ac:dyDescent="0.35">
      <c r="A5069" s="103"/>
      <c r="C5069" s="100"/>
    </row>
    <row r="5070" spans="1:3" ht="18.75" customHeight="1" x14ac:dyDescent="0.35">
      <c r="A5070" s="103"/>
      <c r="C5070" s="100"/>
    </row>
    <row r="5071" spans="1:3" ht="18.75" customHeight="1" x14ac:dyDescent="0.35">
      <c r="A5071" s="103"/>
      <c r="C5071" s="100"/>
    </row>
    <row r="5072" spans="1:3" ht="18.75" customHeight="1" x14ac:dyDescent="0.35">
      <c r="A5072" s="103"/>
      <c r="C5072" s="100"/>
    </row>
    <row r="5073" spans="1:3" ht="18.75" customHeight="1" x14ac:dyDescent="0.35">
      <c r="A5073" s="103"/>
      <c r="C5073" s="100"/>
    </row>
    <row r="5074" spans="1:3" ht="18.75" customHeight="1" x14ac:dyDescent="0.35">
      <c r="A5074" s="103"/>
      <c r="C5074" s="100"/>
    </row>
    <row r="5075" spans="1:3" ht="18.75" customHeight="1" x14ac:dyDescent="0.35">
      <c r="A5075" s="103"/>
      <c r="C5075" s="100"/>
    </row>
    <row r="5076" spans="1:3" ht="18.75" customHeight="1" x14ac:dyDescent="0.35">
      <c r="A5076" s="103"/>
      <c r="C5076" s="100"/>
    </row>
    <row r="5077" spans="1:3" ht="18.75" customHeight="1" x14ac:dyDescent="0.35">
      <c r="A5077" s="103"/>
      <c r="C5077" s="100"/>
    </row>
    <row r="5078" spans="1:3" ht="18.75" customHeight="1" x14ac:dyDescent="0.35">
      <c r="A5078" s="103"/>
      <c r="C5078" s="100"/>
    </row>
    <row r="5079" spans="1:3" ht="18.75" customHeight="1" x14ac:dyDescent="0.35">
      <c r="A5079" s="103"/>
      <c r="C5079" s="100"/>
    </row>
    <row r="5080" spans="1:3" ht="18.75" customHeight="1" x14ac:dyDescent="0.35">
      <c r="A5080" s="103"/>
      <c r="C5080" s="100"/>
    </row>
    <row r="5081" spans="1:3" ht="18.75" customHeight="1" x14ac:dyDescent="0.35">
      <c r="A5081" s="103"/>
      <c r="C5081" s="100"/>
    </row>
    <row r="5082" spans="1:3" ht="18.75" customHeight="1" x14ac:dyDescent="0.35">
      <c r="A5082" s="103"/>
      <c r="C5082" s="100"/>
    </row>
    <row r="5083" spans="1:3" ht="18.75" customHeight="1" x14ac:dyDescent="0.35">
      <c r="A5083" s="103"/>
      <c r="C5083" s="100"/>
    </row>
    <row r="5084" spans="1:3" ht="18.75" customHeight="1" x14ac:dyDescent="0.35">
      <c r="A5084" s="103"/>
      <c r="C5084" s="100"/>
    </row>
    <row r="5085" spans="1:3" ht="18.75" customHeight="1" x14ac:dyDescent="0.35">
      <c r="A5085" s="103"/>
      <c r="C5085" s="100"/>
    </row>
    <row r="5086" spans="1:3" ht="18.75" customHeight="1" x14ac:dyDescent="0.35">
      <c r="A5086" s="103"/>
      <c r="C5086" s="100"/>
    </row>
    <row r="5087" spans="1:3" ht="18.75" customHeight="1" x14ac:dyDescent="0.35">
      <c r="A5087" s="103"/>
      <c r="C5087" s="100"/>
    </row>
    <row r="5088" spans="1:3" ht="18.75" customHeight="1" x14ac:dyDescent="0.35">
      <c r="A5088" s="103"/>
      <c r="C5088" s="100"/>
    </row>
    <row r="5089" spans="1:3" ht="18.75" customHeight="1" x14ac:dyDescent="0.35">
      <c r="A5089" s="103"/>
      <c r="C5089" s="100"/>
    </row>
    <row r="5090" spans="1:3" ht="18.75" customHeight="1" x14ac:dyDescent="0.35">
      <c r="A5090" s="103"/>
      <c r="C5090" s="100"/>
    </row>
    <row r="5091" spans="1:3" ht="18.75" customHeight="1" x14ac:dyDescent="0.35">
      <c r="A5091" s="103"/>
      <c r="C5091" s="100"/>
    </row>
    <row r="5092" spans="1:3" ht="18.75" customHeight="1" x14ac:dyDescent="0.35">
      <c r="A5092" s="103"/>
      <c r="C5092" s="100"/>
    </row>
    <row r="5093" spans="1:3" ht="18.75" customHeight="1" x14ac:dyDescent="0.35">
      <c r="A5093" s="103"/>
      <c r="C5093" s="100"/>
    </row>
    <row r="5094" spans="1:3" ht="18.75" customHeight="1" x14ac:dyDescent="0.35">
      <c r="A5094" s="103"/>
      <c r="C5094" s="100"/>
    </row>
    <row r="5095" spans="1:3" ht="18.75" customHeight="1" x14ac:dyDescent="0.35">
      <c r="A5095" s="103"/>
      <c r="C5095" s="100"/>
    </row>
    <row r="5096" spans="1:3" ht="18.75" customHeight="1" x14ac:dyDescent="0.35">
      <c r="A5096" s="103"/>
      <c r="C5096" s="100"/>
    </row>
    <row r="5097" spans="1:3" ht="18.75" customHeight="1" x14ac:dyDescent="0.35">
      <c r="A5097" s="103"/>
      <c r="C5097" s="100"/>
    </row>
    <row r="5098" spans="1:3" ht="18.75" customHeight="1" x14ac:dyDescent="0.35">
      <c r="A5098" s="103"/>
      <c r="C5098" s="100"/>
    </row>
    <row r="5099" spans="1:3" ht="18.75" customHeight="1" x14ac:dyDescent="0.35">
      <c r="A5099" s="103"/>
      <c r="C5099" s="100"/>
    </row>
    <row r="5100" spans="1:3" ht="18.75" customHeight="1" x14ac:dyDescent="0.35">
      <c r="A5100" s="103"/>
      <c r="C5100" s="100"/>
    </row>
    <row r="5101" spans="1:3" ht="18.75" customHeight="1" x14ac:dyDescent="0.35">
      <c r="A5101" s="103"/>
      <c r="C5101" s="100"/>
    </row>
    <row r="5102" spans="1:3" ht="18.75" customHeight="1" x14ac:dyDescent="0.35">
      <c r="A5102" s="103"/>
      <c r="C5102" s="100"/>
    </row>
    <row r="5103" spans="1:3" ht="18.75" customHeight="1" x14ac:dyDescent="0.35">
      <c r="A5103" s="103"/>
      <c r="C5103" s="100"/>
    </row>
    <row r="5104" spans="1:3" ht="18.75" customHeight="1" x14ac:dyDescent="0.35">
      <c r="A5104" s="103"/>
      <c r="C5104" s="100"/>
    </row>
    <row r="5105" spans="1:3" ht="18.75" customHeight="1" x14ac:dyDescent="0.35">
      <c r="A5105" s="103"/>
      <c r="C5105" s="100"/>
    </row>
    <row r="5106" spans="1:3" ht="18.75" customHeight="1" x14ac:dyDescent="0.35">
      <c r="A5106" s="103"/>
      <c r="C5106" s="100"/>
    </row>
    <row r="5107" spans="1:3" ht="18.75" customHeight="1" x14ac:dyDescent="0.35">
      <c r="A5107" s="103"/>
      <c r="C5107" s="100"/>
    </row>
    <row r="5108" spans="1:3" ht="18.75" customHeight="1" x14ac:dyDescent="0.35">
      <c r="A5108" s="103"/>
      <c r="C5108" s="100"/>
    </row>
    <row r="5109" spans="1:3" ht="18.75" customHeight="1" x14ac:dyDescent="0.35">
      <c r="A5109" s="103"/>
      <c r="C5109" s="100"/>
    </row>
    <row r="5110" spans="1:3" ht="18.75" customHeight="1" x14ac:dyDescent="0.35">
      <c r="A5110" s="103"/>
      <c r="C5110" s="100"/>
    </row>
    <row r="5111" spans="1:3" ht="18.75" customHeight="1" x14ac:dyDescent="0.35">
      <c r="A5111" s="103"/>
      <c r="C5111" s="100"/>
    </row>
    <row r="5112" spans="1:3" ht="18.75" customHeight="1" x14ac:dyDescent="0.35">
      <c r="A5112" s="103"/>
      <c r="C5112" s="100"/>
    </row>
    <row r="5113" spans="1:3" ht="18.75" customHeight="1" x14ac:dyDescent="0.35">
      <c r="A5113" s="103"/>
      <c r="C5113" s="100"/>
    </row>
    <row r="5114" spans="1:3" ht="18.75" customHeight="1" x14ac:dyDescent="0.35">
      <c r="A5114" s="103"/>
      <c r="C5114" s="100"/>
    </row>
    <row r="5115" spans="1:3" ht="18.75" customHeight="1" x14ac:dyDescent="0.35">
      <c r="A5115" s="103"/>
      <c r="C5115" s="100"/>
    </row>
    <row r="5116" spans="1:3" ht="18.75" customHeight="1" x14ac:dyDescent="0.35">
      <c r="A5116" s="103"/>
      <c r="C5116" s="100"/>
    </row>
    <row r="5117" spans="1:3" ht="18.75" customHeight="1" x14ac:dyDescent="0.35">
      <c r="A5117" s="103"/>
      <c r="C5117" s="100"/>
    </row>
    <row r="5118" spans="1:3" ht="18.75" customHeight="1" x14ac:dyDescent="0.35">
      <c r="A5118" s="103"/>
      <c r="C5118" s="100"/>
    </row>
    <row r="5119" spans="1:3" ht="18.75" customHeight="1" x14ac:dyDescent="0.35">
      <c r="A5119" s="103"/>
      <c r="C5119" s="100"/>
    </row>
    <row r="5120" spans="1:3" ht="18.75" customHeight="1" x14ac:dyDescent="0.35">
      <c r="A5120" s="103"/>
      <c r="C5120" s="100"/>
    </row>
    <row r="5121" spans="1:3" ht="18.75" customHeight="1" x14ac:dyDescent="0.35">
      <c r="A5121" s="103"/>
      <c r="C5121" s="100"/>
    </row>
    <row r="5122" spans="1:3" ht="18.75" customHeight="1" x14ac:dyDescent="0.35">
      <c r="A5122" s="103"/>
      <c r="C5122" s="100"/>
    </row>
    <row r="5123" spans="1:3" ht="18.75" customHeight="1" x14ac:dyDescent="0.35">
      <c r="A5123" s="103"/>
      <c r="C5123" s="100"/>
    </row>
    <row r="5124" spans="1:3" ht="18.75" customHeight="1" x14ac:dyDescent="0.35">
      <c r="A5124" s="103"/>
      <c r="C5124" s="100"/>
    </row>
    <row r="5125" spans="1:3" ht="18.75" customHeight="1" x14ac:dyDescent="0.35">
      <c r="A5125" s="103"/>
      <c r="C5125" s="100"/>
    </row>
    <row r="5126" spans="1:3" ht="18.75" customHeight="1" x14ac:dyDescent="0.35">
      <c r="A5126" s="103"/>
      <c r="C5126" s="100"/>
    </row>
    <row r="5127" spans="1:3" ht="18.75" customHeight="1" x14ac:dyDescent="0.35">
      <c r="A5127" s="103"/>
      <c r="C5127" s="100"/>
    </row>
    <row r="5128" spans="1:3" ht="18.75" customHeight="1" x14ac:dyDescent="0.35">
      <c r="A5128" s="103"/>
      <c r="C5128" s="100"/>
    </row>
    <row r="5129" spans="1:3" ht="18.75" customHeight="1" x14ac:dyDescent="0.35">
      <c r="A5129" s="103"/>
      <c r="C5129" s="100"/>
    </row>
    <row r="5130" spans="1:3" ht="18.75" customHeight="1" x14ac:dyDescent="0.35">
      <c r="A5130" s="103"/>
      <c r="C5130" s="100"/>
    </row>
    <row r="5131" spans="1:3" ht="18.75" customHeight="1" x14ac:dyDescent="0.35">
      <c r="A5131" s="103"/>
      <c r="C5131" s="100"/>
    </row>
    <row r="5132" spans="1:3" ht="18.75" customHeight="1" x14ac:dyDescent="0.35">
      <c r="A5132" s="103"/>
      <c r="C5132" s="100"/>
    </row>
    <row r="5133" spans="1:3" ht="18.75" customHeight="1" x14ac:dyDescent="0.35">
      <c r="A5133" s="103"/>
      <c r="C5133" s="100"/>
    </row>
    <row r="5134" spans="1:3" ht="18.75" customHeight="1" x14ac:dyDescent="0.35">
      <c r="A5134" s="103"/>
      <c r="C5134" s="100"/>
    </row>
    <row r="5135" spans="1:3" ht="18.75" customHeight="1" x14ac:dyDescent="0.35">
      <c r="A5135" s="103"/>
      <c r="C5135" s="100"/>
    </row>
    <row r="5136" spans="1:3" ht="18.75" customHeight="1" x14ac:dyDescent="0.35">
      <c r="A5136" s="103"/>
      <c r="C5136" s="100"/>
    </row>
    <row r="5137" spans="1:3" ht="18.75" customHeight="1" x14ac:dyDescent="0.35">
      <c r="A5137" s="103"/>
      <c r="C5137" s="100"/>
    </row>
    <row r="5138" spans="1:3" ht="18.75" customHeight="1" x14ac:dyDescent="0.35">
      <c r="A5138" s="103"/>
      <c r="C5138" s="100"/>
    </row>
    <row r="5139" spans="1:3" ht="18.75" customHeight="1" x14ac:dyDescent="0.35">
      <c r="A5139" s="103"/>
      <c r="C5139" s="100"/>
    </row>
    <row r="5140" spans="1:3" ht="18.75" customHeight="1" x14ac:dyDescent="0.35">
      <c r="A5140" s="103"/>
      <c r="C5140" s="100"/>
    </row>
    <row r="5141" spans="1:3" ht="18.75" customHeight="1" x14ac:dyDescent="0.35">
      <c r="A5141" s="103"/>
      <c r="C5141" s="100"/>
    </row>
    <row r="5142" spans="1:3" ht="18.75" customHeight="1" x14ac:dyDescent="0.35">
      <c r="A5142" s="103"/>
      <c r="C5142" s="100"/>
    </row>
    <row r="5143" spans="1:3" ht="18.75" customHeight="1" x14ac:dyDescent="0.35">
      <c r="A5143" s="103"/>
      <c r="C5143" s="100"/>
    </row>
    <row r="5144" spans="1:3" ht="18.75" customHeight="1" x14ac:dyDescent="0.35">
      <c r="A5144" s="103"/>
      <c r="C5144" s="100"/>
    </row>
    <row r="5145" spans="1:3" ht="18.75" customHeight="1" x14ac:dyDescent="0.35">
      <c r="A5145" s="103"/>
      <c r="C5145" s="100"/>
    </row>
    <row r="5146" spans="1:3" ht="18.75" customHeight="1" x14ac:dyDescent="0.35">
      <c r="A5146" s="103"/>
      <c r="C5146" s="100"/>
    </row>
    <row r="5147" spans="1:3" ht="18.75" customHeight="1" x14ac:dyDescent="0.35">
      <c r="A5147" s="103"/>
      <c r="C5147" s="100"/>
    </row>
    <row r="5148" spans="1:3" ht="18.75" customHeight="1" x14ac:dyDescent="0.35">
      <c r="A5148" s="103"/>
      <c r="C5148" s="100"/>
    </row>
    <row r="5149" spans="1:3" ht="18.75" customHeight="1" x14ac:dyDescent="0.35">
      <c r="A5149" s="103"/>
      <c r="C5149" s="100"/>
    </row>
    <row r="5150" spans="1:3" ht="18.75" customHeight="1" x14ac:dyDescent="0.35">
      <c r="A5150" s="103"/>
      <c r="C5150" s="100"/>
    </row>
    <row r="5151" spans="1:3" ht="18.75" customHeight="1" x14ac:dyDescent="0.35">
      <c r="A5151" s="103"/>
      <c r="C5151" s="100"/>
    </row>
    <row r="5152" spans="1:3" ht="18.75" customHeight="1" x14ac:dyDescent="0.35">
      <c r="A5152" s="103"/>
      <c r="C5152" s="100"/>
    </row>
    <row r="5153" spans="1:3" ht="18.75" customHeight="1" x14ac:dyDescent="0.35">
      <c r="A5153" s="103"/>
      <c r="C5153" s="100"/>
    </row>
    <row r="5154" spans="1:3" ht="18.75" customHeight="1" x14ac:dyDescent="0.35">
      <c r="A5154" s="103"/>
      <c r="C5154" s="100"/>
    </row>
    <row r="5155" spans="1:3" ht="18.75" customHeight="1" x14ac:dyDescent="0.35">
      <c r="A5155" s="103"/>
      <c r="C5155" s="100"/>
    </row>
    <row r="5156" spans="1:3" ht="18.75" customHeight="1" x14ac:dyDescent="0.35">
      <c r="A5156" s="103"/>
      <c r="C5156" s="100"/>
    </row>
    <row r="5157" spans="1:3" ht="18.75" customHeight="1" x14ac:dyDescent="0.35">
      <c r="A5157" s="103"/>
      <c r="C5157" s="100"/>
    </row>
    <row r="5158" spans="1:3" ht="18.75" customHeight="1" x14ac:dyDescent="0.35">
      <c r="A5158" s="103"/>
      <c r="C5158" s="100"/>
    </row>
    <row r="5159" spans="1:3" ht="18.75" customHeight="1" x14ac:dyDescent="0.35">
      <c r="A5159" s="103"/>
      <c r="C5159" s="100"/>
    </row>
    <row r="5160" spans="1:3" ht="18.75" customHeight="1" x14ac:dyDescent="0.35">
      <c r="A5160" s="103"/>
      <c r="C5160" s="100"/>
    </row>
    <row r="5161" spans="1:3" ht="18.75" customHeight="1" x14ac:dyDescent="0.35">
      <c r="A5161" s="103"/>
      <c r="C5161" s="100"/>
    </row>
    <row r="5162" spans="1:3" ht="18.75" customHeight="1" x14ac:dyDescent="0.35">
      <c r="A5162" s="103"/>
      <c r="C5162" s="100"/>
    </row>
    <row r="5163" spans="1:3" ht="18.75" customHeight="1" x14ac:dyDescent="0.35">
      <c r="A5163" s="103"/>
      <c r="C5163" s="100"/>
    </row>
    <row r="5164" spans="1:3" ht="18.75" customHeight="1" x14ac:dyDescent="0.35">
      <c r="A5164" s="103"/>
      <c r="C5164" s="100"/>
    </row>
    <row r="5165" spans="1:3" ht="18.75" customHeight="1" x14ac:dyDescent="0.35">
      <c r="A5165" s="103"/>
      <c r="C5165" s="100"/>
    </row>
    <row r="5166" spans="1:3" ht="18.75" customHeight="1" x14ac:dyDescent="0.35">
      <c r="A5166" s="103"/>
      <c r="C5166" s="100"/>
    </row>
    <row r="5167" spans="1:3" ht="18.75" customHeight="1" x14ac:dyDescent="0.35">
      <c r="A5167" s="103"/>
      <c r="C5167" s="100"/>
    </row>
    <row r="5168" spans="1:3" ht="18.75" customHeight="1" x14ac:dyDescent="0.35">
      <c r="A5168" s="103"/>
      <c r="C5168" s="100"/>
    </row>
    <row r="5169" spans="1:3" ht="18.75" customHeight="1" x14ac:dyDescent="0.35">
      <c r="A5169" s="103"/>
      <c r="C5169" s="100"/>
    </row>
    <row r="5170" spans="1:3" ht="18.75" customHeight="1" x14ac:dyDescent="0.35">
      <c r="A5170" s="103"/>
      <c r="C5170" s="100"/>
    </row>
    <row r="5171" spans="1:3" ht="18.75" customHeight="1" x14ac:dyDescent="0.35">
      <c r="A5171" s="103"/>
      <c r="C5171" s="100"/>
    </row>
    <row r="5172" spans="1:3" ht="18.75" customHeight="1" x14ac:dyDescent="0.35">
      <c r="A5172" s="103"/>
      <c r="C5172" s="100"/>
    </row>
    <row r="5173" spans="1:3" ht="18.75" customHeight="1" x14ac:dyDescent="0.35">
      <c r="A5173" s="103"/>
      <c r="C5173" s="100"/>
    </row>
    <row r="5174" spans="1:3" ht="18.75" customHeight="1" x14ac:dyDescent="0.35">
      <c r="A5174" s="103"/>
      <c r="C5174" s="100"/>
    </row>
    <row r="5175" spans="1:3" ht="18.75" customHeight="1" x14ac:dyDescent="0.35">
      <c r="A5175" s="103"/>
      <c r="C5175" s="100"/>
    </row>
    <row r="5176" spans="1:3" ht="18.75" customHeight="1" x14ac:dyDescent="0.35">
      <c r="A5176" s="103"/>
      <c r="C5176" s="100"/>
    </row>
    <row r="5177" spans="1:3" ht="18.75" customHeight="1" x14ac:dyDescent="0.35">
      <c r="A5177" s="103"/>
      <c r="C5177" s="100"/>
    </row>
    <row r="5178" spans="1:3" ht="18.75" customHeight="1" x14ac:dyDescent="0.35">
      <c r="A5178" s="103"/>
      <c r="C5178" s="100"/>
    </row>
    <row r="5179" spans="1:3" ht="18.75" customHeight="1" x14ac:dyDescent="0.35">
      <c r="A5179" s="103"/>
      <c r="C5179" s="100"/>
    </row>
    <row r="5180" spans="1:3" ht="18.75" customHeight="1" x14ac:dyDescent="0.35">
      <c r="A5180" s="103"/>
      <c r="C5180" s="100"/>
    </row>
    <row r="5181" spans="1:3" ht="18.75" customHeight="1" x14ac:dyDescent="0.35">
      <c r="A5181" s="103"/>
      <c r="C5181" s="100"/>
    </row>
    <row r="5182" spans="1:3" ht="18.75" customHeight="1" x14ac:dyDescent="0.35">
      <c r="A5182" s="103"/>
      <c r="C5182" s="100"/>
    </row>
    <row r="5183" spans="1:3" ht="18.75" customHeight="1" x14ac:dyDescent="0.35">
      <c r="A5183" s="103"/>
      <c r="C5183" s="100"/>
    </row>
    <row r="5184" spans="1:3" ht="18.75" customHeight="1" x14ac:dyDescent="0.35">
      <c r="A5184" s="103"/>
      <c r="C5184" s="100"/>
    </row>
    <row r="5185" spans="1:3" ht="18.75" customHeight="1" x14ac:dyDescent="0.35">
      <c r="A5185" s="103"/>
      <c r="C5185" s="100"/>
    </row>
    <row r="5186" spans="1:3" ht="18.75" customHeight="1" x14ac:dyDescent="0.35">
      <c r="A5186" s="103"/>
      <c r="C5186" s="100"/>
    </row>
    <row r="5187" spans="1:3" ht="18.75" customHeight="1" x14ac:dyDescent="0.35">
      <c r="A5187" s="103"/>
      <c r="C5187" s="100"/>
    </row>
    <row r="5188" spans="1:3" ht="18.75" customHeight="1" x14ac:dyDescent="0.35">
      <c r="A5188" s="103"/>
      <c r="C5188" s="100"/>
    </row>
    <row r="5189" spans="1:3" ht="18.75" customHeight="1" x14ac:dyDescent="0.35">
      <c r="A5189" s="103"/>
      <c r="C5189" s="100"/>
    </row>
    <row r="5190" spans="1:3" ht="18.75" customHeight="1" x14ac:dyDescent="0.35">
      <c r="A5190" s="103"/>
      <c r="C5190" s="100"/>
    </row>
    <row r="5191" spans="1:3" ht="18.75" customHeight="1" x14ac:dyDescent="0.35">
      <c r="A5191" s="103"/>
      <c r="C5191" s="100"/>
    </row>
    <row r="5192" spans="1:3" ht="18.75" customHeight="1" x14ac:dyDescent="0.35">
      <c r="A5192" s="103"/>
      <c r="C5192" s="100"/>
    </row>
    <row r="5193" spans="1:3" ht="18.75" customHeight="1" x14ac:dyDescent="0.35">
      <c r="A5193" s="103"/>
      <c r="C5193" s="100"/>
    </row>
    <row r="5194" spans="1:3" ht="18.75" customHeight="1" x14ac:dyDescent="0.35">
      <c r="A5194" s="103"/>
      <c r="C5194" s="100"/>
    </row>
    <row r="5195" spans="1:3" ht="18.75" customHeight="1" x14ac:dyDescent="0.35">
      <c r="A5195" s="103"/>
      <c r="C5195" s="100"/>
    </row>
    <row r="5196" spans="1:3" ht="18.75" customHeight="1" x14ac:dyDescent="0.35">
      <c r="A5196" s="103"/>
      <c r="C5196" s="100"/>
    </row>
    <row r="5197" spans="1:3" ht="18.75" customHeight="1" x14ac:dyDescent="0.35">
      <c r="A5197" s="103"/>
      <c r="C5197" s="100"/>
    </row>
    <row r="5198" spans="1:3" ht="18.75" customHeight="1" x14ac:dyDescent="0.35">
      <c r="A5198" s="103"/>
      <c r="C5198" s="100"/>
    </row>
    <row r="5199" spans="1:3" ht="18.75" customHeight="1" x14ac:dyDescent="0.35">
      <c r="A5199" s="103"/>
      <c r="C5199" s="100"/>
    </row>
    <row r="5200" spans="1:3" ht="18.75" customHeight="1" x14ac:dyDescent="0.35">
      <c r="A5200" s="103"/>
      <c r="C5200" s="100"/>
    </row>
    <row r="5201" spans="1:3" ht="18.75" customHeight="1" x14ac:dyDescent="0.35">
      <c r="A5201" s="103"/>
      <c r="C5201" s="100"/>
    </row>
    <row r="5202" spans="1:3" ht="18.75" customHeight="1" x14ac:dyDescent="0.35">
      <c r="A5202" s="103"/>
      <c r="C5202" s="100"/>
    </row>
    <row r="5203" spans="1:3" ht="18.75" customHeight="1" x14ac:dyDescent="0.35">
      <c r="A5203" s="103"/>
      <c r="C5203" s="100"/>
    </row>
    <row r="5204" spans="1:3" ht="18.75" customHeight="1" x14ac:dyDescent="0.35">
      <c r="A5204" s="103"/>
      <c r="C5204" s="100"/>
    </row>
    <row r="5205" spans="1:3" ht="18.75" customHeight="1" x14ac:dyDescent="0.35">
      <c r="A5205" s="103"/>
      <c r="C5205" s="100"/>
    </row>
    <row r="5206" spans="1:3" ht="18.75" customHeight="1" x14ac:dyDescent="0.35">
      <c r="A5206" s="103"/>
      <c r="C5206" s="100"/>
    </row>
    <row r="5207" spans="1:3" ht="18.75" customHeight="1" x14ac:dyDescent="0.35">
      <c r="A5207" s="103"/>
      <c r="C5207" s="100"/>
    </row>
    <row r="5208" spans="1:3" ht="18.75" customHeight="1" x14ac:dyDescent="0.35">
      <c r="A5208" s="103"/>
      <c r="C5208" s="100"/>
    </row>
    <row r="5209" spans="1:3" ht="18.75" customHeight="1" x14ac:dyDescent="0.35">
      <c r="A5209" s="103"/>
      <c r="C5209" s="100"/>
    </row>
    <row r="5210" spans="1:3" ht="18.75" customHeight="1" x14ac:dyDescent="0.35">
      <c r="A5210" s="103"/>
      <c r="C5210" s="100"/>
    </row>
    <row r="5211" spans="1:3" ht="18.75" customHeight="1" x14ac:dyDescent="0.35">
      <c r="A5211" s="103"/>
      <c r="C5211" s="100"/>
    </row>
    <row r="5212" spans="1:3" ht="18.75" customHeight="1" x14ac:dyDescent="0.35">
      <c r="A5212" s="103"/>
      <c r="C5212" s="100"/>
    </row>
    <row r="5213" spans="1:3" ht="18.75" customHeight="1" x14ac:dyDescent="0.35">
      <c r="A5213" s="103"/>
      <c r="C5213" s="100"/>
    </row>
    <row r="5214" spans="1:3" ht="18.75" customHeight="1" x14ac:dyDescent="0.35">
      <c r="A5214" s="103"/>
      <c r="C5214" s="100"/>
    </row>
    <row r="5215" spans="1:3" ht="18.75" customHeight="1" x14ac:dyDescent="0.35">
      <c r="A5215" s="103"/>
      <c r="C5215" s="100"/>
    </row>
    <row r="5216" spans="1:3" ht="18.75" customHeight="1" x14ac:dyDescent="0.35">
      <c r="A5216" s="103"/>
      <c r="C5216" s="100"/>
    </row>
    <row r="5217" spans="1:3" ht="18.75" customHeight="1" x14ac:dyDescent="0.35">
      <c r="A5217" s="103"/>
      <c r="C5217" s="100"/>
    </row>
    <row r="5218" spans="1:3" ht="18.75" customHeight="1" x14ac:dyDescent="0.35">
      <c r="A5218" s="103"/>
      <c r="C5218" s="100"/>
    </row>
    <row r="5219" spans="1:3" ht="18.75" customHeight="1" x14ac:dyDescent="0.35">
      <c r="A5219" s="103"/>
      <c r="C5219" s="100"/>
    </row>
    <row r="5220" spans="1:3" ht="18.75" customHeight="1" x14ac:dyDescent="0.35">
      <c r="A5220" s="103"/>
      <c r="C5220" s="100"/>
    </row>
    <row r="5221" spans="1:3" ht="18.75" customHeight="1" x14ac:dyDescent="0.35">
      <c r="A5221" s="103"/>
      <c r="C5221" s="100"/>
    </row>
    <row r="5222" spans="1:3" ht="18.75" customHeight="1" x14ac:dyDescent="0.35">
      <c r="A5222" s="103"/>
      <c r="C5222" s="100"/>
    </row>
    <row r="5223" spans="1:3" ht="18.75" customHeight="1" x14ac:dyDescent="0.35">
      <c r="A5223" s="103"/>
      <c r="C5223" s="100"/>
    </row>
    <row r="5224" spans="1:3" ht="18.75" customHeight="1" x14ac:dyDescent="0.35">
      <c r="A5224" s="103"/>
      <c r="C5224" s="100"/>
    </row>
    <row r="5225" spans="1:3" ht="18.75" customHeight="1" x14ac:dyDescent="0.35">
      <c r="A5225" s="103"/>
      <c r="C5225" s="100"/>
    </row>
    <row r="5226" spans="1:3" ht="18.75" customHeight="1" x14ac:dyDescent="0.35">
      <c r="A5226" s="103"/>
      <c r="C5226" s="100"/>
    </row>
    <row r="5227" spans="1:3" ht="18.75" customHeight="1" x14ac:dyDescent="0.35">
      <c r="A5227" s="103"/>
      <c r="C5227" s="100"/>
    </row>
    <row r="5228" spans="1:3" ht="18.75" customHeight="1" x14ac:dyDescent="0.35">
      <c r="A5228" s="103"/>
      <c r="C5228" s="100"/>
    </row>
    <row r="5229" spans="1:3" ht="18.75" customHeight="1" x14ac:dyDescent="0.35">
      <c r="A5229" s="103"/>
      <c r="C5229" s="100"/>
    </row>
    <row r="5230" spans="1:3" ht="18.75" customHeight="1" x14ac:dyDescent="0.35">
      <c r="A5230" s="103"/>
      <c r="C5230" s="100"/>
    </row>
    <row r="5231" spans="1:3" ht="18.75" customHeight="1" x14ac:dyDescent="0.35">
      <c r="A5231" s="103"/>
      <c r="C5231" s="100"/>
    </row>
    <row r="5232" spans="1:3" ht="18.75" customHeight="1" x14ac:dyDescent="0.35">
      <c r="A5232" s="103"/>
      <c r="C5232" s="100"/>
    </row>
    <row r="5233" spans="1:3" ht="18.75" customHeight="1" x14ac:dyDescent="0.35">
      <c r="A5233" s="103"/>
      <c r="C5233" s="100"/>
    </row>
    <row r="5234" spans="1:3" ht="18.75" customHeight="1" x14ac:dyDescent="0.35">
      <c r="A5234" s="103"/>
      <c r="C5234" s="100"/>
    </row>
    <row r="5235" spans="1:3" ht="18.75" customHeight="1" x14ac:dyDescent="0.35">
      <c r="A5235" s="103"/>
      <c r="C5235" s="100"/>
    </row>
    <row r="5236" spans="1:3" ht="18.75" customHeight="1" x14ac:dyDescent="0.35">
      <c r="A5236" s="103"/>
      <c r="C5236" s="100"/>
    </row>
    <row r="5237" spans="1:3" ht="18.75" customHeight="1" x14ac:dyDescent="0.35">
      <c r="A5237" s="103"/>
      <c r="C5237" s="100"/>
    </row>
    <row r="5238" spans="1:3" ht="18.75" customHeight="1" x14ac:dyDescent="0.35">
      <c r="A5238" s="103"/>
      <c r="C5238" s="100"/>
    </row>
    <row r="5239" spans="1:3" ht="18.75" customHeight="1" x14ac:dyDescent="0.35">
      <c r="A5239" s="103"/>
      <c r="C5239" s="100"/>
    </row>
    <row r="5240" spans="1:3" ht="18.75" customHeight="1" x14ac:dyDescent="0.35">
      <c r="A5240" s="103"/>
      <c r="C5240" s="100"/>
    </row>
    <row r="5241" spans="1:3" ht="18.75" customHeight="1" x14ac:dyDescent="0.35">
      <c r="A5241" s="103"/>
      <c r="C5241" s="100"/>
    </row>
    <row r="5242" spans="1:3" ht="18.75" customHeight="1" x14ac:dyDescent="0.35">
      <c r="A5242" s="103"/>
      <c r="C5242" s="100"/>
    </row>
    <row r="5243" spans="1:3" ht="18.75" customHeight="1" x14ac:dyDescent="0.35">
      <c r="A5243" s="103"/>
      <c r="C5243" s="100"/>
    </row>
    <row r="5244" spans="1:3" ht="18.75" customHeight="1" x14ac:dyDescent="0.35">
      <c r="A5244" s="103"/>
      <c r="C5244" s="100"/>
    </row>
    <row r="5245" spans="1:3" ht="18.75" customHeight="1" x14ac:dyDescent="0.35">
      <c r="A5245" s="103"/>
      <c r="C5245" s="100"/>
    </row>
    <row r="5246" spans="1:3" ht="18.75" customHeight="1" x14ac:dyDescent="0.35">
      <c r="A5246" s="103"/>
      <c r="C5246" s="100"/>
    </row>
    <row r="5247" spans="1:3" ht="18.75" customHeight="1" x14ac:dyDescent="0.35">
      <c r="A5247" s="103"/>
      <c r="C5247" s="100"/>
    </row>
    <row r="5248" spans="1:3" ht="18.75" customHeight="1" x14ac:dyDescent="0.35">
      <c r="A5248" s="103"/>
      <c r="C5248" s="100"/>
    </row>
    <row r="5249" spans="1:3" ht="18.75" customHeight="1" x14ac:dyDescent="0.35">
      <c r="A5249" s="103"/>
      <c r="C5249" s="100"/>
    </row>
    <row r="5250" spans="1:3" ht="18.75" customHeight="1" x14ac:dyDescent="0.35">
      <c r="A5250" s="103"/>
      <c r="C5250" s="100"/>
    </row>
    <row r="5251" spans="1:3" ht="18.75" customHeight="1" x14ac:dyDescent="0.35">
      <c r="A5251" s="103"/>
      <c r="C5251" s="100"/>
    </row>
    <row r="5252" spans="1:3" ht="18.75" customHeight="1" x14ac:dyDescent="0.35">
      <c r="A5252" s="103"/>
      <c r="C5252" s="100"/>
    </row>
    <row r="5253" spans="1:3" ht="18.75" customHeight="1" x14ac:dyDescent="0.35">
      <c r="A5253" s="103"/>
      <c r="C5253" s="100"/>
    </row>
    <row r="5254" spans="1:3" ht="18.75" customHeight="1" x14ac:dyDescent="0.35">
      <c r="A5254" s="103"/>
      <c r="C5254" s="100"/>
    </row>
    <row r="5255" spans="1:3" ht="18.75" customHeight="1" x14ac:dyDescent="0.35">
      <c r="A5255" s="103"/>
      <c r="C5255" s="100"/>
    </row>
    <row r="5256" spans="1:3" ht="18.75" customHeight="1" x14ac:dyDescent="0.35">
      <c r="A5256" s="103"/>
      <c r="C5256" s="100"/>
    </row>
    <row r="5257" spans="1:3" ht="18.75" customHeight="1" x14ac:dyDescent="0.35">
      <c r="A5257" s="103"/>
      <c r="C5257" s="100"/>
    </row>
    <row r="5258" spans="1:3" ht="18.75" customHeight="1" x14ac:dyDescent="0.35">
      <c r="A5258" s="103"/>
      <c r="C5258" s="100"/>
    </row>
    <row r="5259" spans="1:3" ht="18.75" customHeight="1" x14ac:dyDescent="0.35">
      <c r="A5259" s="103"/>
      <c r="C5259" s="100"/>
    </row>
    <row r="5260" spans="1:3" ht="18.75" customHeight="1" x14ac:dyDescent="0.35">
      <c r="A5260" s="103"/>
      <c r="C5260" s="100"/>
    </row>
    <row r="5261" spans="1:3" ht="18.75" customHeight="1" x14ac:dyDescent="0.35">
      <c r="A5261" s="103"/>
      <c r="C5261" s="100"/>
    </row>
    <row r="5262" spans="1:3" ht="18.75" customHeight="1" x14ac:dyDescent="0.35">
      <c r="A5262" s="103"/>
      <c r="C5262" s="100"/>
    </row>
    <row r="5263" spans="1:3" ht="18.75" customHeight="1" x14ac:dyDescent="0.35">
      <c r="A5263" s="103"/>
      <c r="C5263" s="100"/>
    </row>
    <row r="5264" spans="1:3" ht="18.75" customHeight="1" x14ac:dyDescent="0.35">
      <c r="A5264" s="103"/>
      <c r="C5264" s="100"/>
    </row>
    <row r="5265" spans="1:3" ht="18.75" customHeight="1" x14ac:dyDescent="0.35">
      <c r="A5265" s="103"/>
      <c r="C5265" s="100"/>
    </row>
    <row r="5266" spans="1:3" ht="18.75" customHeight="1" x14ac:dyDescent="0.35">
      <c r="A5266" s="103"/>
      <c r="C5266" s="100"/>
    </row>
    <row r="5267" spans="1:3" ht="18.75" customHeight="1" x14ac:dyDescent="0.35">
      <c r="A5267" s="103"/>
      <c r="C5267" s="100"/>
    </row>
    <row r="5268" spans="1:3" ht="18.75" customHeight="1" x14ac:dyDescent="0.35">
      <c r="A5268" s="103"/>
      <c r="C5268" s="100"/>
    </row>
    <row r="5269" spans="1:3" ht="18.75" customHeight="1" x14ac:dyDescent="0.35">
      <c r="A5269" s="103"/>
      <c r="C5269" s="100"/>
    </row>
    <row r="5270" spans="1:3" ht="18.75" customHeight="1" x14ac:dyDescent="0.35">
      <c r="A5270" s="103"/>
      <c r="C5270" s="100"/>
    </row>
    <row r="5271" spans="1:3" ht="18.75" customHeight="1" x14ac:dyDescent="0.35">
      <c r="A5271" s="103"/>
      <c r="C5271" s="100"/>
    </row>
    <row r="5272" spans="1:3" ht="18.75" customHeight="1" x14ac:dyDescent="0.35">
      <c r="A5272" s="103"/>
      <c r="C5272" s="100"/>
    </row>
    <row r="5273" spans="1:3" ht="18.75" customHeight="1" x14ac:dyDescent="0.35">
      <c r="A5273" s="103"/>
      <c r="C5273" s="100"/>
    </row>
    <row r="5274" spans="1:3" ht="18.75" customHeight="1" x14ac:dyDescent="0.35">
      <c r="A5274" s="103"/>
      <c r="C5274" s="100"/>
    </row>
    <row r="5275" spans="1:3" ht="18.75" customHeight="1" x14ac:dyDescent="0.35">
      <c r="A5275" s="103"/>
      <c r="C5275" s="100"/>
    </row>
    <row r="5276" spans="1:3" ht="18.75" customHeight="1" x14ac:dyDescent="0.35">
      <c r="A5276" s="103"/>
      <c r="C5276" s="100"/>
    </row>
    <row r="5277" spans="1:3" ht="18.75" customHeight="1" x14ac:dyDescent="0.35">
      <c r="A5277" s="103"/>
      <c r="C5277" s="100"/>
    </row>
    <row r="5278" spans="1:3" ht="18.75" customHeight="1" x14ac:dyDescent="0.35">
      <c r="A5278" s="103"/>
      <c r="C5278" s="100"/>
    </row>
    <row r="5279" spans="1:3" ht="18.75" customHeight="1" x14ac:dyDescent="0.35">
      <c r="A5279" s="103"/>
      <c r="C5279" s="100"/>
    </row>
    <row r="5280" spans="1:3" ht="18.75" customHeight="1" x14ac:dyDescent="0.35">
      <c r="A5280" s="103"/>
      <c r="C5280" s="100"/>
    </row>
    <row r="5281" spans="1:3" ht="18.75" customHeight="1" x14ac:dyDescent="0.35">
      <c r="A5281" s="103"/>
      <c r="C5281" s="100"/>
    </row>
    <row r="5282" spans="1:3" ht="18.75" customHeight="1" x14ac:dyDescent="0.35">
      <c r="A5282" s="103"/>
      <c r="C5282" s="100"/>
    </row>
    <row r="5283" spans="1:3" ht="18.75" customHeight="1" x14ac:dyDescent="0.35">
      <c r="A5283" s="103"/>
      <c r="C5283" s="100"/>
    </row>
    <row r="5284" spans="1:3" ht="18.75" customHeight="1" x14ac:dyDescent="0.35">
      <c r="A5284" s="103"/>
      <c r="C5284" s="100"/>
    </row>
    <row r="5285" spans="1:3" ht="18.75" customHeight="1" x14ac:dyDescent="0.35">
      <c r="A5285" s="103"/>
      <c r="C5285" s="100"/>
    </row>
    <row r="5286" spans="1:3" ht="18.75" customHeight="1" x14ac:dyDescent="0.35">
      <c r="A5286" s="103"/>
      <c r="C5286" s="100"/>
    </row>
    <row r="5287" spans="1:3" ht="18.75" customHeight="1" x14ac:dyDescent="0.35">
      <c r="A5287" s="103"/>
      <c r="C5287" s="100"/>
    </row>
    <row r="5288" spans="1:3" ht="18.75" customHeight="1" x14ac:dyDescent="0.35">
      <c r="A5288" s="103"/>
      <c r="C5288" s="100"/>
    </row>
    <row r="5289" spans="1:3" ht="18.75" customHeight="1" x14ac:dyDescent="0.35">
      <c r="A5289" s="103"/>
      <c r="C5289" s="100"/>
    </row>
    <row r="5290" spans="1:3" ht="18.75" customHeight="1" x14ac:dyDescent="0.35">
      <c r="A5290" s="103"/>
      <c r="C5290" s="100"/>
    </row>
    <row r="5291" spans="1:3" ht="18.75" customHeight="1" x14ac:dyDescent="0.35">
      <c r="A5291" s="103"/>
      <c r="C5291" s="100"/>
    </row>
    <row r="5292" spans="1:3" ht="18.75" customHeight="1" x14ac:dyDescent="0.35">
      <c r="A5292" s="103"/>
      <c r="C5292" s="100"/>
    </row>
    <row r="5293" spans="1:3" ht="18.75" customHeight="1" x14ac:dyDescent="0.35">
      <c r="A5293" s="103"/>
      <c r="C5293" s="100"/>
    </row>
    <row r="5294" spans="1:3" ht="18.75" customHeight="1" x14ac:dyDescent="0.35">
      <c r="A5294" s="103"/>
      <c r="C5294" s="100"/>
    </row>
    <row r="5295" spans="1:3" ht="18.75" customHeight="1" x14ac:dyDescent="0.35">
      <c r="A5295" s="103"/>
      <c r="C5295" s="100"/>
    </row>
    <row r="5296" spans="1:3" ht="18.75" customHeight="1" x14ac:dyDescent="0.35">
      <c r="A5296" s="103"/>
      <c r="C5296" s="100"/>
    </row>
    <row r="5297" spans="1:3" ht="18.75" customHeight="1" x14ac:dyDescent="0.35">
      <c r="A5297" s="103"/>
      <c r="C5297" s="100"/>
    </row>
    <row r="5298" spans="1:3" ht="18.75" customHeight="1" x14ac:dyDescent="0.35">
      <c r="A5298" s="103"/>
      <c r="C5298" s="100"/>
    </row>
    <row r="5299" spans="1:3" ht="18.75" customHeight="1" x14ac:dyDescent="0.35">
      <c r="A5299" s="103"/>
      <c r="C5299" s="100"/>
    </row>
    <row r="5300" spans="1:3" ht="18.75" customHeight="1" x14ac:dyDescent="0.35">
      <c r="A5300" s="103"/>
      <c r="C5300" s="100"/>
    </row>
    <row r="5301" spans="1:3" ht="18.75" customHeight="1" x14ac:dyDescent="0.35">
      <c r="A5301" s="103"/>
      <c r="C5301" s="100"/>
    </row>
    <row r="5302" spans="1:3" ht="18.75" customHeight="1" x14ac:dyDescent="0.35">
      <c r="A5302" s="103"/>
      <c r="C5302" s="100"/>
    </row>
    <row r="5303" spans="1:3" ht="18.75" customHeight="1" x14ac:dyDescent="0.35">
      <c r="A5303" s="103"/>
      <c r="C5303" s="100"/>
    </row>
    <row r="5304" spans="1:3" ht="18.75" customHeight="1" x14ac:dyDescent="0.35">
      <c r="A5304" s="103"/>
      <c r="C5304" s="100"/>
    </row>
    <row r="5305" spans="1:3" ht="18.75" customHeight="1" x14ac:dyDescent="0.35">
      <c r="A5305" s="103"/>
      <c r="C5305" s="100"/>
    </row>
    <row r="5306" spans="1:3" ht="18.75" customHeight="1" x14ac:dyDescent="0.35">
      <c r="A5306" s="103"/>
      <c r="C5306" s="100"/>
    </row>
    <row r="5307" spans="1:3" ht="18.75" customHeight="1" x14ac:dyDescent="0.35">
      <c r="A5307" s="103"/>
      <c r="C5307" s="100"/>
    </row>
    <row r="5308" spans="1:3" ht="18.75" customHeight="1" x14ac:dyDescent="0.35">
      <c r="A5308" s="103"/>
      <c r="C5308" s="100"/>
    </row>
    <row r="5309" spans="1:3" ht="18.75" customHeight="1" x14ac:dyDescent="0.35">
      <c r="A5309" s="103"/>
      <c r="C5309" s="100"/>
    </row>
    <row r="5310" spans="1:3" ht="18.75" customHeight="1" x14ac:dyDescent="0.35">
      <c r="A5310" s="103"/>
      <c r="C5310" s="100"/>
    </row>
    <row r="5311" spans="1:3" ht="18.75" customHeight="1" x14ac:dyDescent="0.35">
      <c r="A5311" s="103"/>
      <c r="C5311" s="100"/>
    </row>
    <row r="5312" spans="1:3" ht="18.75" customHeight="1" x14ac:dyDescent="0.35">
      <c r="A5312" s="103"/>
      <c r="C5312" s="100"/>
    </row>
    <row r="5313" spans="1:3" ht="18.75" customHeight="1" x14ac:dyDescent="0.35">
      <c r="A5313" s="103"/>
      <c r="C5313" s="100"/>
    </row>
    <row r="5314" spans="1:3" ht="18.75" customHeight="1" x14ac:dyDescent="0.35">
      <c r="A5314" s="103"/>
      <c r="C5314" s="100"/>
    </row>
    <row r="5315" spans="1:3" ht="18.75" customHeight="1" x14ac:dyDescent="0.35">
      <c r="A5315" s="103"/>
      <c r="C5315" s="100"/>
    </row>
    <row r="5316" spans="1:3" ht="18.75" customHeight="1" x14ac:dyDescent="0.35">
      <c r="A5316" s="103"/>
      <c r="C5316" s="100"/>
    </row>
    <row r="5317" spans="1:3" ht="18.75" customHeight="1" x14ac:dyDescent="0.35">
      <c r="A5317" s="103"/>
      <c r="C5317" s="100"/>
    </row>
    <row r="5318" spans="1:3" ht="18.75" customHeight="1" x14ac:dyDescent="0.35">
      <c r="A5318" s="103"/>
      <c r="C5318" s="100"/>
    </row>
    <row r="5319" spans="1:3" ht="18.75" customHeight="1" x14ac:dyDescent="0.35">
      <c r="A5319" s="103"/>
      <c r="C5319" s="100"/>
    </row>
    <row r="5320" spans="1:3" ht="18.75" customHeight="1" x14ac:dyDescent="0.35">
      <c r="A5320" s="103"/>
      <c r="C5320" s="100"/>
    </row>
    <row r="5321" spans="1:3" ht="18.75" customHeight="1" x14ac:dyDescent="0.35">
      <c r="A5321" s="103"/>
      <c r="C5321" s="100"/>
    </row>
    <row r="5322" spans="1:3" ht="18.75" customHeight="1" x14ac:dyDescent="0.35">
      <c r="A5322" s="103"/>
      <c r="C5322" s="100"/>
    </row>
    <row r="5323" spans="1:3" ht="18.75" customHeight="1" x14ac:dyDescent="0.35">
      <c r="A5323" s="103"/>
      <c r="C5323" s="100"/>
    </row>
    <row r="5324" spans="1:3" ht="18.75" customHeight="1" x14ac:dyDescent="0.35">
      <c r="A5324" s="103"/>
      <c r="C5324" s="100"/>
    </row>
    <row r="5325" spans="1:3" ht="18.75" customHeight="1" x14ac:dyDescent="0.35">
      <c r="A5325" s="103"/>
      <c r="C5325" s="100"/>
    </row>
    <row r="5326" spans="1:3" ht="18.75" customHeight="1" x14ac:dyDescent="0.35">
      <c r="A5326" s="103"/>
      <c r="C5326" s="100"/>
    </row>
    <row r="5327" spans="1:3" ht="18.75" customHeight="1" x14ac:dyDescent="0.35">
      <c r="A5327" s="103"/>
      <c r="C5327" s="100"/>
    </row>
    <row r="5328" spans="1:3" ht="18.75" customHeight="1" x14ac:dyDescent="0.35">
      <c r="A5328" s="103"/>
      <c r="C5328" s="100"/>
    </row>
    <row r="5329" spans="1:3" ht="18.75" customHeight="1" x14ac:dyDescent="0.35">
      <c r="A5329" s="103"/>
      <c r="C5329" s="100"/>
    </row>
    <row r="5330" spans="1:3" ht="18.75" customHeight="1" x14ac:dyDescent="0.35">
      <c r="A5330" s="103"/>
      <c r="C5330" s="100"/>
    </row>
    <row r="5331" spans="1:3" ht="18.75" customHeight="1" x14ac:dyDescent="0.35">
      <c r="A5331" s="103"/>
      <c r="C5331" s="100"/>
    </row>
    <row r="5332" spans="1:3" ht="18.75" customHeight="1" x14ac:dyDescent="0.35">
      <c r="A5332" s="103"/>
      <c r="C5332" s="100"/>
    </row>
    <row r="5333" spans="1:3" ht="18.75" customHeight="1" x14ac:dyDescent="0.35">
      <c r="A5333" s="103"/>
      <c r="C5333" s="100"/>
    </row>
    <row r="5334" spans="1:3" ht="18.75" customHeight="1" x14ac:dyDescent="0.35">
      <c r="A5334" s="103"/>
      <c r="C5334" s="100"/>
    </row>
    <row r="5335" spans="1:3" ht="18.75" customHeight="1" x14ac:dyDescent="0.35">
      <c r="A5335" s="103"/>
      <c r="C5335" s="100"/>
    </row>
    <row r="5336" spans="1:3" ht="18.75" customHeight="1" x14ac:dyDescent="0.35">
      <c r="A5336" s="103"/>
      <c r="C5336" s="100"/>
    </row>
    <row r="5337" spans="1:3" ht="18.75" customHeight="1" x14ac:dyDescent="0.35">
      <c r="A5337" s="103"/>
      <c r="C5337" s="100"/>
    </row>
    <row r="5338" spans="1:3" ht="18.75" customHeight="1" x14ac:dyDescent="0.35">
      <c r="A5338" s="103"/>
      <c r="C5338" s="100"/>
    </row>
    <row r="5339" spans="1:3" ht="18.75" customHeight="1" x14ac:dyDescent="0.35">
      <c r="A5339" s="103"/>
      <c r="C5339" s="100"/>
    </row>
    <row r="5340" spans="1:3" ht="18.75" customHeight="1" x14ac:dyDescent="0.35">
      <c r="A5340" s="103"/>
      <c r="C5340" s="100"/>
    </row>
    <row r="5341" spans="1:3" ht="18.75" customHeight="1" x14ac:dyDescent="0.35">
      <c r="A5341" s="103"/>
      <c r="C5341" s="100"/>
    </row>
    <row r="5342" spans="1:3" ht="18.75" customHeight="1" x14ac:dyDescent="0.35">
      <c r="A5342" s="103"/>
      <c r="C5342" s="100"/>
    </row>
    <row r="5343" spans="1:3" ht="18.75" customHeight="1" x14ac:dyDescent="0.35">
      <c r="A5343" s="103"/>
      <c r="C5343" s="100"/>
    </row>
    <row r="5344" spans="1:3" ht="18.75" customHeight="1" x14ac:dyDescent="0.35">
      <c r="A5344" s="103"/>
      <c r="C5344" s="100"/>
    </row>
    <row r="5345" spans="1:3" ht="18.75" customHeight="1" x14ac:dyDescent="0.35">
      <c r="A5345" s="103"/>
      <c r="C5345" s="100"/>
    </row>
    <row r="5346" spans="1:3" ht="18.75" customHeight="1" x14ac:dyDescent="0.35">
      <c r="A5346" s="103"/>
      <c r="C5346" s="100"/>
    </row>
    <row r="5347" spans="1:3" ht="18.75" customHeight="1" x14ac:dyDescent="0.35">
      <c r="A5347" s="103"/>
      <c r="C5347" s="100"/>
    </row>
    <row r="5348" spans="1:3" ht="18.75" customHeight="1" x14ac:dyDescent="0.35">
      <c r="A5348" s="103"/>
      <c r="C5348" s="100"/>
    </row>
    <row r="5349" spans="1:3" ht="18.75" customHeight="1" x14ac:dyDescent="0.35">
      <c r="A5349" s="103"/>
      <c r="C5349" s="100"/>
    </row>
    <row r="5350" spans="1:3" ht="18.75" customHeight="1" x14ac:dyDescent="0.35">
      <c r="A5350" s="103"/>
      <c r="C5350" s="100"/>
    </row>
    <row r="5351" spans="1:3" ht="18.75" customHeight="1" x14ac:dyDescent="0.35">
      <c r="A5351" s="103"/>
      <c r="C5351" s="100"/>
    </row>
    <row r="5352" spans="1:3" ht="18.75" customHeight="1" x14ac:dyDescent="0.35">
      <c r="A5352" s="103"/>
      <c r="C5352" s="100"/>
    </row>
    <row r="5353" spans="1:3" ht="18.75" customHeight="1" x14ac:dyDescent="0.35">
      <c r="A5353" s="103"/>
      <c r="C5353" s="100"/>
    </row>
    <row r="5354" spans="1:3" ht="18.75" customHeight="1" x14ac:dyDescent="0.35">
      <c r="A5354" s="103"/>
      <c r="C5354" s="100"/>
    </row>
    <row r="5355" spans="1:3" ht="18.75" customHeight="1" x14ac:dyDescent="0.35">
      <c r="A5355" s="103"/>
      <c r="C5355" s="100"/>
    </row>
    <row r="5356" spans="1:3" ht="18.75" customHeight="1" x14ac:dyDescent="0.35">
      <c r="A5356" s="103"/>
      <c r="C5356" s="100"/>
    </row>
    <row r="5357" spans="1:3" ht="18.75" customHeight="1" x14ac:dyDescent="0.35">
      <c r="A5357" s="103"/>
      <c r="C5357" s="100"/>
    </row>
    <row r="5358" spans="1:3" ht="18.75" customHeight="1" x14ac:dyDescent="0.35">
      <c r="A5358" s="103"/>
      <c r="C5358" s="100"/>
    </row>
    <row r="5359" spans="1:3" ht="18.75" customHeight="1" x14ac:dyDescent="0.35">
      <c r="A5359" s="103"/>
      <c r="C5359" s="100"/>
    </row>
    <row r="5360" spans="1:3" ht="18.75" customHeight="1" x14ac:dyDescent="0.35">
      <c r="A5360" s="103"/>
      <c r="C5360" s="100"/>
    </row>
    <row r="5361" spans="1:3" ht="18.75" customHeight="1" x14ac:dyDescent="0.35">
      <c r="A5361" s="103"/>
      <c r="C5361" s="100"/>
    </row>
    <row r="5362" spans="1:3" ht="18.75" customHeight="1" x14ac:dyDescent="0.35">
      <c r="A5362" s="103"/>
      <c r="C5362" s="100"/>
    </row>
    <row r="5363" spans="1:3" ht="18.75" customHeight="1" x14ac:dyDescent="0.35">
      <c r="A5363" s="103"/>
      <c r="C5363" s="100"/>
    </row>
    <row r="5364" spans="1:3" ht="18.75" customHeight="1" x14ac:dyDescent="0.35">
      <c r="A5364" s="103"/>
      <c r="C5364" s="100"/>
    </row>
    <row r="5365" spans="1:3" ht="18.75" customHeight="1" x14ac:dyDescent="0.35">
      <c r="A5365" s="103"/>
      <c r="C5365" s="100"/>
    </row>
    <row r="5366" spans="1:3" ht="18.75" customHeight="1" x14ac:dyDescent="0.35">
      <c r="A5366" s="103"/>
      <c r="C5366" s="100"/>
    </row>
    <row r="5367" spans="1:3" ht="18.75" customHeight="1" x14ac:dyDescent="0.35">
      <c r="A5367" s="103"/>
      <c r="C5367" s="100"/>
    </row>
    <row r="5368" spans="1:3" ht="18.75" customHeight="1" x14ac:dyDescent="0.35">
      <c r="A5368" s="103"/>
      <c r="C5368" s="100"/>
    </row>
    <row r="5369" spans="1:3" ht="18.75" customHeight="1" x14ac:dyDescent="0.35">
      <c r="A5369" s="103"/>
      <c r="C5369" s="100"/>
    </row>
    <row r="5370" spans="1:3" ht="18.75" customHeight="1" x14ac:dyDescent="0.35">
      <c r="A5370" s="103"/>
      <c r="C5370" s="100"/>
    </row>
    <row r="5371" spans="1:3" ht="18.75" customHeight="1" x14ac:dyDescent="0.35">
      <c r="A5371" s="103"/>
      <c r="C5371" s="100"/>
    </row>
    <row r="5372" spans="1:3" ht="18.75" customHeight="1" x14ac:dyDescent="0.35">
      <c r="A5372" s="103"/>
      <c r="C5372" s="100"/>
    </row>
    <row r="5373" spans="1:3" ht="18.75" customHeight="1" x14ac:dyDescent="0.35">
      <c r="A5373" s="103"/>
      <c r="C5373" s="100"/>
    </row>
    <row r="5374" spans="1:3" ht="18.75" customHeight="1" x14ac:dyDescent="0.35">
      <c r="A5374" s="103"/>
      <c r="C5374" s="100"/>
    </row>
    <row r="5375" spans="1:3" ht="18.75" customHeight="1" x14ac:dyDescent="0.35">
      <c r="A5375" s="103"/>
      <c r="C5375" s="100"/>
    </row>
    <row r="5376" spans="1:3" ht="18.75" customHeight="1" x14ac:dyDescent="0.35">
      <c r="A5376" s="103"/>
      <c r="C5376" s="100"/>
    </row>
    <row r="5377" spans="1:3" ht="18.75" customHeight="1" x14ac:dyDescent="0.35">
      <c r="A5377" s="103"/>
      <c r="C5377" s="100"/>
    </row>
    <row r="5378" spans="1:3" ht="18.75" customHeight="1" x14ac:dyDescent="0.35">
      <c r="A5378" s="103"/>
      <c r="C5378" s="100"/>
    </row>
    <row r="5379" spans="1:3" ht="18.75" customHeight="1" x14ac:dyDescent="0.35">
      <c r="A5379" s="103"/>
      <c r="C5379" s="100"/>
    </row>
    <row r="5380" spans="1:3" ht="18.75" customHeight="1" x14ac:dyDescent="0.35">
      <c r="A5380" s="103"/>
      <c r="C5380" s="100"/>
    </row>
    <row r="5381" spans="1:3" ht="18.75" customHeight="1" x14ac:dyDescent="0.35">
      <c r="A5381" s="103"/>
      <c r="C5381" s="100"/>
    </row>
    <row r="5382" spans="1:3" ht="18.75" customHeight="1" x14ac:dyDescent="0.35">
      <c r="A5382" s="103"/>
      <c r="C5382" s="100"/>
    </row>
    <row r="5383" spans="1:3" ht="18.75" customHeight="1" x14ac:dyDescent="0.35">
      <c r="A5383" s="103"/>
      <c r="C5383" s="100"/>
    </row>
    <row r="5384" spans="1:3" ht="18.75" customHeight="1" x14ac:dyDescent="0.35">
      <c r="A5384" s="103"/>
      <c r="C5384" s="100"/>
    </row>
    <row r="5385" spans="1:3" ht="18.75" customHeight="1" x14ac:dyDescent="0.35">
      <c r="A5385" s="103"/>
      <c r="C5385" s="100"/>
    </row>
    <row r="5386" spans="1:3" ht="18.75" customHeight="1" x14ac:dyDescent="0.35">
      <c r="A5386" s="103"/>
      <c r="C5386" s="100"/>
    </row>
    <row r="5387" spans="1:3" ht="18.75" customHeight="1" x14ac:dyDescent="0.35">
      <c r="A5387" s="103"/>
      <c r="C5387" s="100"/>
    </row>
    <row r="5388" spans="1:3" ht="18.75" customHeight="1" x14ac:dyDescent="0.35">
      <c r="A5388" s="103"/>
      <c r="C5388" s="100"/>
    </row>
    <row r="5389" spans="1:3" ht="18.75" customHeight="1" x14ac:dyDescent="0.35">
      <c r="A5389" s="103"/>
      <c r="C5389" s="100"/>
    </row>
    <row r="5390" spans="1:3" ht="18.75" customHeight="1" x14ac:dyDescent="0.35">
      <c r="A5390" s="103"/>
      <c r="C5390" s="100"/>
    </row>
    <row r="5391" spans="1:3" ht="18.75" customHeight="1" x14ac:dyDescent="0.35">
      <c r="A5391" s="103"/>
      <c r="C5391" s="100"/>
    </row>
    <row r="5392" spans="1:3" ht="18.75" customHeight="1" x14ac:dyDescent="0.35">
      <c r="A5392" s="103"/>
      <c r="C5392" s="100"/>
    </row>
    <row r="5393" spans="1:3" ht="18.75" customHeight="1" x14ac:dyDescent="0.35">
      <c r="A5393" s="103"/>
      <c r="C5393" s="100"/>
    </row>
    <row r="5394" spans="1:3" ht="18.75" customHeight="1" x14ac:dyDescent="0.35">
      <c r="A5394" s="103"/>
      <c r="C5394" s="100"/>
    </row>
    <row r="5395" spans="1:3" ht="18.75" customHeight="1" x14ac:dyDescent="0.35">
      <c r="A5395" s="103"/>
      <c r="C5395" s="100"/>
    </row>
    <row r="5396" spans="1:3" ht="18.75" customHeight="1" x14ac:dyDescent="0.35">
      <c r="A5396" s="103"/>
      <c r="C5396" s="100"/>
    </row>
    <row r="5397" spans="1:3" ht="18.75" customHeight="1" x14ac:dyDescent="0.35">
      <c r="A5397" s="103"/>
      <c r="C5397" s="100"/>
    </row>
    <row r="5398" spans="1:3" ht="18.75" customHeight="1" x14ac:dyDescent="0.35">
      <c r="A5398" s="103"/>
      <c r="C5398" s="100"/>
    </row>
    <row r="5399" spans="1:3" ht="18.75" customHeight="1" x14ac:dyDescent="0.35">
      <c r="A5399" s="103"/>
      <c r="C5399" s="100"/>
    </row>
    <row r="5400" spans="1:3" ht="18.75" customHeight="1" x14ac:dyDescent="0.35">
      <c r="A5400" s="103"/>
      <c r="C5400" s="100"/>
    </row>
    <row r="5401" spans="1:3" ht="18.75" customHeight="1" x14ac:dyDescent="0.35">
      <c r="A5401" s="103"/>
      <c r="C5401" s="100"/>
    </row>
    <row r="5402" spans="1:3" ht="18.75" customHeight="1" x14ac:dyDescent="0.35">
      <c r="A5402" s="103"/>
      <c r="C5402" s="100"/>
    </row>
    <row r="5403" spans="1:3" ht="18.75" customHeight="1" x14ac:dyDescent="0.35">
      <c r="A5403" s="103"/>
      <c r="C5403" s="100"/>
    </row>
    <row r="5404" spans="1:3" ht="18.75" customHeight="1" x14ac:dyDescent="0.35">
      <c r="A5404" s="103"/>
      <c r="C5404" s="100"/>
    </row>
    <row r="5405" spans="1:3" ht="18.75" customHeight="1" x14ac:dyDescent="0.35">
      <c r="A5405" s="103"/>
      <c r="C5405" s="100"/>
    </row>
    <row r="5406" spans="1:3" ht="18.75" customHeight="1" x14ac:dyDescent="0.35">
      <c r="A5406" s="103"/>
      <c r="C5406" s="100"/>
    </row>
    <row r="5407" spans="1:3" ht="18.75" customHeight="1" x14ac:dyDescent="0.35">
      <c r="A5407" s="103"/>
      <c r="C5407" s="100"/>
    </row>
    <row r="5408" spans="1:3" ht="18.75" customHeight="1" x14ac:dyDescent="0.35">
      <c r="A5408" s="103"/>
      <c r="C5408" s="100"/>
    </row>
    <row r="5409" spans="1:3" ht="18.75" customHeight="1" x14ac:dyDescent="0.35">
      <c r="A5409" s="103"/>
      <c r="C5409" s="100"/>
    </row>
    <row r="5410" spans="1:3" ht="18.75" customHeight="1" x14ac:dyDescent="0.35">
      <c r="A5410" s="103"/>
      <c r="C5410" s="100"/>
    </row>
    <row r="5411" spans="1:3" ht="18.75" customHeight="1" x14ac:dyDescent="0.35">
      <c r="A5411" s="103"/>
      <c r="C5411" s="100"/>
    </row>
    <row r="5412" spans="1:3" ht="18.75" customHeight="1" x14ac:dyDescent="0.35">
      <c r="A5412" s="103"/>
      <c r="C5412" s="100"/>
    </row>
    <row r="5413" spans="1:3" ht="18.75" customHeight="1" x14ac:dyDescent="0.35">
      <c r="A5413" s="103"/>
      <c r="C5413" s="100"/>
    </row>
    <row r="5414" spans="1:3" ht="18.75" customHeight="1" x14ac:dyDescent="0.35">
      <c r="A5414" s="103"/>
      <c r="C5414" s="100"/>
    </row>
    <row r="5415" spans="1:3" ht="18.75" customHeight="1" x14ac:dyDescent="0.35">
      <c r="A5415" s="103"/>
      <c r="C5415" s="100"/>
    </row>
    <row r="5416" spans="1:3" ht="18.75" customHeight="1" x14ac:dyDescent="0.35">
      <c r="A5416" s="103"/>
      <c r="C5416" s="100"/>
    </row>
    <row r="5417" spans="1:3" ht="18.75" customHeight="1" x14ac:dyDescent="0.35">
      <c r="A5417" s="103"/>
      <c r="C5417" s="100"/>
    </row>
    <row r="5418" spans="1:3" ht="18.75" customHeight="1" x14ac:dyDescent="0.35">
      <c r="A5418" s="103"/>
      <c r="C5418" s="100"/>
    </row>
    <row r="5419" spans="1:3" ht="18.75" customHeight="1" x14ac:dyDescent="0.35">
      <c r="A5419" s="103"/>
      <c r="C5419" s="100"/>
    </row>
    <row r="5420" spans="1:3" ht="18.75" customHeight="1" x14ac:dyDescent="0.35">
      <c r="A5420" s="103"/>
      <c r="C5420" s="100"/>
    </row>
    <row r="5421" spans="1:3" ht="18.75" customHeight="1" x14ac:dyDescent="0.35">
      <c r="A5421" s="103"/>
      <c r="C5421" s="100"/>
    </row>
    <row r="5422" spans="1:3" ht="18.75" customHeight="1" x14ac:dyDescent="0.35">
      <c r="A5422" s="103"/>
      <c r="C5422" s="100"/>
    </row>
    <row r="5423" spans="1:3" ht="18.75" customHeight="1" x14ac:dyDescent="0.35">
      <c r="A5423" s="103"/>
      <c r="C5423" s="100"/>
    </row>
    <row r="5424" spans="1:3" ht="18.75" customHeight="1" x14ac:dyDescent="0.35">
      <c r="A5424" s="103"/>
      <c r="C5424" s="100"/>
    </row>
    <row r="5425" spans="1:3" ht="18.75" customHeight="1" x14ac:dyDescent="0.35">
      <c r="A5425" s="103"/>
      <c r="C5425" s="100"/>
    </row>
    <row r="5426" spans="1:3" ht="18.75" customHeight="1" x14ac:dyDescent="0.35">
      <c r="A5426" s="103"/>
      <c r="C5426" s="100"/>
    </row>
    <row r="5427" spans="1:3" ht="18.75" customHeight="1" x14ac:dyDescent="0.35">
      <c r="A5427" s="103"/>
      <c r="C5427" s="100"/>
    </row>
    <row r="5428" spans="1:3" ht="18.75" customHeight="1" x14ac:dyDescent="0.35">
      <c r="A5428" s="103"/>
      <c r="C5428" s="100"/>
    </row>
    <row r="5429" spans="1:3" ht="18.75" customHeight="1" x14ac:dyDescent="0.35">
      <c r="A5429" s="103"/>
      <c r="C5429" s="100"/>
    </row>
    <row r="5430" spans="1:3" ht="18.75" customHeight="1" x14ac:dyDescent="0.35">
      <c r="A5430" s="103"/>
      <c r="C5430" s="100"/>
    </row>
    <row r="5431" spans="1:3" ht="18.75" customHeight="1" x14ac:dyDescent="0.35">
      <c r="A5431" s="103"/>
      <c r="C5431" s="100"/>
    </row>
    <row r="5432" spans="1:3" ht="18.75" customHeight="1" x14ac:dyDescent="0.35">
      <c r="A5432" s="103"/>
      <c r="C5432" s="100"/>
    </row>
    <row r="5433" spans="1:3" ht="18.75" customHeight="1" x14ac:dyDescent="0.35">
      <c r="A5433" s="103"/>
      <c r="C5433" s="100"/>
    </row>
    <row r="5434" spans="1:3" ht="18.75" customHeight="1" x14ac:dyDescent="0.35">
      <c r="A5434" s="103"/>
      <c r="C5434" s="100"/>
    </row>
    <row r="5435" spans="1:3" ht="18.75" customHeight="1" x14ac:dyDescent="0.35">
      <c r="A5435" s="103"/>
      <c r="C5435" s="100"/>
    </row>
    <row r="5436" spans="1:3" ht="18.75" customHeight="1" x14ac:dyDescent="0.35">
      <c r="A5436" s="103"/>
      <c r="C5436" s="100"/>
    </row>
    <row r="5437" spans="1:3" ht="18.75" customHeight="1" x14ac:dyDescent="0.35">
      <c r="A5437" s="103"/>
      <c r="C5437" s="100"/>
    </row>
    <row r="5438" spans="1:3" ht="18.75" customHeight="1" x14ac:dyDescent="0.35">
      <c r="A5438" s="103"/>
      <c r="C5438" s="100"/>
    </row>
    <row r="5439" spans="1:3" ht="18.75" customHeight="1" x14ac:dyDescent="0.35">
      <c r="A5439" s="103"/>
      <c r="C5439" s="100"/>
    </row>
    <row r="5440" spans="1:3" ht="18.75" customHeight="1" x14ac:dyDescent="0.35">
      <c r="A5440" s="103"/>
      <c r="C5440" s="100"/>
    </row>
    <row r="5441" spans="1:3" ht="18.75" customHeight="1" x14ac:dyDescent="0.35">
      <c r="A5441" s="103"/>
      <c r="C5441" s="100"/>
    </row>
    <row r="5442" spans="1:3" ht="18.75" customHeight="1" x14ac:dyDescent="0.35">
      <c r="A5442" s="103"/>
      <c r="C5442" s="100"/>
    </row>
    <row r="5443" spans="1:3" ht="18.75" customHeight="1" x14ac:dyDescent="0.35">
      <c r="A5443" s="103"/>
      <c r="C5443" s="100"/>
    </row>
    <row r="5444" spans="1:3" ht="18.75" customHeight="1" x14ac:dyDescent="0.35">
      <c r="A5444" s="103"/>
      <c r="C5444" s="100"/>
    </row>
    <row r="5445" spans="1:3" ht="18.75" customHeight="1" x14ac:dyDescent="0.35">
      <c r="A5445" s="103"/>
      <c r="C5445" s="100"/>
    </row>
    <row r="5446" spans="1:3" ht="18.75" customHeight="1" x14ac:dyDescent="0.35">
      <c r="A5446" s="103"/>
      <c r="C5446" s="100"/>
    </row>
    <row r="5447" spans="1:3" ht="18.75" customHeight="1" x14ac:dyDescent="0.35">
      <c r="A5447" s="103"/>
      <c r="C5447" s="100"/>
    </row>
    <row r="5448" spans="1:3" ht="18.75" customHeight="1" x14ac:dyDescent="0.35">
      <c r="A5448" s="103"/>
      <c r="C5448" s="100"/>
    </row>
    <row r="5449" spans="1:3" ht="18.75" customHeight="1" x14ac:dyDescent="0.35">
      <c r="A5449" s="103"/>
      <c r="C5449" s="100"/>
    </row>
    <row r="5450" spans="1:3" ht="18.75" customHeight="1" x14ac:dyDescent="0.35">
      <c r="A5450" s="103"/>
      <c r="C5450" s="100"/>
    </row>
    <row r="5451" spans="1:3" ht="18.75" customHeight="1" x14ac:dyDescent="0.35">
      <c r="A5451" s="103"/>
      <c r="C5451" s="100"/>
    </row>
    <row r="5452" spans="1:3" ht="18.75" customHeight="1" x14ac:dyDescent="0.35">
      <c r="A5452" s="103"/>
      <c r="C5452" s="100"/>
    </row>
    <row r="5453" spans="1:3" ht="18.75" customHeight="1" x14ac:dyDescent="0.35">
      <c r="A5453" s="103"/>
      <c r="C5453" s="100"/>
    </row>
    <row r="5454" spans="1:3" ht="18.75" customHeight="1" x14ac:dyDescent="0.35">
      <c r="A5454" s="103"/>
      <c r="C5454" s="100"/>
    </row>
    <row r="5455" spans="1:3" ht="18.75" customHeight="1" x14ac:dyDescent="0.35">
      <c r="A5455" s="103"/>
      <c r="C5455" s="100"/>
    </row>
    <row r="5456" spans="1:3" ht="18.75" customHeight="1" x14ac:dyDescent="0.35">
      <c r="A5456" s="103"/>
      <c r="C5456" s="100"/>
    </row>
    <row r="5457" spans="1:3" ht="18.75" customHeight="1" x14ac:dyDescent="0.35">
      <c r="A5457" s="103"/>
      <c r="C5457" s="100"/>
    </row>
    <row r="5458" spans="1:3" ht="18.75" customHeight="1" x14ac:dyDescent="0.35">
      <c r="A5458" s="103"/>
      <c r="C5458" s="100"/>
    </row>
    <row r="5459" spans="1:3" ht="18.75" customHeight="1" x14ac:dyDescent="0.35">
      <c r="A5459" s="103"/>
      <c r="C5459" s="100"/>
    </row>
    <row r="5460" spans="1:3" ht="18.75" customHeight="1" x14ac:dyDescent="0.35">
      <c r="A5460" s="103"/>
      <c r="C5460" s="100"/>
    </row>
    <row r="5461" spans="1:3" ht="18.75" customHeight="1" x14ac:dyDescent="0.35">
      <c r="A5461" s="103"/>
      <c r="C5461" s="100"/>
    </row>
    <row r="5462" spans="1:3" ht="18.75" customHeight="1" x14ac:dyDescent="0.35">
      <c r="A5462" s="103"/>
      <c r="C5462" s="100"/>
    </row>
    <row r="5463" spans="1:3" ht="18.75" customHeight="1" x14ac:dyDescent="0.35">
      <c r="A5463" s="103"/>
      <c r="C5463" s="100"/>
    </row>
    <row r="5464" spans="1:3" ht="18.75" customHeight="1" x14ac:dyDescent="0.35">
      <c r="A5464" s="103"/>
      <c r="C5464" s="100"/>
    </row>
    <row r="5465" spans="1:3" ht="18.75" customHeight="1" x14ac:dyDescent="0.35">
      <c r="A5465" s="103"/>
      <c r="C5465" s="100"/>
    </row>
    <row r="5466" spans="1:3" ht="18.75" customHeight="1" x14ac:dyDescent="0.35">
      <c r="A5466" s="103"/>
      <c r="C5466" s="100"/>
    </row>
    <row r="5467" spans="1:3" ht="18.75" customHeight="1" x14ac:dyDescent="0.35">
      <c r="A5467" s="103"/>
      <c r="C5467" s="100"/>
    </row>
    <row r="5468" spans="1:3" ht="18.75" customHeight="1" x14ac:dyDescent="0.35">
      <c r="A5468" s="103"/>
      <c r="C5468" s="100"/>
    </row>
    <row r="5469" spans="1:3" ht="18.75" customHeight="1" x14ac:dyDescent="0.35">
      <c r="A5469" s="103"/>
      <c r="C5469" s="100"/>
    </row>
    <row r="5470" spans="1:3" ht="18.75" customHeight="1" x14ac:dyDescent="0.35">
      <c r="A5470" s="103"/>
      <c r="C5470" s="100"/>
    </row>
    <row r="5471" spans="1:3" ht="18.75" customHeight="1" x14ac:dyDescent="0.35">
      <c r="A5471" s="103"/>
      <c r="C5471" s="100"/>
    </row>
    <row r="5472" spans="1:3" ht="18.75" customHeight="1" x14ac:dyDescent="0.35">
      <c r="A5472" s="103"/>
      <c r="C5472" s="100"/>
    </row>
    <row r="5473" spans="1:3" ht="18.75" customHeight="1" x14ac:dyDescent="0.35">
      <c r="A5473" s="103"/>
      <c r="C5473" s="100"/>
    </row>
    <row r="5474" spans="1:3" ht="18.75" customHeight="1" x14ac:dyDescent="0.35">
      <c r="A5474" s="103"/>
      <c r="C5474" s="100"/>
    </row>
    <row r="5475" spans="1:3" ht="18.75" customHeight="1" x14ac:dyDescent="0.35">
      <c r="A5475" s="103"/>
      <c r="C5475" s="100"/>
    </row>
    <row r="5476" spans="1:3" ht="18.75" customHeight="1" x14ac:dyDescent="0.35">
      <c r="A5476" s="103"/>
      <c r="C5476" s="100"/>
    </row>
    <row r="5477" spans="1:3" ht="18.75" customHeight="1" x14ac:dyDescent="0.35">
      <c r="A5477" s="103"/>
      <c r="C5477" s="100"/>
    </row>
    <row r="5478" spans="1:3" ht="18.75" customHeight="1" x14ac:dyDescent="0.35">
      <c r="A5478" s="103"/>
      <c r="C5478" s="100"/>
    </row>
    <row r="5479" spans="1:3" ht="18.75" customHeight="1" x14ac:dyDescent="0.35">
      <c r="A5479" s="103"/>
      <c r="C5479" s="100"/>
    </row>
    <row r="5480" spans="1:3" ht="18.75" customHeight="1" x14ac:dyDescent="0.35">
      <c r="A5480" s="103"/>
      <c r="C5480" s="100"/>
    </row>
    <row r="5481" spans="1:3" ht="18.75" customHeight="1" x14ac:dyDescent="0.35">
      <c r="A5481" s="103"/>
      <c r="C5481" s="100"/>
    </row>
    <row r="5482" spans="1:3" ht="18.75" customHeight="1" x14ac:dyDescent="0.35">
      <c r="A5482" s="103"/>
      <c r="C5482" s="100"/>
    </row>
    <row r="5483" spans="1:3" ht="18.75" customHeight="1" x14ac:dyDescent="0.35">
      <c r="A5483" s="103"/>
      <c r="C5483" s="100"/>
    </row>
    <row r="5484" spans="1:3" ht="18.75" customHeight="1" x14ac:dyDescent="0.35">
      <c r="A5484" s="103"/>
      <c r="C5484" s="100"/>
    </row>
    <row r="5485" spans="1:3" ht="18.75" customHeight="1" x14ac:dyDescent="0.35">
      <c r="A5485" s="103"/>
      <c r="C5485" s="100"/>
    </row>
    <row r="5486" spans="1:3" ht="18.75" customHeight="1" x14ac:dyDescent="0.35">
      <c r="A5486" s="103"/>
      <c r="C5486" s="100"/>
    </row>
    <row r="5487" spans="1:3" ht="18.75" customHeight="1" x14ac:dyDescent="0.35">
      <c r="A5487" s="103"/>
      <c r="C5487" s="100"/>
    </row>
    <row r="5488" spans="1:3" ht="18.75" customHeight="1" x14ac:dyDescent="0.35">
      <c r="A5488" s="103"/>
      <c r="C5488" s="100"/>
    </row>
    <row r="5489" spans="1:3" ht="18.75" customHeight="1" x14ac:dyDescent="0.35">
      <c r="A5489" s="103"/>
      <c r="C5489" s="100"/>
    </row>
    <row r="5490" spans="1:3" ht="18.75" customHeight="1" x14ac:dyDescent="0.35">
      <c r="A5490" s="103"/>
      <c r="C5490" s="100"/>
    </row>
    <row r="5491" spans="1:3" ht="18.75" customHeight="1" x14ac:dyDescent="0.35">
      <c r="A5491" s="103"/>
      <c r="C5491" s="100"/>
    </row>
    <row r="5492" spans="1:3" ht="18.75" customHeight="1" x14ac:dyDescent="0.35">
      <c r="A5492" s="103"/>
      <c r="C5492" s="100"/>
    </row>
    <row r="5493" spans="1:3" ht="18.75" customHeight="1" x14ac:dyDescent="0.35">
      <c r="A5493" s="103"/>
      <c r="C5493" s="100"/>
    </row>
    <row r="5494" spans="1:3" ht="18.75" customHeight="1" x14ac:dyDescent="0.35">
      <c r="A5494" s="103"/>
      <c r="C5494" s="100"/>
    </row>
    <row r="5495" spans="1:3" ht="18.75" customHeight="1" x14ac:dyDescent="0.35">
      <c r="A5495" s="103"/>
      <c r="C5495" s="100"/>
    </row>
    <row r="5496" spans="1:3" ht="18.75" customHeight="1" x14ac:dyDescent="0.35">
      <c r="A5496" s="103"/>
      <c r="C5496" s="100"/>
    </row>
    <row r="5497" spans="1:3" ht="18.75" customHeight="1" x14ac:dyDescent="0.35">
      <c r="A5497" s="103"/>
      <c r="C5497" s="100"/>
    </row>
    <row r="5498" spans="1:3" ht="18.75" customHeight="1" x14ac:dyDescent="0.35">
      <c r="A5498" s="103"/>
      <c r="C5498" s="100"/>
    </row>
    <row r="5499" spans="1:3" ht="18.75" customHeight="1" x14ac:dyDescent="0.35">
      <c r="A5499" s="103"/>
      <c r="C5499" s="100"/>
    </row>
    <row r="5500" spans="1:3" ht="18.75" customHeight="1" x14ac:dyDescent="0.35">
      <c r="A5500" s="103"/>
      <c r="C5500" s="100"/>
    </row>
    <row r="5501" spans="1:3" ht="18.75" customHeight="1" x14ac:dyDescent="0.35">
      <c r="A5501" s="103"/>
      <c r="C5501" s="100"/>
    </row>
    <row r="5502" spans="1:3" ht="18.75" customHeight="1" x14ac:dyDescent="0.35">
      <c r="A5502" s="103"/>
      <c r="C5502" s="100"/>
    </row>
    <row r="5503" spans="1:3" ht="18.75" customHeight="1" x14ac:dyDescent="0.35">
      <c r="A5503" s="103"/>
      <c r="C5503" s="100"/>
    </row>
    <row r="5504" spans="1:3" ht="18.75" customHeight="1" x14ac:dyDescent="0.35">
      <c r="A5504" s="103"/>
      <c r="C5504" s="100"/>
    </row>
    <row r="5505" spans="1:3" ht="18.75" customHeight="1" x14ac:dyDescent="0.35">
      <c r="A5505" s="103"/>
      <c r="C5505" s="100"/>
    </row>
    <row r="5506" spans="1:3" ht="18.75" customHeight="1" x14ac:dyDescent="0.35">
      <c r="A5506" s="103"/>
      <c r="C5506" s="100"/>
    </row>
    <row r="5507" spans="1:3" ht="18.75" customHeight="1" x14ac:dyDescent="0.35">
      <c r="A5507" s="103"/>
      <c r="C5507" s="100"/>
    </row>
    <row r="5508" spans="1:3" ht="18.75" customHeight="1" x14ac:dyDescent="0.35">
      <c r="A5508" s="103"/>
      <c r="C5508" s="100"/>
    </row>
    <row r="5509" spans="1:3" ht="18.75" customHeight="1" x14ac:dyDescent="0.35">
      <c r="A5509" s="103"/>
      <c r="C5509" s="100"/>
    </row>
    <row r="5510" spans="1:3" ht="18.75" customHeight="1" x14ac:dyDescent="0.35">
      <c r="A5510" s="103"/>
      <c r="C5510" s="100"/>
    </row>
    <row r="5511" spans="1:3" ht="18.75" customHeight="1" x14ac:dyDescent="0.35">
      <c r="A5511" s="103"/>
      <c r="C5511" s="100"/>
    </row>
    <row r="5512" spans="1:3" ht="18.75" customHeight="1" x14ac:dyDescent="0.35">
      <c r="A5512" s="103"/>
      <c r="C5512" s="100"/>
    </row>
    <row r="5513" spans="1:3" ht="18.75" customHeight="1" x14ac:dyDescent="0.35">
      <c r="A5513" s="103"/>
      <c r="C5513" s="100"/>
    </row>
    <row r="5514" spans="1:3" ht="18.75" customHeight="1" x14ac:dyDescent="0.35">
      <c r="A5514" s="103"/>
      <c r="C5514" s="100"/>
    </row>
    <row r="5515" spans="1:3" ht="18.75" customHeight="1" x14ac:dyDescent="0.35">
      <c r="A5515" s="103"/>
      <c r="C5515" s="100"/>
    </row>
    <row r="5516" spans="1:3" ht="18.75" customHeight="1" x14ac:dyDescent="0.35">
      <c r="A5516" s="103"/>
      <c r="C5516" s="100"/>
    </row>
    <row r="5517" spans="1:3" ht="18.75" customHeight="1" x14ac:dyDescent="0.35">
      <c r="A5517" s="103"/>
      <c r="C5517" s="100"/>
    </row>
    <row r="5518" spans="1:3" ht="18.75" customHeight="1" x14ac:dyDescent="0.35">
      <c r="A5518" s="103"/>
      <c r="C5518" s="100"/>
    </row>
    <row r="5519" spans="1:3" ht="18.75" customHeight="1" x14ac:dyDescent="0.35">
      <c r="A5519" s="103"/>
      <c r="C5519" s="100"/>
    </row>
    <row r="5520" spans="1:3" ht="18.75" customHeight="1" x14ac:dyDescent="0.35">
      <c r="A5520" s="103"/>
      <c r="C5520" s="100"/>
    </row>
    <row r="5521" spans="1:3" ht="18.75" customHeight="1" x14ac:dyDescent="0.35">
      <c r="A5521" s="103"/>
      <c r="C5521" s="100"/>
    </row>
    <row r="5522" spans="1:3" ht="18.75" customHeight="1" x14ac:dyDescent="0.35">
      <c r="A5522" s="103"/>
      <c r="C5522" s="100"/>
    </row>
    <row r="5523" spans="1:3" ht="18.75" customHeight="1" x14ac:dyDescent="0.35">
      <c r="A5523" s="103"/>
      <c r="C5523" s="100"/>
    </row>
    <row r="5524" spans="1:3" ht="18.75" customHeight="1" x14ac:dyDescent="0.35">
      <c r="A5524" s="103"/>
      <c r="C5524" s="100"/>
    </row>
    <row r="5525" spans="1:3" ht="18.75" customHeight="1" x14ac:dyDescent="0.35">
      <c r="A5525" s="103"/>
      <c r="C5525" s="100"/>
    </row>
    <row r="5526" spans="1:3" ht="18.75" customHeight="1" x14ac:dyDescent="0.35">
      <c r="A5526" s="103"/>
      <c r="C5526" s="100"/>
    </row>
    <row r="5527" spans="1:3" ht="18.75" customHeight="1" x14ac:dyDescent="0.35">
      <c r="A5527" s="103"/>
      <c r="C5527" s="100"/>
    </row>
    <row r="5528" spans="1:3" ht="18.75" customHeight="1" x14ac:dyDescent="0.35">
      <c r="A5528" s="103"/>
      <c r="C5528" s="100"/>
    </row>
    <row r="5529" spans="1:3" ht="18.75" customHeight="1" x14ac:dyDescent="0.35">
      <c r="A5529" s="103"/>
      <c r="C5529" s="100"/>
    </row>
    <row r="5530" spans="1:3" ht="18.75" customHeight="1" x14ac:dyDescent="0.35">
      <c r="A5530" s="103"/>
      <c r="C5530" s="100"/>
    </row>
    <row r="5531" spans="1:3" ht="18.75" customHeight="1" x14ac:dyDescent="0.35">
      <c r="A5531" s="103"/>
      <c r="C5531" s="100"/>
    </row>
    <row r="5532" spans="1:3" ht="18.75" customHeight="1" x14ac:dyDescent="0.35">
      <c r="A5532" s="103"/>
      <c r="C5532" s="100"/>
    </row>
    <row r="5533" spans="1:3" ht="18.75" customHeight="1" x14ac:dyDescent="0.35">
      <c r="A5533" s="103"/>
      <c r="C5533" s="100"/>
    </row>
    <row r="5534" spans="1:3" ht="18.75" customHeight="1" x14ac:dyDescent="0.35">
      <c r="A5534" s="103"/>
      <c r="C5534" s="100"/>
    </row>
    <row r="5535" spans="1:3" ht="18.75" customHeight="1" x14ac:dyDescent="0.35">
      <c r="A5535" s="103"/>
      <c r="C5535" s="100"/>
    </row>
    <row r="5536" spans="1:3" ht="18.75" customHeight="1" x14ac:dyDescent="0.35">
      <c r="A5536" s="103"/>
      <c r="C5536" s="100"/>
    </row>
    <row r="5537" spans="1:3" ht="18.75" customHeight="1" x14ac:dyDescent="0.35">
      <c r="A5537" s="103"/>
      <c r="C5537" s="100"/>
    </row>
    <row r="5538" spans="1:3" ht="18.75" customHeight="1" x14ac:dyDescent="0.35">
      <c r="A5538" s="103"/>
      <c r="C5538" s="100"/>
    </row>
    <row r="5539" spans="1:3" ht="18.75" customHeight="1" x14ac:dyDescent="0.35">
      <c r="A5539" s="103"/>
      <c r="C5539" s="100"/>
    </row>
    <row r="5540" spans="1:3" ht="18.75" customHeight="1" x14ac:dyDescent="0.35">
      <c r="A5540" s="103"/>
      <c r="C5540" s="100"/>
    </row>
    <row r="5541" spans="1:3" ht="18.75" customHeight="1" x14ac:dyDescent="0.35">
      <c r="A5541" s="103"/>
      <c r="C5541" s="100"/>
    </row>
    <row r="5542" spans="1:3" ht="18.75" customHeight="1" x14ac:dyDescent="0.35">
      <c r="A5542" s="103"/>
      <c r="C5542" s="100"/>
    </row>
    <row r="5543" spans="1:3" ht="18.75" customHeight="1" x14ac:dyDescent="0.35">
      <c r="A5543" s="103"/>
      <c r="C5543" s="100"/>
    </row>
    <row r="5544" spans="1:3" ht="18.75" customHeight="1" x14ac:dyDescent="0.35">
      <c r="A5544" s="103"/>
      <c r="C5544" s="100"/>
    </row>
    <row r="5545" spans="1:3" ht="18.75" customHeight="1" x14ac:dyDescent="0.35">
      <c r="A5545" s="103"/>
      <c r="C5545" s="100"/>
    </row>
    <row r="5546" spans="1:3" ht="18.75" customHeight="1" x14ac:dyDescent="0.35">
      <c r="A5546" s="103"/>
      <c r="C5546" s="100"/>
    </row>
    <row r="5547" spans="1:3" ht="18.75" customHeight="1" x14ac:dyDescent="0.35">
      <c r="A5547" s="103"/>
      <c r="C5547" s="100"/>
    </row>
    <row r="5548" spans="1:3" ht="18.75" customHeight="1" x14ac:dyDescent="0.35">
      <c r="A5548" s="103"/>
      <c r="C5548" s="100"/>
    </row>
    <row r="5549" spans="1:3" ht="18.75" customHeight="1" x14ac:dyDescent="0.35">
      <c r="A5549" s="103"/>
      <c r="C5549" s="100"/>
    </row>
    <row r="5550" spans="1:3" ht="18.75" customHeight="1" x14ac:dyDescent="0.35">
      <c r="A5550" s="103"/>
      <c r="C5550" s="100"/>
    </row>
    <row r="5551" spans="1:3" ht="18.75" customHeight="1" x14ac:dyDescent="0.35">
      <c r="A5551" s="103"/>
      <c r="C5551" s="100"/>
    </row>
    <row r="5552" spans="1:3" ht="18.75" customHeight="1" x14ac:dyDescent="0.35">
      <c r="A5552" s="103"/>
      <c r="C5552" s="100"/>
    </row>
    <row r="5553" spans="1:3" ht="18.75" customHeight="1" x14ac:dyDescent="0.35">
      <c r="A5553" s="103"/>
      <c r="C5553" s="100"/>
    </row>
    <row r="5554" spans="1:3" ht="18.75" customHeight="1" x14ac:dyDescent="0.35">
      <c r="A5554" s="103"/>
      <c r="C5554" s="100"/>
    </row>
    <row r="5555" spans="1:3" ht="18.75" customHeight="1" x14ac:dyDescent="0.35">
      <c r="A5555" s="103"/>
      <c r="C5555" s="100"/>
    </row>
    <row r="5556" spans="1:3" ht="18.75" customHeight="1" x14ac:dyDescent="0.35">
      <c r="A5556" s="103"/>
      <c r="C5556" s="100"/>
    </row>
    <row r="5557" spans="1:3" ht="18.75" customHeight="1" x14ac:dyDescent="0.35">
      <c r="A5557" s="103"/>
      <c r="C5557" s="100"/>
    </row>
    <row r="5558" spans="1:3" ht="18.75" customHeight="1" x14ac:dyDescent="0.35">
      <c r="A5558" s="103"/>
      <c r="C5558" s="100"/>
    </row>
    <row r="5559" spans="1:3" ht="18.75" customHeight="1" x14ac:dyDescent="0.35">
      <c r="A5559" s="103"/>
      <c r="C5559" s="100"/>
    </row>
    <row r="5560" spans="1:3" ht="18.75" customHeight="1" x14ac:dyDescent="0.35">
      <c r="A5560" s="103"/>
      <c r="C5560" s="100"/>
    </row>
    <row r="5561" spans="1:3" ht="18.75" customHeight="1" x14ac:dyDescent="0.35">
      <c r="A5561" s="103"/>
      <c r="C5561" s="100"/>
    </row>
    <row r="5562" spans="1:3" ht="18.75" customHeight="1" x14ac:dyDescent="0.35">
      <c r="A5562" s="103"/>
      <c r="C5562" s="100"/>
    </row>
    <row r="5563" spans="1:3" ht="18.75" customHeight="1" x14ac:dyDescent="0.35">
      <c r="A5563" s="103"/>
      <c r="C5563" s="100"/>
    </row>
    <row r="5564" spans="1:3" ht="18.75" customHeight="1" x14ac:dyDescent="0.35">
      <c r="A5564" s="103"/>
      <c r="C5564" s="100"/>
    </row>
    <row r="5565" spans="1:3" ht="18.75" customHeight="1" x14ac:dyDescent="0.35">
      <c r="A5565" s="103"/>
      <c r="C5565" s="100"/>
    </row>
    <row r="5566" spans="1:3" ht="18.75" customHeight="1" x14ac:dyDescent="0.35">
      <c r="A5566" s="103"/>
      <c r="C5566" s="100"/>
    </row>
    <row r="5567" spans="1:3" ht="18.75" customHeight="1" x14ac:dyDescent="0.35">
      <c r="A5567" s="103"/>
      <c r="C5567" s="100"/>
    </row>
    <row r="5568" spans="1:3" ht="18.75" customHeight="1" x14ac:dyDescent="0.35">
      <c r="A5568" s="103"/>
      <c r="C5568" s="100"/>
    </row>
    <row r="5569" spans="1:3" ht="18.75" customHeight="1" x14ac:dyDescent="0.35">
      <c r="A5569" s="103"/>
      <c r="C5569" s="100"/>
    </row>
    <row r="5570" spans="1:3" ht="18.75" customHeight="1" x14ac:dyDescent="0.35">
      <c r="A5570" s="103"/>
      <c r="C5570" s="100"/>
    </row>
    <row r="5571" spans="1:3" ht="18.75" customHeight="1" x14ac:dyDescent="0.35">
      <c r="A5571" s="103"/>
      <c r="C5571" s="100"/>
    </row>
    <row r="5572" spans="1:3" ht="18.75" customHeight="1" x14ac:dyDescent="0.35">
      <c r="A5572" s="103"/>
      <c r="C5572" s="100"/>
    </row>
    <row r="5573" spans="1:3" ht="18.75" customHeight="1" x14ac:dyDescent="0.35">
      <c r="A5573" s="103"/>
      <c r="C5573" s="100"/>
    </row>
    <row r="5574" spans="1:3" ht="18.75" customHeight="1" x14ac:dyDescent="0.35">
      <c r="A5574" s="103"/>
      <c r="C5574" s="100"/>
    </row>
    <row r="5575" spans="1:3" ht="18.75" customHeight="1" x14ac:dyDescent="0.35">
      <c r="A5575" s="103"/>
      <c r="C5575" s="100"/>
    </row>
    <row r="5576" spans="1:3" ht="18.75" customHeight="1" x14ac:dyDescent="0.35">
      <c r="A5576" s="103"/>
      <c r="C5576" s="100"/>
    </row>
    <row r="5577" spans="1:3" ht="18.75" customHeight="1" x14ac:dyDescent="0.35">
      <c r="A5577" s="103"/>
      <c r="C5577" s="100"/>
    </row>
    <row r="5578" spans="1:3" ht="18.75" customHeight="1" x14ac:dyDescent="0.35">
      <c r="A5578" s="103"/>
      <c r="C5578" s="100"/>
    </row>
    <row r="5579" spans="1:3" ht="18.75" customHeight="1" x14ac:dyDescent="0.35">
      <c r="A5579" s="103"/>
      <c r="C5579" s="100"/>
    </row>
    <row r="5580" spans="1:3" ht="18.75" customHeight="1" x14ac:dyDescent="0.35">
      <c r="A5580" s="103"/>
      <c r="C5580" s="100"/>
    </row>
    <row r="5581" spans="1:3" ht="18.75" customHeight="1" x14ac:dyDescent="0.35">
      <c r="A5581" s="103"/>
      <c r="C5581" s="100"/>
    </row>
    <row r="5582" spans="1:3" ht="18.75" customHeight="1" x14ac:dyDescent="0.35">
      <c r="A5582" s="103"/>
      <c r="C5582" s="100"/>
    </row>
    <row r="5583" spans="1:3" ht="18.75" customHeight="1" x14ac:dyDescent="0.35">
      <c r="A5583" s="103"/>
      <c r="C5583" s="100"/>
    </row>
    <row r="5584" spans="1:3" ht="18.75" customHeight="1" x14ac:dyDescent="0.35">
      <c r="A5584" s="103"/>
      <c r="C5584" s="100"/>
    </row>
    <row r="5585" spans="1:3" ht="18.75" customHeight="1" x14ac:dyDescent="0.35">
      <c r="A5585" s="103"/>
      <c r="C5585" s="100"/>
    </row>
    <row r="5586" spans="1:3" ht="18.75" customHeight="1" x14ac:dyDescent="0.35">
      <c r="A5586" s="103"/>
      <c r="C5586" s="100"/>
    </row>
    <row r="5587" spans="1:3" ht="18.75" customHeight="1" x14ac:dyDescent="0.35">
      <c r="A5587" s="103"/>
      <c r="C5587" s="100"/>
    </row>
    <row r="5588" spans="1:3" ht="18.75" customHeight="1" x14ac:dyDescent="0.35">
      <c r="A5588" s="103"/>
      <c r="C5588" s="100"/>
    </row>
    <row r="5589" spans="1:3" ht="18.75" customHeight="1" x14ac:dyDescent="0.35">
      <c r="A5589" s="103"/>
      <c r="C5589" s="100"/>
    </row>
    <row r="5590" spans="1:3" ht="18.75" customHeight="1" x14ac:dyDescent="0.35">
      <c r="A5590" s="103"/>
      <c r="C5590" s="100"/>
    </row>
    <row r="5591" spans="1:3" ht="18.75" customHeight="1" x14ac:dyDescent="0.35">
      <c r="A5591" s="103"/>
      <c r="C5591" s="100"/>
    </row>
    <row r="5592" spans="1:3" ht="18.75" customHeight="1" x14ac:dyDescent="0.35">
      <c r="A5592" s="103"/>
      <c r="C5592" s="100"/>
    </row>
    <row r="5593" spans="1:3" ht="18.75" customHeight="1" x14ac:dyDescent="0.35">
      <c r="A5593" s="103"/>
      <c r="C5593" s="100"/>
    </row>
    <row r="5594" spans="1:3" ht="18.75" customHeight="1" x14ac:dyDescent="0.35">
      <c r="A5594" s="103"/>
      <c r="C5594" s="100"/>
    </row>
    <row r="5595" spans="1:3" ht="18.75" customHeight="1" x14ac:dyDescent="0.35">
      <c r="A5595" s="103"/>
      <c r="C5595" s="100"/>
    </row>
    <row r="5596" spans="1:3" ht="18.75" customHeight="1" x14ac:dyDescent="0.35">
      <c r="A5596" s="103"/>
      <c r="C5596" s="100"/>
    </row>
    <row r="5597" spans="1:3" ht="18.75" customHeight="1" x14ac:dyDescent="0.35">
      <c r="A5597" s="103"/>
      <c r="C5597" s="100"/>
    </row>
    <row r="5598" spans="1:3" ht="18.75" customHeight="1" x14ac:dyDescent="0.35">
      <c r="A5598" s="103"/>
      <c r="C5598" s="100"/>
    </row>
    <row r="5599" spans="1:3" ht="18.75" customHeight="1" x14ac:dyDescent="0.35">
      <c r="A5599" s="103"/>
      <c r="C5599" s="100"/>
    </row>
    <row r="5600" spans="1:3" ht="18.75" customHeight="1" x14ac:dyDescent="0.35">
      <c r="A5600" s="103"/>
      <c r="C5600" s="100"/>
    </row>
    <row r="5601" spans="1:3" ht="18.75" customHeight="1" x14ac:dyDescent="0.35">
      <c r="A5601" s="103"/>
      <c r="C5601" s="100"/>
    </row>
    <row r="5602" spans="1:3" ht="18.75" customHeight="1" x14ac:dyDescent="0.35">
      <c r="A5602" s="103"/>
      <c r="C5602" s="100"/>
    </row>
    <row r="5603" spans="1:3" ht="18.75" customHeight="1" x14ac:dyDescent="0.35">
      <c r="A5603" s="103"/>
      <c r="C5603" s="100"/>
    </row>
    <row r="5604" spans="1:3" ht="18.75" customHeight="1" x14ac:dyDescent="0.35">
      <c r="A5604" s="103"/>
      <c r="C5604" s="100"/>
    </row>
    <row r="5605" spans="1:3" ht="18.75" customHeight="1" x14ac:dyDescent="0.35">
      <c r="A5605" s="103"/>
      <c r="C5605" s="100"/>
    </row>
    <row r="5606" spans="1:3" ht="18.75" customHeight="1" x14ac:dyDescent="0.35">
      <c r="A5606" s="103"/>
      <c r="C5606" s="100"/>
    </row>
    <row r="5607" spans="1:3" ht="18.75" customHeight="1" x14ac:dyDescent="0.35">
      <c r="A5607" s="103"/>
      <c r="C5607" s="100"/>
    </row>
    <row r="5608" spans="1:3" ht="18.75" customHeight="1" x14ac:dyDescent="0.35">
      <c r="A5608" s="103"/>
      <c r="C5608" s="100"/>
    </row>
    <row r="5609" spans="1:3" ht="18.75" customHeight="1" x14ac:dyDescent="0.35">
      <c r="A5609" s="103"/>
      <c r="C5609" s="100"/>
    </row>
    <row r="5610" spans="1:3" ht="18.75" customHeight="1" x14ac:dyDescent="0.35">
      <c r="A5610" s="103"/>
      <c r="C5610" s="100"/>
    </row>
    <row r="5611" spans="1:3" ht="18.75" customHeight="1" x14ac:dyDescent="0.35">
      <c r="A5611" s="103"/>
      <c r="C5611" s="100"/>
    </row>
    <row r="5612" spans="1:3" ht="18.75" customHeight="1" x14ac:dyDescent="0.35">
      <c r="A5612" s="103"/>
      <c r="C5612" s="100"/>
    </row>
    <row r="5613" spans="1:3" ht="18.75" customHeight="1" x14ac:dyDescent="0.35">
      <c r="A5613" s="103"/>
      <c r="C5613" s="100"/>
    </row>
    <row r="5614" spans="1:3" ht="18.75" customHeight="1" x14ac:dyDescent="0.35">
      <c r="A5614" s="103"/>
      <c r="C5614" s="100"/>
    </row>
    <row r="5615" spans="1:3" ht="18.75" customHeight="1" x14ac:dyDescent="0.35">
      <c r="A5615" s="103"/>
      <c r="C5615" s="100"/>
    </row>
    <row r="5616" spans="1:3" ht="18.75" customHeight="1" x14ac:dyDescent="0.35">
      <c r="A5616" s="103"/>
      <c r="C5616" s="100"/>
    </row>
    <row r="5617" spans="1:3" ht="18.75" customHeight="1" x14ac:dyDescent="0.35">
      <c r="A5617" s="103"/>
      <c r="C5617" s="100"/>
    </row>
    <row r="5618" spans="1:3" ht="18.75" customHeight="1" x14ac:dyDescent="0.35">
      <c r="A5618" s="103"/>
      <c r="C5618" s="100"/>
    </row>
    <row r="5619" spans="1:3" ht="18.75" customHeight="1" x14ac:dyDescent="0.35">
      <c r="A5619" s="103"/>
      <c r="C5619" s="100"/>
    </row>
    <row r="5620" spans="1:3" ht="18.75" customHeight="1" x14ac:dyDescent="0.35">
      <c r="A5620" s="103"/>
      <c r="C5620" s="100"/>
    </row>
    <row r="5621" spans="1:3" ht="18.75" customHeight="1" x14ac:dyDescent="0.35">
      <c r="A5621" s="103"/>
      <c r="C5621" s="100"/>
    </row>
    <row r="5622" spans="1:3" ht="18.75" customHeight="1" x14ac:dyDescent="0.35">
      <c r="A5622" s="103"/>
      <c r="C5622" s="100"/>
    </row>
    <row r="5623" spans="1:3" ht="18.75" customHeight="1" x14ac:dyDescent="0.35">
      <c r="A5623" s="103"/>
      <c r="C5623" s="100"/>
    </row>
    <row r="5624" spans="1:3" ht="18.75" customHeight="1" x14ac:dyDescent="0.35">
      <c r="A5624" s="103"/>
      <c r="C5624" s="100"/>
    </row>
    <row r="5625" spans="1:3" ht="18.75" customHeight="1" x14ac:dyDescent="0.35">
      <c r="A5625" s="103"/>
      <c r="C5625" s="100"/>
    </row>
    <row r="5626" spans="1:3" ht="18.75" customHeight="1" x14ac:dyDescent="0.35">
      <c r="A5626" s="103"/>
      <c r="C5626" s="100"/>
    </row>
    <row r="5627" spans="1:3" ht="18.75" customHeight="1" x14ac:dyDescent="0.35">
      <c r="A5627" s="103"/>
      <c r="C5627" s="100"/>
    </row>
    <row r="5628" spans="1:3" ht="18.75" customHeight="1" x14ac:dyDescent="0.35">
      <c r="A5628" s="103"/>
      <c r="C5628" s="100"/>
    </row>
    <row r="5629" spans="1:3" ht="18.75" customHeight="1" x14ac:dyDescent="0.35">
      <c r="A5629" s="103"/>
      <c r="C5629" s="100"/>
    </row>
    <row r="5630" spans="1:3" ht="18.75" customHeight="1" x14ac:dyDescent="0.35">
      <c r="A5630" s="103"/>
      <c r="C5630" s="100"/>
    </row>
    <row r="5631" spans="1:3" ht="18.75" customHeight="1" x14ac:dyDescent="0.35">
      <c r="A5631" s="103"/>
      <c r="C5631" s="100"/>
    </row>
    <row r="5632" spans="1:3" ht="18.75" customHeight="1" x14ac:dyDescent="0.35">
      <c r="A5632" s="103"/>
      <c r="C5632" s="100"/>
    </row>
    <row r="5633" spans="1:3" ht="18.75" customHeight="1" x14ac:dyDescent="0.35">
      <c r="A5633" s="103"/>
      <c r="C5633" s="100"/>
    </row>
    <row r="5634" spans="1:3" ht="18.75" customHeight="1" x14ac:dyDescent="0.35">
      <c r="A5634" s="103"/>
      <c r="C5634" s="100"/>
    </row>
    <row r="5635" spans="1:3" ht="18.75" customHeight="1" x14ac:dyDescent="0.35">
      <c r="A5635" s="103"/>
      <c r="C5635" s="100"/>
    </row>
    <row r="5636" spans="1:3" ht="18.75" customHeight="1" x14ac:dyDescent="0.35">
      <c r="A5636" s="103"/>
      <c r="C5636" s="100"/>
    </row>
    <row r="5637" spans="1:3" ht="18.75" customHeight="1" x14ac:dyDescent="0.35">
      <c r="A5637" s="103"/>
      <c r="C5637" s="100"/>
    </row>
    <row r="5638" spans="1:3" ht="18.75" customHeight="1" x14ac:dyDescent="0.35">
      <c r="A5638" s="103"/>
      <c r="C5638" s="100"/>
    </row>
    <row r="5639" spans="1:3" ht="18.75" customHeight="1" x14ac:dyDescent="0.35">
      <c r="A5639" s="103"/>
      <c r="C5639" s="100"/>
    </row>
    <row r="5640" spans="1:3" ht="18.75" customHeight="1" x14ac:dyDescent="0.35">
      <c r="A5640" s="103"/>
      <c r="C5640" s="100"/>
    </row>
    <row r="5641" spans="1:3" ht="18.75" customHeight="1" x14ac:dyDescent="0.35">
      <c r="A5641" s="103"/>
      <c r="C5641" s="100"/>
    </row>
    <row r="5642" spans="1:3" ht="18.75" customHeight="1" x14ac:dyDescent="0.35">
      <c r="A5642" s="103"/>
      <c r="C5642" s="100"/>
    </row>
    <row r="5643" spans="1:3" ht="18.75" customHeight="1" x14ac:dyDescent="0.35">
      <c r="A5643" s="103"/>
      <c r="C5643" s="100"/>
    </row>
    <row r="5644" spans="1:3" ht="18.75" customHeight="1" x14ac:dyDescent="0.35">
      <c r="A5644" s="103"/>
      <c r="C5644" s="100"/>
    </row>
    <row r="5645" spans="1:3" ht="18.75" customHeight="1" x14ac:dyDescent="0.35">
      <c r="A5645" s="103"/>
      <c r="C5645" s="100"/>
    </row>
    <row r="5646" spans="1:3" ht="18.75" customHeight="1" x14ac:dyDescent="0.35">
      <c r="A5646" s="103"/>
      <c r="C5646" s="100"/>
    </row>
    <row r="5647" spans="1:3" ht="18.75" customHeight="1" x14ac:dyDescent="0.35">
      <c r="A5647" s="103"/>
      <c r="C5647" s="100"/>
    </row>
    <row r="5648" spans="1:3" ht="18.75" customHeight="1" x14ac:dyDescent="0.35">
      <c r="A5648" s="103"/>
      <c r="C5648" s="100"/>
    </row>
    <row r="5649" spans="1:3" ht="18.75" customHeight="1" x14ac:dyDescent="0.35">
      <c r="A5649" s="103"/>
      <c r="C5649" s="100"/>
    </row>
    <row r="5650" spans="1:3" ht="18.75" customHeight="1" x14ac:dyDescent="0.35">
      <c r="A5650" s="103"/>
      <c r="C5650" s="100"/>
    </row>
    <row r="5651" spans="1:3" ht="18.75" customHeight="1" x14ac:dyDescent="0.35">
      <c r="A5651" s="103"/>
      <c r="C5651" s="100"/>
    </row>
    <row r="5652" spans="1:3" ht="18.75" customHeight="1" x14ac:dyDescent="0.35">
      <c r="A5652" s="103"/>
      <c r="C5652" s="100"/>
    </row>
    <row r="5653" spans="1:3" ht="18.75" customHeight="1" x14ac:dyDescent="0.35">
      <c r="A5653" s="103"/>
      <c r="C5653" s="100"/>
    </row>
    <row r="5654" spans="1:3" ht="18.75" customHeight="1" x14ac:dyDescent="0.35">
      <c r="A5654" s="103"/>
      <c r="C5654" s="100"/>
    </row>
    <row r="5655" spans="1:3" ht="18.75" customHeight="1" x14ac:dyDescent="0.35">
      <c r="A5655" s="103"/>
      <c r="C5655" s="100"/>
    </row>
    <row r="5656" spans="1:3" ht="18.75" customHeight="1" x14ac:dyDescent="0.35">
      <c r="A5656" s="103"/>
      <c r="C5656" s="100"/>
    </row>
    <row r="5657" spans="1:3" ht="18.75" customHeight="1" x14ac:dyDescent="0.35">
      <c r="A5657" s="103"/>
      <c r="C5657" s="100"/>
    </row>
    <row r="5658" spans="1:3" ht="18.75" customHeight="1" x14ac:dyDescent="0.35">
      <c r="A5658" s="103"/>
      <c r="C5658" s="100"/>
    </row>
    <row r="5659" spans="1:3" ht="18.75" customHeight="1" x14ac:dyDescent="0.35">
      <c r="A5659" s="103"/>
      <c r="C5659" s="100"/>
    </row>
    <row r="5660" spans="1:3" ht="18.75" customHeight="1" x14ac:dyDescent="0.35">
      <c r="A5660" s="103"/>
      <c r="C5660" s="100"/>
    </row>
    <row r="5661" spans="1:3" ht="18.75" customHeight="1" x14ac:dyDescent="0.35">
      <c r="A5661" s="103"/>
      <c r="C5661" s="100"/>
    </row>
    <row r="5662" spans="1:3" ht="18.75" customHeight="1" x14ac:dyDescent="0.35">
      <c r="A5662" s="103"/>
      <c r="C5662" s="100"/>
    </row>
    <row r="5663" spans="1:3" ht="18.75" customHeight="1" x14ac:dyDescent="0.35">
      <c r="A5663" s="103"/>
      <c r="C5663" s="100"/>
    </row>
    <row r="5664" spans="1:3" ht="18.75" customHeight="1" x14ac:dyDescent="0.35">
      <c r="A5664" s="103"/>
      <c r="C5664" s="100"/>
    </row>
    <row r="5665" spans="1:3" ht="18.75" customHeight="1" x14ac:dyDescent="0.35">
      <c r="A5665" s="103"/>
      <c r="C5665" s="100"/>
    </row>
    <row r="5666" spans="1:3" ht="18.75" customHeight="1" x14ac:dyDescent="0.35">
      <c r="A5666" s="103"/>
      <c r="C5666" s="100"/>
    </row>
    <row r="5667" spans="1:3" ht="18.75" customHeight="1" x14ac:dyDescent="0.35">
      <c r="A5667" s="103"/>
      <c r="C5667" s="100"/>
    </row>
    <row r="5668" spans="1:3" ht="18.75" customHeight="1" x14ac:dyDescent="0.35">
      <c r="A5668" s="103"/>
      <c r="C5668" s="100"/>
    </row>
    <row r="5669" spans="1:3" ht="18.75" customHeight="1" x14ac:dyDescent="0.35">
      <c r="A5669" s="103"/>
      <c r="C5669" s="100"/>
    </row>
    <row r="5670" spans="1:3" ht="18.75" customHeight="1" x14ac:dyDescent="0.35">
      <c r="A5670" s="103"/>
      <c r="C5670" s="100"/>
    </row>
    <row r="5671" spans="1:3" ht="18.75" customHeight="1" x14ac:dyDescent="0.35">
      <c r="A5671" s="103"/>
      <c r="C5671" s="100"/>
    </row>
    <row r="5672" spans="1:3" ht="18.75" customHeight="1" x14ac:dyDescent="0.35">
      <c r="A5672" s="103"/>
      <c r="C5672" s="100"/>
    </row>
    <row r="5673" spans="1:3" ht="18.75" customHeight="1" x14ac:dyDescent="0.35">
      <c r="A5673" s="103"/>
      <c r="C5673" s="100"/>
    </row>
    <row r="5674" spans="1:3" ht="18.75" customHeight="1" x14ac:dyDescent="0.35">
      <c r="A5674" s="103"/>
      <c r="C5674" s="100"/>
    </row>
    <row r="5675" spans="1:3" ht="18.75" customHeight="1" x14ac:dyDescent="0.35">
      <c r="A5675" s="103"/>
      <c r="C5675" s="100"/>
    </row>
    <row r="5676" spans="1:3" ht="18.75" customHeight="1" x14ac:dyDescent="0.35">
      <c r="A5676" s="103"/>
      <c r="C5676" s="100"/>
    </row>
    <row r="5677" spans="1:3" ht="18.75" customHeight="1" x14ac:dyDescent="0.35">
      <c r="A5677" s="103"/>
      <c r="C5677" s="100"/>
    </row>
    <row r="5678" spans="1:3" ht="18.75" customHeight="1" x14ac:dyDescent="0.35">
      <c r="A5678" s="103"/>
      <c r="C5678" s="100"/>
    </row>
    <row r="5679" spans="1:3" ht="18.75" customHeight="1" x14ac:dyDescent="0.35">
      <c r="A5679" s="103"/>
      <c r="C5679" s="100"/>
    </row>
    <row r="5680" spans="1:3" ht="18.75" customHeight="1" x14ac:dyDescent="0.35">
      <c r="A5680" s="103"/>
      <c r="C5680" s="100"/>
    </row>
    <row r="5681" spans="1:3" ht="18.75" customHeight="1" x14ac:dyDescent="0.35">
      <c r="A5681" s="103"/>
      <c r="C5681" s="100"/>
    </row>
    <row r="5682" spans="1:3" ht="18.75" customHeight="1" x14ac:dyDescent="0.35">
      <c r="A5682" s="103"/>
      <c r="C5682" s="100"/>
    </row>
    <row r="5683" spans="1:3" ht="18.75" customHeight="1" x14ac:dyDescent="0.35">
      <c r="A5683" s="103"/>
      <c r="C5683" s="100"/>
    </row>
    <row r="5684" spans="1:3" ht="18.75" customHeight="1" x14ac:dyDescent="0.35">
      <c r="A5684" s="103"/>
      <c r="C5684" s="100"/>
    </row>
    <row r="5685" spans="1:3" ht="18.75" customHeight="1" x14ac:dyDescent="0.35">
      <c r="A5685" s="103"/>
      <c r="C5685" s="100"/>
    </row>
    <row r="5686" spans="1:3" ht="18.75" customHeight="1" x14ac:dyDescent="0.35">
      <c r="A5686" s="103"/>
      <c r="C5686" s="100"/>
    </row>
    <row r="5687" spans="1:3" ht="18.75" customHeight="1" x14ac:dyDescent="0.35">
      <c r="A5687" s="103"/>
      <c r="C5687" s="100"/>
    </row>
    <row r="5688" spans="1:3" ht="18.75" customHeight="1" x14ac:dyDescent="0.35">
      <c r="A5688" s="103"/>
      <c r="C5688" s="100"/>
    </row>
    <row r="5689" spans="1:3" ht="18.75" customHeight="1" x14ac:dyDescent="0.35">
      <c r="A5689" s="103"/>
      <c r="C5689" s="100"/>
    </row>
    <row r="5690" spans="1:3" ht="18.75" customHeight="1" x14ac:dyDescent="0.35">
      <c r="A5690" s="103"/>
      <c r="C5690" s="100"/>
    </row>
    <row r="5691" spans="1:3" ht="18.75" customHeight="1" x14ac:dyDescent="0.35">
      <c r="A5691" s="103"/>
      <c r="C5691" s="100"/>
    </row>
    <row r="5692" spans="1:3" ht="18.75" customHeight="1" x14ac:dyDescent="0.35">
      <c r="A5692" s="103"/>
      <c r="C5692" s="100"/>
    </row>
    <row r="5693" spans="1:3" ht="18.75" customHeight="1" x14ac:dyDescent="0.35">
      <c r="A5693" s="103"/>
      <c r="C5693" s="100"/>
    </row>
    <row r="5694" spans="1:3" ht="18.75" customHeight="1" x14ac:dyDescent="0.35">
      <c r="A5694" s="103"/>
      <c r="C5694" s="100"/>
    </row>
    <row r="5695" spans="1:3" ht="18.75" customHeight="1" x14ac:dyDescent="0.35">
      <c r="A5695" s="103"/>
      <c r="C5695" s="100"/>
    </row>
    <row r="5696" spans="1:3" ht="18.75" customHeight="1" x14ac:dyDescent="0.35">
      <c r="A5696" s="103"/>
      <c r="C5696" s="100"/>
    </row>
    <row r="5697" spans="1:3" ht="18.75" customHeight="1" x14ac:dyDescent="0.35">
      <c r="A5697" s="103"/>
      <c r="C5697" s="100"/>
    </row>
    <row r="5698" spans="1:3" ht="18.75" customHeight="1" x14ac:dyDescent="0.35">
      <c r="A5698" s="103"/>
      <c r="C5698" s="100"/>
    </row>
    <row r="5699" spans="1:3" ht="18.75" customHeight="1" x14ac:dyDescent="0.35">
      <c r="A5699" s="103"/>
      <c r="C5699" s="100"/>
    </row>
    <row r="5700" spans="1:3" ht="18.75" customHeight="1" x14ac:dyDescent="0.35">
      <c r="A5700" s="103"/>
      <c r="C5700" s="100"/>
    </row>
    <row r="5701" spans="1:3" ht="18.75" customHeight="1" x14ac:dyDescent="0.35">
      <c r="A5701" s="103"/>
      <c r="C5701" s="100"/>
    </row>
    <row r="5702" spans="1:3" ht="18.75" customHeight="1" x14ac:dyDescent="0.35">
      <c r="A5702" s="103"/>
      <c r="C5702" s="100"/>
    </row>
    <row r="5703" spans="1:3" ht="18.75" customHeight="1" x14ac:dyDescent="0.35">
      <c r="A5703" s="103"/>
      <c r="C5703" s="100"/>
    </row>
    <row r="5704" spans="1:3" ht="18.75" customHeight="1" x14ac:dyDescent="0.35">
      <c r="A5704" s="103"/>
      <c r="C5704" s="100"/>
    </row>
    <row r="5705" spans="1:3" ht="18.75" customHeight="1" x14ac:dyDescent="0.35">
      <c r="A5705" s="103"/>
      <c r="C5705" s="100"/>
    </row>
    <row r="5706" spans="1:3" ht="18.75" customHeight="1" x14ac:dyDescent="0.35">
      <c r="A5706" s="103"/>
      <c r="C5706" s="100"/>
    </row>
    <row r="5707" spans="1:3" ht="18.75" customHeight="1" x14ac:dyDescent="0.35">
      <c r="A5707" s="103"/>
      <c r="C5707" s="100"/>
    </row>
    <row r="5708" spans="1:3" ht="18.75" customHeight="1" x14ac:dyDescent="0.35">
      <c r="A5708" s="103"/>
      <c r="C5708" s="100"/>
    </row>
    <row r="5709" spans="1:3" ht="18.75" customHeight="1" x14ac:dyDescent="0.35">
      <c r="A5709" s="103"/>
      <c r="C5709" s="100"/>
    </row>
    <row r="5710" spans="1:3" ht="18.75" customHeight="1" x14ac:dyDescent="0.35">
      <c r="A5710" s="103"/>
      <c r="C5710" s="100"/>
    </row>
    <row r="5711" spans="1:3" ht="18.75" customHeight="1" x14ac:dyDescent="0.35">
      <c r="A5711" s="103"/>
      <c r="C5711" s="100"/>
    </row>
    <row r="5712" spans="1:3" ht="18.75" customHeight="1" x14ac:dyDescent="0.35">
      <c r="A5712" s="103"/>
      <c r="C5712" s="100"/>
    </row>
    <row r="5713" spans="1:3" ht="18.75" customHeight="1" x14ac:dyDescent="0.35">
      <c r="A5713" s="103"/>
      <c r="C5713" s="100"/>
    </row>
    <row r="5714" spans="1:3" ht="18.75" customHeight="1" x14ac:dyDescent="0.35">
      <c r="A5714" s="103"/>
      <c r="C5714" s="100"/>
    </row>
    <row r="5715" spans="1:3" ht="18.75" customHeight="1" x14ac:dyDescent="0.35">
      <c r="A5715" s="103"/>
      <c r="C5715" s="100"/>
    </row>
    <row r="5716" spans="1:3" ht="18.75" customHeight="1" x14ac:dyDescent="0.35">
      <c r="A5716" s="103"/>
      <c r="C5716" s="100"/>
    </row>
    <row r="5717" spans="1:3" ht="18.75" customHeight="1" x14ac:dyDescent="0.35">
      <c r="A5717" s="103"/>
      <c r="C5717" s="100"/>
    </row>
    <row r="5718" spans="1:3" ht="18.75" customHeight="1" x14ac:dyDescent="0.35">
      <c r="A5718" s="103"/>
      <c r="C5718" s="100"/>
    </row>
    <row r="5719" spans="1:3" ht="18.75" customHeight="1" x14ac:dyDescent="0.35">
      <c r="A5719" s="103"/>
      <c r="C5719" s="100"/>
    </row>
    <row r="5720" spans="1:3" ht="18.75" customHeight="1" x14ac:dyDescent="0.35">
      <c r="A5720" s="103"/>
      <c r="C5720" s="100"/>
    </row>
    <row r="5721" spans="1:3" ht="18.75" customHeight="1" x14ac:dyDescent="0.35">
      <c r="A5721" s="103"/>
      <c r="C5721" s="100"/>
    </row>
    <row r="5722" spans="1:3" ht="18.75" customHeight="1" x14ac:dyDescent="0.35">
      <c r="A5722" s="103"/>
      <c r="C5722" s="100"/>
    </row>
    <row r="5723" spans="1:3" ht="18.75" customHeight="1" x14ac:dyDescent="0.35">
      <c r="A5723" s="103"/>
      <c r="C5723" s="100"/>
    </row>
    <row r="5724" spans="1:3" ht="18.75" customHeight="1" x14ac:dyDescent="0.35">
      <c r="A5724" s="103"/>
      <c r="C5724" s="100"/>
    </row>
    <row r="5725" spans="1:3" ht="18.75" customHeight="1" x14ac:dyDescent="0.35">
      <c r="A5725" s="103"/>
      <c r="C5725" s="100"/>
    </row>
    <row r="5726" spans="1:3" ht="18.75" customHeight="1" x14ac:dyDescent="0.35">
      <c r="A5726" s="103"/>
      <c r="C5726" s="100"/>
    </row>
    <row r="5727" spans="1:3" ht="18.75" customHeight="1" x14ac:dyDescent="0.35">
      <c r="A5727" s="103"/>
      <c r="C5727" s="100"/>
    </row>
    <row r="5728" spans="1:3" ht="18.75" customHeight="1" x14ac:dyDescent="0.35">
      <c r="A5728" s="103"/>
      <c r="C5728" s="100"/>
    </row>
    <row r="5729" spans="1:3" ht="18.75" customHeight="1" x14ac:dyDescent="0.35">
      <c r="A5729" s="103"/>
      <c r="C5729" s="100"/>
    </row>
    <row r="5730" spans="1:3" ht="18.75" customHeight="1" x14ac:dyDescent="0.35">
      <c r="A5730" s="103"/>
      <c r="C5730" s="100"/>
    </row>
    <row r="5731" spans="1:3" ht="18.75" customHeight="1" x14ac:dyDescent="0.35">
      <c r="A5731" s="103"/>
      <c r="C5731" s="100"/>
    </row>
    <row r="5732" spans="1:3" ht="18.75" customHeight="1" x14ac:dyDescent="0.35">
      <c r="A5732" s="103"/>
      <c r="C5732" s="100"/>
    </row>
    <row r="5733" spans="1:3" ht="18.75" customHeight="1" x14ac:dyDescent="0.35">
      <c r="A5733" s="103"/>
      <c r="C5733" s="100"/>
    </row>
    <row r="5734" spans="1:3" ht="18.75" customHeight="1" x14ac:dyDescent="0.35">
      <c r="A5734" s="103"/>
      <c r="C5734" s="100"/>
    </row>
    <row r="5735" spans="1:3" ht="18.75" customHeight="1" x14ac:dyDescent="0.35">
      <c r="A5735" s="103"/>
      <c r="C5735" s="100"/>
    </row>
    <row r="5736" spans="1:3" ht="18.75" customHeight="1" x14ac:dyDescent="0.35">
      <c r="A5736" s="103"/>
      <c r="C5736" s="100"/>
    </row>
    <row r="5737" spans="1:3" ht="18.75" customHeight="1" x14ac:dyDescent="0.35">
      <c r="A5737" s="103"/>
      <c r="C5737" s="100"/>
    </row>
    <row r="5738" spans="1:3" ht="18.75" customHeight="1" x14ac:dyDescent="0.35">
      <c r="A5738" s="103"/>
      <c r="C5738" s="100"/>
    </row>
    <row r="5739" spans="1:3" ht="18.75" customHeight="1" x14ac:dyDescent="0.35">
      <c r="A5739" s="103"/>
      <c r="C5739" s="100"/>
    </row>
    <row r="5740" spans="1:3" ht="18.75" customHeight="1" x14ac:dyDescent="0.35">
      <c r="A5740" s="103"/>
      <c r="C5740" s="100"/>
    </row>
    <row r="5741" spans="1:3" ht="18.75" customHeight="1" x14ac:dyDescent="0.35">
      <c r="A5741" s="103"/>
      <c r="C5741" s="100"/>
    </row>
    <row r="5742" spans="1:3" ht="18.75" customHeight="1" x14ac:dyDescent="0.35">
      <c r="A5742" s="103"/>
      <c r="C5742" s="100"/>
    </row>
    <row r="5743" spans="1:3" ht="18.75" customHeight="1" x14ac:dyDescent="0.35">
      <c r="A5743" s="103"/>
      <c r="C5743" s="100"/>
    </row>
    <row r="5744" spans="1:3" ht="18.75" customHeight="1" x14ac:dyDescent="0.35">
      <c r="A5744" s="103"/>
      <c r="C5744" s="100"/>
    </row>
    <row r="5745" spans="1:3" ht="18.75" customHeight="1" x14ac:dyDescent="0.35">
      <c r="A5745" s="103"/>
      <c r="C5745" s="100"/>
    </row>
    <row r="5746" spans="1:3" ht="18.75" customHeight="1" x14ac:dyDescent="0.35">
      <c r="A5746" s="103"/>
      <c r="C5746" s="100"/>
    </row>
    <row r="5747" spans="1:3" ht="18.75" customHeight="1" x14ac:dyDescent="0.35">
      <c r="A5747" s="103"/>
      <c r="C5747" s="100"/>
    </row>
    <row r="5748" spans="1:3" ht="18.75" customHeight="1" x14ac:dyDescent="0.35">
      <c r="A5748" s="103"/>
      <c r="C5748" s="100"/>
    </row>
    <row r="5749" spans="1:3" ht="18.75" customHeight="1" x14ac:dyDescent="0.35">
      <c r="A5749" s="103"/>
      <c r="C5749" s="100"/>
    </row>
    <row r="5750" spans="1:3" ht="18.75" customHeight="1" x14ac:dyDescent="0.35">
      <c r="A5750" s="103"/>
      <c r="C5750" s="100"/>
    </row>
    <row r="5751" spans="1:3" ht="18.75" customHeight="1" x14ac:dyDescent="0.35">
      <c r="A5751" s="103"/>
      <c r="C5751" s="100"/>
    </row>
    <row r="5752" spans="1:3" ht="18.75" customHeight="1" x14ac:dyDescent="0.35">
      <c r="A5752" s="103"/>
      <c r="C5752" s="100"/>
    </row>
    <row r="5753" spans="1:3" ht="18.75" customHeight="1" x14ac:dyDescent="0.35">
      <c r="A5753" s="103"/>
      <c r="C5753" s="100"/>
    </row>
    <row r="5754" spans="1:3" ht="18.75" customHeight="1" x14ac:dyDescent="0.35">
      <c r="A5754" s="103"/>
      <c r="C5754" s="100"/>
    </row>
    <row r="5755" spans="1:3" ht="18.75" customHeight="1" x14ac:dyDescent="0.35">
      <c r="A5755" s="103"/>
      <c r="C5755" s="100"/>
    </row>
    <row r="5756" spans="1:3" ht="18.75" customHeight="1" x14ac:dyDescent="0.35">
      <c r="A5756" s="103"/>
      <c r="C5756" s="100"/>
    </row>
    <row r="5757" spans="1:3" ht="18.75" customHeight="1" x14ac:dyDescent="0.35">
      <c r="A5757" s="103"/>
      <c r="C5757" s="100"/>
    </row>
    <row r="5758" spans="1:3" ht="18.75" customHeight="1" x14ac:dyDescent="0.35">
      <c r="A5758" s="103"/>
      <c r="C5758" s="100"/>
    </row>
    <row r="5759" spans="1:3" ht="18.75" customHeight="1" x14ac:dyDescent="0.35">
      <c r="A5759" s="103"/>
      <c r="C5759" s="100"/>
    </row>
    <row r="5760" spans="1:3" ht="18.75" customHeight="1" x14ac:dyDescent="0.35">
      <c r="A5760" s="103"/>
      <c r="C5760" s="100"/>
    </row>
    <row r="5761" spans="1:3" ht="18.75" customHeight="1" x14ac:dyDescent="0.35">
      <c r="A5761" s="103"/>
      <c r="C5761" s="100"/>
    </row>
    <row r="5762" spans="1:3" ht="18.75" customHeight="1" x14ac:dyDescent="0.35">
      <c r="A5762" s="103"/>
      <c r="C5762" s="100"/>
    </row>
    <row r="5763" spans="1:3" ht="18.75" customHeight="1" x14ac:dyDescent="0.35">
      <c r="A5763" s="103"/>
      <c r="C5763" s="100"/>
    </row>
    <row r="5764" spans="1:3" ht="18.75" customHeight="1" x14ac:dyDescent="0.35">
      <c r="A5764" s="103"/>
      <c r="C5764" s="100"/>
    </row>
    <row r="5765" spans="1:3" ht="18.75" customHeight="1" x14ac:dyDescent="0.35">
      <c r="A5765" s="103"/>
      <c r="C5765" s="100"/>
    </row>
    <row r="5766" spans="1:3" ht="18.75" customHeight="1" x14ac:dyDescent="0.35">
      <c r="A5766" s="103"/>
      <c r="C5766" s="100"/>
    </row>
    <row r="5767" spans="1:3" ht="18.75" customHeight="1" x14ac:dyDescent="0.35">
      <c r="A5767" s="103"/>
      <c r="C5767" s="100"/>
    </row>
    <row r="5768" spans="1:3" ht="18.75" customHeight="1" x14ac:dyDescent="0.35">
      <c r="A5768" s="103"/>
      <c r="C5768" s="100"/>
    </row>
    <row r="5769" spans="1:3" ht="18.75" customHeight="1" x14ac:dyDescent="0.35">
      <c r="A5769" s="103"/>
      <c r="C5769" s="100"/>
    </row>
    <row r="5770" spans="1:3" ht="18.75" customHeight="1" x14ac:dyDescent="0.35">
      <c r="A5770" s="103"/>
      <c r="C5770" s="100"/>
    </row>
    <row r="5771" spans="1:3" ht="18.75" customHeight="1" x14ac:dyDescent="0.35">
      <c r="A5771" s="103"/>
      <c r="C5771" s="100"/>
    </row>
    <row r="5772" spans="1:3" ht="18.75" customHeight="1" x14ac:dyDescent="0.35">
      <c r="A5772" s="103"/>
      <c r="C5772" s="100"/>
    </row>
    <row r="5773" spans="1:3" ht="18.75" customHeight="1" x14ac:dyDescent="0.35">
      <c r="A5773" s="103"/>
      <c r="C5773" s="100"/>
    </row>
    <row r="5774" spans="1:3" ht="18.75" customHeight="1" x14ac:dyDescent="0.35">
      <c r="A5774" s="103"/>
      <c r="C5774" s="100"/>
    </row>
    <row r="5775" spans="1:3" ht="18.75" customHeight="1" x14ac:dyDescent="0.35">
      <c r="A5775" s="103"/>
      <c r="C5775" s="100"/>
    </row>
    <row r="5776" spans="1:3" ht="18.75" customHeight="1" x14ac:dyDescent="0.35">
      <c r="A5776" s="103"/>
      <c r="C5776" s="100"/>
    </row>
    <row r="5777" spans="1:3" ht="18.75" customHeight="1" x14ac:dyDescent="0.35">
      <c r="A5777" s="103"/>
      <c r="C5777" s="100"/>
    </row>
    <row r="5778" spans="1:3" ht="18.75" customHeight="1" x14ac:dyDescent="0.35">
      <c r="A5778" s="103"/>
      <c r="C5778" s="100"/>
    </row>
    <row r="5779" spans="1:3" ht="18.75" customHeight="1" x14ac:dyDescent="0.35">
      <c r="A5779" s="103"/>
      <c r="C5779" s="100"/>
    </row>
    <row r="5780" spans="1:3" ht="18.75" customHeight="1" x14ac:dyDescent="0.35">
      <c r="A5780" s="103"/>
      <c r="C5780" s="100"/>
    </row>
    <row r="5781" spans="1:3" ht="18.75" customHeight="1" x14ac:dyDescent="0.35">
      <c r="A5781" s="103"/>
      <c r="C5781" s="100"/>
    </row>
    <row r="5782" spans="1:3" ht="18.75" customHeight="1" x14ac:dyDescent="0.35">
      <c r="A5782" s="103"/>
      <c r="C5782" s="100"/>
    </row>
    <row r="5783" spans="1:3" ht="18.75" customHeight="1" x14ac:dyDescent="0.35">
      <c r="A5783" s="103"/>
      <c r="C5783" s="100"/>
    </row>
    <row r="5784" spans="1:3" ht="18.75" customHeight="1" x14ac:dyDescent="0.35">
      <c r="A5784" s="103"/>
      <c r="C5784" s="100"/>
    </row>
    <row r="5785" spans="1:3" ht="18.75" customHeight="1" x14ac:dyDescent="0.35">
      <c r="A5785" s="103"/>
      <c r="C5785" s="100"/>
    </row>
    <row r="5786" spans="1:3" ht="18.75" customHeight="1" x14ac:dyDescent="0.35">
      <c r="A5786" s="103"/>
      <c r="C5786" s="100"/>
    </row>
    <row r="5787" spans="1:3" ht="18.75" customHeight="1" x14ac:dyDescent="0.35">
      <c r="A5787" s="103"/>
      <c r="C5787" s="100"/>
    </row>
    <row r="5788" spans="1:3" ht="18.75" customHeight="1" x14ac:dyDescent="0.35">
      <c r="A5788" s="103"/>
      <c r="C5788" s="100"/>
    </row>
    <row r="5789" spans="1:3" ht="18.75" customHeight="1" x14ac:dyDescent="0.35">
      <c r="A5789" s="103"/>
      <c r="C5789" s="100"/>
    </row>
    <row r="5790" spans="1:3" ht="18.75" customHeight="1" x14ac:dyDescent="0.35">
      <c r="A5790" s="103"/>
      <c r="C5790" s="100"/>
    </row>
    <row r="5791" spans="1:3" ht="18.75" customHeight="1" x14ac:dyDescent="0.35">
      <c r="A5791" s="103"/>
      <c r="C5791" s="100"/>
    </row>
    <row r="5792" spans="1:3" ht="18.75" customHeight="1" x14ac:dyDescent="0.35">
      <c r="A5792" s="103"/>
      <c r="C5792" s="100"/>
    </row>
    <row r="5793" spans="1:3" ht="18.75" customHeight="1" x14ac:dyDescent="0.35">
      <c r="A5793" s="103"/>
      <c r="C5793" s="100"/>
    </row>
    <row r="5794" spans="1:3" ht="18.75" customHeight="1" x14ac:dyDescent="0.35">
      <c r="A5794" s="103"/>
      <c r="C5794" s="100"/>
    </row>
    <row r="5795" spans="1:3" ht="18.75" customHeight="1" x14ac:dyDescent="0.35">
      <c r="A5795" s="103"/>
      <c r="C5795" s="100"/>
    </row>
    <row r="5796" spans="1:3" ht="18.75" customHeight="1" x14ac:dyDescent="0.35">
      <c r="A5796" s="103"/>
      <c r="C5796" s="100"/>
    </row>
    <row r="5797" spans="1:3" ht="18.75" customHeight="1" x14ac:dyDescent="0.35">
      <c r="A5797" s="103"/>
      <c r="C5797" s="100"/>
    </row>
    <row r="5798" spans="1:3" ht="18.75" customHeight="1" x14ac:dyDescent="0.35">
      <c r="A5798" s="103"/>
      <c r="C5798" s="100"/>
    </row>
    <row r="5799" spans="1:3" ht="18.75" customHeight="1" x14ac:dyDescent="0.35">
      <c r="A5799" s="103"/>
      <c r="C5799" s="100"/>
    </row>
    <row r="5800" spans="1:3" ht="18.75" customHeight="1" x14ac:dyDescent="0.35">
      <c r="A5800" s="103"/>
      <c r="C5800" s="100"/>
    </row>
    <row r="5801" spans="1:3" ht="18.75" customHeight="1" x14ac:dyDescent="0.35">
      <c r="A5801" s="103"/>
      <c r="C5801" s="100"/>
    </row>
    <row r="5802" spans="1:3" ht="18.75" customHeight="1" x14ac:dyDescent="0.35">
      <c r="A5802" s="103"/>
      <c r="C5802" s="100"/>
    </row>
    <row r="5803" spans="1:3" ht="18.75" customHeight="1" x14ac:dyDescent="0.35">
      <c r="A5803" s="103"/>
      <c r="C5803" s="100"/>
    </row>
    <row r="5804" spans="1:3" ht="18.75" customHeight="1" x14ac:dyDescent="0.35">
      <c r="A5804" s="103"/>
      <c r="C5804" s="100"/>
    </row>
    <row r="5805" spans="1:3" ht="18.75" customHeight="1" x14ac:dyDescent="0.35">
      <c r="A5805" s="103"/>
      <c r="C5805" s="100"/>
    </row>
    <row r="5806" spans="1:3" ht="18.75" customHeight="1" x14ac:dyDescent="0.35">
      <c r="A5806" s="103"/>
      <c r="C5806" s="100"/>
    </row>
    <row r="5807" spans="1:3" ht="18.75" customHeight="1" x14ac:dyDescent="0.35">
      <c r="A5807" s="103"/>
      <c r="C5807" s="100"/>
    </row>
    <row r="5808" spans="1:3" ht="18.75" customHeight="1" x14ac:dyDescent="0.35">
      <c r="A5808" s="103"/>
      <c r="C5808" s="100"/>
    </row>
    <row r="5809" spans="1:3" ht="18.75" customHeight="1" x14ac:dyDescent="0.35">
      <c r="A5809" s="103"/>
      <c r="C5809" s="100"/>
    </row>
    <row r="5810" spans="1:3" ht="18.75" customHeight="1" x14ac:dyDescent="0.35">
      <c r="A5810" s="103"/>
      <c r="C5810" s="100"/>
    </row>
    <row r="5811" spans="1:3" ht="18.75" customHeight="1" x14ac:dyDescent="0.35">
      <c r="A5811" s="103"/>
      <c r="C5811" s="100"/>
    </row>
    <row r="5812" spans="1:3" ht="18.75" customHeight="1" x14ac:dyDescent="0.35">
      <c r="A5812" s="103"/>
      <c r="C5812" s="100"/>
    </row>
    <row r="5813" spans="1:3" ht="18.75" customHeight="1" x14ac:dyDescent="0.35">
      <c r="A5813" s="103"/>
      <c r="C5813" s="100"/>
    </row>
    <row r="5814" spans="1:3" ht="18.75" customHeight="1" x14ac:dyDescent="0.35">
      <c r="A5814" s="103"/>
      <c r="C5814" s="100"/>
    </row>
    <row r="5815" spans="1:3" ht="18.75" customHeight="1" x14ac:dyDescent="0.35">
      <c r="A5815" s="103"/>
      <c r="C5815" s="100"/>
    </row>
    <row r="5816" spans="1:3" ht="18.75" customHeight="1" x14ac:dyDescent="0.35">
      <c r="A5816" s="103"/>
      <c r="C5816" s="100"/>
    </row>
    <row r="5817" spans="1:3" ht="18.75" customHeight="1" x14ac:dyDescent="0.35">
      <c r="A5817" s="103"/>
      <c r="C5817" s="100"/>
    </row>
    <row r="5818" spans="1:3" ht="18.75" customHeight="1" x14ac:dyDescent="0.35">
      <c r="A5818" s="103"/>
      <c r="C5818" s="100"/>
    </row>
    <row r="5819" spans="1:3" ht="18.75" customHeight="1" x14ac:dyDescent="0.35">
      <c r="A5819" s="103"/>
      <c r="C5819" s="100"/>
    </row>
    <row r="5820" spans="1:3" ht="18.75" customHeight="1" x14ac:dyDescent="0.35">
      <c r="A5820" s="103"/>
      <c r="C5820" s="100"/>
    </row>
    <row r="5821" spans="1:3" ht="18.75" customHeight="1" x14ac:dyDescent="0.35">
      <c r="A5821" s="103"/>
      <c r="C5821" s="100"/>
    </row>
    <row r="5822" spans="1:3" ht="18.75" customHeight="1" x14ac:dyDescent="0.35">
      <c r="A5822" s="103"/>
      <c r="C5822" s="100"/>
    </row>
    <row r="5823" spans="1:3" ht="18.75" customHeight="1" x14ac:dyDescent="0.35">
      <c r="A5823" s="103"/>
      <c r="C5823" s="100"/>
    </row>
    <row r="5824" spans="1:3" ht="18.75" customHeight="1" x14ac:dyDescent="0.35">
      <c r="A5824" s="103"/>
      <c r="C5824" s="100"/>
    </row>
    <row r="5825" spans="1:3" ht="18.75" customHeight="1" x14ac:dyDescent="0.35">
      <c r="A5825" s="103"/>
      <c r="C5825" s="100"/>
    </row>
    <row r="5826" spans="1:3" ht="18.75" customHeight="1" x14ac:dyDescent="0.35">
      <c r="A5826" s="103"/>
      <c r="C5826" s="100"/>
    </row>
    <row r="5827" spans="1:3" ht="18.75" customHeight="1" x14ac:dyDescent="0.35">
      <c r="A5827" s="103"/>
      <c r="C5827" s="100"/>
    </row>
    <row r="5828" spans="1:3" ht="18.75" customHeight="1" x14ac:dyDescent="0.35">
      <c r="A5828" s="103"/>
      <c r="C5828" s="100"/>
    </row>
    <row r="5829" spans="1:3" ht="18.75" customHeight="1" x14ac:dyDescent="0.35">
      <c r="A5829" s="103"/>
      <c r="C5829" s="100"/>
    </row>
    <row r="5830" spans="1:3" ht="18.75" customHeight="1" x14ac:dyDescent="0.35">
      <c r="A5830" s="103"/>
      <c r="C5830" s="100"/>
    </row>
    <row r="5831" spans="1:3" ht="18.75" customHeight="1" x14ac:dyDescent="0.35">
      <c r="A5831" s="103"/>
      <c r="C5831" s="100"/>
    </row>
    <row r="5832" spans="1:3" ht="18.75" customHeight="1" x14ac:dyDescent="0.35">
      <c r="A5832" s="103"/>
      <c r="C5832" s="100"/>
    </row>
    <row r="5833" spans="1:3" ht="18.75" customHeight="1" x14ac:dyDescent="0.35">
      <c r="A5833" s="103"/>
      <c r="C5833" s="100"/>
    </row>
    <row r="5834" spans="1:3" ht="18.75" customHeight="1" x14ac:dyDescent="0.35">
      <c r="A5834" s="103"/>
      <c r="C5834" s="100"/>
    </row>
    <row r="5835" spans="1:3" ht="18.75" customHeight="1" x14ac:dyDescent="0.35">
      <c r="A5835" s="103"/>
      <c r="C5835" s="100"/>
    </row>
    <row r="5836" spans="1:3" ht="18.75" customHeight="1" x14ac:dyDescent="0.35">
      <c r="A5836" s="103"/>
      <c r="C5836" s="100"/>
    </row>
    <row r="5837" spans="1:3" ht="18.75" customHeight="1" x14ac:dyDescent="0.35">
      <c r="A5837" s="103"/>
      <c r="C5837" s="100"/>
    </row>
    <row r="5838" spans="1:3" ht="18.75" customHeight="1" x14ac:dyDescent="0.35">
      <c r="A5838" s="103"/>
      <c r="C5838" s="100"/>
    </row>
    <row r="5839" spans="1:3" ht="18.75" customHeight="1" x14ac:dyDescent="0.35">
      <c r="A5839" s="103"/>
      <c r="C5839" s="100"/>
    </row>
    <row r="5840" spans="1:3" ht="18.75" customHeight="1" x14ac:dyDescent="0.35">
      <c r="A5840" s="103"/>
      <c r="C5840" s="100"/>
    </row>
    <row r="5841" spans="1:3" ht="18.75" customHeight="1" x14ac:dyDescent="0.35">
      <c r="A5841" s="103"/>
      <c r="C5841" s="100"/>
    </row>
    <row r="5842" spans="1:3" ht="18.75" customHeight="1" x14ac:dyDescent="0.35">
      <c r="A5842" s="103"/>
      <c r="C5842" s="100"/>
    </row>
    <row r="5843" spans="1:3" ht="18.75" customHeight="1" x14ac:dyDescent="0.35">
      <c r="A5843" s="103"/>
      <c r="C5843" s="100"/>
    </row>
    <row r="5844" spans="1:3" ht="18.75" customHeight="1" x14ac:dyDescent="0.35">
      <c r="A5844" s="103"/>
      <c r="C5844" s="100"/>
    </row>
    <row r="5845" spans="1:3" ht="18.75" customHeight="1" x14ac:dyDescent="0.35">
      <c r="A5845" s="103"/>
      <c r="C5845" s="100"/>
    </row>
    <row r="5846" spans="1:3" ht="18.75" customHeight="1" x14ac:dyDescent="0.35">
      <c r="A5846" s="103"/>
      <c r="C5846" s="100"/>
    </row>
    <row r="5847" spans="1:3" ht="18.75" customHeight="1" x14ac:dyDescent="0.35">
      <c r="A5847" s="103"/>
      <c r="C5847" s="100"/>
    </row>
    <row r="5848" spans="1:3" ht="18.75" customHeight="1" x14ac:dyDescent="0.35">
      <c r="A5848" s="103"/>
      <c r="C5848" s="100"/>
    </row>
    <row r="5849" spans="1:3" ht="18.75" customHeight="1" x14ac:dyDescent="0.35">
      <c r="A5849" s="103"/>
      <c r="C5849" s="100"/>
    </row>
    <row r="5850" spans="1:3" ht="18.75" customHeight="1" x14ac:dyDescent="0.35">
      <c r="A5850" s="103"/>
      <c r="C5850" s="100"/>
    </row>
    <row r="5851" spans="1:3" ht="18.75" customHeight="1" x14ac:dyDescent="0.35">
      <c r="A5851" s="103"/>
      <c r="C5851" s="100"/>
    </row>
    <row r="5852" spans="1:3" ht="18.75" customHeight="1" x14ac:dyDescent="0.35">
      <c r="A5852" s="103"/>
      <c r="C5852" s="100"/>
    </row>
    <row r="5853" spans="1:3" ht="18.75" customHeight="1" x14ac:dyDescent="0.35">
      <c r="A5853" s="103"/>
      <c r="C5853" s="100"/>
    </row>
    <row r="5854" spans="1:3" ht="18.75" customHeight="1" x14ac:dyDescent="0.35">
      <c r="A5854" s="103"/>
      <c r="C5854" s="100"/>
    </row>
    <row r="5855" spans="1:3" ht="18.75" customHeight="1" x14ac:dyDescent="0.35">
      <c r="A5855" s="103"/>
      <c r="C5855" s="100"/>
    </row>
    <row r="5856" spans="1:3" ht="18.75" customHeight="1" x14ac:dyDescent="0.35">
      <c r="A5856" s="103"/>
      <c r="C5856" s="100"/>
    </row>
    <row r="5857" spans="1:3" ht="18.75" customHeight="1" x14ac:dyDescent="0.35">
      <c r="A5857" s="103"/>
      <c r="C5857" s="100"/>
    </row>
    <row r="5858" spans="1:3" ht="18.75" customHeight="1" x14ac:dyDescent="0.35">
      <c r="A5858" s="103"/>
      <c r="C5858" s="100"/>
    </row>
    <row r="5859" spans="1:3" ht="18.75" customHeight="1" x14ac:dyDescent="0.35">
      <c r="A5859" s="103"/>
      <c r="C5859" s="100"/>
    </row>
    <row r="5860" spans="1:3" ht="18.75" customHeight="1" x14ac:dyDescent="0.35">
      <c r="A5860" s="103"/>
      <c r="C5860" s="100"/>
    </row>
    <row r="5861" spans="1:3" ht="18.75" customHeight="1" x14ac:dyDescent="0.35">
      <c r="A5861" s="103"/>
      <c r="C5861" s="100"/>
    </row>
    <row r="5862" spans="1:3" ht="18.75" customHeight="1" x14ac:dyDescent="0.35">
      <c r="A5862" s="103"/>
      <c r="C5862" s="100"/>
    </row>
    <row r="5863" spans="1:3" ht="18.75" customHeight="1" x14ac:dyDescent="0.35">
      <c r="A5863" s="103"/>
      <c r="C5863" s="100"/>
    </row>
    <row r="5864" spans="1:3" ht="18.75" customHeight="1" x14ac:dyDescent="0.35">
      <c r="A5864" s="103"/>
      <c r="C5864" s="100"/>
    </row>
    <row r="5865" spans="1:3" ht="18.75" customHeight="1" x14ac:dyDescent="0.35">
      <c r="A5865" s="103"/>
      <c r="C5865" s="100"/>
    </row>
    <row r="5866" spans="1:3" ht="18.75" customHeight="1" x14ac:dyDescent="0.35">
      <c r="A5866" s="103"/>
      <c r="C5866" s="100"/>
    </row>
    <row r="5867" spans="1:3" ht="18.75" customHeight="1" x14ac:dyDescent="0.35">
      <c r="A5867" s="103"/>
      <c r="C5867" s="100"/>
    </row>
    <row r="5868" spans="1:3" ht="18.75" customHeight="1" x14ac:dyDescent="0.35">
      <c r="A5868" s="103"/>
      <c r="C5868" s="100"/>
    </row>
    <row r="5869" spans="1:3" ht="18.75" customHeight="1" x14ac:dyDescent="0.35">
      <c r="A5869" s="103"/>
      <c r="C5869" s="100"/>
    </row>
    <row r="5870" spans="1:3" ht="18.75" customHeight="1" x14ac:dyDescent="0.35">
      <c r="A5870" s="103"/>
      <c r="C5870" s="100"/>
    </row>
    <row r="5871" spans="1:3" ht="18.75" customHeight="1" x14ac:dyDescent="0.35">
      <c r="A5871" s="103"/>
      <c r="C5871" s="100"/>
    </row>
    <row r="5872" spans="1:3" ht="18.75" customHeight="1" x14ac:dyDescent="0.35">
      <c r="A5872" s="103"/>
      <c r="C5872" s="100"/>
    </row>
    <row r="5873" spans="1:3" ht="18.75" customHeight="1" x14ac:dyDescent="0.35">
      <c r="A5873" s="103"/>
      <c r="C5873" s="100"/>
    </row>
    <row r="5874" spans="1:3" ht="18.75" customHeight="1" x14ac:dyDescent="0.35">
      <c r="A5874" s="103"/>
      <c r="C5874" s="100"/>
    </row>
    <row r="5875" spans="1:3" ht="18.75" customHeight="1" x14ac:dyDescent="0.35">
      <c r="A5875" s="103"/>
      <c r="C5875" s="100"/>
    </row>
    <row r="5876" spans="1:3" ht="18.75" customHeight="1" x14ac:dyDescent="0.35">
      <c r="A5876" s="103"/>
      <c r="C5876" s="100"/>
    </row>
    <row r="5877" spans="1:3" ht="18.75" customHeight="1" x14ac:dyDescent="0.35">
      <c r="A5877" s="103"/>
      <c r="C5877" s="100"/>
    </row>
    <row r="5878" spans="1:3" ht="18.75" customHeight="1" x14ac:dyDescent="0.35">
      <c r="A5878" s="103"/>
      <c r="C5878" s="100"/>
    </row>
    <row r="5879" spans="1:3" ht="18.75" customHeight="1" x14ac:dyDescent="0.35">
      <c r="A5879" s="103"/>
      <c r="C5879" s="100"/>
    </row>
    <row r="5880" spans="1:3" ht="18.75" customHeight="1" x14ac:dyDescent="0.35">
      <c r="A5880" s="103"/>
      <c r="C5880" s="100"/>
    </row>
    <row r="5881" spans="1:3" ht="18.75" customHeight="1" x14ac:dyDescent="0.35">
      <c r="A5881" s="103"/>
      <c r="C5881" s="100"/>
    </row>
    <row r="5882" spans="1:3" ht="18.75" customHeight="1" x14ac:dyDescent="0.35">
      <c r="A5882" s="103"/>
      <c r="C5882" s="100"/>
    </row>
    <row r="5883" spans="1:3" ht="18.75" customHeight="1" x14ac:dyDescent="0.35">
      <c r="A5883" s="103"/>
      <c r="C5883" s="100"/>
    </row>
    <row r="5884" spans="1:3" ht="18.75" customHeight="1" x14ac:dyDescent="0.35">
      <c r="A5884" s="103"/>
      <c r="C5884" s="100"/>
    </row>
    <row r="5885" spans="1:3" ht="18.75" customHeight="1" x14ac:dyDescent="0.35">
      <c r="A5885" s="103"/>
      <c r="C5885" s="100"/>
    </row>
    <row r="5886" spans="1:3" ht="18.75" customHeight="1" x14ac:dyDescent="0.35">
      <c r="A5886" s="103"/>
      <c r="C5886" s="100"/>
    </row>
    <row r="5887" spans="1:3" ht="18.75" customHeight="1" x14ac:dyDescent="0.35">
      <c r="A5887" s="103"/>
      <c r="C5887" s="100"/>
    </row>
    <row r="5888" spans="1:3" ht="18.75" customHeight="1" x14ac:dyDescent="0.35">
      <c r="A5888" s="103"/>
      <c r="C5888" s="100"/>
    </row>
    <row r="5889" spans="1:3" ht="18.75" customHeight="1" x14ac:dyDescent="0.35">
      <c r="A5889" s="103"/>
      <c r="C5889" s="100"/>
    </row>
    <row r="5890" spans="1:3" ht="18.75" customHeight="1" x14ac:dyDescent="0.35">
      <c r="A5890" s="103"/>
      <c r="C5890" s="100"/>
    </row>
    <row r="5891" spans="1:3" ht="18.75" customHeight="1" x14ac:dyDescent="0.35">
      <c r="A5891" s="103"/>
      <c r="C5891" s="100"/>
    </row>
    <row r="5892" spans="1:3" ht="18.75" customHeight="1" x14ac:dyDescent="0.35">
      <c r="A5892" s="103"/>
      <c r="C5892" s="100"/>
    </row>
    <row r="5893" spans="1:3" ht="18.75" customHeight="1" x14ac:dyDescent="0.35">
      <c r="A5893" s="103"/>
      <c r="C5893" s="100"/>
    </row>
    <row r="5894" spans="1:3" ht="18.75" customHeight="1" x14ac:dyDescent="0.35">
      <c r="A5894" s="103"/>
      <c r="C5894" s="100"/>
    </row>
    <row r="5895" spans="1:3" ht="18.75" customHeight="1" x14ac:dyDescent="0.35">
      <c r="A5895" s="103"/>
      <c r="C5895" s="100"/>
    </row>
    <row r="5896" spans="1:3" ht="18.75" customHeight="1" x14ac:dyDescent="0.35">
      <c r="A5896" s="103"/>
      <c r="C5896" s="100"/>
    </row>
    <row r="5897" spans="1:3" ht="18.75" customHeight="1" x14ac:dyDescent="0.35">
      <c r="A5897" s="103"/>
      <c r="C5897" s="100"/>
    </row>
    <row r="5898" spans="1:3" ht="18.75" customHeight="1" x14ac:dyDescent="0.35">
      <c r="A5898" s="103"/>
      <c r="C5898" s="100"/>
    </row>
    <row r="5899" spans="1:3" ht="18.75" customHeight="1" x14ac:dyDescent="0.35">
      <c r="A5899" s="103"/>
      <c r="C5899" s="100"/>
    </row>
    <row r="5900" spans="1:3" ht="18.75" customHeight="1" x14ac:dyDescent="0.35">
      <c r="A5900" s="103"/>
      <c r="C5900" s="100"/>
    </row>
    <row r="5901" spans="1:3" ht="18.75" customHeight="1" x14ac:dyDescent="0.35">
      <c r="A5901" s="103"/>
      <c r="C5901" s="100"/>
    </row>
    <row r="5902" spans="1:3" ht="18.75" customHeight="1" x14ac:dyDescent="0.35">
      <c r="A5902" s="103"/>
      <c r="C5902" s="100"/>
    </row>
    <row r="5903" spans="1:3" ht="18.75" customHeight="1" x14ac:dyDescent="0.35">
      <c r="A5903" s="103"/>
      <c r="C5903" s="100"/>
    </row>
    <row r="5904" spans="1:3" ht="18.75" customHeight="1" x14ac:dyDescent="0.35">
      <c r="A5904" s="103"/>
      <c r="C5904" s="100"/>
    </row>
    <row r="5905" spans="1:3" ht="18.75" customHeight="1" x14ac:dyDescent="0.35">
      <c r="A5905" s="103"/>
      <c r="C5905" s="100"/>
    </row>
    <row r="5906" spans="1:3" ht="18.75" customHeight="1" x14ac:dyDescent="0.35">
      <c r="A5906" s="103"/>
      <c r="C5906" s="100"/>
    </row>
    <row r="5907" spans="1:3" ht="18.75" customHeight="1" x14ac:dyDescent="0.35">
      <c r="A5907" s="103"/>
      <c r="C5907" s="100"/>
    </row>
    <row r="5908" spans="1:3" ht="18.75" customHeight="1" x14ac:dyDescent="0.35">
      <c r="A5908" s="103"/>
      <c r="C5908" s="100"/>
    </row>
    <row r="5909" spans="1:3" ht="18.75" customHeight="1" x14ac:dyDescent="0.35">
      <c r="A5909" s="103"/>
      <c r="C5909" s="100"/>
    </row>
    <row r="5910" spans="1:3" ht="18.75" customHeight="1" x14ac:dyDescent="0.35">
      <c r="A5910" s="103"/>
      <c r="C5910" s="100"/>
    </row>
    <row r="5911" spans="1:3" ht="18.75" customHeight="1" x14ac:dyDescent="0.35">
      <c r="A5911" s="103"/>
      <c r="C5911" s="100"/>
    </row>
    <row r="5912" spans="1:3" ht="18.75" customHeight="1" x14ac:dyDescent="0.35">
      <c r="A5912" s="103"/>
      <c r="C5912" s="100"/>
    </row>
    <row r="5913" spans="1:3" ht="18.75" customHeight="1" x14ac:dyDescent="0.35">
      <c r="A5913" s="103"/>
      <c r="C5913" s="100"/>
    </row>
    <row r="5914" spans="1:3" ht="18.75" customHeight="1" x14ac:dyDescent="0.35">
      <c r="A5914" s="103"/>
      <c r="C5914" s="100"/>
    </row>
    <row r="5915" spans="1:3" ht="18.75" customHeight="1" x14ac:dyDescent="0.35">
      <c r="A5915" s="103"/>
      <c r="C5915" s="100"/>
    </row>
    <row r="5916" spans="1:3" ht="18.75" customHeight="1" x14ac:dyDescent="0.35">
      <c r="A5916" s="103"/>
      <c r="C5916" s="100"/>
    </row>
    <row r="5917" spans="1:3" ht="18.75" customHeight="1" x14ac:dyDescent="0.35">
      <c r="A5917" s="103"/>
      <c r="C5917" s="100"/>
    </row>
    <row r="5918" spans="1:3" ht="18.75" customHeight="1" x14ac:dyDescent="0.35">
      <c r="A5918" s="103"/>
      <c r="C5918" s="100"/>
    </row>
    <row r="5919" spans="1:3" ht="18.75" customHeight="1" x14ac:dyDescent="0.35">
      <c r="A5919" s="103"/>
      <c r="C5919" s="100"/>
    </row>
    <row r="5920" spans="1:3" ht="18.75" customHeight="1" x14ac:dyDescent="0.35">
      <c r="A5920" s="103"/>
      <c r="C5920" s="100"/>
    </row>
    <row r="5921" spans="1:3" ht="18.75" customHeight="1" x14ac:dyDescent="0.35">
      <c r="A5921" s="103"/>
      <c r="C5921" s="100"/>
    </row>
    <row r="5922" spans="1:3" ht="18.75" customHeight="1" x14ac:dyDescent="0.35">
      <c r="A5922" s="103"/>
      <c r="C5922" s="100"/>
    </row>
    <row r="5923" spans="1:3" ht="18.75" customHeight="1" x14ac:dyDescent="0.35">
      <c r="A5923" s="103"/>
      <c r="C5923" s="100"/>
    </row>
    <row r="5924" spans="1:3" ht="18.75" customHeight="1" x14ac:dyDescent="0.35">
      <c r="A5924" s="103"/>
      <c r="C5924" s="100"/>
    </row>
    <row r="5925" spans="1:3" ht="18.75" customHeight="1" x14ac:dyDescent="0.35">
      <c r="A5925" s="103"/>
      <c r="C5925" s="100"/>
    </row>
    <row r="5926" spans="1:3" ht="18.75" customHeight="1" x14ac:dyDescent="0.35">
      <c r="A5926" s="103"/>
      <c r="C5926" s="100"/>
    </row>
    <row r="5927" spans="1:3" ht="18.75" customHeight="1" x14ac:dyDescent="0.35">
      <c r="A5927" s="103"/>
      <c r="C5927" s="100"/>
    </row>
    <row r="5928" spans="1:3" ht="18.75" customHeight="1" x14ac:dyDescent="0.35">
      <c r="A5928" s="103"/>
      <c r="C5928" s="100"/>
    </row>
    <row r="5929" spans="1:3" ht="18.75" customHeight="1" x14ac:dyDescent="0.35">
      <c r="A5929" s="103"/>
      <c r="C5929" s="100"/>
    </row>
    <row r="5930" spans="1:3" ht="18.75" customHeight="1" x14ac:dyDescent="0.35">
      <c r="A5930" s="103"/>
      <c r="C5930" s="100"/>
    </row>
    <row r="5931" spans="1:3" ht="18.75" customHeight="1" x14ac:dyDescent="0.35">
      <c r="A5931" s="103"/>
      <c r="C5931" s="100"/>
    </row>
    <row r="5932" spans="1:3" ht="18.75" customHeight="1" x14ac:dyDescent="0.35">
      <c r="A5932" s="103"/>
      <c r="C5932" s="100"/>
    </row>
    <row r="5933" spans="1:3" ht="18.75" customHeight="1" x14ac:dyDescent="0.35">
      <c r="A5933" s="103"/>
      <c r="C5933" s="100"/>
    </row>
    <row r="5934" spans="1:3" ht="18.75" customHeight="1" x14ac:dyDescent="0.35">
      <c r="A5934" s="103"/>
      <c r="C5934" s="100"/>
    </row>
    <row r="5935" spans="1:3" ht="18.75" customHeight="1" x14ac:dyDescent="0.35">
      <c r="A5935" s="103"/>
      <c r="C5935" s="100"/>
    </row>
    <row r="5936" spans="1:3" ht="18.75" customHeight="1" x14ac:dyDescent="0.35">
      <c r="A5936" s="103"/>
      <c r="C5936" s="100"/>
    </row>
    <row r="5937" spans="1:3" ht="18.75" customHeight="1" x14ac:dyDescent="0.35">
      <c r="A5937" s="103"/>
      <c r="C5937" s="100"/>
    </row>
    <row r="5938" spans="1:3" ht="18.75" customHeight="1" x14ac:dyDescent="0.35">
      <c r="A5938" s="103"/>
      <c r="C5938" s="100"/>
    </row>
    <row r="5939" spans="1:3" ht="18.75" customHeight="1" x14ac:dyDescent="0.35">
      <c r="A5939" s="103"/>
      <c r="C5939" s="100"/>
    </row>
    <row r="5940" spans="1:3" ht="18.75" customHeight="1" x14ac:dyDescent="0.35">
      <c r="A5940" s="103"/>
      <c r="C5940" s="100"/>
    </row>
    <row r="5941" spans="1:3" ht="18.75" customHeight="1" x14ac:dyDescent="0.35">
      <c r="A5941" s="103"/>
      <c r="C5941" s="100"/>
    </row>
    <row r="5942" spans="1:3" ht="18.75" customHeight="1" x14ac:dyDescent="0.35">
      <c r="A5942" s="103"/>
      <c r="C5942" s="100"/>
    </row>
    <row r="5943" spans="1:3" ht="18.75" customHeight="1" x14ac:dyDescent="0.35">
      <c r="A5943" s="103"/>
      <c r="C5943" s="100"/>
    </row>
    <row r="5944" spans="1:3" ht="18.75" customHeight="1" x14ac:dyDescent="0.35">
      <c r="A5944" s="103"/>
      <c r="C5944" s="100"/>
    </row>
    <row r="5945" spans="1:3" ht="18.75" customHeight="1" x14ac:dyDescent="0.35">
      <c r="A5945" s="103"/>
      <c r="C5945" s="100"/>
    </row>
    <row r="5946" spans="1:3" ht="18.75" customHeight="1" x14ac:dyDescent="0.35">
      <c r="A5946" s="103"/>
      <c r="C5946" s="100"/>
    </row>
    <row r="5947" spans="1:3" ht="18.75" customHeight="1" x14ac:dyDescent="0.35">
      <c r="A5947" s="103"/>
      <c r="C5947" s="100"/>
    </row>
    <row r="5948" spans="1:3" ht="18.75" customHeight="1" x14ac:dyDescent="0.35">
      <c r="A5948" s="103"/>
      <c r="C5948" s="100"/>
    </row>
    <row r="5949" spans="1:3" ht="18.75" customHeight="1" x14ac:dyDescent="0.35">
      <c r="A5949" s="103"/>
      <c r="C5949" s="100"/>
    </row>
    <row r="5950" spans="1:3" ht="18.75" customHeight="1" x14ac:dyDescent="0.35">
      <c r="A5950" s="103"/>
      <c r="C5950" s="100"/>
    </row>
    <row r="5951" spans="1:3" ht="18.75" customHeight="1" x14ac:dyDescent="0.35">
      <c r="A5951" s="103"/>
      <c r="C5951" s="100"/>
    </row>
    <row r="5952" spans="1:3" ht="18.75" customHeight="1" x14ac:dyDescent="0.35">
      <c r="A5952" s="103"/>
      <c r="C5952" s="100"/>
    </row>
    <row r="5953" spans="1:3" ht="18.75" customHeight="1" x14ac:dyDescent="0.35">
      <c r="A5953" s="103"/>
      <c r="C5953" s="100"/>
    </row>
    <row r="5954" spans="1:3" ht="18.75" customHeight="1" x14ac:dyDescent="0.35">
      <c r="A5954" s="103"/>
      <c r="C5954" s="100"/>
    </row>
    <row r="5955" spans="1:3" ht="18.75" customHeight="1" x14ac:dyDescent="0.35">
      <c r="A5955" s="103"/>
      <c r="C5955" s="100"/>
    </row>
    <row r="5956" spans="1:3" ht="18.75" customHeight="1" x14ac:dyDescent="0.35">
      <c r="A5956" s="103"/>
      <c r="C5956" s="100"/>
    </row>
    <row r="5957" spans="1:3" ht="18.75" customHeight="1" x14ac:dyDescent="0.35">
      <c r="A5957" s="103"/>
      <c r="C5957" s="10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bestFit="1" customWidth="1"/>
    <col min="3" max="3" width="15.453125" style="101" bestFit="1" customWidth="1"/>
    <col min="4" max="6" width="4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bestFit="1" customWidth="1"/>
    <col min="11" max="11" width="9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IF(OR(Fact_Control_Operaciones[[#This Row], [Año]]="",Fact_Control_Operaciones[[#This Row], [Mes]]=""),"",DATE(A2,MATCH(B2,{"enero","febrero","marzo","abril","mayo","junio","julio","agosto","septiembre","octubre","noviembre","diciembre"},0)+1,0))</f>
        <v>45322</v>
      </c>
      <c r="D2" t="s">
        <v>81</v>
      </c>
      <c r="E2" t="str">
        <f>+IFERROR(VLOOKUP(Fact_Control_Operaciones[[#This Row], [Concepto Anterior]],Conceptos_Control_Operaciones[#All],5,0),"")</f>
        <v>Apertura, cierre y reconversiones de tiendas</v>
      </c>
      <c r="F2" t="str">
        <f ca="1">+IFERROR(VLOOKUP(Fact_Control_Operaciones[[#This Row], [Concepto Anterior]],Conceptos_Control_Operaciones[#All],7,0),"")</f>
        <v/>
      </c>
      <c r="G2" t="s">
        <v>172</v>
      </c>
      <c r="H2" t="s">
        <v>172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IF(OR(Fact_Control_Operaciones[[#This Row], [Año]]="",Fact_Control_Operaciones[[#This Row], [Mes]]=""),"",DATE(A3,MATCH(B3,{"enero","febrero","marzo","abril","mayo","junio","julio","agosto","septiembre","octubre","noviembre","diciembre"},0)+1,0))</f>
        <v>45322</v>
      </c>
      <c r="D3" t="s">
        <v>186</v>
      </c>
      <c r="E3" t="str">
        <f>+IFERROR(VLOOKUP(Fact_Control_Operaciones[[#This Row], [Concepto Anterior]],Conceptos_Control_Operaciones[#All],5,0),"")</f>
        <v>Arqueos​</v>
      </c>
      <c r="F3" t="str">
        <f ca="1">+IFERROR(VLOOKUP(Fact_Control_Operaciones[[#This Row], [Concepto Anterior]],Conceptos_Control_Operaciones[#All],7,0),"")</f>
        <v/>
      </c>
      <c r="G3" t="s">
        <v>172</v>
      </c>
      <c r="H3" t="s">
        <v>172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93">
        <v>301</v>
      </c>
    </row>
    <row r="4" spans="1:11" ht="18.75" customHeight="1" x14ac:dyDescent="0.35">
      <c r="A4" s="93">
        <v>2024</v>
      </c>
      <c r="B4" t="s">
        <v>171</v>
      </c>
      <c r="C4" s="100">
        <f>IF(OR(Fact_Control_Operaciones[[#This Row], [Año]]="",Fact_Control_Operaciones[[#This Row], [Mes]]=""),"",DATE(A4,MATCH(B4,{"enero","febrero","marzo","abril","mayo","junio","julio","agosto","septiembre","octubre","noviembre","diciembre"},0)+1,0))</f>
        <v>45322</v>
      </c>
      <c r="D4" t="s">
        <v>187</v>
      </c>
      <c r="E4" t="str">
        <f>+IFERROR(VLOOKUP(Fact_Control_Operaciones[[#This Row], [Concepto Anterior]],Conceptos_Control_Operaciones[#All],5,0),"")</f>
        <v>Capacitaciones</v>
      </c>
      <c r="F4" t="str">
        <f ca="1">+IFERROR(VLOOKUP(Fact_Control_Operaciones[[#This Row], [Concepto Anterior]],Conceptos_Control_Operaciones[#All],7,0),"")</f>
        <v/>
      </c>
      <c r="G4" t="s">
        <v>172</v>
      </c>
      <c r="H4" t="s">
        <v>172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93">
        <v>1</v>
      </c>
    </row>
    <row r="5" spans="1:11" ht="18.75" customHeight="1" x14ac:dyDescent="0.35">
      <c r="A5" s="93">
        <v>2024</v>
      </c>
      <c r="B5" t="s">
        <v>171</v>
      </c>
      <c r="C5" s="100">
        <f>IF(OR(Fact_Control_Operaciones[[#This Row], [Año]]="",Fact_Control_Operaciones[[#This Row], [Mes]]=""),"",DATE(A5,MATCH(B5,{"enero","febrero","marzo","abril","mayo","junio","julio","agosto","septiembre","octubre","noviembre","diciembre"},0)+1,0))</f>
        <v>45322</v>
      </c>
      <c r="D5" t="s">
        <v>85</v>
      </c>
      <c r="E5" t="str">
        <f>+IFERROR(VLOOKUP(Fact_Control_Operaciones[[#This Row], [Concepto Anterior]],Conceptos_Control_Operaciones[#All],5,0),"")</f>
        <v>Causación y Política Caja Menor​</v>
      </c>
      <c r="F5" t="str">
        <f ca="1">+IFERROR(VLOOKUP(Fact_Control_Operaciones[[#This Row], [Concepto Anterior]],Conceptos_Control_Operaciones[#All],7,0),"")</f>
        <v/>
      </c>
      <c r="G5" t="s">
        <v>172</v>
      </c>
      <c r="H5" t="s">
        <v>172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93">
        <v>189</v>
      </c>
    </row>
    <row r="6" spans="1:11" ht="18.75" customHeight="1" x14ac:dyDescent="0.35">
      <c r="A6" s="93">
        <v>2024</v>
      </c>
      <c r="B6" t="s">
        <v>171</v>
      </c>
      <c r="C6" s="100">
        <f>IF(OR(Fact_Control_Operaciones[[#This Row], [Año]]="",Fact_Control_Operaciones[[#This Row], [Mes]]=""),"",DATE(A6,MATCH(B6,{"enero","febrero","marzo","abril","mayo","junio","julio","agosto","septiembre","octubre","noviembre","diciembre"},0)+1,0))</f>
        <v>45322</v>
      </c>
      <c r="D6" t="s">
        <v>110</v>
      </c>
      <c r="E6" t="str">
        <f>+IFERROR(VLOOKUP(Fact_Control_Operaciones[[#This Row], [Concepto Anterior]],Conceptos_Control_Operaciones[#All],5,0),"")</f>
        <v>Gasto caja menor deducible</v>
      </c>
      <c r="F6" t="str">
        <f ca="1">+IFERROR(VLOOKUP(Fact_Control_Operaciones[[#This Row], [Concepto Anterior]],Conceptos_Control_Operaciones[#All],7,0),"")</f>
        <v/>
      </c>
      <c r="G6" t="s">
        <v>172</v>
      </c>
      <c r="H6" t="s">
        <v>172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93">
        <v>14062866</v>
      </c>
    </row>
    <row r="7" spans="1:11" ht="18.75" customHeight="1" x14ac:dyDescent="0.35">
      <c r="A7" s="93">
        <v>2024</v>
      </c>
      <c r="B7" t="s">
        <v>171</v>
      </c>
      <c r="C7" s="100">
        <f>IF(OR(Fact_Control_Operaciones[[#This Row], [Año]]="",Fact_Control_Operaciones[[#This Row], [Mes]]=""),"",DATE(A7,MATCH(B7,{"enero","febrero","marzo","abril","mayo","junio","julio","agosto","septiembre","octubre","noviembre","diciembre"},0)+1,0))</f>
        <v>45322</v>
      </c>
      <c r="D7" t="s">
        <v>109</v>
      </c>
      <c r="E7" t="str">
        <f>+IFERROR(VLOOKUP(Fact_Control_Operaciones[[#This Row], [Concepto Anterior]],Conceptos_Control_Operaciones[#All],5,0),"")</f>
        <v>Gasto caja menor no deducible</v>
      </c>
      <c r="F7" t="str">
        <f ca="1">+IFERROR(VLOOKUP(Fact_Control_Operaciones[[#This Row], [Concepto Anterior]],Conceptos_Control_Operaciones[#All],7,0),"")</f>
        <v/>
      </c>
      <c r="G7" t="s">
        <v>172</v>
      </c>
      <c r="H7" t="s">
        <v>172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93">
        <v>576783</v>
      </c>
    </row>
    <row r="8" spans="1:11" ht="18.75" customHeight="1" x14ac:dyDescent="0.35">
      <c r="A8" s="93">
        <v>2024</v>
      </c>
      <c r="B8" t="s">
        <v>171</v>
      </c>
      <c r="C8" s="100">
        <f>IF(OR(Fact_Control_Operaciones[[#This Row], [Año]]="",Fact_Control_Operaciones[[#This Row], [Mes]]=""),"",DATE(A8,MATCH(B8,{"enero","febrero","marzo","abril","mayo","junio","julio","agosto","septiembre","octubre","noviembre","diciembre"},0)+1,0))</f>
        <v>45322</v>
      </c>
      <c r="D8" t="s">
        <v>86</v>
      </c>
      <c r="E8" t="str">
        <f>+IFERROR(VLOOKUP(Fact_Control_Operaciones[[#This Row], [Concepto Anterior]],Conceptos_Control_Operaciones[#All],5,0),"")</f>
        <v>Gestiones descuadres en caja</v>
      </c>
      <c r="F8" t="str">
        <f ca="1">+IFERROR(VLOOKUP(Fact_Control_Operaciones[[#This Row], [Concepto Anterior]],Conceptos_Control_Operaciones[#All],7,0),"")</f>
        <v/>
      </c>
      <c r="G8" t="s">
        <v>172</v>
      </c>
      <c r="H8" t="s">
        <v>172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93">
        <v>39</v>
      </c>
    </row>
    <row r="9" spans="1:11" ht="18.75" customHeight="1" x14ac:dyDescent="0.35">
      <c r="A9" s="93">
        <v>2024</v>
      </c>
      <c r="B9" t="s">
        <v>171</v>
      </c>
      <c r="C9" s="100">
        <f>IF(OR(Fact_Control_Operaciones[[#This Row], [Año]]="",Fact_Control_Operaciones[[#This Row], [Mes]]=""),"",DATE(A9,MATCH(B9,{"enero","febrero","marzo","abril","mayo","junio","julio","agosto","septiembre","octubre","noviembre","diciembre"},0)+1,0))</f>
        <v>45322</v>
      </c>
      <c r="D9" t="s">
        <v>188</v>
      </c>
      <c r="E9" t="str">
        <f>+IFERROR(VLOOKUP(Fact_Control_Operaciones[[#This Row], [Concepto Anterior]],Conceptos_Control_Operaciones[#All],5,0),"")</f>
        <v>Inventarios fisicos​ GS Falabella</v>
      </c>
      <c r="F9" t="str">
        <f ca="1">+IFERROR(VLOOKUP(Fact_Control_Operaciones[[#This Row], [Concepto Anterior]],Conceptos_Control_Operaciones[#All],7,0),"")</f>
        <v/>
      </c>
      <c r="G9" t="s">
        <v>172</v>
      </c>
      <c r="H9" t="s">
        <v>172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IF(OR(Fact_Control_Operaciones[[#This Row], [Año]]="",Fact_Control_Operaciones[[#This Row], [Mes]]=""),"",DATE(A10,MATCH(B10,{"enero","febrero","marzo","abril","mayo","junio","julio","agosto","septiembre","octubre","noviembre","diciembre"},0)+1,0))</f>
        <v>45322</v>
      </c>
      <c r="D10" t="s">
        <v>189</v>
      </c>
      <c r="E10" t="str">
        <f>+IFERROR(VLOOKUP(Fact_Control_Operaciones[[#This Row], [Concepto Anterior]],Conceptos_Control_Operaciones[#All],5,0),"")</f>
        <v>Inventarios fisicos​ tiendas propias y franquicias</v>
      </c>
      <c r="F10" t="str">
        <f ca="1">+IFERROR(VLOOKUP(Fact_Control_Operaciones[[#This Row], [Concepto Anterior]],Conceptos_Control_Operaciones[#All],7,0),"")</f>
        <v/>
      </c>
      <c r="G10" t="s">
        <v>172</v>
      </c>
      <c r="H10" t="s">
        <v>172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93">
        <v>43</v>
      </c>
    </row>
    <row r="11" spans="1:11" ht="18.75" customHeight="1" x14ac:dyDescent="0.35">
      <c r="A11" s="93">
        <v>2024</v>
      </c>
      <c r="B11" t="s">
        <v>171</v>
      </c>
      <c r="C11" s="100">
        <f>IF(OR(Fact_Control_Operaciones[[#This Row], [Año]]="",Fact_Control_Operaciones[[#This Row], [Mes]]=""),"",DATE(A11,MATCH(B11,{"enero","febrero","marzo","abril","mayo","junio","julio","agosto","septiembre","octubre","noviembre","diciembre"},0)+1,0))</f>
        <v>45322</v>
      </c>
      <c r="D11" t="s">
        <v>190</v>
      </c>
      <c r="E11" t="str">
        <f>+IFERROR(VLOOKUP(Fact_Control_Operaciones[[#This Row], [Concepto Anterior]],Conceptos_Control_Operaciones[#All],5,0),"")</f>
        <v>Paz y Salvo Retiros​</v>
      </c>
      <c r="F11" t="str">
        <f ca="1">+IFERROR(VLOOKUP(Fact_Control_Operaciones[[#This Row], [Concepto Anterior]],Conceptos_Control_Operaciones[#All],7,0),"")</f>
        <v/>
      </c>
      <c r="G11" t="s">
        <v>172</v>
      </c>
      <c r="H11" t="s">
        <v>172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93">
        <v>58</v>
      </c>
    </row>
    <row r="12" spans="1:11" ht="18.75" customHeight="1" x14ac:dyDescent="0.35">
      <c r="A12" s="93">
        <v>2024</v>
      </c>
      <c r="B12" t="s">
        <v>171</v>
      </c>
      <c r="C12" s="100">
        <f>IF(OR(Fact_Control_Operaciones[[#This Row], [Año]]="",Fact_Control_Operaciones[[#This Row], [Mes]]=""),"",DATE(A12,MATCH(B12,{"enero","febrero","marzo","abril","mayo","junio","julio","agosto","septiembre","octubre","noviembre","diciembre"},0)+1,0))</f>
        <v>45322</v>
      </c>
      <c r="D12" t="s">
        <v>90</v>
      </c>
      <c r="E12" t="str">
        <f>+IFERROR(VLOOKUP(Fact_Control_Operaciones[[#This Row], [Concepto Anterior]],Conceptos_Control_Operaciones[#All],5,0),"")</f>
        <v>Recuperaciones descuadres en caja</v>
      </c>
      <c r="F12" t="str">
        <f ca="1">+IFERROR(VLOOKUP(Fact_Control_Operaciones[[#This Row], [Concepto Anterior]],Conceptos_Control_Operaciones[#All],7,0),"")</f>
        <v/>
      </c>
      <c r="G12" t="s">
        <v>172</v>
      </c>
      <c r="H12" t="s">
        <v>172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93">
        <v>1759768</v>
      </c>
    </row>
    <row r="13" spans="1:11" ht="18.75" customHeight="1" x14ac:dyDescent="0.35">
      <c r="A13" s="93">
        <v>2024</v>
      </c>
      <c r="B13" t="s">
        <v>171</v>
      </c>
      <c r="C13" s="100">
        <f>IF(OR(Fact_Control_Operaciones[[#This Row], [Año]]="",Fact_Control_Operaciones[[#This Row], [Mes]]=""),"",DATE(A13,MATCH(B13,{"enero","febrero","marzo","abril","mayo","junio","julio","agosto","septiembre","octubre","noviembre","diciembre"},0)+1,0))</f>
        <v>45322</v>
      </c>
      <c r="D13" t="s">
        <v>84</v>
      </c>
      <c r="E13" t="str">
        <f>+IFERROR(VLOOKUP(Fact_Control_Operaciones[[#This Row], [Concepto Anterior]],Conceptos_Control_Operaciones[#All],5,0),"")</f>
        <v>Tickets mesa de servicio</v>
      </c>
      <c r="F13" t="str">
        <f ca="1">+IFERROR(VLOOKUP(Fact_Control_Operaciones[[#This Row], [Concepto Anterior]],Conceptos_Control_Operaciones[#All],7,0),"")</f>
        <v/>
      </c>
      <c r="G13" t="s">
        <v>172</v>
      </c>
      <c r="H13" t="s">
        <v>172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IF(OR(Fact_Control_Operaciones[[#This Row], [Año]]="",Fact_Control_Operaciones[[#This Row], [Mes]]=""),"",DATE(A14,MATCH(B14,{"enero","febrero","marzo","abril","mayo","junio","julio","agosto","septiembre","octubre","noviembre","diciembre"},0)+1,0))</f>
        <v>45351</v>
      </c>
      <c r="D14" t="s">
        <v>81</v>
      </c>
      <c r="E14" t="str">
        <f>+IFERROR(VLOOKUP(Fact_Control_Operaciones[[#This Row], [Concepto Anterior]],Conceptos_Control_Operaciones[#All],5,0),"")</f>
        <v>Apertura, cierre y reconversiones de tiendas</v>
      </c>
      <c r="F14" t="str">
        <f ca="1">+IFERROR(VLOOKUP(Fact_Control_Operaciones[[#This Row], [Concepto Anterior]],Conceptos_Control_Operaciones[#All],7,0),"")</f>
        <v/>
      </c>
      <c r="G14" t="s">
        <v>172</v>
      </c>
      <c r="H14" t="s">
        <v>172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93">
        <v>0</v>
      </c>
    </row>
    <row r="15" spans="1:11" ht="18.75" customHeight="1" x14ac:dyDescent="0.35">
      <c r="A15" s="93">
        <v>2024</v>
      </c>
      <c r="B15" t="s">
        <v>174</v>
      </c>
      <c r="C15" s="100">
        <f>IF(OR(Fact_Control_Operaciones[[#This Row], [Año]]="",Fact_Control_Operaciones[[#This Row], [Mes]]=""),"",DATE(A15,MATCH(B15,{"enero","febrero","marzo","abril","mayo","junio","julio","agosto","septiembre","octubre","noviembre","diciembre"},0)+1,0))</f>
        <v>45351</v>
      </c>
      <c r="D15" t="s">
        <v>186</v>
      </c>
      <c r="E15" t="str">
        <f>+IFERROR(VLOOKUP(Fact_Control_Operaciones[[#This Row], [Concepto Anterior]],Conceptos_Control_Operaciones[#All],5,0),"")</f>
        <v>Arqueos​</v>
      </c>
      <c r="F15" t="str">
        <f ca="1">+IFERROR(VLOOKUP(Fact_Control_Operaciones[[#This Row], [Concepto Anterior]],Conceptos_Control_Operaciones[#All],7,0),"")</f>
        <v/>
      </c>
      <c r="G15" t="s">
        <v>172</v>
      </c>
      <c r="H15" t="s">
        <v>172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93">
        <v>282</v>
      </c>
    </row>
    <row r="16" spans="1:11" ht="18.75" customHeight="1" x14ac:dyDescent="0.35">
      <c r="A16" s="93">
        <v>2024</v>
      </c>
      <c r="B16" t="s">
        <v>174</v>
      </c>
      <c r="C16" s="100">
        <f>IF(OR(Fact_Control_Operaciones[[#This Row], [Año]]="",Fact_Control_Operaciones[[#This Row], [Mes]]=""),"",DATE(A16,MATCH(B16,{"enero","febrero","marzo","abril","mayo","junio","julio","agosto","septiembre","octubre","noviembre","diciembre"},0)+1,0))</f>
        <v>45351</v>
      </c>
      <c r="D16" t="s">
        <v>187</v>
      </c>
      <c r="E16" t="str">
        <f>+IFERROR(VLOOKUP(Fact_Control_Operaciones[[#This Row], [Concepto Anterior]],Conceptos_Control_Operaciones[#All],5,0),"")</f>
        <v>Capacitaciones</v>
      </c>
      <c r="F16" t="str">
        <f ca="1">+IFERROR(VLOOKUP(Fact_Control_Operaciones[[#This Row], [Concepto Anterior]],Conceptos_Control_Operaciones[#All],7,0),"")</f>
        <v/>
      </c>
      <c r="G16" t="s">
        <v>172</v>
      </c>
      <c r="H16" t="s">
        <v>172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93">
        <v>1</v>
      </c>
    </row>
    <row r="17" spans="1:11" ht="18.75" customHeight="1" x14ac:dyDescent="0.35">
      <c r="A17" s="93">
        <v>2024</v>
      </c>
      <c r="B17" t="s">
        <v>174</v>
      </c>
      <c r="C17" s="100">
        <f>IF(OR(Fact_Control_Operaciones[[#This Row], [Año]]="",Fact_Control_Operaciones[[#This Row], [Mes]]=""),"",DATE(A17,MATCH(B17,{"enero","febrero","marzo","abril","mayo","junio","julio","agosto","septiembre","octubre","noviembre","diciembre"},0)+1,0))</f>
        <v>45351</v>
      </c>
      <c r="D17" t="s">
        <v>85</v>
      </c>
      <c r="E17" t="str">
        <f>+IFERROR(VLOOKUP(Fact_Control_Operaciones[[#This Row], [Concepto Anterior]],Conceptos_Control_Operaciones[#All],5,0),"")</f>
        <v>Causación y Política Caja Menor​</v>
      </c>
      <c r="F17" t="str">
        <f ca="1">+IFERROR(VLOOKUP(Fact_Control_Operaciones[[#This Row], [Concepto Anterior]],Conceptos_Control_Operaciones[#All],7,0),"")</f>
        <v/>
      </c>
      <c r="G17" t="s">
        <v>172</v>
      </c>
      <c r="H17" t="s">
        <v>172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93">
        <v>319</v>
      </c>
    </row>
    <row r="18" spans="1:11" ht="18.75" customHeight="1" x14ac:dyDescent="0.35">
      <c r="A18" s="93">
        <v>2024</v>
      </c>
      <c r="B18" t="s">
        <v>174</v>
      </c>
      <c r="C18" s="100">
        <f>IF(OR(Fact_Control_Operaciones[[#This Row], [Año]]="",Fact_Control_Operaciones[[#This Row], [Mes]]=""),"",DATE(A18,MATCH(B18,{"enero","febrero","marzo","abril","mayo","junio","julio","agosto","septiembre","octubre","noviembre","diciembre"},0)+1,0))</f>
        <v>45351</v>
      </c>
      <c r="D18" t="s">
        <v>110</v>
      </c>
      <c r="E18" t="str">
        <f>+IFERROR(VLOOKUP(Fact_Control_Operaciones[[#This Row], [Concepto Anterior]],Conceptos_Control_Operaciones[#All],5,0),"")</f>
        <v>Gasto caja menor deducible</v>
      </c>
      <c r="F18" t="str">
        <f ca="1">+IFERROR(VLOOKUP(Fact_Control_Operaciones[[#This Row], [Concepto Anterior]],Conceptos_Control_Operaciones[#All],7,0),"")</f>
        <v/>
      </c>
      <c r="G18" t="s">
        <v>172</v>
      </c>
      <c r="H18" t="s">
        <v>172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93">
        <v>24869790</v>
      </c>
    </row>
    <row r="19" spans="1:11" ht="18.75" customHeight="1" x14ac:dyDescent="0.35">
      <c r="A19" s="93">
        <v>2024</v>
      </c>
      <c r="B19" t="s">
        <v>174</v>
      </c>
      <c r="C19" s="100">
        <f>IF(OR(Fact_Control_Operaciones[[#This Row], [Año]]="",Fact_Control_Operaciones[[#This Row], [Mes]]=""),"",DATE(A19,MATCH(B19,{"enero","febrero","marzo","abril","mayo","junio","julio","agosto","septiembre","octubre","noviembre","diciembre"},0)+1,0))</f>
        <v>45351</v>
      </c>
      <c r="D19" t="s">
        <v>109</v>
      </c>
      <c r="E19" t="str">
        <f>+IFERROR(VLOOKUP(Fact_Control_Operaciones[[#This Row], [Concepto Anterior]],Conceptos_Control_Operaciones[#All],5,0),"")</f>
        <v>Gasto caja menor no deducible</v>
      </c>
      <c r="F19" t="str">
        <f ca="1">+IFERROR(VLOOKUP(Fact_Control_Operaciones[[#This Row], [Concepto Anterior]],Conceptos_Control_Operaciones[#All],7,0),"")</f>
        <v/>
      </c>
      <c r="G19" t="s">
        <v>172</v>
      </c>
      <c r="H19" t="s">
        <v>172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93">
        <v>1012279</v>
      </c>
    </row>
    <row r="20" spans="1:11" ht="18.75" customHeight="1" x14ac:dyDescent="0.35">
      <c r="A20" s="93">
        <v>2024</v>
      </c>
      <c r="B20" t="s">
        <v>174</v>
      </c>
      <c r="C20" s="100">
        <f>IF(OR(Fact_Control_Operaciones[[#This Row], [Año]]="",Fact_Control_Operaciones[[#This Row], [Mes]]=""),"",DATE(A20,MATCH(B20,{"enero","febrero","marzo","abril","mayo","junio","julio","agosto","septiembre","octubre","noviembre","diciembre"},0)+1,0))</f>
        <v>45351</v>
      </c>
      <c r="D20" t="s">
        <v>86</v>
      </c>
      <c r="E20" t="str">
        <f>+IFERROR(VLOOKUP(Fact_Control_Operaciones[[#This Row], [Concepto Anterior]],Conceptos_Control_Operaciones[#All],5,0),"")</f>
        <v>Gestiones descuadres en caja</v>
      </c>
      <c r="F20" t="str">
        <f ca="1">+IFERROR(VLOOKUP(Fact_Control_Operaciones[[#This Row], [Concepto Anterior]],Conceptos_Control_Operaciones[#All],7,0),"")</f>
        <v/>
      </c>
      <c r="G20" t="s">
        <v>172</v>
      </c>
      <c r="H20" t="s">
        <v>172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93">
        <v>24</v>
      </c>
    </row>
    <row r="21" spans="1:11" ht="18.75" customHeight="1" x14ac:dyDescent="0.35">
      <c r="A21" s="93">
        <v>2024</v>
      </c>
      <c r="B21" t="s">
        <v>174</v>
      </c>
      <c r="C21" s="100">
        <f>IF(OR(Fact_Control_Operaciones[[#This Row], [Año]]="",Fact_Control_Operaciones[[#This Row], [Mes]]=""),"",DATE(A21,MATCH(B21,{"enero","febrero","marzo","abril","mayo","junio","julio","agosto","septiembre","octubre","noviembre","diciembre"},0)+1,0))</f>
        <v>45351</v>
      </c>
      <c r="D21" t="s">
        <v>188</v>
      </c>
      <c r="E21" t="str">
        <f>+IFERROR(VLOOKUP(Fact_Control_Operaciones[[#This Row], [Concepto Anterior]],Conceptos_Control_Operaciones[#All],5,0),"")</f>
        <v>Inventarios fisicos​ GS Falabella</v>
      </c>
      <c r="F21" t="str">
        <f ca="1">+IFERROR(VLOOKUP(Fact_Control_Operaciones[[#This Row], [Concepto Anterior]],Conceptos_Control_Operaciones[#All],7,0),"")</f>
        <v/>
      </c>
      <c r="G21" t="s">
        <v>172</v>
      </c>
      <c r="H21" t="s">
        <v>172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93">
        <v>1</v>
      </c>
    </row>
    <row r="22" spans="1:11" ht="18.75" customHeight="1" x14ac:dyDescent="0.35">
      <c r="A22" s="93">
        <v>2024</v>
      </c>
      <c r="B22" t="s">
        <v>174</v>
      </c>
      <c r="C22" s="100">
        <f>IF(OR(Fact_Control_Operaciones[[#This Row], [Año]]="",Fact_Control_Operaciones[[#This Row], [Mes]]=""),"",DATE(A22,MATCH(B22,{"enero","febrero","marzo","abril","mayo","junio","julio","agosto","septiembre","octubre","noviembre","diciembre"},0)+1,0))</f>
        <v>45351</v>
      </c>
      <c r="D22" t="s">
        <v>189</v>
      </c>
      <c r="E22" t="str">
        <f>+IFERROR(VLOOKUP(Fact_Control_Operaciones[[#This Row], [Concepto Anterior]],Conceptos_Control_Operaciones[#All],5,0),"")</f>
        <v>Inventarios fisicos​ tiendas propias y franquicias</v>
      </c>
      <c r="F22" t="str">
        <f ca="1">+IFERROR(VLOOKUP(Fact_Control_Operaciones[[#This Row], [Concepto Anterior]],Conceptos_Control_Operaciones[#All],7,0),"")</f>
        <v/>
      </c>
      <c r="G22" t="s">
        <v>172</v>
      </c>
      <c r="H22" t="s">
        <v>172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93">
        <v>29</v>
      </c>
    </row>
    <row r="23" spans="1:11" ht="18.75" customHeight="1" x14ac:dyDescent="0.35">
      <c r="A23" s="93">
        <v>2024</v>
      </c>
      <c r="B23" t="s">
        <v>174</v>
      </c>
      <c r="C23" s="100">
        <f>IF(OR(Fact_Control_Operaciones[[#This Row], [Año]]="",Fact_Control_Operaciones[[#This Row], [Mes]]=""),"",DATE(A23,MATCH(B23,{"enero","febrero","marzo","abril","mayo","junio","julio","agosto","septiembre","octubre","noviembre","diciembre"},0)+1,0))</f>
        <v>45351</v>
      </c>
      <c r="D23" t="s">
        <v>190</v>
      </c>
      <c r="E23" t="str">
        <f>+IFERROR(VLOOKUP(Fact_Control_Operaciones[[#This Row], [Concepto Anterior]],Conceptos_Control_Operaciones[#All],5,0),"")</f>
        <v>Paz y Salvo Retiros​</v>
      </c>
      <c r="F23" t="str">
        <f ca="1">+IFERROR(VLOOKUP(Fact_Control_Operaciones[[#This Row], [Concepto Anterior]],Conceptos_Control_Operaciones[#All],7,0),"")</f>
        <v/>
      </c>
      <c r="G23" t="s">
        <v>172</v>
      </c>
      <c r="H23" t="s">
        <v>172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93">
        <v>48</v>
      </c>
    </row>
    <row r="24" spans="1:11" ht="18.75" customHeight="1" x14ac:dyDescent="0.35">
      <c r="A24" s="93">
        <v>2024</v>
      </c>
      <c r="B24" t="s">
        <v>174</v>
      </c>
      <c r="C24" s="100">
        <f>IF(OR(Fact_Control_Operaciones[[#This Row], [Año]]="",Fact_Control_Operaciones[[#This Row], [Mes]]=""),"",DATE(A24,MATCH(B24,{"enero","febrero","marzo","abril","mayo","junio","julio","agosto","septiembre","octubre","noviembre","diciembre"},0)+1,0))</f>
        <v>45351</v>
      </c>
      <c r="D24" t="s">
        <v>90</v>
      </c>
      <c r="E24" t="str">
        <f>+IFERROR(VLOOKUP(Fact_Control_Operaciones[[#This Row], [Concepto Anterior]],Conceptos_Control_Operaciones[#All],5,0),"")</f>
        <v>Recuperaciones descuadres en caja</v>
      </c>
      <c r="F24" t="str">
        <f ca="1">+IFERROR(VLOOKUP(Fact_Control_Operaciones[[#This Row], [Concepto Anterior]],Conceptos_Control_Operaciones[#All],7,0),"")</f>
        <v/>
      </c>
      <c r="G24" t="s">
        <v>172</v>
      </c>
      <c r="H24" t="s">
        <v>172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93">
        <v>479311</v>
      </c>
    </row>
    <row r="25" spans="1:11" ht="18.75" customHeight="1" x14ac:dyDescent="0.35">
      <c r="A25" s="93">
        <v>2024</v>
      </c>
      <c r="B25" t="s">
        <v>174</v>
      </c>
      <c r="C25" s="100">
        <f>IF(OR(Fact_Control_Operaciones[[#This Row], [Año]]="",Fact_Control_Operaciones[[#This Row], [Mes]]=""),"",DATE(A25,MATCH(B25,{"enero","febrero","marzo","abril","mayo","junio","julio","agosto","septiembre","octubre","noviembre","diciembre"},0)+1,0))</f>
        <v>45351</v>
      </c>
      <c r="D25" t="s">
        <v>84</v>
      </c>
      <c r="E25" t="str">
        <f>+IFERROR(VLOOKUP(Fact_Control_Operaciones[[#This Row], [Concepto Anterior]],Conceptos_Control_Operaciones[#All],5,0),"")</f>
        <v>Tickets mesa de servicio</v>
      </c>
      <c r="F25" t="str">
        <f ca="1">+IFERROR(VLOOKUP(Fact_Control_Operaciones[[#This Row], [Concepto Anterior]],Conceptos_Control_Operaciones[#All],7,0),"")</f>
        <v/>
      </c>
      <c r="G25" t="s">
        <v>172</v>
      </c>
      <c r="H25" t="s">
        <v>172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175</v>
      </c>
      <c r="C26" s="100">
        <f>IF(OR(Fact_Control_Operaciones[[#This Row], [Año]]="",Fact_Control_Operaciones[[#This Row], [Mes]]=""),"",DATE(A26,MATCH(B26,{"enero","febrero","marzo","abril","mayo","junio","julio","agosto","septiembre","octubre","noviembre","diciembre"},0)+1,0))</f>
        <v>45382</v>
      </c>
      <c r="D26" t="s">
        <v>81</v>
      </c>
      <c r="E26" t="str">
        <f>+IFERROR(VLOOKUP(Fact_Control_Operaciones[[#This Row], [Concepto Anterior]],Conceptos_Control_Operaciones[#All],5,0),"")</f>
        <v>Apertura, cierre y reconversiones de tiendas</v>
      </c>
      <c r="F26" t="str">
        <f ca="1">+IFERROR(VLOOKUP(Fact_Control_Operaciones[[#This Row], [Concepto Anterior]],Conceptos_Control_Operaciones[#All],7,0),"")</f>
        <v/>
      </c>
      <c r="G26" t="s">
        <v>172</v>
      </c>
      <c r="H26" t="s">
        <v>172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IF(OR(Fact_Control_Operaciones[[#This Row], [Año]]="",Fact_Control_Operaciones[[#This Row], [Mes]]=""),"",DATE(A27,MATCH(B27,{"enero","febrero","marzo","abril","mayo","junio","julio","agosto","septiembre","octubre","noviembre","diciembre"},0)+1,0))</f>
        <v>45382</v>
      </c>
      <c r="D27" t="s">
        <v>186</v>
      </c>
      <c r="E27" t="str">
        <f>+IFERROR(VLOOKUP(Fact_Control_Operaciones[[#This Row], [Concepto Anterior]],Conceptos_Control_Operaciones[#All],5,0),"")</f>
        <v>Arqueos​</v>
      </c>
      <c r="F27" t="str">
        <f ca="1">+IFERROR(VLOOKUP(Fact_Control_Operaciones[[#This Row], [Concepto Anterior]],Conceptos_Control_Operaciones[#All],7,0),"")</f>
        <v/>
      </c>
      <c r="G27" t="s">
        <v>172</v>
      </c>
      <c r="H27" t="s">
        <v>172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93">
        <v>244</v>
      </c>
    </row>
    <row r="28" spans="1:11" ht="18.75" customHeight="1" x14ac:dyDescent="0.35">
      <c r="A28" s="93">
        <v>2024</v>
      </c>
      <c r="B28" t="s">
        <v>175</v>
      </c>
      <c r="C28" s="100">
        <f>IF(OR(Fact_Control_Operaciones[[#This Row], [Año]]="",Fact_Control_Operaciones[[#This Row], [Mes]]=""),"",DATE(A28,MATCH(B28,{"enero","febrero","marzo","abril","mayo","junio","julio","agosto","septiembre","octubre","noviembre","diciembre"},0)+1,0))</f>
        <v>45382</v>
      </c>
      <c r="D28" t="s">
        <v>187</v>
      </c>
      <c r="E28" t="str">
        <f>+IFERROR(VLOOKUP(Fact_Control_Operaciones[[#This Row], [Concepto Anterior]],Conceptos_Control_Operaciones[#All],5,0),"")</f>
        <v>Capacitaciones</v>
      </c>
      <c r="F28" t="str">
        <f ca="1">+IFERROR(VLOOKUP(Fact_Control_Operaciones[[#This Row], [Concepto Anterior]],Conceptos_Control_Operaciones[#All],7,0),"")</f>
        <v/>
      </c>
      <c r="G28" t="s">
        <v>172</v>
      </c>
      <c r="H28" t="s">
        <v>172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93">
        <v>2</v>
      </c>
    </row>
    <row r="29" spans="1:11" ht="18.75" customHeight="1" x14ac:dyDescent="0.35">
      <c r="A29" s="93">
        <v>2024</v>
      </c>
      <c r="B29" t="s">
        <v>175</v>
      </c>
      <c r="C29" s="100">
        <f>IF(OR(Fact_Control_Operaciones[[#This Row], [Año]]="",Fact_Control_Operaciones[[#This Row], [Mes]]=""),"",DATE(A29,MATCH(B29,{"enero","febrero","marzo","abril","mayo","junio","julio","agosto","septiembre","octubre","noviembre","diciembre"},0)+1,0))</f>
        <v>45382</v>
      </c>
      <c r="D29" t="s">
        <v>85</v>
      </c>
      <c r="E29" t="str">
        <f>+IFERROR(VLOOKUP(Fact_Control_Operaciones[[#This Row], [Concepto Anterior]],Conceptos_Control_Operaciones[#All],5,0),"")</f>
        <v>Causación y Política Caja Menor​</v>
      </c>
      <c r="F29" t="str">
        <f ca="1">+IFERROR(VLOOKUP(Fact_Control_Operaciones[[#This Row], [Concepto Anterior]],Conceptos_Control_Operaciones[#All],7,0),"")</f>
        <v/>
      </c>
      <c r="G29" t="s">
        <v>172</v>
      </c>
      <c r="H29" t="s">
        <v>172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93">
        <v>279</v>
      </c>
    </row>
    <row r="30" spans="1:11" ht="18.75" customHeight="1" x14ac:dyDescent="0.35">
      <c r="A30" s="93">
        <v>2024</v>
      </c>
      <c r="B30" t="s">
        <v>175</v>
      </c>
      <c r="C30" s="100">
        <f>IF(OR(Fact_Control_Operaciones[[#This Row], [Año]]="",Fact_Control_Operaciones[[#This Row], [Mes]]=""),"",DATE(A30,MATCH(B30,{"enero","febrero","marzo","abril","mayo","junio","julio","agosto","septiembre","octubre","noviembre","diciembre"},0)+1,0))</f>
        <v>45382</v>
      </c>
      <c r="D30" t="s">
        <v>110</v>
      </c>
      <c r="E30" t="str">
        <f>+IFERROR(VLOOKUP(Fact_Control_Operaciones[[#This Row], [Concepto Anterior]],Conceptos_Control_Operaciones[#All],5,0),"")</f>
        <v>Gasto caja menor deducible</v>
      </c>
      <c r="F30" t="str">
        <f ca="1">+IFERROR(VLOOKUP(Fact_Control_Operaciones[[#This Row], [Concepto Anterior]],Conceptos_Control_Operaciones[#All],7,0),"")</f>
        <v/>
      </c>
      <c r="G30" t="s">
        <v>172</v>
      </c>
      <c r="H30" t="s">
        <v>172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93">
        <v>22638455</v>
      </c>
    </row>
    <row r="31" spans="1:11" ht="18.75" customHeight="1" x14ac:dyDescent="0.35">
      <c r="A31" s="93">
        <v>2024</v>
      </c>
      <c r="B31" t="s">
        <v>175</v>
      </c>
      <c r="C31" s="100">
        <f>IF(OR(Fact_Control_Operaciones[[#This Row], [Año]]="",Fact_Control_Operaciones[[#This Row], [Mes]]=""),"",DATE(A31,MATCH(B31,{"enero","febrero","marzo","abril","mayo","junio","julio","agosto","septiembre","octubre","noviembre","diciembre"},0)+1,0))</f>
        <v>45382</v>
      </c>
      <c r="D31" t="s">
        <v>109</v>
      </c>
      <c r="E31" t="str">
        <f>+IFERROR(VLOOKUP(Fact_Control_Operaciones[[#This Row], [Concepto Anterior]],Conceptos_Control_Operaciones[#All],5,0),"")</f>
        <v>Gasto caja menor no deducible</v>
      </c>
      <c r="F31" t="str">
        <f ca="1">+IFERROR(VLOOKUP(Fact_Control_Operaciones[[#This Row], [Concepto Anterior]],Conceptos_Control_Operaciones[#All],7,0),"")</f>
        <v/>
      </c>
      <c r="G31" t="s">
        <v>172</v>
      </c>
      <c r="H31" t="s">
        <v>172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93">
        <v>1094022</v>
      </c>
    </row>
    <row r="32" spans="1:11" ht="18.75" customHeight="1" x14ac:dyDescent="0.35">
      <c r="A32" s="93">
        <v>2024</v>
      </c>
      <c r="B32" t="s">
        <v>175</v>
      </c>
      <c r="C32" s="100">
        <f>IF(OR(Fact_Control_Operaciones[[#This Row], [Año]]="",Fact_Control_Operaciones[[#This Row], [Mes]]=""),"",DATE(A32,MATCH(B32,{"enero","febrero","marzo","abril","mayo","junio","julio","agosto","septiembre","octubre","noviembre","diciembre"},0)+1,0))</f>
        <v>45382</v>
      </c>
      <c r="D32" t="s">
        <v>86</v>
      </c>
      <c r="E32" t="str">
        <f>+IFERROR(VLOOKUP(Fact_Control_Operaciones[[#This Row], [Concepto Anterior]],Conceptos_Control_Operaciones[#All],5,0),"")</f>
        <v>Gestiones descuadres en caja</v>
      </c>
      <c r="F32" t="str">
        <f ca="1">+IFERROR(VLOOKUP(Fact_Control_Operaciones[[#This Row], [Concepto Anterior]],Conceptos_Control_Operaciones[#All],7,0),"")</f>
        <v/>
      </c>
      <c r="G32" t="s">
        <v>172</v>
      </c>
      <c r="H32" t="s">
        <v>172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93">
        <v>12</v>
      </c>
    </row>
    <row r="33" spans="1:11" ht="18.75" customHeight="1" x14ac:dyDescent="0.35">
      <c r="A33" s="93">
        <v>2024</v>
      </c>
      <c r="B33" t="s">
        <v>175</v>
      </c>
      <c r="C33" s="100">
        <f>IF(OR(Fact_Control_Operaciones[[#This Row], [Año]]="",Fact_Control_Operaciones[[#This Row], [Mes]]=""),"",DATE(A33,MATCH(B33,{"enero","febrero","marzo","abril","mayo","junio","julio","agosto","septiembre","octubre","noviembre","diciembre"},0)+1,0))</f>
        <v>45382</v>
      </c>
      <c r="D33" t="s">
        <v>188</v>
      </c>
      <c r="E33" t="str">
        <f>+IFERROR(VLOOKUP(Fact_Control_Operaciones[[#This Row], [Concepto Anterior]],Conceptos_Control_Operaciones[#All],5,0),"")</f>
        <v>Inventarios fisicos​ GS Falabella</v>
      </c>
      <c r="F33" t="str">
        <f ca="1">+IFERROR(VLOOKUP(Fact_Control_Operaciones[[#This Row], [Concepto Anterior]],Conceptos_Control_Operaciones[#All],7,0),"")</f>
        <v/>
      </c>
      <c r="G33" t="s">
        <v>172</v>
      </c>
      <c r="H33" t="s">
        <v>172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175</v>
      </c>
      <c r="C34" s="100">
        <f>IF(OR(Fact_Control_Operaciones[[#This Row], [Año]]="",Fact_Control_Operaciones[[#This Row], [Mes]]=""),"",DATE(A34,MATCH(B34,{"enero","febrero","marzo","abril","mayo","junio","julio","agosto","septiembre","octubre","noviembre","diciembre"},0)+1,0))</f>
        <v>45382</v>
      </c>
      <c r="D34" t="s">
        <v>189</v>
      </c>
      <c r="E34" t="str">
        <f>+IFERROR(VLOOKUP(Fact_Control_Operaciones[[#This Row], [Concepto Anterior]],Conceptos_Control_Operaciones[#All],5,0),"")</f>
        <v>Inventarios fisicos​ tiendas propias y franquicias</v>
      </c>
      <c r="F34" t="str">
        <f ca="1">+IFERROR(VLOOKUP(Fact_Control_Operaciones[[#This Row], [Concepto Anterior]],Conceptos_Control_Operaciones[#All],7,0),"")</f>
        <v/>
      </c>
      <c r="G34" t="s">
        <v>172</v>
      </c>
      <c r="H34" t="s">
        <v>172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93">
        <v>45</v>
      </c>
    </row>
    <row r="35" spans="1:11" ht="18.75" customHeight="1" x14ac:dyDescent="0.35">
      <c r="A35" s="93">
        <v>2024</v>
      </c>
      <c r="B35" t="s">
        <v>175</v>
      </c>
      <c r="C35" s="100">
        <f>IF(OR(Fact_Control_Operaciones[[#This Row], [Año]]="",Fact_Control_Operaciones[[#This Row], [Mes]]=""),"",DATE(A35,MATCH(B35,{"enero","febrero","marzo","abril","mayo","junio","julio","agosto","septiembre","octubre","noviembre","diciembre"},0)+1,0))</f>
        <v>45382</v>
      </c>
      <c r="D35" t="s">
        <v>190</v>
      </c>
      <c r="E35" t="str">
        <f>+IFERROR(VLOOKUP(Fact_Control_Operaciones[[#This Row], [Concepto Anterior]],Conceptos_Control_Operaciones[#All],5,0),"")</f>
        <v>Paz y Salvo Retiros​</v>
      </c>
      <c r="F35" t="str">
        <f ca="1">+IFERROR(VLOOKUP(Fact_Control_Operaciones[[#This Row], [Concepto Anterior]],Conceptos_Control_Operaciones[#All],7,0),"")</f>
        <v/>
      </c>
      <c r="G35" t="s">
        <v>172</v>
      </c>
      <c r="H35" t="s">
        <v>172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93">
        <v>29</v>
      </c>
    </row>
    <row r="36" spans="1:11" ht="18.75" customHeight="1" x14ac:dyDescent="0.35">
      <c r="A36" s="93">
        <v>2024</v>
      </c>
      <c r="B36" t="s">
        <v>175</v>
      </c>
      <c r="C36" s="100">
        <f>IF(OR(Fact_Control_Operaciones[[#This Row], [Año]]="",Fact_Control_Operaciones[[#This Row], [Mes]]=""),"",DATE(A36,MATCH(B36,{"enero","febrero","marzo","abril","mayo","junio","julio","agosto","septiembre","octubre","noviembre","diciembre"},0)+1,0))</f>
        <v>45382</v>
      </c>
      <c r="D36" t="s">
        <v>90</v>
      </c>
      <c r="E36" t="str">
        <f>+IFERROR(VLOOKUP(Fact_Control_Operaciones[[#This Row], [Concepto Anterior]],Conceptos_Control_Operaciones[#All],5,0),"")</f>
        <v>Recuperaciones descuadres en caja</v>
      </c>
      <c r="F36" t="str">
        <f ca="1">+IFERROR(VLOOKUP(Fact_Control_Operaciones[[#This Row], [Concepto Anterior]],Conceptos_Control_Operaciones[#All],7,0),"")</f>
        <v/>
      </c>
      <c r="G36" t="s">
        <v>172</v>
      </c>
      <c r="H36" t="s">
        <v>172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93">
        <v>410763</v>
      </c>
    </row>
    <row r="37" spans="1:11" ht="18.75" customHeight="1" x14ac:dyDescent="0.35">
      <c r="A37" s="93">
        <v>2024</v>
      </c>
      <c r="B37" t="s">
        <v>175</v>
      </c>
      <c r="C37" s="100">
        <f>IF(OR(Fact_Control_Operaciones[[#This Row], [Año]]="",Fact_Control_Operaciones[[#This Row], [Mes]]=""),"",DATE(A37,MATCH(B37,{"enero","febrero","marzo","abril","mayo","junio","julio","agosto","septiembre","octubre","noviembre","diciembre"},0)+1,0))</f>
        <v>45382</v>
      </c>
      <c r="D37" t="s">
        <v>84</v>
      </c>
      <c r="E37" t="str">
        <f>+IFERROR(VLOOKUP(Fact_Control_Operaciones[[#This Row], [Concepto Anterior]],Conceptos_Control_Operaciones[#All],5,0),"")</f>
        <v>Tickets mesa de servicio</v>
      </c>
      <c r="F37" t="str">
        <f ca="1">+IFERROR(VLOOKUP(Fact_Control_Operaciones[[#This Row], [Concepto Anterior]],Conceptos_Control_Operaciones[#All],7,0),"")</f>
        <v/>
      </c>
      <c r="G37" t="s">
        <v>172</v>
      </c>
      <c r="H37" t="s">
        <v>172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IF(OR(Fact_Control_Operaciones[[#This Row], [Año]]="",Fact_Control_Operaciones[[#This Row], [Mes]]=""),"",DATE(A38,MATCH(B38,{"enero","febrero","marzo","abril","mayo","junio","julio","agosto","septiembre","octubre","noviembre","diciembre"},0)+1,0))</f>
        <v>45412</v>
      </c>
      <c r="D38" t="s">
        <v>81</v>
      </c>
      <c r="E38" t="str">
        <f>+IFERROR(VLOOKUP(Fact_Control_Operaciones[[#This Row], [Concepto Anterior]],Conceptos_Control_Operaciones[#All],5,0),"")</f>
        <v>Apertura, cierre y reconversiones de tiendas</v>
      </c>
      <c r="F38" t="str">
        <f ca="1">+IFERROR(VLOOKUP(Fact_Control_Operaciones[[#This Row], [Concepto Anterior]],Conceptos_Control_Operaciones[#All],7,0),"")</f>
        <v/>
      </c>
      <c r="G38" t="s">
        <v>172</v>
      </c>
      <c r="H38" t="s">
        <v>172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93">
        <v>1</v>
      </c>
    </row>
    <row r="39" spans="1:11" ht="18.75" customHeight="1" x14ac:dyDescent="0.35">
      <c r="A39" s="93">
        <v>2024</v>
      </c>
      <c r="B39" t="s">
        <v>176</v>
      </c>
      <c r="C39" s="100">
        <f>IF(OR(Fact_Control_Operaciones[[#This Row], [Año]]="",Fact_Control_Operaciones[[#This Row], [Mes]]=""),"",DATE(A39,MATCH(B39,{"enero","febrero","marzo","abril","mayo","junio","julio","agosto","septiembre","octubre","noviembre","diciembre"},0)+1,0))</f>
        <v>45412</v>
      </c>
      <c r="D39" t="s">
        <v>186</v>
      </c>
      <c r="E39" t="str">
        <f>+IFERROR(VLOOKUP(Fact_Control_Operaciones[[#This Row], [Concepto Anterior]],Conceptos_Control_Operaciones[#All],5,0),"")</f>
        <v>Arqueos​</v>
      </c>
      <c r="F39" t="str">
        <f ca="1">+IFERROR(VLOOKUP(Fact_Control_Operaciones[[#This Row], [Concepto Anterior]],Conceptos_Control_Operaciones[#All],7,0),"")</f>
        <v/>
      </c>
      <c r="G39" t="s">
        <v>172</v>
      </c>
      <c r="H39" t="s">
        <v>172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93">
        <v>285</v>
      </c>
    </row>
    <row r="40" spans="1:11" ht="18.75" customHeight="1" x14ac:dyDescent="0.35">
      <c r="A40" s="93">
        <v>2024</v>
      </c>
      <c r="B40" t="s">
        <v>176</v>
      </c>
      <c r="C40" s="100">
        <f>IF(OR(Fact_Control_Operaciones[[#This Row], [Año]]="",Fact_Control_Operaciones[[#This Row], [Mes]]=""),"",DATE(A40,MATCH(B40,{"enero","febrero","marzo","abril","mayo","junio","julio","agosto","septiembre","octubre","noviembre","diciembre"},0)+1,0))</f>
        <v>45412</v>
      </c>
      <c r="D40" t="s">
        <v>187</v>
      </c>
      <c r="E40" t="str">
        <f>+IFERROR(VLOOKUP(Fact_Control_Operaciones[[#This Row], [Concepto Anterior]],Conceptos_Control_Operaciones[#All],5,0),"")</f>
        <v>Capacitaciones</v>
      </c>
      <c r="F40" t="str">
        <f ca="1">+IFERROR(VLOOKUP(Fact_Control_Operaciones[[#This Row], [Concepto Anterior]],Conceptos_Control_Operaciones[#All],7,0),"")</f>
        <v/>
      </c>
      <c r="G40" t="s">
        <v>172</v>
      </c>
      <c r="H40" t="s">
        <v>172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93">
        <v>1</v>
      </c>
    </row>
    <row r="41" spans="1:11" ht="18.75" customHeight="1" x14ac:dyDescent="0.35">
      <c r="A41" s="93">
        <v>2024</v>
      </c>
      <c r="B41" t="s">
        <v>176</v>
      </c>
      <c r="C41" s="100">
        <f>IF(OR(Fact_Control_Operaciones[[#This Row], [Año]]="",Fact_Control_Operaciones[[#This Row], [Mes]]=""),"",DATE(A41,MATCH(B41,{"enero","febrero","marzo","abril","mayo","junio","julio","agosto","septiembre","octubre","noviembre","diciembre"},0)+1,0))</f>
        <v>45412</v>
      </c>
      <c r="D41" t="s">
        <v>85</v>
      </c>
      <c r="E41" t="str">
        <f>+IFERROR(VLOOKUP(Fact_Control_Operaciones[[#This Row], [Concepto Anterior]],Conceptos_Control_Operaciones[#All],5,0),"")</f>
        <v>Causación y Política Caja Menor​</v>
      </c>
      <c r="F41" t="str">
        <f ca="1">+IFERROR(VLOOKUP(Fact_Control_Operaciones[[#This Row], [Concepto Anterior]],Conceptos_Control_Operaciones[#All],7,0),"")</f>
        <v/>
      </c>
      <c r="G41" t="s">
        <v>172</v>
      </c>
      <c r="H41" t="s">
        <v>172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93">
        <v>483</v>
      </c>
    </row>
    <row r="42" spans="1:11" ht="18.75" customHeight="1" x14ac:dyDescent="0.35">
      <c r="A42" s="93">
        <v>2024</v>
      </c>
      <c r="B42" t="s">
        <v>176</v>
      </c>
      <c r="C42" s="100">
        <f>IF(OR(Fact_Control_Operaciones[[#This Row], [Año]]="",Fact_Control_Operaciones[[#This Row], [Mes]]=""),"",DATE(A42,MATCH(B42,{"enero","febrero","marzo","abril","mayo","junio","julio","agosto","septiembre","octubre","noviembre","diciembre"},0)+1,0))</f>
        <v>45412</v>
      </c>
      <c r="D42" t="s">
        <v>110</v>
      </c>
      <c r="E42" t="str">
        <f>+IFERROR(VLOOKUP(Fact_Control_Operaciones[[#This Row], [Concepto Anterior]],Conceptos_Control_Operaciones[#All],5,0),"")</f>
        <v>Gasto caja menor deducible</v>
      </c>
      <c r="F42" t="str">
        <f ca="1">+IFERROR(VLOOKUP(Fact_Control_Operaciones[[#This Row], [Concepto Anterior]],Conceptos_Control_Operaciones[#All],7,0),"")</f>
        <v/>
      </c>
      <c r="G42" t="s">
        <v>172</v>
      </c>
      <c r="H42" t="s">
        <v>172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93">
        <v>43805106</v>
      </c>
    </row>
    <row r="43" spans="1:11" ht="18.75" customHeight="1" x14ac:dyDescent="0.35">
      <c r="A43" s="93">
        <v>2024</v>
      </c>
      <c r="B43" t="s">
        <v>176</v>
      </c>
      <c r="C43" s="100">
        <f>IF(OR(Fact_Control_Operaciones[[#This Row], [Año]]="",Fact_Control_Operaciones[[#This Row], [Mes]]=""),"",DATE(A43,MATCH(B43,{"enero","febrero","marzo","abril","mayo","junio","julio","agosto","septiembre","octubre","noviembre","diciembre"},0)+1,0))</f>
        <v>45412</v>
      </c>
      <c r="D43" t="s">
        <v>109</v>
      </c>
      <c r="E43" t="str">
        <f>+IFERROR(VLOOKUP(Fact_Control_Operaciones[[#This Row], [Concepto Anterior]],Conceptos_Control_Operaciones[#All],5,0),"")</f>
        <v>Gasto caja menor no deducible</v>
      </c>
      <c r="F43" t="str">
        <f ca="1">+IFERROR(VLOOKUP(Fact_Control_Operaciones[[#This Row], [Concepto Anterior]],Conceptos_Control_Operaciones[#All],7,0),"")</f>
        <v/>
      </c>
      <c r="G43" t="s">
        <v>172</v>
      </c>
      <c r="H43" t="s">
        <v>172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93">
        <v>1396763</v>
      </c>
    </row>
    <row r="44" spans="1:11" ht="18.75" customHeight="1" x14ac:dyDescent="0.35">
      <c r="A44" s="93">
        <v>2024</v>
      </c>
      <c r="B44" t="s">
        <v>176</v>
      </c>
      <c r="C44" s="100">
        <f>IF(OR(Fact_Control_Operaciones[[#This Row], [Año]]="",Fact_Control_Operaciones[[#This Row], [Mes]]=""),"",DATE(A44,MATCH(B44,{"enero","febrero","marzo","abril","mayo","junio","julio","agosto","septiembre","octubre","noviembre","diciembre"},0)+1,0))</f>
        <v>45412</v>
      </c>
      <c r="D44" t="s">
        <v>86</v>
      </c>
      <c r="E44" t="str">
        <f>+IFERROR(VLOOKUP(Fact_Control_Operaciones[[#This Row], [Concepto Anterior]],Conceptos_Control_Operaciones[#All],5,0),"")</f>
        <v>Gestiones descuadres en caja</v>
      </c>
      <c r="F44" t="str">
        <f ca="1">+IFERROR(VLOOKUP(Fact_Control_Operaciones[[#This Row], [Concepto Anterior]],Conceptos_Control_Operaciones[#All],7,0),"")</f>
        <v/>
      </c>
      <c r="G44" t="s">
        <v>172</v>
      </c>
      <c r="H44" t="s">
        <v>172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93">
        <v>29</v>
      </c>
    </row>
    <row r="45" spans="1:11" ht="18.75" customHeight="1" x14ac:dyDescent="0.35">
      <c r="A45" s="93">
        <v>2024</v>
      </c>
      <c r="B45" t="s">
        <v>176</v>
      </c>
      <c r="C45" s="100">
        <f>IF(OR(Fact_Control_Operaciones[[#This Row], [Año]]="",Fact_Control_Operaciones[[#This Row], [Mes]]=""),"",DATE(A45,MATCH(B45,{"enero","febrero","marzo","abril","mayo","junio","julio","agosto","septiembre","octubre","noviembre","diciembre"},0)+1,0))</f>
        <v>45412</v>
      </c>
      <c r="D45" t="s">
        <v>188</v>
      </c>
      <c r="E45" t="str">
        <f>+IFERROR(VLOOKUP(Fact_Control_Operaciones[[#This Row], [Concepto Anterior]],Conceptos_Control_Operaciones[#All],5,0),"")</f>
        <v>Inventarios fisicos​ GS Falabella</v>
      </c>
      <c r="F45" t="str">
        <f ca="1">+IFERROR(VLOOKUP(Fact_Control_Operaciones[[#This Row], [Concepto Anterior]],Conceptos_Control_Operaciones[#All],7,0),"")</f>
        <v/>
      </c>
      <c r="G45" t="s">
        <v>172</v>
      </c>
      <c r="H45" t="s">
        <v>172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93">
        <v>14</v>
      </c>
    </row>
    <row r="46" spans="1:11" ht="18.75" customHeight="1" x14ac:dyDescent="0.35">
      <c r="A46" s="93">
        <v>2024</v>
      </c>
      <c r="B46" t="s">
        <v>176</v>
      </c>
      <c r="C46" s="100">
        <f>IF(OR(Fact_Control_Operaciones[[#This Row], [Año]]="",Fact_Control_Operaciones[[#This Row], [Mes]]=""),"",DATE(A46,MATCH(B46,{"enero","febrero","marzo","abril","mayo","junio","julio","agosto","septiembre","octubre","noviembre","diciembre"},0)+1,0))</f>
        <v>45412</v>
      </c>
      <c r="D46" t="s">
        <v>189</v>
      </c>
      <c r="E46" t="str">
        <f>+IFERROR(VLOOKUP(Fact_Control_Operaciones[[#This Row], [Concepto Anterior]],Conceptos_Control_Operaciones[#All],5,0),"")</f>
        <v>Inventarios fisicos​ tiendas propias y franquicias</v>
      </c>
      <c r="F46" t="str">
        <f ca="1">+IFERROR(VLOOKUP(Fact_Control_Operaciones[[#This Row], [Concepto Anterior]],Conceptos_Control_Operaciones[#All],7,0),"")</f>
        <v/>
      </c>
      <c r="G46" t="s">
        <v>172</v>
      </c>
      <c r="H46" t="s">
        <v>172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93">
        <v>31</v>
      </c>
    </row>
    <row r="47" spans="1:11" ht="18.75" customHeight="1" x14ac:dyDescent="0.35">
      <c r="A47" s="93">
        <v>2024</v>
      </c>
      <c r="B47" t="s">
        <v>176</v>
      </c>
      <c r="C47" s="100">
        <f>IF(OR(Fact_Control_Operaciones[[#This Row], [Año]]="",Fact_Control_Operaciones[[#This Row], [Mes]]=""),"",DATE(A47,MATCH(B47,{"enero","febrero","marzo","abril","mayo","junio","julio","agosto","septiembre","octubre","noviembre","diciembre"},0)+1,0))</f>
        <v>45412</v>
      </c>
      <c r="D47" t="s">
        <v>190</v>
      </c>
      <c r="E47" t="str">
        <f>+IFERROR(VLOOKUP(Fact_Control_Operaciones[[#This Row], [Concepto Anterior]],Conceptos_Control_Operaciones[#All],5,0),"")</f>
        <v>Paz y Salvo Retiros​</v>
      </c>
      <c r="F47" t="str">
        <f ca="1">+IFERROR(VLOOKUP(Fact_Control_Operaciones[[#This Row], [Concepto Anterior]],Conceptos_Control_Operaciones[#All],7,0),"")</f>
        <v/>
      </c>
      <c r="G47" t="s">
        <v>172</v>
      </c>
      <c r="H47" t="s">
        <v>172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93">
        <v>35</v>
      </c>
    </row>
    <row r="48" spans="1:11" ht="18.75" customHeight="1" x14ac:dyDescent="0.35">
      <c r="A48" s="93">
        <v>2024</v>
      </c>
      <c r="B48" t="s">
        <v>176</v>
      </c>
      <c r="C48" s="100">
        <f>IF(OR(Fact_Control_Operaciones[[#This Row], [Año]]="",Fact_Control_Operaciones[[#This Row], [Mes]]=""),"",DATE(A48,MATCH(B48,{"enero","febrero","marzo","abril","mayo","junio","julio","agosto","septiembre","octubre","noviembre","diciembre"},0)+1,0))</f>
        <v>45412</v>
      </c>
      <c r="D48" t="s">
        <v>90</v>
      </c>
      <c r="E48" t="str">
        <f>+IFERROR(VLOOKUP(Fact_Control_Operaciones[[#This Row], [Concepto Anterior]],Conceptos_Control_Operaciones[#All],5,0),"")</f>
        <v>Recuperaciones descuadres en caja</v>
      </c>
      <c r="F48" t="str">
        <f ca="1">+IFERROR(VLOOKUP(Fact_Control_Operaciones[[#This Row], [Concepto Anterior]],Conceptos_Control_Operaciones[#All],7,0),"")</f>
        <v/>
      </c>
      <c r="G48" t="s">
        <v>172</v>
      </c>
      <c r="H48" t="s">
        <v>172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93">
        <v>2604700</v>
      </c>
    </row>
    <row r="49" spans="1:11" ht="18.75" customHeight="1" x14ac:dyDescent="0.35">
      <c r="A49" s="93">
        <v>2024</v>
      </c>
      <c r="B49" t="s">
        <v>176</v>
      </c>
      <c r="C49" s="100">
        <f>IF(OR(Fact_Control_Operaciones[[#This Row], [Año]]="",Fact_Control_Operaciones[[#This Row], [Mes]]=""),"",DATE(A49,MATCH(B49,{"enero","febrero","marzo","abril","mayo","junio","julio","agosto","septiembre","octubre","noviembre","diciembre"},0)+1,0))</f>
        <v>45412</v>
      </c>
      <c r="D49" t="s">
        <v>84</v>
      </c>
      <c r="E49" t="str">
        <f>+IFERROR(VLOOKUP(Fact_Control_Operaciones[[#This Row], [Concepto Anterior]],Conceptos_Control_Operaciones[#All],5,0),"")</f>
        <v>Tickets mesa de servicio</v>
      </c>
      <c r="F49" t="str">
        <f ca="1">+IFERROR(VLOOKUP(Fact_Control_Operaciones[[#This Row], [Concepto Anterior]],Conceptos_Control_Operaciones[#All],7,0),"")</f>
        <v/>
      </c>
      <c r="G49" t="s">
        <v>172</v>
      </c>
      <c r="H49" t="s">
        <v>172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IF(OR(Fact_Control_Operaciones[[#This Row], [Año]]="",Fact_Control_Operaciones[[#This Row], [Mes]]=""),"",DATE(A50,MATCH(B50,{"enero","febrero","marzo","abril","mayo","junio","julio","agosto","septiembre","octubre","noviembre","diciembre"},0)+1,0))</f>
        <v>45443</v>
      </c>
      <c r="D50" t="s">
        <v>81</v>
      </c>
      <c r="E50" t="str">
        <f>+IFERROR(VLOOKUP(Fact_Control_Operaciones[[#This Row], [Concepto Anterior]],Conceptos_Control_Operaciones[#All],5,0),"")</f>
        <v>Apertura, cierre y reconversiones de tiendas</v>
      </c>
      <c r="F50" t="str">
        <f ca="1">+IFERROR(VLOOKUP(Fact_Control_Operaciones[[#This Row], [Concepto Anterior]],Conceptos_Control_Operaciones[#All],7,0),"")</f>
        <v/>
      </c>
      <c r="G50" t="s">
        <v>172</v>
      </c>
      <c r="H50" t="s">
        <v>172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93">
        <v>0</v>
      </c>
    </row>
    <row r="51" spans="1:11" ht="18.75" customHeight="1" x14ac:dyDescent="0.35">
      <c r="A51" s="93">
        <v>2024</v>
      </c>
      <c r="B51" t="s">
        <v>177</v>
      </c>
      <c r="C51" s="100">
        <f>IF(OR(Fact_Control_Operaciones[[#This Row], [Año]]="",Fact_Control_Operaciones[[#This Row], [Mes]]=""),"",DATE(A51,MATCH(B51,{"enero","febrero","marzo","abril","mayo","junio","julio","agosto","septiembre","octubre","noviembre","diciembre"},0)+1,0))</f>
        <v>45443</v>
      </c>
      <c r="D51" t="s">
        <v>186</v>
      </c>
      <c r="E51" t="str">
        <f>+IFERROR(VLOOKUP(Fact_Control_Operaciones[[#This Row], [Concepto Anterior]],Conceptos_Control_Operaciones[#All],5,0),"")</f>
        <v>Arqueos​</v>
      </c>
      <c r="F51" t="str">
        <f ca="1">+IFERROR(VLOOKUP(Fact_Control_Operaciones[[#This Row], [Concepto Anterior]],Conceptos_Control_Operaciones[#All],7,0),"")</f>
        <v/>
      </c>
      <c r="G51" t="s">
        <v>172</v>
      </c>
      <c r="H51" t="s">
        <v>172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93">
        <v>265</v>
      </c>
    </row>
    <row r="52" spans="1:11" ht="18.75" customHeight="1" x14ac:dyDescent="0.35">
      <c r="A52" s="93">
        <v>2024</v>
      </c>
      <c r="B52" t="s">
        <v>177</v>
      </c>
      <c r="C52" s="100">
        <f>IF(OR(Fact_Control_Operaciones[[#This Row], [Año]]="",Fact_Control_Operaciones[[#This Row], [Mes]]=""),"",DATE(A52,MATCH(B52,{"enero","febrero","marzo","abril","mayo","junio","julio","agosto","septiembre","octubre","noviembre","diciembre"},0)+1,0))</f>
        <v>45443</v>
      </c>
      <c r="D52" t="s">
        <v>187</v>
      </c>
      <c r="E52" t="str">
        <f>+IFERROR(VLOOKUP(Fact_Control_Operaciones[[#This Row], [Concepto Anterior]],Conceptos_Control_Operaciones[#All],5,0),"")</f>
        <v>Capacitaciones</v>
      </c>
      <c r="F52" t="str">
        <f ca="1">+IFERROR(VLOOKUP(Fact_Control_Operaciones[[#This Row], [Concepto Anterior]],Conceptos_Control_Operaciones[#All],7,0),"")</f>
        <v/>
      </c>
      <c r="G52" t="s">
        <v>172</v>
      </c>
      <c r="H52" t="s">
        <v>172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177</v>
      </c>
      <c r="C53" s="100">
        <f>IF(OR(Fact_Control_Operaciones[[#This Row], [Año]]="",Fact_Control_Operaciones[[#This Row], [Mes]]=""),"",DATE(A53,MATCH(B53,{"enero","febrero","marzo","abril","mayo","junio","julio","agosto","septiembre","octubre","noviembre","diciembre"},0)+1,0))</f>
        <v>45443</v>
      </c>
      <c r="D53" t="s">
        <v>85</v>
      </c>
      <c r="E53" t="str">
        <f>+IFERROR(VLOOKUP(Fact_Control_Operaciones[[#This Row], [Concepto Anterior]],Conceptos_Control_Operaciones[#All],5,0),"")</f>
        <v>Causación y Política Caja Menor​</v>
      </c>
      <c r="F53" t="str">
        <f ca="1">+IFERROR(VLOOKUP(Fact_Control_Operaciones[[#This Row], [Concepto Anterior]],Conceptos_Control_Operaciones[#All],7,0),"")</f>
        <v/>
      </c>
      <c r="G53" t="s">
        <v>172</v>
      </c>
      <c r="H53" t="s">
        <v>172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93">
        <v>553</v>
      </c>
    </row>
    <row r="54" spans="1:11" ht="18.75" customHeight="1" x14ac:dyDescent="0.35">
      <c r="A54" s="93">
        <v>2024</v>
      </c>
      <c r="B54" t="s">
        <v>177</v>
      </c>
      <c r="C54" s="100">
        <f>IF(OR(Fact_Control_Operaciones[[#This Row], [Año]]="",Fact_Control_Operaciones[[#This Row], [Mes]]=""),"",DATE(A54,MATCH(B54,{"enero","febrero","marzo","abril","mayo","junio","julio","agosto","septiembre","octubre","noviembre","diciembre"},0)+1,0))</f>
        <v>45443</v>
      </c>
      <c r="D54" t="s">
        <v>110</v>
      </c>
      <c r="E54" t="str">
        <f>+IFERROR(VLOOKUP(Fact_Control_Operaciones[[#This Row], [Concepto Anterior]],Conceptos_Control_Operaciones[#All],5,0),"")</f>
        <v>Gasto caja menor deducible</v>
      </c>
      <c r="F54" t="str">
        <f ca="1">+IFERROR(VLOOKUP(Fact_Control_Operaciones[[#This Row], [Concepto Anterior]],Conceptos_Control_Operaciones[#All],7,0),"")</f>
        <v/>
      </c>
      <c r="G54" t="s">
        <v>172</v>
      </c>
      <c r="H54" t="s">
        <v>172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93">
        <v>53465451</v>
      </c>
    </row>
    <row r="55" spans="1:11" ht="18.75" customHeight="1" x14ac:dyDescent="0.35">
      <c r="A55" s="93">
        <v>2024</v>
      </c>
      <c r="B55" t="s">
        <v>177</v>
      </c>
      <c r="C55" s="100">
        <f>IF(OR(Fact_Control_Operaciones[[#This Row], [Año]]="",Fact_Control_Operaciones[[#This Row], [Mes]]=""),"",DATE(A55,MATCH(B55,{"enero","febrero","marzo","abril","mayo","junio","julio","agosto","septiembre","octubre","noviembre","diciembre"},0)+1,0))</f>
        <v>45443</v>
      </c>
      <c r="D55" t="s">
        <v>109</v>
      </c>
      <c r="E55" t="str">
        <f>+IFERROR(VLOOKUP(Fact_Control_Operaciones[[#This Row], [Concepto Anterior]],Conceptos_Control_Operaciones[#All],5,0),"")</f>
        <v>Gasto caja menor no deducible</v>
      </c>
      <c r="F55" t="str">
        <f ca="1">+IFERROR(VLOOKUP(Fact_Control_Operaciones[[#This Row], [Concepto Anterior]],Conceptos_Control_Operaciones[#All],7,0),"")</f>
        <v/>
      </c>
      <c r="G55" t="s">
        <v>172</v>
      </c>
      <c r="H55" t="s">
        <v>172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93">
        <v>1079691</v>
      </c>
    </row>
    <row r="56" spans="1:11" ht="18.75" customHeight="1" x14ac:dyDescent="0.35">
      <c r="A56" s="93">
        <v>2024</v>
      </c>
      <c r="B56" t="s">
        <v>177</v>
      </c>
      <c r="C56" s="100">
        <f>IF(OR(Fact_Control_Operaciones[[#This Row], [Año]]="",Fact_Control_Operaciones[[#This Row], [Mes]]=""),"",DATE(A56,MATCH(B56,{"enero","febrero","marzo","abril","mayo","junio","julio","agosto","septiembre","octubre","noviembre","diciembre"},0)+1,0))</f>
        <v>45443</v>
      </c>
      <c r="D56" t="s">
        <v>86</v>
      </c>
      <c r="E56" t="str">
        <f>+IFERROR(VLOOKUP(Fact_Control_Operaciones[[#This Row], [Concepto Anterior]],Conceptos_Control_Operaciones[#All],5,0),"")</f>
        <v>Gestiones descuadres en caja</v>
      </c>
      <c r="F56" t="str">
        <f ca="1">+IFERROR(VLOOKUP(Fact_Control_Operaciones[[#This Row], [Concepto Anterior]],Conceptos_Control_Operaciones[#All],7,0),"")</f>
        <v/>
      </c>
      <c r="G56" t="s">
        <v>172</v>
      </c>
      <c r="H56" t="s">
        <v>172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93">
        <v>20</v>
      </c>
    </row>
    <row r="57" spans="1:11" ht="18.75" customHeight="1" x14ac:dyDescent="0.35">
      <c r="A57" s="93">
        <v>2024</v>
      </c>
      <c r="B57" t="s">
        <v>177</v>
      </c>
      <c r="C57" s="100">
        <f>IF(OR(Fact_Control_Operaciones[[#This Row], [Año]]="",Fact_Control_Operaciones[[#This Row], [Mes]]=""),"",DATE(A57,MATCH(B57,{"enero","febrero","marzo","abril","mayo","junio","julio","agosto","septiembre","octubre","noviembre","diciembre"},0)+1,0))</f>
        <v>45443</v>
      </c>
      <c r="D57" t="s">
        <v>188</v>
      </c>
      <c r="E57" t="str">
        <f>+IFERROR(VLOOKUP(Fact_Control_Operaciones[[#This Row], [Concepto Anterior]],Conceptos_Control_Operaciones[#All],5,0),"")</f>
        <v>Inventarios fisicos​ GS Falabella</v>
      </c>
      <c r="F57" t="str">
        <f ca="1">+IFERROR(VLOOKUP(Fact_Control_Operaciones[[#This Row], [Concepto Anterior]],Conceptos_Control_Operaciones[#All],7,0),"")</f>
        <v/>
      </c>
      <c r="G57" t="s">
        <v>172</v>
      </c>
      <c r="H57" t="s">
        <v>172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93">
        <v>0</v>
      </c>
    </row>
    <row r="58" spans="1:11" ht="18.75" customHeight="1" x14ac:dyDescent="0.35">
      <c r="A58" s="93">
        <v>2024</v>
      </c>
      <c r="B58" t="s">
        <v>177</v>
      </c>
      <c r="C58" s="100">
        <f>IF(OR(Fact_Control_Operaciones[[#This Row], [Año]]="",Fact_Control_Operaciones[[#This Row], [Mes]]=""),"",DATE(A58,MATCH(B58,{"enero","febrero","marzo","abril","mayo","junio","julio","agosto","septiembre","octubre","noviembre","diciembre"},0)+1,0))</f>
        <v>45443</v>
      </c>
      <c r="D58" t="s">
        <v>189</v>
      </c>
      <c r="E58" t="str">
        <f>+IFERROR(VLOOKUP(Fact_Control_Operaciones[[#This Row], [Concepto Anterior]],Conceptos_Control_Operaciones[#All],5,0),"")</f>
        <v>Inventarios fisicos​ tiendas propias y franquicias</v>
      </c>
      <c r="F58" t="str">
        <f ca="1">+IFERROR(VLOOKUP(Fact_Control_Operaciones[[#This Row], [Concepto Anterior]],Conceptos_Control_Operaciones[#All],7,0),"")</f>
        <v/>
      </c>
      <c r="G58" t="s">
        <v>172</v>
      </c>
      <c r="H58" t="s">
        <v>172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93">
        <v>27</v>
      </c>
    </row>
    <row r="59" spans="1:11" ht="18.75" customHeight="1" x14ac:dyDescent="0.35">
      <c r="A59" s="93">
        <v>2024</v>
      </c>
      <c r="B59" t="s">
        <v>177</v>
      </c>
      <c r="C59" s="100">
        <f>IF(OR(Fact_Control_Operaciones[[#This Row], [Año]]="",Fact_Control_Operaciones[[#This Row], [Mes]]=""),"",DATE(A59,MATCH(B59,{"enero","febrero","marzo","abril","mayo","junio","julio","agosto","septiembre","octubre","noviembre","diciembre"},0)+1,0))</f>
        <v>45443</v>
      </c>
      <c r="D59" t="s">
        <v>190</v>
      </c>
      <c r="E59" t="str">
        <f>+IFERROR(VLOOKUP(Fact_Control_Operaciones[[#This Row], [Concepto Anterior]],Conceptos_Control_Operaciones[#All],5,0),"")</f>
        <v>Paz y Salvo Retiros​</v>
      </c>
      <c r="F59" t="str">
        <f ca="1">+IFERROR(VLOOKUP(Fact_Control_Operaciones[[#This Row], [Concepto Anterior]],Conceptos_Control_Operaciones[#All],7,0),"")</f>
        <v/>
      </c>
      <c r="G59" t="s">
        <v>172</v>
      </c>
      <c r="H59" t="s">
        <v>172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93">
        <v>32</v>
      </c>
    </row>
    <row r="60" spans="1:11" ht="18.75" customHeight="1" x14ac:dyDescent="0.35">
      <c r="A60" s="93">
        <v>2024</v>
      </c>
      <c r="B60" t="s">
        <v>177</v>
      </c>
      <c r="C60" s="100">
        <f>IF(OR(Fact_Control_Operaciones[[#This Row], [Año]]="",Fact_Control_Operaciones[[#This Row], [Mes]]=""),"",DATE(A60,MATCH(B60,{"enero","febrero","marzo","abril","mayo","junio","julio","agosto","septiembre","octubre","noviembre","diciembre"},0)+1,0))</f>
        <v>45443</v>
      </c>
      <c r="D60" t="s">
        <v>90</v>
      </c>
      <c r="E60" t="str">
        <f>+IFERROR(VLOOKUP(Fact_Control_Operaciones[[#This Row], [Concepto Anterior]],Conceptos_Control_Operaciones[#All],5,0),"")</f>
        <v>Recuperaciones descuadres en caja</v>
      </c>
      <c r="F60" t="str">
        <f ca="1">+IFERROR(VLOOKUP(Fact_Control_Operaciones[[#This Row], [Concepto Anterior]],Conceptos_Control_Operaciones[#All],7,0),"")</f>
        <v/>
      </c>
      <c r="G60" t="s">
        <v>172</v>
      </c>
      <c r="H60" t="s">
        <v>172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93">
        <v>592257</v>
      </c>
    </row>
    <row r="61" spans="1:11" ht="18.75" customHeight="1" x14ac:dyDescent="0.35">
      <c r="A61" s="93">
        <v>2024</v>
      </c>
      <c r="B61" t="s">
        <v>177</v>
      </c>
      <c r="C61" s="100">
        <f>IF(OR(Fact_Control_Operaciones[[#This Row], [Año]]="",Fact_Control_Operaciones[[#This Row], [Mes]]=""),"",DATE(A61,MATCH(B61,{"enero","febrero","marzo","abril","mayo","junio","julio","agosto","septiembre","octubre","noviembre","diciembre"},0)+1,0))</f>
        <v>45443</v>
      </c>
      <c r="D61" t="s">
        <v>84</v>
      </c>
      <c r="E61" t="str">
        <f>+IFERROR(VLOOKUP(Fact_Control_Operaciones[[#This Row], [Concepto Anterior]],Conceptos_Control_Operaciones[#All],5,0),"")</f>
        <v>Tickets mesa de servicio</v>
      </c>
      <c r="F61" t="str">
        <f ca="1">+IFERROR(VLOOKUP(Fact_Control_Operaciones[[#This Row], [Concepto Anterior]],Conceptos_Control_Operaciones[#All],7,0),"")</f>
        <v/>
      </c>
      <c r="G61" t="s">
        <v>172</v>
      </c>
      <c r="H61" t="s">
        <v>172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178</v>
      </c>
      <c r="C62" s="100">
        <f>IF(OR(Fact_Control_Operaciones[[#This Row], [Año]]="",Fact_Control_Operaciones[[#This Row], [Mes]]=""),"",DATE(A62,MATCH(B62,{"enero","febrero","marzo","abril","mayo","junio","julio","agosto","septiembre","octubre","noviembre","diciembre"},0)+1,0))</f>
        <v>45473</v>
      </c>
      <c r="D62" t="s">
        <v>81</v>
      </c>
      <c r="E62" t="str">
        <f>+IFERROR(VLOOKUP(Fact_Control_Operaciones[[#This Row], [Concepto Anterior]],Conceptos_Control_Operaciones[#All],5,0),"")</f>
        <v>Apertura, cierre y reconversiones de tiendas</v>
      </c>
      <c r="F62" t="str">
        <f ca="1">+IFERROR(VLOOKUP(Fact_Control_Operaciones[[#This Row], [Concepto Anterior]],Conceptos_Control_Operaciones[#All],7,0),"")</f>
        <v/>
      </c>
      <c r="G62" t="s">
        <v>172</v>
      </c>
      <c r="H62" t="s">
        <v>172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178</v>
      </c>
      <c r="C63" s="100">
        <f>IF(OR(Fact_Control_Operaciones[[#This Row], [Año]]="",Fact_Control_Operaciones[[#This Row], [Mes]]=""),"",DATE(A63,MATCH(B63,{"enero","febrero","marzo","abril","mayo","junio","julio","agosto","septiembre","octubre","noviembre","diciembre"},0)+1,0))</f>
        <v>45473</v>
      </c>
      <c r="D63" t="s">
        <v>186</v>
      </c>
      <c r="E63" t="str">
        <f>+IFERROR(VLOOKUP(Fact_Control_Operaciones[[#This Row], [Concepto Anterior]],Conceptos_Control_Operaciones[#All],5,0),"")</f>
        <v>Arqueos​</v>
      </c>
      <c r="F63" t="str">
        <f ca="1">+IFERROR(VLOOKUP(Fact_Control_Operaciones[[#This Row], [Concepto Anterior]],Conceptos_Control_Operaciones[#All],7,0),"")</f>
        <v/>
      </c>
      <c r="G63" t="s">
        <v>172</v>
      </c>
      <c r="H63" t="s">
        <v>172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93">
        <v>291</v>
      </c>
    </row>
    <row r="64" spans="1:11" ht="18.75" customHeight="1" x14ac:dyDescent="0.35">
      <c r="A64" s="93">
        <v>2024</v>
      </c>
      <c r="B64" t="s">
        <v>178</v>
      </c>
      <c r="C64" s="100">
        <f>IF(OR(Fact_Control_Operaciones[[#This Row], [Año]]="",Fact_Control_Operaciones[[#This Row], [Mes]]=""),"",DATE(A64,MATCH(B64,{"enero","febrero","marzo","abril","mayo","junio","julio","agosto","septiembre","octubre","noviembre","diciembre"},0)+1,0))</f>
        <v>45473</v>
      </c>
      <c r="D64" t="s">
        <v>187</v>
      </c>
      <c r="E64" t="str">
        <f>+IFERROR(VLOOKUP(Fact_Control_Operaciones[[#This Row], [Concepto Anterior]],Conceptos_Control_Operaciones[#All],5,0),"")</f>
        <v>Capacitaciones</v>
      </c>
      <c r="F64" t="str">
        <f ca="1">+IFERROR(VLOOKUP(Fact_Control_Operaciones[[#This Row], [Concepto Anterior]],Conceptos_Control_Operaciones[#All],7,0),"")</f>
        <v/>
      </c>
      <c r="G64" t="s">
        <v>172</v>
      </c>
      <c r="H64" t="s">
        <v>172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93">
        <v>0</v>
      </c>
    </row>
    <row r="65" spans="1:11" ht="18.75" customHeight="1" x14ac:dyDescent="0.35">
      <c r="A65" s="93">
        <v>2024</v>
      </c>
      <c r="B65" t="s">
        <v>178</v>
      </c>
      <c r="C65" s="100">
        <f>IF(OR(Fact_Control_Operaciones[[#This Row], [Año]]="",Fact_Control_Operaciones[[#This Row], [Mes]]=""),"",DATE(A65,MATCH(B65,{"enero","febrero","marzo","abril","mayo","junio","julio","agosto","septiembre","octubre","noviembre","diciembre"},0)+1,0))</f>
        <v>45473</v>
      </c>
      <c r="D65" t="s">
        <v>85</v>
      </c>
      <c r="E65" t="str">
        <f>+IFERROR(VLOOKUP(Fact_Control_Operaciones[[#This Row], [Concepto Anterior]],Conceptos_Control_Operaciones[#All],5,0),"")</f>
        <v>Causación y Política Caja Menor​</v>
      </c>
      <c r="F65" t="str">
        <f ca="1">+IFERROR(VLOOKUP(Fact_Control_Operaciones[[#This Row], [Concepto Anterior]],Conceptos_Control_Operaciones[#All],7,0),"")</f>
        <v/>
      </c>
      <c r="G65" t="s">
        <v>172</v>
      </c>
      <c r="H65" t="s">
        <v>172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93">
        <v>384</v>
      </c>
    </row>
    <row r="66" spans="1:11" ht="18.75" customHeight="1" x14ac:dyDescent="0.35">
      <c r="A66" s="93">
        <v>2024</v>
      </c>
      <c r="B66" t="s">
        <v>178</v>
      </c>
      <c r="C66" s="100">
        <f>IF(OR(Fact_Control_Operaciones[[#This Row], [Año]]="",Fact_Control_Operaciones[[#This Row], [Mes]]=""),"",DATE(A66,MATCH(B66,{"enero","febrero","marzo","abril","mayo","junio","julio","agosto","septiembre","octubre","noviembre","diciembre"},0)+1,0))</f>
        <v>45473</v>
      </c>
      <c r="D66" t="s">
        <v>110</v>
      </c>
      <c r="E66" t="str">
        <f>+IFERROR(VLOOKUP(Fact_Control_Operaciones[[#This Row], [Concepto Anterior]],Conceptos_Control_Operaciones[#All],5,0),"")</f>
        <v>Gasto caja menor deducible</v>
      </c>
      <c r="F66" t="str">
        <f ca="1">+IFERROR(VLOOKUP(Fact_Control_Operaciones[[#This Row], [Concepto Anterior]],Conceptos_Control_Operaciones[#All],7,0),"")</f>
        <v/>
      </c>
      <c r="G66" t="s">
        <v>172</v>
      </c>
      <c r="H66" t="s">
        <v>172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93">
        <v>31816261</v>
      </c>
    </row>
    <row r="67" spans="1:11" ht="18.75" customHeight="1" x14ac:dyDescent="0.35">
      <c r="A67" s="93">
        <v>2024</v>
      </c>
      <c r="B67" t="s">
        <v>178</v>
      </c>
      <c r="C67" s="100">
        <f>IF(OR(Fact_Control_Operaciones[[#This Row], [Año]]="",Fact_Control_Operaciones[[#This Row], [Mes]]=""),"",DATE(A67,MATCH(B67,{"enero","febrero","marzo","abril","mayo","junio","julio","agosto","septiembre","octubre","noviembre","diciembre"},0)+1,0))</f>
        <v>45473</v>
      </c>
      <c r="D67" t="s">
        <v>109</v>
      </c>
      <c r="E67" t="str">
        <f>+IFERROR(VLOOKUP(Fact_Control_Operaciones[[#This Row], [Concepto Anterior]],Conceptos_Control_Operaciones[#All],5,0),"")</f>
        <v>Gasto caja menor no deducible</v>
      </c>
      <c r="F67" t="str">
        <f ca="1">+IFERROR(VLOOKUP(Fact_Control_Operaciones[[#This Row], [Concepto Anterior]],Conceptos_Control_Operaciones[#All],7,0),"")</f>
        <v/>
      </c>
      <c r="G67" t="s">
        <v>172</v>
      </c>
      <c r="H67" t="s">
        <v>172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93">
        <v>1921652</v>
      </c>
    </row>
    <row r="68" spans="1:11" ht="18.75" customHeight="1" x14ac:dyDescent="0.35">
      <c r="A68" s="93">
        <v>2024</v>
      </c>
      <c r="B68" t="s">
        <v>178</v>
      </c>
      <c r="C68" s="100">
        <f>IF(OR(Fact_Control_Operaciones[[#This Row], [Año]]="",Fact_Control_Operaciones[[#This Row], [Mes]]=""),"",DATE(A68,MATCH(B68,{"enero","febrero","marzo","abril","mayo","junio","julio","agosto","septiembre","octubre","noviembre","diciembre"},0)+1,0))</f>
        <v>45473</v>
      </c>
      <c r="D68" t="s">
        <v>86</v>
      </c>
      <c r="E68" t="str">
        <f>+IFERROR(VLOOKUP(Fact_Control_Operaciones[[#This Row], [Concepto Anterior]],Conceptos_Control_Operaciones[#All],5,0),"")</f>
        <v>Gestiones descuadres en caja</v>
      </c>
      <c r="F68" t="str">
        <f ca="1">+IFERROR(VLOOKUP(Fact_Control_Operaciones[[#This Row], [Concepto Anterior]],Conceptos_Control_Operaciones[#All],7,0),"")</f>
        <v/>
      </c>
      <c r="G68" t="s">
        <v>172</v>
      </c>
      <c r="H68" t="s">
        <v>172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93">
        <v>38</v>
      </c>
    </row>
    <row r="69" spans="1:11" ht="18.75" customHeight="1" x14ac:dyDescent="0.35">
      <c r="A69" s="93">
        <v>2024</v>
      </c>
      <c r="B69" t="s">
        <v>178</v>
      </c>
      <c r="C69" s="100">
        <f>IF(OR(Fact_Control_Operaciones[[#This Row], [Año]]="",Fact_Control_Operaciones[[#This Row], [Mes]]=""),"",DATE(A69,MATCH(B69,{"enero","febrero","marzo","abril","mayo","junio","julio","agosto","septiembre","octubre","noviembre","diciembre"},0)+1,0))</f>
        <v>45473</v>
      </c>
      <c r="D69" t="s">
        <v>188</v>
      </c>
      <c r="E69" t="str">
        <f>+IFERROR(VLOOKUP(Fact_Control_Operaciones[[#This Row], [Concepto Anterior]],Conceptos_Control_Operaciones[#All],5,0),"")</f>
        <v>Inventarios fisicos​ GS Falabella</v>
      </c>
      <c r="F69" t="str">
        <f ca="1">+IFERROR(VLOOKUP(Fact_Control_Operaciones[[#This Row], [Concepto Anterior]],Conceptos_Control_Operaciones[#All],7,0),"")</f>
        <v/>
      </c>
      <c r="G69" t="s">
        <v>172</v>
      </c>
      <c r="H69" t="s">
        <v>172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178</v>
      </c>
      <c r="C70" s="100">
        <f>IF(OR(Fact_Control_Operaciones[[#This Row], [Año]]="",Fact_Control_Operaciones[[#This Row], [Mes]]=""),"",DATE(A70,MATCH(B70,{"enero","febrero","marzo","abril","mayo","junio","julio","agosto","septiembre","octubre","noviembre","diciembre"},0)+1,0))</f>
        <v>45473</v>
      </c>
      <c r="D70" t="s">
        <v>189</v>
      </c>
      <c r="E70" t="str">
        <f>+IFERROR(VLOOKUP(Fact_Control_Operaciones[[#This Row], [Concepto Anterior]],Conceptos_Control_Operaciones[#All],5,0),"")</f>
        <v>Inventarios fisicos​ tiendas propias y franquicias</v>
      </c>
      <c r="F70" t="str">
        <f ca="1">+IFERROR(VLOOKUP(Fact_Control_Operaciones[[#This Row], [Concepto Anterior]],Conceptos_Control_Operaciones[#All],7,0),"")</f>
        <v/>
      </c>
      <c r="G70" t="s">
        <v>172</v>
      </c>
      <c r="H70" t="s">
        <v>172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93">
        <v>19</v>
      </c>
    </row>
    <row r="71" spans="1:11" ht="18.75" customHeight="1" x14ac:dyDescent="0.35">
      <c r="A71" s="93">
        <v>2024</v>
      </c>
      <c r="B71" t="s">
        <v>178</v>
      </c>
      <c r="C71" s="100">
        <f>IF(OR(Fact_Control_Operaciones[[#This Row], [Año]]="",Fact_Control_Operaciones[[#This Row], [Mes]]=""),"",DATE(A71,MATCH(B71,{"enero","febrero","marzo","abril","mayo","junio","julio","agosto","septiembre","octubre","noviembre","diciembre"},0)+1,0))</f>
        <v>45473</v>
      </c>
      <c r="D71" t="s">
        <v>190</v>
      </c>
      <c r="E71" t="str">
        <f>+IFERROR(VLOOKUP(Fact_Control_Operaciones[[#This Row], [Concepto Anterior]],Conceptos_Control_Operaciones[#All],5,0),"")</f>
        <v>Paz y Salvo Retiros​</v>
      </c>
      <c r="F71" t="str">
        <f ca="1">+IFERROR(VLOOKUP(Fact_Control_Operaciones[[#This Row], [Concepto Anterior]],Conceptos_Control_Operaciones[#All],7,0),"")</f>
        <v/>
      </c>
      <c r="G71" t="s">
        <v>172</v>
      </c>
      <c r="H71" t="s">
        <v>172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93">
        <v>20</v>
      </c>
    </row>
    <row r="72" spans="1:11" ht="18.75" customHeight="1" x14ac:dyDescent="0.35">
      <c r="A72" s="93">
        <v>2024</v>
      </c>
      <c r="B72" t="s">
        <v>178</v>
      </c>
      <c r="C72" s="100">
        <f>IF(OR(Fact_Control_Operaciones[[#This Row], [Año]]="",Fact_Control_Operaciones[[#This Row], [Mes]]=""),"",DATE(A72,MATCH(B72,{"enero","febrero","marzo","abril","mayo","junio","julio","agosto","septiembre","octubre","noviembre","diciembre"},0)+1,0))</f>
        <v>45473</v>
      </c>
      <c r="D72" t="s">
        <v>90</v>
      </c>
      <c r="E72" t="str">
        <f>+IFERROR(VLOOKUP(Fact_Control_Operaciones[[#This Row], [Concepto Anterior]],Conceptos_Control_Operaciones[#All],5,0),"")</f>
        <v>Recuperaciones descuadres en caja</v>
      </c>
      <c r="F72" t="str">
        <f ca="1">+IFERROR(VLOOKUP(Fact_Control_Operaciones[[#This Row], [Concepto Anterior]],Conceptos_Control_Operaciones[#All],7,0),"")</f>
        <v/>
      </c>
      <c r="G72" t="s">
        <v>172</v>
      </c>
      <c r="H72" t="s">
        <v>172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93">
        <v>1565026</v>
      </c>
    </row>
    <row r="73" spans="1:11" ht="18.75" customHeight="1" x14ac:dyDescent="0.35">
      <c r="A73" s="93">
        <v>2024</v>
      </c>
      <c r="B73" t="s">
        <v>178</v>
      </c>
      <c r="C73" s="100">
        <f>IF(OR(Fact_Control_Operaciones[[#This Row], [Año]]="",Fact_Control_Operaciones[[#This Row], [Mes]]=""),"",DATE(A73,MATCH(B73,{"enero","febrero","marzo","abril","mayo","junio","julio","agosto","septiembre","octubre","noviembre","diciembre"},0)+1,0))</f>
        <v>45473</v>
      </c>
      <c r="D73" t="s">
        <v>84</v>
      </c>
      <c r="E73" t="str">
        <f>+IFERROR(VLOOKUP(Fact_Control_Operaciones[[#This Row], [Concepto Anterior]],Conceptos_Control_Operaciones[#All],5,0),"")</f>
        <v>Tickets mesa de servicio</v>
      </c>
      <c r="F73" t="str">
        <f ca="1">+IFERROR(VLOOKUP(Fact_Control_Operaciones[[#This Row], [Concepto Anterior]],Conceptos_Control_Operaciones[#All],7,0),"")</f>
        <v/>
      </c>
      <c r="G73" t="s">
        <v>172</v>
      </c>
      <c r="H73" t="s">
        <v>172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179</v>
      </c>
      <c r="C74" s="100">
        <f>IF(OR(Fact_Control_Operaciones[[#This Row], [Año]]="",Fact_Control_Operaciones[[#This Row], [Mes]]=""),"",DATE(A74,MATCH(B74,{"enero","febrero","marzo","abril","mayo","junio","julio","agosto","septiembre","octubre","noviembre","diciembre"},0)+1,0))</f>
        <v>45504</v>
      </c>
      <c r="D74" t="s">
        <v>81</v>
      </c>
      <c r="E74" t="str">
        <f>+IFERROR(VLOOKUP(Fact_Control_Operaciones[[#This Row], [Concepto Anterior]],Conceptos_Control_Operaciones[#All],5,0),"")</f>
        <v>Apertura, cierre y reconversiones de tiendas</v>
      </c>
      <c r="F74" t="str">
        <f ca="1">+IFERROR(VLOOKUP(Fact_Control_Operaciones[[#This Row], [Concepto Anterior]],Conceptos_Control_Operaciones[#All],7,0),"")</f>
        <v/>
      </c>
      <c r="G74" t="s">
        <v>172</v>
      </c>
      <c r="H74" t="s">
        <v>172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179</v>
      </c>
      <c r="C75" s="100">
        <f>IF(OR(Fact_Control_Operaciones[[#This Row], [Año]]="",Fact_Control_Operaciones[[#This Row], [Mes]]=""),"",DATE(A75,MATCH(B75,{"enero","febrero","marzo","abril","mayo","junio","julio","agosto","septiembre","octubre","noviembre","diciembre"},0)+1,0))</f>
        <v>45504</v>
      </c>
      <c r="D75" t="s">
        <v>186</v>
      </c>
      <c r="E75" t="str">
        <f>+IFERROR(VLOOKUP(Fact_Control_Operaciones[[#This Row], [Concepto Anterior]],Conceptos_Control_Operaciones[#All],5,0),"")</f>
        <v>Arqueos​</v>
      </c>
      <c r="F75" t="str">
        <f ca="1">+IFERROR(VLOOKUP(Fact_Control_Operaciones[[#This Row], [Concepto Anterior]],Conceptos_Control_Operaciones[#All],7,0),"")</f>
        <v/>
      </c>
      <c r="G75" t="s">
        <v>172</v>
      </c>
      <c r="H75" t="s">
        <v>172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93">
        <v>293</v>
      </c>
    </row>
    <row r="76" spans="1:11" ht="18.75" customHeight="1" x14ac:dyDescent="0.35">
      <c r="A76" s="93">
        <v>2024</v>
      </c>
      <c r="B76" t="s">
        <v>179</v>
      </c>
      <c r="C76" s="100">
        <f>IF(OR(Fact_Control_Operaciones[[#This Row], [Año]]="",Fact_Control_Operaciones[[#This Row], [Mes]]=""),"",DATE(A76,MATCH(B76,{"enero","febrero","marzo","abril","mayo","junio","julio","agosto","septiembre","octubre","noviembre","diciembre"},0)+1,0))</f>
        <v>45504</v>
      </c>
      <c r="D76" t="s">
        <v>187</v>
      </c>
      <c r="E76" t="str">
        <f>+IFERROR(VLOOKUP(Fact_Control_Operaciones[[#This Row], [Concepto Anterior]],Conceptos_Control_Operaciones[#All],5,0),"")</f>
        <v>Capacitaciones</v>
      </c>
      <c r="F76" t="str">
        <f ca="1">+IFERROR(VLOOKUP(Fact_Control_Operaciones[[#This Row], [Concepto Anterior]],Conceptos_Control_Operaciones[#All],7,0),"")</f>
        <v/>
      </c>
      <c r="G76" t="s">
        <v>172</v>
      </c>
      <c r="H76" t="s">
        <v>172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93">
        <v>3</v>
      </c>
    </row>
    <row r="77" spans="1:11" ht="18.75" customHeight="1" x14ac:dyDescent="0.35">
      <c r="A77" s="93">
        <v>2024</v>
      </c>
      <c r="B77" t="s">
        <v>179</v>
      </c>
      <c r="C77" s="100">
        <f>IF(OR(Fact_Control_Operaciones[[#This Row], [Año]]="",Fact_Control_Operaciones[[#This Row], [Mes]]=""),"",DATE(A77,MATCH(B77,{"enero","febrero","marzo","abril","mayo","junio","julio","agosto","septiembre","octubre","noviembre","diciembre"},0)+1,0))</f>
        <v>45504</v>
      </c>
      <c r="D77" t="s">
        <v>85</v>
      </c>
      <c r="E77" t="str">
        <f>+IFERROR(VLOOKUP(Fact_Control_Operaciones[[#This Row], [Concepto Anterior]],Conceptos_Control_Operaciones[#All],5,0),"")</f>
        <v>Causación y Política Caja Menor​</v>
      </c>
      <c r="F77" t="str">
        <f ca="1">+IFERROR(VLOOKUP(Fact_Control_Operaciones[[#This Row], [Concepto Anterior]],Conceptos_Control_Operaciones[#All],7,0),"")</f>
        <v/>
      </c>
      <c r="G77" t="s">
        <v>172</v>
      </c>
      <c r="H77" t="s">
        <v>172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93">
        <v>424</v>
      </c>
    </row>
    <row r="78" spans="1:11" ht="18.75" customHeight="1" x14ac:dyDescent="0.35">
      <c r="A78" s="93">
        <v>2024</v>
      </c>
      <c r="B78" t="s">
        <v>179</v>
      </c>
      <c r="C78" s="100">
        <f>IF(OR(Fact_Control_Operaciones[[#This Row], [Año]]="",Fact_Control_Operaciones[[#This Row], [Mes]]=""),"",DATE(A78,MATCH(B78,{"enero","febrero","marzo","abril","mayo","junio","julio","agosto","septiembre","octubre","noviembre","diciembre"},0)+1,0))</f>
        <v>45504</v>
      </c>
      <c r="D78" t="s">
        <v>110</v>
      </c>
      <c r="E78" t="str">
        <f>+IFERROR(VLOOKUP(Fact_Control_Operaciones[[#This Row], [Concepto Anterior]],Conceptos_Control_Operaciones[#All],5,0),"")</f>
        <v>Gasto caja menor deducible</v>
      </c>
      <c r="F78" t="str">
        <f ca="1">+IFERROR(VLOOKUP(Fact_Control_Operaciones[[#This Row], [Concepto Anterior]],Conceptos_Control_Operaciones[#All],7,0),"")</f>
        <v/>
      </c>
      <c r="G78" t="s">
        <v>172</v>
      </c>
      <c r="H78" t="s">
        <v>172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93">
        <v>32548389</v>
      </c>
    </row>
    <row r="79" spans="1:11" ht="18.75" customHeight="1" x14ac:dyDescent="0.35">
      <c r="A79" s="93">
        <v>2024</v>
      </c>
      <c r="B79" t="s">
        <v>179</v>
      </c>
      <c r="C79" s="100">
        <f>IF(OR(Fact_Control_Operaciones[[#This Row], [Año]]="",Fact_Control_Operaciones[[#This Row], [Mes]]=""),"",DATE(A79,MATCH(B79,{"enero","febrero","marzo","abril","mayo","junio","julio","agosto","septiembre","octubre","noviembre","diciembre"},0)+1,0))</f>
        <v>45504</v>
      </c>
      <c r="D79" t="s">
        <v>109</v>
      </c>
      <c r="E79" t="str">
        <f>+IFERROR(VLOOKUP(Fact_Control_Operaciones[[#This Row], [Concepto Anterior]],Conceptos_Control_Operaciones[#All],5,0),"")</f>
        <v>Gasto caja menor no deducible</v>
      </c>
      <c r="F79" t="str">
        <f ca="1">+IFERROR(VLOOKUP(Fact_Control_Operaciones[[#This Row], [Concepto Anterior]],Conceptos_Control_Operaciones[#All],7,0),"")</f>
        <v/>
      </c>
      <c r="G79" t="s">
        <v>172</v>
      </c>
      <c r="H79" t="s">
        <v>172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93">
        <v>1471341</v>
      </c>
    </row>
    <row r="80" spans="1:11" ht="18.75" customHeight="1" x14ac:dyDescent="0.35">
      <c r="A80" s="93">
        <v>2024</v>
      </c>
      <c r="B80" t="s">
        <v>179</v>
      </c>
      <c r="C80" s="100">
        <f>IF(OR(Fact_Control_Operaciones[[#This Row], [Año]]="",Fact_Control_Operaciones[[#This Row], [Mes]]=""),"",DATE(A80,MATCH(B80,{"enero","febrero","marzo","abril","mayo","junio","julio","agosto","septiembre","octubre","noviembre","diciembre"},0)+1,0))</f>
        <v>45504</v>
      </c>
      <c r="D80" t="s">
        <v>86</v>
      </c>
      <c r="E80" t="str">
        <f>+IFERROR(VLOOKUP(Fact_Control_Operaciones[[#This Row], [Concepto Anterior]],Conceptos_Control_Operaciones[#All],5,0),"")</f>
        <v>Gestiones descuadres en caja</v>
      </c>
      <c r="F80" t="str">
        <f ca="1">+IFERROR(VLOOKUP(Fact_Control_Operaciones[[#This Row], [Concepto Anterior]],Conceptos_Control_Operaciones[#All],7,0),"")</f>
        <v/>
      </c>
      <c r="G80" t="s">
        <v>172</v>
      </c>
      <c r="H80" t="s">
        <v>172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93">
        <v>40</v>
      </c>
    </row>
    <row r="81" spans="1:11" ht="18.75" customHeight="1" x14ac:dyDescent="0.35">
      <c r="A81" s="93">
        <v>2024</v>
      </c>
      <c r="B81" t="s">
        <v>179</v>
      </c>
      <c r="C81" s="100">
        <f>IF(OR(Fact_Control_Operaciones[[#This Row], [Año]]="",Fact_Control_Operaciones[[#This Row], [Mes]]=""),"",DATE(A81,MATCH(B81,{"enero","febrero","marzo","abril","mayo","junio","julio","agosto","septiembre","octubre","noviembre","diciembre"},0)+1,0))</f>
        <v>45504</v>
      </c>
      <c r="D81" t="s">
        <v>188</v>
      </c>
      <c r="E81" t="str">
        <f>+IFERROR(VLOOKUP(Fact_Control_Operaciones[[#This Row], [Concepto Anterior]],Conceptos_Control_Operaciones[#All],5,0),"")</f>
        <v>Inventarios fisicos​ GS Falabella</v>
      </c>
      <c r="F81" t="str">
        <f ca="1">+IFERROR(VLOOKUP(Fact_Control_Operaciones[[#This Row], [Concepto Anterior]],Conceptos_Control_Operaciones[#All],7,0),"")</f>
        <v/>
      </c>
      <c r="G81" t="s">
        <v>172</v>
      </c>
      <c r="H81" t="s">
        <v>172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93">
        <v>5</v>
      </c>
    </row>
    <row r="82" spans="1:11" ht="18.75" customHeight="1" x14ac:dyDescent="0.35">
      <c r="A82" s="93">
        <v>2024</v>
      </c>
      <c r="B82" t="s">
        <v>179</v>
      </c>
      <c r="C82" s="100">
        <f>IF(OR(Fact_Control_Operaciones[[#This Row], [Año]]="",Fact_Control_Operaciones[[#This Row], [Mes]]=""),"",DATE(A82,MATCH(B82,{"enero","febrero","marzo","abril","mayo","junio","julio","agosto","septiembre","octubre","noviembre","diciembre"},0)+1,0))</f>
        <v>45504</v>
      </c>
      <c r="D82" t="s">
        <v>189</v>
      </c>
      <c r="E82" t="str">
        <f>+IFERROR(VLOOKUP(Fact_Control_Operaciones[[#This Row], [Concepto Anterior]],Conceptos_Control_Operaciones[#All],5,0),"")</f>
        <v>Inventarios fisicos​ tiendas propias y franquicias</v>
      </c>
      <c r="F82" t="str">
        <f ca="1">+IFERROR(VLOOKUP(Fact_Control_Operaciones[[#This Row], [Concepto Anterior]],Conceptos_Control_Operaciones[#All],7,0),"")</f>
        <v/>
      </c>
      <c r="G82" t="s">
        <v>172</v>
      </c>
      <c r="H82" t="s">
        <v>172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93">
        <v>55</v>
      </c>
    </row>
    <row r="83" spans="1:11" ht="18.75" customHeight="1" x14ac:dyDescent="0.35">
      <c r="A83" s="93">
        <v>2024</v>
      </c>
      <c r="B83" t="s">
        <v>179</v>
      </c>
      <c r="C83" s="100">
        <f>IF(OR(Fact_Control_Operaciones[[#This Row], [Año]]="",Fact_Control_Operaciones[[#This Row], [Mes]]=""),"",DATE(A83,MATCH(B83,{"enero","febrero","marzo","abril","mayo","junio","julio","agosto","septiembre","octubre","noviembre","diciembre"},0)+1,0))</f>
        <v>45504</v>
      </c>
      <c r="D83" t="s">
        <v>190</v>
      </c>
      <c r="E83" t="str">
        <f>+IFERROR(VLOOKUP(Fact_Control_Operaciones[[#This Row], [Concepto Anterior]],Conceptos_Control_Operaciones[#All],5,0),"")</f>
        <v>Paz y Salvo Retiros​</v>
      </c>
      <c r="F83" t="str">
        <f ca="1">+IFERROR(VLOOKUP(Fact_Control_Operaciones[[#This Row], [Concepto Anterior]],Conceptos_Control_Operaciones[#All],7,0),"")</f>
        <v/>
      </c>
      <c r="G83" t="s">
        <v>172</v>
      </c>
      <c r="H83" t="s">
        <v>172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93">
        <v>16</v>
      </c>
    </row>
    <row r="84" spans="1:11" ht="18.75" customHeight="1" x14ac:dyDescent="0.35">
      <c r="A84" s="93">
        <v>2024</v>
      </c>
      <c r="B84" t="s">
        <v>179</v>
      </c>
      <c r="C84" s="100">
        <f>IF(OR(Fact_Control_Operaciones[[#This Row], [Año]]="",Fact_Control_Operaciones[[#This Row], [Mes]]=""),"",DATE(A84,MATCH(B84,{"enero","febrero","marzo","abril","mayo","junio","julio","agosto","septiembre","octubre","noviembre","diciembre"},0)+1,0))</f>
        <v>45504</v>
      </c>
      <c r="D84" t="s">
        <v>90</v>
      </c>
      <c r="E84" t="str">
        <f>+IFERROR(VLOOKUP(Fact_Control_Operaciones[[#This Row], [Concepto Anterior]],Conceptos_Control_Operaciones[#All],5,0),"")</f>
        <v>Recuperaciones descuadres en caja</v>
      </c>
      <c r="F84" t="str">
        <f ca="1">+IFERROR(VLOOKUP(Fact_Control_Operaciones[[#This Row], [Concepto Anterior]],Conceptos_Control_Operaciones[#All],7,0),"")</f>
        <v/>
      </c>
      <c r="G84" t="s">
        <v>172</v>
      </c>
      <c r="H84" t="s">
        <v>172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93">
        <v>1766363</v>
      </c>
    </row>
    <row r="85" spans="1:11" ht="18.75" customHeight="1" x14ac:dyDescent="0.35">
      <c r="A85" s="93">
        <v>2024</v>
      </c>
      <c r="B85" t="s">
        <v>179</v>
      </c>
      <c r="C85" s="100">
        <f>IF(OR(Fact_Control_Operaciones[[#This Row], [Año]]="",Fact_Control_Operaciones[[#This Row], [Mes]]=""),"",DATE(A85,MATCH(B85,{"enero","febrero","marzo","abril","mayo","junio","julio","agosto","septiembre","octubre","noviembre","diciembre"},0)+1,0))</f>
        <v>45504</v>
      </c>
      <c r="D85" t="s">
        <v>84</v>
      </c>
      <c r="E85" t="str">
        <f>+IFERROR(VLOOKUP(Fact_Control_Operaciones[[#This Row], [Concepto Anterior]],Conceptos_Control_Operaciones[#All],5,0),"")</f>
        <v>Tickets mesa de servicio</v>
      </c>
      <c r="F85" t="str">
        <f ca="1">+IFERROR(VLOOKUP(Fact_Control_Operaciones[[#This Row], [Concepto Anterior]],Conceptos_Control_Operaciones[#All],7,0),"")</f>
        <v/>
      </c>
      <c r="G85" t="s">
        <v>172</v>
      </c>
      <c r="H85" t="s">
        <v>172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93">
        <v>0</v>
      </c>
    </row>
    <row r="86" spans="1:11" ht="18.75" customHeight="1" x14ac:dyDescent="0.35">
      <c r="A86" s="93">
        <v>2024</v>
      </c>
      <c r="B86" t="s">
        <v>180</v>
      </c>
      <c r="C86" s="100">
        <f>IF(OR(Fact_Control_Operaciones[[#This Row], [Año]]="",Fact_Control_Operaciones[[#This Row], [Mes]]=""),"",DATE(A86,MATCH(B86,{"enero","febrero","marzo","abril","mayo","junio","julio","agosto","septiembre","octubre","noviembre","diciembre"},0)+1,0))</f>
        <v>45535</v>
      </c>
      <c r="D86" t="s">
        <v>81</v>
      </c>
      <c r="E86" t="str">
        <f>+IFERROR(VLOOKUP(Fact_Control_Operaciones[[#This Row], [Concepto Anterior]],Conceptos_Control_Operaciones[#All],5,0),"")</f>
        <v>Apertura, cierre y reconversiones de tiendas</v>
      </c>
      <c r="F86" t="str">
        <f ca="1">+IFERROR(VLOOKUP(Fact_Control_Operaciones[[#This Row], [Concepto Anterior]],Conceptos_Control_Operaciones[#All],7,0),"")</f>
        <v/>
      </c>
      <c r="G86" t="s">
        <v>172</v>
      </c>
      <c r="H86" t="s">
        <v>172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93">
        <v>2</v>
      </c>
    </row>
    <row r="87" spans="1:11" ht="18.75" customHeight="1" x14ac:dyDescent="0.35">
      <c r="A87" s="93">
        <v>2024</v>
      </c>
      <c r="B87" t="s">
        <v>180</v>
      </c>
      <c r="C87" s="100">
        <f>IF(OR(Fact_Control_Operaciones[[#This Row], [Año]]="",Fact_Control_Operaciones[[#This Row], [Mes]]=""),"",DATE(A87,MATCH(B87,{"enero","febrero","marzo","abril","mayo","junio","julio","agosto","septiembre","octubre","noviembre","diciembre"},0)+1,0))</f>
        <v>45535</v>
      </c>
      <c r="D87" t="s">
        <v>186</v>
      </c>
      <c r="E87" t="str">
        <f>+IFERROR(VLOOKUP(Fact_Control_Operaciones[[#This Row], [Concepto Anterior]],Conceptos_Control_Operaciones[#All],5,0),"")</f>
        <v>Arqueos​</v>
      </c>
      <c r="F87" t="str">
        <f ca="1">+IFERROR(VLOOKUP(Fact_Control_Operaciones[[#This Row], [Concepto Anterior]],Conceptos_Control_Operaciones[#All],7,0),"")</f>
        <v/>
      </c>
      <c r="G87" t="s">
        <v>172</v>
      </c>
      <c r="H87" t="s">
        <v>172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93">
        <v>225</v>
      </c>
    </row>
    <row r="88" spans="1:11" ht="18.75" customHeight="1" x14ac:dyDescent="0.35">
      <c r="A88" s="93">
        <v>2024</v>
      </c>
      <c r="B88" t="s">
        <v>180</v>
      </c>
      <c r="C88" s="100">
        <f>IF(OR(Fact_Control_Operaciones[[#This Row], [Año]]="",Fact_Control_Operaciones[[#This Row], [Mes]]=""),"",DATE(A88,MATCH(B88,{"enero","febrero","marzo","abril","mayo","junio","julio","agosto","septiembre","octubre","noviembre","diciembre"},0)+1,0))</f>
        <v>45535</v>
      </c>
      <c r="D88" t="s">
        <v>187</v>
      </c>
      <c r="E88" t="str">
        <f>+IFERROR(VLOOKUP(Fact_Control_Operaciones[[#This Row], [Concepto Anterior]],Conceptos_Control_Operaciones[#All],5,0),"")</f>
        <v>Capacitaciones</v>
      </c>
      <c r="F88" t="str">
        <f ca="1">+IFERROR(VLOOKUP(Fact_Control_Operaciones[[#This Row], [Concepto Anterior]],Conceptos_Control_Operaciones[#All],7,0),"")</f>
        <v/>
      </c>
      <c r="G88" t="s">
        <v>172</v>
      </c>
      <c r="H88" t="s">
        <v>172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93">
        <v>6</v>
      </c>
    </row>
    <row r="89" spans="1:11" ht="18.75" customHeight="1" x14ac:dyDescent="0.35">
      <c r="A89" s="93">
        <v>2024</v>
      </c>
      <c r="B89" t="s">
        <v>180</v>
      </c>
      <c r="C89" s="100">
        <f>IF(OR(Fact_Control_Operaciones[[#This Row], [Año]]="",Fact_Control_Operaciones[[#This Row], [Mes]]=""),"",DATE(A89,MATCH(B89,{"enero","febrero","marzo","abril","mayo","junio","julio","agosto","septiembre","octubre","noviembre","diciembre"},0)+1,0))</f>
        <v>45535</v>
      </c>
      <c r="D89" t="s">
        <v>85</v>
      </c>
      <c r="E89" t="str">
        <f>+IFERROR(VLOOKUP(Fact_Control_Operaciones[[#This Row], [Concepto Anterior]],Conceptos_Control_Operaciones[#All],5,0),"")</f>
        <v>Causación y Política Caja Menor​</v>
      </c>
      <c r="F89" t="str">
        <f ca="1">+IFERROR(VLOOKUP(Fact_Control_Operaciones[[#This Row], [Concepto Anterior]],Conceptos_Control_Operaciones[#All],7,0),"")</f>
        <v/>
      </c>
      <c r="G89" t="s">
        <v>172</v>
      </c>
      <c r="H89" t="s">
        <v>172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93">
        <v>429</v>
      </c>
    </row>
    <row r="90" spans="1:11" ht="18.75" customHeight="1" x14ac:dyDescent="0.35">
      <c r="A90" s="93">
        <v>2024</v>
      </c>
      <c r="B90" t="s">
        <v>180</v>
      </c>
      <c r="C90" s="100">
        <f>IF(OR(Fact_Control_Operaciones[[#This Row], [Año]]="",Fact_Control_Operaciones[[#This Row], [Mes]]=""),"",DATE(A90,MATCH(B90,{"enero","febrero","marzo","abril","mayo","junio","julio","agosto","septiembre","octubre","noviembre","diciembre"},0)+1,0))</f>
        <v>45535</v>
      </c>
      <c r="D90" t="s">
        <v>110</v>
      </c>
      <c r="E90" t="str">
        <f>+IFERROR(VLOOKUP(Fact_Control_Operaciones[[#This Row], [Concepto Anterior]],Conceptos_Control_Operaciones[#All],5,0),"")</f>
        <v>Gasto caja menor deducible</v>
      </c>
      <c r="F90" t="str">
        <f ca="1">+IFERROR(VLOOKUP(Fact_Control_Operaciones[[#This Row], [Concepto Anterior]],Conceptos_Control_Operaciones[#All],7,0),"")</f>
        <v/>
      </c>
      <c r="G90" t="s">
        <v>172</v>
      </c>
      <c r="H90" t="s">
        <v>172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93">
        <v>29963058</v>
      </c>
    </row>
    <row r="91" spans="1:11" ht="18.75" customHeight="1" x14ac:dyDescent="0.35">
      <c r="A91" s="93">
        <v>2024</v>
      </c>
      <c r="B91" t="s">
        <v>180</v>
      </c>
      <c r="C91" s="100">
        <f>IF(OR(Fact_Control_Operaciones[[#This Row], [Año]]="",Fact_Control_Operaciones[[#This Row], [Mes]]=""),"",DATE(A91,MATCH(B91,{"enero","febrero","marzo","abril","mayo","junio","julio","agosto","septiembre","octubre","noviembre","diciembre"},0)+1,0))</f>
        <v>45535</v>
      </c>
      <c r="D91" t="s">
        <v>109</v>
      </c>
      <c r="E91" t="str">
        <f>+IFERROR(VLOOKUP(Fact_Control_Operaciones[[#This Row], [Concepto Anterior]],Conceptos_Control_Operaciones[#All],5,0),"")</f>
        <v>Gasto caja menor no deducible</v>
      </c>
      <c r="F91" t="str">
        <f ca="1">+IFERROR(VLOOKUP(Fact_Control_Operaciones[[#This Row], [Concepto Anterior]],Conceptos_Control_Operaciones[#All],7,0),"")</f>
        <v/>
      </c>
      <c r="G91" t="s">
        <v>172</v>
      </c>
      <c r="H91" t="s">
        <v>172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93">
        <v>2487322</v>
      </c>
    </row>
    <row r="92" spans="1:11" ht="18.75" customHeight="1" x14ac:dyDescent="0.35">
      <c r="A92" s="93">
        <v>2024</v>
      </c>
      <c r="B92" t="s">
        <v>180</v>
      </c>
      <c r="C92" s="100">
        <f>IF(OR(Fact_Control_Operaciones[[#This Row], [Año]]="",Fact_Control_Operaciones[[#This Row], [Mes]]=""),"",DATE(A92,MATCH(B92,{"enero","febrero","marzo","abril","mayo","junio","julio","agosto","septiembre","octubre","noviembre","diciembre"},0)+1,0))</f>
        <v>45535</v>
      </c>
      <c r="D92" t="s">
        <v>86</v>
      </c>
      <c r="E92" t="str">
        <f>+IFERROR(VLOOKUP(Fact_Control_Operaciones[[#This Row], [Concepto Anterior]],Conceptos_Control_Operaciones[#All],5,0),"")</f>
        <v>Gestiones descuadres en caja</v>
      </c>
      <c r="F92" t="str">
        <f ca="1">+IFERROR(VLOOKUP(Fact_Control_Operaciones[[#This Row], [Concepto Anterior]],Conceptos_Control_Operaciones[#All],7,0),"")</f>
        <v/>
      </c>
      <c r="G92" t="s">
        <v>172</v>
      </c>
      <c r="H92" t="s">
        <v>172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93">
        <v>48</v>
      </c>
    </row>
    <row r="93" spans="1:11" ht="18.75" customHeight="1" x14ac:dyDescent="0.35">
      <c r="A93" s="93">
        <v>2024</v>
      </c>
      <c r="B93" t="s">
        <v>180</v>
      </c>
      <c r="C93" s="100">
        <f>IF(OR(Fact_Control_Operaciones[[#This Row], [Año]]="",Fact_Control_Operaciones[[#This Row], [Mes]]=""),"",DATE(A93,MATCH(B93,{"enero","febrero","marzo","abril","mayo","junio","julio","agosto","septiembre","octubre","noviembre","diciembre"},0)+1,0))</f>
        <v>45535</v>
      </c>
      <c r="D93" t="s">
        <v>188</v>
      </c>
      <c r="E93" t="str">
        <f>+IFERROR(VLOOKUP(Fact_Control_Operaciones[[#This Row], [Concepto Anterior]],Conceptos_Control_Operaciones[#All],5,0),"")</f>
        <v>Inventarios fisicos​ GS Falabella</v>
      </c>
      <c r="F93" t="str">
        <f ca="1">+IFERROR(VLOOKUP(Fact_Control_Operaciones[[#This Row], [Concepto Anterior]],Conceptos_Control_Operaciones[#All],7,0),"")</f>
        <v/>
      </c>
      <c r="G93" t="s">
        <v>172</v>
      </c>
      <c r="H93" t="s">
        <v>172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93">
        <v>19</v>
      </c>
    </row>
    <row r="94" spans="1:11" ht="18.75" customHeight="1" x14ac:dyDescent="0.35">
      <c r="A94" s="93">
        <v>2024</v>
      </c>
      <c r="B94" t="s">
        <v>180</v>
      </c>
      <c r="C94" s="100">
        <f>IF(OR(Fact_Control_Operaciones[[#This Row], [Año]]="",Fact_Control_Operaciones[[#This Row], [Mes]]=""),"",DATE(A94,MATCH(B94,{"enero","febrero","marzo","abril","mayo","junio","julio","agosto","septiembre","octubre","noviembre","diciembre"},0)+1,0))</f>
        <v>45535</v>
      </c>
      <c r="D94" t="s">
        <v>189</v>
      </c>
      <c r="E94" t="str">
        <f>+IFERROR(VLOOKUP(Fact_Control_Operaciones[[#This Row], [Concepto Anterior]],Conceptos_Control_Operaciones[#All],5,0),"")</f>
        <v>Inventarios fisicos​ tiendas propias y franquicias</v>
      </c>
      <c r="F94" t="str">
        <f ca="1">+IFERROR(VLOOKUP(Fact_Control_Operaciones[[#This Row], [Concepto Anterior]],Conceptos_Control_Operaciones[#All],7,0),"")</f>
        <v/>
      </c>
      <c r="G94" t="s">
        <v>172</v>
      </c>
      <c r="H94" t="s">
        <v>172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93">
        <v>52</v>
      </c>
    </row>
    <row r="95" spans="1:11" ht="18.75" customHeight="1" x14ac:dyDescent="0.35">
      <c r="A95" s="93">
        <v>2024</v>
      </c>
      <c r="B95" t="s">
        <v>180</v>
      </c>
      <c r="C95" s="100">
        <f>IF(OR(Fact_Control_Operaciones[[#This Row], [Año]]="",Fact_Control_Operaciones[[#This Row], [Mes]]=""),"",DATE(A95,MATCH(B95,{"enero","febrero","marzo","abril","mayo","junio","julio","agosto","septiembre","octubre","noviembre","diciembre"},0)+1,0))</f>
        <v>45535</v>
      </c>
      <c r="D95" t="s">
        <v>190</v>
      </c>
      <c r="E95" t="str">
        <f>+IFERROR(VLOOKUP(Fact_Control_Operaciones[[#This Row], [Concepto Anterior]],Conceptos_Control_Operaciones[#All],5,0),"")</f>
        <v>Paz y Salvo Retiros​</v>
      </c>
      <c r="F95" t="str">
        <f ca="1">+IFERROR(VLOOKUP(Fact_Control_Operaciones[[#This Row], [Concepto Anterior]],Conceptos_Control_Operaciones[#All],7,0),"")</f>
        <v/>
      </c>
      <c r="G95" t="s">
        <v>172</v>
      </c>
      <c r="H95" t="s">
        <v>172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93">
        <v>16</v>
      </c>
    </row>
    <row r="96" spans="1:11" ht="18.75" customHeight="1" x14ac:dyDescent="0.35">
      <c r="A96" s="93">
        <v>2024</v>
      </c>
      <c r="B96" t="s">
        <v>180</v>
      </c>
      <c r="C96" s="100">
        <f>IF(OR(Fact_Control_Operaciones[[#This Row], [Año]]="",Fact_Control_Operaciones[[#This Row], [Mes]]=""),"",DATE(A96,MATCH(B96,{"enero","febrero","marzo","abril","mayo","junio","julio","agosto","septiembre","octubre","noviembre","diciembre"},0)+1,0))</f>
        <v>45535</v>
      </c>
      <c r="D96" t="s">
        <v>90</v>
      </c>
      <c r="E96" t="str">
        <f>+IFERROR(VLOOKUP(Fact_Control_Operaciones[[#This Row], [Concepto Anterior]],Conceptos_Control_Operaciones[#All],5,0),"")</f>
        <v>Recuperaciones descuadres en caja</v>
      </c>
      <c r="F96" t="str">
        <f ca="1">+IFERROR(VLOOKUP(Fact_Control_Operaciones[[#This Row], [Concepto Anterior]],Conceptos_Control_Operaciones[#All],7,0),"")</f>
        <v/>
      </c>
      <c r="G96" t="s">
        <v>172</v>
      </c>
      <c r="H96" t="s">
        <v>172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93">
        <v>939281</v>
      </c>
    </row>
    <row r="97" spans="1:11" ht="18.75" customHeight="1" x14ac:dyDescent="0.35">
      <c r="A97" s="93">
        <v>2024</v>
      </c>
      <c r="B97" t="s">
        <v>181</v>
      </c>
      <c r="C97" s="100">
        <f>IF(OR(Fact_Control_Operaciones[[#This Row], [Año]]="",Fact_Control_Operaciones[[#This Row], [Mes]]=""),"",DATE(A97,MATCH(B97,{"enero","febrero","marzo","abril","mayo","junio","julio","agosto","septiembre","octubre","noviembre","diciembre"},0)+1,0))</f>
        <v>45565</v>
      </c>
      <c r="D97" t="s">
        <v>81</v>
      </c>
      <c r="E97" t="str">
        <f>+IFERROR(VLOOKUP(Fact_Control_Operaciones[[#This Row], [Concepto Anterior]],Conceptos_Control_Operaciones[#All],5,0),"")</f>
        <v>Apertura, cierre y reconversiones de tiendas</v>
      </c>
      <c r="F97" t="str">
        <f ca="1">+IFERROR(VLOOKUP(Fact_Control_Operaciones[[#This Row], [Concepto Anterior]],Conceptos_Control_Operaciones[#All],7,0),"")</f>
        <v/>
      </c>
      <c r="G97" t="s">
        <v>172</v>
      </c>
      <c r="H97" t="s">
        <v>172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93">
        <v>4</v>
      </c>
    </row>
    <row r="98" spans="1:11" ht="18.75" customHeight="1" x14ac:dyDescent="0.35">
      <c r="A98" s="93">
        <v>2024</v>
      </c>
      <c r="B98" t="s">
        <v>181</v>
      </c>
      <c r="C98" s="100">
        <f>IF(OR(Fact_Control_Operaciones[[#This Row], [Año]]="",Fact_Control_Operaciones[[#This Row], [Mes]]=""),"",DATE(A98,MATCH(B98,{"enero","febrero","marzo","abril","mayo","junio","julio","agosto","septiembre","octubre","noviembre","diciembre"},0)+1,0))</f>
        <v>45565</v>
      </c>
      <c r="D98" t="s">
        <v>186</v>
      </c>
      <c r="E98" t="str">
        <f>+IFERROR(VLOOKUP(Fact_Control_Operaciones[[#This Row], [Concepto Anterior]],Conceptos_Control_Operaciones[#All],5,0),"")</f>
        <v>Arqueos​</v>
      </c>
      <c r="F98" t="str">
        <f ca="1">+IFERROR(VLOOKUP(Fact_Control_Operaciones[[#This Row], [Concepto Anterior]],Conceptos_Control_Operaciones[#All],7,0),"")</f>
        <v/>
      </c>
      <c r="G98" t="s">
        <v>172</v>
      </c>
      <c r="H98" t="s">
        <v>172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93">
        <v>259</v>
      </c>
    </row>
    <row r="99" spans="1:11" ht="18.75" customHeight="1" x14ac:dyDescent="0.35">
      <c r="A99" s="93">
        <v>2024</v>
      </c>
      <c r="B99" t="s">
        <v>181</v>
      </c>
      <c r="C99" s="100">
        <f>IF(OR(Fact_Control_Operaciones[[#This Row], [Año]]="",Fact_Control_Operaciones[[#This Row], [Mes]]=""),"",DATE(A99,MATCH(B99,{"enero","febrero","marzo","abril","mayo","junio","julio","agosto","septiembre","octubre","noviembre","diciembre"},0)+1,0))</f>
        <v>45565</v>
      </c>
      <c r="D99" t="s">
        <v>187</v>
      </c>
      <c r="E99" t="str">
        <f>+IFERROR(VLOOKUP(Fact_Control_Operaciones[[#This Row], [Concepto Anterior]],Conceptos_Control_Operaciones[#All],5,0),"")</f>
        <v>Capacitaciones</v>
      </c>
      <c r="F99" t="str">
        <f ca="1">+IFERROR(VLOOKUP(Fact_Control_Operaciones[[#This Row], [Concepto Anterior]],Conceptos_Control_Operaciones[#All],7,0),"")</f>
        <v/>
      </c>
      <c r="G99" t="s">
        <v>172</v>
      </c>
      <c r="H99" t="s">
        <v>172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93">
        <v>4</v>
      </c>
    </row>
    <row r="100" spans="1:11" ht="18.75" customHeight="1" x14ac:dyDescent="0.35">
      <c r="A100" s="93">
        <v>2024</v>
      </c>
      <c r="B100" t="s">
        <v>181</v>
      </c>
      <c r="C100" s="100">
        <f>IF(OR(Fact_Control_Operaciones[[#This Row], [Año]]="",Fact_Control_Operaciones[[#This Row], [Mes]]=""),"",DATE(A100,MATCH(B100,{"enero","febrero","marzo","abril","mayo","junio","julio","agosto","septiembre","octubre","noviembre","diciembre"},0)+1,0))</f>
        <v>45565</v>
      </c>
      <c r="D100" t="s">
        <v>85</v>
      </c>
      <c r="E100" t="str">
        <f>+IFERROR(VLOOKUP(Fact_Control_Operaciones[[#This Row], [Concepto Anterior]],Conceptos_Control_Operaciones[#All],5,0),"")</f>
        <v>Causación y Política Caja Menor​</v>
      </c>
      <c r="F100" t="str">
        <f ca="1">+IFERROR(VLOOKUP(Fact_Control_Operaciones[[#This Row], [Concepto Anterior]],Conceptos_Control_Operaciones[#All],7,0),"")</f>
        <v/>
      </c>
      <c r="G100" t="s">
        <v>172</v>
      </c>
      <c r="H100" t="s">
        <v>172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93">
        <v>413</v>
      </c>
    </row>
    <row r="101" spans="1:11" ht="18.75" customHeight="1" x14ac:dyDescent="0.35">
      <c r="A101" s="93">
        <v>2024</v>
      </c>
      <c r="B101" t="s">
        <v>181</v>
      </c>
      <c r="C101" s="100">
        <f>IF(OR(Fact_Control_Operaciones[[#This Row], [Año]]="",Fact_Control_Operaciones[[#This Row], [Mes]]=""),"",DATE(A101,MATCH(B101,{"enero","febrero","marzo","abril","mayo","junio","julio","agosto","septiembre","octubre","noviembre","diciembre"},0)+1,0))</f>
        <v>45565</v>
      </c>
      <c r="D101" t="s">
        <v>110</v>
      </c>
      <c r="E101" t="str">
        <f>+IFERROR(VLOOKUP(Fact_Control_Operaciones[[#This Row], [Concepto Anterior]],Conceptos_Control_Operaciones[#All],5,0),"")</f>
        <v>Gasto caja menor deducible</v>
      </c>
      <c r="F101" t="str">
        <f ca="1">+IFERROR(VLOOKUP(Fact_Control_Operaciones[[#This Row], [Concepto Anterior]],Conceptos_Control_Operaciones[#All],7,0),"")</f>
        <v/>
      </c>
      <c r="G101" t="s">
        <v>172</v>
      </c>
      <c r="H101" t="s">
        <v>172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93">
        <v>31831467</v>
      </c>
    </row>
    <row r="102" spans="1:11" ht="18.75" customHeight="1" x14ac:dyDescent="0.35">
      <c r="A102" s="93">
        <v>2024</v>
      </c>
      <c r="B102" t="s">
        <v>181</v>
      </c>
      <c r="C102" s="100">
        <f>IF(OR(Fact_Control_Operaciones[[#This Row], [Año]]="",Fact_Control_Operaciones[[#This Row], [Mes]]=""),"",DATE(A102,MATCH(B102,{"enero","febrero","marzo","abril","mayo","junio","julio","agosto","septiembre","octubre","noviembre","diciembre"},0)+1,0))</f>
        <v>45565</v>
      </c>
      <c r="D102" t="s">
        <v>109</v>
      </c>
      <c r="E102" t="str">
        <f>+IFERROR(VLOOKUP(Fact_Control_Operaciones[[#This Row], [Concepto Anterior]],Conceptos_Control_Operaciones[#All],5,0),"")</f>
        <v>Gasto caja menor no deducible</v>
      </c>
      <c r="F102" t="str">
        <f ca="1">+IFERROR(VLOOKUP(Fact_Control_Operaciones[[#This Row], [Concepto Anterior]],Conceptos_Control_Operaciones[#All],7,0),"")</f>
        <v/>
      </c>
      <c r="G102" t="s">
        <v>172</v>
      </c>
      <c r="H102" t="s">
        <v>172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93">
        <v>2215974</v>
      </c>
    </row>
    <row r="103" spans="1:11" ht="18.75" customHeight="1" x14ac:dyDescent="0.35">
      <c r="A103" s="93">
        <v>2024</v>
      </c>
      <c r="B103" t="s">
        <v>181</v>
      </c>
      <c r="C103" s="100">
        <f>IF(OR(Fact_Control_Operaciones[[#This Row], [Año]]="",Fact_Control_Operaciones[[#This Row], [Mes]]=""),"",DATE(A103,MATCH(B103,{"enero","febrero","marzo","abril","mayo","junio","julio","agosto","septiembre","octubre","noviembre","diciembre"},0)+1,0))</f>
        <v>45565</v>
      </c>
      <c r="D103" t="s">
        <v>86</v>
      </c>
      <c r="E103" t="str">
        <f>+IFERROR(VLOOKUP(Fact_Control_Operaciones[[#This Row], [Concepto Anterior]],Conceptos_Control_Operaciones[#All],5,0),"")</f>
        <v>Gestiones descuadres en caja</v>
      </c>
      <c r="F103" t="str">
        <f ca="1">+IFERROR(VLOOKUP(Fact_Control_Operaciones[[#This Row], [Concepto Anterior]],Conceptos_Control_Operaciones[#All],7,0),"")</f>
        <v/>
      </c>
      <c r="G103" t="s">
        <v>172</v>
      </c>
      <c r="H103" t="s">
        <v>172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93">
        <v>35</v>
      </c>
    </row>
    <row r="104" spans="1:11" ht="18.75" customHeight="1" x14ac:dyDescent="0.35">
      <c r="A104" s="93">
        <v>2024</v>
      </c>
      <c r="B104" t="s">
        <v>181</v>
      </c>
      <c r="C104" s="100">
        <f>IF(OR(Fact_Control_Operaciones[[#This Row], [Año]]="",Fact_Control_Operaciones[[#This Row], [Mes]]=""),"",DATE(A104,MATCH(B104,{"enero","febrero","marzo","abril","mayo","junio","julio","agosto","septiembre","octubre","noviembre","diciembre"},0)+1,0))</f>
        <v>45565</v>
      </c>
      <c r="D104" t="s">
        <v>188</v>
      </c>
      <c r="E104" t="str">
        <f>+IFERROR(VLOOKUP(Fact_Control_Operaciones[[#This Row], [Concepto Anterior]],Conceptos_Control_Operaciones[#All],5,0),"")</f>
        <v>Inventarios fisicos​ GS Falabella</v>
      </c>
      <c r="F104" t="str">
        <f ca="1">+IFERROR(VLOOKUP(Fact_Control_Operaciones[[#This Row], [Concepto Anterior]],Conceptos_Control_Operaciones[#All],7,0),"")</f>
        <v/>
      </c>
      <c r="G104" t="s">
        <v>172</v>
      </c>
      <c r="H104" t="s">
        <v>172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93">
        <v>9</v>
      </c>
    </row>
    <row r="105" spans="1:11" ht="18.75" customHeight="1" x14ac:dyDescent="0.35">
      <c r="A105" s="93">
        <v>2024</v>
      </c>
      <c r="B105" t="s">
        <v>181</v>
      </c>
      <c r="C105" s="100">
        <f>IF(OR(Fact_Control_Operaciones[[#This Row], [Año]]="",Fact_Control_Operaciones[[#This Row], [Mes]]=""),"",DATE(A105,MATCH(B105,{"enero","febrero","marzo","abril","mayo","junio","julio","agosto","septiembre","octubre","noviembre","diciembre"},0)+1,0))</f>
        <v>45565</v>
      </c>
      <c r="D105" t="s">
        <v>189</v>
      </c>
      <c r="E105" t="str">
        <f>+IFERROR(VLOOKUP(Fact_Control_Operaciones[[#This Row], [Concepto Anterior]],Conceptos_Control_Operaciones[#All],5,0),"")</f>
        <v>Inventarios fisicos​ tiendas propias y franquicias</v>
      </c>
      <c r="F105" t="str">
        <f ca="1">+IFERROR(VLOOKUP(Fact_Control_Operaciones[[#This Row], [Concepto Anterior]],Conceptos_Control_Operaciones[#All],7,0),"")</f>
        <v/>
      </c>
      <c r="G105" t="s">
        <v>172</v>
      </c>
      <c r="H105" t="s">
        <v>172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93">
        <v>116</v>
      </c>
    </row>
    <row r="106" spans="1:11" ht="18.75" customHeight="1" x14ac:dyDescent="0.35">
      <c r="A106" s="93">
        <v>2024</v>
      </c>
      <c r="B106" t="s">
        <v>181</v>
      </c>
      <c r="C106" s="100">
        <f>IF(OR(Fact_Control_Operaciones[[#This Row], [Año]]="",Fact_Control_Operaciones[[#This Row], [Mes]]=""),"",DATE(A106,MATCH(B106,{"enero","febrero","marzo","abril","mayo","junio","julio","agosto","septiembre","octubre","noviembre","diciembre"},0)+1,0))</f>
        <v>45565</v>
      </c>
      <c r="D106" t="s">
        <v>190</v>
      </c>
      <c r="E106" t="str">
        <f>+IFERROR(VLOOKUP(Fact_Control_Operaciones[[#This Row], [Concepto Anterior]],Conceptos_Control_Operaciones[#All],5,0),"")</f>
        <v>Paz y Salvo Retiros​</v>
      </c>
      <c r="F106" t="str">
        <f ca="1">+IFERROR(VLOOKUP(Fact_Control_Operaciones[[#This Row], [Concepto Anterior]],Conceptos_Control_Operaciones[#All],7,0),"")</f>
        <v/>
      </c>
      <c r="G106" t="s">
        <v>172</v>
      </c>
      <c r="H106" t="s">
        <v>172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181</v>
      </c>
      <c r="C107" s="100">
        <f>IF(OR(Fact_Control_Operaciones[[#This Row], [Año]]="",Fact_Control_Operaciones[[#This Row], [Mes]]=""),"",DATE(A107,MATCH(B107,{"enero","febrero","marzo","abril","mayo","junio","julio","agosto","septiembre","octubre","noviembre","diciembre"},0)+1,0))</f>
        <v>45565</v>
      </c>
      <c r="D107" t="s">
        <v>90</v>
      </c>
      <c r="E107" t="str">
        <f>+IFERROR(VLOOKUP(Fact_Control_Operaciones[[#This Row], [Concepto Anterior]],Conceptos_Control_Operaciones[#All],5,0),"")</f>
        <v>Recuperaciones descuadres en caja</v>
      </c>
      <c r="F107" t="str">
        <f ca="1">+IFERROR(VLOOKUP(Fact_Control_Operaciones[[#This Row], [Concepto Anterior]],Conceptos_Control_Operaciones[#All],7,0),"")</f>
        <v/>
      </c>
      <c r="G107" t="s">
        <v>172</v>
      </c>
      <c r="H107" t="s">
        <v>172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93">
        <v>2503626</v>
      </c>
    </row>
    <row r="108" spans="1:11" ht="18.75" customHeight="1" x14ac:dyDescent="0.35">
      <c r="A108" s="93">
        <v>2024</v>
      </c>
      <c r="B108" t="s">
        <v>182</v>
      </c>
      <c r="C108" s="100">
        <f>IF(OR(Fact_Control_Operaciones[[#This Row], [Año]]="",Fact_Control_Operaciones[[#This Row], [Mes]]=""),"",DATE(A108,MATCH(B108,{"enero","febrero","marzo","abril","mayo","junio","julio","agosto","septiembre","octubre","noviembre","diciembre"},0)+1,0))</f>
        <v>45596</v>
      </c>
      <c r="D108" t="s">
        <v>81</v>
      </c>
      <c r="E108" t="str">
        <f>+IFERROR(VLOOKUP(Fact_Control_Operaciones[[#This Row], [Concepto Anterior]],Conceptos_Control_Operaciones[#All],5,0),"")</f>
        <v>Apertura, cierre y reconversiones de tiendas</v>
      </c>
      <c r="F108" t="str">
        <f ca="1">+IFERROR(VLOOKUP(Fact_Control_Operaciones[[#This Row], [Concepto Anterior]],Conceptos_Control_Operaciones[#All],7,0),"")</f>
        <v/>
      </c>
      <c r="G108" t="s">
        <v>172</v>
      </c>
      <c r="H108" t="s">
        <v>172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93">
        <v>6</v>
      </c>
    </row>
    <row r="109" spans="1:11" ht="18.75" customHeight="1" x14ac:dyDescent="0.35">
      <c r="A109" s="93">
        <v>2024</v>
      </c>
      <c r="B109" t="s">
        <v>182</v>
      </c>
      <c r="C109" s="100">
        <f>IF(OR(Fact_Control_Operaciones[[#This Row], [Año]]="",Fact_Control_Operaciones[[#This Row], [Mes]]=""),"",DATE(A109,MATCH(B109,{"enero","febrero","marzo","abril","mayo","junio","julio","agosto","septiembre","octubre","noviembre","diciembre"},0)+1,0))</f>
        <v>45596</v>
      </c>
      <c r="D109" t="s">
        <v>186</v>
      </c>
      <c r="E109" t="str">
        <f>+IFERROR(VLOOKUP(Fact_Control_Operaciones[[#This Row], [Concepto Anterior]],Conceptos_Control_Operaciones[#All],5,0),"")</f>
        <v>Arqueos​</v>
      </c>
      <c r="F109" t="str">
        <f ca="1">+IFERROR(VLOOKUP(Fact_Control_Operaciones[[#This Row], [Concepto Anterior]],Conceptos_Control_Operaciones[#All],7,0),"")</f>
        <v/>
      </c>
      <c r="G109" t="s">
        <v>172</v>
      </c>
      <c r="H109" t="s">
        <v>172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93">
        <v>253</v>
      </c>
    </row>
    <row r="110" spans="1:11" ht="18.75" customHeight="1" x14ac:dyDescent="0.35">
      <c r="A110" s="93">
        <v>2024</v>
      </c>
      <c r="B110" t="s">
        <v>182</v>
      </c>
      <c r="C110" s="100">
        <f>IF(OR(Fact_Control_Operaciones[[#This Row], [Año]]="",Fact_Control_Operaciones[[#This Row], [Mes]]=""),"",DATE(A110,MATCH(B110,{"enero","febrero","marzo","abril","mayo","junio","julio","agosto","septiembre","octubre","noviembre","diciembre"},0)+1,0))</f>
        <v>45596</v>
      </c>
      <c r="D110" t="s">
        <v>187</v>
      </c>
      <c r="E110" t="str">
        <f>+IFERROR(VLOOKUP(Fact_Control_Operaciones[[#This Row], [Concepto Anterior]],Conceptos_Control_Operaciones[#All],5,0),"")</f>
        <v>Capacitaciones</v>
      </c>
      <c r="F110" t="str">
        <f ca="1">+IFERROR(VLOOKUP(Fact_Control_Operaciones[[#This Row], [Concepto Anterior]],Conceptos_Control_Operaciones[#All],7,0),"")</f>
        <v/>
      </c>
      <c r="G110" t="s">
        <v>172</v>
      </c>
      <c r="H110" t="s">
        <v>172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93">
        <v>3</v>
      </c>
    </row>
    <row r="111" spans="1:11" ht="18.75" customHeight="1" x14ac:dyDescent="0.35">
      <c r="A111" s="93">
        <v>2024</v>
      </c>
      <c r="B111" t="s">
        <v>182</v>
      </c>
      <c r="C111" s="100">
        <f>IF(OR(Fact_Control_Operaciones[[#This Row], [Año]]="",Fact_Control_Operaciones[[#This Row], [Mes]]=""),"",DATE(A111,MATCH(B111,{"enero","febrero","marzo","abril","mayo","junio","julio","agosto","septiembre","octubre","noviembre","diciembre"},0)+1,0))</f>
        <v>45596</v>
      </c>
      <c r="D111" t="s">
        <v>85</v>
      </c>
      <c r="E111" t="str">
        <f>+IFERROR(VLOOKUP(Fact_Control_Operaciones[[#This Row], [Concepto Anterior]],Conceptos_Control_Operaciones[#All],5,0),"")</f>
        <v>Causación y Política Caja Menor​</v>
      </c>
      <c r="F111" t="str">
        <f ca="1">+IFERROR(VLOOKUP(Fact_Control_Operaciones[[#This Row], [Concepto Anterior]],Conceptos_Control_Operaciones[#All],7,0),"")</f>
        <v/>
      </c>
      <c r="G111" t="s">
        <v>172</v>
      </c>
      <c r="H111" t="s">
        <v>172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93">
        <v>515</v>
      </c>
    </row>
    <row r="112" spans="1:11" ht="18.75" customHeight="1" x14ac:dyDescent="0.35">
      <c r="A112" s="93">
        <v>2024</v>
      </c>
      <c r="B112" t="s">
        <v>182</v>
      </c>
      <c r="C112" s="100">
        <f>IF(OR(Fact_Control_Operaciones[[#This Row], [Año]]="",Fact_Control_Operaciones[[#This Row], [Mes]]=""),"",DATE(A112,MATCH(B112,{"enero","febrero","marzo","abril","mayo","junio","julio","agosto","septiembre","octubre","noviembre","diciembre"},0)+1,0))</f>
        <v>45596</v>
      </c>
      <c r="D112" t="s">
        <v>110</v>
      </c>
      <c r="E112" t="str">
        <f>+IFERROR(VLOOKUP(Fact_Control_Operaciones[[#This Row], [Concepto Anterior]],Conceptos_Control_Operaciones[#All],5,0),"")</f>
        <v>Gasto caja menor deducible</v>
      </c>
      <c r="F112" t="str">
        <f ca="1">+IFERROR(VLOOKUP(Fact_Control_Operaciones[[#This Row], [Concepto Anterior]],Conceptos_Control_Operaciones[#All],7,0),"")</f>
        <v/>
      </c>
      <c r="G112" t="s">
        <v>172</v>
      </c>
      <c r="H112" t="s">
        <v>172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93">
        <v>45523887</v>
      </c>
    </row>
    <row r="113" spans="1:11" ht="18.75" customHeight="1" x14ac:dyDescent="0.35">
      <c r="A113" s="93">
        <v>2024</v>
      </c>
      <c r="B113" t="s">
        <v>182</v>
      </c>
      <c r="C113" s="100">
        <f>IF(OR(Fact_Control_Operaciones[[#This Row], [Año]]="",Fact_Control_Operaciones[[#This Row], [Mes]]=""),"",DATE(A113,MATCH(B113,{"enero","febrero","marzo","abril","mayo","junio","julio","agosto","septiembre","octubre","noviembre","diciembre"},0)+1,0))</f>
        <v>45596</v>
      </c>
      <c r="D113" t="s">
        <v>109</v>
      </c>
      <c r="E113" t="str">
        <f>+IFERROR(VLOOKUP(Fact_Control_Operaciones[[#This Row], [Concepto Anterior]],Conceptos_Control_Operaciones[#All],5,0),"")</f>
        <v>Gasto caja menor no deducible</v>
      </c>
      <c r="F113" t="str">
        <f ca="1">+IFERROR(VLOOKUP(Fact_Control_Operaciones[[#This Row], [Concepto Anterior]],Conceptos_Control_Operaciones[#All],7,0),"")</f>
        <v/>
      </c>
      <c r="G113" t="s">
        <v>172</v>
      </c>
      <c r="H113" t="s">
        <v>172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93">
        <v>3241548</v>
      </c>
    </row>
    <row r="114" spans="1:11" ht="18.75" customHeight="1" x14ac:dyDescent="0.35">
      <c r="A114" s="93">
        <v>2024</v>
      </c>
      <c r="B114" t="s">
        <v>182</v>
      </c>
      <c r="C114" s="100">
        <f>IF(OR(Fact_Control_Operaciones[[#This Row], [Año]]="",Fact_Control_Operaciones[[#This Row], [Mes]]=""),"",DATE(A114,MATCH(B114,{"enero","febrero","marzo","abril","mayo","junio","julio","agosto","septiembre","octubre","noviembre","diciembre"},0)+1,0))</f>
        <v>45596</v>
      </c>
      <c r="D114" t="s">
        <v>86</v>
      </c>
      <c r="E114" t="str">
        <f>+IFERROR(VLOOKUP(Fact_Control_Operaciones[[#This Row], [Concepto Anterior]],Conceptos_Control_Operaciones[#All],5,0),"")</f>
        <v>Gestiones descuadres en caja</v>
      </c>
      <c r="F114" t="str">
        <f ca="1">+IFERROR(VLOOKUP(Fact_Control_Operaciones[[#This Row], [Concepto Anterior]],Conceptos_Control_Operaciones[#All],7,0),"")</f>
        <v/>
      </c>
      <c r="G114" t="s">
        <v>172</v>
      </c>
      <c r="H114" t="s">
        <v>172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93">
        <v>41</v>
      </c>
    </row>
    <row r="115" spans="1:11" ht="18.75" customHeight="1" x14ac:dyDescent="0.35">
      <c r="A115" s="93">
        <v>2024</v>
      </c>
      <c r="B115" t="s">
        <v>182</v>
      </c>
      <c r="C115" s="100">
        <f>IF(OR(Fact_Control_Operaciones[[#This Row], [Año]]="",Fact_Control_Operaciones[[#This Row], [Mes]]=""),"",DATE(A115,MATCH(B115,{"enero","febrero","marzo","abril","mayo","junio","julio","agosto","septiembre","octubre","noviembre","diciembre"},0)+1,0))</f>
        <v>45596</v>
      </c>
      <c r="D115" t="s">
        <v>188</v>
      </c>
      <c r="E115" t="str">
        <f>+IFERROR(VLOOKUP(Fact_Control_Operaciones[[#This Row], [Concepto Anterior]],Conceptos_Control_Operaciones[#All],5,0),"")</f>
        <v>Inventarios fisicos​ GS Falabella</v>
      </c>
      <c r="F115" t="str">
        <f ca="1">+IFERROR(VLOOKUP(Fact_Control_Operaciones[[#This Row], [Concepto Anterior]],Conceptos_Control_Operaciones[#All],7,0),"")</f>
        <v/>
      </c>
      <c r="G115" t="s">
        <v>172</v>
      </c>
      <c r="H115" t="s">
        <v>172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93">
        <v>7</v>
      </c>
    </row>
    <row r="116" spans="1:11" ht="18.75" customHeight="1" x14ac:dyDescent="0.35">
      <c r="A116" s="93">
        <v>2024</v>
      </c>
      <c r="B116" t="s">
        <v>182</v>
      </c>
      <c r="C116" s="100">
        <f>IF(OR(Fact_Control_Operaciones[[#This Row], [Año]]="",Fact_Control_Operaciones[[#This Row], [Mes]]=""),"",DATE(A116,MATCH(B116,{"enero","febrero","marzo","abril","mayo","junio","julio","agosto","septiembre","octubre","noviembre","diciembre"},0)+1,0))</f>
        <v>45596</v>
      </c>
      <c r="D116" t="s">
        <v>189</v>
      </c>
      <c r="E116" t="str">
        <f>+IFERROR(VLOOKUP(Fact_Control_Operaciones[[#This Row], [Concepto Anterior]],Conceptos_Control_Operaciones[#All],5,0),"")</f>
        <v>Inventarios fisicos​ tiendas propias y franquicias</v>
      </c>
      <c r="F116" t="str">
        <f ca="1">+IFERROR(VLOOKUP(Fact_Control_Operaciones[[#This Row], [Concepto Anterior]],Conceptos_Control_Operaciones[#All],7,0),"")</f>
        <v/>
      </c>
      <c r="G116" t="s">
        <v>172</v>
      </c>
      <c r="H116" t="s">
        <v>172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93">
        <v>64</v>
      </c>
    </row>
    <row r="117" spans="1:11" ht="18.75" customHeight="1" x14ac:dyDescent="0.35">
      <c r="A117" s="93">
        <v>2024</v>
      </c>
      <c r="B117" t="s">
        <v>182</v>
      </c>
      <c r="C117" s="100">
        <f>IF(OR(Fact_Control_Operaciones[[#This Row], [Año]]="",Fact_Control_Operaciones[[#This Row], [Mes]]=""),"",DATE(A117,MATCH(B117,{"enero","febrero","marzo","abril","mayo","junio","julio","agosto","septiembre","octubre","noviembre","diciembre"},0)+1,0))</f>
        <v>45596</v>
      </c>
      <c r="D117" t="s">
        <v>190</v>
      </c>
      <c r="E117" t="str">
        <f>+IFERROR(VLOOKUP(Fact_Control_Operaciones[[#This Row], [Concepto Anterior]],Conceptos_Control_Operaciones[#All],5,0),"")</f>
        <v>Paz y Salvo Retiros​</v>
      </c>
      <c r="F117" t="str">
        <f ca="1">+IFERROR(VLOOKUP(Fact_Control_Operaciones[[#This Row], [Concepto Anterior]],Conceptos_Control_Operaciones[#All],7,0),"")</f>
        <v/>
      </c>
      <c r="G117" t="s">
        <v>172</v>
      </c>
      <c r="H117" t="s">
        <v>172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93">
        <v>30</v>
      </c>
    </row>
    <row r="118" spans="1:11" ht="18.75" customHeight="1" x14ac:dyDescent="0.35">
      <c r="A118" s="93">
        <v>2024</v>
      </c>
      <c r="B118" t="s">
        <v>182</v>
      </c>
      <c r="C118" s="100">
        <f>IF(OR(Fact_Control_Operaciones[[#This Row], [Año]]="",Fact_Control_Operaciones[[#This Row], [Mes]]=""),"",DATE(A118,MATCH(B118,{"enero","febrero","marzo","abril","mayo","junio","julio","agosto","septiembre","octubre","noviembre","diciembre"},0)+1,0))</f>
        <v>45596</v>
      </c>
      <c r="D118" t="s">
        <v>90</v>
      </c>
      <c r="E118" t="str">
        <f>+IFERROR(VLOOKUP(Fact_Control_Operaciones[[#This Row], [Concepto Anterior]],Conceptos_Control_Operaciones[#All],5,0),"")</f>
        <v>Recuperaciones descuadres en caja</v>
      </c>
      <c r="F118" t="str">
        <f ca="1">+IFERROR(VLOOKUP(Fact_Control_Operaciones[[#This Row], [Concepto Anterior]],Conceptos_Control_Operaciones[#All],7,0),"")</f>
        <v/>
      </c>
      <c r="G118" t="s">
        <v>172</v>
      </c>
      <c r="H118" t="s">
        <v>172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93">
        <v>3754104</v>
      </c>
    </row>
    <row r="119" spans="1:11" ht="18.75" customHeight="1" x14ac:dyDescent="0.35">
      <c r="A119" s="93">
        <v>2024</v>
      </c>
      <c r="B119" t="s">
        <v>183</v>
      </c>
      <c r="C119" s="100">
        <f>IF(OR(Fact_Control_Operaciones[[#This Row], [Año]]="",Fact_Control_Operaciones[[#This Row], [Mes]]=""),"",DATE(A119,MATCH(B119,{"enero","febrero","marzo","abril","mayo","junio","julio","agosto","septiembre","octubre","noviembre","diciembre"},0)+1,0))</f>
        <v>45626</v>
      </c>
      <c r="D119" t="s">
        <v>81</v>
      </c>
      <c r="E119" t="str">
        <f>+IFERROR(VLOOKUP(Fact_Control_Operaciones[[#This Row], [Concepto Anterior]],Conceptos_Control_Operaciones[#All],5,0),"")</f>
        <v>Apertura, cierre y reconversiones de tiendas</v>
      </c>
      <c r="F119" t="str">
        <f ca="1">+IFERROR(VLOOKUP(Fact_Control_Operaciones[[#This Row], [Concepto Anterior]],Conceptos_Control_Operaciones[#All],7,0),"")</f>
        <v/>
      </c>
      <c r="G119" t="s">
        <v>172</v>
      </c>
      <c r="H119" t="s">
        <v>172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93">
        <v>10</v>
      </c>
    </row>
    <row r="120" spans="1:11" ht="18.75" customHeight="1" x14ac:dyDescent="0.35">
      <c r="A120" s="93">
        <v>2024</v>
      </c>
      <c r="B120" t="s">
        <v>183</v>
      </c>
      <c r="C120" s="100">
        <f>IF(OR(Fact_Control_Operaciones[[#This Row], [Año]]="",Fact_Control_Operaciones[[#This Row], [Mes]]=""),"",DATE(A120,MATCH(B120,{"enero","febrero","marzo","abril","mayo","junio","julio","agosto","septiembre","octubre","noviembre","diciembre"},0)+1,0))</f>
        <v>45626</v>
      </c>
      <c r="D120" t="s">
        <v>186</v>
      </c>
      <c r="E120" t="str">
        <f>+IFERROR(VLOOKUP(Fact_Control_Operaciones[[#This Row], [Concepto Anterior]],Conceptos_Control_Operaciones[#All],5,0),"")</f>
        <v>Arqueos​</v>
      </c>
      <c r="F120" t="str">
        <f ca="1">+IFERROR(VLOOKUP(Fact_Control_Operaciones[[#This Row], [Concepto Anterior]],Conceptos_Control_Operaciones[#All],7,0),"")</f>
        <v/>
      </c>
      <c r="G120" t="s">
        <v>172</v>
      </c>
      <c r="H120" t="s">
        <v>172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93">
        <v>214</v>
      </c>
    </row>
    <row r="121" spans="1:11" ht="18.75" customHeight="1" x14ac:dyDescent="0.35">
      <c r="A121" s="93">
        <v>2024</v>
      </c>
      <c r="B121" t="s">
        <v>183</v>
      </c>
      <c r="C121" s="100">
        <f>IF(OR(Fact_Control_Operaciones[[#This Row], [Año]]="",Fact_Control_Operaciones[[#This Row], [Mes]]=""),"",DATE(A121,MATCH(B121,{"enero","febrero","marzo","abril","mayo","junio","julio","agosto","septiembre","octubre","noviembre","diciembre"},0)+1,0))</f>
        <v>45626</v>
      </c>
      <c r="D121" t="s">
        <v>187</v>
      </c>
      <c r="E121" t="str">
        <f>+IFERROR(VLOOKUP(Fact_Control_Operaciones[[#This Row], [Concepto Anterior]],Conceptos_Control_Operaciones[#All],5,0),"")</f>
        <v>Capacitaciones</v>
      </c>
      <c r="F121" t="str">
        <f ca="1">+IFERROR(VLOOKUP(Fact_Control_Operaciones[[#This Row], [Concepto Anterior]],Conceptos_Control_Operaciones[#All],7,0),"")</f>
        <v/>
      </c>
      <c r="G121" t="s">
        <v>172</v>
      </c>
      <c r="H121" t="s">
        <v>172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93">
        <v>1</v>
      </c>
    </row>
    <row r="122" spans="1:11" ht="18.75" customHeight="1" x14ac:dyDescent="0.35">
      <c r="A122" s="93">
        <v>2024</v>
      </c>
      <c r="B122" t="s">
        <v>183</v>
      </c>
      <c r="C122" s="100">
        <f>IF(OR(Fact_Control_Operaciones[[#This Row], [Año]]="",Fact_Control_Operaciones[[#This Row], [Mes]]=""),"",DATE(A122,MATCH(B122,{"enero","febrero","marzo","abril","mayo","junio","julio","agosto","septiembre","octubre","noviembre","diciembre"},0)+1,0))</f>
        <v>45626</v>
      </c>
      <c r="D122" t="s">
        <v>85</v>
      </c>
      <c r="E122" t="str">
        <f>+IFERROR(VLOOKUP(Fact_Control_Operaciones[[#This Row], [Concepto Anterior]],Conceptos_Control_Operaciones[#All],5,0),"")</f>
        <v>Causación y Política Caja Menor​</v>
      </c>
      <c r="F122" t="str">
        <f ca="1">+IFERROR(VLOOKUP(Fact_Control_Operaciones[[#This Row], [Concepto Anterior]],Conceptos_Control_Operaciones[#All],7,0),"")</f>
        <v/>
      </c>
      <c r="G122" t="s">
        <v>172</v>
      </c>
      <c r="H122" t="s">
        <v>172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93">
        <v>693</v>
      </c>
    </row>
    <row r="123" spans="1:11" ht="18.75" customHeight="1" x14ac:dyDescent="0.35">
      <c r="A123" s="93">
        <v>2024</v>
      </c>
      <c r="B123" t="s">
        <v>183</v>
      </c>
      <c r="C123" s="100">
        <f>IF(OR(Fact_Control_Operaciones[[#This Row], [Año]]="",Fact_Control_Operaciones[[#This Row], [Mes]]=""),"",DATE(A123,MATCH(B123,{"enero","febrero","marzo","abril","mayo","junio","julio","agosto","septiembre","octubre","noviembre","diciembre"},0)+1,0))</f>
        <v>45626</v>
      </c>
      <c r="D123" t="s">
        <v>110</v>
      </c>
      <c r="E123" t="str">
        <f>+IFERROR(VLOOKUP(Fact_Control_Operaciones[[#This Row], [Concepto Anterior]],Conceptos_Control_Operaciones[#All],5,0),"")</f>
        <v>Gasto caja menor deducible</v>
      </c>
      <c r="F123" t="str">
        <f ca="1">+IFERROR(VLOOKUP(Fact_Control_Operaciones[[#This Row], [Concepto Anterior]],Conceptos_Control_Operaciones[#All],7,0),"")</f>
        <v/>
      </c>
      <c r="G123" t="s">
        <v>172</v>
      </c>
      <c r="H123" t="s">
        <v>172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93">
        <v>52625935</v>
      </c>
    </row>
    <row r="124" spans="1:11" ht="18.75" customHeight="1" x14ac:dyDescent="0.35">
      <c r="A124" s="93">
        <v>2024</v>
      </c>
      <c r="B124" t="s">
        <v>183</v>
      </c>
      <c r="C124" s="100">
        <f>IF(OR(Fact_Control_Operaciones[[#This Row], [Año]]="",Fact_Control_Operaciones[[#This Row], [Mes]]=""),"",DATE(A124,MATCH(B124,{"enero","febrero","marzo","abril","mayo","junio","julio","agosto","septiembre","octubre","noviembre","diciembre"},0)+1,0))</f>
        <v>45626</v>
      </c>
      <c r="D124" t="s">
        <v>109</v>
      </c>
      <c r="E124" t="str">
        <f>+IFERROR(VLOOKUP(Fact_Control_Operaciones[[#This Row], [Concepto Anterior]],Conceptos_Control_Operaciones[#All],5,0),"")</f>
        <v>Gasto caja menor no deducible</v>
      </c>
      <c r="F124" t="str">
        <f ca="1">+IFERROR(VLOOKUP(Fact_Control_Operaciones[[#This Row], [Concepto Anterior]],Conceptos_Control_Operaciones[#All],7,0),"")</f>
        <v/>
      </c>
      <c r="G124" t="s">
        <v>172</v>
      </c>
      <c r="H124" t="s">
        <v>172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93">
        <v>2536045</v>
      </c>
    </row>
    <row r="125" spans="1:11" ht="18.75" customHeight="1" x14ac:dyDescent="0.35">
      <c r="A125" s="93">
        <v>2024</v>
      </c>
      <c r="B125" t="s">
        <v>183</v>
      </c>
      <c r="C125" s="100">
        <f>IF(OR(Fact_Control_Operaciones[[#This Row], [Año]]="",Fact_Control_Operaciones[[#This Row], [Mes]]=""),"",DATE(A125,MATCH(B125,{"enero","febrero","marzo","abril","mayo","junio","julio","agosto","septiembre","octubre","noviembre","diciembre"},0)+1,0))</f>
        <v>45626</v>
      </c>
      <c r="D125" t="s">
        <v>86</v>
      </c>
      <c r="E125" t="str">
        <f>+IFERROR(VLOOKUP(Fact_Control_Operaciones[[#This Row], [Concepto Anterior]],Conceptos_Control_Operaciones[#All],5,0),"")</f>
        <v>Gestiones descuadres en caja</v>
      </c>
      <c r="F125" t="str">
        <f ca="1">+IFERROR(VLOOKUP(Fact_Control_Operaciones[[#This Row], [Concepto Anterior]],Conceptos_Control_Operaciones[#All],7,0),"")</f>
        <v/>
      </c>
      <c r="G125" t="s">
        <v>172</v>
      </c>
      <c r="H125" t="s">
        <v>172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93">
        <v>34</v>
      </c>
    </row>
    <row r="126" spans="1:11" ht="18.75" customHeight="1" x14ac:dyDescent="0.35">
      <c r="A126" s="93">
        <v>2024</v>
      </c>
      <c r="B126" t="s">
        <v>183</v>
      </c>
      <c r="C126" s="100">
        <f>IF(OR(Fact_Control_Operaciones[[#This Row], [Año]]="",Fact_Control_Operaciones[[#This Row], [Mes]]=""),"",DATE(A126,MATCH(B126,{"enero","febrero","marzo","abril","mayo","junio","julio","agosto","septiembre","octubre","noviembre","diciembre"},0)+1,0))</f>
        <v>45626</v>
      </c>
      <c r="D126" t="s">
        <v>188</v>
      </c>
      <c r="E126" t="str">
        <f>+IFERROR(VLOOKUP(Fact_Control_Operaciones[[#This Row], [Concepto Anterior]],Conceptos_Control_Operaciones[#All],5,0),"")</f>
        <v>Inventarios fisicos​ GS Falabella</v>
      </c>
      <c r="F126" t="str">
        <f ca="1">+IFERROR(VLOOKUP(Fact_Control_Operaciones[[#This Row], [Concepto Anterior]],Conceptos_Control_Operaciones[#All],7,0),"")</f>
        <v/>
      </c>
      <c r="G126" t="s">
        <v>172</v>
      </c>
      <c r="H126" t="s">
        <v>172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93">
        <v>5</v>
      </c>
    </row>
    <row r="127" spans="1:11" ht="18.75" customHeight="1" x14ac:dyDescent="0.35">
      <c r="A127" s="93">
        <v>2024</v>
      </c>
      <c r="B127" t="s">
        <v>183</v>
      </c>
      <c r="C127" s="100">
        <f>IF(OR(Fact_Control_Operaciones[[#This Row], [Año]]="",Fact_Control_Operaciones[[#This Row], [Mes]]=""),"",DATE(A127,MATCH(B127,{"enero","febrero","marzo","abril","mayo","junio","julio","agosto","septiembre","octubre","noviembre","diciembre"},0)+1,0))</f>
        <v>45626</v>
      </c>
      <c r="D127" t="s">
        <v>189</v>
      </c>
      <c r="E127" t="str">
        <f>+IFERROR(VLOOKUP(Fact_Control_Operaciones[[#This Row], [Concepto Anterior]],Conceptos_Control_Operaciones[#All],5,0),"")</f>
        <v>Inventarios fisicos​ tiendas propias y franquicias</v>
      </c>
      <c r="F127" t="str">
        <f ca="1">+IFERROR(VLOOKUP(Fact_Control_Operaciones[[#This Row], [Concepto Anterior]],Conceptos_Control_Operaciones[#All],7,0),"")</f>
        <v/>
      </c>
      <c r="G127" t="s">
        <v>172</v>
      </c>
      <c r="H127" t="s">
        <v>172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93">
        <v>34</v>
      </c>
    </row>
    <row r="128" spans="1:11" ht="18.75" customHeight="1" x14ac:dyDescent="0.35">
      <c r="A128" s="93">
        <v>2024</v>
      </c>
      <c r="B128" t="s">
        <v>183</v>
      </c>
      <c r="C128" s="100">
        <f>IF(OR(Fact_Control_Operaciones[[#This Row], [Año]]="",Fact_Control_Operaciones[[#This Row], [Mes]]=""),"",DATE(A128,MATCH(B128,{"enero","febrero","marzo","abril","mayo","junio","julio","agosto","septiembre","octubre","noviembre","diciembre"},0)+1,0))</f>
        <v>45626</v>
      </c>
      <c r="D128" t="s">
        <v>190</v>
      </c>
      <c r="E128" t="str">
        <f>+IFERROR(VLOOKUP(Fact_Control_Operaciones[[#This Row], [Concepto Anterior]],Conceptos_Control_Operaciones[#All],5,0),"")</f>
        <v>Paz y Salvo Retiros​</v>
      </c>
      <c r="F128" t="str">
        <f ca="1">+IFERROR(VLOOKUP(Fact_Control_Operaciones[[#This Row], [Concepto Anterior]],Conceptos_Control_Operaciones[#All],7,0),"")</f>
        <v/>
      </c>
      <c r="G128" t="s">
        <v>172</v>
      </c>
      <c r="H128" t="s">
        <v>172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93">
        <v>18</v>
      </c>
    </row>
    <row r="129" spans="1:11" ht="18.75" customHeight="1" x14ac:dyDescent="0.35">
      <c r="A129" s="93">
        <v>2024</v>
      </c>
      <c r="B129" t="s">
        <v>183</v>
      </c>
      <c r="C129" s="100">
        <f>IF(OR(Fact_Control_Operaciones[[#This Row], [Año]]="",Fact_Control_Operaciones[[#This Row], [Mes]]=""),"",DATE(A129,MATCH(B129,{"enero","febrero","marzo","abril","mayo","junio","julio","agosto","septiembre","octubre","noviembre","diciembre"},0)+1,0))</f>
        <v>45626</v>
      </c>
      <c r="D129" t="s">
        <v>90</v>
      </c>
      <c r="E129" t="str">
        <f>+IFERROR(VLOOKUP(Fact_Control_Operaciones[[#This Row], [Concepto Anterior]],Conceptos_Control_Operaciones[#All],5,0),"")</f>
        <v>Recuperaciones descuadres en caja</v>
      </c>
      <c r="F129" t="str">
        <f ca="1">+IFERROR(VLOOKUP(Fact_Control_Operaciones[[#This Row], [Concepto Anterior]],Conceptos_Control_Operaciones[#All],7,0),"")</f>
        <v/>
      </c>
      <c r="G129" t="s">
        <v>172</v>
      </c>
      <c r="H129" t="s">
        <v>172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93">
        <v>253970</v>
      </c>
    </row>
    <row r="130" spans="1:11" ht="18.75" customHeight="1" x14ac:dyDescent="0.35">
      <c r="A130" s="93">
        <v>2025</v>
      </c>
      <c r="B130" t="s">
        <v>171</v>
      </c>
      <c r="C130" s="100">
        <f>IF(OR(Fact_Control_Operaciones[[#This Row], [Año]]="",Fact_Control_Operaciones[[#This Row], [Mes]]=""),"",DATE(A130,MATCH(B130,{"enero","febrero","marzo","abril","mayo","junio","julio","agosto","septiembre","octubre","noviembre","diciembre"},0)+1,0))</f>
        <v>45688</v>
      </c>
      <c r="D130" t="s">
        <v>186</v>
      </c>
      <c r="E130" t="str">
        <f>+IFERROR(VLOOKUP(Fact_Control_Operaciones[[#This Row], [Concepto Anterior]],Conceptos_Control_Operaciones[#All],5,0),"")</f>
        <v>Arqueos​</v>
      </c>
      <c r="F130" t="str">
        <f ca="1">+IFERROR(VLOOKUP(Fact_Control_Operaciones[[#This Row], [Concepto Anterior]],Conceptos_Control_Operaciones[#All],7,0),"")</f>
        <v/>
      </c>
      <c r="G130" t="s">
        <v>172</v>
      </c>
      <c r="H130" t="s">
        <v>172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93">
        <v>403</v>
      </c>
    </row>
    <row r="131" spans="1:11" ht="18.75" customHeight="1" x14ac:dyDescent="0.35">
      <c r="A131" s="93">
        <v>2025</v>
      </c>
      <c r="B131" t="s">
        <v>171</v>
      </c>
      <c r="C131" s="100">
        <f>IF(OR(Fact_Control_Operaciones[[#This Row], [Año]]="",Fact_Control_Operaciones[[#This Row], [Mes]]=""),"",DATE(A131,MATCH(B131,{"enero","febrero","marzo","abril","mayo","junio","julio","agosto","septiembre","octubre","noviembre","diciembre"},0)+1,0))</f>
        <v>45688</v>
      </c>
      <c r="D131" t="s">
        <v>191</v>
      </c>
      <c r="E131" t="str">
        <f>+IFERROR(VLOOKUP(Fact_Control_Operaciones[[#This Row], [Concepto Anterior]],Conceptos_Control_Operaciones[#All],5,0),"")</f>
        <v>Cantidad de Inventarios cíclicos</v>
      </c>
      <c r="F131" t="str">
        <f ca="1">+IFERROR(VLOOKUP(Fact_Control_Operaciones[[#This Row], [Concepto Anterior]],Conceptos_Control_Operaciones[#All],7,0),"")</f>
        <v/>
      </c>
      <c r="G131" t="s">
        <v>172</v>
      </c>
      <c r="H131" t="s">
        <v>172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93">
        <v>21</v>
      </c>
    </row>
    <row r="132" spans="1:11" ht="18.75" customHeight="1" x14ac:dyDescent="0.35">
      <c r="A132" s="93">
        <v>2025</v>
      </c>
      <c r="B132" t="s">
        <v>171</v>
      </c>
      <c r="C132" s="100">
        <f>IF(OR(Fact_Control_Operaciones[[#This Row], [Año]]="",Fact_Control_Operaciones[[#This Row], [Mes]]=""),"",DATE(A132,MATCH(B132,{"enero","febrero","marzo","abril","mayo","junio","julio","agosto","septiembre","octubre","noviembre","diciembre"},0)+1,0))</f>
        <v>45688</v>
      </c>
      <c r="D132" t="s">
        <v>187</v>
      </c>
      <c r="E132" t="str">
        <f>+IFERROR(VLOOKUP(Fact_Control_Operaciones[[#This Row], [Concepto Anterior]],Conceptos_Control_Operaciones[#All],5,0),"")</f>
        <v>Capacitaciones</v>
      </c>
      <c r="F132" t="str">
        <f ca="1">+IFERROR(VLOOKUP(Fact_Control_Operaciones[[#This Row], [Concepto Anterior]],Conceptos_Control_Operaciones[#All],7,0),"")</f>
        <v/>
      </c>
      <c r="G132" t="s">
        <v>172</v>
      </c>
      <c r="H132" t="s">
        <v>172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93">
        <v>3</v>
      </c>
    </row>
    <row r="133" spans="1:11" ht="18.75" customHeight="1" x14ac:dyDescent="0.35">
      <c r="A133" s="93">
        <v>2025</v>
      </c>
      <c r="B133" t="s">
        <v>171</v>
      </c>
      <c r="C133" s="100">
        <f>IF(OR(Fact_Control_Operaciones[[#This Row], [Año]]="",Fact_Control_Operaciones[[#This Row], [Mes]]=""),"",DATE(A133,MATCH(B133,{"enero","febrero","marzo","abril","mayo","junio","julio","agosto","septiembre","octubre","noviembre","diciembre"},0)+1,0))</f>
        <v>45688</v>
      </c>
      <c r="D133" t="s">
        <v>85</v>
      </c>
      <c r="E133" t="str">
        <f>+IFERROR(VLOOKUP(Fact_Control_Operaciones[[#This Row], [Concepto Anterior]],Conceptos_Control_Operaciones[#All],5,0),"")</f>
        <v>Causación y Política Caja Menor​</v>
      </c>
      <c r="F133" t="str">
        <f ca="1">+IFERROR(VLOOKUP(Fact_Control_Operaciones[[#This Row], [Concepto Anterior]],Conceptos_Control_Operaciones[#All],7,0),"")</f>
        <v/>
      </c>
      <c r="G133" t="s">
        <v>172</v>
      </c>
      <c r="H133" t="s">
        <v>172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93">
        <v>469</v>
      </c>
    </row>
    <row r="134" spans="1:11" ht="18.75" customHeight="1" x14ac:dyDescent="0.35">
      <c r="A134" s="93">
        <v>2025</v>
      </c>
      <c r="B134" t="s">
        <v>171</v>
      </c>
      <c r="C134" s="100">
        <f>IF(OR(Fact_Control_Operaciones[[#This Row], [Año]]="",Fact_Control_Operaciones[[#This Row], [Mes]]=""),"",DATE(A134,MATCH(B134,{"enero","febrero","marzo","abril","mayo","junio","julio","agosto","septiembre","octubre","noviembre","diciembre"},0)+1,0))</f>
        <v>45688</v>
      </c>
      <c r="D134" t="s">
        <v>139</v>
      </c>
      <c r="E134" t="str">
        <f>+IFERROR(VLOOKUP(Fact_Control_Operaciones[[#This Row], [Concepto Anterior]],Conceptos_Control_Operaciones[#All],5,0),"")</f>
        <v>Dinero recuperado de viajes- tomas fisicas RGIS</v>
      </c>
      <c r="F134" t="str">
        <f ca="1">+IFERROR(VLOOKUP(Fact_Control_Operaciones[[#This Row], [Concepto Anterior]],Conceptos_Control_Operaciones[#All],7,0),"")</f>
        <v/>
      </c>
      <c r="G134" t="s">
        <v>172</v>
      </c>
      <c r="H134" t="s">
        <v>172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93">
        <v>0</v>
      </c>
    </row>
    <row r="135" spans="1:11" ht="18.75" customHeight="1" x14ac:dyDescent="0.35">
      <c r="A135" s="93">
        <v>2025</v>
      </c>
      <c r="B135" t="s">
        <v>171</v>
      </c>
      <c r="C135" s="100">
        <f>IF(OR(Fact_Control_Operaciones[[#This Row], [Año]]="",Fact_Control_Operaciones[[#This Row], [Mes]]=""),"",DATE(A135,MATCH(B135,{"enero","febrero","marzo","abril","mayo","junio","julio","agosto","septiembre","octubre","noviembre","diciembre"},0)+1,0))</f>
        <v>45688</v>
      </c>
      <c r="D135" t="s">
        <v>110</v>
      </c>
      <c r="E135" t="str">
        <f>+IFERROR(VLOOKUP(Fact_Control_Operaciones[[#This Row], [Concepto Anterior]],Conceptos_Control_Operaciones[#All],5,0),"")</f>
        <v>Gasto caja menor deducible</v>
      </c>
      <c r="F135" t="str">
        <f ca="1">+IFERROR(VLOOKUP(Fact_Control_Operaciones[[#This Row], [Concepto Anterior]],Conceptos_Control_Operaciones[#All],7,0),"")</f>
        <v/>
      </c>
      <c r="G135" t="s">
        <v>172</v>
      </c>
      <c r="H135" t="s">
        <v>172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93">
        <v>20357465</v>
      </c>
    </row>
    <row r="136" spans="1:11" ht="18.75" customHeight="1" x14ac:dyDescent="0.35">
      <c r="A136" s="93">
        <v>2025</v>
      </c>
      <c r="B136" t="s">
        <v>171</v>
      </c>
      <c r="C136" s="100">
        <f>IF(OR(Fact_Control_Operaciones[[#This Row], [Año]]="",Fact_Control_Operaciones[[#This Row], [Mes]]=""),"",DATE(A136,MATCH(B136,{"enero","febrero","marzo","abril","mayo","junio","julio","agosto","septiembre","octubre","noviembre","diciembre"},0)+1,0))</f>
        <v>45688</v>
      </c>
      <c r="D136" t="s">
        <v>109</v>
      </c>
      <c r="E136" t="str">
        <f>+IFERROR(VLOOKUP(Fact_Control_Operaciones[[#This Row], [Concepto Anterior]],Conceptos_Control_Operaciones[#All],5,0),"")</f>
        <v>Gasto caja menor no deducible</v>
      </c>
      <c r="F136" t="str">
        <f ca="1">+IFERROR(VLOOKUP(Fact_Control_Operaciones[[#This Row], [Concepto Anterior]],Conceptos_Control_Operaciones[#All],7,0),"")</f>
        <v/>
      </c>
      <c r="G136" t="s">
        <v>172</v>
      </c>
      <c r="H136" t="s">
        <v>172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93">
        <v>27136071</v>
      </c>
    </row>
    <row r="137" spans="1:11" ht="18.75" customHeight="1" x14ac:dyDescent="0.35">
      <c r="A137" s="93">
        <v>2025</v>
      </c>
      <c r="B137" t="s">
        <v>171</v>
      </c>
      <c r="C137" s="100">
        <f>IF(OR(Fact_Control_Operaciones[[#This Row], [Año]]="",Fact_Control_Operaciones[[#This Row], [Mes]]=""),"",DATE(A137,MATCH(B137,{"enero","febrero","marzo","abril","mayo","junio","julio","agosto","septiembre","octubre","noviembre","diciembre"},0)+1,0))</f>
        <v>45688</v>
      </c>
      <c r="D137" t="s">
        <v>142</v>
      </c>
      <c r="E137" t="str">
        <f>+IFERROR(VLOOKUP(Fact_Control_Operaciones[[#This Row], [Concepto Anterior]],Conceptos_Control_Operaciones[#All],5,0),"")</f>
        <v>Gestion merma inventario</v>
      </c>
      <c r="F137" t="str">
        <f ca="1">+IFERROR(VLOOKUP(Fact_Control_Operaciones[[#This Row], [Concepto Anterior]],Conceptos_Control_Operaciones[#All],7,0),"")</f>
        <v/>
      </c>
      <c r="G137" t="s">
        <v>172</v>
      </c>
      <c r="H137" t="s">
        <v>172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93">
        <v>98883018</v>
      </c>
    </row>
    <row r="138" spans="1:11" ht="18.75" customHeight="1" x14ac:dyDescent="0.35">
      <c r="A138" s="93">
        <v>2025</v>
      </c>
      <c r="B138" t="s">
        <v>171</v>
      </c>
      <c r="C138" s="100">
        <f>IF(OR(Fact_Control_Operaciones[[#This Row], [Año]]="",Fact_Control_Operaciones[[#This Row], [Mes]]=""),"",DATE(A138,MATCH(B138,{"enero","febrero","marzo","abril","mayo","junio","julio","agosto","septiembre","octubre","noviembre","diciembre"},0)+1,0))</f>
        <v>45688</v>
      </c>
      <c r="D138" t="s">
        <v>86</v>
      </c>
      <c r="E138" t="str">
        <f>+IFERROR(VLOOKUP(Fact_Control_Operaciones[[#This Row], [Concepto Anterior]],Conceptos_Control_Operaciones[#All],5,0),"")</f>
        <v>Gestiones descuadres en caja</v>
      </c>
      <c r="F138" t="str">
        <f ca="1">+IFERROR(VLOOKUP(Fact_Control_Operaciones[[#This Row], [Concepto Anterior]],Conceptos_Control_Operaciones[#All],7,0),"")</f>
        <v/>
      </c>
      <c r="G138" t="s">
        <v>172</v>
      </c>
      <c r="H138" t="s">
        <v>172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93">
        <v>102</v>
      </c>
    </row>
    <row r="139" spans="1:11" ht="18.75" customHeight="1" x14ac:dyDescent="0.35">
      <c r="A139" s="93">
        <v>2025</v>
      </c>
      <c r="B139" t="s">
        <v>171</v>
      </c>
      <c r="C139" s="100">
        <f>IF(OR(Fact_Control_Operaciones[[#This Row], [Año]]="",Fact_Control_Operaciones[[#This Row], [Mes]]=""),"",DATE(A139,MATCH(B139,{"enero","febrero","marzo","abril","mayo","junio","julio","agosto","septiembre","octubre","noviembre","diciembre"},0)+1,0))</f>
        <v>45688</v>
      </c>
      <c r="D139" t="s">
        <v>188</v>
      </c>
      <c r="E139" t="str">
        <f>+IFERROR(VLOOKUP(Fact_Control_Operaciones[[#This Row], [Concepto Anterior]],Conceptos_Control_Operaciones[#All],5,0),"")</f>
        <v>Inventarios fisicos​ GS Falabella</v>
      </c>
      <c r="F139" t="str">
        <f ca="1">+IFERROR(VLOOKUP(Fact_Control_Operaciones[[#This Row], [Concepto Anterior]],Conceptos_Control_Operaciones[#All],7,0),"")</f>
        <v/>
      </c>
      <c r="G139" t="s">
        <v>172</v>
      </c>
      <c r="H139" t="s">
        <v>172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93">
        <v>1</v>
      </c>
    </row>
    <row r="140" spans="1:11" ht="18.75" customHeight="1" x14ac:dyDescent="0.35">
      <c r="A140" s="93">
        <v>2025</v>
      </c>
      <c r="B140" t="s">
        <v>171</v>
      </c>
      <c r="C140" s="100">
        <f>IF(OR(Fact_Control_Operaciones[[#This Row], [Año]]="",Fact_Control_Operaciones[[#This Row], [Mes]]=""),"",DATE(A140,MATCH(B140,{"enero","febrero","marzo","abril","mayo","junio","julio","agosto","septiembre","octubre","noviembre","diciembre"},0)+1,0))</f>
        <v>45688</v>
      </c>
      <c r="D140" t="s">
        <v>189</v>
      </c>
      <c r="E140" t="str">
        <f>+IFERROR(VLOOKUP(Fact_Control_Operaciones[[#This Row], [Concepto Anterior]],Conceptos_Control_Operaciones[#All],5,0),"")</f>
        <v>Inventarios fisicos​ tiendas propias y franquicias</v>
      </c>
      <c r="F140" t="str">
        <f ca="1">+IFERROR(VLOOKUP(Fact_Control_Operaciones[[#This Row], [Concepto Anterior]],Conceptos_Control_Operaciones[#All],7,0),"")</f>
        <v/>
      </c>
      <c r="G140" t="s">
        <v>172</v>
      </c>
      <c r="H140" t="s">
        <v>172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93">
        <v>12</v>
      </c>
    </row>
    <row r="141" spans="1:11" ht="18.75" customHeight="1" x14ac:dyDescent="0.35">
      <c r="A141" s="93">
        <v>2025</v>
      </c>
      <c r="B141" t="s">
        <v>171</v>
      </c>
      <c r="C141" s="100">
        <f>IF(OR(Fact_Control_Operaciones[[#This Row], [Año]]="",Fact_Control_Operaciones[[#This Row], [Mes]]=""),"",DATE(A141,MATCH(B141,{"enero","febrero","marzo","abril","mayo","junio","julio","agosto","septiembre","octubre","noviembre","diciembre"},0)+1,0))</f>
        <v>45688</v>
      </c>
      <c r="D141" t="s">
        <v>190</v>
      </c>
      <c r="E141" t="str">
        <f>+IFERROR(VLOOKUP(Fact_Control_Operaciones[[#This Row], [Concepto Anterior]],Conceptos_Control_Operaciones[#All],5,0),"")</f>
        <v>Paz y Salvo Retiros​</v>
      </c>
      <c r="F141" t="str">
        <f ca="1">+IFERROR(VLOOKUP(Fact_Control_Operaciones[[#This Row], [Concepto Anterior]],Conceptos_Control_Operaciones[#All],7,0),"")</f>
        <v/>
      </c>
      <c r="G141" t="s">
        <v>172</v>
      </c>
      <c r="H141" t="s">
        <v>172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93">
        <v>8</v>
      </c>
    </row>
    <row r="142" spans="1:11" ht="18.75" customHeight="1" x14ac:dyDescent="0.35">
      <c r="A142" s="93">
        <v>2025</v>
      </c>
      <c r="B142" t="s">
        <v>171</v>
      </c>
      <c r="C142" s="100">
        <f>IF(OR(Fact_Control_Operaciones[[#This Row], [Año]]="",Fact_Control_Operaciones[[#This Row], [Mes]]=""),"",DATE(A142,MATCH(B142,{"enero","febrero","marzo","abril","mayo","junio","julio","agosto","septiembre","octubre","noviembre","diciembre"},0)+1,0))</f>
        <v>45688</v>
      </c>
      <c r="D142" t="s">
        <v>90</v>
      </c>
      <c r="E142" t="str">
        <f>+IFERROR(VLOOKUP(Fact_Control_Operaciones[[#This Row], [Concepto Anterior]],Conceptos_Control_Operaciones[#All],5,0),"")</f>
        <v>Recuperaciones descuadres en caja</v>
      </c>
      <c r="F142" t="str">
        <f ca="1">+IFERROR(VLOOKUP(Fact_Control_Operaciones[[#This Row], [Concepto Anterior]],Conceptos_Control_Operaciones[#All],7,0),"")</f>
        <v/>
      </c>
      <c r="G142" t="s">
        <v>172</v>
      </c>
      <c r="H142" t="s">
        <v>172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93">
        <v>1681551</v>
      </c>
    </row>
    <row r="143" spans="1:11" ht="18.75" customHeight="1" x14ac:dyDescent="0.35">
      <c r="A143" s="93">
        <v>2025</v>
      </c>
      <c r="B143" t="s">
        <v>171</v>
      </c>
      <c r="C143" s="100">
        <f>IF(OR(Fact_Control_Operaciones[[#This Row], [Año]]="",Fact_Control_Operaciones[[#This Row], [Mes]]=""),"",DATE(A143,MATCH(B143,{"enero","febrero","marzo","abril","mayo","junio","julio","agosto","septiembre","octubre","noviembre","diciembre"},0)+1,0))</f>
        <v>45688</v>
      </c>
      <c r="D143" t="s">
        <v>84</v>
      </c>
      <c r="E143" t="str">
        <f>+IFERROR(VLOOKUP(Fact_Control_Operaciones[[#This Row], [Concepto Anterior]],Conceptos_Control_Operaciones[#All],5,0),"")</f>
        <v>Tickets mesa de servicio</v>
      </c>
      <c r="F143" t="str">
        <f ca="1">+IFERROR(VLOOKUP(Fact_Control_Operaciones[[#This Row], [Concepto Anterior]],Conceptos_Control_Operaciones[#All],7,0),"")</f>
        <v/>
      </c>
      <c r="G143" t="s">
        <v>172</v>
      </c>
      <c r="H143" t="s">
        <v>172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174</v>
      </c>
      <c r="C144" s="100">
        <f>IF(OR(Fact_Control_Operaciones[[#This Row], [Año]]="",Fact_Control_Operaciones[[#This Row], [Mes]]=""),"",DATE(A144,MATCH(B144,{"enero","febrero","marzo","abril","mayo","junio","julio","agosto","septiembre","octubre","noviembre","diciembre"},0)+1,0))</f>
        <v>45716</v>
      </c>
      <c r="D144" t="s">
        <v>186</v>
      </c>
      <c r="E144" t="str">
        <f>+IFERROR(VLOOKUP(Fact_Control_Operaciones[[#This Row], [Concepto Anterior]],Conceptos_Control_Operaciones[#All],5,0),"")</f>
        <v>Arqueos​</v>
      </c>
      <c r="F144" t="str">
        <f ca="1">+IFERROR(VLOOKUP(Fact_Control_Operaciones[[#This Row], [Concepto Anterior]],Conceptos_Control_Operaciones[#All],7,0),"")</f>
        <v/>
      </c>
      <c r="G144" t="s">
        <v>172</v>
      </c>
      <c r="H144" t="s">
        <v>172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93">
        <v>235</v>
      </c>
    </row>
    <row r="145" spans="1:11" ht="18.75" customHeight="1" x14ac:dyDescent="0.35">
      <c r="A145" s="93">
        <v>2025</v>
      </c>
      <c r="B145" t="s">
        <v>174</v>
      </c>
      <c r="C145" s="100">
        <f>IF(OR(Fact_Control_Operaciones[[#This Row], [Año]]="",Fact_Control_Operaciones[[#This Row], [Mes]]=""),"",DATE(A145,MATCH(B145,{"enero","febrero","marzo","abril","mayo","junio","julio","agosto","septiembre","octubre","noviembre","diciembre"},0)+1,0))</f>
        <v>45716</v>
      </c>
      <c r="D145" t="s">
        <v>191</v>
      </c>
      <c r="E145" t="str">
        <f>+IFERROR(VLOOKUP(Fact_Control_Operaciones[[#This Row], [Concepto Anterior]],Conceptos_Control_Operaciones[#All],5,0),"")</f>
        <v>Cantidad de Inventarios cíclicos</v>
      </c>
      <c r="F145" t="str">
        <f ca="1">+IFERROR(VLOOKUP(Fact_Control_Operaciones[[#This Row], [Concepto Anterior]],Conceptos_Control_Operaciones[#All],7,0),"")</f>
        <v/>
      </c>
      <c r="G145" t="s">
        <v>172</v>
      </c>
      <c r="H145" t="s">
        <v>172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93">
        <v>36</v>
      </c>
    </row>
    <row r="146" spans="1:11" ht="18.75" customHeight="1" x14ac:dyDescent="0.35">
      <c r="A146" s="93">
        <v>2025</v>
      </c>
      <c r="B146" t="s">
        <v>174</v>
      </c>
      <c r="C146" s="100">
        <f>IF(OR(Fact_Control_Operaciones[[#This Row], [Año]]="",Fact_Control_Operaciones[[#This Row], [Mes]]=""),"",DATE(A146,MATCH(B146,{"enero","febrero","marzo","abril","mayo","junio","julio","agosto","septiembre","octubre","noviembre","diciembre"},0)+1,0))</f>
        <v>45716</v>
      </c>
      <c r="D146" t="s">
        <v>187</v>
      </c>
      <c r="E146" t="str">
        <f>+IFERROR(VLOOKUP(Fact_Control_Operaciones[[#This Row], [Concepto Anterior]],Conceptos_Control_Operaciones[#All],5,0),"")</f>
        <v>Capacitaciones</v>
      </c>
      <c r="F146" t="str">
        <f ca="1">+IFERROR(VLOOKUP(Fact_Control_Operaciones[[#This Row], [Concepto Anterior]],Conceptos_Control_Operaciones[#All],7,0),"")</f>
        <v/>
      </c>
      <c r="G146" t="s">
        <v>172</v>
      </c>
      <c r="H146" t="s">
        <v>172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93">
        <v>10</v>
      </c>
    </row>
    <row r="147" spans="1:11" ht="18.75" customHeight="1" x14ac:dyDescent="0.35">
      <c r="A147" s="93">
        <v>2025</v>
      </c>
      <c r="B147" t="s">
        <v>174</v>
      </c>
      <c r="C147" s="100">
        <f>IF(OR(Fact_Control_Operaciones[[#This Row], [Año]]="",Fact_Control_Operaciones[[#This Row], [Mes]]=""),"",DATE(A147,MATCH(B147,{"enero","febrero","marzo","abril","mayo","junio","julio","agosto","septiembre","octubre","noviembre","diciembre"},0)+1,0))</f>
        <v>45716</v>
      </c>
      <c r="D147" t="s">
        <v>85</v>
      </c>
      <c r="E147" t="str">
        <f>+IFERROR(VLOOKUP(Fact_Control_Operaciones[[#This Row], [Concepto Anterior]],Conceptos_Control_Operaciones[#All],5,0),"")</f>
        <v>Causación y Política Caja Menor​</v>
      </c>
      <c r="F147" t="str">
        <f ca="1">+IFERROR(VLOOKUP(Fact_Control_Operaciones[[#This Row], [Concepto Anterior]],Conceptos_Control_Operaciones[#All],7,0),"")</f>
        <v/>
      </c>
      <c r="G147" t="s">
        <v>172</v>
      </c>
      <c r="H147" t="s">
        <v>172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93">
        <v>417</v>
      </c>
    </row>
    <row r="148" spans="1:11" ht="18.75" customHeight="1" x14ac:dyDescent="0.35">
      <c r="A148" s="93">
        <v>2025</v>
      </c>
      <c r="B148" t="s">
        <v>174</v>
      </c>
      <c r="C148" s="100">
        <f>IF(OR(Fact_Control_Operaciones[[#This Row], [Año]]="",Fact_Control_Operaciones[[#This Row], [Mes]]=""),"",DATE(A148,MATCH(B148,{"enero","febrero","marzo","abril","mayo","junio","julio","agosto","septiembre","octubre","noviembre","diciembre"},0)+1,0))</f>
        <v>45716</v>
      </c>
      <c r="D148" t="s">
        <v>139</v>
      </c>
      <c r="E148" t="str">
        <f>+IFERROR(VLOOKUP(Fact_Control_Operaciones[[#This Row], [Concepto Anterior]],Conceptos_Control_Operaciones[#All],5,0),"")</f>
        <v>Dinero recuperado de viajes- tomas fisicas RGIS</v>
      </c>
      <c r="F148" t="str">
        <f ca="1">+IFERROR(VLOOKUP(Fact_Control_Operaciones[[#This Row], [Concepto Anterior]],Conceptos_Control_Operaciones[#All],7,0),"")</f>
        <v/>
      </c>
      <c r="G148" t="s">
        <v>172</v>
      </c>
      <c r="H148" t="s">
        <v>172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93">
        <v>9908828</v>
      </c>
    </row>
    <row r="149" spans="1:11" ht="18.75" customHeight="1" x14ac:dyDescent="0.35">
      <c r="A149" s="93">
        <v>2025</v>
      </c>
      <c r="B149" t="s">
        <v>174</v>
      </c>
      <c r="C149" s="100">
        <f>IF(OR(Fact_Control_Operaciones[[#This Row], [Año]]="",Fact_Control_Operaciones[[#This Row], [Mes]]=""),"",DATE(A149,MATCH(B149,{"enero","febrero","marzo","abril","mayo","junio","julio","agosto","septiembre","octubre","noviembre","diciembre"},0)+1,0))</f>
        <v>45716</v>
      </c>
      <c r="D149" t="s">
        <v>110</v>
      </c>
      <c r="E149" t="str">
        <f>+IFERROR(VLOOKUP(Fact_Control_Operaciones[[#This Row], [Concepto Anterior]],Conceptos_Control_Operaciones[#All],5,0),"")</f>
        <v>Gasto caja menor deducible</v>
      </c>
      <c r="F149" t="str">
        <f ca="1">+IFERROR(VLOOKUP(Fact_Control_Operaciones[[#This Row], [Concepto Anterior]],Conceptos_Control_Operaciones[#All],7,0),"")</f>
        <v/>
      </c>
      <c r="G149" t="s">
        <v>172</v>
      </c>
      <c r="H149" t="s">
        <v>172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93">
        <v>26013078</v>
      </c>
    </row>
    <row r="150" spans="1:11" ht="18.75" customHeight="1" x14ac:dyDescent="0.35">
      <c r="A150" s="93">
        <v>2025</v>
      </c>
      <c r="B150" t="s">
        <v>174</v>
      </c>
      <c r="C150" s="100">
        <f>IF(OR(Fact_Control_Operaciones[[#This Row], [Año]]="",Fact_Control_Operaciones[[#This Row], [Mes]]=""),"",DATE(A150,MATCH(B150,{"enero","febrero","marzo","abril","mayo","junio","julio","agosto","septiembre","octubre","noviembre","diciembre"},0)+1,0))</f>
        <v>45716</v>
      </c>
      <c r="D150" t="s">
        <v>109</v>
      </c>
      <c r="E150" t="str">
        <f>+IFERROR(VLOOKUP(Fact_Control_Operaciones[[#This Row], [Concepto Anterior]],Conceptos_Control_Operaciones[#All],5,0),"")</f>
        <v>Gasto caja menor no deducible</v>
      </c>
      <c r="F150" t="str">
        <f ca="1">+IFERROR(VLOOKUP(Fact_Control_Operaciones[[#This Row], [Concepto Anterior]],Conceptos_Control_Operaciones[#All],7,0),"")</f>
        <v/>
      </c>
      <c r="G150" t="s">
        <v>172</v>
      </c>
      <c r="H150" t="s">
        <v>172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93">
        <v>2224907</v>
      </c>
    </row>
    <row r="151" spans="1:11" ht="18.75" customHeight="1" x14ac:dyDescent="0.35">
      <c r="A151" s="93">
        <v>2025</v>
      </c>
      <c r="B151" t="s">
        <v>174</v>
      </c>
      <c r="C151" s="100">
        <f>IF(OR(Fact_Control_Operaciones[[#This Row], [Año]]="",Fact_Control_Operaciones[[#This Row], [Mes]]=""),"",DATE(A151,MATCH(B151,{"enero","febrero","marzo","abril","mayo","junio","julio","agosto","septiembre","octubre","noviembre","diciembre"},0)+1,0))</f>
        <v>45716</v>
      </c>
      <c r="D151" t="s">
        <v>142</v>
      </c>
      <c r="E151" t="str">
        <f>+IFERROR(VLOOKUP(Fact_Control_Operaciones[[#This Row], [Concepto Anterior]],Conceptos_Control_Operaciones[#All],5,0),"")</f>
        <v>Gestion merma inventario</v>
      </c>
      <c r="F151" t="str">
        <f ca="1">+IFERROR(VLOOKUP(Fact_Control_Operaciones[[#This Row], [Concepto Anterior]],Conceptos_Control_Operaciones[#All],7,0),"")</f>
        <v/>
      </c>
      <c r="G151" t="s">
        <v>172</v>
      </c>
      <c r="H151" t="s">
        <v>172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93">
        <v>76629957</v>
      </c>
    </row>
    <row r="152" spans="1:11" ht="18.75" customHeight="1" x14ac:dyDescent="0.35">
      <c r="A152" s="93">
        <v>2025</v>
      </c>
      <c r="B152" t="s">
        <v>174</v>
      </c>
      <c r="C152" s="100">
        <f>IF(OR(Fact_Control_Operaciones[[#This Row], [Año]]="",Fact_Control_Operaciones[[#This Row], [Mes]]=""),"",DATE(A152,MATCH(B152,{"enero","febrero","marzo","abril","mayo","junio","julio","agosto","septiembre","octubre","noviembre","diciembre"},0)+1,0))</f>
        <v>45716</v>
      </c>
      <c r="D152" t="s">
        <v>86</v>
      </c>
      <c r="E152" t="str">
        <f>+IFERROR(VLOOKUP(Fact_Control_Operaciones[[#This Row], [Concepto Anterior]],Conceptos_Control_Operaciones[#All],5,0),"")</f>
        <v>Gestiones descuadres en caja</v>
      </c>
      <c r="F152" t="str">
        <f ca="1">+IFERROR(VLOOKUP(Fact_Control_Operaciones[[#This Row], [Concepto Anterior]],Conceptos_Control_Operaciones[#All],7,0),"")</f>
        <v/>
      </c>
      <c r="G152" t="s">
        <v>172</v>
      </c>
      <c r="H152" t="s">
        <v>172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93">
        <v>48</v>
      </c>
    </row>
    <row r="153" spans="1:11" ht="18.75" customHeight="1" x14ac:dyDescent="0.35">
      <c r="A153" s="93">
        <v>2025</v>
      </c>
      <c r="B153" t="s">
        <v>174</v>
      </c>
      <c r="C153" s="100">
        <f>IF(OR(Fact_Control_Operaciones[[#This Row], [Año]]="",Fact_Control_Operaciones[[#This Row], [Mes]]=""),"",DATE(A153,MATCH(B153,{"enero","febrero","marzo","abril","mayo","junio","julio","agosto","septiembre","octubre","noviembre","diciembre"},0)+1,0))</f>
        <v>45716</v>
      </c>
      <c r="D153" t="s">
        <v>188</v>
      </c>
      <c r="E153" t="str">
        <f>+IFERROR(VLOOKUP(Fact_Control_Operaciones[[#This Row], [Concepto Anterior]],Conceptos_Control_Operaciones[#All],5,0),"")</f>
        <v>Inventarios fisicos​ GS Falabella</v>
      </c>
      <c r="F153" t="str">
        <f ca="1">+IFERROR(VLOOKUP(Fact_Control_Operaciones[[#This Row], [Concepto Anterior]],Conceptos_Control_Operaciones[#All],7,0),"")</f>
        <v/>
      </c>
      <c r="G153" t="s">
        <v>172</v>
      </c>
      <c r="H153" t="s">
        <v>172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93">
        <v>0</v>
      </c>
    </row>
    <row r="154" spans="1:11" ht="18.75" customHeight="1" x14ac:dyDescent="0.35">
      <c r="A154" s="93">
        <v>2025</v>
      </c>
      <c r="B154" t="s">
        <v>174</v>
      </c>
      <c r="C154" s="100">
        <f>IF(OR(Fact_Control_Operaciones[[#This Row], [Año]]="",Fact_Control_Operaciones[[#This Row], [Mes]]=""),"",DATE(A154,MATCH(B154,{"enero","febrero","marzo","abril","mayo","junio","julio","agosto","septiembre","octubre","noviembre","diciembre"},0)+1,0))</f>
        <v>45716</v>
      </c>
      <c r="D154" t="s">
        <v>189</v>
      </c>
      <c r="E154" t="str">
        <f>+IFERROR(VLOOKUP(Fact_Control_Operaciones[[#This Row], [Concepto Anterior]],Conceptos_Control_Operaciones[#All],5,0),"")</f>
        <v>Inventarios fisicos​ tiendas propias y franquicias</v>
      </c>
      <c r="F154" t="str">
        <f ca="1">+IFERROR(VLOOKUP(Fact_Control_Operaciones[[#This Row], [Concepto Anterior]],Conceptos_Control_Operaciones[#All],7,0),"")</f>
        <v/>
      </c>
      <c r="G154" t="s">
        <v>172</v>
      </c>
      <c r="H154" t="s">
        <v>172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93">
        <v>91</v>
      </c>
    </row>
    <row r="155" spans="1:11" ht="18.75" customHeight="1" x14ac:dyDescent="0.35">
      <c r="A155" s="93">
        <v>2025</v>
      </c>
      <c r="B155" t="s">
        <v>174</v>
      </c>
      <c r="C155" s="100">
        <f>IF(OR(Fact_Control_Operaciones[[#This Row], [Año]]="",Fact_Control_Operaciones[[#This Row], [Mes]]=""),"",DATE(A155,MATCH(B155,{"enero","febrero","marzo","abril","mayo","junio","julio","agosto","septiembre","octubre","noviembre","diciembre"},0)+1,0))</f>
        <v>45716</v>
      </c>
      <c r="D155" t="s">
        <v>190</v>
      </c>
      <c r="E155" t="str">
        <f>+IFERROR(VLOOKUP(Fact_Control_Operaciones[[#This Row], [Concepto Anterior]],Conceptos_Control_Operaciones[#All],5,0),"")</f>
        <v>Paz y Salvo Retiros​</v>
      </c>
      <c r="F155" t="str">
        <f ca="1">+IFERROR(VLOOKUP(Fact_Control_Operaciones[[#This Row], [Concepto Anterior]],Conceptos_Control_Operaciones[#All],7,0),"")</f>
        <v/>
      </c>
      <c r="G155" t="s">
        <v>172</v>
      </c>
      <c r="H155" t="s">
        <v>172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93">
        <v>3</v>
      </c>
    </row>
    <row r="156" spans="1:11" ht="18.75" customHeight="1" x14ac:dyDescent="0.35">
      <c r="A156" s="93">
        <v>2025</v>
      </c>
      <c r="B156" t="s">
        <v>174</v>
      </c>
      <c r="C156" s="100">
        <f>IF(OR(Fact_Control_Operaciones[[#This Row], [Año]]="",Fact_Control_Operaciones[[#This Row], [Mes]]=""),"",DATE(A156,MATCH(B156,{"enero","febrero","marzo","abril","mayo","junio","julio","agosto","septiembre","octubre","noviembre","diciembre"},0)+1,0))</f>
        <v>45716</v>
      </c>
      <c r="D156" t="s">
        <v>90</v>
      </c>
      <c r="E156" t="str">
        <f>+IFERROR(VLOOKUP(Fact_Control_Operaciones[[#This Row], [Concepto Anterior]],Conceptos_Control_Operaciones[#All],5,0),"")</f>
        <v>Recuperaciones descuadres en caja</v>
      </c>
      <c r="F156" t="str">
        <f ca="1">+IFERROR(VLOOKUP(Fact_Control_Operaciones[[#This Row], [Concepto Anterior]],Conceptos_Control_Operaciones[#All],7,0),"")</f>
        <v/>
      </c>
      <c r="G156" t="s">
        <v>172</v>
      </c>
      <c r="H156" t="s">
        <v>172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93">
        <v>324129</v>
      </c>
    </row>
    <row r="157" spans="1:11" ht="18.75" customHeight="1" x14ac:dyDescent="0.35">
      <c r="A157" s="93">
        <v>2025</v>
      </c>
      <c r="B157" t="s">
        <v>174</v>
      </c>
      <c r="C157" s="100">
        <f>IF(OR(Fact_Control_Operaciones[[#This Row], [Año]]="",Fact_Control_Operaciones[[#This Row], [Mes]]=""),"",DATE(A157,MATCH(B157,{"enero","febrero","marzo","abril","mayo","junio","julio","agosto","septiembre","octubre","noviembre","diciembre"},0)+1,0))</f>
        <v>45716</v>
      </c>
      <c r="D157" t="s">
        <v>84</v>
      </c>
      <c r="E157" t="str">
        <f>+IFERROR(VLOOKUP(Fact_Control_Operaciones[[#This Row], [Concepto Anterior]],Conceptos_Control_Operaciones[#All],5,0),"")</f>
        <v>Tickets mesa de servicio</v>
      </c>
      <c r="F157" t="str">
        <f ca="1">+IFERROR(VLOOKUP(Fact_Control_Operaciones[[#This Row], [Concepto Anterior]],Conceptos_Control_Operaciones[#All],7,0),"")</f>
        <v/>
      </c>
      <c r="G157" t="s">
        <v>172</v>
      </c>
      <c r="H157" t="s">
        <v>172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93">
        <v>0</v>
      </c>
    </row>
    <row r="158" spans="1:11" ht="18.75" customHeight="1" x14ac:dyDescent="0.35">
      <c r="A158" s="93">
        <v>2025</v>
      </c>
      <c r="B158" t="s">
        <v>175</v>
      </c>
      <c r="C158" s="100">
        <f>IF(OR(Fact_Control_Operaciones[[#This Row], [Año]]="",Fact_Control_Operaciones[[#This Row], [Mes]]=""),"",DATE(A158,MATCH(B158,{"enero","febrero","marzo","abril","mayo","junio","julio","agosto","septiembre","octubre","noviembre","diciembre"},0)+1,0))</f>
        <v>45747</v>
      </c>
      <c r="D158" t="s">
        <v>186</v>
      </c>
      <c r="E158" t="str">
        <f>+IFERROR(VLOOKUP(Fact_Control_Operaciones[[#This Row], [Concepto Anterior]],Conceptos_Control_Operaciones[#All],5,0),"")</f>
        <v>Arqueos​</v>
      </c>
      <c r="F158" t="str">
        <f ca="1">+IFERROR(VLOOKUP(Fact_Control_Operaciones[[#This Row], [Concepto Anterior]],Conceptos_Control_Operaciones[#All],7,0),"")</f>
        <v/>
      </c>
      <c r="G158" t="s">
        <v>172</v>
      </c>
      <c r="H158" t="s">
        <v>172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93">
        <v>254</v>
      </c>
    </row>
    <row r="159" spans="1:11" ht="18.75" customHeight="1" x14ac:dyDescent="0.35">
      <c r="A159" s="93">
        <v>2025</v>
      </c>
      <c r="B159" t="s">
        <v>175</v>
      </c>
      <c r="C159" s="100">
        <f>IF(OR(Fact_Control_Operaciones[[#This Row], [Año]]="",Fact_Control_Operaciones[[#This Row], [Mes]]=""),"",DATE(A159,MATCH(B159,{"enero","febrero","marzo","abril","mayo","junio","julio","agosto","septiembre","octubre","noviembre","diciembre"},0)+1,0))</f>
        <v>45747</v>
      </c>
      <c r="D159" t="s">
        <v>191</v>
      </c>
      <c r="E159" t="str">
        <f>+IFERROR(VLOOKUP(Fact_Control_Operaciones[[#This Row], [Concepto Anterior]],Conceptos_Control_Operaciones[#All],5,0),"")</f>
        <v>Cantidad de Inventarios cíclicos</v>
      </c>
      <c r="F159" t="str">
        <f ca="1">+IFERROR(VLOOKUP(Fact_Control_Operaciones[[#This Row], [Concepto Anterior]],Conceptos_Control_Operaciones[#All],7,0),"")</f>
        <v/>
      </c>
      <c r="G159" t="s">
        <v>172</v>
      </c>
      <c r="H159" t="s">
        <v>172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93">
        <v>10</v>
      </c>
    </row>
    <row r="160" spans="1:11" ht="18.75" customHeight="1" x14ac:dyDescent="0.35">
      <c r="A160" s="93">
        <v>2025</v>
      </c>
      <c r="B160" t="s">
        <v>175</v>
      </c>
      <c r="C160" s="100">
        <f>IF(OR(Fact_Control_Operaciones[[#This Row], [Año]]="",Fact_Control_Operaciones[[#This Row], [Mes]]=""),"",DATE(A160,MATCH(B160,{"enero","febrero","marzo","abril","mayo","junio","julio","agosto","septiembre","octubre","noviembre","diciembre"},0)+1,0))</f>
        <v>45747</v>
      </c>
      <c r="D160" t="s">
        <v>187</v>
      </c>
      <c r="E160" t="str">
        <f>+IFERROR(VLOOKUP(Fact_Control_Operaciones[[#This Row], [Concepto Anterior]],Conceptos_Control_Operaciones[#All],5,0),"")</f>
        <v>Capacitaciones</v>
      </c>
      <c r="F160" t="str">
        <f ca="1">+IFERROR(VLOOKUP(Fact_Control_Operaciones[[#This Row], [Concepto Anterior]],Conceptos_Control_Operaciones[#All],7,0),"")</f>
        <v/>
      </c>
      <c r="G160" t="s">
        <v>172</v>
      </c>
      <c r="H160" t="s">
        <v>172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93">
        <v>18</v>
      </c>
    </row>
    <row r="161" spans="1:11" ht="18.75" customHeight="1" x14ac:dyDescent="0.35">
      <c r="A161" s="93">
        <v>2025</v>
      </c>
      <c r="B161" t="s">
        <v>175</v>
      </c>
      <c r="C161" s="100">
        <f>IF(OR(Fact_Control_Operaciones[[#This Row], [Año]]="",Fact_Control_Operaciones[[#This Row], [Mes]]=""),"",DATE(A161,MATCH(B161,{"enero","febrero","marzo","abril","mayo","junio","julio","agosto","septiembre","octubre","noviembre","diciembre"},0)+1,0))</f>
        <v>45747</v>
      </c>
      <c r="D161" t="s">
        <v>85</v>
      </c>
      <c r="E161" t="str">
        <f>+IFERROR(VLOOKUP(Fact_Control_Operaciones[[#This Row], [Concepto Anterior]],Conceptos_Control_Operaciones[#All],5,0),"")</f>
        <v>Causación y Política Caja Menor​</v>
      </c>
      <c r="F161" t="str">
        <f ca="1">+IFERROR(VLOOKUP(Fact_Control_Operaciones[[#This Row], [Concepto Anterior]],Conceptos_Control_Operaciones[#All],7,0),"")</f>
        <v/>
      </c>
      <c r="G161" t="s">
        <v>172</v>
      </c>
      <c r="H161" t="s">
        <v>172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93">
        <v>531</v>
      </c>
    </row>
    <row r="162" spans="1:11" ht="18.75" customHeight="1" x14ac:dyDescent="0.35">
      <c r="A162" s="93">
        <v>2025</v>
      </c>
      <c r="B162" t="s">
        <v>175</v>
      </c>
      <c r="C162" s="100">
        <f>IF(OR(Fact_Control_Operaciones[[#This Row], [Año]]="",Fact_Control_Operaciones[[#This Row], [Mes]]=""),"",DATE(A162,MATCH(B162,{"enero","febrero","marzo","abril","mayo","junio","julio","agosto","septiembre","octubre","noviembre","diciembre"},0)+1,0))</f>
        <v>45747</v>
      </c>
      <c r="D162" t="s">
        <v>139</v>
      </c>
      <c r="E162" t="str">
        <f>+IFERROR(VLOOKUP(Fact_Control_Operaciones[[#This Row], [Concepto Anterior]],Conceptos_Control_Operaciones[#All],5,0),"")</f>
        <v>Dinero recuperado de viajes- tomas fisicas RGIS</v>
      </c>
      <c r="F162" t="str">
        <f ca="1">+IFERROR(VLOOKUP(Fact_Control_Operaciones[[#This Row], [Concepto Anterior]],Conceptos_Control_Operaciones[#All],7,0),"")</f>
        <v/>
      </c>
      <c r="G162" t="s">
        <v>172</v>
      </c>
      <c r="H162" t="s">
        <v>172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175</v>
      </c>
      <c r="C163" s="100">
        <f>IF(OR(Fact_Control_Operaciones[[#This Row], [Año]]="",Fact_Control_Operaciones[[#This Row], [Mes]]=""),"",DATE(A163,MATCH(B163,{"enero","febrero","marzo","abril","mayo","junio","julio","agosto","septiembre","octubre","noviembre","diciembre"},0)+1,0))</f>
        <v>45747</v>
      </c>
      <c r="D163" t="s">
        <v>110</v>
      </c>
      <c r="E163" t="str">
        <f>+IFERROR(VLOOKUP(Fact_Control_Operaciones[[#This Row], [Concepto Anterior]],Conceptos_Control_Operaciones[#All],5,0),"")</f>
        <v>Gasto caja menor deducible</v>
      </c>
      <c r="F163" t="str">
        <f ca="1">+IFERROR(VLOOKUP(Fact_Control_Operaciones[[#This Row], [Concepto Anterior]],Conceptos_Control_Operaciones[#All],7,0),"")</f>
        <v/>
      </c>
      <c r="G163" t="s">
        <v>172</v>
      </c>
      <c r="H163" t="s">
        <v>172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93">
        <v>35835250</v>
      </c>
    </row>
    <row r="164" spans="1:11" ht="18.75" customHeight="1" x14ac:dyDescent="0.35">
      <c r="A164" s="93">
        <v>2025</v>
      </c>
      <c r="B164" t="s">
        <v>175</v>
      </c>
      <c r="C164" s="100">
        <f>IF(OR(Fact_Control_Operaciones[[#This Row], [Año]]="",Fact_Control_Operaciones[[#This Row], [Mes]]=""),"",DATE(A164,MATCH(B164,{"enero","febrero","marzo","abril","mayo","junio","julio","agosto","septiembre","octubre","noviembre","diciembre"},0)+1,0))</f>
        <v>45747</v>
      </c>
      <c r="D164" t="s">
        <v>109</v>
      </c>
      <c r="E164" t="str">
        <f>+IFERROR(VLOOKUP(Fact_Control_Operaciones[[#This Row], [Concepto Anterior]],Conceptos_Control_Operaciones[#All],5,0),"")</f>
        <v>Gasto caja menor no deducible</v>
      </c>
      <c r="F164" t="str">
        <f ca="1">+IFERROR(VLOOKUP(Fact_Control_Operaciones[[#This Row], [Concepto Anterior]],Conceptos_Control_Operaciones[#All],7,0),"")</f>
        <v/>
      </c>
      <c r="G164" t="s">
        <v>172</v>
      </c>
      <c r="H164" t="s">
        <v>172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93">
        <v>2154030</v>
      </c>
    </row>
    <row r="165" spans="1:11" ht="18.75" customHeight="1" x14ac:dyDescent="0.35">
      <c r="A165" s="93">
        <v>2025</v>
      </c>
      <c r="B165" t="s">
        <v>175</v>
      </c>
      <c r="C165" s="100">
        <f>IF(OR(Fact_Control_Operaciones[[#This Row], [Año]]="",Fact_Control_Operaciones[[#This Row], [Mes]]=""),"",DATE(A165,MATCH(B165,{"enero","febrero","marzo","abril","mayo","junio","julio","agosto","septiembre","octubre","noviembre","diciembre"},0)+1,0))</f>
        <v>45747</v>
      </c>
      <c r="D165" t="s">
        <v>142</v>
      </c>
      <c r="E165" t="str">
        <f>+IFERROR(VLOOKUP(Fact_Control_Operaciones[[#This Row], [Concepto Anterior]],Conceptos_Control_Operaciones[#All],5,0),"")</f>
        <v>Gestion merma inventario</v>
      </c>
      <c r="F165" t="str">
        <f ca="1">+IFERROR(VLOOKUP(Fact_Control_Operaciones[[#This Row], [Concepto Anterior]],Conceptos_Control_Operaciones[#All],7,0),"")</f>
        <v/>
      </c>
      <c r="G165" t="s">
        <v>172</v>
      </c>
      <c r="H165" t="s">
        <v>172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93">
        <v>104023403</v>
      </c>
    </row>
    <row r="166" spans="1:11" ht="18.75" customHeight="1" x14ac:dyDescent="0.35">
      <c r="A166" s="93">
        <v>2025</v>
      </c>
      <c r="B166" t="s">
        <v>175</v>
      </c>
      <c r="C166" s="100">
        <f>IF(OR(Fact_Control_Operaciones[[#This Row], [Año]]="",Fact_Control_Operaciones[[#This Row], [Mes]]=""),"",DATE(A166,MATCH(B166,{"enero","febrero","marzo","abril","mayo","junio","julio","agosto","septiembre","octubre","noviembre","diciembre"},0)+1,0))</f>
        <v>45747</v>
      </c>
      <c r="D166" t="s">
        <v>86</v>
      </c>
      <c r="E166" t="str">
        <f>+IFERROR(VLOOKUP(Fact_Control_Operaciones[[#This Row], [Concepto Anterior]],Conceptos_Control_Operaciones[#All],5,0),"")</f>
        <v>Gestiones descuadres en caja</v>
      </c>
      <c r="F166" t="str">
        <f ca="1">+IFERROR(VLOOKUP(Fact_Control_Operaciones[[#This Row], [Concepto Anterior]],Conceptos_Control_Operaciones[#All],7,0),"")</f>
        <v/>
      </c>
      <c r="G166" t="s">
        <v>172</v>
      </c>
      <c r="H166" t="s">
        <v>172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93">
        <v>42</v>
      </c>
    </row>
    <row r="167" spans="1:11" ht="18.75" customHeight="1" x14ac:dyDescent="0.35">
      <c r="A167" s="93">
        <v>2025</v>
      </c>
      <c r="B167" t="s">
        <v>175</v>
      </c>
      <c r="C167" s="100">
        <f>IF(OR(Fact_Control_Operaciones[[#This Row], [Año]]="",Fact_Control_Operaciones[[#This Row], [Mes]]=""),"",DATE(A167,MATCH(B167,{"enero","febrero","marzo","abril","mayo","junio","julio","agosto","septiembre","octubre","noviembre","diciembre"},0)+1,0))</f>
        <v>45747</v>
      </c>
      <c r="D167" t="s">
        <v>188</v>
      </c>
      <c r="E167" t="str">
        <f>+IFERROR(VLOOKUP(Fact_Control_Operaciones[[#This Row], [Concepto Anterior]],Conceptos_Control_Operaciones[#All],5,0),"")</f>
        <v>Inventarios fisicos​ GS Falabella</v>
      </c>
      <c r="F167" t="str">
        <f ca="1">+IFERROR(VLOOKUP(Fact_Control_Operaciones[[#This Row], [Concepto Anterior]],Conceptos_Control_Operaciones[#All],7,0),"")</f>
        <v/>
      </c>
      <c r="G167" t="s">
        <v>172</v>
      </c>
      <c r="H167" t="s">
        <v>172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93">
        <v>5</v>
      </c>
    </row>
    <row r="168" spans="1:11" ht="18.75" customHeight="1" x14ac:dyDescent="0.35">
      <c r="A168" s="93">
        <v>2025</v>
      </c>
      <c r="B168" t="s">
        <v>175</v>
      </c>
      <c r="C168" s="100">
        <f>IF(OR(Fact_Control_Operaciones[[#This Row], [Año]]="",Fact_Control_Operaciones[[#This Row], [Mes]]=""),"",DATE(A168,MATCH(B168,{"enero","febrero","marzo","abril","mayo","junio","julio","agosto","septiembre","octubre","noviembre","diciembre"},0)+1,0))</f>
        <v>45747</v>
      </c>
      <c r="D168" t="s">
        <v>189</v>
      </c>
      <c r="E168" t="str">
        <f>+IFERROR(VLOOKUP(Fact_Control_Operaciones[[#This Row], [Concepto Anterior]],Conceptos_Control_Operaciones[#All],5,0),"")</f>
        <v>Inventarios fisicos​ tiendas propias y franquicias</v>
      </c>
      <c r="F168" t="str">
        <f ca="1">+IFERROR(VLOOKUP(Fact_Control_Operaciones[[#This Row], [Concepto Anterior]],Conceptos_Control_Operaciones[#All],7,0),"")</f>
        <v/>
      </c>
      <c r="G168" t="s">
        <v>172</v>
      </c>
      <c r="H168" t="s">
        <v>172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93">
        <v>94</v>
      </c>
    </row>
    <row r="169" spans="1:11" ht="18.75" customHeight="1" x14ac:dyDescent="0.35">
      <c r="A169" s="93">
        <v>2025</v>
      </c>
      <c r="B169" t="s">
        <v>175</v>
      </c>
      <c r="C169" s="100">
        <f>IF(OR(Fact_Control_Operaciones[[#This Row], [Año]]="",Fact_Control_Operaciones[[#This Row], [Mes]]=""),"",DATE(A169,MATCH(B169,{"enero","febrero","marzo","abril","mayo","junio","julio","agosto","septiembre","octubre","noviembre","diciembre"},0)+1,0))</f>
        <v>45747</v>
      </c>
      <c r="D169" t="s">
        <v>190</v>
      </c>
      <c r="E169" t="str">
        <f>+IFERROR(VLOOKUP(Fact_Control_Operaciones[[#This Row], [Concepto Anterior]],Conceptos_Control_Operaciones[#All],5,0),"")</f>
        <v>Paz y Salvo Retiros​</v>
      </c>
      <c r="F169" t="str">
        <f ca="1">+IFERROR(VLOOKUP(Fact_Control_Operaciones[[#This Row], [Concepto Anterior]],Conceptos_Control_Operaciones[#All],7,0),"")</f>
        <v/>
      </c>
      <c r="G169" t="s">
        <v>172</v>
      </c>
      <c r="H169" t="s">
        <v>172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93">
        <v>7</v>
      </c>
    </row>
    <row r="170" spans="1:11" ht="18.75" customHeight="1" x14ac:dyDescent="0.35">
      <c r="A170" s="93">
        <v>2025</v>
      </c>
      <c r="B170" t="s">
        <v>175</v>
      </c>
      <c r="C170" s="100">
        <f>IF(OR(Fact_Control_Operaciones[[#This Row], [Año]]="",Fact_Control_Operaciones[[#This Row], [Mes]]=""),"",DATE(A170,MATCH(B170,{"enero","febrero","marzo","abril","mayo","junio","julio","agosto","septiembre","octubre","noviembre","diciembre"},0)+1,0))</f>
        <v>45747</v>
      </c>
      <c r="D170" t="s">
        <v>90</v>
      </c>
      <c r="E170" t="str">
        <f>+IFERROR(VLOOKUP(Fact_Control_Operaciones[[#This Row], [Concepto Anterior]],Conceptos_Control_Operaciones[#All],5,0),"")</f>
        <v>Recuperaciones descuadres en caja</v>
      </c>
      <c r="F170" t="str">
        <f ca="1">+IFERROR(VLOOKUP(Fact_Control_Operaciones[[#This Row], [Concepto Anterior]],Conceptos_Control_Operaciones[#All],7,0),"")</f>
        <v/>
      </c>
      <c r="G170" t="s">
        <v>172</v>
      </c>
      <c r="H170" t="s">
        <v>172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93">
        <v>178153</v>
      </c>
    </row>
    <row r="171" spans="1:11" ht="18.75" customHeight="1" x14ac:dyDescent="0.35">
      <c r="A171" s="93">
        <v>2025</v>
      </c>
      <c r="B171" t="s">
        <v>175</v>
      </c>
      <c r="C171" s="100">
        <f>IF(OR(Fact_Control_Operaciones[[#This Row], [Año]]="",Fact_Control_Operaciones[[#This Row], [Mes]]=""),"",DATE(A171,MATCH(B171,{"enero","febrero","marzo","abril","mayo","junio","julio","agosto","septiembre","octubre","noviembre","diciembre"},0)+1,0))</f>
        <v>45747</v>
      </c>
      <c r="D171" t="s">
        <v>84</v>
      </c>
      <c r="E171" t="str">
        <f>+IFERROR(VLOOKUP(Fact_Control_Operaciones[[#This Row], [Concepto Anterior]],Conceptos_Control_Operaciones[#All],5,0),"")</f>
        <v>Tickets mesa de servicio</v>
      </c>
      <c r="F171" t="str">
        <f ca="1">+IFERROR(VLOOKUP(Fact_Control_Operaciones[[#This Row], [Concepto Anterior]],Conceptos_Control_Operaciones[#All],7,0),"")</f>
        <v/>
      </c>
      <c r="G171" t="s">
        <v>172</v>
      </c>
      <c r="H171" t="s">
        <v>172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176</v>
      </c>
      <c r="C172" s="100">
        <f>IF(OR(Fact_Control_Operaciones[[#This Row], [Año]]="",Fact_Control_Operaciones[[#This Row], [Mes]]=""),"",DATE(A172,MATCH(B172,{"enero","febrero","marzo","abril","mayo","junio","julio","agosto","septiembre","octubre","noviembre","diciembre"},0)+1,0))</f>
        <v>45777</v>
      </c>
      <c r="D172" t="s">
        <v>186</v>
      </c>
      <c r="E172" t="str">
        <f>+IFERROR(VLOOKUP(Fact_Control_Operaciones[[#This Row], [Concepto Anterior]],Conceptos_Control_Operaciones[#All],5,0),"")</f>
        <v>Arqueos​</v>
      </c>
      <c r="F172" t="str">
        <f ca="1">+IFERROR(VLOOKUP(Fact_Control_Operaciones[[#This Row], [Concepto Anterior]],Conceptos_Control_Operaciones[#All],7,0),"")</f>
        <v/>
      </c>
      <c r="G172" t="s">
        <v>172</v>
      </c>
      <c r="H172" t="s">
        <v>172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93">
        <v>278</v>
      </c>
    </row>
    <row r="173" spans="1:11" ht="18.75" customHeight="1" x14ac:dyDescent="0.35">
      <c r="A173" s="93">
        <v>2025</v>
      </c>
      <c r="B173" t="s">
        <v>176</v>
      </c>
      <c r="C173" s="100">
        <f>IF(OR(Fact_Control_Operaciones[[#This Row], [Año]]="",Fact_Control_Operaciones[[#This Row], [Mes]]=""),"",DATE(A173,MATCH(B173,{"enero","febrero","marzo","abril","mayo","junio","julio","agosto","septiembre","octubre","noviembre","diciembre"},0)+1,0))</f>
        <v>45777</v>
      </c>
      <c r="D173" t="s">
        <v>191</v>
      </c>
      <c r="E173" t="str">
        <f>+IFERROR(VLOOKUP(Fact_Control_Operaciones[[#This Row], [Concepto Anterior]],Conceptos_Control_Operaciones[#All],5,0),"")</f>
        <v>Cantidad de Inventarios cíclicos</v>
      </c>
      <c r="F173" t="str">
        <f ca="1">+IFERROR(VLOOKUP(Fact_Control_Operaciones[[#This Row], [Concepto Anterior]],Conceptos_Control_Operaciones[#All],7,0),"")</f>
        <v/>
      </c>
      <c r="G173" t="s">
        <v>172</v>
      </c>
      <c r="H173" t="s">
        <v>172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93">
        <v>13</v>
      </c>
    </row>
    <row r="174" spans="1:11" ht="18.75" customHeight="1" x14ac:dyDescent="0.35">
      <c r="A174" s="93">
        <v>2025</v>
      </c>
      <c r="B174" t="s">
        <v>176</v>
      </c>
      <c r="C174" s="100">
        <f>IF(OR(Fact_Control_Operaciones[[#This Row], [Año]]="",Fact_Control_Operaciones[[#This Row], [Mes]]=""),"",DATE(A174,MATCH(B174,{"enero","febrero","marzo","abril","mayo","junio","julio","agosto","septiembre","octubre","noviembre","diciembre"},0)+1,0))</f>
        <v>45777</v>
      </c>
      <c r="D174" t="s">
        <v>187</v>
      </c>
      <c r="E174" t="str">
        <f>+IFERROR(VLOOKUP(Fact_Control_Operaciones[[#This Row], [Concepto Anterior]],Conceptos_Control_Operaciones[#All],5,0),"")</f>
        <v>Capacitaciones</v>
      </c>
      <c r="F174" t="str">
        <f ca="1">+IFERROR(VLOOKUP(Fact_Control_Operaciones[[#This Row], [Concepto Anterior]],Conceptos_Control_Operaciones[#All],7,0),"")</f>
        <v/>
      </c>
      <c r="G174" t="s">
        <v>172</v>
      </c>
      <c r="H174" t="s">
        <v>172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93">
        <v>10</v>
      </c>
    </row>
    <row r="175" spans="1:11" ht="18.75" customHeight="1" x14ac:dyDescent="0.35">
      <c r="A175" s="93">
        <v>2025</v>
      </c>
      <c r="B175" t="s">
        <v>176</v>
      </c>
      <c r="C175" s="100">
        <f>IF(OR(Fact_Control_Operaciones[[#This Row], [Año]]="",Fact_Control_Operaciones[[#This Row], [Mes]]=""),"",DATE(A175,MATCH(B175,{"enero","febrero","marzo","abril","mayo","junio","julio","agosto","septiembre","octubre","noviembre","diciembre"},0)+1,0))</f>
        <v>45777</v>
      </c>
      <c r="D175" t="s">
        <v>85</v>
      </c>
      <c r="E175" t="str">
        <f>+IFERROR(VLOOKUP(Fact_Control_Operaciones[[#This Row], [Concepto Anterior]],Conceptos_Control_Operaciones[#All],5,0),"")</f>
        <v>Causación y Política Caja Menor​</v>
      </c>
      <c r="F175" t="str">
        <f ca="1">+IFERROR(VLOOKUP(Fact_Control_Operaciones[[#This Row], [Concepto Anterior]],Conceptos_Control_Operaciones[#All],7,0),"")</f>
        <v/>
      </c>
      <c r="G175" t="s">
        <v>172</v>
      </c>
      <c r="H175" t="s">
        <v>172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93">
        <v>567</v>
      </c>
    </row>
    <row r="176" spans="1:11" ht="18.75" customHeight="1" x14ac:dyDescent="0.35">
      <c r="A176" s="93">
        <v>2025</v>
      </c>
      <c r="B176" t="s">
        <v>176</v>
      </c>
      <c r="C176" s="100">
        <f>IF(OR(Fact_Control_Operaciones[[#This Row], [Año]]="",Fact_Control_Operaciones[[#This Row], [Mes]]=""),"",DATE(A176,MATCH(B176,{"enero","febrero","marzo","abril","mayo","junio","julio","agosto","septiembre","octubre","noviembre","diciembre"},0)+1,0))</f>
        <v>45777</v>
      </c>
      <c r="D176" t="s">
        <v>139</v>
      </c>
      <c r="E176" t="str">
        <f>+IFERROR(VLOOKUP(Fact_Control_Operaciones[[#This Row], [Concepto Anterior]],Conceptos_Control_Operaciones[#All],5,0),"")</f>
        <v>Dinero recuperado de viajes- tomas fisicas RGIS</v>
      </c>
      <c r="F176" t="str">
        <f ca="1">+IFERROR(VLOOKUP(Fact_Control_Operaciones[[#This Row], [Concepto Anterior]],Conceptos_Control_Operaciones[#All],7,0),"")</f>
        <v/>
      </c>
      <c r="G176" t="s">
        <v>172</v>
      </c>
      <c r="H176" t="s">
        <v>172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93">
        <v>1492621</v>
      </c>
    </row>
    <row r="177" spans="1:11" ht="18.75" customHeight="1" x14ac:dyDescent="0.35">
      <c r="A177" s="93">
        <v>2025</v>
      </c>
      <c r="B177" t="s">
        <v>176</v>
      </c>
      <c r="C177" s="100">
        <f>IF(OR(Fact_Control_Operaciones[[#This Row], [Año]]="",Fact_Control_Operaciones[[#This Row], [Mes]]=""),"",DATE(A177,MATCH(B177,{"enero","febrero","marzo","abril","mayo","junio","julio","agosto","septiembre","octubre","noviembre","diciembre"},0)+1,0))</f>
        <v>45777</v>
      </c>
      <c r="D177" t="s">
        <v>110</v>
      </c>
      <c r="E177" t="str">
        <f>+IFERROR(VLOOKUP(Fact_Control_Operaciones[[#This Row], [Concepto Anterior]],Conceptos_Control_Operaciones[#All],5,0),"")</f>
        <v>Gasto caja menor deducible</v>
      </c>
      <c r="F177" t="str">
        <f ca="1">+IFERROR(VLOOKUP(Fact_Control_Operaciones[[#This Row], [Concepto Anterior]],Conceptos_Control_Operaciones[#All],7,0),"")</f>
        <v/>
      </c>
      <c r="G177" t="s">
        <v>172</v>
      </c>
      <c r="H177" t="s">
        <v>172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93">
        <v>39163406</v>
      </c>
    </row>
    <row r="178" spans="1:11" ht="18.75" customHeight="1" x14ac:dyDescent="0.35">
      <c r="A178" s="93">
        <v>2025</v>
      </c>
      <c r="B178" t="s">
        <v>176</v>
      </c>
      <c r="C178" s="100">
        <f>IF(OR(Fact_Control_Operaciones[[#This Row], [Año]]="",Fact_Control_Operaciones[[#This Row], [Mes]]=""),"",DATE(A178,MATCH(B178,{"enero","febrero","marzo","abril","mayo","junio","julio","agosto","septiembre","octubre","noviembre","diciembre"},0)+1,0))</f>
        <v>45777</v>
      </c>
      <c r="D178" t="s">
        <v>109</v>
      </c>
      <c r="E178" t="str">
        <f>+IFERROR(VLOOKUP(Fact_Control_Operaciones[[#This Row], [Concepto Anterior]],Conceptos_Control_Operaciones[#All],5,0),"")</f>
        <v>Gasto caja menor no deducible</v>
      </c>
      <c r="F178" t="str">
        <f ca="1">+IFERROR(VLOOKUP(Fact_Control_Operaciones[[#This Row], [Concepto Anterior]],Conceptos_Control_Operaciones[#All],7,0),"")</f>
        <v/>
      </c>
      <c r="G178" t="s">
        <v>172</v>
      </c>
      <c r="H178" t="s">
        <v>172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93">
        <v>1496608</v>
      </c>
    </row>
    <row r="179" spans="1:11" ht="18.75" customHeight="1" x14ac:dyDescent="0.35">
      <c r="A179" s="93">
        <v>2025</v>
      </c>
      <c r="B179" t="s">
        <v>176</v>
      </c>
      <c r="C179" s="100">
        <f>IF(OR(Fact_Control_Operaciones[[#This Row], [Año]]="",Fact_Control_Operaciones[[#This Row], [Mes]]=""),"",DATE(A179,MATCH(B179,{"enero","febrero","marzo","abril","mayo","junio","julio","agosto","septiembre","octubre","noviembre","diciembre"},0)+1,0))</f>
        <v>45777</v>
      </c>
      <c r="D179" t="s">
        <v>142</v>
      </c>
      <c r="E179" t="str">
        <f>+IFERROR(VLOOKUP(Fact_Control_Operaciones[[#This Row], [Concepto Anterior]],Conceptos_Control_Operaciones[#All],5,0),"")</f>
        <v>Gestion merma inventario</v>
      </c>
      <c r="F179" t="str">
        <f ca="1">+IFERROR(VLOOKUP(Fact_Control_Operaciones[[#This Row], [Concepto Anterior]],Conceptos_Control_Operaciones[#All],7,0),"")</f>
        <v/>
      </c>
      <c r="G179" t="s">
        <v>172</v>
      </c>
      <c r="H179" t="s">
        <v>172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93">
        <v>96715244</v>
      </c>
    </row>
    <row r="180" spans="1:11" ht="18.75" customHeight="1" x14ac:dyDescent="0.35">
      <c r="A180" s="93">
        <v>2025</v>
      </c>
      <c r="B180" t="s">
        <v>176</v>
      </c>
      <c r="C180" s="100">
        <f>IF(OR(Fact_Control_Operaciones[[#This Row], [Año]]="",Fact_Control_Operaciones[[#This Row], [Mes]]=""),"",DATE(A180,MATCH(B180,{"enero","febrero","marzo","abril","mayo","junio","julio","agosto","septiembre","octubre","noviembre","diciembre"},0)+1,0))</f>
        <v>45777</v>
      </c>
      <c r="D180" t="s">
        <v>86</v>
      </c>
      <c r="E180" t="str">
        <f>+IFERROR(VLOOKUP(Fact_Control_Operaciones[[#This Row], [Concepto Anterior]],Conceptos_Control_Operaciones[#All],5,0),"")</f>
        <v>Gestiones descuadres en caja</v>
      </c>
      <c r="F180" t="str">
        <f ca="1">+IFERROR(VLOOKUP(Fact_Control_Operaciones[[#This Row], [Concepto Anterior]],Conceptos_Control_Operaciones[#All],7,0),"")</f>
        <v/>
      </c>
      <c r="G180" t="s">
        <v>172</v>
      </c>
      <c r="H180" t="s">
        <v>172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93">
        <v>38</v>
      </c>
    </row>
    <row r="181" spans="1:11" ht="18.75" customHeight="1" x14ac:dyDescent="0.35">
      <c r="A181" s="93">
        <v>2025</v>
      </c>
      <c r="B181" t="s">
        <v>176</v>
      </c>
      <c r="C181" s="100">
        <f>IF(OR(Fact_Control_Operaciones[[#This Row], [Año]]="",Fact_Control_Operaciones[[#This Row], [Mes]]=""),"",DATE(A181,MATCH(B181,{"enero","febrero","marzo","abril","mayo","junio","julio","agosto","septiembre","octubre","noviembre","diciembre"},0)+1,0))</f>
        <v>45777</v>
      </c>
      <c r="D181" t="s">
        <v>188</v>
      </c>
      <c r="E181" t="str">
        <f>+IFERROR(VLOOKUP(Fact_Control_Operaciones[[#This Row], [Concepto Anterior]],Conceptos_Control_Operaciones[#All],5,0),"")</f>
        <v>Inventarios fisicos​ GS Falabella</v>
      </c>
      <c r="F181" t="str">
        <f ca="1">+IFERROR(VLOOKUP(Fact_Control_Operaciones[[#This Row], [Concepto Anterior]],Conceptos_Control_Operaciones[#All],7,0),"")</f>
        <v/>
      </c>
      <c r="G181" t="s">
        <v>172</v>
      </c>
      <c r="H181" t="s">
        <v>172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93">
        <v>5</v>
      </c>
    </row>
    <row r="182" spans="1:11" ht="18.75" customHeight="1" x14ac:dyDescent="0.35">
      <c r="A182" s="93">
        <v>2025</v>
      </c>
      <c r="B182" t="s">
        <v>176</v>
      </c>
      <c r="C182" s="100">
        <f>IF(OR(Fact_Control_Operaciones[[#This Row], [Año]]="",Fact_Control_Operaciones[[#This Row], [Mes]]=""),"",DATE(A182,MATCH(B182,{"enero","febrero","marzo","abril","mayo","junio","julio","agosto","septiembre","octubre","noviembre","diciembre"},0)+1,0))</f>
        <v>45777</v>
      </c>
      <c r="D182" t="s">
        <v>189</v>
      </c>
      <c r="E182" t="str">
        <f>+IFERROR(VLOOKUP(Fact_Control_Operaciones[[#This Row], [Concepto Anterior]],Conceptos_Control_Operaciones[#All],5,0),"")</f>
        <v>Inventarios fisicos​ tiendas propias y franquicias</v>
      </c>
      <c r="F182" t="str">
        <f ca="1">+IFERROR(VLOOKUP(Fact_Control_Operaciones[[#This Row], [Concepto Anterior]],Conceptos_Control_Operaciones[#All],7,0),"")</f>
        <v/>
      </c>
      <c r="G182" t="s">
        <v>172</v>
      </c>
      <c r="H182" t="s">
        <v>172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93">
        <v>55</v>
      </c>
    </row>
    <row r="183" spans="1:11" ht="18.75" customHeight="1" x14ac:dyDescent="0.35">
      <c r="A183" s="93">
        <v>2025</v>
      </c>
      <c r="B183" t="s">
        <v>176</v>
      </c>
      <c r="C183" s="100">
        <f>IF(OR(Fact_Control_Operaciones[[#This Row], [Año]]="",Fact_Control_Operaciones[[#This Row], [Mes]]=""),"",DATE(A183,MATCH(B183,{"enero","febrero","marzo","abril","mayo","junio","julio","agosto","septiembre","octubre","noviembre","diciembre"},0)+1,0))</f>
        <v>45777</v>
      </c>
      <c r="D183" t="s">
        <v>190</v>
      </c>
      <c r="E183" t="str">
        <f>+IFERROR(VLOOKUP(Fact_Control_Operaciones[[#This Row], [Concepto Anterior]],Conceptos_Control_Operaciones[#All],5,0),"")</f>
        <v>Paz y Salvo Retiros​</v>
      </c>
      <c r="F183" t="str">
        <f ca="1">+IFERROR(VLOOKUP(Fact_Control_Operaciones[[#This Row], [Concepto Anterior]],Conceptos_Control_Operaciones[#All],7,0),"")</f>
        <v/>
      </c>
      <c r="G183" t="s">
        <v>172</v>
      </c>
      <c r="H183" t="s">
        <v>172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93">
        <v>1</v>
      </c>
    </row>
    <row r="184" spans="1:11" ht="18.75" customHeight="1" x14ac:dyDescent="0.35">
      <c r="A184" s="93">
        <v>2025</v>
      </c>
      <c r="B184" t="s">
        <v>176</v>
      </c>
      <c r="C184" s="100">
        <f>IF(OR(Fact_Control_Operaciones[[#This Row], [Año]]="",Fact_Control_Operaciones[[#This Row], [Mes]]=""),"",DATE(A184,MATCH(B184,{"enero","febrero","marzo","abril","mayo","junio","julio","agosto","septiembre","octubre","noviembre","diciembre"},0)+1,0))</f>
        <v>45777</v>
      </c>
      <c r="D184" t="s">
        <v>90</v>
      </c>
      <c r="E184" t="str">
        <f>+IFERROR(VLOOKUP(Fact_Control_Operaciones[[#This Row], [Concepto Anterior]],Conceptos_Control_Operaciones[#All],5,0),"")</f>
        <v>Recuperaciones descuadres en caja</v>
      </c>
      <c r="F184" t="str">
        <f ca="1">+IFERROR(VLOOKUP(Fact_Control_Operaciones[[#This Row], [Concepto Anterior]],Conceptos_Control_Operaciones[#All],7,0),"")</f>
        <v/>
      </c>
      <c r="G184" t="s">
        <v>172</v>
      </c>
      <c r="H184" t="s">
        <v>172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93">
        <v>137005</v>
      </c>
    </row>
    <row r="185" spans="1:11" ht="18.75" customHeight="1" x14ac:dyDescent="0.35">
      <c r="A185" s="93">
        <v>2025</v>
      </c>
      <c r="B185" t="s">
        <v>176</v>
      </c>
      <c r="C185" s="100">
        <f>IF(OR(Fact_Control_Operaciones[[#This Row], [Año]]="",Fact_Control_Operaciones[[#This Row], [Mes]]=""),"",DATE(A185,MATCH(B185,{"enero","febrero","marzo","abril","mayo","junio","julio","agosto","septiembre","octubre","noviembre","diciembre"},0)+1,0))</f>
        <v>45777</v>
      </c>
      <c r="D185" t="s">
        <v>84</v>
      </c>
      <c r="E185" t="str">
        <f>+IFERROR(VLOOKUP(Fact_Control_Operaciones[[#This Row], [Concepto Anterior]],Conceptos_Control_Operaciones[#All],5,0),"")</f>
        <v>Tickets mesa de servicio</v>
      </c>
      <c r="F185" t="str">
        <f ca="1">+IFERROR(VLOOKUP(Fact_Control_Operaciones[[#This Row], [Concepto Anterior]],Conceptos_Control_Operaciones[#All],7,0),"")</f>
        <v/>
      </c>
      <c r="G185" t="s">
        <v>172</v>
      </c>
      <c r="H185" t="s">
        <v>172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93">
        <v>0</v>
      </c>
    </row>
    <row r="186" spans="1:11" ht="18.75" customHeight="1" x14ac:dyDescent="0.35">
      <c r="A186" s="93">
        <v>2025</v>
      </c>
      <c r="B186" t="s">
        <v>177</v>
      </c>
      <c r="C186" s="100">
        <f>IF(OR(Fact_Control_Operaciones[[#This Row], [Año]]="",Fact_Control_Operaciones[[#This Row], [Mes]]=""),"",DATE(A186,MATCH(B186,{"enero","febrero","marzo","abril","mayo","junio","julio","agosto","septiembre","octubre","noviembre","diciembre"},0)+1,0))</f>
        <v>45808</v>
      </c>
      <c r="D186" t="s">
        <v>186</v>
      </c>
      <c r="E186" t="str">
        <f>+IFERROR(VLOOKUP(Fact_Control_Operaciones[[#This Row], [Concepto Anterior]],Conceptos_Control_Operaciones[#All],5,0),"")</f>
        <v>Arqueos​</v>
      </c>
      <c r="F186" t="str">
        <f ca="1">+IFERROR(VLOOKUP(Fact_Control_Operaciones[[#This Row], [Concepto Anterior]],Conceptos_Control_Operaciones[#All],7,0),"")</f>
        <v/>
      </c>
      <c r="G186" t="s">
        <v>172</v>
      </c>
      <c r="H186" t="s">
        <v>172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93">
        <v>287</v>
      </c>
    </row>
    <row r="187" spans="1:11" ht="18.75" customHeight="1" x14ac:dyDescent="0.35">
      <c r="A187" s="93">
        <v>2025</v>
      </c>
      <c r="B187" t="s">
        <v>177</v>
      </c>
      <c r="C187" s="100">
        <f>IF(OR(Fact_Control_Operaciones[[#This Row], [Año]]="",Fact_Control_Operaciones[[#This Row], [Mes]]=""),"",DATE(A187,MATCH(B187,{"enero","febrero","marzo","abril","mayo","junio","julio","agosto","septiembre","octubre","noviembre","diciembre"},0)+1,0))</f>
        <v>45808</v>
      </c>
      <c r="D187" t="s">
        <v>191</v>
      </c>
      <c r="E187" t="str">
        <f>+IFERROR(VLOOKUP(Fact_Control_Operaciones[[#This Row], [Concepto Anterior]],Conceptos_Control_Operaciones[#All],5,0),"")</f>
        <v>Cantidad de Inventarios cíclicos</v>
      </c>
      <c r="F187" t="str">
        <f ca="1">+IFERROR(VLOOKUP(Fact_Control_Operaciones[[#This Row], [Concepto Anterior]],Conceptos_Control_Operaciones[#All],7,0),"")</f>
        <v/>
      </c>
      <c r="G187" t="s">
        <v>172</v>
      </c>
      <c r="H187" t="s">
        <v>172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93">
        <v>11</v>
      </c>
    </row>
    <row r="188" spans="1:11" ht="18.75" customHeight="1" x14ac:dyDescent="0.35">
      <c r="A188" s="93">
        <v>2025</v>
      </c>
      <c r="B188" t="s">
        <v>177</v>
      </c>
      <c r="C188" s="100">
        <f>IF(OR(Fact_Control_Operaciones[[#This Row], [Año]]="",Fact_Control_Operaciones[[#This Row], [Mes]]=""),"",DATE(A188,MATCH(B188,{"enero","febrero","marzo","abril","mayo","junio","julio","agosto","septiembre","octubre","noviembre","diciembre"},0)+1,0))</f>
        <v>45808</v>
      </c>
      <c r="D188" t="s">
        <v>187</v>
      </c>
      <c r="E188" t="str">
        <f>+IFERROR(VLOOKUP(Fact_Control_Operaciones[[#This Row], [Concepto Anterior]],Conceptos_Control_Operaciones[#All],5,0),"")</f>
        <v>Capacitaciones</v>
      </c>
      <c r="F188" t="str">
        <f ca="1">+IFERROR(VLOOKUP(Fact_Control_Operaciones[[#This Row], [Concepto Anterior]],Conceptos_Control_Operaciones[#All],7,0),"")</f>
        <v/>
      </c>
      <c r="G188" t="s">
        <v>172</v>
      </c>
      <c r="H188" t="s">
        <v>172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93">
        <v>13</v>
      </c>
    </row>
    <row r="189" spans="1:11" ht="18.75" customHeight="1" x14ac:dyDescent="0.35">
      <c r="A189" s="93">
        <v>2025</v>
      </c>
      <c r="B189" t="s">
        <v>177</v>
      </c>
      <c r="C189" s="100">
        <f>IF(OR(Fact_Control_Operaciones[[#This Row], [Año]]="",Fact_Control_Operaciones[[#This Row], [Mes]]=""),"",DATE(A189,MATCH(B189,{"enero","febrero","marzo","abril","mayo","junio","julio","agosto","septiembre","octubre","noviembre","diciembre"},0)+1,0))</f>
        <v>45808</v>
      </c>
      <c r="D189" t="s">
        <v>85</v>
      </c>
      <c r="E189" t="str">
        <f>+IFERROR(VLOOKUP(Fact_Control_Operaciones[[#This Row], [Concepto Anterior]],Conceptos_Control_Operaciones[#All],5,0),"")</f>
        <v>Causación y Política Caja Menor​</v>
      </c>
      <c r="F189" t="str">
        <f ca="1">+IFERROR(VLOOKUP(Fact_Control_Operaciones[[#This Row], [Concepto Anterior]],Conceptos_Control_Operaciones[#All],7,0),"")</f>
        <v/>
      </c>
      <c r="G189" t="s">
        <v>172</v>
      </c>
      <c r="H189" t="s">
        <v>172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93">
        <v>617</v>
      </c>
    </row>
    <row r="190" spans="1:11" ht="18.75" customHeight="1" x14ac:dyDescent="0.35">
      <c r="A190" s="93">
        <v>2025</v>
      </c>
      <c r="B190" t="s">
        <v>177</v>
      </c>
      <c r="C190" s="100">
        <f>IF(OR(Fact_Control_Operaciones[[#This Row], [Año]]="",Fact_Control_Operaciones[[#This Row], [Mes]]=""),"",DATE(A190,MATCH(B190,{"enero","febrero","marzo","abril","mayo","junio","julio","agosto","septiembre","octubre","noviembre","diciembre"},0)+1,0))</f>
        <v>45808</v>
      </c>
      <c r="D190" t="s">
        <v>139</v>
      </c>
      <c r="E190" t="str">
        <f>+IFERROR(VLOOKUP(Fact_Control_Operaciones[[#This Row], [Concepto Anterior]],Conceptos_Control_Operaciones[#All],5,0),"")</f>
        <v>Dinero recuperado de viajes- tomas fisicas RGIS</v>
      </c>
      <c r="F190" t="str">
        <f ca="1">+IFERROR(VLOOKUP(Fact_Control_Operaciones[[#This Row], [Concepto Anterior]],Conceptos_Control_Operaciones[#All],7,0),"")</f>
        <v/>
      </c>
      <c r="G190" t="s">
        <v>172</v>
      </c>
      <c r="H190" t="s">
        <v>172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177</v>
      </c>
      <c r="C191" s="100">
        <f>IF(OR(Fact_Control_Operaciones[[#This Row], [Año]]="",Fact_Control_Operaciones[[#This Row], [Mes]]=""),"",DATE(A191,MATCH(B191,{"enero","febrero","marzo","abril","mayo","junio","julio","agosto","septiembre","octubre","noviembre","diciembre"},0)+1,0))</f>
        <v>45808</v>
      </c>
      <c r="D191" t="s">
        <v>110</v>
      </c>
      <c r="E191" t="str">
        <f>+IFERROR(VLOOKUP(Fact_Control_Operaciones[[#This Row], [Concepto Anterior]],Conceptos_Control_Operaciones[#All],5,0),"")</f>
        <v>Gasto caja menor deducible</v>
      </c>
      <c r="F191" t="str">
        <f ca="1">+IFERROR(VLOOKUP(Fact_Control_Operaciones[[#This Row], [Concepto Anterior]],Conceptos_Control_Operaciones[#All],7,0),"")</f>
        <v/>
      </c>
      <c r="G191" t="s">
        <v>172</v>
      </c>
      <c r="H191" t="s">
        <v>172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93">
        <v>48792669</v>
      </c>
    </row>
    <row r="192" spans="1:11" ht="18.75" customHeight="1" x14ac:dyDescent="0.35">
      <c r="A192" s="93">
        <v>2025</v>
      </c>
      <c r="B192" t="s">
        <v>177</v>
      </c>
      <c r="C192" s="100">
        <f>IF(OR(Fact_Control_Operaciones[[#This Row], [Año]]="",Fact_Control_Operaciones[[#This Row], [Mes]]=""),"",DATE(A192,MATCH(B192,{"enero","febrero","marzo","abril","mayo","junio","julio","agosto","septiembre","octubre","noviembre","diciembre"},0)+1,0))</f>
        <v>45808</v>
      </c>
      <c r="D192" t="s">
        <v>109</v>
      </c>
      <c r="E192" t="str">
        <f>+IFERROR(VLOOKUP(Fact_Control_Operaciones[[#This Row], [Concepto Anterior]],Conceptos_Control_Operaciones[#All],5,0),"")</f>
        <v>Gasto caja menor no deducible</v>
      </c>
      <c r="F192" t="str">
        <f ca="1">+IFERROR(VLOOKUP(Fact_Control_Operaciones[[#This Row], [Concepto Anterior]],Conceptos_Control_Operaciones[#All],7,0),"")</f>
        <v/>
      </c>
      <c r="G192" t="s">
        <v>172</v>
      </c>
      <c r="H192" t="s">
        <v>172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93">
        <v>2585129</v>
      </c>
    </row>
    <row r="193" spans="1:11" ht="18.75" customHeight="1" x14ac:dyDescent="0.35">
      <c r="A193" s="93">
        <v>2025</v>
      </c>
      <c r="B193" t="s">
        <v>177</v>
      </c>
      <c r="C193" s="100">
        <f>IF(OR(Fact_Control_Operaciones[[#This Row], [Año]]="",Fact_Control_Operaciones[[#This Row], [Mes]]=""),"",DATE(A193,MATCH(B193,{"enero","febrero","marzo","abril","mayo","junio","julio","agosto","septiembre","octubre","noviembre","diciembre"},0)+1,0))</f>
        <v>45808</v>
      </c>
      <c r="D193" t="s">
        <v>142</v>
      </c>
      <c r="E193" t="str">
        <f>+IFERROR(VLOOKUP(Fact_Control_Operaciones[[#This Row], [Concepto Anterior]],Conceptos_Control_Operaciones[#All],5,0),"")</f>
        <v>Gestion merma inventario</v>
      </c>
      <c r="F193" t="str">
        <f ca="1">+IFERROR(VLOOKUP(Fact_Control_Operaciones[[#This Row], [Concepto Anterior]],Conceptos_Control_Operaciones[#All],7,0),"")</f>
        <v/>
      </c>
      <c r="G193" t="s">
        <v>172</v>
      </c>
      <c r="H193" t="s">
        <v>172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93">
        <v>97324083</v>
      </c>
    </row>
    <row r="194" spans="1:11" ht="18.75" customHeight="1" x14ac:dyDescent="0.35">
      <c r="A194" s="93">
        <v>2025</v>
      </c>
      <c r="B194" t="s">
        <v>177</v>
      </c>
      <c r="C194" s="100">
        <f>IF(OR(Fact_Control_Operaciones[[#This Row], [Año]]="",Fact_Control_Operaciones[[#This Row], [Mes]]=""),"",DATE(A194,MATCH(B194,{"enero","febrero","marzo","abril","mayo","junio","julio","agosto","septiembre","octubre","noviembre","diciembre"},0)+1,0))</f>
        <v>45808</v>
      </c>
      <c r="D194" t="s">
        <v>86</v>
      </c>
      <c r="E194" t="str">
        <f>+IFERROR(VLOOKUP(Fact_Control_Operaciones[[#This Row], [Concepto Anterior]],Conceptos_Control_Operaciones[#All],5,0),"")</f>
        <v>Gestiones descuadres en caja</v>
      </c>
      <c r="F194" t="str">
        <f ca="1">+IFERROR(VLOOKUP(Fact_Control_Operaciones[[#This Row], [Concepto Anterior]],Conceptos_Control_Operaciones[#All],7,0),"")</f>
        <v/>
      </c>
      <c r="G194" t="s">
        <v>172</v>
      </c>
      <c r="H194" t="s">
        <v>172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93">
        <v>66</v>
      </c>
    </row>
    <row r="195" spans="1:11" ht="18.75" customHeight="1" x14ac:dyDescent="0.35">
      <c r="A195" s="93">
        <v>2025</v>
      </c>
      <c r="B195" t="s">
        <v>177</v>
      </c>
      <c r="C195" s="100">
        <f>IF(OR(Fact_Control_Operaciones[[#This Row], [Año]]="",Fact_Control_Operaciones[[#This Row], [Mes]]=""),"",DATE(A195,MATCH(B195,{"enero","febrero","marzo","abril","mayo","junio","julio","agosto","septiembre","octubre","noviembre","diciembre"},0)+1,0))</f>
        <v>45808</v>
      </c>
      <c r="D195" t="s">
        <v>188</v>
      </c>
      <c r="E195" t="str">
        <f>+IFERROR(VLOOKUP(Fact_Control_Operaciones[[#This Row], [Concepto Anterior]],Conceptos_Control_Operaciones[#All],5,0),"")</f>
        <v>Inventarios fisicos​ GS Falabella</v>
      </c>
      <c r="F195" t="str">
        <f ca="1">+IFERROR(VLOOKUP(Fact_Control_Operaciones[[#This Row], [Concepto Anterior]],Conceptos_Control_Operaciones[#All],7,0),"")</f>
        <v/>
      </c>
      <c r="G195" t="s">
        <v>172</v>
      </c>
      <c r="H195" t="s">
        <v>172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93">
        <v>7</v>
      </c>
    </row>
    <row r="196" spans="1:11" ht="18.75" customHeight="1" x14ac:dyDescent="0.35">
      <c r="A196" s="93">
        <v>2025</v>
      </c>
      <c r="B196" t="s">
        <v>177</v>
      </c>
      <c r="C196" s="100">
        <f>IF(OR(Fact_Control_Operaciones[[#This Row], [Año]]="",Fact_Control_Operaciones[[#This Row], [Mes]]=""),"",DATE(A196,MATCH(B196,{"enero","febrero","marzo","abril","mayo","junio","julio","agosto","septiembre","octubre","noviembre","diciembre"},0)+1,0))</f>
        <v>45808</v>
      </c>
      <c r="D196" t="s">
        <v>189</v>
      </c>
      <c r="E196" t="str">
        <f>+IFERROR(VLOOKUP(Fact_Control_Operaciones[[#This Row], [Concepto Anterior]],Conceptos_Control_Operaciones[#All],5,0),"")</f>
        <v>Inventarios fisicos​ tiendas propias y franquicias</v>
      </c>
      <c r="F196" t="str">
        <f ca="1">+IFERROR(VLOOKUP(Fact_Control_Operaciones[[#This Row], [Concepto Anterior]],Conceptos_Control_Operaciones[#All],7,0),"")</f>
        <v/>
      </c>
      <c r="G196" t="s">
        <v>172</v>
      </c>
      <c r="H196" t="s">
        <v>172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93">
        <v>25</v>
      </c>
    </row>
    <row r="197" spans="1:11" ht="18.75" customHeight="1" x14ac:dyDescent="0.35">
      <c r="A197" s="93">
        <v>2025</v>
      </c>
      <c r="B197" t="s">
        <v>177</v>
      </c>
      <c r="C197" s="100">
        <f>IF(OR(Fact_Control_Operaciones[[#This Row], [Año]]="",Fact_Control_Operaciones[[#This Row], [Mes]]=""),"",DATE(A197,MATCH(B197,{"enero","febrero","marzo","abril","mayo","junio","julio","agosto","septiembre","octubre","noviembre","diciembre"},0)+1,0))</f>
        <v>45808</v>
      </c>
      <c r="D197" t="s">
        <v>190</v>
      </c>
      <c r="E197" t="str">
        <f>+IFERROR(VLOOKUP(Fact_Control_Operaciones[[#This Row], [Concepto Anterior]],Conceptos_Control_Operaciones[#All],5,0),"")</f>
        <v>Paz y Salvo Retiros​</v>
      </c>
      <c r="F197" t="str">
        <f ca="1">+IFERROR(VLOOKUP(Fact_Control_Operaciones[[#This Row], [Concepto Anterior]],Conceptos_Control_Operaciones[#All],7,0),"")</f>
        <v/>
      </c>
      <c r="G197" t="s">
        <v>172</v>
      </c>
      <c r="H197" t="s">
        <v>172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93">
        <v>5</v>
      </c>
    </row>
    <row r="198" spans="1:11" ht="18.75" customHeight="1" x14ac:dyDescent="0.35">
      <c r="A198" s="93">
        <v>2025</v>
      </c>
      <c r="B198" t="s">
        <v>177</v>
      </c>
      <c r="C198" s="100">
        <f>IF(OR(Fact_Control_Operaciones[[#This Row], [Año]]="",Fact_Control_Operaciones[[#This Row], [Mes]]=""),"",DATE(A198,MATCH(B198,{"enero","febrero","marzo","abril","mayo","junio","julio","agosto","septiembre","octubre","noviembre","diciembre"},0)+1,0))</f>
        <v>45808</v>
      </c>
      <c r="D198" t="s">
        <v>90</v>
      </c>
      <c r="E198" t="str">
        <f>+IFERROR(VLOOKUP(Fact_Control_Operaciones[[#This Row], [Concepto Anterior]],Conceptos_Control_Operaciones[#All],5,0),"")</f>
        <v>Recuperaciones descuadres en caja</v>
      </c>
      <c r="F198" t="str">
        <f ca="1">+IFERROR(VLOOKUP(Fact_Control_Operaciones[[#This Row], [Concepto Anterior]],Conceptos_Control_Operaciones[#All],7,0),"")</f>
        <v/>
      </c>
      <c r="G198" t="s">
        <v>172</v>
      </c>
      <c r="H198" t="s">
        <v>172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93">
        <v>520194</v>
      </c>
    </row>
    <row r="199" spans="1:11" ht="18.75" customHeight="1" x14ac:dyDescent="0.35">
      <c r="A199" s="93">
        <v>2025</v>
      </c>
      <c r="B199" t="s">
        <v>177</v>
      </c>
      <c r="C199" s="100">
        <f>IF(OR(Fact_Control_Operaciones[[#This Row], [Año]]="",Fact_Control_Operaciones[[#This Row], [Mes]]=""),"",DATE(A199,MATCH(B199,{"enero","febrero","marzo","abril","mayo","junio","julio","agosto","septiembre","octubre","noviembre","diciembre"},0)+1,0))</f>
        <v>45808</v>
      </c>
      <c r="D199" t="s">
        <v>84</v>
      </c>
      <c r="E199" t="str">
        <f>+IFERROR(VLOOKUP(Fact_Control_Operaciones[[#This Row], [Concepto Anterior]],Conceptos_Control_Operaciones[#All],5,0),"")</f>
        <v>Tickets mesa de servicio</v>
      </c>
      <c r="F199" t="str">
        <f ca="1">+IFERROR(VLOOKUP(Fact_Control_Operaciones[[#This Row], [Concepto Anterior]],Conceptos_Control_Operaciones[#All],7,0),"")</f>
        <v/>
      </c>
      <c r="G199" t="s">
        <v>172</v>
      </c>
      <c r="H199" t="s">
        <v>172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93">
        <v>0</v>
      </c>
    </row>
    <row r="200" spans="1:11" ht="18.75" customHeight="1" x14ac:dyDescent="0.35">
      <c r="A200" s="93">
        <v>2025</v>
      </c>
      <c r="B200" t="s">
        <v>178</v>
      </c>
      <c r="C200" s="100">
        <f>IF(OR(Fact_Control_Operaciones[[#This Row], [Año]]="",Fact_Control_Operaciones[[#This Row], [Mes]]=""),"",DATE(A200,MATCH(B200,{"enero","febrero","marzo","abril","mayo","junio","julio","agosto","septiembre","octubre","noviembre","diciembre"},0)+1,0))</f>
        <v>45838</v>
      </c>
      <c r="D200" t="s">
        <v>186</v>
      </c>
      <c r="E200" t="str">
        <f>+IFERROR(VLOOKUP(Fact_Control_Operaciones[[#This Row], [Concepto Anterior]],Conceptos_Control_Operaciones[#All],5,0),"")</f>
        <v>Arqueos​</v>
      </c>
      <c r="F200" t="str">
        <f ca="1">+IFERROR(VLOOKUP(Fact_Control_Operaciones[[#This Row], [Concepto Anterior]],Conceptos_Control_Operaciones[#All],7,0),"")</f>
        <v/>
      </c>
      <c r="G200" t="s">
        <v>172</v>
      </c>
      <c r="H200" t="s">
        <v>172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93">
        <v>258</v>
      </c>
    </row>
    <row r="201" spans="1:11" ht="18.75" customHeight="1" x14ac:dyDescent="0.35">
      <c r="A201" s="93">
        <v>2025</v>
      </c>
      <c r="B201" t="s">
        <v>178</v>
      </c>
      <c r="C201" s="100">
        <f>IF(OR(Fact_Control_Operaciones[[#This Row], [Año]]="",Fact_Control_Operaciones[[#This Row], [Mes]]=""),"",DATE(A201,MATCH(B201,{"enero","febrero","marzo","abril","mayo","junio","julio","agosto","septiembre","octubre","noviembre","diciembre"},0)+1,0))</f>
        <v>45838</v>
      </c>
      <c r="D201" t="s">
        <v>191</v>
      </c>
      <c r="E201" t="str">
        <f>+IFERROR(VLOOKUP(Fact_Control_Operaciones[[#This Row], [Concepto Anterior]],Conceptos_Control_Operaciones[#All],5,0),"")</f>
        <v>Cantidad de Inventarios cíclicos</v>
      </c>
      <c r="F201" t="str">
        <f ca="1">+IFERROR(VLOOKUP(Fact_Control_Operaciones[[#This Row], [Concepto Anterior]],Conceptos_Control_Operaciones[#All],7,0),"")</f>
        <v/>
      </c>
      <c r="G201" t="s">
        <v>172</v>
      </c>
      <c r="H201" t="s">
        <v>172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93">
        <v>50</v>
      </c>
    </row>
    <row r="202" spans="1:11" ht="18.75" customHeight="1" x14ac:dyDescent="0.35">
      <c r="A202" s="93">
        <v>2025</v>
      </c>
      <c r="B202" t="s">
        <v>178</v>
      </c>
      <c r="C202" s="100">
        <f>IF(OR(Fact_Control_Operaciones[[#This Row], [Año]]="",Fact_Control_Operaciones[[#This Row], [Mes]]=""),"",DATE(A202,MATCH(B202,{"enero","febrero","marzo","abril","mayo","junio","julio","agosto","septiembre","octubre","noviembre","diciembre"},0)+1,0))</f>
        <v>45838</v>
      </c>
      <c r="D202" t="s">
        <v>187</v>
      </c>
      <c r="E202" t="str">
        <f>+IFERROR(VLOOKUP(Fact_Control_Operaciones[[#This Row], [Concepto Anterior]],Conceptos_Control_Operaciones[#All],5,0),"")</f>
        <v>Capacitaciones</v>
      </c>
      <c r="F202" t="str">
        <f ca="1">+IFERROR(VLOOKUP(Fact_Control_Operaciones[[#This Row], [Concepto Anterior]],Conceptos_Control_Operaciones[#All],7,0),"")</f>
        <v/>
      </c>
      <c r="G202" t="s">
        <v>172</v>
      </c>
      <c r="H202" t="s">
        <v>172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93">
        <v>22</v>
      </c>
    </row>
    <row r="203" spans="1:11" ht="18.75" customHeight="1" x14ac:dyDescent="0.35">
      <c r="A203" s="93">
        <v>2025</v>
      </c>
      <c r="B203" t="s">
        <v>178</v>
      </c>
      <c r="C203" s="100">
        <f>IF(OR(Fact_Control_Operaciones[[#This Row], [Año]]="",Fact_Control_Operaciones[[#This Row], [Mes]]=""),"",DATE(A203,MATCH(B203,{"enero","febrero","marzo","abril","mayo","junio","julio","agosto","septiembre","octubre","noviembre","diciembre"},0)+1,0))</f>
        <v>45838</v>
      </c>
      <c r="D203" t="s">
        <v>85</v>
      </c>
      <c r="E203" t="str">
        <f>+IFERROR(VLOOKUP(Fact_Control_Operaciones[[#This Row], [Concepto Anterior]],Conceptos_Control_Operaciones[#All],5,0),"")</f>
        <v>Causación y Política Caja Menor​</v>
      </c>
      <c r="F203" t="str">
        <f ca="1">+IFERROR(VLOOKUP(Fact_Control_Operaciones[[#This Row], [Concepto Anterior]],Conceptos_Control_Operaciones[#All],7,0),"")</f>
        <v/>
      </c>
      <c r="G203" t="s">
        <v>172</v>
      </c>
      <c r="H203" t="s">
        <v>172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93">
        <v>581</v>
      </c>
    </row>
    <row r="204" spans="1:11" ht="18.75" customHeight="1" x14ac:dyDescent="0.35">
      <c r="A204" s="93">
        <v>2025</v>
      </c>
      <c r="B204" t="s">
        <v>178</v>
      </c>
      <c r="C204" s="100">
        <f>IF(OR(Fact_Control_Operaciones[[#This Row], [Año]]="",Fact_Control_Operaciones[[#This Row], [Mes]]=""),"",DATE(A204,MATCH(B204,{"enero","febrero","marzo","abril","mayo","junio","julio","agosto","septiembre","octubre","noviembre","diciembre"},0)+1,0))</f>
        <v>45838</v>
      </c>
      <c r="D204" t="s">
        <v>139</v>
      </c>
      <c r="E204" t="str">
        <f>+IFERROR(VLOOKUP(Fact_Control_Operaciones[[#This Row], [Concepto Anterior]],Conceptos_Control_Operaciones[#All],5,0),"")</f>
        <v>Dinero recuperado de viajes- tomas fisicas RGIS</v>
      </c>
      <c r="F204" t="str">
        <f ca="1">+IFERROR(VLOOKUP(Fact_Control_Operaciones[[#This Row], [Concepto Anterior]],Conceptos_Control_Operaciones[#All],7,0),"")</f>
        <v/>
      </c>
      <c r="G204" t="s">
        <v>172</v>
      </c>
      <c r="H204" t="s">
        <v>172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93">
        <v>4415441</v>
      </c>
    </row>
    <row r="205" spans="1:11" ht="18.75" customHeight="1" x14ac:dyDescent="0.35">
      <c r="A205" s="93">
        <v>2025</v>
      </c>
      <c r="B205" t="s">
        <v>178</v>
      </c>
      <c r="C205" s="100">
        <f>IF(OR(Fact_Control_Operaciones[[#This Row], [Año]]="",Fact_Control_Operaciones[[#This Row], [Mes]]=""),"",DATE(A205,MATCH(B205,{"enero","febrero","marzo","abril","mayo","junio","julio","agosto","septiembre","octubre","noviembre","diciembre"},0)+1,0))</f>
        <v>45838</v>
      </c>
      <c r="D205" t="s">
        <v>110</v>
      </c>
      <c r="E205" t="str">
        <f>+IFERROR(VLOOKUP(Fact_Control_Operaciones[[#This Row], [Concepto Anterior]],Conceptos_Control_Operaciones[#All],5,0),"")</f>
        <v>Gasto caja menor deducible</v>
      </c>
      <c r="F205" t="str">
        <f ca="1">+IFERROR(VLOOKUP(Fact_Control_Operaciones[[#This Row], [Concepto Anterior]],Conceptos_Control_Operaciones[#All],7,0),"")</f>
        <v/>
      </c>
      <c r="G205" t="s">
        <v>172</v>
      </c>
      <c r="H205" t="s">
        <v>172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93">
        <v>32298975</v>
      </c>
    </row>
    <row r="206" spans="1:11" ht="18.75" customHeight="1" x14ac:dyDescent="0.35">
      <c r="A206" s="93">
        <v>2025</v>
      </c>
      <c r="B206" t="s">
        <v>178</v>
      </c>
      <c r="C206" s="100">
        <f>IF(OR(Fact_Control_Operaciones[[#This Row], [Año]]="",Fact_Control_Operaciones[[#This Row], [Mes]]=""),"",DATE(A206,MATCH(B206,{"enero","febrero","marzo","abril","mayo","junio","julio","agosto","septiembre","octubre","noviembre","diciembre"},0)+1,0))</f>
        <v>45838</v>
      </c>
      <c r="D206" t="s">
        <v>109</v>
      </c>
      <c r="E206" t="str">
        <f>+IFERROR(VLOOKUP(Fact_Control_Operaciones[[#This Row], [Concepto Anterior]],Conceptos_Control_Operaciones[#All],5,0),"")</f>
        <v>Gasto caja menor no deducible</v>
      </c>
      <c r="F206" t="str">
        <f ca="1">+IFERROR(VLOOKUP(Fact_Control_Operaciones[[#This Row], [Concepto Anterior]],Conceptos_Control_Operaciones[#All],7,0),"")</f>
        <v/>
      </c>
      <c r="G206" t="s">
        <v>172</v>
      </c>
      <c r="H206" t="s">
        <v>172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93">
        <v>1652767</v>
      </c>
    </row>
    <row r="207" spans="1:11" ht="18.75" customHeight="1" x14ac:dyDescent="0.35">
      <c r="A207" s="93">
        <v>2025</v>
      </c>
      <c r="B207" t="s">
        <v>178</v>
      </c>
      <c r="C207" s="100">
        <f>IF(OR(Fact_Control_Operaciones[[#This Row], [Año]]="",Fact_Control_Operaciones[[#This Row], [Mes]]=""),"",DATE(A207,MATCH(B207,{"enero","febrero","marzo","abril","mayo","junio","julio","agosto","septiembre","octubre","noviembre","diciembre"},0)+1,0))</f>
        <v>45838</v>
      </c>
      <c r="D207" t="s">
        <v>142</v>
      </c>
      <c r="E207" t="str">
        <f>+IFERROR(VLOOKUP(Fact_Control_Operaciones[[#This Row], [Concepto Anterior]],Conceptos_Control_Operaciones[#All],5,0),"")</f>
        <v>Gestion merma inventario</v>
      </c>
      <c r="F207" t="str">
        <f ca="1">+IFERROR(VLOOKUP(Fact_Control_Operaciones[[#This Row], [Concepto Anterior]],Conceptos_Control_Operaciones[#All],7,0),"")</f>
        <v/>
      </c>
      <c r="G207" t="s">
        <v>172</v>
      </c>
      <c r="H207" t="s">
        <v>172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93">
        <v>57510314</v>
      </c>
    </row>
    <row r="208" spans="1:11" ht="18.75" customHeight="1" x14ac:dyDescent="0.35">
      <c r="A208" s="93">
        <v>2025</v>
      </c>
      <c r="B208" t="s">
        <v>178</v>
      </c>
      <c r="C208" s="100">
        <f>IF(OR(Fact_Control_Operaciones[[#This Row], [Año]]="",Fact_Control_Operaciones[[#This Row], [Mes]]=""),"",DATE(A208,MATCH(B208,{"enero","febrero","marzo","abril","mayo","junio","julio","agosto","septiembre","octubre","noviembre","diciembre"},0)+1,0))</f>
        <v>45838</v>
      </c>
      <c r="D208" t="s">
        <v>86</v>
      </c>
      <c r="E208" t="str">
        <f>+IFERROR(VLOOKUP(Fact_Control_Operaciones[[#This Row], [Concepto Anterior]],Conceptos_Control_Operaciones[#All],5,0),"")</f>
        <v>Gestiones descuadres en caja</v>
      </c>
      <c r="F208" t="str">
        <f ca="1">+IFERROR(VLOOKUP(Fact_Control_Operaciones[[#This Row], [Concepto Anterior]],Conceptos_Control_Operaciones[#All],7,0),"")</f>
        <v/>
      </c>
      <c r="G208" t="s">
        <v>172</v>
      </c>
      <c r="H208" t="s">
        <v>172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93">
        <v>67</v>
      </c>
    </row>
    <row r="209" spans="1:11" ht="18.75" customHeight="1" x14ac:dyDescent="0.35">
      <c r="A209" s="93">
        <v>2025</v>
      </c>
      <c r="B209" t="s">
        <v>178</v>
      </c>
      <c r="C209" s="100">
        <f>IF(OR(Fact_Control_Operaciones[[#This Row], [Año]]="",Fact_Control_Operaciones[[#This Row], [Mes]]=""),"",DATE(A209,MATCH(B209,{"enero","febrero","marzo","abril","mayo","junio","julio","agosto","septiembre","octubre","noviembre","diciembre"},0)+1,0))</f>
        <v>45838</v>
      </c>
      <c r="D209" t="s">
        <v>188</v>
      </c>
      <c r="E209" t="str">
        <f>+IFERROR(VLOOKUP(Fact_Control_Operaciones[[#This Row], [Concepto Anterior]],Conceptos_Control_Operaciones[#All],5,0),"")</f>
        <v>Inventarios fisicos​ GS Falabella</v>
      </c>
      <c r="F209" t="str">
        <f ca="1">+IFERROR(VLOOKUP(Fact_Control_Operaciones[[#This Row], [Concepto Anterior]],Conceptos_Control_Operaciones[#All],7,0),"")</f>
        <v/>
      </c>
      <c r="G209" t="s">
        <v>172</v>
      </c>
      <c r="H209" t="s">
        <v>172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93">
        <v>7</v>
      </c>
    </row>
    <row r="210" spans="1:11" ht="18.75" customHeight="1" x14ac:dyDescent="0.35">
      <c r="A210" s="93">
        <v>2025</v>
      </c>
      <c r="B210" t="s">
        <v>178</v>
      </c>
      <c r="C210" s="100">
        <f>IF(OR(Fact_Control_Operaciones[[#This Row], [Año]]="",Fact_Control_Operaciones[[#This Row], [Mes]]=""),"",DATE(A210,MATCH(B210,{"enero","febrero","marzo","abril","mayo","junio","julio","agosto","septiembre","octubre","noviembre","diciembre"},0)+1,0))</f>
        <v>45838</v>
      </c>
      <c r="D210" t="s">
        <v>189</v>
      </c>
      <c r="E210" t="str">
        <f>+IFERROR(VLOOKUP(Fact_Control_Operaciones[[#This Row], [Concepto Anterior]],Conceptos_Control_Operaciones[#All],5,0),"")</f>
        <v>Inventarios fisicos​ tiendas propias y franquicias</v>
      </c>
      <c r="F210" t="str">
        <f ca="1">+IFERROR(VLOOKUP(Fact_Control_Operaciones[[#This Row], [Concepto Anterior]],Conceptos_Control_Operaciones[#All],7,0),"")</f>
        <v/>
      </c>
      <c r="G210" t="s">
        <v>172</v>
      </c>
      <c r="H210" t="s">
        <v>172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93">
        <v>15</v>
      </c>
    </row>
    <row r="211" spans="1:11" ht="18.75" customHeight="1" x14ac:dyDescent="0.35">
      <c r="A211" s="93">
        <v>2025</v>
      </c>
      <c r="B211" t="s">
        <v>178</v>
      </c>
      <c r="C211" s="100">
        <f>IF(OR(Fact_Control_Operaciones[[#This Row], [Año]]="",Fact_Control_Operaciones[[#This Row], [Mes]]=""),"",DATE(A211,MATCH(B211,{"enero","febrero","marzo","abril","mayo","junio","julio","agosto","septiembre","octubre","noviembre","diciembre"},0)+1,0))</f>
        <v>45838</v>
      </c>
      <c r="D211" t="s">
        <v>190</v>
      </c>
      <c r="E211" t="str">
        <f>+IFERROR(VLOOKUP(Fact_Control_Operaciones[[#This Row], [Concepto Anterior]],Conceptos_Control_Operaciones[#All],5,0),"")</f>
        <v>Paz y Salvo Retiros​</v>
      </c>
      <c r="F211" t="str">
        <f ca="1">+IFERROR(VLOOKUP(Fact_Control_Operaciones[[#This Row], [Concepto Anterior]],Conceptos_Control_Operaciones[#All],7,0),"")</f>
        <v/>
      </c>
      <c r="G211" t="s">
        <v>172</v>
      </c>
      <c r="H211" t="s">
        <v>172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93">
        <v>3</v>
      </c>
    </row>
    <row r="212" spans="1:11" ht="18.75" customHeight="1" x14ac:dyDescent="0.35">
      <c r="A212" s="93">
        <v>2025</v>
      </c>
      <c r="B212" t="s">
        <v>178</v>
      </c>
      <c r="C212" s="100">
        <f>IF(OR(Fact_Control_Operaciones[[#This Row], [Año]]="",Fact_Control_Operaciones[[#This Row], [Mes]]=""),"",DATE(A212,MATCH(B212,{"enero","febrero","marzo","abril","mayo","junio","julio","agosto","septiembre","octubre","noviembre","diciembre"},0)+1,0))</f>
        <v>45838</v>
      </c>
      <c r="D212" t="s">
        <v>90</v>
      </c>
      <c r="E212" t="str">
        <f>+IFERROR(VLOOKUP(Fact_Control_Operaciones[[#This Row], [Concepto Anterior]],Conceptos_Control_Operaciones[#All],5,0),"")</f>
        <v>Recuperaciones descuadres en caja</v>
      </c>
      <c r="F212" t="str">
        <f ca="1">+IFERROR(VLOOKUP(Fact_Control_Operaciones[[#This Row], [Concepto Anterior]],Conceptos_Control_Operaciones[#All],7,0),"")</f>
        <v/>
      </c>
      <c r="G212" t="s">
        <v>172</v>
      </c>
      <c r="H212" t="s">
        <v>172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93">
        <v>680887</v>
      </c>
    </row>
    <row r="213" spans="1:11" ht="18.75" customHeight="1" x14ac:dyDescent="0.35">
      <c r="A213" s="93">
        <v>2025</v>
      </c>
      <c r="B213" t="s">
        <v>178</v>
      </c>
      <c r="C213" s="100">
        <f>IF(OR(Fact_Control_Operaciones[[#This Row], [Año]]="",Fact_Control_Operaciones[[#This Row], [Mes]]=""),"",DATE(A213,MATCH(B213,{"enero","febrero","marzo","abril","mayo","junio","julio","agosto","septiembre","octubre","noviembre","diciembre"},0)+1,0))</f>
        <v>45838</v>
      </c>
      <c r="D213" t="s">
        <v>84</v>
      </c>
      <c r="E213" t="str">
        <f>+IFERROR(VLOOKUP(Fact_Control_Operaciones[[#This Row], [Concepto Anterior]],Conceptos_Control_Operaciones[#All],5,0),"")</f>
        <v>Tickets mesa de servicio</v>
      </c>
      <c r="F213" t="str">
        <f ca="1">+IFERROR(VLOOKUP(Fact_Control_Operaciones[[#This Row], [Concepto Anterior]],Conceptos_Control_Operaciones[#All],7,0),"")</f>
        <v/>
      </c>
      <c r="G213" t="s">
        <v>172</v>
      </c>
      <c r="H213" t="s">
        <v>172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93">
        <v>0</v>
      </c>
    </row>
    <row r="214" spans="1:11" ht="18.75" customHeight="1" x14ac:dyDescent="0.35">
      <c r="A214" s="93">
        <v>2025</v>
      </c>
      <c r="B214" t="s">
        <v>179</v>
      </c>
      <c r="C214" s="100">
        <f>IF(OR(Fact_Control_Operaciones[[#This Row], [Año]]="",Fact_Control_Operaciones[[#This Row], [Mes]]=""),"",DATE(A214,MATCH(B214,{"enero","febrero","marzo","abril","mayo","junio","julio","agosto","septiembre","octubre","noviembre","diciembre"},0)+1,0))</f>
        <v>45869</v>
      </c>
      <c r="D214" t="s">
        <v>186</v>
      </c>
      <c r="E214" t="str">
        <f>+IFERROR(VLOOKUP(Fact_Control_Operaciones[[#This Row], [Concepto Anterior]],Conceptos_Control_Operaciones[#All],5,0),"")</f>
        <v>Arqueos​</v>
      </c>
      <c r="F214" t="str">
        <f ca="1">+IFERROR(VLOOKUP(Fact_Control_Operaciones[[#This Row], [Concepto Anterior]],Conceptos_Control_Operaciones[#All],7,0),"")</f>
        <v/>
      </c>
      <c r="G214" t="s">
        <v>172</v>
      </c>
      <c r="H214" t="s">
        <v>172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93">
        <v>386</v>
      </c>
    </row>
    <row r="215" spans="1:11" ht="18.75" customHeight="1" x14ac:dyDescent="0.35">
      <c r="A215" s="93">
        <v>2025</v>
      </c>
      <c r="B215" t="s">
        <v>179</v>
      </c>
      <c r="C215" s="100">
        <f>IF(OR(Fact_Control_Operaciones[[#This Row], [Año]]="",Fact_Control_Operaciones[[#This Row], [Mes]]=""),"",DATE(A215,MATCH(B215,{"enero","febrero","marzo","abril","mayo","junio","julio","agosto","septiembre","octubre","noviembre","diciembre"},0)+1,0))</f>
        <v>45869</v>
      </c>
      <c r="D215" t="s">
        <v>191</v>
      </c>
      <c r="E215" t="str">
        <f>+IFERROR(VLOOKUP(Fact_Control_Operaciones[[#This Row], [Concepto Anterior]],Conceptos_Control_Operaciones[#All],5,0),"")</f>
        <v>Cantidad de Inventarios cíclicos</v>
      </c>
      <c r="F215" t="str">
        <f ca="1">+IFERROR(VLOOKUP(Fact_Control_Operaciones[[#This Row], [Concepto Anterior]],Conceptos_Control_Operaciones[#All],7,0),"")</f>
        <v/>
      </c>
      <c r="G215" t="s">
        <v>172</v>
      </c>
      <c r="H215" t="s">
        <v>172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93">
        <v>25</v>
      </c>
    </row>
    <row r="216" spans="1:11" ht="18.75" customHeight="1" x14ac:dyDescent="0.35">
      <c r="A216" s="93">
        <v>2025</v>
      </c>
      <c r="B216" t="s">
        <v>179</v>
      </c>
      <c r="C216" s="100">
        <f>IF(OR(Fact_Control_Operaciones[[#This Row], [Año]]="",Fact_Control_Operaciones[[#This Row], [Mes]]=""),"",DATE(A216,MATCH(B216,{"enero","febrero","marzo","abril","mayo","junio","julio","agosto","septiembre","octubre","noviembre","diciembre"},0)+1,0))</f>
        <v>45869</v>
      </c>
      <c r="D216" t="s">
        <v>187</v>
      </c>
      <c r="E216" t="str">
        <f>+IFERROR(VLOOKUP(Fact_Control_Operaciones[[#This Row], [Concepto Anterior]],Conceptos_Control_Operaciones[#All],5,0),"")</f>
        <v>Capacitaciones</v>
      </c>
      <c r="F216" t="str">
        <f ca="1">+IFERROR(VLOOKUP(Fact_Control_Operaciones[[#This Row], [Concepto Anterior]],Conceptos_Control_Operaciones[#All],7,0),"")</f>
        <v/>
      </c>
      <c r="G216" t="s">
        <v>172</v>
      </c>
      <c r="H216" t="s">
        <v>172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93">
        <v>22</v>
      </c>
    </row>
    <row r="217" spans="1:11" ht="18.75" customHeight="1" x14ac:dyDescent="0.35">
      <c r="A217" s="93">
        <v>2025</v>
      </c>
      <c r="B217" t="s">
        <v>179</v>
      </c>
      <c r="C217" s="100">
        <f>IF(OR(Fact_Control_Operaciones[[#This Row], [Año]]="",Fact_Control_Operaciones[[#This Row], [Mes]]=""),"",DATE(A217,MATCH(B217,{"enero","febrero","marzo","abril","mayo","junio","julio","agosto","septiembre","octubre","noviembre","diciembre"},0)+1,0))</f>
        <v>45869</v>
      </c>
      <c r="D217" t="s">
        <v>85</v>
      </c>
      <c r="E217" t="str">
        <f>+IFERROR(VLOOKUP(Fact_Control_Operaciones[[#This Row], [Concepto Anterior]],Conceptos_Control_Operaciones[#All],5,0),"")</f>
        <v>Causación y Política Caja Menor​</v>
      </c>
      <c r="F217" t="str">
        <f ca="1">+IFERROR(VLOOKUP(Fact_Control_Operaciones[[#This Row], [Concepto Anterior]],Conceptos_Control_Operaciones[#All],7,0),"")</f>
        <v/>
      </c>
      <c r="G217" t="s">
        <v>172</v>
      </c>
      <c r="H217" t="s">
        <v>172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93">
        <v>454</v>
      </c>
    </row>
    <row r="218" spans="1:11" ht="18.75" customHeight="1" x14ac:dyDescent="0.35">
      <c r="A218" s="93">
        <v>2025</v>
      </c>
      <c r="B218" t="s">
        <v>179</v>
      </c>
      <c r="C218" s="100">
        <f>IF(OR(Fact_Control_Operaciones[[#This Row], [Año]]="",Fact_Control_Operaciones[[#This Row], [Mes]]=""),"",DATE(A218,MATCH(B218,{"enero","febrero","marzo","abril","mayo","junio","julio","agosto","septiembre","octubre","noviembre","diciembre"},0)+1,0))</f>
        <v>45869</v>
      </c>
      <c r="D218" t="s">
        <v>139</v>
      </c>
      <c r="E218" t="str">
        <f>+IFERROR(VLOOKUP(Fact_Control_Operaciones[[#This Row], [Concepto Anterior]],Conceptos_Control_Operaciones[#All],5,0),"")</f>
        <v>Dinero recuperado de viajes- tomas fisicas RGIS</v>
      </c>
      <c r="F218" t="str">
        <f ca="1">+IFERROR(VLOOKUP(Fact_Control_Operaciones[[#This Row], [Concepto Anterior]],Conceptos_Control_Operaciones[#All],7,0),"")</f>
        <v/>
      </c>
      <c r="G218" t="s">
        <v>172</v>
      </c>
      <c r="H218" t="s">
        <v>172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93">
        <v>6355532</v>
      </c>
    </row>
    <row r="219" spans="1:11" ht="18.75" customHeight="1" x14ac:dyDescent="0.35">
      <c r="A219" s="93">
        <v>2025</v>
      </c>
      <c r="B219" t="s">
        <v>179</v>
      </c>
      <c r="C219" s="100">
        <f>IF(OR(Fact_Control_Operaciones[[#This Row], [Año]]="",Fact_Control_Operaciones[[#This Row], [Mes]]=""),"",DATE(A219,MATCH(B219,{"enero","febrero","marzo","abril","mayo","junio","julio","agosto","septiembre","octubre","noviembre","diciembre"},0)+1,0))</f>
        <v>45869</v>
      </c>
      <c r="D219" t="s">
        <v>110</v>
      </c>
      <c r="E219" t="str">
        <f>+IFERROR(VLOOKUP(Fact_Control_Operaciones[[#This Row], [Concepto Anterior]],Conceptos_Control_Operaciones[#All],5,0),"")</f>
        <v>Gasto caja menor deducible</v>
      </c>
      <c r="F219" t="str">
        <f ca="1">+IFERROR(VLOOKUP(Fact_Control_Operaciones[[#This Row], [Concepto Anterior]],Conceptos_Control_Operaciones[#All],7,0),"")</f>
        <v/>
      </c>
      <c r="G219" t="s">
        <v>172</v>
      </c>
      <c r="H219" t="s">
        <v>172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93">
        <v>28520120</v>
      </c>
    </row>
    <row r="220" spans="1:11" ht="18.75" customHeight="1" x14ac:dyDescent="0.35">
      <c r="A220" s="93">
        <v>2025</v>
      </c>
      <c r="B220" t="s">
        <v>179</v>
      </c>
      <c r="C220" s="100">
        <f>IF(OR(Fact_Control_Operaciones[[#This Row], [Año]]="",Fact_Control_Operaciones[[#This Row], [Mes]]=""),"",DATE(A220,MATCH(B220,{"enero","febrero","marzo","abril","mayo","junio","julio","agosto","septiembre","octubre","noviembre","diciembre"},0)+1,0))</f>
        <v>45869</v>
      </c>
      <c r="D220" t="s">
        <v>109</v>
      </c>
      <c r="E220" t="str">
        <f>+IFERROR(VLOOKUP(Fact_Control_Operaciones[[#This Row], [Concepto Anterior]],Conceptos_Control_Operaciones[#All],5,0),"")</f>
        <v>Gasto caja menor no deducible</v>
      </c>
      <c r="F220" t="str">
        <f ca="1">+IFERROR(VLOOKUP(Fact_Control_Operaciones[[#This Row], [Concepto Anterior]],Conceptos_Control_Operaciones[#All],7,0),"")</f>
        <v/>
      </c>
      <c r="G220" t="s">
        <v>172</v>
      </c>
      <c r="H220" t="s">
        <v>172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93">
        <v>1556520</v>
      </c>
    </row>
    <row r="221" spans="1:11" ht="18.75" customHeight="1" x14ac:dyDescent="0.35">
      <c r="A221" s="93">
        <v>2025</v>
      </c>
      <c r="B221" t="s">
        <v>179</v>
      </c>
      <c r="C221" s="100">
        <f>IF(OR(Fact_Control_Operaciones[[#This Row], [Año]]="",Fact_Control_Operaciones[[#This Row], [Mes]]=""),"",DATE(A221,MATCH(B221,{"enero","febrero","marzo","abril","mayo","junio","julio","agosto","septiembre","octubre","noviembre","diciembre"},0)+1,0))</f>
        <v>45869</v>
      </c>
      <c r="D221" t="s">
        <v>142</v>
      </c>
      <c r="E221" t="str">
        <f>+IFERROR(VLOOKUP(Fact_Control_Operaciones[[#This Row], [Concepto Anterior]],Conceptos_Control_Operaciones[#All],5,0),"")</f>
        <v>Gestion merma inventario</v>
      </c>
      <c r="F221" t="str">
        <f ca="1">+IFERROR(VLOOKUP(Fact_Control_Operaciones[[#This Row], [Concepto Anterior]],Conceptos_Control_Operaciones[#All],7,0),"")</f>
        <v/>
      </c>
      <c r="G221" t="s">
        <v>172</v>
      </c>
      <c r="H221" t="s">
        <v>172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93">
        <v>0</v>
      </c>
    </row>
    <row r="222" spans="1:11" ht="18.75" customHeight="1" x14ac:dyDescent="0.35">
      <c r="A222" s="93">
        <v>2025</v>
      </c>
      <c r="B222" t="s">
        <v>179</v>
      </c>
      <c r="C222" s="100">
        <f>IF(OR(Fact_Control_Operaciones[[#This Row], [Año]]="",Fact_Control_Operaciones[[#This Row], [Mes]]=""),"",DATE(A222,MATCH(B222,{"enero","febrero","marzo","abril","mayo","junio","julio","agosto","septiembre","octubre","noviembre","diciembre"},0)+1,0))</f>
        <v>45869</v>
      </c>
      <c r="D222" t="s">
        <v>86</v>
      </c>
      <c r="E222" t="str">
        <f>+IFERROR(VLOOKUP(Fact_Control_Operaciones[[#This Row], [Concepto Anterior]],Conceptos_Control_Operaciones[#All],5,0),"")</f>
        <v>Gestiones descuadres en caja</v>
      </c>
      <c r="F222" t="str">
        <f ca="1">+IFERROR(VLOOKUP(Fact_Control_Operaciones[[#This Row], [Concepto Anterior]],Conceptos_Control_Operaciones[#All],7,0),"")</f>
        <v/>
      </c>
      <c r="G222" t="s">
        <v>172</v>
      </c>
      <c r="H222" t="s">
        <v>172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93">
        <v>95</v>
      </c>
    </row>
    <row r="223" spans="1:11" ht="18.75" customHeight="1" x14ac:dyDescent="0.35">
      <c r="A223" s="93">
        <v>2025</v>
      </c>
      <c r="B223" t="s">
        <v>179</v>
      </c>
      <c r="C223" s="100">
        <f>IF(OR(Fact_Control_Operaciones[[#This Row], [Año]]="",Fact_Control_Operaciones[[#This Row], [Mes]]=""),"",DATE(A223,MATCH(B223,{"enero","febrero","marzo","abril","mayo","junio","julio","agosto","septiembre","octubre","noviembre","diciembre"},0)+1,0))</f>
        <v>45869</v>
      </c>
      <c r="D223" t="s">
        <v>188</v>
      </c>
      <c r="E223" t="str">
        <f>+IFERROR(VLOOKUP(Fact_Control_Operaciones[[#This Row], [Concepto Anterior]],Conceptos_Control_Operaciones[#All],5,0),"")</f>
        <v>Inventarios fisicos​ GS Falabella</v>
      </c>
      <c r="F223" t="str">
        <f ca="1">+IFERROR(VLOOKUP(Fact_Control_Operaciones[[#This Row], [Concepto Anterior]],Conceptos_Control_Operaciones[#All],7,0),"")</f>
        <v/>
      </c>
      <c r="G223" t="s">
        <v>172</v>
      </c>
      <c r="H223" t="s">
        <v>172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93">
        <v>1</v>
      </c>
    </row>
    <row r="224" spans="1:11" ht="18.75" customHeight="1" x14ac:dyDescent="0.35">
      <c r="A224" s="93">
        <v>2025</v>
      </c>
      <c r="B224" t="s">
        <v>179</v>
      </c>
      <c r="C224" s="100">
        <f>IF(OR(Fact_Control_Operaciones[[#This Row], [Año]]="",Fact_Control_Operaciones[[#This Row], [Mes]]=""),"",DATE(A224,MATCH(B224,{"enero","febrero","marzo","abril","mayo","junio","julio","agosto","septiembre","octubre","noviembre","diciembre"},0)+1,0))</f>
        <v>45869</v>
      </c>
      <c r="D224" t="s">
        <v>189</v>
      </c>
      <c r="E224" t="str">
        <f>+IFERROR(VLOOKUP(Fact_Control_Operaciones[[#This Row], [Concepto Anterior]],Conceptos_Control_Operaciones[#All],5,0),"")</f>
        <v>Inventarios fisicos​ tiendas propias y franquicias</v>
      </c>
      <c r="F224" t="str">
        <f ca="1">+IFERROR(VLOOKUP(Fact_Control_Operaciones[[#This Row], [Concepto Anterior]],Conceptos_Control_Operaciones[#All],7,0),"")</f>
        <v/>
      </c>
      <c r="G224" t="s">
        <v>172</v>
      </c>
      <c r="H224" t="s">
        <v>172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93">
        <v>34</v>
      </c>
    </row>
    <row r="225" spans="1:11" ht="18.75" customHeight="1" x14ac:dyDescent="0.35">
      <c r="A225" s="93">
        <v>2025</v>
      </c>
      <c r="B225" t="s">
        <v>179</v>
      </c>
      <c r="C225" s="100">
        <f>IF(OR(Fact_Control_Operaciones[[#This Row], [Año]]="",Fact_Control_Operaciones[[#This Row], [Mes]]=""),"",DATE(A225,MATCH(B225,{"enero","febrero","marzo","abril","mayo","junio","julio","agosto","septiembre","octubre","noviembre","diciembre"},0)+1,0))</f>
        <v>45869</v>
      </c>
      <c r="D225" t="s">
        <v>190</v>
      </c>
      <c r="E225" t="str">
        <f>+IFERROR(VLOOKUP(Fact_Control_Operaciones[[#This Row], [Concepto Anterior]],Conceptos_Control_Operaciones[#All],5,0),"")</f>
        <v>Paz y Salvo Retiros​</v>
      </c>
      <c r="F225" t="str">
        <f ca="1">+IFERROR(VLOOKUP(Fact_Control_Operaciones[[#This Row], [Concepto Anterior]],Conceptos_Control_Operaciones[#All],7,0),"")</f>
        <v/>
      </c>
      <c r="G225" t="s">
        <v>172</v>
      </c>
      <c r="H225" t="s">
        <v>172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93">
        <v>0</v>
      </c>
    </row>
    <row r="226" spans="1:11" ht="18.75" customHeight="1" x14ac:dyDescent="0.35">
      <c r="A226" s="93">
        <v>2025</v>
      </c>
      <c r="B226" t="s">
        <v>179</v>
      </c>
      <c r="C226" s="100">
        <f>IF(OR(Fact_Control_Operaciones[[#This Row], [Año]]="",Fact_Control_Operaciones[[#This Row], [Mes]]=""),"",DATE(A226,MATCH(B226,{"enero","febrero","marzo","abril","mayo","junio","julio","agosto","septiembre","octubre","noviembre","diciembre"},0)+1,0))</f>
        <v>45869</v>
      </c>
      <c r="D226" t="s">
        <v>90</v>
      </c>
      <c r="E226" t="str">
        <f>+IFERROR(VLOOKUP(Fact_Control_Operaciones[[#This Row], [Concepto Anterior]],Conceptos_Control_Operaciones[#All],5,0),"")</f>
        <v>Recuperaciones descuadres en caja</v>
      </c>
      <c r="F226" t="str">
        <f ca="1">+IFERROR(VLOOKUP(Fact_Control_Operaciones[[#This Row], [Concepto Anterior]],Conceptos_Control_Operaciones[#All],7,0),"")</f>
        <v/>
      </c>
      <c r="G226" t="s">
        <v>172</v>
      </c>
      <c r="H226" t="s">
        <v>172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93">
        <v>538368</v>
      </c>
    </row>
    <row r="227" spans="1:11" ht="18.75" customHeight="1" x14ac:dyDescent="0.35">
      <c r="A227" s="93">
        <v>2025</v>
      </c>
      <c r="B227" t="s">
        <v>179</v>
      </c>
      <c r="C227" s="100">
        <f>IF(OR(Fact_Control_Operaciones[[#This Row], [Año]]="",Fact_Control_Operaciones[[#This Row], [Mes]]=""),"",DATE(A227,MATCH(B227,{"enero","febrero","marzo","abril","mayo","junio","julio","agosto","septiembre","octubre","noviembre","diciembre"},0)+1,0))</f>
        <v>45869</v>
      </c>
      <c r="D227" t="s">
        <v>84</v>
      </c>
      <c r="E227" t="str">
        <f>+IFERROR(VLOOKUP(Fact_Control_Operaciones[[#This Row], [Concepto Anterior]],Conceptos_Control_Operaciones[#All],5,0),"")</f>
        <v>Tickets mesa de servicio</v>
      </c>
      <c r="F227" t="str">
        <f ca="1">+IFERROR(VLOOKUP(Fact_Control_Operaciones[[#This Row], [Concepto Anterior]],Conceptos_Control_Operaciones[#All],7,0),"")</f>
        <v/>
      </c>
      <c r="G227" t="s">
        <v>172</v>
      </c>
      <c r="H227" t="s">
        <v>172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93">
        <v>0</v>
      </c>
    </row>
    <row r="228" spans="1:11" ht="18.75" customHeight="1" x14ac:dyDescent="0.35">
      <c r="A228" s="93">
        <v>2025</v>
      </c>
      <c r="B228" t="s">
        <v>180</v>
      </c>
      <c r="C228" s="100">
        <f>IF(OR(Fact_Control_Operaciones[[#This Row], [Año]]="",Fact_Control_Operaciones[[#This Row], [Mes]]=""),"",DATE(A228,MATCH(B228,{"enero","febrero","marzo","abril","mayo","junio","julio","agosto","septiembre","octubre","noviembre","diciembre"},0)+1,0))</f>
        <v>45900</v>
      </c>
      <c r="D228" t="s">
        <v>186</v>
      </c>
      <c r="E228" t="str">
        <f>+IFERROR(VLOOKUP(Fact_Control_Operaciones[[#This Row], [Concepto Anterior]],Conceptos_Control_Operaciones[#All],5,0),"")</f>
        <v>Arqueos​</v>
      </c>
      <c r="F228" t="str">
        <f ca="1">+IFERROR(VLOOKUP(Fact_Control_Operaciones[[#This Row], [Concepto Anterior]],Conceptos_Control_Operaciones[#All],7,0),"")</f>
        <v/>
      </c>
      <c r="G228" t="s">
        <v>172</v>
      </c>
      <c r="H228" t="s">
        <v>172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93">
        <v>265</v>
      </c>
    </row>
    <row r="229" spans="1:11" ht="18.75" customHeight="1" x14ac:dyDescent="0.35">
      <c r="A229" s="93">
        <v>2025</v>
      </c>
      <c r="B229" t="s">
        <v>180</v>
      </c>
      <c r="C229" s="100">
        <f>IF(OR(Fact_Control_Operaciones[[#This Row], [Año]]="",Fact_Control_Operaciones[[#This Row], [Mes]]=""),"",DATE(A229,MATCH(B229,{"enero","febrero","marzo","abril","mayo","junio","julio","agosto","septiembre","octubre","noviembre","diciembre"},0)+1,0))</f>
        <v>45900</v>
      </c>
      <c r="D229" t="s">
        <v>191</v>
      </c>
      <c r="E229" t="str">
        <f>+IFERROR(VLOOKUP(Fact_Control_Operaciones[[#This Row], [Concepto Anterior]],Conceptos_Control_Operaciones[#All],5,0),"")</f>
        <v>Cantidad de Inventarios cíclicos</v>
      </c>
      <c r="F229" t="str">
        <f ca="1">+IFERROR(VLOOKUP(Fact_Control_Operaciones[[#This Row], [Concepto Anterior]],Conceptos_Control_Operaciones[#All],7,0),"")</f>
        <v/>
      </c>
      <c r="G229" t="s">
        <v>172</v>
      </c>
      <c r="H229" t="s">
        <v>172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93">
        <v>247</v>
      </c>
    </row>
    <row r="230" spans="1:11" ht="18.75" customHeight="1" x14ac:dyDescent="0.35">
      <c r="A230" s="93">
        <v>2025</v>
      </c>
      <c r="B230" t="s">
        <v>180</v>
      </c>
      <c r="C230" s="100">
        <f>IF(OR(Fact_Control_Operaciones[[#This Row], [Año]]="",Fact_Control_Operaciones[[#This Row], [Mes]]=""),"",DATE(A230,MATCH(B230,{"enero","febrero","marzo","abril","mayo","junio","julio","agosto","septiembre","octubre","noviembre","diciembre"},0)+1,0))</f>
        <v>45900</v>
      </c>
      <c r="D230" t="s">
        <v>187</v>
      </c>
      <c r="E230" t="str">
        <f>+IFERROR(VLOOKUP(Fact_Control_Operaciones[[#This Row], [Concepto Anterior]],Conceptos_Control_Operaciones[#All],5,0),"")</f>
        <v>Capacitaciones</v>
      </c>
      <c r="F230" t="str">
        <f ca="1">+IFERROR(VLOOKUP(Fact_Control_Operaciones[[#This Row], [Concepto Anterior]],Conceptos_Control_Operaciones[#All],7,0),"")</f>
        <v/>
      </c>
      <c r="G230" t="s">
        <v>172</v>
      </c>
      <c r="H230" t="s">
        <v>172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93">
        <v>33</v>
      </c>
    </row>
    <row r="231" spans="1:11" ht="18.75" customHeight="1" x14ac:dyDescent="0.35">
      <c r="A231" s="93">
        <v>2025</v>
      </c>
      <c r="B231" t="s">
        <v>180</v>
      </c>
      <c r="C231" s="100">
        <f>IF(OR(Fact_Control_Operaciones[[#This Row], [Año]]="",Fact_Control_Operaciones[[#This Row], [Mes]]=""),"",DATE(A231,MATCH(B231,{"enero","febrero","marzo","abril","mayo","junio","julio","agosto","septiembre","octubre","noviembre","diciembre"},0)+1,0))</f>
        <v>45900</v>
      </c>
      <c r="D231" t="s">
        <v>85</v>
      </c>
      <c r="E231" t="str">
        <f>+IFERROR(VLOOKUP(Fact_Control_Operaciones[[#This Row], [Concepto Anterior]],Conceptos_Control_Operaciones[#All],5,0),"")</f>
        <v>Causación y Política Caja Menor​</v>
      </c>
      <c r="F231" t="str">
        <f ca="1">+IFERROR(VLOOKUP(Fact_Control_Operaciones[[#This Row], [Concepto Anterior]],Conceptos_Control_Operaciones[#All],7,0),"")</f>
        <v/>
      </c>
      <c r="G231" t="s">
        <v>172</v>
      </c>
      <c r="H231" t="s">
        <v>172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93">
        <v>594</v>
      </c>
    </row>
    <row r="232" spans="1:11" ht="18.75" customHeight="1" x14ac:dyDescent="0.35">
      <c r="A232" s="93">
        <v>2025</v>
      </c>
      <c r="B232" t="s">
        <v>180</v>
      </c>
      <c r="C232" s="100">
        <f>IF(OR(Fact_Control_Operaciones[[#This Row], [Año]]="",Fact_Control_Operaciones[[#This Row], [Mes]]=""),"",DATE(A232,MATCH(B232,{"enero","febrero","marzo","abril","mayo","junio","julio","agosto","septiembre","octubre","noviembre","diciembre"},0)+1,0))</f>
        <v>45900</v>
      </c>
      <c r="D232" t="s">
        <v>139</v>
      </c>
      <c r="E232" t="str">
        <f>+IFERROR(VLOOKUP(Fact_Control_Operaciones[[#This Row], [Concepto Anterior]],Conceptos_Control_Operaciones[#All],5,0),"")</f>
        <v>Dinero recuperado de viajes- tomas fisicas RGIS</v>
      </c>
      <c r="F232" t="str">
        <f ca="1">+IFERROR(VLOOKUP(Fact_Control_Operaciones[[#This Row], [Concepto Anterior]],Conceptos_Control_Operaciones[#All],7,0),"")</f>
        <v/>
      </c>
      <c r="G232" t="s">
        <v>172</v>
      </c>
      <c r="H232" t="s">
        <v>172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93">
        <v>286250</v>
      </c>
    </row>
    <row r="233" spans="1:11" ht="18.75" customHeight="1" x14ac:dyDescent="0.35">
      <c r="A233" s="93">
        <v>2025</v>
      </c>
      <c r="B233" t="s">
        <v>180</v>
      </c>
      <c r="C233" s="100">
        <f>IF(OR(Fact_Control_Operaciones[[#This Row], [Año]]="",Fact_Control_Operaciones[[#This Row], [Mes]]=""),"",DATE(A233,MATCH(B233,{"enero","febrero","marzo","abril","mayo","junio","julio","agosto","septiembre","octubre","noviembre","diciembre"},0)+1,0))</f>
        <v>45900</v>
      </c>
      <c r="D233" t="s">
        <v>110</v>
      </c>
      <c r="E233" t="str">
        <f>+IFERROR(VLOOKUP(Fact_Control_Operaciones[[#This Row], [Concepto Anterior]],Conceptos_Control_Operaciones[#All],5,0),"")</f>
        <v>Gasto caja menor deducible</v>
      </c>
      <c r="F233" t="str">
        <f ca="1">+IFERROR(VLOOKUP(Fact_Control_Operaciones[[#This Row], [Concepto Anterior]],Conceptos_Control_Operaciones[#All],7,0),"")</f>
        <v/>
      </c>
      <c r="G233" t="s">
        <v>172</v>
      </c>
      <c r="H233" t="s">
        <v>172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93">
        <v>35365010</v>
      </c>
    </row>
    <row r="234" spans="1:11" ht="18.75" customHeight="1" x14ac:dyDescent="0.35">
      <c r="A234" s="93">
        <v>2025</v>
      </c>
      <c r="B234" t="s">
        <v>180</v>
      </c>
      <c r="C234" s="100">
        <f>IF(OR(Fact_Control_Operaciones[[#This Row], [Año]]="",Fact_Control_Operaciones[[#This Row], [Mes]]=""),"",DATE(A234,MATCH(B234,{"enero","febrero","marzo","abril","mayo","junio","julio","agosto","septiembre","octubre","noviembre","diciembre"},0)+1,0))</f>
        <v>45900</v>
      </c>
      <c r="D234" t="s">
        <v>109</v>
      </c>
      <c r="E234" t="str">
        <f>+IFERROR(VLOOKUP(Fact_Control_Operaciones[[#This Row], [Concepto Anterior]],Conceptos_Control_Operaciones[#All],5,0),"")</f>
        <v>Gasto caja menor no deducible</v>
      </c>
      <c r="F234" t="str">
        <f ca="1">+IFERROR(VLOOKUP(Fact_Control_Operaciones[[#This Row], [Concepto Anterior]],Conceptos_Control_Operaciones[#All],7,0),"")</f>
        <v/>
      </c>
      <c r="G234" t="s">
        <v>172</v>
      </c>
      <c r="H234" t="s">
        <v>172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93">
        <v>1941059</v>
      </c>
    </row>
    <row r="235" spans="1:11" ht="18.75" customHeight="1" x14ac:dyDescent="0.35">
      <c r="A235" s="93">
        <v>2025</v>
      </c>
      <c r="B235" t="s">
        <v>180</v>
      </c>
      <c r="C235" s="100">
        <f>IF(OR(Fact_Control_Operaciones[[#This Row], [Año]]="",Fact_Control_Operaciones[[#This Row], [Mes]]=""),"",DATE(A235,MATCH(B235,{"enero","febrero","marzo","abril","mayo","junio","julio","agosto","septiembre","octubre","noviembre","diciembre"},0)+1,0))</f>
        <v>45900</v>
      </c>
      <c r="D235" t="s">
        <v>142</v>
      </c>
      <c r="E235" t="str">
        <f>+IFERROR(VLOOKUP(Fact_Control_Operaciones[[#This Row], [Concepto Anterior]],Conceptos_Control_Operaciones[#All],5,0),"")</f>
        <v>Gestion merma inventario</v>
      </c>
      <c r="F235" t="str">
        <f ca="1">+IFERROR(VLOOKUP(Fact_Control_Operaciones[[#This Row], [Concepto Anterior]],Conceptos_Control_Operaciones[#All],7,0),"")</f>
        <v/>
      </c>
      <c r="G235" t="s">
        <v>172</v>
      </c>
      <c r="H235" t="s">
        <v>172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93">
        <v>82787653</v>
      </c>
    </row>
    <row r="236" spans="1:11" ht="18.75" customHeight="1" x14ac:dyDescent="0.35">
      <c r="A236" s="93">
        <v>2025</v>
      </c>
      <c r="B236" t="s">
        <v>180</v>
      </c>
      <c r="C236" s="100">
        <f>IF(OR(Fact_Control_Operaciones[[#This Row], [Año]]="",Fact_Control_Operaciones[[#This Row], [Mes]]=""),"",DATE(A236,MATCH(B236,{"enero","febrero","marzo","abril","mayo","junio","julio","agosto","septiembre","octubre","noviembre","diciembre"},0)+1,0))</f>
        <v>45900</v>
      </c>
      <c r="D236" t="s">
        <v>86</v>
      </c>
      <c r="E236" t="str">
        <f>+IFERROR(VLOOKUP(Fact_Control_Operaciones[[#This Row], [Concepto Anterior]],Conceptos_Control_Operaciones[#All],5,0),"")</f>
        <v>Gestiones descuadres en caja</v>
      </c>
      <c r="F236" t="str">
        <f ca="1">+IFERROR(VLOOKUP(Fact_Control_Operaciones[[#This Row], [Concepto Anterior]],Conceptos_Control_Operaciones[#All],7,0),"")</f>
        <v/>
      </c>
      <c r="G236" t="s">
        <v>172</v>
      </c>
      <c r="H236" t="s">
        <v>172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93">
        <v>70</v>
      </c>
    </row>
    <row r="237" spans="1:11" ht="18.75" customHeight="1" x14ac:dyDescent="0.35">
      <c r="A237" s="93">
        <v>2025</v>
      </c>
      <c r="B237" t="s">
        <v>180</v>
      </c>
      <c r="C237" s="100">
        <f>IF(OR(Fact_Control_Operaciones[[#This Row], [Año]]="",Fact_Control_Operaciones[[#This Row], [Mes]]=""),"",DATE(A237,MATCH(B237,{"enero","febrero","marzo","abril","mayo","junio","julio","agosto","septiembre","octubre","noviembre","diciembre"},0)+1,0))</f>
        <v>45900</v>
      </c>
      <c r="D237" t="s">
        <v>188</v>
      </c>
      <c r="E237" t="str">
        <f>+IFERROR(VLOOKUP(Fact_Control_Operaciones[[#This Row], [Concepto Anterior]],Conceptos_Control_Operaciones[#All],5,0),"")</f>
        <v>Inventarios fisicos​ GS Falabella</v>
      </c>
      <c r="F237" t="str">
        <f ca="1">+IFERROR(VLOOKUP(Fact_Control_Operaciones[[#This Row], [Concepto Anterior]],Conceptos_Control_Operaciones[#All],7,0),"")</f>
        <v/>
      </c>
      <c r="G237" t="s">
        <v>172</v>
      </c>
      <c r="H237" t="s">
        <v>172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93">
        <v>3</v>
      </c>
    </row>
    <row r="238" spans="1:11" ht="18.75" customHeight="1" x14ac:dyDescent="0.35">
      <c r="A238" s="93">
        <v>2025</v>
      </c>
      <c r="B238" t="s">
        <v>180</v>
      </c>
      <c r="C238" s="100">
        <f>IF(OR(Fact_Control_Operaciones[[#This Row], [Año]]="",Fact_Control_Operaciones[[#This Row], [Mes]]=""),"",DATE(A238,MATCH(B238,{"enero","febrero","marzo","abril","mayo","junio","julio","agosto","septiembre","octubre","noviembre","diciembre"},0)+1,0))</f>
        <v>45900</v>
      </c>
      <c r="D238" t="s">
        <v>189</v>
      </c>
      <c r="E238" t="str">
        <f>+IFERROR(VLOOKUP(Fact_Control_Operaciones[[#This Row], [Concepto Anterior]],Conceptos_Control_Operaciones[#All],5,0),"")</f>
        <v>Inventarios fisicos​ tiendas propias y franquicias</v>
      </c>
      <c r="F238" t="str">
        <f ca="1">+IFERROR(VLOOKUP(Fact_Control_Operaciones[[#This Row], [Concepto Anterior]],Conceptos_Control_Operaciones[#All],7,0),"")</f>
        <v/>
      </c>
      <c r="G238" t="s">
        <v>172</v>
      </c>
      <c r="H238" t="s">
        <v>172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93">
        <v>36</v>
      </c>
    </row>
    <row r="239" spans="1:11" ht="18.75" customHeight="1" x14ac:dyDescent="0.35">
      <c r="A239" s="93">
        <v>2025</v>
      </c>
      <c r="B239" t="s">
        <v>180</v>
      </c>
      <c r="C239" s="100">
        <f>IF(OR(Fact_Control_Operaciones[[#This Row], [Año]]="",Fact_Control_Operaciones[[#This Row], [Mes]]=""),"",DATE(A239,MATCH(B239,{"enero","febrero","marzo","abril","mayo","junio","julio","agosto","septiembre","octubre","noviembre","diciembre"},0)+1,0))</f>
        <v>45900</v>
      </c>
      <c r="D239" t="s">
        <v>190</v>
      </c>
      <c r="E239" t="str">
        <f>+IFERROR(VLOOKUP(Fact_Control_Operaciones[[#This Row], [Concepto Anterior]],Conceptos_Control_Operaciones[#All],5,0),"")</f>
        <v>Paz y Salvo Retiros​</v>
      </c>
      <c r="F239" t="str">
        <f ca="1">+IFERROR(VLOOKUP(Fact_Control_Operaciones[[#This Row], [Concepto Anterior]],Conceptos_Control_Operaciones[#All],7,0),"")</f>
        <v/>
      </c>
      <c r="G239" t="s">
        <v>172</v>
      </c>
      <c r="H239" t="s">
        <v>172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93">
        <v>11</v>
      </c>
    </row>
    <row r="240" spans="1:11" ht="18.75" customHeight="1" x14ac:dyDescent="0.35">
      <c r="A240" s="93">
        <v>2025</v>
      </c>
      <c r="B240" t="s">
        <v>180</v>
      </c>
      <c r="C240" s="100">
        <f>IF(OR(Fact_Control_Operaciones[[#This Row], [Año]]="",Fact_Control_Operaciones[[#This Row], [Mes]]=""),"",DATE(A240,MATCH(B240,{"enero","febrero","marzo","abril","mayo","junio","julio","agosto","septiembre","octubre","noviembre","diciembre"},0)+1,0))</f>
        <v>45900</v>
      </c>
      <c r="D240" t="s">
        <v>90</v>
      </c>
      <c r="E240" t="str">
        <f>+IFERROR(VLOOKUP(Fact_Control_Operaciones[[#This Row], [Concepto Anterior]],Conceptos_Control_Operaciones[#All],5,0),"")</f>
        <v>Recuperaciones descuadres en caja</v>
      </c>
      <c r="F240" t="str">
        <f ca="1">+IFERROR(VLOOKUP(Fact_Control_Operaciones[[#This Row], [Concepto Anterior]],Conceptos_Control_Operaciones[#All],7,0),"")</f>
        <v/>
      </c>
      <c r="G240" t="s">
        <v>172</v>
      </c>
      <c r="H240" t="s">
        <v>172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93">
        <v>1028953</v>
      </c>
    </row>
    <row r="241" spans="1:11" ht="18.75" customHeight="1" x14ac:dyDescent="0.35">
      <c r="A241" s="93">
        <v>2025</v>
      </c>
      <c r="B241" t="s">
        <v>180</v>
      </c>
      <c r="C241" s="100">
        <f>IF(OR(Fact_Control_Operaciones[[#This Row], [Año]]="",Fact_Control_Operaciones[[#This Row], [Mes]]=""),"",DATE(A241,MATCH(B241,{"enero","febrero","marzo","abril","mayo","junio","julio","agosto","septiembre","octubre","noviembre","diciembre"},0)+1,0))</f>
        <v>45900</v>
      </c>
      <c r="D241" t="s">
        <v>84</v>
      </c>
      <c r="E241" t="str">
        <f>+IFERROR(VLOOKUP(Fact_Control_Operaciones[[#This Row], [Concepto Anterior]],Conceptos_Control_Operaciones[#All],5,0),"")</f>
        <v>Tickets mesa de servicio</v>
      </c>
      <c r="F241" t="str">
        <f ca="1">+IFERROR(VLOOKUP(Fact_Control_Operaciones[[#This Row], [Concepto Anterior]],Conceptos_Control_Operaciones[#All],7,0),"")</f>
        <v/>
      </c>
      <c r="G241" t="s">
        <v>172</v>
      </c>
      <c r="H241" t="s">
        <v>172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ht="18.75" customHeight="1" x14ac:dyDescent="0.35">
      <c r="A242" s="93">
        <v>2025</v>
      </c>
      <c r="B242" t="s">
        <v>181</v>
      </c>
      <c r="C242" s="100">
        <f>IF(OR(Fact_Control_Operaciones[[#This Row], [Año]]="",Fact_Control_Operaciones[[#This Row], [Mes]]=""),"",DATE(A242,MATCH(B242,{"enero","febrero","marzo","abril","mayo","junio","julio","agosto","septiembre","octubre","noviembre","diciembre"},0)+1,0))</f>
        <v>45930</v>
      </c>
      <c r="D242" t="s">
        <v>186</v>
      </c>
      <c r="E242" t="str">
        <f>+IFERROR(VLOOKUP(Fact_Control_Operaciones[[#This Row], [Concepto Anterior]],Conceptos_Control_Operaciones[#All],5,0),"")</f>
        <v>Arqueos​</v>
      </c>
      <c r="F242" t="str">
        <f ca="1">+IFERROR(VLOOKUP(Fact_Control_Operaciones[[#This Row], [Concepto Anterior]],Conceptos_Control_Operaciones[#All],7,0),"")</f>
        <v/>
      </c>
      <c r="G242" t="s">
        <v>172</v>
      </c>
      <c r="H242" t="s">
        <v>172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93">
        <v>367</v>
      </c>
    </row>
    <row r="243" spans="1:11" ht="18.75" customHeight="1" x14ac:dyDescent="0.35">
      <c r="A243" s="93">
        <v>2025</v>
      </c>
      <c r="B243" t="s">
        <v>181</v>
      </c>
      <c r="C243" s="100">
        <f>IF(OR(Fact_Control_Operaciones[[#This Row], [Año]]="",Fact_Control_Operaciones[[#This Row], [Mes]]=""),"",DATE(A243,MATCH(B243,{"enero","febrero","marzo","abril","mayo","junio","julio","agosto","septiembre","octubre","noviembre","diciembre"},0)+1,0))</f>
        <v>45930</v>
      </c>
      <c r="D243" t="s">
        <v>191</v>
      </c>
      <c r="E243" t="str">
        <f>+IFERROR(VLOOKUP(Fact_Control_Operaciones[[#This Row], [Concepto Anterior]],Conceptos_Control_Operaciones[#All],5,0),"")</f>
        <v>Cantidad de Inventarios cíclicos</v>
      </c>
      <c r="F243" t="str">
        <f ca="1">+IFERROR(VLOOKUP(Fact_Control_Operaciones[[#This Row], [Concepto Anterior]],Conceptos_Control_Operaciones[#All],7,0),"")</f>
        <v/>
      </c>
      <c r="G243" t="s">
        <v>172</v>
      </c>
      <c r="H243" t="s">
        <v>172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93">
        <v>81</v>
      </c>
    </row>
    <row r="244" spans="1:11" ht="18.75" customHeight="1" x14ac:dyDescent="0.35">
      <c r="A244" s="93">
        <v>2025</v>
      </c>
      <c r="B244" t="s">
        <v>181</v>
      </c>
      <c r="C244" s="100">
        <f>IF(OR(Fact_Control_Operaciones[[#This Row], [Año]]="",Fact_Control_Operaciones[[#This Row], [Mes]]=""),"",DATE(A244,MATCH(B244,{"enero","febrero","marzo","abril","mayo","junio","julio","agosto","septiembre","octubre","noviembre","diciembre"},0)+1,0))</f>
        <v>45930</v>
      </c>
      <c r="D244" t="s">
        <v>187</v>
      </c>
      <c r="E244" t="str">
        <f>+IFERROR(VLOOKUP(Fact_Control_Operaciones[[#This Row], [Concepto Anterior]],Conceptos_Control_Operaciones[#All],5,0),"")</f>
        <v>Capacitaciones</v>
      </c>
      <c r="F244" t="str">
        <f ca="1">+IFERROR(VLOOKUP(Fact_Control_Operaciones[[#This Row], [Concepto Anterior]],Conceptos_Control_Operaciones[#All],7,0),"")</f>
        <v/>
      </c>
      <c r="G244" t="s">
        <v>172</v>
      </c>
      <c r="H244" t="s">
        <v>172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93">
        <v>9</v>
      </c>
    </row>
    <row r="245" spans="1:11" ht="18.75" customHeight="1" x14ac:dyDescent="0.35">
      <c r="A245" s="93">
        <v>2025</v>
      </c>
      <c r="B245" t="s">
        <v>181</v>
      </c>
      <c r="C245" s="100">
        <f>IF(OR(Fact_Control_Operaciones[[#This Row], [Año]]="",Fact_Control_Operaciones[[#This Row], [Mes]]=""),"",DATE(A245,MATCH(B245,{"enero","febrero","marzo","abril","mayo","junio","julio","agosto","septiembre","octubre","noviembre","diciembre"},0)+1,0))</f>
        <v>45930</v>
      </c>
      <c r="D245" t="s">
        <v>85</v>
      </c>
      <c r="E245" t="str">
        <f>+IFERROR(VLOOKUP(Fact_Control_Operaciones[[#This Row], [Concepto Anterior]],Conceptos_Control_Operaciones[#All],5,0),"")</f>
        <v>Causación y Política Caja Menor​</v>
      </c>
      <c r="F245" t="str">
        <f ca="1">+IFERROR(VLOOKUP(Fact_Control_Operaciones[[#This Row], [Concepto Anterior]],Conceptos_Control_Operaciones[#All],7,0),"")</f>
        <v/>
      </c>
      <c r="G245" t="s">
        <v>172</v>
      </c>
      <c r="H245" t="s">
        <v>172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93">
        <v>546</v>
      </c>
    </row>
    <row r="246" spans="1:11" ht="18.75" customHeight="1" x14ac:dyDescent="0.35">
      <c r="A246" s="93">
        <v>2025</v>
      </c>
      <c r="B246" t="s">
        <v>181</v>
      </c>
      <c r="C246" s="100">
        <f>IF(OR(Fact_Control_Operaciones[[#This Row], [Año]]="",Fact_Control_Operaciones[[#This Row], [Mes]]=""),"",DATE(A246,MATCH(B246,{"enero","febrero","marzo","abril","mayo","junio","julio","agosto","septiembre","octubre","noviembre","diciembre"},0)+1,0))</f>
        <v>45930</v>
      </c>
      <c r="D246" t="s">
        <v>139</v>
      </c>
      <c r="E246" t="str">
        <f>+IFERROR(VLOOKUP(Fact_Control_Operaciones[[#This Row], [Concepto Anterior]],Conceptos_Control_Operaciones[#All],5,0),"")</f>
        <v>Dinero recuperado de viajes- tomas fisicas RGIS</v>
      </c>
      <c r="F246" t="str">
        <f ca="1">+IFERROR(VLOOKUP(Fact_Control_Operaciones[[#This Row], [Concepto Anterior]],Conceptos_Control_Operaciones[#All],7,0),"")</f>
        <v/>
      </c>
      <c r="G246" t="s">
        <v>172</v>
      </c>
      <c r="H246" t="s">
        <v>172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ht="18.75" customHeight="1" x14ac:dyDescent="0.35">
      <c r="A247" s="93">
        <v>2025</v>
      </c>
      <c r="B247" t="s">
        <v>181</v>
      </c>
      <c r="C247" s="100">
        <f>IF(OR(Fact_Control_Operaciones[[#This Row], [Año]]="",Fact_Control_Operaciones[[#This Row], [Mes]]=""),"",DATE(A247,MATCH(B247,{"enero","febrero","marzo","abril","mayo","junio","julio","agosto","septiembre","octubre","noviembre","diciembre"},0)+1,0))</f>
        <v>45930</v>
      </c>
      <c r="D247" t="s">
        <v>110</v>
      </c>
      <c r="E247" t="str">
        <f>+IFERROR(VLOOKUP(Fact_Control_Operaciones[[#This Row], [Concepto Anterior]],Conceptos_Control_Operaciones[#All],5,0),"")</f>
        <v>Gasto caja menor deducible</v>
      </c>
      <c r="F247" t="str">
        <f ca="1">+IFERROR(VLOOKUP(Fact_Control_Operaciones[[#This Row], [Concepto Anterior]],Conceptos_Control_Operaciones[#All],7,0),"")</f>
        <v/>
      </c>
      <c r="G247" t="s">
        <v>172</v>
      </c>
      <c r="H247" t="s">
        <v>172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93">
        <v>37871394</v>
      </c>
    </row>
    <row r="248" spans="1:11" ht="18.75" customHeight="1" x14ac:dyDescent="0.35">
      <c r="A248" s="93">
        <v>2025</v>
      </c>
      <c r="B248" t="s">
        <v>181</v>
      </c>
      <c r="C248" s="100">
        <f>IF(OR(Fact_Control_Operaciones[[#This Row], [Año]]="",Fact_Control_Operaciones[[#This Row], [Mes]]=""),"",DATE(A248,MATCH(B248,{"enero","febrero","marzo","abril","mayo","junio","julio","agosto","septiembre","octubre","noviembre","diciembre"},0)+1,0))</f>
        <v>45930</v>
      </c>
      <c r="D248" t="s">
        <v>109</v>
      </c>
      <c r="E248" t="str">
        <f>+IFERROR(VLOOKUP(Fact_Control_Operaciones[[#This Row], [Concepto Anterior]],Conceptos_Control_Operaciones[#All],5,0),"")</f>
        <v>Gasto caja menor no deducible</v>
      </c>
      <c r="F248" t="str">
        <f ca="1">+IFERROR(VLOOKUP(Fact_Control_Operaciones[[#This Row], [Concepto Anterior]],Conceptos_Control_Operaciones[#All],7,0),"")</f>
        <v/>
      </c>
      <c r="G248" t="s">
        <v>172</v>
      </c>
      <c r="H248" t="s">
        <v>172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93">
        <v>2205924</v>
      </c>
    </row>
    <row r="249" spans="1:11" ht="18.75" customHeight="1" x14ac:dyDescent="0.35">
      <c r="A249" s="93">
        <v>2025</v>
      </c>
      <c r="B249" t="s">
        <v>181</v>
      </c>
      <c r="C249" s="100">
        <f>IF(OR(Fact_Control_Operaciones[[#This Row], [Año]]="",Fact_Control_Operaciones[[#This Row], [Mes]]=""),"",DATE(A249,MATCH(B249,{"enero","febrero","marzo","abril","mayo","junio","julio","agosto","septiembre","octubre","noviembre","diciembre"},0)+1,0))</f>
        <v>45930</v>
      </c>
      <c r="D249" t="s">
        <v>142</v>
      </c>
      <c r="E249" t="str">
        <f>+IFERROR(VLOOKUP(Fact_Control_Operaciones[[#This Row], [Concepto Anterior]],Conceptos_Control_Operaciones[#All],5,0),"")</f>
        <v>Gestion merma inventario</v>
      </c>
      <c r="F249" t="str">
        <f ca="1">+IFERROR(VLOOKUP(Fact_Control_Operaciones[[#This Row], [Concepto Anterior]],Conceptos_Control_Operaciones[#All],7,0),"")</f>
        <v/>
      </c>
      <c r="G249" t="s">
        <v>172</v>
      </c>
      <c r="H249" t="s">
        <v>172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93">
        <v>78269553</v>
      </c>
    </row>
    <row r="250" spans="1:11" ht="18.75" customHeight="1" x14ac:dyDescent="0.35">
      <c r="A250" s="93">
        <v>2025</v>
      </c>
      <c r="B250" t="s">
        <v>181</v>
      </c>
      <c r="C250" s="100">
        <f>IF(OR(Fact_Control_Operaciones[[#This Row], [Año]]="",Fact_Control_Operaciones[[#This Row], [Mes]]=""),"",DATE(A250,MATCH(B250,{"enero","febrero","marzo","abril","mayo","junio","julio","agosto","septiembre","octubre","noviembre","diciembre"},0)+1,0))</f>
        <v>45930</v>
      </c>
      <c r="D250" t="s">
        <v>86</v>
      </c>
      <c r="E250" t="str">
        <f>+IFERROR(VLOOKUP(Fact_Control_Operaciones[[#This Row], [Concepto Anterior]],Conceptos_Control_Operaciones[#All],5,0),"")</f>
        <v>Gestiones descuadres en caja</v>
      </c>
      <c r="F250" t="str">
        <f ca="1">+IFERROR(VLOOKUP(Fact_Control_Operaciones[[#This Row], [Concepto Anterior]],Conceptos_Control_Operaciones[#All],7,0),"")</f>
        <v/>
      </c>
      <c r="G250" t="s">
        <v>172</v>
      </c>
      <c r="H250" t="s">
        <v>172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93">
        <v>94</v>
      </c>
    </row>
    <row r="251" spans="1:11" ht="18.75" customHeight="1" x14ac:dyDescent="0.35">
      <c r="A251" s="93">
        <v>2025</v>
      </c>
      <c r="B251" t="s">
        <v>181</v>
      </c>
      <c r="C251" s="100">
        <f>IF(OR(Fact_Control_Operaciones[[#This Row], [Año]]="",Fact_Control_Operaciones[[#This Row], [Mes]]=""),"",DATE(A251,MATCH(B251,{"enero","febrero","marzo","abril","mayo","junio","julio","agosto","septiembre","octubre","noviembre","diciembre"},0)+1,0))</f>
        <v>45930</v>
      </c>
      <c r="D251" t="s">
        <v>188</v>
      </c>
      <c r="E251" t="str">
        <f>+IFERROR(VLOOKUP(Fact_Control_Operaciones[[#This Row], [Concepto Anterior]],Conceptos_Control_Operaciones[#All],5,0),"")</f>
        <v>Inventarios fisicos​ GS Falabella</v>
      </c>
      <c r="F251" t="str">
        <f ca="1">+IFERROR(VLOOKUP(Fact_Control_Operaciones[[#This Row], [Concepto Anterior]],Conceptos_Control_Operaciones[#All],7,0),"")</f>
        <v/>
      </c>
      <c r="G251" t="s">
        <v>172</v>
      </c>
      <c r="H251" t="s">
        <v>172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93">
        <v>5</v>
      </c>
    </row>
    <row r="252" spans="1:11" ht="18.75" customHeight="1" x14ac:dyDescent="0.35">
      <c r="A252" s="93">
        <v>2025</v>
      </c>
      <c r="B252" t="s">
        <v>181</v>
      </c>
      <c r="C252" s="100">
        <f>IF(OR(Fact_Control_Operaciones[[#This Row], [Año]]="",Fact_Control_Operaciones[[#This Row], [Mes]]=""),"",DATE(A252,MATCH(B252,{"enero","febrero","marzo","abril","mayo","junio","julio","agosto","septiembre","octubre","noviembre","diciembre"},0)+1,0))</f>
        <v>45930</v>
      </c>
      <c r="D252" t="s">
        <v>189</v>
      </c>
      <c r="E252" t="str">
        <f>+IFERROR(VLOOKUP(Fact_Control_Operaciones[[#This Row], [Concepto Anterior]],Conceptos_Control_Operaciones[#All],5,0),"")</f>
        <v>Inventarios fisicos​ tiendas propias y franquicias</v>
      </c>
      <c r="F252" t="str">
        <f ca="1">+IFERROR(VLOOKUP(Fact_Control_Operaciones[[#This Row], [Concepto Anterior]],Conceptos_Control_Operaciones[#All],7,0),"")</f>
        <v/>
      </c>
      <c r="G252" t="s">
        <v>172</v>
      </c>
      <c r="H252" t="s">
        <v>172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93">
        <v>87</v>
      </c>
    </row>
    <row r="253" spans="1:11" ht="18.75" customHeight="1" x14ac:dyDescent="0.35">
      <c r="A253" s="93">
        <v>2025</v>
      </c>
      <c r="B253" t="s">
        <v>181</v>
      </c>
      <c r="C253" s="100">
        <f>IF(OR(Fact_Control_Operaciones[[#This Row], [Año]]="",Fact_Control_Operaciones[[#This Row], [Mes]]=""),"",DATE(A253,MATCH(B253,{"enero","febrero","marzo","abril","mayo","junio","julio","agosto","septiembre","octubre","noviembre","diciembre"},0)+1,0))</f>
        <v>45930</v>
      </c>
      <c r="D253" t="s">
        <v>190</v>
      </c>
      <c r="E253" t="str">
        <f>+IFERROR(VLOOKUP(Fact_Control_Operaciones[[#This Row], [Concepto Anterior]],Conceptos_Control_Operaciones[#All],5,0),"")</f>
        <v>Paz y Salvo Retiros​</v>
      </c>
      <c r="F253" t="str">
        <f ca="1">+IFERROR(VLOOKUP(Fact_Control_Operaciones[[#This Row], [Concepto Anterior]],Conceptos_Control_Operaciones[#All],7,0),"")</f>
        <v/>
      </c>
      <c r="G253" t="s">
        <v>172</v>
      </c>
      <c r="H253" t="s">
        <v>172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93">
        <v>5</v>
      </c>
    </row>
    <row r="254" spans="1:11" ht="18.75" customHeight="1" x14ac:dyDescent="0.35">
      <c r="A254" s="93">
        <v>2025</v>
      </c>
      <c r="B254" t="s">
        <v>181</v>
      </c>
      <c r="C254" s="100">
        <f>IF(OR(Fact_Control_Operaciones[[#This Row], [Año]]="",Fact_Control_Operaciones[[#This Row], [Mes]]=""),"",DATE(A254,MATCH(B254,{"enero","febrero","marzo","abril","mayo","junio","julio","agosto","septiembre","octubre","noviembre","diciembre"},0)+1,0))</f>
        <v>45930</v>
      </c>
      <c r="D254" t="s">
        <v>90</v>
      </c>
      <c r="E254" t="str">
        <f>+IFERROR(VLOOKUP(Fact_Control_Operaciones[[#This Row], [Concepto Anterior]],Conceptos_Control_Operaciones[#All],5,0),"")</f>
        <v>Recuperaciones descuadres en caja</v>
      </c>
      <c r="F254" t="str">
        <f ca="1">+IFERROR(VLOOKUP(Fact_Control_Operaciones[[#This Row], [Concepto Anterior]],Conceptos_Control_Operaciones[#All],7,0),"")</f>
        <v/>
      </c>
      <c r="G254" t="s">
        <v>172</v>
      </c>
      <c r="H254" t="s">
        <v>172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93">
        <v>412565</v>
      </c>
    </row>
    <row r="255" spans="1:11" ht="18.75" customHeight="1" x14ac:dyDescent="0.35">
      <c r="A255" s="93">
        <v>2025</v>
      </c>
      <c r="B255" t="s">
        <v>181</v>
      </c>
      <c r="C255" s="100">
        <f>IF(OR(Fact_Control_Operaciones[[#This Row], [Año]]="",Fact_Control_Operaciones[[#This Row], [Mes]]=""),"",DATE(A255,MATCH(B255,{"enero","febrero","marzo","abril","mayo","junio","julio","agosto","septiembre","octubre","noviembre","diciembre"},0)+1,0))</f>
        <v>45930</v>
      </c>
      <c r="D255" t="s">
        <v>84</v>
      </c>
      <c r="E255" t="str">
        <f>+IFERROR(VLOOKUP(Fact_Control_Operaciones[[#This Row], [Concepto Anterior]],Conceptos_Control_Operaciones[#All],5,0),"")</f>
        <v>Tickets mesa de servicio</v>
      </c>
      <c r="F255" t="str">
        <f ca="1">+IFERROR(VLOOKUP(Fact_Control_Operaciones[[#This Row], [Concepto Anterior]],Conceptos_Control_Operaciones[#All],7,0),"")</f>
        <v/>
      </c>
      <c r="G255" t="s">
        <v>172</v>
      </c>
      <c r="H255" t="s">
        <v>172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ht="18.75" customHeight="1" x14ac:dyDescent="0.35">
      <c r="C256" s="100" t="str">
        <f>IF(OR(Fact_Control_Operaciones[[#This Row], [Año]]="",Fact_Control_Operaciones[[#This Row], [Mes]]=""),"",DATE(A256,MATCH(B256,{"enero","febrero","marzo","abril","mayo","junio","julio","agosto","septiembre","octubre","noviembre","diciembre"},0)+1,0))</f>
        <v/>
      </c>
      <c r="E256" t="str">
        <f>+IFERROR(VLOOKUP(Fact_Control_Operaciones[[#This Row], [Concepto Anterior]],Conceptos_Control_Operaciones[#All],5,0),"")</f>
        <v/>
      </c>
      <c r="F256" t="str">
        <f>+IFERROR(VLOOKUP(Fact_Control_Operaciones[[#This Row], 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ht="18.75" customHeight="1" x14ac:dyDescent="0.35">
      <c r="C257" s="100" t="str">
        <f>IF(OR(Fact_Control_Operaciones[[#This Row], [Año]]="",Fact_Control_Operaciones[[#This Row], [Mes]]=""),"",DATE(A257,MATCH(B257,{"enero","febrero","marzo","abril","mayo","junio","julio","agosto","septiembre","octubre","noviembre","diciembre"},0)+1,0))</f>
        <v/>
      </c>
      <c r="E257" t="str">
        <f>+IFERROR(VLOOKUP(Fact_Control_Operaciones[[#This Row], [Concepto Anterior]],Conceptos_Control_Operaciones[#All],5,0),"")</f>
        <v/>
      </c>
      <c r="F257" t="str">
        <f>+IFERROR(VLOOKUP(Fact_Control_Operaciones[[#This Row], 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ht="18.75" customHeight="1" x14ac:dyDescent="0.35">
      <c r="C258" s="100" t="str">
        <f>IF(OR(Fact_Control_Operaciones[[#This Row], [Año]]="",Fact_Control_Operaciones[[#This Row], [Mes]]=""),"",DATE(A258,MATCH(B258,{"enero","febrero","marzo","abril","mayo","junio","julio","agosto","septiembre","octubre","noviembre","diciembre"},0)+1,0))</f>
        <v/>
      </c>
      <c r="E258" t="str">
        <f>+IFERROR(VLOOKUP(Fact_Control_Operaciones[[#This Row], [Concepto Anterior]],Conceptos_Control_Operaciones[#All],5,0),"")</f>
        <v/>
      </c>
      <c r="F258" t="str">
        <f>+IFERROR(VLOOKUP(Fact_Control_Operaciones[[#This Row], 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ht="18.75" customHeight="1" x14ac:dyDescent="0.35">
      <c r="C259" s="100" t="str">
        <f>IF(OR(Fact_Control_Operaciones[[#This Row], [Año]]="",Fact_Control_Operaciones[[#This Row], [Mes]]=""),"",DATE(A259,MATCH(B259,{"enero","febrero","marzo","abril","mayo","junio","julio","agosto","septiembre","octubre","noviembre","diciembre"},0)+1,0))</f>
        <v/>
      </c>
      <c r="E259" t="str">
        <f>+IFERROR(VLOOKUP(Fact_Control_Operaciones[[#This Row], [Concepto Anterior]],Conceptos_Control_Operaciones[#All],5,0),"")</f>
        <v/>
      </c>
      <c r="F259" t="str">
        <f>+IFERROR(VLOOKUP(Fact_Control_Operaciones[[#This Row], 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ht="18.75" customHeight="1" x14ac:dyDescent="0.35">
      <c r="C260" s="100" t="str">
        <f>IF(OR(Fact_Control_Operaciones[[#This Row], [Año]]="",Fact_Control_Operaciones[[#This Row], [Mes]]=""),"",DATE(A260,MATCH(B260,{"enero","febrero","marzo","abril","mayo","junio","julio","agosto","septiembre","octubre","noviembre","diciembre"},0)+1,0))</f>
        <v/>
      </c>
      <c r="E260" t="str">
        <f>+IFERROR(VLOOKUP(Fact_Control_Operaciones[[#This Row], [Concepto Anterior]],Conceptos_Control_Operaciones[#All],5,0),"")</f>
        <v/>
      </c>
      <c r="F260" t="str">
        <f>+IFERROR(VLOOKUP(Fact_Control_Operaciones[[#This Row], 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ht="18.75" customHeight="1" x14ac:dyDescent="0.35">
      <c r="C261" s="100" t="str">
        <f>IF(OR(Fact_Control_Operaciones[[#This Row], [Año]]="",Fact_Control_Operaciones[[#This Row], [Mes]]=""),"",DATE(A261,MATCH(B261,{"enero","febrero","marzo","abril","mayo","junio","julio","agosto","septiembre","octubre","noviembre","diciembre"},0)+1,0))</f>
        <v/>
      </c>
      <c r="E261" t="str">
        <f>+IFERROR(VLOOKUP(Fact_Control_Operaciones[[#This Row], [Concepto Anterior]],Conceptos_Control_Operaciones[#All],5,0),"")</f>
        <v/>
      </c>
      <c r="F261" t="str">
        <f>+IFERROR(VLOOKUP(Fact_Control_Operaciones[[#This Row], 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ht="18.75" customHeight="1" x14ac:dyDescent="0.35">
      <c r="C262" s="100" t="str">
        <f>IF(OR(Fact_Control_Operaciones[[#This Row], [Año]]="",Fact_Control_Operaciones[[#This Row], [Mes]]=""),"",DATE(A262,MATCH(B262,{"enero","febrero","marzo","abril","mayo","junio","julio","agosto","septiembre","octubre","noviembre","diciembre"},0)+1,0))</f>
        <v/>
      </c>
      <c r="E262" t="str">
        <f>+IFERROR(VLOOKUP(Fact_Control_Operaciones[[#This Row], [Concepto Anterior]],Conceptos_Control_Operaciones[#All],5,0),"")</f>
        <v/>
      </c>
      <c r="F262" t="str">
        <f>+IFERROR(VLOOKUP(Fact_Control_Operaciones[[#This Row], 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ht="18.75" customHeight="1" x14ac:dyDescent="0.35">
      <c r="C263" s="100" t="str">
        <f>IF(OR(Fact_Control_Operaciones[[#This Row], [Año]]="",Fact_Control_Operaciones[[#This Row], [Mes]]=""),"",DATE(A263,MATCH(B263,{"enero","febrero","marzo","abril","mayo","junio","julio","agosto","septiembre","octubre","noviembre","diciembre"},0)+1,0))</f>
        <v/>
      </c>
      <c r="E263" t="str">
        <f>+IFERROR(VLOOKUP(Fact_Control_Operaciones[[#This Row], [Concepto Anterior]],Conceptos_Control_Operaciones[#All],5,0),"")</f>
        <v/>
      </c>
      <c r="F263" t="str">
        <f>+IFERROR(VLOOKUP(Fact_Control_Operaciones[[#This Row], 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ht="18.75" customHeight="1" x14ac:dyDescent="0.35">
      <c r="C264" s="100" t="str">
        <f>IF(OR(Fact_Control_Operaciones[[#This Row], [Año]]="",Fact_Control_Operaciones[[#This Row], [Mes]]=""),"",DATE(A264,MATCH(B264,{"enero","febrero","marzo","abril","mayo","junio","julio","agosto","septiembre","octubre","noviembre","diciembre"},0)+1,0))</f>
        <v/>
      </c>
      <c r="E264" t="str">
        <f>+IFERROR(VLOOKUP(Fact_Control_Operaciones[[#This Row], [Concepto Anterior]],Conceptos_Control_Operaciones[#All],5,0),"")</f>
        <v/>
      </c>
      <c r="F264" t="str">
        <f>+IFERROR(VLOOKUP(Fact_Control_Operaciones[[#This Row], 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ht="18.75" customHeight="1" x14ac:dyDescent="0.35">
      <c r="C265" s="100" t="str">
        <f>IF(OR(Fact_Control_Operaciones[[#This Row], [Año]]="",Fact_Control_Operaciones[[#This Row], [Mes]]=""),"",DATE(A265,MATCH(B265,{"enero","febrero","marzo","abril","mayo","junio","julio","agosto","septiembre","octubre","noviembre","diciembre"},0)+1,0))</f>
        <v/>
      </c>
      <c r="E265" t="str">
        <f>+IFERROR(VLOOKUP(Fact_Control_Operaciones[[#This Row], [Concepto Anterior]],Conceptos_Control_Operaciones[#All],5,0),"")</f>
        <v/>
      </c>
      <c r="F265" t="str">
        <f>+IFERROR(VLOOKUP(Fact_Control_Operaciones[[#This Row], 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ht="18.75" customHeight="1" x14ac:dyDescent="0.35">
      <c r="C266" s="100" t="str">
        <f>IF(OR(Fact_Control_Operaciones[[#This Row], [Año]]="",Fact_Control_Operaciones[[#This Row], [Mes]]=""),"",DATE(A266,MATCH(B266,{"enero","febrero","marzo","abril","mayo","junio","julio","agosto","septiembre","octubre","noviembre","diciembre"},0)+1,0))</f>
        <v/>
      </c>
      <c r="E266" t="str">
        <f>+IFERROR(VLOOKUP(Fact_Control_Operaciones[[#This Row], [Concepto Anterior]],Conceptos_Control_Operaciones[#All],5,0),"")</f>
        <v/>
      </c>
      <c r="F266" t="str">
        <f>+IFERROR(VLOOKUP(Fact_Control_Operaciones[[#This Row], 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ht="18.75" customHeight="1" x14ac:dyDescent="0.35">
      <c r="C267" s="100" t="str">
        <f>IF(OR(Fact_Control_Operaciones[[#This Row], [Año]]="",Fact_Control_Operaciones[[#This Row], [Mes]]=""),"",DATE(A267,MATCH(B267,{"enero","febrero","marzo","abril","mayo","junio","julio","agosto","septiembre","octubre","noviembre","diciembre"},0)+1,0))</f>
        <v/>
      </c>
      <c r="E267" t="str">
        <f>+IFERROR(VLOOKUP(Fact_Control_Operaciones[[#This Row], [Concepto Anterior]],Conceptos_Control_Operaciones[#All],5,0),"")</f>
        <v/>
      </c>
      <c r="F267" t="str">
        <f>+IFERROR(VLOOKUP(Fact_Control_Operaciones[[#This Row], 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ht="18.75" customHeight="1" x14ac:dyDescent="0.35">
      <c r="C268" s="100" t="str">
        <f>IF(OR(Fact_Control_Operaciones[[#This Row], [Año]]="",Fact_Control_Operaciones[[#This Row], [Mes]]=""),"",DATE(A268,MATCH(B268,{"enero","febrero","marzo","abril","mayo","junio","julio","agosto","septiembre","octubre","noviembre","diciembre"},0)+1,0))</f>
        <v/>
      </c>
      <c r="E268" t="str">
        <f>+IFERROR(VLOOKUP(Fact_Control_Operaciones[[#This Row], [Concepto Anterior]],Conceptos_Control_Operaciones[#All],5,0),"")</f>
        <v/>
      </c>
      <c r="F268" t="str">
        <f>+IFERROR(VLOOKUP(Fact_Control_Operaciones[[#This Row], 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ht="18.75" customHeight="1" x14ac:dyDescent="0.35">
      <c r="C269" s="100" t="str">
        <f>IF(OR(Fact_Control_Operaciones[[#This Row], [Año]]="",Fact_Control_Operaciones[[#This Row], [Mes]]=""),"",DATE(A269,MATCH(B269,{"enero","febrero","marzo","abril","mayo","junio","julio","agosto","septiembre","octubre","noviembre","diciembre"},0)+1,0))</f>
        <v/>
      </c>
      <c r="E269" t="str">
        <f>+IFERROR(VLOOKUP(Fact_Control_Operaciones[[#This Row], [Concepto Anterior]],Conceptos_Control_Operaciones[#All],5,0),"")</f>
        <v/>
      </c>
      <c r="F269" t="str">
        <f>+IFERROR(VLOOKUP(Fact_Control_Operaciones[[#This Row], 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ht="18.75" customHeight="1" x14ac:dyDescent="0.35">
      <c r="C270" s="100" t="str">
        <f>IF(OR(Fact_Control_Operaciones[[#This Row], [Año]]="",Fact_Control_Operaciones[[#This Row], [Mes]]=""),"",DATE(A270,MATCH(B270,{"enero","febrero","marzo","abril","mayo","junio","julio","agosto","septiembre","octubre","noviembre","diciembre"},0)+1,0))</f>
        <v/>
      </c>
      <c r="E270" t="str">
        <f>+IFERROR(VLOOKUP(Fact_Control_Operaciones[[#This Row], [Concepto Anterior]],Conceptos_Control_Operaciones[#All],5,0),"")</f>
        <v/>
      </c>
      <c r="F270" t="str">
        <f>+IFERROR(VLOOKUP(Fact_Control_Operaciones[[#This Row], 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ht="18.75" customHeight="1" x14ac:dyDescent="0.35">
      <c r="C271" s="100" t="str">
        <f>IF(OR(Fact_Control_Operaciones[[#This Row], [Año]]="",Fact_Control_Operaciones[[#This Row], [Mes]]=""),"",DATE(A271,MATCH(B271,{"enero","febrero","marzo","abril","mayo","junio","julio","agosto","septiembre","octubre","noviembre","diciembre"},0)+1,0))</f>
        <v/>
      </c>
      <c r="E271" t="str">
        <f>+IFERROR(VLOOKUP(Fact_Control_Operaciones[[#This Row], [Concepto Anterior]],Conceptos_Control_Operaciones[#All],5,0),"")</f>
        <v/>
      </c>
      <c r="F271" t="str">
        <f>+IFERROR(VLOOKUP(Fact_Control_Operaciones[[#This Row], 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ht="18.75" customHeight="1" x14ac:dyDescent="0.35">
      <c r="C272" s="100" t="str">
        <f>IF(OR(Fact_Control_Operaciones[[#This Row], [Año]]="",Fact_Control_Operaciones[[#This Row], [Mes]]=""),"",DATE(A272,MATCH(B272,{"enero","febrero","marzo","abril","mayo","junio","julio","agosto","septiembre","octubre","noviembre","diciembre"},0)+1,0))</f>
        <v/>
      </c>
      <c r="E272" t="str">
        <f>+IFERROR(VLOOKUP(Fact_Control_Operaciones[[#This Row], [Concepto Anterior]],Conceptos_Control_Operaciones[#All],5,0),"")</f>
        <v/>
      </c>
      <c r="F272" t="str">
        <f>+IFERROR(VLOOKUP(Fact_Control_Operaciones[[#This Row], 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ht="18.75" customHeight="1" x14ac:dyDescent="0.35">
      <c r="C273" s="100" t="str">
        <f>IF(OR(Fact_Control_Operaciones[[#This Row], [Año]]="",Fact_Control_Operaciones[[#This Row], [Mes]]=""),"",DATE(A273,MATCH(B273,{"enero","febrero","marzo","abril","mayo","junio","julio","agosto","septiembre","octubre","noviembre","diciembre"},0)+1,0))</f>
        <v/>
      </c>
      <c r="E273" t="str">
        <f>+IFERROR(VLOOKUP(Fact_Control_Operaciones[[#This Row], [Concepto Anterior]],Conceptos_Control_Operaciones[#All],5,0),"")</f>
        <v/>
      </c>
      <c r="F273" t="str">
        <f>+IFERROR(VLOOKUP(Fact_Control_Operaciones[[#This Row], 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ht="18.75" customHeight="1" x14ac:dyDescent="0.35">
      <c r="C274" s="100" t="str">
        <f>IF(OR(Fact_Control_Operaciones[[#This Row], [Año]]="",Fact_Control_Operaciones[[#This Row], [Mes]]=""),"",DATE(A274,MATCH(B274,{"enero","febrero","marzo","abril","mayo","junio","julio","agosto","septiembre","octubre","noviembre","diciembre"},0)+1,0))</f>
        <v/>
      </c>
      <c r="E274" t="str">
        <f>+IFERROR(VLOOKUP(Fact_Control_Operaciones[[#This Row], [Concepto Anterior]],Conceptos_Control_Operaciones[#All],5,0),"")</f>
        <v/>
      </c>
      <c r="F274" t="str">
        <f>+IFERROR(VLOOKUP(Fact_Control_Operaciones[[#This Row], 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ht="18.75" customHeight="1" x14ac:dyDescent="0.35">
      <c r="C275" s="100" t="str">
        <f>IF(OR(Fact_Control_Operaciones[[#This Row], [Año]]="",Fact_Control_Operaciones[[#This Row], [Mes]]=""),"",DATE(A275,MATCH(B275,{"enero","febrero","marzo","abril","mayo","junio","julio","agosto","septiembre","octubre","noviembre","diciembre"},0)+1,0))</f>
        <v/>
      </c>
      <c r="E275" t="str">
        <f>+IFERROR(VLOOKUP(Fact_Control_Operaciones[[#This Row], [Concepto Anterior]],Conceptos_Control_Operaciones[#All],5,0),"")</f>
        <v/>
      </c>
      <c r="F275" t="str">
        <f>+IFERROR(VLOOKUP(Fact_Control_Operaciones[[#This Row], 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ht="18.75" customHeight="1" x14ac:dyDescent="0.35">
      <c r="C276" s="100" t="str">
        <f>IF(OR(Fact_Control_Operaciones[[#This Row], [Año]]="",Fact_Control_Operaciones[[#This Row], [Mes]]=""),"",DATE(A276,MATCH(B276,{"enero","febrero","marzo","abril","mayo","junio","julio","agosto","septiembre","octubre","noviembre","diciembre"},0)+1,0))</f>
        <v/>
      </c>
      <c r="E276" t="str">
        <f>+IFERROR(VLOOKUP(Fact_Control_Operaciones[[#This Row], [Concepto Anterior]],Conceptos_Control_Operaciones[#All],5,0),"")</f>
        <v/>
      </c>
      <c r="F276" t="str">
        <f>+IFERROR(VLOOKUP(Fact_Control_Operaciones[[#This Row], 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ht="18.75" customHeight="1" x14ac:dyDescent="0.35">
      <c r="C277" s="100" t="str">
        <f>IF(OR(Fact_Control_Operaciones[[#This Row], [Año]]="",Fact_Control_Operaciones[[#This Row], [Mes]]=""),"",DATE(A277,MATCH(B277,{"enero","febrero","marzo","abril","mayo","junio","julio","agosto","septiembre","octubre","noviembre","diciembre"},0)+1,0))</f>
        <v/>
      </c>
      <c r="E277" t="str">
        <f>+IFERROR(VLOOKUP(Fact_Control_Operaciones[[#This Row], [Concepto Anterior]],Conceptos_Control_Operaciones[#All],5,0),"")</f>
        <v/>
      </c>
      <c r="F277" t="str">
        <f>+IFERROR(VLOOKUP(Fact_Control_Operaciones[[#This Row], 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ht="18.75" customHeight="1" x14ac:dyDescent="0.35">
      <c r="C278" s="100" t="str">
        <f>IF(OR(Fact_Control_Operaciones[[#This Row], [Año]]="",Fact_Control_Operaciones[[#This Row], [Mes]]=""),"",DATE(A278,MATCH(B278,{"enero","febrero","marzo","abril","mayo","junio","julio","agosto","septiembre","octubre","noviembre","diciembre"},0)+1,0))</f>
        <v/>
      </c>
      <c r="E278" t="str">
        <f>+IFERROR(VLOOKUP(Fact_Control_Operaciones[[#This Row], [Concepto Anterior]],Conceptos_Control_Operaciones[#All],5,0),"")</f>
        <v/>
      </c>
      <c r="F278" t="str">
        <f>+IFERROR(VLOOKUP(Fact_Control_Operaciones[[#This Row], 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ht="18.75" customHeight="1" x14ac:dyDescent="0.35">
      <c r="C279" s="100" t="str">
        <f>IF(OR(Fact_Control_Operaciones[[#This Row], [Año]]="",Fact_Control_Operaciones[[#This Row], [Mes]]=""),"",DATE(A279,MATCH(B279,{"enero","febrero","marzo","abril","mayo","junio","julio","agosto","septiembre","octubre","noviembre","diciembre"},0)+1,0))</f>
        <v/>
      </c>
      <c r="E279" t="str">
        <f>+IFERROR(VLOOKUP(Fact_Control_Operaciones[[#This Row], [Concepto Anterior]],Conceptos_Control_Operaciones[#All],5,0),"")</f>
        <v/>
      </c>
      <c r="F279" t="str">
        <f>+IFERROR(VLOOKUP(Fact_Control_Operaciones[[#This Row], 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ht="18.75" customHeight="1" x14ac:dyDescent="0.35">
      <c r="C280" s="100" t="str">
        <f>IF(OR(Fact_Control_Operaciones[[#This Row], [Año]]="",Fact_Control_Operaciones[[#This Row], [Mes]]=""),"",DATE(A280,MATCH(B280,{"enero","febrero","marzo","abril","mayo","junio","julio","agosto","septiembre","octubre","noviembre","diciembre"},0)+1,0))</f>
        <v/>
      </c>
      <c r="E280" t="str">
        <f>+IFERROR(VLOOKUP(Fact_Control_Operaciones[[#This Row], [Concepto Anterior]],Conceptos_Control_Operaciones[#All],5,0),"")</f>
        <v/>
      </c>
      <c r="F280" t="str">
        <f>+IFERROR(VLOOKUP(Fact_Control_Operaciones[[#This Row], 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ht="18.75" customHeight="1" x14ac:dyDescent="0.35">
      <c r="C281" s="100" t="str">
        <f>IF(OR(Fact_Control_Operaciones[[#This Row], [Año]]="",Fact_Control_Operaciones[[#This Row], [Mes]]=""),"",DATE(A281,MATCH(B281,{"enero","febrero","marzo","abril","mayo","junio","julio","agosto","septiembre","octubre","noviembre","diciembre"},0)+1,0))</f>
        <v/>
      </c>
      <c r="E281" t="str">
        <f>+IFERROR(VLOOKUP(Fact_Control_Operaciones[[#This Row], [Concepto Anterior]],Conceptos_Control_Operaciones[#All],5,0),"")</f>
        <v/>
      </c>
      <c r="F281" t="str">
        <f>+IFERROR(VLOOKUP(Fact_Control_Operaciones[[#This Row], 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ht="18.75" customHeight="1" x14ac:dyDescent="0.35">
      <c r="C282" s="100" t="str">
        <f>IF(OR(Fact_Control_Operaciones[[#This Row], [Año]]="",Fact_Control_Operaciones[[#This Row], [Mes]]=""),"",DATE(A282,MATCH(B282,{"enero","febrero","marzo","abril","mayo","junio","julio","agosto","septiembre","octubre","noviembre","diciembre"},0)+1,0))</f>
        <v/>
      </c>
      <c r="E282" t="str">
        <f>+IFERROR(VLOOKUP(Fact_Control_Operaciones[[#This Row], [Concepto Anterior]],Conceptos_Control_Operaciones[#All],5,0),"")</f>
        <v/>
      </c>
      <c r="F282" t="str">
        <f>+IFERROR(VLOOKUP(Fact_Control_Operaciones[[#This Row], 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ht="18.75" customHeight="1" x14ac:dyDescent="0.35">
      <c r="C283" s="100" t="str">
        <f>IF(OR(Fact_Control_Operaciones[[#This Row], [Año]]="",Fact_Control_Operaciones[[#This Row], [Mes]]=""),"",DATE(A283,MATCH(B283,{"enero","febrero","marzo","abril","mayo","junio","julio","agosto","septiembre","octubre","noviembre","diciembre"},0)+1,0))</f>
        <v/>
      </c>
      <c r="E283" t="str">
        <f>+IFERROR(VLOOKUP(Fact_Control_Operaciones[[#This Row], [Concepto Anterior]],Conceptos_Control_Operaciones[#All],5,0),"")</f>
        <v/>
      </c>
      <c r="F283" t="str">
        <f>+IFERROR(VLOOKUP(Fact_Control_Operaciones[[#This Row], 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ht="18.75" customHeight="1" x14ac:dyDescent="0.35">
      <c r="C284" s="100" t="str">
        <f>IF(OR(Fact_Control_Operaciones[[#This Row], [Año]]="",Fact_Control_Operaciones[[#This Row], [Mes]]=""),"",DATE(A284,MATCH(B284,{"enero","febrero","marzo","abril","mayo","junio","julio","agosto","septiembre","octubre","noviembre","diciembre"},0)+1,0))</f>
        <v/>
      </c>
      <c r="E284" t="str">
        <f>+IFERROR(VLOOKUP(Fact_Control_Operaciones[[#This Row], [Concepto Anterior]],Conceptos_Control_Operaciones[#All],5,0),"")</f>
        <v/>
      </c>
      <c r="F284" t="str">
        <f>+IFERROR(VLOOKUP(Fact_Control_Operaciones[[#This Row], 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ht="18.75" customHeight="1" x14ac:dyDescent="0.35">
      <c r="C285" s="100" t="str">
        <f>IF(OR(Fact_Control_Operaciones[[#This Row], [Año]]="",Fact_Control_Operaciones[[#This Row], [Mes]]=""),"",DATE(A285,MATCH(B285,{"enero","febrero","marzo","abril","mayo","junio","julio","agosto","septiembre","octubre","noviembre","diciembre"},0)+1,0))</f>
        <v/>
      </c>
      <c r="E285" t="str">
        <f>+IFERROR(VLOOKUP(Fact_Control_Operaciones[[#This Row], [Concepto Anterior]],Conceptos_Control_Operaciones[#All],5,0),"")</f>
        <v/>
      </c>
      <c r="F285" t="str">
        <f>+IFERROR(VLOOKUP(Fact_Control_Operaciones[[#This Row], 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ht="18.75" customHeight="1" x14ac:dyDescent="0.35">
      <c r="C286" s="100" t="str">
        <f>IF(OR(Fact_Control_Operaciones[[#This Row], [Año]]="",Fact_Control_Operaciones[[#This Row], [Mes]]=""),"",DATE(A286,MATCH(B286,{"enero","febrero","marzo","abril","mayo","junio","julio","agosto","septiembre","octubre","noviembre","diciembre"},0)+1,0))</f>
        <v/>
      </c>
      <c r="E286" t="str">
        <f>+IFERROR(VLOOKUP(Fact_Control_Operaciones[[#This Row], [Concepto Anterior]],Conceptos_Control_Operaciones[#All],5,0),"")</f>
        <v/>
      </c>
      <c r="F286" t="str">
        <f>+IFERROR(VLOOKUP(Fact_Control_Operaciones[[#This Row], 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ht="18.75" customHeight="1" x14ac:dyDescent="0.35">
      <c r="C287" s="100" t="str">
        <f>IF(OR(Fact_Control_Operaciones[[#This Row], [Año]]="",Fact_Control_Operaciones[[#This Row], [Mes]]=""),"",DATE(A287,MATCH(B287,{"enero","febrero","marzo","abril","mayo","junio","julio","agosto","septiembre","octubre","noviembre","diciembre"},0)+1,0))</f>
        <v/>
      </c>
      <c r="E287" t="str">
        <f>+IFERROR(VLOOKUP(Fact_Control_Operaciones[[#This Row], [Concepto Anterior]],Conceptos_Control_Operaciones[#All],5,0),"")</f>
        <v/>
      </c>
      <c r="F287" t="str">
        <f>+IFERROR(VLOOKUP(Fact_Control_Operaciones[[#This Row], 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ht="18.75" customHeight="1" x14ac:dyDescent="0.35">
      <c r="C288" s="100" t="str">
        <f>IF(OR(Fact_Control_Operaciones[[#This Row], [Año]]="",Fact_Control_Operaciones[[#This Row], [Mes]]=""),"",DATE(A288,MATCH(B288,{"enero","febrero","marzo","abril","mayo","junio","julio","agosto","septiembre","octubre","noviembre","diciembre"},0)+1,0))</f>
        <v/>
      </c>
      <c r="E288" t="str">
        <f>+IFERROR(VLOOKUP(Fact_Control_Operaciones[[#This Row], [Concepto Anterior]],Conceptos_Control_Operaciones[#All],5,0),"")</f>
        <v/>
      </c>
      <c r="F288" t="str">
        <f>+IFERROR(VLOOKUP(Fact_Control_Operaciones[[#This Row], 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ht="18.75" customHeight="1" x14ac:dyDescent="0.35">
      <c r="C289" s="100" t="str">
        <f>IF(OR(Fact_Control_Operaciones[[#This Row], [Año]]="",Fact_Control_Operaciones[[#This Row], [Mes]]=""),"",DATE(A289,MATCH(B289,{"enero","febrero","marzo","abril","mayo","junio","julio","agosto","septiembre","octubre","noviembre","diciembre"},0)+1,0))</f>
        <v/>
      </c>
      <c r="E289" t="str">
        <f>+IFERROR(VLOOKUP(Fact_Control_Operaciones[[#This Row], [Concepto Anterior]],Conceptos_Control_Operaciones[#All],5,0),"")</f>
        <v/>
      </c>
      <c r="F289" t="str">
        <f>+IFERROR(VLOOKUP(Fact_Control_Operaciones[[#This Row], 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ht="18.75" customHeight="1" x14ac:dyDescent="0.35">
      <c r="C290" s="100" t="str">
        <f>IF(OR(Fact_Control_Operaciones[[#This Row], [Año]]="",Fact_Control_Operaciones[[#This Row], [Mes]]=""),"",DATE(A290,MATCH(B290,{"enero","febrero","marzo","abril","mayo","junio","julio","agosto","septiembre","octubre","noviembre","diciembre"},0)+1,0))</f>
        <v/>
      </c>
      <c r="E290" t="str">
        <f>+IFERROR(VLOOKUP(Fact_Control_Operaciones[[#This Row], [Concepto Anterior]],Conceptos_Control_Operaciones[#All],5,0),"")</f>
        <v/>
      </c>
      <c r="F290" t="str">
        <f>+IFERROR(VLOOKUP(Fact_Control_Operaciones[[#This Row], 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ht="18.75" customHeight="1" x14ac:dyDescent="0.35">
      <c r="C291" s="100" t="str">
        <f>IF(OR(Fact_Control_Operaciones[[#This Row], [Año]]="",Fact_Control_Operaciones[[#This Row], [Mes]]=""),"",DATE(A291,MATCH(B291,{"enero","febrero","marzo","abril","mayo","junio","julio","agosto","septiembre","octubre","noviembre","diciembre"},0)+1,0))</f>
        <v/>
      </c>
      <c r="E291" t="str">
        <f>+IFERROR(VLOOKUP(Fact_Control_Operaciones[[#This Row], [Concepto Anterior]],Conceptos_Control_Operaciones[#All],5,0),"")</f>
        <v/>
      </c>
      <c r="F291" t="str">
        <f>+IFERROR(VLOOKUP(Fact_Control_Operaciones[[#This Row], 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ht="18.75" customHeight="1" x14ac:dyDescent="0.35">
      <c r="C292" s="100" t="str">
        <f>IF(OR(Fact_Control_Operaciones[[#This Row], [Año]]="",Fact_Control_Operaciones[[#This Row], [Mes]]=""),"",DATE(A292,MATCH(B292,{"enero","febrero","marzo","abril","mayo","junio","julio","agosto","septiembre","octubre","noviembre","diciembre"},0)+1,0))</f>
        <v/>
      </c>
      <c r="E292" t="str">
        <f>+IFERROR(VLOOKUP(Fact_Control_Operaciones[[#This Row], [Concepto Anterior]],Conceptos_Control_Operaciones[#All],5,0),"")</f>
        <v/>
      </c>
      <c r="F292" t="str">
        <f>+IFERROR(VLOOKUP(Fact_Control_Operaciones[[#This Row], 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ht="18.75" customHeight="1" x14ac:dyDescent="0.35">
      <c r="C293" s="100" t="str">
        <f>IF(OR(Fact_Control_Operaciones[[#This Row], [Año]]="",Fact_Control_Operaciones[[#This Row], [Mes]]=""),"",DATE(A293,MATCH(B293,{"enero","febrero","marzo","abril","mayo","junio","julio","agosto","septiembre","octubre","noviembre","diciembre"},0)+1,0))</f>
        <v/>
      </c>
      <c r="E293" t="str">
        <f>+IFERROR(VLOOKUP(Fact_Control_Operaciones[[#This Row], [Concepto Anterior]],Conceptos_Control_Operaciones[#All],5,0),"")</f>
        <v/>
      </c>
      <c r="F293" t="str">
        <f>+IFERROR(VLOOKUP(Fact_Control_Operaciones[[#This Row], 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ht="18.75" customHeight="1" x14ac:dyDescent="0.35">
      <c r="C294" s="100" t="str">
        <f>IF(OR(Fact_Control_Operaciones[[#This Row], [Año]]="",Fact_Control_Operaciones[[#This Row], [Mes]]=""),"",DATE(A294,MATCH(B294,{"enero","febrero","marzo","abril","mayo","junio","julio","agosto","septiembre","octubre","noviembre","diciembre"},0)+1,0))</f>
        <v/>
      </c>
      <c r="E294" t="str">
        <f>+IFERROR(VLOOKUP(Fact_Control_Operaciones[[#This Row], [Concepto Anterior]],Conceptos_Control_Operaciones[#All],5,0),"")</f>
        <v/>
      </c>
      <c r="F294" t="str">
        <f>+IFERROR(VLOOKUP(Fact_Control_Operaciones[[#This Row], 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ht="18.75" customHeight="1" x14ac:dyDescent="0.35">
      <c r="C295" s="100" t="str">
        <f>IF(OR(Fact_Control_Operaciones[[#This Row], [Año]]="",Fact_Control_Operaciones[[#This Row], [Mes]]=""),"",DATE(A295,MATCH(B295,{"enero","febrero","marzo","abril","mayo","junio","julio","agosto","septiembre","octubre","noviembre","diciembre"},0)+1,0))</f>
        <v/>
      </c>
      <c r="E295" t="str">
        <f>+IFERROR(VLOOKUP(Fact_Control_Operaciones[[#This Row], [Concepto Anterior]],Conceptos_Control_Operaciones[#All],5,0),"")</f>
        <v/>
      </c>
      <c r="F295" t="str">
        <f>+IFERROR(VLOOKUP(Fact_Control_Operaciones[[#This Row], 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ht="18.75" customHeight="1" x14ac:dyDescent="0.35">
      <c r="C296" s="100" t="str">
        <f>IF(OR(Fact_Control_Operaciones[[#This Row], [Año]]="",Fact_Control_Operaciones[[#This Row], [Mes]]=""),"",DATE(A296,MATCH(B296,{"enero","febrero","marzo","abril","mayo","junio","julio","agosto","septiembre","octubre","noviembre","diciembre"},0)+1,0))</f>
        <v/>
      </c>
      <c r="E296" t="str">
        <f>+IFERROR(VLOOKUP(Fact_Control_Operaciones[[#This Row], [Concepto Anterior]],Conceptos_Control_Operaciones[#All],5,0),"")</f>
        <v/>
      </c>
      <c r="F296" t="str">
        <f>+IFERROR(VLOOKUP(Fact_Control_Operaciones[[#This Row], 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ht="18.75" customHeight="1" x14ac:dyDescent="0.35">
      <c r="C297" s="100" t="str">
        <f>IF(OR(Fact_Control_Operaciones[[#This Row], [Año]]="",Fact_Control_Operaciones[[#This Row], [Mes]]=""),"",DATE(A297,MATCH(B297,{"enero","febrero","marzo","abril","mayo","junio","julio","agosto","septiembre","octubre","noviembre","diciembre"},0)+1,0))</f>
        <v/>
      </c>
      <c r="E297" t="str">
        <f>+IFERROR(VLOOKUP(Fact_Control_Operaciones[[#This Row], [Concepto Anterior]],Conceptos_Control_Operaciones[#All],5,0),"")</f>
        <v/>
      </c>
      <c r="F297" t="str">
        <f>+IFERROR(VLOOKUP(Fact_Control_Operaciones[[#This Row], 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ht="18.75" customHeight="1" x14ac:dyDescent="0.35">
      <c r="C298" s="100" t="str">
        <f>IF(OR(Fact_Control_Operaciones[[#This Row], [Año]]="",Fact_Control_Operaciones[[#This Row], [Mes]]=""),"",DATE(A298,MATCH(B298,{"enero","febrero","marzo","abril","mayo","junio","julio","agosto","septiembre","octubre","noviembre","diciembre"},0)+1,0))</f>
        <v/>
      </c>
      <c r="E298" t="str">
        <f>+IFERROR(VLOOKUP(Fact_Control_Operaciones[[#This Row], [Concepto Anterior]],Conceptos_Control_Operaciones[#All],5,0),"")</f>
        <v/>
      </c>
      <c r="F298" t="str">
        <f>+IFERROR(VLOOKUP(Fact_Control_Operaciones[[#This Row], 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ht="18.75" customHeight="1" x14ac:dyDescent="0.35">
      <c r="C299" s="100" t="str">
        <f>IF(OR(Fact_Control_Operaciones[[#This Row], [Año]]="",Fact_Control_Operaciones[[#This Row], [Mes]]=""),"",DATE(A299,MATCH(B299,{"enero","febrero","marzo","abril","mayo","junio","julio","agosto","septiembre","octubre","noviembre","diciembre"},0)+1,0))</f>
        <v/>
      </c>
      <c r="E299" t="str">
        <f>+IFERROR(VLOOKUP(Fact_Control_Operaciones[[#This Row], [Concepto Anterior]],Conceptos_Control_Operaciones[#All],5,0),"")</f>
        <v/>
      </c>
      <c r="F299" t="str">
        <f>+IFERROR(VLOOKUP(Fact_Control_Operaciones[[#This Row], 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ht="18.75" customHeight="1" x14ac:dyDescent="0.35">
      <c r="C300" s="100" t="str">
        <f>IF(OR(Fact_Control_Operaciones[[#This Row], [Año]]="",Fact_Control_Operaciones[[#This Row], [Mes]]=""),"",DATE(A300,MATCH(B300,{"enero","febrero","marzo","abril","mayo","junio","julio","agosto","septiembre","octubre","noviembre","diciembre"},0)+1,0))</f>
        <v/>
      </c>
      <c r="E300" t="str">
        <f>+IFERROR(VLOOKUP(Fact_Control_Operaciones[[#This Row], [Concepto Anterior]],Conceptos_Control_Operaciones[#All],5,0),"")</f>
        <v/>
      </c>
      <c r="F300" t="str">
        <f>+IFERROR(VLOOKUP(Fact_Control_Operaciones[[#This Row], 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ht="18.75" customHeight="1" x14ac:dyDescent="0.35">
      <c r="C301" s="100" t="str">
        <f>IF(OR(Fact_Control_Operaciones[[#This Row], [Año]]="",Fact_Control_Operaciones[[#This Row], [Mes]]=""),"",DATE(A301,MATCH(B301,{"enero","febrero","marzo","abril","mayo","junio","julio","agosto","septiembre","octubre","noviembre","diciembre"},0)+1,0))</f>
        <v/>
      </c>
      <c r="E301" t="str">
        <f>+IFERROR(VLOOKUP(Fact_Control_Operaciones[[#This Row], [Concepto Anterior]],Conceptos_Control_Operaciones[#All],5,0),"")</f>
        <v/>
      </c>
      <c r="F301" t="str">
        <f>+IFERROR(VLOOKUP(Fact_Control_Operaciones[[#This Row], 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ht="18.75" customHeight="1" x14ac:dyDescent="0.35">
      <c r="C302" s="100" t="str">
        <f>IF(OR(Fact_Control_Operaciones[[#This Row], [Año]]="",Fact_Control_Operaciones[[#This Row], [Mes]]=""),"",DATE(A302,MATCH(B302,{"enero","febrero","marzo","abril","mayo","junio","julio","agosto","septiembre","octubre","noviembre","diciembre"},0)+1,0))</f>
        <v/>
      </c>
      <c r="E302" t="str">
        <f>+IFERROR(VLOOKUP(Fact_Control_Operaciones[[#This Row], [Concepto Anterior]],Conceptos_Control_Operaciones[#All],5,0),"")</f>
        <v/>
      </c>
      <c r="F302" t="str">
        <f>+IFERROR(VLOOKUP(Fact_Control_Operaciones[[#This Row], 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ht="18.75" customHeight="1" x14ac:dyDescent="0.35">
      <c r="C303" s="100" t="str">
        <f>IF(OR(Fact_Control_Operaciones[[#This Row], [Año]]="",Fact_Control_Operaciones[[#This Row], [Mes]]=""),"",DATE(A303,MATCH(B303,{"enero","febrero","marzo","abril","mayo","junio","julio","agosto","septiembre","octubre","noviembre","diciembre"},0)+1,0))</f>
        <v/>
      </c>
      <c r="E303" t="str">
        <f>+IFERROR(VLOOKUP(Fact_Control_Operaciones[[#This Row], [Concepto Anterior]],Conceptos_Control_Operaciones[#All],5,0),"")</f>
        <v/>
      </c>
      <c r="F303" t="str">
        <f>+IFERROR(VLOOKUP(Fact_Control_Operaciones[[#This Row], 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ht="18.75" customHeight="1" x14ac:dyDescent="0.35">
      <c r="C304" s="100" t="str">
        <f>IF(OR(Fact_Control_Operaciones[[#This Row], [Año]]="",Fact_Control_Operaciones[[#This Row], [Mes]]=""),"",DATE(A304,MATCH(B304,{"enero","febrero","marzo","abril","mayo","junio","julio","agosto","septiembre","octubre","noviembre","diciembre"},0)+1,0))</f>
        <v/>
      </c>
      <c r="E304" t="str">
        <f>+IFERROR(VLOOKUP(Fact_Control_Operaciones[[#This Row], [Concepto Anterior]],Conceptos_Control_Operaciones[#All],5,0),"")</f>
        <v/>
      </c>
      <c r="F304" t="str">
        <f>+IFERROR(VLOOKUP(Fact_Control_Operaciones[[#This Row], 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ht="18.75" customHeight="1" x14ac:dyDescent="0.35">
      <c r="C305" s="100" t="str">
        <f>IF(OR(Fact_Control_Operaciones[[#This Row], [Año]]="",Fact_Control_Operaciones[[#This Row], [Mes]]=""),"",DATE(A305,MATCH(B305,{"enero","febrero","marzo","abril","mayo","junio","julio","agosto","septiembre","octubre","noviembre","diciembre"},0)+1,0))</f>
        <v/>
      </c>
      <c r="E305" t="str">
        <f>+IFERROR(VLOOKUP(Fact_Control_Operaciones[[#This Row], [Concepto Anterior]],Conceptos_Control_Operaciones[#All],5,0),"")</f>
        <v/>
      </c>
      <c r="F305" t="str">
        <f>+IFERROR(VLOOKUP(Fact_Control_Operaciones[[#This Row], 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ht="18.75" customHeight="1" x14ac:dyDescent="0.35">
      <c r="C306" s="100" t="str">
        <f>IF(OR(Fact_Control_Operaciones[[#This Row], [Año]]="",Fact_Control_Operaciones[[#This Row], [Mes]]=""),"",DATE(A306,MATCH(B306,{"enero","febrero","marzo","abril","mayo","junio","julio","agosto","septiembre","octubre","noviembre","diciembre"},0)+1,0))</f>
        <v/>
      </c>
      <c r="E306" t="str">
        <f>+IFERROR(VLOOKUP(Fact_Control_Operaciones[[#This Row], [Concepto Anterior]],Conceptos_Control_Operaciones[#All],5,0),"")</f>
        <v/>
      </c>
      <c r="F306" t="str">
        <f>+IFERROR(VLOOKUP(Fact_Control_Operaciones[[#This Row], 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ht="18.75" customHeight="1" x14ac:dyDescent="0.35">
      <c r="C307" s="100" t="str">
        <f>IF(OR(Fact_Control_Operaciones[[#This Row], [Año]]="",Fact_Control_Operaciones[[#This Row], [Mes]]=""),"",DATE(A307,MATCH(B307,{"enero","febrero","marzo","abril","mayo","junio","julio","agosto","septiembre","octubre","noviembre","diciembre"},0)+1,0))</f>
        <v/>
      </c>
      <c r="E307" t="str">
        <f>+IFERROR(VLOOKUP(Fact_Control_Operaciones[[#This Row], [Concepto Anterior]],Conceptos_Control_Operaciones[#All],5,0),"")</f>
        <v/>
      </c>
      <c r="F307" t="str">
        <f>+IFERROR(VLOOKUP(Fact_Control_Operaciones[[#This Row], 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ht="18.75" customHeight="1" x14ac:dyDescent="0.35">
      <c r="C308" s="100" t="str">
        <f>IF(OR(Fact_Control_Operaciones[[#This Row], [Año]]="",Fact_Control_Operaciones[[#This Row], [Mes]]=""),"",DATE(A308,MATCH(B308,{"enero","febrero","marzo","abril","mayo","junio","julio","agosto","septiembre","octubre","noviembre","diciembre"},0)+1,0))</f>
        <v/>
      </c>
      <c r="E308" t="str">
        <f>+IFERROR(VLOOKUP(Fact_Control_Operaciones[[#This Row], [Concepto Anterior]],Conceptos_Control_Operaciones[#All],5,0),"")</f>
        <v/>
      </c>
      <c r="F308" t="str">
        <f>+IFERROR(VLOOKUP(Fact_Control_Operaciones[[#This Row], 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ht="18.75" customHeight="1" x14ac:dyDescent="0.35">
      <c r="C309" s="100" t="str">
        <f>IF(OR(Fact_Control_Operaciones[[#This Row], [Año]]="",Fact_Control_Operaciones[[#This Row], [Mes]]=""),"",DATE(A309,MATCH(B309,{"enero","febrero","marzo","abril","mayo","junio","julio","agosto","septiembre","octubre","noviembre","diciembre"},0)+1,0))</f>
        <v/>
      </c>
      <c r="E309" t="str">
        <f>+IFERROR(VLOOKUP(Fact_Control_Operaciones[[#This Row], [Concepto Anterior]],Conceptos_Control_Operaciones[#All],5,0),"")</f>
        <v/>
      </c>
      <c r="F309" t="str">
        <f>+IFERROR(VLOOKUP(Fact_Control_Operaciones[[#This Row], 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ht="18.75" customHeight="1" x14ac:dyDescent="0.35">
      <c r="C310" s="100" t="str">
        <f>IF(OR(Fact_Control_Operaciones[[#This Row], [Año]]="",Fact_Control_Operaciones[[#This Row], [Mes]]=""),"",DATE(A310,MATCH(B310,{"enero","febrero","marzo","abril","mayo","junio","julio","agosto","septiembre","octubre","noviembre","diciembre"},0)+1,0))</f>
        <v/>
      </c>
      <c r="E310" t="str">
        <f>+IFERROR(VLOOKUP(Fact_Control_Operaciones[[#This Row], [Concepto Anterior]],Conceptos_Control_Operaciones[#All],5,0),"")</f>
        <v/>
      </c>
      <c r="F310" t="str">
        <f>+IFERROR(VLOOKUP(Fact_Control_Operaciones[[#This Row], 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ht="18.75" customHeight="1" x14ac:dyDescent="0.35">
      <c r="C311" s="100" t="str">
        <f>IF(OR(Fact_Control_Operaciones[[#This Row], [Año]]="",Fact_Control_Operaciones[[#This Row], [Mes]]=""),"",DATE(A311,MATCH(B311,{"enero","febrero","marzo","abril","mayo","junio","julio","agosto","septiembre","octubre","noviembre","diciembre"},0)+1,0))</f>
        <v/>
      </c>
      <c r="E311" t="str">
        <f>+IFERROR(VLOOKUP(Fact_Control_Operaciones[[#This Row], [Concepto Anterior]],Conceptos_Control_Operaciones[#All],5,0),"")</f>
        <v/>
      </c>
      <c r="F311" t="str">
        <f>+IFERROR(VLOOKUP(Fact_Control_Operaciones[[#This Row], 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ht="18.75" customHeight="1" x14ac:dyDescent="0.35">
      <c r="C312" s="100" t="str">
        <f>IF(OR(Fact_Control_Operaciones[[#This Row], [Año]]="",Fact_Control_Operaciones[[#This Row], [Mes]]=""),"",DATE(A312,MATCH(B312,{"enero","febrero","marzo","abril","mayo","junio","julio","agosto","septiembre","octubre","noviembre","diciembre"},0)+1,0))</f>
        <v/>
      </c>
      <c r="E312" t="str">
        <f>+IFERROR(VLOOKUP(Fact_Control_Operaciones[[#This Row], [Concepto Anterior]],Conceptos_Control_Operaciones[#All],5,0),"")</f>
        <v/>
      </c>
      <c r="F312" t="str">
        <f>+IFERROR(VLOOKUP(Fact_Control_Operaciones[[#This Row], 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ht="18.75" customHeight="1" x14ac:dyDescent="0.35">
      <c r="C313" s="100" t="str">
        <f>IF(OR(Fact_Control_Operaciones[[#This Row], [Año]]="",Fact_Control_Operaciones[[#This Row], [Mes]]=""),"",DATE(A313,MATCH(B313,{"enero","febrero","marzo","abril","mayo","junio","julio","agosto","septiembre","octubre","noviembre","diciembre"},0)+1,0))</f>
        <v/>
      </c>
      <c r="E313" t="str">
        <f>+IFERROR(VLOOKUP(Fact_Control_Operaciones[[#This Row], [Concepto Anterior]],Conceptos_Control_Operaciones[#All],5,0),"")</f>
        <v/>
      </c>
      <c r="F313" t="str">
        <f>+IFERROR(VLOOKUP(Fact_Control_Operaciones[[#This Row], 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ht="18.75" customHeight="1" x14ac:dyDescent="0.35">
      <c r="C314" s="100" t="str">
        <f>IF(OR(Fact_Control_Operaciones[[#This Row], [Año]]="",Fact_Control_Operaciones[[#This Row], [Mes]]=""),"",DATE(A314,MATCH(B314,{"enero","febrero","marzo","abril","mayo","junio","julio","agosto","septiembre","octubre","noviembre","diciembre"},0)+1,0))</f>
        <v/>
      </c>
      <c r="E314" t="str">
        <f>+IFERROR(VLOOKUP(Fact_Control_Operaciones[[#This Row], [Concepto Anterior]],Conceptos_Control_Operaciones[#All],5,0),"")</f>
        <v/>
      </c>
      <c r="F314" t="str">
        <f>+IFERROR(VLOOKUP(Fact_Control_Operaciones[[#This Row], 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ht="18.75" customHeight="1" x14ac:dyDescent="0.35">
      <c r="C315" s="100" t="str">
        <f>IF(OR(Fact_Control_Operaciones[[#This Row], [Año]]="",Fact_Control_Operaciones[[#This Row], [Mes]]=""),"",DATE(A315,MATCH(B315,{"enero","febrero","marzo","abril","mayo","junio","julio","agosto","septiembre","octubre","noviembre","diciembre"},0)+1,0))</f>
        <v/>
      </c>
      <c r="E315" t="str">
        <f>+IFERROR(VLOOKUP(Fact_Control_Operaciones[[#This Row], [Concepto Anterior]],Conceptos_Control_Operaciones[#All],5,0),"")</f>
        <v/>
      </c>
      <c r="F315" t="str">
        <f>+IFERROR(VLOOKUP(Fact_Control_Operaciones[[#This Row], 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ht="18.75" customHeight="1" x14ac:dyDescent="0.35">
      <c r="C316" s="100" t="str">
        <f>IF(OR(Fact_Control_Operaciones[[#This Row], [Año]]="",Fact_Control_Operaciones[[#This Row], [Mes]]=""),"",DATE(A316,MATCH(B316,{"enero","febrero","marzo","abril","mayo","junio","julio","agosto","septiembre","octubre","noviembre","diciembre"},0)+1,0))</f>
        <v/>
      </c>
      <c r="E316" t="str">
        <f>+IFERROR(VLOOKUP(Fact_Control_Operaciones[[#This Row], [Concepto Anterior]],Conceptos_Control_Operaciones[#All],5,0),"")</f>
        <v/>
      </c>
      <c r="F316" t="str">
        <f>+IFERROR(VLOOKUP(Fact_Control_Operaciones[[#This Row], 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ht="18.75" customHeight="1" x14ac:dyDescent="0.35">
      <c r="C317" s="100" t="str">
        <f>IF(OR(Fact_Control_Operaciones[[#This Row], [Año]]="",Fact_Control_Operaciones[[#This Row], [Mes]]=""),"",DATE(A317,MATCH(B317,{"enero","febrero","marzo","abril","mayo","junio","julio","agosto","septiembre","octubre","noviembre","diciembre"},0)+1,0))</f>
        <v/>
      </c>
      <c r="E317" t="str">
        <f>+IFERROR(VLOOKUP(Fact_Control_Operaciones[[#This Row], [Concepto Anterior]],Conceptos_Control_Operaciones[#All],5,0),"")</f>
        <v/>
      </c>
      <c r="F317" t="str">
        <f>+IFERROR(VLOOKUP(Fact_Control_Operaciones[[#This Row], 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ht="18.75" customHeight="1" x14ac:dyDescent="0.35">
      <c r="C318" s="100" t="str">
        <f>IF(OR(Fact_Control_Operaciones[[#This Row], [Año]]="",Fact_Control_Operaciones[[#This Row], [Mes]]=""),"",DATE(A318,MATCH(B318,{"enero","febrero","marzo","abril","mayo","junio","julio","agosto","septiembre","octubre","noviembre","diciembre"},0)+1,0))</f>
        <v/>
      </c>
      <c r="E318" t="str">
        <f>+IFERROR(VLOOKUP(Fact_Control_Operaciones[[#This Row], [Concepto Anterior]],Conceptos_Control_Operaciones[#All],5,0),"")</f>
        <v/>
      </c>
      <c r="F318" t="str">
        <f>+IFERROR(VLOOKUP(Fact_Control_Operaciones[[#This Row], 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ht="18.75" customHeight="1" x14ac:dyDescent="0.35">
      <c r="C319" s="100" t="str">
        <f>IF(OR(Fact_Control_Operaciones[[#This Row], [Año]]="",Fact_Control_Operaciones[[#This Row], [Mes]]=""),"",DATE(A319,MATCH(B319,{"enero","febrero","marzo","abril","mayo","junio","julio","agosto","septiembre","octubre","noviembre","diciembre"},0)+1,0))</f>
        <v/>
      </c>
      <c r="E319" t="str">
        <f>+IFERROR(VLOOKUP(Fact_Control_Operaciones[[#This Row], [Concepto Anterior]],Conceptos_Control_Operaciones[#All],5,0),"")</f>
        <v/>
      </c>
      <c r="F319" t="str">
        <f>+IFERROR(VLOOKUP(Fact_Control_Operaciones[[#This Row], 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ht="18.75" customHeight="1" x14ac:dyDescent="0.35">
      <c r="C320" s="100" t="str">
        <f>IF(OR(Fact_Control_Operaciones[[#This Row], [Año]]="",Fact_Control_Operaciones[[#This Row], [Mes]]=""),"",DATE(A320,MATCH(B320,{"enero","febrero","marzo","abril","mayo","junio","julio","agosto","septiembre","octubre","noviembre","diciembre"},0)+1,0))</f>
        <v/>
      </c>
      <c r="E320" t="str">
        <f>+IFERROR(VLOOKUP(Fact_Control_Operaciones[[#This Row], [Concepto Anterior]],Conceptos_Control_Operaciones[#All],5,0),"")</f>
        <v/>
      </c>
      <c r="F320" t="str">
        <f>+IFERROR(VLOOKUP(Fact_Control_Operaciones[[#This Row], 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ht="18.75" customHeight="1" x14ac:dyDescent="0.35">
      <c r="C321" s="100" t="str">
        <f>IF(OR(Fact_Control_Operaciones[[#This Row], [Año]]="",Fact_Control_Operaciones[[#This Row], [Mes]]=""),"",DATE(A321,MATCH(B321,{"enero","febrero","marzo","abril","mayo","junio","julio","agosto","septiembre","octubre","noviembre","diciembre"},0)+1,0))</f>
        <v/>
      </c>
      <c r="E321" t="str">
        <f>+IFERROR(VLOOKUP(Fact_Control_Operaciones[[#This Row], [Concepto Anterior]],Conceptos_Control_Operaciones[#All],5,0),"")</f>
        <v/>
      </c>
      <c r="F321" t="str">
        <f>+IFERROR(VLOOKUP(Fact_Control_Operaciones[[#This Row], 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ht="18.75" customHeight="1" x14ac:dyDescent="0.35">
      <c r="C322" s="100" t="str">
        <f>IF(OR(Fact_Control_Operaciones[[#This Row], [Año]]="",Fact_Control_Operaciones[[#This Row], [Mes]]=""),"",DATE(A322,MATCH(B322,{"enero","febrero","marzo","abril","mayo","junio","julio","agosto","septiembre","octubre","noviembre","diciembre"},0)+1,0))</f>
        <v/>
      </c>
      <c r="E322" t="str">
        <f>+IFERROR(VLOOKUP(Fact_Control_Operaciones[[#This Row], [Concepto Anterior]],Conceptos_Control_Operaciones[#All],5,0),"")</f>
        <v/>
      </c>
      <c r="F322" t="str">
        <f>+IFERROR(VLOOKUP(Fact_Control_Operaciones[[#This Row], 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ht="18.75" customHeight="1" x14ac:dyDescent="0.35">
      <c r="C323" s="100" t="str">
        <f>IF(OR(Fact_Control_Operaciones[[#This Row], [Año]]="",Fact_Control_Operaciones[[#This Row], [Mes]]=""),"",DATE(A323,MATCH(B323,{"enero","febrero","marzo","abril","mayo","junio","julio","agosto","septiembre","octubre","noviembre","diciembre"},0)+1,0))</f>
        <v/>
      </c>
      <c r="E323" t="str">
        <f>+IFERROR(VLOOKUP(Fact_Control_Operaciones[[#This Row], [Concepto Anterior]],Conceptos_Control_Operaciones[#All],5,0),"")</f>
        <v/>
      </c>
      <c r="F323" t="str">
        <f>+IFERROR(VLOOKUP(Fact_Control_Operaciones[[#This Row], 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ht="18.75" customHeight="1" x14ac:dyDescent="0.35">
      <c r="C324" s="100" t="str">
        <f>IF(OR(Fact_Control_Operaciones[[#This Row], [Año]]="",Fact_Control_Operaciones[[#This Row], [Mes]]=""),"",DATE(A324,MATCH(B324,{"enero","febrero","marzo","abril","mayo","junio","julio","agosto","septiembre","octubre","noviembre","diciembre"},0)+1,0))</f>
        <v/>
      </c>
      <c r="E324" t="str">
        <f>+IFERROR(VLOOKUP(Fact_Control_Operaciones[[#This Row], [Concepto Anterior]],Conceptos_Control_Operaciones[#All],5,0),"")</f>
        <v/>
      </c>
      <c r="F324" t="str">
        <f>+IFERROR(VLOOKUP(Fact_Control_Operaciones[[#This Row], 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ht="18.75" customHeight="1" x14ac:dyDescent="0.35">
      <c r="C325" s="100" t="str">
        <f>IF(OR(Fact_Control_Operaciones[[#This Row], [Año]]="",Fact_Control_Operaciones[[#This Row], [Mes]]=""),"",DATE(A325,MATCH(B325,{"enero","febrero","marzo","abril","mayo","junio","julio","agosto","septiembre","octubre","noviembre","diciembre"},0)+1,0))</f>
        <v/>
      </c>
      <c r="E325" t="str">
        <f>+IFERROR(VLOOKUP(Fact_Control_Operaciones[[#This Row], [Concepto Anterior]],Conceptos_Control_Operaciones[#All],5,0),"")</f>
        <v/>
      </c>
      <c r="F325" t="str">
        <f>+IFERROR(VLOOKUP(Fact_Control_Operaciones[[#This Row], 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ht="18.75" customHeight="1" x14ac:dyDescent="0.35">
      <c r="C326" s="100" t="str">
        <f>IF(OR(Fact_Control_Operaciones[[#This Row], [Año]]="",Fact_Control_Operaciones[[#This Row], [Mes]]=""),"",DATE(A326,MATCH(B326,{"enero","febrero","marzo","abril","mayo","junio","julio","agosto","septiembre","octubre","noviembre","diciembre"},0)+1,0))</f>
        <v/>
      </c>
      <c r="E326" t="str">
        <f>+IFERROR(VLOOKUP(Fact_Control_Operaciones[[#This Row], [Concepto Anterior]],Conceptos_Control_Operaciones[#All],5,0),"")</f>
        <v/>
      </c>
      <c r="F326" t="str">
        <f>+IFERROR(VLOOKUP(Fact_Control_Operaciones[[#This Row], 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ht="18.75" customHeight="1" x14ac:dyDescent="0.35">
      <c r="C327" s="100" t="str">
        <f>IF(OR(Fact_Control_Operaciones[[#This Row], [Año]]="",Fact_Control_Operaciones[[#This Row], [Mes]]=""),"",DATE(A327,MATCH(B327,{"enero","febrero","marzo","abril","mayo","junio","julio","agosto","septiembre","octubre","noviembre","diciembre"},0)+1,0))</f>
        <v/>
      </c>
      <c r="E327" t="str">
        <f>+IFERROR(VLOOKUP(Fact_Control_Operaciones[[#This Row], [Concepto Anterior]],Conceptos_Control_Operaciones[#All],5,0),"")</f>
        <v/>
      </c>
      <c r="F327" t="str">
        <f>+IFERROR(VLOOKUP(Fact_Control_Operaciones[[#This Row], 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ht="18.75" customHeight="1" x14ac:dyDescent="0.35">
      <c r="C328" s="100" t="str">
        <f>IF(OR(Fact_Control_Operaciones[[#This Row], [Año]]="",Fact_Control_Operaciones[[#This Row], [Mes]]=""),"",DATE(A328,MATCH(B328,{"enero","febrero","marzo","abril","mayo","junio","julio","agosto","septiembre","octubre","noviembre","diciembre"},0)+1,0))</f>
        <v/>
      </c>
      <c r="E328" t="str">
        <f>+IFERROR(VLOOKUP(Fact_Control_Operaciones[[#This Row], [Concepto Anterior]],Conceptos_Control_Operaciones[#All],5,0),"")</f>
        <v/>
      </c>
      <c r="F328" t="str">
        <f>+IFERROR(VLOOKUP(Fact_Control_Operaciones[[#This Row], 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ht="18.75" customHeight="1" x14ac:dyDescent="0.35">
      <c r="C329" s="100" t="str">
        <f>IF(OR(Fact_Control_Operaciones[[#This Row], [Año]]="",Fact_Control_Operaciones[[#This Row], [Mes]]=""),"",DATE(A329,MATCH(B329,{"enero","febrero","marzo","abril","mayo","junio","julio","agosto","septiembre","octubre","noviembre","diciembre"},0)+1,0))</f>
        <v/>
      </c>
      <c r="E329" t="str">
        <f>+IFERROR(VLOOKUP(Fact_Control_Operaciones[[#This Row], [Concepto Anterior]],Conceptos_Control_Operaciones[#All],5,0),"")</f>
        <v/>
      </c>
      <c r="F329" t="str">
        <f>+IFERROR(VLOOKUP(Fact_Control_Operaciones[[#This Row], 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ht="18.75" customHeight="1" x14ac:dyDescent="0.35">
      <c r="C330" s="100" t="str">
        <f>IF(OR(Fact_Control_Operaciones[[#This Row], [Año]]="",Fact_Control_Operaciones[[#This Row], [Mes]]=""),"",DATE(A330,MATCH(B330,{"enero","febrero","marzo","abril","mayo","junio","julio","agosto","septiembre","octubre","noviembre","diciembre"},0)+1,0))</f>
        <v/>
      </c>
      <c r="E330" t="str">
        <f>+IFERROR(VLOOKUP(Fact_Control_Operaciones[[#This Row], [Concepto Anterior]],Conceptos_Control_Operaciones[#All],5,0),"")</f>
        <v/>
      </c>
      <c r="F330" t="str">
        <f>+IFERROR(VLOOKUP(Fact_Control_Operaciones[[#This Row], 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ht="18.75" customHeight="1" x14ac:dyDescent="0.35">
      <c r="C331" s="100" t="str">
        <f>IF(OR(Fact_Control_Operaciones[[#This Row], [Año]]="",Fact_Control_Operaciones[[#This Row], [Mes]]=""),"",DATE(A331,MATCH(B331,{"enero","febrero","marzo","abril","mayo","junio","julio","agosto","septiembre","octubre","noviembre","diciembre"},0)+1,0))</f>
        <v/>
      </c>
      <c r="E331" t="str">
        <f>+IFERROR(VLOOKUP(Fact_Control_Operaciones[[#This Row], [Concepto Anterior]],Conceptos_Control_Operaciones[#All],5,0),"")</f>
        <v/>
      </c>
      <c r="F331" t="str">
        <f>+IFERROR(VLOOKUP(Fact_Control_Operaciones[[#This Row], 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ht="18.75" customHeight="1" x14ac:dyDescent="0.35">
      <c r="C332" s="100" t="str">
        <f>IF(OR(Fact_Control_Operaciones[[#This Row], [Año]]="",Fact_Control_Operaciones[[#This Row], [Mes]]=""),"",DATE(A332,MATCH(B332,{"enero","febrero","marzo","abril","mayo","junio","julio","agosto","septiembre","octubre","noviembre","diciembre"},0)+1,0))</f>
        <v/>
      </c>
      <c r="E332" t="str">
        <f>+IFERROR(VLOOKUP(Fact_Control_Operaciones[[#This Row], [Concepto Anterior]],Conceptos_Control_Operaciones[#All],5,0),"")</f>
        <v/>
      </c>
      <c r="F332" t="str">
        <f>+IFERROR(VLOOKUP(Fact_Control_Operaciones[[#This Row], 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ht="18.75" customHeight="1" x14ac:dyDescent="0.35">
      <c r="C333" s="100" t="str">
        <f>IF(OR(Fact_Control_Operaciones[[#This Row], [Año]]="",Fact_Control_Operaciones[[#This Row], [Mes]]=""),"",DATE(A333,MATCH(B333,{"enero","febrero","marzo","abril","mayo","junio","julio","agosto","septiembre","octubre","noviembre","diciembre"},0)+1,0))</f>
        <v/>
      </c>
      <c r="E333" t="str">
        <f>+IFERROR(VLOOKUP(Fact_Control_Operaciones[[#This Row], [Concepto Anterior]],Conceptos_Control_Operaciones[#All],5,0),"")</f>
        <v/>
      </c>
      <c r="F333" t="str">
        <f>+IFERROR(VLOOKUP(Fact_Control_Operaciones[[#This Row], 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ht="18.75" customHeight="1" x14ac:dyDescent="0.35">
      <c r="C334" s="100" t="str">
        <f>IF(OR(Fact_Control_Operaciones[[#This Row], [Año]]="",Fact_Control_Operaciones[[#This Row], [Mes]]=""),"",DATE(A334,MATCH(B334,{"enero","febrero","marzo","abril","mayo","junio","julio","agosto","septiembre","octubre","noviembre","diciembre"},0)+1,0))</f>
        <v/>
      </c>
      <c r="E334" t="str">
        <f>+IFERROR(VLOOKUP(Fact_Control_Operaciones[[#This Row], [Concepto Anterior]],Conceptos_Control_Operaciones[#All],5,0),"")</f>
        <v/>
      </c>
      <c r="F334" t="str">
        <f>+IFERROR(VLOOKUP(Fact_Control_Operaciones[[#This Row], 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ht="18.75" customHeight="1" x14ac:dyDescent="0.35">
      <c r="C335" s="100" t="str">
        <f>IF(OR(Fact_Control_Operaciones[[#This Row], [Año]]="",Fact_Control_Operaciones[[#This Row], [Mes]]=""),"",DATE(A335,MATCH(B335,{"enero","febrero","marzo","abril","mayo","junio","julio","agosto","septiembre","octubre","noviembre","diciembre"},0)+1,0))</f>
        <v/>
      </c>
      <c r="E335" t="str">
        <f>+IFERROR(VLOOKUP(Fact_Control_Operaciones[[#This Row], [Concepto Anterior]],Conceptos_Control_Operaciones[#All],5,0),"")</f>
        <v/>
      </c>
      <c r="F335" t="str">
        <f>+IFERROR(VLOOKUP(Fact_Control_Operaciones[[#This Row], 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ht="18.75" customHeight="1" x14ac:dyDescent="0.35">
      <c r="C336" s="100" t="str">
        <f>IF(OR(Fact_Control_Operaciones[[#This Row], [Año]]="",Fact_Control_Operaciones[[#This Row], [Mes]]=""),"",DATE(A336,MATCH(B336,{"enero","febrero","marzo","abril","mayo","junio","julio","agosto","septiembre","octubre","noviembre","diciembre"},0)+1,0))</f>
        <v/>
      </c>
      <c r="E336" t="str">
        <f>+IFERROR(VLOOKUP(Fact_Control_Operaciones[[#This Row], [Concepto Anterior]],Conceptos_Control_Operaciones[#All],5,0),"")</f>
        <v/>
      </c>
      <c r="F336" t="str">
        <f>+IFERROR(VLOOKUP(Fact_Control_Operaciones[[#This Row], 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ht="18.75" customHeight="1" x14ac:dyDescent="0.35">
      <c r="C337" s="100" t="str">
        <f>IF(OR(Fact_Control_Operaciones[[#This Row], [Año]]="",Fact_Control_Operaciones[[#This Row], [Mes]]=""),"",DATE(A337,MATCH(B337,{"enero","febrero","marzo","abril","mayo","junio","julio","agosto","septiembre","octubre","noviembre","diciembre"},0)+1,0))</f>
        <v/>
      </c>
      <c r="E337" t="str">
        <f>+IFERROR(VLOOKUP(Fact_Control_Operaciones[[#This Row], [Concepto Anterior]],Conceptos_Control_Operaciones[#All],5,0),"")</f>
        <v/>
      </c>
      <c r="F337" t="str">
        <f>+IFERROR(VLOOKUP(Fact_Control_Operaciones[[#This Row], 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ht="18.75" customHeight="1" x14ac:dyDescent="0.35">
      <c r="C338" s="100" t="str">
        <f>IF(OR(Fact_Control_Operaciones[[#This Row], [Año]]="",Fact_Control_Operaciones[[#This Row], [Mes]]=""),"",DATE(A338,MATCH(B338,{"enero","febrero","marzo","abril","mayo","junio","julio","agosto","septiembre","octubre","noviembre","diciembre"},0)+1,0))</f>
        <v/>
      </c>
      <c r="E338" t="str">
        <f>+IFERROR(VLOOKUP(Fact_Control_Operaciones[[#This Row], [Concepto Anterior]],Conceptos_Control_Operaciones[#All],5,0),"")</f>
        <v/>
      </c>
      <c r="F338" t="str">
        <f>+IFERROR(VLOOKUP(Fact_Control_Operaciones[[#This Row], 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ht="18.75" customHeight="1" x14ac:dyDescent="0.35">
      <c r="C339" s="100" t="str">
        <f>IF(OR(Fact_Control_Operaciones[[#This Row], [Año]]="",Fact_Control_Operaciones[[#This Row], [Mes]]=""),"",DATE(A339,MATCH(B339,{"enero","febrero","marzo","abril","mayo","junio","julio","agosto","septiembre","octubre","noviembre","diciembre"},0)+1,0))</f>
        <v/>
      </c>
      <c r="E339" t="str">
        <f>+IFERROR(VLOOKUP(Fact_Control_Operaciones[[#This Row], [Concepto Anterior]],Conceptos_Control_Operaciones[#All],5,0),"")</f>
        <v/>
      </c>
      <c r="F339" t="str">
        <f>+IFERROR(VLOOKUP(Fact_Control_Operaciones[[#This Row], 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ht="18.75" customHeight="1" x14ac:dyDescent="0.35">
      <c r="C340" s="100" t="str">
        <f>IF(OR(Fact_Control_Operaciones[[#This Row], [Año]]="",Fact_Control_Operaciones[[#This Row], [Mes]]=""),"",DATE(A340,MATCH(B340,{"enero","febrero","marzo","abril","mayo","junio","julio","agosto","septiembre","octubre","noviembre","diciembre"},0)+1,0))</f>
        <v/>
      </c>
      <c r="E340" t="str">
        <f>+IFERROR(VLOOKUP(Fact_Control_Operaciones[[#This Row], [Concepto Anterior]],Conceptos_Control_Operaciones[#All],5,0),"")</f>
        <v/>
      </c>
      <c r="F340" t="str">
        <f>+IFERROR(VLOOKUP(Fact_Control_Operaciones[[#This Row], 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ht="18.75" customHeight="1" x14ac:dyDescent="0.35">
      <c r="C341" s="100" t="str">
        <f>IF(OR(Fact_Control_Operaciones[[#This Row], [Año]]="",Fact_Control_Operaciones[[#This Row], [Mes]]=""),"",DATE(A341,MATCH(B341,{"enero","febrero","marzo","abril","mayo","junio","julio","agosto","septiembre","octubre","noviembre","diciembre"},0)+1,0))</f>
        <v/>
      </c>
      <c r="E341" t="str">
        <f>+IFERROR(VLOOKUP(Fact_Control_Operaciones[[#This Row], [Concepto Anterior]],Conceptos_Control_Operaciones[#All],5,0),"")</f>
        <v/>
      </c>
      <c r="F341" t="str">
        <f>+IFERROR(VLOOKUP(Fact_Control_Operaciones[[#This Row], 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ht="18.75" customHeight="1" x14ac:dyDescent="0.35">
      <c r="C342" s="100" t="str">
        <f>IF(OR(Fact_Control_Operaciones[[#This Row], [Año]]="",Fact_Control_Operaciones[[#This Row], [Mes]]=""),"",DATE(A342,MATCH(B342,{"enero","febrero","marzo","abril","mayo","junio","julio","agosto","septiembre","octubre","noviembre","diciembre"},0)+1,0))</f>
        <v/>
      </c>
      <c r="E342" t="str">
        <f>+IFERROR(VLOOKUP(Fact_Control_Operaciones[[#This Row], [Concepto Anterior]],Conceptos_Control_Operaciones[#All],5,0),"")</f>
        <v/>
      </c>
      <c r="F342" t="str">
        <f>+IFERROR(VLOOKUP(Fact_Control_Operaciones[[#This Row], 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ht="18.75" customHeight="1" x14ac:dyDescent="0.35">
      <c r="C343" s="100" t="str">
        <f>IF(OR(Fact_Control_Operaciones[[#This Row], [Año]]="",Fact_Control_Operaciones[[#This Row], [Mes]]=""),"",DATE(A343,MATCH(B343,{"enero","febrero","marzo","abril","mayo","junio","julio","agosto","septiembre","octubre","noviembre","diciembre"},0)+1,0))</f>
        <v/>
      </c>
      <c r="E343" t="str">
        <f>+IFERROR(VLOOKUP(Fact_Control_Operaciones[[#This Row], [Concepto Anterior]],Conceptos_Control_Operaciones[#All],5,0),"")</f>
        <v/>
      </c>
      <c r="F343" t="str">
        <f>+IFERROR(VLOOKUP(Fact_Control_Operaciones[[#This Row], 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ht="18.75" customHeight="1" x14ac:dyDescent="0.35">
      <c r="C344" s="100" t="str">
        <f>IF(OR(Fact_Control_Operaciones[[#This Row], [Año]]="",Fact_Control_Operaciones[[#This Row], [Mes]]=""),"",DATE(A344,MATCH(B344,{"enero","febrero","marzo","abril","mayo","junio","julio","agosto","septiembre","octubre","noviembre","diciembre"},0)+1,0))</f>
        <v/>
      </c>
      <c r="E344" t="str">
        <f>+IFERROR(VLOOKUP(Fact_Control_Operaciones[[#This Row], [Concepto Anterior]],Conceptos_Control_Operaciones[#All],5,0),"")</f>
        <v/>
      </c>
      <c r="F344" t="str">
        <f>+IFERROR(VLOOKUP(Fact_Control_Operaciones[[#This Row], 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ht="18.75" customHeight="1" x14ac:dyDescent="0.35">
      <c r="C345" s="100" t="str">
        <f>IF(OR(Fact_Control_Operaciones[[#This Row], [Año]]="",Fact_Control_Operaciones[[#This Row], [Mes]]=""),"",DATE(A345,MATCH(B345,{"enero","febrero","marzo","abril","mayo","junio","julio","agosto","septiembre","octubre","noviembre","diciembre"},0)+1,0))</f>
        <v/>
      </c>
      <c r="E345" t="str">
        <f>+IFERROR(VLOOKUP(Fact_Control_Operaciones[[#This Row], [Concepto Anterior]],Conceptos_Control_Operaciones[#All],5,0),"")</f>
        <v/>
      </c>
      <c r="F345" t="str">
        <f>+IFERROR(VLOOKUP(Fact_Control_Operaciones[[#This Row], 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ht="18.75" customHeight="1" x14ac:dyDescent="0.35">
      <c r="C346" s="100" t="str">
        <f>IF(OR(Fact_Control_Operaciones[[#This Row], [Año]]="",Fact_Control_Operaciones[[#This Row], [Mes]]=""),"",DATE(A346,MATCH(B346,{"enero","febrero","marzo","abril","mayo","junio","julio","agosto","septiembre","octubre","noviembre","diciembre"},0)+1,0))</f>
        <v/>
      </c>
      <c r="E346" t="str">
        <f>+IFERROR(VLOOKUP(Fact_Control_Operaciones[[#This Row], [Concepto Anterior]],Conceptos_Control_Operaciones[#All],5,0),"")</f>
        <v/>
      </c>
      <c r="F346" t="str">
        <f>+IFERROR(VLOOKUP(Fact_Control_Operaciones[[#This Row], 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ht="18.75" customHeight="1" x14ac:dyDescent="0.35">
      <c r="C347" s="100" t="str">
        <f>IF(OR(Fact_Control_Operaciones[[#This Row], [Año]]="",Fact_Control_Operaciones[[#This Row], [Mes]]=""),"",DATE(A347,MATCH(B347,{"enero","febrero","marzo","abril","mayo","junio","julio","agosto","septiembre","octubre","noviembre","diciembre"},0)+1,0))</f>
        <v/>
      </c>
      <c r="E347" t="str">
        <f>+IFERROR(VLOOKUP(Fact_Control_Operaciones[[#This Row], [Concepto Anterior]],Conceptos_Control_Operaciones[#All],5,0),"")</f>
        <v/>
      </c>
      <c r="F347" t="str">
        <f>+IFERROR(VLOOKUP(Fact_Control_Operaciones[[#This Row], 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ht="18.75" customHeight="1" x14ac:dyDescent="0.35">
      <c r="C348" s="100" t="str">
        <f>IF(OR(Fact_Control_Operaciones[[#This Row], [Año]]="",Fact_Control_Operaciones[[#This Row], [Mes]]=""),"",DATE(A348,MATCH(B348,{"enero","febrero","marzo","abril","mayo","junio","julio","agosto","septiembre","octubre","noviembre","diciembre"},0)+1,0))</f>
        <v/>
      </c>
      <c r="E348" t="str">
        <f>+IFERROR(VLOOKUP(Fact_Control_Operaciones[[#This Row], [Concepto Anterior]],Conceptos_Control_Operaciones[#All],5,0),"")</f>
        <v/>
      </c>
      <c r="F348" t="str">
        <f>+IFERROR(VLOOKUP(Fact_Control_Operaciones[[#This Row], 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ht="18.75" customHeight="1" x14ac:dyDescent="0.35">
      <c r="C349" s="100" t="str">
        <f>IF(OR(Fact_Control_Operaciones[[#This Row], [Año]]="",Fact_Control_Operaciones[[#This Row], [Mes]]=""),"",DATE(A349,MATCH(B349,{"enero","febrero","marzo","abril","mayo","junio","julio","agosto","septiembre","octubre","noviembre","diciembre"},0)+1,0))</f>
        <v/>
      </c>
      <c r="E349" t="str">
        <f>+IFERROR(VLOOKUP(Fact_Control_Operaciones[[#This Row], [Concepto Anterior]],Conceptos_Control_Operaciones[#All],5,0),"")</f>
        <v/>
      </c>
      <c r="F349" t="str">
        <f>+IFERROR(VLOOKUP(Fact_Control_Operaciones[[#This Row], 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ht="18.75" customHeight="1" x14ac:dyDescent="0.35">
      <c r="C350" s="100" t="str">
        <f>IF(OR(Fact_Control_Operaciones[[#This Row], [Año]]="",Fact_Control_Operaciones[[#This Row], [Mes]]=""),"",DATE(A350,MATCH(B350,{"enero","febrero","marzo","abril","mayo","junio","julio","agosto","septiembre","octubre","noviembre","diciembre"},0)+1,0))</f>
        <v/>
      </c>
      <c r="E350" t="str">
        <f>+IFERROR(VLOOKUP(Fact_Control_Operaciones[[#This Row], [Concepto Anterior]],Conceptos_Control_Operaciones[#All],5,0),"")</f>
        <v/>
      </c>
      <c r="F350" t="str">
        <f>+IFERROR(VLOOKUP(Fact_Control_Operaciones[[#This Row], 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ht="18.75" customHeight="1" x14ac:dyDescent="0.35">
      <c r="C351" s="100" t="str">
        <f>IF(OR(Fact_Control_Operaciones[[#This Row], [Año]]="",Fact_Control_Operaciones[[#This Row], [Mes]]=""),"",DATE(A351,MATCH(B351,{"enero","febrero","marzo","abril","mayo","junio","julio","agosto","septiembre","octubre","noviembre","diciembre"},0)+1,0))</f>
        <v/>
      </c>
      <c r="E351" t="str">
        <f>+IFERROR(VLOOKUP(Fact_Control_Operaciones[[#This Row], [Concepto Anterior]],Conceptos_Control_Operaciones[#All],5,0),"")</f>
        <v/>
      </c>
      <c r="F351" t="str">
        <f>+IFERROR(VLOOKUP(Fact_Control_Operaciones[[#This Row], 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ht="18.75" customHeight="1" x14ac:dyDescent="0.35">
      <c r="C352" s="100" t="str">
        <f>IF(OR(Fact_Control_Operaciones[[#This Row], [Año]]="",Fact_Control_Operaciones[[#This Row], [Mes]]=""),"",DATE(A352,MATCH(B352,{"enero","febrero","marzo","abril","mayo","junio","julio","agosto","septiembre","octubre","noviembre","diciembre"},0)+1,0))</f>
        <v/>
      </c>
      <c r="E352" t="str">
        <f>+IFERROR(VLOOKUP(Fact_Control_Operaciones[[#This Row], [Concepto Anterior]],Conceptos_Control_Operaciones[#All],5,0),"")</f>
        <v/>
      </c>
      <c r="F352" t="str">
        <f>+IFERROR(VLOOKUP(Fact_Control_Operaciones[[#This Row], 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ht="18.75" customHeight="1" x14ac:dyDescent="0.35">
      <c r="C353" s="100" t="str">
        <f>IF(OR(Fact_Control_Operaciones[[#This Row], [Año]]="",Fact_Control_Operaciones[[#This Row], [Mes]]=""),"",DATE(A353,MATCH(B353,{"enero","febrero","marzo","abril","mayo","junio","julio","agosto","septiembre","octubre","noviembre","diciembre"},0)+1,0))</f>
        <v/>
      </c>
      <c r="E353" t="str">
        <f>+IFERROR(VLOOKUP(Fact_Control_Operaciones[[#This Row], [Concepto Anterior]],Conceptos_Control_Operaciones[#All],5,0),"")</f>
        <v/>
      </c>
      <c r="F353" t="str">
        <f>+IFERROR(VLOOKUP(Fact_Control_Operaciones[[#This Row], 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ht="18.75" customHeight="1" x14ac:dyDescent="0.35">
      <c r="C354" s="100" t="str">
        <f>IF(OR(Fact_Control_Operaciones[[#This Row], [Año]]="",Fact_Control_Operaciones[[#This Row], [Mes]]=""),"",DATE(A354,MATCH(B354,{"enero","febrero","marzo","abril","mayo","junio","julio","agosto","septiembre","octubre","noviembre","diciembre"},0)+1,0))</f>
        <v/>
      </c>
      <c r="E354" t="str">
        <f>+IFERROR(VLOOKUP(Fact_Control_Operaciones[[#This Row], [Concepto Anterior]],Conceptos_Control_Operaciones[#All],5,0),"")</f>
        <v/>
      </c>
      <c r="F354" t="str">
        <f>+IFERROR(VLOOKUP(Fact_Control_Operaciones[[#This Row], 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ht="18.75" customHeight="1" x14ac:dyDescent="0.35">
      <c r="C355" s="100" t="str">
        <f>IF(OR(Fact_Control_Operaciones[[#This Row], [Año]]="",Fact_Control_Operaciones[[#This Row], [Mes]]=""),"",DATE(A355,MATCH(B355,{"enero","febrero","marzo","abril","mayo","junio","julio","agosto","septiembre","octubre","noviembre","diciembre"},0)+1,0))</f>
        <v/>
      </c>
      <c r="E355" t="str">
        <f>+IFERROR(VLOOKUP(Fact_Control_Operaciones[[#This Row], [Concepto Anterior]],Conceptos_Control_Operaciones[#All],5,0),"")</f>
        <v/>
      </c>
      <c r="F355" t="str">
        <f>+IFERROR(VLOOKUP(Fact_Control_Operaciones[[#This Row], 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ht="18.75" customHeight="1" x14ac:dyDescent="0.35">
      <c r="C356" s="100" t="str">
        <f>IF(OR(Fact_Control_Operaciones[[#This Row], [Año]]="",Fact_Control_Operaciones[[#This Row], [Mes]]=""),"",DATE(A356,MATCH(B356,{"enero","febrero","marzo","abril","mayo","junio","julio","agosto","septiembre","octubre","noviembre","diciembre"},0)+1,0))</f>
        <v/>
      </c>
      <c r="E356" t="str">
        <f>+IFERROR(VLOOKUP(Fact_Control_Operaciones[[#This Row], [Concepto Anterior]],Conceptos_Control_Operaciones[#All],5,0),"")</f>
        <v/>
      </c>
      <c r="F356" t="str">
        <f>+IFERROR(VLOOKUP(Fact_Control_Operaciones[[#This Row], 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ht="18.75" customHeight="1" x14ac:dyDescent="0.35">
      <c r="C357" s="100" t="str">
        <f>IF(OR(Fact_Control_Operaciones[[#This Row], [Año]]="",Fact_Control_Operaciones[[#This Row], [Mes]]=""),"",DATE(A357,MATCH(B357,{"enero","febrero","marzo","abril","mayo","junio","julio","agosto","septiembre","octubre","noviembre","diciembre"},0)+1,0))</f>
        <v/>
      </c>
      <c r="E357" t="str">
        <f>+IFERROR(VLOOKUP(Fact_Control_Operaciones[[#This Row], [Concepto Anterior]],Conceptos_Control_Operaciones[#All],5,0),"")</f>
        <v/>
      </c>
      <c r="F357" t="str">
        <f>+IFERROR(VLOOKUP(Fact_Control_Operaciones[[#This Row], 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ht="18.75" customHeight="1" x14ac:dyDescent="0.35">
      <c r="C358" s="100" t="str">
        <f>IF(OR(Fact_Control_Operaciones[[#This Row], [Año]]="",Fact_Control_Operaciones[[#This Row], [Mes]]=""),"",DATE(A358,MATCH(B358,{"enero","febrero","marzo","abril","mayo","junio","julio","agosto","septiembre","octubre","noviembre","diciembre"},0)+1,0))</f>
        <v/>
      </c>
      <c r="E358" t="str">
        <f>+IFERROR(VLOOKUP(Fact_Control_Operaciones[[#This Row], [Concepto Anterior]],Conceptos_Control_Operaciones[#All],5,0),"")</f>
        <v/>
      </c>
      <c r="F358" t="str">
        <f>+IFERROR(VLOOKUP(Fact_Control_Operaciones[[#This Row], 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ht="18.75" customHeight="1" x14ac:dyDescent="0.35">
      <c r="C359" s="100" t="str">
        <f>IF(OR(Fact_Control_Operaciones[[#This Row], [Año]]="",Fact_Control_Operaciones[[#This Row], [Mes]]=""),"",DATE(A359,MATCH(B359,{"enero","febrero","marzo","abril","mayo","junio","julio","agosto","septiembre","octubre","noviembre","diciembre"},0)+1,0))</f>
        <v/>
      </c>
      <c r="E359" t="str">
        <f>+IFERROR(VLOOKUP(Fact_Control_Operaciones[[#This Row], [Concepto Anterior]],Conceptos_Control_Operaciones[#All],5,0),"")</f>
        <v/>
      </c>
      <c r="F359" t="str">
        <f>+IFERROR(VLOOKUP(Fact_Control_Operaciones[[#This Row], 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ht="18.75" customHeight="1" x14ac:dyDescent="0.35">
      <c r="C360" s="100" t="str">
        <f>IF(OR(Fact_Control_Operaciones[[#This Row], [Año]]="",Fact_Control_Operaciones[[#This Row], [Mes]]=""),"",DATE(A360,MATCH(B360,{"enero","febrero","marzo","abril","mayo","junio","julio","agosto","septiembre","octubre","noviembre","diciembre"},0)+1,0))</f>
        <v/>
      </c>
      <c r="E360" t="str">
        <f>+IFERROR(VLOOKUP(Fact_Control_Operaciones[[#This Row], [Concepto Anterior]],Conceptos_Control_Operaciones[#All],5,0),"")</f>
        <v/>
      </c>
      <c r="F360" t="str">
        <f>+IFERROR(VLOOKUP(Fact_Control_Operaciones[[#This Row], 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ht="18.75" customHeight="1" x14ac:dyDescent="0.35">
      <c r="C361" s="100" t="str">
        <f>IF(OR(Fact_Control_Operaciones[[#This Row], [Año]]="",Fact_Control_Operaciones[[#This Row], [Mes]]=""),"",DATE(A361,MATCH(B361,{"enero","febrero","marzo","abril","mayo","junio","julio","agosto","septiembre","octubre","noviembre","diciembre"},0)+1,0))</f>
        <v/>
      </c>
      <c r="E361" t="str">
        <f>+IFERROR(VLOOKUP(Fact_Control_Operaciones[[#This Row], [Concepto Anterior]],Conceptos_Control_Operaciones[#All],5,0),"")</f>
        <v/>
      </c>
      <c r="F361" t="str">
        <f>+IFERROR(VLOOKUP(Fact_Control_Operaciones[[#This Row], 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ht="18.75" customHeight="1" x14ac:dyDescent="0.35">
      <c r="C362" s="100" t="str">
        <f>IF(OR(Fact_Control_Operaciones[[#This Row], [Año]]="",Fact_Control_Operaciones[[#This Row], [Mes]]=""),"",DATE(A362,MATCH(B362,{"enero","febrero","marzo","abril","mayo","junio","julio","agosto","septiembre","octubre","noviembre","diciembre"},0)+1,0))</f>
        <v/>
      </c>
      <c r="E362" t="str">
        <f>+IFERROR(VLOOKUP(Fact_Control_Operaciones[[#This Row], [Concepto Anterior]],Conceptos_Control_Operaciones[#All],5,0),"")</f>
        <v/>
      </c>
      <c r="F362" t="str">
        <f>+IFERROR(VLOOKUP(Fact_Control_Operaciones[[#This Row], 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ht="18.75" customHeight="1" x14ac:dyDescent="0.35">
      <c r="C363" s="100" t="str">
        <f>IF(OR(Fact_Control_Operaciones[[#This Row], [Año]]="",Fact_Control_Operaciones[[#This Row], [Mes]]=""),"",DATE(A363,MATCH(B363,{"enero","febrero","marzo","abril","mayo","junio","julio","agosto","septiembre","octubre","noviembre","diciembre"},0)+1,0))</f>
        <v/>
      </c>
      <c r="E363" t="str">
        <f>+IFERROR(VLOOKUP(Fact_Control_Operaciones[[#This Row], [Concepto Anterior]],Conceptos_Control_Operaciones[#All],5,0),"")</f>
        <v/>
      </c>
      <c r="F363" t="str">
        <f>+IFERROR(VLOOKUP(Fact_Control_Operaciones[[#This Row], 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ht="18.75" customHeight="1" x14ac:dyDescent="0.35">
      <c r="C364" s="100" t="str">
        <f>IF(OR(Fact_Control_Operaciones[[#This Row], [Año]]="",Fact_Control_Operaciones[[#This Row], [Mes]]=""),"",DATE(A364,MATCH(B364,{"enero","febrero","marzo","abril","mayo","junio","julio","agosto","septiembre","octubre","noviembre","diciembre"},0)+1,0))</f>
        <v/>
      </c>
      <c r="E364" t="str">
        <f>+IFERROR(VLOOKUP(Fact_Control_Operaciones[[#This Row], [Concepto Anterior]],Conceptos_Control_Operaciones[#All],5,0),"")</f>
        <v/>
      </c>
      <c r="F364" t="str">
        <f>+IFERROR(VLOOKUP(Fact_Control_Operaciones[[#This Row], 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ht="18.75" customHeight="1" x14ac:dyDescent="0.35">
      <c r="C365" s="100" t="str">
        <f>IF(OR(Fact_Control_Operaciones[[#This Row], [Año]]="",Fact_Control_Operaciones[[#This Row], [Mes]]=""),"",DATE(A365,MATCH(B365,{"enero","febrero","marzo","abril","mayo","junio","julio","agosto","septiembre","octubre","noviembre","diciembre"},0)+1,0))</f>
        <v/>
      </c>
      <c r="E365" t="str">
        <f>+IFERROR(VLOOKUP(Fact_Control_Operaciones[[#This Row], [Concepto Anterior]],Conceptos_Control_Operaciones[#All],5,0),"")</f>
        <v/>
      </c>
      <c r="F365" t="str">
        <f>+IFERROR(VLOOKUP(Fact_Control_Operaciones[[#This Row], 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ht="18.75" customHeight="1" x14ac:dyDescent="0.35">
      <c r="C366" s="100" t="str">
        <f>IF(OR(Fact_Control_Operaciones[[#This Row], [Año]]="",Fact_Control_Operaciones[[#This Row], [Mes]]=""),"",DATE(A366,MATCH(B366,{"enero","febrero","marzo","abril","mayo","junio","julio","agosto","septiembre","octubre","noviembre","diciembre"},0)+1,0))</f>
        <v/>
      </c>
      <c r="E366" t="str">
        <f>+IFERROR(VLOOKUP(Fact_Control_Operaciones[[#This Row], [Concepto Anterior]],Conceptos_Control_Operaciones[#All],5,0),"")</f>
        <v/>
      </c>
      <c r="F366" t="str">
        <f>+IFERROR(VLOOKUP(Fact_Control_Operaciones[[#This Row], 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ht="18.75" customHeight="1" x14ac:dyDescent="0.35">
      <c r="C367" s="100" t="str">
        <f>IF(OR(Fact_Control_Operaciones[[#This Row], [Año]]="",Fact_Control_Operaciones[[#This Row], [Mes]]=""),"",DATE(A367,MATCH(B367,{"enero","febrero","marzo","abril","mayo","junio","julio","agosto","septiembre","octubre","noviembre","diciembre"},0)+1,0))</f>
        <v/>
      </c>
      <c r="E367" t="str">
        <f>+IFERROR(VLOOKUP(Fact_Control_Operaciones[[#This Row], [Concepto Anterior]],Conceptos_Control_Operaciones[#All],5,0),"")</f>
        <v/>
      </c>
      <c r="F367" t="str">
        <f>+IFERROR(VLOOKUP(Fact_Control_Operaciones[[#This Row], 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ht="18.75" customHeight="1" x14ac:dyDescent="0.35">
      <c r="C368" s="100" t="str">
        <f>IF(OR(Fact_Control_Operaciones[[#This Row], [Año]]="",Fact_Control_Operaciones[[#This Row], [Mes]]=""),"",DATE(A368,MATCH(B368,{"enero","febrero","marzo","abril","mayo","junio","julio","agosto","septiembre","octubre","noviembre","diciembre"},0)+1,0))</f>
        <v/>
      </c>
      <c r="E368" t="str">
        <f>+IFERROR(VLOOKUP(Fact_Control_Operaciones[[#This Row], [Concepto Anterior]],Conceptos_Control_Operaciones[#All],5,0),"")</f>
        <v/>
      </c>
      <c r="F368" t="str">
        <f>+IFERROR(VLOOKUP(Fact_Control_Operaciones[[#This Row], 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ht="18.75" customHeight="1" x14ac:dyDescent="0.35">
      <c r="C369" s="100" t="str">
        <f>IF(OR(Fact_Control_Operaciones[[#This Row], [Año]]="",Fact_Control_Operaciones[[#This Row], [Mes]]=""),"",DATE(A369,MATCH(B369,{"enero","febrero","marzo","abril","mayo","junio","julio","agosto","septiembre","octubre","noviembre","diciembre"},0)+1,0))</f>
        <v/>
      </c>
      <c r="E369" t="str">
        <f>+IFERROR(VLOOKUP(Fact_Control_Operaciones[[#This Row], [Concepto Anterior]],Conceptos_Control_Operaciones[#All],5,0),"")</f>
        <v/>
      </c>
      <c r="F369" t="str">
        <f>+IFERROR(VLOOKUP(Fact_Control_Operaciones[[#This Row], 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ht="18.75" customHeight="1" x14ac:dyDescent="0.35">
      <c r="C370" s="100" t="str">
        <f>IF(OR(Fact_Control_Operaciones[[#This Row], [Año]]="",Fact_Control_Operaciones[[#This Row], [Mes]]=""),"",DATE(A370,MATCH(B370,{"enero","febrero","marzo","abril","mayo","junio","julio","agosto","septiembre","octubre","noviembre","diciembre"},0)+1,0))</f>
        <v/>
      </c>
      <c r="E370" t="str">
        <f>+IFERROR(VLOOKUP(Fact_Control_Operaciones[[#This Row], [Concepto Anterior]],Conceptos_Control_Operaciones[#All],5,0),"")</f>
        <v/>
      </c>
      <c r="F370" t="str">
        <f>+IFERROR(VLOOKUP(Fact_Control_Operaciones[[#This Row], 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ht="18.75" customHeight="1" x14ac:dyDescent="0.35">
      <c r="C371" s="100" t="str">
        <f>IF(OR(Fact_Control_Operaciones[[#This Row], [Año]]="",Fact_Control_Operaciones[[#This Row], [Mes]]=""),"",DATE(A371,MATCH(B371,{"enero","febrero","marzo","abril","mayo","junio","julio","agosto","septiembre","octubre","noviembre","diciembre"},0)+1,0))</f>
        <v/>
      </c>
      <c r="E371" t="str">
        <f>+IFERROR(VLOOKUP(Fact_Control_Operaciones[[#This Row], [Concepto Anterior]],Conceptos_Control_Operaciones[#All],5,0),"")</f>
        <v/>
      </c>
      <c r="F371" t="str">
        <f>+IFERROR(VLOOKUP(Fact_Control_Operaciones[[#This Row], 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ht="18.75" customHeight="1" x14ac:dyDescent="0.35">
      <c r="C372" s="100" t="str">
        <f>IF(OR(Fact_Control_Operaciones[[#This Row], [Año]]="",Fact_Control_Operaciones[[#This Row], [Mes]]=""),"",DATE(A372,MATCH(B372,{"enero","febrero","marzo","abril","mayo","junio","julio","agosto","septiembre","octubre","noviembre","diciembre"},0)+1,0))</f>
        <v/>
      </c>
      <c r="E372" t="str">
        <f>+IFERROR(VLOOKUP(Fact_Control_Operaciones[[#This Row], [Concepto Anterior]],Conceptos_Control_Operaciones[#All],5,0),"")</f>
        <v/>
      </c>
      <c r="F372" t="str">
        <f>+IFERROR(VLOOKUP(Fact_Control_Operaciones[[#This Row], 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ht="18.75" customHeight="1" x14ac:dyDescent="0.35">
      <c r="C373" s="100" t="str">
        <f>IF(OR(Fact_Control_Operaciones[[#This Row], [Año]]="",Fact_Control_Operaciones[[#This Row], [Mes]]=""),"",DATE(A373,MATCH(B373,{"enero","febrero","marzo","abril","mayo","junio","julio","agosto","septiembre","octubre","noviembre","diciembre"},0)+1,0))</f>
        <v/>
      </c>
      <c r="E373" t="str">
        <f>+IFERROR(VLOOKUP(Fact_Control_Operaciones[[#This Row], [Concepto Anterior]],Conceptos_Control_Operaciones[#All],5,0),"")</f>
        <v/>
      </c>
      <c r="F373" t="str">
        <f>+IFERROR(VLOOKUP(Fact_Control_Operaciones[[#This Row], 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ht="18.75" customHeight="1" x14ac:dyDescent="0.35">
      <c r="C374" s="100" t="str">
        <f>IF(OR(Fact_Control_Operaciones[[#This Row], [Año]]="",Fact_Control_Operaciones[[#This Row], [Mes]]=""),"",DATE(A374,MATCH(B374,{"enero","febrero","marzo","abril","mayo","junio","julio","agosto","septiembre","octubre","noviembre","diciembre"},0)+1,0))</f>
        <v/>
      </c>
      <c r="E374" t="str">
        <f>+IFERROR(VLOOKUP(Fact_Control_Operaciones[[#This Row], [Concepto Anterior]],Conceptos_Control_Operaciones[#All],5,0),"")</f>
        <v/>
      </c>
      <c r="F374" t="str">
        <f>+IFERROR(VLOOKUP(Fact_Control_Operaciones[[#This Row], 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ht="18.75" customHeight="1" x14ac:dyDescent="0.35">
      <c r="C375" s="100" t="str">
        <f>IF(OR(Fact_Control_Operaciones[[#This Row], [Año]]="",Fact_Control_Operaciones[[#This Row], [Mes]]=""),"",DATE(A375,MATCH(B375,{"enero","febrero","marzo","abril","mayo","junio","julio","agosto","septiembre","octubre","noviembre","diciembre"},0)+1,0))</f>
        <v/>
      </c>
      <c r="E375" t="str">
        <f>+IFERROR(VLOOKUP(Fact_Control_Operaciones[[#This Row], [Concepto Anterior]],Conceptos_Control_Operaciones[#All],5,0),"")</f>
        <v/>
      </c>
      <c r="F375" t="str">
        <f>+IFERROR(VLOOKUP(Fact_Control_Operaciones[[#This Row], 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ht="18.75" customHeight="1" x14ac:dyDescent="0.35">
      <c r="C376" s="100" t="str">
        <f>IF(OR(Fact_Control_Operaciones[[#This Row], [Año]]="",Fact_Control_Operaciones[[#This Row], [Mes]]=""),"",DATE(A376,MATCH(B376,{"enero","febrero","marzo","abril","mayo","junio","julio","agosto","septiembre","octubre","noviembre","diciembre"},0)+1,0))</f>
        <v/>
      </c>
      <c r="E376" t="str">
        <f>+IFERROR(VLOOKUP(Fact_Control_Operaciones[[#This Row], [Concepto Anterior]],Conceptos_Control_Operaciones[#All],5,0),"")</f>
        <v/>
      </c>
      <c r="F376" t="str">
        <f>+IFERROR(VLOOKUP(Fact_Control_Operaciones[[#This Row], 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ht="18.75" customHeight="1" x14ac:dyDescent="0.35">
      <c r="C377" s="100" t="str">
        <f>IF(OR(Fact_Control_Operaciones[[#This Row], [Año]]="",Fact_Control_Operaciones[[#This Row], [Mes]]=""),"",DATE(A377,MATCH(B377,{"enero","febrero","marzo","abril","mayo","junio","julio","agosto","septiembre","octubre","noviembre","diciembre"},0)+1,0))</f>
        <v/>
      </c>
      <c r="E377" t="str">
        <f>+IFERROR(VLOOKUP(Fact_Control_Operaciones[[#This Row], [Concepto Anterior]],Conceptos_Control_Operaciones[#All],5,0),"")</f>
        <v/>
      </c>
      <c r="F377" t="str">
        <f>+IFERROR(VLOOKUP(Fact_Control_Operaciones[[#This Row], 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ht="18.75" customHeight="1" x14ac:dyDescent="0.35">
      <c r="C378" s="100" t="str">
        <f>IF(OR(Fact_Control_Operaciones[[#This Row], [Año]]="",Fact_Control_Operaciones[[#This Row], [Mes]]=""),"",DATE(A378,MATCH(B378,{"enero","febrero","marzo","abril","mayo","junio","julio","agosto","septiembre","octubre","noviembre","diciembre"},0)+1,0))</f>
        <v/>
      </c>
      <c r="E378" t="str">
        <f>+IFERROR(VLOOKUP(Fact_Control_Operaciones[[#This Row], [Concepto Anterior]],Conceptos_Control_Operaciones[#All],5,0),"")</f>
        <v/>
      </c>
      <c r="F378" t="str">
        <f>+IFERROR(VLOOKUP(Fact_Control_Operaciones[[#This Row], 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ht="18.75" customHeight="1" x14ac:dyDescent="0.35">
      <c r="C379" s="100" t="str">
        <f>IF(OR(Fact_Control_Operaciones[[#This Row], [Año]]="",Fact_Control_Operaciones[[#This Row], [Mes]]=""),"",DATE(A379,MATCH(B379,{"enero","febrero","marzo","abril","mayo","junio","julio","agosto","septiembre","octubre","noviembre","diciembre"},0)+1,0))</f>
        <v/>
      </c>
      <c r="E379" t="str">
        <f>+IFERROR(VLOOKUP(Fact_Control_Operaciones[[#This Row], [Concepto Anterior]],Conceptos_Control_Operaciones[#All],5,0),"")</f>
        <v/>
      </c>
      <c r="F379" t="str">
        <f>+IFERROR(VLOOKUP(Fact_Control_Operaciones[[#This Row], 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ht="18.75" customHeight="1" x14ac:dyDescent="0.35">
      <c r="C380" s="100" t="str">
        <f>IF(OR(Fact_Control_Operaciones[[#This Row], [Año]]="",Fact_Control_Operaciones[[#This Row], [Mes]]=""),"",DATE(A380,MATCH(B380,{"enero","febrero","marzo","abril","mayo","junio","julio","agosto","septiembre","octubre","noviembre","diciembre"},0)+1,0))</f>
        <v/>
      </c>
      <c r="E380" t="str">
        <f>+IFERROR(VLOOKUP(Fact_Control_Operaciones[[#This Row], [Concepto Anterior]],Conceptos_Control_Operaciones[#All],5,0),"")</f>
        <v/>
      </c>
      <c r="F380" t="str">
        <f>+IFERROR(VLOOKUP(Fact_Control_Operaciones[[#This Row], 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ht="18.75" customHeight="1" x14ac:dyDescent="0.35">
      <c r="C381" s="100" t="str">
        <f>IF(OR(Fact_Control_Operaciones[[#This Row], [Año]]="",Fact_Control_Operaciones[[#This Row], [Mes]]=""),"",DATE(A381,MATCH(B381,{"enero","febrero","marzo","abril","mayo","junio","julio","agosto","septiembre","octubre","noviembre","diciembre"},0)+1,0))</f>
        <v/>
      </c>
      <c r="E381" t="str">
        <f>+IFERROR(VLOOKUP(Fact_Control_Operaciones[[#This Row], [Concepto Anterior]],Conceptos_Control_Operaciones[#All],5,0),"")</f>
        <v/>
      </c>
      <c r="F381" t="str">
        <f>+IFERROR(VLOOKUP(Fact_Control_Operaciones[[#This Row], 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ht="18.75" customHeight="1" x14ac:dyDescent="0.35">
      <c r="C382" s="100" t="str">
        <f>IF(OR(Fact_Control_Operaciones[[#This Row], [Año]]="",Fact_Control_Operaciones[[#This Row], [Mes]]=""),"",DATE(A382,MATCH(B382,{"enero","febrero","marzo","abril","mayo","junio","julio","agosto","septiembre","octubre","noviembre","diciembre"},0)+1,0))</f>
        <v/>
      </c>
      <c r="E382" t="str">
        <f>+IFERROR(VLOOKUP(Fact_Control_Operaciones[[#This Row], [Concepto Anterior]],Conceptos_Control_Operaciones[#All],5,0),"")</f>
        <v/>
      </c>
      <c r="F382" t="str">
        <f>+IFERROR(VLOOKUP(Fact_Control_Operaciones[[#This Row], 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ht="18.75" customHeight="1" x14ac:dyDescent="0.35">
      <c r="C383" s="100" t="str">
        <f>IF(OR(Fact_Control_Operaciones[[#This Row], [Año]]="",Fact_Control_Operaciones[[#This Row], [Mes]]=""),"",DATE(A383,MATCH(B383,{"enero","febrero","marzo","abril","mayo","junio","julio","agosto","septiembre","octubre","noviembre","diciembre"},0)+1,0))</f>
        <v/>
      </c>
      <c r="E383" t="str">
        <f>+IFERROR(VLOOKUP(Fact_Control_Operaciones[[#This Row], [Concepto Anterior]],Conceptos_Control_Operaciones[#All],5,0),"")</f>
        <v/>
      </c>
      <c r="F383" t="str">
        <f>+IFERROR(VLOOKUP(Fact_Control_Operaciones[[#This Row], 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ht="18.75" customHeight="1" x14ac:dyDescent="0.35">
      <c r="C384" s="100" t="str">
        <f>IF(OR(Fact_Control_Operaciones[[#This Row], [Año]]="",Fact_Control_Operaciones[[#This Row], [Mes]]=""),"",DATE(A384,MATCH(B384,{"enero","febrero","marzo","abril","mayo","junio","julio","agosto","septiembre","octubre","noviembre","diciembre"},0)+1,0))</f>
        <v/>
      </c>
      <c r="E384" t="str">
        <f>+IFERROR(VLOOKUP(Fact_Control_Operaciones[[#This Row], [Concepto Anterior]],Conceptos_Control_Operaciones[#All],5,0),"")</f>
        <v/>
      </c>
      <c r="F384" t="str">
        <f>+IFERROR(VLOOKUP(Fact_Control_Operaciones[[#This Row], 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ht="18.75" customHeight="1" x14ac:dyDescent="0.35">
      <c r="C385" s="100" t="str">
        <f>IF(OR(Fact_Control_Operaciones[[#This Row], [Año]]="",Fact_Control_Operaciones[[#This Row], [Mes]]=""),"",DATE(A385,MATCH(B385,{"enero","febrero","marzo","abril","mayo","junio","julio","agosto","septiembre","octubre","noviembre","diciembre"},0)+1,0))</f>
        <v/>
      </c>
      <c r="E385" t="str">
        <f>+IFERROR(VLOOKUP(Fact_Control_Operaciones[[#This Row], [Concepto Anterior]],Conceptos_Control_Operaciones[#All],5,0),"")</f>
        <v/>
      </c>
      <c r="F385" t="str">
        <f>+IFERROR(VLOOKUP(Fact_Control_Operaciones[[#This Row], 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ht="18.75" customHeight="1" x14ac:dyDescent="0.35">
      <c r="C386" s="100" t="str">
        <f>IF(OR(Fact_Control_Operaciones[[#This Row], [Año]]="",Fact_Control_Operaciones[[#This Row], [Mes]]=""),"",DATE(A386,MATCH(B386,{"enero","febrero","marzo","abril","mayo","junio","julio","agosto","septiembre","octubre","noviembre","diciembre"},0)+1,0))</f>
        <v/>
      </c>
      <c r="E386" t="str">
        <f>+IFERROR(VLOOKUP(Fact_Control_Operaciones[[#This Row], [Concepto Anterior]],Conceptos_Control_Operaciones[#All],5,0),"")</f>
        <v/>
      </c>
      <c r="F386" t="str">
        <f>+IFERROR(VLOOKUP(Fact_Control_Operaciones[[#This Row], 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ht="18.75" customHeight="1" x14ac:dyDescent="0.35">
      <c r="C387" s="100" t="str">
        <f>IF(OR(Fact_Control_Operaciones[[#This Row], [Año]]="",Fact_Control_Operaciones[[#This Row], [Mes]]=""),"",DATE(A387,MATCH(B387,{"enero","febrero","marzo","abril","mayo","junio","julio","agosto","septiembre","octubre","noviembre","diciembre"},0)+1,0))</f>
        <v/>
      </c>
      <c r="E387" t="str">
        <f>+IFERROR(VLOOKUP(Fact_Control_Operaciones[[#This Row], [Concepto Anterior]],Conceptos_Control_Operaciones[#All],5,0),"")</f>
        <v/>
      </c>
      <c r="F387" t="str">
        <f>+IFERROR(VLOOKUP(Fact_Control_Operaciones[[#This Row], 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ht="18.75" customHeight="1" x14ac:dyDescent="0.35">
      <c r="C388" s="100" t="str">
        <f>IF(OR(Fact_Control_Operaciones[[#This Row], [Año]]="",Fact_Control_Operaciones[[#This Row], [Mes]]=""),"",DATE(A388,MATCH(B388,{"enero","febrero","marzo","abril","mayo","junio","julio","agosto","septiembre","octubre","noviembre","diciembre"},0)+1,0))</f>
        <v/>
      </c>
      <c r="E388" t="str">
        <f>+IFERROR(VLOOKUP(Fact_Control_Operaciones[[#This Row], [Concepto Anterior]],Conceptos_Control_Operaciones[#All],5,0),"")</f>
        <v/>
      </c>
      <c r="F388" t="str">
        <f>+IFERROR(VLOOKUP(Fact_Control_Operaciones[[#This Row], 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ht="18.75" customHeight="1" x14ac:dyDescent="0.35">
      <c r="C389" s="100" t="str">
        <f>IF(OR(Fact_Control_Operaciones[[#This Row], [Año]]="",Fact_Control_Operaciones[[#This Row], [Mes]]=""),"",DATE(A389,MATCH(B389,{"enero","febrero","marzo","abril","mayo","junio","julio","agosto","septiembre","octubre","noviembre","diciembre"},0)+1,0))</f>
        <v/>
      </c>
      <c r="E389" t="str">
        <f>+IFERROR(VLOOKUP(Fact_Control_Operaciones[[#This Row], [Concepto Anterior]],Conceptos_Control_Operaciones[#All],5,0),"")</f>
        <v/>
      </c>
      <c r="F389" t="str">
        <f>+IFERROR(VLOOKUP(Fact_Control_Operaciones[[#This Row], 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ht="18.75" customHeight="1" x14ac:dyDescent="0.35">
      <c r="C390" s="100" t="str">
        <f>IF(OR(Fact_Control_Operaciones[[#This Row], [Año]]="",Fact_Control_Operaciones[[#This Row], [Mes]]=""),"",DATE(A390,MATCH(B390,{"enero","febrero","marzo","abril","mayo","junio","julio","agosto","septiembre","octubre","noviembre","diciembre"},0)+1,0))</f>
        <v/>
      </c>
      <c r="E390" t="str">
        <f>+IFERROR(VLOOKUP(Fact_Control_Operaciones[[#This Row], [Concepto Anterior]],Conceptos_Control_Operaciones[#All],5,0),"")</f>
        <v/>
      </c>
      <c r="F390" t="str">
        <f>+IFERROR(VLOOKUP(Fact_Control_Operaciones[[#This Row], 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ht="18.75" customHeight="1" x14ac:dyDescent="0.35">
      <c r="C391" s="100" t="str">
        <f>IF(OR(Fact_Control_Operaciones[[#This Row], [Año]]="",Fact_Control_Operaciones[[#This Row], [Mes]]=""),"",DATE(A391,MATCH(B391,{"enero","febrero","marzo","abril","mayo","junio","julio","agosto","septiembre","octubre","noviembre","diciembre"},0)+1,0))</f>
        <v/>
      </c>
      <c r="E391" t="str">
        <f>+IFERROR(VLOOKUP(Fact_Control_Operaciones[[#This Row], [Concepto Anterior]],Conceptos_Control_Operaciones[#All],5,0),"")</f>
        <v/>
      </c>
      <c r="F391" t="str">
        <f>+IFERROR(VLOOKUP(Fact_Control_Operaciones[[#This Row], 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ht="18.75" customHeight="1" x14ac:dyDescent="0.35">
      <c r="C392" s="100" t="str">
        <f>IF(OR(Fact_Control_Operaciones[[#This Row], [Año]]="",Fact_Control_Operaciones[[#This Row], [Mes]]=""),"",DATE(A392,MATCH(B392,{"enero","febrero","marzo","abril","mayo","junio","julio","agosto","septiembre","octubre","noviembre","diciembre"},0)+1,0))</f>
        <v/>
      </c>
      <c r="E392" t="str">
        <f>+IFERROR(VLOOKUP(Fact_Control_Operaciones[[#This Row], [Concepto Anterior]],Conceptos_Control_Operaciones[#All],5,0),"")</f>
        <v/>
      </c>
      <c r="F392" t="str">
        <f>+IFERROR(VLOOKUP(Fact_Control_Operaciones[[#This Row], 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ht="18.75" customHeight="1" x14ac:dyDescent="0.35">
      <c r="C393" s="100" t="str">
        <f>IF(OR(Fact_Control_Operaciones[[#This Row], [Año]]="",Fact_Control_Operaciones[[#This Row], [Mes]]=""),"",DATE(A393,MATCH(B393,{"enero","febrero","marzo","abril","mayo","junio","julio","agosto","septiembre","octubre","noviembre","diciembre"},0)+1,0))</f>
        <v/>
      </c>
      <c r="E393" t="str">
        <f>+IFERROR(VLOOKUP(Fact_Control_Operaciones[[#This Row], [Concepto Anterior]],Conceptos_Control_Operaciones[#All],5,0),"")</f>
        <v/>
      </c>
      <c r="F393" t="str">
        <f>+IFERROR(VLOOKUP(Fact_Control_Operaciones[[#This Row], 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ht="18.75" customHeight="1" x14ac:dyDescent="0.35">
      <c r="C394" s="100" t="str">
        <f>IF(OR(Fact_Control_Operaciones[[#This Row], [Año]]="",Fact_Control_Operaciones[[#This Row], [Mes]]=""),"",DATE(A394,MATCH(B394,{"enero","febrero","marzo","abril","mayo","junio","julio","agosto","septiembre","octubre","noviembre","diciembre"},0)+1,0))</f>
        <v/>
      </c>
      <c r="E394" t="str">
        <f>+IFERROR(VLOOKUP(Fact_Control_Operaciones[[#This Row], [Concepto Anterior]],Conceptos_Control_Operaciones[#All],5,0),"")</f>
        <v/>
      </c>
      <c r="F394" t="str">
        <f>+IFERROR(VLOOKUP(Fact_Control_Operaciones[[#This Row], 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ht="18.75" customHeight="1" x14ac:dyDescent="0.35">
      <c r="C395" s="100" t="str">
        <f>IF(OR(Fact_Control_Operaciones[[#This Row], [Año]]="",Fact_Control_Operaciones[[#This Row], [Mes]]=""),"",DATE(A395,MATCH(B395,{"enero","febrero","marzo","abril","mayo","junio","julio","agosto","septiembre","octubre","noviembre","diciembre"},0)+1,0))</f>
        <v/>
      </c>
      <c r="E395" t="str">
        <f>+IFERROR(VLOOKUP(Fact_Control_Operaciones[[#This Row], [Concepto Anterior]],Conceptos_Control_Operaciones[#All],5,0),"")</f>
        <v/>
      </c>
      <c r="F395" t="str">
        <f>+IFERROR(VLOOKUP(Fact_Control_Operaciones[[#This Row], 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ht="18.75" customHeight="1" x14ac:dyDescent="0.35">
      <c r="C396" s="100" t="str">
        <f>IF(OR(Fact_Control_Operaciones[[#This Row], [Año]]="",Fact_Control_Operaciones[[#This Row], [Mes]]=""),"",DATE(A396,MATCH(B396,{"enero","febrero","marzo","abril","mayo","junio","julio","agosto","septiembre","octubre","noviembre","diciembre"},0)+1,0))</f>
        <v/>
      </c>
      <c r="E396" t="str">
        <f>+IFERROR(VLOOKUP(Fact_Control_Operaciones[[#This Row], [Concepto Anterior]],Conceptos_Control_Operaciones[#All],5,0),"")</f>
        <v/>
      </c>
      <c r="F396" t="str">
        <f>+IFERROR(VLOOKUP(Fact_Control_Operaciones[[#This Row], 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ht="18.75" customHeight="1" x14ac:dyDescent="0.35">
      <c r="C397" s="100" t="str">
        <f>IF(OR(Fact_Control_Operaciones[[#This Row], [Año]]="",Fact_Control_Operaciones[[#This Row], [Mes]]=""),"",DATE(A397,MATCH(B397,{"enero","febrero","marzo","abril","mayo","junio","julio","agosto","septiembre","octubre","noviembre","diciembre"},0)+1,0))</f>
        <v/>
      </c>
      <c r="E397" t="str">
        <f>+IFERROR(VLOOKUP(Fact_Control_Operaciones[[#This Row], [Concepto Anterior]],Conceptos_Control_Operaciones[#All],5,0),"")</f>
        <v/>
      </c>
      <c r="F397" t="str">
        <f>+IFERROR(VLOOKUP(Fact_Control_Operaciones[[#This Row], 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ht="18.75" customHeight="1" x14ac:dyDescent="0.35">
      <c r="C398" s="100" t="str">
        <f>IF(OR(Fact_Control_Operaciones[[#This Row], [Año]]="",Fact_Control_Operaciones[[#This Row], [Mes]]=""),"",DATE(A398,MATCH(B398,{"enero","febrero","marzo","abril","mayo","junio","julio","agosto","septiembre","octubre","noviembre","diciembre"},0)+1,0))</f>
        <v/>
      </c>
      <c r="E398" t="str">
        <f>+IFERROR(VLOOKUP(Fact_Control_Operaciones[[#This Row], [Concepto Anterior]],Conceptos_Control_Operaciones[#All],5,0),"")</f>
        <v/>
      </c>
      <c r="F398" t="str">
        <f>+IFERROR(VLOOKUP(Fact_Control_Operaciones[[#This Row], 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ht="18.75" customHeight="1" x14ac:dyDescent="0.35">
      <c r="C399" s="100" t="str">
        <f>IF(OR(Fact_Control_Operaciones[[#This Row], [Año]]="",Fact_Control_Operaciones[[#This Row], [Mes]]=""),"",DATE(A399,MATCH(B399,{"enero","febrero","marzo","abril","mayo","junio","julio","agosto","septiembre","octubre","noviembre","diciembre"},0)+1,0))</f>
        <v/>
      </c>
      <c r="E399" t="str">
        <f>+IFERROR(VLOOKUP(Fact_Control_Operaciones[[#This Row], [Concepto Anterior]],Conceptos_Control_Operaciones[#All],5,0),"")</f>
        <v/>
      </c>
      <c r="F399" t="str">
        <f>+IFERROR(VLOOKUP(Fact_Control_Operaciones[[#This Row], 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ht="18.75" customHeight="1" x14ac:dyDescent="0.35">
      <c r="C400" s="100" t="str">
        <f>IF(OR(Fact_Control_Operaciones[[#This Row], [Año]]="",Fact_Control_Operaciones[[#This Row], [Mes]]=""),"",DATE(A400,MATCH(B400,{"enero","febrero","marzo","abril","mayo","junio","julio","agosto","septiembre","octubre","noviembre","diciembre"},0)+1,0))</f>
        <v/>
      </c>
      <c r="E400" t="str">
        <f>+IFERROR(VLOOKUP(Fact_Control_Operaciones[[#This Row], [Concepto Anterior]],Conceptos_Control_Operaciones[#All],5,0),"")</f>
        <v/>
      </c>
      <c r="F400" t="str">
        <f>+IFERROR(VLOOKUP(Fact_Control_Operaciones[[#This Row], 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ht="18.75" customHeight="1" x14ac:dyDescent="0.35">
      <c r="C401" s="100" t="str">
        <f>IF(OR(Fact_Control_Operaciones[[#This Row], [Año]]="",Fact_Control_Operaciones[[#This Row], [Mes]]=""),"",DATE(A401,MATCH(B401,{"enero","febrero","marzo","abril","mayo","junio","julio","agosto","septiembre","octubre","noviembre","diciembre"},0)+1,0))</f>
        <v/>
      </c>
      <c r="E401" t="str">
        <f>+IFERROR(VLOOKUP(Fact_Control_Operaciones[[#This Row], [Concepto Anterior]],Conceptos_Control_Operaciones[#All],5,0),"")</f>
        <v/>
      </c>
      <c r="F401" t="str">
        <f>+IFERROR(VLOOKUP(Fact_Control_Operaciones[[#This Row], 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ht="18.75" customHeight="1" x14ac:dyDescent="0.35">
      <c r="C402" s="100" t="str">
        <f>IF(OR(Fact_Control_Operaciones[[#This Row], [Año]]="",Fact_Control_Operaciones[[#This Row], [Mes]]=""),"",DATE(A402,MATCH(B402,{"enero","febrero","marzo","abril","mayo","junio","julio","agosto","septiembre","octubre","noviembre","diciembre"},0)+1,0))</f>
        <v/>
      </c>
      <c r="E402" t="str">
        <f>+IFERROR(VLOOKUP(Fact_Control_Operaciones[[#This Row], [Concepto Anterior]],Conceptos_Control_Operaciones[#All],5,0),"")</f>
        <v/>
      </c>
      <c r="F402" t="str">
        <f>+IFERROR(VLOOKUP(Fact_Control_Operaciones[[#This Row], 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ht="18.75" customHeight="1" x14ac:dyDescent="0.35">
      <c r="C403" s="100" t="str">
        <f>IF(OR(Fact_Control_Operaciones[[#This Row], [Año]]="",Fact_Control_Operaciones[[#This Row], [Mes]]=""),"",DATE(A403,MATCH(B403,{"enero","febrero","marzo","abril","mayo","junio","julio","agosto","septiembre","octubre","noviembre","diciembre"},0)+1,0))</f>
        <v/>
      </c>
      <c r="E403" t="str">
        <f>+IFERROR(VLOOKUP(Fact_Control_Operaciones[[#This Row], [Concepto Anterior]],Conceptos_Control_Operaciones[#All],5,0),"")</f>
        <v/>
      </c>
      <c r="F403" t="str">
        <f>+IFERROR(VLOOKUP(Fact_Control_Operaciones[[#This Row], 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ht="18.75" customHeight="1" x14ac:dyDescent="0.35">
      <c r="C404" s="100" t="str">
        <f>IF(OR(Fact_Control_Operaciones[[#This Row], [Año]]="",Fact_Control_Operaciones[[#This Row], [Mes]]=""),"",DATE(A404,MATCH(B404,{"enero","febrero","marzo","abril","mayo","junio","julio","agosto","septiembre","octubre","noviembre","diciembre"},0)+1,0))</f>
        <v/>
      </c>
      <c r="E404" t="str">
        <f>+IFERROR(VLOOKUP(Fact_Control_Operaciones[[#This Row], [Concepto Anterior]],Conceptos_Control_Operaciones[#All],5,0),"")</f>
        <v/>
      </c>
      <c r="F404" t="str">
        <f>+IFERROR(VLOOKUP(Fact_Control_Operaciones[[#This Row], 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ht="18.75" customHeight="1" x14ac:dyDescent="0.35">
      <c r="C405" s="100" t="str">
        <f>IF(OR(Fact_Control_Operaciones[[#This Row], [Año]]="",Fact_Control_Operaciones[[#This Row], [Mes]]=""),"",DATE(A405,MATCH(B405,{"enero","febrero","marzo","abril","mayo","junio","julio","agosto","septiembre","octubre","noviembre","diciembre"},0)+1,0))</f>
        <v/>
      </c>
      <c r="E405" t="str">
        <f>+IFERROR(VLOOKUP(Fact_Control_Operaciones[[#This Row], [Concepto Anterior]],Conceptos_Control_Operaciones[#All],5,0),"")</f>
        <v/>
      </c>
      <c r="F405" t="str">
        <f>+IFERROR(VLOOKUP(Fact_Control_Operaciones[[#This Row], 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ht="18.75" customHeight="1" x14ac:dyDescent="0.35">
      <c r="C406" s="100" t="str">
        <f>IF(OR(Fact_Control_Operaciones[[#This Row], [Año]]="",Fact_Control_Operaciones[[#This Row], [Mes]]=""),"",DATE(A406,MATCH(B406,{"enero","febrero","marzo","abril","mayo","junio","julio","agosto","septiembre","octubre","noviembre","diciembre"},0)+1,0))</f>
        <v/>
      </c>
      <c r="E406" t="str">
        <f>+IFERROR(VLOOKUP(Fact_Control_Operaciones[[#This Row], [Concepto Anterior]],Conceptos_Control_Operaciones[#All],5,0),"")</f>
        <v/>
      </c>
      <c r="F406" t="str">
        <f>+IFERROR(VLOOKUP(Fact_Control_Operaciones[[#This Row], 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ht="18.75" customHeight="1" x14ac:dyDescent="0.35">
      <c r="C407" s="100" t="str">
        <f>IF(OR(Fact_Control_Operaciones[[#This Row], [Año]]="",Fact_Control_Operaciones[[#This Row], [Mes]]=""),"",DATE(A407,MATCH(B407,{"enero","febrero","marzo","abril","mayo","junio","julio","agosto","septiembre","octubre","noviembre","diciembre"},0)+1,0))</f>
        <v/>
      </c>
      <c r="E407" t="str">
        <f>+IFERROR(VLOOKUP(Fact_Control_Operaciones[[#This Row], [Concepto Anterior]],Conceptos_Control_Operaciones[#All],5,0),"")</f>
        <v/>
      </c>
      <c r="F407" t="str">
        <f>+IFERROR(VLOOKUP(Fact_Control_Operaciones[[#This Row], 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ht="18.75" customHeight="1" x14ac:dyDescent="0.35">
      <c r="C408" s="100" t="str">
        <f>IF(OR(Fact_Control_Operaciones[[#This Row], [Año]]="",Fact_Control_Operaciones[[#This Row], [Mes]]=""),"",DATE(A408,MATCH(B408,{"enero","febrero","marzo","abril","mayo","junio","julio","agosto","septiembre","octubre","noviembre","diciembre"},0)+1,0))</f>
        <v/>
      </c>
      <c r="E408" t="str">
        <f>+IFERROR(VLOOKUP(Fact_Control_Operaciones[[#This Row], [Concepto Anterior]],Conceptos_Control_Operaciones[#All],5,0),"")</f>
        <v/>
      </c>
      <c r="F408" t="str">
        <f>+IFERROR(VLOOKUP(Fact_Control_Operaciones[[#This Row], 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ht="18.75" customHeight="1" x14ac:dyDescent="0.35">
      <c r="C409" s="100" t="str">
        <f>IF(OR(Fact_Control_Operaciones[[#This Row], [Año]]="",Fact_Control_Operaciones[[#This Row], [Mes]]=""),"",DATE(A409,MATCH(B409,{"enero","febrero","marzo","abril","mayo","junio","julio","agosto","septiembre","octubre","noviembre","diciembre"},0)+1,0))</f>
        <v/>
      </c>
      <c r="E409" t="str">
        <f>+IFERROR(VLOOKUP(Fact_Control_Operaciones[[#This Row], [Concepto Anterior]],Conceptos_Control_Operaciones[#All],5,0),"")</f>
        <v/>
      </c>
      <c r="F409" t="str">
        <f>+IFERROR(VLOOKUP(Fact_Control_Operaciones[[#This Row], 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ht="18.75" customHeight="1" x14ac:dyDescent="0.35">
      <c r="C410" s="100" t="str">
        <f>IF(OR(Fact_Control_Operaciones[[#This Row], [Año]]="",Fact_Control_Operaciones[[#This Row], [Mes]]=""),"",DATE(A410,MATCH(B410,{"enero","febrero","marzo","abril","mayo","junio","julio","agosto","septiembre","octubre","noviembre","diciembre"},0)+1,0))</f>
        <v/>
      </c>
      <c r="E410" t="str">
        <f>+IFERROR(VLOOKUP(Fact_Control_Operaciones[[#This Row], [Concepto Anterior]],Conceptos_Control_Operaciones[#All],5,0),"")</f>
        <v/>
      </c>
      <c r="F410" t="str">
        <f>+IFERROR(VLOOKUP(Fact_Control_Operaciones[[#This Row], 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ht="18.75" customHeight="1" x14ac:dyDescent="0.35">
      <c r="C411" s="100" t="str">
        <f>IF(OR(Fact_Control_Operaciones[[#This Row], [Año]]="",Fact_Control_Operaciones[[#This Row], [Mes]]=""),"",DATE(A411,MATCH(B411,{"enero","febrero","marzo","abril","mayo","junio","julio","agosto","septiembre","octubre","noviembre","diciembre"},0)+1,0))</f>
        <v/>
      </c>
      <c r="E411" t="str">
        <f>+IFERROR(VLOOKUP(Fact_Control_Operaciones[[#This Row], [Concepto Anterior]],Conceptos_Control_Operaciones[#All],5,0),"")</f>
        <v/>
      </c>
      <c r="F411" t="str">
        <f>+IFERROR(VLOOKUP(Fact_Control_Operaciones[[#This Row], 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ht="18.75" customHeight="1" x14ac:dyDescent="0.35">
      <c r="C412" s="100" t="str">
        <f>IF(OR(Fact_Control_Operaciones[[#This Row], [Año]]="",Fact_Control_Operaciones[[#This Row], [Mes]]=""),"",DATE(A412,MATCH(B412,{"enero","febrero","marzo","abril","mayo","junio","julio","agosto","septiembre","octubre","noviembre","diciembre"},0)+1,0))</f>
        <v/>
      </c>
      <c r="E412" t="str">
        <f>+IFERROR(VLOOKUP(Fact_Control_Operaciones[[#This Row], [Concepto Anterior]],Conceptos_Control_Operaciones[#All],5,0),"")</f>
        <v/>
      </c>
      <c r="F412" t="str">
        <f>+IFERROR(VLOOKUP(Fact_Control_Operaciones[[#This Row], 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ht="18.75" customHeight="1" x14ac:dyDescent="0.35">
      <c r="C413" s="100" t="str">
        <f>IF(OR(Fact_Control_Operaciones[[#This Row], [Año]]="",Fact_Control_Operaciones[[#This Row], [Mes]]=""),"",DATE(A413,MATCH(B413,{"enero","febrero","marzo","abril","mayo","junio","julio","agosto","septiembre","octubre","noviembre","diciembre"},0)+1,0))</f>
        <v/>
      </c>
      <c r="E413" t="str">
        <f>+IFERROR(VLOOKUP(Fact_Control_Operaciones[[#This Row], [Concepto Anterior]],Conceptos_Control_Operaciones[#All],5,0),"")</f>
        <v/>
      </c>
      <c r="F413" t="str">
        <f>+IFERROR(VLOOKUP(Fact_Control_Operaciones[[#This Row], 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ht="18.75" customHeight="1" x14ac:dyDescent="0.35">
      <c r="C414" s="100" t="str">
        <f>IF(OR(Fact_Control_Operaciones[[#This Row], [Año]]="",Fact_Control_Operaciones[[#This Row], [Mes]]=""),"",DATE(A414,MATCH(B414,{"enero","febrero","marzo","abril","mayo","junio","julio","agosto","septiembre","octubre","noviembre","diciembre"},0)+1,0))</f>
        <v/>
      </c>
      <c r="E414" t="str">
        <f>+IFERROR(VLOOKUP(Fact_Control_Operaciones[[#This Row], [Concepto Anterior]],Conceptos_Control_Operaciones[#All],5,0),"")</f>
        <v/>
      </c>
      <c r="F414" t="str">
        <f>+IFERROR(VLOOKUP(Fact_Control_Operaciones[[#This Row], 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ht="18.75" customHeight="1" x14ac:dyDescent="0.35">
      <c r="C415" s="100" t="str">
        <f>IF(OR(Fact_Control_Operaciones[[#This Row], [Año]]="",Fact_Control_Operaciones[[#This Row], [Mes]]=""),"",DATE(A415,MATCH(B415,{"enero","febrero","marzo","abril","mayo","junio","julio","agosto","septiembre","octubre","noviembre","diciembre"},0)+1,0))</f>
        <v/>
      </c>
      <c r="E415" t="str">
        <f>+IFERROR(VLOOKUP(Fact_Control_Operaciones[[#This Row], [Concepto Anterior]],Conceptos_Control_Operaciones[#All],5,0),"")</f>
        <v/>
      </c>
      <c r="F415" t="str">
        <f>+IFERROR(VLOOKUP(Fact_Control_Operaciones[[#This Row], 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ht="18.75" customHeight="1" x14ac:dyDescent="0.35">
      <c r="C416" s="100" t="str">
        <f>IF(OR(Fact_Control_Operaciones[[#This Row], [Año]]="",Fact_Control_Operaciones[[#This Row], [Mes]]=""),"",DATE(A416,MATCH(B416,{"enero","febrero","marzo","abril","mayo","junio","julio","agosto","septiembre","octubre","noviembre","diciembre"},0)+1,0))</f>
        <v/>
      </c>
      <c r="E416" t="str">
        <f>+IFERROR(VLOOKUP(Fact_Control_Operaciones[[#This Row], [Concepto Anterior]],Conceptos_Control_Operaciones[#All],5,0),"")</f>
        <v/>
      </c>
      <c r="F416" t="str">
        <f>+IFERROR(VLOOKUP(Fact_Control_Operaciones[[#This Row], 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ht="18.75" customHeight="1" x14ac:dyDescent="0.35">
      <c r="C417" s="100" t="str">
        <f>IF(OR(Fact_Control_Operaciones[[#This Row], [Año]]="",Fact_Control_Operaciones[[#This Row], [Mes]]=""),"",DATE(A417,MATCH(B417,{"enero","febrero","marzo","abril","mayo","junio","julio","agosto","septiembre","octubre","noviembre","diciembre"},0)+1,0))</f>
        <v/>
      </c>
      <c r="E417" t="str">
        <f>+IFERROR(VLOOKUP(Fact_Control_Operaciones[[#This Row], [Concepto Anterior]],Conceptos_Control_Operaciones[#All],5,0),"")</f>
        <v/>
      </c>
      <c r="F417" t="str">
        <f>+IFERROR(VLOOKUP(Fact_Control_Operaciones[[#This Row], 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ht="18.75" customHeight="1" x14ac:dyDescent="0.35">
      <c r="C418" s="100" t="str">
        <f>IF(OR(Fact_Control_Operaciones[[#This Row], [Año]]="",Fact_Control_Operaciones[[#This Row], [Mes]]=""),"",DATE(A418,MATCH(B418,{"enero","febrero","marzo","abril","mayo","junio","julio","agosto","septiembre","octubre","noviembre","diciembre"},0)+1,0))</f>
        <v/>
      </c>
      <c r="E418" t="str">
        <f>+IFERROR(VLOOKUP(Fact_Control_Operaciones[[#This Row], [Concepto Anterior]],Conceptos_Control_Operaciones[#All],5,0),"")</f>
        <v/>
      </c>
      <c r="F418" t="str">
        <f>+IFERROR(VLOOKUP(Fact_Control_Operaciones[[#This Row], 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ht="18.75" customHeight="1" x14ac:dyDescent="0.35">
      <c r="C419" s="100" t="str">
        <f>IF(OR(Fact_Control_Operaciones[[#This Row], [Año]]="",Fact_Control_Operaciones[[#This Row], [Mes]]=""),"",DATE(A419,MATCH(B419,{"enero","febrero","marzo","abril","mayo","junio","julio","agosto","septiembre","octubre","noviembre","diciembre"},0)+1,0))</f>
        <v/>
      </c>
      <c r="E419" t="str">
        <f>+IFERROR(VLOOKUP(Fact_Control_Operaciones[[#This Row], [Concepto Anterior]],Conceptos_Control_Operaciones[#All],5,0),"")</f>
        <v/>
      </c>
      <c r="F419" t="str">
        <f>+IFERROR(VLOOKUP(Fact_Control_Operaciones[[#This Row], 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ht="18.75" customHeight="1" x14ac:dyDescent="0.35">
      <c r="C420" s="100" t="str">
        <f>IF(OR(Fact_Control_Operaciones[[#This Row], [Año]]="",Fact_Control_Operaciones[[#This Row], [Mes]]=""),"",DATE(A420,MATCH(B420,{"enero","febrero","marzo","abril","mayo","junio","julio","agosto","septiembre","octubre","noviembre","diciembre"},0)+1,0))</f>
        <v/>
      </c>
      <c r="E420" t="str">
        <f>+IFERROR(VLOOKUP(Fact_Control_Operaciones[[#This Row], [Concepto Anterior]],Conceptos_Control_Operaciones[#All],5,0),"")</f>
        <v/>
      </c>
      <c r="F420" t="str">
        <f>+IFERROR(VLOOKUP(Fact_Control_Operaciones[[#This Row], 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ht="18.75" customHeight="1" x14ac:dyDescent="0.35">
      <c r="C421" s="100" t="str">
        <f>IF(OR(Fact_Control_Operaciones[[#This Row], [Año]]="",Fact_Control_Operaciones[[#This Row], [Mes]]=""),"",DATE(A421,MATCH(B421,{"enero","febrero","marzo","abril","mayo","junio","julio","agosto","septiembre","octubre","noviembre","diciembre"},0)+1,0))</f>
        <v/>
      </c>
      <c r="E421" t="str">
        <f>+IFERROR(VLOOKUP(Fact_Control_Operaciones[[#This Row], [Concepto Anterior]],Conceptos_Control_Operaciones[#All],5,0),"")</f>
        <v/>
      </c>
      <c r="F421" t="str">
        <f>+IFERROR(VLOOKUP(Fact_Control_Operaciones[[#This Row], 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ht="18.75" customHeight="1" x14ac:dyDescent="0.35">
      <c r="C422" s="100" t="str">
        <f>IF(OR(Fact_Control_Operaciones[[#This Row], [Año]]="",Fact_Control_Operaciones[[#This Row], [Mes]]=""),"",DATE(A422,MATCH(B422,{"enero","febrero","marzo","abril","mayo","junio","julio","agosto","septiembre","octubre","noviembre","diciembre"},0)+1,0))</f>
        <v/>
      </c>
      <c r="E422" t="str">
        <f>+IFERROR(VLOOKUP(Fact_Control_Operaciones[[#This Row], [Concepto Anterior]],Conceptos_Control_Operaciones[#All],5,0),"")</f>
        <v/>
      </c>
      <c r="F422" t="str">
        <f>+IFERROR(VLOOKUP(Fact_Control_Operaciones[[#This Row], 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ht="18.75" customHeight="1" x14ac:dyDescent="0.35">
      <c r="C423" s="100" t="str">
        <f>IF(OR(Fact_Control_Operaciones[[#This Row], [Año]]="",Fact_Control_Operaciones[[#This Row], [Mes]]=""),"",DATE(A423,MATCH(B423,{"enero","febrero","marzo","abril","mayo","junio","julio","agosto","septiembre","octubre","noviembre","diciembre"},0)+1,0))</f>
        <v/>
      </c>
      <c r="E423" t="str">
        <f>+IFERROR(VLOOKUP(Fact_Control_Operaciones[[#This Row], [Concepto Anterior]],Conceptos_Control_Operaciones[#All],5,0),"")</f>
        <v/>
      </c>
      <c r="F423" t="str">
        <f>+IFERROR(VLOOKUP(Fact_Control_Operaciones[[#This Row], 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ht="18.75" customHeight="1" x14ac:dyDescent="0.35">
      <c r="C424" s="100" t="str">
        <f>IF(OR(Fact_Control_Operaciones[[#This Row], [Año]]="",Fact_Control_Operaciones[[#This Row], [Mes]]=""),"",DATE(A424,MATCH(B424,{"enero","febrero","marzo","abril","mayo","junio","julio","agosto","septiembre","octubre","noviembre","diciembre"},0)+1,0))</f>
        <v/>
      </c>
      <c r="E424" t="str">
        <f>+IFERROR(VLOOKUP(Fact_Control_Operaciones[[#This Row], [Concepto Anterior]],Conceptos_Control_Operaciones[#All],5,0),"")</f>
        <v/>
      </c>
      <c r="F424" t="str">
        <f>+IFERROR(VLOOKUP(Fact_Control_Operaciones[[#This Row], 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ht="18.75" customHeight="1" x14ac:dyDescent="0.35">
      <c r="C425" s="100" t="str">
        <f>IF(OR(Fact_Control_Operaciones[[#This Row], [Año]]="",Fact_Control_Operaciones[[#This Row], [Mes]]=""),"",DATE(A425,MATCH(B425,{"enero","febrero","marzo","abril","mayo","junio","julio","agosto","septiembre","octubre","noviembre","diciembre"},0)+1,0))</f>
        <v/>
      </c>
      <c r="E425" t="str">
        <f>+IFERROR(VLOOKUP(Fact_Control_Operaciones[[#This Row], [Concepto Anterior]],Conceptos_Control_Operaciones[#All],5,0),"")</f>
        <v/>
      </c>
      <c r="F425" t="str">
        <f>+IFERROR(VLOOKUP(Fact_Control_Operaciones[[#This Row], 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ht="18.75" customHeight="1" x14ac:dyDescent="0.35">
      <c r="C426" s="100" t="str">
        <f>IF(OR(Fact_Control_Operaciones[[#This Row], [Año]]="",Fact_Control_Operaciones[[#This Row], [Mes]]=""),"",DATE(A426,MATCH(B426,{"enero","febrero","marzo","abril","mayo","junio","julio","agosto","septiembre","octubre","noviembre","diciembre"},0)+1,0))</f>
        <v/>
      </c>
      <c r="E426" t="str">
        <f>+IFERROR(VLOOKUP(Fact_Control_Operaciones[[#This Row], [Concepto Anterior]],Conceptos_Control_Operaciones[#All],5,0),"")</f>
        <v/>
      </c>
      <c r="F426" t="str">
        <f>+IFERROR(VLOOKUP(Fact_Control_Operaciones[[#This Row], 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ht="18.75" customHeight="1" x14ac:dyDescent="0.35">
      <c r="C427" s="100" t="str">
        <f>IF(OR(Fact_Control_Operaciones[[#This Row], [Año]]="",Fact_Control_Operaciones[[#This Row], [Mes]]=""),"",DATE(A427,MATCH(B427,{"enero","febrero","marzo","abril","mayo","junio","julio","agosto","septiembre","octubre","noviembre","diciembre"},0)+1,0))</f>
        <v/>
      </c>
      <c r="E427" t="str">
        <f>+IFERROR(VLOOKUP(Fact_Control_Operaciones[[#This Row], [Concepto Anterior]],Conceptos_Control_Operaciones[#All],5,0),"")</f>
        <v/>
      </c>
      <c r="F427" t="str">
        <f>+IFERROR(VLOOKUP(Fact_Control_Operaciones[[#This Row], 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ht="18.75" customHeight="1" x14ac:dyDescent="0.35">
      <c r="C428" s="100" t="str">
        <f>IF(OR(Fact_Control_Operaciones[[#This Row], [Año]]="",Fact_Control_Operaciones[[#This Row], [Mes]]=""),"",DATE(A428,MATCH(B428,{"enero","febrero","marzo","abril","mayo","junio","julio","agosto","septiembre","octubre","noviembre","diciembre"},0)+1,0))</f>
        <v/>
      </c>
      <c r="E428" t="str">
        <f>+IFERROR(VLOOKUP(Fact_Control_Operaciones[[#This Row], [Concepto Anterior]],Conceptos_Control_Operaciones[#All],5,0),"")</f>
        <v/>
      </c>
      <c r="F428" t="str">
        <f>+IFERROR(VLOOKUP(Fact_Control_Operaciones[[#This Row], 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ht="18.75" customHeight="1" x14ac:dyDescent="0.35">
      <c r="C429" s="100" t="str">
        <f>IF(OR(Fact_Control_Operaciones[[#This Row], [Año]]="",Fact_Control_Operaciones[[#This Row], [Mes]]=""),"",DATE(A429,MATCH(B429,{"enero","febrero","marzo","abril","mayo","junio","julio","agosto","septiembre","octubre","noviembre","diciembre"},0)+1,0))</f>
        <v/>
      </c>
      <c r="E429" t="str">
        <f>+IFERROR(VLOOKUP(Fact_Control_Operaciones[[#This Row], [Concepto Anterior]],Conceptos_Control_Operaciones[#All],5,0),"")</f>
        <v/>
      </c>
      <c r="F429" t="str">
        <f>+IFERROR(VLOOKUP(Fact_Control_Operaciones[[#This Row], 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ht="18.75" customHeight="1" x14ac:dyDescent="0.35">
      <c r="C430" s="100" t="str">
        <f>IF(OR(Fact_Control_Operaciones[[#This Row], [Año]]="",Fact_Control_Operaciones[[#This Row], [Mes]]=""),"",DATE(A430,MATCH(B430,{"enero","febrero","marzo","abril","mayo","junio","julio","agosto","septiembre","octubre","noviembre","diciembre"},0)+1,0))</f>
        <v/>
      </c>
      <c r="E430" t="str">
        <f>+IFERROR(VLOOKUP(Fact_Control_Operaciones[[#This Row], [Concepto Anterior]],Conceptos_Control_Operaciones[#All],5,0),"")</f>
        <v/>
      </c>
      <c r="F430" t="str">
        <f>+IFERROR(VLOOKUP(Fact_Control_Operaciones[[#This Row], 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ht="18.75" customHeight="1" x14ac:dyDescent="0.35">
      <c r="C431" s="100" t="str">
        <f>IF(OR(Fact_Control_Operaciones[[#This Row], [Año]]="",Fact_Control_Operaciones[[#This Row], [Mes]]=""),"",DATE(A431,MATCH(B431,{"enero","febrero","marzo","abril","mayo","junio","julio","agosto","septiembre","octubre","noviembre","diciembre"},0)+1,0))</f>
        <v/>
      </c>
      <c r="E431" t="str">
        <f>+IFERROR(VLOOKUP(Fact_Control_Operaciones[[#This Row], [Concepto Anterior]],Conceptos_Control_Operaciones[#All],5,0),"")</f>
        <v/>
      </c>
      <c r="F431" t="str">
        <f>+IFERROR(VLOOKUP(Fact_Control_Operaciones[[#This Row], 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ht="18.75" customHeight="1" x14ac:dyDescent="0.35">
      <c r="C432" s="100" t="str">
        <f>IF(OR(Fact_Control_Operaciones[[#This Row], [Año]]="",Fact_Control_Operaciones[[#This Row], [Mes]]=""),"",DATE(A432,MATCH(B432,{"enero","febrero","marzo","abril","mayo","junio","julio","agosto","septiembre","octubre","noviembre","diciembre"},0)+1,0))</f>
        <v/>
      </c>
      <c r="E432" t="str">
        <f>+IFERROR(VLOOKUP(Fact_Control_Operaciones[[#This Row], [Concepto Anterior]],Conceptos_Control_Operaciones[#All],5,0),"")</f>
        <v/>
      </c>
      <c r="F432" t="str">
        <f>+IFERROR(VLOOKUP(Fact_Control_Operaciones[[#This Row], 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ht="18.75" customHeight="1" x14ac:dyDescent="0.35">
      <c r="C433" s="100" t="str">
        <f>IF(OR(Fact_Control_Operaciones[[#This Row], [Año]]="",Fact_Control_Operaciones[[#This Row], [Mes]]=""),"",DATE(A433,MATCH(B433,{"enero","febrero","marzo","abril","mayo","junio","julio","agosto","septiembre","octubre","noviembre","diciembre"},0)+1,0))</f>
        <v/>
      </c>
      <c r="E433" t="str">
        <f>+IFERROR(VLOOKUP(Fact_Control_Operaciones[[#This Row], [Concepto Anterior]],Conceptos_Control_Operaciones[#All],5,0),"")</f>
        <v/>
      </c>
      <c r="F433" t="str">
        <f>+IFERROR(VLOOKUP(Fact_Control_Operaciones[[#This Row], 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ht="18.75" customHeight="1" x14ac:dyDescent="0.35">
      <c r="C434" s="100" t="str">
        <f>IF(OR(Fact_Control_Operaciones[[#This Row], [Año]]="",Fact_Control_Operaciones[[#This Row], [Mes]]=""),"",DATE(A434,MATCH(B434,{"enero","febrero","marzo","abril","mayo","junio","julio","agosto","septiembre","octubre","noviembre","diciembre"},0)+1,0))</f>
        <v/>
      </c>
      <c r="E434" t="str">
        <f>+IFERROR(VLOOKUP(Fact_Control_Operaciones[[#This Row], [Concepto Anterior]],Conceptos_Control_Operaciones[#All],5,0),"")</f>
        <v/>
      </c>
      <c r="F434" t="str">
        <f>+IFERROR(VLOOKUP(Fact_Control_Operaciones[[#This Row], 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ht="18.75" customHeight="1" x14ac:dyDescent="0.35">
      <c r="C435" s="100" t="str">
        <f>IF(OR(Fact_Control_Operaciones[[#This Row], [Año]]="",Fact_Control_Operaciones[[#This Row], [Mes]]=""),"",DATE(A435,MATCH(B435,{"enero","febrero","marzo","abril","mayo","junio","julio","agosto","septiembre","octubre","noviembre","diciembre"},0)+1,0))</f>
        <v/>
      </c>
      <c r="E435" t="str">
        <f>+IFERROR(VLOOKUP(Fact_Control_Operaciones[[#This Row], [Concepto Anterior]],Conceptos_Control_Operaciones[#All],5,0),"")</f>
        <v/>
      </c>
      <c r="F435" t="str">
        <f>+IFERROR(VLOOKUP(Fact_Control_Operaciones[[#This Row], 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ht="18.75" customHeight="1" x14ac:dyDescent="0.35">
      <c r="C436" s="100" t="str">
        <f>IF(OR(Fact_Control_Operaciones[[#This Row], [Año]]="",Fact_Control_Operaciones[[#This Row], [Mes]]=""),"",DATE(A436,MATCH(B436,{"enero","febrero","marzo","abril","mayo","junio","julio","agosto","septiembre","octubre","noviembre","diciembre"},0)+1,0))</f>
        <v/>
      </c>
      <c r="E436" t="str">
        <f>+IFERROR(VLOOKUP(Fact_Control_Operaciones[[#This Row], [Concepto Anterior]],Conceptos_Control_Operaciones[#All],5,0),"")</f>
        <v/>
      </c>
      <c r="F436" t="str">
        <f>+IFERROR(VLOOKUP(Fact_Control_Operaciones[[#This Row], 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ht="18.75" customHeight="1" x14ac:dyDescent="0.35">
      <c r="C437" s="100" t="str">
        <f>IF(OR(Fact_Control_Operaciones[[#This Row], [Año]]="",Fact_Control_Operaciones[[#This Row], [Mes]]=""),"",DATE(A437,MATCH(B437,{"enero","febrero","marzo","abril","mayo","junio","julio","agosto","septiembre","octubre","noviembre","diciembre"},0)+1,0))</f>
        <v/>
      </c>
      <c r="E437" t="str">
        <f>+IFERROR(VLOOKUP(Fact_Control_Operaciones[[#This Row], [Concepto Anterior]],Conceptos_Control_Operaciones[#All],5,0),"")</f>
        <v/>
      </c>
      <c r="F437" t="str">
        <f>+IFERROR(VLOOKUP(Fact_Control_Operaciones[[#This Row], 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ht="18.75" customHeight="1" x14ac:dyDescent="0.35">
      <c r="C438" s="100" t="str">
        <f>IF(OR(Fact_Control_Operaciones[[#This Row], [Año]]="",Fact_Control_Operaciones[[#This Row], [Mes]]=""),"",DATE(A438,MATCH(B438,{"enero","febrero","marzo","abril","mayo","junio","julio","agosto","septiembre","octubre","noviembre","diciembre"},0)+1,0))</f>
        <v/>
      </c>
      <c r="E438" t="str">
        <f>+IFERROR(VLOOKUP(Fact_Control_Operaciones[[#This Row], [Concepto Anterior]],Conceptos_Control_Operaciones[#All],5,0),"")</f>
        <v/>
      </c>
      <c r="F438" t="str">
        <f>+IFERROR(VLOOKUP(Fact_Control_Operaciones[[#This Row], 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ht="18.75" customHeight="1" x14ac:dyDescent="0.35">
      <c r="C439" s="100" t="str">
        <f>IF(OR(Fact_Control_Operaciones[[#This Row], [Año]]="",Fact_Control_Operaciones[[#This Row], [Mes]]=""),"",DATE(A439,MATCH(B439,{"enero","febrero","marzo","abril","mayo","junio","julio","agosto","septiembre","octubre","noviembre","diciembre"},0)+1,0))</f>
        <v/>
      </c>
      <c r="E439" t="str">
        <f>+IFERROR(VLOOKUP(Fact_Control_Operaciones[[#This Row], [Concepto Anterior]],Conceptos_Control_Operaciones[#All],5,0),"")</f>
        <v/>
      </c>
      <c r="F439" t="str">
        <f>+IFERROR(VLOOKUP(Fact_Control_Operaciones[[#This Row], 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ht="18.75" customHeight="1" x14ac:dyDescent="0.35">
      <c r="C440" s="100" t="str">
        <f>IF(OR(Fact_Control_Operaciones[[#This Row], [Año]]="",Fact_Control_Operaciones[[#This Row], [Mes]]=""),"",DATE(A440,MATCH(B440,{"enero","febrero","marzo","abril","mayo","junio","julio","agosto","septiembre","octubre","noviembre","diciembre"},0)+1,0))</f>
        <v/>
      </c>
      <c r="E440" t="str">
        <f>+IFERROR(VLOOKUP(Fact_Control_Operaciones[[#This Row], [Concepto Anterior]],Conceptos_Control_Operaciones[#All],5,0),"")</f>
        <v/>
      </c>
      <c r="F440" t="str">
        <f>+IFERROR(VLOOKUP(Fact_Control_Operaciones[[#This Row], 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ht="18.75" customHeight="1" x14ac:dyDescent="0.35">
      <c r="C441" s="100" t="str">
        <f>IF(OR(Fact_Control_Operaciones[[#This Row], [Año]]="",Fact_Control_Operaciones[[#This Row], [Mes]]=""),"",DATE(A441,MATCH(B441,{"enero","febrero","marzo","abril","mayo","junio","julio","agosto","septiembre","octubre","noviembre","diciembre"},0)+1,0))</f>
        <v/>
      </c>
      <c r="E441" t="str">
        <f>+IFERROR(VLOOKUP(Fact_Control_Operaciones[[#This Row], [Concepto Anterior]],Conceptos_Control_Operaciones[#All],5,0),"")</f>
        <v/>
      </c>
      <c r="F441" t="str">
        <f>+IFERROR(VLOOKUP(Fact_Control_Operaciones[[#This Row], 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ht="18.75" customHeight="1" x14ac:dyDescent="0.35">
      <c r="C442" s="100" t="str">
        <f>IF(OR(Fact_Control_Operaciones[[#This Row], [Año]]="",Fact_Control_Operaciones[[#This Row], [Mes]]=""),"",DATE(A442,MATCH(B442,{"enero","febrero","marzo","abril","mayo","junio","julio","agosto","septiembre","octubre","noviembre","diciembre"},0)+1,0))</f>
        <v/>
      </c>
      <c r="E442" t="str">
        <f>+IFERROR(VLOOKUP(Fact_Control_Operaciones[[#This Row], [Concepto Anterior]],Conceptos_Control_Operaciones[#All],5,0),"")</f>
        <v/>
      </c>
      <c r="F442" t="str">
        <f>+IFERROR(VLOOKUP(Fact_Control_Operaciones[[#This Row], 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ht="18.75" customHeight="1" x14ac:dyDescent="0.35">
      <c r="C443" s="100" t="str">
        <f>IF(OR(Fact_Control_Operaciones[[#This Row], [Año]]="",Fact_Control_Operaciones[[#This Row], [Mes]]=""),"",DATE(A443,MATCH(B443,{"enero","febrero","marzo","abril","mayo","junio","julio","agosto","septiembre","octubre","noviembre","diciembre"},0)+1,0))</f>
        <v/>
      </c>
      <c r="E443" t="str">
        <f>+IFERROR(VLOOKUP(Fact_Control_Operaciones[[#This Row], [Concepto Anterior]],Conceptos_Control_Operaciones[#All],5,0),"")</f>
        <v/>
      </c>
      <c r="F443" t="str">
        <f>+IFERROR(VLOOKUP(Fact_Control_Operaciones[[#This Row], 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ht="18.75" customHeight="1" x14ac:dyDescent="0.35">
      <c r="C444" s="100" t="str">
        <f>IF(OR(Fact_Control_Operaciones[[#This Row], [Año]]="",Fact_Control_Operaciones[[#This Row], [Mes]]=""),"",DATE(A444,MATCH(B444,{"enero","febrero","marzo","abril","mayo","junio","julio","agosto","septiembre","octubre","noviembre","diciembre"},0)+1,0))</f>
        <v/>
      </c>
      <c r="E444" t="str">
        <f>+IFERROR(VLOOKUP(Fact_Control_Operaciones[[#This Row], [Concepto Anterior]],Conceptos_Control_Operaciones[#All],5,0),"")</f>
        <v/>
      </c>
      <c r="F444" t="str">
        <f>+IFERROR(VLOOKUP(Fact_Control_Operaciones[[#This Row], 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ht="18.75" customHeight="1" x14ac:dyDescent="0.35">
      <c r="C445" s="100" t="str">
        <f>IF(OR(Fact_Control_Operaciones[[#This Row], [Año]]="",Fact_Control_Operaciones[[#This Row], [Mes]]=""),"",DATE(A445,MATCH(B445,{"enero","febrero","marzo","abril","mayo","junio","julio","agosto","septiembre","octubre","noviembre","diciembre"},0)+1,0))</f>
        <v/>
      </c>
      <c r="E445" t="str">
        <f>+IFERROR(VLOOKUP(Fact_Control_Operaciones[[#This Row], [Concepto Anterior]],Conceptos_Control_Operaciones[#All],5,0),"")</f>
        <v/>
      </c>
      <c r="F445" t="str">
        <f>+IFERROR(VLOOKUP(Fact_Control_Operaciones[[#This Row], 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ht="18.75" customHeight="1" x14ac:dyDescent="0.35">
      <c r="C446" s="100" t="str">
        <f>IF(OR(Fact_Control_Operaciones[[#This Row], [Año]]="",Fact_Control_Operaciones[[#This Row], [Mes]]=""),"",DATE(A446,MATCH(B446,{"enero","febrero","marzo","abril","mayo","junio","julio","agosto","septiembre","octubre","noviembre","diciembre"},0)+1,0))</f>
        <v/>
      </c>
      <c r="E446" t="str">
        <f>+IFERROR(VLOOKUP(Fact_Control_Operaciones[[#This Row], [Concepto Anterior]],Conceptos_Control_Operaciones[#All],5,0),"")</f>
        <v/>
      </c>
      <c r="F446" t="str">
        <f>+IFERROR(VLOOKUP(Fact_Control_Operaciones[[#This Row], 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ht="18.75" customHeight="1" x14ac:dyDescent="0.35">
      <c r="C447" s="100" t="str">
        <f>IF(OR(Fact_Control_Operaciones[[#This Row], [Año]]="",Fact_Control_Operaciones[[#This Row], [Mes]]=""),"",DATE(A447,MATCH(B447,{"enero","febrero","marzo","abril","mayo","junio","julio","agosto","septiembre","octubre","noviembre","diciembre"},0)+1,0))</f>
        <v/>
      </c>
      <c r="E447" t="str">
        <f>+IFERROR(VLOOKUP(Fact_Control_Operaciones[[#This Row], [Concepto Anterior]],Conceptos_Control_Operaciones[#All],5,0),"")</f>
        <v/>
      </c>
      <c r="F447" t="str">
        <f>+IFERROR(VLOOKUP(Fact_Control_Operaciones[[#This Row], 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ht="18.75" customHeight="1" x14ac:dyDescent="0.35">
      <c r="C448" s="100" t="str">
        <f>IF(OR(Fact_Control_Operaciones[[#This Row], [Año]]="",Fact_Control_Operaciones[[#This Row], [Mes]]=""),"",DATE(A448,MATCH(B448,{"enero","febrero","marzo","abril","mayo","junio","julio","agosto","septiembre","octubre","noviembre","diciembre"},0)+1,0))</f>
        <v/>
      </c>
      <c r="E448" t="str">
        <f>+IFERROR(VLOOKUP(Fact_Control_Operaciones[[#This Row], [Concepto Anterior]],Conceptos_Control_Operaciones[#All],5,0),"")</f>
        <v/>
      </c>
      <c r="F448" t="str">
        <f>+IFERROR(VLOOKUP(Fact_Control_Operaciones[[#This Row], 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ht="18.75" customHeight="1" x14ac:dyDescent="0.35">
      <c r="C449" s="100" t="str">
        <f>IF(OR(Fact_Control_Operaciones[[#This Row], [Año]]="",Fact_Control_Operaciones[[#This Row], [Mes]]=""),"",DATE(A449,MATCH(B449,{"enero","febrero","marzo","abril","mayo","junio","julio","agosto","septiembre","octubre","noviembre","diciembre"},0)+1,0))</f>
        <v/>
      </c>
      <c r="E449" t="str">
        <f>+IFERROR(VLOOKUP(Fact_Control_Operaciones[[#This Row], [Concepto Anterior]],Conceptos_Control_Operaciones[#All],5,0),"")</f>
        <v/>
      </c>
      <c r="F449" t="str">
        <f>+IFERROR(VLOOKUP(Fact_Control_Operaciones[[#This Row], 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ht="18.75" customHeight="1" x14ac:dyDescent="0.35">
      <c r="C450" s="100" t="str">
        <f>IF(OR(Fact_Control_Operaciones[[#This Row], [Año]]="",Fact_Control_Operaciones[[#This Row], [Mes]]=""),"",DATE(A450,MATCH(B450,{"enero","febrero","marzo","abril","mayo","junio","julio","agosto","septiembre","octubre","noviembre","diciembre"},0)+1,0))</f>
        <v/>
      </c>
      <c r="E450" t="str">
        <f>+IFERROR(VLOOKUP(Fact_Control_Operaciones[[#This Row], [Concepto Anterior]],Conceptos_Control_Operaciones[#All],5,0),"")</f>
        <v/>
      </c>
      <c r="F450" t="str">
        <f>+IFERROR(VLOOKUP(Fact_Control_Operaciones[[#This Row], 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ht="18.75" customHeight="1" x14ac:dyDescent="0.35">
      <c r="C451" s="100" t="str">
        <f>IF(OR(Fact_Control_Operaciones[[#This Row], [Año]]="",Fact_Control_Operaciones[[#This Row], [Mes]]=""),"",DATE(A451,MATCH(B451,{"enero","febrero","marzo","abril","mayo","junio","julio","agosto","septiembre","octubre","noviembre","diciembre"},0)+1,0))</f>
        <v/>
      </c>
      <c r="E451" t="str">
        <f>+IFERROR(VLOOKUP(Fact_Control_Operaciones[[#This Row], [Concepto Anterior]],Conceptos_Control_Operaciones[#All],5,0),"")</f>
        <v/>
      </c>
      <c r="F451" t="str">
        <f>+IFERROR(VLOOKUP(Fact_Control_Operaciones[[#This Row], 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ht="18.75" customHeight="1" x14ac:dyDescent="0.35">
      <c r="C452" s="100" t="str">
        <f>IF(OR(Fact_Control_Operaciones[[#This Row], [Año]]="",Fact_Control_Operaciones[[#This Row], [Mes]]=""),"",DATE(A452,MATCH(B452,{"enero","febrero","marzo","abril","mayo","junio","julio","agosto","septiembre","octubre","noviembre","diciembre"},0)+1,0))</f>
        <v/>
      </c>
      <c r="E452" t="str">
        <f>+IFERROR(VLOOKUP(Fact_Control_Operaciones[[#This Row], [Concepto Anterior]],Conceptos_Control_Operaciones[#All],5,0),"")</f>
        <v/>
      </c>
      <c r="F452" t="str">
        <f>+IFERROR(VLOOKUP(Fact_Control_Operaciones[[#This Row], 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ht="18.75" customHeight="1" x14ac:dyDescent="0.35">
      <c r="C453" s="100" t="str">
        <f>IF(OR(Fact_Control_Operaciones[[#This Row], [Año]]="",Fact_Control_Operaciones[[#This Row], [Mes]]=""),"",DATE(A453,MATCH(B453,{"enero","febrero","marzo","abril","mayo","junio","julio","agosto","septiembre","octubre","noviembre","diciembre"},0)+1,0))</f>
        <v/>
      </c>
      <c r="E453" t="str">
        <f>+IFERROR(VLOOKUP(Fact_Control_Operaciones[[#This Row], [Concepto Anterior]],Conceptos_Control_Operaciones[#All],5,0),"")</f>
        <v/>
      </c>
      <c r="F453" t="str">
        <f>+IFERROR(VLOOKUP(Fact_Control_Operaciones[[#This Row], 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ht="18.75" customHeight="1" x14ac:dyDescent="0.35">
      <c r="C454" s="100" t="str">
        <f>IF(OR(Fact_Control_Operaciones[[#This Row], [Año]]="",Fact_Control_Operaciones[[#This Row], [Mes]]=""),"",DATE(A454,MATCH(B454,{"enero","febrero","marzo","abril","mayo","junio","julio","agosto","septiembre","octubre","noviembre","diciembre"},0)+1,0))</f>
        <v/>
      </c>
      <c r="E454" t="str">
        <f>+IFERROR(VLOOKUP(Fact_Control_Operaciones[[#This Row], [Concepto Anterior]],Conceptos_Control_Operaciones[#All],5,0),"")</f>
        <v/>
      </c>
      <c r="F454" t="str">
        <f>+IFERROR(VLOOKUP(Fact_Control_Operaciones[[#This Row], 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ht="18.75" customHeight="1" x14ac:dyDescent="0.35">
      <c r="C455" s="100" t="str">
        <f>IF(OR(Fact_Control_Operaciones[[#This Row], [Año]]="",Fact_Control_Operaciones[[#This Row], [Mes]]=""),"",DATE(A455,MATCH(B455,{"enero","febrero","marzo","abril","mayo","junio","julio","agosto","septiembre","octubre","noviembre","diciembre"},0)+1,0))</f>
        <v/>
      </c>
      <c r="E455" t="str">
        <f>+IFERROR(VLOOKUP(Fact_Control_Operaciones[[#This Row], [Concepto Anterior]],Conceptos_Control_Operaciones[#All],5,0),"")</f>
        <v/>
      </c>
      <c r="F455" t="str">
        <f>+IFERROR(VLOOKUP(Fact_Control_Operaciones[[#This Row], 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ht="18.75" customHeight="1" x14ac:dyDescent="0.35">
      <c r="C456" s="100" t="str">
        <f>IF(OR(Fact_Control_Operaciones[[#This Row], [Año]]="",Fact_Control_Operaciones[[#This Row], [Mes]]=""),"",DATE(A456,MATCH(B456,{"enero","febrero","marzo","abril","mayo","junio","julio","agosto","septiembre","octubre","noviembre","diciembre"},0)+1,0))</f>
        <v/>
      </c>
      <c r="E456" t="str">
        <f>+IFERROR(VLOOKUP(Fact_Control_Operaciones[[#This Row], [Concepto Anterior]],Conceptos_Control_Operaciones[#All],5,0),"")</f>
        <v/>
      </c>
      <c r="F456" t="str">
        <f>+IFERROR(VLOOKUP(Fact_Control_Operaciones[[#This Row], 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ht="18.75" customHeight="1" x14ac:dyDescent="0.35">
      <c r="C457" s="100" t="str">
        <f>IF(OR(Fact_Control_Operaciones[[#This Row], [Año]]="",Fact_Control_Operaciones[[#This Row], [Mes]]=""),"",DATE(A457,MATCH(B457,{"enero","febrero","marzo","abril","mayo","junio","julio","agosto","septiembre","octubre","noviembre","diciembre"},0)+1,0))</f>
        <v/>
      </c>
      <c r="E457" t="str">
        <f>+IFERROR(VLOOKUP(Fact_Control_Operaciones[[#This Row], [Concepto Anterior]],Conceptos_Control_Operaciones[#All],5,0),"")</f>
        <v/>
      </c>
      <c r="F457" t="str">
        <f>+IFERROR(VLOOKUP(Fact_Control_Operaciones[[#This Row], 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ht="18.75" customHeight="1" x14ac:dyDescent="0.35">
      <c r="C458" s="100" t="str">
        <f>IF(OR(Fact_Control_Operaciones[[#This Row], [Año]]="",Fact_Control_Operaciones[[#This Row], [Mes]]=""),"",DATE(A458,MATCH(B458,{"enero","febrero","marzo","abril","mayo","junio","julio","agosto","septiembre","octubre","noviembre","diciembre"},0)+1,0))</f>
        <v/>
      </c>
      <c r="E458" t="str">
        <f>+IFERROR(VLOOKUP(Fact_Control_Operaciones[[#This Row], [Concepto Anterior]],Conceptos_Control_Operaciones[#All],5,0),"")</f>
        <v/>
      </c>
      <c r="F458" t="str">
        <f>+IFERROR(VLOOKUP(Fact_Control_Operaciones[[#This Row], 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ht="18.75" customHeight="1" x14ac:dyDescent="0.35">
      <c r="C459" s="100" t="str">
        <f>IF(OR(Fact_Control_Operaciones[[#This Row], [Año]]="",Fact_Control_Operaciones[[#This Row], [Mes]]=""),"",DATE(A459,MATCH(B459,{"enero","febrero","marzo","abril","mayo","junio","julio","agosto","septiembre","octubre","noviembre","diciembre"},0)+1,0))</f>
        <v/>
      </c>
      <c r="E459" t="str">
        <f>+IFERROR(VLOOKUP(Fact_Control_Operaciones[[#This Row], [Concepto Anterior]],Conceptos_Control_Operaciones[#All],5,0),"")</f>
        <v/>
      </c>
      <c r="F459" t="str">
        <f>+IFERROR(VLOOKUP(Fact_Control_Operaciones[[#This Row], 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ht="18.75" customHeight="1" x14ac:dyDescent="0.35">
      <c r="C460" s="100" t="str">
        <f>IF(OR(Fact_Control_Operaciones[[#This Row], [Año]]="",Fact_Control_Operaciones[[#This Row], [Mes]]=""),"",DATE(A460,MATCH(B460,{"enero","febrero","marzo","abril","mayo","junio","julio","agosto","septiembre","octubre","noviembre","diciembre"},0)+1,0))</f>
        <v/>
      </c>
      <c r="E460" t="str">
        <f>+IFERROR(VLOOKUP(Fact_Control_Operaciones[[#This Row], [Concepto Anterior]],Conceptos_Control_Operaciones[#All],5,0),"")</f>
        <v/>
      </c>
      <c r="F460" t="str">
        <f>+IFERROR(VLOOKUP(Fact_Control_Operaciones[[#This Row], 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ht="18.75" customHeight="1" x14ac:dyDescent="0.35">
      <c r="C461" s="100" t="str">
        <f>IF(OR(Fact_Control_Operaciones[[#This Row], [Año]]="",Fact_Control_Operaciones[[#This Row], [Mes]]=""),"",DATE(A461,MATCH(B461,{"enero","febrero","marzo","abril","mayo","junio","julio","agosto","septiembre","octubre","noviembre","diciembre"},0)+1,0))</f>
        <v/>
      </c>
      <c r="E461" t="str">
        <f>+IFERROR(VLOOKUP(Fact_Control_Operaciones[[#This Row], [Concepto Anterior]],Conceptos_Control_Operaciones[#All],5,0),"")</f>
        <v/>
      </c>
      <c r="F461" t="str">
        <f>+IFERROR(VLOOKUP(Fact_Control_Operaciones[[#This Row], 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ht="18.75" customHeight="1" x14ac:dyDescent="0.35">
      <c r="C462" s="100" t="str">
        <f>IF(OR(Fact_Control_Operaciones[[#This Row], [Año]]="",Fact_Control_Operaciones[[#This Row], [Mes]]=""),"",DATE(A462,MATCH(B462,{"enero","febrero","marzo","abril","mayo","junio","julio","agosto","septiembre","octubre","noviembre","diciembre"},0)+1,0))</f>
        <v/>
      </c>
      <c r="E462" t="str">
        <f>+IFERROR(VLOOKUP(Fact_Control_Operaciones[[#This Row], [Concepto Anterior]],Conceptos_Control_Operaciones[#All],5,0),"")</f>
        <v/>
      </c>
      <c r="F462" t="str">
        <f>+IFERROR(VLOOKUP(Fact_Control_Operaciones[[#This Row], 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ht="18.75" customHeight="1" x14ac:dyDescent="0.35">
      <c r="C463" s="100" t="str">
        <f>IF(OR(Fact_Control_Operaciones[[#This Row], [Año]]="",Fact_Control_Operaciones[[#This Row], [Mes]]=""),"",DATE(A463,MATCH(B463,{"enero","febrero","marzo","abril","mayo","junio","julio","agosto","septiembre","octubre","noviembre","diciembre"},0)+1,0))</f>
        <v/>
      </c>
      <c r="E463" t="str">
        <f>+IFERROR(VLOOKUP(Fact_Control_Operaciones[[#This Row], [Concepto Anterior]],Conceptos_Control_Operaciones[#All],5,0),"")</f>
        <v/>
      </c>
      <c r="F463" t="str">
        <f>+IFERROR(VLOOKUP(Fact_Control_Operaciones[[#This Row], 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ht="18.75" customHeight="1" x14ac:dyDescent="0.35">
      <c r="C464" s="100" t="str">
        <f>IF(OR(Fact_Control_Operaciones[[#This Row], [Año]]="",Fact_Control_Operaciones[[#This Row], [Mes]]=""),"",DATE(A464,MATCH(B464,{"enero","febrero","marzo","abril","mayo","junio","julio","agosto","septiembre","octubre","noviembre","diciembre"},0)+1,0))</f>
        <v/>
      </c>
      <c r="E464" t="str">
        <f>+IFERROR(VLOOKUP(Fact_Control_Operaciones[[#This Row], [Concepto Anterior]],Conceptos_Control_Operaciones[#All],5,0),"")</f>
        <v/>
      </c>
      <c r="F464" t="str">
        <f>+IFERROR(VLOOKUP(Fact_Control_Operaciones[[#This Row], 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ht="18.75" customHeight="1" x14ac:dyDescent="0.35">
      <c r="C465" s="100" t="str">
        <f>IF(OR(Fact_Control_Operaciones[[#This Row], [Año]]="",Fact_Control_Operaciones[[#This Row], [Mes]]=""),"",DATE(A465,MATCH(B465,{"enero","febrero","marzo","abril","mayo","junio","julio","agosto","septiembre","octubre","noviembre","diciembre"},0)+1,0))</f>
        <v/>
      </c>
      <c r="E465" t="str">
        <f>+IFERROR(VLOOKUP(Fact_Control_Operaciones[[#This Row], [Concepto Anterior]],Conceptos_Control_Operaciones[#All],5,0),"")</f>
        <v/>
      </c>
      <c r="F465" t="str">
        <f>+IFERROR(VLOOKUP(Fact_Control_Operaciones[[#This Row], 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ht="18.75" customHeight="1" x14ac:dyDescent="0.35">
      <c r="C466" s="100" t="str">
        <f>IF(OR(Fact_Control_Operaciones[[#This Row], [Año]]="",Fact_Control_Operaciones[[#This Row], [Mes]]=""),"",DATE(A466,MATCH(B466,{"enero","febrero","marzo","abril","mayo","junio","julio","agosto","septiembre","octubre","noviembre","diciembre"},0)+1,0))</f>
        <v/>
      </c>
      <c r="E466" t="str">
        <f>+IFERROR(VLOOKUP(Fact_Control_Operaciones[[#This Row], [Concepto Anterior]],Conceptos_Control_Operaciones[#All],5,0),"")</f>
        <v/>
      </c>
      <c r="F466" t="str">
        <f>+IFERROR(VLOOKUP(Fact_Control_Operaciones[[#This Row], 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ht="18.75" customHeight="1" x14ac:dyDescent="0.35">
      <c r="C467" s="100" t="str">
        <f>IF(OR(Fact_Control_Operaciones[[#This Row], [Año]]="",Fact_Control_Operaciones[[#This Row], [Mes]]=""),"",DATE(A467,MATCH(B467,{"enero","febrero","marzo","abril","mayo","junio","julio","agosto","septiembre","octubre","noviembre","diciembre"},0)+1,0))</f>
        <v/>
      </c>
      <c r="E467" t="str">
        <f>+IFERROR(VLOOKUP(Fact_Control_Operaciones[[#This Row], [Concepto Anterior]],Conceptos_Control_Operaciones[#All],5,0),"")</f>
        <v/>
      </c>
      <c r="F467" t="str">
        <f>+IFERROR(VLOOKUP(Fact_Control_Operaciones[[#This Row], 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ht="18.75" customHeight="1" x14ac:dyDescent="0.35">
      <c r="C468" s="100" t="str">
        <f>IF(OR(Fact_Control_Operaciones[[#This Row], [Año]]="",Fact_Control_Operaciones[[#This Row], [Mes]]=""),"",DATE(A468,MATCH(B468,{"enero","febrero","marzo","abril","mayo","junio","julio","agosto","septiembre","octubre","noviembre","diciembre"},0)+1,0))</f>
        <v/>
      </c>
      <c r="E468" t="str">
        <f>+IFERROR(VLOOKUP(Fact_Control_Operaciones[[#This Row], [Concepto Anterior]],Conceptos_Control_Operaciones[#All],5,0),"")</f>
        <v/>
      </c>
      <c r="F468" t="str">
        <f>+IFERROR(VLOOKUP(Fact_Control_Operaciones[[#This Row], 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ht="18.75" customHeight="1" x14ac:dyDescent="0.35">
      <c r="C469" s="100" t="str">
        <f>IF(OR(Fact_Control_Operaciones[[#This Row], [Año]]="",Fact_Control_Operaciones[[#This Row], [Mes]]=""),"",DATE(A469,MATCH(B469,{"enero","febrero","marzo","abril","mayo","junio","julio","agosto","septiembre","octubre","noviembre","diciembre"},0)+1,0))</f>
        <v/>
      </c>
      <c r="E469" t="str">
        <f>+IFERROR(VLOOKUP(Fact_Control_Operaciones[[#This Row], [Concepto Anterior]],Conceptos_Control_Operaciones[#All],5,0),"")</f>
        <v/>
      </c>
      <c r="F469" t="str">
        <f>+IFERROR(VLOOKUP(Fact_Control_Operaciones[[#This Row], 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ht="18.75" customHeight="1" x14ac:dyDescent="0.35">
      <c r="C470" s="100" t="str">
        <f>IF(OR(Fact_Control_Operaciones[[#This Row], [Año]]="",Fact_Control_Operaciones[[#This Row], [Mes]]=""),"",DATE(A470,MATCH(B470,{"enero","febrero","marzo","abril","mayo","junio","julio","agosto","septiembre","octubre","noviembre","diciembre"},0)+1,0))</f>
        <v/>
      </c>
      <c r="E470" t="str">
        <f>+IFERROR(VLOOKUP(Fact_Control_Operaciones[[#This Row], [Concepto Anterior]],Conceptos_Control_Operaciones[#All],5,0),"")</f>
        <v/>
      </c>
      <c r="F470" t="str">
        <f>+IFERROR(VLOOKUP(Fact_Control_Operaciones[[#This Row], 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ht="18.75" customHeight="1" x14ac:dyDescent="0.35">
      <c r="C471" s="100" t="str">
        <f>IF(OR(Fact_Control_Operaciones[[#This Row], [Año]]="",Fact_Control_Operaciones[[#This Row], [Mes]]=""),"",DATE(A471,MATCH(B471,{"enero","febrero","marzo","abril","mayo","junio","julio","agosto","septiembre","octubre","noviembre","diciembre"},0)+1,0))</f>
        <v/>
      </c>
      <c r="E471" t="str">
        <f>+IFERROR(VLOOKUP(Fact_Control_Operaciones[[#This Row], [Concepto Anterior]],Conceptos_Control_Operaciones[#All],5,0),"")</f>
        <v/>
      </c>
      <c r="F471" t="str">
        <f>+IFERROR(VLOOKUP(Fact_Control_Operaciones[[#This Row], 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ht="18.75" customHeight="1" x14ac:dyDescent="0.35">
      <c r="C472" s="100" t="str">
        <f>IF(OR(Fact_Control_Operaciones[[#This Row], [Año]]="",Fact_Control_Operaciones[[#This Row], [Mes]]=""),"",DATE(A472,MATCH(B472,{"enero","febrero","marzo","abril","mayo","junio","julio","agosto","septiembre","octubre","noviembre","diciembre"},0)+1,0))</f>
        <v/>
      </c>
      <c r="E472" t="str">
        <f>+IFERROR(VLOOKUP(Fact_Control_Operaciones[[#This Row], [Concepto Anterior]],Conceptos_Control_Operaciones[#All],5,0),"")</f>
        <v/>
      </c>
      <c r="F472" t="str">
        <f>+IFERROR(VLOOKUP(Fact_Control_Operaciones[[#This Row], 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ht="18.75" customHeight="1" x14ac:dyDescent="0.35">
      <c r="C473" s="100" t="str">
        <f>IF(OR(Fact_Control_Operaciones[[#This Row], [Año]]="",Fact_Control_Operaciones[[#This Row], [Mes]]=""),"",DATE(A473,MATCH(B473,{"enero","febrero","marzo","abril","mayo","junio","julio","agosto","septiembre","octubre","noviembre","diciembre"},0)+1,0))</f>
        <v/>
      </c>
      <c r="E473" t="str">
        <f>+IFERROR(VLOOKUP(Fact_Control_Operaciones[[#This Row], [Concepto Anterior]],Conceptos_Control_Operaciones[#All],5,0),"")</f>
        <v/>
      </c>
      <c r="F473" t="str">
        <f>+IFERROR(VLOOKUP(Fact_Control_Operaciones[[#This Row], 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ht="18.75" customHeight="1" x14ac:dyDescent="0.35">
      <c r="C474" s="100" t="str">
        <f>IF(OR(Fact_Control_Operaciones[[#This Row], [Año]]="",Fact_Control_Operaciones[[#This Row], [Mes]]=""),"",DATE(A474,MATCH(B474,{"enero","febrero","marzo","abril","mayo","junio","julio","agosto","septiembre","octubre","noviembre","diciembre"},0)+1,0))</f>
        <v/>
      </c>
      <c r="E474" t="str">
        <f>+IFERROR(VLOOKUP(Fact_Control_Operaciones[[#This Row], [Concepto Anterior]],Conceptos_Control_Operaciones[#All],5,0),"")</f>
        <v/>
      </c>
      <c r="F474" t="str">
        <f>+IFERROR(VLOOKUP(Fact_Control_Operaciones[[#This Row], 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ht="18.75" customHeight="1" x14ac:dyDescent="0.35">
      <c r="C475" s="100" t="str">
        <f>IF(OR(Fact_Control_Operaciones[[#This Row], [Año]]="",Fact_Control_Operaciones[[#This Row], [Mes]]=""),"",DATE(A475,MATCH(B475,{"enero","febrero","marzo","abril","mayo","junio","julio","agosto","septiembre","octubre","noviembre","diciembre"},0)+1,0))</f>
        <v/>
      </c>
      <c r="E475" t="str">
        <f>+IFERROR(VLOOKUP(Fact_Control_Operaciones[[#This Row], [Concepto Anterior]],Conceptos_Control_Operaciones[#All],5,0),"")</f>
        <v/>
      </c>
      <c r="F475" t="str">
        <f>+IFERROR(VLOOKUP(Fact_Control_Operaciones[[#This Row], 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ht="18.75" customHeight="1" x14ac:dyDescent="0.35">
      <c r="C476" s="100" t="str">
        <f>IF(OR(Fact_Control_Operaciones[[#This Row], [Año]]="",Fact_Control_Operaciones[[#This Row], [Mes]]=""),"",DATE(A476,MATCH(B476,{"enero","febrero","marzo","abril","mayo","junio","julio","agosto","septiembre","octubre","noviembre","diciembre"},0)+1,0))</f>
        <v/>
      </c>
      <c r="E476" t="str">
        <f>+IFERROR(VLOOKUP(Fact_Control_Operaciones[[#This Row], [Concepto Anterior]],Conceptos_Control_Operaciones[#All],5,0),"")</f>
        <v/>
      </c>
      <c r="F476" t="str">
        <f>+IFERROR(VLOOKUP(Fact_Control_Operaciones[[#This Row], 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ht="18.75" customHeight="1" x14ac:dyDescent="0.35">
      <c r="C477" s="100" t="str">
        <f>IF(OR(Fact_Control_Operaciones[[#This Row], [Año]]="",Fact_Control_Operaciones[[#This Row], [Mes]]=""),"",DATE(A477,MATCH(B477,{"enero","febrero","marzo","abril","mayo","junio","julio","agosto","septiembre","octubre","noviembre","diciembre"},0)+1,0))</f>
        <v/>
      </c>
      <c r="E477" t="str">
        <f>+IFERROR(VLOOKUP(Fact_Control_Operaciones[[#This Row], [Concepto Anterior]],Conceptos_Control_Operaciones[#All],5,0),"")</f>
        <v/>
      </c>
      <c r="F477" t="str">
        <f>+IFERROR(VLOOKUP(Fact_Control_Operaciones[[#This Row], 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ht="18.75" customHeight="1" x14ac:dyDescent="0.35">
      <c r="C478" s="100" t="str">
        <f>IF(OR(Fact_Control_Operaciones[[#This Row], [Año]]="",Fact_Control_Operaciones[[#This Row], [Mes]]=""),"",DATE(A478,MATCH(B478,{"enero","febrero","marzo","abril","mayo","junio","julio","agosto","septiembre","octubre","noviembre","diciembre"},0)+1,0))</f>
        <v/>
      </c>
      <c r="E478" t="str">
        <f>+IFERROR(VLOOKUP(Fact_Control_Operaciones[[#This Row], [Concepto Anterior]],Conceptos_Control_Operaciones[#All],5,0),"")</f>
        <v/>
      </c>
      <c r="F478" t="str">
        <f>+IFERROR(VLOOKUP(Fact_Control_Operaciones[[#This Row], 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ht="18.75" customHeight="1" x14ac:dyDescent="0.35">
      <c r="C479" s="100" t="str">
        <f>IF(OR(Fact_Control_Operaciones[[#This Row], [Año]]="",Fact_Control_Operaciones[[#This Row], [Mes]]=""),"",DATE(A479,MATCH(B479,{"enero","febrero","marzo","abril","mayo","junio","julio","agosto","septiembre","octubre","noviembre","diciembre"},0)+1,0))</f>
        <v/>
      </c>
      <c r="E479" t="str">
        <f>+IFERROR(VLOOKUP(Fact_Control_Operaciones[[#This Row], [Concepto Anterior]],Conceptos_Control_Operaciones[#All],5,0),"")</f>
        <v/>
      </c>
      <c r="F479" t="str">
        <f>+IFERROR(VLOOKUP(Fact_Control_Operaciones[[#This Row], 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ht="18.75" customHeight="1" x14ac:dyDescent="0.35">
      <c r="C480" s="100" t="str">
        <f>IF(OR(Fact_Control_Operaciones[[#This Row], [Año]]="",Fact_Control_Operaciones[[#This Row], [Mes]]=""),"",DATE(A480,MATCH(B480,{"enero","febrero","marzo","abril","mayo","junio","julio","agosto","septiembre","octubre","noviembre","diciembre"},0)+1,0))</f>
        <v/>
      </c>
      <c r="E480" t="str">
        <f>+IFERROR(VLOOKUP(Fact_Control_Operaciones[[#This Row], [Concepto Anterior]],Conceptos_Control_Operaciones[#All],5,0),"")</f>
        <v/>
      </c>
      <c r="F480" t="str">
        <f>+IFERROR(VLOOKUP(Fact_Control_Operaciones[[#This Row], 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ht="18.75" customHeight="1" x14ac:dyDescent="0.35">
      <c r="C481" s="100" t="str">
        <f>IF(OR(Fact_Control_Operaciones[[#This Row], [Año]]="",Fact_Control_Operaciones[[#This Row], [Mes]]=""),"",DATE(A481,MATCH(B481,{"enero","febrero","marzo","abril","mayo","junio","julio","agosto","septiembre","octubre","noviembre","diciembre"},0)+1,0))</f>
        <v/>
      </c>
      <c r="E481" t="str">
        <f>+IFERROR(VLOOKUP(Fact_Control_Operaciones[[#This Row], [Concepto Anterior]],Conceptos_Control_Operaciones[#All],5,0),"")</f>
        <v/>
      </c>
      <c r="F481" t="str">
        <f>+IFERROR(VLOOKUP(Fact_Control_Operaciones[[#This Row], 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ht="18.75" customHeight="1" x14ac:dyDescent="0.35">
      <c r="C482" s="100" t="str">
        <f>IF(OR(Fact_Control_Operaciones[[#This Row], [Año]]="",Fact_Control_Operaciones[[#This Row], [Mes]]=""),"",DATE(A482,MATCH(B482,{"enero","febrero","marzo","abril","mayo","junio","julio","agosto","septiembre","octubre","noviembre","diciembre"},0)+1,0))</f>
        <v/>
      </c>
      <c r="E482" t="str">
        <f>+IFERROR(VLOOKUP(Fact_Control_Operaciones[[#This Row], [Concepto Anterior]],Conceptos_Control_Operaciones[#All],5,0),"")</f>
        <v/>
      </c>
      <c r="F482" t="str">
        <f>+IFERROR(VLOOKUP(Fact_Control_Operaciones[[#This Row], 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ht="18.75" customHeight="1" x14ac:dyDescent="0.35">
      <c r="C483" s="100" t="str">
        <f>IF(OR(Fact_Control_Operaciones[[#This Row], [Año]]="",Fact_Control_Operaciones[[#This Row], [Mes]]=""),"",DATE(A483,MATCH(B483,{"enero","febrero","marzo","abril","mayo","junio","julio","agosto","septiembre","octubre","noviembre","diciembre"},0)+1,0))</f>
        <v/>
      </c>
      <c r="E483" t="str">
        <f>+IFERROR(VLOOKUP(Fact_Control_Operaciones[[#This Row], [Concepto Anterior]],Conceptos_Control_Operaciones[#All],5,0),"")</f>
        <v/>
      </c>
      <c r="F483" t="str">
        <f>+IFERROR(VLOOKUP(Fact_Control_Operaciones[[#This Row], 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ht="18.75" customHeight="1" x14ac:dyDescent="0.35">
      <c r="C484" s="100" t="str">
        <f>IF(OR(Fact_Control_Operaciones[[#This Row], [Año]]="",Fact_Control_Operaciones[[#This Row], [Mes]]=""),"",DATE(A484,MATCH(B484,{"enero","febrero","marzo","abril","mayo","junio","julio","agosto","septiembre","octubre","noviembre","diciembre"},0)+1,0))</f>
        <v/>
      </c>
      <c r="E484" t="str">
        <f>+IFERROR(VLOOKUP(Fact_Control_Operaciones[[#This Row], [Concepto Anterior]],Conceptos_Control_Operaciones[#All],5,0),"")</f>
        <v/>
      </c>
      <c r="F484" t="str">
        <f>+IFERROR(VLOOKUP(Fact_Control_Operaciones[[#This Row], 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ht="18.75" customHeight="1" x14ac:dyDescent="0.35">
      <c r="C485" s="100" t="str">
        <f>IF(OR(Fact_Control_Operaciones[[#This Row], [Año]]="",Fact_Control_Operaciones[[#This Row], [Mes]]=""),"",DATE(A485,MATCH(B485,{"enero","febrero","marzo","abril","mayo","junio","julio","agosto","septiembre","octubre","noviembre","diciembre"},0)+1,0))</f>
        <v/>
      </c>
      <c r="E485" t="str">
        <f>+IFERROR(VLOOKUP(Fact_Control_Operaciones[[#This Row], [Concepto Anterior]],Conceptos_Control_Operaciones[#All],5,0),"")</f>
        <v/>
      </c>
      <c r="F485" t="str">
        <f>+IFERROR(VLOOKUP(Fact_Control_Operaciones[[#This Row], 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ht="18.75" customHeight="1" x14ac:dyDescent="0.35">
      <c r="C486" s="100" t="str">
        <f>IF(OR(Fact_Control_Operaciones[[#This Row], [Año]]="",Fact_Control_Operaciones[[#This Row], [Mes]]=""),"",DATE(A486,MATCH(B486,{"enero","febrero","marzo","abril","mayo","junio","julio","agosto","septiembre","octubre","noviembre","diciembre"},0)+1,0))</f>
        <v/>
      </c>
      <c r="E486" t="str">
        <f>+IFERROR(VLOOKUP(Fact_Control_Operaciones[[#This Row], [Concepto Anterior]],Conceptos_Control_Operaciones[#All],5,0),"")</f>
        <v/>
      </c>
      <c r="F486" t="str">
        <f>+IFERROR(VLOOKUP(Fact_Control_Operaciones[[#This Row], 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ht="18.75" customHeight="1" x14ac:dyDescent="0.35">
      <c r="C487" s="100" t="str">
        <f>IF(OR(Fact_Control_Operaciones[[#This Row], [Año]]="",Fact_Control_Operaciones[[#This Row], [Mes]]=""),"",DATE(A487,MATCH(B487,{"enero","febrero","marzo","abril","mayo","junio","julio","agosto","septiembre","octubre","noviembre","diciembre"},0)+1,0))</f>
        <v/>
      </c>
      <c r="E487" t="str">
        <f>+IFERROR(VLOOKUP(Fact_Control_Operaciones[[#This Row], [Concepto Anterior]],Conceptos_Control_Operaciones[#All],5,0),"")</f>
        <v/>
      </c>
      <c r="F487" t="str">
        <f>+IFERROR(VLOOKUP(Fact_Control_Operaciones[[#This Row], 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ht="18.75" customHeight="1" x14ac:dyDescent="0.35">
      <c r="C488" s="100" t="str">
        <f>IF(OR(Fact_Control_Operaciones[[#This Row], [Año]]="",Fact_Control_Operaciones[[#This Row], [Mes]]=""),"",DATE(A488,MATCH(B488,{"enero","febrero","marzo","abril","mayo","junio","julio","agosto","septiembre","octubre","noviembre","diciembre"},0)+1,0))</f>
        <v/>
      </c>
      <c r="E488" t="str">
        <f>+IFERROR(VLOOKUP(Fact_Control_Operaciones[[#This Row], [Concepto Anterior]],Conceptos_Control_Operaciones[#All],5,0),"")</f>
        <v/>
      </c>
      <c r="F488" t="str">
        <f>+IFERROR(VLOOKUP(Fact_Control_Operaciones[[#This Row], 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ht="18.75" customHeight="1" x14ac:dyDescent="0.35">
      <c r="C489" s="100" t="str">
        <f>IF(OR(Fact_Control_Operaciones[[#This Row], [Año]]="",Fact_Control_Operaciones[[#This Row], [Mes]]=""),"",DATE(A489,MATCH(B489,{"enero","febrero","marzo","abril","mayo","junio","julio","agosto","septiembre","octubre","noviembre","diciembre"},0)+1,0))</f>
        <v/>
      </c>
      <c r="E489" t="str">
        <f>+IFERROR(VLOOKUP(Fact_Control_Operaciones[[#This Row], [Concepto Anterior]],Conceptos_Control_Operaciones[#All],5,0),"")</f>
        <v/>
      </c>
      <c r="F489" t="str">
        <f>+IFERROR(VLOOKUP(Fact_Control_Operaciones[[#This Row], 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ht="18.75" customHeight="1" x14ac:dyDescent="0.35">
      <c r="C490" s="100" t="str">
        <f>IF(OR(Fact_Control_Operaciones[[#This Row], [Año]]="",Fact_Control_Operaciones[[#This Row], [Mes]]=""),"",DATE(A490,MATCH(B490,{"enero","febrero","marzo","abril","mayo","junio","julio","agosto","septiembre","octubre","noviembre","diciembre"},0)+1,0))</f>
        <v/>
      </c>
      <c r="E490" t="str">
        <f>+IFERROR(VLOOKUP(Fact_Control_Operaciones[[#This Row], [Concepto Anterior]],Conceptos_Control_Operaciones[#All],5,0),"")</f>
        <v/>
      </c>
      <c r="F490" t="str">
        <f>+IFERROR(VLOOKUP(Fact_Control_Operaciones[[#This Row], 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ht="18.75" customHeight="1" x14ac:dyDescent="0.35">
      <c r="C491" s="100" t="str">
        <f>IF(OR(Fact_Control_Operaciones[[#This Row], [Año]]="",Fact_Control_Operaciones[[#This Row], [Mes]]=""),"",DATE(A491,MATCH(B491,{"enero","febrero","marzo","abril","mayo","junio","julio","agosto","septiembre","octubre","noviembre","diciembre"},0)+1,0))</f>
        <v/>
      </c>
      <c r="E491" t="str">
        <f>+IFERROR(VLOOKUP(Fact_Control_Operaciones[[#This Row], [Concepto Anterior]],Conceptos_Control_Operaciones[#All],5,0),"")</f>
        <v/>
      </c>
      <c r="F491" t="str">
        <f>+IFERROR(VLOOKUP(Fact_Control_Operaciones[[#This Row], 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ht="18.75" customHeight="1" x14ac:dyDescent="0.35">
      <c r="C492" s="100" t="str">
        <f>IF(OR(Fact_Control_Operaciones[[#This Row], [Año]]="",Fact_Control_Operaciones[[#This Row], [Mes]]=""),"",DATE(A492,MATCH(B492,{"enero","febrero","marzo","abril","mayo","junio","julio","agosto","septiembre","octubre","noviembre","diciembre"},0)+1,0))</f>
        <v/>
      </c>
      <c r="E492" t="str">
        <f>+IFERROR(VLOOKUP(Fact_Control_Operaciones[[#This Row], [Concepto Anterior]],Conceptos_Control_Operaciones[#All],5,0),"")</f>
        <v/>
      </c>
      <c r="F492" t="str">
        <f>+IFERROR(VLOOKUP(Fact_Control_Operaciones[[#This Row], 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ht="18.75" customHeight="1" x14ac:dyDescent="0.35">
      <c r="C493" s="100" t="str">
        <f>IF(OR(Fact_Control_Operaciones[[#This Row], [Año]]="",Fact_Control_Operaciones[[#This Row], [Mes]]=""),"",DATE(A493,MATCH(B493,{"enero","febrero","marzo","abril","mayo","junio","julio","agosto","septiembre","octubre","noviembre","diciembre"},0)+1,0))</f>
        <v/>
      </c>
      <c r="E493" t="str">
        <f>+IFERROR(VLOOKUP(Fact_Control_Operaciones[[#This Row], [Concepto Anterior]],Conceptos_Control_Operaciones[#All],5,0),"")</f>
        <v/>
      </c>
      <c r="F493" t="str">
        <f>+IFERROR(VLOOKUP(Fact_Control_Operaciones[[#This Row], 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ht="18.75" customHeight="1" x14ac:dyDescent="0.35">
      <c r="C494" s="100" t="str">
        <f>IF(OR(Fact_Control_Operaciones[[#This Row], [Año]]="",Fact_Control_Operaciones[[#This Row], [Mes]]=""),"",DATE(A494,MATCH(B494,{"enero","febrero","marzo","abril","mayo","junio","julio","agosto","septiembre","octubre","noviembre","diciembre"},0)+1,0))</f>
        <v/>
      </c>
      <c r="E494" t="str">
        <f>+IFERROR(VLOOKUP(Fact_Control_Operaciones[[#This Row], [Concepto Anterior]],Conceptos_Control_Operaciones[#All],5,0),"")</f>
        <v/>
      </c>
      <c r="F494" t="str">
        <f>+IFERROR(VLOOKUP(Fact_Control_Operaciones[[#This Row], 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ht="18.75" customHeight="1" x14ac:dyDescent="0.35">
      <c r="C495" s="100" t="str">
        <f>IF(OR(Fact_Control_Operaciones[[#This Row], [Año]]="",Fact_Control_Operaciones[[#This Row], [Mes]]=""),"",DATE(A495,MATCH(B495,{"enero","febrero","marzo","abril","mayo","junio","julio","agosto","septiembre","octubre","noviembre","diciembre"},0)+1,0))</f>
        <v/>
      </c>
      <c r="E495" t="str">
        <f>+IFERROR(VLOOKUP(Fact_Control_Operaciones[[#This Row], [Concepto Anterior]],Conceptos_Control_Operaciones[#All],5,0),"")</f>
        <v/>
      </c>
      <c r="F495" t="str">
        <f>+IFERROR(VLOOKUP(Fact_Control_Operaciones[[#This Row], 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ht="18.75" customHeight="1" x14ac:dyDescent="0.35">
      <c r="C496" s="100" t="str">
        <f>IF(OR(Fact_Control_Operaciones[[#This Row], [Año]]="",Fact_Control_Operaciones[[#This Row], [Mes]]=""),"",DATE(A496,MATCH(B496,{"enero","febrero","marzo","abril","mayo","junio","julio","agosto","septiembre","octubre","noviembre","diciembre"},0)+1,0))</f>
        <v/>
      </c>
      <c r="E496" t="str">
        <f>+IFERROR(VLOOKUP(Fact_Control_Operaciones[[#This Row], [Concepto Anterior]],Conceptos_Control_Operaciones[#All],5,0),"")</f>
        <v/>
      </c>
      <c r="F496" t="str">
        <f>+IFERROR(VLOOKUP(Fact_Control_Operaciones[[#This Row], 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ht="18.75" customHeight="1" x14ac:dyDescent="0.35">
      <c r="C497" s="100" t="str">
        <f>IF(OR(Fact_Control_Operaciones[[#This Row], [Año]]="",Fact_Control_Operaciones[[#This Row], [Mes]]=""),"",DATE(A497,MATCH(B497,{"enero","febrero","marzo","abril","mayo","junio","julio","agosto","septiembre","octubre","noviembre","diciembre"},0)+1,0))</f>
        <v/>
      </c>
      <c r="E497" t="str">
        <f>+IFERROR(VLOOKUP(Fact_Control_Operaciones[[#This Row], [Concepto Anterior]],Conceptos_Control_Operaciones[#All],5,0),"")</f>
        <v/>
      </c>
      <c r="F497" t="str">
        <f>+IFERROR(VLOOKUP(Fact_Control_Operaciones[[#This Row], 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ht="18.75" customHeight="1" x14ac:dyDescent="0.35">
      <c r="C498" s="100" t="str">
        <f>IF(OR(Fact_Control_Operaciones[[#This Row], [Año]]="",Fact_Control_Operaciones[[#This Row], [Mes]]=""),"",DATE(A498,MATCH(B498,{"enero","febrero","marzo","abril","mayo","junio","julio","agosto","septiembre","octubre","noviembre","diciembre"},0)+1,0))</f>
        <v/>
      </c>
      <c r="E498" t="str">
        <f>+IFERROR(VLOOKUP(Fact_Control_Operaciones[[#This Row], [Concepto Anterior]],Conceptos_Control_Operaciones[#All],5,0),"")</f>
        <v/>
      </c>
      <c r="F498" t="str">
        <f>+IFERROR(VLOOKUP(Fact_Control_Operaciones[[#This Row], 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ht="18.75" customHeight="1" x14ac:dyDescent="0.35">
      <c r="C499" s="100" t="str">
        <f>IF(OR(Fact_Control_Operaciones[[#This Row], [Año]]="",Fact_Control_Operaciones[[#This Row], [Mes]]=""),"",DATE(A499,MATCH(B499,{"enero","febrero","marzo","abril","mayo","junio","julio","agosto","septiembre","octubre","noviembre","diciembre"},0)+1,0))</f>
        <v/>
      </c>
      <c r="E499" t="str">
        <f>+IFERROR(VLOOKUP(Fact_Control_Operaciones[[#This Row], [Concepto Anterior]],Conceptos_Control_Operaciones[#All],5,0),"")</f>
        <v/>
      </c>
      <c r="F499" t="str">
        <f>+IFERROR(VLOOKUP(Fact_Control_Operaciones[[#This Row], 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ht="18.75" customHeight="1" x14ac:dyDescent="0.35">
      <c r="C500" s="100" t="str">
        <f>IF(OR(Fact_Control_Operaciones[[#This Row], [Año]]="",Fact_Control_Operaciones[[#This Row], [Mes]]=""),"",DATE(A500,MATCH(B500,{"enero","febrero","marzo","abril","mayo","junio","julio","agosto","septiembre","octubre","noviembre","diciembre"},0)+1,0))</f>
        <v/>
      </c>
      <c r="E500" t="str">
        <f>+IFERROR(VLOOKUP(Fact_Control_Operaciones[[#This Row], [Concepto Anterior]],Conceptos_Control_Operaciones[#All],5,0),"")</f>
        <v/>
      </c>
      <c r="F500" t="str">
        <f>+IFERROR(VLOOKUP(Fact_Control_Operaciones[[#This Row], 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ht="18.75" customHeight="1" x14ac:dyDescent="0.35">
      <c r="C501" s="100" t="str">
        <f>IF(OR(Fact_Control_Operaciones[[#This Row], [Año]]="",Fact_Control_Operaciones[[#This Row], [Mes]]=""),"",DATE(A501,MATCH(B501,{"enero","febrero","marzo","abril","mayo","junio","julio","agosto","septiembre","octubre","noviembre","diciembre"},0)+1,0))</f>
        <v/>
      </c>
      <c r="E501" t="str">
        <f>+IFERROR(VLOOKUP(Fact_Control_Operaciones[[#This Row], [Concepto Anterior]],Conceptos_Control_Operaciones[#All],5,0),"")</f>
        <v/>
      </c>
      <c r="F501" t="str">
        <f>+IFERROR(VLOOKUP(Fact_Control_Operaciones[[#This Row], 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ht="18.75" customHeight="1" x14ac:dyDescent="0.35">
      <c r="C502" s="100" t="str">
        <f>IF(OR(Fact_Control_Operaciones[[#This Row], [Año]]="",Fact_Control_Operaciones[[#This Row], [Mes]]=""),"",DATE(A502,MATCH(B502,{"enero","febrero","marzo","abril","mayo","junio","julio","agosto","septiembre","octubre","noviembre","diciembre"},0)+1,0))</f>
        <v/>
      </c>
      <c r="E502" t="str">
        <f>+IFERROR(VLOOKUP(Fact_Control_Operaciones[[#This Row], [Concepto Anterior]],Conceptos_Control_Operaciones[#All],5,0),"")</f>
        <v/>
      </c>
      <c r="F502" t="str">
        <f>+IFERROR(VLOOKUP(Fact_Control_Operaciones[[#This Row], 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ht="18.75" customHeight="1" x14ac:dyDescent="0.35">
      <c r="C503" s="100" t="str">
        <f>IF(OR(Fact_Control_Operaciones[[#This Row], [Año]]="",Fact_Control_Operaciones[[#This Row], [Mes]]=""),"",DATE(A503,MATCH(B503,{"enero","febrero","marzo","abril","mayo","junio","julio","agosto","septiembre","octubre","noviembre","diciembre"},0)+1,0))</f>
        <v/>
      </c>
      <c r="E503" t="str">
        <f>+IFERROR(VLOOKUP(Fact_Control_Operaciones[[#This Row], [Concepto Anterior]],Conceptos_Control_Operaciones[#All],5,0),"")</f>
        <v/>
      </c>
      <c r="F503" t="str">
        <f>+IFERROR(VLOOKUP(Fact_Control_Operaciones[[#This Row], 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ht="18.75" customHeight="1" x14ac:dyDescent="0.35">
      <c r="C504" s="100" t="str">
        <f>IF(OR(Fact_Control_Operaciones[[#This Row], [Año]]="",Fact_Control_Operaciones[[#This Row], [Mes]]=""),"",DATE(A504,MATCH(B504,{"enero","febrero","marzo","abril","mayo","junio","julio","agosto","septiembre","octubre","noviembre","diciembre"},0)+1,0))</f>
        <v/>
      </c>
      <c r="E504" t="str">
        <f>+IFERROR(VLOOKUP(Fact_Control_Operaciones[[#This Row], [Concepto Anterior]],Conceptos_Control_Operaciones[#All],5,0),"")</f>
        <v/>
      </c>
      <c r="F504" t="str">
        <f>+IFERROR(VLOOKUP(Fact_Control_Operaciones[[#This Row], 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ht="18.75" customHeight="1" x14ac:dyDescent="0.35">
      <c r="C505" s="100" t="str">
        <f>IF(OR(Fact_Control_Operaciones[[#This Row], [Año]]="",Fact_Control_Operaciones[[#This Row], [Mes]]=""),"",DATE(A505,MATCH(B505,{"enero","febrero","marzo","abril","mayo","junio","julio","agosto","septiembre","octubre","noviembre","diciembre"},0)+1,0))</f>
        <v/>
      </c>
      <c r="E505" t="str">
        <f>+IFERROR(VLOOKUP(Fact_Control_Operaciones[[#This Row], [Concepto Anterior]],Conceptos_Control_Operaciones[#All],5,0),"")</f>
        <v/>
      </c>
      <c r="F505" t="str">
        <f>+IFERROR(VLOOKUP(Fact_Control_Operaciones[[#This Row], 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ht="18.75" customHeight="1" x14ac:dyDescent="0.35">
      <c r="C506" s="100" t="str">
        <f>IF(OR(Fact_Control_Operaciones[[#This Row], [Año]]="",Fact_Control_Operaciones[[#This Row], [Mes]]=""),"",DATE(A506,MATCH(B506,{"enero","febrero","marzo","abril","mayo","junio","julio","agosto","septiembre","octubre","noviembre","diciembre"},0)+1,0))</f>
        <v/>
      </c>
      <c r="E506" t="str">
        <f>+IFERROR(VLOOKUP(Fact_Control_Operaciones[[#This Row], [Concepto Anterior]],Conceptos_Control_Operaciones[#All],5,0),"")</f>
        <v/>
      </c>
      <c r="F506" t="str">
        <f>+IFERROR(VLOOKUP(Fact_Control_Operaciones[[#This Row], 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ht="18.75" customHeight="1" x14ac:dyDescent="0.35">
      <c r="C507" s="100" t="str">
        <f>IF(OR(Fact_Control_Operaciones[[#This Row], [Año]]="",Fact_Control_Operaciones[[#This Row], [Mes]]=""),"",DATE(A507,MATCH(B507,{"enero","febrero","marzo","abril","mayo","junio","julio","agosto","septiembre","octubre","noviembre","diciembre"},0)+1,0))</f>
        <v/>
      </c>
      <c r="E507" t="str">
        <f>+IFERROR(VLOOKUP(Fact_Control_Operaciones[[#This Row], [Concepto Anterior]],Conceptos_Control_Operaciones[#All],5,0),"")</f>
        <v/>
      </c>
      <c r="F507" t="str">
        <f>+IFERROR(VLOOKUP(Fact_Control_Operaciones[[#This Row], 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ht="18.75" customHeight="1" x14ac:dyDescent="0.35">
      <c r="C508" s="100" t="str">
        <f>IF(OR(Fact_Control_Operaciones[[#This Row], [Año]]="",Fact_Control_Operaciones[[#This Row], [Mes]]=""),"",DATE(A508,MATCH(B508,{"enero","febrero","marzo","abril","mayo","junio","julio","agosto","septiembre","octubre","noviembre","diciembre"},0)+1,0))</f>
        <v/>
      </c>
      <c r="E508" t="str">
        <f>+IFERROR(VLOOKUP(Fact_Control_Operaciones[[#This Row], [Concepto Anterior]],Conceptos_Control_Operaciones[#All],5,0),"")</f>
        <v/>
      </c>
      <c r="F508" t="str">
        <f>+IFERROR(VLOOKUP(Fact_Control_Operaciones[[#This Row], 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ht="18.75" customHeight="1" x14ac:dyDescent="0.35">
      <c r="C509" s="100" t="str">
        <f>IF(OR(Fact_Control_Operaciones[[#This Row], [Año]]="",Fact_Control_Operaciones[[#This Row], [Mes]]=""),"",DATE(A509,MATCH(B509,{"enero","febrero","marzo","abril","mayo","junio","julio","agosto","septiembre","octubre","noviembre","diciembre"},0)+1,0))</f>
        <v/>
      </c>
      <c r="E509" t="str">
        <f>+IFERROR(VLOOKUP(Fact_Control_Operaciones[[#This Row], [Concepto Anterior]],Conceptos_Control_Operaciones[#All],5,0),"")</f>
        <v/>
      </c>
      <c r="F509" t="str">
        <f>+IFERROR(VLOOKUP(Fact_Control_Operaciones[[#This Row], 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ht="18.75" customHeight="1" x14ac:dyDescent="0.35">
      <c r="C510" s="100" t="str">
        <f>IF(OR(Fact_Control_Operaciones[[#This Row], [Año]]="",Fact_Control_Operaciones[[#This Row], [Mes]]=""),"",DATE(A510,MATCH(B510,{"enero","febrero","marzo","abril","mayo","junio","julio","agosto","septiembre","octubre","noviembre","diciembre"},0)+1,0))</f>
        <v/>
      </c>
      <c r="E510" t="str">
        <f>+IFERROR(VLOOKUP(Fact_Control_Operaciones[[#This Row], [Concepto Anterior]],Conceptos_Control_Operaciones[#All],5,0),"")</f>
        <v/>
      </c>
      <c r="F510" t="str">
        <f>+IFERROR(VLOOKUP(Fact_Control_Operaciones[[#This Row], 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ht="18.75" customHeight="1" x14ac:dyDescent="0.35">
      <c r="C511" s="100" t="str">
        <f>IF(OR(Fact_Control_Operaciones[[#This Row], [Año]]="",Fact_Control_Operaciones[[#This Row], [Mes]]=""),"",DATE(A511,MATCH(B511,{"enero","febrero","marzo","abril","mayo","junio","julio","agosto","septiembre","octubre","noviembre","diciembre"},0)+1,0))</f>
        <v/>
      </c>
      <c r="E511" t="str">
        <f>+IFERROR(VLOOKUP(Fact_Control_Operaciones[[#This Row], [Concepto Anterior]],Conceptos_Control_Operaciones[#All],5,0),"")</f>
        <v/>
      </c>
      <c r="F511" t="str">
        <f>+IFERROR(VLOOKUP(Fact_Control_Operaciones[[#This Row], 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ht="18.75" customHeight="1" x14ac:dyDescent="0.35">
      <c r="C512" s="100" t="str">
        <f>IF(OR(Fact_Control_Operaciones[[#This Row], [Año]]="",Fact_Control_Operaciones[[#This Row], [Mes]]=""),"",DATE(A512,MATCH(B512,{"enero","febrero","marzo","abril","mayo","junio","julio","agosto","septiembre","octubre","noviembre","diciembre"},0)+1,0))</f>
        <v/>
      </c>
      <c r="E512" t="str">
        <f>+IFERROR(VLOOKUP(Fact_Control_Operaciones[[#This Row], [Concepto Anterior]],Conceptos_Control_Operaciones[#All],5,0),"")</f>
        <v/>
      </c>
      <c r="F512" t="str">
        <f>+IFERROR(VLOOKUP(Fact_Control_Operaciones[[#This Row], 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ht="18.75" customHeight="1" x14ac:dyDescent="0.35">
      <c r="C513" s="100" t="str">
        <f>IF(OR(Fact_Control_Operaciones[[#This Row], [Año]]="",Fact_Control_Operaciones[[#This Row], [Mes]]=""),"",DATE(A513,MATCH(B513,{"enero","febrero","marzo","abril","mayo","junio","julio","agosto","septiembre","octubre","noviembre","diciembre"},0)+1,0))</f>
        <v/>
      </c>
      <c r="E513" t="str">
        <f>+IFERROR(VLOOKUP(Fact_Control_Operaciones[[#This Row], [Concepto Anterior]],Conceptos_Control_Operaciones[#All],5,0),"")</f>
        <v/>
      </c>
      <c r="F513" t="str">
        <f>+IFERROR(VLOOKUP(Fact_Control_Operaciones[[#This Row], 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ht="18.75" customHeight="1" x14ac:dyDescent="0.35">
      <c r="C514" s="100" t="str">
        <f>IF(OR(Fact_Control_Operaciones[[#This Row], [Año]]="",Fact_Control_Operaciones[[#This Row], [Mes]]=""),"",DATE(A514,MATCH(B514,{"enero","febrero","marzo","abril","mayo","junio","julio","agosto","septiembre","octubre","noviembre","diciembre"},0)+1,0))</f>
        <v/>
      </c>
      <c r="E514" t="str">
        <f>+IFERROR(VLOOKUP(Fact_Control_Operaciones[[#This Row], [Concepto Anterior]],Conceptos_Control_Operaciones[#All],5,0),"")</f>
        <v/>
      </c>
      <c r="F514" t="str">
        <f>+IFERROR(VLOOKUP(Fact_Control_Operaciones[[#This Row], 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ht="18.75" customHeight="1" x14ac:dyDescent="0.35">
      <c r="C515" s="100" t="str">
        <f>IF(OR(Fact_Control_Operaciones[[#This Row], [Año]]="",Fact_Control_Operaciones[[#This Row], [Mes]]=""),"",DATE(A515,MATCH(B515,{"enero","febrero","marzo","abril","mayo","junio","julio","agosto","septiembre","octubre","noviembre","diciembre"},0)+1,0))</f>
        <v/>
      </c>
      <c r="E515" t="str">
        <f>+IFERROR(VLOOKUP(Fact_Control_Operaciones[[#This Row], [Concepto Anterior]],Conceptos_Control_Operaciones[#All],5,0),"")</f>
        <v/>
      </c>
      <c r="F515" t="str">
        <f>+IFERROR(VLOOKUP(Fact_Control_Operaciones[[#This Row], 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ht="18.75" customHeight="1" x14ac:dyDescent="0.35">
      <c r="C516" s="100" t="str">
        <f>IF(OR(Fact_Control_Operaciones[[#This Row], [Año]]="",Fact_Control_Operaciones[[#This Row], [Mes]]=""),"",DATE(A516,MATCH(B516,{"enero","febrero","marzo","abril","mayo","junio","julio","agosto","septiembre","octubre","noviembre","diciembre"},0)+1,0))</f>
        <v/>
      </c>
      <c r="E516" t="str">
        <f>+IFERROR(VLOOKUP(Fact_Control_Operaciones[[#This Row], [Concepto Anterior]],Conceptos_Control_Operaciones[#All],5,0),"")</f>
        <v/>
      </c>
      <c r="F516" t="str">
        <f>+IFERROR(VLOOKUP(Fact_Control_Operaciones[[#This Row], 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ht="18.75" customHeight="1" x14ac:dyDescent="0.35">
      <c r="C517" s="100" t="str">
        <f>IF(OR(Fact_Control_Operaciones[[#This Row], [Año]]="",Fact_Control_Operaciones[[#This Row], [Mes]]=""),"",DATE(A517,MATCH(B517,{"enero","febrero","marzo","abril","mayo","junio","julio","agosto","septiembre","octubre","noviembre","diciembre"},0)+1,0))</f>
        <v/>
      </c>
      <c r="E517" t="str">
        <f>+IFERROR(VLOOKUP(Fact_Control_Operaciones[[#This Row], [Concepto Anterior]],Conceptos_Control_Operaciones[#All],5,0),"")</f>
        <v/>
      </c>
      <c r="F517" t="str">
        <f>+IFERROR(VLOOKUP(Fact_Control_Operaciones[[#This Row], 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ht="18.75" customHeight="1" x14ac:dyDescent="0.35">
      <c r="C518" s="100" t="str">
        <f>IF(OR(Fact_Control_Operaciones[[#This Row], [Año]]="",Fact_Control_Operaciones[[#This Row], [Mes]]=""),"",DATE(A518,MATCH(B518,{"enero","febrero","marzo","abril","mayo","junio","julio","agosto","septiembre","octubre","noviembre","diciembre"},0)+1,0))</f>
        <v/>
      </c>
      <c r="E518" t="str">
        <f>+IFERROR(VLOOKUP(Fact_Control_Operaciones[[#This Row], [Concepto Anterior]],Conceptos_Control_Operaciones[#All],5,0),"")</f>
        <v/>
      </c>
      <c r="F518" t="str">
        <f>+IFERROR(VLOOKUP(Fact_Control_Operaciones[[#This Row], 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ht="18.75" customHeight="1" x14ac:dyDescent="0.35">
      <c r="C519" s="100" t="str">
        <f>IF(OR(Fact_Control_Operaciones[[#This Row], [Año]]="",Fact_Control_Operaciones[[#This Row], [Mes]]=""),"",DATE(A519,MATCH(B519,{"enero","febrero","marzo","abril","mayo","junio","julio","agosto","septiembre","octubre","noviembre","diciembre"},0)+1,0))</f>
        <v/>
      </c>
      <c r="E519" t="str">
        <f>+IFERROR(VLOOKUP(Fact_Control_Operaciones[[#This Row], [Concepto Anterior]],Conceptos_Control_Operaciones[#All],5,0),"")</f>
        <v/>
      </c>
      <c r="F519" t="str">
        <f>+IFERROR(VLOOKUP(Fact_Control_Operaciones[[#This Row], 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ht="18.75" customHeight="1" x14ac:dyDescent="0.35">
      <c r="C520" s="100" t="str">
        <f>IF(OR(Fact_Control_Operaciones[[#This Row], [Año]]="",Fact_Control_Operaciones[[#This Row], [Mes]]=""),"",DATE(A520,MATCH(B520,{"enero","febrero","marzo","abril","mayo","junio","julio","agosto","septiembre","octubre","noviembre","diciembre"},0)+1,0))</f>
        <v/>
      </c>
      <c r="E520" t="str">
        <f>+IFERROR(VLOOKUP(Fact_Control_Operaciones[[#This Row], [Concepto Anterior]],Conceptos_Control_Operaciones[#All],5,0),"")</f>
        <v/>
      </c>
      <c r="F520" t="str">
        <f>+IFERROR(VLOOKUP(Fact_Control_Operaciones[[#This Row], 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ht="18.75" customHeight="1" x14ac:dyDescent="0.35">
      <c r="C521" s="100" t="str">
        <f>IF(OR(Fact_Control_Operaciones[[#This Row], [Año]]="",Fact_Control_Operaciones[[#This Row], [Mes]]=""),"",DATE(A521,MATCH(B521,{"enero","febrero","marzo","abril","mayo","junio","julio","agosto","septiembre","octubre","noviembre","diciembre"},0)+1,0))</f>
        <v/>
      </c>
      <c r="E521" t="str">
        <f>+IFERROR(VLOOKUP(Fact_Control_Operaciones[[#This Row], [Concepto Anterior]],Conceptos_Control_Operaciones[#All],5,0),"")</f>
        <v/>
      </c>
      <c r="F521" t="str">
        <f>+IFERROR(VLOOKUP(Fact_Control_Operaciones[[#This Row], 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ht="18.75" customHeight="1" x14ac:dyDescent="0.35">
      <c r="C522" s="100" t="str">
        <f>IF(OR(Fact_Control_Operaciones[[#This Row], [Año]]="",Fact_Control_Operaciones[[#This Row], [Mes]]=""),"",DATE(A522,MATCH(B522,{"enero","febrero","marzo","abril","mayo","junio","julio","agosto","septiembre","octubre","noviembre","diciembre"},0)+1,0))</f>
        <v/>
      </c>
      <c r="E522" t="str">
        <f>+IFERROR(VLOOKUP(Fact_Control_Operaciones[[#This Row], [Concepto Anterior]],Conceptos_Control_Operaciones[#All],5,0),"")</f>
        <v/>
      </c>
      <c r="F522" t="str">
        <f>+IFERROR(VLOOKUP(Fact_Control_Operaciones[[#This Row], 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ht="18.75" customHeight="1" x14ac:dyDescent="0.35">
      <c r="C523" s="100" t="str">
        <f>IF(OR(Fact_Control_Operaciones[[#This Row], [Año]]="",Fact_Control_Operaciones[[#This Row], [Mes]]=""),"",DATE(A523,MATCH(B523,{"enero","febrero","marzo","abril","mayo","junio","julio","agosto","septiembre","octubre","noviembre","diciembre"},0)+1,0))</f>
        <v/>
      </c>
      <c r="E523" t="str">
        <f>+IFERROR(VLOOKUP(Fact_Control_Operaciones[[#This Row], [Concepto Anterior]],Conceptos_Control_Operaciones[#All],5,0),"")</f>
        <v/>
      </c>
      <c r="F523" t="str">
        <f>+IFERROR(VLOOKUP(Fact_Control_Operaciones[[#This Row], 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ht="18.75" customHeight="1" x14ac:dyDescent="0.35">
      <c r="C524" s="100" t="str">
        <f>IF(OR(Fact_Control_Operaciones[[#This Row], [Año]]="",Fact_Control_Operaciones[[#This Row], [Mes]]=""),"",DATE(A524,MATCH(B524,{"enero","febrero","marzo","abril","mayo","junio","julio","agosto","septiembre","octubre","noviembre","diciembre"},0)+1,0))</f>
        <v/>
      </c>
      <c r="E524" t="str">
        <f>+IFERROR(VLOOKUP(Fact_Control_Operaciones[[#This Row], [Concepto Anterior]],Conceptos_Control_Operaciones[#All],5,0),"")</f>
        <v/>
      </c>
      <c r="F524" t="str">
        <f>+IFERROR(VLOOKUP(Fact_Control_Operaciones[[#This Row], 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ht="18.75" customHeight="1" x14ac:dyDescent="0.35">
      <c r="C525" s="100" t="str">
        <f>IF(OR(Fact_Control_Operaciones[[#This Row], [Año]]="",Fact_Control_Operaciones[[#This Row], [Mes]]=""),"",DATE(A525,MATCH(B525,{"enero","febrero","marzo","abril","mayo","junio","julio","agosto","septiembre","octubre","noviembre","diciembre"},0)+1,0))</f>
        <v/>
      </c>
      <c r="E525" t="str">
        <f>+IFERROR(VLOOKUP(Fact_Control_Operaciones[[#This Row], [Concepto Anterior]],Conceptos_Control_Operaciones[#All],5,0),"")</f>
        <v/>
      </c>
      <c r="F525" t="str">
        <f>+IFERROR(VLOOKUP(Fact_Control_Operaciones[[#This Row], 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ht="18.75" customHeight="1" x14ac:dyDescent="0.35">
      <c r="C526" s="100" t="str">
        <f>IF(OR(Fact_Control_Operaciones[[#This Row], [Año]]="",Fact_Control_Operaciones[[#This Row], [Mes]]=""),"",DATE(A526,MATCH(B526,{"enero","febrero","marzo","abril","mayo","junio","julio","agosto","septiembre","octubre","noviembre","diciembre"},0)+1,0))</f>
        <v/>
      </c>
      <c r="E526" t="str">
        <f>+IFERROR(VLOOKUP(Fact_Control_Operaciones[[#This Row], [Concepto Anterior]],Conceptos_Control_Operaciones[#All],5,0),"")</f>
        <v/>
      </c>
      <c r="F526" t="str">
        <f>+IFERROR(VLOOKUP(Fact_Control_Operaciones[[#This Row], 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ht="18.75" customHeight="1" x14ac:dyDescent="0.35">
      <c r="C527" s="100" t="str">
        <f>IF(OR(Fact_Control_Operaciones[[#This Row], [Año]]="",Fact_Control_Operaciones[[#This Row], [Mes]]=""),"",DATE(A527,MATCH(B527,{"enero","febrero","marzo","abril","mayo","junio","julio","agosto","septiembre","octubre","noviembre","diciembre"},0)+1,0))</f>
        <v/>
      </c>
      <c r="E527" t="str">
        <f>+IFERROR(VLOOKUP(Fact_Control_Operaciones[[#This Row], [Concepto Anterior]],Conceptos_Control_Operaciones[#All],5,0),"")</f>
        <v/>
      </c>
      <c r="F527" t="str">
        <f>+IFERROR(VLOOKUP(Fact_Control_Operaciones[[#This Row], 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ht="18.75" customHeight="1" x14ac:dyDescent="0.35">
      <c r="C528" s="100" t="str">
        <f>IF(OR(Fact_Control_Operaciones[[#This Row], [Año]]="",Fact_Control_Operaciones[[#This Row], [Mes]]=""),"",DATE(A528,MATCH(B528,{"enero","febrero","marzo","abril","mayo","junio","julio","agosto","septiembre","octubre","noviembre","diciembre"},0)+1,0))</f>
        <v/>
      </c>
      <c r="E528" t="str">
        <f>+IFERROR(VLOOKUP(Fact_Control_Operaciones[[#This Row], [Concepto Anterior]],Conceptos_Control_Operaciones[#All],5,0),"")</f>
        <v/>
      </c>
      <c r="F528" t="str">
        <f>+IFERROR(VLOOKUP(Fact_Control_Operaciones[[#This Row], 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ht="18.75" customHeight="1" x14ac:dyDescent="0.35">
      <c r="C529" s="100" t="str">
        <f>IF(OR(Fact_Control_Operaciones[[#This Row], [Año]]="",Fact_Control_Operaciones[[#This Row], [Mes]]=""),"",DATE(A529,MATCH(B529,{"enero","febrero","marzo","abril","mayo","junio","julio","agosto","septiembre","octubre","noviembre","diciembre"},0)+1,0))</f>
        <v/>
      </c>
      <c r="E529" t="str">
        <f>+IFERROR(VLOOKUP(Fact_Control_Operaciones[[#This Row], [Concepto Anterior]],Conceptos_Control_Operaciones[#All],5,0),"")</f>
        <v/>
      </c>
      <c r="F529" t="str">
        <f>+IFERROR(VLOOKUP(Fact_Control_Operaciones[[#This Row], 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ht="18.75" customHeight="1" x14ac:dyDescent="0.35">
      <c r="C530" s="100" t="str">
        <f>IF(OR(Fact_Control_Operaciones[[#This Row], [Año]]="",Fact_Control_Operaciones[[#This Row], [Mes]]=""),"",DATE(A530,MATCH(B530,{"enero","febrero","marzo","abril","mayo","junio","julio","agosto","septiembre","octubre","noviembre","diciembre"},0)+1,0))</f>
        <v/>
      </c>
      <c r="E530" t="str">
        <f>+IFERROR(VLOOKUP(Fact_Control_Operaciones[[#This Row], [Concepto Anterior]],Conceptos_Control_Operaciones[#All],5,0),"")</f>
        <v/>
      </c>
      <c r="F530" t="str">
        <f>+IFERROR(VLOOKUP(Fact_Control_Operaciones[[#This Row], 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ht="18.75" customHeight="1" x14ac:dyDescent="0.35">
      <c r="C531" s="100" t="str">
        <f>IF(OR(Fact_Control_Operaciones[[#This Row], [Año]]="",Fact_Control_Operaciones[[#This Row], [Mes]]=""),"",DATE(A531,MATCH(B531,{"enero","febrero","marzo","abril","mayo","junio","julio","agosto","septiembre","octubre","noviembre","diciembre"},0)+1,0))</f>
        <v/>
      </c>
      <c r="E531" t="str">
        <f>+IFERROR(VLOOKUP(Fact_Control_Operaciones[[#This Row], [Concepto Anterior]],Conceptos_Control_Operaciones[#All],5,0),"")</f>
        <v/>
      </c>
      <c r="F531" t="str">
        <f>+IFERROR(VLOOKUP(Fact_Control_Operaciones[[#This Row], 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ht="18.75" customHeight="1" x14ac:dyDescent="0.35">
      <c r="C532" s="100" t="str">
        <f>IF(OR(Fact_Control_Operaciones[[#This Row], [Año]]="",Fact_Control_Operaciones[[#This Row], [Mes]]=""),"",DATE(A532,MATCH(B532,{"enero","febrero","marzo","abril","mayo","junio","julio","agosto","septiembre","octubre","noviembre","diciembre"},0)+1,0))</f>
        <v/>
      </c>
      <c r="E532" t="str">
        <f>+IFERROR(VLOOKUP(Fact_Control_Operaciones[[#This Row], [Concepto Anterior]],Conceptos_Control_Operaciones[#All],5,0),"")</f>
        <v/>
      </c>
      <c r="F532" t="str">
        <f>+IFERROR(VLOOKUP(Fact_Control_Operaciones[[#This Row], 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ht="18.75" customHeight="1" x14ac:dyDescent="0.35">
      <c r="C533" s="100" t="str">
        <f>IF(OR(Fact_Control_Operaciones[[#This Row], [Año]]="",Fact_Control_Operaciones[[#This Row], [Mes]]=""),"",DATE(A533,MATCH(B533,{"enero","febrero","marzo","abril","mayo","junio","julio","agosto","septiembre","octubre","noviembre","diciembre"},0)+1,0))</f>
        <v/>
      </c>
      <c r="E533" t="str">
        <f>+IFERROR(VLOOKUP(Fact_Control_Operaciones[[#This Row], [Concepto Anterior]],Conceptos_Control_Operaciones[#All],5,0),"")</f>
        <v/>
      </c>
      <c r="F533" t="str">
        <f>+IFERROR(VLOOKUP(Fact_Control_Operaciones[[#This Row], 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ht="18.75" customHeight="1" x14ac:dyDescent="0.35">
      <c r="C534" s="100" t="str">
        <f>IF(OR(Fact_Control_Operaciones[[#This Row], [Año]]="",Fact_Control_Operaciones[[#This Row], [Mes]]=""),"",DATE(A534,MATCH(B534,{"enero","febrero","marzo","abril","mayo","junio","julio","agosto","septiembre","octubre","noviembre","diciembre"},0)+1,0))</f>
        <v/>
      </c>
      <c r="E534" t="str">
        <f>+IFERROR(VLOOKUP(Fact_Control_Operaciones[[#This Row], [Concepto Anterior]],Conceptos_Control_Operaciones[#All],5,0),"")</f>
        <v/>
      </c>
      <c r="F534" t="str">
        <f>+IFERROR(VLOOKUP(Fact_Control_Operaciones[[#This Row], 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ht="18.75" customHeight="1" x14ac:dyDescent="0.35">
      <c r="C535" s="100" t="str">
        <f>IF(OR(Fact_Control_Operaciones[[#This Row], [Año]]="",Fact_Control_Operaciones[[#This Row], [Mes]]=""),"",DATE(A535,MATCH(B535,{"enero","febrero","marzo","abril","mayo","junio","julio","agosto","septiembre","octubre","noviembre","diciembre"},0)+1,0))</f>
        <v/>
      </c>
      <c r="E535" t="str">
        <f>+IFERROR(VLOOKUP(Fact_Control_Operaciones[[#This Row], [Concepto Anterior]],Conceptos_Control_Operaciones[#All],5,0),"")</f>
        <v/>
      </c>
      <c r="F535" t="str">
        <f>+IFERROR(VLOOKUP(Fact_Control_Operaciones[[#This Row], 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ht="18.75" customHeight="1" x14ac:dyDescent="0.35">
      <c r="C536" s="100" t="str">
        <f>IF(OR(Fact_Control_Operaciones[[#This Row], [Año]]="",Fact_Control_Operaciones[[#This Row], [Mes]]=""),"",DATE(A536,MATCH(B536,{"enero","febrero","marzo","abril","mayo","junio","julio","agosto","septiembre","octubre","noviembre","diciembre"},0)+1,0))</f>
        <v/>
      </c>
      <c r="E536" t="str">
        <f>+IFERROR(VLOOKUP(Fact_Control_Operaciones[[#This Row], [Concepto Anterior]],Conceptos_Control_Operaciones[#All],5,0),"")</f>
        <v/>
      </c>
      <c r="F536" t="str">
        <f>+IFERROR(VLOOKUP(Fact_Control_Operaciones[[#This Row], 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ht="18.75" customHeight="1" x14ac:dyDescent="0.35">
      <c r="C537" s="100" t="str">
        <f>IF(OR(Fact_Control_Operaciones[[#This Row], [Año]]="",Fact_Control_Operaciones[[#This Row], [Mes]]=""),"",DATE(A537,MATCH(B537,{"enero","febrero","marzo","abril","mayo","junio","julio","agosto","septiembre","octubre","noviembre","diciembre"},0)+1,0))</f>
        <v/>
      </c>
      <c r="E537" t="str">
        <f>+IFERROR(VLOOKUP(Fact_Control_Operaciones[[#This Row], [Concepto Anterior]],Conceptos_Control_Operaciones[#All],5,0),"")</f>
        <v/>
      </c>
      <c r="F537" t="str">
        <f>+IFERROR(VLOOKUP(Fact_Control_Operaciones[[#This Row], 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ht="18.75" customHeight="1" x14ac:dyDescent="0.35">
      <c r="C538" s="100" t="str">
        <f>IF(OR(Fact_Control_Operaciones[[#This Row], [Año]]="",Fact_Control_Operaciones[[#This Row], [Mes]]=""),"",DATE(A538,MATCH(B538,{"enero","febrero","marzo","abril","mayo","junio","julio","agosto","septiembre","octubre","noviembre","diciembre"},0)+1,0))</f>
        <v/>
      </c>
      <c r="E538" t="str">
        <f>+IFERROR(VLOOKUP(Fact_Control_Operaciones[[#This Row], [Concepto Anterior]],Conceptos_Control_Operaciones[#All],5,0),"")</f>
        <v/>
      </c>
      <c r="F538" t="str">
        <f>+IFERROR(VLOOKUP(Fact_Control_Operaciones[[#This Row], 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ht="18.75" customHeight="1" x14ac:dyDescent="0.35">
      <c r="C539" s="100" t="str">
        <f>IF(OR(Fact_Control_Operaciones[[#This Row], [Año]]="",Fact_Control_Operaciones[[#This Row], [Mes]]=""),"",DATE(A539,MATCH(B539,{"enero","febrero","marzo","abril","mayo","junio","julio","agosto","septiembre","octubre","noviembre","diciembre"},0)+1,0))</f>
        <v/>
      </c>
      <c r="E539" t="str">
        <f>+IFERROR(VLOOKUP(Fact_Control_Operaciones[[#This Row], [Concepto Anterior]],Conceptos_Control_Operaciones[#All],5,0),"")</f>
        <v/>
      </c>
      <c r="F539" t="str">
        <f>+IFERROR(VLOOKUP(Fact_Control_Operaciones[[#This Row], 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ht="18.75" customHeight="1" x14ac:dyDescent="0.35">
      <c r="C540" s="100" t="str">
        <f>IF(OR(Fact_Control_Operaciones[[#This Row], [Año]]="",Fact_Control_Operaciones[[#This Row], [Mes]]=""),"",DATE(A540,MATCH(B540,{"enero","febrero","marzo","abril","mayo","junio","julio","agosto","septiembre","octubre","noviembre","diciembre"},0)+1,0))</f>
        <v/>
      </c>
      <c r="E540" t="str">
        <f>+IFERROR(VLOOKUP(Fact_Control_Operaciones[[#This Row], [Concepto Anterior]],Conceptos_Control_Operaciones[#All],5,0),"")</f>
        <v/>
      </c>
      <c r="F540" t="str">
        <f>+IFERROR(VLOOKUP(Fact_Control_Operaciones[[#This Row], 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ht="18.75" customHeight="1" x14ac:dyDescent="0.35">
      <c r="C541" s="100" t="str">
        <f>IF(OR(Fact_Control_Operaciones[[#This Row], [Año]]="",Fact_Control_Operaciones[[#This Row], [Mes]]=""),"",DATE(A541,MATCH(B541,{"enero","febrero","marzo","abril","mayo","junio","julio","agosto","septiembre","octubre","noviembre","diciembre"},0)+1,0))</f>
        <v/>
      </c>
      <c r="E541" t="str">
        <f>+IFERROR(VLOOKUP(Fact_Control_Operaciones[[#This Row], [Concepto Anterior]],Conceptos_Control_Operaciones[#All],5,0),"")</f>
        <v/>
      </c>
      <c r="F541" t="str">
        <f>+IFERROR(VLOOKUP(Fact_Control_Operaciones[[#This Row], 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ht="18.75" customHeight="1" x14ac:dyDescent="0.35">
      <c r="C542" s="100" t="str">
        <f>IF(OR(Fact_Control_Operaciones[[#This Row], [Año]]="",Fact_Control_Operaciones[[#This Row], [Mes]]=""),"",DATE(A542,MATCH(B542,{"enero","febrero","marzo","abril","mayo","junio","julio","agosto","septiembre","octubre","noviembre","diciembre"},0)+1,0))</f>
        <v/>
      </c>
      <c r="E542" t="str">
        <f>+IFERROR(VLOOKUP(Fact_Control_Operaciones[[#This Row], [Concepto Anterior]],Conceptos_Control_Operaciones[#All],5,0),"")</f>
        <v/>
      </c>
      <c r="F542" t="str">
        <f>+IFERROR(VLOOKUP(Fact_Control_Operaciones[[#This Row], 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ht="18.75" customHeight="1" x14ac:dyDescent="0.35">
      <c r="C543" s="100" t="str">
        <f>IF(OR(Fact_Control_Operaciones[[#This Row], [Año]]="",Fact_Control_Operaciones[[#This Row], [Mes]]=""),"",DATE(A543,MATCH(B543,{"enero","febrero","marzo","abril","mayo","junio","julio","agosto","septiembre","octubre","noviembre","diciembre"},0)+1,0))</f>
        <v/>
      </c>
      <c r="E543" t="str">
        <f>+IFERROR(VLOOKUP(Fact_Control_Operaciones[[#This Row], [Concepto Anterior]],Conceptos_Control_Operaciones[#All],5,0),"")</f>
        <v/>
      </c>
      <c r="F543" t="str">
        <f>+IFERROR(VLOOKUP(Fact_Control_Operaciones[[#This Row], 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ht="18.75" customHeight="1" x14ac:dyDescent="0.35">
      <c r="C544" s="100" t="str">
        <f>IF(OR(Fact_Control_Operaciones[[#This Row], [Año]]="",Fact_Control_Operaciones[[#This Row], [Mes]]=""),"",DATE(A544,MATCH(B544,{"enero","febrero","marzo","abril","mayo","junio","julio","agosto","septiembre","octubre","noviembre","diciembre"},0)+1,0))</f>
        <v/>
      </c>
      <c r="E544" t="str">
        <f>+IFERROR(VLOOKUP(Fact_Control_Operaciones[[#This Row], [Concepto Anterior]],Conceptos_Control_Operaciones[#All],5,0),"")</f>
        <v/>
      </c>
      <c r="F544" t="str">
        <f>+IFERROR(VLOOKUP(Fact_Control_Operaciones[[#This Row], 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ht="18.75" customHeight="1" x14ac:dyDescent="0.35">
      <c r="C545" s="100" t="str">
        <f>IF(OR(Fact_Control_Operaciones[[#This Row], [Año]]="",Fact_Control_Operaciones[[#This Row], [Mes]]=""),"",DATE(A545,MATCH(B545,{"enero","febrero","marzo","abril","mayo","junio","julio","agosto","septiembre","octubre","noviembre","diciembre"},0)+1,0))</f>
        <v/>
      </c>
      <c r="E545" t="str">
        <f>+IFERROR(VLOOKUP(Fact_Control_Operaciones[[#This Row], [Concepto Anterior]],Conceptos_Control_Operaciones[#All],5,0),"")</f>
        <v/>
      </c>
      <c r="F545" t="str">
        <f>+IFERROR(VLOOKUP(Fact_Control_Operaciones[[#This Row], 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ht="18.75" customHeight="1" x14ac:dyDescent="0.35">
      <c r="C546" s="100" t="str">
        <f>IF(OR(Fact_Control_Operaciones[[#This Row], [Año]]="",Fact_Control_Operaciones[[#This Row], [Mes]]=""),"",DATE(A546,MATCH(B546,{"enero","febrero","marzo","abril","mayo","junio","julio","agosto","septiembre","octubre","noviembre","diciembre"},0)+1,0))</f>
        <v/>
      </c>
      <c r="E546" t="str">
        <f>+IFERROR(VLOOKUP(Fact_Control_Operaciones[[#This Row], [Concepto Anterior]],Conceptos_Control_Operaciones[#All],5,0),"")</f>
        <v/>
      </c>
      <c r="F546" t="str">
        <f>+IFERROR(VLOOKUP(Fact_Control_Operaciones[[#This Row], 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ht="18.75" customHeight="1" x14ac:dyDescent="0.35">
      <c r="C547" s="100" t="str">
        <f>IF(OR(Fact_Control_Operaciones[[#This Row], [Año]]="",Fact_Control_Operaciones[[#This Row], [Mes]]=""),"",DATE(A547,MATCH(B547,{"enero","febrero","marzo","abril","mayo","junio","julio","agosto","septiembre","octubre","noviembre","diciembre"},0)+1,0))</f>
        <v/>
      </c>
      <c r="E547" t="str">
        <f>+IFERROR(VLOOKUP(Fact_Control_Operaciones[[#This Row], [Concepto Anterior]],Conceptos_Control_Operaciones[#All],5,0),"")</f>
        <v/>
      </c>
      <c r="F547" t="str">
        <f>+IFERROR(VLOOKUP(Fact_Control_Operaciones[[#This Row], 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ht="18.75" customHeight="1" x14ac:dyDescent="0.35">
      <c r="C548" s="100" t="str">
        <f>IF(OR(Fact_Control_Operaciones[[#This Row], [Año]]="",Fact_Control_Operaciones[[#This Row], [Mes]]=""),"",DATE(A548,MATCH(B548,{"enero","febrero","marzo","abril","mayo","junio","julio","agosto","septiembre","octubre","noviembre","diciembre"},0)+1,0))</f>
        <v/>
      </c>
      <c r="E548" t="str">
        <f>+IFERROR(VLOOKUP(Fact_Control_Operaciones[[#This Row], [Concepto Anterior]],Conceptos_Control_Operaciones[#All],5,0),"")</f>
        <v/>
      </c>
      <c r="F548" t="str">
        <f>+IFERROR(VLOOKUP(Fact_Control_Operaciones[[#This Row], 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ht="18.75" customHeight="1" x14ac:dyDescent="0.35">
      <c r="C549" s="100" t="str">
        <f>IF(OR(Fact_Control_Operaciones[[#This Row], [Año]]="",Fact_Control_Operaciones[[#This Row], [Mes]]=""),"",DATE(A549,MATCH(B549,{"enero","febrero","marzo","abril","mayo","junio","julio","agosto","septiembre","octubre","noviembre","diciembre"},0)+1,0))</f>
        <v/>
      </c>
      <c r="E549" t="str">
        <f>+IFERROR(VLOOKUP(Fact_Control_Operaciones[[#This Row], [Concepto Anterior]],Conceptos_Control_Operaciones[#All],5,0),"")</f>
        <v/>
      </c>
      <c r="F549" t="str">
        <f>+IFERROR(VLOOKUP(Fact_Control_Operaciones[[#This Row], 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ht="18.75" customHeight="1" x14ac:dyDescent="0.35">
      <c r="C550" s="100" t="str">
        <f>IF(OR(Fact_Control_Operaciones[[#This Row], [Año]]="",Fact_Control_Operaciones[[#This Row], [Mes]]=""),"",DATE(A550,MATCH(B550,{"enero","febrero","marzo","abril","mayo","junio","julio","agosto","septiembre","octubre","noviembre","diciembre"},0)+1,0))</f>
        <v/>
      </c>
      <c r="E550" t="str">
        <f>+IFERROR(VLOOKUP(Fact_Control_Operaciones[[#This Row], [Concepto Anterior]],Conceptos_Control_Operaciones[#All],5,0),"")</f>
        <v/>
      </c>
      <c r="F550" t="str">
        <f>+IFERROR(VLOOKUP(Fact_Control_Operaciones[[#This Row], 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ht="18.75" customHeight="1" x14ac:dyDescent="0.35">
      <c r="C551" s="100" t="str">
        <f>IF(OR(Fact_Control_Operaciones[[#This Row], [Año]]="",Fact_Control_Operaciones[[#This Row], [Mes]]=""),"",DATE(A551,MATCH(B551,{"enero","febrero","marzo","abril","mayo","junio","julio","agosto","septiembre","octubre","noviembre","diciembre"},0)+1,0))</f>
        <v/>
      </c>
      <c r="E551" t="str">
        <f>+IFERROR(VLOOKUP(Fact_Control_Operaciones[[#This Row], [Concepto Anterior]],Conceptos_Control_Operaciones[#All],5,0),"")</f>
        <v/>
      </c>
      <c r="F551" t="str">
        <f>+IFERROR(VLOOKUP(Fact_Control_Operaciones[[#This Row], 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ht="18.75" customHeight="1" x14ac:dyDescent="0.35">
      <c r="C552" s="100" t="str">
        <f>IF(OR(Fact_Control_Operaciones[[#This Row], [Año]]="",Fact_Control_Operaciones[[#This Row], [Mes]]=""),"",DATE(A552,MATCH(B552,{"enero","febrero","marzo","abril","mayo","junio","julio","agosto","septiembre","octubre","noviembre","diciembre"},0)+1,0))</f>
        <v/>
      </c>
      <c r="E552" t="str">
        <f>+IFERROR(VLOOKUP(Fact_Control_Operaciones[[#This Row], [Concepto Anterior]],Conceptos_Control_Operaciones[#All],5,0),"")</f>
        <v/>
      </c>
      <c r="F552" t="str">
        <f>+IFERROR(VLOOKUP(Fact_Control_Operaciones[[#This Row], 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ht="18.75" customHeight="1" x14ac:dyDescent="0.35">
      <c r="C553" s="100" t="str">
        <f>IF(OR(Fact_Control_Operaciones[[#This Row], [Año]]="",Fact_Control_Operaciones[[#This Row], [Mes]]=""),"",DATE(A553,MATCH(B553,{"enero","febrero","marzo","abril","mayo","junio","julio","agosto","septiembre","octubre","noviembre","diciembre"},0)+1,0))</f>
        <v/>
      </c>
      <c r="E553" t="str">
        <f>+IFERROR(VLOOKUP(Fact_Control_Operaciones[[#This Row], [Concepto Anterior]],Conceptos_Control_Operaciones[#All],5,0),"")</f>
        <v/>
      </c>
      <c r="F553" t="str">
        <f>+IFERROR(VLOOKUP(Fact_Control_Operaciones[[#This Row], 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ht="18.75" customHeight="1" x14ac:dyDescent="0.35">
      <c r="C554" s="100" t="str">
        <f>IF(OR(Fact_Control_Operaciones[[#This Row], [Año]]="",Fact_Control_Operaciones[[#This Row], [Mes]]=""),"",DATE(A554,MATCH(B554,{"enero","febrero","marzo","abril","mayo","junio","julio","agosto","septiembre","octubre","noviembre","diciembre"},0)+1,0))</f>
        <v/>
      </c>
      <c r="E554" t="str">
        <f>+IFERROR(VLOOKUP(Fact_Control_Operaciones[[#This Row], [Concepto Anterior]],Conceptos_Control_Operaciones[#All],5,0),"")</f>
        <v/>
      </c>
      <c r="F554" t="str">
        <f>+IFERROR(VLOOKUP(Fact_Control_Operaciones[[#This Row], 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ht="18.75" customHeight="1" x14ac:dyDescent="0.35">
      <c r="C555" s="100" t="str">
        <f>IF(OR(Fact_Control_Operaciones[[#This Row], [Año]]="",Fact_Control_Operaciones[[#This Row], [Mes]]=""),"",DATE(A555,MATCH(B555,{"enero","febrero","marzo","abril","mayo","junio","julio","agosto","septiembre","octubre","noviembre","diciembre"},0)+1,0))</f>
        <v/>
      </c>
      <c r="E555" t="str">
        <f>+IFERROR(VLOOKUP(Fact_Control_Operaciones[[#This Row], [Concepto Anterior]],Conceptos_Control_Operaciones[#All],5,0),"")</f>
        <v/>
      </c>
      <c r="F555" t="str">
        <f>+IFERROR(VLOOKUP(Fact_Control_Operaciones[[#This Row], 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ht="18.75" customHeight="1" x14ac:dyDescent="0.35">
      <c r="C556" s="100" t="str">
        <f>IF(OR(Fact_Control_Operaciones[[#This Row], [Año]]="",Fact_Control_Operaciones[[#This Row], [Mes]]=""),"",DATE(A556,MATCH(B556,{"enero","febrero","marzo","abril","mayo","junio","julio","agosto","septiembre","octubre","noviembre","diciembre"},0)+1,0))</f>
        <v/>
      </c>
      <c r="E556" t="str">
        <f>+IFERROR(VLOOKUP(Fact_Control_Operaciones[[#This Row], [Concepto Anterior]],Conceptos_Control_Operaciones[#All],5,0),"")</f>
        <v/>
      </c>
      <c r="F556" t="str">
        <f>+IFERROR(VLOOKUP(Fact_Control_Operaciones[[#This Row], 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ht="18.75" customHeight="1" x14ac:dyDescent="0.35">
      <c r="C557" s="100" t="str">
        <f>IF(OR(Fact_Control_Operaciones[[#This Row], [Año]]="",Fact_Control_Operaciones[[#This Row], [Mes]]=""),"",DATE(A557,MATCH(B557,{"enero","febrero","marzo","abril","mayo","junio","julio","agosto","septiembre","octubre","noviembre","diciembre"},0)+1,0))</f>
        <v/>
      </c>
      <c r="E557" t="str">
        <f>+IFERROR(VLOOKUP(Fact_Control_Operaciones[[#This Row], [Concepto Anterior]],Conceptos_Control_Operaciones[#All],5,0),"")</f>
        <v/>
      </c>
      <c r="F557" t="str">
        <f>+IFERROR(VLOOKUP(Fact_Control_Operaciones[[#This Row], 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ht="18.75" customHeight="1" x14ac:dyDescent="0.35">
      <c r="C558" s="100" t="str">
        <f>IF(OR(Fact_Control_Operaciones[[#This Row], [Año]]="",Fact_Control_Operaciones[[#This Row], [Mes]]=""),"",DATE(A558,MATCH(B558,{"enero","febrero","marzo","abril","mayo","junio","julio","agosto","septiembre","octubre","noviembre","diciembre"},0)+1,0))</f>
        <v/>
      </c>
      <c r="E558" t="str">
        <f>+IFERROR(VLOOKUP(Fact_Control_Operaciones[[#This Row], [Concepto Anterior]],Conceptos_Control_Operaciones[#All],5,0),"")</f>
        <v/>
      </c>
      <c r="F558" t="str">
        <f>+IFERROR(VLOOKUP(Fact_Control_Operaciones[[#This Row], 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ht="18.75" customHeight="1" x14ac:dyDescent="0.35">
      <c r="C559" s="100" t="str">
        <f>IF(OR(Fact_Control_Operaciones[[#This Row], [Año]]="",Fact_Control_Operaciones[[#This Row], [Mes]]=""),"",DATE(A559,MATCH(B559,{"enero","febrero","marzo","abril","mayo","junio","julio","agosto","septiembre","octubre","noviembre","diciembre"},0)+1,0))</f>
        <v/>
      </c>
      <c r="E559" t="str">
        <f>+IFERROR(VLOOKUP(Fact_Control_Operaciones[[#This Row], [Concepto Anterior]],Conceptos_Control_Operaciones[#All],5,0),"")</f>
        <v/>
      </c>
      <c r="F559" t="str">
        <f>+IFERROR(VLOOKUP(Fact_Control_Operaciones[[#This Row], 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ht="18.75" customHeight="1" x14ac:dyDescent="0.35">
      <c r="C560" s="100" t="str">
        <f>IF(OR(Fact_Control_Operaciones[[#This Row], [Año]]="",Fact_Control_Operaciones[[#This Row], [Mes]]=""),"",DATE(A560,MATCH(B560,{"enero","febrero","marzo","abril","mayo","junio","julio","agosto","septiembre","octubre","noviembre","diciembre"},0)+1,0))</f>
        <v/>
      </c>
      <c r="E560" t="str">
        <f>+IFERROR(VLOOKUP(Fact_Control_Operaciones[[#This Row], [Concepto Anterior]],Conceptos_Control_Operaciones[#All],5,0),"")</f>
        <v/>
      </c>
      <c r="F560" t="str">
        <f>+IFERROR(VLOOKUP(Fact_Control_Operaciones[[#This Row], 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ht="18.75" customHeight="1" x14ac:dyDescent="0.35">
      <c r="C561" s="100" t="str">
        <f>IF(OR(Fact_Control_Operaciones[[#This Row], [Año]]="",Fact_Control_Operaciones[[#This Row], [Mes]]=""),"",DATE(A561,MATCH(B561,{"enero","febrero","marzo","abril","mayo","junio","julio","agosto","septiembre","octubre","noviembre","diciembre"},0)+1,0))</f>
        <v/>
      </c>
      <c r="E561" t="str">
        <f>+IFERROR(VLOOKUP(Fact_Control_Operaciones[[#This Row], [Concepto Anterior]],Conceptos_Control_Operaciones[#All],5,0),"")</f>
        <v/>
      </c>
      <c r="F561" t="str">
        <f>+IFERROR(VLOOKUP(Fact_Control_Operaciones[[#This Row], 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ht="18.75" customHeight="1" x14ac:dyDescent="0.35">
      <c r="C562" s="100" t="str">
        <f>IF(OR(Fact_Control_Operaciones[[#This Row], [Año]]="",Fact_Control_Operaciones[[#This Row], [Mes]]=""),"",DATE(A562,MATCH(B562,{"enero","febrero","marzo","abril","mayo","junio","julio","agosto","septiembre","octubre","noviembre","diciembre"},0)+1,0))</f>
        <v/>
      </c>
      <c r="E562" t="str">
        <f>+IFERROR(VLOOKUP(Fact_Control_Operaciones[[#This Row], [Concepto Anterior]],Conceptos_Control_Operaciones[#All],5,0),"")</f>
        <v/>
      </c>
      <c r="F562" t="str">
        <f>+IFERROR(VLOOKUP(Fact_Control_Operaciones[[#This Row], 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ht="18.75" customHeight="1" x14ac:dyDescent="0.35">
      <c r="C563" s="100" t="str">
        <f>IF(OR(Fact_Control_Operaciones[[#This Row], [Año]]="",Fact_Control_Operaciones[[#This Row], [Mes]]=""),"",DATE(A563,MATCH(B563,{"enero","febrero","marzo","abril","mayo","junio","julio","agosto","septiembre","octubre","noviembre","diciembre"},0)+1,0))</f>
        <v/>
      </c>
      <c r="E563" t="str">
        <f>+IFERROR(VLOOKUP(Fact_Control_Operaciones[[#This Row], [Concepto Anterior]],Conceptos_Control_Operaciones[#All],5,0),"")</f>
        <v/>
      </c>
      <c r="F563" t="str">
        <f>+IFERROR(VLOOKUP(Fact_Control_Operaciones[[#This Row], 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ht="18.75" customHeight="1" x14ac:dyDescent="0.35">
      <c r="C564" s="100" t="str">
        <f>IF(OR(Fact_Control_Operaciones[[#This Row], [Año]]="",Fact_Control_Operaciones[[#This Row], [Mes]]=""),"",DATE(A564,MATCH(B564,{"enero","febrero","marzo","abril","mayo","junio","julio","agosto","septiembre","octubre","noviembre","diciembre"},0)+1,0))</f>
        <v/>
      </c>
      <c r="E564" t="str">
        <f>+IFERROR(VLOOKUP(Fact_Control_Operaciones[[#This Row], [Concepto Anterior]],Conceptos_Control_Operaciones[#All],5,0),"")</f>
        <v/>
      </c>
      <c r="F564" t="str">
        <f>+IFERROR(VLOOKUP(Fact_Control_Operaciones[[#This Row], 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ht="18.75" customHeight="1" x14ac:dyDescent="0.35">
      <c r="C565" s="100" t="str">
        <f>IF(OR(Fact_Control_Operaciones[[#This Row], [Año]]="",Fact_Control_Operaciones[[#This Row], [Mes]]=""),"",DATE(A565,MATCH(B565,{"enero","febrero","marzo","abril","mayo","junio","julio","agosto","septiembre","octubre","noviembre","diciembre"},0)+1,0))</f>
        <v/>
      </c>
      <c r="E565" t="str">
        <f>+IFERROR(VLOOKUP(Fact_Control_Operaciones[[#This Row], [Concepto Anterior]],Conceptos_Control_Operaciones[#All],5,0),"")</f>
        <v/>
      </c>
      <c r="F565" t="str">
        <f>+IFERROR(VLOOKUP(Fact_Control_Operaciones[[#This Row], 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ht="18.75" customHeight="1" x14ac:dyDescent="0.35">
      <c r="C566" s="100" t="str">
        <f>IF(OR(Fact_Control_Operaciones[[#This Row], [Año]]="",Fact_Control_Operaciones[[#This Row], [Mes]]=""),"",DATE(A566,MATCH(B566,{"enero","febrero","marzo","abril","mayo","junio","julio","agosto","septiembre","octubre","noviembre","diciembre"},0)+1,0))</f>
        <v/>
      </c>
      <c r="E566" t="str">
        <f>+IFERROR(VLOOKUP(Fact_Control_Operaciones[[#This Row], [Concepto Anterior]],Conceptos_Control_Operaciones[#All],5,0),"")</f>
        <v/>
      </c>
      <c r="F566" t="str">
        <f>+IFERROR(VLOOKUP(Fact_Control_Operaciones[[#This Row], 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ht="18.75" customHeight="1" x14ac:dyDescent="0.35">
      <c r="C567" s="100" t="str">
        <f>IF(OR(Fact_Control_Operaciones[[#This Row], [Año]]="",Fact_Control_Operaciones[[#This Row], [Mes]]=""),"",DATE(A567,MATCH(B567,{"enero","febrero","marzo","abril","mayo","junio","julio","agosto","septiembre","octubre","noviembre","diciembre"},0)+1,0))</f>
        <v/>
      </c>
      <c r="E567" t="str">
        <f>+IFERROR(VLOOKUP(Fact_Control_Operaciones[[#This Row], [Concepto Anterior]],Conceptos_Control_Operaciones[#All],5,0),"")</f>
        <v/>
      </c>
      <c r="F567" t="str">
        <f>+IFERROR(VLOOKUP(Fact_Control_Operaciones[[#This Row], 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ht="18.75" customHeight="1" x14ac:dyDescent="0.35">
      <c r="C568" s="100" t="str">
        <f>IF(OR(Fact_Control_Operaciones[[#This Row], [Año]]="",Fact_Control_Operaciones[[#This Row], [Mes]]=""),"",DATE(A568,MATCH(B568,{"enero","febrero","marzo","abril","mayo","junio","julio","agosto","septiembre","octubre","noviembre","diciembre"},0)+1,0))</f>
        <v/>
      </c>
      <c r="E568" t="str">
        <f>+IFERROR(VLOOKUP(Fact_Control_Operaciones[[#This Row], [Concepto Anterior]],Conceptos_Control_Operaciones[#All],5,0),"")</f>
        <v/>
      </c>
      <c r="F568" t="str">
        <f>+IFERROR(VLOOKUP(Fact_Control_Operaciones[[#This Row], 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ht="18.75" customHeight="1" x14ac:dyDescent="0.35">
      <c r="C569" s="100" t="str">
        <f>IF(OR(Fact_Control_Operaciones[[#This Row], [Año]]="",Fact_Control_Operaciones[[#This Row], [Mes]]=""),"",DATE(A569,MATCH(B569,{"enero","febrero","marzo","abril","mayo","junio","julio","agosto","septiembre","octubre","noviembre","diciembre"},0)+1,0))</f>
        <v/>
      </c>
      <c r="E569" t="str">
        <f>+IFERROR(VLOOKUP(Fact_Control_Operaciones[[#This Row], [Concepto Anterior]],Conceptos_Control_Operaciones[#All],5,0),"")</f>
        <v/>
      </c>
      <c r="F569" t="str">
        <f>+IFERROR(VLOOKUP(Fact_Control_Operaciones[[#This Row], 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ht="18.75" customHeight="1" x14ac:dyDescent="0.35">
      <c r="C570" s="100" t="str">
        <f>IF(OR(Fact_Control_Operaciones[[#This Row], [Año]]="",Fact_Control_Operaciones[[#This Row], [Mes]]=""),"",DATE(A570,MATCH(B570,{"enero","febrero","marzo","abril","mayo","junio","julio","agosto","septiembre","octubre","noviembre","diciembre"},0)+1,0))</f>
        <v/>
      </c>
      <c r="E570" t="str">
        <f>+IFERROR(VLOOKUP(Fact_Control_Operaciones[[#This Row], [Concepto Anterior]],Conceptos_Control_Operaciones[#All],5,0),"")</f>
        <v/>
      </c>
      <c r="F570" t="str">
        <f>+IFERROR(VLOOKUP(Fact_Control_Operaciones[[#This Row], 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ht="18.75" customHeight="1" x14ac:dyDescent="0.35">
      <c r="C571" s="100" t="str">
        <f>IF(OR(Fact_Control_Operaciones[[#This Row], [Año]]="",Fact_Control_Operaciones[[#This Row], [Mes]]=""),"",DATE(A571,MATCH(B571,{"enero","febrero","marzo","abril","mayo","junio","julio","agosto","septiembre","octubre","noviembre","diciembre"},0)+1,0))</f>
        <v/>
      </c>
      <c r="E571" t="str">
        <f>+IFERROR(VLOOKUP(Fact_Control_Operaciones[[#This Row], [Concepto Anterior]],Conceptos_Control_Operaciones[#All],5,0),"")</f>
        <v/>
      </c>
      <c r="F571" t="str">
        <f>+IFERROR(VLOOKUP(Fact_Control_Operaciones[[#This Row], 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ht="18.75" customHeight="1" x14ac:dyDescent="0.35">
      <c r="C572" s="100" t="str">
        <f>IF(OR(Fact_Control_Operaciones[[#This Row], [Año]]="",Fact_Control_Operaciones[[#This Row], [Mes]]=""),"",DATE(A572,MATCH(B572,{"enero","febrero","marzo","abril","mayo","junio","julio","agosto","septiembre","octubre","noviembre","diciembre"},0)+1,0))</f>
        <v/>
      </c>
      <c r="E572" t="str">
        <f>+IFERROR(VLOOKUP(Fact_Control_Operaciones[[#This Row], [Concepto Anterior]],Conceptos_Control_Operaciones[#All],5,0),"")</f>
        <v/>
      </c>
      <c r="F572" t="str">
        <f>+IFERROR(VLOOKUP(Fact_Control_Operaciones[[#This Row], 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ht="18.75" customHeight="1" x14ac:dyDescent="0.35">
      <c r="C573" s="100" t="str">
        <f>IF(OR(Fact_Control_Operaciones[[#This Row], [Año]]="",Fact_Control_Operaciones[[#This Row], [Mes]]=""),"",DATE(A573,MATCH(B573,{"enero","febrero","marzo","abril","mayo","junio","julio","agosto","septiembre","octubre","noviembre","diciembre"},0)+1,0))</f>
        <v/>
      </c>
      <c r="E573" t="str">
        <f>+IFERROR(VLOOKUP(Fact_Control_Operaciones[[#This Row], [Concepto Anterior]],Conceptos_Control_Operaciones[#All],5,0),"")</f>
        <v/>
      </c>
      <c r="F573" t="str">
        <f>+IFERROR(VLOOKUP(Fact_Control_Operaciones[[#This Row], 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ht="18.75" customHeight="1" x14ac:dyDescent="0.35">
      <c r="C574" s="100" t="str">
        <f>IF(OR(Fact_Control_Operaciones[[#This Row], [Año]]="",Fact_Control_Operaciones[[#This Row], [Mes]]=""),"",DATE(A574,MATCH(B574,{"enero","febrero","marzo","abril","mayo","junio","julio","agosto","septiembre","octubre","noviembre","diciembre"},0)+1,0))</f>
        <v/>
      </c>
      <c r="E574" t="str">
        <f>+IFERROR(VLOOKUP(Fact_Control_Operaciones[[#This Row], [Concepto Anterior]],Conceptos_Control_Operaciones[#All],5,0),"")</f>
        <v/>
      </c>
      <c r="F574" t="str">
        <f>+IFERROR(VLOOKUP(Fact_Control_Operaciones[[#This Row], 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ht="18.75" customHeight="1" x14ac:dyDescent="0.35">
      <c r="C575" s="100" t="str">
        <f>IF(OR(Fact_Control_Operaciones[[#This Row], [Año]]="",Fact_Control_Operaciones[[#This Row], [Mes]]=""),"",DATE(A575,MATCH(B575,{"enero","febrero","marzo","abril","mayo","junio","julio","agosto","septiembre","octubre","noviembre","diciembre"},0)+1,0))</f>
        <v/>
      </c>
      <c r="E575" t="str">
        <f>+IFERROR(VLOOKUP(Fact_Control_Operaciones[[#This Row], [Concepto Anterior]],Conceptos_Control_Operaciones[#All],5,0),"")</f>
        <v/>
      </c>
      <c r="F575" t="str">
        <f>+IFERROR(VLOOKUP(Fact_Control_Operaciones[[#This Row], 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ht="18.75" customHeight="1" x14ac:dyDescent="0.35">
      <c r="C576" s="100" t="str">
        <f>IF(OR(Fact_Control_Operaciones[[#This Row], [Año]]="",Fact_Control_Operaciones[[#This Row], [Mes]]=""),"",DATE(A576,MATCH(B576,{"enero","febrero","marzo","abril","mayo","junio","julio","agosto","septiembre","octubre","noviembre","diciembre"},0)+1,0))</f>
        <v/>
      </c>
      <c r="E576" t="str">
        <f>+IFERROR(VLOOKUP(Fact_Control_Operaciones[[#This Row], [Concepto Anterior]],Conceptos_Control_Operaciones[#All],5,0),"")</f>
        <v/>
      </c>
      <c r="F576" t="str">
        <f>+IFERROR(VLOOKUP(Fact_Control_Operaciones[[#This Row], 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ht="18.75" customHeight="1" x14ac:dyDescent="0.35">
      <c r="C577" s="100" t="str">
        <f>IF(OR(Fact_Control_Operaciones[[#This Row], [Año]]="",Fact_Control_Operaciones[[#This Row], [Mes]]=""),"",DATE(A577,MATCH(B577,{"enero","febrero","marzo","abril","mayo","junio","julio","agosto","septiembre","octubre","noviembre","diciembre"},0)+1,0))</f>
        <v/>
      </c>
      <c r="E577" t="str">
        <f>+IFERROR(VLOOKUP(Fact_Control_Operaciones[[#This Row], [Concepto Anterior]],Conceptos_Control_Operaciones[#All],5,0),"")</f>
        <v/>
      </c>
      <c r="F577" t="str">
        <f>+IFERROR(VLOOKUP(Fact_Control_Operaciones[[#This Row], 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ht="18.75" customHeight="1" x14ac:dyDescent="0.35">
      <c r="C578" s="100" t="str">
        <f>IF(OR(Fact_Control_Operaciones[[#This Row], [Año]]="",Fact_Control_Operaciones[[#This Row], [Mes]]=""),"",DATE(A578,MATCH(B578,{"enero","febrero","marzo","abril","mayo","junio","julio","agosto","septiembre","octubre","noviembre","diciembre"},0)+1,0))</f>
        <v/>
      </c>
      <c r="E578" t="str">
        <f>+IFERROR(VLOOKUP(Fact_Control_Operaciones[[#This Row], [Concepto Anterior]],Conceptos_Control_Operaciones[#All],5,0),"")</f>
        <v/>
      </c>
      <c r="F578" t="str">
        <f>+IFERROR(VLOOKUP(Fact_Control_Operaciones[[#This Row], 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ht="18.75" customHeight="1" x14ac:dyDescent="0.35">
      <c r="C579" s="100" t="str">
        <f>IF(OR(Fact_Control_Operaciones[[#This Row], [Año]]="",Fact_Control_Operaciones[[#This Row], [Mes]]=""),"",DATE(A579,MATCH(B579,{"enero","febrero","marzo","abril","mayo","junio","julio","agosto","septiembre","octubre","noviembre","diciembre"},0)+1,0))</f>
        <v/>
      </c>
      <c r="E579" t="str">
        <f>+IFERROR(VLOOKUP(Fact_Control_Operaciones[[#This Row], [Concepto Anterior]],Conceptos_Control_Operaciones[#All],5,0),"")</f>
        <v/>
      </c>
      <c r="F579" t="str">
        <f>+IFERROR(VLOOKUP(Fact_Control_Operaciones[[#This Row], 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ht="18.75" customHeight="1" x14ac:dyDescent="0.35">
      <c r="C580" s="100" t="str">
        <f>IF(OR(Fact_Control_Operaciones[[#This Row], [Año]]="",Fact_Control_Operaciones[[#This Row], [Mes]]=""),"",DATE(A580,MATCH(B580,{"enero","febrero","marzo","abril","mayo","junio","julio","agosto","septiembre","octubre","noviembre","diciembre"},0)+1,0))</f>
        <v/>
      </c>
      <c r="E580" t="str">
        <f>+IFERROR(VLOOKUP(Fact_Control_Operaciones[[#This Row], [Concepto Anterior]],Conceptos_Control_Operaciones[#All],5,0),"")</f>
        <v/>
      </c>
      <c r="F580" t="str">
        <f>+IFERROR(VLOOKUP(Fact_Control_Operaciones[[#This Row], 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ht="18.75" customHeight="1" x14ac:dyDescent="0.35">
      <c r="C581" s="100" t="str">
        <f>IF(OR(Fact_Control_Operaciones[[#This Row], [Año]]="",Fact_Control_Operaciones[[#This Row], [Mes]]=""),"",DATE(A581,MATCH(B581,{"enero","febrero","marzo","abril","mayo","junio","julio","agosto","septiembre","octubre","noviembre","diciembre"},0)+1,0))</f>
        <v/>
      </c>
      <c r="E581" t="str">
        <f>+IFERROR(VLOOKUP(Fact_Control_Operaciones[[#This Row], [Concepto Anterior]],Conceptos_Control_Operaciones[#All],5,0),"")</f>
        <v/>
      </c>
      <c r="F581" t="str">
        <f>+IFERROR(VLOOKUP(Fact_Control_Operaciones[[#This Row], 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ht="18.75" customHeight="1" x14ac:dyDescent="0.35">
      <c r="C582" s="100" t="str">
        <f>IF(OR(Fact_Control_Operaciones[[#This Row], [Año]]="",Fact_Control_Operaciones[[#This Row], [Mes]]=""),"",DATE(A582,MATCH(B582,{"enero","febrero","marzo","abril","mayo","junio","julio","agosto","septiembre","octubre","noviembre","diciembre"},0)+1,0))</f>
        <v/>
      </c>
      <c r="E582" t="str">
        <f>+IFERROR(VLOOKUP(Fact_Control_Operaciones[[#This Row], [Concepto Anterior]],Conceptos_Control_Operaciones[#All],5,0),"")</f>
        <v/>
      </c>
      <c r="F582" t="str">
        <f>+IFERROR(VLOOKUP(Fact_Control_Operaciones[[#This Row], 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ht="18.75" customHeight="1" x14ac:dyDescent="0.35">
      <c r="C583" s="100" t="str">
        <f>IF(OR(Fact_Control_Operaciones[[#This Row], [Año]]="",Fact_Control_Operaciones[[#This Row], [Mes]]=""),"",DATE(A583,MATCH(B583,{"enero","febrero","marzo","abril","mayo","junio","julio","agosto","septiembre","octubre","noviembre","diciembre"},0)+1,0))</f>
        <v/>
      </c>
      <c r="E583" t="str">
        <f>+IFERROR(VLOOKUP(Fact_Control_Operaciones[[#This Row], [Concepto Anterior]],Conceptos_Control_Operaciones[#All],5,0),"")</f>
        <v/>
      </c>
      <c r="F583" t="str">
        <f>+IFERROR(VLOOKUP(Fact_Control_Operaciones[[#This Row], 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ht="18.75" customHeight="1" x14ac:dyDescent="0.35">
      <c r="C584" s="100" t="str">
        <f>IF(OR(Fact_Control_Operaciones[[#This Row], [Año]]="",Fact_Control_Operaciones[[#This Row], [Mes]]=""),"",DATE(A584,MATCH(B584,{"enero","febrero","marzo","abril","mayo","junio","julio","agosto","septiembre","octubre","noviembre","diciembre"},0)+1,0))</f>
        <v/>
      </c>
      <c r="E584" t="str">
        <f>+IFERROR(VLOOKUP(Fact_Control_Operaciones[[#This Row], [Concepto Anterior]],Conceptos_Control_Operaciones[#All],5,0),"")</f>
        <v/>
      </c>
      <c r="F584" t="str">
        <f>+IFERROR(VLOOKUP(Fact_Control_Operaciones[[#This Row], 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ht="18.75" customHeight="1" x14ac:dyDescent="0.35">
      <c r="C585" s="100" t="str">
        <f>IF(OR(Fact_Control_Operaciones[[#This Row], [Año]]="",Fact_Control_Operaciones[[#This Row], [Mes]]=""),"",DATE(A585,MATCH(B585,{"enero","febrero","marzo","abril","mayo","junio","julio","agosto","septiembre","octubre","noviembre","diciembre"},0)+1,0))</f>
        <v/>
      </c>
      <c r="E585" t="str">
        <f>+IFERROR(VLOOKUP(Fact_Control_Operaciones[[#This Row], [Concepto Anterior]],Conceptos_Control_Operaciones[#All],5,0),"")</f>
        <v/>
      </c>
      <c r="F585" t="str">
        <f>+IFERROR(VLOOKUP(Fact_Control_Operaciones[[#This Row], 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ht="18.75" customHeight="1" x14ac:dyDescent="0.35">
      <c r="C586" s="100" t="str">
        <f>IF(OR(Fact_Control_Operaciones[[#This Row], [Año]]="",Fact_Control_Operaciones[[#This Row], [Mes]]=""),"",DATE(A586,MATCH(B586,{"enero","febrero","marzo","abril","mayo","junio","julio","agosto","septiembre","octubre","noviembre","diciembre"},0)+1,0))</f>
        <v/>
      </c>
      <c r="E586" t="str">
        <f>+IFERROR(VLOOKUP(Fact_Control_Operaciones[[#This Row], [Concepto Anterior]],Conceptos_Control_Operaciones[#All],5,0),"")</f>
        <v/>
      </c>
      <c r="F586" t="str">
        <f>+IFERROR(VLOOKUP(Fact_Control_Operaciones[[#This Row], 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ht="18.75" customHeight="1" x14ac:dyDescent="0.35">
      <c r="C587" s="100" t="str">
        <f>IF(OR(Fact_Control_Operaciones[[#This Row], [Año]]="",Fact_Control_Operaciones[[#This Row], [Mes]]=""),"",DATE(A587,MATCH(B587,{"enero","febrero","marzo","abril","mayo","junio","julio","agosto","septiembre","octubre","noviembre","diciembre"},0)+1,0))</f>
        <v/>
      </c>
      <c r="E587" t="str">
        <f>+IFERROR(VLOOKUP(Fact_Control_Operaciones[[#This Row], [Concepto Anterior]],Conceptos_Control_Operaciones[#All],5,0),"")</f>
        <v/>
      </c>
      <c r="F587" t="str">
        <f>+IFERROR(VLOOKUP(Fact_Control_Operaciones[[#This Row], 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ht="18.75" customHeight="1" x14ac:dyDescent="0.35">
      <c r="C588" s="100" t="str">
        <f>IF(OR(Fact_Control_Operaciones[[#This Row], [Año]]="",Fact_Control_Operaciones[[#This Row], [Mes]]=""),"",DATE(A588,MATCH(B588,{"enero","febrero","marzo","abril","mayo","junio","julio","agosto","septiembre","octubre","noviembre","diciembre"},0)+1,0))</f>
        <v/>
      </c>
      <c r="E588" t="str">
        <f>+IFERROR(VLOOKUP(Fact_Control_Operaciones[[#This Row], [Concepto Anterior]],Conceptos_Control_Operaciones[#All],5,0),"")</f>
        <v/>
      </c>
      <c r="F588" t="str">
        <f>+IFERROR(VLOOKUP(Fact_Control_Operaciones[[#This Row], 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ht="18.75" customHeight="1" x14ac:dyDescent="0.35">
      <c r="C589" s="100" t="str">
        <f>IF(OR(Fact_Control_Operaciones[[#This Row], [Año]]="",Fact_Control_Operaciones[[#This Row], [Mes]]=""),"",DATE(A589,MATCH(B589,{"enero","febrero","marzo","abril","mayo","junio","julio","agosto","septiembre","octubre","noviembre","diciembre"},0)+1,0))</f>
        <v/>
      </c>
      <c r="E589" t="str">
        <f>+IFERROR(VLOOKUP(Fact_Control_Operaciones[[#This Row], [Concepto Anterior]],Conceptos_Control_Operaciones[#All],5,0),"")</f>
        <v/>
      </c>
      <c r="F589" t="str">
        <f>+IFERROR(VLOOKUP(Fact_Control_Operaciones[[#This Row], 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ht="18.75" customHeight="1" x14ac:dyDescent="0.35">
      <c r="C590" s="100" t="str">
        <f>IF(OR(Fact_Control_Operaciones[[#This Row], [Año]]="",Fact_Control_Operaciones[[#This Row], [Mes]]=""),"",DATE(A590,MATCH(B590,{"enero","febrero","marzo","abril","mayo","junio","julio","agosto","septiembre","octubre","noviembre","diciembre"},0)+1,0))</f>
        <v/>
      </c>
      <c r="E590" t="str">
        <f>+IFERROR(VLOOKUP(Fact_Control_Operaciones[[#This Row], [Concepto Anterior]],Conceptos_Control_Operaciones[#All],5,0),"")</f>
        <v/>
      </c>
      <c r="F590" t="str">
        <f>+IFERROR(VLOOKUP(Fact_Control_Operaciones[[#This Row], 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ht="18.75" customHeight="1" x14ac:dyDescent="0.35">
      <c r="C591" s="100" t="str">
        <f>IF(OR(Fact_Control_Operaciones[[#This Row], [Año]]="",Fact_Control_Operaciones[[#This Row], [Mes]]=""),"",DATE(A591,MATCH(B591,{"enero","febrero","marzo","abril","mayo","junio","julio","agosto","septiembre","octubre","noviembre","diciembre"},0)+1,0))</f>
        <v/>
      </c>
      <c r="E591" t="str">
        <f>+IFERROR(VLOOKUP(Fact_Control_Operaciones[[#This Row], [Concepto Anterior]],Conceptos_Control_Operaciones[#All],5,0),"")</f>
        <v/>
      </c>
      <c r="F591" t="str">
        <f>+IFERROR(VLOOKUP(Fact_Control_Operaciones[[#This Row], 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ht="18.75" customHeight="1" x14ac:dyDescent="0.35">
      <c r="C592" s="100" t="str">
        <f>IF(OR(Fact_Control_Operaciones[[#This Row], [Año]]="",Fact_Control_Operaciones[[#This Row], [Mes]]=""),"",DATE(A592,MATCH(B592,{"enero","febrero","marzo","abril","mayo","junio","julio","agosto","septiembre","octubre","noviembre","diciembre"},0)+1,0))</f>
        <v/>
      </c>
      <c r="E592" t="str">
        <f>+IFERROR(VLOOKUP(Fact_Control_Operaciones[[#This Row], [Concepto Anterior]],Conceptos_Control_Operaciones[#All],5,0),"")</f>
        <v/>
      </c>
      <c r="F592" t="str">
        <f>+IFERROR(VLOOKUP(Fact_Control_Operaciones[[#This Row], 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ht="18.75" customHeight="1" x14ac:dyDescent="0.35">
      <c r="C593" s="100" t="str">
        <f>IF(OR(Fact_Control_Operaciones[[#This Row], [Año]]="",Fact_Control_Operaciones[[#This Row], [Mes]]=""),"",DATE(A593,MATCH(B593,{"enero","febrero","marzo","abril","mayo","junio","julio","agosto","septiembre","octubre","noviembre","diciembre"},0)+1,0))</f>
        <v/>
      </c>
      <c r="E593" t="str">
        <f>+IFERROR(VLOOKUP(Fact_Control_Operaciones[[#This Row], [Concepto Anterior]],Conceptos_Control_Operaciones[#All],5,0),"")</f>
        <v/>
      </c>
      <c r="F593" t="str">
        <f>+IFERROR(VLOOKUP(Fact_Control_Operaciones[[#This Row], 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ht="18.75" customHeight="1" x14ac:dyDescent="0.35">
      <c r="C594" s="100" t="str">
        <f>IF(OR(Fact_Control_Operaciones[[#This Row], [Año]]="",Fact_Control_Operaciones[[#This Row], [Mes]]=""),"",DATE(A594,MATCH(B594,{"enero","febrero","marzo","abril","mayo","junio","julio","agosto","septiembre","octubre","noviembre","diciembre"},0)+1,0))</f>
        <v/>
      </c>
      <c r="E594" t="str">
        <f>+IFERROR(VLOOKUP(Fact_Control_Operaciones[[#This Row], [Concepto Anterior]],Conceptos_Control_Operaciones[#All],5,0),"")</f>
        <v/>
      </c>
      <c r="F594" t="str">
        <f>+IFERROR(VLOOKUP(Fact_Control_Operaciones[[#This Row], 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ht="18.75" customHeight="1" x14ac:dyDescent="0.35">
      <c r="C595" s="100" t="str">
        <f>IF(OR(Fact_Control_Operaciones[[#This Row], [Año]]="",Fact_Control_Operaciones[[#This Row], [Mes]]=""),"",DATE(A595,MATCH(B595,{"enero","febrero","marzo","abril","mayo","junio","julio","agosto","septiembre","octubre","noviembre","diciembre"},0)+1,0))</f>
        <v/>
      </c>
      <c r="E595" t="str">
        <f>+IFERROR(VLOOKUP(Fact_Control_Operaciones[[#This Row], [Concepto Anterior]],Conceptos_Control_Operaciones[#All],5,0),"")</f>
        <v/>
      </c>
      <c r="F595" t="str">
        <f>+IFERROR(VLOOKUP(Fact_Control_Operaciones[[#This Row], 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ht="18.75" customHeight="1" x14ac:dyDescent="0.35">
      <c r="C596" s="100" t="str">
        <f>IF(OR(Fact_Control_Operaciones[[#This Row], [Año]]="",Fact_Control_Operaciones[[#This Row], [Mes]]=""),"",DATE(A596,MATCH(B596,{"enero","febrero","marzo","abril","mayo","junio","julio","agosto","septiembre","octubre","noviembre","diciembre"},0)+1,0))</f>
        <v/>
      </c>
      <c r="E596" t="str">
        <f>+IFERROR(VLOOKUP(Fact_Control_Operaciones[[#This Row], [Concepto Anterior]],Conceptos_Control_Operaciones[#All],5,0),"")</f>
        <v/>
      </c>
      <c r="F596" t="str">
        <f>+IFERROR(VLOOKUP(Fact_Control_Operaciones[[#This Row], 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ht="18.75" customHeight="1" x14ac:dyDescent="0.35">
      <c r="C597" s="100" t="str">
        <f>IF(OR(Fact_Control_Operaciones[[#This Row], [Año]]="",Fact_Control_Operaciones[[#This Row], [Mes]]=""),"",DATE(A597,MATCH(B597,{"enero","febrero","marzo","abril","mayo","junio","julio","agosto","septiembre","octubre","noviembre","diciembre"},0)+1,0))</f>
        <v/>
      </c>
      <c r="E597" t="str">
        <f>+IFERROR(VLOOKUP(Fact_Control_Operaciones[[#This Row], [Concepto Anterior]],Conceptos_Control_Operaciones[#All],5,0),"")</f>
        <v/>
      </c>
      <c r="F597" t="str">
        <f>+IFERROR(VLOOKUP(Fact_Control_Operaciones[[#This Row], 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ht="18.75" customHeight="1" x14ac:dyDescent="0.35">
      <c r="C598" s="100" t="str">
        <f>IF(OR(Fact_Control_Operaciones[[#This Row], [Año]]="",Fact_Control_Operaciones[[#This Row], [Mes]]=""),"",DATE(A598,MATCH(B598,{"enero","febrero","marzo","abril","mayo","junio","julio","agosto","septiembre","octubre","noviembre","diciembre"},0)+1,0))</f>
        <v/>
      </c>
      <c r="E598" t="str">
        <f>+IFERROR(VLOOKUP(Fact_Control_Operaciones[[#This Row], [Concepto Anterior]],Conceptos_Control_Operaciones[#All],5,0),"")</f>
        <v/>
      </c>
      <c r="F598" t="str">
        <f>+IFERROR(VLOOKUP(Fact_Control_Operaciones[[#This Row], 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ht="18.75" customHeight="1" x14ac:dyDescent="0.35">
      <c r="C599" s="100" t="str">
        <f>IF(OR(Fact_Control_Operaciones[[#This Row], [Año]]="",Fact_Control_Operaciones[[#This Row], [Mes]]=""),"",DATE(A599,MATCH(B599,{"enero","febrero","marzo","abril","mayo","junio","julio","agosto","septiembre","octubre","noviembre","diciembre"},0)+1,0))</f>
        <v/>
      </c>
      <c r="E599" t="str">
        <f>+IFERROR(VLOOKUP(Fact_Control_Operaciones[[#This Row], [Concepto Anterior]],Conceptos_Control_Operaciones[#All],5,0),"")</f>
        <v/>
      </c>
      <c r="F599" t="str">
        <f>+IFERROR(VLOOKUP(Fact_Control_Operaciones[[#This Row], 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ht="18.75" customHeight="1" x14ac:dyDescent="0.35">
      <c r="C600" s="100" t="str">
        <f>IF(OR(Fact_Control_Operaciones[[#This Row], [Año]]="",Fact_Control_Operaciones[[#This Row], [Mes]]=""),"",DATE(A600,MATCH(B600,{"enero","febrero","marzo","abril","mayo","junio","julio","agosto","septiembre","octubre","noviembre","diciembre"},0)+1,0))</f>
        <v/>
      </c>
      <c r="E600" t="str">
        <f>+IFERROR(VLOOKUP(Fact_Control_Operaciones[[#This Row], [Concepto Anterior]],Conceptos_Control_Operaciones[#All],5,0),"")</f>
        <v/>
      </c>
      <c r="F600" t="str">
        <f>+IFERROR(VLOOKUP(Fact_Control_Operaciones[[#This Row], 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ht="18.75" customHeight="1" x14ac:dyDescent="0.35">
      <c r="C601" s="100" t="str">
        <f>IF(OR(Fact_Control_Operaciones[[#This Row], [Año]]="",Fact_Control_Operaciones[[#This Row], [Mes]]=""),"",DATE(A601,MATCH(B601,{"enero","febrero","marzo","abril","mayo","junio","julio","agosto","septiembre","octubre","noviembre","diciembre"},0)+1,0))</f>
        <v/>
      </c>
      <c r="E601" t="str">
        <f>+IFERROR(VLOOKUP(Fact_Control_Operaciones[[#This Row], [Concepto Anterior]],Conceptos_Control_Operaciones[#All],5,0),"")</f>
        <v/>
      </c>
      <c r="F601" t="str">
        <f>+IFERROR(VLOOKUP(Fact_Control_Operaciones[[#This Row], 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ht="18.75" customHeight="1" x14ac:dyDescent="0.35">
      <c r="C602" s="100" t="str">
        <f>IF(OR(Fact_Control_Operaciones[[#This Row], [Año]]="",Fact_Control_Operaciones[[#This Row], [Mes]]=""),"",DATE(A602,MATCH(B602,{"enero","febrero","marzo","abril","mayo","junio","julio","agosto","septiembre","octubre","noviembre","diciembre"},0)+1,0))</f>
        <v/>
      </c>
      <c r="E602" t="str">
        <f>+IFERROR(VLOOKUP(Fact_Control_Operaciones[[#This Row], [Concepto Anterior]],Conceptos_Control_Operaciones[#All],5,0),"")</f>
        <v/>
      </c>
      <c r="F602" t="str">
        <f>+IFERROR(VLOOKUP(Fact_Control_Operaciones[[#This Row], 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ht="18.75" customHeight="1" x14ac:dyDescent="0.35">
      <c r="C603" s="100" t="str">
        <f>IF(OR(Fact_Control_Operaciones[[#This Row], [Año]]="",Fact_Control_Operaciones[[#This Row], [Mes]]=""),"",DATE(A603,MATCH(B603,{"enero","febrero","marzo","abril","mayo","junio","julio","agosto","septiembre","octubre","noviembre","diciembre"},0)+1,0))</f>
        <v/>
      </c>
      <c r="E603" t="str">
        <f>+IFERROR(VLOOKUP(Fact_Control_Operaciones[[#This Row], [Concepto Anterior]],Conceptos_Control_Operaciones[#All],5,0),"")</f>
        <v/>
      </c>
      <c r="F603" t="str">
        <f>+IFERROR(VLOOKUP(Fact_Control_Operaciones[[#This Row], 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ht="18.75" customHeight="1" x14ac:dyDescent="0.35">
      <c r="C604" s="100" t="str">
        <f>IF(OR(Fact_Control_Operaciones[[#This Row], [Año]]="",Fact_Control_Operaciones[[#This Row], [Mes]]=""),"",DATE(A604,MATCH(B604,{"enero","febrero","marzo","abril","mayo","junio","julio","agosto","septiembre","octubre","noviembre","diciembre"},0)+1,0))</f>
        <v/>
      </c>
      <c r="E604" t="str">
        <f>+IFERROR(VLOOKUP(Fact_Control_Operaciones[[#This Row], [Concepto Anterior]],Conceptos_Control_Operaciones[#All],5,0),"")</f>
        <v/>
      </c>
      <c r="F604" t="str">
        <f>+IFERROR(VLOOKUP(Fact_Control_Operaciones[[#This Row], 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ht="18.75" customHeight="1" x14ac:dyDescent="0.35">
      <c r="C605" s="100" t="str">
        <f>IF(OR(Fact_Control_Operaciones[[#This Row], [Año]]="",Fact_Control_Operaciones[[#This Row], [Mes]]=""),"",DATE(A605,MATCH(B605,{"enero","febrero","marzo","abril","mayo","junio","julio","agosto","septiembre","octubre","noviembre","diciembre"},0)+1,0))</f>
        <v/>
      </c>
      <c r="E605" t="str">
        <f>+IFERROR(VLOOKUP(Fact_Control_Operaciones[[#This Row], [Concepto Anterior]],Conceptos_Control_Operaciones[#All],5,0),"")</f>
        <v/>
      </c>
      <c r="F605" t="str">
        <f>+IFERROR(VLOOKUP(Fact_Control_Operaciones[[#This Row], 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ht="18.75" customHeight="1" x14ac:dyDescent="0.35">
      <c r="C606" s="100" t="str">
        <f>IF(OR(Fact_Control_Operaciones[[#This Row], [Año]]="",Fact_Control_Operaciones[[#This Row], [Mes]]=""),"",DATE(A606,MATCH(B606,{"enero","febrero","marzo","abril","mayo","junio","julio","agosto","septiembre","octubre","noviembre","diciembre"},0)+1,0))</f>
        <v/>
      </c>
      <c r="E606" t="str">
        <f>+IFERROR(VLOOKUP(Fact_Control_Operaciones[[#This Row], [Concepto Anterior]],Conceptos_Control_Operaciones[#All],5,0),"")</f>
        <v/>
      </c>
      <c r="F606" t="str">
        <f>+IFERROR(VLOOKUP(Fact_Control_Operaciones[[#This Row], 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ht="18.75" customHeight="1" x14ac:dyDescent="0.35">
      <c r="C607" s="100" t="str">
        <f>IF(OR(Fact_Control_Operaciones[[#This Row], [Año]]="",Fact_Control_Operaciones[[#This Row], [Mes]]=""),"",DATE(A607,MATCH(B607,{"enero","febrero","marzo","abril","mayo","junio","julio","agosto","septiembre","octubre","noviembre","diciembre"},0)+1,0))</f>
        <v/>
      </c>
      <c r="E607" t="str">
        <f>+IFERROR(VLOOKUP(Fact_Control_Operaciones[[#This Row], [Concepto Anterior]],Conceptos_Control_Operaciones[#All],5,0),"")</f>
        <v/>
      </c>
      <c r="F607" t="str">
        <f>+IFERROR(VLOOKUP(Fact_Control_Operaciones[[#This Row], 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ht="18.75" customHeight="1" x14ac:dyDescent="0.35">
      <c r="C608" s="100" t="str">
        <f>IF(OR(Fact_Control_Operaciones[[#This Row], [Año]]="",Fact_Control_Operaciones[[#This Row], [Mes]]=""),"",DATE(A608,MATCH(B608,{"enero","febrero","marzo","abril","mayo","junio","julio","agosto","septiembre","octubre","noviembre","diciembre"},0)+1,0))</f>
        <v/>
      </c>
      <c r="E608" t="str">
        <f>+IFERROR(VLOOKUP(Fact_Control_Operaciones[[#This Row], [Concepto Anterior]],Conceptos_Control_Operaciones[#All],5,0),"")</f>
        <v/>
      </c>
      <c r="F608" t="str">
        <f>+IFERROR(VLOOKUP(Fact_Control_Operaciones[[#This Row], 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ht="18.75" customHeight="1" x14ac:dyDescent="0.35">
      <c r="C609" s="100" t="str">
        <f>IF(OR(Fact_Control_Operaciones[[#This Row], [Año]]="",Fact_Control_Operaciones[[#This Row], [Mes]]=""),"",DATE(A609,MATCH(B609,{"enero","febrero","marzo","abril","mayo","junio","julio","agosto","septiembre","octubre","noviembre","diciembre"},0)+1,0))</f>
        <v/>
      </c>
      <c r="E609" t="str">
        <f>+IFERROR(VLOOKUP(Fact_Control_Operaciones[[#This Row], [Concepto Anterior]],Conceptos_Control_Operaciones[#All],5,0),"")</f>
        <v/>
      </c>
      <c r="F609" t="str">
        <f>+IFERROR(VLOOKUP(Fact_Control_Operaciones[[#This Row], 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ht="18.75" customHeight="1" x14ac:dyDescent="0.35">
      <c r="C610" s="100" t="str">
        <f>IF(OR(Fact_Control_Operaciones[[#This Row], [Año]]="",Fact_Control_Operaciones[[#This Row], [Mes]]=""),"",DATE(A610,MATCH(B610,{"enero","febrero","marzo","abril","mayo","junio","julio","agosto","septiembre","octubre","noviembre","diciembre"},0)+1,0))</f>
        <v/>
      </c>
      <c r="E610" t="str">
        <f>+IFERROR(VLOOKUP(Fact_Control_Operaciones[[#This Row], [Concepto Anterior]],Conceptos_Control_Operaciones[#All],5,0),"")</f>
        <v/>
      </c>
      <c r="F610" t="str">
        <f>+IFERROR(VLOOKUP(Fact_Control_Operaciones[[#This Row], 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ht="18.75" customHeight="1" x14ac:dyDescent="0.35">
      <c r="C611" s="100" t="str">
        <f>IF(OR(Fact_Control_Operaciones[[#This Row], [Año]]="",Fact_Control_Operaciones[[#This Row], [Mes]]=""),"",DATE(A611,MATCH(B611,{"enero","febrero","marzo","abril","mayo","junio","julio","agosto","septiembre","octubre","noviembre","diciembre"},0)+1,0))</f>
        <v/>
      </c>
      <c r="E611" t="str">
        <f>+IFERROR(VLOOKUP(Fact_Control_Operaciones[[#This Row], [Concepto Anterior]],Conceptos_Control_Operaciones[#All],5,0),"")</f>
        <v/>
      </c>
      <c r="F611" t="str">
        <f>+IFERROR(VLOOKUP(Fact_Control_Operaciones[[#This Row], 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ht="18.75" customHeight="1" x14ac:dyDescent="0.35">
      <c r="C612" s="100" t="str">
        <f>IF(OR(Fact_Control_Operaciones[[#This Row], [Año]]="",Fact_Control_Operaciones[[#This Row], [Mes]]=""),"",DATE(A612,MATCH(B612,{"enero","febrero","marzo","abril","mayo","junio","julio","agosto","septiembre","octubre","noviembre","diciembre"},0)+1,0))</f>
        <v/>
      </c>
      <c r="E612" t="str">
        <f>+IFERROR(VLOOKUP(Fact_Control_Operaciones[[#This Row], [Concepto Anterior]],Conceptos_Control_Operaciones[#All],5,0),"")</f>
        <v/>
      </c>
      <c r="F612" t="str">
        <f>+IFERROR(VLOOKUP(Fact_Control_Operaciones[[#This Row], 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ht="18.75" customHeight="1" x14ac:dyDescent="0.35">
      <c r="C613" s="100" t="str">
        <f>IF(OR(Fact_Control_Operaciones[[#This Row], [Año]]="",Fact_Control_Operaciones[[#This Row], [Mes]]=""),"",DATE(A613,MATCH(B613,{"enero","febrero","marzo","abril","mayo","junio","julio","agosto","septiembre","octubre","noviembre","diciembre"},0)+1,0))</f>
        <v/>
      </c>
      <c r="E613" t="str">
        <f>+IFERROR(VLOOKUP(Fact_Control_Operaciones[[#This Row], [Concepto Anterior]],Conceptos_Control_Operaciones[#All],5,0),"")</f>
        <v/>
      </c>
      <c r="F613" t="str">
        <f>+IFERROR(VLOOKUP(Fact_Control_Operaciones[[#This Row], 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ht="18.75" customHeight="1" x14ac:dyDescent="0.35">
      <c r="C614" s="100" t="str">
        <f>IF(OR(Fact_Control_Operaciones[[#This Row], [Año]]="",Fact_Control_Operaciones[[#This Row], [Mes]]=""),"",DATE(A614,MATCH(B614,{"enero","febrero","marzo","abril","mayo","junio","julio","agosto","septiembre","octubre","noviembre","diciembre"},0)+1,0))</f>
        <v/>
      </c>
      <c r="E614" t="str">
        <f>+IFERROR(VLOOKUP(Fact_Control_Operaciones[[#This Row], [Concepto Anterior]],Conceptos_Control_Operaciones[#All],5,0),"")</f>
        <v/>
      </c>
      <c r="F614" t="str">
        <f>+IFERROR(VLOOKUP(Fact_Control_Operaciones[[#This Row], 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ht="18.75" customHeight="1" x14ac:dyDescent="0.35">
      <c r="C615" s="100" t="str">
        <f>IF(OR(Fact_Control_Operaciones[[#This Row], [Año]]="",Fact_Control_Operaciones[[#This Row], [Mes]]=""),"",DATE(A615,MATCH(B615,{"enero","febrero","marzo","abril","mayo","junio","julio","agosto","septiembre","octubre","noviembre","diciembre"},0)+1,0))</f>
        <v/>
      </c>
      <c r="E615" t="str">
        <f>+IFERROR(VLOOKUP(Fact_Control_Operaciones[[#This Row], [Concepto Anterior]],Conceptos_Control_Operaciones[#All],5,0),"")</f>
        <v/>
      </c>
      <c r="F615" t="str">
        <f>+IFERROR(VLOOKUP(Fact_Control_Operaciones[[#This Row], 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ht="18.75" customHeight="1" x14ac:dyDescent="0.35">
      <c r="C616" s="100" t="str">
        <f>IF(OR(Fact_Control_Operaciones[[#This Row], [Año]]="",Fact_Control_Operaciones[[#This Row], [Mes]]=""),"",DATE(A616,MATCH(B616,{"enero","febrero","marzo","abril","mayo","junio","julio","agosto","septiembre","octubre","noviembre","diciembre"},0)+1,0))</f>
        <v/>
      </c>
      <c r="E616" t="str">
        <f>+IFERROR(VLOOKUP(Fact_Control_Operaciones[[#This Row], [Concepto Anterior]],Conceptos_Control_Operaciones[#All],5,0),"")</f>
        <v/>
      </c>
      <c r="F616" t="str">
        <f>+IFERROR(VLOOKUP(Fact_Control_Operaciones[[#This Row], 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ht="18.75" customHeight="1" x14ac:dyDescent="0.35">
      <c r="C617" s="100" t="str">
        <f>IF(OR(Fact_Control_Operaciones[[#This Row], [Año]]="",Fact_Control_Operaciones[[#This Row], [Mes]]=""),"",DATE(A617,MATCH(B617,{"enero","febrero","marzo","abril","mayo","junio","julio","agosto","septiembre","octubre","noviembre","diciembre"},0)+1,0))</f>
        <v/>
      </c>
      <c r="E617" t="str">
        <f>+IFERROR(VLOOKUP(Fact_Control_Operaciones[[#This Row], [Concepto Anterior]],Conceptos_Control_Operaciones[#All],5,0),"")</f>
        <v/>
      </c>
      <c r="F617" t="str">
        <f>+IFERROR(VLOOKUP(Fact_Control_Operaciones[[#This Row], 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ht="18.75" customHeight="1" x14ac:dyDescent="0.35">
      <c r="C618" s="100" t="str">
        <f>IF(OR(Fact_Control_Operaciones[[#This Row], [Año]]="",Fact_Control_Operaciones[[#This Row], [Mes]]=""),"",DATE(A618,MATCH(B618,{"enero","febrero","marzo","abril","mayo","junio","julio","agosto","septiembre","octubre","noviembre","diciembre"},0)+1,0))</f>
        <v/>
      </c>
      <c r="E618" t="str">
        <f>+IFERROR(VLOOKUP(Fact_Control_Operaciones[[#This Row], [Concepto Anterior]],Conceptos_Control_Operaciones[#All],5,0),"")</f>
        <v/>
      </c>
      <c r="F618" t="str">
        <f>+IFERROR(VLOOKUP(Fact_Control_Operaciones[[#This Row], 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ht="18.75" customHeight="1" x14ac:dyDescent="0.35">
      <c r="C619" s="100" t="str">
        <f>IF(OR(Fact_Control_Operaciones[[#This Row], [Año]]="",Fact_Control_Operaciones[[#This Row], [Mes]]=""),"",DATE(A619,MATCH(B619,{"enero","febrero","marzo","abril","mayo","junio","julio","agosto","septiembre","octubre","noviembre","diciembre"},0)+1,0))</f>
        <v/>
      </c>
      <c r="E619" t="str">
        <f>+IFERROR(VLOOKUP(Fact_Control_Operaciones[[#This Row], [Concepto Anterior]],Conceptos_Control_Operaciones[#All],5,0),"")</f>
        <v/>
      </c>
      <c r="F619" t="str">
        <f>+IFERROR(VLOOKUP(Fact_Control_Operaciones[[#This Row], 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ht="18.75" customHeight="1" x14ac:dyDescent="0.35">
      <c r="C620" s="100" t="str">
        <f>IF(OR(Fact_Control_Operaciones[[#This Row], [Año]]="",Fact_Control_Operaciones[[#This Row], [Mes]]=""),"",DATE(A620,MATCH(B620,{"enero","febrero","marzo","abril","mayo","junio","julio","agosto","septiembre","octubre","noviembre","diciembre"},0)+1,0))</f>
        <v/>
      </c>
      <c r="E620" t="str">
        <f>+IFERROR(VLOOKUP(Fact_Control_Operaciones[[#This Row], [Concepto Anterior]],Conceptos_Control_Operaciones[#All],5,0),"")</f>
        <v/>
      </c>
      <c r="F620" t="str">
        <f>+IFERROR(VLOOKUP(Fact_Control_Operaciones[[#This Row], 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ht="18.75" customHeight="1" x14ac:dyDescent="0.35">
      <c r="C621" s="100" t="str">
        <f>IF(OR(Fact_Control_Operaciones[[#This Row], [Año]]="",Fact_Control_Operaciones[[#This Row], [Mes]]=""),"",DATE(A621,MATCH(B621,{"enero","febrero","marzo","abril","mayo","junio","julio","agosto","septiembre","octubre","noviembre","diciembre"},0)+1,0))</f>
        <v/>
      </c>
      <c r="E621" t="str">
        <f>+IFERROR(VLOOKUP(Fact_Control_Operaciones[[#This Row], [Concepto Anterior]],Conceptos_Control_Operaciones[#All],5,0),"")</f>
        <v/>
      </c>
      <c r="F621" t="str">
        <f>+IFERROR(VLOOKUP(Fact_Control_Operaciones[[#This Row], 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ht="18.75" customHeight="1" x14ac:dyDescent="0.35">
      <c r="C622" s="100" t="str">
        <f>IF(OR(Fact_Control_Operaciones[[#This Row], [Año]]="",Fact_Control_Operaciones[[#This Row], [Mes]]=""),"",DATE(A622,MATCH(B622,{"enero","febrero","marzo","abril","mayo","junio","julio","agosto","septiembre","octubre","noviembre","diciembre"},0)+1,0))</f>
        <v/>
      </c>
      <c r="E622" t="str">
        <f>+IFERROR(VLOOKUP(Fact_Control_Operaciones[[#This Row], [Concepto Anterior]],Conceptos_Control_Operaciones[#All],5,0),"")</f>
        <v/>
      </c>
      <c r="F622" t="str">
        <f>+IFERROR(VLOOKUP(Fact_Control_Operaciones[[#This Row], 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ht="18.75" customHeight="1" x14ac:dyDescent="0.35">
      <c r="C623" s="100" t="str">
        <f>IF(OR(Fact_Control_Operaciones[[#This Row], [Año]]="",Fact_Control_Operaciones[[#This Row], [Mes]]=""),"",DATE(A623,MATCH(B623,{"enero","febrero","marzo","abril","mayo","junio","julio","agosto","septiembre","octubre","noviembre","diciembre"},0)+1,0))</f>
        <v/>
      </c>
      <c r="E623" t="str">
        <f>+IFERROR(VLOOKUP(Fact_Control_Operaciones[[#This Row], [Concepto Anterior]],Conceptos_Control_Operaciones[#All],5,0),"")</f>
        <v/>
      </c>
      <c r="F623" t="str">
        <f>+IFERROR(VLOOKUP(Fact_Control_Operaciones[[#This Row], 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ht="18.75" customHeight="1" x14ac:dyDescent="0.35">
      <c r="C624" s="100" t="str">
        <f>IF(OR(Fact_Control_Operaciones[[#This Row], [Año]]="",Fact_Control_Operaciones[[#This Row], [Mes]]=""),"",DATE(A624,MATCH(B624,{"enero","febrero","marzo","abril","mayo","junio","julio","agosto","septiembre","octubre","noviembre","diciembre"},0)+1,0))</f>
        <v/>
      </c>
      <c r="E624" t="str">
        <f>+IFERROR(VLOOKUP(Fact_Control_Operaciones[[#This Row], [Concepto Anterior]],Conceptos_Control_Operaciones[#All],5,0),"")</f>
        <v/>
      </c>
      <c r="F624" t="str">
        <f>+IFERROR(VLOOKUP(Fact_Control_Operaciones[[#This Row], 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ht="18.75" customHeight="1" x14ac:dyDescent="0.35">
      <c r="C625" s="100" t="str">
        <f>IF(OR(Fact_Control_Operaciones[[#This Row], [Año]]="",Fact_Control_Operaciones[[#This Row], [Mes]]=""),"",DATE(A625,MATCH(B625,{"enero","febrero","marzo","abril","mayo","junio","julio","agosto","septiembre","octubre","noviembre","diciembre"},0)+1,0))</f>
        <v/>
      </c>
      <c r="E625" t="str">
        <f>+IFERROR(VLOOKUP(Fact_Control_Operaciones[[#This Row], [Concepto Anterior]],Conceptos_Control_Operaciones[#All],5,0),"")</f>
        <v/>
      </c>
      <c r="F625" t="str">
        <f>+IFERROR(VLOOKUP(Fact_Control_Operaciones[[#This Row], 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ht="18.75" customHeight="1" x14ac:dyDescent="0.35">
      <c r="C626" s="100" t="str">
        <f>IF(OR(Fact_Control_Operaciones[[#This Row], [Año]]="",Fact_Control_Operaciones[[#This Row], [Mes]]=""),"",DATE(A626,MATCH(B626,{"enero","febrero","marzo","abril","mayo","junio","julio","agosto","septiembre","octubre","noviembre","diciembre"},0)+1,0))</f>
        <v/>
      </c>
      <c r="E626" t="str">
        <f>+IFERROR(VLOOKUP(Fact_Control_Operaciones[[#This Row], [Concepto Anterior]],Conceptos_Control_Operaciones[#All],5,0),"")</f>
        <v/>
      </c>
      <c r="F626" t="str">
        <f>+IFERROR(VLOOKUP(Fact_Control_Operaciones[[#This Row], 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ht="18.75" customHeight="1" x14ac:dyDescent="0.35">
      <c r="C627" s="100" t="str">
        <f>IF(OR(Fact_Control_Operaciones[[#This Row], [Año]]="",Fact_Control_Operaciones[[#This Row], [Mes]]=""),"",DATE(A627,MATCH(B627,{"enero","febrero","marzo","abril","mayo","junio","julio","agosto","septiembre","octubre","noviembre","diciembre"},0)+1,0))</f>
        <v/>
      </c>
      <c r="E627" t="str">
        <f>+IFERROR(VLOOKUP(Fact_Control_Operaciones[[#This Row], [Concepto Anterior]],Conceptos_Control_Operaciones[#All],5,0),"")</f>
        <v/>
      </c>
      <c r="F627" t="str">
        <f>+IFERROR(VLOOKUP(Fact_Control_Operaciones[[#This Row], 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ht="18.75" customHeight="1" x14ac:dyDescent="0.35">
      <c r="C628" s="100" t="str">
        <f>IF(OR(Fact_Control_Operaciones[[#This Row], [Año]]="",Fact_Control_Operaciones[[#This Row], [Mes]]=""),"",DATE(A628,MATCH(B628,{"enero","febrero","marzo","abril","mayo","junio","julio","agosto","septiembre","octubre","noviembre","diciembre"},0)+1,0))</f>
        <v/>
      </c>
      <c r="E628" t="str">
        <f>+IFERROR(VLOOKUP(Fact_Control_Operaciones[[#This Row], [Concepto Anterior]],Conceptos_Control_Operaciones[#All],5,0),"")</f>
        <v/>
      </c>
      <c r="F628" t="str">
        <f>+IFERROR(VLOOKUP(Fact_Control_Operaciones[[#This Row], 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ht="18.75" customHeight="1" x14ac:dyDescent="0.35">
      <c r="C629" s="100" t="str">
        <f>IF(OR(Fact_Control_Operaciones[[#This Row], [Año]]="",Fact_Control_Operaciones[[#This Row], [Mes]]=""),"",DATE(A629,MATCH(B629,{"enero","febrero","marzo","abril","mayo","junio","julio","agosto","septiembre","octubre","noviembre","diciembre"},0)+1,0))</f>
        <v/>
      </c>
      <c r="E629" t="str">
        <f>+IFERROR(VLOOKUP(Fact_Control_Operaciones[[#This Row], [Concepto Anterior]],Conceptos_Control_Operaciones[#All],5,0),"")</f>
        <v/>
      </c>
      <c r="F629" t="str">
        <f>+IFERROR(VLOOKUP(Fact_Control_Operaciones[[#This Row], 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ht="18.75" customHeight="1" x14ac:dyDescent="0.35">
      <c r="C630" s="100" t="str">
        <f>IF(OR(Fact_Control_Operaciones[[#This Row], [Año]]="",Fact_Control_Operaciones[[#This Row], [Mes]]=""),"",DATE(A630,MATCH(B630,{"enero","febrero","marzo","abril","mayo","junio","julio","agosto","septiembre","octubre","noviembre","diciembre"},0)+1,0))</f>
        <v/>
      </c>
      <c r="E630" t="str">
        <f>+IFERROR(VLOOKUP(Fact_Control_Operaciones[[#This Row], [Concepto Anterior]],Conceptos_Control_Operaciones[#All],5,0),"")</f>
        <v/>
      </c>
      <c r="F630" t="str">
        <f>+IFERROR(VLOOKUP(Fact_Control_Operaciones[[#This Row], 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ht="18.75" customHeight="1" x14ac:dyDescent="0.35">
      <c r="C631" s="100" t="str">
        <f>IF(OR(Fact_Control_Operaciones[[#This Row], [Año]]="",Fact_Control_Operaciones[[#This Row], [Mes]]=""),"",DATE(A631,MATCH(B631,{"enero","febrero","marzo","abril","mayo","junio","julio","agosto","septiembre","octubre","noviembre","diciembre"},0)+1,0))</f>
        <v/>
      </c>
      <c r="E631" t="str">
        <f>+IFERROR(VLOOKUP(Fact_Control_Operaciones[[#This Row], [Concepto Anterior]],Conceptos_Control_Operaciones[#All],5,0),"")</f>
        <v/>
      </c>
      <c r="F631" t="str">
        <f>+IFERROR(VLOOKUP(Fact_Control_Operaciones[[#This Row], 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ht="18.75" customHeight="1" x14ac:dyDescent="0.35">
      <c r="C632" s="100" t="str">
        <f>IF(OR(Fact_Control_Operaciones[[#This Row], [Año]]="",Fact_Control_Operaciones[[#This Row], [Mes]]=""),"",DATE(A632,MATCH(B632,{"enero","febrero","marzo","abril","mayo","junio","julio","agosto","septiembre","octubre","noviembre","diciembre"},0)+1,0))</f>
        <v/>
      </c>
      <c r="E632" t="str">
        <f>+IFERROR(VLOOKUP(Fact_Control_Operaciones[[#This Row], [Concepto Anterior]],Conceptos_Control_Operaciones[#All],5,0),"")</f>
        <v/>
      </c>
      <c r="F632" t="str">
        <f>+IFERROR(VLOOKUP(Fact_Control_Operaciones[[#This Row], 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ht="18.75" customHeight="1" x14ac:dyDescent="0.35">
      <c r="C633" s="100" t="str">
        <f>IF(OR(Fact_Control_Operaciones[[#This Row], [Año]]="",Fact_Control_Operaciones[[#This Row], [Mes]]=""),"",DATE(A633,MATCH(B633,{"enero","febrero","marzo","abril","mayo","junio","julio","agosto","septiembre","octubre","noviembre","diciembre"},0)+1,0))</f>
        <v/>
      </c>
      <c r="E633" t="str">
        <f>+IFERROR(VLOOKUP(Fact_Control_Operaciones[[#This Row], [Concepto Anterior]],Conceptos_Control_Operaciones[#All],5,0),"")</f>
        <v/>
      </c>
      <c r="F633" t="str">
        <f>+IFERROR(VLOOKUP(Fact_Control_Operaciones[[#This Row], 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ht="18.75" customHeight="1" x14ac:dyDescent="0.35">
      <c r="C634" s="100" t="str">
        <f>IF(OR(Fact_Control_Operaciones[[#This Row], [Año]]="",Fact_Control_Operaciones[[#This Row], [Mes]]=""),"",DATE(A634,MATCH(B634,{"enero","febrero","marzo","abril","mayo","junio","julio","agosto","septiembre","octubre","noviembre","diciembre"},0)+1,0))</f>
        <v/>
      </c>
      <c r="E634" t="str">
        <f>+IFERROR(VLOOKUP(Fact_Control_Operaciones[[#This Row], [Concepto Anterior]],Conceptos_Control_Operaciones[#All],5,0),"")</f>
        <v/>
      </c>
      <c r="F634" t="str">
        <f>+IFERROR(VLOOKUP(Fact_Control_Operaciones[[#This Row], 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ht="18.75" customHeight="1" x14ac:dyDescent="0.35">
      <c r="C635" s="100" t="str">
        <f>IF(OR(Fact_Control_Operaciones[[#This Row], [Año]]="",Fact_Control_Operaciones[[#This Row], [Mes]]=""),"",DATE(A635,MATCH(B635,{"enero","febrero","marzo","abril","mayo","junio","julio","agosto","septiembre","octubre","noviembre","diciembre"},0)+1,0))</f>
        <v/>
      </c>
      <c r="E635" t="str">
        <f>+IFERROR(VLOOKUP(Fact_Control_Operaciones[[#This Row], [Concepto Anterior]],Conceptos_Control_Operaciones[#All],5,0),"")</f>
        <v/>
      </c>
      <c r="F635" t="str">
        <f>+IFERROR(VLOOKUP(Fact_Control_Operaciones[[#This Row], 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ht="18.75" customHeight="1" x14ac:dyDescent="0.35">
      <c r="C636" s="100" t="str">
        <f>IF(OR(Fact_Control_Operaciones[[#This Row], [Año]]="",Fact_Control_Operaciones[[#This Row], [Mes]]=""),"",DATE(A636,MATCH(B636,{"enero","febrero","marzo","abril","mayo","junio","julio","agosto","septiembre","octubre","noviembre","diciembre"},0)+1,0))</f>
        <v/>
      </c>
      <c r="E636" t="str">
        <f>+IFERROR(VLOOKUP(Fact_Control_Operaciones[[#This Row], [Concepto Anterior]],Conceptos_Control_Operaciones[#All],5,0),"")</f>
        <v/>
      </c>
      <c r="F636" t="str">
        <f>+IFERROR(VLOOKUP(Fact_Control_Operaciones[[#This Row], 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ht="18.75" customHeight="1" x14ac:dyDescent="0.35">
      <c r="C637" s="100" t="str">
        <f>IF(OR(Fact_Control_Operaciones[[#This Row], [Año]]="",Fact_Control_Operaciones[[#This Row], [Mes]]=""),"",DATE(A637,MATCH(B637,{"enero","febrero","marzo","abril","mayo","junio","julio","agosto","septiembre","octubre","noviembre","diciembre"},0)+1,0))</f>
        <v/>
      </c>
      <c r="E637" t="str">
        <f>+IFERROR(VLOOKUP(Fact_Control_Operaciones[[#This Row], [Concepto Anterior]],Conceptos_Control_Operaciones[#All],5,0),"")</f>
        <v/>
      </c>
      <c r="F637" t="str">
        <f>+IFERROR(VLOOKUP(Fact_Control_Operaciones[[#This Row], 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ht="18.75" customHeight="1" x14ac:dyDescent="0.35">
      <c r="C638" s="100" t="str">
        <f>IF(OR(Fact_Control_Operaciones[[#This Row], [Año]]="",Fact_Control_Operaciones[[#This Row], [Mes]]=""),"",DATE(A638,MATCH(B638,{"enero","febrero","marzo","abril","mayo","junio","julio","agosto","septiembre","octubre","noviembre","diciembre"},0)+1,0))</f>
        <v/>
      </c>
      <c r="E638" t="str">
        <f>+IFERROR(VLOOKUP(Fact_Control_Operaciones[[#This Row], [Concepto Anterior]],Conceptos_Control_Operaciones[#All],5,0),"")</f>
        <v/>
      </c>
      <c r="F638" t="str">
        <f>+IFERROR(VLOOKUP(Fact_Control_Operaciones[[#This Row], 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ht="18.75" customHeight="1" x14ac:dyDescent="0.35">
      <c r="C639" s="100" t="str">
        <f>IF(OR(Fact_Control_Operaciones[[#This Row], [Año]]="",Fact_Control_Operaciones[[#This Row], [Mes]]=""),"",DATE(A639,MATCH(B639,{"enero","febrero","marzo","abril","mayo","junio","julio","agosto","septiembre","octubre","noviembre","diciembre"},0)+1,0))</f>
        <v/>
      </c>
      <c r="E639" t="str">
        <f>+IFERROR(VLOOKUP(Fact_Control_Operaciones[[#This Row], [Concepto Anterior]],Conceptos_Control_Operaciones[#All],5,0),"")</f>
        <v/>
      </c>
      <c r="F639" t="str">
        <f>+IFERROR(VLOOKUP(Fact_Control_Operaciones[[#This Row], 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ht="18.75" customHeight="1" x14ac:dyDescent="0.35">
      <c r="C640" s="100" t="str">
        <f>IF(OR(Fact_Control_Operaciones[[#This Row], [Año]]="",Fact_Control_Operaciones[[#This Row], [Mes]]=""),"",DATE(A640,MATCH(B640,{"enero","febrero","marzo","abril","mayo","junio","julio","agosto","septiembre","octubre","noviembre","diciembre"},0)+1,0))</f>
        <v/>
      </c>
      <c r="E640" t="str">
        <f>+IFERROR(VLOOKUP(Fact_Control_Operaciones[[#This Row], [Concepto Anterior]],Conceptos_Control_Operaciones[#All],5,0),"")</f>
        <v/>
      </c>
      <c r="F640" t="str">
        <f>+IFERROR(VLOOKUP(Fact_Control_Operaciones[[#This Row], 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ht="18.75" customHeight="1" x14ac:dyDescent="0.35">
      <c r="C641" s="100" t="str">
        <f>IF(OR(Fact_Control_Operaciones[[#This Row], [Año]]="",Fact_Control_Operaciones[[#This Row], [Mes]]=""),"",DATE(A641,MATCH(B641,{"enero","febrero","marzo","abril","mayo","junio","julio","agosto","septiembre","octubre","noviembre","diciembre"},0)+1,0))</f>
        <v/>
      </c>
      <c r="E641" t="str">
        <f>+IFERROR(VLOOKUP(Fact_Control_Operaciones[[#This Row], [Concepto Anterior]],Conceptos_Control_Operaciones[#All],5,0),"")</f>
        <v/>
      </c>
      <c r="F641" t="str">
        <f>+IFERROR(VLOOKUP(Fact_Control_Operaciones[[#This Row], 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ht="18.75" customHeight="1" x14ac:dyDescent="0.35">
      <c r="C642" s="100" t="str">
        <f>IF(OR(Fact_Control_Operaciones[[#This Row], [Año]]="",Fact_Control_Operaciones[[#This Row], [Mes]]=""),"",DATE(A642,MATCH(B642,{"enero","febrero","marzo","abril","mayo","junio","julio","agosto","septiembre","octubre","noviembre","diciembre"},0)+1,0))</f>
        <v/>
      </c>
      <c r="E642" t="str">
        <f>+IFERROR(VLOOKUP(Fact_Control_Operaciones[[#This Row], [Concepto Anterior]],Conceptos_Control_Operaciones[#All],5,0),"")</f>
        <v/>
      </c>
      <c r="F642" t="str">
        <f>+IFERROR(VLOOKUP(Fact_Control_Operaciones[[#This Row], 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ht="18.75" customHeight="1" x14ac:dyDescent="0.35">
      <c r="C643" s="100" t="str">
        <f>IF(OR(Fact_Control_Operaciones[[#This Row], [Año]]="",Fact_Control_Operaciones[[#This Row], [Mes]]=""),"",DATE(A643,MATCH(B643,{"enero","febrero","marzo","abril","mayo","junio","julio","agosto","septiembre","octubre","noviembre","diciembre"},0)+1,0))</f>
        <v/>
      </c>
      <c r="E643" t="str">
        <f>+IFERROR(VLOOKUP(Fact_Control_Operaciones[[#This Row], [Concepto Anterior]],Conceptos_Control_Operaciones[#All],5,0),"")</f>
        <v/>
      </c>
      <c r="F643" t="str">
        <f>+IFERROR(VLOOKUP(Fact_Control_Operaciones[[#This Row], 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ht="18.75" customHeight="1" x14ac:dyDescent="0.35">
      <c r="C644" s="100" t="str">
        <f>IF(OR(Fact_Control_Operaciones[[#This Row], [Año]]="",Fact_Control_Operaciones[[#This Row], [Mes]]=""),"",DATE(A644,MATCH(B644,{"enero","febrero","marzo","abril","mayo","junio","julio","agosto","septiembre","octubre","noviembre","diciembre"},0)+1,0))</f>
        <v/>
      </c>
      <c r="E644" t="str">
        <f>+IFERROR(VLOOKUP(Fact_Control_Operaciones[[#This Row], [Concepto Anterior]],Conceptos_Control_Operaciones[#All],5,0),"")</f>
        <v/>
      </c>
      <c r="F644" t="str">
        <f>+IFERROR(VLOOKUP(Fact_Control_Operaciones[[#This Row], 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ht="18.75" customHeight="1" x14ac:dyDescent="0.35">
      <c r="C645" s="100" t="str">
        <f>IF(OR(Fact_Control_Operaciones[[#This Row], [Año]]="",Fact_Control_Operaciones[[#This Row], [Mes]]=""),"",DATE(A645,MATCH(B645,{"enero","febrero","marzo","abril","mayo","junio","julio","agosto","septiembre","octubre","noviembre","diciembre"},0)+1,0))</f>
        <v/>
      </c>
      <c r="E645" t="str">
        <f>+IFERROR(VLOOKUP(Fact_Control_Operaciones[[#This Row], [Concepto Anterior]],Conceptos_Control_Operaciones[#All],5,0),"")</f>
        <v/>
      </c>
      <c r="F645" t="str">
        <f>+IFERROR(VLOOKUP(Fact_Control_Operaciones[[#This Row], 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ht="18.75" customHeight="1" x14ac:dyDescent="0.35">
      <c r="C646" s="100" t="str">
        <f>IF(OR(Fact_Control_Operaciones[[#This Row], [Año]]="",Fact_Control_Operaciones[[#This Row], [Mes]]=""),"",DATE(A646,MATCH(B646,{"enero","febrero","marzo","abril","mayo","junio","julio","agosto","septiembre","octubre","noviembre","diciembre"},0)+1,0))</f>
        <v/>
      </c>
      <c r="E646" t="str">
        <f>+IFERROR(VLOOKUP(Fact_Control_Operaciones[[#This Row], [Concepto Anterior]],Conceptos_Control_Operaciones[#All],5,0),"")</f>
        <v/>
      </c>
      <c r="F646" t="str">
        <f>+IFERROR(VLOOKUP(Fact_Control_Operaciones[[#This Row], 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ht="18.75" customHeight="1" x14ac:dyDescent="0.35">
      <c r="C647" s="100" t="str">
        <f>IF(OR(Fact_Control_Operaciones[[#This Row], [Año]]="",Fact_Control_Operaciones[[#This Row], [Mes]]=""),"",DATE(A647,MATCH(B647,{"enero","febrero","marzo","abril","mayo","junio","julio","agosto","septiembre","octubre","noviembre","diciembre"},0)+1,0))</f>
        <v/>
      </c>
      <c r="E647" t="str">
        <f>+IFERROR(VLOOKUP(Fact_Control_Operaciones[[#This Row], [Concepto Anterior]],Conceptos_Control_Operaciones[#All],5,0),"")</f>
        <v/>
      </c>
      <c r="F647" t="str">
        <f>+IFERROR(VLOOKUP(Fact_Control_Operaciones[[#This Row], 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ht="18.75" customHeight="1" x14ac:dyDescent="0.35">
      <c r="C648" s="100" t="str">
        <f>IF(OR(Fact_Control_Operaciones[[#This Row], [Año]]="",Fact_Control_Operaciones[[#This Row], [Mes]]=""),"",DATE(A648,MATCH(B648,{"enero","febrero","marzo","abril","mayo","junio","julio","agosto","septiembre","octubre","noviembre","diciembre"},0)+1,0))</f>
        <v/>
      </c>
      <c r="E648" t="str">
        <f>+IFERROR(VLOOKUP(Fact_Control_Operaciones[[#This Row], [Concepto Anterior]],Conceptos_Control_Operaciones[#All],5,0),"")</f>
        <v/>
      </c>
      <c r="F648" t="str">
        <f>+IFERROR(VLOOKUP(Fact_Control_Operaciones[[#This Row], 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ht="18.75" customHeight="1" x14ac:dyDescent="0.35">
      <c r="C649" s="100" t="str">
        <f>IF(OR(Fact_Control_Operaciones[[#This Row], [Año]]="",Fact_Control_Operaciones[[#This Row], [Mes]]=""),"",DATE(A649,MATCH(B649,{"enero","febrero","marzo","abril","mayo","junio","julio","agosto","septiembre","octubre","noviembre","diciembre"},0)+1,0))</f>
        <v/>
      </c>
      <c r="E649" t="str">
        <f>+IFERROR(VLOOKUP(Fact_Control_Operaciones[[#This Row], [Concepto Anterior]],Conceptos_Control_Operaciones[#All],5,0),"")</f>
        <v/>
      </c>
      <c r="F649" t="str">
        <f>+IFERROR(VLOOKUP(Fact_Control_Operaciones[[#This Row], 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ht="18.75" customHeight="1" x14ac:dyDescent="0.35">
      <c r="C650" s="100" t="str">
        <f>IF(OR(Fact_Control_Operaciones[[#This Row], [Año]]="",Fact_Control_Operaciones[[#This Row], [Mes]]=""),"",DATE(A650,MATCH(B650,{"enero","febrero","marzo","abril","mayo","junio","julio","agosto","septiembre","octubre","noviembre","diciembre"},0)+1,0))</f>
        <v/>
      </c>
      <c r="E650" t="str">
        <f>+IFERROR(VLOOKUP(Fact_Control_Operaciones[[#This Row], [Concepto Anterior]],Conceptos_Control_Operaciones[#All],5,0),"")</f>
        <v/>
      </c>
      <c r="F650" t="str">
        <f>+IFERROR(VLOOKUP(Fact_Control_Operaciones[[#This Row], 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ht="18.75" customHeight="1" x14ac:dyDescent="0.35">
      <c r="C651" s="100" t="str">
        <f>IF(OR(Fact_Control_Operaciones[[#This Row], [Año]]="",Fact_Control_Operaciones[[#This Row], [Mes]]=""),"",DATE(A651,MATCH(B651,{"enero","febrero","marzo","abril","mayo","junio","julio","agosto","septiembre","octubre","noviembre","diciembre"},0)+1,0))</f>
        <v/>
      </c>
      <c r="E651" t="str">
        <f>+IFERROR(VLOOKUP(Fact_Control_Operaciones[[#This Row], [Concepto Anterior]],Conceptos_Control_Operaciones[#All],5,0),"")</f>
        <v/>
      </c>
      <c r="F651" t="str">
        <f>+IFERROR(VLOOKUP(Fact_Control_Operaciones[[#This Row], 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ht="18.75" customHeight="1" x14ac:dyDescent="0.35">
      <c r="C652" s="100" t="str">
        <f>IF(OR(Fact_Control_Operaciones[[#This Row], [Año]]="",Fact_Control_Operaciones[[#This Row], [Mes]]=""),"",DATE(A652,MATCH(B652,{"enero","febrero","marzo","abril","mayo","junio","julio","agosto","septiembre","octubre","noviembre","diciembre"},0)+1,0))</f>
        <v/>
      </c>
      <c r="E652" t="str">
        <f>+IFERROR(VLOOKUP(Fact_Control_Operaciones[[#This Row], [Concepto Anterior]],Conceptos_Control_Operaciones[#All],5,0),"")</f>
        <v/>
      </c>
      <c r="F652" t="str">
        <f>+IFERROR(VLOOKUP(Fact_Control_Operaciones[[#This Row], 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ht="18.75" customHeight="1" x14ac:dyDescent="0.35">
      <c r="C653" s="100" t="str">
        <f>IF(OR(Fact_Control_Operaciones[[#This Row], [Año]]="",Fact_Control_Operaciones[[#This Row], [Mes]]=""),"",DATE(A653,MATCH(B653,{"enero","febrero","marzo","abril","mayo","junio","julio","agosto","septiembre","octubre","noviembre","diciembre"},0)+1,0))</f>
        <v/>
      </c>
      <c r="E653" t="str">
        <f>+IFERROR(VLOOKUP(Fact_Control_Operaciones[[#This Row], [Concepto Anterior]],Conceptos_Control_Operaciones[#All],5,0),"")</f>
        <v/>
      </c>
      <c r="F653" t="str">
        <f>+IFERROR(VLOOKUP(Fact_Control_Operaciones[[#This Row], 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ht="18.75" customHeight="1" x14ac:dyDescent="0.35">
      <c r="C654" s="100" t="str">
        <f>IF(OR(Fact_Control_Operaciones[[#This Row], [Año]]="",Fact_Control_Operaciones[[#This Row], [Mes]]=""),"",DATE(A654,MATCH(B654,{"enero","febrero","marzo","abril","mayo","junio","julio","agosto","septiembre","octubre","noviembre","diciembre"},0)+1,0))</f>
        <v/>
      </c>
      <c r="E654" t="str">
        <f>+IFERROR(VLOOKUP(Fact_Control_Operaciones[[#This Row], [Concepto Anterior]],Conceptos_Control_Operaciones[#All],5,0),"")</f>
        <v/>
      </c>
      <c r="F654" t="str">
        <f>+IFERROR(VLOOKUP(Fact_Control_Operaciones[[#This Row], 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ht="18.75" customHeight="1" x14ac:dyDescent="0.35">
      <c r="C655" s="100" t="str">
        <f>IF(OR(Fact_Control_Operaciones[[#This Row], [Año]]="",Fact_Control_Operaciones[[#This Row], [Mes]]=""),"",DATE(A655,MATCH(B655,{"enero","febrero","marzo","abril","mayo","junio","julio","agosto","septiembre","octubre","noviembre","diciembre"},0)+1,0))</f>
        <v/>
      </c>
      <c r="E655" t="str">
        <f>+IFERROR(VLOOKUP(Fact_Control_Operaciones[[#This Row], [Concepto Anterior]],Conceptos_Control_Operaciones[#All],5,0),"")</f>
        <v/>
      </c>
      <c r="F655" t="str">
        <f>+IFERROR(VLOOKUP(Fact_Control_Operaciones[[#This Row], 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ht="18.75" customHeight="1" x14ac:dyDescent="0.35">
      <c r="C656" s="100" t="str">
        <f>IF(OR(Fact_Control_Operaciones[[#This Row], [Año]]="",Fact_Control_Operaciones[[#This Row], [Mes]]=""),"",DATE(A656,MATCH(B656,{"enero","febrero","marzo","abril","mayo","junio","julio","agosto","septiembre","octubre","noviembre","diciembre"},0)+1,0))</f>
        <v/>
      </c>
      <c r="E656" t="str">
        <f>+IFERROR(VLOOKUP(Fact_Control_Operaciones[[#This Row], [Concepto Anterior]],Conceptos_Control_Operaciones[#All],5,0),"")</f>
        <v/>
      </c>
      <c r="F656" t="str">
        <f>+IFERROR(VLOOKUP(Fact_Control_Operaciones[[#This Row], 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ht="18.75" customHeight="1" x14ac:dyDescent="0.35">
      <c r="C657" s="100" t="str">
        <f>IF(OR(Fact_Control_Operaciones[[#This Row], [Año]]="",Fact_Control_Operaciones[[#This Row], [Mes]]=""),"",DATE(A657,MATCH(B657,{"enero","febrero","marzo","abril","mayo","junio","julio","agosto","septiembre","octubre","noviembre","diciembre"},0)+1,0))</f>
        <v/>
      </c>
      <c r="E657" t="str">
        <f>+IFERROR(VLOOKUP(Fact_Control_Operaciones[[#This Row], [Concepto Anterior]],Conceptos_Control_Operaciones[#All],5,0),"")</f>
        <v/>
      </c>
      <c r="F657" t="str">
        <f>+IFERROR(VLOOKUP(Fact_Control_Operaciones[[#This Row], 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ht="18.75" customHeight="1" x14ac:dyDescent="0.35">
      <c r="C658" s="100" t="str">
        <f>IF(OR(Fact_Control_Operaciones[[#This Row], [Año]]="",Fact_Control_Operaciones[[#This Row], [Mes]]=""),"",DATE(A658,MATCH(B658,{"enero","febrero","marzo","abril","mayo","junio","julio","agosto","septiembre","octubre","noviembre","diciembre"},0)+1,0))</f>
        <v/>
      </c>
      <c r="E658" t="str">
        <f>+IFERROR(VLOOKUP(Fact_Control_Operaciones[[#This Row], [Concepto Anterior]],Conceptos_Control_Operaciones[#All],5,0),"")</f>
        <v/>
      </c>
      <c r="F658" t="str">
        <f>+IFERROR(VLOOKUP(Fact_Control_Operaciones[[#This Row], 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ht="18.75" customHeight="1" x14ac:dyDescent="0.35">
      <c r="C659" s="100" t="str">
        <f>IF(OR(Fact_Control_Operaciones[[#This Row], [Año]]="",Fact_Control_Operaciones[[#This Row], [Mes]]=""),"",DATE(A659,MATCH(B659,{"enero","febrero","marzo","abril","mayo","junio","julio","agosto","septiembre","octubre","noviembre","diciembre"},0)+1,0))</f>
        <v/>
      </c>
      <c r="E659" t="str">
        <f>+IFERROR(VLOOKUP(Fact_Control_Operaciones[[#This Row], [Concepto Anterior]],Conceptos_Control_Operaciones[#All],5,0),"")</f>
        <v/>
      </c>
      <c r="F659" t="str">
        <f>+IFERROR(VLOOKUP(Fact_Control_Operaciones[[#This Row], 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ht="18.75" customHeight="1" x14ac:dyDescent="0.35">
      <c r="C660" s="100" t="str">
        <f>IF(OR(Fact_Control_Operaciones[[#This Row], [Año]]="",Fact_Control_Operaciones[[#This Row], [Mes]]=""),"",DATE(A660,MATCH(B660,{"enero","febrero","marzo","abril","mayo","junio","julio","agosto","septiembre","octubre","noviembre","diciembre"},0)+1,0))</f>
        <v/>
      </c>
      <c r="E660" t="str">
        <f>+IFERROR(VLOOKUP(Fact_Control_Operaciones[[#This Row], [Concepto Anterior]],Conceptos_Control_Operaciones[#All],5,0),"")</f>
        <v/>
      </c>
      <c r="F660" t="str">
        <f>+IFERROR(VLOOKUP(Fact_Control_Operaciones[[#This Row], 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ht="18.75" customHeight="1" x14ac:dyDescent="0.35">
      <c r="C661" s="100" t="str">
        <f>IF(OR(Fact_Control_Operaciones[[#This Row], [Año]]="",Fact_Control_Operaciones[[#This Row], [Mes]]=""),"",DATE(A661,MATCH(B661,{"enero","febrero","marzo","abril","mayo","junio","julio","agosto","septiembre","octubre","noviembre","diciembre"},0)+1,0))</f>
        <v/>
      </c>
      <c r="E661" t="str">
        <f>+IFERROR(VLOOKUP(Fact_Control_Operaciones[[#This Row], [Concepto Anterior]],Conceptos_Control_Operaciones[#All],5,0),"")</f>
        <v/>
      </c>
      <c r="F661" t="str">
        <f>+IFERROR(VLOOKUP(Fact_Control_Operaciones[[#This Row], 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ht="18.75" customHeight="1" x14ac:dyDescent="0.35">
      <c r="C662" s="100" t="str">
        <f>IF(OR(Fact_Control_Operaciones[[#This Row], [Año]]="",Fact_Control_Operaciones[[#This Row], [Mes]]=""),"",DATE(A662,MATCH(B662,{"enero","febrero","marzo","abril","mayo","junio","julio","agosto","septiembre","octubre","noviembre","diciembre"},0)+1,0))</f>
        <v/>
      </c>
      <c r="E662" t="str">
        <f>+IFERROR(VLOOKUP(Fact_Control_Operaciones[[#This Row], [Concepto Anterior]],Conceptos_Control_Operaciones[#All],5,0),"")</f>
        <v/>
      </c>
      <c r="F662" t="str">
        <f>+IFERROR(VLOOKUP(Fact_Control_Operaciones[[#This Row], 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ht="18.75" customHeight="1" x14ac:dyDescent="0.35">
      <c r="C663" s="100" t="str">
        <f>IF(OR(Fact_Control_Operaciones[[#This Row], [Año]]="",Fact_Control_Operaciones[[#This Row], [Mes]]=""),"",DATE(A663,MATCH(B663,{"enero","febrero","marzo","abril","mayo","junio","julio","agosto","septiembre","octubre","noviembre","diciembre"},0)+1,0))</f>
        <v/>
      </c>
      <c r="E663" t="str">
        <f>+IFERROR(VLOOKUP(Fact_Control_Operaciones[[#This Row], [Concepto Anterior]],Conceptos_Control_Operaciones[#All],5,0),"")</f>
        <v/>
      </c>
      <c r="F663" t="str">
        <f>+IFERROR(VLOOKUP(Fact_Control_Operaciones[[#This Row], 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ht="18.75" customHeight="1" x14ac:dyDescent="0.35">
      <c r="C664" s="100" t="str">
        <f>IF(OR(Fact_Control_Operaciones[[#This Row], [Año]]="",Fact_Control_Operaciones[[#This Row], [Mes]]=""),"",DATE(A664,MATCH(B664,{"enero","febrero","marzo","abril","mayo","junio","julio","agosto","septiembre","octubre","noviembre","diciembre"},0)+1,0))</f>
        <v/>
      </c>
      <c r="E664" t="str">
        <f>+IFERROR(VLOOKUP(Fact_Control_Operaciones[[#This Row], [Concepto Anterior]],Conceptos_Control_Operaciones[#All],5,0),"")</f>
        <v/>
      </c>
      <c r="F664" t="str">
        <f>+IFERROR(VLOOKUP(Fact_Control_Operaciones[[#This Row], 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ht="18.75" customHeight="1" x14ac:dyDescent="0.35">
      <c r="C665" s="100" t="str">
        <f>IF(OR(Fact_Control_Operaciones[[#This Row], [Año]]="",Fact_Control_Operaciones[[#This Row], [Mes]]=""),"",DATE(A665,MATCH(B665,{"enero","febrero","marzo","abril","mayo","junio","julio","agosto","septiembre","octubre","noviembre","diciembre"},0)+1,0))</f>
        <v/>
      </c>
      <c r="E665" t="str">
        <f>+IFERROR(VLOOKUP(Fact_Control_Operaciones[[#This Row], [Concepto Anterior]],Conceptos_Control_Operaciones[#All],5,0),"")</f>
        <v/>
      </c>
      <c r="F665" t="str">
        <f>+IFERROR(VLOOKUP(Fact_Control_Operaciones[[#This Row], 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ht="18.75" customHeight="1" x14ac:dyDescent="0.35">
      <c r="C666" s="100" t="str">
        <f>IF(OR(Fact_Control_Operaciones[[#This Row], [Año]]="",Fact_Control_Operaciones[[#This Row], [Mes]]=""),"",DATE(A666,MATCH(B666,{"enero","febrero","marzo","abril","mayo","junio","julio","agosto","septiembre","octubre","noviembre","diciembre"},0)+1,0))</f>
        <v/>
      </c>
      <c r="E666" t="str">
        <f>+IFERROR(VLOOKUP(Fact_Control_Operaciones[[#This Row], [Concepto Anterior]],Conceptos_Control_Operaciones[#All],5,0),"")</f>
        <v/>
      </c>
      <c r="F666" t="str">
        <f>+IFERROR(VLOOKUP(Fact_Control_Operaciones[[#This Row], 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ht="18.75" customHeight="1" x14ac:dyDescent="0.35">
      <c r="C667" s="100" t="str">
        <f>IF(OR(Fact_Control_Operaciones[[#This Row], [Año]]="",Fact_Control_Operaciones[[#This Row], [Mes]]=""),"",DATE(A667,MATCH(B667,{"enero","febrero","marzo","abril","mayo","junio","julio","agosto","septiembre","octubre","noviembre","diciembre"},0)+1,0))</f>
        <v/>
      </c>
      <c r="E667" t="str">
        <f>+IFERROR(VLOOKUP(Fact_Control_Operaciones[[#This Row], [Concepto Anterior]],Conceptos_Control_Operaciones[#All],5,0),"")</f>
        <v/>
      </c>
      <c r="F667" t="str">
        <f>+IFERROR(VLOOKUP(Fact_Control_Operaciones[[#This Row], 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ht="18.75" customHeight="1" x14ac:dyDescent="0.35">
      <c r="C668" s="100" t="str">
        <f>IF(OR(Fact_Control_Operaciones[[#This Row], [Año]]="",Fact_Control_Operaciones[[#This Row], [Mes]]=""),"",DATE(A668,MATCH(B668,{"enero","febrero","marzo","abril","mayo","junio","julio","agosto","septiembre","octubre","noviembre","diciembre"},0)+1,0))</f>
        <v/>
      </c>
      <c r="E668" t="str">
        <f>+IFERROR(VLOOKUP(Fact_Control_Operaciones[[#This Row], [Concepto Anterior]],Conceptos_Control_Operaciones[#All],5,0),"")</f>
        <v/>
      </c>
      <c r="F668" t="str">
        <f>+IFERROR(VLOOKUP(Fact_Control_Operaciones[[#This Row], 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ht="18.75" customHeight="1" x14ac:dyDescent="0.35">
      <c r="C669" s="100" t="str">
        <f>IF(OR(Fact_Control_Operaciones[[#This Row], [Año]]="",Fact_Control_Operaciones[[#This Row], [Mes]]=""),"",DATE(A669,MATCH(B669,{"enero","febrero","marzo","abril","mayo","junio","julio","agosto","septiembre","octubre","noviembre","diciembre"},0)+1,0))</f>
        <v/>
      </c>
      <c r="E669" t="str">
        <f>+IFERROR(VLOOKUP(Fact_Control_Operaciones[[#This Row], [Concepto Anterior]],Conceptos_Control_Operaciones[#All],5,0),"")</f>
        <v/>
      </c>
      <c r="F669" t="str">
        <f>+IFERROR(VLOOKUP(Fact_Control_Operaciones[[#This Row], 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ht="18.75" customHeight="1" x14ac:dyDescent="0.35">
      <c r="C670" s="100" t="str">
        <f>IF(OR(Fact_Control_Operaciones[[#This Row], [Año]]="",Fact_Control_Operaciones[[#This Row], [Mes]]=""),"",DATE(A670,MATCH(B670,{"enero","febrero","marzo","abril","mayo","junio","julio","agosto","septiembre","octubre","noviembre","diciembre"},0)+1,0))</f>
        <v/>
      </c>
      <c r="E670" t="str">
        <f>+IFERROR(VLOOKUP(Fact_Control_Operaciones[[#This Row], [Concepto Anterior]],Conceptos_Control_Operaciones[#All],5,0),"")</f>
        <v/>
      </c>
      <c r="F670" t="str">
        <f>+IFERROR(VLOOKUP(Fact_Control_Operaciones[[#This Row], 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ht="18.75" customHeight="1" x14ac:dyDescent="0.35">
      <c r="C671" s="100" t="str">
        <f>IF(OR(Fact_Control_Operaciones[[#This Row], [Año]]="",Fact_Control_Operaciones[[#This Row], [Mes]]=""),"",DATE(A671,MATCH(B671,{"enero","febrero","marzo","abril","mayo","junio","julio","agosto","septiembre","octubre","noviembre","diciembre"},0)+1,0))</f>
        <v/>
      </c>
      <c r="E671" t="str">
        <f>+IFERROR(VLOOKUP(Fact_Control_Operaciones[[#This Row], [Concepto Anterior]],Conceptos_Control_Operaciones[#All],5,0),"")</f>
        <v/>
      </c>
      <c r="F671" t="str">
        <f>+IFERROR(VLOOKUP(Fact_Control_Operaciones[[#This Row], 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ht="18.75" customHeight="1" x14ac:dyDescent="0.35">
      <c r="C672" s="100" t="str">
        <f>IF(OR(Fact_Control_Operaciones[[#This Row], [Año]]="",Fact_Control_Operaciones[[#This Row], [Mes]]=""),"",DATE(A672,MATCH(B672,{"enero","febrero","marzo","abril","mayo","junio","julio","agosto","septiembre","octubre","noviembre","diciembre"},0)+1,0))</f>
        <v/>
      </c>
      <c r="E672" t="str">
        <f>+IFERROR(VLOOKUP(Fact_Control_Operaciones[[#This Row], [Concepto Anterior]],Conceptos_Control_Operaciones[#All],5,0),"")</f>
        <v/>
      </c>
      <c r="F672" t="str">
        <f>+IFERROR(VLOOKUP(Fact_Control_Operaciones[[#This Row], 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ht="18.75" customHeight="1" x14ac:dyDescent="0.35">
      <c r="C673" s="100" t="str">
        <f>IF(OR(Fact_Control_Operaciones[[#This Row], [Año]]="",Fact_Control_Operaciones[[#This Row], [Mes]]=""),"",DATE(A673,MATCH(B673,{"enero","febrero","marzo","abril","mayo","junio","julio","agosto","septiembre","octubre","noviembre","diciembre"},0)+1,0))</f>
        <v/>
      </c>
      <c r="E673" t="str">
        <f>+IFERROR(VLOOKUP(Fact_Control_Operaciones[[#This Row], [Concepto Anterior]],Conceptos_Control_Operaciones[#All],5,0),"")</f>
        <v/>
      </c>
      <c r="F673" t="str">
        <f>+IFERROR(VLOOKUP(Fact_Control_Operaciones[[#This Row], 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ht="18.75" customHeight="1" x14ac:dyDescent="0.35">
      <c r="C674" s="100" t="str">
        <f>IF(OR(Fact_Control_Operaciones[[#This Row], [Año]]="",Fact_Control_Operaciones[[#This Row], [Mes]]=""),"",DATE(A674,MATCH(B674,{"enero","febrero","marzo","abril","mayo","junio","julio","agosto","septiembre","octubre","noviembre","diciembre"},0)+1,0))</f>
        <v/>
      </c>
      <c r="E674" t="str">
        <f>+IFERROR(VLOOKUP(Fact_Control_Operaciones[[#This Row], [Concepto Anterior]],Conceptos_Control_Operaciones[#All],5,0),"")</f>
        <v/>
      </c>
      <c r="F674" t="str">
        <f>+IFERROR(VLOOKUP(Fact_Control_Operaciones[[#This Row], 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ht="18.75" customHeight="1" x14ac:dyDescent="0.35">
      <c r="C675" s="100" t="str">
        <f>IF(OR(Fact_Control_Operaciones[[#This Row], [Año]]="",Fact_Control_Operaciones[[#This Row], [Mes]]=""),"",DATE(A675,MATCH(B675,{"enero","febrero","marzo","abril","mayo","junio","julio","agosto","septiembre","octubre","noviembre","diciembre"},0)+1,0))</f>
        <v/>
      </c>
      <c r="E675" t="str">
        <f>+IFERROR(VLOOKUP(Fact_Control_Operaciones[[#This Row], [Concepto Anterior]],Conceptos_Control_Operaciones[#All],5,0),"")</f>
        <v/>
      </c>
      <c r="F675" t="str">
        <f>+IFERROR(VLOOKUP(Fact_Control_Operaciones[[#This Row], 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ht="18.75" customHeight="1" x14ac:dyDescent="0.35">
      <c r="C676" s="100" t="str">
        <f>IF(OR(Fact_Control_Operaciones[[#This Row], [Año]]="",Fact_Control_Operaciones[[#This Row], [Mes]]=""),"",DATE(A676,MATCH(B676,{"enero","febrero","marzo","abril","mayo","junio","julio","agosto","septiembre","octubre","noviembre","diciembre"},0)+1,0))</f>
        <v/>
      </c>
      <c r="E676" t="str">
        <f>+IFERROR(VLOOKUP(Fact_Control_Operaciones[[#This Row], [Concepto Anterior]],Conceptos_Control_Operaciones[#All],5,0),"")</f>
        <v/>
      </c>
      <c r="F676" t="str">
        <f>+IFERROR(VLOOKUP(Fact_Control_Operaciones[[#This Row], 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ht="18.75" customHeight="1" x14ac:dyDescent="0.35">
      <c r="C677" s="100" t="str">
        <f>IF(OR(Fact_Control_Operaciones[[#This Row], [Año]]="",Fact_Control_Operaciones[[#This Row], [Mes]]=""),"",DATE(A677,MATCH(B677,{"enero","febrero","marzo","abril","mayo","junio","julio","agosto","septiembre","octubre","noviembre","diciembre"},0)+1,0))</f>
        <v/>
      </c>
      <c r="E677" t="str">
        <f>+IFERROR(VLOOKUP(Fact_Control_Operaciones[[#This Row], [Concepto Anterior]],Conceptos_Control_Operaciones[#All],5,0),"")</f>
        <v/>
      </c>
      <c r="F677" t="str">
        <f>+IFERROR(VLOOKUP(Fact_Control_Operaciones[[#This Row], 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ht="18.75" customHeight="1" x14ac:dyDescent="0.35">
      <c r="C678" s="100" t="str">
        <f>IF(OR(Fact_Control_Operaciones[[#This Row], [Año]]="",Fact_Control_Operaciones[[#This Row], [Mes]]=""),"",DATE(A678,MATCH(B678,{"enero","febrero","marzo","abril","mayo","junio","julio","agosto","septiembre","octubre","noviembre","diciembre"},0)+1,0))</f>
        <v/>
      </c>
      <c r="E678" t="str">
        <f>+IFERROR(VLOOKUP(Fact_Control_Operaciones[[#This Row], [Concepto Anterior]],Conceptos_Control_Operaciones[#All],5,0),"")</f>
        <v/>
      </c>
      <c r="F678" t="str">
        <f>+IFERROR(VLOOKUP(Fact_Control_Operaciones[[#This Row], 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ht="18.75" customHeight="1" x14ac:dyDescent="0.35">
      <c r="C679" s="100" t="str">
        <f>IF(OR(Fact_Control_Operaciones[[#This Row], [Año]]="",Fact_Control_Operaciones[[#This Row], [Mes]]=""),"",DATE(A679,MATCH(B679,{"enero","febrero","marzo","abril","mayo","junio","julio","agosto","septiembre","octubre","noviembre","diciembre"},0)+1,0))</f>
        <v/>
      </c>
      <c r="E679" t="str">
        <f>+IFERROR(VLOOKUP(Fact_Control_Operaciones[[#This Row], [Concepto Anterior]],Conceptos_Control_Operaciones[#All],5,0),"")</f>
        <v/>
      </c>
      <c r="F679" t="str">
        <f>+IFERROR(VLOOKUP(Fact_Control_Operaciones[[#This Row], 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ht="18.75" customHeight="1" x14ac:dyDescent="0.35">
      <c r="C680" s="100" t="str">
        <f>IF(OR(Fact_Control_Operaciones[[#This Row], [Año]]="",Fact_Control_Operaciones[[#This Row], [Mes]]=""),"",DATE(A680,MATCH(B680,{"enero","febrero","marzo","abril","mayo","junio","julio","agosto","septiembre","octubre","noviembre","diciembre"},0)+1,0))</f>
        <v/>
      </c>
      <c r="E680" t="str">
        <f>+IFERROR(VLOOKUP(Fact_Control_Operaciones[[#This Row], [Concepto Anterior]],Conceptos_Control_Operaciones[#All],5,0),"")</f>
        <v/>
      </c>
      <c r="F680" t="str">
        <f>+IFERROR(VLOOKUP(Fact_Control_Operaciones[[#This Row], 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ht="18.75" customHeight="1" x14ac:dyDescent="0.35">
      <c r="C681" s="100" t="str">
        <f>IF(OR(Fact_Control_Operaciones[[#This Row], [Año]]="",Fact_Control_Operaciones[[#This Row], [Mes]]=""),"",DATE(A681,MATCH(B681,{"enero","febrero","marzo","abril","mayo","junio","julio","agosto","septiembre","octubre","noviembre","diciembre"},0)+1,0))</f>
        <v/>
      </c>
      <c r="E681" t="str">
        <f>+IFERROR(VLOOKUP(Fact_Control_Operaciones[[#This Row], [Concepto Anterior]],Conceptos_Control_Operaciones[#All],5,0),"")</f>
        <v/>
      </c>
      <c r="F681" t="str">
        <f>+IFERROR(VLOOKUP(Fact_Control_Operaciones[[#This Row], 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ht="18.75" customHeight="1" x14ac:dyDescent="0.35">
      <c r="C682" s="100" t="str">
        <f>IF(OR(Fact_Control_Operaciones[[#This Row], [Año]]="",Fact_Control_Operaciones[[#This Row], [Mes]]=""),"",DATE(A682,MATCH(B682,{"enero","febrero","marzo","abril","mayo","junio","julio","agosto","septiembre","octubre","noviembre","diciembre"},0)+1,0))</f>
        <v/>
      </c>
      <c r="E682" t="str">
        <f>+IFERROR(VLOOKUP(Fact_Control_Operaciones[[#This Row], [Concepto Anterior]],Conceptos_Control_Operaciones[#All],5,0),"")</f>
        <v/>
      </c>
      <c r="F682" t="str">
        <f>+IFERROR(VLOOKUP(Fact_Control_Operaciones[[#This Row], 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ht="18.75" customHeight="1" x14ac:dyDescent="0.35">
      <c r="C683" s="100" t="str">
        <f>IF(OR(Fact_Control_Operaciones[[#This Row], [Año]]="",Fact_Control_Operaciones[[#This Row], [Mes]]=""),"",DATE(A683,MATCH(B683,{"enero","febrero","marzo","abril","mayo","junio","julio","agosto","septiembre","octubre","noviembre","diciembre"},0)+1,0))</f>
        <v/>
      </c>
      <c r="E683" t="str">
        <f>+IFERROR(VLOOKUP(Fact_Control_Operaciones[[#This Row], [Concepto Anterior]],Conceptos_Control_Operaciones[#All],5,0),"")</f>
        <v/>
      </c>
      <c r="F683" t="str">
        <f>+IFERROR(VLOOKUP(Fact_Control_Operaciones[[#This Row], 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ht="18.75" customHeight="1" x14ac:dyDescent="0.35">
      <c r="C684" s="100" t="str">
        <f>IF(OR(Fact_Control_Operaciones[[#This Row], [Año]]="",Fact_Control_Operaciones[[#This Row], [Mes]]=""),"",DATE(A684,MATCH(B684,{"enero","febrero","marzo","abril","mayo","junio","julio","agosto","septiembre","octubre","noviembre","diciembre"},0)+1,0))</f>
        <v/>
      </c>
      <c r="E684" t="str">
        <f>+IFERROR(VLOOKUP(Fact_Control_Operaciones[[#This Row], [Concepto Anterior]],Conceptos_Control_Operaciones[#All],5,0),"")</f>
        <v/>
      </c>
      <c r="F684" t="str">
        <f>+IFERROR(VLOOKUP(Fact_Control_Operaciones[[#This Row], 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ht="18.75" customHeight="1" x14ac:dyDescent="0.35">
      <c r="C685" s="100" t="str">
        <f>IF(OR(Fact_Control_Operaciones[[#This Row], [Año]]="",Fact_Control_Operaciones[[#This Row], [Mes]]=""),"",DATE(A685,MATCH(B685,{"enero","febrero","marzo","abril","mayo","junio","julio","agosto","septiembre","octubre","noviembre","diciembre"},0)+1,0))</f>
        <v/>
      </c>
      <c r="E685" t="str">
        <f>+IFERROR(VLOOKUP(Fact_Control_Operaciones[[#This Row], [Concepto Anterior]],Conceptos_Control_Operaciones[#All],5,0),"")</f>
        <v/>
      </c>
      <c r="F685" t="str">
        <f>+IFERROR(VLOOKUP(Fact_Control_Operaciones[[#This Row], 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ht="18.75" customHeight="1" x14ac:dyDescent="0.35">
      <c r="C686" s="100" t="str">
        <f>IF(OR(Fact_Control_Operaciones[[#This Row], [Año]]="",Fact_Control_Operaciones[[#This Row], [Mes]]=""),"",DATE(A686,MATCH(B686,{"enero","febrero","marzo","abril","mayo","junio","julio","agosto","septiembre","octubre","noviembre","diciembre"},0)+1,0))</f>
        <v/>
      </c>
      <c r="E686" t="str">
        <f>+IFERROR(VLOOKUP(Fact_Control_Operaciones[[#This Row], [Concepto Anterior]],Conceptos_Control_Operaciones[#All],5,0),"")</f>
        <v/>
      </c>
      <c r="F686" t="str">
        <f>+IFERROR(VLOOKUP(Fact_Control_Operaciones[[#This Row], 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ht="18.75" customHeight="1" x14ac:dyDescent="0.35">
      <c r="C687" s="100" t="str">
        <f>IF(OR(Fact_Control_Operaciones[[#This Row], [Año]]="",Fact_Control_Operaciones[[#This Row], [Mes]]=""),"",DATE(A687,MATCH(B687,{"enero","febrero","marzo","abril","mayo","junio","julio","agosto","septiembre","octubre","noviembre","diciembre"},0)+1,0))</f>
        <v/>
      </c>
      <c r="E687" t="str">
        <f>+IFERROR(VLOOKUP(Fact_Control_Operaciones[[#This Row], [Concepto Anterior]],Conceptos_Control_Operaciones[#All],5,0),"")</f>
        <v/>
      </c>
      <c r="F687" t="str">
        <f>+IFERROR(VLOOKUP(Fact_Control_Operaciones[[#This Row], 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ht="18.75" customHeight="1" x14ac:dyDescent="0.35">
      <c r="C688" s="100" t="str">
        <f>IF(OR(Fact_Control_Operaciones[[#This Row], [Año]]="",Fact_Control_Operaciones[[#This Row], [Mes]]=""),"",DATE(A688,MATCH(B688,{"enero","febrero","marzo","abril","mayo","junio","julio","agosto","septiembre","octubre","noviembre","diciembre"},0)+1,0))</f>
        <v/>
      </c>
      <c r="E688" t="str">
        <f>+IFERROR(VLOOKUP(Fact_Control_Operaciones[[#This Row], [Concepto Anterior]],Conceptos_Control_Operaciones[#All],5,0),"")</f>
        <v/>
      </c>
      <c r="F688" t="str">
        <f>+IFERROR(VLOOKUP(Fact_Control_Operaciones[[#This Row], 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ht="18.75" customHeight="1" x14ac:dyDescent="0.35">
      <c r="C689" s="100" t="str">
        <f>IF(OR(Fact_Control_Operaciones[[#This Row], [Año]]="",Fact_Control_Operaciones[[#This Row], [Mes]]=""),"",DATE(A689,MATCH(B689,{"enero","febrero","marzo","abril","mayo","junio","julio","agosto","septiembre","octubre","noviembre","diciembre"},0)+1,0))</f>
        <v/>
      </c>
      <c r="E689" t="str">
        <f>+IFERROR(VLOOKUP(Fact_Control_Operaciones[[#This Row], [Concepto Anterior]],Conceptos_Control_Operaciones[#All],5,0),"")</f>
        <v/>
      </c>
      <c r="F689" t="str">
        <f>+IFERROR(VLOOKUP(Fact_Control_Operaciones[[#This Row], 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ht="18.75" customHeight="1" x14ac:dyDescent="0.35">
      <c r="C690" s="100" t="str">
        <f>IF(OR(Fact_Control_Operaciones[[#This Row], [Año]]="",Fact_Control_Operaciones[[#This Row], [Mes]]=""),"",DATE(A690,MATCH(B690,{"enero","febrero","marzo","abril","mayo","junio","julio","agosto","septiembre","octubre","noviembre","diciembre"},0)+1,0))</f>
        <v/>
      </c>
      <c r="E690" t="str">
        <f>+IFERROR(VLOOKUP(Fact_Control_Operaciones[[#This Row], [Concepto Anterior]],Conceptos_Control_Operaciones[#All],5,0),"")</f>
        <v/>
      </c>
      <c r="F690" t="str">
        <f>+IFERROR(VLOOKUP(Fact_Control_Operaciones[[#This Row], 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ht="18.75" customHeight="1" x14ac:dyDescent="0.35">
      <c r="C691" s="100" t="str">
        <f>IF(OR(Fact_Control_Operaciones[[#This Row], [Año]]="",Fact_Control_Operaciones[[#This Row], [Mes]]=""),"",DATE(A691,MATCH(B691,{"enero","febrero","marzo","abril","mayo","junio","julio","agosto","septiembre","octubre","noviembre","diciembre"},0)+1,0))</f>
        <v/>
      </c>
      <c r="E691" t="str">
        <f>+IFERROR(VLOOKUP(Fact_Control_Operaciones[[#This Row], [Concepto Anterior]],Conceptos_Control_Operaciones[#All],5,0),"")</f>
        <v/>
      </c>
      <c r="F691" t="str">
        <f>+IFERROR(VLOOKUP(Fact_Control_Operaciones[[#This Row], 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ht="18.75" customHeight="1" x14ac:dyDescent="0.35">
      <c r="C692" s="100" t="str">
        <f>IF(OR(Fact_Control_Operaciones[[#This Row], [Año]]="",Fact_Control_Operaciones[[#This Row], [Mes]]=""),"",DATE(A692,MATCH(B692,{"enero","febrero","marzo","abril","mayo","junio","julio","agosto","septiembre","octubre","noviembre","diciembre"},0)+1,0))</f>
        <v/>
      </c>
      <c r="E692" t="str">
        <f>+IFERROR(VLOOKUP(Fact_Control_Operaciones[[#This Row], [Concepto Anterior]],Conceptos_Control_Operaciones[#All],5,0),"")</f>
        <v/>
      </c>
      <c r="F692" t="str">
        <f>+IFERROR(VLOOKUP(Fact_Control_Operaciones[[#This Row], 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ht="18.75" customHeight="1" x14ac:dyDescent="0.35">
      <c r="C693" s="100" t="str">
        <f>IF(OR(Fact_Control_Operaciones[[#This Row], [Año]]="",Fact_Control_Operaciones[[#This Row], [Mes]]=""),"",DATE(A693,MATCH(B693,{"enero","febrero","marzo","abril","mayo","junio","julio","agosto","septiembre","octubre","noviembre","diciembre"},0)+1,0))</f>
        <v/>
      </c>
      <c r="E693" t="str">
        <f>+IFERROR(VLOOKUP(Fact_Control_Operaciones[[#This Row], [Concepto Anterior]],Conceptos_Control_Operaciones[#All],5,0),"")</f>
        <v/>
      </c>
      <c r="F693" t="str">
        <f>+IFERROR(VLOOKUP(Fact_Control_Operaciones[[#This Row], 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ht="18.75" customHeight="1" x14ac:dyDescent="0.35">
      <c r="C694" s="100" t="str">
        <f>IF(OR(Fact_Control_Operaciones[[#This Row], [Año]]="",Fact_Control_Operaciones[[#This Row], [Mes]]=""),"",DATE(A694,MATCH(B694,{"enero","febrero","marzo","abril","mayo","junio","julio","agosto","septiembre","octubre","noviembre","diciembre"},0)+1,0))</f>
        <v/>
      </c>
      <c r="E694" t="str">
        <f>+IFERROR(VLOOKUP(Fact_Control_Operaciones[[#This Row], [Concepto Anterior]],Conceptos_Control_Operaciones[#All],5,0),"")</f>
        <v/>
      </c>
      <c r="F694" t="str">
        <f>+IFERROR(VLOOKUP(Fact_Control_Operaciones[[#This Row], 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ht="18.75" customHeight="1" x14ac:dyDescent="0.35">
      <c r="C695" s="100" t="str">
        <f>IF(OR(Fact_Control_Operaciones[[#This Row], [Año]]="",Fact_Control_Operaciones[[#This Row], [Mes]]=""),"",DATE(A695,MATCH(B695,{"enero","febrero","marzo","abril","mayo","junio","julio","agosto","septiembre","octubre","noviembre","diciembre"},0)+1,0))</f>
        <v/>
      </c>
      <c r="E695" t="str">
        <f>+IFERROR(VLOOKUP(Fact_Control_Operaciones[[#This Row], [Concepto Anterior]],Conceptos_Control_Operaciones[#All],5,0),"")</f>
        <v/>
      </c>
      <c r="F695" t="str">
        <f>+IFERROR(VLOOKUP(Fact_Control_Operaciones[[#This Row], 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ht="18.75" customHeight="1" x14ac:dyDescent="0.35">
      <c r="C696" s="100" t="str">
        <f>IF(OR(Fact_Control_Operaciones[[#This Row], [Año]]="",Fact_Control_Operaciones[[#This Row], [Mes]]=""),"",DATE(A696,MATCH(B696,{"enero","febrero","marzo","abril","mayo","junio","julio","agosto","septiembre","octubre","noviembre","diciembre"},0)+1,0))</f>
        <v/>
      </c>
      <c r="E696" t="str">
        <f>+IFERROR(VLOOKUP(Fact_Control_Operaciones[[#This Row], [Concepto Anterior]],Conceptos_Control_Operaciones[#All],5,0),"")</f>
        <v/>
      </c>
      <c r="F696" t="str">
        <f>+IFERROR(VLOOKUP(Fact_Control_Operaciones[[#This Row], 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ht="18.75" customHeight="1" x14ac:dyDescent="0.35">
      <c r="C697" s="100" t="str">
        <f>IF(OR(Fact_Control_Operaciones[[#This Row], [Año]]="",Fact_Control_Operaciones[[#This Row], [Mes]]=""),"",DATE(A697,MATCH(B697,{"enero","febrero","marzo","abril","mayo","junio","julio","agosto","septiembre","octubre","noviembre","diciembre"},0)+1,0))</f>
        <v/>
      </c>
      <c r="E697" t="str">
        <f>+IFERROR(VLOOKUP(Fact_Control_Operaciones[[#This Row], [Concepto Anterior]],Conceptos_Control_Operaciones[#All],5,0),"")</f>
        <v/>
      </c>
      <c r="F697" t="str">
        <f>+IFERROR(VLOOKUP(Fact_Control_Operaciones[[#This Row], 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ht="18.75" customHeight="1" x14ac:dyDescent="0.35">
      <c r="C698" s="100" t="str">
        <f>IF(OR(Fact_Control_Operaciones[[#This Row], [Año]]="",Fact_Control_Operaciones[[#This Row], [Mes]]=""),"",DATE(A698,MATCH(B698,{"enero","febrero","marzo","abril","mayo","junio","julio","agosto","septiembre","octubre","noviembre","diciembre"},0)+1,0))</f>
        <v/>
      </c>
      <c r="E698" t="str">
        <f>+IFERROR(VLOOKUP(Fact_Control_Operaciones[[#This Row], [Concepto Anterior]],Conceptos_Control_Operaciones[#All],5,0),"")</f>
        <v/>
      </c>
      <c r="F698" t="str">
        <f>+IFERROR(VLOOKUP(Fact_Control_Operaciones[[#This Row], 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ht="18.75" customHeight="1" x14ac:dyDescent="0.35">
      <c r="C699" s="100" t="str">
        <f>IF(OR(Fact_Control_Operaciones[[#This Row], [Año]]="",Fact_Control_Operaciones[[#This Row], [Mes]]=""),"",DATE(A699,MATCH(B699,{"enero","febrero","marzo","abril","mayo","junio","julio","agosto","septiembre","octubre","noviembre","diciembre"},0)+1,0))</f>
        <v/>
      </c>
      <c r="E699" t="str">
        <f>+IFERROR(VLOOKUP(Fact_Control_Operaciones[[#This Row], [Concepto Anterior]],Conceptos_Control_Operaciones[#All],5,0),"")</f>
        <v/>
      </c>
      <c r="F699" t="str">
        <f>+IFERROR(VLOOKUP(Fact_Control_Operaciones[[#This Row], 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ht="18.75" customHeight="1" x14ac:dyDescent="0.35">
      <c r="C700" s="100" t="str">
        <f>IF(OR(Fact_Control_Operaciones[[#This Row], [Año]]="",Fact_Control_Operaciones[[#This Row], [Mes]]=""),"",DATE(A700,MATCH(B700,{"enero","febrero","marzo","abril","mayo","junio","julio","agosto","septiembre","octubre","noviembre","diciembre"},0)+1,0))</f>
        <v/>
      </c>
      <c r="E700" t="str">
        <f>+IFERROR(VLOOKUP(Fact_Control_Operaciones[[#This Row], [Concepto Anterior]],Conceptos_Control_Operaciones[#All],5,0),"")</f>
        <v/>
      </c>
      <c r="F700" t="str">
        <f>+IFERROR(VLOOKUP(Fact_Control_Operaciones[[#This Row], 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ht="18.75" customHeight="1" x14ac:dyDescent="0.35">
      <c r="C701" s="100" t="str">
        <f>IF(OR(Fact_Control_Operaciones[[#This Row], [Año]]="",Fact_Control_Operaciones[[#This Row], [Mes]]=""),"",DATE(A701,MATCH(B701,{"enero","febrero","marzo","abril","mayo","junio","julio","agosto","septiembre","octubre","noviembre","diciembre"},0)+1,0))</f>
        <v/>
      </c>
      <c r="E701" t="str">
        <f>+IFERROR(VLOOKUP(Fact_Control_Operaciones[[#This Row], [Concepto Anterior]],Conceptos_Control_Operaciones[#All],5,0),"")</f>
        <v/>
      </c>
      <c r="F701" t="str">
        <f>+IFERROR(VLOOKUP(Fact_Control_Operaciones[[#This Row], 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ht="18.75" customHeight="1" x14ac:dyDescent="0.35">
      <c r="C702" s="100" t="str">
        <f>IF(OR(Fact_Control_Operaciones[[#This Row], [Año]]="",Fact_Control_Operaciones[[#This Row], [Mes]]=""),"",DATE(A702,MATCH(B702,{"enero","febrero","marzo","abril","mayo","junio","julio","agosto","septiembre","octubre","noviembre","diciembre"},0)+1,0))</f>
        <v/>
      </c>
      <c r="E702" t="str">
        <f>+IFERROR(VLOOKUP(Fact_Control_Operaciones[[#This Row], [Concepto Anterior]],Conceptos_Control_Operaciones[#All],5,0),"")</f>
        <v/>
      </c>
      <c r="F702" t="str">
        <f>+IFERROR(VLOOKUP(Fact_Control_Operaciones[[#This Row], 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ht="18.75" customHeight="1" x14ac:dyDescent="0.35">
      <c r="C703" s="100" t="str">
        <f>IF(OR(Fact_Control_Operaciones[[#This Row], [Año]]="",Fact_Control_Operaciones[[#This Row], [Mes]]=""),"",DATE(A703,MATCH(B703,{"enero","febrero","marzo","abril","mayo","junio","julio","agosto","septiembre","octubre","noviembre","diciembre"},0)+1,0))</f>
        <v/>
      </c>
      <c r="E703" t="str">
        <f>+IFERROR(VLOOKUP(Fact_Control_Operaciones[[#This Row], [Concepto Anterior]],Conceptos_Control_Operaciones[#All],5,0),"")</f>
        <v/>
      </c>
      <c r="F703" t="str">
        <f>+IFERROR(VLOOKUP(Fact_Control_Operaciones[[#This Row], 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ht="18.75" customHeight="1" x14ac:dyDescent="0.35">
      <c r="C704" s="100" t="str">
        <f>IF(OR(Fact_Control_Operaciones[[#This Row], [Año]]="",Fact_Control_Operaciones[[#This Row], [Mes]]=""),"",DATE(A704,MATCH(B704,{"enero","febrero","marzo","abril","mayo","junio","julio","agosto","septiembre","octubre","noviembre","diciembre"},0)+1,0))</f>
        <v/>
      </c>
      <c r="E704" t="str">
        <f>+IFERROR(VLOOKUP(Fact_Control_Operaciones[[#This Row], [Concepto Anterior]],Conceptos_Control_Operaciones[#All],5,0),"")</f>
        <v/>
      </c>
      <c r="F704" t="str">
        <f>+IFERROR(VLOOKUP(Fact_Control_Operaciones[[#This Row], 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ht="18.75" customHeight="1" x14ac:dyDescent="0.35">
      <c r="C705" s="100" t="str">
        <f>IF(OR(Fact_Control_Operaciones[[#This Row], [Año]]="",Fact_Control_Operaciones[[#This Row], [Mes]]=""),"",DATE(A705,MATCH(B705,{"enero","febrero","marzo","abril","mayo","junio","julio","agosto","septiembre","octubre","noviembre","diciembre"},0)+1,0))</f>
        <v/>
      </c>
      <c r="E705" t="str">
        <f>+IFERROR(VLOOKUP(Fact_Control_Operaciones[[#This Row], [Concepto Anterior]],Conceptos_Control_Operaciones[#All],5,0),"")</f>
        <v/>
      </c>
      <c r="F705" t="str">
        <f>+IFERROR(VLOOKUP(Fact_Control_Operaciones[[#This Row], 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ht="18.75" customHeight="1" x14ac:dyDescent="0.35">
      <c r="C706" s="100" t="str">
        <f>IF(OR(Fact_Control_Operaciones[[#This Row], [Año]]="",Fact_Control_Operaciones[[#This Row], [Mes]]=""),"",DATE(A706,MATCH(B706,{"enero","febrero","marzo","abril","mayo","junio","julio","agosto","septiembre","octubre","noviembre","diciembre"},0)+1,0))</f>
        <v/>
      </c>
      <c r="E706" t="str">
        <f>+IFERROR(VLOOKUP(Fact_Control_Operaciones[[#This Row], [Concepto Anterior]],Conceptos_Control_Operaciones[#All],5,0),"")</f>
        <v/>
      </c>
      <c r="F706" t="str">
        <f>+IFERROR(VLOOKUP(Fact_Control_Operaciones[[#This Row], 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ht="18.75" customHeight="1" x14ac:dyDescent="0.35">
      <c r="C707" s="100" t="str">
        <f>IF(OR(Fact_Control_Operaciones[[#This Row], [Año]]="",Fact_Control_Operaciones[[#This Row], [Mes]]=""),"",DATE(A707,MATCH(B707,{"enero","febrero","marzo","abril","mayo","junio","julio","agosto","septiembre","octubre","noviembre","diciembre"},0)+1,0))</f>
        <v/>
      </c>
      <c r="E707" t="str">
        <f>+IFERROR(VLOOKUP(Fact_Control_Operaciones[[#This Row], [Concepto Anterior]],Conceptos_Control_Operaciones[#All],5,0),"")</f>
        <v/>
      </c>
      <c r="F707" t="str">
        <f>+IFERROR(VLOOKUP(Fact_Control_Operaciones[[#This Row], 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ht="18.75" customHeight="1" x14ac:dyDescent="0.35">
      <c r="C708" s="100" t="str">
        <f>IF(OR(Fact_Control_Operaciones[[#This Row], [Año]]="",Fact_Control_Operaciones[[#This Row], [Mes]]=""),"",DATE(A708,MATCH(B708,{"enero","febrero","marzo","abril","mayo","junio","julio","agosto","septiembre","octubre","noviembre","diciembre"},0)+1,0))</f>
        <v/>
      </c>
      <c r="E708" t="str">
        <f>+IFERROR(VLOOKUP(Fact_Control_Operaciones[[#This Row], [Concepto Anterior]],Conceptos_Control_Operaciones[#All],5,0),"")</f>
        <v/>
      </c>
      <c r="F708" t="str">
        <f>+IFERROR(VLOOKUP(Fact_Control_Operaciones[[#This Row], 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ht="18.75" customHeight="1" x14ac:dyDescent="0.35">
      <c r="C709" s="100" t="str">
        <f>IF(OR(Fact_Control_Operaciones[[#This Row], [Año]]="",Fact_Control_Operaciones[[#This Row], [Mes]]=""),"",DATE(A709,MATCH(B709,{"enero","febrero","marzo","abril","mayo","junio","julio","agosto","septiembre","octubre","noviembre","diciembre"},0)+1,0))</f>
        <v/>
      </c>
      <c r="E709" t="str">
        <f>+IFERROR(VLOOKUP(Fact_Control_Operaciones[[#This Row], [Concepto Anterior]],Conceptos_Control_Operaciones[#All],5,0),"")</f>
        <v/>
      </c>
      <c r="F709" t="str">
        <f>+IFERROR(VLOOKUP(Fact_Control_Operaciones[[#This Row], 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ht="18.75" customHeight="1" x14ac:dyDescent="0.35">
      <c r="C710" s="100" t="str">
        <f>IF(OR(Fact_Control_Operaciones[[#This Row], [Año]]="",Fact_Control_Operaciones[[#This Row], [Mes]]=""),"",DATE(A710,MATCH(B710,{"enero","febrero","marzo","abril","mayo","junio","julio","agosto","septiembre","octubre","noviembre","diciembre"},0)+1,0))</f>
        <v/>
      </c>
      <c r="E710" t="str">
        <f>+IFERROR(VLOOKUP(Fact_Control_Operaciones[[#This Row], [Concepto Anterior]],Conceptos_Control_Operaciones[#All],5,0),"")</f>
        <v/>
      </c>
      <c r="F710" t="str">
        <f>+IFERROR(VLOOKUP(Fact_Control_Operaciones[[#This Row], 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ht="18.75" customHeight="1" x14ac:dyDescent="0.35">
      <c r="C711" s="100" t="str">
        <f>IF(OR(Fact_Control_Operaciones[[#This Row], [Año]]="",Fact_Control_Operaciones[[#This Row], [Mes]]=""),"",DATE(A711,MATCH(B711,{"enero","febrero","marzo","abril","mayo","junio","julio","agosto","septiembre","octubre","noviembre","diciembre"},0)+1,0))</f>
        <v/>
      </c>
      <c r="E711" t="str">
        <f>+IFERROR(VLOOKUP(Fact_Control_Operaciones[[#This Row], [Concepto Anterior]],Conceptos_Control_Operaciones[#All],5,0),"")</f>
        <v/>
      </c>
      <c r="F711" t="str">
        <f>+IFERROR(VLOOKUP(Fact_Control_Operaciones[[#This Row], 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ht="18.75" customHeight="1" x14ac:dyDescent="0.35">
      <c r="C712" s="100" t="str">
        <f>IF(OR(Fact_Control_Operaciones[[#This Row], [Año]]="",Fact_Control_Operaciones[[#This Row], [Mes]]=""),"",DATE(A712,MATCH(B712,{"enero","febrero","marzo","abril","mayo","junio","julio","agosto","septiembre","octubre","noviembre","diciembre"},0)+1,0))</f>
        <v/>
      </c>
      <c r="E712" t="str">
        <f>+IFERROR(VLOOKUP(Fact_Control_Operaciones[[#This Row], [Concepto Anterior]],Conceptos_Control_Operaciones[#All],5,0),"")</f>
        <v/>
      </c>
      <c r="F712" t="str">
        <f>+IFERROR(VLOOKUP(Fact_Control_Operaciones[[#This Row], 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ht="18.75" customHeight="1" x14ac:dyDescent="0.35">
      <c r="C713" s="100" t="str">
        <f>IF(OR(Fact_Control_Operaciones[[#This Row], [Año]]="",Fact_Control_Operaciones[[#This Row], [Mes]]=""),"",DATE(A713,MATCH(B713,{"enero","febrero","marzo","abril","mayo","junio","julio","agosto","septiembre","octubre","noviembre","diciembre"},0)+1,0))</f>
        <v/>
      </c>
      <c r="E713" t="str">
        <f>+IFERROR(VLOOKUP(Fact_Control_Operaciones[[#This Row], [Concepto Anterior]],Conceptos_Control_Operaciones[#All],5,0),"")</f>
        <v/>
      </c>
      <c r="F713" t="str">
        <f>+IFERROR(VLOOKUP(Fact_Control_Operaciones[[#This Row], 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ht="18.75" customHeight="1" x14ac:dyDescent="0.35">
      <c r="C714" s="100" t="str">
        <f>IF(OR(Fact_Control_Operaciones[[#This Row], [Año]]="",Fact_Control_Operaciones[[#This Row], [Mes]]=""),"",DATE(A714,MATCH(B714,{"enero","febrero","marzo","abril","mayo","junio","julio","agosto","septiembre","octubre","noviembre","diciembre"},0)+1,0))</f>
        <v/>
      </c>
      <c r="E714" t="str">
        <f>+IFERROR(VLOOKUP(Fact_Control_Operaciones[[#This Row], [Concepto Anterior]],Conceptos_Control_Operaciones[#All],5,0),"")</f>
        <v/>
      </c>
      <c r="F714" t="str">
        <f>+IFERROR(VLOOKUP(Fact_Control_Operaciones[[#This Row], 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ht="18.75" customHeight="1" x14ac:dyDescent="0.35">
      <c r="C715" s="100" t="str">
        <f>IF(OR(Fact_Control_Operaciones[[#This Row], [Año]]="",Fact_Control_Operaciones[[#This Row], [Mes]]=""),"",DATE(A715,MATCH(B715,{"enero","febrero","marzo","abril","mayo","junio","julio","agosto","septiembre","octubre","noviembre","diciembre"},0)+1,0))</f>
        <v/>
      </c>
      <c r="E715" t="str">
        <f>+IFERROR(VLOOKUP(Fact_Control_Operaciones[[#This Row], [Concepto Anterior]],Conceptos_Control_Operaciones[#All],5,0),"")</f>
        <v/>
      </c>
      <c r="F715" t="str">
        <f>+IFERROR(VLOOKUP(Fact_Control_Operaciones[[#This Row], 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ht="18.75" customHeight="1" x14ac:dyDescent="0.35">
      <c r="C716" s="100" t="str">
        <f>IF(OR(Fact_Control_Operaciones[[#This Row], [Año]]="",Fact_Control_Operaciones[[#This Row], [Mes]]=""),"",DATE(A716,MATCH(B716,{"enero","febrero","marzo","abril","mayo","junio","julio","agosto","septiembre","octubre","noviembre","diciembre"},0)+1,0))</f>
        <v/>
      </c>
      <c r="E716" t="str">
        <f>+IFERROR(VLOOKUP(Fact_Control_Operaciones[[#This Row], [Concepto Anterior]],Conceptos_Control_Operaciones[#All],5,0),"")</f>
        <v/>
      </c>
      <c r="F716" t="str">
        <f>+IFERROR(VLOOKUP(Fact_Control_Operaciones[[#This Row], 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ht="18.75" customHeight="1" x14ac:dyDescent="0.35">
      <c r="C717" s="100" t="str">
        <f>IF(OR(Fact_Control_Operaciones[[#This Row], [Año]]="",Fact_Control_Operaciones[[#This Row], [Mes]]=""),"",DATE(A717,MATCH(B717,{"enero","febrero","marzo","abril","mayo","junio","julio","agosto","septiembre","octubre","noviembre","diciembre"},0)+1,0))</f>
        <v/>
      </c>
      <c r="E717" t="str">
        <f>+IFERROR(VLOOKUP(Fact_Control_Operaciones[[#This Row], [Concepto Anterior]],Conceptos_Control_Operaciones[#All],5,0),"")</f>
        <v/>
      </c>
      <c r="F717" t="str">
        <f>+IFERROR(VLOOKUP(Fact_Control_Operaciones[[#This Row], 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ht="18.75" customHeight="1" x14ac:dyDescent="0.35">
      <c r="C718" s="100" t="str">
        <f>IF(OR(Fact_Control_Operaciones[[#This Row], [Año]]="",Fact_Control_Operaciones[[#This Row], [Mes]]=""),"",DATE(A718,MATCH(B718,{"enero","febrero","marzo","abril","mayo","junio","julio","agosto","septiembre","octubre","noviembre","diciembre"},0)+1,0))</f>
        <v/>
      </c>
      <c r="E718" t="str">
        <f>+IFERROR(VLOOKUP(Fact_Control_Operaciones[[#This Row], [Concepto Anterior]],Conceptos_Control_Operaciones[#All],5,0),"")</f>
        <v/>
      </c>
      <c r="F718" t="str">
        <f>+IFERROR(VLOOKUP(Fact_Control_Operaciones[[#This Row], 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ht="18.75" customHeight="1" x14ac:dyDescent="0.35">
      <c r="C719" s="100" t="str">
        <f>IF(OR(Fact_Control_Operaciones[[#This Row], [Año]]="",Fact_Control_Operaciones[[#This Row], [Mes]]=""),"",DATE(A719,MATCH(B719,{"enero","febrero","marzo","abril","mayo","junio","julio","agosto","septiembre","octubre","noviembre","diciembre"},0)+1,0))</f>
        <v/>
      </c>
      <c r="E719" t="str">
        <f>+IFERROR(VLOOKUP(Fact_Control_Operaciones[[#This Row], [Concepto Anterior]],Conceptos_Control_Operaciones[#All],5,0),"")</f>
        <v/>
      </c>
      <c r="F719" t="str">
        <f>+IFERROR(VLOOKUP(Fact_Control_Operaciones[[#This Row], 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ht="18.75" customHeight="1" x14ac:dyDescent="0.35">
      <c r="C720" s="100" t="str">
        <f>IF(OR(Fact_Control_Operaciones[[#This Row], [Año]]="",Fact_Control_Operaciones[[#This Row], [Mes]]=""),"",DATE(A720,MATCH(B720,{"enero","febrero","marzo","abril","mayo","junio","julio","agosto","septiembre","octubre","noviembre","diciembre"},0)+1,0))</f>
        <v/>
      </c>
      <c r="E720" t="str">
        <f>+IFERROR(VLOOKUP(Fact_Control_Operaciones[[#This Row], [Concepto Anterior]],Conceptos_Control_Operaciones[#All],5,0),"")</f>
        <v/>
      </c>
      <c r="F720" t="str">
        <f>+IFERROR(VLOOKUP(Fact_Control_Operaciones[[#This Row], 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ht="18.75" customHeight="1" x14ac:dyDescent="0.35">
      <c r="C721" s="100" t="str">
        <f>IF(OR(Fact_Control_Operaciones[[#This Row], [Año]]="",Fact_Control_Operaciones[[#This Row], [Mes]]=""),"",DATE(A721,MATCH(B721,{"enero","febrero","marzo","abril","mayo","junio","julio","agosto","septiembre","octubre","noviembre","diciembre"},0)+1,0))</f>
        <v/>
      </c>
      <c r="E721" t="str">
        <f>+IFERROR(VLOOKUP(Fact_Control_Operaciones[[#This Row], [Concepto Anterior]],Conceptos_Control_Operaciones[#All],5,0),"")</f>
        <v/>
      </c>
      <c r="F721" t="str">
        <f>+IFERROR(VLOOKUP(Fact_Control_Operaciones[[#This Row], 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ht="18.75" customHeight="1" x14ac:dyDescent="0.35">
      <c r="C722" s="100" t="str">
        <f>IF(OR(Fact_Control_Operaciones[[#This Row], [Año]]="",Fact_Control_Operaciones[[#This Row], [Mes]]=""),"",DATE(A722,MATCH(B722,{"enero","febrero","marzo","abril","mayo","junio","julio","agosto","septiembre","octubre","noviembre","diciembre"},0)+1,0))</f>
        <v/>
      </c>
      <c r="E722" t="str">
        <f>+IFERROR(VLOOKUP(Fact_Control_Operaciones[[#This Row], [Concepto Anterior]],Conceptos_Control_Operaciones[#All],5,0),"")</f>
        <v/>
      </c>
      <c r="F722" t="str">
        <f>+IFERROR(VLOOKUP(Fact_Control_Operaciones[[#This Row], 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ht="18.75" customHeight="1" x14ac:dyDescent="0.35">
      <c r="C723" s="100" t="str">
        <f>IF(OR(Fact_Control_Operaciones[[#This Row], [Año]]="",Fact_Control_Operaciones[[#This Row], [Mes]]=""),"",DATE(A723,MATCH(B723,{"enero","febrero","marzo","abril","mayo","junio","julio","agosto","septiembre","octubre","noviembre","diciembre"},0)+1,0))</f>
        <v/>
      </c>
      <c r="E723" t="str">
        <f>+IFERROR(VLOOKUP(Fact_Control_Operaciones[[#This Row], [Concepto Anterior]],Conceptos_Control_Operaciones[#All],5,0),"")</f>
        <v/>
      </c>
      <c r="F723" t="str">
        <f>+IFERROR(VLOOKUP(Fact_Control_Operaciones[[#This Row], 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ht="18.75" customHeight="1" x14ac:dyDescent="0.35">
      <c r="C724" s="100" t="str">
        <f>IF(OR(Fact_Control_Operaciones[[#This Row], [Año]]="",Fact_Control_Operaciones[[#This Row], [Mes]]=""),"",DATE(A724,MATCH(B724,{"enero","febrero","marzo","abril","mayo","junio","julio","agosto","septiembre","octubre","noviembre","diciembre"},0)+1,0))</f>
        <v/>
      </c>
      <c r="E724" t="str">
        <f>+IFERROR(VLOOKUP(Fact_Control_Operaciones[[#This Row], [Concepto Anterior]],Conceptos_Control_Operaciones[#All],5,0),"")</f>
        <v/>
      </c>
      <c r="F724" t="str">
        <f>+IFERROR(VLOOKUP(Fact_Control_Operaciones[[#This Row], 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ht="18.75" customHeight="1" x14ac:dyDescent="0.35">
      <c r="C725" s="100" t="str">
        <f>IF(OR(Fact_Control_Operaciones[[#This Row], [Año]]="",Fact_Control_Operaciones[[#This Row], [Mes]]=""),"",DATE(A725,MATCH(B725,{"enero","febrero","marzo","abril","mayo","junio","julio","agosto","septiembre","octubre","noviembre","diciembre"},0)+1,0))</f>
        <v/>
      </c>
      <c r="E725" t="str">
        <f>+IFERROR(VLOOKUP(Fact_Control_Operaciones[[#This Row], [Concepto Anterior]],Conceptos_Control_Operaciones[#All],5,0),"")</f>
        <v/>
      </c>
      <c r="F725" t="str">
        <f>+IFERROR(VLOOKUP(Fact_Control_Operaciones[[#This Row], 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ht="18.75" customHeight="1" x14ac:dyDescent="0.35">
      <c r="C726" s="100" t="str">
        <f>IF(OR(Fact_Control_Operaciones[[#This Row], [Año]]="",Fact_Control_Operaciones[[#This Row], [Mes]]=""),"",DATE(A726,MATCH(B726,{"enero","febrero","marzo","abril","mayo","junio","julio","agosto","septiembre","octubre","noviembre","diciembre"},0)+1,0))</f>
        <v/>
      </c>
      <c r="E726" t="str">
        <f>+IFERROR(VLOOKUP(Fact_Control_Operaciones[[#This Row], [Concepto Anterior]],Conceptos_Control_Operaciones[#All],5,0),"")</f>
        <v/>
      </c>
      <c r="F726" t="str">
        <f>+IFERROR(VLOOKUP(Fact_Control_Operaciones[[#This Row], 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ht="18.75" customHeight="1" x14ac:dyDescent="0.35">
      <c r="C727" s="100" t="str">
        <f>IF(OR(Fact_Control_Operaciones[[#This Row], [Año]]="",Fact_Control_Operaciones[[#This Row], [Mes]]=""),"",DATE(A727,MATCH(B727,{"enero","febrero","marzo","abril","mayo","junio","julio","agosto","septiembre","octubre","noviembre","diciembre"},0)+1,0))</f>
        <v/>
      </c>
      <c r="E727" t="str">
        <f>+IFERROR(VLOOKUP(Fact_Control_Operaciones[[#This Row], [Concepto Anterior]],Conceptos_Control_Operaciones[#All],5,0),"")</f>
        <v/>
      </c>
      <c r="F727" t="str">
        <f>+IFERROR(VLOOKUP(Fact_Control_Operaciones[[#This Row], 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ht="18.75" customHeight="1" x14ac:dyDescent="0.35">
      <c r="C728" s="100" t="str">
        <f>IF(OR(Fact_Control_Operaciones[[#This Row], [Año]]="",Fact_Control_Operaciones[[#This Row], [Mes]]=""),"",DATE(A728,MATCH(B728,{"enero","febrero","marzo","abril","mayo","junio","julio","agosto","septiembre","octubre","noviembre","diciembre"},0)+1,0))</f>
        <v/>
      </c>
      <c r="E728" t="str">
        <f>+IFERROR(VLOOKUP(Fact_Control_Operaciones[[#This Row], [Concepto Anterior]],Conceptos_Control_Operaciones[#All],5,0),"")</f>
        <v/>
      </c>
      <c r="F728" t="str">
        <f>+IFERROR(VLOOKUP(Fact_Control_Operaciones[[#This Row], 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ht="18.75" customHeight="1" x14ac:dyDescent="0.35">
      <c r="C729" s="100" t="str">
        <f>IF(OR(Fact_Control_Operaciones[[#This Row], [Año]]="",Fact_Control_Operaciones[[#This Row], [Mes]]=""),"",DATE(A729,MATCH(B729,{"enero","febrero","marzo","abril","mayo","junio","julio","agosto","septiembre","octubre","noviembre","diciembre"},0)+1,0))</f>
        <v/>
      </c>
      <c r="E729" t="str">
        <f>+IFERROR(VLOOKUP(Fact_Control_Operaciones[[#This Row], [Concepto Anterior]],Conceptos_Control_Operaciones[#All],5,0),"")</f>
        <v/>
      </c>
      <c r="F729" t="str">
        <f>+IFERROR(VLOOKUP(Fact_Control_Operaciones[[#This Row], 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ht="18.75" customHeight="1" x14ac:dyDescent="0.35">
      <c r="C730" s="100" t="str">
        <f>IF(OR(Fact_Control_Operaciones[[#This Row], [Año]]="",Fact_Control_Operaciones[[#This Row], [Mes]]=""),"",DATE(A730,MATCH(B730,{"enero","febrero","marzo","abril","mayo","junio","julio","agosto","septiembre","octubre","noviembre","diciembre"},0)+1,0))</f>
        <v/>
      </c>
      <c r="E730" t="str">
        <f>+IFERROR(VLOOKUP(Fact_Control_Operaciones[[#This Row], [Concepto Anterior]],Conceptos_Control_Operaciones[#All],5,0),"")</f>
        <v/>
      </c>
      <c r="F730" t="str">
        <f>+IFERROR(VLOOKUP(Fact_Control_Operaciones[[#This Row], 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ht="18.75" customHeight="1" x14ac:dyDescent="0.35">
      <c r="C731" s="100" t="str">
        <f>IF(OR(Fact_Control_Operaciones[[#This Row], [Año]]="",Fact_Control_Operaciones[[#This Row], [Mes]]=""),"",DATE(A731,MATCH(B731,{"enero","febrero","marzo","abril","mayo","junio","julio","agosto","septiembre","octubre","noviembre","diciembre"},0)+1,0))</f>
        <v/>
      </c>
      <c r="E731" t="str">
        <f>+IFERROR(VLOOKUP(Fact_Control_Operaciones[[#This Row], [Concepto Anterior]],Conceptos_Control_Operaciones[#All],5,0),"")</f>
        <v/>
      </c>
      <c r="F731" t="str">
        <f>+IFERROR(VLOOKUP(Fact_Control_Operaciones[[#This Row], 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ht="18.75" customHeight="1" x14ac:dyDescent="0.35">
      <c r="C732" s="100" t="str">
        <f>IF(OR(Fact_Control_Operaciones[[#This Row], [Año]]="",Fact_Control_Operaciones[[#This Row], [Mes]]=""),"",DATE(A732,MATCH(B732,{"enero","febrero","marzo","abril","mayo","junio","julio","agosto","septiembre","octubre","noviembre","diciembre"},0)+1,0))</f>
        <v/>
      </c>
      <c r="E732" t="str">
        <f>+IFERROR(VLOOKUP(Fact_Control_Operaciones[[#This Row], [Concepto Anterior]],Conceptos_Control_Operaciones[#All],5,0),"")</f>
        <v/>
      </c>
      <c r="F732" t="str">
        <f>+IFERROR(VLOOKUP(Fact_Control_Operaciones[[#This Row], 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ht="18.75" customHeight="1" x14ac:dyDescent="0.35">
      <c r="C733" s="100" t="str">
        <f>IF(OR(Fact_Control_Operaciones[[#This Row], [Año]]="",Fact_Control_Operaciones[[#This Row], [Mes]]=""),"",DATE(A733,MATCH(B733,{"enero","febrero","marzo","abril","mayo","junio","julio","agosto","septiembre","octubre","noviembre","diciembre"},0)+1,0))</f>
        <v/>
      </c>
      <c r="E733" t="str">
        <f>+IFERROR(VLOOKUP(Fact_Control_Operaciones[[#This Row], [Concepto Anterior]],Conceptos_Control_Operaciones[#All],5,0),"")</f>
        <v/>
      </c>
      <c r="F733" t="str">
        <f>+IFERROR(VLOOKUP(Fact_Control_Operaciones[[#This Row], 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ht="18.75" customHeight="1" x14ac:dyDescent="0.35">
      <c r="C734" s="100" t="str">
        <f>IF(OR(Fact_Control_Operaciones[[#This Row], [Año]]="",Fact_Control_Operaciones[[#This Row], [Mes]]=""),"",DATE(A734,MATCH(B734,{"enero","febrero","marzo","abril","mayo","junio","julio","agosto","septiembre","octubre","noviembre","diciembre"},0)+1,0))</f>
        <v/>
      </c>
      <c r="E734" t="str">
        <f>+IFERROR(VLOOKUP(Fact_Control_Operaciones[[#This Row], [Concepto Anterior]],Conceptos_Control_Operaciones[#All],5,0),"")</f>
        <v/>
      </c>
      <c r="F734" t="str">
        <f>+IFERROR(VLOOKUP(Fact_Control_Operaciones[[#This Row], 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ht="18.75" customHeight="1" x14ac:dyDescent="0.35">
      <c r="C735" s="100" t="str">
        <f>IF(OR(Fact_Control_Operaciones[[#This Row], [Año]]="",Fact_Control_Operaciones[[#This Row], [Mes]]=""),"",DATE(A735,MATCH(B735,{"enero","febrero","marzo","abril","mayo","junio","julio","agosto","septiembre","octubre","noviembre","diciembre"},0)+1,0))</f>
        <v/>
      </c>
      <c r="E735" t="str">
        <f>+IFERROR(VLOOKUP(Fact_Control_Operaciones[[#This Row], [Concepto Anterior]],Conceptos_Control_Operaciones[#All],5,0),"")</f>
        <v/>
      </c>
      <c r="F735" t="str">
        <f>+IFERROR(VLOOKUP(Fact_Control_Operaciones[[#This Row], 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ht="18.75" customHeight="1" x14ac:dyDescent="0.35">
      <c r="C736" s="100" t="str">
        <f>IF(OR(Fact_Control_Operaciones[[#This Row], [Año]]="",Fact_Control_Operaciones[[#This Row], [Mes]]=""),"",DATE(A736,MATCH(B736,{"enero","febrero","marzo","abril","mayo","junio","julio","agosto","septiembre","octubre","noviembre","diciembre"},0)+1,0))</f>
        <v/>
      </c>
      <c r="E736" t="str">
        <f>+IFERROR(VLOOKUP(Fact_Control_Operaciones[[#This Row], [Concepto Anterior]],Conceptos_Control_Operaciones[#All],5,0),"")</f>
        <v/>
      </c>
      <c r="F736" t="str">
        <f>+IFERROR(VLOOKUP(Fact_Control_Operaciones[[#This Row], 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ht="18.75" customHeight="1" x14ac:dyDescent="0.35">
      <c r="C737" s="100" t="str">
        <f>IF(OR(Fact_Control_Operaciones[[#This Row], [Año]]="",Fact_Control_Operaciones[[#This Row], [Mes]]=""),"",DATE(A737,MATCH(B737,{"enero","febrero","marzo","abril","mayo","junio","julio","agosto","septiembre","octubre","noviembre","diciembre"},0)+1,0))</f>
        <v/>
      </c>
      <c r="E737" t="str">
        <f>+IFERROR(VLOOKUP(Fact_Control_Operaciones[[#This Row], [Concepto Anterior]],Conceptos_Control_Operaciones[#All],5,0),"")</f>
        <v/>
      </c>
      <c r="F737" t="str">
        <f>+IFERROR(VLOOKUP(Fact_Control_Operaciones[[#This Row], 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ht="18.75" customHeight="1" x14ac:dyDescent="0.35">
      <c r="C738" s="100" t="str">
        <f>IF(OR(Fact_Control_Operaciones[[#This Row], [Año]]="",Fact_Control_Operaciones[[#This Row], [Mes]]=""),"",DATE(A738,MATCH(B738,{"enero","febrero","marzo","abril","mayo","junio","julio","agosto","septiembre","octubre","noviembre","diciembre"},0)+1,0))</f>
        <v/>
      </c>
      <c r="E738" t="str">
        <f>+IFERROR(VLOOKUP(Fact_Control_Operaciones[[#This Row], [Concepto Anterior]],Conceptos_Control_Operaciones[#All],5,0),"")</f>
        <v/>
      </c>
      <c r="F738" t="str">
        <f>+IFERROR(VLOOKUP(Fact_Control_Operaciones[[#This Row], 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ht="18.75" customHeight="1" x14ac:dyDescent="0.35">
      <c r="C739" s="100" t="str">
        <f>IF(OR(Fact_Control_Operaciones[[#This Row], [Año]]="",Fact_Control_Operaciones[[#This Row], [Mes]]=""),"",DATE(A739,MATCH(B739,{"enero","febrero","marzo","abril","mayo","junio","julio","agosto","septiembre","octubre","noviembre","diciembre"},0)+1,0))</f>
        <v/>
      </c>
      <c r="E739" t="str">
        <f>+IFERROR(VLOOKUP(Fact_Control_Operaciones[[#This Row], [Concepto Anterior]],Conceptos_Control_Operaciones[#All],5,0),"")</f>
        <v/>
      </c>
      <c r="F739" t="str">
        <f>+IFERROR(VLOOKUP(Fact_Control_Operaciones[[#This Row], 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ht="18.75" customHeight="1" x14ac:dyDescent="0.35">
      <c r="C740" s="100" t="str">
        <f>IF(OR(Fact_Control_Operaciones[[#This Row], [Año]]="",Fact_Control_Operaciones[[#This Row], [Mes]]=""),"",DATE(A740,MATCH(B740,{"enero","febrero","marzo","abril","mayo","junio","julio","agosto","septiembre","octubre","noviembre","diciembre"},0)+1,0))</f>
        <v/>
      </c>
      <c r="E740" t="str">
        <f>+IFERROR(VLOOKUP(Fact_Control_Operaciones[[#This Row], [Concepto Anterior]],Conceptos_Control_Operaciones[#All],5,0),"")</f>
        <v/>
      </c>
      <c r="F740" t="str">
        <f>+IFERROR(VLOOKUP(Fact_Control_Operaciones[[#This Row], 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ht="18.75" customHeight="1" x14ac:dyDescent="0.35">
      <c r="C741" s="100" t="str">
        <f>IF(OR(Fact_Control_Operaciones[[#This Row], [Año]]="",Fact_Control_Operaciones[[#This Row], [Mes]]=""),"",DATE(A741,MATCH(B741,{"enero","febrero","marzo","abril","mayo","junio","julio","agosto","septiembre","octubre","noviembre","diciembre"},0)+1,0))</f>
        <v/>
      </c>
      <c r="E741" t="str">
        <f>+IFERROR(VLOOKUP(Fact_Control_Operaciones[[#This Row], [Concepto Anterior]],Conceptos_Control_Operaciones[#All],5,0),"")</f>
        <v/>
      </c>
      <c r="F741" t="str">
        <f>+IFERROR(VLOOKUP(Fact_Control_Operaciones[[#This Row], 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ht="18.75" customHeight="1" x14ac:dyDescent="0.35">
      <c r="C742" s="100" t="str">
        <f>IF(OR(Fact_Control_Operaciones[[#This Row], [Año]]="",Fact_Control_Operaciones[[#This Row], [Mes]]=""),"",DATE(A742,MATCH(B742,{"enero","febrero","marzo","abril","mayo","junio","julio","agosto","septiembre","octubre","noviembre","diciembre"},0)+1,0))</f>
        <v/>
      </c>
      <c r="E742" t="str">
        <f>+IFERROR(VLOOKUP(Fact_Control_Operaciones[[#This Row], [Concepto Anterior]],Conceptos_Control_Operaciones[#All],5,0),"")</f>
        <v/>
      </c>
      <c r="F742" t="str">
        <f>+IFERROR(VLOOKUP(Fact_Control_Operaciones[[#This Row], 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ht="18.75" customHeight="1" x14ac:dyDescent="0.35">
      <c r="C743" s="100" t="str">
        <f>IF(OR(Fact_Control_Operaciones[[#This Row], [Año]]="",Fact_Control_Operaciones[[#This Row], [Mes]]=""),"",DATE(A743,MATCH(B743,{"enero","febrero","marzo","abril","mayo","junio","julio","agosto","septiembre","octubre","noviembre","diciembre"},0)+1,0))</f>
        <v/>
      </c>
      <c r="E743" t="str">
        <f>+IFERROR(VLOOKUP(Fact_Control_Operaciones[[#This Row], [Concepto Anterior]],Conceptos_Control_Operaciones[#All],5,0),"")</f>
        <v/>
      </c>
      <c r="F743" t="str">
        <f>+IFERROR(VLOOKUP(Fact_Control_Operaciones[[#This Row], 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ht="18.75" customHeight="1" x14ac:dyDescent="0.35">
      <c r="C744" s="100" t="str">
        <f>IF(OR(Fact_Control_Operaciones[[#This Row], [Año]]="",Fact_Control_Operaciones[[#This Row], [Mes]]=""),"",DATE(A744,MATCH(B744,{"enero","febrero","marzo","abril","mayo","junio","julio","agosto","septiembre","octubre","noviembre","diciembre"},0)+1,0))</f>
        <v/>
      </c>
      <c r="E744" t="str">
        <f>+IFERROR(VLOOKUP(Fact_Control_Operaciones[[#This Row], [Concepto Anterior]],Conceptos_Control_Operaciones[#All],5,0),"")</f>
        <v/>
      </c>
      <c r="F744" t="str">
        <f>+IFERROR(VLOOKUP(Fact_Control_Operaciones[[#This Row], 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ht="18.75" customHeight="1" x14ac:dyDescent="0.35">
      <c r="C745" s="100" t="str">
        <f>IF(OR(Fact_Control_Operaciones[[#This Row], [Año]]="",Fact_Control_Operaciones[[#This Row], [Mes]]=""),"",DATE(A745,MATCH(B745,{"enero","febrero","marzo","abril","mayo","junio","julio","agosto","septiembre","octubre","noviembre","diciembre"},0)+1,0))</f>
        <v/>
      </c>
      <c r="E745" t="str">
        <f>+IFERROR(VLOOKUP(Fact_Control_Operaciones[[#This Row], [Concepto Anterior]],Conceptos_Control_Operaciones[#All],5,0),"")</f>
        <v/>
      </c>
      <c r="F745" t="str">
        <f>+IFERROR(VLOOKUP(Fact_Control_Operaciones[[#This Row], 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ht="18.75" customHeight="1" x14ac:dyDescent="0.35">
      <c r="C746" s="100" t="str">
        <f>IF(OR(Fact_Control_Operaciones[[#This Row], [Año]]="",Fact_Control_Operaciones[[#This Row], [Mes]]=""),"",DATE(A746,MATCH(B746,{"enero","febrero","marzo","abril","mayo","junio","julio","agosto","septiembre","octubre","noviembre","diciembre"},0)+1,0))</f>
        <v/>
      </c>
      <c r="E746" t="str">
        <f>+IFERROR(VLOOKUP(Fact_Control_Operaciones[[#This Row], [Concepto Anterior]],Conceptos_Control_Operaciones[#All],5,0),"")</f>
        <v/>
      </c>
      <c r="F746" t="str">
        <f>+IFERROR(VLOOKUP(Fact_Control_Operaciones[[#This Row], 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ht="18.75" customHeight="1" x14ac:dyDescent="0.35">
      <c r="C747" s="100" t="str">
        <f>IF(OR(Fact_Control_Operaciones[[#This Row], [Año]]="",Fact_Control_Operaciones[[#This Row], [Mes]]=""),"",DATE(A747,MATCH(B747,{"enero","febrero","marzo","abril","mayo","junio","julio","agosto","septiembre","octubre","noviembre","diciembre"},0)+1,0))</f>
        <v/>
      </c>
      <c r="E747" t="str">
        <f>+IFERROR(VLOOKUP(Fact_Control_Operaciones[[#This Row], [Concepto Anterior]],Conceptos_Control_Operaciones[#All],5,0),"")</f>
        <v/>
      </c>
      <c r="F747" t="str">
        <f>+IFERROR(VLOOKUP(Fact_Control_Operaciones[[#This Row], 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ht="18.75" customHeight="1" x14ac:dyDescent="0.35">
      <c r="C748" s="100" t="str">
        <f>IF(OR(Fact_Control_Operaciones[[#This Row], [Año]]="",Fact_Control_Operaciones[[#This Row], [Mes]]=""),"",DATE(A748,MATCH(B748,{"enero","febrero","marzo","abril","mayo","junio","julio","agosto","septiembre","octubre","noviembre","diciembre"},0)+1,0))</f>
        <v/>
      </c>
      <c r="E748" t="str">
        <f>+IFERROR(VLOOKUP(Fact_Control_Operaciones[[#This Row], [Concepto Anterior]],Conceptos_Control_Operaciones[#All],5,0),"")</f>
        <v/>
      </c>
      <c r="F748" t="str">
        <f>+IFERROR(VLOOKUP(Fact_Control_Operaciones[[#This Row], 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ht="18.75" customHeight="1" x14ac:dyDescent="0.35">
      <c r="C749" s="100" t="str">
        <f>IF(OR(Fact_Control_Operaciones[[#This Row], [Año]]="",Fact_Control_Operaciones[[#This Row], [Mes]]=""),"",DATE(A749,MATCH(B749,{"enero","febrero","marzo","abril","mayo","junio","julio","agosto","septiembre","octubre","noviembre","diciembre"},0)+1,0))</f>
        <v/>
      </c>
      <c r="E749" t="str">
        <f>+IFERROR(VLOOKUP(Fact_Control_Operaciones[[#This Row], [Concepto Anterior]],Conceptos_Control_Operaciones[#All],5,0),"")</f>
        <v/>
      </c>
      <c r="F749" t="str">
        <f>+IFERROR(VLOOKUP(Fact_Control_Operaciones[[#This Row], 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ht="18.75" customHeight="1" x14ac:dyDescent="0.35">
      <c r="C750" s="100" t="str">
        <f>IF(OR(Fact_Control_Operaciones[[#This Row], [Año]]="",Fact_Control_Operaciones[[#This Row], [Mes]]=""),"",DATE(A750,MATCH(B750,{"enero","febrero","marzo","abril","mayo","junio","julio","agosto","septiembre","octubre","noviembre","diciembre"},0)+1,0))</f>
        <v/>
      </c>
      <c r="E750" t="str">
        <f>+IFERROR(VLOOKUP(Fact_Control_Operaciones[[#This Row], [Concepto Anterior]],Conceptos_Control_Operaciones[#All],5,0),"")</f>
        <v/>
      </c>
      <c r="F750" t="str">
        <f>+IFERROR(VLOOKUP(Fact_Control_Operaciones[[#This Row], 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ht="18.75" customHeight="1" x14ac:dyDescent="0.35">
      <c r="C751" s="100" t="str">
        <f>IF(OR(Fact_Control_Operaciones[[#This Row], [Año]]="",Fact_Control_Operaciones[[#This Row], [Mes]]=""),"",DATE(A751,MATCH(B751,{"enero","febrero","marzo","abril","mayo","junio","julio","agosto","septiembre","octubre","noviembre","diciembre"},0)+1,0))</f>
        <v/>
      </c>
      <c r="E751" t="str">
        <f>+IFERROR(VLOOKUP(Fact_Control_Operaciones[[#This Row], [Concepto Anterior]],Conceptos_Control_Operaciones[#All],5,0),"")</f>
        <v/>
      </c>
      <c r="F751" t="str">
        <f>+IFERROR(VLOOKUP(Fact_Control_Operaciones[[#This Row], 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ht="18.75" customHeight="1" x14ac:dyDescent="0.35">
      <c r="C752" s="100" t="str">
        <f>IF(OR(Fact_Control_Operaciones[[#This Row], [Año]]="",Fact_Control_Operaciones[[#This Row], [Mes]]=""),"",DATE(A752,MATCH(B752,{"enero","febrero","marzo","abril","mayo","junio","julio","agosto","septiembre","octubre","noviembre","diciembre"},0)+1,0))</f>
        <v/>
      </c>
      <c r="E752" t="str">
        <f>+IFERROR(VLOOKUP(Fact_Control_Operaciones[[#This Row], [Concepto Anterior]],Conceptos_Control_Operaciones[#All],5,0),"")</f>
        <v/>
      </c>
      <c r="F752" t="str">
        <f>+IFERROR(VLOOKUP(Fact_Control_Operaciones[[#This Row], 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ht="18.75" customHeight="1" x14ac:dyDescent="0.35">
      <c r="C753" s="100" t="str">
        <f>IF(OR(Fact_Control_Operaciones[[#This Row], [Año]]="",Fact_Control_Operaciones[[#This Row], [Mes]]=""),"",DATE(A753,MATCH(B753,{"enero","febrero","marzo","abril","mayo","junio","julio","agosto","septiembre","octubre","noviembre","diciembre"},0)+1,0))</f>
        <v/>
      </c>
      <c r="E753" t="str">
        <f>+IFERROR(VLOOKUP(Fact_Control_Operaciones[[#This Row], [Concepto Anterior]],Conceptos_Control_Operaciones[#All],5,0),"")</f>
        <v/>
      </c>
      <c r="F753" t="str">
        <f>+IFERROR(VLOOKUP(Fact_Control_Operaciones[[#This Row], 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ht="18.75" customHeight="1" x14ac:dyDescent="0.35">
      <c r="C754" s="100" t="str">
        <f>IF(OR(Fact_Control_Operaciones[[#This Row], [Año]]="",Fact_Control_Operaciones[[#This Row], [Mes]]=""),"",DATE(A754,MATCH(B754,{"enero","febrero","marzo","abril","mayo","junio","julio","agosto","septiembre","octubre","noviembre","diciembre"},0)+1,0))</f>
        <v/>
      </c>
      <c r="E754" t="str">
        <f>+IFERROR(VLOOKUP(Fact_Control_Operaciones[[#This Row], [Concepto Anterior]],Conceptos_Control_Operaciones[#All],5,0),"")</f>
        <v/>
      </c>
      <c r="F754" t="str">
        <f>+IFERROR(VLOOKUP(Fact_Control_Operaciones[[#This Row], 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ht="18.75" customHeight="1" x14ac:dyDescent="0.35">
      <c r="C755" s="100" t="str">
        <f>IF(OR(Fact_Control_Operaciones[[#This Row], [Año]]="",Fact_Control_Operaciones[[#This Row], [Mes]]=""),"",DATE(A755,MATCH(B755,{"enero","febrero","marzo","abril","mayo","junio","julio","agosto","septiembre","octubre","noviembre","diciembre"},0)+1,0))</f>
        <v/>
      </c>
      <c r="E755" t="str">
        <f>+IFERROR(VLOOKUP(Fact_Control_Operaciones[[#This Row], [Concepto Anterior]],Conceptos_Control_Operaciones[#All],5,0),"")</f>
        <v/>
      </c>
      <c r="F755" t="str">
        <f>+IFERROR(VLOOKUP(Fact_Control_Operaciones[[#This Row], 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ht="18.75" customHeight="1" x14ac:dyDescent="0.35">
      <c r="C756" s="100" t="str">
        <f>IF(OR(Fact_Control_Operaciones[[#This Row], [Año]]="",Fact_Control_Operaciones[[#This Row], [Mes]]=""),"",DATE(A756,MATCH(B756,{"enero","febrero","marzo","abril","mayo","junio","julio","agosto","septiembre","octubre","noviembre","diciembre"},0)+1,0))</f>
        <v/>
      </c>
      <c r="E756" t="str">
        <f>+IFERROR(VLOOKUP(Fact_Control_Operaciones[[#This Row], [Concepto Anterior]],Conceptos_Control_Operaciones[#All],5,0),"")</f>
        <v/>
      </c>
      <c r="F756" t="str">
        <f>+IFERROR(VLOOKUP(Fact_Control_Operaciones[[#This Row], 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ht="18.75" customHeight="1" x14ac:dyDescent="0.35">
      <c r="C757" s="100" t="str">
        <f>IF(OR(Fact_Control_Operaciones[[#This Row], [Año]]="",Fact_Control_Operaciones[[#This Row], [Mes]]=""),"",DATE(A757,MATCH(B757,{"enero","febrero","marzo","abril","mayo","junio","julio","agosto","septiembre","octubre","noviembre","diciembre"},0)+1,0))</f>
        <v/>
      </c>
      <c r="E757" t="str">
        <f>+IFERROR(VLOOKUP(Fact_Control_Operaciones[[#This Row], [Concepto Anterior]],Conceptos_Control_Operaciones[#All],5,0),"")</f>
        <v/>
      </c>
      <c r="F757" t="str">
        <f>+IFERROR(VLOOKUP(Fact_Control_Operaciones[[#This Row], 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ht="18.75" customHeight="1" x14ac:dyDescent="0.35">
      <c r="C758" s="100" t="str">
        <f>IF(OR(Fact_Control_Operaciones[[#This Row], [Año]]="",Fact_Control_Operaciones[[#This Row], [Mes]]=""),"",DATE(A758,MATCH(B758,{"enero","febrero","marzo","abril","mayo","junio","julio","agosto","septiembre","octubre","noviembre","diciembre"},0)+1,0))</f>
        <v/>
      </c>
      <c r="E758" t="str">
        <f>+IFERROR(VLOOKUP(Fact_Control_Operaciones[[#This Row], [Concepto Anterior]],Conceptos_Control_Operaciones[#All],5,0),"")</f>
        <v/>
      </c>
      <c r="F758" t="str">
        <f>+IFERROR(VLOOKUP(Fact_Control_Operaciones[[#This Row], 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ht="18.75" customHeight="1" x14ac:dyDescent="0.35">
      <c r="C759" s="100" t="str">
        <f>IF(OR(Fact_Control_Operaciones[[#This Row], [Año]]="",Fact_Control_Operaciones[[#This Row], [Mes]]=""),"",DATE(A759,MATCH(B759,{"enero","febrero","marzo","abril","mayo","junio","julio","agosto","septiembre","octubre","noviembre","diciembre"},0)+1,0))</f>
        <v/>
      </c>
      <c r="E759" t="str">
        <f>+IFERROR(VLOOKUP(Fact_Control_Operaciones[[#This Row], [Concepto Anterior]],Conceptos_Control_Operaciones[#All],5,0),"")</f>
        <v/>
      </c>
      <c r="F759" t="str">
        <f>+IFERROR(VLOOKUP(Fact_Control_Operaciones[[#This Row], 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ht="18.75" customHeight="1" x14ac:dyDescent="0.35">
      <c r="C760" s="100" t="str">
        <f>IF(OR(Fact_Control_Operaciones[[#This Row], [Año]]="",Fact_Control_Operaciones[[#This Row], [Mes]]=""),"",DATE(A760,MATCH(B760,{"enero","febrero","marzo","abril","mayo","junio","julio","agosto","septiembre","octubre","noviembre","diciembre"},0)+1,0))</f>
        <v/>
      </c>
      <c r="E760" t="str">
        <f>+IFERROR(VLOOKUP(Fact_Control_Operaciones[[#This Row], [Concepto Anterior]],Conceptos_Control_Operaciones[#All],5,0),"")</f>
        <v/>
      </c>
      <c r="F760" t="str">
        <f>+IFERROR(VLOOKUP(Fact_Control_Operaciones[[#This Row], 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ht="18.75" customHeight="1" x14ac:dyDescent="0.35">
      <c r="C761" s="100" t="str">
        <f>IF(OR(Fact_Control_Operaciones[[#This Row], [Año]]="",Fact_Control_Operaciones[[#This Row], [Mes]]=""),"",DATE(A761,MATCH(B761,{"enero","febrero","marzo","abril","mayo","junio","julio","agosto","septiembre","octubre","noviembre","diciembre"},0)+1,0))</f>
        <v/>
      </c>
      <c r="E761" t="str">
        <f>+IFERROR(VLOOKUP(Fact_Control_Operaciones[[#This Row], [Concepto Anterior]],Conceptos_Control_Operaciones[#All],5,0),"")</f>
        <v/>
      </c>
      <c r="F761" t="str">
        <f>+IFERROR(VLOOKUP(Fact_Control_Operaciones[[#This Row], 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ht="18.75" customHeight="1" x14ac:dyDescent="0.35">
      <c r="C762" s="100" t="str">
        <f>IF(OR(Fact_Control_Operaciones[[#This Row], [Año]]="",Fact_Control_Operaciones[[#This Row], [Mes]]=""),"",DATE(A762,MATCH(B762,{"enero","febrero","marzo","abril","mayo","junio","julio","agosto","septiembre","octubre","noviembre","diciembre"},0)+1,0))</f>
        <v/>
      </c>
      <c r="E762" t="str">
        <f>+IFERROR(VLOOKUP(Fact_Control_Operaciones[[#This Row], [Concepto Anterior]],Conceptos_Control_Operaciones[#All],5,0),"")</f>
        <v/>
      </c>
      <c r="F762" t="str">
        <f>+IFERROR(VLOOKUP(Fact_Control_Operaciones[[#This Row], 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ht="18.75" customHeight="1" x14ac:dyDescent="0.35">
      <c r="C763" s="100" t="str">
        <f>IF(OR(Fact_Control_Operaciones[[#This Row], [Año]]="",Fact_Control_Operaciones[[#This Row], [Mes]]=""),"",DATE(A763,MATCH(B763,{"enero","febrero","marzo","abril","mayo","junio","julio","agosto","septiembre","octubre","noviembre","diciembre"},0)+1,0))</f>
        <v/>
      </c>
      <c r="E763" t="str">
        <f>+IFERROR(VLOOKUP(Fact_Control_Operaciones[[#This Row], [Concepto Anterior]],Conceptos_Control_Operaciones[#All],5,0),"")</f>
        <v/>
      </c>
      <c r="F763" t="str">
        <f>+IFERROR(VLOOKUP(Fact_Control_Operaciones[[#This Row], 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ht="18.75" customHeight="1" x14ac:dyDescent="0.35">
      <c r="C764" s="100" t="str">
        <f>IF(OR(Fact_Control_Operaciones[[#This Row], [Año]]="",Fact_Control_Operaciones[[#This Row], [Mes]]=""),"",DATE(A764,MATCH(B764,{"enero","febrero","marzo","abril","mayo","junio","julio","agosto","septiembre","octubre","noviembre","diciembre"},0)+1,0))</f>
        <v/>
      </c>
      <c r="E764" t="str">
        <f>+IFERROR(VLOOKUP(Fact_Control_Operaciones[[#This Row], [Concepto Anterior]],Conceptos_Control_Operaciones[#All],5,0),"")</f>
        <v/>
      </c>
      <c r="F764" t="str">
        <f>+IFERROR(VLOOKUP(Fact_Control_Operaciones[[#This Row], 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ht="18.75" customHeight="1" x14ac:dyDescent="0.35">
      <c r="C765" s="100" t="str">
        <f>IF(OR(Fact_Control_Operaciones[[#This Row], [Año]]="",Fact_Control_Operaciones[[#This Row], [Mes]]=""),"",DATE(A765,MATCH(B765,{"enero","febrero","marzo","abril","mayo","junio","julio","agosto","septiembre","octubre","noviembre","diciembre"},0)+1,0))</f>
        <v/>
      </c>
      <c r="E765" t="str">
        <f>+IFERROR(VLOOKUP(Fact_Control_Operaciones[[#This Row], [Concepto Anterior]],Conceptos_Control_Operaciones[#All],5,0),"")</f>
        <v/>
      </c>
      <c r="F765" t="str">
        <f>+IFERROR(VLOOKUP(Fact_Control_Operaciones[[#This Row], 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ht="18.75" customHeight="1" x14ac:dyDescent="0.35">
      <c r="C766" s="100" t="str">
        <f>IF(OR(Fact_Control_Operaciones[[#This Row], [Año]]="",Fact_Control_Operaciones[[#This Row], [Mes]]=""),"",DATE(A766,MATCH(B766,{"enero","febrero","marzo","abril","mayo","junio","julio","agosto","septiembre","octubre","noviembre","diciembre"},0)+1,0))</f>
        <v/>
      </c>
      <c r="E766" t="str">
        <f>+IFERROR(VLOOKUP(Fact_Control_Operaciones[[#This Row], [Concepto Anterior]],Conceptos_Control_Operaciones[#All],5,0),"")</f>
        <v/>
      </c>
      <c r="F766" t="str">
        <f>+IFERROR(VLOOKUP(Fact_Control_Operaciones[[#This Row], 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ht="18.75" customHeight="1" x14ac:dyDescent="0.35">
      <c r="C767" s="100" t="str">
        <f>IF(OR(Fact_Control_Operaciones[[#This Row], [Año]]="",Fact_Control_Operaciones[[#This Row], [Mes]]=""),"",DATE(A767,MATCH(B767,{"enero","febrero","marzo","abril","mayo","junio","julio","agosto","septiembre","octubre","noviembre","diciembre"},0)+1,0))</f>
        <v/>
      </c>
      <c r="E767" t="str">
        <f>+IFERROR(VLOOKUP(Fact_Control_Operaciones[[#This Row], [Concepto Anterior]],Conceptos_Control_Operaciones[#All],5,0),"")</f>
        <v/>
      </c>
      <c r="F767" t="str">
        <f>+IFERROR(VLOOKUP(Fact_Control_Operaciones[[#This Row], 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ht="18.75" customHeight="1" x14ac:dyDescent="0.35">
      <c r="C768" s="100" t="str">
        <f>IF(OR(Fact_Control_Operaciones[[#This Row], [Año]]="",Fact_Control_Operaciones[[#This Row], [Mes]]=""),"",DATE(A768,MATCH(B768,{"enero","febrero","marzo","abril","mayo","junio","julio","agosto","septiembre","octubre","noviembre","diciembre"},0)+1,0))</f>
        <v/>
      </c>
      <c r="E768" t="str">
        <f>+IFERROR(VLOOKUP(Fact_Control_Operaciones[[#This Row], [Concepto Anterior]],Conceptos_Control_Operaciones[#All],5,0),"")</f>
        <v/>
      </c>
      <c r="F768" t="str">
        <f>+IFERROR(VLOOKUP(Fact_Control_Operaciones[[#This Row], 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ht="18.75" customHeight="1" x14ac:dyDescent="0.35">
      <c r="C769" s="100" t="str">
        <f>IF(OR(Fact_Control_Operaciones[[#This Row], [Año]]="",Fact_Control_Operaciones[[#This Row], [Mes]]=""),"",DATE(A769,MATCH(B769,{"enero","febrero","marzo","abril","mayo","junio","julio","agosto","septiembre","octubre","noviembre","diciembre"},0)+1,0))</f>
        <v/>
      </c>
      <c r="E769" t="str">
        <f>+IFERROR(VLOOKUP(Fact_Control_Operaciones[[#This Row], [Concepto Anterior]],Conceptos_Control_Operaciones[#All],5,0),"")</f>
        <v/>
      </c>
      <c r="F769" t="str">
        <f>+IFERROR(VLOOKUP(Fact_Control_Operaciones[[#This Row], 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ht="18.75" customHeight="1" x14ac:dyDescent="0.35">
      <c r="C770" s="100" t="str">
        <f>IF(OR(Fact_Control_Operaciones[[#This Row], [Año]]="",Fact_Control_Operaciones[[#This Row], [Mes]]=""),"",DATE(A770,MATCH(B770,{"enero","febrero","marzo","abril","mayo","junio","julio","agosto","septiembre","octubre","noviembre","diciembre"},0)+1,0))</f>
        <v/>
      </c>
      <c r="E770" t="str">
        <f>+IFERROR(VLOOKUP(Fact_Control_Operaciones[[#This Row], [Concepto Anterior]],Conceptos_Control_Operaciones[#All],5,0),"")</f>
        <v/>
      </c>
      <c r="F770" t="str">
        <f>+IFERROR(VLOOKUP(Fact_Control_Operaciones[[#This Row], 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ht="18.75" customHeight="1" x14ac:dyDescent="0.35">
      <c r="C771" s="100" t="str">
        <f>IF(OR(Fact_Control_Operaciones[[#This Row], [Año]]="",Fact_Control_Operaciones[[#This Row], [Mes]]=""),"",DATE(A771,MATCH(B771,{"enero","febrero","marzo","abril","mayo","junio","julio","agosto","septiembre","octubre","noviembre","diciembre"},0)+1,0))</f>
        <v/>
      </c>
      <c r="E771" t="str">
        <f>+IFERROR(VLOOKUP(Fact_Control_Operaciones[[#This Row], [Concepto Anterior]],Conceptos_Control_Operaciones[#All],5,0),"")</f>
        <v/>
      </c>
      <c r="F771" t="str">
        <f>+IFERROR(VLOOKUP(Fact_Control_Operaciones[[#This Row], 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ht="18.75" customHeight="1" x14ac:dyDescent="0.35">
      <c r="C772" s="100" t="str">
        <f>IF(OR(Fact_Control_Operaciones[[#This Row], [Año]]="",Fact_Control_Operaciones[[#This Row], [Mes]]=""),"",DATE(A772,MATCH(B772,{"enero","febrero","marzo","abril","mayo","junio","julio","agosto","septiembre","octubre","noviembre","diciembre"},0)+1,0))</f>
        <v/>
      </c>
      <c r="E772" t="str">
        <f>+IFERROR(VLOOKUP(Fact_Control_Operaciones[[#This Row], [Concepto Anterior]],Conceptos_Control_Operaciones[#All],5,0),"")</f>
        <v/>
      </c>
      <c r="F772" t="str">
        <f>+IFERROR(VLOOKUP(Fact_Control_Operaciones[[#This Row], 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ht="18.75" customHeight="1" x14ac:dyDescent="0.35">
      <c r="C773" s="100" t="str">
        <f>IF(OR(Fact_Control_Operaciones[[#This Row], [Año]]="",Fact_Control_Operaciones[[#This Row], [Mes]]=""),"",DATE(A773,MATCH(B773,{"enero","febrero","marzo","abril","mayo","junio","julio","agosto","septiembre","octubre","noviembre","diciembre"},0)+1,0))</f>
        <v/>
      </c>
      <c r="E773" t="str">
        <f>+IFERROR(VLOOKUP(Fact_Control_Operaciones[[#This Row], [Concepto Anterior]],Conceptos_Control_Operaciones[#All],5,0),"")</f>
        <v/>
      </c>
      <c r="F773" t="str">
        <f>+IFERROR(VLOOKUP(Fact_Control_Operaciones[[#This Row], 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ht="18.75" customHeight="1" x14ac:dyDescent="0.35">
      <c r="C774" s="100" t="str">
        <f>IF(OR(Fact_Control_Operaciones[[#This Row], [Año]]="",Fact_Control_Operaciones[[#This Row], [Mes]]=""),"",DATE(A774,MATCH(B774,{"enero","febrero","marzo","abril","mayo","junio","julio","agosto","septiembre","octubre","noviembre","diciembre"},0)+1,0))</f>
        <v/>
      </c>
      <c r="E774" t="str">
        <f>+IFERROR(VLOOKUP(Fact_Control_Operaciones[[#This Row], [Concepto Anterior]],Conceptos_Control_Operaciones[#All],5,0),"")</f>
        <v/>
      </c>
      <c r="F774" t="str">
        <f>+IFERROR(VLOOKUP(Fact_Control_Operaciones[[#This Row], 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ht="18.75" customHeight="1" x14ac:dyDescent="0.35">
      <c r="C775" s="100" t="str">
        <f>IF(OR(Fact_Control_Operaciones[[#This Row], [Año]]="",Fact_Control_Operaciones[[#This Row], [Mes]]=""),"",DATE(A775,MATCH(B775,{"enero","febrero","marzo","abril","mayo","junio","julio","agosto","septiembre","octubre","noviembre","diciembre"},0)+1,0))</f>
        <v/>
      </c>
      <c r="E775" t="str">
        <f>+IFERROR(VLOOKUP(Fact_Control_Operaciones[[#This Row], [Concepto Anterior]],Conceptos_Control_Operaciones[#All],5,0),"")</f>
        <v/>
      </c>
      <c r="F775" t="str">
        <f>+IFERROR(VLOOKUP(Fact_Control_Operaciones[[#This Row], 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ht="18.75" customHeight="1" x14ac:dyDescent="0.35">
      <c r="C776" s="100" t="str">
        <f>IF(OR(Fact_Control_Operaciones[[#This Row], [Año]]="",Fact_Control_Operaciones[[#This Row], [Mes]]=""),"",DATE(A776,MATCH(B776,{"enero","febrero","marzo","abril","mayo","junio","julio","agosto","septiembre","octubre","noviembre","diciembre"},0)+1,0))</f>
        <v/>
      </c>
      <c r="E776" t="str">
        <f>+IFERROR(VLOOKUP(Fact_Control_Operaciones[[#This Row], [Concepto Anterior]],Conceptos_Control_Operaciones[#All],5,0),"")</f>
        <v/>
      </c>
      <c r="F776" t="str">
        <f>+IFERROR(VLOOKUP(Fact_Control_Operaciones[[#This Row], 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ht="18.75" customHeight="1" x14ac:dyDescent="0.35">
      <c r="C777" s="100" t="str">
        <f>IF(OR(Fact_Control_Operaciones[[#This Row], [Año]]="",Fact_Control_Operaciones[[#This Row], [Mes]]=""),"",DATE(A777,MATCH(B777,{"enero","febrero","marzo","abril","mayo","junio","julio","agosto","septiembre","octubre","noviembre","diciembre"},0)+1,0))</f>
        <v/>
      </c>
      <c r="E777" t="str">
        <f>+IFERROR(VLOOKUP(Fact_Control_Operaciones[[#This Row], [Concepto Anterior]],Conceptos_Control_Operaciones[#All],5,0),"")</f>
        <v/>
      </c>
      <c r="F777" t="str">
        <f>+IFERROR(VLOOKUP(Fact_Control_Operaciones[[#This Row], 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ht="18.75" customHeight="1" x14ac:dyDescent="0.35">
      <c r="C778" s="100" t="str">
        <f>IF(OR(Fact_Control_Operaciones[[#This Row], [Año]]="",Fact_Control_Operaciones[[#This Row], [Mes]]=""),"",DATE(A778,MATCH(B778,{"enero","febrero","marzo","abril","mayo","junio","julio","agosto","septiembre","octubre","noviembre","diciembre"},0)+1,0))</f>
        <v/>
      </c>
      <c r="E778" t="str">
        <f>+IFERROR(VLOOKUP(Fact_Control_Operaciones[[#This Row], [Concepto Anterior]],Conceptos_Control_Operaciones[#All],5,0),"")</f>
        <v/>
      </c>
      <c r="F778" t="str">
        <f>+IFERROR(VLOOKUP(Fact_Control_Operaciones[[#This Row], 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ht="18.75" customHeight="1" x14ac:dyDescent="0.35">
      <c r="C779" s="100" t="str">
        <f>IF(OR(Fact_Control_Operaciones[[#This Row], [Año]]="",Fact_Control_Operaciones[[#This Row], [Mes]]=""),"",DATE(A779,MATCH(B779,{"enero","febrero","marzo","abril","mayo","junio","julio","agosto","septiembre","octubre","noviembre","diciembre"},0)+1,0))</f>
        <v/>
      </c>
      <c r="E779" t="str">
        <f>+IFERROR(VLOOKUP(Fact_Control_Operaciones[[#This Row], [Concepto Anterior]],Conceptos_Control_Operaciones[#All],5,0),"")</f>
        <v/>
      </c>
      <c r="F779" t="str">
        <f>+IFERROR(VLOOKUP(Fact_Control_Operaciones[[#This Row], 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ht="18.75" customHeight="1" x14ac:dyDescent="0.35">
      <c r="C780" s="100" t="str">
        <f>IF(OR(Fact_Control_Operaciones[[#This Row], [Año]]="",Fact_Control_Operaciones[[#This Row], [Mes]]=""),"",DATE(A780,MATCH(B780,{"enero","febrero","marzo","abril","mayo","junio","julio","agosto","septiembre","octubre","noviembre","diciembre"},0)+1,0))</f>
        <v/>
      </c>
      <c r="E780" t="str">
        <f>+IFERROR(VLOOKUP(Fact_Control_Operaciones[[#This Row], [Concepto Anterior]],Conceptos_Control_Operaciones[#All],5,0),"")</f>
        <v/>
      </c>
      <c r="F780" t="str">
        <f>+IFERROR(VLOOKUP(Fact_Control_Operaciones[[#This Row], 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ht="18.75" customHeight="1" x14ac:dyDescent="0.35">
      <c r="C781" s="100" t="str">
        <f>IF(OR(Fact_Control_Operaciones[[#This Row], [Año]]="",Fact_Control_Operaciones[[#This Row], [Mes]]=""),"",DATE(A781,MATCH(B781,{"enero","febrero","marzo","abril","mayo","junio","julio","agosto","septiembre","octubre","noviembre","diciembre"},0)+1,0))</f>
        <v/>
      </c>
      <c r="E781" t="str">
        <f>+IFERROR(VLOOKUP(Fact_Control_Operaciones[[#This Row], [Concepto Anterior]],Conceptos_Control_Operaciones[#All],5,0),"")</f>
        <v/>
      </c>
      <c r="F781" t="str">
        <f>+IFERROR(VLOOKUP(Fact_Control_Operaciones[[#This Row], 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ht="18.75" customHeight="1" x14ac:dyDescent="0.35">
      <c r="C782" s="100" t="str">
        <f>IF(OR(Fact_Control_Operaciones[[#This Row], [Año]]="",Fact_Control_Operaciones[[#This Row], [Mes]]=""),"",DATE(A782,MATCH(B782,{"enero","febrero","marzo","abril","mayo","junio","julio","agosto","septiembre","octubre","noviembre","diciembre"},0)+1,0))</f>
        <v/>
      </c>
      <c r="E782" t="str">
        <f>+IFERROR(VLOOKUP(Fact_Control_Operaciones[[#This Row], [Concepto Anterior]],Conceptos_Control_Operaciones[#All],5,0),"")</f>
        <v/>
      </c>
      <c r="F782" t="str">
        <f>+IFERROR(VLOOKUP(Fact_Control_Operaciones[[#This Row], 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ht="18.75" customHeight="1" x14ac:dyDescent="0.35">
      <c r="C783" s="100" t="str">
        <f>IF(OR(Fact_Control_Operaciones[[#This Row], [Año]]="",Fact_Control_Operaciones[[#This Row], [Mes]]=""),"",DATE(A783,MATCH(B783,{"enero","febrero","marzo","abril","mayo","junio","julio","agosto","septiembre","octubre","noviembre","diciembre"},0)+1,0))</f>
        <v/>
      </c>
      <c r="E783" t="str">
        <f>+IFERROR(VLOOKUP(Fact_Control_Operaciones[[#This Row], [Concepto Anterior]],Conceptos_Control_Operaciones[#All],5,0),"")</f>
        <v/>
      </c>
      <c r="F783" t="str">
        <f>+IFERROR(VLOOKUP(Fact_Control_Operaciones[[#This Row], 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ht="18.75" customHeight="1" x14ac:dyDescent="0.35">
      <c r="C784" s="100" t="str">
        <f>IF(OR(Fact_Control_Operaciones[[#This Row], [Año]]="",Fact_Control_Operaciones[[#This Row], [Mes]]=""),"",DATE(A784,MATCH(B784,{"enero","febrero","marzo","abril","mayo","junio","julio","agosto","septiembre","octubre","noviembre","diciembre"},0)+1,0))</f>
        <v/>
      </c>
      <c r="E784" t="str">
        <f>+IFERROR(VLOOKUP(Fact_Control_Operaciones[[#This Row], [Concepto Anterior]],Conceptos_Control_Operaciones[#All],5,0),"")</f>
        <v/>
      </c>
      <c r="F784" t="str">
        <f>+IFERROR(VLOOKUP(Fact_Control_Operaciones[[#This Row], 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ht="18.75" customHeight="1" x14ac:dyDescent="0.35">
      <c r="C785" s="100" t="str">
        <f>IF(OR(Fact_Control_Operaciones[[#This Row], [Año]]="",Fact_Control_Operaciones[[#This Row], [Mes]]=""),"",DATE(A785,MATCH(B785,{"enero","febrero","marzo","abril","mayo","junio","julio","agosto","septiembre","octubre","noviembre","diciembre"},0)+1,0))</f>
        <v/>
      </c>
      <c r="E785" t="str">
        <f>+IFERROR(VLOOKUP(Fact_Control_Operaciones[[#This Row], [Concepto Anterior]],Conceptos_Control_Operaciones[#All],5,0),"")</f>
        <v/>
      </c>
      <c r="F785" t="str">
        <f>+IFERROR(VLOOKUP(Fact_Control_Operaciones[[#This Row], 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ht="18.75" customHeight="1" x14ac:dyDescent="0.35">
      <c r="C786" s="100" t="str">
        <f>IF(OR(Fact_Control_Operaciones[[#This Row], [Año]]="",Fact_Control_Operaciones[[#This Row], [Mes]]=""),"",DATE(A786,MATCH(B786,{"enero","febrero","marzo","abril","mayo","junio","julio","agosto","septiembre","octubre","noviembre","diciembre"},0)+1,0))</f>
        <v/>
      </c>
      <c r="E786" t="str">
        <f>+IFERROR(VLOOKUP(Fact_Control_Operaciones[[#This Row], [Concepto Anterior]],Conceptos_Control_Operaciones[#All],5,0),"")</f>
        <v/>
      </c>
      <c r="F786" t="str">
        <f>+IFERROR(VLOOKUP(Fact_Control_Operaciones[[#This Row], 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ht="18.75" customHeight="1" x14ac:dyDescent="0.35">
      <c r="C787" s="100" t="str">
        <f>IF(OR(Fact_Control_Operaciones[[#This Row], [Año]]="",Fact_Control_Operaciones[[#This Row], [Mes]]=""),"",DATE(A787,MATCH(B787,{"enero","febrero","marzo","abril","mayo","junio","julio","agosto","septiembre","octubre","noviembre","diciembre"},0)+1,0))</f>
        <v/>
      </c>
      <c r="E787" t="str">
        <f>+IFERROR(VLOOKUP(Fact_Control_Operaciones[[#This Row], [Concepto Anterior]],Conceptos_Control_Operaciones[#All],5,0),"")</f>
        <v/>
      </c>
      <c r="F787" t="str">
        <f>+IFERROR(VLOOKUP(Fact_Control_Operaciones[[#This Row], 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ht="18.75" customHeight="1" x14ac:dyDescent="0.35">
      <c r="C788" s="100" t="str">
        <f>IF(OR(Fact_Control_Operaciones[[#This Row], [Año]]="",Fact_Control_Operaciones[[#This Row], [Mes]]=""),"",DATE(A788,MATCH(B788,{"enero","febrero","marzo","abril","mayo","junio","julio","agosto","septiembre","octubre","noviembre","diciembre"},0)+1,0))</f>
        <v/>
      </c>
      <c r="E788" t="str">
        <f>+IFERROR(VLOOKUP(Fact_Control_Operaciones[[#This Row], [Concepto Anterior]],Conceptos_Control_Operaciones[#All],5,0),"")</f>
        <v/>
      </c>
      <c r="F788" t="str">
        <f>+IFERROR(VLOOKUP(Fact_Control_Operaciones[[#This Row], 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ht="18.75" customHeight="1" x14ac:dyDescent="0.35">
      <c r="C789" s="100" t="str">
        <f>IF(OR(Fact_Control_Operaciones[[#This Row], [Año]]="",Fact_Control_Operaciones[[#This Row], [Mes]]=""),"",DATE(A789,MATCH(B789,{"enero","febrero","marzo","abril","mayo","junio","julio","agosto","septiembre","octubre","noviembre","diciembre"},0)+1,0))</f>
        <v/>
      </c>
      <c r="E789" t="str">
        <f>+IFERROR(VLOOKUP(Fact_Control_Operaciones[[#This Row], [Concepto Anterior]],Conceptos_Control_Operaciones[#All],5,0),"")</f>
        <v/>
      </c>
      <c r="F789" t="str">
        <f>+IFERROR(VLOOKUP(Fact_Control_Operaciones[[#This Row], 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ht="18.75" customHeight="1" x14ac:dyDescent="0.35">
      <c r="C790" s="100" t="str">
        <f>IF(OR(Fact_Control_Operaciones[[#This Row], [Año]]="",Fact_Control_Operaciones[[#This Row], [Mes]]=""),"",DATE(A790,MATCH(B790,{"enero","febrero","marzo","abril","mayo","junio","julio","agosto","septiembre","octubre","noviembre","diciembre"},0)+1,0))</f>
        <v/>
      </c>
      <c r="E790" t="str">
        <f>+IFERROR(VLOOKUP(Fact_Control_Operaciones[[#This Row], [Concepto Anterior]],Conceptos_Control_Operaciones[#All],5,0),"")</f>
        <v/>
      </c>
      <c r="F790" t="str">
        <f>+IFERROR(VLOOKUP(Fact_Control_Operaciones[[#This Row], 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ht="18.75" customHeight="1" x14ac:dyDescent="0.35">
      <c r="C791" s="100" t="str">
        <f>IF(OR(Fact_Control_Operaciones[[#This Row], [Año]]="",Fact_Control_Operaciones[[#This Row], [Mes]]=""),"",DATE(A791,MATCH(B791,{"enero","febrero","marzo","abril","mayo","junio","julio","agosto","septiembre","octubre","noviembre","diciembre"},0)+1,0))</f>
        <v/>
      </c>
      <c r="E791" t="str">
        <f>+IFERROR(VLOOKUP(Fact_Control_Operaciones[[#This Row], [Concepto Anterior]],Conceptos_Control_Operaciones[#All],5,0),"")</f>
        <v/>
      </c>
      <c r="F791" t="str">
        <f>+IFERROR(VLOOKUP(Fact_Control_Operaciones[[#This Row], 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ht="18.75" customHeight="1" x14ac:dyDescent="0.35">
      <c r="C792" s="100" t="str">
        <f>IF(OR(Fact_Control_Operaciones[[#This Row], [Año]]="",Fact_Control_Operaciones[[#This Row], [Mes]]=""),"",DATE(A792,MATCH(B792,{"enero","febrero","marzo","abril","mayo","junio","julio","agosto","septiembre","octubre","noviembre","diciembre"},0)+1,0))</f>
        <v/>
      </c>
      <c r="E792" t="str">
        <f>+IFERROR(VLOOKUP(Fact_Control_Operaciones[[#This Row], [Concepto Anterior]],Conceptos_Control_Operaciones[#All],5,0),"")</f>
        <v/>
      </c>
      <c r="F792" t="str">
        <f>+IFERROR(VLOOKUP(Fact_Control_Operaciones[[#This Row], 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ht="18.75" customHeight="1" x14ac:dyDescent="0.35">
      <c r="C793" s="100" t="str">
        <f>IF(OR(Fact_Control_Operaciones[[#This Row], [Año]]="",Fact_Control_Operaciones[[#This Row], [Mes]]=""),"",DATE(A793,MATCH(B793,{"enero","febrero","marzo","abril","mayo","junio","julio","agosto","septiembre","octubre","noviembre","diciembre"},0)+1,0))</f>
        <v/>
      </c>
      <c r="E793" t="str">
        <f>+IFERROR(VLOOKUP(Fact_Control_Operaciones[[#This Row], [Concepto Anterior]],Conceptos_Control_Operaciones[#All],5,0),"")</f>
        <v/>
      </c>
      <c r="F793" t="str">
        <f>+IFERROR(VLOOKUP(Fact_Control_Operaciones[[#This Row], 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ht="18.75" customHeight="1" x14ac:dyDescent="0.35">
      <c r="C794" s="100" t="str">
        <f>IF(OR(Fact_Control_Operaciones[[#This Row], [Año]]="",Fact_Control_Operaciones[[#This Row], [Mes]]=""),"",DATE(A794,MATCH(B794,{"enero","febrero","marzo","abril","mayo","junio","julio","agosto","septiembre","octubre","noviembre","diciembre"},0)+1,0))</f>
        <v/>
      </c>
      <c r="E794" t="str">
        <f>+IFERROR(VLOOKUP(Fact_Control_Operaciones[[#This Row], [Concepto Anterior]],Conceptos_Control_Operaciones[#All],5,0),"")</f>
        <v/>
      </c>
      <c r="F794" t="str">
        <f>+IFERROR(VLOOKUP(Fact_Control_Operaciones[[#This Row], 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ht="18.75" customHeight="1" x14ac:dyDescent="0.35">
      <c r="C795" s="100" t="str">
        <f>IF(OR(Fact_Control_Operaciones[[#This Row], [Año]]="",Fact_Control_Operaciones[[#This Row], [Mes]]=""),"",DATE(A795,MATCH(B795,{"enero","febrero","marzo","abril","mayo","junio","julio","agosto","septiembre","octubre","noviembre","diciembre"},0)+1,0))</f>
        <v/>
      </c>
      <c r="E795" t="str">
        <f>+IFERROR(VLOOKUP(Fact_Control_Operaciones[[#This Row], [Concepto Anterior]],Conceptos_Control_Operaciones[#All],5,0),"")</f>
        <v/>
      </c>
      <c r="F795" t="str">
        <f>+IFERROR(VLOOKUP(Fact_Control_Operaciones[[#This Row], 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ht="18.75" customHeight="1" x14ac:dyDescent="0.35">
      <c r="C796" s="100" t="str">
        <f>IF(OR(Fact_Control_Operaciones[[#This Row], [Año]]="",Fact_Control_Operaciones[[#This Row], [Mes]]=""),"",DATE(A796,MATCH(B796,{"enero","febrero","marzo","abril","mayo","junio","julio","agosto","septiembre","octubre","noviembre","diciembre"},0)+1,0))</f>
        <v/>
      </c>
      <c r="E796" t="str">
        <f>+IFERROR(VLOOKUP(Fact_Control_Operaciones[[#This Row], [Concepto Anterior]],Conceptos_Control_Operaciones[#All],5,0),"")</f>
        <v/>
      </c>
      <c r="F796" t="str">
        <f>+IFERROR(VLOOKUP(Fact_Control_Operaciones[[#This Row], 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ht="18.75" customHeight="1" x14ac:dyDescent="0.35">
      <c r="C797" s="100" t="str">
        <f>IF(OR(Fact_Control_Operaciones[[#This Row], [Año]]="",Fact_Control_Operaciones[[#This Row], [Mes]]=""),"",DATE(A797,MATCH(B797,{"enero","febrero","marzo","abril","mayo","junio","julio","agosto","septiembre","octubre","noviembre","diciembre"},0)+1,0))</f>
        <v/>
      </c>
      <c r="E797" t="str">
        <f>+IFERROR(VLOOKUP(Fact_Control_Operaciones[[#This Row], [Concepto Anterior]],Conceptos_Control_Operaciones[#All],5,0),"")</f>
        <v/>
      </c>
      <c r="F797" t="str">
        <f>+IFERROR(VLOOKUP(Fact_Control_Operaciones[[#This Row], 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ht="18.75" customHeight="1" x14ac:dyDescent="0.35">
      <c r="C798" s="100" t="str">
        <f>IF(OR(Fact_Control_Operaciones[[#This Row], [Año]]="",Fact_Control_Operaciones[[#This Row], [Mes]]=""),"",DATE(A798,MATCH(B798,{"enero","febrero","marzo","abril","mayo","junio","julio","agosto","septiembre","octubre","noviembre","diciembre"},0)+1,0))</f>
        <v/>
      </c>
      <c r="E798" t="str">
        <f>+IFERROR(VLOOKUP(Fact_Control_Operaciones[[#This Row], [Concepto Anterior]],Conceptos_Control_Operaciones[#All],5,0),"")</f>
        <v/>
      </c>
      <c r="F798" t="str">
        <f>+IFERROR(VLOOKUP(Fact_Control_Operaciones[[#This Row], 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ht="18.75" customHeight="1" x14ac:dyDescent="0.35">
      <c r="C799" s="100" t="str">
        <f>IF(OR(Fact_Control_Operaciones[[#This Row], [Año]]="",Fact_Control_Operaciones[[#This Row], [Mes]]=""),"",DATE(A799,MATCH(B799,{"enero","febrero","marzo","abril","mayo","junio","julio","agosto","septiembre","octubre","noviembre","diciembre"},0)+1,0))</f>
        <v/>
      </c>
      <c r="E799" t="str">
        <f>+IFERROR(VLOOKUP(Fact_Control_Operaciones[[#This Row], [Concepto Anterior]],Conceptos_Control_Operaciones[#All],5,0),"")</f>
        <v/>
      </c>
      <c r="F799" t="str">
        <f>+IFERROR(VLOOKUP(Fact_Control_Operaciones[[#This Row], 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ht="18.75" customHeight="1" x14ac:dyDescent="0.35">
      <c r="C800" s="100" t="str">
        <f>IF(OR(Fact_Control_Operaciones[[#This Row], [Año]]="",Fact_Control_Operaciones[[#This Row], [Mes]]=""),"",DATE(A800,MATCH(B800,{"enero","febrero","marzo","abril","mayo","junio","julio","agosto","septiembre","octubre","noviembre","diciembre"},0)+1,0))</f>
        <v/>
      </c>
      <c r="E800" t="str">
        <f>+IFERROR(VLOOKUP(Fact_Control_Operaciones[[#This Row], [Concepto Anterior]],Conceptos_Control_Operaciones[#All],5,0),"")</f>
        <v/>
      </c>
      <c r="F800" t="str">
        <f>+IFERROR(VLOOKUP(Fact_Control_Operaciones[[#This Row], 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ht="18.75" customHeight="1" x14ac:dyDescent="0.35">
      <c r="C801" s="100" t="str">
        <f>IF(OR(Fact_Control_Operaciones[[#This Row], [Año]]="",Fact_Control_Operaciones[[#This Row], [Mes]]=""),"",DATE(A801,MATCH(B801,{"enero","febrero","marzo","abril","mayo","junio","julio","agosto","septiembre","octubre","noviembre","diciembre"},0)+1,0))</f>
        <v/>
      </c>
      <c r="E801" t="str">
        <f>+IFERROR(VLOOKUP(Fact_Control_Operaciones[[#This Row], [Concepto Anterior]],Conceptos_Control_Operaciones[#All],5,0),"")</f>
        <v/>
      </c>
      <c r="F801" t="str">
        <f>+IFERROR(VLOOKUP(Fact_Control_Operaciones[[#This Row], 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ht="18.75" customHeight="1" x14ac:dyDescent="0.35">
      <c r="C802" s="100" t="str">
        <f>IF(OR(Fact_Control_Operaciones[[#This Row], [Año]]="",Fact_Control_Operaciones[[#This Row], [Mes]]=""),"",DATE(A802,MATCH(B802,{"enero","febrero","marzo","abril","mayo","junio","julio","agosto","septiembre","octubre","noviembre","diciembre"},0)+1,0))</f>
        <v/>
      </c>
      <c r="E802" t="str">
        <f>+IFERROR(VLOOKUP(Fact_Control_Operaciones[[#This Row], [Concepto Anterior]],Conceptos_Control_Operaciones[#All],5,0),"")</f>
        <v/>
      </c>
      <c r="F802" t="str">
        <f>+IFERROR(VLOOKUP(Fact_Control_Operaciones[[#This Row], 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ht="18.75" customHeight="1" x14ac:dyDescent="0.35">
      <c r="C803" s="100" t="str">
        <f>IF(OR(Fact_Control_Operaciones[[#This Row], [Año]]="",Fact_Control_Operaciones[[#This Row], [Mes]]=""),"",DATE(A803,MATCH(B803,{"enero","febrero","marzo","abril","mayo","junio","julio","agosto","septiembre","octubre","noviembre","diciembre"},0)+1,0))</f>
        <v/>
      </c>
      <c r="E803" t="str">
        <f>+IFERROR(VLOOKUP(Fact_Control_Operaciones[[#This Row], [Concepto Anterior]],Conceptos_Control_Operaciones[#All],5,0),"")</f>
        <v/>
      </c>
      <c r="F803" t="str">
        <f>+IFERROR(VLOOKUP(Fact_Control_Operaciones[[#This Row], 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ht="18.75" customHeight="1" x14ac:dyDescent="0.35">
      <c r="C804" s="100" t="str">
        <f>IF(OR(Fact_Control_Operaciones[[#This Row], [Año]]="",Fact_Control_Operaciones[[#This Row], [Mes]]=""),"",DATE(A804,MATCH(B804,{"enero","febrero","marzo","abril","mayo","junio","julio","agosto","septiembre","octubre","noviembre","diciembre"},0)+1,0))</f>
        <v/>
      </c>
      <c r="E804" t="str">
        <f>+IFERROR(VLOOKUP(Fact_Control_Operaciones[[#This Row], [Concepto Anterior]],Conceptos_Control_Operaciones[#All],5,0),"")</f>
        <v/>
      </c>
      <c r="F804" t="str">
        <f>+IFERROR(VLOOKUP(Fact_Control_Operaciones[[#This Row], 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ht="18.75" customHeight="1" x14ac:dyDescent="0.35">
      <c r="C805" s="100" t="str">
        <f>IF(OR(Fact_Control_Operaciones[[#This Row], [Año]]="",Fact_Control_Operaciones[[#This Row], [Mes]]=""),"",DATE(A805,MATCH(B805,{"enero","febrero","marzo","abril","mayo","junio","julio","agosto","septiembre","octubre","noviembre","diciembre"},0)+1,0))</f>
        <v/>
      </c>
      <c r="E805" t="str">
        <f>+IFERROR(VLOOKUP(Fact_Control_Operaciones[[#This Row], [Concepto Anterior]],Conceptos_Control_Operaciones[#All],5,0),"")</f>
        <v/>
      </c>
      <c r="F805" t="str">
        <f>+IFERROR(VLOOKUP(Fact_Control_Operaciones[[#This Row], 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ht="18.75" customHeight="1" x14ac:dyDescent="0.35">
      <c r="C806" s="100" t="str">
        <f>IF(OR(Fact_Control_Operaciones[[#This Row], [Año]]="",Fact_Control_Operaciones[[#This Row], [Mes]]=""),"",DATE(A806,MATCH(B806,{"enero","febrero","marzo","abril","mayo","junio","julio","agosto","septiembre","octubre","noviembre","diciembre"},0)+1,0))</f>
        <v/>
      </c>
      <c r="E806" t="str">
        <f>+IFERROR(VLOOKUP(Fact_Control_Operaciones[[#This Row], [Concepto Anterior]],Conceptos_Control_Operaciones[#All],5,0),"")</f>
        <v/>
      </c>
      <c r="F806" t="str">
        <f>+IFERROR(VLOOKUP(Fact_Control_Operaciones[[#This Row], 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ht="18.75" customHeight="1" x14ac:dyDescent="0.35">
      <c r="C807" s="100" t="str">
        <f>IF(OR(Fact_Control_Operaciones[[#This Row], [Año]]="",Fact_Control_Operaciones[[#This Row], [Mes]]=""),"",DATE(A807,MATCH(B807,{"enero","febrero","marzo","abril","mayo","junio","julio","agosto","septiembre","octubre","noviembre","diciembre"},0)+1,0))</f>
        <v/>
      </c>
      <c r="E807" t="str">
        <f>+IFERROR(VLOOKUP(Fact_Control_Operaciones[[#This Row], [Concepto Anterior]],Conceptos_Control_Operaciones[#All],5,0),"")</f>
        <v/>
      </c>
      <c r="F807" t="str">
        <f>+IFERROR(VLOOKUP(Fact_Control_Operaciones[[#This Row], 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ht="18.75" customHeight="1" x14ac:dyDescent="0.35">
      <c r="C808" s="100" t="str">
        <f>IF(OR(Fact_Control_Operaciones[[#This Row], [Año]]="",Fact_Control_Operaciones[[#This Row], [Mes]]=""),"",DATE(A808,MATCH(B808,{"enero","febrero","marzo","abril","mayo","junio","julio","agosto","septiembre","octubre","noviembre","diciembre"},0)+1,0))</f>
        <v/>
      </c>
      <c r="E808" t="str">
        <f>+IFERROR(VLOOKUP(Fact_Control_Operaciones[[#This Row], [Concepto Anterior]],Conceptos_Control_Operaciones[#All],5,0),"")</f>
        <v/>
      </c>
      <c r="F808" t="str">
        <f>+IFERROR(VLOOKUP(Fact_Control_Operaciones[[#This Row], 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ht="18.75" customHeight="1" x14ac:dyDescent="0.35">
      <c r="C809" s="100" t="str">
        <f>IF(OR(Fact_Control_Operaciones[[#This Row], [Año]]="",Fact_Control_Operaciones[[#This Row], [Mes]]=""),"",DATE(A809,MATCH(B809,{"enero","febrero","marzo","abril","mayo","junio","julio","agosto","septiembre","octubre","noviembre","diciembre"},0)+1,0))</f>
        <v/>
      </c>
      <c r="E809" t="str">
        <f>+IFERROR(VLOOKUP(Fact_Control_Operaciones[[#This Row], [Concepto Anterior]],Conceptos_Control_Operaciones[#All],5,0),"")</f>
        <v/>
      </c>
      <c r="F809" t="str">
        <f>+IFERROR(VLOOKUP(Fact_Control_Operaciones[[#This Row], 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ht="18.75" customHeight="1" x14ac:dyDescent="0.35">
      <c r="C810" s="100" t="str">
        <f>IF(OR(Fact_Control_Operaciones[[#This Row], [Año]]="",Fact_Control_Operaciones[[#This Row], [Mes]]=""),"",DATE(A810,MATCH(B810,{"enero","febrero","marzo","abril","mayo","junio","julio","agosto","septiembre","octubre","noviembre","diciembre"},0)+1,0))</f>
        <v/>
      </c>
      <c r="E810" t="str">
        <f>+IFERROR(VLOOKUP(Fact_Control_Operaciones[[#This Row], [Concepto Anterior]],Conceptos_Control_Operaciones[#All],5,0),"")</f>
        <v/>
      </c>
      <c r="F810" t="str">
        <f>+IFERROR(VLOOKUP(Fact_Control_Operaciones[[#This Row], 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ht="18.75" customHeight="1" x14ac:dyDescent="0.35">
      <c r="C811" s="100" t="str">
        <f>IF(OR(Fact_Control_Operaciones[[#This Row], [Año]]="",Fact_Control_Operaciones[[#This Row], [Mes]]=""),"",DATE(A811,MATCH(B811,{"enero","febrero","marzo","abril","mayo","junio","julio","agosto","septiembre","octubre","noviembre","diciembre"},0)+1,0))</f>
        <v/>
      </c>
      <c r="E811" t="str">
        <f>+IFERROR(VLOOKUP(Fact_Control_Operaciones[[#This Row], [Concepto Anterior]],Conceptos_Control_Operaciones[#All],5,0),"")</f>
        <v/>
      </c>
      <c r="F811" t="str">
        <f>+IFERROR(VLOOKUP(Fact_Control_Operaciones[[#This Row], 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ht="18.75" customHeight="1" x14ac:dyDescent="0.35">
      <c r="C812" s="100" t="str">
        <f>IF(OR(Fact_Control_Operaciones[[#This Row], [Año]]="",Fact_Control_Operaciones[[#This Row], [Mes]]=""),"",DATE(A812,MATCH(B812,{"enero","febrero","marzo","abril","mayo","junio","julio","agosto","septiembre","octubre","noviembre","diciembre"},0)+1,0))</f>
        <v/>
      </c>
      <c r="E812" t="str">
        <f>+IFERROR(VLOOKUP(Fact_Control_Operaciones[[#This Row], [Concepto Anterior]],Conceptos_Control_Operaciones[#All],5,0),"")</f>
        <v/>
      </c>
      <c r="F812" t="str">
        <f>+IFERROR(VLOOKUP(Fact_Control_Operaciones[[#This Row], 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ht="18.75" customHeight="1" x14ac:dyDescent="0.35">
      <c r="C813" s="100" t="str">
        <f>IF(OR(Fact_Control_Operaciones[[#This Row], [Año]]="",Fact_Control_Operaciones[[#This Row], [Mes]]=""),"",DATE(A813,MATCH(B813,{"enero","febrero","marzo","abril","mayo","junio","julio","agosto","septiembre","octubre","noviembre","diciembre"},0)+1,0))</f>
        <v/>
      </c>
      <c r="E813" t="str">
        <f>+IFERROR(VLOOKUP(Fact_Control_Operaciones[[#This Row], [Concepto Anterior]],Conceptos_Control_Operaciones[#All],5,0),"")</f>
        <v/>
      </c>
      <c r="F813" t="str">
        <f>+IFERROR(VLOOKUP(Fact_Control_Operaciones[[#This Row], 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ht="18.75" customHeight="1" x14ac:dyDescent="0.35">
      <c r="C814" s="100" t="str">
        <f>IF(OR(Fact_Control_Operaciones[[#This Row], [Año]]="",Fact_Control_Operaciones[[#This Row], [Mes]]=""),"",DATE(A814,MATCH(B814,{"enero","febrero","marzo","abril","mayo","junio","julio","agosto","septiembre","octubre","noviembre","diciembre"},0)+1,0))</f>
        <v/>
      </c>
      <c r="E814" t="str">
        <f>+IFERROR(VLOOKUP(Fact_Control_Operaciones[[#This Row], [Concepto Anterior]],Conceptos_Control_Operaciones[#All],5,0),"")</f>
        <v/>
      </c>
      <c r="F814" t="str">
        <f>+IFERROR(VLOOKUP(Fact_Control_Operaciones[[#This Row], 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ht="18.75" customHeight="1" x14ac:dyDescent="0.35">
      <c r="C815" s="100" t="str">
        <f>IF(OR(Fact_Control_Operaciones[[#This Row], [Año]]="",Fact_Control_Operaciones[[#This Row], [Mes]]=""),"",DATE(A815,MATCH(B815,{"enero","febrero","marzo","abril","mayo","junio","julio","agosto","septiembre","octubre","noviembre","diciembre"},0)+1,0))</f>
        <v/>
      </c>
      <c r="E815" t="str">
        <f>+IFERROR(VLOOKUP(Fact_Control_Operaciones[[#This Row], [Concepto Anterior]],Conceptos_Control_Operaciones[#All],5,0),"")</f>
        <v/>
      </c>
      <c r="F815" t="str">
        <f>+IFERROR(VLOOKUP(Fact_Control_Operaciones[[#This Row], 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ht="18.75" customHeight="1" x14ac:dyDescent="0.35">
      <c r="C816" s="100" t="str">
        <f>IF(OR(Fact_Control_Operaciones[[#This Row], [Año]]="",Fact_Control_Operaciones[[#This Row], [Mes]]=""),"",DATE(A816,MATCH(B816,{"enero","febrero","marzo","abril","mayo","junio","julio","agosto","septiembre","octubre","noviembre","diciembre"},0)+1,0))</f>
        <v/>
      </c>
      <c r="E816" t="str">
        <f>+IFERROR(VLOOKUP(Fact_Control_Operaciones[[#This Row], [Concepto Anterior]],Conceptos_Control_Operaciones[#All],5,0),"")</f>
        <v/>
      </c>
      <c r="F816" t="str">
        <f>+IFERROR(VLOOKUP(Fact_Control_Operaciones[[#This Row], 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ht="18.75" customHeight="1" x14ac:dyDescent="0.35">
      <c r="C817" s="100" t="str">
        <f>IF(OR(Fact_Control_Operaciones[[#This Row], [Año]]="",Fact_Control_Operaciones[[#This Row], [Mes]]=""),"",DATE(A817,MATCH(B817,{"enero","febrero","marzo","abril","mayo","junio","julio","agosto","septiembre","octubre","noviembre","diciembre"},0)+1,0))</f>
        <v/>
      </c>
      <c r="E817" t="str">
        <f>+IFERROR(VLOOKUP(Fact_Control_Operaciones[[#This Row], [Concepto Anterior]],Conceptos_Control_Operaciones[#All],5,0),"")</f>
        <v/>
      </c>
      <c r="F817" t="str">
        <f>+IFERROR(VLOOKUP(Fact_Control_Operaciones[[#This Row], 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ht="18.75" customHeight="1" x14ac:dyDescent="0.35">
      <c r="C818" s="100" t="str">
        <f>IF(OR(Fact_Control_Operaciones[[#This Row], [Año]]="",Fact_Control_Operaciones[[#This Row], [Mes]]=""),"",DATE(A818,MATCH(B818,{"enero","febrero","marzo","abril","mayo","junio","julio","agosto","septiembre","octubre","noviembre","diciembre"},0)+1,0))</f>
        <v/>
      </c>
      <c r="E818" t="str">
        <f>+IFERROR(VLOOKUP(Fact_Control_Operaciones[[#This Row], [Concepto Anterior]],Conceptos_Control_Operaciones[#All],5,0),"")</f>
        <v/>
      </c>
      <c r="F818" t="str">
        <f>+IFERROR(VLOOKUP(Fact_Control_Operaciones[[#This Row], 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ht="18.75" customHeight="1" x14ac:dyDescent="0.35">
      <c r="C819" s="100" t="str">
        <f>IF(OR(Fact_Control_Operaciones[[#This Row], [Año]]="",Fact_Control_Operaciones[[#This Row], [Mes]]=""),"",DATE(A819,MATCH(B819,{"enero","febrero","marzo","abril","mayo","junio","julio","agosto","septiembre","octubre","noviembre","diciembre"},0)+1,0))</f>
        <v/>
      </c>
      <c r="E819" t="str">
        <f>+IFERROR(VLOOKUP(Fact_Control_Operaciones[[#This Row], [Concepto Anterior]],Conceptos_Control_Operaciones[#All],5,0),"")</f>
        <v/>
      </c>
      <c r="F819" t="str">
        <f>+IFERROR(VLOOKUP(Fact_Control_Operaciones[[#This Row], 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ht="18.75" customHeight="1" x14ac:dyDescent="0.35">
      <c r="C820" s="100" t="str">
        <f>IF(OR(Fact_Control_Operaciones[[#This Row], [Año]]="",Fact_Control_Operaciones[[#This Row], [Mes]]=""),"",DATE(A820,MATCH(B820,{"enero","febrero","marzo","abril","mayo","junio","julio","agosto","septiembre","octubre","noviembre","diciembre"},0)+1,0))</f>
        <v/>
      </c>
      <c r="E820" t="str">
        <f>+IFERROR(VLOOKUP(Fact_Control_Operaciones[[#This Row], [Concepto Anterior]],Conceptos_Control_Operaciones[#All],5,0),"")</f>
        <v/>
      </c>
      <c r="F820" t="str">
        <f>+IFERROR(VLOOKUP(Fact_Control_Operaciones[[#This Row], 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ht="18.75" customHeight="1" x14ac:dyDescent="0.35">
      <c r="C821" s="100" t="str">
        <f>IF(OR(Fact_Control_Operaciones[[#This Row], [Año]]="",Fact_Control_Operaciones[[#This Row], [Mes]]=""),"",DATE(A821,MATCH(B821,{"enero","febrero","marzo","abril","mayo","junio","julio","agosto","septiembre","octubre","noviembre","diciembre"},0)+1,0))</f>
        <v/>
      </c>
      <c r="E821" t="str">
        <f>+IFERROR(VLOOKUP(Fact_Control_Operaciones[[#This Row], [Concepto Anterior]],Conceptos_Control_Operaciones[#All],5,0),"")</f>
        <v/>
      </c>
      <c r="F821" t="str">
        <f>+IFERROR(VLOOKUP(Fact_Control_Operaciones[[#This Row], 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ht="18.75" customHeight="1" x14ac:dyDescent="0.35">
      <c r="C822" s="100" t="str">
        <f>IF(OR(Fact_Control_Operaciones[[#This Row], [Año]]="",Fact_Control_Operaciones[[#This Row], [Mes]]=""),"",DATE(A822,MATCH(B822,{"enero","febrero","marzo","abril","mayo","junio","julio","agosto","septiembre","octubre","noviembre","diciembre"},0)+1,0))</f>
        <v/>
      </c>
      <c r="E822" t="str">
        <f>+IFERROR(VLOOKUP(Fact_Control_Operaciones[[#This Row], [Concepto Anterior]],Conceptos_Control_Operaciones[#All],5,0),"")</f>
        <v/>
      </c>
      <c r="F822" t="str">
        <f>+IFERROR(VLOOKUP(Fact_Control_Operaciones[[#This Row], 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ht="18.75" customHeight="1" x14ac:dyDescent="0.35">
      <c r="C823" s="100" t="str">
        <f>IF(OR(Fact_Control_Operaciones[[#This Row], [Año]]="",Fact_Control_Operaciones[[#This Row], [Mes]]=""),"",DATE(A823,MATCH(B823,{"enero","febrero","marzo","abril","mayo","junio","julio","agosto","septiembre","octubre","noviembre","diciembre"},0)+1,0))</f>
        <v/>
      </c>
      <c r="E823" t="str">
        <f>+IFERROR(VLOOKUP(Fact_Control_Operaciones[[#This Row], [Concepto Anterior]],Conceptos_Control_Operaciones[#All],5,0),"")</f>
        <v/>
      </c>
      <c r="F823" t="str">
        <f>+IFERROR(VLOOKUP(Fact_Control_Operaciones[[#This Row], 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ht="18.75" customHeight="1" x14ac:dyDescent="0.35">
      <c r="C824" s="100" t="str">
        <f>IF(OR(Fact_Control_Operaciones[[#This Row], [Año]]="",Fact_Control_Operaciones[[#This Row], [Mes]]=""),"",DATE(A824,MATCH(B824,{"enero","febrero","marzo","abril","mayo","junio","julio","agosto","septiembre","octubre","noviembre","diciembre"},0)+1,0))</f>
        <v/>
      </c>
      <c r="E824" t="str">
        <f>+IFERROR(VLOOKUP(Fact_Control_Operaciones[[#This Row], [Concepto Anterior]],Conceptos_Control_Operaciones[#All],5,0),"")</f>
        <v/>
      </c>
      <c r="F824" t="str">
        <f>+IFERROR(VLOOKUP(Fact_Control_Operaciones[[#This Row], 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ht="18.75" customHeight="1" x14ac:dyDescent="0.35">
      <c r="C825" s="100" t="str">
        <f>IF(OR(Fact_Control_Operaciones[[#This Row], [Año]]="",Fact_Control_Operaciones[[#This Row], [Mes]]=""),"",DATE(A825,MATCH(B825,{"enero","febrero","marzo","abril","mayo","junio","julio","agosto","septiembre","octubre","noviembre","diciembre"},0)+1,0))</f>
        <v/>
      </c>
      <c r="E825" t="str">
        <f>+IFERROR(VLOOKUP(Fact_Control_Operaciones[[#This Row], [Concepto Anterior]],Conceptos_Control_Operaciones[#All],5,0),"")</f>
        <v/>
      </c>
      <c r="F825" t="str">
        <f>+IFERROR(VLOOKUP(Fact_Control_Operaciones[[#This Row], 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ht="18.75" customHeight="1" x14ac:dyDescent="0.35">
      <c r="C826" s="100" t="str">
        <f>IF(OR(Fact_Control_Operaciones[[#This Row], [Año]]="",Fact_Control_Operaciones[[#This Row], [Mes]]=""),"",DATE(A826,MATCH(B826,{"enero","febrero","marzo","abril","mayo","junio","julio","agosto","septiembre","octubre","noviembre","diciembre"},0)+1,0))</f>
        <v/>
      </c>
      <c r="E826" t="str">
        <f>+IFERROR(VLOOKUP(Fact_Control_Operaciones[[#This Row], [Concepto Anterior]],Conceptos_Control_Operaciones[#All],5,0),"")</f>
        <v/>
      </c>
      <c r="F826" t="str">
        <f>+IFERROR(VLOOKUP(Fact_Control_Operaciones[[#This Row], 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ht="18.75" customHeight="1" x14ac:dyDescent="0.35">
      <c r="C827" s="100" t="str">
        <f>IF(OR(Fact_Control_Operaciones[[#This Row], [Año]]="",Fact_Control_Operaciones[[#This Row], [Mes]]=""),"",DATE(A827,MATCH(B827,{"enero","febrero","marzo","abril","mayo","junio","julio","agosto","septiembre","octubre","noviembre","diciembre"},0)+1,0))</f>
        <v/>
      </c>
      <c r="E827" t="str">
        <f>+IFERROR(VLOOKUP(Fact_Control_Operaciones[[#This Row], [Concepto Anterior]],Conceptos_Control_Operaciones[#All],5,0),"")</f>
        <v/>
      </c>
      <c r="F827" t="str">
        <f>+IFERROR(VLOOKUP(Fact_Control_Operaciones[[#This Row], 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ht="18.75" customHeight="1" x14ac:dyDescent="0.35">
      <c r="C828" s="100" t="str">
        <f>IF(OR(Fact_Control_Operaciones[[#This Row], [Año]]="",Fact_Control_Operaciones[[#This Row], [Mes]]=""),"",DATE(A828,MATCH(B828,{"enero","febrero","marzo","abril","mayo","junio","julio","agosto","septiembre","octubre","noviembre","diciembre"},0)+1,0))</f>
        <v/>
      </c>
      <c r="E828" t="str">
        <f>+IFERROR(VLOOKUP(Fact_Control_Operaciones[[#This Row], [Concepto Anterior]],Conceptos_Control_Operaciones[#All],5,0),"")</f>
        <v/>
      </c>
      <c r="F828" t="str">
        <f>+IFERROR(VLOOKUP(Fact_Control_Operaciones[[#This Row], 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ht="18.75" customHeight="1" x14ac:dyDescent="0.35">
      <c r="C829" s="100" t="str">
        <f>IF(OR(Fact_Control_Operaciones[[#This Row], [Año]]="",Fact_Control_Operaciones[[#This Row], [Mes]]=""),"",DATE(A829,MATCH(B829,{"enero","febrero","marzo","abril","mayo","junio","julio","agosto","septiembre","octubre","noviembre","diciembre"},0)+1,0))</f>
        <v/>
      </c>
      <c r="E829" t="str">
        <f>+IFERROR(VLOOKUP(Fact_Control_Operaciones[[#This Row], [Concepto Anterior]],Conceptos_Control_Operaciones[#All],5,0),"")</f>
        <v/>
      </c>
      <c r="F829" t="str">
        <f>+IFERROR(VLOOKUP(Fact_Control_Operaciones[[#This Row], 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ht="18.75" customHeight="1" x14ac:dyDescent="0.35">
      <c r="C830" s="100" t="str">
        <f>IF(OR(Fact_Control_Operaciones[[#This Row], [Año]]="",Fact_Control_Operaciones[[#This Row], [Mes]]=""),"",DATE(A830,MATCH(B830,{"enero","febrero","marzo","abril","mayo","junio","julio","agosto","septiembre","octubre","noviembre","diciembre"},0)+1,0))</f>
        <v/>
      </c>
      <c r="E830" t="str">
        <f>+IFERROR(VLOOKUP(Fact_Control_Operaciones[[#This Row], [Concepto Anterior]],Conceptos_Control_Operaciones[#All],5,0),"")</f>
        <v/>
      </c>
      <c r="F830" t="str">
        <f>+IFERROR(VLOOKUP(Fact_Control_Operaciones[[#This Row], 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ht="18.75" customHeight="1" x14ac:dyDescent="0.35">
      <c r="C831" s="100" t="str">
        <f>IF(OR(Fact_Control_Operaciones[[#This Row], [Año]]="",Fact_Control_Operaciones[[#This Row], [Mes]]=""),"",DATE(A831,MATCH(B831,{"enero","febrero","marzo","abril","mayo","junio","julio","agosto","septiembre","octubre","noviembre","diciembre"},0)+1,0))</f>
        <v/>
      </c>
      <c r="E831" t="str">
        <f>+IFERROR(VLOOKUP(Fact_Control_Operaciones[[#This Row], [Concepto Anterior]],Conceptos_Control_Operaciones[#All],5,0),"")</f>
        <v/>
      </c>
      <c r="F831" t="str">
        <f>+IFERROR(VLOOKUP(Fact_Control_Operaciones[[#This Row], 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ht="18.75" customHeight="1" x14ac:dyDescent="0.35">
      <c r="C832" s="100" t="str">
        <f>IF(OR(Fact_Control_Operaciones[[#This Row], [Año]]="",Fact_Control_Operaciones[[#This Row], [Mes]]=""),"",DATE(A832,MATCH(B832,{"enero","febrero","marzo","abril","mayo","junio","julio","agosto","septiembre","octubre","noviembre","diciembre"},0)+1,0))</f>
        <v/>
      </c>
      <c r="E832" t="str">
        <f>+IFERROR(VLOOKUP(Fact_Control_Operaciones[[#This Row], [Concepto Anterior]],Conceptos_Control_Operaciones[#All],5,0),"")</f>
        <v/>
      </c>
      <c r="F832" t="str">
        <f>+IFERROR(VLOOKUP(Fact_Control_Operaciones[[#This Row], 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ht="18.75" customHeight="1" x14ac:dyDescent="0.35">
      <c r="C833" s="100" t="str">
        <f>IF(OR(Fact_Control_Operaciones[[#This Row], [Año]]="",Fact_Control_Operaciones[[#This Row], [Mes]]=""),"",DATE(A833,MATCH(B833,{"enero","febrero","marzo","abril","mayo","junio","julio","agosto","septiembre","octubre","noviembre","diciembre"},0)+1,0))</f>
        <v/>
      </c>
      <c r="E833" t="str">
        <f>+IFERROR(VLOOKUP(Fact_Control_Operaciones[[#This Row], [Concepto Anterior]],Conceptos_Control_Operaciones[#All],5,0),"")</f>
        <v/>
      </c>
      <c r="F833" t="str">
        <f>+IFERROR(VLOOKUP(Fact_Control_Operaciones[[#This Row], 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ht="18.75" customHeight="1" x14ac:dyDescent="0.35">
      <c r="C834" s="100" t="str">
        <f>IF(OR(Fact_Control_Operaciones[[#This Row], [Año]]="",Fact_Control_Operaciones[[#This Row], [Mes]]=""),"",DATE(A834,MATCH(B834,{"enero","febrero","marzo","abril","mayo","junio","julio","agosto","septiembre","octubre","noviembre","diciembre"},0)+1,0))</f>
        <v/>
      </c>
      <c r="E834" t="str">
        <f>+IFERROR(VLOOKUP(Fact_Control_Operaciones[[#This Row], [Concepto Anterior]],Conceptos_Control_Operaciones[#All],5,0),"")</f>
        <v/>
      </c>
      <c r="F834" t="str">
        <f>+IFERROR(VLOOKUP(Fact_Control_Operaciones[[#This Row], 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ht="18.75" customHeight="1" x14ac:dyDescent="0.35">
      <c r="C835" s="100" t="str">
        <f>IF(OR(Fact_Control_Operaciones[[#This Row], [Año]]="",Fact_Control_Operaciones[[#This Row], [Mes]]=""),"",DATE(A835,MATCH(B835,{"enero","febrero","marzo","abril","mayo","junio","julio","agosto","septiembre","octubre","noviembre","diciembre"},0)+1,0))</f>
        <v/>
      </c>
      <c r="E835" t="str">
        <f>+IFERROR(VLOOKUP(Fact_Control_Operaciones[[#This Row], [Concepto Anterior]],Conceptos_Control_Operaciones[#All],5,0),"")</f>
        <v/>
      </c>
      <c r="F835" t="str">
        <f>+IFERROR(VLOOKUP(Fact_Control_Operaciones[[#This Row], 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ht="18.75" customHeight="1" x14ac:dyDescent="0.35">
      <c r="C836" s="100" t="str">
        <f>IF(OR(Fact_Control_Operaciones[[#This Row], [Año]]="",Fact_Control_Operaciones[[#This Row], [Mes]]=""),"",DATE(A836,MATCH(B836,{"enero","febrero","marzo","abril","mayo","junio","julio","agosto","septiembre","octubre","noviembre","diciembre"},0)+1,0))</f>
        <v/>
      </c>
      <c r="E836" t="str">
        <f>+IFERROR(VLOOKUP(Fact_Control_Operaciones[[#This Row], [Concepto Anterior]],Conceptos_Control_Operaciones[#All],5,0),"")</f>
        <v/>
      </c>
      <c r="F836" t="str">
        <f>+IFERROR(VLOOKUP(Fact_Control_Operaciones[[#This Row], 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ht="18.75" customHeight="1" x14ac:dyDescent="0.35">
      <c r="C837" s="100" t="str">
        <f>IF(OR(Fact_Control_Operaciones[[#This Row], [Año]]="",Fact_Control_Operaciones[[#This Row], [Mes]]=""),"",DATE(A837,MATCH(B837,{"enero","febrero","marzo","abril","mayo","junio","julio","agosto","septiembre","octubre","noviembre","diciembre"},0)+1,0))</f>
        <v/>
      </c>
      <c r="E837" t="str">
        <f>+IFERROR(VLOOKUP(Fact_Control_Operaciones[[#This Row], [Concepto Anterior]],Conceptos_Control_Operaciones[#All],5,0),"")</f>
        <v/>
      </c>
      <c r="F837" t="str">
        <f>+IFERROR(VLOOKUP(Fact_Control_Operaciones[[#This Row], 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ht="18.75" customHeight="1" x14ac:dyDescent="0.35">
      <c r="C838" s="100" t="str">
        <f>IF(OR(Fact_Control_Operaciones[[#This Row], [Año]]="",Fact_Control_Operaciones[[#This Row], [Mes]]=""),"",DATE(A838,MATCH(B838,{"enero","febrero","marzo","abril","mayo","junio","julio","agosto","septiembre","octubre","noviembre","diciembre"},0)+1,0))</f>
        <v/>
      </c>
      <c r="E838" t="str">
        <f>+IFERROR(VLOOKUP(Fact_Control_Operaciones[[#This Row], [Concepto Anterior]],Conceptos_Control_Operaciones[#All],5,0),"")</f>
        <v/>
      </c>
      <c r="F838" t="str">
        <f>+IFERROR(VLOOKUP(Fact_Control_Operaciones[[#This Row], 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ht="18.75" customHeight="1" x14ac:dyDescent="0.35">
      <c r="C839" s="100" t="str">
        <f>IF(OR(Fact_Control_Operaciones[[#This Row], [Año]]="",Fact_Control_Operaciones[[#This Row], [Mes]]=""),"",DATE(A839,MATCH(B839,{"enero","febrero","marzo","abril","mayo","junio","julio","agosto","septiembre","octubre","noviembre","diciembre"},0)+1,0))</f>
        <v/>
      </c>
      <c r="E839" t="str">
        <f>+IFERROR(VLOOKUP(Fact_Control_Operaciones[[#This Row], [Concepto Anterior]],Conceptos_Control_Operaciones[#All],5,0),"")</f>
        <v/>
      </c>
      <c r="F839" t="str">
        <f>+IFERROR(VLOOKUP(Fact_Control_Operaciones[[#This Row], 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ht="18.75" customHeight="1" x14ac:dyDescent="0.35">
      <c r="C840" s="100" t="str">
        <f>IF(OR(Fact_Control_Operaciones[[#This Row], [Año]]="",Fact_Control_Operaciones[[#This Row], [Mes]]=""),"",DATE(A840,MATCH(B840,{"enero","febrero","marzo","abril","mayo","junio","julio","agosto","septiembre","octubre","noviembre","diciembre"},0)+1,0))</f>
        <v/>
      </c>
      <c r="E840" t="str">
        <f>+IFERROR(VLOOKUP(Fact_Control_Operaciones[[#This Row], [Concepto Anterior]],Conceptos_Control_Operaciones[#All],5,0),"")</f>
        <v/>
      </c>
      <c r="F840" t="str">
        <f>+IFERROR(VLOOKUP(Fact_Control_Operaciones[[#This Row], 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ht="18.75" customHeight="1" x14ac:dyDescent="0.35">
      <c r="C841" s="100" t="str">
        <f>IF(OR(Fact_Control_Operaciones[[#This Row], [Año]]="",Fact_Control_Operaciones[[#This Row], [Mes]]=""),"",DATE(A841,MATCH(B841,{"enero","febrero","marzo","abril","mayo","junio","julio","agosto","septiembre","octubre","noviembre","diciembre"},0)+1,0))</f>
        <v/>
      </c>
      <c r="E841" t="str">
        <f>+IFERROR(VLOOKUP(Fact_Control_Operaciones[[#This Row], [Concepto Anterior]],Conceptos_Control_Operaciones[#All],5,0),"")</f>
        <v/>
      </c>
      <c r="F841" t="str">
        <f>+IFERROR(VLOOKUP(Fact_Control_Operaciones[[#This Row], 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ht="18.75" customHeight="1" x14ac:dyDescent="0.35">
      <c r="C842" s="100" t="str">
        <f>IF(OR(Fact_Control_Operaciones[[#This Row], [Año]]="",Fact_Control_Operaciones[[#This Row], [Mes]]=""),"",DATE(A842,MATCH(B842,{"enero","febrero","marzo","abril","mayo","junio","julio","agosto","septiembre","octubre","noviembre","diciembre"},0)+1,0))</f>
        <v/>
      </c>
      <c r="E842" t="str">
        <f>+IFERROR(VLOOKUP(Fact_Control_Operaciones[[#This Row], [Concepto Anterior]],Conceptos_Control_Operaciones[#All],5,0),"")</f>
        <v/>
      </c>
      <c r="F842" t="str">
        <f>+IFERROR(VLOOKUP(Fact_Control_Operaciones[[#This Row], 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ht="18.75" customHeight="1" x14ac:dyDescent="0.35">
      <c r="C843" s="100" t="str">
        <f>IF(OR(Fact_Control_Operaciones[[#This Row], [Año]]="",Fact_Control_Operaciones[[#This Row], [Mes]]=""),"",DATE(A843,MATCH(B843,{"enero","febrero","marzo","abril","mayo","junio","julio","agosto","septiembre","octubre","noviembre","diciembre"},0)+1,0))</f>
        <v/>
      </c>
      <c r="E843" t="str">
        <f>+IFERROR(VLOOKUP(Fact_Control_Operaciones[[#This Row], [Concepto Anterior]],Conceptos_Control_Operaciones[#All],5,0),"")</f>
        <v/>
      </c>
      <c r="F843" t="str">
        <f>+IFERROR(VLOOKUP(Fact_Control_Operaciones[[#This Row], 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ht="18.75" customHeight="1" x14ac:dyDescent="0.35">
      <c r="C844" s="100" t="str">
        <f>IF(OR(Fact_Control_Operaciones[[#This Row], [Año]]="",Fact_Control_Operaciones[[#This Row], [Mes]]=""),"",DATE(A844,MATCH(B844,{"enero","febrero","marzo","abril","mayo","junio","julio","agosto","septiembre","octubre","noviembre","diciembre"},0)+1,0))</f>
        <v/>
      </c>
      <c r="E844" t="str">
        <f>+IFERROR(VLOOKUP(Fact_Control_Operaciones[[#This Row], [Concepto Anterior]],Conceptos_Control_Operaciones[#All],5,0),"")</f>
        <v/>
      </c>
      <c r="F844" t="str">
        <f>+IFERROR(VLOOKUP(Fact_Control_Operaciones[[#This Row], 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ht="18.75" customHeight="1" x14ac:dyDescent="0.35">
      <c r="C845" s="100" t="str">
        <f>IF(OR(Fact_Control_Operaciones[[#This Row], [Año]]="",Fact_Control_Operaciones[[#This Row], [Mes]]=""),"",DATE(A845,MATCH(B845,{"enero","febrero","marzo","abril","mayo","junio","julio","agosto","septiembre","octubre","noviembre","diciembre"},0)+1,0))</f>
        <v/>
      </c>
      <c r="E845" t="str">
        <f>+IFERROR(VLOOKUP(Fact_Control_Operaciones[[#This Row], [Concepto Anterior]],Conceptos_Control_Operaciones[#All],5,0),"")</f>
        <v/>
      </c>
      <c r="F845" t="str">
        <f>+IFERROR(VLOOKUP(Fact_Control_Operaciones[[#This Row], 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ht="18.75" customHeight="1" x14ac:dyDescent="0.35">
      <c r="C846" s="100" t="str">
        <f>IF(OR(Fact_Control_Operaciones[[#This Row], [Año]]="",Fact_Control_Operaciones[[#This Row], [Mes]]=""),"",DATE(A846,MATCH(B846,{"enero","febrero","marzo","abril","mayo","junio","julio","agosto","septiembre","octubre","noviembre","diciembre"},0)+1,0))</f>
        <v/>
      </c>
      <c r="E846" t="str">
        <f>+IFERROR(VLOOKUP(Fact_Control_Operaciones[[#This Row], [Concepto Anterior]],Conceptos_Control_Operaciones[#All],5,0),"")</f>
        <v/>
      </c>
      <c r="F846" t="str">
        <f>+IFERROR(VLOOKUP(Fact_Control_Operaciones[[#This Row], 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ht="18.75" customHeight="1" x14ac:dyDescent="0.35">
      <c r="C847" s="100" t="str">
        <f>IF(OR(Fact_Control_Operaciones[[#This Row], [Año]]="",Fact_Control_Operaciones[[#This Row], [Mes]]=""),"",DATE(A847,MATCH(B847,{"enero","febrero","marzo","abril","mayo","junio","julio","agosto","septiembre","octubre","noviembre","diciembre"},0)+1,0))</f>
        <v/>
      </c>
      <c r="E847" t="str">
        <f>+IFERROR(VLOOKUP(Fact_Control_Operaciones[[#This Row], [Concepto Anterior]],Conceptos_Control_Operaciones[#All],5,0),"")</f>
        <v/>
      </c>
      <c r="F847" t="str">
        <f>+IFERROR(VLOOKUP(Fact_Control_Operaciones[[#This Row], 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ht="18.75" customHeight="1" x14ac:dyDescent="0.35">
      <c r="C848" s="100" t="str">
        <f>IF(OR(Fact_Control_Operaciones[[#This Row], [Año]]="",Fact_Control_Operaciones[[#This Row], [Mes]]=""),"",DATE(A848,MATCH(B848,{"enero","febrero","marzo","abril","mayo","junio","julio","agosto","septiembre","octubre","noviembre","diciembre"},0)+1,0))</f>
        <v/>
      </c>
      <c r="E848" t="str">
        <f>+IFERROR(VLOOKUP(Fact_Control_Operaciones[[#This Row], [Concepto Anterior]],Conceptos_Control_Operaciones[#All],5,0),"")</f>
        <v/>
      </c>
      <c r="F848" t="str">
        <f>+IFERROR(VLOOKUP(Fact_Control_Operaciones[[#This Row], 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ht="18.75" customHeight="1" x14ac:dyDescent="0.35">
      <c r="C849" s="100" t="str">
        <f>IF(OR(Fact_Control_Operaciones[[#This Row], [Año]]="",Fact_Control_Operaciones[[#This Row], [Mes]]=""),"",DATE(A849,MATCH(B849,{"enero","febrero","marzo","abril","mayo","junio","julio","agosto","septiembre","octubre","noviembre","diciembre"},0)+1,0))</f>
        <v/>
      </c>
      <c r="E849" t="str">
        <f>+IFERROR(VLOOKUP(Fact_Control_Operaciones[[#This Row], [Concepto Anterior]],Conceptos_Control_Operaciones[#All],5,0),"")</f>
        <v/>
      </c>
      <c r="F849" t="str">
        <f>+IFERROR(VLOOKUP(Fact_Control_Operaciones[[#This Row], 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ht="18.75" customHeight="1" x14ac:dyDescent="0.35">
      <c r="C850" s="100" t="str">
        <f>IF(OR(Fact_Control_Operaciones[[#This Row], [Año]]="",Fact_Control_Operaciones[[#This Row], [Mes]]=""),"",DATE(A850,MATCH(B850,{"enero","febrero","marzo","abril","mayo","junio","julio","agosto","septiembre","octubre","noviembre","diciembre"},0)+1,0))</f>
        <v/>
      </c>
      <c r="E850" t="str">
        <f>+IFERROR(VLOOKUP(Fact_Control_Operaciones[[#This Row], [Concepto Anterior]],Conceptos_Control_Operaciones[#All],5,0),"")</f>
        <v/>
      </c>
      <c r="F850" t="str">
        <f>+IFERROR(VLOOKUP(Fact_Control_Operaciones[[#This Row], 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ht="18.75" customHeight="1" x14ac:dyDescent="0.35">
      <c r="C851" s="100" t="str">
        <f>IF(OR(Fact_Control_Operaciones[[#This Row], [Año]]="",Fact_Control_Operaciones[[#This Row], [Mes]]=""),"",DATE(A851,MATCH(B851,{"enero","febrero","marzo","abril","mayo","junio","julio","agosto","septiembre","octubre","noviembre","diciembre"},0)+1,0))</f>
        <v/>
      </c>
      <c r="E851" t="str">
        <f>+IFERROR(VLOOKUP(Fact_Control_Operaciones[[#This Row], [Concepto Anterior]],Conceptos_Control_Operaciones[#All],5,0),"")</f>
        <v/>
      </c>
      <c r="F851" t="str">
        <f>+IFERROR(VLOOKUP(Fact_Control_Operaciones[[#This Row], 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ht="18.75" customHeight="1" x14ac:dyDescent="0.35">
      <c r="C852" s="100" t="str">
        <f>IF(OR(Fact_Control_Operaciones[[#This Row], [Año]]="",Fact_Control_Operaciones[[#This Row], [Mes]]=""),"",DATE(A852,MATCH(B852,{"enero","febrero","marzo","abril","mayo","junio","julio","agosto","septiembre","octubre","noviembre","diciembre"},0)+1,0))</f>
        <v/>
      </c>
      <c r="E852" t="str">
        <f>+IFERROR(VLOOKUP(Fact_Control_Operaciones[[#This Row], [Concepto Anterior]],Conceptos_Control_Operaciones[#All],5,0),"")</f>
        <v/>
      </c>
      <c r="F852" t="str">
        <f>+IFERROR(VLOOKUP(Fact_Control_Operaciones[[#This Row], 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ht="18.75" customHeight="1" x14ac:dyDescent="0.35">
      <c r="C853" s="100" t="str">
        <f>IF(OR(Fact_Control_Operaciones[[#This Row], [Año]]="",Fact_Control_Operaciones[[#This Row], [Mes]]=""),"",DATE(A853,MATCH(B853,{"enero","febrero","marzo","abril","mayo","junio","julio","agosto","septiembre","octubre","noviembre","diciembre"},0)+1,0))</f>
        <v/>
      </c>
      <c r="E853" t="str">
        <f>+IFERROR(VLOOKUP(Fact_Control_Operaciones[[#This Row], [Concepto Anterior]],Conceptos_Control_Operaciones[#All],5,0),"")</f>
        <v/>
      </c>
      <c r="F853" t="str">
        <f>+IFERROR(VLOOKUP(Fact_Control_Operaciones[[#This Row], 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ht="18.75" customHeight="1" x14ac:dyDescent="0.35">
      <c r="C854" s="100" t="str">
        <f>IF(OR(Fact_Control_Operaciones[[#This Row], [Año]]="",Fact_Control_Operaciones[[#This Row], [Mes]]=""),"",DATE(A854,MATCH(B854,{"enero","febrero","marzo","abril","mayo","junio","julio","agosto","septiembre","octubre","noviembre","diciembre"},0)+1,0))</f>
        <v/>
      </c>
      <c r="E854" t="str">
        <f>+IFERROR(VLOOKUP(Fact_Control_Operaciones[[#This Row], [Concepto Anterior]],Conceptos_Control_Operaciones[#All],5,0),"")</f>
        <v/>
      </c>
      <c r="F854" t="str">
        <f>+IFERROR(VLOOKUP(Fact_Control_Operaciones[[#This Row], 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ht="18.75" customHeight="1" x14ac:dyDescent="0.35">
      <c r="C855" s="100" t="str">
        <f>IF(OR(Fact_Control_Operaciones[[#This Row], [Año]]="",Fact_Control_Operaciones[[#This Row], [Mes]]=""),"",DATE(A855,MATCH(B855,{"enero","febrero","marzo","abril","mayo","junio","julio","agosto","septiembre","octubre","noviembre","diciembre"},0)+1,0))</f>
        <v/>
      </c>
      <c r="E855" t="str">
        <f>+IFERROR(VLOOKUP(Fact_Control_Operaciones[[#This Row], [Concepto Anterior]],Conceptos_Control_Operaciones[#All],5,0),"")</f>
        <v/>
      </c>
      <c r="F855" t="str">
        <f>+IFERROR(VLOOKUP(Fact_Control_Operaciones[[#This Row], 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ht="18.75" customHeight="1" x14ac:dyDescent="0.35">
      <c r="C856" s="100" t="str">
        <f>IF(OR(Fact_Control_Operaciones[[#This Row], [Año]]="",Fact_Control_Operaciones[[#This Row], [Mes]]=""),"",DATE(A856,MATCH(B856,{"enero","febrero","marzo","abril","mayo","junio","julio","agosto","septiembre","octubre","noviembre","diciembre"},0)+1,0))</f>
        <v/>
      </c>
      <c r="E856" t="str">
        <f>+IFERROR(VLOOKUP(Fact_Control_Operaciones[[#This Row], [Concepto Anterior]],Conceptos_Control_Operaciones[#All],5,0),"")</f>
        <v/>
      </c>
      <c r="F856" t="str">
        <f>+IFERROR(VLOOKUP(Fact_Control_Operaciones[[#This Row], 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ht="18.75" customHeight="1" x14ac:dyDescent="0.35">
      <c r="C857" s="100" t="str">
        <f>IF(OR(Fact_Control_Operaciones[[#This Row], [Año]]="",Fact_Control_Operaciones[[#This Row], [Mes]]=""),"",DATE(A857,MATCH(B857,{"enero","febrero","marzo","abril","mayo","junio","julio","agosto","septiembre","octubre","noviembre","diciembre"},0)+1,0))</f>
        <v/>
      </c>
      <c r="E857" t="str">
        <f>+IFERROR(VLOOKUP(Fact_Control_Operaciones[[#This Row], [Concepto Anterior]],Conceptos_Control_Operaciones[#All],5,0),"")</f>
        <v/>
      </c>
      <c r="F857" t="str">
        <f>+IFERROR(VLOOKUP(Fact_Control_Operaciones[[#This Row], 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ht="18.75" customHeight="1" x14ac:dyDescent="0.35">
      <c r="C858" s="100" t="str">
        <f>IF(OR(Fact_Control_Operaciones[[#This Row], [Año]]="",Fact_Control_Operaciones[[#This Row], [Mes]]=""),"",DATE(A858,MATCH(B858,{"enero","febrero","marzo","abril","mayo","junio","julio","agosto","septiembre","octubre","noviembre","diciembre"},0)+1,0))</f>
        <v/>
      </c>
      <c r="E858" t="str">
        <f>+IFERROR(VLOOKUP(Fact_Control_Operaciones[[#This Row], [Concepto Anterior]],Conceptos_Control_Operaciones[#All],5,0),"")</f>
        <v/>
      </c>
      <c r="F858" t="str">
        <f>+IFERROR(VLOOKUP(Fact_Control_Operaciones[[#This Row], 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ht="18.75" customHeight="1" x14ac:dyDescent="0.35">
      <c r="C859" s="100" t="str">
        <f>IF(OR(Fact_Control_Operaciones[[#This Row], [Año]]="",Fact_Control_Operaciones[[#This Row], [Mes]]=""),"",DATE(A859,MATCH(B859,{"enero","febrero","marzo","abril","mayo","junio","julio","agosto","septiembre","octubre","noviembre","diciembre"},0)+1,0))</f>
        <v/>
      </c>
      <c r="E859" t="str">
        <f>+IFERROR(VLOOKUP(Fact_Control_Operaciones[[#This Row], [Concepto Anterior]],Conceptos_Control_Operaciones[#All],5,0),"")</f>
        <v/>
      </c>
      <c r="F859" t="str">
        <f>+IFERROR(VLOOKUP(Fact_Control_Operaciones[[#This Row], 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ht="18.75" customHeight="1" x14ac:dyDescent="0.35">
      <c r="C860" s="100" t="str">
        <f>IF(OR(Fact_Control_Operaciones[[#This Row], [Año]]="",Fact_Control_Operaciones[[#This Row], [Mes]]=""),"",DATE(A860,MATCH(B860,{"enero","febrero","marzo","abril","mayo","junio","julio","agosto","septiembre","octubre","noviembre","diciembre"},0)+1,0))</f>
        <v/>
      </c>
      <c r="E860" t="str">
        <f>+IFERROR(VLOOKUP(Fact_Control_Operaciones[[#This Row], [Concepto Anterior]],Conceptos_Control_Operaciones[#All],5,0),"")</f>
        <v/>
      </c>
      <c r="F860" t="str">
        <f>+IFERROR(VLOOKUP(Fact_Control_Operaciones[[#This Row], 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ht="18.75" customHeight="1" x14ac:dyDescent="0.35">
      <c r="C861" s="100" t="str">
        <f>IF(OR(Fact_Control_Operaciones[[#This Row], [Año]]="",Fact_Control_Operaciones[[#This Row], [Mes]]=""),"",DATE(A861,MATCH(B861,{"enero","febrero","marzo","abril","mayo","junio","julio","agosto","septiembre","octubre","noviembre","diciembre"},0)+1,0))</f>
        <v/>
      </c>
      <c r="E861" t="str">
        <f>+IFERROR(VLOOKUP(Fact_Control_Operaciones[[#This Row], [Concepto Anterior]],Conceptos_Control_Operaciones[#All],5,0),"")</f>
        <v/>
      </c>
      <c r="F861" t="str">
        <f>+IFERROR(VLOOKUP(Fact_Control_Operaciones[[#This Row], 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ht="18.75" customHeight="1" x14ac:dyDescent="0.35">
      <c r="C862" s="100" t="str">
        <f>IF(OR(Fact_Control_Operaciones[[#This Row], [Año]]="",Fact_Control_Operaciones[[#This Row], [Mes]]=""),"",DATE(A862,MATCH(B862,{"enero","febrero","marzo","abril","mayo","junio","julio","agosto","septiembre","octubre","noviembre","diciembre"},0)+1,0))</f>
        <v/>
      </c>
      <c r="E862" t="str">
        <f>+IFERROR(VLOOKUP(Fact_Control_Operaciones[[#This Row], [Concepto Anterior]],Conceptos_Control_Operaciones[#All],5,0),"")</f>
        <v/>
      </c>
      <c r="F862" t="str">
        <f>+IFERROR(VLOOKUP(Fact_Control_Operaciones[[#This Row], 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ht="18.75" customHeight="1" x14ac:dyDescent="0.35">
      <c r="C863" s="100" t="str">
        <f>IF(OR(Fact_Control_Operaciones[[#This Row], [Año]]="",Fact_Control_Operaciones[[#This Row], [Mes]]=""),"",DATE(A863,MATCH(B863,{"enero","febrero","marzo","abril","mayo","junio","julio","agosto","septiembre","octubre","noviembre","diciembre"},0)+1,0))</f>
        <v/>
      </c>
      <c r="E863" t="str">
        <f>+IFERROR(VLOOKUP(Fact_Control_Operaciones[[#This Row], [Concepto Anterior]],Conceptos_Control_Operaciones[#All],5,0),"")</f>
        <v/>
      </c>
      <c r="F863" t="str">
        <f>+IFERROR(VLOOKUP(Fact_Control_Operaciones[[#This Row], 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ht="18.75" customHeight="1" x14ac:dyDescent="0.35">
      <c r="C864" s="100" t="str">
        <f>IF(OR(Fact_Control_Operaciones[[#This Row], [Año]]="",Fact_Control_Operaciones[[#This Row], [Mes]]=""),"",DATE(A864,MATCH(B864,{"enero","febrero","marzo","abril","mayo","junio","julio","agosto","septiembre","octubre","noviembre","diciembre"},0)+1,0))</f>
        <v/>
      </c>
      <c r="E864" t="str">
        <f>+IFERROR(VLOOKUP(Fact_Control_Operaciones[[#This Row], [Concepto Anterior]],Conceptos_Control_Operaciones[#All],5,0),"")</f>
        <v/>
      </c>
      <c r="F864" t="str">
        <f>+IFERROR(VLOOKUP(Fact_Control_Operaciones[[#This Row], 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ht="18.75" customHeight="1" x14ac:dyDescent="0.35">
      <c r="C865" s="100" t="str">
        <f>IF(OR(Fact_Control_Operaciones[[#This Row], [Año]]="",Fact_Control_Operaciones[[#This Row], [Mes]]=""),"",DATE(A865,MATCH(B865,{"enero","febrero","marzo","abril","mayo","junio","julio","agosto","septiembre","octubre","noviembre","diciembre"},0)+1,0))</f>
        <v/>
      </c>
      <c r="E865" t="str">
        <f>+IFERROR(VLOOKUP(Fact_Control_Operaciones[[#This Row], [Concepto Anterior]],Conceptos_Control_Operaciones[#All],5,0),"")</f>
        <v/>
      </c>
      <c r="F865" t="str">
        <f>+IFERROR(VLOOKUP(Fact_Control_Operaciones[[#This Row], 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ht="18.75" customHeight="1" x14ac:dyDescent="0.35">
      <c r="C866" s="100" t="str">
        <f>IF(OR(Fact_Control_Operaciones[[#This Row], [Año]]="",Fact_Control_Operaciones[[#This Row], [Mes]]=""),"",DATE(A866,MATCH(B866,{"enero","febrero","marzo","abril","mayo","junio","julio","agosto","septiembre","octubre","noviembre","diciembre"},0)+1,0))</f>
        <v/>
      </c>
      <c r="E866" t="str">
        <f>+IFERROR(VLOOKUP(Fact_Control_Operaciones[[#This Row], [Concepto Anterior]],Conceptos_Control_Operaciones[#All],5,0),"")</f>
        <v/>
      </c>
      <c r="F866" t="str">
        <f>+IFERROR(VLOOKUP(Fact_Control_Operaciones[[#This Row], 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ht="18.75" customHeight="1" x14ac:dyDescent="0.35">
      <c r="C867" s="100" t="str">
        <f>IF(OR(Fact_Control_Operaciones[[#This Row], [Año]]="",Fact_Control_Operaciones[[#This Row], [Mes]]=""),"",DATE(A867,MATCH(B867,{"enero","febrero","marzo","abril","mayo","junio","julio","agosto","septiembre","octubre","noviembre","diciembre"},0)+1,0))</f>
        <v/>
      </c>
      <c r="E867" t="str">
        <f>+IFERROR(VLOOKUP(Fact_Control_Operaciones[[#This Row], [Concepto Anterior]],Conceptos_Control_Operaciones[#All],5,0),"")</f>
        <v/>
      </c>
      <c r="F867" t="str">
        <f>+IFERROR(VLOOKUP(Fact_Control_Operaciones[[#This Row], 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ht="18.75" customHeight="1" x14ac:dyDescent="0.35">
      <c r="C868" s="100" t="str">
        <f>IF(OR(Fact_Control_Operaciones[[#This Row], [Año]]="",Fact_Control_Operaciones[[#This Row], [Mes]]=""),"",DATE(A868,MATCH(B868,{"enero","febrero","marzo","abril","mayo","junio","julio","agosto","septiembre","octubre","noviembre","diciembre"},0)+1,0))</f>
        <v/>
      </c>
      <c r="E868" t="str">
        <f>+IFERROR(VLOOKUP(Fact_Control_Operaciones[[#This Row], [Concepto Anterior]],Conceptos_Control_Operaciones[#All],5,0),"")</f>
        <v/>
      </c>
      <c r="F868" t="str">
        <f>+IFERROR(VLOOKUP(Fact_Control_Operaciones[[#This Row], 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ht="18.75" customHeight="1" x14ac:dyDescent="0.35">
      <c r="C869" s="100" t="str">
        <f>IF(OR(Fact_Control_Operaciones[[#This Row], [Año]]="",Fact_Control_Operaciones[[#This Row], [Mes]]=""),"",DATE(A869,MATCH(B869,{"enero","febrero","marzo","abril","mayo","junio","julio","agosto","septiembre","octubre","noviembre","diciembre"},0)+1,0))</f>
        <v/>
      </c>
      <c r="E869" t="str">
        <f>+IFERROR(VLOOKUP(Fact_Control_Operaciones[[#This Row], [Concepto Anterior]],Conceptos_Control_Operaciones[#All],5,0),"")</f>
        <v/>
      </c>
      <c r="F869" t="str">
        <f>+IFERROR(VLOOKUP(Fact_Control_Operaciones[[#This Row], 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ht="18.75" customHeight="1" x14ac:dyDescent="0.35">
      <c r="C870" s="100" t="str">
        <f>IF(OR(Fact_Control_Operaciones[[#This Row], [Año]]="",Fact_Control_Operaciones[[#This Row], [Mes]]=""),"",DATE(A870,MATCH(B870,{"enero","febrero","marzo","abril","mayo","junio","julio","agosto","septiembre","octubre","noviembre","diciembre"},0)+1,0))</f>
        <v/>
      </c>
      <c r="E870" t="str">
        <f>+IFERROR(VLOOKUP(Fact_Control_Operaciones[[#This Row], [Concepto Anterior]],Conceptos_Control_Operaciones[#All],5,0),"")</f>
        <v/>
      </c>
      <c r="F870" t="str">
        <f>+IFERROR(VLOOKUP(Fact_Control_Operaciones[[#This Row], 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ht="18.75" customHeight="1" x14ac:dyDescent="0.35">
      <c r="C871" s="100" t="str">
        <f>IF(OR(Fact_Control_Operaciones[[#This Row], [Año]]="",Fact_Control_Operaciones[[#This Row], [Mes]]=""),"",DATE(A871,MATCH(B871,{"enero","febrero","marzo","abril","mayo","junio","julio","agosto","septiembre","octubre","noviembre","diciembre"},0)+1,0))</f>
        <v/>
      </c>
      <c r="E871" t="str">
        <f>+IFERROR(VLOOKUP(Fact_Control_Operaciones[[#This Row], [Concepto Anterior]],Conceptos_Control_Operaciones[#All],5,0),"")</f>
        <v/>
      </c>
      <c r="F871" t="str">
        <f>+IFERROR(VLOOKUP(Fact_Control_Operaciones[[#This Row], 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ht="18.75" customHeight="1" x14ac:dyDescent="0.35">
      <c r="C872" s="100" t="str">
        <f>IF(OR(Fact_Control_Operaciones[[#This Row], [Año]]="",Fact_Control_Operaciones[[#This Row], [Mes]]=""),"",DATE(A872,MATCH(B872,{"enero","febrero","marzo","abril","mayo","junio","julio","agosto","septiembre","octubre","noviembre","diciembre"},0)+1,0))</f>
        <v/>
      </c>
      <c r="E872" t="str">
        <f>+IFERROR(VLOOKUP(Fact_Control_Operaciones[[#This Row], [Concepto Anterior]],Conceptos_Control_Operaciones[#All],5,0),"")</f>
        <v/>
      </c>
      <c r="F872" t="str">
        <f>+IFERROR(VLOOKUP(Fact_Control_Operaciones[[#This Row], 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ht="18.75" customHeight="1" x14ac:dyDescent="0.35">
      <c r="C873" s="100" t="str">
        <f>IF(OR(Fact_Control_Operaciones[[#This Row], [Año]]="",Fact_Control_Operaciones[[#This Row], [Mes]]=""),"",DATE(A873,MATCH(B873,{"enero","febrero","marzo","abril","mayo","junio","julio","agosto","septiembre","octubre","noviembre","diciembre"},0)+1,0))</f>
        <v/>
      </c>
      <c r="E873" t="str">
        <f>+IFERROR(VLOOKUP(Fact_Control_Operaciones[[#This Row], [Concepto Anterior]],Conceptos_Control_Operaciones[#All],5,0),"")</f>
        <v/>
      </c>
      <c r="F873" t="str">
        <f>+IFERROR(VLOOKUP(Fact_Control_Operaciones[[#This Row], 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ht="18.75" customHeight="1" x14ac:dyDescent="0.35">
      <c r="C874" s="100" t="str">
        <f>IF(OR(Fact_Control_Operaciones[[#This Row], [Año]]="",Fact_Control_Operaciones[[#This Row], [Mes]]=""),"",DATE(A874,MATCH(B874,{"enero","febrero","marzo","abril","mayo","junio","julio","agosto","septiembre","octubre","noviembre","diciembre"},0)+1,0))</f>
        <v/>
      </c>
      <c r="E874" t="str">
        <f>+IFERROR(VLOOKUP(Fact_Control_Operaciones[[#This Row], [Concepto Anterior]],Conceptos_Control_Operaciones[#All],5,0),"")</f>
        <v/>
      </c>
      <c r="F874" t="str">
        <f>+IFERROR(VLOOKUP(Fact_Control_Operaciones[[#This Row], 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ht="18.75" customHeight="1" x14ac:dyDescent="0.35">
      <c r="C875" s="100" t="str">
        <f>IF(OR(Fact_Control_Operaciones[[#This Row], [Año]]="",Fact_Control_Operaciones[[#This Row], [Mes]]=""),"",DATE(A875,MATCH(B875,{"enero","febrero","marzo","abril","mayo","junio","julio","agosto","septiembre","octubre","noviembre","diciembre"},0)+1,0))</f>
        <v/>
      </c>
      <c r="E875" t="str">
        <f>+IFERROR(VLOOKUP(Fact_Control_Operaciones[[#This Row], [Concepto Anterior]],Conceptos_Control_Operaciones[#All],5,0),"")</f>
        <v/>
      </c>
      <c r="F875" t="str">
        <f>+IFERROR(VLOOKUP(Fact_Control_Operaciones[[#This Row], 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ht="18.75" customHeight="1" x14ac:dyDescent="0.35">
      <c r="C876" s="100" t="str">
        <f>IF(OR(Fact_Control_Operaciones[[#This Row], [Año]]="",Fact_Control_Operaciones[[#This Row], [Mes]]=""),"",DATE(A876,MATCH(B876,{"enero","febrero","marzo","abril","mayo","junio","julio","agosto","septiembre","octubre","noviembre","diciembre"},0)+1,0))</f>
        <v/>
      </c>
      <c r="E876" t="str">
        <f>+IFERROR(VLOOKUP(Fact_Control_Operaciones[[#This Row], [Concepto Anterior]],Conceptos_Control_Operaciones[#All],5,0),"")</f>
        <v/>
      </c>
      <c r="F876" t="str">
        <f>+IFERROR(VLOOKUP(Fact_Control_Operaciones[[#This Row], 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ht="18.75" customHeight="1" x14ac:dyDescent="0.35">
      <c r="C877" s="100" t="str">
        <f>IF(OR(Fact_Control_Operaciones[[#This Row], [Año]]="",Fact_Control_Operaciones[[#This Row], [Mes]]=""),"",DATE(A877,MATCH(B877,{"enero","febrero","marzo","abril","mayo","junio","julio","agosto","septiembre","octubre","noviembre","diciembre"},0)+1,0))</f>
        <v/>
      </c>
      <c r="E877" t="str">
        <f>+IFERROR(VLOOKUP(Fact_Control_Operaciones[[#This Row], [Concepto Anterior]],Conceptos_Control_Operaciones[#All],5,0),"")</f>
        <v/>
      </c>
      <c r="F877" t="str">
        <f>+IFERROR(VLOOKUP(Fact_Control_Operaciones[[#This Row], 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ht="18.75" customHeight="1" x14ac:dyDescent="0.35">
      <c r="C878" s="100" t="str">
        <f>IF(OR(Fact_Control_Operaciones[[#This Row], [Año]]="",Fact_Control_Operaciones[[#This Row], [Mes]]=""),"",DATE(A878,MATCH(B878,{"enero","febrero","marzo","abril","mayo","junio","julio","agosto","septiembre","octubre","noviembre","diciembre"},0)+1,0))</f>
        <v/>
      </c>
      <c r="E878" t="str">
        <f>+IFERROR(VLOOKUP(Fact_Control_Operaciones[[#This Row], [Concepto Anterior]],Conceptos_Control_Operaciones[#All],5,0),"")</f>
        <v/>
      </c>
      <c r="F878" t="str">
        <f>+IFERROR(VLOOKUP(Fact_Control_Operaciones[[#This Row], 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ht="18.75" customHeight="1" x14ac:dyDescent="0.35">
      <c r="C879" s="100" t="str">
        <f>IF(OR(Fact_Control_Operaciones[[#This Row], [Año]]="",Fact_Control_Operaciones[[#This Row], [Mes]]=""),"",DATE(A879,MATCH(B879,{"enero","febrero","marzo","abril","mayo","junio","julio","agosto","septiembre","octubre","noviembre","diciembre"},0)+1,0))</f>
        <v/>
      </c>
      <c r="E879" t="str">
        <f>+IFERROR(VLOOKUP(Fact_Control_Operaciones[[#This Row], [Concepto Anterior]],Conceptos_Control_Operaciones[#All],5,0),"")</f>
        <v/>
      </c>
      <c r="F879" t="str">
        <f>+IFERROR(VLOOKUP(Fact_Control_Operaciones[[#This Row], 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ht="18.75" customHeight="1" x14ac:dyDescent="0.35">
      <c r="C880" s="100" t="str">
        <f>IF(OR(Fact_Control_Operaciones[[#This Row], [Año]]="",Fact_Control_Operaciones[[#This Row], [Mes]]=""),"",DATE(A880,MATCH(B880,{"enero","febrero","marzo","abril","mayo","junio","julio","agosto","septiembre","octubre","noviembre","diciembre"},0)+1,0))</f>
        <v/>
      </c>
      <c r="E880" t="str">
        <f>+IFERROR(VLOOKUP(Fact_Control_Operaciones[[#This Row], [Concepto Anterior]],Conceptos_Control_Operaciones[#All],5,0),"")</f>
        <v/>
      </c>
      <c r="F880" t="str">
        <f>+IFERROR(VLOOKUP(Fact_Control_Operaciones[[#This Row], 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ht="18.75" customHeight="1" x14ac:dyDescent="0.35">
      <c r="C881" s="100" t="str">
        <f>IF(OR(Fact_Control_Operaciones[[#This Row], [Año]]="",Fact_Control_Operaciones[[#This Row], [Mes]]=""),"",DATE(A881,MATCH(B881,{"enero","febrero","marzo","abril","mayo","junio","julio","agosto","septiembre","octubre","noviembre","diciembre"},0)+1,0))</f>
        <v/>
      </c>
      <c r="E881" t="str">
        <f>+IFERROR(VLOOKUP(Fact_Control_Operaciones[[#This Row], [Concepto Anterior]],Conceptos_Control_Operaciones[#All],5,0),"")</f>
        <v/>
      </c>
      <c r="F881" t="str">
        <f>+IFERROR(VLOOKUP(Fact_Control_Operaciones[[#This Row], 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ht="18.75" customHeight="1" x14ac:dyDescent="0.35">
      <c r="C882" s="100" t="str">
        <f>IF(OR(Fact_Control_Operaciones[[#This Row], [Año]]="",Fact_Control_Operaciones[[#This Row], [Mes]]=""),"",DATE(A882,MATCH(B882,{"enero","febrero","marzo","abril","mayo","junio","julio","agosto","septiembre","octubre","noviembre","diciembre"},0)+1,0))</f>
        <v/>
      </c>
      <c r="E882" t="str">
        <f>+IFERROR(VLOOKUP(Fact_Control_Operaciones[[#This Row], [Concepto Anterior]],Conceptos_Control_Operaciones[#All],5,0),"")</f>
        <v/>
      </c>
      <c r="F882" t="str">
        <f>+IFERROR(VLOOKUP(Fact_Control_Operaciones[[#This Row], 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ht="18.75" customHeight="1" x14ac:dyDescent="0.35">
      <c r="C883" s="100" t="str">
        <f>IF(OR(Fact_Control_Operaciones[[#This Row], [Año]]="",Fact_Control_Operaciones[[#This Row], [Mes]]=""),"",DATE(A883,MATCH(B883,{"enero","febrero","marzo","abril","mayo","junio","julio","agosto","septiembre","octubre","noviembre","diciembre"},0)+1,0))</f>
        <v/>
      </c>
      <c r="E883" t="str">
        <f>+IFERROR(VLOOKUP(Fact_Control_Operaciones[[#This Row], [Concepto Anterior]],Conceptos_Control_Operaciones[#All],5,0),"")</f>
        <v/>
      </c>
      <c r="F883" t="str">
        <f>+IFERROR(VLOOKUP(Fact_Control_Operaciones[[#This Row], 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ht="18.75" customHeight="1" x14ac:dyDescent="0.35">
      <c r="C884" s="100" t="str">
        <f>IF(OR(Fact_Control_Operaciones[[#This Row], [Año]]="",Fact_Control_Operaciones[[#This Row], [Mes]]=""),"",DATE(A884,MATCH(B884,{"enero","febrero","marzo","abril","mayo","junio","julio","agosto","septiembre","octubre","noviembre","diciembre"},0)+1,0))</f>
        <v/>
      </c>
      <c r="E884" t="str">
        <f>+IFERROR(VLOOKUP(Fact_Control_Operaciones[[#This Row], [Concepto Anterior]],Conceptos_Control_Operaciones[#All],5,0),"")</f>
        <v/>
      </c>
      <c r="F884" t="str">
        <f>+IFERROR(VLOOKUP(Fact_Control_Operaciones[[#This Row], 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ht="18.75" customHeight="1" x14ac:dyDescent="0.35">
      <c r="C885" s="100" t="str">
        <f>IF(OR(Fact_Control_Operaciones[[#This Row], [Año]]="",Fact_Control_Operaciones[[#This Row], [Mes]]=""),"",DATE(A885,MATCH(B885,{"enero","febrero","marzo","abril","mayo","junio","julio","agosto","septiembre","octubre","noviembre","diciembre"},0)+1,0))</f>
        <v/>
      </c>
      <c r="E885" t="str">
        <f>+IFERROR(VLOOKUP(Fact_Control_Operaciones[[#This Row], [Concepto Anterior]],Conceptos_Control_Operaciones[#All],5,0),"")</f>
        <v/>
      </c>
      <c r="F885" t="str">
        <f>+IFERROR(VLOOKUP(Fact_Control_Operaciones[[#This Row], 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ht="18.75" customHeight="1" x14ac:dyDescent="0.35">
      <c r="C886" s="100" t="str">
        <f>IF(OR(Fact_Control_Operaciones[[#This Row], [Año]]="",Fact_Control_Operaciones[[#This Row], [Mes]]=""),"",DATE(A886,MATCH(B886,{"enero","febrero","marzo","abril","mayo","junio","julio","agosto","septiembre","octubre","noviembre","diciembre"},0)+1,0))</f>
        <v/>
      </c>
      <c r="E886" t="str">
        <f>+IFERROR(VLOOKUP(Fact_Control_Operaciones[[#This Row], [Concepto Anterior]],Conceptos_Control_Operaciones[#All],5,0),"")</f>
        <v/>
      </c>
      <c r="F886" t="str">
        <f>+IFERROR(VLOOKUP(Fact_Control_Operaciones[[#This Row], 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ht="18.75" customHeight="1" x14ac:dyDescent="0.35">
      <c r="C887" s="100" t="str">
        <f>IF(OR(Fact_Control_Operaciones[[#This Row], [Año]]="",Fact_Control_Operaciones[[#This Row], [Mes]]=""),"",DATE(A887,MATCH(B887,{"enero","febrero","marzo","abril","mayo","junio","julio","agosto","septiembre","octubre","noviembre","diciembre"},0)+1,0))</f>
        <v/>
      </c>
      <c r="E887" t="str">
        <f>+IFERROR(VLOOKUP(Fact_Control_Operaciones[[#This Row], [Concepto Anterior]],Conceptos_Control_Operaciones[#All],5,0),"")</f>
        <v/>
      </c>
      <c r="F887" t="str">
        <f>+IFERROR(VLOOKUP(Fact_Control_Operaciones[[#This Row], 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ht="18.75" customHeight="1" x14ac:dyDescent="0.35">
      <c r="C888" s="100" t="str">
        <f>IF(OR(Fact_Control_Operaciones[[#This Row], [Año]]="",Fact_Control_Operaciones[[#This Row], [Mes]]=""),"",DATE(A888,MATCH(B888,{"enero","febrero","marzo","abril","mayo","junio","julio","agosto","septiembre","octubre","noviembre","diciembre"},0)+1,0))</f>
        <v/>
      </c>
      <c r="E888" t="str">
        <f>+IFERROR(VLOOKUP(Fact_Control_Operaciones[[#This Row], [Concepto Anterior]],Conceptos_Control_Operaciones[#All],5,0),"")</f>
        <v/>
      </c>
      <c r="F888" t="str">
        <f>+IFERROR(VLOOKUP(Fact_Control_Operaciones[[#This Row], 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ht="18.75" customHeight="1" x14ac:dyDescent="0.35">
      <c r="C889" s="100" t="str">
        <f>IF(OR(Fact_Control_Operaciones[[#This Row], [Año]]="",Fact_Control_Operaciones[[#This Row], [Mes]]=""),"",DATE(A889,MATCH(B889,{"enero","febrero","marzo","abril","mayo","junio","julio","agosto","septiembre","octubre","noviembre","diciembre"},0)+1,0))</f>
        <v/>
      </c>
      <c r="E889" t="str">
        <f>+IFERROR(VLOOKUP(Fact_Control_Operaciones[[#This Row], [Concepto Anterior]],Conceptos_Control_Operaciones[#All],5,0),"")</f>
        <v/>
      </c>
      <c r="F889" t="str">
        <f>+IFERROR(VLOOKUP(Fact_Control_Operaciones[[#This Row], 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ht="18.75" customHeight="1" x14ac:dyDescent="0.35">
      <c r="C890" s="100" t="str">
        <f>IF(OR(Fact_Control_Operaciones[[#This Row], [Año]]="",Fact_Control_Operaciones[[#This Row], [Mes]]=""),"",DATE(A890,MATCH(B890,{"enero","febrero","marzo","abril","mayo","junio","julio","agosto","septiembre","octubre","noviembre","diciembre"},0)+1,0))</f>
        <v/>
      </c>
      <c r="E890" t="str">
        <f>+IFERROR(VLOOKUP(Fact_Control_Operaciones[[#This Row], [Concepto Anterior]],Conceptos_Control_Operaciones[#All],5,0),"")</f>
        <v/>
      </c>
      <c r="F890" t="str">
        <f>+IFERROR(VLOOKUP(Fact_Control_Operaciones[[#This Row], 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ht="18.75" customHeight="1" x14ac:dyDescent="0.35">
      <c r="C891" s="100" t="str">
        <f>IF(OR(Fact_Control_Operaciones[[#This Row], [Año]]="",Fact_Control_Operaciones[[#This Row], [Mes]]=""),"",DATE(A891,MATCH(B891,{"enero","febrero","marzo","abril","mayo","junio","julio","agosto","septiembre","octubre","noviembre","diciembre"},0)+1,0))</f>
        <v/>
      </c>
      <c r="E891" t="str">
        <f>+IFERROR(VLOOKUP(Fact_Control_Operaciones[[#This Row], [Concepto Anterior]],Conceptos_Control_Operaciones[#All],5,0),"")</f>
        <v/>
      </c>
      <c r="F891" t="str">
        <f>+IFERROR(VLOOKUP(Fact_Control_Operaciones[[#This Row], 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ht="18.75" customHeight="1" x14ac:dyDescent="0.35">
      <c r="C892" s="100" t="str">
        <f>IF(OR(Fact_Control_Operaciones[[#This Row], [Año]]="",Fact_Control_Operaciones[[#This Row], [Mes]]=""),"",DATE(A892,MATCH(B892,{"enero","febrero","marzo","abril","mayo","junio","julio","agosto","septiembre","octubre","noviembre","diciembre"},0)+1,0))</f>
        <v/>
      </c>
      <c r="E892" t="str">
        <f>+IFERROR(VLOOKUP(Fact_Control_Operaciones[[#This Row], [Concepto Anterior]],Conceptos_Control_Operaciones[#All],5,0),"")</f>
        <v/>
      </c>
      <c r="F892" t="str">
        <f>+IFERROR(VLOOKUP(Fact_Control_Operaciones[[#This Row], 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ht="18.75" customHeight="1" x14ac:dyDescent="0.35">
      <c r="C893" s="100" t="str">
        <f>IF(OR(Fact_Control_Operaciones[[#This Row], [Año]]="",Fact_Control_Operaciones[[#This Row], [Mes]]=""),"",DATE(A893,MATCH(B893,{"enero","febrero","marzo","abril","mayo","junio","julio","agosto","septiembre","octubre","noviembre","diciembre"},0)+1,0))</f>
        <v/>
      </c>
      <c r="E893" t="str">
        <f>+IFERROR(VLOOKUP(Fact_Control_Operaciones[[#This Row], [Concepto Anterior]],Conceptos_Control_Operaciones[#All],5,0),"")</f>
        <v/>
      </c>
      <c r="F893" t="str">
        <f>+IFERROR(VLOOKUP(Fact_Control_Operaciones[[#This Row], 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ht="18.75" customHeight="1" x14ac:dyDescent="0.35">
      <c r="C894" s="100" t="str">
        <f>IF(OR(Fact_Control_Operaciones[[#This Row], [Año]]="",Fact_Control_Operaciones[[#This Row], [Mes]]=""),"",DATE(A894,MATCH(B894,{"enero","febrero","marzo","abril","mayo","junio","julio","agosto","septiembre","octubre","noviembre","diciembre"},0)+1,0))</f>
        <v/>
      </c>
      <c r="E894" t="str">
        <f>+IFERROR(VLOOKUP(Fact_Control_Operaciones[[#This Row], [Concepto Anterior]],Conceptos_Control_Operaciones[#All],5,0),"")</f>
        <v/>
      </c>
      <c r="F894" t="str">
        <f>+IFERROR(VLOOKUP(Fact_Control_Operaciones[[#This Row], 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ht="18.75" customHeight="1" x14ac:dyDescent="0.35">
      <c r="C895" s="100" t="str">
        <f>IF(OR(Fact_Control_Operaciones[[#This Row], [Año]]="",Fact_Control_Operaciones[[#This Row], [Mes]]=""),"",DATE(A895,MATCH(B895,{"enero","febrero","marzo","abril","mayo","junio","julio","agosto","septiembre","octubre","noviembre","diciembre"},0)+1,0))</f>
        <v/>
      </c>
      <c r="E895" t="str">
        <f>+IFERROR(VLOOKUP(Fact_Control_Operaciones[[#This Row], [Concepto Anterior]],Conceptos_Control_Operaciones[#All],5,0),"")</f>
        <v/>
      </c>
      <c r="F895" t="str">
        <f>+IFERROR(VLOOKUP(Fact_Control_Operaciones[[#This Row], 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ht="18.75" customHeight="1" x14ac:dyDescent="0.35">
      <c r="C896" s="100" t="str">
        <f>IF(OR(Fact_Control_Operaciones[[#This Row], [Año]]="",Fact_Control_Operaciones[[#This Row], [Mes]]=""),"",DATE(A896,MATCH(B896,{"enero","febrero","marzo","abril","mayo","junio","julio","agosto","septiembre","octubre","noviembre","diciembre"},0)+1,0))</f>
        <v/>
      </c>
      <c r="E896" t="str">
        <f>+IFERROR(VLOOKUP(Fact_Control_Operaciones[[#This Row], [Concepto Anterior]],Conceptos_Control_Operaciones[#All],5,0),"")</f>
        <v/>
      </c>
      <c r="F896" t="str">
        <f>+IFERROR(VLOOKUP(Fact_Control_Operaciones[[#This Row], 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ht="18.75" customHeight="1" x14ac:dyDescent="0.35">
      <c r="C897" s="100" t="str">
        <f>IF(OR(Fact_Control_Operaciones[[#This Row], [Año]]="",Fact_Control_Operaciones[[#This Row], [Mes]]=""),"",DATE(A897,MATCH(B897,{"enero","febrero","marzo","abril","mayo","junio","julio","agosto","septiembre","octubre","noviembre","diciembre"},0)+1,0))</f>
        <v/>
      </c>
      <c r="E897" t="str">
        <f>+IFERROR(VLOOKUP(Fact_Control_Operaciones[[#This Row], [Concepto Anterior]],Conceptos_Control_Operaciones[#All],5,0),"")</f>
        <v/>
      </c>
      <c r="F897" t="str">
        <f>+IFERROR(VLOOKUP(Fact_Control_Operaciones[[#This Row], 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ht="18.75" customHeight="1" x14ac:dyDescent="0.35">
      <c r="C898" s="100" t="str">
        <f>IF(OR(Fact_Control_Operaciones[[#This Row], [Año]]="",Fact_Control_Operaciones[[#This Row], [Mes]]=""),"",DATE(A898,MATCH(B898,{"enero","febrero","marzo","abril","mayo","junio","julio","agosto","septiembre","octubre","noviembre","diciembre"},0)+1,0))</f>
        <v/>
      </c>
      <c r="E898" t="str">
        <f>+IFERROR(VLOOKUP(Fact_Control_Operaciones[[#This Row], [Concepto Anterior]],Conceptos_Control_Operaciones[#All],5,0),"")</f>
        <v/>
      </c>
      <c r="F898" t="str">
        <f>+IFERROR(VLOOKUP(Fact_Control_Operaciones[[#This Row], 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ht="18.75" customHeight="1" x14ac:dyDescent="0.35">
      <c r="C899" s="100" t="str">
        <f>IF(OR(Fact_Control_Operaciones[[#This Row], [Año]]="",Fact_Control_Operaciones[[#This Row], [Mes]]=""),"",DATE(A899,MATCH(B899,{"enero","febrero","marzo","abril","mayo","junio","julio","agosto","septiembre","octubre","noviembre","diciembre"},0)+1,0))</f>
        <v/>
      </c>
      <c r="E899" t="str">
        <f>+IFERROR(VLOOKUP(Fact_Control_Operaciones[[#This Row], [Concepto Anterior]],Conceptos_Control_Operaciones[#All],5,0),"")</f>
        <v/>
      </c>
      <c r="F899" t="str">
        <f>+IFERROR(VLOOKUP(Fact_Control_Operaciones[[#This Row], 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ht="18.75" customHeight="1" x14ac:dyDescent="0.35">
      <c r="C900" s="100" t="str">
        <f>IF(OR(Fact_Control_Operaciones[[#This Row], [Año]]="",Fact_Control_Operaciones[[#This Row], [Mes]]=""),"",DATE(A900,MATCH(B900,{"enero","febrero","marzo","abril","mayo","junio","julio","agosto","septiembre","octubre","noviembre","diciembre"},0)+1,0))</f>
        <v/>
      </c>
      <c r="E900" t="str">
        <f>+IFERROR(VLOOKUP(Fact_Control_Operaciones[[#This Row], [Concepto Anterior]],Conceptos_Control_Operaciones[#All],5,0),"")</f>
        <v/>
      </c>
      <c r="F900" t="str">
        <f>+IFERROR(VLOOKUP(Fact_Control_Operaciones[[#This Row], 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ht="18.75" customHeight="1" x14ac:dyDescent="0.35">
      <c r="C901" s="100" t="str">
        <f>IF(OR(Fact_Control_Operaciones[[#This Row], [Año]]="",Fact_Control_Operaciones[[#This Row], [Mes]]=""),"",DATE(A901,MATCH(B901,{"enero","febrero","marzo","abril","mayo","junio","julio","agosto","septiembre","octubre","noviembre","diciembre"},0)+1,0))</f>
        <v/>
      </c>
      <c r="E901" t="str">
        <f>+IFERROR(VLOOKUP(Fact_Control_Operaciones[[#This Row], [Concepto Anterior]],Conceptos_Control_Operaciones[#All],5,0),"")</f>
        <v/>
      </c>
      <c r="F901" t="str">
        <f>+IFERROR(VLOOKUP(Fact_Control_Operaciones[[#This Row], 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ht="18.75" customHeight="1" x14ac:dyDescent="0.35">
      <c r="C902" s="100" t="str">
        <f>IF(OR(Fact_Control_Operaciones[[#This Row], [Año]]="",Fact_Control_Operaciones[[#This Row], [Mes]]=""),"",DATE(A902,MATCH(B902,{"enero","febrero","marzo","abril","mayo","junio","julio","agosto","septiembre","octubre","noviembre","diciembre"},0)+1,0))</f>
        <v/>
      </c>
      <c r="E902" t="str">
        <f>+IFERROR(VLOOKUP(Fact_Control_Operaciones[[#This Row], [Concepto Anterior]],Conceptos_Control_Operaciones[#All],5,0),"")</f>
        <v/>
      </c>
      <c r="F902" t="str">
        <f>+IFERROR(VLOOKUP(Fact_Control_Operaciones[[#This Row], 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ht="18.75" customHeight="1" x14ac:dyDescent="0.35">
      <c r="C903" s="100" t="str">
        <f>IF(OR(Fact_Control_Operaciones[[#This Row], [Año]]="",Fact_Control_Operaciones[[#This Row], [Mes]]=""),"",DATE(A903,MATCH(B903,{"enero","febrero","marzo","abril","mayo","junio","julio","agosto","septiembre","octubre","noviembre","diciembre"},0)+1,0))</f>
        <v/>
      </c>
      <c r="E903" t="str">
        <f>+IFERROR(VLOOKUP(Fact_Control_Operaciones[[#This Row], [Concepto Anterior]],Conceptos_Control_Operaciones[#All],5,0),"")</f>
        <v/>
      </c>
      <c r="F903" t="str">
        <f>+IFERROR(VLOOKUP(Fact_Control_Operaciones[[#This Row], 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ht="18.75" customHeight="1" x14ac:dyDescent="0.35">
      <c r="C904" s="100" t="str">
        <f>IF(OR(Fact_Control_Operaciones[[#This Row], [Año]]="",Fact_Control_Operaciones[[#This Row], [Mes]]=""),"",DATE(A904,MATCH(B904,{"enero","febrero","marzo","abril","mayo","junio","julio","agosto","septiembre","octubre","noviembre","diciembre"},0)+1,0))</f>
        <v/>
      </c>
      <c r="E904" t="str">
        <f>+IFERROR(VLOOKUP(Fact_Control_Operaciones[[#This Row], [Concepto Anterior]],Conceptos_Control_Operaciones[#All],5,0),"")</f>
        <v/>
      </c>
      <c r="F904" t="str">
        <f>+IFERROR(VLOOKUP(Fact_Control_Operaciones[[#This Row], 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ht="18.75" customHeight="1" x14ac:dyDescent="0.35">
      <c r="C905" s="100" t="str">
        <f>IF(OR(Fact_Control_Operaciones[[#This Row], [Año]]="",Fact_Control_Operaciones[[#This Row], [Mes]]=""),"",DATE(A905,MATCH(B905,{"enero","febrero","marzo","abril","mayo","junio","julio","agosto","septiembre","octubre","noviembre","diciembre"},0)+1,0))</f>
        <v/>
      </c>
      <c r="E905" t="str">
        <f>+IFERROR(VLOOKUP(Fact_Control_Operaciones[[#This Row], [Concepto Anterior]],Conceptos_Control_Operaciones[#All],5,0),"")</f>
        <v/>
      </c>
      <c r="F905" t="str">
        <f>+IFERROR(VLOOKUP(Fact_Control_Operaciones[[#This Row], 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ht="18.75" customHeight="1" x14ac:dyDescent="0.35">
      <c r="C906" s="100" t="str">
        <f>IF(OR(Fact_Control_Operaciones[[#This Row], [Año]]="",Fact_Control_Operaciones[[#This Row], [Mes]]=""),"",DATE(A906,MATCH(B906,{"enero","febrero","marzo","abril","mayo","junio","julio","agosto","septiembre","octubre","noviembre","diciembre"},0)+1,0))</f>
        <v/>
      </c>
      <c r="E906" t="str">
        <f>+IFERROR(VLOOKUP(Fact_Control_Operaciones[[#This Row], [Concepto Anterior]],Conceptos_Control_Operaciones[#All],5,0),"")</f>
        <v/>
      </c>
      <c r="F906" t="str">
        <f>+IFERROR(VLOOKUP(Fact_Control_Operaciones[[#This Row], 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ht="18.75" customHeight="1" x14ac:dyDescent="0.35">
      <c r="C907" s="100" t="str">
        <f>IF(OR(Fact_Control_Operaciones[[#This Row], [Año]]="",Fact_Control_Operaciones[[#This Row], [Mes]]=""),"",DATE(A907,MATCH(B907,{"enero","febrero","marzo","abril","mayo","junio","julio","agosto","septiembre","octubre","noviembre","diciembre"},0)+1,0))</f>
        <v/>
      </c>
      <c r="E907" t="str">
        <f>+IFERROR(VLOOKUP(Fact_Control_Operaciones[[#This Row], [Concepto Anterior]],Conceptos_Control_Operaciones[#All],5,0),"")</f>
        <v/>
      </c>
      <c r="F907" t="str">
        <f>+IFERROR(VLOOKUP(Fact_Control_Operaciones[[#This Row], 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ht="18.75" customHeight="1" x14ac:dyDescent="0.35">
      <c r="C908" s="100" t="str">
        <f>IF(OR(Fact_Control_Operaciones[[#This Row], [Año]]="",Fact_Control_Operaciones[[#This Row], [Mes]]=""),"",DATE(A908,MATCH(B908,{"enero","febrero","marzo","abril","mayo","junio","julio","agosto","septiembre","octubre","noviembre","diciembre"},0)+1,0))</f>
        <v/>
      </c>
      <c r="E908" t="str">
        <f>+IFERROR(VLOOKUP(Fact_Control_Operaciones[[#This Row], [Concepto Anterior]],Conceptos_Control_Operaciones[#All],5,0),"")</f>
        <v/>
      </c>
      <c r="F908" t="str">
        <f>+IFERROR(VLOOKUP(Fact_Control_Operaciones[[#This Row], 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ht="18.75" customHeight="1" x14ac:dyDescent="0.35">
      <c r="C909" s="100" t="str">
        <f>IF(OR(Fact_Control_Operaciones[[#This Row], [Año]]="",Fact_Control_Operaciones[[#This Row], [Mes]]=""),"",DATE(A909,MATCH(B909,{"enero","febrero","marzo","abril","mayo","junio","julio","agosto","septiembre","octubre","noviembre","diciembre"},0)+1,0))</f>
        <v/>
      </c>
      <c r="E909" t="str">
        <f>+IFERROR(VLOOKUP(Fact_Control_Operaciones[[#This Row], [Concepto Anterior]],Conceptos_Control_Operaciones[#All],5,0),"")</f>
        <v/>
      </c>
      <c r="F909" t="str">
        <f>+IFERROR(VLOOKUP(Fact_Control_Operaciones[[#This Row], 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ht="18.75" customHeight="1" x14ac:dyDescent="0.35">
      <c r="C910" s="100" t="str">
        <f>IF(OR(Fact_Control_Operaciones[[#This Row], [Año]]="",Fact_Control_Operaciones[[#This Row], [Mes]]=""),"",DATE(A910,MATCH(B910,{"enero","febrero","marzo","abril","mayo","junio","julio","agosto","septiembre","octubre","noviembre","diciembre"},0)+1,0))</f>
        <v/>
      </c>
      <c r="E910" t="str">
        <f>+IFERROR(VLOOKUP(Fact_Control_Operaciones[[#This Row], [Concepto Anterior]],Conceptos_Control_Operaciones[#All],5,0),"")</f>
        <v/>
      </c>
      <c r="F910" t="str">
        <f>+IFERROR(VLOOKUP(Fact_Control_Operaciones[[#This Row], 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ht="18.75" customHeight="1" x14ac:dyDescent="0.35">
      <c r="C911" s="100" t="str">
        <f>IF(OR(Fact_Control_Operaciones[[#This Row], [Año]]="",Fact_Control_Operaciones[[#This Row], [Mes]]=""),"",DATE(A911,MATCH(B911,{"enero","febrero","marzo","abril","mayo","junio","julio","agosto","septiembre","octubre","noviembre","diciembre"},0)+1,0))</f>
        <v/>
      </c>
      <c r="E911" t="str">
        <f>+IFERROR(VLOOKUP(Fact_Control_Operaciones[[#This Row], [Concepto Anterior]],Conceptos_Control_Operaciones[#All],5,0),"")</f>
        <v/>
      </c>
      <c r="F911" t="str">
        <f>+IFERROR(VLOOKUP(Fact_Control_Operaciones[[#This Row], 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ht="18.75" customHeight="1" x14ac:dyDescent="0.35">
      <c r="C912" s="100" t="str">
        <f>IF(OR(Fact_Control_Operaciones[[#This Row], [Año]]="",Fact_Control_Operaciones[[#This Row], [Mes]]=""),"",DATE(A912,MATCH(B912,{"enero","febrero","marzo","abril","mayo","junio","julio","agosto","septiembre","octubre","noviembre","diciembre"},0)+1,0))</f>
        <v/>
      </c>
      <c r="E912" t="str">
        <f>+IFERROR(VLOOKUP(Fact_Control_Operaciones[[#This Row], [Concepto Anterior]],Conceptos_Control_Operaciones[#All],5,0),"")</f>
        <v/>
      </c>
      <c r="F912" t="str">
        <f>+IFERROR(VLOOKUP(Fact_Control_Operaciones[[#This Row], 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ht="18.75" customHeight="1" x14ac:dyDescent="0.35">
      <c r="C913" s="100" t="str">
        <f>IF(OR(Fact_Control_Operaciones[[#This Row], [Año]]="",Fact_Control_Operaciones[[#This Row], [Mes]]=""),"",DATE(A913,MATCH(B913,{"enero","febrero","marzo","abril","mayo","junio","julio","agosto","septiembre","octubre","noviembre","diciembre"},0)+1,0))</f>
        <v/>
      </c>
      <c r="E913" t="str">
        <f>+IFERROR(VLOOKUP(Fact_Control_Operaciones[[#This Row], [Concepto Anterior]],Conceptos_Control_Operaciones[#All],5,0),"")</f>
        <v/>
      </c>
      <c r="F913" t="str">
        <f>+IFERROR(VLOOKUP(Fact_Control_Operaciones[[#This Row], 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ht="18.75" customHeight="1" x14ac:dyDescent="0.35">
      <c r="C914" s="100" t="str">
        <f>IF(OR(Fact_Control_Operaciones[[#This Row], [Año]]="",Fact_Control_Operaciones[[#This Row], [Mes]]=""),"",DATE(A914,MATCH(B914,{"enero","febrero","marzo","abril","mayo","junio","julio","agosto","septiembre","octubre","noviembre","diciembre"},0)+1,0))</f>
        <v/>
      </c>
      <c r="E914" t="str">
        <f>+IFERROR(VLOOKUP(Fact_Control_Operaciones[[#This Row], [Concepto Anterior]],Conceptos_Control_Operaciones[#All],5,0),"")</f>
        <v/>
      </c>
      <c r="F914" t="str">
        <f>+IFERROR(VLOOKUP(Fact_Control_Operaciones[[#This Row], 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ht="18.75" customHeight="1" x14ac:dyDescent="0.35">
      <c r="C915" s="100" t="str">
        <f>IF(OR(Fact_Control_Operaciones[[#This Row], [Año]]="",Fact_Control_Operaciones[[#This Row], [Mes]]=""),"",DATE(A915,MATCH(B915,{"enero","febrero","marzo","abril","mayo","junio","julio","agosto","septiembre","octubre","noviembre","diciembre"},0)+1,0))</f>
        <v/>
      </c>
      <c r="E915" t="str">
        <f>+IFERROR(VLOOKUP(Fact_Control_Operaciones[[#This Row], [Concepto Anterior]],Conceptos_Control_Operaciones[#All],5,0),"")</f>
        <v/>
      </c>
      <c r="F915" t="str">
        <f>+IFERROR(VLOOKUP(Fact_Control_Operaciones[[#This Row], 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ht="18.75" customHeight="1" x14ac:dyDescent="0.35">
      <c r="C916" s="100" t="str">
        <f>IF(OR(Fact_Control_Operaciones[[#This Row], [Año]]="",Fact_Control_Operaciones[[#This Row], [Mes]]=""),"",DATE(A916,MATCH(B916,{"enero","febrero","marzo","abril","mayo","junio","julio","agosto","septiembre","octubre","noviembre","diciembre"},0)+1,0))</f>
        <v/>
      </c>
      <c r="E916" t="str">
        <f>+IFERROR(VLOOKUP(Fact_Control_Operaciones[[#This Row], [Concepto Anterior]],Conceptos_Control_Operaciones[#All],5,0),"")</f>
        <v/>
      </c>
      <c r="F916" t="str">
        <f>+IFERROR(VLOOKUP(Fact_Control_Operaciones[[#This Row], 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ht="18.75" customHeight="1" x14ac:dyDescent="0.35">
      <c r="C917" s="100" t="str">
        <f>IF(OR(Fact_Control_Operaciones[[#This Row], [Año]]="",Fact_Control_Operaciones[[#This Row], [Mes]]=""),"",DATE(A917,MATCH(B917,{"enero","febrero","marzo","abril","mayo","junio","julio","agosto","septiembre","octubre","noviembre","diciembre"},0)+1,0))</f>
        <v/>
      </c>
      <c r="E917" t="str">
        <f>+IFERROR(VLOOKUP(Fact_Control_Operaciones[[#This Row], [Concepto Anterior]],Conceptos_Control_Operaciones[#All],5,0),"")</f>
        <v/>
      </c>
      <c r="F917" t="str">
        <f>+IFERROR(VLOOKUP(Fact_Control_Operaciones[[#This Row], 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ht="18.75" customHeight="1" x14ac:dyDescent="0.35">
      <c r="C918" s="100" t="str">
        <f>IF(OR(Fact_Control_Operaciones[[#This Row], [Año]]="",Fact_Control_Operaciones[[#This Row], [Mes]]=""),"",DATE(A918,MATCH(B918,{"enero","febrero","marzo","abril","mayo","junio","julio","agosto","septiembre","octubre","noviembre","diciembre"},0)+1,0))</f>
        <v/>
      </c>
      <c r="E918" t="str">
        <f>+IFERROR(VLOOKUP(Fact_Control_Operaciones[[#This Row], [Concepto Anterior]],Conceptos_Control_Operaciones[#All],5,0),"")</f>
        <v/>
      </c>
      <c r="F918" t="str">
        <f>+IFERROR(VLOOKUP(Fact_Control_Operaciones[[#This Row], 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ht="18.75" customHeight="1" x14ac:dyDescent="0.35">
      <c r="C919" s="100" t="str">
        <f>IF(OR(Fact_Control_Operaciones[[#This Row], [Año]]="",Fact_Control_Operaciones[[#This Row], [Mes]]=""),"",DATE(A919,MATCH(B919,{"enero","febrero","marzo","abril","mayo","junio","julio","agosto","septiembre","octubre","noviembre","diciembre"},0)+1,0))</f>
        <v/>
      </c>
      <c r="E919" t="str">
        <f>+IFERROR(VLOOKUP(Fact_Control_Operaciones[[#This Row], [Concepto Anterior]],Conceptos_Control_Operaciones[#All],5,0),"")</f>
        <v/>
      </c>
      <c r="F919" t="str">
        <f>+IFERROR(VLOOKUP(Fact_Control_Operaciones[[#This Row], 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ht="18.75" customHeight="1" x14ac:dyDescent="0.35">
      <c r="C920" s="100" t="str">
        <f>IF(OR(Fact_Control_Operaciones[[#This Row], [Año]]="",Fact_Control_Operaciones[[#This Row], [Mes]]=""),"",DATE(A920,MATCH(B920,{"enero","febrero","marzo","abril","mayo","junio","julio","agosto","septiembre","octubre","noviembre","diciembre"},0)+1,0))</f>
        <v/>
      </c>
      <c r="E920" t="str">
        <f>+IFERROR(VLOOKUP(Fact_Control_Operaciones[[#This Row], [Concepto Anterior]],Conceptos_Control_Operaciones[#All],5,0),"")</f>
        <v/>
      </c>
      <c r="F920" t="str">
        <f>+IFERROR(VLOOKUP(Fact_Control_Operaciones[[#This Row], 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ht="18.75" customHeight="1" x14ac:dyDescent="0.35">
      <c r="C921" s="100" t="str">
        <f>IF(OR(Fact_Control_Operaciones[[#This Row], [Año]]="",Fact_Control_Operaciones[[#This Row], [Mes]]=""),"",DATE(A921,MATCH(B921,{"enero","febrero","marzo","abril","mayo","junio","julio","agosto","septiembre","octubre","noviembre","diciembre"},0)+1,0))</f>
        <v/>
      </c>
      <c r="E921" t="str">
        <f>+IFERROR(VLOOKUP(Fact_Control_Operaciones[[#This Row], [Concepto Anterior]],Conceptos_Control_Operaciones[#All],5,0),"")</f>
        <v/>
      </c>
      <c r="F921" t="str">
        <f>+IFERROR(VLOOKUP(Fact_Control_Operaciones[[#This Row], 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ht="18.75" customHeight="1" x14ac:dyDescent="0.35">
      <c r="C922" s="100" t="str">
        <f>IF(OR(Fact_Control_Operaciones[[#This Row], [Año]]="",Fact_Control_Operaciones[[#This Row], [Mes]]=""),"",DATE(A922,MATCH(B922,{"enero","febrero","marzo","abril","mayo","junio","julio","agosto","septiembre","octubre","noviembre","diciembre"},0)+1,0))</f>
        <v/>
      </c>
      <c r="E922" t="str">
        <f>+IFERROR(VLOOKUP(Fact_Control_Operaciones[[#This Row], [Concepto Anterior]],Conceptos_Control_Operaciones[#All],5,0),"")</f>
        <v/>
      </c>
      <c r="F922" t="str">
        <f>+IFERROR(VLOOKUP(Fact_Control_Operaciones[[#This Row], 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ht="18.75" customHeight="1" x14ac:dyDescent="0.35">
      <c r="C923" s="100" t="str">
        <f>IF(OR(Fact_Control_Operaciones[[#This Row], [Año]]="",Fact_Control_Operaciones[[#This Row], [Mes]]=""),"",DATE(A923,MATCH(B923,{"enero","febrero","marzo","abril","mayo","junio","julio","agosto","septiembre","octubre","noviembre","diciembre"},0)+1,0))</f>
        <v/>
      </c>
      <c r="E923" t="str">
        <f>+IFERROR(VLOOKUP(Fact_Control_Operaciones[[#This Row], [Concepto Anterior]],Conceptos_Control_Operaciones[#All],5,0),"")</f>
        <v/>
      </c>
      <c r="F923" t="str">
        <f>+IFERROR(VLOOKUP(Fact_Control_Operaciones[[#This Row], 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ht="18.75" customHeight="1" x14ac:dyDescent="0.35">
      <c r="C924" s="100" t="str">
        <f>IF(OR(Fact_Control_Operaciones[[#This Row], [Año]]="",Fact_Control_Operaciones[[#This Row], [Mes]]=""),"",DATE(A924,MATCH(B924,{"enero","febrero","marzo","abril","mayo","junio","julio","agosto","septiembre","octubre","noviembre","diciembre"},0)+1,0))</f>
        <v/>
      </c>
      <c r="E924" t="str">
        <f>+IFERROR(VLOOKUP(Fact_Control_Operaciones[[#This Row], [Concepto Anterior]],Conceptos_Control_Operaciones[#All],5,0),"")</f>
        <v/>
      </c>
      <c r="F924" t="str">
        <f>+IFERROR(VLOOKUP(Fact_Control_Operaciones[[#This Row], 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ht="18.75" customHeight="1" x14ac:dyDescent="0.35">
      <c r="C925" s="100" t="str">
        <f>IF(OR(Fact_Control_Operaciones[[#This Row], [Año]]="",Fact_Control_Operaciones[[#This Row], [Mes]]=""),"",DATE(A925,MATCH(B925,{"enero","febrero","marzo","abril","mayo","junio","julio","agosto","septiembre","octubre","noviembre","diciembre"},0)+1,0))</f>
        <v/>
      </c>
      <c r="E925" t="str">
        <f>+IFERROR(VLOOKUP(Fact_Control_Operaciones[[#This Row], [Concepto Anterior]],Conceptos_Control_Operaciones[#All],5,0),"")</f>
        <v/>
      </c>
      <c r="F925" t="str">
        <f>+IFERROR(VLOOKUP(Fact_Control_Operaciones[[#This Row], 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ht="18.75" customHeight="1" x14ac:dyDescent="0.35">
      <c r="C926" s="100" t="str">
        <f>IF(OR(Fact_Control_Operaciones[[#This Row], [Año]]="",Fact_Control_Operaciones[[#This Row], [Mes]]=""),"",DATE(A926,MATCH(B926,{"enero","febrero","marzo","abril","mayo","junio","julio","agosto","septiembre","octubre","noviembre","diciembre"},0)+1,0))</f>
        <v/>
      </c>
      <c r="E926" t="str">
        <f>+IFERROR(VLOOKUP(Fact_Control_Operaciones[[#This Row], [Concepto Anterior]],Conceptos_Control_Operaciones[#All],5,0),"")</f>
        <v/>
      </c>
      <c r="F926" t="str">
        <f>+IFERROR(VLOOKUP(Fact_Control_Operaciones[[#This Row], 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ht="18.75" customHeight="1" x14ac:dyDescent="0.35">
      <c r="C927" s="100" t="str">
        <f>IF(OR(Fact_Control_Operaciones[[#This Row], [Año]]="",Fact_Control_Operaciones[[#This Row], [Mes]]=""),"",DATE(A927,MATCH(B927,{"enero","febrero","marzo","abril","mayo","junio","julio","agosto","septiembre","octubre","noviembre","diciembre"},0)+1,0))</f>
        <v/>
      </c>
      <c r="E927" t="str">
        <f>+IFERROR(VLOOKUP(Fact_Control_Operaciones[[#This Row], [Concepto Anterior]],Conceptos_Control_Operaciones[#All],5,0),"")</f>
        <v/>
      </c>
      <c r="F927" t="str">
        <f>+IFERROR(VLOOKUP(Fact_Control_Operaciones[[#This Row], 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ht="18.75" customHeight="1" x14ac:dyDescent="0.35">
      <c r="C928" s="100" t="str">
        <f>IF(OR(Fact_Control_Operaciones[[#This Row], [Año]]="",Fact_Control_Operaciones[[#This Row], [Mes]]=""),"",DATE(A928,MATCH(B928,{"enero","febrero","marzo","abril","mayo","junio","julio","agosto","septiembre","octubre","noviembre","diciembre"},0)+1,0))</f>
        <v/>
      </c>
      <c r="E928" t="str">
        <f>+IFERROR(VLOOKUP(Fact_Control_Operaciones[[#This Row], [Concepto Anterior]],Conceptos_Control_Operaciones[#All],5,0),"")</f>
        <v/>
      </c>
      <c r="F928" t="str">
        <f>+IFERROR(VLOOKUP(Fact_Control_Operaciones[[#This Row], 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ht="18.75" customHeight="1" x14ac:dyDescent="0.35">
      <c r="C929" s="100" t="str">
        <f>IF(OR(Fact_Control_Operaciones[[#This Row], [Año]]="",Fact_Control_Operaciones[[#This Row], [Mes]]=""),"",DATE(A929,MATCH(B929,{"enero","febrero","marzo","abril","mayo","junio","julio","agosto","septiembre","octubre","noviembre","diciembre"},0)+1,0))</f>
        <v/>
      </c>
      <c r="E929" t="str">
        <f>+IFERROR(VLOOKUP(Fact_Control_Operaciones[[#This Row], [Concepto Anterior]],Conceptos_Control_Operaciones[#All],5,0),"")</f>
        <v/>
      </c>
      <c r="F929" t="str">
        <f>+IFERROR(VLOOKUP(Fact_Control_Operaciones[[#This Row], 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ht="18.75" customHeight="1" x14ac:dyDescent="0.35">
      <c r="C930" s="100" t="str">
        <f>IF(OR(Fact_Control_Operaciones[[#This Row], [Año]]="",Fact_Control_Operaciones[[#This Row], [Mes]]=""),"",DATE(A930,MATCH(B930,{"enero","febrero","marzo","abril","mayo","junio","julio","agosto","septiembre","octubre","noviembre","diciembre"},0)+1,0))</f>
        <v/>
      </c>
      <c r="E930" t="str">
        <f>+IFERROR(VLOOKUP(Fact_Control_Operaciones[[#This Row], [Concepto Anterior]],Conceptos_Control_Operaciones[#All],5,0),"")</f>
        <v/>
      </c>
      <c r="F930" t="str">
        <f>+IFERROR(VLOOKUP(Fact_Control_Operaciones[[#This Row], 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ht="18.75" customHeight="1" x14ac:dyDescent="0.35">
      <c r="C931" s="100" t="str">
        <f>IF(OR(Fact_Control_Operaciones[[#This Row], [Año]]="",Fact_Control_Operaciones[[#This Row], [Mes]]=""),"",DATE(A931,MATCH(B931,{"enero","febrero","marzo","abril","mayo","junio","julio","agosto","septiembre","octubre","noviembre","diciembre"},0)+1,0))</f>
        <v/>
      </c>
      <c r="E931" t="str">
        <f>+IFERROR(VLOOKUP(Fact_Control_Operaciones[[#This Row], [Concepto Anterior]],Conceptos_Control_Operaciones[#All],5,0),"")</f>
        <v/>
      </c>
      <c r="F931" t="str">
        <f>+IFERROR(VLOOKUP(Fact_Control_Operaciones[[#This Row], 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ht="18.75" customHeight="1" x14ac:dyDescent="0.35">
      <c r="C932" s="100" t="str">
        <f>IF(OR(Fact_Control_Operaciones[[#This Row], [Año]]="",Fact_Control_Operaciones[[#This Row], [Mes]]=""),"",DATE(A932,MATCH(B932,{"enero","febrero","marzo","abril","mayo","junio","julio","agosto","septiembre","octubre","noviembre","diciembre"},0)+1,0))</f>
        <v/>
      </c>
      <c r="E932" t="str">
        <f>+IFERROR(VLOOKUP(Fact_Control_Operaciones[[#This Row], [Concepto Anterior]],Conceptos_Control_Operaciones[#All],5,0),"")</f>
        <v/>
      </c>
      <c r="F932" t="str">
        <f>+IFERROR(VLOOKUP(Fact_Control_Operaciones[[#This Row], 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ht="18.75" customHeight="1" x14ac:dyDescent="0.35">
      <c r="C933" s="100" t="str">
        <f>IF(OR(Fact_Control_Operaciones[[#This Row], [Año]]="",Fact_Control_Operaciones[[#This Row], [Mes]]=""),"",DATE(A933,MATCH(B933,{"enero","febrero","marzo","abril","mayo","junio","julio","agosto","septiembre","octubre","noviembre","diciembre"},0)+1,0))</f>
        <v/>
      </c>
      <c r="E933" t="str">
        <f>+IFERROR(VLOOKUP(Fact_Control_Operaciones[[#This Row], [Concepto Anterior]],Conceptos_Control_Operaciones[#All],5,0),"")</f>
        <v/>
      </c>
      <c r="F933" t="str">
        <f>+IFERROR(VLOOKUP(Fact_Control_Operaciones[[#This Row], 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ht="18.75" customHeight="1" x14ac:dyDescent="0.35">
      <c r="C934" s="100" t="str">
        <f>IF(OR(Fact_Control_Operaciones[[#This Row], [Año]]="",Fact_Control_Operaciones[[#This Row], [Mes]]=""),"",DATE(A934,MATCH(B934,{"enero","febrero","marzo","abril","mayo","junio","julio","agosto","septiembre","octubre","noviembre","diciembre"},0)+1,0))</f>
        <v/>
      </c>
      <c r="E934" t="str">
        <f>+IFERROR(VLOOKUP(Fact_Control_Operaciones[[#This Row], [Concepto Anterior]],Conceptos_Control_Operaciones[#All],5,0),"")</f>
        <v/>
      </c>
      <c r="F934" t="str">
        <f>+IFERROR(VLOOKUP(Fact_Control_Operaciones[[#This Row], 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ht="18.75" customHeight="1" x14ac:dyDescent="0.35">
      <c r="C935" s="100" t="str">
        <f>IF(OR(Fact_Control_Operaciones[[#This Row], [Año]]="",Fact_Control_Operaciones[[#This Row], [Mes]]=""),"",DATE(A935,MATCH(B935,{"enero","febrero","marzo","abril","mayo","junio","julio","agosto","septiembre","octubre","noviembre","diciembre"},0)+1,0))</f>
        <v/>
      </c>
      <c r="E935" t="str">
        <f>+IFERROR(VLOOKUP(Fact_Control_Operaciones[[#This Row], [Concepto Anterior]],Conceptos_Control_Operaciones[#All],5,0),"")</f>
        <v/>
      </c>
      <c r="F935" t="str">
        <f>+IFERROR(VLOOKUP(Fact_Control_Operaciones[[#This Row], 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ht="18.75" customHeight="1" x14ac:dyDescent="0.35">
      <c r="C936" s="100" t="str">
        <f>IF(OR(Fact_Control_Operaciones[[#This Row], [Año]]="",Fact_Control_Operaciones[[#This Row], [Mes]]=""),"",DATE(A936,MATCH(B936,{"enero","febrero","marzo","abril","mayo","junio","julio","agosto","septiembre","octubre","noviembre","diciembre"},0)+1,0))</f>
        <v/>
      </c>
      <c r="E936" t="str">
        <f>+IFERROR(VLOOKUP(Fact_Control_Operaciones[[#This Row], [Concepto Anterior]],Conceptos_Control_Operaciones[#All],5,0),"")</f>
        <v/>
      </c>
      <c r="F936" t="str">
        <f>+IFERROR(VLOOKUP(Fact_Control_Operaciones[[#This Row], 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ht="18.75" customHeight="1" x14ac:dyDescent="0.35">
      <c r="C937" s="100" t="str">
        <f>IF(OR(Fact_Control_Operaciones[[#This Row], [Año]]="",Fact_Control_Operaciones[[#This Row], [Mes]]=""),"",DATE(A937,MATCH(B937,{"enero","febrero","marzo","abril","mayo","junio","julio","agosto","septiembre","octubre","noviembre","diciembre"},0)+1,0))</f>
        <v/>
      </c>
      <c r="E937" t="str">
        <f>+IFERROR(VLOOKUP(Fact_Control_Operaciones[[#This Row], [Concepto Anterior]],Conceptos_Control_Operaciones[#All],5,0),"")</f>
        <v/>
      </c>
      <c r="F937" t="str">
        <f>+IFERROR(VLOOKUP(Fact_Control_Operaciones[[#This Row], 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ht="18.75" customHeight="1" x14ac:dyDescent="0.35">
      <c r="C938" s="100" t="str">
        <f>IF(OR(Fact_Control_Operaciones[[#This Row], [Año]]="",Fact_Control_Operaciones[[#This Row], [Mes]]=""),"",DATE(A938,MATCH(B938,{"enero","febrero","marzo","abril","mayo","junio","julio","agosto","septiembre","octubre","noviembre","diciembre"},0)+1,0))</f>
        <v/>
      </c>
      <c r="E938" t="str">
        <f>+IFERROR(VLOOKUP(Fact_Control_Operaciones[[#This Row], [Concepto Anterior]],Conceptos_Control_Operaciones[#All],5,0),"")</f>
        <v/>
      </c>
      <c r="F938" t="str">
        <f>+IFERROR(VLOOKUP(Fact_Control_Operaciones[[#This Row], 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ht="18.75" customHeight="1" x14ac:dyDescent="0.35">
      <c r="C939" s="100" t="str">
        <f>IF(OR(Fact_Control_Operaciones[[#This Row], [Año]]="",Fact_Control_Operaciones[[#This Row], [Mes]]=""),"",DATE(A939,MATCH(B939,{"enero","febrero","marzo","abril","mayo","junio","julio","agosto","septiembre","octubre","noviembre","diciembre"},0)+1,0))</f>
        <v/>
      </c>
      <c r="E939" t="str">
        <f>+IFERROR(VLOOKUP(Fact_Control_Operaciones[[#This Row], [Concepto Anterior]],Conceptos_Control_Operaciones[#All],5,0),"")</f>
        <v/>
      </c>
      <c r="F939" t="str">
        <f>+IFERROR(VLOOKUP(Fact_Control_Operaciones[[#This Row], 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ht="18.75" customHeight="1" x14ac:dyDescent="0.35">
      <c r="C940" s="100" t="str">
        <f>IF(OR(Fact_Control_Operaciones[[#This Row], [Año]]="",Fact_Control_Operaciones[[#This Row], [Mes]]=""),"",DATE(A940,MATCH(B940,{"enero","febrero","marzo","abril","mayo","junio","julio","agosto","septiembre","octubre","noviembre","diciembre"},0)+1,0))</f>
        <v/>
      </c>
      <c r="E940" t="str">
        <f>+IFERROR(VLOOKUP(Fact_Control_Operaciones[[#This Row], [Concepto Anterior]],Conceptos_Control_Operaciones[#All],5,0),"")</f>
        <v/>
      </c>
      <c r="F940" t="str">
        <f>+IFERROR(VLOOKUP(Fact_Control_Operaciones[[#This Row], 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ht="18.75" customHeight="1" x14ac:dyDescent="0.35">
      <c r="C941" s="100" t="str">
        <f>IF(OR(Fact_Control_Operaciones[[#This Row], [Año]]="",Fact_Control_Operaciones[[#This Row], [Mes]]=""),"",DATE(A941,MATCH(B941,{"enero","febrero","marzo","abril","mayo","junio","julio","agosto","septiembre","octubre","noviembre","diciembre"},0)+1,0))</f>
        <v/>
      </c>
      <c r="E941" t="str">
        <f>+IFERROR(VLOOKUP(Fact_Control_Operaciones[[#This Row], [Concepto Anterior]],Conceptos_Control_Operaciones[#All],5,0),"")</f>
        <v/>
      </c>
      <c r="F941" t="str">
        <f>+IFERROR(VLOOKUP(Fact_Control_Operaciones[[#This Row], 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ht="18.75" customHeight="1" x14ac:dyDescent="0.35">
      <c r="C942" s="100" t="str">
        <f>IF(OR(Fact_Control_Operaciones[[#This Row], [Año]]="",Fact_Control_Operaciones[[#This Row], [Mes]]=""),"",DATE(A942,MATCH(B942,{"enero","febrero","marzo","abril","mayo","junio","julio","agosto","septiembre","octubre","noviembre","diciembre"},0)+1,0))</f>
        <v/>
      </c>
      <c r="E942" t="str">
        <f>+IFERROR(VLOOKUP(Fact_Control_Operaciones[[#This Row], [Concepto Anterior]],Conceptos_Control_Operaciones[#All],5,0),"")</f>
        <v/>
      </c>
      <c r="F942" t="str">
        <f>+IFERROR(VLOOKUP(Fact_Control_Operaciones[[#This Row], 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ht="18.75" customHeight="1" x14ac:dyDescent="0.35">
      <c r="C943" s="100" t="str">
        <f>IF(OR(Fact_Control_Operaciones[[#This Row], [Año]]="",Fact_Control_Operaciones[[#This Row], [Mes]]=""),"",DATE(A943,MATCH(B943,{"enero","febrero","marzo","abril","mayo","junio","julio","agosto","septiembre","octubre","noviembre","diciembre"},0)+1,0))</f>
        <v/>
      </c>
      <c r="E943" t="str">
        <f>+IFERROR(VLOOKUP(Fact_Control_Operaciones[[#This Row], [Concepto Anterior]],Conceptos_Control_Operaciones[#All],5,0),"")</f>
        <v/>
      </c>
      <c r="F943" t="str">
        <f>+IFERROR(VLOOKUP(Fact_Control_Operaciones[[#This Row], 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ht="18.75" customHeight="1" x14ac:dyDescent="0.35">
      <c r="C944" s="100" t="str">
        <f>IF(OR(Fact_Control_Operaciones[[#This Row], [Año]]="",Fact_Control_Operaciones[[#This Row], [Mes]]=""),"",DATE(A944,MATCH(B944,{"enero","febrero","marzo","abril","mayo","junio","julio","agosto","septiembre","octubre","noviembre","diciembre"},0)+1,0))</f>
        <v/>
      </c>
      <c r="E944" t="str">
        <f>+IFERROR(VLOOKUP(Fact_Control_Operaciones[[#This Row], [Concepto Anterior]],Conceptos_Control_Operaciones[#All],5,0),"")</f>
        <v/>
      </c>
      <c r="F944" t="str">
        <f>+IFERROR(VLOOKUP(Fact_Control_Operaciones[[#This Row], 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ht="18.75" customHeight="1" x14ac:dyDescent="0.35">
      <c r="C945" s="100" t="str">
        <f>IF(OR(Fact_Control_Operaciones[[#This Row], [Año]]="",Fact_Control_Operaciones[[#This Row], [Mes]]=""),"",DATE(A945,MATCH(B945,{"enero","febrero","marzo","abril","mayo","junio","julio","agosto","septiembre","octubre","noviembre","diciembre"},0)+1,0))</f>
        <v/>
      </c>
      <c r="E945" t="str">
        <f>+IFERROR(VLOOKUP(Fact_Control_Operaciones[[#This Row], [Concepto Anterior]],Conceptos_Control_Operaciones[#All],5,0),"")</f>
        <v/>
      </c>
      <c r="F945" t="str">
        <f>+IFERROR(VLOOKUP(Fact_Control_Operaciones[[#This Row], 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ht="18.75" customHeight="1" x14ac:dyDescent="0.35">
      <c r="C946" s="100" t="str">
        <f>IF(OR(Fact_Control_Operaciones[[#This Row], [Año]]="",Fact_Control_Operaciones[[#This Row], [Mes]]=""),"",DATE(A946,MATCH(B946,{"enero","febrero","marzo","abril","mayo","junio","julio","agosto","septiembre","octubre","noviembre","diciembre"},0)+1,0))</f>
        <v/>
      </c>
      <c r="E946" t="str">
        <f>+IFERROR(VLOOKUP(Fact_Control_Operaciones[[#This Row], [Concepto Anterior]],Conceptos_Control_Operaciones[#All],5,0),"")</f>
        <v/>
      </c>
      <c r="F946" t="str">
        <f>+IFERROR(VLOOKUP(Fact_Control_Operaciones[[#This Row], 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ht="18.75" customHeight="1" x14ac:dyDescent="0.35">
      <c r="C947" s="100" t="str">
        <f>IF(OR(Fact_Control_Operaciones[[#This Row], [Año]]="",Fact_Control_Operaciones[[#This Row], [Mes]]=""),"",DATE(A947,MATCH(B947,{"enero","febrero","marzo","abril","mayo","junio","julio","agosto","septiembre","octubre","noviembre","diciembre"},0)+1,0))</f>
        <v/>
      </c>
      <c r="E947" t="str">
        <f>+IFERROR(VLOOKUP(Fact_Control_Operaciones[[#This Row], [Concepto Anterior]],Conceptos_Control_Operaciones[#All],5,0),"")</f>
        <v/>
      </c>
      <c r="F947" t="str">
        <f>+IFERROR(VLOOKUP(Fact_Control_Operaciones[[#This Row], 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ht="18.75" customHeight="1" x14ac:dyDescent="0.35">
      <c r="C948" s="100" t="str">
        <f>IF(OR(Fact_Control_Operaciones[[#This Row], [Año]]="",Fact_Control_Operaciones[[#This Row], [Mes]]=""),"",DATE(A948,MATCH(B948,{"enero","febrero","marzo","abril","mayo","junio","julio","agosto","septiembre","octubre","noviembre","diciembre"},0)+1,0))</f>
        <v/>
      </c>
      <c r="E948" t="str">
        <f>+IFERROR(VLOOKUP(Fact_Control_Operaciones[[#This Row], [Concepto Anterior]],Conceptos_Control_Operaciones[#All],5,0),"")</f>
        <v/>
      </c>
      <c r="F948" t="str">
        <f>+IFERROR(VLOOKUP(Fact_Control_Operaciones[[#This Row], 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ht="18.75" customHeight="1" x14ac:dyDescent="0.35">
      <c r="C949" s="100" t="str">
        <f>IF(OR(Fact_Control_Operaciones[[#This Row], [Año]]="",Fact_Control_Operaciones[[#This Row], [Mes]]=""),"",DATE(A949,MATCH(B949,{"enero","febrero","marzo","abril","mayo","junio","julio","agosto","septiembre","octubre","noviembre","diciembre"},0)+1,0))</f>
        <v/>
      </c>
      <c r="E949" t="str">
        <f>+IFERROR(VLOOKUP(Fact_Control_Operaciones[[#This Row], [Concepto Anterior]],Conceptos_Control_Operaciones[#All],5,0),"")</f>
        <v/>
      </c>
      <c r="F949" t="str">
        <f>+IFERROR(VLOOKUP(Fact_Control_Operaciones[[#This Row], 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ht="18.75" customHeight="1" x14ac:dyDescent="0.35">
      <c r="C950" s="100" t="str">
        <f>IF(OR(Fact_Control_Operaciones[[#This Row], [Año]]="",Fact_Control_Operaciones[[#This Row], [Mes]]=""),"",DATE(A950,MATCH(B950,{"enero","febrero","marzo","abril","mayo","junio","julio","agosto","septiembre","octubre","noviembre","diciembre"},0)+1,0))</f>
        <v/>
      </c>
      <c r="E950" t="str">
        <f>+IFERROR(VLOOKUP(Fact_Control_Operaciones[[#This Row], [Concepto Anterior]],Conceptos_Control_Operaciones[#All],5,0),"")</f>
        <v/>
      </c>
      <c r="F950" t="str">
        <f>+IFERROR(VLOOKUP(Fact_Control_Operaciones[[#This Row], 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ht="18.75" customHeight="1" x14ac:dyDescent="0.35">
      <c r="C951" s="100" t="str">
        <f>IF(OR(Fact_Control_Operaciones[[#This Row], [Año]]="",Fact_Control_Operaciones[[#This Row], [Mes]]=""),"",DATE(A951,MATCH(B951,{"enero","febrero","marzo","abril","mayo","junio","julio","agosto","septiembre","octubre","noviembre","diciembre"},0)+1,0))</f>
        <v/>
      </c>
      <c r="E951" t="str">
        <f>+IFERROR(VLOOKUP(Fact_Control_Operaciones[[#This Row], [Concepto Anterior]],Conceptos_Control_Operaciones[#All],5,0),"")</f>
        <v/>
      </c>
      <c r="F951" t="str">
        <f>+IFERROR(VLOOKUP(Fact_Control_Operaciones[[#This Row], 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ht="18.75" customHeight="1" x14ac:dyDescent="0.35">
      <c r="C952" s="100" t="str">
        <f>IF(OR(Fact_Control_Operaciones[[#This Row], [Año]]="",Fact_Control_Operaciones[[#This Row], [Mes]]=""),"",DATE(A952,MATCH(B952,{"enero","febrero","marzo","abril","mayo","junio","julio","agosto","septiembre","octubre","noviembre","diciembre"},0)+1,0))</f>
        <v/>
      </c>
      <c r="E952" t="str">
        <f>+IFERROR(VLOOKUP(Fact_Control_Operaciones[[#This Row], [Concepto Anterior]],Conceptos_Control_Operaciones[#All],5,0),"")</f>
        <v/>
      </c>
      <c r="F952" t="str">
        <f>+IFERROR(VLOOKUP(Fact_Control_Operaciones[[#This Row], 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ht="18.75" customHeight="1" x14ac:dyDescent="0.35">
      <c r="C953" s="100" t="str">
        <f>IF(OR(Fact_Control_Operaciones[[#This Row], [Año]]="",Fact_Control_Operaciones[[#This Row], [Mes]]=""),"",DATE(A953,MATCH(B953,{"enero","febrero","marzo","abril","mayo","junio","julio","agosto","septiembre","octubre","noviembre","diciembre"},0)+1,0))</f>
        <v/>
      </c>
      <c r="E953" t="str">
        <f>+IFERROR(VLOOKUP(Fact_Control_Operaciones[[#This Row], [Concepto Anterior]],Conceptos_Control_Operaciones[#All],5,0),"")</f>
        <v/>
      </c>
      <c r="F953" t="str">
        <f>+IFERROR(VLOOKUP(Fact_Control_Operaciones[[#This Row], 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ht="18.75" customHeight="1" x14ac:dyDescent="0.35">
      <c r="C954" s="100" t="str">
        <f>IF(OR(Fact_Control_Operaciones[[#This Row], [Año]]="",Fact_Control_Operaciones[[#This Row], [Mes]]=""),"",DATE(A954,MATCH(B954,{"enero","febrero","marzo","abril","mayo","junio","julio","agosto","septiembre","octubre","noviembre","diciembre"},0)+1,0))</f>
        <v/>
      </c>
      <c r="E954" t="str">
        <f>+IFERROR(VLOOKUP(Fact_Control_Operaciones[[#This Row], [Concepto Anterior]],Conceptos_Control_Operaciones[#All],5,0),"")</f>
        <v/>
      </c>
      <c r="F954" t="str">
        <f>+IFERROR(VLOOKUP(Fact_Control_Operaciones[[#This Row], 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ht="18.75" customHeight="1" x14ac:dyDescent="0.35">
      <c r="C955" s="100" t="str">
        <f>IF(OR(Fact_Control_Operaciones[[#This Row], [Año]]="",Fact_Control_Operaciones[[#This Row], [Mes]]=""),"",DATE(A955,MATCH(B955,{"enero","febrero","marzo","abril","mayo","junio","julio","agosto","septiembre","octubre","noviembre","diciembre"},0)+1,0))</f>
        <v/>
      </c>
      <c r="E955" t="str">
        <f>+IFERROR(VLOOKUP(Fact_Control_Operaciones[[#This Row], [Concepto Anterior]],Conceptos_Control_Operaciones[#All],5,0),"")</f>
        <v/>
      </c>
      <c r="F955" t="str">
        <f>+IFERROR(VLOOKUP(Fact_Control_Operaciones[[#This Row], 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ht="18.75" customHeight="1" x14ac:dyDescent="0.35">
      <c r="C956" s="100" t="str">
        <f>IF(OR(Fact_Control_Operaciones[[#This Row], [Año]]="",Fact_Control_Operaciones[[#This Row], [Mes]]=""),"",DATE(A956,MATCH(B956,{"enero","febrero","marzo","abril","mayo","junio","julio","agosto","septiembre","octubre","noviembre","diciembre"},0)+1,0))</f>
        <v/>
      </c>
      <c r="E956" t="str">
        <f>+IFERROR(VLOOKUP(Fact_Control_Operaciones[[#This Row], [Concepto Anterior]],Conceptos_Control_Operaciones[#All],5,0),"")</f>
        <v/>
      </c>
      <c r="F956" t="str">
        <f>+IFERROR(VLOOKUP(Fact_Control_Operaciones[[#This Row], 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ht="18.75" customHeight="1" x14ac:dyDescent="0.35">
      <c r="C957" s="100" t="str">
        <f>IF(OR(Fact_Control_Operaciones[[#This Row], [Año]]="",Fact_Control_Operaciones[[#This Row], [Mes]]=""),"",DATE(A957,MATCH(B957,{"enero","febrero","marzo","abril","mayo","junio","julio","agosto","septiembre","octubre","noviembre","diciembre"},0)+1,0))</f>
        <v/>
      </c>
      <c r="E957" t="str">
        <f>+IFERROR(VLOOKUP(Fact_Control_Operaciones[[#This Row], [Concepto Anterior]],Conceptos_Control_Operaciones[#All],5,0),"")</f>
        <v/>
      </c>
      <c r="F957" t="str">
        <f>+IFERROR(VLOOKUP(Fact_Control_Operaciones[[#This Row], 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ht="18.75" customHeight="1" x14ac:dyDescent="0.35">
      <c r="C958" s="100" t="str">
        <f>IF(OR(Fact_Control_Operaciones[[#This Row], [Año]]="",Fact_Control_Operaciones[[#This Row], [Mes]]=""),"",DATE(A958,MATCH(B958,{"enero","febrero","marzo","abril","mayo","junio","julio","agosto","septiembre","octubre","noviembre","diciembre"},0)+1,0))</f>
        <v/>
      </c>
      <c r="E958" t="str">
        <f>+IFERROR(VLOOKUP(Fact_Control_Operaciones[[#This Row], [Concepto Anterior]],Conceptos_Control_Operaciones[#All],5,0),"")</f>
        <v/>
      </c>
      <c r="F958" t="str">
        <f>+IFERROR(VLOOKUP(Fact_Control_Operaciones[[#This Row], 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ht="18.75" customHeight="1" x14ac:dyDescent="0.35">
      <c r="C959" s="100" t="str">
        <f>IF(OR(Fact_Control_Operaciones[[#This Row], [Año]]="",Fact_Control_Operaciones[[#This Row], [Mes]]=""),"",DATE(A959,MATCH(B959,{"enero","febrero","marzo","abril","mayo","junio","julio","agosto","septiembre","octubre","noviembre","diciembre"},0)+1,0))</f>
        <v/>
      </c>
      <c r="E959" t="str">
        <f>+IFERROR(VLOOKUP(Fact_Control_Operaciones[[#This Row], [Concepto Anterior]],Conceptos_Control_Operaciones[#All],5,0),"")</f>
        <v/>
      </c>
      <c r="F959" t="str">
        <f>+IFERROR(VLOOKUP(Fact_Control_Operaciones[[#This Row], 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ht="18.75" customHeight="1" x14ac:dyDescent="0.35">
      <c r="C960" s="100" t="str">
        <f>IF(OR(Fact_Control_Operaciones[[#This Row], [Año]]="",Fact_Control_Operaciones[[#This Row], [Mes]]=""),"",DATE(A960,MATCH(B960,{"enero","febrero","marzo","abril","mayo","junio","julio","agosto","septiembre","octubre","noviembre","diciembre"},0)+1,0))</f>
        <v/>
      </c>
      <c r="E960" t="str">
        <f>+IFERROR(VLOOKUP(Fact_Control_Operaciones[[#This Row], [Concepto Anterior]],Conceptos_Control_Operaciones[#All],5,0),"")</f>
        <v/>
      </c>
      <c r="F960" t="str">
        <f>+IFERROR(VLOOKUP(Fact_Control_Operaciones[[#This Row], 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ht="18.75" customHeight="1" x14ac:dyDescent="0.35">
      <c r="C961" s="100" t="str">
        <f>IF(OR(Fact_Control_Operaciones[[#This Row], [Año]]="",Fact_Control_Operaciones[[#This Row], [Mes]]=""),"",DATE(A961,MATCH(B961,{"enero","febrero","marzo","abril","mayo","junio","julio","agosto","septiembre","octubre","noviembre","diciembre"},0)+1,0))</f>
        <v/>
      </c>
      <c r="E961" t="str">
        <f>+IFERROR(VLOOKUP(Fact_Control_Operaciones[[#This Row], [Concepto Anterior]],Conceptos_Control_Operaciones[#All],5,0),"")</f>
        <v/>
      </c>
      <c r="F961" t="str">
        <f>+IFERROR(VLOOKUP(Fact_Control_Operaciones[[#This Row], 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ht="18.75" customHeight="1" x14ac:dyDescent="0.35">
      <c r="C962" s="100" t="str">
        <f>IF(OR(Fact_Control_Operaciones[[#This Row], [Año]]="",Fact_Control_Operaciones[[#This Row], [Mes]]=""),"",DATE(A962,MATCH(B962,{"enero","febrero","marzo","abril","mayo","junio","julio","agosto","septiembre","octubre","noviembre","diciembre"},0)+1,0))</f>
        <v/>
      </c>
      <c r="E962" t="str">
        <f>+IFERROR(VLOOKUP(Fact_Control_Operaciones[[#This Row], [Concepto Anterior]],Conceptos_Control_Operaciones[#All],5,0),"")</f>
        <v/>
      </c>
      <c r="F962" t="str">
        <f>+IFERROR(VLOOKUP(Fact_Control_Operaciones[[#This Row], 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ht="18.75" customHeight="1" x14ac:dyDescent="0.35">
      <c r="C963" s="100" t="str">
        <f>IF(OR(Fact_Control_Operaciones[[#This Row], [Año]]="",Fact_Control_Operaciones[[#This Row], [Mes]]=""),"",DATE(A963,MATCH(B963,{"enero","febrero","marzo","abril","mayo","junio","julio","agosto","septiembre","octubre","noviembre","diciembre"},0)+1,0))</f>
        <v/>
      </c>
      <c r="E963" t="str">
        <f>+IFERROR(VLOOKUP(Fact_Control_Operaciones[[#This Row], [Concepto Anterior]],Conceptos_Control_Operaciones[#All],5,0),"")</f>
        <v/>
      </c>
      <c r="F963" t="str">
        <f>+IFERROR(VLOOKUP(Fact_Control_Operaciones[[#This Row], 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ht="18.75" customHeight="1" x14ac:dyDescent="0.35">
      <c r="C964" s="100" t="str">
        <f>IF(OR(Fact_Control_Operaciones[[#This Row], [Año]]="",Fact_Control_Operaciones[[#This Row], [Mes]]=""),"",DATE(A964,MATCH(B964,{"enero","febrero","marzo","abril","mayo","junio","julio","agosto","septiembre","octubre","noviembre","diciembre"},0)+1,0))</f>
        <v/>
      </c>
      <c r="E964" t="str">
        <f>+IFERROR(VLOOKUP(Fact_Control_Operaciones[[#This Row], [Concepto Anterior]],Conceptos_Control_Operaciones[#All],5,0),"")</f>
        <v/>
      </c>
      <c r="F964" t="str">
        <f>+IFERROR(VLOOKUP(Fact_Control_Operaciones[[#This Row], 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ht="18.75" customHeight="1" x14ac:dyDescent="0.35">
      <c r="C965" s="100" t="str">
        <f>IF(OR(Fact_Control_Operaciones[[#This Row], [Año]]="",Fact_Control_Operaciones[[#This Row], [Mes]]=""),"",DATE(A965,MATCH(B965,{"enero","febrero","marzo","abril","mayo","junio","julio","agosto","septiembre","octubre","noviembre","diciembre"},0)+1,0))</f>
        <v/>
      </c>
      <c r="E965" t="str">
        <f>+IFERROR(VLOOKUP(Fact_Control_Operaciones[[#This Row], [Concepto Anterior]],Conceptos_Control_Operaciones[#All],5,0),"")</f>
        <v/>
      </c>
      <c r="F965" t="str">
        <f>+IFERROR(VLOOKUP(Fact_Control_Operaciones[[#This Row], 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ht="18.75" customHeight="1" x14ac:dyDescent="0.35">
      <c r="C966" s="100" t="str">
        <f>IF(OR(Fact_Control_Operaciones[[#This Row], [Año]]="",Fact_Control_Operaciones[[#This Row], [Mes]]=""),"",DATE(A966,MATCH(B966,{"enero","febrero","marzo","abril","mayo","junio","julio","agosto","septiembre","octubre","noviembre","diciembre"},0)+1,0))</f>
        <v/>
      </c>
      <c r="E966" t="str">
        <f>+IFERROR(VLOOKUP(Fact_Control_Operaciones[[#This Row], [Concepto Anterior]],Conceptos_Control_Operaciones[#All],5,0),"")</f>
        <v/>
      </c>
      <c r="F966" t="str">
        <f>+IFERROR(VLOOKUP(Fact_Control_Operaciones[[#This Row], 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ht="18.75" customHeight="1" x14ac:dyDescent="0.35">
      <c r="C967" s="100" t="str">
        <f>IF(OR(Fact_Control_Operaciones[[#This Row], [Año]]="",Fact_Control_Operaciones[[#This Row], [Mes]]=""),"",DATE(A967,MATCH(B967,{"enero","febrero","marzo","abril","mayo","junio","julio","agosto","septiembre","octubre","noviembre","diciembre"},0)+1,0))</f>
        <v/>
      </c>
      <c r="E967" t="str">
        <f>+IFERROR(VLOOKUP(Fact_Control_Operaciones[[#This Row], [Concepto Anterior]],Conceptos_Control_Operaciones[#All],5,0),"")</f>
        <v/>
      </c>
      <c r="F967" t="str">
        <f>+IFERROR(VLOOKUP(Fact_Control_Operaciones[[#This Row], 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ht="18.75" customHeight="1" x14ac:dyDescent="0.35">
      <c r="C968" s="100" t="str">
        <f>IF(OR(Fact_Control_Operaciones[[#This Row], [Año]]="",Fact_Control_Operaciones[[#This Row], [Mes]]=""),"",DATE(A968,MATCH(B968,{"enero","febrero","marzo","abril","mayo","junio","julio","agosto","septiembre","octubre","noviembre","diciembre"},0)+1,0))</f>
        <v/>
      </c>
      <c r="E968" t="str">
        <f>+IFERROR(VLOOKUP(Fact_Control_Operaciones[[#This Row], [Concepto Anterior]],Conceptos_Control_Operaciones[#All],5,0),"")</f>
        <v/>
      </c>
      <c r="F968" t="str">
        <f>+IFERROR(VLOOKUP(Fact_Control_Operaciones[[#This Row], 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ht="18.75" customHeight="1" x14ac:dyDescent="0.35">
      <c r="C969" s="100" t="str">
        <f>IF(OR(Fact_Control_Operaciones[[#This Row], [Año]]="",Fact_Control_Operaciones[[#This Row], [Mes]]=""),"",DATE(A969,MATCH(B969,{"enero","febrero","marzo","abril","mayo","junio","julio","agosto","septiembre","octubre","noviembre","diciembre"},0)+1,0))</f>
        <v/>
      </c>
      <c r="E969" t="str">
        <f>+IFERROR(VLOOKUP(Fact_Control_Operaciones[[#This Row], [Concepto Anterior]],Conceptos_Control_Operaciones[#All],5,0),"")</f>
        <v/>
      </c>
      <c r="F969" t="str">
        <f>+IFERROR(VLOOKUP(Fact_Control_Operaciones[[#This Row], 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ht="18.75" customHeight="1" x14ac:dyDescent="0.35">
      <c r="C970" s="100" t="str">
        <f>IF(OR(Fact_Control_Operaciones[[#This Row], [Año]]="",Fact_Control_Operaciones[[#This Row], [Mes]]=""),"",DATE(A970,MATCH(B970,{"enero","febrero","marzo","abril","mayo","junio","julio","agosto","septiembre","octubre","noviembre","diciembre"},0)+1,0))</f>
        <v/>
      </c>
      <c r="E970" t="str">
        <f>+IFERROR(VLOOKUP(Fact_Control_Operaciones[[#This Row], [Concepto Anterior]],Conceptos_Control_Operaciones[#All],5,0),"")</f>
        <v/>
      </c>
      <c r="F970" t="str">
        <f>+IFERROR(VLOOKUP(Fact_Control_Operaciones[[#This Row], 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ht="18.75" customHeight="1" x14ac:dyDescent="0.35">
      <c r="C971" s="100" t="str">
        <f>IF(OR(Fact_Control_Operaciones[[#This Row], [Año]]="",Fact_Control_Operaciones[[#This Row], [Mes]]=""),"",DATE(A971,MATCH(B971,{"enero","febrero","marzo","abril","mayo","junio","julio","agosto","septiembre","octubre","noviembre","diciembre"},0)+1,0))</f>
        <v/>
      </c>
      <c r="E971" t="str">
        <f>+IFERROR(VLOOKUP(Fact_Control_Operaciones[[#This Row], [Concepto Anterior]],Conceptos_Control_Operaciones[#All],5,0),"")</f>
        <v/>
      </c>
      <c r="F971" t="str">
        <f>+IFERROR(VLOOKUP(Fact_Control_Operaciones[[#This Row], 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ht="18.75" customHeight="1" x14ac:dyDescent="0.35">
      <c r="C972" s="100" t="str">
        <f>IF(OR(Fact_Control_Operaciones[[#This Row], [Año]]="",Fact_Control_Operaciones[[#This Row], [Mes]]=""),"",DATE(A972,MATCH(B972,{"enero","febrero","marzo","abril","mayo","junio","julio","agosto","septiembre","octubre","noviembre","diciembre"},0)+1,0))</f>
        <v/>
      </c>
      <c r="E972" t="str">
        <f>+IFERROR(VLOOKUP(Fact_Control_Operaciones[[#This Row], [Concepto Anterior]],Conceptos_Control_Operaciones[#All],5,0),"")</f>
        <v/>
      </c>
      <c r="F972" t="str">
        <f>+IFERROR(VLOOKUP(Fact_Control_Operaciones[[#This Row], 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ht="18.75" customHeight="1" x14ac:dyDescent="0.35">
      <c r="C973" s="100" t="str">
        <f>IF(OR(Fact_Control_Operaciones[[#This Row], [Año]]="",Fact_Control_Operaciones[[#This Row], [Mes]]=""),"",DATE(A973,MATCH(B973,{"enero","febrero","marzo","abril","mayo","junio","julio","agosto","septiembre","octubre","noviembre","diciembre"},0)+1,0))</f>
        <v/>
      </c>
      <c r="E973" t="str">
        <f>+IFERROR(VLOOKUP(Fact_Control_Operaciones[[#This Row], [Concepto Anterior]],Conceptos_Control_Operaciones[#All],5,0),"")</f>
        <v/>
      </c>
      <c r="F973" t="str">
        <f>+IFERROR(VLOOKUP(Fact_Control_Operaciones[[#This Row], 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ht="18.75" customHeight="1" x14ac:dyDescent="0.35">
      <c r="C974" s="100" t="str">
        <f>IF(OR(Fact_Control_Operaciones[[#This Row], [Año]]="",Fact_Control_Operaciones[[#This Row], [Mes]]=""),"",DATE(A974,MATCH(B974,{"enero","febrero","marzo","abril","mayo","junio","julio","agosto","septiembre","octubre","noviembre","diciembre"},0)+1,0))</f>
        <v/>
      </c>
      <c r="E974" t="str">
        <f>+IFERROR(VLOOKUP(Fact_Control_Operaciones[[#This Row], [Concepto Anterior]],Conceptos_Control_Operaciones[#All],5,0),"")</f>
        <v/>
      </c>
      <c r="F974" t="str">
        <f>+IFERROR(VLOOKUP(Fact_Control_Operaciones[[#This Row], 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ht="18.75" customHeight="1" x14ac:dyDescent="0.35">
      <c r="C975" s="100" t="str">
        <f>IF(OR(Fact_Control_Operaciones[[#This Row], [Año]]="",Fact_Control_Operaciones[[#This Row], [Mes]]=""),"",DATE(A975,MATCH(B975,{"enero","febrero","marzo","abril","mayo","junio","julio","agosto","septiembre","octubre","noviembre","diciembre"},0)+1,0))</f>
        <v/>
      </c>
      <c r="E975" t="str">
        <f>+IFERROR(VLOOKUP(Fact_Control_Operaciones[[#This Row], [Concepto Anterior]],Conceptos_Control_Operaciones[#All],5,0),"")</f>
        <v/>
      </c>
      <c r="F975" t="str">
        <f>+IFERROR(VLOOKUP(Fact_Control_Operaciones[[#This Row], 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ht="18.75" customHeight="1" x14ac:dyDescent="0.35">
      <c r="C976" s="100" t="str">
        <f>IF(OR(Fact_Control_Operaciones[[#This Row], [Año]]="",Fact_Control_Operaciones[[#This Row], [Mes]]=""),"",DATE(A976,MATCH(B976,{"enero","febrero","marzo","abril","mayo","junio","julio","agosto","septiembre","octubre","noviembre","diciembre"},0)+1,0))</f>
        <v/>
      </c>
      <c r="E976" t="str">
        <f>+IFERROR(VLOOKUP(Fact_Control_Operaciones[[#This Row], [Concepto Anterior]],Conceptos_Control_Operaciones[#All],5,0),"")</f>
        <v/>
      </c>
      <c r="F976" t="str">
        <f>+IFERROR(VLOOKUP(Fact_Control_Operaciones[[#This Row], 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ht="18.75" customHeight="1" x14ac:dyDescent="0.35">
      <c r="C977" s="100" t="str">
        <f>IF(OR(Fact_Control_Operaciones[[#This Row], [Año]]="",Fact_Control_Operaciones[[#This Row], [Mes]]=""),"",DATE(A977,MATCH(B977,{"enero","febrero","marzo","abril","mayo","junio","julio","agosto","septiembre","octubre","noviembre","diciembre"},0)+1,0))</f>
        <v/>
      </c>
      <c r="E977" t="str">
        <f>+IFERROR(VLOOKUP(Fact_Control_Operaciones[[#This Row], [Concepto Anterior]],Conceptos_Control_Operaciones[#All],5,0),"")</f>
        <v/>
      </c>
      <c r="F977" t="str">
        <f>+IFERROR(VLOOKUP(Fact_Control_Operaciones[[#This Row], 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ht="18.75" customHeight="1" x14ac:dyDescent="0.35">
      <c r="C978" s="100" t="str">
        <f>IF(OR(Fact_Control_Operaciones[[#This Row], [Año]]="",Fact_Control_Operaciones[[#This Row], [Mes]]=""),"",DATE(A978,MATCH(B978,{"enero","febrero","marzo","abril","mayo","junio","julio","agosto","septiembre","octubre","noviembre","diciembre"},0)+1,0))</f>
        <v/>
      </c>
      <c r="E978" t="str">
        <f>+IFERROR(VLOOKUP(Fact_Control_Operaciones[[#This Row], [Concepto Anterior]],Conceptos_Control_Operaciones[#All],5,0),"")</f>
        <v/>
      </c>
      <c r="F978" t="str">
        <f>+IFERROR(VLOOKUP(Fact_Control_Operaciones[[#This Row], 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ht="18.75" customHeight="1" x14ac:dyDescent="0.35">
      <c r="C979" s="100" t="str">
        <f>IF(OR(Fact_Control_Operaciones[[#This Row], [Año]]="",Fact_Control_Operaciones[[#This Row], [Mes]]=""),"",DATE(A979,MATCH(B979,{"enero","febrero","marzo","abril","mayo","junio","julio","agosto","septiembre","octubre","noviembre","diciembre"},0)+1,0))</f>
        <v/>
      </c>
      <c r="E979" t="str">
        <f>+IFERROR(VLOOKUP(Fact_Control_Operaciones[[#This Row], [Concepto Anterior]],Conceptos_Control_Operaciones[#All],5,0),"")</f>
        <v/>
      </c>
      <c r="F979" t="str">
        <f>+IFERROR(VLOOKUP(Fact_Control_Operaciones[[#This Row], 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ht="18.75" customHeight="1" x14ac:dyDescent="0.35">
      <c r="C980" s="100" t="str">
        <f>IF(OR(Fact_Control_Operaciones[[#This Row], [Año]]="",Fact_Control_Operaciones[[#This Row], [Mes]]=""),"",DATE(A980,MATCH(B980,{"enero","febrero","marzo","abril","mayo","junio","julio","agosto","septiembre","octubre","noviembre","diciembre"},0)+1,0))</f>
        <v/>
      </c>
      <c r="E980" t="str">
        <f>+IFERROR(VLOOKUP(Fact_Control_Operaciones[[#This Row], [Concepto Anterior]],Conceptos_Control_Operaciones[#All],5,0),"")</f>
        <v/>
      </c>
      <c r="F980" t="str">
        <f>+IFERROR(VLOOKUP(Fact_Control_Operaciones[[#This Row], 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ht="18.75" customHeight="1" x14ac:dyDescent="0.35">
      <c r="C981" s="100" t="str">
        <f>IF(OR(Fact_Control_Operaciones[[#This Row], [Año]]="",Fact_Control_Operaciones[[#This Row], [Mes]]=""),"",DATE(A981,MATCH(B981,{"enero","febrero","marzo","abril","mayo","junio","julio","agosto","septiembre","octubre","noviembre","diciembre"},0)+1,0))</f>
        <v/>
      </c>
      <c r="E981" t="str">
        <f>+IFERROR(VLOOKUP(Fact_Control_Operaciones[[#This Row], [Concepto Anterior]],Conceptos_Control_Operaciones[#All],5,0),"")</f>
        <v/>
      </c>
      <c r="F981" t="str">
        <f>+IFERROR(VLOOKUP(Fact_Control_Operaciones[[#This Row], 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ht="18.75" customHeight="1" x14ac:dyDescent="0.35">
      <c r="C982" s="100" t="str">
        <f>IF(OR(Fact_Control_Operaciones[[#This Row], [Año]]="",Fact_Control_Operaciones[[#This Row], [Mes]]=""),"",DATE(A982,MATCH(B982,{"enero","febrero","marzo","abril","mayo","junio","julio","agosto","septiembre","octubre","noviembre","diciembre"},0)+1,0))</f>
        <v/>
      </c>
      <c r="E982" t="str">
        <f>+IFERROR(VLOOKUP(Fact_Control_Operaciones[[#This Row], [Concepto Anterior]],Conceptos_Control_Operaciones[#All],5,0),"")</f>
        <v/>
      </c>
      <c r="F982" t="str">
        <f>+IFERROR(VLOOKUP(Fact_Control_Operaciones[[#This Row], 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ht="18.75" customHeight="1" x14ac:dyDescent="0.35">
      <c r="C983" s="100" t="str">
        <f>IF(OR(Fact_Control_Operaciones[[#This Row], [Año]]="",Fact_Control_Operaciones[[#This Row], [Mes]]=""),"",DATE(A983,MATCH(B983,{"enero","febrero","marzo","abril","mayo","junio","julio","agosto","septiembre","octubre","noviembre","diciembre"},0)+1,0))</f>
        <v/>
      </c>
      <c r="E983" t="str">
        <f>+IFERROR(VLOOKUP(Fact_Control_Operaciones[[#This Row], [Concepto Anterior]],Conceptos_Control_Operaciones[#All],5,0),"")</f>
        <v/>
      </c>
      <c r="F983" t="str">
        <f>+IFERROR(VLOOKUP(Fact_Control_Operaciones[[#This Row], 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ht="18.75" customHeight="1" x14ac:dyDescent="0.35">
      <c r="C984" s="100" t="str">
        <f>IF(OR(Fact_Control_Operaciones[[#This Row], [Año]]="",Fact_Control_Operaciones[[#This Row], [Mes]]=""),"",DATE(A984,MATCH(B984,{"enero","febrero","marzo","abril","mayo","junio","julio","agosto","septiembre","octubre","noviembre","diciembre"},0)+1,0))</f>
        <v/>
      </c>
      <c r="E984" t="str">
        <f>+IFERROR(VLOOKUP(Fact_Control_Operaciones[[#This Row], [Concepto Anterior]],Conceptos_Control_Operaciones[#All],5,0),"")</f>
        <v/>
      </c>
      <c r="F984" t="str">
        <f>+IFERROR(VLOOKUP(Fact_Control_Operaciones[[#This Row], 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ht="18.75" customHeight="1" x14ac:dyDescent="0.35">
      <c r="C985" s="100" t="str">
        <f>IF(OR(Fact_Control_Operaciones[[#This Row], [Año]]="",Fact_Control_Operaciones[[#This Row], [Mes]]=""),"",DATE(A985,MATCH(B985,{"enero","febrero","marzo","abril","mayo","junio","julio","agosto","septiembre","octubre","noviembre","diciembre"},0)+1,0))</f>
        <v/>
      </c>
      <c r="E985" t="str">
        <f>+IFERROR(VLOOKUP(Fact_Control_Operaciones[[#This Row], [Concepto Anterior]],Conceptos_Control_Operaciones[#All],5,0),"")</f>
        <v/>
      </c>
      <c r="F985" t="str">
        <f>+IFERROR(VLOOKUP(Fact_Control_Operaciones[[#This Row], 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ht="18.75" customHeight="1" x14ac:dyDescent="0.35">
      <c r="C986" s="100" t="str">
        <f>IF(OR(Fact_Control_Operaciones[[#This Row], [Año]]="",Fact_Control_Operaciones[[#This Row], [Mes]]=""),"",DATE(A986,MATCH(B986,{"enero","febrero","marzo","abril","mayo","junio","julio","agosto","septiembre","octubre","noviembre","diciembre"},0)+1,0))</f>
        <v/>
      </c>
      <c r="E986" t="str">
        <f>+IFERROR(VLOOKUP(Fact_Control_Operaciones[[#This Row], [Concepto Anterior]],Conceptos_Control_Operaciones[#All],5,0),"")</f>
        <v/>
      </c>
      <c r="F986" t="str">
        <f>+IFERROR(VLOOKUP(Fact_Control_Operaciones[[#This Row], 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ht="18.75" customHeight="1" x14ac:dyDescent="0.35">
      <c r="C987" s="100" t="str">
        <f>IF(OR(Fact_Control_Operaciones[[#This Row], [Año]]="",Fact_Control_Operaciones[[#This Row], [Mes]]=""),"",DATE(A987,MATCH(B987,{"enero","febrero","marzo","abril","mayo","junio","julio","agosto","septiembre","octubre","noviembre","diciembre"},0)+1,0))</f>
        <v/>
      </c>
      <c r="E987" t="str">
        <f>+IFERROR(VLOOKUP(Fact_Control_Operaciones[[#This Row], [Concepto Anterior]],Conceptos_Control_Operaciones[#All],5,0),"")</f>
        <v/>
      </c>
      <c r="F987" t="str">
        <f>+IFERROR(VLOOKUP(Fact_Control_Operaciones[[#This Row], 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ht="18.75" customHeight="1" x14ac:dyDescent="0.35">
      <c r="C988" s="100" t="str">
        <f>IF(OR(Fact_Control_Operaciones[[#This Row], [Año]]="",Fact_Control_Operaciones[[#This Row], [Mes]]=""),"",DATE(A988,MATCH(B988,{"enero","febrero","marzo","abril","mayo","junio","julio","agosto","septiembre","octubre","noviembre","diciembre"},0)+1,0))</f>
        <v/>
      </c>
      <c r="E988" t="str">
        <f>+IFERROR(VLOOKUP(Fact_Control_Operaciones[[#This Row], [Concepto Anterior]],Conceptos_Control_Operaciones[#All],5,0),"")</f>
        <v/>
      </c>
      <c r="F988" t="str">
        <f>+IFERROR(VLOOKUP(Fact_Control_Operaciones[[#This Row], 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ht="18.75" customHeight="1" x14ac:dyDescent="0.35">
      <c r="C989" s="100" t="str">
        <f>IF(OR(Fact_Control_Operaciones[[#This Row], [Año]]="",Fact_Control_Operaciones[[#This Row], [Mes]]=""),"",DATE(A989,MATCH(B989,{"enero","febrero","marzo","abril","mayo","junio","julio","agosto","septiembre","octubre","noviembre","diciembre"},0)+1,0))</f>
        <v/>
      </c>
      <c r="E989" t="str">
        <f>+IFERROR(VLOOKUP(Fact_Control_Operaciones[[#This Row], [Concepto Anterior]],Conceptos_Control_Operaciones[#All],5,0),"")</f>
        <v/>
      </c>
      <c r="F989" t="str">
        <f>+IFERROR(VLOOKUP(Fact_Control_Operaciones[[#This Row], 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ht="18.75" customHeight="1" x14ac:dyDescent="0.35">
      <c r="C990" s="100" t="str">
        <f>IF(OR(Fact_Control_Operaciones[[#This Row], [Año]]="",Fact_Control_Operaciones[[#This Row], [Mes]]=""),"",DATE(A990,MATCH(B990,{"enero","febrero","marzo","abril","mayo","junio","julio","agosto","septiembre","octubre","noviembre","diciembre"},0)+1,0))</f>
        <v/>
      </c>
      <c r="E990" t="str">
        <f>+IFERROR(VLOOKUP(Fact_Control_Operaciones[[#This Row], [Concepto Anterior]],Conceptos_Control_Operaciones[#All],5,0),"")</f>
        <v/>
      </c>
      <c r="F990" t="str">
        <f>+IFERROR(VLOOKUP(Fact_Control_Operaciones[[#This Row], 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ht="18.75" customHeight="1" x14ac:dyDescent="0.35">
      <c r="C991" s="100" t="str">
        <f>IF(OR(Fact_Control_Operaciones[[#This Row], [Año]]="",Fact_Control_Operaciones[[#This Row], [Mes]]=""),"",DATE(A991,MATCH(B991,{"enero","febrero","marzo","abril","mayo","junio","julio","agosto","septiembre","octubre","noviembre","diciembre"},0)+1,0))</f>
        <v/>
      </c>
      <c r="E991" t="str">
        <f>+IFERROR(VLOOKUP(Fact_Control_Operaciones[[#This Row], [Concepto Anterior]],Conceptos_Control_Operaciones[#All],5,0),"")</f>
        <v/>
      </c>
      <c r="F991" t="str">
        <f>+IFERROR(VLOOKUP(Fact_Control_Operaciones[[#This Row], 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ht="18.75" customHeight="1" x14ac:dyDescent="0.35">
      <c r="C992" s="100" t="str">
        <f>IF(OR(Fact_Control_Operaciones[[#This Row], [Año]]="",Fact_Control_Operaciones[[#This Row], [Mes]]=""),"",DATE(A992,MATCH(B992,{"enero","febrero","marzo","abril","mayo","junio","julio","agosto","septiembre","octubre","noviembre","diciembre"},0)+1,0))</f>
        <v/>
      </c>
      <c r="E992" t="str">
        <f>+IFERROR(VLOOKUP(Fact_Control_Operaciones[[#This Row], [Concepto Anterior]],Conceptos_Control_Operaciones[#All],5,0),"")</f>
        <v/>
      </c>
      <c r="F992" t="str">
        <f>+IFERROR(VLOOKUP(Fact_Control_Operaciones[[#This Row], 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ht="18.75" customHeight="1" x14ac:dyDescent="0.35">
      <c r="C993" s="100" t="str">
        <f>IF(OR(Fact_Control_Operaciones[[#This Row], [Año]]="",Fact_Control_Operaciones[[#This Row], [Mes]]=""),"",DATE(A993,MATCH(B993,{"enero","febrero","marzo","abril","mayo","junio","julio","agosto","septiembre","octubre","noviembre","diciembre"},0)+1,0))</f>
        <v/>
      </c>
      <c r="E993" t="str">
        <f>+IFERROR(VLOOKUP(Fact_Control_Operaciones[[#This Row], [Concepto Anterior]],Conceptos_Control_Operaciones[#All],5,0),"")</f>
        <v/>
      </c>
      <c r="F993" t="str">
        <f>+IFERROR(VLOOKUP(Fact_Control_Operaciones[[#This Row], 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ht="18.75" customHeight="1" x14ac:dyDescent="0.35">
      <c r="C994" s="100" t="str">
        <f>IF(OR(Fact_Control_Operaciones[[#This Row], [Año]]="",Fact_Control_Operaciones[[#This Row], [Mes]]=""),"",DATE(A994,MATCH(B994,{"enero","febrero","marzo","abril","mayo","junio","julio","agosto","septiembre","octubre","noviembre","diciembre"},0)+1,0))</f>
        <v/>
      </c>
      <c r="E994" t="str">
        <f>+IFERROR(VLOOKUP(Fact_Control_Operaciones[[#This Row], [Concepto Anterior]],Conceptos_Control_Operaciones[#All],5,0),"")</f>
        <v/>
      </c>
      <c r="F994" t="str">
        <f>+IFERROR(VLOOKUP(Fact_Control_Operaciones[[#This Row], 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ht="18.75" customHeight="1" x14ac:dyDescent="0.35">
      <c r="C995" s="100" t="str">
        <f>IF(OR(Fact_Control_Operaciones[[#This Row], [Año]]="",Fact_Control_Operaciones[[#This Row], [Mes]]=""),"",DATE(A995,MATCH(B995,{"enero","febrero","marzo","abril","mayo","junio","julio","agosto","septiembre","octubre","noviembre","diciembre"},0)+1,0))</f>
        <v/>
      </c>
      <c r="E995" t="str">
        <f>+IFERROR(VLOOKUP(Fact_Control_Operaciones[[#This Row], [Concepto Anterior]],Conceptos_Control_Operaciones[#All],5,0),"")</f>
        <v/>
      </c>
      <c r="F995" t="str">
        <f>+IFERROR(VLOOKUP(Fact_Control_Operaciones[[#This Row], 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ht="18.75" customHeight="1" x14ac:dyDescent="0.35">
      <c r="C996" s="100" t="str">
        <f>IF(OR(Fact_Control_Operaciones[[#This Row], [Año]]="",Fact_Control_Operaciones[[#This Row], [Mes]]=""),"",DATE(A996,MATCH(B996,{"enero","febrero","marzo","abril","mayo","junio","julio","agosto","septiembre","octubre","noviembre","diciembre"},0)+1,0))</f>
        <v/>
      </c>
      <c r="E996" t="str">
        <f>+IFERROR(VLOOKUP(Fact_Control_Operaciones[[#This Row], [Concepto Anterior]],Conceptos_Control_Operaciones[#All],5,0),"")</f>
        <v/>
      </c>
      <c r="F996" t="str">
        <f>+IFERROR(VLOOKUP(Fact_Control_Operaciones[[#This Row], 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ht="18.75" customHeight="1" x14ac:dyDescent="0.35">
      <c r="C997" s="100" t="str">
        <f>IF(OR(Fact_Control_Operaciones[[#This Row], [Año]]="",Fact_Control_Operaciones[[#This Row], [Mes]]=""),"",DATE(A997,MATCH(B997,{"enero","febrero","marzo","abril","mayo","junio","julio","agosto","septiembre","octubre","noviembre","diciembre"},0)+1,0))</f>
        <v/>
      </c>
      <c r="E997" t="str">
        <f>+IFERROR(VLOOKUP(Fact_Control_Operaciones[[#This Row], [Concepto Anterior]],Conceptos_Control_Operaciones[#All],5,0),"")</f>
        <v/>
      </c>
      <c r="F997" t="str">
        <f>+IFERROR(VLOOKUP(Fact_Control_Operaciones[[#This Row], 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ht="18.75" customHeight="1" x14ac:dyDescent="0.35">
      <c r="C998" s="100" t="str">
        <f>IF(OR(Fact_Control_Operaciones[[#This Row], [Año]]="",Fact_Control_Operaciones[[#This Row], [Mes]]=""),"",DATE(A998,MATCH(B998,{"enero","febrero","marzo","abril","mayo","junio","julio","agosto","septiembre","octubre","noviembre","diciembre"},0)+1,0))</f>
        <v/>
      </c>
      <c r="E998" t="str">
        <f>+IFERROR(VLOOKUP(Fact_Control_Operaciones[[#This Row], [Concepto Anterior]],Conceptos_Control_Operaciones[#All],5,0),"")</f>
        <v/>
      </c>
      <c r="F998" t="str">
        <f>+IFERROR(VLOOKUP(Fact_Control_Operaciones[[#This Row], 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ht="18.75" customHeight="1" x14ac:dyDescent="0.35">
      <c r="C999" s="100" t="str">
        <f>IF(OR(Fact_Control_Operaciones[[#This Row], [Año]]="",Fact_Control_Operaciones[[#This Row], [Mes]]=""),"",DATE(A999,MATCH(B999,{"enero","febrero","marzo","abril","mayo","junio","julio","agosto","septiembre","octubre","noviembre","diciembre"},0)+1,0))</f>
        <v/>
      </c>
      <c r="E999" t="str">
        <f>+IFERROR(VLOOKUP(Fact_Control_Operaciones[[#This Row], [Concepto Anterior]],Conceptos_Control_Operaciones[#All],5,0),"")</f>
        <v/>
      </c>
      <c r="F999" t="str">
        <f>+IFERROR(VLOOKUP(Fact_Control_Operaciones[[#This Row], 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ht="18.75" customHeight="1" x14ac:dyDescent="0.35">
      <c r="C1000" s="100" t="str">
        <f>IF(OR(Fact_Control_Operaciones[[#This Row], [Año]]="",Fact_Control_Operaciones[[#This Row], 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 [Concepto Anterior]],Conceptos_Control_Operaciones[#All],5,0),"")</f>
        <v/>
      </c>
      <c r="F1000" t="str">
        <f>+IFERROR(VLOOKUP(Fact_Control_Operaciones[[#This Row], 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ht="18.75" customHeight="1" x14ac:dyDescent="0.35">
      <c r="C1001" s="100" t="str">
        <f>IF(OR(Fact_Control_Operaciones[[#This Row], [Año]]="",Fact_Control_Operaciones[[#This Row], 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 [Concepto Anterior]],Conceptos_Control_Operaciones[#All],5,0),"")</f>
        <v/>
      </c>
      <c r="F1001" t="str">
        <f>+IFERROR(VLOOKUP(Fact_Control_Operaciones[[#This Row], 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ht="18.75" customHeight="1" x14ac:dyDescent="0.35">
      <c r="C1002" s="100" t="str">
        <f>IF(OR(Fact_Control_Operaciones[[#This Row], [Año]]="",Fact_Control_Operaciones[[#This Row], 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 [Concepto Anterior]],Conceptos_Control_Operaciones[#All],5,0),"")</f>
        <v/>
      </c>
      <c r="F1002" t="str">
        <f>+IFERROR(VLOOKUP(Fact_Control_Operaciones[[#This Row], 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ht="18.75" customHeight="1" x14ac:dyDescent="0.35">
      <c r="C1003" s="100" t="str">
        <f>IF(OR(Fact_Control_Operaciones[[#This Row], [Año]]="",Fact_Control_Operaciones[[#This Row], 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 [Concepto Anterior]],Conceptos_Control_Operaciones[#All],5,0),"")</f>
        <v/>
      </c>
      <c r="F1003" t="str">
        <f>+IFERROR(VLOOKUP(Fact_Control_Operaciones[[#This Row], 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ht="18.75" customHeight="1" x14ac:dyDescent="0.35">
      <c r="C1004" s="100" t="str">
        <f>IF(OR(Fact_Control_Operaciones[[#This Row], [Año]]="",Fact_Control_Operaciones[[#This Row], 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 [Concepto Anterior]],Conceptos_Control_Operaciones[#All],5,0),"")</f>
        <v/>
      </c>
      <c r="F1004" t="str">
        <f>+IFERROR(VLOOKUP(Fact_Control_Operaciones[[#This Row], 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ht="18.75" customHeight="1" x14ac:dyDescent="0.35">
      <c r="C1005" s="100" t="str">
        <f>IF(OR(Fact_Control_Operaciones[[#This Row], [Año]]="",Fact_Control_Operaciones[[#This Row], 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 [Concepto Anterior]],Conceptos_Control_Operaciones[#All],5,0),"")</f>
        <v/>
      </c>
      <c r="F1005" t="str">
        <f>+IFERROR(VLOOKUP(Fact_Control_Operaciones[[#This Row], 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ht="18.75" customHeight="1" x14ac:dyDescent="0.35">
      <c r="C1006" s="100" t="str">
        <f>IF(OR(Fact_Control_Operaciones[[#This Row], [Año]]="",Fact_Control_Operaciones[[#This Row], 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 [Concepto Anterior]],Conceptos_Control_Operaciones[#All],5,0),"")</f>
        <v/>
      </c>
      <c r="F1006" t="str">
        <f>+IFERROR(VLOOKUP(Fact_Control_Operaciones[[#This Row], 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ht="18.75" customHeight="1" x14ac:dyDescent="0.35">
      <c r="C1007" s="100" t="str">
        <f>IF(OR(Fact_Control_Operaciones[[#This Row], [Año]]="",Fact_Control_Operaciones[[#This Row], 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 [Concepto Anterior]],Conceptos_Control_Operaciones[#All],5,0),"")</f>
        <v/>
      </c>
      <c r="F1007" t="str">
        <f>+IFERROR(VLOOKUP(Fact_Control_Operaciones[[#This Row], 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ht="18.75" customHeight="1" x14ac:dyDescent="0.35">
      <c r="C1008" s="100" t="str">
        <f>IF(OR(Fact_Control_Operaciones[[#This Row], [Año]]="",Fact_Control_Operaciones[[#This Row], 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 [Concepto Anterior]],Conceptos_Control_Operaciones[#All],5,0),"")</f>
        <v/>
      </c>
      <c r="F1008" t="str">
        <f>+IFERROR(VLOOKUP(Fact_Control_Operaciones[[#This Row], 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ht="18.75" customHeight="1" x14ac:dyDescent="0.35">
      <c r="C1009" s="100" t="str">
        <f>IF(OR(Fact_Control_Operaciones[[#This Row], [Año]]="",Fact_Control_Operaciones[[#This Row], 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 [Concepto Anterior]],Conceptos_Control_Operaciones[#All],5,0),"")</f>
        <v/>
      </c>
      <c r="F1009" t="str">
        <f>+IFERROR(VLOOKUP(Fact_Control_Operaciones[[#This Row], 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ht="18.75" customHeight="1" x14ac:dyDescent="0.35">
      <c r="C1010" s="100" t="str">
        <f>IF(OR(Fact_Control_Operaciones[[#This Row], [Año]]="",Fact_Control_Operaciones[[#This Row], 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 [Concepto Anterior]],Conceptos_Control_Operaciones[#All],5,0),"")</f>
        <v/>
      </c>
      <c r="F1010" t="str">
        <f>+IFERROR(VLOOKUP(Fact_Control_Operaciones[[#This Row], 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ht="18.75" customHeight="1" x14ac:dyDescent="0.35">
      <c r="C1011" s="100" t="str">
        <f>IF(OR(Fact_Control_Operaciones[[#This Row], [Año]]="",Fact_Control_Operaciones[[#This Row], 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 [Concepto Anterior]],Conceptos_Control_Operaciones[#All],5,0),"")</f>
        <v/>
      </c>
      <c r="F1011" t="str">
        <f>+IFERROR(VLOOKUP(Fact_Control_Operaciones[[#This Row], 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ht="18.75" customHeight="1" x14ac:dyDescent="0.35">
      <c r="C1012" s="100" t="str">
        <f>IF(OR(Fact_Control_Operaciones[[#This Row], [Año]]="",Fact_Control_Operaciones[[#This Row], 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 [Concepto Anterior]],Conceptos_Control_Operaciones[#All],5,0),"")</f>
        <v/>
      </c>
      <c r="F1012" t="str">
        <f>+IFERROR(VLOOKUP(Fact_Control_Operaciones[[#This Row], 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ht="18.75" customHeight="1" x14ac:dyDescent="0.35">
      <c r="C1013" s="100" t="str">
        <f>IF(OR(Fact_Control_Operaciones[[#This Row], [Año]]="",Fact_Control_Operaciones[[#This Row], 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 [Concepto Anterior]],Conceptos_Control_Operaciones[#All],5,0),"")</f>
        <v/>
      </c>
      <c r="F1013" t="str">
        <f>+IFERROR(VLOOKUP(Fact_Control_Operaciones[[#This Row], 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ht="18.75" customHeight="1" x14ac:dyDescent="0.35">
      <c r="C1014" s="100" t="str">
        <f>IF(OR(Fact_Control_Operaciones[[#This Row], [Año]]="",Fact_Control_Operaciones[[#This Row], 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 [Concepto Anterior]],Conceptos_Control_Operaciones[#All],5,0),"")</f>
        <v/>
      </c>
      <c r="F1014" t="str">
        <f>+IFERROR(VLOOKUP(Fact_Control_Operaciones[[#This Row], 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ht="18.75" customHeight="1" x14ac:dyDescent="0.35">
      <c r="C1015" s="100" t="str">
        <f>IF(OR(Fact_Control_Operaciones[[#This Row], [Año]]="",Fact_Control_Operaciones[[#This Row], 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 [Concepto Anterior]],Conceptos_Control_Operaciones[#All],5,0),"")</f>
        <v/>
      </c>
      <c r="F1015" t="str">
        <f>+IFERROR(VLOOKUP(Fact_Control_Operaciones[[#This Row], 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ht="18.75" customHeight="1" x14ac:dyDescent="0.35">
      <c r="C1016" s="100" t="str">
        <f>IF(OR(Fact_Control_Operaciones[[#This Row], [Año]]="",Fact_Control_Operaciones[[#This Row], 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 [Concepto Anterior]],Conceptos_Control_Operaciones[#All],5,0),"")</f>
        <v/>
      </c>
      <c r="F1016" t="str">
        <f>+IFERROR(VLOOKUP(Fact_Control_Operaciones[[#This Row], 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ht="18.75" customHeight="1" x14ac:dyDescent="0.35">
      <c r="C1017" s="100" t="str">
        <f>IF(OR(Fact_Control_Operaciones[[#This Row], [Año]]="",Fact_Control_Operaciones[[#This Row], 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 [Concepto Anterior]],Conceptos_Control_Operaciones[#All],5,0),"")</f>
        <v/>
      </c>
      <c r="F1017" t="str">
        <f>+IFERROR(VLOOKUP(Fact_Control_Operaciones[[#This Row], 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ht="18.75" customHeight="1" x14ac:dyDescent="0.35">
      <c r="C1018" s="100" t="str">
        <f>IF(OR(Fact_Control_Operaciones[[#This Row], [Año]]="",Fact_Control_Operaciones[[#This Row], 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 [Concepto Anterior]],Conceptos_Control_Operaciones[#All],5,0),"")</f>
        <v/>
      </c>
      <c r="F1018" t="str">
        <f>+IFERROR(VLOOKUP(Fact_Control_Operaciones[[#This Row], 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ht="18.75" customHeight="1" x14ac:dyDescent="0.35">
      <c r="C1019" s="100" t="str">
        <f>IF(OR(Fact_Control_Operaciones[[#This Row], [Año]]="",Fact_Control_Operaciones[[#This Row], 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 [Concepto Anterior]],Conceptos_Control_Operaciones[#All],5,0),"")</f>
        <v/>
      </c>
      <c r="F1019" t="str">
        <f>+IFERROR(VLOOKUP(Fact_Control_Operaciones[[#This Row], 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ht="18.75" customHeight="1" x14ac:dyDescent="0.35">
      <c r="C1020" s="100" t="str">
        <f>IF(OR(Fact_Control_Operaciones[[#This Row], [Año]]="",Fact_Control_Operaciones[[#This Row], 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 [Concepto Anterior]],Conceptos_Control_Operaciones[#All],5,0),"")</f>
        <v/>
      </c>
      <c r="F1020" t="str">
        <f>+IFERROR(VLOOKUP(Fact_Control_Operaciones[[#This Row], 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ht="18.75" customHeight="1" x14ac:dyDescent="0.35">
      <c r="C1021" s="100" t="str">
        <f>IF(OR(Fact_Control_Operaciones[[#This Row], [Año]]="",Fact_Control_Operaciones[[#This Row], 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 [Concepto Anterior]],Conceptos_Control_Operaciones[#All],5,0),"")</f>
        <v/>
      </c>
      <c r="F1021" t="str">
        <f>+IFERROR(VLOOKUP(Fact_Control_Operaciones[[#This Row], 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ht="18.75" customHeight="1" x14ac:dyDescent="0.35">
      <c r="C1022" s="100" t="str">
        <f>IF(OR(Fact_Control_Operaciones[[#This Row], [Año]]="",Fact_Control_Operaciones[[#This Row], 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 [Concepto Anterior]],Conceptos_Control_Operaciones[#All],5,0),"")</f>
        <v/>
      </c>
      <c r="F1022" t="str">
        <f>+IFERROR(VLOOKUP(Fact_Control_Operaciones[[#This Row], 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ht="18.75" customHeight="1" x14ac:dyDescent="0.35">
      <c r="C1023" s="100" t="str">
        <f>IF(OR(Fact_Control_Operaciones[[#This Row], [Año]]="",Fact_Control_Operaciones[[#This Row], 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 [Concepto Anterior]],Conceptos_Control_Operaciones[#All],5,0),"")</f>
        <v/>
      </c>
      <c r="F1023" t="str">
        <f>+IFERROR(VLOOKUP(Fact_Control_Operaciones[[#This Row], 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ht="18.75" customHeight="1" x14ac:dyDescent="0.35">
      <c r="C1024" s="100" t="str">
        <f>IF(OR(Fact_Control_Operaciones[[#This Row], [Año]]="",Fact_Control_Operaciones[[#This Row], 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 [Concepto Anterior]],Conceptos_Control_Operaciones[#All],5,0),"")</f>
        <v/>
      </c>
      <c r="F1024" t="str">
        <f>+IFERROR(VLOOKUP(Fact_Control_Operaciones[[#This Row], 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ht="18.75" customHeight="1" x14ac:dyDescent="0.35">
      <c r="C1025" s="100" t="str">
        <f>IF(OR(Fact_Control_Operaciones[[#This Row], [Año]]="",Fact_Control_Operaciones[[#This Row], 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 [Concepto Anterior]],Conceptos_Control_Operaciones[#All],5,0),"")</f>
        <v/>
      </c>
      <c r="F1025" t="str">
        <f>+IFERROR(VLOOKUP(Fact_Control_Operaciones[[#This Row], 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ht="18.75" customHeight="1" x14ac:dyDescent="0.35">
      <c r="C1026" s="100" t="str">
        <f>IF(OR(Fact_Control_Operaciones[[#This Row], [Año]]="",Fact_Control_Operaciones[[#This Row], 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 [Concepto Anterior]],Conceptos_Control_Operaciones[#All],5,0),"")</f>
        <v/>
      </c>
      <c r="F1026" t="str">
        <f>+IFERROR(VLOOKUP(Fact_Control_Operaciones[[#This Row], 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ht="18.75" customHeight="1" x14ac:dyDescent="0.35">
      <c r="C1027" s="100" t="str">
        <f>IF(OR(Fact_Control_Operaciones[[#This Row], [Año]]="",Fact_Control_Operaciones[[#This Row], 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 [Concepto Anterior]],Conceptos_Control_Operaciones[#All],5,0),"")</f>
        <v/>
      </c>
      <c r="F1027" t="str">
        <f>+IFERROR(VLOOKUP(Fact_Control_Operaciones[[#This Row], 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ht="18.75" customHeight="1" x14ac:dyDescent="0.35">
      <c r="C1028" s="100" t="str">
        <f>IF(OR(Fact_Control_Operaciones[[#This Row], [Año]]="",Fact_Control_Operaciones[[#This Row], 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 [Concepto Anterior]],Conceptos_Control_Operaciones[#All],5,0),"")</f>
        <v/>
      </c>
      <c r="F1028" t="str">
        <f>+IFERROR(VLOOKUP(Fact_Control_Operaciones[[#This Row], 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ht="18.75" customHeight="1" x14ac:dyDescent="0.35">
      <c r="C1029" s="100" t="str">
        <f>IF(OR(Fact_Control_Operaciones[[#This Row], [Año]]="",Fact_Control_Operaciones[[#This Row], 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 [Concepto Anterior]],Conceptos_Control_Operaciones[#All],5,0),"")</f>
        <v/>
      </c>
      <c r="F1029" t="str">
        <f>+IFERROR(VLOOKUP(Fact_Control_Operaciones[[#This Row], 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ht="18.75" customHeight="1" x14ac:dyDescent="0.35">
      <c r="C1030" s="100" t="str">
        <f>IF(OR(Fact_Control_Operaciones[[#This Row], [Año]]="",Fact_Control_Operaciones[[#This Row], 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 [Concepto Anterior]],Conceptos_Control_Operaciones[#All],5,0),"")</f>
        <v/>
      </c>
      <c r="F1030" t="str">
        <f>+IFERROR(VLOOKUP(Fact_Control_Operaciones[[#This Row], 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ht="18.75" customHeight="1" x14ac:dyDescent="0.35">
      <c r="C1031" s="100" t="str">
        <f>IF(OR(Fact_Control_Operaciones[[#This Row], [Año]]="",Fact_Control_Operaciones[[#This Row], 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 [Concepto Anterior]],Conceptos_Control_Operaciones[#All],5,0),"")</f>
        <v/>
      </c>
      <c r="F1031" t="str">
        <f>+IFERROR(VLOOKUP(Fact_Control_Operaciones[[#This Row], 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ht="18.75" customHeight="1" x14ac:dyDescent="0.35">
      <c r="C1032" s="100" t="str">
        <f>IF(OR(Fact_Control_Operaciones[[#This Row], [Año]]="",Fact_Control_Operaciones[[#This Row], 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 [Concepto Anterior]],Conceptos_Control_Operaciones[#All],5,0),"")</f>
        <v/>
      </c>
      <c r="F1032" t="str">
        <f>+IFERROR(VLOOKUP(Fact_Control_Operaciones[[#This Row], 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ht="18.75" customHeight="1" x14ac:dyDescent="0.35">
      <c r="C1033" s="100" t="str">
        <f>IF(OR(Fact_Control_Operaciones[[#This Row], [Año]]="",Fact_Control_Operaciones[[#This Row], 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 [Concepto Anterior]],Conceptos_Control_Operaciones[#All],5,0),"")</f>
        <v/>
      </c>
      <c r="F1033" t="str">
        <f>+IFERROR(VLOOKUP(Fact_Control_Operaciones[[#This Row], 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ht="18.75" customHeight="1" x14ac:dyDescent="0.35">
      <c r="C1034" s="100" t="str">
        <f>IF(OR(Fact_Control_Operaciones[[#This Row], [Año]]="",Fact_Control_Operaciones[[#This Row], 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 [Concepto Anterior]],Conceptos_Control_Operaciones[#All],5,0),"")</f>
        <v/>
      </c>
      <c r="F1034" t="str">
        <f>+IFERROR(VLOOKUP(Fact_Control_Operaciones[[#This Row], 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ht="18.75" customHeight="1" x14ac:dyDescent="0.35">
      <c r="C1035" s="100" t="str">
        <f>IF(OR(Fact_Control_Operaciones[[#This Row], [Año]]="",Fact_Control_Operaciones[[#This Row], 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 [Concepto Anterior]],Conceptos_Control_Operaciones[#All],5,0),"")</f>
        <v/>
      </c>
      <c r="F1035" t="str">
        <f>+IFERROR(VLOOKUP(Fact_Control_Operaciones[[#This Row], 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ht="18.75" customHeight="1" x14ac:dyDescent="0.35">
      <c r="C1036" s="100" t="str">
        <f>IF(OR(Fact_Control_Operaciones[[#This Row], [Año]]="",Fact_Control_Operaciones[[#This Row], 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 [Concepto Anterior]],Conceptos_Control_Operaciones[#All],5,0),"")</f>
        <v/>
      </c>
      <c r="F1036" t="str">
        <f>+IFERROR(VLOOKUP(Fact_Control_Operaciones[[#This Row], 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ht="18.75" customHeight="1" x14ac:dyDescent="0.35">
      <c r="C1037" s="100" t="str">
        <f>IF(OR(Fact_Control_Operaciones[[#This Row], [Año]]="",Fact_Control_Operaciones[[#This Row], 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 [Concepto Anterior]],Conceptos_Control_Operaciones[#All],5,0),"")</f>
        <v/>
      </c>
      <c r="F1037" t="str">
        <f>+IFERROR(VLOOKUP(Fact_Control_Operaciones[[#This Row], 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ht="18.75" customHeight="1" x14ac:dyDescent="0.35">
      <c r="C1038" s="100" t="str">
        <f>IF(OR(Fact_Control_Operaciones[[#This Row], [Año]]="",Fact_Control_Operaciones[[#This Row], 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 [Concepto Anterior]],Conceptos_Control_Operaciones[#All],5,0),"")</f>
        <v/>
      </c>
      <c r="F1038" t="str">
        <f>+IFERROR(VLOOKUP(Fact_Control_Operaciones[[#This Row], 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ht="18.75" customHeight="1" x14ac:dyDescent="0.35">
      <c r="C1039" s="100" t="str">
        <f>IF(OR(Fact_Control_Operaciones[[#This Row], [Año]]="",Fact_Control_Operaciones[[#This Row], 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 [Concepto Anterior]],Conceptos_Control_Operaciones[#All],5,0),"")</f>
        <v/>
      </c>
      <c r="F1039" t="str">
        <f>+IFERROR(VLOOKUP(Fact_Control_Operaciones[[#This Row], 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ht="18.75" customHeight="1" x14ac:dyDescent="0.35">
      <c r="C1040" s="100" t="str">
        <f>IF(OR(Fact_Control_Operaciones[[#This Row], [Año]]="",Fact_Control_Operaciones[[#This Row], 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 [Concepto Anterior]],Conceptos_Control_Operaciones[#All],5,0),"")</f>
        <v/>
      </c>
      <c r="F1040" t="str">
        <f>+IFERROR(VLOOKUP(Fact_Control_Operaciones[[#This Row], 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ht="18.75" customHeight="1" x14ac:dyDescent="0.35">
      <c r="C1041" s="100" t="str">
        <f>IF(OR(Fact_Control_Operaciones[[#This Row], [Año]]="",Fact_Control_Operaciones[[#This Row], 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 [Concepto Anterior]],Conceptos_Control_Operaciones[#All],5,0),"")</f>
        <v/>
      </c>
      <c r="F1041" t="str">
        <f>+IFERROR(VLOOKUP(Fact_Control_Operaciones[[#This Row], 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ht="18.75" customHeight="1" x14ac:dyDescent="0.35">
      <c r="C1042" s="100" t="str">
        <f>IF(OR(Fact_Control_Operaciones[[#This Row], [Año]]="",Fact_Control_Operaciones[[#This Row], 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 [Concepto Anterior]],Conceptos_Control_Operaciones[#All],5,0),"")</f>
        <v/>
      </c>
      <c r="F1042" t="str">
        <f>+IFERROR(VLOOKUP(Fact_Control_Operaciones[[#This Row], 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ht="18.75" customHeight="1" x14ac:dyDescent="0.35">
      <c r="C1043" s="100" t="str">
        <f>IF(OR(Fact_Control_Operaciones[[#This Row], [Año]]="",Fact_Control_Operaciones[[#This Row], 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 [Concepto Anterior]],Conceptos_Control_Operaciones[#All],5,0),"")</f>
        <v/>
      </c>
      <c r="F1043" t="str">
        <f>+IFERROR(VLOOKUP(Fact_Control_Operaciones[[#This Row], 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ht="18.75" customHeight="1" x14ac:dyDescent="0.35">
      <c r="C1044" s="100" t="str">
        <f>IF(OR(Fact_Control_Operaciones[[#This Row], [Año]]="",Fact_Control_Operaciones[[#This Row], 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 [Concepto Anterior]],Conceptos_Control_Operaciones[#All],5,0),"")</f>
        <v/>
      </c>
      <c r="F1044" t="str">
        <f>+IFERROR(VLOOKUP(Fact_Control_Operaciones[[#This Row], 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ht="18.75" customHeight="1" x14ac:dyDescent="0.35">
      <c r="C1045" s="100" t="str">
        <f>IF(OR(Fact_Control_Operaciones[[#This Row], [Año]]="",Fact_Control_Operaciones[[#This Row], 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 [Concepto Anterior]],Conceptos_Control_Operaciones[#All],5,0),"")</f>
        <v/>
      </c>
      <c r="F1045" t="str">
        <f>+IFERROR(VLOOKUP(Fact_Control_Operaciones[[#This Row], 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ht="18.75" customHeight="1" x14ac:dyDescent="0.35">
      <c r="C1046" s="100" t="str">
        <f>IF(OR(Fact_Control_Operaciones[[#This Row], [Año]]="",Fact_Control_Operaciones[[#This Row], 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 [Concepto Anterior]],Conceptos_Control_Operaciones[#All],5,0),"")</f>
        <v/>
      </c>
      <c r="F1046" t="str">
        <f>+IFERROR(VLOOKUP(Fact_Control_Operaciones[[#This Row], 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ht="18.75" customHeight="1" x14ac:dyDescent="0.35">
      <c r="C1047" s="100" t="str">
        <f>IF(OR(Fact_Control_Operaciones[[#This Row], [Año]]="",Fact_Control_Operaciones[[#This Row], 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 [Concepto Anterior]],Conceptos_Control_Operaciones[#All],5,0),"")</f>
        <v/>
      </c>
      <c r="F1047" t="str">
        <f>+IFERROR(VLOOKUP(Fact_Control_Operaciones[[#This Row], 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ht="18.75" customHeight="1" x14ac:dyDescent="0.35">
      <c r="C1048" s="100" t="str">
        <f>IF(OR(Fact_Control_Operaciones[[#This Row], [Año]]="",Fact_Control_Operaciones[[#This Row], 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 [Concepto Anterior]],Conceptos_Control_Operaciones[#All],5,0),"")</f>
        <v/>
      </c>
      <c r="F1048" t="str">
        <f>+IFERROR(VLOOKUP(Fact_Control_Operaciones[[#This Row], 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ht="18.75" customHeight="1" x14ac:dyDescent="0.35">
      <c r="C1049" s="100" t="str">
        <f>IF(OR(Fact_Control_Operaciones[[#This Row], [Año]]="",Fact_Control_Operaciones[[#This Row], 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 [Concepto Anterior]],Conceptos_Control_Operaciones[#All],5,0),"")</f>
        <v/>
      </c>
      <c r="F1049" t="str">
        <f>+IFERROR(VLOOKUP(Fact_Control_Operaciones[[#This Row], 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ht="18.75" customHeight="1" x14ac:dyDescent="0.35">
      <c r="C1050" s="100" t="str">
        <f>IF(OR(Fact_Control_Operaciones[[#This Row], [Año]]="",Fact_Control_Operaciones[[#This Row], 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 [Concepto Anterior]],Conceptos_Control_Operaciones[#All],5,0),"")</f>
        <v/>
      </c>
      <c r="F1050" t="str">
        <f>+IFERROR(VLOOKUP(Fact_Control_Operaciones[[#This Row], 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ht="18.75" customHeight="1" x14ac:dyDescent="0.35">
      <c r="C1051" s="100" t="str">
        <f>IF(OR(Fact_Control_Operaciones[[#This Row], [Año]]="",Fact_Control_Operaciones[[#This Row], 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 [Concepto Anterior]],Conceptos_Control_Operaciones[#All],5,0),"")</f>
        <v/>
      </c>
      <c r="F1051" t="str">
        <f>+IFERROR(VLOOKUP(Fact_Control_Operaciones[[#This Row], 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ht="18.75" customHeight="1" x14ac:dyDescent="0.35">
      <c r="C1052" s="100" t="str">
        <f>IF(OR(Fact_Control_Operaciones[[#This Row], [Año]]="",Fact_Control_Operaciones[[#This Row], 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 [Concepto Anterior]],Conceptos_Control_Operaciones[#All],5,0),"")</f>
        <v/>
      </c>
      <c r="F1052" t="str">
        <f>+IFERROR(VLOOKUP(Fact_Control_Operaciones[[#This Row], 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ht="18.75" customHeight="1" x14ac:dyDescent="0.35">
      <c r="C1053" s="100" t="str">
        <f>IF(OR(Fact_Control_Operaciones[[#This Row], [Año]]="",Fact_Control_Operaciones[[#This Row], 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 [Concepto Anterior]],Conceptos_Control_Operaciones[#All],5,0),"")</f>
        <v/>
      </c>
      <c r="F1053" t="str">
        <f>+IFERROR(VLOOKUP(Fact_Control_Operaciones[[#This Row], 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ht="18.75" customHeight="1" x14ac:dyDescent="0.35">
      <c r="C1054" s="100" t="str">
        <f>IF(OR(Fact_Control_Operaciones[[#This Row], [Año]]="",Fact_Control_Operaciones[[#This Row], 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 [Concepto Anterior]],Conceptos_Control_Operaciones[#All],5,0),"")</f>
        <v/>
      </c>
      <c r="F1054" t="str">
        <f>+IFERROR(VLOOKUP(Fact_Control_Operaciones[[#This Row], 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ht="18.75" customHeight="1" x14ac:dyDescent="0.35">
      <c r="C1055" s="100" t="str">
        <f>IF(OR(Fact_Control_Operaciones[[#This Row], [Año]]="",Fact_Control_Operaciones[[#This Row], 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 [Concepto Anterior]],Conceptos_Control_Operaciones[#All],5,0),"")</f>
        <v/>
      </c>
      <c r="F1055" t="str">
        <f>+IFERROR(VLOOKUP(Fact_Control_Operaciones[[#This Row], 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ht="18.75" customHeight="1" x14ac:dyDescent="0.35">
      <c r="C1056" s="100" t="str">
        <f>IF(OR(Fact_Control_Operaciones[[#This Row], [Año]]="",Fact_Control_Operaciones[[#This Row], 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 [Concepto Anterior]],Conceptos_Control_Operaciones[#All],5,0),"")</f>
        <v/>
      </c>
      <c r="F1056" t="str">
        <f>+IFERROR(VLOOKUP(Fact_Control_Operaciones[[#This Row], 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ht="18.75" customHeight="1" x14ac:dyDescent="0.35">
      <c r="C1057" s="100" t="str">
        <f>IF(OR(Fact_Control_Operaciones[[#This Row], [Año]]="",Fact_Control_Operaciones[[#This Row], 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 [Concepto Anterior]],Conceptos_Control_Operaciones[#All],5,0),"")</f>
        <v/>
      </c>
      <c r="F1057" t="str">
        <f>+IFERROR(VLOOKUP(Fact_Control_Operaciones[[#This Row], 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ht="18.75" customHeight="1" x14ac:dyDescent="0.35">
      <c r="C1058" s="100" t="str">
        <f>IF(OR(Fact_Control_Operaciones[[#This Row], [Año]]="",Fact_Control_Operaciones[[#This Row], 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 [Concepto Anterior]],Conceptos_Control_Operaciones[#All],5,0),"")</f>
        <v/>
      </c>
      <c r="F1058" t="str">
        <f>+IFERROR(VLOOKUP(Fact_Control_Operaciones[[#This Row], 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ht="18.75" customHeight="1" x14ac:dyDescent="0.35">
      <c r="C1059" s="100" t="str">
        <f>IF(OR(Fact_Control_Operaciones[[#This Row], [Año]]="",Fact_Control_Operaciones[[#This Row], 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 [Concepto Anterior]],Conceptos_Control_Operaciones[#All],5,0),"")</f>
        <v/>
      </c>
      <c r="F1059" t="str">
        <f>+IFERROR(VLOOKUP(Fact_Control_Operaciones[[#This Row], 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ht="18.75" customHeight="1" x14ac:dyDescent="0.35">
      <c r="C1060" s="100" t="str">
        <f>IF(OR(Fact_Control_Operaciones[[#This Row], [Año]]="",Fact_Control_Operaciones[[#This Row], 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 [Concepto Anterior]],Conceptos_Control_Operaciones[#All],5,0),"")</f>
        <v/>
      </c>
      <c r="F1060" t="str">
        <f>+IFERROR(VLOOKUP(Fact_Control_Operaciones[[#This Row], 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ht="18.75" customHeight="1" x14ac:dyDescent="0.35">
      <c r="C1061" s="100" t="str">
        <f>IF(OR(Fact_Control_Operaciones[[#This Row], [Año]]="",Fact_Control_Operaciones[[#This Row], 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 [Concepto Anterior]],Conceptos_Control_Operaciones[#All],5,0),"")</f>
        <v/>
      </c>
      <c r="F1061" t="str">
        <f>+IFERROR(VLOOKUP(Fact_Control_Operaciones[[#This Row], 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ht="18.75" customHeight="1" x14ac:dyDescent="0.35">
      <c r="C1062" s="100" t="str">
        <f>IF(OR(Fact_Control_Operaciones[[#This Row], [Año]]="",Fact_Control_Operaciones[[#This Row], 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 [Concepto Anterior]],Conceptos_Control_Operaciones[#All],5,0),"")</f>
        <v/>
      </c>
      <c r="F1062" t="str">
        <f>+IFERROR(VLOOKUP(Fact_Control_Operaciones[[#This Row], 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ht="18.75" customHeight="1" x14ac:dyDescent="0.35">
      <c r="C1063" s="100" t="str">
        <f>IF(OR(Fact_Control_Operaciones[[#This Row], [Año]]="",Fact_Control_Operaciones[[#This Row], 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 [Concepto Anterior]],Conceptos_Control_Operaciones[#All],5,0),"")</f>
        <v/>
      </c>
      <c r="F1063" t="str">
        <f>+IFERROR(VLOOKUP(Fact_Control_Operaciones[[#This Row], 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ht="18.75" customHeight="1" x14ac:dyDescent="0.35">
      <c r="C1064" s="100" t="str">
        <f>IF(OR(Fact_Control_Operaciones[[#This Row], [Año]]="",Fact_Control_Operaciones[[#This Row], 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 [Concepto Anterior]],Conceptos_Control_Operaciones[#All],5,0),"")</f>
        <v/>
      </c>
      <c r="F1064" t="str">
        <f>+IFERROR(VLOOKUP(Fact_Control_Operaciones[[#This Row], 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ht="18.75" customHeight="1" x14ac:dyDescent="0.35">
      <c r="C1065" s="100" t="str">
        <f>IF(OR(Fact_Control_Operaciones[[#This Row], [Año]]="",Fact_Control_Operaciones[[#This Row], 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 [Concepto Anterior]],Conceptos_Control_Operaciones[#All],5,0),"")</f>
        <v/>
      </c>
      <c r="F1065" t="str">
        <f>+IFERROR(VLOOKUP(Fact_Control_Operaciones[[#This Row], 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ht="18.75" customHeight="1" x14ac:dyDescent="0.35">
      <c r="C1066" s="100" t="str">
        <f>IF(OR(Fact_Control_Operaciones[[#This Row], [Año]]="",Fact_Control_Operaciones[[#This Row], 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 [Concepto Anterior]],Conceptos_Control_Operaciones[#All],5,0),"")</f>
        <v/>
      </c>
      <c r="F1066" t="str">
        <f>+IFERROR(VLOOKUP(Fact_Control_Operaciones[[#This Row], 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ht="18.75" customHeight="1" x14ac:dyDescent="0.35">
      <c r="C1067" s="100" t="str">
        <f>IF(OR(Fact_Control_Operaciones[[#This Row], [Año]]="",Fact_Control_Operaciones[[#This Row], 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 [Concepto Anterior]],Conceptos_Control_Operaciones[#All],5,0),"")</f>
        <v/>
      </c>
      <c r="F1067" t="str">
        <f>+IFERROR(VLOOKUP(Fact_Control_Operaciones[[#This Row], 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ht="18.75" customHeight="1" x14ac:dyDescent="0.35">
      <c r="C1068" s="100" t="str">
        <f>IF(OR(Fact_Control_Operaciones[[#This Row], [Año]]="",Fact_Control_Operaciones[[#This Row], 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 [Concepto Anterior]],Conceptos_Control_Operaciones[#All],5,0),"")</f>
        <v/>
      </c>
      <c r="F1068" t="str">
        <f>+IFERROR(VLOOKUP(Fact_Control_Operaciones[[#This Row], 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ht="18.75" customHeight="1" x14ac:dyDescent="0.35">
      <c r="C1069" s="100" t="str">
        <f>IF(OR(Fact_Control_Operaciones[[#This Row], [Año]]="",Fact_Control_Operaciones[[#This Row], 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 [Concepto Anterior]],Conceptos_Control_Operaciones[#All],5,0),"")</f>
        <v/>
      </c>
      <c r="F1069" t="str">
        <f>+IFERROR(VLOOKUP(Fact_Control_Operaciones[[#This Row], 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ht="18.75" customHeight="1" x14ac:dyDescent="0.35">
      <c r="C1070" s="100" t="str">
        <f>IF(OR(Fact_Control_Operaciones[[#This Row], [Año]]="",Fact_Control_Operaciones[[#This Row], 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 [Concepto Anterior]],Conceptos_Control_Operaciones[#All],5,0),"")</f>
        <v/>
      </c>
      <c r="F1070" t="str">
        <f>+IFERROR(VLOOKUP(Fact_Control_Operaciones[[#This Row], 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ht="18.75" customHeight="1" x14ac:dyDescent="0.35">
      <c r="C1071" s="100" t="str">
        <f>IF(OR(Fact_Control_Operaciones[[#This Row], [Año]]="",Fact_Control_Operaciones[[#This Row], 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 [Concepto Anterior]],Conceptos_Control_Operaciones[#All],5,0),"")</f>
        <v/>
      </c>
      <c r="F1071" t="str">
        <f>+IFERROR(VLOOKUP(Fact_Control_Operaciones[[#This Row], 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ht="18.75" customHeight="1" x14ac:dyDescent="0.35">
      <c r="C1072" s="100" t="str">
        <f>IF(OR(Fact_Control_Operaciones[[#This Row], [Año]]="",Fact_Control_Operaciones[[#This Row], 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 [Concepto Anterior]],Conceptos_Control_Operaciones[#All],5,0),"")</f>
        <v/>
      </c>
      <c r="F1072" t="str">
        <f>+IFERROR(VLOOKUP(Fact_Control_Operaciones[[#This Row], 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ht="18.75" customHeight="1" x14ac:dyDescent="0.35">
      <c r="C1073" s="100" t="str">
        <f>IF(OR(Fact_Control_Operaciones[[#This Row], [Año]]="",Fact_Control_Operaciones[[#This Row], 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 [Concepto Anterior]],Conceptos_Control_Operaciones[#All],5,0),"")</f>
        <v/>
      </c>
      <c r="F1073" t="str">
        <f>+IFERROR(VLOOKUP(Fact_Control_Operaciones[[#This Row], 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ht="18.75" customHeight="1" x14ac:dyDescent="0.35">
      <c r="C1074" s="100" t="str">
        <f>IF(OR(Fact_Control_Operaciones[[#This Row], [Año]]="",Fact_Control_Operaciones[[#This Row], 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 [Concepto Anterior]],Conceptos_Control_Operaciones[#All],5,0),"")</f>
        <v/>
      </c>
      <c r="F1074" t="str">
        <f>+IFERROR(VLOOKUP(Fact_Control_Operaciones[[#This Row], 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ht="18.75" customHeight="1" x14ac:dyDescent="0.35">
      <c r="C1075" s="100" t="str">
        <f>IF(OR(Fact_Control_Operaciones[[#This Row], [Año]]="",Fact_Control_Operaciones[[#This Row], 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 [Concepto Anterior]],Conceptos_Control_Operaciones[#All],5,0),"")</f>
        <v/>
      </c>
      <c r="F1075" t="str">
        <f>+IFERROR(VLOOKUP(Fact_Control_Operaciones[[#This Row], 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ht="18.75" customHeight="1" x14ac:dyDescent="0.35">
      <c r="C1076" s="100" t="str">
        <f>IF(OR(Fact_Control_Operaciones[[#This Row], [Año]]="",Fact_Control_Operaciones[[#This Row], 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 [Concepto Anterior]],Conceptos_Control_Operaciones[#All],5,0),"")</f>
        <v/>
      </c>
      <c r="F1076" t="str">
        <f>+IFERROR(VLOOKUP(Fact_Control_Operaciones[[#This Row], 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ht="18.75" customHeight="1" x14ac:dyDescent="0.35">
      <c r="C1077" s="100" t="str">
        <f>IF(OR(Fact_Control_Operaciones[[#This Row], [Año]]="",Fact_Control_Operaciones[[#This Row], 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 [Concepto Anterior]],Conceptos_Control_Operaciones[#All],5,0),"")</f>
        <v/>
      </c>
      <c r="F1077" t="str">
        <f>+IFERROR(VLOOKUP(Fact_Control_Operaciones[[#This Row], 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ht="18.75" customHeight="1" x14ac:dyDescent="0.35">
      <c r="C1078" s="100" t="str">
        <f>IF(OR(Fact_Control_Operaciones[[#This Row], [Año]]="",Fact_Control_Operaciones[[#This Row], 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 [Concepto Anterior]],Conceptos_Control_Operaciones[#All],5,0),"")</f>
        <v/>
      </c>
      <c r="F1078" t="str">
        <f>+IFERROR(VLOOKUP(Fact_Control_Operaciones[[#This Row], 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ht="18.75" customHeight="1" x14ac:dyDescent="0.35">
      <c r="C1079" s="100" t="str">
        <f>IF(OR(Fact_Control_Operaciones[[#This Row], [Año]]="",Fact_Control_Operaciones[[#This Row], 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 [Concepto Anterior]],Conceptos_Control_Operaciones[#All],5,0),"")</f>
        <v/>
      </c>
      <c r="F1079" t="str">
        <f>+IFERROR(VLOOKUP(Fact_Control_Operaciones[[#This Row], 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ht="18.75" customHeight="1" x14ac:dyDescent="0.35">
      <c r="C1080" s="100" t="str">
        <f>IF(OR(Fact_Control_Operaciones[[#This Row], [Año]]="",Fact_Control_Operaciones[[#This Row], 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 [Concepto Anterior]],Conceptos_Control_Operaciones[#All],5,0),"")</f>
        <v/>
      </c>
      <c r="F1080" t="str">
        <f>+IFERROR(VLOOKUP(Fact_Control_Operaciones[[#This Row], 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ht="18.75" customHeight="1" x14ac:dyDescent="0.35">
      <c r="C1081" s="100" t="str">
        <f>IF(OR(Fact_Control_Operaciones[[#This Row], [Año]]="",Fact_Control_Operaciones[[#This Row], 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 [Concepto Anterior]],Conceptos_Control_Operaciones[#All],5,0),"")</f>
        <v/>
      </c>
      <c r="F1081" t="str">
        <f>+IFERROR(VLOOKUP(Fact_Control_Operaciones[[#This Row], 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ht="18.75" customHeight="1" x14ac:dyDescent="0.35">
      <c r="C1082" s="100" t="str">
        <f>IF(OR(Fact_Control_Operaciones[[#This Row], [Año]]="",Fact_Control_Operaciones[[#This Row], 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 [Concepto Anterior]],Conceptos_Control_Operaciones[#All],5,0),"")</f>
        <v/>
      </c>
      <c r="F1082" t="str">
        <f>+IFERROR(VLOOKUP(Fact_Control_Operaciones[[#This Row], 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ht="18.75" customHeight="1" x14ac:dyDescent="0.35">
      <c r="C1083" s="100" t="str">
        <f>IF(OR(Fact_Control_Operaciones[[#This Row], [Año]]="",Fact_Control_Operaciones[[#This Row], 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 [Concepto Anterior]],Conceptos_Control_Operaciones[#All],5,0),"")</f>
        <v/>
      </c>
      <c r="F1083" t="str">
        <f>+IFERROR(VLOOKUP(Fact_Control_Operaciones[[#This Row], 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ht="18.75" customHeight="1" x14ac:dyDescent="0.35">
      <c r="C1084" s="100" t="str">
        <f>IF(OR(Fact_Control_Operaciones[[#This Row], [Año]]="",Fact_Control_Operaciones[[#This Row], 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 [Concepto Anterior]],Conceptos_Control_Operaciones[#All],5,0),"")</f>
        <v/>
      </c>
      <c r="F1084" t="str">
        <f>+IFERROR(VLOOKUP(Fact_Control_Operaciones[[#This Row], 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ht="18.75" customHeight="1" x14ac:dyDescent="0.35">
      <c r="C1085" s="100" t="str">
        <f>IF(OR(Fact_Control_Operaciones[[#This Row], [Año]]="",Fact_Control_Operaciones[[#This Row], 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 [Concepto Anterior]],Conceptos_Control_Operaciones[#All],5,0),"")</f>
        <v/>
      </c>
      <c r="F1085" t="str">
        <f>+IFERROR(VLOOKUP(Fact_Control_Operaciones[[#This Row], 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ht="18.75" customHeight="1" x14ac:dyDescent="0.35">
      <c r="C1086" s="100" t="str">
        <f>IF(OR(Fact_Control_Operaciones[[#This Row], [Año]]="",Fact_Control_Operaciones[[#This Row], 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 [Concepto Anterior]],Conceptos_Control_Operaciones[#All],5,0),"")</f>
        <v/>
      </c>
      <c r="F1086" t="str">
        <f>+IFERROR(VLOOKUP(Fact_Control_Operaciones[[#This Row], 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ht="18.75" customHeight="1" x14ac:dyDescent="0.35">
      <c r="C1087" s="100" t="str">
        <f>IF(OR(Fact_Control_Operaciones[[#This Row], [Año]]="",Fact_Control_Operaciones[[#This Row], 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 [Concepto Anterior]],Conceptos_Control_Operaciones[#All],5,0),"")</f>
        <v/>
      </c>
      <c r="F1087" t="str">
        <f>+IFERROR(VLOOKUP(Fact_Control_Operaciones[[#This Row], 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ht="18.75" customHeight="1" x14ac:dyDescent="0.35">
      <c r="C1088" s="100" t="str">
        <f>IF(OR(Fact_Control_Operaciones[[#This Row], [Año]]="",Fact_Control_Operaciones[[#This Row], 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 [Concepto Anterior]],Conceptos_Control_Operaciones[#All],5,0),"")</f>
        <v/>
      </c>
      <c r="F1088" t="str">
        <f>+IFERROR(VLOOKUP(Fact_Control_Operaciones[[#This Row], 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ht="18.75" customHeight="1" x14ac:dyDescent="0.35">
      <c r="C1089" s="100" t="str">
        <f>IF(OR(Fact_Control_Operaciones[[#This Row], [Año]]="",Fact_Control_Operaciones[[#This Row], 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 [Concepto Anterior]],Conceptos_Control_Operaciones[#All],5,0),"")</f>
        <v/>
      </c>
      <c r="F1089" t="str">
        <f>+IFERROR(VLOOKUP(Fact_Control_Operaciones[[#This Row], 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ht="18.75" customHeight="1" x14ac:dyDescent="0.35">
      <c r="C1090" s="100" t="str">
        <f>IF(OR(Fact_Control_Operaciones[[#This Row], [Año]]="",Fact_Control_Operaciones[[#This Row], 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 [Concepto Anterior]],Conceptos_Control_Operaciones[#All],5,0),"")</f>
        <v/>
      </c>
      <c r="F1090" t="str">
        <f>+IFERROR(VLOOKUP(Fact_Control_Operaciones[[#This Row], 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ht="18.75" customHeight="1" x14ac:dyDescent="0.35">
      <c r="C1091" s="100" t="str">
        <f>IF(OR(Fact_Control_Operaciones[[#This Row], [Año]]="",Fact_Control_Operaciones[[#This Row], 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 [Concepto Anterior]],Conceptos_Control_Operaciones[#All],5,0),"")</f>
        <v/>
      </c>
      <c r="F1091" t="str">
        <f>+IFERROR(VLOOKUP(Fact_Control_Operaciones[[#This Row], 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ht="18.75" customHeight="1" x14ac:dyDescent="0.35">
      <c r="C1092" s="100" t="str">
        <f>IF(OR(Fact_Control_Operaciones[[#This Row], [Año]]="",Fact_Control_Operaciones[[#This Row], 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 [Concepto Anterior]],Conceptos_Control_Operaciones[#All],5,0),"")</f>
        <v/>
      </c>
      <c r="F1092" t="str">
        <f>+IFERROR(VLOOKUP(Fact_Control_Operaciones[[#This Row], 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ht="18.75" customHeight="1" x14ac:dyDescent="0.35">
      <c r="C1093" s="100" t="str">
        <f>IF(OR(Fact_Control_Operaciones[[#This Row], [Año]]="",Fact_Control_Operaciones[[#This Row], 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 [Concepto Anterior]],Conceptos_Control_Operaciones[#All],5,0),"")</f>
        <v/>
      </c>
      <c r="F1093" t="str">
        <f>+IFERROR(VLOOKUP(Fact_Control_Operaciones[[#This Row], 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ht="18.75" customHeight="1" x14ac:dyDescent="0.35">
      <c r="C1094" s="100" t="str">
        <f>IF(OR(Fact_Control_Operaciones[[#This Row], [Año]]="",Fact_Control_Operaciones[[#This Row], 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 [Concepto Anterior]],Conceptos_Control_Operaciones[#All],5,0),"")</f>
        <v/>
      </c>
      <c r="F1094" t="str">
        <f>+IFERROR(VLOOKUP(Fact_Control_Operaciones[[#This Row], 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ht="18.75" customHeight="1" x14ac:dyDescent="0.35">
      <c r="C1095" s="100" t="str">
        <f>IF(OR(Fact_Control_Operaciones[[#This Row], [Año]]="",Fact_Control_Operaciones[[#This Row], 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 [Concepto Anterior]],Conceptos_Control_Operaciones[#All],5,0),"")</f>
        <v/>
      </c>
      <c r="F1095" t="str">
        <f>+IFERROR(VLOOKUP(Fact_Control_Operaciones[[#This Row], 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ht="18.75" customHeight="1" x14ac:dyDescent="0.35">
      <c r="C1096" s="100" t="str">
        <f>IF(OR(Fact_Control_Operaciones[[#This Row], [Año]]="",Fact_Control_Operaciones[[#This Row], 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 [Concepto Anterior]],Conceptos_Control_Operaciones[#All],5,0),"")</f>
        <v/>
      </c>
      <c r="F1096" t="str">
        <f>+IFERROR(VLOOKUP(Fact_Control_Operaciones[[#This Row], 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ht="18.75" customHeight="1" x14ac:dyDescent="0.35">
      <c r="C1097" s="100" t="str">
        <f>IF(OR(Fact_Control_Operaciones[[#This Row], [Año]]="",Fact_Control_Operaciones[[#This Row], 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 [Concepto Anterior]],Conceptos_Control_Operaciones[#All],5,0),"")</f>
        <v/>
      </c>
      <c r="F1097" t="str">
        <f>+IFERROR(VLOOKUP(Fact_Control_Operaciones[[#This Row], 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ht="18.75" customHeight="1" x14ac:dyDescent="0.35">
      <c r="C1098" s="100" t="str">
        <f>IF(OR(Fact_Control_Operaciones[[#This Row], [Año]]="",Fact_Control_Operaciones[[#This Row], 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 [Concepto Anterior]],Conceptos_Control_Operaciones[#All],5,0),"")</f>
        <v/>
      </c>
      <c r="F1098" t="str">
        <f>+IFERROR(VLOOKUP(Fact_Control_Operaciones[[#This Row], 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ht="18.75" customHeight="1" x14ac:dyDescent="0.35">
      <c r="C1099" s="100" t="str">
        <f>IF(OR(Fact_Control_Operaciones[[#This Row], [Año]]="",Fact_Control_Operaciones[[#This Row], 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 [Concepto Anterior]],Conceptos_Control_Operaciones[#All],5,0),"")</f>
        <v/>
      </c>
      <c r="F1099" t="str">
        <f>+IFERROR(VLOOKUP(Fact_Control_Operaciones[[#This Row], 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ht="18.75" customHeight="1" x14ac:dyDescent="0.35">
      <c r="C1100" s="100" t="str">
        <f>IF(OR(Fact_Control_Operaciones[[#This Row], [Año]]="",Fact_Control_Operaciones[[#This Row], 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 [Concepto Anterior]],Conceptos_Control_Operaciones[#All],5,0),"")</f>
        <v/>
      </c>
      <c r="F1100" t="str">
        <f>+IFERROR(VLOOKUP(Fact_Control_Operaciones[[#This Row], 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ht="18.75" customHeight="1" x14ac:dyDescent="0.35">
      <c r="C1101" s="100" t="str">
        <f>IF(OR(Fact_Control_Operaciones[[#This Row], [Año]]="",Fact_Control_Operaciones[[#This Row], 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 [Concepto Anterior]],Conceptos_Control_Operaciones[#All],5,0),"")</f>
        <v/>
      </c>
      <c r="F1101" t="str">
        <f>+IFERROR(VLOOKUP(Fact_Control_Operaciones[[#This Row], 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ht="18.75" customHeight="1" x14ac:dyDescent="0.35">
      <c r="C1102" s="100" t="str">
        <f>IF(OR(Fact_Control_Operaciones[[#This Row], [Año]]="",Fact_Control_Operaciones[[#This Row], 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 [Concepto Anterior]],Conceptos_Control_Operaciones[#All],5,0),"")</f>
        <v/>
      </c>
      <c r="F1102" t="str">
        <f>+IFERROR(VLOOKUP(Fact_Control_Operaciones[[#This Row], 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ht="18.75" customHeight="1" x14ac:dyDescent="0.35">
      <c r="C1103" s="100" t="str">
        <f>IF(OR(Fact_Control_Operaciones[[#This Row], [Año]]="",Fact_Control_Operaciones[[#This Row], 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 [Concepto Anterior]],Conceptos_Control_Operaciones[#All],5,0),"")</f>
        <v/>
      </c>
      <c r="F1103" t="str">
        <f>+IFERROR(VLOOKUP(Fact_Control_Operaciones[[#This Row], 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ht="18.75" customHeight="1" x14ac:dyDescent="0.35">
      <c r="C1104" s="100" t="str">
        <f>IF(OR(Fact_Control_Operaciones[[#This Row], [Año]]="",Fact_Control_Operaciones[[#This Row], 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 [Concepto Anterior]],Conceptos_Control_Operaciones[#All],5,0),"")</f>
        <v/>
      </c>
      <c r="F1104" t="str">
        <f>+IFERROR(VLOOKUP(Fact_Control_Operaciones[[#This Row], 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ht="18.75" customHeight="1" x14ac:dyDescent="0.35">
      <c r="C1105" s="100" t="str">
        <f>IF(OR(Fact_Control_Operaciones[[#This Row], [Año]]="",Fact_Control_Operaciones[[#This Row], 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 [Concepto Anterior]],Conceptos_Control_Operaciones[#All],5,0),"")</f>
        <v/>
      </c>
      <c r="F1105" t="str">
        <f>+IFERROR(VLOOKUP(Fact_Control_Operaciones[[#This Row], 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ht="18.75" customHeight="1" x14ac:dyDescent="0.35">
      <c r="C1106" s="100" t="str">
        <f>IF(OR(Fact_Control_Operaciones[[#This Row], [Año]]="",Fact_Control_Operaciones[[#This Row], 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 [Concepto Anterior]],Conceptos_Control_Operaciones[#All],5,0),"")</f>
        <v/>
      </c>
      <c r="F1106" t="str">
        <f>+IFERROR(VLOOKUP(Fact_Control_Operaciones[[#This Row], 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ht="18.75" customHeight="1" x14ac:dyDescent="0.35">
      <c r="C1107" s="100" t="str">
        <f>IF(OR(Fact_Control_Operaciones[[#This Row], [Año]]="",Fact_Control_Operaciones[[#This Row], 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 [Concepto Anterior]],Conceptos_Control_Operaciones[#All],5,0),"")</f>
        <v/>
      </c>
      <c r="F1107" t="str">
        <f>+IFERROR(VLOOKUP(Fact_Control_Operaciones[[#This Row], 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ht="18.75" customHeight="1" x14ac:dyDescent="0.35">
      <c r="C1108" s="100" t="str">
        <f>IF(OR(Fact_Control_Operaciones[[#This Row], [Año]]="",Fact_Control_Operaciones[[#This Row], 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 [Concepto Anterior]],Conceptos_Control_Operaciones[#All],5,0),"")</f>
        <v/>
      </c>
      <c r="F1108" t="str">
        <f>+IFERROR(VLOOKUP(Fact_Control_Operaciones[[#This Row], 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ht="18.75" customHeight="1" x14ac:dyDescent="0.35">
      <c r="C1109" s="100" t="str">
        <f>IF(OR(Fact_Control_Operaciones[[#This Row], [Año]]="",Fact_Control_Operaciones[[#This Row], 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 [Concepto Anterior]],Conceptos_Control_Operaciones[#All],5,0),"")</f>
        <v/>
      </c>
      <c r="F1109" t="str">
        <f>+IFERROR(VLOOKUP(Fact_Control_Operaciones[[#This Row], 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ht="18.75" customHeight="1" x14ac:dyDescent="0.35">
      <c r="C1110" s="100" t="str">
        <f>IF(OR(Fact_Control_Operaciones[[#This Row], [Año]]="",Fact_Control_Operaciones[[#This Row], 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 [Concepto Anterior]],Conceptos_Control_Operaciones[#All],5,0),"")</f>
        <v/>
      </c>
      <c r="F1110" t="str">
        <f>+IFERROR(VLOOKUP(Fact_Control_Operaciones[[#This Row], 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ht="18.75" customHeight="1" x14ac:dyDescent="0.35">
      <c r="C1111" s="100" t="str">
        <f>IF(OR(Fact_Control_Operaciones[[#This Row], [Año]]="",Fact_Control_Operaciones[[#This Row], 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 [Concepto Anterior]],Conceptos_Control_Operaciones[#All],5,0),"")</f>
        <v/>
      </c>
      <c r="F1111" t="str">
        <f>+IFERROR(VLOOKUP(Fact_Control_Operaciones[[#This Row], 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ht="18.75" customHeight="1" x14ac:dyDescent="0.35">
      <c r="C1112" s="100" t="str">
        <f>IF(OR(Fact_Control_Operaciones[[#This Row], [Año]]="",Fact_Control_Operaciones[[#This Row], 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 [Concepto Anterior]],Conceptos_Control_Operaciones[#All],5,0),"")</f>
        <v/>
      </c>
      <c r="F1112" t="str">
        <f>+IFERROR(VLOOKUP(Fact_Control_Operaciones[[#This Row], 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ht="18.75" customHeight="1" x14ac:dyDescent="0.35">
      <c r="C1113" s="100" t="str">
        <f>IF(OR(Fact_Control_Operaciones[[#This Row], [Año]]="",Fact_Control_Operaciones[[#This Row], 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 [Concepto Anterior]],Conceptos_Control_Operaciones[#All],5,0),"")</f>
        <v/>
      </c>
      <c r="F1113" t="str">
        <f>+IFERROR(VLOOKUP(Fact_Control_Operaciones[[#This Row], 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ht="18.75" customHeight="1" x14ac:dyDescent="0.35">
      <c r="C1114" s="100" t="str">
        <f>IF(OR(Fact_Control_Operaciones[[#This Row], [Año]]="",Fact_Control_Operaciones[[#This Row], 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 [Concepto Anterior]],Conceptos_Control_Operaciones[#All],5,0),"")</f>
        <v/>
      </c>
      <c r="F1114" t="str">
        <f>+IFERROR(VLOOKUP(Fact_Control_Operaciones[[#This Row], 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ht="18.75" customHeight="1" x14ac:dyDescent="0.35">
      <c r="C1115" s="100" t="str">
        <f>IF(OR(Fact_Control_Operaciones[[#This Row], [Año]]="",Fact_Control_Operaciones[[#This Row], 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 [Concepto Anterior]],Conceptos_Control_Operaciones[#All],5,0),"")</f>
        <v/>
      </c>
      <c r="F1115" t="str">
        <f>+IFERROR(VLOOKUP(Fact_Control_Operaciones[[#This Row], 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ht="18.75" customHeight="1" x14ac:dyDescent="0.35">
      <c r="C1116" s="100" t="str">
        <f>IF(OR(Fact_Control_Operaciones[[#This Row], [Año]]="",Fact_Control_Operaciones[[#This Row], 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 [Concepto Anterior]],Conceptos_Control_Operaciones[#All],5,0),"")</f>
        <v/>
      </c>
      <c r="F1116" t="str">
        <f>+IFERROR(VLOOKUP(Fact_Control_Operaciones[[#This Row], 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ht="18.75" customHeight="1" x14ac:dyDescent="0.35">
      <c r="C1117" s="100" t="str">
        <f>IF(OR(Fact_Control_Operaciones[[#This Row], [Año]]="",Fact_Control_Operaciones[[#This Row], 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 [Concepto Anterior]],Conceptos_Control_Operaciones[#All],5,0),"")</f>
        <v/>
      </c>
      <c r="F1117" t="str">
        <f>+IFERROR(VLOOKUP(Fact_Control_Operaciones[[#This Row], 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ht="18.75" customHeight="1" x14ac:dyDescent="0.35">
      <c r="C1118" s="100" t="str">
        <f>IF(OR(Fact_Control_Operaciones[[#This Row], [Año]]="",Fact_Control_Operaciones[[#This Row], 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 [Concepto Anterior]],Conceptos_Control_Operaciones[#All],5,0),"")</f>
        <v/>
      </c>
      <c r="F1118" t="str">
        <f>+IFERROR(VLOOKUP(Fact_Control_Operaciones[[#This Row], 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ht="18.75" customHeight="1" x14ac:dyDescent="0.35">
      <c r="C1119" s="100" t="str">
        <f>IF(OR(Fact_Control_Operaciones[[#This Row], [Año]]="",Fact_Control_Operaciones[[#This Row], 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 [Concepto Anterior]],Conceptos_Control_Operaciones[#All],5,0),"")</f>
        <v/>
      </c>
      <c r="F1119" t="str">
        <f>+IFERROR(VLOOKUP(Fact_Control_Operaciones[[#This Row], 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ht="18.75" customHeight="1" x14ac:dyDescent="0.35">
      <c r="C1120" s="100" t="str">
        <f>IF(OR(Fact_Control_Operaciones[[#This Row], [Año]]="",Fact_Control_Operaciones[[#This Row], 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 [Concepto Anterior]],Conceptos_Control_Operaciones[#All],5,0),"")</f>
        <v/>
      </c>
      <c r="F1120" t="str">
        <f>+IFERROR(VLOOKUP(Fact_Control_Operaciones[[#This Row], 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ht="18.75" customHeight="1" x14ac:dyDescent="0.35">
      <c r="C1121" s="100" t="str">
        <f>IF(OR(Fact_Control_Operaciones[[#This Row], [Año]]="",Fact_Control_Operaciones[[#This Row], 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 [Concepto Anterior]],Conceptos_Control_Operaciones[#All],5,0),"")</f>
        <v/>
      </c>
      <c r="F1121" t="str">
        <f>+IFERROR(VLOOKUP(Fact_Control_Operaciones[[#This Row], 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ht="18.75" customHeight="1" x14ac:dyDescent="0.35">
      <c r="C1122" s="100" t="str">
        <f>IF(OR(Fact_Control_Operaciones[[#This Row], [Año]]="",Fact_Control_Operaciones[[#This Row], 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 [Concepto Anterior]],Conceptos_Control_Operaciones[#All],5,0),"")</f>
        <v/>
      </c>
      <c r="F1122" t="str">
        <f>+IFERROR(VLOOKUP(Fact_Control_Operaciones[[#This Row], 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ht="18.75" customHeight="1" x14ac:dyDescent="0.35">
      <c r="C1123" s="100" t="str">
        <f>IF(OR(Fact_Control_Operaciones[[#This Row], [Año]]="",Fact_Control_Operaciones[[#This Row], 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 [Concepto Anterior]],Conceptos_Control_Operaciones[#All],5,0),"")</f>
        <v/>
      </c>
      <c r="F1123" t="str">
        <f>+IFERROR(VLOOKUP(Fact_Control_Operaciones[[#This Row], 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ht="18.75" customHeight="1" x14ac:dyDescent="0.35">
      <c r="C1124" s="100" t="str">
        <f>IF(OR(Fact_Control_Operaciones[[#This Row], [Año]]="",Fact_Control_Operaciones[[#This Row], 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 [Concepto Anterior]],Conceptos_Control_Operaciones[#All],5,0),"")</f>
        <v/>
      </c>
      <c r="F1124" t="str">
        <f>+IFERROR(VLOOKUP(Fact_Control_Operaciones[[#This Row], 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ht="18.75" customHeight="1" x14ac:dyDescent="0.35">
      <c r="C1125" s="100" t="str">
        <f>IF(OR(Fact_Control_Operaciones[[#This Row], [Año]]="",Fact_Control_Operaciones[[#This Row], 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 [Concepto Anterior]],Conceptos_Control_Operaciones[#All],5,0),"")</f>
        <v/>
      </c>
      <c r="F1125" t="str">
        <f>+IFERROR(VLOOKUP(Fact_Control_Operaciones[[#This Row], 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ht="18.75" customHeight="1" x14ac:dyDescent="0.35">
      <c r="C1126" s="100" t="str">
        <f>IF(OR(Fact_Control_Operaciones[[#This Row], [Año]]="",Fact_Control_Operaciones[[#This Row], 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 [Concepto Anterior]],Conceptos_Control_Operaciones[#All],5,0),"")</f>
        <v/>
      </c>
      <c r="F1126" t="str">
        <f>+IFERROR(VLOOKUP(Fact_Control_Operaciones[[#This Row], 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ht="18.75" customHeight="1" x14ac:dyDescent="0.35">
      <c r="C1127" s="100" t="str">
        <f>IF(OR(Fact_Control_Operaciones[[#This Row], [Año]]="",Fact_Control_Operaciones[[#This Row], 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 [Concepto Anterior]],Conceptos_Control_Operaciones[#All],5,0),"")</f>
        <v/>
      </c>
      <c r="F1127" t="str">
        <f>+IFERROR(VLOOKUP(Fact_Control_Operaciones[[#This Row], 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ht="18.75" customHeight="1" x14ac:dyDescent="0.35">
      <c r="C1128" s="100" t="str">
        <f>IF(OR(Fact_Control_Operaciones[[#This Row], [Año]]="",Fact_Control_Operaciones[[#This Row], 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 [Concepto Anterior]],Conceptos_Control_Operaciones[#All],5,0),"")</f>
        <v/>
      </c>
      <c r="F1128" t="str">
        <f>+IFERROR(VLOOKUP(Fact_Control_Operaciones[[#This Row], 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ht="18.75" customHeight="1" x14ac:dyDescent="0.35">
      <c r="C1129" s="100" t="str">
        <f>IF(OR(Fact_Control_Operaciones[[#This Row], [Año]]="",Fact_Control_Operaciones[[#This Row], 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 [Concepto Anterior]],Conceptos_Control_Operaciones[#All],5,0),"")</f>
        <v/>
      </c>
      <c r="F1129" t="str">
        <f>+IFERROR(VLOOKUP(Fact_Control_Operaciones[[#This Row], 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ht="18.75" customHeight="1" x14ac:dyDescent="0.35">
      <c r="C1130" s="100" t="str">
        <f>IF(OR(Fact_Control_Operaciones[[#This Row], [Año]]="",Fact_Control_Operaciones[[#This Row], 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 [Concepto Anterior]],Conceptos_Control_Operaciones[#All],5,0),"")</f>
        <v/>
      </c>
      <c r="F1130" t="str">
        <f>+IFERROR(VLOOKUP(Fact_Control_Operaciones[[#This Row], 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ht="18.75" customHeight="1" x14ac:dyDescent="0.35">
      <c r="C1131" s="100" t="str">
        <f>IF(OR(Fact_Control_Operaciones[[#This Row], [Año]]="",Fact_Control_Operaciones[[#This Row], 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 [Concepto Anterior]],Conceptos_Control_Operaciones[#All],5,0),"")</f>
        <v/>
      </c>
      <c r="F1131" t="str">
        <f>+IFERROR(VLOOKUP(Fact_Control_Operaciones[[#This Row], 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ht="18.75" customHeight="1" x14ac:dyDescent="0.35">
      <c r="C1132" s="100" t="str">
        <f>IF(OR(Fact_Control_Operaciones[[#This Row], [Año]]="",Fact_Control_Operaciones[[#This Row], 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 [Concepto Anterior]],Conceptos_Control_Operaciones[#All],5,0),"")</f>
        <v/>
      </c>
      <c r="F1132" t="str">
        <f>+IFERROR(VLOOKUP(Fact_Control_Operaciones[[#This Row], 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ht="18.75" customHeight="1" x14ac:dyDescent="0.35">
      <c r="C1133" s="100" t="str">
        <f>IF(OR(Fact_Control_Operaciones[[#This Row], [Año]]="",Fact_Control_Operaciones[[#This Row], 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 [Concepto Anterior]],Conceptos_Control_Operaciones[#All],5,0),"")</f>
        <v/>
      </c>
      <c r="F1133" t="str">
        <f>+IFERROR(VLOOKUP(Fact_Control_Operaciones[[#This Row], 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ht="18.75" customHeight="1" x14ac:dyDescent="0.35">
      <c r="C1134" s="100" t="str">
        <f>IF(OR(Fact_Control_Operaciones[[#This Row], [Año]]="",Fact_Control_Operaciones[[#This Row], 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 [Concepto Anterior]],Conceptos_Control_Operaciones[#All],5,0),"")</f>
        <v/>
      </c>
      <c r="F1134" t="str">
        <f>+IFERROR(VLOOKUP(Fact_Control_Operaciones[[#This Row], 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ht="18.75" customHeight="1" x14ac:dyDescent="0.35">
      <c r="C1135" s="100" t="str">
        <f>IF(OR(Fact_Control_Operaciones[[#This Row], [Año]]="",Fact_Control_Operaciones[[#This Row], 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 [Concepto Anterior]],Conceptos_Control_Operaciones[#All],5,0),"")</f>
        <v/>
      </c>
      <c r="F1135" t="str">
        <f>+IFERROR(VLOOKUP(Fact_Control_Operaciones[[#This Row], 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ht="18.75" customHeight="1" x14ac:dyDescent="0.35">
      <c r="C1136" s="100" t="str">
        <f>IF(OR(Fact_Control_Operaciones[[#This Row], [Año]]="",Fact_Control_Operaciones[[#This Row], 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 [Concepto Anterior]],Conceptos_Control_Operaciones[#All],5,0),"")</f>
        <v/>
      </c>
      <c r="F1136" t="str">
        <f>+IFERROR(VLOOKUP(Fact_Control_Operaciones[[#This Row], 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ht="18.75" customHeight="1" x14ac:dyDescent="0.35">
      <c r="C1137" s="100" t="str">
        <f>IF(OR(Fact_Control_Operaciones[[#This Row], [Año]]="",Fact_Control_Operaciones[[#This Row], 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 [Concepto Anterior]],Conceptos_Control_Operaciones[#All],5,0),"")</f>
        <v/>
      </c>
      <c r="F1137" t="str">
        <f>+IFERROR(VLOOKUP(Fact_Control_Operaciones[[#This Row], 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ht="18.75" customHeight="1" x14ac:dyDescent="0.35">
      <c r="C1138" s="100" t="str">
        <f>IF(OR(Fact_Control_Operaciones[[#This Row], [Año]]="",Fact_Control_Operaciones[[#This Row], 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 [Concepto Anterior]],Conceptos_Control_Operaciones[#All],5,0),"")</f>
        <v/>
      </c>
      <c r="F1138" t="str">
        <f>+IFERROR(VLOOKUP(Fact_Control_Operaciones[[#This Row], 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ht="18.75" customHeight="1" x14ac:dyDescent="0.35">
      <c r="C1139" s="100" t="str">
        <f>IF(OR(Fact_Control_Operaciones[[#This Row], [Año]]="",Fact_Control_Operaciones[[#This Row], 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 [Concepto Anterior]],Conceptos_Control_Operaciones[#All],5,0),"")</f>
        <v/>
      </c>
      <c r="F1139" t="str">
        <f>+IFERROR(VLOOKUP(Fact_Control_Operaciones[[#This Row], 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ht="18.75" customHeight="1" x14ac:dyDescent="0.35">
      <c r="C1140" s="100" t="str">
        <f>IF(OR(Fact_Control_Operaciones[[#This Row], [Año]]="",Fact_Control_Operaciones[[#This Row], 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 [Concepto Anterior]],Conceptos_Control_Operaciones[#All],5,0),"")</f>
        <v/>
      </c>
      <c r="F1140" t="str">
        <f>+IFERROR(VLOOKUP(Fact_Control_Operaciones[[#This Row], 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ht="18.75" customHeight="1" x14ac:dyDescent="0.35">
      <c r="C1141" s="100" t="str">
        <f>IF(OR(Fact_Control_Operaciones[[#This Row], [Año]]="",Fact_Control_Operaciones[[#This Row], 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 [Concepto Anterior]],Conceptos_Control_Operaciones[#All],5,0),"")</f>
        <v/>
      </c>
      <c r="F1141" t="str">
        <f>+IFERROR(VLOOKUP(Fact_Control_Operaciones[[#This Row], 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ht="18.75" customHeight="1" x14ac:dyDescent="0.35">
      <c r="C1142" s="100" t="str">
        <f>IF(OR(Fact_Control_Operaciones[[#This Row], [Año]]="",Fact_Control_Operaciones[[#This Row], 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 [Concepto Anterior]],Conceptos_Control_Operaciones[#All],5,0),"")</f>
        <v/>
      </c>
      <c r="F1142" t="str">
        <f>+IFERROR(VLOOKUP(Fact_Control_Operaciones[[#This Row], 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ht="18.75" customHeight="1" x14ac:dyDescent="0.35">
      <c r="C1143" s="100" t="str">
        <f>IF(OR(Fact_Control_Operaciones[[#This Row], [Año]]="",Fact_Control_Operaciones[[#This Row], 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 [Concepto Anterior]],Conceptos_Control_Operaciones[#All],5,0),"")</f>
        <v/>
      </c>
      <c r="F1143" t="str">
        <f>+IFERROR(VLOOKUP(Fact_Control_Operaciones[[#This Row], 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ht="18.75" customHeight="1" x14ac:dyDescent="0.35">
      <c r="C1144" s="100" t="str">
        <f>IF(OR(Fact_Control_Operaciones[[#This Row], [Año]]="",Fact_Control_Operaciones[[#This Row], 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 [Concepto Anterior]],Conceptos_Control_Operaciones[#All],5,0),"")</f>
        <v/>
      </c>
      <c r="F1144" t="str">
        <f>+IFERROR(VLOOKUP(Fact_Control_Operaciones[[#This Row], 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ht="18.75" customHeight="1" x14ac:dyDescent="0.35">
      <c r="C1145" s="100" t="str">
        <f>IF(OR(Fact_Control_Operaciones[[#This Row], [Año]]="",Fact_Control_Operaciones[[#This Row], 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 [Concepto Anterior]],Conceptos_Control_Operaciones[#All],5,0),"")</f>
        <v/>
      </c>
      <c r="F1145" t="str">
        <f>+IFERROR(VLOOKUP(Fact_Control_Operaciones[[#This Row], 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ht="18.75" customHeight="1" x14ac:dyDescent="0.35">
      <c r="C1146" s="100" t="str">
        <f>IF(OR(Fact_Control_Operaciones[[#This Row], [Año]]="",Fact_Control_Operaciones[[#This Row], 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 [Concepto Anterior]],Conceptos_Control_Operaciones[#All],5,0),"")</f>
        <v/>
      </c>
      <c r="F1146" t="str">
        <f>+IFERROR(VLOOKUP(Fact_Control_Operaciones[[#This Row], 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ht="18.75" customHeight="1" x14ac:dyDescent="0.35">
      <c r="C1147" s="100" t="str">
        <f>IF(OR(Fact_Control_Operaciones[[#This Row], [Año]]="",Fact_Control_Operaciones[[#This Row], 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 [Concepto Anterior]],Conceptos_Control_Operaciones[#All],5,0),"")</f>
        <v/>
      </c>
      <c r="F1147" t="str">
        <f>+IFERROR(VLOOKUP(Fact_Control_Operaciones[[#This Row], 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ht="18.75" customHeight="1" x14ac:dyDescent="0.35">
      <c r="C1148" s="100" t="str">
        <f>IF(OR(Fact_Control_Operaciones[[#This Row], [Año]]="",Fact_Control_Operaciones[[#This Row], 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 [Concepto Anterior]],Conceptos_Control_Operaciones[#All],5,0),"")</f>
        <v/>
      </c>
      <c r="F1148" t="str">
        <f>+IFERROR(VLOOKUP(Fact_Control_Operaciones[[#This Row], 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ht="18.75" customHeight="1" x14ac:dyDescent="0.35">
      <c r="C1149" s="100" t="str">
        <f>IF(OR(Fact_Control_Operaciones[[#This Row], [Año]]="",Fact_Control_Operaciones[[#This Row], 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 [Concepto Anterior]],Conceptos_Control_Operaciones[#All],5,0),"")</f>
        <v/>
      </c>
      <c r="F1149" t="str">
        <f>+IFERROR(VLOOKUP(Fact_Control_Operaciones[[#This Row], 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ht="18.75" customHeight="1" x14ac:dyDescent="0.35">
      <c r="C1150" s="100" t="str">
        <f>IF(OR(Fact_Control_Operaciones[[#This Row], [Año]]="",Fact_Control_Operaciones[[#This Row], 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 [Concepto Anterior]],Conceptos_Control_Operaciones[#All],5,0),"")</f>
        <v/>
      </c>
      <c r="F1150" t="str">
        <f>+IFERROR(VLOOKUP(Fact_Control_Operaciones[[#This Row], 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ht="18.75" customHeight="1" x14ac:dyDescent="0.35">
      <c r="C1151" s="100" t="str">
        <f>IF(OR(Fact_Control_Operaciones[[#This Row], [Año]]="",Fact_Control_Operaciones[[#This Row], 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 [Concepto Anterior]],Conceptos_Control_Operaciones[#All],5,0),"")</f>
        <v/>
      </c>
      <c r="F1151" t="str">
        <f>+IFERROR(VLOOKUP(Fact_Control_Operaciones[[#This Row], 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ht="18.75" customHeight="1" x14ac:dyDescent="0.35">
      <c r="C1152" s="100" t="str">
        <f>IF(OR(Fact_Control_Operaciones[[#This Row], [Año]]="",Fact_Control_Operaciones[[#This Row], 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 [Concepto Anterior]],Conceptos_Control_Operaciones[#All],5,0),"")</f>
        <v/>
      </c>
      <c r="F1152" t="str">
        <f>+IFERROR(VLOOKUP(Fact_Control_Operaciones[[#This Row], 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ht="18.75" customHeight="1" x14ac:dyDescent="0.35">
      <c r="C1153" s="100" t="str">
        <f>IF(OR(Fact_Control_Operaciones[[#This Row], [Año]]="",Fact_Control_Operaciones[[#This Row], 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 [Concepto Anterior]],Conceptos_Control_Operaciones[#All],5,0),"")</f>
        <v/>
      </c>
      <c r="F1153" t="str">
        <f>+IFERROR(VLOOKUP(Fact_Control_Operaciones[[#This Row], 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ht="18.75" customHeight="1" x14ac:dyDescent="0.35">
      <c r="C1154" s="100" t="str">
        <f>IF(OR(Fact_Control_Operaciones[[#This Row], [Año]]="",Fact_Control_Operaciones[[#This Row], 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 [Concepto Anterior]],Conceptos_Control_Operaciones[#All],5,0),"")</f>
        <v/>
      </c>
      <c r="F1154" t="str">
        <f>+IFERROR(VLOOKUP(Fact_Control_Operaciones[[#This Row], 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ht="18.75" customHeight="1" x14ac:dyDescent="0.35">
      <c r="C1155" s="100" t="str">
        <f>IF(OR(Fact_Control_Operaciones[[#This Row], [Año]]="",Fact_Control_Operaciones[[#This Row], 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 [Concepto Anterior]],Conceptos_Control_Operaciones[#All],5,0),"")</f>
        <v/>
      </c>
      <c r="F1155" t="str">
        <f>+IFERROR(VLOOKUP(Fact_Control_Operaciones[[#This Row], 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ht="18.75" customHeight="1" x14ac:dyDescent="0.35">
      <c r="C1156" s="100" t="str">
        <f>IF(OR(Fact_Control_Operaciones[[#This Row], [Año]]="",Fact_Control_Operaciones[[#This Row], 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 [Concepto Anterior]],Conceptos_Control_Operaciones[#All],5,0),"")</f>
        <v/>
      </c>
      <c r="F1156" t="str">
        <f>+IFERROR(VLOOKUP(Fact_Control_Operaciones[[#This Row], 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ht="18.75" customHeight="1" x14ac:dyDescent="0.35">
      <c r="C1157" s="100" t="str">
        <f>IF(OR(Fact_Control_Operaciones[[#This Row], [Año]]="",Fact_Control_Operaciones[[#This Row], 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 [Concepto Anterior]],Conceptos_Control_Operaciones[#All],5,0),"")</f>
        <v/>
      </c>
      <c r="F1157" t="str">
        <f>+IFERROR(VLOOKUP(Fact_Control_Operaciones[[#This Row], 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ht="18.75" customHeight="1" x14ac:dyDescent="0.35">
      <c r="C1158" s="100" t="str">
        <f>IF(OR(Fact_Control_Operaciones[[#This Row], [Año]]="",Fact_Control_Operaciones[[#This Row], 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 [Concepto Anterior]],Conceptos_Control_Operaciones[#All],5,0),"")</f>
        <v/>
      </c>
      <c r="F1158" t="str">
        <f>+IFERROR(VLOOKUP(Fact_Control_Operaciones[[#This Row], 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ht="18.75" customHeight="1" x14ac:dyDescent="0.35">
      <c r="C1159" s="100" t="str">
        <f>IF(OR(Fact_Control_Operaciones[[#This Row], [Año]]="",Fact_Control_Operaciones[[#This Row], 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 [Concepto Anterior]],Conceptos_Control_Operaciones[#All],5,0),"")</f>
        <v/>
      </c>
      <c r="F1159" t="str">
        <f>+IFERROR(VLOOKUP(Fact_Control_Operaciones[[#This Row], 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ht="18.75" customHeight="1" x14ac:dyDescent="0.35">
      <c r="C1160" s="100" t="str">
        <f>IF(OR(Fact_Control_Operaciones[[#This Row], [Año]]="",Fact_Control_Operaciones[[#This Row], 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 [Concepto Anterior]],Conceptos_Control_Operaciones[#All],5,0),"")</f>
        <v/>
      </c>
      <c r="F1160" t="str">
        <f>+IFERROR(VLOOKUP(Fact_Control_Operaciones[[#This Row], 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ht="18.75" customHeight="1" x14ac:dyDescent="0.35">
      <c r="C1161" s="100" t="str">
        <f>IF(OR(Fact_Control_Operaciones[[#This Row], [Año]]="",Fact_Control_Operaciones[[#This Row], 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 [Concepto Anterior]],Conceptos_Control_Operaciones[#All],5,0),"")</f>
        <v/>
      </c>
      <c r="F1161" t="str">
        <f>+IFERROR(VLOOKUP(Fact_Control_Operaciones[[#This Row], 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ht="18.75" customHeight="1" x14ac:dyDescent="0.35">
      <c r="C1162" s="100" t="str">
        <f>IF(OR(Fact_Control_Operaciones[[#This Row], [Año]]="",Fact_Control_Operaciones[[#This Row], 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 [Concepto Anterior]],Conceptos_Control_Operaciones[#All],5,0),"")</f>
        <v/>
      </c>
      <c r="F1162" t="str">
        <f>+IFERROR(VLOOKUP(Fact_Control_Operaciones[[#This Row], 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ht="18.75" customHeight="1" x14ac:dyDescent="0.35">
      <c r="C1163" s="100" t="str">
        <f>IF(OR(Fact_Control_Operaciones[[#This Row], [Año]]="",Fact_Control_Operaciones[[#This Row], 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 [Concepto Anterior]],Conceptos_Control_Operaciones[#All],5,0),"")</f>
        <v/>
      </c>
      <c r="F1163" t="str">
        <f>+IFERROR(VLOOKUP(Fact_Control_Operaciones[[#This Row], 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ht="18.75" customHeight="1" x14ac:dyDescent="0.35">
      <c r="C1164" s="100" t="str">
        <f>IF(OR(Fact_Control_Operaciones[[#This Row], [Año]]="",Fact_Control_Operaciones[[#This Row], 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 [Concepto Anterior]],Conceptos_Control_Operaciones[#All],5,0),"")</f>
        <v/>
      </c>
      <c r="F1164" t="str">
        <f>+IFERROR(VLOOKUP(Fact_Control_Operaciones[[#This Row], 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ht="18.75" customHeight="1" x14ac:dyDescent="0.35">
      <c r="C1165" s="100" t="str">
        <f>IF(OR(Fact_Control_Operaciones[[#This Row], [Año]]="",Fact_Control_Operaciones[[#This Row], 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 [Concepto Anterior]],Conceptos_Control_Operaciones[#All],5,0),"")</f>
        <v/>
      </c>
      <c r="F1165" t="str">
        <f>+IFERROR(VLOOKUP(Fact_Control_Operaciones[[#This Row], 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ht="18.75" customHeight="1" x14ac:dyDescent="0.35">
      <c r="C1166" s="100" t="str">
        <f>IF(OR(Fact_Control_Operaciones[[#This Row], [Año]]="",Fact_Control_Operaciones[[#This Row], 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 [Concepto Anterior]],Conceptos_Control_Operaciones[#All],5,0),"")</f>
        <v/>
      </c>
      <c r="F1166" t="str">
        <f>+IFERROR(VLOOKUP(Fact_Control_Operaciones[[#This Row], 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ht="18.75" customHeight="1" x14ac:dyDescent="0.35">
      <c r="C1167" s="100" t="str">
        <f>IF(OR(Fact_Control_Operaciones[[#This Row], [Año]]="",Fact_Control_Operaciones[[#This Row], 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 [Concepto Anterior]],Conceptos_Control_Operaciones[#All],5,0),"")</f>
        <v/>
      </c>
      <c r="F1167" t="str">
        <f>+IFERROR(VLOOKUP(Fact_Control_Operaciones[[#This Row], 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ht="18.75" customHeight="1" x14ac:dyDescent="0.35">
      <c r="C1168" s="100" t="str">
        <f>IF(OR(Fact_Control_Operaciones[[#This Row], [Año]]="",Fact_Control_Operaciones[[#This Row], 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 [Concepto Anterior]],Conceptos_Control_Operaciones[#All],5,0),"")</f>
        <v/>
      </c>
      <c r="F1168" t="str">
        <f>+IFERROR(VLOOKUP(Fact_Control_Operaciones[[#This Row], 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ht="18.75" customHeight="1" x14ac:dyDescent="0.35">
      <c r="C1169" s="100" t="str">
        <f>IF(OR(Fact_Control_Operaciones[[#This Row], [Año]]="",Fact_Control_Operaciones[[#This Row], 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 [Concepto Anterior]],Conceptos_Control_Operaciones[#All],5,0),"")</f>
        <v/>
      </c>
      <c r="F1169" t="str">
        <f>+IFERROR(VLOOKUP(Fact_Control_Operaciones[[#This Row], 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ht="18.75" customHeight="1" x14ac:dyDescent="0.35">
      <c r="C1170" s="100" t="str">
        <f>IF(OR(Fact_Control_Operaciones[[#This Row], [Año]]="",Fact_Control_Operaciones[[#This Row], 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 [Concepto Anterior]],Conceptos_Control_Operaciones[#All],5,0),"")</f>
        <v/>
      </c>
      <c r="F1170" t="str">
        <f>+IFERROR(VLOOKUP(Fact_Control_Operaciones[[#This Row], 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ht="18.75" customHeight="1" x14ac:dyDescent="0.35">
      <c r="C1171" s="100" t="str">
        <f>IF(OR(Fact_Control_Operaciones[[#This Row], [Año]]="",Fact_Control_Operaciones[[#This Row], 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 [Concepto Anterior]],Conceptos_Control_Operaciones[#All],5,0),"")</f>
        <v/>
      </c>
      <c r="F1171" t="str">
        <f>+IFERROR(VLOOKUP(Fact_Control_Operaciones[[#This Row], 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ht="18.75" customHeight="1" x14ac:dyDescent="0.35">
      <c r="C1172" s="100" t="str">
        <f>IF(OR(Fact_Control_Operaciones[[#This Row], [Año]]="",Fact_Control_Operaciones[[#This Row], 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 [Concepto Anterior]],Conceptos_Control_Operaciones[#All],5,0),"")</f>
        <v/>
      </c>
      <c r="F1172" t="str">
        <f>+IFERROR(VLOOKUP(Fact_Control_Operaciones[[#This Row], 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ht="18.75" customHeight="1" x14ac:dyDescent="0.35">
      <c r="C1173" s="100" t="str">
        <f>IF(OR(Fact_Control_Operaciones[[#This Row], [Año]]="",Fact_Control_Operaciones[[#This Row], 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 [Concepto Anterior]],Conceptos_Control_Operaciones[#All],5,0),"")</f>
        <v/>
      </c>
      <c r="F1173" t="str">
        <f>+IFERROR(VLOOKUP(Fact_Control_Operaciones[[#This Row], 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ht="18.75" customHeight="1" x14ac:dyDescent="0.35">
      <c r="C1174" s="100" t="str">
        <f>IF(OR(Fact_Control_Operaciones[[#This Row], [Año]]="",Fact_Control_Operaciones[[#This Row], 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 [Concepto Anterior]],Conceptos_Control_Operaciones[#All],5,0),"")</f>
        <v/>
      </c>
      <c r="F1174" t="str">
        <f>+IFERROR(VLOOKUP(Fact_Control_Operaciones[[#This Row], 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ht="18.75" customHeight="1" x14ac:dyDescent="0.35">
      <c r="C1175" s="100" t="str">
        <f>IF(OR(Fact_Control_Operaciones[[#This Row], [Año]]="",Fact_Control_Operaciones[[#This Row], 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 [Concepto Anterior]],Conceptos_Control_Operaciones[#All],5,0),"")</f>
        <v/>
      </c>
      <c r="F1175" t="str">
        <f>+IFERROR(VLOOKUP(Fact_Control_Operaciones[[#This Row], 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ht="18.75" customHeight="1" x14ac:dyDescent="0.35">
      <c r="C1176" s="100" t="str">
        <f>IF(OR(Fact_Control_Operaciones[[#This Row], [Año]]="",Fact_Control_Operaciones[[#This Row], 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 [Concepto Anterior]],Conceptos_Control_Operaciones[#All],5,0),"")</f>
        <v/>
      </c>
      <c r="F1176" t="str">
        <f>+IFERROR(VLOOKUP(Fact_Control_Operaciones[[#This Row], 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ht="18.75" customHeight="1" x14ac:dyDescent="0.35">
      <c r="C1177" s="100" t="str">
        <f>IF(OR(Fact_Control_Operaciones[[#This Row], [Año]]="",Fact_Control_Operaciones[[#This Row], 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 [Concepto Anterior]],Conceptos_Control_Operaciones[#All],5,0),"")</f>
        <v/>
      </c>
      <c r="F1177" t="str">
        <f>+IFERROR(VLOOKUP(Fact_Control_Operaciones[[#This Row], 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ht="18.75" customHeight="1" x14ac:dyDescent="0.35">
      <c r="C1178" s="100" t="str">
        <f>IF(OR(Fact_Control_Operaciones[[#This Row], [Año]]="",Fact_Control_Operaciones[[#This Row], 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 [Concepto Anterior]],Conceptos_Control_Operaciones[#All],5,0),"")</f>
        <v/>
      </c>
      <c r="F1178" t="str">
        <f>+IFERROR(VLOOKUP(Fact_Control_Operaciones[[#This Row], 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ht="18.75" customHeight="1" x14ac:dyDescent="0.35">
      <c r="C1179" s="100" t="str">
        <f>IF(OR(Fact_Control_Operaciones[[#This Row], [Año]]="",Fact_Control_Operaciones[[#This Row], 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 [Concepto Anterior]],Conceptos_Control_Operaciones[#All],5,0),"")</f>
        <v/>
      </c>
      <c r="F1179" t="str">
        <f>+IFERROR(VLOOKUP(Fact_Control_Operaciones[[#This Row], 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ht="18.75" customHeight="1" x14ac:dyDescent="0.35">
      <c r="C1180" s="100" t="str">
        <f>IF(OR(Fact_Control_Operaciones[[#This Row], [Año]]="",Fact_Control_Operaciones[[#This Row], 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 [Concepto Anterior]],Conceptos_Control_Operaciones[#All],5,0),"")</f>
        <v/>
      </c>
      <c r="F1180" t="str">
        <f>+IFERROR(VLOOKUP(Fact_Control_Operaciones[[#This Row], 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ht="18.75" customHeight="1" x14ac:dyDescent="0.35">
      <c r="C1181" s="100" t="str">
        <f>IF(OR(Fact_Control_Operaciones[[#This Row], [Año]]="",Fact_Control_Operaciones[[#This Row], 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 [Concepto Anterior]],Conceptos_Control_Operaciones[#All],5,0),"")</f>
        <v/>
      </c>
      <c r="F1181" t="str">
        <f>+IFERROR(VLOOKUP(Fact_Control_Operaciones[[#This Row], 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ht="18.75" customHeight="1" x14ac:dyDescent="0.35">
      <c r="C1182" s="100" t="str">
        <f>IF(OR(Fact_Control_Operaciones[[#This Row], [Año]]="",Fact_Control_Operaciones[[#This Row], 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 [Concepto Anterior]],Conceptos_Control_Operaciones[#All],5,0),"")</f>
        <v/>
      </c>
      <c r="F1182" t="str">
        <f>+IFERROR(VLOOKUP(Fact_Control_Operaciones[[#This Row], 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ht="18.75" customHeight="1" x14ac:dyDescent="0.35">
      <c r="C1183" s="100" t="str">
        <f>IF(OR(Fact_Control_Operaciones[[#This Row], [Año]]="",Fact_Control_Operaciones[[#This Row], 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 [Concepto Anterior]],Conceptos_Control_Operaciones[#All],5,0),"")</f>
        <v/>
      </c>
      <c r="F1183" t="str">
        <f>+IFERROR(VLOOKUP(Fact_Control_Operaciones[[#This Row], 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ht="18.75" customHeight="1" x14ac:dyDescent="0.35">
      <c r="C1184" s="100" t="str">
        <f>IF(OR(Fact_Control_Operaciones[[#This Row], [Año]]="",Fact_Control_Operaciones[[#This Row], 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 [Concepto Anterior]],Conceptos_Control_Operaciones[#All],5,0),"")</f>
        <v/>
      </c>
      <c r="F1184" t="str">
        <f>+IFERROR(VLOOKUP(Fact_Control_Operaciones[[#This Row], 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ht="18.75" customHeight="1" x14ac:dyDescent="0.35">
      <c r="C1185" s="100" t="str">
        <f>IF(OR(Fact_Control_Operaciones[[#This Row], [Año]]="",Fact_Control_Operaciones[[#This Row], 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 [Concepto Anterior]],Conceptos_Control_Operaciones[#All],5,0),"")</f>
        <v/>
      </c>
      <c r="F1185" t="str">
        <f>+IFERROR(VLOOKUP(Fact_Control_Operaciones[[#This Row], 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ht="18.75" customHeight="1" x14ac:dyDescent="0.35">
      <c r="C1186" s="100" t="str">
        <f>IF(OR(Fact_Control_Operaciones[[#This Row], [Año]]="",Fact_Control_Operaciones[[#This Row], 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 [Concepto Anterior]],Conceptos_Control_Operaciones[#All],5,0),"")</f>
        <v/>
      </c>
      <c r="F1186" t="str">
        <f>+IFERROR(VLOOKUP(Fact_Control_Operaciones[[#This Row], 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ht="18.75" customHeight="1" x14ac:dyDescent="0.35">
      <c r="C1187" s="100" t="str">
        <f>IF(OR(Fact_Control_Operaciones[[#This Row], [Año]]="",Fact_Control_Operaciones[[#This Row], 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 [Concepto Anterior]],Conceptos_Control_Operaciones[#All],5,0),"")</f>
        <v/>
      </c>
      <c r="F1187" t="str">
        <f>+IFERROR(VLOOKUP(Fact_Control_Operaciones[[#This Row], 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ht="18.75" customHeight="1" x14ac:dyDescent="0.35">
      <c r="C1188" s="100" t="str">
        <f>IF(OR(Fact_Control_Operaciones[[#This Row], [Año]]="",Fact_Control_Operaciones[[#This Row], 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 [Concepto Anterior]],Conceptos_Control_Operaciones[#All],5,0),"")</f>
        <v/>
      </c>
      <c r="F1188" t="str">
        <f>+IFERROR(VLOOKUP(Fact_Control_Operaciones[[#This Row], 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ht="18.75" customHeight="1" x14ac:dyDescent="0.35">
      <c r="C1189" s="100" t="str">
        <f>IF(OR(Fact_Control_Operaciones[[#This Row], [Año]]="",Fact_Control_Operaciones[[#This Row], 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 [Concepto Anterior]],Conceptos_Control_Operaciones[#All],5,0),"")</f>
        <v/>
      </c>
      <c r="F1189" t="str">
        <f>+IFERROR(VLOOKUP(Fact_Control_Operaciones[[#This Row], 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ht="18.75" customHeight="1" x14ac:dyDescent="0.35">
      <c r="C1190" s="100" t="str">
        <f>IF(OR(Fact_Control_Operaciones[[#This Row], [Año]]="",Fact_Control_Operaciones[[#This Row], 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 [Concepto Anterior]],Conceptos_Control_Operaciones[#All],5,0),"")</f>
        <v/>
      </c>
      <c r="F1190" t="str">
        <f>+IFERROR(VLOOKUP(Fact_Control_Operaciones[[#This Row], 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ht="18.75" customHeight="1" x14ac:dyDescent="0.35">
      <c r="C1191" s="100" t="str">
        <f>IF(OR(Fact_Control_Operaciones[[#This Row], [Año]]="",Fact_Control_Operaciones[[#This Row], 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 [Concepto Anterior]],Conceptos_Control_Operaciones[#All],5,0),"")</f>
        <v/>
      </c>
      <c r="F1191" t="str">
        <f>+IFERROR(VLOOKUP(Fact_Control_Operaciones[[#This Row], 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ht="18.75" customHeight="1" x14ac:dyDescent="0.35">
      <c r="C1192" s="100" t="str">
        <f>IF(OR(Fact_Control_Operaciones[[#This Row], [Año]]="",Fact_Control_Operaciones[[#This Row], 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 [Concepto Anterior]],Conceptos_Control_Operaciones[#All],5,0),"")</f>
        <v/>
      </c>
      <c r="F1192" t="str">
        <f>+IFERROR(VLOOKUP(Fact_Control_Operaciones[[#This Row], 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ht="18.75" customHeight="1" x14ac:dyDescent="0.35">
      <c r="C1193" s="100" t="str">
        <f>IF(OR(Fact_Control_Operaciones[[#This Row], [Año]]="",Fact_Control_Operaciones[[#This Row], 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 [Concepto Anterior]],Conceptos_Control_Operaciones[#All],5,0),"")</f>
        <v/>
      </c>
      <c r="F1193" t="str">
        <f>+IFERROR(VLOOKUP(Fact_Control_Operaciones[[#This Row], 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ht="18.75" customHeight="1" x14ac:dyDescent="0.35">
      <c r="C1194" s="100" t="str">
        <f>IF(OR(Fact_Control_Operaciones[[#This Row], [Año]]="",Fact_Control_Operaciones[[#This Row], 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 [Concepto Anterior]],Conceptos_Control_Operaciones[#All],5,0),"")</f>
        <v/>
      </c>
      <c r="F1194" t="str">
        <f>+IFERROR(VLOOKUP(Fact_Control_Operaciones[[#This Row], 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ht="18.75" customHeight="1" x14ac:dyDescent="0.35">
      <c r="C1195" s="100" t="str">
        <f>IF(OR(Fact_Control_Operaciones[[#This Row], [Año]]="",Fact_Control_Operaciones[[#This Row], 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 [Concepto Anterior]],Conceptos_Control_Operaciones[#All],5,0),"")</f>
        <v/>
      </c>
      <c r="F1195" t="str">
        <f>+IFERROR(VLOOKUP(Fact_Control_Operaciones[[#This Row], 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ht="18.75" customHeight="1" x14ac:dyDescent="0.35">
      <c r="C1196" s="100" t="str">
        <f>IF(OR(Fact_Control_Operaciones[[#This Row], [Año]]="",Fact_Control_Operaciones[[#This Row], 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 [Concepto Anterior]],Conceptos_Control_Operaciones[#All],5,0),"")</f>
        <v/>
      </c>
      <c r="F1196" t="str">
        <f>+IFERROR(VLOOKUP(Fact_Control_Operaciones[[#This Row], 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ht="18.75" customHeight="1" x14ac:dyDescent="0.35">
      <c r="C1197" s="100" t="str">
        <f>IF(OR(Fact_Control_Operaciones[[#This Row], [Año]]="",Fact_Control_Operaciones[[#This Row], 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 [Concepto Anterior]],Conceptos_Control_Operaciones[#All],5,0),"")</f>
        <v/>
      </c>
      <c r="F1197" t="str">
        <f>+IFERROR(VLOOKUP(Fact_Control_Operaciones[[#This Row], 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ht="18.75" customHeight="1" x14ac:dyDescent="0.35">
      <c r="C1198" s="100" t="str">
        <f>IF(OR(Fact_Control_Operaciones[[#This Row], [Año]]="",Fact_Control_Operaciones[[#This Row], 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 [Concepto Anterior]],Conceptos_Control_Operaciones[#All],5,0),"")</f>
        <v/>
      </c>
      <c r="F1198" t="str">
        <f>+IFERROR(VLOOKUP(Fact_Control_Operaciones[[#This Row], 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ht="18.75" customHeight="1" x14ac:dyDescent="0.35">
      <c r="C1199" s="100" t="str">
        <f>IF(OR(Fact_Control_Operaciones[[#This Row], [Año]]="",Fact_Control_Operaciones[[#This Row], 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 [Concepto Anterior]],Conceptos_Control_Operaciones[#All],5,0),"")</f>
        <v/>
      </c>
      <c r="F1199" t="str">
        <f>+IFERROR(VLOOKUP(Fact_Control_Operaciones[[#This Row], 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ht="18.75" customHeight="1" x14ac:dyDescent="0.35">
      <c r="C1200" s="100" t="str">
        <f>IF(OR(Fact_Control_Operaciones[[#This Row], [Año]]="",Fact_Control_Operaciones[[#This Row], 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 [Concepto Anterior]],Conceptos_Control_Operaciones[#All],5,0),"")</f>
        <v/>
      </c>
      <c r="F1200" t="str">
        <f>+IFERROR(VLOOKUP(Fact_Control_Operaciones[[#This Row], 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ht="18.75" customHeight="1" x14ac:dyDescent="0.35">
      <c r="C1201" s="100" t="str">
        <f>IF(OR(Fact_Control_Operaciones[[#This Row], [Año]]="",Fact_Control_Operaciones[[#This Row], 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 [Concepto Anterior]],Conceptos_Control_Operaciones[#All],5,0),"")</f>
        <v/>
      </c>
      <c r="F1201" t="str">
        <f>+IFERROR(VLOOKUP(Fact_Control_Operaciones[[#This Row], 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ht="18.75" customHeight="1" x14ac:dyDescent="0.35">
      <c r="C1202" s="100" t="str">
        <f>IF(OR(Fact_Control_Operaciones[[#This Row], [Año]]="",Fact_Control_Operaciones[[#This Row], 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 [Concepto Anterior]],Conceptos_Control_Operaciones[#All],5,0),"")</f>
        <v/>
      </c>
      <c r="F1202" t="str">
        <f>+IFERROR(VLOOKUP(Fact_Control_Operaciones[[#This Row], 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ht="18.75" customHeight="1" x14ac:dyDescent="0.35">
      <c r="C1203" s="100" t="str">
        <f>IF(OR(Fact_Control_Operaciones[[#This Row], [Año]]="",Fact_Control_Operaciones[[#This Row], 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 [Concepto Anterior]],Conceptos_Control_Operaciones[#All],5,0),"")</f>
        <v/>
      </c>
      <c r="F1203" t="str">
        <f>+IFERROR(VLOOKUP(Fact_Control_Operaciones[[#This Row], 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ht="18.75" customHeight="1" x14ac:dyDescent="0.35">
      <c r="C1204" s="100" t="str">
        <f>IF(OR(Fact_Control_Operaciones[[#This Row], [Año]]="",Fact_Control_Operaciones[[#This Row], 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 [Concepto Anterior]],Conceptos_Control_Operaciones[#All],5,0),"")</f>
        <v/>
      </c>
      <c r="F1204" t="str">
        <f>+IFERROR(VLOOKUP(Fact_Control_Operaciones[[#This Row], 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ht="18.75" customHeight="1" x14ac:dyDescent="0.35">
      <c r="C1205" s="100" t="str">
        <f>IF(OR(Fact_Control_Operaciones[[#This Row], [Año]]="",Fact_Control_Operaciones[[#This Row], 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 [Concepto Anterior]],Conceptos_Control_Operaciones[#All],5,0),"")</f>
        <v/>
      </c>
      <c r="F1205" t="str">
        <f>+IFERROR(VLOOKUP(Fact_Control_Operaciones[[#This Row], 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ht="18.75" customHeight="1" x14ac:dyDescent="0.35">
      <c r="C1206" s="100" t="str">
        <f>IF(OR(Fact_Control_Operaciones[[#This Row], [Año]]="",Fact_Control_Operaciones[[#This Row], 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 [Concepto Anterior]],Conceptos_Control_Operaciones[#All],5,0),"")</f>
        <v/>
      </c>
      <c r="F1206" t="str">
        <f>+IFERROR(VLOOKUP(Fact_Control_Operaciones[[#This Row], 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ht="18.75" customHeight="1" x14ac:dyDescent="0.35">
      <c r="C1207" s="100" t="str">
        <f>IF(OR(Fact_Control_Operaciones[[#This Row], [Año]]="",Fact_Control_Operaciones[[#This Row], 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 [Concepto Anterior]],Conceptos_Control_Operaciones[#All],5,0),"")</f>
        <v/>
      </c>
      <c r="F1207" t="str">
        <f>+IFERROR(VLOOKUP(Fact_Control_Operaciones[[#This Row], 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ht="18.75" customHeight="1" x14ac:dyDescent="0.35">
      <c r="C1208" s="100" t="str">
        <f>IF(OR(Fact_Control_Operaciones[[#This Row], [Año]]="",Fact_Control_Operaciones[[#This Row], 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 [Concepto Anterior]],Conceptos_Control_Operaciones[#All],5,0),"")</f>
        <v/>
      </c>
      <c r="F1208" t="str">
        <f>+IFERROR(VLOOKUP(Fact_Control_Operaciones[[#This Row], 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ht="18.75" customHeight="1" x14ac:dyDescent="0.35">
      <c r="C1209" s="100" t="str">
        <f>IF(OR(Fact_Control_Operaciones[[#This Row], [Año]]="",Fact_Control_Operaciones[[#This Row], 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 [Concepto Anterior]],Conceptos_Control_Operaciones[#All],5,0),"")</f>
        <v/>
      </c>
      <c r="F1209" t="str">
        <f>+IFERROR(VLOOKUP(Fact_Control_Operaciones[[#This Row], 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ht="18.75" customHeight="1" x14ac:dyDescent="0.35">
      <c r="C1210" s="100" t="str">
        <f>IF(OR(Fact_Control_Operaciones[[#This Row], [Año]]="",Fact_Control_Operaciones[[#This Row], 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 [Concepto Anterior]],Conceptos_Control_Operaciones[#All],5,0),"")</f>
        <v/>
      </c>
      <c r="F1210" t="str">
        <f>+IFERROR(VLOOKUP(Fact_Control_Operaciones[[#This Row], 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ht="18.75" customHeight="1" x14ac:dyDescent="0.35">
      <c r="C1211" s="100" t="str">
        <f>IF(OR(Fact_Control_Operaciones[[#This Row], [Año]]="",Fact_Control_Operaciones[[#This Row], 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 [Concepto Anterior]],Conceptos_Control_Operaciones[#All],5,0),"")</f>
        <v/>
      </c>
      <c r="F1211" t="str">
        <f>+IFERROR(VLOOKUP(Fact_Control_Operaciones[[#This Row], 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ht="18.75" customHeight="1" x14ac:dyDescent="0.35">
      <c r="C1212" s="100" t="str">
        <f>IF(OR(Fact_Control_Operaciones[[#This Row], [Año]]="",Fact_Control_Operaciones[[#This Row], 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 [Concepto Anterior]],Conceptos_Control_Operaciones[#All],5,0),"")</f>
        <v/>
      </c>
      <c r="F1212" t="str">
        <f>+IFERROR(VLOOKUP(Fact_Control_Operaciones[[#This Row], 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ht="18.75" customHeight="1" x14ac:dyDescent="0.35">
      <c r="C1213" s="100" t="str">
        <f>IF(OR(Fact_Control_Operaciones[[#This Row], [Año]]="",Fact_Control_Operaciones[[#This Row], 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 [Concepto Anterior]],Conceptos_Control_Operaciones[#All],5,0),"")</f>
        <v/>
      </c>
      <c r="F1213" t="str">
        <f>+IFERROR(VLOOKUP(Fact_Control_Operaciones[[#This Row], 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ht="18.75" customHeight="1" x14ac:dyDescent="0.35">
      <c r="C1214" s="100" t="str">
        <f>IF(OR(Fact_Control_Operaciones[[#This Row], [Año]]="",Fact_Control_Operaciones[[#This Row], 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 [Concepto Anterior]],Conceptos_Control_Operaciones[#All],5,0),"")</f>
        <v/>
      </c>
      <c r="F1214" t="str">
        <f>+IFERROR(VLOOKUP(Fact_Control_Operaciones[[#This Row], 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ht="18.75" customHeight="1" x14ac:dyDescent="0.35">
      <c r="C1215" s="100" t="str">
        <f>IF(OR(Fact_Control_Operaciones[[#This Row], [Año]]="",Fact_Control_Operaciones[[#This Row], 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 [Concepto Anterior]],Conceptos_Control_Operaciones[#All],5,0),"")</f>
        <v/>
      </c>
      <c r="F1215" t="str">
        <f>+IFERROR(VLOOKUP(Fact_Control_Operaciones[[#This Row], 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ht="18.75" customHeight="1" x14ac:dyDescent="0.35">
      <c r="C1216" s="100" t="str">
        <f>IF(OR(Fact_Control_Operaciones[[#This Row], [Año]]="",Fact_Control_Operaciones[[#This Row], 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 [Concepto Anterior]],Conceptos_Control_Operaciones[#All],5,0),"")</f>
        <v/>
      </c>
      <c r="F1216" t="str">
        <f>+IFERROR(VLOOKUP(Fact_Control_Operaciones[[#This Row], 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ht="18.75" customHeight="1" x14ac:dyDescent="0.35">
      <c r="C1217" s="100" t="str">
        <f>IF(OR(Fact_Control_Operaciones[[#This Row], [Año]]="",Fact_Control_Operaciones[[#This Row], 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 [Concepto Anterior]],Conceptos_Control_Operaciones[#All],5,0),"")</f>
        <v/>
      </c>
      <c r="F1217" t="str">
        <f>+IFERROR(VLOOKUP(Fact_Control_Operaciones[[#This Row], 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ht="18.75" customHeight="1" x14ac:dyDescent="0.35">
      <c r="C1218" s="100" t="str">
        <f>IF(OR(Fact_Control_Operaciones[[#This Row], [Año]]="",Fact_Control_Operaciones[[#This Row], 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 [Concepto Anterior]],Conceptos_Control_Operaciones[#All],5,0),"")</f>
        <v/>
      </c>
      <c r="F1218" t="str">
        <f>+IFERROR(VLOOKUP(Fact_Control_Operaciones[[#This Row], 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ht="18.75" customHeight="1" x14ac:dyDescent="0.35">
      <c r="C1219" s="100" t="str">
        <f>IF(OR(Fact_Control_Operaciones[[#This Row], [Año]]="",Fact_Control_Operaciones[[#This Row], 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 [Concepto Anterior]],Conceptos_Control_Operaciones[#All],5,0),"")</f>
        <v/>
      </c>
      <c r="F1219" t="str">
        <f>+IFERROR(VLOOKUP(Fact_Control_Operaciones[[#This Row], 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ht="18.75" customHeight="1" x14ac:dyDescent="0.35">
      <c r="C1220" s="100" t="str">
        <f>IF(OR(Fact_Control_Operaciones[[#This Row], [Año]]="",Fact_Control_Operaciones[[#This Row], 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 [Concepto Anterior]],Conceptos_Control_Operaciones[#All],5,0),"")</f>
        <v/>
      </c>
      <c r="F1220" t="str">
        <f>+IFERROR(VLOOKUP(Fact_Control_Operaciones[[#This Row], 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ht="18.75" customHeight="1" x14ac:dyDescent="0.35">
      <c r="C1221" s="100" t="str">
        <f>IF(OR(Fact_Control_Operaciones[[#This Row], [Año]]="",Fact_Control_Operaciones[[#This Row], 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 [Concepto Anterior]],Conceptos_Control_Operaciones[#All],5,0),"")</f>
        <v/>
      </c>
      <c r="F1221" t="str">
        <f>+IFERROR(VLOOKUP(Fact_Control_Operaciones[[#This Row], 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ht="18.75" customHeight="1" x14ac:dyDescent="0.35">
      <c r="C1222" s="100" t="str">
        <f>IF(OR(Fact_Control_Operaciones[[#This Row], [Año]]="",Fact_Control_Operaciones[[#This Row], 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 [Concepto Anterior]],Conceptos_Control_Operaciones[#All],5,0),"")</f>
        <v/>
      </c>
      <c r="F1222" t="str">
        <f>+IFERROR(VLOOKUP(Fact_Control_Operaciones[[#This Row], 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ht="18.75" customHeight="1" x14ac:dyDescent="0.35">
      <c r="C1223" s="100" t="str">
        <f>IF(OR(Fact_Control_Operaciones[[#This Row], [Año]]="",Fact_Control_Operaciones[[#This Row], 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 [Concepto Anterior]],Conceptos_Control_Operaciones[#All],5,0),"")</f>
        <v/>
      </c>
      <c r="F1223" t="str">
        <f>+IFERROR(VLOOKUP(Fact_Control_Operaciones[[#This Row], 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ht="18.75" customHeight="1" x14ac:dyDescent="0.35">
      <c r="C1224" s="100" t="str">
        <f>IF(OR(Fact_Control_Operaciones[[#This Row], [Año]]="",Fact_Control_Operaciones[[#This Row], 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 [Concepto Anterior]],Conceptos_Control_Operaciones[#All],5,0),"")</f>
        <v/>
      </c>
      <c r="F1224" t="str">
        <f>+IFERROR(VLOOKUP(Fact_Control_Operaciones[[#This Row], 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ht="18.75" customHeight="1" x14ac:dyDescent="0.35">
      <c r="C1225" s="100" t="str">
        <f>IF(OR(Fact_Control_Operaciones[[#This Row], [Año]]="",Fact_Control_Operaciones[[#This Row], 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 [Concepto Anterior]],Conceptos_Control_Operaciones[#All],5,0),"")</f>
        <v/>
      </c>
      <c r="F1225" t="str">
        <f>+IFERROR(VLOOKUP(Fact_Control_Operaciones[[#This Row], 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ht="18.75" customHeight="1" x14ac:dyDescent="0.35">
      <c r="C1226" s="100" t="str">
        <f>IF(OR(Fact_Control_Operaciones[[#This Row], [Año]]="",Fact_Control_Operaciones[[#This Row], 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 [Concepto Anterior]],Conceptos_Control_Operaciones[#All],5,0),"")</f>
        <v/>
      </c>
      <c r="F1226" t="str">
        <f>+IFERROR(VLOOKUP(Fact_Control_Operaciones[[#This Row], 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ht="18.75" customHeight="1" x14ac:dyDescent="0.35">
      <c r="C1227" s="100" t="str">
        <f>IF(OR(Fact_Control_Operaciones[[#This Row], [Año]]="",Fact_Control_Operaciones[[#This Row], 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 [Concepto Anterior]],Conceptos_Control_Operaciones[#All],5,0),"")</f>
        <v/>
      </c>
      <c r="F1227" t="str">
        <f>+IFERROR(VLOOKUP(Fact_Control_Operaciones[[#This Row], 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ht="18.75" customHeight="1" x14ac:dyDescent="0.35">
      <c r="C1228" s="100" t="str">
        <f>IF(OR(Fact_Control_Operaciones[[#This Row], [Año]]="",Fact_Control_Operaciones[[#This Row], 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 [Concepto Anterior]],Conceptos_Control_Operaciones[#All],5,0),"")</f>
        <v/>
      </c>
      <c r="F1228" t="str">
        <f>+IFERROR(VLOOKUP(Fact_Control_Operaciones[[#This Row], 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ht="18.75" customHeight="1" x14ac:dyDescent="0.35">
      <c r="C1229" s="100" t="str">
        <f>IF(OR(Fact_Control_Operaciones[[#This Row], [Año]]="",Fact_Control_Operaciones[[#This Row], 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 [Concepto Anterior]],Conceptos_Control_Operaciones[#All],5,0),"")</f>
        <v/>
      </c>
      <c r="F1229" t="str">
        <f>+IFERROR(VLOOKUP(Fact_Control_Operaciones[[#This Row], 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ht="18.75" customHeight="1" x14ac:dyDescent="0.35">
      <c r="C1230" s="100" t="str">
        <f>IF(OR(Fact_Control_Operaciones[[#This Row], [Año]]="",Fact_Control_Operaciones[[#This Row], 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 [Concepto Anterior]],Conceptos_Control_Operaciones[#All],5,0),"")</f>
        <v/>
      </c>
      <c r="F1230" t="str">
        <f>+IFERROR(VLOOKUP(Fact_Control_Operaciones[[#This Row], 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ht="18.75" customHeight="1" x14ac:dyDescent="0.35">
      <c r="C1231" s="100" t="str">
        <f>IF(OR(Fact_Control_Operaciones[[#This Row], [Año]]="",Fact_Control_Operaciones[[#This Row], 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 [Concepto Anterior]],Conceptos_Control_Operaciones[#All],5,0),"")</f>
        <v/>
      </c>
      <c r="F1231" t="str">
        <f>+IFERROR(VLOOKUP(Fact_Control_Operaciones[[#This Row], 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ht="18.75" customHeight="1" x14ac:dyDescent="0.35">
      <c r="C1232" s="100" t="str">
        <f>IF(OR(Fact_Control_Operaciones[[#This Row], [Año]]="",Fact_Control_Operaciones[[#This Row], 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 [Concepto Anterior]],Conceptos_Control_Operaciones[#All],5,0),"")</f>
        <v/>
      </c>
      <c r="F1232" t="str">
        <f>+IFERROR(VLOOKUP(Fact_Control_Operaciones[[#This Row], 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ht="18.75" customHeight="1" x14ac:dyDescent="0.35">
      <c r="C1233" s="100" t="str">
        <f>IF(OR(Fact_Control_Operaciones[[#This Row], [Año]]="",Fact_Control_Operaciones[[#This Row], 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 [Concepto Anterior]],Conceptos_Control_Operaciones[#All],5,0),"")</f>
        <v/>
      </c>
      <c r="F1233" t="str">
        <f>+IFERROR(VLOOKUP(Fact_Control_Operaciones[[#This Row], 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ht="18.75" customHeight="1" x14ac:dyDescent="0.35">
      <c r="C1234" s="100" t="str">
        <f>IF(OR(Fact_Control_Operaciones[[#This Row], [Año]]="",Fact_Control_Operaciones[[#This Row], 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 [Concepto Anterior]],Conceptos_Control_Operaciones[#All],5,0),"")</f>
        <v/>
      </c>
      <c r="F1234" t="str">
        <f>+IFERROR(VLOOKUP(Fact_Control_Operaciones[[#This Row], 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ht="18.75" customHeight="1" x14ac:dyDescent="0.35">
      <c r="C1235" s="100" t="str">
        <f>IF(OR(Fact_Control_Operaciones[[#This Row], [Año]]="",Fact_Control_Operaciones[[#This Row], 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 [Concepto Anterior]],Conceptos_Control_Operaciones[#All],5,0),"")</f>
        <v/>
      </c>
      <c r="F1235" t="str">
        <f>+IFERROR(VLOOKUP(Fact_Control_Operaciones[[#This Row], 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ht="18.75" customHeight="1" x14ac:dyDescent="0.35">
      <c r="C1236" s="100" t="str">
        <f>IF(OR(Fact_Control_Operaciones[[#This Row], [Año]]="",Fact_Control_Operaciones[[#This Row], 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 [Concepto Anterior]],Conceptos_Control_Operaciones[#All],5,0),"")</f>
        <v/>
      </c>
      <c r="F1236" t="str">
        <f>+IFERROR(VLOOKUP(Fact_Control_Operaciones[[#This Row], 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ht="18.75" customHeight="1" x14ac:dyDescent="0.35">
      <c r="C1237" s="100" t="str">
        <f>IF(OR(Fact_Control_Operaciones[[#This Row], [Año]]="",Fact_Control_Operaciones[[#This Row], 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 [Concepto Anterior]],Conceptos_Control_Operaciones[#All],5,0),"")</f>
        <v/>
      </c>
      <c r="F1237" t="str">
        <f>+IFERROR(VLOOKUP(Fact_Control_Operaciones[[#This Row], 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ht="18.75" customHeight="1" x14ac:dyDescent="0.35">
      <c r="C1238" s="100" t="str">
        <f>IF(OR(Fact_Control_Operaciones[[#This Row], [Año]]="",Fact_Control_Operaciones[[#This Row], 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 [Concepto Anterior]],Conceptos_Control_Operaciones[#All],5,0),"")</f>
        <v/>
      </c>
      <c r="F1238" t="str">
        <f>+IFERROR(VLOOKUP(Fact_Control_Operaciones[[#This Row], 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ht="18.75" customHeight="1" x14ac:dyDescent="0.35">
      <c r="C1239" s="100" t="str">
        <f>IF(OR(Fact_Control_Operaciones[[#This Row], [Año]]="",Fact_Control_Operaciones[[#This Row], 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 [Concepto Anterior]],Conceptos_Control_Operaciones[#All],5,0),"")</f>
        <v/>
      </c>
      <c r="F1239" t="str">
        <f>+IFERROR(VLOOKUP(Fact_Control_Operaciones[[#This Row], 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ht="18.75" customHeight="1" x14ac:dyDescent="0.35">
      <c r="C1240" s="100" t="str">
        <f>IF(OR(Fact_Control_Operaciones[[#This Row], [Año]]="",Fact_Control_Operaciones[[#This Row], 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 [Concepto Anterior]],Conceptos_Control_Operaciones[#All],5,0),"")</f>
        <v/>
      </c>
      <c r="F1240" t="str">
        <f>+IFERROR(VLOOKUP(Fact_Control_Operaciones[[#This Row], 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ht="18.75" customHeight="1" x14ac:dyDescent="0.35">
      <c r="C1241" s="100" t="str">
        <f>IF(OR(Fact_Control_Operaciones[[#This Row], [Año]]="",Fact_Control_Operaciones[[#This Row], 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 [Concepto Anterior]],Conceptos_Control_Operaciones[#All],5,0),"")</f>
        <v/>
      </c>
      <c r="F1241" t="str">
        <f>+IFERROR(VLOOKUP(Fact_Control_Operaciones[[#This Row], 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ht="18.75" customHeight="1" x14ac:dyDescent="0.35">
      <c r="C1242" s="100" t="str">
        <f>IF(OR(Fact_Control_Operaciones[[#This Row], [Año]]="",Fact_Control_Operaciones[[#This Row], 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 [Concepto Anterior]],Conceptos_Control_Operaciones[#All],5,0),"")</f>
        <v/>
      </c>
      <c r="F1242" t="str">
        <f>+IFERROR(VLOOKUP(Fact_Control_Operaciones[[#This Row], 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ht="18.75" customHeight="1" x14ac:dyDescent="0.35">
      <c r="C1243" s="100" t="str">
        <f>IF(OR(Fact_Control_Operaciones[[#This Row], [Año]]="",Fact_Control_Operaciones[[#This Row], 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 [Concepto Anterior]],Conceptos_Control_Operaciones[#All],5,0),"")</f>
        <v/>
      </c>
      <c r="F1243" t="str">
        <f>+IFERROR(VLOOKUP(Fact_Control_Operaciones[[#This Row], 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ht="18.75" customHeight="1" x14ac:dyDescent="0.35">
      <c r="C1244" s="100" t="str">
        <f>IF(OR(Fact_Control_Operaciones[[#This Row], [Año]]="",Fact_Control_Operaciones[[#This Row], 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 [Concepto Anterior]],Conceptos_Control_Operaciones[#All],5,0),"")</f>
        <v/>
      </c>
      <c r="F1244" t="str">
        <f>+IFERROR(VLOOKUP(Fact_Control_Operaciones[[#This Row], 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ht="18.75" customHeight="1" x14ac:dyDescent="0.35">
      <c r="C1245" s="100" t="str">
        <f>IF(OR(Fact_Control_Operaciones[[#This Row], [Año]]="",Fact_Control_Operaciones[[#This Row], 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 [Concepto Anterior]],Conceptos_Control_Operaciones[#All],5,0),"")</f>
        <v/>
      </c>
      <c r="F1245" t="str">
        <f>+IFERROR(VLOOKUP(Fact_Control_Operaciones[[#This Row], 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ht="18.75" customHeight="1" x14ac:dyDescent="0.35">
      <c r="C1246" s="100" t="str">
        <f>IF(OR(Fact_Control_Operaciones[[#This Row], [Año]]="",Fact_Control_Operaciones[[#This Row], 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 [Concepto Anterior]],Conceptos_Control_Operaciones[#All],5,0),"")</f>
        <v/>
      </c>
      <c r="F1246" t="str">
        <f>+IFERROR(VLOOKUP(Fact_Control_Operaciones[[#This Row], 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ht="18.75" customHeight="1" x14ac:dyDescent="0.35">
      <c r="C1247" s="100" t="str">
        <f>IF(OR(Fact_Control_Operaciones[[#This Row], [Año]]="",Fact_Control_Operaciones[[#This Row], 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 [Concepto Anterior]],Conceptos_Control_Operaciones[#All],5,0),"")</f>
        <v/>
      </c>
      <c r="F1247" t="str">
        <f>+IFERROR(VLOOKUP(Fact_Control_Operaciones[[#This Row], 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ht="18.75" customHeight="1" x14ac:dyDescent="0.35">
      <c r="C1248" s="100" t="str">
        <f>IF(OR(Fact_Control_Operaciones[[#This Row], [Año]]="",Fact_Control_Operaciones[[#This Row], 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 [Concepto Anterior]],Conceptos_Control_Operaciones[#All],5,0),"")</f>
        <v/>
      </c>
      <c r="F1248" t="str">
        <f>+IFERROR(VLOOKUP(Fact_Control_Operaciones[[#This Row], 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ht="18.75" customHeight="1" x14ac:dyDescent="0.35">
      <c r="C1249" s="100" t="str">
        <f>IF(OR(Fact_Control_Operaciones[[#This Row], [Año]]="",Fact_Control_Operaciones[[#This Row], 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 [Concepto Anterior]],Conceptos_Control_Operaciones[#All],5,0),"")</f>
        <v/>
      </c>
      <c r="F1249" t="str">
        <f>+IFERROR(VLOOKUP(Fact_Control_Operaciones[[#This Row], 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ht="18.75" customHeight="1" x14ac:dyDescent="0.35">
      <c r="C1250" s="100" t="str">
        <f>IF(OR(Fact_Control_Operaciones[[#This Row], [Año]]="",Fact_Control_Operaciones[[#This Row], 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 [Concepto Anterior]],Conceptos_Control_Operaciones[#All],5,0),"")</f>
        <v/>
      </c>
      <c r="F1250" t="str">
        <f>+IFERROR(VLOOKUP(Fact_Control_Operaciones[[#This Row], 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ht="18.75" customHeight="1" x14ac:dyDescent="0.35">
      <c r="C1251" s="100" t="str">
        <f>IF(OR(Fact_Control_Operaciones[[#This Row], [Año]]="",Fact_Control_Operaciones[[#This Row], 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 [Concepto Anterior]],Conceptos_Control_Operaciones[#All],5,0),"")</f>
        <v/>
      </c>
      <c r="F1251" t="str">
        <f>+IFERROR(VLOOKUP(Fact_Control_Operaciones[[#This Row], 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ht="18.75" customHeight="1" x14ac:dyDescent="0.35">
      <c r="C1252" s="100" t="str">
        <f>IF(OR(Fact_Control_Operaciones[[#This Row], [Año]]="",Fact_Control_Operaciones[[#This Row], 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 [Concepto Anterior]],Conceptos_Control_Operaciones[#All],5,0),"")</f>
        <v/>
      </c>
      <c r="F1252" t="str">
        <f>+IFERROR(VLOOKUP(Fact_Control_Operaciones[[#This Row], 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ht="18.75" customHeight="1" x14ac:dyDescent="0.35">
      <c r="C1253" s="100" t="str">
        <f>IF(OR(Fact_Control_Operaciones[[#This Row], [Año]]="",Fact_Control_Operaciones[[#This Row], 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 [Concepto Anterior]],Conceptos_Control_Operaciones[#All],5,0),"")</f>
        <v/>
      </c>
      <c r="F1253" t="str">
        <f>+IFERROR(VLOOKUP(Fact_Control_Operaciones[[#This Row], 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ht="18.75" customHeight="1" x14ac:dyDescent="0.35">
      <c r="C1254" s="100" t="str">
        <f>IF(OR(Fact_Control_Operaciones[[#This Row], [Año]]="",Fact_Control_Operaciones[[#This Row], 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 [Concepto Anterior]],Conceptos_Control_Operaciones[#All],5,0),"")</f>
        <v/>
      </c>
      <c r="F1254" t="str">
        <f>+IFERROR(VLOOKUP(Fact_Control_Operaciones[[#This Row], 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ht="18.75" customHeight="1" x14ac:dyDescent="0.35">
      <c r="C1255" s="100" t="str">
        <f>IF(OR(Fact_Control_Operaciones[[#This Row], [Año]]="",Fact_Control_Operaciones[[#This Row], 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 [Concepto Anterior]],Conceptos_Control_Operaciones[#All],5,0),"")</f>
        <v/>
      </c>
      <c r="F1255" t="str">
        <f>+IFERROR(VLOOKUP(Fact_Control_Operaciones[[#This Row], 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ht="18.75" customHeight="1" x14ac:dyDescent="0.35">
      <c r="C1256" s="100" t="str">
        <f>IF(OR(Fact_Control_Operaciones[[#This Row], [Año]]="",Fact_Control_Operaciones[[#This Row], 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 [Concepto Anterior]],Conceptos_Control_Operaciones[#All],5,0),"")</f>
        <v/>
      </c>
      <c r="F1256" t="str">
        <f>+IFERROR(VLOOKUP(Fact_Control_Operaciones[[#This Row], 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ht="18.75" customHeight="1" x14ac:dyDescent="0.35">
      <c r="C1257" s="100" t="str">
        <f>IF(OR(Fact_Control_Operaciones[[#This Row], [Año]]="",Fact_Control_Operaciones[[#This Row], 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 [Concepto Anterior]],Conceptos_Control_Operaciones[#All],5,0),"")</f>
        <v/>
      </c>
      <c r="F1257" t="str">
        <f>+IFERROR(VLOOKUP(Fact_Control_Operaciones[[#This Row], 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ht="18.75" customHeight="1" x14ac:dyDescent="0.35">
      <c r="C1258" s="100" t="str">
        <f>IF(OR(Fact_Control_Operaciones[[#This Row], [Año]]="",Fact_Control_Operaciones[[#This Row], 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 [Concepto Anterior]],Conceptos_Control_Operaciones[#All],5,0),"")</f>
        <v/>
      </c>
      <c r="F1258" t="str">
        <f>+IFERROR(VLOOKUP(Fact_Control_Operaciones[[#This Row], 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ht="18.75" customHeight="1" x14ac:dyDescent="0.35">
      <c r="C1259" s="100" t="str">
        <f>IF(OR(Fact_Control_Operaciones[[#This Row], [Año]]="",Fact_Control_Operaciones[[#This Row], 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 [Concepto Anterior]],Conceptos_Control_Operaciones[#All],5,0),"")</f>
        <v/>
      </c>
      <c r="F1259" t="str">
        <f>+IFERROR(VLOOKUP(Fact_Control_Operaciones[[#This Row], 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ht="18.75" customHeight="1" x14ac:dyDescent="0.35">
      <c r="C1260" s="100" t="str">
        <f>IF(OR(Fact_Control_Operaciones[[#This Row], [Año]]="",Fact_Control_Operaciones[[#This Row], 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 [Concepto Anterior]],Conceptos_Control_Operaciones[#All],5,0),"")</f>
        <v/>
      </c>
      <c r="F1260" t="str">
        <f>+IFERROR(VLOOKUP(Fact_Control_Operaciones[[#This Row], 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ht="18.75" customHeight="1" x14ac:dyDescent="0.35">
      <c r="C1261" s="100" t="str">
        <f>IF(OR(Fact_Control_Operaciones[[#This Row], [Año]]="",Fact_Control_Operaciones[[#This Row], 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 [Concepto Anterior]],Conceptos_Control_Operaciones[#All],5,0),"")</f>
        <v/>
      </c>
      <c r="F1261" t="str">
        <f>+IFERROR(VLOOKUP(Fact_Control_Operaciones[[#This Row], 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ht="18.75" customHeight="1" x14ac:dyDescent="0.35">
      <c r="C1262" s="100" t="str">
        <f>IF(OR(Fact_Control_Operaciones[[#This Row], [Año]]="",Fact_Control_Operaciones[[#This Row], 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 [Concepto Anterior]],Conceptos_Control_Operaciones[#All],5,0),"")</f>
        <v/>
      </c>
      <c r="F1262" t="str">
        <f>+IFERROR(VLOOKUP(Fact_Control_Operaciones[[#This Row], 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ht="18.75" customHeight="1" x14ac:dyDescent="0.35">
      <c r="C1263" s="100" t="str">
        <f>IF(OR(Fact_Control_Operaciones[[#This Row], [Año]]="",Fact_Control_Operaciones[[#This Row], 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 [Concepto Anterior]],Conceptos_Control_Operaciones[#All],5,0),"")</f>
        <v/>
      </c>
      <c r="F1263" t="str">
        <f>+IFERROR(VLOOKUP(Fact_Control_Operaciones[[#This Row], 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ht="18.75" customHeight="1" x14ac:dyDescent="0.35">
      <c r="C1264" s="100" t="str">
        <f>IF(OR(Fact_Control_Operaciones[[#This Row], [Año]]="",Fact_Control_Operaciones[[#This Row], 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 [Concepto Anterior]],Conceptos_Control_Operaciones[#All],5,0),"")</f>
        <v/>
      </c>
      <c r="F1264" t="str">
        <f>+IFERROR(VLOOKUP(Fact_Control_Operaciones[[#This Row], 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ht="18.75" customHeight="1" x14ac:dyDescent="0.35">
      <c r="C1265" s="100" t="str">
        <f>IF(OR(Fact_Control_Operaciones[[#This Row], [Año]]="",Fact_Control_Operaciones[[#This Row], 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 [Concepto Anterior]],Conceptos_Control_Operaciones[#All],5,0),"")</f>
        <v/>
      </c>
      <c r="F1265" t="str">
        <f>+IFERROR(VLOOKUP(Fact_Control_Operaciones[[#This Row], 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ht="18.75" customHeight="1" x14ac:dyDescent="0.35">
      <c r="C1266" s="100" t="str">
        <f>IF(OR(Fact_Control_Operaciones[[#This Row], [Año]]="",Fact_Control_Operaciones[[#This Row], 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 [Concepto Anterior]],Conceptos_Control_Operaciones[#All],5,0),"")</f>
        <v/>
      </c>
      <c r="F1266" t="str">
        <f>+IFERROR(VLOOKUP(Fact_Control_Operaciones[[#This Row], 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ht="18.75" customHeight="1" x14ac:dyDescent="0.35">
      <c r="C1267" s="100" t="str">
        <f>IF(OR(Fact_Control_Operaciones[[#This Row], [Año]]="",Fact_Control_Operaciones[[#This Row], 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 [Concepto Anterior]],Conceptos_Control_Operaciones[#All],5,0),"")</f>
        <v/>
      </c>
      <c r="F1267" t="str">
        <f>+IFERROR(VLOOKUP(Fact_Control_Operaciones[[#This Row], 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ht="18.75" customHeight="1" x14ac:dyDescent="0.35">
      <c r="C1268" s="100" t="str">
        <f>IF(OR(Fact_Control_Operaciones[[#This Row], [Año]]="",Fact_Control_Operaciones[[#This Row], 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 [Concepto Anterior]],Conceptos_Control_Operaciones[#All],5,0),"")</f>
        <v/>
      </c>
      <c r="F1268" t="str">
        <f>+IFERROR(VLOOKUP(Fact_Control_Operaciones[[#This Row], 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ht="18.75" customHeight="1" x14ac:dyDescent="0.35">
      <c r="C1269" s="100" t="str">
        <f>IF(OR(Fact_Control_Operaciones[[#This Row], [Año]]="",Fact_Control_Operaciones[[#This Row], 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 [Concepto Anterior]],Conceptos_Control_Operaciones[#All],5,0),"")</f>
        <v/>
      </c>
      <c r="F1269" t="str">
        <f>+IFERROR(VLOOKUP(Fact_Control_Operaciones[[#This Row], 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ht="18.75" customHeight="1" x14ac:dyDescent="0.35">
      <c r="C1270" s="100" t="str">
        <f>IF(OR(Fact_Control_Operaciones[[#This Row], [Año]]="",Fact_Control_Operaciones[[#This Row], 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 [Concepto Anterior]],Conceptos_Control_Operaciones[#All],5,0),"")</f>
        <v/>
      </c>
      <c r="F1270" t="str">
        <f>+IFERROR(VLOOKUP(Fact_Control_Operaciones[[#This Row], 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ht="18.75" customHeight="1" x14ac:dyDescent="0.35">
      <c r="C1271" s="100" t="str">
        <f>IF(OR(Fact_Control_Operaciones[[#This Row], [Año]]="",Fact_Control_Operaciones[[#This Row], 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 [Concepto Anterior]],Conceptos_Control_Operaciones[#All],5,0),"")</f>
        <v/>
      </c>
      <c r="F1271" t="str">
        <f>+IFERROR(VLOOKUP(Fact_Control_Operaciones[[#This Row], 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ht="18.75" customHeight="1" x14ac:dyDescent="0.35">
      <c r="C1272" s="100" t="str">
        <f>IF(OR(Fact_Control_Operaciones[[#This Row], [Año]]="",Fact_Control_Operaciones[[#This Row], 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 [Concepto Anterior]],Conceptos_Control_Operaciones[#All],5,0),"")</f>
        <v/>
      </c>
      <c r="F1272" t="str">
        <f>+IFERROR(VLOOKUP(Fact_Control_Operaciones[[#This Row], 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ht="18.75" customHeight="1" x14ac:dyDescent="0.35">
      <c r="C1273" s="100" t="str">
        <f>IF(OR(Fact_Control_Operaciones[[#This Row], [Año]]="",Fact_Control_Operaciones[[#This Row], 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 [Concepto Anterior]],Conceptos_Control_Operaciones[#All],5,0),"")</f>
        <v/>
      </c>
      <c r="F1273" t="str">
        <f>+IFERROR(VLOOKUP(Fact_Control_Operaciones[[#This Row], 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ht="18.75" customHeight="1" x14ac:dyDescent="0.35">
      <c r="C1274" s="100" t="str">
        <f>IF(OR(Fact_Control_Operaciones[[#This Row], [Año]]="",Fact_Control_Operaciones[[#This Row], 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 [Concepto Anterior]],Conceptos_Control_Operaciones[#All],5,0),"")</f>
        <v/>
      </c>
      <c r="F1274" t="str">
        <f>+IFERROR(VLOOKUP(Fact_Control_Operaciones[[#This Row], 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ht="18.75" customHeight="1" x14ac:dyDescent="0.35">
      <c r="C1275" s="100" t="str">
        <f>IF(OR(Fact_Control_Operaciones[[#This Row], [Año]]="",Fact_Control_Operaciones[[#This Row], 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 [Concepto Anterior]],Conceptos_Control_Operaciones[#All],5,0),"")</f>
        <v/>
      </c>
      <c r="F1275" t="str">
        <f>+IFERROR(VLOOKUP(Fact_Control_Operaciones[[#This Row], 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ht="18.75" customHeight="1" x14ac:dyDescent="0.35">
      <c r="C1276" s="100" t="str">
        <f>IF(OR(Fact_Control_Operaciones[[#This Row], [Año]]="",Fact_Control_Operaciones[[#This Row], 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 [Concepto Anterior]],Conceptos_Control_Operaciones[#All],5,0),"")</f>
        <v/>
      </c>
      <c r="F1276" t="str">
        <f>+IFERROR(VLOOKUP(Fact_Control_Operaciones[[#This Row], 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ht="18.75" customHeight="1" x14ac:dyDescent="0.35">
      <c r="C1277" s="100" t="str">
        <f>IF(OR(Fact_Control_Operaciones[[#This Row], [Año]]="",Fact_Control_Operaciones[[#This Row], 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 [Concepto Anterior]],Conceptos_Control_Operaciones[#All],5,0),"")</f>
        <v/>
      </c>
      <c r="F1277" t="str">
        <f>+IFERROR(VLOOKUP(Fact_Control_Operaciones[[#This Row], 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ht="18.75" customHeight="1" x14ac:dyDescent="0.35">
      <c r="C1278" s="100" t="str">
        <f>IF(OR(Fact_Control_Operaciones[[#This Row], [Año]]="",Fact_Control_Operaciones[[#This Row], 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 [Concepto Anterior]],Conceptos_Control_Operaciones[#All],5,0),"")</f>
        <v/>
      </c>
      <c r="F1278" t="str">
        <f>+IFERROR(VLOOKUP(Fact_Control_Operaciones[[#This Row], 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ht="18.75" customHeight="1" x14ac:dyDescent="0.35">
      <c r="C1279" s="100" t="str">
        <f>IF(OR(Fact_Control_Operaciones[[#This Row], [Año]]="",Fact_Control_Operaciones[[#This Row], 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 [Concepto Anterior]],Conceptos_Control_Operaciones[#All],5,0),"")</f>
        <v/>
      </c>
      <c r="F1279" t="str">
        <f>+IFERROR(VLOOKUP(Fact_Control_Operaciones[[#This Row], 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ht="18.75" customHeight="1" x14ac:dyDescent="0.35">
      <c r="C1280" s="100" t="str">
        <f>IF(OR(Fact_Control_Operaciones[[#This Row], [Año]]="",Fact_Control_Operaciones[[#This Row], 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 [Concepto Anterior]],Conceptos_Control_Operaciones[#All],5,0),"")</f>
        <v/>
      </c>
      <c r="F1280" t="str">
        <f>+IFERROR(VLOOKUP(Fact_Control_Operaciones[[#This Row], 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ht="18.75" customHeight="1" x14ac:dyDescent="0.35">
      <c r="C1281" s="100" t="str">
        <f>IF(OR(Fact_Control_Operaciones[[#This Row], [Año]]="",Fact_Control_Operaciones[[#This Row], 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 [Concepto Anterior]],Conceptos_Control_Operaciones[#All],5,0),"")</f>
        <v/>
      </c>
      <c r="F1281" t="str">
        <f>+IFERROR(VLOOKUP(Fact_Control_Operaciones[[#This Row], 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ht="18.75" customHeight="1" x14ac:dyDescent="0.35">
      <c r="C1282" s="100" t="str">
        <f>IF(OR(Fact_Control_Operaciones[[#This Row], [Año]]="",Fact_Control_Operaciones[[#This Row], 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 [Concepto Anterior]],Conceptos_Control_Operaciones[#All],5,0),"")</f>
        <v/>
      </c>
      <c r="F1282" t="str">
        <f>+IFERROR(VLOOKUP(Fact_Control_Operaciones[[#This Row], 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ht="18.75" customHeight="1" x14ac:dyDescent="0.35">
      <c r="C1283" s="100" t="str">
        <f>IF(OR(Fact_Control_Operaciones[[#This Row], [Año]]="",Fact_Control_Operaciones[[#This Row], 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 [Concepto Anterior]],Conceptos_Control_Operaciones[#All],5,0),"")</f>
        <v/>
      </c>
      <c r="F1283" t="str">
        <f>+IFERROR(VLOOKUP(Fact_Control_Operaciones[[#This Row], 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ht="18.75" customHeight="1" x14ac:dyDescent="0.35">
      <c r="C1284" s="100" t="str">
        <f>IF(OR(Fact_Control_Operaciones[[#This Row], [Año]]="",Fact_Control_Operaciones[[#This Row], 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 [Concepto Anterior]],Conceptos_Control_Operaciones[#All],5,0),"")</f>
        <v/>
      </c>
      <c r="F1284" t="str">
        <f>+IFERROR(VLOOKUP(Fact_Control_Operaciones[[#This Row], 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ht="18.75" customHeight="1" x14ac:dyDescent="0.35">
      <c r="C1285" s="100" t="str">
        <f>IF(OR(Fact_Control_Operaciones[[#This Row], [Año]]="",Fact_Control_Operaciones[[#This Row], 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 [Concepto Anterior]],Conceptos_Control_Operaciones[#All],5,0),"")</f>
        <v/>
      </c>
      <c r="F1285" t="str">
        <f>+IFERROR(VLOOKUP(Fact_Control_Operaciones[[#This Row], 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ht="18.75" customHeight="1" x14ac:dyDescent="0.35">
      <c r="C1286" s="100" t="str">
        <f>IF(OR(Fact_Control_Operaciones[[#This Row], [Año]]="",Fact_Control_Operaciones[[#This Row], 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 [Concepto Anterior]],Conceptos_Control_Operaciones[#All],5,0),"")</f>
        <v/>
      </c>
      <c r="F1286" t="str">
        <f>+IFERROR(VLOOKUP(Fact_Control_Operaciones[[#This Row], 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ht="18.75" customHeight="1" x14ac:dyDescent="0.35">
      <c r="C1287" s="100" t="str">
        <f>IF(OR(Fact_Control_Operaciones[[#This Row], [Año]]="",Fact_Control_Operaciones[[#This Row], 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 [Concepto Anterior]],Conceptos_Control_Operaciones[#All],5,0),"")</f>
        <v/>
      </c>
      <c r="F1287" t="str">
        <f>+IFERROR(VLOOKUP(Fact_Control_Operaciones[[#This Row], 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ht="18.75" customHeight="1" x14ac:dyDescent="0.35">
      <c r="C1288" s="100" t="str">
        <f>IF(OR(Fact_Control_Operaciones[[#This Row], [Año]]="",Fact_Control_Operaciones[[#This Row], 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 [Concepto Anterior]],Conceptos_Control_Operaciones[#All],5,0),"")</f>
        <v/>
      </c>
      <c r="F1288" t="str">
        <f>+IFERROR(VLOOKUP(Fact_Control_Operaciones[[#This Row], 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ht="18.75" customHeight="1" x14ac:dyDescent="0.35">
      <c r="C1289" s="100" t="str">
        <f>IF(OR(Fact_Control_Operaciones[[#This Row], [Año]]="",Fact_Control_Operaciones[[#This Row], 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 [Concepto Anterior]],Conceptos_Control_Operaciones[#All],5,0),"")</f>
        <v/>
      </c>
      <c r="F1289" t="str">
        <f>+IFERROR(VLOOKUP(Fact_Control_Operaciones[[#This Row], 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ht="18.75" customHeight="1" x14ac:dyDescent="0.35">
      <c r="C1290" s="100" t="str">
        <f>IF(OR(Fact_Control_Operaciones[[#This Row], [Año]]="",Fact_Control_Operaciones[[#This Row], 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 [Concepto Anterior]],Conceptos_Control_Operaciones[#All],5,0),"")</f>
        <v/>
      </c>
      <c r="F1290" t="str">
        <f>+IFERROR(VLOOKUP(Fact_Control_Operaciones[[#This Row], 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ht="18.75" customHeight="1" x14ac:dyDescent="0.35">
      <c r="C1291" s="100" t="str">
        <f>IF(OR(Fact_Control_Operaciones[[#This Row], [Año]]="",Fact_Control_Operaciones[[#This Row], 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 [Concepto Anterior]],Conceptos_Control_Operaciones[#All],5,0),"")</f>
        <v/>
      </c>
      <c r="F1291" t="str">
        <f>+IFERROR(VLOOKUP(Fact_Control_Operaciones[[#This Row], 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ht="18.75" customHeight="1" x14ac:dyDescent="0.35">
      <c r="C1292" s="100" t="str">
        <f>IF(OR(Fact_Control_Operaciones[[#This Row], [Año]]="",Fact_Control_Operaciones[[#This Row], 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 [Concepto Anterior]],Conceptos_Control_Operaciones[#All],5,0),"")</f>
        <v/>
      </c>
      <c r="F1292" t="str">
        <f>+IFERROR(VLOOKUP(Fact_Control_Operaciones[[#This Row], 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ht="18.75" customHeight="1" x14ac:dyDescent="0.35">
      <c r="C1293" s="100" t="str">
        <f>IF(OR(Fact_Control_Operaciones[[#This Row], [Año]]="",Fact_Control_Operaciones[[#This Row], 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 [Concepto Anterior]],Conceptos_Control_Operaciones[#All],5,0),"")</f>
        <v/>
      </c>
      <c r="F1293" t="str">
        <f>+IFERROR(VLOOKUP(Fact_Control_Operaciones[[#This Row], 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ht="18.75" customHeight="1" x14ac:dyDescent="0.35">
      <c r="C1294" s="100" t="str">
        <f>IF(OR(Fact_Control_Operaciones[[#This Row], [Año]]="",Fact_Control_Operaciones[[#This Row], 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 [Concepto Anterior]],Conceptos_Control_Operaciones[#All],5,0),"")</f>
        <v/>
      </c>
      <c r="F1294" t="str">
        <f>+IFERROR(VLOOKUP(Fact_Control_Operaciones[[#This Row], 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ht="18.75" customHeight="1" x14ac:dyDescent="0.35">
      <c r="C1295" s="100" t="str">
        <f>IF(OR(Fact_Control_Operaciones[[#This Row], [Año]]="",Fact_Control_Operaciones[[#This Row], 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 [Concepto Anterior]],Conceptos_Control_Operaciones[#All],5,0),"")</f>
        <v/>
      </c>
      <c r="F1295" t="str">
        <f>+IFERROR(VLOOKUP(Fact_Control_Operaciones[[#This Row], 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ht="18.75" customHeight="1" x14ac:dyDescent="0.35">
      <c r="C1296" s="100" t="str">
        <f>IF(OR(Fact_Control_Operaciones[[#This Row], [Año]]="",Fact_Control_Operaciones[[#This Row], 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 [Concepto Anterior]],Conceptos_Control_Operaciones[#All],5,0),"")</f>
        <v/>
      </c>
      <c r="F1296" t="str">
        <f>+IFERROR(VLOOKUP(Fact_Control_Operaciones[[#This Row], 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ht="18.75" customHeight="1" x14ac:dyDescent="0.35">
      <c r="C1297" s="100" t="str">
        <f>IF(OR(Fact_Control_Operaciones[[#This Row], [Año]]="",Fact_Control_Operaciones[[#This Row], 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 [Concepto Anterior]],Conceptos_Control_Operaciones[#All],5,0),"")</f>
        <v/>
      </c>
      <c r="F1297" t="str">
        <f>+IFERROR(VLOOKUP(Fact_Control_Operaciones[[#This Row], 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ht="18.75" customHeight="1" x14ac:dyDescent="0.35">
      <c r="C1298" s="100" t="str">
        <f>IF(OR(Fact_Control_Operaciones[[#This Row], [Año]]="",Fact_Control_Operaciones[[#This Row], 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 [Concepto Anterior]],Conceptos_Control_Operaciones[#All],5,0),"")</f>
        <v/>
      </c>
      <c r="F1298" t="str">
        <f>+IFERROR(VLOOKUP(Fact_Control_Operaciones[[#This Row], 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ht="18.75" customHeight="1" x14ac:dyDescent="0.35">
      <c r="C1299" s="100" t="str">
        <f>IF(OR(Fact_Control_Operaciones[[#This Row], [Año]]="",Fact_Control_Operaciones[[#This Row], 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 [Concepto Anterior]],Conceptos_Control_Operaciones[#All],5,0),"")</f>
        <v/>
      </c>
      <c r="F1299" t="str">
        <f>+IFERROR(VLOOKUP(Fact_Control_Operaciones[[#This Row], 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ht="18.75" customHeight="1" x14ac:dyDescent="0.35">
      <c r="C1300" s="100" t="str">
        <f>IF(OR(Fact_Control_Operaciones[[#This Row], [Año]]="",Fact_Control_Operaciones[[#This Row], 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 [Concepto Anterior]],Conceptos_Control_Operaciones[#All],5,0),"")</f>
        <v/>
      </c>
      <c r="F1300" t="str">
        <f>+IFERROR(VLOOKUP(Fact_Control_Operaciones[[#This Row], 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ht="18.75" customHeight="1" x14ac:dyDescent="0.35">
      <c r="C1301" s="100" t="str">
        <f>IF(OR(Fact_Control_Operaciones[[#This Row], [Año]]="",Fact_Control_Operaciones[[#This Row], 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 [Concepto Anterior]],Conceptos_Control_Operaciones[#All],5,0),"")</f>
        <v/>
      </c>
      <c r="F1301" t="str">
        <f>+IFERROR(VLOOKUP(Fact_Control_Operaciones[[#This Row], 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ht="18.75" customHeight="1" x14ac:dyDescent="0.35">
      <c r="C1302" s="100" t="str">
        <f>IF(OR(Fact_Control_Operaciones[[#This Row], [Año]]="",Fact_Control_Operaciones[[#This Row], 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 [Concepto Anterior]],Conceptos_Control_Operaciones[#All],5,0),"")</f>
        <v/>
      </c>
      <c r="F1302" t="str">
        <f>+IFERROR(VLOOKUP(Fact_Control_Operaciones[[#This Row], 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ht="18.75" customHeight="1" x14ac:dyDescent="0.35">
      <c r="C1303" s="100" t="str">
        <f>IF(OR(Fact_Control_Operaciones[[#This Row], [Año]]="",Fact_Control_Operaciones[[#This Row], 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 [Concepto Anterior]],Conceptos_Control_Operaciones[#All],5,0),"")</f>
        <v/>
      </c>
      <c r="F1303" t="str">
        <f>+IFERROR(VLOOKUP(Fact_Control_Operaciones[[#This Row], 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ht="18.75" customHeight="1" x14ac:dyDescent="0.35">
      <c r="C1304" s="100" t="str">
        <f>IF(OR(Fact_Control_Operaciones[[#This Row], [Año]]="",Fact_Control_Operaciones[[#This Row], 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 [Concepto Anterior]],Conceptos_Control_Operaciones[#All],5,0),"")</f>
        <v/>
      </c>
      <c r="F1304" t="str">
        <f>+IFERROR(VLOOKUP(Fact_Control_Operaciones[[#This Row], 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ht="18.75" customHeight="1" x14ac:dyDescent="0.35">
      <c r="C1305" s="100" t="str">
        <f>IF(OR(Fact_Control_Operaciones[[#This Row], [Año]]="",Fact_Control_Operaciones[[#This Row], 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 [Concepto Anterior]],Conceptos_Control_Operaciones[#All],5,0),"")</f>
        <v/>
      </c>
      <c r="F1305" t="str">
        <f>+IFERROR(VLOOKUP(Fact_Control_Operaciones[[#This Row], 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ht="18.75" customHeight="1" x14ac:dyDescent="0.35">
      <c r="C1306" s="100" t="str">
        <f>IF(OR(Fact_Control_Operaciones[[#This Row], [Año]]="",Fact_Control_Operaciones[[#This Row], 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 [Concepto Anterior]],Conceptos_Control_Operaciones[#All],5,0),"")</f>
        <v/>
      </c>
      <c r="F1306" t="str">
        <f>+IFERROR(VLOOKUP(Fact_Control_Operaciones[[#This Row], 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ht="18.75" customHeight="1" x14ac:dyDescent="0.35">
      <c r="C1307" s="100" t="str">
        <f>IF(OR(Fact_Control_Operaciones[[#This Row], [Año]]="",Fact_Control_Operaciones[[#This Row], 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 [Concepto Anterior]],Conceptos_Control_Operaciones[#All],5,0),"")</f>
        <v/>
      </c>
      <c r="F1307" t="str">
        <f>+IFERROR(VLOOKUP(Fact_Control_Operaciones[[#This Row], 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ht="18.75" customHeight="1" x14ac:dyDescent="0.35">
      <c r="C1308" s="100" t="str">
        <f>IF(OR(Fact_Control_Operaciones[[#This Row], [Año]]="",Fact_Control_Operaciones[[#This Row], 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 [Concepto Anterior]],Conceptos_Control_Operaciones[#All],5,0),"")</f>
        <v/>
      </c>
      <c r="F1308" t="str">
        <f>+IFERROR(VLOOKUP(Fact_Control_Operaciones[[#This Row], 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ht="18.75" customHeight="1" x14ac:dyDescent="0.35">
      <c r="C1309" s="100" t="str">
        <f>IF(OR(Fact_Control_Operaciones[[#This Row], [Año]]="",Fact_Control_Operaciones[[#This Row], 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 [Concepto Anterior]],Conceptos_Control_Operaciones[#All],5,0),"")</f>
        <v/>
      </c>
      <c r="F1309" t="str">
        <f>+IFERROR(VLOOKUP(Fact_Control_Operaciones[[#This Row], 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ht="18.75" customHeight="1" x14ac:dyDescent="0.35">
      <c r="C1310" s="100" t="str">
        <f>IF(OR(Fact_Control_Operaciones[[#This Row], [Año]]="",Fact_Control_Operaciones[[#This Row], 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 [Concepto Anterior]],Conceptos_Control_Operaciones[#All],5,0),"")</f>
        <v/>
      </c>
      <c r="F1310" t="str">
        <f>+IFERROR(VLOOKUP(Fact_Control_Operaciones[[#This Row], 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ht="18.75" customHeight="1" x14ac:dyDescent="0.35">
      <c r="C1311" s="100" t="str">
        <f>IF(OR(Fact_Control_Operaciones[[#This Row], [Año]]="",Fact_Control_Operaciones[[#This Row], 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 [Concepto Anterior]],Conceptos_Control_Operaciones[#All],5,0),"")</f>
        <v/>
      </c>
      <c r="F1311" t="str">
        <f>+IFERROR(VLOOKUP(Fact_Control_Operaciones[[#This Row], 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ht="18.75" customHeight="1" x14ac:dyDescent="0.35">
      <c r="C1312" s="100" t="str">
        <f>IF(OR(Fact_Control_Operaciones[[#This Row], [Año]]="",Fact_Control_Operaciones[[#This Row], 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 [Concepto Anterior]],Conceptos_Control_Operaciones[#All],5,0),"")</f>
        <v/>
      </c>
      <c r="F1312" t="str">
        <f>+IFERROR(VLOOKUP(Fact_Control_Operaciones[[#This Row], 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ht="18.75" customHeight="1" x14ac:dyDescent="0.35">
      <c r="C1313" s="100" t="str">
        <f>IF(OR(Fact_Control_Operaciones[[#This Row], [Año]]="",Fact_Control_Operaciones[[#This Row], 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 [Concepto Anterior]],Conceptos_Control_Operaciones[#All],5,0),"")</f>
        <v/>
      </c>
      <c r="F1313" t="str">
        <f>+IFERROR(VLOOKUP(Fact_Control_Operaciones[[#This Row], 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ht="18.75" customHeight="1" x14ac:dyDescent="0.35">
      <c r="C1314" s="100" t="str">
        <f>IF(OR(Fact_Control_Operaciones[[#This Row], [Año]]="",Fact_Control_Operaciones[[#This Row], 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 [Concepto Anterior]],Conceptos_Control_Operaciones[#All],5,0),"")</f>
        <v/>
      </c>
      <c r="F1314" t="str">
        <f>+IFERROR(VLOOKUP(Fact_Control_Operaciones[[#This Row], 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ht="18.75" customHeight="1" x14ac:dyDescent="0.35">
      <c r="C1315" s="100" t="str">
        <f>IF(OR(Fact_Control_Operaciones[[#This Row], [Año]]="",Fact_Control_Operaciones[[#This Row], 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 [Concepto Anterior]],Conceptos_Control_Operaciones[#All],5,0),"")</f>
        <v/>
      </c>
      <c r="F1315" t="str">
        <f>+IFERROR(VLOOKUP(Fact_Control_Operaciones[[#This Row], 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ht="18.75" customHeight="1" x14ac:dyDescent="0.35">
      <c r="C1316" s="100" t="str">
        <f>IF(OR(Fact_Control_Operaciones[[#This Row], [Año]]="",Fact_Control_Operaciones[[#This Row], 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 [Concepto Anterior]],Conceptos_Control_Operaciones[#All],5,0),"")</f>
        <v/>
      </c>
      <c r="F1316" t="str">
        <f>+IFERROR(VLOOKUP(Fact_Control_Operaciones[[#This Row], 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ht="18.75" customHeight="1" x14ac:dyDescent="0.35">
      <c r="C1317" s="100" t="str">
        <f>IF(OR(Fact_Control_Operaciones[[#This Row], [Año]]="",Fact_Control_Operaciones[[#This Row], 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 [Concepto Anterior]],Conceptos_Control_Operaciones[#All],5,0),"")</f>
        <v/>
      </c>
      <c r="F1317" t="str">
        <f>+IFERROR(VLOOKUP(Fact_Control_Operaciones[[#This Row], 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ht="18.75" customHeight="1" x14ac:dyDescent="0.35">
      <c r="C1318" s="100" t="str">
        <f>IF(OR(Fact_Control_Operaciones[[#This Row], [Año]]="",Fact_Control_Operaciones[[#This Row], 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 [Concepto Anterior]],Conceptos_Control_Operaciones[#All],5,0),"")</f>
        <v/>
      </c>
      <c r="F1318" t="str">
        <f>+IFERROR(VLOOKUP(Fact_Control_Operaciones[[#This Row], 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ht="18.75" customHeight="1" x14ac:dyDescent="0.35">
      <c r="C1319" s="100" t="str">
        <f>IF(OR(Fact_Control_Operaciones[[#This Row], [Año]]="",Fact_Control_Operaciones[[#This Row], 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 [Concepto Anterior]],Conceptos_Control_Operaciones[#All],5,0),"")</f>
        <v/>
      </c>
      <c r="F1319" t="str">
        <f>+IFERROR(VLOOKUP(Fact_Control_Operaciones[[#This Row], 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ht="18.75" customHeight="1" x14ac:dyDescent="0.35">
      <c r="C1320" s="100" t="str">
        <f>IF(OR(Fact_Control_Operaciones[[#This Row], [Año]]="",Fact_Control_Operaciones[[#This Row], 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 [Concepto Anterior]],Conceptos_Control_Operaciones[#All],5,0),"")</f>
        <v/>
      </c>
      <c r="F1320" t="str">
        <f>+IFERROR(VLOOKUP(Fact_Control_Operaciones[[#This Row], 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ht="18.75" customHeight="1" x14ac:dyDescent="0.35">
      <c r="C1321" s="100" t="str">
        <f>IF(OR(Fact_Control_Operaciones[[#This Row], [Año]]="",Fact_Control_Operaciones[[#This Row], 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 [Concepto Anterior]],Conceptos_Control_Operaciones[#All],5,0),"")</f>
        <v/>
      </c>
      <c r="F1321" t="str">
        <f>+IFERROR(VLOOKUP(Fact_Control_Operaciones[[#This Row], 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ht="18.75" customHeight="1" x14ac:dyDescent="0.35">
      <c r="C1322" s="100" t="str">
        <f>IF(OR(Fact_Control_Operaciones[[#This Row], [Año]]="",Fact_Control_Operaciones[[#This Row], 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 [Concepto Anterior]],Conceptos_Control_Operaciones[#All],5,0),"")</f>
        <v/>
      </c>
      <c r="F1322" t="str">
        <f>+IFERROR(VLOOKUP(Fact_Control_Operaciones[[#This Row], 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ht="18.75" customHeight="1" x14ac:dyDescent="0.35">
      <c r="C1323" s="100" t="str">
        <f>IF(OR(Fact_Control_Operaciones[[#This Row], [Año]]="",Fact_Control_Operaciones[[#This Row], 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 [Concepto Anterior]],Conceptos_Control_Operaciones[#All],5,0),"")</f>
        <v/>
      </c>
      <c r="F1323" t="str">
        <f>+IFERROR(VLOOKUP(Fact_Control_Operaciones[[#This Row], 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ht="18.75" customHeight="1" x14ac:dyDescent="0.35">
      <c r="C1324" s="100" t="str">
        <f>IF(OR(Fact_Control_Operaciones[[#This Row], [Año]]="",Fact_Control_Operaciones[[#This Row], 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 [Concepto Anterior]],Conceptos_Control_Operaciones[#All],5,0),"")</f>
        <v/>
      </c>
      <c r="F1324" t="str">
        <f>+IFERROR(VLOOKUP(Fact_Control_Operaciones[[#This Row], 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ht="18.75" customHeight="1" x14ac:dyDescent="0.35">
      <c r="C1325" s="100" t="str">
        <f>IF(OR(Fact_Control_Operaciones[[#This Row], [Año]]="",Fact_Control_Operaciones[[#This Row], 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 [Concepto Anterior]],Conceptos_Control_Operaciones[#All],5,0),"")</f>
        <v/>
      </c>
      <c r="F1325" t="str">
        <f>+IFERROR(VLOOKUP(Fact_Control_Operaciones[[#This Row], 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ht="18.75" customHeight="1" x14ac:dyDescent="0.35">
      <c r="C1326" s="100" t="str">
        <f>IF(OR(Fact_Control_Operaciones[[#This Row], [Año]]="",Fact_Control_Operaciones[[#This Row], 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 [Concepto Anterior]],Conceptos_Control_Operaciones[#All],5,0),"")</f>
        <v/>
      </c>
      <c r="F1326" t="str">
        <f>+IFERROR(VLOOKUP(Fact_Control_Operaciones[[#This Row], 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ht="18.75" customHeight="1" x14ac:dyDescent="0.35">
      <c r="C1327" s="100" t="str">
        <f>IF(OR(Fact_Control_Operaciones[[#This Row], [Año]]="",Fact_Control_Operaciones[[#This Row], 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 [Concepto Anterior]],Conceptos_Control_Operaciones[#All],5,0),"")</f>
        <v/>
      </c>
      <c r="F1327" t="str">
        <f>+IFERROR(VLOOKUP(Fact_Control_Operaciones[[#This Row], 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ht="18.75" customHeight="1" x14ac:dyDescent="0.35">
      <c r="C1328" s="100" t="str">
        <f>IF(OR(Fact_Control_Operaciones[[#This Row], [Año]]="",Fact_Control_Operaciones[[#This Row], 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 [Concepto Anterior]],Conceptos_Control_Operaciones[#All],5,0),"")</f>
        <v/>
      </c>
      <c r="F1328" t="str">
        <f>+IFERROR(VLOOKUP(Fact_Control_Operaciones[[#This Row], 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ht="18.75" customHeight="1" x14ac:dyDescent="0.35">
      <c r="C1329" s="100" t="str">
        <f>IF(OR(Fact_Control_Operaciones[[#This Row], [Año]]="",Fact_Control_Operaciones[[#This Row], 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 [Concepto Anterior]],Conceptos_Control_Operaciones[#All],5,0),"")</f>
        <v/>
      </c>
      <c r="F1329" t="str">
        <f>+IFERROR(VLOOKUP(Fact_Control_Operaciones[[#This Row], 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ht="18.75" customHeight="1" x14ac:dyDescent="0.35">
      <c r="C1330" s="100" t="str">
        <f>IF(OR(Fact_Control_Operaciones[[#This Row], [Año]]="",Fact_Control_Operaciones[[#This Row], 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 [Concepto Anterior]],Conceptos_Control_Operaciones[#All],5,0),"")</f>
        <v/>
      </c>
      <c r="F1330" t="str">
        <f>+IFERROR(VLOOKUP(Fact_Control_Operaciones[[#This Row], 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ht="18.75" customHeight="1" x14ac:dyDescent="0.35">
      <c r="C1331" s="100" t="str">
        <f>IF(OR(Fact_Control_Operaciones[[#This Row], [Año]]="",Fact_Control_Operaciones[[#This Row], 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 [Concepto Anterior]],Conceptos_Control_Operaciones[#All],5,0),"")</f>
        <v/>
      </c>
      <c r="F1331" t="str">
        <f>+IFERROR(VLOOKUP(Fact_Control_Operaciones[[#This Row], 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ht="18.75" customHeight="1" x14ac:dyDescent="0.35">
      <c r="C1332" s="100" t="str">
        <f>IF(OR(Fact_Control_Operaciones[[#This Row], [Año]]="",Fact_Control_Operaciones[[#This Row], 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 [Concepto Anterior]],Conceptos_Control_Operaciones[#All],5,0),"")</f>
        <v/>
      </c>
      <c r="F1332" t="str">
        <f>+IFERROR(VLOOKUP(Fact_Control_Operaciones[[#This Row], 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ht="18.75" customHeight="1" x14ac:dyDescent="0.35">
      <c r="C1333" s="100" t="str">
        <f>IF(OR(Fact_Control_Operaciones[[#This Row], [Año]]="",Fact_Control_Operaciones[[#This Row], 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 [Concepto Anterior]],Conceptos_Control_Operaciones[#All],5,0),"")</f>
        <v/>
      </c>
      <c r="F1333" t="str">
        <f>+IFERROR(VLOOKUP(Fact_Control_Operaciones[[#This Row], 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ht="18.75" customHeight="1" x14ac:dyDescent="0.35">
      <c r="C1334" s="100" t="str">
        <f>IF(OR(Fact_Control_Operaciones[[#This Row], [Año]]="",Fact_Control_Operaciones[[#This Row], 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 [Concepto Anterior]],Conceptos_Control_Operaciones[#All],5,0),"")</f>
        <v/>
      </c>
      <c r="F1334" t="str">
        <f>+IFERROR(VLOOKUP(Fact_Control_Operaciones[[#This Row], 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ht="18.75" customHeight="1" x14ac:dyDescent="0.35">
      <c r="C1335" s="100" t="str">
        <f>IF(OR(Fact_Control_Operaciones[[#This Row], [Año]]="",Fact_Control_Operaciones[[#This Row], 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 [Concepto Anterior]],Conceptos_Control_Operaciones[#All],5,0),"")</f>
        <v/>
      </c>
      <c r="F1335" t="str">
        <f>+IFERROR(VLOOKUP(Fact_Control_Operaciones[[#This Row], 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ht="18.75" customHeight="1" x14ac:dyDescent="0.35">
      <c r="C1336" s="100" t="str">
        <f>IF(OR(Fact_Control_Operaciones[[#This Row], [Año]]="",Fact_Control_Operaciones[[#This Row], 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 [Concepto Anterior]],Conceptos_Control_Operaciones[#All],5,0),"")</f>
        <v/>
      </c>
      <c r="F1336" t="str">
        <f>+IFERROR(VLOOKUP(Fact_Control_Operaciones[[#This Row], 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ht="18.75" customHeight="1" x14ac:dyDescent="0.35">
      <c r="C1337" s="100" t="str">
        <f>IF(OR(Fact_Control_Operaciones[[#This Row], [Año]]="",Fact_Control_Operaciones[[#This Row], 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 [Concepto Anterior]],Conceptos_Control_Operaciones[#All],5,0),"")</f>
        <v/>
      </c>
      <c r="F1337" t="str">
        <f>+IFERROR(VLOOKUP(Fact_Control_Operaciones[[#This Row], 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ht="18.75" customHeight="1" x14ac:dyDescent="0.35">
      <c r="C1338" s="100" t="str">
        <f>IF(OR(Fact_Control_Operaciones[[#This Row], [Año]]="",Fact_Control_Operaciones[[#This Row], 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 [Concepto Anterior]],Conceptos_Control_Operaciones[#All],5,0),"")</f>
        <v/>
      </c>
      <c r="F1338" t="str">
        <f>+IFERROR(VLOOKUP(Fact_Control_Operaciones[[#This Row], 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ht="18.75" customHeight="1" x14ac:dyDescent="0.35">
      <c r="C1339" s="100" t="str">
        <f>IF(OR(Fact_Control_Operaciones[[#This Row], [Año]]="",Fact_Control_Operaciones[[#This Row], 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 [Concepto Anterior]],Conceptos_Control_Operaciones[#All],5,0),"")</f>
        <v/>
      </c>
      <c r="F1339" t="str">
        <f>+IFERROR(VLOOKUP(Fact_Control_Operaciones[[#This Row], 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ht="18.75" customHeight="1" x14ac:dyDescent="0.35">
      <c r="C1340" s="100" t="str">
        <f>IF(OR(Fact_Control_Operaciones[[#This Row], [Año]]="",Fact_Control_Operaciones[[#This Row], 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 [Concepto Anterior]],Conceptos_Control_Operaciones[#All],5,0),"")</f>
        <v/>
      </c>
      <c r="F1340" t="str">
        <f>+IFERROR(VLOOKUP(Fact_Control_Operaciones[[#This Row], 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ht="18.75" customHeight="1" x14ac:dyDescent="0.35">
      <c r="C1341" s="100" t="str">
        <f>IF(OR(Fact_Control_Operaciones[[#This Row], [Año]]="",Fact_Control_Operaciones[[#This Row], 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 [Concepto Anterior]],Conceptos_Control_Operaciones[#All],5,0),"")</f>
        <v/>
      </c>
      <c r="F1341" t="str">
        <f>+IFERROR(VLOOKUP(Fact_Control_Operaciones[[#This Row], 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ht="18.75" customHeight="1" x14ac:dyDescent="0.35">
      <c r="C1342" s="100" t="str">
        <f>IF(OR(Fact_Control_Operaciones[[#This Row], [Año]]="",Fact_Control_Operaciones[[#This Row], 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 [Concepto Anterior]],Conceptos_Control_Operaciones[#All],5,0),"")</f>
        <v/>
      </c>
      <c r="F1342" t="str">
        <f>+IFERROR(VLOOKUP(Fact_Control_Operaciones[[#This Row], 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ht="18.75" customHeight="1" x14ac:dyDescent="0.35">
      <c r="C1343" s="100" t="str">
        <f>IF(OR(Fact_Control_Operaciones[[#This Row], [Año]]="",Fact_Control_Operaciones[[#This Row], 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 [Concepto Anterior]],Conceptos_Control_Operaciones[#All],5,0),"")</f>
        <v/>
      </c>
      <c r="F1343" t="str">
        <f>+IFERROR(VLOOKUP(Fact_Control_Operaciones[[#This Row], 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ht="18.75" customHeight="1" x14ac:dyDescent="0.35">
      <c r="C1344" s="100" t="str">
        <f>IF(OR(Fact_Control_Operaciones[[#This Row], [Año]]="",Fact_Control_Operaciones[[#This Row], 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 [Concepto Anterior]],Conceptos_Control_Operaciones[#All],5,0),"")</f>
        <v/>
      </c>
      <c r="F1344" t="str">
        <f>+IFERROR(VLOOKUP(Fact_Control_Operaciones[[#This Row], 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ht="18.75" customHeight="1" x14ac:dyDescent="0.35">
      <c r="C1345" s="100" t="str">
        <f>IF(OR(Fact_Control_Operaciones[[#This Row], [Año]]="",Fact_Control_Operaciones[[#This Row], 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 [Concepto Anterior]],Conceptos_Control_Operaciones[#All],5,0),"")</f>
        <v/>
      </c>
      <c r="F1345" t="str">
        <f>+IFERROR(VLOOKUP(Fact_Control_Operaciones[[#This Row], 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ht="18.75" customHeight="1" x14ac:dyDescent="0.35">
      <c r="C1346" s="100" t="str">
        <f>IF(OR(Fact_Control_Operaciones[[#This Row], [Año]]="",Fact_Control_Operaciones[[#This Row], 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 [Concepto Anterior]],Conceptos_Control_Operaciones[#All],5,0),"")</f>
        <v/>
      </c>
      <c r="F1346" t="str">
        <f>+IFERROR(VLOOKUP(Fact_Control_Operaciones[[#This Row], 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ht="18.75" customHeight="1" x14ac:dyDescent="0.35">
      <c r="C1347" s="100" t="str">
        <f>IF(OR(Fact_Control_Operaciones[[#This Row], [Año]]="",Fact_Control_Operaciones[[#This Row], 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 [Concepto Anterior]],Conceptos_Control_Operaciones[#All],5,0),"")</f>
        <v/>
      </c>
      <c r="F1347" t="str">
        <f>+IFERROR(VLOOKUP(Fact_Control_Operaciones[[#This Row], 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ht="18.75" customHeight="1" x14ac:dyDescent="0.35">
      <c r="C1348" s="100" t="str">
        <f>IF(OR(Fact_Control_Operaciones[[#This Row], [Año]]="",Fact_Control_Operaciones[[#This Row], 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 [Concepto Anterior]],Conceptos_Control_Operaciones[#All],5,0),"")</f>
        <v/>
      </c>
      <c r="F1348" t="str">
        <f>+IFERROR(VLOOKUP(Fact_Control_Operaciones[[#This Row], 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ht="18.75" customHeight="1" x14ac:dyDescent="0.35">
      <c r="C1349" s="100" t="str">
        <f>IF(OR(Fact_Control_Operaciones[[#This Row], [Año]]="",Fact_Control_Operaciones[[#This Row], 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 [Concepto Anterior]],Conceptos_Control_Operaciones[#All],5,0),"")</f>
        <v/>
      </c>
      <c r="F1349" t="str">
        <f>+IFERROR(VLOOKUP(Fact_Control_Operaciones[[#This Row], 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ht="18.75" customHeight="1" x14ac:dyDescent="0.35">
      <c r="C1350" s="100" t="str">
        <f>IF(OR(Fact_Control_Operaciones[[#This Row], [Año]]="",Fact_Control_Operaciones[[#This Row], 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 [Concepto Anterior]],Conceptos_Control_Operaciones[#All],5,0),"")</f>
        <v/>
      </c>
      <c r="F1350" t="str">
        <f>+IFERROR(VLOOKUP(Fact_Control_Operaciones[[#This Row], 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ht="18.75" customHeight="1" x14ac:dyDescent="0.35">
      <c r="C1351" s="100" t="str">
        <f>IF(OR(Fact_Control_Operaciones[[#This Row], [Año]]="",Fact_Control_Operaciones[[#This Row], 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 [Concepto Anterior]],Conceptos_Control_Operaciones[#All],5,0),"")</f>
        <v/>
      </c>
      <c r="F1351" t="str">
        <f>+IFERROR(VLOOKUP(Fact_Control_Operaciones[[#This Row], 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ht="18.75" customHeight="1" x14ac:dyDescent="0.35">
      <c r="C1352" s="100" t="str">
        <f>IF(OR(Fact_Control_Operaciones[[#This Row], [Año]]="",Fact_Control_Operaciones[[#This Row], 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 [Concepto Anterior]],Conceptos_Control_Operaciones[#All],5,0),"")</f>
        <v/>
      </c>
      <c r="F1352" t="str">
        <f>+IFERROR(VLOOKUP(Fact_Control_Operaciones[[#This Row], 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ht="18.75" customHeight="1" x14ac:dyDescent="0.35">
      <c r="C1353" s="100" t="str">
        <f>IF(OR(Fact_Control_Operaciones[[#This Row], [Año]]="",Fact_Control_Operaciones[[#This Row], 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 [Concepto Anterior]],Conceptos_Control_Operaciones[#All],5,0),"")</f>
        <v/>
      </c>
      <c r="F1353" t="str">
        <f>+IFERROR(VLOOKUP(Fact_Control_Operaciones[[#This Row], 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ht="18.75" customHeight="1" x14ac:dyDescent="0.35">
      <c r="C1354" s="100" t="str">
        <f>IF(OR(Fact_Control_Operaciones[[#This Row], [Año]]="",Fact_Control_Operaciones[[#This Row], 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 [Concepto Anterior]],Conceptos_Control_Operaciones[#All],5,0),"")</f>
        <v/>
      </c>
      <c r="F1354" t="str">
        <f>+IFERROR(VLOOKUP(Fact_Control_Operaciones[[#This Row], 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ht="18.75" customHeight="1" x14ac:dyDescent="0.35">
      <c r="C1355" s="100" t="str">
        <f>IF(OR(Fact_Control_Operaciones[[#This Row], [Año]]="",Fact_Control_Operaciones[[#This Row], 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 [Concepto Anterior]],Conceptos_Control_Operaciones[#All],5,0),"")</f>
        <v/>
      </c>
      <c r="F1355" t="str">
        <f>+IFERROR(VLOOKUP(Fact_Control_Operaciones[[#This Row], 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ht="18.75" customHeight="1" x14ac:dyDescent="0.35">
      <c r="C1356" s="100" t="str">
        <f>IF(OR(Fact_Control_Operaciones[[#This Row], [Año]]="",Fact_Control_Operaciones[[#This Row], 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 [Concepto Anterior]],Conceptos_Control_Operaciones[#All],5,0),"")</f>
        <v/>
      </c>
      <c r="F1356" t="str">
        <f>+IFERROR(VLOOKUP(Fact_Control_Operaciones[[#This Row], 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ht="18.75" customHeight="1" x14ac:dyDescent="0.35">
      <c r="C1357" s="100" t="str">
        <f>IF(OR(Fact_Control_Operaciones[[#This Row], [Año]]="",Fact_Control_Operaciones[[#This Row], 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 [Concepto Anterior]],Conceptos_Control_Operaciones[#All],5,0),"")</f>
        <v/>
      </c>
      <c r="F1357" t="str">
        <f>+IFERROR(VLOOKUP(Fact_Control_Operaciones[[#This Row], 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ht="18.75" customHeight="1" x14ac:dyDescent="0.35">
      <c r="C1358" s="100" t="str">
        <f>IF(OR(Fact_Control_Operaciones[[#This Row], [Año]]="",Fact_Control_Operaciones[[#This Row], 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 [Concepto Anterior]],Conceptos_Control_Operaciones[#All],5,0),"")</f>
        <v/>
      </c>
      <c r="F1358" t="str">
        <f>+IFERROR(VLOOKUP(Fact_Control_Operaciones[[#This Row], 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ht="18.75" customHeight="1" x14ac:dyDescent="0.35">
      <c r="C1359" s="100" t="str">
        <f>IF(OR(Fact_Control_Operaciones[[#This Row], [Año]]="",Fact_Control_Operaciones[[#This Row], 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 [Concepto Anterior]],Conceptos_Control_Operaciones[#All],5,0),"")</f>
        <v/>
      </c>
      <c r="F1359" t="str">
        <f>+IFERROR(VLOOKUP(Fact_Control_Operaciones[[#This Row], 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ht="18.75" customHeight="1" x14ac:dyDescent="0.35">
      <c r="C1360" s="100" t="str">
        <f>IF(OR(Fact_Control_Operaciones[[#This Row], [Año]]="",Fact_Control_Operaciones[[#This Row], 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 [Concepto Anterior]],Conceptos_Control_Operaciones[#All],5,0),"")</f>
        <v/>
      </c>
      <c r="F1360" t="str">
        <f>+IFERROR(VLOOKUP(Fact_Control_Operaciones[[#This Row], 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ht="18.75" customHeight="1" x14ac:dyDescent="0.35">
      <c r="C1361" s="100" t="str">
        <f>IF(OR(Fact_Control_Operaciones[[#This Row], [Año]]="",Fact_Control_Operaciones[[#This Row], 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 [Concepto Anterior]],Conceptos_Control_Operaciones[#All],5,0),"")</f>
        <v/>
      </c>
      <c r="F1361" t="str">
        <f>+IFERROR(VLOOKUP(Fact_Control_Operaciones[[#This Row], 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ht="18.75" customHeight="1" x14ac:dyDescent="0.35">
      <c r="C1362" s="100" t="str">
        <f>IF(OR(Fact_Control_Operaciones[[#This Row], [Año]]="",Fact_Control_Operaciones[[#This Row], 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 [Concepto Anterior]],Conceptos_Control_Operaciones[#All],5,0),"")</f>
        <v/>
      </c>
      <c r="F1362" t="str">
        <f>+IFERROR(VLOOKUP(Fact_Control_Operaciones[[#This Row], 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ht="18.75" customHeight="1" x14ac:dyDescent="0.35">
      <c r="C1363" s="100" t="str">
        <f>IF(OR(Fact_Control_Operaciones[[#This Row], [Año]]="",Fact_Control_Operaciones[[#This Row], 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 [Concepto Anterior]],Conceptos_Control_Operaciones[#All],5,0),"")</f>
        <v/>
      </c>
      <c r="F1363" t="str">
        <f>+IFERROR(VLOOKUP(Fact_Control_Operaciones[[#This Row], 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ht="18.75" customHeight="1" x14ac:dyDescent="0.35">
      <c r="C1364" s="100" t="str">
        <f>IF(OR(Fact_Control_Operaciones[[#This Row], [Año]]="",Fact_Control_Operaciones[[#This Row], 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 [Concepto Anterior]],Conceptos_Control_Operaciones[#All],5,0),"")</f>
        <v/>
      </c>
      <c r="F1364" t="str">
        <f>+IFERROR(VLOOKUP(Fact_Control_Operaciones[[#This Row], 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ht="18.75" customHeight="1" x14ac:dyDescent="0.35">
      <c r="C1365" s="100" t="str">
        <f>IF(OR(Fact_Control_Operaciones[[#This Row], [Año]]="",Fact_Control_Operaciones[[#This Row], 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 [Concepto Anterior]],Conceptos_Control_Operaciones[#All],5,0),"")</f>
        <v/>
      </c>
      <c r="F1365" t="str">
        <f>+IFERROR(VLOOKUP(Fact_Control_Operaciones[[#This Row], 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ht="18.75" customHeight="1" x14ac:dyDescent="0.35">
      <c r="C1366" s="100" t="str">
        <f>IF(OR(Fact_Control_Operaciones[[#This Row], [Año]]="",Fact_Control_Operaciones[[#This Row], 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 [Concepto Anterior]],Conceptos_Control_Operaciones[#All],5,0),"")</f>
        <v/>
      </c>
      <c r="F1366" t="str">
        <f>+IFERROR(VLOOKUP(Fact_Control_Operaciones[[#This Row], 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ht="18.75" customHeight="1" x14ac:dyDescent="0.35">
      <c r="C1367" s="100" t="str">
        <f>IF(OR(Fact_Control_Operaciones[[#This Row], [Año]]="",Fact_Control_Operaciones[[#This Row], 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 [Concepto Anterior]],Conceptos_Control_Operaciones[#All],5,0),"")</f>
        <v/>
      </c>
      <c r="F1367" t="str">
        <f>+IFERROR(VLOOKUP(Fact_Control_Operaciones[[#This Row], 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ht="18.75" customHeight="1" x14ac:dyDescent="0.35">
      <c r="C1368" s="100" t="str">
        <f>IF(OR(Fact_Control_Operaciones[[#This Row], [Año]]="",Fact_Control_Operaciones[[#This Row], 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 [Concepto Anterior]],Conceptos_Control_Operaciones[#All],5,0),"")</f>
        <v/>
      </c>
      <c r="F1368" t="str">
        <f>+IFERROR(VLOOKUP(Fact_Control_Operaciones[[#This Row], 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ht="18.75" customHeight="1" x14ac:dyDescent="0.35">
      <c r="C1369" s="100" t="str">
        <f>IF(OR(Fact_Control_Operaciones[[#This Row], [Año]]="",Fact_Control_Operaciones[[#This Row], 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 [Concepto Anterior]],Conceptos_Control_Operaciones[#All],5,0),"")</f>
        <v/>
      </c>
      <c r="F1369" t="str">
        <f>+IFERROR(VLOOKUP(Fact_Control_Operaciones[[#This Row], 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ht="18.75" customHeight="1" x14ac:dyDescent="0.35">
      <c r="C1370" s="100" t="str">
        <f>IF(OR(Fact_Control_Operaciones[[#This Row], [Año]]="",Fact_Control_Operaciones[[#This Row], 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 [Concepto Anterior]],Conceptos_Control_Operaciones[#All],5,0),"")</f>
        <v/>
      </c>
      <c r="F1370" t="str">
        <f>+IFERROR(VLOOKUP(Fact_Control_Operaciones[[#This Row], 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ht="18.75" customHeight="1" x14ac:dyDescent="0.35">
      <c r="C1371" s="100" t="str">
        <f>IF(OR(Fact_Control_Operaciones[[#This Row], [Año]]="",Fact_Control_Operaciones[[#This Row], 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 [Concepto Anterior]],Conceptos_Control_Operaciones[#All],5,0),"")</f>
        <v/>
      </c>
      <c r="F1371" t="str">
        <f>+IFERROR(VLOOKUP(Fact_Control_Operaciones[[#This Row], 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ht="18.75" customHeight="1" x14ac:dyDescent="0.35">
      <c r="C1372" s="100" t="str">
        <f>IF(OR(Fact_Control_Operaciones[[#This Row], [Año]]="",Fact_Control_Operaciones[[#This Row], 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 [Concepto Anterior]],Conceptos_Control_Operaciones[#All],5,0),"")</f>
        <v/>
      </c>
      <c r="F1372" t="str">
        <f>+IFERROR(VLOOKUP(Fact_Control_Operaciones[[#This Row], 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ht="18.75" customHeight="1" x14ac:dyDescent="0.35">
      <c r="C1373" s="100" t="str">
        <f>IF(OR(Fact_Control_Operaciones[[#This Row], [Año]]="",Fact_Control_Operaciones[[#This Row], 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 [Concepto Anterior]],Conceptos_Control_Operaciones[#All],5,0),"")</f>
        <v/>
      </c>
      <c r="F1373" t="str">
        <f>+IFERROR(VLOOKUP(Fact_Control_Operaciones[[#This Row], 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ht="18.75" customHeight="1" x14ac:dyDescent="0.35">
      <c r="C1374" s="100" t="str">
        <f>IF(OR(Fact_Control_Operaciones[[#This Row], [Año]]="",Fact_Control_Operaciones[[#This Row], 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 [Concepto Anterior]],Conceptos_Control_Operaciones[#All],5,0),"")</f>
        <v/>
      </c>
      <c r="F1374" t="str">
        <f>+IFERROR(VLOOKUP(Fact_Control_Operaciones[[#This Row], 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ht="18.75" customHeight="1" x14ac:dyDescent="0.35">
      <c r="C1375" s="100" t="str">
        <f>IF(OR(Fact_Control_Operaciones[[#This Row], [Año]]="",Fact_Control_Operaciones[[#This Row], 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 [Concepto Anterior]],Conceptos_Control_Operaciones[#All],5,0),"")</f>
        <v/>
      </c>
      <c r="F1375" t="str">
        <f>+IFERROR(VLOOKUP(Fact_Control_Operaciones[[#This Row], 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ht="18.75" customHeight="1" x14ac:dyDescent="0.35">
      <c r="C1376" s="100" t="str">
        <f>IF(OR(Fact_Control_Operaciones[[#This Row], [Año]]="",Fact_Control_Operaciones[[#This Row], 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 [Concepto Anterior]],Conceptos_Control_Operaciones[#All],5,0),"")</f>
        <v/>
      </c>
      <c r="F1376" t="str">
        <f>+IFERROR(VLOOKUP(Fact_Control_Operaciones[[#This Row], 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ht="18.75" customHeight="1" x14ac:dyDescent="0.35">
      <c r="C1377" s="100" t="str">
        <f>IF(OR(Fact_Control_Operaciones[[#This Row], [Año]]="",Fact_Control_Operaciones[[#This Row], 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 [Concepto Anterior]],Conceptos_Control_Operaciones[#All],5,0),"")</f>
        <v/>
      </c>
      <c r="F1377" t="str">
        <f>+IFERROR(VLOOKUP(Fact_Control_Operaciones[[#This Row], 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ht="18.75" customHeight="1" x14ac:dyDescent="0.35">
      <c r="C1378" s="100" t="str">
        <f>IF(OR(Fact_Control_Operaciones[[#This Row], [Año]]="",Fact_Control_Operaciones[[#This Row], 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 [Concepto Anterior]],Conceptos_Control_Operaciones[#All],5,0),"")</f>
        <v/>
      </c>
      <c r="F1378" t="str">
        <f>+IFERROR(VLOOKUP(Fact_Control_Operaciones[[#This Row], 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ht="18.75" customHeight="1" x14ac:dyDescent="0.35">
      <c r="C1379" s="100" t="str">
        <f>IF(OR(Fact_Control_Operaciones[[#This Row], [Año]]="",Fact_Control_Operaciones[[#This Row], 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 [Concepto Anterior]],Conceptos_Control_Operaciones[#All],5,0),"")</f>
        <v/>
      </c>
      <c r="F1379" t="str">
        <f>+IFERROR(VLOOKUP(Fact_Control_Operaciones[[#This Row], 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ht="18.75" customHeight="1" x14ac:dyDescent="0.35">
      <c r="C1380" s="100" t="str">
        <f>IF(OR(Fact_Control_Operaciones[[#This Row], [Año]]="",Fact_Control_Operaciones[[#This Row], 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 [Concepto Anterior]],Conceptos_Control_Operaciones[#All],5,0),"")</f>
        <v/>
      </c>
      <c r="F1380" t="str">
        <f>+IFERROR(VLOOKUP(Fact_Control_Operaciones[[#This Row], 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ht="18.75" customHeight="1" x14ac:dyDescent="0.35">
      <c r="C1381" s="100" t="str">
        <f>IF(OR(Fact_Control_Operaciones[[#This Row], [Año]]="",Fact_Control_Operaciones[[#This Row], 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 [Concepto Anterior]],Conceptos_Control_Operaciones[#All],5,0),"")</f>
        <v/>
      </c>
      <c r="F1381" t="str">
        <f>+IFERROR(VLOOKUP(Fact_Control_Operaciones[[#This Row], 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ht="18.75" customHeight="1" x14ac:dyDescent="0.35">
      <c r="C1382" s="100" t="str">
        <f>IF(OR(Fact_Control_Operaciones[[#This Row], [Año]]="",Fact_Control_Operaciones[[#This Row], 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 [Concepto Anterior]],Conceptos_Control_Operaciones[#All],5,0),"")</f>
        <v/>
      </c>
      <c r="F1382" t="str">
        <f>+IFERROR(VLOOKUP(Fact_Control_Operaciones[[#This Row], 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ht="18.75" customHeight="1" x14ac:dyDescent="0.35">
      <c r="C1383" s="100" t="str">
        <f>IF(OR(Fact_Control_Operaciones[[#This Row], [Año]]="",Fact_Control_Operaciones[[#This Row], 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 [Concepto Anterior]],Conceptos_Control_Operaciones[#All],5,0),"")</f>
        <v/>
      </c>
      <c r="F1383" t="str">
        <f>+IFERROR(VLOOKUP(Fact_Control_Operaciones[[#This Row], 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ht="18.75" customHeight="1" x14ac:dyDescent="0.35">
      <c r="C1384" s="100" t="str">
        <f>IF(OR(Fact_Control_Operaciones[[#This Row], [Año]]="",Fact_Control_Operaciones[[#This Row], 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 [Concepto Anterior]],Conceptos_Control_Operaciones[#All],5,0),"")</f>
        <v/>
      </c>
      <c r="F1384" t="str">
        <f>+IFERROR(VLOOKUP(Fact_Control_Operaciones[[#This Row], 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ht="18.75" customHeight="1" x14ac:dyDescent="0.35">
      <c r="C1385" s="100" t="str">
        <f>IF(OR(Fact_Control_Operaciones[[#This Row], [Año]]="",Fact_Control_Operaciones[[#This Row], 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 [Concepto Anterior]],Conceptos_Control_Operaciones[#All],5,0),"")</f>
        <v/>
      </c>
      <c r="F1385" t="str">
        <f>+IFERROR(VLOOKUP(Fact_Control_Operaciones[[#This Row], 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ht="18.75" customHeight="1" x14ac:dyDescent="0.35">
      <c r="C1386" s="100" t="str">
        <f>IF(OR(Fact_Control_Operaciones[[#This Row], [Año]]="",Fact_Control_Operaciones[[#This Row], 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 [Concepto Anterior]],Conceptos_Control_Operaciones[#All],5,0),"")</f>
        <v/>
      </c>
      <c r="F1386" t="str">
        <f>+IFERROR(VLOOKUP(Fact_Control_Operaciones[[#This Row], 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ht="18.75" customHeight="1" x14ac:dyDescent="0.35">
      <c r="C1387" s="100" t="str">
        <f>IF(OR(Fact_Control_Operaciones[[#This Row], [Año]]="",Fact_Control_Operaciones[[#This Row], 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 [Concepto Anterior]],Conceptos_Control_Operaciones[#All],5,0),"")</f>
        <v/>
      </c>
      <c r="F1387" t="str">
        <f>+IFERROR(VLOOKUP(Fact_Control_Operaciones[[#This Row], 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ht="18.75" customHeight="1" x14ac:dyDescent="0.35">
      <c r="C1388" s="100" t="str">
        <f>IF(OR(Fact_Control_Operaciones[[#This Row], [Año]]="",Fact_Control_Operaciones[[#This Row], 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 [Concepto Anterior]],Conceptos_Control_Operaciones[#All],5,0),"")</f>
        <v/>
      </c>
      <c r="F1388" t="str">
        <f>+IFERROR(VLOOKUP(Fact_Control_Operaciones[[#This Row], 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ht="18.75" customHeight="1" x14ac:dyDescent="0.35">
      <c r="C1389" s="100" t="str">
        <f>IF(OR(Fact_Control_Operaciones[[#This Row], [Año]]="",Fact_Control_Operaciones[[#This Row], 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 [Concepto Anterior]],Conceptos_Control_Operaciones[#All],5,0),"")</f>
        <v/>
      </c>
      <c r="F1389" t="str">
        <f>+IFERROR(VLOOKUP(Fact_Control_Operaciones[[#This Row], 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ht="18.75" customHeight="1" x14ac:dyDescent="0.35">
      <c r="C1390" s="100" t="str">
        <f>IF(OR(Fact_Control_Operaciones[[#This Row], [Año]]="",Fact_Control_Operaciones[[#This Row], 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 [Concepto Anterior]],Conceptos_Control_Operaciones[#All],5,0),"")</f>
        <v/>
      </c>
      <c r="F1390" t="str">
        <f>+IFERROR(VLOOKUP(Fact_Control_Operaciones[[#This Row], 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ht="18.75" customHeight="1" x14ac:dyDescent="0.35">
      <c r="C1391" s="100" t="str">
        <f>IF(OR(Fact_Control_Operaciones[[#This Row], [Año]]="",Fact_Control_Operaciones[[#This Row], 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 [Concepto Anterior]],Conceptos_Control_Operaciones[#All],5,0),"")</f>
        <v/>
      </c>
      <c r="F1391" t="str">
        <f>+IFERROR(VLOOKUP(Fact_Control_Operaciones[[#This Row], 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ht="18.75" customHeight="1" x14ac:dyDescent="0.35">
      <c r="C1392" s="100" t="str">
        <f>IF(OR(Fact_Control_Operaciones[[#This Row], [Año]]="",Fact_Control_Operaciones[[#This Row], 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 [Concepto Anterior]],Conceptos_Control_Operaciones[#All],5,0),"")</f>
        <v/>
      </c>
      <c r="F1392" t="str">
        <f>+IFERROR(VLOOKUP(Fact_Control_Operaciones[[#This Row], 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ht="18.75" customHeight="1" x14ac:dyDescent="0.35">
      <c r="C1393" s="100" t="str">
        <f>IF(OR(Fact_Control_Operaciones[[#This Row], [Año]]="",Fact_Control_Operaciones[[#This Row], 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 [Concepto Anterior]],Conceptos_Control_Operaciones[#All],5,0),"")</f>
        <v/>
      </c>
      <c r="F1393" t="str">
        <f>+IFERROR(VLOOKUP(Fact_Control_Operaciones[[#This Row], 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ht="18.75" customHeight="1" x14ac:dyDescent="0.35">
      <c r="C1394" s="100" t="str">
        <f>IF(OR(Fact_Control_Operaciones[[#This Row], [Año]]="",Fact_Control_Operaciones[[#This Row], 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 [Concepto Anterior]],Conceptos_Control_Operaciones[#All],5,0),"")</f>
        <v/>
      </c>
      <c r="F1394" t="str">
        <f>+IFERROR(VLOOKUP(Fact_Control_Operaciones[[#This Row], 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ht="18.75" customHeight="1" x14ac:dyDescent="0.35">
      <c r="C1395" s="100" t="str">
        <f>IF(OR(Fact_Control_Operaciones[[#This Row], [Año]]="",Fact_Control_Operaciones[[#This Row], 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 [Concepto Anterior]],Conceptos_Control_Operaciones[#All],5,0),"")</f>
        <v/>
      </c>
      <c r="F1395" t="str">
        <f>+IFERROR(VLOOKUP(Fact_Control_Operaciones[[#This Row], 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ht="18.75" customHeight="1" x14ac:dyDescent="0.35">
      <c r="C1396" s="100" t="str">
        <f>IF(OR(Fact_Control_Operaciones[[#This Row], [Año]]="",Fact_Control_Operaciones[[#This Row], 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 [Concepto Anterior]],Conceptos_Control_Operaciones[#All],5,0),"")</f>
        <v/>
      </c>
      <c r="F1396" t="str">
        <f>+IFERROR(VLOOKUP(Fact_Control_Operaciones[[#This Row], 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ht="18.75" customHeight="1" x14ac:dyDescent="0.35">
      <c r="C1397" s="100" t="str">
        <f>IF(OR(Fact_Control_Operaciones[[#This Row], [Año]]="",Fact_Control_Operaciones[[#This Row], 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 [Concepto Anterior]],Conceptos_Control_Operaciones[#All],5,0),"")</f>
        <v/>
      </c>
      <c r="F1397" t="str">
        <f>+IFERROR(VLOOKUP(Fact_Control_Operaciones[[#This Row], 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ht="18.75" customHeight="1" x14ac:dyDescent="0.35">
      <c r="C1398" s="100" t="str">
        <f>IF(OR(Fact_Control_Operaciones[[#This Row], [Año]]="",Fact_Control_Operaciones[[#This Row], 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 [Concepto Anterior]],Conceptos_Control_Operaciones[#All],5,0),"")</f>
        <v/>
      </c>
      <c r="F1398" t="str">
        <f>+IFERROR(VLOOKUP(Fact_Control_Operaciones[[#This Row], 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ht="18.75" customHeight="1" x14ac:dyDescent="0.35">
      <c r="C1399" s="100" t="str">
        <f>IF(OR(Fact_Control_Operaciones[[#This Row], [Año]]="",Fact_Control_Operaciones[[#This Row], 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 [Concepto Anterior]],Conceptos_Control_Operaciones[#All],5,0),"")</f>
        <v/>
      </c>
      <c r="F1399" t="str">
        <f>+IFERROR(VLOOKUP(Fact_Control_Operaciones[[#This Row], 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ht="18.75" customHeight="1" x14ac:dyDescent="0.35">
      <c r="C1400" s="100" t="str">
        <f>IF(OR(Fact_Control_Operaciones[[#This Row], [Año]]="",Fact_Control_Operaciones[[#This Row], 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 [Concepto Anterior]],Conceptos_Control_Operaciones[#All],5,0),"")</f>
        <v/>
      </c>
      <c r="F1400" t="str">
        <f>+IFERROR(VLOOKUP(Fact_Control_Operaciones[[#This Row], 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ht="18.75" customHeight="1" x14ac:dyDescent="0.35">
      <c r="C1401" s="100" t="str">
        <f>IF(OR(Fact_Control_Operaciones[[#This Row], [Año]]="",Fact_Control_Operaciones[[#This Row], 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 [Concepto Anterior]],Conceptos_Control_Operaciones[#All],5,0),"")</f>
        <v/>
      </c>
      <c r="F1401" t="str">
        <f>+IFERROR(VLOOKUP(Fact_Control_Operaciones[[#This Row], 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ht="18.75" customHeight="1" x14ac:dyDescent="0.35">
      <c r="C1402" s="100" t="str">
        <f>IF(OR(Fact_Control_Operaciones[[#This Row], [Año]]="",Fact_Control_Operaciones[[#This Row], 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 [Concepto Anterior]],Conceptos_Control_Operaciones[#All],5,0),"")</f>
        <v/>
      </c>
      <c r="F1402" t="str">
        <f>+IFERROR(VLOOKUP(Fact_Control_Operaciones[[#This Row], 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ht="18.75" customHeight="1" x14ac:dyDescent="0.35">
      <c r="C1403" s="100" t="str">
        <f>IF(OR(Fact_Control_Operaciones[[#This Row], [Año]]="",Fact_Control_Operaciones[[#This Row], 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 [Concepto Anterior]],Conceptos_Control_Operaciones[#All],5,0),"")</f>
        <v/>
      </c>
      <c r="F1403" t="str">
        <f>+IFERROR(VLOOKUP(Fact_Control_Operaciones[[#This Row], 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ht="18.75" customHeight="1" x14ac:dyDescent="0.35">
      <c r="C1404" s="100" t="str">
        <f>IF(OR(Fact_Control_Operaciones[[#This Row], [Año]]="",Fact_Control_Operaciones[[#This Row], 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 [Concepto Anterior]],Conceptos_Control_Operaciones[#All],5,0),"")</f>
        <v/>
      </c>
      <c r="F1404" t="str">
        <f>+IFERROR(VLOOKUP(Fact_Control_Operaciones[[#This Row], 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ht="18.75" customHeight="1" x14ac:dyDescent="0.35">
      <c r="C1405" s="100" t="str">
        <f>IF(OR(Fact_Control_Operaciones[[#This Row], [Año]]="",Fact_Control_Operaciones[[#This Row], 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 [Concepto Anterior]],Conceptos_Control_Operaciones[#All],5,0),"")</f>
        <v/>
      </c>
      <c r="F1405" t="str">
        <f>+IFERROR(VLOOKUP(Fact_Control_Operaciones[[#This Row], 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ht="18.75" customHeight="1" x14ac:dyDescent="0.35">
      <c r="C1406" s="100" t="str">
        <f>IF(OR(Fact_Control_Operaciones[[#This Row], [Año]]="",Fact_Control_Operaciones[[#This Row], 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 [Concepto Anterior]],Conceptos_Control_Operaciones[#All],5,0),"")</f>
        <v/>
      </c>
      <c r="F1406" t="str">
        <f>+IFERROR(VLOOKUP(Fact_Control_Operaciones[[#This Row], 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ht="18.75" customHeight="1" x14ac:dyDescent="0.35">
      <c r="C1407" s="100" t="str">
        <f>IF(OR(Fact_Control_Operaciones[[#This Row], [Año]]="",Fact_Control_Operaciones[[#This Row], 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 [Concepto Anterior]],Conceptos_Control_Operaciones[#All],5,0),"")</f>
        <v/>
      </c>
      <c r="F1407" t="str">
        <f>+IFERROR(VLOOKUP(Fact_Control_Operaciones[[#This Row], 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ht="18.75" customHeight="1" x14ac:dyDescent="0.35">
      <c r="C1408" s="100" t="str">
        <f>IF(OR(Fact_Control_Operaciones[[#This Row], [Año]]="",Fact_Control_Operaciones[[#This Row], 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 [Concepto Anterior]],Conceptos_Control_Operaciones[#All],5,0),"")</f>
        <v/>
      </c>
      <c r="F1408" t="str">
        <f>+IFERROR(VLOOKUP(Fact_Control_Operaciones[[#This Row], 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ht="18.75" customHeight="1" x14ac:dyDescent="0.35">
      <c r="C1409" s="100" t="str">
        <f>IF(OR(Fact_Control_Operaciones[[#This Row], [Año]]="",Fact_Control_Operaciones[[#This Row], 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 [Concepto Anterior]],Conceptos_Control_Operaciones[#All],5,0),"")</f>
        <v/>
      </c>
      <c r="F1409" t="str">
        <f>+IFERROR(VLOOKUP(Fact_Control_Operaciones[[#This Row], 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ht="18.75" customHeight="1" x14ac:dyDescent="0.35">
      <c r="C1410" s="100" t="str">
        <f>IF(OR(Fact_Control_Operaciones[[#This Row], [Año]]="",Fact_Control_Operaciones[[#This Row], 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 [Concepto Anterior]],Conceptos_Control_Operaciones[#All],5,0),"")</f>
        <v/>
      </c>
      <c r="F1410" t="str">
        <f>+IFERROR(VLOOKUP(Fact_Control_Operaciones[[#This Row], 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ht="18.75" customHeight="1" x14ac:dyDescent="0.35">
      <c r="C1411" s="100" t="str">
        <f>IF(OR(Fact_Control_Operaciones[[#This Row], [Año]]="",Fact_Control_Operaciones[[#This Row], 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 [Concepto Anterior]],Conceptos_Control_Operaciones[#All],5,0),"")</f>
        <v/>
      </c>
      <c r="F1411" t="str">
        <f>+IFERROR(VLOOKUP(Fact_Control_Operaciones[[#This Row], 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ht="18.75" customHeight="1" x14ac:dyDescent="0.35">
      <c r="C1412" s="100" t="str">
        <f>IF(OR(Fact_Control_Operaciones[[#This Row], [Año]]="",Fact_Control_Operaciones[[#This Row], 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 [Concepto Anterior]],Conceptos_Control_Operaciones[#All],5,0),"")</f>
        <v/>
      </c>
      <c r="F1412" t="str">
        <f>+IFERROR(VLOOKUP(Fact_Control_Operaciones[[#This Row], 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ht="18.75" customHeight="1" x14ac:dyDescent="0.35">
      <c r="C1413" s="100" t="str">
        <f>IF(OR(Fact_Control_Operaciones[[#This Row], [Año]]="",Fact_Control_Operaciones[[#This Row], 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 [Concepto Anterior]],Conceptos_Control_Operaciones[#All],5,0),"")</f>
        <v/>
      </c>
      <c r="F1413" t="str">
        <f>+IFERROR(VLOOKUP(Fact_Control_Operaciones[[#This Row], 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ht="18.75" customHeight="1" x14ac:dyDescent="0.35">
      <c r="C1414" s="100" t="str">
        <f>IF(OR(Fact_Control_Operaciones[[#This Row], [Año]]="",Fact_Control_Operaciones[[#This Row], 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 [Concepto Anterior]],Conceptos_Control_Operaciones[#All],5,0),"")</f>
        <v/>
      </c>
      <c r="F1414" t="str">
        <f>+IFERROR(VLOOKUP(Fact_Control_Operaciones[[#This Row], 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ht="18.75" customHeight="1" x14ac:dyDescent="0.35">
      <c r="C1415" s="100" t="str">
        <f>IF(OR(Fact_Control_Operaciones[[#This Row], [Año]]="",Fact_Control_Operaciones[[#This Row], 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 [Concepto Anterior]],Conceptos_Control_Operaciones[#All],5,0),"")</f>
        <v/>
      </c>
      <c r="F1415" t="str">
        <f>+IFERROR(VLOOKUP(Fact_Control_Operaciones[[#This Row], 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ht="18.75" customHeight="1" x14ac:dyDescent="0.35">
      <c r="C1416" s="100" t="str">
        <f>IF(OR(Fact_Control_Operaciones[[#This Row], [Año]]="",Fact_Control_Operaciones[[#This Row], 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 [Concepto Anterior]],Conceptos_Control_Operaciones[#All],5,0),"")</f>
        <v/>
      </c>
      <c r="F1416" t="str">
        <f>+IFERROR(VLOOKUP(Fact_Control_Operaciones[[#This Row], 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ht="18.75" customHeight="1" x14ac:dyDescent="0.35">
      <c r="C1417" s="100" t="str">
        <f>IF(OR(Fact_Control_Operaciones[[#This Row], [Año]]="",Fact_Control_Operaciones[[#This Row], 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 [Concepto Anterior]],Conceptos_Control_Operaciones[#All],5,0),"")</f>
        <v/>
      </c>
      <c r="F1417" t="str">
        <f>+IFERROR(VLOOKUP(Fact_Control_Operaciones[[#This Row], 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ht="18.75" customHeight="1" x14ac:dyDescent="0.35">
      <c r="C1418" s="100" t="str">
        <f>IF(OR(Fact_Control_Operaciones[[#This Row], [Año]]="",Fact_Control_Operaciones[[#This Row], 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 [Concepto Anterior]],Conceptos_Control_Operaciones[#All],5,0),"")</f>
        <v/>
      </c>
      <c r="F1418" t="str">
        <f>+IFERROR(VLOOKUP(Fact_Control_Operaciones[[#This Row], 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ht="18.75" customHeight="1" x14ac:dyDescent="0.35">
      <c r="C1419" s="100" t="str">
        <f>IF(OR(Fact_Control_Operaciones[[#This Row], [Año]]="",Fact_Control_Operaciones[[#This Row], 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 [Concepto Anterior]],Conceptos_Control_Operaciones[#All],5,0),"")</f>
        <v/>
      </c>
      <c r="F1419" t="str">
        <f>+IFERROR(VLOOKUP(Fact_Control_Operaciones[[#This Row], 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ht="18.75" customHeight="1" x14ac:dyDescent="0.35">
      <c r="C1420" s="100" t="str">
        <f>IF(OR(Fact_Control_Operaciones[[#This Row], [Año]]="",Fact_Control_Operaciones[[#This Row], 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 [Concepto Anterior]],Conceptos_Control_Operaciones[#All],5,0),"")</f>
        <v/>
      </c>
      <c r="F1420" t="str">
        <f>+IFERROR(VLOOKUP(Fact_Control_Operaciones[[#This Row], 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ht="18.75" customHeight="1" x14ac:dyDescent="0.35">
      <c r="C1421" s="100" t="str">
        <f>IF(OR(Fact_Control_Operaciones[[#This Row], [Año]]="",Fact_Control_Operaciones[[#This Row], 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 [Concepto Anterior]],Conceptos_Control_Operaciones[#All],5,0),"")</f>
        <v/>
      </c>
      <c r="F1421" t="str">
        <f>+IFERROR(VLOOKUP(Fact_Control_Operaciones[[#This Row], 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ht="18.75" customHeight="1" x14ac:dyDescent="0.35">
      <c r="C1422" s="100" t="str">
        <f>IF(OR(Fact_Control_Operaciones[[#This Row], [Año]]="",Fact_Control_Operaciones[[#This Row], 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 [Concepto Anterior]],Conceptos_Control_Operaciones[#All],5,0),"")</f>
        <v/>
      </c>
      <c r="F1422" t="str">
        <f>+IFERROR(VLOOKUP(Fact_Control_Operaciones[[#This Row], 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ht="18.75" customHeight="1" x14ac:dyDescent="0.35">
      <c r="C1423" s="100" t="str">
        <f>IF(OR(Fact_Control_Operaciones[[#This Row], [Año]]="",Fact_Control_Operaciones[[#This Row], 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 [Concepto Anterior]],Conceptos_Control_Operaciones[#All],5,0),"")</f>
        <v/>
      </c>
      <c r="F1423" t="str">
        <f>+IFERROR(VLOOKUP(Fact_Control_Operaciones[[#This Row], 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ht="18.75" customHeight="1" x14ac:dyDescent="0.35">
      <c r="C1424" s="100" t="str">
        <f>IF(OR(Fact_Control_Operaciones[[#This Row], [Año]]="",Fact_Control_Operaciones[[#This Row], 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 [Concepto Anterior]],Conceptos_Control_Operaciones[#All],5,0),"")</f>
        <v/>
      </c>
      <c r="F1424" t="str">
        <f>+IFERROR(VLOOKUP(Fact_Control_Operaciones[[#This Row], 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ht="18.75" customHeight="1" x14ac:dyDescent="0.35">
      <c r="C1425" s="100" t="str">
        <f>IF(OR(Fact_Control_Operaciones[[#This Row], [Año]]="",Fact_Control_Operaciones[[#This Row], 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 [Concepto Anterior]],Conceptos_Control_Operaciones[#All],5,0),"")</f>
        <v/>
      </c>
      <c r="F1425" t="str">
        <f>+IFERROR(VLOOKUP(Fact_Control_Operaciones[[#This Row], 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ht="18.75" customHeight="1" x14ac:dyDescent="0.35">
      <c r="C1426" s="100" t="str">
        <f>IF(OR(Fact_Control_Operaciones[[#This Row], [Año]]="",Fact_Control_Operaciones[[#This Row], 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 [Concepto Anterior]],Conceptos_Control_Operaciones[#All],5,0),"")</f>
        <v/>
      </c>
      <c r="F1426" t="str">
        <f>+IFERROR(VLOOKUP(Fact_Control_Operaciones[[#This Row], 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ht="18.75" customHeight="1" x14ac:dyDescent="0.35">
      <c r="C1427" s="100" t="str">
        <f>IF(OR(Fact_Control_Operaciones[[#This Row], [Año]]="",Fact_Control_Operaciones[[#This Row], 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 [Concepto Anterior]],Conceptos_Control_Operaciones[#All],5,0),"")</f>
        <v/>
      </c>
      <c r="F1427" t="str">
        <f>+IFERROR(VLOOKUP(Fact_Control_Operaciones[[#This Row], 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ht="18.75" customHeight="1" x14ac:dyDescent="0.35">
      <c r="C1428" s="100" t="str">
        <f>IF(OR(Fact_Control_Operaciones[[#This Row], [Año]]="",Fact_Control_Operaciones[[#This Row], 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 [Concepto Anterior]],Conceptos_Control_Operaciones[#All],5,0),"")</f>
        <v/>
      </c>
      <c r="F1428" t="str">
        <f>+IFERROR(VLOOKUP(Fact_Control_Operaciones[[#This Row], 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ht="18.75" customHeight="1" x14ac:dyDescent="0.35">
      <c r="C1429" s="100" t="str">
        <f>IF(OR(Fact_Control_Operaciones[[#This Row], [Año]]="",Fact_Control_Operaciones[[#This Row], 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 [Concepto Anterior]],Conceptos_Control_Operaciones[#All],5,0),"")</f>
        <v/>
      </c>
      <c r="F1429" t="str">
        <f>+IFERROR(VLOOKUP(Fact_Control_Operaciones[[#This Row], 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ht="18.75" customHeight="1" x14ac:dyDescent="0.35">
      <c r="C1430" s="100" t="str">
        <f>IF(OR(Fact_Control_Operaciones[[#This Row], [Año]]="",Fact_Control_Operaciones[[#This Row], 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 [Concepto Anterior]],Conceptos_Control_Operaciones[#All],5,0),"")</f>
        <v/>
      </c>
      <c r="F1430" t="str">
        <f>+IFERROR(VLOOKUP(Fact_Control_Operaciones[[#This Row], 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ht="18.75" customHeight="1" x14ac:dyDescent="0.35">
      <c r="C1431" s="100" t="str">
        <f>IF(OR(Fact_Control_Operaciones[[#This Row], [Año]]="",Fact_Control_Operaciones[[#This Row], 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 [Concepto Anterior]],Conceptos_Control_Operaciones[#All],5,0),"")</f>
        <v/>
      </c>
      <c r="F1431" t="str">
        <f>+IFERROR(VLOOKUP(Fact_Control_Operaciones[[#This Row], 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ht="18.75" customHeight="1" x14ac:dyDescent="0.35">
      <c r="C1432" s="100" t="str">
        <f>IF(OR(Fact_Control_Operaciones[[#This Row], [Año]]="",Fact_Control_Operaciones[[#This Row], 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 [Concepto Anterior]],Conceptos_Control_Operaciones[#All],5,0),"")</f>
        <v/>
      </c>
      <c r="F1432" t="str">
        <f>+IFERROR(VLOOKUP(Fact_Control_Operaciones[[#This Row], 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ht="18.75" customHeight="1" x14ac:dyDescent="0.35">
      <c r="C1433" s="100" t="str">
        <f>IF(OR(Fact_Control_Operaciones[[#This Row], [Año]]="",Fact_Control_Operaciones[[#This Row], 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 [Concepto Anterior]],Conceptos_Control_Operaciones[#All],5,0),"")</f>
        <v/>
      </c>
      <c r="F1433" t="str">
        <f>+IFERROR(VLOOKUP(Fact_Control_Operaciones[[#This Row], 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ht="18.75" customHeight="1" x14ac:dyDescent="0.35">
      <c r="C1434" s="100" t="str">
        <f>IF(OR(Fact_Control_Operaciones[[#This Row], [Año]]="",Fact_Control_Operaciones[[#This Row], 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 [Concepto Anterior]],Conceptos_Control_Operaciones[#All],5,0),"")</f>
        <v/>
      </c>
      <c r="F1434" t="str">
        <f>+IFERROR(VLOOKUP(Fact_Control_Operaciones[[#This Row], 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ht="18.75" customHeight="1" x14ac:dyDescent="0.35">
      <c r="C1435" s="100" t="str">
        <f>IF(OR(Fact_Control_Operaciones[[#This Row], [Año]]="",Fact_Control_Operaciones[[#This Row], 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 [Concepto Anterior]],Conceptos_Control_Operaciones[#All],5,0),"")</f>
        <v/>
      </c>
      <c r="F1435" t="str">
        <f>+IFERROR(VLOOKUP(Fact_Control_Operaciones[[#This Row], 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ht="18.75" customHeight="1" x14ac:dyDescent="0.35">
      <c r="C1436" s="100" t="str">
        <f>IF(OR(Fact_Control_Operaciones[[#This Row], [Año]]="",Fact_Control_Operaciones[[#This Row], 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 [Concepto Anterior]],Conceptos_Control_Operaciones[#All],5,0),"")</f>
        <v/>
      </c>
      <c r="F1436" t="str">
        <f>+IFERROR(VLOOKUP(Fact_Control_Operaciones[[#This Row], 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ht="18.75" customHeight="1" x14ac:dyDescent="0.35">
      <c r="C1437" s="100" t="str">
        <f>IF(OR(Fact_Control_Operaciones[[#This Row], [Año]]="",Fact_Control_Operaciones[[#This Row], 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 [Concepto Anterior]],Conceptos_Control_Operaciones[#All],5,0),"")</f>
        <v/>
      </c>
      <c r="F1437" t="str">
        <f>+IFERROR(VLOOKUP(Fact_Control_Operaciones[[#This Row], 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ht="18.75" customHeight="1" x14ac:dyDescent="0.35">
      <c r="C1438" s="100" t="str">
        <f>IF(OR(Fact_Control_Operaciones[[#This Row], [Año]]="",Fact_Control_Operaciones[[#This Row], 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 [Concepto Anterior]],Conceptos_Control_Operaciones[#All],5,0),"")</f>
        <v/>
      </c>
      <c r="F1438" t="str">
        <f>+IFERROR(VLOOKUP(Fact_Control_Operaciones[[#This Row], 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ht="18.75" customHeight="1" x14ac:dyDescent="0.35">
      <c r="C1439" s="100" t="str">
        <f>IF(OR(Fact_Control_Operaciones[[#This Row], [Año]]="",Fact_Control_Operaciones[[#This Row], 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 [Concepto Anterior]],Conceptos_Control_Operaciones[#All],5,0),"")</f>
        <v/>
      </c>
      <c r="F1439" t="str">
        <f>+IFERROR(VLOOKUP(Fact_Control_Operaciones[[#This Row], 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ht="18.75" customHeight="1" x14ac:dyDescent="0.35">
      <c r="C1440" s="100" t="str">
        <f>IF(OR(Fact_Control_Operaciones[[#This Row], [Año]]="",Fact_Control_Operaciones[[#This Row], 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 [Concepto Anterior]],Conceptos_Control_Operaciones[#All],5,0),"")</f>
        <v/>
      </c>
      <c r="F1440" t="str">
        <f>+IFERROR(VLOOKUP(Fact_Control_Operaciones[[#This Row], 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ht="18.75" customHeight="1" x14ac:dyDescent="0.35">
      <c r="C1441" s="100" t="str">
        <f>IF(OR(Fact_Control_Operaciones[[#This Row], [Año]]="",Fact_Control_Operaciones[[#This Row], 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 [Concepto Anterior]],Conceptos_Control_Operaciones[#All],5,0),"")</f>
        <v/>
      </c>
      <c r="F1441" t="str">
        <f>+IFERROR(VLOOKUP(Fact_Control_Operaciones[[#This Row], 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ht="18.75" customHeight="1" x14ac:dyDescent="0.35">
      <c r="C1442" s="100" t="str">
        <f>IF(OR(Fact_Control_Operaciones[[#This Row], [Año]]="",Fact_Control_Operaciones[[#This Row], 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 [Concepto Anterior]],Conceptos_Control_Operaciones[#All],5,0),"")</f>
        <v/>
      </c>
      <c r="F1442" t="str">
        <f>+IFERROR(VLOOKUP(Fact_Control_Operaciones[[#This Row], 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ht="18.75" customHeight="1" x14ac:dyDescent="0.35">
      <c r="C1443" s="100" t="str">
        <f>IF(OR(Fact_Control_Operaciones[[#This Row], [Año]]="",Fact_Control_Operaciones[[#This Row], 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 [Concepto Anterior]],Conceptos_Control_Operaciones[#All],5,0),"")</f>
        <v/>
      </c>
      <c r="F1443" t="str">
        <f>+IFERROR(VLOOKUP(Fact_Control_Operaciones[[#This Row], 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ht="18.75" customHeight="1" x14ac:dyDescent="0.35">
      <c r="C1444" s="100" t="str">
        <f>IF(OR(Fact_Control_Operaciones[[#This Row], [Año]]="",Fact_Control_Operaciones[[#This Row], 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 [Concepto Anterior]],Conceptos_Control_Operaciones[#All],5,0),"")</f>
        <v/>
      </c>
      <c r="F1444" t="str">
        <f>+IFERROR(VLOOKUP(Fact_Control_Operaciones[[#This Row], 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ht="18.75" customHeight="1" x14ac:dyDescent="0.35">
      <c r="C1445" s="100" t="str">
        <f>IF(OR(Fact_Control_Operaciones[[#This Row], [Año]]="",Fact_Control_Operaciones[[#This Row], 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 [Concepto Anterior]],Conceptos_Control_Operaciones[#All],5,0),"")</f>
        <v/>
      </c>
      <c r="F1445" t="str">
        <f>+IFERROR(VLOOKUP(Fact_Control_Operaciones[[#This Row], 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ht="18.75" customHeight="1" x14ac:dyDescent="0.35">
      <c r="C1446" s="100" t="str">
        <f>IF(OR(Fact_Control_Operaciones[[#This Row], [Año]]="",Fact_Control_Operaciones[[#This Row], 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 [Concepto Anterior]],Conceptos_Control_Operaciones[#All],5,0),"")</f>
        <v/>
      </c>
      <c r="F1446" t="str">
        <f>+IFERROR(VLOOKUP(Fact_Control_Operaciones[[#This Row], 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ht="18.75" customHeight="1" x14ac:dyDescent="0.35">
      <c r="C1447" s="100" t="str">
        <f>IF(OR(Fact_Control_Operaciones[[#This Row], [Año]]="",Fact_Control_Operaciones[[#This Row], 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 [Concepto Anterior]],Conceptos_Control_Operaciones[#All],5,0),"")</f>
        <v/>
      </c>
      <c r="F1447" t="str">
        <f>+IFERROR(VLOOKUP(Fact_Control_Operaciones[[#This Row], 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ht="18.75" customHeight="1" x14ac:dyDescent="0.35">
      <c r="C1448" s="100" t="str">
        <f>IF(OR(Fact_Control_Operaciones[[#This Row], [Año]]="",Fact_Control_Operaciones[[#This Row], 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 [Concepto Anterior]],Conceptos_Control_Operaciones[#All],5,0),"")</f>
        <v/>
      </c>
      <c r="F1448" t="str">
        <f>+IFERROR(VLOOKUP(Fact_Control_Operaciones[[#This Row], 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ht="18.75" customHeight="1" x14ac:dyDescent="0.35">
      <c r="C1449" s="100" t="str">
        <f>IF(OR(Fact_Control_Operaciones[[#This Row], [Año]]="",Fact_Control_Operaciones[[#This Row], 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 [Concepto Anterior]],Conceptos_Control_Operaciones[#All],5,0),"")</f>
        <v/>
      </c>
      <c r="F1449" t="str">
        <f>+IFERROR(VLOOKUP(Fact_Control_Operaciones[[#This Row], 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ht="18.75" customHeight="1" x14ac:dyDescent="0.35">
      <c r="C1450" s="100" t="str">
        <f>IF(OR(Fact_Control_Operaciones[[#This Row], [Año]]="",Fact_Control_Operaciones[[#This Row], 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 [Concepto Anterior]],Conceptos_Control_Operaciones[#All],5,0),"")</f>
        <v/>
      </c>
      <c r="F1450" t="str">
        <f>+IFERROR(VLOOKUP(Fact_Control_Operaciones[[#This Row], 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ht="18.75" customHeight="1" x14ac:dyDescent="0.35">
      <c r="C1451" s="100" t="str">
        <f>IF(OR(Fact_Control_Operaciones[[#This Row], [Año]]="",Fact_Control_Operaciones[[#This Row], 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 [Concepto Anterior]],Conceptos_Control_Operaciones[#All],5,0),"")</f>
        <v/>
      </c>
      <c r="F1451" t="str">
        <f>+IFERROR(VLOOKUP(Fact_Control_Operaciones[[#This Row], 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ht="18.75" customHeight="1" x14ac:dyDescent="0.35">
      <c r="C1452" s="100" t="str">
        <f>IF(OR(Fact_Control_Operaciones[[#This Row], [Año]]="",Fact_Control_Operaciones[[#This Row], 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 [Concepto Anterior]],Conceptos_Control_Operaciones[#All],5,0),"")</f>
        <v/>
      </c>
      <c r="F1452" t="str">
        <f>+IFERROR(VLOOKUP(Fact_Control_Operaciones[[#This Row], 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ht="18.75" customHeight="1" x14ac:dyDescent="0.35">
      <c r="C1453" s="100" t="str">
        <f>IF(OR(Fact_Control_Operaciones[[#This Row], [Año]]="",Fact_Control_Operaciones[[#This Row], 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 [Concepto Anterior]],Conceptos_Control_Operaciones[#All],5,0),"")</f>
        <v/>
      </c>
      <c r="F1453" t="str">
        <f>+IFERROR(VLOOKUP(Fact_Control_Operaciones[[#This Row], 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ht="18.75" customHeight="1" x14ac:dyDescent="0.35">
      <c r="C1454" s="100" t="str">
        <f>IF(OR(Fact_Control_Operaciones[[#This Row], [Año]]="",Fact_Control_Operaciones[[#This Row], 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 [Concepto Anterior]],Conceptos_Control_Operaciones[#All],5,0),"")</f>
        <v/>
      </c>
      <c r="F1454" t="str">
        <f>+IFERROR(VLOOKUP(Fact_Control_Operaciones[[#This Row], 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ht="18.75" customHeight="1" x14ac:dyDescent="0.35">
      <c r="C1455" s="100" t="str">
        <f>IF(OR(Fact_Control_Operaciones[[#This Row], [Año]]="",Fact_Control_Operaciones[[#This Row], 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 [Concepto Anterior]],Conceptos_Control_Operaciones[#All],5,0),"")</f>
        <v/>
      </c>
      <c r="F1455" t="str">
        <f>+IFERROR(VLOOKUP(Fact_Control_Operaciones[[#This Row], 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ht="18.75" customHeight="1" x14ac:dyDescent="0.35">
      <c r="C1456" s="100" t="str">
        <f>IF(OR(Fact_Control_Operaciones[[#This Row], [Año]]="",Fact_Control_Operaciones[[#This Row], 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 [Concepto Anterior]],Conceptos_Control_Operaciones[#All],5,0),"")</f>
        <v/>
      </c>
      <c r="F1456" t="str">
        <f>+IFERROR(VLOOKUP(Fact_Control_Operaciones[[#This Row], 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ht="18.75" customHeight="1" x14ac:dyDescent="0.35">
      <c r="C1457" s="100" t="str">
        <f>IF(OR(Fact_Control_Operaciones[[#This Row], [Año]]="",Fact_Control_Operaciones[[#This Row], 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 [Concepto Anterior]],Conceptos_Control_Operaciones[#All],5,0),"")</f>
        <v/>
      </c>
      <c r="F1457" t="str">
        <f>+IFERROR(VLOOKUP(Fact_Control_Operaciones[[#This Row], 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ht="18.75" customHeight="1" x14ac:dyDescent="0.35">
      <c r="C1458" s="100" t="str">
        <f>IF(OR(Fact_Control_Operaciones[[#This Row], [Año]]="",Fact_Control_Operaciones[[#This Row], 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 [Concepto Anterior]],Conceptos_Control_Operaciones[#All],5,0),"")</f>
        <v/>
      </c>
      <c r="F1458" t="str">
        <f>+IFERROR(VLOOKUP(Fact_Control_Operaciones[[#This Row], 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ht="18.75" customHeight="1" x14ac:dyDescent="0.35">
      <c r="C1459" s="100" t="str">
        <f>IF(OR(Fact_Control_Operaciones[[#This Row], [Año]]="",Fact_Control_Operaciones[[#This Row], 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 [Concepto Anterior]],Conceptos_Control_Operaciones[#All],5,0),"")</f>
        <v/>
      </c>
      <c r="F1459" t="str">
        <f>+IFERROR(VLOOKUP(Fact_Control_Operaciones[[#This Row], 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ht="18.75" customHeight="1" x14ac:dyDescent="0.35">
      <c r="C1460" s="100" t="str">
        <f>IF(OR(Fact_Control_Operaciones[[#This Row], [Año]]="",Fact_Control_Operaciones[[#This Row], 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 [Concepto Anterior]],Conceptos_Control_Operaciones[#All],5,0),"")</f>
        <v/>
      </c>
      <c r="F1460" t="str">
        <f>+IFERROR(VLOOKUP(Fact_Control_Operaciones[[#This Row], 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ht="18.75" customHeight="1" x14ac:dyDescent="0.35">
      <c r="C1461" s="100" t="str">
        <f>IF(OR(Fact_Control_Operaciones[[#This Row], [Año]]="",Fact_Control_Operaciones[[#This Row], 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 [Concepto Anterior]],Conceptos_Control_Operaciones[#All],5,0),"")</f>
        <v/>
      </c>
      <c r="F1461" t="str">
        <f>+IFERROR(VLOOKUP(Fact_Control_Operaciones[[#This Row], 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ht="18.75" customHeight="1" x14ac:dyDescent="0.35">
      <c r="C1462" s="100" t="str">
        <f>IF(OR(Fact_Control_Operaciones[[#This Row], [Año]]="",Fact_Control_Operaciones[[#This Row], 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 [Concepto Anterior]],Conceptos_Control_Operaciones[#All],5,0),"")</f>
        <v/>
      </c>
      <c r="F1462" t="str">
        <f>+IFERROR(VLOOKUP(Fact_Control_Operaciones[[#This Row], 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ht="18.75" customHeight="1" x14ac:dyDescent="0.35">
      <c r="C1463" s="100" t="str">
        <f>IF(OR(Fact_Control_Operaciones[[#This Row], [Año]]="",Fact_Control_Operaciones[[#This Row], 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 [Concepto Anterior]],Conceptos_Control_Operaciones[#All],5,0),"")</f>
        <v/>
      </c>
      <c r="F1463" t="str">
        <f>+IFERROR(VLOOKUP(Fact_Control_Operaciones[[#This Row], 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ht="18.75" customHeight="1" x14ac:dyDescent="0.35">
      <c r="C1464" s="100" t="str">
        <f>IF(OR(Fact_Control_Operaciones[[#This Row], [Año]]="",Fact_Control_Operaciones[[#This Row], 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 [Concepto Anterior]],Conceptos_Control_Operaciones[#All],5,0),"")</f>
        <v/>
      </c>
      <c r="F1464" t="str">
        <f>+IFERROR(VLOOKUP(Fact_Control_Operaciones[[#This Row], 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ht="18.75" customHeight="1" x14ac:dyDescent="0.35">
      <c r="C1465" s="100" t="str">
        <f>IF(OR(Fact_Control_Operaciones[[#This Row], [Año]]="",Fact_Control_Operaciones[[#This Row], 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 [Concepto Anterior]],Conceptos_Control_Operaciones[#All],5,0),"")</f>
        <v/>
      </c>
      <c r="F1465" t="str">
        <f>+IFERROR(VLOOKUP(Fact_Control_Operaciones[[#This Row], 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ht="18.75" customHeight="1" x14ac:dyDescent="0.35">
      <c r="C1466" s="100" t="str">
        <f>IF(OR(Fact_Control_Operaciones[[#This Row], [Año]]="",Fact_Control_Operaciones[[#This Row], 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 [Concepto Anterior]],Conceptos_Control_Operaciones[#All],5,0),"")</f>
        <v/>
      </c>
      <c r="F1466" t="str">
        <f>+IFERROR(VLOOKUP(Fact_Control_Operaciones[[#This Row], 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ht="18.75" customHeight="1" x14ac:dyDescent="0.35">
      <c r="C1467" s="100" t="str">
        <f>IF(OR(Fact_Control_Operaciones[[#This Row], [Año]]="",Fact_Control_Operaciones[[#This Row], 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 [Concepto Anterior]],Conceptos_Control_Operaciones[#All],5,0),"")</f>
        <v/>
      </c>
      <c r="F1467" t="str">
        <f>+IFERROR(VLOOKUP(Fact_Control_Operaciones[[#This Row], 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ht="18.75" customHeight="1" x14ac:dyDescent="0.35">
      <c r="C1468" s="100" t="str">
        <f>IF(OR(Fact_Control_Operaciones[[#This Row], [Año]]="",Fact_Control_Operaciones[[#This Row], 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 [Concepto Anterior]],Conceptos_Control_Operaciones[#All],5,0),"")</f>
        <v/>
      </c>
      <c r="F1468" t="str">
        <f>+IFERROR(VLOOKUP(Fact_Control_Operaciones[[#This Row], 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ht="18.75" customHeight="1" x14ac:dyDescent="0.35">
      <c r="C1469" s="100" t="str">
        <f>IF(OR(Fact_Control_Operaciones[[#This Row], [Año]]="",Fact_Control_Operaciones[[#This Row], 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 [Concepto Anterior]],Conceptos_Control_Operaciones[#All],5,0),"")</f>
        <v/>
      </c>
      <c r="F1469" t="str">
        <f>+IFERROR(VLOOKUP(Fact_Control_Operaciones[[#This Row], 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ht="18.75" customHeight="1" x14ac:dyDescent="0.35">
      <c r="C1470" s="100" t="str">
        <f>IF(OR(Fact_Control_Operaciones[[#This Row], [Año]]="",Fact_Control_Operaciones[[#This Row], 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 [Concepto Anterior]],Conceptos_Control_Operaciones[#All],5,0),"")</f>
        <v/>
      </c>
      <c r="F1470" t="str">
        <f>+IFERROR(VLOOKUP(Fact_Control_Operaciones[[#This Row], 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ht="18.75" customHeight="1" x14ac:dyDescent="0.35">
      <c r="C1471" s="100" t="str">
        <f>IF(OR(Fact_Control_Operaciones[[#This Row], [Año]]="",Fact_Control_Operaciones[[#This Row], 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 [Concepto Anterior]],Conceptos_Control_Operaciones[#All],5,0),"")</f>
        <v/>
      </c>
      <c r="F1471" t="str">
        <f>+IFERROR(VLOOKUP(Fact_Control_Operaciones[[#This Row], 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ht="18.75" customHeight="1" x14ac:dyDescent="0.35">
      <c r="C1472" s="100" t="str">
        <f>IF(OR(Fact_Control_Operaciones[[#This Row], [Año]]="",Fact_Control_Operaciones[[#This Row], 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 [Concepto Anterior]],Conceptos_Control_Operaciones[#All],5,0),"")</f>
        <v/>
      </c>
      <c r="F1472" t="str">
        <f>+IFERROR(VLOOKUP(Fact_Control_Operaciones[[#This Row], 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ht="18.75" customHeight="1" x14ac:dyDescent="0.35">
      <c r="C1473" s="100" t="str">
        <f>IF(OR(Fact_Control_Operaciones[[#This Row], [Año]]="",Fact_Control_Operaciones[[#This Row], 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 [Concepto Anterior]],Conceptos_Control_Operaciones[#All],5,0),"")</f>
        <v/>
      </c>
      <c r="F1473" t="str">
        <f>+IFERROR(VLOOKUP(Fact_Control_Operaciones[[#This Row], 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ht="18.75" customHeight="1" x14ac:dyDescent="0.35">
      <c r="C1474" s="100" t="str">
        <f>IF(OR(Fact_Control_Operaciones[[#This Row], [Año]]="",Fact_Control_Operaciones[[#This Row], 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 [Concepto Anterior]],Conceptos_Control_Operaciones[#All],5,0),"")</f>
        <v/>
      </c>
      <c r="F1474" t="str">
        <f>+IFERROR(VLOOKUP(Fact_Control_Operaciones[[#This Row], 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ht="18.75" customHeight="1" x14ac:dyDescent="0.35">
      <c r="C1475" s="100" t="str">
        <f>IF(OR(Fact_Control_Operaciones[[#This Row], [Año]]="",Fact_Control_Operaciones[[#This Row], 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 [Concepto Anterior]],Conceptos_Control_Operaciones[#All],5,0),"")</f>
        <v/>
      </c>
      <c r="F1475" t="str">
        <f>+IFERROR(VLOOKUP(Fact_Control_Operaciones[[#This Row], 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ht="18.75" customHeight="1" x14ac:dyDescent="0.35">
      <c r="C1476" s="100" t="str">
        <f>IF(OR(Fact_Control_Operaciones[[#This Row], [Año]]="",Fact_Control_Operaciones[[#This Row], 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 [Concepto Anterior]],Conceptos_Control_Operaciones[#All],5,0),"")</f>
        <v/>
      </c>
      <c r="F1476" t="str">
        <f>+IFERROR(VLOOKUP(Fact_Control_Operaciones[[#This Row], 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ht="18.75" customHeight="1" x14ac:dyDescent="0.35">
      <c r="C1477" s="100" t="str">
        <f>IF(OR(Fact_Control_Operaciones[[#This Row], [Año]]="",Fact_Control_Operaciones[[#This Row], 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 [Concepto Anterior]],Conceptos_Control_Operaciones[#All],5,0),"")</f>
        <v/>
      </c>
      <c r="F1477" t="str">
        <f>+IFERROR(VLOOKUP(Fact_Control_Operaciones[[#This Row], 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ht="18.75" customHeight="1" x14ac:dyDescent="0.35">
      <c r="C1478" s="100" t="str">
        <f>IF(OR(Fact_Control_Operaciones[[#This Row], [Año]]="",Fact_Control_Operaciones[[#This Row], 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 [Concepto Anterior]],Conceptos_Control_Operaciones[#All],5,0),"")</f>
        <v/>
      </c>
      <c r="F1478" t="str">
        <f>+IFERROR(VLOOKUP(Fact_Control_Operaciones[[#This Row], 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ht="18.75" customHeight="1" x14ac:dyDescent="0.35">
      <c r="C1479" s="100" t="str">
        <f>IF(OR(Fact_Control_Operaciones[[#This Row], [Año]]="",Fact_Control_Operaciones[[#This Row], 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 [Concepto Anterior]],Conceptos_Control_Operaciones[#All],5,0),"")</f>
        <v/>
      </c>
      <c r="F1479" t="str">
        <f>+IFERROR(VLOOKUP(Fact_Control_Operaciones[[#This Row], 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ht="18.75" customHeight="1" x14ac:dyDescent="0.35">
      <c r="C1480" s="100" t="str">
        <f>IF(OR(Fact_Control_Operaciones[[#This Row], [Año]]="",Fact_Control_Operaciones[[#This Row], 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 [Concepto Anterior]],Conceptos_Control_Operaciones[#All],5,0),"")</f>
        <v/>
      </c>
      <c r="F1480" t="str">
        <f>+IFERROR(VLOOKUP(Fact_Control_Operaciones[[#This Row], 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ht="18.75" customHeight="1" x14ac:dyDescent="0.35">
      <c r="C1481" s="100" t="str">
        <f>IF(OR(Fact_Control_Operaciones[[#This Row], [Año]]="",Fact_Control_Operaciones[[#This Row], 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 [Concepto Anterior]],Conceptos_Control_Operaciones[#All],5,0),"")</f>
        <v/>
      </c>
      <c r="F1481" t="str">
        <f>+IFERROR(VLOOKUP(Fact_Control_Operaciones[[#This Row], 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ht="18.75" customHeight="1" x14ac:dyDescent="0.35">
      <c r="C1482" s="100" t="str">
        <f>IF(OR(Fact_Control_Operaciones[[#This Row], [Año]]="",Fact_Control_Operaciones[[#This Row], 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 [Concepto Anterior]],Conceptos_Control_Operaciones[#All],5,0),"")</f>
        <v/>
      </c>
      <c r="F1482" t="str">
        <f>+IFERROR(VLOOKUP(Fact_Control_Operaciones[[#This Row], 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ht="18.75" customHeight="1" x14ac:dyDescent="0.35">
      <c r="C1483" s="100" t="str">
        <f>IF(OR(Fact_Control_Operaciones[[#This Row], [Año]]="",Fact_Control_Operaciones[[#This Row], 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 [Concepto Anterior]],Conceptos_Control_Operaciones[#All],5,0),"")</f>
        <v/>
      </c>
      <c r="F1483" t="str">
        <f>+IFERROR(VLOOKUP(Fact_Control_Operaciones[[#This Row], 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ht="18.75" customHeight="1" x14ac:dyDescent="0.35">
      <c r="C1484" s="100" t="str">
        <f>IF(OR(Fact_Control_Operaciones[[#This Row], [Año]]="",Fact_Control_Operaciones[[#This Row], 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 [Concepto Anterior]],Conceptos_Control_Operaciones[#All],5,0),"")</f>
        <v/>
      </c>
      <c r="F1484" t="str">
        <f>+IFERROR(VLOOKUP(Fact_Control_Operaciones[[#This Row], 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ht="18.75" customHeight="1" x14ac:dyDescent="0.35">
      <c r="C1485" s="100" t="str">
        <f>IF(OR(Fact_Control_Operaciones[[#This Row], [Año]]="",Fact_Control_Operaciones[[#This Row], 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 [Concepto Anterior]],Conceptos_Control_Operaciones[#All],5,0),"")</f>
        <v/>
      </c>
      <c r="F1485" t="str">
        <f>+IFERROR(VLOOKUP(Fact_Control_Operaciones[[#This Row], 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ht="18.75" customHeight="1" x14ac:dyDescent="0.35">
      <c r="C1486" s="100" t="str">
        <f>IF(OR(Fact_Control_Operaciones[[#This Row], [Año]]="",Fact_Control_Operaciones[[#This Row], 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 [Concepto Anterior]],Conceptos_Control_Operaciones[#All],5,0),"")</f>
        <v/>
      </c>
      <c r="F1486" t="str">
        <f>+IFERROR(VLOOKUP(Fact_Control_Operaciones[[#This Row], 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ht="18.75" customHeight="1" x14ac:dyDescent="0.35">
      <c r="C1487" s="100" t="str">
        <f>IF(OR(Fact_Control_Operaciones[[#This Row], [Año]]="",Fact_Control_Operaciones[[#This Row], 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 [Concepto Anterior]],Conceptos_Control_Operaciones[#All],5,0),"")</f>
        <v/>
      </c>
      <c r="F1487" t="str">
        <f>+IFERROR(VLOOKUP(Fact_Control_Operaciones[[#This Row], 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ht="18.75" customHeight="1" x14ac:dyDescent="0.35">
      <c r="C1488" s="100" t="str">
        <f>IF(OR(Fact_Control_Operaciones[[#This Row], [Año]]="",Fact_Control_Operaciones[[#This Row], 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 [Concepto Anterior]],Conceptos_Control_Operaciones[#All],5,0),"")</f>
        <v/>
      </c>
      <c r="F1488" t="str">
        <f>+IFERROR(VLOOKUP(Fact_Control_Operaciones[[#This Row], 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ht="18.75" customHeight="1" x14ac:dyDescent="0.35">
      <c r="C1489" s="100" t="str">
        <f>IF(OR(Fact_Control_Operaciones[[#This Row], [Año]]="",Fact_Control_Operaciones[[#This Row], 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 [Concepto Anterior]],Conceptos_Control_Operaciones[#All],5,0),"")</f>
        <v/>
      </c>
      <c r="F1489" t="str">
        <f>+IFERROR(VLOOKUP(Fact_Control_Operaciones[[#This Row], 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ht="18.75" customHeight="1" x14ac:dyDescent="0.35">
      <c r="C1490" s="100" t="str">
        <f>IF(OR(Fact_Control_Operaciones[[#This Row], [Año]]="",Fact_Control_Operaciones[[#This Row], 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 [Concepto Anterior]],Conceptos_Control_Operaciones[#All],5,0),"")</f>
        <v/>
      </c>
      <c r="F1490" t="str">
        <f>+IFERROR(VLOOKUP(Fact_Control_Operaciones[[#This Row], 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ht="18.75" customHeight="1" x14ac:dyDescent="0.35">
      <c r="C1491" s="100" t="str">
        <f>IF(OR(Fact_Control_Operaciones[[#This Row], [Año]]="",Fact_Control_Operaciones[[#This Row], 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 [Concepto Anterior]],Conceptos_Control_Operaciones[#All],5,0),"")</f>
        <v/>
      </c>
      <c r="F1491" t="str">
        <f>+IFERROR(VLOOKUP(Fact_Control_Operaciones[[#This Row], 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ht="18.75" customHeight="1" x14ac:dyDescent="0.35">
      <c r="C1492" s="100" t="str">
        <f>IF(OR(Fact_Control_Operaciones[[#This Row], [Año]]="",Fact_Control_Operaciones[[#This Row], 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 [Concepto Anterior]],Conceptos_Control_Operaciones[#All],5,0),"")</f>
        <v/>
      </c>
      <c r="F1492" t="str">
        <f>+IFERROR(VLOOKUP(Fact_Control_Operaciones[[#This Row], 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ht="18.75" customHeight="1" x14ac:dyDescent="0.35">
      <c r="C1493" s="100" t="str">
        <f>IF(OR(Fact_Control_Operaciones[[#This Row], [Año]]="",Fact_Control_Operaciones[[#This Row], 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 [Concepto Anterior]],Conceptos_Control_Operaciones[#All],5,0),"")</f>
        <v/>
      </c>
      <c r="F1493" t="str">
        <f>+IFERROR(VLOOKUP(Fact_Control_Operaciones[[#This Row], 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ht="18.75" customHeight="1" x14ac:dyDescent="0.35">
      <c r="C1494" s="100" t="str">
        <f>IF(OR(Fact_Control_Operaciones[[#This Row], [Año]]="",Fact_Control_Operaciones[[#This Row], 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 [Concepto Anterior]],Conceptos_Control_Operaciones[#All],5,0),"")</f>
        <v/>
      </c>
      <c r="F1494" t="str">
        <f>+IFERROR(VLOOKUP(Fact_Control_Operaciones[[#This Row], 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ht="18.75" customHeight="1" x14ac:dyDescent="0.35">
      <c r="C1495" s="100" t="str">
        <f>IF(OR(Fact_Control_Operaciones[[#This Row], [Año]]="",Fact_Control_Operaciones[[#This Row], 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 [Concepto Anterior]],Conceptos_Control_Operaciones[#All],5,0),"")</f>
        <v/>
      </c>
      <c r="F1495" t="str">
        <f>+IFERROR(VLOOKUP(Fact_Control_Operaciones[[#This Row], 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ht="18.75" customHeight="1" x14ac:dyDescent="0.35">
      <c r="C1496" s="100" t="str">
        <f>IF(OR(Fact_Control_Operaciones[[#This Row], [Año]]="",Fact_Control_Operaciones[[#This Row], 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 [Concepto Anterior]],Conceptos_Control_Operaciones[#All],5,0),"")</f>
        <v/>
      </c>
      <c r="F1496" t="str">
        <f>+IFERROR(VLOOKUP(Fact_Control_Operaciones[[#This Row], 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ht="18.75" customHeight="1" x14ac:dyDescent="0.35">
      <c r="C1497" s="100" t="str">
        <f>IF(OR(Fact_Control_Operaciones[[#This Row], [Año]]="",Fact_Control_Operaciones[[#This Row], 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 [Concepto Anterior]],Conceptos_Control_Operaciones[#All],5,0),"")</f>
        <v/>
      </c>
      <c r="F1497" t="str">
        <f>+IFERROR(VLOOKUP(Fact_Control_Operaciones[[#This Row], 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ht="18.75" customHeight="1" x14ac:dyDescent="0.35">
      <c r="C1498" s="100" t="str">
        <f>IF(OR(Fact_Control_Operaciones[[#This Row], [Año]]="",Fact_Control_Operaciones[[#This Row], 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 [Concepto Anterior]],Conceptos_Control_Operaciones[#All],5,0),"")</f>
        <v/>
      </c>
      <c r="F1498" t="str">
        <f>+IFERROR(VLOOKUP(Fact_Control_Operaciones[[#This Row], 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ht="18.75" customHeight="1" x14ac:dyDescent="0.35">
      <c r="C1499" s="100" t="str">
        <f>IF(OR(Fact_Control_Operaciones[[#This Row], [Año]]="",Fact_Control_Operaciones[[#This Row], 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 [Concepto Anterior]],Conceptos_Control_Operaciones[#All],5,0),"")</f>
        <v/>
      </c>
      <c r="F1499" t="str">
        <f>+IFERROR(VLOOKUP(Fact_Control_Operaciones[[#This Row], 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ht="18.75" customHeight="1" x14ac:dyDescent="0.35">
      <c r="C1500" s="100" t="str">
        <f>IF(OR(Fact_Control_Operaciones[[#This Row], [Año]]="",Fact_Control_Operaciones[[#This Row], 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 [Concepto Anterior]],Conceptos_Control_Operaciones[#All],5,0),"")</f>
        <v/>
      </c>
      <c r="F1500" t="str">
        <f>+IFERROR(VLOOKUP(Fact_Control_Operaciones[[#This Row], 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ht="18.75" customHeight="1" x14ac:dyDescent="0.35">
      <c r="C1501" s="100" t="str">
        <f>IF(OR(Fact_Control_Operaciones[[#This Row], [Año]]="",Fact_Control_Operaciones[[#This Row], 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 [Concepto Anterior]],Conceptos_Control_Operaciones[#All],5,0),"")</f>
        <v/>
      </c>
      <c r="F1501" t="str">
        <f>+IFERROR(VLOOKUP(Fact_Control_Operaciones[[#This Row], 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ht="18.75" customHeight="1" x14ac:dyDescent="0.35">
      <c r="C1502" s="100" t="str">
        <f>IF(OR(Fact_Control_Operaciones[[#This Row], [Año]]="",Fact_Control_Operaciones[[#This Row], 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 [Concepto Anterior]],Conceptos_Control_Operaciones[#All],5,0),"")</f>
        <v/>
      </c>
      <c r="F1502" t="str">
        <f>+IFERROR(VLOOKUP(Fact_Control_Operaciones[[#This Row], 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ht="18.75" customHeight="1" x14ac:dyDescent="0.35">
      <c r="C1503" s="100" t="str">
        <f>IF(OR(Fact_Control_Operaciones[[#This Row], [Año]]="",Fact_Control_Operaciones[[#This Row], 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 [Concepto Anterior]],Conceptos_Control_Operaciones[#All],5,0),"")</f>
        <v/>
      </c>
      <c r="F1503" t="str">
        <f>+IFERROR(VLOOKUP(Fact_Control_Operaciones[[#This Row], 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ht="18.75" customHeight="1" x14ac:dyDescent="0.35">
      <c r="C1504" s="100" t="str">
        <f>IF(OR(Fact_Control_Operaciones[[#This Row], [Año]]="",Fact_Control_Operaciones[[#This Row], 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 [Concepto Anterior]],Conceptos_Control_Operaciones[#All],5,0),"")</f>
        <v/>
      </c>
      <c r="F1504" t="str">
        <f>+IFERROR(VLOOKUP(Fact_Control_Operaciones[[#This Row], 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ht="18.75" customHeight="1" x14ac:dyDescent="0.35">
      <c r="C1505" s="100" t="str">
        <f>IF(OR(Fact_Control_Operaciones[[#This Row], [Año]]="",Fact_Control_Operaciones[[#This Row], 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 [Concepto Anterior]],Conceptos_Control_Operaciones[#All],5,0),"")</f>
        <v/>
      </c>
      <c r="F1505" t="str">
        <f>+IFERROR(VLOOKUP(Fact_Control_Operaciones[[#This Row], 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ht="18.75" customHeight="1" x14ac:dyDescent="0.35">
      <c r="C1506" s="100" t="str">
        <f>IF(OR(Fact_Control_Operaciones[[#This Row], [Año]]="",Fact_Control_Operaciones[[#This Row], 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 [Concepto Anterior]],Conceptos_Control_Operaciones[#All],5,0),"")</f>
        <v/>
      </c>
      <c r="F1506" t="str">
        <f>+IFERROR(VLOOKUP(Fact_Control_Operaciones[[#This Row], 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ht="18.75" customHeight="1" x14ac:dyDescent="0.35">
      <c r="C1507" s="100" t="str">
        <f>IF(OR(Fact_Control_Operaciones[[#This Row], [Año]]="",Fact_Control_Operaciones[[#This Row], 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 [Concepto Anterior]],Conceptos_Control_Operaciones[#All],5,0),"")</f>
        <v/>
      </c>
      <c r="F1507" t="str">
        <f>+IFERROR(VLOOKUP(Fact_Control_Operaciones[[#This Row], 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ht="18.75" customHeight="1" x14ac:dyDescent="0.35">
      <c r="C1508" s="100" t="str">
        <f>IF(OR(Fact_Control_Operaciones[[#This Row], [Año]]="",Fact_Control_Operaciones[[#This Row], 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 [Concepto Anterior]],Conceptos_Control_Operaciones[#All],5,0),"")</f>
        <v/>
      </c>
      <c r="F1508" t="str">
        <f>+IFERROR(VLOOKUP(Fact_Control_Operaciones[[#This Row], 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ht="18.75" customHeight="1" x14ac:dyDescent="0.35">
      <c r="C1509" s="100" t="str">
        <f>IF(OR(Fact_Control_Operaciones[[#This Row], [Año]]="",Fact_Control_Operaciones[[#This Row], 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 [Concepto Anterior]],Conceptos_Control_Operaciones[#All],5,0),"")</f>
        <v/>
      </c>
      <c r="F1509" t="str">
        <f>+IFERROR(VLOOKUP(Fact_Control_Operaciones[[#This Row], 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ht="18.75" customHeight="1" x14ac:dyDescent="0.35">
      <c r="C1510" s="100" t="str">
        <f>IF(OR(Fact_Control_Operaciones[[#This Row], [Año]]="",Fact_Control_Operaciones[[#This Row], 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 [Concepto Anterior]],Conceptos_Control_Operaciones[#All],5,0),"")</f>
        <v/>
      </c>
      <c r="F1510" t="str">
        <f>+IFERROR(VLOOKUP(Fact_Control_Operaciones[[#This Row], 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ht="18.75" customHeight="1" x14ac:dyDescent="0.35">
      <c r="C1511" s="100" t="str">
        <f>IF(OR(Fact_Control_Operaciones[[#This Row], [Año]]="",Fact_Control_Operaciones[[#This Row], 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 [Concepto Anterior]],Conceptos_Control_Operaciones[#All],5,0),"")</f>
        <v/>
      </c>
      <c r="F1511" t="str">
        <f>+IFERROR(VLOOKUP(Fact_Control_Operaciones[[#This Row], 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ht="18.75" customHeight="1" x14ac:dyDescent="0.35">
      <c r="C1512" s="100" t="str">
        <f>IF(OR(Fact_Control_Operaciones[[#This Row], [Año]]="",Fact_Control_Operaciones[[#This Row], 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 [Concepto Anterior]],Conceptos_Control_Operaciones[#All],5,0),"")</f>
        <v/>
      </c>
      <c r="F1512" t="str">
        <f>+IFERROR(VLOOKUP(Fact_Control_Operaciones[[#This Row], 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ht="18.75" customHeight="1" x14ac:dyDescent="0.35">
      <c r="C1513" s="100" t="str">
        <f>IF(OR(Fact_Control_Operaciones[[#This Row], [Año]]="",Fact_Control_Operaciones[[#This Row], 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 [Concepto Anterior]],Conceptos_Control_Operaciones[#All],5,0),"")</f>
        <v/>
      </c>
      <c r="F1513" t="str">
        <f>+IFERROR(VLOOKUP(Fact_Control_Operaciones[[#This Row], 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ht="18.75" customHeight="1" x14ac:dyDescent="0.35">
      <c r="C1514" s="100" t="str">
        <f>IF(OR(Fact_Control_Operaciones[[#This Row], [Año]]="",Fact_Control_Operaciones[[#This Row], 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 [Concepto Anterior]],Conceptos_Control_Operaciones[#All],5,0),"")</f>
        <v/>
      </c>
      <c r="F1514" t="str">
        <f>+IFERROR(VLOOKUP(Fact_Control_Operaciones[[#This Row], 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ht="18.75" customHeight="1" x14ac:dyDescent="0.35">
      <c r="C1515" s="100" t="str">
        <f>IF(OR(Fact_Control_Operaciones[[#This Row], [Año]]="",Fact_Control_Operaciones[[#This Row], 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 [Concepto Anterior]],Conceptos_Control_Operaciones[#All],5,0),"")</f>
        <v/>
      </c>
      <c r="F1515" t="str">
        <f>+IFERROR(VLOOKUP(Fact_Control_Operaciones[[#This Row], 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ht="18.75" customHeight="1" x14ac:dyDescent="0.35">
      <c r="C1516" s="100" t="str">
        <f>IF(OR(Fact_Control_Operaciones[[#This Row], [Año]]="",Fact_Control_Operaciones[[#This Row], 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 [Concepto Anterior]],Conceptos_Control_Operaciones[#All],5,0),"")</f>
        <v/>
      </c>
      <c r="F1516" t="str">
        <f>+IFERROR(VLOOKUP(Fact_Control_Operaciones[[#This Row], 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ht="18.75" customHeight="1" x14ac:dyDescent="0.35">
      <c r="C1517" s="100" t="str">
        <f>IF(OR(Fact_Control_Operaciones[[#This Row], [Año]]="",Fact_Control_Operaciones[[#This Row], 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 [Concepto Anterior]],Conceptos_Control_Operaciones[#All],5,0),"")</f>
        <v/>
      </c>
      <c r="F1517" t="str">
        <f>+IFERROR(VLOOKUP(Fact_Control_Operaciones[[#This Row], 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ht="18.75" customHeight="1" x14ac:dyDescent="0.35">
      <c r="C1518" s="100" t="str">
        <f>IF(OR(Fact_Control_Operaciones[[#This Row], [Año]]="",Fact_Control_Operaciones[[#This Row], 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 [Concepto Anterior]],Conceptos_Control_Operaciones[#All],5,0),"")</f>
        <v/>
      </c>
      <c r="F1518" t="str">
        <f>+IFERROR(VLOOKUP(Fact_Control_Operaciones[[#This Row], 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ht="18.75" customHeight="1" x14ac:dyDescent="0.35">
      <c r="C1519" s="100" t="str">
        <f>IF(OR(Fact_Control_Operaciones[[#This Row], [Año]]="",Fact_Control_Operaciones[[#This Row], 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 [Concepto Anterior]],Conceptos_Control_Operaciones[#All],5,0),"")</f>
        <v/>
      </c>
      <c r="F1519" t="str">
        <f>+IFERROR(VLOOKUP(Fact_Control_Operaciones[[#This Row], 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ht="18.75" customHeight="1" x14ac:dyDescent="0.35">
      <c r="C1520" s="100" t="str">
        <f>IF(OR(Fact_Control_Operaciones[[#This Row], [Año]]="",Fact_Control_Operaciones[[#This Row], 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 [Concepto Anterior]],Conceptos_Control_Operaciones[#All],5,0),"")</f>
        <v/>
      </c>
      <c r="F1520" t="str">
        <f>+IFERROR(VLOOKUP(Fact_Control_Operaciones[[#This Row], 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ht="18.75" customHeight="1" x14ac:dyDescent="0.35">
      <c r="C1521" s="100" t="str">
        <f>IF(OR(Fact_Control_Operaciones[[#This Row], [Año]]="",Fact_Control_Operaciones[[#This Row], 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 [Concepto Anterior]],Conceptos_Control_Operaciones[#All],5,0),"")</f>
        <v/>
      </c>
      <c r="F1521" t="str">
        <f>+IFERROR(VLOOKUP(Fact_Control_Operaciones[[#This Row], 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ht="18.75" customHeight="1" x14ac:dyDescent="0.35">
      <c r="C1522" s="100" t="str">
        <f>IF(OR(Fact_Control_Operaciones[[#This Row], [Año]]="",Fact_Control_Operaciones[[#This Row], 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 [Concepto Anterior]],Conceptos_Control_Operaciones[#All],5,0),"")</f>
        <v/>
      </c>
      <c r="F1522" t="str">
        <f>+IFERROR(VLOOKUP(Fact_Control_Operaciones[[#This Row], 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ht="18.75" customHeight="1" x14ac:dyDescent="0.35">
      <c r="C1523" s="100" t="str">
        <f>IF(OR(Fact_Control_Operaciones[[#This Row], [Año]]="",Fact_Control_Operaciones[[#This Row], 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 [Concepto Anterior]],Conceptos_Control_Operaciones[#All],5,0),"")</f>
        <v/>
      </c>
      <c r="F1523" t="str">
        <f>+IFERROR(VLOOKUP(Fact_Control_Operaciones[[#This Row], 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ht="18.75" customHeight="1" x14ac:dyDescent="0.35">
      <c r="C1524" s="100" t="str">
        <f>IF(OR(Fact_Control_Operaciones[[#This Row], [Año]]="",Fact_Control_Operaciones[[#This Row], 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 [Concepto Anterior]],Conceptos_Control_Operaciones[#All],5,0),"")</f>
        <v/>
      </c>
      <c r="F1524" t="str">
        <f>+IFERROR(VLOOKUP(Fact_Control_Operaciones[[#This Row], 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ht="18.75" customHeight="1" x14ac:dyDescent="0.35">
      <c r="C1525" s="100" t="str">
        <f>IF(OR(Fact_Control_Operaciones[[#This Row], [Año]]="",Fact_Control_Operaciones[[#This Row], 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 [Concepto Anterior]],Conceptos_Control_Operaciones[#All],5,0),"")</f>
        <v/>
      </c>
      <c r="F1525" t="str">
        <f>+IFERROR(VLOOKUP(Fact_Control_Operaciones[[#This Row], 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ht="18.75" customHeight="1" x14ac:dyDescent="0.35">
      <c r="C1526" s="100" t="str">
        <f>IF(OR(Fact_Control_Operaciones[[#This Row], [Año]]="",Fact_Control_Operaciones[[#This Row], 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 [Concepto Anterior]],Conceptos_Control_Operaciones[#All],5,0),"")</f>
        <v/>
      </c>
      <c r="F1526" t="str">
        <f>+IFERROR(VLOOKUP(Fact_Control_Operaciones[[#This Row], 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ht="18.75" customHeight="1" x14ac:dyDescent="0.35">
      <c r="C1527" s="100" t="str">
        <f>IF(OR(Fact_Control_Operaciones[[#This Row], [Año]]="",Fact_Control_Operaciones[[#This Row], 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 [Concepto Anterior]],Conceptos_Control_Operaciones[#All],5,0),"")</f>
        <v/>
      </c>
      <c r="F1527" t="str">
        <f>+IFERROR(VLOOKUP(Fact_Control_Operaciones[[#This Row], 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ht="18.75" customHeight="1" x14ac:dyDescent="0.35">
      <c r="C1528" s="100" t="str">
        <f>IF(OR(Fact_Control_Operaciones[[#This Row], [Año]]="",Fact_Control_Operaciones[[#This Row], 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 [Concepto Anterior]],Conceptos_Control_Operaciones[#All],5,0),"")</f>
        <v/>
      </c>
      <c r="F1528" t="str">
        <f>+IFERROR(VLOOKUP(Fact_Control_Operaciones[[#This Row], 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ht="18.75" customHeight="1" x14ac:dyDescent="0.35">
      <c r="C1529" s="100" t="str">
        <f>IF(OR(Fact_Control_Operaciones[[#This Row], [Año]]="",Fact_Control_Operaciones[[#This Row], 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 [Concepto Anterior]],Conceptos_Control_Operaciones[#All],5,0),"")</f>
        <v/>
      </c>
      <c r="F1529" t="str">
        <f>+IFERROR(VLOOKUP(Fact_Control_Operaciones[[#This Row], 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ht="18.75" customHeight="1" x14ac:dyDescent="0.35">
      <c r="C1530" s="100" t="str">
        <f>IF(OR(Fact_Control_Operaciones[[#This Row], [Año]]="",Fact_Control_Operaciones[[#This Row], 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 [Concepto Anterior]],Conceptos_Control_Operaciones[#All],5,0),"")</f>
        <v/>
      </c>
      <c r="F1530" t="str">
        <f>+IFERROR(VLOOKUP(Fact_Control_Operaciones[[#This Row], 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ht="18.75" customHeight="1" x14ac:dyDescent="0.35">
      <c r="C1531" s="100" t="str">
        <f>IF(OR(Fact_Control_Operaciones[[#This Row], [Año]]="",Fact_Control_Operaciones[[#This Row], 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 [Concepto Anterior]],Conceptos_Control_Operaciones[#All],5,0),"")</f>
        <v/>
      </c>
      <c r="F1531" t="str">
        <f>+IFERROR(VLOOKUP(Fact_Control_Operaciones[[#This Row], 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ht="18.75" customHeight="1" x14ac:dyDescent="0.35">
      <c r="C1532" s="100" t="str">
        <f>IF(OR(Fact_Control_Operaciones[[#This Row], [Año]]="",Fact_Control_Operaciones[[#This Row], 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 [Concepto Anterior]],Conceptos_Control_Operaciones[#All],5,0),"")</f>
        <v/>
      </c>
      <c r="F1532" t="str">
        <f>+IFERROR(VLOOKUP(Fact_Control_Operaciones[[#This Row], 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ht="18.75" customHeight="1" x14ac:dyDescent="0.35">
      <c r="C1533" s="100" t="str">
        <f>IF(OR(Fact_Control_Operaciones[[#This Row], [Año]]="",Fact_Control_Operaciones[[#This Row], 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 [Concepto Anterior]],Conceptos_Control_Operaciones[#All],5,0),"")</f>
        <v/>
      </c>
      <c r="F1533" t="str">
        <f>+IFERROR(VLOOKUP(Fact_Control_Operaciones[[#This Row], 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ht="18.75" customHeight="1" x14ac:dyDescent="0.35">
      <c r="C1534" s="100" t="str">
        <f>IF(OR(Fact_Control_Operaciones[[#This Row], [Año]]="",Fact_Control_Operaciones[[#This Row], 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 [Concepto Anterior]],Conceptos_Control_Operaciones[#All],5,0),"")</f>
        <v/>
      </c>
      <c r="F1534" t="str">
        <f>+IFERROR(VLOOKUP(Fact_Control_Operaciones[[#This Row], 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ht="18.75" customHeight="1" x14ac:dyDescent="0.35">
      <c r="C1535" s="100" t="str">
        <f>IF(OR(Fact_Control_Operaciones[[#This Row], [Año]]="",Fact_Control_Operaciones[[#This Row], 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 [Concepto Anterior]],Conceptos_Control_Operaciones[#All],5,0),"")</f>
        <v/>
      </c>
      <c r="F1535" t="str">
        <f>+IFERROR(VLOOKUP(Fact_Control_Operaciones[[#This Row], 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ht="18.75" customHeight="1" x14ac:dyDescent="0.35">
      <c r="C1536" s="100" t="str">
        <f>IF(OR(Fact_Control_Operaciones[[#This Row], [Año]]="",Fact_Control_Operaciones[[#This Row], 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 [Concepto Anterior]],Conceptos_Control_Operaciones[#All],5,0),"")</f>
        <v/>
      </c>
      <c r="F1536" t="str">
        <f>+IFERROR(VLOOKUP(Fact_Control_Operaciones[[#This Row], 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ht="18.75" customHeight="1" x14ac:dyDescent="0.35">
      <c r="C1537" s="100" t="str">
        <f>IF(OR(Fact_Control_Operaciones[[#This Row], [Año]]="",Fact_Control_Operaciones[[#This Row], 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 [Concepto Anterior]],Conceptos_Control_Operaciones[#All],5,0),"")</f>
        <v/>
      </c>
      <c r="F1537" t="str">
        <f>+IFERROR(VLOOKUP(Fact_Control_Operaciones[[#This Row], 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ht="18.75" customHeight="1" x14ac:dyDescent="0.35">
      <c r="C1538" s="100" t="str">
        <f>IF(OR(Fact_Control_Operaciones[[#This Row], [Año]]="",Fact_Control_Operaciones[[#This Row], 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 [Concepto Anterior]],Conceptos_Control_Operaciones[#All],5,0),"")</f>
        <v/>
      </c>
      <c r="F1538" t="str">
        <f>+IFERROR(VLOOKUP(Fact_Control_Operaciones[[#This Row], 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ht="18.75" customHeight="1" x14ac:dyDescent="0.35">
      <c r="C1539" s="100" t="str">
        <f>IF(OR(Fact_Control_Operaciones[[#This Row], [Año]]="",Fact_Control_Operaciones[[#This Row], 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 [Concepto Anterior]],Conceptos_Control_Operaciones[#All],5,0),"")</f>
        <v/>
      </c>
      <c r="F1539" t="str">
        <f>+IFERROR(VLOOKUP(Fact_Control_Operaciones[[#This Row], 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ht="18.75" customHeight="1" x14ac:dyDescent="0.35">
      <c r="C1540" s="100" t="str">
        <f>IF(OR(Fact_Control_Operaciones[[#This Row], [Año]]="",Fact_Control_Operaciones[[#This Row], 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 [Concepto Anterior]],Conceptos_Control_Operaciones[#All],5,0),"")</f>
        <v/>
      </c>
      <c r="F1540" t="str">
        <f>+IFERROR(VLOOKUP(Fact_Control_Operaciones[[#This Row], 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ht="18.75" customHeight="1" x14ac:dyDescent="0.35">
      <c r="C1541" s="100" t="str">
        <f>IF(OR(Fact_Control_Operaciones[[#This Row], [Año]]="",Fact_Control_Operaciones[[#This Row], 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 [Concepto Anterior]],Conceptos_Control_Operaciones[#All],5,0),"")</f>
        <v/>
      </c>
      <c r="F1541" t="str">
        <f>+IFERROR(VLOOKUP(Fact_Control_Operaciones[[#This Row], 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ht="18.75" customHeight="1" x14ac:dyDescent="0.35">
      <c r="C1542" s="100" t="str">
        <f>IF(OR(Fact_Control_Operaciones[[#This Row], [Año]]="",Fact_Control_Operaciones[[#This Row], 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 [Concepto Anterior]],Conceptos_Control_Operaciones[#All],5,0),"")</f>
        <v/>
      </c>
      <c r="F1542" t="str">
        <f>+IFERROR(VLOOKUP(Fact_Control_Operaciones[[#This Row], 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ht="18.75" customHeight="1" x14ac:dyDescent="0.35">
      <c r="C1543" s="100" t="str">
        <f>IF(OR(Fact_Control_Operaciones[[#This Row], [Año]]="",Fact_Control_Operaciones[[#This Row], 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 [Concepto Anterior]],Conceptos_Control_Operaciones[#All],5,0),"")</f>
        <v/>
      </c>
      <c r="F1543" t="str">
        <f>+IFERROR(VLOOKUP(Fact_Control_Operaciones[[#This Row], 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ht="18.75" customHeight="1" x14ac:dyDescent="0.35">
      <c r="C1544" s="100" t="str">
        <f>IF(OR(Fact_Control_Operaciones[[#This Row], [Año]]="",Fact_Control_Operaciones[[#This Row], 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 [Concepto Anterior]],Conceptos_Control_Operaciones[#All],5,0),"")</f>
        <v/>
      </c>
      <c r="F1544" t="str">
        <f>+IFERROR(VLOOKUP(Fact_Control_Operaciones[[#This Row], 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ht="18.75" customHeight="1" x14ac:dyDescent="0.35">
      <c r="C1545" s="100" t="str">
        <f>IF(OR(Fact_Control_Operaciones[[#This Row], [Año]]="",Fact_Control_Operaciones[[#This Row], 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 [Concepto Anterior]],Conceptos_Control_Operaciones[#All],5,0),"")</f>
        <v/>
      </c>
      <c r="F1545" t="str">
        <f>+IFERROR(VLOOKUP(Fact_Control_Operaciones[[#This Row], 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ht="18.75" customHeight="1" x14ac:dyDescent="0.35">
      <c r="C1546" s="100" t="str">
        <f>IF(OR(Fact_Control_Operaciones[[#This Row], [Año]]="",Fact_Control_Operaciones[[#This Row], 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 [Concepto Anterior]],Conceptos_Control_Operaciones[#All],5,0),"")</f>
        <v/>
      </c>
      <c r="F1546" t="str">
        <f>+IFERROR(VLOOKUP(Fact_Control_Operaciones[[#This Row], 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ht="18.75" customHeight="1" x14ac:dyDescent="0.35">
      <c r="C1547" s="100" t="str">
        <f>IF(OR(Fact_Control_Operaciones[[#This Row], [Año]]="",Fact_Control_Operaciones[[#This Row], 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 [Concepto Anterior]],Conceptos_Control_Operaciones[#All],5,0),"")</f>
        <v/>
      </c>
      <c r="F1547" t="str">
        <f>+IFERROR(VLOOKUP(Fact_Control_Operaciones[[#This Row], 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ht="18.75" customHeight="1" x14ac:dyDescent="0.35">
      <c r="C1548" s="100" t="str">
        <f>IF(OR(Fact_Control_Operaciones[[#This Row], [Año]]="",Fact_Control_Operaciones[[#This Row], 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 [Concepto Anterior]],Conceptos_Control_Operaciones[#All],5,0),"")</f>
        <v/>
      </c>
      <c r="F1548" t="str">
        <f>+IFERROR(VLOOKUP(Fact_Control_Operaciones[[#This Row], 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ht="18.75" customHeight="1" x14ac:dyDescent="0.35">
      <c r="C1549" s="100" t="str">
        <f>IF(OR(Fact_Control_Operaciones[[#This Row], [Año]]="",Fact_Control_Operaciones[[#This Row], 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 [Concepto Anterior]],Conceptos_Control_Operaciones[#All],5,0),"")</f>
        <v/>
      </c>
      <c r="F1549" t="str">
        <f>+IFERROR(VLOOKUP(Fact_Control_Operaciones[[#This Row], 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ht="18.75" customHeight="1" x14ac:dyDescent="0.35">
      <c r="C1550" s="100" t="str">
        <f>IF(OR(Fact_Control_Operaciones[[#This Row], [Año]]="",Fact_Control_Operaciones[[#This Row], 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 [Concepto Anterior]],Conceptos_Control_Operaciones[#All],5,0),"")</f>
        <v/>
      </c>
      <c r="F1550" t="str">
        <f>+IFERROR(VLOOKUP(Fact_Control_Operaciones[[#This Row], 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ht="18.75" customHeight="1" x14ac:dyDescent="0.35">
      <c r="C1551" s="100" t="str">
        <f>IF(OR(Fact_Control_Operaciones[[#This Row], [Año]]="",Fact_Control_Operaciones[[#This Row], 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 [Concepto Anterior]],Conceptos_Control_Operaciones[#All],5,0),"")</f>
        <v/>
      </c>
      <c r="F1551" t="str">
        <f>+IFERROR(VLOOKUP(Fact_Control_Operaciones[[#This Row], 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ht="18.75" customHeight="1" x14ac:dyDescent="0.35">
      <c r="C1552" s="100" t="str">
        <f>IF(OR(Fact_Control_Operaciones[[#This Row], [Año]]="",Fact_Control_Operaciones[[#This Row], 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 [Concepto Anterior]],Conceptos_Control_Operaciones[#All],5,0),"")</f>
        <v/>
      </c>
      <c r="F1552" t="str">
        <f>+IFERROR(VLOOKUP(Fact_Control_Operaciones[[#This Row], 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ht="18.75" customHeight="1" x14ac:dyDescent="0.35">
      <c r="C1553" s="100" t="str">
        <f>IF(OR(Fact_Control_Operaciones[[#This Row], [Año]]="",Fact_Control_Operaciones[[#This Row], 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 [Concepto Anterior]],Conceptos_Control_Operaciones[#All],5,0),"")</f>
        <v/>
      </c>
      <c r="F1553" t="str">
        <f>+IFERROR(VLOOKUP(Fact_Control_Operaciones[[#This Row], 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ht="18.75" customHeight="1" x14ac:dyDescent="0.35">
      <c r="C1554" s="100" t="str">
        <f>IF(OR(Fact_Control_Operaciones[[#This Row], [Año]]="",Fact_Control_Operaciones[[#This Row], 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 [Concepto Anterior]],Conceptos_Control_Operaciones[#All],5,0),"")</f>
        <v/>
      </c>
      <c r="F1554" t="str">
        <f>+IFERROR(VLOOKUP(Fact_Control_Operaciones[[#This Row], 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ht="18.75" customHeight="1" x14ac:dyDescent="0.35">
      <c r="C1555" s="100" t="str">
        <f>IF(OR(Fact_Control_Operaciones[[#This Row], [Año]]="",Fact_Control_Operaciones[[#This Row], 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 [Concepto Anterior]],Conceptos_Control_Operaciones[#All],5,0),"")</f>
        <v/>
      </c>
      <c r="F1555" t="str">
        <f>+IFERROR(VLOOKUP(Fact_Control_Operaciones[[#This Row], 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ht="18.75" customHeight="1" x14ac:dyDescent="0.35">
      <c r="C1556" s="100" t="str">
        <f>IF(OR(Fact_Control_Operaciones[[#This Row], [Año]]="",Fact_Control_Operaciones[[#This Row], 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 [Concepto Anterior]],Conceptos_Control_Operaciones[#All],5,0),"")</f>
        <v/>
      </c>
      <c r="F1556" t="str">
        <f>+IFERROR(VLOOKUP(Fact_Control_Operaciones[[#This Row], 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ht="18.75" customHeight="1" x14ac:dyDescent="0.35">
      <c r="C1557" s="100" t="str">
        <f>IF(OR(Fact_Control_Operaciones[[#This Row], [Año]]="",Fact_Control_Operaciones[[#This Row], 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 [Concepto Anterior]],Conceptos_Control_Operaciones[#All],5,0),"")</f>
        <v/>
      </c>
      <c r="F1557" t="str">
        <f>+IFERROR(VLOOKUP(Fact_Control_Operaciones[[#This Row], 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ht="18.75" customHeight="1" x14ac:dyDescent="0.35">
      <c r="C1558" s="100" t="str">
        <f>IF(OR(Fact_Control_Operaciones[[#This Row], [Año]]="",Fact_Control_Operaciones[[#This Row], 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 [Concepto Anterior]],Conceptos_Control_Operaciones[#All],5,0),"")</f>
        <v/>
      </c>
      <c r="F1558" t="str">
        <f>+IFERROR(VLOOKUP(Fact_Control_Operaciones[[#This Row], 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ht="18.75" customHeight="1" x14ac:dyDescent="0.35">
      <c r="C1559" s="100" t="str">
        <f>IF(OR(Fact_Control_Operaciones[[#This Row], [Año]]="",Fact_Control_Operaciones[[#This Row], 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 [Concepto Anterior]],Conceptos_Control_Operaciones[#All],5,0),"")</f>
        <v/>
      </c>
      <c r="F1559" t="str">
        <f>+IFERROR(VLOOKUP(Fact_Control_Operaciones[[#This Row], 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ht="18.75" customHeight="1" x14ac:dyDescent="0.35">
      <c r="C1560" s="100" t="str">
        <f>IF(OR(Fact_Control_Operaciones[[#This Row], [Año]]="",Fact_Control_Operaciones[[#This Row], 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 [Concepto Anterior]],Conceptos_Control_Operaciones[#All],5,0),"")</f>
        <v/>
      </c>
      <c r="F1560" t="str">
        <f>+IFERROR(VLOOKUP(Fact_Control_Operaciones[[#This Row], 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ht="18.75" customHeight="1" x14ac:dyDescent="0.35">
      <c r="C1561" s="100" t="str">
        <f>IF(OR(Fact_Control_Operaciones[[#This Row], [Año]]="",Fact_Control_Operaciones[[#This Row], 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 [Concepto Anterior]],Conceptos_Control_Operaciones[#All],5,0),"")</f>
        <v/>
      </c>
      <c r="F1561" t="str">
        <f>+IFERROR(VLOOKUP(Fact_Control_Operaciones[[#This Row], 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ht="18.75" customHeight="1" x14ac:dyDescent="0.35">
      <c r="C1562" s="100" t="str">
        <f>IF(OR(Fact_Control_Operaciones[[#This Row], [Año]]="",Fact_Control_Operaciones[[#This Row], 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 [Concepto Anterior]],Conceptos_Control_Operaciones[#All],5,0),"")</f>
        <v/>
      </c>
      <c r="F1562" t="str">
        <f>+IFERROR(VLOOKUP(Fact_Control_Operaciones[[#This Row], 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ht="18.75" customHeight="1" x14ac:dyDescent="0.35">
      <c r="C1563" s="100" t="str">
        <f>IF(OR(Fact_Control_Operaciones[[#This Row], [Año]]="",Fact_Control_Operaciones[[#This Row], 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 [Concepto Anterior]],Conceptos_Control_Operaciones[#All],5,0),"")</f>
        <v/>
      </c>
      <c r="F1563" t="str">
        <f>+IFERROR(VLOOKUP(Fact_Control_Operaciones[[#This Row], 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ht="18.75" customHeight="1" x14ac:dyDescent="0.35">
      <c r="C1564" s="100" t="str">
        <f>IF(OR(Fact_Control_Operaciones[[#This Row], [Año]]="",Fact_Control_Operaciones[[#This Row], 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 [Concepto Anterior]],Conceptos_Control_Operaciones[#All],5,0),"")</f>
        <v/>
      </c>
      <c r="F1564" t="str">
        <f>+IFERROR(VLOOKUP(Fact_Control_Operaciones[[#This Row], 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ht="18.75" customHeight="1" x14ac:dyDescent="0.35">
      <c r="C1565" s="100" t="str">
        <f>IF(OR(Fact_Control_Operaciones[[#This Row], [Año]]="",Fact_Control_Operaciones[[#This Row], 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 [Concepto Anterior]],Conceptos_Control_Operaciones[#All],5,0),"")</f>
        <v/>
      </c>
      <c r="F1565" t="str">
        <f>+IFERROR(VLOOKUP(Fact_Control_Operaciones[[#This Row], 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ht="18.75" customHeight="1" x14ac:dyDescent="0.35">
      <c r="C1566" s="100" t="str">
        <f>IF(OR(Fact_Control_Operaciones[[#This Row], [Año]]="",Fact_Control_Operaciones[[#This Row], 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 [Concepto Anterior]],Conceptos_Control_Operaciones[#All],5,0),"")</f>
        <v/>
      </c>
      <c r="F1566" t="str">
        <f>+IFERROR(VLOOKUP(Fact_Control_Operaciones[[#This Row], 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ht="18.75" customHeight="1" x14ac:dyDescent="0.35">
      <c r="C1567" s="100" t="str">
        <f>IF(OR(Fact_Control_Operaciones[[#This Row], [Año]]="",Fact_Control_Operaciones[[#This Row], 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 [Concepto Anterior]],Conceptos_Control_Operaciones[#All],5,0),"")</f>
        <v/>
      </c>
      <c r="F1567" t="str">
        <f>+IFERROR(VLOOKUP(Fact_Control_Operaciones[[#This Row], 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ht="18.75" customHeight="1" x14ac:dyDescent="0.35">
      <c r="C1568" s="100" t="str">
        <f>IF(OR(Fact_Control_Operaciones[[#This Row], [Año]]="",Fact_Control_Operaciones[[#This Row], 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 [Concepto Anterior]],Conceptos_Control_Operaciones[#All],5,0),"")</f>
        <v/>
      </c>
      <c r="F1568" t="str">
        <f>+IFERROR(VLOOKUP(Fact_Control_Operaciones[[#This Row], 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ht="18.75" customHeight="1" x14ac:dyDescent="0.35">
      <c r="C1569" s="100" t="str">
        <f>IF(OR(Fact_Control_Operaciones[[#This Row], [Año]]="",Fact_Control_Operaciones[[#This Row], 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 [Concepto Anterior]],Conceptos_Control_Operaciones[#All],5,0),"")</f>
        <v/>
      </c>
      <c r="F1569" t="str">
        <f>+IFERROR(VLOOKUP(Fact_Control_Operaciones[[#This Row], 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ht="18.75" customHeight="1" x14ac:dyDescent="0.35">
      <c r="C1570" s="100" t="str">
        <f>IF(OR(Fact_Control_Operaciones[[#This Row], [Año]]="",Fact_Control_Operaciones[[#This Row], 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 [Concepto Anterior]],Conceptos_Control_Operaciones[#All],5,0),"")</f>
        <v/>
      </c>
      <c r="F1570" t="str">
        <f>+IFERROR(VLOOKUP(Fact_Control_Operaciones[[#This Row], 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ht="18.75" customHeight="1" x14ac:dyDescent="0.35">
      <c r="C1571" s="100" t="str">
        <f>IF(OR(Fact_Control_Operaciones[[#This Row], [Año]]="",Fact_Control_Operaciones[[#This Row], 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 [Concepto Anterior]],Conceptos_Control_Operaciones[#All],5,0),"")</f>
        <v/>
      </c>
      <c r="F1571" t="str">
        <f>+IFERROR(VLOOKUP(Fact_Control_Operaciones[[#This Row], 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ht="18.75" customHeight="1" x14ac:dyDescent="0.35">
      <c r="C1572" s="100" t="str">
        <f>IF(OR(Fact_Control_Operaciones[[#This Row], [Año]]="",Fact_Control_Operaciones[[#This Row], 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 [Concepto Anterior]],Conceptos_Control_Operaciones[#All],5,0),"")</f>
        <v/>
      </c>
      <c r="F1572" t="str">
        <f>+IFERROR(VLOOKUP(Fact_Control_Operaciones[[#This Row], 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ht="18.75" customHeight="1" x14ac:dyDescent="0.35">
      <c r="C1573" s="100" t="str">
        <f>IF(OR(Fact_Control_Operaciones[[#This Row], [Año]]="",Fact_Control_Operaciones[[#This Row], 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 [Concepto Anterior]],Conceptos_Control_Operaciones[#All],5,0),"")</f>
        <v/>
      </c>
      <c r="F1573" t="str">
        <f>+IFERROR(VLOOKUP(Fact_Control_Operaciones[[#This Row], 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ht="18.75" customHeight="1" x14ac:dyDescent="0.35">
      <c r="C1574" s="100" t="str">
        <f>IF(OR(Fact_Control_Operaciones[[#This Row], [Año]]="",Fact_Control_Operaciones[[#This Row], 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 [Concepto Anterior]],Conceptos_Control_Operaciones[#All],5,0),"")</f>
        <v/>
      </c>
      <c r="F1574" t="str">
        <f>+IFERROR(VLOOKUP(Fact_Control_Operaciones[[#This Row], 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ht="18.75" customHeight="1" x14ac:dyDescent="0.35">
      <c r="C1575" s="100" t="str">
        <f>IF(OR(Fact_Control_Operaciones[[#This Row], [Año]]="",Fact_Control_Operaciones[[#This Row], 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 [Concepto Anterior]],Conceptos_Control_Operaciones[#All],5,0),"")</f>
        <v/>
      </c>
      <c r="F1575" t="str">
        <f>+IFERROR(VLOOKUP(Fact_Control_Operaciones[[#This Row], 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ht="18.75" customHeight="1" x14ac:dyDescent="0.35">
      <c r="C1576" s="100" t="str">
        <f>IF(OR(Fact_Control_Operaciones[[#This Row], [Año]]="",Fact_Control_Operaciones[[#This Row], 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 [Concepto Anterior]],Conceptos_Control_Operaciones[#All],5,0),"")</f>
        <v/>
      </c>
      <c r="F1576" t="str">
        <f>+IFERROR(VLOOKUP(Fact_Control_Operaciones[[#This Row], 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ht="18.75" customHeight="1" x14ac:dyDescent="0.35">
      <c r="C1577" s="100" t="str">
        <f>IF(OR(Fact_Control_Operaciones[[#This Row], [Año]]="",Fact_Control_Operaciones[[#This Row], 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 [Concepto Anterior]],Conceptos_Control_Operaciones[#All],5,0),"")</f>
        <v/>
      </c>
      <c r="F1577" t="str">
        <f>+IFERROR(VLOOKUP(Fact_Control_Operaciones[[#This Row], 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ht="18.75" customHeight="1" x14ac:dyDescent="0.35">
      <c r="C1578" s="100" t="str">
        <f>IF(OR(Fact_Control_Operaciones[[#This Row], [Año]]="",Fact_Control_Operaciones[[#This Row], 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 [Concepto Anterior]],Conceptos_Control_Operaciones[#All],5,0),"")</f>
        <v/>
      </c>
      <c r="F1578" t="str">
        <f>+IFERROR(VLOOKUP(Fact_Control_Operaciones[[#This Row], 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ht="18.75" customHeight="1" x14ac:dyDescent="0.35">
      <c r="C1579" s="100" t="str">
        <f>IF(OR(Fact_Control_Operaciones[[#This Row], [Año]]="",Fact_Control_Operaciones[[#This Row], 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 [Concepto Anterior]],Conceptos_Control_Operaciones[#All],5,0),"")</f>
        <v/>
      </c>
      <c r="F1579" t="str">
        <f>+IFERROR(VLOOKUP(Fact_Control_Operaciones[[#This Row], 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ht="18.75" customHeight="1" x14ac:dyDescent="0.35">
      <c r="C1580" s="100" t="str">
        <f>IF(OR(Fact_Control_Operaciones[[#This Row], [Año]]="",Fact_Control_Operaciones[[#This Row], 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 [Concepto Anterior]],Conceptos_Control_Operaciones[#All],5,0),"")</f>
        <v/>
      </c>
      <c r="F1580" t="str">
        <f>+IFERROR(VLOOKUP(Fact_Control_Operaciones[[#This Row], 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ht="18.75" customHeight="1" x14ac:dyDescent="0.35">
      <c r="C1581" s="100" t="str">
        <f>IF(OR(Fact_Control_Operaciones[[#This Row], [Año]]="",Fact_Control_Operaciones[[#This Row], 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 [Concepto Anterior]],Conceptos_Control_Operaciones[#All],5,0),"")</f>
        <v/>
      </c>
      <c r="F1581" t="str">
        <f>+IFERROR(VLOOKUP(Fact_Control_Operaciones[[#This Row], 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ht="18.75" customHeight="1" x14ac:dyDescent="0.35">
      <c r="C1582" s="100" t="str">
        <f>IF(OR(Fact_Control_Operaciones[[#This Row], [Año]]="",Fact_Control_Operaciones[[#This Row], 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 [Concepto Anterior]],Conceptos_Control_Operaciones[#All],5,0),"")</f>
        <v/>
      </c>
      <c r="F1582" t="str">
        <f>+IFERROR(VLOOKUP(Fact_Control_Operaciones[[#This Row], 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ht="18.75" customHeight="1" x14ac:dyDescent="0.35">
      <c r="C1583" s="100" t="str">
        <f>IF(OR(Fact_Control_Operaciones[[#This Row], [Año]]="",Fact_Control_Operaciones[[#This Row], 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 [Concepto Anterior]],Conceptos_Control_Operaciones[#All],5,0),"")</f>
        <v/>
      </c>
      <c r="F1583" t="str">
        <f>+IFERROR(VLOOKUP(Fact_Control_Operaciones[[#This Row], 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ht="18.75" customHeight="1" x14ac:dyDescent="0.35">
      <c r="C1584" s="100" t="str">
        <f>IF(OR(Fact_Control_Operaciones[[#This Row], [Año]]="",Fact_Control_Operaciones[[#This Row], 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 [Concepto Anterior]],Conceptos_Control_Operaciones[#All],5,0),"")</f>
        <v/>
      </c>
      <c r="F1584" t="str">
        <f>+IFERROR(VLOOKUP(Fact_Control_Operaciones[[#This Row], 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ht="18.75" customHeight="1" x14ac:dyDescent="0.35">
      <c r="C1585" s="100" t="str">
        <f>IF(OR(Fact_Control_Operaciones[[#This Row], [Año]]="",Fact_Control_Operaciones[[#This Row], 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 [Concepto Anterior]],Conceptos_Control_Operaciones[#All],5,0),"")</f>
        <v/>
      </c>
      <c r="F1585" t="str">
        <f>+IFERROR(VLOOKUP(Fact_Control_Operaciones[[#This Row], 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ht="18.75" customHeight="1" x14ac:dyDescent="0.35">
      <c r="C1586" s="100" t="str">
        <f>IF(OR(Fact_Control_Operaciones[[#This Row], [Año]]="",Fact_Control_Operaciones[[#This Row], 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 [Concepto Anterior]],Conceptos_Control_Operaciones[#All],5,0),"")</f>
        <v/>
      </c>
      <c r="F1586" t="str">
        <f>+IFERROR(VLOOKUP(Fact_Control_Operaciones[[#This Row], 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ht="18.75" customHeight="1" x14ac:dyDescent="0.35">
      <c r="C1587" s="100" t="str">
        <f>IF(OR(Fact_Control_Operaciones[[#This Row], [Año]]="",Fact_Control_Operaciones[[#This Row], 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 [Concepto Anterior]],Conceptos_Control_Operaciones[#All],5,0),"")</f>
        <v/>
      </c>
      <c r="F1587" t="str">
        <f>+IFERROR(VLOOKUP(Fact_Control_Operaciones[[#This Row], 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ht="18.75" customHeight="1" x14ac:dyDescent="0.35">
      <c r="C1588" s="100" t="str">
        <f>IF(OR(Fact_Control_Operaciones[[#This Row], [Año]]="",Fact_Control_Operaciones[[#This Row], 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 [Concepto Anterior]],Conceptos_Control_Operaciones[#All],5,0),"")</f>
        <v/>
      </c>
      <c r="F1588" t="str">
        <f>+IFERROR(VLOOKUP(Fact_Control_Operaciones[[#This Row], 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ht="18.75" customHeight="1" x14ac:dyDescent="0.35">
      <c r="C1589" s="100" t="str">
        <f>IF(OR(Fact_Control_Operaciones[[#This Row], [Año]]="",Fact_Control_Operaciones[[#This Row], 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 [Concepto Anterior]],Conceptos_Control_Operaciones[#All],5,0),"")</f>
        <v/>
      </c>
      <c r="F1589" t="str">
        <f>+IFERROR(VLOOKUP(Fact_Control_Operaciones[[#This Row], 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ht="18.75" customHeight="1" x14ac:dyDescent="0.35">
      <c r="C1590" s="100" t="str">
        <f>IF(OR(Fact_Control_Operaciones[[#This Row], [Año]]="",Fact_Control_Operaciones[[#This Row], 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 [Concepto Anterior]],Conceptos_Control_Operaciones[#All],5,0),"")</f>
        <v/>
      </c>
      <c r="F1590" t="str">
        <f>+IFERROR(VLOOKUP(Fact_Control_Operaciones[[#This Row], 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ht="18.75" customHeight="1" x14ac:dyDescent="0.35">
      <c r="C1591" s="100" t="str">
        <f>IF(OR(Fact_Control_Operaciones[[#This Row], [Año]]="",Fact_Control_Operaciones[[#This Row], 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 [Concepto Anterior]],Conceptos_Control_Operaciones[#All],5,0),"")</f>
        <v/>
      </c>
      <c r="F1591" t="str">
        <f>+IFERROR(VLOOKUP(Fact_Control_Operaciones[[#This Row], 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ht="18.75" customHeight="1" x14ac:dyDescent="0.35">
      <c r="C1592" s="100" t="str">
        <f>IF(OR(Fact_Control_Operaciones[[#This Row], [Año]]="",Fact_Control_Operaciones[[#This Row], 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 [Concepto Anterior]],Conceptos_Control_Operaciones[#All],5,0),"")</f>
        <v/>
      </c>
      <c r="F1592" t="str">
        <f>+IFERROR(VLOOKUP(Fact_Control_Operaciones[[#This Row], 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ht="18.75" customHeight="1" x14ac:dyDescent="0.35">
      <c r="C1593" s="100" t="str">
        <f>IF(OR(Fact_Control_Operaciones[[#This Row], [Año]]="",Fact_Control_Operaciones[[#This Row], 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 [Concepto Anterior]],Conceptos_Control_Operaciones[#All],5,0),"")</f>
        <v/>
      </c>
      <c r="F1593" t="str">
        <f>+IFERROR(VLOOKUP(Fact_Control_Operaciones[[#This Row], 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ht="18.75" customHeight="1" x14ac:dyDescent="0.35">
      <c r="C1594" s="100" t="str">
        <f>IF(OR(Fact_Control_Operaciones[[#This Row], [Año]]="",Fact_Control_Operaciones[[#This Row], 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 [Concepto Anterior]],Conceptos_Control_Operaciones[#All],5,0),"")</f>
        <v/>
      </c>
      <c r="F1594" t="str">
        <f>+IFERROR(VLOOKUP(Fact_Control_Operaciones[[#This Row], 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ht="18.75" customHeight="1" x14ac:dyDescent="0.35">
      <c r="C1595" s="100" t="str">
        <f>IF(OR(Fact_Control_Operaciones[[#This Row], [Año]]="",Fact_Control_Operaciones[[#This Row], 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 [Concepto Anterior]],Conceptos_Control_Operaciones[#All],5,0),"")</f>
        <v/>
      </c>
      <c r="F1595" t="str">
        <f>+IFERROR(VLOOKUP(Fact_Control_Operaciones[[#This Row], 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ht="18.75" customHeight="1" x14ac:dyDescent="0.35">
      <c r="C1596" s="100" t="str">
        <f>IF(OR(Fact_Control_Operaciones[[#This Row], [Año]]="",Fact_Control_Operaciones[[#This Row], 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 [Concepto Anterior]],Conceptos_Control_Operaciones[#All],5,0),"")</f>
        <v/>
      </c>
      <c r="F1596" t="str">
        <f>+IFERROR(VLOOKUP(Fact_Control_Operaciones[[#This Row], 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ht="18.75" customHeight="1" x14ac:dyDescent="0.35">
      <c r="C1597" s="100" t="str">
        <f>IF(OR(Fact_Control_Operaciones[[#This Row], [Año]]="",Fact_Control_Operaciones[[#This Row], 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 [Concepto Anterior]],Conceptos_Control_Operaciones[#All],5,0),"")</f>
        <v/>
      </c>
      <c r="F1597" t="str">
        <f>+IFERROR(VLOOKUP(Fact_Control_Operaciones[[#This Row], 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ht="18.75" customHeight="1" x14ac:dyDescent="0.35">
      <c r="C1598" s="100" t="str">
        <f>IF(OR(Fact_Control_Operaciones[[#This Row], [Año]]="",Fact_Control_Operaciones[[#This Row], 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 [Concepto Anterior]],Conceptos_Control_Operaciones[#All],5,0),"")</f>
        <v/>
      </c>
      <c r="F1598" t="str">
        <f>+IFERROR(VLOOKUP(Fact_Control_Operaciones[[#This Row], 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ht="18.75" customHeight="1" x14ac:dyDescent="0.35">
      <c r="C1599" s="100" t="str">
        <f>IF(OR(Fact_Control_Operaciones[[#This Row], [Año]]="",Fact_Control_Operaciones[[#This Row], 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 [Concepto Anterior]],Conceptos_Control_Operaciones[#All],5,0),"")</f>
        <v/>
      </c>
      <c r="F1599" t="str">
        <f>+IFERROR(VLOOKUP(Fact_Control_Operaciones[[#This Row], 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ht="18.75" customHeight="1" x14ac:dyDescent="0.35">
      <c r="C1600" s="100" t="str">
        <f>IF(OR(Fact_Control_Operaciones[[#This Row], [Año]]="",Fact_Control_Operaciones[[#This Row], 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 [Concepto Anterior]],Conceptos_Control_Operaciones[#All],5,0),"")</f>
        <v/>
      </c>
      <c r="F1600" t="str">
        <f>+IFERROR(VLOOKUP(Fact_Control_Operaciones[[#This Row], 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ht="18.75" customHeight="1" x14ac:dyDescent="0.35">
      <c r="C1601" s="100" t="str">
        <f>IF(OR(Fact_Control_Operaciones[[#This Row], [Año]]="",Fact_Control_Operaciones[[#This Row], 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 [Concepto Anterior]],Conceptos_Control_Operaciones[#All],5,0),"")</f>
        <v/>
      </c>
      <c r="F1601" t="str">
        <f>+IFERROR(VLOOKUP(Fact_Control_Operaciones[[#This Row], 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ht="18.75" customHeight="1" x14ac:dyDescent="0.35">
      <c r="C1602" s="100" t="str">
        <f>IF(OR(Fact_Control_Operaciones[[#This Row], [Año]]="",Fact_Control_Operaciones[[#This Row], 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 [Concepto Anterior]],Conceptos_Control_Operaciones[#All],5,0),"")</f>
        <v/>
      </c>
      <c r="F1602" t="str">
        <f>+IFERROR(VLOOKUP(Fact_Control_Operaciones[[#This Row], 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ht="18.75" customHeight="1" x14ac:dyDescent="0.35">
      <c r="C1603" s="100" t="str">
        <f>IF(OR(Fact_Control_Operaciones[[#This Row], [Año]]="",Fact_Control_Operaciones[[#This Row], 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 [Concepto Anterior]],Conceptos_Control_Operaciones[#All],5,0),"")</f>
        <v/>
      </c>
      <c r="F1603" t="str">
        <f>+IFERROR(VLOOKUP(Fact_Control_Operaciones[[#This Row], 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ht="18.75" customHeight="1" x14ac:dyDescent="0.35">
      <c r="C1604" s="100" t="str">
        <f>IF(OR(Fact_Control_Operaciones[[#This Row], [Año]]="",Fact_Control_Operaciones[[#This Row], 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 [Concepto Anterior]],Conceptos_Control_Operaciones[#All],5,0),"")</f>
        <v/>
      </c>
      <c r="F1604" t="str">
        <f>+IFERROR(VLOOKUP(Fact_Control_Operaciones[[#This Row], 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ht="18.75" customHeight="1" x14ac:dyDescent="0.35">
      <c r="C1605" s="100" t="str">
        <f>IF(OR(Fact_Control_Operaciones[[#This Row], [Año]]="",Fact_Control_Operaciones[[#This Row], 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 [Concepto Anterior]],Conceptos_Control_Operaciones[#All],5,0),"")</f>
        <v/>
      </c>
      <c r="F1605" t="str">
        <f>+IFERROR(VLOOKUP(Fact_Control_Operaciones[[#This Row], 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ht="18.75" customHeight="1" x14ac:dyDescent="0.35">
      <c r="C1606" s="100" t="str">
        <f>IF(OR(Fact_Control_Operaciones[[#This Row], [Año]]="",Fact_Control_Operaciones[[#This Row], 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 [Concepto Anterior]],Conceptos_Control_Operaciones[#All],5,0),"")</f>
        <v/>
      </c>
      <c r="F1606" t="str">
        <f>+IFERROR(VLOOKUP(Fact_Control_Operaciones[[#This Row], 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ht="18.75" customHeight="1" x14ac:dyDescent="0.35">
      <c r="C1607" s="100" t="str">
        <f>IF(OR(Fact_Control_Operaciones[[#This Row], [Año]]="",Fact_Control_Operaciones[[#This Row], 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 [Concepto Anterior]],Conceptos_Control_Operaciones[#All],5,0),"")</f>
        <v/>
      </c>
      <c r="F1607" t="str">
        <f>+IFERROR(VLOOKUP(Fact_Control_Operaciones[[#This Row], 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ht="18.75" customHeight="1" x14ac:dyDescent="0.35">
      <c r="C1608" s="100" t="str">
        <f>IF(OR(Fact_Control_Operaciones[[#This Row], [Año]]="",Fact_Control_Operaciones[[#This Row], 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 [Concepto Anterior]],Conceptos_Control_Operaciones[#All],5,0),"")</f>
        <v/>
      </c>
      <c r="F1608" t="str">
        <f>+IFERROR(VLOOKUP(Fact_Control_Operaciones[[#This Row], 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ht="18.75" customHeight="1" x14ac:dyDescent="0.35">
      <c r="C1609" s="100" t="str">
        <f>IF(OR(Fact_Control_Operaciones[[#This Row], [Año]]="",Fact_Control_Operaciones[[#This Row], 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 [Concepto Anterior]],Conceptos_Control_Operaciones[#All],5,0),"")</f>
        <v/>
      </c>
      <c r="F1609" t="str">
        <f>+IFERROR(VLOOKUP(Fact_Control_Operaciones[[#This Row], 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ht="18.75" customHeight="1" x14ac:dyDescent="0.35">
      <c r="C1610" s="100" t="str">
        <f>IF(OR(Fact_Control_Operaciones[[#This Row], [Año]]="",Fact_Control_Operaciones[[#This Row], 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 [Concepto Anterior]],Conceptos_Control_Operaciones[#All],5,0),"")</f>
        <v/>
      </c>
      <c r="F1610" t="str">
        <f>+IFERROR(VLOOKUP(Fact_Control_Operaciones[[#This Row], 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ht="18.75" customHeight="1" x14ac:dyDescent="0.35">
      <c r="C1611" s="100" t="str">
        <f>IF(OR(Fact_Control_Operaciones[[#This Row], [Año]]="",Fact_Control_Operaciones[[#This Row], 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 [Concepto Anterior]],Conceptos_Control_Operaciones[#All],5,0),"")</f>
        <v/>
      </c>
      <c r="F1611" t="str">
        <f>+IFERROR(VLOOKUP(Fact_Control_Operaciones[[#This Row], 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ht="18.75" customHeight="1" x14ac:dyDescent="0.35">
      <c r="C1612" s="100" t="str">
        <f>IF(OR(Fact_Control_Operaciones[[#This Row], [Año]]="",Fact_Control_Operaciones[[#This Row], 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 [Concepto Anterior]],Conceptos_Control_Operaciones[#All],5,0),"")</f>
        <v/>
      </c>
      <c r="F1612" t="str">
        <f>+IFERROR(VLOOKUP(Fact_Control_Operaciones[[#This Row], 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ht="18.75" customHeight="1" x14ac:dyDescent="0.35">
      <c r="C1613" s="100" t="str">
        <f>IF(OR(Fact_Control_Operaciones[[#This Row], [Año]]="",Fact_Control_Operaciones[[#This Row], 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 [Concepto Anterior]],Conceptos_Control_Operaciones[#All],5,0),"")</f>
        <v/>
      </c>
      <c r="F1613" t="str">
        <f>+IFERROR(VLOOKUP(Fact_Control_Operaciones[[#This Row], 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ht="18.75" customHeight="1" x14ac:dyDescent="0.35">
      <c r="C1614" s="100" t="str">
        <f>IF(OR(Fact_Control_Operaciones[[#This Row], [Año]]="",Fact_Control_Operaciones[[#This Row], 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 [Concepto Anterior]],Conceptos_Control_Operaciones[#All],5,0),"")</f>
        <v/>
      </c>
      <c r="F1614" t="str">
        <f>+IFERROR(VLOOKUP(Fact_Control_Operaciones[[#This Row], 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ht="18.75" customHeight="1" x14ac:dyDescent="0.35">
      <c r="C1615" s="100" t="str">
        <f>IF(OR(Fact_Control_Operaciones[[#This Row], [Año]]="",Fact_Control_Operaciones[[#This Row], 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 [Concepto Anterior]],Conceptos_Control_Operaciones[#All],5,0),"")</f>
        <v/>
      </c>
      <c r="F1615" t="str">
        <f>+IFERROR(VLOOKUP(Fact_Control_Operaciones[[#This Row], 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ht="18.75" customHeight="1" x14ac:dyDescent="0.35">
      <c r="C1616" s="100" t="str">
        <f>IF(OR(Fact_Control_Operaciones[[#This Row], [Año]]="",Fact_Control_Operaciones[[#This Row], 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 [Concepto Anterior]],Conceptos_Control_Operaciones[#All],5,0),"")</f>
        <v/>
      </c>
      <c r="F1616" t="str">
        <f>+IFERROR(VLOOKUP(Fact_Control_Operaciones[[#This Row], 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ht="18.75" customHeight="1" x14ac:dyDescent="0.35">
      <c r="C1617" s="100" t="str">
        <f>IF(OR(Fact_Control_Operaciones[[#This Row], [Año]]="",Fact_Control_Operaciones[[#This Row], 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 [Concepto Anterior]],Conceptos_Control_Operaciones[#All],5,0),"")</f>
        <v/>
      </c>
      <c r="F1617" t="str">
        <f>+IFERROR(VLOOKUP(Fact_Control_Operaciones[[#This Row], 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ht="18.75" customHeight="1" x14ac:dyDescent="0.35">
      <c r="C1618" s="100" t="str">
        <f>IF(OR(Fact_Control_Operaciones[[#This Row], [Año]]="",Fact_Control_Operaciones[[#This Row], 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 [Concepto Anterior]],Conceptos_Control_Operaciones[#All],5,0),"")</f>
        <v/>
      </c>
      <c r="F1618" t="str">
        <f>+IFERROR(VLOOKUP(Fact_Control_Operaciones[[#This Row], 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ht="18.75" customHeight="1" x14ac:dyDescent="0.35">
      <c r="C1619" s="100" t="str">
        <f>IF(OR(Fact_Control_Operaciones[[#This Row], [Año]]="",Fact_Control_Operaciones[[#This Row], 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 [Concepto Anterior]],Conceptos_Control_Operaciones[#All],5,0),"")</f>
        <v/>
      </c>
      <c r="F1619" t="str">
        <f>+IFERROR(VLOOKUP(Fact_Control_Operaciones[[#This Row], 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ht="18.75" customHeight="1" x14ac:dyDescent="0.35">
      <c r="C1620" s="100" t="str">
        <f>IF(OR(Fact_Control_Operaciones[[#This Row], [Año]]="",Fact_Control_Operaciones[[#This Row], 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 [Concepto Anterior]],Conceptos_Control_Operaciones[#All],5,0),"")</f>
        <v/>
      </c>
      <c r="F1620" t="str">
        <f>+IFERROR(VLOOKUP(Fact_Control_Operaciones[[#This Row], 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ht="18.75" customHeight="1" x14ac:dyDescent="0.35">
      <c r="C1621" s="100" t="str">
        <f>IF(OR(Fact_Control_Operaciones[[#This Row], [Año]]="",Fact_Control_Operaciones[[#This Row], 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 [Concepto Anterior]],Conceptos_Control_Operaciones[#All],5,0),"")</f>
        <v/>
      </c>
      <c r="F1621" t="str">
        <f>+IFERROR(VLOOKUP(Fact_Control_Operaciones[[#This Row], 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ht="18.75" customHeight="1" x14ac:dyDescent="0.35">
      <c r="C1622" s="100" t="str">
        <f>IF(OR(Fact_Control_Operaciones[[#This Row], [Año]]="",Fact_Control_Operaciones[[#This Row], 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 [Concepto Anterior]],Conceptos_Control_Operaciones[#All],5,0),"")</f>
        <v/>
      </c>
      <c r="F1622" t="str">
        <f>+IFERROR(VLOOKUP(Fact_Control_Operaciones[[#This Row], 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ht="18.75" customHeight="1" x14ac:dyDescent="0.35">
      <c r="C1623" s="100" t="str">
        <f>IF(OR(Fact_Control_Operaciones[[#This Row], [Año]]="",Fact_Control_Operaciones[[#This Row], 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 [Concepto Anterior]],Conceptos_Control_Operaciones[#All],5,0),"")</f>
        <v/>
      </c>
      <c r="F1623" t="str">
        <f>+IFERROR(VLOOKUP(Fact_Control_Operaciones[[#This Row], 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ht="18.75" customHeight="1" x14ac:dyDescent="0.35">
      <c r="C1624" s="100" t="str">
        <f>IF(OR(Fact_Control_Operaciones[[#This Row], [Año]]="",Fact_Control_Operaciones[[#This Row], 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 [Concepto Anterior]],Conceptos_Control_Operaciones[#All],5,0),"")</f>
        <v/>
      </c>
      <c r="F1624" t="str">
        <f>+IFERROR(VLOOKUP(Fact_Control_Operaciones[[#This Row], 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ht="18.75" customHeight="1" x14ac:dyDescent="0.35">
      <c r="C1625" s="100" t="str">
        <f>IF(OR(Fact_Control_Operaciones[[#This Row], [Año]]="",Fact_Control_Operaciones[[#This Row], 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 [Concepto Anterior]],Conceptos_Control_Operaciones[#All],5,0),"")</f>
        <v/>
      </c>
      <c r="F1625" t="str">
        <f>+IFERROR(VLOOKUP(Fact_Control_Operaciones[[#This Row], 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ht="18.75" customHeight="1" x14ac:dyDescent="0.35">
      <c r="C1626" s="100" t="str">
        <f>IF(OR(Fact_Control_Operaciones[[#This Row], [Año]]="",Fact_Control_Operaciones[[#This Row], 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 [Concepto Anterior]],Conceptos_Control_Operaciones[#All],5,0),"")</f>
        <v/>
      </c>
      <c r="F1626" t="str">
        <f>+IFERROR(VLOOKUP(Fact_Control_Operaciones[[#This Row], 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ht="18.75" customHeight="1" x14ac:dyDescent="0.35">
      <c r="C1627" s="100" t="str">
        <f>IF(OR(Fact_Control_Operaciones[[#This Row], [Año]]="",Fact_Control_Operaciones[[#This Row], 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 [Concepto Anterior]],Conceptos_Control_Operaciones[#All],5,0),"")</f>
        <v/>
      </c>
      <c r="F1627" t="str">
        <f>+IFERROR(VLOOKUP(Fact_Control_Operaciones[[#This Row], 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ht="18.75" customHeight="1" x14ac:dyDescent="0.35">
      <c r="C1628" s="100" t="str">
        <f>IF(OR(Fact_Control_Operaciones[[#This Row], [Año]]="",Fact_Control_Operaciones[[#This Row], 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 [Concepto Anterior]],Conceptos_Control_Operaciones[#All],5,0),"")</f>
        <v/>
      </c>
      <c r="F1628" t="str">
        <f>+IFERROR(VLOOKUP(Fact_Control_Operaciones[[#This Row], 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ht="18.75" customHeight="1" x14ac:dyDescent="0.35">
      <c r="C1629" s="100" t="str">
        <f>IF(OR(Fact_Control_Operaciones[[#This Row], [Año]]="",Fact_Control_Operaciones[[#This Row], 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 [Concepto Anterior]],Conceptos_Control_Operaciones[#All],5,0),"")</f>
        <v/>
      </c>
      <c r="F1629" t="str">
        <f>+IFERROR(VLOOKUP(Fact_Control_Operaciones[[#This Row], 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ht="18.75" customHeight="1" x14ac:dyDescent="0.35">
      <c r="C1630" s="100" t="str">
        <f>IF(OR(Fact_Control_Operaciones[[#This Row], [Año]]="",Fact_Control_Operaciones[[#This Row], 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 [Concepto Anterior]],Conceptos_Control_Operaciones[#All],5,0),"")</f>
        <v/>
      </c>
      <c r="F1630" t="str">
        <f>+IFERROR(VLOOKUP(Fact_Control_Operaciones[[#This Row], 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ht="18.75" customHeight="1" x14ac:dyDescent="0.35">
      <c r="C1631" s="100" t="str">
        <f>IF(OR(Fact_Control_Operaciones[[#This Row], [Año]]="",Fact_Control_Operaciones[[#This Row], 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 [Concepto Anterior]],Conceptos_Control_Operaciones[#All],5,0),"")</f>
        <v/>
      </c>
      <c r="F1631" t="str">
        <f>+IFERROR(VLOOKUP(Fact_Control_Operaciones[[#This Row], 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ht="18.75" customHeight="1" x14ac:dyDescent="0.35">
      <c r="C1632" s="100" t="str">
        <f>IF(OR(Fact_Control_Operaciones[[#This Row], [Año]]="",Fact_Control_Operaciones[[#This Row], 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 [Concepto Anterior]],Conceptos_Control_Operaciones[#All],5,0),"")</f>
        <v/>
      </c>
      <c r="F1632" t="str">
        <f>+IFERROR(VLOOKUP(Fact_Control_Operaciones[[#This Row], 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ht="18.75" customHeight="1" x14ac:dyDescent="0.35">
      <c r="C1633" s="100" t="str">
        <f>IF(OR(Fact_Control_Operaciones[[#This Row], [Año]]="",Fact_Control_Operaciones[[#This Row], 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 [Concepto Anterior]],Conceptos_Control_Operaciones[#All],5,0),"")</f>
        <v/>
      </c>
      <c r="F1633" t="str">
        <f>+IFERROR(VLOOKUP(Fact_Control_Operaciones[[#This Row], 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ht="18.75" customHeight="1" x14ac:dyDescent="0.35">
      <c r="C1634" s="100" t="str">
        <f>IF(OR(Fact_Control_Operaciones[[#This Row], [Año]]="",Fact_Control_Operaciones[[#This Row], 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 [Concepto Anterior]],Conceptos_Control_Operaciones[#All],5,0),"")</f>
        <v/>
      </c>
      <c r="F1634" t="str">
        <f>+IFERROR(VLOOKUP(Fact_Control_Operaciones[[#This Row], 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ht="18.75" customHeight="1" x14ac:dyDescent="0.35">
      <c r="C1635" s="100" t="str">
        <f>IF(OR(Fact_Control_Operaciones[[#This Row], [Año]]="",Fact_Control_Operaciones[[#This Row], 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 [Concepto Anterior]],Conceptos_Control_Operaciones[#All],5,0),"")</f>
        <v/>
      </c>
      <c r="F1635" t="str">
        <f>+IFERROR(VLOOKUP(Fact_Control_Operaciones[[#This Row], 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ht="18.75" customHeight="1" x14ac:dyDescent="0.35">
      <c r="C1636" s="100" t="str">
        <f>IF(OR(Fact_Control_Operaciones[[#This Row], [Año]]="",Fact_Control_Operaciones[[#This Row], 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 [Concepto Anterior]],Conceptos_Control_Operaciones[#All],5,0),"")</f>
        <v/>
      </c>
      <c r="F1636" t="str">
        <f>+IFERROR(VLOOKUP(Fact_Control_Operaciones[[#This Row], 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ht="18.75" customHeight="1" x14ac:dyDescent="0.35">
      <c r="C1637" s="100" t="str">
        <f>IF(OR(Fact_Control_Operaciones[[#This Row], [Año]]="",Fact_Control_Operaciones[[#This Row], 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 [Concepto Anterior]],Conceptos_Control_Operaciones[#All],5,0),"")</f>
        <v/>
      </c>
      <c r="F1637" t="str">
        <f>+IFERROR(VLOOKUP(Fact_Control_Operaciones[[#This Row], 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ht="18.75" customHeight="1" x14ac:dyDescent="0.35">
      <c r="C1638" s="100" t="str">
        <f>IF(OR(Fact_Control_Operaciones[[#This Row], [Año]]="",Fact_Control_Operaciones[[#This Row], 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 [Concepto Anterior]],Conceptos_Control_Operaciones[#All],5,0),"")</f>
        <v/>
      </c>
      <c r="F1638" t="str">
        <f>+IFERROR(VLOOKUP(Fact_Control_Operaciones[[#This Row], 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ht="18.75" customHeight="1" x14ac:dyDescent="0.35">
      <c r="C1639" s="100" t="str">
        <f>IF(OR(Fact_Control_Operaciones[[#This Row], [Año]]="",Fact_Control_Operaciones[[#This Row], 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 [Concepto Anterior]],Conceptos_Control_Operaciones[#All],5,0),"")</f>
        <v/>
      </c>
      <c r="F1639" t="str">
        <f>+IFERROR(VLOOKUP(Fact_Control_Operaciones[[#This Row], 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ht="18.75" customHeight="1" x14ac:dyDescent="0.35">
      <c r="C1640" s="100" t="str">
        <f>IF(OR(Fact_Control_Operaciones[[#This Row], [Año]]="",Fact_Control_Operaciones[[#This Row], 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 [Concepto Anterior]],Conceptos_Control_Operaciones[#All],5,0),"")</f>
        <v/>
      </c>
      <c r="F1640" t="str">
        <f>+IFERROR(VLOOKUP(Fact_Control_Operaciones[[#This Row], 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ht="18.75" customHeight="1" x14ac:dyDescent="0.35">
      <c r="C1641" s="100" t="str">
        <f>IF(OR(Fact_Control_Operaciones[[#This Row], [Año]]="",Fact_Control_Operaciones[[#This Row], 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 [Concepto Anterior]],Conceptos_Control_Operaciones[#All],5,0),"")</f>
        <v/>
      </c>
      <c r="F1641" t="str">
        <f>+IFERROR(VLOOKUP(Fact_Control_Operaciones[[#This Row], 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ht="18.75" customHeight="1" x14ac:dyDescent="0.35">
      <c r="C1642" s="100" t="str">
        <f>IF(OR(Fact_Control_Operaciones[[#This Row], [Año]]="",Fact_Control_Operaciones[[#This Row], 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 [Concepto Anterior]],Conceptos_Control_Operaciones[#All],5,0),"")</f>
        <v/>
      </c>
      <c r="F1642" t="str">
        <f>+IFERROR(VLOOKUP(Fact_Control_Operaciones[[#This Row], 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ht="18.75" customHeight="1" x14ac:dyDescent="0.35">
      <c r="C1643" s="100" t="str">
        <f>IF(OR(Fact_Control_Operaciones[[#This Row], [Año]]="",Fact_Control_Operaciones[[#This Row], 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 [Concepto Anterior]],Conceptos_Control_Operaciones[#All],5,0),"")</f>
        <v/>
      </c>
      <c r="F1643" t="str">
        <f>+IFERROR(VLOOKUP(Fact_Control_Operaciones[[#This Row], 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ht="18.75" customHeight="1" x14ac:dyDescent="0.35">
      <c r="C1644" s="100" t="str">
        <f>IF(OR(Fact_Control_Operaciones[[#This Row], [Año]]="",Fact_Control_Operaciones[[#This Row], 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 [Concepto Anterior]],Conceptos_Control_Operaciones[#All],5,0),"")</f>
        <v/>
      </c>
      <c r="F1644" t="str">
        <f>+IFERROR(VLOOKUP(Fact_Control_Operaciones[[#This Row], 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ht="18.75" customHeight="1" x14ac:dyDescent="0.35">
      <c r="C1645" s="100" t="str">
        <f>IF(OR(Fact_Control_Operaciones[[#This Row], [Año]]="",Fact_Control_Operaciones[[#This Row], 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 [Concepto Anterior]],Conceptos_Control_Operaciones[#All],5,0),"")</f>
        <v/>
      </c>
      <c r="F1645" t="str">
        <f>+IFERROR(VLOOKUP(Fact_Control_Operaciones[[#This Row], 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ht="18.75" customHeight="1" x14ac:dyDescent="0.35">
      <c r="C1646" s="100" t="str">
        <f>IF(OR(Fact_Control_Operaciones[[#This Row], [Año]]="",Fact_Control_Operaciones[[#This Row], 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 [Concepto Anterior]],Conceptos_Control_Operaciones[#All],5,0),"")</f>
        <v/>
      </c>
      <c r="F1646" t="str">
        <f>+IFERROR(VLOOKUP(Fact_Control_Operaciones[[#This Row], 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ht="18.75" customHeight="1" x14ac:dyDescent="0.35">
      <c r="C1647" s="100" t="str">
        <f>IF(OR(Fact_Control_Operaciones[[#This Row], [Año]]="",Fact_Control_Operaciones[[#This Row], 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 [Concepto Anterior]],Conceptos_Control_Operaciones[#All],5,0),"")</f>
        <v/>
      </c>
      <c r="F1647" t="str">
        <f>+IFERROR(VLOOKUP(Fact_Control_Operaciones[[#This Row], 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ht="18.75" customHeight="1" x14ac:dyDescent="0.35">
      <c r="C1648" s="100" t="str">
        <f>IF(OR(Fact_Control_Operaciones[[#This Row], [Año]]="",Fact_Control_Operaciones[[#This Row], 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 [Concepto Anterior]],Conceptos_Control_Operaciones[#All],5,0),"")</f>
        <v/>
      </c>
      <c r="F1648" t="str">
        <f>+IFERROR(VLOOKUP(Fact_Control_Operaciones[[#This Row], 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ht="18.75" customHeight="1" x14ac:dyDescent="0.35">
      <c r="C1649" s="100" t="str">
        <f>IF(OR(Fact_Control_Operaciones[[#This Row], [Año]]="",Fact_Control_Operaciones[[#This Row], 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 [Concepto Anterior]],Conceptos_Control_Operaciones[#All],5,0),"")</f>
        <v/>
      </c>
      <c r="F1649" t="str">
        <f>+IFERROR(VLOOKUP(Fact_Control_Operaciones[[#This Row], 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ht="18.75" customHeight="1" x14ac:dyDescent="0.35">
      <c r="C1650" s="100" t="str">
        <f>IF(OR(Fact_Control_Operaciones[[#This Row], [Año]]="",Fact_Control_Operaciones[[#This Row], 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 [Concepto Anterior]],Conceptos_Control_Operaciones[#All],5,0),"")</f>
        <v/>
      </c>
      <c r="F1650" t="str">
        <f>+IFERROR(VLOOKUP(Fact_Control_Operaciones[[#This Row], 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ht="18.75" customHeight="1" x14ac:dyDescent="0.35">
      <c r="C1651" s="100" t="str">
        <f>IF(OR(Fact_Control_Operaciones[[#This Row], [Año]]="",Fact_Control_Operaciones[[#This Row], 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 [Concepto Anterior]],Conceptos_Control_Operaciones[#All],5,0),"")</f>
        <v/>
      </c>
      <c r="F1651" t="str">
        <f>+IFERROR(VLOOKUP(Fact_Control_Operaciones[[#This Row], 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ht="18.75" customHeight="1" x14ac:dyDescent="0.35">
      <c r="C1652" s="100" t="str">
        <f>IF(OR(Fact_Control_Operaciones[[#This Row], [Año]]="",Fact_Control_Operaciones[[#This Row], 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 [Concepto Anterior]],Conceptos_Control_Operaciones[#All],5,0),"")</f>
        <v/>
      </c>
      <c r="F1652" t="str">
        <f>+IFERROR(VLOOKUP(Fact_Control_Operaciones[[#This Row], 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ht="18.75" customHeight="1" x14ac:dyDescent="0.35">
      <c r="C1653" s="100" t="str">
        <f>IF(OR(Fact_Control_Operaciones[[#This Row], [Año]]="",Fact_Control_Operaciones[[#This Row], 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 [Concepto Anterior]],Conceptos_Control_Operaciones[#All],5,0),"")</f>
        <v/>
      </c>
      <c r="F1653" t="str">
        <f>+IFERROR(VLOOKUP(Fact_Control_Operaciones[[#This Row], 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ht="18.75" customHeight="1" x14ac:dyDescent="0.35">
      <c r="C1654" s="100" t="str">
        <f>IF(OR(Fact_Control_Operaciones[[#This Row], [Año]]="",Fact_Control_Operaciones[[#This Row], 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 [Concepto Anterior]],Conceptos_Control_Operaciones[#All],5,0),"")</f>
        <v/>
      </c>
      <c r="F1654" t="str">
        <f>+IFERROR(VLOOKUP(Fact_Control_Operaciones[[#This Row], 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ht="18.75" customHeight="1" x14ac:dyDescent="0.35">
      <c r="C1655" s="100" t="str">
        <f>IF(OR(Fact_Control_Operaciones[[#This Row], [Año]]="",Fact_Control_Operaciones[[#This Row], 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 [Concepto Anterior]],Conceptos_Control_Operaciones[#All],5,0),"")</f>
        <v/>
      </c>
      <c r="F1655" t="str">
        <f>+IFERROR(VLOOKUP(Fact_Control_Operaciones[[#This Row], 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ht="18.75" customHeight="1" x14ac:dyDescent="0.35">
      <c r="C1656" s="100" t="str">
        <f>IF(OR(Fact_Control_Operaciones[[#This Row], [Año]]="",Fact_Control_Operaciones[[#This Row], 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 [Concepto Anterior]],Conceptos_Control_Operaciones[#All],5,0),"")</f>
        <v/>
      </c>
      <c r="F1656" t="str">
        <f>+IFERROR(VLOOKUP(Fact_Control_Operaciones[[#This Row], 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ht="18.75" customHeight="1" x14ac:dyDescent="0.35">
      <c r="C1657" s="100" t="str">
        <f>IF(OR(Fact_Control_Operaciones[[#This Row], [Año]]="",Fact_Control_Operaciones[[#This Row], 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 [Concepto Anterior]],Conceptos_Control_Operaciones[#All],5,0),"")</f>
        <v/>
      </c>
      <c r="F1657" t="str">
        <f>+IFERROR(VLOOKUP(Fact_Control_Operaciones[[#This Row], 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ht="18.75" customHeight="1" x14ac:dyDescent="0.35">
      <c r="C1658" s="100" t="str">
        <f>IF(OR(Fact_Control_Operaciones[[#This Row], [Año]]="",Fact_Control_Operaciones[[#This Row], 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 [Concepto Anterior]],Conceptos_Control_Operaciones[#All],5,0),"")</f>
        <v/>
      </c>
      <c r="F1658" t="str">
        <f>+IFERROR(VLOOKUP(Fact_Control_Operaciones[[#This Row], 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ht="18.75" customHeight="1" x14ac:dyDescent="0.35">
      <c r="C1659" s="100" t="str">
        <f>IF(OR(Fact_Control_Operaciones[[#This Row], [Año]]="",Fact_Control_Operaciones[[#This Row], 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 [Concepto Anterior]],Conceptos_Control_Operaciones[#All],5,0),"")</f>
        <v/>
      </c>
      <c r="F1659" t="str">
        <f>+IFERROR(VLOOKUP(Fact_Control_Operaciones[[#This Row], 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ht="18.75" customHeight="1" x14ac:dyDescent="0.35">
      <c r="C1660" s="100" t="str">
        <f>IF(OR(Fact_Control_Operaciones[[#This Row], [Año]]="",Fact_Control_Operaciones[[#This Row], 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 [Concepto Anterior]],Conceptos_Control_Operaciones[#All],5,0),"")</f>
        <v/>
      </c>
      <c r="F1660" t="str">
        <f>+IFERROR(VLOOKUP(Fact_Control_Operaciones[[#This Row], 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ht="18.75" customHeight="1" x14ac:dyDescent="0.35">
      <c r="C1661" s="100" t="str">
        <f>IF(OR(Fact_Control_Operaciones[[#This Row], [Año]]="",Fact_Control_Operaciones[[#This Row], 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 [Concepto Anterior]],Conceptos_Control_Operaciones[#All],5,0),"")</f>
        <v/>
      </c>
      <c r="F1661" t="str">
        <f>+IFERROR(VLOOKUP(Fact_Control_Operaciones[[#This Row], 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ht="18.75" customHeight="1" x14ac:dyDescent="0.35">
      <c r="C1662" s="100" t="str">
        <f>IF(OR(Fact_Control_Operaciones[[#This Row], [Año]]="",Fact_Control_Operaciones[[#This Row], 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 [Concepto Anterior]],Conceptos_Control_Operaciones[#All],5,0),"")</f>
        <v/>
      </c>
      <c r="F1662" t="str">
        <f>+IFERROR(VLOOKUP(Fact_Control_Operaciones[[#This Row], 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ht="18.75" customHeight="1" x14ac:dyDescent="0.35">
      <c r="C1663" s="100" t="str">
        <f>IF(OR(Fact_Control_Operaciones[[#This Row], [Año]]="",Fact_Control_Operaciones[[#This Row], 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 [Concepto Anterior]],Conceptos_Control_Operaciones[#All],5,0),"")</f>
        <v/>
      </c>
      <c r="F1663" t="str">
        <f>+IFERROR(VLOOKUP(Fact_Control_Operaciones[[#This Row], 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ht="18.75" customHeight="1" x14ac:dyDescent="0.35">
      <c r="C1664" s="100" t="str">
        <f>IF(OR(Fact_Control_Operaciones[[#This Row], [Año]]="",Fact_Control_Operaciones[[#This Row], 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 [Concepto Anterior]],Conceptos_Control_Operaciones[#All],5,0),"")</f>
        <v/>
      </c>
      <c r="F1664" t="str">
        <f>+IFERROR(VLOOKUP(Fact_Control_Operaciones[[#This Row], 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ht="18.75" customHeight="1" x14ac:dyDescent="0.35">
      <c r="C1665" s="100" t="str">
        <f>IF(OR(Fact_Control_Operaciones[[#This Row], [Año]]="",Fact_Control_Operaciones[[#This Row], 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 [Concepto Anterior]],Conceptos_Control_Operaciones[#All],5,0),"")</f>
        <v/>
      </c>
      <c r="F1665" t="str">
        <f>+IFERROR(VLOOKUP(Fact_Control_Operaciones[[#This Row], 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ht="18.75" customHeight="1" x14ac:dyDescent="0.35">
      <c r="C1666" s="100" t="str">
        <f>IF(OR(Fact_Control_Operaciones[[#This Row], [Año]]="",Fact_Control_Operaciones[[#This Row], 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 [Concepto Anterior]],Conceptos_Control_Operaciones[#All],5,0),"")</f>
        <v/>
      </c>
      <c r="F1666" t="str">
        <f>+IFERROR(VLOOKUP(Fact_Control_Operaciones[[#This Row], 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ht="18.75" customHeight="1" x14ac:dyDescent="0.35">
      <c r="C1667" s="100" t="str">
        <f>IF(OR(Fact_Control_Operaciones[[#This Row], [Año]]="",Fact_Control_Operaciones[[#This Row], 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 [Concepto Anterior]],Conceptos_Control_Operaciones[#All],5,0),"")</f>
        <v/>
      </c>
      <c r="F1667" t="str">
        <f>+IFERROR(VLOOKUP(Fact_Control_Operaciones[[#This Row], 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ht="18.75" customHeight="1" x14ac:dyDescent="0.35">
      <c r="C1668" s="100" t="str">
        <f>IF(OR(Fact_Control_Operaciones[[#This Row], [Año]]="",Fact_Control_Operaciones[[#This Row], 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 [Concepto Anterior]],Conceptos_Control_Operaciones[#All],5,0),"")</f>
        <v/>
      </c>
      <c r="F1668" t="str">
        <f>+IFERROR(VLOOKUP(Fact_Control_Operaciones[[#This Row], 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ht="18.75" customHeight="1" x14ac:dyDescent="0.35">
      <c r="C1669" s="100" t="str">
        <f>IF(OR(Fact_Control_Operaciones[[#This Row], [Año]]="",Fact_Control_Operaciones[[#This Row], 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 [Concepto Anterior]],Conceptos_Control_Operaciones[#All],5,0),"")</f>
        <v/>
      </c>
      <c r="F1669" t="str">
        <f>+IFERROR(VLOOKUP(Fact_Control_Operaciones[[#This Row], 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ht="18.75" customHeight="1" x14ac:dyDescent="0.35">
      <c r="C1670" s="100" t="str">
        <f>IF(OR(Fact_Control_Operaciones[[#This Row], [Año]]="",Fact_Control_Operaciones[[#This Row], 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 [Concepto Anterior]],Conceptos_Control_Operaciones[#All],5,0),"")</f>
        <v/>
      </c>
      <c r="F1670" t="str">
        <f>+IFERROR(VLOOKUP(Fact_Control_Operaciones[[#This Row], 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ht="18.75" customHeight="1" x14ac:dyDescent="0.35">
      <c r="C1671" s="100" t="str">
        <f>IF(OR(Fact_Control_Operaciones[[#This Row], [Año]]="",Fact_Control_Operaciones[[#This Row], 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 [Concepto Anterior]],Conceptos_Control_Operaciones[#All],5,0),"")</f>
        <v/>
      </c>
      <c r="F1671" t="str">
        <f>+IFERROR(VLOOKUP(Fact_Control_Operaciones[[#This Row], 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ht="18.75" customHeight="1" x14ac:dyDescent="0.35">
      <c r="C1672" s="100" t="str">
        <f>IF(OR(Fact_Control_Operaciones[[#This Row], [Año]]="",Fact_Control_Operaciones[[#This Row], 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 [Concepto Anterior]],Conceptos_Control_Operaciones[#All],5,0),"")</f>
        <v/>
      </c>
      <c r="F1672" t="str">
        <f>+IFERROR(VLOOKUP(Fact_Control_Operaciones[[#This Row], 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ht="18.75" customHeight="1" x14ac:dyDescent="0.35">
      <c r="C1673" s="100" t="str">
        <f>IF(OR(Fact_Control_Operaciones[[#This Row], [Año]]="",Fact_Control_Operaciones[[#This Row], 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 [Concepto Anterior]],Conceptos_Control_Operaciones[#All],5,0),"")</f>
        <v/>
      </c>
      <c r="F1673" t="str">
        <f>+IFERROR(VLOOKUP(Fact_Control_Operaciones[[#This Row], 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ht="18.75" customHeight="1" x14ac:dyDescent="0.35">
      <c r="C1674" s="100" t="str">
        <f>IF(OR(Fact_Control_Operaciones[[#This Row], [Año]]="",Fact_Control_Operaciones[[#This Row], 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 [Concepto Anterior]],Conceptos_Control_Operaciones[#All],5,0),"")</f>
        <v/>
      </c>
      <c r="F1674" t="str">
        <f>+IFERROR(VLOOKUP(Fact_Control_Operaciones[[#This Row], 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ht="18.75" customHeight="1" x14ac:dyDescent="0.35">
      <c r="C1675" s="100" t="str">
        <f>IF(OR(Fact_Control_Operaciones[[#This Row], [Año]]="",Fact_Control_Operaciones[[#This Row], 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 [Concepto Anterior]],Conceptos_Control_Operaciones[#All],5,0),"")</f>
        <v/>
      </c>
      <c r="F1675" t="str">
        <f>+IFERROR(VLOOKUP(Fact_Control_Operaciones[[#This Row], 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ht="18.75" customHeight="1" x14ac:dyDescent="0.35">
      <c r="C1676" s="100" t="str">
        <f>IF(OR(Fact_Control_Operaciones[[#This Row], [Año]]="",Fact_Control_Operaciones[[#This Row], 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 [Concepto Anterior]],Conceptos_Control_Operaciones[#All],5,0),"")</f>
        <v/>
      </c>
      <c r="F1676" t="str">
        <f>+IFERROR(VLOOKUP(Fact_Control_Operaciones[[#This Row], 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ht="18.75" customHeight="1" x14ac:dyDescent="0.35">
      <c r="C1677" s="100" t="str">
        <f>IF(OR(Fact_Control_Operaciones[[#This Row], [Año]]="",Fact_Control_Operaciones[[#This Row], 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 [Concepto Anterior]],Conceptos_Control_Operaciones[#All],5,0),"")</f>
        <v/>
      </c>
      <c r="F1677" t="str">
        <f>+IFERROR(VLOOKUP(Fact_Control_Operaciones[[#This Row], 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ht="18.75" customHeight="1" x14ac:dyDescent="0.35">
      <c r="C1678" s="100" t="str">
        <f>IF(OR(Fact_Control_Operaciones[[#This Row], [Año]]="",Fact_Control_Operaciones[[#This Row], 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 [Concepto Anterior]],Conceptos_Control_Operaciones[#All],5,0),"")</f>
        <v/>
      </c>
      <c r="F1678" t="str">
        <f>+IFERROR(VLOOKUP(Fact_Control_Operaciones[[#This Row], 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ht="18.75" customHeight="1" x14ac:dyDescent="0.35">
      <c r="C1679" s="100" t="str">
        <f>IF(OR(Fact_Control_Operaciones[[#This Row], [Año]]="",Fact_Control_Operaciones[[#This Row], 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 [Concepto Anterior]],Conceptos_Control_Operaciones[#All],5,0),"")</f>
        <v/>
      </c>
      <c r="F1679" t="str">
        <f>+IFERROR(VLOOKUP(Fact_Control_Operaciones[[#This Row], 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ht="18.75" customHeight="1" x14ac:dyDescent="0.35">
      <c r="C1680" s="100" t="str">
        <f>IF(OR(Fact_Control_Operaciones[[#This Row], [Año]]="",Fact_Control_Operaciones[[#This Row], 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 [Concepto Anterior]],Conceptos_Control_Operaciones[#All],5,0),"")</f>
        <v/>
      </c>
      <c r="F1680" t="str">
        <f>+IFERROR(VLOOKUP(Fact_Control_Operaciones[[#This Row], 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ht="18.75" customHeight="1" x14ac:dyDescent="0.35">
      <c r="C1681" s="100" t="str">
        <f>IF(OR(Fact_Control_Operaciones[[#This Row], [Año]]="",Fact_Control_Operaciones[[#This Row], 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 [Concepto Anterior]],Conceptos_Control_Operaciones[#All],5,0),"")</f>
        <v/>
      </c>
      <c r="F1681" t="str">
        <f>+IFERROR(VLOOKUP(Fact_Control_Operaciones[[#This Row], 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ht="18.75" customHeight="1" x14ac:dyDescent="0.35">
      <c r="C1682" s="100" t="str">
        <f>IF(OR(Fact_Control_Operaciones[[#This Row], [Año]]="",Fact_Control_Operaciones[[#This Row], 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 [Concepto Anterior]],Conceptos_Control_Operaciones[#All],5,0),"")</f>
        <v/>
      </c>
      <c r="F1682" t="str">
        <f>+IFERROR(VLOOKUP(Fact_Control_Operaciones[[#This Row], 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ht="18.75" customHeight="1" x14ac:dyDescent="0.35">
      <c r="C1683" s="100" t="str">
        <f>IF(OR(Fact_Control_Operaciones[[#This Row], [Año]]="",Fact_Control_Operaciones[[#This Row], 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 [Concepto Anterior]],Conceptos_Control_Operaciones[#All],5,0),"")</f>
        <v/>
      </c>
      <c r="F1683" t="str">
        <f>+IFERROR(VLOOKUP(Fact_Control_Operaciones[[#This Row], 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ht="18.75" customHeight="1" x14ac:dyDescent="0.35">
      <c r="C1684" s="100" t="str">
        <f>IF(OR(Fact_Control_Operaciones[[#This Row], [Año]]="",Fact_Control_Operaciones[[#This Row], 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 [Concepto Anterior]],Conceptos_Control_Operaciones[#All],5,0),"")</f>
        <v/>
      </c>
      <c r="F1684" t="str">
        <f>+IFERROR(VLOOKUP(Fact_Control_Operaciones[[#This Row], 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ht="18.75" customHeight="1" x14ac:dyDescent="0.35">
      <c r="C1685" s="100" t="str">
        <f>IF(OR(Fact_Control_Operaciones[[#This Row], [Año]]="",Fact_Control_Operaciones[[#This Row], 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 [Concepto Anterior]],Conceptos_Control_Operaciones[#All],5,0),"")</f>
        <v/>
      </c>
      <c r="F1685" t="str">
        <f>+IFERROR(VLOOKUP(Fact_Control_Operaciones[[#This Row], 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ht="18.75" customHeight="1" x14ac:dyDescent="0.35">
      <c r="C1686" s="100" t="str">
        <f>IF(OR(Fact_Control_Operaciones[[#This Row], [Año]]="",Fact_Control_Operaciones[[#This Row], 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 [Concepto Anterior]],Conceptos_Control_Operaciones[#All],5,0),"")</f>
        <v/>
      </c>
      <c r="F1686" t="str">
        <f>+IFERROR(VLOOKUP(Fact_Control_Operaciones[[#This Row], 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ht="18.75" customHeight="1" x14ac:dyDescent="0.35">
      <c r="C1687" s="100" t="str">
        <f>IF(OR(Fact_Control_Operaciones[[#This Row], [Año]]="",Fact_Control_Operaciones[[#This Row], 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 [Concepto Anterior]],Conceptos_Control_Operaciones[#All],5,0),"")</f>
        <v/>
      </c>
      <c r="F1687" t="str">
        <f>+IFERROR(VLOOKUP(Fact_Control_Operaciones[[#This Row], 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ht="18.75" customHeight="1" x14ac:dyDescent="0.35">
      <c r="C1688" s="100" t="str">
        <f>IF(OR(Fact_Control_Operaciones[[#This Row], [Año]]="",Fact_Control_Operaciones[[#This Row], 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 [Concepto Anterior]],Conceptos_Control_Operaciones[#All],5,0),"")</f>
        <v/>
      </c>
      <c r="F1688" t="str">
        <f>+IFERROR(VLOOKUP(Fact_Control_Operaciones[[#This Row], 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ht="18.75" customHeight="1" x14ac:dyDescent="0.35">
      <c r="C1689" s="100" t="str">
        <f>IF(OR(Fact_Control_Operaciones[[#This Row], [Año]]="",Fact_Control_Operaciones[[#This Row], 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 [Concepto Anterior]],Conceptos_Control_Operaciones[#All],5,0),"")</f>
        <v/>
      </c>
      <c r="F1689" t="str">
        <f>+IFERROR(VLOOKUP(Fact_Control_Operaciones[[#This Row], 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ht="18.75" customHeight="1" x14ac:dyDescent="0.35">
      <c r="C1690" s="100" t="str">
        <f>IF(OR(Fact_Control_Operaciones[[#This Row], [Año]]="",Fact_Control_Operaciones[[#This Row], 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 [Concepto Anterior]],Conceptos_Control_Operaciones[#All],5,0),"")</f>
        <v/>
      </c>
      <c r="F1690" t="str">
        <f>+IFERROR(VLOOKUP(Fact_Control_Operaciones[[#This Row], 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ht="18.75" customHeight="1" x14ac:dyDescent="0.35">
      <c r="C1691" s="100" t="str">
        <f>IF(OR(Fact_Control_Operaciones[[#This Row], [Año]]="",Fact_Control_Operaciones[[#This Row], 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 [Concepto Anterior]],Conceptos_Control_Operaciones[#All],5,0),"")</f>
        <v/>
      </c>
      <c r="F1691" t="str">
        <f>+IFERROR(VLOOKUP(Fact_Control_Operaciones[[#This Row], 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ht="18.75" customHeight="1" x14ac:dyDescent="0.35">
      <c r="C1692" s="100" t="str">
        <f>IF(OR(Fact_Control_Operaciones[[#This Row], [Año]]="",Fact_Control_Operaciones[[#This Row], 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 [Concepto Anterior]],Conceptos_Control_Operaciones[#All],5,0),"")</f>
        <v/>
      </c>
      <c r="F1692" t="str">
        <f>+IFERROR(VLOOKUP(Fact_Control_Operaciones[[#This Row], 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ht="18.75" customHeight="1" x14ac:dyDescent="0.35">
      <c r="C1693" s="100" t="str">
        <f>IF(OR(Fact_Control_Operaciones[[#This Row], [Año]]="",Fact_Control_Operaciones[[#This Row], 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 [Concepto Anterior]],Conceptos_Control_Operaciones[#All],5,0),"")</f>
        <v/>
      </c>
      <c r="F1693" t="str">
        <f>+IFERROR(VLOOKUP(Fact_Control_Operaciones[[#This Row], 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ht="18.75" customHeight="1" x14ac:dyDescent="0.35">
      <c r="C1694" s="100" t="str">
        <f>IF(OR(Fact_Control_Operaciones[[#This Row], [Año]]="",Fact_Control_Operaciones[[#This Row], 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 [Concepto Anterior]],Conceptos_Control_Operaciones[#All],5,0),"")</f>
        <v/>
      </c>
      <c r="F1694" t="str">
        <f>+IFERROR(VLOOKUP(Fact_Control_Operaciones[[#This Row], 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ht="18.75" customHeight="1" x14ac:dyDescent="0.35">
      <c r="C1695" s="100" t="str">
        <f>IF(OR(Fact_Control_Operaciones[[#This Row], [Año]]="",Fact_Control_Operaciones[[#This Row], 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 [Concepto Anterior]],Conceptos_Control_Operaciones[#All],5,0),"")</f>
        <v/>
      </c>
      <c r="F1695" t="str">
        <f>+IFERROR(VLOOKUP(Fact_Control_Operaciones[[#This Row], 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ht="18.75" customHeight="1" x14ac:dyDescent="0.35">
      <c r="C1696" s="100" t="str">
        <f>IF(OR(Fact_Control_Operaciones[[#This Row], [Año]]="",Fact_Control_Operaciones[[#This Row], 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 [Concepto Anterior]],Conceptos_Control_Operaciones[#All],5,0),"")</f>
        <v/>
      </c>
      <c r="F1696" t="str">
        <f>+IFERROR(VLOOKUP(Fact_Control_Operaciones[[#This Row], 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ht="18.75" customHeight="1" x14ac:dyDescent="0.35">
      <c r="C1697" s="100" t="str">
        <f>IF(OR(Fact_Control_Operaciones[[#This Row], [Año]]="",Fact_Control_Operaciones[[#This Row], 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 [Concepto Anterior]],Conceptos_Control_Operaciones[#All],5,0),"")</f>
        <v/>
      </c>
      <c r="F1697" t="str">
        <f>+IFERROR(VLOOKUP(Fact_Control_Operaciones[[#This Row], 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ht="18.75" customHeight="1" x14ac:dyDescent="0.35">
      <c r="C1698" s="100" t="str">
        <f>IF(OR(Fact_Control_Operaciones[[#This Row], [Año]]="",Fact_Control_Operaciones[[#This Row], 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 [Concepto Anterior]],Conceptos_Control_Operaciones[#All],5,0),"")</f>
        <v/>
      </c>
      <c r="F1698" t="str">
        <f>+IFERROR(VLOOKUP(Fact_Control_Operaciones[[#This Row], 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ht="18.75" customHeight="1" x14ac:dyDescent="0.35">
      <c r="C1699" s="100" t="str">
        <f>IF(OR(Fact_Control_Operaciones[[#This Row], [Año]]="",Fact_Control_Operaciones[[#This Row], 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 [Concepto Anterior]],Conceptos_Control_Operaciones[#All],5,0),"")</f>
        <v/>
      </c>
      <c r="F1699" t="str">
        <f>+IFERROR(VLOOKUP(Fact_Control_Operaciones[[#This Row], 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ht="18.75" customHeight="1" x14ac:dyDescent="0.35">
      <c r="C1700" s="100" t="str">
        <f>IF(OR(Fact_Control_Operaciones[[#This Row], [Año]]="",Fact_Control_Operaciones[[#This Row], 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 [Concepto Anterior]],Conceptos_Control_Operaciones[#All],5,0),"")</f>
        <v/>
      </c>
      <c r="F1700" t="str">
        <f>+IFERROR(VLOOKUP(Fact_Control_Operaciones[[#This Row], 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ht="18.75" customHeight="1" x14ac:dyDescent="0.35">
      <c r="C1701" s="100" t="str">
        <f>IF(OR(Fact_Control_Operaciones[[#This Row], [Año]]="",Fact_Control_Operaciones[[#This Row], 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 [Concepto Anterior]],Conceptos_Control_Operaciones[#All],5,0),"")</f>
        <v/>
      </c>
      <c r="F1701" t="str">
        <f>+IFERROR(VLOOKUP(Fact_Control_Operaciones[[#This Row], 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ht="18.75" customHeight="1" x14ac:dyDescent="0.35">
      <c r="C1702" s="100" t="str">
        <f>IF(OR(Fact_Control_Operaciones[[#This Row], [Año]]="",Fact_Control_Operaciones[[#This Row], 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 [Concepto Anterior]],Conceptos_Control_Operaciones[#All],5,0),"")</f>
        <v/>
      </c>
      <c r="F1702" t="str">
        <f>+IFERROR(VLOOKUP(Fact_Control_Operaciones[[#This Row], 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ht="18.75" customHeight="1" x14ac:dyDescent="0.35">
      <c r="C1703" s="100" t="str">
        <f>IF(OR(Fact_Control_Operaciones[[#This Row], [Año]]="",Fact_Control_Operaciones[[#This Row], 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 [Concepto Anterior]],Conceptos_Control_Operaciones[#All],5,0),"")</f>
        <v/>
      </c>
      <c r="F1703" t="str">
        <f>+IFERROR(VLOOKUP(Fact_Control_Operaciones[[#This Row], 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ht="18.75" customHeight="1" x14ac:dyDescent="0.35">
      <c r="C1704" s="100" t="str">
        <f>IF(OR(Fact_Control_Operaciones[[#This Row], [Año]]="",Fact_Control_Operaciones[[#This Row], 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 [Concepto Anterior]],Conceptos_Control_Operaciones[#All],5,0),"")</f>
        <v/>
      </c>
      <c r="F1704" t="str">
        <f>+IFERROR(VLOOKUP(Fact_Control_Operaciones[[#This Row], 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ht="18.75" customHeight="1" x14ac:dyDescent="0.35">
      <c r="C1705" s="100" t="str">
        <f>IF(OR(Fact_Control_Operaciones[[#This Row], [Año]]="",Fact_Control_Operaciones[[#This Row], 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 [Concepto Anterior]],Conceptos_Control_Operaciones[#All],5,0),"")</f>
        <v/>
      </c>
      <c r="F1705" t="str">
        <f>+IFERROR(VLOOKUP(Fact_Control_Operaciones[[#This Row], 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ht="18.75" customHeight="1" x14ac:dyDescent="0.35">
      <c r="C1706" s="100" t="str">
        <f>IF(OR(Fact_Control_Operaciones[[#This Row], [Año]]="",Fact_Control_Operaciones[[#This Row], 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 [Concepto Anterior]],Conceptos_Control_Operaciones[#All],5,0),"")</f>
        <v/>
      </c>
      <c r="F1706" t="str">
        <f>+IFERROR(VLOOKUP(Fact_Control_Operaciones[[#This Row], 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ht="18.75" customHeight="1" x14ac:dyDescent="0.35">
      <c r="C1707" s="100" t="str">
        <f>IF(OR(Fact_Control_Operaciones[[#This Row], [Año]]="",Fact_Control_Operaciones[[#This Row], 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 [Concepto Anterior]],Conceptos_Control_Operaciones[#All],5,0),"")</f>
        <v/>
      </c>
      <c r="F1707" t="str">
        <f>+IFERROR(VLOOKUP(Fact_Control_Operaciones[[#This Row], 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ht="18.75" customHeight="1" x14ac:dyDescent="0.35">
      <c r="C1708" s="100" t="str">
        <f>IF(OR(Fact_Control_Operaciones[[#This Row], [Año]]="",Fact_Control_Operaciones[[#This Row], 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 [Concepto Anterior]],Conceptos_Control_Operaciones[#All],5,0),"")</f>
        <v/>
      </c>
      <c r="F1708" t="str">
        <f>+IFERROR(VLOOKUP(Fact_Control_Operaciones[[#This Row], 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ht="18.75" customHeight="1" x14ac:dyDescent="0.35">
      <c r="C1709" s="100" t="str">
        <f>IF(OR(Fact_Control_Operaciones[[#This Row], [Año]]="",Fact_Control_Operaciones[[#This Row], 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 [Concepto Anterior]],Conceptos_Control_Operaciones[#All],5,0),"")</f>
        <v/>
      </c>
      <c r="F1709" t="str">
        <f>+IFERROR(VLOOKUP(Fact_Control_Operaciones[[#This Row], 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ht="18.75" customHeight="1" x14ac:dyDescent="0.35">
      <c r="C1710" s="100" t="str">
        <f>IF(OR(Fact_Control_Operaciones[[#This Row], [Año]]="",Fact_Control_Operaciones[[#This Row], 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 [Concepto Anterior]],Conceptos_Control_Operaciones[#All],5,0),"")</f>
        <v/>
      </c>
      <c r="F1710" t="str">
        <f>+IFERROR(VLOOKUP(Fact_Control_Operaciones[[#This Row], 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ht="18.75" customHeight="1" x14ac:dyDescent="0.35">
      <c r="C1711" s="100" t="str">
        <f>IF(OR(Fact_Control_Operaciones[[#This Row], [Año]]="",Fact_Control_Operaciones[[#This Row], 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 [Concepto Anterior]],Conceptos_Control_Operaciones[#All],5,0),"")</f>
        <v/>
      </c>
      <c r="F1711" t="str">
        <f>+IFERROR(VLOOKUP(Fact_Control_Operaciones[[#This Row], 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ht="18.75" customHeight="1" x14ac:dyDescent="0.35">
      <c r="C1712" s="100" t="str">
        <f>IF(OR(Fact_Control_Operaciones[[#This Row], [Año]]="",Fact_Control_Operaciones[[#This Row], 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 [Concepto Anterior]],Conceptos_Control_Operaciones[#All],5,0),"")</f>
        <v/>
      </c>
      <c r="F1712" t="str">
        <f>+IFERROR(VLOOKUP(Fact_Control_Operaciones[[#This Row], 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ht="18.75" customHeight="1" x14ac:dyDescent="0.35">
      <c r="C1713" s="100" t="str">
        <f>IF(OR(Fact_Control_Operaciones[[#This Row], [Año]]="",Fact_Control_Operaciones[[#This Row], 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 [Concepto Anterior]],Conceptos_Control_Operaciones[#All],5,0),"")</f>
        <v/>
      </c>
      <c r="F1713" t="str">
        <f>+IFERROR(VLOOKUP(Fact_Control_Operaciones[[#This Row], 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ht="18.75" customHeight="1" x14ac:dyDescent="0.35">
      <c r="C1714" s="100" t="str">
        <f>IF(OR(Fact_Control_Operaciones[[#This Row], [Año]]="",Fact_Control_Operaciones[[#This Row], 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 [Concepto Anterior]],Conceptos_Control_Operaciones[#All],5,0),"")</f>
        <v/>
      </c>
      <c r="F1714" t="str">
        <f>+IFERROR(VLOOKUP(Fact_Control_Operaciones[[#This Row], 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ht="18.75" customHeight="1" x14ac:dyDescent="0.35">
      <c r="C1715" s="100" t="str">
        <f>IF(OR(Fact_Control_Operaciones[[#This Row], [Año]]="",Fact_Control_Operaciones[[#This Row], 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 [Concepto Anterior]],Conceptos_Control_Operaciones[#All],5,0),"")</f>
        <v/>
      </c>
      <c r="F1715" t="str">
        <f>+IFERROR(VLOOKUP(Fact_Control_Operaciones[[#This Row], 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ht="18.75" customHeight="1" x14ac:dyDescent="0.35">
      <c r="C1716" s="100" t="str">
        <f>IF(OR(Fact_Control_Operaciones[[#This Row], [Año]]="",Fact_Control_Operaciones[[#This Row], 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 [Concepto Anterior]],Conceptos_Control_Operaciones[#All],5,0),"")</f>
        <v/>
      </c>
      <c r="F1716" t="str">
        <f>+IFERROR(VLOOKUP(Fact_Control_Operaciones[[#This Row], 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ht="18.75" customHeight="1" x14ac:dyDescent="0.35">
      <c r="C1717" s="100" t="str">
        <f>IF(OR(Fact_Control_Operaciones[[#This Row], [Año]]="",Fact_Control_Operaciones[[#This Row], 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 [Concepto Anterior]],Conceptos_Control_Operaciones[#All],5,0),"")</f>
        <v/>
      </c>
      <c r="F1717" t="str">
        <f>+IFERROR(VLOOKUP(Fact_Control_Operaciones[[#This Row], 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ht="18.75" customHeight="1" x14ac:dyDescent="0.35">
      <c r="C1718" s="100" t="str">
        <f>IF(OR(Fact_Control_Operaciones[[#This Row], [Año]]="",Fact_Control_Operaciones[[#This Row], 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 [Concepto Anterior]],Conceptos_Control_Operaciones[#All],5,0),"")</f>
        <v/>
      </c>
      <c r="F1718" t="str">
        <f>+IFERROR(VLOOKUP(Fact_Control_Operaciones[[#This Row], 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ht="18.75" customHeight="1" x14ac:dyDescent="0.35">
      <c r="C1719" s="100" t="str">
        <f>IF(OR(Fact_Control_Operaciones[[#This Row], [Año]]="",Fact_Control_Operaciones[[#This Row], 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 [Concepto Anterior]],Conceptos_Control_Operaciones[#All],5,0),"")</f>
        <v/>
      </c>
      <c r="F1719" t="str">
        <f>+IFERROR(VLOOKUP(Fact_Control_Operaciones[[#This Row], 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ht="18.75" customHeight="1" x14ac:dyDescent="0.35">
      <c r="C1720" s="100" t="str">
        <f>IF(OR(Fact_Control_Operaciones[[#This Row], [Año]]="",Fact_Control_Operaciones[[#This Row], 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 [Concepto Anterior]],Conceptos_Control_Operaciones[#All],5,0),"")</f>
        <v/>
      </c>
      <c r="F1720" t="str">
        <f>+IFERROR(VLOOKUP(Fact_Control_Operaciones[[#This Row], 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ht="18.75" customHeight="1" x14ac:dyDescent="0.35">
      <c r="C1721" s="100" t="str">
        <f>IF(OR(Fact_Control_Operaciones[[#This Row], [Año]]="",Fact_Control_Operaciones[[#This Row], 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 [Concepto Anterior]],Conceptos_Control_Operaciones[#All],5,0),"")</f>
        <v/>
      </c>
      <c r="F1721" t="str">
        <f>+IFERROR(VLOOKUP(Fact_Control_Operaciones[[#This Row], 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ht="18.75" customHeight="1" x14ac:dyDescent="0.35">
      <c r="C1722" s="100" t="str">
        <f>IF(OR(Fact_Control_Operaciones[[#This Row], [Año]]="",Fact_Control_Operaciones[[#This Row], 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 [Concepto Anterior]],Conceptos_Control_Operaciones[#All],5,0),"")</f>
        <v/>
      </c>
      <c r="F1722" t="str">
        <f>+IFERROR(VLOOKUP(Fact_Control_Operaciones[[#This Row], 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ht="18.75" customHeight="1" x14ac:dyDescent="0.35">
      <c r="C1723" s="100" t="str">
        <f>IF(OR(Fact_Control_Operaciones[[#This Row], [Año]]="",Fact_Control_Operaciones[[#This Row], 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 [Concepto Anterior]],Conceptos_Control_Operaciones[#All],5,0),"")</f>
        <v/>
      </c>
      <c r="F1723" t="str">
        <f>+IFERROR(VLOOKUP(Fact_Control_Operaciones[[#This Row], 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ht="18.75" customHeight="1" x14ac:dyDescent="0.35">
      <c r="C1724" s="100" t="str">
        <f>IF(OR(Fact_Control_Operaciones[[#This Row], [Año]]="",Fact_Control_Operaciones[[#This Row], 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 [Concepto Anterior]],Conceptos_Control_Operaciones[#All],5,0),"")</f>
        <v/>
      </c>
      <c r="F1724" t="str">
        <f>+IFERROR(VLOOKUP(Fact_Control_Operaciones[[#This Row], 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ht="18.75" customHeight="1" x14ac:dyDescent="0.35">
      <c r="C1725" s="100" t="str">
        <f>IF(OR(Fact_Control_Operaciones[[#This Row], [Año]]="",Fact_Control_Operaciones[[#This Row], 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 [Concepto Anterior]],Conceptos_Control_Operaciones[#All],5,0),"")</f>
        <v/>
      </c>
      <c r="F1725" t="str">
        <f>+IFERROR(VLOOKUP(Fact_Control_Operaciones[[#This Row], 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ht="18.75" customHeight="1" x14ac:dyDescent="0.35">
      <c r="C1726" s="100" t="str">
        <f>IF(OR(Fact_Control_Operaciones[[#This Row], [Año]]="",Fact_Control_Operaciones[[#This Row], 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 [Concepto Anterior]],Conceptos_Control_Operaciones[#All],5,0),"")</f>
        <v/>
      </c>
      <c r="F1726" t="str">
        <f>+IFERROR(VLOOKUP(Fact_Control_Operaciones[[#This Row], 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ht="18.75" customHeight="1" x14ac:dyDescent="0.35">
      <c r="C1727" s="100" t="str">
        <f>IF(OR(Fact_Control_Operaciones[[#This Row], [Año]]="",Fact_Control_Operaciones[[#This Row], 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 [Concepto Anterior]],Conceptos_Control_Operaciones[#All],5,0),"")</f>
        <v/>
      </c>
      <c r="F1727" t="str">
        <f>+IFERROR(VLOOKUP(Fact_Control_Operaciones[[#This Row], 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ht="18.75" customHeight="1" x14ac:dyDescent="0.35">
      <c r="C1728" s="100" t="str">
        <f>IF(OR(Fact_Control_Operaciones[[#This Row], [Año]]="",Fact_Control_Operaciones[[#This Row], 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 [Concepto Anterior]],Conceptos_Control_Operaciones[#All],5,0),"")</f>
        <v/>
      </c>
      <c r="F1728" t="str">
        <f>+IFERROR(VLOOKUP(Fact_Control_Operaciones[[#This Row], 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ht="18.75" customHeight="1" x14ac:dyDescent="0.35">
      <c r="C1729" s="100" t="str">
        <f>IF(OR(Fact_Control_Operaciones[[#This Row], [Año]]="",Fact_Control_Operaciones[[#This Row], 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 [Concepto Anterior]],Conceptos_Control_Operaciones[#All],5,0),"")</f>
        <v/>
      </c>
      <c r="F1729" t="str">
        <f>+IFERROR(VLOOKUP(Fact_Control_Operaciones[[#This Row], 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ht="18.75" customHeight="1" x14ac:dyDescent="0.35">
      <c r="C1730" s="100" t="str">
        <f>IF(OR(Fact_Control_Operaciones[[#This Row], [Año]]="",Fact_Control_Operaciones[[#This Row], 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 [Concepto Anterior]],Conceptos_Control_Operaciones[#All],5,0),"")</f>
        <v/>
      </c>
      <c r="F1730" t="str">
        <f>+IFERROR(VLOOKUP(Fact_Control_Operaciones[[#This Row], 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ht="18.75" customHeight="1" x14ac:dyDescent="0.35">
      <c r="C1731" s="100" t="str">
        <f>IF(OR(Fact_Control_Operaciones[[#This Row], [Año]]="",Fact_Control_Operaciones[[#This Row], 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 [Concepto Anterior]],Conceptos_Control_Operaciones[#All],5,0),"")</f>
        <v/>
      </c>
      <c r="F1731" t="str">
        <f>+IFERROR(VLOOKUP(Fact_Control_Operaciones[[#This Row], 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ht="18.75" customHeight="1" x14ac:dyDescent="0.35">
      <c r="C1732" s="100" t="str">
        <f>IF(OR(Fact_Control_Operaciones[[#This Row], [Año]]="",Fact_Control_Operaciones[[#This Row], 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 [Concepto Anterior]],Conceptos_Control_Operaciones[#All],5,0),"")</f>
        <v/>
      </c>
      <c r="F1732" t="str">
        <f>+IFERROR(VLOOKUP(Fact_Control_Operaciones[[#This Row], 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ht="18.75" customHeight="1" x14ac:dyDescent="0.35">
      <c r="C1733" s="100" t="str">
        <f>IF(OR(Fact_Control_Operaciones[[#This Row], [Año]]="",Fact_Control_Operaciones[[#This Row], 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 [Concepto Anterior]],Conceptos_Control_Operaciones[#All],5,0),"")</f>
        <v/>
      </c>
      <c r="F1733" t="str">
        <f>+IFERROR(VLOOKUP(Fact_Control_Operaciones[[#This Row], 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ht="18.75" customHeight="1" x14ac:dyDescent="0.35">
      <c r="C1734" s="100" t="str">
        <f>IF(OR(Fact_Control_Operaciones[[#This Row], [Año]]="",Fact_Control_Operaciones[[#This Row], 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 [Concepto Anterior]],Conceptos_Control_Operaciones[#All],5,0),"")</f>
        <v/>
      </c>
      <c r="F1734" t="str">
        <f>+IFERROR(VLOOKUP(Fact_Control_Operaciones[[#This Row], 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ht="18.75" customHeight="1" x14ac:dyDescent="0.35">
      <c r="C1735" s="100" t="str">
        <f>IF(OR(Fact_Control_Operaciones[[#This Row], [Año]]="",Fact_Control_Operaciones[[#This Row], 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 [Concepto Anterior]],Conceptos_Control_Operaciones[#All],5,0),"")</f>
        <v/>
      </c>
      <c r="F1735" t="str">
        <f>+IFERROR(VLOOKUP(Fact_Control_Operaciones[[#This Row], 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ht="18.75" customHeight="1" x14ac:dyDescent="0.35">
      <c r="C1736" s="100" t="str">
        <f>IF(OR(Fact_Control_Operaciones[[#This Row], [Año]]="",Fact_Control_Operaciones[[#This Row], 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 [Concepto Anterior]],Conceptos_Control_Operaciones[#All],5,0),"")</f>
        <v/>
      </c>
      <c r="F1736" t="str">
        <f>+IFERROR(VLOOKUP(Fact_Control_Operaciones[[#This Row], 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ht="18.75" customHeight="1" x14ac:dyDescent="0.35">
      <c r="C1737" s="100" t="str">
        <f>IF(OR(Fact_Control_Operaciones[[#This Row], [Año]]="",Fact_Control_Operaciones[[#This Row], 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 [Concepto Anterior]],Conceptos_Control_Operaciones[#All],5,0),"")</f>
        <v/>
      </c>
      <c r="F1737" t="str">
        <f>+IFERROR(VLOOKUP(Fact_Control_Operaciones[[#This Row], 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ht="18.75" customHeight="1" x14ac:dyDescent="0.35">
      <c r="C1738" s="100" t="str">
        <f>IF(OR(Fact_Control_Operaciones[[#This Row], [Año]]="",Fact_Control_Operaciones[[#This Row], 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 [Concepto Anterior]],Conceptos_Control_Operaciones[#All],5,0),"")</f>
        <v/>
      </c>
      <c r="F1738" t="str">
        <f>+IFERROR(VLOOKUP(Fact_Control_Operaciones[[#This Row], 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ht="18.75" customHeight="1" x14ac:dyDescent="0.35">
      <c r="C1739" s="100" t="str">
        <f>IF(OR(Fact_Control_Operaciones[[#This Row], [Año]]="",Fact_Control_Operaciones[[#This Row], 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 [Concepto Anterior]],Conceptos_Control_Operaciones[#All],5,0),"")</f>
        <v/>
      </c>
      <c r="F1739" t="str">
        <f>+IFERROR(VLOOKUP(Fact_Control_Operaciones[[#This Row], 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ht="18.75" customHeight="1" x14ac:dyDescent="0.35">
      <c r="C1740" s="100" t="str">
        <f>IF(OR(Fact_Control_Operaciones[[#This Row], [Año]]="",Fact_Control_Operaciones[[#This Row], 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 [Concepto Anterior]],Conceptos_Control_Operaciones[#All],5,0),"")</f>
        <v/>
      </c>
      <c r="F1740" t="str">
        <f>+IFERROR(VLOOKUP(Fact_Control_Operaciones[[#This Row], 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ht="18.75" customHeight="1" x14ac:dyDescent="0.35">
      <c r="C1741" s="100" t="str">
        <f>IF(OR(Fact_Control_Operaciones[[#This Row], [Año]]="",Fact_Control_Operaciones[[#This Row], 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 [Concepto Anterior]],Conceptos_Control_Operaciones[#All],5,0),"")</f>
        <v/>
      </c>
      <c r="F1741" t="str">
        <f>+IFERROR(VLOOKUP(Fact_Control_Operaciones[[#This Row], 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ht="18.75" customHeight="1" x14ac:dyDescent="0.35">
      <c r="C1742" s="100" t="str">
        <f>IF(OR(Fact_Control_Operaciones[[#This Row], [Año]]="",Fact_Control_Operaciones[[#This Row], 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 [Concepto Anterior]],Conceptos_Control_Operaciones[#All],5,0),"")</f>
        <v/>
      </c>
      <c r="F1742" t="str">
        <f>+IFERROR(VLOOKUP(Fact_Control_Operaciones[[#This Row], 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ht="18.75" customHeight="1" x14ac:dyDescent="0.35">
      <c r="C1743" s="100" t="str">
        <f>IF(OR(Fact_Control_Operaciones[[#This Row], [Año]]="",Fact_Control_Operaciones[[#This Row], 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 [Concepto Anterior]],Conceptos_Control_Operaciones[#All],5,0),"")</f>
        <v/>
      </c>
      <c r="F1743" t="str">
        <f>+IFERROR(VLOOKUP(Fact_Control_Operaciones[[#This Row], 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ht="18.75" customHeight="1" x14ac:dyDescent="0.35">
      <c r="C1744" s="100" t="str">
        <f>IF(OR(Fact_Control_Operaciones[[#This Row], [Año]]="",Fact_Control_Operaciones[[#This Row], 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 [Concepto Anterior]],Conceptos_Control_Operaciones[#All],5,0),"")</f>
        <v/>
      </c>
      <c r="F1744" t="str">
        <f>+IFERROR(VLOOKUP(Fact_Control_Operaciones[[#This Row], 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ht="18.75" customHeight="1" x14ac:dyDescent="0.35">
      <c r="C1745" s="100" t="str">
        <f>IF(OR(Fact_Control_Operaciones[[#This Row], [Año]]="",Fact_Control_Operaciones[[#This Row], 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 [Concepto Anterior]],Conceptos_Control_Operaciones[#All],5,0),"")</f>
        <v/>
      </c>
      <c r="F1745" t="str">
        <f>+IFERROR(VLOOKUP(Fact_Control_Operaciones[[#This Row], 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ht="18.75" customHeight="1" x14ac:dyDescent="0.35">
      <c r="C1746" s="100" t="str">
        <f>IF(OR(Fact_Control_Operaciones[[#This Row], [Año]]="",Fact_Control_Operaciones[[#This Row], 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 [Concepto Anterior]],Conceptos_Control_Operaciones[#All],5,0),"")</f>
        <v/>
      </c>
      <c r="F1746" t="str">
        <f>+IFERROR(VLOOKUP(Fact_Control_Operaciones[[#This Row], 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ht="18.75" customHeight="1" x14ac:dyDescent="0.35">
      <c r="C1747" s="100" t="str">
        <f>IF(OR(Fact_Control_Operaciones[[#This Row], [Año]]="",Fact_Control_Operaciones[[#This Row], 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 [Concepto Anterior]],Conceptos_Control_Operaciones[#All],5,0),"")</f>
        <v/>
      </c>
      <c r="F1747" t="str">
        <f>+IFERROR(VLOOKUP(Fact_Control_Operaciones[[#This Row], 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ht="18.75" customHeight="1" x14ac:dyDescent="0.35">
      <c r="C1748" s="100" t="str">
        <f>IF(OR(Fact_Control_Operaciones[[#This Row], [Año]]="",Fact_Control_Operaciones[[#This Row], 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 [Concepto Anterior]],Conceptos_Control_Operaciones[#All],5,0),"")</f>
        <v/>
      </c>
      <c r="F1748" t="str">
        <f>+IFERROR(VLOOKUP(Fact_Control_Operaciones[[#This Row], 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ht="18.75" customHeight="1" x14ac:dyDescent="0.35">
      <c r="C1749" s="100" t="str">
        <f>IF(OR(Fact_Control_Operaciones[[#This Row], [Año]]="",Fact_Control_Operaciones[[#This Row], 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 [Concepto Anterior]],Conceptos_Control_Operaciones[#All],5,0),"")</f>
        <v/>
      </c>
      <c r="F1749" t="str">
        <f>+IFERROR(VLOOKUP(Fact_Control_Operaciones[[#This Row], 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ht="18.75" customHeight="1" x14ac:dyDescent="0.35">
      <c r="C1750" s="100" t="str">
        <f>IF(OR(Fact_Control_Operaciones[[#This Row], [Año]]="",Fact_Control_Operaciones[[#This Row], 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 [Concepto Anterior]],Conceptos_Control_Operaciones[#All],5,0),"")</f>
        <v/>
      </c>
      <c r="F1750" t="str">
        <f>+IFERROR(VLOOKUP(Fact_Control_Operaciones[[#This Row], 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ht="18.75" customHeight="1" x14ac:dyDescent="0.35">
      <c r="C1751" s="100" t="str">
        <f>IF(OR(Fact_Control_Operaciones[[#This Row], [Año]]="",Fact_Control_Operaciones[[#This Row], 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 [Concepto Anterior]],Conceptos_Control_Operaciones[#All],5,0),"")</f>
        <v/>
      </c>
      <c r="F1751" t="str">
        <f>+IFERROR(VLOOKUP(Fact_Control_Operaciones[[#This Row], 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ht="18.75" customHeight="1" x14ac:dyDescent="0.35">
      <c r="C1752" s="100" t="str">
        <f>IF(OR(Fact_Control_Operaciones[[#This Row], [Año]]="",Fact_Control_Operaciones[[#This Row], 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 [Concepto Anterior]],Conceptos_Control_Operaciones[#All],5,0),"")</f>
        <v/>
      </c>
      <c r="F1752" t="str">
        <f>+IFERROR(VLOOKUP(Fact_Control_Operaciones[[#This Row], 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ht="18.75" customHeight="1" x14ac:dyDescent="0.35">
      <c r="C1753" s="100" t="str">
        <f>IF(OR(Fact_Control_Operaciones[[#This Row], [Año]]="",Fact_Control_Operaciones[[#This Row], 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 [Concepto Anterior]],Conceptos_Control_Operaciones[#All],5,0),"")</f>
        <v/>
      </c>
      <c r="F1753" t="str">
        <f>+IFERROR(VLOOKUP(Fact_Control_Operaciones[[#This Row], 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ht="18.75" customHeight="1" x14ac:dyDescent="0.35">
      <c r="C1754" s="100" t="str">
        <f>IF(OR(Fact_Control_Operaciones[[#This Row], [Año]]="",Fact_Control_Operaciones[[#This Row], 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 [Concepto Anterior]],Conceptos_Control_Operaciones[#All],5,0),"")</f>
        <v/>
      </c>
      <c r="F1754" t="str">
        <f>+IFERROR(VLOOKUP(Fact_Control_Operaciones[[#This Row], 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ht="18.75" customHeight="1" x14ac:dyDescent="0.35">
      <c r="C1755" s="100" t="str">
        <f>IF(OR(Fact_Control_Operaciones[[#This Row], [Año]]="",Fact_Control_Operaciones[[#This Row], 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 [Concepto Anterior]],Conceptos_Control_Operaciones[#All],5,0),"")</f>
        <v/>
      </c>
      <c r="F1755" t="str">
        <f>+IFERROR(VLOOKUP(Fact_Control_Operaciones[[#This Row], 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ht="18.75" customHeight="1" x14ac:dyDescent="0.35">
      <c r="C1756" s="100" t="str">
        <f>IF(OR(Fact_Control_Operaciones[[#This Row], [Año]]="",Fact_Control_Operaciones[[#This Row], 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 [Concepto Anterior]],Conceptos_Control_Operaciones[#All],5,0),"")</f>
        <v/>
      </c>
      <c r="F1756" t="str">
        <f>+IFERROR(VLOOKUP(Fact_Control_Operaciones[[#This Row], 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ht="18.75" customHeight="1" x14ac:dyDescent="0.35">
      <c r="C1757" s="100" t="str">
        <f>IF(OR(Fact_Control_Operaciones[[#This Row], [Año]]="",Fact_Control_Operaciones[[#This Row], 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 [Concepto Anterior]],Conceptos_Control_Operaciones[#All],5,0),"")</f>
        <v/>
      </c>
      <c r="F1757" t="str">
        <f>+IFERROR(VLOOKUP(Fact_Control_Operaciones[[#This Row], 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ht="18.75" customHeight="1" x14ac:dyDescent="0.35">
      <c r="C1758" s="100" t="str">
        <f>IF(OR(Fact_Control_Operaciones[[#This Row], [Año]]="",Fact_Control_Operaciones[[#This Row], 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 [Concepto Anterior]],Conceptos_Control_Operaciones[#All],5,0),"")</f>
        <v/>
      </c>
      <c r="F1758" t="str">
        <f>+IFERROR(VLOOKUP(Fact_Control_Operaciones[[#This Row], 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ht="18.75" customHeight="1" x14ac:dyDescent="0.35">
      <c r="C1759" s="100" t="str">
        <f>IF(OR(Fact_Control_Operaciones[[#This Row], [Año]]="",Fact_Control_Operaciones[[#This Row], 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 [Concepto Anterior]],Conceptos_Control_Operaciones[#All],5,0),"")</f>
        <v/>
      </c>
      <c r="F1759" t="str">
        <f>+IFERROR(VLOOKUP(Fact_Control_Operaciones[[#This Row], 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ht="18.75" customHeight="1" x14ac:dyDescent="0.35">
      <c r="C1760" s="100" t="str">
        <f>IF(OR(Fact_Control_Operaciones[[#This Row], [Año]]="",Fact_Control_Operaciones[[#This Row], 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 [Concepto Anterior]],Conceptos_Control_Operaciones[#All],5,0),"")</f>
        <v/>
      </c>
      <c r="F1760" t="str">
        <f>+IFERROR(VLOOKUP(Fact_Control_Operaciones[[#This Row], 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ht="18.75" customHeight="1" x14ac:dyDescent="0.35">
      <c r="C1761" s="100" t="str">
        <f>IF(OR(Fact_Control_Operaciones[[#This Row], [Año]]="",Fact_Control_Operaciones[[#This Row], 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 [Concepto Anterior]],Conceptos_Control_Operaciones[#All],5,0),"")</f>
        <v/>
      </c>
      <c r="F1761" t="str">
        <f>+IFERROR(VLOOKUP(Fact_Control_Operaciones[[#This Row], 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ht="18.75" customHeight="1" x14ac:dyDescent="0.35">
      <c r="C1762" s="100" t="str">
        <f>IF(OR(Fact_Control_Operaciones[[#This Row], [Año]]="",Fact_Control_Operaciones[[#This Row], 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 [Concepto Anterior]],Conceptos_Control_Operaciones[#All],5,0),"")</f>
        <v/>
      </c>
      <c r="F1762" t="str">
        <f>+IFERROR(VLOOKUP(Fact_Control_Operaciones[[#This Row], 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ht="18.75" customHeight="1" x14ac:dyDescent="0.35">
      <c r="C1763" s="100" t="str">
        <f>IF(OR(Fact_Control_Operaciones[[#This Row], [Año]]="",Fact_Control_Operaciones[[#This Row], 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 [Concepto Anterior]],Conceptos_Control_Operaciones[#All],5,0),"")</f>
        <v/>
      </c>
      <c r="F1763" t="str">
        <f>+IFERROR(VLOOKUP(Fact_Control_Operaciones[[#This Row], 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ht="18.75" customHeight="1" x14ac:dyDescent="0.35">
      <c r="C1764" s="100" t="str">
        <f>IF(OR(Fact_Control_Operaciones[[#This Row], [Año]]="",Fact_Control_Operaciones[[#This Row], 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 [Concepto Anterior]],Conceptos_Control_Operaciones[#All],5,0),"")</f>
        <v/>
      </c>
      <c r="F1764" t="str">
        <f>+IFERROR(VLOOKUP(Fact_Control_Operaciones[[#This Row], 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ht="18.75" customHeight="1" x14ac:dyDescent="0.35">
      <c r="C1765" s="100" t="str">
        <f>IF(OR(Fact_Control_Operaciones[[#This Row], [Año]]="",Fact_Control_Operaciones[[#This Row], 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 [Concepto Anterior]],Conceptos_Control_Operaciones[#All],5,0),"")</f>
        <v/>
      </c>
      <c r="F1765" t="str">
        <f>+IFERROR(VLOOKUP(Fact_Control_Operaciones[[#This Row], 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ht="18.75" customHeight="1" x14ac:dyDescent="0.35">
      <c r="C1766" s="100" t="str">
        <f>IF(OR(Fact_Control_Operaciones[[#This Row], [Año]]="",Fact_Control_Operaciones[[#This Row], 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 [Concepto Anterior]],Conceptos_Control_Operaciones[#All],5,0),"")</f>
        <v/>
      </c>
      <c r="F1766" t="str">
        <f>+IFERROR(VLOOKUP(Fact_Control_Operaciones[[#This Row], 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ht="18.75" customHeight="1" x14ac:dyDescent="0.35">
      <c r="C1767" s="100" t="str">
        <f>IF(OR(Fact_Control_Operaciones[[#This Row], [Año]]="",Fact_Control_Operaciones[[#This Row], 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 [Concepto Anterior]],Conceptos_Control_Operaciones[#All],5,0),"")</f>
        <v/>
      </c>
      <c r="F1767" t="str">
        <f>+IFERROR(VLOOKUP(Fact_Control_Operaciones[[#This Row], 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ht="18.75" customHeight="1" x14ac:dyDescent="0.35">
      <c r="C1768" s="100" t="str">
        <f>IF(OR(Fact_Control_Operaciones[[#This Row], [Año]]="",Fact_Control_Operaciones[[#This Row], 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 [Concepto Anterior]],Conceptos_Control_Operaciones[#All],5,0),"")</f>
        <v/>
      </c>
      <c r="F1768" t="str">
        <f>+IFERROR(VLOOKUP(Fact_Control_Operaciones[[#This Row], 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ht="18.75" customHeight="1" x14ac:dyDescent="0.35">
      <c r="C1769" s="100" t="str">
        <f>IF(OR(Fact_Control_Operaciones[[#This Row], [Año]]="",Fact_Control_Operaciones[[#This Row], 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 [Concepto Anterior]],Conceptos_Control_Operaciones[#All],5,0),"")</f>
        <v/>
      </c>
      <c r="F1769" t="str">
        <f>+IFERROR(VLOOKUP(Fact_Control_Operaciones[[#This Row], 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ht="18.75" customHeight="1" x14ac:dyDescent="0.35">
      <c r="C1770" s="100" t="str">
        <f>IF(OR(Fact_Control_Operaciones[[#This Row], [Año]]="",Fact_Control_Operaciones[[#This Row], 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 [Concepto Anterior]],Conceptos_Control_Operaciones[#All],5,0),"")</f>
        <v/>
      </c>
      <c r="F1770" t="str">
        <f>+IFERROR(VLOOKUP(Fact_Control_Operaciones[[#This Row], 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ht="18.75" customHeight="1" x14ac:dyDescent="0.35">
      <c r="C1771" s="100" t="str">
        <f>IF(OR(Fact_Control_Operaciones[[#This Row], [Año]]="",Fact_Control_Operaciones[[#This Row], 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 [Concepto Anterior]],Conceptos_Control_Operaciones[#All],5,0),"")</f>
        <v/>
      </c>
      <c r="F1771" t="str">
        <f>+IFERROR(VLOOKUP(Fact_Control_Operaciones[[#This Row], 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ht="18.75" customHeight="1" x14ac:dyDescent="0.35">
      <c r="C1772" s="100" t="str">
        <f>IF(OR(Fact_Control_Operaciones[[#This Row], [Año]]="",Fact_Control_Operaciones[[#This Row], 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 [Concepto Anterior]],Conceptos_Control_Operaciones[#All],5,0),"")</f>
        <v/>
      </c>
      <c r="F1772" t="str">
        <f>+IFERROR(VLOOKUP(Fact_Control_Operaciones[[#This Row], 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ht="18.75" customHeight="1" x14ac:dyDescent="0.35">
      <c r="C1773" s="100" t="str">
        <f>IF(OR(Fact_Control_Operaciones[[#This Row], [Año]]="",Fact_Control_Operaciones[[#This Row], 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 [Concepto Anterior]],Conceptos_Control_Operaciones[#All],5,0),"")</f>
        <v/>
      </c>
      <c r="F1773" t="str">
        <f>+IFERROR(VLOOKUP(Fact_Control_Operaciones[[#This Row], 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ht="18.75" customHeight="1" x14ac:dyDescent="0.35">
      <c r="C1774" s="100" t="str">
        <f>IF(OR(Fact_Control_Operaciones[[#This Row], [Año]]="",Fact_Control_Operaciones[[#This Row], 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 [Concepto Anterior]],Conceptos_Control_Operaciones[#All],5,0),"")</f>
        <v/>
      </c>
      <c r="F1774" t="str">
        <f>+IFERROR(VLOOKUP(Fact_Control_Operaciones[[#This Row], 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ht="18.75" customHeight="1" x14ac:dyDescent="0.35">
      <c r="C1775" s="100" t="str">
        <f>IF(OR(Fact_Control_Operaciones[[#This Row], [Año]]="",Fact_Control_Operaciones[[#This Row], 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 [Concepto Anterior]],Conceptos_Control_Operaciones[#All],5,0),"")</f>
        <v/>
      </c>
      <c r="F1775" t="str">
        <f>+IFERROR(VLOOKUP(Fact_Control_Operaciones[[#This Row], 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ht="18.75" customHeight="1" x14ac:dyDescent="0.35">
      <c r="C1776" s="100" t="str">
        <f>IF(OR(Fact_Control_Operaciones[[#This Row], [Año]]="",Fact_Control_Operaciones[[#This Row], 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 [Concepto Anterior]],Conceptos_Control_Operaciones[#All],5,0),"")</f>
        <v/>
      </c>
      <c r="F1776" t="str">
        <f>+IFERROR(VLOOKUP(Fact_Control_Operaciones[[#This Row], 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ht="18.75" customHeight="1" x14ac:dyDescent="0.35">
      <c r="C1777" s="100" t="str">
        <f>IF(OR(Fact_Control_Operaciones[[#This Row], [Año]]="",Fact_Control_Operaciones[[#This Row], 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 [Concepto Anterior]],Conceptos_Control_Operaciones[#All],5,0),"")</f>
        <v/>
      </c>
      <c r="F1777" t="str">
        <f>+IFERROR(VLOOKUP(Fact_Control_Operaciones[[#This Row], 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ht="18.75" customHeight="1" x14ac:dyDescent="0.35">
      <c r="C1778" s="100" t="str">
        <f>IF(OR(Fact_Control_Operaciones[[#This Row], [Año]]="",Fact_Control_Operaciones[[#This Row], 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 [Concepto Anterior]],Conceptos_Control_Operaciones[#All],5,0),"")</f>
        <v/>
      </c>
      <c r="F1778" t="str">
        <f>+IFERROR(VLOOKUP(Fact_Control_Operaciones[[#This Row], 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ht="18.75" customHeight="1" x14ac:dyDescent="0.35">
      <c r="C1779" s="100" t="str">
        <f>IF(OR(Fact_Control_Operaciones[[#This Row], [Año]]="",Fact_Control_Operaciones[[#This Row], 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 [Concepto Anterior]],Conceptos_Control_Operaciones[#All],5,0),"")</f>
        <v/>
      </c>
      <c r="F1779" t="str">
        <f>+IFERROR(VLOOKUP(Fact_Control_Operaciones[[#This Row], 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ht="18.75" customHeight="1" x14ac:dyDescent="0.35">
      <c r="C1780" s="100" t="str">
        <f>IF(OR(Fact_Control_Operaciones[[#This Row], [Año]]="",Fact_Control_Operaciones[[#This Row], 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 [Concepto Anterior]],Conceptos_Control_Operaciones[#All],5,0),"")</f>
        <v/>
      </c>
      <c r="F1780" t="str">
        <f>+IFERROR(VLOOKUP(Fact_Control_Operaciones[[#This Row], 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ht="18.75" customHeight="1" x14ac:dyDescent="0.35">
      <c r="C1781" s="100" t="str">
        <f>IF(OR(Fact_Control_Operaciones[[#This Row], [Año]]="",Fact_Control_Operaciones[[#This Row], 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 [Concepto Anterior]],Conceptos_Control_Operaciones[#All],5,0),"")</f>
        <v/>
      </c>
      <c r="F1781" t="str">
        <f>+IFERROR(VLOOKUP(Fact_Control_Operaciones[[#This Row], 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ht="18.75" customHeight="1" x14ac:dyDescent="0.35">
      <c r="C1782" s="100" t="str">
        <f>IF(OR(Fact_Control_Operaciones[[#This Row], [Año]]="",Fact_Control_Operaciones[[#This Row], 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 [Concepto Anterior]],Conceptos_Control_Operaciones[#All],5,0),"")</f>
        <v/>
      </c>
      <c r="F1782" t="str">
        <f>+IFERROR(VLOOKUP(Fact_Control_Operaciones[[#This Row], 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ht="18.75" customHeight="1" x14ac:dyDescent="0.35">
      <c r="C1783" s="100" t="str">
        <f>IF(OR(Fact_Control_Operaciones[[#This Row], [Año]]="",Fact_Control_Operaciones[[#This Row], 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 [Concepto Anterior]],Conceptos_Control_Operaciones[#All],5,0),"")</f>
        <v/>
      </c>
      <c r="F1783" t="str">
        <f>+IFERROR(VLOOKUP(Fact_Control_Operaciones[[#This Row], 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ht="18.75" customHeight="1" x14ac:dyDescent="0.35">
      <c r="C1784" s="100" t="str">
        <f>IF(OR(Fact_Control_Operaciones[[#This Row], [Año]]="",Fact_Control_Operaciones[[#This Row], 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 [Concepto Anterior]],Conceptos_Control_Operaciones[#All],5,0),"")</f>
        <v/>
      </c>
      <c r="F1784" t="str">
        <f>+IFERROR(VLOOKUP(Fact_Control_Operaciones[[#This Row], 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ht="18.75" customHeight="1" x14ac:dyDescent="0.35">
      <c r="C1785" s="100" t="str">
        <f>IF(OR(Fact_Control_Operaciones[[#This Row], [Año]]="",Fact_Control_Operaciones[[#This Row], 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 [Concepto Anterior]],Conceptos_Control_Operaciones[#All],5,0),"")</f>
        <v/>
      </c>
      <c r="F1785" t="str">
        <f>+IFERROR(VLOOKUP(Fact_Control_Operaciones[[#This Row], 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ht="18.75" customHeight="1" x14ac:dyDescent="0.35">
      <c r="C1786" s="100" t="str">
        <f>IF(OR(Fact_Control_Operaciones[[#This Row], [Año]]="",Fact_Control_Operaciones[[#This Row], 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 [Concepto Anterior]],Conceptos_Control_Operaciones[#All],5,0),"")</f>
        <v/>
      </c>
      <c r="F1786" t="str">
        <f>+IFERROR(VLOOKUP(Fact_Control_Operaciones[[#This Row], 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ht="18.75" customHeight="1" x14ac:dyDescent="0.35">
      <c r="C1787" s="100" t="str">
        <f>IF(OR(Fact_Control_Operaciones[[#This Row], [Año]]="",Fact_Control_Operaciones[[#This Row], 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 [Concepto Anterior]],Conceptos_Control_Operaciones[#All],5,0),"")</f>
        <v/>
      </c>
      <c r="F1787" t="str">
        <f>+IFERROR(VLOOKUP(Fact_Control_Operaciones[[#This Row], 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ht="18.75" customHeight="1" x14ac:dyDescent="0.35">
      <c r="C1788" s="100" t="str">
        <f>IF(OR(Fact_Control_Operaciones[[#This Row], [Año]]="",Fact_Control_Operaciones[[#This Row], 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 [Concepto Anterior]],Conceptos_Control_Operaciones[#All],5,0),"")</f>
        <v/>
      </c>
      <c r="F1788" t="str">
        <f>+IFERROR(VLOOKUP(Fact_Control_Operaciones[[#This Row], 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ht="18.75" customHeight="1" x14ac:dyDescent="0.35">
      <c r="C1789" s="100" t="str">
        <f>IF(OR(Fact_Control_Operaciones[[#This Row], [Año]]="",Fact_Control_Operaciones[[#This Row], 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 [Concepto Anterior]],Conceptos_Control_Operaciones[#All],5,0),"")</f>
        <v/>
      </c>
      <c r="F1789" t="str">
        <f>+IFERROR(VLOOKUP(Fact_Control_Operaciones[[#This Row], 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ht="18.75" customHeight="1" x14ac:dyDescent="0.35">
      <c r="C1790" s="100" t="str">
        <f>IF(OR(Fact_Control_Operaciones[[#This Row], [Año]]="",Fact_Control_Operaciones[[#This Row], 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 [Concepto Anterior]],Conceptos_Control_Operaciones[#All],5,0),"")</f>
        <v/>
      </c>
      <c r="F1790" t="str">
        <f>+IFERROR(VLOOKUP(Fact_Control_Operaciones[[#This Row], 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ht="18.75" customHeight="1" x14ac:dyDescent="0.35">
      <c r="C1791" s="100" t="str">
        <f>IF(OR(Fact_Control_Operaciones[[#This Row], [Año]]="",Fact_Control_Operaciones[[#This Row], 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 [Concepto Anterior]],Conceptos_Control_Operaciones[#All],5,0),"")</f>
        <v/>
      </c>
      <c r="F1791" t="str">
        <f>+IFERROR(VLOOKUP(Fact_Control_Operaciones[[#This Row], 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ht="18.75" customHeight="1" x14ac:dyDescent="0.35">
      <c r="C1792" s="100" t="str">
        <f>IF(OR(Fact_Control_Operaciones[[#This Row], [Año]]="",Fact_Control_Operaciones[[#This Row], 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 [Concepto Anterior]],Conceptos_Control_Operaciones[#All],5,0),"")</f>
        <v/>
      </c>
      <c r="F1792" t="str">
        <f>+IFERROR(VLOOKUP(Fact_Control_Operaciones[[#This Row], 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ht="18.75" customHeight="1" x14ac:dyDescent="0.35">
      <c r="C1793" s="100" t="str">
        <f>IF(OR(Fact_Control_Operaciones[[#This Row], [Año]]="",Fact_Control_Operaciones[[#This Row], 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 [Concepto Anterior]],Conceptos_Control_Operaciones[#All],5,0),"")</f>
        <v/>
      </c>
      <c r="F1793" t="str">
        <f>+IFERROR(VLOOKUP(Fact_Control_Operaciones[[#This Row], 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ht="18.75" customHeight="1" x14ac:dyDescent="0.35">
      <c r="C1794" s="100" t="str">
        <f>IF(OR(Fact_Control_Operaciones[[#This Row], [Año]]="",Fact_Control_Operaciones[[#This Row], 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 [Concepto Anterior]],Conceptos_Control_Operaciones[#All],5,0),"")</f>
        <v/>
      </c>
      <c r="F1794" t="str">
        <f>+IFERROR(VLOOKUP(Fact_Control_Operaciones[[#This Row], 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ht="18.75" customHeight="1" x14ac:dyDescent="0.35">
      <c r="C1795" s="100" t="str">
        <f>IF(OR(Fact_Control_Operaciones[[#This Row], [Año]]="",Fact_Control_Operaciones[[#This Row], 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 [Concepto Anterior]],Conceptos_Control_Operaciones[#All],5,0),"")</f>
        <v/>
      </c>
      <c r="F1795" t="str">
        <f>+IFERROR(VLOOKUP(Fact_Control_Operaciones[[#This Row], 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ht="18.75" customHeight="1" x14ac:dyDescent="0.35">
      <c r="C1796" s="100" t="str">
        <f>IF(OR(Fact_Control_Operaciones[[#This Row], [Año]]="",Fact_Control_Operaciones[[#This Row], 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 [Concepto Anterior]],Conceptos_Control_Operaciones[#All],5,0),"")</f>
        <v/>
      </c>
      <c r="F1796" t="str">
        <f>+IFERROR(VLOOKUP(Fact_Control_Operaciones[[#This Row], 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ht="18.75" customHeight="1" x14ac:dyDescent="0.35">
      <c r="C1797" s="100" t="str">
        <f>IF(OR(Fact_Control_Operaciones[[#This Row], [Año]]="",Fact_Control_Operaciones[[#This Row], 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 [Concepto Anterior]],Conceptos_Control_Operaciones[#All],5,0),"")</f>
        <v/>
      </c>
      <c r="F1797" t="str">
        <f>+IFERROR(VLOOKUP(Fact_Control_Operaciones[[#This Row], 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ht="18.75" customHeight="1" x14ac:dyDescent="0.35">
      <c r="C1798" s="100" t="str">
        <f>IF(OR(Fact_Control_Operaciones[[#This Row], [Año]]="",Fact_Control_Operaciones[[#This Row], 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 [Concepto Anterior]],Conceptos_Control_Operaciones[#All],5,0),"")</f>
        <v/>
      </c>
      <c r="F1798" t="str">
        <f>+IFERROR(VLOOKUP(Fact_Control_Operaciones[[#This Row], 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ht="18.75" customHeight="1" x14ac:dyDescent="0.35">
      <c r="C1799" s="100" t="str">
        <f>IF(OR(Fact_Control_Operaciones[[#This Row], [Año]]="",Fact_Control_Operaciones[[#This Row], 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 [Concepto Anterior]],Conceptos_Control_Operaciones[#All],5,0),"")</f>
        <v/>
      </c>
      <c r="F1799" t="str">
        <f>+IFERROR(VLOOKUP(Fact_Control_Operaciones[[#This Row], 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ht="18.75" customHeight="1" x14ac:dyDescent="0.35">
      <c r="C1800" s="100" t="str">
        <f>IF(OR(Fact_Control_Operaciones[[#This Row], [Año]]="",Fact_Control_Operaciones[[#This Row], 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 [Concepto Anterior]],Conceptos_Control_Operaciones[#All],5,0),"")</f>
        <v/>
      </c>
      <c r="F1800" t="str">
        <f>+IFERROR(VLOOKUP(Fact_Control_Operaciones[[#This Row], 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ht="18.75" customHeight="1" x14ac:dyDescent="0.35">
      <c r="C1801" s="100" t="str">
        <f>IF(OR(Fact_Control_Operaciones[[#This Row], [Año]]="",Fact_Control_Operaciones[[#This Row], 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 [Concepto Anterior]],Conceptos_Control_Operaciones[#All],5,0),"")</f>
        <v/>
      </c>
      <c r="F1801" t="str">
        <f>+IFERROR(VLOOKUP(Fact_Control_Operaciones[[#This Row], 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ht="18.75" customHeight="1" x14ac:dyDescent="0.35">
      <c r="C1802" s="100" t="str">
        <f>IF(OR(Fact_Control_Operaciones[[#This Row], [Año]]="",Fact_Control_Operaciones[[#This Row], 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 [Concepto Anterior]],Conceptos_Control_Operaciones[#All],5,0),"")</f>
        <v/>
      </c>
      <c r="F1802" t="str">
        <f>+IFERROR(VLOOKUP(Fact_Control_Operaciones[[#This Row], 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ht="18.75" customHeight="1" x14ac:dyDescent="0.35">
      <c r="C1803" s="100" t="str">
        <f>IF(OR(Fact_Control_Operaciones[[#This Row], [Año]]="",Fact_Control_Operaciones[[#This Row], 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 [Concepto Anterior]],Conceptos_Control_Operaciones[#All],5,0),"")</f>
        <v/>
      </c>
      <c r="F1803" t="str">
        <f>+IFERROR(VLOOKUP(Fact_Control_Operaciones[[#This Row], 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ht="18.75" customHeight="1" x14ac:dyDescent="0.35">
      <c r="C1804" s="100" t="str">
        <f>IF(OR(Fact_Control_Operaciones[[#This Row], [Año]]="",Fact_Control_Operaciones[[#This Row], 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 [Concepto Anterior]],Conceptos_Control_Operaciones[#All],5,0),"")</f>
        <v/>
      </c>
      <c r="F1804" t="str">
        <f>+IFERROR(VLOOKUP(Fact_Control_Operaciones[[#This Row], 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ht="18.75" customHeight="1" x14ac:dyDescent="0.35">
      <c r="C1805" s="100" t="str">
        <f>IF(OR(Fact_Control_Operaciones[[#This Row], [Año]]="",Fact_Control_Operaciones[[#This Row], 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 [Concepto Anterior]],Conceptos_Control_Operaciones[#All],5,0),"")</f>
        <v/>
      </c>
      <c r="F1805" t="str">
        <f>+IFERROR(VLOOKUP(Fact_Control_Operaciones[[#This Row], 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ht="18.75" customHeight="1" x14ac:dyDescent="0.35">
      <c r="C1806" s="100" t="str">
        <f>IF(OR(Fact_Control_Operaciones[[#This Row], [Año]]="",Fact_Control_Operaciones[[#This Row], 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 [Concepto Anterior]],Conceptos_Control_Operaciones[#All],5,0),"")</f>
        <v/>
      </c>
      <c r="F1806" t="str">
        <f>+IFERROR(VLOOKUP(Fact_Control_Operaciones[[#This Row], 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ht="18.75" customHeight="1" x14ac:dyDescent="0.35">
      <c r="C1807" s="100" t="str">
        <f>IF(OR(Fact_Control_Operaciones[[#This Row], [Año]]="",Fact_Control_Operaciones[[#This Row], 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 [Concepto Anterior]],Conceptos_Control_Operaciones[#All],5,0),"")</f>
        <v/>
      </c>
      <c r="F1807" t="str">
        <f>+IFERROR(VLOOKUP(Fact_Control_Operaciones[[#This Row], 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ht="18.75" customHeight="1" x14ac:dyDescent="0.35">
      <c r="C1808" s="100" t="str">
        <f>IF(OR(Fact_Control_Operaciones[[#This Row], [Año]]="",Fact_Control_Operaciones[[#This Row], 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 [Concepto Anterior]],Conceptos_Control_Operaciones[#All],5,0),"")</f>
        <v/>
      </c>
      <c r="F1808" t="str">
        <f>+IFERROR(VLOOKUP(Fact_Control_Operaciones[[#This Row], 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ht="18.75" customHeight="1" x14ac:dyDescent="0.35">
      <c r="C1809" s="100" t="str">
        <f>IF(OR(Fact_Control_Operaciones[[#This Row], [Año]]="",Fact_Control_Operaciones[[#This Row], 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 [Concepto Anterior]],Conceptos_Control_Operaciones[#All],5,0),"")</f>
        <v/>
      </c>
      <c r="F1809" t="str">
        <f>+IFERROR(VLOOKUP(Fact_Control_Operaciones[[#This Row], 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ht="18.75" customHeight="1" x14ac:dyDescent="0.35">
      <c r="C1810" s="100" t="str">
        <f>IF(OR(Fact_Control_Operaciones[[#This Row], [Año]]="",Fact_Control_Operaciones[[#This Row], 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 [Concepto Anterior]],Conceptos_Control_Operaciones[#All],5,0),"")</f>
        <v/>
      </c>
      <c r="F1810" t="str">
        <f>+IFERROR(VLOOKUP(Fact_Control_Operaciones[[#This Row], 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ht="18.75" customHeight="1" x14ac:dyDescent="0.35">
      <c r="C1811" s="100" t="str">
        <f>IF(OR(Fact_Control_Operaciones[[#This Row], [Año]]="",Fact_Control_Operaciones[[#This Row], 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 [Concepto Anterior]],Conceptos_Control_Operaciones[#All],5,0),"")</f>
        <v/>
      </c>
      <c r="F1811" t="str">
        <f>+IFERROR(VLOOKUP(Fact_Control_Operaciones[[#This Row], 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ht="18.75" customHeight="1" x14ac:dyDescent="0.35">
      <c r="C1812" s="100" t="str">
        <f>IF(OR(Fact_Control_Operaciones[[#This Row], [Año]]="",Fact_Control_Operaciones[[#This Row], 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 [Concepto Anterior]],Conceptos_Control_Operaciones[#All],5,0),"")</f>
        <v/>
      </c>
      <c r="F1812" t="str">
        <f>+IFERROR(VLOOKUP(Fact_Control_Operaciones[[#This Row], 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ht="18.75" customHeight="1" x14ac:dyDescent="0.35">
      <c r="C1813" s="100" t="str">
        <f>IF(OR(Fact_Control_Operaciones[[#This Row], [Año]]="",Fact_Control_Operaciones[[#This Row], 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 [Concepto Anterior]],Conceptos_Control_Operaciones[#All],5,0),"")</f>
        <v/>
      </c>
      <c r="F1813" t="str">
        <f>+IFERROR(VLOOKUP(Fact_Control_Operaciones[[#This Row], 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ht="18.75" customHeight="1" x14ac:dyDescent="0.35">
      <c r="C1814" s="100" t="str">
        <f>IF(OR(Fact_Control_Operaciones[[#This Row], [Año]]="",Fact_Control_Operaciones[[#This Row], 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 [Concepto Anterior]],Conceptos_Control_Operaciones[#All],5,0),"")</f>
        <v/>
      </c>
      <c r="F1814" t="str">
        <f>+IFERROR(VLOOKUP(Fact_Control_Operaciones[[#This Row], 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ht="18.75" customHeight="1" x14ac:dyDescent="0.35">
      <c r="C1815" s="100" t="str">
        <f>IF(OR(Fact_Control_Operaciones[[#This Row], [Año]]="",Fact_Control_Operaciones[[#This Row], 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 [Concepto Anterior]],Conceptos_Control_Operaciones[#All],5,0),"")</f>
        <v/>
      </c>
      <c r="F1815" t="str">
        <f>+IFERROR(VLOOKUP(Fact_Control_Operaciones[[#This Row], 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ht="18.75" customHeight="1" x14ac:dyDescent="0.35">
      <c r="C1816" s="100" t="str">
        <f>IF(OR(Fact_Control_Operaciones[[#This Row], [Año]]="",Fact_Control_Operaciones[[#This Row], 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 [Concepto Anterior]],Conceptos_Control_Operaciones[#All],5,0),"")</f>
        <v/>
      </c>
      <c r="F1816" t="str">
        <f>+IFERROR(VLOOKUP(Fact_Control_Operaciones[[#This Row], 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ht="18.75" customHeight="1" x14ac:dyDescent="0.35">
      <c r="C1817" s="100" t="str">
        <f>IF(OR(Fact_Control_Operaciones[[#This Row], [Año]]="",Fact_Control_Operaciones[[#This Row], 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 [Concepto Anterior]],Conceptos_Control_Operaciones[#All],5,0),"")</f>
        <v/>
      </c>
      <c r="F1817" t="str">
        <f>+IFERROR(VLOOKUP(Fact_Control_Operaciones[[#This Row], 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ht="18.75" customHeight="1" x14ac:dyDescent="0.35">
      <c r="C1818" s="100" t="str">
        <f>IF(OR(Fact_Control_Operaciones[[#This Row], [Año]]="",Fact_Control_Operaciones[[#This Row], 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 [Concepto Anterior]],Conceptos_Control_Operaciones[#All],5,0),"")</f>
        <v/>
      </c>
      <c r="F1818" t="str">
        <f>+IFERROR(VLOOKUP(Fact_Control_Operaciones[[#This Row], 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ht="18.75" customHeight="1" x14ac:dyDescent="0.35">
      <c r="C1819" s="100" t="str">
        <f>IF(OR(Fact_Control_Operaciones[[#This Row], [Año]]="",Fact_Control_Operaciones[[#This Row], 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 [Concepto Anterior]],Conceptos_Control_Operaciones[#All],5,0),"")</f>
        <v/>
      </c>
      <c r="F1819" t="str">
        <f>+IFERROR(VLOOKUP(Fact_Control_Operaciones[[#This Row], 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ht="18.75" customHeight="1" x14ac:dyDescent="0.35">
      <c r="C1820" s="100" t="str">
        <f>IF(OR(Fact_Control_Operaciones[[#This Row], [Año]]="",Fact_Control_Operaciones[[#This Row], 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 [Concepto Anterior]],Conceptos_Control_Operaciones[#All],5,0),"")</f>
        <v/>
      </c>
      <c r="F1820" t="str">
        <f>+IFERROR(VLOOKUP(Fact_Control_Operaciones[[#This Row], 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ht="18.75" customHeight="1" x14ac:dyDescent="0.35">
      <c r="C1821" s="100" t="str">
        <f>IF(OR(Fact_Control_Operaciones[[#This Row], [Año]]="",Fact_Control_Operaciones[[#This Row], 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 [Concepto Anterior]],Conceptos_Control_Operaciones[#All],5,0),"")</f>
        <v/>
      </c>
      <c r="F1821" t="str">
        <f>+IFERROR(VLOOKUP(Fact_Control_Operaciones[[#This Row], 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ht="18.75" customHeight="1" x14ac:dyDescent="0.35">
      <c r="C1822" s="100" t="str">
        <f>IF(OR(Fact_Control_Operaciones[[#This Row], [Año]]="",Fact_Control_Operaciones[[#This Row], 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 [Concepto Anterior]],Conceptos_Control_Operaciones[#All],5,0),"")</f>
        <v/>
      </c>
      <c r="F1822" t="str">
        <f>+IFERROR(VLOOKUP(Fact_Control_Operaciones[[#This Row], 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ht="18.75" customHeight="1" x14ac:dyDescent="0.35">
      <c r="C1823" s="100" t="str">
        <f>IF(OR(Fact_Control_Operaciones[[#This Row], [Año]]="",Fact_Control_Operaciones[[#This Row], 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 [Concepto Anterior]],Conceptos_Control_Operaciones[#All],5,0),"")</f>
        <v/>
      </c>
      <c r="F1823" t="str">
        <f>+IFERROR(VLOOKUP(Fact_Control_Operaciones[[#This Row], 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ht="18.75" customHeight="1" x14ac:dyDescent="0.35">
      <c r="C1824" s="100" t="str">
        <f>IF(OR(Fact_Control_Operaciones[[#This Row], [Año]]="",Fact_Control_Operaciones[[#This Row], 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 [Concepto Anterior]],Conceptos_Control_Operaciones[#All],5,0),"")</f>
        <v/>
      </c>
      <c r="F1824" t="str">
        <f>+IFERROR(VLOOKUP(Fact_Control_Operaciones[[#This Row], 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ht="18.75" customHeight="1" x14ac:dyDescent="0.35">
      <c r="C1825" s="100" t="str">
        <f>IF(OR(Fact_Control_Operaciones[[#This Row], [Año]]="",Fact_Control_Operaciones[[#This Row], 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 [Concepto Anterior]],Conceptos_Control_Operaciones[#All],5,0),"")</f>
        <v/>
      </c>
      <c r="F1825" t="str">
        <f>+IFERROR(VLOOKUP(Fact_Control_Operaciones[[#This Row], 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ht="18.75" customHeight="1" x14ac:dyDescent="0.35">
      <c r="C1826" s="100" t="str">
        <f>IF(OR(Fact_Control_Operaciones[[#This Row], [Año]]="",Fact_Control_Operaciones[[#This Row], 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 [Concepto Anterior]],Conceptos_Control_Operaciones[#All],5,0),"")</f>
        <v/>
      </c>
      <c r="F1826" t="str">
        <f>+IFERROR(VLOOKUP(Fact_Control_Operaciones[[#This Row], 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ht="18.75" customHeight="1" x14ac:dyDescent="0.35">
      <c r="C1827" s="100" t="str">
        <f>IF(OR(Fact_Control_Operaciones[[#This Row], [Año]]="",Fact_Control_Operaciones[[#This Row], 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 [Concepto Anterior]],Conceptos_Control_Operaciones[#All],5,0),"")</f>
        <v/>
      </c>
      <c r="F1827" t="str">
        <f>+IFERROR(VLOOKUP(Fact_Control_Operaciones[[#This Row], 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ht="18.75" customHeight="1" x14ac:dyDescent="0.35">
      <c r="C1828" s="100" t="str">
        <f>IF(OR(Fact_Control_Operaciones[[#This Row], [Año]]="",Fact_Control_Operaciones[[#This Row], 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 [Concepto Anterior]],Conceptos_Control_Operaciones[#All],5,0),"")</f>
        <v/>
      </c>
      <c r="F1828" t="str">
        <f>+IFERROR(VLOOKUP(Fact_Control_Operaciones[[#This Row], 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ht="18.75" customHeight="1" x14ac:dyDescent="0.35">
      <c r="C1829" s="100" t="str">
        <f>IF(OR(Fact_Control_Operaciones[[#This Row], [Año]]="",Fact_Control_Operaciones[[#This Row], 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 [Concepto Anterior]],Conceptos_Control_Operaciones[#All],5,0),"")</f>
        <v/>
      </c>
      <c r="F1829" t="str">
        <f>+IFERROR(VLOOKUP(Fact_Control_Operaciones[[#This Row], 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ht="18.75" customHeight="1" x14ac:dyDescent="0.35">
      <c r="C1830" s="100" t="str">
        <f>IF(OR(Fact_Control_Operaciones[[#This Row], [Año]]="",Fact_Control_Operaciones[[#This Row], 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 [Concepto Anterior]],Conceptos_Control_Operaciones[#All],5,0),"")</f>
        <v/>
      </c>
      <c r="F1830" t="str">
        <f>+IFERROR(VLOOKUP(Fact_Control_Operaciones[[#This Row], 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ht="18.75" customHeight="1" x14ac:dyDescent="0.35">
      <c r="C1831" s="100" t="str">
        <f>IF(OR(Fact_Control_Operaciones[[#This Row], [Año]]="",Fact_Control_Operaciones[[#This Row], 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 [Concepto Anterior]],Conceptos_Control_Operaciones[#All],5,0),"")</f>
        <v/>
      </c>
      <c r="F1831" t="str">
        <f>+IFERROR(VLOOKUP(Fact_Control_Operaciones[[#This Row], 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ht="18.75" customHeight="1" x14ac:dyDescent="0.35">
      <c r="C1832" s="100" t="str">
        <f>IF(OR(Fact_Control_Operaciones[[#This Row], [Año]]="",Fact_Control_Operaciones[[#This Row], 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 [Concepto Anterior]],Conceptos_Control_Operaciones[#All],5,0),"")</f>
        <v/>
      </c>
      <c r="F1832" t="str">
        <f>+IFERROR(VLOOKUP(Fact_Control_Operaciones[[#This Row], 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ht="18.75" customHeight="1" x14ac:dyDescent="0.35">
      <c r="C1833" s="100" t="str">
        <f>IF(OR(Fact_Control_Operaciones[[#This Row], [Año]]="",Fact_Control_Operaciones[[#This Row], 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 [Concepto Anterior]],Conceptos_Control_Operaciones[#All],5,0),"")</f>
        <v/>
      </c>
      <c r="F1833" t="str">
        <f>+IFERROR(VLOOKUP(Fact_Control_Operaciones[[#This Row], 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ht="18.75" customHeight="1" x14ac:dyDescent="0.35">
      <c r="C1834" s="100" t="str">
        <f>IF(OR(Fact_Control_Operaciones[[#This Row], [Año]]="",Fact_Control_Operaciones[[#This Row], 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 [Concepto Anterior]],Conceptos_Control_Operaciones[#All],5,0),"")</f>
        <v/>
      </c>
      <c r="F1834" t="str">
        <f>+IFERROR(VLOOKUP(Fact_Control_Operaciones[[#This Row], 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ht="18.75" customHeight="1" x14ac:dyDescent="0.35">
      <c r="C1835" s="100" t="str">
        <f>IF(OR(Fact_Control_Operaciones[[#This Row], [Año]]="",Fact_Control_Operaciones[[#This Row], 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 [Concepto Anterior]],Conceptos_Control_Operaciones[#All],5,0),"")</f>
        <v/>
      </c>
      <c r="F1835" t="str">
        <f>+IFERROR(VLOOKUP(Fact_Control_Operaciones[[#This Row], 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ht="18.75" customHeight="1" x14ac:dyDescent="0.35">
      <c r="C1836" s="100" t="str">
        <f>IF(OR(Fact_Control_Operaciones[[#This Row], [Año]]="",Fact_Control_Operaciones[[#This Row], 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 [Concepto Anterior]],Conceptos_Control_Operaciones[#All],5,0),"")</f>
        <v/>
      </c>
      <c r="F1836" t="str">
        <f>+IFERROR(VLOOKUP(Fact_Control_Operaciones[[#This Row], 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ht="18.75" customHeight="1" x14ac:dyDescent="0.35">
      <c r="C1837" s="100" t="str">
        <f>IF(OR(Fact_Control_Operaciones[[#This Row], [Año]]="",Fact_Control_Operaciones[[#This Row], 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 [Concepto Anterior]],Conceptos_Control_Operaciones[#All],5,0),"")</f>
        <v/>
      </c>
      <c r="F1837" t="str">
        <f>+IFERROR(VLOOKUP(Fact_Control_Operaciones[[#This Row], 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ht="18.75" customHeight="1" x14ac:dyDescent="0.35">
      <c r="C1838" s="100" t="str">
        <f>IF(OR(Fact_Control_Operaciones[[#This Row], [Año]]="",Fact_Control_Operaciones[[#This Row], 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 [Concepto Anterior]],Conceptos_Control_Operaciones[#All],5,0),"")</f>
        <v/>
      </c>
      <c r="F1838" t="str">
        <f>+IFERROR(VLOOKUP(Fact_Control_Operaciones[[#This Row], 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ht="18.75" customHeight="1" x14ac:dyDescent="0.35">
      <c r="C1839" s="100" t="str">
        <f>IF(OR(Fact_Control_Operaciones[[#This Row], [Año]]="",Fact_Control_Operaciones[[#This Row], 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 [Concepto Anterior]],Conceptos_Control_Operaciones[#All],5,0),"")</f>
        <v/>
      </c>
      <c r="F1839" t="str">
        <f>+IFERROR(VLOOKUP(Fact_Control_Operaciones[[#This Row], 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ht="18.75" customHeight="1" x14ac:dyDescent="0.35">
      <c r="C1840" s="100" t="str">
        <f>IF(OR(Fact_Control_Operaciones[[#This Row], [Año]]="",Fact_Control_Operaciones[[#This Row], 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 [Concepto Anterior]],Conceptos_Control_Operaciones[#All],5,0),"")</f>
        <v/>
      </c>
      <c r="F1840" t="str">
        <f>+IFERROR(VLOOKUP(Fact_Control_Operaciones[[#This Row], 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ht="18.75" customHeight="1" x14ac:dyDescent="0.35">
      <c r="C1841" s="100" t="str">
        <f>IF(OR(Fact_Control_Operaciones[[#This Row], [Año]]="",Fact_Control_Operaciones[[#This Row], 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 [Concepto Anterior]],Conceptos_Control_Operaciones[#All],5,0),"")</f>
        <v/>
      </c>
      <c r="F1841" t="str">
        <f>+IFERROR(VLOOKUP(Fact_Control_Operaciones[[#This Row], 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ht="18.75" customHeight="1" x14ac:dyDescent="0.35">
      <c r="C1842" s="100" t="str">
        <f>IF(OR(Fact_Control_Operaciones[[#This Row], [Año]]="",Fact_Control_Operaciones[[#This Row], 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 [Concepto Anterior]],Conceptos_Control_Operaciones[#All],5,0),"")</f>
        <v/>
      </c>
      <c r="F1842" t="str">
        <f>+IFERROR(VLOOKUP(Fact_Control_Operaciones[[#This Row], 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ht="18.75" customHeight="1" x14ac:dyDescent="0.35">
      <c r="C1843" s="100" t="str">
        <f>IF(OR(Fact_Control_Operaciones[[#This Row], [Año]]="",Fact_Control_Operaciones[[#This Row], 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 [Concepto Anterior]],Conceptos_Control_Operaciones[#All],5,0),"")</f>
        <v/>
      </c>
      <c r="F1843" t="str">
        <f>+IFERROR(VLOOKUP(Fact_Control_Operaciones[[#This Row], 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ht="18.75" customHeight="1" x14ac:dyDescent="0.35">
      <c r="C1844" s="100" t="str">
        <f>IF(OR(Fact_Control_Operaciones[[#This Row], [Año]]="",Fact_Control_Operaciones[[#This Row], 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 [Concepto Anterior]],Conceptos_Control_Operaciones[#All],5,0),"")</f>
        <v/>
      </c>
      <c r="F1844" t="str">
        <f>+IFERROR(VLOOKUP(Fact_Control_Operaciones[[#This Row], 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ht="18.75" customHeight="1" x14ac:dyDescent="0.35">
      <c r="C1845" s="100" t="str">
        <f>IF(OR(Fact_Control_Operaciones[[#This Row], [Año]]="",Fact_Control_Operaciones[[#This Row], 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 [Concepto Anterior]],Conceptos_Control_Operaciones[#All],5,0),"")</f>
        <v/>
      </c>
      <c r="F1845" t="str">
        <f>+IFERROR(VLOOKUP(Fact_Control_Operaciones[[#This Row], 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ht="18.75" customHeight="1" x14ac:dyDescent="0.35">
      <c r="C1846" s="100" t="str">
        <f>IF(OR(Fact_Control_Operaciones[[#This Row], [Año]]="",Fact_Control_Operaciones[[#This Row], 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 [Concepto Anterior]],Conceptos_Control_Operaciones[#All],5,0),"")</f>
        <v/>
      </c>
      <c r="F1846" t="str">
        <f>+IFERROR(VLOOKUP(Fact_Control_Operaciones[[#This Row], 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ht="18.75" customHeight="1" x14ac:dyDescent="0.35">
      <c r="C1847" s="100" t="str">
        <f>IF(OR(Fact_Control_Operaciones[[#This Row], [Año]]="",Fact_Control_Operaciones[[#This Row], 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 [Concepto Anterior]],Conceptos_Control_Operaciones[#All],5,0),"")</f>
        <v/>
      </c>
      <c r="F1847" t="str">
        <f>+IFERROR(VLOOKUP(Fact_Control_Operaciones[[#This Row], 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ht="18.75" customHeight="1" x14ac:dyDescent="0.35">
      <c r="C1848" s="100" t="str">
        <f>IF(OR(Fact_Control_Operaciones[[#This Row], [Año]]="",Fact_Control_Operaciones[[#This Row], 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 [Concepto Anterior]],Conceptos_Control_Operaciones[#All],5,0),"")</f>
        <v/>
      </c>
      <c r="F1848" t="str">
        <f>+IFERROR(VLOOKUP(Fact_Control_Operaciones[[#This Row], 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ht="18.75" customHeight="1" x14ac:dyDescent="0.35">
      <c r="C1849" s="100" t="str">
        <f>IF(OR(Fact_Control_Operaciones[[#This Row], [Año]]="",Fact_Control_Operaciones[[#This Row], 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 [Concepto Anterior]],Conceptos_Control_Operaciones[#All],5,0),"")</f>
        <v/>
      </c>
      <c r="F1849" t="str">
        <f>+IFERROR(VLOOKUP(Fact_Control_Operaciones[[#This Row], 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ht="18.75" customHeight="1" x14ac:dyDescent="0.35">
      <c r="C1850" s="100" t="str">
        <f>IF(OR(Fact_Control_Operaciones[[#This Row], [Año]]="",Fact_Control_Operaciones[[#This Row], 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 [Concepto Anterior]],Conceptos_Control_Operaciones[#All],5,0),"")</f>
        <v/>
      </c>
      <c r="F1850" t="str">
        <f>+IFERROR(VLOOKUP(Fact_Control_Operaciones[[#This Row], 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ht="18.75" customHeight="1" x14ac:dyDescent="0.35">
      <c r="C1851" s="100" t="str">
        <f>IF(OR(Fact_Control_Operaciones[[#This Row], [Año]]="",Fact_Control_Operaciones[[#This Row], 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 [Concepto Anterior]],Conceptos_Control_Operaciones[#All],5,0),"")</f>
        <v/>
      </c>
      <c r="F1851" t="str">
        <f>+IFERROR(VLOOKUP(Fact_Control_Operaciones[[#This Row], 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ht="18.75" customHeight="1" x14ac:dyDescent="0.35">
      <c r="C1852" s="100" t="str">
        <f>IF(OR(Fact_Control_Operaciones[[#This Row], [Año]]="",Fact_Control_Operaciones[[#This Row], 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 [Concepto Anterior]],Conceptos_Control_Operaciones[#All],5,0),"")</f>
        <v/>
      </c>
      <c r="F1852" t="str">
        <f>+IFERROR(VLOOKUP(Fact_Control_Operaciones[[#This Row], 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ht="18.75" customHeight="1" x14ac:dyDescent="0.35">
      <c r="C1853" s="100" t="str">
        <f>IF(OR(Fact_Control_Operaciones[[#This Row], [Año]]="",Fact_Control_Operaciones[[#This Row], 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 [Concepto Anterior]],Conceptos_Control_Operaciones[#All],5,0),"")</f>
        <v/>
      </c>
      <c r="F1853" t="str">
        <f>+IFERROR(VLOOKUP(Fact_Control_Operaciones[[#This Row], 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ht="18.75" customHeight="1" x14ac:dyDescent="0.35">
      <c r="C1854" s="100" t="str">
        <f>IF(OR(Fact_Control_Operaciones[[#This Row], [Año]]="",Fact_Control_Operaciones[[#This Row], 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 [Concepto Anterior]],Conceptos_Control_Operaciones[#All],5,0),"")</f>
        <v/>
      </c>
      <c r="F1854" t="str">
        <f>+IFERROR(VLOOKUP(Fact_Control_Operaciones[[#This Row], 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ht="18.75" customHeight="1" x14ac:dyDescent="0.35">
      <c r="C1855" s="100" t="str">
        <f>IF(OR(Fact_Control_Operaciones[[#This Row], [Año]]="",Fact_Control_Operaciones[[#This Row], 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 [Concepto Anterior]],Conceptos_Control_Operaciones[#All],5,0),"")</f>
        <v/>
      </c>
      <c r="F1855" t="str">
        <f>+IFERROR(VLOOKUP(Fact_Control_Operaciones[[#This Row], 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ht="18.75" customHeight="1" x14ac:dyDescent="0.35">
      <c r="C1856" s="100" t="str">
        <f>IF(OR(Fact_Control_Operaciones[[#This Row], [Año]]="",Fact_Control_Operaciones[[#This Row], 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 [Concepto Anterior]],Conceptos_Control_Operaciones[#All],5,0),"")</f>
        <v/>
      </c>
      <c r="F1856" t="str">
        <f>+IFERROR(VLOOKUP(Fact_Control_Operaciones[[#This Row], 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ht="18.75" customHeight="1" x14ac:dyDescent="0.35">
      <c r="C1857" s="100" t="str">
        <f>IF(OR(Fact_Control_Operaciones[[#This Row], [Año]]="",Fact_Control_Operaciones[[#This Row], 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 [Concepto Anterior]],Conceptos_Control_Operaciones[#All],5,0),"")</f>
        <v/>
      </c>
      <c r="F1857" t="str">
        <f>+IFERROR(VLOOKUP(Fact_Control_Operaciones[[#This Row], 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ht="18.75" customHeight="1" x14ac:dyDescent="0.35">
      <c r="C1858" s="100" t="str">
        <f>IF(OR(Fact_Control_Operaciones[[#This Row], [Año]]="",Fact_Control_Operaciones[[#This Row], 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 [Concepto Anterior]],Conceptos_Control_Operaciones[#All],5,0),"")</f>
        <v/>
      </c>
      <c r="F1858" t="str">
        <f>+IFERROR(VLOOKUP(Fact_Control_Operaciones[[#This Row], 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ht="18.75" customHeight="1" x14ac:dyDescent="0.35">
      <c r="C1859" s="100" t="str">
        <f>IF(OR(Fact_Control_Operaciones[[#This Row], [Año]]="",Fact_Control_Operaciones[[#This Row], 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 [Concepto Anterior]],Conceptos_Control_Operaciones[#All],5,0),"")</f>
        <v/>
      </c>
      <c r="F1859" t="str">
        <f>+IFERROR(VLOOKUP(Fact_Control_Operaciones[[#This Row], 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ht="18.75" customHeight="1" x14ac:dyDescent="0.35">
      <c r="C1860" s="100" t="str">
        <f>IF(OR(Fact_Control_Operaciones[[#This Row], [Año]]="",Fact_Control_Operaciones[[#This Row], 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 [Concepto Anterior]],Conceptos_Control_Operaciones[#All],5,0),"")</f>
        <v/>
      </c>
      <c r="F1860" t="str">
        <f>+IFERROR(VLOOKUP(Fact_Control_Operaciones[[#This Row], 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ht="18.75" customHeight="1" x14ac:dyDescent="0.35">
      <c r="C1861" s="100" t="str">
        <f>IF(OR(Fact_Control_Operaciones[[#This Row], [Año]]="",Fact_Control_Operaciones[[#This Row], 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 [Concepto Anterior]],Conceptos_Control_Operaciones[#All],5,0),"")</f>
        <v/>
      </c>
      <c r="F1861" t="str">
        <f>+IFERROR(VLOOKUP(Fact_Control_Operaciones[[#This Row], 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ht="18.75" customHeight="1" x14ac:dyDescent="0.35">
      <c r="C1862" s="100" t="str">
        <f>IF(OR(Fact_Control_Operaciones[[#This Row], [Año]]="",Fact_Control_Operaciones[[#This Row], 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 [Concepto Anterior]],Conceptos_Control_Operaciones[#All],5,0),"")</f>
        <v/>
      </c>
      <c r="F1862" t="str">
        <f>+IFERROR(VLOOKUP(Fact_Control_Operaciones[[#This Row], 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ht="18.75" customHeight="1" x14ac:dyDescent="0.35">
      <c r="C1863" s="100" t="str">
        <f>IF(OR(Fact_Control_Operaciones[[#This Row], [Año]]="",Fact_Control_Operaciones[[#This Row], 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 [Concepto Anterior]],Conceptos_Control_Operaciones[#All],5,0),"")</f>
        <v/>
      </c>
      <c r="F1863" t="str">
        <f>+IFERROR(VLOOKUP(Fact_Control_Operaciones[[#This Row], 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ht="18.75" customHeight="1" x14ac:dyDescent="0.35">
      <c r="C1864" s="100" t="str">
        <f>IF(OR(Fact_Control_Operaciones[[#This Row], [Año]]="",Fact_Control_Operaciones[[#This Row], 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 [Concepto Anterior]],Conceptos_Control_Operaciones[#All],5,0),"")</f>
        <v/>
      </c>
      <c r="F1864" t="str">
        <f>+IFERROR(VLOOKUP(Fact_Control_Operaciones[[#This Row], 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ht="18.75" customHeight="1" x14ac:dyDescent="0.35">
      <c r="C1865" s="100" t="str">
        <f>IF(OR(Fact_Control_Operaciones[[#This Row], [Año]]="",Fact_Control_Operaciones[[#This Row], 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 [Concepto Anterior]],Conceptos_Control_Operaciones[#All],5,0),"")</f>
        <v/>
      </c>
      <c r="F1865" t="str">
        <f>+IFERROR(VLOOKUP(Fact_Control_Operaciones[[#This Row], 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ht="18.75" customHeight="1" x14ac:dyDescent="0.35">
      <c r="C1866" s="100" t="str">
        <f>IF(OR(Fact_Control_Operaciones[[#This Row], [Año]]="",Fact_Control_Operaciones[[#This Row], 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 [Concepto Anterior]],Conceptos_Control_Operaciones[#All],5,0),"")</f>
        <v/>
      </c>
      <c r="F1866" t="str">
        <f>+IFERROR(VLOOKUP(Fact_Control_Operaciones[[#This Row], 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ht="18.75" customHeight="1" x14ac:dyDescent="0.35">
      <c r="C1867" s="100" t="str">
        <f>IF(OR(Fact_Control_Operaciones[[#This Row], [Año]]="",Fact_Control_Operaciones[[#This Row], 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 [Concepto Anterior]],Conceptos_Control_Operaciones[#All],5,0),"")</f>
        <v/>
      </c>
      <c r="F1867" t="str">
        <f>+IFERROR(VLOOKUP(Fact_Control_Operaciones[[#This Row], 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ht="18.75" customHeight="1" x14ac:dyDescent="0.35">
      <c r="C1868" s="100" t="str">
        <f>IF(OR(Fact_Control_Operaciones[[#This Row], [Año]]="",Fact_Control_Operaciones[[#This Row], 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 [Concepto Anterior]],Conceptos_Control_Operaciones[#All],5,0),"")</f>
        <v/>
      </c>
      <c r="F1868" t="str">
        <f>+IFERROR(VLOOKUP(Fact_Control_Operaciones[[#This Row], 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ht="18.75" customHeight="1" x14ac:dyDescent="0.35">
      <c r="C1869" s="100" t="str">
        <f>IF(OR(Fact_Control_Operaciones[[#This Row], [Año]]="",Fact_Control_Operaciones[[#This Row], 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 [Concepto Anterior]],Conceptos_Control_Operaciones[#All],5,0),"")</f>
        <v/>
      </c>
      <c r="F1869" t="str">
        <f>+IFERROR(VLOOKUP(Fact_Control_Operaciones[[#This Row], 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ht="18.75" customHeight="1" x14ac:dyDescent="0.35">
      <c r="C1870" s="100" t="str">
        <f>IF(OR(Fact_Control_Operaciones[[#This Row], [Año]]="",Fact_Control_Operaciones[[#This Row], 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 [Concepto Anterior]],Conceptos_Control_Operaciones[#All],5,0),"")</f>
        <v/>
      </c>
      <c r="F1870" t="str">
        <f>+IFERROR(VLOOKUP(Fact_Control_Operaciones[[#This Row], 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ht="18.75" customHeight="1" x14ac:dyDescent="0.35">
      <c r="C1871" s="100" t="str">
        <f>IF(OR(Fact_Control_Operaciones[[#This Row], [Año]]="",Fact_Control_Operaciones[[#This Row], 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 [Concepto Anterior]],Conceptos_Control_Operaciones[#All],5,0),"")</f>
        <v/>
      </c>
      <c r="F1871" t="str">
        <f>+IFERROR(VLOOKUP(Fact_Control_Operaciones[[#This Row], 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ht="18.75" customHeight="1" x14ac:dyDescent="0.35">
      <c r="C1872" s="100" t="str">
        <f>IF(OR(Fact_Control_Operaciones[[#This Row], [Año]]="",Fact_Control_Operaciones[[#This Row], 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 [Concepto Anterior]],Conceptos_Control_Operaciones[#All],5,0),"")</f>
        <v/>
      </c>
      <c r="F1872" t="str">
        <f>+IFERROR(VLOOKUP(Fact_Control_Operaciones[[#This Row], 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ht="18.75" customHeight="1" x14ac:dyDescent="0.35">
      <c r="C1873" s="100" t="str">
        <f>IF(OR(Fact_Control_Operaciones[[#This Row], [Año]]="",Fact_Control_Operaciones[[#This Row], 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 [Concepto Anterior]],Conceptos_Control_Operaciones[#All],5,0),"")</f>
        <v/>
      </c>
      <c r="F1873" t="str">
        <f>+IFERROR(VLOOKUP(Fact_Control_Operaciones[[#This Row], 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ht="18.75" customHeight="1" x14ac:dyDescent="0.35">
      <c r="C1874" s="100" t="str">
        <f>IF(OR(Fact_Control_Operaciones[[#This Row], [Año]]="",Fact_Control_Operaciones[[#This Row], 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 [Concepto Anterior]],Conceptos_Control_Operaciones[#All],5,0),"")</f>
        <v/>
      </c>
      <c r="F1874" t="str">
        <f>+IFERROR(VLOOKUP(Fact_Control_Operaciones[[#This Row], 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ht="18.75" customHeight="1" x14ac:dyDescent="0.35">
      <c r="C1875" s="100" t="str">
        <f>IF(OR(Fact_Control_Operaciones[[#This Row], [Año]]="",Fact_Control_Operaciones[[#This Row], 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 [Concepto Anterior]],Conceptos_Control_Operaciones[#All],5,0),"")</f>
        <v/>
      </c>
      <c r="F1875" t="str">
        <f>+IFERROR(VLOOKUP(Fact_Control_Operaciones[[#This Row], 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ht="18.75" customHeight="1" x14ac:dyDescent="0.35">
      <c r="C1876" s="100" t="str">
        <f>IF(OR(Fact_Control_Operaciones[[#This Row], [Año]]="",Fact_Control_Operaciones[[#This Row], 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 [Concepto Anterior]],Conceptos_Control_Operaciones[#All],5,0),"")</f>
        <v/>
      </c>
      <c r="F1876" t="str">
        <f>+IFERROR(VLOOKUP(Fact_Control_Operaciones[[#This Row], 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ht="18.75" customHeight="1" x14ac:dyDescent="0.35">
      <c r="C1877" s="100" t="str">
        <f>IF(OR(Fact_Control_Operaciones[[#This Row], [Año]]="",Fact_Control_Operaciones[[#This Row], 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 [Concepto Anterior]],Conceptos_Control_Operaciones[#All],5,0),"")</f>
        <v/>
      </c>
      <c r="F1877" t="str">
        <f>+IFERROR(VLOOKUP(Fact_Control_Operaciones[[#This Row], 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ht="18.75" customHeight="1" x14ac:dyDescent="0.35">
      <c r="C1878" s="100" t="str">
        <f>IF(OR(Fact_Control_Operaciones[[#This Row], [Año]]="",Fact_Control_Operaciones[[#This Row], 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 [Concepto Anterior]],Conceptos_Control_Operaciones[#All],5,0),"")</f>
        <v/>
      </c>
      <c r="F1878" t="str">
        <f>+IFERROR(VLOOKUP(Fact_Control_Operaciones[[#This Row], 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ht="18.75" customHeight="1" x14ac:dyDescent="0.35">
      <c r="C1879" s="100" t="str">
        <f>IF(OR(Fact_Control_Operaciones[[#This Row], [Año]]="",Fact_Control_Operaciones[[#This Row], 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 [Concepto Anterior]],Conceptos_Control_Operaciones[#All],5,0),"")</f>
        <v/>
      </c>
      <c r="F1879" t="str">
        <f>+IFERROR(VLOOKUP(Fact_Control_Operaciones[[#This Row], 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ht="18.75" customHeight="1" x14ac:dyDescent="0.35">
      <c r="C1880" s="100" t="str">
        <f>IF(OR(Fact_Control_Operaciones[[#This Row], [Año]]="",Fact_Control_Operaciones[[#This Row], 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 [Concepto Anterior]],Conceptos_Control_Operaciones[#All],5,0),"")</f>
        <v/>
      </c>
      <c r="F1880" t="str">
        <f>+IFERROR(VLOOKUP(Fact_Control_Operaciones[[#This Row], 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ht="18.75" customHeight="1" x14ac:dyDescent="0.35">
      <c r="C1881" s="100" t="str">
        <f>IF(OR(Fact_Control_Operaciones[[#This Row], [Año]]="",Fact_Control_Operaciones[[#This Row], 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 [Concepto Anterior]],Conceptos_Control_Operaciones[#All],5,0),"")</f>
        <v/>
      </c>
      <c r="F1881" t="str">
        <f>+IFERROR(VLOOKUP(Fact_Control_Operaciones[[#This Row], 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ht="18.75" customHeight="1" x14ac:dyDescent="0.35">
      <c r="C1882" s="100" t="str">
        <f>IF(OR(Fact_Control_Operaciones[[#This Row], [Año]]="",Fact_Control_Operaciones[[#This Row], 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 [Concepto Anterior]],Conceptos_Control_Operaciones[#All],5,0),"")</f>
        <v/>
      </c>
      <c r="F1882" t="str">
        <f>+IFERROR(VLOOKUP(Fact_Control_Operaciones[[#This Row], 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ht="18.75" customHeight="1" x14ac:dyDescent="0.35">
      <c r="C1883" s="100" t="str">
        <f>IF(OR(Fact_Control_Operaciones[[#This Row], [Año]]="",Fact_Control_Operaciones[[#This Row], 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 [Concepto Anterior]],Conceptos_Control_Operaciones[#All],5,0),"")</f>
        <v/>
      </c>
      <c r="F1883" t="str">
        <f>+IFERROR(VLOOKUP(Fact_Control_Operaciones[[#This Row], 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ht="18.75" customHeight="1" x14ac:dyDescent="0.35">
      <c r="C1884" s="100" t="str">
        <f>IF(OR(Fact_Control_Operaciones[[#This Row], [Año]]="",Fact_Control_Operaciones[[#This Row], 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 [Concepto Anterior]],Conceptos_Control_Operaciones[#All],5,0),"")</f>
        <v/>
      </c>
      <c r="F1884" t="str">
        <f>+IFERROR(VLOOKUP(Fact_Control_Operaciones[[#This Row], 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ht="18.75" customHeight="1" x14ac:dyDescent="0.35">
      <c r="C1885" s="100" t="str">
        <f>IF(OR(Fact_Control_Operaciones[[#This Row], [Año]]="",Fact_Control_Operaciones[[#This Row], 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 [Concepto Anterior]],Conceptos_Control_Operaciones[#All],5,0),"")</f>
        <v/>
      </c>
      <c r="F1885" t="str">
        <f>+IFERROR(VLOOKUP(Fact_Control_Operaciones[[#This Row], 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ht="18.75" customHeight="1" x14ac:dyDescent="0.35">
      <c r="C1886" s="100" t="str">
        <f>IF(OR(Fact_Control_Operaciones[[#This Row], [Año]]="",Fact_Control_Operaciones[[#This Row], 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 [Concepto Anterior]],Conceptos_Control_Operaciones[#All],5,0),"")</f>
        <v/>
      </c>
      <c r="F1886" t="str">
        <f>+IFERROR(VLOOKUP(Fact_Control_Operaciones[[#This Row], 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ht="18.75" customHeight="1" x14ac:dyDescent="0.35">
      <c r="C1887" s="100" t="str">
        <f>IF(OR(Fact_Control_Operaciones[[#This Row], [Año]]="",Fact_Control_Operaciones[[#This Row], 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 [Concepto Anterior]],Conceptos_Control_Operaciones[#All],5,0),"")</f>
        <v/>
      </c>
      <c r="F1887" t="str">
        <f>+IFERROR(VLOOKUP(Fact_Control_Operaciones[[#This Row], 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ht="18.75" customHeight="1" x14ac:dyDescent="0.35">
      <c r="C1888" s="100" t="str">
        <f>IF(OR(Fact_Control_Operaciones[[#This Row], [Año]]="",Fact_Control_Operaciones[[#This Row], 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 [Concepto Anterior]],Conceptos_Control_Operaciones[#All],5,0),"")</f>
        <v/>
      </c>
      <c r="F1888" t="str">
        <f>+IFERROR(VLOOKUP(Fact_Control_Operaciones[[#This Row], 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ht="18.75" customHeight="1" x14ac:dyDescent="0.35">
      <c r="C1889" s="100" t="str">
        <f>IF(OR(Fact_Control_Operaciones[[#This Row], [Año]]="",Fact_Control_Operaciones[[#This Row], 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 [Concepto Anterior]],Conceptos_Control_Operaciones[#All],5,0),"")</f>
        <v/>
      </c>
      <c r="F1889" t="str">
        <f>+IFERROR(VLOOKUP(Fact_Control_Operaciones[[#This Row], 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ht="18.75" customHeight="1" x14ac:dyDescent="0.35">
      <c r="C1890" s="100" t="str">
        <f>IF(OR(Fact_Control_Operaciones[[#This Row], [Año]]="",Fact_Control_Operaciones[[#This Row], 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 [Concepto Anterior]],Conceptos_Control_Operaciones[#All],5,0),"")</f>
        <v/>
      </c>
      <c r="F1890" t="str">
        <f>+IFERROR(VLOOKUP(Fact_Control_Operaciones[[#This Row], 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ht="18.75" customHeight="1" x14ac:dyDescent="0.35">
      <c r="C1891" s="100" t="str">
        <f>IF(OR(Fact_Control_Operaciones[[#This Row], [Año]]="",Fact_Control_Operaciones[[#This Row], 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 [Concepto Anterior]],Conceptos_Control_Operaciones[#All],5,0),"")</f>
        <v/>
      </c>
      <c r="F1891" t="str">
        <f>+IFERROR(VLOOKUP(Fact_Control_Operaciones[[#This Row], 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ht="18.75" customHeight="1" x14ac:dyDescent="0.35">
      <c r="C1892" s="100" t="str">
        <f>IF(OR(Fact_Control_Operaciones[[#This Row], [Año]]="",Fact_Control_Operaciones[[#This Row], 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 [Concepto Anterior]],Conceptos_Control_Operaciones[#All],5,0),"")</f>
        <v/>
      </c>
      <c r="F1892" t="str">
        <f>+IFERROR(VLOOKUP(Fact_Control_Operaciones[[#This Row], 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ht="18.75" customHeight="1" x14ac:dyDescent="0.35">
      <c r="C1893" s="100" t="str">
        <f>IF(OR(Fact_Control_Operaciones[[#This Row], [Año]]="",Fact_Control_Operaciones[[#This Row], 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 [Concepto Anterior]],Conceptos_Control_Operaciones[#All],5,0),"")</f>
        <v/>
      </c>
      <c r="F1893" t="str">
        <f>+IFERROR(VLOOKUP(Fact_Control_Operaciones[[#This Row], 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ht="18.75" customHeight="1" x14ac:dyDescent="0.35">
      <c r="C1894" s="100" t="str">
        <f>IF(OR(Fact_Control_Operaciones[[#This Row], [Año]]="",Fact_Control_Operaciones[[#This Row], 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 [Concepto Anterior]],Conceptos_Control_Operaciones[#All],5,0),"")</f>
        <v/>
      </c>
      <c r="F1894" t="str">
        <f>+IFERROR(VLOOKUP(Fact_Control_Operaciones[[#This Row], 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ht="18.75" customHeight="1" x14ac:dyDescent="0.35">
      <c r="C1895" s="100" t="str">
        <f>IF(OR(Fact_Control_Operaciones[[#This Row], [Año]]="",Fact_Control_Operaciones[[#This Row], 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 [Concepto Anterior]],Conceptos_Control_Operaciones[#All],5,0),"")</f>
        <v/>
      </c>
      <c r="F1895" t="str">
        <f>+IFERROR(VLOOKUP(Fact_Control_Operaciones[[#This Row], 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ht="18.75" customHeight="1" x14ac:dyDescent="0.35">
      <c r="C1896" s="100" t="str">
        <f>IF(OR(Fact_Control_Operaciones[[#This Row], [Año]]="",Fact_Control_Operaciones[[#This Row], 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 [Concepto Anterior]],Conceptos_Control_Operaciones[#All],5,0),"")</f>
        <v/>
      </c>
      <c r="F1896" t="str">
        <f>+IFERROR(VLOOKUP(Fact_Control_Operaciones[[#This Row], 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ht="18.75" customHeight="1" x14ac:dyDescent="0.35">
      <c r="C1897" s="100" t="str">
        <f>IF(OR(Fact_Control_Operaciones[[#This Row], [Año]]="",Fact_Control_Operaciones[[#This Row], 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 [Concepto Anterior]],Conceptos_Control_Operaciones[#All],5,0),"")</f>
        <v/>
      </c>
      <c r="F1897" t="str">
        <f>+IFERROR(VLOOKUP(Fact_Control_Operaciones[[#This Row], 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ht="18.75" customHeight="1" x14ac:dyDescent="0.35">
      <c r="C1898" s="100" t="str">
        <f>IF(OR(Fact_Control_Operaciones[[#This Row], [Año]]="",Fact_Control_Operaciones[[#This Row], 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 [Concepto Anterior]],Conceptos_Control_Operaciones[#All],5,0),"")</f>
        <v/>
      </c>
      <c r="F1898" t="str">
        <f>+IFERROR(VLOOKUP(Fact_Control_Operaciones[[#This Row], 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ht="18.75" customHeight="1" x14ac:dyDescent="0.35">
      <c r="C1899" s="100" t="str">
        <f>IF(OR(Fact_Control_Operaciones[[#This Row], [Año]]="",Fact_Control_Operaciones[[#This Row], 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 [Concepto Anterior]],Conceptos_Control_Operaciones[#All],5,0),"")</f>
        <v/>
      </c>
      <c r="F1899" t="str">
        <f>+IFERROR(VLOOKUP(Fact_Control_Operaciones[[#This Row], 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ht="18.75" customHeight="1" x14ac:dyDescent="0.35">
      <c r="C1900" s="100" t="str">
        <f>IF(OR(Fact_Control_Operaciones[[#This Row], [Año]]="",Fact_Control_Operaciones[[#This Row], 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 [Concepto Anterior]],Conceptos_Control_Operaciones[#All],5,0),"")</f>
        <v/>
      </c>
      <c r="F1900" t="str">
        <f>+IFERROR(VLOOKUP(Fact_Control_Operaciones[[#This Row], 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ht="18.75" customHeight="1" x14ac:dyDescent="0.35">
      <c r="C1901" s="100" t="str">
        <f>IF(OR(Fact_Control_Operaciones[[#This Row], [Año]]="",Fact_Control_Operaciones[[#This Row], 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 [Concepto Anterior]],Conceptos_Control_Operaciones[#All],5,0),"")</f>
        <v/>
      </c>
      <c r="F1901" t="str">
        <f>+IFERROR(VLOOKUP(Fact_Control_Operaciones[[#This Row], 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ht="18.75" customHeight="1" x14ac:dyDescent="0.35">
      <c r="C1902" s="100" t="str">
        <f>IF(OR(Fact_Control_Operaciones[[#This Row], [Año]]="",Fact_Control_Operaciones[[#This Row], 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 [Concepto Anterior]],Conceptos_Control_Operaciones[#All],5,0),"")</f>
        <v/>
      </c>
      <c r="F1902" t="str">
        <f>+IFERROR(VLOOKUP(Fact_Control_Operaciones[[#This Row], 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ht="18.75" customHeight="1" x14ac:dyDescent="0.35">
      <c r="C1903" s="100" t="str">
        <f>IF(OR(Fact_Control_Operaciones[[#This Row], [Año]]="",Fact_Control_Operaciones[[#This Row], 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 [Concepto Anterior]],Conceptos_Control_Operaciones[#All],5,0),"")</f>
        <v/>
      </c>
      <c r="F1903" t="str">
        <f>+IFERROR(VLOOKUP(Fact_Control_Operaciones[[#This Row], 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ht="18.75" customHeight="1" x14ac:dyDescent="0.35">
      <c r="C1904" s="100" t="str">
        <f>IF(OR(Fact_Control_Operaciones[[#This Row], [Año]]="",Fact_Control_Operaciones[[#This Row], 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 [Concepto Anterior]],Conceptos_Control_Operaciones[#All],5,0),"")</f>
        <v/>
      </c>
      <c r="F1904" t="str">
        <f>+IFERROR(VLOOKUP(Fact_Control_Operaciones[[#This Row], 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ht="18.75" customHeight="1" x14ac:dyDescent="0.35">
      <c r="C1905" s="100" t="str">
        <f>IF(OR(Fact_Control_Operaciones[[#This Row], [Año]]="",Fact_Control_Operaciones[[#This Row], 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 [Concepto Anterior]],Conceptos_Control_Operaciones[#All],5,0),"")</f>
        <v/>
      </c>
      <c r="F1905" t="str">
        <f>+IFERROR(VLOOKUP(Fact_Control_Operaciones[[#This Row], 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ht="18.75" customHeight="1" x14ac:dyDescent="0.35">
      <c r="C1906" s="100" t="str">
        <f>IF(OR(Fact_Control_Operaciones[[#This Row], [Año]]="",Fact_Control_Operaciones[[#This Row], 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 [Concepto Anterior]],Conceptos_Control_Operaciones[#All],5,0),"")</f>
        <v/>
      </c>
      <c r="F1906" t="str">
        <f>+IFERROR(VLOOKUP(Fact_Control_Operaciones[[#This Row], 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ht="18.75" customHeight="1" x14ac:dyDescent="0.35">
      <c r="C1907" s="100" t="str">
        <f>IF(OR(Fact_Control_Operaciones[[#This Row], [Año]]="",Fact_Control_Operaciones[[#This Row], 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 [Concepto Anterior]],Conceptos_Control_Operaciones[#All],5,0),"")</f>
        <v/>
      </c>
      <c r="F1907" t="str">
        <f>+IFERROR(VLOOKUP(Fact_Control_Operaciones[[#This Row], 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ht="18.75" customHeight="1" x14ac:dyDescent="0.35">
      <c r="C1908" s="100" t="str">
        <f>IF(OR(Fact_Control_Operaciones[[#This Row], [Año]]="",Fact_Control_Operaciones[[#This Row], 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 [Concepto Anterior]],Conceptos_Control_Operaciones[#All],5,0),"")</f>
        <v/>
      </c>
      <c r="F1908" t="str">
        <f>+IFERROR(VLOOKUP(Fact_Control_Operaciones[[#This Row], 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ht="18.75" customHeight="1" x14ac:dyDescent="0.35">
      <c r="C1909" s="100" t="str">
        <f>IF(OR(Fact_Control_Operaciones[[#This Row], [Año]]="",Fact_Control_Operaciones[[#This Row], 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 [Concepto Anterior]],Conceptos_Control_Operaciones[#All],5,0),"")</f>
        <v/>
      </c>
      <c r="F1909" t="str">
        <f>+IFERROR(VLOOKUP(Fact_Control_Operaciones[[#This Row], 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ht="18.75" customHeight="1" x14ac:dyDescent="0.35">
      <c r="C1910" s="100" t="str">
        <f>IF(OR(Fact_Control_Operaciones[[#This Row], [Año]]="",Fact_Control_Operaciones[[#This Row], 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 [Concepto Anterior]],Conceptos_Control_Operaciones[#All],5,0),"")</f>
        <v/>
      </c>
      <c r="F1910" t="str">
        <f>+IFERROR(VLOOKUP(Fact_Control_Operaciones[[#This Row], 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ht="18.75" customHeight="1" x14ac:dyDescent="0.35">
      <c r="C1911" s="100" t="str">
        <f>IF(OR(Fact_Control_Operaciones[[#This Row], [Año]]="",Fact_Control_Operaciones[[#This Row], 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 [Concepto Anterior]],Conceptos_Control_Operaciones[#All],5,0),"")</f>
        <v/>
      </c>
      <c r="F1911" t="str">
        <f>+IFERROR(VLOOKUP(Fact_Control_Operaciones[[#This Row], 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ht="18.75" customHeight="1" x14ac:dyDescent="0.35">
      <c r="C1912" s="100" t="str">
        <f>IF(OR(Fact_Control_Operaciones[[#This Row], [Año]]="",Fact_Control_Operaciones[[#This Row], 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 [Concepto Anterior]],Conceptos_Control_Operaciones[#All],5,0),"")</f>
        <v/>
      </c>
      <c r="F1912" t="str">
        <f>+IFERROR(VLOOKUP(Fact_Control_Operaciones[[#This Row], 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ht="18.75" customHeight="1" x14ac:dyDescent="0.35">
      <c r="C1913" s="100" t="str">
        <f>IF(OR(Fact_Control_Operaciones[[#This Row], [Año]]="",Fact_Control_Operaciones[[#This Row], 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 [Concepto Anterior]],Conceptos_Control_Operaciones[#All],5,0),"")</f>
        <v/>
      </c>
      <c r="F1913" t="str">
        <f>+IFERROR(VLOOKUP(Fact_Control_Operaciones[[#This Row], 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ht="18.75" customHeight="1" x14ac:dyDescent="0.35">
      <c r="C1914" s="100" t="str">
        <f>IF(OR(Fact_Control_Operaciones[[#This Row], [Año]]="",Fact_Control_Operaciones[[#This Row], 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 [Concepto Anterior]],Conceptos_Control_Operaciones[#All],5,0),"")</f>
        <v/>
      </c>
      <c r="F1914" t="str">
        <f>+IFERROR(VLOOKUP(Fact_Control_Operaciones[[#This Row], 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ht="18.75" customHeight="1" x14ac:dyDescent="0.35">
      <c r="C1915" s="100" t="str">
        <f>IF(OR(Fact_Control_Operaciones[[#This Row], [Año]]="",Fact_Control_Operaciones[[#This Row], 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 [Concepto Anterior]],Conceptos_Control_Operaciones[#All],5,0),"")</f>
        <v/>
      </c>
      <c r="F1915" t="str">
        <f>+IFERROR(VLOOKUP(Fact_Control_Operaciones[[#This Row], 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ht="18.75" customHeight="1" x14ac:dyDescent="0.35">
      <c r="C1916" s="100" t="str">
        <f>IF(OR(Fact_Control_Operaciones[[#This Row], [Año]]="",Fact_Control_Operaciones[[#This Row], 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 [Concepto Anterior]],Conceptos_Control_Operaciones[#All],5,0),"")</f>
        <v/>
      </c>
      <c r="F1916" t="str">
        <f>+IFERROR(VLOOKUP(Fact_Control_Operaciones[[#This Row], 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ht="18.75" customHeight="1" x14ac:dyDescent="0.35">
      <c r="C1917" s="100" t="str">
        <f>IF(OR(Fact_Control_Operaciones[[#This Row], [Año]]="",Fact_Control_Operaciones[[#This Row], 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 [Concepto Anterior]],Conceptos_Control_Operaciones[#All],5,0),"")</f>
        <v/>
      </c>
      <c r="F1917" t="str">
        <f>+IFERROR(VLOOKUP(Fact_Control_Operaciones[[#This Row], 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ht="18.75" customHeight="1" x14ac:dyDescent="0.35">
      <c r="C1918" s="100" t="str">
        <f>IF(OR(Fact_Control_Operaciones[[#This Row], [Año]]="",Fact_Control_Operaciones[[#This Row], 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 [Concepto Anterior]],Conceptos_Control_Operaciones[#All],5,0),"")</f>
        <v/>
      </c>
      <c r="F1918" t="str">
        <f>+IFERROR(VLOOKUP(Fact_Control_Operaciones[[#This Row], 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ht="18.75" customHeight="1" x14ac:dyDescent="0.35">
      <c r="C1919" s="100" t="str">
        <f>IF(OR(Fact_Control_Operaciones[[#This Row], [Año]]="",Fact_Control_Operaciones[[#This Row], 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 [Concepto Anterior]],Conceptos_Control_Operaciones[#All],5,0),"")</f>
        <v/>
      </c>
      <c r="F1919" t="str">
        <f>+IFERROR(VLOOKUP(Fact_Control_Operaciones[[#This Row], 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ht="18.75" customHeight="1" x14ac:dyDescent="0.35">
      <c r="C1920" s="100" t="str">
        <f>IF(OR(Fact_Control_Operaciones[[#This Row], [Año]]="",Fact_Control_Operaciones[[#This Row], 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 [Concepto Anterior]],Conceptos_Control_Operaciones[#All],5,0),"")</f>
        <v/>
      </c>
      <c r="F1920" t="str">
        <f>+IFERROR(VLOOKUP(Fact_Control_Operaciones[[#This Row], 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ht="18.75" customHeight="1" x14ac:dyDescent="0.35">
      <c r="C1921" s="100" t="str">
        <f>IF(OR(Fact_Control_Operaciones[[#This Row], [Año]]="",Fact_Control_Operaciones[[#This Row], 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 [Concepto Anterior]],Conceptos_Control_Operaciones[#All],5,0),"")</f>
        <v/>
      </c>
      <c r="F1921" t="str">
        <f>+IFERROR(VLOOKUP(Fact_Control_Operaciones[[#This Row], 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ht="18.75" customHeight="1" x14ac:dyDescent="0.35">
      <c r="C1922" s="100" t="str">
        <f>IF(OR(Fact_Control_Operaciones[[#This Row], [Año]]="",Fact_Control_Operaciones[[#This Row], 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 [Concepto Anterior]],Conceptos_Control_Operaciones[#All],5,0),"")</f>
        <v/>
      </c>
      <c r="F1922" t="str">
        <f>+IFERROR(VLOOKUP(Fact_Control_Operaciones[[#This Row], 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ht="18.75" customHeight="1" x14ac:dyDescent="0.35">
      <c r="C1923" s="100" t="str">
        <f>IF(OR(Fact_Control_Operaciones[[#This Row], [Año]]="",Fact_Control_Operaciones[[#This Row], 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 [Concepto Anterior]],Conceptos_Control_Operaciones[#All],5,0),"")</f>
        <v/>
      </c>
      <c r="F1923" t="str">
        <f>+IFERROR(VLOOKUP(Fact_Control_Operaciones[[#This Row], 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ht="18.75" customHeight="1" x14ac:dyDescent="0.35">
      <c r="C1924" s="100" t="str">
        <f>IF(OR(Fact_Control_Operaciones[[#This Row], [Año]]="",Fact_Control_Operaciones[[#This Row], 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 [Concepto Anterior]],Conceptos_Control_Operaciones[#All],5,0),"")</f>
        <v/>
      </c>
      <c r="F1924" t="str">
        <f>+IFERROR(VLOOKUP(Fact_Control_Operaciones[[#This Row], 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ht="18.75" customHeight="1" x14ac:dyDescent="0.35">
      <c r="C1925" s="100" t="str">
        <f>IF(OR(Fact_Control_Operaciones[[#This Row], [Año]]="",Fact_Control_Operaciones[[#This Row], 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 [Concepto Anterior]],Conceptos_Control_Operaciones[#All],5,0),"")</f>
        <v/>
      </c>
      <c r="F1925" t="str">
        <f>+IFERROR(VLOOKUP(Fact_Control_Operaciones[[#This Row], 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ht="18.75" customHeight="1" x14ac:dyDescent="0.35">
      <c r="C1926" s="100" t="str">
        <f>IF(OR(Fact_Control_Operaciones[[#This Row], [Año]]="",Fact_Control_Operaciones[[#This Row], 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 [Concepto Anterior]],Conceptos_Control_Operaciones[#All],5,0),"")</f>
        <v/>
      </c>
      <c r="F1926" t="str">
        <f>+IFERROR(VLOOKUP(Fact_Control_Operaciones[[#This Row], 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ht="18.75" customHeight="1" x14ac:dyDescent="0.35">
      <c r="C1927" s="100" t="str">
        <f>IF(OR(Fact_Control_Operaciones[[#This Row], [Año]]="",Fact_Control_Operaciones[[#This Row], 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 [Concepto Anterior]],Conceptos_Control_Operaciones[#All],5,0),"")</f>
        <v/>
      </c>
      <c r="F1927" t="str">
        <f>+IFERROR(VLOOKUP(Fact_Control_Operaciones[[#This Row], 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ht="18.75" customHeight="1" x14ac:dyDescent="0.35">
      <c r="C1928" s="100" t="str">
        <f>IF(OR(Fact_Control_Operaciones[[#This Row], [Año]]="",Fact_Control_Operaciones[[#This Row], 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 [Concepto Anterior]],Conceptos_Control_Operaciones[#All],5,0),"")</f>
        <v/>
      </c>
      <c r="F1928" t="str">
        <f>+IFERROR(VLOOKUP(Fact_Control_Operaciones[[#This Row], 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ht="18.75" customHeight="1" x14ac:dyDescent="0.35">
      <c r="C1929" s="100" t="str">
        <f>IF(OR(Fact_Control_Operaciones[[#This Row], [Año]]="",Fact_Control_Operaciones[[#This Row], 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 [Concepto Anterior]],Conceptos_Control_Operaciones[#All],5,0),"")</f>
        <v/>
      </c>
      <c r="F1929" t="str">
        <f>+IFERROR(VLOOKUP(Fact_Control_Operaciones[[#This Row], 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ht="18.75" customHeight="1" x14ac:dyDescent="0.35">
      <c r="C1930" s="100" t="str">
        <f>IF(OR(Fact_Control_Operaciones[[#This Row], [Año]]="",Fact_Control_Operaciones[[#This Row], 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 [Concepto Anterior]],Conceptos_Control_Operaciones[#All],5,0),"")</f>
        <v/>
      </c>
      <c r="F1930" t="str">
        <f>+IFERROR(VLOOKUP(Fact_Control_Operaciones[[#This Row], 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ht="18.75" customHeight="1" x14ac:dyDescent="0.35">
      <c r="C1931" s="100" t="str">
        <f>IF(OR(Fact_Control_Operaciones[[#This Row], [Año]]="",Fact_Control_Operaciones[[#This Row], 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 [Concepto Anterior]],Conceptos_Control_Operaciones[#All],5,0),"")</f>
        <v/>
      </c>
      <c r="F1931" t="str">
        <f>+IFERROR(VLOOKUP(Fact_Control_Operaciones[[#This Row], 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ht="18.75" customHeight="1" x14ac:dyDescent="0.35">
      <c r="C1932" s="100" t="str">
        <f>IF(OR(Fact_Control_Operaciones[[#This Row], [Año]]="",Fact_Control_Operaciones[[#This Row], 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 [Concepto Anterior]],Conceptos_Control_Operaciones[#All],5,0),"")</f>
        <v/>
      </c>
      <c r="F1932" t="str">
        <f>+IFERROR(VLOOKUP(Fact_Control_Operaciones[[#This Row], 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ht="18.75" customHeight="1" x14ac:dyDescent="0.35">
      <c r="C1933" s="100" t="str">
        <f>IF(OR(Fact_Control_Operaciones[[#This Row], [Año]]="",Fact_Control_Operaciones[[#This Row], 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 [Concepto Anterior]],Conceptos_Control_Operaciones[#All],5,0),"")</f>
        <v/>
      </c>
      <c r="F1933" t="str">
        <f>+IFERROR(VLOOKUP(Fact_Control_Operaciones[[#This Row], 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ht="18.75" customHeight="1" x14ac:dyDescent="0.35">
      <c r="C1934" s="100" t="str">
        <f>IF(OR(Fact_Control_Operaciones[[#This Row], [Año]]="",Fact_Control_Operaciones[[#This Row], 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 [Concepto Anterior]],Conceptos_Control_Operaciones[#All],5,0),"")</f>
        <v/>
      </c>
      <c r="F1934" t="str">
        <f>+IFERROR(VLOOKUP(Fact_Control_Operaciones[[#This Row], 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ht="18.75" customHeight="1" x14ac:dyDescent="0.35">
      <c r="C1935" s="100" t="str">
        <f>IF(OR(Fact_Control_Operaciones[[#This Row], [Año]]="",Fact_Control_Operaciones[[#This Row], 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 [Concepto Anterior]],Conceptos_Control_Operaciones[#All],5,0),"")</f>
        <v/>
      </c>
      <c r="F1935" t="str">
        <f>+IFERROR(VLOOKUP(Fact_Control_Operaciones[[#This Row], 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ht="18.75" customHeight="1" x14ac:dyDescent="0.35">
      <c r="C1936" s="100" t="str">
        <f>IF(OR(Fact_Control_Operaciones[[#This Row], [Año]]="",Fact_Control_Operaciones[[#This Row], 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 [Concepto Anterior]],Conceptos_Control_Operaciones[#All],5,0),"")</f>
        <v/>
      </c>
      <c r="F1936" t="str">
        <f>+IFERROR(VLOOKUP(Fact_Control_Operaciones[[#This Row], 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ht="18.75" customHeight="1" x14ac:dyDescent="0.35">
      <c r="C1937" s="100" t="str">
        <f>IF(OR(Fact_Control_Operaciones[[#This Row], [Año]]="",Fact_Control_Operaciones[[#This Row], 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 [Concepto Anterior]],Conceptos_Control_Operaciones[#All],5,0),"")</f>
        <v/>
      </c>
      <c r="F1937" t="str">
        <f>+IFERROR(VLOOKUP(Fact_Control_Operaciones[[#This Row], 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ht="18.75" customHeight="1" x14ac:dyDescent="0.35">
      <c r="C1938" s="100" t="str">
        <f>IF(OR(Fact_Control_Operaciones[[#This Row], [Año]]="",Fact_Control_Operaciones[[#This Row], 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 [Concepto Anterior]],Conceptos_Control_Operaciones[#All],5,0),"")</f>
        <v/>
      </c>
      <c r="F1938" t="str">
        <f>+IFERROR(VLOOKUP(Fact_Control_Operaciones[[#This Row], 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ht="18.75" customHeight="1" x14ac:dyDescent="0.35">
      <c r="C1939" s="100" t="str">
        <f>IF(OR(Fact_Control_Operaciones[[#This Row], [Año]]="",Fact_Control_Operaciones[[#This Row], 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 [Concepto Anterior]],Conceptos_Control_Operaciones[#All],5,0),"")</f>
        <v/>
      </c>
      <c r="F1939" t="str">
        <f>+IFERROR(VLOOKUP(Fact_Control_Operaciones[[#This Row], 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ht="18.75" customHeight="1" x14ac:dyDescent="0.35">
      <c r="C1940" s="100" t="str">
        <f>IF(OR(Fact_Control_Operaciones[[#This Row], [Año]]="",Fact_Control_Operaciones[[#This Row], 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 [Concepto Anterior]],Conceptos_Control_Operaciones[#All],5,0),"")</f>
        <v/>
      </c>
      <c r="F1940" t="str">
        <f>+IFERROR(VLOOKUP(Fact_Control_Operaciones[[#This Row], 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ht="18.75" customHeight="1" x14ac:dyDescent="0.35">
      <c r="C1941" s="100" t="str">
        <f>IF(OR(Fact_Control_Operaciones[[#This Row], [Año]]="",Fact_Control_Operaciones[[#This Row], 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 [Concepto Anterior]],Conceptos_Control_Operaciones[#All],5,0),"")</f>
        <v/>
      </c>
      <c r="F1941" t="str">
        <f>+IFERROR(VLOOKUP(Fact_Control_Operaciones[[#This Row], 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ht="18.75" customHeight="1" x14ac:dyDescent="0.35">
      <c r="C1942" s="100" t="str">
        <f>IF(OR(Fact_Control_Operaciones[[#This Row], [Año]]="",Fact_Control_Operaciones[[#This Row], 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 [Concepto Anterior]],Conceptos_Control_Operaciones[#All],5,0),"")</f>
        <v/>
      </c>
      <c r="F1942" t="str">
        <f>+IFERROR(VLOOKUP(Fact_Control_Operaciones[[#This Row], 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ht="18.75" customHeight="1" x14ac:dyDescent="0.35">
      <c r="C1943" s="100" t="str">
        <f>IF(OR(Fact_Control_Operaciones[[#This Row], [Año]]="",Fact_Control_Operaciones[[#This Row], 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 [Concepto Anterior]],Conceptos_Control_Operaciones[#All],5,0),"")</f>
        <v/>
      </c>
      <c r="F1943" t="str">
        <f>+IFERROR(VLOOKUP(Fact_Control_Operaciones[[#This Row], 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ht="18.75" customHeight="1" x14ac:dyDescent="0.35">
      <c r="C1944" s="100" t="str">
        <f>IF(OR(Fact_Control_Operaciones[[#This Row], [Año]]="",Fact_Control_Operaciones[[#This Row], 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 [Concepto Anterior]],Conceptos_Control_Operaciones[#All],5,0),"")</f>
        <v/>
      </c>
      <c r="F1944" t="str">
        <f>+IFERROR(VLOOKUP(Fact_Control_Operaciones[[#This Row], 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ht="18.75" customHeight="1" x14ac:dyDescent="0.35">
      <c r="C1945" s="100" t="str">
        <f>IF(OR(Fact_Control_Operaciones[[#This Row], [Año]]="",Fact_Control_Operaciones[[#This Row], 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 [Concepto Anterior]],Conceptos_Control_Operaciones[#All],5,0),"")</f>
        <v/>
      </c>
      <c r="F1945" t="str">
        <f>+IFERROR(VLOOKUP(Fact_Control_Operaciones[[#This Row], 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ht="18.75" customHeight="1" x14ac:dyDescent="0.35">
      <c r="C1946" s="100" t="str">
        <f>IF(OR(Fact_Control_Operaciones[[#This Row], [Año]]="",Fact_Control_Operaciones[[#This Row], 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 [Concepto Anterior]],Conceptos_Control_Operaciones[#All],5,0),"")</f>
        <v/>
      </c>
      <c r="F1946" t="str">
        <f>+IFERROR(VLOOKUP(Fact_Control_Operaciones[[#This Row], 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ht="18.75" customHeight="1" x14ac:dyDescent="0.35">
      <c r="C1947" s="100" t="str">
        <f>IF(OR(Fact_Control_Operaciones[[#This Row], [Año]]="",Fact_Control_Operaciones[[#This Row], 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 [Concepto Anterior]],Conceptos_Control_Operaciones[#All],5,0),"")</f>
        <v/>
      </c>
      <c r="F1947" t="str">
        <f>+IFERROR(VLOOKUP(Fact_Control_Operaciones[[#This Row], 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ht="18.75" customHeight="1" x14ac:dyDescent="0.35">
      <c r="C1948" s="100" t="str">
        <f>IF(OR(Fact_Control_Operaciones[[#This Row], [Año]]="",Fact_Control_Operaciones[[#This Row], 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 [Concepto Anterior]],Conceptos_Control_Operaciones[#All],5,0),"")</f>
        <v/>
      </c>
      <c r="F1948" t="str">
        <f>+IFERROR(VLOOKUP(Fact_Control_Operaciones[[#This Row], 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ht="18.75" customHeight="1" x14ac:dyDescent="0.35">
      <c r="C1949" s="100" t="str">
        <f>IF(OR(Fact_Control_Operaciones[[#This Row], [Año]]="",Fact_Control_Operaciones[[#This Row], 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 [Concepto Anterior]],Conceptos_Control_Operaciones[#All],5,0),"")</f>
        <v/>
      </c>
      <c r="F1949" t="str">
        <f>+IFERROR(VLOOKUP(Fact_Control_Operaciones[[#This Row], 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ht="18.75" customHeight="1" x14ac:dyDescent="0.35">
      <c r="C1950" s="100" t="str">
        <f>IF(OR(Fact_Control_Operaciones[[#This Row], [Año]]="",Fact_Control_Operaciones[[#This Row], 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 [Concepto Anterior]],Conceptos_Control_Operaciones[#All],5,0),"")</f>
        <v/>
      </c>
      <c r="F1950" t="str">
        <f>+IFERROR(VLOOKUP(Fact_Control_Operaciones[[#This Row], 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ht="18.75" customHeight="1" x14ac:dyDescent="0.35">
      <c r="C1951" s="100" t="str">
        <f>IF(OR(Fact_Control_Operaciones[[#This Row], [Año]]="",Fact_Control_Operaciones[[#This Row], 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 [Concepto Anterior]],Conceptos_Control_Operaciones[#All],5,0),"")</f>
        <v/>
      </c>
      <c r="F1951" t="str">
        <f>+IFERROR(VLOOKUP(Fact_Control_Operaciones[[#This Row], 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ht="18.75" customHeight="1" x14ac:dyDescent="0.35">
      <c r="C1952" s="100" t="str">
        <f>IF(OR(Fact_Control_Operaciones[[#This Row], [Año]]="",Fact_Control_Operaciones[[#This Row], 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 [Concepto Anterior]],Conceptos_Control_Operaciones[#All],5,0),"")</f>
        <v/>
      </c>
      <c r="F1952" t="str">
        <f>+IFERROR(VLOOKUP(Fact_Control_Operaciones[[#This Row], 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ht="18.75" customHeight="1" x14ac:dyDescent="0.35">
      <c r="C1953" s="100" t="str">
        <f>IF(OR(Fact_Control_Operaciones[[#This Row], [Año]]="",Fact_Control_Operaciones[[#This Row], 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 [Concepto Anterior]],Conceptos_Control_Operaciones[#All],5,0),"")</f>
        <v/>
      </c>
      <c r="F1953" t="str">
        <f>+IFERROR(VLOOKUP(Fact_Control_Operaciones[[#This Row], 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ht="18.75" customHeight="1" x14ac:dyDescent="0.35">
      <c r="C1954" s="100" t="str">
        <f>IF(OR(Fact_Control_Operaciones[[#This Row], [Año]]="",Fact_Control_Operaciones[[#This Row], 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 [Concepto Anterior]],Conceptos_Control_Operaciones[#All],5,0),"")</f>
        <v/>
      </c>
      <c r="F1954" t="str">
        <f>+IFERROR(VLOOKUP(Fact_Control_Operaciones[[#This Row], 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ht="18.75" customHeight="1" x14ac:dyDescent="0.35">
      <c r="C1955" s="100" t="str">
        <f>IF(OR(Fact_Control_Operaciones[[#This Row], [Año]]="",Fact_Control_Operaciones[[#This Row], 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 [Concepto Anterior]],Conceptos_Control_Operaciones[#All],5,0),"")</f>
        <v/>
      </c>
      <c r="F1955" t="str">
        <f>+IFERROR(VLOOKUP(Fact_Control_Operaciones[[#This Row], 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ht="18.75" customHeight="1" x14ac:dyDescent="0.35">
      <c r="C1956" s="100" t="str">
        <f>IF(OR(Fact_Control_Operaciones[[#This Row], [Año]]="",Fact_Control_Operaciones[[#This Row], 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 [Concepto Anterior]],Conceptos_Control_Operaciones[#All],5,0),"")</f>
        <v/>
      </c>
      <c r="F1956" t="str">
        <f>+IFERROR(VLOOKUP(Fact_Control_Operaciones[[#This Row], 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ht="18.75" customHeight="1" x14ac:dyDescent="0.35">
      <c r="C1957" s="100" t="str">
        <f>IF(OR(Fact_Control_Operaciones[[#This Row], [Año]]="",Fact_Control_Operaciones[[#This Row], 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 [Concepto Anterior]],Conceptos_Control_Operaciones[#All],5,0),"")</f>
        <v/>
      </c>
      <c r="F1957" t="str">
        <f>+IFERROR(VLOOKUP(Fact_Control_Operaciones[[#This Row], 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ht="18.75" customHeight="1" x14ac:dyDescent="0.35">
      <c r="C1958" s="100" t="str">
        <f>IF(OR(Fact_Control_Operaciones[[#This Row], [Año]]="",Fact_Control_Operaciones[[#This Row], 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 [Concepto Anterior]],Conceptos_Control_Operaciones[#All],5,0),"")</f>
        <v/>
      </c>
      <c r="F1958" t="str">
        <f>+IFERROR(VLOOKUP(Fact_Control_Operaciones[[#This Row], 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ht="18.75" customHeight="1" x14ac:dyDescent="0.35">
      <c r="C1959" s="100" t="str">
        <f>IF(OR(Fact_Control_Operaciones[[#This Row], [Año]]="",Fact_Control_Operaciones[[#This Row], 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 [Concepto Anterior]],Conceptos_Control_Operaciones[#All],5,0),"")</f>
        <v/>
      </c>
      <c r="F1959" t="str">
        <f>+IFERROR(VLOOKUP(Fact_Control_Operaciones[[#This Row], 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ht="18.75" customHeight="1" x14ac:dyDescent="0.35">
      <c r="C1960" s="100" t="str">
        <f>IF(OR(Fact_Control_Operaciones[[#This Row], [Año]]="",Fact_Control_Operaciones[[#This Row], 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 [Concepto Anterior]],Conceptos_Control_Operaciones[#All],5,0),"")</f>
        <v/>
      </c>
      <c r="F1960" t="str">
        <f>+IFERROR(VLOOKUP(Fact_Control_Operaciones[[#This Row], 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ht="18.75" customHeight="1" x14ac:dyDescent="0.35">
      <c r="C1961" s="100" t="str">
        <f>IF(OR(Fact_Control_Operaciones[[#This Row], [Año]]="",Fact_Control_Operaciones[[#This Row], 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 [Concepto Anterior]],Conceptos_Control_Operaciones[#All],5,0),"")</f>
        <v/>
      </c>
      <c r="F1961" t="str">
        <f>+IFERROR(VLOOKUP(Fact_Control_Operaciones[[#This Row], 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ht="18.75" customHeight="1" x14ac:dyDescent="0.35">
      <c r="C1962" s="100" t="str">
        <f>IF(OR(Fact_Control_Operaciones[[#This Row], [Año]]="",Fact_Control_Operaciones[[#This Row], 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 [Concepto Anterior]],Conceptos_Control_Operaciones[#All],5,0),"")</f>
        <v/>
      </c>
      <c r="F1962" t="str">
        <f>+IFERROR(VLOOKUP(Fact_Control_Operaciones[[#This Row], 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ht="18.75" customHeight="1" x14ac:dyDescent="0.35">
      <c r="C1963" s="100" t="str">
        <f>IF(OR(Fact_Control_Operaciones[[#This Row], [Año]]="",Fact_Control_Operaciones[[#This Row], 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 [Concepto Anterior]],Conceptos_Control_Operaciones[#All],5,0),"")</f>
        <v/>
      </c>
      <c r="F1963" t="str">
        <f>+IFERROR(VLOOKUP(Fact_Control_Operaciones[[#This Row], 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ht="18.75" customHeight="1" x14ac:dyDescent="0.35">
      <c r="C1964" s="100" t="str">
        <f>IF(OR(Fact_Control_Operaciones[[#This Row], [Año]]="",Fact_Control_Operaciones[[#This Row], 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 [Concepto Anterior]],Conceptos_Control_Operaciones[#All],5,0),"")</f>
        <v/>
      </c>
      <c r="F1964" t="str">
        <f>+IFERROR(VLOOKUP(Fact_Control_Operaciones[[#This Row], 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ht="18.75" customHeight="1" x14ac:dyDescent="0.35">
      <c r="C1965" s="100" t="str">
        <f>IF(OR(Fact_Control_Operaciones[[#This Row], [Año]]="",Fact_Control_Operaciones[[#This Row], 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 [Concepto Anterior]],Conceptos_Control_Operaciones[#All],5,0),"")</f>
        <v/>
      </c>
      <c r="F1965" t="str">
        <f>+IFERROR(VLOOKUP(Fact_Control_Operaciones[[#This Row], 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ht="18.75" customHeight="1" x14ac:dyDescent="0.35">
      <c r="C1966" s="100" t="str">
        <f>IF(OR(Fact_Control_Operaciones[[#This Row], [Año]]="",Fact_Control_Operaciones[[#This Row], 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 [Concepto Anterior]],Conceptos_Control_Operaciones[#All],5,0),"")</f>
        <v/>
      </c>
      <c r="F1966" t="str">
        <f>+IFERROR(VLOOKUP(Fact_Control_Operaciones[[#This Row], 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ht="18.75" customHeight="1" x14ac:dyDescent="0.35">
      <c r="C1967" s="100" t="str">
        <f>IF(OR(Fact_Control_Operaciones[[#This Row], [Año]]="",Fact_Control_Operaciones[[#This Row], 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 [Concepto Anterior]],Conceptos_Control_Operaciones[#All],5,0),"")</f>
        <v/>
      </c>
      <c r="F1967" t="str">
        <f>+IFERROR(VLOOKUP(Fact_Control_Operaciones[[#This Row], 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ht="18.75" customHeight="1" x14ac:dyDescent="0.35">
      <c r="C1968" s="100" t="str">
        <f>IF(OR(Fact_Control_Operaciones[[#This Row], [Año]]="",Fact_Control_Operaciones[[#This Row], 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 [Concepto Anterior]],Conceptos_Control_Operaciones[#All],5,0),"")</f>
        <v/>
      </c>
      <c r="F1968" t="str">
        <f>+IFERROR(VLOOKUP(Fact_Control_Operaciones[[#This Row], 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ht="18.75" customHeight="1" x14ac:dyDescent="0.35">
      <c r="C1969" s="100" t="str">
        <f>IF(OR(Fact_Control_Operaciones[[#This Row], [Año]]="",Fact_Control_Operaciones[[#This Row], 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 [Concepto Anterior]],Conceptos_Control_Operaciones[#All],5,0),"")</f>
        <v/>
      </c>
      <c r="F1969" t="str">
        <f>+IFERROR(VLOOKUP(Fact_Control_Operaciones[[#This Row], 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ht="18.75" customHeight="1" x14ac:dyDescent="0.35">
      <c r="C1970" s="100" t="str">
        <f>IF(OR(Fact_Control_Operaciones[[#This Row], [Año]]="",Fact_Control_Operaciones[[#This Row], 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 [Concepto Anterior]],Conceptos_Control_Operaciones[#All],5,0),"")</f>
        <v/>
      </c>
      <c r="F1970" t="str">
        <f>+IFERROR(VLOOKUP(Fact_Control_Operaciones[[#This Row], 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ht="18.75" customHeight="1" x14ac:dyDescent="0.35">
      <c r="C1971" s="100" t="str">
        <f>IF(OR(Fact_Control_Operaciones[[#This Row], [Año]]="",Fact_Control_Operaciones[[#This Row], 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 [Concepto Anterior]],Conceptos_Control_Operaciones[#All],5,0),"")</f>
        <v/>
      </c>
      <c r="F1971" t="str">
        <f>+IFERROR(VLOOKUP(Fact_Control_Operaciones[[#This Row], 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ht="18.75" customHeight="1" x14ac:dyDescent="0.35">
      <c r="C1972" s="100" t="str">
        <f>IF(OR(Fact_Control_Operaciones[[#This Row], [Año]]="",Fact_Control_Operaciones[[#This Row], 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 [Concepto Anterior]],Conceptos_Control_Operaciones[#All],5,0),"")</f>
        <v/>
      </c>
      <c r="F1972" t="str">
        <f>+IFERROR(VLOOKUP(Fact_Control_Operaciones[[#This Row], 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ht="18.75" customHeight="1" x14ac:dyDescent="0.35">
      <c r="C1973" s="100" t="str">
        <f>IF(OR(Fact_Control_Operaciones[[#This Row], [Año]]="",Fact_Control_Operaciones[[#This Row], 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 [Concepto Anterior]],Conceptos_Control_Operaciones[#All],5,0),"")</f>
        <v/>
      </c>
      <c r="F1973" t="str">
        <f>+IFERROR(VLOOKUP(Fact_Control_Operaciones[[#This Row], 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ht="18.75" customHeight="1" x14ac:dyDescent="0.35">
      <c r="C1974" s="100" t="str">
        <f>IF(OR(Fact_Control_Operaciones[[#This Row], [Año]]="",Fact_Control_Operaciones[[#This Row], 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 [Concepto Anterior]],Conceptos_Control_Operaciones[#All],5,0),"")</f>
        <v/>
      </c>
      <c r="F1974" t="str">
        <f>+IFERROR(VLOOKUP(Fact_Control_Operaciones[[#This Row], 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ht="18.75" customHeight="1" x14ac:dyDescent="0.35">
      <c r="C1975" s="100" t="str">
        <f>IF(OR(Fact_Control_Operaciones[[#This Row], [Año]]="",Fact_Control_Operaciones[[#This Row], 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 [Concepto Anterior]],Conceptos_Control_Operaciones[#All],5,0),"")</f>
        <v/>
      </c>
      <c r="F1975" t="str">
        <f>+IFERROR(VLOOKUP(Fact_Control_Operaciones[[#This Row], 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ht="18.75" customHeight="1" x14ac:dyDescent="0.35">
      <c r="C1976" s="100" t="str">
        <f>IF(OR(Fact_Control_Operaciones[[#This Row], [Año]]="",Fact_Control_Operaciones[[#This Row], 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 [Concepto Anterior]],Conceptos_Control_Operaciones[#All],5,0),"")</f>
        <v/>
      </c>
      <c r="F1976" t="str">
        <f>+IFERROR(VLOOKUP(Fact_Control_Operaciones[[#This Row], 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ht="18.75" customHeight="1" x14ac:dyDescent="0.35">
      <c r="C1977" s="100" t="str">
        <f>IF(OR(Fact_Control_Operaciones[[#This Row], [Año]]="",Fact_Control_Operaciones[[#This Row], 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 [Concepto Anterior]],Conceptos_Control_Operaciones[#All],5,0),"")</f>
        <v/>
      </c>
      <c r="F1977" t="str">
        <f>+IFERROR(VLOOKUP(Fact_Control_Operaciones[[#This Row], 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ht="18.75" customHeight="1" x14ac:dyDescent="0.35">
      <c r="C1978" s="100" t="str">
        <f>IF(OR(Fact_Control_Operaciones[[#This Row], [Año]]="",Fact_Control_Operaciones[[#This Row], 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 [Concepto Anterior]],Conceptos_Control_Operaciones[#All],5,0),"")</f>
        <v/>
      </c>
      <c r="F1978" t="str">
        <f>+IFERROR(VLOOKUP(Fact_Control_Operaciones[[#This Row], 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ht="18.75" customHeight="1" x14ac:dyDescent="0.35">
      <c r="C1979" s="100" t="str">
        <f>IF(OR(Fact_Control_Operaciones[[#This Row], [Año]]="",Fact_Control_Operaciones[[#This Row], 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 [Concepto Anterior]],Conceptos_Control_Operaciones[#All],5,0),"")</f>
        <v/>
      </c>
      <c r="F1979" t="str">
        <f>+IFERROR(VLOOKUP(Fact_Control_Operaciones[[#This Row], 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ht="18.75" customHeight="1" x14ac:dyDescent="0.35">
      <c r="C1980" s="100" t="str">
        <f>IF(OR(Fact_Control_Operaciones[[#This Row], [Año]]="",Fact_Control_Operaciones[[#This Row], 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 [Concepto Anterior]],Conceptos_Control_Operaciones[#All],5,0),"")</f>
        <v/>
      </c>
      <c r="F1980" t="str">
        <f>+IFERROR(VLOOKUP(Fact_Control_Operaciones[[#This Row], 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ht="18.75" customHeight="1" x14ac:dyDescent="0.35">
      <c r="C1981" s="100" t="str">
        <f>IF(OR(Fact_Control_Operaciones[[#This Row], [Año]]="",Fact_Control_Operaciones[[#This Row], 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 [Concepto Anterior]],Conceptos_Control_Operaciones[#All],5,0),"")</f>
        <v/>
      </c>
      <c r="F1981" t="str">
        <f>+IFERROR(VLOOKUP(Fact_Control_Operaciones[[#This Row], 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ht="18.75" customHeight="1" x14ac:dyDescent="0.35">
      <c r="C1982" s="100" t="str">
        <f>IF(OR(Fact_Control_Operaciones[[#This Row], [Año]]="",Fact_Control_Operaciones[[#This Row], 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 [Concepto Anterior]],Conceptos_Control_Operaciones[#All],5,0),"")</f>
        <v/>
      </c>
      <c r="F1982" t="str">
        <f>+IFERROR(VLOOKUP(Fact_Control_Operaciones[[#This Row], 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ht="18.75" customHeight="1" x14ac:dyDescent="0.35">
      <c r="C1983" s="100" t="str">
        <f>IF(OR(Fact_Control_Operaciones[[#This Row], [Año]]="",Fact_Control_Operaciones[[#This Row], 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 [Concepto Anterior]],Conceptos_Control_Operaciones[#All],5,0),"")</f>
        <v/>
      </c>
      <c r="F1983" t="str">
        <f>+IFERROR(VLOOKUP(Fact_Control_Operaciones[[#This Row], 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ht="18.75" customHeight="1" x14ac:dyDescent="0.35">
      <c r="C1984" s="100" t="str">
        <f>IF(OR(Fact_Control_Operaciones[[#This Row], [Año]]="",Fact_Control_Operaciones[[#This Row], 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 [Concepto Anterior]],Conceptos_Control_Operaciones[#All],5,0),"")</f>
        <v/>
      </c>
      <c r="F1984" t="str">
        <f>+IFERROR(VLOOKUP(Fact_Control_Operaciones[[#This Row], 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ht="18.75" customHeight="1" x14ac:dyDescent="0.35">
      <c r="C1985" s="100" t="str">
        <f>IF(OR(Fact_Control_Operaciones[[#This Row], [Año]]="",Fact_Control_Operaciones[[#This Row], 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 [Concepto Anterior]],Conceptos_Control_Operaciones[#All],5,0),"")</f>
        <v/>
      </c>
      <c r="F1985" t="str">
        <f>+IFERROR(VLOOKUP(Fact_Control_Operaciones[[#This Row], 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ht="18.75" customHeight="1" x14ac:dyDescent="0.35">
      <c r="C1986" s="100" t="str">
        <f>IF(OR(Fact_Control_Operaciones[[#This Row], [Año]]="",Fact_Control_Operaciones[[#This Row], 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 [Concepto Anterior]],Conceptos_Control_Operaciones[#All],5,0),"")</f>
        <v/>
      </c>
      <c r="F1986" t="str">
        <f>+IFERROR(VLOOKUP(Fact_Control_Operaciones[[#This Row], 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ht="18.75" customHeight="1" x14ac:dyDescent="0.35">
      <c r="C1987" s="100" t="str">
        <f>IF(OR(Fact_Control_Operaciones[[#This Row], [Año]]="",Fact_Control_Operaciones[[#This Row], 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 [Concepto Anterior]],Conceptos_Control_Operaciones[#All],5,0),"")</f>
        <v/>
      </c>
      <c r="F1987" t="str">
        <f>+IFERROR(VLOOKUP(Fact_Control_Operaciones[[#This Row], 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ht="18.75" customHeight="1" x14ac:dyDescent="0.35">
      <c r="C1988" s="100" t="str">
        <f>IF(OR(Fact_Control_Operaciones[[#This Row], [Año]]="",Fact_Control_Operaciones[[#This Row], 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 [Concepto Anterior]],Conceptos_Control_Operaciones[#All],5,0),"")</f>
        <v/>
      </c>
      <c r="F1988" t="str">
        <f>+IFERROR(VLOOKUP(Fact_Control_Operaciones[[#This Row], 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ht="18.75" customHeight="1" x14ac:dyDescent="0.35">
      <c r="C1989" s="100" t="str">
        <f>IF(OR(Fact_Control_Operaciones[[#This Row], [Año]]="",Fact_Control_Operaciones[[#This Row], 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 [Concepto Anterior]],Conceptos_Control_Operaciones[#All],5,0),"")</f>
        <v/>
      </c>
      <c r="F1989" t="str">
        <f>+IFERROR(VLOOKUP(Fact_Control_Operaciones[[#This Row], 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ht="18.75" customHeight="1" x14ac:dyDescent="0.35">
      <c r="C1990" s="100" t="str">
        <f>IF(OR(Fact_Control_Operaciones[[#This Row], [Año]]="",Fact_Control_Operaciones[[#This Row], 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 [Concepto Anterior]],Conceptos_Control_Operaciones[#All],5,0),"")</f>
        <v/>
      </c>
      <c r="F1990" t="str">
        <f>+IFERROR(VLOOKUP(Fact_Control_Operaciones[[#This Row], 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ht="18.75" customHeight="1" x14ac:dyDescent="0.35">
      <c r="C1991" s="100" t="str">
        <f>IF(OR(Fact_Control_Operaciones[[#This Row], [Año]]="",Fact_Control_Operaciones[[#This Row], 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 [Concepto Anterior]],Conceptos_Control_Operaciones[#All],5,0),"")</f>
        <v/>
      </c>
      <c r="F1991" t="str">
        <f>+IFERROR(VLOOKUP(Fact_Control_Operaciones[[#This Row], 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ht="18.75" customHeight="1" x14ac:dyDescent="0.35">
      <c r="C1992" s="100" t="str">
        <f>IF(OR(Fact_Control_Operaciones[[#This Row], [Año]]="",Fact_Control_Operaciones[[#This Row], 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 [Concepto Anterior]],Conceptos_Control_Operaciones[#All],5,0),"")</f>
        <v/>
      </c>
      <c r="F1992" t="str">
        <f>+IFERROR(VLOOKUP(Fact_Control_Operaciones[[#This Row], 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ht="18.75" customHeight="1" x14ac:dyDescent="0.35">
      <c r="C1993" s="100" t="str">
        <f>IF(OR(Fact_Control_Operaciones[[#This Row], [Año]]="",Fact_Control_Operaciones[[#This Row], 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 [Concepto Anterior]],Conceptos_Control_Operaciones[#All],5,0),"")</f>
        <v/>
      </c>
      <c r="F1993" t="str">
        <f>+IFERROR(VLOOKUP(Fact_Control_Operaciones[[#This Row], 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ht="18.75" customHeight="1" x14ac:dyDescent="0.35">
      <c r="C1994" s="100" t="str">
        <f>IF(OR(Fact_Control_Operaciones[[#This Row], [Año]]="",Fact_Control_Operaciones[[#This Row], 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 [Concepto Anterior]],Conceptos_Control_Operaciones[#All],5,0),"")</f>
        <v/>
      </c>
      <c r="F1994" t="str">
        <f>+IFERROR(VLOOKUP(Fact_Control_Operaciones[[#This Row], 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ht="18.75" customHeight="1" x14ac:dyDescent="0.35">
      <c r="C1995" s="100" t="str">
        <f>IF(OR(Fact_Control_Operaciones[[#This Row], [Año]]="",Fact_Control_Operaciones[[#This Row], 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 [Concepto Anterior]],Conceptos_Control_Operaciones[#All],5,0),"")</f>
        <v/>
      </c>
      <c r="F1995" t="str">
        <f>+IFERROR(VLOOKUP(Fact_Control_Operaciones[[#This Row], 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ht="18.75" customHeight="1" x14ac:dyDescent="0.35">
      <c r="C1996" s="100" t="str">
        <f>IF(OR(Fact_Control_Operaciones[[#This Row], [Año]]="",Fact_Control_Operaciones[[#This Row], 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 [Concepto Anterior]],Conceptos_Control_Operaciones[#All],5,0),"")</f>
        <v/>
      </c>
      <c r="F1996" t="str">
        <f>+IFERROR(VLOOKUP(Fact_Control_Operaciones[[#This Row], 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ht="18.75" customHeight="1" x14ac:dyDescent="0.35">
      <c r="C1997" s="100" t="str">
        <f>IF(OR(Fact_Control_Operaciones[[#This Row], [Año]]="",Fact_Control_Operaciones[[#This Row], 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 [Concepto Anterior]],Conceptos_Control_Operaciones[#All],5,0),"")</f>
        <v/>
      </c>
      <c r="F1997" t="str">
        <f>+IFERROR(VLOOKUP(Fact_Control_Operaciones[[#This Row], 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ht="18.75" customHeight="1" x14ac:dyDescent="0.35">
      <c r="C1998" s="100" t="str">
        <f>IF(OR(Fact_Control_Operaciones[[#This Row], [Año]]="",Fact_Control_Operaciones[[#This Row], 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 [Concepto Anterior]],Conceptos_Control_Operaciones[#All],5,0),"")</f>
        <v/>
      </c>
      <c r="F1998" t="str">
        <f>+IFERROR(VLOOKUP(Fact_Control_Operaciones[[#This Row], 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ht="18.75" customHeight="1" x14ac:dyDescent="0.35">
      <c r="C1999" s="100" t="str">
        <f>IF(OR(Fact_Control_Operaciones[[#This Row], [Año]]="",Fact_Control_Operaciones[[#This Row], 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 [Concepto Anterior]],Conceptos_Control_Operaciones[#All],5,0),"")</f>
        <v/>
      </c>
      <c r="F1999" t="str">
        <f>+IFERROR(VLOOKUP(Fact_Control_Operaciones[[#This Row], 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ht="18.75" customHeight="1" x14ac:dyDescent="0.35">
      <c r="C2000" s="100" t="str">
        <f>IF(OR(Fact_Control_Operaciones[[#This Row], [Año]]="",Fact_Control_Operaciones[[#This Row], 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 [Concepto Anterior]],Conceptos_Control_Operaciones[#All],5,0),"")</f>
        <v/>
      </c>
      <c r="F2000" t="str">
        <f>+IFERROR(VLOOKUP(Fact_Control_Operaciones[[#This Row], 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ht="18.75" customHeight="1" x14ac:dyDescent="0.35">
      <c r="C2001" s="100" t="str">
        <f>IF(OR(Fact_Control_Operaciones[[#This Row], [Año]]="",Fact_Control_Operaciones[[#This Row], 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 [Concepto Anterior]],Conceptos_Control_Operaciones[#All],5,0),"")</f>
        <v/>
      </c>
      <c r="F2001" t="str">
        <f>+IFERROR(VLOOKUP(Fact_Control_Operaciones[[#This Row], 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ht="18.75" customHeight="1" x14ac:dyDescent="0.35">
      <c r="C2002" s="100" t="str">
        <f>IF(OR(Fact_Control_Operaciones[[#This Row], [Año]]="",Fact_Control_Operaciones[[#This Row], 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 [Concepto Anterior]],Conceptos_Control_Operaciones[#All],5,0),"")</f>
        <v/>
      </c>
      <c r="F2002" t="str">
        <f>+IFERROR(VLOOKUP(Fact_Control_Operaciones[[#This Row], 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ht="18.75" customHeight="1" x14ac:dyDescent="0.35">
      <c r="C2003" s="100" t="str">
        <f>IF(OR(Fact_Control_Operaciones[[#This Row], [Año]]="",Fact_Control_Operaciones[[#This Row], 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 [Concepto Anterior]],Conceptos_Control_Operaciones[#All],5,0),"")</f>
        <v/>
      </c>
      <c r="F2003" t="str">
        <f>+IFERROR(VLOOKUP(Fact_Control_Operaciones[[#This Row], 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ht="18.75" customHeight="1" x14ac:dyDescent="0.35">
      <c r="C2004" s="100" t="str">
        <f>IF(OR(Fact_Control_Operaciones[[#This Row], [Año]]="",Fact_Control_Operaciones[[#This Row], 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 [Concepto Anterior]],Conceptos_Control_Operaciones[#All],5,0),"")</f>
        <v/>
      </c>
      <c r="F2004" t="str">
        <f>+IFERROR(VLOOKUP(Fact_Control_Operaciones[[#This Row], 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ht="18.75" customHeight="1" x14ac:dyDescent="0.35">
      <c r="C2005" s="100" t="str">
        <f>IF(OR(Fact_Control_Operaciones[[#This Row], [Año]]="",Fact_Control_Operaciones[[#This Row], 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 [Concepto Anterior]],Conceptos_Control_Operaciones[#All],5,0),"")</f>
        <v/>
      </c>
      <c r="F2005" t="str">
        <f>+IFERROR(VLOOKUP(Fact_Control_Operaciones[[#This Row], 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ht="18.75" customHeight="1" x14ac:dyDescent="0.35">
      <c r="C2006" s="100" t="str">
        <f>IF(OR(Fact_Control_Operaciones[[#This Row], [Año]]="",Fact_Control_Operaciones[[#This Row], 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 [Concepto Anterior]],Conceptos_Control_Operaciones[#All],5,0),"")</f>
        <v/>
      </c>
      <c r="F2006" t="str">
        <f>+IFERROR(VLOOKUP(Fact_Control_Operaciones[[#This Row], 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ht="18.75" customHeight="1" x14ac:dyDescent="0.35">
      <c r="C2007" s="100" t="str">
        <f>IF(OR(Fact_Control_Operaciones[[#This Row], [Año]]="",Fact_Control_Operaciones[[#This Row], 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 [Concepto Anterior]],Conceptos_Control_Operaciones[#All],5,0),"")</f>
        <v/>
      </c>
      <c r="F2007" t="str">
        <f>+IFERROR(VLOOKUP(Fact_Control_Operaciones[[#This Row], 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ht="18.75" customHeight="1" x14ac:dyDescent="0.35">
      <c r="C2008" s="100" t="str">
        <f>IF(OR(Fact_Control_Operaciones[[#This Row], [Año]]="",Fact_Control_Operaciones[[#This Row], 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 [Concepto Anterior]],Conceptos_Control_Operaciones[#All],5,0),"")</f>
        <v/>
      </c>
      <c r="F2008" t="str">
        <f>+IFERROR(VLOOKUP(Fact_Control_Operaciones[[#This Row], 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ht="18.75" customHeight="1" x14ac:dyDescent="0.35">
      <c r="C2009" s="100" t="str">
        <f>IF(OR(Fact_Control_Operaciones[[#This Row], [Año]]="",Fact_Control_Operaciones[[#This Row], 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 [Concepto Anterior]],Conceptos_Control_Operaciones[#All],5,0),"")</f>
        <v/>
      </c>
      <c r="F2009" t="str">
        <f>+IFERROR(VLOOKUP(Fact_Control_Operaciones[[#This Row], 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ht="18.75" customHeight="1" x14ac:dyDescent="0.35">
      <c r="C2010" s="100" t="str">
        <f>IF(OR(Fact_Control_Operaciones[[#This Row], [Año]]="",Fact_Control_Operaciones[[#This Row], 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 [Concepto Anterior]],Conceptos_Control_Operaciones[#All],5,0),"")</f>
        <v/>
      </c>
      <c r="F2010" t="str">
        <f>+IFERROR(VLOOKUP(Fact_Control_Operaciones[[#This Row], 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ht="18.75" customHeight="1" x14ac:dyDescent="0.35">
      <c r="C2011" s="100" t="str">
        <f>IF(OR(Fact_Control_Operaciones[[#This Row], [Año]]="",Fact_Control_Operaciones[[#This Row], 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 [Concepto Anterior]],Conceptos_Control_Operaciones[#All],5,0),"")</f>
        <v/>
      </c>
      <c r="F2011" t="str">
        <f>+IFERROR(VLOOKUP(Fact_Control_Operaciones[[#This Row], 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ht="18.75" customHeight="1" x14ac:dyDescent="0.35">
      <c r="C2012" s="100" t="str">
        <f>IF(OR(Fact_Control_Operaciones[[#This Row], [Año]]="",Fact_Control_Operaciones[[#This Row], 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 [Concepto Anterior]],Conceptos_Control_Operaciones[#All],5,0),"")</f>
        <v/>
      </c>
      <c r="F2012" t="str">
        <f>+IFERROR(VLOOKUP(Fact_Control_Operaciones[[#This Row], 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ht="18.75" customHeight="1" x14ac:dyDescent="0.35">
      <c r="C2013" s="100" t="str">
        <f>IF(OR(Fact_Control_Operaciones[[#This Row], [Año]]="",Fact_Control_Operaciones[[#This Row], 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 [Concepto Anterior]],Conceptos_Control_Operaciones[#All],5,0),"")</f>
        <v/>
      </c>
      <c r="F2013" t="str">
        <f>+IFERROR(VLOOKUP(Fact_Control_Operaciones[[#This Row], 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ht="18.75" customHeight="1" x14ac:dyDescent="0.35">
      <c r="C2014" s="100" t="str">
        <f>IF(OR(Fact_Control_Operaciones[[#This Row], [Año]]="",Fact_Control_Operaciones[[#This Row], 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 [Concepto Anterior]],Conceptos_Control_Operaciones[#All],5,0),"")</f>
        <v/>
      </c>
      <c r="F2014" t="str">
        <f>+IFERROR(VLOOKUP(Fact_Control_Operaciones[[#This Row], 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ht="18.75" customHeight="1" x14ac:dyDescent="0.35">
      <c r="C2015" s="100" t="str">
        <f>IF(OR(Fact_Control_Operaciones[[#This Row], [Año]]="",Fact_Control_Operaciones[[#This Row], 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 [Concepto Anterior]],Conceptos_Control_Operaciones[#All],5,0),"")</f>
        <v/>
      </c>
      <c r="F2015" t="str">
        <f>+IFERROR(VLOOKUP(Fact_Control_Operaciones[[#This Row], 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ht="18.75" customHeight="1" x14ac:dyDescent="0.35">
      <c r="C2016" s="100" t="str">
        <f>IF(OR(Fact_Control_Operaciones[[#This Row], [Año]]="",Fact_Control_Operaciones[[#This Row], 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 [Concepto Anterior]],Conceptos_Control_Operaciones[#All],5,0),"")</f>
        <v/>
      </c>
      <c r="F2016" t="str">
        <f>+IFERROR(VLOOKUP(Fact_Control_Operaciones[[#This Row], 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ht="18.75" customHeight="1" x14ac:dyDescent="0.35">
      <c r="C2017" s="100" t="str">
        <f>IF(OR(Fact_Control_Operaciones[[#This Row], [Año]]="",Fact_Control_Operaciones[[#This Row], 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 [Concepto Anterior]],Conceptos_Control_Operaciones[#All],5,0),"")</f>
        <v/>
      </c>
      <c r="F2017" t="str">
        <f>+IFERROR(VLOOKUP(Fact_Control_Operaciones[[#This Row], 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ht="18.75" customHeight="1" x14ac:dyDescent="0.35">
      <c r="C2018" s="100" t="str">
        <f>IF(OR(Fact_Control_Operaciones[[#This Row], [Año]]="",Fact_Control_Operaciones[[#This Row], 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 [Concepto Anterior]],Conceptos_Control_Operaciones[#All],5,0),"")</f>
        <v/>
      </c>
      <c r="F2018" t="str">
        <f>+IFERROR(VLOOKUP(Fact_Control_Operaciones[[#This Row], 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ht="18.75" customHeight="1" x14ac:dyDescent="0.35">
      <c r="C2019" s="100" t="str">
        <f>IF(OR(Fact_Control_Operaciones[[#This Row], [Año]]="",Fact_Control_Operaciones[[#This Row], 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 [Concepto Anterior]],Conceptos_Control_Operaciones[#All],5,0),"")</f>
        <v/>
      </c>
      <c r="F2019" t="str">
        <f>+IFERROR(VLOOKUP(Fact_Control_Operaciones[[#This Row], 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ht="18.75" customHeight="1" x14ac:dyDescent="0.35">
      <c r="C2020" s="100" t="str">
        <f>IF(OR(Fact_Control_Operaciones[[#This Row], [Año]]="",Fact_Control_Operaciones[[#This Row], 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 [Concepto Anterior]],Conceptos_Control_Operaciones[#All],5,0),"")</f>
        <v/>
      </c>
      <c r="F2020" t="str">
        <f>+IFERROR(VLOOKUP(Fact_Control_Operaciones[[#This Row], 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ht="18.75" customHeight="1" x14ac:dyDescent="0.35">
      <c r="C2021" s="100" t="str">
        <f>IF(OR(Fact_Control_Operaciones[[#This Row], [Año]]="",Fact_Control_Operaciones[[#This Row], 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 [Concepto Anterior]],Conceptos_Control_Operaciones[#All],5,0),"")</f>
        <v/>
      </c>
      <c r="F2021" t="str">
        <f>+IFERROR(VLOOKUP(Fact_Control_Operaciones[[#This Row], 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ht="18.75" customHeight="1" x14ac:dyDescent="0.35">
      <c r="C2022" s="100" t="str">
        <f>IF(OR(Fact_Control_Operaciones[[#This Row], [Año]]="",Fact_Control_Operaciones[[#This Row], 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 [Concepto Anterior]],Conceptos_Control_Operaciones[#All],5,0),"")</f>
        <v/>
      </c>
      <c r="F2022" t="str">
        <f>+IFERROR(VLOOKUP(Fact_Control_Operaciones[[#This Row], 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ht="18.75" customHeight="1" x14ac:dyDescent="0.35">
      <c r="C2023" s="100" t="str">
        <f>IF(OR(Fact_Control_Operaciones[[#This Row], [Año]]="",Fact_Control_Operaciones[[#This Row], 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 [Concepto Anterior]],Conceptos_Control_Operaciones[#All],5,0),"")</f>
        <v/>
      </c>
      <c r="F2023" t="str">
        <f>+IFERROR(VLOOKUP(Fact_Control_Operaciones[[#This Row], 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ht="18.75" customHeight="1" x14ac:dyDescent="0.35">
      <c r="C2024" s="100" t="str">
        <f>IF(OR(Fact_Control_Operaciones[[#This Row], [Año]]="",Fact_Control_Operaciones[[#This Row], 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 [Concepto Anterior]],Conceptos_Control_Operaciones[#All],5,0),"")</f>
        <v/>
      </c>
      <c r="F2024" t="str">
        <f>+IFERROR(VLOOKUP(Fact_Control_Operaciones[[#This Row], 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ht="18.75" customHeight="1" x14ac:dyDescent="0.35">
      <c r="C2025" s="100" t="str">
        <f>IF(OR(Fact_Control_Operaciones[[#This Row], [Año]]="",Fact_Control_Operaciones[[#This Row], 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 [Concepto Anterior]],Conceptos_Control_Operaciones[#All],5,0),"")</f>
        <v/>
      </c>
      <c r="F2025" t="str">
        <f>+IFERROR(VLOOKUP(Fact_Control_Operaciones[[#This Row], 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ht="18.75" customHeight="1" x14ac:dyDescent="0.35">
      <c r="C2026" s="100" t="str">
        <f>IF(OR(Fact_Control_Operaciones[[#This Row], [Año]]="",Fact_Control_Operaciones[[#This Row], 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 [Concepto Anterior]],Conceptos_Control_Operaciones[#All],5,0),"")</f>
        <v/>
      </c>
      <c r="F2026" t="str">
        <f>+IFERROR(VLOOKUP(Fact_Control_Operaciones[[#This Row], 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ht="18.75" customHeight="1" x14ac:dyDescent="0.35">
      <c r="C2027" s="100" t="str">
        <f>IF(OR(Fact_Control_Operaciones[[#This Row], [Año]]="",Fact_Control_Operaciones[[#This Row], 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 [Concepto Anterior]],Conceptos_Control_Operaciones[#All],5,0),"")</f>
        <v/>
      </c>
      <c r="F2027" t="str">
        <f>+IFERROR(VLOOKUP(Fact_Control_Operaciones[[#This Row], 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ht="18.75" customHeight="1" x14ac:dyDescent="0.35">
      <c r="C2028" s="100" t="str">
        <f>IF(OR(Fact_Control_Operaciones[[#This Row], [Año]]="",Fact_Control_Operaciones[[#This Row], 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 [Concepto Anterior]],Conceptos_Control_Operaciones[#All],5,0),"")</f>
        <v/>
      </c>
      <c r="F2028" t="str">
        <f>+IFERROR(VLOOKUP(Fact_Control_Operaciones[[#This Row], 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ht="18.75" customHeight="1" x14ac:dyDescent="0.35">
      <c r="C2029" s="100" t="str">
        <f>IF(OR(Fact_Control_Operaciones[[#This Row], [Año]]="",Fact_Control_Operaciones[[#This Row], 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 [Concepto Anterior]],Conceptos_Control_Operaciones[#All],5,0),"")</f>
        <v/>
      </c>
      <c r="F2029" t="str">
        <f>+IFERROR(VLOOKUP(Fact_Control_Operaciones[[#This Row], 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ht="18.75" customHeight="1" x14ac:dyDescent="0.35">
      <c r="C2030" s="100" t="str">
        <f>IF(OR(Fact_Control_Operaciones[[#This Row], [Año]]="",Fact_Control_Operaciones[[#This Row], 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 [Concepto Anterior]],Conceptos_Control_Operaciones[#All],5,0),"")</f>
        <v/>
      </c>
      <c r="F2030" t="str">
        <f>+IFERROR(VLOOKUP(Fact_Control_Operaciones[[#This Row], 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ht="18.75" customHeight="1" x14ac:dyDescent="0.35">
      <c r="C2031" s="100" t="str">
        <f>IF(OR(Fact_Control_Operaciones[[#This Row], [Año]]="",Fact_Control_Operaciones[[#This Row], 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 [Concepto Anterior]],Conceptos_Control_Operaciones[#All],5,0),"")</f>
        <v/>
      </c>
      <c r="F2031" t="str">
        <f>+IFERROR(VLOOKUP(Fact_Control_Operaciones[[#This Row], 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ht="18.75" customHeight="1" x14ac:dyDescent="0.35">
      <c r="C2032" s="100" t="str">
        <f>IF(OR(Fact_Control_Operaciones[[#This Row], [Año]]="",Fact_Control_Operaciones[[#This Row], 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 [Concepto Anterior]],Conceptos_Control_Operaciones[#All],5,0),"")</f>
        <v/>
      </c>
      <c r="F2032" t="str">
        <f>+IFERROR(VLOOKUP(Fact_Control_Operaciones[[#This Row], 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ht="18.75" customHeight="1" x14ac:dyDescent="0.35">
      <c r="C2033" s="100" t="str">
        <f>IF(OR(Fact_Control_Operaciones[[#This Row], [Año]]="",Fact_Control_Operaciones[[#This Row], 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 [Concepto Anterior]],Conceptos_Control_Operaciones[#All],5,0),"")</f>
        <v/>
      </c>
      <c r="F2033" t="str">
        <f>+IFERROR(VLOOKUP(Fact_Control_Operaciones[[#This Row], 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ht="18.75" customHeight="1" x14ac:dyDescent="0.35">
      <c r="C2034" s="100" t="str">
        <f>IF(OR(Fact_Control_Operaciones[[#This Row], [Año]]="",Fact_Control_Operaciones[[#This Row], 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 [Concepto Anterior]],Conceptos_Control_Operaciones[#All],5,0),"")</f>
        <v/>
      </c>
      <c r="F2034" t="str">
        <f>+IFERROR(VLOOKUP(Fact_Control_Operaciones[[#This Row], 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ht="18.75" customHeight="1" x14ac:dyDescent="0.35">
      <c r="C2035" s="100" t="str">
        <f>IF(OR(Fact_Control_Operaciones[[#This Row], [Año]]="",Fact_Control_Operaciones[[#This Row], 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 [Concepto Anterior]],Conceptos_Control_Operaciones[#All],5,0),"")</f>
        <v/>
      </c>
      <c r="F2035" t="str">
        <f>+IFERROR(VLOOKUP(Fact_Control_Operaciones[[#This Row], 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ht="18.75" customHeight="1" x14ac:dyDescent="0.35">
      <c r="C2036" s="100" t="str">
        <f>IF(OR(Fact_Control_Operaciones[[#This Row], [Año]]="",Fact_Control_Operaciones[[#This Row], 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 [Concepto Anterior]],Conceptos_Control_Operaciones[#All],5,0),"")</f>
        <v/>
      </c>
      <c r="F2036" t="str">
        <f>+IFERROR(VLOOKUP(Fact_Control_Operaciones[[#This Row], 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ht="18.75" customHeight="1" x14ac:dyDescent="0.35">
      <c r="C2037" s="100" t="str">
        <f>IF(OR(Fact_Control_Operaciones[[#This Row], [Año]]="",Fact_Control_Operaciones[[#This Row], 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 [Concepto Anterior]],Conceptos_Control_Operaciones[#All],5,0),"")</f>
        <v/>
      </c>
      <c r="F2037" t="str">
        <f>+IFERROR(VLOOKUP(Fact_Control_Operaciones[[#This Row], 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ht="18.75" customHeight="1" x14ac:dyDescent="0.35">
      <c r="C2038" s="100" t="str">
        <f>IF(OR(Fact_Control_Operaciones[[#This Row], [Año]]="",Fact_Control_Operaciones[[#This Row], 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 [Concepto Anterior]],Conceptos_Control_Operaciones[#All],5,0),"")</f>
        <v/>
      </c>
      <c r="F2038" t="str">
        <f>+IFERROR(VLOOKUP(Fact_Control_Operaciones[[#This Row], 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ht="18.75" customHeight="1" x14ac:dyDescent="0.35">
      <c r="C2039" s="100" t="str">
        <f>IF(OR(Fact_Control_Operaciones[[#This Row], [Año]]="",Fact_Control_Operaciones[[#This Row], 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 [Concepto Anterior]],Conceptos_Control_Operaciones[#All],5,0),"")</f>
        <v/>
      </c>
      <c r="F2039" t="str">
        <f>+IFERROR(VLOOKUP(Fact_Control_Operaciones[[#This Row], 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ht="18.75" customHeight="1" x14ac:dyDescent="0.35">
      <c r="C2040" s="100" t="str">
        <f>IF(OR(Fact_Control_Operaciones[[#This Row], [Año]]="",Fact_Control_Operaciones[[#This Row], 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 [Concepto Anterior]],Conceptos_Control_Operaciones[#All],5,0),"")</f>
        <v/>
      </c>
      <c r="F2040" t="str">
        <f>+IFERROR(VLOOKUP(Fact_Control_Operaciones[[#This Row], 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ht="18.75" customHeight="1" x14ac:dyDescent="0.35">
      <c r="C2041" s="100" t="str">
        <f>IF(OR(Fact_Control_Operaciones[[#This Row], [Año]]="",Fact_Control_Operaciones[[#This Row], 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 [Concepto Anterior]],Conceptos_Control_Operaciones[#All],5,0),"")</f>
        <v/>
      </c>
      <c r="F2041" t="str">
        <f>+IFERROR(VLOOKUP(Fact_Control_Operaciones[[#This Row], 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ht="18.75" customHeight="1" x14ac:dyDescent="0.35">
      <c r="C2042" s="100" t="str">
        <f>IF(OR(Fact_Control_Operaciones[[#This Row], [Año]]="",Fact_Control_Operaciones[[#This Row], 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 [Concepto Anterior]],Conceptos_Control_Operaciones[#All],5,0),"")</f>
        <v/>
      </c>
      <c r="F2042" t="str">
        <f>+IFERROR(VLOOKUP(Fact_Control_Operaciones[[#This Row], 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ht="18.75" customHeight="1" x14ac:dyDescent="0.35">
      <c r="C2043" s="100" t="str">
        <f>IF(OR(Fact_Control_Operaciones[[#This Row], [Año]]="",Fact_Control_Operaciones[[#This Row], 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 [Concepto Anterior]],Conceptos_Control_Operaciones[#All],5,0),"")</f>
        <v/>
      </c>
      <c r="F2043" t="str">
        <f>+IFERROR(VLOOKUP(Fact_Control_Operaciones[[#This Row], 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ht="18.75" customHeight="1" x14ac:dyDescent="0.35">
      <c r="C2044" s="100" t="str">
        <f>IF(OR(Fact_Control_Operaciones[[#This Row], [Año]]="",Fact_Control_Operaciones[[#This Row], 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 [Concepto Anterior]],Conceptos_Control_Operaciones[#All],5,0),"")</f>
        <v/>
      </c>
      <c r="F2044" t="str">
        <f>+IFERROR(VLOOKUP(Fact_Control_Operaciones[[#This Row], 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ht="18.75" customHeight="1" x14ac:dyDescent="0.35">
      <c r="C2045" s="100" t="str">
        <f>IF(OR(Fact_Control_Operaciones[[#This Row], [Año]]="",Fact_Control_Operaciones[[#This Row], 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 [Concepto Anterior]],Conceptos_Control_Operaciones[#All],5,0),"")</f>
        <v/>
      </c>
      <c r="F2045" t="str">
        <f>+IFERROR(VLOOKUP(Fact_Control_Operaciones[[#This Row], 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ht="18.75" customHeight="1" x14ac:dyDescent="0.35">
      <c r="C2046" s="100" t="str">
        <f>IF(OR(Fact_Control_Operaciones[[#This Row], [Año]]="",Fact_Control_Operaciones[[#This Row], 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 [Concepto Anterior]],Conceptos_Control_Operaciones[#All],5,0),"")</f>
        <v/>
      </c>
      <c r="F2046" t="str">
        <f>+IFERROR(VLOOKUP(Fact_Control_Operaciones[[#This Row], 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ht="18.75" customHeight="1" x14ac:dyDescent="0.35">
      <c r="C2047" s="100" t="str">
        <f>IF(OR(Fact_Control_Operaciones[[#This Row], [Año]]="",Fact_Control_Operaciones[[#This Row], 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 [Concepto Anterior]],Conceptos_Control_Operaciones[#All],5,0),"")</f>
        <v/>
      </c>
      <c r="F2047" t="str">
        <f>+IFERROR(VLOOKUP(Fact_Control_Operaciones[[#This Row], 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ht="18.75" customHeight="1" x14ac:dyDescent="0.35">
      <c r="C2048" s="100" t="str">
        <f>IF(OR(Fact_Control_Operaciones[[#This Row], [Año]]="",Fact_Control_Operaciones[[#This Row], 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 [Concepto Anterior]],Conceptos_Control_Operaciones[#All],5,0),"")</f>
        <v/>
      </c>
      <c r="F2048" t="str">
        <f>+IFERROR(VLOOKUP(Fact_Control_Operaciones[[#This Row], 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ht="18.75" customHeight="1" x14ac:dyDescent="0.35">
      <c r="C2049" s="100" t="str">
        <f>IF(OR(Fact_Control_Operaciones[[#This Row], [Año]]="",Fact_Control_Operaciones[[#This Row], 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 [Concepto Anterior]],Conceptos_Control_Operaciones[#All],5,0),"")</f>
        <v/>
      </c>
      <c r="F2049" t="str">
        <f>+IFERROR(VLOOKUP(Fact_Control_Operaciones[[#This Row], 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ht="18.75" customHeight="1" x14ac:dyDescent="0.35">
      <c r="C2050" s="100" t="str">
        <f>IF(OR(Fact_Control_Operaciones[[#This Row], [Año]]="",Fact_Control_Operaciones[[#This Row], 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 [Concepto Anterior]],Conceptos_Control_Operaciones[#All],5,0),"")</f>
        <v/>
      </c>
      <c r="F2050" t="str">
        <f>+IFERROR(VLOOKUP(Fact_Control_Operaciones[[#This Row], 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ht="18.75" customHeight="1" x14ac:dyDescent="0.35">
      <c r="C2051" s="100" t="str">
        <f>IF(OR(Fact_Control_Operaciones[[#This Row], [Año]]="",Fact_Control_Operaciones[[#This Row], 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 [Concepto Anterior]],Conceptos_Control_Operaciones[#All],5,0),"")</f>
        <v/>
      </c>
      <c r="F2051" t="str">
        <f>+IFERROR(VLOOKUP(Fact_Control_Operaciones[[#This Row], 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ht="18.75" customHeight="1" x14ac:dyDescent="0.35">
      <c r="C2052" s="100" t="str">
        <f>IF(OR(Fact_Control_Operaciones[[#This Row], [Año]]="",Fact_Control_Operaciones[[#This Row], 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 [Concepto Anterior]],Conceptos_Control_Operaciones[#All],5,0),"")</f>
        <v/>
      </c>
      <c r="F2052" t="str">
        <f>+IFERROR(VLOOKUP(Fact_Control_Operaciones[[#This Row], 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ht="18.75" customHeight="1" x14ac:dyDescent="0.35">
      <c r="C2053" s="100" t="str">
        <f>IF(OR(Fact_Control_Operaciones[[#This Row], [Año]]="",Fact_Control_Operaciones[[#This Row], 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 [Concepto Anterior]],Conceptos_Control_Operaciones[#All],5,0),"")</f>
        <v/>
      </c>
      <c r="F2053" t="str">
        <f>+IFERROR(VLOOKUP(Fact_Control_Operaciones[[#This Row], 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ht="18.75" customHeight="1" x14ac:dyDescent="0.35">
      <c r="C2054" s="100" t="str">
        <f>IF(OR(Fact_Control_Operaciones[[#This Row], [Año]]="",Fact_Control_Operaciones[[#This Row], 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 [Concepto Anterior]],Conceptos_Control_Operaciones[#All],5,0),"")</f>
        <v/>
      </c>
      <c r="F2054" t="str">
        <f>+IFERROR(VLOOKUP(Fact_Control_Operaciones[[#This Row], 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ht="18.75" customHeight="1" x14ac:dyDescent="0.35">
      <c r="C2055" s="100" t="str">
        <f>IF(OR(Fact_Control_Operaciones[[#This Row], [Año]]="",Fact_Control_Operaciones[[#This Row], 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 [Concepto Anterior]],Conceptos_Control_Operaciones[#All],5,0),"")</f>
        <v/>
      </c>
      <c r="F2055" t="str">
        <f>+IFERROR(VLOOKUP(Fact_Control_Operaciones[[#This Row], 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ht="18.75" customHeight="1" x14ac:dyDescent="0.35">
      <c r="C2056" s="100" t="str">
        <f>IF(OR(Fact_Control_Operaciones[[#This Row], [Año]]="",Fact_Control_Operaciones[[#This Row], 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 [Concepto Anterior]],Conceptos_Control_Operaciones[#All],5,0),"")</f>
        <v/>
      </c>
      <c r="F2056" t="str">
        <f>+IFERROR(VLOOKUP(Fact_Control_Operaciones[[#This Row], 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ht="18.75" customHeight="1" x14ac:dyDescent="0.35">
      <c r="C2057" s="100" t="str">
        <f>IF(OR(Fact_Control_Operaciones[[#This Row], [Año]]="",Fact_Control_Operaciones[[#This Row], 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 [Concepto Anterior]],Conceptos_Control_Operaciones[#All],5,0),"")</f>
        <v/>
      </c>
      <c r="F2057" t="str">
        <f>+IFERROR(VLOOKUP(Fact_Control_Operaciones[[#This Row], 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ht="18.75" customHeight="1" x14ac:dyDescent="0.35">
      <c r="C2058" s="100" t="str">
        <f>IF(OR(Fact_Control_Operaciones[[#This Row], [Año]]="",Fact_Control_Operaciones[[#This Row], 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 [Concepto Anterior]],Conceptos_Control_Operaciones[#All],5,0),"")</f>
        <v/>
      </c>
      <c r="F2058" t="str">
        <f>+IFERROR(VLOOKUP(Fact_Control_Operaciones[[#This Row], 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ht="18.75" customHeight="1" x14ac:dyDescent="0.35">
      <c r="C2059" s="100" t="str">
        <f>IF(OR(Fact_Control_Operaciones[[#This Row], [Año]]="",Fact_Control_Operaciones[[#This Row], 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 [Concepto Anterior]],Conceptos_Control_Operaciones[#All],5,0),"")</f>
        <v/>
      </c>
      <c r="F2059" t="str">
        <f>+IFERROR(VLOOKUP(Fact_Control_Operaciones[[#This Row], 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ht="18.75" customHeight="1" x14ac:dyDescent="0.35">
      <c r="C2060" s="100" t="str">
        <f>IF(OR(Fact_Control_Operaciones[[#This Row], [Año]]="",Fact_Control_Operaciones[[#This Row], 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 [Concepto Anterior]],Conceptos_Control_Operaciones[#All],5,0),"")</f>
        <v/>
      </c>
      <c r="F2060" t="str">
        <f>+IFERROR(VLOOKUP(Fact_Control_Operaciones[[#This Row], 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ht="18.75" customHeight="1" x14ac:dyDescent="0.35">
      <c r="C2061" s="100" t="str">
        <f>IF(OR(Fact_Control_Operaciones[[#This Row], [Año]]="",Fact_Control_Operaciones[[#This Row], 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 [Concepto Anterior]],Conceptos_Control_Operaciones[#All],5,0),"")</f>
        <v/>
      </c>
      <c r="F2061" t="str">
        <f>+IFERROR(VLOOKUP(Fact_Control_Operaciones[[#This Row], 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ht="18.75" customHeight="1" x14ac:dyDescent="0.35">
      <c r="C2062" s="100" t="str">
        <f>IF(OR(Fact_Control_Operaciones[[#This Row], [Año]]="",Fact_Control_Operaciones[[#This Row], 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 [Concepto Anterior]],Conceptos_Control_Operaciones[#All],5,0),"")</f>
        <v/>
      </c>
      <c r="F2062" t="str">
        <f>+IFERROR(VLOOKUP(Fact_Control_Operaciones[[#This Row], 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ht="18.75" customHeight="1" x14ac:dyDescent="0.35">
      <c r="C2063" s="100" t="str">
        <f>IF(OR(Fact_Control_Operaciones[[#This Row], [Año]]="",Fact_Control_Operaciones[[#This Row], 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 [Concepto Anterior]],Conceptos_Control_Operaciones[#All],5,0),"")</f>
        <v/>
      </c>
      <c r="F2063" t="str">
        <f>+IFERROR(VLOOKUP(Fact_Control_Operaciones[[#This Row], 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ht="18.75" customHeight="1" x14ac:dyDescent="0.35">
      <c r="C2064" s="100" t="str">
        <f>IF(OR(Fact_Control_Operaciones[[#This Row], [Año]]="",Fact_Control_Operaciones[[#This Row], 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 [Concepto Anterior]],Conceptos_Control_Operaciones[#All],5,0),"")</f>
        <v/>
      </c>
      <c r="F2064" t="str">
        <f>+IFERROR(VLOOKUP(Fact_Control_Operaciones[[#This Row], 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ht="18.75" customHeight="1" x14ac:dyDescent="0.35">
      <c r="C2065" s="100" t="str">
        <f>IF(OR(Fact_Control_Operaciones[[#This Row], [Año]]="",Fact_Control_Operaciones[[#This Row], 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 [Concepto Anterior]],Conceptos_Control_Operaciones[#All],5,0),"")</f>
        <v/>
      </c>
      <c r="F2065" t="str">
        <f>+IFERROR(VLOOKUP(Fact_Control_Operaciones[[#This Row], 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ht="18.75" customHeight="1" x14ac:dyDescent="0.35">
      <c r="C2066" s="100" t="str">
        <f>IF(OR(Fact_Control_Operaciones[[#This Row], [Año]]="",Fact_Control_Operaciones[[#This Row], 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 [Concepto Anterior]],Conceptos_Control_Operaciones[#All],5,0),"")</f>
        <v/>
      </c>
      <c r="F2066" t="str">
        <f>+IFERROR(VLOOKUP(Fact_Control_Operaciones[[#This Row], 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ht="18.75" customHeight="1" x14ac:dyDescent="0.35">
      <c r="C2067" s="100" t="str">
        <f>IF(OR(Fact_Control_Operaciones[[#This Row], [Año]]="",Fact_Control_Operaciones[[#This Row], 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 [Concepto Anterior]],Conceptos_Control_Operaciones[#All],5,0),"")</f>
        <v/>
      </c>
      <c r="F2067" t="str">
        <f>+IFERROR(VLOOKUP(Fact_Control_Operaciones[[#This Row], 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ht="18.75" customHeight="1" x14ac:dyDescent="0.35">
      <c r="C2068" s="100" t="str">
        <f>IF(OR(Fact_Control_Operaciones[[#This Row], [Año]]="",Fact_Control_Operaciones[[#This Row], 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 [Concepto Anterior]],Conceptos_Control_Operaciones[#All],5,0),"")</f>
        <v/>
      </c>
      <c r="F2068" t="str">
        <f>+IFERROR(VLOOKUP(Fact_Control_Operaciones[[#This Row], 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ht="18.75" customHeight="1" x14ac:dyDescent="0.35">
      <c r="C2069" s="100" t="str">
        <f>IF(OR(Fact_Control_Operaciones[[#This Row], [Año]]="",Fact_Control_Operaciones[[#This Row], 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 [Concepto Anterior]],Conceptos_Control_Operaciones[#All],5,0),"")</f>
        <v/>
      </c>
      <c r="F2069" t="str">
        <f>+IFERROR(VLOOKUP(Fact_Control_Operaciones[[#This Row], 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ht="18.75" customHeight="1" x14ac:dyDescent="0.35">
      <c r="C2070" s="100" t="str">
        <f>IF(OR(Fact_Control_Operaciones[[#This Row], [Año]]="",Fact_Control_Operaciones[[#This Row], 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 [Concepto Anterior]],Conceptos_Control_Operaciones[#All],5,0),"")</f>
        <v/>
      </c>
      <c r="F2070" t="str">
        <f>+IFERROR(VLOOKUP(Fact_Control_Operaciones[[#This Row], 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ht="18.75" customHeight="1" x14ac:dyDescent="0.35">
      <c r="C2071" s="100" t="str">
        <f>IF(OR(Fact_Control_Operaciones[[#This Row], [Año]]="",Fact_Control_Operaciones[[#This Row], 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 [Concepto Anterior]],Conceptos_Control_Operaciones[#All],5,0),"")</f>
        <v/>
      </c>
      <c r="F2071" t="str">
        <f>+IFERROR(VLOOKUP(Fact_Control_Operaciones[[#This Row], 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ht="18.75" customHeight="1" x14ac:dyDescent="0.35">
      <c r="C2072" s="100" t="str">
        <f>IF(OR(Fact_Control_Operaciones[[#This Row], [Año]]="",Fact_Control_Operaciones[[#This Row], 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 [Concepto Anterior]],Conceptos_Control_Operaciones[#All],5,0),"")</f>
        <v/>
      </c>
      <c r="F2072" t="str">
        <f>+IFERROR(VLOOKUP(Fact_Control_Operaciones[[#This Row], 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ht="18.75" customHeight="1" x14ac:dyDescent="0.35">
      <c r="C2073" s="100" t="str">
        <f>IF(OR(Fact_Control_Operaciones[[#This Row], [Año]]="",Fact_Control_Operaciones[[#This Row], 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 [Concepto Anterior]],Conceptos_Control_Operaciones[#All],5,0),"")</f>
        <v/>
      </c>
      <c r="F2073" t="str">
        <f>+IFERROR(VLOOKUP(Fact_Control_Operaciones[[#This Row], 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ht="18.75" customHeight="1" x14ac:dyDescent="0.35">
      <c r="C2074" s="100" t="str">
        <f>IF(OR(Fact_Control_Operaciones[[#This Row], [Año]]="",Fact_Control_Operaciones[[#This Row], 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 [Concepto Anterior]],Conceptos_Control_Operaciones[#All],5,0),"")</f>
        <v/>
      </c>
      <c r="F2074" t="str">
        <f>+IFERROR(VLOOKUP(Fact_Control_Operaciones[[#This Row], 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ht="18.75" customHeight="1" x14ac:dyDescent="0.35">
      <c r="C2075" s="100" t="str">
        <f>IF(OR(Fact_Control_Operaciones[[#This Row], [Año]]="",Fact_Control_Operaciones[[#This Row], 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 [Concepto Anterior]],Conceptos_Control_Operaciones[#All],5,0),"")</f>
        <v/>
      </c>
      <c r="F2075" t="str">
        <f>+IFERROR(VLOOKUP(Fact_Control_Operaciones[[#This Row], 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ht="18.75" customHeight="1" x14ac:dyDescent="0.35">
      <c r="C2076" s="100" t="str">
        <f>IF(OR(Fact_Control_Operaciones[[#This Row], [Año]]="",Fact_Control_Operaciones[[#This Row], 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 [Concepto Anterior]],Conceptos_Control_Operaciones[#All],5,0),"")</f>
        <v/>
      </c>
      <c r="F2076" t="str">
        <f>+IFERROR(VLOOKUP(Fact_Control_Operaciones[[#This Row], 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ht="18.75" customHeight="1" x14ac:dyDescent="0.35">
      <c r="C2077" s="100" t="str">
        <f>IF(OR(Fact_Control_Operaciones[[#This Row], [Año]]="",Fact_Control_Operaciones[[#This Row], 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 [Concepto Anterior]],Conceptos_Control_Operaciones[#All],5,0),"")</f>
        <v/>
      </c>
      <c r="F2077" t="str">
        <f>+IFERROR(VLOOKUP(Fact_Control_Operaciones[[#This Row], 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ht="18.75" customHeight="1" x14ac:dyDescent="0.35">
      <c r="C2078" s="100" t="str">
        <f>IF(OR(Fact_Control_Operaciones[[#This Row], [Año]]="",Fact_Control_Operaciones[[#This Row], 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 [Concepto Anterior]],Conceptos_Control_Operaciones[#All],5,0),"")</f>
        <v/>
      </c>
      <c r="F2078" t="str">
        <f>+IFERROR(VLOOKUP(Fact_Control_Operaciones[[#This Row], 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ht="18.75" customHeight="1" x14ac:dyDescent="0.35">
      <c r="C2079" s="100" t="str">
        <f>IF(OR(Fact_Control_Operaciones[[#This Row], [Año]]="",Fact_Control_Operaciones[[#This Row], 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 [Concepto Anterior]],Conceptos_Control_Operaciones[#All],5,0),"")</f>
        <v/>
      </c>
      <c r="F2079" t="str">
        <f>+IFERROR(VLOOKUP(Fact_Control_Operaciones[[#This Row], 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ht="18.75" customHeight="1" x14ac:dyDescent="0.35">
      <c r="C2080" s="100" t="str">
        <f>IF(OR(Fact_Control_Operaciones[[#This Row], [Año]]="",Fact_Control_Operaciones[[#This Row], 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 [Concepto Anterior]],Conceptos_Control_Operaciones[#All],5,0),"")</f>
        <v/>
      </c>
      <c r="F2080" t="str">
        <f>+IFERROR(VLOOKUP(Fact_Control_Operaciones[[#This Row], 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ht="18.75" customHeight="1" x14ac:dyDescent="0.35">
      <c r="C2081" s="100" t="str">
        <f>IF(OR(Fact_Control_Operaciones[[#This Row], [Año]]="",Fact_Control_Operaciones[[#This Row], 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 [Concepto Anterior]],Conceptos_Control_Operaciones[#All],5,0),"")</f>
        <v/>
      </c>
      <c r="F2081" t="str">
        <f>+IFERROR(VLOOKUP(Fact_Control_Operaciones[[#This Row], 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ht="18.75" customHeight="1" x14ac:dyDescent="0.35">
      <c r="C2082" s="100" t="str">
        <f>IF(OR(Fact_Control_Operaciones[[#This Row], [Año]]="",Fact_Control_Operaciones[[#This Row], 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 [Concepto Anterior]],Conceptos_Control_Operaciones[#All],5,0),"")</f>
        <v/>
      </c>
      <c r="F2082" t="str">
        <f>+IFERROR(VLOOKUP(Fact_Control_Operaciones[[#This Row], 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ht="18.75" customHeight="1" x14ac:dyDescent="0.35">
      <c r="C2083" s="100" t="str">
        <f>IF(OR(Fact_Control_Operaciones[[#This Row], [Año]]="",Fact_Control_Operaciones[[#This Row], 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 [Concepto Anterior]],Conceptos_Control_Operaciones[#All],5,0),"")</f>
        <v/>
      </c>
      <c r="F2083" t="str">
        <f>+IFERROR(VLOOKUP(Fact_Control_Operaciones[[#This Row], 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ht="18.75" customHeight="1" x14ac:dyDescent="0.35">
      <c r="C2084" s="100" t="str">
        <f>IF(OR(Fact_Control_Operaciones[[#This Row], [Año]]="",Fact_Control_Operaciones[[#This Row], 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 [Concepto Anterior]],Conceptos_Control_Operaciones[#All],5,0),"")</f>
        <v/>
      </c>
      <c r="F2084" t="str">
        <f>+IFERROR(VLOOKUP(Fact_Control_Operaciones[[#This Row], 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ht="18.75" customHeight="1" x14ac:dyDescent="0.35">
      <c r="C2085" s="100" t="str">
        <f>IF(OR(Fact_Control_Operaciones[[#This Row], [Año]]="",Fact_Control_Operaciones[[#This Row], 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 [Concepto Anterior]],Conceptos_Control_Operaciones[#All],5,0),"")</f>
        <v/>
      </c>
      <c r="F2085" t="str">
        <f>+IFERROR(VLOOKUP(Fact_Control_Operaciones[[#This Row], 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ht="18.75" customHeight="1" x14ac:dyDescent="0.35">
      <c r="C2086" s="100" t="str">
        <f>IF(OR(Fact_Control_Operaciones[[#This Row], [Año]]="",Fact_Control_Operaciones[[#This Row], 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 [Concepto Anterior]],Conceptos_Control_Operaciones[#All],5,0),"")</f>
        <v/>
      </c>
      <c r="F2086" t="str">
        <f>+IFERROR(VLOOKUP(Fact_Control_Operaciones[[#This Row], 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ht="18.75" customHeight="1" x14ac:dyDescent="0.35">
      <c r="C2087" s="100" t="str">
        <f>IF(OR(Fact_Control_Operaciones[[#This Row], [Año]]="",Fact_Control_Operaciones[[#This Row], 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 [Concepto Anterior]],Conceptos_Control_Operaciones[#All],5,0),"")</f>
        <v/>
      </c>
      <c r="F2087" t="str">
        <f>+IFERROR(VLOOKUP(Fact_Control_Operaciones[[#This Row], 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ht="18.75" customHeight="1" x14ac:dyDescent="0.35">
      <c r="C2088" s="100" t="str">
        <f>IF(OR(Fact_Control_Operaciones[[#This Row], [Año]]="",Fact_Control_Operaciones[[#This Row], 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 [Concepto Anterior]],Conceptos_Control_Operaciones[#All],5,0),"")</f>
        <v/>
      </c>
      <c r="F2088" t="str">
        <f>+IFERROR(VLOOKUP(Fact_Control_Operaciones[[#This Row], 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ht="18.75" customHeight="1" x14ac:dyDescent="0.35">
      <c r="C2089" s="100" t="str">
        <f>IF(OR(Fact_Control_Operaciones[[#This Row], [Año]]="",Fact_Control_Operaciones[[#This Row], 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 [Concepto Anterior]],Conceptos_Control_Operaciones[#All],5,0),"")</f>
        <v/>
      </c>
      <c r="F2089" t="str">
        <f>+IFERROR(VLOOKUP(Fact_Control_Operaciones[[#This Row], 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ht="18.75" customHeight="1" x14ac:dyDescent="0.35">
      <c r="C2090" s="100" t="str">
        <f>IF(OR(Fact_Control_Operaciones[[#This Row], [Año]]="",Fact_Control_Operaciones[[#This Row], 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 [Concepto Anterior]],Conceptos_Control_Operaciones[#All],5,0),"")</f>
        <v/>
      </c>
      <c r="F2090" t="str">
        <f>+IFERROR(VLOOKUP(Fact_Control_Operaciones[[#This Row], 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ht="18.75" customHeight="1" x14ac:dyDescent="0.35">
      <c r="C2091" s="100" t="str">
        <f>IF(OR(Fact_Control_Operaciones[[#This Row], [Año]]="",Fact_Control_Operaciones[[#This Row], 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 [Concepto Anterior]],Conceptos_Control_Operaciones[#All],5,0),"")</f>
        <v/>
      </c>
      <c r="F2091" t="str">
        <f>+IFERROR(VLOOKUP(Fact_Control_Operaciones[[#This Row], 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ht="18.75" customHeight="1" x14ac:dyDescent="0.35">
      <c r="C2092" s="100" t="str">
        <f>IF(OR(Fact_Control_Operaciones[[#This Row], [Año]]="",Fact_Control_Operaciones[[#This Row], 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 [Concepto Anterior]],Conceptos_Control_Operaciones[#All],5,0),"")</f>
        <v/>
      </c>
      <c r="F2092" t="str">
        <f>+IFERROR(VLOOKUP(Fact_Control_Operaciones[[#This Row], 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ht="18.75" customHeight="1" x14ac:dyDescent="0.35">
      <c r="C2093" s="100" t="str">
        <f>IF(OR(Fact_Control_Operaciones[[#This Row], [Año]]="",Fact_Control_Operaciones[[#This Row], 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 [Concepto Anterior]],Conceptos_Control_Operaciones[#All],5,0),"")</f>
        <v/>
      </c>
      <c r="F2093" t="str">
        <f>+IFERROR(VLOOKUP(Fact_Control_Operaciones[[#This Row], 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ht="18.75" customHeight="1" x14ac:dyDescent="0.35">
      <c r="C2094" s="100" t="str">
        <f>IF(OR(Fact_Control_Operaciones[[#This Row], [Año]]="",Fact_Control_Operaciones[[#This Row], 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 [Concepto Anterior]],Conceptos_Control_Operaciones[#All],5,0),"")</f>
        <v/>
      </c>
      <c r="F2094" t="str">
        <f>+IFERROR(VLOOKUP(Fact_Control_Operaciones[[#This Row], 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ht="18.75" customHeight="1" x14ac:dyDescent="0.35">
      <c r="C2095" s="100" t="str">
        <f>IF(OR(Fact_Control_Operaciones[[#This Row], [Año]]="",Fact_Control_Operaciones[[#This Row], 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 [Concepto Anterior]],Conceptos_Control_Operaciones[#All],5,0),"")</f>
        <v/>
      </c>
      <c r="F2095" t="str">
        <f>+IFERROR(VLOOKUP(Fact_Control_Operaciones[[#This Row], 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ht="18.75" customHeight="1" x14ac:dyDescent="0.35">
      <c r="C2096" s="100" t="str">
        <f>IF(OR(Fact_Control_Operaciones[[#This Row], [Año]]="",Fact_Control_Operaciones[[#This Row], 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 [Concepto Anterior]],Conceptos_Control_Operaciones[#All],5,0),"")</f>
        <v/>
      </c>
      <c r="F2096" t="str">
        <f>+IFERROR(VLOOKUP(Fact_Control_Operaciones[[#This Row], 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ht="18.75" customHeight="1" x14ac:dyDescent="0.35">
      <c r="C2097" s="100" t="str">
        <f>IF(OR(Fact_Control_Operaciones[[#This Row], [Año]]="",Fact_Control_Operaciones[[#This Row], 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 [Concepto Anterior]],Conceptos_Control_Operaciones[#All],5,0),"")</f>
        <v/>
      </c>
      <c r="F2097" t="str">
        <f>+IFERROR(VLOOKUP(Fact_Control_Operaciones[[#This Row], 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ht="18.75" customHeight="1" x14ac:dyDescent="0.35">
      <c r="C2098" s="100" t="str">
        <f>IF(OR(Fact_Control_Operaciones[[#This Row], [Año]]="",Fact_Control_Operaciones[[#This Row], 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 [Concepto Anterior]],Conceptos_Control_Operaciones[#All],5,0),"")</f>
        <v/>
      </c>
      <c r="F2098" t="str">
        <f>+IFERROR(VLOOKUP(Fact_Control_Operaciones[[#This Row], 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ht="18.75" customHeight="1" x14ac:dyDescent="0.35">
      <c r="C2099" s="100" t="str">
        <f>IF(OR(Fact_Control_Operaciones[[#This Row], [Año]]="",Fact_Control_Operaciones[[#This Row], 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 [Concepto Anterior]],Conceptos_Control_Operaciones[#All],5,0),"")</f>
        <v/>
      </c>
      <c r="F2099" t="str">
        <f>+IFERROR(VLOOKUP(Fact_Control_Operaciones[[#This Row], 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ht="18.75" customHeight="1" x14ac:dyDescent="0.35">
      <c r="C2100" s="100" t="str">
        <f>IF(OR(Fact_Control_Operaciones[[#This Row], [Año]]="",Fact_Control_Operaciones[[#This Row], 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 [Concepto Anterior]],Conceptos_Control_Operaciones[#All],5,0),"")</f>
        <v/>
      </c>
      <c r="F2100" t="str">
        <f>+IFERROR(VLOOKUP(Fact_Control_Operaciones[[#This Row], 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ht="18.75" customHeight="1" x14ac:dyDescent="0.35">
      <c r="C2101" s="100" t="str">
        <f>IF(OR(Fact_Control_Operaciones[[#This Row], [Año]]="",Fact_Control_Operaciones[[#This Row], 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 [Concepto Anterior]],Conceptos_Control_Operaciones[#All],5,0),"")</f>
        <v/>
      </c>
      <c r="F2101" t="str">
        <f>+IFERROR(VLOOKUP(Fact_Control_Operaciones[[#This Row], 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ht="18.75" customHeight="1" x14ac:dyDescent="0.35">
      <c r="C2102" s="100" t="str">
        <f>IF(OR(Fact_Control_Operaciones[[#This Row], [Año]]="",Fact_Control_Operaciones[[#This Row], 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 [Concepto Anterior]],Conceptos_Control_Operaciones[#All],5,0),"")</f>
        <v/>
      </c>
      <c r="F2102" t="str">
        <f>+IFERROR(VLOOKUP(Fact_Control_Operaciones[[#This Row], 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ht="18.75" customHeight="1" x14ac:dyDescent="0.35">
      <c r="C2103" s="100" t="str">
        <f>IF(OR(Fact_Control_Operaciones[[#This Row], [Año]]="",Fact_Control_Operaciones[[#This Row], 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 [Concepto Anterior]],Conceptos_Control_Operaciones[#All],5,0),"")</f>
        <v/>
      </c>
      <c r="F2103" t="str">
        <f>+IFERROR(VLOOKUP(Fact_Control_Operaciones[[#This Row], 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ht="18.75" customHeight="1" x14ac:dyDescent="0.35">
      <c r="C2104" s="100" t="str">
        <f>IF(OR(Fact_Control_Operaciones[[#This Row], [Año]]="",Fact_Control_Operaciones[[#This Row], 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 [Concepto Anterior]],Conceptos_Control_Operaciones[#All],5,0),"")</f>
        <v/>
      </c>
      <c r="F2104" t="str">
        <f>+IFERROR(VLOOKUP(Fact_Control_Operaciones[[#This Row], 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ht="18.75" customHeight="1" x14ac:dyDescent="0.35">
      <c r="C2105" s="100" t="str">
        <f>IF(OR(Fact_Control_Operaciones[[#This Row], [Año]]="",Fact_Control_Operaciones[[#This Row], 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 [Concepto Anterior]],Conceptos_Control_Operaciones[#All],5,0),"")</f>
        <v/>
      </c>
      <c r="F2105" t="str">
        <f>+IFERROR(VLOOKUP(Fact_Control_Operaciones[[#This Row], 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ht="18.75" customHeight="1" x14ac:dyDescent="0.35">
      <c r="C2106" s="100" t="str">
        <f>IF(OR(Fact_Control_Operaciones[[#This Row], [Año]]="",Fact_Control_Operaciones[[#This Row], 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 [Concepto Anterior]],Conceptos_Control_Operaciones[#All],5,0),"")</f>
        <v/>
      </c>
      <c r="F2106" t="str">
        <f>+IFERROR(VLOOKUP(Fact_Control_Operaciones[[#This Row], 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ht="18.75" customHeight="1" x14ac:dyDescent="0.35">
      <c r="C2107" s="100" t="str">
        <f>IF(OR(Fact_Control_Operaciones[[#This Row], [Año]]="",Fact_Control_Operaciones[[#This Row], 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 [Concepto Anterior]],Conceptos_Control_Operaciones[#All],5,0),"")</f>
        <v/>
      </c>
      <c r="F2107" t="str">
        <f>+IFERROR(VLOOKUP(Fact_Control_Operaciones[[#This Row], 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ht="18.75" customHeight="1" x14ac:dyDescent="0.35">
      <c r="C2108" s="100" t="str">
        <f>IF(OR(Fact_Control_Operaciones[[#This Row], [Año]]="",Fact_Control_Operaciones[[#This Row], 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 [Concepto Anterior]],Conceptos_Control_Operaciones[#All],5,0),"")</f>
        <v/>
      </c>
      <c r="F2108" t="str">
        <f>+IFERROR(VLOOKUP(Fact_Control_Operaciones[[#This Row], 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ht="18.75" customHeight="1" x14ac:dyDescent="0.35">
      <c r="C2109" s="100" t="str">
        <f>IF(OR(Fact_Control_Operaciones[[#This Row], [Año]]="",Fact_Control_Operaciones[[#This Row], 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 [Concepto Anterior]],Conceptos_Control_Operaciones[#All],5,0),"")</f>
        <v/>
      </c>
      <c r="F2109" t="str">
        <f>+IFERROR(VLOOKUP(Fact_Control_Operaciones[[#This Row], 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ht="18.75" customHeight="1" x14ac:dyDescent="0.35">
      <c r="C2110" s="100" t="str">
        <f>IF(OR(Fact_Control_Operaciones[[#This Row], [Año]]="",Fact_Control_Operaciones[[#This Row], 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 [Concepto Anterior]],Conceptos_Control_Operaciones[#All],5,0),"")</f>
        <v/>
      </c>
      <c r="F2110" t="str">
        <f>+IFERROR(VLOOKUP(Fact_Control_Operaciones[[#This Row], 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ht="18.75" customHeight="1" x14ac:dyDescent="0.35">
      <c r="C2111" s="100" t="str">
        <f>IF(OR(Fact_Control_Operaciones[[#This Row], [Año]]="",Fact_Control_Operaciones[[#This Row], 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 [Concepto Anterior]],Conceptos_Control_Operaciones[#All],5,0),"")</f>
        <v/>
      </c>
      <c r="F2111" t="str">
        <f>+IFERROR(VLOOKUP(Fact_Control_Operaciones[[#This Row], 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ht="18.75" customHeight="1" x14ac:dyDescent="0.35">
      <c r="C2112" s="100" t="str">
        <f>IF(OR(Fact_Control_Operaciones[[#This Row], [Año]]="",Fact_Control_Operaciones[[#This Row], 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 [Concepto Anterior]],Conceptos_Control_Operaciones[#All],5,0),"")</f>
        <v/>
      </c>
      <c r="F2112" t="str">
        <f>+IFERROR(VLOOKUP(Fact_Control_Operaciones[[#This Row], 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ht="18.75" customHeight="1" x14ac:dyDescent="0.35">
      <c r="C2113" s="100" t="str">
        <f>IF(OR(Fact_Control_Operaciones[[#This Row], [Año]]="",Fact_Control_Operaciones[[#This Row], 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 [Concepto Anterior]],Conceptos_Control_Operaciones[#All],5,0),"")</f>
        <v/>
      </c>
      <c r="F2113" t="str">
        <f>+IFERROR(VLOOKUP(Fact_Control_Operaciones[[#This Row], 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ht="18.75" customHeight="1" x14ac:dyDescent="0.35">
      <c r="C2114" s="100" t="str">
        <f>IF(OR(Fact_Control_Operaciones[[#This Row], [Año]]="",Fact_Control_Operaciones[[#This Row], 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 [Concepto Anterior]],Conceptos_Control_Operaciones[#All],5,0),"")</f>
        <v/>
      </c>
      <c r="F2114" t="str">
        <f>+IFERROR(VLOOKUP(Fact_Control_Operaciones[[#This Row], 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ht="18.75" customHeight="1" x14ac:dyDescent="0.35">
      <c r="C2115" s="100" t="str">
        <f>IF(OR(Fact_Control_Operaciones[[#This Row], [Año]]="",Fact_Control_Operaciones[[#This Row], 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 [Concepto Anterior]],Conceptos_Control_Operaciones[#All],5,0),"")</f>
        <v/>
      </c>
      <c r="F2115" t="str">
        <f>+IFERROR(VLOOKUP(Fact_Control_Operaciones[[#This Row], 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ht="18.75" customHeight="1" x14ac:dyDescent="0.35">
      <c r="C2116" s="100" t="str">
        <f>IF(OR(Fact_Control_Operaciones[[#This Row], [Año]]="",Fact_Control_Operaciones[[#This Row], 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 [Concepto Anterior]],Conceptos_Control_Operaciones[#All],5,0),"")</f>
        <v/>
      </c>
      <c r="F2116" t="str">
        <f>+IFERROR(VLOOKUP(Fact_Control_Operaciones[[#This Row], 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ht="18.75" customHeight="1" x14ac:dyDescent="0.35">
      <c r="C2117" s="100" t="str">
        <f>IF(OR(Fact_Control_Operaciones[[#This Row], [Año]]="",Fact_Control_Operaciones[[#This Row], 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 [Concepto Anterior]],Conceptos_Control_Operaciones[#All],5,0),"")</f>
        <v/>
      </c>
      <c r="F2117" t="str">
        <f>+IFERROR(VLOOKUP(Fact_Control_Operaciones[[#This Row], 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ht="18.75" customHeight="1" x14ac:dyDescent="0.35">
      <c r="C2118" s="100" t="str">
        <f>IF(OR(Fact_Control_Operaciones[[#This Row], [Año]]="",Fact_Control_Operaciones[[#This Row], 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 [Concepto Anterior]],Conceptos_Control_Operaciones[#All],5,0),"")</f>
        <v/>
      </c>
      <c r="F2118" t="str">
        <f>+IFERROR(VLOOKUP(Fact_Control_Operaciones[[#This Row], 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ht="18.75" customHeight="1" x14ac:dyDescent="0.35">
      <c r="C2119" s="100" t="str">
        <f>IF(OR(Fact_Control_Operaciones[[#This Row], [Año]]="",Fact_Control_Operaciones[[#This Row], 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 [Concepto Anterior]],Conceptos_Control_Operaciones[#All],5,0),"")</f>
        <v/>
      </c>
      <c r="F2119" t="str">
        <f>+IFERROR(VLOOKUP(Fact_Control_Operaciones[[#This Row], 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ht="18.75" customHeight="1" x14ac:dyDescent="0.35">
      <c r="C2120" s="100" t="str">
        <f>IF(OR(Fact_Control_Operaciones[[#This Row], [Año]]="",Fact_Control_Operaciones[[#This Row], 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 [Concepto Anterior]],Conceptos_Control_Operaciones[#All],5,0),"")</f>
        <v/>
      </c>
      <c r="F2120" t="str">
        <f>+IFERROR(VLOOKUP(Fact_Control_Operaciones[[#This Row], 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ht="18.75" customHeight="1" x14ac:dyDescent="0.35">
      <c r="C2121" s="100" t="str">
        <f>IF(OR(Fact_Control_Operaciones[[#This Row], [Año]]="",Fact_Control_Operaciones[[#This Row], 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 [Concepto Anterior]],Conceptos_Control_Operaciones[#All],5,0),"")</f>
        <v/>
      </c>
      <c r="F2121" t="str">
        <f>+IFERROR(VLOOKUP(Fact_Control_Operaciones[[#This Row], 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ht="18.75" customHeight="1" x14ac:dyDescent="0.35">
      <c r="C2122" s="100" t="str">
        <f>IF(OR(Fact_Control_Operaciones[[#This Row], [Año]]="",Fact_Control_Operaciones[[#This Row], 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 [Concepto Anterior]],Conceptos_Control_Operaciones[#All],5,0),"")</f>
        <v/>
      </c>
      <c r="F2122" t="str">
        <f>+IFERROR(VLOOKUP(Fact_Control_Operaciones[[#This Row], 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ht="18.75" customHeight="1" x14ac:dyDescent="0.35">
      <c r="C2123" s="100" t="str">
        <f>IF(OR(Fact_Control_Operaciones[[#This Row], [Año]]="",Fact_Control_Operaciones[[#This Row], 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 [Concepto Anterior]],Conceptos_Control_Operaciones[#All],5,0),"")</f>
        <v/>
      </c>
      <c r="F2123" t="str">
        <f>+IFERROR(VLOOKUP(Fact_Control_Operaciones[[#This Row], 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ht="18.75" customHeight="1" x14ac:dyDescent="0.35">
      <c r="C2124" s="100" t="str">
        <f>IF(OR(Fact_Control_Operaciones[[#This Row], [Año]]="",Fact_Control_Operaciones[[#This Row], 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 [Concepto Anterior]],Conceptos_Control_Operaciones[#All],5,0),"")</f>
        <v/>
      </c>
      <c r="F2124" t="str">
        <f>+IFERROR(VLOOKUP(Fact_Control_Operaciones[[#This Row], 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ht="18.75" customHeight="1" x14ac:dyDescent="0.35">
      <c r="C2125" s="100" t="str">
        <f>IF(OR(Fact_Control_Operaciones[[#This Row], [Año]]="",Fact_Control_Operaciones[[#This Row], 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 [Concepto Anterior]],Conceptos_Control_Operaciones[#All],5,0),"")</f>
        <v/>
      </c>
      <c r="F2125" t="str">
        <f>+IFERROR(VLOOKUP(Fact_Control_Operaciones[[#This Row], 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ht="18.75" customHeight="1" x14ac:dyDescent="0.35">
      <c r="C2126" s="100" t="str">
        <f>IF(OR(Fact_Control_Operaciones[[#This Row], [Año]]="",Fact_Control_Operaciones[[#This Row], 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 [Concepto Anterior]],Conceptos_Control_Operaciones[#All],5,0),"")</f>
        <v/>
      </c>
      <c r="F2126" t="str">
        <f>+IFERROR(VLOOKUP(Fact_Control_Operaciones[[#This Row], 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ht="18.75" customHeight="1" x14ac:dyDescent="0.35">
      <c r="C2127" s="100" t="str">
        <f>IF(OR(Fact_Control_Operaciones[[#This Row], [Año]]="",Fact_Control_Operaciones[[#This Row], 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 [Concepto Anterior]],Conceptos_Control_Operaciones[#All],5,0),"")</f>
        <v/>
      </c>
      <c r="F2127" t="str">
        <f>+IFERROR(VLOOKUP(Fact_Control_Operaciones[[#This Row], 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ht="18.75" customHeight="1" x14ac:dyDescent="0.35">
      <c r="C2128" s="100" t="str">
        <f>IF(OR(Fact_Control_Operaciones[[#This Row], [Año]]="",Fact_Control_Operaciones[[#This Row], 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 [Concepto Anterior]],Conceptos_Control_Operaciones[#All],5,0),"")</f>
        <v/>
      </c>
      <c r="F2128" t="str">
        <f>+IFERROR(VLOOKUP(Fact_Control_Operaciones[[#This Row], 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ht="18.75" customHeight="1" x14ac:dyDescent="0.35">
      <c r="C2129" s="100" t="str">
        <f>IF(OR(Fact_Control_Operaciones[[#This Row], [Año]]="",Fact_Control_Operaciones[[#This Row], 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 [Concepto Anterior]],Conceptos_Control_Operaciones[#All],5,0),"")</f>
        <v/>
      </c>
      <c r="F2129" t="str">
        <f>+IFERROR(VLOOKUP(Fact_Control_Operaciones[[#This Row], 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ht="18.75" customHeight="1" x14ac:dyDescent="0.35">
      <c r="C2130" s="100" t="str">
        <f>IF(OR(Fact_Control_Operaciones[[#This Row], [Año]]="",Fact_Control_Operaciones[[#This Row], 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 [Concepto Anterior]],Conceptos_Control_Operaciones[#All],5,0),"")</f>
        <v/>
      </c>
      <c r="F2130" t="str">
        <f>+IFERROR(VLOOKUP(Fact_Control_Operaciones[[#This Row], 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ht="18.75" customHeight="1" x14ac:dyDescent="0.35">
      <c r="C2131" s="100" t="str">
        <f>IF(OR(Fact_Control_Operaciones[[#This Row], [Año]]="",Fact_Control_Operaciones[[#This Row], 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 [Concepto Anterior]],Conceptos_Control_Operaciones[#All],5,0),"")</f>
        <v/>
      </c>
      <c r="F2131" t="str">
        <f>+IFERROR(VLOOKUP(Fact_Control_Operaciones[[#This Row], 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ht="18.75" customHeight="1" x14ac:dyDescent="0.35">
      <c r="C2132" s="100" t="str">
        <f>IF(OR(Fact_Control_Operaciones[[#This Row], [Año]]="",Fact_Control_Operaciones[[#This Row], 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 [Concepto Anterior]],Conceptos_Control_Operaciones[#All],5,0),"")</f>
        <v/>
      </c>
      <c r="F2132" t="str">
        <f>+IFERROR(VLOOKUP(Fact_Control_Operaciones[[#This Row], 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ht="18.75" customHeight="1" x14ac:dyDescent="0.35">
      <c r="C2133" s="100" t="str">
        <f>IF(OR(Fact_Control_Operaciones[[#This Row], [Año]]="",Fact_Control_Operaciones[[#This Row], 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 [Concepto Anterior]],Conceptos_Control_Operaciones[#All],5,0),"")</f>
        <v/>
      </c>
      <c r="F2133" t="str">
        <f>+IFERROR(VLOOKUP(Fact_Control_Operaciones[[#This Row], 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ht="18.75" customHeight="1" x14ac:dyDescent="0.35">
      <c r="C2134" s="100" t="str">
        <f>IF(OR(Fact_Control_Operaciones[[#This Row], [Año]]="",Fact_Control_Operaciones[[#This Row], 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 [Concepto Anterior]],Conceptos_Control_Operaciones[#All],5,0),"")</f>
        <v/>
      </c>
      <c r="F2134" t="str">
        <f>+IFERROR(VLOOKUP(Fact_Control_Operaciones[[#This Row], 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ht="18.75" customHeight="1" x14ac:dyDescent="0.35">
      <c r="C2135" s="100" t="str">
        <f>IF(OR(Fact_Control_Operaciones[[#This Row], [Año]]="",Fact_Control_Operaciones[[#This Row], 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 [Concepto Anterior]],Conceptos_Control_Operaciones[#All],5,0),"")</f>
        <v/>
      </c>
      <c r="F2135" t="str">
        <f>+IFERROR(VLOOKUP(Fact_Control_Operaciones[[#This Row], 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ht="18.75" customHeight="1" x14ac:dyDescent="0.35">
      <c r="C2136" s="100" t="str">
        <f>IF(OR(Fact_Control_Operaciones[[#This Row], [Año]]="",Fact_Control_Operaciones[[#This Row], 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 [Concepto Anterior]],Conceptos_Control_Operaciones[#All],5,0),"")</f>
        <v/>
      </c>
      <c r="F2136" t="str">
        <f>+IFERROR(VLOOKUP(Fact_Control_Operaciones[[#This Row], 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ht="18.75" customHeight="1" x14ac:dyDescent="0.35">
      <c r="C2137" s="100" t="str">
        <f>IF(OR(Fact_Control_Operaciones[[#This Row], [Año]]="",Fact_Control_Operaciones[[#This Row], 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 [Concepto Anterior]],Conceptos_Control_Operaciones[#All],5,0),"")</f>
        <v/>
      </c>
      <c r="F2137" t="str">
        <f>+IFERROR(VLOOKUP(Fact_Control_Operaciones[[#This Row], 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ht="18.75" customHeight="1" x14ac:dyDescent="0.35">
      <c r="C2138" s="100" t="str">
        <f>IF(OR(Fact_Control_Operaciones[[#This Row], [Año]]="",Fact_Control_Operaciones[[#This Row], 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 [Concepto Anterior]],Conceptos_Control_Operaciones[#All],5,0),"")</f>
        <v/>
      </c>
      <c r="F2138" t="str">
        <f>+IFERROR(VLOOKUP(Fact_Control_Operaciones[[#This Row], 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ht="18.75" customHeight="1" x14ac:dyDescent="0.35">
      <c r="C2139" s="100" t="str">
        <f>IF(OR(Fact_Control_Operaciones[[#This Row], [Año]]="",Fact_Control_Operaciones[[#This Row], 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 [Concepto Anterior]],Conceptos_Control_Operaciones[#All],5,0),"")</f>
        <v/>
      </c>
      <c r="F2139" t="str">
        <f>+IFERROR(VLOOKUP(Fact_Control_Operaciones[[#This Row], 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ht="18.75" customHeight="1" x14ac:dyDescent="0.35">
      <c r="C2140" s="100" t="str">
        <f>IF(OR(Fact_Control_Operaciones[[#This Row], [Año]]="",Fact_Control_Operaciones[[#This Row], 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 [Concepto Anterior]],Conceptos_Control_Operaciones[#All],5,0),"")</f>
        <v/>
      </c>
      <c r="F2140" t="str">
        <f>+IFERROR(VLOOKUP(Fact_Control_Operaciones[[#This Row], 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ht="18.75" customHeight="1" x14ac:dyDescent="0.35">
      <c r="C2141" s="100" t="str">
        <f>IF(OR(Fact_Control_Operaciones[[#This Row], [Año]]="",Fact_Control_Operaciones[[#This Row], 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 [Concepto Anterior]],Conceptos_Control_Operaciones[#All],5,0),"")</f>
        <v/>
      </c>
      <c r="F2141" t="str">
        <f>+IFERROR(VLOOKUP(Fact_Control_Operaciones[[#This Row], 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ht="18.75" customHeight="1" x14ac:dyDescent="0.35">
      <c r="C2142" s="100" t="str">
        <f>IF(OR(Fact_Control_Operaciones[[#This Row], [Año]]="",Fact_Control_Operaciones[[#This Row], 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 [Concepto Anterior]],Conceptos_Control_Operaciones[#All],5,0),"")</f>
        <v/>
      </c>
      <c r="F2142" t="str">
        <f>+IFERROR(VLOOKUP(Fact_Control_Operaciones[[#This Row], 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ht="18.75" customHeight="1" x14ac:dyDescent="0.35">
      <c r="C2143" s="100" t="str">
        <f>IF(OR(Fact_Control_Operaciones[[#This Row], [Año]]="",Fact_Control_Operaciones[[#This Row], 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 [Concepto Anterior]],Conceptos_Control_Operaciones[#All],5,0),"")</f>
        <v/>
      </c>
      <c r="F2143" t="str">
        <f>+IFERROR(VLOOKUP(Fact_Control_Operaciones[[#This Row], 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ht="18.75" customHeight="1" x14ac:dyDescent="0.35">
      <c r="C2144" s="100" t="str">
        <f>IF(OR(Fact_Control_Operaciones[[#This Row], [Año]]="",Fact_Control_Operaciones[[#This Row], 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 [Concepto Anterior]],Conceptos_Control_Operaciones[#All],5,0),"")</f>
        <v/>
      </c>
      <c r="F2144" t="str">
        <f>+IFERROR(VLOOKUP(Fact_Control_Operaciones[[#This Row], 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ht="18.75" customHeight="1" x14ac:dyDescent="0.35">
      <c r="C2145" s="100" t="str">
        <f>IF(OR(Fact_Control_Operaciones[[#This Row], [Año]]="",Fact_Control_Operaciones[[#This Row], 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 [Concepto Anterior]],Conceptos_Control_Operaciones[#All],5,0),"")</f>
        <v/>
      </c>
      <c r="F2145" t="str">
        <f>+IFERROR(VLOOKUP(Fact_Control_Operaciones[[#This Row], 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ht="18.75" customHeight="1" x14ac:dyDescent="0.35">
      <c r="C2146" s="100" t="str">
        <f>IF(OR(Fact_Control_Operaciones[[#This Row], [Año]]="",Fact_Control_Operaciones[[#This Row], 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 [Concepto Anterior]],Conceptos_Control_Operaciones[#All],5,0),"")</f>
        <v/>
      </c>
      <c r="F2146" t="str">
        <f>+IFERROR(VLOOKUP(Fact_Control_Operaciones[[#This Row], 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ht="18.75" customHeight="1" x14ac:dyDescent="0.35">
      <c r="C2147" s="100" t="str">
        <f>IF(OR(Fact_Control_Operaciones[[#This Row], [Año]]="",Fact_Control_Operaciones[[#This Row], 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 [Concepto Anterior]],Conceptos_Control_Operaciones[#All],5,0),"")</f>
        <v/>
      </c>
      <c r="F2147" t="str">
        <f>+IFERROR(VLOOKUP(Fact_Control_Operaciones[[#This Row], 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ht="18.75" customHeight="1" x14ac:dyDescent="0.35">
      <c r="C2148" s="100" t="str">
        <f>IF(OR(Fact_Control_Operaciones[[#This Row], [Año]]="",Fact_Control_Operaciones[[#This Row], 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 [Concepto Anterior]],Conceptos_Control_Operaciones[#All],5,0),"")</f>
        <v/>
      </c>
      <c r="F2148" t="str">
        <f>+IFERROR(VLOOKUP(Fact_Control_Operaciones[[#This Row], 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ht="18.75" customHeight="1" x14ac:dyDescent="0.35">
      <c r="C2149" s="100" t="str">
        <f>IF(OR(Fact_Control_Operaciones[[#This Row], [Año]]="",Fact_Control_Operaciones[[#This Row], 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 [Concepto Anterior]],Conceptos_Control_Operaciones[#All],5,0),"")</f>
        <v/>
      </c>
      <c r="F2149" t="str">
        <f>+IFERROR(VLOOKUP(Fact_Control_Operaciones[[#This Row], 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ht="18.75" customHeight="1" x14ac:dyDescent="0.35">
      <c r="C2150" s="100" t="str">
        <f>IF(OR(Fact_Control_Operaciones[[#This Row], [Año]]="",Fact_Control_Operaciones[[#This Row], 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 [Concepto Anterior]],Conceptos_Control_Operaciones[#All],5,0),"")</f>
        <v/>
      </c>
      <c r="F2150" t="str">
        <f>+IFERROR(VLOOKUP(Fact_Control_Operaciones[[#This Row], 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ht="18.75" customHeight="1" x14ac:dyDescent="0.35">
      <c r="C2151" s="100" t="str">
        <f>IF(OR(Fact_Control_Operaciones[[#This Row], [Año]]="",Fact_Control_Operaciones[[#This Row], 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 [Concepto Anterior]],Conceptos_Control_Operaciones[#All],5,0),"")</f>
        <v/>
      </c>
      <c r="F2151" t="str">
        <f>+IFERROR(VLOOKUP(Fact_Control_Operaciones[[#This Row], 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ht="18.75" customHeight="1" x14ac:dyDescent="0.35">
      <c r="C2152" s="100" t="str">
        <f>IF(OR(Fact_Control_Operaciones[[#This Row], [Año]]="",Fact_Control_Operaciones[[#This Row], 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 [Concepto Anterior]],Conceptos_Control_Operaciones[#All],5,0),"")</f>
        <v/>
      </c>
      <c r="F2152" t="str">
        <f>+IFERROR(VLOOKUP(Fact_Control_Operaciones[[#This Row], 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ht="18.75" customHeight="1" x14ac:dyDescent="0.35">
      <c r="C2153" s="100" t="str">
        <f>IF(OR(Fact_Control_Operaciones[[#This Row], [Año]]="",Fact_Control_Operaciones[[#This Row], 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 [Concepto Anterior]],Conceptos_Control_Operaciones[#All],5,0),"")</f>
        <v/>
      </c>
      <c r="F2153" t="str">
        <f>+IFERROR(VLOOKUP(Fact_Control_Operaciones[[#This Row], 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ht="18.75" customHeight="1" x14ac:dyDescent="0.35">
      <c r="C2154" s="100" t="str">
        <f>IF(OR(Fact_Control_Operaciones[[#This Row], [Año]]="",Fact_Control_Operaciones[[#This Row], 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 [Concepto Anterior]],Conceptos_Control_Operaciones[#All],5,0),"")</f>
        <v/>
      </c>
      <c r="F2154" t="str">
        <f>+IFERROR(VLOOKUP(Fact_Control_Operaciones[[#This Row], 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ht="18.75" customHeight="1" x14ac:dyDescent="0.35">
      <c r="C2155" s="100" t="str">
        <f>IF(OR(Fact_Control_Operaciones[[#This Row], [Año]]="",Fact_Control_Operaciones[[#This Row], 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 [Concepto Anterior]],Conceptos_Control_Operaciones[#All],5,0),"")</f>
        <v/>
      </c>
      <c r="F2155" t="str">
        <f>+IFERROR(VLOOKUP(Fact_Control_Operaciones[[#This Row], 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ht="18.75" customHeight="1" x14ac:dyDescent="0.35">
      <c r="C2156" s="100" t="str">
        <f>IF(OR(Fact_Control_Operaciones[[#This Row], [Año]]="",Fact_Control_Operaciones[[#This Row], 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 [Concepto Anterior]],Conceptos_Control_Operaciones[#All],5,0),"")</f>
        <v/>
      </c>
      <c r="F2156" t="str">
        <f>+IFERROR(VLOOKUP(Fact_Control_Operaciones[[#This Row], 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ht="18.75" customHeight="1" x14ac:dyDescent="0.35">
      <c r="C2157" s="100" t="str">
        <f>IF(OR(Fact_Control_Operaciones[[#This Row], [Año]]="",Fact_Control_Operaciones[[#This Row], 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 [Concepto Anterior]],Conceptos_Control_Operaciones[#All],5,0),"")</f>
        <v/>
      </c>
      <c r="F2157" t="str">
        <f>+IFERROR(VLOOKUP(Fact_Control_Operaciones[[#This Row], 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ht="18.75" customHeight="1" x14ac:dyDescent="0.35">
      <c r="C2158" s="100" t="str">
        <f>IF(OR(Fact_Control_Operaciones[[#This Row], [Año]]="",Fact_Control_Operaciones[[#This Row], 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 [Concepto Anterior]],Conceptos_Control_Operaciones[#All],5,0),"")</f>
        <v/>
      </c>
      <c r="F2158" t="str">
        <f>+IFERROR(VLOOKUP(Fact_Control_Operaciones[[#This Row], 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ht="18.75" customHeight="1" x14ac:dyDescent="0.35">
      <c r="C2159" s="100" t="str">
        <f>IF(OR(Fact_Control_Operaciones[[#This Row], [Año]]="",Fact_Control_Operaciones[[#This Row], 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 [Concepto Anterior]],Conceptos_Control_Operaciones[#All],5,0),"")</f>
        <v/>
      </c>
      <c r="F2159" t="str">
        <f>+IFERROR(VLOOKUP(Fact_Control_Operaciones[[#This Row], 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ht="18.75" customHeight="1" x14ac:dyDescent="0.35">
      <c r="C2160" s="100" t="str">
        <f>IF(OR(Fact_Control_Operaciones[[#This Row], [Año]]="",Fact_Control_Operaciones[[#This Row], 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 [Concepto Anterior]],Conceptos_Control_Operaciones[#All],5,0),"")</f>
        <v/>
      </c>
      <c r="F2160" t="str">
        <f>+IFERROR(VLOOKUP(Fact_Control_Operaciones[[#This Row], 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ht="18.75" customHeight="1" x14ac:dyDescent="0.35">
      <c r="C2161" s="100" t="str">
        <f>IF(OR(Fact_Control_Operaciones[[#This Row], [Año]]="",Fact_Control_Operaciones[[#This Row], 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 [Concepto Anterior]],Conceptos_Control_Operaciones[#All],5,0),"")</f>
        <v/>
      </c>
      <c r="F2161" t="str">
        <f>+IFERROR(VLOOKUP(Fact_Control_Operaciones[[#This Row], 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ht="18.75" customHeight="1" x14ac:dyDescent="0.35">
      <c r="C2162" s="100" t="str">
        <f>IF(OR(Fact_Control_Operaciones[[#This Row], [Año]]="",Fact_Control_Operaciones[[#This Row], 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 [Concepto Anterior]],Conceptos_Control_Operaciones[#All],5,0),"")</f>
        <v/>
      </c>
      <c r="F2162" t="str">
        <f>+IFERROR(VLOOKUP(Fact_Control_Operaciones[[#This Row], 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ht="18.75" customHeight="1" x14ac:dyDescent="0.35">
      <c r="C2163" s="100" t="str">
        <f>IF(OR(Fact_Control_Operaciones[[#This Row], [Año]]="",Fact_Control_Operaciones[[#This Row], 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 [Concepto Anterior]],Conceptos_Control_Operaciones[#All],5,0),"")</f>
        <v/>
      </c>
      <c r="F2163" t="str">
        <f>+IFERROR(VLOOKUP(Fact_Control_Operaciones[[#This Row], 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ht="18.75" customHeight="1" x14ac:dyDescent="0.35">
      <c r="C2164" s="100" t="str">
        <f>IF(OR(Fact_Control_Operaciones[[#This Row], [Año]]="",Fact_Control_Operaciones[[#This Row], 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 [Concepto Anterior]],Conceptos_Control_Operaciones[#All],5,0),"")</f>
        <v/>
      </c>
      <c r="F2164" t="str">
        <f>+IFERROR(VLOOKUP(Fact_Control_Operaciones[[#This Row], 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ht="18.75" customHeight="1" x14ac:dyDescent="0.35">
      <c r="C2165" s="100" t="str">
        <f>IF(OR(Fact_Control_Operaciones[[#This Row], [Año]]="",Fact_Control_Operaciones[[#This Row], 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 [Concepto Anterior]],Conceptos_Control_Operaciones[#All],5,0),"")</f>
        <v/>
      </c>
      <c r="F2165" t="str">
        <f>+IFERROR(VLOOKUP(Fact_Control_Operaciones[[#This Row], 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ht="18.75" customHeight="1" x14ac:dyDescent="0.35">
      <c r="C2166" s="100" t="str">
        <f>IF(OR(Fact_Control_Operaciones[[#This Row], [Año]]="",Fact_Control_Operaciones[[#This Row], 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 [Concepto Anterior]],Conceptos_Control_Operaciones[#All],5,0),"")</f>
        <v/>
      </c>
      <c r="F2166" t="str">
        <f>+IFERROR(VLOOKUP(Fact_Control_Operaciones[[#This Row], 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ht="18.75" customHeight="1" x14ac:dyDescent="0.35">
      <c r="C2167" s="100" t="str">
        <f>IF(OR(Fact_Control_Operaciones[[#This Row], [Año]]="",Fact_Control_Operaciones[[#This Row], 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 [Concepto Anterior]],Conceptos_Control_Operaciones[#All],5,0),"")</f>
        <v/>
      </c>
      <c r="F2167" t="str">
        <f>+IFERROR(VLOOKUP(Fact_Control_Operaciones[[#This Row], 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ht="18.75" customHeight="1" x14ac:dyDescent="0.35">
      <c r="C2168" s="100" t="str">
        <f>IF(OR(Fact_Control_Operaciones[[#This Row], [Año]]="",Fact_Control_Operaciones[[#This Row], 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 [Concepto Anterior]],Conceptos_Control_Operaciones[#All],5,0),"")</f>
        <v/>
      </c>
      <c r="F2168" t="str">
        <f>+IFERROR(VLOOKUP(Fact_Control_Operaciones[[#This Row], 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ht="18.75" customHeight="1" x14ac:dyDescent="0.35">
      <c r="C2169" s="100" t="str">
        <f>IF(OR(Fact_Control_Operaciones[[#This Row], [Año]]="",Fact_Control_Operaciones[[#This Row], 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 [Concepto Anterior]],Conceptos_Control_Operaciones[#All],5,0),"")</f>
        <v/>
      </c>
      <c r="F2169" t="str">
        <f>+IFERROR(VLOOKUP(Fact_Control_Operaciones[[#This Row], 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ht="18.75" customHeight="1" x14ac:dyDescent="0.35">
      <c r="C2170" s="100" t="str">
        <f>IF(OR(Fact_Control_Operaciones[[#This Row], [Año]]="",Fact_Control_Operaciones[[#This Row], 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 [Concepto Anterior]],Conceptos_Control_Operaciones[#All],5,0),"")</f>
        <v/>
      </c>
      <c r="F2170" t="str">
        <f>+IFERROR(VLOOKUP(Fact_Control_Operaciones[[#This Row], 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ht="18.75" customHeight="1" x14ac:dyDescent="0.35">
      <c r="C2171" s="100" t="str">
        <f>IF(OR(Fact_Control_Operaciones[[#This Row], [Año]]="",Fact_Control_Operaciones[[#This Row], 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 [Concepto Anterior]],Conceptos_Control_Operaciones[#All],5,0),"")</f>
        <v/>
      </c>
      <c r="F2171" t="str">
        <f>+IFERROR(VLOOKUP(Fact_Control_Operaciones[[#This Row], 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ht="18.75" customHeight="1" x14ac:dyDescent="0.35">
      <c r="C2172" s="100" t="str">
        <f>IF(OR(Fact_Control_Operaciones[[#This Row], [Año]]="",Fact_Control_Operaciones[[#This Row], 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 [Concepto Anterior]],Conceptos_Control_Operaciones[#All],5,0),"")</f>
        <v/>
      </c>
      <c r="F2172" t="str">
        <f>+IFERROR(VLOOKUP(Fact_Control_Operaciones[[#This Row], 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ht="18.75" customHeight="1" x14ac:dyDescent="0.35">
      <c r="C2173" s="100" t="str">
        <f>IF(OR(Fact_Control_Operaciones[[#This Row], [Año]]="",Fact_Control_Operaciones[[#This Row], 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 [Concepto Anterior]],Conceptos_Control_Operaciones[#All],5,0),"")</f>
        <v/>
      </c>
      <c r="F2173" t="str">
        <f>+IFERROR(VLOOKUP(Fact_Control_Operaciones[[#This Row], 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ht="18.75" customHeight="1" x14ac:dyDescent="0.35">
      <c r="C2174" s="100" t="str">
        <f>IF(OR(Fact_Control_Operaciones[[#This Row], [Año]]="",Fact_Control_Operaciones[[#This Row], 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 [Concepto Anterior]],Conceptos_Control_Operaciones[#All],5,0),"")</f>
        <v/>
      </c>
      <c r="F2174" t="str">
        <f>+IFERROR(VLOOKUP(Fact_Control_Operaciones[[#This Row], 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ht="18.75" customHeight="1" x14ac:dyDescent="0.35">
      <c r="C2175" s="100" t="str">
        <f>IF(OR(Fact_Control_Operaciones[[#This Row], [Año]]="",Fact_Control_Operaciones[[#This Row], 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 [Concepto Anterior]],Conceptos_Control_Operaciones[#All],5,0),"")</f>
        <v/>
      </c>
      <c r="F2175" t="str">
        <f>+IFERROR(VLOOKUP(Fact_Control_Operaciones[[#This Row], 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ht="18.75" customHeight="1" x14ac:dyDescent="0.35">
      <c r="C2176" s="100" t="str">
        <f>IF(OR(Fact_Control_Operaciones[[#This Row], [Año]]="",Fact_Control_Operaciones[[#This Row], 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 [Concepto Anterior]],Conceptos_Control_Operaciones[#All],5,0),"")</f>
        <v/>
      </c>
      <c r="F2176" t="str">
        <f>+IFERROR(VLOOKUP(Fact_Control_Operaciones[[#This Row], 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ht="18.75" customHeight="1" x14ac:dyDescent="0.35">
      <c r="C2177" s="100" t="str">
        <f>IF(OR(Fact_Control_Operaciones[[#This Row], [Año]]="",Fact_Control_Operaciones[[#This Row], 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 [Concepto Anterior]],Conceptos_Control_Operaciones[#All],5,0),"")</f>
        <v/>
      </c>
      <c r="F2177" t="str">
        <f>+IFERROR(VLOOKUP(Fact_Control_Operaciones[[#This Row], 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ht="18.75" customHeight="1" x14ac:dyDescent="0.35">
      <c r="C2178" s="100" t="str">
        <f>IF(OR(Fact_Control_Operaciones[[#This Row], [Año]]="",Fact_Control_Operaciones[[#This Row], 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 [Concepto Anterior]],Conceptos_Control_Operaciones[#All],5,0),"")</f>
        <v/>
      </c>
      <c r="F2178" t="str">
        <f>+IFERROR(VLOOKUP(Fact_Control_Operaciones[[#This Row], 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ht="18.75" customHeight="1" x14ac:dyDescent="0.35">
      <c r="C2179" s="100" t="str">
        <f>IF(OR(Fact_Control_Operaciones[[#This Row], [Año]]="",Fact_Control_Operaciones[[#This Row], 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 [Concepto Anterior]],Conceptos_Control_Operaciones[#All],5,0),"")</f>
        <v/>
      </c>
      <c r="F2179" t="str">
        <f>+IFERROR(VLOOKUP(Fact_Control_Operaciones[[#This Row], 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ht="18.75" customHeight="1" x14ac:dyDescent="0.35">
      <c r="C2180" s="100" t="str">
        <f>IF(OR(Fact_Control_Operaciones[[#This Row], [Año]]="",Fact_Control_Operaciones[[#This Row], 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 [Concepto Anterior]],Conceptos_Control_Operaciones[#All],5,0),"")</f>
        <v/>
      </c>
      <c r="F2180" t="str">
        <f>+IFERROR(VLOOKUP(Fact_Control_Operaciones[[#This Row], 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ht="18.75" customHeight="1" x14ac:dyDescent="0.35">
      <c r="C2181" s="100" t="str">
        <f>IF(OR(Fact_Control_Operaciones[[#This Row], [Año]]="",Fact_Control_Operaciones[[#This Row], 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 [Concepto Anterior]],Conceptos_Control_Operaciones[#All],5,0),"")</f>
        <v/>
      </c>
      <c r="F2181" t="str">
        <f>+IFERROR(VLOOKUP(Fact_Control_Operaciones[[#This Row], 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ht="18.75" customHeight="1" x14ac:dyDescent="0.35">
      <c r="C2182" s="100" t="str">
        <f>IF(OR(Fact_Control_Operaciones[[#This Row], [Año]]="",Fact_Control_Operaciones[[#This Row], 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 [Concepto Anterior]],Conceptos_Control_Operaciones[#All],5,0),"")</f>
        <v/>
      </c>
      <c r="F2182" t="str">
        <f>+IFERROR(VLOOKUP(Fact_Control_Operaciones[[#This Row], 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ht="18.75" customHeight="1" x14ac:dyDescent="0.35">
      <c r="C2183" s="100" t="str">
        <f>IF(OR(Fact_Control_Operaciones[[#This Row], [Año]]="",Fact_Control_Operaciones[[#This Row], 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 [Concepto Anterior]],Conceptos_Control_Operaciones[#All],5,0),"")</f>
        <v/>
      </c>
      <c r="F2183" t="str">
        <f>+IFERROR(VLOOKUP(Fact_Control_Operaciones[[#This Row], 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ht="18.75" customHeight="1" x14ac:dyDescent="0.35">
      <c r="C2184" s="100" t="str">
        <f>IF(OR(Fact_Control_Operaciones[[#This Row], [Año]]="",Fact_Control_Operaciones[[#This Row], 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 [Concepto Anterior]],Conceptos_Control_Operaciones[#All],5,0),"")</f>
        <v/>
      </c>
      <c r="F2184" t="str">
        <f>+IFERROR(VLOOKUP(Fact_Control_Operaciones[[#This Row], 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ht="18.75" customHeight="1" x14ac:dyDescent="0.35">
      <c r="C2185" s="100" t="str">
        <f>IF(OR(Fact_Control_Operaciones[[#This Row], [Año]]="",Fact_Control_Operaciones[[#This Row], 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 [Concepto Anterior]],Conceptos_Control_Operaciones[#All],5,0),"")</f>
        <v/>
      </c>
      <c r="F2185" t="str">
        <f>+IFERROR(VLOOKUP(Fact_Control_Operaciones[[#This Row], 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ht="18.75" customHeight="1" x14ac:dyDescent="0.35">
      <c r="C2186" s="100" t="str">
        <f>IF(OR(Fact_Control_Operaciones[[#This Row], [Año]]="",Fact_Control_Operaciones[[#This Row], 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 [Concepto Anterior]],Conceptos_Control_Operaciones[#All],5,0),"")</f>
        <v/>
      </c>
      <c r="F2186" t="str">
        <f>+IFERROR(VLOOKUP(Fact_Control_Operaciones[[#This Row], 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ht="18.75" customHeight="1" x14ac:dyDescent="0.35">
      <c r="C2187" s="100" t="str">
        <f>IF(OR(Fact_Control_Operaciones[[#This Row], [Año]]="",Fact_Control_Operaciones[[#This Row], 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 [Concepto Anterior]],Conceptos_Control_Operaciones[#All],5,0),"")</f>
        <v/>
      </c>
      <c r="F2187" t="str">
        <f>+IFERROR(VLOOKUP(Fact_Control_Operaciones[[#This Row], 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ht="18.75" customHeight="1" x14ac:dyDescent="0.35">
      <c r="C2188" s="100" t="str">
        <f>IF(OR(Fact_Control_Operaciones[[#This Row], [Año]]="",Fact_Control_Operaciones[[#This Row], 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 [Concepto Anterior]],Conceptos_Control_Operaciones[#All],5,0),"")</f>
        <v/>
      </c>
      <c r="F2188" t="str">
        <f>+IFERROR(VLOOKUP(Fact_Control_Operaciones[[#This Row], 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ht="18.75" customHeight="1" x14ac:dyDescent="0.35">
      <c r="C2189" s="100" t="str">
        <f>IF(OR(Fact_Control_Operaciones[[#This Row], [Año]]="",Fact_Control_Operaciones[[#This Row], 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 [Concepto Anterior]],Conceptos_Control_Operaciones[#All],5,0),"")</f>
        <v/>
      </c>
      <c r="F2189" t="str">
        <f>+IFERROR(VLOOKUP(Fact_Control_Operaciones[[#This Row], 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ht="18.75" customHeight="1" x14ac:dyDescent="0.35">
      <c r="C2190" s="100" t="str">
        <f>IF(OR(Fact_Control_Operaciones[[#This Row], [Año]]="",Fact_Control_Operaciones[[#This Row], 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 [Concepto Anterior]],Conceptos_Control_Operaciones[#All],5,0),"")</f>
        <v/>
      </c>
      <c r="F2190" t="str">
        <f>+IFERROR(VLOOKUP(Fact_Control_Operaciones[[#This Row], 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ht="18.75" customHeight="1" x14ac:dyDescent="0.35">
      <c r="C2191" s="100" t="str">
        <f>IF(OR(Fact_Control_Operaciones[[#This Row], [Año]]="",Fact_Control_Operaciones[[#This Row], 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 [Concepto Anterior]],Conceptos_Control_Operaciones[#All],5,0),"")</f>
        <v/>
      </c>
      <c r="F2191" t="str">
        <f>+IFERROR(VLOOKUP(Fact_Control_Operaciones[[#This Row], 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ht="18.75" customHeight="1" x14ac:dyDescent="0.35">
      <c r="C2192" s="100" t="str">
        <f>IF(OR(Fact_Control_Operaciones[[#This Row], [Año]]="",Fact_Control_Operaciones[[#This Row], 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 [Concepto Anterior]],Conceptos_Control_Operaciones[#All],5,0),"")</f>
        <v/>
      </c>
      <c r="F2192" t="str">
        <f>+IFERROR(VLOOKUP(Fact_Control_Operaciones[[#This Row], 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ht="18.75" customHeight="1" x14ac:dyDescent="0.35">
      <c r="C2193" s="100" t="str">
        <f>IF(OR(Fact_Control_Operaciones[[#This Row], [Año]]="",Fact_Control_Operaciones[[#This Row], 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 [Concepto Anterior]],Conceptos_Control_Operaciones[#All],5,0),"")</f>
        <v/>
      </c>
      <c r="F2193" t="str">
        <f>+IFERROR(VLOOKUP(Fact_Control_Operaciones[[#This Row], 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ht="18.75" customHeight="1" x14ac:dyDescent="0.35">
      <c r="C2194" s="100" t="str">
        <f>IF(OR(Fact_Control_Operaciones[[#This Row], [Año]]="",Fact_Control_Operaciones[[#This Row], 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 [Concepto Anterior]],Conceptos_Control_Operaciones[#All],5,0),"")</f>
        <v/>
      </c>
      <c r="F2194" t="str">
        <f>+IFERROR(VLOOKUP(Fact_Control_Operaciones[[#This Row], 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ht="18.75" customHeight="1" x14ac:dyDescent="0.35">
      <c r="C2195" s="100" t="str">
        <f>IF(OR(Fact_Control_Operaciones[[#This Row], [Año]]="",Fact_Control_Operaciones[[#This Row], 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 [Concepto Anterior]],Conceptos_Control_Operaciones[#All],5,0),"")</f>
        <v/>
      </c>
      <c r="F2195" t="str">
        <f>+IFERROR(VLOOKUP(Fact_Control_Operaciones[[#This Row], 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ht="18.75" customHeight="1" x14ac:dyDescent="0.35">
      <c r="C2196" s="100" t="str">
        <f>IF(OR(Fact_Control_Operaciones[[#This Row], [Año]]="",Fact_Control_Operaciones[[#This Row], 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 [Concepto Anterior]],Conceptos_Control_Operaciones[#All],5,0),"")</f>
        <v/>
      </c>
      <c r="F2196" t="str">
        <f>+IFERROR(VLOOKUP(Fact_Control_Operaciones[[#This Row], 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ht="18.75" customHeight="1" x14ac:dyDescent="0.35">
      <c r="C2197" s="100" t="str">
        <f>IF(OR(Fact_Control_Operaciones[[#This Row], [Año]]="",Fact_Control_Operaciones[[#This Row], 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 [Concepto Anterior]],Conceptos_Control_Operaciones[#All],5,0),"")</f>
        <v/>
      </c>
      <c r="F2197" t="str">
        <f>+IFERROR(VLOOKUP(Fact_Control_Operaciones[[#This Row], 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ht="18.75" customHeight="1" x14ac:dyDescent="0.35">
      <c r="C2198" s="100" t="str">
        <f>IF(OR(Fact_Control_Operaciones[[#This Row], [Año]]="",Fact_Control_Operaciones[[#This Row], 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 [Concepto Anterior]],Conceptos_Control_Operaciones[#All],5,0),"")</f>
        <v/>
      </c>
      <c r="F2198" t="str">
        <f>+IFERROR(VLOOKUP(Fact_Control_Operaciones[[#This Row], 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ht="18.75" customHeight="1" x14ac:dyDescent="0.35">
      <c r="C2199" s="100" t="str">
        <f>IF(OR(Fact_Control_Operaciones[[#This Row], [Año]]="",Fact_Control_Operaciones[[#This Row], 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 [Concepto Anterior]],Conceptos_Control_Operaciones[#All],5,0),"")</f>
        <v/>
      </c>
      <c r="F2199" t="str">
        <f>+IFERROR(VLOOKUP(Fact_Control_Operaciones[[#This Row], 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ht="18.75" customHeight="1" x14ac:dyDescent="0.35">
      <c r="C2200" s="100" t="str">
        <f>IF(OR(Fact_Control_Operaciones[[#This Row], [Año]]="",Fact_Control_Operaciones[[#This Row], 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 [Concepto Anterior]],Conceptos_Control_Operaciones[#All],5,0),"")</f>
        <v/>
      </c>
      <c r="F2200" t="str">
        <f>+IFERROR(VLOOKUP(Fact_Control_Operaciones[[#This Row], 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ht="18.75" customHeight="1" x14ac:dyDescent="0.35">
      <c r="C2201" s="100" t="str">
        <f>IF(OR(Fact_Control_Operaciones[[#This Row], [Año]]="",Fact_Control_Operaciones[[#This Row], 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 [Concepto Anterior]],Conceptos_Control_Operaciones[#All],5,0),"")</f>
        <v/>
      </c>
      <c r="F2201" t="str">
        <f>+IFERROR(VLOOKUP(Fact_Control_Operaciones[[#This Row], 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ht="18.75" customHeight="1" x14ac:dyDescent="0.35">
      <c r="C2202" s="100" t="str">
        <f>IF(OR(Fact_Control_Operaciones[[#This Row], [Año]]="",Fact_Control_Operaciones[[#This Row], 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 [Concepto Anterior]],Conceptos_Control_Operaciones[#All],5,0),"")</f>
        <v/>
      </c>
      <c r="F2202" t="str">
        <f>+IFERROR(VLOOKUP(Fact_Control_Operaciones[[#This Row], 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ht="18.75" customHeight="1" x14ac:dyDescent="0.35">
      <c r="C2203" s="100" t="str">
        <f>IF(OR(Fact_Control_Operaciones[[#This Row], [Año]]="",Fact_Control_Operaciones[[#This Row], 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 [Concepto Anterior]],Conceptos_Control_Operaciones[#All],5,0),"")</f>
        <v/>
      </c>
      <c r="F2203" t="str">
        <f>+IFERROR(VLOOKUP(Fact_Control_Operaciones[[#This Row], 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ht="18.75" customHeight="1" x14ac:dyDescent="0.35">
      <c r="C2204" s="100" t="str">
        <f>IF(OR(Fact_Control_Operaciones[[#This Row], [Año]]="",Fact_Control_Operaciones[[#This Row], 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 [Concepto Anterior]],Conceptos_Control_Operaciones[#All],5,0),"")</f>
        <v/>
      </c>
      <c r="F2204" t="str">
        <f>+IFERROR(VLOOKUP(Fact_Control_Operaciones[[#This Row], 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ht="18.75" customHeight="1" x14ac:dyDescent="0.35">
      <c r="C2205" s="100" t="str">
        <f>IF(OR(Fact_Control_Operaciones[[#This Row], [Año]]="",Fact_Control_Operaciones[[#This Row], 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 [Concepto Anterior]],Conceptos_Control_Operaciones[#All],5,0),"")</f>
        <v/>
      </c>
      <c r="F2205" t="str">
        <f>+IFERROR(VLOOKUP(Fact_Control_Operaciones[[#This Row], 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ht="18.75" customHeight="1" x14ac:dyDescent="0.35">
      <c r="C2206" s="100" t="str">
        <f>IF(OR(Fact_Control_Operaciones[[#This Row], [Año]]="",Fact_Control_Operaciones[[#This Row], 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 [Concepto Anterior]],Conceptos_Control_Operaciones[#All],5,0),"")</f>
        <v/>
      </c>
      <c r="F2206" t="str">
        <f>+IFERROR(VLOOKUP(Fact_Control_Operaciones[[#This Row], 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ht="18.75" customHeight="1" x14ac:dyDescent="0.35">
      <c r="C2207" s="100" t="str">
        <f>IF(OR(Fact_Control_Operaciones[[#This Row], [Año]]="",Fact_Control_Operaciones[[#This Row], 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 [Concepto Anterior]],Conceptos_Control_Operaciones[#All],5,0),"")</f>
        <v/>
      </c>
      <c r="F2207" t="str">
        <f>+IFERROR(VLOOKUP(Fact_Control_Operaciones[[#This Row], 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ht="18.75" customHeight="1" x14ac:dyDescent="0.35">
      <c r="C2208" s="100" t="str">
        <f>IF(OR(Fact_Control_Operaciones[[#This Row], [Año]]="",Fact_Control_Operaciones[[#This Row], 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 [Concepto Anterior]],Conceptos_Control_Operaciones[#All],5,0),"")</f>
        <v/>
      </c>
      <c r="F2208" t="str">
        <f>+IFERROR(VLOOKUP(Fact_Control_Operaciones[[#This Row], 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ht="18.75" customHeight="1" x14ac:dyDescent="0.35">
      <c r="C2209" s="100" t="str">
        <f>IF(OR(Fact_Control_Operaciones[[#This Row], [Año]]="",Fact_Control_Operaciones[[#This Row], 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 [Concepto Anterior]],Conceptos_Control_Operaciones[#All],5,0),"")</f>
        <v/>
      </c>
      <c r="F2209" t="str">
        <f>+IFERROR(VLOOKUP(Fact_Control_Operaciones[[#This Row], 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ht="18.75" customHeight="1" x14ac:dyDescent="0.35">
      <c r="C2210" s="100" t="str">
        <f>IF(OR(Fact_Control_Operaciones[[#This Row], [Año]]="",Fact_Control_Operaciones[[#This Row], 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 [Concepto Anterior]],Conceptos_Control_Operaciones[#All],5,0),"")</f>
        <v/>
      </c>
      <c r="F2210" t="str">
        <f>+IFERROR(VLOOKUP(Fact_Control_Operaciones[[#This Row], 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ht="18.75" customHeight="1" x14ac:dyDescent="0.35">
      <c r="C2211" s="100" t="str">
        <f>IF(OR(Fact_Control_Operaciones[[#This Row], [Año]]="",Fact_Control_Operaciones[[#This Row], 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 [Concepto Anterior]],Conceptos_Control_Operaciones[#All],5,0),"")</f>
        <v/>
      </c>
      <c r="F2211" t="str">
        <f>+IFERROR(VLOOKUP(Fact_Control_Operaciones[[#This Row], 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ht="18.75" customHeight="1" x14ac:dyDescent="0.35">
      <c r="C2212" s="100" t="str">
        <f>IF(OR(Fact_Control_Operaciones[[#This Row], [Año]]="",Fact_Control_Operaciones[[#This Row], 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 [Concepto Anterior]],Conceptos_Control_Operaciones[#All],5,0),"")</f>
        <v/>
      </c>
      <c r="F2212" t="str">
        <f>+IFERROR(VLOOKUP(Fact_Control_Operaciones[[#This Row], 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ht="18.75" customHeight="1" x14ac:dyDescent="0.35">
      <c r="C2213" s="100" t="str">
        <f>IF(OR(Fact_Control_Operaciones[[#This Row], [Año]]="",Fact_Control_Operaciones[[#This Row], 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 [Concepto Anterior]],Conceptos_Control_Operaciones[#All],5,0),"")</f>
        <v/>
      </c>
      <c r="F2213" t="str">
        <f>+IFERROR(VLOOKUP(Fact_Control_Operaciones[[#This Row], 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ht="18.75" customHeight="1" x14ac:dyDescent="0.35">
      <c r="C2214" s="100" t="str">
        <f>IF(OR(Fact_Control_Operaciones[[#This Row], [Año]]="",Fact_Control_Operaciones[[#This Row], 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 [Concepto Anterior]],Conceptos_Control_Operaciones[#All],5,0),"")</f>
        <v/>
      </c>
      <c r="F2214" t="str">
        <f>+IFERROR(VLOOKUP(Fact_Control_Operaciones[[#This Row], 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ht="18.75" customHeight="1" x14ac:dyDescent="0.35">
      <c r="C2215" s="100" t="str">
        <f>IF(OR(Fact_Control_Operaciones[[#This Row], [Año]]="",Fact_Control_Operaciones[[#This Row], 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 [Concepto Anterior]],Conceptos_Control_Operaciones[#All],5,0),"")</f>
        <v/>
      </c>
      <c r="F2215" t="str">
        <f>+IFERROR(VLOOKUP(Fact_Control_Operaciones[[#This Row], 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ht="18.75" customHeight="1" x14ac:dyDescent="0.35">
      <c r="C2216" s="100" t="str">
        <f>IF(OR(Fact_Control_Operaciones[[#This Row], [Año]]="",Fact_Control_Operaciones[[#This Row], 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 [Concepto Anterior]],Conceptos_Control_Operaciones[#All],5,0),"")</f>
        <v/>
      </c>
      <c r="F2216" t="str">
        <f>+IFERROR(VLOOKUP(Fact_Control_Operaciones[[#This Row], 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ht="18.75" customHeight="1" x14ac:dyDescent="0.35">
      <c r="C2217" s="100" t="str">
        <f>IF(OR(Fact_Control_Operaciones[[#This Row], [Año]]="",Fact_Control_Operaciones[[#This Row], 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 [Concepto Anterior]],Conceptos_Control_Operaciones[#All],5,0),"")</f>
        <v/>
      </c>
      <c r="F2217" t="str">
        <f>+IFERROR(VLOOKUP(Fact_Control_Operaciones[[#This Row], 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ht="18.75" customHeight="1" x14ac:dyDescent="0.35">
      <c r="C2218" s="100" t="str">
        <f>IF(OR(Fact_Control_Operaciones[[#This Row], [Año]]="",Fact_Control_Operaciones[[#This Row], 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 [Concepto Anterior]],Conceptos_Control_Operaciones[#All],5,0),"")</f>
        <v/>
      </c>
      <c r="F2218" t="str">
        <f>+IFERROR(VLOOKUP(Fact_Control_Operaciones[[#This Row], 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ht="18.75" customHeight="1" x14ac:dyDescent="0.35">
      <c r="C2219" s="100" t="str">
        <f>IF(OR(Fact_Control_Operaciones[[#This Row], [Año]]="",Fact_Control_Operaciones[[#This Row], 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 [Concepto Anterior]],Conceptos_Control_Operaciones[#All],5,0),"")</f>
        <v/>
      </c>
      <c r="F2219" t="str">
        <f>+IFERROR(VLOOKUP(Fact_Control_Operaciones[[#This Row], 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ht="18.75" customHeight="1" x14ac:dyDescent="0.35">
      <c r="C2220" s="100" t="str">
        <f>IF(OR(Fact_Control_Operaciones[[#This Row], [Año]]="",Fact_Control_Operaciones[[#This Row], 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 [Concepto Anterior]],Conceptos_Control_Operaciones[#All],5,0),"")</f>
        <v/>
      </c>
      <c r="F2220" t="str">
        <f>+IFERROR(VLOOKUP(Fact_Control_Operaciones[[#This Row], 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ht="18.75" customHeight="1" x14ac:dyDescent="0.35">
      <c r="C2221" s="100" t="str">
        <f>IF(OR(Fact_Control_Operaciones[[#This Row], [Año]]="",Fact_Control_Operaciones[[#This Row], 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 [Concepto Anterior]],Conceptos_Control_Operaciones[#All],5,0),"")</f>
        <v/>
      </c>
      <c r="F2221" t="str">
        <f>+IFERROR(VLOOKUP(Fact_Control_Operaciones[[#This Row], 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ht="18.75" customHeight="1" x14ac:dyDescent="0.35">
      <c r="C2222" s="100" t="str">
        <f>IF(OR(Fact_Control_Operaciones[[#This Row], [Año]]="",Fact_Control_Operaciones[[#This Row], 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 [Concepto Anterior]],Conceptos_Control_Operaciones[#All],5,0),"")</f>
        <v/>
      </c>
      <c r="F2222" t="str">
        <f>+IFERROR(VLOOKUP(Fact_Control_Operaciones[[#This Row], 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ht="18.75" customHeight="1" x14ac:dyDescent="0.35">
      <c r="C2223" s="100" t="str">
        <f>IF(OR(Fact_Control_Operaciones[[#This Row], [Año]]="",Fact_Control_Operaciones[[#This Row], 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 [Concepto Anterior]],Conceptos_Control_Operaciones[#All],5,0),"")</f>
        <v/>
      </c>
      <c r="F2223" t="str">
        <f>+IFERROR(VLOOKUP(Fact_Control_Operaciones[[#This Row], 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ht="18.75" customHeight="1" x14ac:dyDescent="0.35">
      <c r="C2224" s="100" t="str">
        <f>IF(OR(Fact_Control_Operaciones[[#This Row], [Año]]="",Fact_Control_Operaciones[[#This Row], 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 [Concepto Anterior]],Conceptos_Control_Operaciones[#All],5,0),"")</f>
        <v/>
      </c>
      <c r="F2224" t="str">
        <f>+IFERROR(VLOOKUP(Fact_Control_Operaciones[[#This Row], 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ht="18.75" customHeight="1" x14ac:dyDescent="0.35">
      <c r="C2225" s="100" t="str">
        <f>IF(OR(Fact_Control_Operaciones[[#This Row], [Año]]="",Fact_Control_Operaciones[[#This Row], 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 [Concepto Anterior]],Conceptos_Control_Operaciones[#All],5,0),"")</f>
        <v/>
      </c>
      <c r="F2225" t="str">
        <f>+IFERROR(VLOOKUP(Fact_Control_Operaciones[[#This Row], 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ht="18.75" customHeight="1" x14ac:dyDescent="0.35">
      <c r="C2226" s="100" t="str">
        <f>IF(OR(Fact_Control_Operaciones[[#This Row], [Año]]="",Fact_Control_Operaciones[[#This Row], 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 [Concepto Anterior]],Conceptos_Control_Operaciones[#All],5,0),"")</f>
        <v/>
      </c>
      <c r="F2226" t="str">
        <f>+IFERROR(VLOOKUP(Fact_Control_Operaciones[[#This Row], 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ht="18.75" customHeight="1" x14ac:dyDescent="0.35">
      <c r="C2227" s="100" t="str">
        <f>IF(OR(Fact_Control_Operaciones[[#This Row], [Año]]="",Fact_Control_Operaciones[[#This Row], 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 [Concepto Anterior]],Conceptos_Control_Operaciones[#All],5,0),"")</f>
        <v/>
      </c>
      <c r="F2227" t="str">
        <f>+IFERROR(VLOOKUP(Fact_Control_Operaciones[[#This Row], 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ht="18.75" customHeight="1" x14ac:dyDescent="0.35">
      <c r="C2228" s="100" t="str">
        <f>IF(OR(Fact_Control_Operaciones[[#This Row], [Año]]="",Fact_Control_Operaciones[[#This Row], 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 [Concepto Anterior]],Conceptos_Control_Operaciones[#All],5,0),"")</f>
        <v/>
      </c>
      <c r="F2228" t="str">
        <f>+IFERROR(VLOOKUP(Fact_Control_Operaciones[[#This Row], 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ht="18.75" customHeight="1" x14ac:dyDescent="0.35">
      <c r="C2229" s="100" t="str">
        <f>IF(OR(Fact_Control_Operaciones[[#This Row], [Año]]="",Fact_Control_Operaciones[[#This Row], 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 [Concepto Anterior]],Conceptos_Control_Operaciones[#All],5,0),"")</f>
        <v/>
      </c>
      <c r="F2229" t="str">
        <f>+IFERROR(VLOOKUP(Fact_Control_Operaciones[[#This Row], 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ht="18.75" customHeight="1" x14ac:dyDescent="0.35">
      <c r="C2230" s="100" t="str">
        <f>IF(OR(Fact_Control_Operaciones[[#This Row], [Año]]="",Fact_Control_Operaciones[[#This Row], 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 [Concepto Anterior]],Conceptos_Control_Operaciones[#All],5,0),"")</f>
        <v/>
      </c>
      <c r="F2230" t="str">
        <f>+IFERROR(VLOOKUP(Fact_Control_Operaciones[[#This Row], 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ht="18.75" customHeight="1" x14ac:dyDescent="0.35">
      <c r="C2231" s="100" t="str">
        <f>IF(OR(Fact_Control_Operaciones[[#This Row], [Año]]="",Fact_Control_Operaciones[[#This Row], 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 [Concepto Anterior]],Conceptos_Control_Operaciones[#All],5,0),"")</f>
        <v/>
      </c>
      <c r="F2231" t="str">
        <f>+IFERROR(VLOOKUP(Fact_Control_Operaciones[[#This Row], 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ht="18.75" customHeight="1" x14ac:dyDescent="0.35">
      <c r="C2232" s="100" t="str">
        <f>IF(OR(Fact_Control_Operaciones[[#This Row], [Año]]="",Fact_Control_Operaciones[[#This Row], 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 [Concepto Anterior]],Conceptos_Control_Operaciones[#All],5,0),"")</f>
        <v/>
      </c>
      <c r="F2232" t="str">
        <f>+IFERROR(VLOOKUP(Fact_Control_Operaciones[[#This Row], 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ht="18.75" customHeight="1" x14ac:dyDescent="0.35">
      <c r="C2233" s="100" t="str">
        <f>IF(OR(Fact_Control_Operaciones[[#This Row], [Año]]="",Fact_Control_Operaciones[[#This Row], 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 [Concepto Anterior]],Conceptos_Control_Operaciones[#All],5,0),"")</f>
        <v/>
      </c>
      <c r="F2233" t="str">
        <f>+IFERROR(VLOOKUP(Fact_Control_Operaciones[[#This Row], 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ht="18.75" customHeight="1" x14ac:dyDescent="0.35">
      <c r="C2234" s="100" t="str">
        <f>IF(OR(Fact_Control_Operaciones[[#This Row], [Año]]="",Fact_Control_Operaciones[[#This Row], 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 [Concepto Anterior]],Conceptos_Control_Operaciones[#All],5,0),"")</f>
        <v/>
      </c>
      <c r="F2234" t="str">
        <f>+IFERROR(VLOOKUP(Fact_Control_Operaciones[[#This Row], 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ht="18.75" customHeight="1" x14ac:dyDescent="0.35">
      <c r="C2235" s="100" t="str">
        <f>IF(OR(Fact_Control_Operaciones[[#This Row], [Año]]="",Fact_Control_Operaciones[[#This Row], 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 [Concepto Anterior]],Conceptos_Control_Operaciones[#All],5,0),"")</f>
        <v/>
      </c>
      <c r="F2235" t="str">
        <f>+IFERROR(VLOOKUP(Fact_Control_Operaciones[[#This Row], 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ht="18.75" customHeight="1" x14ac:dyDescent="0.35">
      <c r="C2236" s="100" t="str">
        <f>IF(OR(Fact_Control_Operaciones[[#This Row], [Año]]="",Fact_Control_Operaciones[[#This Row], 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 [Concepto Anterior]],Conceptos_Control_Operaciones[#All],5,0),"")</f>
        <v/>
      </c>
      <c r="F2236" t="str">
        <f>+IFERROR(VLOOKUP(Fact_Control_Operaciones[[#This Row], 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ht="18.75" customHeight="1" x14ac:dyDescent="0.35">
      <c r="C2237" s="100" t="str">
        <f>IF(OR(Fact_Control_Operaciones[[#This Row], [Año]]="",Fact_Control_Operaciones[[#This Row], 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 [Concepto Anterior]],Conceptos_Control_Operaciones[#All],5,0),"")</f>
        <v/>
      </c>
      <c r="F2237" t="str">
        <f>+IFERROR(VLOOKUP(Fact_Control_Operaciones[[#This Row], 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ht="18.75" customHeight="1" x14ac:dyDescent="0.35">
      <c r="C2238" s="100" t="str">
        <f>IF(OR(Fact_Control_Operaciones[[#This Row], [Año]]="",Fact_Control_Operaciones[[#This Row], 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 [Concepto Anterior]],Conceptos_Control_Operaciones[#All],5,0),"")</f>
        <v/>
      </c>
      <c r="F2238" t="str">
        <f>+IFERROR(VLOOKUP(Fact_Control_Operaciones[[#This Row], 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ht="18.75" customHeight="1" x14ac:dyDescent="0.35">
      <c r="C2239" s="100" t="str">
        <f>IF(OR(Fact_Control_Operaciones[[#This Row], [Año]]="",Fact_Control_Operaciones[[#This Row], 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 [Concepto Anterior]],Conceptos_Control_Operaciones[#All],5,0),"")</f>
        <v/>
      </c>
      <c r="F2239" t="str">
        <f>+IFERROR(VLOOKUP(Fact_Control_Operaciones[[#This Row], 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ht="18.75" customHeight="1" x14ac:dyDescent="0.35">
      <c r="C2240" s="100" t="str">
        <f>IF(OR(Fact_Control_Operaciones[[#This Row], [Año]]="",Fact_Control_Operaciones[[#This Row], 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 [Concepto Anterior]],Conceptos_Control_Operaciones[#All],5,0),"")</f>
        <v/>
      </c>
      <c r="F2240" t="str">
        <f>+IFERROR(VLOOKUP(Fact_Control_Operaciones[[#This Row], 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ht="18.75" customHeight="1" x14ac:dyDescent="0.35">
      <c r="C2241" s="100" t="str">
        <f>IF(OR(Fact_Control_Operaciones[[#This Row], [Año]]="",Fact_Control_Operaciones[[#This Row], 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 [Concepto Anterior]],Conceptos_Control_Operaciones[#All],5,0),"")</f>
        <v/>
      </c>
      <c r="F2241" t="str">
        <f>+IFERROR(VLOOKUP(Fact_Control_Operaciones[[#This Row], 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ht="18.75" customHeight="1" x14ac:dyDescent="0.35">
      <c r="C2242" s="100" t="str">
        <f>IF(OR(Fact_Control_Operaciones[[#This Row], [Año]]="",Fact_Control_Operaciones[[#This Row], 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 [Concepto Anterior]],Conceptos_Control_Operaciones[#All],5,0),"")</f>
        <v/>
      </c>
      <c r="F2242" t="str">
        <f>+IFERROR(VLOOKUP(Fact_Control_Operaciones[[#This Row], 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ht="18.75" customHeight="1" x14ac:dyDescent="0.35">
      <c r="C2243" s="100" t="str">
        <f>IF(OR(Fact_Control_Operaciones[[#This Row], [Año]]="",Fact_Control_Operaciones[[#This Row], 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 [Concepto Anterior]],Conceptos_Control_Operaciones[#All],5,0),"")</f>
        <v/>
      </c>
      <c r="F2243" t="str">
        <f>+IFERROR(VLOOKUP(Fact_Control_Operaciones[[#This Row], 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ht="18.75" customHeight="1" x14ac:dyDescent="0.35">
      <c r="C2244" s="100" t="str">
        <f>IF(OR(Fact_Control_Operaciones[[#This Row], [Año]]="",Fact_Control_Operaciones[[#This Row], 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 [Concepto Anterior]],Conceptos_Control_Operaciones[#All],5,0),"")</f>
        <v/>
      </c>
      <c r="F2244" t="str">
        <f>+IFERROR(VLOOKUP(Fact_Control_Operaciones[[#This Row], 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ht="18.75" customHeight="1" x14ac:dyDescent="0.35">
      <c r="C2245" s="100" t="str">
        <f>IF(OR(Fact_Control_Operaciones[[#This Row], [Año]]="",Fact_Control_Operaciones[[#This Row], 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 [Concepto Anterior]],Conceptos_Control_Operaciones[#All],5,0),"")</f>
        <v/>
      </c>
      <c r="F2245" t="str">
        <f>+IFERROR(VLOOKUP(Fact_Control_Operaciones[[#This Row], 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ht="18.75" customHeight="1" x14ac:dyDescent="0.35">
      <c r="C2246" s="100" t="str">
        <f>IF(OR(Fact_Control_Operaciones[[#This Row], [Año]]="",Fact_Control_Operaciones[[#This Row], 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 [Concepto Anterior]],Conceptos_Control_Operaciones[#All],5,0),"")</f>
        <v/>
      </c>
      <c r="F2246" t="str">
        <f>+IFERROR(VLOOKUP(Fact_Control_Operaciones[[#This Row], 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ht="18.75" customHeight="1" x14ac:dyDescent="0.35">
      <c r="C2247" s="100" t="str">
        <f>IF(OR(Fact_Control_Operaciones[[#This Row], [Año]]="",Fact_Control_Operaciones[[#This Row], 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 [Concepto Anterior]],Conceptos_Control_Operaciones[#All],5,0),"")</f>
        <v/>
      </c>
      <c r="F2247" t="str">
        <f>+IFERROR(VLOOKUP(Fact_Control_Operaciones[[#This Row], 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ht="18.75" customHeight="1" x14ac:dyDescent="0.35">
      <c r="C2248" s="100" t="str">
        <f>IF(OR(Fact_Control_Operaciones[[#This Row], [Año]]="",Fact_Control_Operaciones[[#This Row], 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 [Concepto Anterior]],Conceptos_Control_Operaciones[#All],5,0),"")</f>
        <v/>
      </c>
      <c r="F2248" t="str">
        <f>+IFERROR(VLOOKUP(Fact_Control_Operaciones[[#This Row], 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ht="18.75" customHeight="1" x14ac:dyDescent="0.35">
      <c r="C2249" s="100" t="str">
        <f>IF(OR(Fact_Control_Operaciones[[#This Row], [Año]]="",Fact_Control_Operaciones[[#This Row], 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 [Concepto Anterior]],Conceptos_Control_Operaciones[#All],5,0),"")</f>
        <v/>
      </c>
      <c r="F2249" t="str">
        <f>+IFERROR(VLOOKUP(Fact_Control_Operaciones[[#This Row], 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ht="18.75" customHeight="1" x14ac:dyDescent="0.35">
      <c r="C2250" s="100" t="str">
        <f>IF(OR(Fact_Control_Operaciones[[#This Row], [Año]]="",Fact_Control_Operaciones[[#This Row], 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 [Concepto Anterior]],Conceptos_Control_Operaciones[#All],5,0),"")</f>
        <v/>
      </c>
      <c r="F2250" t="str">
        <f>+IFERROR(VLOOKUP(Fact_Control_Operaciones[[#This Row], 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ht="18.75" customHeight="1" x14ac:dyDescent="0.35">
      <c r="C2251" s="100" t="str">
        <f>IF(OR(Fact_Control_Operaciones[[#This Row], [Año]]="",Fact_Control_Operaciones[[#This Row], 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 [Concepto Anterior]],Conceptos_Control_Operaciones[#All],5,0),"")</f>
        <v/>
      </c>
      <c r="F2251" t="str">
        <f>+IFERROR(VLOOKUP(Fact_Control_Operaciones[[#This Row], 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ht="18.75" customHeight="1" x14ac:dyDescent="0.35">
      <c r="C2252" s="100" t="str">
        <f>IF(OR(Fact_Control_Operaciones[[#This Row], [Año]]="",Fact_Control_Operaciones[[#This Row], 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 [Concepto Anterior]],Conceptos_Control_Operaciones[#All],5,0),"")</f>
        <v/>
      </c>
      <c r="F2252" t="str">
        <f>+IFERROR(VLOOKUP(Fact_Control_Operaciones[[#This Row], 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ht="18.75" customHeight="1" x14ac:dyDescent="0.35">
      <c r="C2253" s="100" t="str">
        <f>IF(OR(Fact_Control_Operaciones[[#This Row], [Año]]="",Fact_Control_Operaciones[[#This Row], 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 [Concepto Anterior]],Conceptos_Control_Operaciones[#All],5,0),"")</f>
        <v/>
      </c>
      <c r="F2253" t="str">
        <f>+IFERROR(VLOOKUP(Fact_Control_Operaciones[[#This Row], 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ht="18.75" customHeight="1" x14ac:dyDescent="0.35">
      <c r="C2254" s="100" t="str">
        <f>IF(OR(Fact_Control_Operaciones[[#This Row], [Año]]="",Fact_Control_Operaciones[[#This Row], 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 [Concepto Anterior]],Conceptos_Control_Operaciones[#All],5,0),"")</f>
        <v/>
      </c>
      <c r="F2254" t="str">
        <f>+IFERROR(VLOOKUP(Fact_Control_Operaciones[[#This Row], 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ht="18.75" customHeight="1" x14ac:dyDescent="0.35">
      <c r="C2255" s="100" t="str">
        <f>IF(OR(Fact_Control_Operaciones[[#This Row], [Año]]="",Fact_Control_Operaciones[[#This Row], 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 [Concepto Anterior]],Conceptos_Control_Operaciones[#All],5,0),"")</f>
        <v/>
      </c>
      <c r="F2255" t="str">
        <f>+IFERROR(VLOOKUP(Fact_Control_Operaciones[[#This Row], 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ht="18.75" customHeight="1" x14ac:dyDescent="0.35">
      <c r="C2256" s="100" t="str">
        <f>IF(OR(Fact_Control_Operaciones[[#This Row], [Año]]="",Fact_Control_Operaciones[[#This Row], 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 [Concepto Anterior]],Conceptos_Control_Operaciones[#All],5,0),"")</f>
        <v/>
      </c>
      <c r="F2256" t="str">
        <f>+IFERROR(VLOOKUP(Fact_Control_Operaciones[[#This Row], 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ht="18.75" customHeight="1" x14ac:dyDescent="0.35">
      <c r="C2257" s="100" t="str">
        <f>IF(OR(Fact_Control_Operaciones[[#This Row], [Año]]="",Fact_Control_Operaciones[[#This Row], 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 [Concepto Anterior]],Conceptos_Control_Operaciones[#All],5,0),"")</f>
        <v/>
      </c>
      <c r="F2257" t="str">
        <f>+IFERROR(VLOOKUP(Fact_Control_Operaciones[[#This Row], 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ht="18.75" customHeight="1" x14ac:dyDescent="0.35">
      <c r="C2258" s="100" t="str">
        <f>IF(OR(Fact_Control_Operaciones[[#This Row], [Año]]="",Fact_Control_Operaciones[[#This Row], 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 [Concepto Anterior]],Conceptos_Control_Operaciones[#All],5,0),"")</f>
        <v/>
      </c>
      <c r="F2258" t="str">
        <f>+IFERROR(VLOOKUP(Fact_Control_Operaciones[[#This Row], 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ht="18.75" customHeight="1" x14ac:dyDescent="0.35">
      <c r="C2259" s="100" t="str">
        <f>IF(OR(Fact_Control_Operaciones[[#This Row], [Año]]="",Fact_Control_Operaciones[[#This Row], 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 [Concepto Anterior]],Conceptos_Control_Operaciones[#All],5,0),"")</f>
        <v/>
      </c>
      <c r="F2259" t="str">
        <f>+IFERROR(VLOOKUP(Fact_Control_Operaciones[[#This Row], 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ht="18.75" customHeight="1" x14ac:dyDescent="0.35">
      <c r="C2260" s="100" t="str">
        <f>IF(OR(Fact_Control_Operaciones[[#This Row], [Año]]="",Fact_Control_Operaciones[[#This Row], 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 [Concepto Anterior]],Conceptos_Control_Operaciones[#All],5,0),"")</f>
        <v/>
      </c>
      <c r="F2260" t="str">
        <f>+IFERROR(VLOOKUP(Fact_Control_Operaciones[[#This Row], 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ht="18.75" customHeight="1" x14ac:dyDescent="0.35">
      <c r="C2261" s="100" t="str">
        <f>IF(OR(Fact_Control_Operaciones[[#This Row], [Año]]="",Fact_Control_Operaciones[[#This Row], 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 [Concepto Anterior]],Conceptos_Control_Operaciones[#All],5,0),"")</f>
        <v/>
      </c>
      <c r="F2261" t="str">
        <f>+IFERROR(VLOOKUP(Fact_Control_Operaciones[[#This Row], 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ht="18.75" customHeight="1" x14ac:dyDescent="0.35">
      <c r="C2262" s="100" t="str">
        <f>IF(OR(Fact_Control_Operaciones[[#This Row], [Año]]="",Fact_Control_Operaciones[[#This Row], 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 [Concepto Anterior]],Conceptos_Control_Operaciones[#All],5,0),"")</f>
        <v/>
      </c>
      <c r="F2262" t="str">
        <f>+IFERROR(VLOOKUP(Fact_Control_Operaciones[[#This Row], 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ht="18.75" customHeight="1" x14ac:dyDescent="0.35">
      <c r="C2263" s="100" t="str">
        <f>IF(OR(Fact_Control_Operaciones[[#This Row], [Año]]="",Fact_Control_Operaciones[[#This Row], 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 [Concepto Anterior]],Conceptos_Control_Operaciones[#All],5,0),"")</f>
        <v/>
      </c>
      <c r="F2263" t="str">
        <f>+IFERROR(VLOOKUP(Fact_Control_Operaciones[[#This Row], 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ht="18.75" customHeight="1" x14ac:dyDescent="0.35">
      <c r="C2264" s="100" t="str">
        <f>IF(OR(Fact_Control_Operaciones[[#This Row], [Año]]="",Fact_Control_Operaciones[[#This Row], 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 [Concepto Anterior]],Conceptos_Control_Operaciones[#All],5,0),"")</f>
        <v/>
      </c>
      <c r="F2264" t="str">
        <f>+IFERROR(VLOOKUP(Fact_Control_Operaciones[[#This Row], 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ht="18.75" customHeight="1" x14ac:dyDescent="0.35">
      <c r="C2265" s="100" t="str">
        <f>IF(OR(Fact_Control_Operaciones[[#This Row], [Año]]="",Fact_Control_Operaciones[[#This Row], 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 [Concepto Anterior]],Conceptos_Control_Operaciones[#All],5,0),"")</f>
        <v/>
      </c>
      <c r="F2265" t="str">
        <f>+IFERROR(VLOOKUP(Fact_Control_Operaciones[[#This Row], 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ht="18.75" customHeight="1" x14ac:dyDescent="0.35">
      <c r="C2266" s="100" t="str">
        <f>IF(OR(Fact_Control_Operaciones[[#This Row], [Año]]="",Fact_Control_Operaciones[[#This Row], 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 [Concepto Anterior]],Conceptos_Control_Operaciones[#All],5,0),"")</f>
        <v/>
      </c>
      <c r="F2266" t="str">
        <f>+IFERROR(VLOOKUP(Fact_Control_Operaciones[[#This Row], 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ht="18.75" customHeight="1" x14ac:dyDescent="0.35">
      <c r="C2267" s="100" t="str">
        <f>IF(OR(Fact_Control_Operaciones[[#This Row], [Año]]="",Fact_Control_Operaciones[[#This Row], 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 [Concepto Anterior]],Conceptos_Control_Operaciones[#All],5,0),"")</f>
        <v/>
      </c>
      <c r="F2267" t="str">
        <f>+IFERROR(VLOOKUP(Fact_Control_Operaciones[[#This Row], 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ht="18.75" customHeight="1" x14ac:dyDescent="0.35">
      <c r="C2268" s="100" t="str">
        <f>IF(OR(Fact_Control_Operaciones[[#This Row], [Año]]="",Fact_Control_Operaciones[[#This Row], 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 [Concepto Anterior]],Conceptos_Control_Operaciones[#All],5,0),"")</f>
        <v/>
      </c>
      <c r="F2268" t="str">
        <f>+IFERROR(VLOOKUP(Fact_Control_Operaciones[[#This Row], 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ht="18.75" customHeight="1" x14ac:dyDescent="0.35">
      <c r="C2269" s="100" t="str">
        <f>IF(OR(Fact_Control_Operaciones[[#This Row], [Año]]="",Fact_Control_Operaciones[[#This Row], 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 [Concepto Anterior]],Conceptos_Control_Operaciones[#All],5,0),"")</f>
        <v/>
      </c>
      <c r="F2269" t="str">
        <f>+IFERROR(VLOOKUP(Fact_Control_Operaciones[[#This Row], 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ht="18.75" customHeight="1" x14ac:dyDescent="0.35">
      <c r="C2270" s="100" t="str">
        <f>IF(OR(Fact_Control_Operaciones[[#This Row], [Año]]="",Fact_Control_Operaciones[[#This Row], 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 [Concepto Anterior]],Conceptos_Control_Operaciones[#All],5,0),"")</f>
        <v/>
      </c>
      <c r="F2270" t="str">
        <f>+IFERROR(VLOOKUP(Fact_Control_Operaciones[[#This Row], 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ht="18.75" customHeight="1" x14ac:dyDescent="0.35">
      <c r="C2271" s="100" t="str">
        <f>IF(OR(Fact_Control_Operaciones[[#This Row], [Año]]="",Fact_Control_Operaciones[[#This Row], 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 [Concepto Anterior]],Conceptos_Control_Operaciones[#All],5,0),"")</f>
        <v/>
      </c>
      <c r="F2271" t="str">
        <f>+IFERROR(VLOOKUP(Fact_Control_Operaciones[[#This Row], 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ht="18.75" customHeight="1" x14ac:dyDescent="0.35">
      <c r="C2272" s="100" t="str">
        <f>IF(OR(Fact_Control_Operaciones[[#This Row], [Año]]="",Fact_Control_Operaciones[[#This Row], 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 [Concepto Anterior]],Conceptos_Control_Operaciones[#All],5,0),"")</f>
        <v/>
      </c>
      <c r="F2272" t="str">
        <f>+IFERROR(VLOOKUP(Fact_Control_Operaciones[[#This Row], 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ht="18.75" customHeight="1" x14ac:dyDescent="0.35">
      <c r="C2273" s="100" t="str">
        <f>IF(OR(Fact_Control_Operaciones[[#This Row], [Año]]="",Fact_Control_Operaciones[[#This Row], 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 [Concepto Anterior]],Conceptos_Control_Operaciones[#All],5,0),"")</f>
        <v/>
      </c>
      <c r="F2273" t="str">
        <f>+IFERROR(VLOOKUP(Fact_Control_Operaciones[[#This Row], 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ht="18.75" customHeight="1" x14ac:dyDescent="0.35">
      <c r="C2274" s="100" t="str">
        <f>IF(OR(Fact_Control_Operaciones[[#This Row], [Año]]="",Fact_Control_Operaciones[[#This Row], 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 [Concepto Anterior]],Conceptos_Control_Operaciones[#All],5,0),"")</f>
        <v/>
      </c>
      <c r="F2274" t="str">
        <f>+IFERROR(VLOOKUP(Fact_Control_Operaciones[[#This Row], 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ht="18.75" customHeight="1" x14ac:dyDescent="0.35">
      <c r="C2275" s="100" t="str">
        <f>IF(OR(Fact_Control_Operaciones[[#This Row], [Año]]="",Fact_Control_Operaciones[[#This Row], 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 [Concepto Anterior]],Conceptos_Control_Operaciones[#All],5,0),"")</f>
        <v/>
      </c>
      <c r="F2275" t="str">
        <f>+IFERROR(VLOOKUP(Fact_Control_Operaciones[[#This Row], 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ht="18.75" customHeight="1" x14ac:dyDescent="0.35">
      <c r="C2276" s="100" t="str">
        <f>IF(OR(Fact_Control_Operaciones[[#This Row], [Año]]="",Fact_Control_Operaciones[[#This Row], 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 [Concepto Anterior]],Conceptos_Control_Operaciones[#All],5,0),"")</f>
        <v/>
      </c>
      <c r="F2276" t="str">
        <f>+IFERROR(VLOOKUP(Fact_Control_Operaciones[[#This Row], 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ht="18.75" customHeight="1" x14ac:dyDescent="0.35">
      <c r="C2277" s="100" t="str">
        <f>IF(OR(Fact_Control_Operaciones[[#This Row], [Año]]="",Fact_Control_Operaciones[[#This Row], 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 [Concepto Anterior]],Conceptos_Control_Operaciones[#All],5,0),"")</f>
        <v/>
      </c>
      <c r="F2277" t="str">
        <f>+IFERROR(VLOOKUP(Fact_Control_Operaciones[[#This Row], 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ht="18.75" customHeight="1" x14ac:dyDescent="0.35">
      <c r="C2278" s="100" t="str">
        <f>IF(OR(Fact_Control_Operaciones[[#This Row], [Año]]="",Fact_Control_Operaciones[[#This Row], 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 [Concepto Anterior]],Conceptos_Control_Operaciones[#All],5,0),"")</f>
        <v/>
      </c>
      <c r="F2278" t="str">
        <f>+IFERROR(VLOOKUP(Fact_Control_Operaciones[[#This Row], 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ht="18.75" customHeight="1" x14ac:dyDescent="0.35">
      <c r="C2279" s="100" t="str">
        <f>IF(OR(Fact_Control_Operaciones[[#This Row], [Año]]="",Fact_Control_Operaciones[[#This Row], 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 [Concepto Anterior]],Conceptos_Control_Operaciones[#All],5,0),"")</f>
        <v/>
      </c>
      <c r="F2279" t="str">
        <f>+IFERROR(VLOOKUP(Fact_Control_Operaciones[[#This Row], 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ht="18.75" customHeight="1" x14ac:dyDescent="0.35">
      <c r="C2280" s="100" t="str">
        <f>IF(OR(Fact_Control_Operaciones[[#This Row], [Año]]="",Fact_Control_Operaciones[[#This Row], 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 [Concepto Anterior]],Conceptos_Control_Operaciones[#All],5,0),"")</f>
        <v/>
      </c>
      <c r="F2280" t="str">
        <f>+IFERROR(VLOOKUP(Fact_Control_Operaciones[[#This Row], 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ht="18.75" customHeight="1" x14ac:dyDescent="0.35">
      <c r="C2281" s="100" t="str">
        <f>IF(OR(Fact_Control_Operaciones[[#This Row], [Año]]="",Fact_Control_Operaciones[[#This Row], 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 [Concepto Anterior]],Conceptos_Control_Operaciones[#All],5,0),"")</f>
        <v/>
      </c>
      <c r="F2281" t="str">
        <f>+IFERROR(VLOOKUP(Fact_Control_Operaciones[[#This Row], 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ht="18.75" customHeight="1" x14ac:dyDescent="0.35">
      <c r="C2282" s="100" t="str">
        <f>IF(OR(Fact_Control_Operaciones[[#This Row], [Año]]="",Fact_Control_Operaciones[[#This Row], 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 [Concepto Anterior]],Conceptos_Control_Operaciones[#All],5,0),"")</f>
        <v/>
      </c>
      <c r="F2282" t="str">
        <f>+IFERROR(VLOOKUP(Fact_Control_Operaciones[[#This Row], 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ht="18.75" customHeight="1" x14ac:dyDescent="0.35">
      <c r="C2283" s="100" t="str">
        <f>IF(OR(Fact_Control_Operaciones[[#This Row], [Año]]="",Fact_Control_Operaciones[[#This Row], 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 [Concepto Anterior]],Conceptos_Control_Operaciones[#All],5,0),"")</f>
        <v/>
      </c>
      <c r="F2283" t="str">
        <f>+IFERROR(VLOOKUP(Fact_Control_Operaciones[[#This Row], 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ht="18.75" customHeight="1" x14ac:dyDescent="0.35">
      <c r="C2284" s="100" t="str">
        <f>IF(OR(Fact_Control_Operaciones[[#This Row], [Año]]="",Fact_Control_Operaciones[[#This Row], 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 [Concepto Anterior]],Conceptos_Control_Operaciones[#All],5,0),"")</f>
        <v/>
      </c>
      <c r="F2284" t="str">
        <f>+IFERROR(VLOOKUP(Fact_Control_Operaciones[[#This Row], 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ht="18.75" customHeight="1" x14ac:dyDescent="0.35">
      <c r="C2285" s="100" t="str">
        <f>IF(OR(Fact_Control_Operaciones[[#This Row], [Año]]="",Fact_Control_Operaciones[[#This Row], 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 [Concepto Anterior]],Conceptos_Control_Operaciones[#All],5,0),"")</f>
        <v/>
      </c>
      <c r="F2285" t="str">
        <f>+IFERROR(VLOOKUP(Fact_Control_Operaciones[[#This Row], 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ht="18.75" customHeight="1" x14ac:dyDescent="0.35">
      <c r="C2286" s="100" t="str">
        <f>IF(OR(Fact_Control_Operaciones[[#This Row], [Año]]="",Fact_Control_Operaciones[[#This Row], 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 [Concepto Anterior]],Conceptos_Control_Operaciones[#All],5,0),"")</f>
        <v/>
      </c>
      <c r="F2286" t="str">
        <f>+IFERROR(VLOOKUP(Fact_Control_Operaciones[[#This Row], 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ht="18.75" customHeight="1" x14ac:dyDescent="0.35">
      <c r="C2287" s="100" t="str">
        <f>IF(OR(Fact_Control_Operaciones[[#This Row], [Año]]="",Fact_Control_Operaciones[[#This Row], 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 [Concepto Anterior]],Conceptos_Control_Operaciones[#All],5,0),"")</f>
        <v/>
      </c>
      <c r="F2287" t="str">
        <f>+IFERROR(VLOOKUP(Fact_Control_Operaciones[[#This Row], 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ht="18.75" customHeight="1" x14ac:dyDescent="0.35">
      <c r="C2288" s="100" t="str">
        <f>IF(OR(Fact_Control_Operaciones[[#This Row], [Año]]="",Fact_Control_Operaciones[[#This Row], 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 [Concepto Anterior]],Conceptos_Control_Operaciones[#All],5,0),"")</f>
        <v/>
      </c>
      <c r="F2288" t="str">
        <f>+IFERROR(VLOOKUP(Fact_Control_Operaciones[[#This Row], 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ht="18.75" customHeight="1" x14ac:dyDescent="0.35">
      <c r="C2289" s="100" t="str">
        <f>IF(OR(Fact_Control_Operaciones[[#This Row], [Año]]="",Fact_Control_Operaciones[[#This Row], 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 [Concepto Anterior]],Conceptos_Control_Operaciones[#All],5,0),"")</f>
        <v/>
      </c>
      <c r="F2289" t="str">
        <f>+IFERROR(VLOOKUP(Fact_Control_Operaciones[[#This Row], 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ht="18.75" customHeight="1" x14ac:dyDescent="0.35">
      <c r="C2290" s="100" t="str">
        <f>IF(OR(Fact_Control_Operaciones[[#This Row], [Año]]="",Fact_Control_Operaciones[[#This Row], 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 [Concepto Anterior]],Conceptos_Control_Operaciones[#All],5,0),"")</f>
        <v/>
      </c>
      <c r="F2290" t="str">
        <f>+IFERROR(VLOOKUP(Fact_Control_Operaciones[[#This Row], 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ht="18.75" customHeight="1" x14ac:dyDescent="0.35">
      <c r="C2291" s="100" t="str">
        <f>IF(OR(Fact_Control_Operaciones[[#This Row], [Año]]="",Fact_Control_Operaciones[[#This Row], 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 [Concepto Anterior]],Conceptos_Control_Operaciones[#All],5,0),"")</f>
        <v/>
      </c>
      <c r="F2291" t="str">
        <f>+IFERROR(VLOOKUP(Fact_Control_Operaciones[[#This Row], 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ht="18.75" customHeight="1" x14ac:dyDescent="0.35">
      <c r="C2292" s="100" t="str">
        <f>IF(OR(Fact_Control_Operaciones[[#This Row], [Año]]="",Fact_Control_Operaciones[[#This Row], 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 [Concepto Anterior]],Conceptos_Control_Operaciones[#All],5,0),"")</f>
        <v/>
      </c>
      <c r="F2292" t="str">
        <f>+IFERROR(VLOOKUP(Fact_Control_Operaciones[[#This Row], 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ht="18.75" customHeight="1" x14ac:dyDescent="0.35">
      <c r="C2293" s="100" t="str">
        <f>IF(OR(Fact_Control_Operaciones[[#This Row], [Año]]="",Fact_Control_Operaciones[[#This Row], 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 [Concepto Anterior]],Conceptos_Control_Operaciones[#All],5,0),"")</f>
        <v/>
      </c>
      <c r="F2293" t="str">
        <f>+IFERROR(VLOOKUP(Fact_Control_Operaciones[[#This Row], 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ht="18.75" customHeight="1" x14ac:dyDescent="0.35">
      <c r="C2294" s="100" t="str">
        <f>IF(OR(Fact_Control_Operaciones[[#This Row], [Año]]="",Fact_Control_Operaciones[[#This Row], 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 [Concepto Anterior]],Conceptos_Control_Operaciones[#All],5,0),"")</f>
        <v/>
      </c>
      <c r="F2294" t="str">
        <f>+IFERROR(VLOOKUP(Fact_Control_Operaciones[[#This Row], 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ht="18.75" customHeight="1" x14ac:dyDescent="0.35">
      <c r="C2295" s="100" t="str">
        <f>IF(OR(Fact_Control_Operaciones[[#This Row], [Año]]="",Fact_Control_Operaciones[[#This Row], 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 [Concepto Anterior]],Conceptos_Control_Operaciones[#All],5,0),"")</f>
        <v/>
      </c>
      <c r="F2295" t="str">
        <f>+IFERROR(VLOOKUP(Fact_Control_Operaciones[[#This Row], 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ht="18.75" customHeight="1" x14ac:dyDescent="0.35">
      <c r="C2296" s="100" t="str">
        <f>IF(OR(Fact_Control_Operaciones[[#This Row], [Año]]="",Fact_Control_Operaciones[[#This Row], 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 [Concepto Anterior]],Conceptos_Control_Operaciones[#All],5,0),"")</f>
        <v/>
      </c>
      <c r="F2296" t="str">
        <f>+IFERROR(VLOOKUP(Fact_Control_Operaciones[[#This Row], 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ht="18.75" customHeight="1" x14ac:dyDescent="0.35">
      <c r="C2297" s="100" t="str">
        <f>IF(OR(Fact_Control_Operaciones[[#This Row], [Año]]="",Fact_Control_Operaciones[[#This Row], 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 [Concepto Anterior]],Conceptos_Control_Operaciones[#All],5,0),"")</f>
        <v/>
      </c>
      <c r="F2297" t="str">
        <f>+IFERROR(VLOOKUP(Fact_Control_Operaciones[[#This Row], 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ht="18.75" customHeight="1" x14ac:dyDescent="0.35">
      <c r="C2298" s="100" t="str">
        <f>IF(OR(Fact_Control_Operaciones[[#This Row], [Año]]="",Fact_Control_Operaciones[[#This Row], 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 [Concepto Anterior]],Conceptos_Control_Operaciones[#All],5,0),"")</f>
        <v/>
      </c>
      <c r="F2298" t="str">
        <f>+IFERROR(VLOOKUP(Fact_Control_Operaciones[[#This Row], 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ht="18.75" customHeight="1" x14ac:dyDescent="0.35">
      <c r="C2299" s="100" t="str">
        <f>IF(OR(Fact_Control_Operaciones[[#This Row], [Año]]="",Fact_Control_Operaciones[[#This Row], 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 [Concepto Anterior]],Conceptos_Control_Operaciones[#All],5,0),"")</f>
        <v/>
      </c>
      <c r="F2299" t="str">
        <f>+IFERROR(VLOOKUP(Fact_Control_Operaciones[[#This Row], 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ht="18.75" customHeight="1" x14ac:dyDescent="0.35">
      <c r="C2300" s="100" t="str">
        <f>IF(OR(Fact_Control_Operaciones[[#This Row], [Año]]="",Fact_Control_Operaciones[[#This Row], 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 [Concepto Anterior]],Conceptos_Control_Operaciones[#All],5,0),"")</f>
        <v/>
      </c>
      <c r="F2300" t="str">
        <f>+IFERROR(VLOOKUP(Fact_Control_Operaciones[[#This Row], 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ht="18.75" customHeight="1" x14ac:dyDescent="0.35">
      <c r="C2301" s="100" t="str">
        <f>IF(OR(Fact_Control_Operaciones[[#This Row], [Año]]="",Fact_Control_Operaciones[[#This Row], 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 [Concepto Anterior]],Conceptos_Control_Operaciones[#All],5,0),"")</f>
        <v/>
      </c>
      <c r="F2301" t="str">
        <f>+IFERROR(VLOOKUP(Fact_Control_Operaciones[[#This Row], 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ht="18.75" customHeight="1" x14ac:dyDescent="0.35">
      <c r="C2302" s="100" t="str">
        <f>IF(OR(Fact_Control_Operaciones[[#This Row], [Año]]="",Fact_Control_Operaciones[[#This Row], 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 [Concepto Anterior]],Conceptos_Control_Operaciones[#All],5,0),"")</f>
        <v/>
      </c>
      <c r="F2302" t="str">
        <f>+IFERROR(VLOOKUP(Fact_Control_Operaciones[[#This Row], 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ht="18.75" customHeight="1" x14ac:dyDescent="0.35">
      <c r="C2303" s="100" t="str">
        <f>IF(OR(Fact_Control_Operaciones[[#This Row], [Año]]="",Fact_Control_Operaciones[[#This Row], 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 [Concepto Anterior]],Conceptos_Control_Operaciones[#All],5,0),"")</f>
        <v/>
      </c>
      <c r="F2303" t="str">
        <f>+IFERROR(VLOOKUP(Fact_Control_Operaciones[[#This Row], 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ht="18.75" customHeight="1" x14ac:dyDescent="0.35">
      <c r="C2304" s="100" t="str">
        <f>IF(OR(Fact_Control_Operaciones[[#This Row], [Año]]="",Fact_Control_Operaciones[[#This Row], 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 [Concepto Anterior]],Conceptos_Control_Operaciones[#All],5,0),"")</f>
        <v/>
      </c>
      <c r="F2304" t="str">
        <f>+IFERROR(VLOOKUP(Fact_Control_Operaciones[[#This Row], 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ht="18.75" customHeight="1" x14ac:dyDescent="0.35">
      <c r="C2305" s="100" t="str">
        <f>IF(OR(Fact_Control_Operaciones[[#This Row], [Año]]="",Fact_Control_Operaciones[[#This Row], 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 [Concepto Anterior]],Conceptos_Control_Operaciones[#All],5,0),"")</f>
        <v/>
      </c>
      <c r="F2305" t="str">
        <f>+IFERROR(VLOOKUP(Fact_Control_Operaciones[[#This Row], 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ht="18.75" customHeight="1" x14ac:dyDescent="0.35">
      <c r="C2306" s="100" t="str">
        <f>IF(OR(Fact_Control_Operaciones[[#This Row], [Año]]="",Fact_Control_Operaciones[[#This Row], 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 [Concepto Anterior]],Conceptos_Control_Operaciones[#All],5,0),"")</f>
        <v/>
      </c>
      <c r="F2306" t="str">
        <f>+IFERROR(VLOOKUP(Fact_Control_Operaciones[[#This Row], 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ht="18.75" customHeight="1" x14ac:dyDescent="0.35">
      <c r="C2307" s="100" t="str">
        <f>IF(OR(Fact_Control_Operaciones[[#This Row], [Año]]="",Fact_Control_Operaciones[[#This Row], 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 [Concepto Anterior]],Conceptos_Control_Operaciones[#All],5,0),"")</f>
        <v/>
      </c>
      <c r="F2307" t="str">
        <f>+IFERROR(VLOOKUP(Fact_Control_Operaciones[[#This Row], 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ht="18.75" customHeight="1" x14ac:dyDescent="0.35">
      <c r="C2308" s="100" t="str">
        <f>IF(OR(Fact_Control_Operaciones[[#This Row], [Año]]="",Fact_Control_Operaciones[[#This Row], 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 [Concepto Anterior]],Conceptos_Control_Operaciones[#All],5,0),"")</f>
        <v/>
      </c>
      <c r="F2308" t="str">
        <f>+IFERROR(VLOOKUP(Fact_Control_Operaciones[[#This Row], 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ht="18.75" customHeight="1" x14ac:dyDescent="0.35">
      <c r="C2309" s="100" t="str">
        <f>IF(OR(Fact_Control_Operaciones[[#This Row], [Año]]="",Fact_Control_Operaciones[[#This Row], 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 [Concepto Anterior]],Conceptos_Control_Operaciones[#All],5,0),"")</f>
        <v/>
      </c>
      <c r="F2309" t="str">
        <f>+IFERROR(VLOOKUP(Fact_Control_Operaciones[[#This Row], 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ht="18.75" customHeight="1" x14ac:dyDescent="0.35">
      <c r="C2310" s="100" t="str">
        <f>IF(OR(Fact_Control_Operaciones[[#This Row], [Año]]="",Fact_Control_Operaciones[[#This Row], 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 [Concepto Anterior]],Conceptos_Control_Operaciones[#All],5,0),"")</f>
        <v/>
      </c>
      <c r="F2310" t="str">
        <f>+IFERROR(VLOOKUP(Fact_Control_Operaciones[[#This Row], 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ht="18.75" customHeight="1" x14ac:dyDescent="0.35">
      <c r="C2311" s="100" t="str">
        <f>IF(OR(Fact_Control_Operaciones[[#This Row], [Año]]="",Fact_Control_Operaciones[[#This Row], 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 [Concepto Anterior]],Conceptos_Control_Operaciones[#All],5,0),"")</f>
        <v/>
      </c>
      <c r="F2311" t="str">
        <f>+IFERROR(VLOOKUP(Fact_Control_Operaciones[[#This Row], 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ht="18.75" customHeight="1" x14ac:dyDescent="0.35">
      <c r="C2312" s="100" t="str">
        <f>IF(OR(Fact_Control_Operaciones[[#This Row], [Año]]="",Fact_Control_Operaciones[[#This Row], 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 [Concepto Anterior]],Conceptos_Control_Operaciones[#All],5,0),"")</f>
        <v/>
      </c>
      <c r="F2312" t="str">
        <f>+IFERROR(VLOOKUP(Fact_Control_Operaciones[[#This Row], 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ht="18.75" customHeight="1" x14ac:dyDescent="0.35">
      <c r="C2313" s="100" t="str">
        <f>IF(OR(Fact_Control_Operaciones[[#This Row], [Año]]="",Fact_Control_Operaciones[[#This Row], 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 [Concepto Anterior]],Conceptos_Control_Operaciones[#All],5,0),"")</f>
        <v/>
      </c>
      <c r="F2313" t="str">
        <f>+IFERROR(VLOOKUP(Fact_Control_Operaciones[[#This Row], 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ht="18.75" customHeight="1" x14ac:dyDescent="0.35">
      <c r="C2314" s="100" t="str">
        <f>IF(OR(Fact_Control_Operaciones[[#This Row], [Año]]="",Fact_Control_Operaciones[[#This Row], 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 [Concepto Anterior]],Conceptos_Control_Operaciones[#All],5,0),"")</f>
        <v/>
      </c>
      <c r="F2314" t="str">
        <f>+IFERROR(VLOOKUP(Fact_Control_Operaciones[[#This Row], 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ht="18.75" customHeight="1" x14ac:dyDescent="0.35">
      <c r="C2315" s="100" t="str">
        <f>IF(OR(Fact_Control_Operaciones[[#This Row], [Año]]="",Fact_Control_Operaciones[[#This Row], 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 [Concepto Anterior]],Conceptos_Control_Operaciones[#All],5,0),"")</f>
        <v/>
      </c>
      <c r="F2315" t="str">
        <f>+IFERROR(VLOOKUP(Fact_Control_Operaciones[[#This Row], 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ht="18.75" customHeight="1" x14ac:dyDescent="0.35">
      <c r="C2316" s="100" t="str">
        <f>IF(OR(Fact_Control_Operaciones[[#This Row], [Año]]="",Fact_Control_Operaciones[[#This Row], 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 [Concepto Anterior]],Conceptos_Control_Operaciones[#All],5,0),"")</f>
        <v/>
      </c>
      <c r="F2316" t="str">
        <f>+IFERROR(VLOOKUP(Fact_Control_Operaciones[[#This Row], 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ht="18.75" customHeight="1" x14ac:dyDescent="0.35">
      <c r="C2317" s="100" t="str">
        <f>IF(OR(Fact_Control_Operaciones[[#This Row], [Año]]="",Fact_Control_Operaciones[[#This Row], 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 [Concepto Anterior]],Conceptos_Control_Operaciones[#All],5,0),"")</f>
        <v/>
      </c>
      <c r="F2317" t="str">
        <f>+IFERROR(VLOOKUP(Fact_Control_Operaciones[[#This Row], 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ht="18.75" customHeight="1" x14ac:dyDescent="0.35">
      <c r="C2318" s="100" t="str">
        <f>IF(OR(Fact_Control_Operaciones[[#This Row], [Año]]="",Fact_Control_Operaciones[[#This Row], 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 [Concepto Anterior]],Conceptos_Control_Operaciones[#All],5,0),"")</f>
        <v/>
      </c>
      <c r="F2318" t="str">
        <f>+IFERROR(VLOOKUP(Fact_Control_Operaciones[[#This Row], 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ht="18.75" customHeight="1" x14ac:dyDescent="0.35">
      <c r="C2319" s="100" t="str">
        <f>IF(OR(Fact_Control_Operaciones[[#This Row], [Año]]="",Fact_Control_Operaciones[[#This Row], 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 [Concepto Anterior]],Conceptos_Control_Operaciones[#All],5,0),"")</f>
        <v/>
      </c>
      <c r="F2319" t="str">
        <f>+IFERROR(VLOOKUP(Fact_Control_Operaciones[[#This Row], 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ht="18.75" customHeight="1" x14ac:dyDescent="0.35">
      <c r="C2320" s="100" t="str">
        <f>IF(OR(Fact_Control_Operaciones[[#This Row], [Año]]="",Fact_Control_Operaciones[[#This Row], 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 [Concepto Anterior]],Conceptos_Control_Operaciones[#All],5,0),"")</f>
        <v/>
      </c>
      <c r="F2320" t="str">
        <f>+IFERROR(VLOOKUP(Fact_Control_Operaciones[[#This Row], 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ht="18.75" customHeight="1" x14ac:dyDescent="0.35">
      <c r="C2321" s="100" t="str">
        <f>IF(OR(Fact_Control_Operaciones[[#This Row], [Año]]="",Fact_Control_Operaciones[[#This Row], 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 [Concepto Anterior]],Conceptos_Control_Operaciones[#All],5,0),"")</f>
        <v/>
      </c>
      <c r="F2321" t="str">
        <f>+IFERROR(VLOOKUP(Fact_Control_Operaciones[[#This Row], 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ht="18.75" customHeight="1" x14ac:dyDescent="0.35">
      <c r="C2322" s="100" t="str">
        <f>IF(OR(Fact_Control_Operaciones[[#This Row], [Año]]="",Fact_Control_Operaciones[[#This Row], 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 [Concepto Anterior]],Conceptos_Control_Operaciones[#All],5,0),"")</f>
        <v/>
      </c>
      <c r="F2322" t="str">
        <f>+IFERROR(VLOOKUP(Fact_Control_Operaciones[[#This Row], 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ht="18.75" customHeight="1" x14ac:dyDescent="0.35">
      <c r="C2323" s="100" t="str">
        <f>IF(OR(Fact_Control_Operaciones[[#This Row], [Año]]="",Fact_Control_Operaciones[[#This Row], 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 [Concepto Anterior]],Conceptos_Control_Operaciones[#All],5,0),"")</f>
        <v/>
      </c>
      <c r="F2323" t="str">
        <f>+IFERROR(VLOOKUP(Fact_Control_Operaciones[[#This Row], 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ht="18.75" customHeight="1" x14ac:dyDescent="0.35">
      <c r="C2324" s="100" t="str">
        <f>IF(OR(Fact_Control_Operaciones[[#This Row], [Año]]="",Fact_Control_Operaciones[[#This Row], 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 [Concepto Anterior]],Conceptos_Control_Operaciones[#All],5,0),"")</f>
        <v/>
      </c>
      <c r="F2324" t="str">
        <f>+IFERROR(VLOOKUP(Fact_Control_Operaciones[[#This Row], 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ht="18.75" customHeight="1" x14ac:dyDescent="0.35">
      <c r="C2325" s="100" t="str">
        <f>IF(OR(Fact_Control_Operaciones[[#This Row], [Año]]="",Fact_Control_Operaciones[[#This Row], 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 [Concepto Anterior]],Conceptos_Control_Operaciones[#All],5,0),"")</f>
        <v/>
      </c>
      <c r="F2325" t="str">
        <f>+IFERROR(VLOOKUP(Fact_Control_Operaciones[[#This Row], 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ht="18.75" customHeight="1" x14ac:dyDescent="0.35">
      <c r="C2326" s="100" t="str">
        <f>IF(OR(Fact_Control_Operaciones[[#This Row], [Año]]="",Fact_Control_Operaciones[[#This Row], 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 [Concepto Anterior]],Conceptos_Control_Operaciones[#All],5,0),"")</f>
        <v/>
      </c>
      <c r="F2326" t="str">
        <f>+IFERROR(VLOOKUP(Fact_Control_Operaciones[[#This Row], 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ht="18.75" customHeight="1" x14ac:dyDescent="0.35">
      <c r="C2327" s="100" t="str">
        <f>IF(OR(Fact_Control_Operaciones[[#This Row], [Año]]="",Fact_Control_Operaciones[[#This Row], 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 [Concepto Anterior]],Conceptos_Control_Operaciones[#All],5,0),"")</f>
        <v/>
      </c>
      <c r="F2327" t="str">
        <f>+IFERROR(VLOOKUP(Fact_Control_Operaciones[[#This Row], 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ht="18.75" customHeight="1" x14ac:dyDescent="0.35">
      <c r="C2328" s="100" t="str">
        <f>IF(OR(Fact_Control_Operaciones[[#This Row], [Año]]="",Fact_Control_Operaciones[[#This Row], 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 [Concepto Anterior]],Conceptos_Control_Operaciones[#All],5,0),"")</f>
        <v/>
      </c>
      <c r="F2328" t="str">
        <f>+IFERROR(VLOOKUP(Fact_Control_Operaciones[[#This Row], 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ht="18.75" customHeight="1" x14ac:dyDescent="0.35">
      <c r="C2329" s="100" t="str">
        <f>IF(OR(Fact_Control_Operaciones[[#This Row], [Año]]="",Fact_Control_Operaciones[[#This Row], 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 [Concepto Anterior]],Conceptos_Control_Operaciones[#All],5,0),"")</f>
        <v/>
      </c>
      <c r="F2329" t="str">
        <f>+IFERROR(VLOOKUP(Fact_Control_Operaciones[[#This Row], 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ht="18.75" customHeight="1" x14ac:dyDescent="0.35">
      <c r="C2330" s="100" t="str">
        <f>IF(OR(Fact_Control_Operaciones[[#This Row], [Año]]="",Fact_Control_Operaciones[[#This Row], 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 [Concepto Anterior]],Conceptos_Control_Operaciones[#All],5,0),"")</f>
        <v/>
      </c>
      <c r="F2330" t="str">
        <f>+IFERROR(VLOOKUP(Fact_Control_Operaciones[[#This Row], 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ht="18.75" customHeight="1" x14ac:dyDescent="0.35">
      <c r="C2331" s="100" t="str">
        <f>IF(OR(Fact_Control_Operaciones[[#This Row], [Año]]="",Fact_Control_Operaciones[[#This Row], 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 [Concepto Anterior]],Conceptos_Control_Operaciones[#All],5,0),"")</f>
        <v/>
      </c>
      <c r="F2331" t="str">
        <f>+IFERROR(VLOOKUP(Fact_Control_Operaciones[[#This Row], 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ht="18.75" customHeight="1" x14ac:dyDescent="0.35">
      <c r="C2332" s="100" t="str">
        <f>IF(OR(Fact_Control_Operaciones[[#This Row], [Año]]="",Fact_Control_Operaciones[[#This Row], 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 [Concepto Anterior]],Conceptos_Control_Operaciones[#All],5,0),"")</f>
        <v/>
      </c>
      <c r="F2332" t="str">
        <f>+IFERROR(VLOOKUP(Fact_Control_Operaciones[[#This Row], 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ht="18.75" customHeight="1" x14ac:dyDescent="0.35">
      <c r="C2333" s="100" t="str">
        <f>IF(OR(Fact_Control_Operaciones[[#This Row], [Año]]="",Fact_Control_Operaciones[[#This Row], 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 [Concepto Anterior]],Conceptos_Control_Operaciones[#All],5,0),"")</f>
        <v/>
      </c>
      <c r="F2333" t="str">
        <f>+IFERROR(VLOOKUP(Fact_Control_Operaciones[[#This Row], 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ht="18.75" customHeight="1" x14ac:dyDescent="0.35">
      <c r="C2334" s="100" t="str">
        <f>IF(OR(Fact_Control_Operaciones[[#This Row], [Año]]="",Fact_Control_Operaciones[[#This Row], 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 [Concepto Anterior]],Conceptos_Control_Operaciones[#All],5,0),"")</f>
        <v/>
      </c>
      <c r="F2334" t="str">
        <f>+IFERROR(VLOOKUP(Fact_Control_Operaciones[[#This Row], 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ht="18.75" customHeight="1" x14ac:dyDescent="0.35">
      <c r="C2335" s="100" t="str">
        <f>IF(OR(Fact_Control_Operaciones[[#This Row], [Año]]="",Fact_Control_Operaciones[[#This Row], 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 [Concepto Anterior]],Conceptos_Control_Operaciones[#All],5,0),"")</f>
        <v/>
      </c>
      <c r="F2335" t="str">
        <f>+IFERROR(VLOOKUP(Fact_Control_Operaciones[[#This Row], 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ht="18.75" customHeight="1" x14ac:dyDescent="0.35">
      <c r="C2336" s="100" t="str">
        <f>IF(OR(Fact_Control_Operaciones[[#This Row], [Año]]="",Fact_Control_Operaciones[[#This Row], 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 [Concepto Anterior]],Conceptos_Control_Operaciones[#All],5,0),"")</f>
        <v/>
      </c>
      <c r="F2336" t="str">
        <f>+IFERROR(VLOOKUP(Fact_Control_Operaciones[[#This Row], 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ht="18.75" customHeight="1" x14ac:dyDescent="0.35">
      <c r="C2337" s="100" t="str">
        <f>IF(OR(Fact_Control_Operaciones[[#This Row], [Año]]="",Fact_Control_Operaciones[[#This Row], 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 [Concepto Anterior]],Conceptos_Control_Operaciones[#All],5,0),"")</f>
        <v/>
      </c>
      <c r="F2337" t="str">
        <f>+IFERROR(VLOOKUP(Fact_Control_Operaciones[[#This Row], 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ht="18.75" customHeight="1" x14ac:dyDescent="0.35">
      <c r="C2338" s="100" t="str">
        <f>IF(OR(Fact_Control_Operaciones[[#This Row], [Año]]="",Fact_Control_Operaciones[[#This Row], 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 [Concepto Anterior]],Conceptos_Control_Operaciones[#All],5,0),"")</f>
        <v/>
      </c>
      <c r="F2338" t="str">
        <f>+IFERROR(VLOOKUP(Fact_Control_Operaciones[[#This Row], 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ht="18.75" customHeight="1" x14ac:dyDescent="0.35">
      <c r="C2339" s="100" t="str">
        <f>IF(OR(Fact_Control_Operaciones[[#This Row], [Año]]="",Fact_Control_Operaciones[[#This Row], 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 [Concepto Anterior]],Conceptos_Control_Operaciones[#All],5,0),"")</f>
        <v/>
      </c>
      <c r="F2339" t="str">
        <f>+IFERROR(VLOOKUP(Fact_Control_Operaciones[[#This Row], 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ht="18.75" customHeight="1" x14ac:dyDescent="0.35">
      <c r="C2340" s="100" t="str">
        <f>IF(OR(Fact_Control_Operaciones[[#This Row], [Año]]="",Fact_Control_Operaciones[[#This Row], 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 [Concepto Anterior]],Conceptos_Control_Operaciones[#All],5,0),"")</f>
        <v/>
      </c>
      <c r="F2340" t="str">
        <f>+IFERROR(VLOOKUP(Fact_Control_Operaciones[[#This Row], 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ht="18.75" customHeight="1" x14ac:dyDescent="0.35">
      <c r="C2341" s="100" t="str">
        <f>IF(OR(Fact_Control_Operaciones[[#This Row], [Año]]="",Fact_Control_Operaciones[[#This Row], 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 [Concepto Anterior]],Conceptos_Control_Operaciones[#All],5,0),"")</f>
        <v/>
      </c>
      <c r="F2341" t="str">
        <f>+IFERROR(VLOOKUP(Fact_Control_Operaciones[[#This Row], 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ht="18.75" customHeight="1" x14ac:dyDescent="0.35">
      <c r="C2342" s="100" t="str">
        <f>IF(OR(Fact_Control_Operaciones[[#This Row], [Año]]="",Fact_Control_Operaciones[[#This Row], 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 [Concepto Anterior]],Conceptos_Control_Operaciones[#All],5,0),"")</f>
        <v/>
      </c>
      <c r="F2342" t="str">
        <f>+IFERROR(VLOOKUP(Fact_Control_Operaciones[[#This Row], 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ht="18.75" customHeight="1" x14ac:dyDescent="0.35">
      <c r="C2343" s="100" t="str">
        <f>IF(OR(Fact_Control_Operaciones[[#This Row], [Año]]="",Fact_Control_Operaciones[[#This Row], 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 [Concepto Anterior]],Conceptos_Control_Operaciones[#All],5,0),"")</f>
        <v/>
      </c>
      <c r="F2343" t="str">
        <f>+IFERROR(VLOOKUP(Fact_Control_Operaciones[[#This Row], 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ht="18.75" customHeight="1" x14ac:dyDescent="0.35">
      <c r="C2344" s="100" t="str">
        <f>IF(OR(Fact_Control_Operaciones[[#This Row], [Año]]="",Fact_Control_Operaciones[[#This Row], 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 [Concepto Anterior]],Conceptos_Control_Operaciones[#All],5,0),"")</f>
        <v/>
      </c>
      <c r="F2344" t="str">
        <f>+IFERROR(VLOOKUP(Fact_Control_Operaciones[[#This Row], 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ht="18.75" customHeight="1" x14ac:dyDescent="0.35">
      <c r="C2345" s="100" t="str">
        <f>IF(OR(Fact_Control_Operaciones[[#This Row], [Año]]="",Fact_Control_Operaciones[[#This Row], 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 [Concepto Anterior]],Conceptos_Control_Operaciones[#All],5,0),"")</f>
        <v/>
      </c>
      <c r="F2345" t="str">
        <f>+IFERROR(VLOOKUP(Fact_Control_Operaciones[[#This Row], 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ht="18.75" customHeight="1" x14ac:dyDescent="0.35">
      <c r="C2346" s="100" t="str">
        <f>IF(OR(Fact_Control_Operaciones[[#This Row], [Año]]="",Fact_Control_Operaciones[[#This Row], 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 [Concepto Anterior]],Conceptos_Control_Operaciones[#All],5,0),"")</f>
        <v/>
      </c>
      <c r="F2346" t="str">
        <f>+IFERROR(VLOOKUP(Fact_Control_Operaciones[[#This Row], 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ht="18.75" customHeight="1" x14ac:dyDescent="0.35">
      <c r="C2347" s="100" t="str">
        <f>IF(OR(Fact_Control_Operaciones[[#This Row], [Año]]="",Fact_Control_Operaciones[[#This Row], 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 [Concepto Anterior]],Conceptos_Control_Operaciones[#All],5,0),"")</f>
        <v/>
      </c>
      <c r="F2347" t="str">
        <f>+IFERROR(VLOOKUP(Fact_Control_Operaciones[[#This Row], 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ht="18.75" customHeight="1" x14ac:dyDescent="0.35">
      <c r="C2348" s="100" t="str">
        <f>IF(OR(Fact_Control_Operaciones[[#This Row], [Año]]="",Fact_Control_Operaciones[[#This Row], 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 [Concepto Anterior]],Conceptos_Control_Operaciones[#All],5,0),"")</f>
        <v/>
      </c>
      <c r="F2348" t="str">
        <f>+IFERROR(VLOOKUP(Fact_Control_Operaciones[[#This Row], 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ht="18.75" customHeight="1" x14ac:dyDescent="0.35">
      <c r="C2349" s="100" t="str">
        <f>IF(OR(Fact_Control_Operaciones[[#This Row], [Año]]="",Fact_Control_Operaciones[[#This Row], 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 [Concepto Anterior]],Conceptos_Control_Operaciones[#All],5,0),"")</f>
        <v/>
      </c>
      <c r="F2349" t="str">
        <f>+IFERROR(VLOOKUP(Fact_Control_Operaciones[[#This Row], 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ht="18.75" customHeight="1" x14ac:dyDescent="0.35">
      <c r="C2350" s="100" t="str">
        <f>IF(OR(Fact_Control_Operaciones[[#This Row], [Año]]="",Fact_Control_Operaciones[[#This Row], 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 [Concepto Anterior]],Conceptos_Control_Operaciones[#All],5,0),"")</f>
        <v/>
      </c>
      <c r="F2350" t="str">
        <f>+IFERROR(VLOOKUP(Fact_Control_Operaciones[[#This Row], 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ht="18.75" customHeight="1" x14ac:dyDescent="0.35">
      <c r="C2351" s="100" t="str">
        <f>IF(OR(Fact_Control_Operaciones[[#This Row], [Año]]="",Fact_Control_Operaciones[[#This Row], 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 [Concepto Anterior]],Conceptos_Control_Operaciones[#All],5,0),"")</f>
        <v/>
      </c>
      <c r="F2351" t="str">
        <f>+IFERROR(VLOOKUP(Fact_Control_Operaciones[[#This Row], 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ht="18.75" customHeight="1" x14ac:dyDescent="0.35">
      <c r="C2352" s="100" t="str">
        <f>IF(OR(Fact_Control_Operaciones[[#This Row], [Año]]="",Fact_Control_Operaciones[[#This Row], 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 [Concepto Anterior]],Conceptos_Control_Operaciones[#All],5,0),"")</f>
        <v/>
      </c>
      <c r="F2352" t="str">
        <f>+IFERROR(VLOOKUP(Fact_Control_Operaciones[[#This Row], 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ht="18.75" customHeight="1" x14ac:dyDescent="0.35">
      <c r="C2353" s="100" t="str">
        <f>IF(OR(Fact_Control_Operaciones[[#This Row], [Año]]="",Fact_Control_Operaciones[[#This Row], 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 [Concepto Anterior]],Conceptos_Control_Operaciones[#All],5,0),"")</f>
        <v/>
      </c>
      <c r="F2353" t="str">
        <f>+IFERROR(VLOOKUP(Fact_Control_Operaciones[[#This Row], 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ht="18.75" customHeight="1" x14ac:dyDescent="0.35">
      <c r="C2354" s="100" t="str">
        <f>IF(OR(Fact_Control_Operaciones[[#This Row], [Año]]="",Fact_Control_Operaciones[[#This Row], 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 [Concepto Anterior]],Conceptos_Control_Operaciones[#All],5,0),"")</f>
        <v/>
      </c>
      <c r="F2354" t="str">
        <f>+IFERROR(VLOOKUP(Fact_Control_Operaciones[[#This Row], 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ht="18.75" customHeight="1" x14ac:dyDescent="0.35">
      <c r="C2355" s="100" t="str">
        <f>IF(OR(Fact_Control_Operaciones[[#This Row], [Año]]="",Fact_Control_Operaciones[[#This Row], 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 [Concepto Anterior]],Conceptos_Control_Operaciones[#All],5,0),"")</f>
        <v/>
      </c>
      <c r="F2355" t="str">
        <f>+IFERROR(VLOOKUP(Fact_Control_Operaciones[[#This Row], 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ht="18.75" customHeight="1" x14ac:dyDescent="0.35">
      <c r="C2356" s="100" t="str">
        <f>IF(OR(Fact_Control_Operaciones[[#This Row], [Año]]="",Fact_Control_Operaciones[[#This Row], 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 [Concepto Anterior]],Conceptos_Control_Operaciones[#All],5,0),"")</f>
        <v/>
      </c>
      <c r="F2356" t="str">
        <f>+IFERROR(VLOOKUP(Fact_Control_Operaciones[[#This Row], 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ht="18.75" customHeight="1" x14ac:dyDescent="0.35">
      <c r="C2357" s="100" t="str">
        <f>IF(OR(Fact_Control_Operaciones[[#This Row], [Año]]="",Fact_Control_Operaciones[[#This Row], 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 [Concepto Anterior]],Conceptos_Control_Operaciones[#All],5,0),"")</f>
        <v/>
      </c>
      <c r="F2357" t="str">
        <f>+IFERROR(VLOOKUP(Fact_Control_Operaciones[[#This Row], 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ht="18.75" customHeight="1" x14ac:dyDescent="0.35">
      <c r="C2358" s="100" t="str">
        <f>IF(OR(Fact_Control_Operaciones[[#This Row], [Año]]="",Fact_Control_Operaciones[[#This Row], 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 [Concepto Anterior]],Conceptos_Control_Operaciones[#All],5,0),"")</f>
        <v/>
      </c>
      <c r="F2358" t="str">
        <f>+IFERROR(VLOOKUP(Fact_Control_Operaciones[[#This Row], 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ht="18.75" customHeight="1" x14ac:dyDescent="0.35">
      <c r="C2359" s="100" t="str">
        <f>IF(OR(Fact_Control_Operaciones[[#This Row], [Año]]="",Fact_Control_Operaciones[[#This Row], 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 [Concepto Anterior]],Conceptos_Control_Operaciones[#All],5,0),"")</f>
        <v/>
      </c>
      <c r="F2359" t="str">
        <f>+IFERROR(VLOOKUP(Fact_Control_Operaciones[[#This Row], 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ht="18.75" customHeight="1" x14ac:dyDescent="0.35">
      <c r="C2360" s="100" t="str">
        <f>IF(OR(Fact_Control_Operaciones[[#This Row], [Año]]="",Fact_Control_Operaciones[[#This Row], 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 [Concepto Anterior]],Conceptos_Control_Operaciones[#All],5,0),"")</f>
        <v/>
      </c>
      <c r="F2360" t="str">
        <f>+IFERROR(VLOOKUP(Fact_Control_Operaciones[[#This Row], 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ht="18.75" customHeight="1" x14ac:dyDescent="0.35">
      <c r="C2361" s="100" t="str">
        <f>IF(OR(Fact_Control_Operaciones[[#This Row], [Año]]="",Fact_Control_Operaciones[[#This Row], 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 [Concepto Anterior]],Conceptos_Control_Operaciones[#All],5,0),"")</f>
        <v/>
      </c>
      <c r="F2361" t="str">
        <f>+IFERROR(VLOOKUP(Fact_Control_Operaciones[[#This Row], 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ht="18.75" customHeight="1" x14ac:dyDescent="0.35">
      <c r="C2362" s="100" t="str">
        <f>IF(OR(Fact_Control_Operaciones[[#This Row], [Año]]="",Fact_Control_Operaciones[[#This Row], 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 [Concepto Anterior]],Conceptos_Control_Operaciones[#All],5,0),"")</f>
        <v/>
      </c>
      <c r="F2362" t="str">
        <f>+IFERROR(VLOOKUP(Fact_Control_Operaciones[[#This Row], 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ht="18.75" customHeight="1" x14ac:dyDescent="0.35">
      <c r="C2363" s="100" t="str">
        <f>IF(OR(Fact_Control_Operaciones[[#This Row], [Año]]="",Fact_Control_Operaciones[[#This Row], 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 [Concepto Anterior]],Conceptos_Control_Operaciones[#All],5,0),"")</f>
        <v/>
      </c>
      <c r="F2363" t="str">
        <f>+IFERROR(VLOOKUP(Fact_Control_Operaciones[[#This Row], 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ht="18.75" customHeight="1" x14ac:dyDescent="0.35">
      <c r="C2364" s="100" t="str">
        <f>IF(OR(Fact_Control_Operaciones[[#This Row], [Año]]="",Fact_Control_Operaciones[[#This Row], 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 [Concepto Anterior]],Conceptos_Control_Operaciones[#All],5,0),"")</f>
        <v/>
      </c>
      <c r="F2364" t="str">
        <f>+IFERROR(VLOOKUP(Fact_Control_Operaciones[[#This Row], 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ht="18.75" customHeight="1" x14ac:dyDescent="0.35">
      <c r="C2365" s="100" t="str">
        <f>IF(OR(Fact_Control_Operaciones[[#This Row], [Año]]="",Fact_Control_Operaciones[[#This Row], 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 [Concepto Anterior]],Conceptos_Control_Operaciones[#All],5,0),"")</f>
        <v/>
      </c>
      <c r="F2365" t="str">
        <f>+IFERROR(VLOOKUP(Fact_Control_Operaciones[[#This Row], 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ht="18.75" customHeight="1" x14ac:dyDescent="0.35">
      <c r="C2366" s="100" t="str">
        <f>IF(OR(Fact_Control_Operaciones[[#This Row], [Año]]="",Fact_Control_Operaciones[[#This Row], 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 [Concepto Anterior]],Conceptos_Control_Operaciones[#All],5,0),"")</f>
        <v/>
      </c>
      <c r="F2366" t="str">
        <f>+IFERROR(VLOOKUP(Fact_Control_Operaciones[[#This Row], 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ht="18.75" customHeight="1" x14ac:dyDescent="0.35">
      <c r="C2367" s="100" t="str">
        <f>IF(OR(Fact_Control_Operaciones[[#This Row], [Año]]="",Fact_Control_Operaciones[[#This Row], 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 [Concepto Anterior]],Conceptos_Control_Operaciones[#All],5,0),"")</f>
        <v/>
      </c>
      <c r="F2367" t="str">
        <f>+IFERROR(VLOOKUP(Fact_Control_Operaciones[[#This Row], 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ht="18.75" customHeight="1" x14ac:dyDescent="0.35">
      <c r="C2368" s="100" t="str">
        <f>IF(OR(Fact_Control_Operaciones[[#This Row], [Año]]="",Fact_Control_Operaciones[[#This Row], 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 [Concepto Anterior]],Conceptos_Control_Operaciones[#All],5,0),"")</f>
        <v/>
      </c>
      <c r="F2368" t="str">
        <f>+IFERROR(VLOOKUP(Fact_Control_Operaciones[[#This Row], 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ht="18.75" customHeight="1" x14ac:dyDescent="0.35">
      <c r="C2369" s="100" t="str">
        <f>IF(OR(Fact_Control_Operaciones[[#This Row], [Año]]="",Fact_Control_Operaciones[[#This Row], 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 [Concepto Anterior]],Conceptos_Control_Operaciones[#All],5,0),"")</f>
        <v/>
      </c>
      <c r="F2369" t="str">
        <f>+IFERROR(VLOOKUP(Fact_Control_Operaciones[[#This Row], 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ht="18.75" customHeight="1" x14ac:dyDescent="0.35">
      <c r="C2370" s="100" t="str">
        <f>IF(OR(Fact_Control_Operaciones[[#This Row], [Año]]="",Fact_Control_Operaciones[[#This Row], 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 [Concepto Anterior]],Conceptos_Control_Operaciones[#All],5,0),"")</f>
        <v/>
      </c>
      <c r="F2370" t="str">
        <f>+IFERROR(VLOOKUP(Fact_Control_Operaciones[[#This Row], 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ht="18.75" customHeight="1" x14ac:dyDescent="0.35">
      <c r="C2371" s="100" t="str">
        <f>IF(OR(Fact_Control_Operaciones[[#This Row], [Año]]="",Fact_Control_Operaciones[[#This Row], 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 [Concepto Anterior]],Conceptos_Control_Operaciones[#All],5,0),"")</f>
        <v/>
      </c>
      <c r="F2371" t="str">
        <f>+IFERROR(VLOOKUP(Fact_Control_Operaciones[[#This Row], 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ht="18.75" customHeight="1" x14ac:dyDescent="0.35">
      <c r="C2372" s="100" t="str">
        <f>IF(OR(Fact_Control_Operaciones[[#This Row], [Año]]="",Fact_Control_Operaciones[[#This Row], 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 [Concepto Anterior]],Conceptos_Control_Operaciones[#All],5,0),"")</f>
        <v/>
      </c>
      <c r="F2372" t="str">
        <f>+IFERROR(VLOOKUP(Fact_Control_Operaciones[[#This Row], 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ht="18.75" customHeight="1" x14ac:dyDescent="0.35">
      <c r="C2373" s="100" t="str">
        <f>IF(OR(Fact_Control_Operaciones[[#This Row], [Año]]="",Fact_Control_Operaciones[[#This Row], 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 [Concepto Anterior]],Conceptos_Control_Operaciones[#All],5,0),"")</f>
        <v/>
      </c>
      <c r="F2373" t="str">
        <f>+IFERROR(VLOOKUP(Fact_Control_Operaciones[[#This Row], 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ht="18.75" customHeight="1" x14ac:dyDescent="0.35">
      <c r="C2374" s="100" t="str">
        <f>IF(OR(Fact_Control_Operaciones[[#This Row], [Año]]="",Fact_Control_Operaciones[[#This Row], 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 [Concepto Anterior]],Conceptos_Control_Operaciones[#All],5,0),"")</f>
        <v/>
      </c>
      <c r="F2374" t="str">
        <f>+IFERROR(VLOOKUP(Fact_Control_Operaciones[[#This Row], 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ht="18.75" customHeight="1" x14ac:dyDescent="0.35">
      <c r="C2375" s="100" t="str">
        <f>IF(OR(Fact_Control_Operaciones[[#This Row], [Año]]="",Fact_Control_Operaciones[[#This Row], 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 [Concepto Anterior]],Conceptos_Control_Operaciones[#All],5,0),"")</f>
        <v/>
      </c>
      <c r="F2375" t="str">
        <f>+IFERROR(VLOOKUP(Fact_Control_Operaciones[[#This Row], 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ht="18.75" customHeight="1" x14ac:dyDescent="0.35">
      <c r="C2376" s="100" t="str">
        <f>IF(OR(Fact_Control_Operaciones[[#This Row], [Año]]="",Fact_Control_Operaciones[[#This Row], 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 [Concepto Anterior]],Conceptos_Control_Operaciones[#All],5,0),"")</f>
        <v/>
      </c>
      <c r="F2376" t="str">
        <f>+IFERROR(VLOOKUP(Fact_Control_Operaciones[[#This Row], 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ht="18.75" customHeight="1" x14ac:dyDescent="0.35">
      <c r="C2377" s="100" t="str">
        <f>IF(OR(Fact_Control_Operaciones[[#This Row], [Año]]="",Fact_Control_Operaciones[[#This Row], 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 [Concepto Anterior]],Conceptos_Control_Operaciones[#All],5,0),"")</f>
        <v/>
      </c>
      <c r="F2377" t="str">
        <f>+IFERROR(VLOOKUP(Fact_Control_Operaciones[[#This Row], 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ht="18.75" customHeight="1" x14ac:dyDescent="0.35">
      <c r="C2378" s="100" t="str">
        <f>IF(OR(Fact_Control_Operaciones[[#This Row], [Año]]="",Fact_Control_Operaciones[[#This Row], 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 [Concepto Anterior]],Conceptos_Control_Operaciones[#All],5,0),"")</f>
        <v/>
      </c>
      <c r="F2378" t="str">
        <f>+IFERROR(VLOOKUP(Fact_Control_Operaciones[[#This Row], 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ht="18.75" customHeight="1" x14ac:dyDescent="0.35">
      <c r="C2379" s="100" t="str">
        <f>IF(OR(Fact_Control_Operaciones[[#This Row], [Año]]="",Fact_Control_Operaciones[[#This Row], 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 [Concepto Anterior]],Conceptos_Control_Operaciones[#All],5,0),"")</f>
        <v/>
      </c>
      <c r="F2379" t="str">
        <f>+IFERROR(VLOOKUP(Fact_Control_Operaciones[[#This Row], 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ht="18.75" customHeight="1" x14ac:dyDescent="0.35">
      <c r="C2380" s="100" t="str">
        <f>IF(OR(Fact_Control_Operaciones[[#This Row], [Año]]="",Fact_Control_Operaciones[[#This Row], 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 [Concepto Anterior]],Conceptos_Control_Operaciones[#All],5,0),"")</f>
        <v/>
      </c>
      <c r="F2380" t="str">
        <f>+IFERROR(VLOOKUP(Fact_Control_Operaciones[[#This Row], 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ht="18.75" customHeight="1" x14ac:dyDescent="0.35">
      <c r="C2381" s="100" t="str">
        <f>IF(OR(Fact_Control_Operaciones[[#This Row], [Año]]="",Fact_Control_Operaciones[[#This Row], 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 [Concepto Anterior]],Conceptos_Control_Operaciones[#All],5,0),"")</f>
        <v/>
      </c>
      <c r="F2381" t="str">
        <f>+IFERROR(VLOOKUP(Fact_Control_Operaciones[[#This Row], 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ht="18.75" customHeight="1" x14ac:dyDescent="0.35">
      <c r="C2382" s="100" t="str">
        <f>IF(OR(Fact_Control_Operaciones[[#This Row], [Año]]="",Fact_Control_Operaciones[[#This Row], 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 [Concepto Anterior]],Conceptos_Control_Operaciones[#All],5,0),"")</f>
        <v/>
      </c>
      <c r="F2382" t="str">
        <f>+IFERROR(VLOOKUP(Fact_Control_Operaciones[[#This Row], 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ht="18.75" customHeight="1" x14ac:dyDescent="0.35">
      <c r="C2383" s="100" t="str">
        <f>IF(OR(Fact_Control_Operaciones[[#This Row], [Año]]="",Fact_Control_Operaciones[[#This Row], 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 [Concepto Anterior]],Conceptos_Control_Operaciones[#All],5,0),"")</f>
        <v/>
      </c>
      <c r="F2383" t="str">
        <f>+IFERROR(VLOOKUP(Fact_Control_Operaciones[[#This Row], 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ht="18.75" customHeight="1" x14ac:dyDescent="0.35">
      <c r="C2384" s="100" t="str">
        <f>IF(OR(Fact_Control_Operaciones[[#This Row], [Año]]="",Fact_Control_Operaciones[[#This Row], 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 [Concepto Anterior]],Conceptos_Control_Operaciones[#All],5,0),"")</f>
        <v/>
      </c>
      <c r="F2384" t="str">
        <f>+IFERROR(VLOOKUP(Fact_Control_Operaciones[[#This Row], 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ht="18.75" customHeight="1" x14ac:dyDescent="0.35">
      <c r="C2385" s="100" t="str">
        <f>IF(OR(Fact_Control_Operaciones[[#This Row], [Año]]="",Fact_Control_Operaciones[[#This Row], 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 [Concepto Anterior]],Conceptos_Control_Operaciones[#All],5,0),"")</f>
        <v/>
      </c>
      <c r="F2385" t="str">
        <f>+IFERROR(VLOOKUP(Fact_Control_Operaciones[[#This Row], 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ht="18.75" customHeight="1" x14ac:dyDescent="0.35">
      <c r="C2386" s="100" t="str">
        <f>IF(OR(Fact_Control_Operaciones[[#This Row], [Año]]="",Fact_Control_Operaciones[[#This Row], 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 [Concepto Anterior]],Conceptos_Control_Operaciones[#All],5,0),"")</f>
        <v/>
      </c>
      <c r="F2386" t="str">
        <f>+IFERROR(VLOOKUP(Fact_Control_Operaciones[[#This Row], 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ht="18.75" customHeight="1" x14ac:dyDescent="0.35">
      <c r="C2387" s="100" t="str">
        <f>IF(OR(Fact_Control_Operaciones[[#This Row], [Año]]="",Fact_Control_Operaciones[[#This Row], 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 [Concepto Anterior]],Conceptos_Control_Operaciones[#All],5,0),"")</f>
        <v/>
      </c>
      <c r="F2387" t="str">
        <f>+IFERROR(VLOOKUP(Fact_Control_Operaciones[[#This Row], 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ht="18.75" customHeight="1" x14ac:dyDescent="0.35">
      <c r="C2388" s="100" t="str">
        <f>IF(OR(Fact_Control_Operaciones[[#This Row], [Año]]="",Fact_Control_Operaciones[[#This Row], 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 [Concepto Anterior]],Conceptos_Control_Operaciones[#All],5,0),"")</f>
        <v/>
      </c>
      <c r="F2388" t="str">
        <f>+IFERROR(VLOOKUP(Fact_Control_Operaciones[[#This Row], 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ht="18.75" customHeight="1" x14ac:dyDescent="0.35">
      <c r="C2389" s="100" t="str">
        <f>IF(OR(Fact_Control_Operaciones[[#This Row], [Año]]="",Fact_Control_Operaciones[[#This Row], 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 [Concepto Anterior]],Conceptos_Control_Operaciones[#All],5,0),"")</f>
        <v/>
      </c>
      <c r="F2389" t="str">
        <f>+IFERROR(VLOOKUP(Fact_Control_Operaciones[[#This Row], 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ht="18.75" customHeight="1" x14ac:dyDescent="0.35">
      <c r="C2390" s="100" t="str">
        <f>IF(OR(Fact_Control_Operaciones[[#This Row], [Año]]="",Fact_Control_Operaciones[[#This Row], 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 [Concepto Anterior]],Conceptos_Control_Operaciones[#All],5,0),"")</f>
        <v/>
      </c>
      <c r="F2390" t="str">
        <f>+IFERROR(VLOOKUP(Fact_Control_Operaciones[[#This Row], 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ht="18.75" customHeight="1" x14ac:dyDescent="0.35">
      <c r="C2391" s="100" t="str">
        <f>IF(OR(Fact_Control_Operaciones[[#This Row], [Año]]="",Fact_Control_Operaciones[[#This Row], 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 [Concepto Anterior]],Conceptos_Control_Operaciones[#All],5,0),"")</f>
        <v/>
      </c>
      <c r="F2391" t="str">
        <f>+IFERROR(VLOOKUP(Fact_Control_Operaciones[[#This Row], 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ht="18.75" customHeight="1" x14ac:dyDescent="0.35">
      <c r="C2392" s="100" t="str">
        <f>IF(OR(Fact_Control_Operaciones[[#This Row], [Año]]="",Fact_Control_Operaciones[[#This Row], 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 [Concepto Anterior]],Conceptos_Control_Operaciones[#All],5,0),"")</f>
        <v/>
      </c>
      <c r="F2392" t="str">
        <f>+IFERROR(VLOOKUP(Fact_Control_Operaciones[[#This Row], 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ht="18.75" customHeight="1" x14ac:dyDescent="0.35">
      <c r="C2393" s="100" t="str">
        <f>IF(OR(Fact_Control_Operaciones[[#This Row], [Año]]="",Fact_Control_Operaciones[[#This Row], 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 [Concepto Anterior]],Conceptos_Control_Operaciones[#All],5,0),"")</f>
        <v/>
      </c>
      <c r="F2393" t="str">
        <f>+IFERROR(VLOOKUP(Fact_Control_Operaciones[[#This Row], 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ht="18.75" customHeight="1" x14ac:dyDescent="0.35">
      <c r="C2394" s="100" t="str">
        <f>IF(OR(Fact_Control_Operaciones[[#This Row], [Año]]="",Fact_Control_Operaciones[[#This Row], 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 [Concepto Anterior]],Conceptos_Control_Operaciones[#All],5,0),"")</f>
        <v/>
      </c>
      <c r="F2394" t="str">
        <f>+IFERROR(VLOOKUP(Fact_Control_Operaciones[[#This Row], 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ht="18.75" customHeight="1" x14ac:dyDescent="0.35">
      <c r="C2395" s="100" t="str">
        <f>IF(OR(Fact_Control_Operaciones[[#This Row], [Año]]="",Fact_Control_Operaciones[[#This Row], 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 [Concepto Anterior]],Conceptos_Control_Operaciones[#All],5,0),"")</f>
        <v/>
      </c>
      <c r="F2395" t="str">
        <f>+IFERROR(VLOOKUP(Fact_Control_Operaciones[[#This Row], 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ht="18.75" customHeight="1" x14ac:dyDescent="0.35">
      <c r="C2396" s="100" t="str">
        <f>IF(OR(Fact_Control_Operaciones[[#This Row], [Año]]="",Fact_Control_Operaciones[[#This Row], 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 [Concepto Anterior]],Conceptos_Control_Operaciones[#All],5,0),"")</f>
        <v/>
      </c>
      <c r="F2396" t="str">
        <f>+IFERROR(VLOOKUP(Fact_Control_Operaciones[[#This Row], 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ht="18.75" customHeight="1" x14ac:dyDescent="0.35">
      <c r="C2397" s="100" t="str">
        <f>IF(OR(Fact_Control_Operaciones[[#This Row], [Año]]="",Fact_Control_Operaciones[[#This Row], 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 [Concepto Anterior]],Conceptos_Control_Operaciones[#All],5,0),"")</f>
        <v/>
      </c>
      <c r="F2397" t="str">
        <f>+IFERROR(VLOOKUP(Fact_Control_Operaciones[[#This Row], 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ht="18.75" customHeight="1" x14ac:dyDescent="0.35">
      <c r="C2398" s="100" t="str">
        <f>IF(OR(Fact_Control_Operaciones[[#This Row], [Año]]="",Fact_Control_Operaciones[[#This Row], 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 [Concepto Anterior]],Conceptos_Control_Operaciones[#All],5,0),"")</f>
        <v/>
      </c>
      <c r="F2398" t="str">
        <f>+IFERROR(VLOOKUP(Fact_Control_Operaciones[[#This Row], 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ht="18.75" customHeight="1" x14ac:dyDescent="0.35">
      <c r="C2399" s="100" t="str">
        <f>IF(OR(Fact_Control_Operaciones[[#This Row], [Año]]="",Fact_Control_Operaciones[[#This Row], 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 [Concepto Anterior]],Conceptos_Control_Operaciones[#All],5,0),"")</f>
        <v/>
      </c>
      <c r="F2399" t="str">
        <f>+IFERROR(VLOOKUP(Fact_Control_Operaciones[[#This Row], 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ht="18.75" customHeight="1" x14ac:dyDescent="0.35">
      <c r="C2400" s="100" t="str">
        <f>IF(OR(Fact_Control_Operaciones[[#This Row], [Año]]="",Fact_Control_Operaciones[[#This Row], 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 [Concepto Anterior]],Conceptos_Control_Operaciones[#All],5,0),"")</f>
        <v/>
      </c>
      <c r="F2400" t="str">
        <f>+IFERROR(VLOOKUP(Fact_Control_Operaciones[[#This Row], 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ht="18.75" customHeight="1" x14ac:dyDescent="0.35">
      <c r="C2401" s="100" t="str">
        <f>IF(OR(Fact_Control_Operaciones[[#This Row], [Año]]="",Fact_Control_Operaciones[[#This Row], 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 [Concepto Anterior]],Conceptos_Control_Operaciones[#All],5,0),"")</f>
        <v/>
      </c>
      <c r="F2401" t="str">
        <f>+IFERROR(VLOOKUP(Fact_Control_Operaciones[[#This Row], 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ht="18.75" customHeight="1" x14ac:dyDescent="0.35">
      <c r="C2402" s="100" t="str">
        <f>IF(OR(Fact_Control_Operaciones[[#This Row], [Año]]="",Fact_Control_Operaciones[[#This Row], 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 [Concepto Anterior]],Conceptos_Control_Operaciones[#All],5,0),"")</f>
        <v/>
      </c>
      <c r="F2402" t="str">
        <f>+IFERROR(VLOOKUP(Fact_Control_Operaciones[[#This Row], 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ht="18.75" customHeight="1" x14ac:dyDescent="0.35">
      <c r="C2403" s="100" t="str">
        <f>IF(OR(Fact_Control_Operaciones[[#This Row], [Año]]="",Fact_Control_Operaciones[[#This Row], 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 [Concepto Anterior]],Conceptos_Control_Operaciones[#All],5,0),"")</f>
        <v/>
      </c>
      <c r="F2403" t="str">
        <f>+IFERROR(VLOOKUP(Fact_Control_Operaciones[[#This Row], 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ht="18.75" customHeight="1" x14ac:dyDescent="0.35">
      <c r="C2404" s="100" t="str">
        <f>IF(OR(Fact_Control_Operaciones[[#This Row], [Año]]="",Fact_Control_Operaciones[[#This Row], 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 [Concepto Anterior]],Conceptos_Control_Operaciones[#All],5,0),"")</f>
        <v/>
      </c>
      <c r="F2404" t="str">
        <f>+IFERROR(VLOOKUP(Fact_Control_Operaciones[[#This Row], 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ht="18.75" customHeight="1" x14ac:dyDescent="0.35">
      <c r="C2405" s="100" t="str">
        <f>IF(OR(Fact_Control_Operaciones[[#This Row], [Año]]="",Fact_Control_Operaciones[[#This Row], 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 [Concepto Anterior]],Conceptos_Control_Operaciones[#All],5,0),"")</f>
        <v/>
      </c>
      <c r="F2405" t="str">
        <f>+IFERROR(VLOOKUP(Fact_Control_Operaciones[[#This Row], 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ht="18.75" customHeight="1" x14ac:dyDescent="0.35">
      <c r="C2406" s="100" t="str">
        <f>IF(OR(Fact_Control_Operaciones[[#This Row], [Año]]="",Fact_Control_Operaciones[[#This Row], 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 [Concepto Anterior]],Conceptos_Control_Operaciones[#All],5,0),"")</f>
        <v/>
      </c>
      <c r="F2406" t="str">
        <f>+IFERROR(VLOOKUP(Fact_Control_Operaciones[[#This Row], 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ht="18.75" customHeight="1" x14ac:dyDescent="0.35">
      <c r="C2407" s="100" t="str">
        <f>IF(OR(Fact_Control_Operaciones[[#This Row], [Año]]="",Fact_Control_Operaciones[[#This Row], 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 [Concepto Anterior]],Conceptos_Control_Operaciones[#All],5,0),"")</f>
        <v/>
      </c>
      <c r="F2407" t="str">
        <f>+IFERROR(VLOOKUP(Fact_Control_Operaciones[[#This Row], 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ht="18.75" customHeight="1" x14ac:dyDescent="0.35">
      <c r="C2408" s="100" t="str">
        <f>IF(OR(Fact_Control_Operaciones[[#This Row], [Año]]="",Fact_Control_Operaciones[[#This Row], 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 [Concepto Anterior]],Conceptos_Control_Operaciones[#All],5,0),"")</f>
        <v/>
      </c>
      <c r="F2408" t="str">
        <f>+IFERROR(VLOOKUP(Fact_Control_Operaciones[[#This Row], 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ht="18.75" customHeight="1" x14ac:dyDescent="0.35">
      <c r="C2409" s="100" t="str">
        <f>IF(OR(Fact_Control_Operaciones[[#This Row], [Año]]="",Fact_Control_Operaciones[[#This Row], 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 [Concepto Anterior]],Conceptos_Control_Operaciones[#All],5,0),"")</f>
        <v/>
      </c>
      <c r="F2409" t="str">
        <f>+IFERROR(VLOOKUP(Fact_Control_Operaciones[[#This Row], 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ht="18.75" customHeight="1" x14ac:dyDescent="0.35">
      <c r="C2410" s="100" t="str">
        <f>IF(OR(Fact_Control_Operaciones[[#This Row], [Año]]="",Fact_Control_Operaciones[[#This Row], 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 [Concepto Anterior]],Conceptos_Control_Operaciones[#All],5,0),"")</f>
        <v/>
      </c>
      <c r="F2410" t="str">
        <f>+IFERROR(VLOOKUP(Fact_Control_Operaciones[[#This Row], 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ht="18.75" customHeight="1" x14ac:dyDescent="0.35">
      <c r="C2411" s="100" t="str">
        <f>IF(OR(Fact_Control_Operaciones[[#This Row], [Año]]="",Fact_Control_Operaciones[[#This Row], 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 [Concepto Anterior]],Conceptos_Control_Operaciones[#All],5,0),"")</f>
        <v/>
      </c>
      <c r="F2411" t="str">
        <f>+IFERROR(VLOOKUP(Fact_Control_Operaciones[[#This Row], 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ht="18.75" customHeight="1" x14ac:dyDescent="0.35">
      <c r="C2412" s="100" t="str">
        <f>IF(OR(Fact_Control_Operaciones[[#This Row], [Año]]="",Fact_Control_Operaciones[[#This Row], 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 [Concepto Anterior]],Conceptos_Control_Operaciones[#All],5,0),"")</f>
        <v/>
      </c>
      <c r="F2412" t="str">
        <f>+IFERROR(VLOOKUP(Fact_Control_Operaciones[[#This Row], 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ht="18.75" customHeight="1" x14ac:dyDescent="0.35">
      <c r="C2413" s="100" t="str">
        <f>IF(OR(Fact_Control_Operaciones[[#This Row], [Año]]="",Fact_Control_Operaciones[[#This Row], 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 [Concepto Anterior]],Conceptos_Control_Operaciones[#All],5,0),"")</f>
        <v/>
      </c>
      <c r="F2413" t="str">
        <f>+IFERROR(VLOOKUP(Fact_Control_Operaciones[[#This Row], 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ht="18.75" customHeight="1" x14ac:dyDescent="0.35">
      <c r="C2414" s="100" t="str">
        <f>IF(OR(Fact_Control_Operaciones[[#This Row], [Año]]="",Fact_Control_Operaciones[[#This Row], 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 [Concepto Anterior]],Conceptos_Control_Operaciones[#All],5,0),"")</f>
        <v/>
      </c>
      <c r="F2414" t="str">
        <f>+IFERROR(VLOOKUP(Fact_Control_Operaciones[[#This Row], 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ht="18.75" customHeight="1" x14ac:dyDescent="0.35">
      <c r="C2415" s="100" t="str">
        <f>IF(OR(Fact_Control_Operaciones[[#This Row], [Año]]="",Fact_Control_Operaciones[[#This Row], 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 [Concepto Anterior]],Conceptos_Control_Operaciones[#All],5,0),"")</f>
        <v/>
      </c>
      <c r="F2415" t="str">
        <f>+IFERROR(VLOOKUP(Fact_Control_Operaciones[[#This Row], 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ht="18.75" customHeight="1" x14ac:dyDescent="0.35">
      <c r="C2416" s="100" t="str">
        <f>IF(OR(Fact_Control_Operaciones[[#This Row], [Año]]="",Fact_Control_Operaciones[[#This Row], 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 [Concepto Anterior]],Conceptos_Control_Operaciones[#All],5,0),"")</f>
        <v/>
      </c>
      <c r="F2416" t="str">
        <f>+IFERROR(VLOOKUP(Fact_Control_Operaciones[[#This Row], 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ht="18.75" customHeight="1" x14ac:dyDescent="0.35">
      <c r="C2417" s="100" t="str">
        <f>IF(OR(Fact_Control_Operaciones[[#This Row], [Año]]="",Fact_Control_Operaciones[[#This Row], 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 [Concepto Anterior]],Conceptos_Control_Operaciones[#All],5,0),"")</f>
        <v/>
      </c>
      <c r="F2417" t="str">
        <f>+IFERROR(VLOOKUP(Fact_Control_Operaciones[[#This Row], 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ht="18.75" customHeight="1" x14ac:dyDescent="0.35">
      <c r="C2418" s="100" t="str">
        <f>IF(OR(Fact_Control_Operaciones[[#This Row], [Año]]="",Fact_Control_Operaciones[[#This Row], 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 [Concepto Anterior]],Conceptos_Control_Operaciones[#All],5,0),"")</f>
        <v/>
      </c>
      <c r="F2418" t="str">
        <f>+IFERROR(VLOOKUP(Fact_Control_Operaciones[[#This Row], 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ht="18.75" customHeight="1" x14ac:dyDescent="0.35">
      <c r="C2419" s="100" t="str">
        <f>IF(OR(Fact_Control_Operaciones[[#This Row], [Año]]="",Fact_Control_Operaciones[[#This Row], 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 [Concepto Anterior]],Conceptos_Control_Operaciones[#All],5,0),"")</f>
        <v/>
      </c>
      <c r="F2419" t="str">
        <f>+IFERROR(VLOOKUP(Fact_Control_Operaciones[[#This Row], 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ht="18.75" customHeight="1" x14ac:dyDescent="0.35">
      <c r="C2420" s="100" t="str">
        <f>IF(OR(Fact_Control_Operaciones[[#This Row], [Año]]="",Fact_Control_Operaciones[[#This Row], 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 [Concepto Anterior]],Conceptos_Control_Operaciones[#All],5,0),"")</f>
        <v/>
      </c>
      <c r="F2420" t="str">
        <f>+IFERROR(VLOOKUP(Fact_Control_Operaciones[[#This Row], 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ht="18.75" customHeight="1" x14ac:dyDescent="0.35">
      <c r="C2421" s="100" t="str">
        <f>IF(OR(Fact_Control_Operaciones[[#This Row], [Año]]="",Fact_Control_Operaciones[[#This Row], 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 [Concepto Anterior]],Conceptos_Control_Operaciones[#All],5,0),"")</f>
        <v/>
      </c>
      <c r="F2421" t="str">
        <f>+IFERROR(VLOOKUP(Fact_Control_Operaciones[[#This Row], 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ht="18.75" customHeight="1" x14ac:dyDescent="0.35">
      <c r="C2422" s="100" t="str">
        <f>IF(OR(Fact_Control_Operaciones[[#This Row], [Año]]="",Fact_Control_Operaciones[[#This Row], 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 [Concepto Anterior]],Conceptos_Control_Operaciones[#All],5,0),"")</f>
        <v/>
      </c>
      <c r="F2422" t="str">
        <f>+IFERROR(VLOOKUP(Fact_Control_Operaciones[[#This Row], 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ht="18.75" customHeight="1" x14ac:dyDescent="0.35">
      <c r="C2423" s="100" t="str">
        <f>IF(OR(Fact_Control_Operaciones[[#This Row], [Año]]="",Fact_Control_Operaciones[[#This Row], 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 [Concepto Anterior]],Conceptos_Control_Operaciones[#All],5,0),"")</f>
        <v/>
      </c>
      <c r="F2423" t="str">
        <f>+IFERROR(VLOOKUP(Fact_Control_Operaciones[[#This Row], 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ht="18.75" customHeight="1" x14ac:dyDescent="0.35">
      <c r="C2424" s="100" t="str">
        <f>IF(OR(Fact_Control_Operaciones[[#This Row], [Año]]="",Fact_Control_Operaciones[[#This Row], 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 [Concepto Anterior]],Conceptos_Control_Operaciones[#All],5,0),"")</f>
        <v/>
      </c>
      <c r="F2424" t="str">
        <f>+IFERROR(VLOOKUP(Fact_Control_Operaciones[[#This Row], 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ht="18.75" customHeight="1" x14ac:dyDescent="0.35">
      <c r="C2425" s="100" t="str">
        <f>IF(OR(Fact_Control_Operaciones[[#This Row], [Año]]="",Fact_Control_Operaciones[[#This Row], 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 [Concepto Anterior]],Conceptos_Control_Operaciones[#All],5,0),"")</f>
        <v/>
      </c>
      <c r="F2425" t="str">
        <f>+IFERROR(VLOOKUP(Fact_Control_Operaciones[[#This Row], 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ht="18.75" customHeight="1" x14ac:dyDescent="0.35">
      <c r="C2426" s="100" t="str">
        <f>IF(OR(Fact_Control_Operaciones[[#This Row], [Año]]="",Fact_Control_Operaciones[[#This Row], 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 [Concepto Anterior]],Conceptos_Control_Operaciones[#All],5,0),"")</f>
        <v/>
      </c>
      <c r="F2426" t="str">
        <f>+IFERROR(VLOOKUP(Fact_Control_Operaciones[[#This Row], 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ht="18.75" customHeight="1" x14ac:dyDescent="0.35">
      <c r="C2427" s="100" t="str">
        <f>IF(OR(Fact_Control_Operaciones[[#This Row], [Año]]="",Fact_Control_Operaciones[[#This Row], 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 [Concepto Anterior]],Conceptos_Control_Operaciones[#All],5,0),"")</f>
        <v/>
      </c>
      <c r="F2427" t="str">
        <f>+IFERROR(VLOOKUP(Fact_Control_Operaciones[[#This Row], 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ht="18.75" customHeight="1" x14ac:dyDescent="0.35">
      <c r="C2428" s="100" t="str">
        <f>IF(OR(Fact_Control_Operaciones[[#This Row], [Año]]="",Fact_Control_Operaciones[[#This Row], 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 [Concepto Anterior]],Conceptos_Control_Operaciones[#All],5,0),"")</f>
        <v/>
      </c>
      <c r="F2428" t="str">
        <f>+IFERROR(VLOOKUP(Fact_Control_Operaciones[[#This Row], 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ht="18.75" customHeight="1" x14ac:dyDescent="0.35">
      <c r="C2429" s="100" t="str">
        <f>IF(OR(Fact_Control_Operaciones[[#This Row], [Año]]="",Fact_Control_Operaciones[[#This Row], 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 [Concepto Anterior]],Conceptos_Control_Operaciones[#All],5,0),"")</f>
        <v/>
      </c>
      <c r="F2429" t="str">
        <f>+IFERROR(VLOOKUP(Fact_Control_Operaciones[[#This Row], 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ht="18.75" customHeight="1" x14ac:dyDescent="0.35">
      <c r="C2430" s="100" t="str">
        <f>IF(OR(Fact_Control_Operaciones[[#This Row], [Año]]="",Fact_Control_Operaciones[[#This Row], 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 [Concepto Anterior]],Conceptos_Control_Operaciones[#All],5,0),"")</f>
        <v/>
      </c>
      <c r="F2430" t="str">
        <f>+IFERROR(VLOOKUP(Fact_Control_Operaciones[[#This Row], 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ht="18.75" customHeight="1" x14ac:dyDescent="0.35">
      <c r="C2431" s="100" t="str">
        <f>IF(OR(Fact_Control_Operaciones[[#This Row], [Año]]="",Fact_Control_Operaciones[[#This Row], 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 [Concepto Anterior]],Conceptos_Control_Operaciones[#All],5,0),"")</f>
        <v/>
      </c>
      <c r="F2431" t="str">
        <f>+IFERROR(VLOOKUP(Fact_Control_Operaciones[[#This Row], 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ht="18.75" customHeight="1" x14ac:dyDescent="0.35">
      <c r="C2432" s="100" t="str">
        <f>IF(OR(Fact_Control_Operaciones[[#This Row], [Año]]="",Fact_Control_Operaciones[[#This Row], 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 [Concepto Anterior]],Conceptos_Control_Operaciones[#All],5,0),"")</f>
        <v/>
      </c>
      <c r="F2432" t="str">
        <f>+IFERROR(VLOOKUP(Fact_Control_Operaciones[[#This Row], 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ht="18.75" customHeight="1" x14ac:dyDescent="0.35">
      <c r="C2433" s="100" t="str">
        <f>IF(OR(Fact_Control_Operaciones[[#This Row], [Año]]="",Fact_Control_Operaciones[[#This Row], 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 [Concepto Anterior]],Conceptos_Control_Operaciones[#All],5,0),"")</f>
        <v/>
      </c>
      <c r="F2433" t="str">
        <f>+IFERROR(VLOOKUP(Fact_Control_Operaciones[[#This Row], 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ht="18.75" customHeight="1" x14ac:dyDescent="0.35">
      <c r="C2434" s="100" t="str">
        <f>IF(OR(Fact_Control_Operaciones[[#This Row], [Año]]="",Fact_Control_Operaciones[[#This Row], 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 [Concepto Anterior]],Conceptos_Control_Operaciones[#All],5,0),"")</f>
        <v/>
      </c>
      <c r="F2434" t="str">
        <f>+IFERROR(VLOOKUP(Fact_Control_Operaciones[[#This Row], 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ht="18.75" customHeight="1" x14ac:dyDescent="0.35">
      <c r="C2435" s="100" t="str">
        <f>IF(OR(Fact_Control_Operaciones[[#This Row], [Año]]="",Fact_Control_Operaciones[[#This Row], 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 [Concepto Anterior]],Conceptos_Control_Operaciones[#All],5,0),"")</f>
        <v/>
      </c>
      <c r="F2435" t="str">
        <f>+IFERROR(VLOOKUP(Fact_Control_Operaciones[[#This Row], 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ht="18.75" customHeight="1" x14ac:dyDescent="0.35">
      <c r="C2436" s="100" t="str">
        <f>IF(OR(Fact_Control_Operaciones[[#This Row], [Año]]="",Fact_Control_Operaciones[[#This Row], 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 [Concepto Anterior]],Conceptos_Control_Operaciones[#All],5,0),"")</f>
        <v/>
      </c>
      <c r="F2436" t="str">
        <f>+IFERROR(VLOOKUP(Fact_Control_Operaciones[[#This Row], 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ht="18.75" customHeight="1" x14ac:dyDescent="0.35">
      <c r="C2437" s="100" t="str">
        <f>IF(OR(Fact_Control_Operaciones[[#This Row], [Año]]="",Fact_Control_Operaciones[[#This Row], 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 [Concepto Anterior]],Conceptos_Control_Operaciones[#All],5,0),"")</f>
        <v/>
      </c>
      <c r="F2437" t="str">
        <f>+IFERROR(VLOOKUP(Fact_Control_Operaciones[[#This Row], 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ht="18.75" customHeight="1" x14ac:dyDescent="0.35">
      <c r="C2438" s="100" t="str">
        <f>IF(OR(Fact_Control_Operaciones[[#This Row], [Año]]="",Fact_Control_Operaciones[[#This Row], 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 [Concepto Anterior]],Conceptos_Control_Operaciones[#All],5,0),"")</f>
        <v/>
      </c>
      <c r="F2438" t="str">
        <f>+IFERROR(VLOOKUP(Fact_Control_Operaciones[[#This Row], 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ht="18.75" customHeight="1" x14ac:dyDescent="0.35">
      <c r="C2439" s="100" t="str">
        <f>IF(OR(Fact_Control_Operaciones[[#This Row], [Año]]="",Fact_Control_Operaciones[[#This Row], 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 [Concepto Anterior]],Conceptos_Control_Operaciones[#All],5,0),"")</f>
        <v/>
      </c>
      <c r="F2439" t="str">
        <f>+IFERROR(VLOOKUP(Fact_Control_Operaciones[[#This Row], 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ht="18.75" customHeight="1" x14ac:dyDescent="0.35">
      <c r="C2440" s="100" t="str">
        <f>IF(OR(Fact_Control_Operaciones[[#This Row], [Año]]="",Fact_Control_Operaciones[[#This Row], 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 [Concepto Anterior]],Conceptos_Control_Operaciones[#All],5,0),"")</f>
        <v/>
      </c>
      <c r="F2440" t="str">
        <f>+IFERROR(VLOOKUP(Fact_Control_Operaciones[[#This Row], 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ht="18.75" customHeight="1" x14ac:dyDescent="0.35">
      <c r="C2441" s="100" t="str">
        <f>IF(OR(Fact_Control_Operaciones[[#This Row], [Año]]="",Fact_Control_Operaciones[[#This Row], 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 [Concepto Anterior]],Conceptos_Control_Operaciones[#All],5,0),"")</f>
        <v/>
      </c>
      <c r="F2441" t="str">
        <f>+IFERROR(VLOOKUP(Fact_Control_Operaciones[[#This Row], 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ht="18.75" customHeight="1" x14ac:dyDescent="0.35">
      <c r="C2442" s="100" t="str">
        <f>IF(OR(Fact_Control_Operaciones[[#This Row], [Año]]="",Fact_Control_Operaciones[[#This Row], 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 [Concepto Anterior]],Conceptos_Control_Operaciones[#All],5,0),"")</f>
        <v/>
      </c>
      <c r="F2442" t="str">
        <f>+IFERROR(VLOOKUP(Fact_Control_Operaciones[[#This Row], 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ht="18.75" customHeight="1" x14ac:dyDescent="0.35">
      <c r="C2443" s="100" t="str">
        <f>IF(OR(Fact_Control_Operaciones[[#This Row], [Año]]="",Fact_Control_Operaciones[[#This Row], 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 [Concepto Anterior]],Conceptos_Control_Operaciones[#All],5,0),"")</f>
        <v/>
      </c>
      <c r="F2443" t="str">
        <f>+IFERROR(VLOOKUP(Fact_Control_Operaciones[[#This Row], 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ht="18.75" customHeight="1" x14ac:dyDescent="0.35">
      <c r="C2444" s="100" t="str">
        <f>IF(OR(Fact_Control_Operaciones[[#This Row], [Año]]="",Fact_Control_Operaciones[[#This Row], 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 [Concepto Anterior]],Conceptos_Control_Operaciones[#All],5,0),"")</f>
        <v/>
      </c>
      <c r="F2444" t="str">
        <f>+IFERROR(VLOOKUP(Fact_Control_Operaciones[[#This Row], 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ht="18.75" customHeight="1" x14ac:dyDescent="0.35">
      <c r="C2445" s="100" t="str">
        <f>IF(OR(Fact_Control_Operaciones[[#This Row], [Año]]="",Fact_Control_Operaciones[[#This Row], 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 [Concepto Anterior]],Conceptos_Control_Operaciones[#All],5,0),"")</f>
        <v/>
      </c>
      <c r="F2445" t="str">
        <f>+IFERROR(VLOOKUP(Fact_Control_Operaciones[[#This Row], 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ht="18.75" customHeight="1" x14ac:dyDescent="0.35">
      <c r="C2446" s="100" t="str">
        <f>IF(OR(Fact_Control_Operaciones[[#This Row], [Año]]="",Fact_Control_Operaciones[[#This Row], 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 [Concepto Anterior]],Conceptos_Control_Operaciones[#All],5,0),"")</f>
        <v/>
      </c>
      <c r="F2446" t="str">
        <f>+IFERROR(VLOOKUP(Fact_Control_Operaciones[[#This Row], 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ht="18.75" customHeight="1" x14ac:dyDescent="0.35">
      <c r="C2447" s="100" t="str">
        <f>IF(OR(Fact_Control_Operaciones[[#This Row], [Año]]="",Fact_Control_Operaciones[[#This Row], 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 [Concepto Anterior]],Conceptos_Control_Operaciones[#All],5,0),"")</f>
        <v/>
      </c>
      <c r="F2447" t="str">
        <f>+IFERROR(VLOOKUP(Fact_Control_Operaciones[[#This Row], 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ht="18.75" customHeight="1" x14ac:dyDescent="0.35">
      <c r="C2448" s="100" t="str">
        <f>IF(OR(Fact_Control_Operaciones[[#This Row], [Año]]="",Fact_Control_Operaciones[[#This Row], 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 [Concepto Anterior]],Conceptos_Control_Operaciones[#All],5,0),"")</f>
        <v/>
      </c>
      <c r="F2448" t="str">
        <f>+IFERROR(VLOOKUP(Fact_Control_Operaciones[[#This Row], 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ht="18.75" customHeight="1" x14ac:dyDescent="0.35">
      <c r="C2449" s="100" t="str">
        <f>IF(OR(Fact_Control_Operaciones[[#This Row], [Año]]="",Fact_Control_Operaciones[[#This Row], 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 [Concepto Anterior]],Conceptos_Control_Operaciones[#All],5,0),"")</f>
        <v/>
      </c>
      <c r="F2449" t="str">
        <f>+IFERROR(VLOOKUP(Fact_Control_Operaciones[[#This Row], 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ht="18.75" customHeight="1" x14ac:dyDescent="0.35">
      <c r="C2450" s="100" t="str">
        <f>IF(OR(Fact_Control_Operaciones[[#This Row], [Año]]="",Fact_Control_Operaciones[[#This Row], 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 [Concepto Anterior]],Conceptos_Control_Operaciones[#All],5,0),"")</f>
        <v/>
      </c>
      <c r="F2450" t="str">
        <f>+IFERROR(VLOOKUP(Fact_Control_Operaciones[[#This Row], 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ht="18.75" customHeight="1" x14ac:dyDescent="0.35">
      <c r="C2451" s="100" t="str">
        <f>IF(OR(Fact_Control_Operaciones[[#This Row], [Año]]="",Fact_Control_Operaciones[[#This Row], 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 [Concepto Anterior]],Conceptos_Control_Operaciones[#All],5,0),"")</f>
        <v/>
      </c>
      <c r="F2451" t="str">
        <f>+IFERROR(VLOOKUP(Fact_Control_Operaciones[[#This Row], 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ht="18.75" customHeight="1" x14ac:dyDescent="0.35">
      <c r="C2452" s="100" t="str">
        <f>IF(OR(Fact_Control_Operaciones[[#This Row], [Año]]="",Fact_Control_Operaciones[[#This Row], 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 [Concepto Anterior]],Conceptos_Control_Operaciones[#All],5,0),"")</f>
        <v/>
      </c>
      <c r="F2452" t="str">
        <f>+IFERROR(VLOOKUP(Fact_Control_Operaciones[[#This Row], 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ht="18.75" customHeight="1" x14ac:dyDescent="0.35">
      <c r="C2453" s="100" t="str">
        <f>IF(OR(Fact_Control_Operaciones[[#This Row], [Año]]="",Fact_Control_Operaciones[[#This Row], 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 [Concepto Anterior]],Conceptos_Control_Operaciones[#All],5,0),"")</f>
        <v/>
      </c>
      <c r="F2453" t="str">
        <f>+IFERROR(VLOOKUP(Fact_Control_Operaciones[[#This Row], 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ht="18.75" customHeight="1" x14ac:dyDescent="0.35">
      <c r="C2454" s="100" t="str">
        <f>IF(OR(Fact_Control_Operaciones[[#This Row], [Año]]="",Fact_Control_Operaciones[[#This Row], 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 [Concepto Anterior]],Conceptos_Control_Operaciones[#All],5,0),"")</f>
        <v/>
      </c>
      <c r="F2454" t="str">
        <f>+IFERROR(VLOOKUP(Fact_Control_Operaciones[[#This Row], 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ht="18.75" customHeight="1" x14ac:dyDescent="0.35">
      <c r="C2455" s="100" t="str">
        <f>IF(OR(Fact_Control_Operaciones[[#This Row], [Año]]="",Fact_Control_Operaciones[[#This Row], 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 [Concepto Anterior]],Conceptos_Control_Operaciones[#All],5,0),"")</f>
        <v/>
      </c>
      <c r="F2455" t="str">
        <f>+IFERROR(VLOOKUP(Fact_Control_Operaciones[[#This Row], 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ht="18.75" customHeight="1" x14ac:dyDescent="0.35">
      <c r="C2456" s="100" t="str">
        <f>IF(OR(Fact_Control_Operaciones[[#This Row], [Año]]="",Fact_Control_Operaciones[[#This Row], 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 [Concepto Anterior]],Conceptos_Control_Operaciones[#All],5,0),"")</f>
        <v/>
      </c>
      <c r="F2456" t="str">
        <f>+IFERROR(VLOOKUP(Fact_Control_Operaciones[[#This Row], 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ht="18.75" customHeight="1" x14ac:dyDescent="0.35">
      <c r="C2457" s="100" t="str">
        <f>IF(OR(Fact_Control_Operaciones[[#This Row], [Año]]="",Fact_Control_Operaciones[[#This Row], 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 [Concepto Anterior]],Conceptos_Control_Operaciones[#All],5,0),"")</f>
        <v/>
      </c>
      <c r="F2457" t="str">
        <f>+IFERROR(VLOOKUP(Fact_Control_Operaciones[[#This Row], 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ht="18.75" customHeight="1" x14ac:dyDescent="0.35">
      <c r="C2458" s="100" t="str">
        <f>IF(OR(Fact_Control_Operaciones[[#This Row], [Año]]="",Fact_Control_Operaciones[[#This Row], 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 [Concepto Anterior]],Conceptos_Control_Operaciones[#All],5,0),"")</f>
        <v/>
      </c>
      <c r="F2458" t="str">
        <f>+IFERROR(VLOOKUP(Fact_Control_Operaciones[[#This Row], 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ht="18.75" customHeight="1" x14ac:dyDescent="0.35">
      <c r="C2459" s="100" t="str">
        <f>IF(OR(Fact_Control_Operaciones[[#This Row], [Año]]="",Fact_Control_Operaciones[[#This Row], 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 [Concepto Anterior]],Conceptos_Control_Operaciones[#All],5,0),"")</f>
        <v/>
      </c>
      <c r="F2459" t="str">
        <f>+IFERROR(VLOOKUP(Fact_Control_Operaciones[[#This Row], 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ht="18.75" customHeight="1" x14ac:dyDescent="0.35">
      <c r="C2460" s="100" t="str">
        <f>IF(OR(Fact_Control_Operaciones[[#This Row], [Año]]="",Fact_Control_Operaciones[[#This Row], 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 [Concepto Anterior]],Conceptos_Control_Operaciones[#All],5,0),"")</f>
        <v/>
      </c>
      <c r="F2460" t="str">
        <f>+IFERROR(VLOOKUP(Fact_Control_Operaciones[[#This Row], 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ht="18.75" customHeight="1" x14ac:dyDescent="0.35">
      <c r="C2461" s="100" t="str">
        <f>IF(OR(Fact_Control_Operaciones[[#This Row], [Año]]="",Fact_Control_Operaciones[[#This Row], 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 [Concepto Anterior]],Conceptos_Control_Operaciones[#All],5,0),"")</f>
        <v/>
      </c>
      <c r="F2461" t="str">
        <f>+IFERROR(VLOOKUP(Fact_Control_Operaciones[[#This Row], 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ht="18.75" customHeight="1" x14ac:dyDescent="0.35">
      <c r="C2462" s="100" t="str">
        <f>IF(OR(Fact_Control_Operaciones[[#This Row], [Año]]="",Fact_Control_Operaciones[[#This Row], 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 [Concepto Anterior]],Conceptos_Control_Operaciones[#All],5,0),"")</f>
        <v/>
      </c>
      <c r="F2462" t="str">
        <f>+IFERROR(VLOOKUP(Fact_Control_Operaciones[[#This Row], 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ht="18.75" customHeight="1" x14ac:dyDescent="0.35">
      <c r="C2463" s="100" t="str">
        <f>IF(OR(Fact_Control_Operaciones[[#This Row], [Año]]="",Fact_Control_Operaciones[[#This Row], 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 [Concepto Anterior]],Conceptos_Control_Operaciones[#All],5,0),"")</f>
        <v/>
      </c>
      <c r="F2463" t="str">
        <f>+IFERROR(VLOOKUP(Fact_Control_Operaciones[[#This Row], 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ht="18.75" customHeight="1" x14ac:dyDescent="0.35">
      <c r="C2464" s="100" t="str">
        <f>IF(OR(Fact_Control_Operaciones[[#This Row], [Año]]="",Fact_Control_Operaciones[[#This Row], 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 [Concepto Anterior]],Conceptos_Control_Operaciones[#All],5,0),"")</f>
        <v/>
      </c>
      <c r="F2464" t="str">
        <f>+IFERROR(VLOOKUP(Fact_Control_Operaciones[[#This Row], 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ht="18.75" customHeight="1" x14ac:dyDescent="0.35">
      <c r="C2465" s="100" t="str">
        <f>IF(OR(Fact_Control_Operaciones[[#This Row], [Año]]="",Fact_Control_Operaciones[[#This Row], 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 [Concepto Anterior]],Conceptos_Control_Operaciones[#All],5,0),"")</f>
        <v/>
      </c>
      <c r="F2465" t="str">
        <f>+IFERROR(VLOOKUP(Fact_Control_Operaciones[[#This Row], 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ht="18.75" customHeight="1" x14ac:dyDescent="0.35">
      <c r="C2466" s="100" t="str">
        <f>IF(OR(Fact_Control_Operaciones[[#This Row], [Año]]="",Fact_Control_Operaciones[[#This Row], 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 [Concepto Anterior]],Conceptos_Control_Operaciones[#All],5,0),"")</f>
        <v/>
      </c>
      <c r="F2466" t="str">
        <f>+IFERROR(VLOOKUP(Fact_Control_Operaciones[[#This Row], 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ht="18.75" customHeight="1" x14ac:dyDescent="0.35">
      <c r="C2467" s="100" t="str">
        <f>IF(OR(Fact_Control_Operaciones[[#This Row], [Año]]="",Fact_Control_Operaciones[[#This Row], 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 [Concepto Anterior]],Conceptos_Control_Operaciones[#All],5,0),"")</f>
        <v/>
      </c>
      <c r="F2467" t="str">
        <f>+IFERROR(VLOOKUP(Fact_Control_Operaciones[[#This Row], 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ht="18.75" customHeight="1" x14ac:dyDescent="0.35">
      <c r="C2468" s="100" t="str">
        <f>IF(OR(Fact_Control_Operaciones[[#This Row], [Año]]="",Fact_Control_Operaciones[[#This Row], 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 [Concepto Anterior]],Conceptos_Control_Operaciones[#All],5,0),"")</f>
        <v/>
      </c>
      <c r="F2468" t="str">
        <f>+IFERROR(VLOOKUP(Fact_Control_Operaciones[[#This Row], 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ht="18.75" customHeight="1" x14ac:dyDescent="0.35">
      <c r="C2469" s="100" t="str">
        <f>IF(OR(Fact_Control_Operaciones[[#This Row], [Año]]="",Fact_Control_Operaciones[[#This Row], 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 [Concepto Anterior]],Conceptos_Control_Operaciones[#All],5,0),"")</f>
        <v/>
      </c>
      <c r="F2469" t="str">
        <f>+IFERROR(VLOOKUP(Fact_Control_Operaciones[[#This Row], 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ht="18.75" customHeight="1" x14ac:dyDescent="0.35">
      <c r="C2470" s="100" t="str">
        <f>IF(OR(Fact_Control_Operaciones[[#This Row], [Año]]="",Fact_Control_Operaciones[[#This Row], 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 [Concepto Anterior]],Conceptos_Control_Operaciones[#All],5,0),"")</f>
        <v/>
      </c>
      <c r="F2470" t="str">
        <f>+IFERROR(VLOOKUP(Fact_Control_Operaciones[[#This Row], 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ht="18.75" customHeight="1" x14ac:dyDescent="0.35">
      <c r="C2471" s="100" t="str">
        <f>IF(OR(Fact_Control_Operaciones[[#This Row], [Año]]="",Fact_Control_Operaciones[[#This Row], 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 [Concepto Anterior]],Conceptos_Control_Operaciones[#All],5,0),"")</f>
        <v/>
      </c>
      <c r="F2471" t="str">
        <f>+IFERROR(VLOOKUP(Fact_Control_Operaciones[[#This Row], 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ht="18.75" customHeight="1" x14ac:dyDescent="0.35">
      <c r="C2472" s="100" t="str">
        <f>IF(OR(Fact_Control_Operaciones[[#This Row], [Año]]="",Fact_Control_Operaciones[[#This Row], 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 [Concepto Anterior]],Conceptos_Control_Operaciones[#All],5,0),"")</f>
        <v/>
      </c>
      <c r="F2472" t="str">
        <f>+IFERROR(VLOOKUP(Fact_Control_Operaciones[[#This Row], 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ht="18.75" customHeight="1" x14ac:dyDescent="0.35">
      <c r="C2473" s="100" t="str">
        <f>IF(OR(Fact_Control_Operaciones[[#This Row], [Año]]="",Fact_Control_Operaciones[[#This Row], 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 [Concepto Anterior]],Conceptos_Control_Operaciones[#All],5,0),"")</f>
        <v/>
      </c>
      <c r="F2473" t="str">
        <f>+IFERROR(VLOOKUP(Fact_Control_Operaciones[[#This Row], 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ht="18.75" customHeight="1" x14ac:dyDescent="0.35">
      <c r="C2474" s="100" t="str">
        <f>IF(OR(Fact_Control_Operaciones[[#This Row], [Año]]="",Fact_Control_Operaciones[[#This Row], 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 [Concepto Anterior]],Conceptos_Control_Operaciones[#All],5,0),"")</f>
        <v/>
      </c>
      <c r="F2474" t="str">
        <f>+IFERROR(VLOOKUP(Fact_Control_Operaciones[[#This Row], 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ht="18.75" customHeight="1" x14ac:dyDescent="0.35">
      <c r="C2475" s="100" t="str">
        <f>IF(OR(Fact_Control_Operaciones[[#This Row], [Año]]="",Fact_Control_Operaciones[[#This Row], 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 [Concepto Anterior]],Conceptos_Control_Operaciones[#All],5,0),"")</f>
        <v/>
      </c>
      <c r="F2475" t="str">
        <f>+IFERROR(VLOOKUP(Fact_Control_Operaciones[[#This Row], 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ht="18.75" customHeight="1" x14ac:dyDescent="0.35">
      <c r="C2476" s="100" t="str">
        <f>IF(OR(Fact_Control_Operaciones[[#This Row], [Año]]="",Fact_Control_Operaciones[[#This Row], 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 [Concepto Anterior]],Conceptos_Control_Operaciones[#All],5,0),"")</f>
        <v/>
      </c>
      <c r="F2476" t="str">
        <f>+IFERROR(VLOOKUP(Fact_Control_Operaciones[[#This Row], 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ht="18.75" customHeight="1" x14ac:dyDescent="0.35">
      <c r="C2477" s="100" t="str">
        <f>IF(OR(Fact_Control_Operaciones[[#This Row], [Año]]="",Fact_Control_Operaciones[[#This Row], 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 [Concepto Anterior]],Conceptos_Control_Operaciones[#All],5,0),"")</f>
        <v/>
      </c>
      <c r="F2477" t="str">
        <f>+IFERROR(VLOOKUP(Fact_Control_Operaciones[[#This Row], 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ht="18.75" customHeight="1" x14ac:dyDescent="0.35">
      <c r="C2478" s="100" t="str">
        <f>IF(OR(Fact_Control_Operaciones[[#This Row], [Año]]="",Fact_Control_Operaciones[[#This Row], 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 [Concepto Anterior]],Conceptos_Control_Operaciones[#All],5,0),"")</f>
        <v/>
      </c>
      <c r="F2478" t="str">
        <f>+IFERROR(VLOOKUP(Fact_Control_Operaciones[[#This Row], 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ht="18.75" customHeight="1" x14ac:dyDescent="0.35">
      <c r="C2479" s="100" t="str">
        <f>IF(OR(Fact_Control_Operaciones[[#This Row], [Año]]="",Fact_Control_Operaciones[[#This Row], 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 [Concepto Anterior]],Conceptos_Control_Operaciones[#All],5,0),"")</f>
        <v/>
      </c>
      <c r="F2479" t="str">
        <f>+IFERROR(VLOOKUP(Fact_Control_Operaciones[[#This Row], 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ht="18.75" customHeight="1" x14ac:dyDescent="0.35">
      <c r="C2480" s="100" t="str">
        <f>IF(OR(Fact_Control_Operaciones[[#This Row], [Año]]="",Fact_Control_Operaciones[[#This Row], 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 [Concepto Anterior]],Conceptos_Control_Operaciones[#All],5,0),"")</f>
        <v/>
      </c>
      <c r="F2480" t="str">
        <f>+IFERROR(VLOOKUP(Fact_Control_Operaciones[[#This Row], 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ht="18.75" customHeight="1" x14ac:dyDescent="0.35">
      <c r="C2481" s="100" t="str">
        <f>IF(OR(Fact_Control_Operaciones[[#This Row], [Año]]="",Fact_Control_Operaciones[[#This Row], 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 [Concepto Anterior]],Conceptos_Control_Operaciones[#All],5,0),"")</f>
        <v/>
      </c>
      <c r="F2481" t="str">
        <f>+IFERROR(VLOOKUP(Fact_Control_Operaciones[[#This Row], 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ht="18.75" customHeight="1" x14ac:dyDescent="0.35">
      <c r="C2482" s="100" t="str">
        <f>IF(OR(Fact_Control_Operaciones[[#This Row], [Año]]="",Fact_Control_Operaciones[[#This Row], 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 [Concepto Anterior]],Conceptos_Control_Operaciones[#All],5,0),"")</f>
        <v/>
      </c>
      <c r="F2482" t="str">
        <f>+IFERROR(VLOOKUP(Fact_Control_Operaciones[[#This Row], 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ht="18.75" customHeight="1" x14ac:dyDescent="0.35">
      <c r="C2483" s="100" t="str">
        <f>IF(OR(Fact_Control_Operaciones[[#This Row], [Año]]="",Fact_Control_Operaciones[[#This Row], 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 [Concepto Anterior]],Conceptos_Control_Operaciones[#All],5,0),"")</f>
        <v/>
      </c>
      <c r="F2483" t="str">
        <f>+IFERROR(VLOOKUP(Fact_Control_Operaciones[[#This Row], 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ht="18.75" customHeight="1" x14ac:dyDescent="0.35">
      <c r="C2484" s="100" t="str">
        <f>IF(OR(Fact_Control_Operaciones[[#This Row], [Año]]="",Fact_Control_Operaciones[[#This Row], 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 [Concepto Anterior]],Conceptos_Control_Operaciones[#All],5,0),"")</f>
        <v/>
      </c>
      <c r="F2484" t="str">
        <f>+IFERROR(VLOOKUP(Fact_Control_Operaciones[[#This Row], 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ht="18.75" customHeight="1" x14ac:dyDescent="0.35">
      <c r="C2485" s="100" t="str">
        <f>IF(OR(Fact_Control_Operaciones[[#This Row], [Año]]="",Fact_Control_Operaciones[[#This Row], 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 [Concepto Anterior]],Conceptos_Control_Operaciones[#All],5,0),"")</f>
        <v/>
      </c>
      <c r="F2485" t="str">
        <f>+IFERROR(VLOOKUP(Fact_Control_Operaciones[[#This Row], 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ht="18.75" customHeight="1" x14ac:dyDescent="0.35">
      <c r="C2486" s="100" t="str">
        <f>IF(OR(Fact_Control_Operaciones[[#This Row], [Año]]="",Fact_Control_Operaciones[[#This Row], 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 [Concepto Anterior]],Conceptos_Control_Operaciones[#All],5,0),"")</f>
        <v/>
      </c>
      <c r="F2486" t="str">
        <f>+IFERROR(VLOOKUP(Fact_Control_Operaciones[[#This Row], 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ht="18.75" customHeight="1" x14ac:dyDescent="0.35">
      <c r="C2487" s="100" t="str">
        <f>IF(OR(Fact_Control_Operaciones[[#This Row], [Año]]="",Fact_Control_Operaciones[[#This Row], 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 [Concepto Anterior]],Conceptos_Control_Operaciones[#All],5,0),"")</f>
        <v/>
      </c>
      <c r="F2487" t="str">
        <f>+IFERROR(VLOOKUP(Fact_Control_Operaciones[[#This Row], 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ht="18.75" customHeight="1" x14ac:dyDescent="0.35">
      <c r="C2488" s="100" t="str">
        <f>IF(OR(Fact_Control_Operaciones[[#This Row], [Año]]="",Fact_Control_Operaciones[[#This Row], 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 [Concepto Anterior]],Conceptos_Control_Operaciones[#All],5,0),"")</f>
        <v/>
      </c>
      <c r="F2488" t="str">
        <f>+IFERROR(VLOOKUP(Fact_Control_Operaciones[[#This Row], 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ht="18.75" customHeight="1" x14ac:dyDescent="0.35">
      <c r="C2489" s="100" t="str">
        <f>IF(OR(Fact_Control_Operaciones[[#This Row], [Año]]="",Fact_Control_Operaciones[[#This Row], 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 [Concepto Anterior]],Conceptos_Control_Operaciones[#All],5,0),"")</f>
        <v/>
      </c>
      <c r="F2489" t="str">
        <f>+IFERROR(VLOOKUP(Fact_Control_Operaciones[[#This Row], 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ht="18.75" customHeight="1" x14ac:dyDescent="0.35">
      <c r="C2490" s="100" t="str">
        <f>IF(OR(Fact_Control_Operaciones[[#This Row], [Año]]="",Fact_Control_Operaciones[[#This Row], 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 [Concepto Anterior]],Conceptos_Control_Operaciones[#All],5,0),"")</f>
        <v/>
      </c>
      <c r="F2490" t="str">
        <f>+IFERROR(VLOOKUP(Fact_Control_Operaciones[[#This Row], 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ht="18.75" customHeight="1" x14ac:dyDescent="0.35">
      <c r="C2491" s="100" t="str">
        <f>IF(OR(Fact_Control_Operaciones[[#This Row], [Año]]="",Fact_Control_Operaciones[[#This Row], 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 [Concepto Anterior]],Conceptos_Control_Operaciones[#All],5,0),"")</f>
        <v/>
      </c>
      <c r="F2491" t="str">
        <f>+IFERROR(VLOOKUP(Fact_Control_Operaciones[[#This Row], 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ht="18.75" customHeight="1" x14ac:dyDescent="0.35">
      <c r="C2492" s="100" t="str">
        <f>IF(OR(Fact_Control_Operaciones[[#This Row], [Año]]="",Fact_Control_Operaciones[[#This Row], 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 [Concepto Anterior]],Conceptos_Control_Operaciones[#All],5,0),"")</f>
        <v/>
      </c>
      <c r="F2492" t="str">
        <f>+IFERROR(VLOOKUP(Fact_Control_Operaciones[[#This Row], 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ht="18.75" customHeight="1" x14ac:dyDescent="0.35">
      <c r="C2493" s="100" t="str">
        <f>IF(OR(Fact_Control_Operaciones[[#This Row], [Año]]="",Fact_Control_Operaciones[[#This Row], 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 [Concepto Anterior]],Conceptos_Control_Operaciones[#All],5,0),"")</f>
        <v/>
      </c>
      <c r="F2493" t="str">
        <f>+IFERROR(VLOOKUP(Fact_Control_Operaciones[[#This Row], 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ht="18.75" customHeight="1" x14ac:dyDescent="0.35">
      <c r="C2494" s="100" t="str">
        <f>IF(OR(Fact_Control_Operaciones[[#This Row], [Año]]="",Fact_Control_Operaciones[[#This Row], 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 [Concepto Anterior]],Conceptos_Control_Operaciones[#All],5,0),"")</f>
        <v/>
      </c>
      <c r="F2494" t="str">
        <f>+IFERROR(VLOOKUP(Fact_Control_Operaciones[[#This Row], 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ht="18.75" customHeight="1" x14ac:dyDescent="0.35">
      <c r="C2495" s="100" t="str">
        <f>IF(OR(Fact_Control_Operaciones[[#This Row], [Año]]="",Fact_Control_Operaciones[[#This Row], 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 [Concepto Anterior]],Conceptos_Control_Operaciones[#All],5,0),"")</f>
        <v/>
      </c>
      <c r="F2495" t="str">
        <f>+IFERROR(VLOOKUP(Fact_Control_Operaciones[[#This Row], 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ht="18.75" customHeight="1" x14ac:dyDescent="0.35">
      <c r="C2496" s="100" t="str">
        <f>IF(OR(Fact_Control_Operaciones[[#This Row], [Año]]="",Fact_Control_Operaciones[[#This Row], 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 [Concepto Anterior]],Conceptos_Control_Operaciones[#All],5,0),"")</f>
        <v/>
      </c>
      <c r="F2496" t="str">
        <f>+IFERROR(VLOOKUP(Fact_Control_Operaciones[[#This Row], 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ht="18.75" customHeight="1" x14ac:dyDescent="0.35">
      <c r="C2497" s="100" t="str">
        <f>IF(OR(Fact_Control_Operaciones[[#This Row], [Año]]="",Fact_Control_Operaciones[[#This Row], 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 [Concepto Anterior]],Conceptos_Control_Operaciones[#All],5,0),"")</f>
        <v/>
      </c>
      <c r="F2497" t="str">
        <f>+IFERROR(VLOOKUP(Fact_Control_Operaciones[[#This Row], 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ht="18.75" customHeight="1" x14ac:dyDescent="0.35">
      <c r="C2498" s="100" t="str">
        <f>IF(OR(Fact_Control_Operaciones[[#This Row], [Año]]="",Fact_Control_Operaciones[[#This Row], 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 [Concepto Anterior]],Conceptos_Control_Operaciones[#All],5,0),"")</f>
        <v/>
      </c>
      <c r="F2498" t="str">
        <f>+IFERROR(VLOOKUP(Fact_Control_Operaciones[[#This Row], 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ht="18.75" customHeight="1" x14ac:dyDescent="0.35">
      <c r="C2499" s="100" t="str">
        <f>IF(OR(Fact_Control_Operaciones[[#This Row], [Año]]="",Fact_Control_Operaciones[[#This Row], 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 [Concepto Anterior]],Conceptos_Control_Operaciones[#All],5,0),"")</f>
        <v/>
      </c>
      <c r="F2499" t="str">
        <f>+IFERROR(VLOOKUP(Fact_Control_Operaciones[[#This Row], 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ht="18.75" customHeight="1" x14ac:dyDescent="0.35">
      <c r="C2500" s="100" t="str">
        <f>IF(OR(Fact_Control_Operaciones[[#This Row], [Año]]="",Fact_Control_Operaciones[[#This Row], 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 [Concepto Anterior]],Conceptos_Control_Operaciones[#All],5,0),"")</f>
        <v/>
      </c>
      <c r="F2500" t="str">
        <f>+IFERROR(VLOOKUP(Fact_Control_Operaciones[[#This Row], 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ht="18.75" customHeight="1" x14ac:dyDescent="0.35">
      <c r="C2501" s="100" t="str">
        <f>IF(OR(Fact_Control_Operaciones[[#This Row], [Año]]="",Fact_Control_Operaciones[[#This Row], 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 [Concepto Anterior]],Conceptos_Control_Operaciones[#All],5,0),"")</f>
        <v/>
      </c>
      <c r="F2501" t="str">
        <f>+IFERROR(VLOOKUP(Fact_Control_Operaciones[[#This Row], 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ht="18.75" customHeight="1" x14ac:dyDescent="0.35">
      <c r="C2502" s="100" t="str">
        <f>IF(OR(Fact_Control_Operaciones[[#This Row], [Año]]="",Fact_Control_Operaciones[[#This Row], 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 [Concepto Anterior]],Conceptos_Control_Operaciones[#All],5,0),"")</f>
        <v/>
      </c>
      <c r="F2502" t="str">
        <f>+IFERROR(VLOOKUP(Fact_Control_Operaciones[[#This Row], 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ht="18.75" customHeight="1" x14ac:dyDescent="0.35">
      <c r="C2503" s="100" t="str">
        <f>IF(OR(Fact_Control_Operaciones[[#This Row], [Año]]="",Fact_Control_Operaciones[[#This Row], 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 [Concepto Anterior]],Conceptos_Control_Operaciones[#All],5,0),"")</f>
        <v/>
      </c>
      <c r="F2503" t="str">
        <f>+IFERROR(VLOOKUP(Fact_Control_Operaciones[[#This Row], 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ht="18.75" customHeight="1" x14ac:dyDescent="0.35">
      <c r="C2504" s="100" t="str">
        <f>IF(OR(Fact_Control_Operaciones[[#This Row], [Año]]="",Fact_Control_Operaciones[[#This Row], 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 [Concepto Anterior]],Conceptos_Control_Operaciones[#All],5,0),"")</f>
        <v/>
      </c>
      <c r="F2504" t="str">
        <f>+IFERROR(VLOOKUP(Fact_Control_Operaciones[[#This Row], 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ht="18.75" customHeight="1" x14ac:dyDescent="0.35">
      <c r="C2505" s="100" t="str">
        <f>IF(OR(Fact_Control_Operaciones[[#This Row], [Año]]="",Fact_Control_Operaciones[[#This Row], 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 [Concepto Anterior]],Conceptos_Control_Operaciones[#All],5,0),"")</f>
        <v/>
      </c>
      <c r="F2505" t="str">
        <f>+IFERROR(VLOOKUP(Fact_Control_Operaciones[[#This Row], 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ht="18.75" customHeight="1" x14ac:dyDescent="0.35">
      <c r="C2506" s="100" t="str">
        <f>IF(OR(Fact_Control_Operaciones[[#This Row], [Año]]="",Fact_Control_Operaciones[[#This Row], 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 [Concepto Anterior]],Conceptos_Control_Operaciones[#All],5,0),"")</f>
        <v/>
      </c>
      <c r="F2506" t="str">
        <f>+IFERROR(VLOOKUP(Fact_Control_Operaciones[[#This Row], 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ht="18.75" customHeight="1" x14ac:dyDescent="0.35">
      <c r="C2507" s="100" t="str">
        <f>IF(OR(Fact_Control_Operaciones[[#This Row], [Año]]="",Fact_Control_Operaciones[[#This Row], 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 [Concepto Anterior]],Conceptos_Control_Operaciones[#All],5,0),"")</f>
        <v/>
      </c>
      <c r="F2507" t="str">
        <f>+IFERROR(VLOOKUP(Fact_Control_Operaciones[[#This Row], 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ht="18.75" customHeight="1" x14ac:dyDescent="0.35">
      <c r="C2508" s="100" t="str">
        <f>IF(OR(Fact_Control_Operaciones[[#This Row], [Año]]="",Fact_Control_Operaciones[[#This Row], 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 [Concepto Anterior]],Conceptos_Control_Operaciones[#All],5,0),"")</f>
        <v/>
      </c>
      <c r="F2508" t="str">
        <f>+IFERROR(VLOOKUP(Fact_Control_Operaciones[[#This Row], 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ht="18.75" customHeight="1" x14ac:dyDescent="0.35">
      <c r="C2509" s="100" t="str">
        <f>IF(OR(Fact_Control_Operaciones[[#This Row], [Año]]="",Fact_Control_Operaciones[[#This Row], 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 [Concepto Anterior]],Conceptos_Control_Operaciones[#All],5,0),"")</f>
        <v/>
      </c>
      <c r="F2509" t="str">
        <f>+IFERROR(VLOOKUP(Fact_Control_Operaciones[[#This Row], 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ht="18.75" customHeight="1" x14ac:dyDescent="0.35">
      <c r="C2510" s="100" t="str">
        <f>IF(OR(Fact_Control_Operaciones[[#This Row], [Año]]="",Fact_Control_Operaciones[[#This Row], 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 [Concepto Anterior]],Conceptos_Control_Operaciones[#All],5,0),"")</f>
        <v/>
      </c>
      <c r="F2510" t="str">
        <f>+IFERROR(VLOOKUP(Fact_Control_Operaciones[[#This Row], 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ht="18.75" customHeight="1" x14ac:dyDescent="0.35">
      <c r="C2511" s="100" t="str">
        <f>IF(OR(Fact_Control_Operaciones[[#This Row], [Año]]="",Fact_Control_Operaciones[[#This Row], 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 [Concepto Anterior]],Conceptos_Control_Operaciones[#All],5,0),"")</f>
        <v/>
      </c>
      <c r="F2511" t="str">
        <f>+IFERROR(VLOOKUP(Fact_Control_Operaciones[[#This Row], 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ht="18.75" customHeight="1" x14ac:dyDescent="0.35">
      <c r="C2512" s="100" t="str">
        <f>IF(OR(Fact_Control_Operaciones[[#This Row], [Año]]="",Fact_Control_Operaciones[[#This Row], 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 [Concepto Anterior]],Conceptos_Control_Operaciones[#All],5,0),"")</f>
        <v/>
      </c>
      <c r="F2512" t="str">
        <f>+IFERROR(VLOOKUP(Fact_Control_Operaciones[[#This Row], 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ht="18.75" customHeight="1" x14ac:dyDescent="0.35">
      <c r="C2513" s="100" t="str">
        <f>IF(OR(Fact_Control_Operaciones[[#This Row], [Año]]="",Fact_Control_Operaciones[[#This Row], 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 [Concepto Anterior]],Conceptos_Control_Operaciones[#All],5,0),"")</f>
        <v/>
      </c>
      <c r="F2513" t="str">
        <f>+IFERROR(VLOOKUP(Fact_Control_Operaciones[[#This Row], 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ht="18.75" customHeight="1" x14ac:dyDescent="0.35">
      <c r="C2514" s="100" t="str">
        <f>IF(OR(Fact_Control_Operaciones[[#This Row], [Año]]="",Fact_Control_Operaciones[[#This Row], 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 [Concepto Anterior]],Conceptos_Control_Operaciones[#All],5,0),"")</f>
        <v/>
      </c>
      <c r="F2514" t="str">
        <f>+IFERROR(VLOOKUP(Fact_Control_Operaciones[[#This Row], 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ht="18.75" customHeight="1" x14ac:dyDescent="0.35">
      <c r="C2515" s="100" t="str">
        <f>IF(OR(Fact_Control_Operaciones[[#This Row], [Año]]="",Fact_Control_Operaciones[[#This Row], 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 [Concepto Anterior]],Conceptos_Control_Operaciones[#All],5,0),"")</f>
        <v/>
      </c>
      <c r="F2515" t="str">
        <f>+IFERROR(VLOOKUP(Fact_Control_Operaciones[[#This Row], 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ht="18.75" customHeight="1" x14ac:dyDescent="0.35">
      <c r="C2516" s="100" t="str">
        <f>IF(OR(Fact_Control_Operaciones[[#This Row], [Año]]="",Fact_Control_Operaciones[[#This Row], 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 [Concepto Anterior]],Conceptos_Control_Operaciones[#All],5,0),"")</f>
        <v/>
      </c>
      <c r="F2516" t="str">
        <f>+IFERROR(VLOOKUP(Fact_Control_Operaciones[[#This Row], 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ht="18.75" customHeight="1" x14ac:dyDescent="0.35">
      <c r="C2517" s="100" t="str">
        <f>IF(OR(Fact_Control_Operaciones[[#This Row], [Año]]="",Fact_Control_Operaciones[[#This Row], 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 [Concepto Anterior]],Conceptos_Control_Operaciones[#All],5,0),"")</f>
        <v/>
      </c>
      <c r="F2517" t="str">
        <f>+IFERROR(VLOOKUP(Fact_Control_Operaciones[[#This Row], 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ht="18.75" customHeight="1" x14ac:dyDescent="0.35">
      <c r="C2518" s="100" t="str">
        <f>IF(OR(Fact_Control_Operaciones[[#This Row], [Año]]="",Fact_Control_Operaciones[[#This Row], 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 [Concepto Anterior]],Conceptos_Control_Operaciones[#All],5,0),"")</f>
        <v/>
      </c>
      <c r="F2518" t="str">
        <f>+IFERROR(VLOOKUP(Fact_Control_Operaciones[[#This Row], 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ht="18.75" customHeight="1" x14ac:dyDescent="0.35">
      <c r="C2519" s="100" t="str">
        <f>IF(OR(Fact_Control_Operaciones[[#This Row], [Año]]="",Fact_Control_Operaciones[[#This Row], 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 [Concepto Anterior]],Conceptos_Control_Operaciones[#All],5,0),"")</f>
        <v/>
      </c>
      <c r="F2519" t="str">
        <f>+IFERROR(VLOOKUP(Fact_Control_Operaciones[[#This Row], 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ht="18.75" customHeight="1" x14ac:dyDescent="0.35">
      <c r="C2520" s="100" t="str">
        <f>IF(OR(Fact_Control_Operaciones[[#This Row], [Año]]="",Fact_Control_Operaciones[[#This Row], 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 [Concepto Anterior]],Conceptos_Control_Operaciones[#All],5,0),"")</f>
        <v/>
      </c>
      <c r="F2520" t="str">
        <f>+IFERROR(VLOOKUP(Fact_Control_Operaciones[[#This Row], 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ht="18.75" customHeight="1" x14ac:dyDescent="0.35">
      <c r="C2521" s="100" t="str">
        <f>IF(OR(Fact_Control_Operaciones[[#This Row], [Año]]="",Fact_Control_Operaciones[[#This Row], 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 [Concepto Anterior]],Conceptos_Control_Operaciones[#All],5,0),"")</f>
        <v/>
      </c>
      <c r="F2521" t="str">
        <f>+IFERROR(VLOOKUP(Fact_Control_Operaciones[[#This Row], 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ht="18.75" customHeight="1" x14ac:dyDescent="0.35">
      <c r="C2522" s="100" t="str">
        <f>IF(OR(Fact_Control_Operaciones[[#This Row], [Año]]="",Fact_Control_Operaciones[[#This Row], 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 [Concepto Anterior]],Conceptos_Control_Operaciones[#All],5,0),"")</f>
        <v/>
      </c>
      <c r="F2522" t="str">
        <f>+IFERROR(VLOOKUP(Fact_Control_Operaciones[[#This Row], 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ht="18.75" customHeight="1" x14ac:dyDescent="0.35">
      <c r="C2523" s="100" t="str">
        <f>IF(OR(Fact_Control_Operaciones[[#This Row], [Año]]="",Fact_Control_Operaciones[[#This Row], 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 [Concepto Anterior]],Conceptos_Control_Operaciones[#All],5,0),"")</f>
        <v/>
      </c>
      <c r="F2523" t="str">
        <f>+IFERROR(VLOOKUP(Fact_Control_Operaciones[[#This Row], 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ht="18.75" customHeight="1" x14ac:dyDescent="0.35">
      <c r="C2524" s="100" t="str">
        <f>IF(OR(Fact_Control_Operaciones[[#This Row], [Año]]="",Fact_Control_Operaciones[[#This Row], 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 [Concepto Anterior]],Conceptos_Control_Operaciones[#All],5,0),"")</f>
        <v/>
      </c>
      <c r="F2524" t="str">
        <f>+IFERROR(VLOOKUP(Fact_Control_Operaciones[[#This Row], 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ht="18.75" customHeight="1" x14ac:dyDescent="0.35">
      <c r="C2525" s="100" t="str">
        <f>IF(OR(Fact_Control_Operaciones[[#This Row], [Año]]="",Fact_Control_Operaciones[[#This Row], 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 [Concepto Anterior]],Conceptos_Control_Operaciones[#All],5,0),"")</f>
        <v/>
      </c>
      <c r="F2525" t="str">
        <f>+IFERROR(VLOOKUP(Fact_Control_Operaciones[[#This Row], 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ht="18.75" customHeight="1" x14ac:dyDescent="0.35">
      <c r="C2526" s="100" t="str">
        <f>IF(OR(Fact_Control_Operaciones[[#This Row], [Año]]="",Fact_Control_Operaciones[[#This Row], 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 [Concepto Anterior]],Conceptos_Control_Operaciones[#All],5,0),"")</f>
        <v/>
      </c>
      <c r="F2526" t="str">
        <f>+IFERROR(VLOOKUP(Fact_Control_Operaciones[[#This Row], 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ht="18.75" customHeight="1" x14ac:dyDescent="0.35">
      <c r="C2527" s="100" t="str">
        <f>IF(OR(Fact_Control_Operaciones[[#This Row], [Año]]="",Fact_Control_Operaciones[[#This Row], 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 [Concepto Anterior]],Conceptos_Control_Operaciones[#All],5,0),"")</f>
        <v/>
      </c>
      <c r="F2527" t="str">
        <f>+IFERROR(VLOOKUP(Fact_Control_Operaciones[[#This Row], 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ht="18.75" customHeight="1" x14ac:dyDescent="0.35">
      <c r="C2528" s="100" t="str">
        <f>IF(OR(Fact_Control_Operaciones[[#This Row], [Año]]="",Fact_Control_Operaciones[[#This Row], 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 [Concepto Anterior]],Conceptos_Control_Operaciones[#All],5,0),"")</f>
        <v/>
      </c>
      <c r="F2528" t="str">
        <f>+IFERROR(VLOOKUP(Fact_Control_Operaciones[[#This Row], 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ht="18.75" customHeight="1" x14ac:dyDescent="0.35">
      <c r="C2529" s="100" t="str">
        <f>IF(OR(Fact_Control_Operaciones[[#This Row], [Año]]="",Fact_Control_Operaciones[[#This Row], 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 [Concepto Anterior]],Conceptos_Control_Operaciones[#All],5,0),"")</f>
        <v/>
      </c>
      <c r="F2529" t="str">
        <f>+IFERROR(VLOOKUP(Fact_Control_Operaciones[[#This Row], 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ht="18.75" customHeight="1" x14ac:dyDescent="0.35">
      <c r="C2530" s="100" t="str">
        <f>IF(OR(Fact_Control_Operaciones[[#This Row], [Año]]="",Fact_Control_Operaciones[[#This Row], 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 [Concepto Anterior]],Conceptos_Control_Operaciones[#All],5,0),"")</f>
        <v/>
      </c>
      <c r="F2530" t="str">
        <f>+IFERROR(VLOOKUP(Fact_Control_Operaciones[[#This Row], 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ht="18.75" customHeight="1" x14ac:dyDescent="0.35">
      <c r="C2531" s="100" t="str">
        <f>IF(OR(Fact_Control_Operaciones[[#This Row], [Año]]="",Fact_Control_Operaciones[[#This Row], 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 [Concepto Anterior]],Conceptos_Control_Operaciones[#All],5,0),"")</f>
        <v/>
      </c>
      <c r="F2531" t="str">
        <f>+IFERROR(VLOOKUP(Fact_Control_Operaciones[[#This Row], 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ht="18.75" customHeight="1" x14ac:dyDescent="0.35">
      <c r="C2532" s="100" t="str">
        <f>IF(OR(Fact_Control_Operaciones[[#This Row], [Año]]="",Fact_Control_Operaciones[[#This Row], 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 [Concepto Anterior]],Conceptos_Control_Operaciones[#All],5,0),"")</f>
        <v/>
      </c>
      <c r="F2532" t="str">
        <f>+IFERROR(VLOOKUP(Fact_Control_Operaciones[[#This Row], 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ht="18.75" customHeight="1" x14ac:dyDescent="0.35">
      <c r="C2533" s="100" t="str">
        <f>IF(OR(Fact_Control_Operaciones[[#This Row], [Año]]="",Fact_Control_Operaciones[[#This Row], 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 [Concepto Anterior]],Conceptos_Control_Operaciones[#All],5,0),"")</f>
        <v/>
      </c>
      <c r="F2533" t="str">
        <f>+IFERROR(VLOOKUP(Fact_Control_Operaciones[[#This Row], 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ht="18.75" customHeight="1" x14ac:dyDescent="0.35">
      <c r="C2534" s="100" t="str">
        <f>IF(OR(Fact_Control_Operaciones[[#This Row], [Año]]="",Fact_Control_Operaciones[[#This Row], 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 [Concepto Anterior]],Conceptos_Control_Operaciones[#All],5,0),"")</f>
        <v/>
      </c>
      <c r="F2534" t="str">
        <f>+IFERROR(VLOOKUP(Fact_Control_Operaciones[[#This Row], 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ht="18.75" customHeight="1" x14ac:dyDescent="0.35">
      <c r="C2535" s="100" t="str">
        <f>IF(OR(Fact_Control_Operaciones[[#This Row], [Año]]="",Fact_Control_Operaciones[[#This Row], 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 [Concepto Anterior]],Conceptos_Control_Operaciones[#All],5,0),"")</f>
        <v/>
      </c>
      <c r="F2535" t="str">
        <f>+IFERROR(VLOOKUP(Fact_Control_Operaciones[[#This Row], 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ht="18.75" customHeight="1" x14ac:dyDescent="0.35">
      <c r="C2536" s="100" t="str">
        <f>IF(OR(Fact_Control_Operaciones[[#This Row], [Año]]="",Fact_Control_Operaciones[[#This Row], 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 [Concepto Anterior]],Conceptos_Control_Operaciones[#All],5,0),"")</f>
        <v/>
      </c>
      <c r="F2536" t="str">
        <f>+IFERROR(VLOOKUP(Fact_Control_Operaciones[[#This Row], 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ht="18.75" customHeight="1" x14ac:dyDescent="0.35">
      <c r="C2537" s="100" t="str">
        <f>IF(OR(Fact_Control_Operaciones[[#This Row], [Año]]="",Fact_Control_Operaciones[[#This Row], 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 [Concepto Anterior]],Conceptos_Control_Operaciones[#All],5,0),"")</f>
        <v/>
      </c>
      <c r="F2537" t="str">
        <f>+IFERROR(VLOOKUP(Fact_Control_Operaciones[[#This Row], 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ht="18.75" customHeight="1" x14ac:dyDescent="0.35">
      <c r="C2538" s="100" t="str">
        <f>IF(OR(Fact_Control_Operaciones[[#This Row], [Año]]="",Fact_Control_Operaciones[[#This Row], 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 [Concepto Anterior]],Conceptos_Control_Operaciones[#All],5,0),"")</f>
        <v/>
      </c>
      <c r="F2538" t="str">
        <f>+IFERROR(VLOOKUP(Fact_Control_Operaciones[[#This Row], 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ht="18.75" customHeight="1" x14ac:dyDescent="0.35">
      <c r="C2539" s="100" t="str">
        <f>IF(OR(Fact_Control_Operaciones[[#This Row], [Año]]="",Fact_Control_Operaciones[[#This Row], 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 [Concepto Anterior]],Conceptos_Control_Operaciones[#All],5,0),"")</f>
        <v/>
      </c>
      <c r="F2539" t="str">
        <f>+IFERROR(VLOOKUP(Fact_Control_Operaciones[[#This Row], 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ht="18.75" customHeight="1" x14ac:dyDescent="0.35">
      <c r="C2540" s="100" t="str">
        <f>IF(OR(Fact_Control_Operaciones[[#This Row], [Año]]="",Fact_Control_Operaciones[[#This Row], 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 [Concepto Anterior]],Conceptos_Control_Operaciones[#All],5,0),"")</f>
        <v/>
      </c>
      <c r="F2540" t="str">
        <f>+IFERROR(VLOOKUP(Fact_Control_Operaciones[[#This Row], 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ht="18.75" customHeight="1" x14ac:dyDescent="0.35">
      <c r="C2541" s="100" t="str">
        <f>IF(OR(Fact_Control_Operaciones[[#This Row], [Año]]="",Fact_Control_Operaciones[[#This Row], 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 [Concepto Anterior]],Conceptos_Control_Operaciones[#All],5,0),"")</f>
        <v/>
      </c>
      <c r="F2541" t="str">
        <f>+IFERROR(VLOOKUP(Fact_Control_Operaciones[[#This Row], 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ht="18.75" customHeight="1" x14ac:dyDescent="0.35">
      <c r="C2542" s="100" t="str">
        <f>IF(OR(Fact_Control_Operaciones[[#This Row], [Año]]="",Fact_Control_Operaciones[[#This Row], 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 [Concepto Anterior]],Conceptos_Control_Operaciones[#All],5,0),"")</f>
        <v/>
      </c>
      <c r="F2542" t="str">
        <f>+IFERROR(VLOOKUP(Fact_Control_Operaciones[[#This Row], 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ht="18.75" customHeight="1" x14ac:dyDescent="0.35">
      <c r="C2543" s="100" t="str">
        <f>IF(OR(Fact_Control_Operaciones[[#This Row], [Año]]="",Fact_Control_Operaciones[[#This Row], 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 [Concepto Anterior]],Conceptos_Control_Operaciones[#All],5,0),"")</f>
        <v/>
      </c>
      <c r="F2543" t="str">
        <f>+IFERROR(VLOOKUP(Fact_Control_Operaciones[[#This Row], 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ht="18.75" customHeight="1" x14ac:dyDescent="0.35">
      <c r="C2544" s="100" t="str">
        <f>IF(OR(Fact_Control_Operaciones[[#This Row], [Año]]="",Fact_Control_Operaciones[[#This Row], 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 [Concepto Anterior]],Conceptos_Control_Operaciones[#All],5,0),"")</f>
        <v/>
      </c>
      <c r="F2544" t="str">
        <f>+IFERROR(VLOOKUP(Fact_Control_Operaciones[[#This Row], 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ht="18.75" customHeight="1" x14ac:dyDescent="0.35">
      <c r="C2545" s="100" t="str">
        <f>IF(OR(Fact_Control_Operaciones[[#This Row], [Año]]="",Fact_Control_Operaciones[[#This Row], 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 [Concepto Anterior]],Conceptos_Control_Operaciones[#All],5,0),"")</f>
        <v/>
      </c>
      <c r="F2545" t="str">
        <f>+IFERROR(VLOOKUP(Fact_Control_Operaciones[[#This Row], 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ht="18.75" customHeight="1" x14ac:dyDescent="0.35">
      <c r="C2546" s="100" t="str">
        <f>IF(OR(Fact_Control_Operaciones[[#This Row], [Año]]="",Fact_Control_Operaciones[[#This Row], 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 [Concepto Anterior]],Conceptos_Control_Operaciones[#All],5,0),"")</f>
        <v/>
      </c>
      <c r="F2546" t="str">
        <f>+IFERROR(VLOOKUP(Fact_Control_Operaciones[[#This Row], 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ht="18.75" customHeight="1" x14ac:dyDescent="0.35">
      <c r="C2547" s="100" t="str">
        <f>IF(OR(Fact_Control_Operaciones[[#This Row], [Año]]="",Fact_Control_Operaciones[[#This Row], 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 [Concepto Anterior]],Conceptos_Control_Operaciones[#All],5,0),"")</f>
        <v/>
      </c>
      <c r="F2547" t="str">
        <f>+IFERROR(VLOOKUP(Fact_Control_Operaciones[[#This Row], 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ht="18.75" customHeight="1" x14ac:dyDescent="0.35">
      <c r="C2548" s="100" t="str">
        <f>IF(OR(Fact_Control_Operaciones[[#This Row], [Año]]="",Fact_Control_Operaciones[[#This Row], 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 [Concepto Anterior]],Conceptos_Control_Operaciones[#All],5,0),"")</f>
        <v/>
      </c>
      <c r="F2548" t="str">
        <f>+IFERROR(VLOOKUP(Fact_Control_Operaciones[[#This Row], 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ht="18.75" customHeight="1" x14ac:dyDescent="0.35">
      <c r="C2549" s="100" t="str">
        <f>IF(OR(Fact_Control_Operaciones[[#This Row], [Año]]="",Fact_Control_Operaciones[[#This Row], 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 [Concepto Anterior]],Conceptos_Control_Operaciones[#All],5,0),"")</f>
        <v/>
      </c>
      <c r="F2549" t="str">
        <f>+IFERROR(VLOOKUP(Fact_Control_Operaciones[[#This Row], 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ht="18.75" customHeight="1" x14ac:dyDescent="0.35">
      <c r="C2550" s="100" t="str">
        <f>IF(OR(Fact_Control_Operaciones[[#This Row], [Año]]="",Fact_Control_Operaciones[[#This Row], 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 [Concepto Anterior]],Conceptos_Control_Operaciones[#All],5,0),"")</f>
        <v/>
      </c>
      <c r="F2550" t="str">
        <f>+IFERROR(VLOOKUP(Fact_Control_Operaciones[[#This Row], 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ht="18.75" customHeight="1" x14ac:dyDescent="0.35">
      <c r="C2551" s="100" t="str">
        <f>IF(OR(Fact_Control_Operaciones[[#This Row], [Año]]="",Fact_Control_Operaciones[[#This Row], 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 [Concepto Anterior]],Conceptos_Control_Operaciones[#All],5,0),"")</f>
        <v/>
      </c>
      <c r="F2551" t="str">
        <f>+IFERROR(VLOOKUP(Fact_Control_Operaciones[[#This Row], 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ht="18.75" customHeight="1" x14ac:dyDescent="0.35">
      <c r="C2552" s="100" t="str">
        <f>IF(OR(Fact_Control_Operaciones[[#This Row], [Año]]="",Fact_Control_Operaciones[[#This Row], 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 [Concepto Anterior]],Conceptos_Control_Operaciones[#All],5,0),"")</f>
        <v/>
      </c>
      <c r="F2552" t="str">
        <f>+IFERROR(VLOOKUP(Fact_Control_Operaciones[[#This Row], 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ht="18.75" customHeight="1" x14ac:dyDescent="0.35">
      <c r="C2553" s="100" t="str">
        <f>IF(OR(Fact_Control_Operaciones[[#This Row], [Año]]="",Fact_Control_Operaciones[[#This Row], 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 [Concepto Anterior]],Conceptos_Control_Operaciones[#All],5,0),"")</f>
        <v/>
      </c>
      <c r="F2553" t="str">
        <f>+IFERROR(VLOOKUP(Fact_Control_Operaciones[[#This Row], 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ht="18.75" customHeight="1" x14ac:dyDescent="0.35">
      <c r="C2554" s="100" t="str">
        <f>IF(OR(Fact_Control_Operaciones[[#This Row], [Año]]="",Fact_Control_Operaciones[[#This Row], 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 [Concepto Anterior]],Conceptos_Control_Operaciones[#All],5,0),"")</f>
        <v/>
      </c>
      <c r="F2554" t="str">
        <f>+IFERROR(VLOOKUP(Fact_Control_Operaciones[[#This Row], 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ht="18.75" customHeight="1" x14ac:dyDescent="0.35">
      <c r="C2555" s="100" t="str">
        <f>IF(OR(Fact_Control_Operaciones[[#This Row], [Año]]="",Fact_Control_Operaciones[[#This Row], 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 [Concepto Anterior]],Conceptos_Control_Operaciones[#All],5,0),"")</f>
        <v/>
      </c>
      <c r="F2555" t="str">
        <f>+IFERROR(VLOOKUP(Fact_Control_Operaciones[[#This Row], 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ht="18.75" customHeight="1" x14ac:dyDescent="0.35">
      <c r="C2556" s="100" t="str">
        <f>IF(OR(Fact_Control_Operaciones[[#This Row], [Año]]="",Fact_Control_Operaciones[[#This Row], 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 [Concepto Anterior]],Conceptos_Control_Operaciones[#All],5,0),"")</f>
        <v/>
      </c>
      <c r="F2556" t="str">
        <f>+IFERROR(VLOOKUP(Fact_Control_Operaciones[[#This Row], 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ht="18.75" customHeight="1" x14ac:dyDescent="0.35">
      <c r="C2557" s="100" t="str">
        <f>IF(OR(Fact_Control_Operaciones[[#This Row], [Año]]="",Fact_Control_Operaciones[[#This Row], 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 [Concepto Anterior]],Conceptos_Control_Operaciones[#All],5,0),"")</f>
        <v/>
      </c>
      <c r="F2557" t="str">
        <f>+IFERROR(VLOOKUP(Fact_Control_Operaciones[[#This Row], 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ht="18.75" customHeight="1" x14ac:dyDescent="0.35">
      <c r="C2558" s="100" t="str">
        <f>IF(OR(Fact_Control_Operaciones[[#This Row], [Año]]="",Fact_Control_Operaciones[[#This Row], 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 [Concepto Anterior]],Conceptos_Control_Operaciones[#All],5,0),"")</f>
        <v/>
      </c>
      <c r="F2558" t="str">
        <f>+IFERROR(VLOOKUP(Fact_Control_Operaciones[[#This Row], 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ht="18.75" customHeight="1" x14ac:dyDescent="0.35">
      <c r="C2559" s="100" t="str">
        <f>IF(OR(Fact_Control_Operaciones[[#This Row], [Año]]="",Fact_Control_Operaciones[[#This Row], 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 [Concepto Anterior]],Conceptos_Control_Operaciones[#All],5,0),"")</f>
        <v/>
      </c>
      <c r="F2559" t="str">
        <f>+IFERROR(VLOOKUP(Fact_Control_Operaciones[[#This Row], 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ht="18.75" customHeight="1" x14ac:dyDescent="0.35">
      <c r="C2560" s="100" t="str">
        <f>IF(OR(Fact_Control_Operaciones[[#This Row], [Año]]="",Fact_Control_Operaciones[[#This Row], 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 [Concepto Anterior]],Conceptos_Control_Operaciones[#All],5,0),"")</f>
        <v/>
      </c>
      <c r="F2560" t="str">
        <f>+IFERROR(VLOOKUP(Fact_Control_Operaciones[[#This Row], 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ht="18.75" customHeight="1" x14ac:dyDescent="0.35">
      <c r="C2561" s="100" t="str">
        <f>IF(OR(Fact_Control_Operaciones[[#This Row], [Año]]="",Fact_Control_Operaciones[[#This Row], 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 [Concepto Anterior]],Conceptos_Control_Operaciones[#All],5,0),"")</f>
        <v/>
      </c>
      <c r="F2561" t="str">
        <f>+IFERROR(VLOOKUP(Fact_Control_Operaciones[[#This Row], 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ht="18.75" customHeight="1" x14ac:dyDescent="0.35">
      <c r="C2562" s="100" t="str">
        <f>IF(OR(Fact_Control_Operaciones[[#This Row], [Año]]="",Fact_Control_Operaciones[[#This Row], 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 [Concepto Anterior]],Conceptos_Control_Operaciones[#All],5,0),"")</f>
        <v/>
      </c>
      <c r="F2562" t="str">
        <f>+IFERROR(VLOOKUP(Fact_Control_Operaciones[[#This Row], 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ht="18.75" customHeight="1" x14ac:dyDescent="0.35">
      <c r="C2563" s="100" t="str">
        <f>IF(OR(Fact_Control_Operaciones[[#This Row], [Año]]="",Fact_Control_Operaciones[[#This Row], 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 [Concepto Anterior]],Conceptos_Control_Operaciones[#All],5,0),"")</f>
        <v/>
      </c>
      <c r="F2563" t="str">
        <f>+IFERROR(VLOOKUP(Fact_Control_Operaciones[[#This Row], 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ht="18.75" customHeight="1" x14ac:dyDescent="0.35">
      <c r="C2564" s="100" t="str">
        <f>IF(OR(Fact_Control_Operaciones[[#This Row], [Año]]="",Fact_Control_Operaciones[[#This Row], 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 [Concepto Anterior]],Conceptos_Control_Operaciones[#All],5,0),"")</f>
        <v/>
      </c>
      <c r="F2564" t="str">
        <f>+IFERROR(VLOOKUP(Fact_Control_Operaciones[[#This Row], 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ht="18.75" customHeight="1" x14ac:dyDescent="0.35">
      <c r="C2565" s="100" t="str">
        <f>IF(OR(Fact_Control_Operaciones[[#This Row], [Año]]="",Fact_Control_Operaciones[[#This Row], 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 [Concepto Anterior]],Conceptos_Control_Operaciones[#All],5,0),"")</f>
        <v/>
      </c>
      <c r="F2565" t="str">
        <f>+IFERROR(VLOOKUP(Fact_Control_Operaciones[[#This Row], 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ht="18.75" customHeight="1" x14ac:dyDescent="0.35">
      <c r="C2566" s="100" t="str">
        <f>IF(OR(Fact_Control_Operaciones[[#This Row], [Año]]="",Fact_Control_Operaciones[[#This Row], 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 [Concepto Anterior]],Conceptos_Control_Operaciones[#All],5,0),"")</f>
        <v/>
      </c>
      <c r="F2566" t="str">
        <f>+IFERROR(VLOOKUP(Fact_Control_Operaciones[[#This Row], 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ht="18.75" customHeight="1" x14ac:dyDescent="0.35">
      <c r="C2567" s="100" t="str">
        <f>IF(OR(Fact_Control_Operaciones[[#This Row], [Año]]="",Fact_Control_Operaciones[[#This Row], 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 [Concepto Anterior]],Conceptos_Control_Operaciones[#All],5,0),"")</f>
        <v/>
      </c>
      <c r="F2567" t="str">
        <f>+IFERROR(VLOOKUP(Fact_Control_Operaciones[[#This Row], 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ht="18.75" customHeight="1" x14ac:dyDescent="0.35">
      <c r="C2568" s="100" t="str">
        <f>IF(OR(Fact_Control_Operaciones[[#This Row], [Año]]="",Fact_Control_Operaciones[[#This Row], 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 [Concepto Anterior]],Conceptos_Control_Operaciones[#All],5,0),"")</f>
        <v/>
      </c>
      <c r="F2568" t="str">
        <f>+IFERROR(VLOOKUP(Fact_Control_Operaciones[[#This Row], 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ht="18.75" customHeight="1" x14ac:dyDescent="0.35">
      <c r="C2569" s="100" t="str">
        <f>IF(OR(Fact_Control_Operaciones[[#This Row], [Año]]="",Fact_Control_Operaciones[[#This Row], 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 [Concepto Anterior]],Conceptos_Control_Operaciones[#All],5,0),"")</f>
        <v/>
      </c>
      <c r="F2569" t="str">
        <f>+IFERROR(VLOOKUP(Fact_Control_Operaciones[[#This Row], 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ht="18.75" customHeight="1" x14ac:dyDescent="0.35">
      <c r="C2570" s="100" t="str">
        <f>IF(OR(Fact_Control_Operaciones[[#This Row], [Año]]="",Fact_Control_Operaciones[[#This Row], 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 [Concepto Anterior]],Conceptos_Control_Operaciones[#All],5,0),"")</f>
        <v/>
      </c>
      <c r="F2570" t="str">
        <f>+IFERROR(VLOOKUP(Fact_Control_Operaciones[[#This Row], 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ht="18.75" customHeight="1" x14ac:dyDescent="0.35">
      <c r="C2571" s="100" t="str">
        <f>IF(OR(Fact_Control_Operaciones[[#This Row], [Año]]="",Fact_Control_Operaciones[[#This Row], 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 [Concepto Anterior]],Conceptos_Control_Operaciones[#All],5,0),"")</f>
        <v/>
      </c>
      <c r="F2571" t="str">
        <f>+IFERROR(VLOOKUP(Fact_Control_Operaciones[[#This Row], 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ht="18.75" customHeight="1" x14ac:dyDescent="0.35">
      <c r="C2572" s="100" t="str">
        <f>IF(OR(Fact_Control_Operaciones[[#This Row], [Año]]="",Fact_Control_Operaciones[[#This Row], 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 [Concepto Anterior]],Conceptos_Control_Operaciones[#All],5,0),"")</f>
        <v/>
      </c>
      <c r="F2572" t="str">
        <f>+IFERROR(VLOOKUP(Fact_Control_Operaciones[[#This Row], 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ht="18.75" customHeight="1" x14ac:dyDescent="0.35">
      <c r="C2573" s="100" t="str">
        <f>IF(OR(Fact_Control_Operaciones[[#This Row], [Año]]="",Fact_Control_Operaciones[[#This Row], 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 [Concepto Anterior]],Conceptos_Control_Operaciones[#All],5,0),"")</f>
        <v/>
      </c>
      <c r="F2573" t="str">
        <f>+IFERROR(VLOOKUP(Fact_Control_Operaciones[[#This Row], 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ht="18.75" customHeight="1" x14ac:dyDescent="0.35">
      <c r="C2574" s="100" t="str">
        <f>IF(OR(Fact_Control_Operaciones[[#This Row], [Año]]="",Fact_Control_Operaciones[[#This Row], 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 [Concepto Anterior]],Conceptos_Control_Operaciones[#All],5,0),"")</f>
        <v/>
      </c>
      <c r="F2574" t="str">
        <f>+IFERROR(VLOOKUP(Fact_Control_Operaciones[[#This Row], 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ht="18.75" customHeight="1" x14ac:dyDescent="0.35">
      <c r="C2575" s="100" t="str">
        <f>IF(OR(Fact_Control_Operaciones[[#This Row], [Año]]="",Fact_Control_Operaciones[[#This Row], 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 [Concepto Anterior]],Conceptos_Control_Operaciones[#All],5,0),"")</f>
        <v/>
      </c>
      <c r="F2575" t="str">
        <f>+IFERROR(VLOOKUP(Fact_Control_Operaciones[[#This Row], 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ht="18.75" customHeight="1" x14ac:dyDescent="0.35">
      <c r="C2576" s="100" t="str">
        <f>IF(OR(Fact_Control_Operaciones[[#This Row], [Año]]="",Fact_Control_Operaciones[[#This Row], 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 [Concepto Anterior]],Conceptos_Control_Operaciones[#All],5,0),"")</f>
        <v/>
      </c>
      <c r="F2576" t="str">
        <f>+IFERROR(VLOOKUP(Fact_Control_Operaciones[[#This Row], 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ht="18.75" customHeight="1" x14ac:dyDescent="0.35">
      <c r="C2577" s="100" t="str">
        <f>IF(OR(Fact_Control_Operaciones[[#This Row], [Año]]="",Fact_Control_Operaciones[[#This Row], 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 [Concepto Anterior]],Conceptos_Control_Operaciones[#All],5,0),"")</f>
        <v/>
      </c>
      <c r="F2577" t="str">
        <f>+IFERROR(VLOOKUP(Fact_Control_Operaciones[[#This Row], 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ht="18.75" customHeight="1" x14ac:dyDescent="0.35">
      <c r="C2578" s="100" t="str">
        <f>IF(OR(Fact_Control_Operaciones[[#This Row], [Año]]="",Fact_Control_Operaciones[[#This Row], 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 [Concepto Anterior]],Conceptos_Control_Operaciones[#All],5,0),"")</f>
        <v/>
      </c>
      <c r="F2578" t="str">
        <f>+IFERROR(VLOOKUP(Fact_Control_Operaciones[[#This Row], 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ht="18.75" customHeight="1" x14ac:dyDescent="0.35">
      <c r="C2579" s="100" t="str">
        <f>IF(OR(Fact_Control_Operaciones[[#This Row], [Año]]="",Fact_Control_Operaciones[[#This Row], 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 [Concepto Anterior]],Conceptos_Control_Operaciones[#All],5,0),"")</f>
        <v/>
      </c>
      <c r="F2579" t="str">
        <f>+IFERROR(VLOOKUP(Fact_Control_Operaciones[[#This Row], 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ht="18.75" customHeight="1" x14ac:dyDescent="0.35">
      <c r="C2580" s="100" t="str">
        <f>IF(OR(Fact_Control_Operaciones[[#This Row], [Año]]="",Fact_Control_Operaciones[[#This Row], 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 [Concepto Anterior]],Conceptos_Control_Operaciones[#All],5,0),"")</f>
        <v/>
      </c>
      <c r="F2580" t="str">
        <f>+IFERROR(VLOOKUP(Fact_Control_Operaciones[[#This Row], 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ht="18.75" customHeight="1" x14ac:dyDescent="0.35">
      <c r="C2581" s="100" t="str">
        <f>IF(OR(Fact_Control_Operaciones[[#This Row], [Año]]="",Fact_Control_Operaciones[[#This Row], 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 [Concepto Anterior]],Conceptos_Control_Operaciones[#All],5,0),"")</f>
        <v/>
      </c>
      <c r="F2581" t="str">
        <f>+IFERROR(VLOOKUP(Fact_Control_Operaciones[[#This Row], 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ht="18.75" customHeight="1" x14ac:dyDescent="0.35">
      <c r="C2582" s="100" t="str">
        <f>IF(OR(Fact_Control_Operaciones[[#This Row], [Año]]="",Fact_Control_Operaciones[[#This Row], 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 [Concepto Anterior]],Conceptos_Control_Operaciones[#All],5,0),"")</f>
        <v/>
      </c>
      <c r="F2582" t="str">
        <f>+IFERROR(VLOOKUP(Fact_Control_Operaciones[[#This Row], 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ht="18.75" customHeight="1" x14ac:dyDescent="0.35">
      <c r="C2583" s="100" t="str">
        <f>IF(OR(Fact_Control_Operaciones[[#This Row], [Año]]="",Fact_Control_Operaciones[[#This Row], 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 [Concepto Anterior]],Conceptos_Control_Operaciones[#All],5,0),"")</f>
        <v/>
      </c>
      <c r="F2583" t="str">
        <f>+IFERROR(VLOOKUP(Fact_Control_Operaciones[[#This Row], 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ht="18.75" customHeight="1" x14ac:dyDescent="0.35">
      <c r="C2584" s="100" t="str">
        <f>IF(OR(Fact_Control_Operaciones[[#This Row], [Año]]="",Fact_Control_Operaciones[[#This Row], 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 [Concepto Anterior]],Conceptos_Control_Operaciones[#All],5,0),"")</f>
        <v/>
      </c>
      <c r="F2584" t="str">
        <f>+IFERROR(VLOOKUP(Fact_Control_Operaciones[[#This Row], 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ht="18.75" customHeight="1" x14ac:dyDescent="0.35">
      <c r="C2585" s="100" t="str">
        <f>IF(OR(Fact_Control_Operaciones[[#This Row], [Año]]="",Fact_Control_Operaciones[[#This Row], 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 [Concepto Anterior]],Conceptos_Control_Operaciones[#All],5,0),"")</f>
        <v/>
      </c>
      <c r="F2585" t="str">
        <f>+IFERROR(VLOOKUP(Fact_Control_Operaciones[[#This Row], 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ht="18.75" customHeight="1" x14ac:dyDescent="0.35">
      <c r="C2586" s="100" t="str">
        <f>IF(OR(Fact_Control_Operaciones[[#This Row], [Año]]="",Fact_Control_Operaciones[[#This Row], 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 [Concepto Anterior]],Conceptos_Control_Operaciones[#All],5,0),"")</f>
        <v/>
      </c>
      <c r="F2586" t="str">
        <f>+IFERROR(VLOOKUP(Fact_Control_Operaciones[[#This Row], 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ht="18.75" customHeight="1" x14ac:dyDescent="0.35">
      <c r="C2587" s="100" t="str">
        <f>IF(OR(Fact_Control_Operaciones[[#This Row], [Año]]="",Fact_Control_Operaciones[[#This Row], 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 [Concepto Anterior]],Conceptos_Control_Operaciones[#All],5,0),"")</f>
        <v/>
      </c>
      <c r="F2587" t="str">
        <f>+IFERROR(VLOOKUP(Fact_Control_Operaciones[[#This Row], 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ht="18.75" customHeight="1" x14ac:dyDescent="0.35">
      <c r="C2588" s="100" t="str">
        <f>IF(OR(Fact_Control_Operaciones[[#This Row], [Año]]="",Fact_Control_Operaciones[[#This Row], 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 [Concepto Anterior]],Conceptos_Control_Operaciones[#All],5,0),"")</f>
        <v/>
      </c>
      <c r="F2588" t="str">
        <f>+IFERROR(VLOOKUP(Fact_Control_Operaciones[[#This Row], 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ht="18.75" customHeight="1" x14ac:dyDescent="0.35">
      <c r="C2589" s="100" t="str">
        <f>IF(OR(Fact_Control_Operaciones[[#This Row], [Año]]="",Fact_Control_Operaciones[[#This Row], 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 [Concepto Anterior]],Conceptos_Control_Operaciones[#All],5,0),"")</f>
        <v/>
      </c>
      <c r="F2589" t="str">
        <f>+IFERROR(VLOOKUP(Fact_Control_Operaciones[[#This Row], 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ht="18.75" customHeight="1" x14ac:dyDescent="0.35">
      <c r="C2590" s="100" t="str">
        <f>IF(OR(Fact_Control_Operaciones[[#This Row], [Año]]="",Fact_Control_Operaciones[[#This Row], 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 [Concepto Anterior]],Conceptos_Control_Operaciones[#All],5,0),"")</f>
        <v/>
      </c>
      <c r="F2590" t="str">
        <f>+IFERROR(VLOOKUP(Fact_Control_Operaciones[[#This Row], 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ht="18.75" customHeight="1" x14ac:dyDescent="0.35">
      <c r="C2591" s="100" t="str">
        <f>IF(OR(Fact_Control_Operaciones[[#This Row], [Año]]="",Fact_Control_Operaciones[[#This Row], 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 [Concepto Anterior]],Conceptos_Control_Operaciones[#All],5,0),"")</f>
        <v/>
      </c>
      <c r="F2591" t="str">
        <f>+IFERROR(VLOOKUP(Fact_Control_Operaciones[[#This Row], 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ht="18.75" customHeight="1" x14ac:dyDescent="0.35">
      <c r="C2592" s="100" t="str">
        <f>IF(OR(Fact_Control_Operaciones[[#This Row], [Año]]="",Fact_Control_Operaciones[[#This Row], 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 [Concepto Anterior]],Conceptos_Control_Operaciones[#All],5,0),"")</f>
        <v/>
      </c>
      <c r="F2592" t="str">
        <f>+IFERROR(VLOOKUP(Fact_Control_Operaciones[[#This Row], 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ht="18.75" customHeight="1" x14ac:dyDescent="0.35">
      <c r="C2593" s="100" t="str">
        <f>IF(OR(Fact_Control_Operaciones[[#This Row], [Año]]="",Fact_Control_Operaciones[[#This Row], 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 [Concepto Anterior]],Conceptos_Control_Operaciones[#All],5,0),"")</f>
        <v/>
      </c>
      <c r="F2593" t="str">
        <f>+IFERROR(VLOOKUP(Fact_Control_Operaciones[[#This Row], 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ht="18.75" customHeight="1" x14ac:dyDescent="0.35">
      <c r="C2594" s="100" t="str">
        <f>IF(OR(Fact_Control_Operaciones[[#This Row], [Año]]="",Fact_Control_Operaciones[[#This Row], 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 [Concepto Anterior]],Conceptos_Control_Operaciones[#All],5,0),"")</f>
        <v/>
      </c>
      <c r="F2594" t="str">
        <f>+IFERROR(VLOOKUP(Fact_Control_Operaciones[[#This Row], 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ht="18.75" customHeight="1" x14ac:dyDescent="0.35">
      <c r="C2595" s="100" t="str">
        <f>IF(OR(Fact_Control_Operaciones[[#This Row], [Año]]="",Fact_Control_Operaciones[[#This Row], 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 [Concepto Anterior]],Conceptos_Control_Operaciones[#All],5,0),"")</f>
        <v/>
      </c>
      <c r="F2595" t="str">
        <f>+IFERROR(VLOOKUP(Fact_Control_Operaciones[[#This Row], 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ht="18.75" customHeight="1" x14ac:dyDescent="0.35">
      <c r="C2596" s="100" t="str">
        <f>IF(OR(Fact_Control_Operaciones[[#This Row], [Año]]="",Fact_Control_Operaciones[[#This Row], 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 [Concepto Anterior]],Conceptos_Control_Operaciones[#All],5,0),"")</f>
        <v/>
      </c>
      <c r="F2596" t="str">
        <f>+IFERROR(VLOOKUP(Fact_Control_Operaciones[[#This Row], 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ht="18.75" customHeight="1" x14ac:dyDescent="0.35">
      <c r="C2597" s="100" t="str">
        <f>IF(OR(Fact_Control_Operaciones[[#This Row], [Año]]="",Fact_Control_Operaciones[[#This Row], 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 [Concepto Anterior]],Conceptos_Control_Operaciones[#All],5,0),"")</f>
        <v/>
      </c>
      <c r="F2597" t="str">
        <f>+IFERROR(VLOOKUP(Fact_Control_Operaciones[[#This Row], 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ht="18.75" customHeight="1" x14ac:dyDescent="0.35">
      <c r="C2598" s="100" t="str">
        <f>IF(OR(Fact_Control_Operaciones[[#This Row], [Año]]="",Fact_Control_Operaciones[[#This Row], 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 [Concepto Anterior]],Conceptos_Control_Operaciones[#All],5,0),"")</f>
        <v/>
      </c>
      <c r="F2598" t="str">
        <f>+IFERROR(VLOOKUP(Fact_Control_Operaciones[[#This Row], 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ht="18.75" customHeight="1" x14ac:dyDescent="0.35">
      <c r="C2599" s="100" t="str">
        <f>IF(OR(Fact_Control_Operaciones[[#This Row], [Año]]="",Fact_Control_Operaciones[[#This Row], 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 [Concepto Anterior]],Conceptos_Control_Operaciones[#All],5,0),"")</f>
        <v/>
      </c>
      <c r="F2599" t="str">
        <f>+IFERROR(VLOOKUP(Fact_Control_Operaciones[[#This Row], 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ht="18.75" customHeight="1" x14ac:dyDescent="0.35">
      <c r="C2600" s="100" t="str">
        <f>IF(OR(Fact_Control_Operaciones[[#This Row], [Año]]="",Fact_Control_Operaciones[[#This Row], 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 [Concepto Anterior]],Conceptos_Control_Operaciones[#All],5,0),"")</f>
        <v/>
      </c>
      <c r="F2600" t="str">
        <f>+IFERROR(VLOOKUP(Fact_Control_Operaciones[[#This Row], 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ht="18.75" customHeight="1" x14ac:dyDescent="0.35">
      <c r="C2601" s="100" t="str">
        <f>IF(OR(Fact_Control_Operaciones[[#This Row], [Año]]="",Fact_Control_Operaciones[[#This Row], 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 [Concepto Anterior]],Conceptos_Control_Operaciones[#All],5,0),"")</f>
        <v/>
      </c>
      <c r="F2601" t="str">
        <f>+IFERROR(VLOOKUP(Fact_Control_Operaciones[[#This Row], 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ht="18.75" customHeight="1" x14ac:dyDescent="0.35">
      <c r="C2602" s="100" t="str">
        <f>IF(OR(Fact_Control_Operaciones[[#This Row], [Año]]="",Fact_Control_Operaciones[[#This Row], 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 [Concepto Anterior]],Conceptos_Control_Operaciones[#All],5,0),"")</f>
        <v/>
      </c>
      <c r="F2602" t="str">
        <f>+IFERROR(VLOOKUP(Fact_Control_Operaciones[[#This Row], 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ht="18.75" customHeight="1" x14ac:dyDescent="0.35">
      <c r="C2603" s="100" t="str">
        <f>IF(OR(Fact_Control_Operaciones[[#This Row], [Año]]="",Fact_Control_Operaciones[[#This Row], 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 [Concepto Anterior]],Conceptos_Control_Operaciones[#All],5,0),"")</f>
        <v/>
      </c>
      <c r="F2603" t="str">
        <f>+IFERROR(VLOOKUP(Fact_Control_Operaciones[[#This Row], 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ht="18.75" customHeight="1" x14ac:dyDescent="0.35">
      <c r="C2604" s="100" t="str">
        <f>IF(OR(Fact_Control_Operaciones[[#This Row], [Año]]="",Fact_Control_Operaciones[[#This Row], 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 [Concepto Anterior]],Conceptos_Control_Operaciones[#All],5,0),"")</f>
        <v/>
      </c>
      <c r="F2604" t="str">
        <f>+IFERROR(VLOOKUP(Fact_Control_Operaciones[[#This Row], 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ht="18.75" customHeight="1" x14ac:dyDescent="0.35">
      <c r="C2605" s="100" t="str">
        <f>IF(OR(Fact_Control_Operaciones[[#This Row], [Año]]="",Fact_Control_Operaciones[[#This Row], 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 [Concepto Anterior]],Conceptos_Control_Operaciones[#All],5,0),"")</f>
        <v/>
      </c>
      <c r="F2605" t="str">
        <f>+IFERROR(VLOOKUP(Fact_Control_Operaciones[[#This Row], 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ht="18.75" customHeight="1" x14ac:dyDescent="0.35">
      <c r="C2606" s="100" t="str">
        <f>IF(OR(Fact_Control_Operaciones[[#This Row], [Año]]="",Fact_Control_Operaciones[[#This Row], 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 [Concepto Anterior]],Conceptos_Control_Operaciones[#All],5,0),"")</f>
        <v/>
      </c>
      <c r="F2606" t="str">
        <f>+IFERROR(VLOOKUP(Fact_Control_Operaciones[[#This Row], 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ht="18.75" customHeight="1" x14ac:dyDescent="0.35">
      <c r="C2607" s="100" t="str">
        <f>IF(OR(Fact_Control_Operaciones[[#This Row], [Año]]="",Fact_Control_Operaciones[[#This Row], 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 [Concepto Anterior]],Conceptos_Control_Operaciones[#All],5,0),"")</f>
        <v/>
      </c>
      <c r="F2607" t="str">
        <f>+IFERROR(VLOOKUP(Fact_Control_Operaciones[[#This Row], 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ht="18.75" customHeight="1" x14ac:dyDescent="0.35">
      <c r="C2608" s="100" t="str">
        <f>IF(OR(Fact_Control_Operaciones[[#This Row], [Año]]="",Fact_Control_Operaciones[[#This Row], 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 [Concepto Anterior]],Conceptos_Control_Operaciones[#All],5,0),"")</f>
        <v/>
      </c>
      <c r="F2608" t="str">
        <f>+IFERROR(VLOOKUP(Fact_Control_Operaciones[[#This Row], 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ht="18.75" customHeight="1" x14ac:dyDescent="0.35">
      <c r="C2609" s="100" t="str">
        <f>IF(OR(Fact_Control_Operaciones[[#This Row], [Año]]="",Fact_Control_Operaciones[[#This Row], 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 [Concepto Anterior]],Conceptos_Control_Operaciones[#All],5,0),"")</f>
        <v/>
      </c>
      <c r="F2609" t="str">
        <f>+IFERROR(VLOOKUP(Fact_Control_Operaciones[[#This Row], 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ht="18.75" customHeight="1" x14ac:dyDescent="0.35">
      <c r="C2610" s="100" t="str">
        <f>IF(OR(Fact_Control_Operaciones[[#This Row], [Año]]="",Fact_Control_Operaciones[[#This Row], 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 [Concepto Anterior]],Conceptos_Control_Operaciones[#All],5,0),"")</f>
        <v/>
      </c>
      <c r="F2610" t="str">
        <f>+IFERROR(VLOOKUP(Fact_Control_Operaciones[[#This Row], 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ht="18.75" customHeight="1" x14ac:dyDescent="0.35">
      <c r="C2611" s="100" t="str">
        <f>IF(OR(Fact_Control_Operaciones[[#This Row], [Año]]="",Fact_Control_Operaciones[[#This Row], 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 [Concepto Anterior]],Conceptos_Control_Operaciones[#All],5,0),"")</f>
        <v/>
      </c>
      <c r="F2611" t="str">
        <f>+IFERROR(VLOOKUP(Fact_Control_Operaciones[[#This Row], 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ht="18.75" customHeight="1" x14ac:dyDescent="0.35">
      <c r="C2612" s="100" t="str">
        <f>IF(OR(Fact_Control_Operaciones[[#This Row], [Año]]="",Fact_Control_Operaciones[[#This Row], 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 [Concepto Anterior]],Conceptos_Control_Operaciones[#All],5,0),"")</f>
        <v/>
      </c>
      <c r="F2612" t="str">
        <f>+IFERROR(VLOOKUP(Fact_Control_Operaciones[[#This Row], 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ht="18.75" customHeight="1" x14ac:dyDescent="0.35">
      <c r="C2613" s="100" t="str">
        <f>IF(OR(Fact_Control_Operaciones[[#This Row], [Año]]="",Fact_Control_Operaciones[[#This Row], 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 [Concepto Anterior]],Conceptos_Control_Operaciones[#All],5,0),"")</f>
        <v/>
      </c>
      <c r="F2613" t="str">
        <f>+IFERROR(VLOOKUP(Fact_Control_Operaciones[[#This Row], 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ht="18.75" customHeight="1" x14ac:dyDescent="0.35">
      <c r="C2614" s="100" t="str">
        <f>IF(OR(Fact_Control_Operaciones[[#This Row], [Año]]="",Fact_Control_Operaciones[[#This Row], 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 [Concepto Anterior]],Conceptos_Control_Operaciones[#All],5,0),"")</f>
        <v/>
      </c>
      <c r="F2614" t="str">
        <f>+IFERROR(VLOOKUP(Fact_Control_Operaciones[[#This Row], 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ht="18.75" customHeight="1" x14ac:dyDescent="0.35">
      <c r="C2615" s="100" t="str">
        <f>IF(OR(Fact_Control_Operaciones[[#This Row], [Año]]="",Fact_Control_Operaciones[[#This Row], 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 [Concepto Anterior]],Conceptos_Control_Operaciones[#All],5,0),"")</f>
        <v/>
      </c>
      <c r="F2615" t="str">
        <f>+IFERROR(VLOOKUP(Fact_Control_Operaciones[[#This Row], 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ht="18.75" customHeight="1" x14ac:dyDescent="0.35">
      <c r="C2616" s="100" t="str">
        <f>IF(OR(Fact_Control_Operaciones[[#This Row], [Año]]="",Fact_Control_Operaciones[[#This Row], 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 [Concepto Anterior]],Conceptos_Control_Operaciones[#All],5,0),"")</f>
        <v/>
      </c>
      <c r="F2616" t="str">
        <f>+IFERROR(VLOOKUP(Fact_Control_Operaciones[[#This Row], 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ht="18.75" customHeight="1" x14ac:dyDescent="0.35">
      <c r="C2617" s="100" t="str">
        <f>IF(OR(Fact_Control_Operaciones[[#This Row], [Año]]="",Fact_Control_Operaciones[[#This Row], 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 [Concepto Anterior]],Conceptos_Control_Operaciones[#All],5,0),"")</f>
        <v/>
      </c>
      <c r="F2617" t="str">
        <f>+IFERROR(VLOOKUP(Fact_Control_Operaciones[[#This Row], 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ht="18.75" customHeight="1" x14ac:dyDescent="0.35">
      <c r="C2618" s="100" t="str">
        <f>IF(OR(Fact_Control_Operaciones[[#This Row], [Año]]="",Fact_Control_Operaciones[[#This Row], 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 [Concepto Anterior]],Conceptos_Control_Operaciones[#All],5,0),"")</f>
        <v/>
      </c>
      <c r="F2618" t="str">
        <f>+IFERROR(VLOOKUP(Fact_Control_Operaciones[[#This Row], 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ht="18.75" customHeight="1" x14ac:dyDescent="0.35">
      <c r="C2619" s="100" t="str">
        <f>IF(OR(Fact_Control_Operaciones[[#This Row], [Año]]="",Fact_Control_Operaciones[[#This Row], 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 [Concepto Anterior]],Conceptos_Control_Operaciones[#All],5,0),"")</f>
        <v/>
      </c>
      <c r="F2619" t="str">
        <f>+IFERROR(VLOOKUP(Fact_Control_Operaciones[[#This Row], 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ht="18.75" customHeight="1" x14ac:dyDescent="0.35">
      <c r="C2620" s="100" t="str">
        <f>IF(OR(Fact_Control_Operaciones[[#This Row], [Año]]="",Fact_Control_Operaciones[[#This Row], 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 [Concepto Anterior]],Conceptos_Control_Operaciones[#All],5,0),"")</f>
        <v/>
      </c>
      <c r="F2620" t="str">
        <f>+IFERROR(VLOOKUP(Fact_Control_Operaciones[[#This Row], 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ht="18.75" customHeight="1" x14ac:dyDescent="0.35">
      <c r="C2621" s="100" t="str">
        <f>IF(OR(Fact_Control_Operaciones[[#This Row], [Año]]="",Fact_Control_Operaciones[[#This Row], 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 [Concepto Anterior]],Conceptos_Control_Operaciones[#All],5,0),"")</f>
        <v/>
      </c>
      <c r="F2621" t="str">
        <f>+IFERROR(VLOOKUP(Fact_Control_Operaciones[[#This Row], 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ht="18.75" customHeight="1" x14ac:dyDescent="0.35">
      <c r="C2622" s="100" t="str">
        <f>IF(OR(Fact_Control_Operaciones[[#This Row], [Año]]="",Fact_Control_Operaciones[[#This Row], 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 [Concepto Anterior]],Conceptos_Control_Operaciones[#All],5,0),"")</f>
        <v/>
      </c>
      <c r="F2622" t="str">
        <f>+IFERROR(VLOOKUP(Fact_Control_Operaciones[[#This Row], 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ht="18.75" customHeight="1" x14ac:dyDescent="0.35">
      <c r="C2623" s="100" t="str">
        <f>IF(OR(Fact_Control_Operaciones[[#This Row], [Año]]="",Fact_Control_Operaciones[[#This Row], 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 [Concepto Anterior]],Conceptos_Control_Operaciones[#All],5,0),"")</f>
        <v/>
      </c>
      <c r="F2623" t="str">
        <f>+IFERROR(VLOOKUP(Fact_Control_Operaciones[[#This Row], 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ht="18.75" customHeight="1" x14ac:dyDescent="0.35">
      <c r="C2624" s="100" t="str">
        <f>IF(OR(Fact_Control_Operaciones[[#This Row], [Año]]="",Fact_Control_Operaciones[[#This Row], 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 [Concepto Anterior]],Conceptos_Control_Operaciones[#All],5,0),"")</f>
        <v/>
      </c>
      <c r="F2624" t="str">
        <f>+IFERROR(VLOOKUP(Fact_Control_Operaciones[[#This Row], 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ht="18.75" customHeight="1" x14ac:dyDescent="0.35">
      <c r="C2625" s="100" t="str">
        <f>IF(OR(Fact_Control_Operaciones[[#This Row], [Año]]="",Fact_Control_Operaciones[[#This Row], 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 [Concepto Anterior]],Conceptos_Control_Operaciones[#All],5,0),"")</f>
        <v/>
      </c>
      <c r="F2625" t="str">
        <f>+IFERROR(VLOOKUP(Fact_Control_Operaciones[[#This Row], 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ht="18.75" customHeight="1" x14ac:dyDescent="0.35">
      <c r="C2626" s="100" t="str">
        <f>IF(OR(Fact_Control_Operaciones[[#This Row], [Año]]="",Fact_Control_Operaciones[[#This Row], 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 [Concepto Anterior]],Conceptos_Control_Operaciones[#All],5,0),"")</f>
        <v/>
      </c>
      <c r="F2626" t="str">
        <f>+IFERROR(VLOOKUP(Fact_Control_Operaciones[[#This Row], 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ht="18.75" customHeight="1" x14ac:dyDescent="0.35">
      <c r="C2627" s="100" t="str">
        <f>IF(OR(Fact_Control_Operaciones[[#This Row], [Año]]="",Fact_Control_Operaciones[[#This Row], 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 [Concepto Anterior]],Conceptos_Control_Operaciones[#All],5,0),"")</f>
        <v/>
      </c>
      <c r="F2627" t="str">
        <f>+IFERROR(VLOOKUP(Fact_Control_Operaciones[[#This Row], 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ht="18.75" customHeight="1" x14ac:dyDescent="0.35">
      <c r="C2628" s="100" t="str">
        <f>IF(OR(Fact_Control_Operaciones[[#This Row], [Año]]="",Fact_Control_Operaciones[[#This Row], 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 [Concepto Anterior]],Conceptos_Control_Operaciones[#All],5,0),"")</f>
        <v/>
      </c>
      <c r="F2628" t="str">
        <f>+IFERROR(VLOOKUP(Fact_Control_Operaciones[[#This Row], 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ht="18.75" customHeight="1" x14ac:dyDescent="0.35">
      <c r="C2629" s="100" t="str">
        <f>IF(OR(Fact_Control_Operaciones[[#This Row], [Año]]="",Fact_Control_Operaciones[[#This Row], 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 [Concepto Anterior]],Conceptos_Control_Operaciones[#All],5,0),"")</f>
        <v/>
      </c>
      <c r="F2629" t="str">
        <f>+IFERROR(VLOOKUP(Fact_Control_Operaciones[[#This Row], 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ht="18.75" customHeight="1" x14ac:dyDescent="0.35">
      <c r="C2630" s="100" t="str">
        <f>IF(OR(Fact_Control_Operaciones[[#This Row], [Año]]="",Fact_Control_Operaciones[[#This Row], 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 [Concepto Anterior]],Conceptos_Control_Operaciones[#All],5,0),"")</f>
        <v/>
      </c>
      <c r="F2630" t="str">
        <f>+IFERROR(VLOOKUP(Fact_Control_Operaciones[[#This Row], 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ht="18.75" customHeight="1" x14ac:dyDescent="0.35">
      <c r="C2631" s="100" t="str">
        <f>IF(OR(Fact_Control_Operaciones[[#This Row], [Año]]="",Fact_Control_Operaciones[[#This Row], 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 [Concepto Anterior]],Conceptos_Control_Operaciones[#All],5,0),"")</f>
        <v/>
      </c>
      <c r="F2631" t="str">
        <f>+IFERROR(VLOOKUP(Fact_Control_Operaciones[[#This Row], 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ht="18.75" customHeight="1" x14ac:dyDescent="0.35">
      <c r="C2632" s="100" t="str">
        <f>IF(OR(Fact_Control_Operaciones[[#This Row], [Año]]="",Fact_Control_Operaciones[[#This Row], 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 [Concepto Anterior]],Conceptos_Control_Operaciones[#All],5,0),"")</f>
        <v/>
      </c>
      <c r="F2632" t="str">
        <f>+IFERROR(VLOOKUP(Fact_Control_Operaciones[[#This Row], 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ht="18.75" customHeight="1" x14ac:dyDescent="0.35">
      <c r="C2633" s="100" t="str">
        <f>IF(OR(Fact_Control_Operaciones[[#This Row], [Año]]="",Fact_Control_Operaciones[[#This Row], 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 [Concepto Anterior]],Conceptos_Control_Operaciones[#All],5,0),"")</f>
        <v/>
      </c>
      <c r="F2633" t="str">
        <f>+IFERROR(VLOOKUP(Fact_Control_Operaciones[[#This Row], 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ht="18.75" customHeight="1" x14ac:dyDescent="0.35">
      <c r="C2634" s="100" t="str">
        <f>IF(OR(Fact_Control_Operaciones[[#This Row], [Año]]="",Fact_Control_Operaciones[[#This Row], 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 [Concepto Anterior]],Conceptos_Control_Operaciones[#All],5,0),"")</f>
        <v/>
      </c>
      <c r="F2634" t="str">
        <f>+IFERROR(VLOOKUP(Fact_Control_Operaciones[[#This Row], 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ht="18.75" customHeight="1" x14ac:dyDescent="0.35">
      <c r="C2635" s="100" t="str">
        <f>IF(OR(Fact_Control_Operaciones[[#This Row], [Año]]="",Fact_Control_Operaciones[[#This Row], 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 [Concepto Anterior]],Conceptos_Control_Operaciones[#All],5,0),"")</f>
        <v/>
      </c>
      <c r="F2635" t="str">
        <f>+IFERROR(VLOOKUP(Fact_Control_Operaciones[[#This Row], 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ht="18.75" customHeight="1" x14ac:dyDescent="0.35">
      <c r="C2636" s="100" t="str">
        <f>IF(OR(Fact_Control_Operaciones[[#This Row], [Año]]="",Fact_Control_Operaciones[[#This Row], 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 [Concepto Anterior]],Conceptos_Control_Operaciones[#All],5,0),"")</f>
        <v/>
      </c>
      <c r="F2636" t="str">
        <f>+IFERROR(VLOOKUP(Fact_Control_Operaciones[[#This Row], 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ht="18.75" customHeight="1" x14ac:dyDescent="0.35">
      <c r="C2637" s="100" t="str">
        <f>IF(OR(Fact_Control_Operaciones[[#This Row], [Año]]="",Fact_Control_Operaciones[[#This Row], 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 [Concepto Anterior]],Conceptos_Control_Operaciones[#All],5,0),"")</f>
        <v/>
      </c>
      <c r="F2637" t="str">
        <f>+IFERROR(VLOOKUP(Fact_Control_Operaciones[[#This Row], 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ht="18.75" customHeight="1" x14ac:dyDescent="0.35">
      <c r="C2638" s="100" t="str">
        <f>IF(OR(Fact_Control_Operaciones[[#This Row], [Año]]="",Fact_Control_Operaciones[[#This Row], 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 [Concepto Anterior]],Conceptos_Control_Operaciones[#All],5,0),"")</f>
        <v/>
      </c>
      <c r="F2638" t="str">
        <f>+IFERROR(VLOOKUP(Fact_Control_Operaciones[[#This Row], 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ht="18.75" customHeight="1" x14ac:dyDescent="0.35">
      <c r="C2639" s="100" t="str">
        <f>IF(OR(Fact_Control_Operaciones[[#This Row], [Año]]="",Fact_Control_Operaciones[[#This Row], 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 [Concepto Anterior]],Conceptos_Control_Operaciones[#All],5,0),"")</f>
        <v/>
      </c>
      <c r="F2639" t="str">
        <f>+IFERROR(VLOOKUP(Fact_Control_Operaciones[[#This Row], 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ht="18.75" customHeight="1" x14ac:dyDescent="0.35">
      <c r="C2640" s="100" t="str">
        <f>IF(OR(Fact_Control_Operaciones[[#This Row], [Año]]="",Fact_Control_Operaciones[[#This Row], 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 [Concepto Anterior]],Conceptos_Control_Operaciones[#All],5,0),"")</f>
        <v/>
      </c>
      <c r="F2640" t="str">
        <f>+IFERROR(VLOOKUP(Fact_Control_Operaciones[[#This Row], 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ht="18.75" customHeight="1" x14ac:dyDescent="0.35">
      <c r="C2641" s="100" t="str">
        <f>IF(OR(Fact_Control_Operaciones[[#This Row], [Año]]="",Fact_Control_Operaciones[[#This Row], 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 [Concepto Anterior]],Conceptos_Control_Operaciones[#All],5,0),"")</f>
        <v/>
      </c>
      <c r="F2641" t="str">
        <f>+IFERROR(VLOOKUP(Fact_Control_Operaciones[[#This Row], 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ht="18.75" customHeight="1" x14ac:dyDescent="0.35">
      <c r="C2642" s="100" t="str">
        <f>IF(OR(Fact_Control_Operaciones[[#This Row], [Año]]="",Fact_Control_Operaciones[[#This Row], 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 [Concepto Anterior]],Conceptos_Control_Operaciones[#All],5,0),"")</f>
        <v/>
      </c>
      <c r="F2642" t="str">
        <f>+IFERROR(VLOOKUP(Fact_Control_Operaciones[[#This Row], 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ht="18.75" customHeight="1" x14ac:dyDescent="0.35">
      <c r="C2643" s="100" t="str">
        <f>IF(OR(Fact_Control_Operaciones[[#This Row], [Año]]="",Fact_Control_Operaciones[[#This Row], 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 [Concepto Anterior]],Conceptos_Control_Operaciones[#All],5,0),"")</f>
        <v/>
      </c>
      <c r="F2643" t="str">
        <f>+IFERROR(VLOOKUP(Fact_Control_Operaciones[[#This Row], 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ht="18.75" customHeight="1" x14ac:dyDescent="0.35">
      <c r="C2644" s="100" t="str">
        <f>IF(OR(Fact_Control_Operaciones[[#This Row], [Año]]="",Fact_Control_Operaciones[[#This Row], 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 [Concepto Anterior]],Conceptos_Control_Operaciones[#All],5,0),"")</f>
        <v/>
      </c>
      <c r="F2644" t="str">
        <f>+IFERROR(VLOOKUP(Fact_Control_Operaciones[[#This Row], 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ht="18.75" customHeight="1" x14ac:dyDescent="0.35">
      <c r="C2645" s="100" t="str">
        <f>IF(OR(Fact_Control_Operaciones[[#This Row], [Año]]="",Fact_Control_Operaciones[[#This Row], 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 [Concepto Anterior]],Conceptos_Control_Operaciones[#All],5,0),"")</f>
        <v/>
      </c>
      <c r="F2645" t="str">
        <f>+IFERROR(VLOOKUP(Fact_Control_Operaciones[[#This Row], 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ht="18.75" customHeight="1" x14ac:dyDescent="0.35">
      <c r="C2646" s="100" t="str">
        <f>IF(OR(Fact_Control_Operaciones[[#This Row], [Año]]="",Fact_Control_Operaciones[[#This Row], 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 [Concepto Anterior]],Conceptos_Control_Operaciones[#All],5,0),"")</f>
        <v/>
      </c>
      <c r="F2646" t="str">
        <f>+IFERROR(VLOOKUP(Fact_Control_Operaciones[[#This Row], 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ht="18.75" customHeight="1" x14ac:dyDescent="0.35">
      <c r="C2647" s="100" t="str">
        <f>IF(OR(Fact_Control_Operaciones[[#This Row], [Año]]="",Fact_Control_Operaciones[[#This Row], 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 [Concepto Anterior]],Conceptos_Control_Operaciones[#All],5,0),"")</f>
        <v/>
      </c>
      <c r="F2647" t="str">
        <f>+IFERROR(VLOOKUP(Fact_Control_Operaciones[[#This Row], 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ht="18.75" customHeight="1" x14ac:dyDescent="0.35">
      <c r="C2648" s="100" t="str">
        <f>IF(OR(Fact_Control_Operaciones[[#This Row], [Año]]="",Fact_Control_Operaciones[[#This Row], 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 [Concepto Anterior]],Conceptos_Control_Operaciones[#All],5,0),"")</f>
        <v/>
      </c>
      <c r="F2648" t="str">
        <f>+IFERROR(VLOOKUP(Fact_Control_Operaciones[[#This Row], 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ht="18.75" customHeight="1" x14ac:dyDescent="0.35">
      <c r="C2649" s="100" t="str">
        <f>IF(OR(Fact_Control_Operaciones[[#This Row], [Año]]="",Fact_Control_Operaciones[[#This Row], 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 [Concepto Anterior]],Conceptos_Control_Operaciones[#All],5,0),"")</f>
        <v/>
      </c>
      <c r="F2649" t="str">
        <f>+IFERROR(VLOOKUP(Fact_Control_Operaciones[[#This Row], 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ht="18.75" customHeight="1" x14ac:dyDescent="0.35">
      <c r="C2650" s="100" t="str">
        <f>IF(OR(Fact_Control_Operaciones[[#This Row], [Año]]="",Fact_Control_Operaciones[[#This Row], 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 [Concepto Anterior]],Conceptos_Control_Operaciones[#All],5,0),"")</f>
        <v/>
      </c>
      <c r="F2650" t="str">
        <f>+IFERROR(VLOOKUP(Fact_Control_Operaciones[[#This Row], 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ht="18.75" customHeight="1" x14ac:dyDescent="0.35">
      <c r="C2651" s="100" t="str">
        <f>IF(OR(Fact_Control_Operaciones[[#This Row], [Año]]="",Fact_Control_Operaciones[[#This Row], 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 [Concepto Anterior]],Conceptos_Control_Operaciones[#All],5,0),"")</f>
        <v/>
      </c>
      <c r="F2651" t="str">
        <f>+IFERROR(VLOOKUP(Fact_Control_Operaciones[[#This Row], 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ht="18.75" customHeight="1" x14ac:dyDescent="0.35">
      <c r="C2652" s="100" t="str">
        <f>IF(OR(Fact_Control_Operaciones[[#This Row], [Año]]="",Fact_Control_Operaciones[[#This Row], 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 [Concepto Anterior]],Conceptos_Control_Operaciones[#All],5,0),"")</f>
        <v/>
      </c>
      <c r="F2652" t="str">
        <f>+IFERROR(VLOOKUP(Fact_Control_Operaciones[[#This Row], 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ht="18.75" customHeight="1" x14ac:dyDescent="0.35">
      <c r="C2653" s="100" t="str">
        <f>IF(OR(Fact_Control_Operaciones[[#This Row], [Año]]="",Fact_Control_Operaciones[[#This Row], 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 [Concepto Anterior]],Conceptos_Control_Operaciones[#All],5,0),"")</f>
        <v/>
      </c>
      <c r="F2653" t="str">
        <f>+IFERROR(VLOOKUP(Fact_Control_Operaciones[[#This Row], 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ht="18.75" customHeight="1" x14ac:dyDescent="0.35">
      <c r="C2654" s="100" t="str">
        <f>IF(OR(Fact_Control_Operaciones[[#This Row], [Año]]="",Fact_Control_Operaciones[[#This Row], 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 [Concepto Anterior]],Conceptos_Control_Operaciones[#All],5,0),"")</f>
        <v/>
      </c>
      <c r="F2654" t="str">
        <f>+IFERROR(VLOOKUP(Fact_Control_Operaciones[[#This Row], 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ht="18.75" customHeight="1" x14ac:dyDescent="0.35">
      <c r="C2655" s="100" t="str">
        <f>IF(OR(Fact_Control_Operaciones[[#This Row], [Año]]="",Fact_Control_Operaciones[[#This Row], 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 [Concepto Anterior]],Conceptos_Control_Operaciones[#All],5,0),"")</f>
        <v/>
      </c>
      <c r="F2655" t="str">
        <f>+IFERROR(VLOOKUP(Fact_Control_Operaciones[[#This Row], 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ht="18.75" customHeight="1" x14ac:dyDescent="0.35">
      <c r="C2656" s="100" t="str">
        <f>IF(OR(Fact_Control_Operaciones[[#This Row], [Año]]="",Fact_Control_Operaciones[[#This Row], 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 [Concepto Anterior]],Conceptos_Control_Operaciones[#All],5,0),"")</f>
        <v/>
      </c>
      <c r="F2656" t="str">
        <f>+IFERROR(VLOOKUP(Fact_Control_Operaciones[[#This Row], 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ht="18.75" customHeight="1" x14ac:dyDescent="0.35">
      <c r="C2657" s="100" t="str">
        <f>IF(OR(Fact_Control_Operaciones[[#This Row], [Año]]="",Fact_Control_Operaciones[[#This Row], 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 [Concepto Anterior]],Conceptos_Control_Operaciones[#All],5,0),"")</f>
        <v/>
      </c>
      <c r="F2657" t="str">
        <f>+IFERROR(VLOOKUP(Fact_Control_Operaciones[[#This Row], 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ht="18.75" customHeight="1" x14ac:dyDescent="0.35">
      <c r="C2658" s="100" t="str">
        <f>IF(OR(Fact_Control_Operaciones[[#This Row], [Año]]="",Fact_Control_Operaciones[[#This Row], 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 [Concepto Anterior]],Conceptos_Control_Operaciones[#All],5,0),"")</f>
        <v/>
      </c>
      <c r="F2658" t="str">
        <f>+IFERROR(VLOOKUP(Fact_Control_Operaciones[[#This Row], 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ht="18.75" customHeight="1" x14ac:dyDescent="0.35">
      <c r="C2659" s="100" t="str">
        <f>IF(OR(Fact_Control_Operaciones[[#This Row], [Año]]="",Fact_Control_Operaciones[[#This Row], 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 [Concepto Anterior]],Conceptos_Control_Operaciones[#All],5,0),"")</f>
        <v/>
      </c>
      <c r="F2659" t="str">
        <f>+IFERROR(VLOOKUP(Fact_Control_Operaciones[[#This Row], 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ht="18.75" customHeight="1" x14ac:dyDescent="0.35">
      <c r="C2660" s="100" t="str">
        <f>IF(OR(Fact_Control_Operaciones[[#This Row], [Año]]="",Fact_Control_Operaciones[[#This Row], 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 [Concepto Anterior]],Conceptos_Control_Operaciones[#All],5,0),"")</f>
        <v/>
      </c>
      <c r="F2660" t="str">
        <f>+IFERROR(VLOOKUP(Fact_Control_Operaciones[[#This Row], 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ht="18.75" customHeight="1" x14ac:dyDescent="0.35">
      <c r="C2661" s="100" t="str">
        <f>IF(OR(Fact_Control_Operaciones[[#This Row], [Año]]="",Fact_Control_Operaciones[[#This Row], 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 [Concepto Anterior]],Conceptos_Control_Operaciones[#All],5,0),"")</f>
        <v/>
      </c>
      <c r="F2661" t="str">
        <f>+IFERROR(VLOOKUP(Fact_Control_Operaciones[[#This Row], 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ht="18.75" customHeight="1" x14ac:dyDescent="0.35">
      <c r="C2662" s="100" t="str">
        <f>IF(OR(Fact_Control_Operaciones[[#This Row], [Año]]="",Fact_Control_Operaciones[[#This Row], 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 [Concepto Anterior]],Conceptos_Control_Operaciones[#All],5,0),"")</f>
        <v/>
      </c>
      <c r="F2662" t="str">
        <f>+IFERROR(VLOOKUP(Fact_Control_Operaciones[[#This Row], 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ht="18.75" customHeight="1" x14ac:dyDescent="0.35">
      <c r="C2663" s="100" t="str">
        <f>IF(OR(Fact_Control_Operaciones[[#This Row], [Año]]="",Fact_Control_Operaciones[[#This Row], 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 [Concepto Anterior]],Conceptos_Control_Operaciones[#All],5,0),"")</f>
        <v/>
      </c>
      <c r="F2663" t="str">
        <f>+IFERROR(VLOOKUP(Fact_Control_Operaciones[[#This Row], 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ht="18.75" customHeight="1" x14ac:dyDescent="0.35">
      <c r="C2664" s="100" t="str">
        <f>IF(OR(Fact_Control_Operaciones[[#This Row], [Año]]="",Fact_Control_Operaciones[[#This Row], 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 [Concepto Anterior]],Conceptos_Control_Operaciones[#All],5,0),"")</f>
        <v/>
      </c>
      <c r="F2664" t="str">
        <f>+IFERROR(VLOOKUP(Fact_Control_Operaciones[[#This Row], 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ht="18.75" customHeight="1" x14ac:dyDescent="0.35">
      <c r="C2665" s="100" t="str">
        <f>IF(OR(Fact_Control_Operaciones[[#This Row], [Año]]="",Fact_Control_Operaciones[[#This Row], 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 [Concepto Anterior]],Conceptos_Control_Operaciones[#All],5,0),"")</f>
        <v/>
      </c>
      <c r="F2665" t="str">
        <f>+IFERROR(VLOOKUP(Fact_Control_Operaciones[[#This Row], 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ht="18.75" customHeight="1" x14ac:dyDescent="0.35">
      <c r="C2666" s="100" t="str">
        <f>IF(OR(Fact_Control_Operaciones[[#This Row], [Año]]="",Fact_Control_Operaciones[[#This Row], 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 [Concepto Anterior]],Conceptos_Control_Operaciones[#All],5,0),"")</f>
        <v/>
      </c>
      <c r="F2666" t="str">
        <f>+IFERROR(VLOOKUP(Fact_Control_Operaciones[[#This Row], 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ht="18.75" customHeight="1" x14ac:dyDescent="0.35">
      <c r="C2667" s="100" t="str">
        <f>IF(OR(Fact_Control_Operaciones[[#This Row], [Año]]="",Fact_Control_Operaciones[[#This Row], 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 [Concepto Anterior]],Conceptos_Control_Operaciones[#All],5,0),"")</f>
        <v/>
      </c>
      <c r="F2667" t="str">
        <f>+IFERROR(VLOOKUP(Fact_Control_Operaciones[[#This Row], 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ht="18.75" customHeight="1" x14ac:dyDescent="0.35">
      <c r="C2668" s="100" t="str">
        <f>IF(OR(Fact_Control_Operaciones[[#This Row], [Año]]="",Fact_Control_Operaciones[[#This Row], 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 [Concepto Anterior]],Conceptos_Control_Operaciones[#All],5,0),"")</f>
        <v/>
      </c>
      <c r="F2668" t="str">
        <f>+IFERROR(VLOOKUP(Fact_Control_Operaciones[[#This Row], 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ht="18.75" customHeight="1" x14ac:dyDescent="0.35">
      <c r="C2669" s="100" t="str">
        <f>IF(OR(Fact_Control_Operaciones[[#This Row], [Año]]="",Fact_Control_Operaciones[[#This Row], 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 [Concepto Anterior]],Conceptos_Control_Operaciones[#All],5,0),"")</f>
        <v/>
      </c>
      <c r="F2669" t="str">
        <f>+IFERROR(VLOOKUP(Fact_Control_Operaciones[[#This Row], 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ht="18.75" customHeight="1" x14ac:dyDescent="0.35">
      <c r="C2670" s="100" t="str">
        <f>IF(OR(Fact_Control_Operaciones[[#This Row], [Año]]="",Fact_Control_Operaciones[[#This Row], 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 [Concepto Anterior]],Conceptos_Control_Operaciones[#All],5,0),"")</f>
        <v/>
      </c>
      <c r="F2670" t="str">
        <f>+IFERROR(VLOOKUP(Fact_Control_Operaciones[[#This Row], 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ht="18.75" customHeight="1" x14ac:dyDescent="0.35">
      <c r="C2671" s="100" t="str">
        <f>IF(OR(Fact_Control_Operaciones[[#This Row], [Año]]="",Fact_Control_Operaciones[[#This Row], 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 [Concepto Anterior]],Conceptos_Control_Operaciones[#All],5,0),"")</f>
        <v/>
      </c>
      <c r="F2671" t="str">
        <f>+IFERROR(VLOOKUP(Fact_Control_Operaciones[[#This Row], 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ht="18.75" customHeight="1" x14ac:dyDescent="0.35">
      <c r="C2672" s="100" t="str">
        <f>IF(OR(Fact_Control_Operaciones[[#This Row], [Año]]="",Fact_Control_Operaciones[[#This Row], 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 [Concepto Anterior]],Conceptos_Control_Operaciones[#All],5,0),"")</f>
        <v/>
      </c>
      <c r="F2672" t="str">
        <f>+IFERROR(VLOOKUP(Fact_Control_Operaciones[[#This Row], 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ht="18.75" customHeight="1" x14ac:dyDescent="0.35">
      <c r="C2673" s="100" t="str">
        <f>IF(OR(Fact_Control_Operaciones[[#This Row], [Año]]="",Fact_Control_Operaciones[[#This Row], 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 [Concepto Anterior]],Conceptos_Control_Operaciones[#All],5,0),"")</f>
        <v/>
      </c>
      <c r="F2673" t="str">
        <f>+IFERROR(VLOOKUP(Fact_Control_Operaciones[[#This Row], 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ht="18.75" customHeight="1" x14ac:dyDescent="0.35">
      <c r="C2674" s="100" t="str">
        <f>IF(OR(Fact_Control_Operaciones[[#This Row], [Año]]="",Fact_Control_Operaciones[[#This Row], 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 [Concepto Anterior]],Conceptos_Control_Operaciones[#All],5,0),"")</f>
        <v/>
      </c>
      <c r="F2674" t="str">
        <f>+IFERROR(VLOOKUP(Fact_Control_Operaciones[[#This Row], 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ht="18.75" customHeight="1" x14ac:dyDescent="0.35">
      <c r="C2675" s="100" t="str">
        <f>IF(OR(Fact_Control_Operaciones[[#This Row], [Año]]="",Fact_Control_Operaciones[[#This Row], 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 [Concepto Anterior]],Conceptos_Control_Operaciones[#All],5,0),"")</f>
        <v/>
      </c>
      <c r="F2675" t="str">
        <f>+IFERROR(VLOOKUP(Fact_Control_Operaciones[[#This Row], 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ht="18.75" customHeight="1" x14ac:dyDescent="0.35">
      <c r="C2676" s="100" t="str">
        <f>IF(OR(Fact_Control_Operaciones[[#This Row], [Año]]="",Fact_Control_Operaciones[[#This Row], 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 [Concepto Anterior]],Conceptos_Control_Operaciones[#All],5,0),"")</f>
        <v/>
      </c>
      <c r="F2676" t="str">
        <f>+IFERROR(VLOOKUP(Fact_Control_Operaciones[[#This Row], 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ht="18.75" customHeight="1" x14ac:dyDescent="0.35">
      <c r="C2677" s="100" t="str">
        <f>IF(OR(Fact_Control_Operaciones[[#This Row], [Año]]="",Fact_Control_Operaciones[[#This Row], 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 [Concepto Anterior]],Conceptos_Control_Operaciones[#All],5,0),"")</f>
        <v/>
      </c>
      <c r="F2677" t="str">
        <f>+IFERROR(VLOOKUP(Fact_Control_Operaciones[[#This Row], 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ht="18.75" customHeight="1" x14ac:dyDescent="0.35">
      <c r="C2678" s="100" t="str">
        <f>IF(OR(Fact_Control_Operaciones[[#This Row], [Año]]="",Fact_Control_Operaciones[[#This Row], 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 [Concepto Anterior]],Conceptos_Control_Operaciones[#All],5,0),"")</f>
        <v/>
      </c>
      <c r="F2678" t="str">
        <f>+IFERROR(VLOOKUP(Fact_Control_Operaciones[[#This Row], 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ht="18.75" customHeight="1" x14ac:dyDescent="0.35">
      <c r="C2679" s="100" t="str">
        <f>IF(OR(Fact_Control_Operaciones[[#This Row], [Año]]="",Fact_Control_Operaciones[[#This Row], 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 [Concepto Anterior]],Conceptos_Control_Operaciones[#All],5,0),"")</f>
        <v/>
      </c>
      <c r="F2679" t="str">
        <f>+IFERROR(VLOOKUP(Fact_Control_Operaciones[[#This Row], 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ht="18.75" customHeight="1" x14ac:dyDescent="0.35">
      <c r="C2680" s="100" t="str">
        <f>IF(OR(Fact_Control_Operaciones[[#This Row], [Año]]="",Fact_Control_Operaciones[[#This Row], 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 [Concepto Anterior]],Conceptos_Control_Operaciones[#All],5,0),"")</f>
        <v/>
      </c>
      <c r="F2680" t="str">
        <f>+IFERROR(VLOOKUP(Fact_Control_Operaciones[[#This Row], 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ht="18.75" customHeight="1" x14ac:dyDescent="0.35">
      <c r="C2681" s="100" t="str">
        <f>IF(OR(Fact_Control_Operaciones[[#This Row], [Año]]="",Fact_Control_Operaciones[[#This Row], 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 [Concepto Anterior]],Conceptos_Control_Operaciones[#All],5,0),"")</f>
        <v/>
      </c>
      <c r="F2681" t="str">
        <f>+IFERROR(VLOOKUP(Fact_Control_Operaciones[[#This Row], 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ht="18.75" customHeight="1" x14ac:dyDescent="0.35">
      <c r="C2682" s="100" t="str">
        <f>IF(OR(Fact_Control_Operaciones[[#This Row], [Año]]="",Fact_Control_Operaciones[[#This Row], 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 [Concepto Anterior]],Conceptos_Control_Operaciones[#All],5,0),"")</f>
        <v/>
      </c>
      <c r="F2682" t="str">
        <f>+IFERROR(VLOOKUP(Fact_Control_Operaciones[[#This Row], 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ht="18.75" customHeight="1" x14ac:dyDescent="0.35">
      <c r="C2683" s="100" t="str">
        <f>IF(OR(Fact_Control_Operaciones[[#This Row], [Año]]="",Fact_Control_Operaciones[[#This Row], 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 [Concepto Anterior]],Conceptos_Control_Operaciones[#All],5,0),"")</f>
        <v/>
      </c>
      <c r="F2683" t="str">
        <f>+IFERROR(VLOOKUP(Fact_Control_Operaciones[[#This Row], 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ht="18.75" customHeight="1" x14ac:dyDescent="0.35">
      <c r="C2684" s="100" t="str">
        <f>IF(OR(Fact_Control_Operaciones[[#This Row], [Año]]="",Fact_Control_Operaciones[[#This Row], 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 [Concepto Anterior]],Conceptos_Control_Operaciones[#All],5,0),"")</f>
        <v/>
      </c>
      <c r="F2684" t="str">
        <f>+IFERROR(VLOOKUP(Fact_Control_Operaciones[[#This Row], 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ht="18.75" customHeight="1" x14ac:dyDescent="0.35">
      <c r="C2685" s="100" t="str">
        <f>IF(OR(Fact_Control_Operaciones[[#This Row], [Año]]="",Fact_Control_Operaciones[[#This Row], 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 [Concepto Anterior]],Conceptos_Control_Operaciones[#All],5,0),"")</f>
        <v/>
      </c>
      <c r="F2685" t="str">
        <f>+IFERROR(VLOOKUP(Fact_Control_Operaciones[[#This Row], 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ht="18.75" customHeight="1" x14ac:dyDescent="0.35">
      <c r="C2686" s="100" t="str">
        <f>IF(OR(Fact_Control_Operaciones[[#This Row], [Año]]="",Fact_Control_Operaciones[[#This Row], 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 [Concepto Anterior]],Conceptos_Control_Operaciones[#All],5,0),"")</f>
        <v/>
      </c>
      <c r="F2686" t="str">
        <f>+IFERROR(VLOOKUP(Fact_Control_Operaciones[[#This Row], 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ht="18.75" customHeight="1" x14ac:dyDescent="0.35">
      <c r="C2687" s="100" t="str">
        <f>IF(OR(Fact_Control_Operaciones[[#This Row], [Año]]="",Fact_Control_Operaciones[[#This Row], 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 [Concepto Anterior]],Conceptos_Control_Operaciones[#All],5,0),"")</f>
        <v/>
      </c>
      <c r="F2687" t="str">
        <f>+IFERROR(VLOOKUP(Fact_Control_Operaciones[[#This Row], 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ht="18.75" customHeight="1" x14ac:dyDescent="0.35">
      <c r="C2688" s="100" t="str">
        <f>IF(OR(Fact_Control_Operaciones[[#This Row], [Año]]="",Fact_Control_Operaciones[[#This Row], 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 [Concepto Anterior]],Conceptos_Control_Operaciones[#All],5,0),"")</f>
        <v/>
      </c>
      <c r="F2688" t="str">
        <f>+IFERROR(VLOOKUP(Fact_Control_Operaciones[[#This Row], 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ht="18.75" customHeight="1" x14ac:dyDescent="0.35">
      <c r="C2689" s="100" t="str">
        <f>IF(OR(Fact_Control_Operaciones[[#This Row], [Año]]="",Fact_Control_Operaciones[[#This Row], 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 [Concepto Anterior]],Conceptos_Control_Operaciones[#All],5,0),"")</f>
        <v/>
      </c>
      <c r="F2689" t="str">
        <f>+IFERROR(VLOOKUP(Fact_Control_Operaciones[[#This Row], 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ht="18.75" customHeight="1" x14ac:dyDescent="0.35">
      <c r="C2690" s="100" t="str">
        <f>IF(OR(Fact_Control_Operaciones[[#This Row], [Año]]="",Fact_Control_Operaciones[[#This Row], 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 [Concepto Anterior]],Conceptos_Control_Operaciones[#All],5,0),"")</f>
        <v/>
      </c>
      <c r="F2690" t="str">
        <f>+IFERROR(VLOOKUP(Fact_Control_Operaciones[[#This Row], 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ht="18.75" customHeight="1" x14ac:dyDescent="0.35">
      <c r="C2691" s="100" t="str">
        <f>IF(OR(Fact_Control_Operaciones[[#This Row], [Año]]="",Fact_Control_Operaciones[[#This Row], 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 [Concepto Anterior]],Conceptos_Control_Operaciones[#All],5,0),"")</f>
        <v/>
      </c>
      <c r="F2691" t="str">
        <f>+IFERROR(VLOOKUP(Fact_Control_Operaciones[[#This Row], 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ht="18.75" customHeight="1" x14ac:dyDescent="0.35">
      <c r="C2692" s="100" t="str">
        <f>IF(OR(Fact_Control_Operaciones[[#This Row], [Año]]="",Fact_Control_Operaciones[[#This Row], 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 [Concepto Anterior]],Conceptos_Control_Operaciones[#All],5,0),"")</f>
        <v/>
      </c>
      <c r="F2692" t="str">
        <f>+IFERROR(VLOOKUP(Fact_Control_Operaciones[[#This Row], 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ht="18.75" customHeight="1" x14ac:dyDescent="0.35">
      <c r="C2693" s="100" t="str">
        <f>IF(OR(Fact_Control_Operaciones[[#This Row], [Año]]="",Fact_Control_Operaciones[[#This Row], 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 [Concepto Anterior]],Conceptos_Control_Operaciones[#All],5,0),"")</f>
        <v/>
      </c>
      <c r="F2693" t="str">
        <f>+IFERROR(VLOOKUP(Fact_Control_Operaciones[[#This Row], 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ht="18.75" customHeight="1" x14ac:dyDescent="0.35">
      <c r="C2694" s="100" t="str">
        <f>IF(OR(Fact_Control_Operaciones[[#This Row], [Año]]="",Fact_Control_Operaciones[[#This Row], 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 [Concepto Anterior]],Conceptos_Control_Operaciones[#All],5,0),"")</f>
        <v/>
      </c>
      <c r="F2694" t="str">
        <f>+IFERROR(VLOOKUP(Fact_Control_Operaciones[[#This Row], 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ht="18.75" customHeight="1" x14ac:dyDescent="0.35">
      <c r="C2695" s="100" t="str">
        <f>IF(OR(Fact_Control_Operaciones[[#This Row], [Año]]="",Fact_Control_Operaciones[[#This Row], 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 [Concepto Anterior]],Conceptos_Control_Operaciones[#All],5,0),"")</f>
        <v/>
      </c>
      <c r="F2695" t="str">
        <f>+IFERROR(VLOOKUP(Fact_Control_Operaciones[[#This Row], 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ht="18.75" customHeight="1" x14ac:dyDescent="0.35">
      <c r="C2696" s="100" t="str">
        <f>IF(OR(Fact_Control_Operaciones[[#This Row], [Año]]="",Fact_Control_Operaciones[[#This Row], 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 [Concepto Anterior]],Conceptos_Control_Operaciones[#All],5,0),"")</f>
        <v/>
      </c>
      <c r="F2696" t="str">
        <f>+IFERROR(VLOOKUP(Fact_Control_Operaciones[[#This Row], 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ht="18.75" customHeight="1" x14ac:dyDescent="0.35">
      <c r="C2697" s="100" t="str">
        <f>IF(OR(Fact_Control_Operaciones[[#This Row], [Año]]="",Fact_Control_Operaciones[[#This Row], 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 [Concepto Anterior]],Conceptos_Control_Operaciones[#All],5,0),"")</f>
        <v/>
      </c>
      <c r="F2697" t="str">
        <f>+IFERROR(VLOOKUP(Fact_Control_Operaciones[[#This Row], 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ht="18.75" customHeight="1" x14ac:dyDescent="0.35">
      <c r="C2698" s="100" t="str">
        <f>IF(OR(Fact_Control_Operaciones[[#This Row], [Año]]="",Fact_Control_Operaciones[[#This Row], 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 [Concepto Anterior]],Conceptos_Control_Operaciones[#All],5,0),"")</f>
        <v/>
      </c>
      <c r="F2698" t="str">
        <f>+IFERROR(VLOOKUP(Fact_Control_Operaciones[[#This Row], 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ht="18.75" customHeight="1" x14ac:dyDescent="0.35">
      <c r="C2699" s="100" t="str">
        <f>IF(OR(Fact_Control_Operaciones[[#This Row], [Año]]="",Fact_Control_Operaciones[[#This Row], 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 [Concepto Anterior]],Conceptos_Control_Operaciones[#All],5,0),"")</f>
        <v/>
      </c>
      <c r="F2699" t="str">
        <f>+IFERROR(VLOOKUP(Fact_Control_Operaciones[[#This Row], 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ht="18.75" customHeight="1" x14ac:dyDescent="0.35">
      <c r="C2700" s="100" t="str">
        <f>IF(OR(Fact_Control_Operaciones[[#This Row], [Año]]="",Fact_Control_Operaciones[[#This Row], 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 [Concepto Anterior]],Conceptos_Control_Operaciones[#All],5,0),"")</f>
        <v/>
      </c>
      <c r="F2700" t="str">
        <f>+IFERROR(VLOOKUP(Fact_Control_Operaciones[[#This Row], 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ht="18.75" customHeight="1" x14ac:dyDescent="0.35">
      <c r="C2701" s="100" t="str">
        <f>IF(OR(Fact_Control_Operaciones[[#This Row], [Año]]="",Fact_Control_Operaciones[[#This Row], 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 [Concepto Anterior]],Conceptos_Control_Operaciones[#All],5,0),"")</f>
        <v/>
      </c>
      <c r="F2701" t="str">
        <f>+IFERROR(VLOOKUP(Fact_Control_Operaciones[[#This Row], 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ht="18.75" customHeight="1" x14ac:dyDescent="0.35">
      <c r="C2702" s="100" t="str">
        <f>IF(OR(Fact_Control_Operaciones[[#This Row], [Año]]="",Fact_Control_Operaciones[[#This Row], 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 [Concepto Anterior]],Conceptos_Control_Operaciones[#All],5,0),"")</f>
        <v/>
      </c>
      <c r="F2702" t="str">
        <f>+IFERROR(VLOOKUP(Fact_Control_Operaciones[[#This Row], 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ht="18.75" customHeight="1" x14ac:dyDescent="0.35">
      <c r="C2703" s="100" t="str">
        <f>IF(OR(Fact_Control_Operaciones[[#This Row], [Año]]="",Fact_Control_Operaciones[[#This Row], 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 [Concepto Anterior]],Conceptos_Control_Operaciones[#All],5,0),"")</f>
        <v/>
      </c>
      <c r="F2703" t="str">
        <f>+IFERROR(VLOOKUP(Fact_Control_Operaciones[[#This Row], 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ht="18.75" customHeight="1" x14ac:dyDescent="0.35">
      <c r="C2704" s="100" t="str">
        <f>IF(OR(Fact_Control_Operaciones[[#This Row], [Año]]="",Fact_Control_Operaciones[[#This Row], 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 [Concepto Anterior]],Conceptos_Control_Operaciones[#All],5,0),"")</f>
        <v/>
      </c>
      <c r="F2704" t="str">
        <f>+IFERROR(VLOOKUP(Fact_Control_Operaciones[[#This Row], 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ht="18.75" customHeight="1" x14ac:dyDescent="0.35">
      <c r="C2705" s="100" t="str">
        <f>IF(OR(Fact_Control_Operaciones[[#This Row], [Año]]="",Fact_Control_Operaciones[[#This Row], 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 [Concepto Anterior]],Conceptos_Control_Operaciones[#All],5,0),"")</f>
        <v/>
      </c>
      <c r="F2705" t="str">
        <f>+IFERROR(VLOOKUP(Fact_Control_Operaciones[[#This Row], 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ht="18.75" customHeight="1" x14ac:dyDescent="0.35">
      <c r="C2706" s="100" t="str">
        <f>IF(OR(Fact_Control_Operaciones[[#This Row], [Año]]="",Fact_Control_Operaciones[[#This Row], 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 [Concepto Anterior]],Conceptos_Control_Operaciones[#All],5,0),"")</f>
        <v/>
      </c>
      <c r="F2706" t="str">
        <f>+IFERROR(VLOOKUP(Fact_Control_Operaciones[[#This Row], 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ht="18.75" customHeight="1" x14ac:dyDescent="0.35">
      <c r="C2707" s="100" t="str">
        <f>IF(OR(Fact_Control_Operaciones[[#This Row], [Año]]="",Fact_Control_Operaciones[[#This Row], 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 [Concepto Anterior]],Conceptos_Control_Operaciones[#All],5,0),"")</f>
        <v/>
      </c>
      <c r="F2707" t="str">
        <f>+IFERROR(VLOOKUP(Fact_Control_Operaciones[[#This Row], 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ht="18.75" customHeight="1" x14ac:dyDescent="0.35">
      <c r="C2708" s="100" t="str">
        <f>IF(OR(Fact_Control_Operaciones[[#This Row], [Año]]="",Fact_Control_Operaciones[[#This Row], 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 [Concepto Anterior]],Conceptos_Control_Operaciones[#All],5,0),"")</f>
        <v/>
      </c>
      <c r="F2708" t="str">
        <f>+IFERROR(VLOOKUP(Fact_Control_Operaciones[[#This Row], 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ht="18.75" customHeight="1" x14ac:dyDescent="0.35">
      <c r="C2709" s="100" t="str">
        <f>IF(OR(Fact_Control_Operaciones[[#This Row], [Año]]="",Fact_Control_Operaciones[[#This Row], 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 [Concepto Anterior]],Conceptos_Control_Operaciones[#All],5,0),"")</f>
        <v/>
      </c>
      <c r="F2709" t="str">
        <f>+IFERROR(VLOOKUP(Fact_Control_Operaciones[[#This Row], 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ht="18.75" customHeight="1" x14ac:dyDescent="0.35">
      <c r="C2710" s="100" t="str">
        <f>IF(OR(Fact_Control_Operaciones[[#This Row], [Año]]="",Fact_Control_Operaciones[[#This Row], 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 [Concepto Anterior]],Conceptos_Control_Operaciones[#All],5,0),"")</f>
        <v/>
      </c>
      <c r="F2710" t="str">
        <f>+IFERROR(VLOOKUP(Fact_Control_Operaciones[[#This Row], 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ht="18.75" customHeight="1" x14ac:dyDescent="0.35">
      <c r="C2711" s="100" t="str">
        <f>IF(OR(Fact_Control_Operaciones[[#This Row], [Año]]="",Fact_Control_Operaciones[[#This Row], 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 [Concepto Anterior]],Conceptos_Control_Operaciones[#All],5,0),"")</f>
        <v/>
      </c>
      <c r="F2711" t="str">
        <f>+IFERROR(VLOOKUP(Fact_Control_Operaciones[[#This Row], 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ht="18.75" customHeight="1" x14ac:dyDescent="0.35">
      <c r="C2712" s="100" t="str">
        <f>IF(OR(Fact_Control_Operaciones[[#This Row], [Año]]="",Fact_Control_Operaciones[[#This Row], 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 [Concepto Anterior]],Conceptos_Control_Operaciones[#All],5,0),"")</f>
        <v/>
      </c>
      <c r="F2712" t="str">
        <f>+IFERROR(VLOOKUP(Fact_Control_Operaciones[[#This Row], 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ht="18.75" customHeight="1" x14ac:dyDescent="0.35">
      <c r="C2713" s="100" t="str">
        <f>IF(OR(Fact_Control_Operaciones[[#This Row], [Año]]="",Fact_Control_Operaciones[[#This Row], 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 [Concepto Anterior]],Conceptos_Control_Operaciones[#All],5,0),"")</f>
        <v/>
      </c>
      <c r="F2713" t="str">
        <f>+IFERROR(VLOOKUP(Fact_Control_Operaciones[[#This Row], 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ht="18.75" customHeight="1" x14ac:dyDescent="0.35">
      <c r="C2714" s="100" t="str">
        <f>IF(OR(Fact_Control_Operaciones[[#This Row], [Año]]="",Fact_Control_Operaciones[[#This Row], 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 [Concepto Anterior]],Conceptos_Control_Operaciones[#All],5,0),"")</f>
        <v/>
      </c>
      <c r="F2714" t="str">
        <f>+IFERROR(VLOOKUP(Fact_Control_Operaciones[[#This Row], 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ht="18.75" customHeight="1" x14ac:dyDescent="0.35">
      <c r="C2715" s="100" t="str">
        <f>IF(OR(Fact_Control_Operaciones[[#This Row], [Año]]="",Fact_Control_Operaciones[[#This Row], 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 [Concepto Anterior]],Conceptos_Control_Operaciones[#All],5,0),"")</f>
        <v/>
      </c>
      <c r="F2715" t="str">
        <f>+IFERROR(VLOOKUP(Fact_Control_Operaciones[[#This Row], 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ht="18.75" customHeight="1" x14ac:dyDescent="0.35">
      <c r="C2716" s="100" t="str">
        <f>IF(OR(Fact_Control_Operaciones[[#This Row], [Año]]="",Fact_Control_Operaciones[[#This Row], 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 [Concepto Anterior]],Conceptos_Control_Operaciones[#All],5,0),"")</f>
        <v/>
      </c>
      <c r="F2716" t="str">
        <f>+IFERROR(VLOOKUP(Fact_Control_Operaciones[[#This Row], 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ht="18.75" customHeight="1" x14ac:dyDescent="0.35">
      <c r="C2717" s="100" t="str">
        <f>IF(OR(Fact_Control_Operaciones[[#This Row], [Año]]="",Fact_Control_Operaciones[[#This Row], 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 [Concepto Anterior]],Conceptos_Control_Operaciones[#All],5,0),"")</f>
        <v/>
      </c>
      <c r="F2717" t="str">
        <f>+IFERROR(VLOOKUP(Fact_Control_Operaciones[[#This Row], 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ht="18.75" customHeight="1" x14ac:dyDescent="0.35">
      <c r="C2718" s="100" t="str">
        <f>IF(OR(Fact_Control_Operaciones[[#This Row], [Año]]="",Fact_Control_Operaciones[[#This Row], 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 [Concepto Anterior]],Conceptos_Control_Operaciones[#All],5,0),"")</f>
        <v/>
      </c>
      <c r="F2718" t="str">
        <f>+IFERROR(VLOOKUP(Fact_Control_Operaciones[[#This Row], 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ht="18.75" customHeight="1" x14ac:dyDescent="0.35">
      <c r="C2719" s="100" t="str">
        <f>IF(OR(Fact_Control_Operaciones[[#This Row], [Año]]="",Fact_Control_Operaciones[[#This Row], 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 [Concepto Anterior]],Conceptos_Control_Operaciones[#All],5,0),"")</f>
        <v/>
      </c>
      <c r="F2719" t="str">
        <f>+IFERROR(VLOOKUP(Fact_Control_Operaciones[[#This Row], 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ht="18.75" customHeight="1" x14ac:dyDescent="0.35">
      <c r="C2720" s="100" t="str">
        <f>IF(OR(Fact_Control_Operaciones[[#This Row], [Año]]="",Fact_Control_Operaciones[[#This Row], 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 [Concepto Anterior]],Conceptos_Control_Operaciones[#All],5,0),"")</f>
        <v/>
      </c>
      <c r="F2720" t="str">
        <f>+IFERROR(VLOOKUP(Fact_Control_Operaciones[[#This Row], 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ht="18.75" customHeight="1" x14ac:dyDescent="0.35">
      <c r="C2721" s="100" t="str">
        <f>IF(OR(Fact_Control_Operaciones[[#This Row], [Año]]="",Fact_Control_Operaciones[[#This Row], 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 [Concepto Anterior]],Conceptos_Control_Operaciones[#All],5,0),"")</f>
        <v/>
      </c>
      <c r="F2721" t="str">
        <f>+IFERROR(VLOOKUP(Fact_Control_Operaciones[[#This Row], 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ht="18.75" customHeight="1" x14ac:dyDescent="0.35">
      <c r="C2722" s="100" t="str">
        <f>IF(OR(Fact_Control_Operaciones[[#This Row], [Año]]="",Fact_Control_Operaciones[[#This Row], 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 [Concepto Anterior]],Conceptos_Control_Operaciones[#All],5,0),"")</f>
        <v/>
      </c>
      <c r="F2722" t="str">
        <f>+IFERROR(VLOOKUP(Fact_Control_Operaciones[[#This Row], 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ht="18.75" customHeight="1" x14ac:dyDescent="0.35">
      <c r="C2723" s="100" t="str">
        <f>IF(OR(Fact_Control_Operaciones[[#This Row], [Año]]="",Fact_Control_Operaciones[[#This Row], 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 [Concepto Anterior]],Conceptos_Control_Operaciones[#All],5,0),"")</f>
        <v/>
      </c>
      <c r="F2723" t="str">
        <f>+IFERROR(VLOOKUP(Fact_Control_Operaciones[[#This Row], 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ht="18.75" customHeight="1" x14ac:dyDescent="0.35">
      <c r="C2724" s="100" t="str">
        <f>IF(OR(Fact_Control_Operaciones[[#This Row], [Año]]="",Fact_Control_Operaciones[[#This Row], 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 [Concepto Anterior]],Conceptos_Control_Operaciones[#All],5,0),"")</f>
        <v/>
      </c>
      <c r="F2724" t="str">
        <f>+IFERROR(VLOOKUP(Fact_Control_Operaciones[[#This Row], 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ht="18.75" customHeight="1" x14ac:dyDescent="0.35">
      <c r="C2725" s="100" t="str">
        <f>IF(OR(Fact_Control_Operaciones[[#This Row], [Año]]="",Fact_Control_Operaciones[[#This Row], 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 [Concepto Anterior]],Conceptos_Control_Operaciones[#All],5,0),"")</f>
        <v/>
      </c>
      <c r="F2725" t="str">
        <f>+IFERROR(VLOOKUP(Fact_Control_Operaciones[[#This Row], 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ht="18.75" customHeight="1" x14ac:dyDescent="0.35">
      <c r="C2726" s="100" t="str">
        <f>IF(OR(Fact_Control_Operaciones[[#This Row], [Año]]="",Fact_Control_Operaciones[[#This Row], 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 [Concepto Anterior]],Conceptos_Control_Operaciones[#All],5,0),"")</f>
        <v/>
      </c>
      <c r="F2726" t="str">
        <f>+IFERROR(VLOOKUP(Fact_Control_Operaciones[[#This Row], 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ht="18.75" customHeight="1" x14ac:dyDescent="0.35">
      <c r="C2727" s="100" t="str">
        <f>IF(OR(Fact_Control_Operaciones[[#This Row], [Año]]="",Fact_Control_Operaciones[[#This Row], 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 [Concepto Anterior]],Conceptos_Control_Operaciones[#All],5,0),"")</f>
        <v/>
      </c>
      <c r="F2727" t="str">
        <f>+IFERROR(VLOOKUP(Fact_Control_Operaciones[[#This Row], 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ht="18.75" customHeight="1" x14ac:dyDescent="0.35">
      <c r="C2728" s="100" t="str">
        <f>IF(OR(Fact_Control_Operaciones[[#This Row], [Año]]="",Fact_Control_Operaciones[[#This Row], 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 [Concepto Anterior]],Conceptos_Control_Operaciones[#All],5,0),"")</f>
        <v/>
      </c>
      <c r="F2728" t="str">
        <f>+IFERROR(VLOOKUP(Fact_Control_Operaciones[[#This Row], 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ht="18.75" customHeight="1" x14ac:dyDescent="0.35">
      <c r="C2729" s="100" t="str">
        <f>IF(OR(Fact_Control_Operaciones[[#This Row], [Año]]="",Fact_Control_Operaciones[[#This Row], 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 [Concepto Anterior]],Conceptos_Control_Operaciones[#All],5,0),"")</f>
        <v/>
      </c>
      <c r="F2729" t="str">
        <f>+IFERROR(VLOOKUP(Fact_Control_Operaciones[[#This Row], 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ht="18.75" customHeight="1" x14ac:dyDescent="0.35">
      <c r="C2730" s="100" t="str">
        <f>IF(OR(Fact_Control_Operaciones[[#This Row], [Año]]="",Fact_Control_Operaciones[[#This Row], 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 [Concepto Anterior]],Conceptos_Control_Operaciones[#All],5,0),"")</f>
        <v/>
      </c>
      <c r="F2730" t="str">
        <f>+IFERROR(VLOOKUP(Fact_Control_Operaciones[[#This Row], 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ht="18.75" customHeight="1" x14ac:dyDescent="0.35">
      <c r="C2731" s="100" t="str">
        <f>IF(OR(Fact_Control_Operaciones[[#This Row], [Año]]="",Fact_Control_Operaciones[[#This Row], 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 [Concepto Anterior]],Conceptos_Control_Operaciones[#All],5,0),"")</f>
        <v/>
      </c>
      <c r="F2731" t="str">
        <f>+IFERROR(VLOOKUP(Fact_Control_Operaciones[[#This Row], 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ht="18.75" customHeight="1" x14ac:dyDescent="0.35">
      <c r="C2732" s="100" t="str">
        <f>IF(OR(Fact_Control_Operaciones[[#This Row], [Año]]="",Fact_Control_Operaciones[[#This Row], 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 [Concepto Anterior]],Conceptos_Control_Operaciones[#All],5,0),"")</f>
        <v/>
      </c>
      <c r="F2732" t="str">
        <f>+IFERROR(VLOOKUP(Fact_Control_Operaciones[[#This Row], 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ht="18.75" customHeight="1" x14ac:dyDescent="0.35">
      <c r="C2733" s="100" t="str">
        <f>IF(OR(Fact_Control_Operaciones[[#This Row], [Año]]="",Fact_Control_Operaciones[[#This Row], 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 [Concepto Anterior]],Conceptos_Control_Operaciones[#All],5,0),"")</f>
        <v/>
      </c>
      <c r="F2733" t="str">
        <f>+IFERROR(VLOOKUP(Fact_Control_Operaciones[[#This Row], 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ht="18.75" customHeight="1" x14ac:dyDescent="0.35">
      <c r="C2734" s="100" t="str">
        <f>IF(OR(Fact_Control_Operaciones[[#This Row], [Año]]="",Fact_Control_Operaciones[[#This Row], 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 [Concepto Anterior]],Conceptos_Control_Operaciones[#All],5,0),"")</f>
        <v/>
      </c>
      <c r="F2734" t="str">
        <f>+IFERROR(VLOOKUP(Fact_Control_Operaciones[[#This Row], 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ht="18.75" customHeight="1" x14ac:dyDescent="0.35">
      <c r="C2735" s="100" t="str">
        <f>IF(OR(Fact_Control_Operaciones[[#This Row], [Año]]="",Fact_Control_Operaciones[[#This Row], 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 [Concepto Anterior]],Conceptos_Control_Operaciones[#All],5,0),"")</f>
        <v/>
      </c>
      <c r="F2735" t="str">
        <f>+IFERROR(VLOOKUP(Fact_Control_Operaciones[[#This Row], 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ht="18.75" customHeight="1" x14ac:dyDescent="0.35">
      <c r="C2736" s="100" t="str">
        <f>IF(OR(Fact_Control_Operaciones[[#This Row], [Año]]="",Fact_Control_Operaciones[[#This Row], 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 [Concepto Anterior]],Conceptos_Control_Operaciones[#All],5,0),"")</f>
        <v/>
      </c>
      <c r="F2736" t="str">
        <f>+IFERROR(VLOOKUP(Fact_Control_Operaciones[[#This Row], 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ht="18.75" customHeight="1" x14ac:dyDescent="0.35">
      <c r="C2737" s="100" t="str">
        <f>IF(OR(Fact_Control_Operaciones[[#This Row], [Año]]="",Fact_Control_Operaciones[[#This Row], 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 [Concepto Anterior]],Conceptos_Control_Operaciones[#All],5,0),"")</f>
        <v/>
      </c>
      <c r="F2737" t="str">
        <f>+IFERROR(VLOOKUP(Fact_Control_Operaciones[[#This Row], 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ht="18.75" customHeight="1" x14ac:dyDescent="0.35">
      <c r="C2738" s="100" t="str">
        <f>IF(OR(Fact_Control_Operaciones[[#This Row], [Año]]="",Fact_Control_Operaciones[[#This Row], 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 [Concepto Anterior]],Conceptos_Control_Operaciones[#All],5,0),"")</f>
        <v/>
      </c>
      <c r="F2738" t="str">
        <f>+IFERROR(VLOOKUP(Fact_Control_Operaciones[[#This Row], 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ht="18.75" customHeight="1" x14ac:dyDescent="0.35">
      <c r="C2739" s="100" t="str">
        <f>IF(OR(Fact_Control_Operaciones[[#This Row], [Año]]="",Fact_Control_Operaciones[[#This Row], 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 [Concepto Anterior]],Conceptos_Control_Operaciones[#All],5,0),"")</f>
        <v/>
      </c>
      <c r="F2739" t="str">
        <f>+IFERROR(VLOOKUP(Fact_Control_Operaciones[[#This Row], 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ht="18.75" customHeight="1" x14ac:dyDescent="0.35">
      <c r="C2740" s="100" t="str">
        <f>IF(OR(Fact_Control_Operaciones[[#This Row], [Año]]="",Fact_Control_Operaciones[[#This Row], 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 [Concepto Anterior]],Conceptos_Control_Operaciones[#All],5,0),"")</f>
        <v/>
      </c>
      <c r="F2740" t="str">
        <f>+IFERROR(VLOOKUP(Fact_Control_Operaciones[[#This Row], 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ht="18.75" customHeight="1" x14ac:dyDescent="0.35">
      <c r="C2741" s="100" t="str">
        <f>IF(OR(Fact_Control_Operaciones[[#This Row], [Año]]="",Fact_Control_Operaciones[[#This Row], 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 [Concepto Anterior]],Conceptos_Control_Operaciones[#All],5,0),"")</f>
        <v/>
      </c>
      <c r="F2741" t="str">
        <f>+IFERROR(VLOOKUP(Fact_Control_Operaciones[[#This Row], 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ht="18.75" customHeight="1" x14ac:dyDescent="0.35">
      <c r="C2742" s="100" t="str">
        <f>IF(OR(Fact_Control_Operaciones[[#This Row], [Año]]="",Fact_Control_Operaciones[[#This Row], 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 [Concepto Anterior]],Conceptos_Control_Operaciones[#All],5,0),"")</f>
        <v/>
      </c>
      <c r="F2742" t="str">
        <f>+IFERROR(VLOOKUP(Fact_Control_Operaciones[[#This Row], 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ht="18.75" customHeight="1" x14ac:dyDescent="0.35">
      <c r="C2743" s="100" t="str">
        <f>IF(OR(Fact_Control_Operaciones[[#This Row], [Año]]="",Fact_Control_Operaciones[[#This Row], 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 [Concepto Anterior]],Conceptos_Control_Operaciones[#All],5,0),"")</f>
        <v/>
      </c>
      <c r="F2743" t="str">
        <f>+IFERROR(VLOOKUP(Fact_Control_Operaciones[[#This Row], 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ht="18.75" customHeight="1" x14ac:dyDescent="0.35">
      <c r="C2744" s="100" t="str">
        <f>IF(OR(Fact_Control_Operaciones[[#This Row], [Año]]="",Fact_Control_Operaciones[[#This Row], 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 [Concepto Anterior]],Conceptos_Control_Operaciones[#All],5,0),"")</f>
        <v/>
      </c>
      <c r="F2744" t="str">
        <f>+IFERROR(VLOOKUP(Fact_Control_Operaciones[[#This Row], 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ht="18.75" customHeight="1" x14ac:dyDescent="0.35">
      <c r="C2745" s="100" t="str">
        <f>IF(OR(Fact_Control_Operaciones[[#This Row], [Año]]="",Fact_Control_Operaciones[[#This Row], 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 [Concepto Anterior]],Conceptos_Control_Operaciones[#All],5,0),"")</f>
        <v/>
      </c>
      <c r="F2745" t="str">
        <f>+IFERROR(VLOOKUP(Fact_Control_Operaciones[[#This Row], 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ht="18.75" customHeight="1" x14ac:dyDescent="0.35">
      <c r="C2746" s="100" t="str">
        <f>IF(OR(Fact_Control_Operaciones[[#This Row], [Año]]="",Fact_Control_Operaciones[[#This Row], 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 [Concepto Anterior]],Conceptos_Control_Operaciones[#All],5,0),"")</f>
        <v/>
      </c>
      <c r="F2746" t="str">
        <f>+IFERROR(VLOOKUP(Fact_Control_Operaciones[[#This Row], 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ht="18.75" customHeight="1" x14ac:dyDescent="0.35">
      <c r="C2747" s="100" t="str">
        <f>IF(OR(Fact_Control_Operaciones[[#This Row], [Año]]="",Fact_Control_Operaciones[[#This Row], 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 [Concepto Anterior]],Conceptos_Control_Operaciones[#All],5,0),"")</f>
        <v/>
      </c>
      <c r="F2747" t="str">
        <f>+IFERROR(VLOOKUP(Fact_Control_Operaciones[[#This Row], 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ht="18.75" customHeight="1" x14ac:dyDescent="0.35">
      <c r="C2748" s="100" t="str">
        <f>IF(OR(Fact_Control_Operaciones[[#This Row], [Año]]="",Fact_Control_Operaciones[[#This Row], 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 [Concepto Anterior]],Conceptos_Control_Operaciones[#All],5,0),"")</f>
        <v/>
      </c>
      <c r="F2748" t="str">
        <f>+IFERROR(VLOOKUP(Fact_Control_Operaciones[[#This Row], 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ht="18.75" customHeight="1" x14ac:dyDescent="0.35">
      <c r="C2749" s="100" t="str">
        <f>IF(OR(Fact_Control_Operaciones[[#This Row], [Año]]="",Fact_Control_Operaciones[[#This Row], 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 [Concepto Anterior]],Conceptos_Control_Operaciones[#All],5,0),"")</f>
        <v/>
      </c>
      <c r="F2749" t="str">
        <f>+IFERROR(VLOOKUP(Fact_Control_Operaciones[[#This Row], 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ht="18.75" customHeight="1" x14ac:dyDescent="0.35">
      <c r="C2750" s="100" t="str">
        <f>IF(OR(Fact_Control_Operaciones[[#This Row], [Año]]="",Fact_Control_Operaciones[[#This Row], 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 [Concepto Anterior]],Conceptos_Control_Operaciones[#All],5,0),"")</f>
        <v/>
      </c>
      <c r="F2750" t="str">
        <f>+IFERROR(VLOOKUP(Fact_Control_Operaciones[[#This Row], 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ht="18.75" customHeight="1" x14ac:dyDescent="0.35">
      <c r="C2751" s="100" t="str">
        <f>IF(OR(Fact_Control_Operaciones[[#This Row], [Año]]="",Fact_Control_Operaciones[[#This Row], 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 [Concepto Anterior]],Conceptos_Control_Operaciones[#All],5,0),"")</f>
        <v/>
      </c>
      <c r="F2751" t="str">
        <f>+IFERROR(VLOOKUP(Fact_Control_Operaciones[[#This Row], 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ht="18.75" customHeight="1" x14ac:dyDescent="0.35">
      <c r="C2752" s="100" t="str">
        <f>IF(OR(Fact_Control_Operaciones[[#This Row], [Año]]="",Fact_Control_Operaciones[[#This Row], 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 [Concepto Anterior]],Conceptos_Control_Operaciones[#All],5,0),"")</f>
        <v/>
      </c>
      <c r="F2752" t="str">
        <f>+IFERROR(VLOOKUP(Fact_Control_Operaciones[[#This Row], 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ht="18.75" customHeight="1" x14ac:dyDescent="0.35">
      <c r="C2753" s="100" t="str">
        <f>IF(OR(Fact_Control_Operaciones[[#This Row], [Año]]="",Fact_Control_Operaciones[[#This Row], 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 [Concepto Anterior]],Conceptos_Control_Operaciones[#All],5,0),"")</f>
        <v/>
      </c>
      <c r="F2753" t="str">
        <f>+IFERROR(VLOOKUP(Fact_Control_Operaciones[[#This Row], 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ht="18.75" customHeight="1" x14ac:dyDescent="0.35">
      <c r="C2754" s="100" t="str">
        <f>IF(OR(Fact_Control_Operaciones[[#This Row], [Año]]="",Fact_Control_Operaciones[[#This Row], 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 [Concepto Anterior]],Conceptos_Control_Operaciones[#All],5,0),"")</f>
        <v/>
      </c>
      <c r="F2754" t="str">
        <f>+IFERROR(VLOOKUP(Fact_Control_Operaciones[[#This Row], 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ht="18.75" customHeight="1" x14ac:dyDescent="0.35">
      <c r="C2755" s="100" t="str">
        <f>IF(OR(Fact_Control_Operaciones[[#This Row], [Año]]="",Fact_Control_Operaciones[[#This Row], 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 [Concepto Anterior]],Conceptos_Control_Operaciones[#All],5,0),"")</f>
        <v/>
      </c>
      <c r="F2755" t="str">
        <f>+IFERROR(VLOOKUP(Fact_Control_Operaciones[[#This Row], 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ht="18.75" customHeight="1" x14ac:dyDescent="0.35">
      <c r="C2756" s="100" t="str">
        <f>IF(OR(Fact_Control_Operaciones[[#This Row], [Año]]="",Fact_Control_Operaciones[[#This Row], 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 [Concepto Anterior]],Conceptos_Control_Operaciones[#All],5,0),"")</f>
        <v/>
      </c>
      <c r="F2756" t="str">
        <f>+IFERROR(VLOOKUP(Fact_Control_Operaciones[[#This Row], 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ht="18.75" customHeight="1" x14ac:dyDescent="0.35">
      <c r="C2757" s="100" t="str">
        <f>IF(OR(Fact_Control_Operaciones[[#This Row], [Año]]="",Fact_Control_Operaciones[[#This Row], 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 [Concepto Anterior]],Conceptos_Control_Operaciones[#All],5,0),"")</f>
        <v/>
      </c>
      <c r="F2757" t="str">
        <f>+IFERROR(VLOOKUP(Fact_Control_Operaciones[[#This Row], 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ht="18.75" customHeight="1" x14ac:dyDescent="0.35">
      <c r="C2758" s="100" t="str">
        <f>IF(OR(Fact_Control_Operaciones[[#This Row], [Año]]="",Fact_Control_Operaciones[[#This Row], 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 [Concepto Anterior]],Conceptos_Control_Operaciones[#All],5,0),"")</f>
        <v/>
      </c>
      <c r="F2758" t="str">
        <f>+IFERROR(VLOOKUP(Fact_Control_Operaciones[[#This Row], 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ht="18.75" customHeight="1" x14ac:dyDescent="0.35">
      <c r="C2759" s="100" t="str">
        <f>IF(OR(Fact_Control_Operaciones[[#This Row], [Año]]="",Fact_Control_Operaciones[[#This Row], 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 [Concepto Anterior]],Conceptos_Control_Operaciones[#All],5,0),"")</f>
        <v/>
      </c>
      <c r="F2759" t="str">
        <f>+IFERROR(VLOOKUP(Fact_Control_Operaciones[[#This Row], 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ht="18.75" customHeight="1" x14ac:dyDescent="0.35">
      <c r="C2760" s="100" t="str">
        <f>IF(OR(Fact_Control_Operaciones[[#This Row], [Año]]="",Fact_Control_Operaciones[[#This Row], 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 [Concepto Anterior]],Conceptos_Control_Operaciones[#All],5,0),"")</f>
        <v/>
      </c>
      <c r="F2760" t="str">
        <f>+IFERROR(VLOOKUP(Fact_Control_Operaciones[[#This Row], 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ht="18.75" customHeight="1" x14ac:dyDescent="0.35">
      <c r="C2761" s="100" t="str">
        <f>IF(OR(Fact_Control_Operaciones[[#This Row], [Año]]="",Fact_Control_Operaciones[[#This Row], 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 [Concepto Anterior]],Conceptos_Control_Operaciones[#All],5,0),"")</f>
        <v/>
      </c>
      <c r="F2761" t="str">
        <f>+IFERROR(VLOOKUP(Fact_Control_Operaciones[[#This Row], 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ht="18.75" customHeight="1" x14ac:dyDescent="0.35">
      <c r="C2762" s="100" t="str">
        <f>IF(OR(Fact_Control_Operaciones[[#This Row], [Año]]="",Fact_Control_Operaciones[[#This Row], 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 [Concepto Anterior]],Conceptos_Control_Operaciones[#All],5,0),"")</f>
        <v/>
      </c>
      <c r="F2762" t="str">
        <f>+IFERROR(VLOOKUP(Fact_Control_Operaciones[[#This Row], 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ht="18.75" customHeight="1" x14ac:dyDescent="0.35">
      <c r="C2763" s="100" t="str">
        <f>IF(OR(Fact_Control_Operaciones[[#This Row], [Año]]="",Fact_Control_Operaciones[[#This Row], 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 [Concepto Anterior]],Conceptos_Control_Operaciones[#All],5,0),"")</f>
        <v/>
      </c>
      <c r="F2763" t="str">
        <f>+IFERROR(VLOOKUP(Fact_Control_Operaciones[[#This Row], 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ht="18.75" customHeight="1" x14ac:dyDescent="0.35">
      <c r="C2764" s="100" t="str">
        <f>IF(OR(Fact_Control_Operaciones[[#This Row], [Año]]="",Fact_Control_Operaciones[[#This Row], 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 [Concepto Anterior]],Conceptos_Control_Operaciones[#All],5,0),"")</f>
        <v/>
      </c>
      <c r="F2764" t="str">
        <f>+IFERROR(VLOOKUP(Fact_Control_Operaciones[[#This Row], 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ht="18.75" customHeight="1" x14ac:dyDescent="0.35">
      <c r="C2765" s="100" t="str">
        <f>IF(OR(Fact_Control_Operaciones[[#This Row], [Año]]="",Fact_Control_Operaciones[[#This Row], 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 [Concepto Anterior]],Conceptos_Control_Operaciones[#All],5,0),"")</f>
        <v/>
      </c>
      <c r="F2765" t="str">
        <f>+IFERROR(VLOOKUP(Fact_Control_Operaciones[[#This Row], 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ht="18.75" customHeight="1" x14ac:dyDescent="0.35">
      <c r="C2766" s="100" t="str">
        <f>IF(OR(Fact_Control_Operaciones[[#This Row], [Año]]="",Fact_Control_Operaciones[[#This Row], 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 [Concepto Anterior]],Conceptos_Control_Operaciones[#All],5,0),"")</f>
        <v/>
      </c>
      <c r="F2766" t="str">
        <f>+IFERROR(VLOOKUP(Fact_Control_Operaciones[[#This Row], 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ht="18.75" customHeight="1" x14ac:dyDescent="0.35">
      <c r="C2767" s="100" t="str">
        <f>IF(OR(Fact_Control_Operaciones[[#This Row], [Año]]="",Fact_Control_Operaciones[[#This Row], 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 [Concepto Anterior]],Conceptos_Control_Operaciones[#All],5,0),"")</f>
        <v/>
      </c>
      <c r="F2767" t="str">
        <f>+IFERROR(VLOOKUP(Fact_Control_Operaciones[[#This Row], 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ht="18.75" customHeight="1" x14ac:dyDescent="0.35">
      <c r="C2768" s="100" t="str">
        <f>IF(OR(Fact_Control_Operaciones[[#This Row], [Año]]="",Fact_Control_Operaciones[[#This Row], 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 [Concepto Anterior]],Conceptos_Control_Operaciones[#All],5,0),"")</f>
        <v/>
      </c>
      <c r="F2768" t="str">
        <f>+IFERROR(VLOOKUP(Fact_Control_Operaciones[[#This Row], 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ht="18.75" customHeight="1" x14ac:dyDescent="0.35">
      <c r="C2769" s="100" t="str">
        <f>IF(OR(Fact_Control_Operaciones[[#This Row], [Año]]="",Fact_Control_Operaciones[[#This Row], 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 [Concepto Anterior]],Conceptos_Control_Operaciones[#All],5,0),"")</f>
        <v/>
      </c>
      <c r="F2769" t="str">
        <f>+IFERROR(VLOOKUP(Fact_Control_Operaciones[[#This Row], 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ht="18.75" customHeight="1" x14ac:dyDescent="0.35">
      <c r="C2770" s="100" t="str">
        <f>IF(OR(Fact_Control_Operaciones[[#This Row], [Año]]="",Fact_Control_Operaciones[[#This Row], 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 [Concepto Anterior]],Conceptos_Control_Operaciones[#All],5,0),"")</f>
        <v/>
      </c>
      <c r="F2770" t="str">
        <f>+IFERROR(VLOOKUP(Fact_Control_Operaciones[[#This Row], 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ht="18.75" customHeight="1" x14ac:dyDescent="0.35">
      <c r="C2771" s="100" t="str">
        <f>IF(OR(Fact_Control_Operaciones[[#This Row], [Año]]="",Fact_Control_Operaciones[[#This Row], 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 [Concepto Anterior]],Conceptos_Control_Operaciones[#All],5,0),"")</f>
        <v/>
      </c>
      <c r="F2771" t="str">
        <f>+IFERROR(VLOOKUP(Fact_Control_Operaciones[[#This Row], 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ht="18.75" customHeight="1" x14ac:dyDescent="0.35">
      <c r="C2772" s="100" t="str">
        <f>IF(OR(Fact_Control_Operaciones[[#This Row], [Año]]="",Fact_Control_Operaciones[[#This Row], 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 [Concepto Anterior]],Conceptos_Control_Operaciones[#All],5,0),"")</f>
        <v/>
      </c>
      <c r="F2772" t="str">
        <f>+IFERROR(VLOOKUP(Fact_Control_Operaciones[[#This Row], 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ht="18.75" customHeight="1" x14ac:dyDescent="0.35">
      <c r="C2773" s="100" t="str">
        <f>IF(OR(Fact_Control_Operaciones[[#This Row], [Año]]="",Fact_Control_Operaciones[[#This Row], 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 [Concepto Anterior]],Conceptos_Control_Operaciones[#All],5,0),"")</f>
        <v/>
      </c>
      <c r="F2773" t="str">
        <f>+IFERROR(VLOOKUP(Fact_Control_Operaciones[[#This Row], 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ht="18.75" customHeight="1" x14ac:dyDescent="0.35">
      <c r="C2774" s="100" t="str">
        <f>IF(OR(Fact_Control_Operaciones[[#This Row], [Año]]="",Fact_Control_Operaciones[[#This Row], 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 [Concepto Anterior]],Conceptos_Control_Operaciones[#All],5,0),"")</f>
        <v/>
      </c>
      <c r="F2774" t="str">
        <f>+IFERROR(VLOOKUP(Fact_Control_Operaciones[[#This Row], 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ht="18.75" customHeight="1" x14ac:dyDescent="0.35">
      <c r="C2775" s="100" t="str">
        <f>IF(OR(Fact_Control_Operaciones[[#This Row], [Año]]="",Fact_Control_Operaciones[[#This Row], 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 [Concepto Anterior]],Conceptos_Control_Operaciones[#All],5,0),"")</f>
        <v/>
      </c>
      <c r="F2775" t="str">
        <f>+IFERROR(VLOOKUP(Fact_Control_Operaciones[[#This Row], 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ht="18.75" customHeight="1" x14ac:dyDescent="0.35">
      <c r="C2776" s="100" t="str">
        <f>IF(OR(Fact_Control_Operaciones[[#This Row], [Año]]="",Fact_Control_Operaciones[[#This Row], 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 [Concepto Anterior]],Conceptos_Control_Operaciones[#All],5,0),"")</f>
        <v/>
      </c>
      <c r="F2776" t="str">
        <f>+IFERROR(VLOOKUP(Fact_Control_Operaciones[[#This Row], 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ht="18.75" customHeight="1" x14ac:dyDescent="0.35">
      <c r="C2777" s="100" t="str">
        <f>IF(OR(Fact_Control_Operaciones[[#This Row], [Año]]="",Fact_Control_Operaciones[[#This Row], 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 [Concepto Anterior]],Conceptos_Control_Operaciones[#All],5,0),"")</f>
        <v/>
      </c>
      <c r="F2777" t="str">
        <f>+IFERROR(VLOOKUP(Fact_Control_Operaciones[[#This Row], 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ht="18.75" customHeight="1" x14ac:dyDescent="0.35">
      <c r="C2778" s="100" t="str">
        <f>IF(OR(Fact_Control_Operaciones[[#This Row], [Año]]="",Fact_Control_Operaciones[[#This Row], 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 [Concepto Anterior]],Conceptos_Control_Operaciones[#All],5,0),"")</f>
        <v/>
      </c>
      <c r="F2778" t="str">
        <f>+IFERROR(VLOOKUP(Fact_Control_Operaciones[[#This Row], 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ht="18.75" customHeight="1" x14ac:dyDescent="0.35">
      <c r="C2779" s="100" t="str">
        <f>IF(OR(Fact_Control_Operaciones[[#This Row], [Año]]="",Fact_Control_Operaciones[[#This Row], 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 [Concepto Anterior]],Conceptos_Control_Operaciones[#All],5,0),"")</f>
        <v/>
      </c>
      <c r="F2779" t="str">
        <f>+IFERROR(VLOOKUP(Fact_Control_Operaciones[[#This Row], 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ht="18.75" customHeight="1" x14ac:dyDescent="0.35">
      <c r="C2780" s="100" t="str">
        <f>IF(OR(Fact_Control_Operaciones[[#This Row], [Año]]="",Fact_Control_Operaciones[[#This Row], 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 [Concepto Anterior]],Conceptos_Control_Operaciones[#All],5,0),"")</f>
        <v/>
      </c>
      <c r="F2780" t="str">
        <f>+IFERROR(VLOOKUP(Fact_Control_Operaciones[[#This Row], 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ht="18.75" customHeight="1" x14ac:dyDescent="0.35">
      <c r="C2781" s="100" t="str">
        <f>IF(OR(Fact_Control_Operaciones[[#This Row], [Año]]="",Fact_Control_Operaciones[[#This Row], 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 [Concepto Anterior]],Conceptos_Control_Operaciones[#All],5,0),"")</f>
        <v/>
      </c>
      <c r="F2781" t="str">
        <f>+IFERROR(VLOOKUP(Fact_Control_Operaciones[[#This Row], 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ht="18.75" customHeight="1" x14ac:dyDescent="0.35">
      <c r="C2782" s="100" t="str">
        <f>IF(OR(Fact_Control_Operaciones[[#This Row], [Año]]="",Fact_Control_Operaciones[[#This Row], 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 [Concepto Anterior]],Conceptos_Control_Operaciones[#All],5,0),"")</f>
        <v/>
      </c>
      <c r="F2782" t="str">
        <f>+IFERROR(VLOOKUP(Fact_Control_Operaciones[[#This Row], 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ht="18.75" customHeight="1" x14ac:dyDescent="0.35">
      <c r="C2783" s="100" t="str">
        <f>IF(OR(Fact_Control_Operaciones[[#This Row], [Año]]="",Fact_Control_Operaciones[[#This Row], 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 [Concepto Anterior]],Conceptos_Control_Operaciones[#All],5,0),"")</f>
        <v/>
      </c>
      <c r="F2783" t="str">
        <f>+IFERROR(VLOOKUP(Fact_Control_Operaciones[[#This Row], 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ht="18.75" customHeight="1" x14ac:dyDescent="0.35">
      <c r="C2784" s="100" t="str">
        <f>IF(OR(Fact_Control_Operaciones[[#This Row], [Año]]="",Fact_Control_Operaciones[[#This Row], 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 [Concepto Anterior]],Conceptos_Control_Operaciones[#All],5,0),"")</f>
        <v/>
      </c>
      <c r="F2784" t="str">
        <f>+IFERROR(VLOOKUP(Fact_Control_Operaciones[[#This Row], 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ht="18.75" customHeight="1" x14ac:dyDescent="0.35">
      <c r="C2785" s="100" t="str">
        <f>IF(OR(Fact_Control_Operaciones[[#This Row], [Año]]="",Fact_Control_Operaciones[[#This Row], 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 [Concepto Anterior]],Conceptos_Control_Operaciones[#All],5,0),"")</f>
        <v/>
      </c>
      <c r="F2785" t="str">
        <f>+IFERROR(VLOOKUP(Fact_Control_Operaciones[[#This Row], 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ht="18.75" customHeight="1" x14ac:dyDescent="0.35">
      <c r="C2786" s="100" t="str">
        <f>IF(OR(Fact_Control_Operaciones[[#This Row], [Año]]="",Fact_Control_Operaciones[[#This Row], 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 [Concepto Anterior]],Conceptos_Control_Operaciones[#All],5,0),"")</f>
        <v/>
      </c>
      <c r="F2786" t="str">
        <f>+IFERROR(VLOOKUP(Fact_Control_Operaciones[[#This Row], 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ht="18.75" customHeight="1" x14ac:dyDescent="0.35">
      <c r="C2787" s="100" t="str">
        <f>IF(OR(Fact_Control_Operaciones[[#This Row], [Año]]="",Fact_Control_Operaciones[[#This Row], 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 [Concepto Anterior]],Conceptos_Control_Operaciones[#All],5,0),"")</f>
        <v/>
      </c>
      <c r="F2787" t="str">
        <f>+IFERROR(VLOOKUP(Fact_Control_Operaciones[[#This Row], 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ht="18.75" customHeight="1" x14ac:dyDescent="0.35">
      <c r="C2788" s="100" t="str">
        <f>IF(OR(Fact_Control_Operaciones[[#This Row], [Año]]="",Fact_Control_Operaciones[[#This Row], 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 [Concepto Anterior]],Conceptos_Control_Operaciones[#All],5,0),"")</f>
        <v/>
      </c>
      <c r="F2788" t="str">
        <f>+IFERROR(VLOOKUP(Fact_Control_Operaciones[[#This Row], 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ht="18.75" customHeight="1" x14ac:dyDescent="0.35">
      <c r="C2789" s="100" t="str">
        <f>IF(OR(Fact_Control_Operaciones[[#This Row], [Año]]="",Fact_Control_Operaciones[[#This Row], 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 [Concepto Anterior]],Conceptos_Control_Operaciones[#All],5,0),"")</f>
        <v/>
      </c>
      <c r="F2789" t="str">
        <f>+IFERROR(VLOOKUP(Fact_Control_Operaciones[[#This Row], 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ht="18.75" customHeight="1" x14ac:dyDescent="0.35">
      <c r="C2790" s="100" t="str">
        <f>IF(OR(Fact_Control_Operaciones[[#This Row], [Año]]="",Fact_Control_Operaciones[[#This Row], 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 [Concepto Anterior]],Conceptos_Control_Operaciones[#All],5,0),"")</f>
        <v/>
      </c>
      <c r="F2790" t="str">
        <f>+IFERROR(VLOOKUP(Fact_Control_Operaciones[[#This Row], 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ht="18.75" customHeight="1" x14ac:dyDescent="0.35">
      <c r="C2791" s="100" t="str">
        <f>IF(OR(Fact_Control_Operaciones[[#This Row], [Año]]="",Fact_Control_Operaciones[[#This Row], 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 [Concepto Anterior]],Conceptos_Control_Operaciones[#All],5,0),"")</f>
        <v/>
      </c>
      <c r="F2791" t="str">
        <f>+IFERROR(VLOOKUP(Fact_Control_Operaciones[[#This Row], 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ht="18.75" customHeight="1" x14ac:dyDescent="0.35">
      <c r="C2792" s="100" t="str">
        <f>IF(OR(Fact_Control_Operaciones[[#This Row], [Año]]="",Fact_Control_Operaciones[[#This Row], 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 [Concepto Anterior]],Conceptos_Control_Operaciones[#All],5,0),"")</f>
        <v/>
      </c>
      <c r="F2792" t="str">
        <f>+IFERROR(VLOOKUP(Fact_Control_Operaciones[[#This Row], 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ht="18.75" customHeight="1" x14ac:dyDescent="0.35">
      <c r="C2793" s="100" t="str">
        <f>IF(OR(Fact_Control_Operaciones[[#This Row], [Año]]="",Fact_Control_Operaciones[[#This Row], 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 [Concepto Anterior]],Conceptos_Control_Operaciones[#All],5,0),"")</f>
        <v/>
      </c>
      <c r="F2793" t="str">
        <f>+IFERROR(VLOOKUP(Fact_Control_Operaciones[[#This Row], 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ht="18.75" customHeight="1" x14ac:dyDescent="0.35">
      <c r="C2794" s="100" t="str">
        <f>IF(OR(Fact_Control_Operaciones[[#This Row], [Año]]="",Fact_Control_Operaciones[[#This Row], 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 [Concepto Anterior]],Conceptos_Control_Operaciones[#All],5,0),"")</f>
        <v/>
      </c>
      <c r="F2794" t="str">
        <f>+IFERROR(VLOOKUP(Fact_Control_Operaciones[[#This Row], 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ht="18.75" customHeight="1" x14ac:dyDescent="0.35">
      <c r="C2795" s="100" t="str">
        <f>IF(OR(Fact_Control_Operaciones[[#This Row], [Año]]="",Fact_Control_Operaciones[[#This Row], 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 [Concepto Anterior]],Conceptos_Control_Operaciones[#All],5,0),"")</f>
        <v/>
      </c>
      <c r="F2795" t="str">
        <f>+IFERROR(VLOOKUP(Fact_Control_Operaciones[[#This Row], 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ht="18.75" customHeight="1" x14ac:dyDescent="0.35">
      <c r="C2796" s="100" t="str">
        <f>IF(OR(Fact_Control_Operaciones[[#This Row], [Año]]="",Fact_Control_Operaciones[[#This Row], 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 [Concepto Anterior]],Conceptos_Control_Operaciones[#All],5,0),"")</f>
        <v/>
      </c>
      <c r="F2796" t="str">
        <f>+IFERROR(VLOOKUP(Fact_Control_Operaciones[[#This Row], 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ht="18.75" customHeight="1" x14ac:dyDescent="0.35">
      <c r="C2797" s="100" t="str">
        <f>IF(OR(Fact_Control_Operaciones[[#This Row], [Año]]="",Fact_Control_Operaciones[[#This Row], 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 [Concepto Anterior]],Conceptos_Control_Operaciones[#All],5,0),"")</f>
        <v/>
      </c>
      <c r="F2797" t="str">
        <f>+IFERROR(VLOOKUP(Fact_Control_Operaciones[[#This Row], 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ht="18.75" customHeight="1" x14ac:dyDescent="0.35">
      <c r="C2798" s="100" t="str">
        <f>IF(OR(Fact_Control_Operaciones[[#This Row], [Año]]="",Fact_Control_Operaciones[[#This Row], 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 [Concepto Anterior]],Conceptos_Control_Operaciones[#All],5,0),"")</f>
        <v/>
      </c>
      <c r="F2798" t="str">
        <f>+IFERROR(VLOOKUP(Fact_Control_Operaciones[[#This Row], 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ht="18.75" customHeight="1" x14ac:dyDescent="0.35">
      <c r="C2799" s="100" t="str">
        <f>IF(OR(Fact_Control_Operaciones[[#This Row], [Año]]="",Fact_Control_Operaciones[[#This Row], 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 [Concepto Anterior]],Conceptos_Control_Operaciones[#All],5,0),"")</f>
        <v/>
      </c>
      <c r="F2799" t="str">
        <f>+IFERROR(VLOOKUP(Fact_Control_Operaciones[[#This Row], 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ht="18.75" customHeight="1" x14ac:dyDescent="0.35">
      <c r="C2800" s="100" t="str">
        <f>IF(OR(Fact_Control_Operaciones[[#This Row], [Año]]="",Fact_Control_Operaciones[[#This Row], 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 [Concepto Anterior]],Conceptos_Control_Operaciones[#All],5,0),"")</f>
        <v/>
      </c>
      <c r="F2800" t="str">
        <f>+IFERROR(VLOOKUP(Fact_Control_Operaciones[[#This Row], 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ht="18.75" customHeight="1" x14ac:dyDescent="0.35">
      <c r="C2801" s="100" t="str">
        <f>IF(OR(Fact_Control_Operaciones[[#This Row], [Año]]="",Fact_Control_Operaciones[[#This Row], 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 [Concepto Anterior]],Conceptos_Control_Operaciones[#All],5,0),"")</f>
        <v/>
      </c>
      <c r="F2801" t="str">
        <f>+IFERROR(VLOOKUP(Fact_Control_Operaciones[[#This Row], 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ht="18.75" customHeight="1" x14ac:dyDescent="0.35">
      <c r="C2802" s="100" t="str">
        <f>IF(OR(Fact_Control_Operaciones[[#This Row], [Año]]="",Fact_Control_Operaciones[[#This Row], 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 [Concepto Anterior]],Conceptos_Control_Operaciones[#All],5,0),"")</f>
        <v/>
      </c>
      <c r="F2802" t="str">
        <f>+IFERROR(VLOOKUP(Fact_Control_Operaciones[[#This Row], 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ht="18.75" customHeight="1" x14ac:dyDescent="0.35">
      <c r="C2803" s="100" t="str">
        <f>IF(OR(Fact_Control_Operaciones[[#This Row], [Año]]="",Fact_Control_Operaciones[[#This Row], 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 [Concepto Anterior]],Conceptos_Control_Operaciones[#All],5,0),"")</f>
        <v/>
      </c>
      <c r="F2803" t="str">
        <f>+IFERROR(VLOOKUP(Fact_Control_Operaciones[[#This Row], 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ht="18.75" customHeight="1" x14ac:dyDescent="0.35">
      <c r="C2804" s="100" t="str">
        <f>IF(OR(Fact_Control_Operaciones[[#This Row], [Año]]="",Fact_Control_Operaciones[[#This Row], 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 [Concepto Anterior]],Conceptos_Control_Operaciones[#All],5,0),"")</f>
        <v/>
      </c>
      <c r="F2804" t="str">
        <f>+IFERROR(VLOOKUP(Fact_Control_Operaciones[[#This Row], 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ht="18.75" customHeight="1" x14ac:dyDescent="0.35">
      <c r="C2805" s="100" t="str">
        <f>IF(OR(Fact_Control_Operaciones[[#This Row], [Año]]="",Fact_Control_Operaciones[[#This Row], 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 [Concepto Anterior]],Conceptos_Control_Operaciones[#All],5,0),"")</f>
        <v/>
      </c>
      <c r="F2805" t="str">
        <f>+IFERROR(VLOOKUP(Fact_Control_Operaciones[[#This Row], 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ht="18.75" customHeight="1" x14ac:dyDescent="0.35">
      <c r="C2806" s="100" t="str">
        <f>IF(OR(Fact_Control_Operaciones[[#This Row], [Año]]="",Fact_Control_Operaciones[[#This Row], 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 [Concepto Anterior]],Conceptos_Control_Operaciones[#All],5,0),"")</f>
        <v/>
      </c>
      <c r="F2806" t="str">
        <f>+IFERROR(VLOOKUP(Fact_Control_Operaciones[[#This Row], 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ht="18.75" customHeight="1" x14ac:dyDescent="0.35">
      <c r="C2807" s="100" t="str">
        <f>IF(OR(Fact_Control_Operaciones[[#This Row], [Año]]="",Fact_Control_Operaciones[[#This Row], 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 [Concepto Anterior]],Conceptos_Control_Operaciones[#All],5,0),"")</f>
        <v/>
      </c>
      <c r="F2807" t="str">
        <f>+IFERROR(VLOOKUP(Fact_Control_Operaciones[[#This Row], 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ht="18.75" customHeight="1" x14ac:dyDescent="0.35">
      <c r="C2808" s="100" t="str">
        <f>IF(OR(Fact_Control_Operaciones[[#This Row], [Año]]="",Fact_Control_Operaciones[[#This Row], 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 [Concepto Anterior]],Conceptos_Control_Operaciones[#All],5,0),"")</f>
        <v/>
      </c>
      <c r="F2808" t="str">
        <f>+IFERROR(VLOOKUP(Fact_Control_Operaciones[[#This Row], 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ht="18.75" customHeight="1" x14ac:dyDescent="0.35">
      <c r="C2809" s="100" t="str">
        <f>IF(OR(Fact_Control_Operaciones[[#This Row], [Año]]="",Fact_Control_Operaciones[[#This Row], 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 [Concepto Anterior]],Conceptos_Control_Operaciones[#All],5,0),"")</f>
        <v/>
      </c>
      <c r="F2809" t="str">
        <f>+IFERROR(VLOOKUP(Fact_Control_Operaciones[[#This Row], 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ht="18.75" customHeight="1" x14ac:dyDescent="0.35">
      <c r="C2810" s="100" t="str">
        <f>IF(OR(Fact_Control_Operaciones[[#This Row], [Año]]="",Fact_Control_Operaciones[[#This Row], 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 [Concepto Anterior]],Conceptos_Control_Operaciones[#All],5,0),"")</f>
        <v/>
      </c>
      <c r="F2810" t="str">
        <f>+IFERROR(VLOOKUP(Fact_Control_Operaciones[[#This Row], 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ht="18.75" customHeight="1" x14ac:dyDescent="0.35">
      <c r="C2811" s="100" t="str">
        <f>IF(OR(Fact_Control_Operaciones[[#This Row], [Año]]="",Fact_Control_Operaciones[[#This Row], 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 [Concepto Anterior]],Conceptos_Control_Operaciones[#All],5,0),"")</f>
        <v/>
      </c>
      <c r="F2811" t="str">
        <f>+IFERROR(VLOOKUP(Fact_Control_Operaciones[[#This Row], 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ht="18.75" customHeight="1" x14ac:dyDescent="0.35">
      <c r="C2812" s="100" t="str">
        <f>IF(OR(Fact_Control_Operaciones[[#This Row], [Año]]="",Fact_Control_Operaciones[[#This Row], 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 [Concepto Anterior]],Conceptos_Control_Operaciones[#All],5,0),"")</f>
        <v/>
      </c>
      <c r="F2812" t="str">
        <f>+IFERROR(VLOOKUP(Fact_Control_Operaciones[[#This Row], 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ht="18.75" customHeight="1" x14ac:dyDescent="0.35">
      <c r="C2813" s="100" t="str">
        <f>IF(OR(Fact_Control_Operaciones[[#This Row], [Año]]="",Fact_Control_Operaciones[[#This Row], 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 [Concepto Anterior]],Conceptos_Control_Operaciones[#All],5,0),"")</f>
        <v/>
      </c>
      <c r="F2813" t="str">
        <f>+IFERROR(VLOOKUP(Fact_Control_Operaciones[[#This Row], 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ht="18.75" customHeight="1" x14ac:dyDescent="0.35">
      <c r="C2814" s="100" t="str">
        <f>IF(OR(Fact_Control_Operaciones[[#This Row], [Año]]="",Fact_Control_Operaciones[[#This Row], 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 [Concepto Anterior]],Conceptos_Control_Operaciones[#All],5,0),"")</f>
        <v/>
      </c>
      <c r="F2814" t="str">
        <f>+IFERROR(VLOOKUP(Fact_Control_Operaciones[[#This Row], 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ht="18.75" customHeight="1" x14ac:dyDescent="0.35">
      <c r="C2815" s="100" t="str">
        <f>IF(OR(Fact_Control_Operaciones[[#This Row], [Año]]="",Fact_Control_Operaciones[[#This Row], 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 [Concepto Anterior]],Conceptos_Control_Operaciones[#All],5,0),"")</f>
        <v/>
      </c>
      <c r="F2815" t="str">
        <f>+IFERROR(VLOOKUP(Fact_Control_Operaciones[[#This Row], 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ht="18.75" customHeight="1" x14ac:dyDescent="0.35">
      <c r="C2816" s="100" t="str">
        <f>IF(OR(Fact_Control_Operaciones[[#This Row], [Año]]="",Fact_Control_Operaciones[[#This Row], 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 [Concepto Anterior]],Conceptos_Control_Operaciones[#All],5,0),"")</f>
        <v/>
      </c>
      <c r="F2816" t="str">
        <f>+IFERROR(VLOOKUP(Fact_Control_Operaciones[[#This Row], 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ht="18.75" customHeight="1" x14ac:dyDescent="0.35">
      <c r="C2817" s="100" t="str">
        <f>IF(OR(Fact_Control_Operaciones[[#This Row], [Año]]="",Fact_Control_Operaciones[[#This Row], 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 [Concepto Anterior]],Conceptos_Control_Operaciones[#All],5,0),"")</f>
        <v/>
      </c>
      <c r="F2817" t="str">
        <f>+IFERROR(VLOOKUP(Fact_Control_Operaciones[[#This Row], 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ht="18.75" customHeight="1" x14ac:dyDescent="0.35">
      <c r="C2818" s="100" t="str">
        <f>IF(OR(Fact_Control_Operaciones[[#This Row], [Año]]="",Fact_Control_Operaciones[[#This Row], 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 [Concepto Anterior]],Conceptos_Control_Operaciones[#All],5,0),"")</f>
        <v/>
      </c>
      <c r="F2818" t="str">
        <f>+IFERROR(VLOOKUP(Fact_Control_Operaciones[[#This Row], 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ht="18.75" customHeight="1" x14ac:dyDescent="0.35">
      <c r="C2819" s="100" t="str">
        <f>IF(OR(Fact_Control_Operaciones[[#This Row], [Año]]="",Fact_Control_Operaciones[[#This Row], 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 [Concepto Anterior]],Conceptos_Control_Operaciones[#All],5,0),"")</f>
        <v/>
      </c>
      <c r="F2819" t="str">
        <f>+IFERROR(VLOOKUP(Fact_Control_Operaciones[[#This Row], 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ht="18.75" customHeight="1" x14ac:dyDescent="0.35">
      <c r="C2820" s="100" t="str">
        <f>IF(OR(Fact_Control_Operaciones[[#This Row], [Año]]="",Fact_Control_Operaciones[[#This Row], 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 [Concepto Anterior]],Conceptos_Control_Operaciones[#All],5,0),"")</f>
        <v/>
      </c>
      <c r="F2820" t="str">
        <f>+IFERROR(VLOOKUP(Fact_Control_Operaciones[[#This Row], 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ht="18.75" customHeight="1" x14ac:dyDescent="0.35">
      <c r="C2821" s="100" t="str">
        <f>IF(OR(Fact_Control_Operaciones[[#This Row], [Año]]="",Fact_Control_Operaciones[[#This Row], 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 [Concepto Anterior]],Conceptos_Control_Operaciones[#All],5,0),"")</f>
        <v/>
      </c>
      <c r="F2821" t="str">
        <f>+IFERROR(VLOOKUP(Fact_Control_Operaciones[[#This Row], 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ht="18.75" customHeight="1" x14ac:dyDescent="0.35">
      <c r="C2822" s="100" t="str">
        <f>IF(OR(Fact_Control_Operaciones[[#This Row], [Año]]="",Fact_Control_Operaciones[[#This Row], 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 [Concepto Anterior]],Conceptos_Control_Operaciones[#All],5,0),"")</f>
        <v/>
      </c>
      <c r="F2822" t="str">
        <f>+IFERROR(VLOOKUP(Fact_Control_Operaciones[[#This Row], 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ht="18.75" customHeight="1" x14ac:dyDescent="0.35">
      <c r="C2823" s="100" t="str">
        <f>IF(OR(Fact_Control_Operaciones[[#This Row], [Año]]="",Fact_Control_Operaciones[[#This Row], 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 [Concepto Anterior]],Conceptos_Control_Operaciones[#All],5,0),"")</f>
        <v/>
      </c>
      <c r="F2823" t="str">
        <f>+IFERROR(VLOOKUP(Fact_Control_Operaciones[[#This Row], 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ht="18.75" customHeight="1" x14ac:dyDescent="0.35">
      <c r="C2824" s="100" t="str">
        <f>IF(OR(Fact_Control_Operaciones[[#This Row], [Año]]="",Fact_Control_Operaciones[[#This Row], 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 [Concepto Anterior]],Conceptos_Control_Operaciones[#All],5,0),"")</f>
        <v/>
      </c>
      <c r="F2824" t="str">
        <f>+IFERROR(VLOOKUP(Fact_Control_Operaciones[[#This Row], 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ht="18.75" customHeight="1" x14ac:dyDescent="0.35">
      <c r="C2825" s="100" t="str">
        <f>IF(OR(Fact_Control_Operaciones[[#This Row], [Año]]="",Fact_Control_Operaciones[[#This Row], 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 [Concepto Anterior]],Conceptos_Control_Operaciones[#All],5,0),"")</f>
        <v/>
      </c>
      <c r="F2825" t="str">
        <f>+IFERROR(VLOOKUP(Fact_Control_Operaciones[[#This Row], 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ht="18.75" customHeight="1" x14ac:dyDescent="0.35">
      <c r="C2826" s="100" t="str">
        <f>IF(OR(Fact_Control_Operaciones[[#This Row], [Año]]="",Fact_Control_Operaciones[[#This Row], 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 [Concepto Anterior]],Conceptos_Control_Operaciones[#All],5,0),"")</f>
        <v/>
      </c>
      <c r="F2826" t="str">
        <f>+IFERROR(VLOOKUP(Fact_Control_Operaciones[[#This Row], 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ht="18.75" customHeight="1" x14ac:dyDescent="0.35">
      <c r="C2827" s="100" t="str">
        <f>IF(OR(Fact_Control_Operaciones[[#This Row], [Año]]="",Fact_Control_Operaciones[[#This Row], 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 [Concepto Anterior]],Conceptos_Control_Operaciones[#All],5,0),"")</f>
        <v/>
      </c>
      <c r="F2827" t="str">
        <f>+IFERROR(VLOOKUP(Fact_Control_Operaciones[[#This Row], 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ht="18.75" customHeight="1" x14ac:dyDescent="0.35">
      <c r="C2828" s="100" t="str">
        <f>IF(OR(Fact_Control_Operaciones[[#This Row], [Año]]="",Fact_Control_Operaciones[[#This Row], 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 [Concepto Anterior]],Conceptos_Control_Operaciones[#All],5,0),"")</f>
        <v/>
      </c>
      <c r="F2828" t="str">
        <f>+IFERROR(VLOOKUP(Fact_Control_Operaciones[[#This Row], 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ht="18.75" customHeight="1" x14ac:dyDescent="0.35">
      <c r="C2829" s="100" t="str">
        <f>IF(OR(Fact_Control_Operaciones[[#This Row], [Año]]="",Fact_Control_Operaciones[[#This Row], 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 [Concepto Anterior]],Conceptos_Control_Operaciones[#All],5,0),"")</f>
        <v/>
      </c>
      <c r="F2829" t="str">
        <f>+IFERROR(VLOOKUP(Fact_Control_Operaciones[[#This Row], 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ht="18.75" customHeight="1" x14ac:dyDescent="0.35">
      <c r="C2830" s="100" t="str">
        <f>IF(OR(Fact_Control_Operaciones[[#This Row], [Año]]="",Fact_Control_Operaciones[[#This Row], 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 [Concepto Anterior]],Conceptos_Control_Operaciones[#All],5,0),"")</f>
        <v/>
      </c>
      <c r="F2830" t="str">
        <f>+IFERROR(VLOOKUP(Fact_Control_Operaciones[[#This Row], 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ht="18.75" customHeight="1" x14ac:dyDescent="0.35">
      <c r="C2831" s="100" t="str">
        <f>IF(OR(Fact_Control_Operaciones[[#This Row], [Año]]="",Fact_Control_Operaciones[[#This Row], 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 [Concepto Anterior]],Conceptos_Control_Operaciones[#All],5,0),"")</f>
        <v/>
      </c>
      <c r="F2831" t="str">
        <f>+IFERROR(VLOOKUP(Fact_Control_Operaciones[[#This Row], 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ht="18.75" customHeight="1" x14ac:dyDescent="0.35">
      <c r="C2832" s="100" t="str">
        <f>IF(OR(Fact_Control_Operaciones[[#This Row], [Año]]="",Fact_Control_Operaciones[[#This Row], 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 [Concepto Anterior]],Conceptos_Control_Operaciones[#All],5,0),"")</f>
        <v/>
      </c>
      <c r="F2832" t="str">
        <f>+IFERROR(VLOOKUP(Fact_Control_Operaciones[[#This Row], 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ht="18.75" customHeight="1" x14ac:dyDescent="0.35">
      <c r="C2833" s="100" t="str">
        <f>IF(OR(Fact_Control_Operaciones[[#This Row], [Año]]="",Fact_Control_Operaciones[[#This Row], 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 [Concepto Anterior]],Conceptos_Control_Operaciones[#All],5,0),"")</f>
        <v/>
      </c>
      <c r="F2833" t="str">
        <f>+IFERROR(VLOOKUP(Fact_Control_Operaciones[[#This Row], 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ht="18.75" customHeight="1" x14ac:dyDescent="0.35">
      <c r="C2834" s="100" t="str">
        <f>IF(OR(Fact_Control_Operaciones[[#This Row], [Año]]="",Fact_Control_Operaciones[[#This Row], 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 [Concepto Anterior]],Conceptos_Control_Operaciones[#All],5,0),"")</f>
        <v/>
      </c>
      <c r="F2834" t="str">
        <f>+IFERROR(VLOOKUP(Fact_Control_Operaciones[[#This Row], 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ht="18.75" customHeight="1" x14ac:dyDescent="0.35">
      <c r="C2835" s="100" t="str">
        <f>IF(OR(Fact_Control_Operaciones[[#This Row], [Año]]="",Fact_Control_Operaciones[[#This Row], 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 [Concepto Anterior]],Conceptos_Control_Operaciones[#All],5,0),"")</f>
        <v/>
      </c>
      <c r="F2835" t="str">
        <f>+IFERROR(VLOOKUP(Fact_Control_Operaciones[[#This Row], 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ht="18.75" customHeight="1" x14ac:dyDescent="0.35">
      <c r="C2836" s="100" t="str">
        <f>IF(OR(Fact_Control_Operaciones[[#This Row], [Año]]="",Fact_Control_Operaciones[[#This Row], 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 [Concepto Anterior]],Conceptos_Control_Operaciones[#All],5,0),"")</f>
        <v/>
      </c>
      <c r="F2836" t="str">
        <f>+IFERROR(VLOOKUP(Fact_Control_Operaciones[[#This Row], 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ht="18.75" customHeight="1" x14ac:dyDescent="0.35">
      <c r="C2837" s="100" t="str">
        <f>IF(OR(Fact_Control_Operaciones[[#This Row], [Año]]="",Fact_Control_Operaciones[[#This Row], 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 [Concepto Anterior]],Conceptos_Control_Operaciones[#All],5,0),"")</f>
        <v/>
      </c>
      <c r="F2837" t="str">
        <f>+IFERROR(VLOOKUP(Fact_Control_Operaciones[[#This Row], 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ht="18.75" customHeight="1" x14ac:dyDescent="0.35">
      <c r="C2838" s="100" t="str">
        <f>IF(OR(Fact_Control_Operaciones[[#This Row], [Año]]="",Fact_Control_Operaciones[[#This Row], 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 [Concepto Anterior]],Conceptos_Control_Operaciones[#All],5,0),"")</f>
        <v/>
      </c>
      <c r="F2838" t="str">
        <f>+IFERROR(VLOOKUP(Fact_Control_Operaciones[[#This Row], 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ht="18.75" customHeight="1" x14ac:dyDescent="0.35">
      <c r="C2839" s="100" t="str">
        <f>IF(OR(Fact_Control_Operaciones[[#This Row], [Año]]="",Fact_Control_Operaciones[[#This Row], 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 [Concepto Anterior]],Conceptos_Control_Operaciones[#All],5,0),"")</f>
        <v/>
      </c>
      <c r="F2839" t="str">
        <f>+IFERROR(VLOOKUP(Fact_Control_Operaciones[[#This Row], 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ht="18.75" customHeight="1" x14ac:dyDescent="0.35">
      <c r="C2840" s="100" t="str">
        <f>IF(OR(Fact_Control_Operaciones[[#This Row], [Año]]="",Fact_Control_Operaciones[[#This Row], 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 [Concepto Anterior]],Conceptos_Control_Operaciones[#All],5,0),"")</f>
        <v/>
      </c>
      <c r="F2840" t="str">
        <f>+IFERROR(VLOOKUP(Fact_Control_Operaciones[[#This Row], 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ht="18.75" customHeight="1" x14ac:dyDescent="0.35">
      <c r="C2841" s="100" t="str">
        <f>IF(OR(Fact_Control_Operaciones[[#This Row], [Año]]="",Fact_Control_Operaciones[[#This Row], 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 [Concepto Anterior]],Conceptos_Control_Operaciones[#All],5,0),"")</f>
        <v/>
      </c>
      <c r="F2841" t="str">
        <f>+IFERROR(VLOOKUP(Fact_Control_Operaciones[[#This Row], 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ht="18.75" customHeight="1" x14ac:dyDescent="0.35">
      <c r="C2842" s="100" t="str">
        <f>IF(OR(Fact_Control_Operaciones[[#This Row], [Año]]="",Fact_Control_Operaciones[[#This Row], 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 [Concepto Anterior]],Conceptos_Control_Operaciones[#All],5,0),"")</f>
        <v/>
      </c>
      <c r="F2842" t="str">
        <f>+IFERROR(VLOOKUP(Fact_Control_Operaciones[[#This Row], 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ht="18.75" customHeight="1" x14ac:dyDescent="0.35">
      <c r="C2843" s="100" t="str">
        <f>IF(OR(Fact_Control_Operaciones[[#This Row], [Año]]="",Fact_Control_Operaciones[[#This Row], 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 [Concepto Anterior]],Conceptos_Control_Operaciones[#All],5,0),"")</f>
        <v/>
      </c>
      <c r="F2843" t="str">
        <f>+IFERROR(VLOOKUP(Fact_Control_Operaciones[[#This Row], 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ht="18.75" customHeight="1" x14ac:dyDescent="0.35">
      <c r="C2844" s="100" t="str">
        <f>IF(OR(Fact_Control_Operaciones[[#This Row], [Año]]="",Fact_Control_Operaciones[[#This Row], 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 [Concepto Anterior]],Conceptos_Control_Operaciones[#All],5,0),"")</f>
        <v/>
      </c>
      <c r="F2844" t="str">
        <f>+IFERROR(VLOOKUP(Fact_Control_Operaciones[[#This Row], 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ht="18.75" customHeight="1" x14ac:dyDescent="0.35">
      <c r="C2845" s="100" t="str">
        <f>IF(OR(Fact_Control_Operaciones[[#This Row], [Año]]="",Fact_Control_Operaciones[[#This Row], 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 [Concepto Anterior]],Conceptos_Control_Operaciones[#All],5,0),"")</f>
        <v/>
      </c>
      <c r="F2845" t="str">
        <f>+IFERROR(VLOOKUP(Fact_Control_Operaciones[[#This Row], 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ht="18.75" customHeight="1" x14ac:dyDescent="0.35">
      <c r="C2846" s="100" t="str">
        <f>IF(OR(Fact_Control_Operaciones[[#This Row], [Año]]="",Fact_Control_Operaciones[[#This Row], 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 [Concepto Anterior]],Conceptos_Control_Operaciones[#All],5,0),"")</f>
        <v/>
      </c>
      <c r="F2846" t="str">
        <f>+IFERROR(VLOOKUP(Fact_Control_Operaciones[[#This Row], 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ht="18.75" customHeight="1" x14ac:dyDescent="0.35">
      <c r="C2847" s="100" t="str">
        <f>IF(OR(Fact_Control_Operaciones[[#This Row], [Año]]="",Fact_Control_Operaciones[[#This Row], 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 [Concepto Anterior]],Conceptos_Control_Operaciones[#All],5,0),"")</f>
        <v/>
      </c>
      <c r="F2847" t="str">
        <f>+IFERROR(VLOOKUP(Fact_Control_Operaciones[[#This Row], 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ht="18.75" customHeight="1" x14ac:dyDescent="0.35">
      <c r="C2848" s="100" t="str">
        <f>IF(OR(Fact_Control_Operaciones[[#This Row], [Año]]="",Fact_Control_Operaciones[[#This Row], 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 [Concepto Anterior]],Conceptos_Control_Operaciones[#All],5,0),"")</f>
        <v/>
      </c>
      <c r="F2848" t="str">
        <f>+IFERROR(VLOOKUP(Fact_Control_Operaciones[[#This Row], 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ht="18.75" customHeight="1" x14ac:dyDescent="0.35">
      <c r="C2849" s="100" t="str">
        <f>IF(OR(Fact_Control_Operaciones[[#This Row], [Año]]="",Fact_Control_Operaciones[[#This Row], 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 [Concepto Anterior]],Conceptos_Control_Operaciones[#All],5,0),"")</f>
        <v/>
      </c>
      <c r="F2849" t="str">
        <f>+IFERROR(VLOOKUP(Fact_Control_Operaciones[[#This Row], 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ht="18.75" customHeight="1" x14ac:dyDescent="0.35">
      <c r="C2850" s="100" t="str">
        <f>IF(OR(Fact_Control_Operaciones[[#This Row], [Año]]="",Fact_Control_Operaciones[[#This Row], 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 [Concepto Anterior]],Conceptos_Control_Operaciones[#All],5,0),"")</f>
        <v/>
      </c>
      <c r="F2850" t="str">
        <f>+IFERROR(VLOOKUP(Fact_Control_Operaciones[[#This Row], 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ht="18.75" customHeight="1" x14ac:dyDescent="0.35">
      <c r="C2851" s="100" t="str">
        <f>IF(OR(Fact_Control_Operaciones[[#This Row], [Año]]="",Fact_Control_Operaciones[[#This Row], 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 [Concepto Anterior]],Conceptos_Control_Operaciones[#All],5,0),"")</f>
        <v/>
      </c>
      <c r="F2851" t="str">
        <f>+IFERROR(VLOOKUP(Fact_Control_Operaciones[[#This Row], 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ht="18.75" customHeight="1" x14ac:dyDescent="0.35">
      <c r="C2852" s="100" t="str">
        <f>IF(OR(Fact_Control_Operaciones[[#This Row], [Año]]="",Fact_Control_Operaciones[[#This Row], 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 [Concepto Anterior]],Conceptos_Control_Operaciones[#All],5,0),"")</f>
        <v/>
      </c>
      <c r="F2852" t="str">
        <f>+IFERROR(VLOOKUP(Fact_Control_Operaciones[[#This Row], 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ht="18.75" customHeight="1" x14ac:dyDescent="0.35">
      <c r="C2853" s="100" t="str">
        <f>IF(OR(Fact_Control_Operaciones[[#This Row], [Año]]="",Fact_Control_Operaciones[[#This Row], 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 [Concepto Anterior]],Conceptos_Control_Operaciones[#All],5,0),"")</f>
        <v/>
      </c>
      <c r="F2853" t="str">
        <f>+IFERROR(VLOOKUP(Fact_Control_Operaciones[[#This Row], 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ht="18.75" customHeight="1" x14ac:dyDescent="0.35">
      <c r="C2854" s="100" t="str">
        <f>IF(OR(Fact_Control_Operaciones[[#This Row], [Año]]="",Fact_Control_Operaciones[[#This Row], 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 [Concepto Anterior]],Conceptos_Control_Operaciones[#All],5,0),"")</f>
        <v/>
      </c>
      <c r="F2854" t="str">
        <f>+IFERROR(VLOOKUP(Fact_Control_Operaciones[[#This Row], 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ht="18.75" customHeight="1" x14ac:dyDescent="0.35">
      <c r="C2855" s="100" t="str">
        <f>IF(OR(Fact_Control_Operaciones[[#This Row], [Año]]="",Fact_Control_Operaciones[[#This Row], 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 [Concepto Anterior]],Conceptos_Control_Operaciones[#All],5,0),"")</f>
        <v/>
      </c>
      <c r="F2855" t="str">
        <f>+IFERROR(VLOOKUP(Fact_Control_Operaciones[[#This Row], 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ht="18.75" customHeight="1" x14ac:dyDescent="0.35">
      <c r="C2856" s="100" t="str">
        <f>IF(OR(Fact_Control_Operaciones[[#This Row], [Año]]="",Fact_Control_Operaciones[[#This Row], 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 [Concepto Anterior]],Conceptos_Control_Operaciones[#All],5,0),"")</f>
        <v/>
      </c>
      <c r="F2856" t="str">
        <f>+IFERROR(VLOOKUP(Fact_Control_Operaciones[[#This Row], 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ht="18.75" customHeight="1" x14ac:dyDescent="0.35">
      <c r="C2857" s="100" t="str">
        <f>IF(OR(Fact_Control_Operaciones[[#This Row], [Año]]="",Fact_Control_Operaciones[[#This Row], 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 [Concepto Anterior]],Conceptos_Control_Operaciones[#All],5,0),"")</f>
        <v/>
      </c>
      <c r="F2857" t="str">
        <f>+IFERROR(VLOOKUP(Fact_Control_Operaciones[[#This Row], 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ht="18.75" customHeight="1" x14ac:dyDescent="0.35">
      <c r="C2858" s="100" t="str">
        <f>IF(OR(Fact_Control_Operaciones[[#This Row], [Año]]="",Fact_Control_Operaciones[[#This Row], 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 [Concepto Anterior]],Conceptos_Control_Operaciones[#All],5,0),"")</f>
        <v/>
      </c>
      <c r="F2858" t="str">
        <f>+IFERROR(VLOOKUP(Fact_Control_Operaciones[[#This Row], 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ht="18.75" customHeight="1" x14ac:dyDescent="0.35">
      <c r="C2859" s="100" t="str">
        <f>IF(OR(Fact_Control_Operaciones[[#This Row], [Año]]="",Fact_Control_Operaciones[[#This Row], 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 [Concepto Anterior]],Conceptos_Control_Operaciones[#All],5,0),"")</f>
        <v/>
      </c>
      <c r="F2859" t="str">
        <f>+IFERROR(VLOOKUP(Fact_Control_Operaciones[[#This Row], 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ht="18.75" customHeight="1" x14ac:dyDescent="0.35">
      <c r="C2860" s="100" t="str">
        <f>IF(OR(Fact_Control_Operaciones[[#This Row], [Año]]="",Fact_Control_Operaciones[[#This Row], 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 [Concepto Anterior]],Conceptos_Control_Operaciones[#All],5,0),"")</f>
        <v/>
      </c>
      <c r="F2860" t="str">
        <f>+IFERROR(VLOOKUP(Fact_Control_Operaciones[[#This Row], 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ht="18.75" customHeight="1" x14ac:dyDescent="0.35">
      <c r="C2861" s="100" t="str">
        <f>IF(OR(Fact_Control_Operaciones[[#This Row], [Año]]="",Fact_Control_Operaciones[[#This Row], 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 [Concepto Anterior]],Conceptos_Control_Operaciones[#All],5,0),"")</f>
        <v/>
      </c>
      <c r="F2861" t="str">
        <f>+IFERROR(VLOOKUP(Fact_Control_Operaciones[[#This Row], 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ht="18.75" customHeight="1" x14ac:dyDescent="0.35">
      <c r="C2862" s="100" t="str">
        <f>IF(OR(Fact_Control_Operaciones[[#This Row], [Año]]="",Fact_Control_Operaciones[[#This Row], 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 [Concepto Anterior]],Conceptos_Control_Operaciones[#All],5,0),"")</f>
        <v/>
      </c>
      <c r="F2862" t="str">
        <f>+IFERROR(VLOOKUP(Fact_Control_Operaciones[[#This Row], 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ht="18.75" customHeight="1" x14ac:dyDescent="0.35">
      <c r="C2863" s="100" t="str">
        <f>IF(OR(Fact_Control_Operaciones[[#This Row], [Año]]="",Fact_Control_Operaciones[[#This Row], 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 [Concepto Anterior]],Conceptos_Control_Operaciones[#All],5,0),"")</f>
        <v/>
      </c>
      <c r="F2863" t="str">
        <f>+IFERROR(VLOOKUP(Fact_Control_Operaciones[[#This Row], 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ht="18.75" customHeight="1" x14ac:dyDescent="0.35">
      <c r="C2864" s="100" t="str">
        <f>IF(OR(Fact_Control_Operaciones[[#This Row], [Año]]="",Fact_Control_Operaciones[[#This Row], 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 [Concepto Anterior]],Conceptos_Control_Operaciones[#All],5,0),"")</f>
        <v/>
      </c>
      <c r="F2864" t="str">
        <f>+IFERROR(VLOOKUP(Fact_Control_Operaciones[[#This Row], 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ht="18.75" customHeight="1" x14ac:dyDescent="0.35">
      <c r="C2865" s="100" t="str">
        <f>IF(OR(Fact_Control_Operaciones[[#This Row], [Año]]="",Fact_Control_Operaciones[[#This Row], 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 [Concepto Anterior]],Conceptos_Control_Operaciones[#All],5,0),"")</f>
        <v/>
      </c>
      <c r="F2865" t="str">
        <f>+IFERROR(VLOOKUP(Fact_Control_Operaciones[[#This Row], 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ht="18.75" customHeight="1" x14ac:dyDescent="0.35">
      <c r="C2866" s="100" t="str">
        <f>IF(OR(Fact_Control_Operaciones[[#This Row], [Año]]="",Fact_Control_Operaciones[[#This Row], 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 [Concepto Anterior]],Conceptos_Control_Operaciones[#All],5,0),"")</f>
        <v/>
      </c>
      <c r="F2866" t="str">
        <f>+IFERROR(VLOOKUP(Fact_Control_Operaciones[[#This Row], 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ht="18.75" customHeight="1" x14ac:dyDescent="0.35">
      <c r="C2867" s="100" t="str">
        <f>IF(OR(Fact_Control_Operaciones[[#This Row], [Año]]="",Fact_Control_Operaciones[[#This Row], 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 [Concepto Anterior]],Conceptos_Control_Operaciones[#All],5,0),"")</f>
        <v/>
      </c>
      <c r="F2867" t="str">
        <f>+IFERROR(VLOOKUP(Fact_Control_Operaciones[[#This Row], 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ht="18.75" customHeight="1" x14ac:dyDescent="0.35">
      <c r="C2868" s="100" t="str">
        <f>IF(OR(Fact_Control_Operaciones[[#This Row], [Año]]="",Fact_Control_Operaciones[[#This Row], 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 [Concepto Anterior]],Conceptos_Control_Operaciones[#All],5,0),"")</f>
        <v/>
      </c>
      <c r="F2868" t="str">
        <f>+IFERROR(VLOOKUP(Fact_Control_Operaciones[[#This Row], 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ht="18.75" customHeight="1" x14ac:dyDescent="0.35">
      <c r="C2869" s="100" t="str">
        <f>IF(OR(Fact_Control_Operaciones[[#This Row], [Año]]="",Fact_Control_Operaciones[[#This Row], 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 [Concepto Anterior]],Conceptos_Control_Operaciones[#All],5,0),"")</f>
        <v/>
      </c>
      <c r="F2869" t="str">
        <f>+IFERROR(VLOOKUP(Fact_Control_Operaciones[[#This Row], 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ht="18.75" customHeight="1" x14ac:dyDescent="0.35">
      <c r="C2870" s="100" t="str">
        <f>IF(OR(Fact_Control_Operaciones[[#This Row], [Año]]="",Fact_Control_Operaciones[[#This Row], 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 [Concepto Anterior]],Conceptos_Control_Operaciones[#All],5,0),"")</f>
        <v/>
      </c>
      <c r="F2870" t="str">
        <f>+IFERROR(VLOOKUP(Fact_Control_Operaciones[[#This Row], 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ht="18.75" customHeight="1" x14ac:dyDescent="0.35">
      <c r="C2871" s="100" t="str">
        <f>IF(OR(Fact_Control_Operaciones[[#This Row], [Año]]="",Fact_Control_Operaciones[[#This Row], 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 [Concepto Anterior]],Conceptos_Control_Operaciones[#All],5,0),"")</f>
        <v/>
      </c>
      <c r="F2871" t="str">
        <f>+IFERROR(VLOOKUP(Fact_Control_Operaciones[[#This Row], 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ht="18.75" customHeight="1" x14ac:dyDescent="0.35">
      <c r="C2872" s="100" t="str">
        <f>IF(OR(Fact_Control_Operaciones[[#This Row], [Año]]="",Fact_Control_Operaciones[[#This Row], 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 [Concepto Anterior]],Conceptos_Control_Operaciones[#All],5,0),"")</f>
        <v/>
      </c>
      <c r="F2872" t="str">
        <f>+IFERROR(VLOOKUP(Fact_Control_Operaciones[[#This Row], 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ht="18.75" customHeight="1" x14ac:dyDescent="0.35">
      <c r="C2873" s="100" t="str">
        <f>IF(OR(Fact_Control_Operaciones[[#This Row], [Año]]="",Fact_Control_Operaciones[[#This Row], 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 [Concepto Anterior]],Conceptos_Control_Operaciones[#All],5,0),"")</f>
        <v/>
      </c>
      <c r="F2873" t="str">
        <f>+IFERROR(VLOOKUP(Fact_Control_Operaciones[[#This Row], 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ht="18.75" customHeight="1" x14ac:dyDescent="0.35">
      <c r="C2874" s="100" t="str">
        <f>IF(OR(Fact_Control_Operaciones[[#This Row], [Año]]="",Fact_Control_Operaciones[[#This Row], 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 [Concepto Anterior]],Conceptos_Control_Operaciones[#All],5,0),"")</f>
        <v/>
      </c>
      <c r="F2874" t="str">
        <f>+IFERROR(VLOOKUP(Fact_Control_Operaciones[[#This Row], 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ht="18.75" customHeight="1" x14ac:dyDescent="0.35">
      <c r="C2875" s="100" t="str">
        <f>IF(OR(Fact_Control_Operaciones[[#This Row], [Año]]="",Fact_Control_Operaciones[[#This Row], 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 [Concepto Anterior]],Conceptos_Control_Operaciones[#All],5,0),"")</f>
        <v/>
      </c>
      <c r="F2875" t="str">
        <f>+IFERROR(VLOOKUP(Fact_Control_Operaciones[[#This Row], 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ht="18.75" customHeight="1" x14ac:dyDescent="0.35">
      <c r="C2876" s="100" t="str">
        <f>IF(OR(Fact_Control_Operaciones[[#This Row], [Año]]="",Fact_Control_Operaciones[[#This Row], 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 [Concepto Anterior]],Conceptos_Control_Operaciones[#All],5,0),"")</f>
        <v/>
      </c>
      <c r="F2876" t="str">
        <f>+IFERROR(VLOOKUP(Fact_Control_Operaciones[[#This Row], 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ht="18.75" customHeight="1" x14ac:dyDescent="0.35">
      <c r="C2877" s="100" t="str">
        <f>IF(OR(Fact_Control_Operaciones[[#This Row], [Año]]="",Fact_Control_Operaciones[[#This Row], 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 [Concepto Anterior]],Conceptos_Control_Operaciones[#All],5,0),"")</f>
        <v/>
      </c>
      <c r="F2877" t="str">
        <f>+IFERROR(VLOOKUP(Fact_Control_Operaciones[[#This Row], 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ht="18.75" customHeight="1" x14ac:dyDescent="0.35">
      <c r="C2878" s="100" t="str">
        <f>IF(OR(Fact_Control_Operaciones[[#This Row], [Año]]="",Fact_Control_Operaciones[[#This Row], 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 [Concepto Anterior]],Conceptos_Control_Operaciones[#All],5,0),"")</f>
        <v/>
      </c>
      <c r="F2878" t="str">
        <f>+IFERROR(VLOOKUP(Fact_Control_Operaciones[[#This Row], 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ht="18.75" customHeight="1" x14ac:dyDescent="0.35">
      <c r="C2879" s="100" t="str">
        <f>IF(OR(Fact_Control_Operaciones[[#This Row], [Año]]="",Fact_Control_Operaciones[[#This Row], 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 [Concepto Anterior]],Conceptos_Control_Operaciones[#All],5,0),"")</f>
        <v/>
      </c>
      <c r="F2879" t="str">
        <f>+IFERROR(VLOOKUP(Fact_Control_Operaciones[[#This Row], 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ht="18.75" customHeight="1" x14ac:dyDescent="0.35">
      <c r="C2880" s="100" t="str">
        <f>IF(OR(Fact_Control_Operaciones[[#This Row], [Año]]="",Fact_Control_Operaciones[[#This Row], 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 [Concepto Anterior]],Conceptos_Control_Operaciones[#All],5,0),"")</f>
        <v/>
      </c>
      <c r="F2880" t="str">
        <f>+IFERROR(VLOOKUP(Fact_Control_Operaciones[[#This Row], 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ht="18.75" customHeight="1" x14ac:dyDescent="0.35">
      <c r="C2881" s="100" t="str">
        <f>IF(OR(Fact_Control_Operaciones[[#This Row], [Año]]="",Fact_Control_Operaciones[[#This Row], 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 [Concepto Anterior]],Conceptos_Control_Operaciones[#All],5,0),"")</f>
        <v/>
      </c>
      <c r="F2881" t="str">
        <f>+IFERROR(VLOOKUP(Fact_Control_Operaciones[[#This Row], 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ht="18.75" customHeight="1" x14ac:dyDescent="0.35">
      <c r="C2882" s="100" t="str">
        <f>IF(OR(Fact_Control_Operaciones[[#This Row], [Año]]="",Fact_Control_Operaciones[[#This Row], 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 [Concepto Anterior]],Conceptos_Control_Operaciones[#All],5,0),"")</f>
        <v/>
      </c>
      <c r="F2882" t="str">
        <f>+IFERROR(VLOOKUP(Fact_Control_Operaciones[[#This Row], 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ht="18.75" customHeight="1" x14ac:dyDescent="0.35">
      <c r="C2883" s="100" t="str">
        <f>IF(OR(Fact_Control_Operaciones[[#This Row], [Año]]="",Fact_Control_Operaciones[[#This Row], 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 [Concepto Anterior]],Conceptos_Control_Operaciones[#All],5,0),"")</f>
        <v/>
      </c>
      <c r="F2883" t="str">
        <f>+IFERROR(VLOOKUP(Fact_Control_Operaciones[[#This Row], 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ht="18.75" customHeight="1" x14ac:dyDescent="0.35">
      <c r="C2884" s="100" t="str">
        <f>IF(OR(Fact_Control_Operaciones[[#This Row], [Año]]="",Fact_Control_Operaciones[[#This Row], 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 [Concepto Anterior]],Conceptos_Control_Operaciones[#All],5,0),"")</f>
        <v/>
      </c>
      <c r="F2884" t="str">
        <f>+IFERROR(VLOOKUP(Fact_Control_Operaciones[[#This Row], 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ht="18.75" customHeight="1" x14ac:dyDescent="0.35">
      <c r="C2885" s="100" t="str">
        <f>IF(OR(Fact_Control_Operaciones[[#This Row], [Año]]="",Fact_Control_Operaciones[[#This Row], 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 [Concepto Anterior]],Conceptos_Control_Operaciones[#All],5,0),"")</f>
        <v/>
      </c>
      <c r="F2885" t="str">
        <f>+IFERROR(VLOOKUP(Fact_Control_Operaciones[[#This Row], 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ht="18.75" customHeight="1" x14ac:dyDescent="0.35">
      <c r="C2886" s="100" t="str">
        <f>IF(OR(Fact_Control_Operaciones[[#This Row], [Año]]="",Fact_Control_Operaciones[[#This Row], 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 [Concepto Anterior]],Conceptos_Control_Operaciones[#All],5,0),"")</f>
        <v/>
      </c>
      <c r="F2886" t="str">
        <f>+IFERROR(VLOOKUP(Fact_Control_Operaciones[[#This Row], 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ht="18.75" customHeight="1" x14ac:dyDescent="0.35">
      <c r="C2887" s="100" t="str">
        <f>IF(OR(Fact_Control_Operaciones[[#This Row], [Año]]="",Fact_Control_Operaciones[[#This Row], 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 [Concepto Anterior]],Conceptos_Control_Operaciones[#All],5,0),"")</f>
        <v/>
      </c>
      <c r="F2887" t="str">
        <f>+IFERROR(VLOOKUP(Fact_Control_Operaciones[[#This Row], 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ht="18.75" customHeight="1" x14ac:dyDescent="0.35">
      <c r="C2888" s="100" t="str">
        <f>IF(OR(Fact_Control_Operaciones[[#This Row], [Año]]="",Fact_Control_Operaciones[[#This Row], 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 [Concepto Anterior]],Conceptos_Control_Operaciones[#All],5,0),"")</f>
        <v/>
      </c>
      <c r="F2888" t="str">
        <f>+IFERROR(VLOOKUP(Fact_Control_Operaciones[[#This Row], 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ht="18.75" customHeight="1" x14ac:dyDescent="0.35">
      <c r="C2889" s="100" t="str">
        <f>IF(OR(Fact_Control_Operaciones[[#This Row], [Año]]="",Fact_Control_Operaciones[[#This Row], 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 [Concepto Anterior]],Conceptos_Control_Operaciones[#All],5,0),"")</f>
        <v/>
      </c>
      <c r="F2889" t="str">
        <f>+IFERROR(VLOOKUP(Fact_Control_Operaciones[[#This Row], 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ht="18.75" customHeight="1" x14ac:dyDescent="0.35">
      <c r="C2890" s="100" t="str">
        <f>IF(OR(Fact_Control_Operaciones[[#This Row], [Año]]="",Fact_Control_Operaciones[[#This Row], 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 [Concepto Anterior]],Conceptos_Control_Operaciones[#All],5,0),"")</f>
        <v/>
      </c>
      <c r="F2890" t="str">
        <f>+IFERROR(VLOOKUP(Fact_Control_Operaciones[[#This Row], 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ht="18.75" customHeight="1" x14ac:dyDescent="0.35">
      <c r="C2891" s="100" t="str">
        <f>IF(OR(Fact_Control_Operaciones[[#This Row], [Año]]="",Fact_Control_Operaciones[[#This Row], 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 [Concepto Anterior]],Conceptos_Control_Operaciones[#All],5,0),"")</f>
        <v/>
      </c>
      <c r="F2891" t="str">
        <f>+IFERROR(VLOOKUP(Fact_Control_Operaciones[[#This Row], 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ht="18.75" customHeight="1" x14ac:dyDescent="0.35">
      <c r="C2892" s="100" t="str">
        <f>IF(OR(Fact_Control_Operaciones[[#This Row], [Año]]="",Fact_Control_Operaciones[[#This Row], 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 [Concepto Anterior]],Conceptos_Control_Operaciones[#All],5,0),"")</f>
        <v/>
      </c>
      <c r="F2892" t="str">
        <f>+IFERROR(VLOOKUP(Fact_Control_Operaciones[[#This Row], 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ht="18.75" customHeight="1" x14ac:dyDescent="0.35">
      <c r="C2893" s="100" t="str">
        <f>IF(OR(Fact_Control_Operaciones[[#This Row], [Año]]="",Fact_Control_Operaciones[[#This Row], 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 [Concepto Anterior]],Conceptos_Control_Operaciones[#All],5,0),"")</f>
        <v/>
      </c>
      <c r="F2893" t="str">
        <f>+IFERROR(VLOOKUP(Fact_Control_Operaciones[[#This Row], 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ht="18.75" customHeight="1" x14ac:dyDescent="0.35">
      <c r="C2894" s="100" t="str">
        <f>IF(OR(Fact_Control_Operaciones[[#This Row], [Año]]="",Fact_Control_Operaciones[[#This Row], 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 [Concepto Anterior]],Conceptos_Control_Operaciones[#All],5,0),"")</f>
        <v/>
      </c>
      <c r="F2894" t="str">
        <f>+IFERROR(VLOOKUP(Fact_Control_Operaciones[[#This Row], 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ht="18.75" customHeight="1" x14ac:dyDescent="0.35">
      <c r="C2895" s="100" t="str">
        <f>IF(OR(Fact_Control_Operaciones[[#This Row], [Año]]="",Fact_Control_Operaciones[[#This Row], 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 [Concepto Anterior]],Conceptos_Control_Operaciones[#All],5,0),"")</f>
        <v/>
      </c>
      <c r="F2895" t="str">
        <f>+IFERROR(VLOOKUP(Fact_Control_Operaciones[[#This Row], 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ht="18.75" customHeight="1" x14ac:dyDescent="0.35">
      <c r="C2896" s="100" t="str">
        <f>IF(OR(Fact_Control_Operaciones[[#This Row], [Año]]="",Fact_Control_Operaciones[[#This Row], 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 [Concepto Anterior]],Conceptos_Control_Operaciones[#All],5,0),"")</f>
        <v/>
      </c>
      <c r="F2896" t="str">
        <f>+IFERROR(VLOOKUP(Fact_Control_Operaciones[[#This Row], 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ht="18.75" customHeight="1" x14ac:dyDescent="0.35">
      <c r="C2897" s="100" t="str">
        <f>IF(OR(Fact_Control_Operaciones[[#This Row], [Año]]="",Fact_Control_Operaciones[[#This Row], 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 [Concepto Anterior]],Conceptos_Control_Operaciones[#All],5,0),"")</f>
        <v/>
      </c>
      <c r="F2897" t="str">
        <f>+IFERROR(VLOOKUP(Fact_Control_Operaciones[[#This Row], 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ht="18.75" customHeight="1" x14ac:dyDescent="0.35">
      <c r="C2898" s="100" t="str">
        <f>IF(OR(Fact_Control_Operaciones[[#This Row], [Año]]="",Fact_Control_Operaciones[[#This Row], 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 [Concepto Anterior]],Conceptos_Control_Operaciones[#All],5,0),"")</f>
        <v/>
      </c>
      <c r="F2898" t="str">
        <f>+IFERROR(VLOOKUP(Fact_Control_Operaciones[[#This Row], 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ht="18.75" customHeight="1" x14ac:dyDescent="0.35">
      <c r="C2899" s="100" t="str">
        <f>IF(OR(Fact_Control_Operaciones[[#This Row], [Año]]="",Fact_Control_Operaciones[[#This Row], 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 [Concepto Anterior]],Conceptos_Control_Operaciones[#All],5,0),"")</f>
        <v/>
      </c>
      <c r="F2899" t="str">
        <f>+IFERROR(VLOOKUP(Fact_Control_Operaciones[[#This Row], 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ht="18.75" customHeight="1" x14ac:dyDescent="0.35">
      <c r="C2900" s="100" t="str">
        <f>IF(OR(Fact_Control_Operaciones[[#This Row], [Año]]="",Fact_Control_Operaciones[[#This Row], 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 [Concepto Anterior]],Conceptos_Control_Operaciones[#All],5,0),"")</f>
        <v/>
      </c>
      <c r="F2900" t="str">
        <f>+IFERROR(VLOOKUP(Fact_Control_Operaciones[[#This Row], 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ht="18.75" customHeight="1" x14ac:dyDescent="0.35">
      <c r="C2901" s="100" t="str">
        <f>IF(OR(Fact_Control_Operaciones[[#This Row], [Año]]="",Fact_Control_Operaciones[[#This Row], 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 [Concepto Anterior]],Conceptos_Control_Operaciones[#All],5,0),"")</f>
        <v/>
      </c>
      <c r="F2901" t="str">
        <f>+IFERROR(VLOOKUP(Fact_Control_Operaciones[[#This Row], 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ht="18.75" customHeight="1" x14ac:dyDescent="0.35">
      <c r="C2902" s="100" t="str">
        <f>IF(OR(Fact_Control_Operaciones[[#This Row], [Año]]="",Fact_Control_Operaciones[[#This Row], 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 [Concepto Anterior]],Conceptos_Control_Operaciones[#All],5,0),"")</f>
        <v/>
      </c>
      <c r="F2902" t="str">
        <f>+IFERROR(VLOOKUP(Fact_Control_Operaciones[[#This Row], 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ht="18.75" customHeight="1" x14ac:dyDescent="0.35">
      <c r="C2903" s="100" t="str">
        <f>IF(OR(Fact_Control_Operaciones[[#This Row], [Año]]="",Fact_Control_Operaciones[[#This Row], 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 [Concepto Anterior]],Conceptos_Control_Operaciones[#All],5,0),"")</f>
        <v/>
      </c>
      <c r="F2903" t="str">
        <f>+IFERROR(VLOOKUP(Fact_Control_Operaciones[[#This Row], 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ht="18.75" customHeight="1" x14ac:dyDescent="0.35">
      <c r="C2904" s="100" t="str">
        <f>IF(OR(Fact_Control_Operaciones[[#This Row], [Año]]="",Fact_Control_Operaciones[[#This Row], 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 [Concepto Anterior]],Conceptos_Control_Operaciones[#All],5,0),"")</f>
        <v/>
      </c>
      <c r="F2904" t="str">
        <f>+IFERROR(VLOOKUP(Fact_Control_Operaciones[[#This Row], 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ht="18.75" customHeight="1" x14ac:dyDescent="0.35">
      <c r="C2905" s="100" t="str">
        <f>IF(OR(Fact_Control_Operaciones[[#This Row], [Año]]="",Fact_Control_Operaciones[[#This Row], 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 [Concepto Anterior]],Conceptos_Control_Operaciones[#All],5,0),"")</f>
        <v/>
      </c>
      <c r="F2905" t="str">
        <f>+IFERROR(VLOOKUP(Fact_Control_Operaciones[[#This Row], 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ht="18.75" customHeight="1" x14ac:dyDescent="0.35">
      <c r="C2906" s="100" t="str">
        <f>IF(OR(Fact_Control_Operaciones[[#This Row], [Año]]="",Fact_Control_Operaciones[[#This Row], 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 [Concepto Anterior]],Conceptos_Control_Operaciones[#All],5,0),"")</f>
        <v/>
      </c>
      <c r="F2906" t="str">
        <f>+IFERROR(VLOOKUP(Fact_Control_Operaciones[[#This Row], 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ht="18.75" customHeight="1" x14ac:dyDescent="0.35">
      <c r="C2907" s="100" t="str">
        <f>IF(OR(Fact_Control_Operaciones[[#This Row], [Año]]="",Fact_Control_Operaciones[[#This Row], 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 [Concepto Anterior]],Conceptos_Control_Operaciones[#All],5,0),"")</f>
        <v/>
      </c>
      <c r="F2907" t="str">
        <f>+IFERROR(VLOOKUP(Fact_Control_Operaciones[[#This Row], 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ht="18.75" customHeight="1" x14ac:dyDescent="0.35">
      <c r="C2908" s="100" t="str">
        <f>IF(OR(Fact_Control_Operaciones[[#This Row], [Año]]="",Fact_Control_Operaciones[[#This Row], 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 [Concepto Anterior]],Conceptos_Control_Operaciones[#All],5,0),"")</f>
        <v/>
      </c>
      <c r="F2908" t="str">
        <f>+IFERROR(VLOOKUP(Fact_Control_Operaciones[[#This Row], 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ht="18.75" customHeight="1" x14ac:dyDescent="0.35">
      <c r="C2909" s="100" t="str">
        <f>IF(OR(Fact_Control_Operaciones[[#This Row], [Año]]="",Fact_Control_Operaciones[[#This Row], 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 [Concepto Anterior]],Conceptos_Control_Operaciones[#All],5,0),"")</f>
        <v/>
      </c>
      <c r="F2909" t="str">
        <f>+IFERROR(VLOOKUP(Fact_Control_Operaciones[[#This Row], 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ht="18.75" customHeight="1" x14ac:dyDescent="0.35">
      <c r="C2910" s="100" t="str">
        <f>IF(OR(Fact_Control_Operaciones[[#This Row], [Año]]="",Fact_Control_Operaciones[[#This Row], 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 [Concepto Anterior]],Conceptos_Control_Operaciones[#All],5,0),"")</f>
        <v/>
      </c>
      <c r="F2910" t="str">
        <f>+IFERROR(VLOOKUP(Fact_Control_Operaciones[[#This Row], 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ht="18.75" customHeight="1" x14ac:dyDescent="0.35">
      <c r="C2911" s="100" t="str">
        <f>IF(OR(Fact_Control_Operaciones[[#This Row], [Año]]="",Fact_Control_Operaciones[[#This Row], 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 [Concepto Anterior]],Conceptos_Control_Operaciones[#All],5,0),"")</f>
        <v/>
      </c>
      <c r="F2911" t="str">
        <f>+IFERROR(VLOOKUP(Fact_Control_Operaciones[[#This Row], 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ht="18.75" customHeight="1" x14ac:dyDescent="0.35">
      <c r="C2912" s="100" t="str">
        <f>IF(OR(Fact_Control_Operaciones[[#This Row], [Año]]="",Fact_Control_Operaciones[[#This Row], 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 [Concepto Anterior]],Conceptos_Control_Operaciones[#All],5,0),"")</f>
        <v/>
      </c>
      <c r="F2912" t="str">
        <f>+IFERROR(VLOOKUP(Fact_Control_Operaciones[[#This Row], 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ht="18.75" customHeight="1" x14ac:dyDescent="0.35">
      <c r="C2913" s="100" t="str">
        <f>IF(OR(Fact_Control_Operaciones[[#This Row], [Año]]="",Fact_Control_Operaciones[[#This Row], 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 [Concepto Anterior]],Conceptos_Control_Operaciones[#All],5,0),"")</f>
        <v/>
      </c>
      <c r="F2913" t="str">
        <f>+IFERROR(VLOOKUP(Fact_Control_Operaciones[[#This Row], 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ht="18.75" customHeight="1" x14ac:dyDescent="0.35">
      <c r="C2914" s="100" t="str">
        <f>IF(OR(Fact_Control_Operaciones[[#This Row], [Año]]="",Fact_Control_Operaciones[[#This Row], 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 [Concepto Anterior]],Conceptos_Control_Operaciones[#All],5,0),"")</f>
        <v/>
      </c>
      <c r="F2914" t="str">
        <f>+IFERROR(VLOOKUP(Fact_Control_Operaciones[[#This Row], 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ht="18.75" customHeight="1" x14ac:dyDescent="0.35">
      <c r="C2915" s="100" t="str">
        <f>IF(OR(Fact_Control_Operaciones[[#This Row], [Año]]="",Fact_Control_Operaciones[[#This Row], 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 [Concepto Anterior]],Conceptos_Control_Operaciones[#All],5,0),"")</f>
        <v/>
      </c>
      <c r="F2915" t="str">
        <f>+IFERROR(VLOOKUP(Fact_Control_Operaciones[[#This Row], 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ht="18.75" customHeight="1" x14ac:dyDescent="0.35">
      <c r="C2916" s="100" t="str">
        <f>IF(OR(Fact_Control_Operaciones[[#This Row], [Año]]="",Fact_Control_Operaciones[[#This Row], 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 [Concepto Anterior]],Conceptos_Control_Operaciones[#All],5,0),"")</f>
        <v/>
      </c>
      <c r="F2916" t="str">
        <f>+IFERROR(VLOOKUP(Fact_Control_Operaciones[[#This Row], 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ht="18.75" customHeight="1" x14ac:dyDescent="0.35">
      <c r="C2917" s="100" t="str">
        <f>IF(OR(Fact_Control_Operaciones[[#This Row], [Año]]="",Fact_Control_Operaciones[[#This Row], 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 [Concepto Anterior]],Conceptos_Control_Operaciones[#All],5,0),"")</f>
        <v/>
      </c>
      <c r="F2917" t="str">
        <f>+IFERROR(VLOOKUP(Fact_Control_Operaciones[[#This Row], 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ht="18.75" customHeight="1" x14ac:dyDescent="0.35">
      <c r="C2918" s="100" t="str">
        <f>IF(OR(Fact_Control_Operaciones[[#This Row], [Año]]="",Fact_Control_Operaciones[[#This Row], 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 [Concepto Anterior]],Conceptos_Control_Operaciones[#All],5,0),"")</f>
        <v/>
      </c>
      <c r="F2918" t="str">
        <f>+IFERROR(VLOOKUP(Fact_Control_Operaciones[[#This Row], 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ht="18.75" customHeight="1" x14ac:dyDescent="0.35">
      <c r="C2919" s="100" t="str">
        <f>IF(OR(Fact_Control_Operaciones[[#This Row], [Año]]="",Fact_Control_Operaciones[[#This Row], 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 [Concepto Anterior]],Conceptos_Control_Operaciones[#All],5,0),"")</f>
        <v/>
      </c>
      <c r="F2919" t="str">
        <f>+IFERROR(VLOOKUP(Fact_Control_Operaciones[[#This Row], 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ht="18.75" customHeight="1" x14ac:dyDescent="0.35">
      <c r="C2920" s="100" t="str">
        <f>IF(OR(Fact_Control_Operaciones[[#This Row], [Año]]="",Fact_Control_Operaciones[[#This Row], 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 [Concepto Anterior]],Conceptos_Control_Operaciones[#All],5,0),"")</f>
        <v/>
      </c>
      <c r="F2920" t="str">
        <f>+IFERROR(VLOOKUP(Fact_Control_Operaciones[[#This Row], 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ht="18.75" customHeight="1" x14ac:dyDescent="0.35">
      <c r="C2921" s="100" t="str">
        <f>IF(OR(Fact_Control_Operaciones[[#This Row], [Año]]="",Fact_Control_Operaciones[[#This Row], 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 [Concepto Anterior]],Conceptos_Control_Operaciones[#All],5,0),"")</f>
        <v/>
      </c>
      <c r="F2921" t="str">
        <f>+IFERROR(VLOOKUP(Fact_Control_Operaciones[[#This Row], 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ht="18.75" customHeight="1" x14ac:dyDescent="0.35">
      <c r="C2922" s="100" t="str">
        <f>IF(OR(Fact_Control_Operaciones[[#This Row], [Año]]="",Fact_Control_Operaciones[[#This Row], 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 [Concepto Anterior]],Conceptos_Control_Operaciones[#All],5,0),"")</f>
        <v/>
      </c>
      <c r="F2922" t="str">
        <f>+IFERROR(VLOOKUP(Fact_Control_Operaciones[[#This Row], 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ht="18.75" customHeight="1" x14ac:dyDescent="0.35">
      <c r="C2923" s="100" t="str">
        <f>IF(OR(Fact_Control_Operaciones[[#This Row], [Año]]="",Fact_Control_Operaciones[[#This Row], 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 [Concepto Anterior]],Conceptos_Control_Operaciones[#All],5,0),"")</f>
        <v/>
      </c>
      <c r="F2923" t="str">
        <f>+IFERROR(VLOOKUP(Fact_Control_Operaciones[[#This Row], 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ht="18.75" customHeight="1" x14ac:dyDescent="0.35">
      <c r="C2924" s="100" t="str">
        <f>IF(OR(Fact_Control_Operaciones[[#This Row], [Año]]="",Fact_Control_Operaciones[[#This Row], 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 [Concepto Anterior]],Conceptos_Control_Operaciones[#All],5,0),"")</f>
        <v/>
      </c>
      <c r="F2924" t="str">
        <f>+IFERROR(VLOOKUP(Fact_Control_Operaciones[[#This Row], 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ht="18.75" customHeight="1" x14ac:dyDescent="0.35">
      <c r="C2925" s="100" t="str">
        <f>IF(OR(Fact_Control_Operaciones[[#This Row], [Año]]="",Fact_Control_Operaciones[[#This Row], 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 [Concepto Anterior]],Conceptos_Control_Operaciones[#All],5,0),"")</f>
        <v/>
      </c>
      <c r="F2925" t="str">
        <f>+IFERROR(VLOOKUP(Fact_Control_Operaciones[[#This Row], 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ht="18.75" customHeight="1" x14ac:dyDescent="0.35">
      <c r="C2926" s="100" t="str">
        <f>IF(OR(Fact_Control_Operaciones[[#This Row], [Año]]="",Fact_Control_Operaciones[[#This Row], 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 [Concepto Anterior]],Conceptos_Control_Operaciones[#All],5,0),"")</f>
        <v/>
      </c>
      <c r="F2926" t="str">
        <f>+IFERROR(VLOOKUP(Fact_Control_Operaciones[[#This Row], 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ht="18.75" customHeight="1" x14ac:dyDescent="0.35">
      <c r="C2927" s="100" t="str">
        <f>IF(OR(Fact_Control_Operaciones[[#This Row], [Año]]="",Fact_Control_Operaciones[[#This Row], 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 [Concepto Anterior]],Conceptos_Control_Operaciones[#All],5,0),"")</f>
        <v/>
      </c>
      <c r="F2927" t="str">
        <f>+IFERROR(VLOOKUP(Fact_Control_Operaciones[[#This Row], 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ht="18.75" customHeight="1" x14ac:dyDescent="0.35">
      <c r="C2928" s="100" t="str">
        <f>IF(OR(Fact_Control_Operaciones[[#This Row], [Año]]="",Fact_Control_Operaciones[[#This Row], 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 [Concepto Anterior]],Conceptos_Control_Operaciones[#All],5,0),"")</f>
        <v/>
      </c>
      <c r="F2928" t="str">
        <f>+IFERROR(VLOOKUP(Fact_Control_Operaciones[[#This Row], 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ht="18.75" customHeight="1" x14ac:dyDescent="0.35">
      <c r="C2929" s="100" t="str">
        <f>IF(OR(Fact_Control_Operaciones[[#This Row], [Año]]="",Fact_Control_Operaciones[[#This Row], 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 [Concepto Anterior]],Conceptos_Control_Operaciones[#All],5,0),"")</f>
        <v/>
      </c>
      <c r="F2929" t="str">
        <f>+IFERROR(VLOOKUP(Fact_Control_Operaciones[[#This Row], 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ht="18.75" customHeight="1" x14ac:dyDescent="0.35">
      <c r="C2930" s="100" t="str">
        <f>IF(OR(Fact_Control_Operaciones[[#This Row], [Año]]="",Fact_Control_Operaciones[[#This Row], 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 [Concepto Anterior]],Conceptos_Control_Operaciones[#All],5,0),"")</f>
        <v/>
      </c>
      <c r="F2930" t="str">
        <f>+IFERROR(VLOOKUP(Fact_Control_Operaciones[[#This Row], 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ht="18.75" customHeight="1" x14ac:dyDescent="0.35">
      <c r="C2931" s="100" t="str">
        <f>IF(OR(Fact_Control_Operaciones[[#This Row], [Año]]="",Fact_Control_Operaciones[[#This Row], 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 [Concepto Anterior]],Conceptos_Control_Operaciones[#All],5,0),"")</f>
        <v/>
      </c>
      <c r="F2931" t="str">
        <f>+IFERROR(VLOOKUP(Fact_Control_Operaciones[[#This Row], 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ht="18.75" customHeight="1" x14ac:dyDescent="0.35">
      <c r="C2932" s="100" t="str">
        <f>IF(OR(Fact_Control_Operaciones[[#This Row], [Año]]="",Fact_Control_Operaciones[[#This Row], 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 [Concepto Anterior]],Conceptos_Control_Operaciones[#All],5,0),"")</f>
        <v/>
      </c>
      <c r="F2932" t="str">
        <f>+IFERROR(VLOOKUP(Fact_Control_Operaciones[[#This Row], 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ht="18.75" customHeight="1" x14ac:dyDescent="0.35">
      <c r="C2933" s="100" t="str">
        <f>IF(OR(Fact_Control_Operaciones[[#This Row], [Año]]="",Fact_Control_Operaciones[[#This Row], 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 [Concepto Anterior]],Conceptos_Control_Operaciones[#All],5,0),"")</f>
        <v/>
      </c>
      <c r="F2933" t="str">
        <f>+IFERROR(VLOOKUP(Fact_Control_Operaciones[[#This Row], 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ht="18.75" customHeight="1" x14ac:dyDescent="0.35">
      <c r="C2934" s="100" t="str">
        <f>IF(OR(Fact_Control_Operaciones[[#This Row], [Año]]="",Fact_Control_Operaciones[[#This Row], 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 [Concepto Anterior]],Conceptos_Control_Operaciones[#All],5,0),"")</f>
        <v/>
      </c>
      <c r="F2934" t="str">
        <f>+IFERROR(VLOOKUP(Fact_Control_Operaciones[[#This Row], 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ht="18.75" customHeight="1" x14ac:dyDescent="0.35">
      <c r="C2935" s="100" t="str">
        <f>IF(OR(Fact_Control_Operaciones[[#This Row], [Año]]="",Fact_Control_Operaciones[[#This Row], 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 [Concepto Anterior]],Conceptos_Control_Operaciones[#All],5,0),"")</f>
        <v/>
      </c>
      <c r="F2935" t="str">
        <f>+IFERROR(VLOOKUP(Fact_Control_Operaciones[[#This Row], 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ht="18.75" customHeight="1" x14ac:dyDescent="0.35">
      <c r="C2936" s="100" t="str">
        <f>IF(OR(Fact_Control_Operaciones[[#This Row], [Año]]="",Fact_Control_Operaciones[[#This Row], 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 [Concepto Anterior]],Conceptos_Control_Operaciones[#All],5,0),"")</f>
        <v/>
      </c>
      <c r="F2936" t="str">
        <f>+IFERROR(VLOOKUP(Fact_Control_Operaciones[[#This Row], 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ht="18.75" customHeight="1" x14ac:dyDescent="0.35">
      <c r="C2937" s="100" t="str">
        <f>IF(OR(Fact_Control_Operaciones[[#This Row], [Año]]="",Fact_Control_Operaciones[[#This Row], 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 [Concepto Anterior]],Conceptos_Control_Operaciones[#All],5,0),"")</f>
        <v/>
      </c>
      <c r="F2937" t="str">
        <f>+IFERROR(VLOOKUP(Fact_Control_Operaciones[[#This Row], 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ht="18.75" customHeight="1" x14ac:dyDescent="0.35">
      <c r="C2938" s="100" t="str">
        <f>IF(OR(Fact_Control_Operaciones[[#This Row], [Año]]="",Fact_Control_Operaciones[[#This Row], 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 [Concepto Anterior]],Conceptos_Control_Operaciones[#All],5,0),"")</f>
        <v/>
      </c>
      <c r="F2938" t="str">
        <f>+IFERROR(VLOOKUP(Fact_Control_Operaciones[[#This Row], 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ht="18.75" customHeight="1" x14ac:dyDescent="0.35">
      <c r="C2939" s="100" t="str">
        <f>IF(OR(Fact_Control_Operaciones[[#This Row], [Año]]="",Fact_Control_Operaciones[[#This Row], 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 [Concepto Anterior]],Conceptos_Control_Operaciones[#All],5,0),"")</f>
        <v/>
      </c>
      <c r="F2939" t="str">
        <f>+IFERROR(VLOOKUP(Fact_Control_Operaciones[[#This Row], 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ht="18.75" customHeight="1" x14ac:dyDescent="0.35">
      <c r="C2940" s="100" t="str">
        <f>IF(OR(Fact_Control_Operaciones[[#This Row], [Año]]="",Fact_Control_Operaciones[[#This Row], 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 [Concepto Anterior]],Conceptos_Control_Operaciones[#All],5,0),"")</f>
        <v/>
      </c>
      <c r="F2940" t="str">
        <f>+IFERROR(VLOOKUP(Fact_Control_Operaciones[[#This Row], 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ht="18.75" customHeight="1" x14ac:dyDescent="0.35">
      <c r="C2941" s="100" t="str">
        <f>IF(OR(Fact_Control_Operaciones[[#This Row], [Año]]="",Fact_Control_Operaciones[[#This Row], 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 [Concepto Anterior]],Conceptos_Control_Operaciones[#All],5,0),"")</f>
        <v/>
      </c>
      <c r="F2941" t="str">
        <f>+IFERROR(VLOOKUP(Fact_Control_Operaciones[[#This Row], 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ht="18.75" customHeight="1" x14ac:dyDescent="0.35">
      <c r="C2942" s="100" t="str">
        <f>IF(OR(Fact_Control_Operaciones[[#This Row], [Año]]="",Fact_Control_Operaciones[[#This Row], 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 [Concepto Anterior]],Conceptos_Control_Operaciones[#All],5,0),"")</f>
        <v/>
      </c>
      <c r="F2942" t="str">
        <f>+IFERROR(VLOOKUP(Fact_Control_Operaciones[[#This Row], 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ht="18.75" customHeight="1" x14ac:dyDescent="0.35">
      <c r="C2943" s="100" t="str">
        <f>IF(OR(Fact_Control_Operaciones[[#This Row], [Año]]="",Fact_Control_Operaciones[[#This Row], 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 [Concepto Anterior]],Conceptos_Control_Operaciones[#All],5,0),"")</f>
        <v/>
      </c>
      <c r="F2943" t="str">
        <f>+IFERROR(VLOOKUP(Fact_Control_Operaciones[[#This Row], 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ht="18.75" customHeight="1" x14ac:dyDescent="0.35">
      <c r="C2944" s="100" t="str">
        <f>IF(OR(Fact_Control_Operaciones[[#This Row], [Año]]="",Fact_Control_Operaciones[[#This Row], 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 [Concepto Anterior]],Conceptos_Control_Operaciones[#All],5,0),"")</f>
        <v/>
      </c>
      <c r="F2944" t="str">
        <f>+IFERROR(VLOOKUP(Fact_Control_Operaciones[[#This Row], 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ht="18.75" customHeight="1" x14ac:dyDescent="0.35">
      <c r="C2945" s="100" t="str">
        <f>IF(OR(Fact_Control_Operaciones[[#This Row], [Año]]="",Fact_Control_Operaciones[[#This Row], 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 [Concepto Anterior]],Conceptos_Control_Operaciones[#All],5,0),"")</f>
        <v/>
      </c>
      <c r="F2945" t="str">
        <f>+IFERROR(VLOOKUP(Fact_Control_Operaciones[[#This Row], 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ht="18.75" customHeight="1" x14ac:dyDescent="0.35">
      <c r="C2946" s="100" t="str">
        <f>IF(OR(Fact_Control_Operaciones[[#This Row], [Año]]="",Fact_Control_Operaciones[[#This Row], 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 [Concepto Anterior]],Conceptos_Control_Operaciones[#All],5,0),"")</f>
        <v/>
      </c>
      <c r="F2946" t="str">
        <f>+IFERROR(VLOOKUP(Fact_Control_Operaciones[[#This Row], 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ht="18.75" customHeight="1" x14ac:dyDescent="0.35">
      <c r="C2947" s="100" t="str">
        <f>IF(OR(Fact_Control_Operaciones[[#This Row], [Año]]="",Fact_Control_Operaciones[[#This Row], 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 [Concepto Anterior]],Conceptos_Control_Operaciones[#All],5,0),"")</f>
        <v/>
      </c>
      <c r="F2947" t="str">
        <f>+IFERROR(VLOOKUP(Fact_Control_Operaciones[[#This Row], 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ht="18.75" customHeight="1" x14ac:dyDescent="0.35">
      <c r="C2948" s="100" t="str">
        <f>IF(OR(Fact_Control_Operaciones[[#This Row], [Año]]="",Fact_Control_Operaciones[[#This Row], 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 [Concepto Anterior]],Conceptos_Control_Operaciones[#All],5,0),"")</f>
        <v/>
      </c>
      <c r="F2948" t="str">
        <f>+IFERROR(VLOOKUP(Fact_Control_Operaciones[[#This Row], 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ht="18.75" customHeight="1" x14ac:dyDescent="0.35">
      <c r="C2949" s="100" t="str">
        <f>IF(OR(Fact_Control_Operaciones[[#This Row], [Año]]="",Fact_Control_Operaciones[[#This Row], 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 [Concepto Anterior]],Conceptos_Control_Operaciones[#All],5,0),"")</f>
        <v/>
      </c>
      <c r="F2949" t="str">
        <f>+IFERROR(VLOOKUP(Fact_Control_Operaciones[[#This Row], 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ht="18.75" customHeight="1" x14ac:dyDescent="0.35">
      <c r="C2950" s="100" t="str">
        <f>IF(OR(Fact_Control_Operaciones[[#This Row], [Año]]="",Fact_Control_Operaciones[[#This Row], 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 [Concepto Anterior]],Conceptos_Control_Operaciones[#All],5,0),"")</f>
        <v/>
      </c>
      <c r="F2950" t="str">
        <f>+IFERROR(VLOOKUP(Fact_Control_Operaciones[[#This Row], 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ht="18.75" customHeight="1" x14ac:dyDescent="0.35">
      <c r="C2951" s="100" t="str">
        <f>IF(OR(Fact_Control_Operaciones[[#This Row], [Año]]="",Fact_Control_Operaciones[[#This Row], 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 [Concepto Anterior]],Conceptos_Control_Operaciones[#All],5,0),"")</f>
        <v/>
      </c>
      <c r="F2951" t="str">
        <f>+IFERROR(VLOOKUP(Fact_Control_Operaciones[[#This Row], 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ht="18.75" customHeight="1" x14ac:dyDescent="0.35">
      <c r="C2952" s="100" t="str">
        <f>IF(OR(Fact_Control_Operaciones[[#This Row], [Año]]="",Fact_Control_Operaciones[[#This Row], 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 [Concepto Anterior]],Conceptos_Control_Operaciones[#All],5,0),"")</f>
        <v/>
      </c>
      <c r="F2952" t="str">
        <f>+IFERROR(VLOOKUP(Fact_Control_Operaciones[[#This Row], 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ht="18.75" customHeight="1" x14ac:dyDescent="0.35">
      <c r="C2953" s="100" t="str">
        <f>IF(OR(Fact_Control_Operaciones[[#This Row], [Año]]="",Fact_Control_Operaciones[[#This Row], 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 [Concepto Anterior]],Conceptos_Control_Operaciones[#All],5,0),"")</f>
        <v/>
      </c>
      <c r="F2953" t="str">
        <f>+IFERROR(VLOOKUP(Fact_Control_Operaciones[[#This Row], 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ht="18.75" customHeight="1" x14ac:dyDescent="0.35">
      <c r="C2954" s="100" t="str">
        <f>IF(OR(Fact_Control_Operaciones[[#This Row], [Año]]="",Fact_Control_Operaciones[[#This Row], 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 [Concepto Anterior]],Conceptos_Control_Operaciones[#All],5,0),"")</f>
        <v/>
      </c>
      <c r="F2954" t="str">
        <f>+IFERROR(VLOOKUP(Fact_Control_Operaciones[[#This Row], 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ht="18.75" customHeight="1" x14ac:dyDescent="0.35">
      <c r="C2955" s="100" t="str">
        <f>IF(OR(Fact_Control_Operaciones[[#This Row], [Año]]="",Fact_Control_Operaciones[[#This Row], 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 [Concepto Anterior]],Conceptos_Control_Operaciones[#All],5,0),"")</f>
        <v/>
      </c>
      <c r="F2955" t="str">
        <f>+IFERROR(VLOOKUP(Fact_Control_Operaciones[[#This Row], 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ht="18.75" customHeight="1" x14ac:dyDescent="0.35">
      <c r="C2956" s="100" t="str">
        <f>IF(OR(Fact_Control_Operaciones[[#This Row], [Año]]="",Fact_Control_Operaciones[[#This Row], 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 [Concepto Anterior]],Conceptos_Control_Operaciones[#All],5,0),"")</f>
        <v/>
      </c>
      <c r="F2956" t="str">
        <f>+IFERROR(VLOOKUP(Fact_Control_Operaciones[[#This Row], 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ht="18.75" customHeight="1" x14ac:dyDescent="0.35">
      <c r="C2957" s="100" t="str">
        <f>IF(OR(Fact_Control_Operaciones[[#This Row], [Año]]="",Fact_Control_Operaciones[[#This Row], 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 [Concepto Anterior]],Conceptos_Control_Operaciones[#All],5,0),"")</f>
        <v/>
      </c>
      <c r="F2957" t="str">
        <f>+IFERROR(VLOOKUP(Fact_Control_Operaciones[[#This Row], 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ht="18.75" customHeight="1" x14ac:dyDescent="0.35">
      <c r="C2958" s="100" t="str">
        <f>IF(OR(Fact_Control_Operaciones[[#This Row], [Año]]="",Fact_Control_Operaciones[[#This Row], 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 [Concepto Anterior]],Conceptos_Control_Operaciones[#All],5,0),"")</f>
        <v/>
      </c>
      <c r="F2958" t="str">
        <f>+IFERROR(VLOOKUP(Fact_Control_Operaciones[[#This Row], 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ht="18.75" customHeight="1" x14ac:dyDescent="0.35">
      <c r="C2959" s="100" t="str">
        <f>IF(OR(Fact_Control_Operaciones[[#This Row], [Año]]="",Fact_Control_Operaciones[[#This Row], 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 [Concepto Anterior]],Conceptos_Control_Operaciones[#All],5,0),"")</f>
        <v/>
      </c>
      <c r="F2959" t="str">
        <f>+IFERROR(VLOOKUP(Fact_Control_Operaciones[[#This Row], 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ht="18.75" customHeight="1" x14ac:dyDescent="0.35">
      <c r="C2960" s="100" t="str">
        <f>IF(OR(Fact_Control_Operaciones[[#This Row], [Año]]="",Fact_Control_Operaciones[[#This Row], 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 [Concepto Anterior]],Conceptos_Control_Operaciones[#All],5,0),"")</f>
        <v/>
      </c>
      <c r="F2960" t="str">
        <f>+IFERROR(VLOOKUP(Fact_Control_Operaciones[[#This Row], 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ht="18.75" customHeight="1" x14ac:dyDescent="0.35">
      <c r="C2961" s="100" t="str">
        <f>IF(OR(Fact_Control_Operaciones[[#This Row], [Año]]="",Fact_Control_Operaciones[[#This Row], 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 [Concepto Anterior]],Conceptos_Control_Operaciones[#All],5,0),"")</f>
        <v/>
      </c>
      <c r="F2961" t="str">
        <f>+IFERROR(VLOOKUP(Fact_Control_Operaciones[[#This Row], 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ht="18.75" customHeight="1" x14ac:dyDescent="0.35">
      <c r="C2962" s="100" t="str">
        <f>IF(OR(Fact_Control_Operaciones[[#This Row], [Año]]="",Fact_Control_Operaciones[[#This Row], 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 [Concepto Anterior]],Conceptos_Control_Operaciones[#All],5,0),"")</f>
        <v/>
      </c>
      <c r="F2962" t="str">
        <f>+IFERROR(VLOOKUP(Fact_Control_Operaciones[[#This Row], 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ht="18.75" customHeight="1" x14ac:dyDescent="0.35">
      <c r="C2963" s="100" t="str">
        <f>IF(OR(Fact_Control_Operaciones[[#This Row], [Año]]="",Fact_Control_Operaciones[[#This Row], 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 [Concepto Anterior]],Conceptos_Control_Operaciones[#All],5,0),"")</f>
        <v/>
      </c>
      <c r="F2963" t="str">
        <f>+IFERROR(VLOOKUP(Fact_Control_Operaciones[[#This Row], 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ht="18.75" customHeight="1" x14ac:dyDescent="0.35">
      <c r="C2964" s="100" t="str">
        <f>IF(OR(Fact_Control_Operaciones[[#This Row], [Año]]="",Fact_Control_Operaciones[[#This Row], 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 [Concepto Anterior]],Conceptos_Control_Operaciones[#All],5,0),"")</f>
        <v/>
      </c>
      <c r="F2964" t="str">
        <f>+IFERROR(VLOOKUP(Fact_Control_Operaciones[[#This Row], 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ht="18.75" customHeight="1" x14ac:dyDescent="0.35">
      <c r="C2965" s="100" t="str">
        <f>IF(OR(Fact_Control_Operaciones[[#This Row], [Año]]="",Fact_Control_Operaciones[[#This Row], 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 [Concepto Anterior]],Conceptos_Control_Operaciones[#All],5,0),"")</f>
        <v/>
      </c>
      <c r="F2965" t="str">
        <f>+IFERROR(VLOOKUP(Fact_Control_Operaciones[[#This Row], 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ht="18.75" customHeight="1" x14ac:dyDescent="0.35">
      <c r="C2966" s="100" t="str">
        <f>IF(OR(Fact_Control_Operaciones[[#This Row], [Año]]="",Fact_Control_Operaciones[[#This Row], 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 [Concepto Anterior]],Conceptos_Control_Operaciones[#All],5,0),"")</f>
        <v/>
      </c>
      <c r="F2966" t="str">
        <f>+IFERROR(VLOOKUP(Fact_Control_Operaciones[[#This Row], 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ht="18.75" customHeight="1" x14ac:dyDescent="0.35">
      <c r="C2967" s="100" t="str">
        <f>IF(OR(Fact_Control_Operaciones[[#This Row], [Año]]="",Fact_Control_Operaciones[[#This Row], 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 [Concepto Anterior]],Conceptos_Control_Operaciones[#All],5,0),"")</f>
        <v/>
      </c>
      <c r="F2967" t="str">
        <f>+IFERROR(VLOOKUP(Fact_Control_Operaciones[[#This Row], 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ht="18.75" customHeight="1" x14ac:dyDescent="0.35">
      <c r="C2968" s="100" t="str">
        <f>IF(OR(Fact_Control_Operaciones[[#This Row], [Año]]="",Fact_Control_Operaciones[[#This Row], 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 [Concepto Anterior]],Conceptos_Control_Operaciones[#All],5,0),"")</f>
        <v/>
      </c>
      <c r="F2968" t="str">
        <f>+IFERROR(VLOOKUP(Fact_Control_Operaciones[[#This Row], 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ht="18.75" customHeight="1" x14ac:dyDescent="0.35">
      <c r="C2969" s="100" t="str">
        <f>IF(OR(Fact_Control_Operaciones[[#This Row], [Año]]="",Fact_Control_Operaciones[[#This Row], 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 [Concepto Anterior]],Conceptos_Control_Operaciones[#All],5,0),"")</f>
        <v/>
      </c>
      <c r="F2969" t="str">
        <f>+IFERROR(VLOOKUP(Fact_Control_Operaciones[[#This Row], 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ht="18.75" customHeight="1" x14ac:dyDescent="0.35">
      <c r="C2970" s="100" t="str">
        <f>IF(OR(Fact_Control_Operaciones[[#This Row], [Año]]="",Fact_Control_Operaciones[[#This Row], 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 [Concepto Anterior]],Conceptos_Control_Operaciones[#All],5,0),"")</f>
        <v/>
      </c>
      <c r="F2970" t="str">
        <f>+IFERROR(VLOOKUP(Fact_Control_Operaciones[[#This Row], 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ht="18.75" customHeight="1" x14ac:dyDescent="0.35">
      <c r="C2971" s="100" t="str">
        <f>IF(OR(Fact_Control_Operaciones[[#This Row], [Año]]="",Fact_Control_Operaciones[[#This Row], 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 [Concepto Anterior]],Conceptos_Control_Operaciones[#All],5,0),"")</f>
        <v/>
      </c>
      <c r="F2971" t="str">
        <f>+IFERROR(VLOOKUP(Fact_Control_Operaciones[[#This Row], 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ht="18.75" customHeight="1" x14ac:dyDescent="0.35">
      <c r="C2972" s="100" t="str">
        <f>IF(OR(Fact_Control_Operaciones[[#This Row], [Año]]="",Fact_Control_Operaciones[[#This Row], 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 [Concepto Anterior]],Conceptos_Control_Operaciones[#All],5,0),"")</f>
        <v/>
      </c>
      <c r="F2972" t="str">
        <f>+IFERROR(VLOOKUP(Fact_Control_Operaciones[[#This Row], 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ht="18.75" customHeight="1" x14ac:dyDescent="0.35">
      <c r="C2973" s="100" t="str">
        <f>IF(OR(Fact_Control_Operaciones[[#This Row], [Año]]="",Fact_Control_Operaciones[[#This Row], 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 [Concepto Anterior]],Conceptos_Control_Operaciones[#All],5,0),"")</f>
        <v/>
      </c>
      <c r="F2973" t="str">
        <f>+IFERROR(VLOOKUP(Fact_Control_Operaciones[[#This Row], 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ht="18.75" customHeight="1" x14ac:dyDescent="0.35">
      <c r="C2974" s="100" t="str">
        <f>IF(OR(Fact_Control_Operaciones[[#This Row], [Año]]="",Fact_Control_Operaciones[[#This Row], 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 [Concepto Anterior]],Conceptos_Control_Operaciones[#All],5,0),"")</f>
        <v/>
      </c>
      <c r="F2974" t="str">
        <f>+IFERROR(VLOOKUP(Fact_Control_Operaciones[[#This Row], 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ht="18.75" customHeight="1" x14ac:dyDescent="0.35">
      <c r="C2975" s="100" t="str">
        <f>IF(OR(Fact_Control_Operaciones[[#This Row], [Año]]="",Fact_Control_Operaciones[[#This Row], 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 [Concepto Anterior]],Conceptos_Control_Operaciones[#All],5,0),"")</f>
        <v/>
      </c>
      <c r="F2975" t="str">
        <f>+IFERROR(VLOOKUP(Fact_Control_Operaciones[[#This Row], 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ht="18.75" customHeight="1" x14ac:dyDescent="0.35">
      <c r="C2976" s="100" t="str">
        <f>IF(OR(Fact_Control_Operaciones[[#This Row], [Año]]="",Fact_Control_Operaciones[[#This Row], 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 [Concepto Anterior]],Conceptos_Control_Operaciones[#All],5,0),"")</f>
        <v/>
      </c>
      <c r="F2976" t="str">
        <f>+IFERROR(VLOOKUP(Fact_Control_Operaciones[[#This Row], 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ht="18.75" customHeight="1" x14ac:dyDescent="0.35">
      <c r="C2977" s="100" t="str">
        <f>IF(OR(Fact_Control_Operaciones[[#This Row], [Año]]="",Fact_Control_Operaciones[[#This Row], 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 [Concepto Anterior]],Conceptos_Control_Operaciones[#All],5,0),"")</f>
        <v/>
      </c>
      <c r="F2977" t="str">
        <f>+IFERROR(VLOOKUP(Fact_Control_Operaciones[[#This Row], 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ht="18.75" customHeight="1" x14ac:dyDescent="0.35">
      <c r="C2978" s="100" t="str">
        <f>IF(OR(Fact_Control_Operaciones[[#This Row], [Año]]="",Fact_Control_Operaciones[[#This Row], 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 [Concepto Anterior]],Conceptos_Control_Operaciones[#All],5,0),"")</f>
        <v/>
      </c>
      <c r="F2978" t="str">
        <f>+IFERROR(VLOOKUP(Fact_Control_Operaciones[[#This Row], 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ht="18.75" customHeight="1" x14ac:dyDescent="0.35">
      <c r="C2979" s="100" t="str">
        <f>IF(OR(Fact_Control_Operaciones[[#This Row], [Año]]="",Fact_Control_Operaciones[[#This Row], 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 [Concepto Anterior]],Conceptos_Control_Operaciones[#All],5,0),"")</f>
        <v/>
      </c>
      <c r="F2979" t="str">
        <f>+IFERROR(VLOOKUP(Fact_Control_Operaciones[[#This Row], 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ht="18.75" customHeight="1" x14ac:dyDescent="0.35">
      <c r="C2980" s="100" t="str">
        <f>IF(OR(Fact_Control_Operaciones[[#This Row], [Año]]="",Fact_Control_Operaciones[[#This Row], 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 [Concepto Anterior]],Conceptos_Control_Operaciones[#All],5,0),"")</f>
        <v/>
      </c>
      <c r="F2980" t="str">
        <f>+IFERROR(VLOOKUP(Fact_Control_Operaciones[[#This Row], 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ht="18.75" customHeight="1" x14ac:dyDescent="0.35">
      <c r="C2981" s="100" t="str">
        <f>IF(OR(Fact_Control_Operaciones[[#This Row], [Año]]="",Fact_Control_Operaciones[[#This Row], 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 [Concepto Anterior]],Conceptos_Control_Operaciones[#All],5,0),"")</f>
        <v/>
      </c>
      <c r="F2981" t="str">
        <f>+IFERROR(VLOOKUP(Fact_Control_Operaciones[[#This Row], 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ht="18.75" customHeight="1" x14ac:dyDescent="0.35">
      <c r="C2982" s="100" t="str">
        <f>IF(OR(Fact_Control_Operaciones[[#This Row], [Año]]="",Fact_Control_Operaciones[[#This Row], 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 [Concepto Anterior]],Conceptos_Control_Operaciones[#All],5,0),"")</f>
        <v/>
      </c>
      <c r="F2982" t="str">
        <f>+IFERROR(VLOOKUP(Fact_Control_Operaciones[[#This Row], 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ht="18.75" customHeight="1" x14ac:dyDescent="0.35">
      <c r="C2983" s="100" t="str">
        <f>IF(OR(Fact_Control_Operaciones[[#This Row], [Año]]="",Fact_Control_Operaciones[[#This Row], 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 [Concepto Anterior]],Conceptos_Control_Operaciones[#All],5,0),"")</f>
        <v/>
      </c>
      <c r="F2983" t="str">
        <f>+IFERROR(VLOOKUP(Fact_Control_Operaciones[[#This Row], 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ht="18.75" customHeight="1" x14ac:dyDescent="0.35">
      <c r="C2984" s="100" t="str">
        <f>IF(OR(Fact_Control_Operaciones[[#This Row], [Año]]="",Fact_Control_Operaciones[[#This Row], 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 [Concepto Anterior]],Conceptos_Control_Operaciones[#All],5,0),"")</f>
        <v/>
      </c>
      <c r="F2984" t="str">
        <f>+IFERROR(VLOOKUP(Fact_Control_Operaciones[[#This Row], 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ht="18.75" customHeight="1" x14ac:dyDescent="0.35">
      <c r="C2985" s="100" t="str">
        <f>IF(OR(Fact_Control_Operaciones[[#This Row], [Año]]="",Fact_Control_Operaciones[[#This Row], 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 [Concepto Anterior]],Conceptos_Control_Operaciones[#All],5,0),"")</f>
        <v/>
      </c>
      <c r="F2985" t="str">
        <f>+IFERROR(VLOOKUP(Fact_Control_Operaciones[[#This Row], 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ht="18.75" customHeight="1" x14ac:dyDescent="0.35">
      <c r="C2986" s="100" t="str">
        <f>IF(OR(Fact_Control_Operaciones[[#This Row], [Año]]="",Fact_Control_Operaciones[[#This Row], 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 [Concepto Anterior]],Conceptos_Control_Operaciones[#All],5,0),"")</f>
        <v/>
      </c>
      <c r="F2986" t="str">
        <f>+IFERROR(VLOOKUP(Fact_Control_Operaciones[[#This Row], 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ht="18.75" customHeight="1" x14ac:dyDescent="0.35">
      <c r="C2987" s="100" t="str">
        <f>IF(OR(Fact_Control_Operaciones[[#This Row], [Año]]="",Fact_Control_Operaciones[[#This Row], 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 [Concepto Anterior]],Conceptos_Control_Operaciones[#All],5,0),"")</f>
        <v/>
      </c>
      <c r="F2987" t="str">
        <f>+IFERROR(VLOOKUP(Fact_Control_Operaciones[[#This Row], 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ht="18.75" customHeight="1" x14ac:dyDescent="0.35">
      <c r="C2988" s="100" t="str">
        <f>IF(OR(Fact_Control_Operaciones[[#This Row], [Año]]="",Fact_Control_Operaciones[[#This Row], 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 [Concepto Anterior]],Conceptos_Control_Operaciones[#All],5,0),"")</f>
        <v/>
      </c>
      <c r="F2988" t="str">
        <f>+IFERROR(VLOOKUP(Fact_Control_Operaciones[[#This Row], 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ht="18.75" customHeight="1" x14ac:dyDescent="0.35">
      <c r="C2989" s="100" t="str">
        <f>IF(OR(Fact_Control_Operaciones[[#This Row], [Año]]="",Fact_Control_Operaciones[[#This Row], 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 [Concepto Anterior]],Conceptos_Control_Operaciones[#All],5,0),"")</f>
        <v/>
      </c>
      <c r="F2989" t="str">
        <f>+IFERROR(VLOOKUP(Fact_Control_Operaciones[[#This Row], 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ht="18.75" customHeight="1" x14ac:dyDescent="0.35">
      <c r="C2990" s="100" t="str">
        <f>IF(OR(Fact_Control_Operaciones[[#This Row], [Año]]="",Fact_Control_Operaciones[[#This Row], 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 [Concepto Anterior]],Conceptos_Control_Operaciones[#All],5,0),"")</f>
        <v/>
      </c>
      <c r="F2990" t="str">
        <f>+IFERROR(VLOOKUP(Fact_Control_Operaciones[[#This Row], 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ht="18.75" customHeight="1" x14ac:dyDescent="0.35">
      <c r="C2991" s="100" t="str">
        <f>IF(OR(Fact_Control_Operaciones[[#This Row], [Año]]="",Fact_Control_Operaciones[[#This Row], 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 [Concepto Anterior]],Conceptos_Control_Operaciones[#All],5,0),"")</f>
        <v/>
      </c>
      <c r="F2991" t="str">
        <f>+IFERROR(VLOOKUP(Fact_Control_Operaciones[[#This Row], 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ht="18.75" customHeight="1" x14ac:dyDescent="0.35">
      <c r="C2992" s="100" t="str">
        <f>IF(OR(Fact_Control_Operaciones[[#This Row], [Año]]="",Fact_Control_Operaciones[[#This Row], 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 [Concepto Anterior]],Conceptos_Control_Operaciones[#All],5,0),"")</f>
        <v/>
      </c>
      <c r="F2992" t="str">
        <f>+IFERROR(VLOOKUP(Fact_Control_Operaciones[[#This Row], 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ht="18.75" customHeight="1" x14ac:dyDescent="0.35">
      <c r="C2993" s="100" t="str">
        <f>IF(OR(Fact_Control_Operaciones[[#This Row], [Año]]="",Fact_Control_Operaciones[[#This Row], 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 [Concepto Anterior]],Conceptos_Control_Operaciones[#All],5,0),"")</f>
        <v/>
      </c>
      <c r="F2993" t="str">
        <f>+IFERROR(VLOOKUP(Fact_Control_Operaciones[[#This Row], 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ht="18.75" customHeight="1" x14ac:dyDescent="0.35">
      <c r="C2994" s="100" t="str">
        <f>IF(OR(Fact_Control_Operaciones[[#This Row], [Año]]="",Fact_Control_Operaciones[[#This Row], 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 [Concepto Anterior]],Conceptos_Control_Operaciones[#All],5,0),"")</f>
        <v/>
      </c>
      <c r="F2994" t="str">
        <f>+IFERROR(VLOOKUP(Fact_Control_Operaciones[[#This Row], 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ht="18.75" customHeight="1" x14ac:dyDescent="0.35">
      <c r="C2995" s="100" t="str">
        <f>IF(OR(Fact_Control_Operaciones[[#This Row], [Año]]="",Fact_Control_Operaciones[[#This Row], 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 [Concepto Anterior]],Conceptos_Control_Operaciones[#All],5,0),"")</f>
        <v/>
      </c>
      <c r="F2995" t="str">
        <f>+IFERROR(VLOOKUP(Fact_Control_Operaciones[[#This Row], 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ht="18.75" customHeight="1" x14ac:dyDescent="0.35">
      <c r="C2996" s="100" t="str">
        <f>IF(OR(Fact_Control_Operaciones[[#This Row], [Año]]="",Fact_Control_Operaciones[[#This Row], 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 [Concepto Anterior]],Conceptos_Control_Operaciones[#All],5,0),"")</f>
        <v/>
      </c>
      <c r="F2996" t="str">
        <f>+IFERROR(VLOOKUP(Fact_Control_Operaciones[[#This Row], 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ht="18.75" customHeight="1" x14ac:dyDescent="0.35">
      <c r="C2997" s="100" t="str">
        <f>IF(OR(Fact_Control_Operaciones[[#This Row], [Año]]="",Fact_Control_Operaciones[[#This Row], 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 [Concepto Anterior]],Conceptos_Control_Operaciones[#All],5,0),"")</f>
        <v/>
      </c>
      <c r="F2997" t="str">
        <f>+IFERROR(VLOOKUP(Fact_Control_Operaciones[[#This Row], 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ht="18.75" customHeight="1" x14ac:dyDescent="0.35">
      <c r="C2998" s="100" t="str">
        <f>IF(OR(Fact_Control_Operaciones[[#This Row], [Año]]="",Fact_Control_Operaciones[[#This Row], 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 [Concepto Anterior]],Conceptos_Control_Operaciones[#All],5,0),"")</f>
        <v/>
      </c>
      <c r="F2998" t="str">
        <f>+IFERROR(VLOOKUP(Fact_Control_Operaciones[[#This Row], 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ht="18.75" customHeight="1" x14ac:dyDescent="0.35">
      <c r="C2999" s="100" t="str">
        <f>IF(OR(Fact_Control_Operaciones[[#This Row], [Año]]="",Fact_Control_Operaciones[[#This Row], 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 [Concepto Anterior]],Conceptos_Control_Operaciones[#All],5,0),"")</f>
        <v/>
      </c>
      <c r="F2999" t="str">
        <f>+IFERROR(VLOOKUP(Fact_Control_Operaciones[[#This Row], 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ht="18.75" customHeight="1" x14ac:dyDescent="0.35">
      <c r="C3000" s="100" t="str">
        <f>IF(OR(Fact_Control_Operaciones[[#This Row], [Año]]="",Fact_Control_Operaciones[[#This Row], 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 [Concepto Anterior]],Conceptos_Control_Operaciones[#All],5,0),"")</f>
        <v/>
      </c>
      <c r="F3000" t="str">
        <f>+IFERROR(VLOOKUP(Fact_Control_Operaciones[[#This Row], 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81640625" bestFit="1" customWidth="1"/>
    <col min="3" max="3" width="15.453125" style="101" bestFit="1" customWidth="1"/>
    <col min="4" max="4" width="60.54296875" bestFit="1" customWidth="1"/>
    <col min="5" max="5" width="45.81640625" bestFit="1" customWidth="1"/>
    <col min="6" max="6" width="13.81640625" bestFit="1" customWidth="1"/>
    <col min="7" max="8" width="18.453125" bestFit="1" customWidth="1"/>
    <col min="9" max="10" width="13.54296875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IF(OR(Fact_Impuestos[[#This Row], [Año]]="",Fact_Impuestos[[#This Row], [Mes]]=""),"",DATE(A2,MATCH(B2,{"enero","febrero","marzo","abril","mayo","junio","julio","agosto","septiembre","octubre","noviembre","diciembre"},0)+1,0))</f>
        <v>45322</v>
      </c>
      <c r="D2" t="s">
        <v>92</v>
      </c>
      <c r="E2" t="str">
        <f>+IFERROR(VLOOKUP(Fact_Impuestos[[#This Row], [Concepto Anterior]],Conceptos_Impuestos[#All],5,0),"")</f>
        <v xml:space="preserve">Fiscalizaciones DIAN - Municipios </v>
      </c>
      <c r="F2" t="str">
        <f ca="1">+IFERROR(VLOOKUP(Fact_Impuestos[[#This Row], [Concepto Anterior]],Conceptos_Impuestos[#All],7,0),"")</f>
        <v/>
      </c>
      <c r="G2" t="s">
        <v>172</v>
      </c>
      <c r="H2" t="s">
        <v>172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IF(OR(Fact_Impuestos[[#This Row], [Año]]="",Fact_Impuestos[[#This Row], [Mes]]=""),"",DATE(A3,MATCH(B3,{"enero","febrero","marzo","abril","mayo","junio","julio","agosto","septiembre","octubre","noviembre","diciembre"},0)+1,0))</f>
        <v>45322</v>
      </c>
      <c r="D3" t="s">
        <v>99</v>
      </c>
      <c r="E3" t="str">
        <f>+IFERROR(VLOOKUP(Fact_Impuestos[[#This Row], [Concepto Anterior]],Conceptos_Impuestos[#All],5,0),"")</f>
        <v>Cancelación NIT</v>
      </c>
      <c r="F3" t="str">
        <f ca="1">+IFERROR(VLOOKUP(Fact_Impuestos[[#This Row], [Concepto Anterior]],Conceptos_Impuestos[#All],7,0),"")</f>
        <v/>
      </c>
      <c r="G3" t="s">
        <v>172</v>
      </c>
      <c r="H3" t="s">
        <v>172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93">
        <v>1</v>
      </c>
    </row>
    <row r="4" spans="1:11" ht="18.75" customHeight="1" x14ac:dyDescent="0.35">
      <c r="A4" s="93">
        <v>2024</v>
      </c>
      <c r="B4" t="s">
        <v>171</v>
      </c>
      <c r="C4" s="100">
        <f>IF(OR(Fact_Impuestos[[#This Row], [Año]]="",Fact_Impuestos[[#This Row], [Mes]]=""),"",DATE(A4,MATCH(B4,{"enero","febrero","marzo","abril","mayo","junio","julio","agosto","septiembre","octubre","noviembre","diciembre"},0)+1,0))</f>
        <v>45322</v>
      </c>
      <c r="D4" t="s">
        <v>95</v>
      </c>
      <c r="E4" t="str">
        <f>+IFERROR(VLOOKUP(Fact_Impuestos[[#This Row], [Concepto Anterior]],Conceptos_Impuestos[#All],5,0),"")</f>
        <v>declaraciones tributarias</v>
      </c>
      <c r="F4" t="str">
        <f ca="1">+IFERROR(VLOOKUP(Fact_Impuestos[[#This Row], [Concepto Anterior]],Conceptos_Impuestos[#All],7,0),"")</f>
        <v/>
      </c>
      <c r="G4" t="s">
        <v>172</v>
      </c>
      <c r="H4" t="s">
        <v>172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93">
        <v>77</v>
      </c>
    </row>
    <row r="5" spans="1:11" ht="18.75" customHeight="1" x14ac:dyDescent="0.35">
      <c r="A5" s="93">
        <v>2024</v>
      </c>
      <c r="B5" t="s">
        <v>171</v>
      </c>
      <c r="C5" s="100">
        <f>IF(OR(Fact_Impuestos[[#This Row], [Año]]="",Fact_Impuestos[[#This Row], [Mes]]=""),"",DATE(A5,MATCH(B5,{"enero","febrero","marzo","abril","mayo","junio","julio","agosto","septiembre","octubre","noviembre","diciembre"},0)+1,0))</f>
        <v>45322</v>
      </c>
      <c r="D5" t="s">
        <v>96</v>
      </c>
      <c r="E5" t="str">
        <f>+IFERROR(VLOOKUP(Fact_Impuestos[[#This Row], [Concepto Anterior]],Conceptos_Impuestos[#All],5,0),"")</f>
        <v>información exógena</v>
      </c>
      <c r="F5" t="str">
        <f ca="1">+IFERROR(VLOOKUP(Fact_Impuestos[[#This Row], [Concepto Anterior]],Conceptos_Impuestos[#All],7,0),"")</f>
        <v/>
      </c>
      <c r="G5" t="s">
        <v>172</v>
      </c>
      <c r="H5" t="s">
        <v>172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93">
        <v>77</v>
      </c>
    </row>
    <row r="6" spans="1:11" ht="18.75" customHeight="1" x14ac:dyDescent="0.35">
      <c r="A6" s="93">
        <v>2024</v>
      </c>
      <c r="B6" t="s">
        <v>171</v>
      </c>
      <c r="C6" s="100">
        <f>IF(OR(Fact_Impuestos[[#This Row], [Año]]="",Fact_Impuestos[[#This Row], [Mes]]=""),"",DATE(A6,MATCH(B6,{"enero","febrero","marzo","abril","mayo","junio","julio","agosto","septiembre","octubre","noviembre","diciembre"},0)+1,0))</f>
        <v>45322</v>
      </c>
      <c r="D6" t="s">
        <v>185</v>
      </c>
      <c r="E6" t="str">
        <f>+IFERROR(VLOOKUP(Fact_Impuestos[[#This Row], [Concepto Anterior]],Conceptos_Impuestos[#All],5,0),"")</f>
        <v>Devolución saldos a favor en renta</v>
      </c>
      <c r="F6" t="str">
        <f ca="1">+IFERROR(VLOOKUP(Fact_Impuestos[[#This Row], [Concepto Anterior]],Conceptos_Impuestos[#All],7,0),"")</f>
        <v/>
      </c>
      <c r="G6" t="s">
        <v>172</v>
      </c>
      <c r="H6" t="s">
        <v>172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IF(OR(Fact_Impuestos[[#This Row], [Año]]="",Fact_Impuestos[[#This Row], [Mes]]=""),"",DATE(A7,MATCH(B7,{"enero","febrero","marzo","abril","mayo","junio","julio","agosto","septiembre","octubre","noviembre","diciembre"},0)+1,0))</f>
        <v>45322</v>
      </c>
      <c r="D7" t="s">
        <v>98</v>
      </c>
      <c r="E7" t="str">
        <f>+IFERROR(VLOOKUP(Fact_Impuestos[[#This Row], [Concepto Anterior]],Conceptos_Impuestos[#All],5,0),"")</f>
        <v>Eficiencia en ICA por ingresos producidos compra de paquete completo</v>
      </c>
      <c r="F7" t="str">
        <f ca="1">+IFERROR(VLOOKUP(Fact_Impuestos[[#This Row], [Concepto Anterior]],Conceptos_Impuestos[#All],7,0),"")</f>
        <v/>
      </c>
      <c r="G7" t="s">
        <v>172</v>
      </c>
      <c r="H7" t="s">
        <v>172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93">
        <v>0</v>
      </c>
    </row>
    <row r="8" spans="1:11" ht="18.75" customHeight="1" x14ac:dyDescent="0.35">
      <c r="A8" s="93">
        <v>2024</v>
      </c>
      <c r="B8" t="s">
        <v>171</v>
      </c>
      <c r="C8" s="100">
        <f>IF(OR(Fact_Impuestos[[#This Row], [Año]]="",Fact_Impuestos[[#This Row], [Mes]]=""),"",DATE(A8,MATCH(B8,{"enero","febrero","marzo","abril","mayo","junio","julio","agosto","septiembre","octubre","noviembre","diciembre"},0)+1,0))</f>
        <v>45322</v>
      </c>
      <c r="D8" t="s">
        <v>77</v>
      </c>
      <c r="E8" t="str">
        <f>+IFERROR(VLOOKUP(Fact_Impuestos[[#This Row], [Concepto Anterior]],Conceptos_Impuestos[#All],5,0),"")</f>
        <v>Fusiones</v>
      </c>
      <c r="F8" t="str">
        <f ca="1">+IFERROR(VLOOKUP(Fact_Impuestos[[#This Row], [Concepto Anterior]],Conceptos_Impuestos[#All],7,0),"")</f>
        <v/>
      </c>
      <c r="G8" t="s">
        <v>172</v>
      </c>
      <c r="H8" t="s">
        <v>172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IF(OR(Fact_Impuestos[[#This Row], [Año]]="",Fact_Impuestos[[#This Row], [Mes]]=""),"",DATE(A9,MATCH(B9,{"enero","febrero","marzo","abril","mayo","junio","julio","agosto","septiembre","octubre","noviembre","diciembre"},0)+1,0))</f>
        <v>45322</v>
      </c>
      <c r="D9" t="s">
        <v>100</v>
      </c>
      <c r="E9" t="str">
        <f>+IFERROR(VLOOKUP(Fact_Impuestos[[#This Row], [Concepto Anterior]],Conceptos_Impuestos[#All],5,0),"")</f>
        <v>Iva descontable en la corrección de regalias</v>
      </c>
      <c r="F9" t="str">
        <f ca="1">+IFERROR(VLOOKUP(Fact_Impuestos[[#This Row], [Concepto Anterior]],Conceptos_Impuestos[#All],7,0),"")</f>
        <v/>
      </c>
      <c r="G9" t="s">
        <v>172</v>
      </c>
      <c r="H9" t="s">
        <v>172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IF(OR(Fact_Impuestos[[#This Row], [Año]]="",Fact_Impuestos[[#This Row], [Mes]]=""),"",DATE(A10,MATCH(B10,{"enero","febrero","marzo","abril","mayo","junio","julio","agosto","septiembre","octubre","noviembre","diciembre"},0)+1,0))</f>
        <v>45322</v>
      </c>
      <c r="D10" t="s">
        <v>94</v>
      </c>
      <c r="E10" t="str">
        <f>+IFERROR(VLOOKUP(Fact_Impuestos[[#This Row], [Concepto Anterior]],Conceptos_Impuestos[#All],5,0),"")</f>
        <v>Numeraciones de facturación</v>
      </c>
      <c r="F10" t="str">
        <f ca="1">+IFERROR(VLOOKUP(Fact_Impuestos[[#This Row], [Concepto Anterior]],Conceptos_Impuestos[#All],7,0),"")</f>
        <v/>
      </c>
      <c r="G10" t="s">
        <v>172</v>
      </c>
      <c r="H10" t="s">
        <v>172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93">
        <v>146</v>
      </c>
    </row>
    <row r="11" spans="1:11" ht="18.75" customHeight="1" x14ac:dyDescent="0.35">
      <c r="A11" s="93">
        <v>2024</v>
      </c>
      <c r="B11" t="s">
        <v>171</v>
      </c>
      <c r="C11" s="100">
        <f>IF(OR(Fact_Impuestos[[#This Row], [Año]]="",Fact_Impuestos[[#This Row], [Mes]]=""),"",DATE(A11,MATCH(B11,{"enero","febrero","marzo","abril","mayo","junio","julio","agosto","septiembre","octubre","noviembre","diciembre"},0)+1,0))</f>
        <v>45322</v>
      </c>
      <c r="D11" t="s">
        <v>144</v>
      </c>
      <c r="E11" t="str">
        <f>+IFERROR(VLOOKUP(Fact_Impuestos[[#This Row], [Concepto Anterior]],Conceptos_Impuestos[#All],5,0),"")</f>
        <v>Trámites, Aperturas y Cierres de Tiendas</v>
      </c>
      <c r="F11" t="str">
        <f ca="1">+IFERROR(VLOOKUP(Fact_Impuestos[[#This Row], [Concepto Anterior]],Conceptos_Impuestos[#All],7,0),"")</f>
        <v/>
      </c>
      <c r="G11" t="s">
        <v>172</v>
      </c>
      <c r="H11" t="s">
        <v>172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93">
        <v>2</v>
      </c>
    </row>
    <row r="12" spans="1:11" ht="18.75" customHeight="1" x14ac:dyDescent="0.35">
      <c r="A12" s="93">
        <v>2024</v>
      </c>
      <c r="B12" t="s">
        <v>174</v>
      </c>
      <c r="C12" s="100">
        <f>IF(OR(Fact_Impuestos[[#This Row], [Año]]="",Fact_Impuestos[[#This Row], [Mes]]=""),"",DATE(A12,MATCH(B12,{"enero","febrero","marzo","abril","mayo","junio","julio","agosto","septiembre","octubre","noviembre","diciembre"},0)+1,0))</f>
        <v>45351</v>
      </c>
      <c r="D12" t="s">
        <v>92</v>
      </c>
      <c r="E12" t="str">
        <f>+IFERROR(VLOOKUP(Fact_Impuestos[[#This Row], [Concepto Anterior]],Conceptos_Impuestos[#All],5,0),"")</f>
        <v xml:space="preserve">Fiscalizaciones DIAN - Municipios </v>
      </c>
      <c r="F12" t="str">
        <f ca="1">+IFERROR(VLOOKUP(Fact_Impuestos[[#This Row], [Concepto Anterior]],Conceptos_Impuestos[#All],7,0),"")</f>
        <v/>
      </c>
      <c r="G12" t="s">
        <v>172</v>
      </c>
      <c r="H12" t="s">
        <v>172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93">
        <v>1</v>
      </c>
    </row>
    <row r="13" spans="1:11" ht="18.75" customHeight="1" x14ac:dyDescent="0.35">
      <c r="A13" s="93">
        <v>2024</v>
      </c>
      <c r="B13" t="s">
        <v>174</v>
      </c>
      <c r="C13" s="100">
        <f>IF(OR(Fact_Impuestos[[#This Row], [Año]]="",Fact_Impuestos[[#This Row], [Mes]]=""),"",DATE(A13,MATCH(B13,{"enero","febrero","marzo","abril","mayo","junio","julio","agosto","septiembre","octubre","noviembre","diciembre"},0)+1,0))</f>
        <v>45351</v>
      </c>
      <c r="D13" t="s">
        <v>99</v>
      </c>
      <c r="E13" t="str">
        <f>+IFERROR(VLOOKUP(Fact_Impuestos[[#This Row], [Concepto Anterior]],Conceptos_Impuestos[#All],5,0),"")</f>
        <v>Cancelación NIT</v>
      </c>
      <c r="F13" t="str">
        <f ca="1">+IFERROR(VLOOKUP(Fact_Impuestos[[#This Row], [Concepto Anterior]],Conceptos_Impuestos[#All],7,0),"")</f>
        <v/>
      </c>
      <c r="G13" t="s">
        <v>172</v>
      </c>
      <c r="H13" t="s">
        <v>172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IF(OR(Fact_Impuestos[[#This Row], [Año]]="",Fact_Impuestos[[#This Row], [Mes]]=""),"",DATE(A14,MATCH(B14,{"enero","febrero","marzo","abril","mayo","junio","julio","agosto","septiembre","octubre","noviembre","diciembre"},0)+1,0))</f>
        <v>45351</v>
      </c>
      <c r="D14" t="s">
        <v>95</v>
      </c>
      <c r="E14" t="str">
        <f>+IFERROR(VLOOKUP(Fact_Impuestos[[#This Row], [Concepto Anterior]],Conceptos_Impuestos[#All],5,0),"")</f>
        <v>declaraciones tributarias</v>
      </c>
      <c r="F14" t="str">
        <f ca="1">+IFERROR(VLOOKUP(Fact_Impuestos[[#This Row], [Concepto Anterior]],Conceptos_Impuestos[#All],7,0),"")</f>
        <v/>
      </c>
      <c r="G14" t="s">
        <v>172</v>
      </c>
      <c r="H14" t="s">
        <v>172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93">
        <v>34</v>
      </c>
    </row>
    <row r="15" spans="1:11" ht="18.75" customHeight="1" x14ac:dyDescent="0.35">
      <c r="A15" s="93">
        <v>2024</v>
      </c>
      <c r="B15" t="s">
        <v>174</v>
      </c>
      <c r="C15" s="100">
        <f>IF(OR(Fact_Impuestos[[#This Row], [Año]]="",Fact_Impuestos[[#This Row], [Mes]]=""),"",DATE(A15,MATCH(B15,{"enero","febrero","marzo","abril","mayo","junio","julio","agosto","septiembre","octubre","noviembre","diciembre"},0)+1,0))</f>
        <v>45351</v>
      </c>
      <c r="D15" t="s">
        <v>96</v>
      </c>
      <c r="E15" t="str">
        <f>+IFERROR(VLOOKUP(Fact_Impuestos[[#This Row], [Concepto Anterior]],Conceptos_Impuestos[#All],5,0),"")</f>
        <v>información exógena</v>
      </c>
      <c r="F15" t="str">
        <f ca="1">+IFERROR(VLOOKUP(Fact_Impuestos[[#This Row], [Concepto Anterior]],Conceptos_Impuestos[#All],7,0),"")</f>
        <v/>
      </c>
      <c r="G15" t="s">
        <v>172</v>
      </c>
      <c r="H15" t="s">
        <v>172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93">
        <v>3</v>
      </c>
    </row>
    <row r="16" spans="1:11" ht="18.75" customHeight="1" x14ac:dyDescent="0.35">
      <c r="A16" s="93">
        <v>2024</v>
      </c>
      <c r="B16" t="s">
        <v>174</v>
      </c>
      <c r="C16" s="100">
        <f>IF(OR(Fact_Impuestos[[#This Row], [Año]]="",Fact_Impuestos[[#This Row], [Mes]]=""),"",DATE(A16,MATCH(B16,{"enero","febrero","marzo","abril","mayo","junio","julio","agosto","septiembre","octubre","noviembre","diciembre"},0)+1,0))</f>
        <v>45351</v>
      </c>
      <c r="D16" t="s">
        <v>185</v>
      </c>
      <c r="E16" t="str">
        <f>+IFERROR(VLOOKUP(Fact_Impuestos[[#This Row], [Concepto Anterior]],Conceptos_Impuestos[#All],5,0),"")</f>
        <v>Devolución saldos a favor en renta</v>
      </c>
      <c r="F16" t="str">
        <f ca="1">+IFERROR(VLOOKUP(Fact_Impuestos[[#This Row], [Concepto Anterior]],Conceptos_Impuestos[#All],7,0),"")</f>
        <v/>
      </c>
      <c r="G16" t="s">
        <v>172</v>
      </c>
      <c r="H16" t="s">
        <v>172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93">
        <v>0</v>
      </c>
    </row>
    <row r="17" spans="1:11" ht="18.75" customHeight="1" x14ac:dyDescent="0.35">
      <c r="A17" s="93">
        <v>2024</v>
      </c>
      <c r="B17" t="s">
        <v>174</v>
      </c>
      <c r="C17" s="100">
        <f>IF(OR(Fact_Impuestos[[#This Row], [Año]]="",Fact_Impuestos[[#This Row], [Mes]]=""),"",DATE(A17,MATCH(B17,{"enero","febrero","marzo","abril","mayo","junio","julio","agosto","septiembre","octubre","noviembre","diciembre"},0)+1,0))</f>
        <v>45351</v>
      </c>
      <c r="D17" t="s">
        <v>98</v>
      </c>
      <c r="E17" t="str">
        <f>+IFERROR(VLOOKUP(Fact_Impuestos[[#This Row], [Concepto Anterior]],Conceptos_Impuestos[#All],5,0),"")</f>
        <v>Eficiencia en ICA por ingresos producidos compra de paquete completo</v>
      </c>
      <c r="F17" t="str">
        <f ca="1">+IFERROR(VLOOKUP(Fact_Impuestos[[#This Row], [Concepto Anterior]],Conceptos_Impuestos[#All],7,0),"")</f>
        <v/>
      </c>
      <c r="G17" t="s">
        <v>172</v>
      </c>
      <c r="H17" t="s">
        <v>172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93">
        <v>0</v>
      </c>
    </row>
    <row r="18" spans="1:11" ht="18.75" customHeight="1" x14ac:dyDescent="0.35">
      <c r="A18" s="93">
        <v>2024</v>
      </c>
      <c r="B18" t="s">
        <v>174</v>
      </c>
      <c r="C18" s="100">
        <f>IF(OR(Fact_Impuestos[[#This Row], [Año]]="",Fact_Impuestos[[#This Row], [Mes]]=""),"",DATE(A18,MATCH(B18,{"enero","febrero","marzo","abril","mayo","junio","julio","agosto","septiembre","octubre","noviembre","diciembre"},0)+1,0))</f>
        <v>45351</v>
      </c>
      <c r="D18" t="s">
        <v>77</v>
      </c>
      <c r="E18" t="str">
        <f>+IFERROR(VLOOKUP(Fact_Impuestos[[#This Row], [Concepto Anterior]],Conceptos_Impuestos[#All],5,0),"")</f>
        <v>Fusiones</v>
      </c>
      <c r="F18" t="str">
        <f ca="1">+IFERROR(VLOOKUP(Fact_Impuestos[[#This Row], [Concepto Anterior]],Conceptos_Impuestos[#All],7,0),"")</f>
        <v/>
      </c>
      <c r="G18" t="s">
        <v>172</v>
      </c>
      <c r="H18" t="s">
        <v>172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93">
        <v>1</v>
      </c>
    </row>
    <row r="19" spans="1:11" ht="18.75" customHeight="1" x14ac:dyDescent="0.35">
      <c r="A19" s="93">
        <v>2024</v>
      </c>
      <c r="B19" t="s">
        <v>174</v>
      </c>
      <c r="C19" s="100">
        <f>IF(OR(Fact_Impuestos[[#This Row], [Año]]="",Fact_Impuestos[[#This Row], [Mes]]=""),"",DATE(A19,MATCH(B19,{"enero","febrero","marzo","abril","mayo","junio","julio","agosto","septiembre","octubre","noviembre","diciembre"},0)+1,0))</f>
        <v>45351</v>
      </c>
      <c r="D19" t="s">
        <v>100</v>
      </c>
      <c r="E19" t="str">
        <f>+IFERROR(VLOOKUP(Fact_Impuestos[[#This Row], [Concepto Anterior]],Conceptos_Impuestos[#All],5,0),"")</f>
        <v>Iva descontable en la corrección de regalias</v>
      </c>
      <c r="F19" t="str">
        <f ca="1">+IFERROR(VLOOKUP(Fact_Impuestos[[#This Row], [Concepto Anterior]],Conceptos_Impuestos[#All],7,0),"")</f>
        <v/>
      </c>
      <c r="G19" t="s">
        <v>172</v>
      </c>
      <c r="H19" t="s">
        <v>172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93">
        <v>0</v>
      </c>
    </row>
    <row r="20" spans="1:11" ht="18.75" customHeight="1" x14ac:dyDescent="0.35">
      <c r="A20" s="93">
        <v>2024</v>
      </c>
      <c r="B20" t="s">
        <v>174</v>
      </c>
      <c r="C20" s="100">
        <f>IF(OR(Fact_Impuestos[[#This Row], [Año]]="",Fact_Impuestos[[#This Row], [Mes]]=""),"",DATE(A20,MATCH(B20,{"enero","febrero","marzo","abril","mayo","junio","julio","agosto","septiembre","octubre","noviembre","diciembre"},0)+1,0))</f>
        <v>45351</v>
      </c>
      <c r="D20" t="s">
        <v>94</v>
      </c>
      <c r="E20" t="str">
        <f>+IFERROR(VLOOKUP(Fact_Impuestos[[#This Row], [Concepto Anterior]],Conceptos_Impuestos[#All],5,0),"")</f>
        <v>Numeraciones de facturación</v>
      </c>
      <c r="F20" t="str">
        <f ca="1">+IFERROR(VLOOKUP(Fact_Impuestos[[#This Row], [Concepto Anterior]],Conceptos_Impuestos[#All],7,0),"")</f>
        <v/>
      </c>
      <c r="G20" t="s">
        <v>172</v>
      </c>
      <c r="H20" t="s">
        <v>172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93">
        <v>50</v>
      </c>
    </row>
    <row r="21" spans="1:11" ht="18.75" customHeight="1" x14ac:dyDescent="0.35">
      <c r="A21" s="93">
        <v>2024</v>
      </c>
      <c r="B21" t="s">
        <v>174</v>
      </c>
      <c r="C21" s="100">
        <f>IF(OR(Fact_Impuestos[[#This Row], [Año]]="",Fact_Impuestos[[#This Row], [Mes]]=""),"",DATE(A21,MATCH(B21,{"enero","febrero","marzo","abril","mayo","junio","julio","agosto","septiembre","octubre","noviembre","diciembre"},0)+1,0))</f>
        <v>45351</v>
      </c>
      <c r="D21" t="s">
        <v>144</v>
      </c>
      <c r="E21" t="str">
        <f>+IFERROR(VLOOKUP(Fact_Impuestos[[#This Row], [Concepto Anterior]],Conceptos_Impuestos[#All],5,0),"")</f>
        <v>Trámites, Aperturas y Cierres de Tiendas</v>
      </c>
      <c r="F21" t="str">
        <f ca="1">+IFERROR(VLOOKUP(Fact_Impuestos[[#This Row], [Concepto Anterior]],Conceptos_Impuestos[#All],7,0),"")</f>
        <v/>
      </c>
      <c r="G21" t="s">
        <v>172</v>
      </c>
      <c r="H21" t="s">
        <v>172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93">
        <v>2</v>
      </c>
    </row>
    <row r="22" spans="1:11" ht="18.75" customHeight="1" x14ac:dyDescent="0.35">
      <c r="A22" s="93">
        <v>2024</v>
      </c>
      <c r="B22" t="s">
        <v>175</v>
      </c>
      <c r="C22" s="100">
        <f>IF(OR(Fact_Impuestos[[#This Row], [Año]]="",Fact_Impuestos[[#This Row], [Mes]]=""),"",DATE(A22,MATCH(B22,{"enero","febrero","marzo","abril","mayo","junio","julio","agosto","septiembre","octubre","noviembre","diciembre"},0)+1,0))</f>
        <v>45382</v>
      </c>
      <c r="D22" t="s">
        <v>92</v>
      </c>
      <c r="E22" t="str">
        <f>+IFERROR(VLOOKUP(Fact_Impuestos[[#This Row], [Concepto Anterior]],Conceptos_Impuestos[#All],5,0),"")</f>
        <v xml:space="preserve">Fiscalizaciones DIAN - Municipios </v>
      </c>
      <c r="F22" t="str">
        <f ca="1">+IFERROR(VLOOKUP(Fact_Impuestos[[#This Row], [Concepto Anterior]],Conceptos_Impuestos[#All],7,0),"")</f>
        <v/>
      </c>
      <c r="G22" t="s">
        <v>172</v>
      </c>
      <c r="H22" t="s">
        <v>172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175</v>
      </c>
      <c r="C23" s="100">
        <f>IF(OR(Fact_Impuestos[[#This Row], [Año]]="",Fact_Impuestos[[#This Row], [Mes]]=""),"",DATE(A23,MATCH(B23,{"enero","febrero","marzo","abril","mayo","junio","julio","agosto","septiembre","octubre","noviembre","diciembre"},0)+1,0))</f>
        <v>45382</v>
      </c>
      <c r="D23" t="s">
        <v>99</v>
      </c>
      <c r="E23" t="str">
        <f>+IFERROR(VLOOKUP(Fact_Impuestos[[#This Row], [Concepto Anterior]],Conceptos_Impuestos[#All],5,0),"")</f>
        <v>Cancelación NIT</v>
      </c>
      <c r="F23" t="str">
        <f ca="1">+IFERROR(VLOOKUP(Fact_Impuestos[[#This Row], [Concepto Anterior]],Conceptos_Impuestos[#All],7,0),"")</f>
        <v/>
      </c>
      <c r="G23" t="s">
        <v>172</v>
      </c>
      <c r="H23" t="s">
        <v>172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93">
        <v>0</v>
      </c>
    </row>
    <row r="24" spans="1:11" ht="18.75" customHeight="1" x14ac:dyDescent="0.35">
      <c r="A24" s="93">
        <v>2024</v>
      </c>
      <c r="B24" t="s">
        <v>175</v>
      </c>
      <c r="C24" s="100">
        <f>IF(OR(Fact_Impuestos[[#This Row], [Año]]="",Fact_Impuestos[[#This Row], [Mes]]=""),"",DATE(A24,MATCH(B24,{"enero","febrero","marzo","abril","mayo","junio","julio","agosto","septiembre","octubre","noviembre","diciembre"},0)+1,0))</f>
        <v>45382</v>
      </c>
      <c r="D24" t="s">
        <v>95</v>
      </c>
      <c r="E24" t="str">
        <f>+IFERROR(VLOOKUP(Fact_Impuestos[[#This Row], [Concepto Anterior]],Conceptos_Impuestos[#All],5,0),"")</f>
        <v>declaraciones tributarias</v>
      </c>
      <c r="F24" t="str">
        <f ca="1">+IFERROR(VLOOKUP(Fact_Impuestos[[#This Row], [Concepto Anterior]],Conceptos_Impuestos[#All],7,0),"")</f>
        <v/>
      </c>
      <c r="G24" t="s">
        <v>172</v>
      </c>
      <c r="H24" t="s">
        <v>172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93">
        <v>104</v>
      </c>
    </row>
    <row r="25" spans="1:11" ht="18.75" customHeight="1" x14ac:dyDescent="0.35">
      <c r="A25" s="93">
        <v>2024</v>
      </c>
      <c r="B25" t="s">
        <v>175</v>
      </c>
      <c r="C25" s="100">
        <f>IF(OR(Fact_Impuestos[[#This Row], [Año]]="",Fact_Impuestos[[#This Row], [Mes]]=""),"",DATE(A25,MATCH(B25,{"enero","febrero","marzo","abril","mayo","junio","julio","agosto","septiembre","octubre","noviembre","diciembre"},0)+1,0))</f>
        <v>45382</v>
      </c>
      <c r="D25" t="s">
        <v>96</v>
      </c>
      <c r="E25" t="str">
        <f>+IFERROR(VLOOKUP(Fact_Impuestos[[#This Row], [Concepto Anterior]],Conceptos_Impuestos[#All],5,0),"")</f>
        <v>información exógena</v>
      </c>
      <c r="F25" t="str">
        <f ca="1">+IFERROR(VLOOKUP(Fact_Impuestos[[#This Row], [Concepto Anterior]],Conceptos_Impuestos[#All],7,0),"")</f>
        <v/>
      </c>
      <c r="G25" t="s">
        <v>172</v>
      </c>
      <c r="H25" t="s">
        <v>172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93">
        <v>1</v>
      </c>
    </row>
    <row r="26" spans="1:11" ht="18.75" customHeight="1" x14ac:dyDescent="0.35">
      <c r="A26" s="93">
        <v>2024</v>
      </c>
      <c r="B26" t="s">
        <v>175</v>
      </c>
      <c r="C26" s="100">
        <f>IF(OR(Fact_Impuestos[[#This Row], [Año]]="",Fact_Impuestos[[#This Row], [Mes]]=""),"",DATE(A26,MATCH(B26,{"enero","febrero","marzo","abril","mayo","junio","julio","agosto","septiembre","octubre","noviembre","diciembre"},0)+1,0))</f>
        <v>45382</v>
      </c>
      <c r="D26" t="s">
        <v>185</v>
      </c>
      <c r="E26" t="str">
        <f>+IFERROR(VLOOKUP(Fact_Impuestos[[#This Row], [Concepto Anterior]],Conceptos_Impuestos[#All],5,0),"")</f>
        <v>Devolución saldos a favor en renta</v>
      </c>
      <c r="F26" t="str">
        <f ca="1">+IFERROR(VLOOKUP(Fact_Impuestos[[#This Row], [Concepto Anterior]],Conceptos_Impuestos[#All],7,0),"")</f>
        <v/>
      </c>
      <c r="G26" t="s">
        <v>172</v>
      </c>
      <c r="H26" t="s">
        <v>172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IF(OR(Fact_Impuestos[[#This Row], [Año]]="",Fact_Impuestos[[#This Row], [Mes]]=""),"",DATE(A27,MATCH(B27,{"enero","febrero","marzo","abril","mayo","junio","julio","agosto","septiembre","octubre","noviembre","diciembre"},0)+1,0))</f>
        <v>45382</v>
      </c>
      <c r="D27" t="s">
        <v>98</v>
      </c>
      <c r="E27" t="str">
        <f>+IFERROR(VLOOKUP(Fact_Impuestos[[#This Row], [Concepto Anterior]],Conceptos_Impuestos[#All],5,0),"")</f>
        <v>Eficiencia en ICA por ingresos producidos compra de paquete completo</v>
      </c>
      <c r="F27" t="str">
        <f ca="1">+IFERROR(VLOOKUP(Fact_Impuestos[[#This Row], [Concepto Anterior]],Conceptos_Impuestos[#All],7,0),"")</f>
        <v/>
      </c>
      <c r="G27" t="s">
        <v>172</v>
      </c>
      <c r="H27" t="s">
        <v>172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175</v>
      </c>
      <c r="C28" s="100">
        <f>IF(OR(Fact_Impuestos[[#This Row], [Año]]="",Fact_Impuestos[[#This Row], [Mes]]=""),"",DATE(A28,MATCH(B28,{"enero","febrero","marzo","abril","mayo","junio","julio","agosto","septiembre","octubre","noviembre","diciembre"},0)+1,0))</f>
        <v>45382</v>
      </c>
      <c r="D28" t="s">
        <v>77</v>
      </c>
      <c r="E28" t="str">
        <f>+IFERROR(VLOOKUP(Fact_Impuestos[[#This Row], [Concepto Anterior]],Conceptos_Impuestos[#All],5,0),"")</f>
        <v>Fusiones</v>
      </c>
      <c r="F28" t="str">
        <f ca="1">+IFERROR(VLOOKUP(Fact_Impuestos[[#This Row], [Concepto Anterior]],Conceptos_Impuestos[#All],7,0),"")</f>
        <v/>
      </c>
      <c r="G28" t="s">
        <v>172</v>
      </c>
      <c r="H28" t="s">
        <v>172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IF(OR(Fact_Impuestos[[#This Row], [Año]]="",Fact_Impuestos[[#This Row], [Mes]]=""),"",DATE(A29,MATCH(B29,{"enero","febrero","marzo","abril","mayo","junio","julio","agosto","septiembre","octubre","noviembre","diciembre"},0)+1,0))</f>
        <v>45382</v>
      </c>
      <c r="D29" t="s">
        <v>100</v>
      </c>
      <c r="E29" t="str">
        <f>+IFERROR(VLOOKUP(Fact_Impuestos[[#This Row], [Concepto Anterior]],Conceptos_Impuestos[#All],5,0),"")</f>
        <v>Iva descontable en la corrección de regalias</v>
      </c>
      <c r="F29" t="str">
        <f ca="1">+IFERROR(VLOOKUP(Fact_Impuestos[[#This Row], [Concepto Anterior]],Conceptos_Impuestos[#All],7,0),"")</f>
        <v/>
      </c>
      <c r="G29" t="s">
        <v>172</v>
      </c>
      <c r="H29" t="s">
        <v>172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IF(OR(Fact_Impuestos[[#This Row], [Año]]="",Fact_Impuestos[[#This Row], [Mes]]=""),"",DATE(A30,MATCH(B30,{"enero","febrero","marzo","abril","mayo","junio","julio","agosto","septiembre","octubre","noviembre","diciembre"},0)+1,0))</f>
        <v>45382</v>
      </c>
      <c r="D30" t="s">
        <v>94</v>
      </c>
      <c r="E30" t="str">
        <f>+IFERROR(VLOOKUP(Fact_Impuestos[[#This Row], [Concepto Anterior]],Conceptos_Impuestos[#All],5,0),"")</f>
        <v>Numeraciones de facturación</v>
      </c>
      <c r="F30" t="str">
        <f ca="1">+IFERROR(VLOOKUP(Fact_Impuestos[[#This Row], [Concepto Anterior]],Conceptos_Impuestos[#All],7,0),"")</f>
        <v/>
      </c>
      <c r="G30" t="s">
        <v>172</v>
      </c>
      <c r="H30" t="s">
        <v>172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93">
        <v>35</v>
      </c>
    </row>
    <row r="31" spans="1:11" ht="18.75" customHeight="1" x14ac:dyDescent="0.35">
      <c r="A31" s="93">
        <v>2024</v>
      </c>
      <c r="B31" t="s">
        <v>175</v>
      </c>
      <c r="C31" s="100">
        <f>IF(OR(Fact_Impuestos[[#This Row], [Año]]="",Fact_Impuestos[[#This Row], [Mes]]=""),"",DATE(A31,MATCH(B31,{"enero","febrero","marzo","abril","mayo","junio","julio","agosto","septiembre","octubre","noviembre","diciembre"},0)+1,0))</f>
        <v>45382</v>
      </c>
      <c r="D31" t="s">
        <v>144</v>
      </c>
      <c r="E31" t="str">
        <f>+IFERROR(VLOOKUP(Fact_Impuestos[[#This Row], [Concepto Anterior]],Conceptos_Impuestos[#All],5,0),"")</f>
        <v>Trámites, Aperturas y Cierres de Tiendas</v>
      </c>
      <c r="F31" t="str">
        <f ca="1">+IFERROR(VLOOKUP(Fact_Impuestos[[#This Row], [Concepto Anterior]],Conceptos_Impuestos[#All],7,0),"")</f>
        <v/>
      </c>
      <c r="G31" t="s">
        <v>172</v>
      </c>
      <c r="H31" t="s">
        <v>172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93">
        <v>376</v>
      </c>
    </row>
    <row r="32" spans="1:11" ht="18.75" customHeight="1" x14ac:dyDescent="0.35">
      <c r="A32" s="93">
        <v>2024</v>
      </c>
      <c r="B32" t="s">
        <v>176</v>
      </c>
      <c r="C32" s="100">
        <f>IF(OR(Fact_Impuestos[[#This Row], [Año]]="",Fact_Impuestos[[#This Row], [Mes]]=""),"",DATE(A32,MATCH(B32,{"enero","febrero","marzo","abril","mayo","junio","julio","agosto","septiembre","octubre","noviembre","diciembre"},0)+1,0))</f>
        <v>45412</v>
      </c>
      <c r="D32" t="s">
        <v>92</v>
      </c>
      <c r="E32" t="str">
        <f>+IFERROR(VLOOKUP(Fact_Impuestos[[#This Row], [Concepto Anterior]],Conceptos_Impuestos[#All],5,0),"")</f>
        <v xml:space="preserve">Fiscalizaciones DIAN - Municipios </v>
      </c>
      <c r="F32" t="str">
        <f ca="1">+IFERROR(VLOOKUP(Fact_Impuestos[[#This Row], [Concepto Anterior]],Conceptos_Impuestos[#All],7,0),"")</f>
        <v/>
      </c>
      <c r="G32" t="s">
        <v>172</v>
      </c>
      <c r="H32" t="s">
        <v>172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93">
        <v>6</v>
      </c>
    </row>
    <row r="33" spans="1:11" ht="18.75" customHeight="1" x14ac:dyDescent="0.35">
      <c r="A33" s="93">
        <v>2024</v>
      </c>
      <c r="B33" t="s">
        <v>176</v>
      </c>
      <c r="C33" s="100">
        <f>IF(OR(Fact_Impuestos[[#This Row], [Año]]="",Fact_Impuestos[[#This Row], [Mes]]=""),"",DATE(A33,MATCH(B33,{"enero","febrero","marzo","abril","mayo","junio","julio","agosto","septiembre","octubre","noviembre","diciembre"},0)+1,0))</f>
        <v>45412</v>
      </c>
      <c r="D33" t="s">
        <v>99</v>
      </c>
      <c r="E33" t="str">
        <f>+IFERROR(VLOOKUP(Fact_Impuestos[[#This Row], [Concepto Anterior]],Conceptos_Impuestos[#All],5,0),"")</f>
        <v>Cancelación NIT</v>
      </c>
      <c r="F33" t="str">
        <f ca="1">+IFERROR(VLOOKUP(Fact_Impuestos[[#This Row], [Concepto Anterior]],Conceptos_Impuestos[#All],7,0),"")</f>
        <v/>
      </c>
      <c r="G33" t="s">
        <v>172</v>
      </c>
      <c r="H33" t="s">
        <v>172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176</v>
      </c>
      <c r="C34" s="100">
        <f>IF(OR(Fact_Impuestos[[#This Row], [Año]]="",Fact_Impuestos[[#This Row], [Mes]]=""),"",DATE(A34,MATCH(B34,{"enero","febrero","marzo","abril","mayo","junio","julio","agosto","septiembre","octubre","noviembre","diciembre"},0)+1,0))</f>
        <v>45412</v>
      </c>
      <c r="D34" t="s">
        <v>95</v>
      </c>
      <c r="E34" t="str">
        <f>+IFERROR(VLOOKUP(Fact_Impuestos[[#This Row], [Concepto Anterior]],Conceptos_Impuestos[#All],5,0),"")</f>
        <v>declaraciones tributarias</v>
      </c>
      <c r="F34" t="str">
        <f ca="1">+IFERROR(VLOOKUP(Fact_Impuestos[[#This Row], [Concepto Anterior]],Conceptos_Impuestos[#All],7,0),"")</f>
        <v/>
      </c>
      <c r="G34" t="s">
        <v>172</v>
      </c>
      <c r="H34" t="s">
        <v>172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93">
        <v>88</v>
      </c>
    </row>
    <row r="35" spans="1:11" ht="18.75" customHeight="1" x14ac:dyDescent="0.35">
      <c r="A35" s="93">
        <v>2024</v>
      </c>
      <c r="B35" t="s">
        <v>176</v>
      </c>
      <c r="C35" s="100">
        <f>IF(OR(Fact_Impuestos[[#This Row], [Año]]="",Fact_Impuestos[[#This Row], [Mes]]=""),"",DATE(A35,MATCH(B35,{"enero","febrero","marzo","abril","mayo","junio","julio","agosto","septiembre","octubre","noviembre","diciembre"},0)+1,0))</f>
        <v>45412</v>
      </c>
      <c r="D35" t="s">
        <v>96</v>
      </c>
      <c r="E35" t="str">
        <f>+IFERROR(VLOOKUP(Fact_Impuestos[[#This Row], [Concepto Anterior]],Conceptos_Impuestos[#All],5,0),"")</f>
        <v>información exógena</v>
      </c>
      <c r="F35" t="str">
        <f ca="1">+IFERROR(VLOOKUP(Fact_Impuestos[[#This Row], [Concepto Anterior]],Conceptos_Impuestos[#All],7,0),"")</f>
        <v/>
      </c>
      <c r="G35" t="s">
        <v>172</v>
      </c>
      <c r="H35" t="s">
        <v>172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93">
        <v>43</v>
      </c>
    </row>
    <row r="36" spans="1:11" ht="18.75" customHeight="1" x14ac:dyDescent="0.35">
      <c r="A36" s="93">
        <v>2024</v>
      </c>
      <c r="B36" t="s">
        <v>176</v>
      </c>
      <c r="C36" s="100">
        <f>IF(OR(Fact_Impuestos[[#This Row], [Año]]="",Fact_Impuestos[[#This Row], [Mes]]=""),"",DATE(A36,MATCH(B36,{"enero","febrero","marzo","abril","mayo","junio","julio","agosto","septiembre","octubre","noviembre","diciembre"},0)+1,0))</f>
        <v>45412</v>
      </c>
      <c r="D36" t="s">
        <v>185</v>
      </c>
      <c r="E36" t="str">
        <f>+IFERROR(VLOOKUP(Fact_Impuestos[[#This Row], [Concepto Anterior]],Conceptos_Impuestos[#All],5,0),"")</f>
        <v>Devolución saldos a favor en renta</v>
      </c>
      <c r="F36" t="str">
        <f ca="1">+IFERROR(VLOOKUP(Fact_Impuestos[[#This Row], [Concepto Anterior]],Conceptos_Impuestos[#All],7,0),"")</f>
        <v/>
      </c>
      <c r="G36" t="s">
        <v>172</v>
      </c>
      <c r="H36" t="s">
        <v>172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93">
        <v>0</v>
      </c>
    </row>
    <row r="37" spans="1:11" ht="18.75" customHeight="1" x14ac:dyDescent="0.35">
      <c r="A37" s="93">
        <v>2024</v>
      </c>
      <c r="B37" t="s">
        <v>176</v>
      </c>
      <c r="C37" s="100">
        <f>IF(OR(Fact_Impuestos[[#This Row], [Año]]="",Fact_Impuestos[[#This Row], [Mes]]=""),"",DATE(A37,MATCH(B37,{"enero","febrero","marzo","abril","mayo","junio","julio","agosto","septiembre","octubre","noviembre","diciembre"},0)+1,0))</f>
        <v>45412</v>
      </c>
      <c r="D37" t="s">
        <v>98</v>
      </c>
      <c r="E37" t="str">
        <f>+IFERROR(VLOOKUP(Fact_Impuestos[[#This Row], [Concepto Anterior]],Conceptos_Impuestos[#All],5,0),"")</f>
        <v>Eficiencia en ICA por ingresos producidos compra de paquete completo</v>
      </c>
      <c r="F37" t="str">
        <f ca="1">+IFERROR(VLOOKUP(Fact_Impuestos[[#This Row], [Concepto Anterior]],Conceptos_Impuestos[#All],7,0),"")</f>
        <v/>
      </c>
      <c r="G37" t="s">
        <v>172</v>
      </c>
      <c r="H37" t="s">
        <v>172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IF(OR(Fact_Impuestos[[#This Row], [Año]]="",Fact_Impuestos[[#This Row], [Mes]]=""),"",DATE(A38,MATCH(B38,{"enero","febrero","marzo","abril","mayo","junio","julio","agosto","septiembre","octubre","noviembre","diciembre"},0)+1,0))</f>
        <v>45412</v>
      </c>
      <c r="D38" t="s">
        <v>77</v>
      </c>
      <c r="E38" t="str">
        <f>+IFERROR(VLOOKUP(Fact_Impuestos[[#This Row], [Concepto Anterior]],Conceptos_Impuestos[#All],5,0),"")</f>
        <v>Fusiones</v>
      </c>
      <c r="F38" t="str">
        <f ca="1">+IFERROR(VLOOKUP(Fact_Impuestos[[#This Row], [Concepto Anterior]],Conceptos_Impuestos[#All],7,0),"")</f>
        <v/>
      </c>
      <c r="G38" t="s">
        <v>172</v>
      </c>
      <c r="H38" t="s">
        <v>172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IF(OR(Fact_Impuestos[[#This Row], [Año]]="",Fact_Impuestos[[#This Row], [Mes]]=""),"",DATE(A39,MATCH(B39,{"enero","febrero","marzo","abril","mayo","junio","julio","agosto","septiembre","octubre","noviembre","diciembre"},0)+1,0))</f>
        <v>45412</v>
      </c>
      <c r="D39" t="s">
        <v>100</v>
      </c>
      <c r="E39" t="str">
        <f>+IFERROR(VLOOKUP(Fact_Impuestos[[#This Row], [Concepto Anterior]],Conceptos_Impuestos[#All],5,0),"")</f>
        <v>Iva descontable en la corrección de regalias</v>
      </c>
      <c r="F39" t="str">
        <f ca="1">+IFERROR(VLOOKUP(Fact_Impuestos[[#This Row], [Concepto Anterior]],Conceptos_Impuestos[#All],7,0),"")</f>
        <v/>
      </c>
      <c r="G39" t="s">
        <v>172</v>
      </c>
      <c r="H39" t="s">
        <v>172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IF(OR(Fact_Impuestos[[#This Row], [Año]]="",Fact_Impuestos[[#This Row], [Mes]]=""),"",DATE(A40,MATCH(B40,{"enero","febrero","marzo","abril","mayo","junio","julio","agosto","septiembre","octubre","noviembre","diciembre"},0)+1,0))</f>
        <v>45412</v>
      </c>
      <c r="D40" t="s">
        <v>94</v>
      </c>
      <c r="E40" t="str">
        <f>+IFERROR(VLOOKUP(Fact_Impuestos[[#This Row], [Concepto Anterior]],Conceptos_Impuestos[#All],5,0),"")</f>
        <v>Numeraciones de facturación</v>
      </c>
      <c r="F40" t="str">
        <f ca="1">+IFERROR(VLOOKUP(Fact_Impuestos[[#This Row], [Concepto Anterior]],Conceptos_Impuestos[#All],7,0),"")</f>
        <v/>
      </c>
      <c r="G40" t="s">
        <v>172</v>
      </c>
      <c r="H40" t="s">
        <v>172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93">
        <v>50</v>
      </c>
    </row>
    <row r="41" spans="1:11" ht="18.75" customHeight="1" x14ac:dyDescent="0.35">
      <c r="A41" s="93">
        <v>2024</v>
      </c>
      <c r="B41" t="s">
        <v>176</v>
      </c>
      <c r="C41" s="100">
        <f>IF(OR(Fact_Impuestos[[#This Row], [Año]]="",Fact_Impuestos[[#This Row], [Mes]]=""),"",DATE(A41,MATCH(B41,{"enero","febrero","marzo","abril","mayo","junio","julio","agosto","septiembre","octubre","noviembre","diciembre"},0)+1,0))</f>
        <v>45412</v>
      </c>
      <c r="D41" t="s">
        <v>144</v>
      </c>
      <c r="E41" t="str">
        <f>+IFERROR(VLOOKUP(Fact_Impuestos[[#This Row], [Concepto Anterior]],Conceptos_Impuestos[#All],5,0),"")</f>
        <v>Trámites, Aperturas y Cierres de Tiendas</v>
      </c>
      <c r="F41" t="str">
        <f ca="1">+IFERROR(VLOOKUP(Fact_Impuestos[[#This Row], [Concepto Anterior]],Conceptos_Impuestos[#All],7,0),"")</f>
        <v/>
      </c>
      <c r="G41" t="s">
        <v>172</v>
      </c>
      <c r="H41" t="s">
        <v>172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93">
        <v>1</v>
      </c>
    </row>
    <row r="42" spans="1:11" ht="18.75" customHeight="1" x14ac:dyDescent="0.35">
      <c r="A42" s="93">
        <v>2024</v>
      </c>
      <c r="B42" t="s">
        <v>177</v>
      </c>
      <c r="C42" s="100">
        <f>IF(OR(Fact_Impuestos[[#This Row], [Año]]="",Fact_Impuestos[[#This Row], [Mes]]=""),"",DATE(A42,MATCH(B42,{"enero","febrero","marzo","abril","mayo","junio","julio","agosto","septiembre","octubre","noviembre","diciembre"},0)+1,0))</f>
        <v>45443</v>
      </c>
      <c r="D42" t="s">
        <v>92</v>
      </c>
      <c r="E42" t="str">
        <f>+IFERROR(VLOOKUP(Fact_Impuestos[[#This Row], [Concepto Anterior]],Conceptos_Impuestos[#All],5,0),"")</f>
        <v xml:space="preserve">Fiscalizaciones DIAN - Municipios </v>
      </c>
      <c r="F42" t="str">
        <f ca="1">+IFERROR(VLOOKUP(Fact_Impuestos[[#This Row], [Concepto Anterior]],Conceptos_Impuestos[#All],7,0),"")</f>
        <v/>
      </c>
      <c r="G42" t="s">
        <v>172</v>
      </c>
      <c r="H42" t="s">
        <v>172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93">
        <v>2</v>
      </c>
    </row>
    <row r="43" spans="1:11" ht="18.75" customHeight="1" x14ac:dyDescent="0.35">
      <c r="A43" s="93">
        <v>2024</v>
      </c>
      <c r="B43" t="s">
        <v>177</v>
      </c>
      <c r="C43" s="100">
        <f>IF(OR(Fact_Impuestos[[#This Row], [Año]]="",Fact_Impuestos[[#This Row], [Mes]]=""),"",DATE(A43,MATCH(B43,{"enero","febrero","marzo","abril","mayo","junio","julio","agosto","septiembre","octubre","noviembre","diciembre"},0)+1,0))</f>
        <v>45443</v>
      </c>
      <c r="D43" t="s">
        <v>99</v>
      </c>
      <c r="E43" t="str">
        <f>+IFERROR(VLOOKUP(Fact_Impuestos[[#This Row], [Concepto Anterior]],Conceptos_Impuestos[#All],5,0),"")</f>
        <v>Cancelación NIT</v>
      </c>
      <c r="F43" t="str">
        <f ca="1">+IFERROR(VLOOKUP(Fact_Impuestos[[#This Row], [Concepto Anterior]],Conceptos_Impuestos[#All],7,0),"")</f>
        <v/>
      </c>
      <c r="G43" t="s">
        <v>172</v>
      </c>
      <c r="H43" t="s">
        <v>172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93">
        <v>0</v>
      </c>
    </row>
    <row r="44" spans="1:11" ht="18.75" customHeight="1" x14ac:dyDescent="0.35">
      <c r="A44" s="93">
        <v>2024</v>
      </c>
      <c r="B44" t="s">
        <v>177</v>
      </c>
      <c r="C44" s="100">
        <f>IF(OR(Fact_Impuestos[[#This Row], [Año]]="",Fact_Impuestos[[#This Row], [Mes]]=""),"",DATE(A44,MATCH(B44,{"enero","febrero","marzo","abril","mayo","junio","julio","agosto","septiembre","octubre","noviembre","diciembre"},0)+1,0))</f>
        <v>45443</v>
      </c>
      <c r="D44" t="s">
        <v>95</v>
      </c>
      <c r="E44" t="str">
        <f>+IFERROR(VLOOKUP(Fact_Impuestos[[#This Row], [Concepto Anterior]],Conceptos_Impuestos[#All],5,0),"")</f>
        <v>declaraciones tributarias</v>
      </c>
      <c r="F44" t="str">
        <f ca="1">+IFERROR(VLOOKUP(Fact_Impuestos[[#This Row], [Concepto Anterior]],Conceptos_Impuestos[#All],7,0),"")</f>
        <v/>
      </c>
      <c r="G44" t="s">
        <v>172</v>
      </c>
      <c r="H44" t="s">
        <v>172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93">
        <v>93</v>
      </c>
    </row>
    <row r="45" spans="1:11" ht="18.75" customHeight="1" x14ac:dyDescent="0.35">
      <c r="A45" s="93">
        <v>2024</v>
      </c>
      <c r="B45" t="s">
        <v>177</v>
      </c>
      <c r="C45" s="100">
        <f>IF(OR(Fact_Impuestos[[#This Row], [Año]]="",Fact_Impuestos[[#This Row], [Mes]]=""),"",DATE(A45,MATCH(B45,{"enero","febrero","marzo","abril","mayo","junio","julio","agosto","septiembre","octubre","noviembre","diciembre"},0)+1,0))</f>
        <v>45443</v>
      </c>
      <c r="D45" t="s">
        <v>96</v>
      </c>
      <c r="E45" t="str">
        <f>+IFERROR(VLOOKUP(Fact_Impuestos[[#This Row], [Concepto Anterior]],Conceptos_Impuestos[#All],5,0),"")</f>
        <v>información exógena</v>
      </c>
      <c r="F45" t="str">
        <f ca="1">+IFERROR(VLOOKUP(Fact_Impuestos[[#This Row], [Concepto Anterior]],Conceptos_Impuestos[#All],7,0),"")</f>
        <v/>
      </c>
      <c r="G45" t="s">
        <v>172</v>
      </c>
      <c r="H45" t="s">
        <v>172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93">
        <v>119</v>
      </c>
    </row>
    <row r="46" spans="1:11" ht="18.75" customHeight="1" x14ac:dyDescent="0.35">
      <c r="A46" s="93">
        <v>2024</v>
      </c>
      <c r="B46" t="s">
        <v>177</v>
      </c>
      <c r="C46" s="100">
        <f>IF(OR(Fact_Impuestos[[#This Row], [Año]]="",Fact_Impuestos[[#This Row], [Mes]]=""),"",DATE(A46,MATCH(B46,{"enero","febrero","marzo","abril","mayo","junio","julio","agosto","septiembre","octubre","noviembre","diciembre"},0)+1,0))</f>
        <v>45443</v>
      </c>
      <c r="D46" t="s">
        <v>185</v>
      </c>
      <c r="E46" t="str">
        <f>+IFERROR(VLOOKUP(Fact_Impuestos[[#This Row], [Concepto Anterior]],Conceptos_Impuestos[#All],5,0),"")</f>
        <v>Devolución saldos a favor en renta</v>
      </c>
      <c r="F46" t="str">
        <f ca="1">+IFERROR(VLOOKUP(Fact_Impuestos[[#This Row], [Concepto Anterior]],Conceptos_Impuestos[#All],7,0),"")</f>
        <v/>
      </c>
      <c r="G46" t="s">
        <v>172</v>
      </c>
      <c r="H46" t="s">
        <v>172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93">
        <v>0</v>
      </c>
    </row>
    <row r="47" spans="1:11" ht="18.75" customHeight="1" x14ac:dyDescent="0.35">
      <c r="A47" s="93">
        <v>2024</v>
      </c>
      <c r="B47" t="s">
        <v>177</v>
      </c>
      <c r="C47" s="100">
        <f>IF(OR(Fact_Impuestos[[#This Row], [Año]]="",Fact_Impuestos[[#This Row], [Mes]]=""),"",DATE(A47,MATCH(B47,{"enero","febrero","marzo","abril","mayo","junio","julio","agosto","septiembre","octubre","noviembre","diciembre"},0)+1,0))</f>
        <v>45443</v>
      </c>
      <c r="D47" t="s">
        <v>98</v>
      </c>
      <c r="E47" t="str">
        <f>+IFERROR(VLOOKUP(Fact_Impuestos[[#This Row], [Concepto Anterior]],Conceptos_Impuestos[#All],5,0),"")</f>
        <v>Eficiencia en ICA por ingresos producidos compra de paquete completo</v>
      </c>
      <c r="F47" t="str">
        <f ca="1">+IFERROR(VLOOKUP(Fact_Impuestos[[#This Row], [Concepto Anterior]],Conceptos_Impuestos[#All],7,0),"")</f>
        <v/>
      </c>
      <c r="G47" t="s">
        <v>172</v>
      </c>
      <c r="H47" t="s">
        <v>172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93">
        <v>0</v>
      </c>
    </row>
    <row r="48" spans="1:11" ht="18.75" customHeight="1" x14ac:dyDescent="0.35">
      <c r="A48" s="93">
        <v>2024</v>
      </c>
      <c r="B48" t="s">
        <v>177</v>
      </c>
      <c r="C48" s="100">
        <f>IF(OR(Fact_Impuestos[[#This Row], [Año]]="",Fact_Impuestos[[#This Row], [Mes]]=""),"",DATE(A48,MATCH(B48,{"enero","febrero","marzo","abril","mayo","junio","julio","agosto","septiembre","octubre","noviembre","diciembre"},0)+1,0))</f>
        <v>45443</v>
      </c>
      <c r="D48" t="s">
        <v>77</v>
      </c>
      <c r="E48" t="str">
        <f>+IFERROR(VLOOKUP(Fact_Impuestos[[#This Row], [Concepto Anterior]],Conceptos_Impuestos[#All],5,0),"")</f>
        <v>Fusiones</v>
      </c>
      <c r="F48" t="str">
        <f ca="1">+IFERROR(VLOOKUP(Fact_Impuestos[[#This Row], [Concepto Anterior]],Conceptos_Impuestos[#All],7,0),"")</f>
        <v/>
      </c>
      <c r="G48" t="s">
        <v>172</v>
      </c>
      <c r="H48" t="s">
        <v>172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177</v>
      </c>
      <c r="C49" s="100">
        <f>IF(OR(Fact_Impuestos[[#This Row], [Año]]="",Fact_Impuestos[[#This Row], [Mes]]=""),"",DATE(A49,MATCH(B49,{"enero","febrero","marzo","abril","mayo","junio","julio","agosto","septiembre","octubre","noviembre","diciembre"},0)+1,0))</f>
        <v>45443</v>
      </c>
      <c r="D49" t="s">
        <v>100</v>
      </c>
      <c r="E49" t="str">
        <f>+IFERROR(VLOOKUP(Fact_Impuestos[[#This Row], [Concepto Anterior]],Conceptos_Impuestos[#All],5,0),"")</f>
        <v>Iva descontable en la corrección de regalias</v>
      </c>
      <c r="F49" t="str">
        <f ca="1">+IFERROR(VLOOKUP(Fact_Impuestos[[#This Row], [Concepto Anterior]],Conceptos_Impuestos[#All],7,0),"")</f>
        <v/>
      </c>
      <c r="G49" t="s">
        <v>172</v>
      </c>
      <c r="H49" t="s">
        <v>172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93">
        <v>284000000</v>
      </c>
    </row>
    <row r="50" spans="1:11" ht="18.75" customHeight="1" x14ac:dyDescent="0.35">
      <c r="A50" s="93">
        <v>2024</v>
      </c>
      <c r="B50" t="s">
        <v>177</v>
      </c>
      <c r="C50" s="100">
        <f>IF(OR(Fact_Impuestos[[#This Row], [Año]]="",Fact_Impuestos[[#This Row], [Mes]]=""),"",DATE(A50,MATCH(B50,{"enero","febrero","marzo","abril","mayo","junio","julio","agosto","septiembre","octubre","noviembre","diciembre"},0)+1,0))</f>
        <v>45443</v>
      </c>
      <c r="D50" t="s">
        <v>94</v>
      </c>
      <c r="E50" t="str">
        <f>+IFERROR(VLOOKUP(Fact_Impuestos[[#This Row], [Concepto Anterior]],Conceptos_Impuestos[#All],5,0),"")</f>
        <v>Numeraciones de facturación</v>
      </c>
      <c r="F50" t="str">
        <f ca="1">+IFERROR(VLOOKUP(Fact_Impuestos[[#This Row], [Concepto Anterior]],Conceptos_Impuestos[#All],7,0),"")</f>
        <v/>
      </c>
      <c r="G50" t="s">
        <v>172</v>
      </c>
      <c r="H50" t="s">
        <v>172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93">
        <v>17</v>
      </c>
    </row>
    <row r="51" spans="1:11" ht="18.75" customHeight="1" x14ac:dyDescent="0.35">
      <c r="A51" s="93">
        <v>2024</v>
      </c>
      <c r="B51" t="s">
        <v>177</v>
      </c>
      <c r="C51" s="100">
        <f>IF(OR(Fact_Impuestos[[#This Row], [Año]]="",Fact_Impuestos[[#This Row], [Mes]]=""),"",DATE(A51,MATCH(B51,{"enero","febrero","marzo","abril","mayo","junio","julio","agosto","septiembre","octubre","noviembre","diciembre"},0)+1,0))</f>
        <v>45443</v>
      </c>
      <c r="D51" t="s">
        <v>144</v>
      </c>
      <c r="E51" t="str">
        <f>+IFERROR(VLOOKUP(Fact_Impuestos[[#This Row], [Concepto Anterior]],Conceptos_Impuestos[#All],5,0),"")</f>
        <v>Trámites, Aperturas y Cierres de Tiendas</v>
      </c>
      <c r="F51" t="str">
        <f ca="1">+IFERROR(VLOOKUP(Fact_Impuestos[[#This Row], [Concepto Anterior]],Conceptos_Impuestos[#All],7,0),"")</f>
        <v/>
      </c>
      <c r="G51" t="s">
        <v>172</v>
      </c>
      <c r="H51" t="s">
        <v>172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178</v>
      </c>
      <c r="C52" s="100">
        <f>IF(OR(Fact_Impuestos[[#This Row], [Año]]="",Fact_Impuestos[[#This Row], [Mes]]=""),"",DATE(A52,MATCH(B52,{"enero","febrero","marzo","abril","mayo","junio","julio","agosto","septiembre","octubre","noviembre","diciembre"},0)+1,0))</f>
        <v>45473</v>
      </c>
      <c r="D52" t="s">
        <v>92</v>
      </c>
      <c r="E52" t="str">
        <f>+IFERROR(VLOOKUP(Fact_Impuestos[[#This Row], [Concepto Anterior]],Conceptos_Impuestos[#All],5,0),"")</f>
        <v xml:space="preserve">Fiscalizaciones DIAN - Municipios </v>
      </c>
      <c r="F52" t="str">
        <f ca="1">+IFERROR(VLOOKUP(Fact_Impuestos[[#This Row], [Concepto Anterior]],Conceptos_Impuestos[#All],7,0),"")</f>
        <v/>
      </c>
      <c r="G52" t="s">
        <v>172</v>
      </c>
      <c r="H52" t="s">
        <v>172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93">
        <v>3</v>
      </c>
    </row>
    <row r="53" spans="1:11" ht="18.75" customHeight="1" x14ac:dyDescent="0.35">
      <c r="A53" s="93">
        <v>2024</v>
      </c>
      <c r="B53" t="s">
        <v>178</v>
      </c>
      <c r="C53" s="100">
        <f>IF(OR(Fact_Impuestos[[#This Row], [Año]]="",Fact_Impuestos[[#This Row], [Mes]]=""),"",DATE(A53,MATCH(B53,{"enero","febrero","marzo","abril","mayo","junio","julio","agosto","septiembre","octubre","noviembre","diciembre"},0)+1,0))</f>
        <v>45473</v>
      </c>
      <c r="D53" t="s">
        <v>99</v>
      </c>
      <c r="E53" t="str">
        <f>+IFERROR(VLOOKUP(Fact_Impuestos[[#This Row], [Concepto Anterior]],Conceptos_Impuestos[#All],5,0),"")</f>
        <v>Cancelación NIT</v>
      </c>
      <c r="F53" t="str">
        <f ca="1">+IFERROR(VLOOKUP(Fact_Impuestos[[#This Row], [Concepto Anterior]],Conceptos_Impuestos[#All],7,0),"")</f>
        <v/>
      </c>
      <c r="G53" t="s">
        <v>172</v>
      </c>
      <c r="H53" t="s">
        <v>172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178</v>
      </c>
      <c r="C54" s="100">
        <f>IF(OR(Fact_Impuestos[[#This Row], [Año]]="",Fact_Impuestos[[#This Row], [Mes]]=""),"",DATE(A54,MATCH(B54,{"enero","febrero","marzo","abril","mayo","junio","julio","agosto","septiembre","octubre","noviembre","diciembre"},0)+1,0))</f>
        <v>45473</v>
      </c>
      <c r="D54" t="s">
        <v>95</v>
      </c>
      <c r="E54" t="str">
        <f>+IFERROR(VLOOKUP(Fact_Impuestos[[#This Row], [Concepto Anterior]],Conceptos_Impuestos[#All],5,0),"")</f>
        <v>declaraciones tributarias</v>
      </c>
      <c r="F54" t="str">
        <f ca="1">+IFERROR(VLOOKUP(Fact_Impuestos[[#This Row], [Concepto Anterior]],Conceptos_Impuestos[#All],7,0),"")</f>
        <v/>
      </c>
      <c r="G54" t="s">
        <v>172</v>
      </c>
      <c r="H54" t="s">
        <v>172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93">
        <v>21</v>
      </c>
    </row>
    <row r="55" spans="1:11" ht="18.75" customHeight="1" x14ac:dyDescent="0.35">
      <c r="A55" s="93">
        <v>2024</v>
      </c>
      <c r="B55" t="s">
        <v>178</v>
      </c>
      <c r="C55" s="100">
        <f>IF(OR(Fact_Impuestos[[#This Row], [Año]]="",Fact_Impuestos[[#This Row], [Mes]]=""),"",DATE(A55,MATCH(B55,{"enero","febrero","marzo","abril","mayo","junio","julio","agosto","septiembre","octubre","noviembre","diciembre"},0)+1,0))</f>
        <v>45473</v>
      </c>
      <c r="D55" t="s">
        <v>96</v>
      </c>
      <c r="E55" t="str">
        <f>+IFERROR(VLOOKUP(Fact_Impuestos[[#This Row], [Concepto Anterior]],Conceptos_Impuestos[#All],5,0),"")</f>
        <v>información exógena</v>
      </c>
      <c r="F55" t="str">
        <f ca="1">+IFERROR(VLOOKUP(Fact_Impuestos[[#This Row], [Concepto Anterior]],Conceptos_Impuestos[#All],7,0),"")</f>
        <v/>
      </c>
      <c r="G55" t="s">
        <v>172</v>
      </c>
      <c r="H55" t="s">
        <v>172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93">
        <v>37</v>
      </c>
    </row>
    <row r="56" spans="1:11" ht="18.75" customHeight="1" x14ac:dyDescent="0.35">
      <c r="A56" s="93">
        <v>2024</v>
      </c>
      <c r="B56" t="s">
        <v>178</v>
      </c>
      <c r="C56" s="100">
        <f>IF(OR(Fact_Impuestos[[#This Row], [Año]]="",Fact_Impuestos[[#This Row], [Mes]]=""),"",DATE(A56,MATCH(B56,{"enero","febrero","marzo","abril","mayo","junio","julio","agosto","septiembre","octubre","noviembre","diciembre"},0)+1,0))</f>
        <v>45473</v>
      </c>
      <c r="D56" t="s">
        <v>185</v>
      </c>
      <c r="E56" t="str">
        <f>+IFERROR(VLOOKUP(Fact_Impuestos[[#This Row], [Concepto Anterior]],Conceptos_Impuestos[#All],5,0),"")</f>
        <v>Devolución saldos a favor en renta</v>
      </c>
      <c r="F56" t="str">
        <f ca="1">+IFERROR(VLOOKUP(Fact_Impuestos[[#This Row], [Concepto Anterior]],Conceptos_Impuestos[#All],7,0),"")</f>
        <v/>
      </c>
      <c r="G56" t="s">
        <v>172</v>
      </c>
      <c r="H56" t="s">
        <v>172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178</v>
      </c>
      <c r="C57" s="100">
        <f>IF(OR(Fact_Impuestos[[#This Row], [Año]]="",Fact_Impuestos[[#This Row], [Mes]]=""),"",DATE(A57,MATCH(B57,{"enero","febrero","marzo","abril","mayo","junio","julio","agosto","septiembre","octubre","noviembre","diciembre"},0)+1,0))</f>
        <v>45473</v>
      </c>
      <c r="D57" t="s">
        <v>98</v>
      </c>
      <c r="E57" t="str">
        <f>+IFERROR(VLOOKUP(Fact_Impuestos[[#This Row], [Concepto Anterior]],Conceptos_Impuestos[#All],5,0),"")</f>
        <v>Eficiencia en ICA por ingresos producidos compra de paquete completo</v>
      </c>
      <c r="F57" t="str">
        <f ca="1">+IFERROR(VLOOKUP(Fact_Impuestos[[#This Row], [Concepto Anterior]],Conceptos_Impuestos[#All],7,0),"")</f>
        <v/>
      </c>
      <c r="G57" t="s">
        <v>172</v>
      </c>
      <c r="H57" t="s">
        <v>172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93">
        <v>0</v>
      </c>
    </row>
    <row r="58" spans="1:11" ht="18.75" customHeight="1" x14ac:dyDescent="0.35">
      <c r="A58" s="93">
        <v>2024</v>
      </c>
      <c r="B58" t="s">
        <v>178</v>
      </c>
      <c r="C58" s="100">
        <f>IF(OR(Fact_Impuestos[[#This Row], [Año]]="",Fact_Impuestos[[#This Row], [Mes]]=""),"",DATE(A58,MATCH(B58,{"enero","febrero","marzo","abril","mayo","junio","julio","agosto","septiembre","octubre","noviembre","diciembre"},0)+1,0))</f>
        <v>45473</v>
      </c>
      <c r="D58" t="s">
        <v>77</v>
      </c>
      <c r="E58" t="str">
        <f>+IFERROR(VLOOKUP(Fact_Impuestos[[#This Row], [Concepto Anterior]],Conceptos_Impuestos[#All],5,0),"")</f>
        <v>Fusiones</v>
      </c>
      <c r="F58" t="str">
        <f ca="1">+IFERROR(VLOOKUP(Fact_Impuestos[[#This Row], [Concepto Anterior]],Conceptos_Impuestos[#All],7,0),"")</f>
        <v/>
      </c>
      <c r="G58" t="s">
        <v>172</v>
      </c>
      <c r="H58" t="s">
        <v>172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IF(OR(Fact_Impuestos[[#This Row], [Año]]="",Fact_Impuestos[[#This Row], [Mes]]=""),"",DATE(A59,MATCH(B59,{"enero","febrero","marzo","abril","mayo","junio","julio","agosto","septiembre","octubre","noviembre","diciembre"},0)+1,0))</f>
        <v>45473</v>
      </c>
      <c r="D59" t="s">
        <v>100</v>
      </c>
      <c r="E59" t="str">
        <f>+IFERROR(VLOOKUP(Fact_Impuestos[[#This Row], [Concepto Anterior]],Conceptos_Impuestos[#All],5,0),"")</f>
        <v>Iva descontable en la corrección de regalias</v>
      </c>
      <c r="F59" t="str">
        <f ca="1">+IFERROR(VLOOKUP(Fact_Impuestos[[#This Row], [Concepto Anterior]],Conceptos_Impuestos[#All],7,0),"")</f>
        <v/>
      </c>
      <c r="G59" t="s">
        <v>172</v>
      </c>
      <c r="H59" t="s">
        <v>172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IF(OR(Fact_Impuestos[[#This Row], [Año]]="",Fact_Impuestos[[#This Row], [Mes]]=""),"",DATE(A60,MATCH(B60,{"enero","febrero","marzo","abril","mayo","junio","julio","agosto","septiembre","octubre","noviembre","diciembre"},0)+1,0))</f>
        <v>45473</v>
      </c>
      <c r="D60" t="s">
        <v>94</v>
      </c>
      <c r="E60" t="str">
        <f>+IFERROR(VLOOKUP(Fact_Impuestos[[#This Row], [Concepto Anterior]],Conceptos_Impuestos[#All],5,0),"")</f>
        <v>Numeraciones de facturación</v>
      </c>
      <c r="F60" t="str">
        <f ca="1">+IFERROR(VLOOKUP(Fact_Impuestos[[#This Row], [Concepto Anterior]],Conceptos_Impuestos[#All],7,0),"")</f>
        <v/>
      </c>
      <c r="G60" t="s">
        <v>172</v>
      </c>
      <c r="H60" t="s">
        <v>172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93">
        <v>15</v>
      </c>
    </row>
    <row r="61" spans="1:11" ht="18.75" customHeight="1" x14ac:dyDescent="0.35">
      <c r="A61" s="93">
        <v>2024</v>
      </c>
      <c r="B61" t="s">
        <v>178</v>
      </c>
      <c r="C61" s="100">
        <f>IF(OR(Fact_Impuestos[[#This Row], [Año]]="",Fact_Impuestos[[#This Row], [Mes]]=""),"",DATE(A61,MATCH(B61,{"enero","febrero","marzo","abril","mayo","junio","julio","agosto","septiembre","octubre","noviembre","diciembre"},0)+1,0))</f>
        <v>45473</v>
      </c>
      <c r="D61" t="s">
        <v>144</v>
      </c>
      <c r="E61" t="str">
        <f>+IFERROR(VLOOKUP(Fact_Impuestos[[#This Row], [Concepto Anterior]],Conceptos_Impuestos[#All],5,0),"")</f>
        <v>Trámites, Aperturas y Cierres de Tiendas</v>
      </c>
      <c r="F61" t="str">
        <f ca="1">+IFERROR(VLOOKUP(Fact_Impuestos[[#This Row], [Concepto Anterior]],Conceptos_Impuestos[#All],7,0),"")</f>
        <v/>
      </c>
      <c r="G61" t="s">
        <v>172</v>
      </c>
      <c r="H61" t="s">
        <v>172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93">
        <v>1</v>
      </c>
    </row>
    <row r="62" spans="1:11" ht="18.75" customHeight="1" x14ac:dyDescent="0.35">
      <c r="A62" s="93">
        <v>2024</v>
      </c>
      <c r="B62" t="s">
        <v>179</v>
      </c>
      <c r="C62" s="100">
        <f>IF(OR(Fact_Impuestos[[#This Row], [Año]]="",Fact_Impuestos[[#This Row], [Mes]]=""),"",DATE(A62,MATCH(B62,{"enero","febrero","marzo","abril","mayo","junio","julio","agosto","septiembre","octubre","noviembre","diciembre"},0)+1,0))</f>
        <v>45504</v>
      </c>
      <c r="D62" t="s">
        <v>92</v>
      </c>
      <c r="E62" t="str">
        <f>+IFERROR(VLOOKUP(Fact_Impuestos[[#This Row], [Concepto Anterior]],Conceptos_Impuestos[#All],5,0),"")</f>
        <v xml:space="preserve">Fiscalizaciones DIAN - Municipios </v>
      </c>
      <c r="F62" t="str">
        <f ca="1">+IFERROR(VLOOKUP(Fact_Impuestos[[#This Row], [Concepto Anterior]],Conceptos_Impuestos[#All],7,0),"")</f>
        <v/>
      </c>
      <c r="G62" t="s">
        <v>172</v>
      </c>
      <c r="H62" t="s">
        <v>172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93">
        <v>10</v>
      </c>
    </row>
    <row r="63" spans="1:11" ht="18.75" customHeight="1" x14ac:dyDescent="0.35">
      <c r="A63" s="93">
        <v>2024</v>
      </c>
      <c r="B63" t="s">
        <v>179</v>
      </c>
      <c r="C63" s="100">
        <f>IF(OR(Fact_Impuestos[[#This Row], [Año]]="",Fact_Impuestos[[#This Row], [Mes]]=""),"",DATE(A63,MATCH(B63,{"enero","febrero","marzo","abril","mayo","junio","julio","agosto","septiembre","octubre","noviembre","diciembre"},0)+1,0))</f>
        <v>45504</v>
      </c>
      <c r="D63" t="s">
        <v>99</v>
      </c>
      <c r="E63" t="str">
        <f>+IFERROR(VLOOKUP(Fact_Impuestos[[#This Row], [Concepto Anterior]],Conceptos_Impuestos[#All],5,0),"")</f>
        <v>Cancelación NIT</v>
      </c>
      <c r="F63" t="str">
        <f ca="1">+IFERROR(VLOOKUP(Fact_Impuestos[[#This Row], [Concepto Anterior]],Conceptos_Impuestos[#All],7,0),"")</f>
        <v/>
      </c>
      <c r="G63" t="s">
        <v>172</v>
      </c>
      <c r="H63" t="s">
        <v>172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179</v>
      </c>
      <c r="C64" s="100">
        <f>IF(OR(Fact_Impuestos[[#This Row], [Año]]="",Fact_Impuestos[[#This Row], [Mes]]=""),"",DATE(A64,MATCH(B64,{"enero","febrero","marzo","abril","mayo","junio","julio","agosto","septiembre","octubre","noviembre","diciembre"},0)+1,0))</f>
        <v>45504</v>
      </c>
      <c r="D64" t="s">
        <v>95</v>
      </c>
      <c r="E64" t="str">
        <f>+IFERROR(VLOOKUP(Fact_Impuestos[[#This Row], [Concepto Anterior]],Conceptos_Impuestos[#All],5,0),"")</f>
        <v>declaraciones tributarias</v>
      </c>
      <c r="F64" t="str">
        <f ca="1">+IFERROR(VLOOKUP(Fact_Impuestos[[#This Row], [Concepto Anterior]],Conceptos_Impuestos[#All],7,0),"")</f>
        <v/>
      </c>
      <c r="G64" t="s">
        <v>172</v>
      </c>
      <c r="H64" t="s">
        <v>172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93">
        <v>80</v>
      </c>
    </row>
    <row r="65" spans="1:11" ht="18.75" customHeight="1" x14ac:dyDescent="0.35">
      <c r="A65" s="93">
        <v>2024</v>
      </c>
      <c r="B65" t="s">
        <v>179</v>
      </c>
      <c r="C65" s="100">
        <f>IF(OR(Fact_Impuestos[[#This Row], [Año]]="",Fact_Impuestos[[#This Row], [Mes]]=""),"",DATE(A65,MATCH(B65,{"enero","febrero","marzo","abril","mayo","junio","julio","agosto","septiembre","octubre","noviembre","diciembre"},0)+1,0))</f>
        <v>45504</v>
      </c>
      <c r="D65" t="s">
        <v>96</v>
      </c>
      <c r="E65" t="str">
        <f>+IFERROR(VLOOKUP(Fact_Impuestos[[#This Row], [Concepto Anterior]],Conceptos_Impuestos[#All],5,0),"")</f>
        <v>información exógena</v>
      </c>
      <c r="F65" t="str">
        <f ca="1">+IFERROR(VLOOKUP(Fact_Impuestos[[#This Row], [Concepto Anterior]],Conceptos_Impuestos[#All],7,0),"")</f>
        <v/>
      </c>
      <c r="G65" t="s">
        <v>172</v>
      </c>
      <c r="H65" t="s">
        <v>172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93">
        <v>5</v>
      </c>
    </row>
    <row r="66" spans="1:11" ht="18.75" customHeight="1" x14ac:dyDescent="0.35">
      <c r="A66" s="93">
        <v>2024</v>
      </c>
      <c r="B66" t="s">
        <v>179</v>
      </c>
      <c r="C66" s="100">
        <f>IF(OR(Fact_Impuestos[[#This Row], [Año]]="",Fact_Impuestos[[#This Row], [Mes]]=""),"",DATE(A66,MATCH(B66,{"enero","febrero","marzo","abril","mayo","junio","julio","agosto","septiembre","octubre","noviembre","diciembre"},0)+1,0))</f>
        <v>45504</v>
      </c>
      <c r="D66" t="s">
        <v>185</v>
      </c>
      <c r="E66" t="str">
        <f>+IFERROR(VLOOKUP(Fact_Impuestos[[#This Row], [Concepto Anterior]],Conceptos_Impuestos[#All],5,0),"")</f>
        <v>Devolución saldos a favor en renta</v>
      </c>
      <c r="F66" t="str">
        <f ca="1">+IFERROR(VLOOKUP(Fact_Impuestos[[#This Row], [Concepto Anterior]],Conceptos_Impuestos[#All],7,0),"")</f>
        <v/>
      </c>
      <c r="G66" t="s">
        <v>172</v>
      </c>
      <c r="H66" t="s">
        <v>172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93">
        <v>6006000000</v>
      </c>
    </row>
    <row r="67" spans="1:11" ht="18.75" customHeight="1" x14ac:dyDescent="0.35">
      <c r="A67" s="93">
        <v>2024</v>
      </c>
      <c r="B67" t="s">
        <v>179</v>
      </c>
      <c r="C67" s="100">
        <f>IF(OR(Fact_Impuestos[[#This Row], [Año]]="",Fact_Impuestos[[#This Row], [Mes]]=""),"",DATE(A67,MATCH(B67,{"enero","febrero","marzo","abril","mayo","junio","julio","agosto","septiembre","octubre","noviembre","diciembre"},0)+1,0))</f>
        <v>45504</v>
      </c>
      <c r="D67" t="s">
        <v>98</v>
      </c>
      <c r="E67" t="str">
        <f>+IFERROR(VLOOKUP(Fact_Impuestos[[#This Row], [Concepto Anterior]],Conceptos_Impuestos[#All],5,0),"")</f>
        <v>Eficiencia en ICA por ingresos producidos compra de paquete completo</v>
      </c>
      <c r="F67" t="str">
        <f ca="1">+IFERROR(VLOOKUP(Fact_Impuestos[[#This Row], [Concepto Anterior]],Conceptos_Impuestos[#All],7,0),"")</f>
        <v/>
      </c>
      <c r="G67" t="s">
        <v>172</v>
      </c>
      <c r="H67" t="s">
        <v>172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93">
        <v>1167000000</v>
      </c>
    </row>
    <row r="68" spans="1:11" ht="18.75" customHeight="1" x14ac:dyDescent="0.35">
      <c r="A68" s="93">
        <v>2024</v>
      </c>
      <c r="B68" t="s">
        <v>179</v>
      </c>
      <c r="C68" s="100">
        <f>IF(OR(Fact_Impuestos[[#This Row], [Año]]="",Fact_Impuestos[[#This Row], [Mes]]=""),"",DATE(A68,MATCH(B68,{"enero","febrero","marzo","abril","mayo","junio","julio","agosto","septiembre","octubre","noviembre","diciembre"},0)+1,0))</f>
        <v>45504</v>
      </c>
      <c r="D68" t="s">
        <v>77</v>
      </c>
      <c r="E68" t="str">
        <f>+IFERROR(VLOOKUP(Fact_Impuestos[[#This Row], [Concepto Anterior]],Conceptos_Impuestos[#All],5,0),"")</f>
        <v>Fusiones</v>
      </c>
      <c r="F68" t="str">
        <f ca="1">+IFERROR(VLOOKUP(Fact_Impuestos[[#This Row], [Concepto Anterior]],Conceptos_Impuestos[#All],7,0),"")</f>
        <v/>
      </c>
      <c r="G68" t="s">
        <v>172</v>
      </c>
      <c r="H68" t="s">
        <v>172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IF(OR(Fact_Impuestos[[#This Row], [Año]]="",Fact_Impuestos[[#This Row], [Mes]]=""),"",DATE(A69,MATCH(B69,{"enero","febrero","marzo","abril","mayo","junio","julio","agosto","septiembre","octubre","noviembre","diciembre"},0)+1,0))</f>
        <v>45504</v>
      </c>
      <c r="D69" t="s">
        <v>100</v>
      </c>
      <c r="E69" t="str">
        <f>+IFERROR(VLOOKUP(Fact_Impuestos[[#This Row], [Concepto Anterior]],Conceptos_Impuestos[#All],5,0),"")</f>
        <v>Iva descontable en la corrección de regalias</v>
      </c>
      <c r="F69" t="str">
        <f ca="1">+IFERROR(VLOOKUP(Fact_Impuestos[[#This Row], [Concepto Anterior]],Conceptos_Impuestos[#All],7,0),"")</f>
        <v/>
      </c>
      <c r="G69" t="s">
        <v>172</v>
      </c>
      <c r="H69" t="s">
        <v>172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IF(OR(Fact_Impuestos[[#This Row], [Año]]="",Fact_Impuestos[[#This Row], [Mes]]=""),"",DATE(A70,MATCH(B70,{"enero","febrero","marzo","abril","mayo","junio","julio","agosto","septiembre","octubre","noviembre","diciembre"},0)+1,0))</f>
        <v>45504</v>
      </c>
      <c r="D70" t="s">
        <v>94</v>
      </c>
      <c r="E70" t="str">
        <f>+IFERROR(VLOOKUP(Fact_Impuestos[[#This Row], [Concepto Anterior]],Conceptos_Impuestos[#All],5,0),"")</f>
        <v>Numeraciones de facturación</v>
      </c>
      <c r="F70" t="str">
        <f ca="1">+IFERROR(VLOOKUP(Fact_Impuestos[[#This Row], [Concepto Anterior]],Conceptos_Impuestos[#All],7,0),"")</f>
        <v/>
      </c>
      <c r="G70" t="s">
        <v>172</v>
      </c>
      <c r="H70" t="s">
        <v>172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93">
        <v>347</v>
      </c>
    </row>
    <row r="71" spans="1:11" ht="18.75" customHeight="1" x14ac:dyDescent="0.35">
      <c r="A71" s="93">
        <v>2024</v>
      </c>
      <c r="B71" t="s">
        <v>179</v>
      </c>
      <c r="C71" s="100">
        <f>IF(OR(Fact_Impuestos[[#This Row], [Año]]="",Fact_Impuestos[[#This Row], [Mes]]=""),"",DATE(A71,MATCH(B71,{"enero","febrero","marzo","abril","mayo","junio","julio","agosto","septiembre","octubre","noviembre","diciembre"},0)+1,0))</f>
        <v>45504</v>
      </c>
      <c r="D71" t="s">
        <v>144</v>
      </c>
      <c r="E71" t="str">
        <f>+IFERROR(VLOOKUP(Fact_Impuestos[[#This Row], [Concepto Anterior]],Conceptos_Impuestos[#All],5,0),"")</f>
        <v>Trámites, Aperturas y Cierres de Tiendas</v>
      </c>
      <c r="F71" t="str">
        <f ca="1">+IFERROR(VLOOKUP(Fact_Impuestos[[#This Row], [Concepto Anterior]],Conceptos_Impuestos[#All],7,0),"")</f>
        <v/>
      </c>
      <c r="G71" t="s">
        <v>172</v>
      </c>
      <c r="H71" t="s">
        <v>172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93">
        <v>2</v>
      </c>
    </row>
    <row r="72" spans="1:11" ht="18.75" customHeight="1" x14ac:dyDescent="0.35">
      <c r="A72" s="93">
        <v>2024</v>
      </c>
      <c r="B72" t="s">
        <v>180</v>
      </c>
      <c r="C72" s="100">
        <f>IF(OR(Fact_Impuestos[[#This Row], [Año]]="",Fact_Impuestos[[#This Row], [Mes]]=""),"",DATE(A72,MATCH(B72,{"enero","febrero","marzo","abril","mayo","junio","julio","agosto","septiembre","octubre","noviembre","diciembre"},0)+1,0))</f>
        <v>45535</v>
      </c>
      <c r="D72" t="s">
        <v>92</v>
      </c>
      <c r="E72" t="str">
        <f>+IFERROR(VLOOKUP(Fact_Impuestos[[#This Row], [Concepto Anterior]],Conceptos_Impuestos[#All],5,0),"")</f>
        <v xml:space="preserve">Fiscalizaciones DIAN - Municipios </v>
      </c>
      <c r="F72" t="str">
        <f ca="1">+IFERROR(VLOOKUP(Fact_Impuestos[[#This Row], [Concepto Anterior]],Conceptos_Impuestos[#All],7,0),"")</f>
        <v/>
      </c>
      <c r="G72" t="s">
        <v>172</v>
      </c>
      <c r="H72" t="s">
        <v>172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93">
        <v>3</v>
      </c>
    </row>
    <row r="73" spans="1:11" ht="18.75" customHeight="1" x14ac:dyDescent="0.35">
      <c r="A73" s="93">
        <v>2024</v>
      </c>
      <c r="B73" t="s">
        <v>180</v>
      </c>
      <c r="C73" s="100">
        <f>IF(OR(Fact_Impuestos[[#This Row], [Año]]="",Fact_Impuestos[[#This Row], [Mes]]=""),"",DATE(A73,MATCH(B73,{"enero","febrero","marzo","abril","mayo","junio","julio","agosto","septiembre","octubre","noviembre","diciembre"},0)+1,0))</f>
        <v>45535</v>
      </c>
      <c r="D73" t="s">
        <v>99</v>
      </c>
      <c r="E73" t="str">
        <f>+IFERROR(VLOOKUP(Fact_Impuestos[[#This Row], [Concepto Anterior]],Conceptos_Impuestos[#All],5,0),"")</f>
        <v>Cancelación NIT</v>
      </c>
      <c r="F73" t="str">
        <f ca="1">+IFERROR(VLOOKUP(Fact_Impuestos[[#This Row], [Concepto Anterior]],Conceptos_Impuestos[#All],7,0),"")</f>
        <v/>
      </c>
      <c r="G73" t="s">
        <v>172</v>
      </c>
      <c r="H73" t="s">
        <v>172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180</v>
      </c>
      <c r="C74" s="100">
        <f>IF(OR(Fact_Impuestos[[#This Row], [Año]]="",Fact_Impuestos[[#This Row], [Mes]]=""),"",DATE(A74,MATCH(B74,{"enero","febrero","marzo","abril","mayo","junio","julio","agosto","septiembre","octubre","noviembre","diciembre"},0)+1,0))</f>
        <v>45535</v>
      </c>
      <c r="D74" t="s">
        <v>95</v>
      </c>
      <c r="E74" t="str">
        <f>+IFERROR(VLOOKUP(Fact_Impuestos[[#This Row], [Concepto Anterior]],Conceptos_Impuestos[#All],5,0),"")</f>
        <v>declaraciones tributarias</v>
      </c>
      <c r="F74" t="str">
        <f ca="1">+IFERROR(VLOOKUP(Fact_Impuestos[[#This Row], [Concepto Anterior]],Conceptos_Impuestos[#All],7,0),"")</f>
        <v/>
      </c>
      <c r="G74" t="s">
        <v>172</v>
      </c>
      <c r="H74" t="s">
        <v>172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93">
        <v>22</v>
      </c>
    </row>
    <row r="75" spans="1:11" ht="18.75" customHeight="1" x14ac:dyDescent="0.35">
      <c r="A75" s="93">
        <v>2024</v>
      </c>
      <c r="B75" t="s">
        <v>180</v>
      </c>
      <c r="C75" s="100">
        <f>IF(OR(Fact_Impuestos[[#This Row], [Año]]="",Fact_Impuestos[[#This Row], [Mes]]=""),"",DATE(A75,MATCH(B75,{"enero","febrero","marzo","abril","mayo","junio","julio","agosto","septiembre","octubre","noviembre","diciembre"},0)+1,0))</f>
        <v>45535</v>
      </c>
      <c r="D75" t="s">
        <v>96</v>
      </c>
      <c r="E75" t="str">
        <f>+IFERROR(VLOOKUP(Fact_Impuestos[[#This Row], [Concepto Anterior]],Conceptos_Impuestos[#All],5,0),"")</f>
        <v>información exógena</v>
      </c>
      <c r="F75" t="str">
        <f ca="1">+IFERROR(VLOOKUP(Fact_Impuestos[[#This Row], [Concepto Anterior]],Conceptos_Impuestos[#All],7,0),"")</f>
        <v/>
      </c>
      <c r="G75" t="s">
        <v>172</v>
      </c>
      <c r="H75" t="s">
        <v>172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93">
        <v>15</v>
      </c>
    </row>
    <row r="76" spans="1:11" ht="18.75" customHeight="1" x14ac:dyDescent="0.35">
      <c r="A76" s="93">
        <v>2024</v>
      </c>
      <c r="B76" t="s">
        <v>180</v>
      </c>
      <c r="C76" s="100">
        <f>IF(OR(Fact_Impuestos[[#This Row], [Año]]="",Fact_Impuestos[[#This Row], [Mes]]=""),"",DATE(A76,MATCH(B76,{"enero","febrero","marzo","abril","mayo","junio","julio","agosto","septiembre","octubre","noviembre","diciembre"},0)+1,0))</f>
        <v>45535</v>
      </c>
      <c r="D76" t="s">
        <v>185</v>
      </c>
      <c r="E76" t="str">
        <f>+IFERROR(VLOOKUP(Fact_Impuestos[[#This Row], [Concepto Anterior]],Conceptos_Impuestos[#All],5,0),"")</f>
        <v>Devolución saldos a favor en renta</v>
      </c>
      <c r="F76" t="str">
        <f ca="1">+IFERROR(VLOOKUP(Fact_Impuestos[[#This Row], [Concepto Anterior]],Conceptos_Impuestos[#All],7,0),"")</f>
        <v/>
      </c>
      <c r="G76" t="s">
        <v>172</v>
      </c>
      <c r="H76" t="s">
        <v>172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93">
        <v>0</v>
      </c>
    </row>
    <row r="77" spans="1:11" ht="18.75" customHeight="1" x14ac:dyDescent="0.35">
      <c r="A77" s="93">
        <v>2024</v>
      </c>
      <c r="B77" t="s">
        <v>180</v>
      </c>
      <c r="C77" s="100">
        <f>IF(OR(Fact_Impuestos[[#This Row], [Año]]="",Fact_Impuestos[[#This Row], [Mes]]=""),"",DATE(A77,MATCH(B77,{"enero","febrero","marzo","abril","mayo","junio","julio","agosto","septiembre","octubre","noviembre","diciembre"},0)+1,0))</f>
        <v>45535</v>
      </c>
      <c r="D77" t="s">
        <v>98</v>
      </c>
      <c r="E77" t="str">
        <f>+IFERROR(VLOOKUP(Fact_Impuestos[[#This Row], [Concepto Anterior]],Conceptos_Impuestos[#All],5,0),"")</f>
        <v>Eficiencia en ICA por ingresos producidos compra de paquete completo</v>
      </c>
      <c r="F77" t="str">
        <f ca="1">+IFERROR(VLOOKUP(Fact_Impuestos[[#This Row], [Concepto Anterior]],Conceptos_Impuestos[#All],7,0),"")</f>
        <v/>
      </c>
      <c r="G77" t="s">
        <v>172</v>
      </c>
      <c r="H77" t="s">
        <v>172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93">
        <v>0</v>
      </c>
    </row>
    <row r="78" spans="1:11" ht="18.75" customHeight="1" x14ac:dyDescent="0.35">
      <c r="A78" s="93">
        <v>2024</v>
      </c>
      <c r="B78" t="s">
        <v>180</v>
      </c>
      <c r="C78" s="100">
        <f>IF(OR(Fact_Impuestos[[#This Row], [Año]]="",Fact_Impuestos[[#This Row], [Mes]]=""),"",DATE(A78,MATCH(B78,{"enero","febrero","marzo","abril","mayo","junio","julio","agosto","septiembre","octubre","noviembre","diciembre"},0)+1,0))</f>
        <v>45535</v>
      </c>
      <c r="D78" t="s">
        <v>77</v>
      </c>
      <c r="E78" t="str">
        <f>+IFERROR(VLOOKUP(Fact_Impuestos[[#This Row], [Concepto Anterior]],Conceptos_Impuestos[#All],5,0),"")</f>
        <v>Fusiones</v>
      </c>
      <c r="F78" t="str">
        <f ca="1">+IFERROR(VLOOKUP(Fact_Impuestos[[#This Row], [Concepto Anterior]],Conceptos_Impuestos[#All],7,0),"")</f>
        <v/>
      </c>
      <c r="G78" t="s">
        <v>172</v>
      </c>
      <c r="H78" t="s">
        <v>172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180</v>
      </c>
      <c r="C79" s="100">
        <f>IF(OR(Fact_Impuestos[[#This Row], [Año]]="",Fact_Impuestos[[#This Row], [Mes]]=""),"",DATE(A79,MATCH(B79,{"enero","febrero","marzo","abril","mayo","junio","julio","agosto","septiembre","octubre","noviembre","diciembre"},0)+1,0))</f>
        <v>45535</v>
      </c>
      <c r="D79" t="s">
        <v>100</v>
      </c>
      <c r="E79" t="str">
        <f>+IFERROR(VLOOKUP(Fact_Impuestos[[#This Row], [Concepto Anterior]],Conceptos_Impuestos[#All],5,0),"")</f>
        <v>Iva descontable en la corrección de regalias</v>
      </c>
      <c r="F79" t="str">
        <f ca="1">+IFERROR(VLOOKUP(Fact_Impuestos[[#This Row], [Concepto Anterior]],Conceptos_Impuestos[#All],7,0),"")</f>
        <v/>
      </c>
      <c r="G79" t="s">
        <v>172</v>
      </c>
      <c r="H79" t="s">
        <v>172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IF(OR(Fact_Impuestos[[#This Row], [Año]]="",Fact_Impuestos[[#This Row], [Mes]]=""),"",DATE(A80,MATCH(B80,{"enero","febrero","marzo","abril","mayo","junio","julio","agosto","septiembre","octubre","noviembre","diciembre"},0)+1,0))</f>
        <v>45535</v>
      </c>
      <c r="D80" t="s">
        <v>94</v>
      </c>
      <c r="E80" t="str">
        <f>+IFERROR(VLOOKUP(Fact_Impuestos[[#This Row], [Concepto Anterior]],Conceptos_Impuestos[#All],5,0),"")</f>
        <v>Numeraciones de facturación</v>
      </c>
      <c r="F80" t="str">
        <f ca="1">+IFERROR(VLOOKUP(Fact_Impuestos[[#This Row], [Concepto Anterior]],Conceptos_Impuestos[#All],7,0),"")</f>
        <v/>
      </c>
      <c r="G80" t="s">
        <v>172</v>
      </c>
      <c r="H80" t="s">
        <v>172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93">
        <v>124</v>
      </c>
    </row>
    <row r="81" spans="1:11" ht="18.75" customHeight="1" x14ac:dyDescent="0.35">
      <c r="A81" s="93">
        <v>2024</v>
      </c>
      <c r="B81" t="s">
        <v>180</v>
      </c>
      <c r="C81" s="100">
        <f>IF(OR(Fact_Impuestos[[#This Row], [Año]]="",Fact_Impuestos[[#This Row], [Mes]]=""),"",DATE(A81,MATCH(B81,{"enero","febrero","marzo","abril","mayo","junio","julio","agosto","septiembre","octubre","noviembre","diciembre"},0)+1,0))</f>
        <v>45535</v>
      </c>
      <c r="D81" t="s">
        <v>144</v>
      </c>
      <c r="E81" t="str">
        <f>+IFERROR(VLOOKUP(Fact_Impuestos[[#This Row], [Concepto Anterior]],Conceptos_Impuestos[#All],5,0),"")</f>
        <v>Trámites, Aperturas y Cierres de Tiendas</v>
      </c>
      <c r="F81" t="str">
        <f ca="1">+IFERROR(VLOOKUP(Fact_Impuestos[[#This Row], [Concepto Anterior]],Conceptos_Impuestos[#All],7,0),"")</f>
        <v/>
      </c>
      <c r="G81" t="s">
        <v>172</v>
      </c>
      <c r="H81" t="s">
        <v>172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93">
        <v>1</v>
      </c>
    </row>
    <row r="82" spans="1:11" ht="18.75" customHeight="1" x14ac:dyDescent="0.35">
      <c r="A82" s="93">
        <v>2024</v>
      </c>
      <c r="B82" t="s">
        <v>181</v>
      </c>
      <c r="C82" s="100">
        <f>IF(OR(Fact_Impuestos[[#This Row], [Año]]="",Fact_Impuestos[[#This Row], [Mes]]=""),"",DATE(A82,MATCH(B82,{"enero","febrero","marzo","abril","mayo","junio","julio","agosto","septiembre","octubre","noviembre","diciembre"},0)+1,0))</f>
        <v>45565</v>
      </c>
      <c r="D82" t="s">
        <v>92</v>
      </c>
      <c r="E82" t="str">
        <f>+IFERROR(VLOOKUP(Fact_Impuestos[[#This Row], [Concepto Anterior]],Conceptos_Impuestos[#All],5,0),"")</f>
        <v xml:space="preserve">Fiscalizaciones DIAN - Municipios </v>
      </c>
      <c r="F82" t="str">
        <f ca="1">+IFERROR(VLOOKUP(Fact_Impuestos[[#This Row], [Concepto Anterior]],Conceptos_Impuestos[#All],7,0),"")</f>
        <v/>
      </c>
      <c r="G82" t="s">
        <v>172</v>
      </c>
      <c r="H82" t="s">
        <v>172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93">
        <v>5</v>
      </c>
    </row>
    <row r="83" spans="1:11" ht="18.75" customHeight="1" x14ac:dyDescent="0.35">
      <c r="A83" s="93">
        <v>2024</v>
      </c>
      <c r="B83" t="s">
        <v>181</v>
      </c>
      <c r="C83" s="100">
        <f>IF(OR(Fact_Impuestos[[#This Row], [Año]]="",Fact_Impuestos[[#This Row], [Mes]]=""),"",DATE(A83,MATCH(B83,{"enero","febrero","marzo","abril","mayo","junio","julio","agosto","septiembre","octubre","noviembre","diciembre"},0)+1,0))</f>
        <v>45565</v>
      </c>
      <c r="D83" t="s">
        <v>99</v>
      </c>
      <c r="E83" t="str">
        <f>+IFERROR(VLOOKUP(Fact_Impuestos[[#This Row], [Concepto Anterior]],Conceptos_Impuestos[#All],5,0),"")</f>
        <v>Cancelación NIT</v>
      </c>
      <c r="F83" t="str">
        <f ca="1">+IFERROR(VLOOKUP(Fact_Impuestos[[#This Row], [Concepto Anterior]],Conceptos_Impuestos[#All],7,0),"")</f>
        <v/>
      </c>
      <c r="G83" t="s">
        <v>172</v>
      </c>
      <c r="H83" t="s">
        <v>172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93">
        <v>1</v>
      </c>
    </row>
    <row r="84" spans="1:11" ht="18.75" customHeight="1" x14ac:dyDescent="0.35">
      <c r="A84" s="93">
        <v>2024</v>
      </c>
      <c r="B84" t="s">
        <v>181</v>
      </c>
      <c r="C84" s="100">
        <f>IF(OR(Fact_Impuestos[[#This Row], [Año]]="",Fact_Impuestos[[#This Row], [Mes]]=""),"",DATE(A84,MATCH(B84,{"enero","febrero","marzo","abril","mayo","junio","julio","agosto","septiembre","octubre","noviembre","diciembre"},0)+1,0))</f>
        <v>45565</v>
      </c>
      <c r="D84" t="s">
        <v>95</v>
      </c>
      <c r="E84" t="str">
        <f>+IFERROR(VLOOKUP(Fact_Impuestos[[#This Row], [Concepto Anterior]],Conceptos_Impuestos[#All],5,0),"")</f>
        <v>declaraciones tributarias</v>
      </c>
      <c r="F84" t="str">
        <f ca="1">+IFERROR(VLOOKUP(Fact_Impuestos[[#This Row], [Concepto Anterior]],Conceptos_Impuestos[#All],7,0),"")</f>
        <v/>
      </c>
      <c r="G84" t="s">
        <v>172</v>
      </c>
      <c r="H84" t="s">
        <v>172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93">
        <v>73</v>
      </c>
    </row>
    <row r="85" spans="1:11" ht="18.75" customHeight="1" x14ac:dyDescent="0.35">
      <c r="A85" s="93">
        <v>2024</v>
      </c>
      <c r="B85" t="s">
        <v>181</v>
      </c>
      <c r="C85" s="100">
        <f>IF(OR(Fact_Impuestos[[#This Row], [Año]]="",Fact_Impuestos[[#This Row], [Mes]]=""),"",DATE(A85,MATCH(B85,{"enero","febrero","marzo","abril","mayo","junio","julio","agosto","septiembre","octubre","noviembre","diciembre"},0)+1,0))</f>
        <v>45565</v>
      </c>
      <c r="D85" t="s">
        <v>96</v>
      </c>
      <c r="E85" t="str">
        <f>+IFERROR(VLOOKUP(Fact_Impuestos[[#This Row], [Concepto Anterior]],Conceptos_Impuestos[#All],5,0),"")</f>
        <v>información exógena</v>
      </c>
      <c r="F85" t="str">
        <f ca="1">+IFERROR(VLOOKUP(Fact_Impuestos[[#This Row], [Concepto Anterior]],Conceptos_Impuestos[#All],7,0),"")</f>
        <v/>
      </c>
      <c r="G85" t="s">
        <v>172</v>
      </c>
      <c r="H85" t="s">
        <v>172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93">
        <v>2</v>
      </c>
    </row>
    <row r="86" spans="1:11" ht="18.75" customHeight="1" x14ac:dyDescent="0.35">
      <c r="A86" s="93">
        <v>2024</v>
      </c>
      <c r="B86" t="s">
        <v>181</v>
      </c>
      <c r="C86" s="100">
        <f>IF(OR(Fact_Impuestos[[#This Row], [Año]]="",Fact_Impuestos[[#This Row], [Mes]]=""),"",DATE(A86,MATCH(B86,{"enero","febrero","marzo","abril","mayo","junio","julio","agosto","septiembre","octubre","noviembre","diciembre"},0)+1,0))</f>
        <v>45565</v>
      </c>
      <c r="D86" t="s">
        <v>185</v>
      </c>
      <c r="E86" t="str">
        <f>+IFERROR(VLOOKUP(Fact_Impuestos[[#This Row], [Concepto Anterior]],Conceptos_Impuestos[#All],5,0),"")</f>
        <v>Devolución saldos a favor en renta</v>
      </c>
      <c r="F86" t="str">
        <f ca="1">+IFERROR(VLOOKUP(Fact_Impuestos[[#This Row], [Concepto Anterior]],Conceptos_Impuestos[#All],7,0),"")</f>
        <v/>
      </c>
      <c r="G86" t="s">
        <v>172</v>
      </c>
      <c r="H86" t="s">
        <v>172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93">
        <v>0</v>
      </c>
    </row>
    <row r="87" spans="1:11" ht="18.75" customHeight="1" x14ac:dyDescent="0.35">
      <c r="A87" s="93">
        <v>2024</v>
      </c>
      <c r="B87" t="s">
        <v>181</v>
      </c>
      <c r="C87" s="100">
        <f>IF(OR(Fact_Impuestos[[#This Row], [Año]]="",Fact_Impuestos[[#This Row], [Mes]]=""),"",DATE(A87,MATCH(B87,{"enero","febrero","marzo","abril","mayo","junio","julio","agosto","septiembre","octubre","noviembre","diciembre"},0)+1,0))</f>
        <v>45565</v>
      </c>
      <c r="D87" t="s">
        <v>98</v>
      </c>
      <c r="E87" t="str">
        <f>+IFERROR(VLOOKUP(Fact_Impuestos[[#This Row], [Concepto Anterior]],Conceptos_Impuestos[#All],5,0),"")</f>
        <v>Eficiencia en ICA por ingresos producidos compra de paquete completo</v>
      </c>
      <c r="F87" t="str">
        <f ca="1">+IFERROR(VLOOKUP(Fact_Impuestos[[#This Row], [Concepto Anterior]],Conceptos_Impuestos[#All],7,0),"")</f>
        <v/>
      </c>
      <c r="G87" t="s">
        <v>172</v>
      </c>
      <c r="H87" t="s">
        <v>172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93">
        <v>0</v>
      </c>
    </row>
    <row r="88" spans="1:11" ht="18.75" customHeight="1" x14ac:dyDescent="0.35">
      <c r="A88" s="93">
        <v>2024</v>
      </c>
      <c r="B88" t="s">
        <v>181</v>
      </c>
      <c r="C88" s="100">
        <f>IF(OR(Fact_Impuestos[[#This Row], [Año]]="",Fact_Impuestos[[#This Row], [Mes]]=""),"",DATE(A88,MATCH(B88,{"enero","febrero","marzo","abril","mayo","junio","julio","agosto","septiembre","octubre","noviembre","diciembre"},0)+1,0))</f>
        <v>45565</v>
      </c>
      <c r="D88" t="s">
        <v>77</v>
      </c>
      <c r="E88" t="str">
        <f>+IFERROR(VLOOKUP(Fact_Impuestos[[#This Row], [Concepto Anterior]],Conceptos_Impuestos[#All],5,0),"")</f>
        <v>Fusiones</v>
      </c>
      <c r="F88" t="str">
        <f ca="1">+IFERROR(VLOOKUP(Fact_Impuestos[[#This Row], [Concepto Anterior]],Conceptos_Impuestos[#All],7,0),"")</f>
        <v/>
      </c>
      <c r="G88" t="s">
        <v>172</v>
      </c>
      <c r="H88" t="s">
        <v>172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93">
        <v>0</v>
      </c>
    </row>
    <row r="89" spans="1:11" ht="18.75" customHeight="1" x14ac:dyDescent="0.35">
      <c r="A89" s="93">
        <v>2024</v>
      </c>
      <c r="B89" t="s">
        <v>181</v>
      </c>
      <c r="C89" s="100">
        <f>IF(OR(Fact_Impuestos[[#This Row], [Año]]="",Fact_Impuestos[[#This Row], [Mes]]=""),"",DATE(A89,MATCH(B89,{"enero","febrero","marzo","abril","mayo","junio","julio","agosto","septiembre","octubre","noviembre","diciembre"},0)+1,0))</f>
        <v>45565</v>
      </c>
      <c r="D89" t="s">
        <v>100</v>
      </c>
      <c r="E89" t="str">
        <f>+IFERROR(VLOOKUP(Fact_Impuestos[[#This Row], [Concepto Anterior]],Conceptos_Impuestos[#All],5,0),"")</f>
        <v>Iva descontable en la corrección de regalias</v>
      </c>
      <c r="F89" t="str">
        <f ca="1">+IFERROR(VLOOKUP(Fact_Impuestos[[#This Row], [Concepto Anterior]],Conceptos_Impuestos[#All],7,0),"")</f>
        <v/>
      </c>
      <c r="G89" t="s">
        <v>172</v>
      </c>
      <c r="H89" t="s">
        <v>172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IF(OR(Fact_Impuestos[[#This Row], [Año]]="",Fact_Impuestos[[#This Row], [Mes]]=""),"",DATE(A90,MATCH(B90,{"enero","febrero","marzo","abril","mayo","junio","julio","agosto","septiembre","octubre","noviembre","diciembre"},0)+1,0))</f>
        <v>45565</v>
      </c>
      <c r="D90" t="s">
        <v>94</v>
      </c>
      <c r="E90" t="str">
        <f>+IFERROR(VLOOKUP(Fact_Impuestos[[#This Row], [Concepto Anterior]],Conceptos_Impuestos[#All],5,0),"")</f>
        <v>Numeraciones de facturación</v>
      </c>
      <c r="F90" t="str">
        <f ca="1">+IFERROR(VLOOKUP(Fact_Impuestos[[#This Row], [Concepto Anterior]],Conceptos_Impuestos[#All],7,0),"")</f>
        <v/>
      </c>
      <c r="G90" t="s">
        <v>172</v>
      </c>
      <c r="H90" t="s">
        <v>172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93">
        <v>47</v>
      </c>
    </row>
    <row r="91" spans="1:11" ht="18.75" customHeight="1" x14ac:dyDescent="0.35">
      <c r="A91" s="93">
        <v>2024</v>
      </c>
      <c r="B91" t="s">
        <v>181</v>
      </c>
      <c r="C91" s="100">
        <f>IF(OR(Fact_Impuestos[[#This Row], [Año]]="",Fact_Impuestos[[#This Row], [Mes]]=""),"",DATE(A91,MATCH(B91,{"enero","febrero","marzo","abril","mayo","junio","julio","agosto","septiembre","octubre","noviembre","diciembre"},0)+1,0))</f>
        <v>45565</v>
      </c>
      <c r="D91" t="s">
        <v>144</v>
      </c>
      <c r="E91" t="str">
        <f>+IFERROR(VLOOKUP(Fact_Impuestos[[#This Row], [Concepto Anterior]],Conceptos_Impuestos[#All],5,0),"")</f>
        <v>Trámites, Aperturas y Cierres de Tiendas</v>
      </c>
      <c r="F91" t="str">
        <f ca="1">+IFERROR(VLOOKUP(Fact_Impuestos[[#This Row], [Concepto Anterior]],Conceptos_Impuestos[#All],7,0),"")</f>
        <v/>
      </c>
      <c r="G91" t="s">
        <v>172</v>
      </c>
      <c r="H91" t="s">
        <v>172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93">
        <v>2</v>
      </c>
    </row>
    <row r="92" spans="1:11" ht="18.75" customHeight="1" x14ac:dyDescent="0.35">
      <c r="A92" s="93">
        <v>2024</v>
      </c>
      <c r="B92" t="s">
        <v>182</v>
      </c>
      <c r="C92" s="100">
        <f>IF(OR(Fact_Impuestos[[#This Row], [Año]]="",Fact_Impuestos[[#This Row], [Mes]]=""),"",DATE(A92,MATCH(B92,{"enero","febrero","marzo","abril","mayo","junio","julio","agosto","septiembre","octubre","noviembre","diciembre"},0)+1,0))</f>
        <v>45596</v>
      </c>
      <c r="D92" t="s">
        <v>92</v>
      </c>
      <c r="E92" t="str">
        <f>+IFERROR(VLOOKUP(Fact_Impuestos[[#This Row], [Concepto Anterior]],Conceptos_Impuestos[#All],5,0),"")</f>
        <v xml:space="preserve">Fiscalizaciones DIAN - Municipios </v>
      </c>
      <c r="F92" t="str">
        <f ca="1">+IFERROR(VLOOKUP(Fact_Impuestos[[#This Row], [Concepto Anterior]],Conceptos_Impuestos[#All],7,0),"")</f>
        <v/>
      </c>
      <c r="G92" t="s">
        <v>172</v>
      </c>
      <c r="H92" t="s">
        <v>172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93">
        <v>9</v>
      </c>
    </row>
    <row r="93" spans="1:11" ht="18.75" customHeight="1" x14ac:dyDescent="0.35">
      <c r="A93" s="93">
        <v>2024</v>
      </c>
      <c r="B93" t="s">
        <v>182</v>
      </c>
      <c r="C93" s="100">
        <f>IF(OR(Fact_Impuestos[[#This Row], [Año]]="",Fact_Impuestos[[#This Row], [Mes]]=""),"",DATE(A93,MATCH(B93,{"enero","febrero","marzo","abril","mayo","junio","julio","agosto","septiembre","octubre","noviembre","diciembre"},0)+1,0))</f>
        <v>45596</v>
      </c>
      <c r="D93" t="s">
        <v>99</v>
      </c>
      <c r="E93" t="str">
        <f>+IFERROR(VLOOKUP(Fact_Impuestos[[#This Row], [Concepto Anterior]],Conceptos_Impuestos[#All],5,0),"")</f>
        <v>Cancelación NIT</v>
      </c>
      <c r="F93" t="str">
        <f ca="1">+IFERROR(VLOOKUP(Fact_Impuestos[[#This Row], [Concepto Anterior]],Conceptos_Impuestos[#All],7,0),"")</f>
        <v/>
      </c>
      <c r="G93" t="s">
        <v>172</v>
      </c>
      <c r="H93" t="s">
        <v>172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93">
        <v>0</v>
      </c>
    </row>
    <row r="94" spans="1:11" ht="18.75" customHeight="1" x14ac:dyDescent="0.35">
      <c r="A94" s="93">
        <v>2024</v>
      </c>
      <c r="B94" t="s">
        <v>182</v>
      </c>
      <c r="C94" s="100">
        <f>IF(OR(Fact_Impuestos[[#This Row], [Año]]="",Fact_Impuestos[[#This Row], [Mes]]=""),"",DATE(A94,MATCH(B94,{"enero","febrero","marzo","abril","mayo","junio","julio","agosto","septiembre","octubre","noviembre","diciembre"},0)+1,0))</f>
        <v>45596</v>
      </c>
      <c r="D94" t="s">
        <v>95</v>
      </c>
      <c r="E94" t="str">
        <f>+IFERROR(VLOOKUP(Fact_Impuestos[[#This Row], [Concepto Anterior]],Conceptos_Impuestos[#All],5,0),"")</f>
        <v>declaraciones tributarias</v>
      </c>
      <c r="F94" t="str">
        <f ca="1">+IFERROR(VLOOKUP(Fact_Impuestos[[#This Row], [Concepto Anterior]],Conceptos_Impuestos[#All],7,0),"")</f>
        <v/>
      </c>
      <c r="G94" t="s">
        <v>172</v>
      </c>
      <c r="H94" t="s">
        <v>172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93">
        <v>22</v>
      </c>
    </row>
    <row r="95" spans="1:11" ht="18.75" customHeight="1" x14ac:dyDescent="0.35">
      <c r="A95" s="93">
        <v>2024</v>
      </c>
      <c r="B95" t="s">
        <v>182</v>
      </c>
      <c r="C95" s="100">
        <f>IF(OR(Fact_Impuestos[[#This Row], [Año]]="",Fact_Impuestos[[#This Row], [Mes]]=""),"",DATE(A95,MATCH(B95,{"enero","febrero","marzo","abril","mayo","junio","julio","agosto","septiembre","octubre","noviembre","diciembre"},0)+1,0))</f>
        <v>45596</v>
      </c>
      <c r="D95" t="s">
        <v>96</v>
      </c>
      <c r="E95" t="str">
        <f>+IFERROR(VLOOKUP(Fact_Impuestos[[#This Row], [Concepto Anterior]],Conceptos_Impuestos[#All],5,0),"")</f>
        <v>información exógena</v>
      </c>
      <c r="F95" t="str">
        <f ca="1">+IFERROR(VLOOKUP(Fact_Impuestos[[#This Row], [Concepto Anterior]],Conceptos_Impuestos[#All],7,0),"")</f>
        <v/>
      </c>
      <c r="G95" t="s">
        <v>172</v>
      </c>
      <c r="H95" t="s">
        <v>172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93">
        <v>0</v>
      </c>
    </row>
    <row r="96" spans="1:11" ht="18.75" customHeight="1" x14ac:dyDescent="0.35">
      <c r="A96" s="93">
        <v>2024</v>
      </c>
      <c r="B96" t="s">
        <v>182</v>
      </c>
      <c r="C96" s="100">
        <f>IF(OR(Fact_Impuestos[[#This Row], [Año]]="",Fact_Impuestos[[#This Row], [Mes]]=""),"",DATE(A96,MATCH(B96,{"enero","febrero","marzo","abril","mayo","junio","julio","agosto","septiembre","octubre","noviembre","diciembre"},0)+1,0))</f>
        <v>45596</v>
      </c>
      <c r="D96" t="s">
        <v>185</v>
      </c>
      <c r="E96" t="str">
        <f>+IFERROR(VLOOKUP(Fact_Impuestos[[#This Row], [Concepto Anterior]],Conceptos_Impuestos[#All],5,0),"")</f>
        <v>Devolución saldos a favor en renta</v>
      </c>
      <c r="F96" t="str">
        <f ca="1">+IFERROR(VLOOKUP(Fact_Impuestos[[#This Row], [Concepto Anterior]],Conceptos_Impuestos[#All],7,0),"")</f>
        <v/>
      </c>
      <c r="G96" t="s">
        <v>172</v>
      </c>
      <c r="H96" t="s">
        <v>172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93">
        <v>1227000000</v>
      </c>
    </row>
    <row r="97" spans="1:11" ht="18.75" customHeight="1" x14ac:dyDescent="0.35">
      <c r="A97" s="93">
        <v>2024</v>
      </c>
      <c r="B97" t="s">
        <v>182</v>
      </c>
      <c r="C97" s="100">
        <f>IF(OR(Fact_Impuestos[[#This Row], [Año]]="",Fact_Impuestos[[#This Row], [Mes]]=""),"",DATE(A97,MATCH(B97,{"enero","febrero","marzo","abril","mayo","junio","julio","agosto","septiembre","octubre","noviembre","diciembre"},0)+1,0))</f>
        <v>45596</v>
      </c>
      <c r="D97" t="s">
        <v>98</v>
      </c>
      <c r="E97" t="str">
        <f>+IFERROR(VLOOKUP(Fact_Impuestos[[#This Row], [Concepto Anterior]],Conceptos_Impuestos[#All],5,0),"")</f>
        <v>Eficiencia en ICA por ingresos producidos compra de paquete completo</v>
      </c>
      <c r="F97" t="str">
        <f ca="1">+IFERROR(VLOOKUP(Fact_Impuestos[[#This Row], [Concepto Anterior]],Conceptos_Impuestos[#All],7,0),"")</f>
        <v/>
      </c>
      <c r="G97" t="s">
        <v>172</v>
      </c>
      <c r="H97" t="s">
        <v>172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93">
        <v>0</v>
      </c>
    </row>
    <row r="98" spans="1:11" ht="18.75" customHeight="1" x14ac:dyDescent="0.35">
      <c r="A98" s="93">
        <v>2024</v>
      </c>
      <c r="B98" t="s">
        <v>182</v>
      </c>
      <c r="C98" s="100">
        <f>IF(OR(Fact_Impuestos[[#This Row], [Año]]="",Fact_Impuestos[[#This Row], [Mes]]=""),"",DATE(A98,MATCH(B98,{"enero","febrero","marzo","abril","mayo","junio","julio","agosto","septiembre","octubre","noviembre","diciembre"},0)+1,0))</f>
        <v>45596</v>
      </c>
      <c r="D98" t="s">
        <v>77</v>
      </c>
      <c r="E98" t="str">
        <f>+IFERROR(VLOOKUP(Fact_Impuestos[[#This Row], [Concepto Anterior]],Conceptos_Impuestos[#All],5,0),"")</f>
        <v>Fusiones</v>
      </c>
      <c r="F98" t="str">
        <f ca="1">+IFERROR(VLOOKUP(Fact_Impuestos[[#This Row], [Concepto Anterior]],Conceptos_Impuestos[#All],7,0),"")</f>
        <v/>
      </c>
      <c r="G98" t="s">
        <v>172</v>
      </c>
      <c r="H98" t="s">
        <v>172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IF(OR(Fact_Impuestos[[#This Row], [Año]]="",Fact_Impuestos[[#This Row], [Mes]]=""),"",DATE(A99,MATCH(B99,{"enero","febrero","marzo","abril","mayo","junio","julio","agosto","septiembre","octubre","noviembre","diciembre"},0)+1,0))</f>
        <v>45596</v>
      </c>
      <c r="D99" t="s">
        <v>100</v>
      </c>
      <c r="E99" t="str">
        <f>+IFERROR(VLOOKUP(Fact_Impuestos[[#This Row], [Concepto Anterior]],Conceptos_Impuestos[#All],5,0),"")</f>
        <v>Iva descontable en la corrección de regalias</v>
      </c>
      <c r="F99" t="str">
        <f ca="1">+IFERROR(VLOOKUP(Fact_Impuestos[[#This Row], [Concepto Anterior]],Conceptos_Impuestos[#All],7,0),"")</f>
        <v/>
      </c>
      <c r="G99" t="s">
        <v>172</v>
      </c>
      <c r="H99" t="s">
        <v>172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IF(OR(Fact_Impuestos[[#This Row], [Año]]="",Fact_Impuestos[[#This Row], [Mes]]=""),"",DATE(A100,MATCH(B100,{"enero","febrero","marzo","abril","mayo","junio","julio","agosto","septiembre","octubre","noviembre","diciembre"},0)+1,0))</f>
        <v>45596</v>
      </c>
      <c r="D100" t="s">
        <v>94</v>
      </c>
      <c r="E100" t="str">
        <f>+IFERROR(VLOOKUP(Fact_Impuestos[[#This Row], [Concepto Anterior]],Conceptos_Impuestos[#All],5,0),"")</f>
        <v>Numeraciones de facturación</v>
      </c>
      <c r="F100" t="str">
        <f ca="1">+IFERROR(VLOOKUP(Fact_Impuestos[[#This Row], [Concepto Anterior]],Conceptos_Impuestos[#All],7,0),"")</f>
        <v/>
      </c>
      <c r="G100" t="s">
        <v>172</v>
      </c>
      <c r="H100" t="s">
        <v>172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93">
        <v>121</v>
      </c>
    </row>
    <row r="101" spans="1:11" ht="18.75" customHeight="1" x14ac:dyDescent="0.35">
      <c r="A101" s="93">
        <v>2024</v>
      </c>
      <c r="B101" t="s">
        <v>182</v>
      </c>
      <c r="C101" s="100">
        <f>IF(OR(Fact_Impuestos[[#This Row], [Año]]="",Fact_Impuestos[[#This Row], [Mes]]=""),"",DATE(A101,MATCH(B101,{"enero","febrero","marzo","abril","mayo","junio","julio","agosto","septiembre","octubre","noviembre","diciembre"},0)+1,0))</f>
        <v>45596</v>
      </c>
      <c r="D101" t="s">
        <v>144</v>
      </c>
      <c r="E101" t="str">
        <f>+IFERROR(VLOOKUP(Fact_Impuestos[[#This Row], [Concepto Anterior]],Conceptos_Impuestos[#All],5,0),"")</f>
        <v>Trámites, Aperturas y Cierres de Tiendas</v>
      </c>
      <c r="F101" t="str">
        <f ca="1">+IFERROR(VLOOKUP(Fact_Impuestos[[#This Row], [Concepto Anterior]],Conceptos_Impuestos[#All],7,0),"")</f>
        <v/>
      </c>
      <c r="G101" t="s">
        <v>172</v>
      </c>
      <c r="H101" t="s">
        <v>172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93">
        <v>18</v>
      </c>
    </row>
    <row r="102" spans="1:11" ht="18.75" customHeight="1" x14ac:dyDescent="0.35">
      <c r="A102" s="93">
        <v>2024</v>
      </c>
      <c r="B102" t="s">
        <v>183</v>
      </c>
      <c r="C102" s="100">
        <f>IF(OR(Fact_Impuestos[[#This Row], [Año]]="",Fact_Impuestos[[#This Row], [Mes]]=""),"",DATE(A102,MATCH(B102,{"enero","febrero","marzo","abril","mayo","junio","julio","agosto","septiembre","octubre","noviembre","diciembre"},0)+1,0))</f>
        <v>45626</v>
      </c>
      <c r="D102" t="s">
        <v>92</v>
      </c>
      <c r="E102" t="str">
        <f>+IFERROR(VLOOKUP(Fact_Impuestos[[#This Row], [Concepto Anterior]],Conceptos_Impuestos[#All],5,0),"")</f>
        <v xml:space="preserve">Fiscalizaciones DIAN - Municipios </v>
      </c>
      <c r="F102" t="str">
        <f ca="1">+IFERROR(VLOOKUP(Fact_Impuestos[[#This Row], [Concepto Anterior]],Conceptos_Impuestos[#All],7,0),"")</f>
        <v/>
      </c>
      <c r="G102" t="s">
        <v>172</v>
      </c>
      <c r="H102" t="s">
        <v>172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93">
        <v>6</v>
      </c>
    </row>
    <row r="103" spans="1:11" ht="18.75" customHeight="1" x14ac:dyDescent="0.35">
      <c r="A103" s="93">
        <v>2024</v>
      </c>
      <c r="B103" t="s">
        <v>183</v>
      </c>
      <c r="C103" s="100">
        <f>IF(OR(Fact_Impuestos[[#This Row], [Año]]="",Fact_Impuestos[[#This Row], [Mes]]=""),"",DATE(A103,MATCH(B103,{"enero","febrero","marzo","abril","mayo","junio","julio","agosto","septiembre","octubre","noviembre","diciembre"},0)+1,0))</f>
        <v>45626</v>
      </c>
      <c r="D103" t="s">
        <v>99</v>
      </c>
      <c r="E103" t="str">
        <f>+IFERROR(VLOOKUP(Fact_Impuestos[[#This Row], [Concepto Anterior]],Conceptos_Impuestos[#All],5,0),"")</f>
        <v>Cancelación NIT</v>
      </c>
      <c r="F103" t="str">
        <f ca="1">+IFERROR(VLOOKUP(Fact_Impuestos[[#This Row], [Concepto Anterior]],Conceptos_Impuestos[#All],7,0),"")</f>
        <v/>
      </c>
      <c r="G103" t="s">
        <v>172</v>
      </c>
      <c r="H103" t="s">
        <v>172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93">
        <v>1</v>
      </c>
    </row>
    <row r="104" spans="1:11" ht="18.75" customHeight="1" x14ac:dyDescent="0.35">
      <c r="A104" s="93">
        <v>2024</v>
      </c>
      <c r="B104" t="s">
        <v>183</v>
      </c>
      <c r="C104" s="100">
        <f>IF(OR(Fact_Impuestos[[#This Row], [Año]]="",Fact_Impuestos[[#This Row], [Mes]]=""),"",DATE(A104,MATCH(B104,{"enero","febrero","marzo","abril","mayo","junio","julio","agosto","septiembre","octubre","noviembre","diciembre"},0)+1,0))</f>
        <v>45626</v>
      </c>
      <c r="D104" t="s">
        <v>95</v>
      </c>
      <c r="E104" t="str">
        <f>+IFERROR(VLOOKUP(Fact_Impuestos[[#This Row], [Concepto Anterior]],Conceptos_Impuestos[#All],5,0),"")</f>
        <v>declaraciones tributarias</v>
      </c>
      <c r="F104" t="str">
        <f ca="1">+IFERROR(VLOOKUP(Fact_Impuestos[[#This Row], [Concepto Anterior]],Conceptos_Impuestos[#All],7,0),"")</f>
        <v/>
      </c>
      <c r="G104" t="s">
        <v>172</v>
      </c>
      <c r="H104" t="s">
        <v>172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93">
        <v>66</v>
      </c>
    </row>
    <row r="105" spans="1:11" ht="18.75" customHeight="1" x14ac:dyDescent="0.35">
      <c r="A105" s="93">
        <v>2024</v>
      </c>
      <c r="B105" t="s">
        <v>183</v>
      </c>
      <c r="C105" s="100">
        <f>IF(OR(Fact_Impuestos[[#This Row], [Año]]="",Fact_Impuestos[[#This Row], [Mes]]=""),"",DATE(A105,MATCH(B105,{"enero","febrero","marzo","abril","mayo","junio","julio","agosto","septiembre","octubre","noviembre","diciembre"},0)+1,0))</f>
        <v>45626</v>
      </c>
      <c r="D105" t="s">
        <v>96</v>
      </c>
      <c r="E105" t="str">
        <f>+IFERROR(VLOOKUP(Fact_Impuestos[[#This Row], [Concepto Anterior]],Conceptos_Impuestos[#All],5,0),"")</f>
        <v>información exógena</v>
      </c>
      <c r="F105" t="str">
        <f ca="1">+IFERROR(VLOOKUP(Fact_Impuestos[[#This Row], [Concepto Anterior]],Conceptos_Impuestos[#All],7,0),"")</f>
        <v/>
      </c>
      <c r="G105" t="s">
        <v>172</v>
      </c>
      <c r="H105" t="s">
        <v>172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93">
        <v>0</v>
      </c>
    </row>
    <row r="106" spans="1:11" ht="18.75" customHeight="1" x14ac:dyDescent="0.35">
      <c r="A106" s="93">
        <v>2024</v>
      </c>
      <c r="B106" t="s">
        <v>183</v>
      </c>
      <c r="C106" s="100">
        <f>IF(OR(Fact_Impuestos[[#This Row], [Año]]="",Fact_Impuestos[[#This Row], [Mes]]=""),"",DATE(A106,MATCH(B106,{"enero","febrero","marzo","abril","mayo","junio","julio","agosto","septiembre","octubre","noviembre","diciembre"},0)+1,0))</f>
        <v>45626</v>
      </c>
      <c r="D106" t="s">
        <v>185</v>
      </c>
      <c r="E106" t="str">
        <f>+IFERROR(VLOOKUP(Fact_Impuestos[[#This Row], [Concepto Anterior]],Conceptos_Impuestos[#All],5,0),"")</f>
        <v>Devolución saldos a favor en renta</v>
      </c>
      <c r="F106" t="str">
        <f ca="1">+IFERROR(VLOOKUP(Fact_Impuestos[[#This Row], [Concepto Anterior]],Conceptos_Impuestos[#All],7,0),"")</f>
        <v/>
      </c>
      <c r="G106" t="s">
        <v>172</v>
      </c>
      <c r="H106" t="s">
        <v>172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93">
        <v>0</v>
      </c>
    </row>
    <row r="107" spans="1:11" ht="18.75" customHeight="1" x14ac:dyDescent="0.35">
      <c r="A107" s="93">
        <v>2024</v>
      </c>
      <c r="B107" t="s">
        <v>183</v>
      </c>
      <c r="C107" s="100">
        <f>IF(OR(Fact_Impuestos[[#This Row], [Año]]="",Fact_Impuestos[[#This Row], [Mes]]=""),"",DATE(A107,MATCH(B107,{"enero","febrero","marzo","abril","mayo","junio","julio","agosto","septiembre","octubre","noviembre","diciembre"},0)+1,0))</f>
        <v>45626</v>
      </c>
      <c r="D107" t="s">
        <v>98</v>
      </c>
      <c r="E107" t="str">
        <f>+IFERROR(VLOOKUP(Fact_Impuestos[[#This Row], [Concepto Anterior]],Conceptos_Impuestos[#All],5,0),"")</f>
        <v>Eficiencia en ICA por ingresos producidos compra de paquete completo</v>
      </c>
      <c r="F107" t="str">
        <f ca="1">+IFERROR(VLOOKUP(Fact_Impuestos[[#This Row], [Concepto Anterior]],Conceptos_Impuestos[#All],7,0),"")</f>
        <v/>
      </c>
      <c r="G107" t="s">
        <v>172</v>
      </c>
      <c r="H107" t="s">
        <v>172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93">
        <v>0</v>
      </c>
    </row>
    <row r="108" spans="1:11" ht="18.75" customHeight="1" x14ac:dyDescent="0.35">
      <c r="A108" s="93">
        <v>2024</v>
      </c>
      <c r="B108" t="s">
        <v>183</v>
      </c>
      <c r="C108" s="100">
        <f>IF(OR(Fact_Impuestos[[#This Row], [Año]]="",Fact_Impuestos[[#This Row], [Mes]]=""),"",DATE(A108,MATCH(B108,{"enero","febrero","marzo","abril","mayo","junio","julio","agosto","septiembre","octubre","noviembre","diciembre"},0)+1,0))</f>
        <v>45626</v>
      </c>
      <c r="D108" t="s">
        <v>77</v>
      </c>
      <c r="E108" t="str">
        <f>+IFERROR(VLOOKUP(Fact_Impuestos[[#This Row], [Concepto Anterior]],Conceptos_Impuestos[#All],5,0),"")</f>
        <v>Fusiones</v>
      </c>
      <c r="F108" t="str">
        <f ca="1">+IFERROR(VLOOKUP(Fact_Impuestos[[#This Row], [Concepto Anterior]],Conceptos_Impuestos[#All],7,0),"")</f>
        <v/>
      </c>
      <c r="G108" t="s">
        <v>172</v>
      </c>
      <c r="H108" t="s">
        <v>172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IF(OR(Fact_Impuestos[[#This Row], [Año]]="",Fact_Impuestos[[#This Row], [Mes]]=""),"",DATE(A109,MATCH(B109,{"enero","febrero","marzo","abril","mayo","junio","julio","agosto","septiembre","octubre","noviembre","diciembre"},0)+1,0))</f>
        <v>45626</v>
      </c>
      <c r="D109" t="s">
        <v>100</v>
      </c>
      <c r="E109" t="str">
        <f>+IFERROR(VLOOKUP(Fact_Impuestos[[#This Row], [Concepto Anterior]],Conceptos_Impuestos[#All],5,0),"")</f>
        <v>Iva descontable en la corrección de regalias</v>
      </c>
      <c r="F109" t="str">
        <f ca="1">+IFERROR(VLOOKUP(Fact_Impuestos[[#This Row], [Concepto Anterior]],Conceptos_Impuestos[#All],7,0),"")</f>
        <v/>
      </c>
      <c r="G109" t="s">
        <v>172</v>
      </c>
      <c r="H109" t="s">
        <v>172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IF(OR(Fact_Impuestos[[#This Row], [Año]]="",Fact_Impuestos[[#This Row], [Mes]]=""),"",DATE(A110,MATCH(B110,{"enero","febrero","marzo","abril","mayo","junio","julio","agosto","septiembre","octubre","noviembre","diciembre"},0)+1,0))</f>
        <v>45626</v>
      </c>
      <c r="D110" t="s">
        <v>94</v>
      </c>
      <c r="E110" t="str">
        <f>+IFERROR(VLOOKUP(Fact_Impuestos[[#This Row], [Concepto Anterior]],Conceptos_Impuestos[#All],5,0),"")</f>
        <v>Numeraciones de facturación</v>
      </c>
      <c r="F110" t="str">
        <f ca="1">+IFERROR(VLOOKUP(Fact_Impuestos[[#This Row], [Concepto Anterior]],Conceptos_Impuestos[#All],7,0),"")</f>
        <v/>
      </c>
      <c r="G110" t="s">
        <v>172</v>
      </c>
      <c r="H110" t="s">
        <v>172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93">
        <v>64</v>
      </c>
    </row>
    <row r="111" spans="1:11" ht="18.75" customHeight="1" x14ac:dyDescent="0.35">
      <c r="A111" s="93">
        <v>2024</v>
      </c>
      <c r="B111" t="s">
        <v>183</v>
      </c>
      <c r="C111" s="100">
        <f>IF(OR(Fact_Impuestos[[#This Row], [Año]]="",Fact_Impuestos[[#This Row], [Mes]]=""),"",DATE(A111,MATCH(B111,{"enero","febrero","marzo","abril","mayo","junio","julio","agosto","septiembre","octubre","noviembre","diciembre"},0)+1,0))</f>
        <v>45626</v>
      </c>
      <c r="D111" t="s">
        <v>144</v>
      </c>
      <c r="E111" t="str">
        <f>+IFERROR(VLOOKUP(Fact_Impuestos[[#This Row], [Concepto Anterior]],Conceptos_Impuestos[#All],5,0),"")</f>
        <v>Trámites, Aperturas y Cierres de Tiendas</v>
      </c>
      <c r="F111" t="str">
        <f ca="1">+IFERROR(VLOOKUP(Fact_Impuestos[[#This Row], [Concepto Anterior]],Conceptos_Impuestos[#All],7,0),"")</f>
        <v/>
      </c>
      <c r="G111" t="s">
        <v>172</v>
      </c>
      <c r="H111" t="s">
        <v>172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93">
        <v>16</v>
      </c>
    </row>
    <row r="112" spans="1:11" ht="18.75" customHeight="1" x14ac:dyDescent="0.35">
      <c r="A112" s="93">
        <v>2024</v>
      </c>
      <c r="B112" t="s">
        <v>184</v>
      </c>
      <c r="C112" s="100">
        <f>IF(OR(Fact_Impuestos[[#This Row], [Año]]="",Fact_Impuestos[[#This Row], [Mes]]=""),"",DATE(A112,MATCH(B112,{"enero","febrero","marzo","abril","mayo","junio","julio","agosto","septiembre","octubre","noviembre","diciembre"},0)+1,0))</f>
        <v>45657</v>
      </c>
      <c r="D112" t="s">
        <v>92</v>
      </c>
      <c r="E112" t="str">
        <f>+IFERROR(VLOOKUP(Fact_Impuestos[[#This Row], [Concepto Anterior]],Conceptos_Impuestos[#All],5,0),"")</f>
        <v xml:space="preserve">Fiscalizaciones DIAN - Municipios </v>
      </c>
      <c r="F112" t="str">
        <f ca="1">+IFERROR(VLOOKUP(Fact_Impuestos[[#This Row], [Concepto Anterior]],Conceptos_Impuestos[#All],7,0),"")</f>
        <v/>
      </c>
      <c r="G112" t="s">
        <v>172</v>
      </c>
      <c r="H112" t="s">
        <v>172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93">
        <v>7</v>
      </c>
    </row>
    <row r="113" spans="1:11" ht="18.75" customHeight="1" x14ac:dyDescent="0.35">
      <c r="A113" s="93">
        <v>2024</v>
      </c>
      <c r="B113" t="s">
        <v>184</v>
      </c>
      <c r="C113" s="100">
        <f>IF(OR(Fact_Impuestos[[#This Row], [Año]]="",Fact_Impuestos[[#This Row], [Mes]]=""),"",DATE(A113,MATCH(B113,{"enero","febrero","marzo","abril","mayo","junio","julio","agosto","septiembre","octubre","noviembre","diciembre"},0)+1,0))</f>
        <v>45657</v>
      </c>
      <c r="D113" t="s">
        <v>99</v>
      </c>
      <c r="E113" t="str">
        <f>+IFERROR(VLOOKUP(Fact_Impuestos[[#This Row], [Concepto Anterior]],Conceptos_Impuestos[#All],5,0),"")</f>
        <v>Cancelación NIT</v>
      </c>
      <c r="F113" t="str">
        <f ca="1">+IFERROR(VLOOKUP(Fact_Impuestos[[#This Row], [Concepto Anterior]],Conceptos_Impuestos[#All],7,0),"")</f>
        <v/>
      </c>
      <c r="G113" t="s">
        <v>172</v>
      </c>
      <c r="H113" t="s">
        <v>172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93">
        <v>1</v>
      </c>
    </row>
    <row r="114" spans="1:11" ht="18.75" customHeight="1" x14ac:dyDescent="0.35">
      <c r="A114" s="93">
        <v>2024</v>
      </c>
      <c r="B114" t="s">
        <v>184</v>
      </c>
      <c r="C114" s="100">
        <f>IF(OR(Fact_Impuestos[[#This Row], [Año]]="",Fact_Impuestos[[#This Row], [Mes]]=""),"",DATE(A114,MATCH(B114,{"enero","febrero","marzo","abril","mayo","junio","julio","agosto","septiembre","octubre","noviembre","diciembre"},0)+1,0))</f>
        <v>45657</v>
      </c>
      <c r="D114" t="s">
        <v>95</v>
      </c>
      <c r="E114" t="str">
        <f>+IFERROR(VLOOKUP(Fact_Impuestos[[#This Row], [Concepto Anterior]],Conceptos_Impuestos[#All],5,0),"")</f>
        <v>declaraciones tributarias</v>
      </c>
      <c r="F114" t="str">
        <f ca="1">+IFERROR(VLOOKUP(Fact_Impuestos[[#This Row], [Concepto Anterior]],Conceptos_Impuestos[#All],7,0),"")</f>
        <v/>
      </c>
      <c r="G114" t="s">
        <v>172</v>
      </c>
      <c r="H114" t="s">
        <v>172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93">
        <v>28</v>
      </c>
    </row>
    <row r="115" spans="1:11" ht="18.75" customHeight="1" x14ac:dyDescent="0.35">
      <c r="A115" s="93">
        <v>2024</v>
      </c>
      <c r="B115" t="s">
        <v>184</v>
      </c>
      <c r="C115" s="100">
        <f>IF(OR(Fact_Impuestos[[#This Row], [Año]]="",Fact_Impuestos[[#This Row], [Mes]]=""),"",DATE(A115,MATCH(B115,{"enero","febrero","marzo","abril","mayo","junio","julio","agosto","septiembre","octubre","noviembre","diciembre"},0)+1,0))</f>
        <v>45657</v>
      </c>
      <c r="D115" t="s">
        <v>96</v>
      </c>
      <c r="E115" t="str">
        <f>+IFERROR(VLOOKUP(Fact_Impuestos[[#This Row], [Concepto Anterior]],Conceptos_Impuestos[#All],5,0),"")</f>
        <v>información exógena</v>
      </c>
      <c r="F115" t="str">
        <f ca="1">+IFERROR(VLOOKUP(Fact_Impuestos[[#This Row], [Concepto Anterior]],Conceptos_Impuestos[#All],7,0),"")</f>
        <v/>
      </c>
      <c r="G115" t="s">
        <v>172</v>
      </c>
      <c r="H115" t="s">
        <v>172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93">
        <v>0</v>
      </c>
    </row>
    <row r="116" spans="1:11" ht="18.75" customHeight="1" x14ac:dyDescent="0.35">
      <c r="A116" s="93">
        <v>2024</v>
      </c>
      <c r="B116" t="s">
        <v>184</v>
      </c>
      <c r="C116" s="100">
        <f>IF(OR(Fact_Impuestos[[#This Row], [Año]]="",Fact_Impuestos[[#This Row], [Mes]]=""),"",DATE(A116,MATCH(B116,{"enero","febrero","marzo","abril","mayo","junio","julio","agosto","septiembre","octubre","noviembre","diciembre"},0)+1,0))</f>
        <v>45657</v>
      </c>
      <c r="D116" t="s">
        <v>185</v>
      </c>
      <c r="E116" t="str">
        <f>+IFERROR(VLOOKUP(Fact_Impuestos[[#This Row], [Concepto Anterior]],Conceptos_Impuestos[#All],5,0),"")</f>
        <v>Devolución saldos a favor en renta</v>
      </c>
      <c r="F116" t="str">
        <f ca="1">+IFERROR(VLOOKUP(Fact_Impuestos[[#This Row], [Concepto Anterior]],Conceptos_Impuestos[#All],7,0),"")</f>
        <v/>
      </c>
      <c r="G116" t="s">
        <v>172</v>
      </c>
      <c r="H116" t="s">
        <v>172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93">
        <v>0</v>
      </c>
    </row>
    <row r="117" spans="1:11" ht="18.75" customHeight="1" x14ac:dyDescent="0.35">
      <c r="A117" s="93">
        <v>2024</v>
      </c>
      <c r="B117" t="s">
        <v>184</v>
      </c>
      <c r="C117" s="100">
        <f>IF(OR(Fact_Impuestos[[#This Row], [Año]]="",Fact_Impuestos[[#This Row], [Mes]]=""),"",DATE(A117,MATCH(B117,{"enero","febrero","marzo","abril","mayo","junio","julio","agosto","septiembre","octubre","noviembre","diciembre"},0)+1,0))</f>
        <v>45657</v>
      </c>
      <c r="D117" t="s">
        <v>98</v>
      </c>
      <c r="E117" t="str">
        <f>+IFERROR(VLOOKUP(Fact_Impuestos[[#This Row], [Concepto Anterior]],Conceptos_Impuestos[#All],5,0),"")</f>
        <v>Eficiencia en ICA por ingresos producidos compra de paquete completo</v>
      </c>
      <c r="F117" t="str">
        <f ca="1">+IFERROR(VLOOKUP(Fact_Impuestos[[#This Row], [Concepto Anterior]],Conceptos_Impuestos[#All],7,0),"")</f>
        <v/>
      </c>
      <c r="G117" t="s">
        <v>172</v>
      </c>
      <c r="H117" t="s">
        <v>172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93">
        <v>0</v>
      </c>
    </row>
    <row r="118" spans="1:11" ht="18.75" customHeight="1" x14ac:dyDescent="0.35">
      <c r="A118" s="93">
        <v>2024</v>
      </c>
      <c r="B118" t="s">
        <v>184</v>
      </c>
      <c r="C118" s="100">
        <f>IF(OR(Fact_Impuestos[[#This Row], [Año]]="",Fact_Impuestos[[#This Row], [Mes]]=""),"",DATE(A118,MATCH(B118,{"enero","febrero","marzo","abril","mayo","junio","julio","agosto","septiembre","octubre","noviembre","diciembre"},0)+1,0))</f>
        <v>45657</v>
      </c>
      <c r="D118" t="s">
        <v>77</v>
      </c>
      <c r="E118" t="str">
        <f>+IFERROR(VLOOKUP(Fact_Impuestos[[#This Row], [Concepto Anterior]],Conceptos_Impuestos[#All],5,0),"")</f>
        <v>Fusiones</v>
      </c>
      <c r="F118" t="str">
        <f ca="1">+IFERROR(VLOOKUP(Fact_Impuestos[[#This Row], [Concepto Anterior]],Conceptos_Impuestos[#All],7,0),"")</f>
        <v/>
      </c>
      <c r="G118" t="s">
        <v>172</v>
      </c>
      <c r="H118" t="s">
        <v>172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IF(OR(Fact_Impuestos[[#This Row], [Año]]="",Fact_Impuestos[[#This Row], [Mes]]=""),"",DATE(A119,MATCH(B119,{"enero","febrero","marzo","abril","mayo","junio","julio","agosto","septiembre","octubre","noviembre","diciembre"},0)+1,0))</f>
        <v>45657</v>
      </c>
      <c r="D119" t="s">
        <v>100</v>
      </c>
      <c r="E119" t="str">
        <f>+IFERROR(VLOOKUP(Fact_Impuestos[[#This Row], [Concepto Anterior]],Conceptos_Impuestos[#All],5,0),"")</f>
        <v>Iva descontable en la corrección de regalias</v>
      </c>
      <c r="F119" t="str">
        <f ca="1">+IFERROR(VLOOKUP(Fact_Impuestos[[#This Row], [Concepto Anterior]],Conceptos_Impuestos[#All],7,0),"")</f>
        <v/>
      </c>
      <c r="G119" t="s">
        <v>172</v>
      </c>
      <c r="H119" t="s">
        <v>172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IF(OR(Fact_Impuestos[[#This Row], [Año]]="",Fact_Impuestos[[#This Row], [Mes]]=""),"",DATE(A120,MATCH(B120,{"enero","febrero","marzo","abril","mayo","junio","julio","agosto","septiembre","octubre","noviembre","diciembre"},0)+1,0))</f>
        <v>45657</v>
      </c>
      <c r="D120" t="s">
        <v>94</v>
      </c>
      <c r="E120" t="str">
        <f>+IFERROR(VLOOKUP(Fact_Impuestos[[#This Row], [Concepto Anterior]],Conceptos_Impuestos[#All],5,0),"")</f>
        <v>Numeraciones de facturación</v>
      </c>
      <c r="F120" t="str">
        <f ca="1">+IFERROR(VLOOKUP(Fact_Impuestos[[#This Row], [Concepto Anterior]],Conceptos_Impuestos[#All],7,0),"")</f>
        <v/>
      </c>
      <c r="G120" t="s">
        <v>172</v>
      </c>
      <c r="H120" t="s">
        <v>172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93">
        <v>405</v>
      </c>
    </row>
    <row r="121" spans="1:11" ht="18.75" customHeight="1" x14ac:dyDescent="0.35">
      <c r="A121" s="93">
        <v>2024</v>
      </c>
      <c r="B121" t="s">
        <v>184</v>
      </c>
      <c r="C121" s="100">
        <f>IF(OR(Fact_Impuestos[[#This Row], [Año]]="",Fact_Impuestos[[#This Row], [Mes]]=""),"",DATE(A121,MATCH(B121,{"enero","febrero","marzo","abril","mayo","junio","julio","agosto","septiembre","octubre","noviembre","diciembre"},0)+1,0))</f>
        <v>45657</v>
      </c>
      <c r="D121" t="s">
        <v>144</v>
      </c>
      <c r="E121" t="str">
        <f>+IFERROR(VLOOKUP(Fact_Impuestos[[#This Row], [Concepto Anterior]],Conceptos_Impuestos[#All],5,0),"")</f>
        <v>Trámites, Aperturas y Cierres de Tiendas</v>
      </c>
      <c r="F121" t="str">
        <f ca="1">+IFERROR(VLOOKUP(Fact_Impuestos[[#This Row], [Concepto Anterior]],Conceptos_Impuestos[#All],7,0),"")</f>
        <v/>
      </c>
      <c r="G121" t="s">
        <v>172</v>
      </c>
      <c r="H121" t="s">
        <v>172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93">
        <v>1</v>
      </c>
    </row>
    <row r="122" spans="1:11" ht="18.75" customHeight="1" x14ac:dyDescent="0.35">
      <c r="A122" s="93">
        <v>2025</v>
      </c>
      <c r="B122" t="s">
        <v>171</v>
      </c>
      <c r="C122" s="100">
        <f>IF(OR(Fact_Impuestos[[#This Row], [Año]]="",Fact_Impuestos[[#This Row], [Mes]]=""),"",DATE(A122,MATCH(B122,{"enero","febrero","marzo","abril","mayo","junio","julio","agosto","septiembre","octubre","noviembre","diciembre"},0)+1,0))</f>
        <v>45688</v>
      </c>
      <c r="D122" t="s">
        <v>92</v>
      </c>
      <c r="E122" t="str">
        <f>+IFERROR(VLOOKUP(Fact_Impuestos[[#This Row], [Concepto Anterior]],Conceptos_Impuestos[#All],5,0),"")</f>
        <v xml:space="preserve">Fiscalizaciones DIAN - Municipios </v>
      </c>
      <c r="F122" t="str">
        <f ca="1">+IFERROR(VLOOKUP(Fact_Impuestos[[#This Row], [Concepto Anterior]],Conceptos_Impuestos[#All],7,0),"")</f>
        <v/>
      </c>
      <c r="G122" t="s">
        <v>172</v>
      </c>
      <c r="H122" t="s">
        <v>172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93">
        <v>0</v>
      </c>
    </row>
    <row r="123" spans="1:11" ht="18.75" customHeight="1" x14ac:dyDescent="0.35">
      <c r="A123" s="93">
        <v>2025</v>
      </c>
      <c r="B123" t="s">
        <v>171</v>
      </c>
      <c r="C123" s="100">
        <f>IF(OR(Fact_Impuestos[[#This Row], [Año]]="",Fact_Impuestos[[#This Row], [Mes]]=""),"",DATE(A123,MATCH(B123,{"enero","febrero","marzo","abril","mayo","junio","julio","agosto","septiembre","octubre","noviembre","diciembre"},0)+1,0))</f>
        <v>45688</v>
      </c>
      <c r="D123" t="s">
        <v>99</v>
      </c>
      <c r="E123" t="str">
        <f>+IFERROR(VLOOKUP(Fact_Impuestos[[#This Row], [Concepto Anterior]],Conceptos_Impuestos[#All],5,0),"")</f>
        <v>Cancelación NIT</v>
      </c>
      <c r="F123" t="str">
        <f ca="1">+IFERROR(VLOOKUP(Fact_Impuestos[[#This Row], [Concepto Anterior]],Conceptos_Impuestos[#All],7,0),"")</f>
        <v/>
      </c>
      <c r="G123" t="s">
        <v>172</v>
      </c>
      <c r="H123" t="s">
        <v>172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93">
        <v>0</v>
      </c>
    </row>
    <row r="124" spans="1:11" ht="18.75" customHeight="1" x14ac:dyDescent="0.35">
      <c r="A124" s="93">
        <v>2025</v>
      </c>
      <c r="B124" t="s">
        <v>171</v>
      </c>
      <c r="C124" s="100">
        <f>IF(OR(Fact_Impuestos[[#This Row], [Año]]="",Fact_Impuestos[[#This Row], [Mes]]=""),"",DATE(A124,MATCH(B124,{"enero","febrero","marzo","abril","mayo","junio","julio","agosto","septiembre","octubre","noviembre","diciembre"},0)+1,0))</f>
        <v>45688</v>
      </c>
      <c r="D124" t="s">
        <v>95</v>
      </c>
      <c r="E124" t="str">
        <f>+IFERROR(VLOOKUP(Fact_Impuestos[[#This Row], [Concepto Anterior]],Conceptos_Impuestos[#All],5,0),"")</f>
        <v>declaraciones tributarias</v>
      </c>
      <c r="F124" t="str">
        <f ca="1">+IFERROR(VLOOKUP(Fact_Impuestos[[#This Row], [Concepto Anterior]],Conceptos_Impuestos[#All],7,0),"")</f>
        <v/>
      </c>
      <c r="G124" t="s">
        <v>172</v>
      </c>
      <c r="H124" t="s">
        <v>172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93">
        <v>68</v>
      </c>
    </row>
    <row r="125" spans="1:11" ht="18.75" customHeight="1" x14ac:dyDescent="0.35">
      <c r="A125" s="93">
        <v>2025</v>
      </c>
      <c r="B125" t="s">
        <v>171</v>
      </c>
      <c r="C125" s="100">
        <f>IF(OR(Fact_Impuestos[[#This Row], [Año]]="",Fact_Impuestos[[#This Row], [Mes]]=""),"",DATE(A125,MATCH(B125,{"enero","febrero","marzo","abril","mayo","junio","julio","agosto","septiembre","octubre","noviembre","diciembre"},0)+1,0))</f>
        <v>45688</v>
      </c>
      <c r="D125" t="s">
        <v>96</v>
      </c>
      <c r="E125" t="str">
        <f>+IFERROR(VLOOKUP(Fact_Impuestos[[#This Row], [Concepto Anterior]],Conceptos_Impuestos[#All],5,0),"")</f>
        <v>información exógena</v>
      </c>
      <c r="F125" t="str">
        <f ca="1">+IFERROR(VLOOKUP(Fact_Impuestos[[#This Row], [Concepto Anterior]],Conceptos_Impuestos[#All],7,0),"")</f>
        <v/>
      </c>
      <c r="G125" t="s">
        <v>172</v>
      </c>
      <c r="H125" t="s">
        <v>172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93">
        <v>1</v>
      </c>
    </row>
    <row r="126" spans="1:11" ht="18.75" customHeight="1" x14ac:dyDescent="0.35">
      <c r="A126" s="93">
        <v>2025</v>
      </c>
      <c r="B126" t="s">
        <v>171</v>
      </c>
      <c r="C126" s="100">
        <f>IF(OR(Fact_Impuestos[[#This Row], [Año]]="",Fact_Impuestos[[#This Row], [Mes]]=""),"",DATE(A126,MATCH(B126,{"enero","febrero","marzo","abril","mayo","junio","julio","agosto","septiembre","octubre","noviembre","diciembre"},0)+1,0))</f>
        <v>45688</v>
      </c>
      <c r="D126" t="s">
        <v>143</v>
      </c>
      <c r="E126" t="str">
        <f>+IFERROR(VLOOKUP(Fact_Impuestos[[#This Row], [Concepto Anterior]],Conceptos_Impuestos[#All],5,0),"")</f>
        <v>Cantidad de personas naturales que atendemos</v>
      </c>
      <c r="F126" t="str">
        <f ca="1">+IFERROR(VLOOKUP(Fact_Impuestos[[#This Row], [Concepto Anterior]],Conceptos_Impuestos[#All],7,0),"")</f>
        <v/>
      </c>
      <c r="G126" t="s">
        <v>172</v>
      </c>
      <c r="H126" t="s">
        <v>172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93">
        <v>25</v>
      </c>
    </row>
    <row r="127" spans="1:11" ht="18.75" customHeight="1" x14ac:dyDescent="0.35">
      <c r="A127" s="93">
        <v>2025</v>
      </c>
      <c r="B127" t="s">
        <v>171</v>
      </c>
      <c r="C127" s="100">
        <f>IF(OR(Fact_Impuestos[[#This Row], [Año]]="",Fact_Impuestos[[#This Row], [Mes]]=""),"",DATE(A127,MATCH(B127,{"enero","febrero","marzo","abril","mayo","junio","julio","agosto","septiembre","octubre","noviembre","diciembre"},0)+1,0))</f>
        <v>45688</v>
      </c>
      <c r="D127" t="s">
        <v>185</v>
      </c>
      <c r="E127" t="str">
        <f>+IFERROR(VLOOKUP(Fact_Impuestos[[#This Row], [Concepto Anterior]],Conceptos_Impuestos[#All],5,0),"")</f>
        <v>Devolución saldos a favor en renta</v>
      </c>
      <c r="F127" t="str">
        <f ca="1">+IFERROR(VLOOKUP(Fact_Impuestos[[#This Row], [Concepto Anterior]],Conceptos_Impuestos[#All],7,0),"")</f>
        <v/>
      </c>
      <c r="G127" t="s">
        <v>172</v>
      </c>
      <c r="H127" t="s">
        <v>172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93">
        <v>17149988000</v>
      </c>
    </row>
    <row r="128" spans="1:11" ht="18.75" customHeight="1" x14ac:dyDescent="0.35">
      <c r="A128" s="93">
        <v>2025</v>
      </c>
      <c r="B128" t="s">
        <v>171</v>
      </c>
      <c r="C128" s="100">
        <f>IF(OR(Fact_Impuestos[[#This Row], [Año]]="",Fact_Impuestos[[#This Row], [Mes]]=""),"",DATE(A128,MATCH(B128,{"enero","febrero","marzo","abril","mayo","junio","julio","agosto","septiembre","octubre","noviembre","diciembre"},0)+1,0))</f>
        <v>45688</v>
      </c>
      <c r="D128" t="s">
        <v>94</v>
      </c>
      <c r="E128" t="str">
        <f>+IFERROR(VLOOKUP(Fact_Impuestos[[#This Row], [Concepto Anterior]],Conceptos_Impuestos[#All],5,0),"")</f>
        <v>Numeraciones de facturación</v>
      </c>
      <c r="F128" t="str">
        <f ca="1">+IFERROR(VLOOKUP(Fact_Impuestos[[#This Row], [Concepto Anterior]],Conceptos_Impuestos[#All],7,0),"")</f>
        <v/>
      </c>
      <c r="G128" t="s">
        <v>172</v>
      </c>
      <c r="H128" t="s">
        <v>172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93">
        <v>4</v>
      </c>
    </row>
    <row r="129" spans="1:11" ht="18.75" customHeight="1" x14ac:dyDescent="0.35">
      <c r="A129" s="93">
        <v>2025</v>
      </c>
      <c r="B129" t="s">
        <v>171</v>
      </c>
      <c r="C129" s="100">
        <f>IF(OR(Fact_Impuestos[[#This Row], [Año]]="",Fact_Impuestos[[#This Row], [Mes]]=""),"",DATE(A129,MATCH(B129,{"enero","febrero","marzo","abril","mayo","junio","julio","agosto","septiembre","octubre","noviembre","diciembre"},0)+1,0))</f>
        <v>45688</v>
      </c>
      <c r="D129" t="s">
        <v>102</v>
      </c>
      <c r="E129" t="str">
        <f>+IFERROR(VLOOKUP(Fact_Impuestos[[#This Row], [Concepto Anterior]],Conceptos_Impuestos[#All],5,0),"")</f>
        <v>Numero de razones sociales atendidas directas</v>
      </c>
      <c r="F129" t="str">
        <f ca="1">+IFERROR(VLOOKUP(Fact_Impuestos[[#This Row], [Concepto Anterior]],Conceptos_Impuestos[#All],7,0),"")</f>
        <v/>
      </c>
      <c r="G129" t="s">
        <v>172</v>
      </c>
      <c r="H129" t="s">
        <v>172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93">
        <v>24</v>
      </c>
    </row>
    <row r="130" spans="1:11" ht="18.75" customHeight="1" x14ac:dyDescent="0.35">
      <c r="A130" s="93">
        <v>2025</v>
      </c>
      <c r="B130" t="s">
        <v>171</v>
      </c>
      <c r="C130" s="100">
        <f>IF(OR(Fact_Impuestos[[#This Row], [Año]]="",Fact_Impuestos[[#This Row], [Mes]]=""),"",DATE(A130,MATCH(B130,{"enero","febrero","marzo","abril","mayo","junio","julio","agosto","septiembre","octubre","noviembre","diciembre"},0)+1,0))</f>
        <v>45688</v>
      </c>
      <c r="D130" t="s">
        <v>144</v>
      </c>
      <c r="E130" t="str">
        <f>+IFERROR(VLOOKUP(Fact_Impuestos[[#This Row], [Concepto Anterior]],Conceptos_Impuestos[#All],5,0),"")</f>
        <v>Trámites, Aperturas y Cierres de Tiendas</v>
      </c>
      <c r="F130" t="str">
        <f ca="1">+IFERROR(VLOOKUP(Fact_Impuestos[[#This Row], [Concepto Anterior]],Conceptos_Impuestos[#All],7,0),"")</f>
        <v/>
      </c>
      <c r="G130" t="s">
        <v>172</v>
      </c>
      <c r="H130" t="s">
        <v>172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93">
        <v>5</v>
      </c>
    </row>
    <row r="131" spans="1:11" ht="18.75" customHeight="1" x14ac:dyDescent="0.35">
      <c r="A131" s="93">
        <v>2025</v>
      </c>
      <c r="B131" t="s">
        <v>174</v>
      </c>
      <c r="C131" s="100">
        <f>IF(OR(Fact_Impuestos[[#This Row], [Año]]="",Fact_Impuestos[[#This Row], [Mes]]=""),"",DATE(A131,MATCH(B131,{"enero","febrero","marzo","abril","mayo","junio","julio","agosto","septiembre","octubre","noviembre","diciembre"},0)+1,0))</f>
        <v>45716</v>
      </c>
      <c r="D131" t="s">
        <v>92</v>
      </c>
      <c r="E131" t="str">
        <f>+IFERROR(VLOOKUP(Fact_Impuestos[[#This Row], [Concepto Anterior]],Conceptos_Impuestos[#All],5,0),"")</f>
        <v xml:space="preserve">Fiscalizaciones DIAN - Municipios </v>
      </c>
      <c r="F131" t="str">
        <f ca="1">+IFERROR(VLOOKUP(Fact_Impuestos[[#This Row], [Concepto Anterior]],Conceptos_Impuestos[#All],7,0),"")</f>
        <v/>
      </c>
      <c r="G131" t="s">
        <v>172</v>
      </c>
      <c r="H131" t="s">
        <v>172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93">
        <v>8</v>
      </c>
    </row>
    <row r="132" spans="1:11" ht="18.75" customHeight="1" x14ac:dyDescent="0.35">
      <c r="A132" s="93">
        <v>2025</v>
      </c>
      <c r="B132" t="s">
        <v>174</v>
      </c>
      <c r="C132" s="100">
        <f>IF(OR(Fact_Impuestos[[#This Row], [Año]]="",Fact_Impuestos[[#This Row], [Mes]]=""),"",DATE(A132,MATCH(B132,{"enero","febrero","marzo","abril","mayo","junio","julio","agosto","septiembre","octubre","noviembre","diciembre"},0)+1,0))</f>
        <v>45716</v>
      </c>
      <c r="D132" t="s">
        <v>99</v>
      </c>
      <c r="E132" t="str">
        <f>+IFERROR(VLOOKUP(Fact_Impuestos[[#This Row], [Concepto Anterior]],Conceptos_Impuestos[#All],5,0),"")</f>
        <v>Cancelación NIT</v>
      </c>
      <c r="F132" t="str">
        <f ca="1">+IFERROR(VLOOKUP(Fact_Impuestos[[#This Row], [Concepto Anterior]],Conceptos_Impuestos[#All],7,0),"")</f>
        <v/>
      </c>
      <c r="G132" t="s">
        <v>172</v>
      </c>
      <c r="H132" t="s">
        <v>172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93">
        <v>0</v>
      </c>
    </row>
    <row r="133" spans="1:11" ht="18.75" customHeight="1" x14ac:dyDescent="0.35">
      <c r="A133" s="93">
        <v>2025</v>
      </c>
      <c r="B133" t="s">
        <v>174</v>
      </c>
      <c r="C133" s="100">
        <f>IF(OR(Fact_Impuestos[[#This Row], [Año]]="",Fact_Impuestos[[#This Row], [Mes]]=""),"",DATE(A133,MATCH(B133,{"enero","febrero","marzo","abril","mayo","junio","julio","agosto","septiembre","octubre","noviembre","diciembre"},0)+1,0))</f>
        <v>45716</v>
      </c>
      <c r="D133" t="s">
        <v>95</v>
      </c>
      <c r="E133" t="str">
        <f>+IFERROR(VLOOKUP(Fact_Impuestos[[#This Row], [Concepto Anterior]],Conceptos_Impuestos[#All],5,0),"")</f>
        <v>declaraciones tributarias</v>
      </c>
      <c r="F133" t="str">
        <f ca="1">+IFERROR(VLOOKUP(Fact_Impuestos[[#This Row], [Concepto Anterior]],Conceptos_Impuestos[#All],7,0),"")</f>
        <v/>
      </c>
      <c r="G133" t="s">
        <v>172</v>
      </c>
      <c r="H133" t="s">
        <v>172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93">
        <v>31</v>
      </c>
    </row>
    <row r="134" spans="1:11" ht="18.75" customHeight="1" x14ac:dyDescent="0.35">
      <c r="A134" s="93">
        <v>2025</v>
      </c>
      <c r="B134" t="s">
        <v>174</v>
      </c>
      <c r="C134" s="100">
        <f>IF(OR(Fact_Impuestos[[#This Row], [Año]]="",Fact_Impuestos[[#This Row], [Mes]]=""),"",DATE(A134,MATCH(B134,{"enero","febrero","marzo","abril","mayo","junio","julio","agosto","septiembre","octubre","noviembre","diciembre"},0)+1,0))</f>
        <v>45716</v>
      </c>
      <c r="D134" t="s">
        <v>96</v>
      </c>
      <c r="E134" t="str">
        <f>+IFERROR(VLOOKUP(Fact_Impuestos[[#This Row], [Concepto Anterior]],Conceptos_Impuestos[#All],5,0),"")</f>
        <v>información exógena</v>
      </c>
      <c r="F134" t="str">
        <f ca="1">+IFERROR(VLOOKUP(Fact_Impuestos[[#This Row], [Concepto Anterior]],Conceptos_Impuestos[#All],7,0),"")</f>
        <v/>
      </c>
      <c r="G134" t="s">
        <v>172</v>
      </c>
      <c r="H134" t="s">
        <v>172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174</v>
      </c>
      <c r="C135" s="100">
        <f>IF(OR(Fact_Impuestos[[#This Row], [Año]]="",Fact_Impuestos[[#This Row], [Mes]]=""),"",DATE(A135,MATCH(B135,{"enero","febrero","marzo","abril","mayo","junio","julio","agosto","septiembre","octubre","noviembre","diciembre"},0)+1,0))</f>
        <v>45716</v>
      </c>
      <c r="D135" t="s">
        <v>143</v>
      </c>
      <c r="E135" t="str">
        <f>+IFERROR(VLOOKUP(Fact_Impuestos[[#This Row], [Concepto Anterior]],Conceptos_Impuestos[#All],5,0),"")</f>
        <v>Cantidad de personas naturales que atendemos</v>
      </c>
      <c r="F135" t="str">
        <f ca="1">+IFERROR(VLOOKUP(Fact_Impuestos[[#This Row], [Concepto Anterior]],Conceptos_Impuestos[#All],7,0),"")</f>
        <v/>
      </c>
      <c r="G135" t="s">
        <v>172</v>
      </c>
      <c r="H135" t="s">
        <v>172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93">
        <v>25</v>
      </c>
    </row>
    <row r="136" spans="1:11" ht="18.75" customHeight="1" x14ac:dyDescent="0.35">
      <c r="A136" s="93">
        <v>2025</v>
      </c>
      <c r="B136" t="s">
        <v>174</v>
      </c>
      <c r="C136" s="100">
        <f>IF(OR(Fact_Impuestos[[#This Row], [Año]]="",Fact_Impuestos[[#This Row], [Mes]]=""),"",DATE(A136,MATCH(B136,{"enero","febrero","marzo","abril","mayo","junio","julio","agosto","septiembre","octubre","noviembre","diciembre"},0)+1,0))</f>
        <v>45716</v>
      </c>
      <c r="D136" t="s">
        <v>185</v>
      </c>
      <c r="E136" t="str">
        <f>+IFERROR(VLOOKUP(Fact_Impuestos[[#This Row], [Concepto Anterior]],Conceptos_Impuestos[#All],5,0),"")</f>
        <v>Devolución saldos a favor en renta</v>
      </c>
      <c r="F136" t="str">
        <f ca="1">+IFERROR(VLOOKUP(Fact_Impuestos[[#This Row], [Concepto Anterior]],Conceptos_Impuestos[#All],7,0),"")</f>
        <v/>
      </c>
      <c r="G136" t="s">
        <v>172</v>
      </c>
      <c r="H136" t="s">
        <v>172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93">
        <v>0</v>
      </c>
    </row>
    <row r="137" spans="1:11" ht="18.75" customHeight="1" x14ac:dyDescent="0.35">
      <c r="A137" s="93">
        <v>2025</v>
      </c>
      <c r="B137" t="s">
        <v>174</v>
      </c>
      <c r="C137" s="100">
        <f>IF(OR(Fact_Impuestos[[#This Row], [Año]]="",Fact_Impuestos[[#This Row], [Mes]]=""),"",DATE(A137,MATCH(B137,{"enero","febrero","marzo","abril","mayo","junio","julio","agosto","septiembre","octubre","noviembre","diciembre"},0)+1,0))</f>
        <v>45716</v>
      </c>
      <c r="D137" t="s">
        <v>94</v>
      </c>
      <c r="E137" t="str">
        <f>+IFERROR(VLOOKUP(Fact_Impuestos[[#This Row], [Concepto Anterior]],Conceptos_Impuestos[#All],5,0),"")</f>
        <v>Numeraciones de facturación</v>
      </c>
      <c r="F137" t="str">
        <f ca="1">+IFERROR(VLOOKUP(Fact_Impuestos[[#This Row], [Concepto Anterior]],Conceptos_Impuestos[#All],7,0),"")</f>
        <v/>
      </c>
      <c r="G137" t="s">
        <v>172</v>
      </c>
      <c r="H137" t="s">
        <v>172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93">
        <v>45</v>
      </c>
    </row>
    <row r="138" spans="1:11" ht="18.75" customHeight="1" x14ac:dyDescent="0.35">
      <c r="A138" s="93">
        <v>2025</v>
      </c>
      <c r="B138" t="s">
        <v>174</v>
      </c>
      <c r="C138" s="100">
        <f>IF(OR(Fact_Impuestos[[#This Row], [Año]]="",Fact_Impuestos[[#This Row], [Mes]]=""),"",DATE(A138,MATCH(B138,{"enero","febrero","marzo","abril","mayo","junio","julio","agosto","septiembre","octubre","noviembre","diciembre"},0)+1,0))</f>
        <v>45716</v>
      </c>
      <c r="D138" t="s">
        <v>102</v>
      </c>
      <c r="E138" t="str">
        <f>+IFERROR(VLOOKUP(Fact_Impuestos[[#This Row], [Concepto Anterior]],Conceptos_Impuestos[#All],5,0),"")</f>
        <v>Numero de razones sociales atendidas directas</v>
      </c>
      <c r="F138" t="str">
        <f ca="1">+IFERROR(VLOOKUP(Fact_Impuestos[[#This Row], [Concepto Anterior]],Conceptos_Impuestos[#All],7,0),"")</f>
        <v/>
      </c>
      <c r="G138" t="s">
        <v>172</v>
      </c>
      <c r="H138" t="s">
        <v>172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93">
        <v>24</v>
      </c>
    </row>
    <row r="139" spans="1:11" ht="18.75" customHeight="1" x14ac:dyDescent="0.35">
      <c r="A139" s="93">
        <v>2025</v>
      </c>
      <c r="B139" t="s">
        <v>174</v>
      </c>
      <c r="C139" s="100">
        <f>IF(OR(Fact_Impuestos[[#This Row], [Año]]="",Fact_Impuestos[[#This Row], [Mes]]=""),"",DATE(A139,MATCH(B139,{"enero","febrero","marzo","abril","mayo","junio","julio","agosto","septiembre","octubre","noviembre","diciembre"},0)+1,0))</f>
        <v>45716</v>
      </c>
      <c r="D139" t="s">
        <v>144</v>
      </c>
      <c r="E139" t="str">
        <f>+IFERROR(VLOOKUP(Fact_Impuestos[[#This Row], [Concepto Anterior]],Conceptos_Impuestos[#All],5,0),"")</f>
        <v>Trámites, Aperturas y Cierres de Tiendas</v>
      </c>
      <c r="F139" t="str">
        <f ca="1">+IFERROR(VLOOKUP(Fact_Impuestos[[#This Row], [Concepto Anterior]],Conceptos_Impuestos[#All],7,0),"")</f>
        <v/>
      </c>
      <c r="G139" t="s">
        <v>172</v>
      </c>
      <c r="H139" t="s">
        <v>172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93">
        <v>2</v>
      </c>
    </row>
    <row r="140" spans="1:11" ht="18.75" customHeight="1" x14ac:dyDescent="0.35">
      <c r="A140" s="93">
        <v>2025</v>
      </c>
      <c r="B140" t="s">
        <v>175</v>
      </c>
      <c r="C140" s="100">
        <f>IF(OR(Fact_Impuestos[[#This Row], [Año]]="",Fact_Impuestos[[#This Row], [Mes]]=""),"",DATE(A140,MATCH(B140,{"enero","febrero","marzo","abril","mayo","junio","julio","agosto","septiembre","octubre","noviembre","diciembre"},0)+1,0))</f>
        <v>45747</v>
      </c>
      <c r="D140" t="s">
        <v>92</v>
      </c>
      <c r="E140" t="str">
        <f>+IFERROR(VLOOKUP(Fact_Impuestos[[#This Row], [Concepto Anterior]],Conceptos_Impuestos[#All],5,0),"")</f>
        <v xml:space="preserve">Fiscalizaciones DIAN - Municipios </v>
      </c>
      <c r="F140" t="str">
        <f ca="1">+IFERROR(VLOOKUP(Fact_Impuestos[[#This Row], [Concepto Anterior]],Conceptos_Impuestos[#All],7,0),"")</f>
        <v/>
      </c>
      <c r="G140" t="s">
        <v>172</v>
      </c>
      <c r="H140" t="s">
        <v>172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93">
        <v>4</v>
      </c>
    </row>
    <row r="141" spans="1:11" ht="18.75" customHeight="1" x14ac:dyDescent="0.35">
      <c r="A141" s="93">
        <v>2025</v>
      </c>
      <c r="B141" t="s">
        <v>175</v>
      </c>
      <c r="C141" s="100">
        <f>IF(OR(Fact_Impuestos[[#This Row], [Año]]="",Fact_Impuestos[[#This Row], [Mes]]=""),"",DATE(A141,MATCH(B141,{"enero","febrero","marzo","abril","mayo","junio","julio","agosto","septiembre","octubre","noviembre","diciembre"},0)+1,0))</f>
        <v>45747</v>
      </c>
      <c r="D141" t="s">
        <v>99</v>
      </c>
      <c r="E141" t="str">
        <f>+IFERROR(VLOOKUP(Fact_Impuestos[[#This Row], [Concepto Anterior]],Conceptos_Impuestos[#All],5,0),"")</f>
        <v>Cancelación NIT</v>
      </c>
      <c r="F141" t="str">
        <f ca="1">+IFERROR(VLOOKUP(Fact_Impuestos[[#This Row], [Concepto Anterior]],Conceptos_Impuestos[#All],7,0),"")</f>
        <v/>
      </c>
      <c r="G141" t="s">
        <v>172</v>
      </c>
      <c r="H141" t="s">
        <v>172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175</v>
      </c>
      <c r="C142" s="100">
        <f>IF(OR(Fact_Impuestos[[#This Row], [Año]]="",Fact_Impuestos[[#This Row], [Mes]]=""),"",DATE(A142,MATCH(B142,{"enero","febrero","marzo","abril","mayo","junio","julio","agosto","septiembre","octubre","noviembre","diciembre"},0)+1,0))</f>
        <v>45747</v>
      </c>
      <c r="D142" t="s">
        <v>95</v>
      </c>
      <c r="E142" t="str">
        <f>+IFERROR(VLOOKUP(Fact_Impuestos[[#This Row], [Concepto Anterior]],Conceptos_Impuestos[#All],5,0),"")</f>
        <v>declaraciones tributarias</v>
      </c>
      <c r="F142" t="str">
        <f ca="1">+IFERROR(VLOOKUP(Fact_Impuestos[[#This Row], [Concepto Anterior]],Conceptos_Impuestos[#All],7,0),"")</f>
        <v/>
      </c>
      <c r="G142" t="s">
        <v>172</v>
      </c>
      <c r="H142" t="s">
        <v>172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93">
        <v>92</v>
      </c>
    </row>
    <row r="143" spans="1:11" ht="18.75" customHeight="1" x14ac:dyDescent="0.35">
      <c r="A143" s="93">
        <v>2025</v>
      </c>
      <c r="B143" t="s">
        <v>175</v>
      </c>
      <c r="C143" s="100">
        <f>IF(OR(Fact_Impuestos[[#This Row], [Año]]="",Fact_Impuestos[[#This Row], [Mes]]=""),"",DATE(A143,MATCH(B143,{"enero","febrero","marzo","abril","mayo","junio","julio","agosto","septiembre","octubre","noviembre","diciembre"},0)+1,0))</f>
        <v>45747</v>
      </c>
      <c r="D143" t="s">
        <v>96</v>
      </c>
      <c r="E143" t="str">
        <f>+IFERROR(VLOOKUP(Fact_Impuestos[[#This Row], [Concepto Anterior]],Conceptos_Impuestos[#All],5,0),"")</f>
        <v>información exógena</v>
      </c>
      <c r="F143" t="str">
        <f ca="1">+IFERROR(VLOOKUP(Fact_Impuestos[[#This Row], [Concepto Anterior]],Conceptos_Impuestos[#All],7,0),"")</f>
        <v/>
      </c>
      <c r="G143" t="s">
        <v>172</v>
      </c>
      <c r="H143" t="s">
        <v>172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93">
        <v>6</v>
      </c>
    </row>
    <row r="144" spans="1:11" ht="18.75" customHeight="1" x14ac:dyDescent="0.35">
      <c r="A144" s="93">
        <v>2025</v>
      </c>
      <c r="B144" t="s">
        <v>175</v>
      </c>
      <c r="C144" s="100">
        <f>IF(OR(Fact_Impuestos[[#This Row], [Año]]="",Fact_Impuestos[[#This Row], [Mes]]=""),"",DATE(A144,MATCH(B144,{"enero","febrero","marzo","abril","mayo","junio","julio","agosto","septiembre","octubre","noviembre","diciembre"},0)+1,0))</f>
        <v>45747</v>
      </c>
      <c r="D144" t="s">
        <v>143</v>
      </c>
      <c r="E144" t="str">
        <f>+IFERROR(VLOOKUP(Fact_Impuestos[[#This Row], [Concepto Anterior]],Conceptos_Impuestos[#All],5,0),"")</f>
        <v>Cantidad de personas naturales que atendemos</v>
      </c>
      <c r="F144" t="str">
        <f ca="1">+IFERROR(VLOOKUP(Fact_Impuestos[[#This Row], [Concepto Anterior]],Conceptos_Impuestos[#All],7,0),"")</f>
        <v/>
      </c>
      <c r="G144" t="s">
        <v>172</v>
      </c>
      <c r="H144" t="s">
        <v>172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93">
        <v>25</v>
      </c>
    </row>
    <row r="145" spans="1:11" ht="18.75" customHeight="1" x14ac:dyDescent="0.35">
      <c r="A145" s="93">
        <v>2025</v>
      </c>
      <c r="B145" t="s">
        <v>175</v>
      </c>
      <c r="C145" s="100">
        <f>IF(OR(Fact_Impuestos[[#This Row], [Año]]="",Fact_Impuestos[[#This Row], [Mes]]=""),"",DATE(A145,MATCH(B145,{"enero","febrero","marzo","abril","mayo","junio","julio","agosto","septiembre","octubre","noviembre","diciembre"},0)+1,0))</f>
        <v>45747</v>
      </c>
      <c r="D145" t="s">
        <v>185</v>
      </c>
      <c r="E145" t="str">
        <f>+IFERROR(VLOOKUP(Fact_Impuestos[[#This Row], [Concepto Anterior]],Conceptos_Impuestos[#All],5,0),"")</f>
        <v>Devolución saldos a favor en renta</v>
      </c>
      <c r="F145" t="str">
        <f ca="1">+IFERROR(VLOOKUP(Fact_Impuestos[[#This Row], [Concepto Anterior]],Conceptos_Impuestos[#All],7,0),"")</f>
        <v/>
      </c>
      <c r="G145" t="s">
        <v>172</v>
      </c>
      <c r="H145" t="s">
        <v>172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93">
        <v>0</v>
      </c>
    </row>
    <row r="146" spans="1:11" ht="18.75" customHeight="1" x14ac:dyDescent="0.35">
      <c r="A146" s="93">
        <v>2025</v>
      </c>
      <c r="B146" t="s">
        <v>175</v>
      </c>
      <c r="C146" s="100">
        <f>IF(OR(Fact_Impuestos[[#This Row], [Año]]="",Fact_Impuestos[[#This Row], [Mes]]=""),"",DATE(A146,MATCH(B146,{"enero","febrero","marzo","abril","mayo","junio","julio","agosto","septiembre","octubre","noviembre","diciembre"},0)+1,0))</f>
        <v>45747</v>
      </c>
      <c r="D146" t="s">
        <v>94</v>
      </c>
      <c r="E146" t="str">
        <f>+IFERROR(VLOOKUP(Fact_Impuestos[[#This Row], [Concepto Anterior]],Conceptos_Impuestos[#All],5,0),"")</f>
        <v>Numeraciones de facturación</v>
      </c>
      <c r="F146" t="str">
        <f ca="1">+IFERROR(VLOOKUP(Fact_Impuestos[[#This Row], [Concepto Anterior]],Conceptos_Impuestos[#All],7,0),"")</f>
        <v/>
      </c>
      <c r="G146" t="s">
        <v>172</v>
      </c>
      <c r="H146" t="s">
        <v>172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93">
        <v>24</v>
      </c>
    </row>
    <row r="147" spans="1:11" ht="18.75" customHeight="1" x14ac:dyDescent="0.35">
      <c r="A147" s="93">
        <v>2025</v>
      </c>
      <c r="B147" t="s">
        <v>175</v>
      </c>
      <c r="C147" s="100">
        <f>IF(OR(Fact_Impuestos[[#This Row], [Año]]="",Fact_Impuestos[[#This Row], [Mes]]=""),"",DATE(A147,MATCH(B147,{"enero","febrero","marzo","abril","mayo","junio","julio","agosto","septiembre","octubre","noviembre","diciembre"},0)+1,0))</f>
        <v>45747</v>
      </c>
      <c r="D147" t="s">
        <v>102</v>
      </c>
      <c r="E147" t="str">
        <f>+IFERROR(VLOOKUP(Fact_Impuestos[[#This Row], [Concepto Anterior]],Conceptos_Impuestos[#All],5,0),"")</f>
        <v>Numero de razones sociales atendidas directas</v>
      </c>
      <c r="F147" t="str">
        <f ca="1">+IFERROR(VLOOKUP(Fact_Impuestos[[#This Row], [Concepto Anterior]],Conceptos_Impuestos[#All],7,0),"")</f>
        <v/>
      </c>
      <c r="G147" t="s">
        <v>172</v>
      </c>
      <c r="H147" t="s">
        <v>172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93">
        <v>24</v>
      </c>
    </row>
    <row r="148" spans="1:11" ht="18.75" customHeight="1" x14ac:dyDescent="0.35">
      <c r="A148" s="93">
        <v>2025</v>
      </c>
      <c r="B148" t="s">
        <v>175</v>
      </c>
      <c r="C148" s="100">
        <f>IF(OR(Fact_Impuestos[[#This Row], [Año]]="",Fact_Impuestos[[#This Row], [Mes]]=""),"",DATE(A148,MATCH(B148,{"enero","febrero","marzo","abril","mayo","junio","julio","agosto","septiembre","octubre","noviembre","diciembre"},0)+1,0))</f>
        <v>45747</v>
      </c>
      <c r="D148" t="s">
        <v>144</v>
      </c>
      <c r="E148" t="str">
        <f>+IFERROR(VLOOKUP(Fact_Impuestos[[#This Row], [Concepto Anterior]],Conceptos_Impuestos[#All],5,0),"")</f>
        <v>Trámites, Aperturas y Cierres de Tiendas</v>
      </c>
      <c r="F148" t="str">
        <f ca="1">+IFERROR(VLOOKUP(Fact_Impuestos[[#This Row], [Concepto Anterior]],Conceptos_Impuestos[#All],7,0),"")</f>
        <v/>
      </c>
      <c r="G148" t="s">
        <v>172</v>
      </c>
      <c r="H148" t="s">
        <v>172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93">
        <v>389</v>
      </c>
    </row>
    <row r="149" spans="1:11" ht="18.75" customHeight="1" x14ac:dyDescent="0.35">
      <c r="A149" s="93">
        <v>2025</v>
      </c>
      <c r="B149" t="s">
        <v>176</v>
      </c>
      <c r="C149" s="100">
        <f>IF(OR(Fact_Impuestos[[#This Row], [Año]]="",Fact_Impuestos[[#This Row], [Mes]]=""),"",DATE(A149,MATCH(B149,{"enero","febrero","marzo","abril","mayo","junio","julio","agosto","septiembre","octubre","noviembre","diciembre"},0)+1,0))</f>
        <v>45777</v>
      </c>
      <c r="D149" t="s">
        <v>92</v>
      </c>
      <c r="E149" t="str">
        <f>+IFERROR(VLOOKUP(Fact_Impuestos[[#This Row], [Concepto Anterior]],Conceptos_Impuestos[#All],5,0),"")</f>
        <v xml:space="preserve">Fiscalizaciones DIAN - Municipios </v>
      </c>
      <c r="F149" t="str">
        <f ca="1">+IFERROR(VLOOKUP(Fact_Impuestos[[#This Row], [Concepto Anterior]],Conceptos_Impuestos[#All],7,0),"")</f>
        <v/>
      </c>
      <c r="G149" t="s">
        <v>172</v>
      </c>
      <c r="H149" t="s">
        <v>172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93">
        <v>10</v>
      </c>
    </row>
    <row r="150" spans="1:11" ht="18.75" customHeight="1" x14ac:dyDescent="0.35">
      <c r="A150" s="93">
        <v>2025</v>
      </c>
      <c r="B150" t="s">
        <v>176</v>
      </c>
      <c r="C150" s="100">
        <f>IF(OR(Fact_Impuestos[[#This Row], [Año]]="",Fact_Impuestos[[#This Row], [Mes]]=""),"",DATE(A150,MATCH(B150,{"enero","febrero","marzo","abril","mayo","junio","julio","agosto","septiembre","octubre","noviembre","diciembre"},0)+1,0))</f>
        <v>45777</v>
      </c>
      <c r="D150" t="s">
        <v>99</v>
      </c>
      <c r="E150" t="str">
        <f>+IFERROR(VLOOKUP(Fact_Impuestos[[#This Row], [Concepto Anterior]],Conceptos_Impuestos[#All],5,0),"")</f>
        <v>Cancelación NIT</v>
      </c>
      <c r="F150" t="str">
        <f ca="1">+IFERROR(VLOOKUP(Fact_Impuestos[[#This Row], [Concepto Anterior]],Conceptos_Impuestos[#All],7,0),"")</f>
        <v/>
      </c>
      <c r="G150" t="s">
        <v>172</v>
      </c>
      <c r="H150" t="s">
        <v>172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93">
        <v>0</v>
      </c>
    </row>
    <row r="151" spans="1:11" ht="18.75" customHeight="1" x14ac:dyDescent="0.35">
      <c r="A151" s="93">
        <v>2025</v>
      </c>
      <c r="B151" t="s">
        <v>176</v>
      </c>
      <c r="C151" s="100">
        <f>IF(OR(Fact_Impuestos[[#This Row], [Año]]="",Fact_Impuestos[[#This Row], [Mes]]=""),"",DATE(A151,MATCH(B151,{"enero","febrero","marzo","abril","mayo","junio","julio","agosto","septiembre","octubre","noviembre","diciembre"},0)+1,0))</f>
        <v>45777</v>
      </c>
      <c r="D151" t="s">
        <v>95</v>
      </c>
      <c r="E151" t="str">
        <f>+IFERROR(VLOOKUP(Fact_Impuestos[[#This Row], [Concepto Anterior]],Conceptos_Impuestos[#All],5,0),"")</f>
        <v>declaraciones tributarias</v>
      </c>
      <c r="F151" t="str">
        <f ca="1">+IFERROR(VLOOKUP(Fact_Impuestos[[#This Row], [Concepto Anterior]],Conceptos_Impuestos[#All],7,0),"")</f>
        <v/>
      </c>
      <c r="G151" t="s">
        <v>172</v>
      </c>
      <c r="H151" t="s">
        <v>172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93">
        <v>55</v>
      </c>
    </row>
    <row r="152" spans="1:11" ht="18.75" customHeight="1" x14ac:dyDescent="0.35">
      <c r="A152" s="93">
        <v>2025</v>
      </c>
      <c r="B152" t="s">
        <v>176</v>
      </c>
      <c r="C152" s="100">
        <f>IF(OR(Fact_Impuestos[[#This Row], [Año]]="",Fact_Impuestos[[#This Row], [Mes]]=""),"",DATE(A152,MATCH(B152,{"enero","febrero","marzo","abril","mayo","junio","julio","agosto","septiembre","octubre","noviembre","diciembre"},0)+1,0))</f>
        <v>45777</v>
      </c>
      <c r="D152" t="s">
        <v>96</v>
      </c>
      <c r="E152" t="str">
        <f>+IFERROR(VLOOKUP(Fact_Impuestos[[#This Row], [Concepto Anterior]],Conceptos_Impuestos[#All],5,0),"")</f>
        <v>información exógena</v>
      </c>
      <c r="F152" t="str">
        <f ca="1">+IFERROR(VLOOKUP(Fact_Impuestos[[#This Row], [Concepto Anterior]],Conceptos_Impuestos[#All],7,0),"")</f>
        <v/>
      </c>
      <c r="G152" t="s">
        <v>172</v>
      </c>
      <c r="H152" t="s">
        <v>172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93">
        <v>26</v>
      </c>
    </row>
    <row r="153" spans="1:11" ht="18.75" customHeight="1" x14ac:dyDescent="0.35">
      <c r="A153" s="93">
        <v>2025</v>
      </c>
      <c r="B153" t="s">
        <v>176</v>
      </c>
      <c r="C153" s="100">
        <f>IF(OR(Fact_Impuestos[[#This Row], [Año]]="",Fact_Impuestos[[#This Row], [Mes]]=""),"",DATE(A153,MATCH(B153,{"enero","febrero","marzo","abril","mayo","junio","julio","agosto","septiembre","octubre","noviembre","diciembre"},0)+1,0))</f>
        <v>45777</v>
      </c>
      <c r="D153" t="s">
        <v>143</v>
      </c>
      <c r="E153" t="str">
        <f>+IFERROR(VLOOKUP(Fact_Impuestos[[#This Row], [Concepto Anterior]],Conceptos_Impuestos[#All],5,0),"")</f>
        <v>Cantidad de personas naturales que atendemos</v>
      </c>
      <c r="F153" t="str">
        <f ca="1">+IFERROR(VLOOKUP(Fact_Impuestos[[#This Row], [Concepto Anterior]],Conceptos_Impuestos[#All],7,0),"")</f>
        <v/>
      </c>
      <c r="G153" t="s">
        <v>172</v>
      </c>
      <c r="H153" t="s">
        <v>172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93">
        <v>25</v>
      </c>
    </row>
    <row r="154" spans="1:11" ht="18.75" customHeight="1" x14ac:dyDescent="0.35">
      <c r="A154" s="93">
        <v>2025</v>
      </c>
      <c r="B154" t="s">
        <v>176</v>
      </c>
      <c r="C154" s="100">
        <f>IF(OR(Fact_Impuestos[[#This Row], [Año]]="",Fact_Impuestos[[#This Row], [Mes]]=""),"",DATE(A154,MATCH(B154,{"enero","febrero","marzo","abril","mayo","junio","julio","agosto","septiembre","octubre","noviembre","diciembre"},0)+1,0))</f>
        <v>45777</v>
      </c>
      <c r="D154" t="s">
        <v>185</v>
      </c>
      <c r="E154" t="str">
        <f>+IFERROR(VLOOKUP(Fact_Impuestos[[#This Row], [Concepto Anterior]],Conceptos_Impuestos[#All],5,0),"")</f>
        <v>Devolución saldos a favor en renta</v>
      </c>
      <c r="F154" t="str">
        <f ca="1">+IFERROR(VLOOKUP(Fact_Impuestos[[#This Row], [Concepto Anterior]],Conceptos_Impuestos[#All],7,0),"")</f>
        <v/>
      </c>
      <c r="G154" t="s">
        <v>172</v>
      </c>
      <c r="H154" t="s">
        <v>172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93">
        <v>0</v>
      </c>
    </row>
    <row r="155" spans="1:11" ht="18.75" customHeight="1" x14ac:dyDescent="0.35">
      <c r="A155" s="93">
        <v>2025</v>
      </c>
      <c r="B155" t="s">
        <v>176</v>
      </c>
      <c r="C155" s="100">
        <f>IF(OR(Fact_Impuestos[[#This Row], [Año]]="",Fact_Impuestos[[#This Row], [Mes]]=""),"",DATE(A155,MATCH(B155,{"enero","febrero","marzo","abril","mayo","junio","julio","agosto","septiembre","octubre","noviembre","diciembre"},0)+1,0))</f>
        <v>45777</v>
      </c>
      <c r="D155" t="s">
        <v>94</v>
      </c>
      <c r="E155" t="str">
        <f>+IFERROR(VLOOKUP(Fact_Impuestos[[#This Row], [Concepto Anterior]],Conceptos_Impuestos[#All],5,0),"")</f>
        <v>Numeraciones de facturación</v>
      </c>
      <c r="F155" t="str">
        <f ca="1">+IFERROR(VLOOKUP(Fact_Impuestos[[#This Row], [Concepto Anterior]],Conceptos_Impuestos[#All],7,0),"")</f>
        <v/>
      </c>
      <c r="G155" t="s">
        <v>172</v>
      </c>
      <c r="H155" t="s">
        <v>172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93">
        <v>60</v>
      </c>
    </row>
    <row r="156" spans="1:11" ht="18.75" customHeight="1" x14ac:dyDescent="0.35">
      <c r="A156" s="93">
        <v>2025</v>
      </c>
      <c r="B156" t="s">
        <v>176</v>
      </c>
      <c r="C156" s="100">
        <f>IF(OR(Fact_Impuestos[[#This Row], [Año]]="",Fact_Impuestos[[#This Row], [Mes]]=""),"",DATE(A156,MATCH(B156,{"enero","febrero","marzo","abril","mayo","junio","julio","agosto","septiembre","octubre","noviembre","diciembre"},0)+1,0))</f>
        <v>45777</v>
      </c>
      <c r="D156" t="s">
        <v>102</v>
      </c>
      <c r="E156" t="str">
        <f>+IFERROR(VLOOKUP(Fact_Impuestos[[#This Row], [Concepto Anterior]],Conceptos_Impuestos[#All],5,0),"")</f>
        <v>Numero de razones sociales atendidas directas</v>
      </c>
      <c r="F156" t="str">
        <f ca="1">+IFERROR(VLOOKUP(Fact_Impuestos[[#This Row], [Concepto Anterior]],Conceptos_Impuestos[#All],7,0),"")</f>
        <v/>
      </c>
      <c r="G156" t="s">
        <v>172</v>
      </c>
      <c r="H156" t="s">
        <v>172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93">
        <v>24</v>
      </c>
    </row>
    <row r="157" spans="1:11" ht="18.75" customHeight="1" x14ac:dyDescent="0.35">
      <c r="A157" s="93">
        <v>2025</v>
      </c>
      <c r="B157" t="s">
        <v>176</v>
      </c>
      <c r="C157" s="100">
        <f>IF(OR(Fact_Impuestos[[#This Row], [Año]]="",Fact_Impuestos[[#This Row], [Mes]]=""),"",DATE(A157,MATCH(B157,{"enero","febrero","marzo","abril","mayo","junio","julio","agosto","septiembre","octubre","noviembre","diciembre"},0)+1,0))</f>
        <v>45777</v>
      </c>
      <c r="D157" t="s">
        <v>144</v>
      </c>
      <c r="E157" t="str">
        <f>+IFERROR(VLOOKUP(Fact_Impuestos[[#This Row], [Concepto Anterior]],Conceptos_Impuestos[#All],5,0),"")</f>
        <v>Trámites, Aperturas y Cierres de Tiendas</v>
      </c>
      <c r="F157" t="str">
        <f ca="1">+IFERROR(VLOOKUP(Fact_Impuestos[[#This Row], [Concepto Anterior]],Conceptos_Impuestos[#All],7,0),"")</f>
        <v/>
      </c>
      <c r="G157" t="s">
        <v>172</v>
      </c>
      <c r="H157" t="s">
        <v>172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93">
        <v>13</v>
      </c>
    </row>
    <row r="158" spans="1:11" ht="18.75" customHeight="1" x14ac:dyDescent="0.35">
      <c r="A158" s="93">
        <v>2025</v>
      </c>
      <c r="B158" t="s">
        <v>177</v>
      </c>
      <c r="C158" s="100">
        <f>IF(OR(Fact_Impuestos[[#This Row], [Año]]="",Fact_Impuestos[[#This Row], [Mes]]=""),"",DATE(A158,MATCH(B158,{"enero","febrero","marzo","abril","mayo","junio","julio","agosto","septiembre","octubre","noviembre","diciembre"},0)+1,0))</f>
        <v>45808</v>
      </c>
      <c r="D158" t="s">
        <v>92</v>
      </c>
      <c r="E158" t="str">
        <f>+IFERROR(VLOOKUP(Fact_Impuestos[[#This Row], [Concepto Anterior]],Conceptos_Impuestos[#All],5,0),"")</f>
        <v xml:space="preserve">Fiscalizaciones DIAN - Municipios </v>
      </c>
      <c r="F158" t="str">
        <f ca="1">+IFERROR(VLOOKUP(Fact_Impuestos[[#This Row], [Concepto Anterior]],Conceptos_Impuestos[#All],7,0),"")</f>
        <v/>
      </c>
      <c r="G158" t="s">
        <v>172</v>
      </c>
      <c r="H158" t="s">
        <v>172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93">
        <v>5</v>
      </c>
    </row>
    <row r="159" spans="1:11" ht="18.75" customHeight="1" x14ac:dyDescent="0.35">
      <c r="A159" s="93">
        <v>2025</v>
      </c>
      <c r="B159" t="s">
        <v>177</v>
      </c>
      <c r="C159" s="100">
        <f>IF(OR(Fact_Impuestos[[#This Row], [Año]]="",Fact_Impuestos[[#This Row], [Mes]]=""),"",DATE(A159,MATCH(B159,{"enero","febrero","marzo","abril","mayo","junio","julio","agosto","septiembre","octubre","noviembre","diciembre"},0)+1,0))</f>
        <v>45808</v>
      </c>
      <c r="D159" t="s">
        <v>99</v>
      </c>
      <c r="E159" t="str">
        <f>+IFERROR(VLOOKUP(Fact_Impuestos[[#This Row], [Concepto Anterior]],Conceptos_Impuestos[#All],5,0),"")</f>
        <v>Cancelación NIT</v>
      </c>
      <c r="F159" t="str">
        <f ca="1">+IFERROR(VLOOKUP(Fact_Impuestos[[#This Row], [Concepto Anterior]],Conceptos_Impuestos[#All],7,0),"")</f>
        <v/>
      </c>
      <c r="G159" t="s">
        <v>172</v>
      </c>
      <c r="H159" t="s">
        <v>172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93">
        <v>0</v>
      </c>
    </row>
    <row r="160" spans="1:11" ht="18.75" customHeight="1" x14ac:dyDescent="0.35">
      <c r="A160" s="93">
        <v>2025</v>
      </c>
      <c r="B160" t="s">
        <v>177</v>
      </c>
      <c r="C160" s="100">
        <f>IF(OR(Fact_Impuestos[[#This Row], [Año]]="",Fact_Impuestos[[#This Row], [Mes]]=""),"",DATE(A160,MATCH(B160,{"enero","febrero","marzo","abril","mayo","junio","julio","agosto","septiembre","octubre","noviembre","diciembre"},0)+1,0))</f>
        <v>45808</v>
      </c>
      <c r="D160" t="s">
        <v>95</v>
      </c>
      <c r="E160" t="str">
        <f>+IFERROR(VLOOKUP(Fact_Impuestos[[#This Row], [Concepto Anterior]],Conceptos_Impuestos[#All],5,0),"")</f>
        <v>declaraciones tributarias</v>
      </c>
      <c r="F160" t="str">
        <f ca="1">+IFERROR(VLOOKUP(Fact_Impuestos[[#This Row], [Concepto Anterior]],Conceptos_Impuestos[#All],7,0),"")</f>
        <v/>
      </c>
      <c r="G160" t="s">
        <v>172</v>
      </c>
      <c r="H160" t="s">
        <v>172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93">
        <v>87</v>
      </c>
    </row>
    <row r="161" spans="1:11" ht="18.75" customHeight="1" x14ac:dyDescent="0.35">
      <c r="A161" s="93">
        <v>2025</v>
      </c>
      <c r="B161" t="s">
        <v>177</v>
      </c>
      <c r="C161" s="100">
        <f>IF(OR(Fact_Impuestos[[#This Row], [Año]]="",Fact_Impuestos[[#This Row], [Mes]]=""),"",DATE(A161,MATCH(B161,{"enero","febrero","marzo","abril","mayo","junio","julio","agosto","septiembre","octubre","noviembre","diciembre"},0)+1,0))</f>
        <v>45808</v>
      </c>
      <c r="D161" t="s">
        <v>96</v>
      </c>
      <c r="E161" t="str">
        <f>+IFERROR(VLOOKUP(Fact_Impuestos[[#This Row], [Concepto Anterior]],Conceptos_Impuestos[#All],5,0),"")</f>
        <v>información exógena</v>
      </c>
      <c r="F161" t="str">
        <f ca="1">+IFERROR(VLOOKUP(Fact_Impuestos[[#This Row], [Concepto Anterior]],Conceptos_Impuestos[#All],7,0),"")</f>
        <v/>
      </c>
      <c r="G161" t="s">
        <v>172</v>
      </c>
      <c r="H161" t="s">
        <v>172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93">
        <v>122</v>
      </c>
    </row>
    <row r="162" spans="1:11" ht="18.75" customHeight="1" x14ac:dyDescent="0.35">
      <c r="A162" s="93">
        <v>2025</v>
      </c>
      <c r="B162" t="s">
        <v>177</v>
      </c>
      <c r="C162" s="100">
        <f>IF(OR(Fact_Impuestos[[#This Row], [Año]]="",Fact_Impuestos[[#This Row], [Mes]]=""),"",DATE(A162,MATCH(B162,{"enero","febrero","marzo","abril","mayo","junio","julio","agosto","septiembre","octubre","noviembre","diciembre"},0)+1,0))</f>
        <v>45808</v>
      </c>
      <c r="D162" t="s">
        <v>143</v>
      </c>
      <c r="E162" t="str">
        <f>+IFERROR(VLOOKUP(Fact_Impuestos[[#This Row], [Concepto Anterior]],Conceptos_Impuestos[#All],5,0),"")</f>
        <v>Cantidad de personas naturales que atendemos</v>
      </c>
      <c r="F162" t="str">
        <f ca="1">+IFERROR(VLOOKUP(Fact_Impuestos[[#This Row], [Concepto Anterior]],Conceptos_Impuestos[#All],7,0),"")</f>
        <v/>
      </c>
      <c r="G162" t="s">
        <v>172</v>
      </c>
      <c r="H162" t="s">
        <v>172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93">
        <v>25</v>
      </c>
    </row>
    <row r="163" spans="1:11" ht="18.75" customHeight="1" x14ac:dyDescent="0.35">
      <c r="A163" s="93">
        <v>2025</v>
      </c>
      <c r="B163" t="s">
        <v>177</v>
      </c>
      <c r="C163" s="100">
        <f>IF(OR(Fact_Impuestos[[#This Row], [Año]]="",Fact_Impuestos[[#This Row], [Mes]]=""),"",DATE(A163,MATCH(B163,{"enero","febrero","marzo","abril","mayo","junio","julio","agosto","septiembre","octubre","noviembre","diciembre"},0)+1,0))</f>
        <v>45808</v>
      </c>
      <c r="D163" t="s">
        <v>185</v>
      </c>
      <c r="E163" t="str">
        <f>+IFERROR(VLOOKUP(Fact_Impuestos[[#This Row], [Concepto Anterior]],Conceptos_Impuestos[#All],5,0),"")</f>
        <v>Devolución saldos a favor en renta</v>
      </c>
      <c r="F163" t="str">
        <f ca="1">+IFERROR(VLOOKUP(Fact_Impuestos[[#This Row], [Concepto Anterior]],Conceptos_Impuestos[#All],7,0),"")</f>
        <v/>
      </c>
      <c r="G163" t="s">
        <v>172</v>
      </c>
      <c r="H163" t="s">
        <v>172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93">
        <v>0</v>
      </c>
    </row>
    <row r="164" spans="1:11" ht="18.75" customHeight="1" x14ac:dyDescent="0.35">
      <c r="A164" s="93">
        <v>2025</v>
      </c>
      <c r="B164" t="s">
        <v>177</v>
      </c>
      <c r="C164" s="100">
        <f>IF(OR(Fact_Impuestos[[#This Row], [Año]]="",Fact_Impuestos[[#This Row], [Mes]]=""),"",DATE(A164,MATCH(B164,{"enero","febrero","marzo","abril","mayo","junio","julio","agosto","septiembre","octubre","noviembre","diciembre"},0)+1,0))</f>
        <v>45808</v>
      </c>
      <c r="D164" t="s">
        <v>94</v>
      </c>
      <c r="E164" t="str">
        <f>+IFERROR(VLOOKUP(Fact_Impuestos[[#This Row], [Concepto Anterior]],Conceptos_Impuestos[#All],5,0),"")</f>
        <v>Numeraciones de facturación</v>
      </c>
      <c r="F164" t="str">
        <f ca="1">+IFERROR(VLOOKUP(Fact_Impuestos[[#This Row], [Concepto Anterior]],Conceptos_Impuestos[#All],7,0),"")</f>
        <v/>
      </c>
      <c r="G164" t="s">
        <v>172</v>
      </c>
      <c r="H164" t="s">
        <v>172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93">
        <v>37</v>
      </c>
    </row>
    <row r="165" spans="1:11" ht="18.75" customHeight="1" x14ac:dyDescent="0.35">
      <c r="A165" s="93">
        <v>2025</v>
      </c>
      <c r="B165" t="s">
        <v>177</v>
      </c>
      <c r="C165" s="100">
        <f>IF(OR(Fact_Impuestos[[#This Row], [Año]]="",Fact_Impuestos[[#This Row], [Mes]]=""),"",DATE(A165,MATCH(B165,{"enero","febrero","marzo","abril","mayo","junio","julio","agosto","septiembre","octubre","noviembre","diciembre"},0)+1,0))</f>
        <v>45808</v>
      </c>
      <c r="D165" t="s">
        <v>102</v>
      </c>
      <c r="E165" t="str">
        <f>+IFERROR(VLOOKUP(Fact_Impuestos[[#This Row], [Concepto Anterior]],Conceptos_Impuestos[#All],5,0),"")</f>
        <v>Numero de razones sociales atendidas directas</v>
      </c>
      <c r="F165" t="str">
        <f ca="1">+IFERROR(VLOOKUP(Fact_Impuestos[[#This Row], [Concepto Anterior]],Conceptos_Impuestos[#All],7,0),"")</f>
        <v/>
      </c>
      <c r="G165" t="s">
        <v>172</v>
      </c>
      <c r="H165" t="s">
        <v>172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93">
        <v>24</v>
      </c>
    </row>
    <row r="166" spans="1:11" ht="18.75" customHeight="1" x14ac:dyDescent="0.35">
      <c r="A166" s="93">
        <v>2025</v>
      </c>
      <c r="B166" t="s">
        <v>177</v>
      </c>
      <c r="C166" s="100">
        <f>IF(OR(Fact_Impuestos[[#This Row], [Año]]="",Fact_Impuestos[[#This Row], [Mes]]=""),"",DATE(A166,MATCH(B166,{"enero","febrero","marzo","abril","mayo","junio","julio","agosto","septiembre","octubre","noviembre","diciembre"},0)+1,0))</f>
        <v>45808</v>
      </c>
      <c r="D166" t="s">
        <v>144</v>
      </c>
      <c r="E166" t="str">
        <f>+IFERROR(VLOOKUP(Fact_Impuestos[[#This Row], [Concepto Anterior]],Conceptos_Impuestos[#All],5,0),"")</f>
        <v>Trámites, Aperturas y Cierres de Tiendas</v>
      </c>
      <c r="F166" t="str">
        <f ca="1">+IFERROR(VLOOKUP(Fact_Impuestos[[#This Row], [Concepto Anterior]],Conceptos_Impuestos[#All],7,0),"")</f>
        <v/>
      </c>
      <c r="G166" t="s">
        <v>172</v>
      </c>
      <c r="H166" t="s">
        <v>172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93">
        <v>6</v>
      </c>
    </row>
    <row r="167" spans="1:11" ht="18.75" customHeight="1" x14ac:dyDescent="0.35">
      <c r="A167" s="93">
        <v>2025</v>
      </c>
      <c r="B167" t="s">
        <v>178</v>
      </c>
      <c r="C167" s="100">
        <f>IF(OR(Fact_Impuestos[[#This Row], [Año]]="",Fact_Impuestos[[#This Row], [Mes]]=""),"",DATE(A167,MATCH(B167,{"enero","febrero","marzo","abril","mayo","junio","julio","agosto","septiembre","octubre","noviembre","diciembre"},0)+1,0))</f>
        <v>45838</v>
      </c>
      <c r="D167" t="s">
        <v>92</v>
      </c>
      <c r="E167" t="str">
        <f>+IFERROR(VLOOKUP(Fact_Impuestos[[#This Row], [Concepto Anterior]],Conceptos_Impuestos[#All],5,0),"")</f>
        <v xml:space="preserve">Fiscalizaciones DIAN - Municipios </v>
      </c>
      <c r="F167" t="str">
        <f ca="1">+IFERROR(VLOOKUP(Fact_Impuestos[[#This Row], [Concepto Anterior]],Conceptos_Impuestos[#All],7,0),"")</f>
        <v/>
      </c>
      <c r="G167" t="s">
        <v>172</v>
      </c>
      <c r="H167" t="s">
        <v>172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93">
        <v>10</v>
      </c>
    </row>
    <row r="168" spans="1:11" ht="18.75" customHeight="1" x14ac:dyDescent="0.35">
      <c r="A168" s="93">
        <v>2025</v>
      </c>
      <c r="B168" t="s">
        <v>178</v>
      </c>
      <c r="C168" s="100">
        <f>IF(OR(Fact_Impuestos[[#This Row], [Año]]="",Fact_Impuestos[[#This Row], [Mes]]=""),"",DATE(A168,MATCH(B168,{"enero","febrero","marzo","abril","mayo","junio","julio","agosto","septiembre","octubre","noviembre","diciembre"},0)+1,0))</f>
        <v>45838</v>
      </c>
      <c r="D168" t="s">
        <v>99</v>
      </c>
      <c r="E168" t="str">
        <f>+IFERROR(VLOOKUP(Fact_Impuestos[[#This Row], [Concepto Anterior]],Conceptos_Impuestos[#All],5,0),"")</f>
        <v>Cancelación NIT</v>
      </c>
      <c r="F168" t="str">
        <f ca="1">+IFERROR(VLOOKUP(Fact_Impuestos[[#This Row], [Concepto Anterior]],Conceptos_Impuestos[#All],7,0),"")</f>
        <v/>
      </c>
      <c r="G168" t="s">
        <v>172</v>
      </c>
      <c r="H168" t="s">
        <v>172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178</v>
      </c>
      <c r="C169" s="100">
        <f>IF(OR(Fact_Impuestos[[#This Row], [Año]]="",Fact_Impuestos[[#This Row], [Mes]]=""),"",DATE(A169,MATCH(B169,{"enero","febrero","marzo","abril","mayo","junio","julio","agosto","septiembre","octubre","noviembre","diciembre"},0)+1,0))</f>
        <v>45838</v>
      </c>
      <c r="D169" t="s">
        <v>95</v>
      </c>
      <c r="E169" t="str">
        <f>+IFERROR(VLOOKUP(Fact_Impuestos[[#This Row], [Concepto Anterior]],Conceptos_Impuestos[#All],5,0),"")</f>
        <v>declaraciones tributarias</v>
      </c>
      <c r="F169" t="str">
        <f ca="1">+IFERROR(VLOOKUP(Fact_Impuestos[[#This Row], [Concepto Anterior]],Conceptos_Impuestos[#All],7,0),"")</f>
        <v/>
      </c>
      <c r="G169" t="s">
        <v>172</v>
      </c>
      <c r="H169" t="s">
        <v>172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93">
        <v>39</v>
      </c>
    </row>
    <row r="170" spans="1:11" ht="18.75" customHeight="1" x14ac:dyDescent="0.35">
      <c r="A170" s="93">
        <v>2025</v>
      </c>
      <c r="B170" t="s">
        <v>178</v>
      </c>
      <c r="C170" s="100">
        <f>IF(OR(Fact_Impuestos[[#This Row], [Año]]="",Fact_Impuestos[[#This Row], [Mes]]=""),"",DATE(A170,MATCH(B170,{"enero","febrero","marzo","abril","mayo","junio","julio","agosto","septiembre","octubre","noviembre","diciembre"},0)+1,0))</f>
        <v>45838</v>
      </c>
      <c r="D170" t="s">
        <v>96</v>
      </c>
      <c r="E170" t="str">
        <f>+IFERROR(VLOOKUP(Fact_Impuestos[[#This Row], [Concepto Anterior]],Conceptos_Impuestos[#All],5,0),"")</f>
        <v>información exógena</v>
      </c>
      <c r="F170" t="str">
        <f ca="1">+IFERROR(VLOOKUP(Fact_Impuestos[[#This Row], [Concepto Anterior]],Conceptos_Impuestos[#All],7,0),"")</f>
        <v/>
      </c>
      <c r="G170" t="s">
        <v>172</v>
      </c>
      <c r="H170" t="s">
        <v>172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93">
        <v>47</v>
      </c>
    </row>
    <row r="171" spans="1:11" ht="18.75" customHeight="1" x14ac:dyDescent="0.35">
      <c r="A171" s="93">
        <v>2025</v>
      </c>
      <c r="B171" t="s">
        <v>178</v>
      </c>
      <c r="C171" s="100">
        <f>IF(OR(Fact_Impuestos[[#This Row], [Año]]="",Fact_Impuestos[[#This Row], [Mes]]=""),"",DATE(A171,MATCH(B171,{"enero","febrero","marzo","abril","mayo","junio","julio","agosto","septiembre","octubre","noviembre","diciembre"},0)+1,0))</f>
        <v>45838</v>
      </c>
      <c r="D171" t="s">
        <v>143</v>
      </c>
      <c r="E171" t="str">
        <f>+IFERROR(VLOOKUP(Fact_Impuestos[[#This Row], [Concepto Anterior]],Conceptos_Impuestos[#All],5,0),"")</f>
        <v>Cantidad de personas naturales que atendemos</v>
      </c>
      <c r="F171" t="str">
        <f ca="1">+IFERROR(VLOOKUP(Fact_Impuestos[[#This Row], [Concepto Anterior]],Conceptos_Impuestos[#All],7,0),"")</f>
        <v/>
      </c>
      <c r="G171" t="s">
        <v>172</v>
      </c>
      <c r="H171" t="s">
        <v>172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93">
        <v>25</v>
      </c>
    </row>
    <row r="172" spans="1:11" ht="18.75" customHeight="1" x14ac:dyDescent="0.35">
      <c r="A172" s="93">
        <v>2025</v>
      </c>
      <c r="B172" t="s">
        <v>178</v>
      </c>
      <c r="C172" s="100">
        <f>IF(OR(Fact_Impuestos[[#This Row], [Año]]="",Fact_Impuestos[[#This Row], [Mes]]=""),"",DATE(A172,MATCH(B172,{"enero","febrero","marzo","abril","mayo","junio","julio","agosto","septiembre","octubre","noviembre","diciembre"},0)+1,0))</f>
        <v>45838</v>
      </c>
      <c r="D172" t="s">
        <v>185</v>
      </c>
      <c r="E172" t="str">
        <f>+IFERROR(VLOOKUP(Fact_Impuestos[[#This Row], [Concepto Anterior]],Conceptos_Impuestos[#All],5,0),"")</f>
        <v>Devolución saldos a favor en renta</v>
      </c>
      <c r="F172" t="str">
        <f ca="1">+IFERROR(VLOOKUP(Fact_Impuestos[[#This Row], [Concepto Anterior]],Conceptos_Impuestos[#All],7,0),"")</f>
        <v/>
      </c>
      <c r="G172" t="s">
        <v>172</v>
      </c>
      <c r="H172" t="s">
        <v>172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93">
        <v>0</v>
      </c>
    </row>
    <row r="173" spans="1:11" ht="18.75" customHeight="1" x14ac:dyDescent="0.35">
      <c r="A173" s="93">
        <v>2025</v>
      </c>
      <c r="B173" t="s">
        <v>178</v>
      </c>
      <c r="C173" s="100">
        <f>IF(OR(Fact_Impuestos[[#This Row], [Año]]="",Fact_Impuestos[[#This Row], [Mes]]=""),"",DATE(A173,MATCH(B173,{"enero","febrero","marzo","abril","mayo","junio","julio","agosto","septiembre","octubre","noviembre","diciembre"},0)+1,0))</f>
        <v>45838</v>
      </c>
      <c r="D173" t="s">
        <v>94</v>
      </c>
      <c r="E173" t="str">
        <f>+IFERROR(VLOOKUP(Fact_Impuestos[[#This Row], [Concepto Anterior]],Conceptos_Impuestos[#All],5,0),"")</f>
        <v>Numeraciones de facturación</v>
      </c>
      <c r="F173" t="str">
        <f ca="1">+IFERROR(VLOOKUP(Fact_Impuestos[[#This Row], [Concepto Anterior]],Conceptos_Impuestos[#All],7,0),"")</f>
        <v/>
      </c>
      <c r="G173" t="s">
        <v>172</v>
      </c>
      <c r="H173" t="s">
        <v>172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93">
        <v>22</v>
      </c>
    </row>
    <row r="174" spans="1:11" ht="18.75" customHeight="1" x14ac:dyDescent="0.35">
      <c r="A174" s="93">
        <v>2025</v>
      </c>
      <c r="B174" t="s">
        <v>178</v>
      </c>
      <c r="C174" s="100">
        <f>IF(OR(Fact_Impuestos[[#This Row], [Año]]="",Fact_Impuestos[[#This Row], [Mes]]=""),"",DATE(A174,MATCH(B174,{"enero","febrero","marzo","abril","mayo","junio","julio","agosto","septiembre","octubre","noviembre","diciembre"},0)+1,0))</f>
        <v>45838</v>
      </c>
      <c r="D174" t="s">
        <v>102</v>
      </c>
      <c r="E174" t="str">
        <f>+IFERROR(VLOOKUP(Fact_Impuestos[[#This Row], [Concepto Anterior]],Conceptos_Impuestos[#All],5,0),"")</f>
        <v>Numero de razones sociales atendidas directas</v>
      </c>
      <c r="F174" t="str">
        <f ca="1">+IFERROR(VLOOKUP(Fact_Impuestos[[#This Row], [Concepto Anterior]],Conceptos_Impuestos[#All],7,0),"")</f>
        <v/>
      </c>
      <c r="G174" t="s">
        <v>172</v>
      </c>
      <c r="H174" t="s">
        <v>172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93">
        <v>24</v>
      </c>
    </row>
    <row r="175" spans="1:11" ht="18.75" customHeight="1" x14ac:dyDescent="0.35">
      <c r="A175" s="93">
        <v>2025</v>
      </c>
      <c r="B175" t="s">
        <v>178</v>
      </c>
      <c r="C175" s="100">
        <f>IF(OR(Fact_Impuestos[[#This Row], [Año]]="",Fact_Impuestos[[#This Row], [Mes]]=""),"",DATE(A175,MATCH(B175,{"enero","febrero","marzo","abril","mayo","junio","julio","agosto","septiembre","octubre","noviembre","diciembre"},0)+1,0))</f>
        <v>45838</v>
      </c>
      <c r="D175" t="s">
        <v>144</v>
      </c>
      <c r="E175" t="str">
        <f>+IFERROR(VLOOKUP(Fact_Impuestos[[#This Row], [Concepto Anterior]],Conceptos_Impuestos[#All],5,0),"")</f>
        <v>Trámites, Aperturas y Cierres de Tiendas</v>
      </c>
      <c r="F175" t="str">
        <f ca="1">+IFERROR(VLOOKUP(Fact_Impuestos[[#This Row], [Concepto Anterior]],Conceptos_Impuestos[#All],7,0),"")</f>
        <v/>
      </c>
      <c r="G175" t="s">
        <v>172</v>
      </c>
      <c r="H175" t="s">
        <v>172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93">
        <v>2</v>
      </c>
    </row>
    <row r="176" spans="1:11" ht="18.75" customHeight="1" x14ac:dyDescent="0.35">
      <c r="A176" s="93">
        <v>2025</v>
      </c>
      <c r="B176" t="s">
        <v>179</v>
      </c>
      <c r="C176" s="100">
        <f>IF(OR(Fact_Impuestos[[#This Row], [Año]]="",Fact_Impuestos[[#This Row], [Mes]]=""),"",DATE(A176,MATCH(B176,{"enero","febrero","marzo","abril","mayo","junio","julio","agosto","septiembre","octubre","noviembre","diciembre"},0)+1,0))</f>
        <v>45869</v>
      </c>
      <c r="D176" t="s">
        <v>92</v>
      </c>
      <c r="E176" t="str">
        <f>+IFERROR(VLOOKUP(Fact_Impuestos[[#This Row], [Concepto Anterior]],Conceptos_Impuestos[#All],5,0),"")</f>
        <v xml:space="preserve">Fiscalizaciones DIAN - Municipios </v>
      </c>
      <c r="F176" t="str">
        <f ca="1">+IFERROR(VLOOKUP(Fact_Impuestos[[#This Row], [Concepto Anterior]],Conceptos_Impuestos[#All],7,0),"")</f>
        <v/>
      </c>
      <c r="G176" t="s">
        <v>172</v>
      </c>
      <c r="H176" t="s">
        <v>172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93">
        <v>3</v>
      </c>
    </row>
    <row r="177" spans="1:11" ht="18.75" customHeight="1" x14ac:dyDescent="0.35">
      <c r="A177" s="93">
        <v>2025</v>
      </c>
      <c r="B177" t="s">
        <v>179</v>
      </c>
      <c r="C177" s="100">
        <f>IF(OR(Fact_Impuestos[[#This Row], [Año]]="",Fact_Impuestos[[#This Row], [Mes]]=""),"",DATE(A177,MATCH(B177,{"enero","febrero","marzo","abril","mayo","junio","julio","agosto","septiembre","octubre","noviembre","diciembre"},0)+1,0))</f>
        <v>45869</v>
      </c>
      <c r="D177" t="s">
        <v>99</v>
      </c>
      <c r="E177" t="str">
        <f>+IFERROR(VLOOKUP(Fact_Impuestos[[#This Row], [Concepto Anterior]],Conceptos_Impuestos[#All],5,0),"")</f>
        <v>Cancelación NIT</v>
      </c>
      <c r="F177" t="str">
        <f ca="1">+IFERROR(VLOOKUP(Fact_Impuestos[[#This Row], [Concepto Anterior]],Conceptos_Impuestos[#All],7,0),"")</f>
        <v/>
      </c>
      <c r="G177" t="s">
        <v>172</v>
      </c>
      <c r="H177" t="s">
        <v>172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93">
        <v>0</v>
      </c>
    </row>
    <row r="178" spans="1:11" ht="18.75" customHeight="1" x14ac:dyDescent="0.35">
      <c r="A178" s="93">
        <v>2025</v>
      </c>
      <c r="B178" t="s">
        <v>179</v>
      </c>
      <c r="C178" s="100">
        <f>IF(OR(Fact_Impuestos[[#This Row], [Año]]="",Fact_Impuestos[[#This Row], [Mes]]=""),"",DATE(A178,MATCH(B178,{"enero","febrero","marzo","abril","mayo","junio","julio","agosto","septiembre","octubre","noviembre","diciembre"},0)+1,0))</f>
        <v>45869</v>
      </c>
      <c r="D178" t="s">
        <v>95</v>
      </c>
      <c r="E178" t="str">
        <f>+IFERROR(VLOOKUP(Fact_Impuestos[[#This Row], [Concepto Anterior]],Conceptos_Impuestos[#All],5,0),"")</f>
        <v>declaraciones tributarias</v>
      </c>
      <c r="F178" t="str">
        <f ca="1">+IFERROR(VLOOKUP(Fact_Impuestos[[#This Row], [Concepto Anterior]],Conceptos_Impuestos[#All],7,0),"")</f>
        <v/>
      </c>
      <c r="G178" t="s">
        <v>172</v>
      </c>
      <c r="H178" t="s">
        <v>172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93">
        <v>70</v>
      </c>
    </row>
    <row r="179" spans="1:11" ht="18.75" customHeight="1" x14ac:dyDescent="0.35">
      <c r="A179" s="93">
        <v>2025</v>
      </c>
      <c r="B179" t="s">
        <v>179</v>
      </c>
      <c r="C179" s="100">
        <f>IF(OR(Fact_Impuestos[[#This Row], [Año]]="",Fact_Impuestos[[#This Row], [Mes]]=""),"",DATE(A179,MATCH(B179,{"enero","febrero","marzo","abril","mayo","junio","julio","agosto","septiembre","octubre","noviembre","diciembre"},0)+1,0))</f>
        <v>45869</v>
      </c>
      <c r="D179" t="s">
        <v>96</v>
      </c>
      <c r="E179" t="str">
        <f>+IFERROR(VLOOKUP(Fact_Impuestos[[#This Row], [Concepto Anterior]],Conceptos_Impuestos[#All],5,0),"")</f>
        <v>información exógena</v>
      </c>
      <c r="F179" t="str">
        <f ca="1">+IFERROR(VLOOKUP(Fact_Impuestos[[#This Row], [Concepto Anterior]],Conceptos_Impuestos[#All],7,0),"")</f>
        <v/>
      </c>
      <c r="G179" t="s">
        <v>172</v>
      </c>
      <c r="H179" t="s">
        <v>172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93">
        <v>9</v>
      </c>
    </row>
    <row r="180" spans="1:11" ht="18.75" customHeight="1" x14ac:dyDescent="0.35">
      <c r="A180" s="93">
        <v>2025</v>
      </c>
      <c r="B180" t="s">
        <v>179</v>
      </c>
      <c r="C180" s="100">
        <f>IF(OR(Fact_Impuestos[[#This Row], [Año]]="",Fact_Impuestos[[#This Row], [Mes]]=""),"",DATE(A180,MATCH(B180,{"enero","febrero","marzo","abril","mayo","junio","julio","agosto","septiembre","octubre","noviembre","diciembre"},0)+1,0))</f>
        <v>45869</v>
      </c>
      <c r="D180" t="s">
        <v>143</v>
      </c>
      <c r="E180" t="str">
        <f>+IFERROR(VLOOKUP(Fact_Impuestos[[#This Row], [Concepto Anterior]],Conceptos_Impuestos[#All],5,0),"")</f>
        <v>Cantidad de personas naturales que atendemos</v>
      </c>
      <c r="F180" t="str">
        <f ca="1">+IFERROR(VLOOKUP(Fact_Impuestos[[#This Row], [Concepto Anterior]],Conceptos_Impuestos[#All],7,0),"")</f>
        <v/>
      </c>
      <c r="G180" t="s">
        <v>172</v>
      </c>
      <c r="H180" t="s">
        <v>172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93">
        <v>25</v>
      </c>
    </row>
    <row r="181" spans="1:11" ht="18.75" customHeight="1" x14ac:dyDescent="0.35">
      <c r="A181" s="93">
        <v>2025</v>
      </c>
      <c r="B181" t="s">
        <v>179</v>
      </c>
      <c r="C181" s="100">
        <f>IF(OR(Fact_Impuestos[[#This Row], [Año]]="",Fact_Impuestos[[#This Row], [Mes]]=""),"",DATE(A181,MATCH(B181,{"enero","febrero","marzo","abril","mayo","junio","julio","agosto","septiembre","octubre","noviembre","diciembre"},0)+1,0))</f>
        <v>45869</v>
      </c>
      <c r="D181" t="s">
        <v>185</v>
      </c>
      <c r="E181" t="str">
        <f>+IFERROR(VLOOKUP(Fact_Impuestos[[#This Row], [Concepto Anterior]],Conceptos_Impuestos[#All],5,0),"")</f>
        <v>Devolución saldos a favor en renta</v>
      </c>
      <c r="F181" t="str">
        <f ca="1">+IFERROR(VLOOKUP(Fact_Impuestos[[#This Row], [Concepto Anterior]],Conceptos_Impuestos[#All],7,0),"")</f>
        <v/>
      </c>
      <c r="G181" t="s">
        <v>172</v>
      </c>
      <c r="H181" t="s">
        <v>172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93">
        <v>0</v>
      </c>
    </row>
    <row r="182" spans="1:11" ht="18.75" customHeight="1" x14ac:dyDescent="0.35">
      <c r="A182" s="93">
        <v>2025</v>
      </c>
      <c r="B182" t="s">
        <v>179</v>
      </c>
      <c r="C182" s="100">
        <f>IF(OR(Fact_Impuestos[[#This Row], [Año]]="",Fact_Impuestos[[#This Row], [Mes]]=""),"",DATE(A182,MATCH(B182,{"enero","febrero","marzo","abril","mayo","junio","julio","agosto","septiembre","octubre","noviembre","diciembre"},0)+1,0))</f>
        <v>45869</v>
      </c>
      <c r="D182" t="s">
        <v>94</v>
      </c>
      <c r="E182" t="str">
        <f>+IFERROR(VLOOKUP(Fact_Impuestos[[#This Row], [Concepto Anterior]],Conceptos_Impuestos[#All],5,0),"")</f>
        <v>Numeraciones de facturación</v>
      </c>
      <c r="F182" t="str">
        <f ca="1">+IFERROR(VLOOKUP(Fact_Impuestos[[#This Row], [Concepto Anterior]],Conceptos_Impuestos[#All],7,0),"")</f>
        <v/>
      </c>
      <c r="G182" t="s">
        <v>172</v>
      </c>
      <c r="H182" t="s">
        <v>172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93">
        <v>551</v>
      </c>
    </row>
    <row r="183" spans="1:11" ht="18.75" customHeight="1" x14ac:dyDescent="0.35">
      <c r="A183" s="93">
        <v>2025</v>
      </c>
      <c r="B183" t="s">
        <v>179</v>
      </c>
      <c r="C183" s="100">
        <f>IF(OR(Fact_Impuestos[[#This Row], [Año]]="",Fact_Impuestos[[#This Row], [Mes]]=""),"",DATE(A183,MATCH(B183,{"enero","febrero","marzo","abril","mayo","junio","julio","agosto","septiembre","octubre","noviembre","diciembre"},0)+1,0))</f>
        <v>45869</v>
      </c>
      <c r="D183" t="s">
        <v>102</v>
      </c>
      <c r="E183" t="str">
        <f>+IFERROR(VLOOKUP(Fact_Impuestos[[#This Row], [Concepto Anterior]],Conceptos_Impuestos[#All],5,0),"")</f>
        <v>Numero de razones sociales atendidas directas</v>
      </c>
      <c r="F183" t="str">
        <f ca="1">+IFERROR(VLOOKUP(Fact_Impuestos[[#This Row], [Concepto Anterior]],Conceptos_Impuestos[#All],7,0),"")</f>
        <v/>
      </c>
      <c r="G183" t="s">
        <v>172</v>
      </c>
      <c r="H183" t="s">
        <v>172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93">
        <v>24</v>
      </c>
    </row>
    <row r="184" spans="1:11" ht="18.75" customHeight="1" x14ac:dyDescent="0.35">
      <c r="A184" s="93">
        <v>2025</v>
      </c>
      <c r="B184" t="s">
        <v>179</v>
      </c>
      <c r="C184" s="100">
        <f>IF(OR(Fact_Impuestos[[#This Row], [Año]]="",Fact_Impuestos[[#This Row], [Mes]]=""),"",DATE(A184,MATCH(B184,{"enero","febrero","marzo","abril","mayo","junio","julio","agosto","septiembre","octubre","noviembre","diciembre"},0)+1,0))</f>
        <v>45869</v>
      </c>
      <c r="D184" t="s">
        <v>144</v>
      </c>
      <c r="E184" t="str">
        <f>+IFERROR(VLOOKUP(Fact_Impuestos[[#This Row], [Concepto Anterior]],Conceptos_Impuestos[#All],5,0),"")</f>
        <v>Trámites, Aperturas y Cierres de Tiendas</v>
      </c>
      <c r="F184" t="str">
        <f ca="1">+IFERROR(VLOOKUP(Fact_Impuestos[[#This Row], [Concepto Anterior]],Conceptos_Impuestos[#All],7,0),"")</f>
        <v/>
      </c>
      <c r="G184" t="s">
        <v>172</v>
      </c>
      <c r="H184" t="s">
        <v>172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93">
        <v>13</v>
      </c>
    </row>
    <row r="185" spans="1:11" ht="18.75" customHeight="1" x14ac:dyDescent="0.35">
      <c r="A185" s="93">
        <v>2025</v>
      </c>
      <c r="B185" t="s">
        <v>180</v>
      </c>
      <c r="C185" s="100">
        <f>IF(OR(Fact_Impuestos[[#This Row], [Año]]="",Fact_Impuestos[[#This Row], [Mes]]=""),"",DATE(A185,MATCH(B185,{"enero","febrero","marzo","abril","mayo","junio","julio","agosto","septiembre","octubre","noviembre","diciembre"},0)+1,0))</f>
        <v>45900</v>
      </c>
      <c r="D185" t="s">
        <v>92</v>
      </c>
      <c r="E185" t="str">
        <f>+IFERROR(VLOOKUP(Fact_Impuestos[[#This Row], [Concepto Anterior]],Conceptos_Impuestos[#All],5,0),"")</f>
        <v xml:space="preserve">Fiscalizaciones DIAN - Municipios </v>
      </c>
      <c r="F185" t="str">
        <f ca="1">+IFERROR(VLOOKUP(Fact_Impuestos[[#This Row], [Concepto Anterior]],Conceptos_Impuestos[#All],7,0),"")</f>
        <v/>
      </c>
      <c r="G185" t="s">
        <v>172</v>
      </c>
      <c r="H185" t="s">
        <v>172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93">
        <v>10</v>
      </c>
    </row>
    <row r="186" spans="1:11" ht="18.75" customHeight="1" x14ac:dyDescent="0.35">
      <c r="A186" s="93">
        <v>2025</v>
      </c>
      <c r="B186" t="s">
        <v>180</v>
      </c>
      <c r="C186" s="100">
        <f>IF(OR(Fact_Impuestos[[#This Row], [Año]]="",Fact_Impuestos[[#This Row], [Mes]]=""),"",DATE(A186,MATCH(B186,{"enero","febrero","marzo","abril","mayo","junio","julio","agosto","septiembre","octubre","noviembre","diciembre"},0)+1,0))</f>
        <v>45900</v>
      </c>
      <c r="D186" t="s">
        <v>99</v>
      </c>
      <c r="E186" t="str">
        <f>+IFERROR(VLOOKUP(Fact_Impuestos[[#This Row], [Concepto Anterior]],Conceptos_Impuestos[#All],5,0),"")</f>
        <v>Cancelación NIT</v>
      </c>
      <c r="F186" t="str">
        <f ca="1">+IFERROR(VLOOKUP(Fact_Impuestos[[#This Row], [Concepto Anterior]],Conceptos_Impuestos[#All],7,0),"")</f>
        <v/>
      </c>
      <c r="G186" t="s">
        <v>172</v>
      </c>
      <c r="H186" t="s">
        <v>172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93">
        <v>0</v>
      </c>
    </row>
    <row r="187" spans="1:11" ht="18.75" customHeight="1" x14ac:dyDescent="0.35">
      <c r="A187" s="93">
        <v>2025</v>
      </c>
      <c r="B187" t="s">
        <v>180</v>
      </c>
      <c r="C187" s="100">
        <f>IF(OR(Fact_Impuestos[[#This Row], [Año]]="",Fact_Impuestos[[#This Row], [Mes]]=""),"",DATE(A187,MATCH(B187,{"enero","febrero","marzo","abril","mayo","junio","julio","agosto","septiembre","octubre","noviembre","diciembre"},0)+1,0))</f>
        <v>45900</v>
      </c>
      <c r="D187" t="s">
        <v>95</v>
      </c>
      <c r="E187" t="str">
        <f>+IFERROR(VLOOKUP(Fact_Impuestos[[#This Row], [Concepto Anterior]],Conceptos_Impuestos[#All],5,0),"")</f>
        <v>declaraciones tributarias</v>
      </c>
      <c r="F187" t="str">
        <f ca="1">+IFERROR(VLOOKUP(Fact_Impuestos[[#This Row], [Concepto Anterior]],Conceptos_Impuestos[#All],7,0),"")</f>
        <v/>
      </c>
      <c r="G187" t="s">
        <v>172</v>
      </c>
      <c r="H187" t="s">
        <v>172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93">
        <v>650</v>
      </c>
    </row>
    <row r="188" spans="1:11" ht="18.75" customHeight="1" x14ac:dyDescent="0.35">
      <c r="A188" s="93">
        <v>2025</v>
      </c>
      <c r="B188" t="s">
        <v>180</v>
      </c>
      <c r="C188" s="100">
        <f>IF(OR(Fact_Impuestos[[#This Row], [Año]]="",Fact_Impuestos[[#This Row], [Mes]]=""),"",DATE(A188,MATCH(B188,{"enero","febrero","marzo","abril","mayo","junio","julio","agosto","septiembre","octubre","noviembre","diciembre"},0)+1,0))</f>
        <v>45900</v>
      </c>
      <c r="D188" t="s">
        <v>96</v>
      </c>
      <c r="E188" t="str">
        <f>+IFERROR(VLOOKUP(Fact_Impuestos[[#This Row], [Concepto Anterior]],Conceptos_Impuestos[#All],5,0),"")</f>
        <v>información exógena</v>
      </c>
      <c r="F188" t="str">
        <f ca="1">+IFERROR(VLOOKUP(Fact_Impuestos[[#This Row], [Concepto Anterior]],Conceptos_Impuestos[#All],7,0),"")</f>
        <v/>
      </c>
      <c r="G188" t="s">
        <v>172</v>
      </c>
      <c r="H188" t="s">
        <v>172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93">
        <v>6</v>
      </c>
    </row>
    <row r="189" spans="1:11" ht="18.75" customHeight="1" x14ac:dyDescent="0.35">
      <c r="A189" s="93">
        <v>2025</v>
      </c>
      <c r="B189" t="s">
        <v>180</v>
      </c>
      <c r="C189" s="100">
        <f>IF(OR(Fact_Impuestos[[#This Row], [Año]]="",Fact_Impuestos[[#This Row], [Mes]]=""),"",DATE(A189,MATCH(B189,{"enero","febrero","marzo","abril","mayo","junio","julio","agosto","septiembre","octubre","noviembre","diciembre"},0)+1,0))</f>
        <v>45900</v>
      </c>
      <c r="D189" t="s">
        <v>143</v>
      </c>
      <c r="E189" t="str">
        <f>+IFERROR(VLOOKUP(Fact_Impuestos[[#This Row], [Concepto Anterior]],Conceptos_Impuestos[#All],5,0),"")</f>
        <v>Cantidad de personas naturales que atendemos</v>
      </c>
      <c r="F189" t="str">
        <f ca="1">+IFERROR(VLOOKUP(Fact_Impuestos[[#This Row], [Concepto Anterior]],Conceptos_Impuestos[#All],7,0),"")</f>
        <v/>
      </c>
      <c r="G189" t="s">
        <v>172</v>
      </c>
      <c r="H189" t="s">
        <v>172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93">
        <v>25</v>
      </c>
    </row>
    <row r="190" spans="1:11" ht="18.75" customHeight="1" x14ac:dyDescent="0.35">
      <c r="A190" s="93">
        <v>2025</v>
      </c>
      <c r="B190" t="s">
        <v>180</v>
      </c>
      <c r="C190" s="100">
        <f>IF(OR(Fact_Impuestos[[#This Row], [Año]]="",Fact_Impuestos[[#This Row], [Mes]]=""),"",DATE(A190,MATCH(B190,{"enero","febrero","marzo","abril","mayo","junio","julio","agosto","septiembre","octubre","noviembre","diciembre"},0)+1,0))</f>
        <v>45900</v>
      </c>
      <c r="D190" t="s">
        <v>185</v>
      </c>
      <c r="E190" t="str">
        <f>+IFERROR(VLOOKUP(Fact_Impuestos[[#This Row], [Concepto Anterior]],Conceptos_Impuestos[#All],5,0),"")</f>
        <v>Devolución saldos a favor en renta</v>
      </c>
      <c r="F190" t="str">
        <f ca="1">+IFERROR(VLOOKUP(Fact_Impuestos[[#This Row], [Concepto Anterior]],Conceptos_Impuestos[#All],7,0),"")</f>
        <v/>
      </c>
      <c r="G190" t="s">
        <v>172</v>
      </c>
      <c r="H190" t="s">
        <v>172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180</v>
      </c>
      <c r="C191" s="100">
        <f>IF(OR(Fact_Impuestos[[#This Row], [Año]]="",Fact_Impuestos[[#This Row], [Mes]]=""),"",DATE(A191,MATCH(B191,{"enero","febrero","marzo","abril","mayo","junio","julio","agosto","septiembre","octubre","noviembre","diciembre"},0)+1,0))</f>
        <v>45900</v>
      </c>
      <c r="D191" t="s">
        <v>94</v>
      </c>
      <c r="E191" t="str">
        <f>+IFERROR(VLOOKUP(Fact_Impuestos[[#This Row], [Concepto Anterior]],Conceptos_Impuestos[#All],5,0),"")</f>
        <v>Numeraciones de facturación</v>
      </c>
      <c r="F191" t="str">
        <f ca="1">+IFERROR(VLOOKUP(Fact_Impuestos[[#This Row], [Concepto Anterior]],Conceptos_Impuestos[#All],7,0),"")</f>
        <v/>
      </c>
      <c r="G191" t="s">
        <v>172</v>
      </c>
      <c r="H191" t="s">
        <v>172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93">
        <v>94</v>
      </c>
    </row>
    <row r="192" spans="1:11" ht="18.75" customHeight="1" x14ac:dyDescent="0.35">
      <c r="A192" s="93">
        <v>2025</v>
      </c>
      <c r="B192" t="s">
        <v>180</v>
      </c>
      <c r="C192" s="100">
        <f>IF(OR(Fact_Impuestos[[#This Row], [Año]]="",Fact_Impuestos[[#This Row], [Mes]]=""),"",DATE(A192,MATCH(B192,{"enero","febrero","marzo","abril","mayo","junio","julio","agosto","septiembre","octubre","noviembre","diciembre"},0)+1,0))</f>
        <v>45900</v>
      </c>
      <c r="D192" t="s">
        <v>102</v>
      </c>
      <c r="E192" t="str">
        <f>+IFERROR(VLOOKUP(Fact_Impuestos[[#This Row], [Concepto Anterior]],Conceptos_Impuestos[#All],5,0),"")</f>
        <v>Numero de razones sociales atendidas directas</v>
      </c>
      <c r="F192" t="str">
        <f ca="1">+IFERROR(VLOOKUP(Fact_Impuestos[[#This Row], [Concepto Anterior]],Conceptos_Impuestos[#All],7,0),"")</f>
        <v/>
      </c>
      <c r="G192" t="s">
        <v>172</v>
      </c>
      <c r="H192" t="s">
        <v>172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93">
        <v>24</v>
      </c>
    </row>
    <row r="193" spans="1:11" ht="18.75" customHeight="1" x14ac:dyDescent="0.35">
      <c r="A193" s="93">
        <v>2025</v>
      </c>
      <c r="B193" t="s">
        <v>180</v>
      </c>
      <c r="C193" s="100">
        <f>IF(OR(Fact_Impuestos[[#This Row], [Año]]="",Fact_Impuestos[[#This Row], [Mes]]=""),"",DATE(A193,MATCH(B193,{"enero","febrero","marzo","abril","mayo","junio","julio","agosto","septiembre","octubre","noviembre","diciembre"},0)+1,0))</f>
        <v>45900</v>
      </c>
      <c r="D193" t="s">
        <v>144</v>
      </c>
      <c r="E193" t="str">
        <f>+IFERROR(VLOOKUP(Fact_Impuestos[[#This Row], [Concepto Anterior]],Conceptos_Impuestos[#All],5,0),"")</f>
        <v>Trámites, Aperturas y Cierres de Tiendas</v>
      </c>
      <c r="F193" t="str">
        <f ca="1">+IFERROR(VLOOKUP(Fact_Impuestos[[#This Row], [Concepto Anterior]],Conceptos_Impuestos[#All],7,0),"")</f>
        <v/>
      </c>
      <c r="G193" t="s">
        <v>172</v>
      </c>
      <c r="H193" t="s">
        <v>172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93">
        <v>2</v>
      </c>
    </row>
    <row r="194" spans="1:11" ht="18.75" customHeight="1" x14ac:dyDescent="0.35">
      <c r="A194" s="93">
        <v>2025</v>
      </c>
      <c r="B194" t="s">
        <v>181</v>
      </c>
      <c r="C194" s="100">
        <f>IF(OR(Fact_Impuestos[[#This Row], [Año]]="",Fact_Impuestos[[#This Row], [Mes]]=""),"",DATE(A194,MATCH(B194,{"enero","febrero","marzo","abril","mayo","junio","julio","agosto","septiembre","octubre","noviembre","diciembre"},0)+1,0))</f>
        <v>45930</v>
      </c>
      <c r="D194" t="s">
        <v>92</v>
      </c>
      <c r="E194" t="str">
        <f>+IFERROR(VLOOKUP(Fact_Impuestos[[#This Row], [Concepto Anterior]],Conceptos_Impuestos[#All],5,0),"")</f>
        <v xml:space="preserve">Fiscalizaciones DIAN - Municipios </v>
      </c>
      <c r="F194" t="str">
        <f ca="1">+IFERROR(VLOOKUP(Fact_Impuestos[[#This Row], [Concepto Anterior]],Conceptos_Impuestos[#All],7,0),"")</f>
        <v/>
      </c>
      <c r="G194" t="s">
        <v>172</v>
      </c>
      <c r="H194" t="s">
        <v>172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93">
        <v>6</v>
      </c>
    </row>
    <row r="195" spans="1:11" ht="18.75" customHeight="1" x14ac:dyDescent="0.35">
      <c r="A195" s="93">
        <v>2025</v>
      </c>
      <c r="B195" t="s">
        <v>181</v>
      </c>
      <c r="C195" s="100">
        <f>IF(OR(Fact_Impuestos[[#This Row], [Año]]="",Fact_Impuestos[[#This Row], [Mes]]=""),"",DATE(A195,MATCH(B195,{"enero","febrero","marzo","abril","mayo","junio","julio","agosto","septiembre","octubre","noviembre","diciembre"},0)+1,0))</f>
        <v>45930</v>
      </c>
      <c r="D195" t="s">
        <v>99</v>
      </c>
      <c r="E195" t="str">
        <f>+IFERROR(VLOOKUP(Fact_Impuestos[[#This Row], [Concepto Anterior]],Conceptos_Impuestos[#All],5,0),"")</f>
        <v>Cancelación NIT</v>
      </c>
      <c r="F195" t="str">
        <f ca="1">+IFERROR(VLOOKUP(Fact_Impuestos[[#This Row], [Concepto Anterior]],Conceptos_Impuestos[#All],7,0),"")</f>
        <v/>
      </c>
      <c r="G195" t="s">
        <v>172</v>
      </c>
      <c r="H195" t="s">
        <v>172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181</v>
      </c>
      <c r="C196" s="100">
        <f>IF(OR(Fact_Impuestos[[#This Row], [Año]]="",Fact_Impuestos[[#This Row], [Mes]]=""),"",DATE(A196,MATCH(B196,{"enero","febrero","marzo","abril","mayo","junio","julio","agosto","septiembre","octubre","noviembre","diciembre"},0)+1,0))</f>
        <v>45930</v>
      </c>
      <c r="D196" t="s">
        <v>95</v>
      </c>
      <c r="E196" t="str">
        <f>+IFERROR(VLOOKUP(Fact_Impuestos[[#This Row], [Concepto Anterior]],Conceptos_Impuestos[#All],5,0),"")</f>
        <v>declaraciones tributarias</v>
      </c>
      <c r="F196" t="str">
        <f ca="1">+IFERROR(VLOOKUP(Fact_Impuestos[[#This Row], [Concepto Anterior]],Conceptos_Impuestos[#All],7,0),"")</f>
        <v/>
      </c>
      <c r="G196" t="s">
        <v>172</v>
      </c>
      <c r="H196" t="s">
        <v>172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93">
        <v>751</v>
      </c>
    </row>
    <row r="197" spans="1:11" ht="18.75" customHeight="1" x14ac:dyDescent="0.35">
      <c r="A197" s="93">
        <v>2025</v>
      </c>
      <c r="B197" t="s">
        <v>181</v>
      </c>
      <c r="C197" s="100">
        <f>IF(OR(Fact_Impuestos[[#This Row], [Año]]="",Fact_Impuestos[[#This Row], [Mes]]=""),"",DATE(A197,MATCH(B197,{"enero","febrero","marzo","abril","mayo","junio","julio","agosto","septiembre","octubre","noviembre","diciembre"},0)+1,0))</f>
        <v>45930</v>
      </c>
      <c r="D197" t="s">
        <v>96</v>
      </c>
      <c r="E197" t="str">
        <f>+IFERROR(VLOOKUP(Fact_Impuestos[[#This Row], [Concepto Anterior]],Conceptos_Impuestos[#All],5,0),"")</f>
        <v>información exógena</v>
      </c>
      <c r="F197" t="str">
        <f ca="1">+IFERROR(VLOOKUP(Fact_Impuestos[[#This Row], [Concepto Anterior]],Conceptos_Impuestos[#All],7,0),"")</f>
        <v/>
      </c>
      <c r="G197" t="s">
        <v>172</v>
      </c>
      <c r="H197" t="s">
        <v>172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93">
        <v>0</v>
      </c>
    </row>
    <row r="198" spans="1:11" ht="18.75" customHeight="1" x14ac:dyDescent="0.35">
      <c r="A198" s="93">
        <v>2025</v>
      </c>
      <c r="B198" t="s">
        <v>181</v>
      </c>
      <c r="C198" s="100">
        <f>IF(OR(Fact_Impuestos[[#This Row], [Año]]="",Fact_Impuestos[[#This Row], [Mes]]=""),"",DATE(A198,MATCH(B198,{"enero","febrero","marzo","abril","mayo","junio","julio","agosto","septiembre","octubre","noviembre","diciembre"},0)+1,0))</f>
        <v>45930</v>
      </c>
      <c r="D198" t="s">
        <v>143</v>
      </c>
      <c r="E198" t="str">
        <f>+IFERROR(VLOOKUP(Fact_Impuestos[[#This Row], [Concepto Anterior]],Conceptos_Impuestos[#All],5,0),"")</f>
        <v>Cantidad de personas naturales que atendemos</v>
      </c>
      <c r="F198" t="str">
        <f ca="1">+IFERROR(VLOOKUP(Fact_Impuestos[[#This Row], [Concepto Anterior]],Conceptos_Impuestos[#All],7,0),"")</f>
        <v/>
      </c>
      <c r="G198" t="s">
        <v>172</v>
      </c>
      <c r="H198" t="s">
        <v>172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93">
        <v>25</v>
      </c>
    </row>
    <row r="199" spans="1:11" ht="18.75" customHeight="1" x14ac:dyDescent="0.35">
      <c r="A199" s="93">
        <v>2025</v>
      </c>
      <c r="B199" t="s">
        <v>181</v>
      </c>
      <c r="C199" s="100">
        <f>IF(OR(Fact_Impuestos[[#This Row], [Año]]="",Fact_Impuestos[[#This Row], [Mes]]=""),"",DATE(A199,MATCH(B199,{"enero","febrero","marzo","abril","mayo","junio","julio","agosto","septiembre","octubre","noviembre","diciembre"},0)+1,0))</f>
        <v>45930</v>
      </c>
      <c r="D199" t="s">
        <v>185</v>
      </c>
      <c r="E199" t="str">
        <f>+IFERROR(VLOOKUP(Fact_Impuestos[[#This Row], [Concepto Anterior]],Conceptos_Impuestos[#All],5,0),"")</f>
        <v>Devolución saldos a favor en renta</v>
      </c>
      <c r="F199" t="str">
        <f ca="1">+IFERROR(VLOOKUP(Fact_Impuestos[[#This Row], [Concepto Anterior]],Conceptos_Impuestos[#All],7,0),"")</f>
        <v/>
      </c>
      <c r="G199" t="s">
        <v>172</v>
      </c>
      <c r="H199" t="s">
        <v>172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93">
        <v>7691000000</v>
      </c>
    </row>
    <row r="200" spans="1:11" ht="18.75" customHeight="1" x14ac:dyDescent="0.35">
      <c r="A200" s="93">
        <v>2025</v>
      </c>
      <c r="B200" t="s">
        <v>181</v>
      </c>
      <c r="C200" s="100">
        <f>IF(OR(Fact_Impuestos[[#This Row], [Año]]="",Fact_Impuestos[[#This Row], [Mes]]=""),"",DATE(A200,MATCH(B200,{"enero","febrero","marzo","abril","mayo","junio","julio","agosto","septiembre","octubre","noviembre","diciembre"},0)+1,0))</f>
        <v>45930</v>
      </c>
      <c r="D200" t="s">
        <v>94</v>
      </c>
      <c r="E200" t="str">
        <f>+IFERROR(VLOOKUP(Fact_Impuestos[[#This Row], [Concepto Anterior]],Conceptos_Impuestos[#All],5,0),"")</f>
        <v>Numeraciones de facturación</v>
      </c>
      <c r="F200" t="str">
        <f ca="1">+IFERROR(VLOOKUP(Fact_Impuestos[[#This Row], [Concepto Anterior]],Conceptos_Impuestos[#All],7,0),"")</f>
        <v/>
      </c>
      <c r="G200" t="s">
        <v>172</v>
      </c>
      <c r="H200" t="s">
        <v>172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93">
        <v>61</v>
      </c>
    </row>
    <row r="201" spans="1:11" ht="18.75" customHeight="1" x14ac:dyDescent="0.35">
      <c r="A201" s="93">
        <v>2025</v>
      </c>
      <c r="B201" t="s">
        <v>181</v>
      </c>
      <c r="C201" s="100">
        <f>IF(OR(Fact_Impuestos[[#This Row], [Año]]="",Fact_Impuestos[[#This Row], [Mes]]=""),"",DATE(A201,MATCH(B201,{"enero","febrero","marzo","abril","mayo","junio","julio","agosto","septiembre","octubre","noviembre","diciembre"},0)+1,0))</f>
        <v>45930</v>
      </c>
      <c r="D201" t="s">
        <v>102</v>
      </c>
      <c r="E201" t="str">
        <f>+IFERROR(VLOOKUP(Fact_Impuestos[[#This Row], [Concepto Anterior]],Conceptos_Impuestos[#All],5,0),"")</f>
        <v>Numero de razones sociales atendidas directas</v>
      </c>
      <c r="F201" t="str">
        <f ca="1">+IFERROR(VLOOKUP(Fact_Impuestos[[#This Row], [Concepto Anterior]],Conceptos_Impuestos[#All],7,0),"")</f>
        <v/>
      </c>
      <c r="G201" t="s">
        <v>172</v>
      </c>
      <c r="H201" t="s">
        <v>172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93">
        <v>24</v>
      </c>
    </row>
    <row r="202" spans="1:11" ht="18.75" customHeight="1" x14ac:dyDescent="0.35">
      <c r="A202" s="93">
        <v>2025</v>
      </c>
      <c r="B202" t="s">
        <v>181</v>
      </c>
      <c r="C202" s="100">
        <f>IF(OR(Fact_Impuestos[[#This Row], [Año]]="",Fact_Impuestos[[#This Row], [Mes]]=""),"",DATE(A202,MATCH(B202,{"enero","febrero","marzo","abril","mayo","junio","julio","agosto","septiembre","octubre","noviembre","diciembre"},0)+1,0))</f>
        <v>45930</v>
      </c>
      <c r="D202" t="s">
        <v>144</v>
      </c>
      <c r="E202" t="str">
        <f>+IFERROR(VLOOKUP(Fact_Impuestos[[#This Row], [Concepto Anterior]],Conceptos_Impuestos[#All],5,0),"")</f>
        <v>Trámites, Aperturas y Cierres de Tiendas</v>
      </c>
      <c r="F202" t="str">
        <f ca="1">+IFERROR(VLOOKUP(Fact_Impuestos[[#This Row], [Concepto Anterior]],Conceptos_Impuestos[#All],7,0),"")</f>
        <v/>
      </c>
      <c r="G202" t="s">
        <v>172</v>
      </c>
      <c r="H202" t="s">
        <v>172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93">
        <v>2</v>
      </c>
    </row>
    <row r="203" spans="1:11" ht="18.75" customHeight="1" x14ac:dyDescent="0.35">
      <c r="C203" s="100" t="str">
        <f>IF(OR(Fact_Impuestos[[#This Row], [Año]]="",Fact_Impuestos[[#This Row], [Mes]]=""),"",DATE(A203,MATCH(B203,{"enero","febrero","marzo","abril","mayo","junio","julio","agosto","septiembre","octubre","noviembre","diciembre"},0)+1,0))</f>
        <v/>
      </c>
      <c r="E203" t="str">
        <f>+IFERROR(VLOOKUP(Fact_Impuestos[[#This Row], [Concepto Anterior]],Conceptos_Impuestos[#All],5,0),"")</f>
        <v/>
      </c>
      <c r="F203" t="str">
        <f>+IFERROR(VLOOKUP(Fact_Impuestos[[#This Row], 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ht="18.75" customHeight="1" x14ac:dyDescent="0.35">
      <c r="C204" s="100" t="str">
        <f>IF(OR(Fact_Impuestos[[#This Row], [Año]]="",Fact_Impuestos[[#This Row], [Mes]]=""),"",DATE(A204,MATCH(B204,{"enero","febrero","marzo","abril","mayo","junio","julio","agosto","septiembre","octubre","noviembre","diciembre"},0)+1,0))</f>
        <v/>
      </c>
      <c r="E204" t="str">
        <f>+IFERROR(VLOOKUP(Fact_Impuestos[[#This Row], [Concepto Anterior]],Conceptos_Impuestos[#All],5,0),"")</f>
        <v/>
      </c>
      <c r="F204" t="str">
        <f>+IFERROR(VLOOKUP(Fact_Impuestos[[#This Row], 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ht="18.75" customHeight="1" x14ac:dyDescent="0.35">
      <c r="C205" s="100" t="str">
        <f>IF(OR(Fact_Impuestos[[#This Row], [Año]]="",Fact_Impuestos[[#This Row], [Mes]]=""),"",DATE(A205,MATCH(B205,{"enero","febrero","marzo","abril","mayo","junio","julio","agosto","septiembre","octubre","noviembre","diciembre"},0)+1,0))</f>
        <v/>
      </c>
      <c r="E205" t="str">
        <f>+IFERROR(VLOOKUP(Fact_Impuestos[[#This Row], [Concepto Anterior]],Conceptos_Impuestos[#All],5,0),"")</f>
        <v/>
      </c>
      <c r="F205" t="str">
        <f>+IFERROR(VLOOKUP(Fact_Impuestos[[#This Row], 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ht="18.75" customHeight="1" x14ac:dyDescent="0.35">
      <c r="C206" s="100" t="str">
        <f>IF(OR(Fact_Impuestos[[#This Row], [Año]]="",Fact_Impuestos[[#This Row], [Mes]]=""),"",DATE(A206,MATCH(B206,{"enero","febrero","marzo","abril","mayo","junio","julio","agosto","septiembre","octubre","noviembre","diciembre"},0)+1,0))</f>
        <v/>
      </c>
      <c r="E206" t="str">
        <f>+IFERROR(VLOOKUP(Fact_Impuestos[[#This Row], [Concepto Anterior]],Conceptos_Impuestos[#All],5,0),"")</f>
        <v/>
      </c>
      <c r="F206" t="str">
        <f>+IFERROR(VLOOKUP(Fact_Impuestos[[#This Row], 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ht="18.75" customHeight="1" x14ac:dyDescent="0.35">
      <c r="C207" s="100" t="str">
        <f>IF(OR(Fact_Impuestos[[#This Row], [Año]]="",Fact_Impuestos[[#This Row], [Mes]]=""),"",DATE(A207,MATCH(B207,{"enero","febrero","marzo","abril","mayo","junio","julio","agosto","septiembre","octubre","noviembre","diciembre"},0)+1,0))</f>
        <v/>
      </c>
      <c r="E207" t="str">
        <f>+IFERROR(VLOOKUP(Fact_Impuestos[[#This Row], [Concepto Anterior]],Conceptos_Impuestos[#All],5,0),"")</f>
        <v/>
      </c>
      <c r="F207" t="str">
        <f>+IFERROR(VLOOKUP(Fact_Impuestos[[#This Row], 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ht="18.75" customHeight="1" x14ac:dyDescent="0.35">
      <c r="C208" s="100" t="str">
        <f>IF(OR(Fact_Impuestos[[#This Row], [Año]]="",Fact_Impuestos[[#This Row], [Mes]]=""),"",DATE(A208,MATCH(B208,{"enero","febrero","marzo","abril","mayo","junio","julio","agosto","septiembre","octubre","noviembre","diciembre"},0)+1,0))</f>
        <v/>
      </c>
      <c r="E208" t="str">
        <f>+IFERROR(VLOOKUP(Fact_Impuestos[[#This Row], [Concepto Anterior]],Conceptos_Impuestos[#All],5,0),"")</f>
        <v/>
      </c>
      <c r="F208" t="str">
        <f>+IFERROR(VLOOKUP(Fact_Impuestos[[#This Row], 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ht="18.75" customHeight="1" x14ac:dyDescent="0.35">
      <c r="C209" s="100" t="str">
        <f>IF(OR(Fact_Impuestos[[#This Row], [Año]]="",Fact_Impuestos[[#This Row], [Mes]]=""),"",DATE(A209,MATCH(B209,{"enero","febrero","marzo","abril","mayo","junio","julio","agosto","septiembre","octubre","noviembre","diciembre"},0)+1,0))</f>
        <v/>
      </c>
      <c r="E209" t="str">
        <f>+IFERROR(VLOOKUP(Fact_Impuestos[[#This Row], [Concepto Anterior]],Conceptos_Impuestos[#All],5,0),"")</f>
        <v/>
      </c>
      <c r="F209" t="str">
        <f>+IFERROR(VLOOKUP(Fact_Impuestos[[#This Row], 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ht="18.75" customHeight="1" x14ac:dyDescent="0.35">
      <c r="C210" s="100" t="str">
        <f>IF(OR(Fact_Impuestos[[#This Row], [Año]]="",Fact_Impuestos[[#This Row], [Mes]]=""),"",DATE(A210,MATCH(B210,{"enero","febrero","marzo","abril","mayo","junio","julio","agosto","septiembre","octubre","noviembre","diciembre"},0)+1,0))</f>
        <v/>
      </c>
      <c r="E210" t="str">
        <f>+IFERROR(VLOOKUP(Fact_Impuestos[[#This Row], [Concepto Anterior]],Conceptos_Impuestos[#All],5,0),"")</f>
        <v/>
      </c>
      <c r="F210" t="str">
        <f>+IFERROR(VLOOKUP(Fact_Impuestos[[#This Row], 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ht="18.75" customHeight="1" x14ac:dyDescent="0.35">
      <c r="C211" s="100" t="str">
        <f>IF(OR(Fact_Impuestos[[#This Row], [Año]]="",Fact_Impuestos[[#This Row], [Mes]]=""),"",DATE(A211,MATCH(B211,{"enero","febrero","marzo","abril","mayo","junio","julio","agosto","septiembre","octubre","noviembre","diciembre"},0)+1,0))</f>
        <v/>
      </c>
      <c r="E211" t="str">
        <f>+IFERROR(VLOOKUP(Fact_Impuestos[[#This Row], [Concepto Anterior]],Conceptos_Impuestos[#All],5,0),"")</f>
        <v/>
      </c>
      <c r="F211" t="str">
        <f>+IFERROR(VLOOKUP(Fact_Impuestos[[#This Row], 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ht="18.75" customHeight="1" x14ac:dyDescent="0.35">
      <c r="C212" s="100" t="str">
        <f>IF(OR(Fact_Impuestos[[#This Row], [Año]]="",Fact_Impuestos[[#This Row], [Mes]]=""),"",DATE(A212,MATCH(B212,{"enero","febrero","marzo","abril","mayo","junio","julio","agosto","septiembre","octubre","noviembre","diciembre"},0)+1,0))</f>
        <v/>
      </c>
      <c r="E212" t="str">
        <f>+IFERROR(VLOOKUP(Fact_Impuestos[[#This Row], [Concepto Anterior]],Conceptos_Impuestos[#All],5,0),"")</f>
        <v/>
      </c>
      <c r="F212" t="str">
        <f>+IFERROR(VLOOKUP(Fact_Impuestos[[#This Row], 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ht="18.75" customHeight="1" x14ac:dyDescent="0.35">
      <c r="C213" s="100" t="str">
        <f>IF(OR(Fact_Impuestos[[#This Row], [Año]]="",Fact_Impuestos[[#This Row], [Mes]]=""),"",DATE(A213,MATCH(B213,{"enero","febrero","marzo","abril","mayo","junio","julio","agosto","septiembre","octubre","noviembre","diciembre"},0)+1,0))</f>
        <v/>
      </c>
      <c r="E213" t="str">
        <f>+IFERROR(VLOOKUP(Fact_Impuestos[[#This Row], [Concepto Anterior]],Conceptos_Impuestos[#All],5,0),"")</f>
        <v/>
      </c>
      <c r="F213" t="str">
        <f>+IFERROR(VLOOKUP(Fact_Impuestos[[#This Row], 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ht="18.75" customHeight="1" x14ac:dyDescent="0.35">
      <c r="C214" s="100" t="str">
        <f>IF(OR(Fact_Impuestos[[#This Row], [Año]]="",Fact_Impuestos[[#This Row], [Mes]]=""),"",DATE(A214,MATCH(B214,{"enero","febrero","marzo","abril","mayo","junio","julio","agosto","septiembre","octubre","noviembre","diciembre"},0)+1,0))</f>
        <v/>
      </c>
      <c r="E214" t="str">
        <f>+IFERROR(VLOOKUP(Fact_Impuestos[[#This Row], [Concepto Anterior]],Conceptos_Impuestos[#All],5,0),"")</f>
        <v/>
      </c>
      <c r="F214" t="str">
        <f>+IFERROR(VLOOKUP(Fact_Impuestos[[#This Row], 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ht="18.75" customHeight="1" x14ac:dyDescent="0.35">
      <c r="C215" s="100" t="str">
        <f>IF(OR(Fact_Impuestos[[#This Row], [Año]]="",Fact_Impuestos[[#This Row], [Mes]]=""),"",DATE(A215,MATCH(B215,{"enero","febrero","marzo","abril","mayo","junio","julio","agosto","septiembre","octubre","noviembre","diciembre"},0)+1,0))</f>
        <v/>
      </c>
      <c r="E215" t="str">
        <f>+IFERROR(VLOOKUP(Fact_Impuestos[[#This Row], [Concepto Anterior]],Conceptos_Impuestos[#All],5,0),"")</f>
        <v/>
      </c>
      <c r="F215" t="str">
        <f>+IFERROR(VLOOKUP(Fact_Impuestos[[#This Row], 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ht="18.75" customHeight="1" x14ac:dyDescent="0.35">
      <c r="C216" s="100" t="str">
        <f>IF(OR(Fact_Impuestos[[#This Row], [Año]]="",Fact_Impuestos[[#This Row], [Mes]]=""),"",DATE(A216,MATCH(B216,{"enero","febrero","marzo","abril","mayo","junio","julio","agosto","septiembre","octubre","noviembre","diciembre"},0)+1,0))</f>
        <v/>
      </c>
      <c r="E216" t="str">
        <f>+IFERROR(VLOOKUP(Fact_Impuestos[[#This Row], [Concepto Anterior]],Conceptos_Impuestos[#All],5,0),"")</f>
        <v/>
      </c>
      <c r="F216" t="str">
        <f>+IFERROR(VLOOKUP(Fact_Impuestos[[#This Row], 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ht="18.75" customHeight="1" x14ac:dyDescent="0.35">
      <c r="C217" s="100" t="str">
        <f>IF(OR(Fact_Impuestos[[#This Row], [Año]]="",Fact_Impuestos[[#This Row], [Mes]]=""),"",DATE(A217,MATCH(B217,{"enero","febrero","marzo","abril","mayo","junio","julio","agosto","septiembre","octubre","noviembre","diciembre"},0)+1,0))</f>
        <v/>
      </c>
      <c r="E217" t="str">
        <f>+IFERROR(VLOOKUP(Fact_Impuestos[[#This Row], [Concepto Anterior]],Conceptos_Impuestos[#All],5,0),"")</f>
        <v/>
      </c>
      <c r="F217" t="str">
        <f>+IFERROR(VLOOKUP(Fact_Impuestos[[#This Row], 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ht="18.75" customHeight="1" x14ac:dyDescent="0.35">
      <c r="C218" s="100" t="str">
        <f>IF(OR(Fact_Impuestos[[#This Row], [Año]]="",Fact_Impuestos[[#This Row], [Mes]]=""),"",DATE(A218,MATCH(B218,{"enero","febrero","marzo","abril","mayo","junio","julio","agosto","septiembre","octubre","noviembre","diciembre"},0)+1,0))</f>
        <v/>
      </c>
      <c r="E218" t="str">
        <f>+IFERROR(VLOOKUP(Fact_Impuestos[[#This Row], [Concepto Anterior]],Conceptos_Impuestos[#All],5,0),"")</f>
        <v/>
      </c>
      <c r="F218" t="str">
        <f>+IFERROR(VLOOKUP(Fact_Impuestos[[#This Row], 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ht="18.75" customHeight="1" x14ac:dyDescent="0.35">
      <c r="C219" s="100" t="str">
        <f>IF(OR(Fact_Impuestos[[#This Row], [Año]]="",Fact_Impuestos[[#This Row], [Mes]]=""),"",DATE(A219,MATCH(B219,{"enero","febrero","marzo","abril","mayo","junio","julio","agosto","septiembre","octubre","noviembre","diciembre"},0)+1,0))</f>
        <v/>
      </c>
      <c r="E219" t="str">
        <f>+IFERROR(VLOOKUP(Fact_Impuestos[[#This Row], [Concepto Anterior]],Conceptos_Impuestos[#All],5,0),"")</f>
        <v/>
      </c>
      <c r="F219" t="str">
        <f>+IFERROR(VLOOKUP(Fact_Impuestos[[#This Row], 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ht="18.75" customHeight="1" x14ac:dyDescent="0.35">
      <c r="C220" s="100" t="str">
        <f>IF(OR(Fact_Impuestos[[#This Row], [Año]]="",Fact_Impuestos[[#This Row], [Mes]]=""),"",DATE(A220,MATCH(B220,{"enero","febrero","marzo","abril","mayo","junio","julio","agosto","septiembre","octubre","noviembre","diciembre"},0)+1,0))</f>
        <v/>
      </c>
      <c r="E220" t="str">
        <f>+IFERROR(VLOOKUP(Fact_Impuestos[[#This Row], [Concepto Anterior]],Conceptos_Impuestos[#All],5,0),"")</f>
        <v/>
      </c>
      <c r="F220" t="str">
        <f>+IFERROR(VLOOKUP(Fact_Impuestos[[#This Row], 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ht="18.75" customHeight="1" x14ac:dyDescent="0.35">
      <c r="C221" s="100" t="str">
        <f>IF(OR(Fact_Impuestos[[#This Row], [Año]]="",Fact_Impuestos[[#This Row], [Mes]]=""),"",DATE(A221,MATCH(B221,{"enero","febrero","marzo","abril","mayo","junio","julio","agosto","septiembre","octubre","noviembre","diciembre"},0)+1,0))</f>
        <v/>
      </c>
      <c r="E221" t="str">
        <f>+IFERROR(VLOOKUP(Fact_Impuestos[[#This Row], [Concepto Anterior]],Conceptos_Impuestos[#All],5,0),"")</f>
        <v/>
      </c>
      <c r="F221" t="str">
        <f>+IFERROR(VLOOKUP(Fact_Impuestos[[#This Row], 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ht="18.75" customHeight="1" x14ac:dyDescent="0.35">
      <c r="C222" s="100" t="str">
        <f>IF(OR(Fact_Impuestos[[#This Row], [Año]]="",Fact_Impuestos[[#This Row], [Mes]]=""),"",DATE(A222,MATCH(B222,{"enero","febrero","marzo","abril","mayo","junio","julio","agosto","septiembre","octubre","noviembre","diciembre"},0)+1,0))</f>
        <v/>
      </c>
      <c r="E222" t="str">
        <f>+IFERROR(VLOOKUP(Fact_Impuestos[[#This Row], [Concepto Anterior]],Conceptos_Impuestos[#All],5,0),"")</f>
        <v/>
      </c>
      <c r="F222" t="str">
        <f>+IFERROR(VLOOKUP(Fact_Impuestos[[#This Row], 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ht="18.75" customHeight="1" x14ac:dyDescent="0.35">
      <c r="C223" s="100" t="str">
        <f>IF(OR(Fact_Impuestos[[#This Row], [Año]]="",Fact_Impuestos[[#This Row], [Mes]]=""),"",DATE(A223,MATCH(B223,{"enero","febrero","marzo","abril","mayo","junio","julio","agosto","septiembre","octubre","noviembre","diciembre"},0)+1,0))</f>
        <v/>
      </c>
      <c r="E223" t="str">
        <f>+IFERROR(VLOOKUP(Fact_Impuestos[[#This Row], [Concepto Anterior]],Conceptos_Impuestos[#All],5,0),"")</f>
        <v/>
      </c>
      <c r="F223" t="str">
        <f>+IFERROR(VLOOKUP(Fact_Impuestos[[#This Row], 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ht="18.75" customHeight="1" x14ac:dyDescent="0.35">
      <c r="C224" s="100" t="str">
        <f>IF(OR(Fact_Impuestos[[#This Row], [Año]]="",Fact_Impuestos[[#This Row], [Mes]]=""),"",DATE(A224,MATCH(B224,{"enero","febrero","marzo","abril","mayo","junio","julio","agosto","septiembre","octubre","noviembre","diciembre"},0)+1,0))</f>
        <v/>
      </c>
      <c r="E224" t="str">
        <f>+IFERROR(VLOOKUP(Fact_Impuestos[[#This Row], [Concepto Anterior]],Conceptos_Impuestos[#All],5,0),"")</f>
        <v/>
      </c>
      <c r="F224" t="str">
        <f>+IFERROR(VLOOKUP(Fact_Impuestos[[#This Row], 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ht="18.75" customHeight="1" x14ac:dyDescent="0.35">
      <c r="C225" s="100" t="str">
        <f>IF(OR(Fact_Impuestos[[#This Row], [Año]]="",Fact_Impuestos[[#This Row], [Mes]]=""),"",DATE(A225,MATCH(B225,{"enero","febrero","marzo","abril","mayo","junio","julio","agosto","septiembre","octubre","noviembre","diciembre"},0)+1,0))</f>
        <v/>
      </c>
      <c r="E225" t="str">
        <f>+IFERROR(VLOOKUP(Fact_Impuestos[[#This Row], [Concepto Anterior]],Conceptos_Impuestos[#All],5,0),"")</f>
        <v/>
      </c>
      <c r="F225" t="str">
        <f>+IFERROR(VLOOKUP(Fact_Impuestos[[#This Row], 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ht="18.75" customHeight="1" x14ac:dyDescent="0.35">
      <c r="C226" s="100" t="str">
        <f>IF(OR(Fact_Impuestos[[#This Row], [Año]]="",Fact_Impuestos[[#This Row], [Mes]]=""),"",DATE(A226,MATCH(B226,{"enero","febrero","marzo","abril","mayo","junio","julio","agosto","septiembre","octubre","noviembre","diciembre"},0)+1,0))</f>
        <v/>
      </c>
      <c r="E226" t="str">
        <f>+IFERROR(VLOOKUP(Fact_Impuestos[[#This Row], [Concepto Anterior]],Conceptos_Impuestos[#All],5,0),"")</f>
        <v/>
      </c>
      <c r="F226" t="str">
        <f>+IFERROR(VLOOKUP(Fact_Impuestos[[#This Row], 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ht="18.75" customHeight="1" x14ac:dyDescent="0.35">
      <c r="C227" s="100" t="str">
        <f>IF(OR(Fact_Impuestos[[#This Row], [Año]]="",Fact_Impuestos[[#This Row], [Mes]]=""),"",DATE(A227,MATCH(B227,{"enero","febrero","marzo","abril","mayo","junio","julio","agosto","septiembre","octubre","noviembre","diciembre"},0)+1,0))</f>
        <v/>
      </c>
      <c r="E227" t="str">
        <f>+IFERROR(VLOOKUP(Fact_Impuestos[[#This Row], [Concepto Anterior]],Conceptos_Impuestos[#All],5,0),"")</f>
        <v/>
      </c>
      <c r="F227" t="str">
        <f>+IFERROR(VLOOKUP(Fact_Impuestos[[#This Row], 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ht="18.75" customHeight="1" x14ac:dyDescent="0.35">
      <c r="C228" s="100" t="str">
        <f>IF(OR(Fact_Impuestos[[#This Row], [Año]]="",Fact_Impuestos[[#This Row], [Mes]]=""),"",DATE(A228,MATCH(B228,{"enero","febrero","marzo","abril","mayo","junio","julio","agosto","septiembre","octubre","noviembre","diciembre"},0)+1,0))</f>
        <v/>
      </c>
      <c r="E228" t="str">
        <f>+IFERROR(VLOOKUP(Fact_Impuestos[[#This Row], [Concepto Anterior]],Conceptos_Impuestos[#All],5,0),"")</f>
        <v/>
      </c>
      <c r="F228" t="str">
        <f>+IFERROR(VLOOKUP(Fact_Impuestos[[#This Row], 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ht="18.75" customHeight="1" x14ac:dyDescent="0.35">
      <c r="C229" s="100" t="str">
        <f>IF(OR(Fact_Impuestos[[#This Row], [Año]]="",Fact_Impuestos[[#This Row], [Mes]]=""),"",DATE(A229,MATCH(B229,{"enero","febrero","marzo","abril","mayo","junio","julio","agosto","septiembre","octubre","noviembre","diciembre"},0)+1,0))</f>
        <v/>
      </c>
      <c r="E229" t="str">
        <f>+IFERROR(VLOOKUP(Fact_Impuestos[[#This Row], [Concepto Anterior]],Conceptos_Impuestos[#All],5,0),"")</f>
        <v/>
      </c>
      <c r="F229" t="str">
        <f>+IFERROR(VLOOKUP(Fact_Impuestos[[#This Row], 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ht="18.75" customHeight="1" x14ac:dyDescent="0.35">
      <c r="C230" s="100" t="str">
        <f>IF(OR(Fact_Impuestos[[#This Row], [Año]]="",Fact_Impuestos[[#This Row], [Mes]]=""),"",DATE(A230,MATCH(B230,{"enero","febrero","marzo","abril","mayo","junio","julio","agosto","septiembre","octubre","noviembre","diciembre"},0)+1,0))</f>
        <v/>
      </c>
      <c r="E230" t="str">
        <f>+IFERROR(VLOOKUP(Fact_Impuestos[[#This Row], [Concepto Anterior]],Conceptos_Impuestos[#All],5,0),"")</f>
        <v/>
      </c>
      <c r="F230" t="str">
        <f>+IFERROR(VLOOKUP(Fact_Impuestos[[#This Row], 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ht="18.75" customHeight="1" x14ac:dyDescent="0.35">
      <c r="C231" s="100" t="str">
        <f>IF(OR(Fact_Impuestos[[#This Row], [Año]]="",Fact_Impuestos[[#This Row], [Mes]]=""),"",DATE(A231,MATCH(B231,{"enero","febrero","marzo","abril","mayo","junio","julio","agosto","septiembre","octubre","noviembre","diciembre"},0)+1,0))</f>
        <v/>
      </c>
      <c r="E231" t="str">
        <f>+IFERROR(VLOOKUP(Fact_Impuestos[[#This Row], [Concepto Anterior]],Conceptos_Impuestos[#All],5,0),"")</f>
        <v/>
      </c>
      <c r="F231" t="str">
        <f>+IFERROR(VLOOKUP(Fact_Impuestos[[#This Row], 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ht="18.75" customHeight="1" x14ac:dyDescent="0.35">
      <c r="C232" s="100" t="str">
        <f>IF(OR(Fact_Impuestos[[#This Row], [Año]]="",Fact_Impuestos[[#This Row], [Mes]]=""),"",DATE(A232,MATCH(B232,{"enero","febrero","marzo","abril","mayo","junio","julio","agosto","septiembre","octubre","noviembre","diciembre"},0)+1,0))</f>
        <v/>
      </c>
      <c r="E232" t="str">
        <f>+IFERROR(VLOOKUP(Fact_Impuestos[[#This Row], [Concepto Anterior]],Conceptos_Impuestos[#All],5,0),"")</f>
        <v/>
      </c>
      <c r="F232" t="str">
        <f>+IFERROR(VLOOKUP(Fact_Impuestos[[#This Row], 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ht="18.75" customHeight="1" x14ac:dyDescent="0.35">
      <c r="C233" s="100" t="str">
        <f>IF(OR(Fact_Impuestos[[#This Row], [Año]]="",Fact_Impuestos[[#This Row], [Mes]]=""),"",DATE(A233,MATCH(B233,{"enero","febrero","marzo","abril","mayo","junio","julio","agosto","septiembre","octubre","noviembre","diciembre"},0)+1,0))</f>
        <v/>
      </c>
      <c r="E233" t="str">
        <f>+IFERROR(VLOOKUP(Fact_Impuestos[[#This Row], [Concepto Anterior]],Conceptos_Impuestos[#All],5,0),"")</f>
        <v/>
      </c>
      <c r="F233" t="str">
        <f>+IFERROR(VLOOKUP(Fact_Impuestos[[#This Row], 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ht="18.75" customHeight="1" x14ac:dyDescent="0.35">
      <c r="C234" s="100" t="str">
        <f>IF(OR(Fact_Impuestos[[#This Row], [Año]]="",Fact_Impuestos[[#This Row], [Mes]]=""),"",DATE(A234,MATCH(B234,{"enero","febrero","marzo","abril","mayo","junio","julio","agosto","septiembre","octubre","noviembre","diciembre"},0)+1,0))</f>
        <v/>
      </c>
      <c r="E234" t="str">
        <f>+IFERROR(VLOOKUP(Fact_Impuestos[[#This Row], [Concepto Anterior]],Conceptos_Impuestos[#All],5,0),"")</f>
        <v/>
      </c>
      <c r="F234" t="str">
        <f>+IFERROR(VLOOKUP(Fact_Impuestos[[#This Row], 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ht="18.75" customHeight="1" x14ac:dyDescent="0.35">
      <c r="C235" s="100" t="str">
        <f>IF(OR(Fact_Impuestos[[#This Row], [Año]]="",Fact_Impuestos[[#This Row], [Mes]]=""),"",DATE(A235,MATCH(B235,{"enero","febrero","marzo","abril","mayo","junio","julio","agosto","septiembre","octubre","noviembre","diciembre"},0)+1,0))</f>
        <v/>
      </c>
      <c r="E235" t="str">
        <f>+IFERROR(VLOOKUP(Fact_Impuestos[[#This Row], [Concepto Anterior]],Conceptos_Impuestos[#All],5,0),"")</f>
        <v/>
      </c>
      <c r="F235" t="str">
        <f>+IFERROR(VLOOKUP(Fact_Impuestos[[#This Row], 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ht="18.75" customHeight="1" x14ac:dyDescent="0.35">
      <c r="C236" s="100" t="str">
        <f>IF(OR(Fact_Impuestos[[#This Row], [Año]]="",Fact_Impuestos[[#This Row], [Mes]]=""),"",DATE(A236,MATCH(B236,{"enero","febrero","marzo","abril","mayo","junio","julio","agosto","septiembre","octubre","noviembre","diciembre"},0)+1,0))</f>
        <v/>
      </c>
      <c r="E236" t="str">
        <f>+IFERROR(VLOOKUP(Fact_Impuestos[[#This Row], [Concepto Anterior]],Conceptos_Impuestos[#All],5,0),"")</f>
        <v/>
      </c>
      <c r="F236" t="str">
        <f>+IFERROR(VLOOKUP(Fact_Impuestos[[#This Row], 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ht="18.75" customHeight="1" x14ac:dyDescent="0.35">
      <c r="C237" s="100" t="str">
        <f>IF(OR(Fact_Impuestos[[#This Row], [Año]]="",Fact_Impuestos[[#This Row], [Mes]]=""),"",DATE(A237,MATCH(B237,{"enero","febrero","marzo","abril","mayo","junio","julio","agosto","septiembre","octubre","noviembre","diciembre"},0)+1,0))</f>
        <v/>
      </c>
      <c r="E237" t="str">
        <f>+IFERROR(VLOOKUP(Fact_Impuestos[[#This Row], [Concepto Anterior]],Conceptos_Impuestos[#All],5,0),"")</f>
        <v/>
      </c>
      <c r="F237" t="str">
        <f>+IFERROR(VLOOKUP(Fact_Impuestos[[#This Row], 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ht="18.75" customHeight="1" x14ac:dyDescent="0.35">
      <c r="C238" s="100" t="str">
        <f>IF(OR(Fact_Impuestos[[#This Row], [Año]]="",Fact_Impuestos[[#This Row], [Mes]]=""),"",DATE(A238,MATCH(B238,{"enero","febrero","marzo","abril","mayo","junio","julio","agosto","septiembre","octubre","noviembre","diciembre"},0)+1,0))</f>
        <v/>
      </c>
      <c r="E238" t="str">
        <f>+IFERROR(VLOOKUP(Fact_Impuestos[[#This Row], [Concepto Anterior]],Conceptos_Impuestos[#All],5,0),"")</f>
        <v/>
      </c>
      <c r="F238" t="str">
        <f>+IFERROR(VLOOKUP(Fact_Impuestos[[#This Row], 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ht="18.75" customHeight="1" x14ac:dyDescent="0.35">
      <c r="C239" s="100" t="str">
        <f>IF(OR(Fact_Impuestos[[#This Row], [Año]]="",Fact_Impuestos[[#This Row], [Mes]]=""),"",DATE(A239,MATCH(B239,{"enero","febrero","marzo","abril","mayo","junio","julio","agosto","septiembre","octubre","noviembre","diciembre"},0)+1,0))</f>
        <v/>
      </c>
      <c r="E239" t="str">
        <f>+IFERROR(VLOOKUP(Fact_Impuestos[[#This Row], [Concepto Anterior]],Conceptos_Impuestos[#All],5,0),"")</f>
        <v/>
      </c>
      <c r="F239" t="str">
        <f>+IFERROR(VLOOKUP(Fact_Impuestos[[#This Row], 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ht="18.75" customHeight="1" x14ac:dyDescent="0.35">
      <c r="C240" s="100" t="str">
        <f>IF(OR(Fact_Impuestos[[#This Row], [Año]]="",Fact_Impuestos[[#This Row], [Mes]]=""),"",DATE(A240,MATCH(B240,{"enero","febrero","marzo","abril","mayo","junio","julio","agosto","septiembre","octubre","noviembre","diciembre"},0)+1,0))</f>
        <v/>
      </c>
      <c r="E240" t="str">
        <f>+IFERROR(VLOOKUP(Fact_Impuestos[[#This Row], [Concepto Anterior]],Conceptos_Impuestos[#All],5,0),"")</f>
        <v/>
      </c>
      <c r="F240" t="str">
        <f>+IFERROR(VLOOKUP(Fact_Impuestos[[#This Row], 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ht="18.75" customHeight="1" x14ac:dyDescent="0.35">
      <c r="C241" s="100" t="str">
        <f>IF(OR(Fact_Impuestos[[#This Row], [Año]]="",Fact_Impuestos[[#This Row], [Mes]]=""),"",DATE(A241,MATCH(B241,{"enero","febrero","marzo","abril","mayo","junio","julio","agosto","septiembre","octubre","noviembre","diciembre"},0)+1,0))</f>
        <v/>
      </c>
      <c r="E241" t="str">
        <f>+IFERROR(VLOOKUP(Fact_Impuestos[[#This Row], [Concepto Anterior]],Conceptos_Impuestos[#All],5,0),"")</f>
        <v/>
      </c>
      <c r="F241" t="str">
        <f>+IFERROR(VLOOKUP(Fact_Impuestos[[#This Row], 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ht="18.75" customHeight="1" x14ac:dyDescent="0.35">
      <c r="C242" s="100" t="str">
        <f>IF(OR(Fact_Impuestos[[#This Row], [Año]]="",Fact_Impuestos[[#This Row], [Mes]]=""),"",DATE(A242,MATCH(B242,{"enero","febrero","marzo","abril","mayo","junio","julio","agosto","septiembre","octubre","noviembre","diciembre"},0)+1,0))</f>
        <v/>
      </c>
      <c r="E242" t="str">
        <f>+IFERROR(VLOOKUP(Fact_Impuestos[[#This Row], [Concepto Anterior]],Conceptos_Impuestos[#All],5,0),"")</f>
        <v/>
      </c>
      <c r="F242" t="str">
        <f>+IFERROR(VLOOKUP(Fact_Impuestos[[#This Row], 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ht="18.75" customHeight="1" x14ac:dyDescent="0.35">
      <c r="C243" s="100" t="str">
        <f>IF(OR(Fact_Impuestos[[#This Row], [Año]]="",Fact_Impuestos[[#This Row], [Mes]]=""),"",DATE(A243,MATCH(B243,{"enero","febrero","marzo","abril","mayo","junio","julio","agosto","septiembre","octubre","noviembre","diciembre"},0)+1,0))</f>
        <v/>
      </c>
      <c r="E243" t="str">
        <f>+IFERROR(VLOOKUP(Fact_Impuestos[[#This Row], [Concepto Anterior]],Conceptos_Impuestos[#All],5,0),"")</f>
        <v/>
      </c>
      <c r="F243" t="str">
        <f>+IFERROR(VLOOKUP(Fact_Impuestos[[#This Row], 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ht="18.75" customHeight="1" x14ac:dyDescent="0.35">
      <c r="C244" s="100" t="str">
        <f>IF(OR(Fact_Impuestos[[#This Row], [Año]]="",Fact_Impuestos[[#This Row], [Mes]]=""),"",DATE(A244,MATCH(B244,{"enero","febrero","marzo","abril","mayo","junio","julio","agosto","septiembre","octubre","noviembre","diciembre"},0)+1,0))</f>
        <v/>
      </c>
      <c r="E244" t="str">
        <f>+IFERROR(VLOOKUP(Fact_Impuestos[[#This Row], [Concepto Anterior]],Conceptos_Impuestos[#All],5,0),"")</f>
        <v/>
      </c>
      <c r="F244" t="str">
        <f>+IFERROR(VLOOKUP(Fact_Impuestos[[#This Row], 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ht="18.75" customHeight="1" x14ac:dyDescent="0.35">
      <c r="C245" s="100" t="str">
        <f>IF(OR(Fact_Impuestos[[#This Row], [Año]]="",Fact_Impuestos[[#This Row], [Mes]]=""),"",DATE(A245,MATCH(B245,{"enero","febrero","marzo","abril","mayo","junio","julio","agosto","septiembre","octubre","noviembre","diciembre"},0)+1,0))</f>
        <v/>
      </c>
      <c r="E245" t="str">
        <f>+IFERROR(VLOOKUP(Fact_Impuestos[[#This Row], [Concepto Anterior]],Conceptos_Impuestos[#All],5,0),"")</f>
        <v/>
      </c>
      <c r="F245" t="str">
        <f>+IFERROR(VLOOKUP(Fact_Impuestos[[#This Row], 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ht="18.75" customHeight="1" x14ac:dyDescent="0.35">
      <c r="C246" s="100" t="str">
        <f>IF(OR(Fact_Impuestos[[#This Row], [Año]]="",Fact_Impuestos[[#This Row], [Mes]]=""),"",DATE(A246,MATCH(B246,{"enero","febrero","marzo","abril","mayo","junio","julio","agosto","septiembre","octubre","noviembre","diciembre"},0)+1,0))</f>
        <v/>
      </c>
      <c r="E246" t="str">
        <f>+IFERROR(VLOOKUP(Fact_Impuestos[[#This Row], [Concepto Anterior]],Conceptos_Impuestos[#All],5,0),"")</f>
        <v/>
      </c>
      <c r="F246" t="str">
        <f>+IFERROR(VLOOKUP(Fact_Impuestos[[#This Row], 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ht="18.75" customHeight="1" x14ac:dyDescent="0.35">
      <c r="C247" s="100" t="str">
        <f>IF(OR(Fact_Impuestos[[#This Row], [Año]]="",Fact_Impuestos[[#This Row], [Mes]]=""),"",DATE(A247,MATCH(B247,{"enero","febrero","marzo","abril","mayo","junio","julio","agosto","septiembre","octubre","noviembre","diciembre"},0)+1,0))</f>
        <v/>
      </c>
      <c r="E247" t="str">
        <f>+IFERROR(VLOOKUP(Fact_Impuestos[[#This Row], [Concepto Anterior]],Conceptos_Impuestos[#All],5,0),"")</f>
        <v/>
      </c>
      <c r="F247" t="str">
        <f>+IFERROR(VLOOKUP(Fact_Impuestos[[#This Row], 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ht="18.75" customHeight="1" x14ac:dyDescent="0.35">
      <c r="C248" s="100" t="str">
        <f>IF(OR(Fact_Impuestos[[#This Row], [Año]]="",Fact_Impuestos[[#This Row], [Mes]]=""),"",DATE(A248,MATCH(B248,{"enero","febrero","marzo","abril","mayo","junio","julio","agosto","septiembre","octubre","noviembre","diciembre"},0)+1,0))</f>
        <v/>
      </c>
      <c r="E248" t="str">
        <f>+IFERROR(VLOOKUP(Fact_Impuestos[[#This Row], [Concepto Anterior]],Conceptos_Impuestos[#All],5,0),"")</f>
        <v/>
      </c>
      <c r="F248" t="str">
        <f>+IFERROR(VLOOKUP(Fact_Impuestos[[#This Row], 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ht="18.75" customHeight="1" x14ac:dyDescent="0.35">
      <c r="C249" s="100" t="str">
        <f>IF(OR(Fact_Impuestos[[#This Row], [Año]]="",Fact_Impuestos[[#This Row], [Mes]]=""),"",DATE(A249,MATCH(B249,{"enero","febrero","marzo","abril","mayo","junio","julio","agosto","septiembre","octubre","noviembre","diciembre"},0)+1,0))</f>
        <v/>
      </c>
      <c r="E249" t="str">
        <f>+IFERROR(VLOOKUP(Fact_Impuestos[[#This Row], [Concepto Anterior]],Conceptos_Impuestos[#All],5,0),"")</f>
        <v/>
      </c>
      <c r="F249" t="str">
        <f>+IFERROR(VLOOKUP(Fact_Impuestos[[#This Row], 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ht="18.75" customHeight="1" x14ac:dyDescent="0.35">
      <c r="C250" s="100" t="str">
        <f>IF(OR(Fact_Impuestos[[#This Row], [Año]]="",Fact_Impuestos[[#This Row], [Mes]]=""),"",DATE(A250,MATCH(B250,{"enero","febrero","marzo","abril","mayo","junio","julio","agosto","septiembre","octubre","noviembre","diciembre"},0)+1,0))</f>
        <v/>
      </c>
      <c r="E250" t="str">
        <f>+IFERROR(VLOOKUP(Fact_Impuestos[[#This Row], [Concepto Anterior]],Conceptos_Impuestos[#All],5,0),"")</f>
        <v/>
      </c>
      <c r="F250" t="str">
        <f>+IFERROR(VLOOKUP(Fact_Impuestos[[#This Row], 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ht="18.75" customHeight="1" x14ac:dyDescent="0.35">
      <c r="C251" s="100" t="str">
        <f>IF(OR(Fact_Impuestos[[#This Row], [Año]]="",Fact_Impuestos[[#This Row], [Mes]]=""),"",DATE(A251,MATCH(B251,{"enero","febrero","marzo","abril","mayo","junio","julio","agosto","septiembre","octubre","noviembre","diciembre"},0)+1,0))</f>
        <v/>
      </c>
      <c r="E251" t="str">
        <f>+IFERROR(VLOOKUP(Fact_Impuestos[[#This Row], [Concepto Anterior]],Conceptos_Impuestos[#All],5,0),"")</f>
        <v/>
      </c>
      <c r="F251" t="str">
        <f>+IFERROR(VLOOKUP(Fact_Impuestos[[#This Row], 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ht="18.75" customHeight="1" x14ac:dyDescent="0.35">
      <c r="C252" s="100" t="str">
        <f>IF(OR(Fact_Impuestos[[#This Row], [Año]]="",Fact_Impuestos[[#This Row], [Mes]]=""),"",DATE(A252,MATCH(B252,{"enero","febrero","marzo","abril","mayo","junio","julio","agosto","septiembre","octubre","noviembre","diciembre"},0)+1,0))</f>
        <v/>
      </c>
      <c r="E252" t="str">
        <f>+IFERROR(VLOOKUP(Fact_Impuestos[[#This Row], [Concepto Anterior]],Conceptos_Impuestos[#All],5,0),"")</f>
        <v/>
      </c>
      <c r="F252" t="str">
        <f>+IFERROR(VLOOKUP(Fact_Impuestos[[#This Row], 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ht="18.75" customHeight="1" x14ac:dyDescent="0.35">
      <c r="C253" s="100" t="str">
        <f>IF(OR(Fact_Impuestos[[#This Row], [Año]]="",Fact_Impuestos[[#This Row], [Mes]]=""),"",DATE(A253,MATCH(B253,{"enero","febrero","marzo","abril","mayo","junio","julio","agosto","septiembre","octubre","noviembre","diciembre"},0)+1,0))</f>
        <v/>
      </c>
      <c r="E253" t="str">
        <f>+IFERROR(VLOOKUP(Fact_Impuestos[[#This Row], [Concepto Anterior]],Conceptos_Impuestos[#All],5,0),"")</f>
        <v/>
      </c>
      <c r="F253" t="str">
        <f>+IFERROR(VLOOKUP(Fact_Impuestos[[#This Row], 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ht="18.75" customHeight="1" x14ac:dyDescent="0.35">
      <c r="C254" s="100" t="str">
        <f>IF(OR(Fact_Impuestos[[#This Row], [Año]]="",Fact_Impuestos[[#This Row], [Mes]]=""),"",DATE(A254,MATCH(B254,{"enero","febrero","marzo","abril","mayo","junio","julio","agosto","septiembre","octubre","noviembre","diciembre"},0)+1,0))</f>
        <v/>
      </c>
      <c r="E254" t="str">
        <f>+IFERROR(VLOOKUP(Fact_Impuestos[[#This Row], [Concepto Anterior]],Conceptos_Impuestos[#All],5,0),"")</f>
        <v/>
      </c>
      <c r="F254" t="str">
        <f>+IFERROR(VLOOKUP(Fact_Impuestos[[#This Row], 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ht="18.75" customHeight="1" x14ac:dyDescent="0.35">
      <c r="C255" s="100" t="str">
        <f>IF(OR(Fact_Impuestos[[#This Row], [Año]]="",Fact_Impuestos[[#This Row], [Mes]]=""),"",DATE(A255,MATCH(B255,{"enero","febrero","marzo","abril","mayo","junio","julio","agosto","septiembre","octubre","noviembre","diciembre"},0)+1,0))</f>
        <v/>
      </c>
      <c r="E255" t="str">
        <f>+IFERROR(VLOOKUP(Fact_Impuestos[[#This Row], [Concepto Anterior]],Conceptos_Impuestos[#All],5,0),"")</f>
        <v/>
      </c>
      <c r="F255" t="str">
        <f>+IFERROR(VLOOKUP(Fact_Impuestos[[#This Row], 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ht="18.75" customHeight="1" x14ac:dyDescent="0.35">
      <c r="C256" s="100" t="str">
        <f>IF(OR(Fact_Impuestos[[#This Row], [Año]]="",Fact_Impuestos[[#This Row], [Mes]]=""),"",DATE(A256,MATCH(B256,{"enero","febrero","marzo","abril","mayo","junio","julio","agosto","septiembre","octubre","noviembre","diciembre"},0)+1,0))</f>
        <v/>
      </c>
      <c r="E256" t="str">
        <f>+IFERROR(VLOOKUP(Fact_Impuestos[[#This Row], [Concepto Anterior]],Conceptos_Impuestos[#All],5,0),"")</f>
        <v/>
      </c>
      <c r="F256" t="str">
        <f>+IFERROR(VLOOKUP(Fact_Impuestos[[#This Row], 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ht="18.75" customHeight="1" x14ac:dyDescent="0.35">
      <c r="C257" s="100" t="str">
        <f>IF(OR(Fact_Impuestos[[#This Row], [Año]]="",Fact_Impuestos[[#This Row], [Mes]]=""),"",DATE(A257,MATCH(B257,{"enero","febrero","marzo","abril","mayo","junio","julio","agosto","septiembre","octubre","noviembre","diciembre"},0)+1,0))</f>
        <v/>
      </c>
      <c r="E257" t="str">
        <f>+IFERROR(VLOOKUP(Fact_Impuestos[[#This Row], [Concepto Anterior]],Conceptos_Impuestos[#All],5,0),"")</f>
        <v/>
      </c>
      <c r="F257" t="str">
        <f>+IFERROR(VLOOKUP(Fact_Impuestos[[#This Row], 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ht="18.75" customHeight="1" x14ac:dyDescent="0.35">
      <c r="C258" s="100" t="str">
        <f>IF(OR(Fact_Impuestos[[#This Row], [Año]]="",Fact_Impuestos[[#This Row], [Mes]]=""),"",DATE(A258,MATCH(B258,{"enero","febrero","marzo","abril","mayo","junio","julio","agosto","septiembre","octubre","noviembre","diciembre"},0)+1,0))</f>
        <v/>
      </c>
      <c r="E258" t="str">
        <f>+IFERROR(VLOOKUP(Fact_Impuestos[[#This Row], [Concepto Anterior]],Conceptos_Impuestos[#All],5,0),"")</f>
        <v/>
      </c>
      <c r="F258" t="str">
        <f>+IFERROR(VLOOKUP(Fact_Impuestos[[#This Row], 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ht="18.75" customHeight="1" x14ac:dyDescent="0.35">
      <c r="C259" s="100" t="str">
        <f>IF(OR(Fact_Impuestos[[#This Row], [Año]]="",Fact_Impuestos[[#This Row], [Mes]]=""),"",DATE(A259,MATCH(B259,{"enero","febrero","marzo","abril","mayo","junio","julio","agosto","septiembre","octubre","noviembre","diciembre"},0)+1,0))</f>
        <v/>
      </c>
      <c r="E259" t="str">
        <f>+IFERROR(VLOOKUP(Fact_Impuestos[[#This Row], [Concepto Anterior]],Conceptos_Impuestos[#All],5,0),"")</f>
        <v/>
      </c>
      <c r="F259" t="str">
        <f>+IFERROR(VLOOKUP(Fact_Impuestos[[#This Row], 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ht="18.75" customHeight="1" x14ac:dyDescent="0.35">
      <c r="C260" s="100" t="str">
        <f>IF(OR(Fact_Impuestos[[#This Row], [Año]]="",Fact_Impuestos[[#This Row], [Mes]]=""),"",DATE(A260,MATCH(B260,{"enero","febrero","marzo","abril","mayo","junio","julio","agosto","septiembre","octubre","noviembre","diciembre"},0)+1,0))</f>
        <v/>
      </c>
      <c r="E260" t="str">
        <f>+IFERROR(VLOOKUP(Fact_Impuestos[[#This Row], [Concepto Anterior]],Conceptos_Impuestos[#All],5,0),"")</f>
        <v/>
      </c>
      <c r="F260" t="str">
        <f>+IFERROR(VLOOKUP(Fact_Impuestos[[#This Row], 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ht="18.75" customHeight="1" x14ac:dyDescent="0.35">
      <c r="C261" s="100" t="str">
        <f>IF(OR(Fact_Impuestos[[#This Row], [Año]]="",Fact_Impuestos[[#This Row], [Mes]]=""),"",DATE(A261,MATCH(B261,{"enero","febrero","marzo","abril","mayo","junio","julio","agosto","septiembre","octubre","noviembre","diciembre"},0)+1,0))</f>
        <v/>
      </c>
      <c r="E261" t="str">
        <f>+IFERROR(VLOOKUP(Fact_Impuestos[[#This Row], [Concepto Anterior]],Conceptos_Impuestos[#All],5,0),"")</f>
        <v/>
      </c>
      <c r="F261" t="str">
        <f>+IFERROR(VLOOKUP(Fact_Impuestos[[#This Row], 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ht="18.75" customHeight="1" x14ac:dyDescent="0.35">
      <c r="C262" s="100" t="str">
        <f>IF(OR(Fact_Impuestos[[#This Row], [Año]]="",Fact_Impuestos[[#This Row], [Mes]]=""),"",DATE(A262,MATCH(B262,{"enero","febrero","marzo","abril","mayo","junio","julio","agosto","septiembre","octubre","noviembre","diciembre"},0)+1,0))</f>
        <v/>
      </c>
      <c r="E262" t="str">
        <f>+IFERROR(VLOOKUP(Fact_Impuestos[[#This Row], [Concepto Anterior]],Conceptos_Impuestos[#All],5,0),"")</f>
        <v/>
      </c>
      <c r="F262" t="str">
        <f>+IFERROR(VLOOKUP(Fact_Impuestos[[#This Row], 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ht="18.75" customHeight="1" x14ac:dyDescent="0.35">
      <c r="C263" s="100" t="str">
        <f>IF(OR(Fact_Impuestos[[#This Row], [Año]]="",Fact_Impuestos[[#This Row], [Mes]]=""),"",DATE(A263,MATCH(B263,{"enero","febrero","marzo","abril","mayo","junio","julio","agosto","septiembre","octubre","noviembre","diciembre"},0)+1,0))</f>
        <v/>
      </c>
      <c r="E263" t="str">
        <f>+IFERROR(VLOOKUP(Fact_Impuestos[[#This Row], [Concepto Anterior]],Conceptos_Impuestos[#All],5,0),"")</f>
        <v/>
      </c>
      <c r="F263" t="str">
        <f>+IFERROR(VLOOKUP(Fact_Impuestos[[#This Row], 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ht="18.75" customHeight="1" x14ac:dyDescent="0.35">
      <c r="C264" s="100" t="str">
        <f>IF(OR(Fact_Impuestos[[#This Row], [Año]]="",Fact_Impuestos[[#This Row], [Mes]]=""),"",DATE(A264,MATCH(B264,{"enero","febrero","marzo","abril","mayo","junio","julio","agosto","septiembre","octubre","noviembre","diciembre"},0)+1,0))</f>
        <v/>
      </c>
      <c r="E264" t="str">
        <f>+IFERROR(VLOOKUP(Fact_Impuestos[[#This Row], [Concepto Anterior]],Conceptos_Impuestos[#All],5,0),"")</f>
        <v/>
      </c>
      <c r="F264" t="str">
        <f>+IFERROR(VLOOKUP(Fact_Impuestos[[#This Row], 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ht="18.75" customHeight="1" x14ac:dyDescent="0.35">
      <c r="C265" s="100" t="str">
        <f>IF(OR(Fact_Impuestos[[#This Row], [Año]]="",Fact_Impuestos[[#This Row], [Mes]]=""),"",DATE(A265,MATCH(B265,{"enero","febrero","marzo","abril","mayo","junio","julio","agosto","septiembre","octubre","noviembre","diciembre"},0)+1,0))</f>
        <v/>
      </c>
      <c r="E265" t="str">
        <f>+IFERROR(VLOOKUP(Fact_Impuestos[[#This Row], [Concepto Anterior]],Conceptos_Impuestos[#All],5,0),"")</f>
        <v/>
      </c>
      <c r="F265" t="str">
        <f>+IFERROR(VLOOKUP(Fact_Impuestos[[#This Row], 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ht="18.75" customHeight="1" x14ac:dyDescent="0.35">
      <c r="C266" s="100" t="str">
        <f>IF(OR(Fact_Impuestos[[#This Row], [Año]]="",Fact_Impuestos[[#This Row], [Mes]]=""),"",DATE(A266,MATCH(B266,{"enero","febrero","marzo","abril","mayo","junio","julio","agosto","septiembre","octubre","noviembre","diciembre"},0)+1,0))</f>
        <v/>
      </c>
      <c r="E266" t="str">
        <f>+IFERROR(VLOOKUP(Fact_Impuestos[[#This Row], [Concepto Anterior]],Conceptos_Impuestos[#All],5,0),"")</f>
        <v/>
      </c>
      <c r="F266" t="str">
        <f>+IFERROR(VLOOKUP(Fact_Impuestos[[#This Row], 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ht="18.75" customHeight="1" x14ac:dyDescent="0.35">
      <c r="C267" s="100" t="str">
        <f>IF(OR(Fact_Impuestos[[#This Row], [Año]]="",Fact_Impuestos[[#This Row], [Mes]]=""),"",DATE(A267,MATCH(B267,{"enero","febrero","marzo","abril","mayo","junio","julio","agosto","septiembre","octubre","noviembre","diciembre"},0)+1,0))</f>
        <v/>
      </c>
      <c r="E267" t="str">
        <f>+IFERROR(VLOOKUP(Fact_Impuestos[[#This Row], [Concepto Anterior]],Conceptos_Impuestos[#All],5,0),"")</f>
        <v/>
      </c>
      <c r="F267" t="str">
        <f>+IFERROR(VLOOKUP(Fact_Impuestos[[#This Row], 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ht="18.75" customHeight="1" x14ac:dyDescent="0.35">
      <c r="C268" s="100" t="str">
        <f>IF(OR(Fact_Impuestos[[#This Row], [Año]]="",Fact_Impuestos[[#This Row], [Mes]]=""),"",DATE(A268,MATCH(B268,{"enero","febrero","marzo","abril","mayo","junio","julio","agosto","septiembre","octubre","noviembre","diciembre"},0)+1,0))</f>
        <v/>
      </c>
      <c r="E268" t="str">
        <f>+IFERROR(VLOOKUP(Fact_Impuestos[[#This Row], [Concepto Anterior]],Conceptos_Impuestos[#All],5,0),"")</f>
        <v/>
      </c>
      <c r="F268" t="str">
        <f>+IFERROR(VLOOKUP(Fact_Impuestos[[#This Row], 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ht="18.75" customHeight="1" x14ac:dyDescent="0.35">
      <c r="C269" s="100" t="str">
        <f>IF(OR(Fact_Impuestos[[#This Row], [Año]]="",Fact_Impuestos[[#This Row], [Mes]]=""),"",DATE(A269,MATCH(B269,{"enero","febrero","marzo","abril","mayo","junio","julio","agosto","septiembre","octubre","noviembre","diciembre"},0)+1,0))</f>
        <v/>
      </c>
      <c r="E269" t="str">
        <f>+IFERROR(VLOOKUP(Fact_Impuestos[[#This Row], [Concepto Anterior]],Conceptos_Impuestos[#All],5,0),"")</f>
        <v/>
      </c>
      <c r="F269" t="str">
        <f>+IFERROR(VLOOKUP(Fact_Impuestos[[#This Row], 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ht="18.75" customHeight="1" x14ac:dyDescent="0.35">
      <c r="C270" s="100" t="str">
        <f>IF(OR(Fact_Impuestos[[#This Row], [Año]]="",Fact_Impuestos[[#This Row], [Mes]]=""),"",DATE(A270,MATCH(B270,{"enero","febrero","marzo","abril","mayo","junio","julio","agosto","septiembre","octubre","noviembre","diciembre"},0)+1,0))</f>
        <v/>
      </c>
      <c r="E270" t="str">
        <f>+IFERROR(VLOOKUP(Fact_Impuestos[[#This Row], [Concepto Anterior]],Conceptos_Impuestos[#All],5,0),"")</f>
        <v/>
      </c>
      <c r="F270" t="str">
        <f>+IFERROR(VLOOKUP(Fact_Impuestos[[#This Row], 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ht="18.75" customHeight="1" x14ac:dyDescent="0.35">
      <c r="C271" s="100" t="str">
        <f>IF(OR(Fact_Impuestos[[#This Row], [Año]]="",Fact_Impuestos[[#This Row], [Mes]]=""),"",DATE(A271,MATCH(B271,{"enero","febrero","marzo","abril","mayo","junio","julio","agosto","septiembre","octubre","noviembre","diciembre"},0)+1,0))</f>
        <v/>
      </c>
      <c r="E271" t="str">
        <f>+IFERROR(VLOOKUP(Fact_Impuestos[[#This Row], [Concepto Anterior]],Conceptos_Impuestos[#All],5,0),"")</f>
        <v/>
      </c>
      <c r="F271" t="str">
        <f>+IFERROR(VLOOKUP(Fact_Impuestos[[#This Row], 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ht="18.75" customHeight="1" x14ac:dyDescent="0.35">
      <c r="C272" s="100" t="str">
        <f>IF(OR(Fact_Impuestos[[#This Row], [Año]]="",Fact_Impuestos[[#This Row], [Mes]]=""),"",DATE(A272,MATCH(B272,{"enero","febrero","marzo","abril","mayo","junio","julio","agosto","septiembre","octubre","noviembre","diciembre"},0)+1,0))</f>
        <v/>
      </c>
      <c r="E272" t="str">
        <f>+IFERROR(VLOOKUP(Fact_Impuestos[[#This Row], [Concepto Anterior]],Conceptos_Impuestos[#All],5,0),"")</f>
        <v/>
      </c>
      <c r="F272" t="str">
        <f>+IFERROR(VLOOKUP(Fact_Impuestos[[#This Row], 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ht="18.75" customHeight="1" x14ac:dyDescent="0.35">
      <c r="C273" s="100" t="str">
        <f>IF(OR(Fact_Impuestos[[#This Row], [Año]]="",Fact_Impuestos[[#This Row], [Mes]]=""),"",DATE(A273,MATCH(B273,{"enero","febrero","marzo","abril","mayo","junio","julio","agosto","septiembre","octubre","noviembre","diciembre"},0)+1,0))</f>
        <v/>
      </c>
      <c r="E273" t="str">
        <f>+IFERROR(VLOOKUP(Fact_Impuestos[[#This Row], [Concepto Anterior]],Conceptos_Impuestos[#All],5,0),"")</f>
        <v/>
      </c>
      <c r="F273" t="str">
        <f>+IFERROR(VLOOKUP(Fact_Impuestos[[#This Row], 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ht="18.75" customHeight="1" x14ac:dyDescent="0.35">
      <c r="C274" s="100" t="str">
        <f>IF(OR(Fact_Impuestos[[#This Row], [Año]]="",Fact_Impuestos[[#This Row], [Mes]]=""),"",DATE(A274,MATCH(B274,{"enero","febrero","marzo","abril","mayo","junio","julio","agosto","septiembre","octubre","noviembre","diciembre"},0)+1,0))</f>
        <v/>
      </c>
      <c r="E274" t="str">
        <f>+IFERROR(VLOOKUP(Fact_Impuestos[[#This Row], [Concepto Anterior]],Conceptos_Impuestos[#All],5,0),"")</f>
        <v/>
      </c>
      <c r="F274" t="str">
        <f>+IFERROR(VLOOKUP(Fact_Impuestos[[#This Row], 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ht="18.75" customHeight="1" x14ac:dyDescent="0.35">
      <c r="C275" s="100" t="str">
        <f>IF(OR(Fact_Impuestos[[#This Row], [Año]]="",Fact_Impuestos[[#This Row], [Mes]]=""),"",DATE(A275,MATCH(B275,{"enero","febrero","marzo","abril","mayo","junio","julio","agosto","septiembre","octubre","noviembre","diciembre"},0)+1,0))</f>
        <v/>
      </c>
      <c r="E275" t="str">
        <f>+IFERROR(VLOOKUP(Fact_Impuestos[[#This Row], [Concepto Anterior]],Conceptos_Impuestos[#All],5,0),"")</f>
        <v/>
      </c>
      <c r="F275" t="str">
        <f>+IFERROR(VLOOKUP(Fact_Impuestos[[#This Row], 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ht="18.75" customHeight="1" x14ac:dyDescent="0.35">
      <c r="C276" s="100" t="str">
        <f>IF(OR(Fact_Impuestos[[#This Row], [Año]]="",Fact_Impuestos[[#This Row], [Mes]]=""),"",DATE(A276,MATCH(B276,{"enero","febrero","marzo","abril","mayo","junio","julio","agosto","septiembre","octubre","noviembre","diciembre"},0)+1,0))</f>
        <v/>
      </c>
      <c r="E276" t="str">
        <f>+IFERROR(VLOOKUP(Fact_Impuestos[[#This Row], [Concepto Anterior]],Conceptos_Impuestos[#All],5,0),"")</f>
        <v/>
      </c>
      <c r="F276" t="str">
        <f>+IFERROR(VLOOKUP(Fact_Impuestos[[#This Row], 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ht="18.75" customHeight="1" x14ac:dyDescent="0.35">
      <c r="C277" s="100" t="str">
        <f>IF(OR(Fact_Impuestos[[#This Row], [Año]]="",Fact_Impuestos[[#This Row], [Mes]]=""),"",DATE(A277,MATCH(B277,{"enero","febrero","marzo","abril","mayo","junio","julio","agosto","septiembre","octubre","noviembre","diciembre"},0)+1,0))</f>
        <v/>
      </c>
      <c r="E277" t="str">
        <f>+IFERROR(VLOOKUP(Fact_Impuestos[[#This Row], [Concepto Anterior]],Conceptos_Impuestos[#All],5,0),"")</f>
        <v/>
      </c>
      <c r="F277" t="str">
        <f>+IFERROR(VLOOKUP(Fact_Impuestos[[#This Row], 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ht="18.75" customHeight="1" x14ac:dyDescent="0.35">
      <c r="C278" s="100" t="str">
        <f>IF(OR(Fact_Impuestos[[#This Row], [Año]]="",Fact_Impuestos[[#This Row], [Mes]]=""),"",DATE(A278,MATCH(B278,{"enero","febrero","marzo","abril","mayo","junio","julio","agosto","septiembre","octubre","noviembre","diciembre"},0)+1,0))</f>
        <v/>
      </c>
      <c r="E278" t="str">
        <f>+IFERROR(VLOOKUP(Fact_Impuestos[[#This Row], [Concepto Anterior]],Conceptos_Impuestos[#All],5,0),"")</f>
        <v/>
      </c>
      <c r="F278" t="str">
        <f>+IFERROR(VLOOKUP(Fact_Impuestos[[#This Row], 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ht="18.75" customHeight="1" x14ac:dyDescent="0.35">
      <c r="C279" s="100" t="str">
        <f>IF(OR(Fact_Impuestos[[#This Row], [Año]]="",Fact_Impuestos[[#This Row], [Mes]]=""),"",DATE(A279,MATCH(B279,{"enero","febrero","marzo","abril","mayo","junio","julio","agosto","septiembre","octubre","noviembre","diciembre"},0)+1,0))</f>
        <v/>
      </c>
      <c r="E279" t="str">
        <f>+IFERROR(VLOOKUP(Fact_Impuestos[[#This Row], [Concepto Anterior]],Conceptos_Impuestos[#All],5,0),"")</f>
        <v/>
      </c>
      <c r="F279" t="str">
        <f>+IFERROR(VLOOKUP(Fact_Impuestos[[#This Row], 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ht="18.75" customHeight="1" x14ac:dyDescent="0.35">
      <c r="C280" s="100" t="str">
        <f>IF(OR(Fact_Impuestos[[#This Row], [Año]]="",Fact_Impuestos[[#This Row], [Mes]]=""),"",DATE(A280,MATCH(B280,{"enero","febrero","marzo","abril","mayo","junio","julio","agosto","septiembre","octubre","noviembre","diciembre"},0)+1,0))</f>
        <v/>
      </c>
      <c r="E280" t="str">
        <f>+IFERROR(VLOOKUP(Fact_Impuestos[[#This Row], [Concepto Anterior]],Conceptos_Impuestos[#All],5,0),"")</f>
        <v/>
      </c>
      <c r="F280" t="str">
        <f>+IFERROR(VLOOKUP(Fact_Impuestos[[#This Row], 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ht="18.75" customHeight="1" x14ac:dyDescent="0.35">
      <c r="C281" s="100" t="str">
        <f>IF(OR(Fact_Impuestos[[#This Row], [Año]]="",Fact_Impuestos[[#This Row], [Mes]]=""),"",DATE(A281,MATCH(B281,{"enero","febrero","marzo","abril","mayo","junio","julio","agosto","septiembre","octubre","noviembre","diciembre"},0)+1,0))</f>
        <v/>
      </c>
      <c r="E281" t="str">
        <f>+IFERROR(VLOOKUP(Fact_Impuestos[[#This Row], [Concepto Anterior]],Conceptos_Impuestos[#All],5,0),"")</f>
        <v/>
      </c>
      <c r="F281" t="str">
        <f>+IFERROR(VLOOKUP(Fact_Impuestos[[#This Row], 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ht="18.75" customHeight="1" x14ac:dyDescent="0.35">
      <c r="C282" s="100" t="str">
        <f>IF(OR(Fact_Impuestos[[#This Row], [Año]]="",Fact_Impuestos[[#This Row], [Mes]]=""),"",DATE(A282,MATCH(B282,{"enero","febrero","marzo","abril","mayo","junio","julio","agosto","septiembre","octubre","noviembre","diciembre"},0)+1,0))</f>
        <v/>
      </c>
      <c r="E282" t="str">
        <f>+IFERROR(VLOOKUP(Fact_Impuestos[[#This Row], [Concepto Anterior]],Conceptos_Impuestos[#All],5,0),"")</f>
        <v/>
      </c>
      <c r="F282" t="str">
        <f>+IFERROR(VLOOKUP(Fact_Impuestos[[#This Row], 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ht="18.75" customHeight="1" x14ac:dyDescent="0.35">
      <c r="C283" s="100" t="str">
        <f>IF(OR(Fact_Impuestos[[#This Row], [Año]]="",Fact_Impuestos[[#This Row], [Mes]]=""),"",DATE(A283,MATCH(B283,{"enero","febrero","marzo","abril","mayo","junio","julio","agosto","septiembre","octubre","noviembre","diciembre"},0)+1,0))</f>
        <v/>
      </c>
      <c r="E283" t="str">
        <f>+IFERROR(VLOOKUP(Fact_Impuestos[[#This Row], [Concepto Anterior]],Conceptos_Impuestos[#All],5,0),"")</f>
        <v/>
      </c>
      <c r="F283" t="str">
        <f>+IFERROR(VLOOKUP(Fact_Impuestos[[#This Row], 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ht="18.75" customHeight="1" x14ac:dyDescent="0.35">
      <c r="C284" s="100" t="str">
        <f>IF(OR(Fact_Impuestos[[#This Row], [Año]]="",Fact_Impuestos[[#This Row], [Mes]]=""),"",DATE(A284,MATCH(B284,{"enero","febrero","marzo","abril","mayo","junio","julio","agosto","septiembre","octubre","noviembre","diciembre"},0)+1,0))</f>
        <v/>
      </c>
      <c r="E284" t="str">
        <f>+IFERROR(VLOOKUP(Fact_Impuestos[[#This Row], [Concepto Anterior]],Conceptos_Impuestos[#All],5,0),"")</f>
        <v/>
      </c>
      <c r="F284" t="str">
        <f>+IFERROR(VLOOKUP(Fact_Impuestos[[#This Row], 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ht="18.75" customHeight="1" x14ac:dyDescent="0.35">
      <c r="C285" s="100" t="str">
        <f>IF(OR(Fact_Impuestos[[#This Row], [Año]]="",Fact_Impuestos[[#This Row], [Mes]]=""),"",DATE(A285,MATCH(B285,{"enero","febrero","marzo","abril","mayo","junio","julio","agosto","septiembre","octubre","noviembre","diciembre"},0)+1,0))</f>
        <v/>
      </c>
      <c r="E285" t="str">
        <f>+IFERROR(VLOOKUP(Fact_Impuestos[[#This Row], [Concepto Anterior]],Conceptos_Impuestos[#All],5,0),"")</f>
        <v/>
      </c>
      <c r="F285" t="str">
        <f>+IFERROR(VLOOKUP(Fact_Impuestos[[#This Row], 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ht="18.75" customHeight="1" x14ac:dyDescent="0.35">
      <c r="C286" s="100" t="str">
        <f>IF(OR(Fact_Impuestos[[#This Row], [Año]]="",Fact_Impuestos[[#This Row], [Mes]]=""),"",DATE(A286,MATCH(B286,{"enero","febrero","marzo","abril","mayo","junio","julio","agosto","septiembre","octubre","noviembre","diciembre"},0)+1,0))</f>
        <v/>
      </c>
      <c r="E286" t="str">
        <f>+IFERROR(VLOOKUP(Fact_Impuestos[[#This Row], [Concepto Anterior]],Conceptos_Impuestos[#All],5,0),"")</f>
        <v/>
      </c>
      <c r="F286" t="str">
        <f>+IFERROR(VLOOKUP(Fact_Impuestos[[#This Row], 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ht="18.75" customHeight="1" x14ac:dyDescent="0.35">
      <c r="C287" s="100" t="str">
        <f>IF(OR(Fact_Impuestos[[#This Row], [Año]]="",Fact_Impuestos[[#This Row], [Mes]]=""),"",DATE(A287,MATCH(B287,{"enero","febrero","marzo","abril","mayo","junio","julio","agosto","septiembre","octubre","noviembre","diciembre"},0)+1,0))</f>
        <v/>
      </c>
      <c r="E287" t="str">
        <f>+IFERROR(VLOOKUP(Fact_Impuestos[[#This Row], [Concepto Anterior]],Conceptos_Impuestos[#All],5,0),"")</f>
        <v/>
      </c>
      <c r="F287" t="str">
        <f>+IFERROR(VLOOKUP(Fact_Impuestos[[#This Row], 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ht="18.75" customHeight="1" x14ac:dyDescent="0.35">
      <c r="C288" s="100" t="str">
        <f>IF(OR(Fact_Impuestos[[#This Row], [Año]]="",Fact_Impuestos[[#This Row], [Mes]]=""),"",DATE(A288,MATCH(B288,{"enero","febrero","marzo","abril","mayo","junio","julio","agosto","septiembre","octubre","noviembre","diciembre"},0)+1,0))</f>
        <v/>
      </c>
      <c r="E288" t="str">
        <f>+IFERROR(VLOOKUP(Fact_Impuestos[[#This Row], [Concepto Anterior]],Conceptos_Impuestos[#All],5,0),"")</f>
        <v/>
      </c>
      <c r="F288" t="str">
        <f>+IFERROR(VLOOKUP(Fact_Impuestos[[#This Row], 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ht="18.75" customHeight="1" x14ac:dyDescent="0.35">
      <c r="C289" s="100" t="str">
        <f>IF(OR(Fact_Impuestos[[#This Row], [Año]]="",Fact_Impuestos[[#This Row], [Mes]]=""),"",DATE(A289,MATCH(B289,{"enero","febrero","marzo","abril","mayo","junio","julio","agosto","septiembre","octubre","noviembre","diciembre"},0)+1,0))</f>
        <v/>
      </c>
      <c r="E289" t="str">
        <f>+IFERROR(VLOOKUP(Fact_Impuestos[[#This Row], [Concepto Anterior]],Conceptos_Impuestos[#All],5,0),"")</f>
        <v/>
      </c>
      <c r="F289" t="str">
        <f>+IFERROR(VLOOKUP(Fact_Impuestos[[#This Row], 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ht="18.75" customHeight="1" x14ac:dyDescent="0.35">
      <c r="C290" s="100" t="str">
        <f>IF(OR(Fact_Impuestos[[#This Row], [Año]]="",Fact_Impuestos[[#This Row], [Mes]]=""),"",DATE(A290,MATCH(B290,{"enero","febrero","marzo","abril","mayo","junio","julio","agosto","septiembre","octubre","noviembre","diciembre"},0)+1,0))</f>
        <v/>
      </c>
      <c r="E290" t="str">
        <f>+IFERROR(VLOOKUP(Fact_Impuestos[[#This Row], [Concepto Anterior]],Conceptos_Impuestos[#All],5,0),"")</f>
        <v/>
      </c>
      <c r="F290" t="str">
        <f>+IFERROR(VLOOKUP(Fact_Impuestos[[#This Row], 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ht="18.75" customHeight="1" x14ac:dyDescent="0.35">
      <c r="C291" s="100" t="str">
        <f>IF(OR(Fact_Impuestos[[#This Row], [Año]]="",Fact_Impuestos[[#This Row], [Mes]]=""),"",DATE(A291,MATCH(B291,{"enero","febrero","marzo","abril","mayo","junio","julio","agosto","septiembre","octubre","noviembre","diciembre"},0)+1,0))</f>
        <v/>
      </c>
      <c r="E291" t="str">
        <f>+IFERROR(VLOOKUP(Fact_Impuestos[[#This Row], [Concepto Anterior]],Conceptos_Impuestos[#All],5,0),"")</f>
        <v/>
      </c>
      <c r="F291" t="str">
        <f>+IFERROR(VLOOKUP(Fact_Impuestos[[#This Row], 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ht="18.75" customHeight="1" x14ac:dyDescent="0.35">
      <c r="C292" s="100" t="str">
        <f>IF(OR(Fact_Impuestos[[#This Row], [Año]]="",Fact_Impuestos[[#This Row], [Mes]]=""),"",DATE(A292,MATCH(B292,{"enero","febrero","marzo","abril","mayo","junio","julio","agosto","septiembre","octubre","noviembre","diciembre"},0)+1,0))</f>
        <v/>
      </c>
      <c r="E292" t="str">
        <f>+IFERROR(VLOOKUP(Fact_Impuestos[[#This Row], [Concepto Anterior]],Conceptos_Impuestos[#All],5,0),"")</f>
        <v/>
      </c>
      <c r="F292" t="str">
        <f>+IFERROR(VLOOKUP(Fact_Impuestos[[#This Row], 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ht="18.75" customHeight="1" x14ac:dyDescent="0.35">
      <c r="C293" s="100" t="str">
        <f>IF(OR(Fact_Impuestos[[#This Row], [Año]]="",Fact_Impuestos[[#This Row], [Mes]]=""),"",DATE(A293,MATCH(B293,{"enero","febrero","marzo","abril","mayo","junio","julio","agosto","septiembre","octubre","noviembre","diciembre"},0)+1,0))</f>
        <v/>
      </c>
      <c r="E293" t="str">
        <f>+IFERROR(VLOOKUP(Fact_Impuestos[[#This Row], [Concepto Anterior]],Conceptos_Impuestos[#All],5,0),"")</f>
        <v/>
      </c>
      <c r="F293" t="str">
        <f>+IFERROR(VLOOKUP(Fact_Impuestos[[#This Row], 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ht="18.75" customHeight="1" x14ac:dyDescent="0.35">
      <c r="C294" s="100" t="str">
        <f>IF(OR(Fact_Impuestos[[#This Row], [Año]]="",Fact_Impuestos[[#This Row], [Mes]]=""),"",DATE(A294,MATCH(B294,{"enero","febrero","marzo","abril","mayo","junio","julio","agosto","septiembre","octubre","noviembre","diciembre"},0)+1,0))</f>
        <v/>
      </c>
      <c r="E294" t="str">
        <f>+IFERROR(VLOOKUP(Fact_Impuestos[[#This Row], [Concepto Anterior]],Conceptos_Impuestos[#All],5,0),"")</f>
        <v/>
      </c>
      <c r="F294" t="str">
        <f>+IFERROR(VLOOKUP(Fact_Impuestos[[#This Row], 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ht="18.75" customHeight="1" x14ac:dyDescent="0.35">
      <c r="C295" s="100" t="str">
        <f>IF(OR(Fact_Impuestos[[#This Row], [Año]]="",Fact_Impuestos[[#This Row], [Mes]]=""),"",DATE(A295,MATCH(B295,{"enero","febrero","marzo","abril","mayo","junio","julio","agosto","septiembre","octubre","noviembre","diciembre"},0)+1,0))</f>
        <v/>
      </c>
      <c r="E295" t="str">
        <f>+IFERROR(VLOOKUP(Fact_Impuestos[[#This Row], [Concepto Anterior]],Conceptos_Impuestos[#All],5,0),"")</f>
        <v/>
      </c>
      <c r="F295" t="str">
        <f>+IFERROR(VLOOKUP(Fact_Impuestos[[#This Row], 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ht="18.75" customHeight="1" x14ac:dyDescent="0.35">
      <c r="C296" s="100" t="str">
        <f>IF(OR(Fact_Impuestos[[#This Row], [Año]]="",Fact_Impuestos[[#This Row], [Mes]]=""),"",DATE(A296,MATCH(B296,{"enero","febrero","marzo","abril","mayo","junio","julio","agosto","septiembre","octubre","noviembre","diciembre"},0)+1,0))</f>
        <v/>
      </c>
      <c r="E296" t="str">
        <f>+IFERROR(VLOOKUP(Fact_Impuestos[[#This Row], [Concepto Anterior]],Conceptos_Impuestos[#All],5,0),"")</f>
        <v/>
      </c>
      <c r="F296" t="str">
        <f>+IFERROR(VLOOKUP(Fact_Impuestos[[#This Row], 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ht="18.75" customHeight="1" x14ac:dyDescent="0.35">
      <c r="C297" s="100" t="str">
        <f>IF(OR(Fact_Impuestos[[#This Row], [Año]]="",Fact_Impuestos[[#This Row], [Mes]]=""),"",DATE(A297,MATCH(B297,{"enero","febrero","marzo","abril","mayo","junio","julio","agosto","septiembre","octubre","noviembre","diciembre"},0)+1,0))</f>
        <v/>
      </c>
      <c r="E297" t="str">
        <f>+IFERROR(VLOOKUP(Fact_Impuestos[[#This Row], [Concepto Anterior]],Conceptos_Impuestos[#All],5,0),"")</f>
        <v/>
      </c>
      <c r="F297" t="str">
        <f>+IFERROR(VLOOKUP(Fact_Impuestos[[#This Row], 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ht="18.75" customHeight="1" x14ac:dyDescent="0.35">
      <c r="C298" s="100" t="str">
        <f>IF(OR(Fact_Impuestos[[#This Row], [Año]]="",Fact_Impuestos[[#This Row], [Mes]]=""),"",DATE(A298,MATCH(B298,{"enero","febrero","marzo","abril","mayo","junio","julio","agosto","septiembre","octubre","noviembre","diciembre"},0)+1,0))</f>
        <v/>
      </c>
      <c r="E298" t="str">
        <f>+IFERROR(VLOOKUP(Fact_Impuestos[[#This Row], [Concepto Anterior]],Conceptos_Impuestos[#All],5,0),"")</f>
        <v/>
      </c>
      <c r="F298" t="str">
        <f>+IFERROR(VLOOKUP(Fact_Impuestos[[#This Row], 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ht="18.75" customHeight="1" x14ac:dyDescent="0.35">
      <c r="C299" s="100" t="str">
        <f>IF(OR(Fact_Impuestos[[#This Row], [Año]]="",Fact_Impuestos[[#This Row], [Mes]]=""),"",DATE(A299,MATCH(B299,{"enero","febrero","marzo","abril","mayo","junio","julio","agosto","septiembre","octubre","noviembre","diciembre"},0)+1,0))</f>
        <v/>
      </c>
      <c r="E299" t="str">
        <f>+IFERROR(VLOOKUP(Fact_Impuestos[[#This Row], [Concepto Anterior]],Conceptos_Impuestos[#All],5,0),"")</f>
        <v/>
      </c>
      <c r="F299" t="str">
        <f>+IFERROR(VLOOKUP(Fact_Impuestos[[#This Row], 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ht="18.75" customHeight="1" x14ac:dyDescent="0.35">
      <c r="C300" s="100" t="str">
        <f>IF(OR(Fact_Impuestos[[#This Row], [Año]]="",Fact_Impuestos[[#This Row], [Mes]]=""),"",DATE(A300,MATCH(B300,{"enero","febrero","marzo","abril","mayo","junio","julio","agosto","septiembre","octubre","noviembre","diciembre"},0)+1,0))</f>
        <v/>
      </c>
      <c r="E300" t="str">
        <f>+IFERROR(VLOOKUP(Fact_Impuestos[[#This Row], [Concepto Anterior]],Conceptos_Impuestos[#All],5,0),"")</f>
        <v/>
      </c>
      <c r="F300" t="str">
        <f>+IFERROR(VLOOKUP(Fact_Impuestos[[#This Row], 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ht="18.75" customHeight="1" x14ac:dyDescent="0.35">
      <c r="C301" s="100" t="str">
        <f>IF(OR(Fact_Impuestos[[#This Row], [Año]]="",Fact_Impuestos[[#This Row], [Mes]]=""),"",DATE(A301,MATCH(B301,{"enero","febrero","marzo","abril","mayo","junio","julio","agosto","septiembre","octubre","noviembre","diciembre"},0)+1,0))</f>
        <v/>
      </c>
      <c r="E301" t="str">
        <f>+IFERROR(VLOOKUP(Fact_Impuestos[[#This Row], [Concepto Anterior]],Conceptos_Impuestos[#All],5,0),"")</f>
        <v/>
      </c>
      <c r="F301" t="str">
        <f>+IFERROR(VLOOKUP(Fact_Impuestos[[#This Row], 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ht="18.75" customHeight="1" x14ac:dyDescent="0.35">
      <c r="C302" s="100" t="str">
        <f>IF(OR(Fact_Impuestos[[#This Row], [Año]]="",Fact_Impuestos[[#This Row], [Mes]]=""),"",DATE(A302,MATCH(B302,{"enero","febrero","marzo","abril","mayo","junio","julio","agosto","septiembre","octubre","noviembre","diciembre"},0)+1,0))</f>
        <v/>
      </c>
      <c r="E302" t="str">
        <f>+IFERROR(VLOOKUP(Fact_Impuestos[[#This Row], [Concepto Anterior]],Conceptos_Impuestos[#All],5,0),"")</f>
        <v/>
      </c>
      <c r="F302" t="str">
        <f>+IFERROR(VLOOKUP(Fact_Impuestos[[#This Row], 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ht="18.75" customHeight="1" x14ac:dyDescent="0.35">
      <c r="C303" s="100" t="str">
        <f>IF(OR(Fact_Impuestos[[#This Row], [Año]]="",Fact_Impuestos[[#This Row], [Mes]]=""),"",DATE(A303,MATCH(B303,{"enero","febrero","marzo","abril","mayo","junio","julio","agosto","septiembre","octubre","noviembre","diciembre"},0)+1,0))</f>
        <v/>
      </c>
      <c r="E303" t="str">
        <f>+IFERROR(VLOOKUP(Fact_Impuestos[[#This Row], [Concepto Anterior]],Conceptos_Impuestos[#All],5,0),"")</f>
        <v/>
      </c>
      <c r="F303" t="str">
        <f>+IFERROR(VLOOKUP(Fact_Impuestos[[#This Row], 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ht="18.75" customHeight="1" x14ac:dyDescent="0.35">
      <c r="C304" s="100" t="str">
        <f>IF(OR(Fact_Impuestos[[#This Row], [Año]]="",Fact_Impuestos[[#This Row], [Mes]]=""),"",DATE(A304,MATCH(B304,{"enero","febrero","marzo","abril","mayo","junio","julio","agosto","septiembre","octubre","noviembre","diciembre"},0)+1,0))</f>
        <v/>
      </c>
      <c r="E304" t="str">
        <f>+IFERROR(VLOOKUP(Fact_Impuestos[[#This Row], [Concepto Anterior]],Conceptos_Impuestos[#All],5,0),"")</f>
        <v/>
      </c>
      <c r="F304" t="str">
        <f>+IFERROR(VLOOKUP(Fact_Impuestos[[#This Row], 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ht="18.75" customHeight="1" x14ac:dyDescent="0.35">
      <c r="C305" s="100" t="str">
        <f>IF(OR(Fact_Impuestos[[#This Row], [Año]]="",Fact_Impuestos[[#This Row], [Mes]]=""),"",DATE(A305,MATCH(B305,{"enero","febrero","marzo","abril","mayo","junio","julio","agosto","septiembre","octubre","noviembre","diciembre"},0)+1,0))</f>
        <v/>
      </c>
      <c r="E305" t="str">
        <f>+IFERROR(VLOOKUP(Fact_Impuestos[[#This Row], [Concepto Anterior]],Conceptos_Impuestos[#All],5,0),"")</f>
        <v/>
      </c>
      <c r="F305" t="str">
        <f>+IFERROR(VLOOKUP(Fact_Impuestos[[#This Row], 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ht="18.75" customHeight="1" x14ac:dyDescent="0.35">
      <c r="C306" s="100" t="str">
        <f>IF(OR(Fact_Impuestos[[#This Row], [Año]]="",Fact_Impuestos[[#This Row], [Mes]]=""),"",DATE(A306,MATCH(B306,{"enero","febrero","marzo","abril","mayo","junio","julio","agosto","septiembre","octubre","noviembre","diciembre"},0)+1,0))</f>
        <v/>
      </c>
      <c r="E306" t="str">
        <f>+IFERROR(VLOOKUP(Fact_Impuestos[[#This Row], [Concepto Anterior]],Conceptos_Impuestos[#All],5,0),"")</f>
        <v/>
      </c>
      <c r="F306" t="str">
        <f>+IFERROR(VLOOKUP(Fact_Impuestos[[#This Row], 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ht="18.75" customHeight="1" x14ac:dyDescent="0.35">
      <c r="C307" s="100" t="str">
        <f>IF(OR(Fact_Impuestos[[#This Row], [Año]]="",Fact_Impuestos[[#This Row], [Mes]]=""),"",DATE(A307,MATCH(B307,{"enero","febrero","marzo","abril","mayo","junio","julio","agosto","septiembre","octubre","noviembre","diciembre"},0)+1,0))</f>
        <v/>
      </c>
      <c r="E307" t="str">
        <f>+IFERROR(VLOOKUP(Fact_Impuestos[[#This Row], [Concepto Anterior]],Conceptos_Impuestos[#All],5,0),"")</f>
        <v/>
      </c>
      <c r="F307" t="str">
        <f>+IFERROR(VLOOKUP(Fact_Impuestos[[#This Row], 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ht="18.75" customHeight="1" x14ac:dyDescent="0.35">
      <c r="C308" s="100" t="str">
        <f>IF(OR(Fact_Impuestos[[#This Row], [Año]]="",Fact_Impuestos[[#This Row], [Mes]]=""),"",DATE(A308,MATCH(B308,{"enero","febrero","marzo","abril","mayo","junio","julio","agosto","septiembre","octubre","noviembre","diciembre"},0)+1,0))</f>
        <v/>
      </c>
      <c r="E308" t="str">
        <f>+IFERROR(VLOOKUP(Fact_Impuestos[[#This Row], [Concepto Anterior]],Conceptos_Impuestos[#All],5,0),"")</f>
        <v/>
      </c>
      <c r="F308" t="str">
        <f>+IFERROR(VLOOKUP(Fact_Impuestos[[#This Row], 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ht="18.75" customHeight="1" x14ac:dyDescent="0.35">
      <c r="C309" s="100" t="str">
        <f>IF(OR(Fact_Impuestos[[#This Row], [Año]]="",Fact_Impuestos[[#This Row], [Mes]]=""),"",DATE(A309,MATCH(B309,{"enero","febrero","marzo","abril","mayo","junio","julio","agosto","septiembre","octubre","noviembre","diciembre"},0)+1,0))</f>
        <v/>
      </c>
      <c r="E309" t="str">
        <f>+IFERROR(VLOOKUP(Fact_Impuestos[[#This Row], [Concepto Anterior]],Conceptos_Impuestos[#All],5,0),"")</f>
        <v/>
      </c>
      <c r="F309" t="str">
        <f>+IFERROR(VLOOKUP(Fact_Impuestos[[#This Row], 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ht="18.75" customHeight="1" x14ac:dyDescent="0.35">
      <c r="C310" s="100" t="str">
        <f>IF(OR(Fact_Impuestos[[#This Row], [Año]]="",Fact_Impuestos[[#This Row], [Mes]]=""),"",DATE(A310,MATCH(B310,{"enero","febrero","marzo","abril","mayo","junio","julio","agosto","septiembre","octubre","noviembre","diciembre"},0)+1,0))</f>
        <v/>
      </c>
      <c r="E310" t="str">
        <f>+IFERROR(VLOOKUP(Fact_Impuestos[[#This Row], [Concepto Anterior]],Conceptos_Impuestos[#All],5,0),"")</f>
        <v/>
      </c>
      <c r="F310" t="str">
        <f>+IFERROR(VLOOKUP(Fact_Impuestos[[#This Row], 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ht="18.75" customHeight="1" x14ac:dyDescent="0.35">
      <c r="C311" s="100" t="str">
        <f>IF(OR(Fact_Impuestos[[#This Row], [Año]]="",Fact_Impuestos[[#This Row], [Mes]]=""),"",DATE(A311,MATCH(B311,{"enero","febrero","marzo","abril","mayo","junio","julio","agosto","septiembre","octubre","noviembre","diciembre"},0)+1,0))</f>
        <v/>
      </c>
      <c r="E311" t="str">
        <f>+IFERROR(VLOOKUP(Fact_Impuestos[[#This Row], [Concepto Anterior]],Conceptos_Impuestos[#All],5,0),"")</f>
        <v/>
      </c>
      <c r="F311" t="str">
        <f>+IFERROR(VLOOKUP(Fact_Impuestos[[#This Row], 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ht="18.75" customHeight="1" x14ac:dyDescent="0.35">
      <c r="C312" s="100" t="str">
        <f>IF(OR(Fact_Impuestos[[#This Row], [Año]]="",Fact_Impuestos[[#This Row], [Mes]]=""),"",DATE(A312,MATCH(B312,{"enero","febrero","marzo","abril","mayo","junio","julio","agosto","septiembre","octubre","noviembre","diciembre"},0)+1,0))</f>
        <v/>
      </c>
      <c r="E312" t="str">
        <f>+IFERROR(VLOOKUP(Fact_Impuestos[[#This Row], [Concepto Anterior]],Conceptos_Impuestos[#All],5,0),"")</f>
        <v/>
      </c>
      <c r="F312" t="str">
        <f>+IFERROR(VLOOKUP(Fact_Impuestos[[#This Row], 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ht="18.75" customHeight="1" x14ac:dyDescent="0.35">
      <c r="C313" s="100" t="str">
        <f>IF(OR(Fact_Impuestos[[#This Row], [Año]]="",Fact_Impuestos[[#This Row], [Mes]]=""),"",DATE(A313,MATCH(B313,{"enero","febrero","marzo","abril","mayo","junio","julio","agosto","septiembre","octubre","noviembre","diciembre"},0)+1,0))</f>
        <v/>
      </c>
      <c r="E313" t="str">
        <f>+IFERROR(VLOOKUP(Fact_Impuestos[[#This Row], [Concepto Anterior]],Conceptos_Impuestos[#All],5,0),"")</f>
        <v/>
      </c>
      <c r="F313" t="str">
        <f>+IFERROR(VLOOKUP(Fact_Impuestos[[#This Row], 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ht="18.75" customHeight="1" x14ac:dyDescent="0.35">
      <c r="C314" s="100" t="str">
        <f>IF(OR(Fact_Impuestos[[#This Row], [Año]]="",Fact_Impuestos[[#This Row], [Mes]]=""),"",DATE(A314,MATCH(B314,{"enero","febrero","marzo","abril","mayo","junio","julio","agosto","septiembre","octubre","noviembre","diciembre"},0)+1,0))</f>
        <v/>
      </c>
      <c r="E314" t="str">
        <f>+IFERROR(VLOOKUP(Fact_Impuestos[[#This Row], [Concepto Anterior]],Conceptos_Impuestos[#All],5,0),"")</f>
        <v/>
      </c>
      <c r="F314" t="str">
        <f>+IFERROR(VLOOKUP(Fact_Impuestos[[#This Row], 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ht="18.75" customHeight="1" x14ac:dyDescent="0.35">
      <c r="C315" s="100" t="str">
        <f>IF(OR(Fact_Impuestos[[#This Row], [Año]]="",Fact_Impuestos[[#This Row], [Mes]]=""),"",DATE(A315,MATCH(B315,{"enero","febrero","marzo","abril","mayo","junio","julio","agosto","septiembre","octubre","noviembre","diciembre"},0)+1,0))</f>
        <v/>
      </c>
      <c r="E315" t="str">
        <f>+IFERROR(VLOOKUP(Fact_Impuestos[[#This Row], [Concepto Anterior]],Conceptos_Impuestos[#All],5,0),"")</f>
        <v/>
      </c>
      <c r="F315" t="str">
        <f>+IFERROR(VLOOKUP(Fact_Impuestos[[#This Row], 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ht="18.75" customHeight="1" x14ac:dyDescent="0.35">
      <c r="C316" s="100" t="str">
        <f>IF(OR(Fact_Impuestos[[#This Row], [Año]]="",Fact_Impuestos[[#This Row], [Mes]]=""),"",DATE(A316,MATCH(B316,{"enero","febrero","marzo","abril","mayo","junio","julio","agosto","septiembre","octubre","noviembre","diciembre"},0)+1,0))</f>
        <v/>
      </c>
      <c r="E316" t="str">
        <f>+IFERROR(VLOOKUP(Fact_Impuestos[[#This Row], [Concepto Anterior]],Conceptos_Impuestos[#All],5,0),"")</f>
        <v/>
      </c>
      <c r="F316" t="str">
        <f>+IFERROR(VLOOKUP(Fact_Impuestos[[#This Row], 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ht="18.75" customHeight="1" x14ac:dyDescent="0.35">
      <c r="C317" s="100" t="str">
        <f>IF(OR(Fact_Impuestos[[#This Row], [Año]]="",Fact_Impuestos[[#This Row], [Mes]]=""),"",DATE(A317,MATCH(B317,{"enero","febrero","marzo","abril","mayo","junio","julio","agosto","septiembre","octubre","noviembre","diciembre"},0)+1,0))</f>
        <v/>
      </c>
      <c r="E317" t="str">
        <f>+IFERROR(VLOOKUP(Fact_Impuestos[[#This Row], [Concepto Anterior]],Conceptos_Impuestos[#All],5,0),"")</f>
        <v/>
      </c>
      <c r="F317" t="str">
        <f>+IFERROR(VLOOKUP(Fact_Impuestos[[#This Row], 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ht="18.75" customHeight="1" x14ac:dyDescent="0.35">
      <c r="C318" s="100" t="str">
        <f>IF(OR(Fact_Impuestos[[#This Row], [Año]]="",Fact_Impuestos[[#This Row], [Mes]]=""),"",DATE(A318,MATCH(B318,{"enero","febrero","marzo","abril","mayo","junio","julio","agosto","septiembre","octubre","noviembre","diciembre"},0)+1,0))</f>
        <v/>
      </c>
      <c r="E318" t="str">
        <f>+IFERROR(VLOOKUP(Fact_Impuestos[[#This Row], [Concepto Anterior]],Conceptos_Impuestos[#All],5,0),"")</f>
        <v/>
      </c>
      <c r="F318" t="str">
        <f>+IFERROR(VLOOKUP(Fact_Impuestos[[#This Row], 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ht="18.75" customHeight="1" x14ac:dyDescent="0.35">
      <c r="C319" s="100" t="str">
        <f>IF(OR(Fact_Impuestos[[#This Row], [Año]]="",Fact_Impuestos[[#This Row], [Mes]]=""),"",DATE(A319,MATCH(B319,{"enero","febrero","marzo","abril","mayo","junio","julio","agosto","septiembre","octubre","noviembre","diciembre"},0)+1,0))</f>
        <v/>
      </c>
      <c r="E319" t="str">
        <f>+IFERROR(VLOOKUP(Fact_Impuestos[[#This Row], [Concepto Anterior]],Conceptos_Impuestos[#All],5,0),"")</f>
        <v/>
      </c>
      <c r="F319" t="str">
        <f>+IFERROR(VLOOKUP(Fact_Impuestos[[#This Row], 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ht="18.75" customHeight="1" x14ac:dyDescent="0.35">
      <c r="C320" s="100" t="str">
        <f>IF(OR(Fact_Impuestos[[#This Row], [Año]]="",Fact_Impuestos[[#This Row], [Mes]]=""),"",DATE(A320,MATCH(B320,{"enero","febrero","marzo","abril","mayo","junio","julio","agosto","septiembre","octubre","noviembre","diciembre"},0)+1,0))</f>
        <v/>
      </c>
      <c r="E320" t="str">
        <f>+IFERROR(VLOOKUP(Fact_Impuestos[[#This Row], [Concepto Anterior]],Conceptos_Impuestos[#All],5,0),"")</f>
        <v/>
      </c>
      <c r="F320" t="str">
        <f>+IFERROR(VLOOKUP(Fact_Impuestos[[#This Row], 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ht="18.75" customHeight="1" x14ac:dyDescent="0.35">
      <c r="C321" s="100" t="str">
        <f>IF(OR(Fact_Impuestos[[#This Row], [Año]]="",Fact_Impuestos[[#This Row], [Mes]]=""),"",DATE(A321,MATCH(B321,{"enero","febrero","marzo","abril","mayo","junio","julio","agosto","septiembre","octubre","noviembre","diciembre"},0)+1,0))</f>
        <v/>
      </c>
      <c r="E321" t="str">
        <f>+IFERROR(VLOOKUP(Fact_Impuestos[[#This Row], [Concepto Anterior]],Conceptos_Impuestos[#All],5,0),"")</f>
        <v/>
      </c>
      <c r="F321" t="str">
        <f>+IFERROR(VLOOKUP(Fact_Impuestos[[#This Row], 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ht="18.75" customHeight="1" x14ac:dyDescent="0.35">
      <c r="C322" s="100" t="str">
        <f>IF(OR(Fact_Impuestos[[#This Row], [Año]]="",Fact_Impuestos[[#This Row], [Mes]]=""),"",DATE(A322,MATCH(B322,{"enero","febrero","marzo","abril","mayo","junio","julio","agosto","septiembre","octubre","noviembre","diciembre"},0)+1,0))</f>
        <v/>
      </c>
      <c r="E322" t="str">
        <f>+IFERROR(VLOOKUP(Fact_Impuestos[[#This Row], [Concepto Anterior]],Conceptos_Impuestos[#All],5,0),"")</f>
        <v/>
      </c>
      <c r="F322" t="str">
        <f>+IFERROR(VLOOKUP(Fact_Impuestos[[#This Row], 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ht="18.75" customHeight="1" x14ac:dyDescent="0.35">
      <c r="C323" s="100" t="str">
        <f>IF(OR(Fact_Impuestos[[#This Row], [Año]]="",Fact_Impuestos[[#This Row], [Mes]]=""),"",DATE(A323,MATCH(B323,{"enero","febrero","marzo","abril","mayo","junio","julio","agosto","septiembre","octubre","noviembre","diciembre"},0)+1,0))</f>
        <v/>
      </c>
      <c r="E323" t="str">
        <f>+IFERROR(VLOOKUP(Fact_Impuestos[[#This Row], [Concepto Anterior]],Conceptos_Impuestos[#All],5,0),"")</f>
        <v/>
      </c>
      <c r="F323" t="str">
        <f>+IFERROR(VLOOKUP(Fact_Impuestos[[#This Row], 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ht="18.75" customHeight="1" x14ac:dyDescent="0.35">
      <c r="C324" s="100" t="str">
        <f>IF(OR(Fact_Impuestos[[#This Row], [Año]]="",Fact_Impuestos[[#This Row], [Mes]]=""),"",DATE(A324,MATCH(B324,{"enero","febrero","marzo","abril","mayo","junio","julio","agosto","septiembre","octubre","noviembre","diciembre"},0)+1,0))</f>
        <v/>
      </c>
      <c r="E324" t="str">
        <f>+IFERROR(VLOOKUP(Fact_Impuestos[[#This Row], [Concepto Anterior]],Conceptos_Impuestos[#All],5,0),"")</f>
        <v/>
      </c>
      <c r="F324" t="str">
        <f>+IFERROR(VLOOKUP(Fact_Impuestos[[#This Row], 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ht="18.75" customHeight="1" x14ac:dyDescent="0.35">
      <c r="C325" s="100" t="str">
        <f>IF(OR(Fact_Impuestos[[#This Row], [Año]]="",Fact_Impuestos[[#This Row], [Mes]]=""),"",DATE(A325,MATCH(B325,{"enero","febrero","marzo","abril","mayo","junio","julio","agosto","septiembre","octubre","noviembre","diciembre"},0)+1,0))</f>
        <v/>
      </c>
      <c r="E325" t="str">
        <f>+IFERROR(VLOOKUP(Fact_Impuestos[[#This Row], [Concepto Anterior]],Conceptos_Impuestos[#All],5,0),"")</f>
        <v/>
      </c>
      <c r="F325" t="str">
        <f>+IFERROR(VLOOKUP(Fact_Impuestos[[#This Row], 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ht="18.75" customHeight="1" x14ac:dyDescent="0.35">
      <c r="C326" s="100" t="str">
        <f>IF(OR(Fact_Impuestos[[#This Row], [Año]]="",Fact_Impuestos[[#This Row], [Mes]]=""),"",DATE(A326,MATCH(B326,{"enero","febrero","marzo","abril","mayo","junio","julio","agosto","septiembre","octubre","noviembre","diciembre"},0)+1,0))</f>
        <v/>
      </c>
      <c r="E326" t="str">
        <f>+IFERROR(VLOOKUP(Fact_Impuestos[[#This Row], [Concepto Anterior]],Conceptos_Impuestos[#All],5,0),"")</f>
        <v/>
      </c>
      <c r="F326" t="str">
        <f>+IFERROR(VLOOKUP(Fact_Impuestos[[#This Row], 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ht="18.75" customHeight="1" x14ac:dyDescent="0.35">
      <c r="C327" s="100" t="str">
        <f>IF(OR(Fact_Impuestos[[#This Row], [Año]]="",Fact_Impuestos[[#This Row], [Mes]]=""),"",DATE(A327,MATCH(B327,{"enero","febrero","marzo","abril","mayo","junio","julio","agosto","septiembre","octubre","noviembre","diciembre"},0)+1,0))</f>
        <v/>
      </c>
      <c r="E327" t="str">
        <f>+IFERROR(VLOOKUP(Fact_Impuestos[[#This Row], [Concepto Anterior]],Conceptos_Impuestos[#All],5,0),"")</f>
        <v/>
      </c>
      <c r="F327" t="str">
        <f>+IFERROR(VLOOKUP(Fact_Impuestos[[#This Row], 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ht="18.75" customHeight="1" x14ac:dyDescent="0.35">
      <c r="C328" s="100" t="str">
        <f>IF(OR(Fact_Impuestos[[#This Row], [Año]]="",Fact_Impuestos[[#This Row], [Mes]]=""),"",DATE(A328,MATCH(B328,{"enero","febrero","marzo","abril","mayo","junio","julio","agosto","septiembre","octubre","noviembre","diciembre"},0)+1,0))</f>
        <v/>
      </c>
      <c r="E328" t="str">
        <f>+IFERROR(VLOOKUP(Fact_Impuestos[[#This Row], [Concepto Anterior]],Conceptos_Impuestos[#All],5,0),"")</f>
        <v/>
      </c>
      <c r="F328" t="str">
        <f>+IFERROR(VLOOKUP(Fact_Impuestos[[#This Row], 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ht="18.75" customHeight="1" x14ac:dyDescent="0.35">
      <c r="C329" s="100" t="str">
        <f>IF(OR(Fact_Impuestos[[#This Row], [Año]]="",Fact_Impuestos[[#This Row], [Mes]]=""),"",DATE(A329,MATCH(B329,{"enero","febrero","marzo","abril","mayo","junio","julio","agosto","septiembre","octubre","noviembre","diciembre"},0)+1,0))</f>
        <v/>
      </c>
      <c r="E329" t="str">
        <f>+IFERROR(VLOOKUP(Fact_Impuestos[[#This Row], [Concepto Anterior]],Conceptos_Impuestos[#All],5,0),"")</f>
        <v/>
      </c>
      <c r="F329" t="str">
        <f>+IFERROR(VLOOKUP(Fact_Impuestos[[#This Row], 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ht="18.75" customHeight="1" x14ac:dyDescent="0.35">
      <c r="C330" s="100" t="str">
        <f>IF(OR(Fact_Impuestos[[#This Row], [Año]]="",Fact_Impuestos[[#This Row], [Mes]]=""),"",DATE(A330,MATCH(B330,{"enero","febrero","marzo","abril","mayo","junio","julio","agosto","septiembre","octubre","noviembre","diciembre"},0)+1,0))</f>
        <v/>
      </c>
      <c r="E330" t="str">
        <f>+IFERROR(VLOOKUP(Fact_Impuestos[[#This Row], [Concepto Anterior]],Conceptos_Impuestos[#All],5,0),"")</f>
        <v/>
      </c>
      <c r="F330" t="str">
        <f>+IFERROR(VLOOKUP(Fact_Impuestos[[#This Row], 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ht="18.75" customHeight="1" x14ac:dyDescent="0.35">
      <c r="C331" s="100" t="str">
        <f>IF(OR(Fact_Impuestos[[#This Row], [Año]]="",Fact_Impuestos[[#This Row], [Mes]]=""),"",DATE(A331,MATCH(B331,{"enero","febrero","marzo","abril","mayo","junio","julio","agosto","septiembre","octubre","noviembre","diciembre"},0)+1,0))</f>
        <v/>
      </c>
      <c r="E331" t="str">
        <f>+IFERROR(VLOOKUP(Fact_Impuestos[[#This Row], [Concepto Anterior]],Conceptos_Impuestos[#All],5,0),"")</f>
        <v/>
      </c>
      <c r="F331" t="str">
        <f>+IFERROR(VLOOKUP(Fact_Impuestos[[#This Row], 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ht="18.75" customHeight="1" x14ac:dyDescent="0.35">
      <c r="C332" s="100" t="str">
        <f>IF(OR(Fact_Impuestos[[#This Row], [Año]]="",Fact_Impuestos[[#This Row], [Mes]]=""),"",DATE(A332,MATCH(B332,{"enero","febrero","marzo","abril","mayo","junio","julio","agosto","septiembre","octubre","noviembre","diciembre"},0)+1,0))</f>
        <v/>
      </c>
      <c r="E332" t="str">
        <f>+IFERROR(VLOOKUP(Fact_Impuestos[[#This Row], [Concepto Anterior]],Conceptos_Impuestos[#All],5,0),"")</f>
        <v/>
      </c>
      <c r="F332" t="str">
        <f>+IFERROR(VLOOKUP(Fact_Impuestos[[#This Row], 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ht="18.75" customHeight="1" x14ac:dyDescent="0.35">
      <c r="C333" s="100" t="str">
        <f>IF(OR(Fact_Impuestos[[#This Row], [Año]]="",Fact_Impuestos[[#This Row], [Mes]]=""),"",DATE(A333,MATCH(B333,{"enero","febrero","marzo","abril","mayo","junio","julio","agosto","septiembre","octubre","noviembre","diciembre"},0)+1,0))</f>
        <v/>
      </c>
      <c r="E333" t="str">
        <f>+IFERROR(VLOOKUP(Fact_Impuestos[[#This Row], [Concepto Anterior]],Conceptos_Impuestos[#All],5,0),"")</f>
        <v/>
      </c>
      <c r="F333" t="str">
        <f>+IFERROR(VLOOKUP(Fact_Impuestos[[#This Row], 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ht="18.75" customHeight="1" x14ac:dyDescent="0.35">
      <c r="C334" s="100" t="str">
        <f>IF(OR(Fact_Impuestos[[#This Row], [Año]]="",Fact_Impuestos[[#This Row], [Mes]]=""),"",DATE(A334,MATCH(B334,{"enero","febrero","marzo","abril","mayo","junio","julio","agosto","septiembre","octubre","noviembre","diciembre"},0)+1,0))</f>
        <v/>
      </c>
      <c r="E334" t="str">
        <f>+IFERROR(VLOOKUP(Fact_Impuestos[[#This Row], [Concepto Anterior]],Conceptos_Impuestos[#All],5,0),"")</f>
        <v/>
      </c>
      <c r="F334" t="str">
        <f>+IFERROR(VLOOKUP(Fact_Impuestos[[#This Row], 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ht="18.75" customHeight="1" x14ac:dyDescent="0.35">
      <c r="C335" s="100" t="str">
        <f>IF(OR(Fact_Impuestos[[#This Row], [Año]]="",Fact_Impuestos[[#This Row], [Mes]]=""),"",DATE(A335,MATCH(B335,{"enero","febrero","marzo","abril","mayo","junio","julio","agosto","septiembre","octubre","noviembre","diciembre"},0)+1,0))</f>
        <v/>
      </c>
      <c r="E335" t="str">
        <f>+IFERROR(VLOOKUP(Fact_Impuestos[[#This Row], [Concepto Anterior]],Conceptos_Impuestos[#All],5,0),"")</f>
        <v/>
      </c>
      <c r="F335" t="str">
        <f>+IFERROR(VLOOKUP(Fact_Impuestos[[#This Row], 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ht="18.75" customHeight="1" x14ac:dyDescent="0.35">
      <c r="C336" s="100" t="str">
        <f>IF(OR(Fact_Impuestos[[#This Row], [Año]]="",Fact_Impuestos[[#This Row], [Mes]]=""),"",DATE(A336,MATCH(B336,{"enero","febrero","marzo","abril","mayo","junio","julio","agosto","septiembre","octubre","noviembre","diciembre"},0)+1,0))</f>
        <v/>
      </c>
      <c r="E336" t="str">
        <f>+IFERROR(VLOOKUP(Fact_Impuestos[[#This Row], [Concepto Anterior]],Conceptos_Impuestos[#All],5,0),"")</f>
        <v/>
      </c>
      <c r="F336" t="str">
        <f>+IFERROR(VLOOKUP(Fact_Impuestos[[#This Row], 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ht="18.75" customHeight="1" x14ac:dyDescent="0.35">
      <c r="C337" s="100" t="str">
        <f>IF(OR(Fact_Impuestos[[#This Row], [Año]]="",Fact_Impuestos[[#This Row], [Mes]]=""),"",DATE(A337,MATCH(B337,{"enero","febrero","marzo","abril","mayo","junio","julio","agosto","septiembre","octubre","noviembre","diciembre"},0)+1,0))</f>
        <v/>
      </c>
      <c r="E337" t="str">
        <f>+IFERROR(VLOOKUP(Fact_Impuestos[[#This Row], [Concepto Anterior]],Conceptos_Impuestos[#All],5,0),"")</f>
        <v/>
      </c>
      <c r="F337" t="str">
        <f>+IFERROR(VLOOKUP(Fact_Impuestos[[#This Row], 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ht="18.75" customHeight="1" x14ac:dyDescent="0.35">
      <c r="C338" s="100" t="str">
        <f>IF(OR(Fact_Impuestos[[#This Row], [Año]]="",Fact_Impuestos[[#This Row], [Mes]]=""),"",DATE(A338,MATCH(B338,{"enero","febrero","marzo","abril","mayo","junio","julio","agosto","septiembre","octubre","noviembre","diciembre"},0)+1,0))</f>
        <v/>
      </c>
      <c r="E338" t="str">
        <f>+IFERROR(VLOOKUP(Fact_Impuestos[[#This Row], [Concepto Anterior]],Conceptos_Impuestos[#All],5,0),"")</f>
        <v/>
      </c>
      <c r="F338" t="str">
        <f>+IFERROR(VLOOKUP(Fact_Impuestos[[#This Row], 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ht="18.75" customHeight="1" x14ac:dyDescent="0.35">
      <c r="C339" s="100" t="str">
        <f>IF(OR(Fact_Impuestos[[#This Row], [Año]]="",Fact_Impuestos[[#This Row], [Mes]]=""),"",DATE(A339,MATCH(B339,{"enero","febrero","marzo","abril","mayo","junio","julio","agosto","septiembre","octubre","noviembre","diciembre"},0)+1,0))</f>
        <v/>
      </c>
      <c r="E339" t="str">
        <f>+IFERROR(VLOOKUP(Fact_Impuestos[[#This Row], [Concepto Anterior]],Conceptos_Impuestos[#All],5,0),"")</f>
        <v/>
      </c>
      <c r="F339" t="str">
        <f>+IFERROR(VLOOKUP(Fact_Impuestos[[#This Row], 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ht="18.75" customHeight="1" x14ac:dyDescent="0.35">
      <c r="C340" s="100" t="str">
        <f>IF(OR(Fact_Impuestos[[#This Row], [Año]]="",Fact_Impuestos[[#This Row], [Mes]]=""),"",DATE(A340,MATCH(B340,{"enero","febrero","marzo","abril","mayo","junio","julio","agosto","septiembre","octubre","noviembre","diciembre"},0)+1,0))</f>
        <v/>
      </c>
      <c r="E340" t="str">
        <f>+IFERROR(VLOOKUP(Fact_Impuestos[[#This Row], [Concepto Anterior]],Conceptos_Impuestos[#All],5,0),"")</f>
        <v/>
      </c>
      <c r="F340" t="str">
        <f>+IFERROR(VLOOKUP(Fact_Impuestos[[#This Row], 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ht="18.75" customHeight="1" x14ac:dyDescent="0.35">
      <c r="C341" s="100" t="str">
        <f>IF(OR(Fact_Impuestos[[#This Row], [Año]]="",Fact_Impuestos[[#This Row], [Mes]]=""),"",DATE(A341,MATCH(B341,{"enero","febrero","marzo","abril","mayo","junio","julio","agosto","septiembre","octubre","noviembre","diciembre"},0)+1,0))</f>
        <v/>
      </c>
      <c r="E341" t="str">
        <f>+IFERROR(VLOOKUP(Fact_Impuestos[[#This Row], [Concepto Anterior]],Conceptos_Impuestos[#All],5,0),"")</f>
        <v/>
      </c>
      <c r="F341" t="str">
        <f>+IFERROR(VLOOKUP(Fact_Impuestos[[#This Row], 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ht="18.75" customHeight="1" x14ac:dyDescent="0.35">
      <c r="C342" s="100" t="str">
        <f>IF(OR(Fact_Impuestos[[#This Row], [Año]]="",Fact_Impuestos[[#This Row], [Mes]]=""),"",DATE(A342,MATCH(B342,{"enero","febrero","marzo","abril","mayo","junio","julio","agosto","septiembre","octubre","noviembre","diciembre"},0)+1,0))</f>
        <v/>
      </c>
      <c r="E342" t="str">
        <f>+IFERROR(VLOOKUP(Fact_Impuestos[[#This Row], [Concepto Anterior]],Conceptos_Impuestos[#All],5,0),"")</f>
        <v/>
      </c>
      <c r="F342" t="str">
        <f>+IFERROR(VLOOKUP(Fact_Impuestos[[#This Row], 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ht="18.75" customHeight="1" x14ac:dyDescent="0.35">
      <c r="C343" s="100" t="str">
        <f>IF(OR(Fact_Impuestos[[#This Row], [Año]]="",Fact_Impuestos[[#This Row], [Mes]]=""),"",DATE(A343,MATCH(B343,{"enero","febrero","marzo","abril","mayo","junio","julio","agosto","septiembre","octubre","noviembre","diciembre"},0)+1,0))</f>
        <v/>
      </c>
      <c r="E343" t="str">
        <f>+IFERROR(VLOOKUP(Fact_Impuestos[[#This Row], [Concepto Anterior]],Conceptos_Impuestos[#All],5,0),"")</f>
        <v/>
      </c>
      <c r="F343" t="str">
        <f>+IFERROR(VLOOKUP(Fact_Impuestos[[#This Row], 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ht="18.75" customHeight="1" x14ac:dyDescent="0.35">
      <c r="C344" s="100" t="str">
        <f>IF(OR(Fact_Impuestos[[#This Row], [Año]]="",Fact_Impuestos[[#This Row], [Mes]]=""),"",DATE(A344,MATCH(B344,{"enero","febrero","marzo","abril","mayo","junio","julio","agosto","septiembre","octubre","noviembre","diciembre"},0)+1,0))</f>
        <v/>
      </c>
      <c r="E344" t="str">
        <f>+IFERROR(VLOOKUP(Fact_Impuestos[[#This Row], [Concepto Anterior]],Conceptos_Impuestos[#All],5,0),"")</f>
        <v/>
      </c>
      <c r="F344" t="str">
        <f>+IFERROR(VLOOKUP(Fact_Impuestos[[#This Row], 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ht="18.75" customHeight="1" x14ac:dyDescent="0.35">
      <c r="C345" s="100" t="str">
        <f>IF(OR(Fact_Impuestos[[#This Row], [Año]]="",Fact_Impuestos[[#This Row], [Mes]]=""),"",DATE(A345,MATCH(B345,{"enero","febrero","marzo","abril","mayo","junio","julio","agosto","septiembre","octubre","noviembre","diciembre"},0)+1,0))</f>
        <v/>
      </c>
      <c r="E345" t="str">
        <f>+IFERROR(VLOOKUP(Fact_Impuestos[[#This Row], [Concepto Anterior]],Conceptos_Impuestos[#All],5,0),"")</f>
        <v/>
      </c>
      <c r="F345" t="str">
        <f>+IFERROR(VLOOKUP(Fact_Impuestos[[#This Row], 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ht="18.75" customHeight="1" x14ac:dyDescent="0.35">
      <c r="C346" s="100" t="str">
        <f>IF(OR(Fact_Impuestos[[#This Row], [Año]]="",Fact_Impuestos[[#This Row], [Mes]]=""),"",DATE(A346,MATCH(B346,{"enero","febrero","marzo","abril","mayo","junio","julio","agosto","septiembre","octubre","noviembre","diciembre"},0)+1,0))</f>
        <v/>
      </c>
      <c r="E346" t="str">
        <f>+IFERROR(VLOOKUP(Fact_Impuestos[[#This Row], [Concepto Anterior]],Conceptos_Impuestos[#All],5,0),"")</f>
        <v/>
      </c>
      <c r="F346" t="str">
        <f>+IFERROR(VLOOKUP(Fact_Impuestos[[#This Row], 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ht="18.75" customHeight="1" x14ac:dyDescent="0.35">
      <c r="C347" s="100" t="str">
        <f>IF(OR(Fact_Impuestos[[#This Row], [Año]]="",Fact_Impuestos[[#This Row], [Mes]]=""),"",DATE(A347,MATCH(B347,{"enero","febrero","marzo","abril","mayo","junio","julio","agosto","septiembre","octubre","noviembre","diciembre"},0)+1,0))</f>
        <v/>
      </c>
      <c r="E347" t="str">
        <f>+IFERROR(VLOOKUP(Fact_Impuestos[[#This Row], [Concepto Anterior]],Conceptos_Impuestos[#All],5,0),"")</f>
        <v/>
      </c>
      <c r="F347" t="str">
        <f>+IFERROR(VLOOKUP(Fact_Impuestos[[#This Row], 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ht="18.75" customHeight="1" x14ac:dyDescent="0.35">
      <c r="C348" s="100" t="str">
        <f>IF(OR(Fact_Impuestos[[#This Row], [Año]]="",Fact_Impuestos[[#This Row], [Mes]]=""),"",DATE(A348,MATCH(B348,{"enero","febrero","marzo","abril","mayo","junio","julio","agosto","septiembre","octubre","noviembre","diciembre"},0)+1,0))</f>
        <v/>
      </c>
      <c r="E348" t="str">
        <f>+IFERROR(VLOOKUP(Fact_Impuestos[[#This Row], [Concepto Anterior]],Conceptos_Impuestos[#All],5,0),"")</f>
        <v/>
      </c>
      <c r="F348" t="str">
        <f>+IFERROR(VLOOKUP(Fact_Impuestos[[#This Row], 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ht="18.75" customHeight="1" x14ac:dyDescent="0.35">
      <c r="C349" s="100" t="str">
        <f>IF(OR(Fact_Impuestos[[#This Row], [Año]]="",Fact_Impuestos[[#This Row], [Mes]]=""),"",DATE(A349,MATCH(B349,{"enero","febrero","marzo","abril","mayo","junio","julio","agosto","septiembre","octubre","noviembre","diciembre"},0)+1,0))</f>
        <v/>
      </c>
      <c r="E349" t="str">
        <f>+IFERROR(VLOOKUP(Fact_Impuestos[[#This Row], [Concepto Anterior]],Conceptos_Impuestos[#All],5,0),"")</f>
        <v/>
      </c>
      <c r="F349" t="str">
        <f>+IFERROR(VLOOKUP(Fact_Impuestos[[#This Row], 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ht="18.75" customHeight="1" x14ac:dyDescent="0.35">
      <c r="C350" s="100" t="str">
        <f>IF(OR(Fact_Impuestos[[#This Row], [Año]]="",Fact_Impuestos[[#This Row], [Mes]]=""),"",DATE(A350,MATCH(B350,{"enero","febrero","marzo","abril","mayo","junio","julio","agosto","septiembre","octubre","noviembre","diciembre"},0)+1,0))</f>
        <v/>
      </c>
      <c r="E350" t="str">
        <f>+IFERROR(VLOOKUP(Fact_Impuestos[[#This Row], [Concepto Anterior]],Conceptos_Impuestos[#All],5,0),"")</f>
        <v/>
      </c>
      <c r="F350" t="str">
        <f>+IFERROR(VLOOKUP(Fact_Impuestos[[#This Row], 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ht="18.75" customHeight="1" x14ac:dyDescent="0.35">
      <c r="C351" s="100" t="str">
        <f>IF(OR(Fact_Impuestos[[#This Row], [Año]]="",Fact_Impuestos[[#This Row], [Mes]]=""),"",DATE(A351,MATCH(B351,{"enero","febrero","marzo","abril","mayo","junio","julio","agosto","septiembre","octubre","noviembre","diciembre"},0)+1,0))</f>
        <v/>
      </c>
      <c r="E351" t="str">
        <f>+IFERROR(VLOOKUP(Fact_Impuestos[[#This Row], [Concepto Anterior]],Conceptos_Impuestos[#All],5,0),"")</f>
        <v/>
      </c>
      <c r="F351" t="str">
        <f>+IFERROR(VLOOKUP(Fact_Impuestos[[#This Row], 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ht="18.75" customHeight="1" x14ac:dyDescent="0.35">
      <c r="C352" s="100" t="str">
        <f>IF(OR(Fact_Impuestos[[#This Row], [Año]]="",Fact_Impuestos[[#This Row], [Mes]]=""),"",DATE(A352,MATCH(B352,{"enero","febrero","marzo","abril","mayo","junio","julio","agosto","septiembre","octubre","noviembre","diciembre"},0)+1,0))</f>
        <v/>
      </c>
      <c r="E352" t="str">
        <f>+IFERROR(VLOOKUP(Fact_Impuestos[[#This Row], [Concepto Anterior]],Conceptos_Impuestos[#All],5,0),"")</f>
        <v/>
      </c>
      <c r="F352" t="str">
        <f>+IFERROR(VLOOKUP(Fact_Impuestos[[#This Row], 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ht="18.75" customHeight="1" x14ac:dyDescent="0.35">
      <c r="C353" s="100" t="str">
        <f>IF(OR(Fact_Impuestos[[#This Row], [Año]]="",Fact_Impuestos[[#This Row], [Mes]]=""),"",DATE(A353,MATCH(B353,{"enero","febrero","marzo","abril","mayo","junio","julio","agosto","septiembre","octubre","noviembre","diciembre"},0)+1,0))</f>
        <v/>
      </c>
      <c r="E353" t="str">
        <f>+IFERROR(VLOOKUP(Fact_Impuestos[[#This Row], [Concepto Anterior]],Conceptos_Impuestos[#All],5,0),"")</f>
        <v/>
      </c>
      <c r="F353" t="str">
        <f>+IFERROR(VLOOKUP(Fact_Impuestos[[#This Row], 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ht="18.75" customHeight="1" x14ac:dyDescent="0.35">
      <c r="C354" s="100" t="str">
        <f>IF(OR(Fact_Impuestos[[#This Row], [Año]]="",Fact_Impuestos[[#This Row], [Mes]]=""),"",DATE(A354,MATCH(B354,{"enero","febrero","marzo","abril","mayo","junio","julio","agosto","septiembre","octubre","noviembre","diciembre"},0)+1,0))</f>
        <v/>
      </c>
      <c r="E354" t="str">
        <f>+IFERROR(VLOOKUP(Fact_Impuestos[[#This Row], [Concepto Anterior]],Conceptos_Impuestos[#All],5,0),"")</f>
        <v/>
      </c>
      <c r="F354" t="str">
        <f>+IFERROR(VLOOKUP(Fact_Impuestos[[#This Row], 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ht="18.75" customHeight="1" x14ac:dyDescent="0.35">
      <c r="C355" s="100" t="str">
        <f>IF(OR(Fact_Impuestos[[#This Row], [Año]]="",Fact_Impuestos[[#This Row], [Mes]]=""),"",DATE(A355,MATCH(B355,{"enero","febrero","marzo","abril","mayo","junio","julio","agosto","septiembre","octubre","noviembre","diciembre"},0)+1,0))</f>
        <v/>
      </c>
      <c r="E355" t="str">
        <f>+IFERROR(VLOOKUP(Fact_Impuestos[[#This Row], [Concepto Anterior]],Conceptos_Impuestos[#All],5,0),"")</f>
        <v/>
      </c>
      <c r="F355" t="str">
        <f>+IFERROR(VLOOKUP(Fact_Impuestos[[#This Row], 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ht="18.75" customHeight="1" x14ac:dyDescent="0.35">
      <c r="C356" s="100" t="str">
        <f>IF(OR(Fact_Impuestos[[#This Row], [Año]]="",Fact_Impuestos[[#This Row], [Mes]]=""),"",DATE(A356,MATCH(B356,{"enero","febrero","marzo","abril","mayo","junio","julio","agosto","septiembre","octubre","noviembre","diciembre"},0)+1,0))</f>
        <v/>
      </c>
      <c r="E356" t="str">
        <f>+IFERROR(VLOOKUP(Fact_Impuestos[[#This Row], [Concepto Anterior]],Conceptos_Impuestos[#All],5,0),"")</f>
        <v/>
      </c>
      <c r="F356" t="str">
        <f>+IFERROR(VLOOKUP(Fact_Impuestos[[#This Row], 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ht="18.75" customHeight="1" x14ac:dyDescent="0.35">
      <c r="C357" s="100" t="str">
        <f>IF(OR(Fact_Impuestos[[#This Row], [Año]]="",Fact_Impuestos[[#This Row], [Mes]]=""),"",DATE(A357,MATCH(B357,{"enero","febrero","marzo","abril","mayo","junio","julio","agosto","septiembre","octubre","noviembre","diciembre"},0)+1,0))</f>
        <v/>
      </c>
      <c r="E357" t="str">
        <f>+IFERROR(VLOOKUP(Fact_Impuestos[[#This Row], [Concepto Anterior]],Conceptos_Impuestos[#All],5,0),"")</f>
        <v/>
      </c>
      <c r="F357" t="str">
        <f>+IFERROR(VLOOKUP(Fact_Impuestos[[#This Row], 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ht="18.75" customHeight="1" x14ac:dyDescent="0.35">
      <c r="C358" s="100" t="str">
        <f>IF(OR(Fact_Impuestos[[#This Row], [Año]]="",Fact_Impuestos[[#This Row], [Mes]]=""),"",DATE(A358,MATCH(B358,{"enero","febrero","marzo","abril","mayo","junio","julio","agosto","septiembre","octubre","noviembre","diciembre"},0)+1,0))</f>
        <v/>
      </c>
      <c r="E358" t="str">
        <f>+IFERROR(VLOOKUP(Fact_Impuestos[[#This Row], [Concepto Anterior]],Conceptos_Impuestos[#All],5,0),"")</f>
        <v/>
      </c>
      <c r="F358" t="str">
        <f>+IFERROR(VLOOKUP(Fact_Impuestos[[#This Row], 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ht="18.75" customHeight="1" x14ac:dyDescent="0.35">
      <c r="C359" s="100" t="str">
        <f>IF(OR(Fact_Impuestos[[#This Row], [Año]]="",Fact_Impuestos[[#This Row], [Mes]]=""),"",DATE(A359,MATCH(B359,{"enero","febrero","marzo","abril","mayo","junio","julio","agosto","septiembre","octubre","noviembre","diciembre"},0)+1,0))</f>
        <v/>
      </c>
      <c r="E359" t="str">
        <f>+IFERROR(VLOOKUP(Fact_Impuestos[[#This Row], [Concepto Anterior]],Conceptos_Impuestos[#All],5,0),"")</f>
        <v/>
      </c>
      <c r="F359" t="str">
        <f>+IFERROR(VLOOKUP(Fact_Impuestos[[#This Row], 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ht="18.75" customHeight="1" x14ac:dyDescent="0.35">
      <c r="C360" s="100" t="str">
        <f>IF(OR(Fact_Impuestos[[#This Row], [Año]]="",Fact_Impuestos[[#This Row], [Mes]]=""),"",DATE(A360,MATCH(B360,{"enero","febrero","marzo","abril","mayo","junio","julio","agosto","septiembre","octubre","noviembre","diciembre"},0)+1,0))</f>
        <v/>
      </c>
      <c r="E360" t="str">
        <f>+IFERROR(VLOOKUP(Fact_Impuestos[[#This Row], [Concepto Anterior]],Conceptos_Impuestos[#All],5,0),"")</f>
        <v/>
      </c>
      <c r="F360" t="str">
        <f>+IFERROR(VLOOKUP(Fact_Impuestos[[#This Row], 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ht="18.75" customHeight="1" x14ac:dyDescent="0.35">
      <c r="C361" s="100" t="str">
        <f>IF(OR(Fact_Impuestos[[#This Row], [Año]]="",Fact_Impuestos[[#This Row], [Mes]]=""),"",DATE(A361,MATCH(B361,{"enero","febrero","marzo","abril","mayo","junio","julio","agosto","septiembre","octubre","noviembre","diciembre"},0)+1,0))</f>
        <v/>
      </c>
      <c r="E361" t="str">
        <f>+IFERROR(VLOOKUP(Fact_Impuestos[[#This Row], [Concepto Anterior]],Conceptos_Impuestos[#All],5,0),"")</f>
        <v/>
      </c>
      <c r="F361" t="str">
        <f>+IFERROR(VLOOKUP(Fact_Impuestos[[#This Row], 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ht="18.75" customHeight="1" x14ac:dyDescent="0.35">
      <c r="C362" s="100" t="str">
        <f>IF(OR(Fact_Impuestos[[#This Row], [Año]]="",Fact_Impuestos[[#This Row], [Mes]]=""),"",DATE(A362,MATCH(B362,{"enero","febrero","marzo","abril","mayo","junio","julio","agosto","septiembre","octubre","noviembre","diciembre"},0)+1,0))</f>
        <v/>
      </c>
      <c r="E362" t="str">
        <f>+IFERROR(VLOOKUP(Fact_Impuestos[[#This Row], [Concepto Anterior]],Conceptos_Impuestos[#All],5,0),"")</f>
        <v/>
      </c>
      <c r="F362" t="str">
        <f>+IFERROR(VLOOKUP(Fact_Impuestos[[#This Row], 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ht="18.75" customHeight="1" x14ac:dyDescent="0.35">
      <c r="C363" s="100" t="str">
        <f>IF(OR(Fact_Impuestos[[#This Row], [Año]]="",Fact_Impuestos[[#This Row], [Mes]]=""),"",DATE(A363,MATCH(B363,{"enero","febrero","marzo","abril","mayo","junio","julio","agosto","septiembre","octubre","noviembre","diciembre"},0)+1,0))</f>
        <v/>
      </c>
      <c r="E363" t="str">
        <f>+IFERROR(VLOOKUP(Fact_Impuestos[[#This Row], [Concepto Anterior]],Conceptos_Impuestos[#All],5,0),"")</f>
        <v/>
      </c>
      <c r="F363" t="str">
        <f>+IFERROR(VLOOKUP(Fact_Impuestos[[#This Row], 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ht="18.75" customHeight="1" x14ac:dyDescent="0.35">
      <c r="C364" s="100" t="str">
        <f>IF(OR(Fact_Impuestos[[#This Row], [Año]]="",Fact_Impuestos[[#This Row], [Mes]]=""),"",DATE(A364,MATCH(B364,{"enero","febrero","marzo","abril","mayo","junio","julio","agosto","septiembre","octubre","noviembre","diciembre"},0)+1,0))</f>
        <v/>
      </c>
      <c r="E364" t="str">
        <f>+IFERROR(VLOOKUP(Fact_Impuestos[[#This Row], [Concepto Anterior]],Conceptos_Impuestos[#All],5,0),"")</f>
        <v/>
      </c>
      <c r="F364" t="str">
        <f>+IFERROR(VLOOKUP(Fact_Impuestos[[#This Row], 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ht="18.75" customHeight="1" x14ac:dyDescent="0.35">
      <c r="C365" s="100" t="str">
        <f>IF(OR(Fact_Impuestos[[#This Row], [Año]]="",Fact_Impuestos[[#This Row], [Mes]]=""),"",DATE(A365,MATCH(B365,{"enero","febrero","marzo","abril","mayo","junio","julio","agosto","septiembre","octubre","noviembre","diciembre"},0)+1,0))</f>
        <v/>
      </c>
      <c r="E365" t="str">
        <f>+IFERROR(VLOOKUP(Fact_Impuestos[[#This Row], [Concepto Anterior]],Conceptos_Impuestos[#All],5,0),"")</f>
        <v/>
      </c>
      <c r="F365" t="str">
        <f>+IFERROR(VLOOKUP(Fact_Impuestos[[#This Row], 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ht="18.75" customHeight="1" x14ac:dyDescent="0.35">
      <c r="C366" s="100" t="str">
        <f>IF(OR(Fact_Impuestos[[#This Row], [Año]]="",Fact_Impuestos[[#This Row], [Mes]]=""),"",DATE(A366,MATCH(B366,{"enero","febrero","marzo","abril","mayo","junio","julio","agosto","septiembre","octubre","noviembre","diciembre"},0)+1,0))</f>
        <v/>
      </c>
      <c r="E366" t="str">
        <f>+IFERROR(VLOOKUP(Fact_Impuestos[[#This Row], [Concepto Anterior]],Conceptos_Impuestos[#All],5,0),"")</f>
        <v/>
      </c>
      <c r="F366" t="str">
        <f>+IFERROR(VLOOKUP(Fact_Impuestos[[#This Row], 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ht="18.75" customHeight="1" x14ac:dyDescent="0.35">
      <c r="C367" s="100" t="str">
        <f>IF(OR(Fact_Impuestos[[#This Row], [Año]]="",Fact_Impuestos[[#This Row], [Mes]]=""),"",DATE(A367,MATCH(B367,{"enero","febrero","marzo","abril","mayo","junio","julio","agosto","septiembre","octubre","noviembre","diciembre"},0)+1,0))</f>
        <v/>
      </c>
      <c r="E367" t="str">
        <f>+IFERROR(VLOOKUP(Fact_Impuestos[[#This Row], [Concepto Anterior]],Conceptos_Impuestos[#All],5,0),"")</f>
        <v/>
      </c>
      <c r="F367" t="str">
        <f>+IFERROR(VLOOKUP(Fact_Impuestos[[#This Row], 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ht="18.75" customHeight="1" x14ac:dyDescent="0.35">
      <c r="C368" s="100" t="str">
        <f>IF(OR(Fact_Impuestos[[#This Row], [Año]]="",Fact_Impuestos[[#This Row], [Mes]]=""),"",DATE(A368,MATCH(B368,{"enero","febrero","marzo","abril","mayo","junio","julio","agosto","septiembre","octubre","noviembre","diciembre"},0)+1,0))</f>
        <v/>
      </c>
      <c r="E368" t="str">
        <f>+IFERROR(VLOOKUP(Fact_Impuestos[[#This Row], [Concepto Anterior]],Conceptos_Impuestos[#All],5,0),"")</f>
        <v/>
      </c>
      <c r="F368" t="str">
        <f>+IFERROR(VLOOKUP(Fact_Impuestos[[#This Row], 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ht="18.75" customHeight="1" x14ac:dyDescent="0.35">
      <c r="C369" s="100" t="str">
        <f>IF(OR(Fact_Impuestos[[#This Row], [Año]]="",Fact_Impuestos[[#This Row], [Mes]]=""),"",DATE(A369,MATCH(B369,{"enero","febrero","marzo","abril","mayo","junio","julio","agosto","septiembre","octubre","noviembre","diciembre"},0)+1,0))</f>
        <v/>
      </c>
      <c r="E369" t="str">
        <f>+IFERROR(VLOOKUP(Fact_Impuestos[[#This Row], [Concepto Anterior]],Conceptos_Impuestos[#All],5,0),"")</f>
        <v/>
      </c>
      <c r="F369" t="str">
        <f>+IFERROR(VLOOKUP(Fact_Impuestos[[#This Row], 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ht="18.75" customHeight="1" x14ac:dyDescent="0.35">
      <c r="C370" s="100" t="str">
        <f>IF(OR(Fact_Impuestos[[#This Row], [Año]]="",Fact_Impuestos[[#This Row], [Mes]]=""),"",DATE(A370,MATCH(B370,{"enero","febrero","marzo","abril","mayo","junio","julio","agosto","septiembre","octubre","noviembre","diciembre"},0)+1,0))</f>
        <v/>
      </c>
      <c r="E370" t="str">
        <f>+IFERROR(VLOOKUP(Fact_Impuestos[[#This Row], [Concepto Anterior]],Conceptos_Impuestos[#All],5,0),"")</f>
        <v/>
      </c>
      <c r="F370" t="str">
        <f>+IFERROR(VLOOKUP(Fact_Impuestos[[#This Row], 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ht="18.75" customHeight="1" x14ac:dyDescent="0.35">
      <c r="C371" s="100" t="str">
        <f>IF(OR(Fact_Impuestos[[#This Row], [Año]]="",Fact_Impuestos[[#This Row], [Mes]]=""),"",DATE(A371,MATCH(B371,{"enero","febrero","marzo","abril","mayo","junio","julio","agosto","septiembre","octubre","noviembre","diciembre"},0)+1,0))</f>
        <v/>
      </c>
      <c r="E371" t="str">
        <f>+IFERROR(VLOOKUP(Fact_Impuestos[[#This Row], [Concepto Anterior]],Conceptos_Impuestos[#All],5,0),"")</f>
        <v/>
      </c>
      <c r="F371" t="str">
        <f>+IFERROR(VLOOKUP(Fact_Impuestos[[#This Row], 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ht="18.75" customHeight="1" x14ac:dyDescent="0.35">
      <c r="C372" s="100" t="str">
        <f>IF(OR(Fact_Impuestos[[#This Row], [Año]]="",Fact_Impuestos[[#This Row], [Mes]]=""),"",DATE(A372,MATCH(B372,{"enero","febrero","marzo","abril","mayo","junio","julio","agosto","septiembre","octubre","noviembre","diciembre"},0)+1,0))</f>
        <v/>
      </c>
      <c r="E372" t="str">
        <f>+IFERROR(VLOOKUP(Fact_Impuestos[[#This Row], [Concepto Anterior]],Conceptos_Impuestos[#All],5,0),"")</f>
        <v/>
      </c>
      <c r="F372" t="str">
        <f>+IFERROR(VLOOKUP(Fact_Impuestos[[#This Row], 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ht="18.75" customHeight="1" x14ac:dyDescent="0.35">
      <c r="C373" s="100" t="str">
        <f>IF(OR(Fact_Impuestos[[#This Row], [Año]]="",Fact_Impuestos[[#This Row], [Mes]]=""),"",DATE(A373,MATCH(B373,{"enero","febrero","marzo","abril","mayo","junio","julio","agosto","septiembre","octubre","noviembre","diciembre"},0)+1,0))</f>
        <v/>
      </c>
      <c r="E373" t="str">
        <f>+IFERROR(VLOOKUP(Fact_Impuestos[[#This Row], [Concepto Anterior]],Conceptos_Impuestos[#All],5,0),"")</f>
        <v/>
      </c>
      <c r="F373" t="str">
        <f>+IFERROR(VLOOKUP(Fact_Impuestos[[#This Row], 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ht="18.75" customHeight="1" x14ac:dyDescent="0.35">
      <c r="C374" s="100" t="str">
        <f>IF(OR(Fact_Impuestos[[#This Row], [Año]]="",Fact_Impuestos[[#This Row], [Mes]]=""),"",DATE(A374,MATCH(B374,{"enero","febrero","marzo","abril","mayo","junio","julio","agosto","septiembre","octubre","noviembre","diciembre"},0)+1,0))</f>
        <v/>
      </c>
      <c r="E374" t="str">
        <f>+IFERROR(VLOOKUP(Fact_Impuestos[[#This Row], [Concepto Anterior]],Conceptos_Impuestos[#All],5,0),"")</f>
        <v/>
      </c>
      <c r="F374" t="str">
        <f>+IFERROR(VLOOKUP(Fact_Impuestos[[#This Row], 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ht="18.75" customHeight="1" x14ac:dyDescent="0.35">
      <c r="C375" s="100" t="str">
        <f>IF(OR(Fact_Impuestos[[#This Row], [Año]]="",Fact_Impuestos[[#This Row], [Mes]]=""),"",DATE(A375,MATCH(B375,{"enero","febrero","marzo","abril","mayo","junio","julio","agosto","septiembre","octubre","noviembre","diciembre"},0)+1,0))</f>
        <v/>
      </c>
      <c r="E375" t="str">
        <f>+IFERROR(VLOOKUP(Fact_Impuestos[[#This Row], [Concepto Anterior]],Conceptos_Impuestos[#All],5,0),"")</f>
        <v/>
      </c>
      <c r="F375" t="str">
        <f>+IFERROR(VLOOKUP(Fact_Impuestos[[#This Row], 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ht="18.75" customHeight="1" x14ac:dyDescent="0.35">
      <c r="C376" s="100" t="str">
        <f>IF(OR(Fact_Impuestos[[#This Row], [Año]]="",Fact_Impuestos[[#This Row], [Mes]]=""),"",DATE(A376,MATCH(B376,{"enero","febrero","marzo","abril","mayo","junio","julio","agosto","septiembre","octubre","noviembre","diciembre"},0)+1,0))</f>
        <v/>
      </c>
      <c r="E376" t="str">
        <f>+IFERROR(VLOOKUP(Fact_Impuestos[[#This Row], [Concepto Anterior]],Conceptos_Impuestos[#All],5,0),"")</f>
        <v/>
      </c>
      <c r="F376" t="str">
        <f>+IFERROR(VLOOKUP(Fact_Impuestos[[#This Row], 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ht="18.75" customHeight="1" x14ac:dyDescent="0.35">
      <c r="C377" s="100" t="str">
        <f>IF(OR(Fact_Impuestos[[#This Row], [Año]]="",Fact_Impuestos[[#This Row], [Mes]]=""),"",DATE(A377,MATCH(B377,{"enero","febrero","marzo","abril","mayo","junio","julio","agosto","septiembre","octubre","noviembre","diciembre"},0)+1,0))</f>
        <v/>
      </c>
      <c r="E377" t="str">
        <f>+IFERROR(VLOOKUP(Fact_Impuestos[[#This Row], [Concepto Anterior]],Conceptos_Impuestos[#All],5,0),"")</f>
        <v/>
      </c>
      <c r="F377" t="str">
        <f>+IFERROR(VLOOKUP(Fact_Impuestos[[#This Row], 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ht="18.75" customHeight="1" x14ac:dyDescent="0.35">
      <c r="C378" s="100" t="str">
        <f>IF(OR(Fact_Impuestos[[#This Row], [Año]]="",Fact_Impuestos[[#This Row], [Mes]]=""),"",DATE(A378,MATCH(B378,{"enero","febrero","marzo","abril","mayo","junio","julio","agosto","septiembre","octubre","noviembre","diciembre"},0)+1,0))</f>
        <v/>
      </c>
      <c r="E378" t="str">
        <f>+IFERROR(VLOOKUP(Fact_Impuestos[[#This Row], [Concepto Anterior]],Conceptos_Impuestos[#All],5,0),"")</f>
        <v/>
      </c>
      <c r="F378" t="str">
        <f>+IFERROR(VLOOKUP(Fact_Impuestos[[#This Row], 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ht="18.75" customHeight="1" x14ac:dyDescent="0.35">
      <c r="C379" s="100" t="str">
        <f>IF(OR(Fact_Impuestos[[#This Row], [Año]]="",Fact_Impuestos[[#This Row], [Mes]]=""),"",DATE(A379,MATCH(B379,{"enero","febrero","marzo","abril","mayo","junio","julio","agosto","septiembre","octubre","noviembre","diciembre"},0)+1,0))</f>
        <v/>
      </c>
      <c r="E379" t="str">
        <f>+IFERROR(VLOOKUP(Fact_Impuestos[[#This Row], [Concepto Anterior]],Conceptos_Impuestos[#All],5,0),"")</f>
        <v/>
      </c>
      <c r="F379" t="str">
        <f>+IFERROR(VLOOKUP(Fact_Impuestos[[#This Row], 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ht="18.75" customHeight="1" x14ac:dyDescent="0.35">
      <c r="C380" s="100" t="str">
        <f>IF(OR(Fact_Impuestos[[#This Row], [Año]]="",Fact_Impuestos[[#This Row], [Mes]]=""),"",DATE(A380,MATCH(B380,{"enero","febrero","marzo","abril","mayo","junio","julio","agosto","septiembre","octubre","noviembre","diciembre"},0)+1,0))</f>
        <v/>
      </c>
      <c r="E380" t="str">
        <f>+IFERROR(VLOOKUP(Fact_Impuestos[[#This Row], [Concepto Anterior]],Conceptos_Impuestos[#All],5,0),"")</f>
        <v/>
      </c>
      <c r="F380" t="str">
        <f>+IFERROR(VLOOKUP(Fact_Impuestos[[#This Row], 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ht="18.75" customHeight="1" x14ac:dyDescent="0.35">
      <c r="C381" s="100" t="str">
        <f>IF(OR(Fact_Impuestos[[#This Row], [Año]]="",Fact_Impuestos[[#This Row], [Mes]]=""),"",DATE(A381,MATCH(B381,{"enero","febrero","marzo","abril","mayo","junio","julio","agosto","septiembre","octubre","noviembre","diciembre"},0)+1,0))</f>
        <v/>
      </c>
      <c r="E381" t="str">
        <f>+IFERROR(VLOOKUP(Fact_Impuestos[[#This Row], [Concepto Anterior]],Conceptos_Impuestos[#All],5,0),"")</f>
        <v/>
      </c>
      <c r="F381" t="str">
        <f>+IFERROR(VLOOKUP(Fact_Impuestos[[#This Row], 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ht="18.75" customHeight="1" x14ac:dyDescent="0.35">
      <c r="C382" s="100" t="str">
        <f>IF(OR(Fact_Impuestos[[#This Row], [Año]]="",Fact_Impuestos[[#This Row], [Mes]]=""),"",DATE(A382,MATCH(B382,{"enero","febrero","marzo","abril","mayo","junio","julio","agosto","septiembre","octubre","noviembre","diciembre"},0)+1,0))</f>
        <v/>
      </c>
      <c r="E382" t="str">
        <f>+IFERROR(VLOOKUP(Fact_Impuestos[[#This Row], [Concepto Anterior]],Conceptos_Impuestos[#All],5,0),"")</f>
        <v/>
      </c>
      <c r="F382" t="str">
        <f>+IFERROR(VLOOKUP(Fact_Impuestos[[#This Row], 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ht="18.75" customHeight="1" x14ac:dyDescent="0.35">
      <c r="C383" s="100" t="str">
        <f>IF(OR(Fact_Impuestos[[#This Row], [Año]]="",Fact_Impuestos[[#This Row], [Mes]]=""),"",DATE(A383,MATCH(B383,{"enero","febrero","marzo","abril","mayo","junio","julio","agosto","septiembre","octubre","noviembre","diciembre"},0)+1,0))</f>
        <v/>
      </c>
      <c r="E383" t="str">
        <f>+IFERROR(VLOOKUP(Fact_Impuestos[[#This Row], [Concepto Anterior]],Conceptos_Impuestos[#All],5,0),"")</f>
        <v/>
      </c>
      <c r="F383" t="str">
        <f>+IFERROR(VLOOKUP(Fact_Impuestos[[#This Row], 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ht="18.75" customHeight="1" x14ac:dyDescent="0.35">
      <c r="C384" s="100" t="str">
        <f>IF(OR(Fact_Impuestos[[#This Row], [Año]]="",Fact_Impuestos[[#This Row], [Mes]]=""),"",DATE(A384,MATCH(B384,{"enero","febrero","marzo","abril","mayo","junio","julio","agosto","septiembre","octubre","noviembre","diciembre"},0)+1,0))</f>
        <v/>
      </c>
      <c r="E384" t="str">
        <f>+IFERROR(VLOOKUP(Fact_Impuestos[[#This Row], [Concepto Anterior]],Conceptos_Impuestos[#All],5,0),"")</f>
        <v/>
      </c>
      <c r="F384" t="str">
        <f>+IFERROR(VLOOKUP(Fact_Impuestos[[#This Row], 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ht="18.75" customHeight="1" x14ac:dyDescent="0.35">
      <c r="C385" s="100" t="str">
        <f>IF(OR(Fact_Impuestos[[#This Row], [Año]]="",Fact_Impuestos[[#This Row], [Mes]]=""),"",DATE(A385,MATCH(B385,{"enero","febrero","marzo","abril","mayo","junio","julio","agosto","septiembre","octubre","noviembre","diciembre"},0)+1,0))</f>
        <v/>
      </c>
      <c r="E385" t="str">
        <f>+IFERROR(VLOOKUP(Fact_Impuestos[[#This Row], [Concepto Anterior]],Conceptos_Impuestos[#All],5,0),"")</f>
        <v/>
      </c>
      <c r="F385" t="str">
        <f>+IFERROR(VLOOKUP(Fact_Impuestos[[#This Row], 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ht="18.75" customHeight="1" x14ac:dyDescent="0.35">
      <c r="C386" s="100" t="str">
        <f>IF(OR(Fact_Impuestos[[#This Row], [Año]]="",Fact_Impuestos[[#This Row], [Mes]]=""),"",DATE(A386,MATCH(B386,{"enero","febrero","marzo","abril","mayo","junio","julio","agosto","septiembre","octubre","noviembre","diciembre"},0)+1,0))</f>
        <v/>
      </c>
      <c r="E386" t="str">
        <f>+IFERROR(VLOOKUP(Fact_Impuestos[[#This Row], [Concepto Anterior]],Conceptos_Impuestos[#All],5,0),"")</f>
        <v/>
      </c>
      <c r="F386" t="str">
        <f>+IFERROR(VLOOKUP(Fact_Impuestos[[#This Row], 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ht="18.75" customHeight="1" x14ac:dyDescent="0.35">
      <c r="C387" s="100" t="str">
        <f>IF(OR(Fact_Impuestos[[#This Row], [Año]]="",Fact_Impuestos[[#This Row], [Mes]]=""),"",DATE(A387,MATCH(B387,{"enero","febrero","marzo","abril","mayo","junio","julio","agosto","septiembre","octubre","noviembre","diciembre"},0)+1,0))</f>
        <v/>
      </c>
      <c r="E387" t="str">
        <f>+IFERROR(VLOOKUP(Fact_Impuestos[[#This Row], [Concepto Anterior]],Conceptos_Impuestos[#All],5,0),"")</f>
        <v/>
      </c>
      <c r="F387" t="str">
        <f>+IFERROR(VLOOKUP(Fact_Impuestos[[#This Row], 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ht="18.75" customHeight="1" x14ac:dyDescent="0.35">
      <c r="C388" s="100" t="str">
        <f>IF(OR(Fact_Impuestos[[#This Row], [Año]]="",Fact_Impuestos[[#This Row], [Mes]]=""),"",DATE(A388,MATCH(B388,{"enero","febrero","marzo","abril","mayo","junio","julio","agosto","septiembre","octubre","noviembre","diciembre"},0)+1,0))</f>
        <v/>
      </c>
      <c r="E388" t="str">
        <f>+IFERROR(VLOOKUP(Fact_Impuestos[[#This Row], [Concepto Anterior]],Conceptos_Impuestos[#All],5,0),"")</f>
        <v/>
      </c>
      <c r="F388" t="str">
        <f>+IFERROR(VLOOKUP(Fact_Impuestos[[#This Row], 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ht="18.75" customHeight="1" x14ac:dyDescent="0.35">
      <c r="C389" s="100" t="str">
        <f>IF(OR(Fact_Impuestos[[#This Row], [Año]]="",Fact_Impuestos[[#This Row], [Mes]]=""),"",DATE(A389,MATCH(B389,{"enero","febrero","marzo","abril","mayo","junio","julio","agosto","septiembre","octubre","noviembre","diciembre"},0)+1,0))</f>
        <v/>
      </c>
      <c r="E389" t="str">
        <f>+IFERROR(VLOOKUP(Fact_Impuestos[[#This Row], [Concepto Anterior]],Conceptos_Impuestos[#All],5,0),"")</f>
        <v/>
      </c>
      <c r="F389" t="str">
        <f>+IFERROR(VLOOKUP(Fact_Impuestos[[#This Row], 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ht="18.75" customHeight="1" x14ac:dyDescent="0.35">
      <c r="C390" s="100" t="str">
        <f>IF(OR(Fact_Impuestos[[#This Row], [Año]]="",Fact_Impuestos[[#This Row], [Mes]]=""),"",DATE(A390,MATCH(B390,{"enero","febrero","marzo","abril","mayo","junio","julio","agosto","septiembre","octubre","noviembre","diciembre"},0)+1,0))</f>
        <v/>
      </c>
      <c r="E390" t="str">
        <f>+IFERROR(VLOOKUP(Fact_Impuestos[[#This Row], [Concepto Anterior]],Conceptos_Impuestos[#All],5,0),"")</f>
        <v/>
      </c>
      <c r="F390" t="str">
        <f>+IFERROR(VLOOKUP(Fact_Impuestos[[#This Row], 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ht="18.75" customHeight="1" x14ac:dyDescent="0.35">
      <c r="C391" s="100" t="str">
        <f>IF(OR(Fact_Impuestos[[#This Row], [Año]]="",Fact_Impuestos[[#This Row], [Mes]]=""),"",DATE(A391,MATCH(B391,{"enero","febrero","marzo","abril","mayo","junio","julio","agosto","septiembre","octubre","noviembre","diciembre"},0)+1,0))</f>
        <v/>
      </c>
      <c r="E391" t="str">
        <f>+IFERROR(VLOOKUP(Fact_Impuestos[[#This Row], [Concepto Anterior]],Conceptos_Impuestos[#All],5,0),"")</f>
        <v/>
      </c>
      <c r="F391" t="str">
        <f>+IFERROR(VLOOKUP(Fact_Impuestos[[#This Row], 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ht="18.75" customHeight="1" x14ac:dyDescent="0.35">
      <c r="C392" s="100" t="str">
        <f>IF(OR(Fact_Impuestos[[#This Row], [Año]]="",Fact_Impuestos[[#This Row], [Mes]]=""),"",DATE(A392,MATCH(B392,{"enero","febrero","marzo","abril","mayo","junio","julio","agosto","septiembre","octubre","noviembre","diciembre"},0)+1,0))</f>
        <v/>
      </c>
      <c r="E392" t="str">
        <f>+IFERROR(VLOOKUP(Fact_Impuestos[[#This Row], [Concepto Anterior]],Conceptos_Impuestos[#All],5,0),"")</f>
        <v/>
      </c>
      <c r="F392" t="str">
        <f>+IFERROR(VLOOKUP(Fact_Impuestos[[#This Row], 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ht="18.75" customHeight="1" x14ac:dyDescent="0.35">
      <c r="C393" s="100" t="str">
        <f>IF(OR(Fact_Impuestos[[#This Row], [Año]]="",Fact_Impuestos[[#This Row], [Mes]]=""),"",DATE(A393,MATCH(B393,{"enero","febrero","marzo","abril","mayo","junio","julio","agosto","septiembre","octubre","noviembre","diciembre"},0)+1,0))</f>
        <v/>
      </c>
      <c r="E393" t="str">
        <f>+IFERROR(VLOOKUP(Fact_Impuestos[[#This Row], [Concepto Anterior]],Conceptos_Impuestos[#All],5,0),"")</f>
        <v/>
      </c>
      <c r="F393" t="str">
        <f>+IFERROR(VLOOKUP(Fact_Impuestos[[#This Row], 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ht="18.75" customHeight="1" x14ac:dyDescent="0.35">
      <c r="C394" s="100" t="str">
        <f>IF(OR(Fact_Impuestos[[#This Row], [Año]]="",Fact_Impuestos[[#This Row], [Mes]]=""),"",DATE(A394,MATCH(B394,{"enero","febrero","marzo","abril","mayo","junio","julio","agosto","septiembre","octubre","noviembre","diciembre"},0)+1,0))</f>
        <v/>
      </c>
      <c r="E394" t="str">
        <f>+IFERROR(VLOOKUP(Fact_Impuestos[[#This Row], [Concepto Anterior]],Conceptos_Impuestos[#All],5,0),"")</f>
        <v/>
      </c>
      <c r="F394" t="str">
        <f>+IFERROR(VLOOKUP(Fact_Impuestos[[#This Row], 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ht="18.75" customHeight="1" x14ac:dyDescent="0.35">
      <c r="C395" s="100" t="str">
        <f>IF(OR(Fact_Impuestos[[#This Row], [Año]]="",Fact_Impuestos[[#This Row], [Mes]]=""),"",DATE(A395,MATCH(B395,{"enero","febrero","marzo","abril","mayo","junio","julio","agosto","septiembre","octubre","noviembre","diciembre"},0)+1,0))</f>
        <v/>
      </c>
      <c r="E395" t="str">
        <f>+IFERROR(VLOOKUP(Fact_Impuestos[[#This Row], [Concepto Anterior]],Conceptos_Impuestos[#All],5,0),"")</f>
        <v/>
      </c>
      <c r="F395" t="str">
        <f>+IFERROR(VLOOKUP(Fact_Impuestos[[#This Row], 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ht="18.75" customHeight="1" x14ac:dyDescent="0.35">
      <c r="C396" s="100" t="str">
        <f>IF(OR(Fact_Impuestos[[#This Row], [Año]]="",Fact_Impuestos[[#This Row], [Mes]]=""),"",DATE(A396,MATCH(B396,{"enero","febrero","marzo","abril","mayo","junio","julio","agosto","septiembre","octubre","noviembre","diciembre"},0)+1,0))</f>
        <v/>
      </c>
      <c r="E396" t="str">
        <f>+IFERROR(VLOOKUP(Fact_Impuestos[[#This Row], [Concepto Anterior]],Conceptos_Impuestos[#All],5,0),"")</f>
        <v/>
      </c>
      <c r="F396" t="str">
        <f>+IFERROR(VLOOKUP(Fact_Impuestos[[#This Row], 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ht="18.75" customHeight="1" x14ac:dyDescent="0.35">
      <c r="C397" s="100" t="str">
        <f>IF(OR(Fact_Impuestos[[#This Row], [Año]]="",Fact_Impuestos[[#This Row], [Mes]]=""),"",DATE(A397,MATCH(B397,{"enero","febrero","marzo","abril","mayo","junio","julio","agosto","septiembre","octubre","noviembre","diciembre"},0)+1,0))</f>
        <v/>
      </c>
      <c r="E397" t="str">
        <f>+IFERROR(VLOOKUP(Fact_Impuestos[[#This Row], [Concepto Anterior]],Conceptos_Impuestos[#All],5,0),"")</f>
        <v/>
      </c>
      <c r="F397" t="str">
        <f>+IFERROR(VLOOKUP(Fact_Impuestos[[#This Row], 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ht="18.75" customHeight="1" x14ac:dyDescent="0.35">
      <c r="C398" s="100" t="str">
        <f>IF(OR(Fact_Impuestos[[#This Row], [Año]]="",Fact_Impuestos[[#This Row], [Mes]]=""),"",DATE(A398,MATCH(B398,{"enero","febrero","marzo","abril","mayo","junio","julio","agosto","septiembre","octubre","noviembre","diciembre"},0)+1,0))</f>
        <v/>
      </c>
      <c r="E398" t="str">
        <f>+IFERROR(VLOOKUP(Fact_Impuestos[[#This Row], [Concepto Anterior]],Conceptos_Impuestos[#All],5,0),"")</f>
        <v/>
      </c>
      <c r="F398" t="str">
        <f>+IFERROR(VLOOKUP(Fact_Impuestos[[#This Row], 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ht="18.75" customHeight="1" x14ac:dyDescent="0.35">
      <c r="C399" s="100" t="str">
        <f>IF(OR(Fact_Impuestos[[#This Row], [Año]]="",Fact_Impuestos[[#This Row], [Mes]]=""),"",DATE(A399,MATCH(B399,{"enero","febrero","marzo","abril","mayo","junio","julio","agosto","septiembre","octubre","noviembre","diciembre"},0)+1,0))</f>
        <v/>
      </c>
      <c r="E399" t="str">
        <f>+IFERROR(VLOOKUP(Fact_Impuestos[[#This Row], [Concepto Anterior]],Conceptos_Impuestos[#All],5,0),"")</f>
        <v/>
      </c>
      <c r="F399" t="str">
        <f>+IFERROR(VLOOKUP(Fact_Impuestos[[#This Row], 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ht="18.75" customHeight="1" x14ac:dyDescent="0.35">
      <c r="C400" s="100" t="str">
        <f>IF(OR(Fact_Impuestos[[#This Row], [Año]]="",Fact_Impuestos[[#This Row], [Mes]]=""),"",DATE(A400,MATCH(B400,{"enero","febrero","marzo","abril","mayo","junio","julio","agosto","septiembre","octubre","noviembre","diciembre"},0)+1,0))</f>
        <v/>
      </c>
      <c r="E400" t="str">
        <f>+IFERROR(VLOOKUP(Fact_Impuestos[[#This Row], [Concepto Anterior]],Conceptos_Impuestos[#All],5,0),"")</f>
        <v/>
      </c>
      <c r="F400" t="str">
        <f>+IFERROR(VLOOKUP(Fact_Impuestos[[#This Row], 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ht="18.75" customHeight="1" x14ac:dyDescent="0.35">
      <c r="C401" s="100" t="str">
        <f>IF(OR(Fact_Impuestos[[#This Row], [Año]]="",Fact_Impuestos[[#This Row], [Mes]]=""),"",DATE(A401,MATCH(B401,{"enero","febrero","marzo","abril","mayo","junio","julio","agosto","septiembre","octubre","noviembre","diciembre"},0)+1,0))</f>
        <v/>
      </c>
      <c r="E401" t="str">
        <f>+IFERROR(VLOOKUP(Fact_Impuestos[[#This Row], [Concepto Anterior]],Conceptos_Impuestos[#All],5,0),"")</f>
        <v/>
      </c>
      <c r="F401" t="str">
        <f>+IFERROR(VLOOKUP(Fact_Impuestos[[#This Row], 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ht="18.75" customHeight="1" x14ac:dyDescent="0.35">
      <c r="C402" s="100" t="str">
        <f>IF(OR(Fact_Impuestos[[#This Row], [Año]]="",Fact_Impuestos[[#This Row], [Mes]]=""),"",DATE(A402,MATCH(B402,{"enero","febrero","marzo","abril","mayo","junio","julio","agosto","septiembre","octubre","noviembre","diciembre"},0)+1,0))</f>
        <v/>
      </c>
      <c r="E402" t="str">
        <f>+IFERROR(VLOOKUP(Fact_Impuestos[[#This Row], [Concepto Anterior]],Conceptos_Impuestos[#All],5,0),"")</f>
        <v/>
      </c>
      <c r="F402" t="str">
        <f>+IFERROR(VLOOKUP(Fact_Impuestos[[#This Row], 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ht="18.75" customHeight="1" x14ac:dyDescent="0.35">
      <c r="C403" s="100" t="str">
        <f>IF(OR(Fact_Impuestos[[#This Row], [Año]]="",Fact_Impuestos[[#This Row], [Mes]]=""),"",DATE(A403,MATCH(B403,{"enero","febrero","marzo","abril","mayo","junio","julio","agosto","septiembre","octubre","noviembre","diciembre"},0)+1,0))</f>
        <v/>
      </c>
      <c r="E403" t="str">
        <f>+IFERROR(VLOOKUP(Fact_Impuestos[[#This Row], [Concepto Anterior]],Conceptos_Impuestos[#All],5,0),"")</f>
        <v/>
      </c>
      <c r="F403" t="str">
        <f>+IFERROR(VLOOKUP(Fact_Impuestos[[#This Row], 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ht="18.75" customHeight="1" x14ac:dyDescent="0.35">
      <c r="C404" s="100" t="str">
        <f>IF(OR(Fact_Impuestos[[#This Row], [Año]]="",Fact_Impuestos[[#This Row], [Mes]]=""),"",DATE(A404,MATCH(B404,{"enero","febrero","marzo","abril","mayo","junio","julio","agosto","septiembre","octubre","noviembre","diciembre"},0)+1,0))</f>
        <v/>
      </c>
      <c r="E404" t="str">
        <f>+IFERROR(VLOOKUP(Fact_Impuestos[[#This Row], [Concepto Anterior]],Conceptos_Impuestos[#All],5,0),"")</f>
        <v/>
      </c>
      <c r="F404" t="str">
        <f>+IFERROR(VLOOKUP(Fact_Impuestos[[#This Row], 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ht="18.75" customHeight="1" x14ac:dyDescent="0.35">
      <c r="C405" s="100" t="str">
        <f>IF(OR(Fact_Impuestos[[#This Row], [Año]]="",Fact_Impuestos[[#This Row], [Mes]]=""),"",DATE(A405,MATCH(B405,{"enero","febrero","marzo","abril","mayo","junio","julio","agosto","septiembre","octubre","noviembre","diciembre"},0)+1,0))</f>
        <v/>
      </c>
      <c r="E405" t="str">
        <f>+IFERROR(VLOOKUP(Fact_Impuestos[[#This Row], [Concepto Anterior]],Conceptos_Impuestos[#All],5,0),"")</f>
        <v/>
      </c>
      <c r="F405" t="str">
        <f>+IFERROR(VLOOKUP(Fact_Impuestos[[#This Row], 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ht="18.75" customHeight="1" x14ac:dyDescent="0.35">
      <c r="C406" s="100" t="str">
        <f>IF(OR(Fact_Impuestos[[#This Row], [Año]]="",Fact_Impuestos[[#This Row], [Mes]]=""),"",DATE(A406,MATCH(B406,{"enero","febrero","marzo","abril","mayo","junio","julio","agosto","septiembre","octubre","noviembre","diciembre"},0)+1,0))</f>
        <v/>
      </c>
      <c r="E406" t="str">
        <f>+IFERROR(VLOOKUP(Fact_Impuestos[[#This Row], [Concepto Anterior]],Conceptos_Impuestos[#All],5,0),"")</f>
        <v/>
      </c>
      <c r="F406" t="str">
        <f>+IFERROR(VLOOKUP(Fact_Impuestos[[#This Row], 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ht="18.75" customHeight="1" x14ac:dyDescent="0.35">
      <c r="C407" s="100" t="str">
        <f>IF(OR(Fact_Impuestos[[#This Row], [Año]]="",Fact_Impuestos[[#This Row], [Mes]]=""),"",DATE(A407,MATCH(B407,{"enero","febrero","marzo","abril","mayo","junio","julio","agosto","septiembre","octubre","noviembre","diciembre"},0)+1,0))</f>
        <v/>
      </c>
      <c r="E407" t="str">
        <f>+IFERROR(VLOOKUP(Fact_Impuestos[[#This Row], [Concepto Anterior]],Conceptos_Impuestos[#All],5,0),"")</f>
        <v/>
      </c>
      <c r="F407" t="str">
        <f>+IFERROR(VLOOKUP(Fact_Impuestos[[#This Row], 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ht="18.75" customHeight="1" x14ac:dyDescent="0.35">
      <c r="C408" s="100" t="str">
        <f>IF(OR(Fact_Impuestos[[#This Row], [Año]]="",Fact_Impuestos[[#This Row], [Mes]]=""),"",DATE(A408,MATCH(B408,{"enero","febrero","marzo","abril","mayo","junio","julio","agosto","septiembre","octubre","noviembre","diciembre"},0)+1,0))</f>
        <v/>
      </c>
      <c r="E408" t="str">
        <f>+IFERROR(VLOOKUP(Fact_Impuestos[[#This Row], [Concepto Anterior]],Conceptos_Impuestos[#All],5,0),"")</f>
        <v/>
      </c>
      <c r="F408" t="str">
        <f>+IFERROR(VLOOKUP(Fact_Impuestos[[#This Row], 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ht="18.75" customHeight="1" x14ac:dyDescent="0.35">
      <c r="C409" s="100" t="str">
        <f>IF(OR(Fact_Impuestos[[#This Row], [Año]]="",Fact_Impuestos[[#This Row], [Mes]]=""),"",DATE(A409,MATCH(B409,{"enero","febrero","marzo","abril","mayo","junio","julio","agosto","septiembre","octubre","noviembre","diciembre"},0)+1,0))</f>
        <v/>
      </c>
      <c r="E409" t="str">
        <f>+IFERROR(VLOOKUP(Fact_Impuestos[[#This Row], [Concepto Anterior]],Conceptos_Impuestos[#All],5,0),"")</f>
        <v/>
      </c>
      <c r="F409" t="str">
        <f>+IFERROR(VLOOKUP(Fact_Impuestos[[#This Row], 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ht="18.75" customHeight="1" x14ac:dyDescent="0.35">
      <c r="C410" s="100" t="str">
        <f>IF(OR(Fact_Impuestos[[#This Row], [Año]]="",Fact_Impuestos[[#This Row], [Mes]]=""),"",DATE(A410,MATCH(B410,{"enero","febrero","marzo","abril","mayo","junio","julio","agosto","septiembre","octubre","noviembre","diciembre"},0)+1,0))</f>
        <v/>
      </c>
      <c r="E410" t="str">
        <f>+IFERROR(VLOOKUP(Fact_Impuestos[[#This Row], [Concepto Anterior]],Conceptos_Impuestos[#All],5,0),"")</f>
        <v/>
      </c>
      <c r="F410" t="str">
        <f>+IFERROR(VLOOKUP(Fact_Impuestos[[#This Row], 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ht="18.75" customHeight="1" x14ac:dyDescent="0.35">
      <c r="C411" s="100" t="str">
        <f>IF(OR(Fact_Impuestos[[#This Row], [Año]]="",Fact_Impuestos[[#This Row], [Mes]]=""),"",DATE(A411,MATCH(B411,{"enero","febrero","marzo","abril","mayo","junio","julio","agosto","septiembre","octubre","noviembre","diciembre"},0)+1,0))</f>
        <v/>
      </c>
      <c r="E411" t="str">
        <f>+IFERROR(VLOOKUP(Fact_Impuestos[[#This Row], [Concepto Anterior]],Conceptos_Impuestos[#All],5,0),"")</f>
        <v/>
      </c>
      <c r="F411" t="str">
        <f>+IFERROR(VLOOKUP(Fact_Impuestos[[#This Row], 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ht="18.75" customHeight="1" x14ac:dyDescent="0.35">
      <c r="C412" s="100" t="str">
        <f>IF(OR(Fact_Impuestos[[#This Row], [Año]]="",Fact_Impuestos[[#This Row], [Mes]]=""),"",DATE(A412,MATCH(B412,{"enero","febrero","marzo","abril","mayo","junio","julio","agosto","septiembre","octubre","noviembre","diciembre"},0)+1,0))</f>
        <v/>
      </c>
      <c r="E412" t="str">
        <f>+IFERROR(VLOOKUP(Fact_Impuestos[[#This Row], [Concepto Anterior]],Conceptos_Impuestos[#All],5,0),"")</f>
        <v/>
      </c>
      <c r="F412" t="str">
        <f>+IFERROR(VLOOKUP(Fact_Impuestos[[#This Row], 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ht="18.75" customHeight="1" x14ac:dyDescent="0.35">
      <c r="C413" s="100" t="str">
        <f>IF(OR(Fact_Impuestos[[#This Row], [Año]]="",Fact_Impuestos[[#This Row], [Mes]]=""),"",DATE(A413,MATCH(B413,{"enero","febrero","marzo","abril","mayo","junio","julio","agosto","septiembre","octubre","noviembre","diciembre"},0)+1,0))</f>
        <v/>
      </c>
      <c r="E413" t="str">
        <f>+IFERROR(VLOOKUP(Fact_Impuestos[[#This Row], [Concepto Anterior]],Conceptos_Impuestos[#All],5,0),"")</f>
        <v/>
      </c>
      <c r="F413" t="str">
        <f>+IFERROR(VLOOKUP(Fact_Impuestos[[#This Row], 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ht="18.75" customHeight="1" x14ac:dyDescent="0.35">
      <c r="C414" s="100" t="str">
        <f>IF(OR(Fact_Impuestos[[#This Row], [Año]]="",Fact_Impuestos[[#This Row], [Mes]]=""),"",DATE(A414,MATCH(B414,{"enero","febrero","marzo","abril","mayo","junio","julio","agosto","septiembre","octubre","noviembre","diciembre"},0)+1,0))</f>
        <v/>
      </c>
      <c r="E414" t="str">
        <f>+IFERROR(VLOOKUP(Fact_Impuestos[[#This Row], [Concepto Anterior]],Conceptos_Impuestos[#All],5,0),"")</f>
        <v/>
      </c>
      <c r="F414" t="str">
        <f>+IFERROR(VLOOKUP(Fact_Impuestos[[#This Row], 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ht="18.75" customHeight="1" x14ac:dyDescent="0.35">
      <c r="C415" s="100" t="str">
        <f>IF(OR(Fact_Impuestos[[#This Row], [Año]]="",Fact_Impuestos[[#This Row], [Mes]]=""),"",DATE(A415,MATCH(B415,{"enero","febrero","marzo","abril","mayo","junio","julio","agosto","septiembre","octubre","noviembre","diciembre"},0)+1,0))</f>
        <v/>
      </c>
      <c r="E415" t="str">
        <f>+IFERROR(VLOOKUP(Fact_Impuestos[[#This Row], [Concepto Anterior]],Conceptos_Impuestos[#All],5,0),"")</f>
        <v/>
      </c>
      <c r="F415" t="str">
        <f>+IFERROR(VLOOKUP(Fact_Impuestos[[#This Row], 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ht="18.75" customHeight="1" x14ac:dyDescent="0.35">
      <c r="C416" s="100" t="str">
        <f>IF(OR(Fact_Impuestos[[#This Row], [Año]]="",Fact_Impuestos[[#This Row], [Mes]]=""),"",DATE(A416,MATCH(B416,{"enero","febrero","marzo","abril","mayo","junio","julio","agosto","septiembre","octubre","noviembre","diciembre"},0)+1,0))</f>
        <v/>
      </c>
      <c r="E416" t="str">
        <f>+IFERROR(VLOOKUP(Fact_Impuestos[[#This Row], [Concepto Anterior]],Conceptos_Impuestos[#All],5,0),"")</f>
        <v/>
      </c>
      <c r="F416" t="str">
        <f>+IFERROR(VLOOKUP(Fact_Impuestos[[#This Row], 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ht="18.75" customHeight="1" x14ac:dyDescent="0.35">
      <c r="C417" s="100" t="str">
        <f>IF(OR(Fact_Impuestos[[#This Row], [Año]]="",Fact_Impuestos[[#This Row], [Mes]]=""),"",DATE(A417,MATCH(B417,{"enero","febrero","marzo","abril","mayo","junio","julio","agosto","septiembre","octubre","noviembre","diciembre"},0)+1,0))</f>
        <v/>
      </c>
      <c r="E417" t="str">
        <f>+IFERROR(VLOOKUP(Fact_Impuestos[[#This Row], [Concepto Anterior]],Conceptos_Impuestos[#All],5,0),"")</f>
        <v/>
      </c>
      <c r="F417" t="str">
        <f>+IFERROR(VLOOKUP(Fact_Impuestos[[#This Row], 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ht="18.75" customHeight="1" x14ac:dyDescent="0.35">
      <c r="C418" s="100" t="str">
        <f>IF(OR(Fact_Impuestos[[#This Row], [Año]]="",Fact_Impuestos[[#This Row], [Mes]]=""),"",DATE(A418,MATCH(B418,{"enero","febrero","marzo","abril","mayo","junio","julio","agosto","septiembre","octubre","noviembre","diciembre"},0)+1,0))</f>
        <v/>
      </c>
      <c r="E418" t="str">
        <f>+IFERROR(VLOOKUP(Fact_Impuestos[[#This Row], [Concepto Anterior]],Conceptos_Impuestos[#All],5,0),"")</f>
        <v/>
      </c>
      <c r="F418" t="str">
        <f>+IFERROR(VLOOKUP(Fact_Impuestos[[#This Row], 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ht="18.75" customHeight="1" x14ac:dyDescent="0.35">
      <c r="C419" s="100" t="str">
        <f>IF(OR(Fact_Impuestos[[#This Row], [Año]]="",Fact_Impuestos[[#This Row], [Mes]]=""),"",DATE(A419,MATCH(B419,{"enero","febrero","marzo","abril","mayo","junio","julio","agosto","septiembre","octubre","noviembre","diciembre"},0)+1,0))</f>
        <v/>
      </c>
      <c r="E419" t="str">
        <f>+IFERROR(VLOOKUP(Fact_Impuestos[[#This Row], [Concepto Anterior]],Conceptos_Impuestos[#All],5,0),"")</f>
        <v/>
      </c>
      <c r="F419" t="str">
        <f>+IFERROR(VLOOKUP(Fact_Impuestos[[#This Row], 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ht="18.75" customHeight="1" x14ac:dyDescent="0.35">
      <c r="C420" s="100" t="str">
        <f>IF(OR(Fact_Impuestos[[#This Row], [Año]]="",Fact_Impuestos[[#This Row], [Mes]]=""),"",DATE(A420,MATCH(B420,{"enero","febrero","marzo","abril","mayo","junio","julio","agosto","septiembre","octubre","noviembre","diciembre"},0)+1,0))</f>
        <v/>
      </c>
      <c r="E420" t="str">
        <f>+IFERROR(VLOOKUP(Fact_Impuestos[[#This Row], [Concepto Anterior]],Conceptos_Impuestos[#All],5,0),"")</f>
        <v/>
      </c>
      <c r="F420" t="str">
        <f>+IFERROR(VLOOKUP(Fact_Impuestos[[#This Row], 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ht="18.75" customHeight="1" x14ac:dyDescent="0.35">
      <c r="C421" s="100" t="str">
        <f>IF(OR(Fact_Impuestos[[#This Row], [Año]]="",Fact_Impuestos[[#This Row], [Mes]]=""),"",DATE(A421,MATCH(B421,{"enero","febrero","marzo","abril","mayo","junio","julio","agosto","septiembre","octubre","noviembre","diciembre"},0)+1,0))</f>
        <v/>
      </c>
      <c r="E421" t="str">
        <f>+IFERROR(VLOOKUP(Fact_Impuestos[[#This Row], [Concepto Anterior]],Conceptos_Impuestos[#All],5,0),"")</f>
        <v/>
      </c>
      <c r="F421" t="str">
        <f>+IFERROR(VLOOKUP(Fact_Impuestos[[#This Row], 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ht="18.75" customHeight="1" x14ac:dyDescent="0.35">
      <c r="C422" s="100" t="str">
        <f>IF(OR(Fact_Impuestos[[#This Row], [Año]]="",Fact_Impuestos[[#This Row], [Mes]]=""),"",DATE(A422,MATCH(B422,{"enero","febrero","marzo","abril","mayo","junio","julio","agosto","septiembre","octubre","noviembre","diciembre"},0)+1,0))</f>
        <v/>
      </c>
      <c r="E422" t="str">
        <f>+IFERROR(VLOOKUP(Fact_Impuestos[[#This Row], [Concepto Anterior]],Conceptos_Impuestos[#All],5,0),"")</f>
        <v/>
      </c>
      <c r="F422" t="str">
        <f>+IFERROR(VLOOKUP(Fact_Impuestos[[#This Row], 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ht="18.75" customHeight="1" x14ac:dyDescent="0.35">
      <c r="C423" s="100" t="str">
        <f>IF(OR(Fact_Impuestos[[#This Row], [Año]]="",Fact_Impuestos[[#This Row], [Mes]]=""),"",DATE(A423,MATCH(B423,{"enero","febrero","marzo","abril","mayo","junio","julio","agosto","septiembre","octubre","noviembre","diciembre"},0)+1,0))</f>
        <v/>
      </c>
      <c r="E423" t="str">
        <f>+IFERROR(VLOOKUP(Fact_Impuestos[[#This Row], [Concepto Anterior]],Conceptos_Impuestos[#All],5,0),"")</f>
        <v/>
      </c>
      <c r="F423" t="str">
        <f>+IFERROR(VLOOKUP(Fact_Impuestos[[#This Row], 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ht="18.75" customHeight="1" x14ac:dyDescent="0.35">
      <c r="C424" s="100" t="str">
        <f>IF(OR(Fact_Impuestos[[#This Row], [Año]]="",Fact_Impuestos[[#This Row], [Mes]]=""),"",DATE(A424,MATCH(B424,{"enero","febrero","marzo","abril","mayo","junio","julio","agosto","septiembre","octubre","noviembre","diciembre"},0)+1,0))</f>
        <v/>
      </c>
      <c r="E424" t="str">
        <f>+IFERROR(VLOOKUP(Fact_Impuestos[[#This Row], [Concepto Anterior]],Conceptos_Impuestos[#All],5,0),"")</f>
        <v/>
      </c>
      <c r="F424" t="str">
        <f>+IFERROR(VLOOKUP(Fact_Impuestos[[#This Row], 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ht="18.75" customHeight="1" x14ac:dyDescent="0.35">
      <c r="C425" s="100" t="str">
        <f>IF(OR(Fact_Impuestos[[#This Row], [Año]]="",Fact_Impuestos[[#This Row], [Mes]]=""),"",DATE(A425,MATCH(B425,{"enero","febrero","marzo","abril","mayo","junio","julio","agosto","septiembre","octubre","noviembre","diciembre"},0)+1,0))</f>
        <v/>
      </c>
      <c r="E425" t="str">
        <f>+IFERROR(VLOOKUP(Fact_Impuestos[[#This Row], [Concepto Anterior]],Conceptos_Impuestos[#All],5,0),"")</f>
        <v/>
      </c>
      <c r="F425" t="str">
        <f>+IFERROR(VLOOKUP(Fact_Impuestos[[#This Row], 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ht="18.75" customHeight="1" x14ac:dyDescent="0.35">
      <c r="C426" s="100" t="str">
        <f>IF(OR(Fact_Impuestos[[#This Row], [Año]]="",Fact_Impuestos[[#This Row], [Mes]]=""),"",DATE(A426,MATCH(B426,{"enero","febrero","marzo","abril","mayo","junio","julio","agosto","septiembre","octubre","noviembre","diciembre"},0)+1,0))</f>
        <v/>
      </c>
      <c r="E426" t="str">
        <f>+IFERROR(VLOOKUP(Fact_Impuestos[[#This Row], [Concepto Anterior]],Conceptos_Impuestos[#All],5,0),"")</f>
        <v/>
      </c>
      <c r="F426" t="str">
        <f>+IFERROR(VLOOKUP(Fact_Impuestos[[#This Row], 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ht="18.75" customHeight="1" x14ac:dyDescent="0.35">
      <c r="C427" s="100" t="str">
        <f>IF(OR(Fact_Impuestos[[#This Row], [Año]]="",Fact_Impuestos[[#This Row], [Mes]]=""),"",DATE(A427,MATCH(B427,{"enero","febrero","marzo","abril","mayo","junio","julio","agosto","septiembre","octubre","noviembre","diciembre"},0)+1,0))</f>
        <v/>
      </c>
      <c r="E427" t="str">
        <f>+IFERROR(VLOOKUP(Fact_Impuestos[[#This Row], [Concepto Anterior]],Conceptos_Impuestos[#All],5,0),"")</f>
        <v/>
      </c>
      <c r="F427" t="str">
        <f>+IFERROR(VLOOKUP(Fact_Impuestos[[#This Row], 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ht="18.75" customHeight="1" x14ac:dyDescent="0.35">
      <c r="C428" s="100" t="str">
        <f>IF(OR(Fact_Impuestos[[#This Row], [Año]]="",Fact_Impuestos[[#This Row], [Mes]]=""),"",DATE(A428,MATCH(B428,{"enero","febrero","marzo","abril","mayo","junio","julio","agosto","septiembre","octubre","noviembre","diciembre"},0)+1,0))</f>
        <v/>
      </c>
      <c r="E428" t="str">
        <f>+IFERROR(VLOOKUP(Fact_Impuestos[[#This Row], [Concepto Anterior]],Conceptos_Impuestos[#All],5,0),"")</f>
        <v/>
      </c>
      <c r="F428" t="str">
        <f>+IFERROR(VLOOKUP(Fact_Impuestos[[#This Row], 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ht="18.75" customHeight="1" x14ac:dyDescent="0.35">
      <c r="C429" s="100" t="str">
        <f>IF(OR(Fact_Impuestos[[#This Row], [Año]]="",Fact_Impuestos[[#This Row], [Mes]]=""),"",DATE(A429,MATCH(B429,{"enero","febrero","marzo","abril","mayo","junio","julio","agosto","septiembre","octubre","noviembre","diciembre"},0)+1,0))</f>
        <v/>
      </c>
      <c r="E429" t="str">
        <f>+IFERROR(VLOOKUP(Fact_Impuestos[[#This Row], [Concepto Anterior]],Conceptos_Impuestos[#All],5,0),"")</f>
        <v/>
      </c>
      <c r="F429" t="str">
        <f>+IFERROR(VLOOKUP(Fact_Impuestos[[#This Row], 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ht="18.75" customHeight="1" x14ac:dyDescent="0.35">
      <c r="C430" s="100" t="str">
        <f>IF(OR(Fact_Impuestos[[#This Row], [Año]]="",Fact_Impuestos[[#This Row], [Mes]]=""),"",DATE(A430,MATCH(B430,{"enero","febrero","marzo","abril","mayo","junio","julio","agosto","septiembre","octubre","noviembre","diciembre"},0)+1,0))</f>
        <v/>
      </c>
      <c r="E430" t="str">
        <f>+IFERROR(VLOOKUP(Fact_Impuestos[[#This Row], [Concepto Anterior]],Conceptos_Impuestos[#All],5,0),"")</f>
        <v/>
      </c>
      <c r="F430" t="str">
        <f>+IFERROR(VLOOKUP(Fact_Impuestos[[#This Row], 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ht="18.75" customHeight="1" x14ac:dyDescent="0.35">
      <c r="C431" s="100" t="str">
        <f>IF(OR(Fact_Impuestos[[#This Row], [Año]]="",Fact_Impuestos[[#This Row], [Mes]]=""),"",DATE(A431,MATCH(B431,{"enero","febrero","marzo","abril","mayo","junio","julio","agosto","septiembre","octubre","noviembre","diciembre"},0)+1,0))</f>
        <v/>
      </c>
      <c r="E431" t="str">
        <f>+IFERROR(VLOOKUP(Fact_Impuestos[[#This Row], [Concepto Anterior]],Conceptos_Impuestos[#All],5,0),"")</f>
        <v/>
      </c>
      <c r="F431" t="str">
        <f>+IFERROR(VLOOKUP(Fact_Impuestos[[#This Row], 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ht="18.75" customHeight="1" x14ac:dyDescent="0.35">
      <c r="C432" s="100" t="str">
        <f>IF(OR(Fact_Impuestos[[#This Row], [Año]]="",Fact_Impuestos[[#This Row], [Mes]]=""),"",DATE(A432,MATCH(B432,{"enero","febrero","marzo","abril","mayo","junio","julio","agosto","septiembre","octubre","noviembre","diciembre"},0)+1,0))</f>
        <v/>
      </c>
      <c r="E432" t="str">
        <f>+IFERROR(VLOOKUP(Fact_Impuestos[[#This Row], [Concepto Anterior]],Conceptos_Impuestos[#All],5,0),"")</f>
        <v/>
      </c>
      <c r="F432" t="str">
        <f>+IFERROR(VLOOKUP(Fact_Impuestos[[#This Row], 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ht="18.75" customHeight="1" x14ac:dyDescent="0.35">
      <c r="C433" s="100" t="str">
        <f>IF(OR(Fact_Impuestos[[#This Row], [Año]]="",Fact_Impuestos[[#This Row], [Mes]]=""),"",DATE(A433,MATCH(B433,{"enero","febrero","marzo","abril","mayo","junio","julio","agosto","septiembre","octubre","noviembre","diciembre"},0)+1,0))</f>
        <v/>
      </c>
      <c r="E433" t="str">
        <f>+IFERROR(VLOOKUP(Fact_Impuestos[[#This Row], [Concepto Anterior]],Conceptos_Impuestos[#All],5,0),"")</f>
        <v/>
      </c>
      <c r="F433" t="str">
        <f>+IFERROR(VLOOKUP(Fact_Impuestos[[#This Row], 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ht="18.75" customHeight="1" x14ac:dyDescent="0.35">
      <c r="C434" s="100" t="str">
        <f>IF(OR(Fact_Impuestos[[#This Row], [Año]]="",Fact_Impuestos[[#This Row], [Mes]]=""),"",DATE(A434,MATCH(B434,{"enero","febrero","marzo","abril","mayo","junio","julio","agosto","septiembre","octubre","noviembre","diciembre"},0)+1,0))</f>
        <v/>
      </c>
      <c r="E434" t="str">
        <f>+IFERROR(VLOOKUP(Fact_Impuestos[[#This Row], [Concepto Anterior]],Conceptos_Impuestos[#All],5,0),"")</f>
        <v/>
      </c>
      <c r="F434" t="str">
        <f>+IFERROR(VLOOKUP(Fact_Impuestos[[#This Row], 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ht="18.75" customHeight="1" x14ac:dyDescent="0.35">
      <c r="C435" s="100" t="str">
        <f>IF(OR(Fact_Impuestos[[#This Row], [Año]]="",Fact_Impuestos[[#This Row], [Mes]]=""),"",DATE(A435,MATCH(B435,{"enero","febrero","marzo","abril","mayo","junio","julio","agosto","septiembre","octubre","noviembre","diciembre"},0)+1,0))</f>
        <v/>
      </c>
      <c r="E435" t="str">
        <f>+IFERROR(VLOOKUP(Fact_Impuestos[[#This Row], [Concepto Anterior]],Conceptos_Impuestos[#All],5,0),"")</f>
        <v/>
      </c>
      <c r="F435" t="str">
        <f>+IFERROR(VLOOKUP(Fact_Impuestos[[#This Row], 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ht="18.75" customHeight="1" x14ac:dyDescent="0.35">
      <c r="C436" s="100" t="str">
        <f>IF(OR(Fact_Impuestos[[#This Row], [Año]]="",Fact_Impuestos[[#This Row], [Mes]]=""),"",DATE(A436,MATCH(B436,{"enero","febrero","marzo","abril","mayo","junio","julio","agosto","septiembre","octubre","noviembre","diciembre"},0)+1,0))</f>
        <v/>
      </c>
      <c r="E436" t="str">
        <f>+IFERROR(VLOOKUP(Fact_Impuestos[[#This Row], [Concepto Anterior]],Conceptos_Impuestos[#All],5,0),"")</f>
        <v/>
      </c>
      <c r="F436" t="str">
        <f>+IFERROR(VLOOKUP(Fact_Impuestos[[#This Row], 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ht="18.75" customHeight="1" x14ac:dyDescent="0.35">
      <c r="C437" s="100" t="str">
        <f>IF(OR(Fact_Impuestos[[#This Row], [Año]]="",Fact_Impuestos[[#This Row], [Mes]]=""),"",DATE(A437,MATCH(B437,{"enero","febrero","marzo","abril","mayo","junio","julio","agosto","septiembre","octubre","noviembre","diciembre"},0)+1,0))</f>
        <v/>
      </c>
      <c r="E437" t="str">
        <f>+IFERROR(VLOOKUP(Fact_Impuestos[[#This Row], [Concepto Anterior]],Conceptos_Impuestos[#All],5,0),"")</f>
        <v/>
      </c>
      <c r="F437" t="str">
        <f>+IFERROR(VLOOKUP(Fact_Impuestos[[#This Row], 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ht="18.75" customHeight="1" x14ac:dyDescent="0.35">
      <c r="C438" s="100" t="str">
        <f>IF(OR(Fact_Impuestos[[#This Row], [Año]]="",Fact_Impuestos[[#This Row], [Mes]]=""),"",DATE(A438,MATCH(B438,{"enero","febrero","marzo","abril","mayo","junio","julio","agosto","septiembre","octubre","noviembre","diciembre"},0)+1,0))</f>
        <v/>
      </c>
      <c r="E438" t="str">
        <f>+IFERROR(VLOOKUP(Fact_Impuestos[[#This Row], [Concepto Anterior]],Conceptos_Impuestos[#All],5,0),"")</f>
        <v/>
      </c>
      <c r="F438" t="str">
        <f>+IFERROR(VLOOKUP(Fact_Impuestos[[#This Row], 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ht="18.75" customHeight="1" x14ac:dyDescent="0.35">
      <c r="C439" s="100" t="str">
        <f>IF(OR(Fact_Impuestos[[#This Row], [Año]]="",Fact_Impuestos[[#This Row], [Mes]]=""),"",DATE(A439,MATCH(B439,{"enero","febrero","marzo","abril","mayo","junio","julio","agosto","septiembre","octubre","noviembre","diciembre"},0)+1,0))</f>
        <v/>
      </c>
      <c r="E439" t="str">
        <f>+IFERROR(VLOOKUP(Fact_Impuestos[[#This Row], [Concepto Anterior]],Conceptos_Impuestos[#All],5,0),"")</f>
        <v/>
      </c>
      <c r="F439" t="str">
        <f>+IFERROR(VLOOKUP(Fact_Impuestos[[#This Row], 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ht="18.75" customHeight="1" x14ac:dyDescent="0.35">
      <c r="C440" s="100" t="str">
        <f>IF(OR(Fact_Impuestos[[#This Row], [Año]]="",Fact_Impuestos[[#This Row], [Mes]]=""),"",DATE(A440,MATCH(B440,{"enero","febrero","marzo","abril","mayo","junio","julio","agosto","septiembre","octubre","noviembre","diciembre"},0)+1,0))</f>
        <v/>
      </c>
      <c r="E440" t="str">
        <f>+IFERROR(VLOOKUP(Fact_Impuestos[[#This Row], [Concepto Anterior]],Conceptos_Impuestos[#All],5,0),"")</f>
        <v/>
      </c>
      <c r="F440" t="str">
        <f>+IFERROR(VLOOKUP(Fact_Impuestos[[#This Row], 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ht="18.75" customHeight="1" x14ac:dyDescent="0.35">
      <c r="C441" s="100" t="str">
        <f>IF(OR(Fact_Impuestos[[#This Row], [Año]]="",Fact_Impuestos[[#This Row], [Mes]]=""),"",DATE(A441,MATCH(B441,{"enero","febrero","marzo","abril","mayo","junio","julio","agosto","septiembre","octubre","noviembre","diciembre"},0)+1,0))</f>
        <v/>
      </c>
      <c r="E441" t="str">
        <f>+IFERROR(VLOOKUP(Fact_Impuestos[[#This Row], [Concepto Anterior]],Conceptos_Impuestos[#All],5,0),"")</f>
        <v/>
      </c>
      <c r="F441" t="str">
        <f>+IFERROR(VLOOKUP(Fact_Impuestos[[#This Row], 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ht="18.75" customHeight="1" x14ac:dyDescent="0.35">
      <c r="C442" s="100" t="str">
        <f>IF(OR(Fact_Impuestos[[#This Row], [Año]]="",Fact_Impuestos[[#This Row], [Mes]]=""),"",DATE(A442,MATCH(B442,{"enero","febrero","marzo","abril","mayo","junio","julio","agosto","septiembre","octubre","noviembre","diciembre"},0)+1,0))</f>
        <v/>
      </c>
      <c r="E442" t="str">
        <f>+IFERROR(VLOOKUP(Fact_Impuestos[[#This Row], [Concepto Anterior]],Conceptos_Impuestos[#All],5,0),"")</f>
        <v/>
      </c>
      <c r="F442" t="str">
        <f>+IFERROR(VLOOKUP(Fact_Impuestos[[#This Row], 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ht="18.75" customHeight="1" x14ac:dyDescent="0.35">
      <c r="C443" s="100" t="str">
        <f>IF(OR(Fact_Impuestos[[#This Row], [Año]]="",Fact_Impuestos[[#This Row], [Mes]]=""),"",DATE(A443,MATCH(B443,{"enero","febrero","marzo","abril","mayo","junio","julio","agosto","septiembre","octubre","noviembre","diciembre"},0)+1,0))</f>
        <v/>
      </c>
      <c r="E443" t="str">
        <f>+IFERROR(VLOOKUP(Fact_Impuestos[[#This Row], [Concepto Anterior]],Conceptos_Impuestos[#All],5,0),"")</f>
        <v/>
      </c>
      <c r="F443" t="str">
        <f>+IFERROR(VLOOKUP(Fact_Impuestos[[#This Row], 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ht="18.75" customHeight="1" x14ac:dyDescent="0.35">
      <c r="C444" s="100" t="str">
        <f>IF(OR(Fact_Impuestos[[#This Row], [Año]]="",Fact_Impuestos[[#This Row], [Mes]]=""),"",DATE(A444,MATCH(B444,{"enero","febrero","marzo","abril","mayo","junio","julio","agosto","septiembre","octubre","noviembre","diciembre"},0)+1,0))</f>
        <v/>
      </c>
      <c r="E444" t="str">
        <f>+IFERROR(VLOOKUP(Fact_Impuestos[[#This Row], [Concepto Anterior]],Conceptos_Impuestos[#All],5,0),"")</f>
        <v/>
      </c>
      <c r="F444" t="str">
        <f>+IFERROR(VLOOKUP(Fact_Impuestos[[#This Row], 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ht="18.75" customHeight="1" x14ac:dyDescent="0.35">
      <c r="C445" s="100" t="str">
        <f>IF(OR(Fact_Impuestos[[#This Row], [Año]]="",Fact_Impuestos[[#This Row], [Mes]]=""),"",DATE(A445,MATCH(B445,{"enero","febrero","marzo","abril","mayo","junio","julio","agosto","septiembre","octubre","noviembre","diciembre"},0)+1,0))</f>
        <v/>
      </c>
      <c r="E445" t="str">
        <f>+IFERROR(VLOOKUP(Fact_Impuestos[[#This Row], [Concepto Anterior]],Conceptos_Impuestos[#All],5,0),"")</f>
        <v/>
      </c>
      <c r="F445" t="str">
        <f>+IFERROR(VLOOKUP(Fact_Impuestos[[#This Row], 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ht="18.75" customHeight="1" x14ac:dyDescent="0.35">
      <c r="C446" s="100" t="str">
        <f>IF(OR(Fact_Impuestos[[#This Row], [Año]]="",Fact_Impuestos[[#This Row], [Mes]]=""),"",DATE(A446,MATCH(B446,{"enero","febrero","marzo","abril","mayo","junio","julio","agosto","septiembre","octubre","noviembre","diciembre"},0)+1,0))</f>
        <v/>
      </c>
      <c r="E446" t="str">
        <f>+IFERROR(VLOOKUP(Fact_Impuestos[[#This Row], [Concepto Anterior]],Conceptos_Impuestos[#All],5,0),"")</f>
        <v/>
      </c>
      <c r="F446" t="str">
        <f>+IFERROR(VLOOKUP(Fact_Impuestos[[#This Row], 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ht="18.75" customHeight="1" x14ac:dyDescent="0.35">
      <c r="C447" s="100" t="str">
        <f>IF(OR(Fact_Impuestos[[#This Row], [Año]]="",Fact_Impuestos[[#This Row], [Mes]]=""),"",DATE(A447,MATCH(B447,{"enero","febrero","marzo","abril","mayo","junio","julio","agosto","septiembre","octubre","noviembre","diciembre"},0)+1,0))</f>
        <v/>
      </c>
      <c r="E447" t="str">
        <f>+IFERROR(VLOOKUP(Fact_Impuestos[[#This Row], [Concepto Anterior]],Conceptos_Impuestos[#All],5,0),"")</f>
        <v/>
      </c>
      <c r="F447" t="str">
        <f>+IFERROR(VLOOKUP(Fact_Impuestos[[#This Row], 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ht="18.75" customHeight="1" x14ac:dyDescent="0.35">
      <c r="C448" s="100" t="str">
        <f>IF(OR(Fact_Impuestos[[#This Row], [Año]]="",Fact_Impuestos[[#This Row], [Mes]]=""),"",DATE(A448,MATCH(B448,{"enero","febrero","marzo","abril","mayo","junio","julio","agosto","septiembre","octubre","noviembre","diciembre"},0)+1,0))</f>
        <v/>
      </c>
      <c r="E448" t="str">
        <f>+IFERROR(VLOOKUP(Fact_Impuestos[[#This Row], [Concepto Anterior]],Conceptos_Impuestos[#All],5,0),"")</f>
        <v/>
      </c>
      <c r="F448" t="str">
        <f>+IFERROR(VLOOKUP(Fact_Impuestos[[#This Row], 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ht="18.75" customHeight="1" x14ac:dyDescent="0.35">
      <c r="C449" s="100" t="str">
        <f>IF(OR(Fact_Impuestos[[#This Row], [Año]]="",Fact_Impuestos[[#This Row], [Mes]]=""),"",DATE(A449,MATCH(B449,{"enero","febrero","marzo","abril","mayo","junio","julio","agosto","septiembre","octubre","noviembre","diciembre"},0)+1,0))</f>
        <v/>
      </c>
      <c r="E449" t="str">
        <f>+IFERROR(VLOOKUP(Fact_Impuestos[[#This Row], [Concepto Anterior]],Conceptos_Impuestos[#All],5,0),"")</f>
        <v/>
      </c>
      <c r="F449" t="str">
        <f>+IFERROR(VLOOKUP(Fact_Impuestos[[#This Row], 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ht="18.75" customHeight="1" x14ac:dyDescent="0.35">
      <c r="C450" s="100" t="str">
        <f>IF(OR(Fact_Impuestos[[#This Row], [Año]]="",Fact_Impuestos[[#This Row], [Mes]]=""),"",DATE(A450,MATCH(B450,{"enero","febrero","marzo","abril","mayo","junio","julio","agosto","septiembre","octubre","noviembre","diciembre"},0)+1,0))</f>
        <v/>
      </c>
      <c r="E450" t="str">
        <f>+IFERROR(VLOOKUP(Fact_Impuestos[[#This Row], [Concepto Anterior]],Conceptos_Impuestos[#All],5,0),"")</f>
        <v/>
      </c>
      <c r="F450" t="str">
        <f>+IFERROR(VLOOKUP(Fact_Impuestos[[#This Row], 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ht="18.75" customHeight="1" x14ac:dyDescent="0.35">
      <c r="C451" s="100" t="str">
        <f>IF(OR(Fact_Impuestos[[#This Row], [Año]]="",Fact_Impuestos[[#This Row], [Mes]]=""),"",DATE(A451,MATCH(B451,{"enero","febrero","marzo","abril","mayo","junio","julio","agosto","septiembre","octubre","noviembre","diciembre"},0)+1,0))</f>
        <v/>
      </c>
      <c r="E451" t="str">
        <f>+IFERROR(VLOOKUP(Fact_Impuestos[[#This Row], [Concepto Anterior]],Conceptos_Impuestos[#All],5,0),"")</f>
        <v/>
      </c>
      <c r="F451" t="str">
        <f>+IFERROR(VLOOKUP(Fact_Impuestos[[#This Row], 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ht="18.75" customHeight="1" x14ac:dyDescent="0.35">
      <c r="C452" s="100" t="str">
        <f>IF(OR(Fact_Impuestos[[#This Row], [Año]]="",Fact_Impuestos[[#This Row], [Mes]]=""),"",DATE(A452,MATCH(B452,{"enero","febrero","marzo","abril","mayo","junio","julio","agosto","septiembre","octubre","noviembre","diciembre"},0)+1,0))</f>
        <v/>
      </c>
      <c r="E452" t="str">
        <f>+IFERROR(VLOOKUP(Fact_Impuestos[[#This Row], [Concepto Anterior]],Conceptos_Impuestos[#All],5,0),"")</f>
        <v/>
      </c>
      <c r="F452" t="str">
        <f>+IFERROR(VLOOKUP(Fact_Impuestos[[#This Row], 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ht="18.75" customHeight="1" x14ac:dyDescent="0.35">
      <c r="C453" s="100" t="str">
        <f>IF(OR(Fact_Impuestos[[#This Row], [Año]]="",Fact_Impuestos[[#This Row], [Mes]]=""),"",DATE(A453,MATCH(B453,{"enero","febrero","marzo","abril","mayo","junio","julio","agosto","septiembre","octubre","noviembre","diciembre"},0)+1,0))</f>
        <v/>
      </c>
      <c r="E453" t="str">
        <f>+IFERROR(VLOOKUP(Fact_Impuestos[[#This Row], [Concepto Anterior]],Conceptos_Impuestos[#All],5,0),"")</f>
        <v/>
      </c>
      <c r="F453" t="str">
        <f>+IFERROR(VLOOKUP(Fact_Impuestos[[#This Row], 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ht="18.75" customHeight="1" x14ac:dyDescent="0.35">
      <c r="C454" s="100" t="str">
        <f>IF(OR(Fact_Impuestos[[#This Row], [Año]]="",Fact_Impuestos[[#This Row], [Mes]]=""),"",DATE(A454,MATCH(B454,{"enero","febrero","marzo","abril","mayo","junio","julio","agosto","septiembre","octubre","noviembre","diciembre"},0)+1,0))</f>
        <v/>
      </c>
      <c r="E454" t="str">
        <f>+IFERROR(VLOOKUP(Fact_Impuestos[[#This Row], [Concepto Anterior]],Conceptos_Impuestos[#All],5,0),"")</f>
        <v/>
      </c>
      <c r="F454" t="str">
        <f>+IFERROR(VLOOKUP(Fact_Impuestos[[#This Row], 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ht="18.75" customHeight="1" x14ac:dyDescent="0.35">
      <c r="C455" s="100" t="str">
        <f>IF(OR(Fact_Impuestos[[#This Row], [Año]]="",Fact_Impuestos[[#This Row], [Mes]]=""),"",DATE(A455,MATCH(B455,{"enero","febrero","marzo","abril","mayo","junio","julio","agosto","septiembre","octubre","noviembre","diciembre"},0)+1,0))</f>
        <v/>
      </c>
      <c r="E455" t="str">
        <f>+IFERROR(VLOOKUP(Fact_Impuestos[[#This Row], [Concepto Anterior]],Conceptos_Impuestos[#All],5,0),"")</f>
        <v/>
      </c>
      <c r="F455" t="str">
        <f>+IFERROR(VLOOKUP(Fact_Impuestos[[#This Row], 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ht="18.75" customHeight="1" x14ac:dyDescent="0.35">
      <c r="C456" s="100" t="str">
        <f>IF(OR(Fact_Impuestos[[#This Row], [Año]]="",Fact_Impuestos[[#This Row], [Mes]]=""),"",DATE(A456,MATCH(B456,{"enero","febrero","marzo","abril","mayo","junio","julio","agosto","septiembre","octubre","noviembre","diciembre"},0)+1,0))</f>
        <v/>
      </c>
      <c r="E456" t="str">
        <f>+IFERROR(VLOOKUP(Fact_Impuestos[[#This Row], [Concepto Anterior]],Conceptos_Impuestos[#All],5,0),"")</f>
        <v/>
      </c>
      <c r="F456" t="str">
        <f>+IFERROR(VLOOKUP(Fact_Impuestos[[#This Row], 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ht="18.75" customHeight="1" x14ac:dyDescent="0.35">
      <c r="C457" s="100" t="str">
        <f>IF(OR(Fact_Impuestos[[#This Row], [Año]]="",Fact_Impuestos[[#This Row], [Mes]]=""),"",DATE(A457,MATCH(B457,{"enero","febrero","marzo","abril","mayo","junio","julio","agosto","septiembre","octubre","noviembre","diciembre"},0)+1,0))</f>
        <v/>
      </c>
      <c r="E457" t="str">
        <f>+IFERROR(VLOOKUP(Fact_Impuestos[[#This Row], [Concepto Anterior]],Conceptos_Impuestos[#All],5,0),"")</f>
        <v/>
      </c>
      <c r="F457" t="str">
        <f>+IFERROR(VLOOKUP(Fact_Impuestos[[#This Row], 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ht="18.75" customHeight="1" x14ac:dyDescent="0.35">
      <c r="C458" s="100" t="str">
        <f>IF(OR(Fact_Impuestos[[#This Row], [Año]]="",Fact_Impuestos[[#This Row], [Mes]]=""),"",DATE(A458,MATCH(B458,{"enero","febrero","marzo","abril","mayo","junio","julio","agosto","septiembre","octubre","noviembre","diciembre"},0)+1,0))</f>
        <v/>
      </c>
      <c r="E458" t="str">
        <f>+IFERROR(VLOOKUP(Fact_Impuestos[[#This Row], [Concepto Anterior]],Conceptos_Impuestos[#All],5,0),"")</f>
        <v/>
      </c>
      <c r="F458" t="str">
        <f>+IFERROR(VLOOKUP(Fact_Impuestos[[#This Row], 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ht="18.75" customHeight="1" x14ac:dyDescent="0.35">
      <c r="C459" s="100" t="str">
        <f>IF(OR(Fact_Impuestos[[#This Row], [Año]]="",Fact_Impuestos[[#This Row], [Mes]]=""),"",DATE(A459,MATCH(B459,{"enero","febrero","marzo","abril","mayo","junio","julio","agosto","septiembre","octubre","noviembre","diciembre"},0)+1,0))</f>
        <v/>
      </c>
      <c r="E459" t="str">
        <f>+IFERROR(VLOOKUP(Fact_Impuestos[[#This Row], [Concepto Anterior]],Conceptos_Impuestos[#All],5,0),"")</f>
        <v/>
      </c>
      <c r="F459" t="str">
        <f>+IFERROR(VLOOKUP(Fact_Impuestos[[#This Row], 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ht="18.75" customHeight="1" x14ac:dyDescent="0.35">
      <c r="C460" s="100" t="str">
        <f>IF(OR(Fact_Impuestos[[#This Row], [Año]]="",Fact_Impuestos[[#This Row], [Mes]]=""),"",DATE(A460,MATCH(B460,{"enero","febrero","marzo","abril","mayo","junio","julio","agosto","septiembre","octubre","noviembre","diciembre"},0)+1,0))</f>
        <v/>
      </c>
      <c r="E460" t="str">
        <f>+IFERROR(VLOOKUP(Fact_Impuestos[[#This Row], [Concepto Anterior]],Conceptos_Impuestos[#All],5,0),"")</f>
        <v/>
      </c>
      <c r="F460" t="str">
        <f>+IFERROR(VLOOKUP(Fact_Impuestos[[#This Row], 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ht="18.75" customHeight="1" x14ac:dyDescent="0.35">
      <c r="C461" s="100" t="str">
        <f>IF(OR(Fact_Impuestos[[#This Row], [Año]]="",Fact_Impuestos[[#This Row], [Mes]]=""),"",DATE(A461,MATCH(B461,{"enero","febrero","marzo","abril","mayo","junio","julio","agosto","septiembre","octubre","noviembre","diciembre"},0)+1,0))</f>
        <v/>
      </c>
      <c r="E461" t="str">
        <f>+IFERROR(VLOOKUP(Fact_Impuestos[[#This Row], [Concepto Anterior]],Conceptos_Impuestos[#All],5,0),"")</f>
        <v/>
      </c>
      <c r="F461" t="str">
        <f>+IFERROR(VLOOKUP(Fact_Impuestos[[#This Row], 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ht="18.75" customHeight="1" x14ac:dyDescent="0.35">
      <c r="C462" s="100" t="str">
        <f>IF(OR(Fact_Impuestos[[#This Row], [Año]]="",Fact_Impuestos[[#This Row], [Mes]]=""),"",DATE(A462,MATCH(B462,{"enero","febrero","marzo","abril","mayo","junio","julio","agosto","septiembre","octubre","noviembre","diciembre"},0)+1,0))</f>
        <v/>
      </c>
      <c r="E462" t="str">
        <f>+IFERROR(VLOOKUP(Fact_Impuestos[[#This Row], [Concepto Anterior]],Conceptos_Impuestos[#All],5,0),"")</f>
        <v/>
      </c>
      <c r="F462" t="str">
        <f>+IFERROR(VLOOKUP(Fact_Impuestos[[#This Row], 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ht="18.75" customHeight="1" x14ac:dyDescent="0.35">
      <c r="C463" s="100" t="str">
        <f>IF(OR(Fact_Impuestos[[#This Row], [Año]]="",Fact_Impuestos[[#This Row], [Mes]]=""),"",DATE(A463,MATCH(B463,{"enero","febrero","marzo","abril","mayo","junio","julio","agosto","septiembre","octubre","noviembre","diciembre"},0)+1,0))</f>
        <v/>
      </c>
      <c r="E463" t="str">
        <f>+IFERROR(VLOOKUP(Fact_Impuestos[[#This Row], [Concepto Anterior]],Conceptos_Impuestos[#All],5,0),"")</f>
        <v/>
      </c>
      <c r="F463" t="str">
        <f>+IFERROR(VLOOKUP(Fact_Impuestos[[#This Row], 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ht="18.75" customHeight="1" x14ac:dyDescent="0.35">
      <c r="C464" s="100" t="str">
        <f>IF(OR(Fact_Impuestos[[#This Row], [Año]]="",Fact_Impuestos[[#This Row], [Mes]]=""),"",DATE(A464,MATCH(B464,{"enero","febrero","marzo","abril","mayo","junio","julio","agosto","septiembre","octubre","noviembre","diciembre"},0)+1,0))</f>
        <v/>
      </c>
      <c r="E464" t="str">
        <f>+IFERROR(VLOOKUP(Fact_Impuestos[[#This Row], [Concepto Anterior]],Conceptos_Impuestos[#All],5,0),"")</f>
        <v/>
      </c>
      <c r="F464" t="str">
        <f>+IFERROR(VLOOKUP(Fact_Impuestos[[#This Row], 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ht="18.75" customHeight="1" x14ac:dyDescent="0.35">
      <c r="C465" s="100" t="str">
        <f>IF(OR(Fact_Impuestos[[#This Row], [Año]]="",Fact_Impuestos[[#This Row], [Mes]]=""),"",DATE(A465,MATCH(B465,{"enero","febrero","marzo","abril","mayo","junio","julio","agosto","septiembre","octubre","noviembre","diciembre"},0)+1,0))</f>
        <v/>
      </c>
      <c r="E465" t="str">
        <f>+IFERROR(VLOOKUP(Fact_Impuestos[[#This Row], [Concepto Anterior]],Conceptos_Impuestos[#All],5,0),"")</f>
        <v/>
      </c>
      <c r="F465" t="str">
        <f>+IFERROR(VLOOKUP(Fact_Impuestos[[#This Row], 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ht="18.75" customHeight="1" x14ac:dyDescent="0.35">
      <c r="C466" s="100" t="str">
        <f>IF(OR(Fact_Impuestos[[#This Row], [Año]]="",Fact_Impuestos[[#This Row], [Mes]]=""),"",DATE(A466,MATCH(B466,{"enero","febrero","marzo","abril","mayo","junio","julio","agosto","septiembre","octubre","noviembre","diciembre"},0)+1,0))</f>
        <v/>
      </c>
      <c r="E466" t="str">
        <f>+IFERROR(VLOOKUP(Fact_Impuestos[[#This Row], [Concepto Anterior]],Conceptos_Impuestos[#All],5,0),"")</f>
        <v/>
      </c>
      <c r="F466" t="str">
        <f>+IFERROR(VLOOKUP(Fact_Impuestos[[#This Row], 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ht="18.75" customHeight="1" x14ac:dyDescent="0.35">
      <c r="C467" s="100" t="str">
        <f>IF(OR(Fact_Impuestos[[#This Row], [Año]]="",Fact_Impuestos[[#This Row], [Mes]]=""),"",DATE(A467,MATCH(B467,{"enero","febrero","marzo","abril","mayo","junio","julio","agosto","septiembre","octubre","noviembre","diciembre"},0)+1,0))</f>
        <v/>
      </c>
      <c r="E467" t="str">
        <f>+IFERROR(VLOOKUP(Fact_Impuestos[[#This Row], [Concepto Anterior]],Conceptos_Impuestos[#All],5,0),"")</f>
        <v/>
      </c>
      <c r="F467" t="str">
        <f>+IFERROR(VLOOKUP(Fact_Impuestos[[#This Row], 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ht="18.75" customHeight="1" x14ac:dyDescent="0.35">
      <c r="C468" s="100" t="str">
        <f>IF(OR(Fact_Impuestos[[#This Row], [Año]]="",Fact_Impuestos[[#This Row], [Mes]]=""),"",DATE(A468,MATCH(B468,{"enero","febrero","marzo","abril","mayo","junio","julio","agosto","septiembre","octubre","noviembre","diciembre"},0)+1,0))</f>
        <v/>
      </c>
      <c r="E468" t="str">
        <f>+IFERROR(VLOOKUP(Fact_Impuestos[[#This Row], [Concepto Anterior]],Conceptos_Impuestos[#All],5,0),"")</f>
        <v/>
      </c>
      <c r="F468" t="str">
        <f>+IFERROR(VLOOKUP(Fact_Impuestos[[#This Row], 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ht="18.75" customHeight="1" x14ac:dyDescent="0.35">
      <c r="C469" s="100" t="str">
        <f>IF(OR(Fact_Impuestos[[#This Row], [Año]]="",Fact_Impuestos[[#This Row], [Mes]]=""),"",DATE(A469,MATCH(B469,{"enero","febrero","marzo","abril","mayo","junio","julio","agosto","septiembre","octubre","noviembre","diciembre"},0)+1,0))</f>
        <v/>
      </c>
      <c r="E469" t="str">
        <f>+IFERROR(VLOOKUP(Fact_Impuestos[[#This Row], [Concepto Anterior]],Conceptos_Impuestos[#All],5,0),"")</f>
        <v/>
      </c>
      <c r="F469" t="str">
        <f>+IFERROR(VLOOKUP(Fact_Impuestos[[#This Row], 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ht="18.75" customHeight="1" x14ac:dyDescent="0.35">
      <c r="C470" s="100" t="str">
        <f>IF(OR(Fact_Impuestos[[#This Row], [Año]]="",Fact_Impuestos[[#This Row], [Mes]]=""),"",DATE(A470,MATCH(B470,{"enero","febrero","marzo","abril","mayo","junio","julio","agosto","septiembre","octubre","noviembre","diciembre"},0)+1,0))</f>
        <v/>
      </c>
      <c r="E470" t="str">
        <f>+IFERROR(VLOOKUP(Fact_Impuestos[[#This Row], [Concepto Anterior]],Conceptos_Impuestos[#All],5,0),"")</f>
        <v/>
      </c>
      <c r="F470" t="str">
        <f>+IFERROR(VLOOKUP(Fact_Impuestos[[#This Row], 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ht="18.75" customHeight="1" x14ac:dyDescent="0.35">
      <c r="C471" s="100" t="str">
        <f>IF(OR(Fact_Impuestos[[#This Row], [Año]]="",Fact_Impuestos[[#This Row], [Mes]]=""),"",DATE(A471,MATCH(B471,{"enero","febrero","marzo","abril","mayo","junio","julio","agosto","septiembre","octubre","noviembre","diciembre"},0)+1,0))</f>
        <v/>
      </c>
      <c r="E471" t="str">
        <f>+IFERROR(VLOOKUP(Fact_Impuestos[[#This Row], [Concepto Anterior]],Conceptos_Impuestos[#All],5,0),"")</f>
        <v/>
      </c>
      <c r="F471" t="str">
        <f>+IFERROR(VLOOKUP(Fact_Impuestos[[#This Row], 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ht="18.75" customHeight="1" x14ac:dyDescent="0.35">
      <c r="C472" s="100" t="str">
        <f>IF(OR(Fact_Impuestos[[#This Row], [Año]]="",Fact_Impuestos[[#This Row], [Mes]]=""),"",DATE(A472,MATCH(B472,{"enero","febrero","marzo","abril","mayo","junio","julio","agosto","septiembre","octubre","noviembre","diciembre"},0)+1,0))</f>
        <v/>
      </c>
      <c r="E472" t="str">
        <f>+IFERROR(VLOOKUP(Fact_Impuestos[[#This Row], [Concepto Anterior]],Conceptos_Impuestos[#All],5,0),"")</f>
        <v/>
      </c>
      <c r="F472" t="str">
        <f>+IFERROR(VLOOKUP(Fact_Impuestos[[#This Row], 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ht="18.75" customHeight="1" x14ac:dyDescent="0.35">
      <c r="C473" s="100" t="str">
        <f>IF(OR(Fact_Impuestos[[#This Row], [Año]]="",Fact_Impuestos[[#This Row], [Mes]]=""),"",DATE(A473,MATCH(B473,{"enero","febrero","marzo","abril","mayo","junio","julio","agosto","septiembre","octubre","noviembre","diciembre"},0)+1,0))</f>
        <v/>
      </c>
      <c r="E473" t="str">
        <f>+IFERROR(VLOOKUP(Fact_Impuestos[[#This Row], [Concepto Anterior]],Conceptos_Impuestos[#All],5,0),"")</f>
        <v/>
      </c>
      <c r="F473" t="str">
        <f>+IFERROR(VLOOKUP(Fact_Impuestos[[#This Row], 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ht="18.75" customHeight="1" x14ac:dyDescent="0.35">
      <c r="C474" s="100" t="str">
        <f>IF(OR(Fact_Impuestos[[#This Row], [Año]]="",Fact_Impuestos[[#This Row], [Mes]]=""),"",DATE(A474,MATCH(B474,{"enero","febrero","marzo","abril","mayo","junio","julio","agosto","septiembre","octubre","noviembre","diciembre"},0)+1,0))</f>
        <v/>
      </c>
      <c r="E474" t="str">
        <f>+IFERROR(VLOOKUP(Fact_Impuestos[[#This Row], [Concepto Anterior]],Conceptos_Impuestos[#All],5,0),"")</f>
        <v/>
      </c>
      <c r="F474" t="str">
        <f>+IFERROR(VLOOKUP(Fact_Impuestos[[#This Row], 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ht="18.75" customHeight="1" x14ac:dyDescent="0.35">
      <c r="C475" s="100" t="str">
        <f>IF(OR(Fact_Impuestos[[#This Row], [Año]]="",Fact_Impuestos[[#This Row], [Mes]]=""),"",DATE(A475,MATCH(B475,{"enero","febrero","marzo","abril","mayo","junio","julio","agosto","septiembre","octubre","noviembre","diciembre"},0)+1,0))</f>
        <v/>
      </c>
      <c r="E475" t="str">
        <f>+IFERROR(VLOOKUP(Fact_Impuestos[[#This Row], [Concepto Anterior]],Conceptos_Impuestos[#All],5,0),"")</f>
        <v/>
      </c>
      <c r="F475" t="str">
        <f>+IFERROR(VLOOKUP(Fact_Impuestos[[#This Row], 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ht="18.75" customHeight="1" x14ac:dyDescent="0.35">
      <c r="C476" s="100" t="str">
        <f>IF(OR(Fact_Impuestos[[#This Row], [Año]]="",Fact_Impuestos[[#This Row], [Mes]]=""),"",DATE(A476,MATCH(B476,{"enero","febrero","marzo","abril","mayo","junio","julio","agosto","septiembre","octubre","noviembre","diciembre"},0)+1,0))</f>
        <v/>
      </c>
      <c r="E476" t="str">
        <f>+IFERROR(VLOOKUP(Fact_Impuestos[[#This Row], [Concepto Anterior]],Conceptos_Impuestos[#All],5,0),"")</f>
        <v/>
      </c>
      <c r="F476" t="str">
        <f>+IFERROR(VLOOKUP(Fact_Impuestos[[#This Row], 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ht="18.75" customHeight="1" x14ac:dyDescent="0.35">
      <c r="C477" s="100" t="str">
        <f>IF(OR(Fact_Impuestos[[#This Row], [Año]]="",Fact_Impuestos[[#This Row], [Mes]]=""),"",DATE(A477,MATCH(B477,{"enero","febrero","marzo","abril","mayo","junio","julio","agosto","septiembre","octubre","noviembre","diciembre"},0)+1,0))</f>
        <v/>
      </c>
      <c r="E477" t="str">
        <f>+IFERROR(VLOOKUP(Fact_Impuestos[[#This Row], [Concepto Anterior]],Conceptos_Impuestos[#All],5,0),"")</f>
        <v/>
      </c>
      <c r="F477" t="str">
        <f>+IFERROR(VLOOKUP(Fact_Impuestos[[#This Row], 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ht="18.75" customHeight="1" x14ac:dyDescent="0.35">
      <c r="C478" s="100" t="str">
        <f>IF(OR(Fact_Impuestos[[#This Row], [Año]]="",Fact_Impuestos[[#This Row], [Mes]]=""),"",DATE(A478,MATCH(B478,{"enero","febrero","marzo","abril","mayo","junio","julio","agosto","septiembre","octubre","noviembre","diciembre"},0)+1,0))</f>
        <v/>
      </c>
      <c r="E478" t="str">
        <f>+IFERROR(VLOOKUP(Fact_Impuestos[[#This Row], [Concepto Anterior]],Conceptos_Impuestos[#All],5,0),"")</f>
        <v/>
      </c>
      <c r="F478" t="str">
        <f>+IFERROR(VLOOKUP(Fact_Impuestos[[#This Row], 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ht="18.75" customHeight="1" x14ac:dyDescent="0.35">
      <c r="C479" s="100" t="str">
        <f>IF(OR(Fact_Impuestos[[#This Row], [Año]]="",Fact_Impuestos[[#This Row], [Mes]]=""),"",DATE(A479,MATCH(B479,{"enero","febrero","marzo","abril","mayo","junio","julio","agosto","septiembre","octubre","noviembre","diciembre"},0)+1,0))</f>
        <v/>
      </c>
      <c r="E479" t="str">
        <f>+IFERROR(VLOOKUP(Fact_Impuestos[[#This Row], [Concepto Anterior]],Conceptos_Impuestos[#All],5,0),"")</f>
        <v/>
      </c>
      <c r="F479" t="str">
        <f>+IFERROR(VLOOKUP(Fact_Impuestos[[#This Row], 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ht="18.75" customHeight="1" x14ac:dyDescent="0.35">
      <c r="C480" s="100" t="str">
        <f>IF(OR(Fact_Impuestos[[#This Row], [Año]]="",Fact_Impuestos[[#This Row], [Mes]]=""),"",DATE(A480,MATCH(B480,{"enero","febrero","marzo","abril","mayo","junio","julio","agosto","septiembre","octubre","noviembre","diciembre"},0)+1,0))</f>
        <v/>
      </c>
      <c r="E480" t="str">
        <f>+IFERROR(VLOOKUP(Fact_Impuestos[[#This Row], [Concepto Anterior]],Conceptos_Impuestos[#All],5,0),"")</f>
        <v/>
      </c>
      <c r="F480" t="str">
        <f>+IFERROR(VLOOKUP(Fact_Impuestos[[#This Row], 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ht="18.75" customHeight="1" x14ac:dyDescent="0.35">
      <c r="C481" s="100" t="str">
        <f>IF(OR(Fact_Impuestos[[#This Row], [Año]]="",Fact_Impuestos[[#This Row], [Mes]]=""),"",DATE(A481,MATCH(B481,{"enero","febrero","marzo","abril","mayo","junio","julio","agosto","septiembre","octubre","noviembre","diciembre"},0)+1,0))</f>
        <v/>
      </c>
      <c r="E481" t="str">
        <f>+IFERROR(VLOOKUP(Fact_Impuestos[[#This Row], [Concepto Anterior]],Conceptos_Impuestos[#All],5,0),"")</f>
        <v/>
      </c>
      <c r="F481" t="str">
        <f>+IFERROR(VLOOKUP(Fact_Impuestos[[#This Row], 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ht="18.75" customHeight="1" x14ac:dyDescent="0.35">
      <c r="C482" s="100" t="str">
        <f>IF(OR(Fact_Impuestos[[#This Row], [Año]]="",Fact_Impuestos[[#This Row], [Mes]]=""),"",DATE(A482,MATCH(B482,{"enero","febrero","marzo","abril","mayo","junio","julio","agosto","septiembre","octubre","noviembre","diciembre"},0)+1,0))</f>
        <v/>
      </c>
      <c r="E482" t="str">
        <f>+IFERROR(VLOOKUP(Fact_Impuestos[[#This Row], [Concepto Anterior]],Conceptos_Impuestos[#All],5,0),"")</f>
        <v/>
      </c>
      <c r="F482" t="str">
        <f>+IFERROR(VLOOKUP(Fact_Impuestos[[#This Row], 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ht="18.75" customHeight="1" x14ac:dyDescent="0.35">
      <c r="C483" s="100" t="str">
        <f>IF(OR(Fact_Impuestos[[#This Row], [Año]]="",Fact_Impuestos[[#This Row], [Mes]]=""),"",DATE(A483,MATCH(B483,{"enero","febrero","marzo","abril","mayo","junio","julio","agosto","septiembre","octubre","noviembre","diciembre"},0)+1,0))</f>
        <v/>
      </c>
      <c r="E483" t="str">
        <f>+IFERROR(VLOOKUP(Fact_Impuestos[[#This Row], [Concepto Anterior]],Conceptos_Impuestos[#All],5,0),"")</f>
        <v/>
      </c>
      <c r="F483" t="str">
        <f>+IFERROR(VLOOKUP(Fact_Impuestos[[#This Row], 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ht="18.75" customHeight="1" x14ac:dyDescent="0.35">
      <c r="C484" s="100" t="str">
        <f>IF(OR(Fact_Impuestos[[#This Row], [Año]]="",Fact_Impuestos[[#This Row], [Mes]]=""),"",DATE(A484,MATCH(B484,{"enero","febrero","marzo","abril","mayo","junio","julio","agosto","septiembre","octubre","noviembre","diciembre"},0)+1,0))</f>
        <v/>
      </c>
      <c r="E484" t="str">
        <f>+IFERROR(VLOOKUP(Fact_Impuestos[[#This Row], [Concepto Anterior]],Conceptos_Impuestos[#All],5,0),"")</f>
        <v/>
      </c>
      <c r="F484" t="str">
        <f>+IFERROR(VLOOKUP(Fact_Impuestos[[#This Row], 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ht="18.75" customHeight="1" x14ac:dyDescent="0.35">
      <c r="C485" s="100" t="str">
        <f>IF(OR(Fact_Impuestos[[#This Row], [Año]]="",Fact_Impuestos[[#This Row], [Mes]]=""),"",DATE(A485,MATCH(B485,{"enero","febrero","marzo","abril","mayo","junio","julio","agosto","septiembre","octubre","noviembre","diciembre"},0)+1,0))</f>
        <v/>
      </c>
      <c r="E485" t="str">
        <f>+IFERROR(VLOOKUP(Fact_Impuestos[[#This Row], [Concepto Anterior]],Conceptos_Impuestos[#All],5,0),"")</f>
        <v/>
      </c>
      <c r="F485" t="str">
        <f>+IFERROR(VLOOKUP(Fact_Impuestos[[#This Row], 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ht="18.75" customHeight="1" x14ac:dyDescent="0.35">
      <c r="C486" s="100" t="str">
        <f>IF(OR(Fact_Impuestos[[#This Row], [Año]]="",Fact_Impuestos[[#This Row], [Mes]]=""),"",DATE(A486,MATCH(B486,{"enero","febrero","marzo","abril","mayo","junio","julio","agosto","septiembre","octubre","noviembre","diciembre"},0)+1,0))</f>
        <v/>
      </c>
      <c r="E486" t="str">
        <f>+IFERROR(VLOOKUP(Fact_Impuestos[[#This Row], [Concepto Anterior]],Conceptos_Impuestos[#All],5,0),"")</f>
        <v/>
      </c>
      <c r="F486" t="str">
        <f>+IFERROR(VLOOKUP(Fact_Impuestos[[#This Row], 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ht="18.75" customHeight="1" x14ac:dyDescent="0.35">
      <c r="C487" s="100" t="str">
        <f>IF(OR(Fact_Impuestos[[#This Row], [Año]]="",Fact_Impuestos[[#This Row], [Mes]]=""),"",DATE(A487,MATCH(B487,{"enero","febrero","marzo","abril","mayo","junio","julio","agosto","septiembre","octubre","noviembre","diciembre"},0)+1,0))</f>
        <v/>
      </c>
      <c r="E487" t="str">
        <f>+IFERROR(VLOOKUP(Fact_Impuestos[[#This Row], [Concepto Anterior]],Conceptos_Impuestos[#All],5,0),"")</f>
        <v/>
      </c>
      <c r="F487" t="str">
        <f>+IFERROR(VLOOKUP(Fact_Impuestos[[#This Row], 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ht="18.75" customHeight="1" x14ac:dyDescent="0.35">
      <c r="C488" s="100" t="str">
        <f>IF(OR(Fact_Impuestos[[#This Row], [Año]]="",Fact_Impuestos[[#This Row], [Mes]]=""),"",DATE(A488,MATCH(B488,{"enero","febrero","marzo","abril","mayo","junio","julio","agosto","septiembre","octubre","noviembre","diciembre"},0)+1,0))</f>
        <v/>
      </c>
      <c r="E488" t="str">
        <f>+IFERROR(VLOOKUP(Fact_Impuestos[[#This Row], [Concepto Anterior]],Conceptos_Impuestos[#All],5,0),"")</f>
        <v/>
      </c>
      <c r="F488" t="str">
        <f>+IFERROR(VLOOKUP(Fact_Impuestos[[#This Row], 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ht="18.75" customHeight="1" x14ac:dyDescent="0.35">
      <c r="C489" s="100" t="str">
        <f>IF(OR(Fact_Impuestos[[#This Row], [Año]]="",Fact_Impuestos[[#This Row], [Mes]]=""),"",DATE(A489,MATCH(B489,{"enero","febrero","marzo","abril","mayo","junio","julio","agosto","septiembre","octubre","noviembre","diciembre"},0)+1,0))</f>
        <v/>
      </c>
      <c r="E489" t="str">
        <f>+IFERROR(VLOOKUP(Fact_Impuestos[[#This Row], [Concepto Anterior]],Conceptos_Impuestos[#All],5,0),"")</f>
        <v/>
      </c>
      <c r="F489" t="str">
        <f>+IFERROR(VLOOKUP(Fact_Impuestos[[#This Row], 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ht="18.75" customHeight="1" x14ac:dyDescent="0.35">
      <c r="C490" s="100" t="str">
        <f>IF(OR(Fact_Impuestos[[#This Row], [Año]]="",Fact_Impuestos[[#This Row], [Mes]]=""),"",DATE(A490,MATCH(B490,{"enero","febrero","marzo","abril","mayo","junio","julio","agosto","septiembre","octubre","noviembre","diciembre"},0)+1,0))</f>
        <v/>
      </c>
      <c r="E490" t="str">
        <f>+IFERROR(VLOOKUP(Fact_Impuestos[[#This Row], [Concepto Anterior]],Conceptos_Impuestos[#All],5,0),"")</f>
        <v/>
      </c>
      <c r="F490" t="str">
        <f>+IFERROR(VLOOKUP(Fact_Impuestos[[#This Row], 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ht="18.75" customHeight="1" x14ac:dyDescent="0.35">
      <c r="C491" s="100" t="str">
        <f>IF(OR(Fact_Impuestos[[#This Row], [Año]]="",Fact_Impuestos[[#This Row], [Mes]]=""),"",DATE(A491,MATCH(B491,{"enero","febrero","marzo","abril","mayo","junio","julio","agosto","septiembre","octubre","noviembre","diciembre"},0)+1,0))</f>
        <v/>
      </c>
      <c r="E491" t="str">
        <f>+IFERROR(VLOOKUP(Fact_Impuestos[[#This Row], [Concepto Anterior]],Conceptos_Impuestos[#All],5,0),"")</f>
        <v/>
      </c>
      <c r="F491" t="str">
        <f>+IFERROR(VLOOKUP(Fact_Impuestos[[#This Row], 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ht="18.75" customHeight="1" x14ac:dyDescent="0.35">
      <c r="C492" s="100" t="str">
        <f>IF(OR(Fact_Impuestos[[#This Row], [Año]]="",Fact_Impuestos[[#This Row], [Mes]]=""),"",DATE(A492,MATCH(B492,{"enero","febrero","marzo","abril","mayo","junio","julio","agosto","septiembre","octubre","noviembre","diciembre"},0)+1,0))</f>
        <v/>
      </c>
      <c r="E492" t="str">
        <f>+IFERROR(VLOOKUP(Fact_Impuestos[[#This Row], [Concepto Anterior]],Conceptos_Impuestos[#All],5,0),"")</f>
        <v/>
      </c>
      <c r="F492" t="str">
        <f>+IFERROR(VLOOKUP(Fact_Impuestos[[#This Row], 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ht="18.75" customHeight="1" x14ac:dyDescent="0.35">
      <c r="C493" s="100" t="str">
        <f>IF(OR(Fact_Impuestos[[#This Row], [Año]]="",Fact_Impuestos[[#This Row], [Mes]]=""),"",DATE(A493,MATCH(B493,{"enero","febrero","marzo","abril","mayo","junio","julio","agosto","septiembre","octubre","noviembre","diciembre"},0)+1,0))</f>
        <v/>
      </c>
      <c r="E493" t="str">
        <f>+IFERROR(VLOOKUP(Fact_Impuestos[[#This Row], [Concepto Anterior]],Conceptos_Impuestos[#All],5,0),"")</f>
        <v/>
      </c>
      <c r="F493" t="str">
        <f>+IFERROR(VLOOKUP(Fact_Impuestos[[#This Row], 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ht="18.75" customHeight="1" x14ac:dyDescent="0.35">
      <c r="C494" s="100" t="str">
        <f>IF(OR(Fact_Impuestos[[#This Row], [Año]]="",Fact_Impuestos[[#This Row], [Mes]]=""),"",DATE(A494,MATCH(B494,{"enero","febrero","marzo","abril","mayo","junio","julio","agosto","septiembre","octubre","noviembre","diciembre"},0)+1,0))</f>
        <v/>
      </c>
      <c r="E494" t="str">
        <f>+IFERROR(VLOOKUP(Fact_Impuestos[[#This Row], [Concepto Anterior]],Conceptos_Impuestos[#All],5,0),"")</f>
        <v/>
      </c>
      <c r="F494" t="str">
        <f>+IFERROR(VLOOKUP(Fact_Impuestos[[#This Row], 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ht="18.75" customHeight="1" x14ac:dyDescent="0.35">
      <c r="C495" s="100" t="str">
        <f>IF(OR(Fact_Impuestos[[#This Row], [Año]]="",Fact_Impuestos[[#This Row], [Mes]]=""),"",DATE(A495,MATCH(B495,{"enero","febrero","marzo","abril","mayo","junio","julio","agosto","septiembre","octubre","noviembre","diciembre"},0)+1,0))</f>
        <v/>
      </c>
      <c r="E495" t="str">
        <f>+IFERROR(VLOOKUP(Fact_Impuestos[[#This Row], [Concepto Anterior]],Conceptos_Impuestos[#All],5,0),"")</f>
        <v/>
      </c>
      <c r="F495" t="str">
        <f>+IFERROR(VLOOKUP(Fact_Impuestos[[#This Row], 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ht="18.75" customHeight="1" x14ac:dyDescent="0.35">
      <c r="C496" s="100" t="str">
        <f>IF(OR(Fact_Impuestos[[#This Row], [Año]]="",Fact_Impuestos[[#This Row], [Mes]]=""),"",DATE(A496,MATCH(B496,{"enero","febrero","marzo","abril","mayo","junio","julio","agosto","septiembre","octubre","noviembre","diciembre"},0)+1,0))</f>
        <v/>
      </c>
      <c r="E496" t="str">
        <f>+IFERROR(VLOOKUP(Fact_Impuestos[[#This Row], [Concepto Anterior]],Conceptos_Impuestos[#All],5,0),"")</f>
        <v/>
      </c>
      <c r="F496" t="str">
        <f>+IFERROR(VLOOKUP(Fact_Impuestos[[#This Row], 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ht="18.75" customHeight="1" x14ac:dyDescent="0.35">
      <c r="C497" s="100" t="str">
        <f>IF(OR(Fact_Impuestos[[#This Row], [Año]]="",Fact_Impuestos[[#This Row], [Mes]]=""),"",DATE(A497,MATCH(B497,{"enero","febrero","marzo","abril","mayo","junio","julio","agosto","septiembre","octubre","noviembre","diciembre"},0)+1,0))</f>
        <v/>
      </c>
      <c r="E497" t="str">
        <f>+IFERROR(VLOOKUP(Fact_Impuestos[[#This Row], [Concepto Anterior]],Conceptos_Impuestos[#All],5,0),"")</f>
        <v/>
      </c>
      <c r="F497" t="str">
        <f>+IFERROR(VLOOKUP(Fact_Impuestos[[#This Row], 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ht="18.75" customHeight="1" x14ac:dyDescent="0.35">
      <c r="C498" s="100" t="str">
        <f>IF(OR(Fact_Impuestos[[#This Row], [Año]]="",Fact_Impuestos[[#This Row], [Mes]]=""),"",DATE(A498,MATCH(B498,{"enero","febrero","marzo","abril","mayo","junio","julio","agosto","septiembre","octubre","noviembre","diciembre"},0)+1,0))</f>
        <v/>
      </c>
      <c r="E498" t="str">
        <f>+IFERROR(VLOOKUP(Fact_Impuestos[[#This Row], [Concepto Anterior]],Conceptos_Impuestos[#All],5,0),"")</f>
        <v/>
      </c>
      <c r="F498" t="str">
        <f>+IFERROR(VLOOKUP(Fact_Impuestos[[#This Row], 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ht="18.75" customHeight="1" x14ac:dyDescent="0.35">
      <c r="C499" s="100" t="str">
        <f>IF(OR(Fact_Impuestos[[#This Row], [Año]]="",Fact_Impuestos[[#This Row], [Mes]]=""),"",DATE(A499,MATCH(B499,{"enero","febrero","marzo","abril","mayo","junio","julio","agosto","septiembre","octubre","noviembre","diciembre"},0)+1,0))</f>
        <v/>
      </c>
      <c r="E499" t="str">
        <f>+IFERROR(VLOOKUP(Fact_Impuestos[[#This Row], [Concepto Anterior]],Conceptos_Impuestos[#All],5,0),"")</f>
        <v/>
      </c>
      <c r="F499" t="str">
        <f>+IFERROR(VLOOKUP(Fact_Impuestos[[#This Row], 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ht="18.75" customHeight="1" x14ac:dyDescent="0.35">
      <c r="C500" s="100" t="str">
        <f>IF(OR(Fact_Impuestos[[#This Row], [Año]]="",Fact_Impuestos[[#This Row], [Mes]]=""),"",DATE(A500,MATCH(B500,{"enero","febrero","marzo","abril","mayo","junio","julio","agosto","septiembre","octubre","noviembre","diciembre"},0)+1,0))</f>
        <v/>
      </c>
      <c r="E500" t="str">
        <f>+IFERROR(VLOOKUP(Fact_Impuestos[[#This Row], [Concepto Anterior]],Conceptos_Impuestos[#All],5,0),"")</f>
        <v/>
      </c>
      <c r="F500" t="str">
        <f>+IFERROR(VLOOKUP(Fact_Impuestos[[#This Row], 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ht="18.75" customHeight="1" x14ac:dyDescent="0.35">
      <c r="C501" s="100" t="str">
        <f>IF(OR(Fact_Impuestos[[#This Row], [Año]]="",Fact_Impuestos[[#This Row], [Mes]]=""),"",DATE(A501,MATCH(B501,{"enero","febrero","marzo","abril","mayo","junio","julio","agosto","septiembre","octubre","noviembre","diciembre"},0)+1,0))</f>
        <v/>
      </c>
      <c r="E501" t="str">
        <f>+IFERROR(VLOOKUP(Fact_Impuestos[[#This Row], [Concepto Anterior]],Conceptos_Impuestos[#All],5,0),"")</f>
        <v/>
      </c>
      <c r="F501" t="str">
        <f>+IFERROR(VLOOKUP(Fact_Impuestos[[#This Row], 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ht="18.75" customHeight="1" x14ac:dyDescent="0.35">
      <c r="C502" s="100" t="str">
        <f>IF(OR(Fact_Impuestos[[#This Row], [Año]]="",Fact_Impuestos[[#This Row], [Mes]]=""),"",DATE(A502,MATCH(B502,{"enero","febrero","marzo","abril","mayo","junio","julio","agosto","septiembre","octubre","noviembre","diciembre"},0)+1,0))</f>
        <v/>
      </c>
      <c r="E502" t="str">
        <f>+IFERROR(VLOOKUP(Fact_Impuestos[[#This Row], [Concepto Anterior]],Conceptos_Impuestos[#All],5,0),"")</f>
        <v/>
      </c>
      <c r="F502" t="str">
        <f>+IFERROR(VLOOKUP(Fact_Impuestos[[#This Row], 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ht="18.75" customHeight="1" x14ac:dyDescent="0.35">
      <c r="C503" s="100" t="str">
        <f>IF(OR(Fact_Impuestos[[#This Row], [Año]]="",Fact_Impuestos[[#This Row], [Mes]]=""),"",DATE(A503,MATCH(B503,{"enero","febrero","marzo","abril","mayo","junio","julio","agosto","septiembre","octubre","noviembre","diciembre"},0)+1,0))</f>
        <v/>
      </c>
      <c r="E503" t="str">
        <f>+IFERROR(VLOOKUP(Fact_Impuestos[[#This Row], [Concepto Anterior]],Conceptos_Impuestos[#All],5,0),"")</f>
        <v/>
      </c>
      <c r="F503" t="str">
        <f>+IFERROR(VLOOKUP(Fact_Impuestos[[#This Row], 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ht="18.75" customHeight="1" x14ac:dyDescent="0.35">
      <c r="C504" s="100" t="str">
        <f>IF(OR(Fact_Impuestos[[#This Row], [Año]]="",Fact_Impuestos[[#This Row], [Mes]]=""),"",DATE(A504,MATCH(B504,{"enero","febrero","marzo","abril","mayo","junio","julio","agosto","septiembre","octubre","noviembre","diciembre"},0)+1,0))</f>
        <v/>
      </c>
      <c r="E504" t="str">
        <f>+IFERROR(VLOOKUP(Fact_Impuestos[[#This Row], [Concepto Anterior]],Conceptos_Impuestos[#All],5,0),"")</f>
        <v/>
      </c>
      <c r="F504" t="str">
        <f>+IFERROR(VLOOKUP(Fact_Impuestos[[#This Row], 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ht="18.75" customHeight="1" x14ac:dyDescent="0.35">
      <c r="C505" s="100" t="str">
        <f>IF(OR(Fact_Impuestos[[#This Row], [Año]]="",Fact_Impuestos[[#This Row], [Mes]]=""),"",DATE(A505,MATCH(B505,{"enero","febrero","marzo","abril","mayo","junio","julio","agosto","septiembre","octubre","noviembre","diciembre"},0)+1,0))</f>
        <v/>
      </c>
      <c r="E505" t="str">
        <f>+IFERROR(VLOOKUP(Fact_Impuestos[[#This Row], [Concepto Anterior]],Conceptos_Impuestos[#All],5,0),"")</f>
        <v/>
      </c>
      <c r="F505" t="str">
        <f>+IFERROR(VLOOKUP(Fact_Impuestos[[#This Row], 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ht="18.75" customHeight="1" x14ac:dyDescent="0.35">
      <c r="C506" s="100" t="str">
        <f>IF(OR(Fact_Impuestos[[#This Row], [Año]]="",Fact_Impuestos[[#This Row], [Mes]]=""),"",DATE(A506,MATCH(B506,{"enero","febrero","marzo","abril","mayo","junio","julio","agosto","septiembre","octubre","noviembre","diciembre"},0)+1,0))</f>
        <v/>
      </c>
      <c r="E506" t="str">
        <f>+IFERROR(VLOOKUP(Fact_Impuestos[[#This Row], [Concepto Anterior]],Conceptos_Impuestos[#All],5,0),"")</f>
        <v/>
      </c>
      <c r="F506" t="str">
        <f>+IFERROR(VLOOKUP(Fact_Impuestos[[#This Row], 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ht="18.75" customHeight="1" x14ac:dyDescent="0.35">
      <c r="C507" s="100" t="str">
        <f>IF(OR(Fact_Impuestos[[#This Row], [Año]]="",Fact_Impuestos[[#This Row], [Mes]]=""),"",DATE(A507,MATCH(B507,{"enero","febrero","marzo","abril","mayo","junio","julio","agosto","septiembre","octubre","noviembre","diciembre"},0)+1,0))</f>
        <v/>
      </c>
      <c r="E507" t="str">
        <f>+IFERROR(VLOOKUP(Fact_Impuestos[[#This Row], [Concepto Anterior]],Conceptos_Impuestos[#All],5,0),"")</f>
        <v/>
      </c>
      <c r="F507" t="str">
        <f>+IFERROR(VLOOKUP(Fact_Impuestos[[#This Row], 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ht="18.75" customHeight="1" x14ac:dyDescent="0.35">
      <c r="C508" s="100" t="str">
        <f>IF(OR(Fact_Impuestos[[#This Row], [Año]]="",Fact_Impuestos[[#This Row], [Mes]]=""),"",DATE(A508,MATCH(B508,{"enero","febrero","marzo","abril","mayo","junio","julio","agosto","septiembre","octubre","noviembre","diciembre"},0)+1,0))</f>
        <v/>
      </c>
      <c r="E508" t="str">
        <f>+IFERROR(VLOOKUP(Fact_Impuestos[[#This Row], [Concepto Anterior]],Conceptos_Impuestos[#All],5,0),"")</f>
        <v/>
      </c>
      <c r="F508" t="str">
        <f>+IFERROR(VLOOKUP(Fact_Impuestos[[#This Row], 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ht="18.75" customHeight="1" x14ac:dyDescent="0.35">
      <c r="C509" s="100" t="str">
        <f>IF(OR(Fact_Impuestos[[#This Row], [Año]]="",Fact_Impuestos[[#This Row], [Mes]]=""),"",DATE(A509,MATCH(B509,{"enero","febrero","marzo","abril","mayo","junio","julio","agosto","septiembre","octubre","noviembre","diciembre"},0)+1,0))</f>
        <v/>
      </c>
      <c r="E509" t="str">
        <f>+IFERROR(VLOOKUP(Fact_Impuestos[[#This Row], [Concepto Anterior]],Conceptos_Impuestos[#All],5,0),"")</f>
        <v/>
      </c>
      <c r="F509" t="str">
        <f>+IFERROR(VLOOKUP(Fact_Impuestos[[#This Row], 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ht="18.75" customHeight="1" x14ac:dyDescent="0.35">
      <c r="C510" s="100" t="str">
        <f>IF(OR(Fact_Impuestos[[#This Row], [Año]]="",Fact_Impuestos[[#This Row], [Mes]]=""),"",DATE(A510,MATCH(B510,{"enero","febrero","marzo","abril","mayo","junio","julio","agosto","septiembre","octubre","noviembre","diciembre"},0)+1,0))</f>
        <v/>
      </c>
      <c r="E510" t="str">
        <f>+IFERROR(VLOOKUP(Fact_Impuestos[[#This Row], [Concepto Anterior]],Conceptos_Impuestos[#All],5,0),"")</f>
        <v/>
      </c>
      <c r="F510" t="str">
        <f>+IFERROR(VLOOKUP(Fact_Impuestos[[#This Row], 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ht="18.75" customHeight="1" x14ac:dyDescent="0.35">
      <c r="C511" s="100" t="str">
        <f>IF(OR(Fact_Impuestos[[#This Row], [Año]]="",Fact_Impuestos[[#This Row], [Mes]]=""),"",DATE(A511,MATCH(B511,{"enero","febrero","marzo","abril","mayo","junio","julio","agosto","septiembre","octubre","noviembre","diciembre"},0)+1,0))</f>
        <v/>
      </c>
      <c r="E511" t="str">
        <f>+IFERROR(VLOOKUP(Fact_Impuestos[[#This Row], [Concepto Anterior]],Conceptos_Impuestos[#All],5,0),"")</f>
        <v/>
      </c>
      <c r="F511" t="str">
        <f>+IFERROR(VLOOKUP(Fact_Impuestos[[#This Row], 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ht="18.75" customHeight="1" x14ac:dyDescent="0.35">
      <c r="C512" s="100" t="str">
        <f>IF(OR(Fact_Impuestos[[#This Row], [Año]]="",Fact_Impuestos[[#This Row], [Mes]]=""),"",DATE(A512,MATCH(B512,{"enero","febrero","marzo","abril","mayo","junio","julio","agosto","septiembre","octubre","noviembre","diciembre"},0)+1,0))</f>
        <v/>
      </c>
      <c r="E512" t="str">
        <f>+IFERROR(VLOOKUP(Fact_Impuestos[[#This Row], [Concepto Anterior]],Conceptos_Impuestos[#All],5,0),"")</f>
        <v/>
      </c>
      <c r="F512" t="str">
        <f>+IFERROR(VLOOKUP(Fact_Impuestos[[#This Row], 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ht="18.75" customHeight="1" x14ac:dyDescent="0.35">
      <c r="C513" s="100" t="str">
        <f>IF(OR(Fact_Impuestos[[#This Row], [Año]]="",Fact_Impuestos[[#This Row], [Mes]]=""),"",DATE(A513,MATCH(B513,{"enero","febrero","marzo","abril","mayo","junio","julio","agosto","septiembre","octubre","noviembre","diciembre"},0)+1,0))</f>
        <v/>
      </c>
      <c r="E513" t="str">
        <f>+IFERROR(VLOOKUP(Fact_Impuestos[[#This Row], [Concepto Anterior]],Conceptos_Impuestos[#All],5,0),"")</f>
        <v/>
      </c>
      <c r="F513" t="str">
        <f>+IFERROR(VLOOKUP(Fact_Impuestos[[#This Row], 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ht="18.75" customHeight="1" x14ac:dyDescent="0.35">
      <c r="C514" s="100" t="str">
        <f>IF(OR(Fact_Impuestos[[#This Row], [Año]]="",Fact_Impuestos[[#This Row], [Mes]]=""),"",DATE(A514,MATCH(B514,{"enero","febrero","marzo","abril","mayo","junio","julio","agosto","septiembre","octubre","noviembre","diciembre"},0)+1,0))</f>
        <v/>
      </c>
      <c r="E514" t="str">
        <f>+IFERROR(VLOOKUP(Fact_Impuestos[[#This Row], [Concepto Anterior]],Conceptos_Impuestos[#All],5,0),"")</f>
        <v/>
      </c>
      <c r="F514" t="str">
        <f>+IFERROR(VLOOKUP(Fact_Impuestos[[#This Row], 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ht="18.75" customHeight="1" x14ac:dyDescent="0.35">
      <c r="C515" s="100" t="str">
        <f>IF(OR(Fact_Impuestos[[#This Row], [Año]]="",Fact_Impuestos[[#This Row], [Mes]]=""),"",DATE(A515,MATCH(B515,{"enero","febrero","marzo","abril","mayo","junio","julio","agosto","septiembre","octubre","noviembre","diciembre"},0)+1,0))</f>
        <v/>
      </c>
      <c r="E515" t="str">
        <f>+IFERROR(VLOOKUP(Fact_Impuestos[[#This Row], [Concepto Anterior]],Conceptos_Impuestos[#All],5,0),"")</f>
        <v/>
      </c>
      <c r="F515" t="str">
        <f>+IFERROR(VLOOKUP(Fact_Impuestos[[#This Row], 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ht="18.75" customHeight="1" x14ac:dyDescent="0.35">
      <c r="C516" s="100" t="str">
        <f>IF(OR(Fact_Impuestos[[#This Row], [Año]]="",Fact_Impuestos[[#This Row], [Mes]]=""),"",DATE(A516,MATCH(B516,{"enero","febrero","marzo","abril","mayo","junio","julio","agosto","septiembre","octubre","noviembre","diciembre"},0)+1,0))</f>
        <v/>
      </c>
      <c r="E516" t="str">
        <f>+IFERROR(VLOOKUP(Fact_Impuestos[[#This Row], [Concepto Anterior]],Conceptos_Impuestos[#All],5,0),"")</f>
        <v/>
      </c>
      <c r="F516" t="str">
        <f>+IFERROR(VLOOKUP(Fact_Impuestos[[#This Row], 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ht="18.75" customHeight="1" x14ac:dyDescent="0.35">
      <c r="C517" s="100" t="str">
        <f>IF(OR(Fact_Impuestos[[#This Row], [Año]]="",Fact_Impuestos[[#This Row], [Mes]]=""),"",DATE(A517,MATCH(B517,{"enero","febrero","marzo","abril","mayo","junio","julio","agosto","septiembre","octubre","noviembre","diciembre"},0)+1,0))</f>
        <v/>
      </c>
      <c r="E517" t="str">
        <f>+IFERROR(VLOOKUP(Fact_Impuestos[[#This Row], [Concepto Anterior]],Conceptos_Impuestos[#All],5,0),"")</f>
        <v/>
      </c>
      <c r="F517" t="str">
        <f>+IFERROR(VLOOKUP(Fact_Impuestos[[#This Row], 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ht="18.75" customHeight="1" x14ac:dyDescent="0.35">
      <c r="C518" s="100" t="str">
        <f>IF(OR(Fact_Impuestos[[#This Row], [Año]]="",Fact_Impuestos[[#This Row], [Mes]]=""),"",DATE(A518,MATCH(B518,{"enero","febrero","marzo","abril","mayo","junio","julio","agosto","septiembre","octubre","noviembre","diciembre"},0)+1,0))</f>
        <v/>
      </c>
      <c r="E518" t="str">
        <f>+IFERROR(VLOOKUP(Fact_Impuestos[[#This Row], [Concepto Anterior]],Conceptos_Impuestos[#All],5,0),"")</f>
        <v/>
      </c>
      <c r="F518" t="str">
        <f>+IFERROR(VLOOKUP(Fact_Impuestos[[#This Row], 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ht="18.75" customHeight="1" x14ac:dyDescent="0.35">
      <c r="C519" s="100" t="str">
        <f>IF(OR(Fact_Impuestos[[#This Row], [Año]]="",Fact_Impuestos[[#This Row], [Mes]]=""),"",DATE(A519,MATCH(B519,{"enero","febrero","marzo","abril","mayo","junio","julio","agosto","septiembre","octubre","noviembre","diciembre"},0)+1,0))</f>
        <v/>
      </c>
      <c r="E519" t="str">
        <f>+IFERROR(VLOOKUP(Fact_Impuestos[[#This Row], [Concepto Anterior]],Conceptos_Impuestos[#All],5,0),"")</f>
        <v/>
      </c>
      <c r="F519" t="str">
        <f>+IFERROR(VLOOKUP(Fact_Impuestos[[#This Row], 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ht="18.75" customHeight="1" x14ac:dyDescent="0.35">
      <c r="C520" s="100" t="str">
        <f>IF(OR(Fact_Impuestos[[#This Row], [Año]]="",Fact_Impuestos[[#This Row], [Mes]]=""),"",DATE(A520,MATCH(B520,{"enero","febrero","marzo","abril","mayo","junio","julio","agosto","septiembre","octubre","noviembre","diciembre"},0)+1,0))</f>
        <v/>
      </c>
      <c r="E520" t="str">
        <f>+IFERROR(VLOOKUP(Fact_Impuestos[[#This Row], [Concepto Anterior]],Conceptos_Impuestos[#All],5,0),"")</f>
        <v/>
      </c>
      <c r="F520" t="str">
        <f>+IFERROR(VLOOKUP(Fact_Impuestos[[#This Row], 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ht="18.75" customHeight="1" x14ac:dyDescent="0.35">
      <c r="C521" s="100" t="str">
        <f>IF(OR(Fact_Impuestos[[#This Row], [Año]]="",Fact_Impuestos[[#This Row], [Mes]]=""),"",DATE(A521,MATCH(B521,{"enero","febrero","marzo","abril","mayo","junio","julio","agosto","septiembre","octubre","noviembre","diciembre"},0)+1,0))</f>
        <v/>
      </c>
      <c r="E521" t="str">
        <f>+IFERROR(VLOOKUP(Fact_Impuestos[[#This Row], [Concepto Anterior]],Conceptos_Impuestos[#All],5,0),"")</f>
        <v/>
      </c>
      <c r="F521" t="str">
        <f>+IFERROR(VLOOKUP(Fact_Impuestos[[#This Row], 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ht="18.75" customHeight="1" x14ac:dyDescent="0.35">
      <c r="C522" s="100" t="str">
        <f>IF(OR(Fact_Impuestos[[#This Row], [Año]]="",Fact_Impuestos[[#This Row], [Mes]]=""),"",DATE(A522,MATCH(B522,{"enero","febrero","marzo","abril","mayo","junio","julio","agosto","septiembre","octubre","noviembre","diciembre"},0)+1,0))</f>
        <v/>
      </c>
      <c r="E522" t="str">
        <f>+IFERROR(VLOOKUP(Fact_Impuestos[[#This Row], [Concepto Anterior]],Conceptos_Impuestos[#All],5,0),"")</f>
        <v/>
      </c>
      <c r="F522" t="str">
        <f>+IFERROR(VLOOKUP(Fact_Impuestos[[#This Row], 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ht="18.75" customHeight="1" x14ac:dyDescent="0.35">
      <c r="C523" s="100" t="str">
        <f>IF(OR(Fact_Impuestos[[#This Row], [Año]]="",Fact_Impuestos[[#This Row], [Mes]]=""),"",DATE(A523,MATCH(B523,{"enero","febrero","marzo","abril","mayo","junio","julio","agosto","septiembre","octubre","noviembre","diciembre"},0)+1,0))</f>
        <v/>
      </c>
      <c r="E523" t="str">
        <f>+IFERROR(VLOOKUP(Fact_Impuestos[[#This Row], [Concepto Anterior]],Conceptos_Impuestos[#All],5,0),"")</f>
        <v/>
      </c>
      <c r="F523" t="str">
        <f>+IFERROR(VLOOKUP(Fact_Impuestos[[#This Row], 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ht="18.75" customHeight="1" x14ac:dyDescent="0.35">
      <c r="C524" s="100" t="str">
        <f>IF(OR(Fact_Impuestos[[#This Row], [Año]]="",Fact_Impuestos[[#This Row], [Mes]]=""),"",DATE(A524,MATCH(B524,{"enero","febrero","marzo","abril","mayo","junio","julio","agosto","septiembre","octubre","noviembre","diciembre"},0)+1,0))</f>
        <v/>
      </c>
      <c r="E524" t="str">
        <f>+IFERROR(VLOOKUP(Fact_Impuestos[[#This Row], [Concepto Anterior]],Conceptos_Impuestos[#All],5,0),"")</f>
        <v/>
      </c>
      <c r="F524" t="str">
        <f>+IFERROR(VLOOKUP(Fact_Impuestos[[#This Row], 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ht="18.75" customHeight="1" x14ac:dyDescent="0.35">
      <c r="C525" s="100" t="str">
        <f>IF(OR(Fact_Impuestos[[#This Row], [Año]]="",Fact_Impuestos[[#This Row], [Mes]]=""),"",DATE(A525,MATCH(B525,{"enero","febrero","marzo","abril","mayo","junio","julio","agosto","septiembre","octubre","noviembre","diciembre"},0)+1,0))</f>
        <v/>
      </c>
      <c r="E525" t="str">
        <f>+IFERROR(VLOOKUP(Fact_Impuestos[[#This Row], [Concepto Anterior]],Conceptos_Impuestos[#All],5,0),"")</f>
        <v/>
      </c>
      <c r="F525" t="str">
        <f>+IFERROR(VLOOKUP(Fact_Impuestos[[#This Row], 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ht="18.75" customHeight="1" x14ac:dyDescent="0.35">
      <c r="C526" s="100" t="str">
        <f>IF(OR(Fact_Impuestos[[#This Row], [Año]]="",Fact_Impuestos[[#This Row], [Mes]]=""),"",DATE(A526,MATCH(B526,{"enero","febrero","marzo","abril","mayo","junio","julio","agosto","septiembre","octubre","noviembre","diciembre"},0)+1,0))</f>
        <v/>
      </c>
      <c r="E526" t="str">
        <f>+IFERROR(VLOOKUP(Fact_Impuestos[[#This Row], [Concepto Anterior]],Conceptos_Impuestos[#All],5,0),"")</f>
        <v/>
      </c>
      <c r="F526" t="str">
        <f>+IFERROR(VLOOKUP(Fact_Impuestos[[#This Row], 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ht="18.75" customHeight="1" x14ac:dyDescent="0.35">
      <c r="C527" s="100" t="str">
        <f>IF(OR(Fact_Impuestos[[#This Row], [Año]]="",Fact_Impuestos[[#This Row], [Mes]]=""),"",DATE(A527,MATCH(B527,{"enero","febrero","marzo","abril","mayo","junio","julio","agosto","septiembre","octubre","noviembre","diciembre"},0)+1,0))</f>
        <v/>
      </c>
      <c r="E527" t="str">
        <f>+IFERROR(VLOOKUP(Fact_Impuestos[[#This Row], [Concepto Anterior]],Conceptos_Impuestos[#All],5,0),"")</f>
        <v/>
      </c>
      <c r="F527" t="str">
        <f>+IFERROR(VLOOKUP(Fact_Impuestos[[#This Row], 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ht="18.75" customHeight="1" x14ac:dyDescent="0.35">
      <c r="C528" s="100" t="str">
        <f>IF(OR(Fact_Impuestos[[#This Row], [Año]]="",Fact_Impuestos[[#This Row], [Mes]]=""),"",DATE(A528,MATCH(B528,{"enero","febrero","marzo","abril","mayo","junio","julio","agosto","septiembre","octubre","noviembre","diciembre"},0)+1,0))</f>
        <v/>
      </c>
      <c r="E528" t="str">
        <f>+IFERROR(VLOOKUP(Fact_Impuestos[[#This Row], [Concepto Anterior]],Conceptos_Impuestos[#All],5,0),"")</f>
        <v/>
      </c>
      <c r="F528" t="str">
        <f>+IFERROR(VLOOKUP(Fact_Impuestos[[#This Row], 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ht="18.75" customHeight="1" x14ac:dyDescent="0.35">
      <c r="C529" s="100" t="str">
        <f>IF(OR(Fact_Impuestos[[#This Row], [Año]]="",Fact_Impuestos[[#This Row], [Mes]]=""),"",DATE(A529,MATCH(B529,{"enero","febrero","marzo","abril","mayo","junio","julio","agosto","septiembre","octubre","noviembre","diciembre"},0)+1,0))</f>
        <v/>
      </c>
      <c r="E529" t="str">
        <f>+IFERROR(VLOOKUP(Fact_Impuestos[[#This Row], [Concepto Anterior]],Conceptos_Impuestos[#All],5,0),"")</f>
        <v/>
      </c>
      <c r="F529" t="str">
        <f>+IFERROR(VLOOKUP(Fact_Impuestos[[#This Row], 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ht="18.75" customHeight="1" x14ac:dyDescent="0.35">
      <c r="C530" s="100" t="str">
        <f>IF(OR(Fact_Impuestos[[#This Row], [Año]]="",Fact_Impuestos[[#This Row], [Mes]]=""),"",DATE(A530,MATCH(B530,{"enero","febrero","marzo","abril","mayo","junio","julio","agosto","septiembre","octubre","noviembre","diciembre"},0)+1,0))</f>
        <v/>
      </c>
      <c r="E530" t="str">
        <f>+IFERROR(VLOOKUP(Fact_Impuestos[[#This Row], [Concepto Anterior]],Conceptos_Impuestos[#All],5,0),"")</f>
        <v/>
      </c>
      <c r="F530" t="str">
        <f>+IFERROR(VLOOKUP(Fact_Impuestos[[#This Row], 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ht="18.75" customHeight="1" x14ac:dyDescent="0.35">
      <c r="C531" s="100" t="str">
        <f>IF(OR(Fact_Impuestos[[#This Row], [Año]]="",Fact_Impuestos[[#This Row], [Mes]]=""),"",DATE(A531,MATCH(B531,{"enero","febrero","marzo","abril","mayo","junio","julio","agosto","septiembre","octubre","noviembre","diciembre"},0)+1,0))</f>
        <v/>
      </c>
      <c r="E531" t="str">
        <f>+IFERROR(VLOOKUP(Fact_Impuestos[[#This Row], [Concepto Anterior]],Conceptos_Impuestos[#All],5,0),"")</f>
        <v/>
      </c>
      <c r="F531" t="str">
        <f>+IFERROR(VLOOKUP(Fact_Impuestos[[#This Row], 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ht="18.75" customHeight="1" x14ac:dyDescent="0.35">
      <c r="C532" s="100" t="str">
        <f>IF(OR(Fact_Impuestos[[#This Row], [Año]]="",Fact_Impuestos[[#This Row], [Mes]]=""),"",DATE(A532,MATCH(B532,{"enero","febrero","marzo","abril","mayo","junio","julio","agosto","septiembre","octubre","noviembre","diciembre"},0)+1,0))</f>
        <v/>
      </c>
      <c r="E532" t="str">
        <f>+IFERROR(VLOOKUP(Fact_Impuestos[[#This Row], [Concepto Anterior]],Conceptos_Impuestos[#All],5,0),"")</f>
        <v/>
      </c>
      <c r="F532" t="str">
        <f>+IFERROR(VLOOKUP(Fact_Impuestos[[#This Row], 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ht="18.75" customHeight="1" x14ac:dyDescent="0.35">
      <c r="C533" s="100" t="str">
        <f>IF(OR(Fact_Impuestos[[#This Row], [Año]]="",Fact_Impuestos[[#This Row], [Mes]]=""),"",DATE(A533,MATCH(B533,{"enero","febrero","marzo","abril","mayo","junio","julio","agosto","septiembre","octubre","noviembre","diciembre"},0)+1,0))</f>
        <v/>
      </c>
      <c r="E533" t="str">
        <f>+IFERROR(VLOOKUP(Fact_Impuestos[[#This Row], [Concepto Anterior]],Conceptos_Impuestos[#All],5,0),"")</f>
        <v/>
      </c>
      <c r="F533" t="str">
        <f>+IFERROR(VLOOKUP(Fact_Impuestos[[#This Row], 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ht="18.75" customHeight="1" x14ac:dyDescent="0.35">
      <c r="C534" s="100" t="str">
        <f>IF(OR(Fact_Impuestos[[#This Row], [Año]]="",Fact_Impuestos[[#This Row], [Mes]]=""),"",DATE(A534,MATCH(B534,{"enero","febrero","marzo","abril","mayo","junio","julio","agosto","septiembre","octubre","noviembre","diciembre"},0)+1,0))</f>
        <v/>
      </c>
      <c r="E534" t="str">
        <f>+IFERROR(VLOOKUP(Fact_Impuestos[[#This Row], [Concepto Anterior]],Conceptos_Impuestos[#All],5,0),"")</f>
        <v/>
      </c>
      <c r="F534" t="str">
        <f>+IFERROR(VLOOKUP(Fact_Impuestos[[#This Row], 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ht="18.75" customHeight="1" x14ac:dyDescent="0.35">
      <c r="C535" s="100" t="str">
        <f>IF(OR(Fact_Impuestos[[#This Row], [Año]]="",Fact_Impuestos[[#This Row], [Mes]]=""),"",DATE(A535,MATCH(B535,{"enero","febrero","marzo","abril","mayo","junio","julio","agosto","septiembre","octubre","noviembre","diciembre"},0)+1,0))</f>
        <v/>
      </c>
      <c r="E535" t="str">
        <f>+IFERROR(VLOOKUP(Fact_Impuestos[[#This Row], [Concepto Anterior]],Conceptos_Impuestos[#All],5,0),"")</f>
        <v/>
      </c>
      <c r="F535" t="str">
        <f>+IFERROR(VLOOKUP(Fact_Impuestos[[#This Row], 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ht="18.75" customHeight="1" x14ac:dyDescent="0.35">
      <c r="C536" s="100" t="str">
        <f>IF(OR(Fact_Impuestos[[#This Row], [Año]]="",Fact_Impuestos[[#This Row], [Mes]]=""),"",DATE(A536,MATCH(B536,{"enero","febrero","marzo","abril","mayo","junio","julio","agosto","septiembre","octubre","noviembre","diciembre"},0)+1,0))</f>
        <v/>
      </c>
      <c r="E536" t="str">
        <f>+IFERROR(VLOOKUP(Fact_Impuestos[[#This Row], [Concepto Anterior]],Conceptos_Impuestos[#All],5,0),"")</f>
        <v/>
      </c>
      <c r="F536" t="str">
        <f>+IFERROR(VLOOKUP(Fact_Impuestos[[#This Row], 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ht="18.75" customHeight="1" x14ac:dyDescent="0.35">
      <c r="C537" s="100" t="str">
        <f>IF(OR(Fact_Impuestos[[#This Row], [Año]]="",Fact_Impuestos[[#This Row], [Mes]]=""),"",DATE(A537,MATCH(B537,{"enero","febrero","marzo","abril","mayo","junio","julio","agosto","septiembre","octubre","noviembre","diciembre"},0)+1,0))</f>
        <v/>
      </c>
      <c r="E537" t="str">
        <f>+IFERROR(VLOOKUP(Fact_Impuestos[[#This Row], [Concepto Anterior]],Conceptos_Impuestos[#All],5,0),"")</f>
        <v/>
      </c>
      <c r="F537" t="str">
        <f>+IFERROR(VLOOKUP(Fact_Impuestos[[#This Row], 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ht="18.75" customHeight="1" x14ac:dyDescent="0.35">
      <c r="C538" s="100" t="str">
        <f>IF(OR(Fact_Impuestos[[#This Row], [Año]]="",Fact_Impuestos[[#This Row], [Mes]]=""),"",DATE(A538,MATCH(B538,{"enero","febrero","marzo","abril","mayo","junio","julio","agosto","septiembre","octubre","noviembre","diciembre"},0)+1,0))</f>
        <v/>
      </c>
      <c r="E538" t="str">
        <f>+IFERROR(VLOOKUP(Fact_Impuestos[[#This Row], [Concepto Anterior]],Conceptos_Impuestos[#All],5,0),"")</f>
        <v/>
      </c>
      <c r="F538" t="str">
        <f>+IFERROR(VLOOKUP(Fact_Impuestos[[#This Row], 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ht="18.75" customHeight="1" x14ac:dyDescent="0.35">
      <c r="C539" s="100" t="str">
        <f>IF(OR(Fact_Impuestos[[#This Row], [Año]]="",Fact_Impuestos[[#This Row], [Mes]]=""),"",DATE(A539,MATCH(B539,{"enero","febrero","marzo","abril","mayo","junio","julio","agosto","septiembre","octubre","noviembre","diciembre"},0)+1,0))</f>
        <v/>
      </c>
      <c r="E539" t="str">
        <f>+IFERROR(VLOOKUP(Fact_Impuestos[[#This Row], [Concepto Anterior]],Conceptos_Impuestos[#All],5,0),"")</f>
        <v/>
      </c>
      <c r="F539" t="str">
        <f>+IFERROR(VLOOKUP(Fact_Impuestos[[#This Row], 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ht="18.75" customHeight="1" x14ac:dyDescent="0.35">
      <c r="C540" s="100" t="str">
        <f>IF(OR(Fact_Impuestos[[#This Row], [Año]]="",Fact_Impuestos[[#This Row], [Mes]]=""),"",DATE(A540,MATCH(B540,{"enero","febrero","marzo","abril","mayo","junio","julio","agosto","septiembre","octubre","noviembre","diciembre"},0)+1,0))</f>
        <v/>
      </c>
      <c r="E540" t="str">
        <f>+IFERROR(VLOOKUP(Fact_Impuestos[[#This Row], [Concepto Anterior]],Conceptos_Impuestos[#All],5,0),"")</f>
        <v/>
      </c>
      <c r="F540" t="str">
        <f>+IFERROR(VLOOKUP(Fact_Impuestos[[#This Row], 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ht="18.75" customHeight="1" x14ac:dyDescent="0.35">
      <c r="C541" s="100" t="str">
        <f>IF(OR(Fact_Impuestos[[#This Row], [Año]]="",Fact_Impuestos[[#This Row], [Mes]]=""),"",DATE(A541,MATCH(B541,{"enero","febrero","marzo","abril","mayo","junio","julio","agosto","septiembre","octubre","noviembre","diciembre"},0)+1,0))</f>
        <v/>
      </c>
      <c r="E541" t="str">
        <f>+IFERROR(VLOOKUP(Fact_Impuestos[[#This Row], [Concepto Anterior]],Conceptos_Impuestos[#All],5,0),"")</f>
        <v/>
      </c>
      <c r="F541" t="str">
        <f>+IFERROR(VLOOKUP(Fact_Impuestos[[#This Row], 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ht="18.75" customHeight="1" x14ac:dyDescent="0.35">
      <c r="C542" s="100" t="str">
        <f>IF(OR(Fact_Impuestos[[#This Row], [Año]]="",Fact_Impuestos[[#This Row], [Mes]]=""),"",DATE(A542,MATCH(B542,{"enero","febrero","marzo","abril","mayo","junio","julio","agosto","septiembre","octubre","noviembre","diciembre"},0)+1,0))</f>
        <v/>
      </c>
      <c r="E542" t="str">
        <f>+IFERROR(VLOOKUP(Fact_Impuestos[[#This Row], [Concepto Anterior]],Conceptos_Impuestos[#All],5,0),"")</f>
        <v/>
      </c>
      <c r="F542" t="str">
        <f>+IFERROR(VLOOKUP(Fact_Impuestos[[#This Row], 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ht="18.75" customHeight="1" x14ac:dyDescent="0.35">
      <c r="C543" s="100" t="str">
        <f>IF(OR(Fact_Impuestos[[#This Row], [Año]]="",Fact_Impuestos[[#This Row], [Mes]]=""),"",DATE(A543,MATCH(B543,{"enero","febrero","marzo","abril","mayo","junio","julio","agosto","septiembre","octubre","noviembre","diciembre"},0)+1,0))</f>
        <v/>
      </c>
      <c r="E543" t="str">
        <f>+IFERROR(VLOOKUP(Fact_Impuestos[[#This Row], [Concepto Anterior]],Conceptos_Impuestos[#All],5,0),"")</f>
        <v/>
      </c>
      <c r="F543" t="str">
        <f>+IFERROR(VLOOKUP(Fact_Impuestos[[#This Row], 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ht="18.75" customHeight="1" x14ac:dyDescent="0.35">
      <c r="C544" s="100" t="str">
        <f>IF(OR(Fact_Impuestos[[#This Row], [Año]]="",Fact_Impuestos[[#This Row], [Mes]]=""),"",DATE(A544,MATCH(B544,{"enero","febrero","marzo","abril","mayo","junio","julio","agosto","septiembre","octubre","noviembre","diciembre"},0)+1,0))</f>
        <v/>
      </c>
      <c r="E544" t="str">
        <f>+IFERROR(VLOOKUP(Fact_Impuestos[[#This Row], [Concepto Anterior]],Conceptos_Impuestos[#All],5,0),"")</f>
        <v/>
      </c>
      <c r="F544" t="str">
        <f>+IFERROR(VLOOKUP(Fact_Impuestos[[#This Row], 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ht="18.75" customHeight="1" x14ac:dyDescent="0.35">
      <c r="C545" s="100" t="str">
        <f>IF(OR(Fact_Impuestos[[#This Row], [Año]]="",Fact_Impuestos[[#This Row], [Mes]]=""),"",DATE(A545,MATCH(B545,{"enero","febrero","marzo","abril","mayo","junio","julio","agosto","septiembre","octubre","noviembre","diciembre"},0)+1,0))</f>
        <v/>
      </c>
      <c r="E545" t="str">
        <f>+IFERROR(VLOOKUP(Fact_Impuestos[[#This Row], [Concepto Anterior]],Conceptos_Impuestos[#All],5,0),"")</f>
        <v/>
      </c>
      <c r="F545" t="str">
        <f>+IFERROR(VLOOKUP(Fact_Impuestos[[#This Row], 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ht="18.75" customHeight="1" x14ac:dyDescent="0.35">
      <c r="C546" s="100" t="str">
        <f>IF(OR(Fact_Impuestos[[#This Row], [Año]]="",Fact_Impuestos[[#This Row], [Mes]]=""),"",DATE(A546,MATCH(B546,{"enero","febrero","marzo","abril","mayo","junio","julio","agosto","septiembre","octubre","noviembre","diciembre"},0)+1,0))</f>
        <v/>
      </c>
      <c r="E546" t="str">
        <f>+IFERROR(VLOOKUP(Fact_Impuestos[[#This Row], [Concepto Anterior]],Conceptos_Impuestos[#All],5,0),"")</f>
        <v/>
      </c>
      <c r="F546" t="str">
        <f>+IFERROR(VLOOKUP(Fact_Impuestos[[#This Row], 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ht="18.75" customHeight="1" x14ac:dyDescent="0.35">
      <c r="C547" s="100" t="str">
        <f>IF(OR(Fact_Impuestos[[#This Row], [Año]]="",Fact_Impuestos[[#This Row], [Mes]]=""),"",DATE(A547,MATCH(B547,{"enero","febrero","marzo","abril","mayo","junio","julio","agosto","septiembre","octubre","noviembre","diciembre"},0)+1,0))</f>
        <v/>
      </c>
      <c r="E547" t="str">
        <f>+IFERROR(VLOOKUP(Fact_Impuestos[[#This Row], [Concepto Anterior]],Conceptos_Impuestos[#All],5,0),"")</f>
        <v/>
      </c>
      <c r="F547" t="str">
        <f>+IFERROR(VLOOKUP(Fact_Impuestos[[#This Row], 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ht="18.75" customHeight="1" x14ac:dyDescent="0.35">
      <c r="C548" s="100" t="str">
        <f>IF(OR(Fact_Impuestos[[#This Row], [Año]]="",Fact_Impuestos[[#This Row], [Mes]]=""),"",DATE(A548,MATCH(B548,{"enero","febrero","marzo","abril","mayo","junio","julio","agosto","septiembre","octubre","noviembre","diciembre"},0)+1,0))</f>
        <v/>
      </c>
      <c r="E548" t="str">
        <f>+IFERROR(VLOOKUP(Fact_Impuestos[[#This Row], [Concepto Anterior]],Conceptos_Impuestos[#All],5,0),"")</f>
        <v/>
      </c>
      <c r="F548" t="str">
        <f>+IFERROR(VLOOKUP(Fact_Impuestos[[#This Row], 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ht="18.75" customHeight="1" x14ac:dyDescent="0.35">
      <c r="C549" s="100" t="str">
        <f>IF(OR(Fact_Impuestos[[#This Row], [Año]]="",Fact_Impuestos[[#This Row], [Mes]]=""),"",DATE(A549,MATCH(B549,{"enero","febrero","marzo","abril","mayo","junio","julio","agosto","septiembre","octubre","noviembre","diciembre"},0)+1,0))</f>
        <v/>
      </c>
      <c r="E549" t="str">
        <f>+IFERROR(VLOOKUP(Fact_Impuestos[[#This Row], [Concepto Anterior]],Conceptos_Impuestos[#All],5,0),"")</f>
        <v/>
      </c>
      <c r="F549" t="str">
        <f>+IFERROR(VLOOKUP(Fact_Impuestos[[#This Row], 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ht="18.75" customHeight="1" x14ac:dyDescent="0.35">
      <c r="C550" s="100" t="str">
        <f>IF(OR(Fact_Impuestos[[#This Row], [Año]]="",Fact_Impuestos[[#This Row], [Mes]]=""),"",DATE(A550,MATCH(B550,{"enero","febrero","marzo","abril","mayo","junio","julio","agosto","septiembre","octubre","noviembre","diciembre"},0)+1,0))</f>
        <v/>
      </c>
      <c r="E550" t="str">
        <f>+IFERROR(VLOOKUP(Fact_Impuestos[[#This Row], [Concepto Anterior]],Conceptos_Impuestos[#All],5,0),"")</f>
        <v/>
      </c>
      <c r="F550" t="str">
        <f>+IFERROR(VLOOKUP(Fact_Impuestos[[#This Row], 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ht="18.75" customHeight="1" x14ac:dyDescent="0.35">
      <c r="C551" s="100" t="str">
        <f>IF(OR(Fact_Impuestos[[#This Row], [Año]]="",Fact_Impuestos[[#This Row], [Mes]]=""),"",DATE(A551,MATCH(B551,{"enero","febrero","marzo","abril","mayo","junio","julio","agosto","septiembre","octubre","noviembre","diciembre"},0)+1,0))</f>
        <v/>
      </c>
      <c r="E551" t="str">
        <f>+IFERROR(VLOOKUP(Fact_Impuestos[[#This Row], [Concepto Anterior]],Conceptos_Impuestos[#All],5,0),"")</f>
        <v/>
      </c>
      <c r="F551" t="str">
        <f>+IFERROR(VLOOKUP(Fact_Impuestos[[#This Row], 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ht="18.75" customHeight="1" x14ac:dyDescent="0.35">
      <c r="C552" s="100" t="str">
        <f>IF(OR(Fact_Impuestos[[#This Row], [Año]]="",Fact_Impuestos[[#This Row], [Mes]]=""),"",DATE(A552,MATCH(B552,{"enero","febrero","marzo","abril","mayo","junio","julio","agosto","septiembre","octubre","noviembre","diciembre"},0)+1,0))</f>
        <v/>
      </c>
      <c r="E552" t="str">
        <f>+IFERROR(VLOOKUP(Fact_Impuestos[[#This Row], [Concepto Anterior]],Conceptos_Impuestos[#All],5,0),"")</f>
        <v/>
      </c>
      <c r="F552" t="str">
        <f>+IFERROR(VLOOKUP(Fact_Impuestos[[#This Row], 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ht="18.75" customHeight="1" x14ac:dyDescent="0.35">
      <c r="C553" s="100" t="str">
        <f>IF(OR(Fact_Impuestos[[#This Row], [Año]]="",Fact_Impuestos[[#This Row], [Mes]]=""),"",DATE(A553,MATCH(B553,{"enero","febrero","marzo","abril","mayo","junio","julio","agosto","septiembre","octubre","noviembre","diciembre"},0)+1,0))</f>
        <v/>
      </c>
      <c r="E553" t="str">
        <f>+IFERROR(VLOOKUP(Fact_Impuestos[[#This Row], [Concepto Anterior]],Conceptos_Impuestos[#All],5,0),"")</f>
        <v/>
      </c>
      <c r="F553" t="str">
        <f>+IFERROR(VLOOKUP(Fact_Impuestos[[#This Row], 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ht="18.75" customHeight="1" x14ac:dyDescent="0.35">
      <c r="C554" s="100" t="str">
        <f>IF(OR(Fact_Impuestos[[#This Row], [Año]]="",Fact_Impuestos[[#This Row], [Mes]]=""),"",DATE(A554,MATCH(B554,{"enero","febrero","marzo","abril","mayo","junio","julio","agosto","septiembre","octubre","noviembre","diciembre"},0)+1,0))</f>
        <v/>
      </c>
      <c r="E554" t="str">
        <f>+IFERROR(VLOOKUP(Fact_Impuestos[[#This Row], [Concepto Anterior]],Conceptos_Impuestos[#All],5,0),"")</f>
        <v/>
      </c>
      <c r="F554" t="str">
        <f>+IFERROR(VLOOKUP(Fact_Impuestos[[#This Row], 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ht="18.75" customHeight="1" x14ac:dyDescent="0.35">
      <c r="C555" s="100" t="str">
        <f>IF(OR(Fact_Impuestos[[#This Row], [Año]]="",Fact_Impuestos[[#This Row], [Mes]]=""),"",DATE(A555,MATCH(B555,{"enero","febrero","marzo","abril","mayo","junio","julio","agosto","septiembre","octubre","noviembre","diciembre"},0)+1,0))</f>
        <v/>
      </c>
      <c r="E555" t="str">
        <f>+IFERROR(VLOOKUP(Fact_Impuestos[[#This Row], [Concepto Anterior]],Conceptos_Impuestos[#All],5,0),"")</f>
        <v/>
      </c>
      <c r="F555" t="str">
        <f>+IFERROR(VLOOKUP(Fact_Impuestos[[#This Row], 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ht="18.75" customHeight="1" x14ac:dyDescent="0.35">
      <c r="C556" s="100" t="str">
        <f>IF(OR(Fact_Impuestos[[#This Row], [Año]]="",Fact_Impuestos[[#This Row], [Mes]]=""),"",DATE(A556,MATCH(B556,{"enero","febrero","marzo","abril","mayo","junio","julio","agosto","septiembre","octubre","noviembre","diciembre"},0)+1,0))</f>
        <v/>
      </c>
      <c r="E556" t="str">
        <f>+IFERROR(VLOOKUP(Fact_Impuestos[[#This Row], [Concepto Anterior]],Conceptos_Impuestos[#All],5,0),"")</f>
        <v/>
      </c>
      <c r="F556" t="str">
        <f>+IFERROR(VLOOKUP(Fact_Impuestos[[#This Row], 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ht="18.75" customHeight="1" x14ac:dyDescent="0.35">
      <c r="C557" s="100" t="str">
        <f>IF(OR(Fact_Impuestos[[#This Row], [Año]]="",Fact_Impuestos[[#This Row], [Mes]]=""),"",DATE(A557,MATCH(B557,{"enero","febrero","marzo","abril","mayo","junio","julio","agosto","septiembre","octubre","noviembre","diciembre"},0)+1,0))</f>
        <v/>
      </c>
      <c r="E557" t="str">
        <f>+IFERROR(VLOOKUP(Fact_Impuestos[[#This Row], [Concepto Anterior]],Conceptos_Impuestos[#All],5,0),"")</f>
        <v/>
      </c>
      <c r="F557" t="str">
        <f>+IFERROR(VLOOKUP(Fact_Impuestos[[#This Row], 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ht="18.75" customHeight="1" x14ac:dyDescent="0.35">
      <c r="C558" s="100" t="str">
        <f>IF(OR(Fact_Impuestos[[#This Row], [Año]]="",Fact_Impuestos[[#This Row], [Mes]]=""),"",DATE(A558,MATCH(B558,{"enero","febrero","marzo","abril","mayo","junio","julio","agosto","septiembre","octubre","noviembre","diciembre"},0)+1,0))</f>
        <v/>
      </c>
      <c r="E558" t="str">
        <f>+IFERROR(VLOOKUP(Fact_Impuestos[[#This Row], [Concepto Anterior]],Conceptos_Impuestos[#All],5,0),"")</f>
        <v/>
      </c>
      <c r="F558" t="str">
        <f>+IFERROR(VLOOKUP(Fact_Impuestos[[#This Row], 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ht="18.75" customHeight="1" x14ac:dyDescent="0.35">
      <c r="C559" s="100" t="str">
        <f>IF(OR(Fact_Impuestos[[#This Row], [Año]]="",Fact_Impuestos[[#This Row], [Mes]]=""),"",DATE(A559,MATCH(B559,{"enero","febrero","marzo","abril","mayo","junio","julio","agosto","septiembre","octubre","noviembre","diciembre"},0)+1,0))</f>
        <v/>
      </c>
      <c r="E559" t="str">
        <f>+IFERROR(VLOOKUP(Fact_Impuestos[[#This Row], [Concepto Anterior]],Conceptos_Impuestos[#All],5,0),"")</f>
        <v/>
      </c>
      <c r="F559" t="str">
        <f>+IFERROR(VLOOKUP(Fact_Impuestos[[#This Row], 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ht="18.75" customHeight="1" x14ac:dyDescent="0.35">
      <c r="C560" s="100" t="str">
        <f>IF(OR(Fact_Impuestos[[#This Row], [Año]]="",Fact_Impuestos[[#This Row], [Mes]]=""),"",DATE(A560,MATCH(B560,{"enero","febrero","marzo","abril","mayo","junio","julio","agosto","septiembre","octubre","noviembre","diciembre"},0)+1,0))</f>
        <v/>
      </c>
      <c r="E560" t="str">
        <f>+IFERROR(VLOOKUP(Fact_Impuestos[[#This Row], [Concepto Anterior]],Conceptos_Impuestos[#All],5,0),"")</f>
        <v/>
      </c>
      <c r="F560" t="str">
        <f>+IFERROR(VLOOKUP(Fact_Impuestos[[#This Row], 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ht="18.75" customHeight="1" x14ac:dyDescent="0.35">
      <c r="C561" s="100" t="str">
        <f>IF(OR(Fact_Impuestos[[#This Row], [Año]]="",Fact_Impuestos[[#This Row], [Mes]]=""),"",DATE(A561,MATCH(B561,{"enero","febrero","marzo","abril","mayo","junio","julio","agosto","septiembre","octubre","noviembre","diciembre"},0)+1,0))</f>
        <v/>
      </c>
      <c r="E561" t="str">
        <f>+IFERROR(VLOOKUP(Fact_Impuestos[[#This Row], [Concepto Anterior]],Conceptos_Impuestos[#All],5,0),"")</f>
        <v/>
      </c>
      <c r="F561" t="str">
        <f>+IFERROR(VLOOKUP(Fact_Impuestos[[#This Row], 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ht="18.75" customHeight="1" x14ac:dyDescent="0.35">
      <c r="C562" s="100" t="str">
        <f>IF(OR(Fact_Impuestos[[#This Row], [Año]]="",Fact_Impuestos[[#This Row], [Mes]]=""),"",DATE(A562,MATCH(B562,{"enero","febrero","marzo","abril","mayo","junio","julio","agosto","septiembre","octubre","noviembre","diciembre"},0)+1,0))</f>
        <v/>
      </c>
      <c r="E562" t="str">
        <f>+IFERROR(VLOOKUP(Fact_Impuestos[[#This Row], [Concepto Anterior]],Conceptos_Impuestos[#All],5,0),"")</f>
        <v/>
      </c>
      <c r="F562" t="str">
        <f>+IFERROR(VLOOKUP(Fact_Impuestos[[#This Row], 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ht="18.75" customHeight="1" x14ac:dyDescent="0.35">
      <c r="C563" s="100" t="str">
        <f>IF(OR(Fact_Impuestos[[#This Row], [Año]]="",Fact_Impuestos[[#This Row], [Mes]]=""),"",DATE(A563,MATCH(B563,{"enero","febrero","marzo","abril","mayo","junio","julio","agosto","septiembre","octubre","noviembre","diciembre"},0)+1,0))</f>
        <v/>
      </c>
      <c r="E563" t="str">
        <f>+IFERROR(VLOOKUP(Fact_Impuestos[[#This Row], [Concepto Anterior]],Conceptos_Impuestos[#All],5,0),"")</f>
        <v/>
      </c>
      <c r="F563" t="str">
        <f>+IFERROR(VLOOKUP(Fact_Impuestos[[#This Row], 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ht="18.75" customHeight="1" x14ac:dyDescent="0.35">
      <c r="C564" s="100" t="str">
        <f>IF(OR(Fact_Impuestos[[#This Row], [Año]]="",Fact_Impuestos[[#This Row], [Mes]]=""),"",DATE(A564,MATCH(B564,{"enero","febrero","marzo","abril","mayo","junio","julio","agosto","septiembre","octubre","noviembre","diciembre"},0)+1,0))</f>
        <v/>
      </c>
      <c r="E564" t="str">
        <f>+IFERROR(VLOOKUP(Fact_Impuestos[[#This Row], [Concepto Anterior]],Conceptos_Impuestos[#All],5,0),"")</f>
        <v/>
      </c>
      <c r="F564" t="str">
        <f>+IFERROR(VLOOKUP(Fact_Impuestos[[#This Row], 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ht="18.75" customHeight="1" x14ac:dyDescent="0.35">
      <c r="C565" s="100" t="str">
        <f>IF(OR(Fact_Impuestos[[#This Row], [Año]]="",Fact_Impuestos[[#This Row], [Mes]]=""),"",DATE(A565,MATCH(B565,{"enero","febrero","marzo","abril","mayo","junio","julio","agosto","septiembre","octubre","noviembre","diciembre"},0)+1,0))</f>
        <v/>
      </c>
      <c r="E565" t="str">
        <f>+IFERROR(VLOOKUP(Fact_Impuestos[[#This Row], [Concepto Anterior]],Conceptos_Impuestos[#All],5,0),"")</f>
        <v/>
      </c>
      <c r="F565" t="str">
        <f>+IFERROR(VLOOKUP(Fact_Impuestos[[#This Row], 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ht="18.75" customHeight="1" x14ac:dyDescent="0.35">
      <c r="C566" s="100" t="str">
        <f>IF(OR(Fact_Impuestos[[#This Row], [Año]]="",Fact_Impuestos[[#This Row], [Mes]]=""),"",DATE(A566,MATCH(B566,{"enero","febrero","marzo","abril","mayo","junio","julio","agosto","septiembre","octubre","noviembre","diciembre"},0)+1,0))</f>
        <v/>
      </c>
      <c r="E566" t="str">
        <f>+IFERROR(VLOOKUP(Fact_Impuestos[[#This Row], [Concepto Anterior]],Conceptos_Impuestos[#All],5,0),"")</f>
        <v/>
      </c>
      <c r="F566" t="str">
        <f>+IFERROR(VLOOKUP(Fact_Impuestos[[#This Row], 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ht="18.75" customHeight="1" x14ac:dyDescent="0.35">
      <c r="C567" s="100" t="str">
        <f>IF(OR(Fact_Impuestos[[#This Row], [Año]]="",Fact_Impuestos[[#This Row], [Mes]]=""),"",DATE(A567,MATCH(B567,{"enero","febrero","marzo","abril","mayo","junio","julio","agosto","septiembre","octubre","noviembre","diciembre"},0)+1,0))</f>
        <v/>
      </c>
      <c r="E567" t="str">
        <f>+IFERROR(VLOOKUP(Fact_Impuestos[[#This Row], [Concepto Anterior]],Conceptos_Impuestos[#All],5,0),"")</f>
        <v/>
      </c>
      <c r="F567" t="str">
        <f>+IFERROR(VLOOKUP(Fact_Impuestos[[#This Row], 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ht="18.75" customHeight="1" x14ac:dyDescent="0.35">
      <c r="C568" s="100" t="str">
        <f>IF(OR(Fact_Impuestos[[#This Row], [Año]]="",Fact_Impuestos[[#This Row], [Mes]]=""),"",DATE(A568,MATCH(B568,{"enero","febrero","marzo","abril","mayo","junio","julio","agosto","septiembre","octubre","noviembre","diciembre"},0)+1,0))</f>
        <v/>
      </c>
      <c r="E568" t="str">
        <f>+IFERROR(VLOOKUP(Fact_Impuestos[[#This Row], [Concepto Anterior]],Conceptos_Impuestos[#All],5,0),"")</f>
        <v/>
      </c>
      <c r="F568" t="str">
        <f>+IFERROR(VLOOKUP(Fact_Impuestos[[#This Row], 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ht="18.75" customHeight="1" x14ac:dyDescent="0.35">
      <c r="C569" s="100" t="str">
        <f>IF(OR(Fact_Impuestos[[#This Row], [Año]]="",Fact_Impuestos[[#This Row], [Mes]]=""),"",DATE(A569,MATCH(B569,{"enero","febrero","marzo","abril","mayo","junio","julio","agosto","septiembre","octubre","noviembre","diciembre"},0)+1,0))</f>
        <v/>
      </c>
      <c r="E569" t="str">
        <f>+IFERROR(VLOOKUP(Fact_Impuestos[[#This Row], [Concepto Anterior]],Conceptos_Impuestos[#All],5,0),"")</f>
        <v/>
      </c>
      <c r="F569" t="str">
        <f>+IFERROR(VLOOKUP(Fact_Impuestos[[#This Row], 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ht="18.75" customHeight="1" x14ac:dyDescent="0.35">
      <c r="C570" s="100" t="str">
        <f>IF(OR(Fact_Impuestos[[#This Row], [Año]]="",Fact_Impuestos[[#This Row], [Mes]]=""),"",DATE(A570,MATCH(B570,{"enero","febrero","marzo","abril","mayo","junio","julio","agosto","septiembre","octubre","noviembre","diciembre"},0)+1,0))</f>
        <v/>
      </c>
      <c r="E570" t="str">
        <f>+IFERROR(VLOOKUP(Fact_Impuestos[[#This Row], [Concepto Anterior]],Conceptos_Impuestos[#All],5,0),"")</f>
        <v/>
      </c>
      <c r="F570" t="str">
        <f>+IFERROR(VLOOKUP(Fact_Impuestos[[#This Row], 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ht="18.75" customHeight="1" x14ac:dyDescent="0.35">
      <c r="C571" s="100" t="str">
        <f>IF(OR(Fact_Impuestos[[#This Row], [Año]]="",Fact_Impuestos[[#This Row], [Mes]]=""),"",DATE(A571,MATCH(B571,{"enero","febrero","marzo","abril","mayo","junio","julio","agosto","septiembre","octubre","noviembre","diciembre"},0)+1,0))</f>
        <v/>
      </c>
      <c r="E571" t="str">
        <f>+IFERROR(VLOOKUP(Fact_Impuestos[[#This Row], [Concepto Anterior]],Conceptos_Impuestos[#All],5,0),"")</f>
        <v/>
      </c>
      <c r="F571" t="str">
        <f>+IFERROR(VLOOKUP(Fact_Impuestos[[#This Row], 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ht="18.75" customHeight="1" x14ac:dyDescent="0.35">
      <c r="C572" s="100" t="str">
        <f>IF(OR(Fact_Impuestos[[#This Row], [Año]]="",Fact_Impuestos[[#This Row], [Mes]]=""),"",DATE(A572,MATCH(B572,{"enero","febrero","marzo","abril","mayo","junio","julio","agosto","septiembre","octubre","noviembre","diciembre"},0)+1,0))</f>
        <v/>
      </c>
      <c r="E572" t="str">
        <f>+IFERROR(VLOOKUP(Fact_Impuestos[[#This Row], [Concepto Anterior]],Conceptos_Impuestos[#All],5,0),"")</f>
        <v/>
      </c>
      <c r="F572" t="str">
        <f>+IFERROR(VLOOKUP(Fact_Impuestos[[#This Row], 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ht="18.75" customHeight="1" x14ac:dyDescent="0.35">
      <c r="C573" s="100" t="str">
        <f>IF(OR(Fact_Impuestos[[#This Row], [Año]]="",Fact_Impuestos[[#This Row], [Mes]]=""),"",DATE(A573,MATCH(B573,{"enero","febrero","marzo","abril","mayo","junio","julio","agosto","septiembre","octubre","noviembre","diciembre"},0)+1,0))</f>
        <v/>
      </c>
      <c r="E573" t="str">
        <f>+IFERROR(VLOOKUP(Fact_Impuestos[[#This Row], [Concepto Anterior]],Conceptos_Impuestos[#All],5,0),"")</f>
        <v/>
      </c>
      <c r="F573" t="str">
        <f>+IFERROR(VLOOKUP(Fact_Impuestos[[#This Row], 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ht="18.75" customHeight="1" x14ac:dyDescent="0.35">
      <c r="C574" s="100" t="str">
        <f>IF(OR(Fact_Impuestos[[#This Row], [Año]]="",Fact_Impuestos[[#This Row], [Mes]]=""),"",DATE(A574,MATCH(B574,{"enero","febrero","marzo","abril","mayo","junio","julio","agosto","septiembre","octubre","noviembre","diciembre"},0)+1,0))</f>
        <v/>
      </c>
      <c r="E574" t="str">
        <f>+IFERROR(VLOOKUP(Fact_Impuestos[[#This Row], [Concepto Anterior]],Conceptos_Impuestos[#All],5,0),"")</f>
        <v/>
      </c>
      <c r="F574" t="str">
        <f>+IFERROR(VLOOKUP(Fact_Impuestos[[#This Row], 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ht="18.75" customHeight="1" x14ac:dyDescent="0.35">
      <c r="C575" s="100" t="str">
        <f>IF(OR(Fact_Impuestos[[#This Row], [Año]]="",Fact_Impuestos[[#This Row], [Mes]]=""),"",DATE(A575,MATCH(B575,{"enero","febrero","marzo","abril","mayo","junio","julio","agosto","septiembre","octubre","noviembre","diciembre"},0)+1,0))</f>
        <v/>
      </c>
      <c r="E575" t="str">
        <f>+IFERROR(VLOOKUP(Fact_Impuestos[[#This Row], [Concepto Anterior]],Conceptos_Impuestos[#All],5,0),"")</f>
        <v/>
      </c>
      <c r="F575" t="str">
        <f>+IFERROR(VLOOKUP(Fact_Impuestos[[#This Row], 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ht="18.75" customHeight="1" x14ac:dyDescent="0.35">
      <c r="C576" s="100" t="str">
        <f>IF(OR(Fact_Impuestos[[#This Row], [Año]]="",Fact_Impuestos[[#This Row], [Mes]]=""),"",DATE(A576,MATCH(B576,{"enero","febrero","marzo","abril","mayo","junio","julio","agosto","septiembre","octubre","noviembre","diciembre"},0)+1,0))</f>
        <v/>
      </c>
      <c r="E576" t="str">
        <f>+IFERROR(VLOOKUP(Fact_Impuestos[[#This Row], [Concepto Anterior]],Conceptos_Impuestos[#All],5,0),"")</f>
        <v/>
      </c>
      <c r="F576" t="str">
        <f>+IFERROR(VLOOKUP(Fact_Impuestos[[#This Row], 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ht="18.75" customHeight="1" x14ac:dyDescent="0.35">
      <c r="C577" s="100" t="str">
        <f>IF(OR(Fact_Impuestos[[#This Row], [Año]]="",Fact_Impuestos[[#This Row], [Mes]]=""),"",DATE(A577,MATCH(B577,{"enero","febrero","marzo","abril","mayo","junio","julio","agosto","septiembre","octubre","noviembre","diciembre"},0)+1,0))</f>
        <v/>
      </c>
      <c r="E577" t="str">
        <f>+IFERROR(VLOOKUP(Fact_Impuestos[[#This Row], [Concepto Anterior]],Conceptos_Impuestos[#All],5,0),"")</f>
        <v/>
      </c>
      <c r="F577" t="str">
        <f>+IFERROR(VLOOKUP(Fact_Impuestos[[#This Row], 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ht="18.75" customHeight="1" x14ac:dyDescent="0.35">
      <c r="C578" s="100" t="str">
        <f>IF(OR(Fact_Impuestos[[#This Row], [Año]]="",Fact_Impuestos[[#This Row], [Mes]]=""),"",DATE(A578,MATCH(B578,{"enero","febrero","marzo","abril","mayo","junio","julio","agosto","septiembre","octubre","noviembre","diciembre"},0)+1,0))</f>
        <v/>
      </c>
      <c r="E578" t="str">
        <f>+IFERROR(VLOOKUP(Fact_Impuestos[[#This Row], [Concepto Anterior]],Conceptos_Impuestos[#All],5,0),"")</f>
        <v/>
      </c>
      <c r="F578" t="str">
        <f>+IFERROR(VLOOKUP(Fact_Impuestos[[#This Row], 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ht="18.75" customHeight="1" x14ac:dyDescent="0.35">
      <c r="C579" s="100" t="str">
        <f>IF(OR(Fact_Impuestos[[#This Row], [Año]]="",Fact_Impuestos[[#This Row], [Mes]]=""),"",DATE(A579,MATCH(B579,{"enero","febrero","marzo","abril","mayo","junio","julio","agosto","septiembre","octubre","noviembre","diciembre"},0)+1,0))</f>
        <v/>
      </c>
      <c r="E579" t="str">
        <f>+IFERROR(VLOOKUP(Fact_Impuestos[[#This Row], [Concepto Anterior]],Conceptos_Impuestos[#All],5,0),"")</f>
        <v/>
      </c>
      <c r="F579" t="str">
        <f>+IFERROR(VLOOKUP(Fact_Impuestos[[#This Row], 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ht="18.75" customHeight="1" x14ac:dyDescent="0.35">
      <c r="C580" s="100" t="str">
        <f>IF(OR(Fact_Impuestos[[#This Row], [Año]]="",Fact_Impuestos[[#This Row], [Mes]]=""),"",DATE(A580,MATCH(B580,{"enero","febrero","marzo","abril","mayo","junio","julio","agosto","septiembre","octubre","noviembre","diciembre"},0)+1,0))</f>
        <v/>
      </c>
      <c r="E580" t="str">
        <f>+IFERROR(VLOOKUP(Fact_Impuestos[[#This Row], [Concepto Anterior]],Conceptos_Impuestos[#All],5,0),"")</f>
        <v/>
      </c>
      <c r="F580" t="str">
        <f>+IFERROR(VLOOKUP(Fact_Impuestos[[#This Row], 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ht="18.75" customHeight="1" x14ac:dyDescent="0.35">
      <c r="C581" s="100" t="str">
        <f>IF(OR(Fact_Impuestos[[#This Row], [Año]]="",Fact_Impuestos[[#This Row], [Mes]]=""),"",DATE(A581,MATCH(B581,{"enero","febrero","marzo","abril","mayo","junio","julio","agosto","septiembre","octubre","noviembre","diciembre"},0)+1,0))</f>
        <v/>
      </c>
      <c r="E581" t="str">
        <f>+IFERROR(VLOOKUP(Fact_Impuestos[[#This Row], [Concepto Anterior]],Conceptos_Impuestos[#All],5,0),"")</f>
        <v/>
      </c>
      <c r="F581" t="str">
        <f>+IFERROR(VLOOKUP(Fact_Impuestos[[#This Row], 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ht="18.75" customHeight="1" x14ac:dyDescent="0.35">
      <c r="C582" s="100" t="str">
        <f>IF(OR(Fact_Impuestos[[#This Row], [Año]]="",Fact_Impuestos[[#This Row], [Mes]]=""),"",DATE(A582,MATCH(B582,{"enero","febrero","marzo","abril","mayo","junio","julio","agosto","septiembre","octubre","noviembre","diciembre"},0)+1,0))</f>
        <v/>
      </c>
      <c r="E582" t="str">
        <f>+IFERROR(VLOOKUP(Fact_Impuestos[[#This Row], [Concepto Anterior]],Conceptos_Impuestos[#All],5,0),"")</f>
        <v/>
      </c>
      <c r="F582" t="str">
        <f>+IFERROR(VLOOKUP(Fact_Impuestos[[#This Row], 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ht="18.75" customHeight="1" x14ac:dyDescent="0.35">
      <c r="C583" s="100" t="str">
        <f>IF(OR(Fact_Impuestos[[#This Row], [Año]]="",Fact_Impuestos[[#This Row], [Mes]]=""),"",DATE(A583,MATCH(B583,{"enero","febrero","marzo","abril","mayo","junio","julio","agosto","septiembre","octubre","noviembre","diciembre"},0)+1,0))</f>
        <v/>
      </c>
      <c r="E583" t="str">
        <f>+IFERROR(VLOOKUP(Fact_Impuestos[[#This Row], [Concepto Anterior]],Conceptos_Impuestos[#All],5,0),"")</f>
        <v/>
      </c>
      <c r="F583" t="str">
        <f>+IFERROR(VLOOKUP(Fact_Impuestos[[#This Row], 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ht="18.75" customHeight="1" x14ac:dyDescent="0.35">
      <c r="C584" s="100" t="str">
        <f>IF(OR(Fact_Impuestos[[#This Row], [Año]]="",Fact_Impuestos[[#This Row], [Mes]]=""),"",DATE(A584,MATCH(B584,{"enero","febrero","marzo","abril","mayo","junio","julio","agosto","septiembre","octubre","noviembre","diciembre"},0)+1,0))</f>
        <v/>
      </c>
      <c r="E584" t="str">
        <f>+IFERROR(VLOOKUP(Fact_Impuestos[[#This Row], [Concepto Anterior]],Conceptos_Impuestos[#All],5,0),"")</f>
        <v/>
      </c>
      <c r="F584" t="str">
        <f>+IFERROR(VLOOKUP(Fact_Impuestos[[#This Row], 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ht="18.75" customHeight="1" x14ac:dyDescent="0.35">
      <c r="C585" s="100" t="str">
        <f>IF(OR(Fact_Impuestos[[#This Row], [Año]]="",Fact_Impuestos[[#This Row], [Mes]]=""),"",DATE(A585,MATCH(B585,{"enero","febrero","marzo","abril","mayo","junio","julio","agosto","septiembre","octubre","noviembre","diciembre"},0)+1,0))</f>
        <v/>
      </c>
      <c r="E585" t="str">
        <f>+IFERROR(VLOOKUP(Fact_Impuestos[[#This Row], [Concepto Anterior]],Conceptos_Impuestos[#All],5,0),"")</f>
        <v/>
      </c>
      <c r="F585" t="str">
        <f>+IFERROR(VLOOKUP(Fact_Impuestos[[#This Row], 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ht="18.75" customHeight="1" x14ac:dyDescent="0.35">
      <c r="C586" s="100" t="str">
        <f>IF(OR(Fact_Impuestos[[#This Row], [Año]]="",Fact_Impuestos[[#This Row], [Mes]]=""),"",DATE(A586,MATCH(B586,{"enero","febrero","marzo","abril","mayo","junio","julio","agosto","septiembre","octubre","noviembre","diciembre"},0)+1,0))</f>
        <v/>
      </c>
      <c r="E586" t="str">
        <f>+IFERROR(VLOOKUP(Fact_Impuestos[[#This Row], [Concepto Anterior]],Conceptos_Impuestos[#All],5,0),"")</f>
        <v/>
      </c>
      <c r="F586" t="str">
        <f>+IFERROR(VLOOKUP(Fact_Impuestos[[#This Row], 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ht="18.75" customHeight="1" x14ac:dyDescent="0.35">
      <c r="C587" s="100" t="str">
        <f>IF(OR(Fact_Impuestos[[#This Row], [Año]]="",Fact_Impuestos[[#This Row], [Mes]]=""),"",DATE(A587,MATCH(B587,{"enero","febrero","marzo","abril","mayo","junio","julio","agosto","septiembre","octubre","noviembre","diciembre"},0)+1,0))</f>
        <v/>
      </c>
      <c r="E587" t="str">
        <f>+IFERROR(VLOOKUP(Fact_Impuestos[[#This Row], [Concepto Anterior]],Conceptos_Impuestos[#All],5,0),"")</f>
        <v/>
      </c>
      <c r="F587" t="str">
        <f>+IFERROR(VLOOKUP(Fact_Impuestos[[#This Row], 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ht="18.75" customHeight="1" x14ac:dyDescent="0.35">
      <c r="C588" s="100" t="str">
        <f>IF(OR(Fact_Impuestos[[#This Row], [Año]]="",Fact_Impuestos[[#This Row], [Mes]]=""),"",DATE(A588,MATCH(B588,{"enero","febrero","marzo","abril","mayo","junio","julio","agosto","septiembre","octubre","noviembre","diciembre"},0)+1,0))</f>
        <v/>
      </c>
      <c r="E588" t="str">
        <f>+IFERROR(VLOOKUP(Fact_Impuestos[[#This Row], [Concepto Anterior]],Conceptos_Impuestos[#All],5,0),"")</f>
        <v/>
      </c>
      <c r="F588" t="str">
        <f>+IFERROR(VLOOKUP(Fact_Impuestos[[#This Row], 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ht="18.75" customHeight="1" x14ac:dyDescent="0.35">
      <c r="C589" s="100" t="str">
        <f>IF(OR(Fact_Impuestos[[#This Row], [Año]]="",Fact_Impuestos[[#This Row], [Mes]]=""),"",DATE(A589,MATCH(B589,{"enero","febrero","marzo","abril","mayo","junio","julio","agosto","septiembre","octubre","noviembre","diciembre"},0)+1,0))</f>
        <v/>
      </c>
      <c r="E589" t="str">
        <f>+IFERROR(VLOOKUP(Fact_Impuestos[[#This Row], [Concepto Anterior]],Conceptos_Impuestos[#All],5,0),"")</f>
        <v/>
      </c>
      <c r="F589" t="str">
        <f>+IFERROR(VLOOKUP(Fact_Impuestos[[#This Row], 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ht="18.75" customHeight="1" x14ac:dyDescent="0.35">
      <c r="C590" s="100" t="str">
        <f>IF(OR(Fact_Impuestos[[#This Row], [Año]]="",Fact_Impuestos[[#This Row], [Mes]]=""),"",DATE(A590,MATCH(B590,{"enero","febrero","marzo","abril","mayo","junio","julio","agosto","septiembre","octubre","noviembre","diciembre"},0)+1,0))</f>
        <v/>
      </c>
      <c r="E590" t="str">
        <f>+IFERROR(VLOOKUP(Fact_Impuestos[[#This Row], [Concepto Anterior]],Conceptos_Impuestos[#All],5,0),"")</f>
        <v/>
      </c>
      <c r="F590" t="str">
        <f>+IFERROR(VLOOKUP(Fact_Impuestos[[#This Row], 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ht="18.75" customHeight="1" x14ac:dyDescent="0.35">
      <c r="C591" s="100" t="str">
        <f>IF(OR(Fact_Impuestos[[#This Row], [Año]]="",Fact_Impuestos[[#This Row], [Mes]]=""),"",DATE(A591,MATCH(B591,{"enero","febrero","marzo","abril","mayo","junio","julio","agosto","septiembre","octubre","noviembre","diciembre"},0)+1,0))</f>
        <v/>
      </c>
      <c r="E591" t="str">
        <f>+IFERROR(VLOOKUP(Fact_Impuestos[[#This Row], [Concepto Anterior]],Conceptos_Impuestos[#All],5,0),"")</f>
        <v/>
      </c>
      <c r="F591" t="str">
        <f>+IFERROR(VLOOKUP(Fact_Impuestos[[#This Row], 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ht="18.75" customHeight="1" x14ac:dyDescent="0.35">
      <c r="C592" s="100" t="str">
        <f>IF(OR(Fact_Impuestos[[#This Row], [Año]]="",Fact_Impuestos[[#This Row], [Mes]]=""),"",DATE(A592,MATCH(B592,{"enero","febrero","marzo","abril","mayo","junio","julio","agosto","septiembre","octubre","noviembre","diciembre"},0)+1,0))</f>
        <v/>
      </c>
      <c r="E592" t="str">
        <f>+IFERROR(VLOOKUP(Fact_Impuestos[[#This Row], [Concepto Anterior]],Conceptos_Impuestos[#All],5,0),"")</f>
        <v/>
      </c>
      <c r="F592" t="str">
        <f>+IFERROR(VLOOKUP(Fact_Impuestos[[#This Row], 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ht="18.75" customHeight="1" x14ac:dyDescent="0.35">
      <c r="C593" s="100" t="str">
        <f>IF(OR(Fact_Impuestos[[#This Row], [Año]]="",Fact_Impuestos[[#This Row], [Mes]]=""),"",DATE(A593,MATCH(B593,{"enero","febrero","marzo","abril","mayo","junio","julio","agosto","septiembre","octubre","noviembre","diciembre"},0)+1,0))</f>
        <v/>
      </c>
      <c r="E593" t="str">
        <f>+IFERROR(VLOOKUP(Fact_Impuestos[[#This Row], [Concepto Anterior]],Conceptos_Impuestos[#All],5,0),"")</f>
        <v/>
      </c>
      <c r="F593" t="str">
        <f>+IFERROR(VLOOKUP(Fact_Impuestos[[#This Row], 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ht="18.75" customHeight="1" x14ac:dyDescent="0.35">
      <c r="C594" s="100" t="str">
        <f>IF(OR(Fact_Impuestos[[#This Row], [Año]]="",Fact_Impuestos[[#This Row], [Mes]]=""),"",DATE(A594,MATCH(B594,{"enero","febrero","marzo","abril","mayo","junio","julio","agosto","septiembre","octubre","noviembre","diciembre"},0)+1,0))</f>
        <v/>
      </c>
      <c r="E594" t="str">
        <f>+IFERROR(VLOOKUP(Fact_Impuestos[[#This Row], [Concepto Anterior]],Conceptos_Impuestos[#All],5,0),"")</f>
        <v/>
      </c>
      <c r="F594" t="str">
        <f>+IFERROR(VLOOKUP(Fact_Impuestos[[#This Row], 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ht="18.75" customHeight="1" x14ac:dyDescent="0.35">
      <c r="C595" s="100" t="str">
        <f>IF(OR(Fact_Impuestos[[#This Row], [Año]]="",Fact_Impuestos[[#This Row], [Mes]]=""),"",DATE(A595,MATCH(B595,{"enero","febrero","marzo","abril","mayo","junio","julio","agosto","septiembre","octubre","noviembre","diciembre"},0)+1,0))</f>
        <v/>
      </c>
      <c r="E595" t="str">
        <f>+IFERROR(VLOOKUP(Fact_Impuestos[[#This Row], [Concepto Anterior]],Conceptos_Impuestos[#All],5,0),"")</f>
        <v/>
      </c>
      <c r="F595" t="str">
        <f>+IFERROR(VLOOKUP(Fact_Impuestos[[#This Row], 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ht="18.75" customHeight="1" x14ac:dyDescent="0.35">
      <c r="C596" s="100" t="str">
        <f>IF(OR(Fact_Impuestos[[#This Row], [Año]]="",Fact_Impuestos[[#This Row], [Mes]]=""),"",DATE(A596,MATCH(B596,{"enero","febrero","marzo","abril","mayo","junio","julio","agosto","septiembre","octubre","noviembre","diciembre"},0)+1,0))</f>
        <v/>
      </c>
      <c r="E596" t="str">
        <f>+IFERROR(VLOOKUP(Fact_Impuestos[[#This Row], [Concepto Anterior]],Conceptos_Impuestos[#All],5,0),"")</f>
        <v/>
      </c>
      <c r="F596" t="str">
        <f>+IFERROR(VLOOKUP(Fact_Impuestos[[#This Row], 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ht="18.75" customHeight="1" x14ac:dyDescent="0.35">
      <c r="C597" s="100" t="str">
        <f>IF(OR(Fact_Impuestos[[#This Row], [Año]]="",Fact_Impuestos[[#This Row], [Mes]]=""),"",DATE(A597,MATCH(B597,{"enero","febrero","marzo","abril","mayo","junio","julio","agosto","septiembre","octubre","noviembre","diciembre"},0)+1,0))</f>
        <v/>
      </c>
      <c r="E597" t="str">
        <f>+IFERROR(VLOOKUP(Fact_Impuestos[[#This Row], [Concepto Anterior]],Conceptos_Impuestos[#All],5,0),"")</f>
        <v/>
      </c>
      <c r="F597" t="str">
        <f>+IFERROR(VLOOKUP(Fact_Impuestos[[#This Row], 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ht="18.75" customHeight="1" x14ac:dyDescent="0.35">
      <c r="C598" s="100" t="str">
        <f>IF(OR(Fact_Impuestos[[#This Row], [Año]]="",Fact_Impuestos[[#This Row], [Mes]]=""),"",DATE(A598,MATCH(B598,{"enero","febrero","marzo","abril","mayo","junio","julio","agosto","septiembre","octubre","noviembre","diciembre"},0)+1,0))</f>
        <v/>
      </c>
      <c r="E598" t="str">
        <f>+IFERROR(VLOOKUP(Fact_Impuestos[[#This Row], [Concepto Anterior]],Conceptos_Impuestos[#All],5,0),"")</f>
        <v/>
      </c>
      <c r="F598" t="str">
        <f>+IFERROR(VLOOKUP(Fact_Impuestos[[#This Row], 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ht="18.75" customHeight="1" x14ac:dyDescent="0.35">
      <c r="C599" s="100" t="str">
        <f>IF(OR(Fact_Impuestos[[#This Row], [Año]]="",Fact_Impuestos[[#This Row], [Mes]]=""),"",DATE(A599,MATCH(B599,{"enero","febrero","marzo","abril","mayo","junio","julio","agosto","septiembre","octubre","noviembre","diciembre"},0)+1,0))</f>
        <v/>
      </c>
      <c r="E599" t="str">
        <f>+IFERROR(VLOOKUP(Fact_Impuestos[[#This Row], [Concepto Anterior]],Conceptos_Impuestos[#All],5,0),"")</f>
        <v/>
      </c>
      <c r="F599" t="str">
        <f>+IFERROR(VLOOKUP(Fact_Impuestos[[#This Row], 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ht="18.75" customHeight="1" x14ac:dyDescent="0.35">
      <c r="C600" s="100" t="str">
        <f>IF(OR(Fact_Impuestos[[#This Row], [Año]]="",Fact_Impuestos[[#This Row], [Mes]]=""),"",DATE(A600,MATCH(B600,{"enero","febrero","marzo","abril","mayo","junio","julio","agosto","septiembre","octubre","noviembre","diciembre"},0)+1,0))</f>
        <v/>
      </c>
      <c r="E600" t="str">
        <f>+IFERROR(VLOOKUP(Fact_Impuestos[[#This Row], [Concepto Anterior]],Conceptos_Impuestos[#All],5,0),"")</f>
        <v/>
      </c>
      <c r="F600" t="str">
        <f>+IFERROR(VLOOKUP(Fact_Impuestos[[#This Row], 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ht="18.75" customHeight="1" x14ac:dyDescent="0.35">
      <c r="C601" s="100" t="str">
        <f>IF(OR(Fact_Impuestos[[#This Row], [Año]]="",Fact_Impuestos[[#This Row], [Mes]]=""),"",DATE(A601,MATCH(B601,{"enero","febrero","marzo","abril","mayo","junio","julio","agosto","septiembre","octubre","noviembre","diciembre"},0)+1,0))</f>
        <v/>
      </c>
      <c r="E601" t="str">
        <f>+IFERROR(VLOOKUP(Fact_Impuestos[[#This Row], [Concepto Anterior]],Conceptos_Impuestos[#All],5,0),"")</f>
        <v/>
      </c>
      <c r="F601" t="str">
        <f>+IFERROR(VLOOKUP(Fact_Impuestos[[#This Row], 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ht="18.75" customHeight="1" x14ac:dyDescent="0.35">
      <c r="C602" s="100" t="str">
        <f>IF(OR(Fact_Impuestos[[#This Row], [Año]]="",Fact_Impuestos[[#This Row], [Mes]]=""),"",DATE(A602,MATCH(B602,{"enero","febrero","marzo","abril","mayo","junio","julio","agosto","septiembre","octubre","noviembre","diciembre"},0)+1,0))</f>
        <v/>
      </c>
      <c r="E602" t="str">
        <f>+IFERROR(VLOOKUP(Fact_Impuestos[[#This Row], [Concepto Anterior]],Conceptos_Impuestos[#All],5,0),"")</f>
        <v/>
      </c>
      <c r="F602" t="str">
        <f>+IFERROR(VLOOKUP(Fact_Impuestos[[#This Row], 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ht="18.75" customHeight="1" x14ac:dyDescent="0.35">
      <c r="C603" s="100" t="str">
        <f>IF(OR(Fact_Impuestos[[#This Row], [Año]]="",Fact_Impuestos[[#This Row], [Mes]]=""),"",DATE(A603,MATCH(B603,{"enero","febrero","marzo","abril","mayo","junio","julio","agosto","septiembre","octubre","noviembre","diciembre"},0)+1,0))</f>
        <v/>
      </c>
      <c r="E603" t="str">
        <f>+IFERROR(VLOOKUP(Fact_Impuestos[[#This Row], [Concepto Anterior]],Conceptos_Impuestos[#All],5,0),"")</f>
        <v/>
      </c>
      <c r="F603" t="str">
        <f>+IFERROR(VLOOKUP(Fact_Impuestos[[#This Row], 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ht="18.75" customHeight="1" x14ac:dyDescent="0.35">
      <c r="C604" s="100" t="str">
        <f>IF(OR(Fact_Impuestos[[#This Row], [Año]]="",Fact_Impuestos[[#This Row], [Mes]]=""),"",DATE(A604,MATCH(B604,{"enero","febrero","marzo","abril","mayo","junio","julio","agosto","septiembre","octubre","noviembre","diciembre"},0)+1,0))</f>
        <v/>
      </c>
      <c r="E604" t="str">
        <f>+IFERROR(VLOOKUP(Fact_Impuestos[[#This Row], [Concepto Anterior]],Conceptos_Impuestos[#All],5,0),"")</f>
        <v/>
      </c>
      <c r="F604" t="str">
        <f>+IFERROR(VLOOKUP(Fact_Impuestos[[#This Row], 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ht="18.75" customHeight="1" x14ac:dyDescent="0.35">
      <c r="C605" s="100" t="str">
        <f>IF(OR(Fact_Impuestos[[#This Row], [Año]]="",Fact_Impuestos[[#This Row], [Mes]]=""),"",DATE(A605,MATCH(B605,{"enero","febrero","marzo","abril","mayo","junio","julio","agosto","septiembre","octubre","noviembre","diciembre"},0)+1,0))</f>
        <v/>
      </c>
      <c r="E605" t="str">
        <f>+IFERROR(VLOOKUP(Fact_Impuestos[[#This Row], [Concepto Anterior]],Conceptos_Impuestos[#All],5,0),"")</f>
        <v/>
      </c>
      <c r="F605" t="str">
        <f>+IFERROR(VLOOKUP(Fact_Impuestos[[#This Row], 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ht="18.75" customHeight="1" x14ac:dyDescent="0.35">
      <c r="C606" s="100" t="str">
        <f>IF(OR(Fact_Impuestos[[#This Row], [Año]]="",Fact_Impuestos[[#This Row], [Mes]]=""),"",DATE(A606,MATCH(B606,{"enero","febrero","marzo","abril","mayo","junio","julio","agosto","septiembre","octubre","noviembre","diciembre"},0)+1,0))</f>
        <v/>
      </c>
      <c r="E606" t="str">
        <f>+IFERROR(VLOOKUP(Fact_Impuestos[[#This Row], [Concepto Anterior]],Conceptos_Impuestos[#All],5,0),"")</f>
        <v/>
      </c>
      <c r="F606" t="str">
        <f>+IFERROR(VLOOKUP(Fact_Impuestos[[#This Row], 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ht="18.75" customHeight="1" x14ac:dyDescent="0.35">
      <c r="C607" s="100" t="str">
        <f>IF(OR(Fact_Impuestos[[#This Row], [Año]]="",Fact_Impuestos[[#This Row], [Mes]]=""),"",DATE(A607,MATCH(B607,{"enero","febrero","marzo","abril","mayo","junio","julio","agosto","septiembre","octubre","noviembre","diciembre"},0)+1,0))</f>
        <v/>
      </c>
      <c r="E607" t="str">
        <f>+IFERROR(VLOOKUP(Fact_Impuestos[[#This Row], [Concepto Anterior]],Conceptos_Impuestos[#All],5,0),"")</f>
        <v/>
      </c>
      <c r="F607" t="str">
        <f>+IFERROR(VLOOKUP(Fact_Impuestos[[#This Row], 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ht="18.75" customHeight="1" x14ac:dyDescent="0.35">
      <c r="C608" s="100" t="str">
        <f>IF(OR(Fact_Impuestos[[#This Row], [Año]]="",Fact_Impuestos[[#This Row], [Mes]]=""),"",DATE(A608,MATCH(B608,{"enero","febrero","marzo","abril","mayo","junio","julio","agosto","septiembre","octubre","noviembre","diciembre"},0)+1,0))</f>
        <v/>
      </c>
      <c r="E608" t="str">
        <f>+IFERROR(VLOOKUP(Fact_Impuestos[[#This Row], [Concepto Anterior]],Conceptos_Impuestos[#All],5,0),"")</f>
        <v/>
      </c>
      <c r="F608" t="str">
        <f>+IFERROR(VLOOKUP(Fact_Impuestos[[#This Row], 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ht="18.75" customHeight="1" x14ac:dyDescent="0.35">
      <c r="C609" s="100" t="str">
        <f>IF(OR(Fact_Impuestos[[#This Row], [Año]]="",Fact_Impuestos[[#This Row], [Mes]]=""),"",DATE(A609,MATCH(B609,{"enero","febrero","marzo","abril","mayo","junio","julio","agosto","septiembre","octubre","noviembre","diciembre"},0)+1,0))</f>
        <v/>
      </c>
      <c r="E609" t="str">
        <f>+IFERROR(VLOOKUP(Fact_Impuestos[[#This Row], [Concepto Anterior]],Conceptos_Impuestos[#All],5,0),"")</f>
        <v/>
      </c>
      <c r="F609" t="str">
        <f>+IFERROR(VLOOKUP(Fact_Impuestos[[#This Row], 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ht="18.75" customHeight="1" x14ac:dyDescent="0.35">
      <c r="C610" s="100" t="str">
        <f>IF(OR(Fact_Impuestos[[#This Row], [Año]]="",Fact_Impuestos[[#This Row], [Mes]]=""),"",DATE(A610,MATCH(B610,{"enero","febrero","marzo","abril","mayo","junio","julio","agosto","septiembre","octubre","noviembre","diciembre"},0)+1,0))</f>
        <v/>
      </c>
      <c r="E610" t="str">
        <f>+IFERROR(VLOOKUP(Fact_Impuestos[[#This Row], [Concepto Anterior]],Conceptos_Impuestos[#All],5,0),"")</f>
        <v/>
      </c>
      <c r="F610" t="str">
        <f>+IFERROR(VLOOKUP(Fact_Impuestos[[#This Row], 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ht="18.75" customHeight="1" x14ac:dyDescent="0.35">
      <c r="C611" s="100" t="str">
        <f>IF(OR(Fact_Impuestos[[#This Row], [Año]]="",Fact_Impuestos[[#This Row], [Mes]]=""),"",DATE(A611,MATCH(B611,{"enero","febrero","marzo","abril","mayo","junio","julio","agosto","septiembre","octubre","noviembre","diciembre"},0)+1,0))</f>
        <v/>
      </c>
      <c r="E611" t="str">
        <f>+IFERROR(VLOOKUP(Fact_Impuestos[[#This Row], [Concepto Anterior]],Conceptos_Impuestos[#All],5,0),"")</f>
        <v/>
      </c>
      <c r="F611" t="str">
        <f>+IFERROR(VLOOKUP(Fact_Impuestos[[#This Row], 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ht="18.75" customHeight="1" x14ac:dyDescent="0.35">
      <c r="C612" s="100" t="str">
        <f>IF(OR(Fact_Impuestos[[#This Row], [Año]]="",Fact_Impuestos[[#This Row], [Mes]]=""),"",DATE(A612,MATCH(B612,{"enero","febrero","marzo","abril","mayo","junio","julio","agosto","septiembre","octubre","noviembre","diciembre"},0)+1,0))</f>
        <v/>
      </c>
      <c r="E612" t="str">
        <f>+IFERROR(VLOOKUP(Fact_Impuestos[[#This Row], [Concepto Anterior]],Conceptos_Impuestos[#All],5,0),"")</f>
        <v/>
      </c>
      <c r="F612" t="str">
        <f>+IFERROR(VLOOKUP(Fact_Impuestos[[#This Row], 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ht="18.75" customHeight="1" x14ac:dyDescent="0.35">
      <c r="C613" s="100" t="str">
        <f>IF(OR(Fact_Impuestos[[#This Row], [Año]]="",Fact_Impuestos[[#This Row], [Mes]]=""),"",DATE(A613,MATCH(B613,{"enero","febrero","marzo","abril","mayo","junio","julio","agosto","septiembre","octubre","noviembre","diciembre"},0)+1,0))</f>
        <v/>
      </c>
      <c r="E613" t="str">
        <f>+IFERROR(VLOOKUP(Fact_Impuestos[[#This Row], [Concepto Anterior]],Conceptos_Impuestos[#All],5,0),"")</f>
        <v/>
      </c>
      <c r="F613" t="str">
        <f>+IFERROR(VLOOKUP(Fact_Impuestos[[#This Row], 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ht="18.75" customHeight="1" x14ac:dyDescent="0.35">
      <c r="C614" s="100" t="str">
        <f>IF(OR(Fact_Impuestos[[#This Row], [Año]]="",Fact_Impuestos[[#This Row], [Mes]]=""),"",DATE(A614,MATCH(B614,{"enero","febrero","marzo","abril","mayo","junio","julio","agosto","septiembre","octubre","noviembre","diciembre"},0)+1,0))</f>
        <v/>
      </c>
      <c r="E614" t="str">
        <f>+IFERROR(VLOOKUP(Fact_Impuestos[[#This Row], [Concepto Anterior]],Conceptos_Impuestos[#All],5,0),"")</f>
        <v/>
      </c>
      <c r="F614" t="str">
        <f>+IFERROR(VLOOKUP(Fact_Impuestos[[#This Row], 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ht="18.75" customHeight="1" x14ac:dyDescent="0.35">
      <c r="C615" s="100" t="str">
        <f>IF(OR(Fact_Impuestos[[#This Row], [Año]]="",Fact_Impuestos[[#This Row], [Mes]]=""),"",DATE(A615,MATCH(B615,{"enero","febrero","marzo","abril","mayo","junio","julio","agosto","septiembre","octubre","noviembre","diciembre"},0)+1,0))</f>
        <v/>
      </c>
      <c r="E615" t="str">
        <f>+IFERROR(VLOOKUP(Fact_Impuestos[[#This Row], [Concepto Anterior]],Conceptos_Impuestos[#All],5,0),"")</f>
        <v/>
      </c>
      <c r="F615" t="str">
        <f>+IFERROR(VLOOKUP(Fact_Impuestos[[#This Row], 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ht="18.75" customHeight="1" x14ac:dyDescent="0.35">
      <c r="C616" s="100" t="str">
        <f>IF(OR(Fact_Impuestos[[#This Row], [Año]]="",Fact_Impuestos[[#This Row], [Mes]]=""),"",DATE(A616,MATCH(B616,{"enero","febrero","marzo","abril","mayo","junio","julio","agosto","septiembre","octubre","noviembre","diciembre"},0)+1,0))</f>
        <v/>
      </c>
      <c r="E616" t="str">
        <f>+IFERROR(VLOOKUP(Fact_Impuestos[[#This Row], [Concepto Anterior]],Conceptos_Impuestos[#All],5,0),"")</f>
        <v/>
      </c>
      <c r="F616" t="str">
        <f>+IFERROR(VLOOKUP(Fact_Impuestos[[#This Row], 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ht="18.75" customHeight="1" x14ac:dyDescent="0.35">
      <c r="C617" s="100" t="str">
        <f>IF(OR(Fact_Impuestos[[#This Row], [Año]]="",Fact_Impuestos[[#This Row], [Mes]]=""),"",DATE(A617,MATCH(B617,{"enero","febrero","marzo","abril","mayo","junio","julio","agosto","septiembre","octubre","noviembre","diciembre"},0)+1,0))</f>
        <v/>
      </c>
      <c r="E617" t="str">
        <f>+IFERROR(VLOOKUP(Fact_Impuestos[[#This Row], [Concepto Anterior]],Conceptos_Impuestos[#All],5,0),"")</f>
        <v/>
      </c>
      <c r="F617" t="str">
        <f>+IFERROR(VLOOKUP(Fact_Impuestos[[#This Row], 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ht="18.75" customHeight="1" x14ac:dyDescent="0.35">
      <c r="C618" s="100" t="str">
        <f>IF(OR(Fact_Impuestos[[#This Row], [Año]]="",Fact_Impuestos[[#This Row], [Mes]]=""),"",DATE(A618,MATCH(B618,{"enero","febrero","marzo","abril","mayo","junio","julio","agosto","septiembre","octubre","noviembre","diciembre"},0)+1,0))</f>
        <v/>
      </c>
      <c r="E618" t="str">
        <f>+IFERROR(VLOOKUP(Fact_Impuestos[[#This Row], [Concepto Anterior]],Conceptos_Impuestos[#All],5,0),"")</f>
        <v/>
      </c>
      <c r="F618" t="str">
        <f>+IFERROR(VLOOKUP(Fact_Impuestos[[#This Row], 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ht="18.75" customHeight="1" x14ac:dyDescent="0.35">
      <c r="C619" s="100" t="str">
        <f>IF(OR(Fact_Impuestos[[#This Row], [Año]]="",Fact_Impuestos[[#This Row], [Mes]]=""),"",DATE(A619,MATCH(B619,{"enero","febrero","marzo","abril","mayo","junio","julio","agosto","septiembre","octubre","noviembre","diciembre"},0)+1,0))</f>
        <v/>
      </c>
      <c r="E619" t="str">
        <f>+IFERROR(VLOOKUP(Fact_Impuestos[[#This Row], [Concepto Anterior]],Conceptos_Impuestos[#All],5,0),"")</f>
        <v/>
      </c>
      <c r="F619" t="str">
        <f>+IFERROR(VLOOKUP(Fact_Impuestos[[#This Row], 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ht="18.75" customHeight="1" x14ac:dyDescent="0.35">
      <c r="C620" s="100" t="str">
        <f>IF(OR(Fact_Impuestos[[#This Row], [Año]]="",Fact_Impuestos[[#This Row], [Mes]]=""),"",DATE(A620,MATCH(B620,{"enero","febrero","marzo","abril","mayo","junio","julio","agosto","septiembre","octubre","noviembre","diciembre"},0)+1,0))</f>
        <v/>
      </c>
      <c r="E620" t="str">
        <f>+IFERROR(VLOOKUP(Fact_Impuestos[[#This Row], [Concepto Anterior]],Conceptos_Impuestos[#All],5,0),"")</f>
        <v/>
      </c>
      <c r="F620" t="str">
        <f>+IFERROR(VLOOKUP(Fact_Impuestos[[#This Row], 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ht="18.75" customHeight="1" x14ac:dyDescent="0.35">
      <c r="C621" s="100" t="str">
        <f>IF(OR(Fact_Impuestos[[#This Row], [Año]]="",Fact_Impuestos[[#This Row], [Mes]]=""),"",DATE(A621,MATCH(B621,{"enero","febrero","marzo","abril","mayo","junio","julio","agosto","septiembre","octubre","noviembre","diciembre"},0)+1,0))</f>
        <v/>
      </c>
      <c r="E621" t="str">
        <f>+IFERROR(VLOOKUP(Fact_Impuestos[[#This Row], [Concepto Anterior]],Conceptos_Impuestos[#All],5,0),"")</f>
        <v/>
      </c>
      <c r="F621" t="str">
        <f>+IFERROR(VLOOKUP(Fact_Impuestos[[#This Row], 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ht="18.75" customHeight="1" x14ac:dyDescent="0.35">
      <c r="C622" s="100" t="str">
        <f>IF(OR(Fact_Impuestos[[#This Row], [Año]]="",Fact_Impuestos[[#This Row], [Mes]]=""),"",DATE(A622,MATCH(B622,{"enero","febrero","marzo","abril","mayo","junio","julio","agosto","septiembre","octubre","noviembre","diciembre"},0)+1,0))</f>
        <v/>
      </c>
      <c r="E622" t="str">
        <f>+IFERROR(VLOOKUP(Fact_Impuestos[[#This Row], [Concepto Anterior]],Conceptos_Impuestos[#All],5,0),"")</f>
        <v/>
      </c>
      <c r="F622" t="str">
        <f>+IFERROR(VLOOKUP(Fact_Impuestos[[#This Row], 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ht="18.75" customHeight="1" x14ac:dyDescent="0.35">
      <c r="C623" s="100" t="str">
        <f>IF(OR(Fact_Impuestos[[#This Row], [Año]]="",Fact_Impuestos[[#This Row], [Mes]]=""),"",DATE(A623,MATCH(B623,{"enero","febrero","marzo","abril","mayo","junio","julio","agosto","septiembre","octubre","noviembre","diciembre"},0)+1,0))</f>
        <v/>
      </c>
      <c r="E623" t="str">
        <f>+IFERROR(VLOOKUP(Fact_Impuestos[[#This Row], [Concepto Anterior]],Conceptos_Impuestos[#All],5,0),"")</f>
        <v/>
      </c>
      <c r="F623" t="str">
        <f>+IFERROR(VLOOKUP(Fact_Impuestos[[#This Row], 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ht="18.75" customHeight="1" x14ac:dyDescent="0.35">
      <c r="C624" s="100" t="str">
        <f>IF(OR(Fact_Impuestos[[#This Row], [Año]]="",Fact_Impuestos[[#This Row], [Mes]]=""),"",DATE(A624,MATCH(B624,{"enero","febrero","marzo","abril","mayo","junio","julio","agosto","septiembre","octubre","noviembre","diciembre"},0)+1,0))</f>
        <v/>
      </c>
      <c r="E624" t="str">
        <f>+IFERROR(VLOOKUP(Fact_Impuestos[[#This Row], [Concepto Anterior]],Conceptos_Impuestos[#All],5,0),"")</f>
        <v/>
      </c>
      <c r="F624" t="str">
        <f>+IFERROR(VLOOKUP(Fact_Impuestos[[#This Row], 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ht="18.75" customHeight="1" x14ac:dyDescent="0.35">
      <c r="C625" s="100" t="str">
        <f>IF(OR(Fact_Impuestos[[#This Row], [Año]]="",Fact_Impuestos[[#This Row], [Mes]]=""),"",DATE(A625,MATCH(B625,{"enero","febrero","marzo","abril","mayo","junio","julio","agosto","septiembre","octubre","noviembre","diciembre"},0)+1,0))</f>
        <v/>
      </c>
      <c r="E625" t="str">
        <f>+IFERROR(VLOOKUP(Fact_Impuestos[[#This Row], [Concepto Anterior]],Conceptos_Impuestos[#All],5,0),"")</f>
        <v/>
      </c>
      <c r="F625" t="str">
        <f>+IFERROR(VLOOKUP(Fact_Impuestos[[#This Row], 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ht="18.75" customHeight="1" x14ac:dyDescent="0.35">
      <c r="C626" s="100" t="str">
        <f>IF(OR(Fact_Impuestos[[#This Row], [Año]]="",Fact_Impuestos[[#This Row], [Mes]]=""),"",DATE(A626,MATCH(B626,{"enero","febrero","marzo","abril","mayo","junio","julio","agosto","septiembre","octubre","noviembre","diciembre"},0)+1,0))</f>
        <v/>
      </c>
      <c r="E626" t="str">
        <f>+IFERROR(VLOOKUP(Fact_Impuestos[[#This Row], [Concepto Anterior]],Conceptos_Impuestos[#All],5,0),"")</f>
        <v/>
      </c>
      <c r="F626" t="str">
        <f>+IFERROR(VLOOKUP(Fact_Impuestos[[#This Row], 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ht="18.75" customHeight="1" x14ac:dyDescent="0.35">
      <c r="C627" s="100" t="str">
        <f>IF(OR(Fact_Impuestos[[#This Row], [Año]]="",Fact_Impuestos[[#This Row], [Mes]]=""),"",DATE(A627,MATCH(B627,{"enero","febrero","marzo","abril","mayo","junio","julio","agosto","septiembre","octubre","noviembre","diciembre"},0)+1,0))</f>
        <v/>
      </c>
      <c r="E627" t="str">
        <f>+IFERROR(VLOOKUP(Fact_Impuestos[[#This Row], [Concepto Anterior]],Conceptos_Impuestos[#All],5,0),"")</f>
        <v/>
      </c>
      <c r="F627" t="str">
        <f>+IFERROR(VLOOKUP(Fact_Impuestos[[#This Row], 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ht="18.75" customHeight="1" x14ac:dyDescent="0.35">
      <c r="C628" s="100" t="str">
        <f>IF(OR(Fact_Impuestos[[#This Row], [Año]]="",Fact_Impuestos[[#This Row], [Mes]]=""),"",DATE(A628,MATCH(B628,{"enero","febrero","marzo","abril","mayo","junio","julio","agosto","septiembre","octubre","noviembre","diciembre"},0)+1,0))</f>
        <v/>
      </c>
      <c r="E628" t="str">
        <f>+IFERROR(VLOOKUP(Fact_Impuestos[[#This Row], [Concepto Anterior]],Conceptos_Impuestos[#All],5,0),"")</f>
        <v/>
      </c>
      <c r="F628" t="str">
        <f>+IFERROR(VLOOKUP(Fact_Impuestos[[#This Row], 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ht="18.75" customHeight="1" x14ac:dyDescent="0.35">
      <c r="C629" s="100" t="str">
        <f>IF(OR(Fact_Impuestos[[#This Row], [Año]]="",Fact_Impuestos[[#This Row], [Mes]]=""),"",DATE(A629,MATCH(B629,{"enero","febrero","marzo","abril","mayo","junio","julio","agosto","septiembre","octubre","noviembre","diciembre"},0)+1,0))</f>
        <v/>
      </c>
      <c r="E629" t="str">
        <f>+IFERROR(VLOOKUP(Fact_Impuestos[[#This Row], [Concepto Anterior]],Conceptos_Impuestos[#All],5,0),"")</f>
        <v/>
      </c>
      <c r="F629" t="str">
        <f>+IFERROR(VLOOKUP(Fact_Impuestos[[#This Row], 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ht="18.75" customHeight="1" x14ac:dyDescent="0.35">
      <c r="C630" s="100" t="str">
        <f>IF(OR(Fact_Impuestos[[#This Row], [Año]]="",Fact_Impuestos[[#This Row], [Mes]]=""),"",DATE(A630,MATCH(B630,{"enero","febrero","marzo","abril","mayo","junio","julio","agosto","septiembre","octubre","noviembre","diciembre"},0)+1,0))</f>
        <v/>
      </c>
      <c r="E630" t="str">
        <f>+IFERROR(VLOOKUP(Fact_Impuestos[[#This Row], [Concepto Anterior]],Conceptos_Impuestos[#All],5,0),"")</f>
        <v/>
      </c>
      <c r="F630" t="str">
        <f>+IFERROR(VLOOKUP(Fact_Impuestos[[#This Row], 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ht="18.75" customHeight="1" x14ac:dyDescent="0.35">
      <c r="C631" s="100" t="str">
        <f>IF(OR(Fact_Impuestos[[#This Row], [Año]]="",Fact_Impuestos[[#This Row], [Mes]]=""),"",DATE(A631,MATCH(B631,{"enero","febrero","marzo","abril","mayo","junio","julio","agosto","septiembre","octubre","noviembre","diciembre"},0)+1,0))</f>
        <v/>
      </c>
      <c r="E631" t="str">
        <f>+IFERROR(VLOOKUP(Fact_Impuestos[[#This Row], [Concepto Anterior]],Conceptos_Impuestos[#All],5,0),"")</f>
        <v/>
      </c>
      <c r="F631" t="str">
        <f>+IFERROR(VLOOKUP(Fact_Impuestos[[#This Row], 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ht="18.75" customHeight="1" x14ac:dyDescent="0.35">
      <c r="C632" s="100" t="str">
        <f>IF(OR(Fact_Impuestos[[#This Row], [Año]]="",Fact_Impuestos[[#This Row], [Mes]]=""),"",DATE(A632,MATCH(B632,{"enero","febrero","marzo","abril","mayo","junio","julio","agosto","septiembre","octubre","noviembre","diciembre"},0)+1,0))</f>
        <v/>
      </c>
      <c r="E632" t="str">
        <f>+IFERROR(VLOOKUP(Fact_Impuestos[[#This Row], [Concepto Anterior]],Conceptos_Impuestos[#All],5,0),"")</f>
        <v/>
      </c>
      <c r="F632" t="str">
        <f>+IFERROR(VLOOKUP(Fact_Impuestos[[#This Row], 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ht="18.75" customHeight="1" x14ac:dyDescent="0.35">
      <c r="C633" s="100" t="str">
        <f>IF(OR(Fact_Impuestos[[#This Row], [Año]]="",Fact_Impuestos[[#This Row], [Mes]]=""),"",DATE(A633,MATCH(B633,{"enero","febrero","marzo","abril","mayo","junio","julio","agosto","septiembre","octubre","noviembre","diciembre"},0)+1,0))</f>
        <v/>
      </c>
      <c r="E633" t="str">
        <f>+IFERROR(VLOOKUP(Fact_Impuestos[[#This Row], [Concepto Anterior]],Conceptos_Impuestos[#All],5,0),"")</f>
        <v/>
      </c>
      <c r="F633" t="str">
        <f>+IFERROR(VLOOKUP(Fact_Impuestos[[#This Row], 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ht="18.75" customHeight="1" x14ac:dyDescent="0.35">
      <c r="C634" s="100" t="str">
        <f>IF(OR(Fact_Impuestos[[#This Row], [Año]]="",Fact_Impuestos[[#This Row], [Mes]]=""),"",DATE(A634,MATCH(B634,{"enero","febrero","marzo","abril","mayo","junio","julio","agosto","septiembre","octubre","noviembre","diciembre"},0)+1,0))</f>
        <v/>
      </c>
      <c r="E634" t="str">
        <f>+IFERROR(VLOOKUP(Fact_Impuestos[[#This Row], [Concepto Anterior]],Conceptos_Impuestos[#All],5,0),"")</f>
        <v/>
      </c>
      <c r="F634" t="str">
        <f>+IFERROR(VLOOKUP(Fact_Impuestos[[#This Row], 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ht="18.75" customHeight="1" x14ac:dyDescent="0.35">
      <c r="C635" s="100" t="str">
        <f>IF(OR(Fact_Impuestos[[#This Row], [Año]]="",Fact_Impuestos[[#This Row], [Mes]]=""),"",DATE(A635,MATCH(B635,{"enero","febrero","marzo","abril","mayo","junio","julio","agosto","septiembre","octubre","noviembre","diciembre"},0)+1,0))</f>
        <v/>
      </c>
      <c r="E635" t="str">
        <f>+IFERROR(VLOOKUP(Fact_Impuestos[[#This Row], [Concepto Anterior]],Conceptos_Impuestos[#All],5,0),"")</f>
        <v/>
      </c>
      <c r="F635" t="str">
        <f>+IFERROR(VLOOKUP(Fact_Impuestos[[#This Row], 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ht="18.75" customHeight="1" x14ac:dyDescent="0.35">
      <c r="C636" s="100" t="str">
        <f>IF(OR(Fact_Impuestos[[#This Row], [Año]]="",Fact_Impuestos[[#This Row], [Mes]]=""),"",DATE(A636,MATCH(B636,{"enero","febrero","marzo","abril","mayo","junio","julio","agosto","septiembre","octubre","noviembre","diciembre"},0)+1,0))</f>
        <v/>
      </c>
      <c r="E636" t="str">
        <f>+IFERROR(VLOOKUP(Fact_Impuestos[[#This Row], [Concepto Anterior]],Conceptos_Impuestos[#All],5,0),"")</f>
        <v/>
      </c>
      <c r="F636" t="str">
        <f>+IFERROR(VLOOKUP(Fact_Impuestos[[#This Row], 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ht="18.75" customHeight="1" x14ac:dyDescent="0.35">
      <c r="C637" s="100" t="str">
        <f>IF(OR(Fact_Impuestos[[#This Row], [Año]]="",Fact_Impuestos[[#This Row], [Mes]]=""),"",DATE(A637,MATCH(B637,{"enero","febrero","marzo","abril","mayo","junio","julio","agosto","septiembre","octubre","noviembre","diciembre"},0)+1,0))</f>
        <v/>
      </c>
      <c r="E637" t="str">
        <f>+IFERROR(VLOOKUP(Fact_Impuestos[[#This Row], [Concepto Anterior]],Conceptos_Impuestos[#All],5,0),"")</f>
        <v/>
      </c>
      <c r="F637" t="str">
        <f>+IFERROR(VLOOKUP(Fact_Impuestos[[#This Row], 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ht="18.75" customHeight="1" x14ac:dyDescent="0.35">
      <c r="C638" s="100" t="str">
        <f>IF(OR(Fact_Impuestos[[#This Row], [Año]]="",Fact_Impuestos[[#This Row], [Mes]]=""),"",DATE(A638,MATCH(B638,{"enero","febrero","marzo","abril","mayo","junio","julio","agosto","septiembre","octubre","noviembre","diciembre"},0)+1,0))</f>
        <v/>
      </c>
      <c r="E638" t="str">
        <f>+IFERROR(VLOOKUP(Fact_Impuestos[[#This Row], [Concepto Anterior]],Conceptos_Impuestos[#All],5,0),"")</f>
        <v/>
      </c>
      <c r="F638" t="str">
        <f>+IFERROR(VLOOKUP(Fact_Impuestos[[#This Row], 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ht="18.75" customHeight="1" x14ac:dyDescent="0.35">
      <c r="C639" s="100" t="str">
        <f>IF(OR(Fact_Impuestos[[#This Row], [Año]]="",Fact_Impuestos[[#This Row], [Mes]]=""),"",DATE(A639,MATCH(B639,{"enero","febrero","marzo","abril","mayo","junio","julio","agosto","septiembre","octubre","noviembre","diciembre"},0)+1,0))</f>
        <v/>
      </c>
      <c r="E639" t="str">
        <f>+IFERROR(VLOOKUP(Fact_Impuestos[[#This Row], [Concepto Anterior]],Conceptos_Impuestos[#All],5,0),"")</f>
        <v/>
      </c>
      <c r="F639" t="str">
        <f>+IFERROR(VLOOKUP(Fact_Impuestos[[#This Row], 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ht="18.75" customHeight="1" x14ac:dyDescent="0.35">
      <c r="C640" s="100" t="str">
        <f>IF(OR(Fact_Impuestos[[#This Row], [Año]]="",Fact_Impuestos[[#This Row], [Mes]]=""),"",DATE(A640,MATCH(B640,{"enero","febrero","marzo","abril","mayo","junio","julio","agosto","septiembre","octubre","noviembre","diciembre"},0)+1,0))</f>
        <v/>
      </c>
      <c r="E640" t="str">
        <f>+IFERROR(VLOOKUP(Fact_Impuestos[[#This Row], [Concepto Anterior]],Conceptos_Impuestos[#All],5,0),"")</f>
        <v/>
      </c>
      <c r="F640" t="str">
        <f>+IFERROR(VLOOKUP(Fact_Impuestos[[#This Row], 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ht="18.75" customHeight="1" x14ac:dyDescent="0.35">
      <c r="C641" s="100" t="str">
        <f>IF(OR(Fact_Impuestos[[#This Row], [Año]]="",Fact_Impuestos[[#This Row], [Mes]]=""),"",DATE(A641,MATCH(B641,{"enero","febrero","marzo","abril","mayo","junio","julio","agosto","septiembre","octubre","noviembre","diciembre"},0)+1,0))</f>
        <v/>
      </c>
      <c r="E641" t="str">
        <f>+IFERROR(VLOOKUP(Fact_Impuestos[[#This Row], [Concepto Anterior]],Conceptos_Impuestos[#All],5,0),"")</f>
        <v/>
      </c>
      <c r="F641" t="str">
        <f>+IFERROR(VLOOKUP(Fact_Impuestos[[#This Row], 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ht="18.75" customHeight="1" x14ac:dyDescent="0.35">
      <c r="C642" s="100" t="str">
        <f>IF(OR(Fact_Impuestos[[#This Row], [Año]]="",Fact_Impuestos[[#This Row], [Mes]]=""),"",DATE(A642,MATCH(B642,{"enero","febrero","marzo","abril","mayo","junio","julio","agosto","septiembre","octubre","noviembre","diciembre"},0)+1,0))</f>
        <v/>
      </c>
      <c r="E642" t="str">
        <f>+IFERROR(VLOOKUP(Fact_Impuestos[[#This Row], [Concepto Anterior]],Conceptos_Impuestos[#All],5,0),"")</f>
        <v/>
      </c>
      <c r="F642" t="str">
        <f>+IFERROR(VLOOKUP(Fact_Impuestos[[#This Row], 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ht="18.75" customHeight="1" x14ac:dyDescent="0.35">
      <c r="C643" s="100" t="str">
        <f>IF(OR(Fact_Impuestos[[#This Row], [Año]]="",Fact_Impuestos[[#This Row], [Mes]]=""),"",DATE(A643,MATCH(B643,{"enero","febrero","marzo","abril","mayo","junio","julio","agosto","septiembre","octubre","noviembre","diciembre"},0)+1,0))</f>
        <v/>
      </c>
      <c r="E643" t="str">
        <f>+IFERROR(VLOOKUP(Fact_Impuestos[[#This Row], [Concepto Anterior]],Conceptos_Impuestos[#All],5,0),"")</f>
        <v/>
      </c>
      <c r="F643" t="str">
        <f>+IFERROR(VLOOKUP(Fact_Impuestos[[#This Row], 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ht="18.75" customHeight="1" x14ac:dyDescent="0.35">
      <c r="C644" s="100" t="str">
        <f>IF(OR(Fact_Impuestos[[#This Row], [Año]]="",Fact_Impuestos[[#This Row], [Mes]]=""),"",DATE(A644,MATCH(B644,{"enero","febrero","marzo","abril","mayo","junio","julio","agosto","septiembre","octubre","noviembre","diciembre"},0)+1,0))</f>
        <v/>
      </c>
      <c r="E644" t="str">
        <f>+IFERROR(VLOOKUP(Fact_Impuestos[[#This Row], [Concepto Anterior]],Conceptos_Impuestos[#All],5,0),"")</f>
        <v/>
      </c>
      <c r="F644" t="str">
        <f>+IFERROR(VLOOKUP(Fact_Impuestos[[#This Row], 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ht="18.75" customHeight="1" x14ac:dyDescent="0.35">
      <c r="C645" s="100" t="str">
        <f>IF(OR(Fact_Impuestos[[#This Row], [Año]]="",Fact_Impuestos[[#This Row], [Mes]]=""),"",DATE(A645,MATCH(B645,{"enero","febrero","marzo","abril","mayo","junio","julio","agosto","septiembre","octubre","noviembre","diciembre"},0)+1,0))</f>
        <v/>
      </c>
      <c r="E645" t="str">
        <f>+IFERROR(VLOOKUP(Fact_Impuestos[[#This Row], [Concepto Anterior]],Conceptos_Impuestos[#All],5,0),"")</f>
        <v/>
      </c>
      <c r="F645" t="str">
        <f>+IFERROR(VLOOKUP(Fact_Impuestos[[#This Row], 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ht="18.75" customHeight="1" x14ac:dyDescent="0.35">
      <c r="C646" s="100" t="str">
        <f>IF(OR(Fact_Impuestos[[#This Row], [Año]]="",Fact_Impuestos[[#This Row], [Mes]]=""),"",DATE(A646,MATCH(B646,{"enero","febrero","marzo","abril","mayo","junio","julio","agosto","septiembre","octubre","noviembre","diciembre"},0)+1,0))</f>
        <v/>
      </c>
      <c r="E646" t="str">
        <f>+IFERROR(VLOOKUP(Fact_Impuestos[[#This Row], [Concepto Anterior]],Conceptos_Impuestos[#All],5,0),"")</f>
        <v/>
      </c>
      <c r="F646" t="str">
        <f>+IFERROR(VLOOKUP(Fact_Impuestos[[#This Row], 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ht="18.75" customHeight="1" x14ac:dyDescent="0.35">
      <c r="C647" s="100" t="str">
        <f>IF(OR(Fact_Impuestos[[#This Row], [Año]]="",Fact_Impuestos[[#This Row], [Mes]]=""),"",DATE(A647,MATCH(B647,{"enero","febrero","marzo","abril","mayo","junio","julio","agosto","septiembre","octubre","noviembre","diciembre"},0)+1,0))</f>
        <v/>
      </c>
      <c r="E647" t="str">
        <f>+IFERROR(VLOOKUP(Fact_Impuestos[[#This Row], [Concepto Anterior]],Conceptos_Impuestos[#All],5,0),"")</f>
        <v/>
      </c>
      <c r="F647" t="str">
        <f>+IFERROR(VLOOKUP(Fact_Impuestos[[#This Row], 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ht="18.75" customHeight="1" x14ac:dyDescent="0.35">
      <c r="C648" s="100" t="str">
        <f>IF(OR(Fact_Impuestos[[#This Row], [Año]]="",Fact_Impuestos[[#This Row], [Mes]]=""),"",DATE(A648,MATCH(B648,{"enero","febrero","marzo","abril","mayo","junio","julio","agosto","septiembre","octubre","noviembre","diciembre"},0)+1,0))</f>
        <v/>
      </c>
      <c r="E648" t="str">
        <f>+IFERROR(VLOOKUP(Fact_Impuestos[[#This Row], [Concepto Anterior]],Conceptos_Impuestos[#All],5,0),"")</f>
        <v/>
      </c>
      <c r="F648" t="str">
        <f>+IFERROR(VLOOKUP(Fact_Impuestos[[#This Row], 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ht="18.75" customHeight="1" x14ac:dyDescent="0.35">
      <c r="C649" s="100" t="str">
        <f>IF(OR(Fact_Impuestos[[#This Row], [Año]]="",Fact_Impuestos[[#This Row], [Mes]]=""),"",DATE(A649,MATCH(B649,{"enero","febrero","marzo","abril","mayo","junio","julio","agosto","septiembre","octubre","noviembre","diciembre"},0)+1,0))</f>
        <v/>
      </c>
      <c r="E649" t="str">
        <f>+IFERROR(VLOOKUP(Fact_Impuestos[[#This Row], [Concepto Anterior]],Conceptos_Impuestos[#All],5,0),"")</f>
        <v/>
      </c>
      <c r="F649" t="str">
        <f>+IFERROR(VLOOKUP(Fact_Impuestos[[#This Row], 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ht="18.75" customHeight="1" x14ac:dyDescent="0.35">
      <c r="C650" s="100" t="str">
        <f>IF(OR(Fact_Impuestos[[#This Row], [Año]]="",Fact_Impuestos[[#This Row], [Mes]]=""),"",DATE(A650,MATCH(B650,{"enero","febrero","marzo","abril","mayo","junio","julio","agosto","septiembre","octubre","noviembre","diciembre"},0)+1,0))</f>
        <v/>
      </c>
      <c r="E650" t="str">
        <f>+IFERROR(VLOOKUP(Fact_Impuestos[[#This Row], [Concepto Anterior]],Conceptos_Impuestos[#All],5,0),"")</f>
        <v/>
      </c>
      <c r="F650" t="str">
        <f>+IFERROR(VLOOKUP(Fact_Impuestos[[#This Row], 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ht="18.75" customHeight="1" x14ac:dyDescent="0.35">
      <c r="C651" s="100" t="str">
        <f>IF(OR(Fact_Impuestos[[#This Row], [Año]]="",Fact_Impuestos[[#This Row], [Mes]]=""),"",DATE(A651,MATCH(B651,{"enero","febrero","marzo","abril","mayo","junio","julio","agosto","septiembre","octubre","noviembre","diciembre"},0)+1,0))</f>
        <v/>
      </c>
      <c r="E651" t="str">
        <f>+IFERROR(VLOOKUP(Fact_Impuestos[[#This Row], [Concepto Anterior]],Conceptos_Impuestos[#All],5,0),"")</f>
        <v/>
      </c>
      <c r="F651" t="str">
        <f>+IFERROR(VLOOKUP(Fact_Impuestos[[#This Row], 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ht="18.75" customHeight="1" x14ac:dyDescent="0.35">
      <c r="C652" s="100" t="str">
        <f>IF(OR(Fact_Impuestos[[#This Row], [Año]]="",Fact_Impuestos[[#This Row], [Mes]]=""),"",DATE(A652,MATCH(B652,{"enero","febrero","marzo","abril","mayo","junio","julio","agosto","septiembre","octubre","noviembre","diciembre"},0)+1,0))</f>
        <v/>
      </c>
      <c r="E652" t="str">
        <f>+IFERROR(VLOOKUP(Fact_Impuestos[[#This Row], [Concepto Anterior]],Conceptos_Impuestos[#All],5,0),"")</f>
        <v/>
      </c>
      <c r="F652" t="str">
        <f>+IFERROR(VLOOKUP(Fact_Impuestos[[#This Row], 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ht="18.75" customHeight="1" x14ac:dyDescent="0.35">
      <c r="C653" s="100" t="str">
        <f>IF(OR(Fact_Impuestos[[#This Row], [Año]]="",Fact_Impuestos[[#This Row], [Mes]]=""),"",DATE(A653,MATCH(B653,{"enero","febrero","marzo","abril","mayo","junio","julio","agosto","septiembre","octubre","noviembre","diciembre"},0)+1,0))</f>
        <v/>
      </c>
      <c r="E653" t="str">
        <f>+IFERROR(VLOOKUP(Fact_Impuestos[[#This Row], [Concepto Anterior]],Conceptos_Impuestos[#All],5,0),"")</f>
        <v/>
      </c>
      <c r="F653" t="str">
        <f>+IFERROR(VLOOKUP(Fact_Impuestos[[#This Row], 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ht="18.75" customHeight="1" x14ac:dyDescent="0.35">
      <c r="C654" s="100" t="str">
        <f>IF(OR(Fact_Impuestos[[#This Row], [Año]]="",Fact_Impuestos[[#This Row], [Mes]]=""),"",DATE(A654,MATCH(B654,{"enero","febrero","marzo","abril","mayo","junio","julio","agosto","septiembre","octubre","noviembre","diciembre"},0)+1,0))</f>
        <v/>
      </c>
      <c r="E654" t="str">
        <f>+IFERROR(VLOOKUP(Fact_Impuestos[[#This Row], [Concepto Anterior]],Conceptos_Impuestos[#All],5,0),"")</f>
        <v/>
      </c>
      <c r="F654" t="str">
        <f>+IFERROR(VLOOKUP(Fact_Impuestos[[#This Row], 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ht="18.75" customHeight="1" x14ac:dyDescent="0.35">
      <c r="C655" s="100" t="str">
        <f>IF(OR(Fact_Impuestos[[#This Row], [Año]]="",Fact_Impuestos[[#This Row], [Mes]]=""),"",DATE(A655,MATCH(B655,{"enero","febrero","marzo","abril","mayo","junio","julio","agosto","septiembre","octubre","noviembre","diciembre"},0)+1,0))</f>
        <v/>
      </c>
      <c r="E655" t="str">
        <f>+IFERROR(VLOOKUP(Fact_Impuestos[[#This Row], [Concepto Anterior]],Conceptos_Impuestos[#All],5,0),"")</f>
        <v/>
      </c>
      <c r="F655" t="str">
        <f>+IFERROR(VLOOKUP(Fact_Impuestos[[#This Row], 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ht="18.75" customHeight="1" x14ac:dyDescent="0.35">
      <c r="C656" s="100" t="str">
        <f>IF(OR(Fact_Impuestos[[#This Row], [Año]]="",Fact_Impuestos[[#This Row], [Mes]]=""),"",DATE(A656,MATCH(B656,{"enero","febrero","marzo","abril","mayo","junio","julio","agosto","septiembre","octubre","noviembre","diciembre"},0)+1,0))</f>
        <v/>
      </c>
      <c r="E656" t="str">
        <f>+IFERROR(VLOOKUP(Fact_Impuestos[[#This Row], [Concepto Anterior]],Conceptos_Impuestos[#All],5,0),"")</f>
        <v/>
      </c>
      <c r="F656" t="str">
        <f>+IFERROR(VLOOKUP(Fact_Impuestos[[#This Row], 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ht="18.75" customHeight="1" x14ac:dyDescent="0.35">
      <c r="C657" s="100" t="str">
        <f>IF(OR(Fact_Impuestos[[#This Row], [Año]]="",Fact_Impuestos[[#This Row], [Mes]]=""),"",DATE(A657,MATCH(B657,{"enero","febrero","marzo","abril","mayo","junio","julio","agosto","septiembre","octubre","noviembre","diciembre"},0)+1,0))</f>
        <v/>
      </c>
      <c r="E657" t="str">
        <f>+IFERROR(VLOOKUP(Fact_Impuestos[[#This Row], [Concepto Anterior]],Conceptos_Impuestos[#All],5,0),"")</f>
        <v/>
      </c>
      <c r="F657" t="str">
        <f>+IFERROR(VLOOKUP(Fact_Impuestos[[#This Row], 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ht="18.75" customHeight="1" x14ac:dyDescent="0.35">
      <c r="C658" s="100" t="str">
        <f>IF(OR(Fact_Impuestos[[#This Row], [Año]]="",Fact_Impuestos[[#This Row], [Mes]]=""),"",DATE(A658,MATCH(B658,{"enero","febrero","marzo","abril","mayo","junio","julio","agosto","septiembre","octubre","noviembre","diciembre"},0)+1,0))</f>
        <v/>
      </c>
      <c r="E658" t="str">
        <f>+IFERROR(VLOOKUP(Fact_Impuestos[[#This Row], [Concepto Anterior]],Conceptos_Impuestos[#All],5,0),"")</f>
        <v/>
      </c>
      <c r="F658" t="str">
        <f>+IFERROR(VLOOKUP(Fact_Impuestos[[#This Row], 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ht="18.75" customHeight="1" x14ac:dyDescent="0.35">
      <c r="C659" s="100" t="str">
        <f>IF(OR(Fact_Impuestos[[#This Row], [Año]]="",Fact_Impuestos[[#This Row], [Mes]]=""),"",DATE(A659,MATCH(B659,{"enero","febrero","marzo","abril","mayo","junio","julio","agosto","septiembre","octubre","noviembre","diciembre"},0)+1,0))</f>
        <v/>
      </c>
      <c r="E659" t="str">
        <f>+IFERROR(VLOOKUP(Fact_Impuestos[[#This Row], [Concepto Anterior]],Conceptos_Impuestos[#All],5,0),"")</f>
        <v/>
      </c>
      <c r="F659" t="str">
        <f>+IFERROR(VLOOKUP(Fact_Impuestos[[#This Row], 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ht="18.75" customHeight="1" x14ac:dyDescent="0.35">
      <c r="C660" s="100" t="str">
        <f>IF(OR(Fact_Impuestos[[#This Row], [Año]]="",Fact_Impuestos[[#This Row], [Mes]]=""),"",DATE(A660,MATCH(B660,{"enero","febrero","marzo","abril","mayo","junio","julio","agosto","septiembre","octubre","noviembre","diciembre"},0)+1,0))</f>
        <v/>
      </c>
      <c r="E660" t="str">
        <f>+IFERROR(VLOOKUP(Fact_Impuestos[[#This Row], [Concepto Anterior]],Conceptos_Impuestos[#All],5,0),"")</f>
        <v/>
      </c>
      <c r="F660" t="str">
        <f>+IFERROR(VLOOKUP(Fact_Impuestos[[#This Row], 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ht="18.75" customHeight="1" x14ac:dyDescent="0.35">
      <c r="C661" s="100" t="str">
        <f>IF(OR(Fact_Impuestos[[#This Row], [Año]]="",Fact_Impuestos[[#This Row], [Mes]]=""),"",DATE(A661,MATCH(B661,{"enero","febrero","marzo","abril","mayo","junio","julio","agosto","septiembre","octubre","noviembre","diciembre"},0)+1,0))</f>
        <v/>
      </c>
      <c r="E661" t="str">
        <f>+IFERROR(VLOOKUP(Fact_Impuestos[[#This Row], [Concepto Anterior]],Conceptos_Impuestos[#All],5,0),"")</f>
        <v/>
      </c>
      <c r="F661" t="str">
        <f>+IFERROR(VLOOKUP(Fact_Impuestos[[#This Row], 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ht="18.75" customHeight="1" x14ac:dyDescent="0.35">
      <c r="C662" s="100" t="str">
        <f>IF(OR(Fact_Impuestos[[#This Row], [Año]]="",Fact_Impuestos[[#This Row], [Mes]]=""),"",DATE(A662,MATCH(B662,{"enero","febrero","marzo","abril","mayo","junio","julio","agosto","septiembre","octubre","noviembre","diciembre"},0)+1,0))</f>
        <v/>
      </c>
      <c r="E662" t="str">
        <f>+IFERROR(VLOOKUP(Fact_Impuestos[[#This Row], [Concepto Anterior]],Conceptos_Impuestos[#All],5,0),"")</f>
        <v/>
      </c>
      <c r="F662" t="str">
        <f>+IFERROR(VLOOKUP(Fact_Impuestos[[#This Row], 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ht="18.75" customHeight="1" x14ac:dyDescent="0.35">
      <c r="C663" s="100" t="str">
        <f>IF(OR(Fact_Impuestos[[#This Row], [Año]]="",Fact_Impuestos[[#This Row], [Mes]]=""),"",DATE(A663,MATCH(B663,{"enero","febrero","marzo","abril","mayo","junio","julio","agosto","septiembre","octubre","noviembre","diciembre"},0)+1,0))</f>
        <v/>
      </c>
      <c r="E663" t="str">
        <f>+IFERROR(VLOOKUP(Fact_Impuestos[[#This Row], [Concepto Anterior]],Conceptos_Impuestos[#All],5,0),"")</f>
        <v/>
      </c>
      <c r="F663" t="str">
        <f>+IFERROR(VLOOKUP(Fact_Impuestos[[#This Row], 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ht="18.75" customHeight="1" x14ac:dyDescent="0.35">
      <c r="C664" s="100" t="str">
        <f>IF(OR(Fact_Impuestos[[#This Row], [Año]]="",Fact_Impuestos[[#This Row], [Mes]]=""),"",DATE(A664,MATCH(B664,{"enero","febrero","marzo","abril","mayo","junio","julio","agosto","septiembre","octubre","noviembre","diciembre"},0)+1,0))</f>
        <v/>
      </c>
      <c r="E664" t="str">
        <f>+IFERROR(VLOOKUP(Fact_Impuestos[[#This Row], [Concepto Anterior]],Conceptos_Impuestos[#All],5,0),"")</f>
        <v/>
      </c>
      <c r="F664" t="str">
        <f>+IFERROR(VLOOKUP(Fact_Impuestos[[#This Row], 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ht="18.75" customHeight="1" x14ac:dyDescent="0.35">
      <c r="C665" s="100" t="str">
        <f>IF(OR(Fact_Impuestos[[#This Row], [Año]]="",Fact_Impuestos[[#This Row], [Mes]]=""),"",DATE(A665,MATCH(B665,{"enero","febrero","marzo","abril","mayo","junio","julio","agosto","septiembre","octubre","noviembre","diciembre"},0)+1,0))</f>
        <v/>
      </c>
      <c r="E665" t="str">
        <f>+IFERROR(VLOOKUP(Fact_Impuestos[[#This Row], [Concepto Anterior]],Conceptos_Impuestos[#All],5,0),"")</f>
        <v/>
      </c>
      <c r="F665" t="str">
        <f>+IFERROR(VLOOKUP(Fact_Impuestos[[#This Row], 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ht="18.75" customHeight="1" x14ac:dyDescent="0.35">
      <c r="C666" s="100" t="str">
        <f>IF(OR(Fact_Impuestos[[#This Row], [Año]]="",Fact_Impuestos[[#This Row], [Mes]]=""),"",DATE(A666,MATCH(B666,{"enero","febrero","marzo","abril","mayo","junio","julio","agosto","septiembre","octubre","noviembre","diciembre"},0)+1,0))</f>
        <v/>
      </c>
      <c r="E666" t="str">
        <f>+IFERROR(VLOOKUP(Fact_Impuestos[[#This Row], [Concepto Anterior]],Conceptos_Impuestos[#All],5,0),"")</f>
        <v/>
      </c>
      <c r="F666" t="str">
        <f>+IFERROR(VLOOKUP(Fact_Impuestos[[#This Row], 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ht="18.75" customHeight="1" x14ac:dyDescent="0.35">
      <c r="C667" s="100" t="str">
        <f>IF(OR(Fact_Impuestos[[#This Row], [Año]]="",Fact_Impuestos[[#This Row], [Mes]]=""),"",DATE(A667,MATCH(B667,{"enero","febrero","marzo","abril","mayo","junio","julio","agosto","septiembre","octubre","noviembre","diciembre"},0)+1,0))</f>
        <v/>
      </c>
      <c r="E667" t="str">
        <f>+IFERROR(VLOOKUP(Fact_Impuestos[[#This Row], [Concepto Anterior]],Conceptos_Impuestos[#All],5,0),"")</f>
        <v/>
      </c>
      <c r="F667" t="str">
        <f>+IFERROR(VLOOKUP(Fact_Impuestos[[#This Row], 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ht="18.75" customHeight="1" x14ac:dyDescent="0.35">
      <c r="C668" s="100" t="str">
        <f>IF(OR(Fact_Impuestos[[#This Row], [Año]]="",Fact_Impuestos[[#This Row], [Mes]]=""),"",DATE(A668,MATCH(B668,{"enero","febrero","marzo","abril","mayo","junio","julio","agosto","septiembre","octubre","noviembre","diciembre"},0)+1,0))</f>
        <v/>
      </c>
      <c r="E668" t="str">
        <f>+IFERROR(VLOOKUP(Fact_Impuestos[[#This Row], [Concepto Anterior]],Conceptos_Impuestos[#All],5,0),"")</f>
        <v/>
      </c>
      <c r="F668" t="str">
        <f>+IFERROR(VLOOKUP(Fact_Impuestos[[#This Row], 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ht="18.75" customHeight="1" x14ac:dyDescent="0.35">
      <c r="C669" s="100" t="str">
        <f>IF(OR(Fact_Impuestos[[#This Row], [Año]]="",Fact_Impuestos[[#This Row], [Mes]]=""),"",DATE(A669,MATCH(B669,{"enero","febrero","marzo","abril","mayo","junio","julio","agosto","septiembre","octubre","noviembre","diciembre"},0)+1,0))</f>
        <v/>
      </c>
      <c r="E669" t="str">
        <f>+IFERROR(VLOOKUP(Fact_Impuestos[[#This Row], [Concepto Anterior]],Conceptos_Impuestos[#All],5,0),"")</f>
        <v/>
      </c>
      <c r="F669" t="str">
        <f>+IFERROR(VLOOKUP(Fact_Impuestos[[#This Row], 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ht="18.75" customHeight="1" x14ac:dyDescent="0.35">
      <c r="C670" s="100" t="str">
        <f>IF(OR(Fact_Impuestos[[#This Row], [Año]]="",Fact_Impuestos[[#This Row], [Mes]]=""),"",DATE(A670,MATCH(B670,{"enero","febrero","marzo","abril","mayo","junio","julio","agosto","septiembre","octubre","noviembre","diciembre"},0)+1,0))</f>
        <v/>
      </c>
      <c r="E670" t="str">
        <f>+IFERROR(VLOOKUP(Fact_Impuestos[[#This Row], [Concepto Anterior]],Conceptos_Impuestos[#All],5,0),"")</f>
        <v/>
      </c>
      <c r="F670" t="str">
        <f>+IFERROR(VLOOKUP(Fact_Impuestos[[#This Row], 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ht="18.75" customHeight="1" x14ac:dyDescent="0.35">
      <c r="C671" s="100" t="str">
        <f>IF(OR(Fact_Impuestos[[#This Row], [Año]]="",Fact_Impuestos[[#This Row], [Mes]]=""),"",DATE(A671,MATCH(B671,{"enero","febrero","marzo","abril","mayo","junio","julio","agosto","septiembre","octubre","noviembre","diciembre"},0)+1,0))</f>
        <v/>
      </c>
      <c r="E671" t="str">
        <f>+IFERROR(VLOOKUP(Fact_Impuestos[[#This Row], [Concepto Anterior]],Conceptos_Impuestos[#All],5,0),"")</f>
        <v/>
      </c>
      <c r="F671" t="str">
        <f>+IFERROR(VLOOKUP(Fact_Impuestos[[#This Row], 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ht="18.75" customHeight="1" x14ac:dyDescent="0.35">
      <c r="C672" s="100" t="str">
        <f>IF(OR(Fact_Impuestos[[#This Row], [Año]]="",Fact_Impuestos[[#This Row], [Mes]]=""),"",DATE(A672,MATCH(B672,{"enero","febrero","marzo","abril","mayo","junio","julio","agosto","septiembre","octubre","noviembre","diciembre"},0)+1,0))</f>
        <v/>
      </c>
      <c r="E672" t="str">
        <f>+IFERROR(VLOOKUP(Fact_Impuestos[[#This Row], [Concepto Anterior]],Conceptos_Impuestos[#All],5,0),"")</f>
        <v/>
      </c>
      <c r="F672" t="str">
        <f>+IFERROR(VLOOKUP(Fact_Impuestos[[#This Row], 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ht="18.75" customHeight="1" x14ac:dyDescent="0.35">
      <c r="C673" s="100" t="str">
        <f>IF(OR(Fact_Impuestos[[#This Row], [Año]]="",Fact_Impuestos[[#This Row], [Mes]]=""),"",DATE(A673,MATCH(B673,{"enero","febrero","marzo","abril","mayo","junio","julio","agosto","septiembre","octubre","noviembre","diciembre"},0)+1,0))</f>
        <v/>
      </c>
      <c r="E673" t="str">
        <f>+IFERROR(VLOOKUP(Fact_Impuestos[[#This Row], [Concepto Anterior]],Conceptos_Impuestos[#All],5,0),"")</f>
        <v/>
      </c>
      <c r="F673" t="str">
        <f>+IFERROR(VLOOKUP(Fact_Impuestos[[#This Row], 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ht="18.75" customHeight="1" x14ac:dyDescent="0.35">
      <c r="C674" s="100" t="str">
        <f>IF(OR(Fact_Impuestos[[#This Row], [Año]]="",Fact_Impuestos[[#This Row], [Mes]]=""),"",DATE(A674,MATCH(B674,{"enero","febrero","marzo","abril","mayo","junio","julio","agosto","septiembre","octubre","noviembre","diciembre"},0)+1,0))</f>
        <v/>
      </c>
      <c r="E674" t="str">
        <f>+IFERROR(VLOOKUP(Fact_Impuestos[[#This Row], [Concepto Anterior]],Conceptos_Impuestos[#All],5,0),"")</f>
        <v/>
      </c>
      <c r="F674" t="str">
        <f>+IFERROR(VLOOKUP(Fact_Impuestos[[#This Row], 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ht="18.75" customHeight="1" x14ac:dyDescent="0.35">
      <c r="C675" s="100" t="str">
        <f>IF(OR(Fact_Impuestos[[#This Row], [Año]]="",Fact_Impuestos[[#This Row], [Mes]]=""),"",DATE(A675,MATCH(B675,{"enero","febrero","marzo","abril","mayo","junio","julio","agosto","septiembre","octubre","noviembre","diciembre"},0)+1,0))</f>
        <v/>
      </c>
      <c r="E675" t="str">
        <f>+IFERROR(VLOOKUP(Fact_Impuestos[[#This Row], [Concepto Anterior]],Conceptos_Impuestos[#All],5,0),"")</f>
        <v/>
      </c>
      <c r="F675" t="str">
        <f>+IFERROR(VLOOKUP(Fact_Impuestos[[#This Row], 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ht="18.75" customHeight="1" x14ac:dyDescent="0.35">
      <c r="C676" s="100" t="str">
        <f>IF(OR(Fact_Impuestos[[#This Row], [Año]]="",Fact_Impuestos[[#This Row], [Mes]]=""),"",DATE(A676,MATCH(B676,{"enero","febrero","marzo","abril","mayo","junio","julio","agosto","septiembre","octubre","noviembre","diciembre"},0)+1,0))</f>
        <v/>
      </c>
      <c r="E676" t="str">
        <f>+IFERROR(VLOOKUP(Fact_Impuestos[[#This Row], [Concepto Anterior]],Conceptos_Impuestos[#All],5,0),"")</f>
        <v/>
      </c>
      <c r="F676" t="str">
        <f>+IFERROR(VLOOKUP(Fact_Impuestos[[#This Row], 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ht="18.75" customHeight="1" x14ac:dyDescent="0.35">
      <c r="C677" s="100" t="str">
        <f>IF(OR(Fact_Impuestos[[#This Row], [Año]]="",Fact_Impuestos[[#This Row], [Mes]]=""),"",DATE(A677,MATCH(B677,{"enero","febrero","marzo","abril","mayo","junio","julio","agosto","septiembre","octubre","noviembre","diciembre"},0)+1,0))</f>
        <v/>
      </c>
      <c r="E677" t="str">
        <f>+IFERROR(VLOOKUP(Fact_Impuestos[[#This Row], [Concepto Anterior]],Conceptos_Impuestos[#All],5,0),"")</f>
        <v/>
      </c>
      <c r="F677" t="str">
        <f>+IFERROR(VLOOKUP(Fact_Impuestos[[#This Row], 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ht="18.75" customHeight="1" x14ac:dyDescent="0.35">
      <c r="C678" s="100" t="str">
        <f>IF(OR(Fact_Impuestos[[#This Row], [Año]]="",Fact_Impuestos[[#This Row], [Mes]]=""),"",DATE(A678,MATCH(B678,{"enero","febrero","marzo","abril","mayo","junio","julio","agosto","septiembre","octubre","noviembre","diciembre"},0)+1,0))</f>
        <v/>
      </c>
      <c r="E678" t="str">
        <f>+IFERROR(VLOOKUP(Fact_Impuestos[[#This Row], [Concepto Anterior]],Conceptos_Impuestos[#All],5,0),"")</f>
        <v/>
      </c>
      <c r="F678" t="str">
        <f>+IFERROR(VLOOKUP(Fact_Impuestos[[#This Row], 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ht="18.75" customHeight="1" x14ac:dyDescent="0.35">
      <c r="C679" s="100" t="str">
        <f>IF(OR(Fact_Impuestos[[#This Row], [Año]]="",Fact_Impuestos[[#This Row], [Mes]]=""),"",DATE(A679,MATCH(B679,{"enero","febrero","marzo","abril","mayo","junio","julio","agosto","septiembre","octubre","noviembre","diciembre"},0)+1,0))</f>
        <v/>
      </c>
      <c r="E679" t="str">
        <f>+IFERROR(VLOOKUP(Fact_Impuestos[[#This Row], [Concepto Anterior]],Conceptos_Impuestos[#All],5,0),"")</f>
        <v/>
      </c>
      <c r="F679" t="str">
        <f>+IFERROR(VLOOKUP(Fact_Impuestos[[#This Row], 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ht="18.75" customHeight="1" x14ac:dyDescent="0.35">
      <c r="C680" s="100" t="str">
        <f>IF(OR(Fact_Impuestos[[#This Row], [Año]]="",Fact_Impuestos[[#This Row], [Mes]]=""),"",DATE(A680,MATCH(B680,{"enero","febrero","marzo","abril","mayo","junio","julio","agosto","septiembre","octubre","noviembre","diciembre"},0)+1,0))</f>
        <v/>
      </c>
      <c r="E680" t="str">
        <f>+IFERROR(VLOOKUP(Fact_Impuestos[[#This Row], [Concepto Anterior]],Conceptos_Impuestos[#All],5,0),"")</f>
        <v/>
      </c>
      <c r="F680" t="str">
        <f>+IFERROR(VLOOKUP(Fact_Impuestos[[#This Row], 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ht="18.75" customHeight="1" x14ac:dyDescent="0.35">
      <c r="C681" s="100" t="str">
        <f>IF(OR(Fact_Impuestos[[#This Row], [Año]]="",Fact_Impuestos[[#This Row], [Mes]]=""),"",DATE(A681,MATCH(B681,{"enero","febrero","marzo","abril","mayo","junio","julio","agosto","septiembre","octubre","noviembre","diciembre"},0)+1,0))</f>
        <v/>
      </c>
      <c r="E681" t="str">
        <f>+IFERROR(VLOOKUP(Fact_Impuestos[[#This Row], [Concepto Anterior]],Conceptos_Impuestos[#All],5,0),"")</f>
        <v/>
      </c>
      <c r="F681" t="str">
        <f>+IFERROR(VLOOKUP(Fact_Impuestos[[#This Row], 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ht="18.75" customHeight="1" x14ac:dyDescent="0.35">
      <c r="C682" s="100" t="str">
        <f>IF(OR(Fact_Impuestos[[#This Row], [Año]]="",Fact_Impuestos[[#This Row], [Mes]]=""),"",DATE(A682,MATCH(B682,{"enero","febrero","marzo","abril","mayo","junio","julio","agosto","septiembre","octubre","noviembre","diciembre"},0)+1,0))</f>
        <v/>
      </c>
      <c r="E682" t="str">
        <f>+IFERROR(VLOOKUP(Fact_Impuestos[[#This Row], [Concepto Anterior]],Conceptos_Impuestos[#All],5,0),"")</f>
        <v/>
      </c>
      <c r="F682" t="str">
        <f>+IFERROR(VLOOKUP(Fact_Impuestos[[#This Row], 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ht="18.75" customHeight="1" x14ac:dyDescent="0.35">
      <c r="C683" s="100" t="str">
        <f>IF(OR(Fact_Impuestos[[#This Row], [Año]]="",Fact_Impuestos[[#This Row], [Mes]]=""),"",DATE(A683,MATCH(B683,{"enero","febrero","marzo","abril","mayo","junio","julio","agosto","septiembre","octubre","noviembre","diciembre"},0)+1,0))</f>
        <v/>
      </c>
      <c r="E683" t="str">
        <f>+IFERROR(VLOOKUP(Fact_Impuestos[[#This Row], [Concepto Anterior]],Conceptos_Impuestos[#All],5,0),"")</f>
        <v/>
      </c>
      <c r="F683" t="str">
        <f>+IFERROR(VLOOKUP(Fact_Impuestos[[#This Row], 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ht="18.75" customHeight="1" x14ac:dyDescent="0.35">
      <c r="C684" s="100" t="str">
        <f>IF(OR(Fact_Impuestos[[#This Row], [Año]]="",Fact_Impuestos[[#This Row], [Mes]]=""),"",DATE(A684,MATCH(B684,{"enero","febrero","marzo","abril","mayo","junio","julio","agosto","septiembre","octubre","noviembre","diciembre"},0)+1,0))</f>
        <v/>
      </c>
      <c r="E684" t="str">
        <f>+IFERROR(VLOOKUP(Fact_Impuestos[[#This Row], [Concepto Anterior]],Conceptos_Impuestos[#All],5,0),"")</f>
        <v/>
      </c>
      <c r="F684" t="str">
        <f>+IFERROR(VLOOKUP(Fact_Impuestos[[#This Row], 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ht="18.75" customHeight="1" x14ac:dyDescent="0.35">
      <c r="C685" s="100" t="str">
        <f>IF(OR(Fact_Impuestos[[#This Row], [Año]]="",Fact_Impuestos[[#This Row], [Mes]]=""),"",DATE(A685,MATCH(B685,{"enero","febrero","marzo","abril","mayo","junio","julio","agosto","septiembre","octubre","noviembre","diciembre"},0)+1,0))</f>
        <v/>
      </c>
      <c r="E685" t="str">
        <f>+IFERROR(VLOOKUP(Fact_Impuestos[[#This Row], [Concepto Anterior]],Conceptos_Impuestos[#All],5,0),"")</f>
        <v/>
      </c>
      <c r="F685" t="str">
        <f>+IFERROR(VLOOKUP(Fact_Impuestos[[#This Row], 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ht="18.75" customHeight="1" x14ac:dyDescent="0.35">
      <c r="C686" s="100" t="str">
        <f>IF(OR(Fact_Impuestos[[#This Row], [Año]]="",Fact_Impuestos[[#This Row], [Mes]]=""),"",DATE(A686,MATCH(B686,{"enero","febrero","marzo","abril","mayo","junio","julio","agosto","septiembre","octubre","noviembre","diciembre"},0)+1,0))</f>
        <v/>
      </c>
      <c r="E686" t="str">
        <f>+IFERROR(VLOOKUP(Fact_Impuestos[[#This Row], [Concepto Anterior]],Conceptos_Impuestos[#All],5,0),"")</f>
        <v/>
      </c>
      <c r="F686" t="str">
        <f>+IFERROR(VLOOKUP(Fact_Impuestos[[#This Row], 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ht="18.75" customHeight="1" x14ac:dyDescent="0.35">
      <c r="C687" s="100" t="str">
        <f>IF(OR(Fact_Impuestos[[#This Row], [Año]]="",Fact_Impuestos[[#This Row], [Mes]]=""),"",DATE(A687,MATCH(B687,{"enero","febrero","marzo","abril","mayo","junio","julio","agosto","septiembre","octubre","noviembre","diciembre"},0)+1,0))</f>
        <v/>
      </c>
      <c r="E687" t="str">
        <f>+IFERROR(VLOOKUP(Fact_Impuestos[[#This Row], [Concepto Anterior]],Conceptos_Impuestos[#All],5,0),"")</f>
        <v/>
      </c>
      <c r="F687" t="str">
        <f>+IFERROR(VLOOKUP(Fact_Impuestos[[#This Row], 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ht="18.75" customHeight="1" x14ac:dyDescent="0.35">
      <c r="C688" s="100" t="str">
        <f>IF(OR(Fact_Impuestos[[#This Row], [Año]]="",Fact_Impuestos[[#This Row], [Mes]]=""),"",DATE(A688,MATCH(B688,{"enero","febrero","marzo","abril","mayo","junio","julio","agosto","septiembre","octubre","noviembre","diciembre"},0)+1,0))</f>
        <v/>
      </c>
      <c r="E688" t="str">
        <f>+IFERROR(VLOOKUP(Fact_Impuestos[[#This Row], [Concepto Anterior]],Conceptos_Impuestos[#All],5,0),"")</f>
        <v/>
      </c>
      <c r="F688" t="str">
        <f>+IFERROR(VLOOKUP(Fact_Impuestos[[#This Row], 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ht="18.75" customHeight="1" x14ac:dyDescent="0.35">
      <c r="C689" s="100" t="str">
        <f>IF(OR(Fact_Impuestos[[#This Row], [Año]]="",Fact_Impuestos[[#This Row], [Mes]]=""),"",DATE(A689,MATCH(B689,{"enero","febrero","marzo","abril","mayo","junio","julio","agosto","septiembre","octubre","noviembre","diciembre"},0)+1,0))</f>
        <v/>
      </c>
      <c r="E689" t="str">
        <f>+IFERROR(VLOOKUP(Fact_Impuestos[[#This Row], [Concepto Anterior]],Conceptos_Impuestos[#All],5,0),"")</f>
        <v/>
      </c>
      <c r="F689" t="str">
        <f>+IFERROR(VLOOKUP(Fact_Impuestos[[#This Row], 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ht="18.75" customHeight="1" x14ac:dyDescent="0.35">
      <c r="C690" s="100" t="str">
        <f>IF(OR(Fact_Impuestos[[#This Row], [Año]]="",Fact_Impuestos[[#This Row], [Mes]]=""),"",DATE(A690,MATCH(B690,{"enero","febrero","marzo","abril","mayo","junio","julio","agosto","septiembre","octubre","noviembre","diciembre"},0)+1,0))</f>
        <v/>
      </c>
      <c r="E690" t="str">
        <f>+IFERROR(VLOOKUP(Fact_Impuestos[[#This Row], [Concepto Anterior]],Conceptos_Impuestos[#All],5,0),"")</f>
        <v/>
      </c>
      <c r="F690" t="str">
        <f>+IFERROR(VLOOKUP(Fact_Impuestos[[#This Row], 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ht="18.75" customHeight="1" x14ac:dyDescent="0.35">
      <c r="C691" s="100" t="str">
        <f>IF(OR(Fact_Impuestos[[#This Row], [Año]]="",Fact_Impuestos[[#This Row], [Mes]]=""),"",DATE(A691,MATCH(B691,{"enero","febrero","marzo","abril","mayo","junio","julio","agosto","septiembre","octubre","noviembre","diciembre"},0)+1,0))</f>
        <v/>
      </c>
      <c r="E691" t="str">
        <f>+IFERROR(VLOOKUP(Fact_Impuestos[[#This Row], [Concepto Anterior]],Conceptos_Impuestos[#All],5,0),"")</f>
        <v/>
      </c>
      <c r="F691" t="str">
        <f>+IFERROR(VLOOKUP(Fact_Impuestos[[#This Row], 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ht="18.75" customHeight="1" x14ac:dyDescent="0.35">
      <c r="C692" s="100" t="str">
        <f>IF(OR(Fact_Impuestos[[#This Row], [Año]]="",Fact_Impuestos[[#This Row], [Mes]]=""),"",DATE(A692,MATCH(B692,{"enero","febrero","marzo","abril","mayo","junio","julio","agosto","septiembre","octubre","noviembre","diciembre"},0)+1,0))</f>
        <v/>
      </c>
      <c r="E692" t="str">
        <f>+IFERROR(VLOOKUP(Fact_Impuestos[[#This Row], [Concepto Anterior]],Conceptos_Impuestos[#All],5,0),"")</f>
        <v/>
      </c>
      <c r="F692" t="str">
        <f>+IFERROR(VLOOKUP(Fact_Impuestos[[#This Row], 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ht="18.75" customHeight="1" x14ac:dyDescent="0.35">
      <c r="C693" s="100" t="str">
        <f>IF(OR(Fact_Impuestos[[#This Row], [Año]]="",Fact_Impuestos[[#This Row], [Mes]]=""),"",DATE(A693,MATCH(B693,{"enero","febrero","marzo","abril","mayo","junio","julio","agosto","septiembre","octubre","noviembre","diciembre"},0)+1,0))</f>
        <v/>
      </c>
      <c r="E693" t="str">
        <f>+IFERROR(VLOOKUP(Fact_Impuestos[[#This Row], [Concepto Anterior]],Conceptos_Impuestos[#All],5,0),"")</f>
        <v/>
      </c>
      <c r="F693" t="str">
        <f>+IFERROR(VLOOKUP(Fact_Impuestos[[#This Row], 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ht="18.75" customHeight="1" x14ac:dyDescent="0.35">
      <c r="C694" s="100" t="str">
        <f>IF(OR(Fact_Impuestos[[#This Row], [Año]]="",Fact_Impuestos[[#This Row], [Mes]]=""),"",DATE(A694,MATCH(B694,{"enero","febrero","marzo","abril","mayo","junio","julio","agosto","septiembre","octubre","noviembre","diciembre"},0)+1,0))</f>
        <v/>
      </c>
      <c r="E694" t="str">
        <f>+IFERROR(VLOOKUP(Fact_Impuestos[[#This Row], [Concepto Anterior]],Conceptos_Impuestos[#All],5,0),"")</f>
        <v/>
      </c>
      <c r="F694" t="str">
        <f>+IFERROR(VLOOKUP(Fact_Impuestos[[#This Row], 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ht="18.75" customHeight="1" x14ac:dyDescent="0.35">
      <c r="C695" s="100" t="str">
        <f>IF(OR(Fact_Impuestos[[#This Row], [Año]]="",Fact_Impuestos[[#This Row], [Mes]]=""),"",DATE(A695,MATCH(B695,{"enero","febrero","marzo","abril","mayo","junio","julio","agosto","septiembre","octubre","noviembre","diciembre"},0)+1,0))</f>
        <v/>
      </c>
      <c r="E695" t="str">
        <f>+IFERROR(VLOOKUP(Fact_Impuestos[[#This Row], [Concepto Anterior]],Conceptos_Impuestos[#All],5,0),"")</f>
        <v/>
      </c>
      <c r="F695" t="str">
        <f>+IFERROR(VLOOKUP(Fact_Impuestos[[#This Row], 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ht="18.75" customHeight="1" x14ac:dyDescent="0.35">
      <c r="C696" s="100" t="str">
        <f>IF(OR(Fact_Impuestos[[#This Row], [Año]]="",Fact_Impuestos[[#This Row], [Mes]]=""),"",DATE(A696,MATCH(B696,{"enero","febrero","marzo","abril","mayo","junio","julio","agosto","septiembre","octubre","noviembre","diciembre"},0)+1,0))</f>
        <v/>
      </c>
      <c r="E696" t="str">
        <f>+IFERROR(VLOOKUP(Fact_Impuestos[[#This Row], [Concepto Anterior]],Conceptos_Impuestos[#All],5,0),"")</f>
        <v/>
      </c>
      <c r="F696" t="str">
        <f>+IFERROR(VLOOKUP(Fact_Impuestos[[#This Row], 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ht="18.75" customHeight="1" x14ac:dyDescent="0.35">
      <c r="C697" s="100" t="str">
        <f>IF(OR(Fact_Impuestos[[#This Row], [Año]]="",Fact_Impuestos[[#This Row], [Mes]]=""),"",DATE(A697,MATCH(B697,{"enero","febrero","marzo","abril","mayo","junio","julio","agosto","septiembre","octubre","noviembre","diciembre"},0)+1,0))</f>
        <v/>
      </c>
      <c r="E697" t="str">
        <f>+IFERROR(VLOOKUP(Fact_Impuestos[[#This Row], [Concepto Anterior]],Conceptos_Impuestos[#All],5,0),"")</f>
        <v/>
      </c>
      <c r="F697" t="str">
        <f>+IFERROR(VLOOKUP(Fact_Impuestos[[#This Row], 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ht="18.75" customHeight="1" x14ac:dyDescent="0.35">
      <c r="C698" s="100" t="str">
        <f>IF(OR(Fact_Impuestos[[#This Row], [Año]]="",Fact_Impuestos[[#This Row], [Mes]]=""),"",DATE(A698,MATCH(B698,{"enero","febrero","marzo","abril","mayo","junio","julio","agosto","septiembre","octubre","noviembre","diciembre"},0)+1,0))</f>
        <v/>
      </c>
      <c r="E698" t="str">
        <f>+IFERROR(VLOOKUP(Fact_Impuestos[[#This Row], [Concepto Anterior]],Conceptos_Impuestos[#All],5,0),"")</f>
        <v/>
      </c>
      <c r="F698" t="str">
        <f>+IFERROR(VLOOKUP(Fact_Impuestos[[#This Row], 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ht="18.75" customHeight="1" x14ac:dyDescent="0.35">
      <c r="C699" s="100" t="str">
        <f>IF(OR(Fact_Impuestos[[#This Row], [Año]]="",Fact_Impuestos[[#This Row], [Mes]]=""),"",DATE(A699,MATCH(B699,{"enero","febrero","marzo","abril","mayo","junio","julio","agosto","septiembre","octubre","noviembre","diciembre"},0)+1,0))</f>
        <v/>
      </c>
      <c r="E699" t="str">
        <f>+IFERROR(VLOOKUP(Fact_Impuestos[[#This Row], [Concepto Anterior]],Conceptos_Impuestos[#All],5,0),"")</f>
        <v/>
      </c>
      <c r="F699" t="str">
        <f>+IFERROR(VLOOKUP(Fact_Impuestos[[#This Row], 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ht="18.75" customHeight="1" x14ac:dyDescent="0.35">
      <c r="C700" s="100" t="str">
        <f>IF(OR(Fact_Impuestos[[#This Row], [Año]]="",Fact_Impuestos[[#This Row], [Mes]]=""),"",DATE(A700,MATCH(B700,{"enero","febrero","marzo","abril","mayo","junio","julio","agosto","septiembre","octubre","noviembre","diciembre"},0)+1,0))</f>
        <v/>
      </c>
      <c r="E700" t="str">
        <f>+IFERROR(VLOOKUP(Fact_Impuestos[[#This Row], [Concepto Anterior]],Conceptos_Impuestos[#All],5,0),"")</f>
        <v/>
      </c>
      <c r="F700" t="str">
        <f>+IFERROR(VLOOKUP(Fact_Impuestos[[#This Row], 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ht="18.75" customHeight="1" x14ac:dyDescent="0.35">
      <c r="C701" s="100" t="str">
        <f>IF(OR(Fact_Impuestos[[#This Row], [Año]]="",Fact_Impuestos[[#This Row], [Mes]]=""),"",DATE(A701,MATCH(B701,{"enero","febrero","marzo","abril","mayo","junio","julio","agosto","septiembre","octubre","noviembre","diciembre"},0)+1,0))</f>
        <v/>
      </c>
      <c r="E701" t="str">
        <f>+IFERROR(VLOOKUP(Fact_Impuestos[[#This Row], [Concepto Anterior]],Conceptos_Impuestos[#All],5,0),"")</f>
        <v/>
      </c>
      <c r="F701" t="str">
        <f>+IFERROR(VLOOKUP(Fact_Impuestos[[#This Row], 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ht="18.75" customHeight="1" x14ac:dyDescent="0.35">
      <c r="C702" s="100" t="str">
        <f>IF(OR(Fact_Impuestos[[#This Row], [Año]]="",Fact_Impuestos[[#This Row], [Mes]]=""),"",DATE(A702,MATCH(B702,{"enero","febrero","marzo","abril","mayo","junio","julio","agosto","septiembre","octubre","noviembre","diciembre"},0)+1,0))</f>
        <v/>
      </c>
      <c r="E702" t="str">
        <f>+IFERROR(VLOOKUP(Fact_Impuestos[[#This Row], [Concepto Anterior]],Conceptos_Impuestos[#All],5,0),"")</f>
        <v/>
      </c>
      <c r="F702" t="str">
        <f>+IFERROR(VLOOKUP(Fact_Impuestos[[#This Row], 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ht="18.75" customHeight="1" x14ac:dyDescent="0.35">
      <c r="C703" s="100" t="str">
        <f>IF(OR(Fact_Impuestos[[#This Row], [Año]]="",Fact_Impuestos[[#This Row], [Mes]]=""),"",DATE(A703,MATCH(B703,{"enero","febrero","marzo","abril","mayo","junio","julio","agosto","septiembre","octubre","noviembre","diciembre"},0)+1,0))</f>
        <v/>
      </c>
      <c r="E703" t="str">
        <f>+IFERROR(VLOOKUP(Fact_Impuestos[[#This Row], [Concepto Anterior]],Conceptos_Impuestos[#All],5,0),"")</f>
        <v/>
      </c>
      <c r="F703" t="str">
        <f>+IFERROR(VLOOKUP(Fact_Impuestos[[#This Row], 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ht="18.75" customHeight="1" x14ac:dyDescent="0.35">
      <c r="C704" s="100" t="str">
        <f>IF(OR(Fact_Impuestos[[#This Row], [Año]]="",Fact_Impuestos[[#This Row], [Mes]]=""),"",DATE(A704,MATCH(B704,{"enero","febrero","marzo","abril","mayo","junio","julio","agosto","septiembre","octubre","noviembre","diciembre"},0)+1,0))</f>
        <v/>
      </c>
      <c r="E704" t="str">
        <f>+IFERROR(VLOOKUP(Fact_Impuestos[[#This Row], [Concepto Anterior]],Conceptos_Impuestos[#All],5,0),"")</f>
        <v/>
      </c>
      <c r="F704" t="str">
        <f>+IFERROR(VLOOKUP(Fact_Impuestos[[#This Row], 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ht="18.75" customHeight="1" x14ac:dyDescent="0.35">
      <c r="C705" s="100" t="str">
        <f>IF(OR(Fact_Impuestos[[#This Row], [Año]]="",Fact_Impuestos[[#This Row], [Mes]]=""),"",DATE(A705,MATCH(B705,{"enero","febrero","marzo","abril","mayo","junio","julio","agosto","septiembre","octubre","noviembre","diciembre"},0)+1,0))</f>
        <v/>
      </c>
      <c r="E705" t="str">
        <f>+IFERROR(VLOOKUP(Fact_Impuestos[[#This Row], [Concepto Anterior]],Conceptos_Impuestos[#All],5,0),"")</f>
        <v/>
      </c>
      <c r="F705" t="str">
        <f>+IFERROR(VLOOKUP(Fact_Impuestos[[#This Row], 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ht="18.75" customHeight="1" x14ac:dyDescent="0.35">
      <c r="C706" s="100" t="str">
        <f>IF(OR(Fact_Impuestos[[#This Row], [Año]]="",Fact_Impuestos[[#This Row], [Mes]]=""),"",DATE(A706,MATCH(B706,{"enero","febrero","marzo","abril","mayo","junio","julio","agosto","septiembre","octubre","noviembre","diciembre"},0)+1,0))</f>
        <v/>
      </c>
      <c r="E706" t="str">
        <f>+IFERROR(VLOOKUP(Fact_Impuestos[[#This Row], [Concepto Anterior]],Conceptos_Impuestos[#All],5,0),"")</f>
        <v/>
      </c>
      <c r="F706" t="str">
        <f>+IFERROR(VLOOKUP(Fact_Impuestos[[#This Row], 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ht="18.75" customHeight="1" x14ac:dyDescent="0.35">
      <c r="C707" s="100" t="str">
        <f>IF(OR(Fact_Impuestos[[#This Row], [Año]]="",Fact_Impuestos[[#This Row], [Mes]]=""),"",DATE(A707,MATCH(B707,{"enero","febrero","marzo","abril","mayo","junio","julio","agosto","septiembre","octubre","noviembre","diciembre"},0)+1,0))</f>
        <v/>
      </c>
      <c r="E707" t="str">
        <f>+IFERROR(VLOOKUP(Fact_Impuestos[[#This Row], [Concepto Anterior]],Conceptos_Impuestos[#All],5,0),"")</f>
        <v/>
      </c>
      <c r="F707" t="str">
        <f>+IFERROR(VLOOKUP(Fact_Impuestos[[#This Row], 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ht="18.75" customHeight="1" x14ac:dyDescent="0.35">
      <c r="C708" s="100" t="str">
        <f>IF(OR(Fact_Impuestos[[#This Row], [Año]]="",Fact_Impuestos[[#This Row], [Mes]]=""),"",DATE(A708,MATCH(B708,{"enero","febrero","marzo","abril","mayo","junio","julio","agosto","septiembre","octubre","noviembre","diciembre"},0)+1,0))</f>
        <v/>
      </c>
      <c r="E708" t="str">
        <f>+IFERROR(VLOOKUP(Fact_Impuestos[[#This Row], [Concepto Anterior]],Conceptos_Impuestos[#All],5,0),"")</f>
        <v/>
      </c>
      <c r="F708" t="str">
        <f>+IFERROR(VLOOKUP(Fact_Impuestos[[#This Row], 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ht="18.75" customHeight="1" x14ac:dyDescent="0.35">
      <c r="C709" s="100" t="str">
        <f>IF(OR(Fact_Impuestos[[#This Row], [Año]]="",Fact_Impuestos[[#This Row], [Mes]]=""),"",DATE(A709,MATCH(B709,{"enero","febrero","marzo","abril","mayo","junio","julio","agosto","septiembre","octubre","noviembre","diciembre"},0)+1,0))</f>
        <v/>
      </c>
      <c r="E709" t="str">
        <f>+IFERROR(VLOOKUP(Fact_Impuestos[[#This Row], [Concepto Anterior]],Conceptos_Impuestos[#All],5,0),"")</f>
        <v/>
      </c>
      <c r="F709" t="str">
        <f>+IFERROR(VLOOKUP(Fact_Impuestos[[#This Row], 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ht="18.75" customHeight="1" x14ac:dyDescent="0.35">
      <c r="C710" s="100" t="str">
        <f>IF(OR(Fact_Impuestos[[#This Row], [Año]]="",Fact_Impuestos[[#This Row], [Mes]]=""),"",DATE(A710,MATCH(B710,{"enero","febrero","marzo","abril","mayo","junio","julio","agosto","septiembre","octubre","noviembre","diciembre"},0)+1,0))</f>
        <v/>
      </c>
      <c r="E710" t="str">
        <f>+IFERROR(VLOOKUP(Fact_Impuestos[[#This Row], [Concepto Anterior]],Conceptos_Impuestos[#All],5,0),"")</f>
        <v/>
      </c>
      <c r="F710" t="str">
        <f>+IFERROR(VLOOKUP(Fact_Impuestos[[#This Row], 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ht="18.75" customHeight="1" x14ac:dyDescent="0.35">
      <c r="C711" s="100" t="str">
        <f>IF(OR(Fact_Impuestos[[#This Row], [Año]]="",Fact_Impuestos[[#This Row], [Mes]]=""),"",DATE(A711,MATCH(B711,{"enero","febrero","marzo","abril","mayo","junio","julio","agosto","septiembre","octubre","noviembre","diciembre"},0)+1,0))</f>
        <v/>
      </c>
      <c r="E711" t="str">
        <f>+IFERROR(VLOOKUP(Fact_Impuestos[[#This Row], [Concepto Anterior]],Conceptos_Impuestos[#All],5,0),"")</f>
        <v/>
      </c>
      <c r="F711" t="str">
        <f>+IFERROR(VLOOKUP(Fact_Impuestos[[#This Row], 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ht="18.75" customHeight="1" x14ac:dyDescent="0.35">
      <c r="C712" s="100" t="str">
        <f>IF(OR(Fact_Impuestos[[#This Row], [Año]]="",Fact_Impuestos[[#This Row], [Mes]]=""),"",DATE(A712,MATCH(B712,{"enero","febrero","marzo","abril","mayo","junio","julio","agosto","septiembre","octubre","noviembre","diciembre"},0)+1,0))</f>
        <v/>
      </c>
      <c r="E712" t="str">
        <f>+IFERROR(VLOOKUP(Fact_Impuestos[[#This Row], [Concepto Anterior]],Conceptos_Impuestos[#All],5,0),"")</f>
        <v/>
      </c>
      <c r="F712" t="str">
        <f>+IFERROR(VLOOKUP(Fact_Impuestos[[#This Row], 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ht="18.75" customHeight="1" x14ac:dyDescent="0.35">
      <c r="C713" s="100" t="str">
        <f>IF(OR(Fact_Impuestos[[#This Row], [Año]]="",Fact_Impuestos[[#This Row], [Mes]]=""),"",DATE(A713,MATCH(B713,{"enero","febrero","marzo","abril","mayo","junio","julio","agosto","septiembre","octubre","noviembre","diciembre"},0)+1,0))</f>
        <v/>
      </c>
      <c r="E713" t="str">
        <f>+IFERROR(VLOOKUP(Fact_Impuestos[[#This Row], [Concepto Anterior]],Conceptos_Impuestos[#All],5,0),"")</f>
        <v/>
      </c>
      <c r="F713" t="str">
        <f>+IFERROR(VLOOKUP(Fact_Impuestos[[#This Row], 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ht="18.75" customHeight="1" x14ac:dyDescent="0.35">
      <c r="C714" s="100" t="str">
        <f>IF(OR(Fact_Impuestos[[#This Row], [Año]]="",Fact_Impuestos[[#This Row], [Mes]]=""),"",DATE(A714,MATCH(B714,{"enero","febrero","marzo","abril","mayo","junio","julio","agosto","septiembre","octubre","noviembre","diciembre"},0)+1,0))</f>
        <v/>
      </c>
      <c r="E714" t="str">
        <f>+IFERROR(VLOOKUP(Fact_Impuestos[[#This Row], [Concepto Anterior]],Conceptos_Impuestos[#All],5,0),"")</f>
        <v/>
      </c>
      <c r="F714" t="str">
        <f>+IFERROR(VLOOKUP(Fact_Impuestos[[#This Row], 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ht="18.75" customHeight="1" x14ac:dyDescent="0.35">
      <c r="C715" s="100" t="str">
        <f>IF(OR(Fact_Impuestos[[#This Row], [Año]]="",Fact_Impuestos[[#This Row], [Mes]]=""),"",DATE(A715,MATCH(B715,{"enero","febrero","marzo","abril","mayo","junio","julio","agosto","septiembre","octubre","noviembre","diciembre"},0)+1,0))</f>
        <v/>
      </c>
      <c r="E715" t="str">
        <f>+IFERROR(VLOOKUP(Fact_Impuestos[[#This Row], [Concepto Anterior]],Conceptos_Impuestos[#All],5,0),"")</f>
        <v/>
      </c>
      <c r="F715" t="str">
        <f>+IFERROR(VLOOKUP(Fact_Impuestos[[#This Row], 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ht="18.75" customHeight="1" x14ac:dyDescent="0.35">
      <c r="C716" s="100" t="str">
        <f>IF(OR(Fact_Impuestos[[#This Row], [Año]]="",Fact_Impuestos[[#This Row], [Mes]]=""),"",DATE(A716,MATCH(B716,{"enero","febrero","marzo","abril","mayo","junio","julio","agosto","septiembre","octubre","noviembre","diciembre"},0)+1,0))</f>
        <v/>
      </c>
      <c r="E716" t="str">
        <f>+IFERROR(VLOOKUP(Fact_Impuestos[[#This Row], [Concepto Anterior]],Conceptos_Impuestos[#All],5,0),"")</f>
        <v/>
      </c>
      <c r="F716" t="str">
        <f>+IFERROR(VLOOKUP(Fact_Impuestos[[#This Row], 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ht="18.75" customHeight="1" x14ac:dyDescent="0.35">
      <c r="C717" s="100" t="str">
        <f>IF(OR(Fact_Impuestos[[#This Row], [Año]]="",Fact_Impuestos[[#This Row], [Mes]]=""),"",DATE(A717,MATCH(B717,{"enero","febrero","marzo","abril","mayo","junio","julio","agosto","septiembre","octubre","noviembre","diciembre"},0)+1,0))</f>
        <v/>
      </c>
      <c r="E717" t="str">
        <f>+IFERROR(VLOOKUP(Fact_Impuestos[[#This Row], [Concepto Anterior]],Conceptos_Impuestos[#All],5,0),"")</f>
        <v/>
      </c>
      <c r="F717" t="str">
        <f>+IFERROR(VLOOKUP(Fact_Impuestos[[#This Row], 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ht="18.75" customHeight="1" x14ac:dyDescent="0.35">
      <c r="C718" s="100" t="str">
        <f>IF(OR(Fact_Impuestos[[#This Row], [Año]]="",Fact_Impuestos[[#This Row], [Mes]]=""),"",DATE(A718,MATCH(B718,{"enero","febrero","marzo","abril","mayo","junio","julio","agosto","septiembre","octubre","noviembre","diciembre"},0)+1,0))</f>
        <v/>
      </c>
      <c r="E718" t="str">
        <f>+IFERROR(VLOOKUP(Fact_Impuestos[[#This Row], [Concepto Anterior]],Conceptos_Impuestos[#All],5,0),"")</f>
        <v/>
      </c>
      <c r="F718" t="str">
        <f>+IFERROR(VLOOKUP(Fact_Impuestos[[#This Row], 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ht="18.75" customHeight="1" x14ac:dyDescent="0.35">
      <c r="C719" s="100" t="str">
        <f>IF(OR(Fact_Impuestos[[#This Row], [Año]]="",Fact_Impuestos[[#This Row], [Mes]]=""),"",DATE(A719,MATCH(B719,{"enero","febrero","marzo","abril","mayo","junio","julio","agosto","septiembre","octubre","noviembre","diciembre"},0)+1,0))</f>
        <v/>
      </c>
      <c r="E719" t="str">
        <f>+IFERROR(VLOOKUP(Fact_Impuestos[[#This Row], [Concepto Anterior]],Conceptos_Impuestos[#All],5,0),"")</f>
        <v/>
      </c>
      <c r="F719" t="str">
        <f>+IFERROR(VLOOKUP(Fact_Impuestos[[#This Row], 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ht="18.75" customHeight="1" x14ac:dyDescent="0.35">
      <c r="C720" s="100" t="str">
        <f>IF(OR(Fact_Impuestos[[#This Row], [Año]]="",Fact_Impuestos[[#This Row], [Mes]]=""),"",DATE(A720,MATCH(B720,{"enero","febrero","marzo","abril","mayo","junio","julio","agosto","septiembre","octubre","noviembre","diciembre"},0)+1,0))</f>
        <v/>
      </c>
      <c r="E720" t="str">
        <f>+IFERROR(VLOOKUP(Fact_Impuestos[[#This Row], [Concepto Anterior]],Conceptos_Impuestos[#All],5,0),"")</f>
        <v/>
      </c>
      <c r="F720" t="str">
        <f>+IFERROR(VLOOKUP(Fact_Impuestos[[#This Row], 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ht="18.75" customHeight="1" x14ac:dyDescent="0.35">
      <c r="C721" s="100" t="str">
        <f>IF(OR(Fact_Impuestos[[#This Row], [Año]]="",Fact_Impuestos[[#This Row], [Mes]]=""),"",DATE(A721,MATCH(B721,{"enero","febrero","marzo","abril","mayo","junio","julio","agosto","septiembre","octubre","noviembre","diciembre"},0)+1,0))</f>
        <v/>
      </c>
      <c r="E721" t="str">
        <f>+IFERROR(VLOOKUP(Fact_Impuestos[[#This Row], [Concepto Anterior]],Conceptos_Impuestos[#All],5,0),"")</f>
        <v/>
      </c>
      <c r="F721" t="str">
        <f>+IFERROR(VLOOKUP(Fact_Impuestos[[#This Row], 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ht="18.75" customHeight="1" x14ac:dyDescent="0.35">
      <c r="C722" s="100" t="str">
        <f>IF(OR(Fact_Impuestos[[#This Row], [Año]]="",Fact_Impuestos[[#This Row], [Mes]]=""),"",DATE(A722,MATCH(B722,{"enero","febrero","marzo","abril","mayo","junio","julio","agosto","septiembre","octubre","noviembre","diciembre"},0)+1,0))</f>
        <v/>
      </c>
      <c r="E722" t="str">
        <f>+IFERROR(VLOOKUP(Fact_Impuestos[[#This Row], [Concepto Anterior]],Conceptos_Impuestos[#All],5,0),"")</f>
        <v/>
      </c>
      <c r="F722" t="str">
        <f>+IFERROR(VLOOKUP(Fact_Impuestos[[#This Row], 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ht="18.75" customHeight="1" x14ac:dyDescent="0.35">
      <c r="C723" s="100" t="str">
        <f>IF(OR(Fact_Impuestos[[#This Row], [Año]]="",Fact_Impuestos[[#This Row], [Mes]]=""),"",DATE(A723,MATCH(B723,{"enero","febrero","marzo","abril","mayo","junio","julio","agosto","septiembre","octubre","noviembre","diciembre"},0)+1,0))</f>
        <v/>
      </c>
      <c r="E723" t="str">
        <f>+IFERROR(VLOOKUP(Fact_Impuestos[[#This Row], [Concepto Anterior]],Conceptos_Impuestos[#All],5,0),"")</f>
        <v/>
      </c>
      <c r="F723" t="str">
        <f>+IFERROR(VLOOKUP(Fact_Impuestos[[#This Row], 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ht="18.75" customHeight="1" x14ac:dyDescent="0.35">
      <c r="C724" s="100" t="str">
        <f>IF(OR(Fact_Impuestos[[#This Row], [Año]]="",Fact_Impuestos[[#This Row], [Mes]]=""),"",DATE(A724,MATCH(B724,{"enero","febrero","marzo","abril","mayo","junio","julio","agosto","septiembre","octubre","noviembre","diciembre"},0)+1,0))</f>
        <v/>
      </c>
      <c r="E724" t="str">
        <f>+IFERROR(VLOOKUP(Fact_Impuestos[[#This Row], [Concepto Anterior]],Conceptos_Impuestos[#All],5,0),"")</f>
        <v/>
      </c>
      <c r="F724" t="str">
        <f>+IFERROR(VLOOKUP(Fact_Impuestos[[#This Row], 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ht="18.75" customHeight="1" x14ac:dyDescent="0.35">
      <c r="C725" s="100" t="str">
        <f>IF(OR(Fact_Impuestos[[#This Row], [Año]]="",Fact_Impuestos[[#This Row], [Mes]]=""),"",DATE(A725,MATCH(B725,{"enero","febrero","marzo","abril","mayo","junio","julio","agosto","septiembre","octubre","noviembre","diciembre"},0)+1,0))</f>
        <v/>
      </c>
      <c r="E725" t="str">
        <f>+IFERROR(VLOOKUP(Fact_Impuestos[[#This Row], [Concepto Anterior]],Conceptos_Impuestos[#All],5,0),"")</f>
        <v/>
      </c>
      <c r="F725" t="str">
        <f>+IFERROR(VLOOKUP(Fact_Impuestos[[#This Row], 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ht="18.75" customHeight="1" x14ac:dyDescent="0.35">
      <c r="C726" s="100" t="str">
        <f>IF(OR(Fact_Impuestos[[#This Row], [Año]]="",Fact_Impuestos[[#This Row], [Mes]]=""),"",DATE(A726,MATCH(B726,{"enero","febrero","marzo","abril","mayo","junio","julio","agosto","septiembre","octubre","noviembre","diciembre"},0)+1,0))</f>
        <v/>
      </c>
      <c r="E726" t="str">
        <f>+IFERROR(VLOOKUP(Fact_Impuestos[[#This Row], [Concepto Anterior]],Conceptos_Impuestos[#All],5,0),"")</f>
        <v/>
      </c>
      <c r="F726" t="str">
        <f>+IFERROR(VLOOKUP(Fact_Impuestos[[#This Row], 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ht="18.75" customHeight="1" x14ac:dyDescent="0.35">
      <c r="C727" s="100" t="str">
        <f>IF(OR(Fact_Impuestos[[#This Row], [Año]]="",Fact_Impuestos[[#This Row], [Mes]]=""),"",DATE(A727,MATCH(B727,{"enero","febrero","marzo","abril","mayo","junio","julio","agosto","septiembre","octubre","noviembre","diciembre"},0)+1,0))</f>
        <v/>
      </c>
      <c r="E727" t="str">
        <f>+IFERROR(VLOOKUP(Fact_Impuestos[[#This Row], [Concepto Anterior]],Conceptos_Impuestos[#All],5,0),"")</f>
        <v/>
      </c>
      <c r="F727" t="str">
        <f>+IFERROR(VLOOKUP(Fact_Impuestos[[#This Row], 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ht="18.75" customHeight="1" x14ac:dyDescent="0.35">
      <c r="C728" s="100" t="str">
        <f>IF(OR(Fact_Impuestos[[#This Row], [Año]]="",Fact_Impuestos[[#This Row], [Mes]]=""),"",DATE(A728,MATCH(B728,{"enero","febrero","marzo","abril","mayo","junio","julio","agosto","septiembre","octubre","noviembre","diciembre"},0)+1,0))</f>
        <v/>
      </c>
      <c r="E728" t="str">
        <f>+IFERROR(VLOOKUP(Fact_Impuestos[[#This Row], [Concepto Anterior]],Conceptos_Impuestos[#All],5,0),"")</f>
        <v/>
      </c>
      <c r="F728" t="str">
        <f>+IFERROR(VLOOKUP(Fact_Impuestos[[#This Row], 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ht="18.75" customHeight="1" x14ac:dyDescent="0.35">
      <c r="C729" s="100" t="str">
        <f>IF(OR(Fact_Impuestos[[#This Row], [Año]]="",Fact_Impuestos[[#This Row], [Mes]]=""),"",DATE(A729,MATCH(B729,{"enero","febrero","marzo","abril","mayo","junio","julio","agosto","septiembre","octubre","noviembre","diciembre"},0)+1,0))</f>
        <v/>
      </c>
      <c r="E729" t="str">
        <f>+IFERROR(VLOOKUP(Fact_Impuestos[[#This Row], [Concepto Anterior]],Conceptos_Impuestos[#All],5,0),"")</f>
        <v/>
      </c>
      <c r="F729" t="str">
        <f>+IFERROR(VLOOKUP(Fact_Impuestos[[#This Row], 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ht="18.75" customHeight="1" x14ac:dyDescent="0.35">
      <c r="C730" s="100" t="str">
        <f>IF(OR(Fact_Impuestos[[#This Row], [Año]]="",Fact_Impuestos[[#This Row], [Mes]]=""),"",DATE(A730,MATCH(B730,{"enero","febrero","marzo","abril","mayo","junio","julio","agosto","septiembre","octubre","noviembre","diciembre"},0)+1,0))</f>
        <v/>
      </c>
      <c r="E730" t="str">
        <f>+IFERROR(VLOOKUP(Fact_Impuestos[[#This Row], [Concepto Anterior]],Conceptos_Impuestos[#All],5,0),"")</f>
        <v/>
      </c>
      <c r="F730" t="str">
        <f>+IFERROR(VLOOKUP(Fact_Impuestos[[#This Row], 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ht="18.75" customHeight="1" x14ac:dyDescent="0.35">
      <c r="C731" s="100" t="str">
        <f>IF(OR(Fact_Impuestos[[#This Row], [Año]]="",Fact_Impuestos[[#This Row], [Mes]]=""),"",DATE(A731,MATCH(B731,{"enero","febrero","marzo","abril","mayo","junio","julio","agosto","septiembre","octubre","noviembre","diciembre"},0)+1,0))</f>
        <v/>
      </c>
      <c r="E731" t="str">
        <f>+IFERROR(VLOOKUP(Fact_Impuestos[[#This Row], [Concepto Anterior]],Conceptos_Impuestos[#All],5,0),"")</f>
        <v/>
      </c>
      <c r="F731" t="str">
        <f>+IFERROR(VLOOKUP(Fact_Impuestos[[#This Row], 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ht="18.75" customHeight="1" x14ac:dyDescent="0.35">
      <c r="C732" s="100" t="str">
        <f>IF(OR(Fact_Impuestos[[#This Row], [Año]]="",Fact_Impuestos[[#This Row], [Mes]]=""),"",DATE(A732,MATCH(B732,{"enero","febrero","marzo","abril","mayo","junio","julio","agosto","septiembre","octubre","noviembre","diciembre"},0)+1,0))</f>
        <v/>
      </c>
      <c r="E732" t="str">
        <f>+IFERROR(VLOOKUP(Fact_Impuestos[[#This Row], [Concepto Anterior]],Conceptos_Impuestos[#All],5,0),"")</f>
        <v/>
      </c>
      <c r="F732" t="str">
        <f>+IFERROR(VLOOKUP(Fact_Impuestos[[#This Row], 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ht="18.75" customHeight="1" x14ac:dyDescent="0.35">
      <c r="C733" s="100" t="str">
        <f>IF(OR(Fact_Impuestos[[#This Row], [Año]]="",Fact_Impuestos[[#This Row], [Mes]]=""),"",DATE(A733,MATCH(B733,{"enero","febrero","marzo","abril","mayo","junio","julio","agosto","septiembre","octubre","noviembre","diciembre"},0)+1,0))</f>
        <v/>
      </c>
      <c r="E733" t="str">
        <f>+IFERROR(VLOOKUP(Fact_Impuestos[[#This Row], [Concepto Anterior]],Conceptos_Impuestos[#All],5,0),"")</f>
        <v/>
      </c>
      <c r="F733" t="str">
        <f>+IFERROR(VLOOKUP(Fact_Impuestos[[#This Row], 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ht="18.75" customHeight="1" x14ac:dyDescent="0.35">
      <c r="C734" s="100" t="str">
        <f>IF(OR(Fact_Impuestos[[#This Row], [Año]]="",Fact_Impuestos[[#This Row], [Mes]]=""),"",DATE(A734,MATCH(B734,{"enero","febrero","marzo","abril","mayo","junio","julio","agosto","septiembre","octubre","noviembre","diciembre"},0)+1,0))</f>
        <v/>
      </c>
      <c r="E734" t="str">
        <f>+IFERROR(VLOOKUP(Fact_Impuestos[[#This Row], [Concepto Anterior]],Conceptos_Impuestos[#All],5,0),"")</f>
        <v/>
      </c>
      <c r="F734" t="str">
        <f>+IFERROR(VLOOKUP(Fact_Impuestos[[#This Row], 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ht="18.75" customHeight="1" x14ac:dyDescent="0.35">
      <c r="C735" s="100" t="str">
        <f>IF(OR(Fact_Impuestos[[#This Row], [Año]]="",Fact_Impuestos[[#This Row], [Mes]]=""),"",DATE(A735,MATCH(B735,{"enero","febrero","marzo","abril","mayo","junio","julio","agosto","septiembre","octubre","noviembre","diciembre"},0)+1,0))</f>
        <v/>
      </c>
      <c r="E735" t="str">
        <f>+IFERROR(VLOOKUP(Fact_Impuestos[[#This Row], [Concepto Anterior]],Conceptos_Impuestos[#All],5,0),"")</f>
        <v/>
      </c>
      <c r="F735" t="str">
        <f>+IFERROR(VLOOKUP(Fact_Impuestos[[#This Row], 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ht="18.75" customHeight="1" x14ac:dyDescent="0.35">
      <c r="C736" s="100" t="str">
        <f>IF(OR(Fact_Impuestos[[#This Row], [Año]]="",Fact_Impuestos[[#This Row], [Mes]]=""),"",DATE(A736,MATCH(B736,{"enero","febrero","marzo","abril","mayo","junio","julio","agosto","septiembre","octubre","noviembre","diciembre"},0)+1,0))</f>
        <v/>
      </c>
      <c r="E736" t="str">
        <f>+IFERROR(VLOOKUP(Fact_Impuestos[[#This Row], [Concepto Anterior]],Conceptos_Impuestos[#All],5,0),"")</f>
        <v/>
      </c>
      <c r="F736" t="str">
        <f>+IFERROR(VLOOKUP(Fact_Impuestos[[#This Row], 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ht="18.75" customHeight="1" x14ac:dyDescent="0.35">
      <c r="C737" s="100" t="str">
        <f>IF(OR(Fact_Impuestos[[#This Row], [Año]]="",Fact_Impuestos[[#This Row], [Mes]]=""),"",DATE(A737,MATCH(B737,{"enero","febrero","marzo","abril","mayo","junio","julio","agosto","septiembre","octubre","noviembre","diciembre"},0)+1,0))</f>
        <v/>
      </c>
      <c r="E737" t="str">
        <f>+IFERROR(VLOOKUP(Fact_Impuestos[[#This Row], [Concepto Anterior]],Conceptos_Impuestos[#All],5,0),"")</f>
        <v/>
      </c>
      <c r="F737" t="str">
        <f>+IFERROR(VLOOKUP(Fact_Impuestos[[#This Row], 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ht="18.75" customHeight="1" x14ac:dyDescent="0.35">
      <c r="C738" s="100" t="str">
        <f>IF(OR(Fact_Impuestos[[#This Row], [Año]]="",Fact_Impuestos[[#This Row], [Mes]]=""),"",DATE(A738,MATCH(B738,{"enero","febrero","marzo","abril","mayo","junio","julio","agosto","septiembre","octubre","noviembre","diciembre"},0)+1,0))</f>
        <v/>
      </c>
      <c r="E738" t="str">
        <f>+IFERROR(VLOOKUP(Fact_Impuestos[[#This Row], [Concepto Anterior]],Conceptos_Impuestos[#All],5,0),"")</f>
        <v/>
      </c>
      <c r="F738" t="str">
        <f>+IFERROR(VLOOKUP(Fact_Impuestos[[#This Row], 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ht="18.75" customHeight="1" x14ac:dyDescent="0.35">
      <c r="C739" s="100" t="str">
        <f>IF(OR(Fact_Impuestos[[#This Row], [Año]]="",Fact_Impuestos[[#This Row], [Mes]]=""),"",DATE(A739,MATCH(B739,{"enero","febrero","marzo","abril","mayo","junio","julio","agosto","septiembre","octubre","noviembre","diciembre"},0)+1,0))</f>
        <v/>
      </c>
      <c r="E739" t="str">
        <f>+IFERROR(VLOOKUP(Fact_Impuestos[[#This Row], [Concepto Anterior]],Conceptos_Impuestos[#All],5,0),"")</f>
        <v/>
      </c>
      <c r="F739" t="str">
        <f>+IFERROR(VLOOKUP(Fact_Impuestos[[#This Row], 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ht="18.75" customHeight="1" x14ac:dyDescent="0.35">
      <c r="C740" s="100" t="str">
        <f>IF(OR(Fact_Impuestos[[#This Row], [Año]]="",Fact_Impuestos[[#This Row], [Mes]]=""),"",DATE(A740,MATCH(B740,{"enero","febrero","marzo","abril","mayo","junio","julio","agosto","septiembre","octubre","noviembre","diciembre"},0)+1,0))</f>
        <v/>
      </c>
      <c r="E740" t="str">
        <f>+IFERROR(VLOOKUP(Fact_Impuestos[[#This Row], [Concepto Anterior]],Conceptos_Impuestos[#All],5,0),"")</f>
        <v/>
      </c>
      <c r="F740" t="str">
        <f>+IFERROR(VLOOKUP(Fact_Impuestos[[#This Row], 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ht="18.75" customHeight="1" x14ac:dyDescent="0.35">
      <c r="C741" s="100" t="str">
        <f>IF(OR(Fact_Impuestos[[#This Row], [Año]]="",Fact_Impuestos[[#This Row], [Mes]]=""),"",DATE(A741,MATCH(B741,{"enero","febrero","marzo","abril","mayo","junio","julio","agosto","septiembre","octubre","noviembre","diciembre"},0)+1,0))</f>
        <v/>
      </c>
      <c r="E741" t="str">
        <f>+IFERROR(VLOOKUP(Fact_Impuestos[[#This Row], [Concepto Anterior]],Conceptos_Impuestos[#All],5,0),"")</f>
        <v/>
      </c>
      <c r="F741" t="str">
        <f>+IFERROR(VLOOKUP(Fact_Impuestos[[#This Row], 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ht="18.75" customHeight="1" x14ac:dyDescent="0.35">
      <c r="C742" s="100" t="str">
        <f>IF(OR(Fact_Impuestos[[#This Row], [Año]]="",Fact_Impuestos[[#This Row], [Mes]]=""),"",DATE(A742,MATCH(B742,{"enero","febrero","marzo","abril","mayo","junio","julio","agosto","septiembre","octubre","noviembre","diciembre"},0)+1,0))</f>
        <v/>
      </c>
      <c r="E742" t="str">
        <f>+IFERROR(VLOOKUP(Fact_Impuestos[[#This Row], [Concepto Anterior]],Conceptos_Impuestos[#All],5,0),"")</f>
        <v/>
      </c>
      <c r="F742" t="str">
        <f>+IFERROR(VLOOKUP(Fact_Impuestos[[#This Row], 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ht="18.75" customHeight="1" x14ac:dyDescent="0.35">
      <c r="C743" s="100" t="str">
        <f>IF(OR(Fact_Impuestos[[#This Row], [Año]]="",Fact_Impuestos[[#This Row], [Mes]]=""),"",DATE(A743,MATCH(B743,{"enero","febrero","marzo","abril","mayo","junio","julio","agosto","septiembre","octubre","noviembre","diciembre"},0)+1,0))</f>
        <v/>
      </c>
      <c r="E743" t="str">
        <f>+IFERROR(VLOOKUP(Fact_Impuestos[[#This Row], [Concepto Anterior]],Conceptos_Impuestos[#All],5,0),"")</f>
        <v/>
      </c>
      <c r="F743" t="str">
        <f>+IFERROR(VLOOKUP(Fact_Impuestos[[#This Row], 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ht="18.75" customHeight="1" x14ac:dyDescent="0.35">
      <c r="C744" s="100" t="str">
        <f>IF(OR(Fact_Impuestos[[#This Row], [Año]]="",Fact_Impuestos[[#This Row], [Mes]]=""),"",DATE(A744,MATCH(B744,{"enero","febrero","marzo","abril","mayo","junio","julio","agosto","septiembre","octubre","noviembre","diciembre"},0)+1,0))</f>
        <v/>
      </c>
      <c r="E744" t="str">
        <f>+IFERROR(VLOOKUP(Fact_Impuestos[[#This Row], [Concepto Anterior]],Conceptos_Impuestos[#All],5,0),"")</f>
        <v/>
      </c>
      <c r="F744" t="str">
        <f>+IFERROR(VLOOKUP(Fact_Impuestos[[#This Row], 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ht="18.75" customHeight="1" x14ac:dyDescent="0.35">
      <c r="C745" s="100" t="str">
        <f>IF(OR(Fact_Impuestos[[#This Row], [Año]]="",Fact_Impuestos[[#This Row], [Mes]]=""),"",DATE(A745,MATCH(B745,{"enero","febrero","marzo","abril","mayo","junio","julio","agosto","septiembre","octubre","noviembre","diciembre"},0)+1,0))</f>
        <v/>
      </c>
      <c r="E745" t="str">
        <f>+IFERROR(VLOOKUP(Fact_Impuestos[[#This Row], [Concepto Anterior]],Conceptos_Impuestos[#All],5,0),"")</f>
        <v/>
      </c>
      <c r="F745" t="str">
        <f>+IFERROR(VLOOKUP(Fact_Impuestos[[#This Row], 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ht="18.75" customHeight="1" x14ac:dyDescent="0.35">
      <c r="C746" s="100" t="str">
        <f>IF(OR(Fact_Impuestos[[#This Row], [Año]]="",Fact_Impuestos[[#This Row], [Mes]]=""),"",DATE(A746,MATCH(B746,{"enero","febrero","marzo","abril","mayo","junio","julio","agosto","septiembre","octubre","noviembre","diciembre"},0)+1,0))</f>
        <v/>
      </c>
      <c r="E746" t="str">
        <f>+IFERROR(VLOOKUP(Fact_Impuestos[[#This Row], [Concepto Anterior]],Conceptos_Impuestos[#All],5,0),"")</f>
        <v/>
      </c>
      <c r="F746" t="str">
        <f>+IFERROR(VLOOKUP(Fact_Impuestos[[#This Row], 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ht="18.75" customHeight="1" x14ac:dyDescent="0.35">
      <c r="C747" s="100" t="str">
        <f>IF(OR(Fact_Impuestos[[#This Row], [Año]]="",Fact_Impuestos[[#This Row], [Mes]]=""),"",DATE(A747,MATCH(B747,{"enero","febrero","marzo","abril","mayo","junio","julio","agosto","septiembre","octubre","noviembre","diciembre"},0)+1,0))</f>
        <v/>
      </c>
      <c r="E747" t="str">
        <f>+IFERROR(VLOOKUP(Fact_Impuestos[[#This Row], [Concepto Anterior]],Conceptos_Impuestos[#All],5,0),"")</f>
        <v/>
      </c>
      <c r="F747" t="str">
        <f>+IFERROR(VLOOKUP(Fact_Impuestos[[#This Row], 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ht="18.75" customHeight="1" x14ac:dyDescent="0.35">
      <c r="C748" s="100" t="str">
        <f>IF(OR(Fact_Impuestos[[#This Row], [Año]]="",Fact_Impuestos[[#This Row], [Mes]]=""),"",DATE(A748,MATCH(B748,{"enero","febrero","marzo","abril","mayo","junio","julio","agosto","septiembre","octubre","noviembre","diciembre"},0)+1,0))</f>
        <v/>
      </c>
      <c r="E748" t="str">
        <f>+IFERROR(VLOOKUP(Fact_Impuestos[[#This Row], [Concepto Anterior]],Conceptos_Impuestos[#All],5,0),"")</f>
        <v/>
      </c>
      <c r="F748" t="str">
        <f>+IFERROR(VLOOKUP(Fact_Impuestos[[#This Row], 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ht="18.75" customHeight="1" x14ac:dyDescent="0.35">
      <c r="C749" s="100" t="str">
        <f>IF(OR(Fact_Impuestos[[#This Row], [Año]]="",Fact_Impuestos[[#This Row], [Mes]]=""),"",DATE(A749,MATCH(B749,{"enero","febrero","marzo","abril","mayo","junio","julio","agosto","septiembre","octubre","noviembre","diciembre"},0)+1,0))</f>
        <v/>
      </c>
      <c r="E749" t="str">
        <f>+IFERROR(VLOOKUP(Fact_Impuestos[[#This Row], [Concepto Anterior]],Conceptos_Impuestos[#All],5,0),"")</f>
        <v/>
      </c>
      <c r="F749" t="str">
        <f>+IFERROR(VLOOKUP(Fact_Impuestos[[#This Row], 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ht="18.75" customHeight="1" x14ac:dyDescent="0.35">
      <c r="C750" s="100" t="str">
        <f>IF(OR(Fact_Impuestos[[#This Row], [Año]]="",Fact_Impuestos[[#This Row], [Mes]]=""),"",DATE(A750,MATCH(B750,{"enero","febrero","marzo","abril","mayo","junio","julio","agosto","septiembre","octubre","noviembre","diciembre"},0)+1,0))</f>
        <v/>
      </c>
      <c r="E750" t="str">
        <f>+IFERROR(VLOOKUP(Fact_Impuestos[[#This Row], [Concepto Anterior]],Conceptos_Impuestos[#All],5,0),"")</f>
        <v/>
      </c>
      <c r="F750" t="str">
        <f>+IFERROR(VLOOKUP(Fact_Impuestos[[#This Row], 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ht="18.75" customHeight="1" x14ac:dyDescent="0.35">
      <c r="C751" s="100" t="str">
        <f>IF(OR(Fact_Impuestos[[#This Row], [Año]]="",Fact_Impuestos[[#This Row], [Mes]]=""),"",DATE(A751,MATCH(B751,{"enero","febrero","marzo","abril","mayo","junio","julio","agosto","septiembre","octubre","noviembre","diciembre"},0)+1,0))</f>
        <v/>
      </c>
      <c r="E751" t="str">
        <f>+IFERROR(VLOOKUP(Fact_Impuestos[[#This Row], [Concepto Anterior]],Conceptos_Impuestos[#All],5,0),"")</f>
        <v/>
      </c>
      <c r="F751" t="str">
        <f>+IFERROR(VLOOKUP(Fact_Impuestos[[#This Row], 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ht="18.75" customHeight="1" x14ac:dyDescent="0.35">
      <c r="C752" s="100" t="str">
        <f>IF(OR(Fact_Impuestos[[#This Row], [Año]]="",Fact_Impuestos[[#This Row], [Mes]]=""),"",DATE(A752,MATCH(B752,{"enero","febrero","marzo","abril","mayo","junio","julio","agosto","septiembre","octubre","noviembre","diciembre"},0)+1,0))</f>
        <v/>
      </c>
      <c r="E752" t="str">
        <f>+IFERROR(VLOOKUP(Fact_Impuestos[[#This Row], [Concepto Anterior]],Conceptos_Impuestos[#All],5,0),"")</f>
        <v/>
      </c>
      <c r="F752" t="str">
        <f>+IFERROR(VLOOKUP(Fact_Impuestos[[#This Row], 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ht="18.75" customHeight="1" x14ac:dyDescent="0.35">
      <c r="C753" s="100" t="str">
        <f>IF(OR(Fact_Impuestos[[#This Row], [Año]]="",Fact_Impuestos[[#This Row], [Mes]]=""),"",DATE(A753,MATCH(B753,{"enero","febrero","marzo","abril","mayo","junio","julio","agosto","septiembre","octubre","noviembre","diciembre"},0)+1,0))</f>
        <v/>
      </c>
      <c r="E753" t="str">
        <f>+IFERROR(VLOOKUP(Fact_Impuestos[[#This Row], [Concepto Anterior]],Conceptos_Impuestos[#All],5,0),"")</f>
        <v/>
      </c>
      <c r="F753" t="str">
        <f>+IFERROR(VLOOKUP(Fact_Impuestos[[#This Row], 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ht="18.75" customHeight="1" x14ac:dyDescent="0.35">
      <c r="C754" s="100" t="str">
        <f>IF(OR(Fact_Impuestos[[#This Row], [Año]]="",Fact_Impuestos[[#This Row], [Mes]]=""),"",DATE(A754,MATCH(B754,{"enero","febrero","marzo","abril","mayo","junio","julio","agosto","septiembre","octubre","noviembre","diciembre"},0)+1,0))</f>
        <v/>
      </c>
      <c r="E754" t="str">
        <f>+IFERROR(VLOOKUP(Fact_Impuestos[[#This Row], [Concepto Anterior]],Conceptos_Impuestos[#All],5,0),"")</f>
        <v/>
      </c>
      <c r="F754" t="str">
        <f>+IFERROR(VLOOKUP(Fact_Impuestos[[#This Row], 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ht="18.75" customHeight="1" x14ac:dyDescent="0.35">
      <c r="C755" s="100" t="str">
        <f>IF(OR(Fact_Impuestos[[#This Row], [Año]]="",Fact_Impuestos[[#This Row], [Mes]]=""),"",DATE(A755,MATCH(B755,{"enero","febrero","marzo","abril","mayo","junio","julio","agosto","septiembre","octubre","noviembre","diciembre"},0)+1,0))</f>
        <v/>
      </c>
      <c r="E755" t="str">
        <f>+IFERROR(VLOOKUP(Fact_Impuestos[[#This Row], [Concepto Anterior]],Conceptos_Impuestos[#All],5,0),"")</f>
        <v/>
      </c>
      <c r="F755" t="str">
        <f>+IFERROR(VLOOKUP(Fact_Impuestos[[#This Row], 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ht="18.75" customHeight="1" x14ac:dyDescent="0.35">
      <c r="C756" s="100" t="str">
        <f>IF(OR(Fact_Impuestos[[#This Row], [Año]]="",Fact_Impuestos[[#This Row], [Mes]]=""),"",DATE(A756,MATCH(B756,{"enero","febrero","marzo","abril","mayo","junio","julio","agosto","septiembre","octubre","noviembre","diciembre"},0)+1,0))</f>
        <v/>
      </c>
      <c r="E756" t="str">
        <f>+IFERROR(VLOOKUP(Fact_Impuestos[[#This Row], [Concepto Anterior]],Conceptos_Impuestos[#All],5,0),"")</f>
        <v/>
      </c>
      <c r="F756" t="str">
        <f>+IFERROR(VLOOKUP(Fact_Impuestos[[#This Row], 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ht="18.75" customHeight="1" x14ac:dyDescent="0.35">
      <c r="C757" s="100" t="str">
        <f>IF(OR(Fact_Impuestos[[#This Row], [Año]]="",Fact_Impuestos[[#This Row], [Mes]]=""),"",DATE(A757,MATCH(B757,{"enero","febrero","marzo","abril","mayo","junio","julio","agosto","septiembre","octubre","noviembre","diciembre"},0)+1,0))</f>
        <v/>
      </c>
      <c r="E757" t="str">
        <f>+IFERROR(VLOOKUP(Fact_Impuestos[[#This Row], [Concepto Anterior]],Conceptos_Impuestos[#All],5,0),"")</f>
        <v/>
      </c>
      <c r="F757" t="str">
        <f>+IFERROR(VLOOKUP(Fact_Impuestos[[#This Row], 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ht="18.75" customHeight="1" x14ac:dyDescent="0.35">
      <c r="C758" s="100" t="str">
        <f>IF(OR(Fact_Impuestos[[#This Row], [Año]]="",Fact_Impuestos[[#This Row], [Mes]]=""),"",DATE(A758,MATCH(B758,{"enero","febrero","marzo","abril","mayo","junio","julio","agosto","septiembre","octubre","noviembre","diciembre"},0)+1,0))</f>
        <v/>
      </c>
      <c r="E758" t="str">
        <f>+IFERROR(VLOOKUP(Fact_Impuestos[[#This Row], [Concepto Anterior]],Conceptos_Impuestos[#All],5,0),"")</f>
        <v/>
      </c>
      <c r="F758" t="str">
        <f>+IFERROR(VLOOKUP(Fact_Impuestos[[#This Row], 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ht="18.75" customHeight="1" x14ac:dyDescent="0.35">
      <c r="C759" s="100" t="str">
        <f>IF(OR(Fact_Impuestos[[#This Row], [Año]]="",Fact_Impuestos[[#This Row], [Mes]]=""),"",DATE(A759,MATCH(B759,{"enero","febrero","marzo","abril","mayo","junio","julio","agosto","septiembre","octubre","noviembre","diciembre"},0)+1,0))</f>
        <v/>
      </c>
      <c r="E759" t="str">
        <f>+IFERROR(VLOOKUP(Fact_Impuestos[[#This Row], [Concepto Anterior]],Conceptos_Impuestos[#All],5,0),"")</f>
        <v/>
      </c>
      <c r="F759" t="str">
        <f>+IFERROR(VLOOKUP(Fact_Impuestos[[#This Row], 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ht="18.75" customHeight="1" x14ac:dyDescent="0.35">
      <c r="C760" s="100" t="str">
        <f>IF(OR(Fact_Impuestos[[#This Row], [Año]]="",Fact_Impuestos[[#This Row], [Mes]]=""),"",DATE(A760,MATCH(B760,{"enero","febrero","marzo","abril","mayo","junio","julio","agosto","septiembre","octubre","noviembre","diciembre"},0)+1,0))</f>
        <v/>
      </c>
      <c r="E760" t="str">
        <f>+IFERROR(VLOOKUP(Fact_Impuestos[[#This Row], [Concepto Anterior]],Conceptos_Impuestos[#All],5,0),"")</f>
        <v/>
      </c>
      <c r="F760" t="str">
        <f>+IFERROR(VLOOKUP(Fact_Impuestos[[#This Row], 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ht="18.75" customHeight="1" x14ac:dyDescent="0.35">
      <c r="C761" s="100" t="str">
        <f>IF(OR(Fact_Impuestos[[#This Row], [Año]]="",Fact_Impuestos[[#This Row], [Mes]]=""),"",DATE(A761,MATCH(B761,{"enero","febrero","marzo","abril","mayo","junio","julio","agosto","septiembre","octubre","noviembre","diciembre"},0)+1,0))</f>
        <v/>
      </c>
      <c r="E761" t="str">
        <f>+IFERROR(VLOOKUP(Fact_Impuestos[[#This Row], [Concepto Anterior]],Conceptos_Impuestos[#All],5,0),"")</f>
        <v/>
      </c>
      <c r="F761" t="str">
        <f>+IFERROR(VLOOKUP(Fact_Impuestos[[#This Row], 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ht="18.75" customHeight="1" x14ac:dyDescent="0.35">
      <c r="C762" s="100" t="str">
        <f>IF(OR(Fact_Impuestos[[#This Row], [Año]]="",Fact_Impuestos[[#This Row], [Mes]]=""),"",DATE(A762,MATCH(B762,{"enero","febrero","marzo","abril","mayo","junio","julio","agosto","septiembre","octubre","noviembre","diciembre"},0)+1,0))</f>
        <v/>
      </c>
      <c r="E762" t="str">
        <f>+IFERROR(VLOOKUP(Fact_Impuestos[[#This Row], [Concepto Anterior]],Conceptos_Impuestos[#All],5,0),"")</f>
        <v/>
      </c>
      <c r="F762" t="str">
        <f>+IFERROR(VLOOKUP(Fact_Impuestos[[#This Row], 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ht="18.75" customHeight="1" x14ac:dyDescent="0.35">
      <c r="C763" s="100" t="str">
        <f>IF(OR(Fact_Impuestos[[#This Row], [Año]]="",Fact_Impuestos[[#This Row], [Mes]]=""),"",DATE(A763,MATCH(B763,{"enero","febrero","marzo","abril","mayo","junio","julio","agosto","septiembre","octubre","noviembre","diciembre"},0)+1,0))</f>
        <v/>
      </c>
      <c r="E763" t="str">
        <f>+IFERROR(VLOOKUP(Fact_Impuestos[[#This Row], [Concepto Anterior]],Conceptos_Impuestos[#All],5,0),"")</f>
        <v/>
      </c>
      <c r="F763" t="str">
        <f>+IFERROR(VLOOKUP(Fact_Impuestos[[#This Row], 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ht="18.75" customHeight="1" x14ac:dyDescent="0.35">
      <c r="C764" s="100" t="str">
        <f>IF(OR(Fact_Impuestos[[#This Row], [Año]]="",Fact_Impuestos[[#This Row], [Mes]]=""),"",DATE(A764,MATCH(B764,{"enero","febrero","marzo","abril","mayo","junio","julio","agosto","septiembre","octubre","noviembre","diciembre"},0)+1,0))</f>
        <v/>
      </c>
      <c r="E764" t="str">
        <f>+IFERROR(VLOOKUP(Fact_Impuestos[[#This Row], [Concepto Anterior]],Conceptos_Impuestos[#All],5,0),"")</f>
        <v/>
      </c>
      <c r="F764" t="str">
        <f>+IFERROR(VLOOKUP(Fact_Impuestos[[#This Row], 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ht="18.75" customHeight="1" x14ac:dyDescent="0.35">
      <c r="C765" s="100" t="str">
        <f>IF(OR(Fact_Impuestos[[#This Row], [Año]]="",Fact_Impuestos[[#This Row], [Mes]]=""),"",DATE(A765,MATCH(B765,{"enero","febrero","marzo","abril","mayo","junio","julio","agosto","septiembre","octubre","noviembre","diciembre"},0)+1,0))</f>
        <v/>
      </c>
      <c r="E765" t="str">
        <f>+IFERROR(VLOOKUP(Fact_Impuestos[[#This Row], [Concepto Anterior]],Conceptos_Impuestos[#All],5,0),"")</f>
        <v/>
      </c>
      <c r="F765" t="str">
        <f>+IFERROR(VLOOKUP(Fact_Impuestos[[#This Row], 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ht="18.75" customHeight="1" x14ac:dyDescent="0.35">
      <c r="C766" s="100" t="str">
        <f>IF(OR(Fact_Impuestos[[#This Row], [Año]]="",Fact_Impuestos[[#This Row], [Mes]]=""),"",DATE(A766,MATCH(B766,{"enero","febrero","marzo","abril","mayo","junio","julio","agosto","septiembre","octubre","noviembre","diciembre"},0)+1,0))</f>
        <v/>
      </c>
      <c r="E766" t="str">
        <f>+IFERROR(VLOOKUP(Fact_Impuestos[[#This Row], [Concepto Anterior]],Conceptos_Impuestos[#All],5,0),"")</f>
        <v/>
      </c>
      <c r="F766" t="str">
        <f>+IFERROR(VLOOKUP(Fact_Impuestos[[#This Row], 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ht="18.75" customHeight="1" x14ac:dyDescent="0.35">
      <c r="C767" s="100" t="str">
        <f>IF(OR(Fact_Impuestos[[#This Row], [Año]]="",Fact_Impuestos[[#This Row], [Mes]]=""),"",DATE(A767,MATCH(B767,{"enero","febrero","marzo","abril","mayo","junio","julio","agosto","septiembre","octubre","noviembre","diciembre"},0)+1,0))</f>
        <v/>
      </c>
      <c r="E767" t="str">
        <f>+IFERROR(VLOOKUP(Fact_Impuestos[[#This Row], [Concepto Anterior]],Conceptos_Impuestos[#All],5,0),"")</f>
        <v/>
      </c>
      <c r="F767" t="str">
        <f>+IFERROR(VLOOKUP(Fact_Impuestos[[#This Row], 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ht="18.75" customHeight="1" x14ac:dyDescent="0.35">
      <c r="C768" s="100" t="str">
        <f>IF(OR(Fact_Impuestos[[#This Row], [Año]]="",Fact_Impuestos[[#This Row], [Mes]]=""),"",DATE(A768,MATCH(B768,{"enero","febrero","marzo","abril","mayo","junio","julio","agosto","septiembre","octubre","noviembre","diciembre"},0)+1,0))</f>
        <v/>
      </c>
      <c r="E768" t="str">
        <f>+IFERROR(VLOOKUP(Fact_Impuestos[[#This Row], [Concepto Anterior]],Conceptos_Impuestos[#All],5,0),"")</f>
        <v/>
      </c>
      <c r="F768" t="str">
        <f>+IFERROR(VLOOKUP(Fact_Impuestos[[#This Row], 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ht="18.75" customHeight="1" x14ac:dyDescent="0.35">
      <c r="C769" s="100" t="str">
        <f>IF(OR(Fact_Impuestos[[#This Row], [Año]]="",Fact_Impuestos[[#This Row], [Mes]]=""),"",DATE(A769,MATCH(B769,{"enero","febrero","marzo","abril","mayo","junio","julio","agosto","septiembre","octubre","noviembre","diciembre"},0)+1,0))</f>
        <v/>
      </c>
      <c r="E769" t="str">
        <f>+IFERROR(VLOOKUP(Fact_Impuestos[[#This Row], [Concepto Anterior]],Conceptos_Impuestos[#All],5,0),"")</f>
        <v/>
      </c>
      <c r="F769" t="str">
        <f>+IFERROR(VLOOKUP(Fact_Impuestos[[#This Row], 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ht="18.75" customHeight="1" x14ac:dyDescent="0.35">
      <c r="C770" s="100" t="str">
        <f>IF(OR(Fact_Impuestos[[#This Row], [Año]]="",Fact_Impuestos[[#This Row], [Mes]]=""),"",DATE(A770,MATCH(B770,{"enero","febrero","marzo","abril","mayo","junio","julio","agosto","septiembre","octubre","noviembre","diciembre"},0)+1,0))</f>
        <v/>
      </c>
      <c r="E770" t="str">
        <f>+IFERROR(VLOOKUP(Fact_Impuestos[[#This Row], [Concepto Anterior]],Conceptos_Impuestos[#All],5,0),"")</f>
        <v/>
      </c>
      <c r="F770" t="str">
        <f>+IFERROR(VLOOKUP(Fact_Impuestos[[#This Row], 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ht="18.75" customHeight="1" x14ac:dyDescent="0.35">
      <c r="C771" s="100" t="str">
        <f>IF(OR(Fact_Impuestos[[#This Row], [Año]]="",Fact_Impuestos[[#This Row], [Mes]]=""),"",DATE(A771,MATCH(B771,{"enero","febrero","marzo","abril","mayo","junio","julio","agosto","septiembre","octubre","noviembre","diciembre"},0)+1,0))</f>
        <v/>
      </c>
      <c r="E771" t="str">
        <f>+IFERROR(VLOOKUP(Fact_Impuestos[[#This Row], [Concepto Anterior]],Conceptos_Impuestos[#All],5,0),"")</f>
        <v/>
      </c>
      <c r="F771" t="str">
        <f>+IFERROR(VLOOKUP(Fact_Impuestos[[#This Row], 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ht="18.75" customHeight="1" x14ac:dyDescent="0.35">
      <c r="C772" s="100" t="str">
        <f>IF(OR(Fact_Impuestos[[#This Row], [Año]]="",Fact_Impuestos[[#This Row], [Mes]]=""),"",DATE(A772,MATCH(B772,{"enero","febrero","marzo","abril","mayo","junio","julio","agosto","septiembre","octubre","noviembre","diciembre"},0)+1,0))</f>
        <v/>
      </c>
      <c r="E772" t="str">
        <f>+IFERROR(VLOOKUP(Fact_Impuestos[[#This Row], [Concepto Anterior]],Conceptos_Impuestos[#All],5,0),"")</f>
        <v/>
      </c>
      <c r="F772" t="str">
        <f>+IFERROR(VLOOKUP(Fact_Impuestos[[#This Row], 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ht="18.75" customHeight="1" x14ac:dyDescent="0.35">
      <c r="C773" s="100" t="str">
        <f>IF(OR(Fact_Impuestos[[#This Row], [Año]]="",Fact_Impuestos[[#This Row], [Mes]]=""),"",DATE(A773,MATCH(B773,{"enero","febrero","marzo","abril","mayo","junio","julio","agosto","septiembre","octubre","noviembre","diciembre"},0)+1,0))</f>
        <v/>
      </c>
      <c r="E773" t="str">
        <f>+IFERROR(VLOOKUP(Fact_Impuestos[[#This Row], [Concepto Anterior]],Conceptos_Impuestos[#All],5,0),"")</f>
        <v/>
      </c>
      <c r="F773" t="str">
        <f>+IFERROR(VLOOKUP(Fact_Impuestos[[#This Row], 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ht="18.75" customHeight="1" x14ac:dyDescent="0.35">
      <c r="C774" s="100" t="str">
        <f>IF(OR(Fact_Impuestos[[#This Row], [Año]]="",Fact_Impuestos[[#This Row], [Mes]]=""),"",DATE(A774,MATCH(B774,{"enero","febrero","marzo","abril","mayo","junio","julio","agosto","septiembre","octubre","noviembre","diciembre"},0)+1,0))</f>
        <v/>
      </c>
      <c r="E774" t="str">
        <f>+IFERROR(VLOOKUP(Fact_Impuestos[[#This Row], [Concepto Anterior]],Conceptos_Impuestos[#All],5,0),"")</f>
        <v/>
      </c>
      <c r="F774" t="str">
        <f>+IFERROR(VLOOKUP(Fact_Impuestos[[#This Row], 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ht="18.75" customHeight="1" x14ac:dyDescent="0.35">
      <c r="C775" s="100" t="str">
        <f>IF(OR(Fact_Impuestos[[#This Row], [Año]]="",Fact_Impuestos[[#This Row], [Mes]]=""),"",DATE(A775,MATCH(B775,{"enero","febrero","marzo","abril","mayo","junio","julio","agosto","septiembre","octubre","noviembre","diciembre"},0)+1,0))</f>
        <v/>
      </c>
      <c r="E775" t="str">
        <f>+IFERROR(VLOOKUP(Fact_Impuestos[[#This Row], [Concepto Anterior]],Conceptos_Impuestos[#All],5,0),"")</f>
        <v/>
      </c>
      <c r="F775" t="str">
        <f>+IFERROR(VLOOKUP(Fact_Impuestos[[#This Row], 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ht="18.75" customHeight="1" x14ac:dyDescent="0.35">
      <c r="C776" s="100" t="str">
        <f>IF(OR(Fact_Impuestos[[#This Row], [Año]]="",Fact_Impuestos[[#This Row], [Mes]]=""),"",DATE(A776,MATCH(B776,{"enero","febrero","marzo","abril","mayo","junio","julio","agosto","septiembre","octubre","noviembre","diciembre"},0)+1,0))</f>
        <v/>
      </c>
      <c r="E776" t="str">
        <f>+IFERROR(VLOOKUP(Fact_Impuestos[[#This Row], [Concepto Anterior]],Conceptos_Impuestos[#All],5,0),"")</f>
        <v/>
      </c>
      <c r="F776" t="str">
        <f>+IFERROR(VLOOKUP(Fact_Impuestos[[#This Row], 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ht="18.75" customHeight="1" x14ac:dyDescent="0.35">
      <c r="C777" s="100" t="str">
        <f>IF(OR(Fact_Impuestos[[#This Row], [Año]]="",Fact_Impuestos[[#This Row], [Mes]]=""),"",DATE(A777,MATCH(B777,{"enero","febrero","marzo","abril","mayo","junio","julio","agosto","septiembre","octubre","noviembre","diciembre"},0)+1,0))</f>
        <v/>
      </c>
      <c r="E777" t="str">
        <f>+IFERROR(VLOOKUP(Fact_Impuestos[[#This Row], [Concepto Anterior]],Conceptos_Impuestos[#All],5,0),"")</f>
        <v/>
      </c>
      <c r="F777" t="str">
        <f>+IFERROR(VLOOKUP(Fact_Impuestos[[#This Row], 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ht="18.75" customHeight="1" x14ac:dyDescent="0.35">
      <c r="C778" s="100" t="str">
        <f>IF(OR(Fact_Impuestos[[#This Row], [Año]]="",Fact_Impuestos[[#This Row], [Mes]]=""),"",DATE(A778,MATCH(B778,{"enero","febrero","marzo","abril","mayo","junio","julio","agosto","septiembre","octubre","noviembre","diciembre"},0)+1,0))</f>
        <v/>
      </c>
      <c r="E778" t="str">
        <f>+IFERROR(VLOOKUP(Fact_Impuestos[[#This Row], [Concepto Anterior]],Conceptos_Impuestos[#All],5,0),"")</f>
        <v/>
      </c>
      <c r="F778" t="str">
        <f>+IFERROR(VLOOKUP(Fact_Impuestos[[#This Row], 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ht="18.75" customHeight="1" x14ac:dyDescent="0.35">
      <c r="C779" s="100" t="str">
        <f>IF(OR(Fact_Impuestos[[#This Row], [Año]]="",Fact_Impuestos[[#This Row], [Mes]]=""),"",DATE(A779,MATCH(B779,{"enero","febrero","marzo","abril","mayo","junio","julio","agosto","septiembre","octubre","noviembre","diciembre"},0)+1,0))</f>
        <v/>
      </c>
      <c r="E779" t="str">
        <f>+IFERROR(VLOOKUP(Fact_Impuestos[[#This Row], [Concepto Anterior]],Conceptos_Impuestos[#All],5,0),"")</f>
        <v/>
      </c>
      <c r="F779" t="str">
        <f>+IFERROR(VLOOKUP(Fact_Impuestos[[#This Row], 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ht="18.75" customHeight="1" x14ac:dyDescent="0.35">
      <c r="C780" s="100" t="str">
        <f>IF(OR(Fact_Impuestos[[#This Row], [Año]]="",Fact_Impuestos[[#This Row], [Mes]]=""),"",DATE(A780,MATCH(B780,{"enero","febrero","marzo","abril","mayo","junio","julio","agosto","septiembre","octubre","noviembre","diciembre"},0)+1,0))</f>
        <v/>
      </c>
      <c r="E780" t="str">
        <f>+IFERROR(VLOOKUP(Fact_Impuestos[[#This Row], [Concepto Anterior]],Conceptos_Impuestos[#All],5,0),"")</f>
        <v/>
      </c>
      <c r="F780" t="str">
        <f>+IFERROR(VLOOKUP(Fact_Impuestos[[#This Row], 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ht="18.75" customHeight="1" x14ac:dyDescent="0.35">
      <c r="C781" s="100" t="str">
        <f>IF(OR(Fact_Impuestos[[#This Row], [Año]]="",Fact_Impuestos[[#This Row], [Mes]]=""),"",DATE(A781,MATCH(B781,{"enero","febrero","marzo","abril","mayo","junio","julio","agosto","septiembre","octubre","noviembre","diciembre"},0)+1,0))</f>
        <v/>
      </c>
      <c r="E781" t="str">
        <f>+IFERROR(VLOOKUP(Fact_Impuestos[[#This Row], [Concepto Anterior]],Conceptos_Impuestos[#All],5,0),"")</f>
        <v/>
      </c>
      <c r="F781" t="str">
        <f>+IFERROR(VLOOKUP(Fact_Impuestos[[#This Row], 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ht="18.75" customHeight="1" x14ac:dyDescent="0.35">
      <c r="C782" s="100" t="str">
        <f>IF(OR(Fact_Impuestos[[#This Row], [Año]]="",Fact_Impuestos[[#This Row], [Mes]]=""),"",DATE(A782,MATCH(B782,{"enero","febrero","marzo","abril","mayo","junio","julio","agosto","septiembre","octubre","noviembre","diciembre"},0)+1,0))</f>
        <v/>
      </c>
      <c r="E782" t="str">
        <f>+IFERROR(VLOOKUP(Fact_Impuestos[[#This Row], [Concepto Anterior]],Conceptos_Impuestos[#All],5,0),"")</f>
        <v/>
      </c>
      <c r="F782" t="str">
        <f>+IFERROR(VLOOKUP(Fact_Impuestos[[#This Row], 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ht="18.75" customHeight="1" x14ac:dyDescent="0.35">
      <c r="C783" s="100" t="str">
        <f>IF(OR(Fact_Impuestos[[#This Row], [Año]]="",Fact_Impuestos[[#This Row], [Mes]]=""),"",DATE(A783,MATCH(B783,{"enero","febrero","marzo","abril","mayo","junio","julio","agosto","septiembre","octubre","noviembre","diciembre"},0)+1,0))</f>
        <v/>
      </c>
      <c r="E783" t="str">
        <f>+IFERROR(VLOOKUP(Fact_Impuestos[[#This Row], [Concepto Anterior]],Conceptos_Impuestos[#All],5,0),"")</f>
        <v/>
      </c>
      <c r="F783" t="str">
        <f>+IFERROR(VLOOKUP(Fact_Impuestos[[#This Row], 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ht="18.75" customHeight="1" x14ac:dyDescent="0.35">
      <c r="C784" s="100" t="str">
        <f>IF(OR(Fact_Impuestos[[#This Row], [Año]]="",Fact_Impuestos[[#This Row], [Mes]]=""),"",DATE(A784,MATCH(B784,{"enero","febrero","marzo","abril","mayo","junio","julio","agosto","septiembre","octubre","noviembre","diciembre"},0)+1,0))</f>
        <v/>
      </c>
      <c r="E784" t="str">
        <f>+IFERROR(VLOOKUP(Fact_Impuestos[[#This Row], [Concepto Anterior]],Conceptos_Impuestos[#All],5,0),"")</f>
        <v/>
      </c>
      <c r="F784" t="str">
        <f>+IFERROR(VLOOKUP(Fact_Impuestos[[#This Row], 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ht="18.75" customHeight="1" x14ac:dyDescent="0.35">
      <c r="C785" s="100" t="str">
        <f>IF(OR(Fact_Impuestos[[#This Row], [Año]]="",Fact_Impuestos[[#This Row], [Mes]]=""),"",DATE(A785,MATCH(B785,{"enero","febrero","marzo","abril","mayo","junio","julio","agosto","septiembre","octubre","noviembre","diciembre"},0)+1,0))</f>
        <v/>
      </c>
      <c r="E785" t="str">
        <f>+IFERROR(VLOOKUP(Fact_Impuestos[[#This Row], [Concepto Anterior]],Conceptos_Impuestos[#All],5,0),"")</f>
        <v/>
      </c>
      <c r="F785" t="str">
        <f>+IFERROR(VLOOKUP(Fact_Impuestos[[#This Row], 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ht="18.75" customHeight="1" x14ac:dyDescent="0.35">
      <c r="C786" s="100" t="str">
        <f>IF(OR(Fact_Impuestos[[#This Row], [Año]]="",Fact_Impuestos[[#This Row], [Mes]]=""),"",DATE(A786,MATCH(B786,{"enero","febrero","marzo","abril","mayo","junio","julio","agosto","septiembre","octubre","noviembre","diciembre"},0)+1,0))</f>
        <v/>
      </c>
      <c r="E786" t="str">
        <f>+IFERROR(VLOOKUP(Fact_Impuestos[[#This Row], [Concepto Anterior]],Conceptos_Impuestos[#All],5,0),"")</f>
        <v/>
      </c>
      <c r="F786" t="str">
        <f>+IFERROR(VLOOKUP(Fact_Impuestos[[#This Row], 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ht="18.75" customHeight="1" x14ac:dyDescent="0.35">
      <c r="C787" s="100" t="str">
        <f>IF(OR(Fact_Impuestos[[#This Row], [Año]]="",Fact_Impuestos[[#This Row], [Mes]]=""),"",DATE(A787,MATCH(B787,{"enero","febrero","marzo","abril","mayo","junio","julio","agosto","septiembre","octubre","noviembre","diciembre"},0)+1,0))</f>
        <v/>
      </c>
      <c r="E787" t="str">
        <f>+IFERROR(VLOOKUP(Fact_Impuestos[[#This Row], [Concepto Anterior]],Conceptos_Impuestos[#All],5,0),"")</f>
        <v/>
      </c>
      <c r="F787" t="str">
        <f>+IFERROR(VLOOKUP(Fact_Impuestos[[#This Row], 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ht="18.75" customHeight="1" x14ac:dyDescent="0.35">
      <c r="C788" s="100" t="str">
        <f>IF(OR(Fact_Impuestos[[#This Row], [Año]]="",Fact_Impuestos[[#This Row], [Mes]]=""),"",DATE(A788,MATCH(B788,{"enero","febrero","marzo","abril","mayo","junio","julio","agosto","septiembre","octubre","noviembre","diciembre"},0)+1,0))</f>
        <v/>
      </c>
      <c r="E788" t="str">
        <f>+IFERROR(VLOOKUP(Fact_Impuestos[[#This Row], [Concepto Anterior]],Conceptos_Impuestos[#All],5,0),"")</f>
        <v/>
      </c>
      <c r="F788" t="str">
        <f>+IFERROR(VLOOKUP(Fact_Impuestos[[#This Row], 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ht="18.75" customHeight="1" x14ac:dyDescent="0.35">
      <c r="C789" s="100" t="str">
        <f>IF(OR(Fact_Impuestos[[#This Row], [Año]]="",Fact_Impuestos[[#This Row], [Mes]]=""),"",DATE(A789,MATCH(B789,{"enero","febrero","marzo","abril","mayo","junio","julio","agosto","septiembre","octubre","noviembre","diciembre"},0)+1,0))</f>
        <v/>
      </c>
      <c r="E789" t="str">
        <f>+IFERROR(VLOOKUP(Fact_Impuestos[[#This Row], [Concepto Anterior]],Conceptos_Impuestos[#All],5,0),"")</f>
        <v/>
      </c>
      <c r="F789" t="str">
        <f>+IFERROR(VLOOKUP(Fact_Impuestos[[#This Row], 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ht="18.75" customHeight="1" x14ac:dyDescent="0.35">
      <c r="C790" s="100" t="str">
        <f>IF(OR(Fact_Impuestos[[#This Row], [Año]]="",Fact_Impuestos[[#This Row], [Mes]]=""),"",DATE(A790,MATCH(B790,{"enero","febrero","marzo","abril","mayo","junio","julio","agosto","septiembre","octubre","noviembre","diciembre"},0)+1,0))</f>
        <v/>
      </c>
      <c r="E790" t="str">
        <f>+IFERROR(VLOOKUP(Fact_Impuestos[[#This Row], [Concepto Anterior]],Conceptos_Impuestos[#All],5,0),"")</f>
        <v/>
      </c>
      <c r="F790" t="str">
        <f>+IFERROR(VLOOKUP(Fact_Impuestos[[#This Row], 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ht="18.75" customHeight="1" x14ac:dyDescent="0.35">
      <c r="C791" s="100" t="str">
        <f>IF(OR(Fact_Impuestos[[#This Row], [Año]]="",Fact_Impuestos[[#This Row], [Mes]]=""),"",DATE(A791,MATCH(B791,{"enero","febrero","marzo","abril","mayo","junio","julio","agosto","septiembre","octubre","noviembre","diciembre"},0)+1,0))</f>
        <v/>
      </c>
      <c r="E791" t="str">
        <f>+IFERROR(VLOOKUP(Fact_Impuestos[[#This Row], [Concepto Anterior]],Conceptos_Impuestos[#All],5,0),"")</f>
        <v/>
      </c>
      <c r="F791" t="str">
        <f>+IFERROR(VLOOKUP(Fact_Impuestos[[#This Row], 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ht="18.75" customHeight="1" x14ac:dyDescent="0.35">
      <c r="C792" s="100" t="str">
        <f>IF(OR(Fact_Impuestos[[#This Row], [Año]]="",Fact_Impuestos[[#This Row], [Mes]]=""),"",DATE(A792,MATCH(B792,{"enero","febrero","marzo","abril","mayo","junio","julio","agosto","septiembre","octubre","noviembre","diciembre"},0)+1,0))</f>
        <v/>
      </c>
      <c r="E792" t="str">
        <f>+IFERROR(VLOOKUP(Fact_Impuestos[[#This Row], [Concepto Anterior]],Conceptos_Impuestos[#All],5,0),"")</f>
        <v/>
      </c>
      <c r="F792" t="str">
        <f>+IFERROR(VLOOKUP(Fact_Impuestos[[#This Row], 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ht="18.75" customHeight="1" x14ac:dyDescent="0.35">
      <c r="C793" s="100" t="str">
        <f>IF(OR(Fact_Impuestos[[#This Row], [Año]]="",Fact_Impuestos[[#This Row], [Mes]]=""),"",DATE(A793,MATCH(B793,{"enero","febrero","marzo","abril","mayo","junio","julio","agosto","septiembre","octubre","noviembre","diciembre"},0)+1,0))</f>
        <v/>
      </c>
      <c r="E793" t="str">
        <f>+IFERROR(VLOOKUP(Fact_Impuestos[[#This Row], [Concepto Anterior]],Conceptos_Impuestos[#All],5,0),"")</f>
        <v/>
      </c>
      <c r="F793" t="str">
        <f>+IFERROR(VLOOKUP(Fact_Impuestos[[#This Row], 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ht="18.75" customHeight="1" x14ac:dyDescent="0.35">
      <c r="C794" s="100" t="str">
        <f>IF(OR(Fact_Impuestos[[#This Row], [Año]]="",Fact_Impuestos[[#This Row], [Mes]]=""),"",DATE(A794,MATCH(B794,{"enero","febrero","marzo","abril","mayo","junio","julio","agosto","septiembre","octubre","noviembre","diciembre"},0)+1,0))</f>
        <v/>
      </c>
      <c r="E794" t="str">
        <f>+IFERROR(VLOOKUP(Fact_Impuestos[[#This Row], [Concepto Anterior]],Conceptos_Impuestos[#All],5,0),"")</f>
        <v/>
      </c>
      <c r="F794" t="str">
        <f>+IFERROR(VLOOKUP(Fact_Impuestos[[#This Row], 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ht="18.75" customHeight="1" x14ac:dyDescent="0.35">
      <c r="C795" s="100" t="str">
        <f>IF(OR(Fact_Impuestos[[#This Row], [Año]]="",Fact_Impuestos[[#This Row], [Mes]]=""),"",DATE(A795,MATCH(B795,{"enero","febrero","marzo","abril","mayo","junio","julio","agosto","septiembre","octubre","noviembre","diciembre"},0)+1,0))</f>
        <v/>
      </c>
      <c r="E795" t="str">
        <f>+IFERROR(VLOOKUP(Fact_Impuestos[[#This Row], [Concepto Anterior]],Conceptos_Impuestos[#All],5,0),"")</f>
        <v/>
      </c>
      <c r="F795" t="str">
        <f>+IFERROR(VLOOKUP(Fact_Impuestos[[#This Row], 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ht="18.75" customHeight="1" x14ac:dyDescent="0.35">
      <c r="C796" s="100" t="str">
        <f>IF(OR(Fact_Impuestos[[#This Row], [Año]]="",Fact_Impuestos[[#This Row], [Mes]]=""),"",DATE(A796,MATCH(B796,{"enero","febrero","marzo","abril","mayo","junio","julio","agosto","septiembre","octubre","noviembre","diciembre"},0)+1,0))</f>
        <v/>
      </c>
      <c r="E796" t="str">
        <f>+IFERROR(VLOOKUP(Fact_Impuestos[[#This Row], [Concepto Anterior]],Conceptos_Impuestos[#All],5,0),"")</f>
        <v/>
      </c>
      <c r="F796" t="str">
        <f>+IFERROR(VLOOKUP(Fact_Impuestos[[#This Row], 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ht="18.75" customHeight="1" x14ac:dyDescent="0.35">
      <c r="C797" s="100" t="str">
        <f>IF(OR(Fact_Impuestos[[#This Row], [Año]]="",Fact_Impuestos[[#This Row], [Mes]]=""),"",DATE(A797,MATCH(B797,{"enero","febrero","marzo","abril","mayo","junio","julio","agosto","septiembre","octubre","noviembre","diciembre"},0)+1,0))</f>
        <v/>
      </c>
      <c r="E797" t="str">
        <f>+IFERROR(VLOOKUP(Fact_Impuestos[[#This Row], [Concepto Anterior]],Conceptos_Impuestos[#All],5,0),"")</f>
        <v/>
      </c>
      <c r="F797" t="str">
        <f>+IFERROR(VLOOKUP(Fact_Impuestos[[#This Row], 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ht="18.75" customHeight="1" x14ac:dyDescent="0.35">
      <c r="C798" s="100" t="str">
        <f>IF(OR(Fact_Impuestos[[#This Row], [Año]]="",Fact_Impuestos[[#This Row], [Mes]]=""),"",DATE(A798,MATCH(B798,{"enero","febrero","marzo","abril","mayo","junio","julio","agosto","septiembre","octubre","noviembre","diciembre"},0)+1,0))</f>
        <v/>
      </c>
      <c r="E798" t="str">
        <f>+IFERROR(VLOOKUP(Fact_Impuestos[[#This Row], [Concepto Anterior]],Conceptos_Impuestos[#All],5,0),"")</f>
        <v/>
      </c>
      <c r="F798" t="str">
        <f>+IFERROR(VLOOKUP(Fact_Impuestos[[#This Row], 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ht="18.75" customHeight="1" x14ac:dyDescent="0.35">
      <c r="C799" s="100" t="str">
        <f>IF(OR(Fact_Impuestos[[#This Row], [Año]]="",Fact_Impuestos[[#This Row], [Mes]]=""),"",DATE(A799,MATCH(B799,{"enero","febrero","marzo","abril","mayo","junio","julio","agosto","septiembre","octubre","noviembre","diciembre"},0)+1,0))</f>
        <v/>
      </c>
      <c r="E799" t="str">
        <f>+IFERROR(VLOOKUP(Fact_Impuestos[[#This Row], [Concepto Anterior]],Conceptos_Impuestos[#All],5,0),"")</f>
        <v/>
      </c>
      <c r="F799" t="str">
        <f>+IFERROR(VLOOKUP(Fact_Impuestos[[#This Row], 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ht="18.75" customHeight="1" x14ac:dyDescent="0.35">
      <c r="C800" s="100" t="str">
        <f>IF(OR(Fact_Impuestos[[#This Row], [Año]]="",Fact_Impuestos[[#This Row], [Mes]]=""),"",DATE(A800,MATCH(B800,{"enero","febrero","marzo","abril","mayo","junio","julio","agosto","septiembre","octubre","noviembre","diciembre"},0)+1,0))</f>
        <v/>
      </c>
      <c r="E800" t="str">
        <f>+IFERROR(VLOOKUP(Fact_Impuestos[[#This Row], [Concepto Anterior]],Conceptos_Impuestos[#All],5,0),"")</f>
        <v/>
      </c>
      <c r="F800" t="str">
        <f>+IFERROR(VLOOKUP(Fact_Impuestos[[#This Row], 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ht="18.75" customHeight="1" x14ac:dyDescent="0.35">
      <c r="C801" s="100" t="str">
        <f>IF(OR(Fact_Impuestos[[#This Row], [Año]]="",Fact_Impuestos[[#This Row], [Mes]]=""),"",DATE(A801,MATCH(B801,{"enero","febrero","marzo","abril","mayo","junio","julio","agosto","septiembre","octubre","noviembre","diciembre"},0)+1,0))</f>
        <v/>
      </c>
      <c r="E801" t="str">
        <f>+IFERROR(VLOOKUP(Fact_Impuestos[[#This Row], [Concepto Anterior]],Conceptos_Impuestos[#All],5,0),"")</f>
        <v/>
      </c>
      <c r="F801" t="str">
        <f>+IFERROR(VLOOKUP(Fact_Impuestos[[#This Row], 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ht="18.75" customHeight="1" x14ac:dyDescent="0.35">
      <c r="C802" s="100" t="str">
        <f>IF(OR(Fact_Impuestos[[#This Row], [Año]]="",Fact_Impuestos[[#This Row], [Mes]]=""),"",DATE(A802,MATCH(B802,{"enero","febrero","marzo","abril","mayo","junio","julio","agosto","septiembre","octubre","noviembre","diciembre"},0)+1,0))</f>
        <v/>
      </c>
      <c r="E802" t="str">
        <f>+IFERROR(VLOOKUP(Fact_Impuestos[[#This Row], [Concepto Anterior]],Conceptos_Impuestos[#All],5,0),"")</f>
        <v/>
      </c>
      <c r="F802" t="str">
        <f>+IFERROR(VLOOKUP(Fact_Impuestos[[#This Row], 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ht="18.75" customHeight="1" x14ac:dyDescent="0.35">
      <c r="C803" s="100" t="str">
        <f>IF(OR(Fact_Impuestos[[#This Row], [Año]]="",Fact_Impuestos[[#This Row], [Mes]]=""),"",DATE(A803,MATCH(B803,{"enero","febrero","marzo","abril","mayo","junio","julio","agosto","septiembre","octubre","noviembre","diciembre"},0)+1,0))</f>
        <v/>
      </c>
      <c r="E803" t="str">
        <f>+IFERROR(VLOOKUP(Fact_Impuestos[[#This Row], [Concepto Anterior]],Conceptos_Impuestos[#All],5,0),"")</f>
        <v/>
      </c>
      <c r="F803" t="str">
        <f>+IFERROR(VLOOKUP(Fact_Impuestos[[#This Row], 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ht="18.75" customHeight="1" x14ac:dyDescent="0.35">
      <c r="C804" s="100" t="str">
        <f>IF(OR(Fact_Impuestos[[#This Row], [Año]]="",Fact_Impuestos[[#This Row], [Mes]]=""),"",DATE(A804,MATCH(B804,{"enero","febrero","marzo","abril","mayo","junio","julio","agosto","septiembre","octubre","noviembre","diciembre"},0)+1,0))</f>
        <v/>
      </c>
      <c r="E804" t="str">
        <f>+IFERROR(VLOOKUP(Fact_Impuestos[[#This Row], [Concepto Anterior]],Conceptos_Impuestos[#All],5,0),"")</f>
        <v/>
      </c>
      <c r="F804" t="str">
        <f>+IFERROR(VLOOKUP(Fact_Impuestos[[#This Row], 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ht="18.75" customHeight="1" x14ac:dyDescent="0.35">
      <c r="C805" s="100" t="str">
        <f>IF(OR(Fact_Impuestos[[#This Row], [Año]]="",Fact_Impuestos[[#This Row], [Mes]]=""),"",DATE(A805,MATCH(B805,{"enero","febrero","marzo","abril","mayo","junio","julio","agosto","septiembre","octubre","noviembre","diciembre"},0)+1,0))</f>
        <v/>
      </c>
      <c r="E805" t="str">
        <f>+IFERROR(VLOOKUP(Fact_Impuestos[[#This Row], [Concepto Anterior]],Conceptos_Impuestos[#All],5,0),"")</f>
        <v/>
      </c>
      <c r="F805" t="str">
        <f>+IFERROR(VLOOKUP(Fact_Impuestos[[#This Row], 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ht="18.75" customHeight="1" x14ac:dyDescent="0.35">
      <c r="C806" s="100" t="str">
        <f>IF(OR(Fact_Impuestos[[#This Row], [Año]]="",Fact_Impuestos[[#This Row], [Mes]]=""),"",DATE(A806,MATCH(B806,{"enero","febrero","marzo","abril","mayo","junio","julio","agosto","septiembre","octubre","noviembre","diciembre"},0)+1,0))</f>
        <v/>
      </c>
      <c r="E806" t="str">
        <f>+IFERROR(VLOOKUP(Fact_Impuestos[[#This Row], [Concepto Anterior]],Conceptos_Impuestos[#All],5,0),"")</f>
        <v/>
      </c>
      <c r="F806" t="str">
        <f>+IFERROR(VLOOKUP(Fact_Impuestos[[#This Row], 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ht="18.75" customHeight="1" x14ac:dyDescent="0.35">
      <c r="C807" s="100" t="str">
        <f>IF(OR(Fact_Impuestos[[#This Row], [Año]]="",Fact_Impuestos[[#This Row], [Mes]]=""),"",DATE(A807,MATCH(B807,{"enero","febrero","marzo","abril","mayo","junio","julio","agosto","septiembre","octubre","noviembre","diciembre"},0)+1,0))</f>
        <v/>
      </c>
      <c r="E807" t="str">
        <f>+IFERROR(VLOOKUP(Fact_Impuestos[[#This Row], [Concepto Anterior]],Conceptos_Impuestos[#All],5,0),"")</f>
        <v/>
      </c>
      <c r="F807" t="str">
        <f>+IFERROR(VLOOKUP(Fact_Impuestos[[#This Row], 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ht="18.75" customHeight="1" x14ac:dyDescent="0.35">
      <c r="C808" s="100" t="str">
        <f>IF(OR(Fact_Impuestos[[#This Row], [Año]]="",Fact_Impuestos[[#This Row], [Mes]]=""),"",DATE(A808,MATCH(B808,{"enero","febrero","marzo","abril","mayo","junio","julio","agosto","septiembre","octubre","noviembre","diciembre"},0)+1,0))</f>
        <v/>
      </c>
      <c r="E808" t="str">
        <f>+IFERROR(VLOOKUP(Fact_Impuestos[[#This Row], [Concepto Anterior]],Conceptos_Impuestos[#All],5,0),"")</f>
        <v/>
      </c>
      <c r="F808" t="str">
        <f>+IFERROR(VLOOKUP(Fact_Impuestos[[#This Row], 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ht="18.75" customHeight="1" x14ac:dyDescent="0.35">
      <c r="C809" s="100" t="str">
        <f>IF(OR(Fact_Impuestos[[#This Row], [Año]]="",Fact_Impuestos[[#This Row], [Mes]]=""),"",DATE(A809,MATCH(B809,{"enero","febrero","marzo","abril","mayo","junio","julio","agosto","septiembre","octubre","noviembre","diciembre"},0)+1,0))</f>
        <v/>
      </c>
      <c r="E809" t="str">
        <f>+IFERROR(VLOOKUP(Fact_Impuestos[[#This Row], [Concepto Anterior]],Conceptos_Impuestos[#All],5,0),"")</f>
        <v/>
      </c>
      <c r="F809" t="str">
        <f>+IFERROR(VLOOKUP(Fact_Impuestos[[#This Row], 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ht="18.75" customHeight="1" x14ac:dyDescent="0.35">
      <c r="C810" s="100" t="str">
        <f>IF(OR(Fact_Impuestos[[#This Row], [Año]]="",Fact_Impuestos[[#This Row], [Mes]]=""),"",DATE(A810,MATCH(B810,{"enero","febrero","marzo","abril","mayo","junio","julio","agosto","septiembre","octubre","noviembre","diciembre"},0)+1,0))</f>
        <v/>
      </c>
      <c r="E810" t="str">
        <f>+IFERROR(VLOOKUP(Fact_Impuestos[[#This Row], [Concepto Anterior]],Conceptos_Impuestos[#All],5,0),"")</f>
        <v/>
      </c>
      <c r="F810" t="str">
        <f>+IFERROR(VLOOKUP(Fact_Impuestos[[#This Row], 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ht="18.75" customHeight="1" x14ac:dyDescent="0.35">
      <c r="C811" s="100" t="str">
        <f>IF(OR(Fact_Impuestos[[#This Row], [Año]]="",Fact_Impuestos[[#This Row], [Mes]]=""),"",DATE(A811,MATCH(B811,{"enero","febrero","marzo","abril","mayo","junio","julio","agosto","septiembre","octubre","noviembre","diciembre"},0)+1,0))</f>
        <v/>
      </c>
      <c r="E811" t="str">
        <f>+IFERROR(VLOOKUP(Fact_Impuestos[[#This Row], [Concepto Anterior]],Conceptos_Impuestos[#All],5,0),"")</f>
        <v/>
      </c>
      <c r="F811" t="str">
        <f>+IFERROR(VLOOKUP(Fact_Impuestos[[#This Row], 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ht="18.75" customHeight="1" x14ac:dyDescent="0.35">
      <c r="C812" s="100" t="str">
        <f>IF(OR(Fact_Impuestos[[#This Row], [Año]]="",Fact_Impuestos[[#This Row], [Mes]]=""),"",DATE(A812,MATCH(B812,{"enero","febrero","marzo","abril","mayo","junio","julio","agosto","septiembre","octubre","noviembre","diciembre"},0)+1,0))</f>
        <v/>
      </c>
      <c r="E812" t="str">
        <f>+IFERROR(VLOOKUP(Fact_Impuestos[[#This Row], [Concepto Anterior]],Conceptos_Impuestos[#All],5,0),"")</f>
        <v/>
      </c>
      <c r="F812" t="str">
        <f>+IFERROR(VLOOKUP(Fact_Impuestos[[#This Row], 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ht="18.75" customHeight="1" x14ac:dyDescent="0.35">
      <c r="C813" s="100" t="str">
        <f>IF(OR(Fact_Impuestos[[#This Row], [Año]]="",Fact_Impuestos[[#This Row], [Mes]]=""),"",DATE(A813,MATCH(B813,{"enero","febrero","marzo","abril","mayo","junio","julio","agosto","septiembre","octubre","noviembre","diciembre"},0)+1,0))</f>
        <v/>
      </c>
      <c r="E813" t="str">
        <f>+IFERROR(VLOOKUP(Fact_Impuestos[[#This Row], [Concepto Anterior]],Conceptos_Impuestos[#All],5,0),"")</f>
        <v/>
      </c>
      <c r="F813" t="str">
        <f>+IFERROR(VLOOKUP(Fact_Impuestos[[#This Row], 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ht="18.75" customHeight="1" x14ac:dyDescent="0.35">
      <c r="C814" s="100" t="str">
        <f>IF(OR(Fact_Impuestos[[#This Row], [Año]]="",Fact_Impuestos[[#This Row], [Mes]]=""),"",DATE(A814,MATCH(B814,{"enero","febrero","marzo","abril","mayo","junio","julio","agosto","septiembre","octubre","noviembre","diciembre"},0)+1,0))</f>
        <v/>
      </c>
      <c r="E814" t="str">
        <f>+IFERROR(VLOOKUP(Fact_Impuestos[[#This Row], [Concepto Anterior]],Conceptos_Impuestos[#All],5,0),"")</f>
        <v/>
      </c>
      <c r="F814" t="str">
        <f>+IFERROR(VLOOKUP(Fact_Impuestos[[#This Row], 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ht="18.75" customHeight="1" x14ac:dyDescent="0.35">
      <c r="C815" s="100" t="str">
        <f>IF(OR(Fact_Impuestos[[#This Row], [Año]]="",Fact_Impuestos[[#This Row], [Mes]]=""),"",DATE(A815,MATCH(B815,{"enero","febrero","marzo","abril","mayo","junio","julio","agosto","septiembre","octubre","noviembre","diciembre"},0)+1,0))</f>
        <v/>
      </c>
      <c r="E815" t="str">
        <f>+IFERROR(VLOOKUP(Fact_Impuestos[[#This Row], [Concepto Anterior]],Conceptos_Impuestos[#All],5,0),"")</f>
        <v/>
      </c>
      <c r="F815" t="str">
        <f>+IFERROR(VLOOKUP(Fact_Impuestos[[#This Row], 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ht="18.75" customHeight="1" x14ac:dyDescent="0.35">
      <c r="C816" s="100" t="str">
        <f>IF(OR(Fact_Impuestos[[#This Row], [Año]]="",Fact_Impuestos[[#This Row], [Mes]]=""),"",DATE(A816,MATCH(B816,{"enero","febrero","marzo","abril","mayo","junio","julio","agosto","septiembre","octubre","noviembre","diciembre"},0)+1,0))</f>
        <v/>
      </c>
      <c r="E816" t="str">
        <f>+IFERROR(VLOOKUP(Fact_Impuestos[[#This Row], [Concepto Anterior]],Conceptos_Impuestos[#All],5,0),"")</f>
        <v/>
      </c>
      <c r="F816" t="str">
        <f>+IFERROR(VLOOKUP(Fact_Impuestos[[#This Row], 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ht="18.75" customHeight="1" x14ac:dyDescent="0.35">
      <c r="C817" s="100" t="str">
        <f>IF(OR(Fact_Impuestos[[#This Row], [Año]]="",Fact_Impuestos[[#This Row], [Mes]]=""),"",DATE(A817,MATCH(B817,{"enero","febrero","marzo","abril","mayo","junio","julio","agosto","septiembre","octubre","noviembre","diciembre"},0)+1,0))</f>
        <v/>
      </c>
      <c r="E817" t="str">
        <f>+IFERROR(VLOOKUP(Fact_Impuestos[[#This Row], [Concepto Anterior]],Conceptos_Impuestos[#All],5,0),"")</f>
        <v/>
      </c>
      <c r="F817" t="str">
        <f>+IFERROR(VLOOKUP(Fact_Impuestos[[#This Row], 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ht="18.75" customHeight="1" x14ac:dyDescent="0.35">
      <c r="C818" s="100" t="str">
        <f>IF(OR(Fact_Impuestos[[#This Row], [Año]]="",Fact_Impuestos[[#This Row], [Mes]]=""),"",DATE(A818,MATCH(B818,{"enero","febrero","marzo","abril","mayo","junio","julio","agosto","septiembre","octubre","noviembre","diciembre"},0)+1,0))</f>
        <v/>
      </c>
      <c r="E818" t="str">
        <f>+IFERROR(VLOOKUP(Fact_Impuestos[[#This Row], [Concepto Anterior]],Conceptos_Impuestos[#All],5,0),"")</f>
        <v/>
      </c>
      <c r="F818" t="str">
        <f>+IFERROR(VLOOKUP(Fact_Impuestos[[#This Row], 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ht="18.75" customHeight="1" x14ac:dyDescent="0.35">
      <c r="C819" s="100" t="str">
        <f>IF(OR(Fact_Impuestos[[#This Row], [Año]]="",Fact_Impuestos[[#This Row], [Mes]]=""),"",DATE(A819,MATCH(B819,{"enero","febrero","marzo","abril","mayo","junio","julio","agosto","septiembre","octubre","noviembre","diciembre"},0)+1,0))</f>
        <v/>
      </c>
      <c r="E819" t="str">
        <f>+IFERROR(VLOOKUP(Fact_Impuestos[[#This Row], [Concepto Anterior]],Conceptos_Impuestos[#All],5,0),"")</f>
        <v/>
      </c>
      <c r="F819" t="str">
        <f>+IFERROR(VLOOKUP(Fact_Impuestos[[#This Row], 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ht="18.75" customHeight="1" x14ac:dyDescent="0.35">
      <c r="C820" s="100" t="str">
        <f>IF(OR(Fact_Impuestos[[#This Row], [Año]]="",Fact_Impuestos[[#This Row], [Mes]]=""),"",DATE(A820,MATCH(B820,{"enero","febrero","marzo","abril","mayo","junio","julio","agosto","septiembre","octubre","noviembre","diciembre"},0)+1,0))</f>
        <v/>
      </c>
      <c r="E820" t="str">
        <f>+IFERROR(VLOOKUP(Fact_Impuestos[[#This Row], [Concepto Anterior]],Conceptos_Impuestos[#All],5,0),"")</f>
        <v/>
      </c>
      <c r="F820" t="str">
        <f>+IFERROR(VLOOKUP(Fact_Impuestos[[#This Row], 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ht="18.75" customHeight="1" x14ac:dyDescent="0.35">
      <c r="C821" s="100" t="str">
        <f>IF(OR(Fact_Impuestos[[#This Row], [Año]]="",Fact_Impuestos[[#This Row], [Mes]]=""),"",DATE(A821,MATCH(B821,{"enero","febrero","marzo","abril","mayo","junio","julio","agosto","septiembre","octubre","noviembre","diciembre"},0)+1,0))</f>
        <v/>
      </c>
      <c r="E821" t="str">
        <f>+IFERROR(VLOOKUP(Fact_Impuestos[[#This Row], [Concepto Anterior]],Conceptos_Impuestos[#All],5,0),"")</f>
        <v/>
      </c>
      <c r="F821" t="str">
        <f>+IFERROR(VLOOKUP(Fact_Impuestos[[#This Row], 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ht="18.75" customHeight="1" x14ac:dyDescent="0.35">
      <c r="C822" s="100" t="str">
        <f>IF(OR(Fact_Impuestos[[#This Row], [Año]]="",Fact_Impuestos[[#This Row], [Mes]]=""),"",DATE(A822,MATCH(B822,{"enero","febrero","marzo","abril","mayo","junio","julio","agosto","septiembre","octubre","noviembre","diciembre"},0)+1,0))</f>
        <v/>
      </c>
      <c r="E822" t="str">
        <f>+IFERROR(VLOOKUP(Fact_Impuestos[[#This Row], [Concepto Anterior]],Conceptos_Impuestos[#All],5,0),"")</f>
        <v/>
      </c>
      <c r="F822" t="str">
        <f>+IFERROR(VLOOKUP(Fact_Impuestos[[#This Row], 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ht="18.75" customHeight="1" x14ac:dyDescent="0.35">
      <c r="C823" s="100" t="str">
        <f>IF(OR(Fact_Impuestos[[#This Row], [Año]]="",Fact_Impuestos[[#This Row], [Mes]]=""),"",DATE(A823,MATCH(B823,{"enero","febrero","marzo","abril","mayo","junio","julio","agosto","septiembre","octubre","noviembre","diciembre"},0)+1,0))</f>
        <v/>
      </c>
      <c r="E823" t="str">
        <f>+IFERROR(VLOOKUP(Fact_Impuestos[[#This Row], [Concepto Anterior]],Conceptos_Impuestos[#All],5,0),"")</f>
        <v/>
      </c>
      <c r="F823" t="str">
        <f>+IFERROR(VLOOKUP(Fact_Impuestos[[#This Row], 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ht="18.75" customHeight="1" x14ac:dyDescent="0.35">
      <c r="C824" s="100" t="str">
        <f>IF(OR(Fact_Impuestos[[#This Row], [Año]]="",Fact_Impuestos[[#This Row], [Mes]]=""),"",DATE(A824,MATCH(B824,{"enero","febrero","marzo","abril","mayo","junio","julio","agosto","septiembre","octubre","noviembre","diciembre"},0)+1,0))</f>
        <v/>
      </c>
      <c r="E824" t="str">
        <f>+IFERROR(VLOOKUP(Fact_Impuestos[[#This Row], [Concepto Anterior]],Conceptos_Impuestos[#All],5,0),"")</f>
        <v/>
      </c>
      <c r="F824" t="str">
        <f>+IFERROR(VLOOKUP(Fact_Impuestos[[#This Row], 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ht="18.75" customHeight="1" x14ac:dyDescent="0.35">
      <c r="C825" s="100" t="str">
        <f>IF(OR(Fact_Impuestos[[#This Row], [Año]]="",Fact_Impuestos[[#This Row], [Mes]]=""),"",DATE(A825,MATCH(B825,{"enero","febrero","marzo","abril","mayo","junio","julio","agosto","septiembre","octubre","noviembre","diciembre"},0)+1,0))</f>
        <v/>
      </c>
      <c r="E825" t="str">
        <f>+IFERROR(VLOOKUP(Fact_Impuestos[[#This Row], [Concepto Anterior]],Conceptos_Impuestos[#All],5,0),"")</f>
        <v/>
      </c>
      <c r="F825" t="str">
        <f>+IFERROR(VLOOKUP(Fact_Impuestos[[#This Row], 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ht="18.75" customHeight="1" x14ac:dyDescent="0.35">
      <c r="C826" s="100" t="str">
        <f>IF(OR(Fact_Impuestos[[#This Row], [Año]]="",Fact_Impuestos[[#This Row], [Mes]]=""),"",DATE(A826,MATCH(B826,{"enero","febrero","marzo","abril","mayo","junio","julio","agosto","septiembre","octubre","noviembre","diciembre"},0)+1,0))</f>
        <v/>
      </c>
      <c r="E826" t="str">
        <f>+IFERROR(VLOOKUP(Fact_Impuestos[[#This Row], [Concepto Anterior]],Conceptos_Impuestos[#All],5,0),"")</f>
        <v/>
      </c>
      <c r="F826" t="str">
        <f>+IFERROR(VLOOKUP(Fact_Impuestos[[#This Row], 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ht="18.75" customHeight="1" x14ac:dyDescent="0.35">
      <c r="C827" s="100" t="str">
        <f>IF(OR(Fact_Impuestos[[#This Row], [Año]]="",Fact_Impuestos[[#This Row], [Mes]]=""),"",DATE(A827,MATCH(B827,{"enero","febrero","marzo","abril","mayo","junio","julio","agosto","septiembre","octubre","noviembre","diciembre"},0)+1,0))</f>
        <v/>
      </c>
      <c r="E827" t="str">
        <f>+IFERROR(VLOOKUP(Fact_Impuestos[[#This Row], [Concepto Anterior]],Conceptos_Impuestos[#All],5,0),"")</f>
        <v/>
      </c>
      <c r="F827" t="str">
        <f>+IFERROR(VLOOKUP(Fact_Impuestos[[#This Row], 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ht="18.75" customHeight="1" x14ac:dyDescent="0.35">
      <c r="C828" s="100" t="str">
        <f>IF(OR(Fact_Impuestos[[#This Row], [Año]]="",Fact_Impuestos[[#This Row], [Mes]]=""),"",DATE(A828,MATCH(B828,{"enero","febrero","marzo","abril","mayo","junio","julio","agosto","septiembre","octubre","noviembre","diciembre"},0)+1,0))</f>
        <v/>
      </c>
      <c r="E828" t="str">
        <f>+IFERROR(VLOOKUP(Fact_Impuestos[[#This Row], [Concepto Anterior]],Conceptos_Impuestos[#All],5,0),"")</f>
        <v/>
      </c>
      <c r="F828" t="str">
        <f>+IFERROR(VLOOKUP(Fact_Impuestos[[#This Row], 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ht="18.75" customHeight="1" x14ac:dyDescent="0.35">
      <c r="C829" s="100" t="str">
        <f>IF(OR(Fact_Impuestos[[#This Row], [Año]]="",Fact_Impuestos[[#This Row], [Mes]]=""),"",DATE(A829,MATCH(B829,{"enero","febrero","marzo","abril","mayo","junio","julio","agosto","septiembre","octubre","noviembre","diciembre"},0)+1,0))</f>
        <v/>
      </c>
      <c r="E829" t="str">
        <f>+IFERROR(VLOOKUP(Fact_Impuestos[[#This Row], [Concepto Anterior]],Conceptos_Impuestos[#All],5,0),"")</f>
        <v/>
      </c>
      <c r="F829" t="str">
        <f>+IFERROR(VLOOKUP(Fact_Impuestos[[#This Row], 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ht="18.75" customHeight="1" x14ac:dyDescent="0.35">
      <c r="C830" s="100" t="str">
        <f>IF(OR(Fact_Impuestos[[#This Row], [Año]]="",Fact_Impuestos[[#This Row], [Mes]]=""),"",DATE(A830,MATCH(B830,{"enero","febrero","marzo","abril","mayo","junio","julio","agosto","septiembre","octubre","noviembre","diciembre"},0)+1,0))</f>
        <v/>
      </c>
      <c r="E830" t="str">
        <f>+IFERROR(VLOOKUP(Fact_Impuestos[[#This Row], [Concepto Anterior]],Conceptos_Impuestos[#All],5,0),"")</f>
        <v/>
      </c>
      <c r="F830" t="str">
        <f>+IFERROR(VLOOKUP(Fact_Impuestos[[#This Row], 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ht="18.75" customHeight="1" x14ac:dyDescent="0.35">
      <c r="C831" s="100" t="str">
        <f>IF(OR(Fact_Impuestos[[#This Row], [Año]]="",Fact_Impuestos[[#This Row], [Mes]]=""),"",DATE(A831,MATCH(B831,{"enero","febrero","marzo","abril","mayo","junio","julio","agosto","septiembre","octubre","noviembre","diciembre"},0)+1,0))</f>
        <v/>
      </c>
      <c r="E831" t="str">
        <f>+IFERROR(VLOOKUP(Fact_Impuestos[[#This Row], [Concepto Anterior]],Conceptos_Impuestos[#All],5,0),"")</f>
        <v/>
      </c>
      <c r="F831" t="str">
        <f>+IFERROR(VLOOKUP(Fact_Impuestos[[#This Row], 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ht="18.75" customHeight="1" x14ac:dyDescent="0.35">
      <c r="C832" s="100" t="str">
        <f>IF(OR(Fact_Impuestos[[#This Row], [Año]]="",Fact_Impuestos[[#This Row], [Mes]]=""),"",DATE(A832,MATCH(B832,{"enero","febrero","marzo","abril","mayo","junio","julio","agosto","septiembre","octubre","noviembre","diciembre"},0)+1,0))</f>
        <v/>
      </c>
      <c r="E832" t="str">
        <f>+IFERROR(VLOOKUP(Fact_Impuestos[[#This Row], [Concepto Anterior]],Conceptos_Impuestos[#All],5,0),"")</f>
        <v/>
      </c>
      <c r="F832" t="str">
        <f>+IFERROR(VLOOKUP(Fact_Impuestos[[#This Row], 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ht="18.75" customHeight="1" x14ac:dyDescent="0.35">
      <c r="C833" s="100" t="str">
        <f>IF(OR(Fact_Impuestos[[#This Row], [Año]]="",Fact_Impuestos[[#This Row], [Mes]]=""),"",DATE(A833,MATCH(B833,{"enero","febrero","marzo","abril","mayo","junio","julio","agosto","septiembre","octubre","noviembre","diciembre"},0)+1,0))</f>
        <v/>
      </c>
      <c r="E833" t="str">
        <f>+IFERROR(VLOOKUP(Fact_Impuestos[[#This Row], [Concepto Anterior]],Conceptos_Impuestos[#All],5,0),"")</f>
        <v/>
      </c>
      <c r="F833" t="str">
        <f>+IFERROR(VLOOKUP(Fact_Impuestos[[#This Row], 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ht="18.75" customHeight="1" x14ac:dyDescent="0.35">
      <c r="C834" s="100" t="str">
        <f>IF(OR(Fact_Impuestos[[#This Row], [Año]]="",Fact_Impuestos[[#This Row], [Mes]]=""),"",DATE(A834,MATCH(B834,{"enero","febrero","marzo","abril","mayo","junio","julio","agosto","septiembre","octubre","noviembre","diciembre"},0)+1,0))</f>
        <v/>
      </c>
      <c r="E834" t="str">
        <f>+IFERROR(VLOOKUP(Fact_Impuestos[[#This Row], [Concepto Anterior]],Conceptos_Impuestos[#All],5,0),"")</f>
        <v/>
      </c>
      <c r="F834" t="str">
        <f>+IFERROR(VLOOKUP(Fact_Impuestos[[#This Row], 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ht="18.75" customHeight="1" x14ac:dyDescent="0.35">
      <c r="C835" s="100" t="str">
        <f>IF(OR(Fact_Impuestos[[#This Row], [Año]]="",Fact_Impuestos[[#This Row], [Mes]]=""),"",DATE(A835,MATCH(B835,{"enero","febrero","marzo","abril","mayo","junio","julio","agosto","septiembre","octubre","noviembre","diciembre"},0)+1,0))</f>
        <v/>
      </c>
      <c r="E835" t="str">
        <f>+IFERROR(VLOOKUP(Fact_Impuestos[[#This Row], [Concepto Anterior]],Conceptos_Impuestos[#All],5,0),"")</f>
        <v/>
      </c>
      <c r="F835" t="str">
        <f>+IFERROR(VLOOKUP(Fact_Impuestos[[#This Row], 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ht="18.75" customHeight="1" x14ac:dyDescent="0.35">
      <c r="C836" s="100" t="str">
        <f>IF(OR(Fact_Impuestos[[#This Row], [Año]]="",Fact_Impuestos[[#This Row], [Mes]]=""),"",DATE(A836,MATCH(B836,{"enero","febrero","marzo","abril","mayo","junio","julio","agosto","septiembre","octubre","noviembre","diciembre"},0)+1,0))</f>
        <v/>
      </c>
      <c r="E836" t="str">
        <f>+IFERROR(VLOOKUP(Fact_Impuestos[[#This Row], [Concepto Anterior]],Conceptos_Impuestos[#All],5,0),"")</f>
        <v/>
      </c>
      <c r="F836" t="str">
        <f>+IFERROR(VLOOKUP(Fact_Impuestos[[#This Row], 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ht="18.75" customHeight="1" x14ac:dyDescent="0.35">
      <c r="C837" s="100" t="str">
        <f>IF(OR(Fact_Impuestos[[#This Row], [Año]]="",Fact_Impuestos[[#This Row], [Mes]]=""),"",DATE(A837,MATCH(B837,{"enero","febrero","marzo","abril","mayo","junio","julio","agosto","septiembre","octubre","noviembre","diciembre"},0)+1,0))</f>
        <v/>
      </c>
      <c r="E837" t="str">
        <f>+IFERROR(VLOOKUP(Fact_Impuestos[[#This Row], [Concepto Anterior]],Conceptos_Impuestos[#All],5,0),"")</f>
        <v/>
      </c>
      <c r="F837" t="str">
        <f>+IFERROR(VLOOKUP(Fact_Impuestos[[#This Row], 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ht="18.75" customHeight="1" x14ac:dyDescent="0.35">
      <c r="C838" s="100" t="str">
        <f>IF(OR(Fact_Impuestos[[#This Row], [Año]]="",Fact_Impuestos[[#This Row], [Mes]]=""),"",DATE(A838,MATCH(B838,{"enero","febrero","marzo","abril","mayo","junio","julio","agosto","septiembre","octubre","noviembre","diciembre"},0)+1,0))</f>
        <v/>
      </c>
      <c r="E838" t="str">
        <f>+IFERROR(VLOOKUP(Fact_Impuestos[[#This Row], [Concepto Anterior]],Conceptos_Impuestos[#All],5,0),"")</f>
        <v/>
      </c>
      <c r="F838" t="str">
        <f>+IFERROR(VLOOKUP(Fact_Impuestos[[#This Row], 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ht="18.75" customHeight="1" x14ac:dyDescent="0.35">
      <c r="C839" s="100" t="str">
        <f>IF(OR(Fact_Impuestos[[#This Row], [Año]]="",Fact_Impuestos[[#This Row], [Mes]]=""),"",DATE(A839,MATCH(B839,{"enero","febrero","marzo","abril","mayo","junio","julio","agosto","septiembre","octubre","noviembre","diciembre"},0)+1,0))</f>
        <v/>
      </c>
      <c r="E839" t="str">
        <f>+IFERROR(VLOOKUP(Fact_Impuestos[[#This Row], [Concepto Anterior]],Conceptos_Impuestos[#All],5,0),"")</f>
        <v/>
      </c>
      <c r="F839" t="str">
        <f>+IFERROR(VLOOKUP(Fact_Impuestos[[#This Row], 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ht="18.75" customHeight="1" x14ac:dyDescent="0.35">
      <c r="C840" s="100" t="str">
        <f>IF(OR(Fact_Impuestos[[#This Row], [Año]]="",Fact_Impuestos[[#This Row], [Mes]]=""),"",DATE(A840,MATCH(B840,{"enero","febrero","marzo","abril","mayo","junio","julio","agosto","septiembre","octubre","noviembre","diciembre"},0)+1,0))</f>
        <v/>
      </c>
      <c r="E840" t="str">
        <f>+IFERROR(VLOOKUP(Fact_Impuestos[[#This Row], [Concepto Anterior]],Conceptos_Impuestos[#All],5,0),"")</f>
        <v/>
      </c>
      <c r="F840" t="str">
        <f>+IFERROR(VLOOKUP(Fact_Impuestos[[#This Row], 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ht="18.75" customHeight="1" x14ac:dyDescent="0.35">
      <c r="C841" s="100" t="str">
        <f>IF(OR(Fact_Impuestos[[#This Row], [Año]]="",Fact_Impuestos[[#This Row], [Mes]]=""),"",DATE(A841,MATCH(B841,{"enero","febrero","marzo","abril","mayo","junio","julio","agosto","septiembre","octubre","noviembre","diciembre"},0)+1,0))</f>
        <v/>
      </c>
      <c r="E841" t="str">
        <f>+IFERROR(VLOOKUP(Fact_Impuestos[[#This Row], [Concepto Anterior]],Conceptos_Impuestos[#All],5,0),"")</f>
        <v/>
      </c>
      <c r="F841" t="str">
        <f>+IFERROR(VLOOKUP(Fact_Impuestos[[#This Row], 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ht="18.75" customHeight="1" x14ac:dyDescent="0.35">
      <c r="C842" s="100" t="str">
        <f>IF(OR(Fact_Impuestos[[#This Row], [Año]]="",Fact_Impuestos[[#This Row], [Mes]]=""),"",DATE(A842,MATCH(B842,{"enero","febrero","marzo","abril","mayo","junio","julio","agosto","septiembre","octubre","noviembre","diciembre"},0)+1,0))</f>
        <v/>
      </c>
      <c r="E842" t="str">
        <f>+IFERROR(VLOOKUP(Fact_Impuestos[[#This Row], [Concepto Anterior]],Conceptos_Impuestos[#All],5,0),"")</f>
        <v/>
      </c>
      <c r="F842" t="str">
        <f>+IFERROR(VLOOKUP(Fact_Impuestos[[#This Row], 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ht="18.75" customHeight="1" x14ac:dyDescent="0.35">
      <c r="C843" s="100" t="str">
        <f>IF(OR(Fact_Impuestos[[#This Row], [Año]]="",Fact_Impuestos[[#This Row], [Mes]]=""),"",DATE(A843,MATCH(B843,{"enero","febrero","marzo","abril","mayo","junio","julio","agosto","septiembre","octubre","noviembre","diciembre"},0)+1,0))</f>
        <v/>
      </c>
      <c r="E843" t="str">
        <f>+IFERROR(VLOOKUP(Fact_Impuestos[[#This Row], [Concepto Anterior]],Conceptos_Impuestos[#All],5,0),"")</f>
        <v/>
      </c>
      <c r="F843" t="str">
        <f>+IFERROR(VLOOKUP(Fact_Impuestos[[#This Row], 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ht="18.75" customHeight="1" x14ac:dyDescent="0.35">
      <c r="C844" s="100" t="str">
        <f>IF(OR(Fact_Impuestos[[#This Row], [Año]]="",Fact_Impuestos[[#This Row], [Mes]]=""),"",DATE(A844,MATCH(B844,{"enero","febrero","marzo","abril","mayo","junio","julio","agosto","septiembre","octubre","noviembre","diciembre"},0)+1,0))</f>
        <v/>
      </c>
      <c r="E844" t="str">
        <f>+IFERROR(VLOOKUP(Fact_Impuestos[[#This Row], [Concepto Anterior]],Conceptos_Impuestos[#All],5,0),"")</f>
        <v/>
      </c>
      <c r="F844" t="str">
        <f>+IFERROR(VLOOKUP(Fact_Impuestos[[#This Row], 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ht="18.75" customHeight="1" x14ac:dyDescent="0.35">
      <c r="C845" s="100" t="str">
        <f>IF(OR(Fact_Impuestos[[#This Row], [Año]]="",Fact_Impuestos[[#This Row], [Mes]]=""),"",DATE(A845,MATCH(B845,{"enero","febrero","marzo","abril","mayo","junio","julio","agosto","septiembre","octubre","noviembre","diciembre"},0)+1,0))</f>
        <v/>
      </c>
      <c r="E845" t="str">
        <f>+IFERROR(VLOOKUP(Fact_Impuestos[[#This Row], [Concepto Anterior]],Conceptos_Impuestos[#All],5,0),"")</f>
        <v/>
      </c>
      <c r="F845" t="str">
        <f>+IFERROR(VLOOKUP(Fact_Impuestos[[#This Row], 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ht="18.75" customHeight="1" x14ac:dyDescent="0.35">
      <c r="C846" s="100" t="str">
        <f>IF(OR(Fact_Impuestos[[#This Row], [Año]]="",Fact_Impuestos[[#This Row], [Mes]]=""),"",DATE(A846,MATCH(B846,{"enero","febrero","marzo","abril","mayo","junio","julio","agosto","septiembre","octubre","noviembre","diciembre"},0)+1,0))</f>
        <v/>
      </c>
      <c r="E846" t="str">
        <f>+IFERROR(VLOOKUP(Fact_Impuestos[[#This Row], [Concepto Anterior]],Conceptos_Impuestos[#All],5,0),"")</f>
        <v/>
      </c>
      <c r="F846" t="str">
        <f>+IFERROR(VLOOKUP(Fact_Impuestos[[#This Row], 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ht="18.75" customHeight="1" x14ac:dyDescent="0.35">
      <c r="C847" s="100" t="str">
        <f>IF(OR(Fact_Impuestos[[#This Row], [Año]]="",Fact_Impuestos[[#This Row], [Mes]]=""),"",DATE(A847,MATCH(B847,{"enero","febrero","marzo","abril","mayo","junio","julio","agosto","septiembre","octubre","noviembre","diciembre"},0)+1,0))</f>
        <v/>
      </c>
      <c r="E847" t="str">
        <f>+IFERROR(VLOOKUP(Fact_Impuestos[[#This Row], [Concepto Anterior]],Conceptos_Impuestos[#All],5,0),"")</f>
        <v/>
      </c>
      <c r="F847" t="str">
        <f>+IFERROR(VLOOKUP(Fact_Impuestos[[#This Row], 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ht="18.75" customHeight="1" x14ac:dyDescent="0.35">
      <c r="C848" s="100" t="str">
        <f>IF(OR(Fact_Impuestos[[#This Row], [Año]]="",Fact_Impuestos[[#This Row], [Mes]]=""),"",DATE(A848,MATCH(B848,{"enero","febrero","marzo","abril","mayo","junio","julio","agosto","septiembre","octubre","noviembre","diciembre"},0)+1,0))</f>
        <v/>
      </c>
      <c r="E848" t="str">
        <f>+IFERROR(VLOOKUP(Fact_Impuestos[[#This Row], [Concepto Anterior]],Conceptos_Impuestos[#All],5,0),"")</f>
        <v/>
      </c>
      <c r="F848" t="str">
        <f>+IFERROR(VLOOKUP(Fact_Impuestos[[#This Row], 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ht="18.75" customHeight="1" x14ac:dyDescent="0.35">
      <c r="C849" s="100" t="str">
        <f>IF(OR(Fact_Impuestos[[#This Row], [Año]]="",Fact_Impuestos[[#This Row], [Mes]]=""),"",DATE(A849,MATCH(B849,{"enero","febrero","marzo","abril","mayo","junio","julio","agosto","septiembre","octubre","noviembre","diciembre"},0)+1,0))</f>
        <v/>
      </c>
      <c r="E849" t="str">
        <f>+IFERROR(VLOOKUP(Fact_Impuestos[[#This Row], [Concepto Anterior]],Conceptos_Impuestos[#All],5,0),"")</f>
        <v/>
      </c>
      <c r="F849" t="str">
        <f>+IFERROR(VLOOKUP(Fact_Impuestos[[#This Row], 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ht="18.75" customHeight="1" x14ac:dyDescent="0.35">
      <c r="C850" s="100" t="str">
        <f>IF(OR(Fact_Impuestos[[#This Row], [Año]]="",Fact_Impuestos[[#This Row], [Mes]]=""),"",DATE(A850,MATCH(B850,{"enero","febrero","marzo","abril","mayo","junio","julio","agosto","septiembre","octubre","noviembre","diciembre"},0)+1,0))</f>
        <v/>
      </c>
      <c r="E850" t="str">
        <f>+IFERROR(VLOOKUP(Fact_Impuestos[[#This Row], [Concepto Anterior]],Conceptos_Impuestos[#All],5,0),"")</f>
        <v/>
      </c>
      <c r="F850" t="str">
        <f>+IFERROR(VLOOKUP(Fact_Impuestos[[#This Row], 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ht="18.75" customHeight="1" x14ac:dyDescent="0.35">
      <c r="C851" s="100" t="str">
        <f>IF(OR(Fact_Impuestos[[#This Row], [Año]]="",Fact_Impuestos[[#This Row], [Mes]]=""),"",DATE(A851,MATCH(B851,{"enero","febrero","marzo","abril","mayo","junio","julio","agosto","septiembre","octubre","noviembre","diciembre"},0)+1,0))</f>
        <v/>
      </c>
      <c r="E851" t="str">
        <f>+IFERROR(VLOOKUP(Fact_Impuestos[[#This Row], [Concepto Anterior]],Conceptos_Impuestos[#All],5,0),"")</f>
        <v/>
      </c>
      <c r="F851" t="str">
        <f>+IFERROR(VLOOKUP(Fact_Impuestos[[#This Row], 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ht="18.75" customHeight="1" x14ac:dyDescent="0.35">
      <c r="C852" s="100" t="str">
        <f>IF(OR(Fact_Impuestos[[#This Row], [Año]]="",Fact_Impuestos[[#This Row], [Mes]]=""),"",DATE(A852,MATCH(B852,{"enero","febrero","marzo","abril","mayo","junio","julio","agosto","septiembre","octubre","noviembre","diciembre"},0)+1,0))</f>
        <v/>
      </c>
      <c r="E852" t="str">
        <f>+IFERROR(VLOOKUP(Fact_Impuestos[[#This Row], [Concepto Anterior]],Conceptos_Impuestos[#All],5,0),"")</f>
        <v/>
      </c>
      <c r="F852" t="str">
        <f>+IFERROR(VLOOKUP(Fact_Impuestos[[#This Row], 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ht="18.75" customHeight="1" x14ac:dyDescent="0.35">
      <c r="C853" s="100" t="str">
        <f>IF(OR(Fact_Impuestos[[#This Row], [Año]]="",Fact_Impuestos[[#This Row], [Mes]]=""),"",DATE(A853,MATCH(B853,{"enero","febrero","marzo","abril","mayo","junio","julio","agosto","septiembre","octubre","noviembre","diciembre"},0)+1,0))</f>
        <v/>
      </c>
      <c r="E853" t="str">
        <f>+IFERROR(VLOOKUP(Fact_Impuestos[[#This Row], [Concepto Anterior]],Conceptos_Impuestos[#All],5,0),"")</f>
        <v/>
      </c>
      <c r="F853" t="str">
        <f>+IFERROR(VLOOKUP(Fact_Impuestos[[#This Row], 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ht="18.75" customHeight="1" x14ac:dyDescent="0.35">
      <c r="C854" s="100" t="str">
        <f>IF(OR(Fact_Impuestos[[#This Row], [Año]]="",Fact_Impuestos[[#This Row], [Mes]]=""),"",DATE(A854,MATCH(B854,{"enero","febrero","marzo","abril","mayo","junio","julio","agosto","septiembre","octubre","noviembre","diciembre"},0)+1,0))</f>
        <v/>
      </c>
      <c r="E854" t="str">
        <f>+IFERROR(VLOOKUP(Fact_Impuestos[[#This Row], [Concepto Anterior]],Conceptos_Impuestos[#All],5,0),"")</f>
        <v/>
      </c>
      <c r="F854" t="str">
        <f>+IFERROR(VLOOKUP(Fact_Impuestos[[#This Row], 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ht="18.75" customHeight="1" x14ac:dyDescent="0.35">
      <c r="C855" s="100" t="str">
        <f>IF(OR(Fact_Impuestos[[#This Row], [Año]]="",Fact_Impuestos[[#This Row], [Mes]]=""),"",DATE(A855,MATCH(B855,{"enero","febrero","marzo","abril","mayo","junio","julio","agosto","septiembre","octubre","noviembre","diciembre"},0)+1,0))</f>
        <v/>
      </c>
      <c r="E855" t="str">
        <f>+IFERROR(VLOOKUP(Fact_Impuestos[[#This Row], [Concepto Anterior]],Conceptos_Impuestos[#All],5,0),"")</f>
        <v/>
      </c>
      <c r="F855" t="str">
        <f>+IFERROR(VLOOKUP(Fact_Impuestos[[#This Row], 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ht="18.75" customHeight="1" x14ac:dyDescent="0.35">
      <c r="C856" s="100" t="str">
        <f>IF(OR(Fact_Impuestos[[#This Row], [Año]]="",Fact_Impuestos[[#This Row], [Mes]]=""),"",DATE(A856,MATCH(B856,{"enero","febrero","marzo","abril","mayo","junio","julio","agosto","septiembre","octubre","noviembre","diciembre"},0)+1,0))</f>
        <v/>
      </c>
      <c r="E856" t="str">
        <f>+IFERROR(VLOOKUP(Fact_Impuestos[[#This Row], [Concepto Anterior]],Conceptos_Impuestos[#All],5,0),"")</f>
        <v/>
      </c>
      <c r="F856" t="str">
        <f>+IFERROR(VLOOKUP(Fact_Impuestos[[#This Row], 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ht="18.75" customHeight="1" x14ac:dyDescent="0.35">
      <c r="C857" s="100" t="str">
        <f>IF(OR(Fact_Impuestos[[#This Row], [Año]]="",Fact_Impuestos[[#This Row], [Mes]]=""),"",DATE(A857,MATCH(B857,{"enero","febrero","marzo","abril","mayo","junio","julio","agosto","septiembre","octubre","noviembre","diciembre"},0)+1,0))</f>
        <v/>
      </c>
      <c r="E857" t="str">
        <f>+IFERROR(VLOOKUP(Fact_Impuestos[[#This Row], [Concepto Anterior]],Conceptos_Impuestos[#All],5,0),"")</f>
        <v/>
      </c>
      <c r="F857" t="str">
        <f>+IFERROR(VLOOKUP(Fact_Impuestos[[#This Row], 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ht="18.75" customHeight="1" x14ac:dyDescent="0.35">
      <c r="C858" s="100" t="str">
        <f>IF(OR(Fact_Impuestos[[#This Row], [Año]]="",Fact_Impuestos[[#This Row], [Mes]]=""),"",DATE(A858,MATCH(B858,{"enero","febrero","marzo","abril","mayo","junio","julio","agosto","septiembre","octubre","noviembre","diciembre"},0)+1,0))</f>
        <v/>
      </c>
      <c r="E858" t="str">
        <f>+IFERROR(VLOOKUP(Fact_Impuestos[[#This Row], [Concepto Anterior]],Conceptos_Impuestos[#All],5,0),"")</f>
        <v/>
      </c>
      <c r="F858" t="str">
        <f>+IFERROR(VLOOKUP(Fact_Impuestos[[#This Row], 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ht="18.75" customHeight="1" x14ac:dyDescent="0.35">
      <c r="C859" s="100" t="str">
        <f>IF(OR(Fact_Impuestos[[#This Row], [Año]]="",Fact_Impuestos[[#This Row], [Mes]]=""),"",DATE(A859,MATCH(B859,{"enero","febrero","marzo","abril","mayo","junio","julio","agosto","septiembre","octubre","noviembre","diciembre"},0)+1,0))</f>
        <v/>
      </c>
      <c r="E859" t="str">
        <f>+IFERROR(VLOOKUP(Fact_Impuestos[[#This Row], [Concepto Anterior]],Conceptos_Impuestos[#All],5,0),"")</f>
        <v/>
      </c>
      <c r="F859" t="str">
        <f>+IFERROR(VLOOKUP(Fact_Impuestos[[#This Row], 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ht="18.75" customHeight="1" x14ac:dyDescent="0.35">
      <c r="C860" s="100" t="str">
        <f>IF(OR(Fact_Impuestos[[#This Row], [Año]]="",Fact_Impuestos[[#This Row], [Mes]]=""),"",DATE(A860,MATCH(B860,{"enero","febrero","marzo","abril","mayo","junio","julio","agosto","septiembre","octubre","noviembre","diciembre"},0)+1,0))</f>
        <v/>
      </c>
      <c r="E860" t="str">
        <f>+IFERROR(VLOOKUP(Fact_Impuestos[[#This Row], [Concepto Anterior]],Conceptos_Impuestos[#All],5,0),"")</f>
        <v/>
      </c>
      <c r="F860" t="str">
        <f>+IFERROR(VLOOKUP(Fact_Impuestos[[#This Row], 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ht="18.75" customHeight="1" x14ac:dyDescent="0.35">
      <c r="C861" s="100" t="str">
        <f>IF(OR(Fact_Impuestos[[#This Row], [Año]]="",Fact_Impuestos[[#This Row], [Mes]]=""),"",DATE(A861,MATCH(B861,{"enero","febrero","marzo","abril","mayo","junio","julio","agosto","septiembre","octubre","noviembre","diciembre"},0)+1,0))</f>
        <v/>
      </c>
      <c r="E861" t="str">
        <f>+IFERROR(VLOOKUP(Fact_Impuestos[[#This Row], [Concepto Anterior]],Conceptos_Impuestos[#All],5,0),"")</f>
        <v/>
      </c>
      <c r="F861" t="str">
        <f>+IFERROR(VLOOKUP(Fact_Impuestos[[#This Row], 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ht="18.75" customHeight="1" x14ac:dyDescent="0.35">
      <c r="C862" s="100" t="str">
        <f>IF(OR(Fact_Impuestos[[#This Row], [Año]]="",Fact_Impuestos[[#This Row], [Mes]]=""),"",DATE(A862,MATCH(B862,{"enero","febrero","marzo","abril","mayo","junio","julio","agosto","septiembre","octubre","noviembre","diciembre"},0)+1,0))</f>
        <v/>
      </c>
      <c r="E862" t="str">
        <f>+IFERROR(VLOOKUP(Fact_Impuestos[[#This Row], [Concepto Anterior]],Conceptos_Impuestos[#All],5,0),"")</f>
        <v/>
      </c>
      <c r="F862" t="str">
        <f>+IFERROR(VLOOKUP(Fact_Impuestos[[#This Row], 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ht="18.75" customHeight="1" x14ac:dyDescent="0.35">
      <c r="C863" s="100" t="str">
        <f>IF(OR(Fact_Impuestos[[#This Row], [Año]]="",Fact_Impuestos[[#This Row], [Mes]]=""),"",DATE(A863,MATCH(B863,{"enero","febrero","marzo","abril","mayo","junio","julio","agosto","septiembre","octubre","noviembre","diciembre"},0)+1,0))</f>
        <v/>
      </c>
      <c r="E863" t="str">
        <f>+IFERROR(VLOOKUP(Fact_Impuestos[[#This Row], [Concepto Anterior]],Conceptos_Impuestos[#All],5,0),"")</f>
        <v/>
      </c>
      <c r="F863" t="str">
        <f>+IFERROR(VLOOKUP(Fact_Impuestos[[#This Row], 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ht="18.75" customHeight="1" x14ac:dyDescent="0.35">
      <c r="C864" s="100" t="str">
        <f>IF(OR(Fact_Impuestos[[#This Row], [Año]]="",Fact_Impuestos[[#This Row], [Mes]]=""),"",DATE(A864,MATCH(B864,{"enero","febrero","marzo","abril","mayo","junio","julio","agosto","septiembre","octubre","noviembre","diciembre"},0)+1,0))</f>
        <v/>
      </c>
      <c r="E864" t="str">
        <f>+IFERROR(VLOOKUP(Fact_Impuestos[[#This Row], [Concepto Anterior]],Conceptos_Impuestos[#All],5,0),"")</f>
        <v/>
      </c>
      <c r="F864" t="str">
        <f>+IFERROR(VLOOKUP(Fact_Impuestos[[#This Row], 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ht="18.75" customHeight="1" x14ac:dyDescent="0.35">
      <c r="C865" s="100" t="str">
        <f>IF(OR(Fact_Impuestos[[#This Row], [Año]]="",Fact_Impuestos[[#This Row], [Mes]]=""),"",DATE(A865,MATCH(B865,{"enero","febrero","marzo","abril","mayo","junio","julio","agosto","septiembre","octubre","noviembre","diciembre"},0)+1,0))</f>
        <v/>
      </c>
      <c r="E865" t="str">
        <f>+IFERROR(VLOOKUP(Fact_Impuestos[[#This Row], [Concepto Anterior]],Conceptos_Impuestos[#All],5,0),"")</f>
        <v/>
      </c>
      <c r="F865" t="str">
        <f>+IFERROR(VLOOKUP(Fact_Impuestos[[#This Row], 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ht="18.75" customHeight="1" x14ac:dyDescent="0.35">
      <c r="C866" s="100" t="str">
        <f>IF(OR(Fact_Impuestos[[#This Row], [Año]]="",Fact_Impuestos[[#This Row], [Mes]]=""),"",DATE(A866,MATCH(B866,{"enero","febrero","marzo","abril","mayo","junio","julio","agosto","septiembre","octubre","noviembre","diciembre"},0)+1,0))</f>
        <v/>
      </c>
      <c r="E866" t="str">
        <f>+IFERROR(VLOOKUP(Fact_Impuestos[[#This Row], [Concepto Anterior]],Conceptos_Impuestos[#All],5,0),"")</f>
        <v/>
      </c>
      <c r="F866" t="str">
        <f>+IFERROR(VLOOKUP(Fact_Impuestos[[#This Row], 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ht="18.75" customHeight="1" x14ac:dyDescent="0.35">
      <c r="C867" s="100" t="str">
        <f>IF(OR(Fact_Impuestos[[#This Row], [Año]]="",Fact_Impuestos[[#This Row], [Mes]]=""),"",DATE(A867,MATCH(B867,{"enero","febrero","marzo","abril","mayo","junio","julio","agosto","septiembre","octubre","noviembre","diciembre"},0)+1,0))</f>
        <v/>
      </c>
      <c r="E867" t="str">
        <f>+IFERROR(VLOOKUP(Fact_Impuestos[[#This Row], [Concepto Anterior]],Conceptos_Impuestos[#All],5,0),"")</f>
        <v/>
      </c>
      <c r="F867" t="str">
        <f>+IFERROR(VLOOKUP(Fact_Impuestos[[#This Row], 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ht="18.75" customHeight="1" x14ac:dyDescent="0.35">
      <c r="C868" s="100" t="str">
        <f>IF(OR(Fact_Impuestos[[#This Row], [Año]]="",Fact_Impuestos[[#This Row], [Mes]]=""),"",DATE(A868,MATCH(B868,{"enero","febrero","marzo","abril","mayo","junio","julio","agosto","septiembre","octubre","noviembre","diciembre"},0)+1,0))</f>
        <v/>
      </c>
      <c r="E868" t="str">
        <f>+IFERROR(VLOOKUP(Fact_Impuestos[[#This Row], [Concepto Anterior]],Conceptos_Impuestos[#All],5,0),"")</f>
        <v/>
      </c>
      <c r="F868" t="str">
        <f>+IFERROR(VLOOKUP(Fact_Impuestos[[#This Row], 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ht="18.75" customHeight="1" x14ac:dyDescent="0.35">
      <c r="C869" s="100" t="str">
        <f>IF(OR(Fact_Impuestos[[#This Row], [Año]]="",Fact_Impuestos[[#This Row], [Mes]]=""),"",DATE(A869,MATCH(B869,{"enero","febrero","marzo","abril","mayo","junio","julio","agosto","septiembre","octubre","noviembre","diciembre"},0)+1,0))</f>
        <v/>
      </c>
      <c r="E869" t="str">
        <f>+IFERROR(VLOOKUP(Fact_Impuestos[[#This Row], [Concepto Anterior]],Conceptos_Impuestos[#All],5,0),"")</f>
        <v/>
      </c>
      <c r="F869" t="str">
        <f>+IFERROR(VLOOKUP(Fact_Impuestos[[#This Row], 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ht="18.75" customHeight="1" x14ac:dyDescent="0.35">
      <c r="C870" s="100" t="str">
        <f>IF(OR(Fact_Impuestos[[#This Row], [Año]]="",Fact_Impuestos[[#This Row], [Mes]]=""),"",DATE(A870,MATCH(B870,{"enero","febrero","marzo","abril","mayo","junio","julio","agosto","septiembre","octubre","noviembre","diciembre"},0)+1,0))</f>
        <v/>
      </c>
      <c r="E870" t="str">
        <f>+IFERROR(VLOOKUP(Fact_Impuestos[[#This Row], [Concepto Anterior]],Conceptos_Impuestos[#All],5,0),"")</f>
        <v/>
      </c>
      <c r="F870" t="str">
        <f>+IFERROR(VLOOKUP(Fact_Impuestos[[#This Row], 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ht="18.75" customHeight="1" x14ac:dyDescent="0.35">
      <c r="C871" s="100" t="str">
        <f>IF(OR(Fact_Impuestos[[#This Row], [Año]]="",Fact_Impuestos[[#This Row], [Mes]]=""),"",DATE(A871,MATCH(B871,{"enero","febrero","marzo","abril","mayo","junio","julio","agosto","septiembre","octubre","noviembre","diciembre"},0)+1,0))</f>
        <v/>
      </c>
      <c r="E871" t="str">
        <f>+IFERROR(VLOOKUP(Fact_Impuestos[[#This Row], [Concepto Anterior]],Conceptos_Impuestos[#All],5,0),"")</f>
        <v/>
      </c>
      <c r="F871" t="str">
        <f>+IFERROR(VLOOKUP(Fact_Impuestos[[#This Row], 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ht="18.75" customHeight="1" x14ac:dyDescent="0.35">
      <c r="C872" s="100" t="str">
        <f>IF(OR(Fact_Impuestos[[#This Row], [Año]]="",Fact_Impuestos[[#This Row], [Mes]]=""),"",DATE(A872,MATCH(B872,{"enero","febrero","marzo","abril","mayo","junio","julio","agosto","septiembre","octubre","noviembre","diciembre"},0)+1,0))</f>
        <v/>
      </c>
      <c r="E872" t="str">
        <f>+IFERROR(VLOOKUP(Fact_Impuestos[[#This Row], [Concepto Anterior]],Conceptos_Impuestos[#All],5,0),"")</f>
        <v/>
      </c>
      <c r="F872" t="str">
        <f>+IFERROR(VLOOKUP(Fact_Impuestos[[#This Row], 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ht="18.75" customHeight="1" x14ac:dyDescent="0.35">
      <c r="C873" s="100" t="str">
        <f>IF(OR(Fact_Impuestos[[#This Row], [Año]]="",Fact_Impuestos[[#This Row], [Mes]]=""),"",DATE(A873,MATCH(B873,{"enero","febrero","marzo","abril","mayo","junio","julio","agosto","septiembre","octubre","noviembre","diciembre"},0)+1,0))</f>
        <v/>
      </c>
      <c r="E873" t="str">
        <f>+IFERROR(VLOOKUP(Fact_Impuestos[[#This Row], [Concepto Anterior]],Conceptos_Impuestos[#All],5,0),"")</f>
        <v/>
      </c>
      <c r="F873" t="str">
        <f>+IFERROR(VLOOKUP(Fact_Impuestos[[#This Row], 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ht="18.75" customHeight="1" x14ac:dyDescent="0.35">
      <c r="C874" s="100" t="str">
        <f>IF(OR(Fact_Impuestos[[#This Row], [Año]]="",Fact_Impuestos[[#This Row], [Mes]]=""),"",DATE(A874,MATCH(B874,{"enero","febrero","marzo","abril","mayo","junio","julio","agosto","septiembre","octubre","noviembre","diciembre"},0)+1,0))</f>
        <v/>
      </c>
      <c r="E874" t="str">
        <f>+IFERROR(VLOOKUP(Fact_Impuestos[[#This Row], [Concepto Anterior]],Conceptos_Impuestos[#All],5,0),"")</f>
        <v/>
      </c>
      <c r="F874" t="str">
        <f>+IFERROR(VLOOKUP(Fact_Impuestos[[#This Row], 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ht="18.75" customHeight="1" x14ac:dyDescent="0.35">
      <c r="C875" s="100" t="str">
        <f>IF(OR(Fact_Impuestos[[#This Row], [Año]]="",Fact_Impuestos[[#This Row], [Mes]]=""),"",DATE(A875,MATCH(B875,{"enero","febrero","marzo","abril","mayo","junio","julio","agosto","septiembre","octubre","noviembre","diciembre"},0)+1,0))</f>
        <v/>
      </c>
      <c r="E875" t="str">
        <f>+IFERROR(VLOOKUP(Fact_Impuestos[[#This Row], [Concepto Anterior]],Conceptos_Impuestos[#All],5,0),"")</f>
        <v/>
      </c>
      <c r="F875" t="str">
        <f>+IFERROR(VLOOKUP(Fact_Impuestos[[#This Row], 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ht="18.75" customHeight="1" x14ac:dyDescent="0.35">
      <c r="C876" s="100" t="str">
        <f>IF(OR(Fact_Impuestos[[#This Row], [Año]]="",Fact_Impuestos[[#This Row], [Mes]]=""),"",DATE(A876,MATCH(B876,{"enero","febrero","marzo","abril","mayo","junio","julio","agosto","septiembre","octubre","noviembre","diciembre"},0)+1,0))</f>
        <v/>
      </c>
      <c r="E876" t="str">
        <f>+IFERROR(VLOOKUP(Fact_Impuestos[[#This Row], [Concepto Anterior]],Conceptos_Impuestos[#All],5,0),"")</f>
        <v/>
      </c>
      <c r="F876" t="str">
        <f>+IFERROR(VLOOKUP(Fact_Impuestos[[#This Row], 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ht="18.75" customHeight="1" x14ac:dyDescent="0.35">
      <c r="C877" s="100" t="str">
        <f>IF(OR(Fact_Impuestos[[#This Row], [Año]]="",Fact_Impuestos[[#This Row], [Mes]]=""),"",DATE(A877,MATCH(B877,{"enero","febrero","marzo","abril","mayo","junio","julio","agosto","septiembre","octubre","noviembre","diciembre"},0)+1,0))</f>
        <v/>
      </c>
      <c r="E877" t="str">
        <f>+IFERROR(VLOOKUP(Fact_Impuestos[[#This Row], [Concepto Anterior]],Conceptos_Impuestos[#All],5,0),"")</f>
        <v/>
      </c>
      <c r="F877" t="str">
        <f>+IFERROR(VLOOKUP(Fact_Impuestos[[#This Row], 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ht="18.75" customHeight="1" x14ac:dyDescent="0.35">
      <c r="C878" s="100" t="str">
        <f>IF(OR(Fact_Impuestos[[#This Row], [Año]]="",Fact_Impuestos[[#This Row], [Mes]]=""),"",DATE(A878,MATCH(B878,{"enero","febrero","marzo","abril","mayo","junio","julio","agosto","septiembre","octubre","noviembre","diciembre"},0)+1,0))</f>
        <v/>
      </c>
      <c r="E878" t="str">
        <f>+IFERROR(VLOOKUP(Fact_Impuestos[[#This Row], [Concepto Anterior]],Conceptos_Impuestos[#All],5,0),"")</f>
        <v/>
      </c>
      <c r="F878" t="str">
        <f>+IFERROR(VLOOKUP(Fact_Impuestos[[#This Row], 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ht="18.75" customHeight="1" x14ac:dyDescent="0.35">
      <c r="C879" s="100" t="str">
        <f>IF(OR(Fact_Impuestos[[#This Row], [Año]]="",Fact_Impuestos[[#This Row], [Mes]]=""),"",DATE(A879,MATCH(B879,{"enero","febrero","marzo","abril","mayo","junio","julio","agosto","septiembre","octubre","noviembre","diciembre"},0)+1,0))</f>
        <v/>
      </c>
      <c r="E879" t="str">
        <f>+IFERROR(VLOOKUP(Fact_Impuestos[[#This Row], [Concepto Anterior]],Conceptos_Impuestos[#All],5,0),"")</f>
        <v/>
      </c>
      <c r="F879" t="str">
        <f>+IFERROR(VLOOKUP(Fact_Impuestos[[#This Row], 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ht="18.75" customHeight="1" x14ac:dyDescent="0.35">
      <c r="C880" s="100" t="str">
        <f>IF(OR(Fact_Impuestos[[#This Row], [Año]]="",Fact_Impuestos[[#This Row], [Mes]]=""),"",DATE(A880,MATCH(B880,{"enero","febrero","marzo","abril","mayo","junio","julio","agosto","septiembre","octubre","noviembre","diciembre"},0)+1,0))</f>
        <v/>
      </c>
      <c r="E880" t="str">
        <f>+IFERROR(VLOOKUP(Fact_Impuestos[[#This Row], [Concepto Anterior]],Conceptos_Impuestos[#All],5,0),"")</f>
        <v/>
      </c>
      <c r="F880" t="str">
        <f>+IFERROR(VLOOKUP(Fact_Impuestos[[#This Row], 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ht="18.75" customHeight="1" x14ac:dyDescent="0.35">
      <c r="C881" s="100" t="str">
        <f>IF(OR(Fact_Impuestos[[#This Row], [Año]]="",Fact_Impuestos[[#This Row], [Mes]]=""),"",DATE(A881,MATCH(B881,{"enero","febrero","marzo","abril","mayo","junio","julio","agosto","septiembre","octubre","noviembre","diciembre"},0)+1,0))</f>
        <v/>
      </c>
      <c r="E881" t="str">
        <f>+IFERROR(VLOOKUP(Fact_Impuestos[[#This Row], [Concepto Anterior]],Conceptos_Impuestos[#All],5,0),"")</f>
        <v/>
      </c>
      <c r="F881" t="str">
        <f>+IFERROR(VLOOKUP(Fact_Impuestos[[#This Row], 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ht="18.75" customHeight="1" x14ac:dyDescent="0.35">
      <c r="C882" s="100" t="str">
        <f>IF(OR(Fact_Impuestos[[#This Row], [Año]]="",Fact_Impuestos[[#This Row], [Mes]]=""),"",DATE(A882,MATCH(B882,{"enero","febrero","marzo","abril","mayo","junio","julio","agosto","septiembre","octubre","noviembre","diciembre"},0)+1,0))</f>
        <v/>
      </c>
      <c r="E882" t="str">
        <f>+IFERROR(VLOOKUP(Fact_Impuestos[[#This Row], [Concepto Anterior]],Conceptos_Impuestos[#All],5,0),"")</f>
        <v/>
      </c>
      <c r="F882" t="str">
        <f>+IFERROR(VLOOKUP(Fact_Impuestos[[#This Row], 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ht="18.75" customHeight="1" x14ac:dyDescent="0.35">
      <c r="C883" s="100" t="str">
        <f>IF(OR(Fact_Impuestos[[#This Row], [Año]]="",Fact_Impuestos[[#This Row], [Mes]]=""),"",DATE(A883,MATCH(B883,{"enero","febrero","marzo","abril","mayo","junio","julio","agosto","septiembre","octubre","noviembre","diciembre"},0)+1,0))</f>
        <v/>
      </c>
      <c r="E883" t="str">
        <f>+IFERROR(VLOOKUP(Fact_Impuestos[[#This Row], [Concepto Anterior]],Conceptos_Impuestos[#All],5,0),"")</f>
        <v/>
      </c>
      <c r="F883" t="str">
        <f>+IFERROR(VLOOKUP(Fact_Impuestos[[#This Row], 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ht="18.75" customHeight="1" x14ac:dyDescent="0.35">
      <c r="C884" s="100" t="str">
        <f>IF(OR(Fact_Impuestos[[#This Row], [Año]]="",Fact_Impuestos[[#This Row], [Mes]]=""),"",DATE(A884,MATCH(B884,{"enero","febrero","marzo","abril","mayo","junio","julio","agosto","septiembre","octubre","noviembre","diciembre"},0)+1,0))</f>
        <v/>
      </c>
      <c r="E884" t="str">
        <f>+IFERROR(VLOOKUP(Fact_Impuestos[[#This Row], [Concepto Anterior]],Conceptos_Impuestos[#All],5,0),"")</f>
        <v/>
      </c>
      <c r="F884" t="str">
        <f>+IFERROR(VLOOKUP(Fact_Impuestos[[#This Row], 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ht="18.75" customHeight="1" x14ac:dyDescent="0.35">
      <c r="C885" s="100" t="str">
        <f>IF(OR(Fact_Impuestos[[#This Row], [Año]]="",Fact_Impuestos[[#This Row], [Mes]]=""),"",DATE(A885,MATCH(B885,{"enero","febrero","marzo","abril","mayo","junio","julio","agosto","septiembre","octubre","noviembre","diciembre"},0)+1,0))</f>
        <v/>
      </c>
      <c r="E885" t="str">
        <f>+IFERROR(VLOOKUP(Fact_Impuestos[[#This Row], [Concepto Anterior]],Conceptos_Impuestos[#All],5,0),"")</f>
        <v/>
      </c>
      <c r="F885" t="str">
        <f>+IFERROR(VLOOKUP(Fact_Impuestos[[#This Row], 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ht="18.75" customHeight="1" x14ac:dyDescent="0.35">
      <c r="C886" s="100" t="str">
        <f>IF(OR(Fact_Impuestos[[#This Row], [Año]]="",Fact_Impuestos[[#This Row], [Mes]]=""),"",DATE(A886,MATCH(B886,{"enero","febrero","marzo","abril","mayo","junio","julio","agosto","septiembre","octubre","noviembre","diciembre"},0)+1,0))</f>
        <v/>
      </c>
      <c r="E886" t="str">
        <f>+IFERROR(VLOOKUP(Fact_Impuestos[[#This Row], [Concepto Anterior]],Conceptos_Impuestos[#All],5,0),"")</f>
        <v/>
      </c>
      <c r="F886" t="str">
        <f>+IFERROR(VLOOKUP(Fact_Impuestos[[#This Row], 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ht="18.75" customHeight="1" x14ac:dyDescent="0.35">
      <c r="C887" s="100" t="str">
        <f>IF(OR(Fact_Impuestos[[#This Row], [Año]]="",Fact_Impuestos[[#This Row], [Mes]]=""),"",DATE(A887,MATCH(B887,{"enero","febrero","marzo","abril","mayo","junio","julio","agosto","septiembre","octubre","noviembre","diciembre"},0)+1,0))</f>
        <v/>
      </c>
      <c r="E887" t="str">
        <f>+IFERROR(VLOOKUP(Fact_Impuestos[[#This Row], [Concepto Anterior]],Conceptos_Impuestos[#All],5,0),"")</f>
        <v/>
      </c>
      <c r="F887" t="str">
        <f>+IFERROR(VLOOKUP(Fact_Impuestos[[#This Row], 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ht="18.75" customHeight="1" x14ac:dyDescent="0.35">
      <c r="C888" s="100" t="str">
        <f>IF(OR(Fact_Impuestos[[#This Row], [Año]]="",Fact_Impuestos[[#This Row], [Mes]]=""),"",DATE(A888,MATCH(B888,{"enero","febrero","marzo","abril","mayo","junio","julio","agosto","septiembre","octubre","noviembre","diciembre"},0)+1,0))</f>
        <v/>
      </c>
      <c r="E888" t="str">
        <f>+IFERROR(VLOOKUP(Fact_Impuestos[[#This Row], [Concepto Anterior]],Conceptos_Impuestos[#All],5,0),"")</f>
        <v/>
      </c>
      <c r="F888" t="str">
        <f>+IFERROR(VLOOKUP(Fact_Impuestos[[#This Row], 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ht="18.75" customHeight="1" x14ac:dyDescent="0.35">
      <c r="C889" s="100" t="str">
        <f>IF(OR(Fact_Impuestos[[#This Row], [Año]]="",Fact_Impuestos[[#This Row], [Mes]]=""),"",DATE(A889,MATCH(B889,{"enero","febrero","marzo","abril","mayo","junio","julio","agosto","septiembre","octubre","noviembre","diciembre"},0)+1,0))</f>
        <v/>
      </c>
      <c r="E889" t="str">
        <f>+IFERROR(VLOOKUP(Fact_Impuestos[[#This Row], [Concepto Anterior]],Conceptos_Impuestos[#All],5,0),"")</f>
        <v/>
      </c>
      <c r="F889" t="str">
        <f>+IFERROR(VLOOKUP(Fact_Impuestos[[#This Row], 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ht="18.75" customHeight="1" x14ac:dyDescent="0.35">
      <c r="C890" s="100" t="str">
        <f>IF(OR(Fact_Impuestos[[#This Row], [Año]]="",Fact_Impuestos[[#This Row], [Mes]]=""),"",DATE(A890,MATCH(B890,{"enero","febrero","marzo","abril","mayo","junio","julio","agosto","septiembre","octubre","noviembre","diciembre"},0)+1,0))</f>
        <v/>
      </c>
      <c r="E890" t="str">
        <f>+IFERROR(VLOOKUP(Fact_Impuestos[[#This Row], [Concepto Anterior]],Conceptos_Impuestos[#All],5,0),"")</f>
        <v/>
      </c>
      <c r="F890" t="str">
        <f>+IFERROR(VLOOKUP(Fact_Impuestos[[#This Row], 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ht="18.75" customHeight="1" x14ac:dyDescent="0.35">
      <c r="C891" s="100" t="str">
        <f>IF(OR(Fact_Impuestos[[#This Row], [Año]]="",Fact_Impuestos[[#This Row], [Mes]]=""),"",DATE(A891,MATCH(B891,{"enero","febrero","marzo","abril","mayo","junio","julio","agosto","septiembre","octubre","noviembre","diciembre"},0)+1,0))</f>
        <v/>
      </c>
      <c r="E891" t="str">
        <f>+IFERROR(VLOOKUP(Fact_Impuestos[[#This Row], [Concepto Anterior]],Conceptos_Impuestos[#All],5,0),"")</f>
        <v/>
      </c>
      <c r="F891" t="str">
        <f>+IFERROR(VLOOKUP(Fact_Impuestos[[#This Row], 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ht="18.75" customHeight="1" x14ac:dyDescent="0.35">
      <c r="C892" s="100" t="str">
        <f>IF(OR(Fact_Impuestos[[#This Row], [Año]]="",Fact_Impuestos[[#This Row], [Mes]]=""),"",DATE(A892,MATCH(B892,{"enero","febrero","marzo","abril","mayo","junio","julio","agosto","septiembre","octubre","noviembre","diciembre"},0)+1,0))</f>
        <v/>
      </c>
      <c r="E892" t="str">
        <f>+IFERROR(VLOOKUP(Fact_Impuestos[[#This Row], [Concepto Anterior]],Conceptos_Impuestos[#All],5,0),"")</f>
        <v/>
      </c>
      <c r="F892" t="str">
        <f>+IFERROR(VLOOKUP(Fact_Impuestos[[#This Row], 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ht="18.75" customHeight="1" x14ac:dyDescent="0.35">
      <c r="C893" s="100" t="str">
        <f>IF(OR(Fact_Impuestos[[#This Row], [Año]]="",Fact_Impuestos[[#This Row], [Mes]]=""),"",DATE(A893,MATCH(B893,{"enero","febrero","marzo","abril","mayo","junio","julio","agosto","septiembre","octubre","noviembre","diciembre"},0)+1,0))</f>
        <v/>
      </c>
      <c r="E893" t="str">
        <f>+IFERROR(VLOOKUP(Fact_Impuestos[[#This Row], [Concepto Anterior]],Conceptos_Impuestos[#All],5,0),"")</f>
        <v/>
      </c>
      <c r="F893" t="str">
        <f>+IFERROR(VLOOKUP(Fact_Impuestos[[#This Row], 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ht="18.75" customHeight="1" x14ac:dyDescent="0.35">
      <c r="C894" s="100" t="str">
        <f>IF(OR(Fact_Impuestos[[#This Row], [Año]]="",Fact_Impuestos[[#This Row], [Mes]]=""),"",DATE(A894,MATCH(B894,{"enero","febrero","marzo","abril","mayo","junio","julio","agosto","septiembre","octubre","noviembre","diciembre"},0)+1,0))</f>
        <v/>
      </c>
      <c r="E894" t="str">
        <f>+IFERROR(VLOOKUP(Fact_Impuestos[[#This Row], [Concepto Anterior]],Conceptos_Impuestos[#All],5,0),"")</f>
        <v/>
      </c>
      <c r="F894" t="str">
        <f>+IFERROR(VLOOKUP(Fact_Impuestos[[#This Row], 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ht="18.75" customHeight="1" x14ac:dyDescent="0.35">
      <c r="C895" s="100" t="str">
        <f>IF(OR(Fact_Impuestos[[#This Row], [Año]]="",Fact_Impuestos[[#This Row], [Mes]]=""),"",DATE(A895,MATCH(B895,{"enero","febrero","marzo","abril","mayo","junio","julio","agosto","septiembre","octubre","noviembre","diciembre"},0)+1,0))</f>
        <v/>
      </c>
      <c r="E895" t="str">
        <f>+IFERROR(VLOOKUP(Fact_Impuestos[[#This Row], [Concepto Anterior]],Conceptos_Impuestos[#All],5,0),"")</f>
        <v/>
      </c>
      <c r="F895" t="str">
        <f>+IFERROR(VLOOKUP(Fact_Impuestos[[#This Row], 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ht="18.75" customHeight="1" x14ac:dyDescent="0.35">
      <c r="C896" s="100" t="str">
        <f>IF(OR(Fact_Impuestos[[#This Row], [Año]]="",Fact_Impuestos[[#This Row], [Mes]]=""),"",DATE(A896,MATCH(B896,{"enero","febrero","marzo","abril","mayo","junio","julio","agosto","septiembre","octubre","noviembre","diciembre"},0)+1,0))</f>
        <v/>
      </c>
      <c r="E896" t="str">
        <f>+IFERROR(VLOOKUP(Fact_Impuestos[[#This Row], [Concepto Anterior]],Conceptos_Impuestos[#All],5,0),"")</f>
        <v/>
      </c>
      <c r="F896" t="str">
        <f>+IFERROR(VLOOKUP(Fact_Impuestos[[#This Row], 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ht="18.75" customHeight="1" x14ac:dyDescent="0.35">
      <c r="C897" s="100" t="str">
        <f>IF(OR(Fact_Impuestos[[#This Row], [Año]]="",Fact_Impuestos[[#This Row], [Mes]]=""),"",DATE(A897,MATCH(B897,{"enero","febrero","marzo","abril","mayo","junio","julio","agosto","septiembre","octubre","noviembre","diciembre"},0)+1,0))</f>
        <v/>
      </c>
      <c r="E897" t="str">
        <f>+IFERROR(VLOOKUP(Fact_Impuestos[[#This Row], [Concepto Anterior]],Conceptos_Impuestos[#All],5,0),"")</f>
        <v/>
      </c>
      <c r="F897" t="str">
        <f>+IFERROR(VLOOKUP(Fact_Impuestos[[#This Row], 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ht="18.75" customHeight="1" x14ac:dyDescent="0.35">
      <c r="C898" s="100" t="str">
        <f>IF(OR(Fact_Impuestos[[#This Row], [Año]]="",Fact_Impuestos[[#This Row], [Mes]]=""),"",DATE(A898,MATCH(B898,{"enero","febrero","marzo","abril","mayo","junio","julio","agosto","septiembre","octubre","noviembre","diciembre"},0)+1,0))</f>
        <v/>
      </c>
      <c r="E898" t="str">
        <f>+IFERROR(VLOOKUP(Fact_Impuestos[[#This Row], [Concepto Anterior]],Conceptos_Impuestos[#All],5,0),"")</f>
        <v/>
      </c>
      <c r="F898" t="str">
        <f>+IFERROR(VLOOKUP(Fact_Impuestos[[#This Row], 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ht="18.75" customHeight="1" x14ac:dyDescent="0.35">
      <c r="C899" s="100" t="str">
        <f>IF(OR(Fact_Impuestos[[#This Row], [Año]]="",Fact_Impuestos[[#This Row], [Mes]]=""),"",DATE(A899,MATCH(B899,{"enero","febrero","marzo","abril","mayo","junio","julio","agosto","septiembre","octubre","noviembre","diciembre"},0)+1,0))</f>
        <v/>
      </c>
      <c r="E899" t="str">
        <f>+IFERROR(VLOOKUP(Fact_Impuestos[[#This Row], [Concepto Anterior]],Conceptos_Impuestos[#All],5,0),"")</f>
        <v/>
      </c>
      <c r="F899" t="str">
        <f>+IFERROR(VLOOKUP(Fact_Impuestos[[#This Row], 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ht="18.75" customHeight="1" x14ac:dyDescent="0.35">
      <c r="C900" s="100" t="str">
        <f>IF(OR(Fact_Impuestos[[#This Row], [Año]]="",Fact_Impuestos[[#This Row], [Mes]]=""),"",DATE(A900,MATCH(B900,{"enero","febrero","marzo","abril","mayo","junio","julio","agosto","septiembre","octubre","noviembre","diciembre"},0)+1,0))</f>
        <v/>
      </c>
      <c r="E900" t="str">
        <f>+IFERROR(VLOOKUP(Fact_Impuestos[[#This Row], [Concepto Anterior]],Conceptos_Impuestos[#All],5,0),"")</f>
        <v/>
      </c>
      <c r="F900" t="str">
        <f>+IFERROR(VLOOKUP(Fact_Impuestos[[#This Row], 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ht="18.75" customHeight="1" x14ac:dyDescent="0.35">
      <c r="C901" s="100" t="str">
        <f>IF(OR(Fact_Impuestos[[#This Row], [Año]]="",Fact_Impuestos[[#This Row], [Mes]]=""),"",DATE(A901,MATCH(B901,{"enero","febrero","marzo","abril","mayo","junio","julio","agosto","septiembre","octubre","noviembre","diciembre"},0)+1,0))</f>
        <v/>
      </c>
      <c r="E901" t="str">
        <f>+IFERROR(VLOOKUP(Fact_Impuestos[[#This Row], [Concepto Anterior]],Conceptos_Impuestos[#All],5,0),"")</f>
        <v/>
      </c>
      <c r="F901" t="str">
        <f>+IFERROR(VLOOKUP(Fact_Impuestos[[#This Row], 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ht="18.75" customHeight="1" x14ac:dyDescent="0.35">
      <c r="C902" s="100" t="str">
        <f>IF(OR(Fact_Impuestos[[#This Row], [Año]]="",Fact_Impuestos[[#This Row], [Mes]]=""),"",DATE(A902,MATCH(B902,{"enero","febrero","marzo","abril","mayo","junio","julio","agosto","septiembre","octubre","noviembre","diciembre"},0)+1,0))</f>
        <v/>
      </c>
      <c r="E902" t="str">
        <f>+IFERROR(VLOOKUP(Fact_Impuestos[[#This Row], [Concepto Anterior]],Conceptos_Impuestos[#All],5,0),"")</f>
        <v/>
      </c>
      <c r="F902" t="str">
        <f>+IFERROR(VLOOKUP(Fact_Impuestos[[#This Row], 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ht="18.75" customHeight="1" x14ac:dyDescent="0.35">
      <c r="C903" s="100" t="str">
        <f>IF(OR(Fact_Impuestos[[#This Row], [Año]]="",Fact_Impuestos[[#This Row], [Mes]]=""),"",DATE(A903,MATCH(B903,{"enero","febrero","marzo","abril","mayo","junio","julio","agosto","septiembre","octubre","noviembre","diciembre"},0)+1,0))</f>
        <v/>
      </c>
      <c r="E903" t="str">
        <f>+IFERROR(VLOOKUP(Fact_Impuestos[[#This Row], [Concepto Anterior]],Conceptos_Impuestos[#All],5,0),"")</f>
        <v/>
      </c>
      <c r="F903" t="str">
        <f>+IFERROR(VLOOKUP(Fact_Impuestos[[#This Row], 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ht="18.75" customHeight="1" x14ac:dyDescent="0.35">
      <c r="C904" s="100" t="str">
        <f>IF(OR(Fact_Impuestos[[#This Row], [Año]]="",Fact_Impuestos[[#This Row], [Mes]]=""),"",DATE(A904,MATCH(B904,{"enero","febrero","marzo","abril","mayo","junio","julio","agosto","septiembre","octubre","noviembre","diciembre"},0)+1,0))</f>
        <v/>
      </c>
      <c r="E904" t="str">
        <f>+IFERROR(VLOOKUP(Fact_Impuestos[[#This Row], [Concepto Anterior]],Conceptos_Impuestos[#All],5,0),"")</f>
        <v/>
      </c>
      <c r="F904" t="str">
        <f>+IFERROR(VLOOKUP(Fact_Impuestos[[#This Row], 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ht="18.75" customHeight="1" x14ac:dyDescent="0.35">
      <c r="C905" s="100" t="str">
        <f>IF(OR(Fact_Impuestos[[#This Row], [Año]]="",Fact_Impuestos[[#This Row], [Mes]]=""),"",DATE(A905,MATCH(B905,{"enero","febrero","marzo","abril","mayo","junio","julio","agosto","septiembre","octubre","noviembre","diciembre"},0)+1,0))</f>
        <v/>
      </c>
      <c r="E905" t="str">
        <f>+IFERROR(VLOOKUP(Fact_Impuestos[[#This Row], [Concepto Anterior]],Conceptos_Impuestos[#All],5,0),"")</f>
        <v/>
      </c>
      <c r="F905" t="str">
        <f>+IFERROR(VLOOKUP(Fact_Impuestos[[#This Row], 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ht="18.75" customHeight="1" x14ac:dyDescent="0.35">
      <c r="C906" s="100" t="str">
        <f>IF(OR(Fact_Impuestos[[#This Row], [Año]]="",Fact_Impuestos[[#This Row], [Mes]]=""),"",DATE(A906,MATCH(B906,{"enero","febrero","marzo","abril","mayo","junio","julio","agosto","septiembre","octubre","noviembre","diciembre"},0)+1,0))</f>
        <v/>
      </c>
      <c r="E906" t="str">
        <f>+IFERROR(VLOOKUP(Fact_Impuestos[[#This Row], [Concepto Anterior]],Conceptos_Impuestos[#All],5,0),"")</f>
        <v/>
      </c>
      <c r="F906" t="str">
        <f>+IFERROR(VLOOKUP(Fact_Impuestos[[#This Row], 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ht="18.75" customHeight="1" x14ac:dyDescent="0.35">
      <c r="C907" s="100" t="str">
        <f>IF(OR(Fact_Impuestos[[#This Row], [Año]]="",Fact_Impuestos[[#This Row], [Mes]]=""),"",DATE(A907,MATCH(B907,{"enero","febrero","marzo","abril","mayo","junio","julio","agosto","septiembre","octubre","noviembre","diciembre"},0)+1,0))</f>
        <v/>
      </c>
      <c r="E907" t="str">
        <f>+IFERROR(VLOOKUP(Fact_Impuestos[[#This Row], [Concepto Anterior]],Conceptos_Impuestos[#All],5,0),"")</f>
        <v/>
      </c>
      <c r="F907" t="str">
        <f>+IFERROR(VLOOKUP(Fact_Impuestos[[#This Row], 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ht="18.75" customHeight="1" x14ac:dyDescent="0.35">
      <c r="C908" s="100" t="str">
        <f>IF(OR(Fact_Impuestos[[#This Row], [Año]]="",Fact_Impuestos[[#This Row], [Mes]]=""),"",DATE(A908,MATCH(B908,{"enero","febrero","marzo","abril","mayo","junio","julio","agosto","septiembre","octubre","noviembre","diciembre"},0)+1,0))</f>
        <v/>
      </c>
      <c r="E908" t="str">
        <f>+IFERROR(VLOOKUP(Fact_Impuestos[[#This Row], [Concepto Anterior]],Conceptos_Impuestos[#All],5,0),"")</f>
        <v/>
      </c>
      <c r="F908" t="str">
        <f>+IFERROR(VLOOKUP(Fact_Impuestos[[#This Row], 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ht="18.75" customHeight="1" x14ac:dyDescent="0.35">
      <c r="C909" s="100" t="str">
        <f>IF(OR(Fact_Impuestos[[#This Row], [Año]]="",Fact_Impuestos[[#This Row], [Mes]]=""),"",DATE(A909,MATCH(B909,{"enero","febrero","marzo","abril","mayo","junio","julio","agosto","septiembre","octubre","noviembre","diciembre"},0)+1,0))</f>
        <v/>
      </c>
      <c r="E909" t="str">
        <f>+IFERROR(VLOOKUP(Fact_Impuestos[[#This Row], [Concepto Anterior]],Conceptos_Impuestos[#All],5,0),"")</f>
        <v/>
      </c>
      <c r="F909" t="str">
        <f>+IFERROR(VLOOKUP(Fact_Impuestos[[#This Row], 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ht="18.75" customHeight="1" x14ac:dyDescent="0.35">
      <c r="C910" s="100" t="str">
        <f>IF(OR(Fact_Impuestos[[#This Row], [Año]]="",Fact_Impuestos[[#This Row], [Mes]]=""),"",DATE(A910,MATCH(B910,{"enero","febrero","marzo","abril","mayo","junio","julio","agosto","septiembre","octubre","noviembre","diciembre"},0)+1,0))</f>
        <v/>
      </c>
      <c r="E910" t="str">
        <f>+IFERROR(VLOOKUP(Fact_Impuestos[[#This Row], [Concepto Anterior]],Conceptos_Impuestos[#All],5,0),"")</f>
        <v/>
      </c>
      <c r="F910" t="str">
        <f>+IFERROR(VLOOKUP(Fact_Impuestos[[#This Row], 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ht="18.75" customHeight="1" x14ac:dyDescent="0.35">
      <c r="C911" s="100" t="str">
        <f>IF(OR(Fact_Impuestos[[#This Row], [Año]]="",Fact_Impuestos[[#This Row], [Mes]]=""),"",DATE(A911,MATCH(B911,{"enero","febrero","marzo","abril","mayo","junio","julio","agosto","septiembre","octubre","noviembre","diciembre"},0)+1,0))</f>
        <v/>
      </c>
      <c r="E911" t="str">
        <f>+IFERROR(VLOOKUP(Fact_Impuestos[[#This Row], [Concepto Anterior]],Conceptos_Impuestos[#All],5,0),"")</f>
        <v/>
      </c>
      <c r="F911" t="str">
        <f>+IFERROR(VLOOKUP(Fact_Impuestos[[#This Row], 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ht="18.75" customHeight="1" x14ac:dyDescent="0.35">
      <c r="C912" s="100" t="str">
        <f>IF(OR(Fact_Impuestos[[#This Row], [Año]]="",Fact_Impuestos[[#This Row], [Mes]]=""),"",DATE(A912,MATCH(B912,{"enero","febrero","marzo","abril","mayo","junio","julio","agosto","septiembre","octubre","noviembre","diciembre"},0)+1,0))</f>
        <v/>
      </c>
      <c r="E912" t="str">
        <f>+IFERROR(VLOOKUP(Fact_Impuestos[[#This Row], [Concepto Anterior]],Conceptos_Impuestos[#All],5,0),"")</f>
        <v/>
      </c>
      <c r="F912" t="str">
        <f>+IFERROR(VLOOKUP(Fact_Impuestos[[#This Row], 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ht="18.75" customHeight="1" x14ac:dyDescent="0.35">
      <c r="C913" s="100" t="str">
        <f>IF(OR(Fact_Impuestos[[#This Row], [Año]]="",Fact_Impuestos[[#This Row], [Mes]]=""),"",DATE(A913,MATCH(B913,{"enero","febrero","marzo","abril","mayo","junio","julio","agosto","septiembre","octubre","noviembre","diciembre"},0)+1,0))</f>
        <v/>
      </c>
      <c r="E913" t="str">
        <f>+IFERROR(VLOOKUP(Fact_Impuestos[[#This Row], [Concepto Anterior]],Conceptos_Impuestos[#All],5,0),"")</f>
        <v/>
      </c>
      <c r="F913" t="str">
        <f>+IFERROR(VLOOKUP(Fact_Impuestos[[#This Row], 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ht="18.75" customHeight="1" x14ac:dyDescent="0.35">
      <c r="C914" s="100" t="str">
        <f>IF(OR(Fact_Impuestos[[#This Row], [Año]]="",Fact_Impuestos[[#This Row], [Mes]]=""),"",DATE(A914,MATCH(B914,{"enero","febrero","marzo","abril","mayo","junio","julio","agosto","septiembre","octubre","noviembre","diciembre"},0)+1,0))</f>
        <v/>
      </c>
      <c r="E914" t="str">
        <f>+IFERROR(VLOOKUP(Fact_Impuestos[[#This Row], [Concepto Anterior]],Conceptos_Impuestos[#All],5,0),"")</f>
        <v/>
      </c>
      <c r="F914" t="str">
        <f>+IFERROR(VLOOKUP(Fact_Impuestos[[#This Row], 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ht="18.75" customHeight="1" x14ac:dyDescent="0.35">
      <c r="C915" s="100" t="str">
        <f>IF(OR(Fact_Impuestos[[#This Row], [Año]]="",Fact_Impuestos[[#This Row], [Mes]]=""),"",DATE(A915,MATCH(B915,{"enero","febrero","marzo","abril","mayo","junio","julio","agosto","septiembre","octubre","noviembre","diciembre"},0)+1,0))</f>
        <v/>
      </c>
      <c r="E915" t="str">
        <f>+IFERROR(VLOOKUP(Fact_Impuestos[[#This Row], [Concepto Anterior]],Conceptos_Impuestos[#All],5,0),"")</f>
        <v/>
      </c>
      <c r="F915" t="str">
        <f>+IFERROR(VLOOKUP(Fact_Impuestos[[#This Row], 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ht="18.75" customHeight="1" x14ac:dyDescent="0.35">
      <c r="C916" s="100" t="str">
        <f>IF(OR(Fact_Impuestos[[#This Row], [Año]]="",Fact_Impuestos[[#This Row], [Mes]]=""),"",DATE(A916,MATCH(B916,{"enero","febrero","marzo","abril","mayo","junio","julio","agosto","septiembre","octubre","noviembre","diciembre"},0)+1,0))</f>
        <v/>
      </c>
      <c r="E916" t="str">
        <f>+IFERROR(VLOOKUP(Fact_Impuestos[[#This Row], [Concepto Anterior]],Conceptos_Impuestos[#All],5,0),"")</f>
        <v/>
      </c>
      <c r="F916" t="str">
        <f>+IFERROR(VLOOKUP(Fact_Impuestos[[#This Row], 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ht="18.75" customHeight="1" x14ac:dyDescent="0.35">
      <c r="C917" s="100" t="str">
        <f>IF(OR(Fact_Impuestos[[#This Row], [Año]]="",Fact_Impuestos[[#This Row], [Mes]]=""),"",DATE(A917,MATCH(B917,{"enero","febrero","marzo","abril","mayo","junio","julio","agosto","septiembre","octubre","noviembre","diciembre"},0)+1,0))</f>
        <v/>
      </c>
      <c r="E917" t="str">
        <f>+IFERROR(VLOOKUP(Fact_Impuestos[[#This Row], [Concepto Anterior]],Conceptos_Impuestos[#All],5,0),"")</f>
        <v/>
      </c>
      <c r="F917" t="str">
        <f>+IFERROR(VLOOKUP(Fact_Impuestos[[#This Row], 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ht="18.75" customHeight="1" x14ac:dyDescent="0.35">
      <c r="C918" s="100" t="str">
        <f>IF(OR(Fact_Impuestos[[#This Row], [Año]]="",Fact_Impuestos[[#This Row], [Mes]]=""),"",DATE(A918,MATCH(B918,{"enero","febrero","marzo","abril","mayo","junio","julio","agosto","septiembre","octubre","noviembre","diciembre"},0)+1,0))</f>
        <v/>
      </c>
      <c r="E918" t="str">
        <f>+IFERROR(VLOOKUP(Fact_Impuestos[[#This Row], [Concepto Anterior]],Conceptos_Impuestos[#All],5,0),"")</f>
        <v/>
      </c>
      <c r="F918" t="str">
        <f>+IFERROR(VLOOKUP(Fact_Impuestos[[#This Row], 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ht="18.75" customHeight="1" x14ac:dyDescent="0.35">
      <c r="C919" s="100" t="str">
        <f>IF(OR(Fact_Impuestos[[#This Row], [Año]]="",Fact_Impuestos[[#This Row], [Mes]]=""),"",DATE(A919,MATCH(B919,{"enero","febrero","marzo","abril","mayo","junio","julio","agosto","septiembre","octubre","noviembre","diciembre"},0)+1,0))</f>
        <v/>
      </c>
      <c r="E919" t="str">
        <f>+IFERROR(VLOOKUP(Fact_Impuestos[[#This Row], [Concepto Anterior]],Conceptos_Impuestos[#All],5,0),"")</f>
        <v/>
      </c>
      <c r="F919" t="str">
        <f>+IFERROR(VLOOKUP(Fact_Impuestos[[#This Row], 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ht="18.75" customHeight="1" x14ac:dyDescent="0.35">
      <c r="C920" s="100" t="str">
        <f>IF(OR(Fact_Impuestos[[#This Row], [Año]]="",Fact_Impuestos[[#This Row], [Mes]]=""),"",DATE(A920,MATCH(B920,{"enero","febrero","marzo","abril","mayo","junio","julio","agosto","septiembre","octubre","noviembre","diciembre"},0)+1,0))</f>
        <v/>
      </c>
      <c r="E920" t="str">
        <f>+IFERROR(VLOOKUP(Fact_Impuestos[[#This Row], [Concepto Anterior]],Conceptos_Impuestos[#All],5,0),"")</f>
        <v/>
      </c>
      <c r="F920" t="str">
        <f>+IFERROR(VLOOKUP(Fact_Impuestos[[#This Row], 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ht="18.75" customHeight="1" x14ac:dyDescent="0.35">
      <c r="C921" s="100" t="str">
        <f>IF(OR(Fact_Impuestos[[#This Row], [Año]]="",Fact_Impuestos[[#This Row], [Mes]]=""),"",DATE(A921,MATCH(B921,{"enero","febrero","marzo","abril","mayo","junio","julio","agosto","septiembre","octubre","noviembre","diciembre"},0)+1,0))</f>
        <v/>
      </c>
      <c r="E921" t="str">
        <f>+IFERROR(VLOOKUP(Fact_Impuestos[[#This Row], [Concepto Anterior]],Conceptos_Impuestos[#All],5,0),"")</f>
        <v/>
      </c>
      <c r="F921" t="str">
        <f>+IFERROR(VLOOKUP(Fact_Impuestos[[#This Row], 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ht="18.75" customHeight="1" x14ac:dyDescent="0.35">
      <c r="C922" s="100" t="str">
        <f>IF(OR(Fact_Impuestos[[#This Row], [Año]]="",Fact_Impuestos[[#This Row], [Mes]]=""),"",DATE(A922,MATCH(B922,{"enero","febrero","marzo","abril","mayo","junio","julio","agosto","septiembre","octubre","noviembre","diciembre"},0)+1,0))</f>
        <v/>
      </c>
      <c r="E922" t="str">
        <f>+IFERROR(VLOOKUP(Fact_Impuestos[[#This Row], [Concepto Anterior]],Conceptos_Impuestos[#All],5,0),"")</f>
        <v/>
      </c>
      <c r="F922" t="str">
        <f>+IFERROR(VLOOKUP(Fact_Impuestos[[#This Row], 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ht="18.75" customHeight="1" x14ac:dyDescent="0.35">
      <c r="C923" s="100" t="str">
        <f>IF(OR(Fact_Impuestos[[#This Row], [Año]]="",Fact_Impuestos[[#This Row], [Mes]]=""),"",DATE(A923,MATCH(B923,{"enero","febrero","marzo","abril","mayo","junio","julio","agosto","septiembre","octubre","noviembre","diciembre"},0)+1,0))</f>
        <v/>
      </c>
      <c r="E923" t="str">
        <f>+IFERROR(VLOOKUP(Fact_Impuestos[[#This Row], [Concepto Anterior]],Conceptos_Impuestos[#All],5,0),"")</f>
        <v/>
      </c>
      <c r="F923" t="str">
        <f>+IFERROR(VLOOKUP(Fact_Impuestos[[#This Row], 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ht="18.75" customHeight="1" x14ac:dyDescent="0.35">
      <c r="C924" s="100" t="str">
        <f>IF(OR(Fact_Impuestos[[#This Row], [Año]]="",Fact_Impuestos[[#This Row], [Mes]]=""),"",DATE(A924,MATCH(B924,{"enero","febrero","marzo","abril","mayo","junio","julio","agosto","septiembre","octubre","noviembre","diciembre"},0)+1,0))</f>
        <v/>
      </c>
      <c r="E924" t="str">
        <f>+IFERROR(VLOOKUP(Fact_Impuestos[[#This Row], [Concepto Anterior]],Conceptos_Impuestos[#All],5,0),"")</f>
        <v/>
      </c>
      <c r="F924" t="str">
        <f>+IFERROR(VLOOKUP(Fact_Impuestos[[#This Row], 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ht="18.75" customHeight="1" x14ac:dyDescent="0.35">
      <c r="C925" s="100" t="str">
        <f>IF(OR(Fact_Impuestos[[#This Row], [Año]]="",Fact_Impuestos[[#This Row], [Mes]]=""),"",DATE(A925,MATCH(B925,{"enero","febrero","marzo","abril","mayo","junio","julio","agosto","septiembre","octubre","noviembre","diciembre"},0)+1,0))</f>
        <v/>
      </c>
      <c r="E925" t="str">
        <f>+IFERROR(VLOOKUP(Fact_Impuestos[[#This Row], [Concepto Anterior]],Conceptos_Impuestos[#All],5,0),"")</f>
        <v/>
      </c>
      <c r="F925" t="str">
        <f>+IFERROR(VLOOKUP(Fact_Impuestos[[#This Row], 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ht="18.75" customHeight="1" x14ac:dyDescent="0.35">
      <c r="C926" s="100" t="str">
        <f>IF(OR(Fact_Impuestos[[#This Row], [Año]]="",Fact_Impuestos[[#This Row], [Mes]]=""),"",DATE(A926,MATCH(B926,{"enero","febrero","marzo","abril","mayo","junio","julio","agosto","septiembre","octubre","noviembre","diciembre"},0)+1,0))</f>
        <v/>
      </c>
      <c r="E926" t="str">
        <f>+IFERROR(VLOOKUP(Fact_Impuestos[[#This Row], [Concepto Anterior]],Conceptos_Impuestos[#All],5,0),"")</f>
        <v/>
      </c>
      <c r="F926" t="str">
        <f>+IFERROR(VLOOKUP(Fact_Impuestos[[#This Row], 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ht="18.75" customHeight="1" x14ac:dyDescent="0.35">
      <c r="C927" s="100" t="str">
        <f>IF(OR(Fact_Impuestos[[#This Row], [Año]]="",Fact_Impuestos[[#This Row], [Mes]]=""),"",DATE(A927,MATCH(B927,{"enero","febrero","marzo","abril","mayo","junio","julio","agosto","septiembre","octubre","noviembre","diciembre"},0)+1,0))</f>
        <v/>
      </c>
      <c r="E927" t="str">
        <f>+IFERROR(VLOOKUP(Fact_Impuestos[[#This Row], [Concepto Anterior]],Conceptos_Impuestos[#All],5,0),"")</f>
        <v/>
      </c>
      <c r="F927" t="str">
        <f>+IFERROR(VLOOKUP(Fact_Impuestos[[#This Row], 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ht="18.75" customHeight="1" x14ac:dyDescent="0.35">
      <c r="C928" s="100" t="str">
        <f>IF(OR(Fact_Impuestos[[#This Row], [Año]]="",Fact_Impuestos[[#This Row], [Mes]]=""),"",DATE(A928,MATCH(B928,{"enero","febrero","marzo","abril","mayo","junio","julio","agosto","septiembre","octubre","noviembre","diciembre"},0)+1,0))</f>
        <v/>
      </c>
      <c r="E928" t="str">
        <f>+IFERROR(VLOOKUP(Fact_Impuestos[[#This Row], [Concepto Anterior]],Conceptos_Impuestos[#All],5,0),"")</f>
        <v/>
      </c>
      <c r="F928" t="str">
        <f>+IFERROR(VLOOKUP(Fact_Impuestos[[#This Row], 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ht="18.75" customHeight="1" x14ac:dyDescent="0.35">
      <c r="C929" s="100" t="str">
        <f>IF(OR(Fact_Impuestos[[#This Row], [Año]]="",Fact_Impuestos[[#This Row], [Mes]]=""),"",DATE(A929,MATCH(B929,{"enero","febrero","marzo","abril","mayo","junio","julio","agosto","septiembre","octubre","noviembre","diciembre"},0)+1,0))</f>
        <v/>
      </c>
      <c r="E929" t="str">
        <f>+IFERROR(VLOOKUP(Fact_Impuestos[[#This Row], [Concepto Anterior]],Conceptos_Impuestos[#All],5,0),"")</f>
        <v/>
      </c>
      <c r="F929" t="str">
        <f>+IFERROR(VLOOKUP(Fact_Impuestos[[#This Row], 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ht="18.75" customHeight="1" x14ac:dyDescent="0.35">
      <c r="C930" s="100" t="str">
        <f>IF(OR(Fact_Impuestos[[#This Row], [Año]]="",Fact_Impuestos[[#This Row], [Mes]]=""),"",DATE(A930,MATCH(B930,{"enero","febrero","marzo","abril","mayo","junio","julio","agosto","septiembre","octubre","noviembre","diciembre"},0)+1,0))</f>
        <v/>
      </c>
      <c r="E930" t="str">
        <f>+IFERROR(VLOOKUP(Fact_Impuestos[[#This Row], [Concepto Anterior]],Conceptos_Impuestos[#All],5,0),"")</f>
        <v/>
      </c>
      <c r="F930" t="str">
        <f>+IFERROR(VLOOKUP(Fact_Impuestos[[#This Row], 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ht="18.75" customHeight="1" x14ac:dyDescent="0.35">
      <c r="C931" s="100" t="str">
        <f>IF(OR(Fact_Impuestos[[#This Row], [Año]]="",Fact_Impuestos[[#This Row], [Mes]]=""),"",DATE(A931,MATCH(B931,{"enero","febrero","marzo","abril","mayo","junio","julio","agosto","septiembre","octubre","noviembre","diciembre"},0)+1,0))</f>
        <v/>
      </c>
      <c r="E931" t="str">
        <f>+IFERROR(VLOOKUP(Fact_Impuestos[[#This Row], [Concepto Anterior]],Conceptos_Impuestos[#All],5,0),"")</f>
        <v/>
      </c>
      <c r="F931" t="str">
        <f>+IFERROR(VLOOKUP(Fact_Impuestos[[#This Row], 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ht="18.75" customHeight="1" x14ac:dyDescent="0.35">
      <c r="C932" s="100" t="str">
        <f>IF(OR(Fact_Impuestos[[#This Row], [Año]]="",Fact_Impuestos[[#This Row], [Mes]]=""),"",DATE(A932,MATCH(B932,{"enero","febrero","marzo","abril","mayo","junio","julio","agosto","septiembre","octubre","noviembre","diciembre"},0)+1,0))</f>
        <v/>
      </c>
      <c r="E932" t="str">
        <f>+IFERROR(VLOOKUP(Fact_Impuestos[[#This Row], [Concepto Anterior]],Conceptos_Impuestos[#All],5,0),"")</f>
        <v/>
      </c>
      <c r="F932" t="str">
        <f>+IFERROR(VLOOKUP(Fact_Impuestos[[#This Row], 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ht="18.75" customHeight="1" x14ac:dyDescent="0.35">
      <c r="C933" s="100" t="str">
        <f>IF(OR(Fact_Impuestos[[#This Row], [Año]]="",Fact_Impuestos[[#This Row], [Mes]]=""),"",DATE(A933,MATCH(B933,{"enero","febrero","marzo","abril","mayo","junio","julio","agosto","septiembre","octubre","noviembre","diciembre"},0)+1,0))</f>
        <v/>
      </c>
      <c r="E933" t="str">
        <f>+IFERROR(VLOOKUP(Fact_Impuestos[[#This Row], [Concepto Anterior]],Conceptos_Impuestos[#All],5,0),"")</f>
        <v/>
      </c>
      <c r="F933" t="str">
        <f>+IFERROR(VLOOKUP(Fact_Impuestos[[#This Row], 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ht="18.75" customHeight="1" x14ac:dyDescent="0.35">
      <c r="C934" s="100" t="str">
        <f>IF(OR(Fact_Impuestos[[#This Row], [Año]]="",Fact_Impuestos[[#This Row], [Mes]]=""),"",DATE(A934,MATCH(B934,{"enero","febrero","marzo","abril","mayo","junio","julio","agosto","septiembre","octubre","noviembre","diciembre"},0)+1,0))</f>
        <v/>
      </c>
      <c r="E934" t="str">
        <f>+IFERROR(VLOOKUP(Fact_Impuestos[[#This Row], [Concepto Anterior]],Conceptos_Impuestos[#All],5,0),"")</f>
        <v/>
      </c>
      <c r="F934" t="str">
        <f>+IFERROR(VLOOKUP(Fact_Impuestos[[#This Row], 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ht="18.75" customHeight="1" x14ac:dyDescent="0.35">
      <c r="C935" s="100" t="str">
        <f>IF(OR(Fact_Impuestos[[#This Row], [Año]]="",Fact_Impuestos[[#This Row], [Mes]]=""),"",DATE(A935,MATCH(B935,{"enero","febrero","marzo","abril","mayo","junio","julio","agosto","septiembre","octubre","noviembre","diciembre"},0)+1,0))</f>
        <v/>
      </c>
      <c r="E935" t="str">
        <f>+IFERROR(VLOOKUP(Fact_Impuestos[[#This Row], [Concepto Anterior]],Conceptos_Impuestos[#All],5,0),"")</f>
        <v/>
      </c>
      <c r="F935" t="str">
        <f>+IFERROR(VLOOKUP(Fact_Impuestos[[#This Row], 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ht="18.75" customHeight="1" x14ac:dyDescent="0.35">
      <c r="C936" s="100" t="str">
        <f>IF(OR(Fact_Impuestos[[#This Row], [Año]]="",Fact_Impuestos[[#This Row], [Mes]]=""),"",DATE(A936,MATCH(B936,{"enero","febrero","marzo","abril","mayo","junio","julio","agosto","septiembre","octubre","noviembre","diciembre"},0)+1,0))</f>
        <v/>
      </c>
      <c r="E936" t="str">
        <f>+IFERROR(VLOOKUP(Fact_Impuestos[[#This Row], [Concepto Anterior]],Conceptos_Impuestos[#All],5,0),"")</f>
        <v/>
      </c>
      <c r="F936" t="str">
        <f>+IFERROR(VLOOKUP(Fact_Impuestos[[#This Row], 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ht="18.75" customHeight="1" x14ac:dyDescent="0.35">
      <c r="C937" s="100" t="str">
        <f>IF(OR(Fact_Impuestos[[#This Row], [Año]]="",Fact_Impuestos[[#This Row], [Mes]]=""),"",DATE(A937,MATCH(B937,{"enero","febrero","marzo","abril","mayo","junio","julio","agosto","septiembre","octubre","noviembre","diciembre"},0)+1,0))</f>
        <v/>
      </c>
      <c r="E937" t="str">
        <f>+IFERROR(VLOOKUP(Fact_Impuestos[[#This Row], [Concepto Anterior]],Conceptos_Impuestos[#All],5,0),"")</f>
        <v/>
      </c>
      <c r="F937" t="str">
        <f>+IFERROR(VLOOKUP(Fact_Impuestos[[#This Row], 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ht="18.75" customHeight="1" x14ac:dyDescent="0.35">
      <c r="C938" s="100" t="str">
        <f>IF(OR(Fact_Impuestos[[#This Row], [Año]]="",Fact_Impuestos[[#This Row], [Mes]]=""),"",DATE(A938,MATCH(B938,{"enero","febrero","marzo","abril","mayo","junio","julio","agosto","septiembre","octubre","noviembre","diciembre"},0)+1,0))</f>
        <v/>
      </c>
      <c r="E938" t="str">
        <f>+IFERROR(VLOOKUP(Fact_Impuestos[[#This Row], [Concepto Anterior]],Conceptos_Impuestos[#All],5,0),"")</f>
        <v/>
      </c>
      <c r="F938" t="str">
        <f>+IFERROR(VLOOKUP(Fact_Impuestos[[#This Row], 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ht="18.75" customHeight="1" x14ac:dyDescent="0.35">
      <c r="C939" s="100" t="str">
        <f>IF(OR(Fact_Impuestos[[#This Row], [Año]]="",Fact_Impuestos[[#This Row], [Mes]]=""),"",DATE(A939,MATCH(B939,{"enero","febrero","marzo","abril","mayo","junio","julio","agosto","septiembre","octubre","noviembre","diciembre"},0)+1,0))</f>
        <v/>
      </c>
      <c r="E939" t="str">
        <f>+IFERROR(VLOOKUP(Fact_Impuestos[[#This Row], [Concepto Anterior]],Conceptos_Impuestos[#All],5,0),"")</f>
        <v/>
      </c>
      <c r="F939" t="str">
        <f>+IFERROR(VLOOKUP(Fact_Impuestos[[#This Row], 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ht="18.75" customHeight="1" x14ac:dyDescent="0.35">
      <c r="C940" s="100" t="str">
        <f>IF(OR(Fact_Impuestos[[#This Row], [Año]]="",Fact_Impuestos[[#This Row], [Mes]]=""),"",DATE(A940,MATCH(B940,{"enero","febrero","marzo","abril","mayo","junio","julio","agosto","septiembre","octubre","noviembre","diciembre"},0)+1,0))</f>
        <v/>
      </c>
      <c r="E940" t="str">
        <f>+IFERROR(VLOOKUP(Fact_Impuestos[[#This Row], [Concepto Anterior]],Conceptos_Impuestos[#All],5,0),"")</f>
        <v/>
      </c>
      <c r="F940" t="str">
        <f>+IFERROR(VLOOKUP(Fact_Impuestos[[#This Row], 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ht="18.75" customHeight="1" x14ac:dyDescent="0.35">
      <c r="C941" s="100" t="str">
        <f>IF(OR(Fact_Impuestos[[#This Row], [Año]]="",Fact_Impuestos[[#This Row], [Mes]]=""),"",DATE(A941,MATCH(B941,{"enero","febrero","marzo","abril","mayo","junio","julio","agosto","septiembre","octubre","noviembre","diciembre"},0)+1,0))</f>
        <v/>
      </c>
      <c r="E941" t="str">
        <f>+IFERROR(VLOOKUP(Fact_Impuestos[[#This Row], [Concepto Anterior]],Conceptos_Impuestos[#All],5,0),"")</f>
        <v/>
      </c>
      <c r="F941" t="str">
        <f>+IFERROR(VLOOKUP(Fact_Impuestos[[#This Row], 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ht="18.75" customHeight="1" x14ac:dyDescent="0.35">
      <c r="C942" s="100" t="str">
        <f>IF(OR(Fact_Impuestos[[#This Row], [Año]]="",Fact_Impuestos[[#This Row], [Mes]]=""),"",DATE(A942,MATCH(B942,{"enero","febrero","marzo","abril","mayo","junio","julio","agosto","septiembre","octubre","noviembre","diciembre"},0)+1,0))</f>
        <v/>
      </c>
      <c r="E942" t="str">
        <f>+IFERROR(VLOOKUP(Fact_Impuestos[[#This Row], [Concepto Anterior]],Conceptos_Impuestos[#All],5,0),"")</f>
        <v/>
      </c>
      <c r="F942" t="str">
        <f>+IFERROR(VLOOKUP(Fact_Impuestos[[#This Row], 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ht="18.75" customHeight="1" x14ac:dyDescent="0.35">
      <c r="C943" s="100" t="str">
        <f>IF(OR(Fact_Impuestos[[#This Row], [Año]]="",Fact_Impuestos[[#This Row], [Mes]]=""),"",DATE(A943,MATCH(B943,{"enero","febrero","marzo","abril","mayo","junio","julio","agosto","septiembre","octubre","noviembre","diciembre"},0)+1,0))</f>
        <v/>
      </c>
      <c r="E943" t="str">
        <f>+IFERROR(VLOOKUP(Fact_Impuestos[[#This Row], [Concepto Anterior]],Conceptos_Impuestos[#All],5,0),"")</f>
        <v/>
      </c>
      <c r="F943" t="str">
        <f>+IFERROR(VLOOKUP(Fact_Impuestos[[#This Row], 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ht="18.75" customHeight="1" x14ac:dyDescent="0.35">
      <c r="C944" s="100" t="str">
        <f>IF(OR(Fact_Impuestos[[#This Row], [Año]]="",Fact_Impuestos[[#This Row], [Mes]]=""),"",DATE(A944,MATCH(B944,{"enero","febrero","marzo","abril","mayo","junio","julio","agosto","septiembre","octubre","noviembre","diciembre"},0)+1,0))</f>
        <v/>
      </c>
      <c r="E944" t="str">
        <f>+IFERROR(VLOOKUP(Fact_Impuestos[[#This Row], [Concepto Anterior]],Conceptos_Impuestos[#All],5,0),"")</f>
        <v/>
      </c>
      <c r="F944" t="str">
        <f>+IFERROR(VLOOKUP(Fact_Impuestos[[#This Row], 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ht="18.75" customHeight="1" x14ac:dyDescent="0.35">
      <c r="C945" s="100" t="str">
        <f>IF(OR(Fact_Impuestos[[#This Row], [Año]]="",Fact_Impuestos[[#This Row], [Mes]]=""),"",DATE(A945,MATCH(B945,{"enero","febrero","marzo","abril","mayo","junio","julio","agosto","septiembre","octubre","noviembre","diciembre"},0)+1,0))</f>
        <v/>
      </c>
      <c r="E945" t="str">
        <f>+IFERROR(VLOOKUP(Fact_Impuestos[[#This Row], [Concepto Anterior]],Conceptos_Impuestos[#All],5,0),"")</f>
        <v/>
      </c>
      <c r="F945" t="str">
        <f>+IFERROR(VLOOKUP(Fact_Impuestos[[#This Row], 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ht="18.75" customHeight="1" x14ac:dyDescent="0.35">
      <c r="C946" s="100" t="str">
        <f>IF(OR(Fact_Impuestos[[#This Row], [Año]]="",Fact_Impuestos[[#This Row], [Mes]]=""),"",DATE(A946,MATCH(B946,{"enero","febrero","marzo","abril","mayo","junio","julio","agosto","septiembre","octubre","noviembre","diciembre"},0)+1,0))</f>
        <v/>
      </c>
      <c r="E946" t="str">
        <f>+IFERROR(VLOOKUP(Fact_Impuestos[[#This Row], [Concepto Anterior]],Conceptos_Impuestos[#All],5,0),"")</f>
        <v/>
      </c>
      <c r="F946" t="str">
        <f>+IFERROR(VLOOKUP(Fact_Impuestos[[#This Row], 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ht="18.75" customHeight="1" x14ac:dyDescent="0.35">
      <c r="C947" s="100" t="str">
        <f>IF(OR(Fact_Impuestos[[#This Row], [Año]]="",Fact_Impuestos[[#This Row], [Mes]]=""),"",DATE(A947,MATCH(B947,{"enero","febrero","marzo","abril","mayo","junio","julio","agosto","septiembre","octubre","noviembre","diciembre"},0)+1,0))</f>
        <v/>
      </c>
      <c r="E947" t="str">
        <f>+IFERROR(VLOOKUP(Fact_Impuestos[[#This Row], [Concepto Anterior]],Conceptos_Impuestos[#All],5,0),"")</f>
        <v/>
      </c>
      <c r="F947" t="str">
        <f>+IFERROR(VLOOKUP(Fact_Impuestos[[#This Row], 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ht="18.75" customHeight="1" x14ac:dyDescent="0.35">
      <c r="C948" s="100" t="str">
        <f>IF(OR(Fact_Impuestos[[#This Row], [Año]]="",Fact_Impuestos[[#This Row], [Mes]]=""),"",DATE(A948,MATCH(B948,{"enero","febrero","marzo","abril","mayo","junio","julio","agosto","septiembre","octubre","noviembre","diciembre"},0)+1,0))</f>
        <v/>
      </c>
      <c r="E948" t="str">
        <f>+IFERROR(VLOOKUP(Fact_Impuestos[[#This Row], [Concepto Anterior]],Conceptos_Impuestos[#All],5,0),"")</f>
        <v/>
      </c>
      <c r="F948" t="str">
        <f>+IFERROR(VLOOKUP(Fact_Impuestos[[#This Row], 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ht="18.75" customHeight="1" x14ac:dyDescent="0.35">
      <c r="C949" s="100" t="str">
        <f>IF(OR(Fact_Impuestos[[#This Row], [Año]]="",Fact_Impuestos[[#This Row], [Mes]]=""),"",DATE(A949,MATCH(B949,{"enero","febrero","marzo","abril","mayo","junio","julio","agosto","septiembre","octubre","noviembre","diciembre"},0)+1,0))</f>
        <v/>
      </c>
      <c r="E949" t="str">
        <f>+IFERROR(VLOOKUP(Fact_Impuestos[[#This Row], [Concepto Anterior]],Conceptos_Impuestos[#All],5,0),"")</f>
        <v/>
      </c>
      <c r="F949" t="str">
        <f>+IFERROR(VLOOKUP(Fact_Impuestos[[#This Row], 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ht="18.75" customHeight="1" x14ac:dyDescent="0.35">
      <c r="C950" s="100" t="str">
        <f>IF(OR(Fact_Impuestos[[#This Row], [Año]]="",Fact_Impuestos[[#This Row], [Mes]]=""),"",DATE(A950,MATCH(B950,{"enero","febrero","marzo","abril","mayo","junio","julio","agosto","septiembre","octubre","noviembre","diciembre"},0)+1,0))</f>
        <v/>
      </c>
      <c r="E950" t="str">
        <f>+IFERROR(VLOOKUP(Fact_Impuestos[[#This Row], [Concepto Anterior]],Conceptos_Impuestos[#All],5,0),"")</f>
        <v/>
      </c>
      <c r="F950" t="str">
        <f>+IFERROR(VLOOKUP(Fact_Impuestos[[#This Row], 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ht="18.75" customHeight="1" x14ac:dyDescent="0.35">
      <c r="C951" s="100" t="str">
        <f>IF(OR(Fact_Impuestos[[#This Row], [Año]]="",Fact_Impuestos[[#This Row], [Mes]]=""),"",DATE(A951,MATCH(B951,{"enero","febrero","marzo","abril","mayo","junio","julio","agosto","septiembre","octubre","noviembre","diciembre"},0)+1,0))</f>
        <v/>
      </c>
      <c r="E951" t="str">
        <f>+IFERROR(VLOOKUP(Fact_Impuestos[[#This Row], [Concepto Anterior]],Conceptos_Impuestos[#All],5,0),"")</f>
        <v/>
      </c>
      <c r="F951" t="str">
        <f>+IFERROR(VLOOKUP(Fact_Impuestos[[#This Row], 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ht="18.75" customHeight="1" x14ac:dyDescent="0.35">
      <c r="C952" s="100" t="str">
        <f>IF(OR(Fact_Impuestos[[#This Row], [Año]]="",Fact_Impuestos[[#This Row], [Mes]]=""),"",DATE(A952,MATCH(B952,{"enero","febrero","marzo","abril","mayo","junio","julio","agosto","septiembre","octubre","noviembre","diciembre"},0)+1,0))</f>
        <v/>
      </c>
      <c r="E952" t="str">
        <f>+IFERROR(VLOOKUP(Fact_Impuestos[[#This Row], [Concepto Anterior]],Conceptos_Impuestos[#All],5,0),"")</f>
        <v/>
      </c>
      <c r="F952" t="str">
        <f>+IFERROR(VLOOKUP(Fact_Impuestos[[#This Row], 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ht="18.75" customHeight="1" x14ac:dyDescent="0.35">
      <c r="C953" s="100" t="str">
        <f>IF(OR(Fact_Impuestos[[#This Row], [Año]]="",Fact_Impuestos[[#This Row], [Mes]]=""),"",DATE(A953,MATCH(B953,{"enero","febrero","marzo","abril","mayo","junio","julio","agosto","septiembre","octubre","noviembre","diciembre"},0)+1,0))</f>
        <v/>
      </c>
      <c r="E953" t="str">
        <f>+IFERROR(VLOOKUP(Fact_Impuestos[[#This Row], [Concepto Anterior]],Conceptos_Impuestos[#All],5,0),"")</f>
        <v/>
      </c>
      <c r="F953" t="str">
        <f>+IFERROR(VLOOKUP(Fact_Impuestos[[#This Row], 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ht="18.75" customHeight="1" x14ac:dyDescent="0.35">
      <c r="C954" s="100" t="str">
        <f>IF(OR(Fact_Impuestos[[#This Row], [Año]]="",Fact_Impuestos[[#This Row], [Mes]]=""),"",DATE(A954,MATCH(B954,{"enero","febrero","marzo","abril","mayo","junio","julio","agosto","septiembre","octubre","noviembre","diciembre"},0)+1,0))</f>
        <v/>
      </c>
      <c r="E954" t="str">
        <f>+IFERROR(VLOOKUP(Fact_Impuestos[[#This Row], [Concepto Anterior]],Conceptos_Impuestos[#All],5,0),"")</f>
        <v/>
      </c>
      <c r="F954" t="str">
        <f>+IFERROR(VLOOKUP(Fact_Impuestos[[#This Row], 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ht="18.75" customHeight="1" x14ac:dyDescent="0.35">
      <c r="C955" s="100" t="str">
        <f>IF(OR(Fact_Impuestos[[#This Row], [Año]]="",Fact_Impuestos[[#This Row], [Mes]]=""),"",DATE(A955,MATCH(B955,{"enero","febrero","marzo","abril","mayo","junio","julio","agosto","septiembre","octubre","noviembre","diciembre"},0)+1,0))</f>
        <v/>
      </c>
      <c r="E955" t="str">
        <f>+IFERROR(VLOOKUP(Fact_Impuestos[[#This Row], [Concepto Anterior]],Conceptos_Impuestos[#All],5,0),"")</f>
        <v/>
      </c>
      <c r="F955" t="str">
        <f>+IFERROR(VLOOKUP(Fact_Impuestos[[#This Row], 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ht="18.75" customHeight="1" x14ac:dyDescent="0.35">
      <c r="C956" s="100" t="str">
        <f>IF(OR(Fact_Impuestos[[#This Row], [Año]]="",Fact_Impuestos[[#This Row], [Mes]]=""),"",DATE(A956,MATCH(B956,{"enero","febrero","marzo","abril","mayo","junio","julio","agosto","septiembre","octubre","noviembre","diciembre"},0)+1,0))</f>
        <v/>
      </c>
      <c r="E956" t="str">
        <f>+IFERROR(VLOOKUP(Fact_Impuestos[[#This Row], [Concepto Anterior]],Conceptos_Impuestos[#All],5,0),"")</f>
        <v/>
      </c>
      <c r="F956" t="str">
        <f>+IFERROR(VLOOKUP(Fact_Impuestos[[#This Row], 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ht="18.75" customHeight="1" x14ac:dyDescent="0.35">
      <c r="C957" s="100" t="str">
        <f>IF(OR(Fact_Impuestos[[#This Row], [Año]]="",Fact_Impuestos[[#This Row], [Mes]]=""),"",DATE(A957,MATCH(B957,{"enero","febrero","marzo","abril","mayo","junio","julio","agosto","septiembre","octubre","noviembre","diciembre"},0)+1,0))</f>
        <v/>
      </c>
      <c r="E957" t="str">
        <f>+IFERROR(VLOOKUP(Fact_Impuestos[[#This Row], [Concepto Anterior]],Conceptos_Impuestos[#All],5,0),"")</f>
        <v/>
      </c>
      <c r="F957" t="str">
        <f>+IFERROR(VLOOKUP(Fact_Impuestos[[#This Row], 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ht="18.75" customHeight="1" x14ac:dyDescent="0.35">
      <c r="C958" s="100" t="str">
        <f>IF(OR(Fact_Impuestos[[#This Row], [Año]]="",Fact_Impuestos[[#This Row], [Mes]]=""),"",DATE(A958,MATCH(B958,{"enero","febrero","marzo","abril","mayo","junio","julio","agosto","septiembre","octubre","noviembre","diciembre"},0)+1,0))</f>
        <v/>
      </c>
      <c r="E958" t="str">
        <f>+IFERROR(VLOOKUP(Fact_Impuestos[[#This Row], [Concepto Anterior]],Conceptos_Impuestos[#All],5,0),"")</f>
        <v/>
      </c>
      <c r="F958" t="str">
        <f>+IFERROR(VLOOKUP(Fact_Impuestos[[#This Row], 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ht="18.75" customHeight="1" x14ac:dyDescent="0.35">
      <c r="C959" s="100" t="str">
        <f>IF(OR(Fact_Impuestos[[#This Row], [Año]]="",Fact_Impuestos[[#This Row], [Mes]]=""),"",DATE(A959,MATCH(B959,{"enero","febrero","marzo","abril","mayo","junio","julio","agosto","septiembre","octubre","noviembre","diciembre"},0)+1,0))</f>
        <v/>
      </c>
      <c r="E959" t="str">
        <f>+IFERROR(VLOOKUP(Fact_Impuestos[[#This Row], [Concepto Anterior]],Conceptos_Impuestos[#All],5,0),"")</f>
        <v/>
      </c>
      <c r="F959" t="str">
        <f>+IFERROR(VLOOKUP(Fact_Impuestos[[#This Row], 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ht="18.75" customHeight="1" x14ac:dyDescent="0.35">
      <c r="C960" s="100" t="str">
        <f>IF(OR(Fact_Impuestos[[#This Row], [Año]]="",Fact_Impuestos[[#This Row], [Mes]]=""),"",DATE(A960,MATCH(B960,{"enero","febrero","marzo","abril","mayo","junio","julio","agosto","septiembre","octubre","noviembre","diciembre"},0)+1,0))</f>
        <v/>
      </c>
      <c r="E960" t="str">
        <f>+IFERROR(VLOOKUP(Fact_Impuestos[[#This Row], [Concepto Anterior]],Conceptos_Impuestos[#All],5,0),"")</f>
        <v/>
      </c>
      <c r="F960" t="str">
        <f>+IFERROR(VLOOKUP(Fact_Impuestos[[#This Row], 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ht="18.75" customHeight="1" x14ac:dyDescent="0.35">
      <c r="C961" s="100" t="str">
        <f>IF(OR(Fact_Impuestos[[#This Row], [Año]]="",Fact_Impuestos[[#This Row], [Mes]]=""),"",DATE(A961,MATCH(B961,{"enero","febrero","marzo","abril","mayo","junio","julio","agosto","septiembre","octubre","noviembre","diciembre"},0)+1,0))</f>
        <v/>
      </c>
      <c r="E961" t="str">
        <f>+IFERROR(VLOOKUP(Fact_Impuestos[[#This Row], [Concepto Anterior]],Conceptos_Impuestos[#All],5,0),"")</f>
        <v/>
      </c>
      <c r="F961" t="str">
        <f>+IFERROR(VLOOKUP(Fact_Impuestos[[#This Row], 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ht="18.75" customHeight="1" x14ac:dyDescent="0.35">
      <c r="C962" s="100" t="str">
        <f>IF(OR(Fact_Impuestos[[#This Row], [Año]]="",Fact_Impuestos[[#This Row], [Mes]]=""),"",DATE(A962,MATCH(B962,{"enero","febrero","marzo","abril","mayo","junio","julio","agosto","septiembre","octubre","noviembre","diciembre"},0)+1,0))</f>
        <v/>
      </c>
      <c r="E962" t="str">
        <f>+IFERROR(VLOOKUP(Fact_Impuestos[[#This Row], [Concepto Anterior]],Conceptos_Impuestos[#All],5,0),"")</f>
        <v/>
      </c>
      <c r="F962" t="str">
        <f>+IFERROR(VLOOKUP(Fact_Impuestos[[#This Row], 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ht="18.75" customHeight="1" x14ac:dyDescent="0.35">
      <c r="C963" s="100" t="str">
        <f>IF(OR(Fact_Impuestos[[#This Row], [Año]]="",Fact_Impuestos[[#This Row], [Mes]]=""),"",DATE(A963,MATCH(B963,{"enero","febrero","marzo","abril","mayo","junio","julio","agosto","septiembre","octubre","noviembre","diciembre"},0)+1,0))</f>
        <v/>
      </c>
      <c r="E963" t="str">
        <f>+IFERROR(VLOOKUP(Fact_Impuestos[[#This Row], [Concepto Anterior]],Conceptos_Impuestos[#All],5,0),"")</f>
        <v/>
      </c>
      <c r="F963" t="str">
        <f>+IFERROR(VLOOKUP(Fact_Impuestos[[#This Row], 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ht="18.75" customHeight="1" x14ac:dyDescent="0.35">
      <c r="C964" s="100" t="str">
        <f>IF(OR(Fact_Impuestos[[#This Row], [Año]]="",Fact_Impuestos[[#This Row], [Mes]]=""),"",DATE(A964,MATCH(B964,{"enero","febrero","marzo","abril","mayo","junio","julio","agosto","septiembre","octubre","noviembre","diciembre"},0)+1,0))</f>
        <v/>
      </c>
      <c r="E964" t="str">
        <f>+IFERROR(VLOOKUP(Fact_Impuestos[[#This Row], [Concepto Anterior]],Conceptos_Impuestos[#All],5,0),"")</f>
        <v/>
      </c>
      <c r="F964" t="str">
        <f>+IFERROR(VLOOKUP(Fact_Impuestos[[#This Row], 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ht="18.75" customHeight="1" x14ac:dyDescent="0.35">
      <c r="C965" s="100" t="str">
        <f>IF(OR(Fact_Impuestos[[#This Row], [Año]]="",Fact_Impuestos[[#This Row], [Mes]]=""),"",DATE(A965,MATCH(B965,{"enero","febrero","marzo","abril","mayo","junio","julio","agosto","septiembre","octubre","noviembre","diciembre"},0)+1,0))</f>
        <v/>
      </c>
      <c r="E965" t="str">
        <f>+IFERROR(VLOOKUP(Fact_Impuestos[[#This Row], [Concepto Anterior]],Conceptos_Impuestos[#All],5,0),"")</f>
        <v/>
      </c>
      <c r="F965" t="str">
        <f>+IFERROR(VLOOKUP(Fact_Impuestos[[#This Row], 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ht="18.75" customHeight="1" x14ac:dyDescent="0.35">
      <c r="C966" s="100" t="str">
        <f>IF(OR(Fact_Impuestos[[#This Row], [Año]]="",Fact_Impuestos[[#This Row], [Mes]]=""),"",DATE(A966,MATCH(B966,{"enero","febrero","marzo","abril","mayo","junio","julio","agosto","septiembre","octubre","noviembre","diciembre"},0)+1,0))</f>
        <v/>
      </c>
      <c r="E966" t="str">
        <f>+IFERROR(VLOOKUP(Fact_Impuestos[[#This Row], [Concepto Anterior]],Conceptos_Impuestos[#All],5,0),"")</f>
        <v/>
      </c>
      <c r="F966" t="str">
        <f>+IFERROR(VLOOKUP(Fact_Impuestos[[#This Row], 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ht="18.75" customHeight="1" x14ac:dyDescent="0.35">
      <c r="C967" s="100" t="str">
        <f>IF(OR(Fact_Impuestos[[#This Row], [Año]]="",Fact_Impuestos[[#This Row], [Mes]]=""),"",DATE(A967,MATCH(B967,{"enero","febrero","marzo","abril","mayo","junio","julio","agosto","septiembre","octubre","noviembre","diciembre"},0)+1,0))</f>
        <v/>
      </c>
      <c r="E967" t="str">
        <f>+IFERROR(VLOOKUP(Fact_Impuestos[[#This Row], [Concepto Anterior]],Conceptos_Impuestos[#All],5,0),"")</f>
        <v/>
      </c>
      <c r="F967" t="str">
        <f>+IFERROR(VLOOKUP(Fact_Impuestos[[#This Row], 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ht="18.75" customHeight="1" x14ac:dyDescent="0.35">
      <c r="C968" s="100" t="str">
        <f>IF(OR(Fact_Impuestos[[#This Row], [Año]]="",Fact_Impuestos[[#This Row], [Mes]]=""),"",DATE(A968,MATCH(B968,{"enero","febrero","marzo","abril","mayo","junio","julio","agosto","septiembre","octubre","noviembre","diciembre"},0)+1,0))</f>
        <v/>
      </c>
      <c r="E968" t="str">
        <f>+IFERROR(VLOOKUP(Fact_Impuestos[[#This Row], [Concepto Anterior]],Conceptos_Impuestos[#All],5,0),"")</f>
        <v/>
      </c>
      <c r="F968" t="str">
        <f>+IFERROR(VLOOKUP(Fact_Impuestos[[#This Row], 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ht="18.75" customHeight="1" x14ac:dyDescent="0.35">
      <c r="C969" s="100" t="str">
        <f>IF(OR(Fact_Impuestos[[#This Row], [Año]]="",Fact_Impuestos[[#This Row], [Mes]]=""),"",DATE(A969,MATCH(B969,{"enero","febrero","marzo","abril","mayo","junio","julio","agosto","septiembre","octubre","noviembre","diciembre"},0)+1,0))</f>
        <v/>
      </c>
      <c r="E969" t="str">
        <f>+IFERROR(VLOOKUP(Fact_Impuestos[[#This Row], [Concepto Anterior]],Conceptos_Impuestos[#All],5,0),"")</f>
        <v/>
      </c>
      <c r="F969" t="str">
        <f>+IFERROR(VLOOKUP(Fact_Impuestos[[#This Row], 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ht="18.75" customHeight="1" x14ac:dyDescent="0.35">
      <c r="C970" s="100" t="str">
        <f>IF(OR(Fact_Impuestos[[#This Row], [Año]]="",Fact_Impuestos[[#This Row], [Mes]]=""),"",DATE(A970,MATCH(B970,{"enero","febrero","marzo","abril","mayo","junio","julio","agosto","septiembre","octubre","noviembre","diciembre"},0)+1,0))</f>
        <v/>
      </c>
      <c r="E970" t="str">
        <f>+IFERROR(VLOOKUP(Fact_Impuestos[[#This Row], [Concepto Anterior]],Conceptos_Impuestos[#All],5,0),"")</f>
        <v/>
      </c>
      <c r="F970" t="str">
        <f>+IFERROR(VLOOKUP(Fact_Impuestos[[#This Row], 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ht="18.75" customHeight="1" x14ac:dyDescent="0.35">
      <c r="C971" s="100" t="str">
        <f>IF(OR(Fact_Impuestos[[#This Row], [Año]]="",Fact_Impuestos[[#This Row], [Mes]]=""),"",DATE(A971,MATCH(B971,{"enero","febrero","marzo","abril","mayo","junio","julio","agosto","septiembre","octubre","noviembre","diciembre"},0)+1,0))</f>
        <v/>
      </c>
      <c r="E971" t="str">
        <f>+IFERROR(VLOOKUP(Fact_Impuestos[[#This Row], [Concepto Anterior]],Conceptos_Impuestos[#All],5,0),"")</f>
        <v/>
      </c>
      <c r="F971" t="str">
        <f>+IFERROR(VLOOKUP(Fact_Impuestos[[#This Row], 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ht="18.75" customHeight="1" x14ac:dyDescent="0.35">
      <c r="C972" s="100" t="str">
        <f>IF(OR(Fact_Impuestos[[#This Row], [Año]]="",Fact_Impuestos[[#This Row], [Mes]]=""),"",DATE(A972,MATCH(B972,{"enero","febrero","marzo","abril","mayo","junio","julio","agosto","septiembre","octubre","noviembre","diciembre"},0)+1,0))</f>
        <v/>
      </c>
      <c r="E972" t="str">
        <f>+IFERROR(VLOOKUP(Fact_Impuestos[[#This Row], [Concepto Anterior]],Conceptos_Impuestos[#All],5,0),"")</f>
        <v/>
      </c>
      <c r="F972" t="str">
        <f>+IFERROR(VLOOKUP(Fact_Impuestos[[#This Row], 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ht="18.75" customHeight="1" x14ac:dyDescent="0.35">
      <c r="C973" s="100" t="str">
        <f>IF(OR(Fact_Impuestos[[#This Row], [Año]]="",Fact_Impuestos[[#This Row], [Mes]]=""),"",DATE(A973,MATCH(B973,{"enero","febrero","marzo","abril","mayo","junio","julio","agosto","septiembre","octubre","noviembre","diciembre"},0)+1,0))</f>
        <v/>
      </c>
      <c r="E973" t="str">
        <f>+IFERROR(VLOOKUP(Fact_Impuestos[[#This Row], [Concepto Anterior]],Conceptos_Impuestos[#All],5,0),"")</f>
        <v/>
      </c>
      <c r="F973" t="str">
        <f>+IFERROR(VLOOKUP(Fact_Impuestos[[#This Row], 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ht="18.75" customHeight="1" x14ac:dyDescent="0.35">
      <c r="C974" s="100" t="str">
        <f>IF(OR(Fact_Impuestos[[#This Row], [Año]]="",Fact_Impuestos[[#This Row], [Mes]]=""),"",DATE(A974,MATCH(B974,{"enero","febrero","marzo","abril","mayo","junio","julio","agosto","septiembre","octubre","noviembre","diciembre"},0)+1,0))</f>
        <v/>
      </c>
      <c r="E974" t="str">
        <f>+IFERROR(VLOOKUP(Fact_Impuestos[[#This Row], [Concepto Anterior]],Conceptos_Impuestos[#All],5,0),"")</f>
        <v/>
      </c>
      <c r="F974" t="str">
        <f>+IFERROR(VLOOKUP(Fact_Impuestos[[#This Row], 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ht="18.75" customHeight="1" x14ac:dyDescent="0.35">
      <c r="C975" s="100" t="str">
        <f>IF(OR(Fact_Impuestos[[#This Row], [Año]]="",Fact_Impuestos[[#This Row], [Mes]]=""),"",DATE(A975,MATCH(B975,{"enero","febrero","marzo","abril","mayo","junio","julio","agosto","septiembre","octubre","noviembre","diciembre"},0)+1,0))</f>
        <v/>
      </c>
      <c r="E975" t="str">
        <f>+IFERROR(VLOOKUP(Fact_Impuestos[[#This Row], [Concepto Anterior]],Conceptos_Impuestos[#All],5,0),"")</f>
        <v/>
      </c>
      <c r="F975" t="str">
        <f>+IFERROR(VLOOKUP(Fact_Impuestos[[#This Row], 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ht="18.75" customHeight="1" x14ac:dyDescent="0.35">
      <c r="C976" s="100" t="str">
        <f>IF(OR(Fact_Impuestos[[#This Row], [Año]]="",Fact_Impuestos[[#This Row], [Mes]]=""),"",DATE(A976,MATCH(B976,{"enero","febrero","marzo","abril","mayo","junio","julio","agosto","septiembre","octubre","noviembre","diciembre"},0)+1,0))</f>
        <v/>
      </c>
      <c r="E976" t="str">
        <f>+IFERROR(VLOOKUP(Fact_Impuestos[[#This Row], [Concepto Anterior]],Conceptos_Impuestos[#All],5,0),"")</f>
        <v/>
      </c>
      <c r="F976" t="str">
        <f>+IFERROR(VLOOKUP(Fact_Impuestos[[#This Row], 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ht="18.75" customHeight="1" x14ac:dyDescent="0.35">
      <c r="C977" s="100" t="str">
        <f>IF(OR(Fact_Impuestos[[#This Row], [Año]]="",Fact_Impuestos[[#This Row], [Mes]]=""),"",DATE(A977,MATCH(B977,{"enero","febrero","marzo","abril","mayo","junio","julio","agosto","septiembre","octubre","noviembre","diciembre"},0)+1,0))</f>
        <v/>
      </c>
      <c r="E977" t="str">
        <f>+IFERROR(VLOOKUP(Fact_Impuestos[[#This Row], [Concepto Anterior]],Conceptos_Impuestos[#All],5,0),"")</f>
        <v/>
      </c>
      <c r="F977" t="str">
        <f>+IFERROR(VLOOKUP(Fact_Impuestos[[#This Row], 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ht="18.75" customHeight="1" x14ac:dyDescent="0.35">
      <c r="C978" s="100" t="str">
        <f>IF(OR(Fact_Impuestos[[#This Row], [Año]]="",Fact_Impuestos[[#This Row], [Mes]]=""),"",DATE(A978,MATCH(B978,{"enero","febrero","marzo","abril","mayo","junio","julio","agosto","septiembre","octubre","noviembre","diciembre"},0)+1,0))</f>
        <v/>
      </c>
      <c r="E978" t="str">
        <f>+IFERROR(VLOOKUP(Fact_Impuestos[[#This Row], [Concepto Anterior]],Conceptos_Impuestos[#All],5,0),"")</f>
        <v/>
      </c>
      <c r="F978" t="str">
        <f>+IFERROR(VLOOKUP(Fact_Impuestos[[#This Row], 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ht="18.75" customHeight="1" x14ac:dyDescent="0.35">
      <c r="C979" s="100" t="str">
        <f>IF(OR(Fact_Impuestos[[#This Row], [Año]]="",Fact_Impuestos[[#This Row], [Mes]]=""),"",DATE(A979,MATCH(B979,{"enero","febrero","marzo","abril","mayo","junio","julio","agosto","septiembre","octubre","noviembre","diciembre"},0)+1,0))</f>
        <v/>
      </c>
      <c r="E979" t="str">
        <f>+IFERROR(VLOOKUP(Fact_Impuestos[[#This Row], [Concepto Anterior]],Conceptos_Impuestos[#All],5,0),"")</f>
        <v/>
      </c>
      <c r="F979" t="str">
        <f>+IFERROR(VLOOKUP(Fact_Impuestos[[#This Row], 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ht="18.75" customHeight="1" x14ac:dyDescent="0.35">
      <c r="C980" s="100" t="str">
        <f>IF(OR(Fact_Impuestos[[#This Row], [Año]]="",Fact_Impuestos[[#This Row], [Mes]]=""),"",DATE(A980,MATCH(B980,{"enero","febrero","marzo","abril","mayo","junio","julio","agosto","septiembre","octubre","noviembre","diciembre"},0)+1,0))</f>
        <v/>
      </c>
      <c r="E980" t="str">
        <f>+IFERROR(VLOOKUP(Fact_Impuestos[[#This Row], [Concepto Anterior]],Conceptos_Impuestos[#All],5,0),"")</f>
        <v/>
      </c>
      <c r="F980" t="str">
        <f>+IFERROR(VLOOKUP(Fact_Impuestos[[#This Row], 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ht="18.75" customHeight="1" x14ac:dyDescent="0.35">
      <c r="C981" s="100" t="str">
        <f>IF(OR(Fact_Impuestos[[#This Row], [Año]]="",Fact_Impuestos[[#This Row], [Mes]]=""),"",DATE(A981,MATCH(B981,{"enero","febrero","marzo","abril","mayo","junio","julio","agosto","septiembre","octubre","noviembre","diciembre"},0)+1,0))</f>
        <v/>
      </c>
      <c r="E981" t="str">
        <f>+IFERROR(VLOOKUP(Fact_Impuestos[[#This Row], [Concepto Anterior]],Conceptos_Impuestos[#All],5,0),"")</f>
        <v/>
      </c>
      <c r="F981" t="str">
        <f>+IFERROR(VLOOKUP(Fact_Impuestos[[#This Row], 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ht="18.75" customHeight="1" x14ac:dyDescent="0.35">
      <c r="C982" s="100" t="str">
        <f>IF(OR(Fact_Impuestos[[#This Row], [Año]]="",Fact_Impuestos[[#This Row], [Mes]]=""),"",DATE(A982,MATCH(B982,{"enero","febrero","marzo","abril","mayo","junio","julio","agosto","septiembre","octubre","noviembre","diciembre"},0)+1,0))</f>
        <v/>
      </c>
      <c r="E982" t="str">
        <f>+IFERROR(VLOOKUP(Fact_Impuestos[[#This Row], [Concepto Anterior]],Conceptos_Impuestos[#All],5,0),"")</f>
        <v/>
      </c>
      <c r="F982" t="str">
        <f>+IFERROR(VLOOKUP(Fact_Impuestos[[#This Row], 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ht="18.75" customHeight="1" x14ac:dyDescent="0.35">
      <c r="C983" s="100" t="str">
        <f>IF(OR(Fact_Impuestos[[#This Row], [Año]]="",Fact_Impuestos[[#This Row], [Mes]]=""),"",DATE(A983,MATCH(B983,{"enero","febrero","marzo","abril","mayo","junio","julio","agosto","septiembre","octubre","noviembre","diciembre"},0)+1,0))</f>
        <v/>
      </c>
      <c r="E983" t="str">
        <f>+IFERROR(VLOOKUP(Fact_Impuestos[[#This Row], [Concepto Anterior]],Conceptos_Impuestos[#All],5,0),"")</f>
        <v/>
      </c>
      <c r="F983" t="str">
        <f>+IFERROR(VLOOKUP(Fact_Impuestos[[#This Row], 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ht="18.75" customHeight="1" x14ac:dyDescent="0.35">
      <c r="C984" s="100" t="str">
        <f>IF(OR(Fact_Impuestos[[#This Row], [Año]]="",Fact_Impuestos[[#This Row], [Mes]]=""),"",DATE(A984,MATCH(B984,{"enero","febrero","marzo","abril","mayo","junio","julio","agosto","septiembre","octubre","noviembre","diciembre"},0)+1,0))</f>
        <v/>
      </c>
      <c r="E984" t="str">
        <f>+IFERROR(VLOOKUP(Fact_Impuestos[[#This Row], [Concepto Anterior]],Conceptos_Impuestos[#All],5,0),"")</f>
        <v/>
      </c>
      <c r="F984" t="str">
        <f>+IFERROR(VLOOKUP(Fact_Impuestos[[#This Row], 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ht="18.75" customHeight="1" x14ac:dyDescent="0.35">
      <c r="C985" s="100" t="str">
        <f>IF(OR(Fact_Impuestos[[#This Row], [Año]]="",Fact_Impuestos[[#This Row], [Mes]]=""),"",DATE(A985,MATCH(B985,{"enero","febrero","marzo","abril","mayo","junio","julio","agosto","septiembre","octubre","noviembre","diciembre"},0)+1,0))</f>
        <v/>
      </c>
      <c r="E985" t="str">
        <f>+IFERROR(VLOOKUP(Fact_Impuestos[[#This Row], [Concepto Anterior]],Conceptos_Impuestos[#All],5,0),"")</f>
        <v/>
      </c>
      <c r="F985" t="str">
        <f>+IFERROR(VLOOKUP(Fact_Impuestos[[#This Row], 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ht="18.75" customHeight="1" x14ac:dyDescent="0.35">
      <c r="C986" s="100" t="str">
        <f>IF(OR(Fact_Impuestos[[#This Row], [Año]]="",Fact_Impuestos[[#This Row], [Mes]]=""),"",DATE(A986,MATCH(B986,{"enero","febrero","marzo","abril","mayo","junio","julio","agosto","septiembre","octubre","noviembre","diciembre"},0)+1,0))</f>
        <v/>
      </c>
      <c r="E986" t="str">
        <f>+IFERROR(VLOOKUP(Fact_Impuestos[[#This Row], [Concepto Anterior]],Conceptos_Impuestos[#All],5,0),"")</f>
        <v/>
      </c>
      <c r="F986" t="str">
        <f>+IFERROR(VLOOKUP(Fact_Impuestos[[#This Row], 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ht="18.75" customHeight="1" x14ac:dyDescent="0.35">
      <c r="C987" s="100" t="str">
        <f>IF(OR(Fact_Impuestos[[#This Row], [Año]]="",Fact_Impuestos[[#This Row], [Mes]]=""),"",DATE(A987,MATCH(B987,{"enero","febrero","marzo","abril","mayo","junio","julio","agosto","septiembre","octubre","noviembre","diciembre"},0)+1,0))</f>
        <v/>
      </c>
      <c r="E987" t="str">
        <f>+IFERROR(VLOOKUP(Fact_Impuestos[[#This Row], [Concepto Anterior]],Conceptos_Impuestos[#All],5,0),"")</f>
        <v/>
      </c>
      <c r="F987" t="str">
        <f>+IFERROR(VLOOKUP(Fact_Impuestos[[#This Row], 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ht="18.75" customHeight="1" x14ac:dyDescent="0.35">
      <c r="C988" s="100" t="str">
        <f>IF(OR(Fact_Impuestos[[#This Row], [Año]]="",Fact_Impuestos[[#This Row], [Mes]]=""),"",DATE(A988,MATCH(B988,{"enero","febrero","marzo","abril","mayo","junio","julio","agosto","septiembre","octubre","noviembre","diciembre"},0)+1,0))</f>
        <v/>
      </c>
      <c r="E988" t="str">
        <f>+IFERROR(VLOOKUP(Fact_Impuestos[[#This Row], [Concepto Anterior]],Conceptos_Impuestos[#All],5,0),"")</f>
        <v/>
      </c>
      <c r="F988" t="str">
        <f>+IFERROR(VLOOKUP(Fact_Impuestos[[#This Row], 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ht="18.75" customHeight="1" x14ac:dyDescent="0.35">
      <c r="C989" s="100" t="str">
        <f>IF(OR(Fact_Impuestos[[#This Row], [Año]]="",Fact_Impuestos[[#This Row], [Mes]]=""),"",DATE(A989,MATCH(B989,{"enero","febrero","marzo","abril","mayo","junio","julio","agosto","septiembre","octubre","noviembre","diciembre"},0)+1,0))</f>
        <v/>
      </c>
      <c r="E989" t="str">
        <f>+IFERROR(VLOOKUP(Fact_Impuestos[[#This Row], [Concepto Anterior]],Conceptos_Impuestos[#All],5,0),"")</f>
        <v/>
      </c>
      <c r="F989" t="str">
        <f>+IFERROR(VLOOKUP(Fact_Impuestos[[#This Row], 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ht="18.75" customHeight="1" x14ac:dyDescent="0.35">
      <c r="C990" s="100" t="str">
        <f>IF(OR(Fact_Impuestos[[#This Row], [Año]]="",Fact_Impuestos[[#This Row], [Mes]]=""),"",DATE(A990,MATCH(B990,{"enero","febrero","marzo","abril","mayo","junio","julio","agosto","septiembre","octubre","noviembre","diciembre"},0)+1,0))</f>
        <v/>
      </c>
      <c r="E990" t="str">
        <f>+IFERROR(VLOOKUP(Fact_Impuestos[[#This Row], [Concepto Anterior]],Conceptos_Impuestos[#All],5,0),"")</f>
        <v/>
      </c>
      <c r="F990" t="str">
        <f>+IFERROR(VLOOKUP(Fact_Impuestos[[#This Row], 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ht="18.75" customHeight="1" x14ac:dyDescent="0.35">
      <c r="C991" s="100" t="str">
        <f>IF(OR(Fact_Impuestos[[#This Row], [Año]]="",Fact_Impuestos[[#This Row], [Mes]]=""),"",DATE(A991,MATCH(B991,{"enero","febrero","marzo","abril","mayo","junio","julio","agosto","septiembre","octubre","noviembre","diciembre"},0)+1,0))</f>
        <v/>
      </c>
      <c r="E991" t="str">
        <f>+IFERROR(VLOOKUP(Fact_Impuestos[[#This Row], [Concepto Anterior]],Conceptos_Impuestos[#All],5,0),"")</f>
        <v/>
      </c>
      <c r="F991" t="str">
        <f>+IFERROR(VLOOKUP(Fact_Impuestos[[#This Row], 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ht="18.75" customHeight="1" x14ac:dyDescent="0.35">
      <c r="C992" s="100" t="str">
        <f>IF(OR(Fact_Impuestos[[#This Row], [Año]]="",Fact_Impuestos[[#This Row], [Mes]]=""),"",DATE(A992,MATCH(B992,{"enero","febrero","marzo","abril","mayo","junio","julio","agosto","septiembre","octubre","noviembre","diciembre"},0)+1,0))</f>
        <v/>
      </c>
      <c r="E992" t="str">
        <f>+IFERROR(VLOOKUP(Fact_Impuestos[[#This Row], [Concepto Anterior]],Conceptos_Impuestos[#All],5,0),"")</f>
        <v/>
      </c>
      <c r="F992" t="str">
        <f>+IFERROR(VLOOKUP(Fact_Impuestos[[#This Row], 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ht="18.75" customHeight="1" x14ac:dyDescent="0.35">
      <c r="C993" s="100" t="str">
        <f>IF(OR(Fact_Impuestos[[#This Row], [Año]]="",Fact_Impuestos[[#This Row], [Mes]]=""),"",DATE(A993,MATCH(B993,{"enero","febrero","marzo","abril","mayo","junio","julio","agosto","septiembre","octubre","noviembre","diciembre"},0)+1,0))</f>
        <v/>
      </c>
      <c r="E993" t="str">
        <f>+IFERROR(VLOOKUP(Fact_Impuestos[[#This Row], [Concepto Anterior]],Conceptos_Impuestos[#All],5,0),"")</f>
        <v/>
      </c>
      <c r="F993" t="str">
        <f>+IFERROR(VLOOKUP(Fact_Impuestos[[#This Row], 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ht="18.75" customHeight="1" x14ac:dyDescent="0.35">
      <c r="C994" s="100" t="str">
        <f>IF(OR(Fact_Impuestos[[#This Row], [Año]]="",Fact_Impuestos[[#This Row], [Mes]]=""),"",DATE(A994,MATCH(B994,{"enero","febrero","marzo","abril","mayo","junio","julio","agosto","septiembre","octubre","noviembre","diciembre"},0)+1,0))</f>
        <v/>
      </c>
      <c r="E994" t="str">
        <f>+IFERROR(VLOOKUP(Fact_Impuestos[[#This Row], [Concepto Anterior]],Conceptos_Impuestos[#All],5,0),"")</f>
        <v/>
      </c>
      <c r="F994" t="str">
        <f>+IFERROR(VLOOKUP(Fact_Impuestos[[#This Row], 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ht="18.75" customHeight="1" x14ac:dyDescent="0.35">
      <c r="C995" s="100" t="str">
        <f>IF(OR(Fact_Impuestos[[#This Row], [Año]]="",Fact_Impuestos[[#This Row], [Mes]]=""),"",DATE(A995,MATCH(B995,{"enero","febrero","marzo","abril","mayo","junio","julio","agosto","septiembre","octubre","noviembre","diciembre"},0)+1,0))</f>
        <v/>
      </c>
      <c r="E995" t="str">
        <f>+IFERROR(VLOOKUP(Fact_Impuestos[[#This Row], [Concepto Anterior]],Conceptos_Impuestos[#All],5,0),"")</f>
        <v/>
      </c>
      <c r="F995" t="str">
        <f>+IFERROR(VLOOKUP(Fact_Impuestos[[#This Row], 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ht="18.75" customHeight="1" x14ac:dyDescent="0.35">
      <c r="C996" s="100" t="str">
        <f>IF(OR(Fact_Impuestos[[#This Row], [Año]]="",Fact_Impuestos[[#This Row], [Mes]]=""),"",DATE(A996,MATCH(B996,{"enero","febrero","marzo","abril","mayo","junio","julio","agosto","septiembre","octubre","noviembre","diciembre"},0)+1,0))</f>
        <v/>
      </c>
      <c r="E996" t="str">
        <f>+IFERROR(VLOOKUP(Fact_Impuestos[[#This Row], [Concepto Anterior]],Conceptos_Impuestos[#All],5,0),"")</f>
        <v/>
      </c>
      <c r="F996" t="str">
        <f>+IFERROR(VLOOKUP(Fact_Impuestos[[#This Row], 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ht="18.75" customHeight="1" x14ac:dyDescent="0.35">
      <c r="C997" s="100" t="str">
        <f>IF(OR(Fact_Impuestos[[#This Row], [Año]]="",Fact_Impuestos[[#This Row], [Mes]]=""),"",DATE(A997,MATCH(B997,{"enero","febrero","marzo","abril","mayo","junio","julio","agosto","septiembre","octubre","noviembre","diciembre"},0)+1,0))</f>
        <v/>
      </c>
      <c r="E997" t="str">
        <f>+IFERROR(VLOOKUP(Fact_Impuestos[[#This Row], [Concepto Anterior]],Conceptos_Impuestos[#All],5,0),"")</f>
        <v/>
      </c>
      <c r="F997" t="str">
        <f>+IFERROR(VLOOKUP(Fact_Impuestos[[#This Row], 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ht="18.75" customHeight="1" x14ac:dyDescent="0.35">
      <c r="C998" s="100" t="str">
        <f>IF(OR(Fact_Impuestos[[#This Row], [Año]]="",Fact_Impuestos[[#This Row], [Mes]]=""),"",DATE(A998,MATCH(B998,{"enero","febrero","marzo","abril","mayo","junio","julio","agosto","septiembre","octubre","noviembre","diciembre"},0)+1,0))</f>
        <v/>
      </c>
      <c r="E998" t="str">
        <f>+IFERROR(VLOOKUP(Fact_Impuestos[[#This Row], [Concepto Anterior]],Conceptos_Impuestos[#All],5,0),"")</f>
        <v/>
      </c>
      <c r="F998" t="str">
        <f>+IFERROR(VLOOKUP(Fact_Impuestos[[#This Row], 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ht="18.75" customHeight="1" x14ac:dyDescent="0.35">
      <c r="C999" s="100" t="str">
        <f>IF(OR(Fact_Impuestos[[#This Row], [Año]]="",Fact_Impuestos[[#This Row], [Mes]]=""),"",DATE(A999,MATCH(B999,{"enero","febrero","marzo","abril","mayo","junio","julio","agosto","septiembre","octubre","noviembre","diciembre"},0)+1,0))</f>
        <v/>
      </c>
      <c r="E999" t="str">
        <f>+IFERROR(VLOOKUP(Fact_Impuestos[[#This Row], [Concepto Anterior]],Conceptos_Impuestos[#All],5,0),"")</f>
        <v/>
      </c>
      <c r="F999" t="str">
        <f>+IFERROR(VLOOKUP(Fact_Impuestos[[#This Row], 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ht="18.75" customHeight="1" x14ac:dyDescent="0.35">
      <c r="C1000" s="100" t="str">
        <f>IF(OR(Fact_Impuestos[[#This Row], [Año]]="",Fact_Impuestos[[#This Row], [Mes]]=""),"",DATE(A1000,MATCH(B1000,{"enero","febrero","marzo","abril","mayo","junio","julio","agosto","septiembre","octubre","noviembre","diciembre"},0)+1,0))</f>
        <v/>
      </c>
      <c r="E1000" t="str">
        <f>+IFERROR(VLOOKUP(Fact_Impuestos[[#This Row], [Concepto Anterior]],Conceptos_Impuestos[#All],5,0),"")</f>
        <v/>
      </c>
      <c r="F1000" t="str">
        <f>+IFERROR(VLOOKUP(Fact_Impuestos[[#This Row], 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ht="18.75" customHeight="1" x14ac:dyDescent="0.35">
      <c r="C1001" s="100" t="str">
        <f>IF(OR(Fact_Impuestos[[#This Row], [Año]]="",Fact_Impuestos[[#This Row], [Mes]]=""),"",DATE(A1001,MATCH(B1001,{"enero","febrero","marzo","abril","mayo","junio","julio","agosto","septiembre","octubre","noviembre","diciembre"},0)+1,0))</f>
        <v/>
      </c>
      <c r="E1001" t="str">
        <f>+IFERROR(VLOOKUP(Fact_Impuestos[[#This Row], [Concepto Anterior]],Conceptos_Impuestos[#All],5,0),"")</f>
        <v/>
      </c>
      <c r="F1001" t="str">
        <f>+IFERROR(VLOOKUP(Fact_Impuestos[[#This Row], 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ht="18.75" customHeight="1" x14ac:dyDescent="0.35">
      <c r="C1002" s="100" t="str">
        <f>IF(OR(Fact_Impuestos[[#This Row], [Año]]="",Fact_Impuestos[[#This Row], [Mes]]=""),"",DATE(A1002,MATCH(B1002,{"enero","febrero","marzo","abril","mayo","junio","julio","agosto","septiembre","octubre","noviembre","diciembre"},0)+1,0))</f>
        <v/>
      </c>
      <c r="E1002" t="str">
        <f>+IFERROR(VLOOKUP(Fact_Impuestos[[#This Row], [Concepto Anterior]],Conceptos_Impuestos[#All],5,0),"")</f>
        <v/>
      </c>
      <c r="F1002" t="str">
        <f>+IFERROR(VLOOKUP(Fact_Impuestos[[#This Row], 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ht="18.75" customHeight="1" x14ac:dyDescent="0.35">
      <c r="C1003" s="100" t="str">
        <f>IF(OR(Fact_Impuestos[[#This Row], [Año]]="",Fact_Impuestos[[#This Row], [Mes]]=""),"",DATE(A1003,MATCH(B1003,{"enero","febrero","marzo","abril","mayo","junio","julio","agosto","septiembre","octubre","noviembre","diciembre"},0)+1,0))</f>
        <v/>
      </c>
      <c r="E1003" t="str">
        <f>+IFERROR(VLOOKUP(Fact_Impuestos[[#This Row], [Concepto Anterior]],Conceptos_Impuestos[#All],5,0),"")</f>
        <v/>
      </c>
      <c r="F1003" t="str">
        <f>+IFERROR(VLOOKUP(Fact_Impuestos[[#This Row], 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ht="18.75" customHeight="1" x14ac:dyDescent="0.35">
      <c r="C1004" s="100" t="str">
        <f>IF(OR(Fact_Impuestos[[#This Row], [Año]]="",Fact_Impuestos[[#This Row], [Mes]]=""),"",DATE(A1004,MATCH(B1004,{"enero","febrero","marzo","abril","mayo","junio","julio","agosto","septiembre","octubre","noviembre","diciembre"},0)+1,0))</f>
        <v/>
      </c>
      <c r="E1004" t="str">
        <f>+IFERROR(VLOOKUP(Fact_Impuestos[[#This Row], [Concepto Anterior]],Conceptos_Impuestos[#All],5,0),"")</f>
        <v/>
      </c>
      <c r="F1004" t="str">
        <f>+IFERROR(VLOOKUP(Fact_Impuestos[[#This Row], 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ht="18.75" customHeight="1" x14ac:dyDescent="0.35">
      <c r="C1005" s="100" t="str">
        <f>IF(OR(Fact_Impuestos[[#This Row], [Año]]="",Fact_Impuestos[[#This Row], [Mes]]=""),"",DATE(A1005,MATCH(B1005,{"enero","febrero","marzo","abril","mayo","junio","julio","agosto","septiembre","octubre","noviembre","diciembre"},0)+1,0))</f>
        <v/>
      </c>
      <c r="E1005" t="str">
        <f>+IFERROR(VLOOKUP(Fact_Impuestos[[#This Row], [Concepto Anterior]],Conceptos_Impuestos[#All],5,0),"")</f>
        <v/>
      </c>
      <c r="F1005" t="str">
        <f>+IFERROR(VLOOKUP(Fact_Impuestos[[#This Row], 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ht="18.75" customHeight="1" x14ac:dyDescent="0.35">
      <c r="C1006" s="100" t="str">
        <f>IF(OR(Fact_Impuestos[[#This Row], [Año]]="",Fact_Impuestos[[#This Row], [Mes]]=""),"",DATE(A1006,MATCH(B1006,{"enero","febrero","marzo","abril","mayo","junio","julio","agosto","septiembre","octubre","noviembre","diciembre"},0)+1,0))</f>
        <v/>
      </c>
      <c r="E1006" t="str">
        <f>+IFERROR(VLOOKUP(Fact_Impuestos[[#This Row], [Concepto Anterior]],Conceptos_Impuestos[#All],5,0),"")</f>
        <v/>
      </c>
      <c r="F1006" t="str">
        <f>+IFERROR(VLOOKUP(Fact_Impuestos[[#This Row], 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ht="18.75" customHeight="1" x14ac:dyDescent="0.35">
      <c r="C1007" s="100" t="str">
        <f>IF(OR(Fact_Impuestos[[#This Row], [Año]]="",Fact_Impuestos[[#This Row], [Mes]]=""),"",DATE(A1007,MATCH(B1007,{"enero","febrero","marzo","abril","mayo","junio","julio","agosto","septiembre","octubre","noviembre","diciembre"},0)+1,0))</f>
        <v/>
      </c>
      <c r="E1007" t="str">
        <f>+IFERROR(VLOOKUP(Fact_Impuestos[[#This Row], [Concepto Anterior]],Conceptos_Impuestos[#All],5,0),"")</f>
        <v/>
      </c>
      <c r="F1007" t="str">
        <f>+IFERROR(VLOOKUP(Fact_Impuestos[[#This Row], 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ht="18.75" customHeight="1" x14ac:dyDescent="0.35">
      <c r="C1008" s="100" t="str">
        <f>IF(OR(Fact_Impuestos[[#This Row], [Año]]="",Fact_Impuestos[[#This Row], [Mes]]=""),"",DATE(A1008,MATCH(B1008,{"enero","febrero","marzo","abril","mayo","junio","julio","agosto","septiembre","octubre","noviembre","diciembre"},0)+1,0))</f>
        <v/>
      </c>
      <c r="E1008" t="str">
        <f>+IFERROR(VLOOKUP(Fact_Impuestos[[#This Row], [Concepto Anterior]],Conceptos_Impuestos[#All],5,0),"")</f>
        <v/>
      </c>
      <c r="F1008" t="str">
        <f>+IFERROR(VLOOKUP(Fact_Impuestos[[#This Row], 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ht="18.75" customHeight="1" x14ac:dyDescent="0.35">
      <c r="C1009" s="100" t="str">
        <f>IF(OR(Fact_Impuestos[[#This Row], [Año]]="",Fact_Impuestos[[#This Row], [Mes]]=""),"",DATE(A1009,MATCH(B1009,{"enero","febrero","marzo","abril","mayo","junio","julio","agosto","septiembre","octubre","noviembre","diciembre"},0)+1,0))</f>
        <v/>
      </c>
      <c r="E1009" t="str">
        <f>+IFERROR(VLOOKUP(Fact_Impuestos[[#This Row], [Concepto Anterior]],Conceptos_Impuestos[#All],5,0),"")</f>
        <v/>
      </c>
      <c r="F1009" t="str">
        <f>+IFERROR(VLOOKUP(Fact_Impuestos[[#This Row], 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ht="18.75" customHeight="1" x14ac:dyDescent="0.35">
      <c r="C1010" s="100" t="str">
        <f>IF(OR(Fact_Impuestos[[#This Row], [Año]]="",Fact_Impuestos[[#This Row], [Mes]]=""),"",DATE(A1010,MATCH(B1010,{"enero","febrero","marzo","abril","mayo","junio","julio","agosto","septiembre","octubre","noviembre","diciembre"},0)+1,0))</f>
        <v/>
      </c>
      <c r="E1010" t="str">
        <f>+IFERROR(VLOOKUP(Fact_Impuestos[[#This Row], [Concepto Anterior]],Conceptos_Impuestos[#All],5,0),"")</f>
        <v/>
      </c>
      <c r="F1010" t="str">
        <f>+IFERROR(VLOOKUP(Fact_Impuestos[[#This Row], 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ht="18.75" customHeight="1" x14ac:dyDescent="0.35">
      <c r="C1011" s="100" t="str">
        <f>IF(OR(Fact_Impuestos[[#This Row], [Año]]="",Fact_Impuestos[[#This Row], [Mes]]=""),"",DATE(A1011,MATCH(B1011,{"enero","febrero","marzo","abril","mayo","junio","julio","agosto","septiembre","octubre","noviembre","diciembre"},0)+1,0))</f>
        <v/>
      </c>
      <c r="E1011" t="str">
        <f>+IFERROR(VLOOKUP(Fact_Impuestos[[#This Row], [Concepto Anterior]],Conceptos_Impuestos[#All],5,0),"")</f>
        <v/>
      </c>
      <c r="F1011" t="str">
        <f>+IFERROR(VLOOKUP(Fact_Impuestos[[#This Row], 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ht="18.75" customHeight="1" x14ac:dyDescent="0.35">
      <c r="C1012" s="100" t="str">
        <f>IF(OR(Fact_Impuestos[[#This Row], [Año]]="",Fact_Impuestos[[#This Row], [Mes]]=""),"",DATE(A1012,MATCH(B1012,{"enero","febrero","marzo","abril","mayo","junio","julio","agosto","septiembre","octubre","noviembre","diciembre"},0)+1,0))</f>
        <v/>
      </c>
      <c r="E1012" t="str">
        <f>+IFERROR(VLOOKUP(Fact_Impuestos[[#This Row], [Concepto Anterior]],Conceptos_Impuestos[#All],5,0),"")</f>
        <v/>
      </c>
      <c r="F1012" t="str">
        <f>+IFERROR(VLOOKUP(Fact_Impuestos[[#This Row], 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ht="18.75" customHeight="1" x14ac:dyDescent="0.35">
      <c r="C1013" s="100" t="str">
        <f>IF(OR(Fact_Impuestos[[#This Row], [Año]]="",Fact_Impuestos[[#This Row], [Mes]]=""),"",DATE(A1013,MATCH(B1013,{"enero","febrero","marzo","abril","mayo","junio","julio","agosto","septiembre","octubre","noviembre","diciembre"},0)+1,0))</f>
        <v/>
      </c>
      <c r="E1013" t="str">
        <f>+IFERROR(VLOOKUP(Fact_Impuestos[[#This Row], [Concepto Anterior]],Conceptos_Impuestos[#All],5,0),"")</f>
        <v/>
      </c>
      <c r="F1013" t="str">
        <f>+IFERROR(VLOOKUP(Fact_Impuestos[[#This Row], 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ht="18.75" customHeight="1" x14ac:dyDescent="0.35">
      <c r="C1014" s="100" t="str">
        <f>IF(OR(Fact_Impuestos[[#This Row], [Año]]="",Fact_Impuestos[[#This Row], [Mes]]=""),"",DATE(A1014,MATCH(B1014,{"enero","febrero","marzo","abril","mayo","junio","julio","agosto","septiembre","octubre","noviembre","diciembre"},0)+1,0))</f>
        <v/>
      </c>
      <c r="E1014" t="str">
        <f>+IFERROR(VLOOKUP(Fact_Impuestos[[#This Row], [Concepto Anterior]],Conceptos_Impuestos[#All],5,0),"")</f>
        <v/>
      </c>
      <c r="F1014" t="str">
        <f>+IFERROR(VLOOKUP(Fact_Impuestos[[#This Row], 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ht="18.75" customHeight="1" x14ac:dyDescent="0.35">
      <c r="C1015" s="100" t="str">
        <f>IF(OR(Fact_Impuestos[[#This Row], [Año]]="",Fact_Impuestos[[#This Row], [Mes]]=""),"",DATE(A1015,MATCH(B1015,{"enero","febrero","marzo","abril","mayo","junio","julio","agosto","septiembre","octubre","noviembre","diciembre"},0)+1,0))</f>
        <v/>
      </c>
      <c r="E1015" t="str">
        <f>+IFERROR(VLOOKUP(Fact_Impuestos[[#This Row], [Concepto Anterior]],Conceptos_Impuestos[#All],5,0),"")</f>
        <v/>
      </c>
      <c r="F1015" t="str">
        <f>+IFERROR(VLOOKUP(Fact_Impuestos[[#This Row], 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ht="18.75" customHeight="1" x14ac:dyDescent="0.35">
      <c r="C1016" s="100" t="str">
        <f>IF(OR(Fact_Impuestos[[#This Row], [Año]]="",Fact_Impuestos[[#This Row], [Mes]]=""),"",DATE(A1016,MATCH(B1016,{"enero","febrero","marzo","abril","mayo","junio","julio","agosto","septiembre","octubre","noviembre","diciembre"},0)+1,0))</f>
        <v/>
      </c>
      <c r="E1016" t="str">
        <f>+IFERROR(VLOOKUP(Fact_Impuestos[[#This Row], [Concepto Anterior]],Conceptos_Impuestos[#All],5,0),"")</f>
        <v/>
      </c>
      <c r="F1016" t="str">
        <f>+IFERROR(VLOOKUP(Fact_Impuestos[[#This Row], 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ht="18.75" customHeight="1" x14ac:dyDescent="0.35">
      <c r="C1017" s="100" t="str">
        <f>IF(OR(Fact_Impuestos[[#This Row], [Año]]="",Fact_Impuestos[[#This Row], [Mes]]=""),"",DATE(A1017,MATCH(B1017,{"enero","febrero","marzo","abril","mayo","junio","julio","agosto","septiembre","octubre","noviembre","diciembre"},0)+1,0))</f>
        <v/>
      </c>
      <c r="E1017" t="str">
        <f>+IFERROR(VLOOKUP(Fact_Impuestos[[#This Row], [Concepto Anterior]],Conceptos_Impuestos[#All],5,0),"")</f>
        <v/>
      </c>
      <c r="F1017" t="str">
        <f>+IFERROR(VLOOKUP(Fact_Impuestos[[#This Row], 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ht="18.75" customHeight="1" x14ac:dyDescent="0.35">
      <c r="C1018" s="100" t="str">
        <f>IF(OR(Fact_Impuestos[[#This Row], [Año]]="",Fact_Impuestos[[#This Row], [Mes]]=""),"",DATE(A1018,MATCH(B1018,{"enero","febrero","marzo","abril","mayo","junio","julio","agosto","septiembre","octubre","noviembre","diciembre"},0)+1,0))</f>
        <v/>
      </c>
      <c r="E1018" t="str">
        <f>+IFERROR(VLOOKUP(Fact_Impuestos[[#This Row], [Concepto Anterior]],Conceptos_Impuestos[#All],5,0),"")</f>
        <v/>
      </c>
      <c r="F1018" t="str">
        <f>+IFERROR(VLOOKUP(Fact_Impuestos[[#This Row], 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ht="18.75" customHeight="1" x14ac:dyDescent="0.35">
      <c r="C1019" s="100" t="str">
        <f>IF(OR(Fact_Impuestos[[#This Row], [Año]]="",Fact_Impuestos[[#This Row], [Mes]]=""),"",DATE(A1019,MATCH(B1019,{"enero","febrero","marzo","abril","mayo","junio","julio","agosto","septiembre","octubre","noviembre","diciembre"},0)+1,0))</f>
        <v/>
      </c>
      <c r="E1019" t="str">
        <f>+IFERROR(VLOOKUP(Fact_Impuestos[[#This Row], [Concepto Anterior]],Conceptos_Impuestos[#All],5,0),"")</f>
        <v/>
      </c>
      <c r="F1019" t="str">
        <f>+IFERROR(VLOOKUP(Fact_Impuestos[[#This Row], 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ht="18.75" customHeight="1" x14ac:dyDescent="0.35">
      <c r="C1020" s="100" t="str">
        <f>IF(OR(Fact_Impuestos[[#This Row], [Año]]="",Fact_Impuestos[[#This Row], [Mes]]=""),"",DATE(A1020,MATCH(B1020,{"enero","febrero","marzo","abril","mayo","junio","julio","agosto","septiembre","octubre","noviembre","diciembre"},0)+1,0))</f>
        <v/>
      </c>
      <c r="E1020" t="str">
        <f>+IFERROR(VLOOKUP(Fact_Impuestos[[#This Row], [Concepto Anterior]],Conceptos_Impuestos[#All],5,0),"")</f>
        <v/>
      </c>
      <c r="F1020" t="str">
        <f>+IFERROR(VLOOKUP(Fact_Impuestos[[#This Row], 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ht="18.75" customHeight="1" x14ac:dyDescent="0.35">
      <c r="C1021" s="100" t="str">
        <f>IF(OR(Fact_Impuestos[[#This Row], [Año]]="",Fact_Impuestos[[#This Row], [Mes]]=""),"",DATE(A1021,MATCH(B1021,{"enero","febrero","marzo","abril","mayo","junio","julio","agosto","septiembre","octubre","noviembre","diciembre"},0)+1,0))</f>
        <v/>
      </c>
      <c r="E1021" t="str">
        <f>+IFERROR(VLOOKUP(Fact_Impuestos[[#This Row], [Concepto Anterior]],Conceptos_Impuestos[#All],5,0),"")</f>
        <v/>
      </c>
      <c r="F1021" t="str">
        <f>+IFERROR(VLOOKUP(Fact_Impuestos[[#This Row], 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ht="18.75" customHeight="1" x14ac:dyDescent="0.35">
      <c r="C1022" s="100" t="str">
        <f>IF(OR(Fact_Impuestos[[#This Row], [Año]]="",Fact_Impuestos[[#This Row], [Mes]]=""),"",DATE(A1022,MATCH(B1022,{"enero","febrero","marzo","abril","mayo","junio","julio","agosto","septiembre","octubre","noviembre","diciembre"},0)+1,0))</f>
        <v/>
      </c>
      <c r="E1022" t="str">
        <f>+IFERROR(VLOOKUP(Fact_Impuestos[[#This Row], [Concepto Anterior]],Conceptos_Impuestos[#All],5,0),"")</f>
        <v/>
      </c>
      <c r="F1022" t="str">
        <f>+IFERROR(VLOOKUP(Fact_Impuestos[[#This Row], 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ht="18.75" customHeight="1" x14ac:dyDescent="0.35">
      <c r="C1023" s="100" t="str">
        <f>IF(OR(Fact_Impuestos[[#This Row], [Año]]="",Fact_Impuestos[[#This Row], [Mes]]=""),"",DATE(A1023,MATCH(B1023,{"enero","febrero","marzo","abril","mayo","junio","julio","agosto","septiembre","octubre","noviembre","diciembre"},0)+1,0))</f>
        <v/>
      </c>
      <c r="E1023" t="str">
        <f>+IFERROR(VLOOKUP(Fact_Impuestos[[#This Row], [Concepto Anterior]],Conceptos_Impuestos[#All],5,0),"")</f>
        <v/>
      </c>
      <c r="F1023" t="str">
        <f>+IFERROR(VLOOKUP(Fact_Impuestos[[#This Row], 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ht="18.75" customHeight="1" x14ac:dyDescent="0.35">
      <c r="C1024" s="100" t="str">
        <f>IF(OR(Fact_Impuestos[[#This Row], [Año]]="",Fact_Impuestos[[#This Row], [Mes]]=""),"",DATE(A1024,MATCH(B1024,{"enero","febrero","marzo","abril","mayo","junio","julio","agosto","septiembre","octubre","noviembre","diciembre"},0)+1,0))</f>
        <v/>
      </c>
      <c r="E1024" t="str">
        <f>+IFERROR(VLOOKUP(Fact_Impuestos[[#This Row], [Concepto Anterior]],Conceptos_Impuestos[#All],5,0),"")</f>
        <v/>
      </c>
      <c r="F1024" t="str">
        <f>+IFERROR(VLOOKUP(Fact_Impuestos[[#This Row], 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ht="18.75" customHeight="1" x14ac:dyDescent="0.35">
      <c r="C1025" s="100" t="str">
        <f>IF(OR(Fact_Impuestos[[#This Row], [Año]]="",Fact_Impuestos[[#This Row], [Mes]]=""),"",DATE(A1025,MATCH(B1025,{"enero","febrero","marzo","abril","mayo","junio","julio","agosto","septiembre","octubre","noviembre","diciembre"},0)+1,0))</f>
        <v/>
      </c>
      <c r="E1025" t="str">
        <f>+IFERROR(VLOOKUP(Fact_Impuestos[[#This Row], [Concepto Anterior]],Conceptos_Impuestos[#All],5,0),"")</f>
        <v/>
      </c>
      <c r="F1025" t="str">
        <f>+IFERROR(VLOOKUP(Fact_Impuestos[[#This Row], 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ht="18.75" customHeight="1" x14ac:dyDescent="0.35">
      <c r="C1026" s="100" t="str">
        <f>IF(OR(Fact_Impuestos[[#This Row], [Año]]="",Fact_Impuestos[[#This Row], [Mes]]=""),"",DATE(A1026,MATCH(B1026,{"enero","febrero","marzo","abril","mayo","junio","julio","agosto","septiembre","octubre","noviembre","diciembre"},0)+1,0))</f>
        <v/>
      </c>
      <c r="E1026" t="str">
        <f>+IFERROR(VLOOKUP(Fact_Impuestos[[#This Row], [Concepto Anterior]],Conceptos_Impuestos[#All],5,0),"")</f>
        <v/>
      </c>
      <c r="F1026" t="str">
        <f>+IFERROR(VLOOKUP(Fact_Impuestos[[#This Row], 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ht="18.75" customHeight="1" x14ac:dyDescent="0.35">
      <c r="C1027" s="100" t="str">
        <f>IF(OR(Fact_Impuestos[[#This Row], [Año]]="",Fact_Impuestos[[#This Row], [Mes]]=""),"",DATE(A1027,MATCH(B1027,{"enero","febrero","marzo","abril","mayo","junio","julio","agosto","septiembre","octubre","noviembre","diciembre"},0)+1,0))</f>
        <v/>
      </c>
      <c r="E1027" t="str">
        <f>+IFERROR(VLOOKUP(Fact_Impuestos[[#This Row], [Concepto Anterior]],Conceptos_Impuestos[#All],5,0),"")</f>
        <v/>
      </c>
      <c r="F1027" t="str">
        <f>+IFERROR(VLOOKUP(Fact_Impuestos[[#This Row], 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ht="18.75" customHeight="1" x14ac:dyDescent="0.35">
      <c r="C1028" s="100" t="str">
        <f>IF(OR(Fact_Impuestos[[#This Row], [Año]]="",Fact_Impuestos[[#This Row], [Mes]]=""),"",DATE(A1028,MATCH(B1028,{"enero","febrero","marzo","abril","mayo","junio","julio","agosto","septiembre","octubre","noviembre","diciembre"},0)+1,0))</f>
        <v/>
      </c>
      <c r="E1028" t="str">
        <f>+IFERROR(VLOOKUP(Fact_Impuestos[[#This Row], [Concepto Anterior]],Conceptos_Impuestos[#All],5,0),"")</f>
        <v/>
      </c>
      <c r="F1028" t="str">
        <f>+IFERROR(VLOOKUP(Fact_Impuestos[[#This Row], 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ht="18.75" customHeight="1" x14ac:dyDescent="0.35">
      <c r="C1029" s="100" t="str">
        <f>IF(OR(Fact_Impuestos[[#This Row], [Año]]="",Fact_Impuestos[[#This Row], [Mes]]=""),"",DATE(A1029,MATCH(B1029,{"enero","febrero","marzo","abril","mayo","junio","julio","agosto","septiembre","octubre","noviembre","diciembre"},0)+1,0))</f>
        <v/>
      </c>
      <c r="E1029" t="str">
        <f>+IFERROR(VLOOKUP(Fact_Impuestos[[#This Row], [Concepto Anterior]],Conceptos_Impuestos[#All],5,0),"")</f>
        <v/>
      </c>
      <c r="F1029" t="str">
        <f>+IFERROR(VLOOKUP(Fact_Impuestos[[#This Row], 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ht="18.75" customHeight="1" x14ac:dyDescent="0.35">
      <c r="C1030" s="100" t="str">
        <f>IF(OR(Fact_Impuestos[[#This Row], [Año]]="",Fact_Impuestos[[#This Row], [Mes]]=""),"",DATE(A1030,MATCH(B1030,{"enero","febrero","marzo","abril","mayo","junio","julio","agosto","septiembre","octubre","noviembre","diciembre"},0)+1,0))</f>
        <v/>
      </c>
      <c r="E1030" t="str">
        <f>+IFERROR(VLOOKUP(Fact_Impuestos[[#This Row], [Concepto Anterior]],Conceptos_Impuestos[#All],5,0),"")</f>
        <v/>
      </c>
      <c r="F1030" t="str">
        <f>+IFERROR(VLOOKUP(Fact_Impuestos[[#This Row], 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ht="18.75" customHeight="1" x14ac:dyDescent="0.35">
      <c r="C1031" s="100" t="str">
        <f>IF(OR(Fact_Impuestos[[#This Row], [Año]]="",Fact_Impuestos[[#This Row], [Mes]]=""),"",DATE(A1031,MATCH(B1031,{"enero","febrero","marzo","abril","mayo","junio","julio","agosto","septiembre","octubre","noviembre","diciembre"},0)+1,0))</f>
        <v/>
      </c>
      <c r="E1031" t="str">
        <f>+IFERROR(VLOOKUP(Fact_Impuestos[[#This Row], [Concepto Anterior]],Conceptos_Impuestos[#All],5,0),"")</f>
        <v/>
      </c>
      <c r="F1031" t="str">
        <f>+IFERROR(VLOOKUP(Fact_Impuestos[[#This Row], 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ht="18.75" customHeight="1" x14ac:dyDescent="0.35">
      <c r="C1032" s="100" t="str">
        <f>IF(OR(Fact_Impuestos[[#This Row], [Año]]="",Fact_Impuestos[[#This Row], [Mes]]=""),"",DATE(A1032,MATCH(B1032,{"enero","febrero","marzo","abril","mayo","junio","julio","agosto","septiembre","octubre","noviembre","diciembre"},0)+1,0))</f>
        <v/>
      </c>
      <c r="E1032" t="str">
        <f>+IFERROR(VLOOKUP(Fact_Impuestos[[#This Row], [Concepto Anterior]],Conceptos_Impuestos[#All],5,0),"")</f>
        <v/>
      </c>
      <c r="F1032" t="str">
        <f>+IFERROR(VLOOKUP(Fact_Impuestos[[#This Row], 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ht="18.75" customHeight="1" x14ac:dyDescent="0.35">
      <c r="C1033" s="100" t="str">
        <f>IF(OR(Fact_Impuestos[[#This Row], [Año]]="",Fact_Impuestos[[#This Row], [Mes]]=""),"",DATE(A1033,MATCH(B1033,{"enero","febrero","marzo","abril","mayo","junio","julio","agosto","septiembre","octubre","noviembre","diciembre"},0)+1,0))</f>
        <v/>
      </c>
      <c r="E1033" t="str">
        <f>+IFERROR(VLOOKUP(Fact_Impuestos[[#This Row], [Concepto Anterior]],Conceptos_Impuestos[#All],5,0),"")</f>
        <v/>
      </c>
      <c r="F1033" t="str">
        <f>+IFERROR(VLOOKUP(Fact_Impuestos[[#This Row], 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ht="18.75" customHeight="1" x14ac:dyDescent="0.35">
      <c r="C1034" s="100" t="str">
        <f>IF(OR(Fact_Impuestos[[#This Row], [Año]]="",Fact_Impuestos[[#This Row], [Mes]]=""),"",DATE(A1034,MATCH(B1034,{"enero","febrero","marzo","abril","mayo","junio","julio","agosto","septiembre","octubre","noviembre","diciembre"},0)+1,0))</f>
        <v/>
      </c>
      <c r="E1034" t="str">
        <f>+IFERROR(VLOOKUP(Fact_Impuestos[[#This Row], [Concepto Anterior]],Conceptos_Impuestos[#All],5,0),"")</f>
        <v/>
      </c>
      <c r="F1034" t="str">
        <f>+IFERROR(VLOOKUP(Fact_Impuestos[[#This Row], 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ht="18.75" customHeight="1" x14ac:dyDescent="0.35">
      <c r="C1035" s="100" t="str">
        <f>IF(OR(Fact_Impuestos[[#This Row], [Año]]="",Fact_Impuestos[[#This Row], [Mes]]=""),"",DATE(A1035,MATCH(B1035,{"enero","febrero","marzo","abril","mayo","junio","julio","agosto","septiembre","octubre","noviembre","diciembre"},0)+1,0))</f>
        <v/>
      </c>
      <c r="E1035" t="str">
        <f>+IFERROR(VLOOKUP(Fact_Impuestos[[#This Row], [Concepto Anterior]],Conceptos_Impuestos[#All],5,0),"")</f>
        <v/>
      </c>
      <c r="F1035" t="str">
        <f>+IFERROR(VLOOKUP(Fact_Impuestos[[#This Row], 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ht="18.75" customHeight="1" x14ac:dyDescent="0.35">
      <c r="C1036" s="100" t="str">
        <f>IF(OR(Fact_Impuestos[[#This Row], [Año]]="",Fact_Impuestos[[#This Row], [Mes]]=""),"",DATE(A1036,MATCH(B1036,{"enero","febrero","marzo","abril","mayo","junio","julio","agosto","septiembre","octubre","noviembre","diciembre"},0)+1,0))</f>
        <v/>
      </c>
      <c r="E1036" t="str">
        <f>+IFERROR(VLOOKUP(Fact_Impuestos[[#This Row], [Concepto Anterior]],Conceptos_Impuestos[#All],5,0),"")</f>
        <v/>
      </c>
      <c r="F1036" t="str">
        <f>+IFERROR(VLOOKUP(Fact_Impuestos[[#This Row], 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ht="18.75" customHeight="1" x14ac:dyDescent="0.35">
      <c r="C1037" s="100" t="str">
        <f>IF(OR(Fact_Impuestos[[#This Row], [Año]]="",Fact_Impuestos[[#This Row], [Mes]]=""),"",DATE(A1037,MATCH(B1037,{"enero","febrero","marzo","abril","mayo","junio","julio","agosto","septiembre","octubre","noviembre","diciembre"},0)+1,0))</f>
        <v/>
      </c>
      <c r="E1037" t="str">
        <f>+IFERROR(VLOOKUP(Fact_Impuestos[[#This Row], [Concepto Anterior]],Conceptos_Impuestos[#All],5,0),"")</f>
        <v/>
      </c>
      <c r="F1037" t="str">
        <f>+IFERROR(VLOOKUP(Fact_Impuestos[[#This Row], 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ht="18.75" customHeight="1" x14ac:dyDescent="0.35">
      <c r="C1038" s="100" t="str">
        <f>IF(OR(Fact_Impuestos[[#This Row], [Año]]="",Fact_Impuestos[[#This Row], [Mes]]=""),"",DATE(A1038,MATCH(B1038,{"enero","febrero","marzo","abril","mayo","junio","julio","agosto","septiembre","octubre","noviembre","diciembre"},0)+1,0))</f>
        <v/>
      </c>
      <c r="E1038" t="str">
        <f>+IFERROR(VLOOKUP(Fact_Impuestos[[#This Row], [Concepto Anterior]],Conceptos_Impuestos[#All],5,0),"")</f>
        <v/>
      </c>
      <c r="F1038" t="str">
        <f>+IFERROR(VLOOKUP(Fact_Impuestos[[#This Row], 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ht="18.75" customHeight="1" x14ac:dyDescent="0.35">
      <c r="C1039" s="100" t="str">
        <f>IF(OR(Fact_Impuestos[[#This Row], [Año]]="",Fact_Impuestos[[#This Row], [Mes]]=""),"",DATE(A1039,MATCH(B1039,{"enero","febrero","marzo","abril","mayo","junio","julio","agosto","septiembre","octubre","noviembre","diciembre"},0)+1,0))</f>
        <v/>
      </c>
      <c r="E1039" t="str">
        <f>+IFERROR(VLOOKUP(Fact_Impuestos[[#This Row], [Concepto Anterior]],Conceptos_Impuestos[#All],5,0),"")</f>
        <v/>
      </c>
      <c r="F1039" t="str">
        <f>+IFERROR(VLOOKUP(Fact_Impuestos[[#This Row], 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ht="18.75" customHeight="1" x14ac:dyDescent="0.35">
      <c r="C1040" s="100" t="str">
        <f>IF(OR(Fact_Impuestos[[#This Row], [Año]]="",Fact_Impuestos[[#This Row], [Mes]]=""),"",DATE(A1040,MATCH(B1040,{"enero","febrero","marzo","abril","mayo","junio","julio","agosto","septiembre","octubre","noviembre","diciembre"},0)+1,0))</f>
        <v/>
      </c>
      <c r="E1040" t="str">
        <f>+IFERROR(VLOOKUP(Fact_Impuestos[[#This Row], [Concepto Anterior]],Conceptos_Impuestos[#All],5,0),"")</f>
        <v/>
      </c>
      <c r="F1040" t="str">
        <f>+IFERROR(VLOOKUP(Fact_Impuestos[[#This Row], 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ht="18.75" customHeight="1" x14ac:dyDescent="0.35">
      <c r="C1041" s="100" t="str">
        <f>IF(OR(Fact_Impuestos[[#This Row], [Año]]="",Fact_Impuestos[[#This Row], [Mes]]=""),"",DATE(A1041,MATCH(B1041,{"enero","febrero","marzo","abril","mayo","junio","julio","agosto","septiembre","octubre","noviembre","diciembre"},0)+1,0))</f>
        <v/>
      </c>
      <c r="E1041" t="str">
        <f>+IFERROR(VLOOKUP(Fact_Impuestos[[#This Row], [Concepto Anterior]],Conceptos_Impuestos[#All],5,0),"")</f>
        <v/>
      </c>
      <c r="F1041" t="str">
        <f>+IFERROR(VLOOKUP(Fact_Impuestos[[#This Row], 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ht="18.75" customHeight="1" x14ac:dyDescent="0.35">
      <c r="C1042" s="100" t="str">
        <f>IF(OR(Fact_Impuestos[[#This Row], [Año]]="",Fact_Impuestos[[#This Row], [Mes]]=""),"",DATE(A1042,MATCH(B1042,{"enero","febrero","marzo","abril","mayo","junio","julio","agosto","septiembre","octubre","noviembre","diciembre"},0)+1,0))</f>
        <v/>
      </c>
      <c r="E1042" t="str">
        <f>+IFERROR(VLOOKUP(Fact_Impuestos[[#This Row], [Concepto Anterior]],Conceptos_Impuestos[#All],5,0),"")</f>
        <v/>
      </c>
      <c r="F1042" t="str">
        <f>+IFERROR(VLOOKUP(Fact_Impuestos[[#This Row], 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ht="18.75" customHeight="1" x14ac:dyDescent="0.35">
      <c r="C1043" s="100" t="str">
        <f>IF(OR(Fact_Impuestos[[#This Row], [Año]]="",Fact_Impuestos[[#This Row], [Mes]]=""),"",DATE(A1043,MATCH(B1043,{"enero","febrero","marzo","abril","mayo","junio","julio","agosto","septiembre","octubre","noviembre","diciembre"},0)+1,0))</f>
        <v/>
      </c>
      <c r="E1043" t="str">
        <f>+IFERROR(VLOOKUP(Fact_Impuestos[[#This Row], [Concepto Anterior]],Conceptos_Impuestos[#All],5,0),"")</f>
        <v/>
      </c>
      <c r="F1043" t="str">
        <f>+IFERROR(VLOOKUP(Fact_Impuestos[[#This Row], 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ht="18.75" customHeight="1" x14ac:dyDescent="0.35">
      <c r="C1044" s="100" t="str">
        <f>IF(OR(Fact_Impuestos[[#This Row], [Año]]="",Fact_Impuestos[[#This Row], [Mes]]=""),"",DATE(A1044,MATCH(B1044,{"enero","febrero","marzo","abril","mayo","junio","julio","agosto","septiembre","octubre","noviembre","diciembre"},0)+1,0))</f>
        <v/>
      </c>
      <c r="E1044" t="str">
        <f>+IFERROR(VLOOKUP(Fact_Impuestos[[#This Row], [Concepto Anterior]],Conceptos_Impuestos[#All],5,0),"")</f>
        <v/>
      </c>
      <c r="F1044" t="str">
        <f>+IFERROR(VLOOKUP(Fact_Impuestos[[#This Row], 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ht="18.75" customHeight="1" x14ac:dyDescent="0.35">
      <c r="C1045" s="100" t="str">
        <f>IF(OR(Fact_Impuestos[[#This Row], [Año]]="",Fact_Impuestos[[#This Row], [Mes]]=""),"",DATE(A1045,MATCH(B1045,{"enero","febrero","marzo","abril","mayo","junio","julio","agosto","septiembre","octubre","noviembre","diciembre"},0)+1,0))</f>
        <v/>
      </c>
      <c r="E1045" t="str">
        <f>+IFERROR(VLOOKUP(Fact_Impuestos[[#This Row], [Concepto Anterior]],Conceptos_Impuestos[#All],5,0),"")</f>
        <v/>
      </c>
      <c r="F1045" t="str">
        <f>+IFERROR(VLOOKUP(Fact_Impuestos[[#This Row], 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ht="18.75" customHeight="1" x14ac:dyDescent="0.35">
      <c r="C1046" s="100" t="str">
        <f>IF(OR(Fact_Impuestos[[#This Row], [Año]]="",Fact_Impuestos[[#This Row], [Mes]]=""),"",DATE(A1046,MATCH(B1046,{"enero","febrero","marzo","abril","mayo","junio","julio","agosto","septiembre","octubre","noviembre","diciembre"},0)+1,0))</f>
        <v/>
      </c>
      <c r="E1046" t="str">
        <f>+IFERROR(VLOOKUP(Fact_Impuestos[[#This Row], [Concepto Anterior]],Conceptos_Impuestos[#All],5,0),"")</f>
        <v/>
      </c>
      <c r="F1046" t="str">
        <f>+IFERROR(VLOOKUP(Fact_Impuestos[[#This Row], 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ht="18.75" customHeight="1" x14ac:dyDescent="0.35">
      <c r="C1047" s="100" t="str">
        <f>IF(OR(Fact_Impuestos[[#This Row], [Año]]="",Fact_Impuestos[[#This Row], [Mes]]=""),"",DATE(A1047,MATCH(B1047,{"enero","febrero","marzo","abril","mayo","junio","julio","agosto","septiembre","octubre","noviembre","diciembre"},0)+1,0))</f>
        <v/>
      </c>
      <c r="E1047" t="str">
        <f>+IFERROR(VLOOKUP(Fact_Impuestos[[#This Row], [Concepto Anterior]],Conceptos_Impuestos[#All],5,0),"")</f>
        <v/>
      </c>
      <c r="F1047" t="str">
        <f>+IFERROR(VLOOKUP(Fact_Impuestos[[#This Row], 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ht="18.75" customHeight="1" x14ac:dyDescent="0.35">
      <c r="C1048" s="100" t="str">
        <f>IF(OR(Fact_Impuestos[[#This Row], [Año]]="",Fact_Impuestos[[#This Row], [Mes]]=""),"",DATE(A1048,MATCH(B1048,{"enero","febrero","marzo","abril","mayo","junio","julio","agosto","septiembre","octubre","noviembre","diciembre"},0)+1,0))</f>
        <v/>
      </c>
      <c r="E1048" t="str">
        <f>+IFERROR(VLOOKUP(Fact_Impuestos[[#This Row], [Concepto Anterior]],Conceptos_Impuestos[#All],5,0),"")</f>
        <v/>
      </c>
      <c r="F1048" t="str">
        <f>+IFERROR(VLOOKUP(Fact_Impuestos[[#This Row], 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ht="18.75" customHeight="1" x14ac:dyDescent="0.35">
      <c r="C1049" s="100" t="str">
        <f>IF(OR(Fact_Impuestos[[#This Row], [Año]]="",Fact_Impuestos[[#This Row], [Mes]]=""),"",DATE(A1049,MATCH(B1049,{"enero","febrero","marzo","abril","mayo","junio","julio","agosto","septiembre","octubre","noviembre","diciembre"},0)+1,0))</f>
        <v/>
      </c>
      <c r="E1049" t="str">
        <f>+IFERROR(VLOOKUP(Fact_Impuestos[[#This Row], [Concepto Anterior]],Conceptos_Impuestos[#All],5,0),"")</f>
        <v/>
      </c>
      <c r="F1049" t="str">
        <f>+IFERROR(VLOOKUP(Fact_Impuestos[[#This Row], 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ht="18.75" customHeight="1" x14ac:dyDescent="0.35">
      <c r="C1050" s="100" t="str">
        <f>IF(OR(Fact_Impuestos[[#This Row], [Año]]="",Fact_Impuestos[[#This Row], [Mes]]=""),"",DATE(A1050,MATCH(B1050,{"enero","febrero","marzo","abril","mayo","junio","julio","agosto","septiembre","octubre","noviembre","diciembre"},0)+1,0))</f>
        <v/>
      </c>
      <c r="E1050" t="str">
        <f>+IFERROR(VLOOKUP(Fact_Impuestos[[#This Row], [Concepto Anterior]],Conceptos_Impuestos[#All],5,0),"")</f>
        <v/>
      </c>
      <c r="F1050" t="str">
        <f>+IFERROR(VLOOKUP(Fact_Impuestos[[#This Row], 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ht="18.75" customHeight="1" x14ac:dyDescent="0.35">
      <c r="C1051" s="100" t="str">
        <f>IF(OR(Fact_Impuestos[[#This Row], [Año]]="",Fact_Impuestos[[#This Row], [Mes]]=""),"",DATE(A1051,MATCH(B1051,{"enero","febrero","marzo","abril","mayo","junio","julio","agosto","septiembre","octubre","noviembre","diciembre"},0)+1,0))</f>
        <v/>
      </c>
      <c r="E1051" t="str">
        <f>+IFERROR(VLOOKUP(Fact_Impuestos[[#This Row], [Concepto Anterior]],Conceptos_Impuestos[#All],5,0),"")</f>
        <v/>
      </c>
      <c r="F1051" t="str">
        <f>+IFERROR(VLOOKUP(Fact_Impuestos[[#This Row], 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ht="18.75" customHeight="1" x14ac:dyDescent="0.35">
      <c r="C1052" s="100" t="str">
        <f>IF(OR(Fact_Impuestos[[#This Row], [Año]]="",Fact_Impuestos[[#This Row], [Mes]]=""),"",DATE(A1052,MATCH(B1052,{"enero","febrero","marzo","abril","mayo","junio","julio","agosto","septiembre","octubre","noviembre","diciembre"},0)+1,0))</f>
        <v/>
      </c>
      <c r="E1052" t="str">
        <f>+IFERROR(VLOOKUP(Fact_Impuestos[[#This Row], [Concepto Anterior]],Conceptos_Impuestos[#All],5,0),"")</f>
        <v/>
      </c>
      <c r="F1052" t="str">
        <f>+IFERROR(VLOOKUP(Fact_Impuestos[[#This Row], 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ht="18.75" customHeight="1" x14ac:dyDescent="0.35">
      <c r="C1053" s="100" t="str">
        <f>IF(OR(Fact_Impuestos[[#This Row], [Año]]="",Fact_Impuestos[[#This Row], [Mes]]=""),"",DATE(A1053,MATCH(B1053,{"enero","febrero","marzo","abril","mayo","junio","julio","agosto","septiembre","octubre","noviembre","diciembre"},0)+1,0))</f>
        <v/>
      </c>
      <c r="E1053" t="str">
        <f>+IFERROR(VLOOKUP(Fact_Impuestos[[#This Row], [Concepto Anterior]],Conceptos_Impuestos[#All],5,0),"")</f>
        <v/>
      </c>
      <c r="F1053" t="str">
        <f>+IFERROR(VLOOKUP(Fact_Impuestos[[#This Row], 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ht="18.75" customHeight="1" x14ac:dyDescent="0.35">
      <c r="C1054" s="100" t="str">
        <f>IF(OR(Fact_Impuestos[[#This Row], [Año]]="",Fact_Impuestos[[#This Row], [Mes]]=""),"",DATE(A1054,MATCH(B1054,{"enero","febrero","marzo","abril","mayo","junio","julio","agosto","septiembre","octubre","noviembre","diciembre"},0)+1,0))</f>
        <v/>
      </c>
      <c r="E1054" t="str">
        <f>+IFERROR(VLOOKUP(Fact_Impuestos[[#This Row], [Concepto Anterior]],Conceptos_Impuestos[#All],5,0),"")</f>
        <v/>
      </c>
      <c r="F1054" t="str">
        <f>+IFERROR(VLOOKUP(Fact_Impuestos[[#This Row], 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ht="18.75" customHeight="1" x14ac:dyDescent="0.35">
      <c r="C1055" s="100" t="str">
        <f>IF(OR(Fact_Impuestos[[#This Row], [Año]]="",Fact_Impuestos[[#This Row], [Mes]]=""),"",DATE(A1055,MATCH(B1055,{"enero","febrero","marzo","abril","mayo","junio","julio","agosto","septiembre","octubre","noviembre","diciembre"},0)+1,0))</f>
        <v/>
      </c>
      <c r="E1055" t="str">
        <f>+IFERROR(VLOOKUP(Fact_Impuestos[[#This Row], [Concepto Anterior]],Conceptos_Impuestos[#All],5,0),"")</f>
        <v/>
      </c>
      <c r="F1055" t="str">
        <f>+IFERROR(VLOOKUP(Fact_Impuestos[[#This Row], 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ht="18.75" customHeight="1" x14ac:dyDescent="0.35">
      <c r="C1056" s="100" t="str">
        <f>IF(OR(Fact_Impuestos[[#This Row], [Año]]="",Fact_Impuestos[[#This Row], [Mes]]=""),"",DATE(A1056,MATCH(B1056,{"enero","febrero","marzo","abril","mayo","junio","julio","agosto","septiembre","octubre","noviembre","diciembre"},0)+1,0))</f>
        <v/>
      </c>
      <c r="E1056" t="str">
        <f>+IFERROR(VLOOKUP(Fact_Impuestos[[#This Row], [Concepto Anterior]],Conceptos_Impuestos[#All],5,0),"")</f>
        <v/>
      </c>
      <c r="F1056" t="str">
        <f>+IFERROR(VLOOKUP(Fact_Impuestos[[#This Row], 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ht="18.75" customHeight="1" x14ac:dyDescent="0.35">
      <c r="C1057" s="100" t="str">
        <f>IF(OR(Fact_Impuestos[[#This Row], [Año]]="",Fact_Impuestos[[#This Row], [Mes]]=""),"",DATE(A1057,MATCH(B1057,{"enero","febrero","marzo","abril","mayo","junio","julio","agosto","septiembre","octubre","noviembre","diciembre"},0)+1,0))</f>
        <v/>
      </c>
      <c r="E1057" t="str">
        <f>+IFERROR(VLOOKUP(Fact_Impuestos[[#This Row], [Concepto Anterior]],Conceptos_Impuestos[#All],5,0),"")</f>
        <v/>
      </c>
      <c r="F1057" t="str">
        <f>+IFERROR(VLOOKUP(Fact_Impuestos[[#This Row], 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ht="18.75" customHeight="1" x14ac:dyDescent="0.35">
      <c r="C1058" s="100" t="str">
        <f>IF(OR(Fact_Impuestos[[#This Row], [Año]]="",Fact_Impuestos[[#This Row], [Mes]]=""),"",DATE(A1058,MATCH(B1058,{"enero","febrero","marzo","abril","mayo","junio","julio","agosto","septiembre","octubre","noviembre","diciembre"},0)+1,0))</f>
        <v/>
      </c>
      <c r="E1058" t="str">
        <f>+IFERROR(VLOOKUP(Fact_Impuestos[[#This Row], [Concepto Anterior]],Conceptos_Impuestos[#All],5,0),"")</f>
        <v/>
      </c>
      <c r="F1058" t="str">
        <f>+IFERROR(VLOOKUP(Fact_Impuestos[[#This Row], 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ht="18.75" customHeight="1" x14ac:dyDescent="0.35">
      <c r="C1059" s="100" t="str">
        <f>IF(OR(Fact_Impuestos[[#This Row], [Año]]="",Fact_Impuestos[[#This Row], [Mes]]=""),"",DATE(A1059,MATCH(B1059,{"enero","febrero","marzo","abril","mayo","junio","julio","agosto","septiembre","octubre","noviembre","diciembre"},0)+1,0))</f>
        <v/>
      </c>
      <c r="E1059" t="str">
        <f>+IFERROR(VLOOKUP(Fact_Impuestos[[#This Row], [Concepto Anterior]],Conceptos_Impuestos[#All],5,0),"")</f>
        <v/>
      </c>
      <c r="F1059" t="str">
        <f>+IFERROR(VLOOKUP(Fact_Impuestos[[#This Row], 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ht="18.75" customHeight="1" x14ac:dyDescent="0.35">
      <c r="C1060" s="100" t="str">
        <f>IF(OR(Fact_Impuestos[[#This Row], [Año]]="",Fact_Impuestos[[#This Row], [Mes]]=""),"",DATE(A1060,MATCH(B1060,{"enero","febrero","marzo","abril","mayo","junio","julio","agosto","septiembre","octubre","noviembre","diciembre"},0)+1,0))</f>
        <v/>
      </c>
      <c r="E1060" t="str">
        <f>+IFERROR(VLOOKUP(Fact_Impuestos[[#This Row], [Concepto Anterior]],Conceptos_Impuestos[#All],5,0),"")</f>
        <v/>
      </c>
      <c r="F1060" t="str">
        <f>+IFERROR(VLOOKUP(Fact_Impuestos[[#This Row], 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ht="18.75" customHeight="1" x14ac:dyDescent="0.35">
      <c r="C1061" s="100" t="str">
        <f>IF(OR(Fact_Impuestos[[#This Row], [Año]]="",Fact_Impuestos[[#This Row], [Mes]]=""),"",DATE(A1061,MATCH(B1061,{"enero","febrero","marzo","abril","mayo","junio","julio","agosto","septiembre","octubre","noviembre","diciembre"},0)+1,0))</f>
        <v/>
      </c>
      <c r="E1061" t="str">
        <f>+IFERROR(VLOOKUP(Fact_Impuestos[[#This Row], [Concepto Anterior]],Conceptos_Impuestos[#All],5,0),"")</f>
        <v/>
      </c>
      <c r="F1061" t="str">
        <f>+IFERROR(VLOOKUP(Fact_Impuestos[[#This Row], 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ht="18.75" customHeight="1" x14ac:dyDescent="0.35">
      <c r="C1062" s="100" t="str">
        <f>IF(OR(Fact_Impuestos[[#This Row], [Año]]="",Fact_Impuestos[[#This Row], [Mes]]=""),"",DATE(A1062,MATCH(B1062,{"enero","febrero","marzo","abril","mayo","junio","julio","agosto","septiembre","octubre","noviembre","diciembre"},0)+1,0))</f>
        <v/>
      </c>
      <c r="E1062" t="str">
        <f>+IFERROR(VLOOKUP(Fact_Impuestos[[#This Row], [Concepto Anterior]],Conceptos_Impuestos[#All],5,0),"")</f>
        <v/>
      </c>
      <c r="F1062" t="str">
        <f>+IFERROR(VLOOKUP(Fact_Impuestos[[#This Row], 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ht="18.75" customHeight="1" x14ac:dyDescent="0.35">
      <c r="C1063" s="100" t="str">
        <f>IF(OR(Fact_Impuestos[[#This Row], [Año]]="",Fact_Impuestos[[#This Row], [Mes]]=""),"",DATE(A1063,MATCH(B1063,{"enero","febrero","marzo","abril","mayo","junio","julio","agosto","septiembre","octubre","noviembre","diciembre"},0)+1,0))</f>
        <v/>
      </c>
      <c r="E1063" t="str">
        <f>+IFERROR(VLOOKUP(Fact_Impuestos[[#This Row], [Concepto Anterior]],Conceptos_Impuestos[#All],5,0),"")</f>
        <v/>
      </c>
      <c r="F1063" t="str">
        <f>+IFERROR(VLOOKUP(Fact_Impuestos[[#This Row], 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ht="18.75" customHeight="1" x14ac:dyDescent="0.35">
      <c r="C1064" s="100" t="str">
        <f>IF(OR(Fact_Impuestos[[#This Row], [Año]]="",Fact_Impuestos[[#This Row], [Mes]]=""),"",DATE(A1064,MATCH(B1064,{"enero","febrero","marzo","abril","mayo","junio","julio","agosto","septiembre","octubre","noviembre","diciembre"},0)+1,0))</f>
        <v/>
      </c>
      <c r="E1064" t="str">
        <f>+IFERROR(VLOOKUP(Fact_Impuestos[[#This Row], [Concepto Anterior]],Conceptos_Impuestos[#All],5,0),"")</f>
        <v/>
      </c>
      <c r="F1064" t="str">
        <f>+IFERROR(VLOOKUP(Fact_Impuestos[[#This Row], 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ht="18.75" customHeight="1" x14ac:dyDescent="0.35">
      <c r="C1065" s="100" t="str">
        <f>IF(OR(Fact_Impuestos[[#This Row], [Año]]="",Fact_Impuestos[[#This Row], [Mes]]=""),"",DATE(A1065,MATCH(B1065,{"enero","febrero","marzo","abril","mayo","junio","julio","agosto","septiembre","octubre","noviembre","diciembre"},0)+1,0))</f>
        <v/>
      </c>
      <c r="E1065" t="str">
        <f>+IFERROR(VLOOKUP(Fact_Impuestos[[#This Row], [Concepto Anterior]],Conceptos_Impuestos[#All],5,0),"")</f>
        <v/>
      </c>
      <c r="F1065" t="str">
        <f>+IFERROR(VLOOKUP(Fact_Impuestos[[#This Row], 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ht="18.75" customHeight="1" x14ac:dyDescent="0.35">
      <c r="C1066" s="100" t="str">
        <f>IF(OR(Fact_Impuestos[[#This Row], [Año]]="",Fact_Impuestos[[#This Row], [Mes]]=""),"",DATE(A1066,MATCH(B1066,{"enero","febrero","marzo","abril","mayo","junio","julio","agosto","septiembre","octubre","noviembre","diciembre"},0)+1,0))</f>
        <v/>
      </c>
      <c r="E1066" t="str">
        <f>+IFERROR(VLOOKUP(Fact_Impuestos[[#This Row], [Concepto Anterior]],Conceptos_Impuestos[#All],5,0),"")</f>
        <v/>
      </c>
      <c r="F1066" t="str">
        <f>+IFERROR(VLOOKUP(Fact_Impuestos[[#This Row], 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ht="18.75" customHeight="1" x14ac:dyDescent="0.35">
      <c r="C1067" s="100" t="str">
        <f>IF(OR(Fact_Impuestos[[#This Row], [Año]]="",Fact_Impuestos[[#This Row], [Mes]]=""),"",DATE(A1067,MATCH(B1067,{"enero","febrero","marzo","abril","mayo","junio","julio","agosto","septiembre","octubre","noviembre","diciembre"},0)+1,0))</f>
        <v/>
      </c>
      <c r="E1067" t="str">
        <f>+IFERROR(VLOOKUP(Fact_Impuestos[[#This Row], [Concepto Anterior]],Conceptos_Impuestos[#All],5,0),"")</f>
        <v/>
      </c>
      <c r="F1067" t="str">
        <f>+IFERROR(VLOOKUP(Fact_Impuestos[[#This Row], 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ht="18.75" customHeight="1" x14ac:dyDescent="0.35">
      <c r="C1068" s="100" t="str">
        <f>IF(OR(Fact_Impuestos[[#This Row], [Año]]="",Fact_Impuestos[[#This Row], [Mes]]=""),"",DATE(A1068,MATCH(B1068,{"enero","febrero","marzo","abril","mayo","junio","julio","agosto","septiembre","octubre","noviembre","diciembre"},0)+1,0))</f>
        <v/>
      </c>
      <c r="E1068" t="str">
        <f>+IFERROR(VLOOKUP(Fact_Impuestos[[#This Row], [Concepto Anterior]],Conceptos_Impuestos[#All],5,0),"")</f>
        <v/>
      </c>
      <c r="F1068" t="str">
        <f>+IFERROR(VLOOKUP(Fact_Impuestos[[#This Row], 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ht="18.75" customHeight="1" x14ac:dyDescent="0.35">
      <c r="C1069" s="100" t="str">
        <f>IF(OR(Fact_Impuestos[[#This Row], [Año]]="",Fact_Impuestos[[#This Row], [Mes]]=""),"",DATE(A1069,MATCH(B1069,{"enero","febrero","marzo","abril","mayo","junio","julio","agosto","septiembre","octubre","noviembre","diciembre"},0)+1,0))</f>
        <v/>
      </c>
      <c r="E1069" t="str">
        <f>+IFERROR(VLOOKUP(Fact_Impuestos[[#This Row], [Concepto Anterior]],Conceptos_Impuestos[#All],5,0),"")</f>
        <v/>
      </c>
      <c r="F1069" t="str">
        <f>+IFERROR(VLOOKUP(Fact_Impuestos[[#This Row], 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ht="18.75" customHeight="1" x14ac:dyDescent="0.35">
      <c r="C1070" s="100" t="str">
        <f>IF(OR(Fact_Impuestos[[#This Row], [Año]]="",Fact_Impuestos[[#This Row], [Mes]]=""),"",DATE(A1070,MATCH(B1070,{"enero","febrero","marzo","abril","mayo","junio","julio","agosto","septiembre","octubre","noviembre","diciembre"},0)+1,0))</f>
        <v/>
      </c>
      <c r="E1070" t="str">
        <f>+IFERROR(VLOOKUP(Fact_Impuestos[[#This Row], [Concepto Anterior]],Conceptos_Impuestos[#All],5,0),"")</f>
        <v/>
      </c>
      <c r="F1070" t="str">
        <f>+IFERROR(VLOOKUP(Fact_Impuestos[[#This Row], 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ht="18.75" customHeight="1" x14ac:dyDescent="0.35">
      <c r="C1071" s="100" t="str">
        <f>IF(OR(Fact_Impuestos[[#This Row], [Año]]="",Fact_Impuestos[[#This Row], [Mes]]=""),"",DATE(A1071,MATCH(B1071,{"enero","febrero","marzo","abril","mayo","junio","julio","agosto","septiembre","octubre","noviembre","diciembre"},0)+1,0))</f>
        <v/>
      </c>
      <c r="E1071" t="str">
        <f>+IFERROR(VLOOKUP(Fact_Impuestos[[#This Row], [Concepto Anterior]],Conceptos_Impuestos[#All],5,0),"")</f>
        <v/>
      </c>
      <c r="F1071" t="str">
        <f>+IFERROR(VLOOKUP(Fact_Impuestos[[#This Row], 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ht="18.75" customHeight="1" x14ac:dyDescent="0.35">
      <c r="C1072" s="100" t="str">
        <f>IF(OR(Fact_Impuestos[[#This Row], [Año]]="",Fact_Impuestos[[#This Row], [Mes]]=""),"",DATE(A1072,MATCH(B1072,{"enero","febrero","marzo","abril","mayo","junio","julio","agosto","septiembre","octubre","noviembre","diciembre"},0)+1,0))</f>
        <v/>
      </c>
      <c r="E1072" t="str">
        <f>+IFERROR(VLOOKUP(Fact_Impuestos[[#This Row], [Concepto Anterior]],Conceptos_Impuestos[#All],5,0),"")</f>
        <v/>
      </c>
      <c r="F1072" t="str">
        <f>+IFERROR(VLOOKUP(Fact_Impuestos[[#This Row], 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ht="18.75" customHeight="1" x14ac:dyDescent="0.35">
      <c r="C1073" s="100" t="str">
        <f>IF(OR(Fact_Impuestos[[#This Row], [Año]]="",Fact_Impuestos[[#This Row], [Mes]]=""),"",DATE(A1073,MATCH(B1073,{"enero","febrero","marzo","abril","mayo","junio","julio","agosto","septiembre","octubre","noviembre","diciembre"},0)+1,0))</f>
        <v/>
      </c>
      <c r="E1073" t="str">
        <f>+IFERROR(VLOOKUP(Fact_Impuestos[[#This Row], [Concepto Anterior]],Conceptos_Impuestos[#All],5,0),"")</f>
        <v/>
      </c>
      <c r="F1073" t="str">
        <f>+IFERROR(VLOOKUP(Fact_Impuestos[[#This Row], 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ht="18.75" customHeight="1" x14ac:dyDescent="0.35">
      <c r="C1074" s="100" t="str">
        <f>IF(OR(Fact_Impuestos[[#This Row], [Año]]="",Fact_Impuestos[[#This Row], [Mes]]=""),"",DATE(A1074,MATCH(B1074,{"enero","febrero","marzo","abril","mayo","junio","julio","agosto","septiembre","octubre","noviembre","diciembre"},0)+1,0))</f>
        <v/>
      </c>
      <c r="E1074" t="str">
        <f>+IFERROR(VLOOKUP(Fact_Impuestos[[#This Row], [Concepto Anterior]],Conceptos_Impuestos[#All],5,0),"")</f>
        <v/>
      </c>
      <c r="F1074" t="str">
        <f>+IFERROR(VLOOKUP(Fact_Impuestos[[#This Row], 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ht="18.75" customHeight="1" x14ac:dyDescent="0.35">
      <c r="C1075" s="100" t="str">
        <f>IF(OR(Fact_Impuestos[[#This Row], [Año]]="",Fact_Impuestos[[#This Row], [Mes]]=""),"",DATE(A1075,MATCH(B1075,{"enero","febrero","marzo","abril","mayo","junio","julio","agosto","septiembre","octubre","noviembre","diciembre"},0)+1,0))</f>
        <v/>
      </c>
      <c r="E1075" t="str">
        <f>+IFERROR(VLOOKUP(Fact_Impuestos[[#This Row], [Concepto Anterior]],Conceptos_Impuestos[#All],5,0),"")</f>
        <v/>
      </c>
      <c r="F1075" t="str">
        <f>+IFERROR(VLOOKUP(Fact_Impuestos[[#This Row], 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ht="18.75" customHeight="1" x14ac:dyDescent="0.35">
      <c r="C1076" s="100" t="str">
        <f>IF(OR(Fact_Impuestos[[#This Row], [Año]]="",Fact_Impuestos[[#This Row], [Mes]]=""),"",DATE(A1076,MATCH(B1076,{"enero","febrero","marzo","abril","mayo","junio","julio","agosto","septiembre","octubre","noviembre","diciembre"},0)+1,0))</f>
        <v/>
      </c>
      <c r="E1076" t="str">
        <f>+IFERROR(VLOOKUP(Fact_Impuestos[[#This Row], [Concepto Anterior]],Conceptos_Impuestos[#All],5,0),"")</f>
        <v/>
      </c>
      <c r="F1076" t="str">
        <f>+IFERROR(VLOOKUP(Fact_Impuestos[[#This Row], 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ht="18.75" customHeight="1" x14ac:dyDescent="0.35">
      <c r="C1077" s="100" t="str">
        <f>IF(OR(Fact_Impuestos[[#This Row], [Año]]="",Fact_Impuestos[[#This Row], [Mes]]=""),"",DATE(A1077,MATCH(B1077,{"enero","febrero","marzo","abril","mayo","junio","julio","agosto","septiembre","octubre","noviembre","diciembre"},0)+1,0))</f>
        <v/>
      </c>
      <c r="E1077" t="str">
        <f>+IFERROR(VLOOKUP(Fact_Impuestos[[#This Row], [Concepto Anterior]],Conceptos_Impuestos[#All],5,0),"")</f>
        <v/>
      </c>
      <c r="F1077" t="str">
        <f>+IFERROR(VLOOKUP(Fact_Impuestos[[#This Row], 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ht="18.75" customHeight="1" x14ac:dyDescent="0.35">
      <c r="C1078" s="100" t="str">
        <f>IF(OR(Fact_Impuestos[[#This Row], [Año]]="",Fact_Impuestos[[#This Row], [Mes]]=""),"",DATE(A1078,MATCH(B1078,{"enero","febrero","marzo","abril","mayo","junio","julio","agosto","septiembre","octubre","noviembre","diciembre"},0)+1,0))</f>
        <v/>
      </c>
      <c r="E1078" t="str">
        <f>+IFERROR(VLOOKUP(Fact_Impuestos[[#This Row], [Concepto Anterior]],Conceptos_Impuestos[#All],5,0),"")</f>
        <v/>
      </c>
      <c r="F1078" t="str">
        <f>+IFERROR(VLOOKUP(Fact_Impuestos[[#This Row], 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ht="18.75" customHeight="1" x14ac:dyDescent="0.35">
      <c r="C1079" s="100" t="str">
        <f>IF(OR(Fact_Impuestos[[#This Row], [Año]]="",Fact_Impuestos[[#This Row], [Mes]]=""),"",DATE(A1079,MATCH(B1079,{"enero","febrero","marzo","abril","mayo","junio","julio","agosto","septiembre","octubre","noviembre","diciembre"},0)+1,0))</f>
        <v/>
      </c>
      <c r="E1079" t="str">
        <f>+IFERROR(VLOOKUP(Fact_Impuestos[[#This Row], [Concepto Anterior]],Conceptos_Impuestos[#All],5,0),"")</f>
        <v/>
      </c>
      <c r="F1079" t="str">
        <f>+IFERROR(VLOOKUP(Fact_Impuestos[[#This Row], 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ht="18.75" customHeight="1" x14ac:dyDescent="0.35">
      <c r="C1080" s="100" t="str">
        <f>IF(OR(Fact_Impuestos[[#This Row], [Año]]="",Fact_Impuestos[[#This Row], [Mes]]=""),"",DATE(A1080,MATCH(B1080,{"enero","febrero","marzo","abril","mayo","junio","julio","agosto","septiembre","octubre","noviembre","diciembre"},0)+1,0))</f>
        <v/>
      </c>
      <c r="E1080" t="str">
        <f>+IFERROR(VLOOKUP(Fact_Impuestos[[#This Row], [Concepto Anterior]],Conceptos_Impuestos[#All],5,0),"")</f>
        <v/>
      </c>
      <c r="F1080" t="str">
        <f>+IFERROR(VLOOKUP(Fact_Impuestos[[#This Row], 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ht="18.75" customHeight="1" x14ac:dyDescent="0.35">
      <c r="C1081" s="100" t="str">
        <f>IF(OR(Fact_Impuestos[[#This Row], [Año]]="",Fact_Impuestos[[#This Row], [Mes]]=""),"",DATE(A1081,MATCH(B1081,{"enero","febrero","marzo","abril","mayo","junio","julio","agosto","septiembre","octubre","noviembre","diciembre"},0)+1,0))</f>
        <v/>
      </c>
      <c r="E1081" t="str">
        <f>+IFERROR(VLOOKUP(Fact_Impuestos[[#This Row], [Concepto Anterior]],Conceptos_Impuestos[#All],5,0),"")</f>
        <v/>
      </c>
      <c r="F1081" t="str">
        <f>+IFERROR(VLOOKUP(Fact_Impuestos[[#This Row], 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ht="18.75" customHeight="1" x14ac:dyDescent="0.35">
      <c r="C1082" s="100" t="str">
        <f>IF(OR(Fact_Impuestos[[#This Row], [Año]]="",Fact_Impuestos[[#This Row], [Mes]]=""),"",DATE(A1082,MATCH(B1082,{"enero","febrero","marzo","abril","mayo","junio","julio","agosto","septiembre","octubre","noviembre","diciembre"},0)+1,0))</f>
        <v/>
      </c>
      <c r="E1082" t="str">
        <f>+IFERROR(VLOOKUP(Fact_Impuestos[[#This Row], [Concepto Anterior]],Conceptos_Impuestos[#All],5,0),"")</f>
        <v/>
      </c>
      <c r="F1082" t="str">
        <f>+IFERROR(VLOOKUP(Fact_Impuestos[[#This Row], 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ht="18.75" customHeight="1" x14ac:dyDescent="0.35">
      <c r="C1083" s="100" t="str">
        <f>IF(OR(Fact_Impuestos[[#This Row], [Año]]="",Fact_Impuestos[[#This Row], [Mes]]=""),"",DATE(A1083,MATCH(B1083,{"enero","febrero","marzo","abril","mayo","junio","julio","agosto","septiembre","octubre","noviembre","diciembre"},0)+1,0))</f>
        <v/>
      </c>
      <c r="E1083" t="str">
        <f>+IFERROR(VLOOKUP(Fact_Impuestos[[#This Row], [Concepto Anterior]],Conceptos_Impuestos[#All],5,0),"")</f>
        <v/>
      </c>
      <c r="F1083" t="str">
        <f>+IFERROR(VLOOKUP(Fact_Impuestos[[#This Row], 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ht="18.75" customHeight="1" x14ac:dyDescent="0.35">
      <c r="C1084" s="100" t="str">
        <f>IF(OR(Fact_Impuestos[[#This Row], [Año]]="",Fact_Impuestos[[#This Row], [Mes]]=""),"",DATE(A1084,MATCH(B1084,{"enero","febrero","marzo","abril","mayo","junio","julio","agosto","septiembre","octubre","noviembre","diciembre"},0)+1,0))</f>
        <v/>
      </c>
      <c r="E1084" t="str">
        <f>+IFERROR(VLOOKUP(Fact_Impuestos[[#This Row], [Concepto Anterior]],Conceptos_Impuestos[#All],5,0),"")</f>
        <v/>
      </c>
      <c r="F1084" t="str">
        <f>+IFERROR(VLOOKUP(Fact_Impuestos[[#This Row], 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ht="18.75" customHeight="1" x14ac:dyDescent="0.35">
      <c r="C1085" s="100" t="str">
        <f>IF(OR(Fact_Impuestos[[#This Row], [Año]]="",Fact_Impuestos[[#This Row], [Mes]]=""),"",DATE(A1085,MATCH(B1085,{"enero","febrero","marzo","abril","mayo","junio","julio","agosto","septiembre","octubre","noviembre","diciembre"},0)+1,0))</f>
        <v/>
      </c>
      <c r="E1085" t="str">
        <f>+IFERROR(VLOOKUP(Fact_Impuestos[[#This Row], [Concepto Anterior]],Conceptos_Impuestos[#All],5,0),"")</f>
        <v/>
      </c>
      <c r="F1085" t="str">
        <f>+IFERROR(VLOOKUP(Fact_Impuestos[[#This Row], 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ht="18.75" customHeight="1" x14ac:dyDescent="0.35">
      <c r="C1086" s="100" t="str">
        <f>IF(OR(Fact_Impuestos[[#This Row], [Año]]="",Fact_Impuestos[[#This Row], [Mes]]=""),"",DATE(A1086,MATCH(B1086,{"enero","febrero","marzo","abril","mayo","junio","julio","agosto","septiembre","octubre","noviembre","diciembre"},0)+1,0))</f>
        <v/>
      </c>
      <c r="E1086" t="str">
        <f>+IFERROR(VLOOKUP(Fact_Impuestos[[#This Row], [Concepto Anterior]],Conceptos_Impuestos[#All],5,0),"")</f>
        <v/>
      </c>
      <c r="F1086" t="str">
        <f>+IFERROR(VLOOKUP(Fact_Impuestos[[#This Row], 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ht="18.75" customHeight="1" x14ac:dyDescent="0.35">
      <c r="C1087" s="100" t="str">
        <f>IF(OR(Fact_Impuestos[[#This Row], [Año]]="",Fact_Impuestos[[#This Row], [Mes]]=""),"",DATE(A1087,MATCH(B1087,{"enero","febrero","marzo","abril","mayo","junio","julio","agosto","septiembre","octubre","noviembre","diciembre"},0)+1,0))</f>
        <v/>
      </c>
      <c r="E1087" t="str">
        <f>+IFERROR(VLOOKUP(Fact_Impuestos[[#This Row], [Concepto Anterior]],Conceptos_Impuestos[#All],5,0),"")</f>
        <v/>
      </c>
      <c r="F1087" t="str">
        <f>+IFERROR(VLOOKUP(Fact_Impuestos[[#This Row], 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ht="18.75" customHeight="1" x14ac:dyDescent="0.35">
      <c r="C1088" s="100" t="str">
        <f>IF(OR(Fact_Impuestos[[#This Row], [Año]]="",Fact_Impuestos[[#This Row], [Mes]]=""),"",DATE(A1088,MATCH(B1088,{"enero","febrero","marzo","abril","mayo","junio","julio","agosto","septiembre","octubre","noviembre","diciembre"},0)+1,0))</f>
        <v/>
      </c>
      <c r="E1088" t="str">
        <f>+IFERROR(VLOOKUP(Fact_Impuestos[[#This Row], [Concepto Anterior]],Conceptos_Impuestos[#All],5,0),"")</f>
        <v/>
      </c>
      <c r="F1088" t="str">
        <f>+IFERROR(VLOOKUP(Fact_Impuestos[[#This Row], 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ht="18.75" customHeight="1" x14ac:dyDescent="0.35">
      <c r="C1089" s="100" t="str">
        <f>IF(OR(Fact_Impuestos[[#This Row], [Año]]="",Fact_Impuestos[[#This Row], [Mes]]=""),"",DATE(A1089,MATCH(B1089,{"enero","febrero","marzo","abril","mayo","junio","julio","agosto","septiembre","octubre","noviembre","diciembre"},0)+1,0))</f>
        <v/>
      </c>
      <c r="E1089" t="str">
        <f>+IFERROR(VLOOKUP(Fact_Impuestos[[#This Row], [Concepto Anterior]],Conceptos_Impuestos[#All],5,0),"")</f>
        <v/>
      </c>
      <c r="F1089" t="str">
        <f>+IFERROR(VLOOKUP(Fact_Impuestos[[#This Row], 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ht="18.75" customHeight="1" x14ac:dyDescent="0.35">
      <c r="C1090" s="100" t="str">
        <f>IF(OR(Fact_Impuestos[[#This Row], [Año]]="",Fact_Impuestos[[#This Row], [Mes]]=""),"",DATE(A1090,MATCH(B1090,{"enero","febrero","marzo","abril","mayo","junio","julio","agosto","septiembre","octubre","noviembre","diciembre"},0)+1,0))</f>
        <v/>
      </c>
      <c r="E1090" t="str">
        <f>+IFERROR(VLOOKUP(Fact_Impuestos[[#This Row], [Concepto Anterior]],Conceptos_Impuestos[#All],5,0),"")</f>
        <v/>
      </c>
      <c r="F1090" t="str">
        <f>+IFERROR(VLOOKUP(Fact_Impuestos[[#This Row], 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ht="18.75" customHeight="1" x14ac:dyDescent="0.35">
      <c r="C1091" s="100" t="str">
        <f>IF(OR(Fact_Impuestos[[#This Row], [Año]]="",Fact_Impuestos[[#This Row], [Mes]]=""),"",DATE(A1091,MATCH(B1091,{"enero","febrero","marzo","abril","mayo","junio","julio","agosto","septiembre","octubre","noviembre","diciembre"},0)+1,0))</f>
        <v/>
      </c>
      <c r="E1091" t="str">
        <f>+IFERROR(VLOOKUP(Fact_Impuestos[[#This Row], [Concepto Anterior]],Conceptos_Impuestos[#All],5,0),"")</f>
        <v/>
      </c>
      <c r="F1091" t="str">
        <f>+IFERROR(VLOOKUP(Fact_Impuestos[[#This Row], 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ht="18.75" customHeight="1" x14ac:dyDescent="0.35">
      <c r="C1092" s="100" t="str">
        <f>IF(OR(Fact_Impuestos[[#This Row], [Año]]="",Fact_Impuestos[[#This Row], [Mes]]=""),"",DATE(A1092,MATCH(B1092,{"enero","febrero","marzo","abril","mayo","junio","julio","agosto","septiembre","octubre","noviembre","diciembre"},0)+1,0))</f>
        <v/>
      </c>
      <c r="E1092" t="str">
        <f>+IFERROR(VLOOKUP(Fact_Impuestos[[#This Row], [Concepto Anterior]],Conceptos_Impuestos[#All],5,0),"")</f>
        <v/>
      </c>
      <c r="F1092" t="str">
        <f>+IFERROR(VLOOKUP(Fact_Impuestos[[#This Row], 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ht="18.75" customHeight="1" x14ac:dyDescent="0.35">
      <c r="C1093" s="100" t="str">
        <f>IF(OR(Fact_Impuestos[[#This Row], [Año]]="",Fact_Impuestos[[#This Row], [Mes]]=""),"",DATE(A1093,MATCH(B1093,{"enero","febrero","marzo","abril","mayo","junio","julio","agosto","septiembre","octubre","noviembre","diciembre"},0)+1,0))</f>
        <v/>
      </c>
      <c r="E1093" t="str">
        <f>+IFERROR(VLOOKUP(Fact_Impuestos[[#This Row], [Concepto Anterior]],Conceptos_Impuestos[#All],5,0),"")</f>
        <v/>
      </c>
      <c r="F1093" t="str">
        <f>+IFERROR(VLOOKUP(Fact_Impuestos[[#This Row], 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ht="18.75" customHeight="1" x14ac:dyDescent="0.35">
      <c r="C1094" s="100" t="str">
        <f>IF(OR(Fact_Impuestos[[#This Row], [Año]]="",Fact_Impuestos[[#This Row], [Mes]]=""),"",DATE(A1094,MATCH(B1094,{"enero","febrero","marzo","abril","mayo","junio","julio","agosto","septiembre","octubre","noviembre","diciembre"},0)+1,0))</f>
        <v/>
      </c>
      <c r="E1094" t="str">
        <f>+IFERROR(VLOOKUP(Fact_Impuestos[[#This Row], [Concepto Anterior]],Conceptos_Impuestos[#All],5,0),"")</f>
        <v/>
      </c>
      <c r="F1094" t="str">
        <f>+IFERROR(VLOOKUP(Fact_Impuestos[[#This Row], 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ht="18.75" customHeight="1" x14ac:dyDescent="0.35">
      <c r="C1095" s="100" t="str">
        <f>IF(OR(Fact_Impuestos[[#This Row], [Año]]="",Fact_Impuestos[[#This Row], [Mes]]=""),"",DATE(A1095,MATCH(B1095,{"enero","febrero","marzo","abril","mayo","junio","julio","agosto","septiembre","octubre","noviembre","diciembre"},0)+1,0))</f>
        <v/>
      </c>
      <c r="E1095" t="str">
        <f>+IFERROR(VLOOKUP(Fact_Impuestos[[#This Row], [Concepto Anterior]],Conceptos_Impuestos[#All],5,0),"")</f>
        <v/>
      </c>
      <c r="F1095" t="str">
        <f>+IFERROR(VLOOKUP(Fact_Impuestos[[#This Row], 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ht="18.75" customHeight="1" x14ac:dyDescent="0.35">
      <c r="C1096" s="100" t="str">
        <f>IF(OR(Fact_Impuestos[[#This Row], [Año]]="",Fact_Impuestos[[#This Row], [Mes]]=""),"",DATE(A1096,MATCH(B1096,{"enero","febrero","marzo","abril","mayo","junio","julio","agosto","septiembre","octubre","noviembre","diciembre"},0)+1,0))</f>
        <v/>
      </c>
      <c r="E1096" t="str">
        <f>+IFERROR(VLOOKUP(Fact_Impuestos[[#This Row], [Concepto Anterior]],Conceptos_Impuestos[#All],5,0),"")</f>
        <v/>
      </c>
      <c r="F1096" t="str">
        <f>+IFERROR(VLOOKUP(Fact_Impuestos[[#This Row], 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ht="18.75" customHeight="1" x14ac:dyDescent="0.35">
      <c r="C1097" s="100" t="str">
        <f>IF(OR(Fact_Impuestos[[#This Row], [Año]]="",Fact_Impuestos[[#This Row], [Mes]]=""),"",DATE(A1097,MATCH(B1097,{"enero","febrero","marzo","abril","mayo","junio","julio","agosto","septiembre","octubre","noviembre","diciembre"},0)+1,0))</f>
        <v/>
      </c>
      <c r="E1097" t="str">
        <f>+IFERROR(VLOOKUP(Fact_Impuestos[[#This Row], [Concepto Anterior]],Conceptos_Impuestos[#All],5,0),"")</f>
        <v/>
      </c>
      <c r="F1097" t="str">
        <f>+IFERROR(VLOOKUP(Fact_Impuestos[[#This Row], 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ht="18.75" customHeight="1" x14ac:dyDescent="0.35">
      <c r="C1098" s="100" t="str">
        <f>IF(OR(Fact_Impuestos[[#This Row], [Año]]="",Fact_Impuestos[[#This Row], [Mes]]=""),"",DATE(A1098,MATCH(B1098,{"enero","febrero","marzo","abril","mayo","junio","julio","agosto","septiembre","octubre","noviembre","diciembre"},0)+1,0))</f>
        <v/>
      </c>
      <c r="E1098" t="str">
        <f>+IFERROR(VLOOKUP(Fact_Impuestos[[#This Row], [Concepto Anterior]],Conceptos_Impuestos[#All],5,0),"")</f>
        <v/>
      </c>
      <c r="F1098" t="str">
        <f>+IFERROR(VLOOKUP(Fact_Impuestos[[#This Row], 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ht="18.75" customHeight="1" x14ac:dyDescent="0.35">
      <c r="C1099" s="100" t="str">
        <f>IF(OR(Fact_Impuestos[[#This Row], [Año]]="",Fact_Impuestos[[#This Row], [Mes]]=""),"",DATE(A1099,MATCH(B1099,{"enero","febrero","marzo","abril","mayo","junio","julio","agosto","septiembre","octubre","noviembre","diciembre"},0)+1,0))</f>
        <v/>
      </c>
      <c r="E1099" t="str">
        <f>+IFERROR(VLOOKUP(Fact_Impuestos[[#This Row], [Concepto Anterior]],Conceptos_Impuestos[#All],5,0),"")</f>
        <v/>
      </c>
      <c r="F1099" t="str">
        <f>+IFERROR(VLOOKUP(Fact_Impuestos[[#This Row], 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ht="18.75" customHeight="1" x14ac:dyDescent="0.35">
      <c r="C1100" s="100" t="str">
        <f>IF(OR(Fact_Impuestos[[#This Row], [Año]]="",Fact_Impuestos[[#This Row], [Mes]]=""),"",DATE(A1100,MATCH(B1100,{"enero","febrero","marzo","abril","mayo","junio","julio","agosto","septiembre","octubre","noviembre","diciembre"},0)+1,0))</f>
        <v/>
      </c>
      <c r="E1100" t="str">
        <f>+IFERROR(VLOOKUP(Fact_Impuestos[[#This Row], [Concepto Anterior]],Conceptos_Impuestos[#All],5,0),"")</f>
        <v/>
      </c>
      <c r="F1100" t="str">
        <f>+IFERROR(VLOOKUP(Fact_Impuestos[[#This Row], 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ht="18.75" customHeight="1" x14ac:dyDescent="0.35">
      <c r="C1101" s="100" t="str">
        <f>IF(OR(Fact_Impuestos[[#This Row], [Año]]="",Fact_Impuestos[[#This Row], [Mes]]=""),"",DATE(A1101,MATCH(B1101,{"enero","febrero","marzo","abril","mayo","junio","julio","agosto","septiembre","octubre","noviembre","diciembre"},0)+1,0))</f>
        <v/>
      </c>
      <c r="E1101" t="str">
        <f>+IFERROR(VLOOKUP(Fact_Impuestos[[#This Row], [Concepto Anterior]],Conceptos_Impuestos[#All],5,0),"")</f>
        <v/>
      </c>
      <c r="F1101" t="str">
        <f>+IFERROR(VLOOKUP(Fact_Impuestos[[#This Row], 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ht="18.75" customHeight="1" x14ac:dyDescent="0.35">
      <c r="C1102" s="100" t="str">
        <f>IF(OR(Fact_Impuestos[[#This Row], [Año]]="",Fact_Impuestos[[#This Row], [Mes]]=""),"",DATE(A1102,MATCH(B1102,{"enero","febrero","marzo","abril","mayo","junio","julio","agosto","septiembre","octubre","noviembre","diciembre"},0)+1,0))</f>
        <v/>
      </c>
      <c r="E1102" t="str">
        <f>+IFERROR(VLOOKUP(Fact_Impuestos[[#This Row], [Concepto Anterior]],Conceptos_Impuestos[#All],5,0),"")</f>
        <v/>
      </c>
      <c r="F1102" t="str">
        <f>+IFERROR(VLOOKUP(Fact_Impuestos[[#This Row], 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ht="18.75" customHeight="1" x14ac:dyDescent="0.35">
      <c r="C1103" s="100" t="str">
        <f>IF(OR(Fact_Impuestos[[#This Row], [Año]]="",Fact_Impuestos[[#This Row], [Mes]]=""),"",DATE(A1103,MATCH(B1103,{"enero","febrero","marzo","abril","mayo","junio","julio","agosto","septiembre","octubre","noviembre","diciembre"},0)+1,0))</f>
        <v/>
      </c>
      <c r="E1103" t="str">
        <f>+IFERROR(VLOOKUP(Fact_Impuestos[[#This Row], [Concepto Anterior]],Conceptos_Impuestos[#All],5,0),"")</f>
        <v/>
      </c>
      <c r="F1103" t="str">
        <f>+IFERROR(VLOOKUP(Fact_Impuestos[[#This Row], 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ht="18.75" customHeight="1" x14ac:dyDescent="0.35">
      <c r="C1104" s="100" t="str">
        <f>IF(OR(Fact_Impuestos[[#This Row], [Año]]="",Fact_Impuestos[[#This Row], [Mes]]=""),"",DATE(A1104,MATCH(B1104,{"enero","febrero","marzo","abril","mayo","junio","julio","agosto","septiembre","octubre","noviembre","diciembre"},0)+1,0))</f>
        <v/>
      </c>
      <c r="E1104" t="str">
        <f>+IFERROR(VLOOKUP(Fact_Impuestos[[#This Row], [Concepto Anterior]],Conceptos_Impuestos[#All],5,0),"")</f>
        <v/>
      </c>
      <c r="F1104" t="str">
        <f>+IFERROR(VLOOKUP(Fact_Impuestos[[#This Row], 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ht="18.75" customHeight="1" x14ac:dyDescent="0.35">
      <c r="C1105" s="100" t="str">
        <f>IF(OR(Fact_Impuestos[[#This Row], [Año]]="",Fact_Impuestos[[#This Row], [Mes]]=""),"",DATE(A1105,MATCH(B1105,{"enero","febrero","marzo","abril","mayo","junio","julio","agosto","septiembre","octubre","noviembre","diciembre"},0)+1,0))</f>
        <v/>
      </c>
      <c r="E1105" t="str">
        <f>+IFERROR(VLOOKUP(Fact_Impuestos[[#This Row], [Concepto Anterior]],Conceptos_Impuestos[#All],5,0),"")</f>
        <v/>
      </c>
      <c r="F1105" t="str">
        <f>+IFERROR(VLOOKUP(Fact_Impuestos[[#This Row], 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ht="18.75" customHeight="1" x14ac:dyDescent="0.35">
      <c r="C1106" s="100" t="str">
        <f>IF(OR(Fact_Impuestos[[#This Row], [Año]]="",Fact_Impuestos[[#This Row], [Mes]]=""),"",DATE(A1106,MATCH(B1106,{"enero","febrero","marzo","abril","mayo","junio","julio","agosto","septiembre","octubre","noviembre","diciembre"},0)+1,0))</f>
        <v/>
      </c>
      <c r="E1106" t="str">
        <f>+IFERROR(VLOOKUP(Fact_Impuestos[[#This Row], [Concepto Anterior]],Conceptos_Impuestos[#All],5,0),"")</f>
        <v/>
      </c>
      <c r="F1106" t="str">
        <f>+IFERROR(VLOOKUP(Fact_Impuestos[[#This Row], 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ht="18.75" customHeight="1" x14ac:dyDescent="0.35">
      <c r="C1107" s="100" t="str">
        <f>IF(OR(Fact_Impuestos[[#This Row], [Año]]="",Fact_Impuestos[[#This Row], [Mes]]=""),"",DATE(A1107,MATCH(B1107,{"enero","febrero","marzo","abril","mayo","junio","julio","agosto","septiembre","octubre","noviembre","diciembre"},0)+1,0))</f>
        <v/>
      </c>
      <c r="E1107" t="str">
        <f>+IFERROR(VLOOKUP(Fact_Impuestos[[#This Row], [Concepto Anterior]],Conceptos_Impuestos[#All],5,0),"")</f>
        <v/>
      </c>
      <c r="F1107" t="str">
        <f>+IFERROR(VLOOKUP(Fact_Impuestos[[#This Row], 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ht="18.75" customHeight="1" x14ac:dyDescent="0.35">
      <c r="C1108" s="100" t="str">
        <f>IF(OR(Fact_Impuestos[[#This Row], [Año]]="",Fact_Impuestos[[#This Row], [Mes]]=""),"",DATE(A1108,MATCH(B1108,{"enero","febrero","marzo","abril","mayo","junio","julio","agosto","septiembre","octubre","noviembre","diciembre"},0)+1,0))</f>
        <v/>
      </c>
      <c r="E1108" t="str">
        <f>+IFERROR(VLOOKUP(Fact_Impuestos[[#This Row], [Concepto Anterior]],Conceptos_Impuestos[#All],5,0),"")</f>
        <v/>
      </c>
      <c r="F1108" t="str">
        <f>+IFERROR(VLOOKUP(Fact_Impuestos[[#This Row], 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ht="18.75" customHeight="1" x14ac:dyDescent="0.35">
      <c r="C1109" s="100" t="str">
        <f>IF(OR(Fact_Impuestos[[#This Row], [Año]]="",Fact_Impuestos[[#This Row], [Mes]]=""),"",DATE(A1109,MATCH(B1109,{"enero","febrero","marzo","abril","mayo","junio","julio","agosto","septiembre","octubre","noviembre","diciembre"},0)+1,0))</f>
        <v/>
      </c>
      <c r="E1109" t="str">
        <f>+IFERROR(VLOOKUP(Fact_Impuestos[[#This Row], [Concepto Anterior]],Conceptos_Impuestos[#All],5,0),"")</f>
        <v/>
      </c>
      <c r="F1109" t="str">
        <f>+IFERROR(VLOOKUP(Fact_Impuestos[[#This Row], 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ht="18.75" customHeight="1" x14ac:dyDescent="0.35">
      <c r="C1110" s="100" t="str">
        <f>IF(OR(Fact_Impuestos[[#This Row], [Año]]="",Fact_Impuestos[[#This Row], [Mes]]=""),"",DATE(A1110,MATCH(B1110,{"enero","febrero","marzo","abril","mayo","junio","julio","agosto","septiembre","octubre","noviembre","diciembre"},0)+1,0))</f>
        <v/>
      </c>
      <c r="E1110" t="str">
        <f>+IFERROR(VLOOKUP(Fact_Impuestos[[#This Row], [Concepto Anterior]],Conceptos_Impuestos[#All],5,0),"")</f>
        <v/>
      </c>
      <c r="F1110" t="str">
        <f>+IFERROR(VLOOKUP(Fact_Impuestos[[#This Row], 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ht="18.75" customHeight="1" x14ac:dyDescent="0.35">
      <c r="C1111" s="100" t="str">
        <f>IF(OR(Fact_Impuestos[[#This Row], [Año]]="",Fact_Impuestos[[#This Row], [Mes]]=""),"",DATE(A1111,MATCH(B1111,{"enero","febrero","marzo","abril","mayo","junio","julio","agosto","septiembre","octubre","noviembre","diciembre"},0)+1,0))</f>
        <v/>
      </c>
      <c r="E1111" t="str">
        <f>+IFERROR(VLOOKUP(Fact_Impuestos[[#This Row], [Concepto Anterior]],Conceptos_Impuestos[#All],5,0),"")</f>
        <v/>
      </c>
      <c r="F1111" t="str">
        <f>+IFERROR(VLOOKUP(Fact_Impuestos[[#This Row], 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ht="18.75" customHeight="1" x14ac:dyDescent="0.35">
      <c r="C1112" s="100" t="str">
        <f>IF(OR(Fact_Impuestos[[#This Row], [Año]]="",Fact_Impuestos[[#This Row], [Mes]]=""),"",DATE(A1112,MATCH(B1112,{"enero","febrero","marzo","abril","mayo","junio","julio","agosto","septiembre","octubre","noviembre","diciembre"},0)+1,0))</f>
        <v/>
      </c>
      <c r="E1112" t="str">
        <f>+IFERROR(VLOOKUP(Fact_Impuestos[[#This Row], [Concepto Anterior]],Conceptos_Impuestos[#All],5,0),"")</f>
        <v/>
      </c>
      <c r="F1112" t="str">
        <f>+IFERROR(VLOOKUP(Fact_Impuestos[[#This Row], 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ht="18.75" customHeight="1" x14ac:dyDescent="0.35">
      <c r="C1113" s="100" t="str">
        <f>IF(OR(Fact_Impuestos[[#This Row], [Año]]="",Fact_Impuestos[[#This Row], [Mes]]=""),"",DATE(A1113,MATCH(B1113,{"enero","febrero","marzo","abril","mayo","junio","julio","agosto","septiembre","octubre","noviembre","diciembre"},0)+1,0))</f>
        <v/>
      </c>
      <c r="E1113" t="str">
        <f>+IFERROR(VLOOKUP(Fact_Impuestos[[#This Row], [Concepto Anterior]],Conceptos_Impuestos[#All],5,0),"")</f>
        <v/>
      </c>
      <c r="F1113" t="str">
        <f>+IFERROR(VLOOKUP(Fact_Impuestos[[#This Row], 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ht="18.75" customHeight="1" x14ac:dyDescent="0.35">
      <c r="C1114" s="100" t="str">
        <f>IF(OR(Fact_Impuestos[[#This Row], [Año]]="",Fact_Impuestos[[#This Row], [Mes]]=""),"",DATE(A1114,MATCH(B1114,{"enero","febrero","marzo","abril","mayo","junio","julio","agosto","septiembre","octubre","noviembre","diciembre"},0)+1,0))</f>
        <v/>
      </c>
      <c r="E1114" t="str">
        <f>+IFERROR(VLOOKUP(Fact_Impuestos[[#This Row], [Concepto Anterior]],Conceptos_Impuestos[#All],5,0),"")</f>
        <v/>
      </c>
      <c r="F1114" t="str">
        <f>+IFERROR(VLOOKUP(Fact_Impuestos[[#This Row], 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ht="18.75" customHeight="1" x14ac:dyDescent="0.35">
      <c r="C1115" s="100" t="str">
        <f>IF(OR(Fact_Impuestos[[#This Row], [Año]]="",Fact_Impuestos[[#This Row], [Mes]]=""),"",DATE(A1115,MATCH(B1115,{"enero","febrero","marzo","abril","mayo","junio","julio","agosto","septiembre","octubre","noviembre","diciembre"},0)+1,0))</f>
        <v/>
      </c>
      <c r="E1115" t="str">
        <f>+IFERROR(VLOOKUP(Fact_Impuestos[[#This Row], [Concepto Anterior]],Conceptos_Impuestos[#All],5,0),"")</f>
        <v/>
      </c>
      <c r="F1115" t="str">
        <f>+IFERROR(VLOOKUP(Fact_Impuestos[[#This Row], 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ht="18.75" customHeight="1" x14ac:dyDescent="0.35">
      <c r="C1116" s="100" t="str">
        <f>IF(OR(Fact_Impuestos[[#This Row], [Año]]="",Fact_Impuestos[[#This Row], [Mes]]=""),"",DATE(A1116,MATCH(B1116,{"enero","febrero","marzo","abril","mayo","junio","julio","agosto","septiembre","octubre","noviembre","diciembre"},0)+1,0))</f>
        <v/>
      </c>
      <c r="E1116" t="str">
        <f>+IFERROR(VLOOKUP(Fact_Impuestos[[#This Row], [Concepto Anterior]],Conceptos_Impuestos[#All],5,0),"")</f>
        <v/>
      </c>
      <c r="F1116" t="str">
        <f>+IFERROR(VLOOKUP(Fact_Impuestos[[#This Row], 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ht="18.75" customHeight="1" x14ac:dyDescent="0.35">
      <c r="C1117" s="100" t="str">
        <f>IF(OR(Fact_Impuestos[[#This Row], [Año]]="",Fact_Impuestos[[#This Row], [Mes]]=""),"",DATE(A1117,MATCH(B1117,{"enero","febrero","marzo","abril","mayo","junio","julio","agosto","septiembre","octubre","noviembre","diciembre"},0)+1,0))</f>
        <v/>
      </c>
      <c r="E1117" t="str">
        <f>+IFERROR(VLOOKUP(Fact_Impuestos[[#This Row], [Concepto Anterior]],Conceptos_Impuestos[#All],5,0),"")</f>
        <v/>
      </c>
      <c r="F1117" t="str">
        <f>+IFERROR(VLOOKUP(Fact_Impuestos[[#This Row], 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ht="18.75" customHeight="1" x14ac:dyDescent="0.35">
      <c r="C1118" s="100" t="str">
        <f>IF(OR(Fact_Impuestos[[#This Row], [Año]]="",Fact_Impuestos[[#This Row], [Mes]]=""),"",DATE(A1118,MATCH(B1118,{"enero","febrero","marzo","abril","mayo","junio","julio","agosto","septiembre","octubre","noviembre","diciembre"},0)+1,0))</f>
        <v/>
      </c>
      <c r="E1118" t="str">
        <f>+IFERROR(VLOOKUP(Fact_Impuestos[[#This Row], [Concepto Anterior]],Conceptos_Impuestos[#All],5,0),"")</f>
        <v/>
      </c>
      <c r="F1118" t="str">
        <f>+IFERROR(VLOOKUP(Fact_Impuestos[[#This Row], 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ht="18.75" customHeight="1" x14ac:dyDescent="0.35">
      <c r="C1119" s="100" t="str">
        <f>IF(OR(Fact_Impuestos[[#This Row], [Año]]="",Fact_Impuestos[[#This Row], [Mes]]=""),"",DATE(A1119,MATCH(B1119,{"enero","febrero","marzo","abril","mayo","junio","julio","agosto","septiembre","octubre","noviembre","diciembre"},0)+1,0))</f>
        <v/>
      </c>
      <c r="E1119" t="str">
        <f>+IFERROR(VLOOKUP(Fact_Impuestos[[#This Row], [Concepto Anterior]],Conceptos_Impuestos[#All],5,0),"")</f>
        <v/>
      </c>
      <c r="F1119" t="str">
        <f>+IFERROR(VLOOKUP(Fact_Impuestos[[#This Row], 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ht="18.75" customHeight="1" x14ac:dyDescent="0.35">
      <c r="C1120" s="100" t="str">
        <f>IF(OR(Fact_Impuestos[[#This Row], [Año]]="",Fact_Impuestos[[#This Row], [Mes]]=""),"",DATE(A1120,MATCH(B1120,{"enero","febrero","marzo","abril","mayo","junio","julio","agosto","septiembre","octubre","noviembre","diciembre"},0)+1,0))</f>
        <v/>
      </c>
      <c r="E1120" t="str">
        <f>+IFERROR(VLOOKUP(Fact_Impuestos[[#This Row], [Concepto Anterior]],Conceptos_Impuestos[#All],5,0),"")</f>
        <v/>
      </c>
      <c r="F1120" t="str">
        <f>+IFERROR(VLOOKUP(Fact_Impuestos[[#This Row], 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ht="18.75" customHeight="1" x14ac:dyDescent="0.35">
      <c r="C1121" s="100" t="str">
        <f>IF(OR(Fact_Impuestos[[#This Row], [Año]]="",Fact_Impuestos[[#This Row], [Mes]]=""),"",DATE(A1121,MATCH(B1121,{"enero","febrero","marzo","abril","mayo","junio","julio","agosto","septiembre","octubre","noviembre","diciembre"},0)+1,0))</f>
        <v/>
      </c>
      <c r="E1121" t="str">
        <f>+IFERROR(VLOOKUP(Fact_Impuestos[[#This Row], [Concepto Anterior]],Conceptos_Impuestos[#All],5,0),"")</f>
        <v/>
      </c>
      <c r="F1121" t="str">
        <f>+IFERROR(VLOOKUP(Fact_Impuestos[[#This Row], 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ht="18.75" customHeight="1" x14ac:dyDescent="0.35">
      <c r="C1122" s="100" t="str">
        <f>IF(OR(Fact_Impuestos[[#This Row], [Año]]="",Fact_Impuestos[[#This Row], [Mes]]=""),"",DATE(A1122,MATCH(B1122,{"enero","febrero","marzo","abril","mayo","junio","julio","agosto","septiembre","octubre","noviembre","diciembre"},0)+1,0))</f>
        <v/>
      </c>
      <c r="E1122" t="str">
        <f>+IFERROR(VLOOKUP(Fact_Impuestos[[#This Row], [Concepto Anterior]],Conceptos_Impuestos[#All],5,0),"")</f>
        <v/>
      </c>
      <c r="F1122" t="str">
        <f>+IFERROR(VLOOKUP(Fact_Impuestos[[#This Row], 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ht="18.75" customHeight="1" x14ac:dyDescent="0.35">
      <c r="C1123" s="100" t="str">
        <f>IF(OR(Fact_Impuestos[[#This Row], [Año]]="",Fact_Impuestos[[#This Row], [Mes]]=""),"",DATE(A1123,MATCH(B1123,{"enero","febrero","marzo","abril","mayo","junio","julio","agosto","septiembre","octubre","noviembre","diciembre"},0)+1,0))</f>
        <v/>
      </c>
      <c r="E1123" t="str">
        <f>+IFERROR(VLOOKUP(Fact_Impuestos[[#This Row], [Concepto Anterior]],Conceptos_Impuestos[#All],5,0),"")</f>
        <v/>
      </c>
      <c r="F1123" t="str">
        <f>+IFERROR(VLOOKUP(Fact_Impuestos[[#This Row], 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ht="18.75" customHeight="1" x14ac:dyDescent="0.35">
      <c r="C1124" s="100" t="str">
        <f>IF(OR(Fact_Impuestos[[#This Row], [Año]]="",Fact_Impuestos[[#This Row], [Mes]]=""),"",DATE(A1124,MATCH(B1124,{"enero","febrero","marzo","abril","mayo","junio","julio","agosto","septiembre","octubre","noviembre","diciembre"},0)+1,0))</f>
        <v/>
      </c>
      <c r="E1124" t="str">
        <f>+IFERROR(VLOOKUP(Fact_Impuestos[[#This Row], [Concepto Anterior]],Conceptos_Impuestos[#All],5,0),"")</f>
        <v/>
      </c>
      <c r="F1124" t="str">
        <f>+IFERROR(VLOOKUP(Fact_Impuestos[[#This Row], 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ht="18.75" customHeight="1" x14ac:dyDescent="0.35">
      <c r="C1125" s="100" t="str">
        <f>IF(OR(Fact_Impuestos[[#This Row], [Año]]="",Fact_Impuestos[[#This Row], [Mes]]=""),"",DATE(A1125,MATCH(B1125,{"enero","febrero","marzo","abril","mayo","junio","julio","agosto","septiembre","octubre","noviembre","diciembre"},0)+1,0))</f>
        <v/>
      </c>
      <c r="E1125" t="str">
        <f>+IFERROR(VLOOKUP(Fact_Impuestos[[#This Row], [Concepto Anterior]],Conceptos_Impuestos[#All],5,0),"")</f>
        <v/>
      </c>
      <c r="F1125" t="str">
        <f>+IFERROR(VLOOKUP(Fact_Impuestos[[#This Row], 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ht="18.75" customHeight="1" x14ac:dyDescent="0.35">
      <c r="C1126" s="100" t="str">
        <f>IF(OR(Fact_Impuestos[[#This Row], [Año]]="",Fact_Impuestos[[#This Row], [Mes]]=""),"",DATE(A1126,MATCH(B1126,{"enero","febrero","marzo","abril","mayo","junio","julio","agosto","septiembre","octubre","noviembre","diciembre"},0)+1,0))</f>
        <v/>
      </c>
      <c r="E1126" t="str">
        <f>+IFERROR(VLOOKUP(Fact_Impuestos[[#This Row], [Concepto Anterior]],Conceptos_Impuestos[#All],5,0),"")</f>
        <v/>
      </c>
      <c r="F1126" t="str">
        <f>+IFERROR(VLOOKUP(Fact_Impuestos[[#This Row], 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ht="18.75" customHeight="1" x14ac:dyDescent="0.35">
      <c r="C1127" s="100" t="str">
        <f>IF(OR(Fact_Impuestos[[#This Row], [Año]]="",Fact_Impuestos[[#This Row], [Mes]]=""),"",DATE(A1127,MATCH(B1127,{"enero","febrero","marzo","abril","mayo","junio","julio","agosto","septiembre","octubre","noviembre","diciembre"},0)+1,0))</f>
        <v/>
      </c>
      <c r="E1127" t="str">
        <f>+IFERROR(VLOOKUP(Fact_Impuestos[[#This Row], [Concepto Anterior]],Conceptos_Impuestos[#All],5,0),"")</f>
        <v/>
      </c>
      <c r="F1127" t="str">
        <f>+IFERROR(VLOOKUP(Fact_Impuestos[[#This Row], 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ht="18.75" customHeight="1" x14ac:dyDescent="0.35">
      <c r="C1128" s="100" t="str">
        <f>IF(OR(Fact_Impuestos[[#This Row], [Año]]="",Fact_Impuestos[[#This Row], [Mes]]=""),"",DATE(A1128,MATCH(B1128,{"enero","febrero","marzo","abril","mayo","junio","julio","agosto","septiembre","octubre","noviembre","diciembre"},0)+1,0))</f>
        <v/>
      </c>
      <c r="E1128" t="str">
        <f>+IFERROR(VLOOKUP(Fact_Impuestos[[#This Row], [Concepto Anterior]],Conceptos_Impuestos[#All],5,0),"")</f>
        <v/>
      </c>
      <c r="F1128" t="str">
        <f>+IFERROR(VLOOKUP(Fact_Impuestos[[#This Row], 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ht="18.75" customHeight="1" x14ac:dyDescent="0.35">
      <c r="C1129" s="100" t="str">
        <f>IF(OR(Fact_Impuestos[[#This Row], [Año]]="",Fact_Impuestos[[#This Row], [Mes]]=""),"",DATE(A1129,MATCH(B1129,{"enero","febrero","marzo","abril","mayo","junio","julio","agosto","septiembre","octubre","noviembre","diciembre"},0)+1,0))</f>
        <v/>
      </c>
      <c r="E1129" t="str">
        <f>+IFERROR(VLOOKUP(Fact_Impuestos[[#This Row], [Concepto Anterior]],Conceptos_Impuestos[#All],5,0),"")</f>
        <v/>
      </c>
      <c r="F1129" t="str">
        <f>+IFERROR(VLOOKUP(Fact_Impuestos[[#This Row], 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ht="18.75" customHeight="1" x14ac:dyDescent="0.35">
      <c r="C1130" s="100" t="str">
        <f>IF(OR(Fact_Impuestos[[#This Row], [Año]]="",Fact_Impuestos[[#This Row], [Mes]]=""),"",DATE(A1130,MATCH(B1130,{"enero","febrero","marzo","abril","mayo","junio","julio","agosto","septiembre","octubre","noviembre","diciembre"},0)+1,0))</f>
        <v/>
      </c>
      <c r="E1130" t="str">
        <f>+IFERROR(VLOOKUP(Fact_Impuestos[[#This Row], [Concepto Anterior]],Conceptos_Impuestos[#All],5,0),"")</f>
        <v/>
      </c>
      <c r="F1130" t="str">
        <f>+IFERROR(VLOOKUP(Fact_Impuestos[[#This Row], 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ht="18.75" customHeight="1" x14ac:dyDescent="0.35">
      <c r="C1131" s="100" t="str">
        <f>IF(OR(Fact_Impuestos[[#This Row], [Año]]="",Fact_Impuestos[[#This Row], [Mes]]=""),"",DATE(A1131,MATCH(B1131,{"enero","febrero","marzo","abril","mayo","junio","julio","agosto","septiembre","octubre","noviembre","diciembre"},0)+1,0))</f>
        <v/>
      </c>
      <c r="E1131" t="str">
        <f>+IFERROR(VLOOKUP(Fact_Impuestos[[#This Row], [Concepto Anterior]],Conceptos_Impuestos[#All],5,0),"")</f>
        <v/>
      </c>
      <c r="F1131" t="str">
        <f>+IFERROR(VLOOKUP(Fact_Impuestos[[#This Row], 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ht="18.75" customHeight="1" x14ac:dyDescent="0.35">
      <c r="C1132" s="100" t="str">
        <f>IF(OR(Fact_Impuestos[[#This Row], [Año]]="",Fact_Impuestos[[#This Row], [Mes]]=""),"",DATE(A1132,MATCH(B1132,{"enero","febrero","marzo","abril","mayo","junio","julio","agosto","septiembre","octubre","noviembre","diciembre"},0)+1,0))</f>
        <v/>
      </c>
      <c r="E1132" t="str">
        <f>+IFERROR(VLOOKUP(Fact_Impuestos[[#This Row], [Concepto Anterior]],Conceptos_Impuestos[#All],5,0),"")</f>
        <v/>
      </c>
      <c r="F1132" t="str">
        <f>+IFERROR(VLOOKUP(Fact_Impuestos[[#This Row], 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ht="18.75" customHeight="1" x14ac:dyDescent="0.35">
      <c r="C1133" s="100" t="str">
        <f>IF(OR(Fact_Impuestos[[#This Row], [Año]]="",Fact_Impuestos[[#This Row], [Mes]]=""),"",DATE(A1133,MATCH(B1133,{"enero","febrero","marzo","abril","mayo","junio","julio","agosto","septiembre","octubre","noviembre","diciembre"},0)+1,0))</f>
        <v/>
      </c>
      <c r="E1133" t="str">
        <f>+IFERROR(VLOOKUP(Fact_Impuestos[[#This Row], [Concepto Anterior]],Conceptos_Impuestos[#All],5,0),"")</f>
        <v/>
      </c>
      <c r="F1133" t="str">
        <f>+IFERROR(VLOOKUP(Fact_Impuestos[[#This Row], 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ht="18.75" customHeight="1" x14ac:dyDescent="0.35">
      <c r="C1134" s="100" t="str">
        <f>IF(OR(Fact_Impuestos[[#This Row], [Año]]="",Fact_Impuestos[[#This Row], [Mes]]=""),"",DATE(A1134,MATCH(B1134,{"enero","febrero","marzo","abril","mayo","junio","julio","agosto","septiembre","octubre","noviembre","diciembre"},0)+1,0))</f>
        <v/>
      </c>
      <c r="E1134" t="str">
        <f>+IFERROR(VLOOKUP(Fact_Impuestos[[#This Row], [Concepto Anterior]],Conceptos_Impuestos[#All],5,0),"")</f>
        <v/>
      </c>
      <c r="F1134" t="str">
        <f>+IFERROR(VLOOKUP(Fact_Impuestos[[#This Row], 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ht="18.75" customHeight="1" x14ac:dyDescent="0.35">
      <c r="C1135" s="100" t="str">
        <f>IF(OR(Fact_Impuestos[[#This Row], [Año]]="",Fact_Impuestos[[#This Row], [Mes]]=""),"",DATE(A1135,MATCH(B1135,{"enero","febrero","marzo","abril","mayo","junio","julio","agosto","septiembre","octubre","noviembre","diciembre"},0)+1,0))</f>
        <v/>
      </c>
      <c r="E1135" t="str">
        <f>+IFERROR(VLOOKUP(Fact_Impuestos[[#This Row], [Concepto Anterior]],Conceptos_Impuestos[#All],5,0),"")</f>
        <v/>
      </c>
      <c r="F1135" t="str">
        <f>+IFERROR(VLOOKUP(Fact_Impuestos[[#This Row], 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ht="18.75" customHeight="1" x14ac:dyDescent="0.35">
      <c r="C1136" s="100" t="str">
        <f>IF(OR(Fact_Impuestos[[#This Row], [Año]]="",Fact_Impuestos[[#This Row], [Mes]]=""),"",DATE(A1136,MATCH(B1136,{"enero","febrero","marzo","abril","mayo","junio","julio","agosto","septiembre","octubre","noviembre","diciembre"},0)+1,0))</f>
        <v/>
      </c>
      <c r="E1136" t="str">
        <f>+IFERROR(VLOOKUP(Fact_Impuestos[[#This Row], [Concepto Anterior]],Conceptos_Impuestos[#All],5,0),"")</f>
        <v/>
      </c>
      <c r="F1136" t="str">
        <f>+IFERROR(VLOOKUP(Fact_Impuestos[[#This Row], 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ht="18.75" customHeight="1" x14ac:dyDescent="0.35">
      <c r="C1137" s="100" t="str">
        <f>IF(OR(Fact_Impuestos[[#This Row], [Año]]="",Fact_Impuestos[[#This Row], [Mes]]=""),"",DATE(A1137,MATCH(B1137,{"enero","febrero","marzo","abril","mayo","junio","julio","agosto","septiembre","octubre","noviembre","diciembre"},0)+1,0))</f>
        <v/>
      </c>
      <c r="E1137" t="str">
        <f>+IFERROR(VLOOKUP(Fact_Impuestos[[#This Row], [Concepto Anterior]],Conceptos_Impuestos[#All],5,0),"")</f>
        <v/>
      </c>
      <c r="F1137" t="str">
        <f>+IFERROR(VLOOKUP(Fact_Impuestos[[#This Row], 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ht="18.75" customHeight="1" x14ac:dyDescent="0.35">
      <c r="C1138" s="100" t="str">
        <f>IF(OR(Fact_Impuestos[[#This Row], [Año]]="",Fact_Impuestos[[#This Row], [Mes]]=""),"",DATE(A1138,MATCH(B1138,{"enero","febrero","marzo","abril","mayo","junio","julio","agosto","septiembre","octubre","noviembre","diciembre"},0)+1,0))</f>
        <v/>
      </c>
      <c r="E1138" t="str">
        <f>+IFERROR(VLOOKUP(Fact_Impuestos[[#This Row], [Concepto Anterior]],Conceptos_Impuestos[#All],5,0),"")</f>
        <v/>
      </c>
      <c r="F1138" t="str">
        <f>+IFERROR(VLOOKUP(Fact_Impuestos[[#This Row], 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ht="18.75" customHeight="1" x14ac:dyDescent="0.35">
      <c r="C1139" s="100" t="str">
        <f>IF(OR(Fact_Impuestos[[#This Row], [Año]]="",Fact_Impuestos[[#This Row], [Mes]]=""),"",DATE(A1139,MATCH(B1139,{"enero","febrero","marzo","abril","mayo","junio","julio","agosto","septiembre","octubre","noviembre","diciembre"},0)+1,0))</f>
        <v/>
      </c>
      <c r="E1139" t="str">
        <f>+IFERROR(VLOOKUP(Fact_Impuestos[[#This Row], [Concepto Anterior]],Conceptos_Impuestos[#All],5,0),"")</f>
        <v/>
      </c>
      <c r="F1139" t="str">
        <f>+IFERROR(VLOOKUP(Fact_Impuestos[[#This Row], 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ht="18.75" customHeight="1" x14ac:dyDescent="0.35">
      <c r="C1140" s="100" t="str">
        <f>IF(OR(Fact_Impuestos[[#This Row], [Año]]="",Fact_Impuestos[[#This Row], [Mes]]=""),"",DATE(A1140,MATCH(B1140,{"enero","febrero","marzo","abril","mayo","junio","julio","agosto","septiembre","octubre","noviembre","diciembre"},0)+1,0))</f>
        <v/>
      </c>
      <c r="E1140" t="str">
        <f>+IFERROR(VLOOKUP(Fact_Impuestos[[#This Row], [Concepto Anterior]],Conceptos_Impuestos[#All],5,0),"")</f>
        <v/>
      </c>
      <c r="F1140" t="str">
        <f>+IFERROR(VLOOKUP(Fact_Impuestos[[#This Row], 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ht="18.75" customHeight="1" x14ac:dyDescent="0.35">
      <c r="C1141" s="100" t="str">
        <f>IF(OR(Fact_Impuestos[[#This Row], [Año]]="",Fact_Impuestos[[#This Row], [Mes]]=""),"",DATE(A1141,MATCH(B1141,{"enero","febrero","marzo","abril","mayo","junio","julio","agosto","septiembre","octubre","noviembre","diciembre"},0)+1,0))</f>
        <v/>
      </c>
      <c r="E1141" t="str">
        <f>+IFERROR(VLOOKUP(Fact_Impuestos[[#This Row], [Concepto Anterior]],Conceptos_Impuestos[#All],5,0),"")</f>
        <v/>
      </c>
      <c r="F1141" t="str">
        <f>+IFERROR(VLOOKUP(Fact_Impuestos[[#This Row], 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ht="18.75" customHeight="1" x14ac:dyDescent="0.35">
      <c r="C1142" s="100" t="str">
        <f>IF(OR(Fact_Impuestos[[#This Row], [Año]]="",Fact_Impuestos[[#This Row], [Mes]]=""),"",DATE(A1142,MATCH(B1142,{"enero","febrero","marzo","abril","mayo","junio","julio","agosto","septiembre","octubre","noviembre","diciembre"},0)+1,0))</f>
        <v/>
      </c>
      <c r="E1142" t="str">
        <f>+IFERROR(VLOOKUP(Fact_Impuestos[[#This Row], [Concepto Anterior]],Conceptos_Impuestos[#All],5,0),"")</f>
        <v/>
      </c>
      <c r="F1142" t="str">
        <f>+IFERROR(VLOOKUP(Fact_Impuestos[[#This Row], 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ht="18.75" customHeight="1" x14ac:dyDescent="0.35">
      <c r="C1143" s="100" t="str">
        <f>IF(OR(Fact_Impuestos[[#This Row], [Año]]="",Fact_Impuestos[[#This Row], [Mes]]=""),"",DATE(A1143,MATCH(B1143,{"enero","febrero","marzo","abril","mayo","junio","julio","agosto","septiembre","octubre","noviembre","diciembre"},0)+1,0))</f>
        <v/>
      </c>
      <c r="E1143" t="str">
        <f>+IFERROR(VLOOKUP(Fact_Impuestos[[#This Row], [Concepto Anterior]],Conceptos_Impuestos[#All],5,0),"")</f>
        <v/>
      </c>
      <c r="F1143" t="str">
        <f>+IFERROR(VLOOKUP(Fact_Impuestos[[#This Row], 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ht="18.75" customHeight="1" x14ac:dyDescent="0.35">
      <c r="C1144" s="100" t="str">
        <f>IF(OR(Fact_Impuestos[[#This Row], [Año]]="",Fact_Impuestos[[#This Row], [Mes]]=""),"",DATE(A1144,MATCH(B1144,{"enero","febrero","marzo","abril","mayo","junio","julio","agosto","septiembre","octubre","noviembre","diciembre"},0)+1,0))</f>
        <v/>
      </c>
      <c r="E1144" t="str">
        <f>+IFERROR(VLOOKUP(Fact_Impuestos[[#This Row], [Concepto Anterior]],Conceptos_Impuestos[#All],5,0),"")</f>
        <v/>
      </c>
      <c r="F1144" t="str">
        <f>+IFERROR(VLOOKUP(Fact_Impuestos[[#This Row], 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ht="18.75" customHeight="1" x14ac:dyDescent="0.35">
      <c r="C1145" s="100" t="str">
        <f>IF(OR(Fact_Impuestos[[#This Row], [Año]]="",Fact_Impuestos[[#This Row], [Mes]]=""),"",DATE(A1145,MATCH(B1145,{"enero","febrero","marzo","abril","mayo","junio","julio","agosto","septiembre","octubre","noviembre","diciembre"},0)+1,0))</f>
        <v/>
      </c>
      <c r="E1145" t="str">
        <f>+IFERROR(VLOOKUP(Fact_Impuestos[[#This Row], [Concepto Anterior]],Conceptos_Impuestos[#All],5,0),"")</f>
        <v/>
      </c>
      <c r="F1145" t="str">
        <f>+IFERROR(VLOOKUP(Fact_Impuestos[[#This Row], 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ht="18.75" customHeight="1" x14ac:dyDescent="0.35">
      <c r="C1146" s="100" t="str">
        <f>IF(OR(Fact_Impuestos[[#This Row], [Año]]="",Fact_Impuestos[[#This Row], [Mes]]=""),"",DATE(A1146,MATCH(B1146,{"enero","febrero","marzo","abril","mayo","junio","julio","agosto","septiembre","octubre","noviembre","diciembre"},0)+1,0))</f>
        <v/>
      </c>
      <c r="E1146" t="str">
        <f>+IFERROR(VLOOKUP(Fact_Impuestos[[#This Row], [Concepto Anterior]],Conceptos_Impuestos[#All],5,0),"")</f>
        <v/>
      </c>
      <c r="F1146" t="str">
        <f>+IFERROR(VLOOKUP(Fact_Impuestos[[#This Row], 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ht="18.75" customHeight="1" x14ac:dyDescent="0.35">
      <c r="C1147" s="100" t="str">
        <f>IF(OR(Fact_Impuestos[[#This Row], [Año]]="",Fact_Impuestos[[#This Row], [Mes]]=""),"",DATE(A1147,MATCH(B1147,{"enero","febrero","marzo","abril","mayo","junio","julio","agosto","septiembre","octubre","noviembre","diciembre"},0)+1,0))</f>
        <v/>
      </c>
      <c r="E1147" t="str">
        <f>+IFERROR(VLOOKUP(Fact_Impuestos[[#This Row], [Concepto Anterior]],Conceptos_Impuestos[#All],5,0),"")</f>
        <v/>
      </c>
      <c r="F1147" t="str">
        <f>+IFERROR(VLOOKUP(Fact_Impuestos[[#This Row], 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ht="18.75" customHeight="1" x14ac:dyDescent="0.35">
      <c r="C1148" s="100" t="str">
        <f>IF(OR(Fact_Impuestos[[#This Row], [Año]]="",Fact_Impuestos[[#This Row], [Mes]]=""),"",DATE(A1148,MATCH(B1148,{"enero","febrero","marzo","abril","mayo","junio","julio","agosto","septiembre","octubre","noviembre","diciembre"},0)+1,0))</f>
        <v/>
      </c>
      <c r="E1148" t="str">
        <f>+IFERROR(VLOOKUP(Fact_Impuestos[[#This Row], [Concepto Anterior]],Conceptos_Impuestos[#All],5,0),"")</f>
        <v/>
      </c>
      <c r="F1148" t="str">
        <f>+IFERROR(VLOOKUP(Fact_Impuestos[[#This Row], 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ht="18.75" customHeight="1" x14ac:dyDescent="0.35">
      <c r="C1149" s="100" t="str">
        <f>IF(OR(Fact_Impuestos[[#This Row], [Año]]="",Fact_Impuestos[[#This Row], [Mes]]=""),"",DATE(A1149,MATCH(B1149,{"enero","febrero","marzo","abril","mayo","junio","julio","agosto","septiembre","octubre","noviembre","diciembre"},0)+1,0))</f>
        <v/>
      </c>
      <c r="E1149" t="str">
        <f>+IFERROR(VLOOKUP(Fact_Impuestos[[#This Row], [Concepto Anterior]],Conceptos_Impuestos[#All],5,0),"")</f>
        <v/>
      </c>
      <c r="F1149" t="str">
        <f>+IFERROR(VLOOKUP(Fact_Impuestos[[#This Row], 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ht="18.75" customHeight="1" x14ac:dyDescent="0.35">
      <c r="C1150" s="100" t="str">
        <f>IF(OR(Fact_Impuestos[[#This Row], [Año]]="",Fact_Impuestos[[#This Row], [Mes]]=""),"",DATE(A1150,MATCH(B1150,{"enero","febrero","marzo","abril","mayo","junio","julio","agosto","septiembre","octubre","noviembre","diciembre"},0)+1,0))</f>
        <v/>
      </c>
      <c r="E1150" t="str">
        <f>+IFERROR(VLOOKUP(Fact_Impuestos[[#This Row], [Concepto Anterior]],Conceptos_Impuestos[#All],5,0),"")</f>
        <v/>
      </c>
      <c r="F1150" t="str">
        <f>+IFERROR(VLOOKUP(Fact_Impuestos[[#This Row], 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ht="18.75" customHeight="1" x14ac:dyDescent="0.35">
      <c r="C1151" s="100" t="str">
        <f>IF(OR(Fact_Impuestos[[#This Row], [Año]]="",Fact_Impuestos[[#This Row], [Mes]]=""),"",DATE(A1151,MATCH(B1151,{"enero","febrero","marzo","abril","mayo","junio","julio","agosto","septiembre","octubre","noviembre","diciembre"},0)+1,0))</f>
        <v/>
      </c>
      <c r="E1151" t="str">
        <f>+IFERROR(VLOOKUP(Fact_Impuestos[[#This Row], [Concepto Anterior]],Conceptos_Impuestos[#All],5,0),"")</f>
        <v/>
      </c>
      <c r="F1151" t="str">
        <f>+IFERROR(VLOOKUP(Fact_Impuestos[[#This Row], 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ht="18.75" customHeight="1" x14ac:dyDescent="0.35">
      <c r="C1152" s="100" t="str">
        <f>IF(OR(Fact_Impuestos[[#This Row], [Año]]="",Fact_Impuestos[[#This Row], [Mes]]=""),"",DATE(A1152,MATCH(B1152,{"enero","febrero","marzo","abril","mayo","junio","julio","agosto","septiembre","octubre","noviembre","diciembre"},0)+1,0))</f>
        <v/>
      </c>
      <c r="E1152" t="str">
        <f>+IFERROR(VLOOKUP(Fact_Impuestos[[#This Row], [Concepto Anterior]],Conceptos_Impuestos[#All],5,0),"")</f>
        <v/>
      </c>
      <c r="F1152" t="str">
        <f>+IFERROR(VLOOKUP(Fact_Impuestos[[#This Row], 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ht="18.75" customHeight="1" x14ac:dyDescent="0.35">
      <c r="C1153" s="100" t="str">
        <f>IF(OR(Fact_Impuestos[[#This Row], [Año]]="",Fact_Impuestos[[#This Row], [Mes]]=""),"",DATE(A1153,MATCH(B1153,{"enero","febrero","marzo","abril","mayo","junio","julio","agosto","septiembre","octubre","noviembre","diciembre"},0)+1,0))</f>
        <v/>
      </c>
      <c r="E1153" t="str">
        <f>+IFERROR(VLOOKUP(Fact_Impuestos[[#This Row], [Concepto Anterior]],Conceptos_Impuestos[#All],5,0),"")</f>
        <v/>
      </c>
      <c r="F1153" t="str">
        <f>+IFERROR(VLOOKUP(Fact_Impuestos[[#This Row], 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ht="18.75" customHeight="1" x14ac:dyDescent="0.35">
      <c r="C1154" s="100" t="str">
        <f>IF(OR(Fact_Impuestos[[#This Row], [Año]]="",Fact_Impuestos[[#This Row], [Mes]]=""),"",DATE(A1154,MATCH(B1154,{"enero","febrero","marzo","abril","mayo","junio","julio","agosto","septiembre","octubre","noviembre","diciembre"},0)+1,0))</f>
        <v/>
      </c>
      <c r="E1154" t="str">
        <f>+IFERROR(VLOOKUP(Fact_Impuestos[[#This Row], [Concepto Anterior]],Conceptos_Impuestos[#All],5,0),"")</f>
        <v/>
      </c>
      <c r="F1154" t="str">
        <f>+IFERROR(VLOOKUP(Fact_Impuestos[[#This Row], 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ht="18.75" customHeight="1" x14ac:dyDescent="0.35">
      <c r="C1155" s="100" t="str">
        <f>IF(OR(Fact_Impuestos[[#This Row], [Año]]="",Fact_Impuestos[[#This Row], [Mes]]=""),"",DATE(A1155,MATCH(B1155,{"enero","febrero","marzo","abril","mayo","junio","julio","agosto","septiembre","octubre","noviembre","diciembre"},0)+1,0))</f>
        <v/>
      </c>
      <c r="E1155" t="str">
        <f>+IFERROR(VLOOKUP(Fact_Impuestos[[#This Row], [Concepto Anterior]],Conceptos_Impuestos[#All],5,0),"")</f>
        <v/>
      </c>
      <c r="F1155" t="str">
        <f>+IFERROR(VLOOKUP(Fact_Impuestos[[#This Row], 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ht="18.75" customHeight="1" x14ac:dyDescent="0.35">
      <c r="C1156" s="100" t="str">
        <f>IF(OR(Fact_Impuestos[[#This Row], [Año]]="",Fact_Impuestos[[#This Row], [Mes]]=""),"",DATE(A1156,MATCH(B1156,{"enero","febrero","marzo","abril","mayo","junio","julio","agosto","septiembre","octubre","noviembre","diciembre"},0)+1,0))</f>
        <v/>
      </c>
      <c r="E1156" t="str">
        <f>+IFERROR(VLOOKUP(Fact_Impuestos[[#This Row], [Concepto Anterior]],Conceptos_Impuestos[#All],5,0),"")</f>
        <v/>
      </c>
      <c r="F1156" t="str">
        <f>+IFERROR(VLOOKUP(Fact_Impuestos[[#This Row], 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ht="18.75" customHeight="1" x14ac:dyDescent="0.35">
      <c r="C1157" s="100" t="str">
        <f>IF(OR(Fact_Impuestos[[#This Row], [Año]]="",Fact_Impuestos[[#This Row], [Mes]]=""),"",DATE(A1157,MATCH(B1157,{"enero","febrero","marzo","abril","mayo","junio","julio","agosto","septiembre","octubre","noviembre","diciembre"},0)+1,0))</f>
        <v/>
      </c>
      <c r="E1157" t="str">
        <f>+IFERROR(VLOOKUP(Fact_Impuestos[[#This Row], [Concepto Anterior]],Conceptos_Impuestos[#All],5,0),"")</f>
        <v/>
      </c>
      <c r="F1157" t="str">
        <f>+IFERROR(VLOOKUP(Fact_Impuestos[[#This Row], 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ht="18.75" customHeight="1" x14ac:dyDescent="0.35">
      <c r="C1158" s="100" t="str">
        <f>IF(OR(Fact_Impuestos[[#This Row], [Año]]="",Fact_Impuestos[[#This Row], [Mes]]=""),"",DATE(A1158,MATCH(B1158,{"enero","febrero","marzo","abril","mayo","junio","julio","agosto","septiembre","octubre","noviembre","diciembre"},0)+1,0))</f>
        <v/>
      </c>
      <c r="E1158" t="str">
        <f>+IFERROR(VLOOKUP(Fact_Impuestos[[#This Row], [Concepto Anterior]],Conceptos_Impuestos[#All],5,0),"")</f>
        <v/>
      </c>
      <c r="F1158" t="str">
        <f>+IFERROR(VLOOKUP(Fact_Impuestos[[#This Row], 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ht="18.75" customHeight="1" x14ac:dyDescent="0.35">
      <c r="C1159" s="100" t="str">
        <f>IF(OR(Fact_Impuestos[[#This Row], [Año]]="",Fact_Impuestos[[#This Row], [Mes]]=""),"",DATE(A1159,MATCH(B1159,{"enero","febrero","marzo","abril","mayo","junio","julio","agosto","septiembre","octubre","noviembre","diciembre"},0)+1,0))</f>
        <v/>
      </c>
      <c r="E1159" t="str">
        <f>+IFERROR(VLOOKUP(Fact_Impuestos[[#This Row], [Concepto Anterior]],Conceptos_Impuestos[#All],5,0),"")</f>
        <v/>
      </c>
      <c r="F1159" t="str">
        <f>+IFERROR(VLOOKUP(Fact_Impuestos[[#This Row], 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ht="18.75" customHeight="1" x14ac:dyDescent="0.35">
      <c r="C1160" s="100" t="str">
        <f>IF(OR(Fact_Impuestos[[#This Row], [Año]]="",Fact_Impuestos[[#This Row], [Mes]]=""),"",DATE(A1160,MATCH(B1160,{"enero","febrero","marzo","abril","mayo","junio","julio","agosto","septiembre","octubre","noviembre","diciembre"},0)+1,0))</f>
        <v/>
      </c>
      <c r="E1160" t="str">
        <f>+IFERROR(VLOOKUP(Fact_Impuestos[[#This Row], [Concepto Anterior]],Conceptos_Impuestos[#All],5,0),"")</f>
        <v/>
      </c>
      <c r="F1160" t="str">
        <f>+IFERROR(VLOOKUP(Fact_Impuestos[[#This Row], 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ht="18.75" customHeight="1" x14ac:dyDescent="0.35">
      <c r="C1161" s="100" t="str">
        <f>IF(OR(Fact_Impuestos[[#This Row], [Año]]="",Fact_Impuestos[[#This Row], [Mes]]=""),"",DATE(A1161,MATCH(B1161,{"enero","febrero","marzo","abril","mayo","junio","julio","agosto","septiembre","octubre","noviembre","diciembre"},0)+1,0))</f>
        <v/>
      </c>
      <c r="E1161" t="str">
        <f>+IFERROR(VLOOKUP(Fact_Impuestos[[#This Row], [Concepto Anterior]],Conceptos_Impuestos[#All],5,0),"")</f>
        <v/>
      </c>
      <c r="F1161" t="str">
        <f>+IFERROR(VLOOKUP(Fact_Impuestos[[#This Row], 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ht="18.75" customHeight="1" x14ac:dyDescent="0.35">
      <c r="C1162" s="100" t="str">
        <f>IF(OR(Fact_Impuestos[[#This Row], [Año]]="",Fact_Impuestos[[#This Row], [Mes]]=""),"",DATE(A1162,MATCH(B1162,{"enero","febrero","marzo","abril","mayo","junio","julio","agosto","septiembre","octubre","noviembre","diciembre"},0)+1,0))</f>
        <v/>
      </c>
      <c r="E1162" t="str">
        <f>+IFERROR(VLOOKUP(Fact_Impuestos[[#This Row], [Concepto Anterior]],Conceptos_Impuestos[#All],5,0),"")</f>
        <v/>
      </c>
      <c r="F1162" t="str">
        <f>+IFERROR(VLOOKUP(Fact_Impuestos[[#This Row], 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ht="18.75" customHeight="1" x14ac:dyDescent="0.35">
      <c r="C1163" s="100" t="str">
        <f>IF(OR(Fact_Impuestos[[#This Row], [Año]]="",Fact_Impuestos[[#This Row], [Mes]]=""),"",DATE(A1163,MATCH(B1163,{"enero","febrero","marzo","abril","mayo","junio","julio","agosto","septiembre","octubre","noviembre","diciembre"},0)+1,0))</f>
        <v/>
      </c>
      <c r="E1163" t="str">
        <f>+IFERROR(VLOOKUP(Fact_Impuestos[[#This Row], [Concepto Anterior]],Conceptos_Impuestos[#All],5,0),"")</f>
        <v/>
      </c>
      <c r="F1163" t="str">
        <f>+IFERROR(VLOOKUP(Fact_Impuestos[[#This Row], 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ht="18.75" customHeight="1" x14ac:dyDescent="0.35">
      <c r="C1164" s="100" t="str">
        <f>IF(OR(Fact_Impuestos[[#This Row], [Año]]="",Fact_Impuestos[[#This Row], [Mes]]=""),"",DATE(A1164,MATCH(B1164,{"enero","febrero","marzo","abril","mayo","junio","julio","agosto","septiembre","octubre","noviembre","diciembre"},0)+1,0))</f>
        <v/>
      </c>
      <c r="E1164" t="str">
        <f>+IFERROR(VLOOKUP(Fact_Impuestos[[#This Row], [Concepto Anterior]],Conceptos_Impuestos[#All],5,0),"")</f>
        <v/>
      </c>
      <c r="F1164" t="str">
        <f>+IFERROR(VLOOKUP(Fact_Impuestos[[#This Row], 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ht="18.75" customHeight="1" x14ac:dyDescent="0.35">
      <c r="C1165" s="100" t="str">
        <f>IF(OR(Fact_Impuestos[[#This Row], [Año]]="",Fact_Impuestos[[#This Row], [Mes]]=""),"",DATE(A1165,MATCH(B1165,{"enero","febrero","marzo","abril","mayo","junio","julio","agosto","septiembre","octubre","noviembre","diciembre"},0)+1,0))</f>
        <v/>
      </c>
      <c r="E1165" t="str">
        <f>+IFERROR(VLOOKUP(Fact_Impuestos[[#This Row], [Concepto Anterior]],Conceptos_Impuestos[#All],5,0),"")</f>
        <v/>
      </c>
      <c r="F1165" t="str">
        <f>+IFERROR(VLOOKUP(Fact_Impuestos[[#This Row], 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ht="18.75" customHeight="1" x14ac:dyDescent="0.35">
      <c r="C1166" s="100" t="str">
        <f>IF(OR(Fact_Impuestos[[#This Row], [Año]]="",Fact_Impuestos[[#This Row], [Mes]]=""),"",DATE(A1166,MATCH(B1166,{"enero","febrero","marzo","abril","mayo","junio","julio","agosto","septiembre","octubre","noviembre","diciembre"},0)+1,0))</f>
        <v/>
      </c>
      <c r="E1166" t="str">
        <f>+IFERROR(VLOOKUP(Fact_Impuestos[[#This Row], [Concepto Anterior]],Conceptos_Impuestos[#All],5,0),"")</f>
        <v/>
      </c>
      <c r="F1166" t="str">
        <f>+IFERROR(VLOOKUP(Fact_Impuestos[[#This Row], 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ht="18.75" customHeight="1" x14ac:dyDescent="0.35">
      <c r="C1167" s="100" t="str">
        <f>IF(OR(Fact_Impuestos[[#This Row], [Año]]="",Fact_Impuestos[[#This Row], [Mes]]=""),"",DATE(A1167,MATCH(B1167,{"enero","febrero","marzo","abril","mayo","junio","julio","agosto","septiembre","octubre","noviembre","diciembre"},0)+1,0))</f>
        <v/>
      </c>
      <c r="E1167" t="str">
        <f>+IFERROR(VLOOKUP(Fact_Impuestos[[#This Row], [Concepto Anterior]],Conceptos_Impuestos[#All],5,0),"")</f>
        <v/>
      </c>
      <c r="F1167" t="str">
        <f>+IFERROR(VLOOKUP(Fact_Impuestos[[#This Row], 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ht="18.75" customHeight="1" x14ac:dyDescent="0.35">
      <c r="C1168" s="100" t="str">
        <f>IF(OR(Fact_Impuestos[[#This Row], [Año]]="",Fact_Impuestos[[#This Row], [Mes]]=""),"",DATE(A1168,MATCH(B1168,{"enero","febrero","marzo","abril","mayo","junio","julio","agosto","septiembre","octubre","noviembre","diciembre"},0)+1,0))</f>
        <v/>
      </c>
      <c r="E1168" t="str">
        <f>+IFERROR(VLOOKUP(Fact_Impuestos[[#This Row], [Concepto Anterior]],Conceptos_Impuestos[#All],5,0),"")</f>
        <v/>
      </c>
      <c r="F1168" t="str">
        <f>+IFERROR(VLOOKUP(Fact_Impuestos[[#This Row], 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ht="18.75" customHeight="1" x14ac:dyDescent="0.35">
      <c r="C1169" s="100" t="str">
        <f>IF(OR(Fact_Impuestos[[#This Row], [Año]]="",Fact_Impuestos[[#This Row], [Mes]]=""),"",DATE(A1169,MATCH(B1169,{"enero","febrero","marzo","abril","mayo","junio","julio","agosto","septiembre","octubre","noviembre","diciembre"},0)+1,0))</f>
        <v/>
      </c>
      <c r="E1169" t="str">
        <f>+IFERROR(VLOOKUP(Fact_Impuestos[[#This Row], [Concepto Anterior]],Conceptos_Impuestos[#All],5,0),"")</f>
        <v/>
      </c>
      <c r="F1169" t="str">
        <f>+IFERROR(VLOOKUP(Fact_Impuestos[[#This Row], 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ht="18.75" customHeight="1" x14ac:dyDescent="0.35">
      <c r="C1170" s="100" t="str">
        <f>IF(OR(Fact_Impuestos[[#This Row], [Año]]="",Fact_Impuestos[[#This Row], [Mes]]=""),"",DATE(A1170,MATCH(B1170,{"enero","febrero","marzo","abril","mayo","junio","julio","agosto","septiembre","octubre","noviembre","diciembre"},0)+1,0))</f>
        <v/>
      </c>
      <c r="E1170" t="str">
        <f>+IFERROR(VLOOKUP(Fact_Impuestos[[#This Row], [Concepto Anterior]],Conceptos_Impuestos[#All],5,0),"")</f>
        <v/>
      </c>
      <c r="F1170" t="str">
        <f>+IFERROR(VLOOKUP(Fact_Impuestos[[#This Row], 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ht="18.75" customHeight="1" x14ac:dyDescent="0.35">
      <c r="C1171" s="100" t="str">
        <f>IF(OR(Fact_Impuestos[[#This Row], [Año]]="",Fact_Impuestos[[#This Row], [Mes]]=""),"",DATE(A1171,MATCH(B1171,{"enero","febrero","marzo","abril","mayo","junio","julio","agosto","septiembre","octubre","noviembre","diciembre"},0)+1,0))</f>
        <v/>
      </c>
      <c r="E1171" t="str">
        <f>+IFERROR(VLOOKUP(Fact_Impuestos[[#This Row], [Concepto Anterior]],Conceptos_Impuestos[#All],5,0),"")</f>
        <v/>
      </c>
      <c r="F1171" t="str">
        <f>+IFERROR(VLOOKUP(Fact_Impuestos[[#This Row], 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ht="18.75" customHeight="1" x14ac:dyDescent="0.35">
      <c r="C1172" s="100" t="str">
        <f>IF(OR(Fact_Impuestos[[#This Row], [Año]]="",Fact_Impuestos[[#This Row], [Mes]]=""),"",DATE(A1172,MATCH(B1172,{"enero","febrero","marzo","abril","mayo","junio","julio","agosto","septiembre","octubre","noviembre","diciembre"},0)+1,0))</f>
        <v/>
      </c>
      <c r="E1172" t="str">
        <f>+IFERROR(VLOOKUP(Fact_Impuestos[[#This Row], [Concepto Anterior]],Conceptos_Impuestos[#All],5,0),"")</f>
        <v/>
      </c>
      <c r="F1172" t="str">
        <f>+IFERROR(VLOOKUP(Fact_Impuestos[[#This Row], 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ht="18.75" customHeight="1" x14ac:dyDescent="0.35">
      <c r="C1173" s="100" t="str">
        <f>IF(OR(Fact_Impuestos[[#This Row], [Año]]="",Fact_Impuestos[[#This Row], [Mes]]=""),"",DATE(A1173,MATCH(B1173,{"enero","febrero","marzo","abril","mayo","junio","julio","agosto","septiembre","octubre","noviembre","diciembre"},0)+1,0))</f>
        <v/>
      </c>
      <c r="E1173" t="str">
        <f>+IFERROR(VLOOKUP(Fact_Impuestos[[#This Row], [Concepto Anterior]],Conceptos_Impuestos[#All],5,0),"")</f>
        <v/>
      </c>
      <c r="F1173" t="str">
        <f>+IFERROR(VLOOKUP(Fact_Impuestos[[#This Row], 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ht="18.75" customHeight="1" x14ac:dyDescent="0.35">
      <c r="C1174" s="100" t="str">
        <f>IF(OR(Fact_Impuestos[[#This Row], [Año]]="",Fact_Impuestos[[#This Row], [Mes]]=""),"",DATE(A1174,MATCH(B1174,{"enero","febrero","marzo","abril","mayo","junio","julio","agosto","septiembre","octubre","noviembre","diciembre"},0)+1,0))</f>
        <v/>
      </c>
      <c r="E1174" t="str">
        <f>+IFERROR(VLOOKUP(Fact_Impuestos[[#This Row], [Concepto Anterior]],Conceptos_Impuestos[#All],5,0),"")</f>
        <v/>
      </c>
      <c r="F1174" t="str">
        <f>+IFERROR(VLOOKUP(Fact_Impuestos[[#This Row], 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ht="18.75" customHeight="1" x14ac:dyDescent="0.35">
      <c r="C1175" s="100" t="str">
        <f>IF(OR(Fact_Impuestos[[#This Row], [Año]]="",Fact_Impuestos[[#This Row], [Mes]]=""),"",DATE(A1175,MATCH(B1175,{"enero","febrero","marzo","abril","mayo","junio","julio","agosto","septiembre","octubre","noviembre","diciembre"},0)+1,0))</f>
        <v/>
      </c>
      <c r="E1175" t="str">
        <f>+IFERROR(VLOOKUP(Fact_Impuestos[[#This Row], [Concepto Anterior]],Conceptos_Impuestos[#All],5,0),"")</f>
        <v/>
      </c>
      <c r="F1175" t="str">
        <f>+IFERROR(VLOOKUP(Fact_Impuestos[[#This Row], 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ht="18.75" customHeight="1" x14ac:dyDescent="0.35">
      <c r="C1176" s="100" t="str">
        <f>IF(OR(Fact_Impuestos[[#This Row], [Año]]="",Fact_Impuestos[[#This Row], [Mes]]=""),"",DATE(A1176,MATCH(B1176,{"enero","febrero","marzo","abril","mayo","junio","julio","agosto","septiembre","octubre","noviembre","diciembre"},0)+1,0))</f>
        <v/>
      </c>
      <c r="E1176" t="str">
        <f>+IFERROR(VLOOKUP(Fact_Impuestos[[#This Row], [Concepto Anterior]],Conceptos_Impuestos[#All],5,0),"")</f>
        <v/>
      </c>
      <c r="F1176" t="str">
        <f>+IFERROR(VLOOKUP(Fact_Impuestos[[#This Row], 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ht="18.75" customHeight="1" x14ac:dyDescent="0.35">
      <c r="C1177" s="100" t="str">
        <f>IF(OR(Fact_Impuestos[[#This Row], [Año]]="",Fact_Impuestos[[#This Row], [Mes]]=""),"",DATE(A1177,MATCH(B1177,{"enero","febrero","marzo","abril","mayo","junio","julio","agosto","septiembre","octubre","noviembre","diciembre"},0)+1,0))</f>
        <v/>
      </c>
      <c r="E1177" t="str">
        <f>+IFERROR(VLOOKUP(Fact_Impuestos[[#This Row], [Concepto Anterior]],Conceptos_Impuestos[#All],5,0),"")</f>
        <v/>
      </c>
      <c r="F1177" t="str">
        <f>+IFERROR(VLOOKUP(Fact_Impuestos[[#This Row], 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ht="18.75" customHeight="1" x14ac:dyDescent="0.35">
      <c r="C1178" s="100" t="str">
        <f>IF(OR(Fact_Impuestos[[#This Row], [Año]]="",Fact_Impuestos[[#This Row], [Mes]]=""),"",DATE(A1178,MATCH(B1178,{"enero","febrero","marzo","abril","mayo","junio","julio","agosto","septiembre","octubre","noviembre","diciembre"},0)+1,0))</f>
        <v/>
      </c>
      <c r="E1178" t="str">
        <f>+IFERROR(VLOOKUP(Fact_Impuestos[[#This Row], [Concepto Anterior]],Conceptos_Impuestos[#All],5,0),"")</f>
        <v/>
      </c>
      <c r="F1178" t="str">
        <f>+IFERROR(VLOOKUP(Fact_Impuestos[[#This Row], 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ht="18.75" customHeight="1" x14ac:dyDescent="0.35">
      <c r="C1179" s="100" t="str">
        <f>IF(OR(Fact_Impuestos[[#This Row], [Año]]="",Fact_Impuestos[[#This Row], [Mes]]=""),"",DATE(A1179,MATCH(B1179,{"enero","febrero","marzo","abril","mayo","junio","julio","agosto","septiembre","octubre","noviembre","diciembre"},0)+1,0))</f>
        <v/>
      </c>
      <c r="E1179" t="str">
        <f>+IFERROR(VLOOKUP(Fact_Impuestos[[#This Row], [Concepto Anterior]],Conceptos_Impuestos[#All],5,0),"")</f>
        <v/>
      </c>
      <c r="F1179" t="str">
        <f>+IFERROR(VLOOKUP(Fact_Impuestos[[#This Row], 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ht="18.75" customHeight="1" x14ac:dyDescent="0.35">
      <c r="C1180" s="100" t="str">
        <f>IF(OR(Fact_Impuestos[[#This Row], [Año]]="",Fact_Impuestos[[#This Row], [Mes]]=""),"",DATE(A1180,MATCH(B1180,{"enero","febrero","marzo","abril","mayo","junio","julio","agosto","septiembre","octubre","noviembre","diciembre"},0)+1,0))</f>
        <v/>
      </c>
      <c r="E1180" t="str">
        <f>+IFERROR(VLOOKUP(Fact_Impuestos[[#This Row], [Concepto Anterior]],Conceptos_Impuestos[#All],5,0),"")</f>
        <v/>
      </c>
      <c r="F1180" t="str">
        <f>+IFERROR(VLOOKUP(Fact_Impuestos[[#This Row], 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ht="18.75" customHeight="1" x14ac:dyDescent="0.35">
      <c r="C1181" s="100" t="str">
        <f>IF(OR(Fact_Impuestos[[#This Row], [Año]]="",Fact_Impuestos[[#This Row], [Mes]]=""),"",DATE(A1181,MATCH(B1181,{"enero","febrero","marzo","abril","mayo","junio","julio","agosto","septiembre","octubre","noviembre","diciembre"},0)+1,0))</f>
        <v/>
      </c>
      <c r="E1181" t="str">
        <f>+IFERROR(VLOOKUP(Fact_Impuestos[[#This Row], [Concepto Anterior]],Conceptos_Impuestos[#All],5,0),"")</f>
        <v/>
      </c>
      <c r="F1181" t="str">
        <f>+IFERROR(VLOOKUP(Fact_Impuestos[[#This Row], 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ht="18.75" customHeight="1" x14ac:dyDescent="0.35">
      <c r="C1182" s="100" t="str">
        <f>IF(OR(Fact_Impuestos[[#This Row], [Año]]="",Fact_Impuestos[[#This Row], [Mes]]=""),"",DATE(A1182,MATCH(B1182,{"enero","febrero","marzo","abril","mayo","junio","julio","agosto","septiembre","octubre","noviembre","diciembre"},0)+1,0))</f>
        <v/>
      </c>
      <c r="E1182" t="str">
        <f>+IFERROR(VLOOKUP(Fact_Impuestos[[#This Row], [Concepto Anterior]],Conceptos_Impuestos[#All],5,0),"")</f>
        <v/>
      </c>
      <c r="F1182" t="str">
        <f>+IFERROR(VLOOKUP(Fact_Impuestos[[#This Row], 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ht="18.75" customHeight="1" x14ac:dyDescent="0.35">
      <c r="C1183" s="100" t="str">
        <f>IF(OR(Fact_Impuestos[[#This Row], [Año]]="",Fact_Impuestos[[#This Row], [Mes]]=""),"",DATE(A1183,MATCH(B1183,{"enero","febrero","marzo","abril","mayo","junio","julio","agosto","septiembre","octubre","noviembre","diciembre"},0)+1,0))</f>
        <v/>
      </c>
      <c r="E1183" t="str">
        <f>+IFERROR(VLOOKUP(Fact_Impuestos[[#This Row], [Concepto Anterior]],Conceptos_Impuestos[#All],5,0),"")</f>
        <v/>
      </c>
      <c r="F1183" t="str">
        <f>+IFERROR(VLOOKUP(Fact_Impuestos[[#This Row], 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ht="18.75" customHeight="1" x14ac:dyDescent="0.35">
      <c r="C1184" s="100" t="str">
        <f>IF(OR(Fact_Impuestos[[#This Row], [Año]]="",Fact_Impuestos[[#This Row], [Mes]]=""),"",DATE(A1184,MATCH(B1184,{"enero","febrero","marzo","abril","mayo","junio","julio","agosto","septiembre","octubre","noviembre","diciembre"},0)+1,0))</f>
        <v/>
      </c>
      <c r="E1184" t="str">
        <f>+IFERROR(VLOOKUP(Fact_Impuestos[[#This Row], [Concepto Anterior]],Conceptos_Impuestos[#All],5,0),"")</f>
        <v/>
      </c>
      <c r="F1184" t="str">
        <f>+IFERROR(VLOOKUP(Fact_Impuestos[[#This Row], 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ht="18.75" customHeight="1" x14ac:dyDescent="0.35">
      <c r="C1185" s="100" t="str">
        <f>IF(OR(Fact_Impuestos[[#This Row], [Año]]="",Fact_Impuestos[[#This Row], [Mes]]=""),"",DATE(A1185,MATCH(B1185,{"enero","febrero","marzo","abril","mayo","junio","julio","agosto","septiembre","octubre","noviembre","diciembre"},0)+1,0))</f>
        <v/>
      </c>
      <c r="E1185" t="str">
        <f>+IFERROR(VLOOKUP(Fact_Impuestos[[#This Row], [Concepto Anterior]],Conceptos_Impuestos[#All],5,0),"")</f>
        <v/>
      </c>
      <c r="F1185" t="str">
        <f>+IFERROR(VLOOKUP(Fact_Impuestos[[#This Row], 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ht="18.75" customHeight="1" x14ac:dyDescent="0.35">
      <c r="C1186" s="100" t="str">
        <f>IF(OR(Fact_Impuestos[[#This Row], [Año]]="",Fact_Impuestos[[#This Row], [Mes]]=""),"",DATE(A1186,MATCH(B1186,{"enero","febrero","marzo","abril","mayo","junio","julio","agosto","septiembre","octubre","noviembre","diciembre"},0)+1,0))</f>
        <v/>
      </c>
      <c r="E1186" t="str">
        <f>+IFERROR(VLOOKUP(Fact_Impuestos[[#This Row], [Concepto Anterior]],Conceptos_Impuestos[#All],5,0),"")</f>
        <v/>
      </c>
      <c r="F1186" t="str">
        <f>+IFERROR(VLOOKUP(Fact_Impuestos[[#This Row], 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ht="18.75" customHeight="1" x14ac:dyDescent="0.35">
      <c r="C1187" s="100" t="str">
        <f>IF(OR(Fact_Impuestos[[#This Row], [Año]]="",Fact_Impuestos[[#This Row], [Mes]]=""),"",DATE(A1187,MATCH(B1187,{"enero","febrero","marzo","abril","mayo","junio","julio","agosto","septiembre","octubre","noviembre","diciembre"},0)+1,0))</f>
        <v/>
      </c>
      <c r="E1187" t="str">
        <f>+IFERROR(VLOOKUP(Fact_Impuestos[[#This Row], [Concepto Anterior]],Conceptos_Impuestos[#All],5,0),"")</f>
        <v/>
      </c>
      <c r="F1187" t="str">
        <f>+IFERROR(VLOOKUP(Fact_Impuestos[[#This Row], 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ht="18.75" customHeight="1" x14ac:dyDescent="0.35">
      <c r="C1188" s="100" t="str">
        <f>IF(OR(Fact_Impuestos[[#This Row], [Año]]="",Fact_Impuestos[[#This Row], [Mes]]=""),"",DATE(A1188,MATCH(B1188,{"enero","febrero","marzo","abril","mayo","junio","julio","agosto","septiembre","octubre","noviembre","diciembre"},0)+1,0))</f>
        <v/>
      </c>
      <c r="E1188" t="str">
        <f>+IFERROR(VLOOKUP(Fact_Impuestos[[#This Row], [Concepto Anterior]],Conceptos_Impuestos[#All],5,0),"")</f>
        <v/>
      </c>
      <c r="F1188" t="str">
        <f>+IFERROR(VLOOKUP(Fact_Impuestos[[#This Row], 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ht="18.75" customHeight="1" x14ac:dyDescent="0.35">
      <c r="C1189" s="100" t="str">
        <f>IF(OR(Fact_Impuestos[[#This Row], [Año]]="",Fact_Impuestos[[#This Row], [Mes]]=""),"",DATE(A1189,MATCH(B1189,{"enero","febrero","marzo","abril","mayo","junio","julio","agosto","septiembre","octubre","noviembre","diciembre"},0)+1,0))</f>
        <v/>
      </c>
      <c r="E1189" t="str">
        <f>+IFERROR(VLOOKUP(Fact_Impuestos[[#This Row], [Concepto Anterior]],Conceptos_Impuestos[#All],5,0),"")</f>
        <v/>
      </c>
      <c r="F1189" t="str">
        <f>+IFERROR(VLOOKUP(Fact_Impuestos[[#This Row], 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ht="18.75" customHeight="1" x14ac:dyDescent="0.35">
      <c r="C1190" s="100" t="str">
        <f>IF(OR(Fact_Impuestos[[#This Row], [Año]]="",Fact_Impuestos[[#This Row], [Mes]]=""),"",DATE(A1190,MATCH(B1190,{"enero","febrero","marzo","abril","mayo","junio","julio","agosto","septiembre","octubre","noviembre","diciembre"},0)+1,0))</f>
        <v/>
      </c>
      <c r="E1190" t="str">
        <f>+IFERROR(VLOOKUP(Fact_Impuestos[[#This Row], [Concepto Anterior]],Conceptos_Impuestos[#All],5,0),"")</f>
        <v/>
      </c>
      <c r="F1190" t="str">
        <f>+IFERROR(VLOOKUP(Fact_Impuestos[[#This Row], 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ht="18.75" customHeight="1" x14ac:dyDescent="0.35">
      <c r="C1191" s="100" t="str">
        <f>IF(OR(Fact_Impuestos[[#This Row], [Año]]="",Fact_Impuestos[[#This Row], [Mes]]=""),"",DATE(A1191,MATCH(B1191,{"enero","febrero","marzo","abril","mayo","junio","julio","agosto","septiembre","octubre","noviembre","diciembre"},0)+1,0))</f>
        <v/>
      </c>
      <c r="E1191" t="str">
        <f>+IFERROR(VLOOKUP(Fact_Impuestos[[#This Row], [Concepto Anterior]],Conceptos_Impuestos[#All],5,0),"")</f>
        <v/>
      </c>
      <c r="F1191" t="str">
        <f>+IFERROR(VLOOKUP(Fact_Impuestos[[#This Row], 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ht="18.75" customHeight="1" x14ac:dyDescent="0.35">
      <c r="C1192" s="100" t="str">
        <f>IF(OR(Fact_Impuestos[[#This Row], [Año]]="",Fact_Impuestos[[#This Row], [Mes]]=""),"",DATE(A1192,MATCH(B1192,{"enero","febrero","marzo","abril","mayo","junio","julio","agosto","septiembre","octubre","noviembre","diciembre"},0)+1,0))</f>
        <v/>
      </c>
      <c r="E1192" t="str">
        <f>+IFERROR(VLOOKUP(Fact_Impuestos[[#This Row], [Concepto Anterior]],Conceptos_Impuestos[#All],5,0),"")</f>
        <v/>
      </c>
      <c r="F1192" t="str">
        <f>+IFERROR(VLOOKUP(Fact_Impuestos[[#This Row], 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ht="18.75" customHeight="1" x14ac:dyDescent="0.35">
      <c r="C1193" s="100" t="str">
        <f>IF(OR(Fact_Impuestos[[#This Row], [Año]]="",Fact_Impuestos[[#This Row], [Mes]]=""),"",DATE(A1193,MATCH(B1193,{"enero","febrero","marzo","abril","mayo","junio","julio","agosto","septiembre","octubre","noviembre","diciembre"},0)+1,0))</f>
        <v/>
      </c>
      <c r="E1193" t="str">
        <f>+IFERROR(VLOOKUP(Fact_Impuestos[[#This Row], [Concepto Anterior]],Conceptos_Impuestos[#All],5,0),"")</f>
        <v/>
      </c>
      <c r="F1193" t="str">
        <f>+IFERROR(VLOOKUP(Fact_Impuestos[[#This Row], 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ht="18.75" customHeight="1" x14ac:dyDescent="0.35">
      <c r="C1194" s="100" t="str">
        <f>IF(OR(Fact_Impuestos[[#This Row], [Año]]="",Fact_Impuestos[[#This Row], [Mes]]=""),"",DATE(A1194,MATCH(B1194,{"enero","febrero","marzo","abril","mayo","junio","julio","agosto","septiembre","octubre","noviembre","diciembre"},0)+1,0))</f>
        <v/>
      </c>
      <c r="E1194" t="str">
        <f>+IFERROR(VLOOKUP(Fact_Impuestos[[#This Row], [Concepto Anterior]],Conceptos_Impuestos[#All],5,0),"")</f>
        <v/>
      </c>
      <c r="F1194" t="str">
        <f>+IFERROR(VLOOKUP(Fact_Impuestos[[#This Row], 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ht="18.75" customHeight="1" x14ac:dyDescent="0.35">
      <c r="C1195" s="100" t="str">
        <f>IF(OR(Fact_Impuestos[[#This Row], [Año]]="",Fact_Impuestos[[#This Row], [Mes]]=""),"",DATE(A1195,MATCH(B1195,{"enero","febrero","marzo","abril","mayo","junio","julio","agosto","septiembre","octubre","noviembre","diciembre"},0)+1,0))</f>
        <v/>
      </c>
      <c r="E1195" t="str">
        <f>+IFERROR(VLOOKUP(Fact_Impuestos[[#This Row], [Concepto Anterior]],Conceptos_Impuestos[#All],5,0),"")</f>
        <v/>
      </c>
      <c r="F1195" t="str">
        <f>+IFERROR(VLOOKUP(Fact_Impuestos[[#This Row], 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ht="18.75" customHeight="1" x14ac:dyDescent="0.35">
      <c r="C1196" s="100" t="str">
        <f>IF(OR(Fact_Impuestos[[#This Row], [Año]]="",Fact_Impuestos[[#This Row], [Mes]]=""),"",DATE(A1196,MATCH(B1196,{"enero","febrero","marzo","abril","mayo","junio","julio","agosto","septiembre","octubre","noviembre","diciembre"},0)+1,0))</f>
        <v/>
      </c>
      <c r="E1196" t="str">
        <f>+IFERROR(VLOOKUP(Fact_Impuestos[[#This Row], [Concepto Anterior]],Conceptos_Impuestos[#All],5,0),"")</f>
        <v/>
      </c>
      <c r="F1196" t="str">
        <f>+IFERROR(VLOOKUP(Fact_Impuestos[[#This Row], 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ht="18.75" customHeight="1" x14ac:dyDescent="0.35">
      <c r="C1197" s="100" t="str">
        <f>IF(OR(Fact_Impuestos[[#This Row], [Año]]="",Fact_Impuestos[[#This Row], [Mes]]=""),"",DATE(A1197,MATCH(B1197,{"enero","febrero","marzo","abril","mayo","junio","julio","agosto","septiembre","octubre","noviembre","diciembre"},0)+1,0))</f>
        <v/>
      </c>
      <c r="E1197" t="str">
        <f>+IFERROR(VLOOKUP(Fact_Impuestos[[#This Row], [Concepto Anterior]],Conceptos_Impuestos[#All],5,0),"")</f>
        <v/>
      </c>
      <c r="F1197" t="str">
        <f>+IFERROR(VLOOKUP(Fact_Impuestos[[#This Row], 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ht="18.75" customHeight="1" x14ac:dyDescent="0.35">
      <c r="C1198" s="100" t="str">
        <f>IF(OR(Fact_Impuestos[[#This Row], [Año]]="",Fact_Impuestos[[#This Row], [Mes]]=""),"",DATE(A1198,MATCH(B1198,{"enero","febrero","marzo","abril","mayo","junio","julio","agosto","septiembre","octubre","noviembre","diciembre"},0)+1,0))</f>
        <v/>
      </c>
      <c r="E1198" t="str">
        <f>+IFERROR(VLOOKUP(Fact_Impuestos[[#This Row], [Concepto Anterior]],Conceptos_Impuestos[#All],5,0),"")</f>
        <v/>
      </c>
      <c r="F1198" t="str">
        <f>+IFERROR(VLOOKUP(Fact_Impuestos[[#This Row], 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ht="18.75" customHeight="1" x14ac:dyDescent="0.35">
      <c r="C1199" s="100" t="str">
        <f>IF(OR(Fact_Impuestos[[#This Row], [Año]]="",Fact_Impuestos[[#This Row], [Mes]]=""),"",DATE(A1199,MATCH(B1199,{"enero","febrero","marzo","abril","mayo","junio","julio","agosto","septiembre","octubre","noviembre","diciembre"},0)+1,0))</f>
        <v/>
      </c>
      <c r="E1199" t="str">
        <f>+IFERROR(VLOOKUP(Fact_Impuestos[[#This Row], [Concepto Anterior]],Conceptos_Impuestos[#All],5,0),"")</f>
        <v/>
      </c>
      <c r="F1199" t="str">
        <f>+IFERROR(VLOOKUP(Fact_Impuestos[[#This Row], 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ht="18.75" customHeight="1" x14ac:dyDescent="0.35">
      <c r="C1200" s="100" t="str">
        <f>IF(OR(Fact_Impuestos[[#This Row], [Año]]="",Fact_Impuestos[[#This Row], [Mes]]=""),"",DATE(A1200,MATCH(B1200,{"enero","febrero","marzo","abril","mayo","junio","julio","agosto","septiembre","octubre","noviembre","diciembre"},0)+1,0))</f>
        <v/>
      </c>
      <c r="E1200" t="str">
        <f>+IFERROR(VLOOKUP(Fact_Impuestos[[#This Row], [Concepto Anterior]],Conceptos_Impuestos[#All],5,0),"")</f>
        <v/>
      </c>
      <c r="F1200" t="str">
        <f>+IFERROR(VLOOKUP(Fact_Impuestos[[#This Row], 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ht="18.75" customHeight="1" x14ac:dyDescent="0.35">
      <c r="C1201" s="100" t="str">
        <f>IF(OR(Fact_Impuestos[[#This Row], [Año]]="",Fact_Impuestos[[#This Row], [Mes]]=""),"",DATE(A1201,MATCH(B1201,{"enero","febrero","marzo","abril","mayo","junio","julio","agosto","septiembre","octubre","noviembre","diciembre"},0)+1,0))</f>
        <v/>
      </c>
      <c r="E1201" t="str">
        <f>+IFERROR(VLOOKUP(Fact_Impuestos[[#This Row], [Concepto Anterior]],Conceptos_Impuestos[#All],5,0),"")</f>
        <v/>
      </c>
      <c r="F1201" t="str">
        <f>+IFERROR(VLOOKUP(Fact_Impuestos[[#This Row], 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ht="18.75" customHeight="1" x14ac:dyDescent="0.35">
      <c r="C1202" s="100" t="str">
        <f>IF(OR(Fact_Impuestos[[#This Row], [Año]]="",Fact_Impuestos[[#This Row], [Mes]]=""),"",DATE(A1202,MATCH(B1202,{"enero","febrero","marzo","abril","mayo","junio","julio","agosto","septiembre","octubre","noviembre","diciembre"},0)+1,0))</f>
        <v/>
      </c>
      <c r="E1202" t="str">
        <f>+IFERROR(VLOOKUP(Fact_Impuestos[[#This Row], [Concepto Anterior]],Conceptos_Impuestos[#All],5,0),"")</f>
        <v/>
      </c>
      <c r="F1202" t="str">
        <f>+IFERROR(VLOOKUP(Fact_Impuestos[[#This Row], 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ht="18.75" customHeight="1" x14ac:dyDescent="0.35">
      <c r="C1203" s="100" t="str">
        <f>IF(OR(Fact_Impuestos[[#This Row], [Año]]="",Fact_Impuestos[[#This Row], [Mes]]=""),"",DATE(A1203,MATCH(B1203,{"enero","febrero","marzo","abril","mayo","junio","julio","agosto","septiembre","octubre","noviembre","diciembre"},0)+1,0))</f>
        <v/>
      </c>
      <c r="E1203" t="str">
        <f>+IFERROR(VLOOKUP(Fact_Impuestos[[#This Row], [Concepto Anterior]],Conceptos_Impuestos[#All],5,0),"")</f>
        <v/>
      </c>
      <c r="F1203" t="str">
        <f>+IFERROR(VLOOKUP(Fact_Impuestos[[#This Row], 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ht="18.75" customHeight="1" x14ac:dyDescent="0.35">
      <c r="C1204" s="100" t="str">
        <f>IF(OR(Fact_Impuestos[[#This Row], [Año]]="",Fact_Impuestos[[#This Row], [Mes]]=""),"",DATE(A1204,MATCH(B1204,{"enero","febrero","marzo","abril","mayo","junio","julio","agosto","septiembre","octubre","noviembre","diciembre"},0)+1,0))</f>
        <v/>
      </c>
      <c r="E1204" t="str">
        <f>+IFERROR(VLOOKUP(Fact_Impuestos[[#This Row], [Concepto Anterior]],Conceptos_Impuestos[#All],5,0),"")</f>
        <v/>
      </c>
      <c r="F1204" t="str">
        <f>+IFERROR(VLOOKUP(Fact_Impuestos[[#This Row], 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ht="18.75" customHeight="1" x14ac:dyDescent="0.35">
      <c r="C1205" s="100" t="str">
        <f>IF(OR(Fact_Impuestos[[#This Row], [Año]]="",Fact_Impuestos[[#This Row], [Mes]]=""),"",DATE(A1205,MATCH(B1205,{"enero","febrero","marzo","abril","mayo","junio","julio","agosto","septiembre","octubre","noviembre","diciembre"},0)+1,0))</f>
        <v/>
      </c>
      <c r="E1205" t="str">
        <f>+IFERROR(VLOOKUP(Fact_Impuestos[[#This Row], [Concepto Anterior]],Conceptos_Impuestos[#All],5,0),"")</f>
        <v/>
      </c>
      <c r="F1205" t="str">
        <f>+IFERROR(VLOOKUP(Fact_Impuestos[[#This Row], 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ht="18.75" customHeight="1" x14ac:dyDescent="0.35">
      <c r="C1206" s="100" t="str">
        <f>IF(OR(Fact_Impuestos[[#This Row], [Año]]="",Fact_Impuestos[[#This Row], [Mes]]=""),"",DATE(A1206,MATCH(B1206,{"enero","febrero","marzo","abril","mayo","junio","julio","agosto","septiembre","octubre","noviembre","diciembre"},0)+1,0))</f>
        <v/>
      </c>
      <c r="E1206" t="str">
        <f>+IFERROR(VLOOKUP(Fact_Impuestos[[#This Row], [Concepto Anterior]],Conceptos_Impuestos[#All],5,0),"")</f>
        <v/>
      </c>
      <c r="F1206" t="str">
        <f>+IFERROR(VLOOKUP(Fact_Impuestos[[#This Row], 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ht="18.75" customHeight="1" x14ac:dyDescent="0.35">
      <c r="C1207" s="100" t="str">
        <f>IF(OR(Fact_Impuestos[[#This Row], [Año]]="",Fact_Impuestos[[#This Row], [Mes]]=""),"",DATE(A1207,MATCH(B1207,{"enero","febrero","marzo","abril","mayo","junio","julio","agosto","septiembre","octubre","noviembre","diciembre"},0)+1,0))</f>
        <v/>
      </c>
      <c r="E1207" t="str">
        <f>+IFERROR(VLOOKUP(Fact_Impuestos[[#This Row], [Concepto Anterior]],Conceptos_Impuestos[#All],5,0),"")</f>
        <v/>
      </c>
      <c r="F1207" t="str">
        <f>+IFERROR(VLOOKUP(Fact_Impuestos[[#This Row], 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ht="18.75" customHeight="1" x14ac:dyDescent="0.35">
      <c r="C1208" s="100" t="str">
        <f>IF(OR(Fact_Impuestos[[#This Row], [Año]]="",Fact_Impuestos[[#This Row], [Mes]]=""),"",DATE(A1208,MATCH(B1208,{"enero","febrero","marzo","abril","mayo","junio","julio","agosto","septiembre","octubre","noviembre","diciembre"},0)+1,0))</f>
        <v/>
      </c>
      <c r="E1208" t="str">
        <f>+IFERROR(VLOOKUP(Fact_Impuestos[[#This Row], [Concepto Anterior]],Conceptos_Impuestos[#All],5,0),"")</f>
        <v/>
      </c>
      <c r="F1208" t="str">
        <f>+IFERROR(VLOOKUP(Fact_Impuestos[[#This Row], 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ht="18.75" customHeight="1" x14ac:dyDescent="0.35">
      <c r="C1209" s="100" t="str">
        <f>IF(OR(Fact_Impuestos[[#This Row], [Año]]="",Fact_Impuestos[[#This Row], [Mes]]=""),"",DATE(A1209,MATCH(B1209,{"enero","febrero","marzo","abril","mayo","junio","julio","agosto","septiembre","octubre","noviembre","diciembre"},0)+1,0))</f>
        <v/>
      </c>
      <c r="E1209" t="str">
        <f>+IFERROR(VLOOKUP(Fact_Impuestos[[#This Row], [Concepto Anterior]],Conceptos_Impuestos[#All],5,0),"")</f>
        <v/>
      </c>
      <c r="F1209" t="str">
        <f>+IFERROR(VLOOKUP(Fact_Impuestos[[#This Row], 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ht="18.75" customHeight="1" x14ac:dyDescent="0.35">
      <c r="C1210" s="100" t="str">
        <f>IF(OR(Fact_Impuestos[[#This Row], [Año]]="",Fact_Impuestos[[#This Row], [Mes]]=""),"",DATE(A1210,MATCH(B1210,{"enero","febrero","marzo","abril","mayo","junio","julio","agosto","septiembre","octubre","noviembre","diciembre"},0)+1,0))</f>
        <v/>
      </c>
      <c r="E1210" t="str">
        <f>+IFERROR(VLOOKUP(Fact_Impuestos[[#This Row], [Concepto Anterior]],Conceptos_Impuestos[#All],5,0),"")</f>
        <v/>
      </c>
      <c r="F1210" t="str">
        <f>+IFERROR(VLOOKUP(Fact_Impuestos[[#This Row], 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ht="18.75" customHeight="1" x14ac:dyDescent="0.35">
      <c r="C1211" s="100" t="str">
        <f>IF(OR(Fact_Impuestos[[#This Row], [Año]]="",Fact_Impuestos[[#This Row], [Mes]]=""),"",DATE(A1211,MATCH(B1211,{"enero","febrero","marzo","abril","mayo","junio","julio","agosto","septiembre","octubre","noviembre","diciembre"},0)+1,0))</f>
        <v/>
      </c>
      <c r="E1211" t="str">
        <f>+IFERROR(VLOOKUP(Fact_Impuestos[[#This Row], [Concepto Anterior]],Conceptos_Impuestos[#All],5,0),"")</f>
        <v/>
      </c>
      <c r="F1211" t="str">
        <f>+IFERROR(VLOOKUP(Fact_Impuestos[[#This Row], 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ht="18.75" customHeight="1" x14ac:dyDescent="0.35">
      <c r="C1212" s="100" t="str">
        <f>IF(OR(Fact_Impuestos[[#This Row], [Año]]="",Fact_Impuestos[[#This Row], [Mes]]=""),"",DATE(A1212,MATCH(B1212,{"enero","febrero","marzo","abril","mayo","junio","julio","agosto","septiembre","octubre","noviembre","diciembre"},0)+1,0))</f>
        <v/>
      </c>
      <c r="E1212" t="str">
        <f>+IFERROR(VLOOKUP(Fact_Impuestos[[#This Row], [Concepto Anterior]],Conceptos_Impuestos[#All],5,0),"")</f>
        <v/>
      </c>
      <c r="F1212" t="str">
        <f>+IFERROR(VLOOKUP(Fact_Impuestos[[#This Row], 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ht="18.75" customHeight="1" x14ac:dyDescent="0.35">
      <c r="C1213" s="100" t="str">
        <f>IF(OR(Fact_Impuestos[[#This Row], [Año]]="",Fact_Impuestos[[#This Row], [Mes]]=""),"",DATE(A1213,MATCH(B1213,{"enero","febrero","marzo","abril","mayo","junio","julio","agosto","septiembre","octubre","noviembre","diciembre"},0)+1,0))</f>
        <v/>
      </c>
      <c r="E1213" t="str">
        <f>+IFERROR(VLOOKUP(Fact_Impuestos[[#This Row], [Concepto Anterior]],Conceptos_Impuestos[#All],5,0),"")</f>
        <v/>
      </c>
      <c r="F1213" t="str">
        <f>+IFERROR(VLOOKUP(Fact_Impuestos[[#This Row], 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ht="18.75" customHeight="1" x14ac:dyDescent="0.35">
      <c r="C1214" s="100" t="str">
        <f>IF(OR(Fact_Impuestos[[#This Row], [Año]]="",Fact_Impuestos[[#This Row], [Mes]]=""),"",DATE(A1214,MATCH(B1214,{"enero","febrero","marzo","abril","mayo","junio","julio","agosto","septiembre","octubre","noviembre","diciembre"},0)+1,0))</f>
        <v/>
      </c>
      <c r="E1214" t="str">
        <f>+IFERROR(VLOOKUP(Fact_Impuestos[[#This Row], [Concepto Anterior]],Conceptos_Impuestos[#All],5,0),"")</f>
        <v/>
      </c>
      <c r="F1214" t="str">
        <f>+IFERROR(VLOOKUP(Fact_Impuestos[[#This Row], 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ht="18.75" customHeight="1" x14ac:dyDescent="0.35">
      <c r="C1215" s="100" t="str">
        <f>IF(OR(Fact_Impuestos[[#This Row], [Año]]="",Fact_Impuestos[[#This Row], [Mes]]=""),"",DATE(A1215,MATCH(B1215,{"enero","febrero","marzo","abril","mayo","junio","julio","agosto","septiembre","octubre","noviembre","diciembre"},0)+1,0))</f>
        <v/>
      </c>
      <c r="E1215" t="str">
        <f>+IFERROR(VLOOKUP(Fact_Impuestos[[#This Row], [Concepto Anterior]],Conceptos_Impuestos[#All],5,0),"")</f>
        <v/>
      </c>
      <c r="F1215" t="str">
        <f>+IFERROR(VLOOKUP(Fact_Impuestos[[#This Row], 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ht="18.75" customHeight="1" x14ac:dyDescent="0.35">
      <c r="C1216" s="100" t="str">
        <f>IF(OR(Fact_Impuestos[[#This Row], [Año]]="",Fact_Impuestos[[#This Row], [Mes]]=""),"",DATE(A1216,MATCH(B1216,{"enero","febrero","marzo","abril","mayo","junio","julio","agosto","septiembre","octubre","noviembre","diciembre"},0)+1,0))</f>
        <v/>
      </c>
      <c r="E1216" t="str">
        <f>+IFERROR(VLOOKUP(Fact_Impuestos[[#This Row], [Concepto Anterior]],Conceptos_Impuestos[#All],5,0),"")</f>
        <v/>
      </c>
      <c r="F1216" t="str">
        <f>+IFERROR(VLOOKUP(Fact_Impuestos[[#This Row], 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ht="18.75" customHeight="1" x14ac:dyDescent="0.35">
      <c r="C1217" s="100" t="str">
        <f>IF(OR(Fact_Impuestos[[#This Row], [Año]]="",Fact_Impuestos[[#This Row], [Mes]]=""),"",DATE(A1217,MATCH(B1217,{"enero","febrero","marzo","abril","mayo","junio","julio","agosto","septiembre","octubre","noviembre","diciembre"},0)+1,0))</f>
        <v/>
      </c>
      <c r="E1217" t="str">
        <f>+IFERROR(VLOOKUP(Fact_Impuestos[[#This Row], [Concepto Anterior]],Conceptos_Impuestos[#All],5,0),"")</f>
        <v/>
      </c>
      <c r="F1217" t="str">
        <f>+IFERROR(VLOOKUP(Fact_Impuestos[[#This Row], 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ht="18.75" customHeight="1" x14ac:dyDescent="0.35">
      <c r="C1218" s="100" t="str">
        <f>IF(OR(Fact_Impuestos[[#This Row], [Año]]="",Fact_Impuestos[[#This Row], [Mes]]=""),"",DATE(A1218,MATCH(B1218,{"enero","febrero","marzo","abril","mayo","junio","julio","agosto","septiembre","octubre","noviembre","diciembre"},0)+1,0))</f>
        <v/>
      </c>
      <c r="E1218" t="str">
        <f>+IFERROR(VLOOKUP(Fact_Impuestos[[#This Row], [Concepto Anterior]],Conceptos_Impuestos[#All],5,0),"")</f>
        <v/>
      </c>
      <c r="F1218" t="str">
        <f>+IFERROR(VLOOKUP(Fact_Impuestos[[#This Row], 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ht="18.75" customHeight="1" x14ac:dyDescent="0.35">
      <c r="C1219" s="100" t="str">
        <f>IF(OR(Fact_Impuestos[[#This Row], [Año]]="",Fact_Impuestos[[#This Row], [Mes]]=""),"",DATE(A1219,MATCH(B1219,{"enero","febrero","marzo","abril","mayo","junio","julio","agosto","septiembre","octubre","noviembre","diciembre"},0)+1,0))</f>
        <v/>
      </c>
      <c r="E1219" t="str">
        <f>+IFERROR(VLOOKUP(Fact_Impuestos[[#This Row], [Concepto Anterior]],Conceptos_Impuestos[#All],5,0),"")</f>
        <v/>
      </c>
      <c r="F1219" t="str">
        <f>+IFERROR(VLOOKUP(Fact_Impuestos[[#This Row], 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ht="18.75" customHeight="1" x14ac:dyDescent="0.35">
      <c r="C1220" s="100" t="str">
        <f>IF(OR(Fact_Impuestos[[#This Row], [Año]]="",Fact_Impuestos[[#This Row], [Mes]]=""),"",DATE(A1220,MATCH(B1220,{"enero","febrero","marzo","abril","mayo","junio","julio","agosto","septiembre","octubre","noviembre","diciembre"},0)+1,0))</f>
        <v/>
      </c>
      <c r="E1220" t="str">
        <f>+IFERROR(VLOOKUP(Fact_Impuestos[[#This Row], [Concepto Anterior]],Conceptos_Impuestos[#All],5,0),"")</f>
        <v/>
      </c>
      <c r="F1220" t="str">
        <f>+IFERROR(VLOOKUP(Fact_Impuestos[[#This Row], 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ht="18.75" customHeight="1" x14ac:dyDescent="0.35">
      <c r="C1221" s="100" t="str">
        <f>IF(OR(Fact_Impuestos[[#This Row], [Año]]="",Fact_Impuestos[[#This Row], [Mes]]=""),"",DATE(A1221,MATCH(B1221,{"enero","febrero","marzo","abril","mayo","junio","julio","agosto","septiembre","octubre","noviembre","diciembre"},0)+1,0))</f>
        <v/>
      </c>
      <c r="E1221" t="str">
        <f>+IFERROR(VLOOKUP(Fact_Impuestos[[#This Row], [Concepto Anterior]],Conceptos_Impuestos[#All],5,0),"")</f>
        <v/>
      </c>
      <c r="F1221" t="str">
        <f>+IFERROR(VLOOKUP(Fact_Impuestos[[#This Row], 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ht="18.75" customHeight="1" x14ac:dyDescent="0.35">
      <c r="C1222" s="100" t="str">
        <f>IF(OR(Fact_Impuestos[[#This Row], [Año]]="",Fact_Impuestos[[#This Row], [Mes]]=""),"",DATE(A1222,MATCH(B1222,{"enero","febrero","marzo","abril","mayo","junio","julio","agosto","septiembre","octubre","noviembre","diciembre"},0)+1,0))</f>
        <v/>
      </c>
      <c r="E1222" t="str">
        <f>+IFERROR(VLOOKUP(Fact_Impuestos[[#This Row], [Concepto Anterior]],Conceptos_Impuestos[#All],5,0),"")</f>
        <v/>
      </c>
      <c r="F1222" t="str">
        <f>+IFERROR(VLOOKUP(Fact_Impuestos[[#This Row], 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ht="18.75" customHeight="1" x14ac:dyDescent="0.35">
      <c r="C1223" s="100" t="str">
        <f>IF(OR(Fact_Impuestos[[#This Row], [Año]]="",Fact_Impuestos[[#This Row], [Mes]]=""),"",DATE(A1223,MATCH(B1223,{"enero","febrero","marzo","abril","mayo","junio","julio","agosto","septiembre","octubre","noviembre","diciembre"},0)+1,0))</f>
        <v/>
      </c>
      <c r="E1223" t="str">
        <f>+IFERROR(VLOOKUP(Fact_Impuestos[[#This Row], [Concepto Anterior]],Conceptos_Impuestos[#All],5,0),"")</f>
        <v/>
      </c>
      <c r="F1223" t="str">
        <f>+IFERROR(VLOOKUP(Fact_Impuestos[[#This Row], 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ht="18.75" customHeight="1" x14ac:dyDescent="0.35">
      <c r="C1224" s="100" t="str">
        <f>IF(OR(Fact_Impuestos[[#This Row], [Año]]="",Fact_Impuestos[[#This Row], [Mes]]=""),"",DATE(A1224,MATCH(B1224,{"enero","febrero","marzo","abril","mayo","junio","julio","agosto","septiembre","octubre","noviembre","diciembre"},0)+1,0))</f>
        <v/>
      </c>
      <c r="E1224" t="str">
        <f>+IFERROR(VLOOKUP(Fact_Impuestos[[#This Row], [Concepto Anterior]],Conceptos_Impuestos[#All],5,0),"")</f>
        <v/>
      </c>
      <c r="F1224" t="str">
        <f>+IFERROR(VLOOKUP(Fact_Impuestos[[#This Row], 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ht="18.75" customHeight="1" x14ac:dyDescent="0.35">
      <c r="C1225" s="100" t="str">
        <f>IF(OR(Fact_Impuestos[[#This Row], [Año]]="",Fact_Impuestos[[#This Row], [Mes]]=""),"",DATE(A1225,MATCH(B1225,{"enero","febrero","marzo","abril","mayo","junio","julio","agosto","septiembre","octubre","noviembre","diciembre"},0)+1,0))</f>
        <v/>
      </c>
      <c r="E1225" t="str">
        <f>+IFERROR(VLOOKUP(Fact_Impuestos[[#This Row], [Concepto Anterior]],Conceptos_Impuestos[#All],5,0),"")</f>
        <v/>
      </c>
      <c r="F1225" t="str">
        <f>+IFERROR(VLOOKUP(Fact_Impuestos[[#This Row], 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ht="18.75" customHeight="1" x14ac:dyDescent="0.35">
      <c r="C1226" s="100" t="str">
        <f>IF(OR(Fact_Impuestos[[#This Row], [Año]]="",Fact_Impuestos[[#This Row], [Mes]]=""),"",DATE(A1226,MATCH(B1226,{"enero","febrero","marzo","abril","mayo","junio","julio","agosto","septiembre","octubre","noviembre","diciembre"},0)+1,0))</f>
        <v/>
      </c>
      <c r="E1226" t="str">
        <f>+IFERROR(VLOOKUP(Fact_Impuestos[[#This Row], [Concepto Anterior]],Conceptos_Impuestos[#All],5,0),"")</f>
        <v/>
      </c>
      <c r="F1226" t="str">
        <f>+IFERROR(VLOOKUP(Fact_Impuestos[[#This Row], 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ht="18.75" customHeight="1" x14ac:dyDescent="0.35">
      <c r="C1227" s="100" t="str">
        <f>IF(OR(Fact_Impuestos[[#This Row], [Año]]="",Fact_Impuestos[[#This Row], [Mes]]=""),"",DATE(A1227,MATCH(B1227,{"enero","febrero","marzo","abril","mayo","junio","julio","agosto","septiembre","octubre","noviembre","diciembre"},0)+1,0))</f>
        <v/>
      </c>
      <c r="E1227" t="str">
        <f>+IFERROR(VLOOKUP(Fact_Impuestos[[#This Row], [Concepto Anterior]],Conceptos_Impuestos[#All],5,0),"")</f>
        <v/>
      </c>
      <c r="F1227" t="str">
        <f>+IFERROR(VLOOKUP(Fact_Impuestos[[#This Row], 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ht="18.75" customHeight="1" x14ac:dyDescent="0.35">
      <c r="C1228" s="100" t="str">
        <f>IF(OR(Fact_Impuestos[[#This Row], [Año]]="",Fact_Impuestos[[#This Row], [Mes]]=""),"",DATE(A1228,MATCH(B1228,{"enero","febrero","marzo","abril","mayo","junio","julio","agosto","septiembre","octubre","noviembre","diciembre"},0)+1,0))</f>
        <v/>
      </c>
      <c r="E1228" t="str">
        <f>+IFERROR(VLOOKUP(Fact_Impuestos[[#This Row], [Concepto Anterior]],Conceptos_Impuestos[#All],5,0),"")</f>
        <v/>
      </c>
      <c r="F1228" t="str">
        <f>+IFERROR(VLOOKUP(Fact_Impuestos[[#This Row], 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ht="18.75" customHeight="1" x14ac:dyDescent="0.35">
      <c r="C1229" s="100" t="str">
        <f>IF(OR(Fact_Impuestos[[#This Row], [Año]]="",Fact_Impuestos[[#This Row], [Mes]]=""),"",DATE(A1229,MATCH(B1229,{"enero","febrero","marzo","abril","mayo","junio","julio","agosto","septiembre","octubre","noviembre","diciembre"},0)+1,0))</f>
        <v/>
      </c>
      <c r="E1229" t="str">
        <f>+IFERROR(VLOOKUP(Fact_Impuestos[[#This Row], [Concepto Anterior]],Conceptos_Impuestos[#All],5,0),"")</f>
        <v/>
      </c>
      <c r="F1229" t="str">
        <f>+IFERROR(VLOOKUP(Fact_Impuestos[[#This Row], 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ht="18.75" customHeight="1" x14ac:dyDescent="0.35">
      <c r="C1230" s="100" t="str">
        <f>IF(OR(Fact_Impuestos[[#This Row], [Año]]="",Fact_Impuestos[[#This Row], [Mes]]=""),"",DATE(A1230,MATCH(B1230,{"enero","febrero","marzo","abril","mayo","junio","julio","agosto","septiembre","octubre","noviembre","diciembre"},0)+1,0))</f>
        <v/>
      </c>
      <c r="E1230" t="str">
        <f>+IFERROR(VLOOKUP(Fact_Impuestos[[#This Row], [Concepto Anterior]],Conceptos_Impuestos[#All],5,0),"")</f>
        <v/>
      </c>
      <c r="F1230" t="str">
        <f>+IFERROR(VLOOKUP(Fact_Impuestos[[#This Row], 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ht="18.75" customHeight="1" x14ac:dyDescent="0.35">
      <c r="C1231" s="100" t="str">
        <f>IF(OR(Fact_Impuestos[[#This Row], [Año]]="",Fact_Impuestos[[#This Row], [Mes]]=""),"",DATE(A1231,MATCH(B1231,{"enero","febrero","marzo","abril","mayo","junio","julio","agosto","septiembre","octubre","noviembre","diciembre"},0)+1,0))</f>
        <v/>
      </c>
      <c r="E1231" t="str">
        <f>+IFERROR(VLOOKUP(Fact_Impuestos[[#This Row], [Concepto Anterior]],Conceptos_Impuestos[#All],5,0),"")</f>
        <v/>
      </c>
      <c r="F1231" t="str">
        <f>+IFERROR(VLOOKUP(Fact_Impuestos[[#This Row], 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ht="18.75" customHeight="1" x14ac:dyDescent="0.35">
      <c r="C1232" s="100" t="str">
        <f>IF(OR(Fact_Impuestos[[#This Row], [Año]]="",Fact_Impuestos[[#This Row], [Mes]]=""),"",DATE(A1232,MATCH(B1232,{"enero","febrero","marzo","abril","mayo","junio","julio","agosto","septiembre","octubre","noviembre","diciembre"},0)+1,0))</f>
        <v/>
      </c>
      <c r="E1232" t="str">
        <f>+IFERROR(VLOOKUP(Fact_Impuestos[[#This Row], [Concepto Anterior]],Conceptos_Impuestos[#All],5,0),"")</f>
        <v/>
      </c>
      <c r="F1232" t="str">
        <f>+IFERROR(VLOOKUP(Fact_Impuestos[[#This Row], 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ht="18.75" customHeight="1" x14ac:dyDescent="0.35">
      <c r="C1233" s="100" t="str">
        <f>IF(OR(Fact_Impuestos[[#This Row], [Año]]="",Fact_Impuestos[[#This Row], [Mes]]=""),"",DATE(A1233,MATCH(B1233,{"enero","febrero","marzo","abril","mayo","junio","julio","agosto","septiembre","octubre","noviembre","diciembre"},0)+1,0))</f>
        <v/>
      </c>
      <c r="E1233" t="str">
        <f>+IFERROR(VLOOKUP(Fact_Impuestos[[#This Row], [Concepto Anterior]],Conceptos_Impuestos[#All],5,0),"")</f>
        <v/>
      </c>
      <c r="F1233" t="str">
        <f>+IFERROR(VLOOKUP(Fact_Impuestos[[#This Row], 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ht="18.75" customHeight="1" x14ac:dyDescent="0.35">
      <c r="C1234" s="100" t="str">
        <f>IF(OR(Fact_Impuestos[[#This Row], [Año]]="",Fact_Impuestos[[#This Row], [Mes]]=""),"",DATE(A1234,MATCH(B1234,{"enero","febrero","marzo","abril","mayo","junio","julio","agosto","septiembre","octubre","noviembre","diciembre"},0)+1,0))</f>
        <v/>
      </c>
      <c r="E1234" t="str">
        <f>+IFERROR(VLOOKUP(Fact_Impuestos[[#This Row], [Concepto Anterior]],Conceptos_Impuestos[#All],5,0),"")</f>
        <v/>
      </c>
      <c r="F1234" t="str">
        <f>+IFERROR(VLOOKUP(Fact_Impuestos[[#This Row], 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ht="18.75" customHeight="1" x14ac:dyDescent="0.35">
      <c r="C1235" s="100" t="str">
        <f>IF(OR(Fact_Impuestos[[#This Row], [Año]]="",Fact_Impuestos[[#This Row], [Mes]]=""),"",DATE(A1235,MATCH(B1235,{"enero","febrero","marzo","abril","mayo","junio","julio","agosto","septiembre","octubre","noviembre","diciembre"},0)+1,0))</f>
        <v/>
      </c>
      <c r="E1235" t="str">
        <f>+IFERROR(VLOOKUP(Fact_Impuestos[[#This Row], [Concepto Anterior]],Conceptos_Impuestos[#All],5,0),"")</f>
        <v/>
      </c>
      <c r="F1235" t="str">
        <f>+IFERROR(VLOOKUP(Fact_Impuestos[[#This Row], 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ht="18.75" customHeight="1" x14ac:dyDescent="0.35">
      <c r="C1236" s="100" t="str">
        <f>IF(OR(Fact_Impuestos[[#This Row], [Año]]="",Fact_Impuestos[[#This Row], [Mes]]=""),"",DATE(A1236,MATCH(B1236,{"enero","febrero","marzo","abril","mayo","junio","julio","agosto","septiembre","octubre","noviembre","diciembre"},0)+1,0))</f>
        <v/>
      </c>
      <c r="E1236" t="str">
        <f>+IFERROR(VLOOKUP(Fact_Impuestos[[#This Row], [Concepto Anterior]],Conceptos_Impuestos[#All],5,0),"")</f>
        <v/>
      </c>
      <c r="F1236" t="str">
        <f>+IFERROR(VLOOKUP(Fact_Impuestos[[#This Row], 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ht="18.75" customHeight="1" x14ac:dyDescent="0.35">
      <c r="C1237" s="100" t="str">
        <f>IF(OR(Fact_Impuestos[[#This Row], [Año]]="",Fact_Impuestos[[#This Row], [Mes]]=""),"",DATE(A1237,MATCH(B1237,{"enero","febrero","marzo","abril","mayo","junio","julio","agosto","septiembre","octubre","noviembre","diciembre"},0)+1,0))</f>
        <v/>
      </c>
      <c r="E1237" t="str">
        <f>+IFERROR(VLOOKUP(Fact_Impuestos[[#This Row], [Concepto Anterior]],Conceptos_Impuestos[#All],5,0),"")</f>
        <v/>
      </c>
      <c r="F1237" t="str">
        <f>+IFERROR(VLOOKUP(Fact_Impuestos[[#This Row], 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ht="18.75" customHeight="1" x14ac:dyDescent="0.35">
      <c r="C1238" s="100" t="str">
        <f>IF(OR(Fact_Impuestos[[#This Row], [Año]]="",Fact_Impuestos[[#This Row], [Mes]]=""),"",DATE(A1238,MATCH(B1238,{"enero","febrero","marzo","abril","mayo","junio","julio","agosto","septiembre","octubre","noviembre","diciembre"},0)+1,0))</f>
        <v/>
      </c>
      <c r="E1238" t="str">
        <f>+IFERROR(VLOOKUP(Fact_Impuestos[[#This Row], [Concepto Anterior]],Conceptos_Impuestos[#All],5,0),"")</f>
        <v/>
      </c>
      <c r="F1238" t="str">
        <f>+IFERROR(VLOOKUP(Fact_Impuestos[[#This Row], 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ht="18.75" customHeight="1" x14ac:dyDescent="0.35">
      <c r="C1239" s="100" t="str">
        <f>IF(OR(Fact_Impuestos[[#This Row], [Año]]="",Fact_Impuestos[[#This Row], [Mes]]=""),"",DATE(A1239,MATCH(B1239,{"enero","febrero","marzo","abril","mayo","junio","julio","agosto","septiembre","octubre","noviembre","diciembre"},0)+1,0))</f>
        <v/>
      </c>
      <c r="E1239" t="str">
        <f>+IFERROR(VLOOKUP(Fact_Impuestos[[#This Row], [Concepto Anterior]],Conceptos_Impuestos[#All],5,0),"")</f>
        <v/>
      </c>
      <c r="F1239" t="str">
        <f>+IFERROR(VLOOKUP(Fact_Impuestos[[#This Row], 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ht="18.75" customHeight="1" x14ac:dyDescent="0.35">
      <c r="C1240" s="100" t="str">
        <f>IF(OR(Fact_Impuestos[[#This Row], [Año]]="",Fact_Impuestos[[#This Row], [Mes]]=""),"",DATE(A1240,MATCH(B1240,{"enero","febrero","marzo","abril","mayo","junio","julio","agosto","septiembre","octubre","noviembre","diciembre"},0)+1,0))</f>
        <v/>
      </c>
      <c r="E1240" t="str">
        <f>+IFERROR(VLOOKUP(Fact_Impuestos[[#This Row], [Concepto Anterior]],Conceptos_Impuestos[#All],5,0),"")</f>
        <v/>
      </c>
      <c r="F1240" t="str">
        <f>+IFERROR(VLOOKUP(Fact_Impuestos[[#This Row], 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ht="18.75" customHeight="1" x14ac:dyDescent="0.35">
      <c r="C1241" s="100" t="str">
        <f>IF(OR(Fact_Impuestos[[#This Row], [Año]]="",Fact_Impuestos[[#This Row], [Mes]]=""),"",DATE(A1241,MATCH(B1241,{"enero","febrero","marzo","abril","mayo","junio","julio","agosto","septiembre","octubre","noviembre","diciembre"},0)+1,0))</f>
        <v/>
      </c>
      <c r="E1241" t="str">
        <f>+IFERROR(VLOOKUP(Fact_Impuestos[[#This Row], [Concepto Anterior]],Conceptos_Impuestos[#All],5,0),"")</f>
        <v/>
      </c>
      <c r="F1241" t="str">
        <f>+IFERROR(VLOOKUP(Fact_Impuestos[[#This Row], 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ht="18.75" customHeight="1" x14ac:dyDescent="0.35">
      <c r="C1242" s="100" t="str">
        <f>IF(OR(Fact_Impuestos[[#This Row], [Año]]="",Fact_Impuestos[[#This Row], [Mes]]=""),"",DATE(A1242,MATCH(B1242,{"enero","febrero","marzo","abril","mayo","junio","julio","agosto","septiembre","octubre","noviembre","diciembre"},0)+1,0))</f>
        <v/>
      </c>
      <c r="E1242" t="str">
        <f>+IFERROR(VLOOKUP(Fact_Impuestos[[#This Row], [Concepto Anterior]],Conceptos_Impuestos[#All],5,0),"")</f>
        <v/>
      </c>
      <c r="F1242" t="str">
        <f>+IFERROR(VLOOKUP(Fact_Impuestos[[#This Row], 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ht="18.75" customHeight="1" x14ac:dyDescent="0.35">
      <c r="C1243" s="100" t="str">
        <f>IF(OR(Fact_Impuestos[[#This Row], [Año]]="",Fact_Impuestos[[#This Row], [Mes]]=""),"",DATE(A1243,MATCH(B1243,{"enero","febrero","marzo","abril","mayo","junio","julio","agosto","septiembre","octubre","noviembre","diciembre"},0)+1,0))</f>
        <v/>
      </c>
      <c r="E1243" t="str">
        <f>+IFERROR(VLOOKUP(Fact_Impuestos[[#This Row], [Concepto Anterior]],Conceptos_Impuestos[#All],5,0),"")</f>
        <v/>
      </c>
      <c r="F1243" t="str">
        <f>+IFERROR(VLOOKUP(Fact_Impuestos[[#This Row], 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ht="18.75" customHeight="1" x14ac:dyDescent="0.35">
      <c r="C1244" s="100" t="str">
        <f>IF(OR(Fact_Impuestos[[#This Row], [Año]]="",Fact_Impuestos[[#This Row], [Mes]]=""),"",DATE(A1244,MATCH(B1244,{"enero","febrero","marzo","abril","mayo","junio","julio","agosto","septiembre","octubre","noviembre","diciembre"},0)+1,0))</f>
        <v/>
      </c>
      <c r="E1244" t="str">
        <f>+IFERROR(VLOOKUP(Fact_Impuestos[[#This Row], [Concepto Anterior]],Conceptos_Impuestos[#All],5,0),"")</f>
        <v/>
      </c>
      <c r="F1244" t="str">
        <f>+IFERROR(VLOOKUP(Fact_Impuestos[[#This Row], 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ht="18.75" customHeight="1" x14ac:dyDescent="0.35">
      <c r="C1245" s="100" t="str">
        <f>IF(OR(Fact_Impuestos[[#This Row], [Año]]="",Fact_Impuestos[[#This Row], [Mes]]=""),"",DATE(A1245,MATCH(B1245,{"enero","febrero","marzo","abril","mayo","junio","julio","agosto","septiembre","octubre","noviembre","diciembre"},0)+1,0))</f>
        <v/>
      </c>
      <c r="E1245" t="str">
        <f>+IFERROR(VLOOKUP(Fact_Impuestos[[#This Row], [Concepto Anterior]],Conceptos_Impuestos[#All],5,0),"")</f>
        <v/>
      </c>
      <c r="F1245" t="str">
        <f>+IFERROR(VLOOKUP(Fact_Impuestos[[#This Row], 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ht="18.75" customHeight="1" x14ac:dyDescent="0.35">
      <c r="C1246" s="100" t="str">
        <f>IF(OR(Fact_Impuestos[[#This Row], [Año]]="",Fact_Impuestos[[#This Row], [Mes]]=""),"",DATE(A1246,MATCH(B1246,{"enero","febrero","marzo","abril","mayo","junio","julio","agosto","septiembre","octubre","noviembre","diciembre"},0)+1,0))</f>
        <v/>
      </c>
      <c r="E1246" t="str">
        <f>+IFERROR(VLOOKUP(Fact_Impuestos[[#This Row], [Concepto Anterior]],Conceptos_Impuestos[#All],5,0),"")</f>
        <v/>
      </c>
      <c r="F1246" t="str">
        <f>+IFERROR(VLOOKUP(Fact_Impuestos[[#This Row], 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ht="18.75" customHeight="1" x14ac:dyDescent="0.35">
      <c r="C1247" s="100" t="str">
        <f>IF(OR(Fact_Impuestos[[#This Row], [Año]]="",Fact_Impuestos[[#This Row], [Mes]]=""),"",DATE(A1247,MATCH(B1247,{"enero","febrero","marzo","abril","mayo","junio","julio","agosto","septiembre","octubre","noviembre","diciembre"},0)+1,0))</f>
        <v/>
      </c>
      <c r="E1247" t="str">
        <f>+IFERROR(VLOOKUP(Fact_Impuestos[[#This Row], [Concepto Anterior]],Conceptos_Impuestos[#All],5,0),"")</f>
        <v/>
      </c>
      <c r="F1247" t="str">
        <f>+IFERROR(VLOOKUP(Fact_Impuestos[[#This Row], 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ht="18.75" customHeight="1" x14ac:dyDescent="0.35">
      <c r="C1248" s="100" t="str">
        <f>IF(OR(Fact_Impuestos[[#This Row], [Año]]="",Fact_Impuestos[[#This Row], [Mes]]=""),"",DATE(A1248,MATCH(B1248,{"enero","febrero","marzo","abril","mayo","junio","julio","agosto","septiembre","octubre","noviembre","diciembre"},0)+1,0))</f>
        <v/>
      </c>
      <c r="E1248" t="str">
        <f>+IFERROR(VLOOKUP(Fact_Impuestos[[#This Row], [Concepto Anterior]],Conceptos_Impuestos[#All],5,0),"")</f>
        <v/>
      </c>
      <c r="F1248" t="str">
        <f>+IFERROR(VLOOKUP(Fact_Impuestos[[#This Row], 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ht="18.75" customHeight="1" x14ac:dyDescent="0.35">
      <c r="C1249" s="100" t="str">
        <f>IF(OR(Fact_Impuestos[[#This Row], [Año]]="",Fact_Impuestos[[#This Row], [Mes]]=""),"",DATE(A1249,MATCH(B1249,{"enero","febrero","marzo","abril","mayo","junio","julio","agosto","septiembre","octubre","noviembre","diciembre"},0)+1,0))</f>
        <v/>
      </c>
      <c r="E1249" t="str">
        <f>+IFERROR(VLOOKUP(Fact_Impuestos[[#This Row], [Concepto Anterior]],Conceptos_Impuestos[#All],5,0),"")</f>
        <v/>
      </c>
      <c r="F1249" t="str">
        <f>+IFERROR(VLOOKUP(Fact_Impuestos[[#This Row], 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ht="18.75" customHeight="1" x14ac:dyDescent="0.35">
      <c r="C1250" s="100" t="str">
        <f>IF(OR(Fact_Impuestos[[#This Row], [Año]]="",Fact_Impuestos[[#This Row], [Mes]]=""),"",DATE(A1250,MATCH(B1250,{"enero","febrero","marzo","abril","mayo","junio","julio","agosto","septiembre","octubre","noviembre","diciembre"},0)+1,0))</f>
        <v/>
      </c>
      <c r="E1250" t="str">
        <f>+IFERROR(VLOOKUP(Fact_Impuestos[[#This Row], [Concepto Anterior]],Conceptos_Impuestos[#All],5,0),"")</f>
        <v/>
      </c>
      <c r="F1250" t="str">
        <f>+IFERROR(VLOOKUP(Fact_Impuestos[[#This Row], 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ht="18.75" customHeight="1" x14ac:dyDescent="0.35">
      <c r="C1251" s="100" t="str">
        <f>IF(OR(Fact_Impuestos[[#This Row], [Año]]="",Fact_Impuestos[[#This Row], [Mes]]=""),"",DATE(A1251,MATCH(B1251,{"enero","febrero","marzo","abril","mayo","junio","julio","agosto","septiembre","octubre","noviembre","diciembre"},0)+1,0))</f>
        <v/>
      </c>
      <c r="E1251" t="str">
        <f>+IFERROR(VLOOKUP(Fact_Impuestos[[#This Row], [Concepto Anterior]],Conceptos_Impuestos[#All],5,0),"")</f>
        <v/>
      </c>
      <c r="F1251" t="str">
        <f>+IFERROR(VLOOKUP(Fact_Impuestos[[#This Row], 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ht="18.75" customHeight="1" x14ac:dyDescent="0.35">
      <c r="C1252" s="100" t="str">
        <f>IF(OR(Fact_Impuestos[[#This Row], [Año]]="",Fact_Impuestos[[#This Row], [Mes]]=""),"",DATE(A1252,MATCH(B1252,{"enero","febrero","marzo","abril","mayo","junio","julio","agosto","septiembre","octubre","noviembre","diciembre"},0)+1,0))</f>
        <v/>
      </c>
      <c r="E1252" t="str">
        <f>+IFERROR(VLOOKUP(Fact_Impuestos[[#This Row], [Concepto Anterior]],Conceptos_Impuestos[#All],5,0),"")</f>
        <v/>
      </c>
      <c r="F1252" t="str">
        <f>+IFERROR(VLOOKUP(Fact_Impuestos[[#This Row], 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ht="18.75" customHeight="1" x14ac:dyDescent="0.35">
      <c r="C1253" s="100" t="str">
        <f>IF(OR(Fact_Impuestos[[#This Row], [Año]]="",Fact_Impuestos[[#This Row], [Mes]]=""),"",DATE(A1253,MATCH(B1253,{"enero","febrero","marzo","abril","mayo","junio","julio","agosto","septiembre","octubre","noviembre","diciembre"},0)+1,0))</f>
        <v/>
      </c>
      <c r="E1253" t="str">
        <f>+IFERROR(VLOOKUP(Fact_Impuestos[[#This Row], [Concepto Anterior]],Conceptos_Impuestos[#All],5,0),"")</f>
        <v/>
      </c>
      <c r="F1253" t="str">
        <f>+IFERROR(VLOOKUP(Fact_Impuestos[[#This Row], 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ht="18.75" customHeight="1" x14ac:dyDescent="0.35">
      <c r="C1254" s="100" t="str">
        <f>IF(OR(Fact_Impuestos[[#This Row], [Año]]="",Fact_Impuestos[[#This Row], [Mes]]=""),"",DATE(A1254,MATCH(B1254,{"enero","febrero","marzo","abril","mayo","junio","julio","agosto","septiembre","octubre","noviembre","diciembre"},0)+1,0))</f>
        <v/>
      </c>
      <c r="E1254" t="str">
        <f>+IFERROR(VLOOKUP(Fact_Impuestos[[#This Row], [Concepto Anterior]],Conceptos_Impuestos[#All],5,0),"")</f>
        <v/>
      </c>
      <c r="F1254" t="str">
        <f>+IFERROR(VLOOKUP(Fact_Impuestos[[#This Row], 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ht="18.75" customHeight="1" x14ac:dyDescent="0.35">
      <c r="C1255" s="100" t="str">
        <f>IF(OR(Fact_Impuestos[[#This Row], [Año]]="",Fact_Impuestos[[#This Row], [Mes]]=""),"",DATE(A1255,MATCH(B1255,{"enero","febrero","marzo","abril","mayo","junio","julio","agosto","septiembre","octubre","noviembre","diciembre"},0)+1,0))</f>
        <v/>
      </c>
      <c r="E1255" t="str">
        <f>+IFERROR(VLOOKUP(Fact_Impuestos[[#This Row], [Concepto Anterior]],Conceptos_Impuestos[#All],5,0),"")</f>
        <v/>
      </c>
      <c r="F1255" t="str">
        <f>+IFERROR(VLOOKUP(Fact_Impuestos[[#This Row], 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ht="18.75" customHeight="1" x14ac:dyDescent="0.35">
      <c r="C1256" s="100" t="str">
        <f>IF(OR(Fact_Impuestos[[#This Row], [Año]]="",Fact_Impuestos[[#This Row], [Mes]]=""),"",DATE(A1256,MATCH(B1256,{"enero","febrero","marzo","abril","mayo","junio","julio","agosto","septiembre","octubre","noviembre","diciembre"},0)+1,0))</f>
        <v/>
      </c>
      <c r="E1256" t="str">
        <f>+IFERROR(VLOOKUP(Fact_Impuestos[[#This Row], [Concepto Anterior]],Conceptos_Impuestos[#All],5,0),"")</f>
        <v/>
      </c>
      <c r="F1256" t="str">
        <f>+IFERROR(VLOOKUP(Fact_Impuestos[[#This Row], 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ht="18.75" customHeight="1" x14ac:dyDescent="0.35">
      <c r="C1257" s="100" t="str">
        <f>IF(OR(Fact_Impuestos[[#This Row], [Año]]="",Fact_Impuestos[[#This Row], [Mes]]=""),"",DATE(A1257,MATCH(B1257,{"enero","febrero","marzo","abril","mayo","junio","julio","agosto","septiembre","octubre","noviembre","diciembre"},0)+1,0))</f>
        <v/>
      </c>
      <c r="E1257" t="str">
        <f>+IFERROR(VLOOKUP(Fact_Impuestos[[#This Row], [Concepto Anterior]],Conceptos_Impuestos[#All],5,0),"")</f>
        <v/>
      </c>
      <c r="F1257" t="str">
        <f>+IFERROR(VLOOKUP(Fact_Impuestos[[#This Row], 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ht="18.75" customHeight="1" x14ac:dyDescent="0.35">
      <c r="C1258" s="100" t="str">
        <f>IF(OR(Fact_Impuestos[[#This Row], [Año]]="",Fact_Impuestos[[#This Row], [Mes]]=""),"",DATE(A1258,MATCH(B1258,{"enero","febrero","marzo","abril","mayo","junio","julio","agosto","septiembre","octubre","noviembre","diciembre"},0)+1,0))</f>
        <v/>
      </c>
      <c r="E1258" t="str">
        <f>+IFERROR(VLOOKUP(Fact_Impuestos[[#This Row], [Concepto Anterior]],Conceptos_Impuestos[#All],5,0),"")</f>
        <v/>
      </c>
      <c r="F1258" t="str">
        <f>+IFERROR(VLOOKUP(Fact_Impuestos[[#This Row], 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ht="18.75" customHeight="1" x14ac:dyDescent="0.35">
      <c r="C1259" s="100" t="str">
        <f>IF(OR(Fact_Impuestos[[#This Row], [Año]]="",Fact_Impuestos[[#This Row], [Mes]]=""),"",DATE(A1259,MATCH(B1259,{"enero","febrero","marzo","abril","mayo","junio","julio","agosto","septiembre","octubre","noviembre","diciembre"},0)+1,0))</f>
        <v/>
      </c>
      <c r="E1259" t="str">
        <f>+IFERROR(VLOOKUP(Fact_Impuestos[[#This Row], [Concepto Anterior]],Conceptos_Impuestos[#All],5,0),"")</f>
        <v/>
      </c>
      <c r="F1259" t="str">
        <f>+IFERROR(VLOOKUP(Fact_Impuestos[[#This Row], 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ht="18.75" customHeight="1" x14ac:dyDescent="0.35">
      <c r="C1260" s="100" t="str">
        <f>IF(OR(Fact_Impuestos[[#This Row], [Año]]="",Fact_Impuestos[[#This Row], [Mes]]=""),"",DATE(A1260,MATCH(B1260,{"enero","febrero","marzo","abril","mayo","junio","julio","agosto","septiembre","octubre","noviembre","diciembre"},0)+1,0))</f>
        <v/>
      </c>
      <c r="E1260" t="str">
        <f>+IFERROR(VLOOKUP(Fact_Impuestos[[#This Row], [Concepto Anterior]],Conceptos_Impuestos[#All],5,0),"")</f>
        <v/>
      </c>
      <c r="F1260" t="str">
        <f>+IFERROR(VLOOKUP(Fact_Impuestos[[#This Row], 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ht="18.75" customHeight="1" x14ac:dyDescent="0.35">
      <c r="C1261" s="100" t="str">
        <f>IF(OR(Fact_Impuestos[[#This Row], [Año]]="",Fact_Impuestos[[#This Row], [Mes]]=""),"",DATE(A1261,MATCH(B1261,{"enero","febrero","marzo","abril","mayo","junio","julio","agosto","septiembre","octubre","noviembre","diciembre"},0)+1,0))</f>
        <v/>
      </c>
      <c r="E1261" t="str">
        <f>+IFERROR(VLOOKUP(Fact_Impuestos[[#This Row], [Concepto Anterior]],Conceptos_Impuestos[#All],5,0),"")</f>
        <v/>
      </c>
      <c r="F1261" t="str">
        <f>+IFERROR(VLOOKUP(Fact_Impuestos[[#This Row], 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ht="18.75" customHeight="1" x14ac:dyDescent="0.35">
      <c r="C1262" s="100" t="str">
        <f>IF(OR(Fact_Impuestos[[#This Row], [Año]]="",Fact_Impuestos[[#This Row], [Mes]]=""),"",DATE(A1262,MATCH(B1262,{"enero","febrero","marzo","abril","mayo","junio","julio","agosto","septiembre","octubre","noviembre","diciembre"},0)+1,0))</f>
        <v/>
      </c>
      <c r="E1262" t="str">
        <f>+IFERROR(VLOOKUP(Fact_Impuestos[[#This Row], [Concepto Anterior]],Conceptos_Impuestos[#All],5,0),"")</f>
        <v/>
      </c>
      <c r="F1262" t="str">
        <f>+IFERROR(VLOOKUP(Fact_Impuestos[[#This Row], 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ht="18.75" customHeight="1" x14ac:dyDescent="0.35">
      <c r="C1263" s="100" t="str">
        <f>IF(OR(Fact_Impuestos[[#This Row], [Año]]="",Fact_Impuestos[[#This Row], [Mes]]=""),"",DATE(A1263,MATCH(B1263,{"enero","febrero","marzo","abril","mayo","junio","julio","agosto","septiembre","octubre","noviembre","diciembre"},0)+1,0))</f>
        <v/>
      </c>
      <c r="E1263" t="str">
        <f>+IFERROR(VLOOKUP(Fact_Impuestos[[#This Row], [Concepto Anterior]],Conceptos_Impuestos[#All],5,0),"")</f>
        <v/>
      </c>
      <c r="F1263" t="str">
        <f>+IFERROR(VLOOKUP(Fact_Impuestos[[#This Row], 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ht="18.75" customHeight="1" x14ac:dyDescent="0.35">
      <c r="C1264" s="100" t="str">
        <f>IF(OR(Fact_Impuestos[[#This Row], [Año]]="",Fact_Impuestos[[#This Row], [Mes]]=""),"",DATE(A1264,MATCH(B1264,{"enero","febrero","marzo","abril","mayo","junio","julio","agosto","septiembre","octubre","noviembre","diciembre"},0)+1,0))</f>
        <v/>
      </c>
      <c r="E1264" t="str">
        <f>+IFERROR(VLOOKUP(Fact_Impuestos[[#This Row], [Concepto Anterior]],Conceptos_Impuestos[#All],5,0),"")</f>
        <v/>
      </c>
      <c r="F1264" t="str">
        <f>+IFERROR(VLOOKUP(Fact_Impuestos[[#This Row], 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ht="18.75" customHeight="1" x14ac:dyDescent="0.35">
      <c r="C1265" s="100" t="str">
        <f>IF(OR(Fact_Impuestos[[#This Row], [Año]]="",Fact_Impuestos[[#This Row], [Mes]]=""),"",DATE(A1265,MATCH(B1265,{"enero","febrero","marzo","abril","mayo","junio","julio","agosto","septiembre","octubre","noviembre","diciembre"},0)+1,0))</f>
        <v/>
      </c>
      <c r="E1265" t="str">
        <f>+IFERROR(VLOOKUP(Fact_Impuestos[[#This Row], [Concepto Anterior]],Conceptos_Impuestos[#All],5,0),"")</f>
        <v/>
      </c>
      <c r="F1265" t="str">
        <f>+IFERROR(VLOOKUP(Fact_Impuestos[[#This Row], 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ht="18.75" customHeight="1" x14ac:dyDescent="0.35">
      <c r="C1266" s="100" t="str">
        <f>IF(OR(Fact_Impuestos[[#This Row], [Año]]="",Fact_Impuestos[[#This Row], [Mes]]=""),"",DATE(A1266,MATCH(B1266,{"enero","febrero","marzo","abril","mayo","junio","julio","agosto","septiembre","octubre","noviembre","diciembre"},0)+1,0))</f>
        <v/>
      </c>
      <c r="E1266" t="str">
        <f>+IFERROR(VLOOKUP(Fact_Impuestos[[#This Row], [Concepto Anterior]],Conceptos_Impuestos[#All],5,0),"")</f>
        <v/>
      </c>
      <c r="F1266" t="str">
        <f>+IFERROR(VLOOKUP(Fact_Impuestos[[#This Row], 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ht="18.75" customHeight="1" x14ac:dyDescent="0.35">
      <c r="C1267" s="100" t="str">
        <f>IF(OR(Fact_Impuestos[[#This Row], [Año]]="",Fact_Impuestos[[#This Row], [Mes]]=""),"",DATE(A1267,MATCH(B1267,{"enero","febrero","marzo","abril","mayo","junio","julio","agosto","septiembre","octubre","noviembre","diciembre"},0)+1,0))</f>
        <v/>
      </c>
      <c r="E1267" t="str">
        <f>+IFERROR(VLOOKUP(Fact_Impuestos[[#This Row], [Concepto Anterior]],Conceptos_Impuestos[#All],5,0),"")</f>
        <v/>
      </c>
      <c r="F1267" t="str">
        <f>+IFERROR(VLOOKUP(Fact_Impuestos[[#This Row], 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ht="18.75" customHeight="1" x14ac:dyDescent="0.35">
      <c r="C1268" s="100" t="str">
        <f>IF(OR(Fact_Impuestos[[#This Row], [Año]]="",Fact_Impuestos[[#This Row], [Mes]]=""),"",DATE(A1268,MATCH(B1268,{"enero","febrero","marzo","abril","mayo","junio","julio","agosto","septiembre","octubre","noviembre","diciembre"},0)+1,0))</f>
        <v/>
      </c>
      <c r="E1268" t="str">
        <f>+IFERROR(VLOOKUP(Fact_Impuestos[[#This Row], [Concepto Anterior]],Conceptos_Impuestos[#All],5,0),"")</f>
        <v/>
      </c>
      <c r="F1268" t="str">
        <f>+IFERROR(VLOOKUP(Fact_Impuestos[[#This Row], 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ht="18.75" customHeight="1" x14ac:dyDescent="0.35">
      <c r="C1269" s="100" t="str">
        <f>IF(OR(Fact_Impuestos[[#This Row], [Año]]="",Fact_Impuestos[[#This Row], [Mes]]=""),"",DATE(A1269,MATCH(B1269,{"enero","febrero","marzo","abril","mayo","junio","julio","agosto","septiembre","octubre","noviembre","diciembre"},0)+1,0))</f>
        <v/>
      </c>
      <c r="E1269" t="str">
        <f>+IFERROR(VLOOKUP(Fact_Impuestos[[#This Row], [Concepto Anterior]],Conceptos_Impuestos[#All],5,0),"")</f>
        <v/>
      </c>
      <c r="F1269" t="str">
        <f>+IFERROR(VLOOKUP(Fact_Impuestos[[#This Row], 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ht="18.75" customHeight="1" x14ac:dyDescent="0.35">
      <c r="C1270" s="100" t="str">
        <f>IF(OR(Fact_Impuestos[[#This Row], [Año]]="",Fact_Impuestos[[#This Row], [Mes]]=""),"",DATE(A1270,MATCH(B1270,{"enero","febrero","marzo","abril","mayo","junio","julio","agosto","septiembre","octubre","noviembre","diciembre"},0)+1,0))</f>
        <v/>
      </c>
      <c r="E1270" t="str">
        <f>+IFERROR(VLOOKUP(Fact_Impuestos[[#This Row], [Concepto Anterior]],Conceptos_Impuestos[#All],5,0),"")</f>
        <v/>
      </c>
      <c r="F1270" t="str">
        <f>+IFERROR(VLOOKUP(Fact_Impuestos[[#This Row], 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ht="18.75" customHeight="1" x14ac:dyDescent="0.35">
      <c r="C1271" s="100" t="str">
        <f>IF(OR(Fact_Impuestos[[#This Row], [Año]]="",Fact_Impuestos[[#This Row], [Mes]]=""),"",DATE(A1271,MATCH(B1271,{"enero","febrero","marzo","abril","mayo","junio","julio","agosto","septiembre","octubre","noviembre","diciembre"},0)+1,0))</f>
        <v/>
      </c>
      <c r="E1271" t="str">
        <f>+IFERROR(VLOOKUP(Fact_Impuestos[[#This Row], [Concepto Anterior]],Conceptos_Impuestos[#All],5,0),"")</f>
        <v/>
      </c>
      <c r="F1271" t="str">
        <f>+IFERROR(VLOOKUP(Fact_Impuestos[[#This Row], 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ht="18.75" customHeight="1" x14ac:dyDescent="0.35">
      <c r="C1272" s="100" t="str">
        <f>IF(OR(Fact_Impuestos[[#This Row], [Año]]="",Fact_Impuestos[[#This Row], [Mes]]=""),"",DATE(A1272,MATCH(B1272,{"enero","febrero","marzo","abril","mayo","junio","julio","agosto","septiembre","octubre","noviembre","diciembre"},0)+1,0))</f>
        <v/>
      </c>
      <c r="E1272" t="str">
        <f>+IFERROR(VLOOKUP(Fact_Impuestos[[#This Row], [Concepto Anterior]],Conceptos_Impuestos[#All],5,0),"")</f>
        <v/>
      </c>
      <c r="F1272" t="str">
        <f>+IFERROR(VLOOKUP(Fact_Impuestos[[#This Row], 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ht="18.75" customHeight="1" x14ac:dyDescent="0.35">
      <c r="C1273" s="100" t="str">
        <f>IF(OR(Fact_Impuestos[[#This Row], [Año]]="",Fact_Impuestos[[#This Row], [Mes]]=""),"",DATE(A1273,MATCH(B1273,{"enero","febrero","marzo","abril","mayo","junio","julio","agosto","septiembre","octubre","noviembre","diciembre"},0)+1,0))</f>
        <v/>
      </c>
      <c r="E1273" t="str">
        <f>+IFERROR(VLOOKUP(Fact_Impuestos[[#This Row], [Concepto Anterior]],Conceptos_Impuestos[#All],5,0),"")</f>
        <v/>
      </c>
      <c r="F1273" t="str">
        <f>+IFERROR(VLOOKUP(Fact_Impuestos[[#This Row], 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ht="18.75" customHeight="1" x14ac:dyDescent="0.35">
      <c r="C1274" s="100" t="str">
        <f>IF(OR(Fact_Impuestos[[#This Row], [Año]]="",Fact_Impuestos[[#This Row], [Mes]]=""),"",DATE(A1274,MATCH(B1274,{"enero","febrero","marzo","abril","mayo","junio","julio","agosto","septiembre","octubre","noviembre","diciembre"},0)+1,0))</f>
        <v/>
      </c>
      <c r="E1274" t="str">
        <f>+IFERROR(VLOOKUP(Fact_Impuestos[[#This Row], [Concepto Anterior]],Conceptos_Impuestos[#All],5,0),"")</f>
        <v/>
      </c>
      <c r="F1274" t="str">
        <f>+IFERROR(VLOOKUP(Fact_Impuestos[[#This Row], 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ht="18.75" customHeight="1" x14ac:dyDescent="0.35">
      <c r="C1275" s="100" t="str">
        <f>IF(OR(Fact_Impuestos[[#This Row], [Año]]="",Fact_Impuestos[[#This Row], [Mes]]=""),"",DATE(A1275,MATCH(B1275,{"enero","febrero","marzo","abril","mayo","junio","julio","agosto","septiembre","octubre","noviembre","diciembre"},0)+1,0))</f>
        <v/>
      </c>
      <c r="E1275" t="str">
        <f>+IFERROR(VLOOKUP(Fact_Impuestos[[#This Row], [Concepto Anterior]],Conceptos_Impuestos[#All],5,0),"")</f>
        <v/>
      </c>
      <c r="F1275" t="str">
        <f>+IFERROR(VLOOKUP(Fact_Impuestos[[#This Row], 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ht="18.75" customHeight="1" x14ac:dyDescent="0.35">
      <c r="C1276" s="100" t="str">
        <f>IF(OR(Fact_Impuestos[[#This Row], [Año]]="",Fact_Impuestos[[#This Row], [Mes]]=""),"",DATE(A1276,MATCH(B1276,{"enero","febrero","marzo","abril","mayo","junio","julio","agosto","septiembre","octubre","noviembre","diciembre"},0)+1,0))</f>
        <v/>
      </c>
      <c r="E1276" t="str">
        <f>+IFERROR(VLOOKUP(Fact_Impuestos[[#This Row], [Concepto Anterior]],Conceptos_Impuestos[#All],5,0),"")</f>
        <v/>
      </c>
      <c r="F1276" t="str">
        <f>+IFERROR(VLOOKUP(Fact_Impuestos[[#This Row], 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ht="18.75" customHeight="1" x14ac:dyDescent="0.35">
      <c r="C1277" s="100" t="str">
        <f>IF(OR(Fact_Impuestos[[#This Row], [Año]]="",Fact_Impuestos[[#This Row], [Mes]]=""),"",DATE(A1277,MATCH(B1277,{"enero","febrero","marzo","abril","mayo","junio","julio","agosto","septiembre","octubre","noviembre","diciembre"},0)+1,0))</f>
        <v/>
      </c>
      <c r="E1277" t="str">
        <f>+IFERROR(VLOOKUP(Fact_Impuestos[[#This Row], [Concepto Anterior]],Conceptos_Impuestos[#All],5,0),"")</f>
        <v/>
      </c>
      <c r="F1277" t="str">
        <f>+IFERROR(VLOOKUP(Fact_Impuestos[[#This Row], 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ht="18.75" customHeight="1" x14ac:dyDescent="0.35">
      <c r="C1278" s="100" t="str">
        <f>IF(OR(Fact_Impuestos[[#This Row], [Año]]="",Fact_Impuestos[[#This Row], [Mes]]=""),"",DATE(A1278,MATCH(B1278,{"enero","febrero","marzo","abril","mayo","junio","julio","agosto","septiembre","octubre","noviembre","diciembre"},0)+1,0))</f>
        <v/>
      </c>
      <c r="E1278" t="str">
        <f>+IFERROR(VLOOKUP(Fact_Impuestos[[#This Row], [Concepto Anterior]],Conceptos_Impuestos[#All],5,0),"")</f>
        <v/>
      </c>
      <c r="F1278" t="str">
        <f>+IFERROR(VLOOKUP(Fact_Impuestos[[#This Row], 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ht="18.75" customHeight="1" x14ac:dyDescent="0.35">
      <c r="C1279" s="100" t="str">
        <f>IF(OR(Fact_Impuestos[[#This Row], [Año]]="",Fact_Impuestos[[#This Row], [Mes]]=""),"",DATE(A1279,MATCH(B1279,{"enero","febrero","marzo","abril","mayo","junio","julio","agosto","septiembre","octubre","noviembre","diciembre"},0)+1,0))</f>
        <v/>
      </c>
      <c r="E1279" t="str">
        <f>+IFERROR(VLOOKUP(Fact_Impuestos[[#This Row], [Concepto Anterior]],Conceptos_Impuestos[#All],5,0),"")</f>
        <v/>
      </c>
      <c r="F1279" t="str">
        <f>+IFERROR(VLOOKUP(Fact_Impuestos[[#This Row], 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ht="18.75" customHeight="1" x14ac:dyDescent="0.35">
      <c r="C1280" s="100" t="str">
        <f>IF(OR(Fact_Impuestos[[#This Row], [Año]]="",Fact_Impuestos[[#This Row], [Mes]]=""),"",DATE(A1280,MATCH(B1280,{"enero","febrero","marzo","abril","mayo","junio","julio","agosto","septiembre","octubre","noviembre","diciembre"},0)+1,0))</f>
        <v/>
      </c>
      <c r="E1280" t="str">
        <f>+IFERROR(VLOOKUP(Fact_Impuestos[[#This Row], [Concepto Anterior]],Conceptos_Impuestos[#All],5,0),"")</f>
        <v/>
      </c>
      <c r="F1280" t="str">
        <f>+IFERROR(VLOOKUP(Fact_Impuestos[[#This Row], 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ht="18.75" customHeight="1" x14ac:dyDescent="0.35">
      <c r="C1281" s="100" t="str">
        <f>IF(OR(Fact_Impuestos[[#This Row], [Año]]="",Fact_Impuestos[[#This Row], [Mes]]=""),"",DATE(A1281,MATCH(B1281,{"enero","febrero","marzo","abril","mayo","junio","julio","agosto","septiembre","octubre","noviembre","diciembre"},0)+1,0))</f>
        <v/>
      </c>
      <c r="E1281" t="str">
        <f>+IFERROR(VLOOKUP(Fact_Impuestos[[#This Row], [Concepto Anterior]],Conceptos_Impuestos[#All],5,0),"")</f>
        <v/>
      </c>
      <c r="F1281" t="str">
        <f>+IFERROR(VLOOKUP(Fact_Impuestos[[#This Row], 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ht="18.75" customHeight="1" x14ac:dyDescent="0.35">
      <c r="C1282" s="100" t="str">
        <f>IF(OR(Fact_Impuestos[[#This Row], [Año]]="",Fact_Impuestos[[#This Row], [Mes]]=""),"",DATE(A1282,MATCH(B1282,{"enero","febrero","marzo","abril","mayo","junio","julio","agosto","septiembre","octubre","noviembre","diciembre"},0)+1,0))</f>
        <v/>
      </c>
      <c r="E1282" t="str">
        <f>+IFERROR(VLOOKUP(Fact_Impuestos[[#This Row], [Concepto Anterior]],Conceptos_Impuestos[#All],5,0),"")</f>
        <v/>
      </c>
      <c r="F1282" t="str">
        <f>+IFERROR(VLOOKUP(Fact_Impuestos[[#This Row], 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ht="18.75" customHeight="1" x14ac:dyDescent="0.35">
      <c r="C1283" s="100" t="str">
        <f>IF(OR(Fact_Impuestos[[#This Row], [Año]]="",Fact_Impuestos[[#This Row], [Mes]]=""),"",DATE(A1283,MATCH(B1283,{"enero","febrero","marzo","abril","mayo","junio","julio","agosto","septiembre","octubre","noviembre","diciembre"},0)+1,0))</f>
        <v/>
      </c>
      <c r="E1283" t="str">
        <f>+IFERROR(VLOOKUP(Fact_Impuestos[[#This Row], [Concepto Anterior]],Conceptos_Impuestos[#All],5,0),"")</f>
        <v/>
      </c>
      <c r="F1283" t="str">
        <f>+IFERROR(VLOOKUP(Fact_Impuestos[[#This Row], 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ht="18.75" customHeight="1" x14ac:dyDescent="0.35">
      <c r="C1284" s="100" t="str">
        <f>IF(OR(Fact_Impuestos[[#This Row], [Año]]="",Fact_Impuestos[[#This Row], [Mes]]=""),"",DATE(A1284,MATCH(B1284,{"enero","febrero","marzo","abril","mayo","junio","julio","agosto","septiembre","octubre","noviembre","diciembre"},0)+1,0))</f>
        <v/>
      </c>
      <c r="E1284" t="str">
        <f>+IFERROR(VLOOKUP(Fact_Impuestos[[#This Row], [Concepto Anterior]],Conceptos_Impuestos[#All],5,0),"")</f>
        <v/>
      </c>
      <c r="F1284" t="str">
        <f>+IFERROR(VLOOKUP(Fact_Impuestos[[#This Row], 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ht="18.75" customHeight="1" x14ac:dyDescent="0.35">
      <c r="C1285" s="100" t="str">
        <f>IF(OR(Fact_Impuestos[[#This Row], [Año]]="",Fact_Impuestos[[#This Row], [Mes]]=""),"",DATE(A1285,MATCH(B1285,{"enero","febrero","marzo","abril","mayo","junio","julio","agosto","septiembre","octubre","noviembre","diciembre"},0)+1,0))</f>
        <v/>
      </c>
      <c r="E1285" t="str">
        <f>+IFERROR(VLOOKUP(Fact_Impuestos[[#This Row], [Concepto Anterior]],Conceptos_Impuestos[#All],5,0),"")</f>
        <v/>
      </c>
      <c r="F1285" t="str">
        <f>+IFERROR(VLOOKUP(Fact_Impuestos[[#This Row], 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ht="18.75" customHeight="1" x14ac:dyDescent="0.35">
      <c r="C1286" s="100" t="str">
        <f>IF(OR(Fact_Impuestos[[#This Row], [Año]]="",Fact_Impuestos[[#This Row], [Mes]]=""),"",DATE(A1286,MATCH(B1286,{"enero","febrero","marzo","abril","mayo","junio","julio","agosto","septiembre","octubre","noviembre","diciembre"},0)+1,0))</f>
        <v/>
      </c>
      <c r="E1286" t="str">
        <f>+IFERROR(VLOOKUP(Fact_Impuestos[[#This Row], [Concepto Anterior]],Conceptos_Impuestos[#All],5,0),"")</f>
        <v/>
      </c>
      <c r="F1286" t="str">
        <f>+IFERROR(VLOOKUP(Fact_Impuestos[[#This Row], 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ht="18.75" customHeight="1" x14ac:dyDescent="0.35">
      <c r="C1287" s="100" t="str">
        <f>IF(OR(Fact_Impuestos[[#This Row], [Año]]="",Fact_Impuestos[[#This Row], [Mes]]=""),"",DATE(A1287,MATCH(B1287,{"enero","febrero","marzo","abril","mayo","junio","julio","agosto","septiembre","octubre","noviembre","diciembre"},0)+1,0))</f>
        <v/>
      </c>
      <c r="E1287" t="str">
        <f>+IFERROR(VLOOKUP(Fact_Impuestos[[#This Row], [Concepto Anterior]],Conceptos_Impuestos[#All],5,0),"")</f>
        <v/>
      </c>
      <c r="F1287" t="str">
        <f>+IFERROR(VLOOKUP(Fact_Impuestos[[#This Row], 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ht="18.75" customHeight="1" x14ac:dyDescent="0.35">
      <c r="C1288" s="100" t="str">
        <f>IF(OR(Fact_Impuestos[[#This Row], [Año]]="",Fact_Impuestos[[#This Row], [Mes]]=""),"",DATE(A1288,MATCH(B1288,{"enero","febrero","marzo","abril","mayo","junio","julio","agosto","septiembre","octubre","noviembre","diciembre"},0)+1,0))</f>
        <v/>
      </c>
      <c r="E1288" t="str">
        <f>+IFERROR(VLOOKUP(Fact_Impuestos[[#This Row], [Concepto Anterior]],Conceptos_Impuestos[#All],5,0),"")</f>
        <v/>
      </c>
      <c r="F1288" t="str">
        <f>+IFERROR(VLOOKUP(Fact_Impuestos[[#This Row], 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ht="18.75" customHeight="1" x14ac:dyDescent="0.35">
      <c r="C1289" s="100" t="str">
        <f>IF(OR(Fact_Impuestos[[#This Row], [Año]]="",Fact_Impuestos[[#This Row], [Mes]]=""),"",DATE(A1289,MATCH(B1289,{"enero","febrero","marzo","abril","mayo","junio","julio","agosto","septiembre","octubre","noviembre","diciembre"},0)+1,0))</f>
        <v/>
      </c>
      <c r="E1289" t="str">
        <f>+IFERROR(VLOOKUP(Fact_Impuestos[[#This Row], [Concepto Anterior]],Conceptos_Impuestos[#All],5,0),"")</f>
        <v/>
      </c>
      <c r="F1289" t="str">
        <f>+IFERROR(VLOOKUP(Fact_Impuestos[[#This Row], 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ht="18.75" customHeight="1" x14ac:dyDescent="0.35">
      <c r="C1290" s="100" t="str">
        <f>IF(OR(Fact_Impuestos[[#This Row], [Año]]="",Fact_Impuestos[[#This Row], [Mes]]=""),"",DATE(A1290,MATCH(B1290,{"enero","febrero","marzo","abril","mayo","junio","julio","agosto","septiembre","octubre","noviembre","diciembre"},0)+1,0))</f>
        <v/>
      </c>
      <c r="E1290" t="str">
        <f>+IFERROR(VLOOKUP(Fact_Impuestos[[#This Row], [Concepto Anterior]],Conceptos_Impuestos[#All],5,0),"")</f>
        <v/>
      </c>
      <c r="F1290" t="str">
        <f>+IFERROR(VLOOKUP(Fact_Impuestos[[#This Row], 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ht="18.75" customHeight="1" x14ac:dyDescent="0.35">
      <c r="C1291" s="100" t="str">
        <f>IF(OR(Fact_Impuestos[[#This Row], [Año]]="",Fact_Impuestos[[#This Row], [Mes]]=""),"",DATE(A1291,MATCH(B1291,{"enero","febrero","marzo","abril","mayo","junio","julio","agosto","septiembre","octubre","noviembre","diciembre"},0)+1,0))</f>
        <v/>
      </c>
      <c r="E1291" t="str">
        <f>+IFERROR(VLOOKUP(Fact_Impuestos[[#This Row], [Concepto Anterior]],Conceptos_Impuestos[#All],5,0),"")</f>
        <v/>
      </c>
      <c r="F1291" t="str">
        <f>+IFERROR(VLOOKUP(Fact_Impuestos[[#This Row], 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ht="18.75" customHeight="1" x14ac:dyDescent="0.35">
      <c r="C1292" s="100" t="str">
        <f>IF(OR(Fact_Impuestos[[#This Row], [Año]]="",Fact_Impuestos[[#This Row], [Mes]]=""),"",DATE(A1292,MATCH(B1292,{"enero","febrero","marzo","abril","mayo","junio","julio","agosto","septiembre","octubre","noviembre","diciembre"},0)+1,0))</f>
        <v/>
      </c>
      <c r="E1292" t="str">
        <f>+IFERROR(VLOOKUP(Fact_Impuestos[[#This Row], [Concepto Anterior]],Conceptos_Impuestos[#All],5,0),"")</f>
        <v/>
      </c>
      <c r="F1292" t="str">
        <f>+IFERROR(VLOOKUP(Fact_Impuestos[[#This Row], 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ht="18.75" customHeight="1" x14ac:dyDescent="0.35">
      <c r="C1293" s="100" t="str">
        <f>IF(OR(Fact_Impuestos[[#This Row], [Año]]="",Fact_Impuestos[[#This Row], [Mes]]=""),"",DATE(A1293,MATCH(B1293,{"enero","febrero","marzo","abril","mayo","junio","julio","agosto","septiembre","octubre","noviembre","diciembre"},0)+1,0))</f>
        <v/>
      </c>
      <c r="E1293" t="str">
        <f>+IFERROR(VLOOKUP(Fact_Impuestos[[#This Row], [Concepto Anterior]],Conceptos_Impuestos[#All],5,0),"")</f>
        <v/>
      </c>
      <c r="F1293" t="str">
        <f>+IFERROR(VLOOKUP(Fact_Impuestos[[#This Row], 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ht="18.75" customHeight="1" x14ac:dyDescent="0.35">
      <c r="C1294" s="100" t="str">
        <f>IF(OR(Fact_Impuestos[[#This Row], [Año]]="",Fact_Impuestos[[#This Row], [Mes]]=""),"",DATE(A1294,MATCH(B1294,{"enero","febrero","marzo","abril","mayo","junio","julio","agosto","septiembre","octubre","noviembre","diciembre"},0)+1,0))</f>
        <v/>
      </c>
      <c r="E1294" t="str">
        <f>+IFERROR(VLOOKUP(Fact_Impuestos[[#This Row], [Concepto Anterior]],Conceptos_Impuestos[#All],5,0),"")</f>
        <v/>
      </c>
      <c r="F1294" t="str">
        <f>+IFERROR(VLOOKUP(Fact_Impuestos[[#This Row], 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ht="18.75" customHeight="1" x14ac:dyDescent="0.35">
      <c r="C1295" s="100" t="str">
        <f>IF(OR(Fact_Impuestos[[#This Row], [Año]]="",Fact_Impuestos[[#This Row], [Mes]]=""),"",DATE(A1295,MATCH(B1295,{"enero","febrero","marzo","abril","mayo","junio","julio","agosto","septiembre","octubre","noviembre","diciembre"},0)+1,0))</f>
        <v/>
      </c>
      <c r="E1295" t="str">
        <f>+IFERROR(VLOOKUP(Fact_Impuestos[[#This Row], [Concepto Anterior]],Conceptos_Impuestos[#All],5,0),"")</f>
        <v/>
      </c>
      <c r="F1295" t="str">
        <f>+IFERROR(VLOOKUP(Fact_Impuestos[[#This Row], 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ht="18.75" customHeight="1" x14ac:dyDescent="0.35">
      <c r="C1296" s="100" t="str">
        <f>IF(OR(Fact_Impuestos[[#This Row], [Año]]="",Fact_Impuestos[[#This Row], [Mes]]=""),"",DATE(A1296,MATCH(B1296,{"enero","febrero","marzo","abril","mayo","junio","julio","agosto","septiembre","octubre","noviembre","diciembre"},0)+1,0))</f>
        <v/>
      </c>
      <c r="E1296" t="str">
        <f>+IFERROR(VLOOKUP(Fact_Impuestos[[#This Row], [Concepto Anterior]],Conceptos_Impuestos[#All],5,0),"")</f>
        <v/>
      </c>
      <c r="F1296" t="str">
        <f>+IFERROR(VLOOKUP(Fact_Impuestos[[#This Row], 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ht="18.75" customHeight="1" x14ac:dyDescent="0.35">
      <c r="C1297" s="100" t="str">
        <f>IF(OR(Fact_Impuestos[[#This Row], [Año]]="",Fact_Impuestos[[#This Row], [Mes]]=""),"",DATE(A1297,MATCH(B1297,{"enero","febrero","marzo","abril","mayo","junio","julio","agosto","septiembre","octubre","noviembre","diciembre"},0)+1,0))</f>
        <v/>
      </c>
      <c r="E1297" t="str">
        <f>+IFERROR(VLOOKUP(Fact_Impuestos[[#This Row], [Concepto Anterior]],Conceptos_Impuestos[#All],5,0),"")</f>
        <v/>
      </c>
      <c r="F1297" t="str">
        <f>+IFERROR(VLOOKUP(Fact_Impuestos[[#This Row], 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ht="18.75" customHeight="1" x14ac:dyDescent="0.35">
      <c r="C1298" s="100" t="str">
        <f>IF(OR(Fact_Impuestos[[#This Row], [Año]]="",Fact_Impuestos[[#This Row], [Mes]]=""),"",DATE(A1298,MATCH(B1298,{"enero","febrero","marzo","abril","mayo","junio","julio","agosto","septiembre","octubre","noviembre","diciembre"},0)+1,0))</f>
        <v/>
      </c>
      <c r="E1298" t="str">
        <f>+IFERROR(VLOOKUP(Fact_Impuestos[[#This Row], [Concepto Anterior]],Conceptos_Impuestos[#All],5,0),"")</f>
        <v/>
      </c>
      <c r="F1298" t="str">
        <f>+IFERROR(VLOOKUP(Fact_Impuestos[[#This Row], 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ht="18.75" customHeight="1" x14ac:dyDescent="0.35">
      <c r="C1299" s="100" t="str">
        <f>IF(OR(Fact_Impuestos[[#This Row], [Año]]="",Fact_Impuestos[[#This Row], [Mes]]=""),"",DATE(A1299,MATCH(B1299,{"enero","febrero","marzo","abril","mayo","junio","julio","agosto","septiembre","octubre","noviembre","diciembre"},0)+1,0))</f>
        <v/>
      </c>
      <c r="E1299" t="str">
        <f>+IFERROR(VLOOKUP(Fact_Impuestos[[#This Row], [Concepto Anterior]],Conceptos_Impuestos[#All],5,0),"")</f>
        <v/>
      </c>
      <c r="F1299" t="str">
        <f>+IFERROR(VLOOKUP(Fact_Impuestos[[#This Row], 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ht="18.75" customHeight="1" x14ac:dyDescent="0.35">
      <c r="C1300" s="100" t="str">
        <f>IF(OR(Fact_Impuestos[[#This Row], [Año]]="",Fact_Impuestos[[#This Row], [Mes]]=""),"",DATE(A1300,MATCH(B1300,{"enero","febrero","marzo","abril","mayo","junio","julio","agosto","septiembre","octubre","noviembre","diciembre"},0)+1,0))</f>
        <v/>
      </c>
      <c r="E1300" t="str">
        <f>+IFERROR(VLOOKUP(Fact_Impuestos[[#This Row], [Concepto Anterior]],Conceptos_Impuestos[#All],5,0),"")</f>
        <v/>
      </c>
      <c r="F1300" t="str">
        <f>+IFERROR(VLOOKUP(Fact_Impuestos[[#This Row], 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ht="18.75" customHeight="1" x14ac:dyDescent="0.35">
      <c r="C1301" s="100" t="str">
        <f>IF(OR(Fact_Impuestos[[#This Row], [Año]]="",Fact_Impuestos[[#This Row], [Mes]]=""),"",DATE(A1301,MATCH(B1301,{"enero","febrero","marzo","abril","mayo","junio","julio","agosto","septiembre","octubre","noviembre","diciembre"},0)+1,0))</f>
        <v/>
      </c>
      <c r="E1301" t="str">
        <f>+IFERROR(VLOOKUP(Fact_Impuestos[[#This Row], [Concepto Anterior]],Conceptos_Impuestos[#All],5,0),"")</f>
        <v/>
      </c>
      <c r="F1301" t="str">
        <f>+IFERROR(VLOOKUP(Fact_Impuestos[[#This Row], 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ht="18.75" customHeight="1" x14ac:dyDescent="0.35">
      <c r="C1302" s="100" t="str">
        <f>IF(OR(Fact_Impuestos[[#This Row], [Año]]="",Fact_Impuestos[[#This Row], [Mes]]=""),"",DATE(A1302,MATCH(B1302,{"enero","febrero","marzo","abril","mayo","junio","julio","agosto","septiembre","octubre","noviembre","diciembre"},0)+1,0))</f>
        <v/>
      </c>
      <c r="E1302" t="str">
        <f>+IFERROR(VLOOKUP(Fact_Impuestos[[#This Row], [Concepto Anterior]],Conceptos_Impuestos[#All],5,0),"")</f>
        <v/>
      </c>
      <c r="F1302" t="str">
        <f>+IFERROR(VLOOKUP(Fact_Impuestos[[#This Row], 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ht="18.75" customHeight="1" x14ac:dyDescent="0.35">
      <c r="C1303" s="100" t="str">
        <f>IF(OR(Fact_Impuestos[[#This Row], [Año]]="",Fact_Impuestos[[#This Row], [Mes]]=""),"",DATE(A1303,MATCH(B1303,{"enero","febrero","marzo","abril","mayo","junio","julio","agosto","septiembre","octubre","noviembre","diciembre"},0)+1,0))</f>
        <v/>
      </c>
      <c r="E1303" t="str">
        <f>+IFERROR(VLOOKUP(Fact_Impuestos[[#This Row], [Concepto Anterior]],Conceptos_Impuestos[#All],5,0),"")</f>
        <v/>
      </c>
      <c r="F1303" t="str">
        <f>+IFERROR(VLOOKUP(Fact_Impuestos[[#This Row], 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ht="18.75" customHeight="1" x14ac:dyDescent="0.35">
      <c r="C1304" s="100" t="str">
        <f>IF(OR(Fact_Impuestos[[#This Row], [Año]]="",Fact_Impuestos[[#This Row], [Mes]]=""),"",DATE(A1304,MATCH(B1304,{"enero","febrero","marzo","abril","mayo","junio","julio","agosto","septiembre","octubre","noviembre","diciembre"},0)+1,0))</f>
        <v/>
      </c>
      <c r="E1304" t="str">
        <f>+IFERROR(VLOOKUP(Fact_Impuestos[[#This Row], [Concepto Anterior]],Conceptos_Impuestos[#All],5,0),"")</f>
        <v/>
      </c>
      <c r="F1304" t="str">
        <f>+IFERROR(VLOOKUP(Fact_Impuestos[[#This Row], 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ht="18.75" customHeight="1" x14ac:dyDescent="0.35">
      <c r="C1305" s="100" t="str">
        <f>IF(OR(Fact_Impuestos[[#This Row], [Año]]="",Fact_Impuestos[[#This Row], [Mes]]=""),"",DATE(A1305,MATCH(B1305,{"enero","febrero","marzo","abril","mayo","junio","julio","agosto","septiembre","octubre","noviembre","diciembre"},0)+1,0))</f>
        <v/>
      </c>
      <c r="E1305" t="str">
        <f>+IFERROR(VLOOKUP(Fact_Impuestos[[#This Row], [Concepto Anterior]],Conceptos_Impuestos[#All],5,0),"")</f>
        <v/>
      </c>
      <c r="F1305" t="str">
        <f>+IFERROR(VLOOKUP(Fact_Impuestos[[#This Row], 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ht="18.75" customHeight="1" x14ac:dyDescent="0.35">
      <c r="C1306" s="100" t="str">
        <f>IF(OR(Fact_Impuestos[[#This Row], [Año]]="",Fact_Impuestos[[#This Row], [Mes]]=""),"",DATE(A1306,MATCH(B1306,{"enero","febrero","marzo","abril","mayo","junio","julio","agosto","septiembre","octubre","noviembre","diciembre"},0)+1,0))</f>
        <v/>
      </c>
      <c r="E1306" t="str">
        <f>+IFERROR(VLOOKUP(Fact_Impuestos[[#This Row], [Concepto Anterior]],Conceptos_Impuestos[#All],5,0),"")</f>
        <v/>
      </c>
      <c r="F1306" t="str">
        <f>+IFERROR(VLOOKUP(Fact_Impuestos[[#This Row], 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ht="18.75" customHeight="1" x14ac:dyDescent="0.35">
      <c r="C1307" s="100" t="str">
        <f>IF(OR(Fact_Impuestos[[#This Row], [Año]]="",Fact_Impuestos[[#This Row], [Mes]]=""),"",DATE(A1307,MATCH(B1307,{"enero","febrero","marzo","abril","mayo","junio","julio","agosto","septiembre","octubre","noviembre","diciembre"},0)+1,0))</f>
        <v/>
      </c>
      <c r="E1307" t="str">
        <f>+IFERROR(VLOOKUP(Fact_Impuestos[[#This Row], [Concepto Anterior]],Conceptos_Impuestos[#All],5,0),"")</f>
        <v/>
      </c>
      <c r="F1307" t="str">
        <f>+IFERROR(VLOOKUP(Fact_Impuestos[[#This Row], 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ht="18.75" customHeight="1" x14ac:dyDescent="0.35">
      <c r="C1308" s="100" t="str">
        <f>IF(OR(Fact_Impuestos[[#This Row], [Año]]="",Fact_Impuestos[[#This Row], [Mes]]=""),"",DATE(A1308,MATCH(B1308,{"enero","febrero","marzo","abril","mayo","junio","julio","agosto","septiembre","octubre","noviembre","diciembre"},0)+1,0))</f>
        <v/>
      </c>
      <c r="E1308" t="str">
        <f>+IFERROR(VLOOKUP(Fact_Impuestos[[#This Row], [Concepto Anterior]],Conceptos_Impuestos[#All],5,0),"")</f>
        <v/>
      </c>
      <c r="F1308" t="str">
        <f>+IFERROR(VLOOKUP(Fact_Impuestos[[#This Row], 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ht="18.75" customHeight="1" x14ac:dyDescent="0.35">
      <c r="C1309" s="100" t="str">
        <f>IF(OR(Fact_Impuestos[[#This Row], [Año]]="",Fact_Impuestos[[#This Row], [Mes]]=""),"",DATE(A1309,MATCH(B1309,{"enero","febrero","marzo","abril","mayo","junio","julio","agosto","septiembre","octubre","noviembre","diciembre"},0)+1,0))</f>
        <v/>
      </c>
      <c r="E1309" t="str">
        <f>+IFERROR(VLOOKUP(Fact_Impuestos[[#This Row], [Concepto Anterior]],Conceptos_Impuestos[#All],5,0),"")</f>
        <v/>
      </c>
      <c r="F1309" t="str">
        <f>+IFERROR(VLOOKUP(Fact_Impuestos[[#This Row], 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ht="18.75" customHeight="1" x14ac:dyDescent="0.35">
      <c r="C1310" s="100" t="str">
        <f>IF(OR(Fact_Impuestos[[#This Row], [Año]]="",Fact_Impuestos[[#This Row], [Mes]]=""),"",DATE(A1310,MATCH(B1310,{"enero","febrero","marzo","abril","mayo","junio","julio","agosto","septiembre","octubre","noviembre","diciembre"},0)+1,0))</f>
        <v/>
      </c>
      <c r="E1310" t="str">
        <f>+IFERROR(VLOOKUP(Fact_Impuestos[[#This Row], [Concepto Anterior]],Conceptos_Impuestos[#All],5,0),"")</f>
        <v/>
      </c>
      <c r="F1310" t="str">
        <f>+IFERROR(VLOOKUP(Fact_Impuestos[[#This Row], 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ht="18.75" customHeight="1" x14ac:dyDescent="0.35">
      <c r="C1311" s="100" t="str">
        <f>IF(OR(Fact_Impuestos[[#This Row], [Año]]="",Fact_Impuestos[[#This Row], [Mes]]=""),"",DATE(A1311,MATCH(B1311,{"enero","febrero","marzo","abril","mayo","junio","julio","agosto","septiembre","octubre","noviembre","diciembre"},0)+1,0))</f>
        <v/>
      </c>
      <c r="E1311" t="str">
        <f>+IFERROR(VLOOKUP(Fact_Impuestos[[#This Row], [Concepto Anterior]],Conceptos_Impuestos[#All],5,0),"")</f>
        <v/>
      </c>
      <c r="F1311" t="str">
        <f>+IFERROR(VLOOKUP(Fact_Impuestos[[#This Row], 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ht="18.75" customHeight="1" x14ac:dyDescent="0.35">
      <c r="C1312" s="100" t="str">
        <f>IF(OR(Fact_Impuestos[[#This Row], [Año]]="",Fact_Impuestos[[#This Row], [Mes]]=""),"",DATE(A1312,MATCH(B1312,{"enero","febrero","marzo","abril","mayo","junio","julio","agosto","septiembre","octubre","noviembre","diciembre"},0)+1,0))</f>
        <v/>
      </c>
      <c r="E1312" t="str">
        <f>+IFERROR(VLOOKUP(Fact_Impuestos[[#This Row], [Concepto Anterior]],Conceptos_Impuestos[#All],5,0),"")</f>
        <v/>
      </c>
      <c r="F1312" t="str">
        <f>+IFERROR(VLOOKUP(Fact_Impuestos[[#This Row], 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ht="18.75" customHeight="1" x14ac:dyDescent="0.35">
      <c r="C1313" s="100" t="str">
        <f>IF(OR(Fact_Impuestos[[#This Row], [Año]]="",Fact_Impuestos[[#This Row], [Mes]]=""),"",DATE(A1313,MATCH(B1313,{"enero","febrero","marzo","abril","mayo","junio","julio","agosto","septiembre","octubre","noviembre","diciembre"},0)+1,0))</f>
        <v/>
      </c>
      <c r="E1313" t="str">
        <f>+IFERROR(VLOOKUP(Fact_Impuestos[[#This Row], [Concepto Anterior]],Conceptos_Impuestos[#All],5,0),"")</f>
        <v/>
      </c>
      <c r="F1313" t="str">
        <f>+IFERROR(VLOOKUP(Fact_Impuestos[[#This Row], 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ht="18.75" customHeight="1" x14ac:dyDescent="0.35">
      <c r="C1314" s="100" t="str">
        <f>IF(OR(Fact_Impuestos[[#This Row], [Año]]="",Fact_Impuestos[[#This Row], [Mes]]=""),"",DATE(A1314,MATCH(B1314,{"enero","febrero","marzo","abril","mayo","junio","julio","agosto","septiembre","octubre","noviembre","diciembre"},0)+1,0))</f>
        <v/>
      </c>
      <c r="E1314" t="str">
        <f>+IFERROR(VLOOKUP(Fact_Impuestos[[#This Row], [Concepto Anterior]],Conceptos_Impuestos[#All],5,0),"")</f>
        <v/>
      </c>
      <c r="F1314" t="str">
        <f>+IFERROR(VLOOKUP(Fact_Impuestos[[#This Row], 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ht="18.75" customHeight="1" x14ac:dyDescent="0.35">
      <c r="C1315" s="100" t="str">
        <f>IF(OR(Fact_Impuestos[[#This Row], [Año]]="",Fact_Impuestos[[#This Row], [Mes]]=""),"",DATE(A1315,MATCH(B1315,{"enero","febrero","marzo","abril","mayo","junio","julio","agosto","septiembre","octubre","noviembre","diciembre"},0)+1,0))</f>
        <v/>
      </c>
      <c r="E1315" t="str">
        <f>+IFERROR(VLOOKUP(Fact_Impuestos[[#This Row], [Concepto Anterior]],Conceptos_Impuestos[#All],5,0),"")</f>
        <v/>
      </c>
      <c r="F1315" t="str">
        <f>+IFERROR(VLOOKUP(Fact_Impuestos[[#This Row], 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ht="18.75" customHeight="1" x14ac:dyDescent="0.35">
      <c r="C1316" s="100" t="str">
        <f>IF(OR(Fact_Impuestos[[#This Row], [Año]]="",Fact_Impuestos[[#This Row], [Mes]]=""),"",DATE(A1316,MATCH(B1316,{"enero","febrero","marzo","abril","mayo","junio","julio","agosto","septiembre","octubre","noviembre","diciembre"},0)+1,0))</f>
        <v/>
      </c>
      <c r="E1316" t="str">
        <f>+IFERROR(VLOOKUP(Fact_Impuestos[[#This Row], [Concepto Anterior]],Conceptos_Impuestos[#All],5,0),"")</f>
        <v/>
      </c>
      <c r="F1316" t="str">
        <f>+IFERROR(VLOOKUP(Fact_Impuestos[[#This Row], 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ht="18.75" customHeight="1" x14ac:dyDescent="0.35">
      <c r="C1317" s="100" t="str">
        <f>IF(OR(Fact_Impuestos[[#This Row], [Año]]="",Fact_Impuestos[[#This Row], [Mes]]=""),"",DATE(A1317,MATCH(B1317,{"enero","febrero","marzo","abril","mayo","junio","julio","agosto","septiembre","octubre","noviembre","diciembre"},0)+1,0))</f>
        <v/>
      </c>
      <c r="E1317" t="str">
        <f>+IFERROR(VLOOKUP(Fact_Impuestos[[#This Row], [Concepto Anterior]],Conceptos_Impuestos[#All],5,0),"")</f>
        <v/>
      </c>
      <c r="F1317" t="str">
        <f>+IFERROR(VLOOKUP(Fact_Impuestos[[#This Row], 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ht="18.75" customHeight="1" x14ac:dyDescent="0.35">
      <c r="C1318" s="100" t="str">
        <f>IF(OR(Fact_Impuestos[[#This Row], [Año]]="",Fact_Impuestos[[#This Row], [Mes]]=""),"",DATE(A1318,MATCH(B1318,{"enero","febrero","marzo","abril","mayo","junio","julio","agosto","septiembre","octubre","noviembre","diciembre"},0)+1,0))</f>
        <v/>
      </c>
      <c r="E1318" t="str">
        <f>+IFERROR(VLOOKUP(Fact_Impuestos[[#This Row], [Concepto Anterior]],Conceptos_Impuestos[#All],5,0),"")</f>
        <v/>
      </c>
      <c r="F1318" t="str">
        <f>+IFERROR(VLOOKUP(Fact_Impuestos[[#This Row], 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ht="18.75" customHeight="1" x14ac:dyDescent="0.35">
      <c r="C1319" s="100" t="str">
        <f>IF(OR(Fact_Impuestos[[#This Row], [Año]]="",Fact_Impuestos[[#This Row], [Mes]]=""),"",DATE(A1319,MATCH(B1319,{"enero","febrero","marzo","abril","mayo","junio","julio","agosto","septiembre","octubre","noviembre","diciembre"},0)+1,0))</f>
        <v/>
      </c>
      <c r="E1319" t="str">
        <f>+IFERROR(VLOOKUP(Fact_Impuestos[[#This Row], [Concepto Anterior]],Conceptos_Impuestos[#All],5,0),"")</f>
        <v/>
      </c>
      <c r="F1319" t="str">
        <f>+IFERROR(VLOOKUP(Fact_Impuestos[[#This Row], 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ht="18.75" customHeight="1" x14ac:dyDescent="0.35">
      <c r="C1320" s="100" t="str">
        <f>IF(OR(Fact_Impuestos[[#This Row], [Año]]="",Fact_Impuestos[[#This Row], [Mes]]=""),"",DATE(A1320,MATCH(B1320,{"enero","febrero","marzo","abril","mayo","junio","julio","agosto","septiembre","octubre","noviembre","diciembre"},0)+1,0))</f>
        <v/>
      </c>
      <c r="E1320" t="str">
        <f>+IFERROR(VLOOKUP(Fact_Impuestos[[#This Row], [Concepto Anterior]],Conceptos_Impuestos[#All],5,0),"")</f>
        <v/>
      </c>
      <c r="F1320" t="str">
        <f>+IFERROR(VLOOKUP(Fact_Impuestos[[#This Row], 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ht="18.75" customHeight="1" x14ac:dyDescent="0.35">
      <c r="C1321" s="100" t="str">
        <f>IF(OR(Fact_Impuestos[[#This Row], [Año]]="",Fact_Impuestos[[#This Row], [Mes]]=""),"",DATE(A1321,MATCH(B1321,{"enero","febrero","marzo","abril","mayo","junio","julio","agosto","septiembre","octubre","noviembre","diciembre"},0)+1,0))</f>
        <v/>
      </c>
      <c r="E1321" t="str">
        <f>+IFERROR(VLOOKUP(Fact_Impuestos[[#This Row], [Concepto Anterior]],Conceptos_Impuestos[#All],5,0),"")</f>
        <v/>
      </c>
      <c r="F1321" t="str">
        <f>+IFERROR(VLOOKUP(Fact_Impuestos[[#This Row], 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ht="18.75" customHeight="1" x14ac:dyDescent="0.35">
      <c r="C1322" s="100" t="str">
        <f>IF(OR(Fact_Impuestos[[#This Row], [Año]]="",Fact_Impuestos[[#This Row], [Mes]]=""),"",DATE(A1322,MATCH(B1322,{"enero","febrero","marzo","abril","mayo","junio","julio","agosto","septiembre","octubre","noviembre","diciembre"},0)+1,0))</f>
        <v/>
      </c>
      <c r="E1322" t="str">
        <f>+IFERROR(VLOOKUP(Fact_Impuestos[[#This Row], [Concepto Anterior]],Conceptos_Impuestos[#All],5,0),"")</f>
        <v/>
      </c>
      <c r="F1322" t="str">
        <f>+IFERROR(VLOOKUP(Fact_Impuestos[[#This Row], 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ht="18.75" customHeight="1" x14ac:dyDescent="0.35">
      <c r="C1323" s="100" t="str">
        <f>IF(OR(Fact_Impuestos[[#This Row], [Año]]="",Fact_Impuestos[[#This Row], [Mes]]=""),"",DATE(A1323,MATCH(B1323,{"enero","febrero","marzo","abril","mayo","junio","julio","agosto","septiembre","octubre","noviembre","diciembre"},0)+1,0))</f>
        <v/>
      </c>
      <c r="E1323" t="str">
        <f>+IFERROR(VLOOKUP(Fact_Impuestos[[#This Row], [Concepto Anterior]],Conceptos_Impuestos[#All],5,0),"")</f>
        <v/>
      </c>
      <c r="F1323" t="str">
        <f>+IFERROR(VLOOKUP(Fact_Impuestos[[#This Row], 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ht="18.75" customHeight="1" x14ac:dyDescent="0.35">
      <c r="C1324" s="100" t="str">
        <f>IF(OR(Fact_Impuestos[[#This Row], [Año]]="",Fact_Impuestos[[#This Row], [Mes]]=""),"",DATE(A1324,MATCH(B1324,{"enero","febrero","marzo","abril","mayo","junio","julio","agosto","septiembre","octubre","noviembre","diciembre"},0)+1,0))</f>
        <v/>
      </c>
      <c r="E1324" t="str">
        <f>+IFERROR(VLOOKUP(Fact_Impuestos[[#This Row], [Concepto Anterior]],Conceptos_Impuestos[#All],5,0),"")</f>
        <v/>
      </c>
      <c r="F1324" t="str">
        <f>+IFERROR(VLOOKUP(Fact_Impuestos[[#This Row], 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ht="18.75" customHeight="1" x14ac:dyDescent="0.35">
      <c r="C1325" s="100" t="str">
        <f>IF(OR(Fact_Impuestos[[#This Row], [Año]]="",Fact_Impuestos[[#This Row], [Mes]]=""),"",DATE(A1325,MATCH(B1325,{"enero","febrero","marzo","abril","mayo","junio","julio","agosto","septiembre","octubre","noviembre","diciembre"},0)+1,0))</f>
        <v/>
      </c>
      <c r="E1325" t="str">
        <f>+IFERROR(VLOOKUP(Fact_Impuestos[[#This Row], [Concepto Anterior]],Conceptos_Impuestos[#All],5,0),"")</f>
        <v/>
      </c>
      <c r="F1325" t="str">
        <f>+IFERROR(VLOOKUP(Fact_Impuestos[[#This Row], 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ht="18.75" customHeight="1" x14ac:dyDescent="0.35">
      <c r="C1326" s="100" t="str">
        <f>IF(OR(Fact_Impuestos[[#This Row], [Año]]="",Fact_Impuestos[[#This Row], [Mes]]=""),"",DATE(A1326,MATCH(B1326,{"enero","febrero","marzo","abril","mayo","junio","julio","agosto","septiembre","octubre","noviembre","diciembre"},0)+1,0))</f>
        <v/>
      </c>
      <c r="E1326" t="str">
        <f>+IFERROR(VLOOKUP(Fact_Impuestos[[#This Row], [Concepto Anterior]],Conceptos_Impuestos[#All],5,0),"")</f>
        <v/>
      </c>
      <c r="F1326" t="str">
        <f>+IFERROR(VLOOKUP(Fact_Impuestos[[#This Row], 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ht="18.75" customHeight="1" x14ac:dyDescent="0.35">
      <c r="C1327" s="100" t="str">
        <f>IF(OR(Fact_Impuestos[[#This Row], [Año]]="",Fact_Impuestos[[#This Row], [Mes]]=""),"",DATE(A1327,MATCH(B1327,{"enero","febrero","marzo","abril","mayo","junio","julio","agosto","septiembre","octubre","noviembre","diciembre"},0)+1,0))</f>
        <v/>
      </c>
      <c r="E1327" t="str">
        <f>+IFERROR(VLOOKUP(Fact_Impuestos[[#This Row], [Concepto Anterior]],Conceptos_Impuestos[#All],5,0),"")</f>
        <v/>
      </c>
      <c r="F1327" t="str">
        <f>+IFERROR(VLOOKUP(Fact_Impuestos[[#This Row], 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ht="18.75" customHeight="1" x14ac:dyDescent="0.35">
      <c r="C1328" s="100" t="str">
        <f>IF(OR(Fact_Impuestos[[#This Row], [Año]]="",Fact_Impuestos[[#This Row], [Mes]]=""),"",DATE(A1328,MATCH(B1328,{"enero","febrero","marzo","abril","mayo","junio","julio","agosto","septiembre","octubre","noviembre","diciembre"},0)+1,0))</f>
        <v/>
      </c>
      <c r="E1328" t="str">
        <f>+IFERROR(VLOOKUP(Fact_Impuestos[[#This Row], [Concepto Anterior]],Conceptos_Impuestos[#All],5,0),"")</f>
        <v/>
      </c>
      <c r="F1328" t="str">
        <f>+IFERROR(VLOOKUP(Fact_Impuestos[[#This Row], 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ht="18.75" customHeight="1" x14ac:dyDescent="0.35">
      <c r="C1329" s="100" t="str">
        <f>IF(OR(Fact_Impuestos[[#This Row], [Año]]="",Fact_Impuestos[[#This Row], [Mes]]=""),"",DATE(A1329,MATCH(B1329,{"enero","febrero","marzo","abril","mayo","junio","julio","agosto","septiembre","octubre","noviembre","diciembre"},0)+1,0))</f>
        <v/>
      </c>
      <c r="E1329" t="str">
        <f>+IFERROR(VLOOKUP(Fact_Impuestos[[#This Row], [Concepto Anterior]],Conceptos_Impuestos[#All],5,0),"")</f>
        <v/>
      </c>
      <c r="F1329" t="str">
        <f>+IFERROR(VLOOKUP(Fact_Impuestos[[#This Row], 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ht="18.75" customHeight="1" x14ac:dyDescent="0.35">
      <c r="C1330" s="100" t="str">
        <f>IF(OR(Fact_Impuestos[[#This Row], [Año]]="",Fact_Impuestos[[#This Row], [Mes]]=""),"",DATE(A1330,MATCH(B1330,{"enero","febrero","marzo","abril","mayo","junio","julio","agosto","septiembre","octubre","noviembre","diciembre"},0)+1,0))</f>
        <v/>
      </c>
      <c r="E1330" t="str">
        <f>+IFERROR(VLOOKUP(Fact_Impuestos[[#This Row], [Concepto Anterior]],Conceptos_Impuestos[#All],5,0),"")</f>
        <v/>
      </c>
      <c r="F1330" t="str">
        <f>+IFERROR(VLOOKUP(Fact_Impuestos[[#This Row], 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ht="18.75" customHeight="1" x14ac:dyDescent="0.35">
      <c r="C1331" s="100" t="str">
        <f>IF(OR(Fact_Impuestos[[#This Row], [Año]]="",Fact_Impuestos[[#This Row], [Mes]]=""),"",DATE(A1331,MATCH(B1331,{"enero","febrero","marzo","abril","mayo","junio","julio","agosto","septiembre","octubre","noviembre","diciembre"},0)+1,0))</f>
        <v/>
      </c>
      <c r="E1331" t="str">
        <f>+IFERROR(VLOOKUP(Fact_Impuestos[[#This Row], [Concepto Anterior]],Conceptos_Impuestos[#All],5,0),"")</f>
        <v/>
      </c>
      <c r="F1331" t="str">
        <f>+IFERROR(VLOOKUP(Fact_Impuestos[[#This Row], 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ht="18.75" customHeight="1" x14ac:dyDescent="0.35">
      <c r="C1332" s="100" t="str">
        <f>IF(OR(Fact_Impuestos[[#This Row], [Año]]="",Fact_Impuestos[[#This Row], [Mes]]=""),"",DATE(A1332,MATCH(B1332,{"enero","febrero","marzo","abril","mayo","junio","julio","agosto","septiembre","octubre","noviembre","diciembre"},0)+1,0))</f>
        <v/>
      </c>
      <c r="E1332" t="str">
        <f>+IFERROR(VLOOKUP(Fact_Impuestos[[#This Row], [Concepto Anterior]],Conceptos_Impuestos[#All],5,0),"")</f>
        <v/>
      </c>
      <c r="F1332" t="str">
        <f>+IFERROR(VLOOKUP(Fact_Impuestos[[#This Row], 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ht="18.75" customHeight="1" x14ac:dyDescent="0.35">
      <c r="C1333" s="100" t="str">
        <f>IF(OR(Fact_Impuestos[[#This Row], [Año]]="",Fact_Impuestos[[#This Row], [Mes]]=""),"",DATE(A1333,MATCH(B1333,{"enero","febrero","marzo","abril","mayo","junio","julio","agosto","septiembre","octubre","noviembre","diciembre"},0)+1,0))</f>
        <v/>
      </c>
      <c r="E1333" t="str">
        <f>+IFERROR(VLOOKUP(Fact_Impuestos[[#This Row], [Concepto Anterior]],Conceptos_Impuestos[#All],5,0),"")</f>
        <v/>
      </c>
      <c r="F1333" t="str">
        <f>+IFERROR(VLOOKUP(Fact_Impuestos[[#This Row], 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ht="18.75" customHeight="1" x14ac:dyDescent="0.35">
      <c r="C1334" s="100" t="str">
        <f>IF(OR(Fact_Impuestos[[#This Row], [Año]]="",Fact_Impuestos[[#This Row], [Mes]]=""),"",DATE(A1334,MATCH(B1334,{"enero","febrero","marzo","abril","mayo","junio","julio","agosto","septiembre","octubre","noviembre","diciembre"},0)+1,0))</f>
        <v/>
      </c>
      <c r="E1334" t="str">
        <f>+IFERROR(VLOOKUP(Fact_Impuestos[[#This Row], [Concepto Anterior]],Conceptos_Impuestos[#All],5,0),"")</f>
        <v/>
      </c>
      <c r="F1334" t="str">
        <f>+IFERROR(VLOOKUP(Fact_Impuestos[[#This Row], 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ht="18.75" customHeight="1" x14ac:dyDescent="0.35">
      <c r="C1335" s="100" t="str">
        <f>IF(OR(Fact_Impuestos[[#This Row], [Año]]="",Fact_Impuestos[[#This Row], [Mes]]=""),"",DATE(A1335,MATCH(B1335,{"enero","febrero","marzo","abril","mayo","junio","julio","agosto","septiembre","octubre","noviembre","diciembre"},0)+1,0))</f>
        <v/>
      </c>
      <c r="E1335" t="str">
        <f>+IFERROR(VLOOKUP(Fact_Impuestos[[#This Row], [Concepto Anterior]],Conceptos_Impuestos[#All],5,0),"")</f>
        <v/>
      </c>
      <c r="F1335" t="str">
        <f>+IFERROR(VLOOKUP(Fact_Impuestos[[#This Row], 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ht="18.75" customHeight="1" x14ac:dyDescent="0.35">
      <c r="C1336" s="100" t="str">
        <f>IF(OR(Fact_Impuestos[[#This Row], [Año]]="",Fact_Impuestos[[#This Row], [Mes]]=""),"",DATE(A1336,MATCH(B1336,{"enero","febrero","marzo","abril","mayo","junio","julio","agosto","septiembre","octubre","noviembre","diciembre"},0)+1,0))</f>
        <v/>
      </c>
      <c r="E1336" t="str">
        <f>+IFERROR(VLOOKUP(Fact_Impuestos[[#This Row], [Concepto Anterior]],Conceptos_Impuestos[#All],5,0),"")</f>
        <v/>
      </c>
      <c r="F1336" t="str">
        <f>+IFERROR(VLOOKUP(Fact_Impuestos[[#This Row], 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ht="18.75" customHeight="1" x14ac:dyDescent="0.35">
      <c r="C1337" s="100" t="str">
        <f>IF(OR(Fact_Impuestos[[#This Row], [Año]]="",Fact_Impuestos[[#This Row], [Mes]]=""),"",DATE(A1337,MATCH(B1337,{"enero","febrero","marzo","abril","mayo","junio","julio","agosto","septiembre","octubre","noviembre","diciembre"},0)+1,0))</f>
        <v/>
      </c>
      <c r="E1337" t="str">
        <f>+IFERROR(VLOOKUP(Fact_Impuestos[[#This Row], [Concepto Anterior]],Conceptos_Impuestos[#All],5,0),"")</f>
        <v/>
      </c>
      <c r="F1337" t="str">
        <f>+IFERROR(VLOOKUP(Fact_Impuestos[[#This Row], 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ht="18.75" customHeight="1" x14ac:dyDescent="0.35">
      <c r="C1338" s="100" t="str">
        <f>IF(OR(Fact_Impuestos[[#This Row], [Año]]="",Fact_Impuestos[[#This Row], [Mes]]=""),"",DATE(A1338,MATCH(B1338,{"enero","febrero","marzo","abril","mayo","junio","julio","agosto","septiembre","octubre","noviembre","diciembre"},0)+1,0))</f>
        <v/>
      </c>
      <c r="E1338" t="str">
        <f>+IFERROR(VLOOKUP(Fact_Impuestos[[#This Row], [Concepto Anterior]],Conceptos_Impuestos[#All],5,0),"")</f>
        <v/>
      </c>
      <c r="F1338" t="str">
        <f>+IFERROR(VLOOKUP(Fact_Impuestos[[#This Row], 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ht="18.75" customHeight="1" x14ac:dyDescent="0.35">
      <c r="C1339" s="100" t="str">
        <f>IF(OR(Fact_Impuestos[[#This Row], [Año]]="",Fact_Impuestos[[#This Row], [Mes]]=""),"",DATE(A1339,MATCH(B1339,{"enero","febrero","marzo","abril","mayo","junio","julio","agosto","septiembre","octubre","noviembre","diciembre"},0)+1,0))</f>
        <v/>
      </c>
      <c r="E1339" t="str">
        <f>+IFERROR(VLOOKUP(Fact_Impuestos[[#This Row], [Concepto Anterior]],Conceptos_Impuestos[#All],5,0),"")</f>
        <v/>
      </c>
      <c r="F1339" t="str">
        <f>+IFERROR(VLOOKUP(Fact_Impuestos[[#This Row], 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ht="18.75" customHeight="1" x14ac:dyDescent="0.35">
      <c r="C1340" s="100" t="str">
        <f>IF(OR(Fact_Impuestos[[#This Row], [Año]]="",Fact_Impuestos[[#This Row], [Mes]]=""),"",DATE(A1340,MATCH(B1340,{"enero","febrero","marzo","abril","mayo","junio","julio","agosto","septiembre","octubre","noviembre","diciembre"},0)+1,0))</f>
        <v/>
      </c>
      <c r="E1340" t="str">
        <f>+IFERROR(VLOOKUP(Fact_Impuestos[[#This Row], [Concepto Anterior]],Conceptos_Impuestos[#All],5,0),"")</f>
        <v/>
      </c>
      <c r="F1340" t="str">
        <f>+IFERROR(VLOOKUP(Fact_Impuestos[[#This Row], 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ht="18.75" customHeight="1" x14ac:dyDescent="0.35">
      <c r="C1341" s="100" t="str">
        <f>IF(OR(Fact_Impuestos[[#This Row], [Año]]="",Fact_Impuestos[[#This Row], [Mes]]=""),"",DATE(A1341,MATCH(B1341,{"enero","febrero","marzo","abril","mayo","junio","julio","agosto","septiembre","octubre","noviembre","diciembre"},0)+1,0))</f>
        <v/>
      </c>
      <c r="E1341" t="str">
        <f>+IFERROR(VLOOKUP(Fact_Impuestos[[#This Row], [Concepto Anterior]],Conceptos_Impuestos[#All],5,0),"")</f>
        <v/>
      </c>
      <c r="F1341" t="str">
        <f>+IFERROR(VLOOKUP(Fact_Impuestos[[#This Row], 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ht="18.75" customHeight="1" x14ac:dyDescent="0.35">
      <c r="C1342" s="100" t="str">
        <f>IF(OR(Fact_Impuestos[[#This Row], [Año]]="",Fact_Impuestos[[#This Row], [Mes]]=""),"",DATE(A1342,MATCH(B1342,{"enero","febrero","marzo","abril","mayo","junio","julio","agosto","septiembre","octubre","noviembre","diciembre"},0)+1,0))</f>
        <v/>
      </c>
      <c r="E1342" t="str">
        <f>+IFERROR(VLOOKUP(Fact_Impuestos[[#This Row], [Concepto Anterior]],Conceptos_Impuestos[#All],5,0),"")</f>
        <v/>
      </c>
      <c r="F1342" t="str">
        <f>+IFERROR(VLOOKUP(Fact_Impuestos[[#This Row], 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ht="18.75" customHeight="1" x14ac:dyDescent="0.35">
      <c r="C1343" s="100" t="str">
        <f>IF(OR(Fact_Impuestos[[#This Row], [Año]]="",Fact_Impuestos[[#This Row], [Mes]]=""),"",DATE(A1343,MATCH(B1343,{"enero","febrero","marzo","abril","mayo","junio","julio","agosto","septiembre","octubre","noviembre","diciembre"},0)+1,0))</f>
        <v/>
      </c>
      <c r="E1343" t="str">
        <f>+IFERROR(VLOOKUP(Fact_Impuestos[[#This Row], [Concepto Anterior]],Conceptos_Impuestos[#All],5,0),"")</f>
        <v/>
      </c>
      <c r="F1343" t="str">
        <f>+IFERROR(VLOOKUP(Fact_Impuestos[[#This Row], 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ht="18.75" customHeight="1" x14ac:dyDescent="0.35">
      <c r="C1344" s="100" t="str">
        <f>IF(OR(Fact_Impuestos[[#This Row], [Año]]="",Fact_Impuestos[[#This Row], [Mes]]=""),"",DATE(A1344,MATCH(B1344,{"enero","febrero","marzo","abril","mayo","junio","julio","agosto","septiembre","octubre","noviembre","diciembre"},0)+1,0))</f>
        <v/>
      </c>
      <c r="E1344" t="str">
        <f>+IFERROR(VLOOKUP(Fact_Impuestos[[#This Row], [Concepto Anterior]],Conceptos_Impuestos[#All],5,0),"")</f>
        <v/>
      </c>
      <c r="F1344" t="str">
        <f>+IFERROR(VLOOKUP(Fact_Impuestos[[#This Row], 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ht="18.75" customHeight="1" x14ac:dyDescent="0.35">
      <c r="C1345" s="100" t="str">
        <f>IF(OR(Fact_Impuestos[[#This Row], [Año]]="",Fact_Impuestos[[#This Row], [Mes]]=""),"",DATE(A1345,MATCH(B1345,{"enero","febrero","marzo","abril","mayo","junio","julio","agosto","septiembre","octubre","noviembre","diciembre"},0)+1,0))</f>
        <v/>
      </c>
      <c r="E1345" t="str">
        <f>+IFERROR(VLOOKUP(Fact_Impuestos[[#This Row], [Concepto Anterior]],Conceptos_Impuestos[#All],5,0),"")</f>
        <v/>
      </c>
      <c r="F1345" t="str">
        <f>+IFERROR(VLOOKUP(Fact_Impuestos[[#This Row], 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ht="18.75" customHeight="1" x14ac:dyDescent="0.35">
      <c r="C1346" s="100" t="str">
        <f>IF(OR(Fact_Impuestos[[#This Row], [Año]]="",Fact_Impuestos[[#This Row], [Mes]]=""),"",DATE(A1346,MATCH(B1346,{"enero","febrero","marzo","abril","mayo","junio","julio","agosto","septiembre","octubre","noviembre","diciembre"},0)+1,0))</f>
        <v/>
      </c>
      <c r="E1346" t="str">
        <f>+IFERROR(VLOOKUP(Fact_Impuestos[[#This Row], [Concepto Anterior]],Conceptos_Impuestos[#All],5,0),"")</f>
        <v/>
      </c>
      <c r="F1346" t="str">
        <f>+IFERROR(VLOOKUP(Fact_Impuestos[[#This Row], 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ht="18.75" customHeight="1" x14ac:dyDescent="0.35">
      <c r="C1347" s="100" t="str">
        <f>IF(OR(Fact_Impuestos[[#This Row], [Año]]="",Fact_Impuestos[[#This Row], [Mes]]=""),"",DATE(A1347,MATCH(B1347,{"enero","febrero","marzo","abril","mayo","junio","julio","agosto","septiembre","octubre","noviembre","diciembre"},0)+1,0))</f>
        <v/>
      </c>
      <c r="E1347" t="str">
        <f>+IFERROR(VLOOKUP(Fact_Impuestos[[#This Row], [Concepto Anterior]],Conceptos_Impuestos[#All],5,0),"")</f>
        <v/>
      </c>
      <c r="F1347" t="str">
        <f>+IFERROR(VLOOKUP(Fact_Impuestos[[#This Row], 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ht="18.75" customHeight="1" x14ac:dyDescent="0.35">
      <c r="C1348" s="100" t="str">
        <f>IF(OR(Fact_Impuestos[[#This Row], [Año]]="",Fact_Impuestos[[#This Row], [Mes]]=""),"",DATE(A1348,MATCH(B1348,{"enero","febrero","marzo","abril","mayo","junio","julio","agosto","septiembre","octubre","noviembre","diciembre"},0)+1,0))</f>
        <v/>
      </c>
      <c r="E1348" t="str">
        <f>+IFERROR(VLOOKUP(Fact_Impuestos[[#This Row], [Concepto Anterior]],Conceptos_Impuestos[#All],5,0),"")</f>
        <v/>
      </c>
      <c r="F1348" t="str">
        <f>+IFERROR(VLOOKUP(Fact_Impuestos[[#This Row], 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ht="18.75" customHeight="1" x14ac:dyDescent="0.35">
      <c r="C1349" s="100" t="str">
        <f>IF(OR(Fact_Impuestos[[#This Row], [Año]]="",Fact_Impuestos[[#This Row], [Mes]]=""),"",DATE(A1349,MATCH(B1349,{"enero","febrero","marzo","abril","mayo","junio","julio","agosto","septiembre","octubre","noviembre","diciembre"},0)+1,0))</f>
        <v/>
      </c>
      <c r="E1349" t="str">
        <f>+IFERROR(VLOOKUP(Fact_Impuestos[[#This Row], [Concepto Anterior]],Conceptos_Impuestos[#All],5,0),"")</f>
        <v/>
      </c>
      <c r="F1349" t="str">
        <f>+IFERROR(VLOOKUP(Fact_Impuestos[[#This Row], 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ht="18.75" customHeight="1" x14ac:dyDescent="0.35">
      <c r="C1350" s="100" t="str">
        <f>IF(OR(Fact_Impuestos[[#This Row], [Año]]="",Fact_Impuestos[[#This Row], [Mes]]=""),"",DATE(A1350,MATCH(B1350,{"enero","febrero","marzo","abril","mayo","junio","julio","agosto","septiembre","octubre","noviembre","diciembre"},0)+1,0))</f>
        <v/>
      </c>
      <c r="E1350" t="str">
        <f>+IFERROR(VLOOKUP(Fact_Impuestos[[#This Row], [Concepto Anterior]],Conceptos_Impuestos[#All],5,0),"")</f>
        <v/>
      </c>
      <c r="F1350" t="str">
        <f>+IFERROR(VLOOKUP(Fact_Impuestos[[#This Row], 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ht="18.75" customHeight="1" x14ac:dyDescent="0.35">
      <c r="C1351" s="100" t="str">
        <f>IF(OR(Fact_Impuestos[[#This Row], [Año]]="",Fact_Impuestos[[#This Row], [Mes]]=""),"",DATE(A1351,MATCH(B1351,{"enero","febrero","marzo","abril","mayo","junio","julio","agosto","septiembre","octubre","noviembre","diciembre"},0)+1,0))</f>
        <v/>
      </c>
      <c r="E1351" t="str">
        <f>+IFERROR(VLOOKUP(Fact_Impuestos[[#This Row], [Concepto Anterior]],Conceptos_Impuestos[#All],5,0),"")</f>
        <v/>
      </c>
      <c r="F1351" t="str">
        <f>+IFERROR(VLOOKUP(Fact_Impuestos[[#This Row], 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ht="18.75" customHeight="1" x14ac:dyDescent="0.35">
      <c r="C1352" s="100" t="str">
        <f>IF(OR(Fact_Impuestos[[#This Row], [Año]]="",Fact_Impuestos[[#This Row], [Mes]]=""),"",DATE(A1352,MATCH(B1352,{"enero","febrero","marzo","abril","mayo","junio","julio","agosto","septiembre","octubre","noviembre","diciembre"},0)+1,0))</f>
        <v/>
      </c>
      <c r="E1352" t="str">
        <f>+IFERROR(VLOOKUP(Fact_Impuestos[[#This Row], [Concepto Anterior]],Conceptos_Impuestos[#All],5,0),"")</f>
        <v/>
      </c>
      <c r="F1352" t="str">
        <f>+IFERROR(VLOOKUP(Fact_Impuestos[[#This Row], 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ht="18.75" customHeight="1" x14ac:dyDescent="0.35">
      <c r="C1353" s="100" t="str">
        <f>IF(OR(Fact_Impuestos[[#This Row], [Año]]="",Fact_Impuestos[[#This Row], [Mes]]=""),"",DATE(A1353,MATCH(B1353,{"enero","febrero","marzo","abril","mayo","junio","julio","agosto","septiembre","octubre","noviembre","diciembre"},0)+1,0))</f>
        <v/>
      </c>
      <c r="E1353" t="str">
        <f>+IFERROR(VLOOKUP(Fact_Impuestos[[#This Row], [Concepto Anterior]],Conceptos_Impuestos[#All],5,0),"")</f>
        <v/>
      </c>
      <c r="F1353" t="str">
        <f>+IFERROR(VLOOKUP(Fact_Impuestos[[#This Row], 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ht="18.75" customHeight="1" x14ac:dyDescent="0.35">
      <c r="C1354" s="100" t="str">
        <f>IF(OR(Fact_Impuestos[[#This Row], [Año]]="",Fact_Impuestos[[#This Row], [Mes]]=""),"",DATE(A1354,MATCH(B1354,{"enero","febrero","marzo","abril","mayo","junio","julio","agosto","septiembre","octubre","noviembre","diciembre"},0)+1,0))</f>
        <v/>
      </c>
      <c r="E1354" t="str">
        <f>+IFERROR(VLOOKUP(Fact_Impuestos[[#This Row], [Concepto Anterior]],Conceptos_Impuestos[#All],5,0),"")</f>
        <v/>
      </c>
      <c r="F1354" t="str">
        <f>+IFERROR(VLOOKUP(Fact_Impuestos[[#This Row], 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ht="18.75" customHeight="1" x14ac:dyDescent="0.35">
      <c r="C1355" s="100" t="str">
        <f>IF(OR(Fact_Impuestos[[#This Row], [Año]]="",Fact_Impuestos[[#This Row], [Mes]]=""),"",DATE(A1355,MATCH(B1355,{"enero","febrero","marzo","abril","mayo","junio","julio","agosto","septiembre","octubre","noviembre","diciembre"},0)+1,0))</f>
        <v/>
      </c>
      <c r="E1355" t="str">
        <f>+IFERROR(VLOOKUP(Fact_Impuestos[[#This Row], [Concepto Anterior]],Conceptos_Impuestos[#All],5,0),"")</f>
        <v/>
      </c>
      <c r="F1355" t="str">
        <f>+IFERROR(VLOOKUP(Fact_Impuestos[[#This Row], 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ht="18.75" customHeight="1" x14ac:dyDescent="0.35">
      <c r="C1356" s="100" t="str">
        <f>IF(OR(Fact_Impuestos[[#This Row], [Año]]="",Fact_Impuestos[[#This Row], [Mes]]=""),"",DATE(A1356,MATCH(B1356,{"enero","febrero","marzo","abril","mayo","junio","julio","agosto","septiembre","octubre","noviembre","diciembre"},0)+1,0))</f>
        <v/>
      </c>
      <c r="E1356" t="str">
        <f>+IFERROR(VLOOKUP(Fact_Impuestos[[#This Row], [Concepto Anterior]],Conceptos_Impuestos[#All],5,0),"")</f>
        <v/>
      </c>
      <c r="F1356" t="str">
        <f>+IFERROR(VLOOKUP(Fact_Impuestos[[#This Row], 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ht="18.75" customHeight="1" x14ac:dyDescent="0.35">
      <c r="C1357" s="100" t="str">
        <f>IF(OR(Fact_Impuestos[[#This Row], [Año]]="",Fact_Impuestos[[#This Row], [Mes]]=""),"",DATE(A1357,MATCH(B1357,{"enero","febrero","marzo","abril","mayo","junio","julio","agosto","septiembre","octubre","noviembre","diciembre"},0)+1,0))</f>
        <v/>
      </c>
      <c r="E1357" t="str">
        <f>+IFERROR(VLOOKUP(Fact_Impuestos[[#This Row], [Concepto Anterior]],Conceptos_Impuestos[#All],5,0),"")</f>
        <v/>
      </c>
      <c r="F1357" t="str">
        <f>+IFERROR(VLOOKUP(Fact_Impuestos[[#This Row], 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ht="18.75" customHeight="1" x14ac:dyDescent="0.35">
      <c r="C1358" s="100" t="str">
        <f>IF(OR(Fact_Impuestos[[#This Row], [Año]]="",Fact_Impuestos[[#This Row], [Mes]]=""),"",DATE(A1358,MATCH(B1358,{"enero","febrero","marzo","abril","mayo","junio","julio","agosto","septiembre","octubre","noviembre","diciembre"},0)+1,0))</f>
        <v/>
      </c>
      <c r="E1358" t="str">
        <f>+IFERROR(VLOOKUP(Fact_Impuestos[[#This Row], [Concepto Anterior]],Conceptos_Impuestos[#All],5,0),"")</f>
        <v/>
      </c>
      <c r="F1358" t="str">
        <f>+IFERROR(VLOOKUP(Fact_Impuestos[[#This Row], 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ht="18.75" customHeight="1" x14ac:dyDescent="0.35">
      <c r="C1359" s="100" t="str">
        <f>IF(OR(Fact_Impuestos[[#This Row], [Año]]="",Fact_Impuestos[[#This Row], [Mes]]=""),"",DATE(A1359,MATCH(B1359,{"enero","febrero","marzo","abril","mayo","junio","julio","agosto","septiembre","octubre","noviembre","diciembre"},0)+1,0))</f>
        <v/>
      </c>
      <c r="E1359" t="str">
        <f>+IFERROR(VLOOKUP(Fact_Impuestos[[#This Row], [Concepto Anterior]],Conceptos_Impuestos[#All],5,0),"")</f>
        <v/>
      </c>
      <c r="F1359" t="str">
        <f>+IFERROR(VLOOKUP(Fact_Impuestos[[#This Row], 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ht="18.75" customHeight="1" x14ac:dyDescent="0.35">
      <c r="C1360" s="100" t="str">
        <f>IF(OR(Fact_Impuestos[[#This Row], [Año]]="",Fact_Impuestos[[#This Row], [Mes]]=""),"",DATE(A1360,MATCH(B1360,{"enero","febrero","marzo","abril","mayo","junio","julio","agosto","septiembre","octubre","noviembre","diciembre"},0)+1,0))</f>
        <v/>
      </c>
      <c r="E1360" t="str">
        <f>+IFERROR(VLOOKUP(Fact_Impuestos[[#This Row], [Concepto Anterior]],Conceptos_Impuestos[#All],5,0),"")</f>
        <v/>
      </c>
      <c r="F1360" t="str">
        <f>+IFERROR(VLOOKUP(Fact_Impuestos[[#This Row], 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ht="18.75" customHeight="1" x14ac:dyDescent="0.35">
      <c r="C1361" s="100" t="str">
        <f>IF(OR(Fact_Impuestos[[#This Row], [Año]]="",Fact_Impuestos[[#This Row], [Mes]]=""),"",DATE(A1361,MATCH(B1361,{"enero","febrero","marzo","abril","mayo","junio","julio","agosto","septiembre","octubre","noviembre","diciembre"},0)+1,0))</f>
        <v/>
      </c>
      <c r="E1361" t="str">
        <f>+IFERROR(VLOOKUP(Fact_Impuestos[[#This Row], [Concepto Anterior]],Conceptos_Impuestos[#All],5,0),"")</f>
        <v/>
      </c>
      <c r="F1361" t="str">
        <f>+IFERROR(VLOOKUP(Fact_Impuestos[[#This Row], 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ht="18.75" customHeight="1" x14ac:dyDescent="0.35">
      <c r="C1362" s="100" t="str">
        <f>IF(OR(Fact_Impuestos[[#This Row], [Año]]="",Fact_Impuestos[[#This Row], [Mes]]=""),"",DATE(A1362,MATCH(B1362,{"enero","febrero","marzo","abril","mayo","junio","julio","agosto","septiembre","octubre","noviembre","diciembre"},0)+1,0))</f>
        <v/>
      </c>
      <c r="E1362" t="str">
        <f>+IFERROR(VLOOKUP(Fact_Impuestos[[#This Row], [Concepto Anterior]],Conceptos_Impuestos[#All],5,0),"")</f>
        <v/>
      </c>
      <c r="F1362" t="str">
        <f>+IFERROR(VLOOKUP(Fact_Impuestos[[#This Row], 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ht="18.75" customHeight="1" x14ac:dyDescent="0.35">
      <c r="C1363" s="100" t="str">
        <f>IF(OR(Fact_Impuestos[[#This Row], [Año]]="",Fact_Impuestos[[#This Row], [Mes]]=""),"",DATE(A1363,MATCH(B1363,{"enero","febrero","marzo","abril","mayo","junio","julio","agosto","septiembre","octubre","noviembre","diciembre"},0)+1,0))</f>
        <v/>
      </c>
      <c r="E1363" t="str">
        <f>+IFERROR(VLOOKUP(Fact_Impuestos[[#This Row], [Concepto Anterior]],Conceptos_Impuestos[#All],5,0),"")</f>
        <v/>
      </c>
      <c r="F1363" t="str">
        <f>+IFERROR(VLOOKUP(Fact_Impuestos[[#This Row], 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ht="18.75" customHeight="1" x14ac:dyDescent="0.35">
      <c r="C1364" s="100" t="str">
        <f>IF(OR(Fact_Impuestos[[#This Row], [Año]]="",Fact_Impuestos[[#This Row], [Mes]]=""),"",DATE(A1364,MATCH(B1364,{"enero","febrero","marzo","abril","mayo","junio","julio","agosto","septiembre","octubre","noviembre","diciembre"},0)+1,0))</f>
        <v/>
      </c>
      <c r="E1364" t="str">
        <f>+IFERROR(VLOOKUP(Fact_Impuestos[[#This Row], [Concepto Anterior]],Conceptos_Impuestos[#All],5,0),"")</f>
        <v/>
      </c>
      <c r="F1364" t="str">
        <f>+IFERROR(VLOOKUP(Fact_Impuestos[[#This Row], 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ht="18.75" customHeight="1" x14ac:dyDescent="0.35">
      <c r="C1365" s="100" t="str">
        <f>IF(OR(Fact_Impuestos[[#This Row], [Año]]="",Fact_Impuestos[[#This Row], [Mes]]=""),"",DATE(A1365,MATCH(B1365,{"enero","febrero","marzo","abril","mayo","junio","julio","agosto","septiembre","octubre","noviembre","diciembre"},0)+1,0))</f>
        <v/>
      </c>
      <c r="E1365" t="str">
        <f>+IFERROR(VLOOKUP(Fact_Impuestos[[#This Row], [Concepto Anterior]],Conceptos_Impuestos[#All],5,0),"")</f>
        <v/>
      </c>
      <c r="F1365" t="str">
        <f>+IFERROR(VLOOKUP(Fact_Impuestos[[#This Row], 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ht="18.75" customHeight="1" x14ac:dyDescent="0.35">
      <c r="C1366" s="100" t="str">
        <f>IF(OR(Fact_Impuestos[[#This Row], [Año]]="",Fact_Impuestos[[#This Row], [Mes]]=""),"",DATE(A1366,MATCH(B1366,{"enero","febrero","marzo","abril","mayo","junio","julio","agosto","septiembre","octubre","noviembre","diciembre"},0)+1,0))</f>
        <v/>
      </c>
      <c r="E1366" t="str">
        <f>+IFERROR(VLOOKUP(Fact_Impuestos[[#This Row], [Concepto Anterior]],Conceptos_Impuestos[#All],5,0),"")</f>
        <v/>
      </c>
      <c r="F1366" t="str">
        <f>+IFERROR(VLOOKUP(Fact_Impuestos[[#This Row], 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ht="18.75" customHeight="1" x14ac:dyDescent="0.35">
      <c r="C1367" s="100" t="str">
        <f>IF(OR(Fact_Impuestos[[#This Row], [Año]]="",Fact_Impuestos[[#This Row], [Mes]]=""),"",DATE(A1367,MATCH(B1367,{"enero","febrero","marzo","abril","mayo","junio","julio","agosto","septiembre","octubre","noviembre","diciembre"},0)+1,0))</f>
        <v/>
      </c>
      <c r="E1367" t="str">
        <f>+IFERROR(VLOOKUP(Fact_Impuestos[[#This Row], [Concepto Anterior]],Conceptos_Impuestos[#All],5,0),"")</f>
        <v/>
      </c>
      <c r="F1367" t="str">
        <f>+IFERROR(VLOOKUP(Fact_Impuestos[[#This Row], 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ht="18.75" customHeight="1" x14ac:dyDescent="0.35">
      <c r="C1368" s="100" t="str">
        <f>IF(OR(Fact_Impuestos[[#This Row], [Año]]="",Fact_Impuestos[[#This Row], [Mes]]=""),"",DATE(A1368,MATCH(B1368,{"enero","febrero","marzo","abril","mayo","junio","julio","agosto","septiembre","octubre","noviembre","diciembre"},0)+1,0))</f>
        <v/>
      </c>
      <c r="E1368" t="str">
        <f>+IFERROR(VLOOKUP(Fact_Impuestos[[#This Row], [Concepto Anterior]],Conceptos_Impuestos[#All],5,0),"")</f>
        <v/>
      </c>
      <c r="F1368" t="str">
        <f>+IFERROR(VLOOKUP(Fact_Impuestos[[#This Row], 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ht="18.75" customHeight="1" x14ac:dyDescent="0.35">
      <c r="C1369" s="100" t="str">
        <f>IF(OR(Fact_Impuestos[[#This Row], [Año]]="",Fact_Impuestos[[#This Row], [Mes]]=""),"",DATE(A1369,MATCH(B1369,{"enero","febrero","marzo","abril","mayo","junio","julio","agosto","septiembre","octubre","noviembre","diciembre"},0)+1,0))</f>
        <v/>
      </c>
      <c r="E1369" t="str">
        <f>+IFERROR(VLOOKUP(Fact_Impuestos[[#This Row], [Concepto Anterior]],Conceptos_Impuestos[#All],5,0),"")</f>
        <v/>
      </c>
      <c r="F1369" t="str">
        <f>+IFERROR(VLOOKUP(Fact_Impuestos[[#This Row], 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ht="18.75" customHeight="1" x14ac:dyDescent="0.35">
      <c r="C1370" s="100" t="str">
        <f>IF(OR(Fact_Impuestos[[#This Row], [Año]]="",Fact_Impuestos[[#This Row], [Mes]]=""),"",DATE(A1370,MATCH(B1370,{"enero","febrero","marzo","abril","mayo","junio","julio","agosto","septiembre","octubre","noviembre","diciembre"},0)+1,0))</f>
        <v/>
      </c>
      <c r="E1370" t="str">
        <f>+IFERROR(VLOOKUP(Fact_Impuestos[[#This Row], [Concepto Anterior]],Conceptos_Impuestos[#All],5,0),"")</f>
        <v/>
      </c>
      <c r="F1370" t="str">
        <f>+IFERROR(VLOOKUP(Fact_Impuestos[[#This Row], 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ht="18.75" customHeight="1" x14ac:dyDescent="0.35">
      <c r="C1371" s="100" t="str">
        <f>IF(OR(Fact_Impuestos[[#This Row], [Año]]="",Fact_Impuestos[[#This Row], [Mes]]=""),"",DATE(A1371,MATCH(B1371,{"enero","febrero","marzo","abril","mayo","junio","julio","agosto","septiembre","octubre","noviembre","diciembre"},0)+1,0))</f>
        <v/>
      </c>
      <c r="E1371" t="str">
        <f>+IFERROR(VLOOKUP(Fact_Impuestos[[#This Row], [Concepto Anterior]],Conceptos_Impuestos[#All],5,0),"")</f>
        <v/>
      </c>
      <c r="F1371" t="str">
        <f>+IFERROR(VLOOKUP(Fact_Impuestos[[#This Row], 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ht="18.75" customHeight="1" x14ac:dyDescent="0.35">
      <c r="C1372" s="100" t="str">
        <f>IF(OR(Fact_Impuestos[[#This Row], [Año]]="",Fact_Impuestos[[#This Row], [Mes]]=""),"",DATE(A1372,MATCH(B1372,{"enero","febrero","marzo","abril","mayo","junio","julio","agosto","septiembre","octubre","noviembre","diciembre"},0)+1,0))</f>
        <v/>
      </c>
      <c r="E1372" t="str">
        <f>+IFERROR(VLOOKUP(Fact_Impuestos[[#This Row], [Concepto Anterior]],Conceptos_Impuestos[#All],5,0),"")</f>
        <v/>
      </c>
      <c r="F1372" t="str">
        <f>+IFERROR(VLOOKUP(Fact_Impuestos[[#This Row], 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ht="18.75" customHeight="1" x14ac:dyDescent="0.35">
      <c r="C1373" s="100" t="str">
        <f>IF(OR(Fact_Impuestos[[#This Row], [Año]]="",Fact_Impuestos[[#This Row], [Mes]]=""),"",DATE(A1373,MATCH(B1373,{"enero","febrero","marzo","abril","mayo","junio","julio","agosto","septiembre","octubre","noviembre","diciembre"},0)+1,0))</f>
        <v/>
      </c>
      <c r="E1373" t="str">
        <f>+IFERROR(VLOOKUP(Fact_Impuestos[[#This Row], [Concepto Anterior]],Conceptos_Impuestos[#All],5,0),"")</f>
        <v/>
      </c>
      <c r="F1373" t="str">
        <f>+IFERROR(VLOOKUP(Fact_Impuestos[[#This Row], 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ht="18.75" customHeight="1" x14ac:dyDescent="0.35">
      <c r="C1374" s="100" t="str">
        <f>IF(OR(Fact_Impuestos[[#This Row], [Año]]="",Fact_Impuestos[[#This Row], [Mes]]=""),"",DATE(A1374,MATCH(B1374,{"enero","febrero","marzo","abril","mayo","junio","julio","agosto","septiembre","octubre","noviembre","diciembre"},0)+1,0))</f>
        <v/>
      </c>
      <c r="E1374" t="str">
        <f>+IFERROR(VLOOKUP(Fact_Impuestos[[#This Row], [Concepto Anterior]],Conceptos_Impuestos[#All],5,0),"")</f>
        <v/>
      </c>
      <c r="F1374" t="str">
        <f>+IFERROR(VLOOKUP(Fact_Impuestos[[#This Row], 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ht="18.75" customHeight="1" x14ac:dyDescent="0.35">
      <c r="C1375" s="100" t="str">
        <f>IF(OR(Fact_Impuestos[[#This Row], [Año]]="",Fact_Impuestos[[#This Row], [Mes]]=""),"",DATE(A1375,MATCH(B1375,{"enero","febrero","marzo","abril","mayo","junio","julio","agosto","septiembre","octubre","noviembre","diciembre"},0)+1,0))</f>
        <v/>
      </c>
      <c r="E1375" t="str">
        <f>+IFERROR(VLOOKUP(Fact_Impuestos[[#This Row], [Concepto Anterior]],Conceptos_Impuestos[#All],5,0),"")</f>
        <v/>
      </c>
      <c r="F1375" t="str">
        <f>+IFERROR(VLOOKUP(Fact_Impuestos[[#This Row], 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ht="18.75" customHeight="1" x14ac:dyDescent="0.35">
      <c r="C1376" s="100" t="str">
        <f>IF(OR(Fact_Impuestos[[#This Row], [Año]]="",Fact_Impuestos[[#This Row], [Mes]]=""),"",DATE(A1376,MATCH(B1376,{"enero","febrero","marzo","abril","mayo","junio","julio","agosto","septiembre","octubre","noviembre","diciembre"},0)+1,0))</f>
        <v/>
      </c>
      <c r="E1376" t="str">
        <f>+IFERROR(VLOOKUP(Fact_Impuestos[[#This Row], [Concepto Anterior]],Conceptos_Impuestos[#All],5,0),"")</f>
        <v/>
      </c>
      <c r="F1376" t="str">
        <f>+IFERROR(VLOOKUP(Fact_Impuestos[[#This Row], 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ht="18.75" customHeight="1" x14ac:dyDescent="0.35">
      <c r="C1377" s="100" t="str">
        <f>IF(OR(Fact_Impuestos[[#This Row], [Año]]="",Fact_Impuestos[[#This Row], [Mes]]=""),"",DATE(A1377,MATCH(B1377,{"enero","febrero","marzo","abril","mayo","junio","julio","agosto","septiembre","octubre","noviembre","diciembre"},0)+1,0))</f>
        <v/>
      </c>
      <c r="E1377" t="str">
        <f>+IFERROR(VLOOKUP(Fact_Impuestos[[#This Row], [Concepto Anterior]],Conceptos_Impuestos[#All],5,0),"")</f>
        <v/>
      </c>
      <c r="F1377" t="str">
        <f>+IFERROR(VLOOKUP(Fact_Impuestos[[#This Row], 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ht="18.75" customHeight="1" x14ac:dyDescent="0.35">
      <c r="C1378" s="100" t="str">
        <f>IF(OR(Fact_Impuestos[[#This Row], [Año]]="",Fact_Impuestos[[#This Row], [Mes]]=""),"",DATE(A1378,MATCH(B1378,{"enero","febrero","marzo","abril","mayo","junio","julio","agosto","septiembre","octubre","noviembre","diciembre"},0)+1,0))</f>
        <v/>
      </c>
      <c r="E1378" t="str">
        <f>+IFERROR(VLOOKUP(Fact_Impuestos[[#This Row], [Concepto Anterior]],Conceptos_Impuestos[#All],5,0),"")</f>
        <v/>
      </c>
      <c r="F1378" t="str">
        <f>+IFERROR(VLOOKUP(Fact_Impuestos[[#This Row], 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ht="18.75" customHeight="1" x14ac:dyDescent="0.35">
      <c r="C1379" s="100" t="str">
        <f>IF(OR(Fact_Impuestos[[#This Row], [Año]]="",Fact_Impuestos[[#This Row], [Mes]]=""),"",DATE(A1379,MATCH(B1379,{"enero","febrero","marzo","abril","mayo","junio","julio","agosto","septiembre","octubre","noviembre","diciembre"},0)+1,0))</f>
        <v/>
      </c>
      <c r="E1379" t="str">
        <f>+IFERROR(VLOOKUP(Fact_Impuestos[[#This Row], [Concepto Anterior]],Conceptos_Impuestos[#All],5,0),"")</f>
        <v/>
      </c>
      <c r="F1379" t="str">
        <f>+IFERROR(VLOOKUP(Fact_Impuestos[[#This Row], 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ht="18.75" customHeight="1" x14ac:dyDescent="0.35">
      <c r="C1380" s="100" t="str">
        <f>IF(OR(Fact_Impuestos[[#This Row], [Año]]="",Fact_Impuestos[[#This Row], [Mes]]=""),"",DATE(A1380,MATCH(B1380,{"enero","febrero","marzo","abril","mayo","junio","julio","agosto","septiembre","octubre","noviembre","diciembre"},0)+1,0))</f>
        <v/>
      </c>
      <c r="E1380" t="str">
        <f>+IFERROR(VLOOKUP(Fact_Impuestos[[#This Row], [Concepto Anterior]],Conceptos_Impuestos[#All],5,0),"")</f>
        <v/>
      </c>
      <c r="F1380" t="str">
        <f>+IFERROR(VLOOKUP(Fact_Impuestos[[#This Row], 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ht="18.75" customHeight="1" x14ac:dyDescent="0.35">
      <c r="C1381" s="100" t="str">
        <f>IF(OR(Fact_Impuestos[[#This Row], [Año]]="",Fact_Impuestos[[#This Row], [Mes]]=""),"",DATE(A1381,MATCH(B1381,{"enero","febrero","marzo","abril","mayo","junio","julio","agosto","septiembre","octubre","noviembre","diciembre"},0)+1,0))</f>
        <v/>
      </c>
      <c r="E1381" t="str">
        <f>+IFERROR(VLOOKUP(Fact_Impuestos[[#This Row], [Concepto Anterior]],Conceptos_Impuestos[#All],5,0),"")</f>
        <v/>
      </c>
      <c r="F1381" t="str">
        <f>+IFERROR(VLOOKUP(Fact_Impuestos[[#This Row], 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ht="18.75" customHeight="1" x14ac:dyDescent="0.35">
      <c r="C1382" s="100" t="str">
        <f>IF(OR(Fact_Impuestos[[#This Row], [Año]]="",Fact_Impuestos[[#This Row], [Mes]]=""),"",DATE(A1382,MATCH(B1382,{"enero","febrero","marzo","abril","mayo","junio","julio","agosto","septiembre","octubre","noviembre","diciembre"},0)+1,0))</f>
        <v/>
      </c>
      <c r="E1382" t="str">
        <f>+IFERROR(VLOOKUP(Fact_Impuestos[[#This Row], [Concepto Anterior]],Conceptos_Impuestos[#All],5,0),"")</f>
        <v/>
      </c>
      <c r="F1382" t="str">
        <f>+IFERROR(VLOOKUP(Fact_Impuestos[[#This Row], 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ht="18.75" customHeight="1" x14ac:dyDescent="0.35">
      <c r="C1383" s="100" t="str">
        <f>IF(OR(Fact_Impuestos[[#This Row], [Año]]="",Fact_Impuestos[[#This Row], [Mes]]=""),"",DATE(A1383,MATCH(B1383,{"enero","febrero","marzo","abril","mayo","junio","julio","agosto","septiembre","octubre","noviembre","diciembre"},0)+1,0))</f>
        <v/>
      </c>
      <c r="E1383" t="str">
        <f>+IFERROR(VLOOKUP(Fact_Impuestos[[#This Row], [Concepto Anterior]],Conceptos_Impuestos[#All],5,0),"")</f>
        <v/>
      </c>
      <c r="F1383" t="str">
        <f>+IFERROR(VLOOKUP(Fact_Impuestos[[#This Row], 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ht="18.75" customHeight="1" x14ac:dyDescent="0.35">
      <c r="C1384" s="100" t="str">
        <f>IF(OR(Fact_Impuestos[[#This Row], [Año]]="",Fact_Impuestos[[#This Row], [Mes]]=""),"",DATE(A1384,MATCH(B1384,{"enero","febrero","marzo","abril","mayo","junio","julio","agosto","septiembre","octubre","noviembre","diciembre"},0)+1,0))</f>
        <v/>
      </c>
      <c r="E1384" t="str">
        <f>+IFERROR(VLOOKUP(Fact_Impuestos[[#This Row], [Concepto Anterior]],Conceptos_Impuestos[#All],5,0),"")</f>
        <v/>
      </c>
      <c r="F1384" t="str">
        <f>+IFERROR(VLOOKUP(Fact_Impuestos[[#This Row], 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ht="18.75" customHeight="1" x14ac:dyDescent="0.35">
      <c r="C1385" s="100" t="str">
        <f>IF(OR(Fact_Impuestos[[#This Row], [Año]]="",Fact_Impuestos[[#This Row], [Mes]]=""),"",DATE(A1385,MATCH(B1385,{"enero","febrero","marzo","abril","mayo","junio","julio","agosto","septiembre","octubre","noviembre","diciembre"},0)+1,0))</f>
        <v/>
      </c>
      <c r="E1385" t="str">
        <f>+IFERROR(VLOOKUP(Fact_Impuestos[[#This Row], [Concepto Anterior]],Conceptos_Impuestos[#All],5,0),"")</f>
        <v/>
      </c>
      <c r="F1385" t="str">
        <f>+IFERROR(VLOOKUP(Fact_Impuestos[[#This Row], 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ht="18.75" customHeight="1" x14ac:dyDescent="0.35">
      <c r="C1386" s="100" t="str">
        <f>IF(OR(Fact_Impuestos[[#This Row], [Año]]="",Fact_Impuestos[[#This Row], [Mes]]=""),"",DATE(A1386,MATCH(B1386,{"enero","febrero","marzo","abril","mayo","junio","julio","agosto","septiembre","octubre","noviembre","diciembre"},0)+1,0))</f>
        <v/>
      </c>
      <c r="E1386" t="str">
        <f>+IFERROR(VLOOKUP(Fact_Impuestos[[#This Row], [Concepto Anterior]],Conceptos_Impuestos[#All],5,0),"")</f>
        <v/>
      </c>
      <c r="F1386" t="str">
        <f>+IFERROR(VLOOKUP(Fact_Impuestos[[#This Row], 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ht="18.75" customHeight="1" x14ac:dyDescent="0.35">
      <c r="C1387" s="100" t="str">
        <f>IF(OR(Fact_Impuestos[[#This Row], [Año]]="",Fact_Impuestos[[#This Row], [Mes]]=""),"",DATE(A1387,MATCH(B1387,{"enero","febrero","marzo","abril","mayo","junio","julio","agosto","septiembre","octubre","noviembre","diciembre"},0)+1,0))</f>
        <v/>
      </c>
      <c r="E1387" t="str">
        <f>+IFERROR(VLOOKUP(Fact_Impuestos[[#This Row], [Concepto Anterior]],Conceptos_Impuestos[#All],5,0),"")</f>
        <v/>
      </c>
      <c r="F1387" t="str">
        <f>+IFERROR(VLOOKUP(Fact_Impuestos[[#This Row], 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ht="18.75" customHeight="1" x14ac:dyDescent="0.35">
      <c r="C1388" s="100" t="str">
        <f>IF(OR(Fact_Impuestos[[#This Row], [Año]]="",Fact_Impuestos[[#This Row], [Mes]]=""),"",DATE(A1388,MATCH(B1388,{"enero","febrero","marzo","abril","mayo","junio","julio","agosto","septiembre","octubre","noviembre","diciembre"},0)+1,0))</f>
        <v/>
      </c>
      <c r="E1388" t="str">
        <f>+IFERROR(VLOOKUP(Fact_Impuestos[[#This Row], [Concepto Anterior]],Conceptos_Impuestos[#All],5,0),"")</f>
        <v/>
      </c>
      <c r="F1388" t="str">
        <f>+IFERROR(VLOOKUP(Fact_Impuestos[[#This Row], 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ht="18.75" customHeight="1" x14ac:dyDescent="0.35">
      <c r="C1389" s="100" t="str">
        <f>IF(OR(Fact_Impuestos[[#This Row], [Año]]="",Fact_Impuestos[[#This Row], [Mes]]=""),"",DATE(A1389,MATCH(B1389,{"enero","febrero","marzo","abril","mayo","junio","julio","agosto","septiembre","octubre","noviembre","diciembre"},0)+1,0))</f>
        <v/>
      </c>
      <c r="E1389" t="str">
        <f>+IFERROR(VLOOKUP(Fact_Impuestos[[#This Row], [Concepto Anterior]],Conceptos_Impuestos[#All],5,0),"")</f>
        <v/>
      </c>
      <c r="F1389" t="str">
        <f>+IFERROR(VLOOKUP(Fact_Impuestos[[#This Row], 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ht="18.75" customHeight="1" x14ac:dyDescent="0.35">
      <c r="C1390" s="100" t="str">
        <f>IF(OR(Fact_Impuestos[[#This Row], [Año]]="",Fact_Impuestos[[#This Row], [Mes]]=""),"",DATE(A1390,MATCH(B1390,{"enero","febrero","marzo","abril","mayo","junio","julio","agosto","septiembre","octubre","noviembre","diciembre"},0)+1,0))</f>
        <v/>
      </c>
      <c r="E1390" t="str">
        <f>+IFERROR(VLOOKUP(Fact_Impuestos[[#This Row], [Concepto Anterior]],Conceptos_Impuestos[#All],5,0),"")</f>
        <v/>
      </c>
      <c r="F1390" t="str">
        <f>+IFERROR(VLOOKUP(Fact_Impuestos[[#This Row], 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ht="18.75" customHeight="1" x14ac:dyDescent="0.35">
      <c r="C1391" s="100" t="str">
        <f>IF(OR(Fact_Impuestos[[#This Row], [Año]]="",Fact_Impuestos[[#This Row], [Mes]]=""),"",DATE(A1391,MATCH(B1391,{"enero","febrero","marzo","abril","mayo","junio","julio","agosto","septiembre","octubre","noviembre","diciembre"},0)+1,0))</f>
        <v/>
      </c>
      <c r="E1391" t="str">
        <f>+IFERROR(VLOOKUP(Fact_Impuestos[[#This Row], [Concepto Anterior]],Conceptos_Impuestos[#All],5,0),"")</f>
        <v/>
      </c>
      <c r="F1391" t="str">
        <f>+IFERROR(VLOOKUP(Fact_Impuestos[[#This Row], 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ht="18.75" customHeight="1" x14ac:dyDescent="0.35">
      <c r="C1392" s="100" t="str">
        <f>IF(OR(Fact_Impuestos[[#This Row], [Año]]="",Fact_Impuestos[[#This Row], [Mes]]=""),"",DATE(A1392,MATCH(B1392,{"enero","febrero","marzo","abril","mayo","junio","julio","agosto","septiembre","octubre","noviembre","diciembre"},0)+1,0))</f>
        <v/>
      </c>
      <c r="E1392" t="str">
        <f>+IFERROR(VLOOKUP(Fact_Impuestos[[#This Row], [Concepto Anterior]],Conceptos_Impuestos[#All],5,0),"")</f>
        <v/>
      </c>
      <c r="F1392" t="str">
        <f>+IFERROR(VLOOKUP(Fact_Impuestos[[#This Row], 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ht="18.75" customHeight="1" x14ac:dyDescent="0.35">
      <c r="C1393" s="100" t="str">
        <f>IF(OR(Fact_Impuestos[[#This Row], [Año]]="",Fact_Impuestos[[#This Row], [Mes]]=""),"",DATE(A1393,MATCH(B1393,{"enero","febrero","marzo","abril","mayo","junio","julio","agosto","septiembre","octubre","noviembre","diciembre"},0)+1,0))</f>
        <v/>
      </c>
      <c r="E1393" t="str">
        <f>+IFERROR(VLOOKUP(Fact_Impuestos[[#This Row], [Concepto Anterior]],Conceptos_Impuestos[#All],5,0),"")</f>
        <v/>
      </c>
      <c r="F1393" t="str">
        <f>+IFERROR(VLOOKUP(Fact_Impuestos[[#This Row], 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ht="18.75" customHeight="1" x14ac:dyDescent="0.35">
      <c r="C1394" s="100" t="str">
        <f>IF(OR(Fact_Impuestos[[#This Row], [Año]]="",Fact_Impuestos[[#This Row], [Mes]]=""),"",DATE(A1394,MATCH(B1394,{"enero","febrero","marzo","abril","mayo","junio","julio","agosto","septiembre","octubre","noviembre","diciembre"},0)+1,0))</f>
        <v/>
      </c>
      <c r="E1394" t="str">
        <f>+IFERROR(VLOOKUP(Fact_Impuestos[[#This Row], [Concepto Anterior]],Conceptos_Impuestos[#All],5,0),"")</f>
        <v/>
      </c>
      <c r="F1394" t="str">
        <f>+IFERROR(VLOOKUP(Fact_Impuestos[[#This Row], 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ht="18.75" customHeight="1" x14ac:dyDescent="0.35">
      <c r="C1395" s="100" t="str">
        <f>IF(OR(Fact_Impuestos[[#This Row], [Año]]="",Fact_Impuestos[[#This Row], [Mes]]=""),"",DATE(A1395,MATCH(B1395,{"enero","febrero","marzo","abril","mayo","junio","julio","agosto","septiembre","octubre","noviembre","diciembre"},0)+1,0))</f>
        <v/>
      </c>
      <c r="E1395" t="str">
        <f>+IFERROR(VLOOKUP(Fact_Impuestos[[#This Row], [Concepto Anterior]],Conceptos_Impuestos[#All],5,0),"")</f>
        <v/>
      </c>
      <c r="F1395" t="str">
        <f>+IFERROR(VLOOKUP(Fact_Impuestos[[#This Row], 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ht="18.75" customHeight="1" x14ac:dyDescent="0.35">
      <c r="C1396" s="100" t="str">
        <f>IF(OR(Fact_Impuestos[[#This Row], [Año]]="",Fact_Impuestos[[#This Row], [Mes]]=""),"",DATE(A1396,MATCH(B1396,{"enero","febrero","marzo","abril","mayo","junio","julio","agosto","septiembre","octubre","noviembre","diciembre"},0)+1,0))</f>
        <v/>
      </c>
      <c r="E1396" t="str">
        <f>+IFERROR(VLOOKUP(Fact_Impuestos[[#This Row], [Concepto Anterior]],Conceptos_Impuestos[#All],5,0),"")</f>
        <v/>
      </c>
      <c r="F1396" t="str">
        <f>+IFERROR(VLOOKUP(Fact_Impuestos[[#This Row], 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ht="18.75" customHeight="1" x14ac:dyDescent="0.35">
      <c r="C1397" s="100" t="str">
        <f>IF(OR(Fact_Impuestos[[#This Row], [Año]]="",Fact_Impuestos[[#This Row], [Mes]]=""),"",DATE(A1397,MATCH(B1397,{"enero","febrero","marzo","abril","mayo","junio","julio","agosto","septiembre","octubre","noviembre","diciembre"},0)+1,0))</f>
        <v/>
      </c>
      <c r="E1397" t="str">
        <f>+IFERROR(VLOOKUP(Fact_Impuestos[[#This Row], [Concepto Anterior]],Conceptos_Impuestos[#All],5,0),"")</f>
        <v/>
      </c>
      <c r="F1397" t="str">
        <f>+IFERROR(VLOOKUP(Fact_Impuestos[[#This Row], 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ht="18.75" customHeight="1" x14ac:dyDescent="0.35">
      <c r="C1398" s="100" t="str">
        <f>IF(OR(Fact_Impuestos[[#This Row], [Año]]="",Fact_Impuestos[[#This Row], [Mes]]=""),"",DATE(A1398,MATCH(B1398,{"enero","febrero","marzo","abril","mayo","junio","julio","agosto","septiembre","octubre","noviembre","diciembre"},0)+1,0))</f>
        <v/>
      </c>
      <c r="E1398" t="str">
        <f>+IFERROR(VLOOKUP(Fact_Impuestos[[#This Row], [Concepto Anterior]],Conceptos_Impuestos[#All],5,0),"")</f>
        <v/>
      </c>
      <c r="F1398" t="str">
        <f>+IFERROR(VLOOKUP(Fact_Impuestos[[#This Row], 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ht="18.75" customHeight="1" x14ac:dyDescent="0.35">
      <c r="C1399" s="100" t="str">
        <f>IF(OR(Fact_Impuestos[[#This Row], [Año]]="",Fact_Impuestos[[#This Row], [Mes]]=""),"",DATE(A1399,MATCH(B1399,{"enero","febrero","marzo","abril","mayo","junio","julio","agosto","septiembre","octubre","noviembre","diciembre"},0)+1,0))</f>
        <v/>
      </c>
      <c r="E1399" t="str">
        <f>+IFERROR(VLOOKUP(Fact_Impuestos[[#This Row], [Concepto Anterior]],Conceptos_Impuestos[#All],5,0),"")</f>
        <v/>
      </c>
      <c r="F1399" t="str">
        <f>+IFERROR(VLOOKUP(Fact_Impuestos[[#This Row], 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ht="18.75" customHeight="1" x14ac:dyDescent="0.35">
      <c r="C1400" s="100" t="str">
        <f>IF(OR(Fact_Impuestos[[#This Row], [Año]]="",Fact_Impuestos[[#This Row], [Mes]]=""),"",DATE(A1400,MATCH(B1400,{"enero","febrero","marzo","abril","mayo","junio","julio","agosto","septiembre","octubre","noviembre","diciembre"},0)+1,0))</f>
        <v/>
      </c>
      <c r="E1400" t="str">
        <f>+IFERROR(VLOOKUP(Fact_Impuestos[[#This Row], [Concepto Anterior]],Conceptos_Impuestos[#All],5,0),"")</f>
        <v/>
      </c>
      <c r="F1400" t="str">
        <f>+IFERROR(VLOOKUP(Fact_Impuestos[[#This Row], 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ht="18.75" customHeight="1" x14ac:dyDescent="0.35">
      <c r="C1401" s="100" t="str">
        <f>IF(OR(Fact_Impuestos[[#This Row], [Año]]="",Fact_Impuestos[[#This Row], [Mes]]=""),"",DATE(A1401,MATCH(B1401,{"enero","febrero","marzo","abril","mayo","junio","julio","agosto","septiembre","octubre","noviembre","diciembre"},0)+1,0))</f>
        <v/>
      </c>
      <c r="E1401" t="str">
        <f>+IFERROR(VLOOKUP(Fact_Impuestos[[#This Row], [Concepto Anterior]],Conceptos_Impuestos[#All],5,0),"")</f>
        <v/>
      </c>
      <c r="F1401" t="str">
        <f>+IFERROR(VLOOKUP(Fact_Impuestos[[#This Row], 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ht="18.75" customHeight="1" x14ac:dyDescent="0.35">
      <c r="C1402" s="100" t="str">
        <f>IF(OR(Fact_Impuestos[[#This Row], [Año]]="",Fact_Impuestos[[#This Row], [Mes]]=""),"",DATE(A1402,MATCH(B1402,{"enero","febrero","marzo","abril","mayo","junio","julio","agosto","septiembre","octubre","noviembre","diciembre"},0)+1,0))</f>
        <v/>
      </c>
      <c r="E1402" t="str">
        <f>+IFERROR(VLOOKUP(Fact_Impuestos[[#This Row], [Concepto Anterior]],Conceptos_Impuestos[#All],5,0),"")</f>
        <v/>
      </c>
      <c r="F1402" t="str">
        <f>+IFERROR(VLOOKUP(Fact_Impuestos[[#This Row], 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ht="18.75" customHeight="1" x14ac:dyDescent="0.35">
      <c r="C1403" s="100" t="str">
        <f>IF(OR(Fact_Impuestos[[#This Row], [Año]]="",Fact_Impuestos[[#This Row], [Mes]]=""),"",DATE(A1403,MATCH(B1403,{"enero","febrero","marzo","abril","mayo","junio","julio","agosto","septiembre","octubre","noviembre","diciembre"},0)+1,0))</f>
        <v/>
      </c>
      <c r="E1403" t="str">
        <f>+IFERROR(VLOOKUP(Fact_Impuestos[[#This Row], [Concepto Anterior]],Conceptos_Impuestos[#All],5,0),"")</f>
        <v/>
      </c>
      <c r="F1403" t="str">
        <f>+IFERROR(VLOOKUP(Fact_Impuestos[[#This Row], 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ht="18.75" customHeight="1" x14ac:dyDescent="0.35">
      <c r="C1404" s="100" t="str">
        <f>IF(OR(Fact_Impuestos[[#This Row], [Año]]="",Fact_Impuestos[[#This Row], [Mes]]=""),"",DATE(A1404,MATCH(B1404,{"enero","febrero","marzo","abril","mayo","junio","julio","agosto","septiembre","octubre","noviembre","diciembre"},0)+1,0))</f>
        <v/>
      </c>
      <c r="E1404" t="str">
        <f>+IFERROR(VLOOKUP(Fact_Impuestos[[#This Row], [Concepto Anterior]],Conceptos_Impuestos[#All],5,0),"")</f>
        <v/>
      </c>
      <c r="F1404" t="str">
        <f>+IFERROR(VLOOKUP(Fact_Impuestos[[#This Row], 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ht="18.75" customHeight="1" x14ac:dyDescent="0.35">
      <c r="C1405" s="100" t="str">
        <f>IF(OR(Fact_Impuestos[[#This Row], [Año]]="",Fact_Impuestos[[#This Row], [Mes]]=""),"",DATE(A1405,MATCH(B1405,{"enero","febrero","marzo","abril","mayo","junio","julio","agosto","septiembre","octubre","noviembre","diciembre"},0)+1,0))</f>
        <v/>
      </c>
      <c r="E1405" t="str">
        <f>+IFERROR(VLOOKUP(Fact_Impuestos[[#This Row], [Concepto Anterior]],Conceptos_Impuestos[#All],5,0),"")</f>
        <v/>
      </c>
      <c r="F1405" t="str">
        <f>+IFERROR(VLOOKUP(Fact_Impuestos[[#This Row], 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ht="18.75" customHeight="1" x14ac:dyDescent="0.35">
      <c r="C1406" s="100" t="str">
        <f>IF(OR(Fact_Impuestos[[#This Row], [Año]]="",Fact_Impuestos[[#This Row], [Mes]]=""),"",DATE(A1406,MATCH(B1406,{"enero","febrero","marzo","abril","mayo","junio","julio","agosto","septiembre","octubre","noviembre","diciembre"},0)+1,0))</f>
        <v/>
      </c>
      <c r="E1406" t="str">
        <f>+IFERROR(VLOOKUP(Fact_Impuestos[[#This Row], [Concepto Anterior]],Conceptos_Impuestos[#All],5,0),"")</f>
        <v/>
      </c>
      <c r="F1406" t="str">
        <f>+IFERROR(VLOOKUP(Fact_Impuestos[[#This Row], 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ht="18.75" customHeight="1" x14ac:dyDescent="0.35">
      <c r="C1407" s="100" t="str">
        <f>IF(OR(Fact_Impuestos[[#This Row], [Año]]="",Fact_Impuestos[[#This Row], [Mes]]=""),"",DATE(A1407,MATCH(B1407,{"enero","febrero","marzo","abril","mayo","junio","julio","agosto","septiembre","octubre","noviembre","diciembre"},0)+1,0))</f>
        <v/>
      </c>
      <c r="E1407" t="str">
        <f>+IFERROR(VLOOKUP(Fact_Impuestos[[#This Row], [Concepto Anterior]],Conceptos_Impuestos[#All],5,0),"")</f>
        <v/>
      </c>
      <c r="F1407" t="str">
        <f>+IFERROR(VLOOKUP(Fact_Impuestos[[#This Row], 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ht="18.75" customHeight="1" x14ac:dyDescent="0.35">
      <c r="C1408" s="100" t="str">
        <f>IF(OR(Fact_Impuestos[[#This Row], [Año]]="",Fact_Impuestos[[#This Row], [Mes]]=""),"",DATE(A1408,MATCH(B1408,{"enero","febrero","marzo","abril","mayo","junio","julio","agosto","septiembre","octubre","noviembre","diciembre"},0)+1,0))</f>
        <v/>
      </c>
      <c r="E1408" t="str">
        <f>+IFERROR(VLOOKUP(Fact_Impuestos[[#This Row], [Concepto Anterior]],Conceptos_Impuestos[#All],5,0),"")</f>
        <v/>
      </c>
      <c r="F1408" t="str">
        <f>+IFERROR(VLOOKUP(Fact_Impuestos[[#This Row], 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ht="18.75" customHeight="1" x14ac:dyDescent="0.35">
      <c r="C1409" s="100" t="str">
        <f>IF(OR(Fact_Impuestos[[#This Row], [Año]]="",Fact_Impuestos[[#This Row], [Mes]]=""),"",DATE(A1409,MATCH(B1409,{"enero","febrero","marzo","abril","mayo","junio","julio","agosto","septiembre","octubre","noviembre","diciembre"},0)+1,0))</f>
        <v/>
      </c>
      <c r="E1409" t="str">
        <f>+IFERROR(VLOOKUP(Fact_Impuestos[[#This Row], [Concepto Anterior]],Conceptos_Impuestos[#All],5,0),"")</f>
        <v/>
      </c>
      <c r="F1409" t="str">
        <f>+IFERROR(VLOOKUP(Fact_Impuestos[[#This Row], 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ht="18.75" customHeight="1" x14ac:dyDescent="0.35">
      <c r="C1410" s="100" t="str">
        <f>IF(OR(Fact_Impuestos[[#This Row], [Año]]="",Fact_Impuestos[[#This Row], [Mes]]=""),"",DATE(A1410,MATCH(B1410,{"enero","febrero","marzo","abril","mayo","junio","julio","agosto","septiembre","octubre","noviembre","diciembre"},0)+1,0))</f>
        <v/>
      </c>
      <c r="E1410" t="str">
        <f>+IFERROR(VLOOKUP(Fact_Impuestos[[#This Row], [Concepto Anterior]],Conceptos_Impuestos[#All],5,0),"")</f>
        <v/>
      </c>
      <c r="F1410" t="str">
        <f>+IFERROR(VLOOKUP(Fact_Impuestos[[#This Row], 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ht="18.75" customHeight="1" x14ac:dyDescent="0.35">
      <c r="C1411" s="100" t="str">
        <f>IF(OR(Fact_Impuestos[[#This Row], [Año]]="",Fact_Impuestos[[#This Row], [Mes]]=""),"",DATE(A1411,MATCH(B1411,{"enero","febrero","marzo","abril","mayo","junio","julio","agosto","septiembre","octubre","noviembre","diciembre"},0)+1,0))</f>
        <v/>
      </c>
      <c r="E1411" t="str">
        <f>+IFERROR(VLOOKUP(Fact_Impuestos[[#This Row], [Concepto Anterior]],Conceptos_Impuestos[#All],5,0),"")</f>
        <v/>
      </c>
      <c r="F1411" t="str">
        <f>+IFERROR(VLOOKUP(Fact_Impuestos[[#This Row], 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ht="18.75" customHeight="1" x14ac:dyDescent="0.35">
      <c r="C1412" s="100" t="str">
        <f>IF(OR(Fact_Impuestos[[#This Row], [Año]]="",Fact_Impuestos[[#This Row], [Mes]]=""),"",DATE(A1412,MATCH(B1412,{"enero","febrero","marzo","abril","mayo","junio","julio","agosto","septiembre","octubre","noviembre","diciembre"},0)+1,0))</f>
        <v/>
      </c>
      <c r="E1412" t="str">
        <f>+IFERROR(VLOOKUP(Fact_Impuestos[[#This Row], [Concepto Anterior]],Conceptos_Impuestos[#All],5,0),"")</f>
        <v/>
      </c>
      <c r="F1412" t="str">
        <f>+IFERROR(VLOOKUP(Fact_Impuestos[[#This Row], 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ht="18.75" customHeight="1" x14ac:dyDescent="0.35">
      <c r="C1413" s="100" t="str">
        <f>IF(OR(Fact_Impuestos[[#This Row], [Año]]="",Fact_Impuestos[[#This Row], [Mes]]=""),"",DATE(A1413,MATCH(B1413,{"enero","febrero","marzo","abril","mayo","junio","julio","agosto","septiembre","octubre","noviembre","diciembre"},0)+1,0))</f>
        <v/>
      </c>
      <c r="E1413" t="str">
        <f>+IFERROR(VLOOKUP(Fact_Impuestos[[#This Row], [Concepto Anterior]],Conceptos_Impuestos[#All],5,0),"")</f>
        <v/>
      </c>
      <c r="F1413" t="str">
        <f>+IFERROR(VLOOKUP(Fact_Impuestos[[#This Row], 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ht="18.75" customHeight="1" x14ac:dyDescent="0.35">
      <c r="C1414" s="100" t="str">
        <f>IF(OR(Fact_Impuestos[[#This Row], [Año]]="",Fact_Impuestos[[#This Row], [Mes]]=""),"",DATE(A1414,MATCH(B1414,{"enero","febrero","marzo","abril","mayo","junio","julio","agosto","septiembre","octubre","noviembre","diciembre"},0)+1,0))</f>
        <v/>
      </c>
      <c r="E1414" t="str">
        <f>+IFERROR(VLOOKUP(Fact_Impuestos[[#This Row], [Concepto Anterior]],Conceptos_Impuestos[#All],5,0),"")</f>
        <v/>
      </c>
      <c r="F1414" t="str">
        <f>+IFERROR(VLOOKUP(Fact_Impuestos[[#This Row], 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ht="18.75" customHeight="1" x14ac:dyDescent="0.35">
      <c r="C1415" s="100" t="str">
        <f>IF(OR(Fact_Impuestos[[#This Row], [Año]]="",Fact_Impuestos[[#This Row], [Mes]]=""),"",DATE(A1415,MATCH(B1415,{"enero","febrero","marzo","abril","mayo","junio","julio","agosto","septiembre","octubre","noviembre","diciembre"},0)+1,0))</f>
        <v/>
      </c>
      <c r="E1415" t="str">
        <f>+IFERROR(VLOOKUP(Fact_Impuestos[[#This Row], [Concepto Anterior]],Conceptos_Impuestos[#All],5,0),"")</f>
        <v/>
      </c>
      <c r="F1415" t="str">
        <f>+IFERROR(VLOOKUP(Fact_Impuestos[[#This Row], 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ht="18.75" customHeight="1" x14ac:dyDescent="0.35">
      <c r="C1416" s="100" t="str">
        <f>IF(OR(Fact_Impuestos[[#This Row], [Año]]="",Fact_Impuestos[[#This Row], [Mes]]=""),"",DATE(A1416,MATCH(B1416,{"enero","febrero","marzo","abril","mayo","junio","julio","agosto","septiembre","octubre","noviembre","diciembre"},0)+1,0))</f>
        <v/>
      </c>
      <c r="E1416" t="str">
        <f>+IFERROR(VLOOKUP(Fact_Impuestos[[#This Row], [Concepto Anterior]],Conceptos_Impuestos[#All],5,0),"")</f>
        <v/>
      </c>
      <c r="F1416" t="str">
        <f>+IFERROR(VLOOKUP(Fact_Impuestos[[#This Row], 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ht="18.75" customHeight="1" x14ac:dyDescent="0.35">
      <c r="C1417" s="100" t="str">
        <f>IF(OR(Fact_Impuestos[[#This Row], [Año]]="",Fact_Impuestos[[#This Row], [Mes]]=""),"",DATE(A1417,MATCH(B1417,{"enero","febrero","marzo","abril","mayo","junio","julio","agosto","septiembre","octubre","noviembre","diciembre"},0)+1,0))</f>
        <v/>
      </c>
      <c r="E1417" t="str">
        <f>+IFERROR(VLOOKUP(Fact_Impuestos[[#This Row], [Concepto Anterior]],Conceptos_Impuestos[#All],5,0),"")</f>
        <v/>
      </c>
      <c r="F1417" t="str">
        <f>+IFERROR(VLOOKUP(Fact_Impuestos[[#This Row], 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ht="18.75" customHeight="1" x14ac:dyDescent="0.35">
      <c r="C1418" s="100" t="str">
        <f>IF(OR(Fact_Impuestos[[#This Row], [Año]]="",Fact_Impuestos[[#This Row], [Mes]]=""),"",DATE(A1418,MATCH(B1418,{"enero","febrero","marzo","abril","mayo","junio","julio","agosto","septiembre","octubre","noviembre","diciembre"},0)+1,0))</f>
        <v/>
      </c>
      <c r="E1418" t="str">
        <f>+IFERROR(VLOOKUP(Fact_Impuestos[[#This Row], [Concepto Anterior]],Conceptos_Impuestos[#All],5,0),"")</f>
        <v/>
      </c>
      <c r="F1418" t="str">
        <f>+IFERROR(VLOOKUP(Fact_Impuestos[[#This Row], 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ht="18.75" customHeight="1" x14ac:dyDescent="0.35">
      <c r="C1419" s="100" t="str">
        <f>IF(OR(Fact_Impuestos[[#This Row], [Año]]="",Fact_Impuestos[[#This Row], [Mes]]=""),"",DATE(A1419,MATCH(B1419,{"enero","febrero","marzo","abril","mayo","junio","julio","agosto","septiembre","octubre","noviembre","diciembre"},0)+1,0))</f>
        <v/>
      </c>
      <c r="E1419" t="str">
        <f>+IFERROR(VLOOKUP(Fact_Impuestos[[#This Row], [Concepto Anterior]],Conceptos_Impuestos[#All],5,0),"")</f>
        <v/>
      </c>
      <c r="F1419" t="str">
        <f>+IFERROR(VLOOKUP(Fact_Impuestos[[#This Row], 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ht="18.75" customHeight="1" x14ac:dyDescent="0.35">
      <c r="C1420" s="100" t="str">
        <f>IF(OR(Fact_Impuestos[[#This Row], [Año]]="",Fact_Impuestos[[#This Row], [Mes]]=""),"",DATE(A1420,MATCH(B1420,{"enero","febrero","marzo","abril","mayo","junio","julio","agosto","septiembre","octubre","noviembre","diciembre"},0)+1,0))</f>
        <v/>
      </c>
      <c r="E1420" t="str">
        <f>+IFERROR(VLOOKUP(Fact_Impuestos[[#This Row], [Concepto Anterior]],Conceptos_Impuestos[#All],5,0),"")</f>
        <v/>
      </c>
      <c r="F1420" t="str">
        <f>+IFERROR(VLOOKUP(Fact_Impuestos[[#This Row], 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ht="18.75" customHeight="1" x14ac:dyDescent="0.35">
      <c r="C1421" s="100" t="str">
        <f>IF(OR(Fact_Impuestos[[#This Row], [Año]]="",Fact_Impuestos[[#This Row], [Mes]]=""),"",DATE(A1421,MATCH(B1421,{"enero","febrero","marzo","abril","mayo","junio","julio","agosto","septiembre","octubre","noviembre","diciembre"},0)+1,0))</f>
        <v/>
      </c>
      <c r="E1421" t="str">
        <f>+IFERROR(VLOOKUP(Fact_Impuestos[[#This Row], [Concepto Anterior]],Conceptos_Impuestos[#All],5,0),"")</f>
        <v/>
      </c>
      <c r="F1421" t="str">
        <f>+IFERROR(VLOOKUP(Fact_Impuestos[[#This Row], 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ht="18.75" customHeight="1" x14ac:dyDescent="0.35">
      <c r="C1422" s="100" t="str">
        <f>IF(OR(Fact_Impuestos[[#This Row], [Año]]="",Fact_Impuestos[[#This Row], [Mes]]=""),"",DATE(A1422,MATCH(B1422,{"enero","febrero","marzo","abril","mayo","junio","julio","agosto","septiembre","octubre","noviembre","diciembre"},0)+1,0))</f>
        <v/>
      </c>
      <c r="E1422" t="str">
        <f>+IFERROR(VLOOKUP(Fact_Impuestos[[#This Row], [Concepto Anterior]],Conceptos_Impuestos[#All],5,0),"")</f>
        <v/>
      </c>
      <c r="F1422" t="str">
        <f>+IFERROR(VLOOKUP(Fact_Impuestos[[#This Row], 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ht="18.75" customHeight="1" x14ac:dyDescent="0.35">
      <c r="C1423" s="100" t="str">
        <f>IF(OR(Fact_Impuestos[[#This Row], [Año]]="",Fact_Impuestos[[#This Row], [Mes]]=""),"",DATE(A1423,MATCH(B1423,{"enero","febrero","marzo","abril","mayo","junio","julio","agosto","septiembre","octubre","noviembre","diciembre"},0)+1,0))</f>
        <v/>
      </c>
      <c r="E1423" t="str">
        <f>+IFERROR(VLOOKUP(Fact_Impuestos[[#This Row], [Concepto Anterior]],Conceptos_Impuestos[#All],5,0),"")</f>
        <v/>
      </c>
      <c r="F1423" t="str">
        <f>+IFERROR(VLOOKUP(Fact_Impuestos[[#This Row], 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ht="18.75" customHeight="1" x14ac:dyDescent="0.35">
      <c r="C1424" s="100" t="str">
        <f>IF(OR(Fact_Impuestos[[#This Row], [Año]]="",Fact_Impuestos[[#This Row], [Mes]]=""),"",DATE(A1424,MATCH(B1424,{"enero","febrero","marzo","abril","mayo","junio","julio","agosto","septiembre","octubre","noviembre","diciembre"},0)+1,0))</f>
        <v/>
      </c>
      <c r="E1424" t="str">
        <f>+IFERROR(VLOOKUP(Fact_Impuestos[[#This Row], [Concepto Anterior]],Conceptos_Impuestos[#All],5,0),"")</f>
        <v/>
      </c>
      <c r="F1424" t="str">
        <f>+IFERROR(VLOOKUP(Fact_Impuestos[[#This Row], 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ht="18.75" customHeight="1" x14ac:dyDescent="0.35">
      <c r="C1425" s="100" t="str">
        <f>IF(OR(Fact_Impuestos[[#This Row], [Año]]="",Fact_Impuestos[[#This Row], [Mes]]=""),"",DATE(A1425,MATCH(B1425,{"enero","febrero","marzo","abril","mayo","junio","julio","agosto","septiembre","octubre","noviembre","diciembre"},0)+1,0))</f>
        <v/>
      </c>
      <c r="E1425" t="str">
        <f>+IFERROR(VLOOKUP(Fact_Impuestos[[#This Row], [Concepto Anterior]],Conceptos_Impuestos[#All],5,0),"")</f>
        <v/>
      </c>
      <c r="F1425" t="str">
        <f>+IFERROR(VLOOKUP(Fact_Impuestos[[#This Row], 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ht="18.75" customHeight="1" x14ac:dyDescent="0.35">
      <c r="C1426" s="100" t="str">
        <f>IF(OR(Fact_Impuestos[[#This Row], [Año]]="",Fact_Impuestos[[#This Row], [Mes]]=""),"",DATE(A1426,MATCH(B1426,{"enero","febrero","marzo","abril","mayo","junio","julio","agosto","septiembre","octubre","noviembre","diciembre"},0)+1,0))</f>
        <v/>
      </c>
      <c r="E1426" t="str">
        <f>+IFERROR(VLOOKUP(Fact_Impuestos[[#This Row], [Concepto Anterior]],Conceptos_Impuestos[#All],5,0),"")</f>
        <v/>
      </c>
      <c r="F1426" t="str">
        <f>+IFERROR(VLOOKUP(Fact_Impuestos[[#This Row], 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ht="18.75" customHeight="1" x14ac:dyDescent="0.35">
      <c r="C1427" s="100" t="str">
        <f>IF(OR(Fact_Impuestos[[#This Row], [Año]]="",Fact_Impuestos[[#This Row], [Mes]]=""),"",DATE(A1427,MATCH(B1427,{"enero","febrero","marzo","abril","mayo","junio","julio","agosto","septiembre","octubre","noviembre","diciembre"},0)+1,0))</f>
        <v/>
      </c>
      <c r="E1427" t="str">
        <f>+IFERROR(VLOOKUP(Fact_Impuestos[[#This Row], [Concepto Anterior]],Conceptos_Impuestos[#All],5,0),"")</f>
        <v/>
      </c>
      <c r="F1427" t="str">
        <f>+IFERROR(VLOOKUP(Fact_Impuestos[[#This Row], 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ht="18.75" customHeight="1" x14ac:dyDescent="0.35">
      <c r="C1428" s="100" t="str">
        <f>IF(OR(Fact_Impuestos[[#This Row], [Año]]="",Fact_Impuestos[[#This Row], [Mes]]=""),"",DATE(A1428,MATCH(B1428,{"enero","febrero","marzo","abril","mayo","junio","julio","agosto","septiembre","octubre","noviembre","diciembre"},0)+1,0))</f>
        <v/>
      </c>
      <c r="E1428" t="str">
        <f>+IFERROR(VLOOKUP(Fact_Impuestos[[#This Row], [Concepto Anterior]],Conceptos_Impuestos[#All],5,0),"")</f>
        <v/>
      </c>
      <c r="F1428" t="str">
        <f>+IFERROR(VLOOKUP(Fact_Impuestos[[#This Row], 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ht="18.75" customHeight="1" x14ac:dyDescent="0.35">
      <c r="C1429" s="100" t="str">
        <f>IF(OR(Fact_Impuestos[[#This Row], [Año]]="",Fact_Impuestos[[#This Row], [Mes]]=""),"",DATE(A1429,MATCH(B1429,{"enero","febrero","marzo","abril","mayo","junio","julio","agosto","septiembre","octubre","noviembre","diciembre"},0)+1,0))</f>
        <v/>
      </c>
      <c r="E1429" t="str">
        <f>+IFERROR(VLOOKUP(Fact_Impuestos[[#This Row], [Concepto Anterior]],Conceptos_Impuestos[#All],5,0),"")</f>
        <v/>
      </c>
      <c r="F1429" t="str">
        <f>+IFERROR(VLOOKUP(Fact_Impuestos[[#This Row], 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ht="18.75" customHeight="1" x14ac:dyDescent="0.35">
      <c r="C1430" s="100" t="str">
        <f>IF(OR(Fact_Impuestos[[#This Row], [Año]]="",Fact_Impuestos[[#This Row], [Mes]]=""),"",DATE(A1430,MATCH(B1430,{"enero","febrero","marzo","abril","mayo","junio","julio","agosto","septiembre","octubre","noviembre","diciembre"},0)+1,0))</f>
        <v/>
      </c>
      <c r="E1430" t="str">
        <f>+IFERROR(VLOOKUP(Fact_Impuestos[[#This Row], [Concepto Anterior]],Conceptos_Impuestos[#All],5,0),"")</f>
        <v/>
      </c>
      <c r="F1430" t="str">
        <f>+IFERROR(VLOOKUP(Fact_Impuestos[[#This Row], 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ht="18.75" customHeight="1" x14ac:dyDescent="0.35">
      <c r="C1431" s="100" t="str">
        <f>IF(OR(Fact_Impuestos[[#This Row], [Año]]="",Fact_Impuestos[[#This Row], [Mes]]=""),"",DATE(A1431,MATCH(B1431,{"enero","febrero","marzo","abril","mayo","junio","julio","agosto","septiembre","octubre","noviembre","diciembre"},0)+1,0))</f>
        <v/>
      </c>
      <c r="E1431" t="str">
        <f>+IFERROR(VLOOKUP(Fact_Impuestos[[#This Row], [Concepto Anterior]],Conceptos_Impuestos[#All],5,0),"")</f>
        <v/>
      </c>
      <c r="F1431" t="str">
        <f>+IFERROR(VLOOKUP(Fact_Impuestos[[#This Row], 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ht="18.75" customHeight="1" x14ac:dyDescent="0.35">
      <c r="C1432" s="100" t="str">
        <f>IF(OR(Fact_Impuestos[[#This Row], [Año]]="",Fact_Impuestos[[#This Row], [Mes]]=""),"",DATE(A1432,MATCH(B1432,{"enero","febrero","marzo","abril","mayo","junio","julio","agosto","septiembre","octubre","noviembre","diciembre"},0)+1,0))</f>
        <v/>
      </c>
      <c r="E1432" t="str">
        <f>+IFERROR(VLOOKUP(Fact_Impuestos[[#This Row], [Concepto Anterior]],Conceptos_Impuestos[#All],5,0),"")</f>
        <v/>
      </c>
      <c r="F1432" t="str">
        <f>+IFERROR(VLOOKUP(Fact_Impuestos[[#This Row], 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ht="18.75" customHeight="1" x14ac:dyDescent="0.35">
      <c r="C1433" s="100" t="str">
        <f>IF(OR(Fact_Impuestos[[#This Row], [Año]]="",Fact_Impuestos[[#This Row], [Mes]]=""),"",DATE(A1433,MATCH(B1433,{"enero","febrero","marzo","abril","mayo","junio","julio","agosto","septiembre","octubre","noviembre","diciembre"},0)+1,0))</f>
        <v/>
      </c>
      <c r="E1433" t="str">
        <f>+IFERROR(VLOOKUP(Fact_Impuestos[[#This Row], [Concepto Anterior]],Conceptos_Impuestos[#All],5,0),"")</f>
        <v/>
      </c>
      <c r="F1433" t="str">
        <f>+IFERROR(VLOOKUP(Fact_Impuestos[[#This Row], 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ht="18.75" customHeight="1" x14ac:dyDescent="0.35">
      <c r="C1434" s="100" t="str">
        <f>IF(OR(Fact_Impuestos[[#This Row], [Año]]="",Fact_Impuestos[[#This Row], [Mes]]=""),"",DATE(A1434,MATCH(B1434,{"enero","febrero","marzo","abril","mayo","junio","julio","agosto","septiembre","octubre","noviembre","diciembre"},0)+1,0))</f>
        <v/>
      </c>
      <c r="E1434" t="str">
        <f>+IFERROR(VLOOKUP(Fact_Impuestos[[#This Row], [Concepto Anterior]],Conceptos_Impuestos[#All],5,0),"")</f>
        <v/>
      </c>
      <c r="F1434" t="str">
        <f>+IFERROR(VLOOKUP(Fact_Impuestos[[#This Row], 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ht="18.75" customHeight="1" x14ac:dyDescent="0.35">
      <c r="C1435" s="100" t="str">
        <f>IF(OR(Fact_Impuestos[[#This Row], [Año]]="",Fact_Impuestos[[#This Row], [Mes]]=""),"",DATE(A1435,MATCH(B1435,{"enero","febrero","marzo","abril","mayo","junio","julio","agosto","septiembre","octubre","noviembre","diciembre"},0)+1,0))</f>
        <v/>
      </c>
      <c r="E1435" t="str">
        <f>+IFERROR(VLOOKUP(Fact_Impuestos[[#This Row], [Concepto Anterior]],Conceptos_Impuestos[#All],5,0),"")</f>
        <v/>
      </c>
      <c r="F1435" t="str">
        <f>+IFERROR(VLOOKUP(Fact_Impuestos[[#This Row], 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ht="18.75" customHeight="1" x14ac:dyDescent="0.35">
      <c r="C1436" s="100" t="str">
        <f>IF(OR(Fact_Impuestos[[#This Row], [Año]]="",Fact_Impuestos[[#This Row], [Mes]]=""),"",DATE(A1436,MATCH(B1436,{"enero","febrero","marzo","abril","mayo","junio","julio","agosto","septiembre","octubre","noviembre","diciembre"},0)+1,0))</f>
        <v/>
      </c>
      <c r="E1436" t="str">
        <f>+IFERROR(VLOOKUP(Fact_Impuestos[[#This Row], [Concepto Anterior]],Conceptos_Impuestos[#All],5,0),"")</f>
        <v/>
      </c>
      <c r="F1436" t="str">
        <f>+IFERROR(VLOOKUP(Fact_Impuestos[[#This Row], 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ht="18.75" customHeight="1" x14ac:dyDescent="0.35">
      <c r="C1437" s="100" t="str">
        <f>IF(OR(Fact_Impuestos[[#This Row], [Año]]="",Fact_Impuestos[[#This Row], [Mes]]=""),"",DATE(A1437,MATCH(B1437,{"enero","febrero","marzo","abril","mayo","junio","julio","agosto","septiembre","octubre","noviembre","diciembre"},0)+1,0))</f>
        <v/>
      </c>
      <c r="E1437" t="str">
        <f>+IFERROR(VLOOKUP(Fact_Impuestos[[#This Row], [Concepto Anterior]],Conceptos_Impuestos[#All],5,0),"")</f>
        <v/>
      </c>
      <c r="F1437" t="str">
        <f>+IFERROR(VLOOKUP(Fact_Impuestos[[#This Row], 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ht="18.75" customHeight="1" x14ac:dyDescent="0.35">
      <c r="C1438" s="100" t="str">
        <f>IF(OR(Fact_Impuestos[[#This Row], [Año]]="",Fact_Impuestos[[#This Row], [Mes]]=""),"",DATE(A1438,MATCH(B1438,{"enero","febrero","marzo","abril","mayo","junio","julio","agosto","septiembre","octubre","noviembre","diciembre"},0)+1,0))</f>
        <v/>
      </c>
      <c r="E1438" t="str">
        <f>+IFERROR(VLOOKUP(Fact_Impuestos[[#This Row], [Concepto Anterior]],Conceptos_Impuestos[#All],5,0),"")</f>
        <v/>
      </c>
      <c r="F1438" t="str">
        <f>+IFERROR(VLOOKUP(Fact_Impuestos[[#This Row], 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ht="18.75" customHeight="1" x14ac:dyDescent="0.35">
      <c r="C1439" s="100" t="str">
        <f>IF(OR(Fact_Impuestos[[#This Row], [Año]]="",Fact_Impuestos[[#This Row], [Mes]]=""),"",DATE(A1439,MATCH(B1439,{"enero","febrero","marzo","abril","mayo","junio","julio","agosto","septiembre","octubre","noviembre","diciembre"},0)+1,0))</f>
        <v/>
      </c>
      <c r="E1439" t="str">
        <f>+IFERROR(VLOOKUP(Fact_Impuestos[[#This Row], [Concepto Anterior]],Conceptos_Impuestos[#All],5,0),"")</f>
        <v/>
      </c>
      <c r="F1439" t="str">
        <f>+IFERROR(VLOOKUP(Fact_Impuestos[[#This Row], 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ht="18.75" customHeight="1" x14ac:dyDescent="0.35">
      <c r="C1440" s="100" t="str">
        <f>IF(OR(Fact_Impuestos[[#This Row], [Año]]="",Fact_Impuestos[[#This Row], [Mes]]=""),"",DATE(A1440,MATCH(B1440,{"enero","febrero","marzo","abril","mayo","junio","julio","agosto","septiembre","octubre","noviembre","diciembre"},0)+1,0))</f>
        <v/>
      </c>
      <c r="E1440" t="str">
        <f>+IFERROR(VLOOKUP(Fact_Impuestos[[#This Row], [Concepto Anterior]],Conceptos_Impuestos[#All],5,0),"")</f>
        <v/>
      </c>
      <c r="F1440" t="str">
        <f>+IFERROR(VLOOKUP(Fact_Impuestos[[#This Row], 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ht="18.75" customHeight="1" x14ac:dyDescent="0.35">
      <c r="C1441" s="100" t="str">
        <f>IF(OR(Fact_Impuestos[[#This Row], [Año]]="",Fact_Impuestos[[#This Row], [Mes]]=""),"",DATE(A1441,MATCH(B1441,{"enero","febrero","marzo","abril","mayo","junio","julio","agosto","septiembre","octubre","noviembre","diciembre"},0)+1,0))</f>
        <v/>
      </c>
      <c r="E1441" t="str">
        <f>+IFERROR(VLOOKUP(Fact_Impuestos[[#This Row], [Concepto Anterior]],Conceptos_Impuestos[#All],5,0),"")</f>
        <v/>
      </c>
      <c r="F1441" t="str">
        <f>+IFERROR(VLOOKUP(Fact_Impuestos[[#This Row], 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ht="18.75" customHeight="1" x14ac:dyDescent="0.35">
      <c r="C1442" s="100" t="str">
        <f>IF(OR(Fact_Impuestos[[#This Row], [Año]]="",Fact_Impuestos[[#This Row], [Mes]]=""),"",DATE(A1442,MATCH(B1442,{"enero","febrero","marzo","abril","mayo","junio","julio","agosto","septiembre","octubre","noviembre","diciembre"},0)+1,0))</f>
        <v/>
      </c>
      <c r="E1442" t="str">
        <f>+IFERROR(VLOOKUP(Fact_Impuestos[[#This Row], [Concepto Anterior]],Conceptos_Impuestos[#All],5,0),"")</f>
        <v/>
      </c>
      <c r="F1442" t="str">
        <f>+IFERROR(VLOOKUP(Fact_Impuestos[[#This Row], 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ht="18.75" customHeight="1" x14ac:dyDescent="0.35">
      <c r="C1443" s="100" t="str">
        <f>IF(OR(Fact_Impuestos[[#This Row], [Año]]="",Fact_Impuestos[[#This Row], [Mes]]=""),"",DATE(A1443,MATCH(B1443,{"enero","febrero","marzo","abril","mayo","junio","julio","agosto","septiembre","octubre","noviembre","diciembre"},0)+1,0))</f>
        <v/>
      </c>
      <c r="E1443" t="str">
        <f>+IFERROR(VLOOKUP(Fact_Impuestos[[#This Row], [Concepto Anterior]],Conceptos_Impuestos[#All],5,0),"")</f>
        <v/>
      </c>
      <c r="F1443" t="str">
        <f>+IFERROR(VLOOKUP(Fact_Impuestos[[#This Row], 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ht="18.75" customHeight="1" x14ac:dyDescent="0.35">
      <c r="C1444" s="100" t="str">
        <f>IF(OR(Fact_Impuestos[[#This Row], [Año]]="",Fact_Impuestos[[#This Row], [Mes]]=""),"",DATE(A1444,MATCH(B1444,{"enero","febrero","marzo","abril","mayo","junio","julio","agosto","septiembre","octubre","noviembre","diciembre"},0)+1,0))</f>
        <v/>
      </c>
      <c r="E1444" t="str">
        <f>+IFERROR(VLOOKUP(Fact_Impuestos[[#This Row], [Concepto Anterior]],Conceptos_Impuestos[#All],5,0),"")</f>
        <v/>
      </c>
      <c r="F1444" t="str">
        <f>+IFERROR(VLOOKUP(Fact_Impuestos[[#This Row], 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ht="18.75" customHeight="1" x14ac:dyDescent="0.35">
      <c r="C1445" s="100" t="str">
        <f>IF(OR(Fact_Impuestos[[#This Row], [Año]]="",Fact_Impuestos[[#This Row], [Mes]]=""),"",DATE(A1445,MATCH(B1445,{"enero","febrero","marzo","abril","mayo","junio","julio","agosto","septiembre","octubre","noviembre","diciembre"},0)+1,0))</f>
        <v/>
      </c>
      <c r="E1445" t="str">
        <f>+IFERROR(VLOOKUP(Fact_Impuestos[[#This Row], [Concepto Anterior]],Conceptos_Impuestos[#All],5,0),"")</f>
        <v/>
      </c>
      <c r="F1445" t="str">
        <f>+IFERROR(VLOOKUP(Fact_Impuestos[[#This Row], 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ht="18.75" customHeight="1" x14ac:dyDescent="0.35">
      <c r="C1446" s="100" t="str">
        <f>IF(OR(Fact_Impuestos[[#This Row], [Año]]="",Fact_Impuestos[[#This Row], [Mes]]=""),"",DATE(A1446,MATCH(B1446,{"enero","febrero","marzo","abril","mayo","junio","julio","agosto","septiembre","octubre","noviembre","diciembre"},0)+1,0))</f>
        <v/>
      </c>
      <c r="E1446" t="str">
        <f>+IFERROR(VLOOKUP(Fact_Impuestos[[#This Row], [Concepto Anterior]],Conceptos_Impuestos[#All],5,0),"")</f>
        <v/>
      </c>
      <c r="F1446" t="str">
        <f>+IFERROR(VLOOKUP(Fact_Impuestos[[#This Row], 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ht="18.75" customHeight="1" x14ac:dyDescent="0.35">
      <c r="C1447" s="100" t="str">
        <f>IF(OR(Fact_Impuestos[[#This Row], [Año]]="",Fact_Impuestos[[#This Row], [Mes]]=""),"",DATE(A1447,MATCH(B1447,{"enero","febrero","marzo","abril","mayo","junio","julio","agosto","septiembre","octubre","noviembre","diciembre"},0)+1,0))</f>
        <v/>
      </c>
      <c r="E1447" t="str">
        <f>+IFERROR(VLOOKUP(Fact_Impuestos[[#This Row], [Concepto Anterior]],Conceptos_Impuestos[#All],5,0),"")</f>
        <v/>
      </c>
      <c r="F1447" t="str">
        <f>+IFERROR(VLOOKUP(Fact_Impuestos[[#This Row], 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ht="18.75" customHeight="1" x14ac:dyDescent="0.35">
      <c r="C1448" s="100" t="str">
        <f>IF(OR(Fact_Impuestos[[#This Row], [Año]]="",Fact_Impuestos[[#This Row], [Mes]]=""),"",DATE(A1448,MATCH(B1448,{"enero","febrero","marzo","abril","mayo","junio","julio","agosto","septiembre","octubre","noviembre","diciembre"},0)+1,0))</f>
        <v/>
      </c>
      <c r="E1448" t="str">
        <f>+IFERROR(VLOOKUP(Fact_Impuestos[[#This Row], [Concepto Anterior]],Conceptos_Impuestos[#All],5,0),"")</f>
        <v/>
      </c>
      <c r="F1448" t="str">
        <f>+IFERROR(VLOOKUP(Fact_Impuestos[[#This Row], 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ht="18.75" customHeight="1" x14ac:dyDescent="0.35">
      <c r="C1449" s="100" t="str">
        <f>IF(OR(Fact_Impuestos[[#This Row], [Año]]="",Fact_Impuestos[[#This Row], [Mes]]=""),"",DATE(A1449,MATCH(B1449,{"enero","febrero","marzo","abril","mayo","junio","julio","agosto","septiembre","octubre","noviembre","diciembre"},0)+1,0))</f>
        <v/>
      </c>
      <c r="E1449" t="str">
        <f>+IFERROR(VLOOKUP(Fact_Impuestos[[#This Row], [Concepto Anterior]],Conceptos_Impuestos[#All],5,0),"")</f>
        <v/>
      </c>
      <c r="F1449" t="str">
        <f>+IFERROR(VLOOKUP(Fact_Impuestos[[#This Row], 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ht="18.75" customHeight="1" x14ac:dyDescent="0.35">
      <c r="C1450" s="100" t="str">
        <f>IF(OR(Fact_Impuestos[[#This Row], [Año]]="",Fact_Impuestos[[#This Row], [Mes]]=""),"",DATE(A1450,MATCH(B1450,{"enero","febrero","marzo","abril","mayo","junio","julio","agosto","septiembre","octubre","noviembre","diciembre"},0)+1,0))</f>
        <v/>
      </c>
      <c r="E1450" t="str">
        <f>+IFERROR(VLOOKUP(Fact_Impuestos[[#This Row], [Concepto Anterior]],Conceptos_Impuestos[#All],5,0),"")</f>
        <v/>
      </c>
      <c r="F1450" t="str">
        <f>+IFERROR(VLOOKUP(Fact_Impuestos[[#This Row], 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ht="18.75" customHeight="1" x14ac:dyDescent="0.35">
      <c r="C1451" s="100" t="str">
        <f>IF(OR(Fact_Impuestos[[#This Row], [Año]]="",Fact_Impuestos[[#This Row], [Mes]]=""),"",DATE(A1451,MATCH(B1451,{"enero","febrero","marzo","abril","mayo","junio","julio","agosto","septiembre","octubre","noviembre","diciembre"},0)+1,0))</f>
        <v/>
      </c>
      <c r="E1451" t="str">
        <f>+IFERROR(VLOOKUP(Fact_Impuestos[[#This Row], [Concepto Anterior]],Conceptos_Impuestos[#All],5,0),"")</f>
        <v/>
      </c>
      <c r="F1451" t="str">
        <f>+IFERROR(VLOOKUP(Fact_Impuestos[[#This Row], 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ht="18.75" customHeight="1" x14ac:dyDescent="0.35">
      <c r="C1452" s="100" t="str">
        <f>IF(OR(Fact_Impuestos[[#This Row], [Año]]="",Fact_Impuestos[[#This Row], [Mes]]=""),"",DATE(A1452,MATCH(B1452,{"enero","febrero","marzo","abril","mayo","junio","julio","agosto","septiembre","octubre","noviembre","diciembre"},0)+1,0))</f>
        <v/>
      </c>
      <c r="E1452" t="str">
        <f>+IFERROR(VLOOKUP(Fact_Impuestos[[#This Row], [Concepto Anterior]],Conceptos_Impuestos[#All],5,0),"")</f>
        <v/>
      </c>
      <c r="F1452" t="str">
        <f>+IFERROR(VLOOKUP(Fact_Impuestos[[#This Row], 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ht="18.75" customHeight="1" x14ac:dyDescent="0.35">
      <c r="C1453" s="100" t="str">
        <f>IF(OR(Fact_Impuestos[[#This Row], [Año]]="",Fact_Impuestos[[#This Row], [Mes]]=""),"",DATE(A1453,MATCH(B1453,{"enero","febrero","marzo","abril","mayo","junio","julio","agosto","septiembre","octubre","noviembre","diciembre"},0)+1,0))</f>
        <v/>
      </c>
      <c r="E1453" t="str">
        <f>+IFERROR(VLOOKUP(Fact_Impuestos[[#This Row], [Concepto Anterior]],Conceptos_Impuestos[#All],5,0),"")</f>
        <v/>
      </c>
      <c r="F1453" t="str">
        <f>+IFERROR(VLOOKUP(Fact_Impuestos[[#This Row], 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ht="18.75" customHeight="1" x14ac:dyDescent="0.35">
      <c r="C1454" s="100" t="str">
        <f>IF(OR(Fact_Impuestos[[#This Row], [Año]]="",Fact_Impuestos[[#This Row], [Mes]]=""),"",DATE(A1454,MATCH(B1454,{"enero","febrero","marzo","abril","mayo","junio","julio","agosto","septiembre","octubre","noviembre","diciembre"},0)+1,0))</f>
        <v/>
      </c>
      <c r="E1454" t="str">
        <f>+IFERROR(VLOOKUP(Fact_Impuestos[[#This Row], [Concepto Anterior]],Conceptos_Impuestos[#All],5,0),"")</f>
        <v/>
      </c>
      <c r="F1454" t="str">
        <f>+IFERROR(VLOOKUP(Fact_Impuestos[[#This Row], 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ht="18.75" customHeight="1" x14ac:dyDescent="0.35">
      <c r="C1455" s="100" t="str">
        <f>IF(OR(Fact_Impuestos[[#This Row], [Año]]="",Fact_Impuestos[[#This Row], [Mes]]=""),"",DATE(A1455,MATCH(B1455,{"enero","febrero","marzo","abril","mayo","junio","julio","agosto","septiembre","octubre","noviembre","diciembre"},0)+1,0))</f>
        <v/>
      </c>
      <c r="E1455" t="str">
        <f>+IFERROR(VLOOKUP(Fact_Impuestos[[#This Row], [Concepto Anterior]],Conceptos_Impuestos[#All],5,0),"")</f>
        <v/>
      </c>
      <c r="F1455" t="str">
        <f>+IFERROR(VLOOKUP(Fact_Impuestos[[#This Row], 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ht="18.75" customHeight="1" x14ac:dyDescent="0.35">
      <c r="C1456" s="100" t="str">
        <f>IF(OR(Fact_Impuestos[[#This Row], [Año]]="",Fact_Impuestos[[#This Row], [Mes]]=""),"",DATE(A1456,MATCH(B1456,{"enero","febrero","marzo","abril","mayo","junio","julio","agosto","septiembre","octubre","noviembre","diciembre"},0)+1,0))</f>
        <v/>
      </c>
      <c r="E1456" t="str">
        <f>+IFERROR(VLOOKUP(Fact_Impuestos[[#This Row], [Concepto Anterior]],Conceptos_Impuestos[#All],5,0),"")</f>
        <v/>
      </c>
      <c r="F1456" t="str">
        <f>+IFERROR(VLOOKUP(Fact_Impuestos[[#This Row], 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ht="18.75" customHeight="1" x14ac:dyDescent="0.35">
      <c r="C1457" s="100" t="str">
        <f>IF(OR(Fact_Impuestos[[#This Row], [Año]]="",Fact_Impuestos[[#This Row], [Mes]]=""),"",DATE(A1457,MATCH(B1457,{"enero","febrero","marzo","abril","mayo","junio","julio","agosto","septiembre","octubre","noviembre","diciembre"},0)+1,0))</f>
        <v/>
      </c>
      <c r="E1457" t="str">
        <f>+IFERROR(VLOOKUP(Fact_Impuestos[[#This Row], [Concepto Anterior]],Conceptos_Impuestos[#All],5,0),"")</f>
        <v/>
      </c>
      <c r="F1457" t="str">
        <f>+IFERROR(VLOOKUP(Fact_Impuestos[[#This Row], 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ht="18.75" customHeight="1" x14ac:dyDescent="0.35">
      <c r="C1458" s="100" t="str">
        <f>IF(OR(Fact_Impuestos[[#This Row], [Año]]="",Fact_Impuestos[[#This Row], [Mes]]=""),"",DATE(A1458,MATCH(B1458,{"enero","febrero","marzo","abril","mayo","junio","julio","agosto","septiembre","octubre","noviembre","diciembre"},0)+1,0))</f>
        <v/>
      </c>
      <c r="E1458" t="str">
        <f>+IFERROR(VLOOKUP(Fact_Impuestos[[#This Row], [Concepto Anterior]],Conceptos_Impuestos[#All],5,0),"")</f>
        <v/>
      </c>
      <c r="F1458" t="str">
        <f>+IFERROR(VLOOKUP(Fact_Impuestos[[#This Row], 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ht="18.75" customHeight="1" x14ac:dyDescent="0.35">
      <c r="C1459" s="100" t="str">
        <f>IF(OR(Fact_Impuestos[[#This Row], [Año]]="",Fact_Impuestos[[#This Row], [Mes]]=""),"",DATE(A1459,MATCH(B1459,{"enero","febrero","marzo","abril","mayo","junio","julio","agosto","septiembre","octubre","noviembre","diciembre"},0)+1,0))</f>
        <v/>
      </c>
      <c r="E1459" t="str">
        <f>+IFERROR(VLOOKUP(Fact_Impuestos[[#This Row], [Concepto Anterior]],Conceptos_Impuestos[#All],5,0),"")</f>
        <v/>
      </c>
      <c r="F1459" t="str">
        <f>+IFERROR(VLOOKUP(Fact_Impuestos[[#This Row], 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ht="18.75" customHeight="1" x14ac:dyDescent="0.35">
      <c r="C1460" s="100" t="str">
        <f>IF(OR(Fact_Impuestos[[#This Row], [Año]]="",Fact_Impuestos[[#This Row], [Mes]]=""),"",DATE(A1460,MATCH(B1460,{"enero","febrero","marzo","abril","mayo","junio","julio","agosto","septiembre","octubre","noviembre","diciembre"},0)+1,0))</f>
        <v/>
      </c>
      <c r="E1460" t="str">
        <f>+IFERROR(VLOOKUP(Fact_Impuestos[[#This Row], [Concepto Anterior]],Conceptos_Impuestos[#All],5,0),"")</f>
        <v/>
      </c>
      <c r="F1460" t="str">
        <f>+IFERROR(VLOOKUP(Fact_Impuestos[[#This Row], 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ht="18.75" customHeight="1" x14ac:dyDescent="0.35">
      <c r="C1461" s="100" t="str">
        <f>IF(OR(Fact_Impuestos[[#This Row], [Año]]="",Fact_Impuestos[[#This Row], [Mes]]=""),"",DATE(A1461,MATCH(B1461,{"enero","febrero","marzo","abril","mayo","junio","julio","agosto","septiembre","octubre","noviembre","diciembre"},0)+1,0))</f>
        <v/>
      </c>
      <c r="E1461" t="str">
        <f>+IFERROR(VLOOKUP(Fact_Impuestos[[#This Row], [Concepto Anterior]],Conceptos_Impuestos[#All],5,0),"")</f>
        <v/>
      </c>
      <c r="F1461" t="str">
        <f>+IFERROR(VLOOKUP(Fact_Impuestos[[#This Row], 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ht="18.75" customHeight="1" x14ac:dyDescent="0.35">
      <c r="C1462" s="100" t="str">
        <f>IF(OR(Fact_Impuestos[[#This Row], [Año]]="",Fact_Impuestos[[#This Row], [Mes]]=""),"",DATE(A1462,MATCH(B1462,{"enero","febrero","marzo","abril","mayo","junio","julio","agosto","septiembre","octubre","noviembre","diciembre"},0)+1,0))</f>
        <v/>
      </c>
      <c r="E1462" t="str">
        <f>+IFERROR(VLOOKUP(Fact_Impuestos[[#This Row], [Concepto Anterior]],Conceptos_Impuestos[#All],5,0),"")</f>
        <v/>
      </c>
      <c r="F1462" t="str">
        <f>+IFERROR(VLOOKUP(Fact_Impuestos[[#This Row], 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ht="18.75" customHeight="1" x14ac:dyDescent="0.35">
      <c r="C1463" s="100" t="str">
        <f>IF(OR(Fact_Impuestos[[#This Row], [Año]]="",Fact_Impuestos[[#This Row], [Mes]]=""),"",DATE(A1463,MATCH(B1463,{"enero","febrero","marzo","abril","mayo","junio","julio","agosto","septiembre","octubre","noviembre","diciembre"},0)+1,0))</f>
        <v/>
      </c>
      <c r="E1463" t="str">
        <f>+IFERROR(VLOOKUP(Fact_Impuestos[[#This Row], [Concepto Anterior]],Conceptos_Impuestos[#All],5,0),"")</f>
        <v/>
      </c>
      <c r="F1463" t="str">
        <f>+IFERROR(VLOOKUP(Fact_Impuestos[[#This Row], 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ht="18.75" customHeight="1" x14ac:dyDescent="0.35">
      <c r="C1464" s="100" t="str">
        <f>IF(OR(Fact_Impuestos[[#This Row], [Año]]="",Fact_Impuestos[[#This Row], [Mes]]=""),"",DATE(A1464,MATCH(B1464,{"enero","febrero","marzo","abril","mayo","junio","julio","agosto","septiembre","octubre","noviembre","diciembre"},0)+1,0))</f>
        <v/>
      </c>
      <c r="E1464" t="str">
        <f>+IFERROR(VLOOKUP(Fact_Impuestos[[#This Row], [Concepto Anterior]],Conceptos_Impuestos[#All],5,0),"")</f>
        <v/>
      </c>
      <c r="F1464" t="str">
        <f>+IFERROR(VLOOKUP(Fact_Impuestos[[#This Row], 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ht="18.75" customHeight="1" x14ac:dyDescent="0.35">
      <c r="C1465" s="100" t="str">
        <f>IF(OR(Fact_Impuestos[[#This Row], [Año]]="",Fact_Impuestos[[#This Row], [Mes]]=""),"",DATE(A1465,MATCH(B1465,{"enero","febrero","marzo","abril","mayo","junio","julio","agosto","septiembre","octubre","noviembre","diciembre"},0)+1,0))</f>
        <v/>
      </c>
      <c r="E1465" t="str">
        <f>+IFERROR(VLOOKUP(Fact_Impuestos[[#This Row], [Concepto Anterior]],Conceptos_Impuestos[#All],5,0),"")</f>
        <v/>
      </c>
      <c r="F1465" t="str">
        <f>+IFERROR(VLOOKUP(Fact_Impuestos[[#This Row], 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ht="18.75" customHeight="1" x14ac:dyDescent="0.35">
      <c r="C1466" s="100" t="str">
        <f>IF(OR(Fact_Impuestos[[#This Row], [Año]]="",Fact_Impuestos[[#This Row], [Mes]]=""),"",DATE(A1466,MATCH(B1466,{"enero","febrero","marzo","abril","mayo","junio","julio","agosto","septiembre","octubre","noviembre","diciembre"},0)+1,0))</f>
        <v/>
      </c>
      <c r="E1466" t="str">
        <f>+IFERROR(VLOOKUP(Fact_Impuestos[[#This Row], [Concepto Anterior]],Conceptos_Impuestos[#All],5,0),"")</f>
        <v/>
      </c>
      <c r="F1466" t="str">
        <f>+IFERROR(VLOOKUP(Fact_Impuestos[[#This Row], 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ht="18.75" customHeight="1" x14ac:dyDescent="0.35">
      <c r="C1467" s="100" t="str">
        <f>IF(OR(Fact_Impuestos[[#This Row], [Año]]="",Fact_Impuestos[[#This Row], [Mes]]=""),"",DATE(A1467,MATCH(B1467,{"enero","febrero","marzo","abril","mayo","junio","julio","agosto","septiembre","octubre","noviembre","diciembre"},0)+1,0))</f>
        <v/>
      </c>
      <c r="E1467" t="str">
        <f>+IFERROR(VLOOKUP(Fact_Impuestos[[#This Row], [Concepto Anterior]],Conceptos_Impuestos[#All],5,0),"")</f>
        <v/>
      </c>
      <c r="F1467" t="str">
        <f>+IFERROR(VLOOKUP(Fact_Impuestos[[#This Row], 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ht="18.75" customHeight="1" x14ac:dyDescent="0.35">
      <c r="C1468" s="100" t="str">
        <f>IF(OR(Fact_Impuestos[[#This Row], [Año]]="",Fact_Impuestos[[#This Row], [Mes]]=""),"",DATE(A1468,MATCH(B1468,{"enero","febrero","marzo","abril","mayo","junio","julio","agosto","septiembre","octubre","noviembre","diciembre"},0)+1,0))</f>
        <v/>
      </c>
      <c r="E1468" t="str">
        <f>+IFERROR(VLOOKUP(Fact_Impuestos[[#This Row], [Concepto Anterior]],Conceptos_Impuestos[#All],5,0),"")</f>
        <v/>
      </c>
      <c r="F1468" t="str">
        <f>+IFERROR(VLOOKUP(Fact_Impuestos[[#This Row], 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ht="18.75" customHeight="1" x14ac:dyDescent="0.35">
      <c r="C1469" s="100" t="str">
        <f>IF(OR(Fact_Impuestos[[#This Row], [Año]]="",Fact_Impuestos[[#This Row], [Mes]]=""),"",DATE(A1469,MATCH(B1469,{"enero","febrero","marzo","abril","mayo","junio","julio","agosto","septiembre","octubre","noviembre","diciembre"},0)+1,0))</f>
        <v/>
      </c>
      <c r="E1469" t="str">
        <f>+IFERROR(VLOOKUP(Fact_Impuestos[[#This Row], [Concepto Anterior]],Conceptos_Impuestos[#All],5,0),"")</f>
        <v/>
      </c>
      <c r="F1469" t="str">
        <f>+IFERROR(VLOOKUP(Fact_Impuestos[[#This Row], 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ht="18.75" customHeight="1" x14ac:dyDescent="0.35">
      <c r="C1470" s="100" t="str">
        <f>IF(OR(Fact_Impuestos[[#This Row], [Año]]="",Fact_Impuestos[[#This Row], [Mes]]=""),"",DATE(A1470,MATCH(B1470,{"enero","febrero","marzo","abril","mayo","junio","julio","agosto","septiembre","octubre","noviembre","diciembre"},0)+1,0))</f>
        <v/>
      </c>
      <c r="E1470" t="str">
        <f>+IFERROR(VLOOKUP(Fact_Impuestos[[#This Row], [Concepto Anterior]],Conceptos_Impuestos[#All],5,0),"")</f>
        <v/>
      </c>
      <c r="F1470" t="str">
        <f>+IFERROR(VLOOKUP(Fact_Impuestos[[#This Row], 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ht="18.75" customHeight="1" x14ac:dyDescent="0.35">
      <c r="C1471" s="100" t="str">
        <f>IF(OR(Fact_Impuestos[[#This Row], [Año]]="",Fact_Impuestos[[#This Row], [Mes]]=""),"",DATE(A1471,MATCH(B1471,{"enero","febrero","marzo","abril","mayo","junio","julio","agosto","septiembre","octubre","noviembre","diciembre"},0)+1,0))</f>
        <v/>
      </c>
      <c r="E1471" t="str">
        <f>+IFERROR(VLOOKUP(Fact_Impuestos[[#This Row], [Concepto Anterior]],Conceptos_Impuestos[#All],5,0),"")</f>
        <v/>
      </c>
      <c r="F1471" t="str">
        <f>+IFERROR(VLOOKUP(Fact_Impuestos[[#This Row], 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ht="18.75" customHeight="1" x14ac:dyDescent="0.35">
      <c r="C1472" s="100" t="str">
        <f>IF(OR(Fact_Impuestos[[#This Row], [Año]]="",Fact_Impuestos[[#This Row], [Mes]]=""),"",DATE(A1472,MATCH(B1472,{"enero","febrero","marzo","abril","mayo","junio","julio","agosto","septiembre","octubre","noviembre","diciembre"},0)+1,0))</f>
        <v/>
      </c>
      <c r="E1472" t="str">
        <f>+IFERROR(VLOOKUP(Fact_Impuestos[[#This Row], [Concepto Anterior]],Conceptos_Impuestos[#All],5,0),"")</f>
        <v/>
      </c>
      <c r="F1472" t="str">
        <f>+IFERROR(VLOOKUP(Fact_Impuestos[[#This Row], 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ht="18.75" customHeight="1" x14ac:dyDescent="0.35">
      <c r="C1473" s="100" t="str">
        <f>IF(OR(Fact_Impuestos[[#This Row], [Año]]="",Fact_Impuestos[[#This Row], [Mes]]=""),"",DATE(A1473,MATCH(B1473,{"enero","febrero","marzo","abril","mayo","junio","julio","agosto","septiembre","octubre","noviembre","diciembre"},0)+1,0))</f>
        <v/>
      </c>
      <c r="E1473" t="str">
        <f>+IFERROR(VLOOKUP(Fact_Impuestos[[#This Row], [Concepto Anterior]],Conceptos_Impuestos[#All],5,0),"")</f>
        <v/>
      </c>
      <c r="F1473" t="str">
        <f>+IFERROR(VLOOKUP(Fact_Impuestos[[#This Row], 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ht="18.75" customHeight="1" x14ac:dyDescent="0.35">
      <c r="C1474" s="100" t="str">
        <f>IF(OR(Fact_Impuestos[[#This Row], [Año]]="",Fact_Impuestos[[#This Row], [Mes]]=""),"",DATE(A1474,MATCH(B1474,{"enero","febrero","marzo","abril","mayo","junio","julio","agosto","septiembre","octubre","noviembre","diciembre"},0)+1,0))</f>
        <v/>
      </c>
      <c r="E1474" t="str">
        <f>+IFERROR(VLOOKUP(Fact_Impuestos[[#This Row], [Concepto Anterior]],Conceptos_Impuestos[#All],5,0),"")</f>
        <v/>
      </c>
      <c r="F1474" t="str">
        <f>+IFERROR(VLOOKUP(Fact_Impuestos[[#This Row], 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ht="18.75" customHeight="1" x14ac:dyDescent="0.35">
      <c r="C1475" s="100" t="str">
        <f>IF(OR(Fact_Impuestos[[#This Row], [Año]]="",Fact_Impuestos[[#This Row], [Mes]]=""),"",DATE(A1475,MATCH(B1475,{"enero","febrero","marzo","abril","mayo","junio","julio","agosto","septiembre","octubre","noviembre","diciembre"},0)+1,0))</f>
        <v/>
      </c>
      <c r="E1475" t="str">
        <f>+IFERROR(VLOOKUP(Fact_Impuestos[[#This Row], [Concepto Anterior]],Conceptos_Impuestos[#All],5,0),"")</f>
        <v/>
      </c>
      <c r="F1475" t="str">
        <f>+IFERROR(VLOOKUP(Fact_Impuestos[[#This Row], 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ht="18.75" customHeight="1" x14ac:dyDescent="0.35">
      <c r="C1476" s="100" t="str">
        <f>IF(OR(Fact_Impuestos[[#This Row], [Año]]="",Fact_Impuestos[[#This Row], [Mes]]=""),"",DATE(A1476,MATCH(B1476,{"enero","febrero","marzo","abril","mayo","junio","julio","agosto","septiembre","octubre","noviembre","diciembre"},0)+1,0))</f>
        <v/>
      </c>
      <c r="E1476" t="str">
        <f>+IFERROR(VLOOKUP(Fact_Impuestos[[#This Row], [Concepto Anterior]],Conceptos_Impuestos[#All],5,0),"")</f>
        <v/>
      </c>
      <c r="F1476" t="str">
        <f>+IFERROR(VLOOKUP(Fact_Impuestos[[#This Row], 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ht="18.75" customHeight="1" x14ac:dyDescent="0.35">
      <c r="C1477" s="100" t="str">
        <f>IF(OR(Fact_Impuestos[[#This Row], [Año]]="",Fact_Impuestos[[#This Row], [Mes]]=""),"",DATE(A1477,MATCH(B1477,{"enero","febrero","marzo","abril","mayo","junio","julio","agosto","septiembre","octubre","noviembre","diciembre"},0)+1,0))</f>
        <v/>
      </c>
      <c r="E1477" t="str">
        <f>+IFERROR(VLOOKUP(Fact_Impuestos[[#This Row], [Concepto Anterior]],Conceptos_Impuestos[#All],5,0),"")</f>
        <v/>
      </c>
      <c r="F1477" t="str">
        <f>+IFERROR(VLOOKUP(Fact_Impuestos[[#This Row], 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ht="18.75" customHeight="1" x14ac:dyDescent="0.35">
      <c r="C1478" s="100" t="str">
        <f>IF(OR(Fact_Impuestos[[#This Row], [Año]]="",Fact_Impuestos[[#This Row], [Mes]]=""),"",DATE(A1478,MATCH(B1478,{"enero","febrero","marzo","abril","mayo","junio","julio","agosto","septiembre","octubre","noviembre","diciembre"},0)+1,0))</f>
        <v/>
      </c>
      <c r="E1478" t="str">
        <f>+IFERROR(VLOOKUP(Fact_Impuestos[[#This Row], [Concepto Anterior]],Conceptos_Impuestos[#All],5,0),"")</f>
        <v/>
      </c>
      <c r="F1478" t="str">
        <f>+IFERROR(VLOOKUP(Fact_Impuestos[[#This Row], 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ht="18.75" customHeight="1" x14ac:dyDescent="0.35">
      <c r="C1479" s="100" t="str">
        <f>IF(OR(Fact_Impuestos[[#This Row], [Año]]="",Fact_Impuestos[[#This Row], [Mes]]=""),"",DATE(A1479,MATCH(B1479,{"enero","febrero","marzo","abril","mayo","junio","julio","agosto","septiembre","octubre","noviembre","diciembre"},0)+1,0))</f>
        <v/>
      </c>
      <c r="E1479" t="str">
        <f>+IFERROR(VLOOKUP(Fact_Impuestos[[#This Row], [Concepto Anterior]],Conceptos_Impuestos[#All],5,0),"")</f>
        <v/>
      </c>
      <c r="F1479" t="str">
        <f>+IFERROR(VLOOKUP(Fact_Impuestos[[#This Row], 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ht="18.75" customHeight="1" x14ac:dyDescent="0.35">
      <c r="C1480" s="100" t="str">
        <f>IF(OR(Fact_Impuestos[[#This Row], [Año]]="",Fact_Impuestos[[#This Row], [Mes]]=""),"",DATE(A1480,MATCH(B1480,{"enero","febrero","marzo","abril","mayo","junio","julio","agosto","septiembre","octubre","noviembre","diciembre"},0)+1,0))</f>
        <v/>
      </c>
      <c r="E1480" t="str">
        <f>+IFERROR(VLOOKUP(Fact_Impuestos[[#This Row], [Concepto Anterior]],Conceptos_Impuestos[#All],5,0),"")</f>
        <v/>
      </c>
      <c r="F1480" t="str">
        <f>+IFERROR(VLOOKUP(Fact_Impuestos[[#This Row], 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ht="18.75" customHeight="1" x14ac:dyDescent="0.35">
      <c r="C1481" s="100" t="str">
        <f>IF(OR(Fact_Impuestos[[#This Row], [Año]]="",Fact_Impuestos[[#This Row], [Mes]]=""),"",DATE(A1481,MATCH(B1481,{"enero","febrero","marzo","abril","mayo","junio","julio","agosto","septiembre","octubre","noviembre","diciembre"},0)+1,0))</f>
        <v/>
      </c>
      <c r="E1481" t="str">
        <f>+IFERROR(VLOOKUP(Fact_Impuestos[[#This Row], [Concepto Anterior]],Conceptos_Impuestos[#All],5,0),"")</f>
        <v/>
      </c>
      <c r="F1481" t="str">
        <f>+IFERROR(VLOOKUP(Fact_Impuestos[[#This Row], 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ht="18.75" customHeight="1" x14ac:dyDescent="0.35">
      <c r="C1482" s="100" t="str">
        <f>IF(OR(Fact_Impuestos[[#This Row], [Año]]="",Fact_Impuestos[[#This Row], [Mes]]=""),"",DATE(A1482,MATCH(B1482,{"enero","febrero","marzo","abril","mayo","junio","julio","agosto","septiembre","octubre","noviembre","diciembre"},0)+1,0))</f>
        <v/>
      </c>
      <c r="E1482" t="str">
        <f>+IFERROR(VLOOKUP(Fact_Impuestos[[#This Row], [Concepto Anterior]],Conceptos_Impuestos[#All],5,0),"")</f>
        <v/>
      </c>
      <c r="F1482" t="str">
        <f>+IFERROR(VLOOKUP(Fact_Impuestos[[#This Row], 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ht="18.75" customHeight="1" x14ac:dyDescent="0.35">
      <c r="C1483" s="100" t="str">
        <f>IF(OR(Fact_Impuestos[[#This Row], [Año]]="",Fact_Impuestos[[#This Row], [Mes]]=""),"",DATE(A1483,MATCH(B1483,{"enero","febrero","marzo","abril","mayo","junio","julio","agosto","septiembre","octubre","noviembre","diciembre"},0)+1,0))</f>
        <v/>
      </c>
      <c r="E1483" t="str">
        <f>+IFERROR(VLOOKUP(Fact_Impuestos[[#This Row], [Concepto Anterior]],Conceptos_Impuestos[#All],5,0),"")</f>
        <v/>
      </c>
      <c r="F1483" t="str">
        <f>+IFERROR(VLOOKUP(Fact_Impuestos[[#This Row], 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ht="18.75" customHeight="1" x14ac:dyDescent="0.35">
      <c r="C1484" s="100" t="str">
        <f>IF(OR(Fact_Impuestos[[#This Row], [Año]]="",Fact_Impuestos[[#This Row], [Mes]]=""),"",DATE(A1484,MATCH(B1484,{"enero","febrero","marzo","abril","mayo","junio","julio","agosto","septiembre","octubre","noviembre","diciembre"},0)+1,0))</f>
        <v/>
      </c>
      <c r="E1484" t="str">
        <f>+IFERROR(VLOOKUP(Fact_Impuestos[[#This Row], [Concepto Anterior]],Conceptos_Impuestos[#All],5,0),"")</f>
        <v/>
      </c>
      <c r="F1484" t="str">
        <f>+IFERROR(VLOOKUP(Fact_Impuestos[[#This Row], 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ht="18.75" customHeight="1" x14ac:dyDescent="0.35">
      <c r="C1485" s="100" t="str">
        <f>IF(OR(Fact_Impuestos[[#This Row], [Año]]="",Fact_Impuestos[[#This Row], [Mes]]=""),"",DATE(A1485,MATCH(B1485,{"enero","febrero","marzo","abril","mayo","junio","julio","agosto","septiembre","octubre","noviembre","diciembre"},0)+1,0))</f>
        <v/>
      </c>
      <c r="E1485" t="str">
        <f>+IFERROR(VLOOKUP(Fact_Impuestos[[#This Row], [Concepto Anterior]],Conceptos_Impuestos[#All],5,0),"")</f>
        <v/>
      </c>
      <c r="F1485" t="str">
        <f>+IFERROR(VLOOKUP(Fact_Impuestos[[#This Row], 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ht="18.75" customHeight="1" x14ac:dyDescent="0.35">
      <c r="C1486" s="100" t="str">
        <f>IF(OR(Fact_Impuestos[[#This Row], [Año]]="",Fact_Impuestos[[#This Row], [Mes]]=""),"",DATE(A1486,MATCH(B1486,{"enero","febrero","marzo","abril","mayo","junio","julio","agosto","septiembre","octubre","noviembre","diciembre"},0)+1,0))</f>
        <v/>
      </c>
      <c r="E1486" t="str">
        <f>+IFERROR(VLOOKUP(Fact_Impuestos[[#This Row], [Concepto Anterior]],Conceptos_Impuestos[#All],5,0),"")</f>
        <v/>
      </c>
      <c r="F1486" t="str">
        <f>+IFERROR(VLOOKUP(Fact_Impuestos[[#This Row], 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ht="18.75" customHeight="1" x14ac:dyDescent="0.35">
      <c r="C1487" s="100" t="str">
        <f>IF(OR(Fact_Impuestos[[#This Row], [Año]]="",Fact_Impuestos[[#This Row], [Mes]]=""),"",DATE(A1487,MATCH(B1487,{"enero","febrero","marzo","abril","mayo","junio","julio","agosto","septiembre","octubre","noviembre","diciembre"},0)+1,0))</f>
        <v/>
      </c>
      <c r="E1487" t="str">
        <f>+IFERROR(VLOOKUP(Fact_Impuestos[[#This Row], [Concepto Anterior]],Conceptos_Impuestos[#All],5,0),"")</f>
        <v/>
      </c>
      <c r="F1487" t="str">
        <f>+IFERROR(VLOOKUP(Fact_Impuestos[[#This Row], 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ht="18.75" customHeight="1" x14ac:dyDescent="0.35">
      <c r="C1488" s="100" t="str">
        <f>IF(OR(Fact_Impuestos[[#This Row], [Año]]="",Fact_Impuestos[[#This Row], [Mes]]=""),"",DATE(A1488,MATCH(B1488,{"enero","febrero","marzo","abril","mayo","junio","julio","agosto","septiembre","octubre","noviembre","diciembre"},0)+1,0))</f>
        <v/>
      </c>
      <c r="E1488" t="str">
        <f>+IFERROR(VLOOKUP(Fact_Impuestos[[#This Row], [Concepto Anterior]],Conceptos_Impuestos[#All],5,0),"")</f>
        <v/>
      </c>
      <c r="F1488" t="str">
        <f>+IFERROR(VLOOKUP(Fact_Impuestos[[#This Row], 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ht="18.75" customHeight="1" x14ac:dyDescent="0.35">
      <c r="C1489" s="100" t="str">
        <f>IF(OR(Fact_Impuestos[[#This Row], [Año]]="",Fact_Impuestos[[#This Row], [Mes]]=""),"",DATE(A1489,MATCH(B1489,{"enero","febrero","marzo","abril","mayo","junio","julio","agosto","septiembre","octubre","noviembre","diciembre"},0)+1,0))</f>
        <v/>
      </c>
      <c r="E1489" t="str">
        <f>+IFERROR(VLOOKUP(Fact_Impuestos[[#This Row], [Concepto Anterior]],Conceptos_Impuestos[#All],5,0),"")</f>
        <v/>
      </c>
      <c r="F1489" t="str">
        <f>+IFERROR(VLOOKUP(Fact_Impuestos[[#This Row], 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ht="18.75" customHeight="1" x14ac:dyDescent="0.35">
      <c r="C1490" s="100" t="str">
        <f>IF(OR(Fact_Impuestos[[#This Row], [Año]]="",Fact_Impuestos[[#This Row], [Mes]]=""),"",DATE(A1490,MATCH(B1490,{"enero","febrero","marzo","abril","mayo","junio","julio","agosto","septiembre","octubre","noviembre","diciembre"},0)+1,0))</f>
        <v/>
      </c>
      <c r="E1490" t="str">
        <f>+IFERROR(VLOOKUP(Fact_Impuestos[[#This Row], [Concepto Anterior]],Conceptos_Impuestos[#All],5,0),"")</f>
        <v/>
      </c>
      <c r="F1490" t="str">
        <f>+IFERROR(VLOOKUP(Fact_Impuestos[[#This Row], 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ht="18.75" customHeight="1" x14ac:dyDescent="0.35">
      <c r="C1491" s="100" t="str">
        <f>IF(OR(Fact_Impuestos[[#This Row], [Año]]="",Fact_Impuestos[[#This Row], [Mes]]=""),"",DATE(A1491,MATCH(B1491,{"enero","febrero","marzo","abril","mayo","junio","julio","agosto","septiembre","octubre","noviembre","diciembre"},0)+1,0))</f>
        <v/>
      </c>
      <c r="E1491" t="str">
        <f>+IFERROR(VLOOKUP(Fact_Impuestos[[#This Row], [Concepto Anterior]],Conceptos_Impuestos[#All],5,0),"")</f>
        <v/>
      </c>
      <c r="F1491" t="str">
        <f>+IFERROR(VLOOKUP(Fact_Impuestos[[#This Row], 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ht="18.75" customHeight="1" x14ac:dyDescent="0.35">
      <c r="C1492" s="100" t="str">
        <f>IF(OR(Fact_Impuestos[[#This Row], [Año]]="",Fact_Impuestos[[#This Row], [Mes]]=""),"",DATE(A1492,MATCH(B1492,{"enero","febrero","marzo","abril","mayo","junio","julio","agosto","septiembre","octubre","noviembre","diciembre"},0)+1,0))</f>
        <v/>
      </c>
      <c r="E1492" t="str">
        <f>+IFERROR(VLOOKUP(Fact_Impuestos[[#This Row], [Concepto Anterior]],Conceptos_Impuestos[#All],5,0),"")</f>
        <v/>
      </c>
      <c r="F1492" t="str">
        <f>+IFERROR(VLOOKUP(Fact_Impuestos[[#This Row], 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ht="18.75" customHeight="1" x14ac:dyDescent="0.35">
      <c r="C1493" s="100" t="str">
        <f>IF(OR(Fact_Impuestos[[#This Row], [Año]]="",Fact_Impuestos[[#This Row], [Mes]]=""),"",DATE(A1493,MATCH(B1493,{"enero","febrero","marzo","abril","mayo","junio","julio","agosto","septiembre","octubre","noviembre","diciembre"},0)+1,0))</f>
        <v/>
      </c>
      <c r="E1493" t="str">
        <f>+IFERROR(VLOOKUP(Fact_Impuestos[[#This Row], [Concepto Anterior]],Conceptos_Impuestos[#All],5,0),"")</f>
        <v/>
      </c>
      <c r="F1493" t="str">
        <f>+IFERROR(VLOOKUP(Fact_Impuestos[[#This Row], 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ht="18.75" customHeight="1" x14ac:dyDescent="0.35">
      <c r="C1494" s="100" t="str">
        <f>IF(OR(Fact_Impuestos[[#This Row], [Año]]="",Fact_Impuestos[[#This Row], [Mes]]=""),"",DATE(A1494,MATCH(B1494,{"enero","febrero","marzo","abril","mayo","junio","julio","agosto","septiembre","octubre","noviembre","diciembre"},0)+1,0))</f>
        <v/>
      </c>
      <c r="E1494" t="str">
        <f>+IFERROR(VLOOKUP(Fact_Impuestos[[#This Row], [Concepto Anterior]],Conceptos_Impuestos[#All],5,0),"")</f>
        <v/>
      </c>
      <c r="F1494" t="str">
        <f>+IFERROR(VLOOKUP(Fact_Impuestos[[#This Row], 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ht="18.75" customHeight="1" x14ac:dyDescent="0.35">
      <c r="C1495" s="100" t="str">
        <f>IF(OR(Fact_Impuestos[[#This Row], [Año]]="",Fact_Impuestos[[#This Row], [Mes]]=""),"",DATE(A1495,MATCH(B1495,{"enero","febrero","marzo","abril","mayo","junio","julio","agosto","septiembre","octubre","noviembre","diciembre"},0)+1,0))</f>
        <v/>
      </c>
      <c r="E1495" t="str">
        <f>+IFERROR(VLOOKUP(Fact_Impuestos[[#This Row], [Concepto Anterior]],Conceptos_Impuestos[#All],5,0),"")</f>
        <v/>
      </c>
      <c r="F1495" t="str">
        <f>+IFERROR(VLOOKUP(Fact_Impuestos[[#This Row], 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ht="18.75" customHeight="1" x14ac:dyDescent="0.35">
      <c r="C1496" s="100" t="str">
        <f>IF(OR(Fact_Impuestos[[#This Row], [Año]]="",Fact_Impuestos[[#This Row], [Mes]]=""),"",DATE(A1496,MATCH(B1496,{"enero","febrero","marzo","abril","mayo","junio","julio","agosto","septiembre","octubre","noviembre","diciembre"},0)+1,0))</f>
        <v/>
      </c>
      <c r="E1496" t="str">
        <f>+IFERROR(VLOOKUP(Fact_Impuestos[[#This Row], [Concepto Anterior]],Conceptos_Impuestos[#All],5,0),"")</f>
        <v/>
      </c>
      <c r="F1496" t="str">
        <f>+IFERROR(VLOOKUP(Fact_Impuestos[[#This Row], 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ht="18.75" customHeight="1" x14ac:dyDescent="0.35">
      <c r="C1497" s="100" t="str">
        <f>IF(OR(Fact_Impuestos[[#This Row], [Año]]="",Fact_Impuestos[[#This Row], [Mes]]=""),"",DATE(A1497,MATCH(B1497,{"enero","febrero","marzo","abril","mayo","junio","julio","agosto","septiembre","octubre","noviembre","diciembre"},0)+1,0))</f>
        <v/>
      </c>
      <c r="E1497" t="str">
        <f>+IFERROR(VLOOKUP(Fact_Impuestos[[#This Row], [Concepto Anterior]],Conceptos_Impuestos[#All],5,0),"")</f>
        <v/>
      </c>
      <c r="F1497" t="str">
        <f>+IFERROR(VLOOKUP(Fact_Impuestos[[#This Row], 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ht="18.75" customHeight="1" x14ac:dyDescent="0.35">
      <c r="C1498" s="100" t="str">
        <f>IF(OR(Fact_Impuestos[[#This Row], [Año]]="",Fact_Impuestos[[#This Row], [Mes]]=""),"",DATE(A1498,MATCH(B1498,{"enero","febrero","marzo","abril","mayo","junio","julio","agosto","septiembre","octubre","noviembre","diciembre"},0)+1,0))</f>
        <v/>
      </c>
      <c r="E1498" t="str">
        <f>+IFERROR(VLOOKUP(Fact_Impuestos[[#This Row], [Concepto Anterior]],Conceptos_Impuestos[#All],5,0),"")</f>
        <v/>
      </c>
      <c r="F1498" t="str">
        <f>+IFERROR(VLOOKUP(Fact_Impuestos[[#This Row], 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ht="18.75" customHeight="1" x14ac:dyDescent="0.35">
      <c r="C1499" s="100" t="str">
        <f>IF(OR(Fact_Impuestos[[#This Row], [Año]]="",Fact_Impuestos[[#This Row], [Mes]]=""),"",DATE(A1499,MATCH(B1499,{"enero","febrero","marzo","abril","mayo","junio","julio","agosto","septiembre","octubre","noviembre","diciembre"},0)+1,0))</f>
        <v/>
      </c>
      <c r="E1499" t="str">
        <f>+IFERROR(VLOOKUP(Fact_Impuestos[[#This Row], [Concepto Anterior]],Conceptos_Impuestos[#All],5,0),"")</f>
        <v/>
      </c>
      <c r="F1499" t="str">
        <f>+IFERROR(VLOOKUP(Fact_Impuestos[[#This Row], 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ht="18.75" customHeight="1" x14ac:dyDescent="0.35">
      <c r="C1500" s="100" t="str">
        <f>IF(OR(Fact_Impuestos[[#This Row], [Año]]="",Fact_Impuestos[[#This Row], [Mes]]=""),"",DATE(A1500,MATCH(B1500,{"enero","febrero","marzo","abril","mayo","junio","julio","agosto","septiembre","octubre","noviembre","diciembre"},0)+1,0))</f>
        <v/>
      </c>
      <c r="E1500" t="str">
        <f>+IFERROR(VLOOKUP(Fact_Impuestos[[#This Row], [Concepto Anterior]],Conceptos_Impuestos[#All],5,0),"")</f>
        <v/>
      </c>
      <c r="F1500" t="str">
        <f>+IFERROR(VLOOKUP(Fact_Impuestos[[#This Row], 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ht="18.75" customHeight="1" x14ac:dyDescent="0.35">
      <c r="C1501" s="100" t="str">
        <f>IF(OR(Fact_Impuestos[[#This Row], [Año]]="",Fact_Impuestos[[#This Row], [Mes]]=""),"",DATE(A1501,MATCH(B1501,{"enero","febrero","marzo","abril","mayo","junio","julio","agosto","septiembre","octubre","noviembre","diciembre"},0)+1,0))</f>
        <v/>
      </c>
      <c r="E1501" t="str">
        <f>+IFERROR(VLOOKUP(Fact_Impuestos[[#This Row], [Concepto Anterior]],Conceptos_Impuestos[#All],5,0),"")</f>
        <v/>
      </c>
      <c r="F1501" t="str">
        <f>+IFERROR(VLOOKUP(Fact_Impuestos[[#This Row], 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ht="18.75" customHeight="1" x14ac:dyDescent="0.35">
      <c r="C1502" s="100" t="str">
        <f>IF(OR(Fact_Impuestos[[#This Row], [Año]]="",Fact_Impuestos[[#This Row], [Mes]]=""),"",DATE(A1502,MATCH(B1502,{"enero","febrero","marzo","abril","mayo","junio","julio","agosto","septiembre","octubre","noviembre","diciembre"},0)+1,0))</f>
        <v/>
      </c>
      <c r="E1502" t="str">
        <f>+IFERROR(VLOOKUP(Fact_Impuestos[[#This Row], [Concepto Anterior]],Conceptos_Impuestos[#All],5,0),"")</f>
        <v/>
      </c>
      <c r="F1502" t="str">
        <f>+IFERROR(VLOOKUP(Fact_Impuestos[[#This Row], 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ht="18.75" customHeight="1" x14ac:dyDescent="0.35">
      <c r="C1503" s="100" t="str">
        <f>IF(OR(Fact_Impuestos[[#This Row], [Año]]="",Fact_Impuestos[[#This Row], [Mes]]=""),"",DATE(A1503,MATCH(B1503,{"enero","febrero","marzo","abril","mayo","junio","julio","agosto","septiembre","octubre","noviembre","diciembre"},0)+1,0))</f>
        <v/>
      </c>
      <c r="E1503" t="str">
        <f>+IFERROR(VLOOKUP(Fact_Impuestos[[#This Row], [Concepto Anterior]],Conceptos_Impuestos[#All],5,0),"")</f>
        <v/>
      </c>
      <c r="F1503" t="str">
        <f>+IFERROR(VLOOKUP(Fact_Impuestos[[#This Row], 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ht="18.75" customHeight="1" x14ac:dyDescent="0.35">
      <c r="C1504" s="100" t="str">
        <f>IF(OR(Fact_Impuestos[[#This Row], [Año]]="",Fact_Impuestos[[#This Row], [Mes]]=""),"",DATE(A1504,MATCH(B1504,{"enero","febrero","marzo","abril","mayo","junio","julio","agosto","septiembre","octubre","noviembre","diciembre"},0)+1,0))</f>
        <v/>
      </c>
      <c r="E1504" t="str">
        <f>+IFERROR(VLOOKUP(Fact_Impuestos[[#This Row], [Concepto Anterior]],Conceptos_Impuestos[#All],5,0),"")</f>
        <v/>
      </c>
      <c r="F1504" t="str">
        <f>+IFERROR(VLOOKUP(Fact_Impuestos[[#This Row], 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ht="18.75" customHeight="1" x14ac:dyDescent="0.35">
      <c r="C1505" s="100" t="str">
        <f>IF(OR(Fact_Impuestos[[#This Row], [Año]]="",Fact_Impuestos[[#This Row], [Mes]]=""),"",DATE(A1505,MATCH(B1505,{"enero","febrero","marzo","abril","mayo","junio","julio","agosto","septiembre","octubre","noviembre","diciembre"},0)+1,0))</f>
        <v/>
      </c>
      <c r="E1505" t="str">
        <f>+IFERROR(VLOOKUP(Fact_Impuestos[[#This Row], [Concepto Anterior]],Conceptos_Impuestos[#All],5,0),"")</f>
        <v/>
      </c>
      <c r="F1505" t="str">
        <f>+IFERROR(VLOOKUP(Fact_Impuestos[[#This Row], 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ht="18.75" customHeight="1" x14ac:dyDescent="0.35">
      <c r="C1506" s="100" t="str">
        <f>IF(OR(Fact_Impuestos[[#This Row], [Año]]="",Fact_Impuestos[[#This Row], [Mes]]=""),"",DATE(A1506,MATCH(B1506,{"enero","febrero","marzo","abril","mayo","junio","julio","agosto","septiembre","octubre","noviembre","diciembre"},0)+1,0))</f>
        <v/>
      </c>
      <c r="E1506" t="str">
        <f>+IFERROR(VLOOKUP(Fact_Impuestos[[#This Row], [Concepto Anterior]],Conceptos_Impuestos[#All],5,0),"")</f>
        <v/>
      </c>
      <c r="F1506" t="str">
        <f>+IFERROR(VLOOKUP(Fact_Impuestos[[#This Row], 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ht="18.75" customHeight="1" x14ac:dyDescent="0.35">
      <c r="C1507" s="100" t="str">
        <f>IF(OR(Fact_Impuestos[[#This Row], [Año]]="",Fact_Impuestos[[#This Row], [Mes]]=""),"",DATE(A1507,MATCH(B1507,{"enero","febrero","marzo","abril","mayo","junio","julio","agosto","septiembre","octubre","noviembre","diciembre"},0)+1,0))</f>
        <v/>
      </c>
      <c r="E1507" t="str">
        <f>+IFERROR(VLOOKUP(Fact_Impuestos[[#This Row], [Concepto Anterior]],Conceptos_Impuestos[#All],5,0),"")</f>
        <v/>
      </c>
      <c r="F1507" t="str">
        <f>+IFERROR(VLOOKUP(Fact_Impuestos[[#This Row], 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ht="18.75" customHeight="1" x14ac:dyDescent="0.35">
      <c r="C1508" s="100" t="str">
        <f>IF(OR(Fact_Impuestos[[#This Row], [Año]]="",Fact_Impuestos[[#This Row], [Mes]]=""),"",DATE(A1508,MATCH(B1508,{"enero","febrero","marzo","abril","mayo","junio","julio","agosto","septiembre","octubre","noviembre","diciembre"},0)+1,0))</f>
        <v/>
      </c>
      <c r="E1508" t="str">
        <f>+IFERROR(VLOOKUP(Fact_Impuestos[[#This Row], [Concepto Anterior]],Conceptos_Impuestos[#All],5,0),"")</f>
        <v/>
      </c>
      <c r="F1508" t="str">
        <f>+IFERROR(VLOOKUP(Fact_Impuestos[[#This Row], 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ht="18.75" customHeight="1" x14ac:dyDescent="0.35">
      <c r="C1509" s="100" t="str">
        <f>IF(OR(Fact_Impuestos[[#This Row], [Año]]="",Fact_Impuestos[[#This Row], [Mes]]=""),"",DATE(A1509,MATCH(B1509,{"enero","febrero","marzo","abril","mayo","junio","julio","agosto","septiembre","octubre","noviembre","diciembre"},0)+1,0))</f>
        <v/>
      </c>
      <c r="E1509" t="str">
        <f>+IFERROR(VLOOKUP(Fact_Impuestos[[#This Row], [Concepto Anterior]],Conceptos_Impuestos[#All],5,0),"")</f>
        <v/>
      </c>
      <c r="F1509" t="str">
        <f>+IFERROR(VLOOKUP(Fact_Impuestos[[#This Row], 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ht="18.75" customHeight="1" x14ac:dyDescent="0.35">
      <c r="C1510" s="100" t="str">
        <f>IF(OR(Fact_Impuestos[[#This Row], [Año]]="",Fact_Impuestos[[#This Row], [Mes]]=""),"",DATE(A1510,MATCH(B1510,{"enero","febrero","marzo","abril","mayo","junio","julio","agosto","septiembre","octubre","noviembre","diciembre"},0)+1,0))</f>
        <v/>
      </c>
      <c r="E1510" t="str">
        <f>+IFERROR(VLOOKUP(Fact_Impuestos[[#This Row], [Concepto Anterior]],Conceptos_Impuestos[#All],5,0),"")</f>
        <v/>
      </c>
      <c r="F1510" t="str">
        <f>+IFERROR(VLOOKUP(Fact_Impuestos[[#This Row], 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ht="18.75" customHeight="1" x14ac:dyDescent="0.35">
      <c r="C1511" s="100" t="str">
        <f>IF(OR(Fact_Impuestos[[#This Row], [Año]]="",Fact_Impuestos[[#This Row], [Mes]]=""),"",DATE(A1511,MATCH(B1511,{"enero","febrero","marzo","abril","mayo","junio","julio","agosto","septiembre","octubre","noviembre","diciembre"},0)+1,0))</f>
        <v/>
      </c>
      <c r="E1511" t="str">
        <f>+IFERROR(VLOOKUP(Fact_Impuestos[[#This Row], [Concepto Anterior]],Conceptos_Impuestos[#All],5,0),"")</f>
        <v/>
      </c>
      <c r="F1511" t="str">
        <f>+IFERROR(VLOOKUP(Fact_Impuestos[[#This Row], 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ht="18.75" customHeight="1" x14ac:dyDescent="0.35">
      <c r="C1512" s="100" t="str">
        <f>IF(OR(Fact_Impuestos[[#This Row], [Año]]="",Fact_Impuestos[[#This Row], [Mes]]=""),"",DATE(A1512,MATCH(B1512,{"enero","febrero","marzo","abril","mayo","junio","julio","agosto","septiembre","octubre","noviembre","diciembre"},0)+1,0))</f>
        <v/>
      </c>
      <c r="E1512" t="str">
        <f>+IFERROR(VLOOKUP(Fact_Impuestos[[#This Row], [Concepto Anterior]],Conceptos_Impuestos[#All],5,0),"")</f>
        <v/>
      </c>
      <c r="F1512" t="str">
        <f>+IFERROR(VLOOKUP(Fact_Impuestos[[#This Row], 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ht="18.75" customHeight="1" x14ac:dyDescent="0.35">
      <c r="C1513" s="100" t="str">
        <f>IF(OR(Fact_Impuestos[[#This Row], [Año]]="",Fact_Impuestos[[#This Row], [Mes]]=""),"",DATE(A1513,MATCH(B1513,{"enero","febrero","marzo","abril","mayo","junio","julio","agosto","septiembre","octubre","noviembre","diciembre"},0)+1,0))</f>
        <v/>
      </c>
      <c r="E1513" t="str">
        <f>+IFERROR(VLOOKUP(Fact_Impuestos[[#This Row], [Concepto Anterior]],Conceptos_Impuestos[#All],5,0),"")</f>
        <v/>
      </c>
      <c r="F1513" t="str">
        <f>+IFERROR(VLOOKUP(Fact_Impuestos[[#This Row], 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ht="18.75" customHeight="1" x14ac:dyDescent="0.35">
      <c r="C1514" s="100" t="str">
        <f>IF(OR(Fact_Impuestos[[#This Row], [Año]]="",Fact_Impuestos[[#This Row], [Mes]]=""),"",DATE(A1514,MATCH(B1514,{"enero","febrero","marzo","abril","mayo","junio","julio","agosto","septiembre","octubre","noviembre","diciembre"},0)+1,0))</f>
        <v/>
      </c>
      <c r="E1514" t="str">
        <f>+IFERROR(VLOOKUP(Fact_Impuestos[[#This Row], [Concepto Anterior]],Conceptos_Impuestos[#All],5,0),"")</f>
        <v/>
      </c>
      <c r="F1514" t="str">
        <f>+IFERROR(VLOOKUP(Fact_Impuestos[[#This Row], 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ht="18.75" customHeight="1" x14ac:dyDescent="0.35">
      <c r="C1515" s="100" t="str">
        <f>IF(OR(Fact_Impuestos[[#This Row], [Año]]="",Fact_Impuestos[[#This Row], [Mes]]=""),"",DATE(A1515,MATCH(B1515,{"enero","febrero","marzo","abril","mayo","junio","julio","agosto","septiembre","octubre","noviembre","diciembre"},0)+1,0))</f>
        <v/>
      </c>
      <c r="E1515" t="str">
        <f>+IFERROR(VLOOKUP(Fact_Impuestos[[#This Row], [Concepto Anterior]],Conceptos_Impuestos[#All],5,0),"")</f>
        <v/>
      </c>
      <c r="F1515" t="str">
        <f>+IFERROR(VLOOKUP(Fact_Impuestos[[#This Row], 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ht="18.75" customHeight="1" x14ac:dyDescent="0.35">
      <c r="C1516" s="100" t="str">
        <f>IF(OR(Fact_Impuestos[[#This Row], [Año]]="",Fact_Impuestos[[#This Row], [Mes]]=""),"",DATE(A1516,MATCH(B1516,{"enero","febrero","marzo","abril","mayo","junio","julio","agosto","septiembre","octubre","noviembre","diciembre"},0)+1,0))</f>
        <v/>
      </c>
      <c r="E1516" t="str">
        <f>+IFERROR(VLOOKUP(Fact_Impuestos[[#This Row], [Concepto Anterior]],Conceptos_Impuestos[#All],5,0),"")</f>
        <v/>
      </c>
      <c r="F1516" t="str">
        <f>+IFERROR(VLOOKUP(Fact_Impuestos[[#This Row], 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ht="18.75" customHeight="1" x14ac:dyDescent="0.35">
      <c r="C1517" s="100" t="str">
        <f>IF(OR(Fact_Impuestos[[#This Row], [Año]]="",Fact_Impuestos[[#This Row], [Mes]]=""),"",DATE(A1517,MATCH(B1517,{"enero","febrero","marzo","abril","mayo","junio","julio","agosto","septiembre","octubre","noviembre","diciembre"},0)+1,0))</f>
        <v/>
      </c>
      <c r="E1517" t="str">
        <f>+IFERROR(VLOOKUP(Fact_Impuestos[[#This Row], [Concepto Anterior]],Conceptos_Impuestos[#All],5,0),"")</f>
        <v/>
      </c>
      <c r="F1517" t="str">
        <f>+IFERROR(VLOOKUP(Fact_Impuestos[[#This Row], 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ht="18.75" customHeight="1" x14ac:dyDescent="0.35">
      <c r="C1518" s="100" t="str">
        <f>IF(OR(Fact_Impuestos[[#This Row], [Año]]="",Fact_Impuestos[[#This Row], [Mes]]=""),"",DATE(A1518,MATCH(B1518,{"enero","febrero","marzo","abril","mayo","junio","julio","agosto","septiembre","octubre","noviembre","diciembre"},0)+1,0))</f>
        <v/>
      </c>
      <c r="E1518" t="str">
        <f>+IFERROR(VLOOKUP(Fact_Impuestos[[#This Row], [Concepto Anterior]],Conceptos_Impuestos[#All],5,0),"")</f>
        <v/>
      </c>
      <c r="F1518" t="str">
        <f>+IFERROR(VLOOKUP(Fact_Impuestos[[#This Row], 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ht="18.75" customHeight="1" x14ac:dyDescent="0.35">
      <c r="C1519" s="100" t="str">
        <f>IF(OR(Fact_Impuestos[[#This Row], [Año]]="",Fact_Impuestos[[#This Row], [Mes]]=""),"",DATE(A1519,MATCH(B1519,{"enero","febrero","marzo","abril","mayo","junio","julio","agosto","septiembre","octubre","noviembre","diciembre"},0)+1,0))</f>
        <v/>
      </c>
      <c r="E1519" t="str">
        <f>+IFERROR(VLOOKUP(Fact_Impuestos[[#This Row], [Concepto Anterior]],Conceptos_Impuestos[#All],5,0),"")</f>
        <v/>
      </c>
      <c r="F1519" t="str">
        <f>+IFERROR(VLOOKUP(Fact_Impuestos[[#This Row], 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ht="18.75" customHeight="1" x14ac:dyDescent="0.35">
      <c r="C1520" s="100" t="str">
        <f>IF(OR(Fact_Impuestos[[#This Row], [Año]]="",Fact_Impuestos[[#This Row], [Mes]]=""),"",DATE(A1520,MATCH(B1520,{"enero","febrero","marzo","abril","mayo","junio","julio","agosto","septiembre","octubre","noviembre","diciembre"},0)+1,0))</f>
        <v/>
      </c>
      <c r="E1520" t="str">
        <f>+IFERROR(VLOOKUP(Fact_Impuestos[[#This Row], [Concepto Anterior]],Conceptos_Impuestos[#All],5,0),"")</f>
        <v/>
      </c>
      <c r="F1520" t="str">
        <f>+IFERROR(VLOOKUP(Fact_Impuestos[[#This Row], 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ht="18.75" customHeight="1" x14ac:dyDescent="0.35">
      <c r="C1521" s="100" t="str">
        <f>IF(OR(Fact_Impuestos[[#This Row], [Año]]="",Fact_Impuestos[[#This Row], [Mes]]=""),"",DATE(A1521,MATCH(B1521,{"enero","febrero","marzo","abril","mayo","junio","julio","agosto","septiembre","octubre","noviembre","diciembre"},0)+1,0))</f>
        <v/>
      </c>
      <c r="E1521" t="str">
        <f>+IFERROR(VLOOKUP(Fact_Impuestos[[#This Row], [Concepto Anterior]],Conceptos_Impuestos[#All],5,0),"")</f>
        <v/>
      </c>
      <c r="F1521" t="str">
        <f>+IFERROR(VLOOKUP(Fact_Impuestos[[#This Row], 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ht="18.75" customHeight="1" x14ac:dyDescent="0.35">
      <c r="C1522" s="100" t="str">
        <f>IF(OR(Fact_Impuestos[[#This Row], [Año]]="",Fact_Impuestos[[#This Row], [Mes]]=""),"",DATE(A1522,MATCH(B1522,{"enero","febrero","marzo","abril","mayo","junio","julio","agosto","septiembre","octubre","noviembre","diciembre"},0)+1,0))</f>
        <v/>
      </c>
      <c r="E1522" t="str">
        <f>+IFERROR(VLOOKUP(Fact_Impuestos[[#This Row], [Concepto Anterior]],Conceptos_Impuestos[#All],5,0),"")</f>
        <v/>
      </c>
      <c r="F1522" t="str">
        <f>+IFERROR(VLOOKUP(Fact_Impuestos[[#This Row], 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ht="18.75" customHeight="1" x14ac:dyDescent="0.35">
      <c r="C1523" s="100" t="str">
        <f>IF(OR(Fact_Impuestos[[#This Row], [Año]]="",Fact_Impuestos[[#This Row], [Mes]]=""),"",DATE(A1523,MATCH(B1523,{"enero","febrero","marzo","abril","mayo","junio","julio","agosto","septiembre","octubre","noviembre","diciembre"},0)+1,0))</f>
        <v/>
      </c>
      <c r="E1523" t="str">
        <f>+IFERROR(VLOOKUP(Fact_Impuestos[[#This Row], [Concepto Anterior]],Conceptos_Impuestos[#All],5,0),"")</f>
        <v/>
      </c>
      <c r="F1523" t="str">
        <f>+IFERROR(VLOOKUP(Fact_Impuestos[[#This Row], 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ht="18.75" customHeight="1" x14ac:dyDescent="0.35">
      <c r="C1524" s="100" t="str">
        <f>IF(OR(Fact_Impuestos[[#This Row], [Año]]="",Fact_Impuestos[[#This Row], [Mes]]=""),"",DATE(A1524,MATCH(B1524,{"enero","febrero","marzo","abril","mayo","junio","julio","agosto","septiembre","octubre","noviembre","diciembre"},0)+1,0))</f>
        <v/>
      </c>
      <c r="E1524" t="str">
        <f>+IFERROR(VLOOKUP(Fact_Impuestos[[#This Row], [Concepto Anterior]],Conceptos_Impuestos[#All],5,0),"")</f>
        <v/>
      </c>
      <c r="F1524" t="str">
        <f>+IFERROR(VLOOKUP(Fact_Impuestos[[#This Row], 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ht="18.75" customHeight="1" x14ac:dyDescent="0.35">
      <c r="C1525" s="100" t="str">
        <f>IF(OR(Fact_Impuestos[[#This Row], [Año]]="",Fact_Impuestos[[#This Row], [Mes]]=""),"",DATE(A1525,MATCH(B1525,{"enero","febrero","marzo","abril","mayo","junio","julio","agosto","septiembre","octubre","noviembre","diciembre"},0)+1,0))</f>
        <v/>
      </c>
      <c r="E1525" t="str">
        <f>+IFERROR(VLOOKUP(Fact_Impuestos[[#This Row], [Concepto Anterior]],Conceptos_Impuestos[#All],5,0),"")</f>
        <v/>
      </c>
      <c r="F1525" t="str">
        <f>+IFERROR(VLOOKUP(Fact_Impuestos[[#This Row], 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ht="18.75" customHeight="1" x14ac:dyDescent="0.35">
      <c r="C1526" s="100" t="str">
        <f>IF(OR(Fact_Impuestos[[#This Row], [Año]]="",Fact_Impuestos[[#This Row], [Mes]]=""),"",DATE(A1526,MATCH(B1526,{"enero","febrero","marzo","abril","mayo","junio","julio","agosto","septiembre","octubre","noviembre","diciembre"},0)+1,0))</f>
        <v/>
      </c>
      <c r="E1526" t="str">
        <f>+IFERROR(VLOOKUP(Fact_Impuestos[[#This Row], [Concepto Anterior]],Conceptos_Impuestos[#All],5,0),"")</f>
        <v/>
      </c>
      <c r="F1526" t="str">
        <f>+IFERROR(VLOOKUP(Fact_Impuestos[[#This Row], 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ht="18.75" customHeight="1" x14ac:dyDescent="0.35">
      <c r="C1527" s="100" t="str">
        <f>IF(OR(Fact_Impuestos[[#This Row], [Año]]="",Fact_Impuestos[[#This Row], [Mes]]=""),"",DATE(A1527,MATCH(B1527,{"enero","febrero","marzo","abril","mayo","junio","julio","agosto","septiembre","octubre","noviembre","diciembre"},0)+1,0))</f>
        <v/>
      </c>
      <c r="E1527" t="str">
        <f>+IFERROR(VLOOKUP(Fact_Impuestos[[#This Row], [Concepto Anterior]],Conceptos_Impuestos[#All],5,0),"")</f>
        <v/>
      </c>
      <c r="F1527" t="str">
        <f>+IFERROR(VLOOKUP(Fact_Impuestos[[#This Row], 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ht="18.75" customHeight="1" x14ac:dyDescent="0.35">
      <c r="C1528" s="100" t="str">
        <f>IF(OR(Fact_Impuestos[[#This Row], [Año]]="",Fact_Impuestos[[#This Row], [Mes]]=""),"",DATE(A1528,MATCH(B1528,{"enero","febrero","marzo","abril","mayo","junio","julio","agosto","septiembre","octubre","noviembre","diciembre"},0)+1,0))</f>
        <v/>
      </c>
      <c r="E1528" t="str">
        <f>+IFERROR(VLOOKUP(Fact_Impuestos[[#This Row], [Concepto Anterior]],Conceptos_Impuestos[#All],5,0),"")</f>
        <v/>
      </c>
      <c r="F1528" t="str">
        <f>+IFERROR(VLOOKUP(Fact_Impuestos[[#This Row], 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ht="18.75" customHeight="1" x14ac:dyDescent="0.35">
      <c r="C1529" s="100" t="str">
        <f>IF(OR(Fact_Impuestos[[#This Row], [Año]]="",Fact_Impuestos[[#This Row], [Mes]]=""),"",DATE(A1529,MATCH(B1529,{"enero","febrero","marzo","abril","mayo","junio","julio","agosto","septiembre","octubre","noviembre","diciembre"},0)+1,0))</f>
        <v/>
      </c>
      <c r="E1529" t="str">
        <f>+IFERROR(VLOOKUP(Fact_Impuestos[[#This Row], [Concepto Anterior]],Conceptos_Impuestos[#All],5,0),"")</f>
        <v/>
      </c>
      <c r="F1529" t="str">
        <f>+IFERROR(VLOOKUP(Fact_Impuestos[[#This Row], 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ht="18.75" customHeight="1" x14ac:dyDescent="0.35">
      <c r="C1530" s="100" t="str">
        <f>IF(OR(Fact_Impuestos[[#This Row], [Año]]="",Fact_Impuestos[[#This Row], [Mes]]=""),"",DATE(A1530,MATCH(B1530,{"enero","febrero","marzo","abril","mayo","junio","julio","agosto","septiembre","octubre","noviembre","diciembre"},0)+1,0))</f>
        <v/>
      </c>
      <c r="E1530" t="str">
        <f>+IFERROR(VLOOKUP(Fact_Impuestos[[#This Row], [Concepto Anterior]],Conceptos_Impuestos[#All],5,0),"")</f>
        <v/>
      </c>
      <c r="F1530" t="str">
        <f>+IFERROR(VLOOKUP(Fact_Impuestos[[#This Row], 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ht="18.75" customHeight="1" x14ac:dyDescent="0.35">
      <c r="C1531" s="100" t="str">
        <f>IF(OR(Fact_Impuestos[[#This Row], [Año]]="",Fact_Impuestos[[#This Row], [Mes]]=""),"",DATE(A1531,MATCH(B1531,{"enero","febrero","marzo","abril","mayo","junio","julio","agosto","septiembre","octubre","noviembre","diciembre"},0)+1,0))</f>
        <v/>
      </c>
      <c r="E1531" t="str">
        <f>+IFERROR(VLOOKUP(Fact_Impuestos[[#This Row], [Concepto Anterior]],Conceptos_Impuestos[#All],5,0),"")</f>
        <v/>
      </c>
      <c r="F1531" t="str">
        <f>+IFERROR(VLOOKUP(Fact_Impuestos[[#This Row], 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ht="18.75" customHeight="1" x14ac:dyDescent="0.35">
      <c r="C1532" s="100" t="str">
        <f>IF(OR(Fact_Impuestos[[#This Row], [Año]]="",Fact_Impuestos[[#This Row], [Mes]]=""),"",DATE(A1532,MATCH(B1532,{"enero","febrero","marzo","abril","mayo","junio","julio","agosto","septiembre","octubre","noviembre","diciembre"},0)+1,0))</f>
        <v/>
      </c>
      <c r="E1532" t="str">
        <f>+IFERROR(VLOOKUP(Fact_Impuestos[[#This Row], [Concepto Anterior]],Conceptos_Impuestos[#All],5,0),"")</f>
        <v/>
      </c>
      <c r="F1532" t="str">
        <f>+IFERROR(VLOOKUP(Fact_Impuestos[[#This Row], 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ht="18.75" customHeight="1" x14ac:dyDescent="0.35">
      <c r="C1533" s="100" t="str">
        <f>IF(OR(Fact_Impuestos[[#This Row], [Año]]="",Fact_Impuestos[[#This Row], [Mes]]=""),"",DATE(A1533,MATCH(B1533,{"enero","febrero","marzo","abril","mayo","junio","julio","agosto","septiembre","octubre","noviembre","diciembre"},0)+1,0))</f>
        <v/>
      </c>
      <c r="E1533" t="str">
        <f>+IFERROR(VLOOKUP(Fact_Impuestos[[#This Row], [Concepto Anterior]],Conceptos_Impuestos[#All],5,0),"")</f>
        <v/>
      </c>
      <c r="F1533" t="str">
        <f>+IFERROR(VLOOKUP(Fact_Impuestos[[#This Row], 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ht="18.75" customHeight="1" x14ac:dyDescent="0.35">
      <c r="C1534" s="100" t="str">
        <f>IF(OR(Fact_Impuestos[[#This Row], [Año]]="",Fact_Impuestos[[#This Row], [Mes]]=""),"",DATE(A1534,MATCH(B1534,{"enero","febrero","marzo","abril","mayo","junio","julio","agosto","septiembre","octubre","noviembre","diciembre"},0)+1,0))</f>
        <v/>
      </c>
      <c r="E1534" t="str">
        <f>+IFERROR(VLOOKUP(Fact_Impuestos[[#This Row], [Concepto Anterior]],Conceptos_Impuestos[#All],5,0),"")</f>
        <v/>
      </c>
      <c r="F1534" t="str">
        <f>+IFERROR(VLOOKUP(Fact_Impuestos[[#This Row], 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ht="18.75" customHeight="1" x14ac:dyDescent="0.35">
      <c r="C1535" s="100" t="str">
        <f>IF(OR(Fact_Impuestos[[#This Row], [Año]]="",Fact_Impuestos[[#This Row], [Mes]]=""),"",DATE(A1535,MATCH(B1535,{"enero","febrero","marzo","abril","mayo","junio","julio","agosto","septiembre","octubre","noviembre","diciembre"},0)+1,0))</f>
        <v/>
      </c>
      <c r="E1535" t="str">
        <f>+IFERROR(VLOOKUP(Fact_Impuestos[[#This Row], [Concepto Anterior]],Conceptos_Impuestos[#All],5,0),"")</f>
        <v/>
      </c>
      <c r="F1535" t="str">
        <f>+IFERROR(VLOOKUP(Fact_Impuestos[[#This Row], 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ht="18.75" customHeight="1" x14ac:dyDescent="0.35">
      <c r="C1536" s="100" t="str">
        <f>IF(OR(Fact_Impuestos[[#This Row], [Año]]="",Fact_Impuestos[[#This Row], [Mes]]=""),"",DATE(A1536,MATCH(B1536,{"enero","febrero","marzo","abril","mayo","junio","julio","agosto","septiembre","octubre","noviembre","diciembre"},0)+1,0))</f>
        <v/>
      </c>
      <c r="E1536" t="str">
        <f>+IFERROR(VLOOKUP(Fact_Impuestos[[#This Row], [Concepto Anterior]],Conceptos_Impuestos[#All],5,0),"")</f>
        <v/>
      </c>
      <c r="F1536" t="str">
        <f>+IFERROR(VLOOKUP(Fact_Impuestos[[#This Row], 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ht="18.75" customHeight="1" x14ac:dyDescent="0.35">
      <c r="C1537" s="100" t="str">
        <f>IF(OR(Fact_Impuestos[[#This Row], [Año]]="",Fact_Impuestos[[#This Row], [Mes]]=""),"",DATE(A1537,MATCH(B1537,{"enero","febrero","marzo","abril","mayo","junio","julio","agosto","septiembre","octubre","noviembre","diciembre"},0)+1,0))</f>
        <v/>
      </c>
      <c r="E1537" t="str">
        <f>+IFERROR(VLOOKUP(Fact_Impuestos[[#This Row], [Concepto Anterior]],Conceptos_Impuestos[#All],5,0),"")</f>
        <v/>
      </c>
      <c r="F1537" t="str">
        <f>+IFERROR(VLOOKUP(Fact_Impuestos[[#This Row], 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ht="18.75" customHeight="1" x14ac:dyDescent="0.35">
      <c r="C1538" s="100" t="str">
        <f>IF(OR(Fact_Impuestos[[#This Row], [Año]]="",Fact_Impuestos[[#This Row], [Mes]]=""),"",DATE(A1538,MATCH(B1538,{"enero","febrero","marzo","abril","mayo","junio","julio","agosto","septiembre","octubre","noviembre","diciembre"},0)+1,0))</f>
        <v/>
      </c>
      <c r="E1538" t="str">
        <f>+IFERROR(VLOOKUP(Fact_Impuestos[[#This Row], [Concepto Anterior]],Conceptos_Impuestos[#All],5,0),"")</f>
        <v/>
      </c>
      <c r="F1538" t="str">
        <f>+IFERROR(VLOOKUP(Fact_Impuestos[[#This Row], 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ht="18.75" customHeight="1" x14ac:dyDescent="0.35">
      <c r="C1539" s="100" t="str">
        <f>IF(OR(Fact_Impuestos[[#This Row], [Año]]="",Fact_Impuestos[[#This Row], [Mes]]=""),"",DATE(A1539,MATCH(B1539,{"enero","febrero","marzo","abril","mayo","junio","julio","agosto","septiembre","octubre","noviembre","diciembre"},0)+1,0))</f>
        <v/>
      </c>
      <c r="E1539" t="str">
        <f>+IFERROR(VLOOKUP(Fact_Impuestos[[#This Row], [Concepto Anterior]],Conceptos_Impuestos[#All],5,0),"")</f>
        <v/>
      </c>
      <c r="F1539" t="str">
        <f>+IFERROR(VLOOKUP(Fact_Impuestos[[#This Row], 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ht="18.75" customHeight="1" x14ac:dyDescent="0.35">
      <c r="C1540" s="100" t="str">
        <f>IF(OR(Fact_Impuestos[[#This Row], [Año]]="",Fact_Impuestos[[#This Row], [Mes]]=""),"",DATE(A1540,MATCH(B1540,{"enero","febrero","marzo","abril","mayo","junio","julio","agosto","septiembre","octubre","noviembre","diciembre"},0)+1,0))</f>
        <v/>
      </c>
      <c r="E1540" t="str">
        <f>+IFERROR(VLOOKUP(Fact_Impuestos[[#This Row], [Concepto Anterior]],Conceptos_Impuestos[#All],5,0),"")</f>
        <v/>
      </c>
      <c r="F1540" t="str">
        <f>+IFERROR(VLOOKUP(Fact_Impuestos[[#This Row], 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ht="18.75" customHeight="1" x14ac:dyDescent="0.35">
      <c r="C1541" s="100" t="str">
        <f>IF(OR(Fact_Impuestos[[#This Row], [Año]]="",Fact_Impuestos[[#This Row], [Mes]]=""),"",DATE(A1541,MATCH(B1541,{"enero","febrero","marzo","abril","mayo","junio","julio","agosto","septiembre","octubre","noviembre","diciembre"},0)+1,0))</f>
        <v/>
      </c>
      <c r="E1541" t="str">
        <f>+IFERROR(VLOOKUP(Fact_Impuestos[[#This Row], [Concepto Anterior]],Conceptos_Impuestos[#All],5,0),"")</f>
        <v/>
      </c>
      <c r="F1541" t="str">
        <f>+IFERROR(VLOOKUP(Fact_Impuestos[[#This Row], 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ht="18.75" customHeight="1" x14ac:dyDescent="0.35">
      <c r="C1542" s="100" t="str">
        <f>IF(OR(Fact_Impuestos[[#This Row], [Año]]="",Fact_Impuestos[[#This Row], [Mes]]=""),"",DATE(A1542,MATCH(B1542,{"enero","febrero","marzo","abril","mayo","junio","julio","agosto","septiembre","octubre","noviembre","diciembre"},0)+1,0))</f>
        <v/>
      </c>
      <c r="E1542" t="str">
        <f>+IFERROR(VLOOKUP(Fact_Impuestos[[#This Row], [Concepto Anterior]],Conceptos_Impuestos[#All],5,0),"")</f>
        <v/>
      </c>
      <c r="F1542" t="str">
        <f>+IFERROR(VLOOKUP(Fact_Impuestos[[#This Row], 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ht="18.75" customHeight="1" x14ac:dyDescent="0.35">
      <c r="C1543" s="100" t="str">
        <f>IF(OR(Fact_Impuestos[[#This Row], [Año]]="",Fact_Impuestos[[#This Row], [Mes]]=""),"",DATE(A1543,MATCH(B1543,{"enero","febrero","marzo","abril","mayo","junio","julio","agosto","septiembre","octubre","noviembre","diciembre"},0)+1,0))</f>
        <v/>
      </c>
      <c r="E1543" t="str">
        <f>+IFERROR(VLOOKUP(Fact_Impuestos[[#This Row], [Concepto Anterior]],Conceptos_Impuestos[#All],5,0),"")</f>
        <v/>
      </c>
      <c r="F1543" t="str">
        <f>+IFERROR(VLOOKUP(Fact_Impuestos[[#This Row], 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ht="18.75" customHeight="1" x14ac:dyDescent="0.35">
      <c r="C1544" s="100" t="str">
        <f>IF(OR(Fact_Impuestos[[#This Row], [Año]]="",Fact_Impuestos[[#This Row], [Mes]]=""),"",DATE(A1544,MATCH(B1544,{"enero","febrero","marzo","abril","mayo","junio","julio","agosto","septiembre","octubre","noviembre","diciembre"},0)+1,0))</f>
        <v/>
      </c>
      <c r="E1544" t="str">
        <f>+IFERROR(VLOOKUP(Fact_Impuestos[[#This Row], [Concepto Anterior]],Conceptos_Impuestos[#All],5,0),"")</f>
        <v/>
      </c>
      <c r="F1544" t="str">
        <f>+IFERROR(VLOOKUP(Fact_Impuestos[[#This Row], 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ht="18.75" customHeight="1" x14ac:dyDescent="0.35">
      <c r="C1545" s="100" t="str">
        <f>IF(OR(Fact_Impuestos[[#This Row], [Año]]="",Fact_Impuestos[[#This Row], [Mes]]=""),"",DATE(A1545,MATCH(B1545,{"enero","febrero","marzo","abril","mayo","junio","julio","agosto","septiembre","octubre","noviembre","diciembre"},0)+1,0))</f>
        <v/>
      </c>
      <c r="E1545" t="str">
        <f>+IFERROR(VLOOKUP(Fact_Impuestos[[#This Row], [Concepto Anterior]],Conceptos_Impuestos[#All],5,0),"")</f>
        <v/>
      </c>
      <c r="F1545" t="str">
        <f>+IFERROR(VLOOKUP(Fact_Impuestos[[#This Row], 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ht="18.75" customHeight="1" x14ac:dyDescent="0.35">
      <c r="C1546" s="100" t="str">
        <f>IF(OR(Fact_Impuestos[[#This Row], [Año]]="",Fact_Impuestos[[#This Row], [Mes]]=""),"",DATE(A1546,MATCH(B1546,{"enero","febrero","marzo","abril","mayo","junio","julio","agosto","septiembre","octubre","noviembre","diciembre"},0)+1,0))</f>
        <v/>
      </c>
      <c r="E1546" t="str">
        <f>+IFERROR(VLOOKUP(Fact_Impuestos[[#This Row], [Concepto Anterior]],Conceptos_Impuestos[#All],5,0),"")</f>
        <v/>
      </c>
      <c r="F1546" t="str">
        <f>+IFERROR(VLOOKUP(Fact_Impuestos[[#This Row], 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ht="18.75" customHeight="1" x14ac:dyDescent="0.35">
      <c r="C1547" s="100" t="str">
        <f>IF(OR(Fact_Impuestos[[#This Row], [Año]]="",Fact_Impuestos[[#This Row], [Mes]]=""),"",DATE(A1547,MATCH(B1547,{"enero","febrero","marzo","abril","mayo","junio","julio","agosto","septiembre","octubre","noviembre","diciembre"},0)+1,0))</f>
        <v/>
      </c>
      <c r="E1547" t="str">
        <f>+IFERROR(VLOOKUP(Fact_Impuestos[[#This Row], [Concepto Anterior]],Conceptos_Impuestos[#All],5,0),"")</f>
        <v/>
      </c>
      <c r="F1547" t="str">
        <f>+IFERROR(VLOOKUP(Fact_Impuestos[[#This Row], 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ht="18.75" customHeight="1" x14ac:dyDescent="0.35">
      <c r="C1548" s="100" t="str">
        <f>IF(OR(Fact_Impuestos[[#This Row], [Año]]="",Fact_Impuestos[[#This Row], [Mes]]=""),"",DATE(A1548,MATCH(B1548,{"enero","febrero","marzo","abril","mayo","junio","julio","agosto","septiembre","octubre","noviembre","diciembre"},0)+1,0))</f>
        <v/>
      </c>
      <c r="E1548" t="str">
        <f>+IFERROR(VLOOKUP(Fact_Impuestos[[#This Row], [Concepto Anterior]],Conceptos_Impuestos[#All],5,0),"")</f>
        <v/>
      </c>
      <c r="F1548" t="str">
        <f>+IFERROR(VLOOKUP(Fact_Impuestos[[#This Row], 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ht="18.75" customHeight="1" x14ac:dyDescent="0.35">
      <c r="C1549" s="100" t="str">
        <f>IF(OR(Fact_Impuestos[[#This Row], [Año]]="",Fact_Impuestos[[#This Row], [Mes]]=""),"",DATE(A1549,MATCH(B1549,{"enero","febrero","marzo","abril","mayo","junio","julio","agosto","septiembre","octubre","noviembre","diciembre"},0)+1,0))</f>
        <v/>
      </c>
      <c r="E1549" t="str">
        <f>+IFERROR(VLOOKUP(Fact_Impuestos[[#This Row], [Concepto Anterior]],Conceptos_Impuestos[#All],5,0),"")</f>
        <v/>
      </c>
      <c r="F1549" t="str">
        <f>+IFERROR(VLOOKUP(Fact_Impuestos[[#This Row], 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ht="18.75" customHeight="1" x14ac:dyDescent="0.35">
      <c r="C1550" s="100" t="str">
        <f>IF(OR(Fact_Impuestos[[#This Row], [Año]]="",Fact_Impuestos[[#This Row], [Mes]]=""),"",DATE(A1550,MATCH(B1550,{"enero","febrero","marzo","abril","mayo","junio","julio","agosto","septiembre","octubre","noviembre","diciembre"},0)+1,0))</f>
        <v/>
      </c>
      <c r="E1550" t="str">
        <f>+IFERROR(VLOOKUP(Fact_Impuestos[[#This Row], [Concepto Anterior]],Conceptos_Impuestos[#All],5,0),"")</f>
        <v/>
      </c>
      <c r="F1550" t="str">
        <f>+IFERROR(VLOOKUP(Fact_Impuestos[[#This Row], 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ht="18.75" customHeight="1" x14ac:dyDescent="0.35">
      <c r="C1551" s="100" t="str">
        <f>IF(OR(Fact_Impuestos[[#This Row], [Año]]="",Fact_Impuestos[[#This Row], [Mes]]=""),"",DATE(A1551,MATCH(B1551,{"enero","febrero","marzo","abril","mayo","junio","julio","agosto","septiembre","octubre","noviembre","diciembre"},0)+1,0))</f>
        <v/>
      </c>
      <c r="E1551" t="str">
        <f>+IFERROR(VLOOKUP(Fact_Impuestos[[#This Row], [Concepto Anterior]],Conceptos_Impuestos[#All],5,0),"")</f>
        <v/>
      </c>
      <c r="F1551" t="str">
        <f>+IFERROR(VLOOKUP(Fact_Impuestos[[#This Row], 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ht="18.75" customHeight="1" x14ac:dyDescent="0.35">
      <c r="C1552" s="100" t="str">
        <f>IF(OR(Fact_Impuestos[[#This Row], [Año]]="",Fact_Impuestos[[#This Row], [Mes]]=""),"",DATE(A1552,MATCH(B1552,{"enero","febrero","marzo","abril","mayo","junio","julio","agosto","septiembre","octubre","noviembre","diciembre"},0)+1,0))</f>
        <v/>
      </c>
      <c r="E1552" t="str">
        <f>+IFERROR(VLOOKUP(Fact_Impuestos[[#This Row], [Concepto Anterior]],Conceptos_Impuestos[#All],5,0),"")</f>
        <v/>
      </c>
      <c r="F1552" t="str">
        <f>+IFERROR(VLOOKUP(Fact_Impuestos[[#This Row], 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ht="18.75" customHeight="1" x14ac:dyDescent="0.35">
      <c r="C1553" s="100" t="str">
        <f>IF(OR(Fact_Impuestos[[#This Row], [Año]]="",Fact_Impuestos[[#This Row], [Mes]]=""),"",DATE(A1553,MATCH(B1553,{"enero","febrero","marzo","abril","mayo","junio","julio","agosto","septiembre","octubre","noviembre","diciembre"},0)+1,0))</f>
        <v/>
      </c>
      <c r="E1553" t="str">
        <f>+IFERROR(VLOOKUP(Fact_Impuestos[[#This Row], [Concepto Anterior]],Conceptos_Impuestos[#All],5,0),"")</f>
        <v/>
      </c>
      <c r="F1553" t="str">
        <f>+IFERROR(VLOOKUP(Fact_Impuestos[[#This Row], 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ht="18.75" customHeight="1" x14ac:dyDescent="0.35">
      <c r="C1554" s="100" t="str">
        <f>IF(OR(Fact_Impuestos[[#This Row], [Año]]="",Fact_Impuestos[[#This Row], [Mes]]=""),"",DATE(A1554,MATCH(B1554,{"enero","febrero","marzo","abril","mayo","junio","julio","agosto","septiembre","octubre","noviembre","diciembre"},0)+1,0))</f>
        <v/>
      </c>
      <c r="E1554" t="str">
        <f>+IFERROR(VLOOKUP(Fact_Impuestos[[#This Row], [Concepto Anterior]],Conceptos_Impuestos[#All],5,0),"")</f>
        <v/>
      </c>
      <c r="F1554" t="str">
        <f>+IFERROR(VLOOKUP(Fact_Impuestos[[#This Row], 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ht="18.75" customHeight="1" x14ac:dyDescent="0.35">
      <c r="C1555" s="100" t="str">
        <f>IF(OR(Fact_Impuestos[[#This Row], [Año]]="",Fact_Impuestos[[#This Row], [Mes]]=""),"",DATE(A1555,MATCH(B1555,{"enero","febrero","marzo","abril","mayo","junio","julio","agosto","septiembre","octubre","noviembre","diciembre"},0)+1,0))</f>
        <v/>
      </c>
      <c r="E1555" t="str">
        <f>+IFERROR(VLOOKUP(Fact_Impuestos[[#This Row], [Concepto Anterior]],Conceptos_Impuestos[#All],5,0),"")</f>
        <v/>
      </c>
      <c r="F1555" t="str">
        <f>+IFERROR(VLOOKUP(Fact_Impuestos[[#This Row], 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ht="18.75" customHeight="1" x14ac:dyDescent="0.35">
      <c r="C1556" s="100" t="str">
        <f>IF(OR(Fact_Impuestos[[#This Row], [Año]]="",Fact_Impuestos[[#This Row], [Mes]]=""),"",DATE(A1556,MATCH(B1556,{"enero","febrero","marzo","abril","mayo","junio","julio","agosto","septiembre","octubre","noviembre","diciembre"},0)+1,0))</f>
        <v/>
      </c>
      <c r="E1556" t="str">
        <f>+IFERROR(VLOOKUP(Fact_Impuestos[[#This Row], [Concepto Anterior]],Conceptos_Impuestos[#All],5,0),"")</f>
        <v/>
      </c>
      <c r="F1556" t="str">
        <f>+IFERROR(VLOOKUP(Fact_Impuestos[[#This Row], 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ht="18.75" customHeight="1" x14ac:dyDescent="0.35">
      <c r="C1557" s="100" t="str">
        <f>IF(OR(Fact_Impuestos[[#This Row], [Año]]="",Fact_Impuestos[[#This Row], [Mes]]=""),"",DATE(A1557,MATCH(B1557,{"enero","febrero","marzo","abril","mayo","junio","julio","agosto","septiembre","octubre","noviembre","diciembre"},0)+1,0))</f>
        <v/>
      </c>
      <c r="E1557" t="str">
        <f>+IFERROR(VLOOKUP(Fact_Impuestos[[#This Row], [Concepto Anterior]],Conceptos_Impuestos[#All],5,0),"")</f>
        <v/>
      </c>
      <c r="F1557" t="str">
        <f>+IFERROR(VLOOKUP(Fact_Impuestos[[#This Row], 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ht="18.75" customHeight="1" x14ac:dyDescent="0.35">
      <c r="C1558" s="100" t="str">
        <f>IF(OR(Fact_Impuestos[[#This Row], [Año]]="",Fact_Impuestos[[#This Row], [Mes]]=""),"",DATE(A1558,MATCH(B1558,{"enero","febrero","marzo","abril","mayo","junio","julio","agosto","septiembre","octubre","noviembre","diciembre"},0)+1,0))</f>
        <v/>
      </c>
      <c r="E1558" t="str">
        <f>+IFERROR(VLOOKUP(Fact_Impuestos[[#This Row], [Concepto Anterior]],Conceptos_Impuestos[#All],5,0),"")</f>
        <v/>
      </c>
      <c r="F1558" t="str">
        <f>+IFERROR(VLOOKUP(Fact_Impuestos[[#This Row], 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ht="18.75" customHeight="1" x14ac:dyDescent="0.35">
      <c r="C1559" s="100" t="str">
        <f>IF(OR(Fact_Impuestos[[#This Row], [Año]]="",Fact_Impuestos[[#This Row], [Mes]]=""),"",DATE(A1559,MATCH(B1559,{"enero","febrero","marzo","abril","mayo","junio","julio","agosto","septiembre","octubre","noviembre","diciembre"},0)+1,0))</f>
        <v/>
      </c>
      <c r="E1559" t="str">
        <f>+IFERROR(VLOOKUP(Fact_Impuestos[[#This Row], [Concepto Anterior]],Conceptos_Impuestos[#All],5,0),"")</f>
        <v/>
      </c>
      <c r="F1559" t="str">
        <f>+IFERROR(VLOOKUP(Fact_Impuestos[[#This Row], 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ht="18.75" customHeight="1" x14ac:dyDescent="0.35">
      <c r="C1560" s="100" t="str">
        <f>IF(OR(Fact_Impuestos[[#This Row], [Año]]="",Fact_Impuestos[[#This Row], [Mes]]=""),"",DATE(A1560,MATCH(B1560,{"enero","febrero","marzo","abril","mayo","junio","julio","agosto","septiembre","octubre","noviembre","diciembre"},0)+1,0))</f>
        <v/>
      </c>
      <c r="E1560" t="str">
        <f>+IFERROR(VLOOKUP(Fact_Impuestos[[#This Row], [Concepto Anterior]],Conceptos_Impuestos[#All],5,0),"")</f>
        <v/>
      </c>
      <c r="F1560" t="str">
        <f>+IFERROR(VLOOKUP(Fact_Impuestos[[#This Row], 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ht="18.75" customHeight="1" x14ac:dyDescent="0.35">
      <c r="C1561" s="100" t="str">
        <f>IF(OR(Fact_Impuestos[[#This Row], [Año]]="",Fact_Impuestos[[#This Row], [Mes]]=""),"",DATE(A1561,MATCH(B1561,{"enero","febrero","marzo","abril","mayo","junio","julio","agosto","septiembre","octubre","noviembre","diciembre"},0)+1,0))</f>
        <v/>
      </c>
      <c r="E1561" t="str">
        <f>+IFERROR(VLOOKUP(Fact_Impuestos[[#This Row], [Concepto Anterior]],Conceptos_Impuestos[#All],5,0),"")</f>
        <v/>
      </c>
      <c r="F1561" t="str">
        <f>+IFERROR(VLOOKUP(Fact_Impuestos[[#This Row], 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ht="18.75" customHeight="1" x14ac:dyDescent="0.35">
      <c r="C1562" s="100" t="str">
        <f>IF(OR(Fact_Impuestos[[#This Row], [Año]]="",Fact_Impuestos[[#This Row], [Mes]]=""),"",DATE(A1562,MATCH(B1562,{"enero","febrero","marzo","abril","mayo","junio","julio","agosto","septiembre","octubre","noviembre","diciembre"},0)+1,0))</f>
        <v/>
      </c>
      <c r="E1562" t="str">
        <f>+IFERROR(VLOOKUP(Fact_Impuestos[[#This Row], [Concepto Anterior]],Conceptos_Impuestos[#All],5,0),"")</f>
        <v/>
      </c>
      <c r="F1562" t="str">
        <f>+IFERROR(VLOOKUP(Fact_Impuestos[[#This Row], 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ht="18.75" customHeight="1" x14ac:dyDescent="0.35">
      <c r="C1563" s="100" t="str">
        <f>IF(OR(Fact_Impuestos[[#This Row], [Año]]="",Fact_Impuestos[[#This Row], [Mes]]=""),"",DATE(A1563,MATCH(B1563,{"enero","febrero","marzo","abril","mayo","junio","julio","agosto","septiembre","octubre","noviembre","diciembre"},0)+1,0))</f>
        <v/>
      </c>
      <c r="E1563" t="str">
        <f>+IFERROR(VLOOKUP(Fact_Impuestos[[#This Row], [Concepto Anterior]],Conceptos_Impuestos[#All],5,0),"")</f>
        <v/>
      </c>
      <c r="F1563" t="str">
        <f>+IFERROR(VLOOKUP(Fact_Impuestos[[#This Row], 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ht="18.75" customHeight="1" x14ac:dyDescent="0.35">
      <c r="C1564" s="100" t="str">
        <f>IF(OR(Fact_Impuestos[[#This Row], [Año]]="",Fact_Impuestos[[#This Row], [Mes]]=""),"",DATE(A1564,MATCH(B1564,{"enero","febrero","marzo","abril","mayo","junio","julio","agosto","septiembre","octubre","noviembre","diciembre"},0)+1,0))</f>
        <v/>
      </c>
      <c r="E1564" t="str">
        <f>+IFERROR(VLOOKUP(Fact_Impuestos[[#This Row], [Concepto Anterior]],Conceptos_Impuestos[#All],5,0),"")</f>
        <v/>
      </c>
      <c r="F1564" t="str">
        <f>+IFERROR(VLOOKUP(Fact_Impuestos[[#This Row], 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ht="18.75" customHeight="1" x14ac:dyDescent="0.35">
      <c r="C1565" s="100" t="str">
        <f>IF(OR(Fact_Impuestos[[#This Row], [Año]]="",Fact_Impuestos[[#This Row], [Mes]]=""),"",DATE(A1565,MATCH(B1565,{"enero","febrero","marzo","abril","mayo","junio","julio","agosto","septiembre","octubre","noviembre","diciembre"},0)+1,0))</f>
        <v/>
      </c>
      <c r="E1565" t="str">
        <f>+IFERROR(VLOOKUP(Fact_Impuestos[[#This Row], [Concepto Anterior]],Conceptos_Impuestos[#All],5,0),"")</f>
        <v/>
      </c>
      <c r="F1565" t="str">
        <f>+IFERROR(VLOOKUP(Fact_Impuestos[[#This Row], 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ht="18.75" customHeight="1" x14ac:dyDescent="0.35">
      <c r="C1566" s="100" t="str">
        <f>IF(OR(Fact_Impuestos[[#This Row], [Año]]="",Fact_Impuestos[[#This Row], [Mes]]=""),"",DATE(A1566,MATCH(B1566,{"enero","febrero","marzo","abril","mayo","junio","julio","agosto","septiembre","octubre","noviembre","diciembre"},0)+1,0))</f>
        <v/>
      </c>
      <c r="E1566" t="str">
        <f>+IFERROR(VLOOKUP(Fact_Impuestos[[#This Row], [Concepto Anterior]],Conceptos_Impuestos[#All],5,0),"")</f>
        <v/>
      </c>
      <c r="F1566" t="str">
        <f>+IFERROR(VLOOKUP(Fact_Impuestos[[#This Row], 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ht="18.75" customHeight="1" x14ac:dyDescent="0.35">
      <c r="C1567" s="100" t="str">
        <f>IF(OR(Fact_Impuestos[[#This Row], [Año]]="",Fact_Impuestos[[#This Row], [Mes]]=""),"",DATE(A1567,MATCH(B1567,{"enero","febrero","marzo","abril","mayo","junio","julio","agosto","septiembre","octubre","noviembre","diciembre"},0)+1,0))</f>
        <v/>
      </c>
      <c r="E1567" t="str">
        <f>+IFERROR(VLOOKUP(Fact_Impuestos[[#This Row], [Concepto Anterior]],Conceptos_Impuestos[#All],5,0),"")</f>
        <v/>
      </c>
      <c r="F1567" t="str">
        <f>+IFERROR(VLOOKUP(Fact_Impuestos[[#This Row], 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ht="18.75" customHeight="1" x14ac:dyDescent="0.35">
      <c r="C1568" s="100" t="str">
        <f>IF(OR(Fact_Impuestos[[#This Row], [Año]]="",Fact_Impuestos[[#This Row], [Mes]]=""),"",DATE(A1568,MATCH(B1568,{"enero","febrero","marzo","abril","mayo","junio","julio","agosto","septiembre","octubre","noviembre","diciembre"},0)+1,0))</f>
        <v/>
      </c>
      <c r="E1568" t="str">
        <f>+IFERROR(VLOOKUP(Fact_Impuestos[[#This Row], [Concepto Anterior]],Conceptos_Impuestos[#All],5,0),"")</f>
        <v/>
      </c>
      <c r="F1568" t="str">
        <f>+IFERROR(VLOOKUP(Fact_Impuestos[[#This Row], 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ht="18.75" customHeight="1" x14ac:dyDescent="0.35">
      <c r="C1569" s="100" t="str">
        <f>IF(OR(Fact_Impuestos[[#This Row], [Año]]="",Fact_Impuestos[[#This Row], [Mes]]=""),"",DATE(A1569,MATCH(B1569,{"enero","febrero","marzo","abril","mayo","junio","julio","agosto","septiembre","octubre","noviembre","diciembre"},0)+1,0))</f>
        <v/>
      </c>
      <c r="E1569" t="str">
        <f>+IFERROR(VLOOKUP(Fact_Impuestos[[#This Row], [Concepto Anterior]],Conceptos_Impuestos[#All],5,0),"")</f>
        <v/>
      </c>
      <c r="F1569" t="str">
        <f>+IFERROR(VLOOKUP(Fact_Impuestos[[#This Row], 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ht="18.75" customHeight="1" x14ac:dyDescent="0.35">
      <c r="C1570" s="100" t="str">
        <f>IF(OR(Fact_Impuestos[[#This Row], [Año]]="",Fact_Impuestos[[#This Row], [Mes]]=""),"",DATE(A1570,MATCH(B1570,{"enero","febrero","marzo","abril","mayo","junio","julio","agosto","septiembre","octubre","noviembre","diciembre"},0)+1,0))</f>
        <v/>
      </c>
      <c r="E1570" t="str">
        <f>+IFERROR(VLOOKUP(Fact_Impuestos[[#This Row], [Concepto Anterior]],Conceptos_Impuestos[#All],5,0),"")</f>
        <v/>
      </c>
      <c r="F1570" t="str">
        <f>+IFERROR(VLOOKUP(Fact_Impuestos[[#This Row], 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ht="18.75" customHeight="1" x14ac:dyDescent="0.35">
      <c r="C1571" s="100" t="str">
        <f>IF(OR(Fact_Impuestos[[#This Row], [Año]]="",Fact_Impuestos[[#This Row], [Mes]]=""),"",DATE(A1571,MATCH(B1571,{"enero","febrero","marzo","abril","mayo","junio","julio","agosto","septiembre","octubre","noviembre","diciembre"},0)+1,0))</f>
        <v/>
      </c>
      <c r="E1571" t="str">
        <f>+IFERROR(VLOOKUP(Fact_Impuestos[[#This Row], [Concepto Anterior]],Conceptos_Impuestos[#All],5,0),"")</f>
        <v/>
      </c>
      <c r="F1571" t="str">
        <f>+IFERROR(VLOOKUP(Fact_Impuestos[[#This Row], 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ht="18.75" customHeight="1" x14ac:dyDescent="0.35">
      <c r="C1572" s="100" t="str">
        <f>IF(OR(Fact_Impuestos[[#This Row], [Año]]="",Fact_Impuestos[[#This Row], [Mes]]=""),"",DATE(A1572,MATCH(B1572,{"enero","febrero","marzo","abril","mayo","junio","julio","agosto","septiembre","octubre","noviembre","diciembre"},0)+1,0))</f>
        <v/>
      </c>
      <c r="E1572" t="str">
        <f>+IFERROR(VLOOKUP(Fact_Impuestos[[#This Row], [Concepto Anterior]],Conceptos_Impuestos[#All],5,0),"")</f>
        <v/>
      </c>
      <c r="F1572" t="str">
        <f>+IFERROR(VLOOKUP(Fact_Impuestos[[#This Row], 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ht="18.75" customHeight="1" x14ac:dyDescent="0.35">
      <c r="C1573" s="100" t="str">
        <f>IF(OR(Fact_Impuestos[[#This Row], [Año]]="",Fact_Impuestos[[#This Row], [Mes]]=""),"",DATE(A1573,MATCH(B1573,{"enero","febrero","marzo","abril","mayo","junio","julio","agosto","septiembre","octubre","noviembre","diciembre"},0)+1,0))</f>
        <v/>
      </c>
      <c r="E1573" t="str">
        <f>+IFERROR(VLOOKUP(Fact_Impuestos[[#This Row], [Concepto Anterior]],Conceptos_Impuestos[#All],5,0),"")</f>
        <v/>
      </c>
      <c r="F1573" t="str">
        <f>+IFERROR(VLOOKUP(Fact_Impuestos[[#This Row], 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ht="18.75" customHeight="1" x14ac:dyDescent="0.35">
      <c r="C1574" s="100" t="str">
        <f>IF(OR(Fact_Impuestos[[#This Row], [Año]]="",Fact_Impuestos[[#This Row], [Mes]]=""),"",DATE(A1574,MATCH(B1574,{"enero","febrero","marzo","abril","mayo","junio","julio","agosto","septiembre","octubre","noviembre","diciembre"},0)+1,0))</f>
        <v/>
      </c>
      <c r="E1574" t="str">
        <f>+IFERROR(VLOOKUP(Fact_Impuestos[[#This Row], [Concepto Anterior]],Conceptos_Impuestos[#All],5,0),"")</f>
        <v/>
      </c>
      <c r="F1574" t="str">
        <f>+IFERROR(VLOOKUP(Fact_Impuestos[[#This Row], 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ht="18.75" customHeight="1" x14ac:dyDescent="0.35">
      <c r="C1575" s="100" t="str">
        <f>IF(OR(Fact_Impuestos[[#This Row], [Año]]="",Fact_Impuestos[[#This Row], [Mes]]=""),"",DATE(A1575,MATCH(B1575,{"enero","febrero","marzo","abril","mayo","junio","julio","agosto","septiembre","octubre","noviembre","diciembre"},0)+1,0))</f>
        <v/>
      </c>
      <c r="E1575" t="str">
        <f>+IFERROR(VLOOKUP(Fact_Impuestos[[#This Row], [Concepto Anterior]],Conceptos_Impuestos[#All],5,0),"")</f>
        <v/>
      </c>
      <c r="F1575" t="str">
        <f>+IFERROR(VLOOKUP(Fact_Impuestos[[#This Row], 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ht="18.75" customHeight="1" x14ac:dyDescent="0.35">
      <c r="C1576" s="100" t="str">
        <f>IF(OR(Fact_Impuestos[[#This Row], [Año]]="",Fact_Impuestos[[#This Row], [Mes]]=""),"",DATE(A1576,MATCH(B1576,{"enero","febrero","marzo","abril","mayo","junio","julio","agosto","septiembre","octubre","noviembre","diciembre"},0)+1,0))</f>
        <v/>
      </c>
      <c r="E1576" t="str">
        <f>+IFERROR(VLOOKUP(Fact_Impuestos[[#This Row], [Concepto Anterior]],Conceptos_Impuestos[#All],5,0),"")</f>
        <v/>
      </c>
      <c r="F1576" t="str">
        <f>+IFERROR(VLOOKUP(Fact_Impuestos[[#This Row], 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ht="18.75" customHeight="1" x14ac:dyDescent="0.35">
      <c r="C1577" s="100" t="str">
        <f>IF(OR(Fact_Impuestos[[#This Row], [Año]]="",Fact_Impuestos[[#This Row], [Mes]]=""),"",DATE(A1577,MATCH(B1577,{"enero","febrero","marzo","abril","mayo","junio","julio","agosto","septiembre","octubre","noviembre","diciembre"},0)+1,0))</f>
        <v/>
      </c>
      <c r="E1577" t="str">
        <f>+IFERROR(VLOOKUP(Fact_Impuestos[[#This Row], [Concepto Anterior]],Conceptos_Impuestos[#All],5,0),"")</f>
        <v/>
      </c>
      <c r="F1577" t="str">
        <f>+IFERROR(VLOOKUP(Fact_Impuestos[[#This Row], 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ht="18.75" customHeight="1" x14ac:dyDescent="0.35">
      <c r="C1578" s="100" t="str">
        <f>IF(OR(Fact_Impuestos[[#This Row], [Año]]="",Fact_Impuestos[[#This Row], [Mes]]=""),"",DATE(A1578,MATCH(B1578,{"enero","febrero","marzo","abril","mayo","junio","julio","agosto","septiembre","octubre","noviembre","diciembre"},0)+1,0))</f>
        <v/>
      </c>
      <c r="E1578" t="str">
        <f>+IFERROR(VLOOKUP(Fact_Impuestos[[#This Row], [Concepto Anterior]],Conceptos_Impuestos[#All],5,0),"")</f>
        <v/>
      </c>
      <c r="F1578" t="str">
        <f>+IFERROR(VLOOKUP(Fact_Impuestos[[#This Row], 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ht="18.75" customHeight="1" x14ac:dyDescent="0.35">
      <c r="C1579" s="100" t="str">
        <f>IF(OR(Fact_Impuestos[[#This Row], [Año]]="",Fact_Impuestos[[#This Row], [Mes]]=""),"",DATE(A1579,MATCH(B1579,{"enero","febrero","marzo","abril","mayo","junio","julio","agosto","septiembre","octubre","noviembre","diciembre"},0)+1,0))</f>
        <v/>
      </c>
      <c r="E1579" t="str">
        <f>+IFERROR(VLOOKUP(Fact_Impuestos[[#This Row], [Concepto Anterior]],Conceptos_Impuestos[#All],5,0),"")</f>
        <v/>
      </c>
      <c r="F1579" t="str">
        <f>+IFERROR(VLOOKUP(Fact_Impuestos[[#This Row], 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ht="18.75" customHeight="1" x14ac:dyDescent="0.35">
      <c r="C1580" s="100" t="str">
        <f>IF(OR(Fact_Impuestos[[#This Row], [Año]]="",Fact_Impuestos[[#This Row], [Mes]]=""),"",DATE(A1580,MATCH(B1580,{"enero","febrero","marzo","abril","mayo","junio","julio","agosto","septiembre","octubre","noviembre","diciembre"},0)+1,0))</f>
        <v/>
      </c>
      <c r="E1580" t="str">
        <f>+IFERROR(VLOOKUP(Fact_Impuestos[[#This Row], [Concepto Anterior]],Conceptos_Impuestos[#All],5,0),"")</f>
        <v/>
      </c>
      <c r="F1580" t="str">
        <f>+IFERROR(VLOOKUP(Fact_Impuestos[[#This Row], 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ht="18.75" customHeight="1" x14ac:dyDescent="0.35">
      <c r="C1581" s="100" t="str">
        <f>IF(OR(Fact_Impuestos[[#This Row], [Año]]="",Fact_Impuestos[[#This Row], [Mes]]=""),"",DATE(A1581,MATCH(B1581,{"enero","febrero","marzo","abril","mayo","junio","julio","agosto","septiembre","octubre","noviembre","diciembre"},0)+1,0))</f>
        <v/>
      </c>
      <c r="E1581" t="str">
        <f>+IFERROR(VLOOKUP(Fact_Impuestos[[#This Row], [Concepto Anterior]],Conceptos_Impuestos[#All],5,0),"")</f>
        <v/>
      </c>
      <c r="F1581" t="str">
        <f>+IFERROR(VLOOKUP(Fact_Impuestos[[#This Row], 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ht="18.75" customHeight="1" x14ac:dyDescent="0.35">
      <c r="C1582" s="100" t="str">
        <f>IF(OR(Fact_Impuestos[[#This Row], [Año]]="",Fact_Impuestos[[#This Row], [Mes]]=""),"",DATE(A1582,MATCH(B1582,{"enero","febrero","marzo","abril","mayo","junio","julio","agosto","septiembre","octubre","noviembre","diciembre"},0)+1,0))</f>
        <v/>
      </c>
      <c r="E1582" t="str">
        <f>+IFERROR(VLOOKUP(Fact_Impuestos[[#This Row], [Concepto Anterior]],Conceptos_Impuestos[#All],5,0),"")</f>
        <v/>
      </c>
      <c r="F1582" t="str">
        <f>+IFERROR(VLOOKUP(Fact_Impuestos[[#This Row], 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ht="18.75" customHeight="1" x14ac:dyDescent="0.35">
      <c r="C1583" s="100" t="str">
        <f>IF(OR(Fact_Impuestos[[#This Row], [Año]]="",Fact_Impuestos[[#This Row], [Mes]]=""),"",DATE(A1583,MATCH(B1583,{"enero","febrero","marzo","abril","mayo","junio","julio","agosto","septiembre","octubre","noviembre","diciembre"},0)+1,0))</f>
        <v/>
      </c>
      <c r="E1583" t="str">
        <f>+IFERROR(VLOOKUP(Fact_Impuestos[[#This Row], [Concepto Anterior]],Conceptos_Impuestos[#All],5,0),"")</f>
        <v/>
      </c>
      <c r="F1583" t="str">
        <f>+IFERROR(VLOOKUP(Fact_Impuestos[[#This Row], 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ht="18.75" customHeight="1" x14ac:dyDescent="0.35">
      <c r="C1584" s="100" t="str">
        <f>IF(OR(Fact_Impuestos[[#This Row], [Año]]="",Fact_Impuestos[[#This Row], [Mes]]=""),"",DATE(A1584,MATCH(B1584,{"enero","febrero","marzo","abril","mayo","junio","julio","agosto","septiembre","octubre","noviembre","diciembre"},0)+1,0))</f>
        <v/>
      </c>
      <c r="E1584" t="str">
        <f>+IFERROR(VLOOKUP(Fact_Impuestos[[#This Row], [Concepto Anterior]],Conceptos_Impuestos[#All],5,0),"")</f>
        <v/>
      </c>
      <c r="F1584" t="str">
        <f>+IFERROR(VLOOKUP(Fact_Impuestos[[#This Row], 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ht="18.75" customHeight="1" x14ac:dyDescent="0.35">
      <c r="C1585" s="100" t="str">
        <f>IF(OR(Fact_Impuestos[[#This Row], [Año]]="",Fact_Impuestos[[#This Row], [Mes]]=""),"",DATE(A1585,MATCH(B1585,{"enero","febrero","marzo","abril","mayo","junio","julio","agosto","septiembre","octubre","noviembre","diciembre"},0)+1,0))</f>
        <v/>
      </c>
      <c r="E1585" t="str">
        <f>+IFERROR(VLOOKUP(Fact_Impuestos[[#This Row], [Concepto Anterior]],Conceptos_Impuestos[#All],5,0),"")</f>
        <v/>
      </c>
      <c r="F1585" t="str">
        <f>+IFERROR(VLOOKUP(Fact_Impuestos[[#This Row], 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ht="18.75" customHeight="1" x14ac:dyDescent="0.35">
      <c r="C1586" s="100" t="str">
        <f>IF(OR(Fact_Impuestos[[#This Row], [Año]]="",Fact_Impuestos[[#This Row], [Mes]]=""),"",DATE(A1586,MATCH(B1586,{"enero","febrero","marzo","abril","mayo","junio","julio","agosto","septiembre","octubre","noviembre","diciembre"},0)+1,0))</f>
        <v/>
      </c>
      <c r="E1586" t="str">
        <f>+IFERROR(VLOOKUP(Fact_Impuestos[[#This Row], [Concepto Anterior]],Conceptos_Impuestos[#All],5,0),"")</f>
        <v/>
      </c>
      <c r="F1586" t="str">
        <f>+IFERROR(VLOOKUP(Fact_Impuestos[[#This Row], 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ht="18.75" customHeight="1" x14ac:dyDescent="0.35">
      <c r="C1587" s="100" t="str">
        <f>IF(OR(Fact_Impuestos[[#This Row], [Año]]="",Fact_Impuestos[[#This Row], [Mes]]=""),"",DATE(A1587,MATCH(B1587,{"enero","febrero","marzo","abril","mayo","junio","julio","agosto","septiembre","octubre","noviembre","diciembre"},0)+1,0))</f>
        <v/>
      </c>
      <c r="E1587" t="str">
        <f>+IFERROR(VLOOKUP(Fact_Impuestos[[#This Row], [Concepto Anterior]],Conceptos_Impuestos[#All],5,0),"")</f>
        <v/>
      </c>
      <c r="F1587" t="str">
        <f>+IFERROR(VLOOKUP(Fact_Impuestos[[#This Row], 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ht="18.75" customHeight="1" x14ac:dyDescent="0.35">
      <c r="C1588" s="100" t="str">
        <f>IF(OR(Fact_Impuestos[[#This Row], [Año]]="",Fact_Impuestos[[#This Row], [Mes]]=""),"",DATE(A1588,MATCH(B1588,{"enero","febrero","marzo","abril","mayo","junio","julio","agosto","septiembre","octubre","noviembre","diciembre"},0)+1,0))</f>
        <v/>
      </c>
      <c r="E1588" t="str">
        <f>+IFERROR(VLOOKUP(Fact_Impuestos[[#This Row], [Concepto Anterior]],Conceptos_Impuestos[#All],5,0),"")</f>
        <v/>
      </c>
      <c r="F1588" t="str">
        <f>+IFERROR(VLOOKUP(Fact_Impuestos[[#This Row], 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ht="18.75" customHeight="1" x14ac:dyDescent="0.35">
      <c r="C1589" s="100" t="str">
        <f>IF(OR(Fact_Impuestos[[#This Row], [Año]]="",Fact_Impuestos[[#This Row], [Mes]]=""),"",DATE(A1589,MATCH(B1589,{"enero","febrero","marzo","abril","mayo","junio","julio","agosto","septiembre","octubre","noviembre","diciembre"},0)+1,0))</f>
        <v/>
      </c>
      <c r="E1589" t="str">
        <f>+IFERROR(VLOOKUP(Fact_Impuestos[[#This Row], [Concepto Anterior]],Conceptos_Impuestos[#All],5,0),"")</f>
        <v/>
      </c>
      <c r="F1589" t="str">
        <f>+IFERROR(VLOOKUP(Fact_Impuestos[[#This Row], 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ht="18.75" customHeight="1" x14ac:dyDescent="0.35">
      <c r="C1590" s="100" t="str">
        <f>IF(OR(Fact_Impuestos[[#This Row], [Año]]="",Fact_Impuestos[[#This Row], [Mes]]=""),"",DATE(A1590,MATCH(B1590,{"enero","febrero","marzo","abril","mayo","junio","julio","agosto","septiembre","octubre","noviembre","diciembre"},0)+1,0))</f>
        <v/>
      </c>
      <c r="E1590" t="str">
        <f>+IFERROR(VLOOKUP(Fact_Impuestos[[#This Row], [Concepto Anterior]],Conceptos_Impuestos[#All],5,0),"")</f>
        <v/>
      </c>
      <c r="F1590" t="str">
        <f>+IFERROR(VLOOKUP(Fact_Impuestos[[#This Row], 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ht="18.75" customHeight="1" x14ac:dyDescent="0.35">
      <c r="C1591" s="100" t="str">
        <f>IF(OR(Fact_Impuestos[[#This Row], [Año]]="",Fact_Impuestos[[#This Row], [Mes]]=""),"",DATE(A1591,MATCH(B1591,{"enero","febrero","marzo","abril","mayo","junio","julio","agosto","septiembre","octubre","noviembre","diciembre"},0)+1,0))</f>
        <v/>
      </c>
      <c r="E1591" t="str">
        <f>+IFERROR(VLOOKUP(Fact_Impuestos[[#This Row], [Concepto Anterior]],Conceptos_Impuestos[#All],5,0),"")</f>
        <v/>
      </c>
      <c r="F1591" t="str">
        <f>+IFERROR(VLOOKUP(Fact_Impuestos[[#This Row], 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ht="18.75" customHeight="1" x14ac:dyDescent="0.35">
      <c r="C1592" s="100" t="str">
        <f>IF(OR(Fact_Impuestos[[#This Row], [Año]]="",Fact_Impuestos[[#This Row], [Mes]]=""),"",DATE(A1592,MATCH(B1592,{"enero","febrero","marzo","abril","mayo","junio","julio","agosto","septiembre","octubre","noviembre","diciembre"},0)+1,0))</f>
        <v/>
      </c>
      <c r="E1592" t="str">
        <f>+IFERROR(VLOOKUP(Fact_Impuestos[[#This Row], [Concepto Anterior]],Conceptos_Impuestos[#All],5,0),"")</f>
        <v/>
      </c>
      <c r="F1592" t="str">
        <f>+IFERROR(VLOOKUP(Fact_Impuestos[[#This Row], 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ht="18.75" customHeight="1" x14ac:dyDescent="0.35">
      <c r="C1593" s="100" t="str">
        <f>IF(OR(Fact_Impuestos[[#This Row], [Año]]="",Fact_Impuestos[[#This Row], [Mes]]=""),"",DATE(A1593,MATCH(B1593,{"enero","febrero","marzo","abril","mayo","junio","julio","agosto","septiembre","octubre","noviembre","diciembre"},0)+1,0))</f>
        <v/>
      </c>
      <c r="E1593" t="str">
        <f>+IFERROR(VLOOKUP(Fact_Impuestos[[#This Row], [Concepto Anterior]],Conceptos_Impuestos[#All],5,0),"")</f>
        <v/>
      </c>
      <c r="F1593" t="str">
        <f>+IFERROR(VLOOKUP(Fact_Impuestos[[#This Row], 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ht="18.75" customHeight="1" x14ac:dyDescent="0.35">
      <c r="C1594" s="100" t="str">
        <f>IF(OR(Fact_Impuestos[[#This Row], [Año]]="",Fact_Impuestos[[#This Row], [Mes]]=""),"",DATE(A1594,MATCH(B1594,{"enero","febrero","marzo","abril","mayo","junio","julio","agosto","septiembre","octubre","noviembre","diciembre"},0)+1,0))</f>
        <v/>
      </c>
      <c r="E1594" t="str">
        <f>+IFERROR(VLOOKUP(Fact_Impuestos[[#This Row], [Concepto Anterior]],Conceptos_Impuestos[#All],5,0),"")</f>
        <v/>
      </c>
      <c r="F1594" t="str">
        <f>+IFERROR(VLOOKUP(Fact_Impuestos[[#This Row], 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ht="18.75" customHeight="1" x14ac:dyDescent="0.35">
      <c r="C1595" s="100" t="str">
        <f>IF(OR(Fact_Impuestos[[#This Row], [Año]]="",Fact_Impuestos[[#This Row], [Mes]]=""),"",DATE(A1595,MATCH(B1595,{"enero","febrero","marzo","abril","mayo","junio","julio","agosto","septiembre","octubre","noviembre","diciembre"},0)+1,0))</f>
        <v/>
      </c>
      <c r="E1595" t="str">
        <f>+IFERROR(VLOOKUP(Fact_Impuestos[[#This Row], [Concepto Anterior]],Conceptos_Impuestos[#All],5,0),"")</f>
        <v/>
      </c>
      <c r="F1595" t="str">
        <f>+IFERROR(VLOOKUP(Fact_Impuestos[[#This Row], 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ht="18.75" customHeight="1" x14ac:dyDescent="0.35">
      <c r="C1596" s="100" t="str">
        <f>IF(OR(Fact_Impuestos[[#This Row], [Año]]="",Fact_Impuestos[[#This Row], [Mes]]=""),"",DATE(A1596,MATCH(B1596,{"enero","febrero","marzo","abril","mayo","junio","julio","agosto","septiembre","octubre","noviembre","diciembre"},0)+1,0))</f>
        <v/>
      </c>
      <c r="E1596" t="str">
        <f>+IFERROR(VLOOKUP(Fact_Impuestos[[#This Row], [Concepto Anterior]],Conceptos_Impuestos[#All],5,0),"")</f>
        <v/>
      </c>
      <c r="F1596" t="str">
        <f>+IFERROR(VLOOKUP(Fact_Impuestos[[#This Row], 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ht="18.75" customHeight="1" x14ac:dyDescent="0.35">
      <c r="C1597" s="100" t="str">
        <f>IF(OR(Fact_Impuestos[[#This Row], [Año]]="",Fact_Impuestos[[#This Row], [Mes]]=""),"",DATE(A1597,MATCH(B1597,{"enero","febrero","marzo","abril","mayo","junio","julio","agosto","septiembre","octubre","noviembre","diciembre"},0)+1,0))</f>
        <v/>
      </c>
      <c r="E1597" t="str">
        <f>+IFERROR(VLOOKUP(Fact_Impuestos[[#This Row], [Concepto Anterior]],Conceptos_Impuestos[#All],5,0),"")</f>
        <v/>
      </c>
      <c r="F1597" t="str">
        <f>+IFERROR(VLOOKUP(Fact_Impuestos[[#This Row], 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ht="18.75" customHeight="1" x14ac:dyDescent="0.35">
      <c r="C1598" s="100" t="str">
        <f>IF(OR(Fact_Impuestos[[#This Row], [Año]]="",Fact_Impuestos[[#This Row], [Mes]]=""),"",DATE(A1598,MATCH(B1598,{"enero","febrero","marzo","abril","mayo","junio","julio","agosto","septiembre","octubre","noviembre","diciembre"},0)+1,0))</f>
        <v/>
      </c>
      <c r="E1598" t="str">
        <f>+IFERROR(VLOOKUP(Fact_Impuestos[[#This Row], [Concepto Anterior]],Conceptos_Impuestos[#All],5,0),"")</f>
        <v/>
      </c>
      <c r="F1598" t="str">
        <f>+IFERROR(VLOOKUP(Fact_Impuestos[[#This Row], 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ht="18.75" customHeight="1" x14ac:dyDescent="0.35">
      <c r="C1599" s="100" t="str">
        <f>IF(OR(Fact_Impuestos[[#This Row], [Año]]="",Fact_Impuestos[[#This Row], [Mes]]=""),"",DATE(A1599,MATCH(B1599,{"enero","febrero","marzo","abril","mayo","junio","julio","agosto","septiembre","octubre","noviembre","diciembre"},0)+1,0))</f>
        <v/>
      </c>
      <c r="E1599" t="str">
        <f>+IFERROR(VLOOKUP(Fact_Impuestos[[#This Row], [Concepto Anterior]],Conceptos_Impuestos[#All],5,0),"")</f>
        <v/>
      </c>
      <c r="F1599" t="str">
        <f>+IFERROR(VLOOKUP(Fact_Impuestos[[#This Row], 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ht="18.75" customHeight="1" x14ac:dyDescent="0.35">
      <c r="C1600" s="100" t="str">
        <f>IF(OR(Fact_Impuestos[[#This Row], [Año]]="",Fact_Impuestos[[#This Row], [Mes]]=""),"",DATE(A1600,MATCH(B1600,{"enero","febrero","marzo","abril","mayo","junio","julio","agosto","septiembre","octubre","noviembre","diciembre"},0)+1,0))</f>
        <v/>
      </c>
      <c r="E1600" t="str">
        <f>+IFERROR(VLOOKUP(Fact_Impuestos[[#This Row], [Concepto Anterior]],Conceptos_Impuestos[#All],5,0),"")</f>
        <v/>
      </c>
      <c r="F1600" t="str">
        <f>+IFERROR(VLOOKUP(Fact_Impuestos[[#This Row], 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ht="18.75" customHeight="1" x14ac:dyDescent="0.35">
      <c r="C1601" s="100" t="str">
        <f>IF(OR(Fact_Impuestos[[#This Row], [Año]]="",Fact_Impuestos[[#This Row], [Mes]]=""),"",DATE(A1601,MATCH(B1601,{"enero","febrero","marzo","abril","mayo","junio","julio","agosto","septiembre","octubre","noviembre","diciembre"},0)+1,0))</f>
        <v/>
      </c>
      <c r="E1601" t="str">
        <f>+IFERROR(VLOOKUP(Fact_Impuestos[[#This Row], [Concepto Anterior]],Conceptos_Impuestos[#All],5,0),"")</f>
        <v/>
      </c>
      <c r="F1601" t="str">
        <f>+IFERROR(VLOOKUP(Fact_Impuestos[[#This Row], 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ht="18.75" customHeight="1" x14ac:dyDescent="0.35">
      <c r="C1602" s="100" t="str">
        <f>IF(OR(Fact_Impuestos[[#This Row], [Año]]="",Fact_Impuestos[[#This Row], [Mes]]=""),"",DATE(A1602,MATCH(B1602,{"enero","febrero","marzo","abril","mayo","junio","julio","agosto","septiembre","octubre","noviembre","diciembre"},0)+1,0))</f>
        <v/>
      </c>
      <c r="E1602" t="str">
        <f>+IFERROR(VLOOKUP(Fact_Impuestos[[#This Row], [Concepto Anterior]],Conceptos_Impuestos[#All],5,0),"")</f>
        <v/>
      </c>
      <c r="F1602" t="str">
        <f>+IFERROR(VLOOKUP(Fact_Impuestos[[#This Row], 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ht="18.75" customHeight="1" x14ac:dyDescent="0.35">
      <c r="C1603" s="100" t="str">
        <f>IF(OR(Fact_Impuestos[[#This Row], [Año]]="",Fact_Impuestos[[#This Row], [Mes]]=""),"",DATE(A1603,MATCH(B1603,{"enero","febrero","marzo","abril","mayo","junio","julio","agosto","septiembre","octubre","noviembre","diciembre"},0)+1,0))</f>
        <v/>
      </c>
      <c r="E1603" t="str">
        <f>+IFERROR(VLOOKUP(Fact_Impuestos[[#This Row], [Concepto Anterior]],Conceptos_Impuestos[#All],5,0),"")</f>
        <v/>
      </c>
      <c r="F1603" t="str">
        <f>+IFERROR(VLOOKUP(Fact_Impuestos[[#This Row], 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ht="18.75" customHeight="1" x14ac:dyDescent="0.35">
      <c r="C1604" s="100" t="str">
        <f>IF(OR(Fact_Impuestos[[#This Row], [Año]]="",Fact_Impuestos[[#This Row], [Mes]]=""),"",DATE(A1604,MATCH(B1604,{"enero","febrero","marzo","abril","mayo","junio","julio","agosto","septiembre","octubre","noviembre","diciembre"},0)+1,0))</f>
        <v/>
      </c>
      <c r="E1604" t="str">
        <f>+IFERROR(VLOOKUP(Fact_Impuestos[[#This Row], [Concepto Anterior]],Conceptos_Impuestos[#All],5,0),"")</f>
        <v/>
      </c>
      <c r="F1604" t="str">
        <f>+IFERROR(VLOOKUP(Fact_Impuestos[[#This Row], 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ht="18.75" customHeight="1" x14ac:dyDescent="0.35">
      <c r="C1605" s="100" t="str">
        <f>IF(OR(Fact_Impuestos[[#This Row], [Año]]="",Fact_Impuestos[[#This Row], [Mes]]=""),"",DATE(A1605,MATCH(B1605,{"enero","febrero","marzo","abril","mayo","junio","julio","agosto","septiembre","octubre","noviembre","diciembre"},0)+1,0))</f>
        <v/>
      </c>
      <c r="E1605" t="str">
        <f>+IFERROR(VLOOKUP(Fact_Impuestos[[#This Row], [Concepto Anterior]],Conceptos_Impuestos[#All],5,0),"")</f>
        <v/>
      </c>
      <c r="F1605" t="str">
        <f>+IFERROR(VLOOKUP(Fact_Impuestos[[#This Row], 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ht="18.75" customHeight="1" x14ac:dyDescent="0.35">
      <c r="C1606" s="100" t="str">
        <f>IF(OR(Fact_Impuestos[[#This Row], [Año]]="",Fact_Impuestos[[#This Row], [Mes]]=""),"",DATE(A1606,MATCH(B1606,{"enero","febrero","marzo","abril","mayo","junio","julio","agosto","septiembre","octubre","noviembre","diciembre"},0)+1,0))</f>
        <v/>
      </c>
      <c r="E1606" t="str">
        <f>+IFERROR(VLOOKUP(Fact_Impuestos[[#This Row], [Concepto Anterior]],Conceptos_Impuestos[#All],5,0),"")</f>
        <v/>
      </c>
      <c r="F1606" t="str">
        <f>+IFERROR(VLOOKUP(Fact_Impuestos[[#This Row], 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ht="18.75" customHeight="1" x14ac:dyDescent="0.35">
      <c r="C1607" s="100" t="str">
        <f>IF(OR(Fact_Impuestos[[#This Row], [Año]]="",Fact_Impuestos[[#This Row], [Mes]]=""),"",DATE(A1607,MATCH(B1607,{"enero","febrero","marzo","abril","mayo","junio","julio","agosto","septiembre","octubre","noviembre","diciembre"},0)+1,0))</f>
        <v/>
      </c>
      <c r="E1607" t="str">
        <f>+IFERROR(VLOOKUP(Fact_Impuestos[[#This Row], [Concepto Anterior]],Conceptos_Impuestos[#All],5,0),"")</f>
        <v/>
      </c>
      <c r="F1607" t="str">
        <f>+IFERROR(VLOOKUP(Fact_Impuestos[[#This Row], 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ht="18.75" customHeight="1" x14ac:dyDescent="0.35">
      <c r="C1608" s="100" t="str">
        <f>IF(OR(Fact_Impuestos[[#This Row], [Año]]="",Fact_Impuestos[[#This Row], [Mes]]=""),"",DATE(A1608,MATCH(B1608,{"enero","febrero","marzo","abril","mayo","junio","julio","agosto","septiembre","octubre","noviembre","diciembre"},0)+1,0))</f>
        <v/>
      </c>
      <c r="E1608" t="str">
        <f>+IFERROR(VLOOKUP(Fact_Impuestos[[#This Row], [Concepto Anterior]],Conceptos_Impuestos[#All],5,0),"")</f>
        <v/>
      </c>
      <c r="F1608" t="str">
        <f>+IFERROR(VLOOKUP(Fact_Impuestos[[#This Row], 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ht="18.75" customHeight="1" x14ac:dyDescent="0.35">
      <c r="C1609" s="100" t="str">
        <f>IF(OR(Fact_Impuestos[[#This Row], [Año]]="",Fact_Impuestos[[#This Row], [Mes]]=""),"",DATE(A1609,MATCH(B1609,{"enero","febrero","marzo","abril","mayo","junio","julio","agosto","septiembre","octubre","noviembre","diciembre"},0)+1,0))</f>
        <v/>
      </c>
      <c r="E1609" t="str">
        <f>+IFERROR(VLOOKUP(Fact_Impuestos[[#This Row], [Concepto Anterior]],Conceptos_Impuestos[#All],5,0),"")</f>
        <v/>
      </c>
      <c r="F1609" t="str">
        <f>+IFERROR(VLOOKUP(Fact_Impuestos[[#This Row], 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ht="18.75" customHeight="1" x14ac:dyDescent="0.35">
      <c r="C1610" s="100" t="str">
        <f>IF(OR(Fact_Impuestos[[#This Row], [Año]]="",Fact_Impuestos[[#This Row], [Mes]]=""),"",DATE(A1610,MATCH(B1610,{"enero","febrero","marzo","abril","mayo","junio","julio","agosto","septiembre","octubre","noviembre","diciembre"},0)+1,0))</f>
        <v/>
      </c>
      <c r="E1610" t="str">
        <f>+IFERROR(VLOOKUP(Fact_Impuestos[[#This Row], [Concepto Anterior]],Conceptos_Impuestos[#All],5,0),"")</f>
        <v/>
      </c>
      <c r="F1610" t="str">
        <f>+IFERROR(VLOOKUP(Fact_Impuestos[[#This Row], 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ht="18.75" customHeight="1" x14ac:dyDescent="0.35">
      <c r="C1611" s="100" t="str">
        <f>IF(OR(Fact_Impuestos[[#This Row], [Año]]="",Fact_Impuestos[[#This Row], [Mes]]=""),"",DATE(A1611,MATCH(B1611,{"enero","febrero","marzo","abril","mayo","junio","julio","agosto","septiembre","octubre","noviembre","diciembre"},0)+1,0))</f>
        <v/>
      </c>
      <c r="E1611" t="str">
        <f>+IFERROR(VLOOKUP(Fact_Impuestos[[#This Row], [Concepto Anterior]],Conceptos_Impuestos[#All],5,0),"")</f>
        <v/>
      </c>
      <c r="F1611" t="str">
        <f>+IFERROR(VLOOKUP(Fact_Impuestos[[#This Row], 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ht="18.75" customHeight="1" x14ac:dyDescent="0.35">
      <c r="C1612" s="100" t="str">
        <f>IF(OR(Fact_Impuestos[[#This Row], [Año]]="",Fact_Impuestos[[#This Row], [Mes]]=""),"",DATE(A1612,MATCH(B1612,{"enero","febrero","marzo","abril","mayo","junio","julio","agosto","septiembre","octubre","noviembre","diciembre"},0)+1,0))</f>
        <v/>
      </c>
      <c r="E1612" t="str">
        <f>+IFERROR(VLOOKUP(Fact_Impuestos[[#This Row], [Concepto Anterior]],Conceptos_Impuestos[#All],5,0),"")</f>
        <v/>
      </c>
      <c r="F1612" t="str">
        <f>+IFERROR(VLOOKUP(Fact_Impuestos[[#This Row], 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ht="18.75" customHeight="1" x14ac:dyDescent="0.35">
      <c r="C1613" s="100" t="str">
        <f>IF(OR(Fact_Impuestos[[#This Row], [Año]]="",Fact_Impuestos[[#This Row], [Mes]]=""),"",DATE(A1613,MATCH(B1613,{"enero","febrero","marzo","abril","mayo","junio","julio","agosto","septiembre","octubre","noviembre","diciembre"},0)+1,0))</f>
        <v/>
      </c>
      <c r="E1613" t="str">
        <f>+IFERROR(VLOOKUP(Fact_Impuestos[[#This Row], [Concepto Anterior]],Conceptos_Impuestos[#All],5,0),"")</f>
        <v/>
      </c>
      <c r="F1613" t="str">
        <f>+IFERROR(VLOOKUP(Fact_Impuestos[[#This Row], 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ht="18.75" customHeight="1" x14ac:dyDescent="0.35">
      <c r="C1614" s="100" t="str">
        <f>IF(OR(Fact_Impuestos[[#This Row], [Año]]="",Fact_Impuestos[[#This Row], [Mes]]=""),"",DATE(A1614,MATCH(B1614,{"enero","febrero","marzo","abril","mayo","junio","julio","agosto","septiembre","octubre","noviembre","diciembre"},0)+1,0))</f>
        <v/>
      </c>
      <c r="E1614" t="str">
        <f>+IFERROR(VLOOKUP(Fact_Impuestos[[#This Row], [Concepto Anterior]],Conceptos_Impuestos[#All],5,0),"")</f>
        <v/>
      </c>
      <c r="F1614" t="str">
        <f>+IFERROR(VLOOKUP(Fact_Impuestos[[#This Row], 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ht="18.75" customHeight="1" x14ac:dyDescent="0.35">
      <c r="C1615" s="100" t="str">
        <f>IF(OR(Fact_Impuestos[[#This Row], [Año]]="",Fact_Impuestos[[#This Row], [Mes]]=""),"",DATE(A1615,MATCH(B1615,{"enero","febrero","marzo","abril","mayo","junio","julio","agosto","septiembre","octubre","noviembre","diciembre"},0)+1,0))</f>
        <v/>
      </c>
      <c r="E1615" t="str">
        <f>+IFERROR(VLOOKUP(Fact_Impuestos[[#This Row], [Concepto Anterior]],Conceptos_Impuestos[#All],5,0),"")</f>
        <v/>
      </c>
      <c r="F1615" t="str">
        <f>+IFERROR(VLOOKUP(Fact_Impuestos[[#This Row], 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ht="18.75" customHeight="1" x14ac:dyDescent="0.35">
      <c r="C1616" s="100" t="str">
        <f>IF(OR(Fact_Impuestos[[#This Row], [Año]]="",Fact_Impuestos[[#This Row], [Mes]]=""),"",DATE(A1616,MATCH(B1616,{"enero","febrero","marzo","abril","mayo","junio","julio","agosto","septiembre","octubre","noviembre","diciembre"},0)+1,0))</f>
        <v/>
      </c>
      <c r="E1616" t="str">
        <f>+IFERROR(VLOOKUP(Fact_Impuestos[[#This Row], [Concepto Anterior]],Conceptos_Impuestos[#All],5,0),"")</f>
        <v/>
      </c>
      <c r="F1616" t="str">
        <f>+IFERROR(VLOOKUP(Fact_Impuestos[[#This Row], 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ht="18.75" customHeight="1" x14ac:dyDescent="0.35">
      <c r="C1617" s="100" t="str">
        <f>IF(OR(Fact_Impuestos[[#This Row], [Año]]="",Fact_Impuestos[[#This Row], [Mes]]=""),"",DATE(A1617,MATCH(B1617,{"enero","febrero","marzo","abril","mayo","junio","julio","agosto","septiembre","octubre","noviembre","diciembre"},0)+1,0))</f>
        <v/>
      </c>
      <c r="E1617" t="str">
        <f>+IFERROR(VLOOKUP(Fact_Impuestos[[#This Row], [Concepto Anterior]],Conceptos_Impuestos[#All],5,0),"")</f>
        <v/>
      </c>
      <c r="F1617" t="str">
        <f>+IFERROR(VLOOKUP(Fact_Impuestos[[#This Row], 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ht="18.75" customHeight="1" x14ac:dyDescent="0.35">
      <c r="C1618" s="100" t="str">
        <f>IF(OR(Fact_Impuestos[[#This Row], [Año]]="",Fact_Impuestos[[#This Row], [Mes]]=""),"",DATE(A1618,MATCH(B1618,{"enero","febrero","marzo","abril","mayo","junio","julio","agosto","septiembre","octubre","noviembre","diciembre"},0)+1,0))</f>
        <v/>
      </c>
      <c r="E1618" t="str">
        <f>+IFERROR(VLOOKUP(Fact_Impuestos[[#This Row], [Concepto Anterior]],Conceptos_Impuestos[#All],5,0),"")</f>
        <v/>
      </c>
      <c r="F1618" t="str">
        <f>+IFERROR(VLOOKUP(Fact_Impuestos[[#This Row], 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ht="18.75" customHeight="1" x14ac:dyDescent="0.35">
      <c r="C1619" s="100" t="str">
        <f>IF(OR(Fact_Impuestos[[#This Row], [Año]]="",Fact_Impuestos[[#This Row], [Mes]]=""),"",DATE(A1619,MATCH(B1619,{"enero","febrero","marzo","abril","mayo","junio","julio","agosto","septiembre","octubre","noviembre","diciembre"},0)+1,0))</f>
        <v/>
      </c>
      <c r="E1619" t="str">
        <f>+IFERROR(VLOOKUP(Fact_Impuestos[[#This Row], [Concepto Anterior]],Conceptos_Impuestos[#All],5,0),"")</f>
        <v/>
      </c>
      <c r="F1619" t="str">
        <f>+IFERROR(VLOOKUP(Fact_Impuestos[[#This Row], 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ht="18.75" customHeight="1" x14ac:dyDescent="0.35">
      <c r="C1620" s="100" t="str">
        <f>IF(OR(Fact_Impuestos[[#This Row], [Año]]="",Fact_Impuestos[[#This Row], [Mes]]=""),"",DATE(A1620,MATCH(B1620,{"enero","febrero","marzo","abril","mayo","junio","julio","agosto","septiembre","octubre","noviembre","diciembre"},0)+1,0))</f>
        <v/>
      </c>
      <c r="E1620" t="str">
        <f>+IFERROR(VLOOKUP(Fact_Impuestos[[#This Row], [Concepto Anterior]],Conceptos_Impuestos[#All],5,0),"")</f>
        <v/>
      </c>
      <c r="F1620" t="str">
        <f>+IFERROR(VLOOKUP(Fact_Impuestos[[#This Row], 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ht="18.75" customHeight="1" x14ac:dyDescent="0.35">
      <c r="C1621" s="100" t="str">
        <f>IF(OR(Fact_Impuestos[[#This Row], [Año]]="",Fact_Impuestos[[#This Row], [Mes]]=""),"",DATE(A1621,MATCH(B1621,{"enero","febrero","marzo","abril","mayo","junio","julio","agosto","septiembre","octubre","noviembre","diciembre"},0)+1,0))</f>
        <v/>
      </c>
      <c r="E1621" t="str">
        <f>+IFERROR(VLOOKUP(Fact_Impuestos[[#This Row], [Concepto Anterior]],Conceptos_Impuestos[#All],5,0),"")</f>
        <v/>
      </c>
      <c r="F1621" t="str">
        <f>+IFERROR(VLOOKUP(Fact_Impuestos[[#This Row], 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ht="18.75" customHeight="1" x14ac:dyDescent="0.35">
      <c r="C1622" s="100" t="str">
        <f>IF(OR(Fact_Impuestos[[#This Row], [Año]]="",Fact_Impuestos[[#This Row], [Mes]]=""),"",DATE(A1622,MATCH(B1622,{"enero","febrero","marzo","abril","mayo","junio","julio","agosto","septiembre","octubre","noviembre","diciembre"},0)+1,0))</f>
        <v/>
      </c>
      <c r="E1622" t="str">
        <f>+IFERROR(VLOOKUP(Fact_Impuestos[[#This Row], [Concepto Anterior]],Conceptos_Impuestos[#All],5,0),"")</f>
        <v/>
      </c>
      <c r="F1622" t="str">
        <f>+IFERROR(VLOOKUP(Fact_Impuestos[[#This Row], 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ht="18.75" customHeight="1" x14ac:dyDescent="0.35">
      <c r="C1623" s="100" t="str">
        <f>IF(OR(Fact_Impuestos[[#This Row], [Año]]="",Fact_Impuestos[[#This Row], [Mes]]=""),"",DATE(A1623,MATCH(B1623,{"enero","febrero","marzo","abril","mayo","junio","julio","agosto","septiembre","octubre","noviembre","diciembre"},0)+1,0))</f>
        <v/>
      </c>
      <c r="E1623" t="str">
        <f>+IFERROR(VLOOKUP(Fact_Impuestos[[#This Row], [Concepto Anterior]],Conceptos_Impuestos[#All],5,0),"")</f>
        <v/>
      </c>
      <c r="F1623" t="str">
        <f>+IFERROR(VLOOKUP(Fact_Impuestos[[#This Row], 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ht="18.75" customHeight="1" x14ac:dyDescent="0.35">
      <c r="C1624" s="100" t="str">
        <f>IF(OR(Fact_Impuestos[[#This Row], [Año]]="",Fact_Impuestos[[#This Row], [Mes]]=""),"",DATE(A1624,MATCH(B1624,{"enero","febrero","marzo","abril","mayo","junio","julio","agosto","septiembre","octubre","noviembre","diciembre"},0)+1,0))</f>
        <v/>
      </c>
      <c r="E1624" t="str">
        <f>+IFERROR(VLOOKUP(Fact_Impuestos[[#This Row], [Concepto Anterior]],Conceptos_Impuestos[#All],5,0),"")</f>
        <v/>
      </c>
      <c r="F1624" t="str">
        <f>+IFERROR(VLOOKUP(Fact_Impuestos[[#This Row], 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ht="18.75" customHeight="1" x14ac:dyDescent="0.35">
      <c r="C1625" s="100" t="str">
        <f>IF(OR(Fact_Impuestos[[#This Row], [Año]]="",Fact_Impuestos[[#This Row], [Mes]]=""),"",DATE(A1625,MATCH(B1625,{"enero","febrero","marzo","abril","mayo","junio","julio","agosto","septiembre","octubre","noviembre","diciembre"},0)+1,0))</f>
        <v/>
      </c>
      <c r="E1625" t="str">
        <f>+IFERROR(VLOOKUP(Fact_Impuestos[[#This Row], [Concepto Anterior]],Conceptos_Impuestos[#All],5,0),"")</f>
        <v/>
      </c>
      <c r="F1625" t="str">
        <f>+IFERROR(VLOOKUP(Fact_Impuestos[[#This Row], 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ht="18.75" customHeight="1" x14ac:dyDescent="0.35">
      <c r="C1626" s="100" t="str">
        <f>IF(OR(Fact_Impuestos[[#This Row], [Año]]="",Fact_Impuestos[[#This Row], [Mes]]=""),"",DATE(A1626,MATCH(B1626,{"enero","febrero","marzo","abril","mayo","junio","julio","agosto","septiembre","octubre","noviembre","diciembre"},0)+1,0))</f>
        <v/>
      </c>
      <c r="E1626" t="str">
        <f>+IFERROR(VLOOKUP(Fact_Impuestos[[#This Row], [Concepto Anterior]],Conceptos_Impuestos[#All],5,0),"")</f>
        <v/>
      </c>
      <c r="F1626" t="str">
        <f>+IFERROR(VLOOKUP(Fact_Impuestos[[#This Row], 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ht="18.75" customHeight="1" x14ac:dyDescent="0.35">
      <c r="C1627" s="100" t="str">
        <f>IF(OR(Fact_Impuestos[[#This Row], [Año]]="",Fact_Impuestos[[#This Row], [Mes]]=""),"",DATE(A1627,MATCH(B1627,{"enero","febrero","marzo","abril","mayo","junio","julio","agosto","septiembre","octubre","noviembre","diciembre"},0)+1,0))</f>
        <v/>
      </c>
      <c r="E1627" t="str">
        <f>+IFERROR(VLOOKUP(Fact_Impuestos[[#This Row], [Concepto Anterior]],Conceptos_Impuestos[#All],5,0),"")</f>
        <v/>
      </c>
      <c r="F1627" t="str">
        <f>+IFERROR(VLOOKUP(Fact_Impuestos[[#This Row], 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ht="18.75" customHeight="1" x14ac:dyDescent="0.35">
      <c r="C1628" s="100" t="str">
        <f>IF(OR(Fact_Impuestos[[#This Row], [Año]]="",Fact_Impuestos[[#This Row], [Mes]]=""),"",DATE(A1628,MATCH(B1628,{"enero","febrero","marzo","abril","mayo","junio","julio","agosto","septiembre","octubre","noviembre","diciembre"},0)+1,0))</f>
        <v/>
      </c>
      <c r="E1628" t="str">
        <f>+IFERROR(VLOOKUP(Fact_Impuestos[[#This Row], [Concepto Anterior]],Conceptos_Impuestos[#All],5,0),"")</f>
        <v/>
      </c>
      <c r="F1628" t="str">
        <f>+IFERROR(VLOOKUP(Fact_Impuestos[[#This Row], 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ht="18.75" customHeight="1" x14ac:dyDescent="0.35">
      <c r="C1629" s="100" t="str">
        <f>IF(OR(Fact_Impuestos[[#This Row], [Año]]="",Fact_Impuestos[[#This Row], [Mes]]=""),"",DATE(A1629,MATCH(B1629,{"enero","febrero","marzo","abril","mayo","junio","julio","agosto","septiembre","octubre","noviembre","diciembre"},0)+1,0))</f>
        <v/>
      </c>
      <c r="E1629" t="str">
        <f>+IFERROR(VLOOKUP(Fact_Impuestos[[#This Row], [Concepto Anterior]],Conceptos_Impuestos[#All],5,0),"")</f>
        <v/>
      </c>
      <c r="F1629" t="str">
        <f>+IFERROR(VLOOKUP(Fact_Impuestos[[#This Row], 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ht="18.75" customHeight="1" x14ac:dyDescent="0.35">
      <c r="C1630" s="100" t="str">
        <f>IF(OR(Fact_Impuestos[[#This Row], [Año]]="",Fact_Impuestos[[#This Row], [Mes]]=""),"",DATE(A1630,MATCH(B1630,{"enero","febrero","marzo","abril","mayo","junio","julio","agosto","septiembre","octubre","noviembre","diciembre"},0)+1,0))</f>
        <v/>
      </c>
      <c r="E1630" t="str">
        <f>+IFERROR(VLOOKUP(Fact_Impuestos[[#This Row], [Concepto Anterior]],Conceptos_Impuestos[#All],5,0),"")</f>
        <v/>
      </c>
      <c r="F1630" t="str">
        <f>+IFERROR(VLOOKUP(Fact_Impuestos[[#This Row], 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ht="18.75" customHeight="1" x14ac:dyDescent="0.35">
      <c r="C1631" s="100" t="str">
        <f>IF(OR(Fact_Impuestos[[#This Row], [Año]]="",Fact_Impuestos[[#This Row], [Mes]]=""),"",DATE(A1631,MATCH(B1631,{"enero","febrero","marzo","abril","mayo","junio","julio","agosto","septiembre","octubre","noviembre","diciembre"},0)+1,0))</f>
        <v/>
      </c>
      <c r="E1631" t="str">
        <f>+IFERROR(VLOOKUP(Fact_Impuestos[[#This Row], [Concepto Anterior]],Conceptos_Impuestos[#All],5,0),"")</f>
        <v/>
      </c>
      <c r="F1631" t="str">
        <f>+IFERROR(VLOOKUP(Fact_Impuestos[[#This Row], 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ht="18.75" customHeight="1" x14ac:dyDescent="0.35">
      <c r="C1632" s="100" t="str">
        <f>IF(OR(Fact_Impuestos[[#This Row], [Año]]="",Fact_Impuestos[[#This Row], [Mes]]=""),"",DATE(A1632,MATCH(B1632,{"enero","febrero","marzo","abril","mayo","junio","julio","agosto","septiembre","octubre","noviembre","diciembre"},0)+1,0))</f>
        <v/>
      </c>
      <c r="E1632" t="str">
        <f>+IFERROR(VLOOKUP(Fact_Impuestos[[#This Row], [Concepto Anterior]],Conceptos_Impuestos[#All],5,0),"")</f>
        <v/>
      </c>
      <c r="F1632" t="str">
        <f>+IFERROR(VLOOKUP(Fact_Impuestos[[#This Row], 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ht="18.75" customHeight="1" x14ac:dyDescent="0.35">
      <c r="C1633" s="100" t="str">
        <f>IF(OR(Fact_Impuestos[[#This Row], [Año]]="",Fact_Impuestos[[#This Row], [Mes]]=""),"",DATE(A1633,MATCH(B1633,{"enero","febrero","marzo","abril","mayo","junio","julio","agosto","septiembre","octubre","noviembre","diciembre"},0)+1,0))</f>
        <v/>
      </c>
      <c r="E1633" t="str">
        <f>+IFERROR(VLOOKUP(Fact_Impuestos[[#This Row], [Concepto Anterior]],Conceptos_Impuestos[#All],5,0),"")</f>
        <v/>
      </c>
      <c r="F1633" t="str">
        <f>+IFERROR(VLOOKUP(Fact_Impuestos[[#This Row], 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ht="18.75" customHeight="1" x14ac:dyDescent="0.35">
      <c r="C1634" s="100" t="str">
        <f>IF(OR(Fact_Impuestos[[#This Row], [Año]]="",Fact_Impuestos[[#This Row], [Mes]]=""),"",DATE(A1634,MATCH(B1634,{"enero","febrero","marzo","abril","mayo","junio","julio","agosto","septiembre","octubre","noviembre","diciembre"},0)+1,0))</f>
        <v/>
      </c>
      <c r="E1634" t="str">
        <f>+IFERROR(VLOOKUP(Fact_Impuestos[[#This Row], [Concepto Anterior]],Conceptos_Impuestos[#All],5,0),"")</f>
        <v/>
      </c>
      <c r="F1634" t="str">
        <f>+IFERROR(VLOOKUP(Fact_Impuestos[[#This Row], 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ht="18.75" customHeight="1" x14ac:dyDescent="0.35">
      <c r="C1635" s="100" t="str">
        <f>IF(OR(Fact_Impuestos[[#This Row], [Año]]="",Fact_Impuestos[[#This Row], [Mes]]=""),"",DATE(A1635,MATCH(B1635,{"enero","febrero","marzo","abril","mayo","junio","julio","agosto","septiembre","octubre","noviembre","diciembre"},0)+1,0))</f>
        <v/>
      </c>
      <c r="E1635" t="str">
        <f>+IFERROR(VLOOKUP(Fact_Impuestos[[#This Row], [Concepto Anterior]],Conceptos_Impuestos[#All],5,0),"")</f>
        <v/>
      </c>
      <c r="F1635" t="str">
        <f>+IFERROR(VLOOKUP(Fact_Impuestos[[#This Row], 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ht="18.75" customHeight="1" x14ac:dyDescent="0.35">
      <c r="C1636" s="100" t="str">
        <f>IF(OR(Fact_Impuestos[[#This Row], [Año]]="",Fact_Impuestos[[#This Row], [Mes]]=""),"",DATE(A1636,MATCH(B1636,{"enero","febrero","marzo","abril","mayo","junio","julio","agosto","septiembre","octubre","noviembre","diciembre"},0)+1,0))</f>
        <v/>
      </c>
      <c r="E1636" t="str">
        <f>+IFERROR(VLOOKUP(Fact_Impuestos[[#This Row], [Concepto Anterior]],Conceptos_Impuestos[#All],5,0),"")</f>
        <v/>
      </c>
      <c r="F1636" t="str">
        <f>+IFERROR(VLOOKUP(Fact_Impuestos[[#This Row], 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ht="18.75" customHeight="1" x14ac:dyDescent="0.35">
      <c r="C1637" s="100" t="str">
        <f>IF(OR(Fact_Impuestos[[#This Row], [Año]]="",Fact_Impuestos[[#This Row], [Mes]]=""),"",DATE(A1637,MATCH(B1637,{"enero","febrero","marzo","abril","mayo","junio","julio","agosto","septiembre","octubre","noviembre","diciembre"},0)+1,0))</f>
        <v/>
      </c>
      <c r="E1637" t="str">
        <f>+IFERROR(VLOOKUP(Fact_Impuestos[[#This Row], [Concepto Anterior]],Conceptos_Impuestos[#All],5,0),"")</f>
        <v/>
      </c>
      <c r="F1637" t="str">
        <f>+IFERROR(VLOOKUP(Fact_Impuestos[[#This Row], 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ht="18.75" customHeight="1" x14ac:dyDescent="0.35">
      <c r="C1638" s="100" t="str">
        <f>IF(OR(Fact_Impuestos[[#This Row], [Año]]="",Fact_Impuestos[[#This Row], [Mes]]=""),"",DATE(A1638,MATCH(B1638,{"enero","febrero","marzo","abril","mayo","junio","julio","agosto","septiembre","octubre","noviembre","diciembre"},0)+1,0))</f>
        <v/>
      </c>
      <c r="E1638" t="str">
        <f>+IFERROR(VLOOKUP(Fact_Impuestos[[#This Row], [Concepto Anterior]],Conceptos_Impuestos[#All],5,0),"")</f>
        <v/>
      </c>
      <c r="F1638" t="str">
        <f>+IFERROR(VLOOKUP(Fact_Impuestos[[#This Row], 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ht="18.75" customHeight="1" x14ac:dyDescent="0.35">
      <c r="C1639" s="100" t="str">
        <f>IF(OR(Fact_Impuestos[[#This Row], [Año]]="",Fact_Impuestos[[#This Row], [Mes]]=""),"",DATE(A1639,MATCH(B1639,{"enero","febrero","marzo","abril","mayo","junio","julio","agosto","septiembre","octubre","noviembre","diciembre"},0)+1,0))</f>
        <v/>
      </c>
      <c r="E1639" t="str">
        <f>+IFERROR(VLOOKUP(Fact_Impuestos[[#This Row], [Concepto Anterior]],Conceptos_Impuestos[#All],5,0),"")</f>
        <v/>
      </c>
      <c r="F1639" t="str">
        <f>+IFERROR(VLOOKUP(Fact_Impuestos[[#This Row], 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ht="18.75" customHeight="1" x14ac:dyDescent="0.35">
      <c r="C1640" s="100" t="str">
        <f>IF(OR(Fact_Impuestos[[#This Row], [Año]]="",Fact_Impuestos[[#This Row], [Mes]]=""),"",DATE(A1640,MATCH(B1640,{"enero","febrero","marzo","abril","mayo","junio","julio","agosto","septiembre","octubre","noviembre","diciembre"},0)+1,0))</f>
        <v/>
      </c>
      <c r="E1640" t="str">
        <f>+IFERROR(VLOOKUP(Fact_Impuestos[[#This Row], [Concepto Anterior]],Conceptos_Impuestos[#All],5,0),"")</f>
        <v/>
      </c>
      <c r="F1640" t="str">
        <f>+IFERROR(VLOOKUP(Fact_Impuestos[[#This Row], 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ht="18.75" customHeight="1" x14ac:dyDescent="0.35">
      <c r="C1641" s="100" t="str">
        <f>IF(OR(Fact_Impuestos[[#This Row], [Año]]="",Fact_Impuestos[[#This Row], [Mes]]=""),"",DATE(A1641,MATCH(B1641,{"enero","febrero","marzo","abril","mayo","junio","julio","agosto","septiembre","octubre","noviembre","diciembre"},0)+1,0))</f>
        <v/>
      </c>
      <c r="E1641" t="str">
        <f>+IFERROR(VLOOKUP(Fact_Impuestos[[#This Row], [Concepto Anterior]],Conceptos_Impuestos[#All],5,0),"")</f>
        <v/>
      </c>
      <c r="F1641" t="str">
        <f>+IFERROR(VLOOKUP(Fact_Impuestos[[#This Row], 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ht="18.75" customHeight="1" x14ac:dyDescent="0.35">
      <c r="C1642" s="100" t="str">
        <f>IF(OR(Fact_Impuestos[[#This Row], [Año]]="",Fact_Impuestos[[#This Row], [Mes]]=""),"",DATE(A1642,MATCH(B1642,{"enero","febrero","marzo","abril","mayo","junio","julio","agosto","septiembre","octubre","noviembre","diciembre"},0)+1,0))</f>
        <v/>
      </c>
      <c r="E1642" t="str">
        <f>+IFERROR(VLOOKUP(Fact_Impuestos[[#This Row], [Concepto Anterior]],Conceptos_Impuestos[#All],5,0),"")</f>
        <v/>
      </c>
      <c r="F1642" t="str">
        <f>+IFERROR(VLOOKUP(Fact_Impuestos[[#This Row], 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ht="18.75" customHeight="1" x14ac:dyDescent="0.35">
      <c r="C1643" s="100" t="str">
        <f>IF(OR(Fact_Impuestos[[#This Row], [Año]]="",Fact_Impuestos[[#This Row], [Mes]]=""),"",DATE(A1643,MATCH(B1643,{"enero","febrero","marzo","abril","mayo","junio","julio","agosto","septiembre","octubre","noviembre","diciembre"},0)+1,0))</f>
        <v/>
      </c>
      <c r="E1643" t="str">
        <f>+IFERROR(VLOOKUP(Fact_Impuestos[[#This Row], [Concepto Anterior]],Conceptos_Impuestos[#All],5,0),"")</f>
        <v/>
      </c>
      <c r="F1643" t="str">
        <f>+IFERROR(VLOOKUP(Fact_Impuestos[[#This Row], 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ht="18.75" customHeight="1" x14ac:dyDescent="0.35">
      <c r="C1644" s="100" t="str">
        <f>IF(OR(Fact_Impuestos[[#This Row], [Año]]="",Fact_Impuestos[[#This Row], [Mes]]=""),"",DATE(A1644,MATCH(B1644,{"enero","febrero","marzo","abril","mayo","junio","julio","agosto","septiembre","octubre","noviembre","diciembre"},0)+1,0))</f>
        <v/>
      </c>
      <c r="E1644" t="str">
        <f>+IFERROR(VLOOKUP(Fact_Impuestos[[#This Row], [Concepto Anterior]],Conceptos_Impuestos[#All],5,0),"")</f>
        <v/>
      </c>
      <c r="F1644" t="str">
        <f>+IFERROR(VLOOKUP(Fact_Impuestos[[#This Row], 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ht="18.75" customHeight="1" x14ac:dyDescent="0.35">
      <c r="C1645" s="100" t="str">
        <f>IF(OR(Fact_Impuestos[[#This Row], [Año]]="",Fact_Impuestos[[#This Row], [Mes]]=""),"",DATE(A1645,MATCH(B1645,{"enero","febrero","marzo","abril","mayo","junio","julio","agosto","septiembre","octubre","noviembre","diciembre"},0)+1,0))</f>
        <v/>
      </c>
      <c r="E1645" t="str">
        <f>+IFERROR(VLOOKUP(Fact_Impuestos[[#This Row], [Concepto Anterior]],Conceptos_Impuestos[#All],5,0),"")</f>
        <v/>
      </c>
      <c r="F1645" t="str">
        <f>+IFERROR(VLOOKUP(Fact_Impuestos[[#This Row], 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ht="18.75" customHeight="1" x14ac:dyDescent="0.35">
      <c r="C1646" s="100" t="str">
        <f>IF(OR(Fact_Impuestos[[#This Row], [Año]]="",Fact_Impuestos[[#This Row], [Mes]]=""),"",DATE(A1646,MATCH(B1646,{"enero","febrero","marzo","abril","mayo","junio","julio","agosto","septiembre","octubre","noviembre","diciembre"},0)+1,0))</f>
        <v/>
      </c>
      <c r="E1646" t="str">
        <f>+IFERROR(VLOOKUP(Fact_Impuestos[[#This Row], [Concepto Anterior]],Conceptos_Impuestos[#All],5,0),"")</f>
        <v/>
      </c>
      <c r="F1646" t="str">
        <f>+IFERROR(VLOOKUP(Fact_Impuestos[[#This Row], 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ht="18.75" customHeight="1" x14ac:dyDescent="0.35">
      <c r="C1647" s="100" t="str">
        <f>IF(OR(Fact_Impuestos[[#This Row], [Año]]="",Fact_Impuestos[[#This Row], [Mes]]=""),"",DATE(A1647,MATCH(B1647,{"enero","febrero","marzo","abril","mayo","junio","julio","agosto","septiembre","octubre","noviembre","diciembre"},0)+1,0))</f>
        <v/>
      </c>
      <c r="E1647" t="str">
        <f>+IFERROR(VLOOKUP(Fact_Impuestos[[#This Row], [Concepto Anterior]],Conceptos_Impuestos[#All],5,0),"")</f>
        <v/>
      </c>
      <c r="F1647" t="str">
        <f>+IFERROR(VLOOKUP(Fact_Impuestos[[#This Row], 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ht="18.75" customHeight="1" x14ac:dyDescent="0.35">
      <c r="C1648" s="100" t="str">
        <f>IF(OR(Fact_Impuestos[[#This Row], [Año]]="",Fact_Impuestos[[#This Row], [Mes]]=""),"",DATE(A1648,MATCH(B1648,{"enero","febrero","marzo","abril","mayo","junio","julio","agosto","septiembre","octubre","noviembre","diciembre"},0)+1,0))</f>
        <v/>
      </c>
      <c r="E1648" t="str">
        <f>+IFERROR(VLOOKUP(Fact_Impuestos[[#This Row], [Concepto Anterior]],Conceptos_Impuestos[#All],5,0),"")</f>
        <v/>
      </c>
      <c r="F1648" t="str">
        <f>+IFERROR(VLOOKUP(Fact_Impuestos[[#This Row], 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ht="18.75" customHeight="1" x14ac:dyDescent="0.35">
      <c r="C1649" s="100" t="str">
        <f>IF(OR(Fact_Impuestos[[#This Row], [Año]]="",Fact_Impuestos[[#This Row], [Mes]]=""),"",DATE(A1649,MATCH(B1649,{"enero","febrero","marzo","abril","mayo","junio","julio","agosto","septiembre","octubre","noviembre","diciembre"},0)+1,0))</f>
        <v/>
      </c>
      <c r="E1649" t="str">
        <f>+IFERROR(VLOOKUP(Fact_Impuestos[[#This Row], [Concepto Anterior]],Conceptos_Impuestos[#All],5,0),"")</f>
        <v/>
      </c>
      <c r="F1649" t="str">
        <f>+IFERROR(VLOOKUP(Fact_Impuestos[[#This Row], 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ht="18.75" customHeight="1" x14ac:dyDescent="0.35">
      <c r="C1650" s="100" t="str">
        <f>IF(OR(Fact_Impuestos[[#This Row], [Año]]="",Fact_Impuestos[[#This Row], [Mes]]=""),"",DATE(A1650,MATCH(B1650,{"enero","febrero","marzo","abril","mayo","junio","julio","agosto","septiembre","octubre","noviembre","diciembre"},0)+1,0))</f>
        <v/>
      </c>
      <c r="E1650" t="str">
        <f>+IFERROR(VLOOKUP(Fact_Impuestos[[#This Row], [Concepto Anterior]],Conceptos_Impuestos[#All],5,0),"")</f>
        <v/>
      </c>
      <c r="F1650" t="str">
        <f>+IFERROR(VLOOKUP(Fact_Impuestos[[#This Row], 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ht="18.75" customHeight="1" x14ac:dyDescent="0.35">
      <c r="C1651" s="100" t="str">
        <f>IF(OR(Fact_Impuestos[[#This Row], [Año]]="",Fact_Impuestos[[#This Row], [Mes]]=""),"",DATE(A1651,MATCH(B1651,{"enero","febrero","marzo","abril","mayo","junio","julio","agosto","septiembre","octubre","noviembre","diciembre"},0)+1,0))</f>
        <v/>
      </c>
      <c r="E1651" t="str">
        <f>+IFERROR(VLOOKUP(Fact_Impuestos[[#This Row], [Concepto Anterior]],Conceptos_Impuestos[#All],5,0),"")</f>
        <v/>
      </c>
      <c r="F1651" t="str">
        <f>+IFERROR(VLOOKUP(Fact_Impuestos[[#This Row], 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ht="18.75" customHeight="1" x14ac:dyDescent="0.35">
      <c r="C1652" s="100" t="str">
        <f>IF(OR(Fact_Impuestos[[#This Row], [Año]]="",Fact_Impuestos[[#This Row], [Mes]]=""),"",DATE(A1652,MATCH(B1652,{"enero","febrero","marzo","abril","mayo","junio","julio","agosto","septiembre","octubre","noviembre","diciembre"},0)+1,0))</f>
        <v/>
      </c>
      <c r="E1652" t="str">
        <f>+IFERROR(VLOOKUP(Fact_Impuestos[[#This Row], [Concepto Anterior]],Conceptos_Impuestos[#All],5,0),"")</f>
        <v/>
      </c>
      <c r="F1652" t="str">
        <f>+IFERROR(VLOOKUP(Fact_Impuestos[[#This Row], 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ht="18.75" customHeight="1" x14ac:dyDescent="0.35">
      <c r="C1653" s="100" t="str">
        <f>IF(OR(Fact_Impuestos[[#This Row], [Año]]="",Fact_Impuestos[[#This Row], [Mes]]=""),"",DATE(A1653,MATCH(B1653,{"enero","febrero","marzo","abril","mayo","junio","julio","agosto","septiembre","octubre","noviembre","diciembre"},0)+1,0))</f>
        <v/>
      </c>
      <c r="E1653" t="str">
        <f>+IFERROR(VLOOKUP(Fact_Impuestos[[#This Row], [Concepto Anterior]],Conceptos_Impuestos[#All],5,0),"")</f>
        <v/>
      </c>
      <c r="F1653" t="str">
        <f>+IFERROR(VLOOKUP(Fact_Impuestos[[#This Row], 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ht="18.75" customHeight="1" x14ac:dyDescent="0.35">
      <c r="C1654" s="100" t="str">
        <f>IF(OR(Fact_Impuestos[[#This Row], [Año]]="",Fact_Impuestos[[#This Row], [Mes]]=""),"",DATE(A1654,MATCH(B1654,{"enero","febrero","marzo","abril","mayo","junio","julio","agosto","septiembre","octubre","noviembre","diciembre"},0)+1,0))</f>
        <v/>
      </c>
      <c r="E1654" t="str">
        <f>+IFERROR(VLOOKUP(Fact_Impuestos[[#This Row], [Concepto Anterior]],Conceptos_Impuestos[#All],5,0),"")</f>
        <v/>
      </c>
      <c r="F1654" t="str">
        <f>+IFERROR(VLOOKUP(Fact_Impuestos[[#This Row], 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ht="18.75" customHeight="1" x14ac:dyDescent="0.35">
      <c r="C1655" s="100" t="str">
        <f>IF(OR(Fact_Impuestos[[#This Row], [Año]]="",Fact_Impuestos[[#This Row], [Mes]]=""),"",DATE(A1655,MATCH(B1655,{"enero","febrero","marzo","abril","mayo","junio","julio","agosto","septiembre","octubre","noviembre","diciembre"},0)+1,0))</f>
        <v/>
      </c>
      <c r="E1655" t="str">
        <f>+IFERROR(VLOOKUP(Fact_Impuestos[[#This Row], [Concepto Anterior]],Conceptos_Impuestos[#All],5,0),"")</f>
        <v/>
      </c>
      <c r="F1655" t="str">
        <f>+IFERROR(VLOOKUP(Fact_Impuestos[[#This Row], 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ht="18.75" customHeight="1" x14ac:dyDescent="0.35">
      <c r="C1656" s="100" t="str">
        <f>IF(OR(Fact_Impuestos[[#This Row], [Año]]="",Fact_Impuestos[[#This Row], [Mes]]=""),"",DATE(A1656,MATCH(B1656,{"enero","febrero","marzo","abril","mayo","junio","julio","agosto","septiembre","octubre","noviembre","diciembre"},0)+1,0))</f>
        <v/>
      </c>
      <c r="E1656" t="str">
        <f>+IFERROR(VLOOKUP(Fact_Impuestos[[#This Row], [Concepto Anterior]],Conceptos_Impuestos[#All],5,0),"")</f>
        <v/>
      </c>
      <c r="F1656" t="str">
        <f>+IFERROR(VLOOKUP(Fact_Impuestos[[#This Row], 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ht="18.75" customHeight="1" x14ac:dyDescent="0.35">
      <c r="C1657" s="100" t="str">
        <f>IF(OR(Fact_Impuestos[[#This Row], [Año]]="",Fact_Impuestos[[#This Row], [Mes]]=""),"",DATE(A1657,MATCH(B1657,{"enero","febrero","marzo","abril","mayo","junio","julio","agosto","septiembre","octubre","noviembre","diciembre"},0)+1,0))</f>
        <v/>
      </c>
      <c r="E1657" t="str">
        <f>+IFERROR(VLOOKUP(Fact_Impuestos[[#This Row], [Concepto Anterior]],Conceptos_Impuestos[#All],5,0),"")</f>
        <v/>
      </c>
      <c r="F1657" t="str">
        <f>+IFERROR(VLOOKUP(Fact_Impuestos[[#This Row], 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ht="18.75" customHeight="1" x14ac:dyDescent="0.35">
      <c r="C1658" s="100" t="str">
        <f>IF(OR(Fact_Impuestos[[#This Row], [Año]]="",Fact_Impuestos[[#This Row], [Mes]]=""),"",DATE(A1658,MATCH(B1658,{"enero","febrero","marzo","abril","mayo","junio","julio","agosto","septiembre","octubre","noviembre","diciembre"},0)+1,0))</f>
        <v/>
      </c>
      <c r="E1658" t="str">
        <f>+IFERROR(VLOOKUP(Fact_Impuestos[[#This Row], [Concepto Anterior]],Conceptos_Impuestos[#All],5,0),"")</f>
        <v/>
      </c>
      <c r="F1658" t="str">
        <f>+IFERROR(VLOOKUP(Fact_Impuestos[[#This Row], 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ht="18.75" customHeight="1" x14ac:dyDescent="0.35">
      <c r="C1659" s="100" t="str">
        <f>IF(OR(Fact_Impuestos[[#This Row], [Año]]="",Fact_Impuestos[[#This Row], [Mes]]=""),"",DATE(A1659,MATCH(B1659,{"enero","febrero","marzo","abril","mayo","junio","julio","agosto","septiembre","octubre","noviembre","diciembre"},0)+1,0))</f>
        <v/>
      </c>
      <c r="E1659" t="str">
        <f>+IFERROR(VLOOKUP(Fact_Impuestos[[#This Row], [Concepto Anterior]],Conceptos_Impuestos[#All],5,0),"")</f>
        <v/>
      </c>
      <c r="F1659" t="str">
        <f>+IFERROR(VLOOKUP(Fact_Impuestos[[#This Row], 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ht="18.75" customHeight="1" x14ac:dyDescent="0.35">
      <c r="C1660" s="100" t="str">
        <f>IF(OR(Fact_Impuestos[[#This Row], [Año]]="",Fact_Impuestos[[#This Row], [Mes]]=""),"",DATE(A1660,MATCH(B1660,{"enero","febrero","marzo","abril","mayo","junio","julio","agosto","septiembre","octubre","noviembre","diciembre"},0)+1,0))</f>
        <v/>
      </c>
      <c r="E1660" t="str">
        <f>+IFERROR(VLOOKUP(Fact_Impuestos[[#This Row], [Concepto Anterior]],Conceptos_Impuestos[#All],5,0),"")</f>
        <v/>
      </c>
      <c r="F1660" t="str">
        <f>+IFERROR(VLOOKUP(Fact_Impuestos[[#This Row], 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ht="18.75" customHeight="1" x14ac:dyDescent="0.35">
      <c r="C1661" s="100" t="str">
        <f>IF(OR(Fact_Impuestos[[#This Row], [Año]]="",Fact_Impuestos[[#This Row], [Mes]]=""),"",DATE(A1661,MATCH(B1661,{"enero","febrero","marzo","abril","mayo","junio","julio","agosto","septiembre","octubre","noviembre","diciembre"},0)+1,0))</f>
        <v/>
      </c>
      <c r="E1661" t="str">
        <f>+IFERROR(VLOOKUP(Fact_Impuestos[[#This Row], [Concepto Anterior]],Conceptos_Impuestos[#All],5,0),"")</f>
        <v/>
      </c>
      <c r="F1661" t="str">
        <f>+IFERROR(VLOOKUP(Fact_Impuestos[[#This Row], 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ht="18.75" customHeight="1" x14ac:dyDescent="0.35">
      <c r="C1662" s="100" t="str">
        <f>IF(OR(Fact_Impuestos[[#This Row], [Año]]="",Fact_Impuestos[[#This Row], [Mes]]=""),"",DATE(A1662,MATCH(B1662,{"enero","febrero","marzo","abril","mayo","junio","julio","agosto","septiembre","octubre","noviembre","diciembre"},0)+1,0))</f>
        <v/>
      </c>
      <c r="E1662" t="str">
        <f>+IFERROR(VLOOKUP(Fact_Impuestos[[#This Row], [Concepto Anterior]],Conceptos_Impuestos[#All],5,0),"")</f>
        <v/>
      </c>
      <c r="F1662" t="str">
        <f>+IFERROR(VLOOKUP(Fact_Impuestos[[#This Row], 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ht="18.75" customHeight="1" x14ac:dyDescent="0.35">
      <c r="C1663" s="100" t="str">
        <f>IF(OR(Fact_Impuestos[[#This Row], [Año]]="",Fact_Impuestos[[#This Row], [Mes]]=""),"",DATE(A1663,MATCH(B1663,{"enero","febrero","marzo","abril","mayo","junio","julio","agosto","septiembre","octubre","noviembre","diciembre"},0)+1,0))</f>
        <v/>
      </c>
      <c r="E1663" t="str">
        <f>+IFERROR(VLOOKUP(Fact_Impuestos[[#This Row], [Concepto Anterior]],Conceptos_Impuestos[#All],5,0),"")</f>
        <v/>
      </c>
      <c r="F1663" t="str">
        <f>+IFERROR(VLOOKUP(Fact_Impuestos[[#This Row], 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ht="18.75" customHeight="1" x14ac:dyDescent="0.35">
      <c r="C1664" s="100" t="str">
        <f>IF(OR(Fact_Impuestos[[#This Row], [Año]]="",Fact_Impuestos[[#This Row], [Mes]]=""),"",DATE(A1664,MATCH(B1664,{"enero","febrero","marzo","abril","mayo","junio","julio","agosto","septiembre","octubre","noviembre","diciembre"},0)+1,0))</f>
        <v/>
      </c>
      <c r="E1664" t="str">
        <f>+IFERROR(VLOOKUP(Fact_Impuestos[[#This Row], [Concepto Anterior]],Conceptos_Impuestos[#All],5,0),"")</f>
        <v/>
      </c>
      <c r="F1664" t="str">
        <f>+IFERROR(VLOOKUP(Fact_Impuestos[[#This Row], 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ht="18.75" customHeight="1" x14ac:dyDescent="0.35">
      <c r="C1665" s="100" t="str">
        <f>IF(OR(Fact_Impuestos[[#This Row], [Año]]="",Fact_Impuestos[[#This Row], [Mes]]=""),"",DATE(A1665,MATCH(B1665,{"enero","febrero","marzo","abril","mayo","junio","julio","agosto","septiembre","octubre","noviembre","diciembre"},0)+1,0))</f>
        <v/>
      </c>
      <c r="E1665" t="str">
        <f>+IFERROR(VLOOKUP(Fact_Impuestos[[#This Row], [Concepto Anterior]],Conceptos_Impuestos[#All],5,0),"")</f>
        <v/>
      </c>
      <c r="F1665" t="str">
        <f>+IFERROR(VLOOKUP(Fact_Impuestos[[#This Row], 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ht="18.75" customHeight="1" x14ac:dyDescent="0.35">
      <c r="C1666" s="100" t="str">
        <f>IF(OR(Fact_Impuestos[[#This Row], [Año]]="",Fact_Impuestos[[#This Row], [Mes]]=""),"",DATE(A1666,MATCH(B1666,{"enero","febrero","marzo","abril","mayo","junio","julio","agosto","septiembre","octubre","noviembre","diciembre"},0)+1,0))</f>
        <v/>
      </c>
      <c r="E1666" t="str">
        <f>+IFERROR(VLOOKUP(Fact_Impuestos[[#This Row], [Concepto Anterior]],Conceptos_Impuestos[#All],5,0),"")</f>
        <v/>
      </c>
      <c r="F1666" t="str">
        <f>+IFERROR(VLOOKUP(Fact_Impuestos[[#This Row], 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ht="18.75" customHeight="1" x14ac:dyDescent="0.35">
      <c r="C1667" s="100" t="str">
        <f>IF(OR(Fact_Impuestos[[#This Row], [Año]]="",Fact_Impuestos[[#This Row], [Mes]]=""),"",DATE(A1667,MATCH(B1667,{"enero","febrero","marzo","abril","mayo","junio","julio","agosto","septiembre","octubre","noviembre","diciembre"},0)+1,0))</f>
        <v/>
      </c>
      <c r="E1667" t="str">
        <f>+IFERROR(VLOOKUP(Fact_Impuestos[[#This Row], [Concepto Anterior]],Conceptos_Impuestos[#All],5,0),"")</f>
        <v/>
      </c>
      <c r="F1667" t="str">
        <f>+IFERROR(VLOOKUP(Fact_Impuestos[[#This Row], 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ht="18.75" customHeight="1" x14ac:dyDescent="0.35">
      <c r="C1668" s="100" t="str">
        <f>IF(OR(Fact_Impuestos[[#This Row], [Año]]="",Fact_Impuestos[[#This Row], [Mes]]=""),"",DATE(A1668,MATCH(B1668,{"enero","febrero","marzo","abril","mayo","junio","julio","agosto","septiembre","octubre","noviembre","diciembre"},0)+1,0))</f>
        <v/>
      </c>
      <c r="E1668" t="str">
        <f>+IFERROR(VLOOKUP(Fact_Impuestos[[#This Row], [Concepto Anterior]],Conceptos_Impuestos[#All],5,0),"")</f>
        <v/>
      </c>
      <c r="F1668" t="str">
        <f>+IFERROR(VLOOKUP(Fact_Impuestos[[#This Row], 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ht="18.75" customHeight="1" x14ac:dyDescent="0.35">
      <c r="C1669" s="100" t="str">
        <f>IF(OR(Fact_Impuestos[[#This Row], [Año]]="",Fact_Impuestos[[#This Row], [Mes]]=""),"",DATE(A1669,MATCH(B1669,{"enero","febrero","marzo","abril","mayo","junio","julio","agosto","septiembre","octubre","noviembre","diciembre"},0)+1,0))</f>
        <v/>
      </c>
      <c r="E1669" t="str">
        <f>+IFERROR(VLOOKUP(Fact_Impuestos[[#This Row], [Concepto Anterior]],Conceptos_Impuestos[#All],5,0),"")</f>
        <v/>
      </c>
      <c r="F1669" t="str">
        <f>+IFERROR(VLOOKUP(Fact_Impuestos[[#This Row], 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ht="18.75" customHeight="1" x14ac:dyDescent="0.35">
      <c r="C1670" s="100" t="str">
        <f>IF(OR(Fact_Impuestos[[#This Row], [Año]]="",Fact_Impuestos[[#This Row], [Mes]]=""),"",DATE(A1670,MATCH(B1670,{"enero","febrero","marzo","abril","mayo","junio","julio","agosto","septiembre","octubre","noviembre","diciembre"},0)+1,0))</f>
        <v/>
      </c>
      <c r="E1670" t="str">
        <f>+IFERROR(VLOOKUP(Fact_Impuestos[[#This Row], [Concepto Anterior]],Conceptos_Impuestos[#All],5,0),"")</f>
        <v/>
      </c>
      <c r="F1670" t="str">
        <f>+IFERROR(VLOOKUP(Fact_Impuestos[[#This Row], 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ht="18.75" customHeight="1" x14ac:dyDescent="0.35">
      <c r="C1671" s="100" t="str">
        <f>IF(OR(Fact_Impuestos[[#This Row], [Año]]="",Fact_Impuestos[[#This Row], [Mes]]=""),"",DATE(A1671,MATCH(B1671,{"enero","febrero","marzo","abril","mayo","junio","julio","agosto","septiembre","octubre","noviembre","diciembre"},0)+1,0))</f>
        <v/>
      </c>
      <c r="E1671" t="str">
        <f>+IFERROR(VLOOKUP(Fact_Impuestos[[#This Row], [Concepto Anterior]],Conceptos_Impuestos[#All],5,0),"")</f>
        <v/>
      </c>
      <c r="F1671" t="str">
        <f>+IFERROR(VLOOKUP(Fact_Impuestos[[#This Row], 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ht="18.75" customHeight="1" x14ac:dyDescent="0.35">
      <c r="C1672" s="100" t="str">
        <f>IF(OR(Fact_Impuestos[[#This Row], [Año]]="",Fact_Impuestos[[#This Row], [Mes]]=""),"",DATE(A1672,MATCH(B1672,{"enero","febrero","marzo","abril","mayo","junio","julio","agosto","septiembre","octubre","noviembre","diciembre"},0)+1,0))</f>
        <v/>
      </c>
      <c r="E1672" t="str">
        <f>+IFERROR(VLOOKUP(Fact_Impuestos[[#This Row], [Concepto Anterior]],Conceptos_Impuestos[#All],5,0),"")</f>
        <v/>
      </c>
      <c r="F1672" t="str">
        <f>+IFERROR(VLOOKUP(Fact_Impuestos[[#This Row], 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ht="18.75" customHeight="1" x14ac:dyDescent="0.35">
      <c r="C1673" s="100" t="str">
        <f>IF(OR(Fact_Impuestos[[#This Row], [Año]]="",Fact_Impuestos[[#This Row], [Mes]]=""),"",DATE(A1673,MATCH(B1673,{"enero","febrero","marzo","abril","mayo","junio","julio","agosto","septiembre","octubre","noviembre","diciembre"},0)+1,0))</f>
        <v/>
      </c>
      <c r="E1673" t="str">
        <f>+IFERROR(VLOOKUP(Fact_Impuestos[[#This Row], [Concepto Anterior]],Conceptos_Impuestos[#All],5,0),"")</f>
        <v/>
      </c>
      <c r="F1673" t="str">
        <f>+IFERROR(VLOOKUP(Fact_Impuestos[[#This Row], 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ht="18.75" customHeight="1" x14ac:dyDescent="0.35">
      <c r="C1674" s="100" t="str">
        <f>IF(OR(Fact_Impuestos[[#This Row], [Año]]="",Fact_Impuestos[[#This Row], [Mes]]=""),"",DATE(A1674,MATCH(B1674,{"enero","febrero","marzo","abril","mayo","junio","julio","agosto","septiembre","octubre","noviembre","diciembre"},0)+1,0))</f>
        <v/>
      </c>
      <c r="E1674" t="str">
        <f>+IFERROR(VLOOKUP(Fact_Impuestos[[#This Row], [Concepto Anterior]],Conceptos_Impuestos[#All],5,0),"")</f>
        <v/>
      </c>
      <c r="F1674" t="str">
        <f>+IFERROR(VLOOKUP(Fact_Impuestos[[#This Row], 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ht="18.75" customHeight="1" x14ac:dyDescent="0.35">
      <c r="C1675" s="100" t="str">
        <f>IF(OR(Fact_Impuestos[[#This Row], [Año]]="",Fact_Impuestos[[#This Row], [Mes]]=""),"",DATE(A1675,MATCH(B1675,{"enero","febrero","marzo","abril","mayo","junio","julio","agosto","septiembre","octubre","noviembre","diciembre"},0)+1,0))</f>
        <v/>
      </c>
      <c r="E1675" t="str">
        <f>+IFERROR(VLOOKUP(Fact_Impuestos[[#This Row], [Concepto Anterior]],Conceptos_Impuestos[#All],5,0),"")</f>
        <v/>
      </c>
      <c r="F1675" t="str">
        <f>+IFERROR(VLOOKUP(Fact_Impuestos[[#This Row], 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ht="18.75" customHeight="1" x14ac:dyDescent="0.35">
      <c r="C1676" s="100" t="str">
        <f>IF(OR(Fact_Impuestos[[#This Row], [Año]]="",Fact_Impuestos[[#This Row], [Mes]]=""),"",DATE(A1676,MATCH(B1676,{"enero","febrero","marzo","abril","mayo","junio","julio","agosto","septiembre","octubre","noviembre","diciembre"},0)+1,0))</f>
        <v/>
      </c>
      <c r="E1676" t="str">
        <f>+IFERROR(VLOOKUP(Fact_Impuestos[[#This Row], [Concepto Anterior]],Conceptos_Impuestos[#All],5,0),"")</f>
        <v/>
      </c>
      <c r="F1676" t="str">
        <f>+IFERROR(VLOOKUP(Fact_Impuestos[[#This Row], 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ht="18.75" customHeight="1" x14ac:dyDescent="0.35">
      <c r="C1677" s="100" t="str">
        <f>IF(OR(Fact_Impuestos[[#This Row], [Año]]="",Fact_Impuestos[[#This Row], [Mes]]=""),"",DATE(A1677,MATCH(B1677,{"enero","febrero","marzo","abril","mayo","junio","julio","agosto","septiembre","octubre","noviembre","diciembre"},0)+1,0))</f>
        <v/>
      </c>
      <c r="E1677" t="str">
        <f>+IFERROR(VLOOKUP(Fact_Impuestos[[#This Row], [Concepto Anterior]],Conceptos_Impuestos[#All],5,0),"")</f>
        <v/>
      </c>
      <c r="F1677" t="str">
        <f>+IFERROR(VLOOKUP(Fact_Impuestos[[#This Row], 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ht="18.75" customHeight="1" x14ac:dyDescent="0.35">
      <c r="C1678" s="100" t="str">
        <f>IF(OR(Fact_Impuestos[[#This Row], [Año]]="",Fact_Impuestos[[#This Row], [Mes]]=""),"",DATE(A1678,MATCH(B1678,{"enero","febrero","marzo","abril","mayo","junio","julio","agosto","septiembre","octubre","noviembre","diciembre"},0)+1,0))</f>
        <v/>
      </c>
      <c r="E1678" t="str">
        <f>+IFERROR(VLOOKUP(Fact_Impuestos[[#This Row], [Concepto Anterior]],Conceptos_Impuestos[#All],5,0),"")</f>
        <v/>
      </c>
      <c r="F1678" t="str">
        <f>+IFERROR(VLOOKUP(Fact_Impuestos[[#This Row], 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ht="18.75" customHeight="1" x14ac:dyDescent="0.35">
      <c r="C1679" s="100" t="str">
        <f>IF(OR(Fact_Impuestos[[#This Row], [Año]]="",Fact_Impuestos[[#This Row], [Mes]]=""),"",DATE(A1679,MATCH(B1679,{"enero","febrero","marzo","abril","mayo","junio","julio","agosto","septiembre","octubre","noviembre","diciembre"},0)+1,0))</f>
        <v/>
      </c>
      <c r="E1679" t="str">
        <f>+IFERROR(VLOOKUP(Fact_Impuestos[[#This Row], [Concepto Anterior]],Conceptos_Impuestos[#All],5,0),"")</f>
        <v/>
      </c>
      <c r="F1679" t="str">
        <f>+IFERROR(VLOOKUP(Fact_Impuestos[[#This Row], 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ht="18.75" customHeight="1" x14ac:dyDescent="0.35">
      <c r="C1680" s="100" t="str">
        <f>IF(OR(Fact_Impuestos[[#This Row], [Año]]="",Fact_Impuestos[[#This Row], [Mes]]=""),"",DATE(A1680,MATCH(B1680,{"enero","febrero","marzo","abril","mayo","junio","julio","agosto","septiembre","octubre","noviembre","diciembre"},0)+1,0))</f>
        <v/>
      </c>
      <c r="E1680" t="str">
        <f>+IFERROR(VLOOKUP(Fact_Impuestos[[#This Row], [Concepto Anterior]],Conceptos_Impuestos[#All],5,0),"")</f>
        <v/>
      </c>
      <c r="F1680" t="str">
        <f>+IFERROR(VLOOKUP(Fact_Impuestos[[#This Row], 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ht="18.75" customHeight="1" x14ac:dyDescent="0.35">
      <c r="C1681" s="100" t="str">
        <f>IF(OR(Fact_Impuestos[[#This Row], [Año]]="",Fact_Impuestos[[#This Row], [Mes]]=""),"",DATE(A1681,MATCH(B1681,{"enero","febrero","marzo","abril","mayo","junio","julio","agosto","septiembre","octubre","noviembre","diciembre"},0)+1,0))</f>
        <v/>
      </c>
      <c r="E1681" t="str">
        <f>+IFERROR(VLOOKUP(Fact_Impuestos[[#This Row], [Concepto Anterior]],Conceptos_Impuestos[#All],5,0),"")</f>
        <v/>
      </c>
      <c r="F1681" t="str">
        <f>+IFERROR(VLOOKUP(Fact_Impuestos[[#This Row], 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ht="18.75" customHeight="1" x14ac:dyDescent="0.35">
      <c r="C1682" s="100" t="str">
        <f>IF(OR(Fact_Impuestos[[#This Row], [Año]]="",Fact_Impuestos[[#This Row], [Mes]]=""),"",DATE(A1682,MATCH(B1682,{"enero","febrero","marzo","abril","mayo","junio","julio","agosto","septiembre","octubre","noviembre","diciembre"},0)+1,0))</f>
        <v/>
      </c>
      <c r="E1682" t="str">
        <f>+IFERROR(VLOOKUP(Fact_Impuestos[[#This Row], [Concepto Anterior]],Conceptos_Impuestos[#All],5,0),"")</f>
        <v/>
      </c>
      <c r="F1682" t="str">
        <f>+IFERROR(VLOOKUP(Fact_Impuestos[[#This Row], 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ht="18.75" customHeight="1" x14ac:dyDescent="0.35">
      <c r="C1683" s="100" t="str">
        <f>IF(OR(Fact_Impuestos[[#This Row], [Año]]="",Fact_Impuestos[[#This Row], [Mes]]=""),"",DATE(A1683,MATCH(B1683,{"enero","febrero","marzo","abril","mayo","junio","julio","agosto","septiembre","octubre","noviembre","diciembre"},0)+1,0))</f>
        <v/>
      </c>
      <c r="E1683" t="str">
        <f>+IFERROR(VLOOKUP(Fact_Impuestos[[#This Row], [Concepto Anterior]],Conceptos_Impuestos[#All],5,0),"")</f>
        <v/>
      </c>
      <c r="F1683" t="str">
        <f>+IFERROR(VLOOKUP(Fact_Impuestos[[#This Row], 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ht="18.75" customHeight="1" x14ac:dyDescent="0.35">
      <c r="C1684" s="100" t="str">
        <f>IF(OR(Fact_Impuestos[[#This Row], [Año]]="",Fact_Impuestos[[#This Row], [Mes]]=""),"",DATE(A1684,MATCH(B1684,{"enero","febrero","marzo","abril","mayo","junio","julio","agosto","septiembre","octubre","noviembre","diciembre"},0)+1,0))</f>
        <v/>
      </c>
      <c r="E1684" t="str">
        <f>+IFERROR(VLOOKUP(Fact_Impuestos[[#This Row], [Concepto Anterior]],Conceptos_Impuestos[#All],5,0),"")</f>
        <v/>
      </c>
      <c r="F1684" t="str">
        <f>+IFERROR(VLOOKUP(Fact_Impuestos[[#This Row], 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ht="18.75" customHeight="1" x14ac:dyDescent="0.35">
      <c r="C1685" s="100" t="str">
        <f>IF(OR(Fact_Impuestos[[#This Row], [Año]]="",Fact_Impuestos[[#This Row], [Mes]]=""),"",DATE(A1685,MATCH(B1685,{"enero","febrero","marzo","abril","mayo","junio","julio","agosto","septiembre","octubre","noviembre","diciembre"},0)+1,0))</f>
        <v/>
      </c>
      <c r="E1685" t="str">
        <f>+IFERROR(VLOOKUP(Fact_Impuestos[[#This Row], [Concepto Anterior]],Conceptos_Impuestos[#All],5,0),"")</f>
        <v/>
      </c>
      <c r="F1685" t="str">
        <f>+IFERROR(VLOOKUP(Fact_Impuestos[[#This Row], 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ht="18.75" customHeight="1" x14ac:dyDescent="0.35">
      <c r="C1686" s="100" t="str">
        <f>IF(OR(Fact_Impuestos[[#This Row], [Año]]="",Fact_Impuestos[[#This Row], [Mes]]=""),"",DATE(A1686,MATCH(B1686,{"enero","febrero","marzo","abril","mayo","junio","julio","agosto","septiembre","octubre","noviembre","diciembre"},0)+1,0))</f>
        <v/>
      </c>
      <c r="E1686" t="str">
        <f>+IFERROR(VLOOKUP(Fact_Impuestos[[#This Row], [Concepto Anterior]],Conceptos_Impuestos[#All],5,0),"")</f>
        <v/>
      </c>
      <c r="F1686" t="str">
        <f>+IFERROR(VLOOKUP(Fact_Impuestos[[#This Row], 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ht="18.75" customHeight="1" x14ac:dyDescent="0.35">
      <c r="C1687" s="100" t="str">
        <f>IF(OR(Fact_Impuestos[[#This Row], [Año]]="",Fact_Impuestos[[#This Row], [Mes]]=""),"",DATE(A1687,MATCH(B1687,{"enero","febrero","marzo","abril","mayo","junio","julio","agosto","septiembre","octubre","noviembre","diciembre"},0)+1,0))</f>
        <v/>
      </c>
      <c r="E1687" t="str">
        <f>+IFERROR(VLOOKUP(Fact_Impuestos[[#This Row], [Concepto Anterior]],Conceptos_Impuestos[#All],5,0),"")</f>
        <v/>
      </c>
      <c r="F1687" t="str">
        <f>+IFERROR(VLOOKUP(Fact_Impuestos[[#This Row], 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ht="18.75" customHeight="1" x14ac:dyDescent="0.35">
      <c r="C1688" s="100" t="str">
        <f>IF(OR(Fact_Impuestos[[#This Row], [Año]]="",Fact_Impuestos[[#This Row], [Mes]]=""),"",DATE(A1688,MATCH(B1688,{"enero","febrero","marzo","abril","mayo","junio","julio","agosto","septiembre","octubre","noviembre","diciembre"},0)+1,0))</f>
        <v/>
      </c>
      <c r="E1688" t="str">
        <f>+IFERROR(VLOOKUP(Fact_Impuestos[[#This Row], [Concepto Anterior]],Conceptos_Impuestos[#All],5,0),"")</f>
        <v/>
      </c>
      <c r="F1688" t="str">
        <f>+IFERROR(VLOOKUP(Fact_Impuestos[[#This Row], 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ht="18.75" customHeight="1" x14ac:dyDescent="0.35">
      <c r="C1689" s="100" t="str">
        <f>IF(OR(Fact_Impuestos[[#This Row], [Año]]="",Fact_Impuestos[[#This Row], [Mes]]=""),"",DATE(A1689,MATCH(B1689,{"enero","febrero","marzo","abril","mayo","junio","julio","agosto","septiembre","octubre","noviembre","diciembre"},0)+1,0))</f>
        <v/>
      </c>
      <c r="E1689" t="str">
        <f>+IFERROR(VLOOKUP(Fact_Impuestos[[#This Row], [Concepto Anterior]],Conceptos_Impuestos[#All],5,0),"")</f>
        <v/>
      </c>
      <c r="F1689" t="str">
        <f>+IFERROR(VLOOKUP(Fact_Impuestos[[#This Row], 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ht="18.75" customHeight="1" x14ac:dyDescent="0.35">
      <c r="C1690" s="100" t="str">
        <f>IF(OR(Fact_Impuestos[[#This Row], [Año]]="",Fact_Impuestos[[#This Row], [Mes]]=""),"",DATE(A1690,MATCH(B1690,{"enero","febrero","marzo","abril","mayo","junio","julio","agosto","septiembre","octubre","noviembre","diciembre"},0)+1,0))</f>
        <v/>
      </c>
      <c r="E1690" t="str">
        <f>+IFERROR(VLOOKUP(Fact_Impuestos[[#This Row], [Concepto Anterior]],Conceptos_Impuestos[#All],5,0),"")</f>
        <v/>
      </c>
      <c r="F1690" t="str">
        <f>+IFERROR(VLOOKUP(Fact_Impuestos[[#This Row], 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ht="18.75" customHeight="1" x14ac:dyDescent="0.35">
      <c r="C1691" s="100" t="str">
        <f>IF(OR(Fact_Impuestos[[#This Row], [Año]]="",Fact_Impuestos[[#This Row], [Mes]]=""),"",DATE(A1691,MATCH(B1691,{"enero","febrero","marzo","abril","mayo","junio","julio","agosto","septiembre","octubre","noviembre","diciembre"},0)+1,0))</f>
        <v/>
      </c>
      <c r="E1691" t="str">
        <f>+IFERROR(VLOOKUP(Fact_Impuestos[[#This Row], [Concepto Anterior]],Conceptos_Impuestos[#All],5,0),"")</f>
        <v/>
      </c>
      <c r="F1691" t="str">
        <f>+IFERROR(VLOOKUP(Fact_Impuestos[[#This Row], 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ht="18.75" customHeight="1" x14ac:dyDescent="0.35">
      <c r="C1692" s="100" t="str">
        <f>IF(OR(Fact_Impuestos[[#This Row], [Año]]="",Fact_Impuestos[[#This Row], [Mes]]=""),"",DATE(A1692,MATCH(B1692,{"enero","febrero","marzo","abril","mayo","junio","julio","agosto","septiembre","octubre","noviembre","diciembre"},0)+1,0))</f>
        <v/>
      </c>
      <c r="E1692" t="str">
        <f>+IFERROR(VLOOKUP(Fact_Impuestos[[#This Row], [Concepto Anterior]],Conceptos_Impuestos[#All],5,0),"")</f>
        <v/>
      </c>
      <c r="F1692" t="str">
        <f>+IFERROR(VLOOKUP(Fact_Impuestos[[#This Row], 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ht="18.75" customHeight="1" x14ac:dyDescent="0.35">
      <c r="C1693" s="100" t="str">
        <f>IF(OR(Fact_Impuestos[[#This Row], [Año]]="",Fact_Impuestos[[#This Row], [Mes]]=""),"",DATE(A1693,MATCH(B1693,{"enero","febrero","marzo","abril","mayo","junio","julio","agosto","septiembre","octubre","noviembre","diciembre"},0)+1,0))</f>
        <v/>
      </c>
      <c r="E1693" t="str">
        <f>+IFERROR(VLOOKUP(Fact_Impuestos[[#This Row], [Concepto Anterior]],Conceptos_Impuestos[#All],5,0),"")</f>
        <v/>
      </c>
      <c r="F1693" t="str">
        <f>+IFERROR(VLOOKUP(Fact_Impuestos[[#This Row], 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ht="18.75" customHeight="1" x14ac:dyDescent="0.35">
      <c r="C1694" s="100" t="str">
        <f>IF(OR(Fact_Impuestos[[#This Row], [Año]]="",Fact_Impuestos[[#This Row], [Mes]]=""),"",DATE(A1694,MATCH(B1694,{"enero","febrero","marzo","abril","mayo","junio","julio","agosto","septiembre","octubre","noviembre","diciembre"},0)+1,0))</f>
        <v/>
      </c>
      <c r="E1694" t="str">
        <f>+IFERROR(VLOOKUP(Fact_Impuestos[[#This Row], [Concepto Anterior]],Conceptos_Impuestos[#All],5,0),"")</f>
        <v/>
      </c>
      <c r="F1694" t="str">
        <f>+IFERROR(VLOOKUP(Fact_Impuestos[[#This Row], 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ht="18.75" customHeight="1" x14ac:dyDescent="0.35">
      <c r="C1695" s="100" t="str">
        <f>IF(OR(Fact_Impuestos[[#This Row], [Año]]="",Fact_Impuestos[[#This Row], [Mes]]=""),"",DATE(A1695,MATCH(B1695,{"enero","febrero","marzo","abril","mayo","junio","julio","agosto","septiembre","octubre","noviembre","diciembre"},0)+1,0))</f>
        <v/>
      </c>
      <c r="E1695" t="str">
        <f>+IFERROR(VLOOKUP(Fact_Impuestos[[#This Row], [Concepto Anterior]],Conceptos_Impuestos[#All],5,0),"")</f>
        <v/>
      </c>
      <c r="F1695" t="str">
        <f>+IFERROR(VLOOKUP(Fact_Impuestos[[#This Row], 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ht="18.75" customHeight="1" x14ac:dyDescent="0.35">
      <c r="C1696" s="100" t="str">
        <f>IF(OR(Fact_Impuestos[[#This Row], [Año]]="",Fact_Impuestos[[#This Row], [Mes]]=""),"",DATE(A1696,MATCH(B1696,{"enero","febrero","marzo","abril","mayo","junio","julio","agosto","septiembre","octubre","noviembre","diciembre"},0)+1,0))</f>
        <v/>
      </c>
      <c r="E1696" t="str">
        <f>+IFERROR(VLOOKUP(Fact_Impuestos[[#This Row], [Concepto Anterior]],Conceptos_Impuestos[#All],5,0),"")</f>
        <v/>
      </c>
      <c r="F1696" t="str">
        <f>+IFERROR(VLOOKUP(Fact_Impuestos[[#This Row], 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ht="18.75" customHeight="1" x14ac:dyDescent="0.35">
      <c r="C1697" s="100" t="str">
        <f>IF(OR(Fact_Impuestos[[#This Row], [Año]]="",Fact_Impuestos[[#This Row], [Mes]]=""),"",DATE(A1697,MATCH(B1697,{"enero","febrero","marzo","abril","mayo","junio","julio","agosto","septiembre","octubre","noviembre","diciembre"},0)+1,0))</f>
        <v/>
      </c>
      <c r="E1697" t="str">
        <f>+IFERROR(VLOOKUP(Fact_Impuestos[[#This Row], [Concepto Anterior]],Conceptos_Impuestos[#All],5,0),"")</f>
        <v/>
      </c>
      <c r="F1697" t="str">
        <f>+IFERROR(VLOOKUP(Fact_Impuestos[[#This Row], 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ht="18.75" customHeight="1" x14ac:dyDescent="0.35">
      <c r="C1698" s="100" t="str">
        <f>IF(OR(Fact_Impuestos[[#This Row], [Año]]="",Fact_Impuestos[[#This Row], [Mes]]=""),"",DATE(A1698,MATCH(B1698,{"enero","febrero","marzo","abril","mayo","junio","julio","agosto","septiembre","octubre","noviembre","diciembre"},0)+1,0))</f>
        <v/>
      </c>
      <c r="E1698" t="str">
        <f>+IFERROR(VLOOKUP(Fact_Impuestos[[#This Row], [Concepto Anterior]],Conceptos_Impuestos[#All],5,0),"")</f>
        <v/>
      </c>
      <c r="F1698" t="str">
        <f>+IFERROR(VLOOKUP(Fact_Impuestos[[#This Row], 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ht="18.75" customHeight="1" x14ac:dyDescent="0.35">
      <c r="C1699" s="100" t="str">
        <f>IF(OR(Fact_Impuestos[[#This Row], [Año]]="",Fact_Impuestos[[#This Row], [Mes]]=""),"",DATE(A1699,MATCH(B1699,{"enero","febrero","marzo","abril","mayo","junio","julio","agosto","septiembre","octubre","noviembre","diciembre"},0)+1,0))</f>
        <v/>
      </c>
      <c r="E1699" t="str">
        <f>+IFERROR(VLOOKUP(Fact_Impuestos[[#This Row], [Concepto Anterior]],Conceptos_Impuestos[#All],5,0),"")</f>
        <v/>
      </c>
      <c r="F1699" t="str">
        <f>+IFERROR(VLOOKUP(Fact_Impuestos[[#This Row], 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ht="18.75" customHeight="1" x14ac:dyDescent="0.35">
      <c r="C1700" s="100" t="str">
        <f>IF(OR(Fact_Impuestos[[#This Row], [Año]]="",Fact_Impuestos[[#This Row], [Mes]]=""),"",DATE(A1700,MATCH(B1700,{"enero","febrero","marzo","abril","mayo","junio","julio","agosto","septiembre","octubre","noviembre","diciembre"},0)+1,0))</f>
        <v/>
      </c>
      <c r="E1700" t="str">
        <f>+IFERROR(VLOOKUP(Fact_Impuestos[[#This Row], [Concepto Anterior]],Conceptos_Impuestos[#All],5,0),"")</f>
        <v/>
      </c>
      <c r="F1700" t="str">
        <f>+IFERROR(VLOOKUP(Fact_Impuestos[[#This Row], 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ht="18.75" customHeight="1" x14ac:dyDescent="0.35">
      <c r="C1701" s="100" t="str">
        <f>IF(OR(Fact_Impuestos[[#This Row], [Año]]="",Fact_Impuestos[[#This Row], [Mes]]=""),"",DATE(A1701,MATCH(B1701,{"enero","febrero","marzo","abril","mayo","junio","julio","agosto","septiembre","octubre","noviembre","diciembre"},0)+1,0))</f>
        <v/>
      </c>
      <c r="E1701" t="str">
        <f>+IFERROR(VLOOKUP(Fact_Impuestos[[#This Row], [Concepto Anterior]],Conceptos_Impuestos[#All],5,0),"")</f>
        <v/>
      </c>
      <c r="F1701" t="str">
        <f>+IFERROR(VLOOKUP(Fact_Impuestos[[#This Row], 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ht="18.75" customHeight="1" x14ac:dyDescent="0.35">
      <c r="C1702" s="100" t="str">
        <f>IF(OR(Fact_Impuestos[[#This Row], [Año]]="",Fact_Impuestos[[#This Row], [Mes]]=""),"",DATE(A1702,MATCH(B1702,{"enero","febrero","marzo","abril","mayo","junio","julio","agosto","septiembre","octubre","noviembre","diciembre"},0)+1,0))</f>
        <v/>
      </c>
      <c r="E1702" t="str">
        <f>+IFERROR(VLOOKUP(Fact_Impuestos[[#This Row], [Concepto Anterior]],Conceptos_Impuestos[#All],5,0),"")</f>
        <v/>
      </c>
      <c r="F1702" t="str">
        <f>+IFERROR(VLOOKUP(Fact_Impuestos[[#This Row], 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ht="18.75" customHeight="1" x14ac:dyDescent="0.35">
      <c r="C1703" s="100" t="str">
        <f>IF(OR(Fact_Impuestos[[#This Row], [Año]]="",Fact_Impuestos[[#This Row], [Mes]]=""),"",DATE(A1703,MATCH(B1703,{"enero","febrero","marzo","abril","mayo","junio","julio","agosto","septiembre","octubre","noviembre","diciembre"},0)+1,0))</f>
        <v/>
      </c>
      <c r="E1703" t="str">
        <f>+IFERROR(VLOOKUP(Fact_Impuestos[[#This Row], [Concepto Anterior]],Conceptos_Impuestos[#All],5,0),"")</f>
        <v/>
      </c>
      <c r="F1703" t="str">
        <f>+IFERROR(VLOOKUP(Fact_Impuestos[[#This Row], 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ht="18.75" customHeight="1" x14ac:dyDescent="0.35">
      <c r="C1704" s="100" t="str">
        <f>IF(OR(Fact_Impuestos[[#This Row], [Año]]="",Fact_Impuestos[[#This Row], [Mes]]=""),"",DATE(A1704,MATCH(B1704,{"enero","febrero","marzo","abril","mayo","junio","julio","agosto","septiembre","octubre","noviembre","diciembre"},0)+1,0))</f>
        <v/>
      </c>
      <c r="E1704" t="str">
        <f>+IFERROR(VLOOKUP(Fact_Impuestos[[#This Row], [Concepto Anterior]],Conceptos_Impuestos[#All],5,0),"")</f>
        <v/>
      </c>
      <c r="F1704" t="str">
        <f>+IFERROR(VLOOKUP(Fact_Impuestos[[#This Row], 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ht="18.75" customHeight="1" x14ac:dyDescent="0.35">
      <c r="C1705" s="100" t="str">
        <f>IF(OR(Fact_Impuestos[[#This Row], [Año]]="",Fact_Impuestos[[#This Row], [Mes]]=""),"",DATE(A1705,MATCH(B1705,{"enero","febrero","marzo","abril","mayo","junio","julio","agosto","septiembre","octubre","noviembre","diciembre"},0)+1,0))</f>
        <v/>
      </c>
      <c r="E1705" t="str">
        <f>+IFERROR(VLOOKUP(Fact_Impuestos[[#This Row], [Concepto Anterior]],Conceptos_Impuestos[#All],5,0),"")</f>
        <v/>
      </c>
      <c r="F1705" t="str">
        <f>+IFERROR(VLOOKUP(Fact_Impuestos[[#This Row], 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ht="18.75" customHeight="1" x14ac:dyDescent="0.35">
      <c r="C1706" s="100" t="str">
        <f>IF(OR(Fact_Impuestos[[#This Row], [Año]]="",Fact_Impuestos[[#This Row], [Mes]]=""),"",DATE(A1706,MATCH(B1706,{"enero","febrero","marzo","abril","mayo","junio","julio","agosto","septiembre","octubre","noviembre","diciembre"},0)+1,0))</f>
        <v/>
      </c>
      <c r="E1706" t="str">
        <f>+IFERROR(VLOOKUP(Fact_Impuestos[[#This Row], [Concepto Anterior]],Conceptos_Impuestos[#All],5,0),"")</f>
        <v/>
      </c>
      <c r="F1706" t="str">
        <f>+IFERROR(VLOOKUP(Fact_Impuestos[[#This Row], 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ht="18.75" customHeight="1" x14ac:dyDescent="0.35">
      <c r="C1707" s="100" t="str">
        <f>IF(OR(Fact_Impuestos[[#This Row], [Año]]="",Fact_Impuestos[[#This Row], [Mes]]=""),"",DATE(A1707,MATCH(B1707,{"enero","febrero","marzo","abril","mayo","junio","julio","agosto","septiembre","octubre","noviembre","diciembre"},0)+1,0))</f>
        <v/>
      </c>
      <c r="E1707" t="str">
        <f>+IFERROR(VLOOKUP(Fact_Impuestos[[#This Row], [Concepto Anterior]],Conceptos_Impuestos[#All],5,0),"")</f>
        <v/>
      </c>
      <c r="F1707" t="str">
        <f>+IFERROR(VLOOKUP(Fact_Impuestos[[#This Row], 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ht="18.75" customHeight="1" x14ac:dyDescent="0.35">
      <c r="C1708" s="100" t="str">
        <f>IF(OR(Fact_Impuestos[[#This Row], [Año]]="",Fact_Impuestos[[#This Row], [Mes]]=""),"",DATE(A1708,MATCH(B1708,{"enero","febrero","marzo","abril","mayo","junio","julio","agosto","septiembre","octubre","noviembre","diciembre"},0)+1,0))</f>
        <v/>
      </c>
      <c r="E1708" t="str">
        <f>+IFERROR(VLOOKUP(Fact_Impuestos[[#This Row], [Concepto Anterior]],Conceptos_Impuestos[#All],5,0),"")</f>
        <v/>
      </c>
      <c r="F1708" t="str">
        <f>+IFERROR(VLOOKUP(Fact_Impuestos[[#This Row], 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ht="18.75" customHeight="1" x14ac:dyDescent="0.35">
      <c r="C1709" s="100" t="str">
        <f>IF(OR(Fact_Impuestos[[#This Row], [Año]]="",Fact_Impuestos[[#This Row], [Mes]]=""),"",DATE(A1709,MATCH(B1709,{"enero","febrero","marzo","abril","mayo","junio","julio","agosto","septiembre","octubre","noviembre","diciembre"},0)+1,0))</f>
        <v/>
      </c>
      <c r="E1709" t="str">
        <f>+IFERROR(VLOOKUP(Fact_Impuestos[[#This Row], [Concepto Anterior]],Conceptos_Impuestos[#All],5,0),"")</f>
        <v/>
      </c>
      <c r="F1709" t="str">
        <f>+IFERROR(VLOOKUP(Fact_Impuestos[[#This Row], 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ht="18.75" customHeight="1" x14ac:dyDescent="0.35">
      <c r="C1710" s="100" t="str">
        <f>IF(OR(Fact_Impuestos[[#This Row], [Año]]="",Fact_Impuestos[[#This Row], [Mes]]=""),"",DATE(A1710,MATCH(B1710,{"enero","febrero","marzo","abril","mayo","junio","julio","agosto","septiembre","octubre","noviembre","diciembre"},0)+1,0))</f>
        <v/>
      </c>
      <c r="E1710" t="str">
        <f>+IFERROR(VLOOKUP(Fact_Impuestos[[#This Row], [Concepto Anterior]],Conceptos_Impuestos[#All],5,0),"")</f>
        <v/>
      </c>
      <c r="F1710" t="str">
        <f>+IFERROR(VLOOKUP(Fact_Impuestos[[#This Row], 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ht="18.75" customHeight="1" x14ac:dyDescent="0.35">
      <c r="C1711" s="100" t="str">
        <f>IF(OR(Fact_Impuestos[[#This Row], [Año]]="",Fact_Impuestos[[#This Row], [Mes]]=""),"",DATE(A1711,MATCH(B1711,{"enero","febrero","marzo","abril","mayo","junio","julio","agosto","septiembre","octubre","noviembre","diciembre"},0)+1,0))</f>
        <v/>
      </c>
      <c r="E1711" t="str">
        <f>+IFERROR(VLOOKUP(Fact_Impuestos[[#This Row], [Concepto Anterior]],Conceptos_Impuestos[#All],5,0),"")</f>
        <v/>
      </c>
      <c r="F1711" t="str">
        <f>+IFERROR(VLOOKUP(Fact_Impuestos[[#This Row], 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ht="18.75" customHeight="1" x14ac:dyDescent="0.35">
      <c r="C1712" s="100" t="str">
        <f>IF(OR(Fact_Impuestos[[#This Row], [Año]]="",Fact_Impuestos[[#This Row], [Mes]]=""),"",DATE(A1712,MATCH(B1712,{"enero","febrero","marzo","abril","mayo","junio","julio","agosto","septiembre","octubre","noviembre","diciembre"},0)+1,0))</f>
        <v/>
      </c>
      <c r="E1712" t="str">
        <f>+IFERROR(VLOOKUP(Fact_Impuestos[[#This Row], [Concepto Anterior]],Conceptos_Impuestos[#All],5,0),"")</f>
        <v/>
      </c>
      <c r="F1712" t="str">
        <f>+IFERROR(VLOOKUP(Fact_Impuestos[[#This Row], 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ht="18.75" customHeight="1" x14ac:dyDescent="0.35">
      <c r="C1713" s="100" t="str">
        <f>IF(OR(Fact_Impuestos[[#This Row], [Año]]="",Fact_Impuestos[[#This Row], [Mes]]=""),"",DATE(A1713,MATCH(B1713,{"enero","febrero","marzo","abril","mayo","junio","julio","agosto","septiembre","octubre","noviembre","diciembre"},0)+1,0))</f>
        <v/>
      </c>
      <c r="E1713" t="str">
        <f>+IFERROR(VLOOKUP(Fact_Impuestos[[#This Row], [Concepto Anterior]],Conceptos_Impuestos[#All],5,0),"")</f>
        <v/>
      </c>
      <c r="F1713" t="str">
        <f>+IFERROR(VLOOKUP(Fact_Impuestos[[#This Row], 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ht="18.75" customHeight="1" x14ac:dyDescent="0.35">
      <c r="C1714" s="100" t="str">
        <f>IF(OR(Fact_Impuestos[[#This Row], [Año]]="",Fact_Impuestos[[#This Row], [Mes]]=""),"",DATE(A1714,MATCH(B1714,{"enero","febrero","marzo","abril","mayo","junio","julio","agosto","septiembre","octubre","noviembre","diciembre"},0)+1,0))</f>
        <v/>
      </c>
      <c r="E1714" t="str">
        <f>+IFERROR(VLOOKUP(Fact_Impuestos[[#This Row], [Concepto Anterior]],Conceptos_Impuestos[#All],5,0),"")</f>
        <v/>
      </c>
      <c r="F1714" t="str">
        <f>+IFERROR(VLOOKUP(Fact_Impuestos[[#This Row], 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ht="18.75" customHeight="1" x14ac:dyDescent="0.35">
      <c r="C1715" s="100" t="str">
        <f>IF(OR(Fact_Impuestos[[#This Row], [Año]]="",Fact_Impuestos[[#This Row], [Mes]]=""),"",DATE(A1715,MATCH(B1715,{"enero","febrero","marzo","abril","mayo","junio","julio","agosto","septiembre","octubre","noviembre","diciembre"},0)+1,0))</f>
        <v/>
      </c>
      <c r="E1715" t="str">
        <f>+IFERROR(VLOOKUP(Fact_Impuestos[[#This Row], [Concepto Anterior]],Conceptos_Impuestos[#All],5,0),"")</f>
        <v/>
      </c>
      <c r="F1715" t="str">
        <f>+IFERROR(VLOOKUP(Fact_Impuestos[[#This Row], 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ht="18.75" customHeight="1" x14ac:dyDescent="0.35">
      <c r="C1716" s="100" t="str">
        <f>IF(OR(Fact_Impuestos[[#This Row], [Año]]="",Fact_Impuestos[[#This Row], [Mes]]=""),"",DATE(A1716,MATCH(B1716,{"enero","febrero","marzo","abril","mayo","junio","julio","agosto","septiembre","octubre","noviembre","diciembre"},0)+1,0))</f>
        <v/>
      </c>
      <c r="E1716" t="str">
        <f>+IFERROR(VLOOKUP(Fact_Impuestos[[#This Row], [Concepto Anterior]],Conceptos_Impuestos[#All],5,0),"")</f>
        <v/>
      </c>
      <c r="F1716" t="str">
        <f>+IFERROR(VLOOKUP(Fact_Impuestos[[#This Row], 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ht="18.75" customHeight="1" x14ac:dyDescent="0.35">
      <c r="C1717" s="100" t="str">
        <f>IF(OR(Fact_Impuestos[[#This Row], [Año]]="",Fact_Impuestos[[#This Row], [Mes]]=""),"",DATE(A1717,MATCH(B1717,{"enero","febrero","marzo","abril","mayo","junio","julio","agosto","septiembre","octubre","noviembre","diciembre"},0)+1,0))</f>
        <v/>
      </c>
      <c r="E1717" t="str">
        <f>+IFERROR(VLOOKUP(Fact_Impuestos[[#This Row], [Concepto Anterior]],Conceptos_Impuestos[#All],5,0),"")</f>
        <v/>
      </c>
      <c r="F1717" t="str">
        <f>+IFERROR(VLOOKUP(Fact_Impuestos[[#This Row], 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ht="18.75" customHeight="1" x14ac:dyDescent="0.35">
      <c r="C1718" s="100" t="str">
        <f>IF(OR(Fact_Impuestos[[#This Row], [Año]]="",Fact_Impuestos[[#This Row], [Mes]]=""),"",DATE(A1718,MATCH(B1718,{"enero","febrero","marzo","abril","mayo","junio","julio","agosto","septiembre","octubre","noviembre","diciembre"},0)+1,0))</f>
        <v/>
      </c>
      <c r="E1718" t="str">
        <f>+IFERROR(VLOOKUP(Fact_Impuestos[[#This Row], [Concepto Anterior]],Conceptos_Impuestos[#All],5,0),"")</f>
        <v/>
      </c>
      <c r="F1718" t="str">
        <f>+IFERROR(VLOOKUP(Fact_Impuestos[[#This Row], 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ht="18.75" customHeight="1" x14ac:dyDescent="0.35">
      <c r="C1719" s="100" t="str">
        <f>IF(OR(Fact_Impuestos[[#This Row], [Año]]="",Fact_Impuestos[[#This Row], [Mes]]=""),"",DATE(A1719,MATCH(B1719,{"enero","febrero","marzo","abril","mayo","junio","julio","agosto","septiembre","octubre","noviembre","diciembre"},0)+1,0))</f>
        <v/>
      </c>
      <c r="E1719" t="str">
        <f>+IFERROR(VLOOKUP(Fact_Impuestos[[#This Row], [Concepto Anterior]],Conceptos_Impuestos[#All],5,0),"")</f>
        <v/>
      </c>
      <c r="F1719" t="str">
        <f>+IFERROR(VLOOKUP(Fact_Impuestos[[#This Row], 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ht="18.75" customHeight="1" x14ac:dyDescent="0.35">
      <c r="C1720" s="100" t="str">
        <f>IF(OR(Fact_Impuestos[[#This Row], [Año]]="",Fact_Impuestos[[#This Row], [Mes]]=""),"",DATE(A1720,MATCH(B1720,{"enero","febrero","marzo","abril","mayo","junio","julio","agosto","septiembre","octubre","noviembre","diciembre"},0)+1,0))</f>
        <v/>
      </c>
      <c r="E1720" t="str">
        <f>+IFERROR(VLOOKUP(Fact_Impuestos[[#This Row], [Concepto Anterior]],Conceptos_Impuestos[#All],5,0),"")</f>
        <v/>
      </c>
      <c r="F1720" t="str">
        <f>+IFERROR(VLOOKUP(Fact_Impuestos[[#This Row], 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ht="18.75" customHeight="1" x14ac:dyDescent="0.35">
      <c r="C1721" s="100" t="str">
        <f>IF(OR(Fact_Impuestos[[#This Row], [Año]]="",Fact_Impuestos[[#This Row], [Mes]]=""),"",DATE(A1721,MATCH(B1721,{"enero","febrero","marzo","abril","mayo","junio","julio","agosto","septiembre","octubre","noviembre","diciembre"},0)+1,0))</f>
        <v/>
      </c>
      <c r="E1721" t="str">
        <f>+IFERROR(VLOOKUP(Fact_Impuestos[[#This Row], [Concepto Anterior]],Conceptos_Impuestos[#All],5,0),"")</f>
        <v/>
      </c>
      <c r="F1721" t="str">
        <f>+IFERROR(VLOOKUP(Fact_Impuestos[[#This Row], 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ht="18.75" customHeight="1" x14ac:dyDescent="0.35">
      <c r="C1722" s="100" t="str">
        <f>IF(OR(Fact_Impuestos[[#This Row], [Año]]="",Fact_Impuestos[[#This Row], [Mes]]=""),"",DATE(A1722,MATCH(B1722,{"enero","febrero","marzo","abril","mayo","junio","julio","agosto","septiembre","octubre","noviembre","diciembre"},0)+1,0))</f>
        <v/>
      </c>
      <c r="E1722" t="str">
        <f>+IFERROR(VLOOKUP(Fact_Impuestos[[#This Row], [Concepto Anterior]],Conceptos_Impuestos[#All],5,0),"")</f>
        <v/>
      </c>
      <c r="F1722" t="str">
        <f>+IFERROR(VLOOKUP(Fact_Impuestos[[#This Row], 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ht="18.75" customHeight="1" x14ac:dyDescent="0.35">
      <c r="C1723" s="100" t="str">
        <f>IF(OR(Fact_Impuestos[[#This Row], [Año]]="",Fact_Impuestos[[#This Row], [Mes]]=""),"",DATE(A1723,MATCH(B1723,{"enero","febrero","marzo","abril","mayo","junio","julio","agosto","septiembre","octubre","noviembre","diciembre"},0)+1,0))</f>
        <v/>
      </c>
      <c r="E1723" t="str">
        <f>+IFERROR(VLOOKUP(Fact_Impuestos[[#This Row], [Concepto Anterior]],Conceptos_Impuestos[#All],5,0),"")</f>
        <v/>
      </c>
      <c r="F1723" t="str">
        <f>+IFERROR(VLOOKUP(Fact_Impuestos[[#This Row], 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ht="18.75" customHeight="1" x14ac:dyDescent="0.35">
      <c r="C1724" s="100" t="str">
        <f>IF(OR(Fact_Impuestos[[#This Row], [Año]]="",Fact_Impuestos[[#This Row], [Mes]]=""),"",DATE(A1724,MATCH(B1724,{"enero","febrero","marzo","abril","mayo","junio","julio","agosto","septiembre","octubre","noviembre","diciembre"},0)+1,0))</f>
        <v/>
      </c>
      <c r="E1724" t="str">
        <f>+IFERROR(VLOOKUP(Fact_Impuestos[[#This Row], [Concepto Anterior]],Conceptos_Impuestos[#All],5,0),"")</f>
        <v/>
      </c>
      <c r="F1724" t="str">
        <f>+IFERROR(VLOOKUP(Fact_Impuestos[[#This Row], 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ht="18.75" customHeight="1" x14ac:dyDescent="0.35">
      <c r="C1725" s="100" t="str">
        <f>IF(OR(Fact_Impuestos[[#This Row], [Año]]="",Fact_Impuestos[[#This Row], [Mes]]=""),"",DATE(A1725,MATCH(B1725,{"enero","febrero","marzo","abril","mayo","junio","julio","agosto","septiembre","octubre","noviembre","diciembre"},0)+1,0))</f>
        <v/>
      </c>
      <c r="E1725" t="str">
        <f>+IFERROR(VLOOKUP(Fact_Impuestos[[#This Row], [Concepto Anterior]],Conceptos_Impuestos[#All],5,0),"")</f>
        <v/>
      </c>
      <c r="F1725" t="str">
        <f>+IFERROR(VLOOKUP(Fact_Impuestos[[#This Row], 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ht="18.75" customHeight="1" x14ac:dyDescent="0.35">
      <c r="C1726" s="100" t="str">
        <f>IF(OR(Fact_Impuestos[[#This Row], [Año]]="",Fact_Impuestos[[#This Row], [Mes]]=""),"",DATE(A1726,MATCH(B1726,{"enero","febrero","marzo","abril","mayo","junio","julio","agosto","septiembre","octubre","noviembre","diciembre"},0)+1,0))</f>
        <v/>
      </c>
      <c r="E1726" t="str">
        <f>+IFERROR(VLOOKUP(Fact_Impuestos[[#This Row], [Concepto Anterior]],Conceptos_Impuestos[#All],5,0),"")</f>
        <v/>
      </c>
      <c r="F1726" t="str">
        <f>+IFERROR(VLOOKUP(Fact_Impuestos[[#This Row], 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ht="18.75" customHeight="1" x14ac:dyDescent="0.35">
      <c r="C1727" s="100" t="str">
        <f>IF(OR(Fact_Impuestos[[#This Row], [Año]]="",Fact_Impuestos[[#This Row], [Mes]]=""),"",DATE(A1727,MATCH(B1727,{"enero","febrero","marzo","abril","mayo","junio","julio","agosto","septiembre","octubre","noviembre","diciembre"},0)+1,0))</f>
        <v/>
      </c>
      <c r="E1727" t="str">
        <f>+IFERROR(VLOOKUP(Fact_Impuestos[[#This Row], [Concepto Anterior]],Conceptos_Impuestos[#All],5,0),"")</f>
        <v/>
      </c>
      <c r="F1727" t="str">
        <f>+IFERROR(VLOOKUP(Fact_Impuestos[[#This Row], 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ht="18.75" customHeight="1" x14ac:dyDescent="0.35">
      <c r="C1728" s="100" t="str">
        <f>IF(OR(Fact_Impuestos[[#This Row], [Año]]="",Fact_Impuestos[[#This Row], [Mes]]=""),"",DATE(A1728,MATCH(B1728,{"enero","febrero","marzo","abril","mayo","junio","julio","agosto","septiembre","octubre","noviembre","diciembre"},0)+1,0))</f>
        <v/>
      </c>
      <c r="E1728" t="str">
        <f>+IFERROR(VLOOKUP(Fact_Impuestos[[#This Row], [Concepto Anterior]],Conceptos_Impuestos[#All],5,0),"")</f>
        <v/>
      </c>
      <c r="F1728" t="str">
        <f>+IFERROR(VLOOKUP(Fact_Impuestos[[#This Row], 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ht="18.75" customHeight="1" x14ac:dyDescent="0.35">
      <c r="C1729" s="100" t="str">
        <f>IF(OR(Fact_Impuestos[[#This Row], [Año]]="",Fact_Impuestos[[#This Row], [Mes]]=""),"",DATE(A1729,MATCH(B1729,{"enero","febrero","marzo","abril","mayo","junio","julio","agosto","septiembre","octubre","noviembre","diciembre"},0)+1,0))</f>
        <v/>
      </c>
      <c r="E1729" t="str">
        <f>+IFERROR(VLOOKUP(Fact_Impuestos[[#This Row], [Concepto Anterior]],Conceptos_Impuestos[#All],5,0),"")</f>
        <v/>
      </c>
      <c r="F1729" t="str">
        <f>+IFERROR(VLOOKUP(Fact_Impuestos[[#This Row], 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ht="18.75" customHeight="1" x14ac:dyDescent="0.35">
      <c r="C1730" s="100" t="str">
        <f>IF(OR(Fact_Impuestos[[#This Row], [Año]]="",Fact_Impuestos[[#This Row], [Mes]]=""),"",DATE(A1730,MATCH(B1730,{"enero","febrero","marzo","abril","mayo","junio","julio","agosto","septiembre","octubre","noviembre","diciembre"},0)+1,0))</f>
        <v/>
      </c>
      <c r="E1730" t="str">
        <f>+IFERROR(VLOOKUP(Fact_Impuestos[[#This Row], [Concepto Anterior]],Conceptos_Impuestos[#All],5,0),"")</f>
        <v/>
      </c>
      <c r="F1730" t="str">
        <f>+IFERROR(VLOOKUP(Fact_Impuestos[[#This Row], 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ht="18.75" customHeight="1" x14ac:dyDescent="0.35">
      <c r="C1731" s="100" t="str">
        <f>IF(OR(Fact_Impuestos[[#This Row], [Año]]="",Fact_Impuestos[[#This Row], [Mes]]=""),"",DATE(A1731,MATCH(B1731,{"enero","febrero","marzo","abril","mayo","junio","julio","agosto","septiembre","octubre","noviembre","diciembre"},0)+1,0))</f>
        <v/>
      </c>
      <c r="E1731" t="str">
        <f>+IFERROR(VLOOKUP(Fact_Impuestos[[#This Row], [Concepto Anterior]],Conceptos_Impuestos[#All],5,0),"")</f>
        <v/>
      </c>
      <c r="F1731" t="str">
        <f>+IFERROR(VLOOKUP(Fact_Impuestos[[#This Row], 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ht="18.75" customHeight="1" x14ac:dyDescent="0.35">
      <c r="C1732" s="100" t="str">
        <f>IF(OR(Fact_Impuestos[[#This Row], [Año]]="",Fact_Impuestos[[#This Row], [Mes]]=""),"",DATE(A1732,MATCH(B1732,{"enero","febrero","marzo","abril","mayo","junio","julio","agosto","septiembre","octubre","noviembre","diciembre"},0)+1,0))</f>
        <v/>
      </c>
      <c r="E1732" t="str">
        <f>+IFERROR(VLOOKUP(Fact_Impuestos[[#This Row], [Concepto Anterior]],Conceptos_Impuestos[#All],5,0),"")</f>
        <v/>
      </c>
      <c r="F1732" t="str">
        <f>+IFERROR(VLOOKUP(Fact_Impuestos[[#This Row], 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ht="18.75" customHeight="1" x14ac:dyDescent="0.35">
      <c r="C1733" s="100" t="str">
        <f>IF(OR(Fact_Impuestos[[#This Row], [Año]]="",Fact_Impuestos[[#This Row], [Mes]]=""),"",DATE(A1733,MATCH(B1733,{"enero","febrero","marzo","abril","mayo","junio","julio","agosto","septiembre","octubre","noviembre","diciembre"},0)+1,0))</f>
        <v/>
      </c>
      <c r="E1733" t="str">
        <f>+IFERROR(VLOOKUP(Fact_Impuestos[[#This Row], [Concepto Anterior]],Conceptos_Impuestos[#All],5,0),"")</f>
        <v/>
      </c>
      <c r="F1733" t="str">
        <f>+IFERROR(VLOOKUP(Fact_Impuestos[[#This Row], 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ht="18.75" customHeight="1" x14ac:dyDescent="0.35">
      <c r="C1734" s="100" t="str">
        <f>IF(OR(Fact_Impuestos[[#This Row], [Año]]="",Fact_Impuestos[[#This Row], [Mes]]=""),"",DATE(A1734,MATCH(B1734,{"enero","febrero","marzo","abril","mayo","junio","julio","agosto","septiembre","octubre","noviembre","diciembre"},0)+1,0))</f>
        <v/>
      </c>
      <c r="E1734" t="str">
        <f>+IFERROR(VLOOKUP(Fact_Impuestos[[#This Row], [Concepto Anterior]],Conceptos_Impuestos[#All],5,0),"")</f>
        <v/>
      </c>
      <c r="F1734" t="str">
        <f>+IFERROR(VLOOKUP(Fact_Impuestos[[#This Row], 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ht="18.75" customHeight="1" x14ac:dyDescent="0.35">
      <c r="C1735" s="100" t="str">
        <f>IF(OR(Fact_Impuestos[[#This Row], [Año]]="",Fact_Impuestos[[#This Row], [Mes]]=""),"",DATE(A1735,MATCH(B1735,{"enero","febrero","marzo","abril","mayo","junio","julio","agosto","septiembre","octubre","noviembre","diciembre"},0)+1,0))</f>
        <v/>
      </c>
      <c r="E1735" t="str">
        <f>+IFERROR(VLOOKUP(Fact_Impuestos[[#This Row], [Concepto Anterior]],Conceptos_Impuestos[#All],5,0),"")</f>
        <v/>
      </c>
      <c r="F1735" t="str">
        <f>+IFERROR(VLOOKUP(Fact_Impuestos[[#This Row], 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ht="18.75" customHeight="1" x14ac:dyDescent="0.35">
      <c r="C1736" s="100" t="str">
        <f>IF(OR(Fact_Impuestos[[#This Row], [Año]]="",Fact_Impuestos[[#This Row], [Mes]]=""),"",DATE(A1736,MATCH(B1736,{"enero","febrero","marzo","abril","mayo","junio","julio","agosto","septiembre","octubre","noviembre","diciembre"},0)+1,0))</f>
        <v/>
      </c>
      <c r="E1736" t="str">
        <f>+IFERROR(VLOOKUP(Fact_Impuestos[[#This Row], [Concepto Anterior]],Conceptos_Impuestos[#All],5,0),"")</f>
        <v/>
      </c>
      <c r="F1736" t="str">
        <f>+IFERROR(VLOOKUP(Fact_Impuestos[[#This Row], 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ht="18.75" customHeight="1" x14ac:dyDescent="0.35">
      <c r="C1737" s="100" t="str">
        <f>IF(OR(Fact_Impuestos[[#This Row], [Año]]="",Fact_Impuestos[[#This Row], [Mes]]=""),"",DATE(A1737,MATCH(B1737,{"enero","febrero","marzo","abril","mayo","junio","julio","agosto","septiembre","octubre","noviembre","diciembre"},0)+1,0))</f>
        <v/>
      </c>
      <c r="E1737" t="str">
        <f>+IFERROR(VLOOKUP(Fact_Impuestos[[#This Row], [Concepto Anterior]],Conceptos_Impuestos[#All],5,0),"")</f>
        <v/>
      </c>
      <c r="F1737" t="str">
        <f>+IFERROR(VLOOKUP(Fact_Impuestos[[#This Row], 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ht="18.75" customHeight="1" x14ac:dyDescent="0.35">
      <c r="C1738" s="100" t="str">
        <f>IF(OR(Fact_Impuestos[[#This Row], [Año]]="",Fact_Impuestos[[#This Row], [Mes]]=""),"",DATE(A1738,MATCH(B1738,{"enero","febrero","marzo","abril","mayo","junio","julio","agosto","septiembre","octubre","noviembre","diciembre"},0)+1,0))</f>
        <v/>
      </c>
      <c r="E1738" t="str">
        <f>+IFERROR(VLOOKUP(Fact_Impuestos[[#This Row], [Concepto Anterior]],Conceptos_Impuestos[#All],5,0),"")</f>
        <v/>
      </c>
      <c r="F1738" t="str">
        <f>+IFERROR(VLOOKUP(Fact_Impuestos[[#This Row], 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ht="18.75" customHeight="1" x14ac:dyDescent="0.35">
      <c r="C1739" s="100" t="str">
        <f>IF(OR(Fact_Impuestos[[#This Row], [Año]]="",Fact_Impuestos[[#This Row], [Mes]]=""),"",DATE(A1739,MATCH(B1739,{"enero","febrero","marzo","abril","mayo","junio","julio","agosto","septiembre","octubre","noviembre","diciembre"},0)+1,0))</f>
        <v/>
      </c>
      <c r="E1739" t="str">
        <f>+IFERROR(VLOOKUP(Fact_Impuestos[[#This Row], [Concepto Anterior]],Conceptos_Impuestos[#All],5,0),"")</f>
        <v/>
      </c>
      <c r="F1739" t="str">
        <f>+IFERROR(VLOOKUP(Fact_Impuestos[[#This Row], 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ht="18.75" customHeight="1" x14ac:dyDescent="0.35">
      <c r="C1740" s="100" t="str">
        <f>IF(OR(Fact_Impuestos[[#This Row], [Año]]="",Fact_Impuestos[[#This Row], [Mes]]=""),"",DATE(A1740,MATCH(B1740,{"enero","febrero","marzo","abril","mayo","junio","julio","agosto","septiembre","octubre","noviembre","diciembre"},0)+1,0))</f>
        <v/>
      </c>
      <c r="E1740" t="str">
        <f>+IFERROR(VLOOKUP(Fact_Impuestos[[#This Row], [Concepto Anterior]],Conceptos_Impuestos[#All],5,0),"")</f>
        <v/>
      </c>
      <c r="F1740" t="str">
        <f>+IFERROR(VLOOKUP(Fact_Impuestos[[#This Row], 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ht="18.75" customHeight="1" x14ac:dyDescent="0.35">
      <c r="C1741" s="100" t="str">
        <f>IF(OR(Fact_Impuestos[[#This Row], [Año]]="",Fact_Impuestos[[#This Row], [Mes]]=""),"",DATE(A1741,MATCH(B1741,{"enero","febrero","marzo","abril","mayo","junio","julio","agosto","septiembre","octubre","noviembre","diciembre"},0)+1,0))</f>
        <v/>
      </c>
      <c r="E1741" t="str">
        <f>+IFERROR(VLOOKUP(Fact_Impuestos[[#This Row], [Concepto Anterior]],Conceptos_Impuestos[#All],5,0),"")</f>
        <v/>
      </c>
      <c r="F1741" t="str">
        <f>+IFERROR(VLOOKUP(Fact_Impuestos[[#This Row], 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ht="18.75" customHeight="1" x14ac:dyDescent="0.35">
      <c r="C1742" s="100" t="str">
        <f>IF(OR(Fact_Impuestos[[#This Row], [Año]]="",Fact_Impuestos[[#This Row], [Mes]]=""),"",DATE(A1742,MATCH(B1742,{"enero","febrero","marzo","abril","mayo","junio","julio","agosto","septiembre","octubre","noviembre","diciembre"},0)+1,0))</f>
        <v/>
      </c>
      <c r="E1742" t="str">
        <f>+IFERROR(VLOOKUP(Fact_Impuestos[[#This Row], [Concepto Anterior]],Conceptos_Impuestos[#All],5,0),"")</f>
        <v/>
      </c>
      <c r="F1742" t="str">
        <f>+IFERROR(VLOOKUP(Fact_Impuestos[[#This Row], 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ht="18.75" customHeight="1" x14ac:dyDescent="0.35">
      <c r="C1743" s="100" t="str">
        <f>IF(OR(Fact_Impuestos[[#This Row], [Año]]="",Fact_Impuestos[[#This Row], [Mes]]=""),"",DATE(A1743,MATCH(B1743,{"enero","febrero","marzo","abril","mayo","junio","julio","agosto","septiembre","octubre","noviembre","diciembre"},0)+1,0))</f>
        <v/>
      </c>
      <c r="E1743" t="str">
        <f>+IFERROR(VLOOKUP(Fact_Impuestos[[#This Row], [Concepto Anterior]],Conceptos_Impuestos[#All],5,0),"")</f>
        <v/>
      </c>
      <c r="F1743" t="str">
        <f>+IFERROR(VLOOKUP(Fact_Impuestos[[#This Row], 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ht="18.75" customHeight="1" x14ac:dyDescent="0.35">
      <c r="C1744" s="100" t="str">
        <f>IF(OR(Fact_Impuestos[[#This Row], [Año]]="",Fact_Impuestos[[#This Row], [Mes]]=""),"",DATE(A1744,MATCH(B1744,{"enero","febrero","marzo","abril","mayo","junio","julio","agosto","septiembre","octubre","noviembre","diciembre"},0)+1,0))</f>
        <v/>
      </c>
      <c r="E1744" t="str">
        <f>+IFERROR(VLOOKUP(Fact_Impuestos[[#This Row], [Concepto Anterior]],Conceptos_Impuestos[#All],5,0),"")</f>
        <v/>
      </c>
      <c r="F1744" t="str">
        <f>+IFERROR(VLOOKUP(Fact_Impuestos[[#This Row], 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ht="18.75" customHeight="1" x14ac:dyDescent="0.35">
      <c r="C1745" s="100" t="str">
        <f>IF(OR(Fact_Impuestos[[#This Row], [Año]]="",Fact_Impuestos[[#This Row], [Mes]]=""),"",DATE(A1745,MATCH(B1745,{"enero","febrero","marzo","abril","mayo","junio","julio","agosto","septiembre","octubre","noviembre","diciembre"},0)+1,0))</f>
        <v/>
      </c>
      <c r="E1745" t="str">
        <f>+IFERROR(VLOOKUP(Fact_Impuestos[[#This Row], [Concepto Anterior]],Conceptos_Impuestos[#All],5,0),"")</f>
        <v/>
      </c>
      <c r="F1745" t="str">
        <f>+IFERROR(VLOOKUP(Fact_Impuestos[[#This Row], 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ht="18.75" customHeight="1" x14ac:dyDescent="0.35">
      <c r="C1746" s="100" t="str">
        <f>IF(OR(Fact_Impuestos[[#This Row], [Año]]="",Fact_Impuestos[[#This Row], [Mes]]=""),"",DATE(A1746,MATCH(B1746,{"enero","febrero","marzo","abril","mayo","junio","julio","agosto","septiembre","octubre","noviembre","diciembre"},0)+1,0))</f>
        <v/>
      </c>
      <c r="E1746" t="str">
        <f>+IFERROR(VLOOKUP(Fact_Impuestos[[#This Row], [Concepto Anterior]],Conceptos_Impuestos[#All],5,0),"")</f>
        <v/>
      </c>
      <c r="F1746" t="str">
        <f>+IFERROR(VLOOKUP(Fact_Impuestos[[#This Row], 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ht="18.75" customHeight="1" x14ac:dyDescent="0.35">
      <c r="C1747" s="100" t="str">
        <f>IF(OR(Fact_Impuestos[[#This Row], [Año]]="",Fact_Impuestos[[#This Row], [Mes]]=""),"",DATE(A1747,MATCH(B1747,{"enero","febrero","marzo","abril","mayo","junio","julio","agosto","septiembre","octubre","noviembre","diciembre"},0)+1,0))</f>
        <v/>
      </c>
      <c r="E1747" t="str">
        <f>+IFERROR(VLOOKUP(Fact_Impuestos[[#This Row], [Concepto Anterior]],Conceptos_Impuestos[#All],5,0),"")</f>
        <v/>
      </c>
      <c r="F1747" t="str">
        <f>+IFERROR(VLOOKUP(Fact_Impuestos[[#This Row], 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ht="18.75" customHeight="1" x14ac:dyDescent="0.35">
      <c r="C1748" s="100" t="str">
        <f>IF(OR(Fact_Impuestos[[#This Row], [Año]]="",Fact_Impuestos[[#This Row], [Mes]]=""),"",DATE(A1748,MATCH(B1748,{"enero","febrero","marzo","abril","mayo","junio","julio","agosto","septiembre","octubre","noviembre","diciembre"},0)+1,0))</f>
        <v/>
      </c>
      <c r="E1748" t="str">
        <f>+IFERROR(VLOOKUP(Fact_Impuestos[[#This Row], [Concepto Anterior]],Conceptos_Impuestos[#All],5,0),"")</f>
        <v/>
      </c>
      <c r="F1748" t="str">
        <f>+IFERROR(VLOOKUP(Fact_Impuestos[[#This Row], 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ht="18.75" customHeight="1" x14ac:dyDescent="0.35">
      <c r="C1749" s="100" t="str">
        <f>IF(OR(Fact_Impuestos[[#This Row], [Año]]="",Fact_Impuestos[[#This Row], [Mes]]=""),"",DATE(A1749,MATCH(B1749,{"enero","febrero","marzo","abril","mayo","junio","julio","agosto","septiembre","octubre","noviembre","diciembre"},0)+1,0))</f>
        <v/>
      </c>
      <c r="E1749" t="str">
        <f>+IFERROR(VLOOKUP(Fact_Impuestos[[#This Row], [Concepto Anterior]],Conceptos_Impuestos[#All],5,0),"")</f>
        <v/>
      </c>
      <c r="F1749" t="str">
        <f>+IFERROR(VLOOKUP(Fact_Impuestos[[#This Row], 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ht="18.75" customHeight="1" x14ac:dyDescent="0.35">
      <c r="C1750" s="100" t="str">
        <f>IF(OR(Fact_Impuestos[[#This Row], [Año]]="",Fact_Impuestos[[#This Row], [Mes]]=""),"",DATE(A1750,MATCH(B1750,{"enero","febrero","marzo","abril","mayo","junio","julio","agosto","septiembre","octubre","noviembre","diciembre"},0)+1,0))</f>
        <v/>
      </c>
      <c r="E1750" t="str">
        <f>+IFERROR(VLOOKUP(Fact_Impuestos[[#This Row], [Concepto Anterior]],Conceptos_Impuestos[#All],5,0),"")</f>
        <v/>
      </c>
      <c r="F1750" t="str">
        <f>+IFERROR(VLOOKUP(Fact_Impuestos[[#This Row], 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ht="18.75" customHeight="1" x14ac:dyDescent="0.35">
      <c r="C1751" s="100" t="str">
        <f>IF(OR(Fact_Impuestos[[#This Row], [Año]]="",Fact_Impuestos[[#This Row], [Mes]]=""),"",DATE(A1751,MATCH(B1751,{"enero","febrero","marzo","abril","mayo","junio","julio","agosto","septiembre","octubre","noviembre","diciembre"},0)+1,0))</f>
        <v/>
      </c>
      <c r="E1751" t="str">
        <f>+IFERROR(VLOOKUP(Fact_Impuestos[[#This Row], [Concepto Anterior]],Conceptos_Impuestos[#All],5,0),"")</f>
        <v/>
      </c>
      <c r="F1751" t="str">
        <f>+IFERROR(VLOOKUP(Fact_Impuestos[[#This Row], 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ht="18.75" customHeight="1" x14ac:dyDescent="0.35">
      <c r="C1752" s="100" t="str">
        <f>IF(OR(Fact_Impuestos[[#This Row], [Año]]="",Fact_Impuestos[[#This Row], [Mes]]=""),"",DATE(A1752,MATCH(B1752,{"enero","febrero","marzo","abril","mayo","junio","julio","agosto","septiembre","octubre","noviembre","diciembre"},0)+1,0))</f>
        <v/>
      </c>
      <c r="E1752" t="str">
        <f>+IFERROR(VLOOKUP(Fact_Impuestos[[#This Row], [Concepto Anterior]],Conceptos_Impuestos[#All],5,0),"")</f>
        <v/>
      </c>
      <c r="F1752" t="str">
        <f>+IFERROR(VLOOKUP(Fact_Impuestos[[#This Row], 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ht="18.75" customHeight="1" x14ac:dyDescent="0.35">
      <c r="C1753" s="100" t="str">
        <f>IF(OR(Fact_Impuestos[[#This Row], [Año]]="",Fact_Impuestos[[#This Row], [Mes]]=""),"",DATE(A1753,MATCH(B1753,{"enero","febrero","marzo","abril","mayo","junio","julio","agosto","septiembre","octubre","noviembre","diciembre"},0)+1,0))</f>
        <v/>
      </c>
      <c r="E1753" t="str">
        <f>+IFERROR(VLOOKUP(Fact_Impuestos[[#This Row], [Concepto Anterior]],Conceptos_Impuestos[#All],5,0),"")</f>
        <v/>
      </c>
      <c r="F1753" t="str">
        <f>+IFERROR(VLOOKUP(Fact_Impuestos[[#This Row], 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ht="18.75" customHeight="1" x14ac:dyDescent="0.35">
      <c r="C1754" s="100" t="str">
        <f>IF(OR(Fact_Impuestos[[#This Row], [Año]]="",Fact_Impuestos[[#This Row], [Mes]]=""),"",DATE(A1754,MATCH(B1754,{"enero","febrero","marzo","abril","mayo","junio","julio","agosto","septiembre","octubre","noviembre","diciembre"},0)+1,0))</f>
        <v/>
      </c>
      <c r="E1754" t="str">
        <f>+IFERROR(VLOOKUP(Fact_Impuestos[[#This Row], [Concepto Anterior]],Conceptos_Impuestos[#All],5,0),"")</f>
        <v/>
      </c>
      <c r="F1754" t="str">
        <f>+IFERROR(VLOOKUP(Fact_Impuestos[[#This Row], 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ht="18.75" customHeight="1" x14ac:dyDescent="0.35">
      <c r="C1755" s="100" t="str">
        <f>IF(OR(Fact_Impuestos[[#This Row], [Año]]="",Fact_Impuestos[[#This Row], [Mes]]=""),"",DATE(A1755,MATCH(B1755,{"enero","febrero","marzo","abril","mayo","junio","julio","agosto","septiembre","octubre","noviembre","diciembre"},0)+1,0))</f>
        <v/>
      </c>
      <c r="E1755" t="str">
        <f>+IFERROR(VLOOKUP(Fact_Impuestos[[#This Row], [Concepto Anterior]],Conceptos_Impuestos[#All],5,0),"")</f>
        <v/>
      </c>
      <c r="F1755" t="str">
        <f>+IFERROR(VLOOKUP(Fact_Impuestos[[#This Row], 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ht="18.75" customHeight="1" x14ac:dyDescent="0.35">
      <c r="C1756" s="100" t="str">
        <f>IF(OR(Fact_Impuestos[[#This Row], [Año]]="",Fact_Impuestos[[#This Row], [Mes]]=""),"",DATE(A1756,MATCH(B1756,{"enero","febrero","marzo","abril","mayo","junio","julio","agosto","septiembre","octubre","noviembre","diciembre"},0)+1,0))</f>
        <v/>
      </c>
      <c r="E1756" t="str">
        <f>+IFERROR(VLOOKUP(Fact_Impuestos[[#This Row], [Concepto Anterior]],Conceptos_Impuestos[#All],5,0),"")</f>
        <v/>
      </c>
      <c r="F1756" t="str">
        <f>+IFERROR(VLOOKUP(Fact_Impuestos[[#This Row], 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ht="18.75" customHeight="1" x14ac:dyDescent="0.35">
      <c r="C1757" s="100" t="str">
        <f>IF(OR(Fact_Impuestos[[#This Row], [Año]]="",Fact_Impuestos[[#This Row], [Mes]]=""),"",DATE(A1757,MATCH(B1757,{"enero","febrero","marzo","abril","mayo","junio","julio","agosto","septiembre","octubre","noviembre","diciembre"},0)+1,0))</f>
        <v/>
      </c>
      <c r="E1757" t="str">
        <f>+IFERROR(VLOOKUP(Fact_Impuestos[[#This Row], [Concepto Anterior]],Conceptos_Impuestos[#All],5,0),"")</f>
        <v/>
      </c>
      <c r="F1757" t="str">
        <f>+IFERROR(VLOOKUP(Fact_Impuestos[[#This Row], 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ht="18.75" customHeight="1" x14ac:dyDescent="0.35">
      <c r="C1758" s="100" t="str">
        <f>IF(OR(Fact_Impuestos[[#This Row], [Año]]="",Fact_Impuestos[[#This Row], [Mes]]=""),"",DATE(A1758,MATCH(B1758,{"enero","febrero","marzo","abril","mayo","junio","julio","agosto","septiembre","octubre","noviembre","diciembre"},0)+1,0))</f>
        <v/>
      </c>
      <c r="E1758" t="str">
        <f>+IFERROR(VLOOKUP(Fact_Impuestos[[#This Row], [Concepto Anterior]],Conceptos_Impuestos[#All],5,0),"")</f>
        <v/>
      </c>
      <c r="F1758" t="str">
        <f>+IFERROR(VLOOKUP(Fact_Impuestos[[#This Row], 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ht="18.75" customHeight="1" x14ac:dyDescent="0.35">
      <c r="C1759" s="100" t="str">
        <f>IF(OR(Fact_Impuestos[[#This Row], [Año]]="",Fact_Impuestos[[#This Row], [Mes]]=""),"",DATE(A1759,MATCH(B1759,{"enero","febrero","marzo","abril","mayo","junio","julio","agosto","septiembre","octubre","noviembre","diciembre"},0)+1,0))</f>
        <v/>
      </c>
      <c r="E1759" t="str">
        <f>+IFERROR(VLOOKUP(Fact_Impuestos[[#This Row], [Concepto Anterior]],Conceptos_Impuestos[#All],5,0),"")</f>
        <v/>
      </c>
      <c r="F1759" t="str">
        <f>+IFERROR(VLOOKUP(Fact_Impuestos[[#This Row], 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ht="18.75" customHeight="1" x14ac:dyDescent="0.35">
      <c r="C1760" s="100" t="str">
        <f>IF(OR(Fact_Impuestos[[#This Row], [Año]]="",Fact_Impuestos[[#This Row], [Mes]]=""),"",DATE(A1760,MATCH(B1760,{"enero","febrero","marzo","abril","mayo","junio","julio","agosto","septiembre","octubre","noviembre","diciembre"},0)+1,0))</f>
        <v/>
      </c>
      <c r="E1760" t="str">
        <f>+IFERROR(VLOOKUP(Fact_Impuestos[[#This Row], [Concepto Anterior]],Conceptos_Impuestos[#All],5,0),"")</f>
        <v/>
      </c>
      <c r="F1760" t="str">
        <f>+IFERROR(VLOOKUP(Fact_Impuestos[[#This Row], 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ht="18.75" customHeight="1" x14ac:dyDescent="0.35">
      <c r="C1761" s="100" t="str">
        <f>IF(OR(Fact_Impuestos[[#This Row], [Año]]="",Fact_Impuestos[[#This Row], [Mes]]=""),"",DATE(A1761,MATCH(B1761,{"enero","febrero","marzo","abril","mayo","junio","julio","agosto","septiembre","octubre","noviembre","diciembre"},0)+1,0))</f>
        <v/>
      </c>
      <c r="E1761" t="str">
        <f>+IFERROR(VLOOKUP(Fact_Impuestos[[#This Row], [Concepto Anterior]],Conceptos_Impuestos[#All],5,0),"")</f>
        <v/>
      </c>
      <c r="F1761" t="str">
        <f>+IFERROR(VLOOKUP(Fact_Impuestos[[#This Row], 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ht="18.75" customHeight="1" x14ac:dyDescent="0.35">
      <c r="C1762" s="100" t="str">
        <f>IF(OR(Fact_Impuestos[[#This Row], [Año]]="",Fact_Impuestos[[#This Row], [Mes]]=""),"",DATE(A1762,MATCH(B1762,{"enero","febrero","marzo","abril","mayo","junio","julio","agosto","septiembre","octubre","noviembre","diciembre"},0)+1,0))</f>
        <v/>
      </c>
      <c r="E1762" t="str">
        <f>+IFERROR(VLOOKUP(Fact_Impuestos[[#This Row], [Concepto Anterior]],Conceptos_Impuestos[#All],5,0),"")</f>
        <v/>
      </c>
      <c r="F1762" t="str">
        <f>+IFERROR(VLOOKUP(Fact_Impuestos[[#This Row], 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ht="18.75" customHeight="1" x14ac:dyDescent="0.35">
      <c r="C1763" s="100" t="str">
        <f>IF(OR(Fact_Impuestos[[#This Row], [Año]]="",Fact_Impuestos[[#This Row], [Mes]]=""),"",DATE(A1763,MATCH(B1763,{"enero","febrero","marzo","abril","mayo","junio","julio","agosto","septiembre","octubre","noviembre","diciembre"},0)+1,0))</f>
        <v/>
      </c>
      <c r="E1763" t="str">
        <f>+IFERROR(VLOOKUP(Fact_Impuestos[[#This Row], [Concepto Anterior]],Conceptos_Impuestos[#All],5,0),"")</f>
        <v/>
      </c>
      <c r="F1763" t="str">
        <f>+IFERROR(VLOOKUP(Fact_Impuestos[[#This Row], 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ht="18.75" customHeight="1" x14ac:dyDescent="0.35">
      <c r="C1764" s="100" t="str">
        <f>IF(OR(Fact_Impuestos[[#This Row], [Año]]="",Fact_Impuestos[[#This Row], [Mes]]=""),"",DATE(A1764,MATCH(B1764,{"enero","febrero","marzo","abril","mayo","junio","julio","agosto","septiembre","octubre","noviembre","diciembre"},0)+1,0))</f>
        <v/>
      </c>
      <c r="E1764" t="str">
        <f>+IFERROR(VLOOKUP(Fact_Impuestos[[#This Row], [Concepto Anterior]],Conceptos_Impuestos[#All],5,0),"")</f>
        <v/>
      </c>
      <c r="F1764" t="str">
        <f>+IFERROR(VLOOKUP(Fact_Impuestos[[#This Row], 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ht="18.75" customHeight="1" x14ac:dyDescent="0.35">
      <c r="C1765" s="100" t="str">
        <f>IF(OR(Fact_Impuestos[[#This Row], [Año]]="",Fact_Impuestos[[#This Row], [Mes]]=""),"",DATE(A1765,MATCH(B1765,{"enero","febrero","marzo","abril","mayo","junio","julio","agosto","septiembre","octubre","noviembre","diciembre"},0)+1,0))</f>
        <v/>
      </c>
      <c r="E1765" t="str">
        <f>+IFERROR(VLOOKUP(Fact_Impuestos[[#This Row], [Concepto Anterior]],Conceptos_Impuestos[#All],5,0),"")</f>
        <v/>
      </c>
      <c r="F1765" t="str">
        <f>+IFERROR(VLOOKUP(Fact_Impuestos[[#This Row], 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ht="18.75" customHeight="1" x14ac:dyDescent="0.35">
      <c r="C1766" s="100" t="str">
        <f>IF(OR(Fact_Impuestos[[#This Row], [Año]]="",Fact_Impuestos[[#This Row], [Mes]]=""),"",DATE(A1766,MATCH(B1766,{"enero","febrero","marzo","abril","mayo","junio","julio","agosto","septiembre","octubre","noviembre","diciembre"},0)+1,0))</f>
        <v/>
      </c>
      <c r="E1766" t="str">
        <f>+IFERROR(VLOOKUP(Fact_Impuestos[[#This Row], [Concepto Anterior]],Conceptos_Impuestos[#All],5,0),"")</f>
        <v/>
      </c>
      <c r="F1766" t="str">
        <f>+IFERROR(VLOOKUP(Fact_Impuestos[[#This Row], 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ht="18.75" customHeight="1" x14ac:dyDescent="0.35">
      <c r="C1767" s="100" t="str">
        <f>IF(OR(Fact_Impuestos[[#This Row], [Año]]="",Fact_Impuestos[[#This Row], [Mes]]=""),"",DATE(A1767,MATCH(B1767,{"enero","febrero","marzo","abril","mayo","junio","julio","agosto","septiembre","octubre","noviembre","diciembre"},0)+1,0))</f>
        <v/>
      </c>
      <c r="E1767" t="str">
        <f>+IFERROR(VLOOKUP(Fact_Impuestos[[#This Row], [Concepto Anterior]],Conceptos_Impuestos[#All],5,0),"")</f>
        <v/>
      </c>
      <c r="F1767" t="str">
        <f>+IFERROR(VLOOKUP(Fact_Impuestos[[#This Row], 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ht="18.75" customHeight="1" x14ac:dyDescent="0.35">
      <c r="C1768" s="100" t="str">
        <f>IF(OR(Fact_Impuestos[[#This Row], [Año]]="",Fact_Impuestos[[#This Row], [Mes]]=""),"",DATE(A1768,MATCH(B1768,{"enero","febrero","marzo","abril","mayo","junio","julio","agosto","septiembre","octubre","noviembre","diciembre"},0)+1,0))</f>
        <v/>
      </c>
      <c r="E1768" t="str">
        <f>+IFERROR(VLOOKUP(Fact_Impuestos[[#This Row], [Concepto Anterior]],Conceptos_Impuestos[#All],5,0),"")</f>
        <v/>
      </c>
      <c r="F1768" t="str">
        <f>+IFERROR(VLOOKUP(Fact_Impuestos[[#This Row], 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ht="18.75" customHeight="1" x14ac:dyDescent="0.35">
      <c r="C1769" s="100" t="str">
        <f>IF(OR(Fact_Impuestos[[#This Row], [Año]]="",Fact_Impuestos[[#This Row], [Mes]]=""),"",DATE(A1769,MATCH(B1769,{"enero","febrero","marzo","abril","mayo","junio","julio","agosto","septiembre","octubre","noviembre","diciembre"},0)+1,0))</f>
        <v/>
      </c>
      <c r="E1769" t="str">
        <f>+IFERROR(VLOOKUP(Fact_Impuestos[[#This Row], [Concepto Anterior]],Conceptos_Impuestos[#All],5,0),"")</f>
        <v/>
      </c>
      <c r="F1769" t="str">
        <f>+IFERROR(VLOOKUP(Fact_Impuestos[[#This Row], 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ht="18.75" customHeight="1" x14ac:dyDescent="0.35">
      <c r="C1770" s="100" t="str">
        <f>IF(OR(Fact_Impuestos[[#This Row], [Año]]="",Fact_Impuestos[[#This Row], [Mes]]=""),"",DATE(A1770,MATCH(B1770,{"enero","febrero","marzo","abril","mayo","junio","julio","agosto","septiembre","octubre","noviembre","diciembre"},0)+1,0))</f>
        <v/>
      </c>
      <c r="E1770" t="str">
        <f>+IFERROR(VLOOKUP(Fact_Impuestos[[#This Row], [Concepto Anterior]],Conceptos_Impuestos[#All],5,0),"")</f>
        <v/>
      </c>
      <c r="F1770" t="str">
        <f>+IFERROR(VLOOKUP(Fact_Impuestos[[#This Row], 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ht="18.75" customHeight="1" x14ac:dyDescent="0.35">
      <c r="C1771" s="100" t="str">
        <f>IF(OR(Fact_Impuestos[[#This Row], [Año]]="",Fact_Impuestos[[#This Row], [Mes]]=""),"",DATE(A1771,MATCH(B1771,{"enero","febrero","marzo","abril","mayo","junio","julio","agosto","septiembre","octubre","noviembre","diciembre"},0)+1,0))</f>
        <v/>
      </c>
      <c r="E1771" t="str">
        <f>+IFERROR(VLOOKUP(Fact_Impuestos[[#This Row], [Concepto Anterior]],Conceptos_Impuestos[#All],5,0),"")</f>
        <v/>
      </c>
      <c r="F1771" t="str">
        <f>+IFERROR(VLOOKUP(Fact_Impuestos[[#This Row], 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ht="18.75" customHeight="1" x14ac:dyDescent="0.35">
      <c r="C1772" s="100" t="str">
        <f>IF(OR(Fact_Impuestos[[#This Row], [Año]]="",Fact_Impuestos[[#This Row], [Mes]]=""),"",DATE(A1772,MATCH(B1772,{"enero","febrero","marzo","abril","mayo","junio","julio","agosto","septiembre","octubre","noviembre","diciembre"},0)+1,0))</f>
        <v/>
      </c>
      <c r="E1772" t="str">
        <f>+IFERROR(VLOOKUP(Fact_Impuestos[[#This Row], [Concepto Anterior]],Conceptos_Impuestos[#All],5,0),"")</f>
        <v/>
      </c>
      <c r="F1772" t="str">
        <f>+IFERROR(VLOOKUP(Fact_Impuestos[[#This Row], 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ht="18.75" customHeight="1" x14ac:dyDescent="0.35">
      <c r="C1773" s="100" t="str">
        <f>IF(OR(Fact_Impuestos[[#This Row], [Año]]="",Fact_Impuestos[[#This Row], [Mes]]=""),"",DATE(A1773,MATCH(B1773,{"enero","febrero","marzo","abril","mayo","junio","julio","agosto","septiembre","octubre","noviembre","diciembre"},0)+1,0))</f>
        <v/>
      </c>
      <c r="E1773" t="str">
        <f>+IFERROR(VLOOKUP(Fact_Impuestos[[#This Row], [Concepto Anterior]],Conceptos_Impuestos[#All],5,0),"")</f>
        <v/>
      </c>
      <c r="F1773" t="str">
        <f>+IFERROR(VLOOKUP(Fact_Impuestos[[#This Row], 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ht="18.75" customHeight="1" x14ac:dyDescent="0.35">
      <c r="C1774" s="100" t="str">
        <f>IF(OR(Fact_Impuestos[[#This Row], [Año]]="",Fact_Impuestos[[#This Row], [Mes]]=""),"",DATE(A1774,MATCH(B1774,{"enero","febrero","marzo","abril","mayo","junio","julio","agosto","septiembre","octubre","noviembre","diciembre"},0)+1,0))</f>
        <v/>
      </c>
      <c r="E1774" t="str">
        <f>+IFERROR(VLOOKUP(Fact_Impuestos[[#This Row], [Concepto Anterior]],Conceptos_Impuestos[#All],5,0),"")</f>
        <v/>
      </c>
      <c r="F1774" t="str">
        <f>+IFERROR(VLOOKUP(Fact_Impuestos[[#This Row], 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ht="18.75" customHeight="1" x14ac:dyDescent="0.35">
      <c r="C1775" s="100" t="str">
        <f>IF(OR(Fact_Impuestos[[#This Row], [Año]]="",Fact_Impuestos[[#This Row], [Mes]]=""),"",DATE(A1775,MATCH(B1775,{"enero","febrero","marzo","abril","mayo","junio","julio","agosto","septiembre","octubre","noviembre","diciembre"},0)+1,0))</f>
        <v/>
      </c>
      <c r="E1775" t="str">
        <f>+IFERROR(VLOOKUP(Fact_Impuestos[[#This Row], [Concepto Anterior]],Conceptos_Impuestos[#All],5,0),"")</f>
        <v/>
      </c>
      <c r="F1775" t="str">
        <f>+IFERROR(VLOOKUP(Fact_Impuestos[[#This Row], 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ht="18.75" customHeight="1" x14ac:dyDescent="0.35">
      <c r="C1776" s="100" t="str">
        <f>IF(OR(Fact_Impuestos[[#This Row], [Año]]="",Fact_Impuestos[[#This Row], [Mes]]=""),"",DATE(A1776,MATCH(B1776,{"enero","febrero","marzo","abril","mayo","junio","julio","agosto","septiembre","octubre","noviembre","diciembre"},0)+1,0))</f>
        <v/>
      </c>
      <c r="E1776" t="str">
        <f>+IFERROR(VLOOKUP(Fact_Impuestos[[#This Row], [Concepto Anterior]],Conceptos_Impuestos[#All],5,0),"")</f>
        <v/>
      </c>
      <c r="F1776" t="str">
        <f>+IFERROR(VLOOKUP(Fact_Impuestos[[#This Row], 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ht="18.75" customHeight="1" x14ac:dyDescent="0.35">
      <c r="C1777" s="100" t="str">
        <f>IF(OR(Fact_Impuestos[[#This Row], [Año]]="",Fact_Impuestos[[#This Row], [Mes]]=""),"",DATE(A1777,MATCH(B1777,{"enero","febrero","marzo","abril","mayo","junio","julio","agosto","septiembre","octubre","noviembre","diciembre"},0)+1,0))</f>
        <v/>
      </c>
      <c r="E1777" t="str">
        <f>+IFERROR(VLOOKUP(Fact_Impuestos[[#This Row], [Concepto Anterior]],Conceptos_Impuestos[#All],5,0),"")</f>
        <v/>
      </c>
      <c r="F1777" t="str">
        <f>+IFERROR(VLOOKUP(Fact_Impuestos[[#This Row], 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ht="18.75" customHeight="1" x14ac:dyDescent="0.35">
      <c r="C1778" s="100" t="str">
        <f>IF(OR(Fact_Impuestos[[#This Row], [Año]]="",Fact_Impuestos[[#This Row], [Mes]]=""),"",DATE(A1778,MATCH(B1778,{"enero","febrero","marzo","abril","mayo","junio","julio","agosto","septiembre","octubre","noviembre","diciembre"},0)+1,0))</f>
        <v/>
      </c>
      <c r="E1778" t="str">
        <f>+IFERROR(VLOOKUP(Fact_Impuestos[[#This Row], [Concepto Anterior]],Conceptos_Impuestos[#All],5,0),"")</f>
        <v/>
      </c>
      <c r="F1778" t="str">
        <f>+IFERROR(VLOOKUP(Fact_Impuestos[[#This Row], 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ht="18.75" customHeight="1" x14ac:dyDescent="0.35">
      <c r="C1779" s="100" t="str">
        <f>IF(OR(Fact_Impuestos[[#This Row], [Año]]="",Fact_Impuestos[[#This Row], [Mes]]=""),"",DATE(A1779,MATCH(B1779,{"enero","febrero","marzo","abril","mayo","junio","julio","agosto","septiembre","octubre","noviembre","diciembre"},0)+1,0))</f>
        <v/>
      </c>
      <c r="E1779" t="str">
        <f>+IFERROR(VLOOKUP(Fact_Impuestos[[#This Row], [Concepto Anterior]],Conceptos_Impuestos[#All],5,0),"")</f>
        <v/>
      </c>
      <c r="F1779" t="str">
        <f>+IFERROR(VLOOKUP(Fact_Impuestos[[#This Row], 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ht="18.75" customHeight="1" x14ac:dyDescent="0.35">
      <c r="C1780" s="100" t="str">
        <f>IF(OR(Fact_Impuestos[[#This Row], [Año]]="",Fact_Impuestos[[#This Row], [Mes]]=""),"",DATE(A1780,MATCH(B1780,{"enero","febrero","marzo","abril","mayo","junio","julio","agosto","septiembre","octubre","noviembre","diciembre"},0)+1,0))</f>
        <v/>
      </c>
      <c r="E1780" t="str">
        <f>+IFERROR(VLOOKUP(Fact_Impuestos[[#This Row], [Concepto Anterior]],Conceptos_Impuestos[#All],5,0),"")</f>
        <v/>
      </c>
      <c r="F1780" t="str">
        <f>+IFERROR(VLOOKUP(Fact_Impuestos[[#This Row], 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ht="18.75" customHeight="1" x14ac:dyDescent="0.35">
      <c r="C1781" s="100" t="str">
        <f>IF(OR(Fact_Impuestos[[#This Row], [Año]]="",Fact_Impuestos[[#This Row], [Mes]]=""),"",DATE(A1781,MATCH(B1781,{"enero","febrero","marzo","abril","mayo","junio","julio","agosto","septiembre","octubre","noviembre","diciembre"},0)+1,0))</f>
        <v/>
      </c>
      <c r="E1781" t="str">
        <f>+IFERROR(VLOOKUP(Fact_Impuestos[[#This Row], [Concepto Anterior]],Conceptos_Impuestos[#All],5,0),"")</f>
        <v/>
      </c>
      <c r="F1781" t="str">
        <f>+IFERROR(VLOOKUP(Fact_Impuestos[[#This Row], 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ht="18.75" customHeight="1" x14ac:dyDescent="0.35">
      <c r="C1782" s="100" t="str">
        <f>IF(OR(Fact_Impuestos[[#This Row], [Año]]="",Fact_Impuestos[[#This Row], [Mes]]=""),"",DATE(A1782,MATCH(B1782,{"enero","febrero","marzo","abril","mayo","junio","julio","agosto","septiembre","octubre","noviembre","diciembre"},0)+1,0))</f>
        <v/>
      </c>
      <c r="E1782" t="str">
        <f>+IFERROR(VLOOKUP(Fact_Impuestos[[#This Row], [Concepto Anterior]],Conceptos_Impuestos[#All],5,0),"")</f>
        <v/>
      </c>
      <c r="F1782" t="str">
        <f>+IFERROR(VLOOKUP(Fact_Impuestos[[#This Row], 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ht="18.75" customHeight="1" x14ac:dyDescent="0.35">
      <c r="C1783" s="100" t="str">
        <f>IF(OR(Fact_Impuestos[[#This Row], [Año]]="",Fact_Impuestos[[#This Row], [Mes]]=""),"",DATE(A1783,MATCH(B1783,{"enero","febrero","marzo","abril","mayo","junio","julio","agosto","septiembre","octubre","noviembre","diciembre"},0)+1,0))</f>
        <v/>
      </c>
      <c r="E1783" t="str">
        <f>+IFERROR(VLOOKUP(Fact_Impuestos[[#This Row], [Concepto Anterior]],Conceptos_Impuestos[#All],5,0),"")</f>
        <v/>
      </c>
      <c r="F1783" t="str">
        <f>+IFERROR(VLOOKUP(Fact_Impuestos[[#This Row], 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ht="18.75" customHeight="1" x14ac:dyDescent="0.35">
      <c r="C1784" s="100" t="str">
        <f>IF(OR(Fact_Impuestos[[#This Row], [Año]]="",Fact_Impuestos[[#This Row], [Mes]]=""),"",DATE(A1784,MATCH(B1784,{"enero","febrero","marzo","abril","mayo","junio","julio","agosto","septiembre","octubre","noviembre","diciembre"},0)+1,0))</f>
        <v/>
      </c>
      <c r="E1784" t="str">
        <f>+IFERROR(VLOOKUP(Fact_Impuestos[[#This Row], [Concepto Anterior]],Conceptos_Impuestos[#All],5,0),"")</f>
        <v/>
      </c>
      <c r="F1784" t="str">
        <f>+IFERROR(VLOOKUP(Fact_Impuestos[[#This Row], 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ht="18.75" customHeight="1" x14ac:dyDescent="0.35">
      <c r="C1785" s="100" t="str">
        <f>IF(OR(Fact_Impuestos[[#This Row], [Año]]="",Fact_Impuestos[[#This Row], [Mes]]=""),"",DATE(A1785,MATCH(B1785,{"enero","febrero","marzo","abril","mayo","junio","julio","agosto","septiembre","octubre","noviembre","diciembre"},0)+1,0))</f>
        <v/>
      </c>
      <c r="E1785" t="str">
        <f>+IFERROR(VLOOKUP(Fact_Impuestos[[#This Row], [Concepto Anterior]],Conceptos_Impuestos[#All],5,0),"")</f>
        <v/>
      </c>
      <c r="F1785" t="str">
        <f>+IFERROR(VLOOKUP(Fact_Impuestos[[#This Row], 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ht="18.75" customHeight="1" x14ac:dyDescent="0.35">
      <c r="C1786" s="100" t="str">
        <f>IF(OR(Fact_Impuestos[[#This Row], [Año]]="",Fact_Impuestos[[#This Row], [Mes]]=""),"",DATE(A1786,MATCH(B1786,{"enero","febrero","marzo","abril","mayo","junio","julio","agosto","septiembre","octubre","noviembre","diciembre"},0)+1,0))</f>
        <v/>
      </c>
      <c r="E1786" t="str">
        <f>+IFERROR(VLOOKUP(Fact_Impuestos[[#This Row], [Concepto Anterior]],Conceptos_Impuestos[#All],5,0),"")</f>
        <v/>
      </c>
      <c r="F1786" t="str">
        <f>+IFERROR(VLOOKUP(Fact_Impuestos[[#This Row], 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ht="18.75" customHeight="1" x14ac:dyDescent="0.35">
      <c r="C1787" s="100" t="str">
        <f>IF(OR(Fact_Impuestos[[#This Row], [Año]]="",Fact_Impuestos[[#This Row], [Mes]]=""),"",DATE(A1787,MATCH(B1787,{"enero","febrero","marzo","abril","mayo","junio","julio","agosto","septiembre","octubre","noviembre","diciembre"},0)+1,0))</f>
        <v/>
      </c>
      <c r="E1787" t="str">
        <f>+IFERROR(VLOOKUP(Fact_Impuestos[[#This Row], [Concepto Anterior]],Conceptos_Impuestos[#All],5,0),"")</f>
        <v/>
      </c>
      <c r="F1787" t="str">
        <f>+IFERROR(VLOOKUP(Fact_Impuestos[[#This Row], 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ht="18.75" customHeight="1" x14ac:dyDescent="0.35">
      <c r="C1788" s="100" t="str">
        <f>IF(OR(Fact_Impuestos[[#This Row], [Año]]="",Fact_Impuestos[[#This Row], [Mes]]=""),"",DATE(A1788,MATCH(B1788,{"enero","febrero","marzo","abril","mayo","junio","julio","agosto","septiembre","octubre","noviembre","diciembre"},0)+1,0))</f>
        <v/>
      </c>
      <c r="E1788" t="str">
        <f>+IFERROR(VLOOKUP(Fact_Impuestos[[#This Row], [Concepto Anterior]],Conceptos_Impuestos[#All],5,0),"")</f>
        <v/>
      </c>
      <c r="F1788" t="str">
        <f>+IFERROR(VLOOKUP(Fact_Impuestos[[#This Row], 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ht="18.75" customHeight="1" x14ac:dyDescent="0.35">
      <c r="C1789" s="100" t="str">
        <f>IF(OR(Fact_Impuestos[[#This Row], [Año]]="",Fact_Impuestos[[#This Row], [Mes]]=""),"",DATE(A1789,MATCH(B1789,{"enero","febrero","marzo","abril","mayo","junio","julio","agosto","septiembre","octubre","noviembre","diciembre"},0)+1,0))</f>
        <v/>
      </c>
      <c r="E1789" t="str">
        <f>+IFERROR(VLOOKUP(Fact_Impuestos[[#This Row], [Concepto Anterior]],Conceptos_Impuestos[#All],5,0),"")</f>
        <v/>
      </c>
      <c r="F1789" t="str">
        <f>+IFERROR(VLOOKUP(Fact_Impuestos[[#This Row], 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ht="18.75" customHeight="1" x14ac:dyDescent="0.35">
      <c r="C1790" s="100" t="str">
        <f>IF(OR(Fact_Impuestos[[#This Row], [Año]]="",Fact_Impuestos[[#This Row], [Mes]]=""),"",DATE(A1790,MATCH(B1790,{"enero","febrero","marzo","abril","mayo","junio","julio","agosto","septiembre","octubre","noviembre","diciembre"},0)+1,0))</f>
        <v/>
      </c>
      <c r="E1790" t="str">
        <f>+IFERROR(VLOOKUP(Fact_Impuestos[[#This Row], [Concepto Anterior]],Conceptos_Impuestos[#All],5,0),"")</f>
        <v/>
      </c>
      <c r="F1790" t="str">
        <f>+IFERROR(VLOOKUP(Fact_Impuestos[[#This Row], 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ht="18.75" customHeight="1" x14ac:dyDescent="0.35">
      <c r="C1791" s="100" t="str">
        <f>IF(OR(Fact_Impuestos[[#This Row], [Año]]="",Fact_Impuestos[[#This Row], [Mes]]=""),"",DATE(A1791,MATCH(B1791,{"enero","febrero","marzo","abril","mayo","junio","julio","agosto","septiembre","octubre","noviembre","diciembre"},0)+1,0))</f>
        <v/>
      </c>
      <c r="E1791" t="str">
        <f>+IFERROR(VLOOKUP(Fact_Impuestos[[#This Row], [Concepto Anterior]],Conceptos_Impuestos[#All],5,0),"")</f>
        <v/>
      </c>
      <c r="F1791" t="str">
        <f>+IFERROR(VLOOKUP(Fact_Impuestos[[#This Row], 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ht="18.75" customHeight="1" x14ac:dyDescent="0.35">
      <c r="C1792" s="100" t="str">
        <f>IF(OR(Fact_Impuestos[[#This Row], [Año]]="",Fact_Impuestos[[#This Row], [Mes]]=""),"",DATE(A1792,MATCH(B1792,{"enero","febrero","marzo","abril","mayo","junio","julio","agosto","septiembre","octubre","noviembre","diciembre"},0)+1,0))</f>
        <v/>
      </c>
      <c r="E1792" t="str">
        <f>+IFERROR(VLOOKUP(Fact_Impuestos[[#This Row], [Concepto Anterior]],Conceptos_Impuestos[#All],5,0),"")</f>
        <v/>
      </c>
      <c r="F1792" t="str">
        <f>+IFERROR(VLOOKUP(Fact_Impuestos[[#This Row], 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ht="18.75" customHeight="1" x14ac:dyDescent="0.35">
      <c r="C1793" s="100" t="str">
        <f>IF(OR(Fact_Impuestos[[#This Row], [Año]]="",Fact_Impuestos[[#This Row], [Mes]]=""),"",DATE(A1793,MATCH(B1793,{"enero","febrero","marzo","abril","mayo","junio","julio","agosto","septiembre","octubre","noviembre","diciembre"},0)+1,0))</f>
        <v/>
      </c>
      <c r="E1793" t="str">
        <f>+IFERROR(VLOOKUP(Fact_Impuestos[[#This Row], [Concepto Anterior]],Conceptos_Impuestos[#All],5,0),"")</f>
        <v/>
      </c>
      <c r="F1793" t="str">
        <f>+IFERROR(VLOOKUP(Fact_Impuestos[[#This Row], 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ht="18.75" customHeight="1" x14ac:dyDescent="0.35">
      <c r="C1794" s="100" t="str">
        <f>IF(OR(Fact_Impuestos[[#This Row], [Año]]="",Fact_Impuestos[[#This Row], [Mes]]=""),"",DATE(A1794,MATCH(B1794,{"enero","febrero","marzo","abril","mayo","junio","julio","agosto","septiembre","octubre","noviembre","diciembre"},0)+1,0))</f>
        <v/>
      </c>
      <c r="E1794" t="str">
        <f>+IFERROR(VLOOKUP(Fact_Impuestos[[#This Row], [Concepto Anterior]],Conceptos_Impuestos[#All],5,0),"")</f>
        <v/>
      </c>
      <c r="F1794" t="str">
        <f>+IFERROR(VLOOKUP(Fact_Impuestos[[#This Row], 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ht="18.75" customHeight="1" x14ac:dyDescent="0.35">
      <c r="C1795" s="100" t="str">
        <f>IF(OR(Fact_Impuestos[[#This Row], [Año]]="",Fact_Impuestos[[#This Row], [Mes]]=""),"",DATE(A1795,MATCH(B1795,{"enero","febrero","marzo","abril","mayo","junio","julio","agosto","septiembre","octubre","noviembre","diciembre"},0)+1,0))</f>
        <v/>
      </c>
      <c r="E1795" t="str">
        <f>+IFERROR(VLOOKUP(Fact_Impuestos[[#This Row], [Concepto Anterior]],Conceptos_Impuestos[#All],5,0),"")</f>
        <v/>
      </c>
      <c r="F1795" t="str">
        <f>+IFERROR(VLOOKUP(Fact_Impuestos[[#This Row], 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ht="18.75" customHeight="1" x14ac:dyDescent="0.35">
      <c r="C1796" s="100" t="str">
        <f>IF(OR(Fact_Impuestos[[#This Row], [Año]]="",Fact_Impuestos[[#This Row], [Mes]]=""),"",DATE(A1796,MATCH(B1796,{"enero","febrero","marzo","abril","mayo","junio","julio","agosto","septiembre","octubre","noviembre","diciembre"},0)+1,0))</f>
        <v/>
      </c>
      <c r="E1796" t="str">
        <f>+IFERROR(VLOOKUP(Fact_Impuestos[[#This Row], [Concepto Anterior]],Conceptos_Impuestos[#All],5,0),"")</f>
        <v/>
      </c>
      <c r="F1796" t="str">
        <f>+IFERROR(VLOOKUP(Fact_Impuestos[[#This Row], 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ht="18.75" customHeight="1" x14ac:dyDescent="0.35">
      <c r="C1797" s="100" t="str">
        <f>IF(OR(Fact_Impuestos[[#This Row], [Año]]="",Fact_Impuestos[[#This Row], [Mes]]=""),"",DATE(A1797,MATCH(B1797,{"enero","febrero","marzo","abril","mayo","junio","julio","agosto","septiembre","octubre","noviembre","diciembre"},0)+1,0))</f>
        <v/>
      </c>
      <c r="E1797" t="str">
        <f>+IFERROR(VLOOKUP(Fact_Impuestos[[#This Row], [Concepto Anterior]],Conceptos_Impuestos[#All],5,0),"")</f>
        <v/>
      </c>
      <c r="F1797" t="str">
        <f>+IFERROR(VLOOKUP(Fact_Impuestos[[#This Row], 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ht="18.75" customHeight="1" x14ac:dyDescent="0.35">
      <c r="C1798" s="100" t="str">
        <f>IF(OR(Fact_Impuestos[[#This Row], [Año]]="",Fact_Impuestos[[#This Row], [Mes]]=""),"",DATE(A1798,MATCH(B1798,{"enero","febrero","marzo","abril","mayo","junio","julio","agosto","septiembre","octubre","noviembre","diciembre"},0)+1,0))</f>
        <v/>
      </c>
      <c r="E1798" t="str">
        <f>+IFERROR(VLOOKUP(Fact_Impuestos[[#This Row], [Concepto Anterior]],Conceptos_Impuestos[#All],5,0),"")</f>
        <v/>
      </c>
      <c r="F1798" t="str">
        <f>+IFERROR(VLOOKUP(Fact_Impuestos[[#This Row], 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ht="18.75" customHeight="1" x14ac:dyDescent="0.35">
      <c r="C1799" s="100" t="str">
        <f>IF(OR(Fact_Impuestos[[#This Row], [Año]]="",Fact_Impuestos[[#This Row], [Mes]]=""),"",DATE(A1799,MATCH(B1799,{"enero","febrero","marzo","abril","mayo","junio","julio","agosto","septiembre","octubre","noviembre","diciembre"},0)+1,0))</f>
        <v/>
      </c>
      <c r="E1799" t="str">
        <f>+IFERROR(VLOOKUP(Fact_Impuestos[[#This Row], [Concepto Anterior]],Conceptos_Impuestos[#All],5,0),"")</f>
        <v/>
      </c>
      <c r="F1799" t="str">
        <f>+IFERROR(VLOOKUP(Fact_Impuestos[[#This Row], 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ht="18.75" customHeight="1" x14ac:dyDescent="0.35">
      <c r="C1800" s="100" t="str">
        <f>IF(OR(Fact_Impuestos[[#This Row], [Año]]="",Fact_Impuestos[[#This Row], [Mes]]=""),"",DATE(A1800,MATCH(B1800,{"enero","febrero","marzo","abril","mayo","junio","julio","agosto","septiembre","octubre","noviembre","diciembre"},0)+1,0))</f>
        <v/>
      </c>
      <c r="E1800" t="str">
        <f>+IFERROR(VLOOKUP(Fact_Impuestos[[#This Row], [Concepto Anterior]],Conceptos_Impuestos[#All],5,0),"")</f>
        <v/>
      </c>
      <c r="F1800" t="str">
        <f>+IFERROR(VLOOKUP(Fact_Impuestos[[#This Row], 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ht="18.75" customHeight="1" x14ac:dyDescent="0.35">
      <c r="C1801" s="100" t="str">
        <f>IF(OR(Fact_Impuestos[[#This Row], [Año]]="",Fact_Impuestos[[#This Row], [Mes]]=""),"",DATE(A1801,MATCH(B1801,{"enero","febrero","marzo","abril","mayo","junio","julio","agosto","septiembre","octubre","noviembre","diciembre"},0)+1,0))</f>
        <v/>
      </c>
      <c r="E1801" t="str">
        <f>+IFERROR(VLOOKUP(Fact_Impuestos[[#This Row], [Concepto Anterior]],Conceptos_Impuestos[#All],5,0),"")</f>
        <v/>
      </c>
      <c r="F1801" t="str">
        <f>+IFERROR(VLOOKUP(Fact_Impuestos[[#This Row], 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ht="18.75" customHeight="1" x14ac:dyDescent="0.35">
      <c r="C1802" s="100" t="str">
        <f>IF(OR(Fact_Impuestos[[#This Row], [Año]]="",Fact_Impuestos[[#This Row], [Mes]]=""),"",DATE(A1802,MATCH(B1802,{"enero","febrero","marzo","abril","mayo","junio","julio","agosto","septiembre","octubre","noviembre","diciembre"},0)+1,0))</f>
        <v/>
      </c>
      <c r="E1802" t="str">
        <f>+IFERROR(VLOOKUP(Fact_Impuestos[[#This Row], [Concepto Anterior]],Conceptos_Impuestos[#All],5,0),"")</f>
        <v/>
      </c>
      <c r="F1802" t="str">
        <f>+IFERROR(VLOOKUP(Fact_Impuestos[[#This Row], 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ht="18.75" customHeight="1" x14ac:dyDescent="0.35">
      <c r="C1803" s="100" t="str">
        <f>IF(OR(Fact_Impuestos[[#This Row], [Año]]="",Fact_Impuestos[[#This Row], [Mes]]=""),"",DATE(A1803,MATCH(B1803,{"enero","febrero","marzo","abril","mayo","junio","julio","agosto","septiembre","octubre","noviembre","diciembre"},0)+1,0))</f>
        <v/>
      </c>
      <c r="E1803" t="str">
        <f>+IFERROR(VLOOKUP(Fact_Impuestos[[#This Row], [Concepto Anterior]],Conceptos_Impuestos[#All],5,0),"")</f>
        <v/>
      </c>
      <c r="F1803" t="str">
        <f>+IFERROR(VLOOKUP(Fact_Impuestos[[#This Row], 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ht="18.75" customHeight="1" x14ac:dyDescent="0.35">
      <c r="C1804" s="100" t="str">
        <f>IF(OR(Fact_Impuestos[[#This Row], [Año]]="",Fact_Impuestos[[#This Row], [Mes]]=""),"",DATE(A1804,MATCH(B1804,{"enero","febrero","marzo","abril","mayo","junio","julio","agosto","septiembre","octubre","noviembre","diciembre"},0)+1,0))</f>
        <v/>
      </c>
      <c r="E1804" t="str">
        <f>+IFERROR(VLOOKUP(Fact_Impuestos[[#This Row], [Concepto Anterior]],Conceptos_Impuestos[#All],5,0),"")</f>
        <v/>
      </c>
      <c r="F1804" t="str">
        <f>+IFERROR(VLOOKUP(Fact_Impuestos[[#This Row], 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ht="18.75" customHeight="1" x14ac:dyDescent="0.35">
      <c r="C1805" s="100" t="str">
        <f>IF(OR(Fact_Impuestos[[#This Row], [Año]]="",Fact_Impuestos[[#This Row], [Mes]]=""),"",DATE(A1805,MATCH(B1805,{"enero","febrero","marzo","abril","mayo","junio","julio","agosto","septiembre","octubre","noviembre","diciembre"},0)+1,0))</f>
        <v/>
      </c>
      <c r="E1805" t="str">
        <f>+IFERROR(VLOOKUP(Fact_Impuestos[[#This Row], [Concepto Anterior]],Conceptos_Impuestos[#All],5,0),"")</f>
        <v/>
      </c>
      <c r="F1805" t="str">
        <f>+IFERROR(VLOOKUP(Fact_Impuestos[[#This Row], 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ht="18.75" customHeight="1" x14ac:dyDescent="0.35">
      <c r="C1806" s="100" t="str">
        <f>IF(OR(Fact_Impuestos[[#This Row], [Año]]="",Fact_Impuestos[[#This Row], [Mes]]=""),"",DATE(A1806,MATCH(B1806,{"enero","febrero","marzo","abril","mayo","junio","julio","agosto","septiembre","octubre","noviembre","diciembre"},0)+1,0))</f>
        <v/>
      </c>
      <c r="E1806" t="str">
        <f>+IFERROR(VLOOKUP(Fact_Impuestos[[#This Row], [Concepto Anterior]],Conceptos_Impuestos[#All],5,0),"")</f>
        <v/>
      </c>
      <c r="F1806" t="str">
        <f>+IFERROR(VLOOKUP(Fact_Impuestos[[#This Row], 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ht="18.75" customHeight="1" x14ac:dyDescent="0.35">
      <c r="C1807" s="100" t="str">
        <f>IF(OR(Fact_Impuestos[[#This Row], [Año]]="",Fact_Impuestos[[#This Row], [Mes]]=""),"",DATE(A1807,MATCH(B1807,{"enero","febrero","marzo","abril","mayo","junio","julio","agosto","septiembre","octubre","noviembre","diciembre"},0)+1,0))</f>
        <v/>
      </c>
      <c r="E1807" t="str">
        <f>+IFERROR(VLOOKUP(Fact_Impuestos[[#This Row], [Concepto Anterior]],Conceptos_Impuestos[#All],5,0),"")</f>
        <v/>
      </c>
      <c r="F1807" t="str">
        <f>+IFERROR(VLOOKUP(Fact_Impuestos[[#This Row], 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ht="18.75" customHeight="1" x14ac:dyDescent="0.35">
      <c r="C1808" s="100" t="str">
        <f>IF(OR(Fact_Impuestos[[#This Row], [Año]]="",Fact_Impuestos[[#This Row], [Mes]]=""),"",DATE(A1808,MATCH(B1808,{"enero","febrero","marzo","abril","mayo","junio","julio","agosto","septiembre","octubre","noviembre","diciembre"},0)+1,0))</f>
        <v/>
      </c>
      <c r="E1808" t="str">
        <f>+IFERROR(VLOOKUP(Fact_Impuestos[[#This Row], [Concepto Anterior]],Conceptos_Impuestos[#All],5,0),"")</f>
        <v/>
      </c>
      <c r="F1808" t="str">
        <f>+IFERROR(VLOOKUP(Fact_Impuestos[[#This Row], 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ht="18.75" customHeight="1" x14ac:dyDescent="0.35">
      <c r="C1809" s="100" t="str">
        <f>IF(OR(Fact_Impuestos[[#This Row], [Año]]="",Fact_Impuestos[[#This Row], [Mes]]=""),"",DATE(A1809,MATCH(B1809,{"enero","febrero","marzo","abril","mayo","junio","julio","agosto","septiembre","octubre","noviembre","diciembre"},0)+1,0))</f>
        <v/>
      </c>
      <c r="E1809" t="str">
        <f>+IFERROR(VLOOKUP(Fact_Impuestos[[#This Row], [Concepto Anterior]],Conceptos_Impuestos[#All],5,0),"")</f>
        <v/>
      </c>
      <c r="F1809" t="str">
        <f>+IFERROR(VLOOKUP(Fact_Impuestos[[#This Row], 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ht="18.75" customHeight="1" x14ac:dyDescent="0.35">
      <c r="C1810" s="100" t="str">
        <f>IF(OR(Fact_Impuestos[[#This Row], [Año]]="",Fact_Impuestos[[#This Row], [Mes]]=""),"",DATE(A1810,MATCH(B1810,{"enero","febrero","marzo","abril","mayo","junio","julio","agosto","septiembre","octubre","noviembre","diciembre"},0)+1,0))</f>
        <v/>
      </c>
      <c r="E1810" t="str">
        <f>+IFERROR(VLOOKUP(Fact_Impuestos[[#This Row], [Concepto Anterior]],Conceptos_Impuestos[#All],5,0),"")</f>
        <v/>
      </c>
      <c r="F1810" t="str">
        <f>+IFERROR(VLOOKUP(Fact_Impuestos[[#This Row], 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ht="18.75" customHeight="1" x14ac:dyDescent="0.35">
      <c r="C1811" s="100" t="str">
        <f>IF(OR(Fact_Impuestos[[#This Row], [Año]]="",Fact_Impuestos[[#This Row], [Mes]]=""),"",DATE(A1811,MATCH(B1811,{"enero","febrero","marzo","abril","mayo","junio","julio","agosto","septiembre","octubre","noviembre","diciembre"},0)+1,0))</f>
        <v/>
      </c>
      <c r="E1811" t="str">
        <f>+IFERROR(VLOOKUP(Fact_Impuestos[[#This Row], [Concepto Anterior]],Conceptos_Impuestos[#All],5,0),"")</f>
        <v/>
      </c>
      <c r="F1811" t="str">
        <f>+IFERROR(VLOOKUP(Fact_Impuestos[[#This Row], 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ht="18.75" customHeight="1" x14ac:dyDescent="0.35">
      <c r="C1812" s="100" t="str">
        <f>IF(OR(Fact_Impuestos[[#This Row], [Año]]="",Fact_Impuestos[[#This Row], [Mes]]=""),"",DATE(A1812,MATCH(B1812,{"enero","febrero","marzo","abril","mayo","junio","julio","agosto","septiembre","octubre","noviembre","diciembre"},0)+1,0))</f>
        <v/>
      </c>
      <c r="E1812" t="str">
        <f>+IFERROR(VLOOKUP(Fact_Impuestos[[#This Row], [Concepto Anterior]],Conceptos_Impuestos[#All],5,0),"")</f>
        <v/>
      </c>
      <c r="F1812" t="str">
        <f>+IFERROR(VLOOKUP(Fact_Impuestos[[#This Row], 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ht="18.75" customHeight="1" x14ac:dyDescent="0.35">
      <c r="C1813" s="100" t="str">
        <f>IF(OR(Fact_Impuestos[[#This Row], [Año]]="",Fact_Impuestos[[#This Row], [Mes]]=""),"",DATE(A1813,MATCH(B1813,{"enero","febrero","marzo","abril","mayo","junio","julio","agosto","septiembre","octubre","noviembre","diciembre"},0)+1,0))</f>
        <v/>
      </c>
      <c r="E1813" t="str">
        <f>+IFERROR(VLOOKUP(Fact_Impuestos[[#This Row], [Concepto Anterior]],Conceptos_Impuestos[#All],5,0),"")</f>
        <v/>
      </c>
      <c r="F1813" t="str">
        <f>+IFERROR(VLOOKUP(Fact_Impuestos[[#This Row], 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ht="18.75" customHeight="1" x14ac:dyDescent="0.35">
      <c r="C1814" s="100" t="str">
        <f>IF(OR(Fact_Impuestos[[#This Row], [Año]]="",Fact_Impuestos[[#This Row], [Mes]]=""),"",DATE(A1814,MATCH(B1814,{"enero","febrero","marzo","abril","mayo","junio","julio","agosto","septiembre","octubre","noviembre","diciembre"},0)+1,0))</f>
        <v/>
      </c>
      <c r="E1814" t="str">
        <f>+IFERROR(VLOOKUP(Fact_Impuestos[[#This Row], [Concepto Anterior]],Conceptos_Impuestos[#All],5,0),"")</f>
        <v/>
      </c>
      <c r="F1814" t="str">
        <f>+IFERROR(VLOOKUP(Fact_Impuestos[[#This Row], 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ht="18.75" customHeight="1" x14ac:dyDescent="0.35">
      <c r="C1815" s="100" t="str">
        <f>IF(OR(Fact_Impuestos[[#This Row], [Año]]="",Fact_Impuestos[[#This Row], [Mes]]=""),"",DATE(A1815,MATCH(B1815,{"enero","febrero","marzo","abril","mayo","junio","julio","agosto","septiembre","octubre","noviembre","diciembre"},0)+1,0))</f>
        <v/>
      </c>
      <c r="E1815" t="str">
        <f>+IFERROR(VLOOKUP(Fact_Impuestos[[#This Row], [Concepto Anterior]],Conceptos_Impuestos[#All],5,0),"")</f>
        <v/>
      </c>
      <c r="F1815" t="str">
        <f>+IFERROR(VLOOKUP(Fact_Impuestos[[#This Row], 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ht="18.75" customHeight="1" x14ac:dyDescent="0.35">
      <c r="C1816" s="100" t="str">
        <f>IF(OR(Fact_Impuestos[[#This Row], [Año]]="",Fact_Impuestos[[#This Row], [Mes]]=""),"",DATE(A1816,MATCH(B1816,{"enero","febrero","marzo","abril","mayo","junio","julio","agosto","septiembre","octubre","noviembre","diciembre"},0)+1,0))</f>
        <v/>
      </c>
      <c r="E1816" t="str">
        <f>+IFERROR(VLOOKUP(Fact_Impuestos[[#This Row], [Concepto Anterior]],Conceptos_Impuestos[#All],5,0),"")</f>
        <v/>
      </c>
      <c r="F1816" t="str">
        <f>+IFERROR(VLOOKUP(Fact_Impuestos[[#This Row], 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ht="18.75" customHeight="1" x14ac:dyDescent="0.35">
      <c r="C1817" s="100" t="str">
        <f>IF(OR(Fact_Impuestos[[#This Row], [Año]]="",Fact_Impuestos[[#This Row], [Mes]]=""),"",DATE(A1817,MATCH(B1817,{"enero","febrero","marzo","abril","mayo","junio","julio","agosto","septiembre","octubre","noviembre","diciembre"},0)+1,0))</f>
        <v/>
      </c>
      <c r="E1817" t="str">
        <f>+IFERROR(VLOOKUP(Fact_Impuestos[[#This Row], [Concepto Anterior]],Conceptos_Impuestos[#All],5,0),"")</f>
        <v/>
      </c>
      <c r="F1817" t="str">
        <f>+IFERROR(VLOOKUP(Fact_Impuestos[[#This Row], 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ht="18.75" customHeight="1" x14ac:dyDescent="0.35">
      <c r="C1818" s="100" t="str">
        <f>IF(OR(Fact_Impuestos[[#This Row], [Año]]="",Fact_Impuestos[[#This Row], [Mes]]=""),"",DATE(A1818,MATCH(B1818,{"enero","febrero","marzo","abril","mayo","junio","julio","agosto","septiembre","octubre","noviembre","diciembre"},0)+1,0))</f>
        <v/>
      </c>
      <c r="E1818" t="str">
        <f>+IFERROR(VLOOKUP(Fact_Impuestos[[#This Row], [Concepto Anterior]],Conceptos_Impuestos[#All],5,0),"")</f>
        <v/>
      </c>
      <c r="F1818" t="str">
        <f>+IFERROR(VLOOKUP(Fact_Impuestos[[#This Row], 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ht="18.75" customHeight="1" x14ac:dyDescent="0.35">
      <c r="C1819" s="100" t="str">
        <f>IF(OR(Fact_Impuestos[[#This Row], [Año]]="",Fact_Impuestos[[#This Row], [Mes]]=""),"",DATE(A1819,MATCH(B1819,{"enero","febrero","marzo","abril","mayo","junio","julio","agosto","septiembre","octubre","noviembre","diciembre"},0)+1,0))</f>
        <v/>
      </c>
      <c r="E1819" t="str">
        <f>+IFERROR(VLOOKUP(Fact_Impuestos[[#This Row], [Concepto Anterior]],Conceptos_Impuestos[#All],5,0),"")</f>
        <v/>
      </c>
      <c r="F1819" t="str">
        <f>+IFERROR(VLOOKUP(Fact_Impuestos[[#This Row], 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ht="18.75" customHeight="1" x14ac:dyDescent="0.35">
      <c r="C1820" s="100" t="str">
        <f>IF(OR(Fact_Impuestos[[#This Row], [Año]]="",Fact_Impuestos[[#This Row], [Mes]]=""),"",DATE(A1820,MATCH(B1820,{"enero","febrero","marzo","abril","mayo","junio","julio","agosto","septiembre","octubre","noviembre","diciembre"},0)+1,0))</f>
        <v/>
      </c>
      <c r="E1820" t="str">
        <f>+IFERROR(VLOOKUP(Fact_Impuestos[[#This Row], [Concepto Anterior]],Conceptos_Impuestos[#All],5,0),"")</f>
        <v/>
      </c>
      <c r="F1820" t="str">
        <f>+IFERROR(VLOOKUP(Fact_Impuestos[[#This Row], 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ht="18.75" customHeight="1" x14ac:dyDescent="0.35">
      <c r="C1821" s="100" t="str">
        <f>IF(OR(Fact_Impuestos[[#This Row], [Año]]="",Fact_Impuestos[[#This Row], [Mes]]=""),"",DATE(A1821,MATCH(B1821,{"enero","febrero","marzo","abril","mayo","junio","julio","agosto","septiembre","octubre","noviembre","diciembre"},0)+1,0))</f>
        <v/>
      </c>
      <c r="E1821" t="str">
        <f>+IFERROR(VLOOKUP(Fact_Impuestos[[#This Row], [Concepto Anterior]],Conceptos_Impuestos[#All],5,0),"")</f>
        <v/>
      </c>
      <c r="F1821" t="str">
        <f>+IFERROR(VLOOKUP(Fact_Impuestos[[#This Row], 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ht="18.75" customHeight="1" x14ac:dyDescent="0.35">
      <c r="C1822" s="100" t="str">
        <f>IF(OR(Fact_Impuestos[[#This Row], [Año]]="",Fact_Impuestos[[#This Row], [Mes]]=""),"",DATE(A1822,MATCH(B1822,{"enero","febrero","marzo","abril","mayo","junio","julio","agosto","septiembre","octubre","noviembre","diciembre"},0)+1,0))</f>
        <v/>
      </c>
      <c r="E1822" t="str">
        <f>+IFERROR(VLOOKUP(Fact_Impuestos[[#This Row], [Concepto Anterior]],Conceptos_Impuestos[#All],5,0),"")</f>
        <v/>
      </c>
      <c r="F1822" t="str">
        <f>+IFERROR(VLOOKUP(Fact_Impuestos[[#This Row], 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ht="18.75" customHeight="1" x14ac:dyDescent="0.35">
      <c r="C1823" s="100" t="str">
        <f>IF(OR(Fact_Impuestos[[#This Row], [Año]]="",Fact_Impuestos[[#This Row], [Mes]]=""),"",DATE(A1823,MATCH(B1823,{"enero","febrero","marzo","abril","mayo","junio","julio","agosto","septiembre","octubre","noviembre","diciembre"},0)+1,0))</f>
        <v/>
      </c>
      <c r="E1823" t="str">
        <f>+IFERROR(VLOOKUP(Fact_Impuestos[[#This Row], [Concepto Anterior]],Conceptos_Impuestos[#All],5,0),"")</f>
        <v/>
      </c>
      <c r="F1823" t="str">
        <f>+IFERROR(VLOOKUP(Fact_Impuestos[[#This Row], 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ht="18.75" customHeight="1" x14ac:dyDescent="0.35">
      <c r="C1824" s="100" t="str">
        <f>IF(OR(Fact_Impuestos[[#This Row], [Año]]="",Fact_Impuestos[[#This Row], [Mes]]=""),"",DATE(A1824,MATCH(B1824,{"enero","febrero","marzo","abril","mayo","junio","julio","agosto","septiembre","octubre","noviembre","diciembre"},0)+1,0))</f>
        <v/>
      </c>
      <c r="E1824" t="str">
        <f>+IFERROR(VLOOKUP(Fact_Impuestos[[#This Row], [Concepto Anterior]],Conceptos_Impuestos[#All],5,0),"")</f>
        <v/>
      </c>
      <c r="F1824" t="str">
        <f>+IFERROR(VLOOKUP(Fact_Impuestos[[#This Row], 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ht="18.75" customHeight="1" x14ac:dyDescent="0.35">
      <c r="C1825" s="100" t="str">
        <f>IF(OR(Fact_Impuestos[[#This Row], [Año]]="",Fact_Impuestos[[#This Row], [Mes]]=""),"",DATE(A1825,MATCH(B1825,{"enero","febrero","marzo","abril","mayo","junio","julio","agosto","septiembre","octubre","noviembre","diciembre"},0)+1,0))</f>
        <v/>
      </c>
      <c r="E1825" t="str">
        <f>+IFERROR(VLOOKUP(Fact_Impuestos[[#This Row], [Concepto Anterior]],Conceptos_Impuestos[#All],5,0),"")</f>
        <v/>
      </c>
      <c r="F1825" t="str">
        <f>+IFERROR(VLOOKUP(Fact_Impuestos[[#This Row], 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ht="18.75" customHeight="1" x14ac:dyDescent="0.35">
      <c r="C1826" s="100" t="str">
        <f>IF(OR(Fact_Impuestos[[#This Row], [Año]]="",Fact_Impuestos[[#This Row], [Mes]]=""),"",DATE(A1826,MATCH(B1826,{"enero","febrero","marzo","abril","mayo","junio","julio","agosto","septiembre","octubre","noviembre","diciembre"},0)+1,0))</f>
        <v/>
      </c>
      <c r="E1826" t="str">
        <f>+IFERROR(VLOOKUP(Fact_Impuestos[[#This Row], [Concepto Anterior]],Conceptos_Impuestos[#All],5,0),"")</f>
        <v/>
      </c>
      <c r="F1826" t="str">
        <f>+IFERROR(VLOOKUP(Fact_Impuestos[[#This Row], 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ht="18.75" customHeight="1" x14ac:dyDescent="0.35">
      <c r="C1827" s="100" t="str">
        <f>IF(OR(Fact_Impuestos[[#This Row], [Año]]="",Fact_Impuestos[[#This Row], [Mes]]=""),"",DATE(A1827,MATCH(B1827,{"enero","febrero","marzo","abril","mayo","junio","julio","agosto","septiembre","octubre","noviembre","diciembre"},0)+1,0))</f>
        <v/>
      </c>
      <c r="E1827" t="str">
        <f>+IFERROR(VLOOKUP(Fact_Impuestos[[#This Row], [Concepto Anterior]],Conceptos_Impuestos[#All],5,0),"")</f>
        <v/>
      </c>
      <c r="F1827" t="str">
        <f>+IFERROR(VLOOKUP(Fact_Impuestos[[#This Row], 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ht="18.75" customHeight="1" x14ac:dyDescent="0.35">
      <c r="C1828" s="100" t="str">
        <f>IF(OR(Fact_Impuestos[[#This Row], [Año]]="",Fact_Impuestos[[#This Row], [Mes]]=""),"",DATE(A1828,MATCH(B1828,{"enero","febrero","marzo","abril","mayo","junio","julio","agosto","septiembre","octubre","noviembre","diciembre"},0)+1,0))</f>
        <v/>
      </c>
      <c r="E1828" t="str">
        <f>+IFERROR(VLOOKUP(Fact_Impuestos[[#This Row], [Concepto Anterior]],Conceptos_Impuestos[#All],5,0),"")</f>
        <v/>
      </c>
      <c r="F1828" t="str">
        <f>+IFERROR(VLOOKUP(Fact_Impuestos[[#This Row], 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ht="18.75" customHeight="1" x14ac:dyDescent="0.35">
      <c r="C1829" s="100" t="str">
        <f>IF(OR(Fact_Impuestos[[#This Row], [Año]]="",Fact_Impuestos[[#This Row], [Mes]]=""),"",DATE(A1829,MATCH(B1829,{"enero","febrero","marzo","abril","mayo","junio","julio","agosto","septiembre","octubre","noviembre","diciembre"},0)+1,0))</f>
        <v/>
      </c>
      <c r="E1829" t="str">
        <f>+IFERROR(VLOOKUP(Fact_Impuestos[[#This Row], [Concepto Anterior]],Conceptos_Impuestos[#All],5,0),"")</f>
        <v/>
      </c>
      <c r="F1829" t="str">
        <f>+IFERROR(VLOOKUP(Fact_Impuestos[[#This Row], 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ht="18.75" customHeight="1" x14ac:dyDescent="0.35">
      <c r="C1830" s="100" t="str">
        <f>IF(OR(Fact_Impuestos[[#This Row], [Año]]="",Fact_Impuestos[[#This Row], [Mes]]=""),"",DATE(A1830,MATCH(B1830,{"enero","febrero","marzo","abril","mayo","junio","julio","agosto","septiembre","octubre","noviembre","diciembre"},0)+1,0))</f>
        <v/>
      </c>
      <c r="E1830" t="str">
        <f>+IFERROR(VLOOKUP(Fact_Impuestos[[#This Row], [Concepto Anterior]],Conceptos_Impuestos[#All],5,0),"")</f>
        <v/>
      </c>
      <c r="F1830" t="str">
        <f>+IFERROR(VLOOKUP(Fact_Impuestos[[#This Row], 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ht="18.75" customHeight="1" x14ac:dyDescent="0.35">
      <c r="C1831" s="100" t="str">
        <f>IF(OR(Fact_Impuestos[[#This Row], [Año]]="",Fact_Impuestos[[#This Row], [Mes]]=""),"",DATE(A1831,MATCH(B1831,{"enero","febrero","marzo","abril","mayo","junio","julio","agosto","septiembre","octubre","noviembre","diciembre"},0)+1,0))</f>
        <v/>
      </c>
      <c r="E1831" t="str">
        <f>+IFERROR(VLOOKUP(Fact_Impuestos[[#This Row], [Concepto Anterior]],Conceptos_Impuestos[#All],5,0),"")</f>
        <v/>
      </c>
      <c r="F1831" t="str">
        <f>+IFERROR(VLOOKUP(Fact_Impuestos[[#This Row], 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ht="18.75" customHeight="1" x14ac:dyDescent="0.35">
      <c r="C1832" s="100" t="str">
        <f>IF(OR(Fact_Impuestos[[#This Row], [Año]]="",Fact_Impuestos[[#This Row], [Mes]]=""),"",DATE(A1832,MATCH(B1832,{"enero","febrero","marzo","abril","mayo","junio","julio","agosto","septiembre","octubre","noviembre","diciembre"},0)+1,0))</f>
        <v/>
      </c>
      <c r="E1832" t="str">
        <f>+IFERROR(VLOOKUP(Fact_Impuestos[[#This Row], [Concepto Anterior]],Conceptos_Impuestos[#All],5,0),"")</f>
        <v/>
      </c>
      <c r="F1832" t="str">
        <f>+IFERROR(VLOOKUP(Fact_Impuestos[[#This Row], 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ht="18.75" customHeight="1" x14ac:dyDescent="0.35">
      <c r="C1833" s="100" t="str">
        <f>IF(OR(Fact_Impuestos[[#This Row], [Año]]="",Fact_Impuestos[[#This Row], [Mes]]=""),"",DATE(A1833,MATCH(B1833,{"enero","febrero","marzo","abril","mayo","junio","julio","agosto","septiembre","octubre","noviembre","diciembre"},0)+1,0))</f>
        <v/>
      </c>
      <c r="E1833" t="str">
        <f>+IFERROR(VLOOKUP(Fact_Impuestos[[#This Row], [Concepto Anterior]],Conceptos_Impuestos[#All],5,0),"")</f>
        <v/>
      </c>
      <c r="F1833" t="str">
        <f>+IFERROR(VLOOKUP(Fact_Impuestos[[#This Row], 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ht="18.75" customHeight="1" x14ac:dyDescent="0.35">
      <c r="C1834" s="100" t="str">
        <f>IF(OR(Fact_Impuestos[[#This Row], [Año]]="",Fact_Impuestos[[#This Row], [Mes]]=""),"",DATE(A1834,MATCH(B1834,{"enero","febrero","marzo","abril","mayo","junio","julio","agosto","septiembre","octubre","noviembre","diciembre"},0)+1,0))</f>
        <v/>
      </c>
      <c r="E1834" t="str">
        <f>+IFERROR(VLOOKUP(Fact_Impuestos[[#This Row], [Concepto Anterior]],Conceptos_Impuestos[#All],5,0),"")</f>
        <v/>
      </c>
      <c r="F1834" t="str">
        <f>+IFERROR(VLOOKUP(Fact_Impuestos[[#This Row], 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ht="18.75" customHeight="1" x14ac:dyDescent="0.35">
      <c r="C1835" s="100" t="str">
        <f>IF(OR(Fact_Impuestos[[#This Row], [Año]]="",Fact_Impuestos[[#This Row], [Mes]]=""),"",DATE(A1835,MATCH(B1835,{"enero","febrero","marzo","abril","mayo","junio","julio","agosto","septiembre","octubre","noviembre","diciembre"},0)+1,0))</f>
        <v/>
      </c>
      <c r="E1835" t="str">
        <f>+IFERROR(VLOOKUP(Fact_Impuestos[[#This Row], [Concepto Anterior]],Conceptos_Impuestos[#All],5,0),"")</f>
        <v/>
      </c>
      <c r="F1835" t="str">
        <f>+IFERROR(VLOOKUP(Fact_Impuestos[[#This Row], 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ht="18.75" customHeight="1" x14ac:dyDescent="0.35">
      <c r="C1836" s="100" t="str">
        <f>IF(OR(Fact_Impuestos[[#This Row], [Año]]="",Fact_Impuestos[[#This Row], [Mes]]=""),"",DATE(A1836,MATCH(B1836,{"enero","febrero","marzo","abril","mayo","junio","julio","agosto","septiembre","octubre","noviembre","diciembre"},0)+1,0))</f>
        <v/>
      </c>
      <c r="E1836" t="str">
        <f>+IFERROR(VLOOKUP(Fact_Impuestos[[#This Row], [Concepto Anterior]],Conceptos_Impuestos[#All],5,0),"")</f>
        <v/>
      </c>
      <c r="F1836" t="str">
        <f>+IFERROR(VLOOKUP(Fact_Impuestos[[#This Row], 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ht="18.75" customHeight="1" x14ac:dyDescent="0.35">
      <c r="C1837" s="100" t="str">
        <f>IF(OR(Fact_Impuestos[[#This Row], [Año]]="",Fact_Impuestos[[#This Row], [Mes]]=""),"",DATE(A1837,MATCH(B1837,{"enero","febrero","marzo","abril","mayo","junio","julio","agosto","septiembre","octubre","noviembre","diciembre"},0)+1,0))</f>
        <v/>
      </c>
      <c r="E1837" t="str">
        <f>+IFERROR(VLOOKUP(Fact_Impuestos[[#This Row], [Concepto Anterior]],Conceptos_Impuestos[#All],5,0),"")</f>
        <v/>
      </c>
      <c r="F1837" t="str">
        <f>+IFERROR(VLOOKUP(Fact_Impuestos[[#This Row], 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ht="18.75" customHeight="1" x14ac:dyDescent="0.35">
      <c r="C1838" s="100" t="str">
        <f>IF(OR(Fact_Impuestos[[#This Row], [Año]]="",Fact_Impuestos[[#This Row], [Mes]]=""),"",DATE(A1838,MATCH(B1838,{"enero","febrero","marzo","abril","mayo","junio","julio","agosto","septiembre","octubre","noviembre","diciembre"},0)+1,0))</f>
        <v/>
      </c>
      <c r="E1838" t="str">
        <f>+IFERROR(VLOOKUP(Fact_Impuestos[[#This Row], [Concepto Anterior]],Conceptos_Impuestos[#All],5,0),"")</f>
        <v/>
      </c>
      <c r="F1838" t="str">
        <f>+IFERROR(VLOOKUP(Fact_Impuestos[[#This Row], 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ht="18.75" customHeight="1" x14ac:dyDescent="0.35">
      <c r="C1839" s="100" t="str">
        <f>IF(OR(Fact_Impuestos[[#This Row], [Año]]="",Fact_Impuestos[[#This Row], [Mes]]=""),"",DATE(A1839,MATCH(B1839,{"enero","febrero","marzo","abril","mayo","junio","julio","agosto","septiembre","octubre","noviembre","diciembre"},0)+1,0))</f>
        <v/>
      </c>
      <c r="E1839" t="str">
        <f>+IFERROR(VLOOKUP(Fact_Impuestos[[#This Row], [Concepto Anterior]],Conceptos_Impuestos[#All],5,0),"")</f>
        <v/>
      </c>
      <c r="F1839" t="str">
        <f>+IFERROR(VLOOKUP(Fact_Impuestos[[#This Row], 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ht="18.75" customHeight="1" x14ac:dyDescent="0.35">
      <c r="C1840" s="100" t="str">
        <f>IF(OR(Fact_Impuestos[[#This Row], [Año]]="",Fact_Impuestos[[#This Row], [Mes]]=""),"",DATE(A1840,MATCH(B1840,{"enero","febrero","marzo","abril","mayo","junio","julio","agosto","septiembre","octubre","noviembre","diciembre"},0)+1,0))</f>
        <v/>
      </c>
      <c r="E1840" t="str">
        <f>+IFERROR(VLOOKUP(Fact_Impuestos[[#This Row], [Concepto Anterior]],Conceptos_Impuestos[#All],5,0),"")</f>
        <v/>
      </c>
      <c r="F1840" t="str">
        <f>+IFERROR(VLOOKUP(Fact_Impuestos[[#This Row], 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ht="18.75" customHeight="1" x14ac:dyDescent="0.35">
      <c r="C1841" s="100" t="str">
        <f>IF(OR(Fact_Impuestos[[#This Row], [Año]]="",Fact_Impuestos[[#This Row], [Mes]]=""),"",DATE(A1841,MATCH(B1841,{"enero","febrero","marzo","abril","mayo","junio","julio","agosto","septiembre","octubre","noviembre","diciembre"},0)+1,0))</f>
        <v/>
      </c>
      <c r="E1841" t="str">
        <f>+IFERROR(VLOOKUP(Fact_Impuestos[[#This Row], [Concepto Anterior]],Conceptos_Impuestos[#All],5,0),"")</f>
        <v/>
      </c>
      <c r="F1841" t="str">
        <f>+IFERROR(VLOOKUP(Fact_Impuestos[[#This Row], 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ht="18.75" customHeight="1" x14ac:dyDescent="0.35">
      <c r="C1842" s="100" t="str">
        <f>IF(OR(Fact_Impuestos[[#This Row], [Año]]="",Fact_Impuestos[[#This Row], [Mes]]=""),"",DATE(A1842,MATCH(B1842,{"enero","febrero","marzo","abril","mayo","junio","julio","agosto","septiembre","octubre","noviembre","diciembre"},0)+1,0))</f>
        <v/>
      </c>
      <c r="E1842" t="str">
        <f>+IFERROR(VLOOKUP(Fact_Impuestos[[#This Row], [Concepto Anterior]],Conceptos_Impuestos[#All],5,0),"")</f>
        <v/>
      </c>
      <c r="F1842" t="str">
        <f>+IFERROR(VLOOKUP(Fact_Impuestos[[#This Row], 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ht="18.75" customHeight="1" x14ac:dyDescent="0.35">
      <c r="C1843" s="100" t="str">
        <f>IF(OR(Fact_Impuestos[[#This Row], [Año]]="",Fact_Impuestos[[#This Row], [Mes]]=""),"",DATE(A1843,MATCH(B1843,{"enero","febrero","marzo","abril","mayo","junio","julio","agosto","septiembre","octubre","noviembre","diciembre"},0)+1,0))</f>
        <v/>
      </c>
      <c r="E1843" t="str">
        <f>+IFERROR(VLOOKUP(Fact_Impuestos[[#This Row], [Concepto Anterior]],Conceptos_Impuestos[#All],5,0),"")</f>
        <v/>
      </c>
      <c r="F1843" t="str">
        <f>+IFERROR(VLOOKUP(Fact_Impuestos[[#This Row], 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ht="18.75" customHeight="1" x14ac:dyDescent="0.35">
      <c r="C1844" s="100" t="str">
        <f>IF(OR(Fact_Impuestos[[#This Row], [Año]]="",Fact_Impuestos[[#This Row], [Mes]]=""),"",DATE(A1844,MATCH(B1844,{"enero","febrero","marzo","abril","mayo","junio","julio","agosto","septiembre","octubre","noviembre","diciembre"},0)+1,0))</f>
        <v/>
      </c>
      <c r="E1844" t="str">
        <f>+IFERROR(VLOOKUP(Fact_Impuestos[[#This Row], [Concepto Anterior]],Conceptos_Impuestos[#All],5,0),"")</f>
        <v/>
      </c>
      <c r="F1844" t="str">
        <f>+IFERROR(VLOOKUP(Fact_Impuestos[[#This Row], 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ht="18.75" customHeight="1" x14ac:dyDescent="0.35">
      <c r="C1845" s="100" t="str">
        <f>IF(OR(Fact_Impuestos[[#This Row], [Año]]="",Fact_Impuestos[[#This Row], [Mes]]=""),"",DATE(A1845,MATCH(B1845,{"enero","febrero","marzo","abril","mayo","junio","julio","agosto","septiembre","octubre","noviembre","diciembre"},0)+1,0))</f>
        <v/>
      </c>
      <c r="E1845" t="str">
        <f>+IFERROR(VLOOKUP(Fact_Impuestos[[#This Row], [Concepto Anterior]],Conceptos_Impuestos[#All],5,0),"")</f>
        <v/>
      </c>
      <c r="F1845" t="str">
        <f>+IFERROR(VLOOKUP(Fact_Impuestos[[#This Row], 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ht="18.75" customHeight="1" x14ac:dyDescent="0.35">
      <c r="C1846" s="100" t="str">
        <f>IF(OR(Fact_Impuestos[[#This Row], [Año]]="",Fact_Impuestos[[#This Row], [Mes]]=""),"",DATE(A1846,MATCH(B1846,{"enero","febrero","marzo","abril","mayo","junio","julio","agosto","septiembre","octubre","noviembre","diciembre"},0)+1,0))</f>
        <v/>
      </c>
      <c r="E1846" t="str">
        <f>+IFERROR(VLOOKUP(Fact_Impuestos[[#This Row], [Concepto Anterior]],Conceptos_Impuestos[#All],5,0),"")</f>
        <v/>
      </c>
      <c r="F1846" t="str">
        <f>+IFERROR(VLOOKUP(Fact_Impuestos[[#This Row], 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ht="18.75" customHeight="1" x14ac:dyDescent="0.35">
      <c r="C1847" s="100" t="str">
        <f>IF(OR(Fact_Impuestos[[#This Row], [Año]]="",Fact_Impuestos[[#This Row], [Mes]]=""),"",DATE(A1847,MATCH(B1847,{"enero","febrero","marzo","abril","mayo","junio","julio","agosto","septiembre","octubre","noviembre","diciembre"},0)+1,0))</f>
        <v/>
      </c>
      <c r="E1847" t="str">
        <f>+IFERROR(VLOOKUP(Fact_Impuestos[[#This Row], [Concepto Anterior]],Conceptos_Impuestos[#All],5,0),"")</f>
        <v/>
      </c>
      <c r="F1847" t="str">
        <f>+IFERROR(VLOOKUP(Fact_Impuestos[[#This Row], 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ht="18.75" customHeight="1" x14ac:dyDescent="0.35">
      <c r="C1848" s="100" t="str">
        <f>IF(OR(Fact_Impuestos[[#This Row], [Año]]="",Fact_Impuestos[[#This Row], [Mes]]=""),"",DATE(A1848,MATCH(B1848,{"enero","febrero","marzo","abril","mayo","junio","julio","agosto","septiembre","octubre","noviembre","diciembre"},0)+1,0))</f>
        <v/>
      </c>
      <c r="E1848" t="str">
        <f>+IFERROR(VLOOKUP(Fact_Impuestos[[#This Row], [Concepto Anterior]],Conceptos_Impuestos[#All],5,0),"")</f>
        <v/>
      </c>
      <c r="F1848" t="str">
        <f>+IFERROR(VLOOKUP(Fact_Impuestos[[#This Row], 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ht="18.75" customHeight="1" x14ac:dyDescent="0.35">
      <c r="C1849" s="100" t="str">
        <f>IF(OR(Fact_Impuestos[[#This Row], [Año]]="",Fact_Impuestos[[#This Row], [Mes]]=""),"",DATE(A1849,MATCH(B1849,{"enero","febrero","marzo","abril","mayo","junio","julio","agosto","septiembre","octubre","noviembre","diciembre"},0)+1,0))</f>
        <v/>
      </c>
      <c r="E1849" t="str">
        <f>+IFERROR(VLOOKUP(Fact_Impuestos[[#This Row], [Concepto Anterior]],Conceptos_Impuestos[#All],5,0),"")</f>
        <v/>
      </c>
      <c r="F1849" t="str">
        <f>+IFERROR(VLOOKUP(Fact_Impuestos[[#This Row], 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ht="18.75" customHeight="1" x14ac:dyDescent="0.35">
      <c r="C1850" s="100" t="str">
        <f>IF(OR(Fact_Impuestos[[#This Row], [Año]]="",Fact_Impuestos[[#This Row], [Mes]]=""),"",DATE(A1850,MATCH(B1850,{"enero","febrero","marzo","abril","mayo","junio","julio","agosto","septiembre","octubre","noviembre","diciembre"},0)+1,0))</f>
        <v/>
      </c>
      <c r="E1850" t="str">
        <f>+IFERROR(VLOOKUP(Fact_Impuestos[[#This Row], [Concepto Anterior]],Conceptos_Impuestos[#All],5,0),"")</f>
        <v/>
      </c>
      <c r="F1850" t="str">
        <f>+IFERROR(VLOOKUP(Fact_Impuestos[[#This Row], 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ht="18.75" customHeight="1" x14ac:dyDescent="0.35">
      <c r="C1851" s="100" t="str">
        <f>IF(OR(Fact_Impuestos[[#This Row], [Año]]="",Fact_Impuestos[[#This Row], [Mes]]=""),"",DATE(A1851,MATCH(B1851,{"enero","febrero","marzo","abril","mayo","junio","julio","agosto","septiembre","octubre","noviembre","diciembre"},0)+1,0))</f>
        <v/>
      </c>
      <c r="E1851" t="str">
        <f>+IFERROR(VLOOKUP(Fact_Impuestos[[#This Row], [Concepto Anterior]],Conceptos_Impuestos[#All],5,0),"")</f>
        <v/>
      </c>
      <c r="F1851" t="str">
        <f>+IFERROR(VLOOKUP(Fact_Impuestos[[#This Row], 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ht="18.75" customHeight="1" x14ac:dyDescent="0.35">
      <c r="C1852" s="100" t="str">
        <f>IF(OR(Fact_Impuestos[[#This Row], [Año]]="",Fact_Impuestos[[#This Row], [Mes]]=""),"",DATE(A1852,MATCH(B1852,{"enero","febrero","marzo","abril","mayo","junio","julio","agosto","septiembre","octubre","noviembre","diciembre"},0)+1,0))</f>
        <v/>
      </c>
      <c r="E1852" t="str">
        <f>+IFERROR(VLOOKUP(Fact_Impuestos[[#This Row], [Concepto Anterior]],Conceptos_Impuestos[#All],5,0),"")</f>
        <v/>
      </c>
      <c r="F1852" t="str">
        <f>+IFERROR(VLOOKUP(Fact_Impuestos[[#This Row], 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ht="18.75" customHeight="1" x14ac:dyDescent="0.35">
      <c r="C1853" s="100" t="str">
        <f>IF(OR(Fact_Impuestos[[#This Row], [Año]]="",Fact_Impuestos[[#This Row], [Mes]]=""),"",DATE(A1853,MATCH(B1853,{"enero","febrero","marzo","abril","mayo","junio","julio","agosto","septiembre","octubre","noviembre","diciembre"},0)+1,0))</f>
        <v/>
      </c>
      <c r="E1853" t="str">
        <f>+IFERROR(VLOOKUP(Fact_Impuestos[[#This Row], [Concepto Anterior]],Conceptos_Impuestos[#All],5,0),"")</f>
        <v/>
      </c>
      <c r="F1853" t="str">
        <f>+IFERROR(VLOOKUP(Fact_Impuestos[[#This Row], 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ht="18.75" customHeight="1" x14ac:dyDescent="0.35">
      <c r="C1854" s="100" t="str">
        <f>IF(OR(Fact_Impuestos[[#This Row], [Año]]="",Fact_Impuestos[[#This Row], [Mes]]=""),"",DATE(A1854,MATCH(B1854,{"enero","febrero","marzo","abril","mayo","junio","julio","agosto","septiembre","octubre","noviembre","diciembre"},0)+1,0))</f>
        <v/>
      </c>
      <c r="E1854" t="str">
        <f>+IFERROR(VLOOKUP(Fact_Impuestos[[#This Row], [Concepto Anterior]],Conceptos_Impuestos[#All],5,0),"")</f>
        <v/>
      </c>
      <c r="F1854" t="str">
        <f>+IFERROR(VLOOKUP(Fact_Impuestos[[#This Row], 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ht="18.75" customHeight="1" x14ac:dyDescent="0.35">
      <c r="C1855" s="100" t="str">
        <f>IF(OR(Fact_Impuestos[[#This Row], [Año]]="",Fact_Impuestos[[#This Row], [Mes]]=""),"",DATE(A1855,MATCH(B1855,{"enero","febrero","marzo","abril","mayo","junio","julio","agosto","septiembre","octubre","noviembre","diciembre"},0)+1,0))</f>
        <v/>
      </c>
      <c r="E1855" t="str">
        <f>+IFERROR(VLOOKUP(Fact_Impuestos[[#This Row], [Concepto Anterior]],Conceptos_Impuestos[#All],5,0),"")</f>
        <v/>
      </c>
      <c r="F1855" t="str">
        <f>+IFERROR(VLOOKUP(Fact_Impuestos[[#This Row], 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ht="18.75" customHeight="1" x14ac:dyDescent="0.35">
      <c r="C1856" s="100" t="str">
        <f>IF(OR(Fact_Impuestos[[#This Row], [Año]]="",Fact_Impuestos[[#This Row], [Mes]]=""),"",DATE(A1856,MATCH(B1856,{"enero","febrero","marzo","abril","mayo","junio","julio","agosto","septiembre","octubre","noviembre","diciembre"},0)+1,0))</f>
        <v/>
      </c>
      <c r="E1856" t="str">
        <f>+IFERROR(VLOOKUP(Fact_Impuestos[[#This Row], [Concepto Anterior]],Conceptos_Impuestos[#All],5,0),"")</f>
        <v/>
      </c>
      <c r="F1856" t="str">
        <f>+IFERROR(VLOOKUP(Fact_Impuestos[[#This Row], 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ht="18.75" customHeight="1" x14ac:dyDescent="0.35">
      <c r="C1857" s="100" t="str">
        <f>IF(OR(Fact_Impuestos[[#This Row], [Año]]="",Fact_Impuestos[[#This Row], [Mes]]=""),"",DATE(A1857,MATCH(B1857,{"enero","febrero","marzo","abril","mayo","junio","julio","agosto","septiembre","octubre","noviembre","diciembre"},0)+1,0))</f>
        <v/>
      </c>
      <c r="E1857" t="str">
        <f>+IFERROR(VLOOKUP(Fact_Impuestos[[#This Row], [Concepto Anterior]],Conceptos_Impuestos[#All],5,0),"")</f>
        <v/>
      </c>
      <c r="F1857" t="str">
        <f>+IFERROR(VLOOKUP(Fact_Impuestos[[#This Row], 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ht="18.75" customHeight="1" x14ac:dyDescent="0.35">
      <c r="C1858" s="100" t="str">
        <f>IF(OR(Fact_Impuestos[[#This Row], [Año]]="",Fact_Impuestos[[#This Row], [Mes]]=""),"",DATE(A1858,MATCH(B1858,{"enero","febrero","marzo","abril","mayo","junio","julio","agosto","septiembre","octubre","noviembre","diciembre"},0)+1,0))</f>
        <v/>
      </c>
      <c r="E1858" t="str">
        <f>+IFERROR(VLOOKUP(Fact_Impuestos[[#This Row], [Concepto Anterior]],Conceptos_Impuestos[#All],5,0),"")</f>
        <v/>
      </c>
      <c r="F1858" t="str">
        <f>+IFERROR(VLOOKUP(Fact_Impuestos[[#This Row], 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ht="18.75" customHeight="1" x14ac:dyDescent="0.35">
      <c r="C1859" s="100" t="str">
        <f>IF(OR(Fact_Impuestos[[#This Row], [Año]]="",Fact_Impuestos[[#This Row], [Mes]]=""),"",DATE(A1859,MATCH(B1859,{"enero","febrero","marzo","abril","mayo","junio","julio","agosto","septiembre","octubre","noviembre","diciembre"},0)+1,0))</f>
        <v/>
      </c>
      <c r="E1859" t="str">
        <f>+IFERROR(VLOOKUP(Fact_Impuestos[[#This Row], [Concepto Anterior]],Conceptos_Impuestos[#All],5,0),"")</f>
        <v/>
      </c>
      <c r="F1859" t="str">
        <f>+IFERROR(VLOOKUP(Fact_Impuestos[[#This Row], 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ht="18.75" customHeight="1" x14ac:dyDescent="0.35">
      <c r="C1860" s="100" t="str">
        <f>IF(OR(Fact_Impuestos[[#This Row], [Año]]="",Fact_Impuestos[[#This Row], [Mes]]=""),"",DATE(A1860,MATCH(B1860,{"enero","febrero","marzo","abril","mayo","junio","julio","agosto","septiembre","octubre","noviembre","diciembre"},0)+1,0))</f>
        <v/>
      </c>
      <c r="E1860" t="str">
        <f>+IFERROR(VLOOKUP(Fact_Impuestos[[#This Row], [Concepto Anterior]],Conceptos_Impuestos[#All],5,0),"")</f>
        <v/>
      </c>
      <c r="F1860" t="str">
        <f>+IFERROR(VLOOKUP(Fact_Impuestos[[#This Row], 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ht="18.75" customHeight="1" x14ac:dyDescent="0.35">
      <c r="C1861" s="100" t="str">
        <f>IF(OR(Fact_Impuestos[[#This Row], [Año]]="",Fact_Impuestos[[#This Row], [Mes]]=""),"",DATE(A1861,MATCH(B1861,{"enero","febrero","marzo","abril","mayo","junio","julio","agosto","septiembre","octubre","noviembre","diciembre"},0)+1,0))</f>
        <v/>
      </c>
      <c r="E1861" t="str">
        <f>+IFERROR(VLOOKUP(Fact_Impuestos[[#This Row], [Concepto Anterior]],Conceptos_Impuestos[#All],5,0),"")</f>
        <v/>
      </c>
      <c r="F1861" t="str">
        <f>+IFERROR(VLOOKUP(Fact_Impuestos[[#This Row], 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ht="18.75" customHeight="1" x14ac:dyDescent="0.35">
      <c r="C1862" s="100" t="str">
        <f>IF(OR(Fact_Impuestos[[#This Row], [Año]]="",Fact_Impuestos[[#This Row], [Mes]]=""),"",DATE(A1862,MATCH(B1862,{"enero","febrero","marzo","abril","mayo","junio","julio","agosto","septiembre","octubre","noviembre","diciembre"},0)+1,0))</f>
        <v/>
      </c>
      <c r="E1862" t="str">
        <f>+IFERROR(VLOOKUP(Fact_Impuestos[[#This Row], [Concepto Anterior]],Conceptos_Impuestos[#All],5,0),"")</f>
        <v/>
      </c>
      <c r="F1862" t="str">
        <f>+IFERROR(VLOOKUP(Fact_Impuestos[[#This Row], 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ht="18.75" customHeight="1" x14ac:dyDescent="0.35">
      <c r="C1863" s="100" t="str">
        <f>IF(OR(Fact_Impuestos[[#This Row], [Año]]="",Fact_Impuestos[[#This Row], [Mes]]=""),"",DATE(A1863,MATCH(B1863,{"enero","febrero","marzo","abril","mayo","junio","julio","agosto","septiembre","octubre","noviembre","diciembre"},0)+1,0))</f>
        <v/>
      </c>
      <c r="E1863" t="str">
        <f>+IFERROR(VLOOKUP(Fact_Impuestos[[#This Row], [Concepto Anterior]],Conceptos_Impuestos[#All],5,0),"")</f>
        <v/>
      </c>
      <c r="F1863" t="str">
        <f>+IFERROR(VLOOKUP(Fact_Impuestos[[#This Row], 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ht="18.75" customHeight="1" x14ac:dyDescent="0.35">
      <c r="C1864" s="100" t="str">
        <f>IF(OR(Fact_Impuestos[[#This Row], [Año]]="",Fact_Impuestos[[#This Row], [Mes]]=""),"",DATE(A1864,MATCH(B1864,{"enero","febrero","marzo","abril","mayo","junio","julio","agosto","septiembre","octubre","noviembre","diciembre"},0)+1,0))</f>
        <v/>
      </c>
      <c r="E1864" t="str">
        <f>+IFERROR(VLOOKUP(Fact_Impuestos[[#This Row], [Concepto Anterior]],Conceptos_Impuestos[#All],5,0),"")</f>
        <v/>
      </c>
      <c r="F1864" t="str">
        <f>+IFERROR(VLOOKUP(Fact_Impuestos[[#This Row], 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ht="18.75" customHeight="1" x14ac:dyDescent="0.35">
      <c r="C1865" s="100" t="str">
        <f>IF(OR(Fact_Impuestos[[#This Row], [Año]]="",Fact_Impuestos[[#This Row], [Mes]]=""),"",DATE(A1865,MATCH(B1865,{"enero","febrero","marzo","abril","mayo","junio","julio","agosto","septiembre","octubre","noviembre","diciembre"},0)+1,0))</f>
        <v/>
      </c>
      <c r="E1865" t="str">
        <f>+IFERROR(VLOOKUP(Fact_Impuestos[[#This Row], [Concepto Anterior]],Conceptos_Impuestos[#All],5,0),"")</f>
        <v/>
      </c>
      <c r="F1865" t="str">
        <f>+IFERROR(VLOOKUP(Fact_Impuestos[[#This Row], 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ht="18.75" customHeight="1" x14ac:dyDescent="0.35">
      <c r="C1866" s="100" t="str">
        <f>IF(OR(Fact_Impuestos[[#This Row], [Año]]="",Fact_Impuestos[[#This Row], [Mes]]=""),"",DATE(A1866,MATCH(B1866,{"enero","febrero","marzo","abril","mayo","junio","julio","agosto","septiembre","octubre","noviembre","diciembre"},0)+1,0))</f>
        <v/>
      </c>
      <c r="E1866" t="str">
        <f>+IFERROR(VLOOKUP(Fact_Impuestos[[#This Row], [Concepto Anterior]],Conceptos_Impuestos[#All],5,0),"")</f>
        <v/>
      </c>
      <c r="F1866" t="str">
        <f>+IFERROR(VLOOKUP(Fact_Impuestos[[#This Row], 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ht="18.75" customHeight="1" x14ac:dyDescent="0.35">
      <c r="C1867" s="100" t="str">
        <f>IF(OR(Fact_Impuestos[[#This Row], [Año]]="",Fact_Impuestos[[#This Row], [Mes]]=""),"",DATE(A1867,MATCH(B1867,{"enero","febrero","marzo","abril","mayo","junio","julio","agosto","septiembre","octubre","noviembre","diciembre"},0)+1,0))</f>
        <v/>
      </c>
      <c r="E1867" t="str">
        <f>+IFERROR(VLOOKUP(Fact_Impuestos[[#This Row], [Concepto Anterior]],Conceptos_Impuestos[#All],5,0),"")</f>
        <v/>
      </c>
      <c r="F1867" t="str">
        <f>+IFERROR(VLOOKUP(Fact_Impuestos[[#This Row], 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ht="18.75" customHeight="1" x14ac:dyDescent="0.35">
      <c r="C1868" s="100" t="str">
        <f>IF(OR(Fact_Impuestos[[#This Row], [Año]]="",Fact_Impuestos[[#This Row], [Mes]]=""),"",DATE(A1868,MATCH(B1868,{"enero","febrero","marzo","abril","mayo","junio","julio","agosto","septiembre","octubre","noviembre","diciembre"},0)+1,0))</f>
        <v/>
      </c>
      <c r="E1868" t="str">
        <f>+IFERROR(VLOOKUP(Fact_Impuestos[[#This Row], [Concepto Anterior]],Conceptos_Impuestos[#All],5,0),"")</f>
        <v/>
      </c>
      <c r="F1868" t="str">
        <f>+IFERROR(VLOOKUP(Fact_Impuestos[[#This Row], 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ht="18.75" customHeight="1" x14ac:dyDescent="0.35">
      <c r="C1869" s="100" t="str">
        <f>IF(OR(Fact_Impuestos[[#This Row], [Año]]="",Fact_Impuestos[[#This Row], [Mes]]=""),"",DATE(A1869,MATCH(B1869,{"enero","febrero","marzo","abril","mayo","junio","julio","agosto","septiembre","octubre","noviembre","diciembre"},0)+1,0))</f>
        <v/>
      </c>
      <c r="E1869" t="str">
        <f>+IFERROR(VLOOKUP(Fact_Impuestos[[#This Row], [Concepto Anterior]],Conceptos_Impuestos[#All],5,0),"")</f>
        <v/>
      </c>
      <c r="F1869" t="str">
        <f>+IFERROR(VLOOKUP(Fact_Impuestos[[#This Row], 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ht="18.75" customHeight="1" x14ac:dyDescent="0.35">
      <c r="C1870" s="100" t="str">
        <f>IF(OR(Fact_Impuestos[[#This Row], [Año]]="",Fact_Impuestos[[#This Row], [Mes]]=""),"",DATE(A1870,MATCH(B1870,{"enero","febrero","marzo","abril","mayo","junio","julio","agosto","septiembre","octubre","noviembre","diciembre"},0)+1,0))</f>
        <v/>
      </c>
      <c r="E1870" t="str">
        <f>+IFERROR(VLOOKUP(Fact_Impuestos[[#This Row], [Concepto Anterior]],Conceptos_Impuestos[#All],5,0),"")</f>
        <v/>
      </c>
      <c r="F1870" t="str">
        <f>+IFERROR(VLOOKUP(Fact_Impuestos[[#This Row], 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ht="18.75" customHeight="1" x14ac:dyDescent="0.35">
      <c r="C1871" s="100" t="str">
        <f>IF(OR(Fact_Impuestos[[#This Row], [Año]]="",Fact_Impuestos[[#This Row], [Mes]]=""),"",DATE(A1871,MATCH(B1871,{"enero","febrero","marzo","abril","mayo","junio","julio","agosto","septiembre","octubre","noviembre","diciembre"},0)+1,0))</f>
        <v/>
      </c>
      <c r="E1871" t="str">
        <f>+IFERROR(VLOOKUP(Fact_Impuestos[[#This Row], [Concepto Anterior]],Conceptos_Impuestos[#All],5,0),"")</f>
        <v/>
      </c>
      <c r="F1871" t="str">
        <f>+IFERROR(VLOOKUP(Fact_Impuestos[[#This Row], 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ht="18.75" customHeight="1" x14ac:dyDescent="0.35">
      <c r="C1872" s="100" t="str">
        <f>IF(OR(Fact_Impuestos[[#This Row], [Año]]="",Fact_Impuestos[[#This Row], [Mes]]=""),"",DATE(A1872,MATCH(B1872,{"enero","febrero","marzo","abril","mayo","junio","julio","agosto","septiembre","octubre","noviembre","diciembre"},0)+1,0))</f>
        <v/>
      </c>
      <c r="E1872" t="str">
        <f>+IFERROR(VLOOKUP(Fact_Impuestos[[#This Row], [Concepto Anterior]],Conceptos_Impuestos[#All],5,0),"")</f>
        <v/>
      </c>
      <c r="F1872" t="str">
        <f>+IFERROR(VLOOKUP(Fact_Impuestos[[#This Row], 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ht="18.75" customHeight="1" x14ac:dyDescent="0.35">
      <c r="C1873" s="100" t="str">
        <f>IF(OR(Fact_Impuestos[[#This Row], [Año]]="",Fact_Impuestos[[#This Row], [Mes]]=""),"",DATE(A1873,MATCH(B1873,{"enero","febrero","marzo","abril","mayo","junio","julio","agosto","septiembre","octubre","noviembre","diciembre"},0)+1,0))</f>
        <v/>
      </c>
      <c r="E1873" t="str">
        <f>+IFERROR(VLOOKUP(Fact_Impuestos[[#This Row], [Concepto Anterior]],Conceptos_Impuestos[#All],5,0),"")</f>
        <v/>
      </c>
      <c r="F1873" t="str">
        <f>+IFERROR(VLOOKUP(Fact_Impuestos[[#This Row], 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ht="18.75" customHeight="1" x14ac:dyDescent="0.35">
      <c r="C1874" s="100" t="str">
        <f>IF(OR(Fact_Impuestos[[#This Row], [Año]]="",Fact_Impuestos[[#This Row], [Mes]]=""),"",DATE(A1874,MATCH(B1874,{"enero","febrero","marzo","abril","mayo","junio","julio","agosto","septiembre","octubre","noviembre","diciembre"},0)+1,0))</f>
        <v/>
      </c>
      <c r="E1874" t="str">
        <f>+IFERROR(VLOOKUP(Fact_Impuestos[[#This Row], [Concepto Anterior]],Conceptos_Impuestos[#All],5,0),"")</f>
        <v/>
      </c>
      <c r="F1874" t="str">
        <f>+IFERROR(VLOOKUP(Fact_Impuestos[[#This Row], 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ht="18.75" customHeight="1" x14ac:dyDescent="0.35">
      <c r="C1875" s="100" t="str">
        <f>IF(OR(Fact_Impuestos[[#This Row], [Año]]="",Fact_Impuestos[[#This Row], [Mes]]=""),"",DATE(A1875,MATCH(B1875,{"enero","febrero","marzo","abril","mayo","junio","julio","agosto","septiembre","octubre","noviembre","diciembre"},0)+1,0))</f>
        <v/>
      </c>
      <c r="E1875" t="str">
        <f>+IFERROR(VLOOKUP(Fact_Impuestos[[#This Row], [Concepto Anterior]],Conceptos_Impuestos[#All],5,0),"")</f>
        <v/>
      </c>
      <c r="F1875" t="str">
        <f>+IFERROR(VLOOKUP(Fact_Impuestos[[#This Row], 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ht="18.75" customHeight="1" x14ac:dyDescent="0.35">
      <c r="C1876" s="100" t="str">
        <f>IF(OR(Fact_Impuestos[[#This Row], [Año]]="",Fact_Impuestos[[#This Row], [Mes]]=""),"",DATE(A1876,MATCH(B1876,{"enero","febrero","marzo","abril","mayo","junio","julio","agosto","septiembre","octubre","noviembre","diciembre"},0)+1,0))</f>
        <v/>
      </c>
      <c r="E1876" t="str">
        <f>+IFERROR(VLOOKUP(Fact_Impuestos[[#This Row], [Concepto Anterior]],Conceptos_Impuestos[#All],5,0),"")</f>
        <v/>
      </c>
      <c r="F1876" t="str">
        <f>+IFERROR(VLOOKUP(Fact_Impuestos[[#This Row], 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ht="18.75" customHeight="1" x14ac:dyDescent="0.35">
      <c r="C1877" s="100" t="str">
        <f>IF(OR(Fact_Impuestos[[#This Row], [Año]]="",Fact_Impuestos[[#This Row], [Mes]]=""),"",DATE(A1877,MATCH(B1877,{"enero","febrero","marzo","abril","mayo","junio","julio","agosto","septiembre","octubre","noviembre","diciembre"},0)+1,0))</f>
        <v/>
      </c>
      <c r="E1877" t="str">
        <f>+IFERROR(VLOOKUP(Fact_Impuestos[[#This Row], [Concepto Anterior]],Conceptos_Impuestos[#All],5,0),"")</f>
        <v/>
      </c>
      <c r="F1877" t="str">
        <f>+IFERROR(VLOOKUP(Fact_Impuestos[[#This Row], 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ht="18.75" customHeight="1" x14ac:dyDescent="0.35">
      <c r="C1878" s="100" t="str">
        <f>IF(OR(Fact_Impuestos[[#This Row], [Año]]="",Fact_Impuestos[[#This Row], [Mes]]=""),"",DATE(A1878,MATCH(B1878,{"enero","febrero","marzo","abril","mayo","junio","julio","agosto","septiembre","octubre","noviembre","diciembre"},0)+1,0))</f>
        <v/>
      </c>
      <c r="E1878" t="str">
        <f>+IFERROR(VLOOKUP(Fact_Impuestos[[#This Row], [Concepto Anterior]],Conceptos_Impuestos[#All],5,0),"")</f>
        <v/>
      </c>
      <c r="F1878" t="str">
        <f>+IFERROR(VLOOKUP(Fact_Impuestos[[#This Row], 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ht="18.75" customHeight="1" x14ac:dyDescent="0.35">
      <c r="C1879" s="100" t="str">
        <f>IF(OR(Fact_Impuestos[[#This Row], [Año]]="",Fact_Impuestos[[#This Row], [Mes]]=""),"",DATE(A1879,MATCH(B1879,{"enero","febrero","marzo","abril","mayo","junio","julio","agosto","septiembre","octubre","noviembre","diciembre"},0)+1,0))</f>
        <v/>
      </c>
      <c r="E1879" t="str">
        <f>+IFERROR(VLOOKUP(Fact_Impuestos[[#This Row], [Concepto Anterior]],Conceptos_Impuestos[#All],5,0),"")</f>
        <v/>
      </c>
      <c r="F1879" t="str">
        <f>+IFERROR(VLOOKUP(Fact_Impuestos[[#This Row], 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ht="18.75" customHeight="1" x14ac:dyDescent="0.35">
      <c r="C1880" s="100" t="str">
        <f>IF(OR(Fact_Impuestos[[#This Row], [Año]]="",Fact_Impuestos[[#This Row], [Mes]]=""),"",DATE(A1880,MATCH(B1880,{"enero","febrero","marzo","abril","mayo","junio","julio","agosto","septiembre","octubre","noviembre","diciembre"},0)+1,0))</f>
        <v/>
      </c>
      <c r="E1880" t="str">
        <f>+IFERROR(VLOOKUP(Fact_Impuestos[[#This Row], [Concepto Anterior]],Conceptos_Impuestos[#All],5,0),"")</f>
        <v/>
      </c>
      <c r="F1880" t="str">
        <f>+IFERROR(VLOOKUP(Fact_Impuestos[[#This Row], 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ht="18.75" customHeight="1" x14ac:dyDescent="0.35">
      <c r="C1881" s="100" t="str">
        <f>IF(OR(Fact_Impuestos[[#This Row], [Año]]="",Fact_Impuestos[[#This Row], [Mes]]=""),"",DATE(A1881,MATCH(B1881,{"enero","febrero","marzo","abril","mayo","junio","julio","agosto","septiembre","octubre","noviembre","diciembre"},0)+1,0))</f>
        <v/>
      </c>
      <c r="E1881" t="str">
        <f>+IFERROR(VLOOKUP(Fact_Impuestos[[#This Row], [Concepto Anterior]],Conceptos_Impuestos[#All],5,0),"")</f>
        <v/>
      </c>
      <c r="F1881" t="str">
        <f>+IFERROR(VLOOKUP(Fact_Impuestos[[#This Row], 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ht="18.75" customHeight="1" x14ac:dyDescent="0.35">
      <c r="C1882" s="100" t="str">
        <f>IF(OR(Fact_Impuestos[[#This Row], [Año]]="",Fact_Impuestos[[#This Row], [Mes]]=""),"",DATE(A1882,MATCH(B1882,{"enero","febrero","marzo","abril","mayo","junio","julio","agosto","septiembre","octubre","noviembre","diciembre"},0)+1,0))</f>
        <v/>
      </c>
      <c r="E1882" t="str">
        <f>+IFERROR(VLOOKUP(Fact_Impuestos[[#This Row], [Concepto Anterior]],Conceptos_Impuestos[#All],5,0),"")</f>
        <v/>
      </c>
      <c r="F1882" t="str">
        <f>+IFERROR(VLOOKUP(Fact_Impuestos[[#This Row], 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ht="18.75" customHeight="1" x14ac:dyDescent="0.35">
      <c r="C1883" s="100" t="str">
        <f>IF(OR(Fact_Impuestos[[#This Row], [Año]]="",Fact_Impuestos[[#This Row], [Mes]]=""),"",DATE(A1883,MATCH(B1883,{"enero","febrero","marzo","abril","mayo","junio","julio","agosto","septiembre","octubre","noviembre","diciembre"},0)+1,0))</f>
        <v/>
      </c>
      <c r="E1883" t="str">
        <f>+IFERROR(VLOOKUP(Fact_Impuestos[[#This Row], [Concepto Anterior]],Conceptos_Impuestos[#All],5,0),"")</f>
        <v/>
      </c>
      <c r="F1883" t="str">
        <f>+IFERROR(VLOOKUP(Fact_Impuestos[[#This Row], 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ht="18.75" customHeight="1" x14ac:dyDescent="0.35">
      <c r="C1884" s="100" t="str">
        <f>IF(OR(Fact_Impuestos[[#This Row], [Año]]="",Fact_Impuestos[[#This Row], [Mes]]=""),"",DATE(A1884,MATCH(B1884,{"enero","febrero","marzo","abril","mayo","junio","julio","agosto","septiembre","octubre","noviembre","diciembre"},0)+1,0))</f>
        <v/>
      </c>
      <c r="E1884" t="str">
        <f>+IFERROR(VLOOKUP(Fact_Impuestos[[#This Row], [Concepto Anterior]],Conceptos_Impuestos[#All],5,0),"")</f>
        <v/>
      </c>
      <c r="F1884" t="str">
        <f>+IFERROR(VLOOKUP(Fact_Impuestos[[#This Row], 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ht="18.75" customHeight="1" x14ac:dyDescent="0.35">
      <c r="C1885" s="100" t="str">
        <f>IF(OR(Fact_Impuestos[[#This Row], [Año]]="",Fact_Impuestos[[#This Row], [Mes]]=""),"",DATE(A1885,MATCH(B1885,{"enero","febrero","marzo","abril","mayo","junio","julio","agosto","septiembre","octubre","noviembre","diciembre"},0)+1,0))</f>
        <v/>
      </c>
      <c r="E1885" t="str">
        <f>+IFERROR(VLOOKUP(Fact_Impuestos[[#This Row], [Concepto Anterior]],Conceptos_Impuestos[#All],5,0),"")</f>
        <v/>
      </c>
      <c r="F1885" t="str">
        <f>+IFERROR(VLOOKUP(Fact_Impuestos[[#This Row], 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ht="18.75" customHeight="1" x14ac:dyDescent="0.35">
      <c r="C1886" s="100" t="str">
        <f>IF(OR(Fact_Impuestos[[#This Row], [Año]]="",Fact_Impuestos[[#This Row], [Mes]]=""),"",DATE(A1886,MATCH(B1886,{"enero","febrero","marzo","abril","mayo","junio","julio","agosto","septiembre","octubre","noviembre","diciembre"},0)+1,0))</f>
        <v/>
      </c>
      <c r="E1886" t="str">
        <f>+IFERROR(VLOOKUP(Fact_Impuestos[[#This Row], [Concepto Anterior]],Conceptos_Impuestos[#All],5,0),"")</f>
        <v/>
      </c>
      <c r="F1886" t="str">
        <f>+IFERROR(VLOOKUP(Fact_Impuestos[[#This Row], 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ht="18.75" customHeight="1" x14ac:dyDescent="0.35">
      <c r="C1887" s="100" t="str">
        <f>IF(OR(Fact_Impuestos[[#This Row], [Año]]="",Fact_Impuestos[[#This Row], [Mes]]=""),"",DATE(A1887,MATCH(B1887,{"enero","febrero","marzo","abril","mayo","junio","julio","agosto","septiembre","octubre","noviembre","diciembre"},0)+1,0))</f>
        <v/>
      </c>
      <c r="E1887" t="str">
        <f>+IFERROR(VLOOKUP(Fact_Impuestos[[#This Row], [Concepto Anterior]],Conceptos_Impuestos[#All],5,0),"")</f>
        <v/>
      </c>
      <c r="F1887" t="str">
        <f>+IFERROR(VLOOKUP(Fact_Impuestos[[#This Row], 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ht="18.75" customHeight="1" x14ac:dyDescent="0.35">
      <c r="C1888" s="100" t="str">
        <f>IF(OR(Fact_Impuestos[[#This Row], [Año]]="",Fact_Impuestos[[#This Row], [Mes]]=""),"",DATE(A1888,MATCH(B1888,{"enero","febrero","marzo","abril","mayo","junio","julio","agosto","septiembre","octubre","noviembre","diciembre"},0)+1,0))</f>
        <v/>
      </c>
      <c r="E1888" t="str">
        <f>+IFERROR(VLOOKUP(Fact_Impuestos[[#This Row], [Concepto Anterior]],Conceptos_Impuestos[#All],5,0),"")</f>
        <v/>
      </c>
      <c r="F1888" t="str">
        <f>+IFERROR(VLOOKUP(Fact_Impuestos[[#This Row], 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ht="18.75" customHeight="1" x14ac:dyDescent="0.35">
      <c r="C1889" s="100" t="str">
        <f>IF(OR(Fact_Impuestos[[#This Row], [Año]]="",Fact_Impuestos[[#This Row], [Mes]]=""),"",DATE(A1889,MATCH(B1889,{"enero","febrero","marzo","abril","mayo","junio","julio","agosto","septiembre","octubre","noviembre","diciembre"},0)+1,0))</f>
        <v/>
      </c>
      <c r="E1889" t="str">
        <f>+IFERROR(VLOOKUP(Fact_Impuestos[[#This Row], [Concepto Anterior]],Conceptos_Impuestos[#All],5,0),"")</f>
        <v/>
      </c>
      <c r="F1889" t="str">
        <f>+IFERROR(VLOOKUP(Fact_Impuestos[[#This Row], 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ht="18.75" customHeight="1" x14ac:dyDescent="0.35">
      <c r="C1890" s="100" t="str">
        <f>IF(OR(Fact_Impuestos[[#This Row], [Año]]="",Fact_Impuestos[[#This Row], [Mes]]=""),"",DATE(A1890,MATCH(B1890,{"enero","febrero","marzo","abril","mayo","junio","julio","agosto","septiembre","octubre","noviembre","diciembre"},0)+1,0))</f>
        <v/>
      </c>
      <c r="E1890" t="str">
        <f>+IFERROR(VLOOKUP(Fact_Impuestos[[#This Row], [Concepto Anterior]],Conceptos_Impuestos[#All],5,0),"")</f>
        <v/>
      </c>
      <c r="F1890" t="str">
        <f>+IFERROR(VLOOKUP(Fact_Impuestos[[#This Row], 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ht="18.75" customHeight="1" x14ac:dyDescent="0.35">
      <c r="C1891" s="100" t="str">
        <f>IF(OR(Fact_Impuestos[[#This Row], [Año]]="",Fact_Impuestos[[#This Row], [Mes]]=""),"",DATE(A1891,MATCH(B1891,{"enero","febrero","marzo","abril","mayo","junio","julio","agosto","septiembre","octubre","noviembre","diciembre"},0)+1,0))</f>
        <v/>
      </c>
      <c r="E1891" t="str">
        <f>+IFERROR(VLOOKUP(Fact_Impuestos[[#This Row], [Concepto Anterior]],Conceptos_Impuestos[#All],5,0),"")</f>
        <v/>
      </c>
      <c r="F1891" t="str">
        <f>+IFERROR(VLOOKUP(Fact_Impuestos[[#This Row], 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ht="18.75" customHeight="1" x14ac:dyDescent="0.35">
      <c r="C1892" s="100" t="str">
        <f>IF(OR(Fact_Impuestos[[#This Row], [Año]]="",Fact_Impuestos[[#This Row], [Mes]]=""),"",DATE(A1892,MATCH(B1892,{"enero","febrero","marzo","abril","mayo","junio","julio","agosto","septiembre","octubre","noviembre","diciembre"},0)+1,0))</f>
        <v/>
      </c>
      <c r="E1892" t="str">
        <f>+IFERROR(VLOOKUP(Fact_Impuestos[[#This Row], [Concepto Anterior]],Conceptos_Impuestos[#All],5,0),"")</f>
        <v/>
      </c>
      <c r="F1892" t="str">
        <f>+IFERROR(VLOOKUP(Fact_Impuestos[[#This Row], 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ht="18.75" customHeight="1" x14ac:dyDescent="0.35">
      <c r="C1893" s="100" t="str">
        <f>IF(OR(Fact_Impuestos[[#This Row], [Año]]="",Fact_Impuestos[[#This Row], [Mes]]=""),"",DATE(A1893,MATCH(B1893,{"enero","febrero","marzo","abril","mayo","junio","julio","agosto","septiembre","octubre","noviembre","diciembre"},0)+1,0))</f>
        <v/>
      </c>
      <c r="E1893" t="str">
        <f>+IFERROR(VLOOKUP(Fact_Impuestos[[#This Row], [Concepto Anterior]],Conceptos_Impuestos[#All],5,0),"")</f>
        <v/>
      </c>
      <c r="F1893" t="str">
        <f>+IFERROR(VLOOKUP(Fact_Impuestos[[#This Row], 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ht="18.75" customHeight="1" x14ac:dyDescent="0.35">
      <c r="C1894" s="100" t="str">
        <f>IF(OR(Fact_Impuestos[[#This Row], [Año]]="",Fact_Impuestos[[#This Row], [Mes]]=""),"",DATE(A1894,MATCH(B1894,{"enero","febrero","marzo","abril","mayo","junio","julio","agosto","septiembre","octubre","noviembre","diciembre"},0)+1,0))</f>
        <v/>
      </c>
      <c r="E1894" t="str">
        <f>+IFERROR(VLOOKUP(Fact_Impuestos[[#This Row], [Concepto Anterior]],Conceptos_Impuestos[#All],5,0),"")</f>
        <v/>
      </c>
      <c r="F1894" t="str">
        <f>+IFERROR(VLOOKUP(Fact_Impuestos[[#This Row], 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ht="18.75" customHeight="1" x14ac:dyDescent="0.35">
      <c r="C1895" s="100" t="str">
        <f>IF(OR(Fact_Impuestos[[#This Row], [Año]]="",Fact_Impuestos[[#This Row], [Mes]]=""),"",DATE(A1895,MATCH(B1895,{"enero","febrero","marzo","abril","mayo","junio","julio","agosto","septiembre","octubre","noviembre","diciembre"},0)+1,0))</f>
        <v/>
      </c>
      <c r="E1895" t="str">
        <f>+IFERROR(VLOOKUP(Fact_Impuestos[[#This Row], [Concepto Anterior]],Conceptos_Impuestos[#All],5,0),"")</f>
        <v/>
      </c>
      <c r="F1895" t="str">
        <f>+IFERROR(VLOOKUP(Fact_Impuestos[[#This Row], 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ht="18.75" customHeight="1" x14ac:dyDescent="0.35">
      <c r="C1896" s="100" t="str">
        <f>IF(OR(Fact_Impuestos[[#This Row], [Año]]="",Fact_Impuestos[[#This Row], [Mes]]=""),"",DATE(A1896,MATCH(B1896,{"enero","febrero","marzo","abril","mayo","junio","julio","agosto","septiembre","octubre","noviembre","diciembre"},0)+1,0))</f>
        <v/>
      </c>
      <c r="E1896" t="str">
        <f>+IFERROR(VLOOKUP(Fact_Impuestos[[#This Row], [Concepto Anterior]],Conceptos_Impuestos[#All],5,0),"")</f>
        <v/>
      </c>
      <c r="F1896" t="str">
        <f>+IFERROR(VLOOKUP(Fact_Impuestos[[#This Row], 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ht="18.75" customHeight="1" x14ac:dyDescent="0.35">
      <c r="C1897" s="100" t="str">
        <f>IF(OR(Fact_Impuestos[[#This Row], [Año]]="",Fact_Impuestos[[#This Row], [Mes]]=""),"",DATE(A1897,MATCH(B1897,{"enero","febrero","marzo","abril","mayo","junio","julio","agosto","septiembre","octubre","noviembre","diciembre"},0)+1,0))</f>
        <v/>
      </c>
      <c r="E1897" t="str">
        <f>+IFERROR(VLOOKUP(Fact_Impuestos[[#This Row], [Concepto Anterior]],Conceptos_Impuestos[#All],5,0),"")</f>
        <v/>
      </c>
      <c r="F1897" t="str">
        <f>+IFERROR(VLOOKUP(Fact_Impuestos[[#This Row], 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ht="18.75" customHeight="1" x14ac:dyDescent="0.35">
      <c r="C1898" s="100" t="str">
        <f>IF(OR(Fact_Impuestos[[#This Row], [Año]]="",Fact_Impuestos[[#This Row], [Mes]]=""),"",DATE(A1898,MATCH(B1898,{"enero","febrero","marzo","abril","mayo","junio","julio","agosto","septiembre","octubre","noviembre","diciembre"},0)+1,0))</f>
        <v/>
      </c>
      <c r="E1898" t="str">
        <f>+IFERROR(VLOOKUP(Fact_Impuestos[[#This Row], [Concepto Anterior]],Conceptos_Impuestos[#All],5,0),"")</f>
        <v/>
      </c>
      <c r="F1898" t="str">
        <f>+IFERROR(VLOOKUP(Fact_Impuestos[[#This Row], 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ht="18.75" customHeight="1" x14ac:dyDescent="0.35">
      <c r="C1899" s="100" t="str">
        <f>IF(OR(Fact_Impuestos[[#This Row], [Año]]="",Fact_Impuestos[[#This Row], [Mes]]=""),"",DATE(A1899,MATCH(B1899,{"enero","febrero","marzo","abril","mayo","junio","julio","agosto","septiembre","octubre","noviembre","diciembre"},0)+1,0))</f>
        <v/>
      </c>
      <c r="E1899" t="str">
        <f>+IFERROR(VLOOKUP(Fact_Impuestos[[#This Row], [Concepto Anterior]],Conceptos_Impuestos[#All],5,0),"")</f>
        <v/>
      </c>
      <c r="F1899" t="str">
        <f>+IFERROR(VLOOKUP(Fact_Impuestos[[#This Row], 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ht="18.75" customHeight="1" x14ac:dyDescent="0.35">
      <c r="C1900" s="100" t="str">
        <f>IF(OR(Fact_Impuestos[[#This Row], [Año]]="",Fact_Impuestos[[#This Row], [Mes]]=""),"",DATE(A1900,MATCH(B1900,{"enero","febrero","marzo","abril","mayo","junio","julio","agosto","septiembre","octubre","noviembre","diciembre"},0)+1,0))</f>
        <v/>
      </c>
      <c r="E1900" t="str">
        <f>+IFERROR(VLOOKUP(Fact_Impuestos[[#This Row], [Concepto Anterior]],Conceptos_Impuestos[#All],5,0),"")</f>
        <v/>
      </c>
      <c r="F1900" t="str">
        <f>+IFERROR(VLOOKUP(Fact_Impuestos[[#This Row], 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ht="18.75" customHeight="1" x14ac:dyDescent="0.35">
      <c r="C1901" s="100" t="str">
        <f>IF(OR(Fact_Impuestos[[#This Row], [Año]]="",Fact_Impuestos[[#This Row], [Mes]]=""),"",DATE(A1901,MATCH(B1901,{"enero","febrero","marzo","abril","mayo","junio","julio","agosto","septiembre","octubre","noviembre","diciembre"},0)+1,0))</f>
        <v/>
      </c>
      <c r="E1901" t="str">
        <f>+IFERROR(VLOOKUP(Fact_Impuestos[[#This Row], [Concepto Anterior]],Conceptos_Impuestos[#All],5,0),"")</f>
        <v/>
      </c>
      <c r="F1901" t="str">
        <f>+IFERROR(VLOOKUP(Fact_Impuestos[[#This Row], 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ht="18.75" customHeight="1" x14ac:dyDescent="0.35">
      <c r="C1902" s="100" t="str">
        <f>IF(OR(Fact_Impuestos[[#This Row], [Año]]="",Fact_Impuestos[[#This Row], [Mes]]=""),"",DATE(A1902,MATCH(B1902,{"enero","febrero","marzo","abril","mayo","junio","julio","agosto","septiembre","octubre","noviembre","diciembre"},0)+1,0))</f>
        <v/>
      </c>
      <c r="E1902" t="str">
        <f>+IFERROR(VLOOKUP(Fact_Impuestos[[#This Row], [Concepto Anterior]],Conceptos_Impuestos[#All],5,0),"")</f>
        <v/>
      </c>
      <c r="F1902" t="str">
        <f>+IFERROR(VLOOKUP(Fact_Impuestos[[#This Row], 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ht="18.75" customHeight="1" x14ac:dyDescent="0.35">
      <c r="C1903" s="100" t="str">
        <f>IF(OR(Fact_Impuestos[[#This Row], [Año]]="",Fact_Impuestos[[#This Row], [Mes]]=""),"",DATE(A1903,MATCH(B1903,{"enero","febrero","marzo","abril","mayo","junio","julio","agosto","septiembre","octubre","noviembre","diciembre"},0)+1,0))</f>
        <v/>
      </c>
      <c r="E1903" t="str">
        <f>+IFERROR(VLOOKUP(Fact_Impuestos[[#This Row], [Concepto Anterior]],Conceptos_Impuestos[#All],5,0),"")</f>
        <v/>
      </c>
      <c r="F1903" t="str">
        <f>+IFERROR(VLOOKUP(Fact_Impuestos[[#This Row], 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ht="18.75" customHeight="1" x14ac:dyDescent="0.35">
      <c r="C1904" s="100" t="str">
        <f>IF(OR(Fact_Impuestos[[#This Row], [Año]]="",Fact_Impuestos[[#This Row], [Mes]]=""),"",DATE(A1904,MATCH(B1904,{"enero","febrero","marzo","abril","mayo","junio","julio","agosto","septiembre","octubre","noviembre","diciembre"},0)+1,0))</f>
        <v/>
      </c>
      <c r="E1904" t="str">
        <f>+IFERROR(VLOOKUP(Fact_Impuestos[[#This Row], [Concepto Anterior]],Conceptos_Impuestos[#All],5,0),"")</f>
        <v/>
      </c>
      <c r="F1904" t="str">
        <f>+IFERROR(VLOOKUP(Fact_Impuestos[[#This Row], 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ht="18.75" customHeight="1" x14ac:dyDescent="0.35">
      <c r="C1905" s="100" t="str">
        <f>IF(OR(Fact_Impuestos[[#This Row], [Año]]="",Fact_Impuestos[[#This Row], [Mes]]=""),"",DATE(A1905,MATCH(B1905,{"enero","febrero","marzo","abril","mayo","junio","julio","agosto","septiembre","octubre","noviembre","diciembre"},0)+1,0))</f>
        <v/>
      </c>
      <c r="E1905" t="str">
        <f>+IFERROR(VLOOKUP(Fact_Impuestos[[#This Row], [Concepto Anterior]],Conceptos_Impuestos[#All],5,0),"")</f>
        <v/>
      </c>
      <c r="F1905" t="str">
        <f>+IFERROR(VLOOKUP(Fact_Impuestos[[#This Row], 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ht="18.75" customHeight="1" x14ac:dyDescent="0.35">
      <c r="C1906" s="100" t="str">
        <f>IF(OR(Fact_Impuestos[[#This Row], [Año]]="",Fact_Impuestos[[#This Row], [Mes]]=""),"",DATE(A1906,MATCH(B1906,{"enero","febrero","marzo","abril","mayo","junio","julio","agosto","septiembre","octubre","noviembre","diciembre"},0)+1,0))</f>
        <v/>
      </c>
      <c r="E1906" t="str">
        <f>+IFERROR(VLOOKUP(Fact_Impuestos[[#This Row], [Concepto Anterior]],Conceptos_Impuestos[#All],5,0),"")</f>
        <v/>
      </c>
      <c r="F1906" t="str">
        <f>+IFERROR(VLOOKUP(Fact_Impuestos[[#This Row], 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ht="18.75" customHeight="1" x14ac:dyDescent="0.35">
      <c r="C1907" s="100" t="str">
        <f>IF(OR(Fact_Impuestos[[#This Row], [Año]]="",Fact_Impuestos[[#This Row], [Mes]]=""),"",DATE(A1907,MATCH(B1907,{"enero","febrero","marzo","abril","mayo","junio","julio","agosto","septiembre","octubre","noviembre","diciembre"},0)+1,0))</f>
        <v/>
      </c>
      <c r="E1907" t="str">
        <f>+IFERROR(VLOOKUP(Fact_Impuestos[[#This Row], [Concepto Anterior]],Conceptos_Impuestos[#All],5,0),"")</f>
        <v/>
      </c>
      <c r="F1907" t="str">
        <f>+IFERROR(VLOOKUP(Fact_Impuestos[[#This Row], 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ht="18.75" customHeight="1" x14ac:dyDescent="0.35">
      <c r="C1908" s="100" t="str">
        <f>IF(OR(Fact_Impuestos[[#This Row], [Año]]="",Fact_Impuestos[[#This Row], [Mes]]=""),"",DATE(A1908,MATCH(B1908,{"enero","febrero","marzo","abril","mayo","junio","julio","agosto","septiembre","octubre","noviembre","diciembre"},0)+1,0))</f>
        <v/>
      </c>
      <c r="E1908" t="str">
        <f>+IFERROR(VLOOKUP(Fact_Impuestos[[#This Row], [Concepto Anterior]],Conceptos_Impuestos[#All],5,0),"")</f>
        <v/>
      </c>
      <c r="F1908" t="str">
        <f>+IFERROR(VLOOKUP(Fact_Impuestos[[#This Row], 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ht="18.75" customHeight="1" x14ac:dyDescent="0.35">
      <c r="C1909" s="100" t="str">
        <f>IF(OR(Fact_Impuestos[[#This Row], [Año]]="",Fact_Impuestos[[#This Row], [Mes]]=""),"",DATE(A1909,MATCH(B1909,{"enero","febrero","marzo","abril","mayo","junio","julio","agosto","septiembre","octubre","noviembre","diciembre"},0)+1,0))</f>
        <v/>
      </c>
      <c r="E1909" t="str">
        <f>+IFERROR(VLOOKUP(Fact_Impuestos[[#This Row], [Concepto Anterior]],Conceptos_Impuestos[#All],5,0),"")</f>
        <v/>
      </c>
      <c r="F1909" t="str">
        <f>+IFERROR(VLOOKUP(Fact_Impuestos[[#This Row], 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ht="18.75" customHeight="1" x14ac:dyDescent="0.35">
      <c r="C1910" s="100" t="str">
        <f>IF(OR(Fact_Impuestos[[#This Row], [Año]]="",Fact_Impuestos[[#This Row], [Mes]]=""),"",DATE(A1910,MATCH(B1910,{"enero","febrero","marzo","abril","mayo","junio","julio","agosto","septiembre","octubre","noviembre","diciembre"},0)+1,0))</f>
        <v/>
      </c>
      <c r="E1910" t="str">
        <f>+IFERROR(VLOOKUP(Fact_Impuestos[[#This Row], [Concepto Anterior]],Conceptos_Impuestos[#All],5,0),"")</f>
        <v/>
      </c>
      <c r="F1910" t="str">
        <f>+IFERROR(VLOOKUP(Fact_Impuestos[[#This Row], 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ht="18.75" customHeight="1" x14ac:dyDescent="0.35">
      <c r="C1911" s="100" t="str">
        <f>IF(OR(Fact_Impuestos[[#This Row], [Año]]="",Fact_Impuestos[[#This Row], [Mes]]=""),"",DATE(A1911,MATCH(B1911,{"enero","febrero","marzo","abril","mayo","junio","julio","agosto","septiembre","octubre","noviembre","diciembre"},0)+1,0))</f>
        <v/>
      </c>
      <c r="E1911" t="str">
        <f>+IFERROR(VLOOKUP(Fact_Impuestos[[#This Row], [Concepto Anterior]],Conceptos_Impuestos[#All],5,0),"")</f>
        <v/>
      </c>
      <c r="F1911" t="str">
        <f>+IFERROR(VLOOKUP(Fact_Impuestos[[#This Row], 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ht="18.75" customHeight="1" x14ac:dyDescent="0.35">
      <c r="C1912" s="100" t="str">
        <f>IF(OR(Fact_Impuestos[[#This Row], [Año]]="",Fact_Impuestos[[#This Row], [Mes]]=""),"",DATE(A1912,MATCH(B1912,{"enero","febrero","marzo","abril","mayo","junio","julio","agosto","septiembre","octubre","noviembre","diciembre"},0)+1,0))</f>
        <v/>
      </c>
      <c r="E1912" t="str">
        <f>+IFERROR(VLOOKUP(Fact_Impuestos[[#This Row], [Concepto Anterior]],Conceptos_Impuestos[#All],5,0),"")</f>
        <v/>
      </c>
      <c r="F1912" t="str">
        <f>+IFERROR(VLOOKUP(Fact_Impuestos[[#This Row], 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ht="18.75" customHeight="1" x14ac:dyDescent="0.35">
      <c r="C1913" s="100" t="str">
        <f>IF(OR(Fact_Impuestos[[#This Row], [Año]]="",Fact_Impuestos[[#This Row], [Mes]]=""),"",DATE(A1913,MATCH(B1913,{"enero","febrero","marzo","abril","mayo","junio","julio","agosto","septiembre","octubre","noviembre","diciembre"},0)+1,0))</f>
        <v/>
      </c>
      <c r="E1913" t="str">
        <f>+IFERROR(VLOOKUP(Fact_Impuestos[[#This Row], [Concepto Anterior]],Conceptos_Impuestos[#All],5,0),"")</f>
        <v/>
      </c>
      <c r="F1913" t="str">
        <f>+IFERROR(VLOOKUP(Fact_Impuestos[[#This Row], 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ht="18.75" customHeight="1" x14ac:dyDescent="0.35">
      <c r="C1914" s="100" t="str">
        <f>IF(OR(Fact_Impuestos[[#This Row], [Año]]="",Fact_Impuestos[[#This Row], [Mes]]=""),"",DATE(A1914,MATCH(B1914,{"enero","febrero","marzo","abril","mayo","junio","julio","agosto","septiembre","octubre","noviembre","diciembre"},0)+1,0))</f>
        <v/>
      </c>
      <c r="E1914" t="str">
        <f>+IFERROR(VLOOKUP(Fact_Impuestos[[#This Row], [Concepto Anterior]],Conceptos_Impuestos[#All],5,0),"")</f>
        <v/>
      </c>
      <c r="F1914" t="str">
        <f>+IFERROR(VLOOKUP(Fact_Impuestos[[#This Row], 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ht="18.75" customHeight="1" x14ac:dyDescent="0.35">
      <c r="C1915" s="100" t="str">
        <f>IF(OR(Fact_Impuestos[[#This Row], [Año]]="",Fact_Impuestos[[#This Row], [Mes]]=""),"",DATE(A1915,MATCH(B1915,{"enero","febrero","marzo","abril","mayo","junio","julio","agosto","septiembre","octubre","noviembre","diciembre"},0)+1,0))</f>
        <v/>
      </c>
      <c r="E1915" t="str">
        <f>+IFERROR(VLOOKUP(Fact_Impuestos[[#This Row], [Concepto Anterior]],Conceptos_Impuestos[#All],5,0),"")</f>
        <v/>
      </c>
      <c r="F1915" t="str">
        <f>+IFERROR(VLOOKUP(Fact_Impuestos[[#This Row], 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ht="18.75" customHeight="1" x14ac:dyDescent="0.35">
      <c r="C1916" s="100" t="str">
        <f>IF(OR(Fact_Impuestos[[#This Row], [Año]]="",Fact_Impuestos[[#This Row], [Mes]]=""),"",DATE(A1916,MATCH(B1916,{"enero","febrero","marzo","abril","mayo","junio","julio","agosto","septiembre","octubre","noviembre","diciembre"},0)+1,0))</f>
        <v/>
      </c>
      <c r="E1916" t="str">
        <f>+IFERROR(VLOOKUP(Fact_Impuestos[[#This Row], [Concepto Anterior]],Conceptos_Impuestos[#All],5,0),"")</f>
        <v/>
      </c>
      <c r="F1916" t="str">
        <f>+IFERROR(VLOOKUP(Fact_Impuestos[[#This Row], 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ht="18.75" customHeight="1" x14ac:dyDescent="0.35">
      <c r="C1917" s="100" t="str">
        <f>IF(OR(Fact_Impuestos[[#This Row], [Año]]="",Fact_Impuestos[[#This Row], [Mes]]=""),"",DATE(A1917,MATCH(B1917,{"enero","febrero","marzo","abril","mayo","junio","julio","agosto","septiembre","octubre","noviembre","diciembre"},0)+1,0))</f>
        <v/>
      </c>
      <c r="E1917" t="str">
        <f>+IFERROR(VLOOKUP(Fact_Impuestos[[#This Row], [Concepto Anterior]],Conceptos_Impuestos[#All],5,0),"")</f>
        <v/>
      </c>
      <c r="F1917" t="str">
        <f>+IFERROR(VLOOKUP(Fact_Impuestos[[#This Row], 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ht="18.75" customHeight="1" x14ac:dyDescent="0.35">
      <c r="C1918" s="100" t="str">
        <f>IF(OR(Fact_Impuestos[[#This Row], [Año]]="",Fact_Impuestos[[#This Row], [Mes]]=""),"",DATE(A1918,MATCH(B1918,{"enero","febrero","marzo","abril","mayo","junio","julio","agosto","septiembre","octubre","noviembre","diciembre"},0)+1,0))</f>
        <v/>
      </c>
      <c r="E1918" t="str">
        <f>+IFERROR(VLOOKUP(Fact_Impuestos[[#This Row], [Concepto Anterior]],Conceptos_Impuestos[#All],5,0),"")</f>
        <v/>
      </c>
      <c r="F1918" t="str">
        <f>+IFERROR(VLOOKUP(Fact_Impuestos[[#This Row], 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ht="18.75" customHeight="1" x14ac:dyDescent="0.35">
      <c r="C1919" s="100" t="str">
        <f>IF(OR(Fact_Impuestos[[#This Row], [Año]]="",Fact_Impuestos[[#This Row], [Mes]]=""),"",DATE(A1919,MATCH(B1919,{"enero","febrero","marzo","abril","mayo","junio","julio","agosto","septiembre","octubre","noviembre","diciembre"},0)+1,0))</f>
        <v/>
      </c>
      <c r="E1919" t="str">
        <f>+IFERROR(VLOOKUP(Fact_Impuestos[[#This Row], [Concepto Anterior]],Conceptos_Impuestos[#All],5,0),"")</f>
        <v/>
      </c>
      <c r="F1919" t="str">
        <f>+IFERROR(VLOOKUP(Fact_Impuestos[[#This Row], 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ht="18.75" customHeight="1" x14ac:dyDescent="0.35">
      <c r="C1920" s="100" t="str">
        <f>IF(OR(Fact_Impuestos[[#This Row], [Año]]="",Fact_Impuestos[[#This Row], [Mes]]=""),"",DATE(A1920,MATCH(B1920,{"enero","febrero","marzo","abril","mayo","junio","julio","agosto","septiembre","octubre","noviembre","diciembre"},0)+1,0))</f>
        <v/>
      </c>
      <c r="E1920" t="str">
        <f>+IFERROR(VLOOKUP(Fact_Impuestos[[#This Row], [Concepto Anterior]],Conceptos_Impuestos[#All],5,0),"")</f>
        <v/>
      </c>
      <c r="F1920" t="str">
        <f>+IFERROR(VLOOKUP(Fact_Impuestos[[#This Row], 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ht="18.75" customHeight="1" x14ac:dyDescent="0.35">
      <c r="C1921" s="100" t="str">
        <f>IF(OR(Fact_Impuestos[[#This Row], [Año]]="",Fact_Impuestos[[#This Row], [Mes]]=""),"",DATE(A1921,MATCH(B1921,{"enero","febrero","marzo","abril","mayo","junio","julio","agosto","septiembre","octubre","noviembre","diciembre"},0)+1,0))</f>
        <v/>
      </c>
      <c r="E1921" t="str">
        <f>+IFERROR(VLOOKUP(Fact_Impuestos[[#This Row], [Concepto Anterior]],Conceptos_Impuestos[#All],5,0),"")</f>
        <v/>
      </c>
      <c r="F1921" t="str">
        <f>+IFERROR(VLOOKUP(Fact_Impuestos[[#This Row], 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ht="18.75" customHeight="1" x14ac:dyDescent="0.35">
      <c r="C1922" s="100" t="str">
        <f>IF(OR(Fact_Impuestos[[#This Row], [Año]]="",Fact_Impuestos[[#This Row], [Mes]]=""),"",DATE(A1922,MATCH(B1922,{"enero","febrero","marzo","abril","mayo","junio","julio","agosto","septiembre","octubre","noviembre","diciembre"},0)+1,0))</f>
        <v/>
      </c>
      <c r="E1922" t="str">
        <f>+IFERROR(VLOOKUP(Fact_Impuestos[[#This Row], [Concepto Anterior]],Conceptos_Impuestos[#All],5,0),"")</f>
        <v/>
      </c>
      <c r="F1922" t="str">
        <f>+IFERROR(VLOOKUP(Fact_Impuestos[[#This Row], 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ht="18.75" customHeight="1" x14ac:dyDescent="0.35">
      <c r="C1923" s="100" t="str">
        <f>IF(OR(Fact_Impuestos[[#This Row], [Año]]="",Fact_Impuestos[[#This Row], [Mes]]=""),"",DATE(A1923,MATCH(B1923,{"enero","febrero","marzo","abril","mayo","junio","julio","agosto","septiembre","octubre","noviembre","diciembre"},0)+1,0))</f>
        <v/>
      </c>
      <c r="E1923" t="str">
        <f>+IFERROR(VLOOKUP(Fact_Impuestos[[#This Row], [Concepto Anterior]],Conceptos_Impuestos[#All],5,0),"")</f>
        <v/>
      </c>
      <c r="F1923" t="str">
        <f>+IFERROR(VLOOKUP(Fact_Impuestos[[#This Row], 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ht="18.75" customHeight="1" x14ac:dyDescent="0.35">
      <c r="C1924" s="100" t="str">
        <f>IF(OR(Fact_Impuestos[[#This Row], [Año]]="",Fact_Impuestos[[#This Row], [Mes]]=""),"",DATE(A1924,MATCH(B1924,{"enero","febrero","marzo","abril","mayo","junio","julio","agosto","septiembre","octubre","noviembre","diciembre"},0)+1,0))</f>
        <v/>
      </c>
      <c r="E1924" t="str">
        <f>+IFERROR(VLOOKUP(Fact_Impuestos[[#This Row], [Concepto Anterior]],Conceptos_Impuestos[#All],5,0),"")</f>
        <v/>
      </c>
      <c r="F1924" t="str">
        <f>+IFERROR(VLOOKUP(Fact_Impuestos[[#This Row], 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ht="18.75" customHeight="1" x14ac:dyDescent="0.35">
      <c r="C1925" s="100" t="str">
        <f>IF(OR(Fact_Impuestos[[#This Row], [Año]]="",Fact_Impuestos[[#This Row], [Mes]]=""),"",DATE(A1925,MATCH(B1925,{"enero","febrero","marzo","abril","mayo","junio","julio","agosto","septiembre","octubre","noviembre","diciembre"},0)+1,0))</f>
        <v/>
      </c>
      <c r="E1925" t="str">
        <f>+IFERROR(VLOOKUP(Fact_Impuestos[[#This Row], [Concepto Anterior]],Conceptos_Impuestos[#All],5,0),"")</f>
        <v/>
      </c>
      <c r="F1925" t="str">
        <f>+IFERROR(VLOOKUP(Fact_Impuestos[[#This Row], 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ht="18.75" customHeight="1" x14ac:dyDescent="0.35">
      <c r="C1926" s="100" t="str">
        <f>IF(OR(Fact_Impuestos[[#This Row], [Año]]="",Fact_Impuestos[[#This Row], [Mes]]=""),"",DATE(A1926,MATCH(B1926,{"enero","febrero","marzo","abril","mayo","junio","julio","agosto","septiembre","octubre","noviembre","diciembre"},0)+1,0))</f>
        <v/>
      </c>
      <c r="E1926" t="str">
        <f>+IFERROR(VLOOKUP(Fact_Impuestos[[#This Row], [Concepto Anterior]],Conceptos_Impuestos[#All],5,0),"")</f>
        <v/>
      </c>
      <c r="F1926" t="str">
        <f>+IFERROR(VLOOKUP(Fact_Impuestos[[#This Row], 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ht="18.75" customHeight="1" x14ac:dyDescent="0.35">
      <c r="C1927" s="100" t="str">
        <f>IF(OR(Fact_Impuestos[[#This Row], [Año]]="",Fact_Impuestos[[#This Row], [Mes]]=""),"",DATE(A1927,MATCH(B1927,{"enero","febrero","marzo","abril","mayo","junio","julio","agosto","septiembre","octubre","noviembre","diciembre"},0)+1,0))</f>
        <v/>
      </c>
      <c r="E1927" t="str">
        <f>+IFERROR(VLOOKUP(Fact_Impuestos[[#This Row], [Concepto Anterior]],Conceptos_Impuestos[#All],5,0),"")</f>
        <v/>
      </c>
      <c r="F1927" t="str">
        <f>+IFERROR(VLOOKUP(Fact_Impuestos[[#This Row], 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ht="18.75" customHeight="1" x14ac:dyDescent="0.35">
      <c r="C1928" s="100" t="str">
        <f>IF(OR(Fact_Impuestos[[#This Row], [Año]]="",Fact_Impuestos[[#This Row], [Mes]]=""),"",DATE(A1928,MATCH(B1928,{"enero","febrero","marzo","abril","mayo","junio","julio","agosto","septiembre","octubre","noviembre","diciembre"},0)+1,0))</f>
        <v/>
      </c>
      <c r="E1928" t="str">
        <f>+IFERROR(VLOOKUP(Fact_Impuestos[[#This Row], [Concepto Anterior]],Conceptos_Impuestos[#All],5,0),"")</f>
        <v/>
      </c>
      <c r="F1928" t="str">
        <f>+IFERROR(VLOOKUP(Fact_Impuestos[[#This Row], 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ht="18.75" customHeight="1" x14ac:dyDescent="0.35">
      <c r="C1929" s="100" t="str">
        <f>IF(OR(Fact_Impuestos[[#This Row], [Año]]="",Fact_Impuestos[[#This Row], [Mes]]=""),"",DATE(A1929,MATCH(B1929,{"enero","febrero","marzo","abril","mayo","junio","julio","agosto","septiembre","octubre","noviembre","diciembre"},0)+1,0))</f>
        <v/>
      </c>
      <c r="E1929" t="str">
        <f>+IFERROR(VLOOKUP(Fact_Impuestos[[#This Row], [Concepto Anterior]],Conceptos_Impuestos[#All],5,0),"")</f>
        <v/>
      </c>
      <c r="F1929" t="str">
        <f>+IFERROR(VLOOKUP(Fact_Impuestos[[#This Row], 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ht="18.75" customHeight="1" x14ac:dyDescent="0.35">
      <c r="C1930" s="100" t="str">
        <f>IF(OR(Fact_Impuestos[[#This Row], [Año]]="",Fact_Impuestos[[#This Row], [Mes]]=""),"",DATE(A1930,MATCH(B1930,{"enero","febrero","marzo","abril","mayo","junio","julio","agosto","septiembre","octubre","noviembre","diciembre"},0)+1,0))</f>
        <v/>
      </c>
      <c r="E1930" t="str">
        <f>+IFERROR(VLOOKUP(Fact_Impuestos[[#This Row], [Concepto Anterior]],Conceptos_Impuestos[#All],5,0),"")</f>
        <v/>
      </c>
      <c r="F1930" t="str">
        <f>+IFERROR(VLOOKUP(Fact_Impuestos[[#This Row], 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ht="18.75" customHeight="1" x14ac:dyDescent="0.35">
      <c r="C1931" s="100" t="str">
        <f>IF(OR(Fact_Impuestos[[#This Row], [Año]]="",Fact_Impuestos[[#This Row], [Mes]]=""),"",DATE(A1931,MATCH(B1931,{"enero","febrero","marzo","abril","mayo","junio","julio","agosto","septiembre","octubre","noviembre","diciembre"},0)+1,0))</f>
        <v/>
      </c>
      <c r="E1931" t="str">
        <f>+IFERROR(VLOOKUP(Fact_Impuestos[[#This Row], [Concepto Anterior]],Conceptos_Impuestos[#All],5,0),"")</f>
        <v/>
      </c>
      <c r="F1931" t="str">
        <f>+IFERROR(VLOOKUP(Fact_Impuestos[[#This Row], 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ht="18.75" customHeight="1" x14ac:dyDescent="0.35">
      <c r="C1932" s="100" t="str">
        <f>IF(OR(Fact_Impuestos[[#This Row], [Año]]="",Fact_Impuestos[[#This Row], [Mes]]=""),"",DATE(A1932,MATCH(B1932,{"enero","febrero","marzo","abril","mayo","junio","julio","agosto","septiembre","octubre","noviembre","diciembre"},0)+1,0))</f>
        <v/>
      </c>
      <c r="E1932" t="str">
        <f>+IFERROR(VLOOKUP(Fact_Impuestos[[#This Row], [Concepto Anterior]],Conceptos_Impuestos[#All],5,0),"")</f>
        <v/>
      </c>
      <c r="F1932" t="str">
        <f>+IFERROR(VLOOKUP(Fact_Impuestos[[#This Row], 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ht="18.75" customHeight="1" x14ac:dyDescent="0.35">
      <c r="C1933" s="100" t="str">
        <f>IF(OR(Fact_Impuestos[[#This Row], [Año]]="",Fact_Impuestos[[#This Row], [Mes]]=""),"",DATE(A1933,MATCH(B1933,{"enero","febrero","marzo","abril","mayo","junio","julio","agosto","septiembre","octubre","noviembre","diciembre"},0)+1,0))</f>
        <v/>
      </c>
      <c r="E1933" t="str">
        <f>+IFERROR(VLOOKUP(Fact_Impuestos[[#This Row], [Concepto Anterior]],Conceptos_Impuestos[#All],5,0),"")</f>
        <v/>
      </c>
      <c r="F1933" t="str">
        <f>+IFERROR(VLOOKUP(Fact_Impuestos[[#This Row], 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ht="18.75" customHeight="1" x14ac:dyDescent="0.35">
      <c r="C1934" s="100" t="str">
        <f>IF(OR(Fact_Impuestos[[#This Row], [Año]]="",Fact_Impuestos[[#This Row], [Mes]]=""),"",DATE(A1934,MATCH(B1934,{"enero","febrero","marzo","abril","mayo","junio","julio","agosto","septiembre","octubre","noviembre","diciembre"},0)+1,0))</f>
        <v/>
      </c>
      <c r="E1934" t="str">
        <f>+IFERROR(VLOOKUP(Fact_Impuestos[[#This Row], [Concepto Anterior]],Conceptos_Impuestos[#All],5,0),"")</f>
        <v/>
      </c>
      <c r="F1934" t="str">
        <f>+IFERROR(VLOOKUP(Fact_Impuestos[[#This Row], 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ht="18.75" customHeight="1" x14ac:dyDescent="0.35">
      <c r="C1935" s="100" t="str">
        <f>IF(OR(Fact_Impuestos[[#This Row], [Año]]="",Fact_Impuestos[[#This Row], [Mes]]=""),"",DATE(A1935,MATCH(B1935,{"enero","febrero","marzo","abril","mayo","junio","julio","agosto","septiembre","octubre","noviembre","diciembre"},0)+1,0))</f>
        <v/>
      </c>
      <c r="E1935" t="str">
        <f>+IFERROR(VLOOKUP(Fact_Impuestos[[#This Row], [Concepto Anterior]],Conceptos_Impuestos[#All],5,0),"")</f>
        <v/>
      </c>
      <c r="F1935" t="str">
        <f>+IFERROR(VLOOKUP(Fact_Impuestos[[#This Row], 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ht="18.75" customHeight="1" x14ac:dyDescent="0.35">
      <c r="C1936" s="100" t="str">
        <f>IF(OR(Fact_Impuestos[[#This Row], [Año]]="",Fact_Impuestos[[#This Row], [Mes]]=""),"",DATE(A1936,MATCH(B1936,{"enero","febrero","marzo","abril","mayo","junio","julio","agosto","septiembre","octubre","noviembre","diciembre"},0)+1,0))</f>
        <v/>
      </c>
      <c r="E1936" t="str">
        <f>+IFERROR(VLOOKUP(Fact_Impuestos[[#This Row], [Concepto Anterior]],Conceptos_Impuestos[#All],5,0),"")</f>
        <v/>
      </c>
      <c r="F1936" t="str">
        <f>+IFERROR(VLOOKUP(Fact_Impuestos[[#This Row], 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ht="18.75" customHeight="1" x14ac:dyDescent="0.35">
      <c r="C1937" s="100" t="str">
        <f>IF(OR(Fact_Impuestos[[#This Row], [Año]]="",Fact_Impuestos[[#This Row], [Mes]]=""),"",DATE(A1937,MATCH(B1937,{"enero","febrero","marzo","abril","mayo","junio","julio","agosto","septiembre","octubre","noviembre","diciembre"},0)+1,0))</f>
        <v/>
      </c>
      <c r="E1937" t="str">
        <f>+IFERROR(VLOOKUP(Fact_Impuestos[[#This Row], [Concepto Anterior]],Conceptos_Impuestos[#All],5,0),"")</f>
        <v/>
      </c>
      <c r="F1937" t="str">
        <f>+IFERROR(VLOOKUP(Fact_Impuestos[[#This Row], 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ht="18.75" customHeight="1" x14ac:dyDescent="0.35">
      <c r="C1938" s="100" t="str">
        <f>IF(OR(Fact_Impuestos[[#This Row], [Año]]="",Fact_Impuestos[[#This Row], [Mes]]=""),"",DATE(A1938,MATCH(B1938,{"enero","febrero","marzo","abril","mayo","junio","julio","agosto","septiembre","octubre","noviembre","diciembre"},0)+1,0))</f>
        <v/>
      </c>
      <c r="E1938" t="str">
        <f>+IFERROR(VLOOKUP(Fact_Impuestos[[#This Row], [Concepto Anterior]],Conceptos_Impuestos[#All],5,0),"")</f>
        <v/>
      </c>
      <c r="F1938" t="str">
        <f>+IFERROR(VLOOKUP(Fact_Impuestos[[#This Row], 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ht="18.75" customHeight="1" x14ac:dyDescent="0.35">
      <c r="C1939" s="100" t="str">
        <f>IF(OR(Fact_Impuestos[[#This Row], [Año]]="",Fact_Impuestos[[#This Row], [Mes]]=""),"",DATE(A1939,MATCH(B1939,{"enero","febrero","marzo","abril","mayo","junio","julio","agosto","septiembre","octubre","noviembre","diciembre"},0)+1,0))</f>
        <v/>
      </c>
      <c r="E1939" t="str">
        <f>+IFERROR(VLOOKUP(Fact_Impuestos[[#This Row], [Concepto Anterior]],Conceptos_Impuestos[#All],5,0),"")</f>
        <v/>
      </c>
      <c r="F1939" t="str">
        <f>+IFERROR(VLOOKUP(Fact_Impuestos[[#This Row], 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ht="18.75" customHeight="1" x14ac:dyDescent="0.35">
      <c r="C1940" s="100" t="str">
        <f>IF(OR(Fact_Impuestos[[#This Row], [Año]]="",Fact_Impuestos[[#This Row], [Mes]]=""),"",DATE(A1940,MATCH(B1940,{"enero","febrero","marzo","abril","mayo","junio","julio","agosto","septiembre","octubre","noviembre","diciembre"},0)+1,0))</f>
        <v/>
      </c>
      <c r="E1940" t="str">
        <f>+IFERROR(VLOOKUP(Fact_Impuestos[[#This Row], [Concepto Anterior]],Conceptos_Impuestos[#All],5,0),"")</f>
        <v/>
      </c>
      <c r="F1940" t="str">
        <f>+IFERROR(VLOOKUP(Fact_Impuestos[[#This Row], 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ht="18.75" customHeight="1" x14ac:dyDescent="0.35">
      <c r="C1941" s="100" t="str">
        <f>IF(OR(Fact_Impuestos[[#This Row], [Año]]="",Fact_Impuestos[[#This Row], [Mes]]=""),"",DATE(A1941,MATCH(B1941,{"enero","febrero","marzo","abril","mayo","junio","julio","agosto","septiembre","octubre","noviembre","diciembre"},0)+1,0))</f>
        <v/>
      </c>
      <c r="E1941" t="str">
        <f>+IFERROR(VLOOKUP(Fact_Impuestos[[#This Row], [Concepto Anterior]],Conceptos_Impuestos[#All],5,0),"")</f>
        <v/>
      </c>
      <c r="F1941" t="str">
        <f>+IFERROR(VLOOKUP(Fact_Impuestos[[#This Row], 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ht="18.75" customHeight="1" x14ac:dyDescent="0.35">
      <c r="C1942" s="100" t="str">
        <f>IF(OR(Fact_Impuestos[[#This Row], [Año]]="",Fact_Impuestos[[#This Row], [Mes]]=""),"",DATE(A1942,MATCH(B1942,{"enero","febrero","marzo","abril","mayo","junio","julio","agosto","septiembre","octubre","noviembre","diciembre"},0)+1,0))</f>
        <v/>
      </c>
      <c r="E1942" t="str">
        <f>+IFERROR(VLOOKUP(Fact_Impuestos[[#This Row], [Concepto Anterior]],Conceptos_Impuestos[#All],5,0),"")</f>
        <v/>
      </c>
      <c r="F1942" t="str">
        <f>+IFERROR(VLOOKUP(Fact_Impuestos[[#This Row], 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ht="18.75" customHeight="1" x14ac:dyDescent="0.35">
      <c r="C1943" s="100" t="str">
        <f>IF(OR(Fact_Impuestos[[#This Row], [Año]]="",Fact_Impuestos[[#This Row], [Mes]]=""),"",DATE(A1943,MATCH(B1943,{"enero","febrero","marzo","abril","mayo","junio","julio","agosto","septiembre","octubre","noviembre","diciembre"},0)+1,0))</f>
        <v/>
      </c>
      <c r="E1943" t="str">
        <f>+IFERROR(VLOOKUP(Fact_Impuestos[[#This Row], [Concepto Anterior]],Conceptos_Impuestos[#All],5,0),"")</f>
        <v/>
      </c>
      <c r="F1943" t="str">
        <f>+IFERROR(VLOOKUP(Fact_Impuestos[[#This Row], 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ht="18.75" customHeight="1" x14ac:dyDescent="0.35">
      <c r="C1944" s="100" t="str">
        <f>IF(OR(Fact_Impuestos[[#This Row], [Año]]="",Fact_Impuestos[[#This Row], [Mes]]=""),"",DATE(A1944,MATCH(B1944,{"enero","febrero","marzo","abril","mayo","junio","julio","agosto","septiembre","octubre","noviembre","diciembre"},0)+1,0))</f>
        <v/>
      </c>
      <c r="E1944" t="str">
        <f>+IFERROR(VLOOKUP(Fact_Impuestos[[#This Row], [Concepto Anterior]],Conceptos_Impuestos[#All],5,0),"")</f>
        <v/>
      </c>
      <c r="F1944" t="str">
        <f>+IFERROR(VLOOKUP(Fact_Impuestos[[#This Row], 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ht="18.75" customHeight="1" x14ac:dyDescent="0.35">
      <c r="C1945" s="100" t="str">
        <f>IF(OR(Fact_Impuestos[[#This Row], [Año]]="",Fact_Impuestos[[#This Row], [Mes]]=""),"",DATE(A1945,MATCH(B1945,{"enero","febrero","marzo","abril","mayo","junio","julio","agosto","septiembre","octubre","noviembre","diciembre"},0)+1,0))</f>
        <v/>
      </c>
      <c r="E1945" t="str">
        <f>+IFERROR(VLOOKUP(Fact_Impuestos[[#This Row], [Concepto Anterior]],Conceptos_Impuestos[#All],5,0),"")</f>
        <v/>
      </c>
      <c r="F1945" t="str">
        <f>+IFERROR(VLOOKUP(Fact_Impuestos[[#This Row], 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ht="18.75" customHeight="1" x14ac:dyDescent="0.35">
      <c r="C1946" s="100" t="str">
        <f>IF(OR(Fact_Impuestos[[#This Row], [Año]]="",Fact_Impuestos[[#This Row], [Mes]]=""),"",DATE(A1946,MATCH(B1946,{"enero","febrero","marzo","abril","mayo","junio","julio","agosto","septiembre","octubre","noviembre","diciembre"},0)+1,0))</f>
        <v/>
      </c>
      <c r="E1946" t="str">
        <f>+IFERROR(VLOOKUP(Fact_Impuestos[[#This Row], [Concepto Anterior]],Conceptos_Impuestos[#All],5,0),"")</f>
        <v/>
      </c>
      <c r="F1946" t="str">
        <f>+IFERROR(VLOOKUP(Fact_Impuestos[[#This Row], 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ht="18.75" customHeight="1" x14ac:dyDescent="0.35">
      <c r="C1947" s="100" t="str">
        <f>IF(OR(Fact_Impuestos[[#This Row], [Año]]="",Fact_Impuestos[[#This Row], [Mes]]=""),"",DATE(A1947,MATCH(B1947,{"enero","febrero","marzo","abril","mayo","junio","julio","agosto","septiembre","octubre","noviembre","diciembre"},0)+1,0))</f>
        <v/>
      </c>
      <c r="E1947" t="str">
        <f>+IFERROR(VLOOKUP(Fact_Impuestos[[#This Row], [Concepto Anterior]],Conceptos_Impuestos[#All],5,0),"")</f>
        <v/>
      </c>
      <c r="F1947" t="str">
        <f>+IFERROR(VLOOKUP(Fact_Impuestos[[#This Row], 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ht="18.75" customHeight="1" x14ac:dyDescent="0.35">
      <c r="C1948" s="100" t="str">
        <f>IF(OR(Fact_Impuestos[[#This Row], [Año]]="",Fact_Impuestos[[#This Row], [Mes]]=""),"",DATE(A1948,MATCH(B1948,{"enero","febrero","marzo","abril","mayo","junio","julio","agosto","septiembre","octubre","noviembre","diciembre"},0)+1,0))</f>
        <v/>
      </c>
      <c r="E1948" t="str">
        <f>+IFERROR(VLOOKUP(Fact_Impuestos[[#This Row], [Concepto Anterior]],Conceptos_Impuestos[#All],5,0),"")</f>
        <v/>
      </c>
      <c r="F1948" t="str">
        <f>+IFERROR(VLOOKUP(Fact_Impuestos[[#This Row], 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ht="18.75" customHeight="1" x14ac:dyDescent="0.35">
      <c r="C1949" s="100" t="str">
        <f>IF(OR(Fact_Impuestos[[#This Row], [Año]]="",Fact_Impuestos[[#This Row], [Mes]]=""),"",DATE(A1949,MATCH(B1949,{"enero","febrero","marzo","abril","mayo","junio","julio","agosto","septiembre","octubre","noviembre","diciembre"},0)+1,0))</f>
        <v/>
      </c>
      <c r="E1949" t="str">
        <f>+IFERROR(VLOOKUP(Fact_Impuestos[[#This Row], [Concepto Anterior]],Conceptos_Impuestos[#All],5,0),"")</f>
        <v/>
      </c>
      <c r="F1949" t="str">
        <f>+IFERROR(VLOOKUP(Fact_Impuestos[[#This Row], 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ht="18.75" customHeight="1" x14ac:dyDescent="0.35">
      <c r="C1950" s="100" t="str">
        <f>IF(OR(Fact_Impuestos[[#This Row], [Año]]="",Fact_Impuestos[[#This Row], [Mes]]=""),"",DATE(A1950,MATCH(B1950,{"enero","febrero","marzo","abril","mayo","junio","julio","agosto","septiembre","octubre","noviembre","diciembre"},0)+1,0))</f>
        <v/>
      </c>
      <c r="E1950" t="str">
        <f>+IFERROR(VLOOKUP(Fact_Impuestos[[#This Row], [Concepto Anterior]],Conceptos_Impuestos[#All],5,0),"")</f>
        <v/>
      </c>
      <c r="F1950" t="str">
        <f>+IFERROR(VLOOKUP(Fact_Impuestos[[#This Row], 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ht="18.75" customHeight="1" x14ac:dyDescent="0.35">
      <c r="C1951" s="100" t="str">
        <f>IF(OR(Fact_Impuestos[[#This Row], [Año]]="",Fact_Impuestos[[#This Row], [Mes]]=""),"",DATE(A1951,MATCH(B1951,{"enero","febrero","marzo","abril","mayo","junio","julio","agosto","septiembre","octubre","noviembre","diciembre"},0)+1,0))</f>
        <v/>
      </c>
      <c r="E1951" t="str">
        <f>+IFERROR(VLOOKUP(Fact_Impuestos[[#This Row], [Concepto Anterior]],Conceptos_Impuestos[#All],5,0),"")</f>
        <v/>
      </c>
      <c r="F1951" t="str">
        <f>+IFERROR(VLOOKUP(Fact_Impuestos[[#This Row], 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ht="18.75" customHeight="1" x14ac:dyDescent="0.35">
      <c r="C1952" s="100" t="str">
        <f>IF(OR(Fact_Impuestos[[#This Row], [Año]]="",Fact_Impuestos[[#This Row], [Mes]]=""),"",DATE(A1952,MATCH(B1952,{"enero","febrero","marzo","abril","mayo","junio","julio","agosto","septiembre","octubre","noviembre","diciembre"},0)+1,0))</f>
        <v/>
      </c>
      <c r="E1952" t="str">
        <f>+IFERROR(VLOOKUP(Fact_Impuestos[[#This Row], [Concepto Anterior]],Conceptos_Impuestos[#All],5,0),"")</f>
        <v/>
      </c>
      <c r="F1952" t="str">
        <f>+IFERROR(VLOOKUP(Fact_Impuestos[[#This Row], 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ht="18.75" customHeight="1" x14ac:dyDescent="0.35">
      <c r="C1953" s="100" t="str">
        <f>IF(OR(Fact_Impuestos[[#This Row], [Año]]="",Fact_Impuestos[[#This Row], [Mes]]=""),"",DATE(A1953,MATCH(B1953,{"enero","febrero","marzo","abril","mayo","junio","julio","agosto","septiembre","octubre","noviembre","diciembre"},0)+1,0))</f>
        <v/>
      </c>
      <c r="E1953" t="str">
        <f>+IFERROR(VLOOKUP(Fact_Impuestos[[#This Row], [Concepto Anterior]],Conceptos_Impuestos[#All],5,0),"")</f>
        <v/>
      </c>
      <c r="F1953" t="str">
        <f>+IFERROR(VLOOKUP(Fact_Impuestos[[#This Row], 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ht="18.75" customHeight="1" x14ac:dyDescent="0.35">
      <c r="C1954" s="100" t="str">
        <f>IF(OR(Fact_Impuestos[[#This Row], [Año]]="",Fact_Impuestos[[#This Row], [Mes]]=""),"",DATE(A1954,MATCH(B1954,{"enero","febrero","marzo","abril","mayo","junio","julio","agosto","septiembre","octubre","noviembre","diciembre"},0)+1,0))</f>
        <v/>
      </c>
      <c r="E1954" t="str">
        <f>+IFERROR(VLOOKUP(Fact_Impuestos[[#This Row], [Concepto Anterior]],Conceptos_Impuestos[#All],5,0),"")</f>
        <v/>
      </c>
      <c r="F1954" t="str">
        <f>+IFERROR(VLOOKUP(Fact_Impuestos[[#This Row], 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ht="18.75" customHeight="1" x14ac:dyDescent="0.35">
      <c r="C1955" s="100" t="str">
        <f>IF(OR(Fact_Impuestos[[#This Row], [Año]]="",Fact_Impuestos[[#This Row], [Mes]]=""),"",DATE(A1955,MATCH(B1955,{"enero","febrero","marzo","abril","mayo","junio","julio","agosto","septiembre","octubre","noviembre","diciembre"},0)+1,0))</f>
        <v/>
      </c>
      <c r="E1955" t="str">
        <f>+IFERROR(VLOOKUP(Fact_Impuestos[[#This Row], [Concepto Anterior]],Conceptos_Impuestos[#All],5,0),"")</f>
        <v/>
      </c>
      <c r="F1955" t="str">
        <f>+IFERROR(VLOOKUP(Fact_Impuestos[[#This Row], 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ht="18.75" customHeight="1" x14ac:dyDescent="0.35">
      <c r="C1956" s="100" t="str">
        <f>IF(OR(Fact_Impuestos[[#This Row], [Año]]="",Fact_Impuestos[[#This Row], [Mes]]=""),"",DATE(A1956,MATCH(B1956,{"enero","febrero","marzo","abril","mayo","junio","julio","agosto","septiembre","octubre","noviembre","diciembre"},0)+1,0))</f>
        <v/>
      </c>
      <c r="E1956" t="str">
        <f>+IFERROR(VLOOKUP(Fact_Impuestos[[#This Row], [Concepto Anterior]],Conceptos_Impuestos[#All],5,0),"")</f>
        <v/>
      </c>
      <c r="F1956" t="str">
        <f>+IFERROR(VLOOKUP(Fact_Impuestos[[#This Row], 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ht="18.75" customHeight="1" x14ac:dyDescent="0.35">
      <c r="C1957" s="100" t="str">
        <f>IF(OR(Fact_Impuestos[[#This Row], [Año]]="",Fact_Impuestos[[#This Row], [Mes]]=""),"",DATE(A1957,MATCH(B1957,{"enero","febrero","marzo","abril","mayo","junio","julio","agosto","septiembre","octubre","noviembre","diciembre"},0)+1,0))</f>
        <v/>
      </c>
      <c r="E1957" t="str">
        <f>+IFERROR(VLOOKUP(Fact_Impuestos[[#This Row], [Concepto Anterior]],Conceptos_Impuestos[#All],5,0),"")</f>
        <v/>
      </c>
      <c r="F1957" t="str">
        <f>+IFERROR(VLOOKUP(Fact_Impuestos[[#This Row], 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ht="18.75" customHeight="1" x14ac:dyDescent="0.35">
      <c r="C1958" s="100" t="str">
        <f>IF(OR(Fact_Impuestos[[#This Row], [Año]]="",Fact_Impuestos[[#This Row], [Mes]]=""),"",DATE(A1958,MATCH(B1958,{"enero","febrero","marzo","abril","mayo","junio","julio","agosto","septiembre","octubre","noviembre","diciembre"},0)+1,0))</f>
        <v/>
      </c>
      <c r="E1958" t="str">
        <f>+IFERROR(VLOOKUP(Fact_Impuestos[[#This Row], [Concepto Anterior]],Conceptos_Impuestos[#All],5,0),"")</f>
        <v/>
      </c>
      <c r="F1958" t="str">
        <f>+IFERROR(VLOOKUP(Fact_Impuestos[[#This Row], 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ht="18.75" customHeight="1" x14ac:dyDescent="0.35">
      <c r="C1959" s="100" t="str">
        <f>IF(OR(Fact_Impuestos[[#This Row], [Año]]="",Fact_Impuestos[[#This Row], [Mes]]=""),"",DATE(A1959,MATCH(B1959,{"enero","febrero","marzo","abril","mayo","junio","julio","agosto","septiembre","octubre","noviembre","diciembre"},0)+1,0))</f>
        <v/>
      </c>
      <c r="E1959" t="str">
        <f>+IFERROR(VLOOKUP(Fact_Impuestos[[#This Row], [Concepto Anterior]],Conceptos_Impuestos[#All],5,0),"")</f>
        <v/>
      </c>
      <c r="F1959" t="str">
        <f>+IFERROR(VLOOKUP(Fact_Impuestos[[#This Row], 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ht="18.75" customHeight="1" x14ac:dyDescent="0.35">
      <c r="C1960" s="100" t="str">
        <f>IF(OR(Fact_Impuestos[[#This Row], [Año]]="",Fact_Impuestos[[#This Row], [Mes]]=""),"",DATE(A1960,MATCH(B1960,{"enero","febrero","marzo","abril","mayo","junio","julio","agosto","septiembre","octubre","noviembre","diciembre"},0)+1,0))</f>
        <v/>
      </c>
      <c r="E1960" t="str">
        <f>+IFERROR(VLOOKUP(Fact_Impuestos[[#This Row], [Concepto Anterior]],Conceptos_Impuestos[#All],5,0),"")</f>
        <v/>
      </c>
      <c r="F1960" t="str">
        <f>+IFERROR(VLOOKUP(Fact_Impuestos[[#This Row], 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ht="18.75" customHeight="1" x14ac:dyDescent="0.35">
      <c r="C1961" s="100" t="str">
        <f>IF(OR(Fact_Impuestos[[#This Row], [Año]]="",Fact_Impuestos[[#This Row], [Mes]]=""),"",DATE(A1961,MATCH(B1961,{"enero","febrero","marzo","abril","mayo","junio","julio","agosto","septiembre","octubre","noviembre","diciembre"},0)+1,0))</f>
        <v/>
      </c>
      <c r="E1961" t="str">
        <f>+IFERROR(VLOOKUP(Fact_Impuestos[[#This Row], [Concepto Anterior]],Conceptos_Impuestos[#All],5,0),"")</f>
        <v/>
      </c>
      <c r="F1961" t="str">
        <f>+IFERROR(VLOOKUP(Fact_Impuestos[[#This Row], 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ht="18.75" customHeight="1" x14ac:dyDescent="0.35">
      <c r="C1962" s="100" t="str">
        <f>IF(OR(Fact_Impuestos[[#This Row], [Año]]="",Fact_Impuestos[[#This Row], [Mes]]=""),"",DATE(A1962,MATCH(B1962,{"enero","febrero","marzo","abril","mayo","junio","julio","agosto","septiembre","octubre","noviembre","diciembre"},0)+1,0))</f>
        <v/>
      </c>
      <c r="E1962" t="str">
        <f>+IFERROR(VLOOKUP(Fact_Impuestos[[#This Row], [Concepto Anterior]],Conceptos_Impuestos[#All],5,0),"")</f>
        <v/>
      </c>
      <c r="F1962" t="str">
        <f>+IFERROR(VLOOKUP(Fact_Impuestos[[#This Row], 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ht="18.75" customHeight="1" x14ac:dyDescent="0.35">
      <c r="C1963" s="100" t="str">
        <f>IF(OR(Fact_Impuestos[[#This Row], [Año]]="",Fact_Impuestos[[#This Row], [Mes]]=""),"",DATE(A1963,MATCH(B1963,{"enero","febrero","marzo","abril","mayo","junio","julio","agosto","septiembre","octubre","noviembre","diciembre"},0)+1,0))</f>
        <v/>
      </c>
      <c r="E1963" t="str">
        <f>+IFERROR(VLOOKUP(Fact_Impuestos[[#This Row], [Concepto Anterior]],Conceptos_Impuestos[#All],5,0),"")</f>
        <v/>
      </c>
      <c r="F1963" t="str">
        <f>+IFERROR(VLOOKUP(Fact_Impuestos[[#This Row], 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ht="18.75" customHeight="1" x14ac:dyDescent="0.35">
      <c r="C1964" s="100" t="str">
        <f>IF(OR(Fact_Impuestos[[#This Row], [Año]]="",Fact_Impuestos[[#This Row], [Mes]]=""),"",DATE(A1964,MATCH(B1964,{"enero","febrero","marzo","abril","mayo","junio","julio","agosto","septiembre","octubre","noviembre","diciembre"},0)+1,0))</f>
        <v/>
      </c>
      <c r="E1964" t="str">
        <f>+IFERROR(VLOOKUP(Fact_Impuestos[[#This Row], [Concepto Anterior]],Conceptos_Impuestos[#All],5,0),"")</f>
        <v/>
      </c>
      <c r="F1964" t="str">
        <f>+IFERROR(VLOOKUP(Fact_Impuestos[[#This Row], 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ht="18.75" customHeight="1" x14ac:dyDescent="0.35">
      <c r="C1965" s="100" t="str">
        <f>IF(OR(Fact_Impuestos[[#This Row], [Año]]="",Fact_Impuestos[[#This Row], [Mes]]=""),"",DATE(A1965,MATCH(B1965,{"enero","febrero","marzo","abril","mayo","junio","julio","agosto","septiembre","octubre","noviembre","diciembre"},0)+1,0))</f>
        <v/>
      </c>
      <c r="E1965" t="str">
        <f>+IFERROR(VLOOKUP(Fact_Impuestos[[#This Row], [Concepto Anterior]],Conceptos_Impuestos[#All],5,0),"")</f>
        <v/>
      </c>
      <c r="F1965" t="str">
        <f>+IFERROR(VLOOKUP(Fact_Impuestos[[#This Row], 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ht="18.75" customHeight="1" x14ac:dyDescent="0.35">
      <c r="C1966" s="100" t="str">
        <f>IF(OR(Fact_Impuestos[[#This Row], [Año]]="",Fact_Impuestos[[#This Row], [Mes]]=""),"",DATE(A1966,MATCH(B1966,{"enero","febrero","marzo","abril","mayo","junio","julio","agosto","septiembre","octubre","noviembre","diciembre"},0)+1,0))</f>
        <v/>
      </c>
      <c r="E1966" t="str">
        <f>+IFERROR(VLOOKUP(Fact_Impuestos[[#This Row], [Concepto Anterior]],Conceptos_Impuestos[#All],5,0),"")</f>
        <v/>
      </c>
      <c r="F1966" t="str">
        <f>+IFERROR(VLOOKUP(Fact_Impuestos[[#This Row], 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ht="18.75" customHeight="1" x14ac:dyDescent="0.35">
      <c r="C1967" s="100" t="str">
        <f>IF(OR(Fact_Impuestos[[#This Row], [Año]]="",Fact_Impuestos[[#This Row], [Mes]]=""),"",DATE(A1967,MATCH(B1967,{"enero","febrero","marzo","abril","mayo","junio","julio","agosto","septiembre","octubre","noviembre","diciembre"},0)+1,0))</f>
        <v/>
      </c>
      <c r="E1967" t="str">
        <f>+IFERROR(VLOOKUP(Fact_Impuestos[[#This Row], [Concepto Anterior]],Conceptos_Impuestos[#All],5,0),"")</f>
        <v/>
      </c>
      <c r="F1967" t="str">
        <f>+IFERROR(VLOOKUP(Fact_Impuestos[[#This Row], 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ht="18.75" customHeight="1" x14ac:dyDescent="0.35">
      <c r="C1968" s="100" t="str">
        <f>IF(OR(Fact_Impuestos[[#This Row], [Año]]="",Fact_Impuestos[[#This Row], [Mes]]=""),"",DATE(A1968,MATCH(B1968,{"enero","febrero","marzo","abril","mayo","junio","julio","agosto","septiembre","octubre","noviembre","diciembre"},0)+1,0))</f>
        <v/>
      </c>
      <c r="E1968" t="str">
        <f>+IFERROR(VLOOKUP(Fact_Impuestos[[#This Row], [Concepto Anterior]],Conceptos_Impuestos[#All],5,0),"")</f>
        <v/>
      </c>
      <c r="F1968" t="str">
        <f>+IFERROR(VLOOKUP(Fact_Impuestos[[#This Row], 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ht="18.75" customHeight="1" x14ac:dyDescent="0.35">
      <c r="C1969" s="100" t="str">
        <f>IF(OR(Fact_Impuestos[[#This Row], [Año]]="",Fact_Impuestos[[#This Row], [Mes]]=""),"",DATE(A1969,MATCH(B1969,{"enero","febrero","marzo","abril","mayo","junio","julio","agosto","septiembre","octubre","noviembre","diciembre"},0)+1,0))</f>
        <v/>
      </c>
      <c r="E1969" t="str">
        <f>+IFERROR(VLOOKUP(Fact_Impuestos[[#This Row], [Concepto Anterior]],Conceptos_Impuestos[#All],5,0),"")</f>
        <v/>
      </c>
      <c r="F1969" t="str">
        <f>+IFERROR(VLOOKUP(Fact_Impuestos[[#This Row], 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ht="18.75" customHeight="1" x14ac:dyDescent="0.35">
      <c r="C1970" s="100" t="str">
        <f>IF(OR(Fact_Impuestos[[#This Row], [Año]]="",Fact_Impuestos[[#This Row], [Mes]]=""),"",DATE(A1970,MATCH(B1970,{"enero","febrero","marzo","abril","mayo","junio","julio","agosto","septiembre","octubre","noviembre","diciembre"},0)+1,0))</f>
        <v/>
      </c>
      <c r="E1970" t="str">
        <f>+IFERROR(VLOOKUP(Fact_Impuestos[[#This Row], [Concepto Anterior]],Conceptos_Impuestos[#All],5,0),"")</f>
        <v/>
      </c>
      <c r="F1970" t="str">
        <f>+IFERROR(VLOOKUP(Fact_Impuestos[[#This Row], 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ht="18.75" customHeight="1" x14ac:dyDescent="0.35">
      <c r="C1971" s="100" t="str">
        <f>IF(OR(Fact_Impuestos[[#This Row], [Año]]="",Fact_Impuestos[[#This Row], [Mes]]=""),"",DATE(A1971,MATCH(B1971,{"enero","febrero","marzo","abril","mayo","junio","julio","agosto","septiembre","octubre","noviembre","diciembre"},0)+1,0))</f>
        <v/>
      </c>
      <c r="E1971" t="str">
        <f>+IFERROR(VLOOKUP(Fact_Impuestos[[#This Row], [Concepto Anterior]],Conceptos_Impuestos[#All],5,0),"")</f>
        <v/>
      </c>
      <c r="F1971" t="str">
        <f>+IFERROR(VLOOKUP(Fact_Impuestos[[#This Row], 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ht="18.75" customHeight="1" x14ac:dyDescent="0.35">
      <c r="C1972" s="100" t="str">
        <f>IF(OR(Fact_Impuestos[[#This Row], [Año]]="",Fact_Impuestos[[#This Row], [Mes]]=""),"",DATE(A1972,MATCH(B1972,{"enero","febrero","marzo","abril","mayo","junio","julio","agosto","septiembre","octubre","noviembre","diciembre"},0)+1,0))</f>
        <v/>
      </c>
      <c r="E1972" t="str">
        <f>+IFERROR(VLOOKUP(Fact_Impuestos[[#This Row], [Concepto Anterior]],Conceptos_Impuestos[#All],5,0),"")</f>
        <v/>
      </c>
      <c r="F1972" t="str">
        <f>+IFERROR(VLOOKUP(Fact_Impuestos[[#This Row], 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ht="18.75" customHeight="1" x14ac:dyDescent="0.35">
      <c r="C1973" s="100" t="str">
        <f>IF(OR(Fact_Impuestos[[#This Row], [Año]]="",Fact_Impuestos[[#This Row], [Mes]]=""),"",DATE(A1973,MATCH(B1973,{"enero","febrero","marzo","abril","mayo","junio","julio","agosto","septiembre","octubre","noviembre","diciembre"},0)+1,0))</f>
        <v/>
      </c>
      <c r="E1973" t="str">
        <f>+IFERROR(VLOOKUP(Fact_Impuestos[[#This Row], [Concepto Anterior]],Conceptos_Impuestos[#All],5,0),"")</f>
        <v/>
      </c>
      <c r="F1973" t="str">
        <f>+IFERROR(VLOOKUP(Fact_Impuestos[[#This Row], 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ht="18.75" customHeight="1" x14ac:dyDescent="0.35">
      <c r="C1974" s="100" t="str">
        <f>IF(OR(Fact_Impuestos[[#This Row], [Año]]="",Fact_Impuestos[[#This Row], [Mes]]=""),"",DATE(A1974,MATCH(B1974,{"enero","febrero","marzo","abril","mayo","junio","julio","agosto","septiembre","octubre","noviembre","diciembre"},0)+1,0))</f>
        <v/>
      </c>
      <c r="E1974" t="str">
        <f>+IFERROR(VLOOKUP(Fact_Impuestos[[#This Row], [Concepto Anterior]],Conceptos_Impuestos[#All],5,0),"")</f>
        <v/>
      </c>
      <c r="F1974" t="str">
        <f>+IFERROR(VLOOKUP(Fact_Impuestos[[#This Row], 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ht="18.75" customHeight="1" x14ac:dyDescent="0.35">
      <c r="C1975" s="100" t="str">
        <f>IF(OR(Fact_Impuestos[[#This Row], [Año]]="",Fact_Impuestos[[#This Row], [Mes]]=""),"",DATE(A1975,MATCH(B1975,{"enero","febrero","marzo","abril","mayo","junio","julio","agosto","septiembre","octubre","noviembre","diciembre"},0)+1,0))</f>
        <v/>
      </c>
      <c r="E1975" t="str">
        <f>+IFERROR(VLOOKUP(Fact_Impuestos[[#This Row], [Concepto Anterior]],Conceptos_Impuestos[#All],5,0),"")</f>
        <v/>
      </c>
      <c r="F1975" t="str">
        <f>+IFERROR(VLOOKUP(Fact_Impuestos[[#This Row], 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ht="18.75" customHeight="1" x14ac:dyDescent="0.35">
      <c r="C1976" s="100" t="str">
        <f>IF(OR(Fact_Impuestos[[#This Row], [Año]]="",Fact_Impuestos[[#This Row], [Mes]]=""),"",DATE(A1976,MATCH(B1976,{"enero","febrero","marzo","abril","mayo","junio","julio","agosto","septiembre","octubre","noviembre","diciembre"},0)+1,0))</f>
        <v/>
      </c>
      <c r="E1976" t="str">
        <f>+IFERROR(VLOOKUP(Fact_Impuestos[[#This Row], [Concepto Anterior]],Conceptos_Impuestos[#All],5,0),"")</f>
        <v/>
      </c>
      <c r="F1976" t="str">
        <f>+IFERROR(VLOOKUP(Fact_Impuestos[[#This Row], 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ht="18.75" customHeight="1" x14ac:dyDescent="0.35">
      <c r="C1977" s="100" t="str">
        <f>IF(OR(Fact_Impuestos[[#This Row], [Año]]="",Fact_Impuestos[[#This Row], [Mes]]=""),"",DATE(A1977,MATCH(B1977,{"enero","febrero","marzo","abril","mayo","junio","julio","agosto","septiembre","octubre","noviembre","diciembre"},0)+1,0))</f>
        <v/>
      </c>
      <c r="E1977" t="str">
        <f>+IFERROR(VLOOKUP(Fact_Impuestos[[#This Row], [Concepto Anterior]],Conceptos_Impuestos[#All],5,0),"")</f>
        <v/>
      </c>
      <c r="F1977" t="str">
        <f>+IFERROR(VLOOKUP(Fact_Impuestos[[#This Row], 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ht="18.75" customHeight="1" x14ac:dyDescent="0.35">
      <c r="C1978" s="100" t="str">
        <f>IF(OR(Fact_Impuestos[[#This Row], [Año]]="",Fact_Impuestos[[#This Row], [Mes]]=""),"",DATE(A1978,MATCH(B1978,{"enero","febrero","marzo","abril","mayo","junio","julio","agosto","septiembre","octubre","noviembre","diciembre"},0)+1,0))</f>
        <v/>
      </c>
      <c r="E1978" t="str">
        <f>+IFERROR(VLOOKUP(Fact_Impuestos[[#This Row], [Concepto Anterior]],Conceptos_Impuestos[#All],5,0),"")</f>
        <v/>
      </c>
      <c r="F1978" t="str">
        <f>+IFERROR(VLOOKUP(Fact_Impuestos[[#This Row], 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ht="18.75" customHeight="1" x14ac:dyDescent="0.35">
      <c r="C1979" s="100" t="str">
        <f>IF(OR(Fact_Impuestos[[#This Row], [Año]]="",Fact_Impuestos[[#This Row], [Mes]]=""),"",DATE(A1979,MATCH(B1979,{"enero","febrero","marzo","abril","mayo","junio","julio","agosto","septiembre","octubre","noviembre","diciembre"},0)+1,0))</f>
        <v/>
      </c>
      <c r="E1979" t="str">
        <f>+IFERROR(VLOOKUP(Fact_Impuestos[[#This Row], [Concepto Anterior]],Conceptos_Impuestos[#All],5,0),"")</f>
        <v/>
      </c>
      <c r="F1979" t="str">
        <f>+IFERROR(VLOOKUP(Fact_Impuestos[[#This Row], 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ht="18.75" customHeight="1" x14ac:dyDescent="0.35">
      <c r="C1980" s="100" t="str">
        <f>IF(OR(Fact_Impuestos[[#This Row], [Año]]="",Fact_Impuestos[[#This Row], [Mes]]=""),"",DATE(A1980,MATCH(B1980,{"enero","febrero","marzo","abril","mayo","junio","julio","agosto","septiembre","octubre","noviembre","diciembre"},0)+1,0))</f>
        <v/>
      </c>
      <c r="E1980" t="str">
        <f>+IFERROR(VLOOKUP(Fact_Impuestos[[#This Row], [Concepto Anterior]],Conceptos_Impuestos[#All],5,0),"")</f>
        <v/>
      </c>
      <c r="F1980" t="str">
        <f>+IFERROR(VLOOKUP(Fact_Impuestos[[#This Row], 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ht="18.75" customHeight="1" x14ac:dyDescent="0.35">
      <c r="C1981" s="100" t="str">
        <f>IF(OR(Fact_Impuestos[[#This Row], [Año]]="",Fact_Impuestos[[#This Row], [Mes]]=""),"",DATE(A1981,MATCH(B1981,{"enero","febrero","marzo","abril","mayo","junio","julio","agosto","septiembre","octubre","noviembre","diciembre"},0)+1,0))</f>
        <v/>
      </c>
      <c r="E1981" t="str">
        <f>+IFERROR(VLOOKUP(Fact_Impuestos[[#This Row], [Concepto Anterior]],Conceptos_Impuestos[#All],5,0),"")</f>
        <v/>
      </c>
      <c r="F1981" t="str">
        <f>+IFERROR(VLOOKUP(Fact_Impuestos[[#This Row], 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ht="18.75" customHeight="1" x14ac:dyDescent="0.35">
      <c r="C1982" s="100" t="str">
        <f>IF(OR(Fact_Impuestos[[#This Row], [Año]]="",Fact_Impuestos[[#This Row], [Mes]]=""),"",DATE(A1982,MATCH(B1982,{"enero","febrero","marzo","abril","mayo","junio","julio","agosto","septiembre","octubre","noviembre","diciembre"},0)+1,0))</f>
        <v/>
      </c>
      <c r="E1982" t="str">
        <f>+IFERROR(VLOOKUP(Fact_Impuestos[[#This Row], [Concepto Anterior]],Conceptos_Impuestos[#All],5,0),"")</f>
        <v/>
      </c>
      <c r="F1982" t="str">
        <f>+IFERROR(VLOOKUP(Fact_Impuestos[[#This Row], 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ht="18.75" customHeight="1" x14ac:dyDescent="0.35">
      <c r="C1983" s="100" t="str">
        <f>IF(OR(Fact_Impuestos[[#This Row], [Año]]="",Fact_Impuestos[[#This Row], [Mes]]=""),"",DATE(A1983,MATCH(B1983,{"enero","febrero","marzo","abril","mayo","junio","julio","agosto","septiembre","octubre","noviembre","diciembre"},0)+1,0))</f>
        <v/>
      </c>
      <c r="E1983" t="str">
        <f>+IFERROR(VLOOKUP(Fact_Impuestos[[#This Row], [Concepto Anterior]],Conceptos_Impuestos[#All],5,0),"")</f>
        <v/>
      </c>
      <c r="F1983" t="str">
        <f>+IFERROR(VLOOKUP(Fact_Impuestos[[#This Row], 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ht="18.75" customHeight="1" x14ac:dyDescent="0.35">
      <c r="C1984" s="100" t="str">
        <f>IF(OR(Fact_Impuestos[[#This Row], [Año]]="",Fact_Impuestos[[#This Row], [Mes]]=""),"",DATE(A1984,MATCH(B1984,{"enero","febrero","marzo","abril","mayo","junio","julio","agosto","septiembre","octubre","noviembre","diciembre"},0)+1,0))</f>
        <v/>
      </c>
      <c r="E1984" t="str">
        <f>+IFERROR(VLOOKUP(Fact_Impuestos[[#This Row], [Concepto Anterior]],Conceptos_Impuestos[#All],5,0),"")</f>
        <v/>
      </c>
      <c r="F1984" t="str">
        <f>+IFERROR(VLOOKUP(Fact_Impuestos[[#This Row], 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ht="18.75" customHeight="1" x14ac:dyDescent="0.35">
      <c r="C1985" s="100" t="str">
        <f>IF(OR(Fact_Impuestos[[#This Row], [Año]]="",Fact_Impuestos[[#This Row], [Mes]]=""),"",DATE(A1985,MATCH(B1985,{"enero","febrero","marzo","abril","mayo","junio","julio","agosto","septiembre","octubre","noviembre","diciembre"},0)+1,0))</f>
        <v/>
      </c>
      <c r="E1985" t="str">
        <f>+IFERROR(VLOOKUP(Fact_Impuestos[[#This Row], [Concepto Anterior]],Conceptos_Impuestos[#All],5,0),"")</f>
        <v/>
      </c>
      <c r="F1985" t="str">
        <f>+IFERROR(VLOOKUP(Fact_Impuestos[[#This Row], 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ht="18.75" customHeight="1" x14ac:dyDescent="0.35">
      <c r="C1986" s="100" t="str">
        <f>IF(OR(Fact_Impuestos[[#This Row], [Año]]="",Fact_Impuestos[[#This Row], [Mes]]=""),"",DATE(A1986,MATCH(B1986,{"enero","febrero","marzo","abril","mayo","junio","julio","agosto","septiembre","octubre","noviembre","diciembre"},0)+1,0))</f>
        <v/>
      </c>
      <c r="E1986" t="str">
        <f>+IFERROR(VLOOKUP(Fact_Impuestos[[#This Row], [Concepto Anterior]],Conceptos_Impuestos[#All],5,0),"")</f>
        <v/>
      </c>
      <c r="F1986" t="str">
        <f>+IFERROR(VLOOKUP(Fact_Impuestos[[#This Row], 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ht="18.75" customHeight="1" x14ac:dyDescent="0.35">
      <c r="C1987" s="100" t="str">
        <f>IF(OR(Fact_Impuestos[[#This Row], [Año]]="",Fact_Impuestos[[#This Row], [Mes]]=""),"",DATE(A1987,MATCH(B1987,{"enero","febrero","marzo","abril","mayo","junio","julio","agosto","septiembre","octubre","noviembre","diciembre"},0)+1,0))</f>
        <v/>
      </c>
      <c r="E1987" t="str">
        <f>+IFERROR(VLOOKUP(Fact_Impuestos[[#This Row], [Concepto Anterior]],Conceptos_Impuestos[#All],5,0),"")</f>
        <v/>
      </c>
      <c r="F1987" t="str">
        <f>+IFERROR(VLOOKUP(Fact_Impuestos[[#This Row], 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ht="18.75" customHeight="1" x14ac:dyDescent="0.35">
      <c r="C1988" s="100" t="str">
        <f>IF(OR(Fact_Impuestos[[#This Row], [Año]]="",Fact_Impuestos[[#This Row], [Mes]]=""),"",DATE(A1988,MATCH(B1988,{"enero","febrero","marzo","abril","mayo","junio","julio","agosto","septiembre","octubre","noviembre","diciembre"},0)+1,0))</f>
        <v/>
      </c>
      <c r="E1988" t="str">
        <f>+IFERROR(VLOOKUP(Fact_Impuestos[[#This Row], [Concepto Anterior]],Conceptos_Impuestos[#All],5,0),"")</f>
        <v/>
      </c>
      <c r="F1988" t="str">
        <f>+IFERROR(VLOOKUP(Fact_Impuestos[[#This Row], 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ht="18.75" customHeight="1" x14ac:dyDescent="0.35">
      <c r="C1989" s="100" t="str">
        <f>IF(OR(Fact_Impuestos[[#This Row], [Año]]="",Fact_Impuestos[[#This Row], [Mes]]=""),"",DATE(A1989,MATCH(B1989,{"enero","febrero","marzo","abril","mayo","junio","julio","agosto","septiembre","octubre","noviembre","diciembre"},0)+1,0))</f>
        <v/>
      </c>
      <c r="E1989" t="str">
        <f>+IFERROR(VLOOKUP(Fact_Impuestos[[#This Row], [Concepto Anterior]],Conceptos_Impuestos[#All],5,0),"")</f>
        <v/>
      </c>
      <c r="F1989" t="str">
        <f>+IFERROR(VLOOKUP(Fact_Impuestos[[#This Row], 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ht="18.75" customHeight="1" x14ac:dyDescent="0.35">
      <c r="C1990" s="100" t="str">
        <f>IF(OR(Fact_Impuestos[[#This Row], [Año]]="",Fact_Impuestos[[#This Row], [Mes]]=""),"",DATE(A1990,MATCH(B1990,{"enero","febrero","marzo","abril","mayo","junio","julio","agosto","septiembre","octubre","noviembre","diciembre"},0)+1,0))</f>
        <v/>
      </c>
      <c r="E1990" t="str">
        <f>+IFERROR(VLOOKUP(Fact_Impuestos[[#This Row], [Concepto Anterior]],Conceptos_Impuestos[#All],5,0),"")</f>
        <v/>
      </c>
      <c r="F1990" t="str">
        <f>+IFERROR(VLOOKUP(Fact_Impuestos[[#This Row], 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ht="18.75" customHeight="1" x14ac:dyDescent="0.35">
      <c r="C1991" s="100" t="str">
        <f>IF(OR(Fact_Impuestos[[#This Row], [Año]]="",Fact_Impuestos[[#This Row], [Mes]]=""),"",DATE(A1991,MATCH(B1991,{"enero","febrero","marzo","abril","mayo","junio","julio","agosto","septiembre","octubre","noviembre","diciembre"},0)+1,0))</f>
        <v/>
      </c>
      <c r="E1991" t="str">
        <f>+IFERROR(VLOOKUP(Fact_Impuestos[[#This Row], [Concepto Anterior]],Conceptos_Impuestos[#All],5,0),"")</f>
        <v/>
      </c>
      <c r="F1991" t="str">
        <f>+IFERROR(VLOOKUP(Fact_Impuestos[[#This Row], 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ht="18.75" customHeight="1" x14ac:dyDescent="0.35">
      <c r="C1992" s="100" t="str">
        <f>IF(OR(Fact_Impuestos[[#This Row], [Año]]="",Fact_Impuestos[[#This Row], [Mes]]=""),"",DATE(A1992,MATCH(B1992,{"enero","febrero","marzo","abril","mayo","junio","julio","agosto","septiembre","octubre","noviembre","diciembre"},0)+1,0))</f>
        <v/>
      </c>
      <c r="E1992" t="str">
        <f>+IFERROR(VLOOKUP(Fact_Impuestos[[#This Row], [Concepto Anterior]],Conceptos_Impuestos[#All],5,0),"")</f>
        <v/>
      </c>
      <c r="F1992" t="str">
        <f>+IFERROR(VLOOKUP(Fact_Impuestos[[#This Row], 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ht="18.75" customHeight="1" x14ac:dyDescent="0.35">
      <c r="C1993" s="100" t="str">
        <f>IF(OR(Fact_Impuestos[[#This Row], [Año]]="",Fact_Impuestos[[#This Row], [Mes]]=""),"",DATE(A1993,MATCH(B1993,{"enero","febrero","marzo","abril","mayo","junio","julio","agosto","septiembre","octubre","noviembre","diciembre"},0)+1,0))</f>
        <v/>
      </c>
      <c r="E1993" t="str">
        <f>+IFERROR(VLOOKUP(Fact_Impuestos[[#This Row], [Concepto Anterior]],Conceptos_Impuestos[#All],5,0),"")</f>
        <v/>
      </c>
      <c r="F1993" t="str">
        <f>+IFERROR(VLOOKUP(Fact_Impuestos[[#This Row], 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ht="18.75" customHeight="1" x14ac:dyDescent="0.35">
      <c r="C1994" s="100" t="str">
        <f>IF(OR(Fact_Impuestos[[#This Row], [Año]]="",Fact_Impuestos[[#This Row], [Mes]]=""),"",DATE(A1994,MATCH(B1994,{"enero","febrero","marzo","abril","mayo","junio","julio","agosto","septiembre","octubre","noviembre","diciembre"},0)+1,0))</f>
        <v/>
      </c>
      <c r="E1994" t="str">
        <f>+IFERROR(VLOOKUP(Fact_Impuestos[[#This Row], [Concepto Anterior]],Conceptos_Impuestos[#All],5,0),"")</f>
        <v/>
      </c>
      <c r="F1994" t="str">
        <f>+IFERROR(VLOOKUP(Fact_Impuestos[[#This Row], 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ht="18.75" customHeight="1" x14ac:dyDescent="0.35">
      <c r="C1995" s="100" t="str">
        <f>IF(OR(Fact_Impuestos[[#This Row], [Año]]="",Fact_Impuestos[[#This Row], [Mes]]=""),"",DATE(A1995,MATCH(B1995,{"enero","febrero","marzo","abril","mayo","junio","julio","agosto","septiembre","octubre","noviembre","diciembre"},0)+1,0))</f>
        <v/>
      </c>
      <c r="E1995" t="str">
        <f>+IFERROR(VLOOKUP(Fact_Impuestos[[#This Row], [Concepto Anterior]],Conceptos_Impuestos[#All],5,0),"")</f>
        <v/>
      </c>
      <c r="F1995" t="str">
        <f>+IFERROR(VLOOKUP(Fact_Impuestos[[#This Row], 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ht="18.75" customHeight="1" x14ac:dyDescent="0.35">
      <c r="C1996" s="100" t="str">
        <f>IF(OR(Fact_Impuestos[[#This Row], [Año]]="",Fact_Impuestos[[#This Row], [Mes]]=""),"",DATE(A1996,MATCH(B1996,{"enero","febrero","marzo","abril","mayo","junio","julio","agosto","septiembre","octubre","noviembre","diciembre"},0)+1,0))</f>
        <v/>
      </c>
      <c r="E1996" t="str">
        <f>+IFERROR(VLOOKUP(Fact_Impuestos[[#This Row], [Concepto Anterior]],Conceptos_Impuestos[#All],5,0),"")</f>
        <v/>
      </c>
      <c r="F1996" t="str">
        <f>+IFERROR(VLOOKUP(Fact_Impuestos[[#This Row], 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ht="18.75" customHeight="1" x14ac:dyDescent="0.35">
      <c r="C1997" s="100" t="str">
        <f>IF(OR(Fact_Impuestos[[#This Row], [Año]]="",Fact_Impuestos[[#This Row], [Mes]]=""),"",DATE(A1997,MATCH(B1997,{"enero","febrero","marzo","abril","mayo","junio","julio","agosto","septiembre","octubre","noviembre","diciembre"},0)+1,0))</f>
        <v/>
      </c>
      <c r="E1997" t="str">
        <f>+IFERROR(VLOOKUP(Fact_Impuestos[[#This Row], [Concepto Anterior]],Conceptos_Impuestos[#All],5,0),"")</f>
        <v/>
      </c>
      <c r="F1997" t="str">
        <f>+IFERROR(VLOOKUP(Fact_Impuestos[[#This Row], 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ht="18.75" customHeight="1" x14ac:dyDescent="0.35">
      <c r="C1998" s="100" t="str">
        <f>IF(OR(Fact_Impuestos[[#This Row], [Año]]="",Fact_Impuestos[[#This Row], [Mes]]=""),"",DATE(A1998,MATCH(B1998,{"enero","febrero","marzo","abril","mayo","junio","julio","agosto","septiembre","octubre","noviembre","diciembre"},0)+1,0))</f>
        <v/>
      </c>
      <c r="E1998" t="str">
        <f>+IFERROR(VLOOKUP(Fact_Impuestos[[#This Row], [Concepto Anterior]],Conceptos_Impuestos[#All],5,0),"")</f>
        <v/>
      </c>
      <c r="F1998" t="str">
        <f>+IFERROR(VLOOKUP(Fact_Impuestos[[#This Row], 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ht="18.75" customHeight="1" x14ac:dyDescent="0.35">
      <c r="C1999" s="100" t="str">
        <f>IF(OR(Fact_Impuestos[[#This Row], [Año]]="",Fact_Impuestos[[#This Row], [Mes]]=""),"",DATE(A1999,MATCH(B1999,{"enero","febrero","marzo","abril","mayo","junio","julio","agosto","septiembre","octubre","noviembre","diciembre"},0)+1,0))</f>
        <v/>
      </c>
      <c r="E1999" t="str">
        <f>+IFERROR(VLOOKUP(Fact_Impuestos[[#This Row], [Concepto Anterior]],Conceptos_Impuestos[#All],5,0),"")</f>
        <v/>
      </c>
      <c r="F1999" t="str">
        <f>+IFERROR(VLOOKUP(Fact_Impuestos[[#This Row], 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ht="18.75" customHeight="1" x14ac:dyDescent="0.35">
      <c r="C2000" s="100" t="str">
        <f>IF(OR(Fact_Impuestos[[#This Row], [Año]]="",Fact_Impuestos[[#This Row], [Mes]]=""),"",DATE(A2000,MATCH(B2000,{"enero","febrero","marzo","abril","mayo","junio","julio","agosto","septiembre","octubre","noviembre","diciembre"},0)+1,0))</f>
        <v/>
      </c>
      <c r="E2000" t="str">
        <f>+IFERROR(VLOOKUP(Fact_Impuestos[[#This Row], [Concepto Anterior]],Conceptos_Impuestos[#All],5,0),"")</f>
        <v/>
      </c>
      <c r="F2000" t="str">
        <f>+IFERROR(VLOOKUP(Fact_Impuestos[[#This Row], 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ht="18.75" customHeight="1" x14ac:dyDescent="0.35">
      <c r="C2001" s="100" t="str">
        <f>IF(OR(Fact_Impuestos[[#This Row], [Año]]="",Fact_Impuestos[[#This Row], [Mes]]=""),"",DATE(A2001,MATCH(B2001,{"enero","febrero","marzo","abril","mayo","junio","julio","agosto","septiembre","octubre","noviembre","diciembre"},0)+1,0))</f>
        <v/>
      </c>
      <c r="E2001" t="str">
        <f>+IFERROR(VLOOKUP(Fact_Impuestos[[#This Row], [Concepto Anterior]],Conceptos_Impuestos[#All],5,0),"")</f>
        <v/>
      </c>
      <c r="F2001" t="str">
        <f>+IFERROR(VLOOKUP(Fact_Impuestos[[#This Row], 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ht="18.75" customHeight="1" x14ac:dyDescent="0.35">
      <c r="C2002" s="100" t="str">
        <f>IF(OR(Fact_Impuestos[[#This Row], [Año]]="",Fact_Impuestos[[#This Row], [Mes]]=""),"",DATE(A2002,MATCH(B2002,{"enero","febrero","marzo","abril","mayo","junio","julio","agosto","septiembre","octubre","noviembre","diciembre"},0)+1,0))</f>
        <v/>
      </c>
      <c r="E2002" t="str">
        <f>+IFERROR(VLOOKUP(Fact_Impuestos[[#This Row], [Concepto Anterior]],Conceptos_Impuestos[#All],5,0),"")</f>
        <v/>
      </c>
      <c r="F2002" t="str">
        <f>+IFERROR(VLOOKUP(Fact_Impuestos[[#This Row], 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ht="18.75" customHeight="1" x14ac:dyDescent="0.35">
      <c r="C2003" s="100" t="str">
        <f>IF(OR(Fact_Impuestos[[#This Row], [Año]]="",Fact_Impuestos[[#This Row], [Mes]]=""),"",DATE(A2003,MATCH(B2003,{"enero","febrero","marzo","abril","mayo","junio","julio","agosto","septiembre","octubre","noviembre","diciembre"},0)+1,0))</f>
        <v/>
      </c>
      <c r="E2003" t="str">
        <f>+IFERROR(VLOOKUP(Fact_Impuestos[[#This Row], [Concepto Anterior]],Conceptos_Impuestos[#All],5,0),"")</f>
        <v/>
      </c>
      <c r="F2003" t="str">
        <f>+IFERROR(VLOOKUP(Fact_Impuestos[[#This Row], 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ht="18.75" customHeight="1" x14ac:dyDescent="0.35">
      <c r="C2004" s="100" t="str">
        <f>IF(OR(Fact_Impuestos[[#This Row], [Año]]="",Fact_Impuestos[[#This Row], [Mes]]=""),"",DATE(A2004,MATCH(B2004,{"enero","febrero","marzo","abril","mayo","junio","julio","agosto","septiembre","octubre","noviembre","diciembre"},0)+1,0))</f>
        <v/>
      </c>
      <c r="E2004" t="str">
        <f>+IFERROR(VLOOKUP(Fact_Impuestos[[#This Row], [Concepto Anterior]],Conceptos_Impuestos[#All],5,0),"")</f>
        <v/>
      </c>
      <c r="F2004" t="str">
        <f>+IFERROR(VLOOKUP(Fact_Impuestos[[#This Row], 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ht="18.75" customHeight="1" x14ac:dyDescent="0.35">
      <c r="C2005" s="100" t="str">
        <f>IF(OR(Fact_Impuestos[[#This Row], [Año]]="",Fact_Impuestos[[#This Row], [Mes]]=""),"",DATE(A2005,MATCH(B2005,{"enero","febrero","marzo","abril","mayo","junio","julio","agosto","septiembre","octubre","noviembre","diciembre"},0)+1,0))</f>
        <v/>
      </c>
      <c r="E2005" t="str">
        <f>+IFERROR(VLOOKUP(Fact_Impuestos[[#This Row], [Concepto Anterior]],Conceptos_Impuestos[#All],5,0),"")</f>
        <v/>
      </c>
      <c r="F2005" t="str">
        <f>+IFERROR(VLOOKUP(Fact_Impuestos[[#This Row], 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ht="18.75" customHeight="1" x14ac:dyDescent="0.35">
      <c r="C2006" s="100" t="str">
        <f>IF(OR(Fact_Impuestos[[#This Row], [Año]]="",Fact_Impuestos[[#This Row], [Mes]]=""),"",DATE(A2006,MATCH(B2006,{"enero","febrero","marzo","abril","mayo","junio","julio","agosto","septiembre","octubre","noviembre","diciembre"},0)+1,0))</f>
        <v/>
      </c>
      <c r="E2006" t="str">
        <f>+IFERROR(VLOOKUP(Fact_Impuestos[[#This Row], [Concepto Anterior]],Conceptos_Impuestos[#All],5,0),"")</f>
        <v/>
      </c>
      <c r="F2006" t="str">
        <f>+IFERROR(VLOOKUP(Fact_Impuestos[[#This Row], 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ht="18.75" customHeight="1" x14ac:dyDescent="0.35">
      <c r="C2007" s="100" t="str">
        <f>IF(OR(Fact_Impuestos[[#This Row], [Año]]="",Fact_Impuestos[[#This Row], [Mes]]=""),"",DATE(A2007,MATCH(B2007,{"enero","febrero","marzo","abril","mayo","junio","julio","agosto","septiembre","octubre","noviembre","diciembre"},0)+1,0))</f>
        <v/>
      </c>
      <c r="E2007" t="str">
        <f>+IFERROR(VLOOKUP(Fact_Impuestos[[#This Row], [Concepto Anterior]],Conceptos_Impuestos[#All],5,0),"")</f>
        <v/>
      </c>
      <c r="F2007" t="str">
        <f>+IFERROR(VLOOKUP(Fact_Impuestos[[#This Row], 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ht="18.75" customHeight="1" x14ac:dyDescent="0.35">
      <c r="C2008" s="100" t="str">
        <f>IF(OR(Fact_Impuestos[[#This Row], [Año]]="",Fact_Impuestos[[#This Row], [Mes]]=""),"",DATE(A2008,MATCH(B2008,{"enero","febrero","marzo","abril","mayo","junio","julio","agosto","septiembre","octubre","noviembre","diciembre"},0)+1,0))</f>
        <v/>
      </c>
      <c r="E2008" t="str">
        <f>+IFERROR(VLOOKUP(Fact_Impuestos[[#This Row], [Concepto Anterior]],Conceptos_Impuestos[#All],5,0),"")</f>
        <v/>
      </c>
      <c r="F2008" t="str">
        <f>+IFERROR(VLOOKUP(Fact_Impuestos[[#This Row], 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ht="18.75" customHeight="1" x14ac:dyDescent="0.35">
      <c r="C2009" s="100" t="str">
        <f>IF(OR(Fact_Impuestos[[#This Row], [Año]]="",Fact_Impuestos[[#This Row], [Mes]]=""),"",DATE(A2009,MATCH(B2009,{"enero","febrero","marzo","abril","mayo","junio","julio","agosto","septiembre","octubre","noviembre","diciembre"},0)+1,0))</f>
        <v/>
      </c>
      <c r="E2009" t="str">
        <f>+IFERROR(VLOOKUP(Fact_Impuestos[[#This Row], [Concepto Anterior]],Conceptos_Impuestos[#All],5,0),"")</f>
        <v/>
      </c>
      <c r="F2009" t="str">
        <f>+IFERROR(VLOOKUP(Fact_Impuestos[[#This Row], 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ht="18.75" customHeight="1" x14ac:dyDescent="0.35">
      <c r="C2010" s="100" t="str">
        <f>IF(OR(Fact_Impuestos[[#This Row], [Año]]="",Fact_Impuestos[[#This Row], [Mes]]=""),"",DATE(A2010,MATCH(B2010,{"enero","febrero","marzo","abril","mayo","junio","julio","agosto","septiembre","octubre","noviembre","diciembre"},0)+1,0))</f>
        <v/>
      </c>
      <c r="E2010" t="str">
        <f>+IFERROR(VLOOKUP(Fact_Impuestos[[#This Row], [Concepto Anterior]],Conceptos_Impuestos[#All],5,0),"")</f>
        <v/>
      </c>
      <c r="F2010" t="str">
        <f>+IFERROR(VLOOKUP(Fact_Impuestos[[#This Row], 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ht="18.75" customHeight="1" x14ac:dyDescent="0.35">
      <c r="C2011" s="100" t="str">
        <f>IF(OR(Fact_Impuestos[[#This Row], [Año]]="",Fact_Impuestos[[#This Row], [Mes]]=""),"",DATE(A2011,MATCH(B2011,{"enero","febrero","marzo","abril","mayo","junio","julio","agosto","septiembre","octubre","noviembre","diciembre"},0)+1,0))</f>
        <v/>
      </c>
      <c r="E2011" t="str">
        <f>+IFERROR(VLOOKUP(Fact_Impuestos[[#This Row], [Concepto Anterior]],Conceptos_Impuestos[#All],5,0),"")</f>
        <v/>
      </c>
      <c r="F2011" t="str">
        <f>+IFERROR(VLOOKUP(Fact_Impuestos[[#This Row], 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ht="18.75" customHeight="1" x14ac:dyDescent="0.35">
      <c r="C2012" s="100" t="str">
        <f>IF(OR(Fact_Impuestos[[#This Row], [Año]]="",Fact_Impuestos[[#This Row], [Mes]]=""),"",DATE(A2012,MATCH(B2012,{"enero","febrero","marzo","abril","mayo","junio","julio","agosto","septiembre","octubre","noviembre","diciembre"},0)+1,0))</f>
        <v/>
      </c>
      <c r="E2012" t="str">
        <f>+IFERROR(VLOOKUP(Fact_Impuestos[[#This Row], [Concepto Anterior]],Conceptos_Impuestos[#All],5,0),"")</f>
        <v/>
      </c>
      <c r="F2012" t="str">
        <f>+IFERROR(VLOOKUP(Fact_Impuestos[[#This Row], 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ht="18.75" customHeight="1" x14ac:dyDescent="0.35">
      <c r="C2013" s="100" t="str">
        <f>IF(OR(Fact_Impuestos[[#This Row], [Año]]="",Fact_Impuestos[[#This Row], [Mes]]=""),"",DATE(A2013,MATCH(B2013,{"enero","febrero","marzo","abril","mayo","junio","julio","agosto","septiembre","octubre","noviembre","diciembre"},0)+1,0))</f>
        <v/>
      </c>
      <c r="E2013" t="str">
        <f>+IFERROR(VLOOKUP(Fact_Impuestos[[#This Row], [Concepto Anterior]],Conceptos_Impuestos[#All],5,0),"")</f>
        <v/>
      </c>
      <c r="F2013" t="str">
        <f>+IFERROR(VLOOKUP(Fact_Impuestos[[#This Row], 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ht="18.75" customHeight="1" x14ac:dyDescent="0.35">
      <c r="C2014" s="100" t="str">
        <f>IF(OR(Fact_Impuestos[[#This Row], [Año]]="",Fact_Impuestos[[#This Row], [Mes]]=""),"",DATE(A2014,MATCH(B2014,{"enero","febrero","marzo","abril","mayo","junio","julio","agosto","septiembre","octubre","noviembre","diciembre"},0)+1,0))</f>
        <v/>
      </c>
      <c r="E2014" t="str">
        <f>+IFERROR(VLOOKUP(Fact_Impuestos[[#This Row], [Concepto Anterior]],Conceptos_Impuestos[#All],5,0),"")</f>
        <v/>
      </c>
      <c r="F2014" t="str">
        <f>+IFERROR(VLOOKUP(Fact_Impuestos[[#This Row], 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ht="18.75" customHeight="1" x14ac:dyDescent="0.35">
      <c r="C2015" s="100" t="str">
        <f>IF(OR(Fact_Impuestos[[#This Row], [Año]]="",Fact_Impuestos[[#This Row], [Mes]]=""),"",DATE(A2015,MATCH(B2015,{"enero","febrero","marzo","abril","mayo","junio","julio","agosto","septiembre","octubre","noviembre","diciembre"},0)+1,0))</f>
        <v/>
      </c>
      <c r="E2015" t="str">
        <f>+IFERROR(VLOOKUP(Fact_Impuestos[[#This Row], [Concepto Anterior]],Conceptos_Impuestos[#All],5,0),"")</f>
        <v/>
      </c>
      <c r="F2015" t="str">
        <f>+IFERROR(VLOOKUP(Fact_Impuestos[[#This Row], 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ht="18.75" customHeight="1" x14ac:dyDescent="0.35">
      <c r="C2016" s="100" t="str">
        <f>IF(OR(Fact_Impuestos[[#This Row], [Año]]="",Fact_Impuestos[[#This Row], [Mes]]=""),"",DATE(A2016,MATCH(B2016,{"enero","febrero","marzo","abril","mayo","junio","julio","agosto","septiembre","octubre","noviembre","diciembre"},0)+1,0))</f>
        <v/>
      </c>
      <c r="E2016" t="str">
        <f>+IFERROR(VLOOKUP(Fact_Impuestos[[#This Row], [Concepto Anterior]],Conceptos_Impuestos[#All],5,0),"")</f>
        <v/>
      </c>
      <c r="F2016" t="str">
        <f>+IFERROR(VLOOKUP(Fact_Impuestos[[#This Row], 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ht="18.75" customHeight="1" x14ac:dyDescent="0.35">
      <c r="C2017" s="100" t="str">
        <f>IF(OR(Fact_Impuestos[[#This Row], [Año]]="",Fact_Impuestos[[#This Row], [Mes]]=""),"",DATE(A2017,MATCH(B2017,{"enero","febrero","marzo","abril","mayo","junio","julio","agosto","septiembre","octubre","noviembre","diciembre"},0)+1,0))</f>
        <v/>
      </c>
      <c r="E2017" t="str">
        <f>+IFERROR(VLOOKUP(Fact_Impuestos[[#This Row], [Concepto Anterior]],Conceptos_Impuestos[#All],5,0),"")</f>
        <v/>
      </c>
      <c r="F2017" t="str">
        <f>+IFERROR(VLOOKUP(Fact_Impuestos[[#This Row], 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ht="18.75" customHeight="1" x14ac:dyDescent="0.35">
      <c r="C2018" s="100" t="str">
        <f>IF(OR(Fact_Impuestos[[#This Row], [Año]]="",Fact_Impuestos[[#This Row], [Mes]]=""),"",DATE(A2018,MATCH(B2018,{"enero","febrero","marzo","abril","mayo","junio","julio","agosto","septiembre","octubre","noviembre","diciembre"},0)+1,0))</f>
        <v/>
      </c>
      <c r="E2018" t="str">
        <f>+IFERROR(VLOOKUP(Fact_Impuestos[[#This Row], [Concepto Anterior]],Conceptos_Impuestos[#All],5,0),"")</f>
        <v/>
      </c>
      <c r="F2018" t="str">
        <f>+IFERROR(VLOOKUP(Fact_Impuestos[[#This Row], 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ht="18.75" customHeight="1" x14ac:dyDescent="0.35">
      <c r="C2019" s="100" t="str">
        <f>IF(OR(Fact_Impuestos[[#This Row], [Año]]="",Fact_Impuestos[[#This Row], [Mes]]=""),"",DATE(A2019,MATCH(B2019,{"enero","febrero","marzo","abril","mayo","junio","julio","agosto","septiembre","octubre","noviembre","diciembre"},0)+1,0))</f>
        <v/>
      </c>
      <c r="E2019" t="str">
        <f>+IFERROR(VLOOKUP(Fact_Impuestos[[#This Row], [Concepto Anterior]],Conceptos_Impuestos[#All],5,0),"")</f>
        <v/>
      </c>
      <c r="F2019" t="str">
        <f>+IFERROR(VLOOKUP(Fact_Impuestos[[#This Row], 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ht="18.75" customHeight="1" x14ac:dyDescent="0.35">
      <c r="C2020" s="100" t="str">
        <f>IF(OR(Fact_Impuestos[[#This Row], [Año]]="",Fact_Impuestos[[#This Row], [Mes]]=""),"",DATE(A2020,MATCH(B2020,{"enero","febrero","marzo","abril","mayo","junio","julio","agosto","septiembre","octubre","noviembre","diciembre"},0)+1,0))</f>
        <v/>
      </c>
      <c r="E2020" t="str">
        <f>+IFERROR(VLOOKUP(Fact_Impuestos[[#This Row], [Concepto Anterior]],Conceptos_Impuestos[#All],5,0),"")</f>
        <v/>
      </c>
      <c r="F2020" t="str">
        <f>+IFERROR(VLOOKUP(Fact_Impuestos[[#This Row], 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ht="18.75" customHeight="1" x14ac:dyDescent="0.35">
      <c r="C2021" s="100" t="str">
        <f>IF(OR(Fact_Impuestos[[#This Row], [Año]]="",Fact_Impuestos[[#This Row], [Mes]]=""),"",DATE(A2021,MATCH(B2021,{"enero","febrero","marzo","abril","mayo","junio","julio","agosto","septiembre","octubre","noviembre","diciembre"},0)+1,0))</f>
        <v/>
      </c>
      <c r="E2021" t="str">
        <f>+IFERROR(VLOOKUP(Fact_Impuestos[[#This Row], [Concepto Anterior]],Conceptos_Impuestos[#All],5,0),"")</f>
        <v/>
      </c>
      <c r="F2021" t="str">
        <f>+IFERROR(VLOOKUP(Fact_Impuestos[[#This Row], 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ht="18.75" customHeight="1" x14ac:dyDescent="0.35">
      <c r="C2022" s="100" t="str">
        <f>IF(OR(Fact_Impuestos[[#This Row], [Año]]="",Fact_Impuestos[[#This Row], [Mes]]=""),"",DATE(A2022,MATCH(B2022,{"enero","febrero","marzo","abril","mayo","junio","julio","agosto","septiembre","octubre","noviembre","diciembre"},0)+1,0))</f>
        <v/>
      </c>
      <c r="E2022" t="str">
        <f>+IFERROR(VLOOKUP(Fact_Impuestos[[#This Row], [Concepto Anterior]],Conceptos_Impuestos[#All],5,0),"")</f>
        <v/>
      </c>
      <c r="F2022" t="str">
        <f>+IFERROR(VLOOKUP(Fact_Impuestos[[#This Row], 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ht="18.75" customHeight="1" x14ac:dyDescent="0.35">
      <c r="C2023" s="100" t="str">
        <f>IF(OR(Fact_Impuestos[[#This Row], [Año]]="",Fact_Impuestos[[#This Row], [Mes]]=""),"",DATE(A2023,MATCH(B2023,{"enero","febrero","marzo","abril","mayo","junio","julio","agosto","septiembre","octubre","noviembre","diciembre"},0)+1,0))</f>
        <v/>
      </c>
      <c r="E2023" t="str">
        <f>+IFERROR(VLOOKUP(Fact_Impuestos[[#This Row], [Concepto Anterior]],Conceptos_Impuestos[#All],5,0),"")</f>
        <v/>
      </c>
      <c r="F2023" t="str">
        <f>+IFERROR(VLOOKUP(Fact_Impuestos[[#This Row], 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ht="18.75" customHeight="1" x14ac:dyDescent="0.35">
      <c r="C2024" s="100" t="str">
        <f>IF(OR(Fact_Impuestos[[#This Row], [Año]]="",Fact_Impuestos[[#This Row], [Mes]]=""),"",DATE(A2024,MATCH(B2024,{"enero","febrero","marzo","abril","mayo","junio","julio","agosto","septiembre","octubre","noviembre","diciembre"},0)+1,0))</f>
        <v/>
      </c>
      <c r="E2024" t="str">
        <f>+IFERROR(VLOOKUP(Fact_Impuestos[[#This Row], [Concepto Anterior]],Conceptos_Impuestos[#All],5,0),"")</f>
        <v/>
      </c>
      <c r="F2024" t="str">
        <f>+IFERROR(VLOOKUP(Fact_Impuestos[[#This Row], 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ht="18.75" customHeight="1" x14ac:dyDescent="0.35">
      <c r="C2025" s="100" t="str">
        <f>IF(OR(Fact_Impuestos[[#This Row], [Año]]="",Fact_Impuestos[[#This Row], [Mes]]=""),"",DATE(A2025,MATCH(B2025,{"enero","febrero","marzo","abril","mayo","junio","julio","agosto","septiembre","octubre","noviembre","diciembre"},0)+1,0))</f>
        <v/>
      </c>
      <c r="E2025" t="str">
        <f>+IFERROR(VLOOKUP(Fact_Impuestos[[#This Row], [Concepto Anterior]],Conceptos_Impuestos[#All],5,0),"")</f>
        <v/>
      </c>
      <c r="F2025" t="str">
        <f>+IFERROR(VLOOKUP(Fact_Impuestos[[#This Row], 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ht="18.75" customHeight="1" x14ac:dyDescent="0.35">
      <c r="C2026" s="100" t="str">
        <f>IF(OR(Fact_Impuestos[[#This Row], [Año]]="",Fact_Impuestos[[#This Row], [Mes]]=""),"",DATE(A2026,MATCH(B2026,{"enero","febrero","marzo","abril","mayo","junio","julio","agosto","septiembre","octubre","noviembre","diciembre"},0)+1,0))</f>
        <v/>
      </c>
      <c r="E2026" t="str">
        <f>+IFERROR(VLOOKUP(Fact_Impuestos[[#This Row], [Concepto Anterior]],Conceptos_Impuestos[#All],5,0),"")</f>
        <v/>
      </c>
      <c r="F2026" t="str">
        <f>+IFERROR(VLOOKUP(Fact_Impuestos[[#This Row], 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ht="18.75" customHeight="1" x14ac:dyDescent="0.35">
      <c r="C2027" s="100" t="str">
        <f>IF(OR(Fact_Impuestos[[#This Row], [Año]]="",Fact_Impuestos[[#This Row], [Mes]]=""),"",DATE(A2027,MATCH(B2027,{"enero","febrero","marzo","abril","mayo","junio","julio","agosto","septiembre","octubre","noviembre","diciembre"},0)+1,0))</f>
        <v/>
      </c>
      <c r="E2027" t="str">
        <f>+IFERROR(VLOOKUP(Fact_Impuestos[[#This Row], [Concepto Anterior]],Conceptos_Impuestos[#All],5,0),"")</f>
        <v/>
      </c>
      <c r="F2027" t="str">
        <f>+IFERROR(VLOOKUP(Fact_Impuestos[[#This Row], 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ht="18.75" customHeight="1" x14ac:dyDescent="0.35">
      <c r="C2028" s="100" t="str">
        <f>IF(OR(Fact_Impuestos[[#This Row], [Año]]="",Fact_Impuestos[[#This Row], [Mes]]=""),"",DATE(A2028,MATCH(B2028,{"enero","febrero","marzo","abril","mayo","junio","julio","agosto","septiembre","octubre","noviembre","diciembre"},0)+1,0))</f>
        <v/>
      </c>
      <c r="E2028" t="str">
        <f>+IFERROR(VLOOKUP(Fact_Impuestos[[#This Row], [Concepto Anterior]],Conceptos_Impuestos[#All],5,0),"")</f>
        <v/>
      </c>
      <c r="F2028" t="str">
        <f>+IFERROR(VLOOKUP(Fact_Impuestos[[#This Row], 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ht="18.75" customHeight="1" x14ac:dyDescent="0.35">
      <c r="C2029" s="100" t="str">
        <f>IF(OR(Fact_Impuestos[[#This Row], [Año]]="",Fact_Impuestos[[#This Row], [Mes]]=""),"",DATE(A2029,MATCH(B2029,{"enero","febrero","marzo","abril","mayo","junio","julio","agosto","septiembre","octubre","noviembre","diciembre"},0)+1,0))</f>
        <v/>
      </c>
      <c r="E2029" t="str">
        <f>+IFERROR(VLOOKUP(Fact_Impuestos[[#This Row], [Concepto Anterior]],Conceptos_Impuestos[#All],5,0),"")</f>
        <v/>
      </c>
      <c r="F2029" t="str">
        <f>+IFERROR(VLOOKUP(Fact_Impuestos[[#This Row], 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ht="18.75" customHeight="1" x14ac:dyDescent="0.35">
      <c r="C2030" s="100" t="str">
        <f>IF(OR(Fact_Impuestos[[#This Row], [Año]]="",Fact_Impuestos[[#This Row], [Mes]]=""),"",DATE(A2030,MATCH(B2030,{"enero","febrero","marzo","abril","mayo","junio","julio","agosto","septiembre","octubre","noviembre","diciembre"},0)+1,0))</f>
        <v/>
      </c>
      <c r="E2030" t="str">
        <f>+IFERROR(VLOOKUP(Fact_Impuestos[[#This Row], [Concepto Anterior]],Conceptos_Impuestos[#All],5,0),"")</f>
        <v/>
      </c>
      <c r="F2030" t="str">
        <f>+IFERROR(VLOOKUP(Fact_Impuestos[[#This Row], 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ht="18.75" customHeight="1" x14ac:dyDescent="0.35">
      <c r="C2031" s="100" t="str">
        <f>IF(OR(Fact_Impuestos[[#This Row], [Año]]="",Fact_Impuestos[[#This Row], [Mes]]=""),"",DATE(A2031,MATCH(B2031,{"enero","febrero","marzo","abril","mayo","junio","julio","agosto","septiembre","octubre","noviembre","diciembre"},0)+1,0))</f>
        <v/>
      </c>
      <c r="E2031" t="str">
        <f>+IFERROR(VLOOKUP(Fact_Impuestos[[#This Row], [Concepto Anterior]],Conceptos_Impuestos[#All],5,0),"")</f>
        <v/>
      </c>
      <c r="F2031" t="str">
        <f>+IFERROR(VLOOKUP(Fact_Impuestos[[#This Row], 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ht="18.75" customHeight="1" x14ac:dyDescent="0.35">
      <c r="C2032" s="100" t="str">
        <f>IF(OR(Fact_Impuestos[[#This Row], [Año]]="",Fact_Impuestos[[#This Row], [Mes]]=""),"",DATE(A2032,MATCH(B2032,{"enero","febrero","marzo","abril","mayo","junio","julio","agosto","septiembre","octubre","noviembre","diciembre"},0)+1,0))</f>
        <v/>
      </c>
      <c r="E2032" t="str">
        <f>+IFERROR(VLOOKUP(Fact_Impuestos[[#This Row], [Concepto Anterior]],Conceptos_Impuestos[#All],5,0),"")</f>
        <v/>
      </c>
      <c r="F2032" t="str">
        <f>+IFERROR(VLOOKUP(Fact_Impuestos[[#This Row], 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ht="18.75" customHeight="1" x14ac:dyDescent="0.35">
      <c r="C2033" s="100" t="str">
        <f>IF(OR(Fact_Impuestos[[#This Row], [Año]]="",Fact_Impuestos[[#This Row], [Mes]]=""),"",DATE(A2033,MATCH(B2033,{"enero","febrero","marzo","abril","mayo","junio","julio","agosto","septiembre","octubre","noviembre","diciembre"},0)+1,0))</f>
        <v/>
      </c>
      <c r="E2033" t="str">
        <f>+IFERROR(VLOOKUP(Fact_Impuestos[[#This Row], [Concepto Anterior]],Conceptos_Impuestos[#All],5,0),"")</f>
        <v/>
      </c>
      <c r="F2033" t="str">
        <f>+IFERROR(VLOOKUP(Fact_Impuestos[[#This Row], 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ht="18.75" customHeight="1" x14ac:dyDescent="0.35">
      <c r="C2034" s="100" t="str">
        <f>IF(OR(Fact_Impuestos[[#This Row], [Año]]="",Fact_Impuestos[[#This Row], [Mes]]=""),"",DATE(A2034,MATCH(B2034,{"enero","febrero","marzo","abril","mayo","junio","julio","agosto","septiembre","octubre","noviembre","diciembre"},0)+1,0))</f>
        <v/>
      </c>
      <c r="E2034" t="str">
        <f>+IFERROR(VLOOKUP(Fact_Impuestos[[#This Row], [Concepto Anterior]],Conceptos_Impuestos[#All],5,0),"")</f>
        <v/>
      </c>
      <c r="F2034" t="str">
        <f>+IFERROR(VLOOKUP(Fact_Impuestos[[#This Row], 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ht="18.75" customHeight="1" x14ac:dyDescent="0.35">
      <c r="C2035" s="100" t="str">
        <f>IF(OR(Fact_Impuestos[[#This Row], [Año]]="",Fact_Impuestos[[#This Row], [Mes]]=""),"",DATE(A2035,MATCH(B2035,{"enero","febrero","marzo","abril","mayo","junio","julio","agosto","septiembre","octubre","noviembre","diciembre"},0)+1,0))</f>
        <v/>
      </c>
      <c r="E2035" t="str">
        <f>+IFERROR(VLOOKUP(Fact_Impuestos[[#This Row], [Concepto Anterior]],Conceptos_Impuestos[#All],5,0),"")</f>
        <v/>
      </c>
      <c r="F2035" t="str">
        <f>+IFERROR(VLOOKUP(Fact_Impuestos[[#This Row], 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ht="18.75" customHeight="1" x14ac:dyDescent="0.35">
      <c r="C2036" s="100" t="str">
        <f>IF(OR(Fact_Impuestos[[#This Row], [Año]]="",Fact_Impuestos[[#This Row], [Mes]]=""),"",DATE(A2036,MATCH(B2036,{"enero","febrero","marzo","abril","mayo","junio","julio","agosto","septiembre","octubre","noviembre","diciembre"},0)+1,0))</f>
        <v/>
      </c>
      <c r="E2036" t="str">
        <f>+IFERROR(VLOOKUP(Fact_Impuestos[[#This Row], [Concepto Anterior]],Conceptos_Impuestos[#All],5,0),"")</f>
        <v/>
      </c>
      <c r="F2036" t="str">
        <f>+IFERROR(VLOOKUP(Fact_Impuestos[[#This Row], 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ht="18.75" customHeight="1" x14ac:dyDescent="0.35">
      <c r="C2037" s="100" t="str">
        <f>IF(OR(Fact_Impuestos[[#This Row], [Año]]="",Fact_Impuestos[[#This Row], [Mes]]=""),"",DATE(A2037,MATCH(B2037,{"enero","febrero","marzo","abril","mayo","junio","julio","agosto","septiembre","octubre","noviembre","diciembre"},0)+1,0))</f>
        <v/>
      </c>
      <c r="E2037" t="str">
        <f>+IFERROR(VLOOKUP(Fact_Impuestos[[#This Row], [Concepto Anterior]],Conceptos_Impuestos[#All],5,0),"")</f>
        <v/>
      </c>
      <c r="F2037" t="str">
        <f>+IFERROR(VLOOKUP(Fact_Impuestos[[#This Row], 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ht="18.75" customHeight="1" x14ac:dyDescent="0.35">
      <c r="C2038" s="100" t="str">
        <f>IF(OR(Fact_Impuestos[[#This Row], [Año]]="",Fact_Impuestos[[#This Row], [Mes]]=""),"",DATE(A2038,MATCH(B2038,{"enero","febrero","marzo","abril","mayo","junio","julio","agosto","septiembre","octubre","noviembre","diciembre"},0)+1,0))</f>
        <v/>
      </c>
      <c r="E2038" t="str">
        <f>+IFERROR(VLOOKUP(Fact_Impuestos[[#This Row], [Concepto Anterior]],Conceptos_Impuestos[#All],5,0),"")</f>
        <v/>
      </c>
      <c r="F2038" t="str">
        <f>+IFERROR(VLOOKUP(Fact_Impuestos[[#This Row], 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ht="18.75" customHeight="1" x14ac:dyDescent="0.35">
      <c r="C2039" s="100" t="str">
        <f>IF(OR(Fact_Impuestos[[#This Row], [Año]]="",Fact_Impuestos[[#This Row], [Mes]]=""),"",DATE(A2039,MATCH(B2039,{"enero","febrero","marzo","abril","mayo","junio","julio","agosto","septiembre","octubre","noviembre","diciembre"},0)+1,0))</f>
        <v/>
      </c>
      <c r="E2039" t="str">
        <f>+IFERROR(VLOOKUP(Fact_Impuestos[[#This Row], [Concepto Anterior]],Conceptos_Impuestos[#All],5,0),"")</f>
        <v/>
      </c>
      <c r="F2039" t="str">
        <f>+IFERROR(VLOOKUP(Fact_Impuestos[[#This Row], 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ht="18.75" customHeight="1" x14ac:dyDescent="0.35">
      <c r="C2040" s="100" t="str">
        <f>IF(OR(Fact_Impuestos[[#This Row], [Año]]="",Fact_Impuestos[[#This Row], [Mes]]=""),"",DATE(A2040,MATCH(B2040,{"enero","febrero","marzo","abril","mayo","junio","julio","agosto","septiembre","octubre","noviembre","diciembre"},0)+1,0))</f>
        <v/>
      </c>
      <c r="E2040" t="str">
        <f>+IFERROR(VLOOKUP(Fact_Impuestos[[#This Row], [Concepto Anterior]],Conceptos_Impuestos[#All],5,0),"")</f>
        <v/>
      </c>
      <c r="F2040" t="str">
        <f>+IFERROR(VLOOKUP(Fact_Impuestos[[#This Row], 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ht="18.75" customHeight="1" x14ac:dyDescent="0.35">
      <c r="C2041" s="100" t="str">
        <f>IF(OR(Fact_Impuestos[[#This Row], [Año]]="",Fact_Impuestos[[#This Row], [Mes]]=""),"",DATE(A2041,MATCH(B2041,{"enero","febrero","marzo","abril","mayo","junio","julio","agosto","septiembre","octubre","noviembre","diciembre"},0)+1,0))</f>
        <v/>
      </c>
      <c r="E2041" t="str">
        <f>+IFERROR(VLOOKUP(Fact_Impuestos[[#This Row], [Concepto Anterior]],Conceptos_Impuestos[#All],5,0),"")</f>
        <v/>
      </c>
      <c r="F2041" t="str">
        <f>+IFERROR(VLOOKUP(Fact_Impuestos[[#This Row], 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ht="18.75" customHeight="1" x14ac:dyDescent="0.35">
      <c r="C2042" s="100" t="str">
        <f>IF(OR(Fact_Impuestos[[#This Row], [Año]]="",Fact_Impuestos[[#This Row], [Mes]]=""),"",DATE(A2042,MATCH(B2042,{"enero","febrero","marzo","abril","mayo","junio","julio","agosto","septiembre","octubre","noviembre","diciembre"},0)+1,0))</f>
        <v/>
      </c>
      <c r="E2042" t="str">
        <f>+IFERROR(VLOOKUP(Fact_Impuestos[[#This Row], [Concepto Anterior]],Conceptos_Impuestos[#All],5,0),"")</f>
        <v/>
      </c>
      <c r="F2042" t="str">
        <f>+IFERROR(VLOOKUP(Fact_Impuestos[[#This Row], 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ht="18.75" customHeight="1" x14ac:dyDescent="0.35">
      <c r="C2043" s="100" t="str">
        <f>IF(OR(Fact_Impuestos[[#This Row], [Año]]="",Fact_Impuestos[[#This Row], [Mes]]=""),"",DATE(A2043,MATCH(B2043,{"enero","febrero","marzo","abril","mayo","junio","julio","agosto","septiembre","octubre","noviembre","diciembre"},0)+1,0))</f>
        <v/>
      </c>
      <c r="E2043" t="str">
        <f>+IFERROR(VLOOKUP(Fact_Impuestos[[#This Row], [Concepto Anterior]],Conceptos_Impuestos[#All],5,0),"")</f>
        <v/>
      </c>
      <c r="F2043" t="str">
        <f>+IFERROR(VLOOKUP(Fact_Impuestos[[#This Row], 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ht="18.75" customHeight="1" x14ac:dyDescent="0.35">
      <c r="C2044" s="100" t="str">
        <f>IF(OR(Fact_Impuestos[[#This Row], [Año]]="",Fact_Impuestos[[#This Row], [Mes]]=""),"",DATE(A2044,MATCH(B2044,{"enero","febrero","marzo","abril","mayo","junio","julio","agosto","septiembre","octubre","noviembre","diciembre"},0)+1,0))</f>
        <v/>
      </c>
      <c r="E2044" t="str">
        <f>+IFERROR(VLOOKUP(Fact_Impuestos[[#This Row], [Concepto Anterior]],Conceptos_Impuestos[#All],5,0),"")</f>
        <v/>
      </c>
      <c r="F2044" t="str">
        <f>+IFERROR(VLOOKUP(Fact_Impuestos[[#This Row], 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ht="18.75" customHeight="1" x14ac:dyDescent="0.35">
      <c r="C2045" s="100" t="str">
        <f>IF(OR(Fact_Impuestos[[#This Row], [Año]]="",Fact_Impuestos[[#This Row], [Mes]]=""),"",DATE(A2045,MATCH(B2045,{"enero","febrero","marzo","abril","mayo","junio","julio","agosto","septiembre","octubre","noviembre","diciembre"},0)+1,0))</f>
        <v/>
      </c>
      <c r="E2045" t="str">
        <f>+IFERROR(VLOOKUP(Fact_Impuestos[[#This Row], [Concepto Anterior]],Conceptos_Impuestos[#All],5,0),"")</f>
        <v/>
      </c>
      <c r="F2045" t="str">
        <f>+IFERROR(VLOOKUP(Fact_Impuestos[[#This Row], 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ht="18.75" customHeight="1" x14ac:dyDescent="0.35">
      <c r="C2046" s="100" t="str">
        <f>IF(OR(Fact_Impuestos[[#This Row], [Año]]="",Fact_Impuestos[[#This Row], [Mes]]=""),"",DATE(A2046,MATCH(B2046,{"enero","febrero","marzo","abril","mayo","junio","julio","agosto","septiembre","octubre","noviembre","diciembre"},0)+1,0))</f>
        <v/>
      </c>
      <c r="E2046" t="str">
        <f>+IFERROR(VLOOKUP(Fact_Impuestos[[#This Row], [Concepto Anterior]],Conceptos_Impuestos[#All],5,0),"")</f>
        <v/>
      </c>
      <c r="F2046" t="str">
        <f>+IFERROR(VLOOKUP(Fact_Impuestos[[#This Row], 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ht="18.75" customHeight="1" x14ac:dyDescent="0.35">
      <c r="C2047" s="100" t="str">
        <f>IF(OR(Fact_Impuestos[[#This Row], [Año]]="",Fact_Impuestos[[#This Row], [Mes]]=""),"",DATE(A2047,MATCH(B2047,{"enero","febrero","marzo","abril","mayo","junio","julio","agosto","septiembre","octubre","noviembre","diciembre"},0)+1,0))</f>
        <v/>
      </c>
      <c r="E2047" t="str">
        <f>+IFERROR(VLOOKUP(Fact_Impuestos[[#This Row], [Concepto Anterior]],Conceptos_Impuestos[#All],5,0),"")</f>
        <v/>
      </c>
      <c r="F2047" t="str">
        <f>+IFERROR(VLOOKUP(Fact_Impuestos[[#This Row], 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ht="18.75" customHeight="1" x14ac:dyDescent="0.35">
      <c r="C2048" s="100" t="str">
        <f>IF(OR(Fact_Impuestos[[#This Row], [Año]]="",Fact_Impuestos[[#This Row], [Mes]]=""),"",DATE(A2048,MATCH(B2048,{"enero","febrero","marzo","abril","mayo","junio","julio","agosto","septiembre","octubre","noviembre","diciembre"},0)+1,0))</f>
        <v/>
      </c>
      <c r="E2048" t="str">
        <f>+IFERROR(VLOOKUP(Fact_Impuestos[[#This Row], [Concepto Anterior]],Conceptos_Impuestos[#All],5,0),"")</f>
        <v/>
      </c>
      <c r="F2048" t="str">
        <f>+IFERROR(VLOOKUP(Fact_Impuestos[[#This Row], 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ht="18.75" customHeight="1" x14ac:dyDescent="0.35">
      <c r="C2049" s="100" t="str">
        <f>IF(OR(Fact_Impuestos[[#This Row], [Año]]="",Fact_Impuestos[[#This Row], [Mes]]=""),"",DATE(A2049,MATCH(B2049,{"enero","febrero","marzo","abril","mayo","junio","julio","agosto","septiembre","octubre","noviembre","diciembre"},0)+1,0))</f>
        <v/>
      </c>
      <c r="E2049" t="str">
        <f>+IFERROR(VLOOKUP(Fact_Impuestos[[#This Row], [Concepto Anterior]],Conceptos_Impuestos[#All],5,0),"")</f>
        <v/>
      </c>
      <c r="F2049" t="str">
        <f>+IFERROR(VLOOKUP(Fact_Impuestos[[#This Row], 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ht="18.75" customHeight="1" x14ac:dyDescent="0.35">
      <c r="C2050" s="100" t="str">
        <f>IF(OR(Fact_Impuestos[[#This Row], [Año]]="",Fact_Impuestos[[#This Row], [Mes]]=""),"",DATE(A2050,MATCH(B2050,{"enero","febrero","marzo","abril","mayo","junio","julio","agosto","septiembre","octubre","noviembre","diciembre"},0)+1,0))</f>
        <v/>
      </c>
      <c r="E2050" t="str">
        <f>+IFERROR(VLOOKUP(Fact_Impuestos[[#This Row], [Concepto Anterior]],Conceptos_Impuestos[#All],5,0),"")</f>
        <v/>
      </c>
      <c r="F2050" t="str">
        <f>+IFERROR(VLOOKUP(Fact_Impuestos[[#This Row], 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ht="18.75" customHeight="1" x14ac:dyDescent="0.35">
      <c r="C2051" s="100" t="str">
        <f>IF(OR(Fact_Impuestos[[#This Row], [Año]]="",Fact_Impuestos[[#This Row], [Mes]]=""),"",DATE(A2051,MATCH(B2051,{"enero","febrero","marzo","abril","mayo","junio","julio","agosto","septiembre","octubre","noviembre","diciembre"},0)+1,0))</f>
        <v/>
      </c>
      <c r="E2051" t="str">
        <f>+IFERROR(VLOOKUP(Fact_Impuestos[[#This Row], [Concepto Anterior]],Conceptos_Impuestos[#All],5,0),"")</f>
        <v/>
      </c>
      <c r="F2051" t="str">
        <f>+IFERROR(VLOOKUP(Fact_Impuestos[[#This Row], 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ht="18.75" customHeight="1" x14ac:dyDescent="0.35">
      <c r="C2052" s="100" t="str">
        <f>IF(OR(Fact_Impuestos[[#This Row], [Año]]="",Fact_Impuestos[[#This Row], [Mes]]=""),"",DATE(A2052,MATCH(B2052,{"enero","febrero","marzo","abril","mayo","junio","julio","agosto","septiembre","octubre","noviembre","diciembre"},0)+1,0))</f>
        <v/>
      </c>
      <c r="E2052" t="str">
        <f>+IFERROR(VLOOKUP(Fact_Impuestos[[#This Row], [Concepto Anterior]],Conceptos_Impuestos[#All],5,0),"")</f>
        <v/>
      </c>
      <c r="F2052" t="str">
        <f>+IFERROR(VLOOKUP(Fact_Impuestos[[#This Row], 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ht="18.75" customHeight="1" x14ac:dyDescent="0.35">
      <c r="C2053" s="100" t="str">
        <f>IF(OR(Fact_Impuestos[[#This Row], [Año]]="",Fact_Impuestos[[#This Row], [Mes]]=""),"",DATE(A2053,MATCH(B2053,{"enero","febrero","marzo","abril","mayo","junio","julio","agosto","septiembre","octubre","noviembre","diciembre"},0)+1,0))</f>
        <v/>
      </c>
      <c r="E2053" t="str">
        <f>+IFERROR(VLOOKUP(Fact_Impuestos[[#This Row], [Concepto Anterior]],Conceptos_Impuestos[#All],5,0),"")</f>
        <v/>
      </c>
      <c r="F2053" t="str">
        <f>+IFERROR(VLOOKUP(Fact_Impuestos[[#This Row], 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ht="18.75" customHeight="1" x14ac:dyDescent="0.35">
      <c r="C2054" s="100" t="str">
        <f>IF(OR(Fact_Impuestos[[#This Row], [Año]]="",Fact_Impuestos[[#This Row], [Mes]]=""),"",DATE(A2054,MATCH(B2054,{"enero","febrero","marzo","abril","mayo","junio","julio","agosto","septiembre","octubre","noviembre","diciembre"},0)+1,0))</f>
        <v/>
      </c>
      <c r="E2054" t="str">
        <f>+IFERROR(VLOOKUP(Fact_Impuestos[[#This Row], [Concepto Anterior]],Conceptos_Impuestos[#All],5,0),"")</f>
        <v/>
      </c>
      <c r="F2054" t="str">
        <f>+IFERROR(VLOOKUP(Fact_Impuestos[[#This Row], 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ht="18.75" customHeight="1" x14ac:dyDescent="0.35">
      <c r="C2055" s="100" t="str">
        <f>IF(OR(Fact_Impuestos[[#This Row], [Año]]="",Fact_Impuestos[[#This Row], [Mes]]=""),"",DATE(A2055,MATCH(B2055,{"enero","febrero","marzo","abril","mayo","junio","julio","agosto","septiembre","octubre","noviembre","diciembre"},0)+1,0))</f>
        <v/>
      </c>
      <c r="E2055" t="str">
        <f>+IFERROR(VLOOKUP(Fact_Impuestos[[#This Row], [Concepto Anterior]],Conceptos_Impuestos[#All],5,0),"")</f>
        <v/>
      </c>
      <c r="F2055" t="str">
        <f>+IFERROR(VLOOKUP(Fact_Impuestos[[#This Row], 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ht="18.75" customHeight="1" x14ac:dyDescent="0.35">
      <c r="C2056" s="100" t="str">
        <f>IF(OR(Fact_Impuestos[[#This Row], [Año]]="",Fact_Impuestos[[#This Row], [Mes]]=""),"",DATE(A2056,MATCH(B2056,{"enero","febrero","marzo","abril","mayo","junio","julio","agosto","septiembre","octubre","noviembre","diciembre"},0)+1,0))</f>
        <v/>
      </c>
      <c r="E2056" t="str">
        <f>+IFERROR(VLOOKUP(Fact_Impuestos[[#This Row], [Concepto Anterior]],Conceptos_Impuestos[#All],5,0),"")</f>
        <v/>
      </c>
      <c r="F2056" t="str">
        <f>+IFERROR(VLOOKUP(Fact_Impuestos[[#This Row], 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ht="18.75" customHeight="1" x14ac:dyDescent="0.35">
      <c r="C2057" s="100" t="str">
        <f>IF(OR(Fact_Impuestos[[#This Row], [Año]]="",Fact_Impuestos[[#This Row], [Mes]]=""),"",DATE(A2057,MATCH(B2057,{"enero","febrero","marzo","abril","mayo","junio","julio","agosto","septiembre","octubre","noviembre","diciembre"},0)+1,0))</f>
        <v/>
      </c>
      <c r="E2057" t="str">
        <f>+IFERROR(VLOOKUP(Fact_Impuestos[[#This Row], [Concepto Anterior]],Conceptos_Impuestos[#All],5,0),"")</f>
        <v/>
      </c>
      <c r="F2057" t="str">
        <f>+IFERROR(VLOOKUP(Fact_Impuestos[[#This Row], 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ht="18.75" customHeight="1" x14ac:dyDescent="0.35">
      <c r="C2058" s="100" t="str">
        <f>IF(OR(Fact_Impuestos[[#This Row], [Año]]="",Fact_Impuestos[[#This Row], [Mes]]=""),"",DATE(A2058,MATCH(B2058,{"enero","febrero","marzo","abril","mayo","junio","julio","agosto","septiembre","octubre","noviembre","diciembre"},0)+1,0))</f>
        <v/>
      </c>
      <c r="E2058" t="str">
        <f>+IFERROR(VLOOKUP(Fact_Impuestos[[#This Row], [Concepto Anterior]],Conceptos_Impuestos[#All],5,0),"")</f>
        <v/>
      </c>
      <c r="F2058" t="str">
        <f>+IFERROR(VLOOKUP(Fact_Impuestos[[#This Row], 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ht="18.75" customHeight="1" x14ac:dyDescent="0.35">
      <c r="C2059" s="100" t="str">
        <f>IF(OR(Fact_Impuestos[[#This Row], [Año]]="",Fact_Impuestos[[#This Row], [Mes]]=""),"",DATE(A2059,MATCH(B2059,{"enero","febrero","marzo","abril","mayo","junio","julio","agosto","septiembre","octubre","noviembre","diciembre"},0)+1,0))</f>
        <v/>
      </c>
      <c r="E2059" t="str">
        <f>+IFERROR(VLOOKUP(Fact_Impuestos[[#This Row], [Concepto Anterior]],Conceptos_Impuestos[#All],5,0),"")</f>
        <v/>
      </c>
      <c r="F2059" t="str">
        <f>+IFERROR(VLOOKUP(Fact_Impuestos[[#This Row], 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ht="18.75" customHeight="1" x14ac:dyDescent="0.35">
      <c r="C2060" s="100" t="str">
        <f>IF(OR(Fact_Impuestos[[#This Row], [Año]]="",Fact_Impuestos[[#This Row], [Mes]]=""),"",DATE(A2060,MATCH(B2060,{"enero","febrero","marzo","abril","mayo","junio","julio","agosto","septiembre","octubre","noviembre","diciembre"},0)+1,0))</f>
        <v/>
      </c>
      <c r="E2060" t="str">
        <f>+IFERROR(VLOOKUP(Fact_Impuestos[[#This Row], [Concepto Anterior]],Conceptos_Impuestos[#All],5,0),"")</f>
        <v/>
      </c>
      <c r="F2060" t="str">
        <f>+IFERROR(VLOOKUP(Fact_Impuestos[[#This Row], 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ht="18.75" customHeight="1" x14ac:dyDescent="0.35">
      <c r="C2061" s="100" t="str">
        <f>IF(OR(Fact_Impuestos[[#This Row], [Año]]="",Fact_Impuestos[[#This Row], [Mes]]=""),"",DATE(A2061,MATCH(B2061,{"enero","febrero","marzo","abril","mayo","junio","julio","agosto","septiembre","octubre","noviembre","diciembre"},0)+1,0))</f>
        <v/>
      </c>
      <c r="E2061" t="str">
        <f>+IFERROR(VLOOKUP(Fact_Impuestos[[#This Row], [Concepto Anterior]],Conceptos_Impuestos[#All],5,0),"")</f>
        <v/>
      </c>
      <c r="F2061" t="str">
        <f>+IFERROR(VLOOKUP(Fact_Impuestos[[#This Row], 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ht="18.75" customHeight="1" x14ac:dyDescent="0.35">
      <c r="C2062" s="100" t="str">
        <f>IF(OR(Fact_Impuestos[[#This Row], [Año]]="",Fact_Impuestos[[#This Row], [Mes]]=""),"",DATE(A2062,MATCH(B2062,{"enero","febrero","marzo","abril","mayo","junio","julio","agosto","septiembre","octubre","noviembre","diciembre"},0)+1,0))</f>
        <v/>
      </c>
      <c r="E2062" t="str">
        <f>+IFERROR(VLOOKUP(Fact_Impuestos[[#This Row], [Concepto Anterior]],Conceptos_Impuestos[#All],5,0),"")</f>
        <v/>
      </c>
      <c r="F2062" t="str">
        <f>+IFERROR(VLOOKUP(Fact_Impuestos[[#This Row], 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ht="18.75" customHeight="1" x14ac:dyDescent="0.35">
      <c r="C2063" s="100" t="str">
        <f>IF(OR(Fact_Impuestos[[#This Row], [Año]]="",Fact_Impuestos[[#This Row], [Mes]]=""),"",DATE(A2063,MATCH(B2063,{"enero","febrero","marzo","abril","mayo","junio","julio","agosto","septiembre","octubre","noviembre","diciembre"},0)+1,0))</f>
        <v/>
      </c>
      <c r="E2063" t="str">
        <f>+IFERROR(VLOOKUP(Fact_Impuestos[[#This Row], [Concepto Anterior]],Conceptos_Impuestos[#All],5,0),"")</f>
        <v/>
      </c>
      <c r="F2063" t="str">
        <f>+IFERROR(VLOOKUP(Fact_Impuestos[[#This Row], 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ht="18.75" customHeight="1" x14ac:dyDescent="0.35">
      <c r="C2064" s="100" t="str">
        <f>IF(OR(Fact_Impuestos[[#This Row], [Año]]="",Fact_Impuestos[[#This Row], [Mes]]=""),"",DATE(A2064,MATCH(B2064,{"enero","febrero","marzo","abril","mayo","junio","julio","agosto","septiembre","octubre","noviembre","diciembre"},0)+1,0))</f>
        <v/>
      </c>
      <c r="E2064" t="str">
        <f>+IFERROR(VLOOKUP(Fact_Impuestos[[#This Row], [Concepto Anterior]],Conceptos_Impuestos[#All],5,0),"")</f>
        <v/>
      </c>
      <c r="F2064" t="str">
        <f>+IFERROR(VLOOKUP(Fact_Impuestos[[#This Row], 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ht="18.75" customHeight="1" x14ac:dyDescent="0.35">
      <c r="C2065" s="100" t="str">
        <f>IF(OR(Fact_Impuestos[[#This Row], [Año]]="",Fact_Impuestos[[#This Row], [Mes]]=""),"",DATE(A2065,MATCH(B2065,{"enero","febrero","marzo","abril","mayo","junio","julio","agosto","septiembre","octubre","noviembre","diciembre"},0)+1,0))</f>
        <v/>
      </c>
      <c r="E2065" t="str">
        <f>+IFERROR(VLOOKUP(Fact_Impuestos[[#This Row], [Concepto Anterior]],Conceptos_Impuestos[#All],5,0),"")</f>
        <v/>
      </c>
      <c r="F2065" t="str">
        <f>+IFERROR(VLOOKUP(Fact_Impuestos[[#This Row], 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ht="18.75" customHeight="1" x14ac:dyDescent="0.35">
      <c r="C2066" s="100" t="str">
        <f>IF(OR(Fact_Impuestos[[#This Row], [Año]]="",Fact_Impuestos[[#This Row], [Mes]]=""),"",DATE(A2066,MATCH(B2066,{"enero","febrero","marzo","abril","mayo","junio","julio","agosto","septiembre","octubre","noviembre","diciembre"},0)+1,0))</f>
        <v/>
      </c>
      <c r="E2066" t="str">
        <f>+IFERROR(VLOOKUP(Fact_Impuestos[[#This Row], [Concepto Anterior]],Conceptos_Impuestos[#All],5,0),"")</f>
        <v/>
      </c>
      <c r="F2066" t="str">
        <f>+IFERROR(VLOOKUP(Fact_Impuestos[[#This Row], 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ht="18.75" customHeight="1" x14ac:dyDescent="0.35">
      <c r="C2067" s="100" t="str">
        <f>IF(OR(Fact_Impuestos[[#This Row], [Año]]="",Fact_Impuestos[[#This Row], [Mes]]=""),"",DATE(A2067,MATCH(B2067,{"enero","febrero","marzo","abril","mayo","junio","julio","agosto","septiembre","octubre","noviembre","diciembre"},0)+1,0))</f>
        <v/>
      </c>
      <c r="E2067" t="str">
        <f>+IFERROR(VLOOKUP(Fact_Impuestos[[#This Row], [Concepto Anterior]],Conceptos_Impuestos[#All],5,0),"")</f>
        <v/>
      </c>
      <c r="F2067" t="str">
        <f>+IFERROR(VLOOKUP(Fact_Impuestos[[#This Row], 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ht="18.75" customHeight="1" x14ac:dyDescent="0.35">
      <c r="C2068" s="100" t="str">
        <f>IF(OR(Fact_Impuestos[[#This Row], [Año]]="",Fact_Impuestos[[#This Row], [Mes]]=""),"",DATE(A2068,MATCH(B2068,{"enero","febrero","marzo","abril","mayo","junio","julio","agosto","septiembre","octubre","noviembre","diciembre"},0)+1,0))</f>
        <v/>
      </c>
      <c r="E2068" t="str">
        <f>+IFERROR(VLOOKUP(Fact_Impuestos[[#This Row], [Concepto Anterior]],Conceptos_Impuestos[#All],5,0),"")</f>
        <v/>
      </c>
      <c r="F2068" t="str">
        <f>+IFERROR(VLOOKUP(Fact_Impuestos[[#This Row], 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ht="18.75" customHeight="1" x14ac:dyDescent="0.35">
      <c r="C2069" s="100" t="str">
        <f>IF(OR(Fact_Impuestos[[#This Row], [Año]]="",Fact_Impuestos[[#This Row], [Mes]]=""),"",DATE(A2069,MATCH(B2069,{"enero","febrero","marzo","abril","mayo","junio","julio","agosto","septiembre","octubre","noviembre","diciembre"},0)+1,0))</f>
        <v/>
      </c>
      <c r="E2069" t="str">
        <f>+IFERROR(VLOOKUP(Fact_Impuestos[[#This Row], [Concepto Anterior]],Conceptos_Impuestos[#All],5,0),"")</f>
        <v/>
      </c>
      <c r="F2069" t="str">
        <f>+IFERROR(VLOOKUP(Fact_Impuestos[[#This Row], 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ht="18.75" customHeight="1" x14ac:dyDescent="0.35">
      <c r="C2070" s="100" t="str">
        <f>IF(OR(Fact_Impuestos[[#This Row], [Año]]="",Fact_Impuestos[[#This Row], [Mes]]=""),"",DATE(A2070,MATCH(B2070,{"enero","febrero","marzo","abril","mayo","junio","julio","agosto","septiembre","octubre","noviembre","diciembre"},0)+1,0))</f>
        <v/>
      </c>
      <c r="E2070" t="str">
        <f>+IFERROR(VLOOKUP(Fact_Impuestos[[#This Row], [Concepto Anterior]],Conceptos_Impuestos[#All],5,0),"")</f>
        <v/>
      </c>
      <c r="F2070" t="str">
        <f>+IFERROR(VLOOKUP(Fact_Impuestos[[#This Row], 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ht="18.75" customHeight="1" x14ac:dyDescent="0.35">
      <c r="C2071" s="100" t="str">
        <f>IF(OR(Fact_Impuestos[[#This Row], [Año]]="",Fact_Impuestos[[#This Row], [Mes]]=""),"",DATE(A2071,MATCH(B2071,{"enero","febrero","marzo","abril","mayo","junio","julio","agosto","septiembre","octubre","noviembre","diciembre"},0)+1,0))</f>
        <v/>
      </c>
      <c r="E2071" t="str">
        <f>+IFERROR(VLOOKUP(Fact_Impuestos[[#This Row], [Concepto Anterior]],Conceptos_Impuestos[#All],5,0),"")</f>
        <v/>
      </c>
      <c r="F2071" t="str">
        <f>+IFERROR(VLOOKUP(Fact_Impuestos[[#This Row], 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ht="18.75" customHeight="1" x14ac:dyDescent="0.35">
      <c r="C2072" s="100" t="str">
        <f>IF(OR(Fact_Impuestos[[#This Row], [Año]]="",Fact_Impuestos[[#This Row], [Mes]]=""),"",DATE(A2072,MATCH(B2072,{"enero","febrero","marzo","abril","mayo","junio","julio","agosto","septiembre","octubre","noviembre","diciembre"},0)+1,0))</f>
        <v/>
      </c>
      <c r="E2072" t="str">
        <f>+IFERROR(VLOOKUP(Fact_Impuestos[[#This Row], [Concepto Anterior]],Conceptos_Impuestos[#All],5,0),"")</f>
        <v/>
      </c>
      <c r="F2072" t="str">
        <f>+IFERROR(VLOOKUP(Fact_Impuestos[[#This Row], 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ht="18.75" customHeight="1" x14ac:dyDescent="0.35">
      <c r="C2073" s="100" t="str">
        <f>IF(OR(Fact_Impuestos[[#This Row], [Año]]="",Fact_Impuestos[[#This Row], [Mes]]=""),"",DATE(A2073,MATCH(B2073,{"enero","febrero","marzo","abril","mayo","junio","julio","agosto","septiembre","octubre","noviembre","diciembre"},0)+1,0))</f>
        <v/>
      </c>
      <c r="E2073" t="str">
        <f>+IFERROR(VLOOKUP(Fact_Impuestos[[#This Row], [Concepto Anterior]],Conceptos_Impuestos[#All],5,0),"")</f>
        <v/>
      </c>
      <c r="F2073" t="str">
        <f>+IFERROR(VLOOKUP(Fact_Impuestos[[#This Row], 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ht="18.75" customHeight="1" x14ac:dyDescent="0.35">
      <c r="C2074" s="100" t="str">
        <f>IF(OR(Fact_Impuestos[[#This Row], [Año]]="",Fact_Impuestos[[#This Row], [Mes]]=""),"",DATE(A2074,MATCH(B2074,{"enero","febrero","marzo","abril","mayo","junio","julio","agosto","septiembre","octubre","noviembre","diciembre"},0)+1,0))</f>
        <v/>
      </c>
      <c r="E2074" t="str">
        <f>+IFERROR(VLOOKUP(Fact_Impuestos[[#This Row], [Concepto Anterior]],Conceptos_Impuestos[#All],5,0),"")</f>
        <v/>
      </c>
      <c r="F2074" t="str">
        <f>+IFERROR(VLOOKUP(Fact_Impuestos[[#This Row], 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ht="18.75" customHeight="1" x14ac:dyDescent="0.35">
      <c r="C2075" s="100" t="str">
        <f>IF(OR(Fact_Impuestos[[#This Row], [Año]]="",Fact_Impuestos[[#This Row], [Mes]]=""),"",DATE(A2075,MATCH(B2075,{"enero","febrero","marzo","abril","mayo","junio","julio","agosto","septiembre","octubre","noviembre","diciembre"},0)+1,0))</f>
        <v/>
      </c>
      <c r="E2075" t="str">
        <f>+IFERROR(VLOOKUP(Fact_Impuestos[[#This Row], [Concepto Anterior]],Conceptos_Impuestos[#All],5,0),"")</f>
        <v/>
      </c>
      <c r="F2075" t="str">
        <f>+IFERROR(VLOOKUP(Fact_Impuestos[[#This Row], 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ht="18.75" customHeight="1" x14ac:dyDescent="0.35">
      <c r="C2076" s="100" t="str">
        <f>IF(OR(Fact_Impuestos[[#This Row], [Año]]="",Fact_Impuestos[[#This Row], [Mes]]=""),"",DATE(A2076,MATCH(B2076,{"enero","febrero","marzo","abril","mayo","junio","julio","agosto","septiembre","octubre","noviembre","diciembre"},0)+1,0))</f>
        <v/>
      </c>
      <c r="E2076" t="str">
        <f>+IFERROR(VLOOKUP(Fact_Impuestos[[#This Row], [Concepto Anterior]],Conceptos_Impuestos[#All],5,0),"")</f>
        <v/>
      </c>
      <c r="F2076" t="str">
        <f>+IFERROR(VLOOKUP(Fact_Impuestos[[#This Row], 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ht="18.75" customHeight="1" x14ac:dyDescent="0.35">
      <c r="C2077" s="100" t="str">
        <f>IF(OR(Fact_Impuestos[[#This Row], [Año]]="",Fact_Impuestos[[#This Row], [Mes]]=""),"",DATE(A2077,MATCH(B2077,{"enero","febrero","marzo","abril","mayo","junio","julio","agosto","septiembre","octubre","noviembre","diciembre"},0)+1,0))</f>
        <v/>
      </c>
      <c r="E2077" t="str">
        <f>+IFERROR(VLOOKUP(Fact_Impuestos[[#This Row], [Concepto Anterior]],Conceptos_Impuestos[#All],5,0),"")</f>
        <v/>
      </c>
      <c r="F2077" t="str">
        <f>+IFERROR(VLOOKUP(Fact_Impuestos[[#This Row], 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ht="18.75" customHeight="1" x14ac:dyDescent="0.35">
      <c r="C2078" s="100" t="str">
        <f>IF(OR(Fact_Impuestos[[#This Row], [Año]]="",Fact_Impuestos[[#This Row], [Mes]]=""),"",DATE(A2078,MATCH(B2078,{"enero","febrero","marzo","abril","mayo","junio","julio","agosto","septiembre","octubre","noviembre","diciembre"},0)+1,0))</f>
        <v/>
      </c>
      <c r="E2078" t="str">
        <f>+IFERROR(VLOOKUP(Fact_Impuestos[[#This Row], [Concepto Anterior]],Conceptos_Impuestos[#All],5,0),"")</f>
        <v/>
      </c>
      <c r="F2078" t="str">
        <f>+IFERROR(VLOOKUP(Fact_Impuestos[[#This Row], 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ht="18.75" customHeight="1" x14ac:dyDescent="0.35">
      <c r="C2079" s="100" t="str">
        <f>IF(OR(Fact_Impuestos[[#This Row], [Año]]="",Fact_Impuestos[[#This Row], [Mes]]=""),"",DATE(A2079,MATCH(B2079,{"enero","febrero","marzo","abril","mayo","junio","julio","agosto","septiembre","octubre","noviembre","diciembre"},0)+1,0))</f>
        <v/>
      </c>
      <c r="E2079" t="str">
        <f>+IFERROR(VLOOKUP(Fact_Impuestos[[#This Row], [Concepto Anterior]],Conceptos_Impuestos[#All],5,0),"")</f>
        <v/>
      </c>
      <c r="F2079" t="str">
        <f>+IFERROR(VLOOKUP(Fact_Impuestos[[#This Row], 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ht="18.75" customHeight="1" x14ac:dyDescent="0.35">
      <c r="C2080" s="100" t="str">
        <f>IF(OR(Fact_Impuestos[[#This Row], [Año]]="",Fact_Impuestos[[#This Row], [Mes]]=""),"",DATE(A2080,MATCH(B2080,{"enero","febrero","marzo","abril","mayo","junio","julio","agosto","septiembre","octubre","noviembre","diciembre"},0)+1,0))</f>
        <v/>
      </c>
      <c r="E2080" t="str">
        <f>+IFERROR(VLOOKUP(Fact_Impuestos[[#This Row], [Concepto Anterior]],Conceptos_Impuestos[#All],5,0),"")</f>
        <v/>
      </c>
      <c r="F2080" t="str">
        <f>+IFERROR(VLOOKUP(Fact_Impuestos[[#This Row], 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ht="18.75" customHeight="1" x14ac:dyDescent="0.35">
      <c r="C2081" s="100" t="str">
        <f>IF(OR(Fact_Impuestos[[#This Row], [Año]]="",Fact_Impuestos[[#This Row], [Mes]]=""),"",DATE(A2081,MATCH(B2081,{"enero","febrero","marzo","abril","mayo","junio","julio","agosto","septiembre","octubre","noviembre","diciembre"},0)+1,0))</f>
        <v/>
      </c>
      <c r="E2081" t="str">
        <f>+IFERROR(VLOOKUP(Fact_Impuestos[[#This Row], [Concepto Anterior]],Conceptos_Impuestos[#All],5,0),"")</f>
        <v/>
      </c>
      <c r="F2081" t="str">
        <f>+IFERROR(VLOOKUP(Fact_Impuestos[[#This Row], 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ht="18.75" customHeight="1" x14ac:dyDescent="0.35">
      <c r="C2082" s="100" t="str">
        <f>IF(OR(Fact_Impuestos[[#This Row], [Año]]="",Fact_Impuestos[[#This Row], [Mes]]=""),"",DATE(A2082,MATCH(B2082,{"enero","febrero","marzo","abril","mayo","junio","julio","agosto","septiembre","octubre","noviembre","diciembre"},0)+1,0))</f>
        <v/>
      </c>
      <c r="E2082" t="str">
        <f>+IFERROR(VLOOKUP(Fact_Impuestos[[#This Row], [Concepto Anterior]],Conceptos_Impuestos[#All],5,0),"")</f>
        <v/>
      </c>
      <c r="F2082" t="str">
        <f>+IFERROR(VLOOKUP(Fact_Impuestos[[#This Row], 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ht="18.75" customHeight="1" x14ac:dyDescent="0.35">
      <c r="C2083" s="100" t="str">
        <f>IF(OR(Fact_Impuestos[[#This Row], [Año]]="",Fact_Impuestos[[#This Row], [Mes]]=""),"",DATE(A2083,MATCH(B2083,{"enero","febrero","marzo","abril","mayo","junio","julio","agosto","septiembre","octubre","noviembre","diciembre"},0)+1,0))</f>
        <v/>
      </c>
      <c r="E2083" t="str">
        <f>+IFERROR(VLOOKUP(Fact_Impuestos[[#This Row], [Concepto Anterior]],Conceptos_Impuestos[#All],5,0),"")</f>
        <v/>
      </c>
      <c r="F2083" t="str">
        <f>+IFERROR(VLOOKUP(Fact_Impuestos[[#This Row], 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ht="18.75" customHeight="1" x14ac:dyDescent="0.35">
      <c r="C2084" s="100" t="str">
        <f>IF(OR(Fact_Impuestos[[#This Row], [Año]]="",Fact_Impuestos[[#This Row], [Mes]]=""),"",DATE(A2084,MATCH(B2084,{"enero","febrero","marzo","abril","mayo","junio","julio","agosto","septiembre","octubre","noviembre","diciembre"},0)+1,0))</f>
        <v/>
      </c>
      <c r="E2084" t="str">
        <f>+IFERROR(VLOOKUP(Fact_Impuestos[[#This Row], [Concepto Anterior]],Conceptos_Impuestos[#All],5,0),"")</f>
        <v/>
      </c>
      <c r="F2084" t="str">
        <f>+IFERROR(VLOOKUP(Fact_Impuestos[[#This Row], 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ht="18.75" customHeight="1" x14ac:dyDescent="0.35">
      <c r="C2085" s="100" t="str">
        <f>IF(OR(Fact_Impuestos[[#This Row], [Año]]="",Fact_Impuestos[[#This Row], [Mes]]=""),"",DATE(A2085,MATCH(B2085,{"enero","febrero","marzo","abril","mayo","junio","julio","agosto","septiembre","octubre","noviembre","diciembre"},0)+1,0))</f>
        <v/>
      </c>
      <c r="E2085" t="str">
        <f>+IFERROR(VLOOKUP(Fact_Impuestos[[#This Row], [Concepto Anterior]],Conceptos_Impuestos[#All],5,0),"")</f>
        <v/>
      </c>
      <c r="F2085" t="str">
        <f>+IFERROR(VLOOKUP(Fact_Impuestos[[#This Row], 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ht="18.75" customHeight="1" x14ac:dyDescent="0.35">
      <c r="C2086" s="100" t="str">
        <f>IF(OR(Fact_Impuestos[[#This Row], [Año]]="",Fact_Impuestos[[#This Row], [Mes]]=""),"",DATE(A2086,MATCH(B2086,{"enero","febrero","marzo","abril","mayo","junio","julio","agosto","septiembre","octubre","noviembre","diciembre"},0)+1,0))</f>
        <v/>
      </c>
      <c r="E2086" t="str">
        <f>+IFERROR(VLOOKUP(Fact_Impuestos[[#This Row], [Concepto Anterior]],Conceptos_Impuestos[#All],5,0),"")</f>
        <v/>
      </c>
      <c r="F2086" t="str">
        <f>+IFERROR(VLOOKUP(Fact_Impuestos[[#This Row], 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ht="18.75" customHeight="1" x14ac:dyDescent="0.35">
      <c r="C2087" s="100" t="str">
        <f>IF(OR(Fact_Impuestos[[#This Row], [Año]]="",Fact_Impuestos[[#This Row], [Mes]]=""),"",DATE(A2087,MATCH(B2087,{"enero","febrero","marzo","abril","mayo","junio","julio","agosto","septiembre","octubre","noviembre","diciembre"},0)+1,0))</f>
        <v/>
      </c>
      <c r="E2087" t="str">
        <f>+IFERROR(VLOOKUP(Fact_Impuestos[[#This Row], [Concepto Anterior]],Conceptos_Impuestos[#All],5,0),"")</f>
        <v/>
      </c>
      <c r="F2087" t="str">
        <f>+IFERROR(VLOOKUP(Fact_Impuestos[[#This Row], 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ht="18.75" customHeight="1" x14ac:dyDescent="0.35">
      <c r="C2088" s="100" t="str">
        <f>IF(OR(Fact_Impuestos[[#This Row], [Año]]="",Fact_Impuestos[[#This Row], [Mes]]=""),"",DATE(A2088,MATCH(B2088,{"enero","febrero","marzo","abril","mayo","junio","julio","agosto","septiembre","octubre","noviembre","diciembre"},0)+1,0))</f>
        <v/>
      </c>
      <c r="E2088" t="str">
        <f>+IFERROR(VLOOKUP(Fact_Impuestos[[#This Row], [Concepto Anterior]],Conceptos_Impuestos[#All],5,0),"")</f>
        <v/>
      </c>
      <c r="F2088" t="str">
        <f>+IFERROR(VLOOKUP(Fact_Impuestos[[#This Row], 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ht="18.75" customHeight="1" x14ac:dyDescent="0.35">
      <c r="C2089" s="100" t="str">
        <f>IF(OR(Fact_Impuestos[[#This Row], [Año]]="",Fact_Impuestos[[#This Row], [Mes]]=""),"",DATE(A2089,MATCH(B2089,{"enero","febrero","marzo","abril","mayo","junio","julio","agosto","septiembre","octubre","noviembre","diciembre"},0)+1,0))</f>
        <v/>
      </c>
      <c r="E2089" t="str">
        <f>+IFERROR(VLOOKUP(Fact_Impuestos[[#This Row], [Concepto Anterior]],Conceptos_Impuestos[#All],5,0),"")</f>
        <v/>
      </c>
      <c r="F2089" t="str">
        <f>+IFERROR(VLOOKUP(Fact_Impuestos[[#This Row], 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ht="18.75" customHeight="1" x14ac:dyDescent="0.35">
      <c r="C2090" s="100" t="str">
        <f>IF(OR(Fact_Impuestos[[#This Row], [Año]]="",Fact_Impuestos[[#This Row], [Mes]]=""),"",DATE(A2090,MATCH(B2090,{"enero","febrero","marzo","abril","mayo","junio","julio","agosto","septiembre","octubre","noviembre","diciembre"},0)+1,0))</f>
        <v/>
      </c>
      <c r="E2090" t="str">
        <f>+IFERROR(VLOOKUP(Fact_Impuestos[[#This Row], [Concepto Anterior]],Conceptos_Impuestos[#All],5,0),"")</f>
        <v/>
      </c>
      <c r="F2090" t="str">
        <f>+IFERROR(VLOOKUP(Fact_Impuestos[[#This Row], 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ht="18.75" customHeight="1" x14ac:dyDescent="0.35">
      <c r="C2091" s="100" t="str">
        <f>IF(OR(Fact_Impuestos[[#This Row], [Año]]="",Fact_Impuestos[[#This Row], [Mes]]=""),"",DATE(A2091,MATCH(B2091,{"enero","febrero","marzo","abril","mayo","junio","julio","agosto","septiembre","octubre","noviembre","diciembre"},0)+1,0))</f>
        <v/>
      </c>
      <c r="E2091" t="str">
        <f>+IFERROR(VLOOKUP(Fact_Impuestos[[#This Row], [Concepto Anterior]],Conceptos_Impuestos[#All],5,0),"")</f>
        <v/>
      </c>
      <c r="F2091" t="str">
        <f>+IFERROR(VLOOKUP(Fact_Impuestos[[#This Row], 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ht="18.75" customHeight="1" x14ac:dyDescent="0.35">
      <c r="C2092" s="100" t="str">
        <f>IF(OR(Fact_Impuestos[[#This Row], [Año]]="",Fact_Impuestos[[#This Row], [Mes]]=""),"",DATE(A2092,MATCH(B2092,{"enero","febrero","marzo","abril","mayo","junio","julio","agosto","septiembre","octubre","noviembre","diciembre"},0)+1,0))</f>
        <v/>
      </c>
      <c r="E2092" t="str">
        <f>+IFERROR(VLOOKUP(Fact_Impuestos[[#This Row], [Concepto Anterior]],Conceptos_Impuestos[#All],5,0),"")</f>
        <v/>
      </c>
      <c r="F2092" t="str">
        <f>+IFERROR(VLOOKUP(Fact_Impuestos[[#This Row], 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ht="18.75" customHeight="1" x14ac:dyDescent="0.35">
      <c r="C2093" s="100" t="str">
        <f>IF(OR(Fact_Impuestos[[#This Row], [Año]]="",Fact_Impuestos[[#This Row], [Mes]]=""),"",DATE(A2093,MATCH(B2093,{"enero","febrero","marzo","abril","mayo","junio","julio","agosto","septiembre","octubre","noviembre","diciembre"},0)+1,0))</f>
        <v/>
      </c>
      <c r="E2093" t="str">
        <f>+IFERROR(VLOOKUP(Fact_Impuestos[[#This Row], [Concepto Anterior]],Conceptos_Impuestos[#All],5,0),"")</f>
        <v/>
      </c>
      <c r="F2093" t="str">
        <f>+IFERROR(VLOOKUP(Fact_Impuestos[[#This Row], 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ht="18.75" customHeight="1" x14ac:dyDescent="0.35">
      <c r="C2094" s="100" t="str">
        <f>IF(OR(Fact_Impuestos[[#This Row], [Año]]="",Fact_Impuestos[[#This Row], [Mes]]=""),"",DATE(A2094,MATCH(B2094,{"enero","febrero","marzo","abril","mayo","junio","julio","agosto","septiembre","octubre","noviembre","diciembre"},0)+1,0))</f>
        <v/>
      </c>
      <c r="E2094" t="str">
        <f>+IFERROR(VLOOKUP(Fact_Impuestos[[#This Row], [Concepto Anterior]],Conceptos_Impuestos[#All],5,0),"")</f>
        <v/>
      </c>
      <c r="F2094" t="str">
        <f>+IFERROR(VLOOKUP(Fact_Impuestos[[#This Row], 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ht="18.75" customHeight="1" x14ac:dyDescent="0.35">
      <c r="C2095" s="100" t="str">
        <f>IF(OR(Fact_Impuestos[[#This Row], [Año]]="",Fact_Impuestos[[#This Row], [Mes]]=""),"",DATE(A2095,MATCH(B2095,{"enero","febrero","marzo","abril","mayo","junio","julio","agosto","septiembre","octubre","noviembre","diciembre"},0)+1,0))</f>
        <v/>
      </c>
      <c r="E2095" t="str">
        <f>+IFERROR(VLOOKUP(Fact_Impuestos[[#This Row], [Concepto Anterior]],Conceptos_Impuestos[#All],5,0),"")</f>
        <v/>
      </c>
      <c r="F2095" t="str">
        <f>+IFERROR(VLOOKUP(Fact_Impuestos[[#This Row], 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ht="18.75" customHeight="1" x14ac:dyDescent="0.35">
      <c r="C2096" s="100" t="str">
        <f>IF(OR(Fact_Impuestos[[#This Row], [Año]]="",Fact_Impuestos[[#This Row], [Mes]]=""),"",DATE(A2096,MATCH(B2096,{"enero","febrero","marzo","abril","mayo","junio","julio","agosto","septiembre","octubre","noviembre","diciembre"},0)+1,0))</f>
        <v/>
      </c>
      <c r="E2096" t="str">
        <f>+IFERROR(VLOOKUP(Fact_Impuestos[[#This Row], [Concepto Anterior]],Conceptos_Impuestos[#All],5,0),"")</f>
        <v/>
      </c>
      <c r="F2096" t="str">
        <f>+IFERROR(VLOOKUP(Fact_Impuestos[[#This Row], 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ht="18.75" customHeight="1" x14ac:dyDescent="0.35">
      <c r="C2097" s="100" t="str">
        <f>IF(OR(Fact_Impuestos[[#This Row], [Año]]="",Fact_Impuestos[[#This Row], [Mes]]=""),"",DATE(A2097,MATCH(B2097,{"enero","febrero","marzo","abril","mayo","junio","julio","agosto","septiembre","octubre","noviembre","diciembre"},0)+1,0))</f>
        <v/>
      </c>
      <c r="E2097" t="str">
        <f>+IFERROR(VLOOKUP(Fact_Impuestos[[#This Row], [Concepto Anterior]],Conceptos_Impuestos[#All],5,0),"")</f>
        <v/>
      </c>
      <c r="F2097" t="str">
        <f>+IFERROR(VLOOKUP(Fact_Impuestos[[#This Row], 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ht="18.75" customHeight="1" x14ac:dyDescent="0.35">
      <c r="C2098" s="100" t="str">
        <f>IF(OR(Fact_Impuestos[[#This Row], [Año]]="",Fact_Impuestos[[#This Row], [Mes]]=""),"",DATE(A2098,MATCH(B2098,{"enero","febrero","marzo","abril","mayo","junio","julio","agosto","septiembre","octubre","noviembre","diciembre"},0)+1,0))</f>
        <v/>
      </c>
      <c r="E2098" t="str">
        <f>+IFERROR(VLOOKUP(Fact_Impuestos[[#This Row], [Concepto Anterior]],Conceptos_Impuestos[#All],5,0),"")</f>
        <v/>
      </c>
      <c r="F2098" t="str">
        <f>+IFERROR(VLOOKUP(Fact_Impuestos[[#This Row], 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ht="18.75" customHeight="1" x14ac:dyDescent="0.35">
      <c r="C2099" s="100" t="str">
        <f>IF(OR(Fact_Impuestos[[#This Row], [Año]]="",Fact_Impuestos[[#This Row], [Mes]]=""),"",DATE(A2099,MATCH(B2099,{"enero","febrero","marzo","abril","mayo","junio","julio","agosto","septiembre","octubre","noviembre","diciembre"},0)+1,0))</f>
        <v/>
      </c>
      <c r="E2099" t="str">
        <f>+IFERROR(VLOOKUP(Fact_Impuestos[[#This Row], [Concepto Anterior]],Conceptos_Impuestos[#All],5,0),"")</f>
        <v/>
      </c>
      <c r="F2099" t="str">
        <f>+IFERROR(VLOOKUP(Fact_Impuestos[[#This Row], 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ht="18.75" customHeight="1" x14ac:dyDescent="0.35">
      <c r="C2100" s="100" t="str">
        <f>IF(OR(Fact_Impuestos[[#This Row], [Año]]="",Fact_Impuestos[[#This Row], [Mes]]=""),"",DATE(A2100,MATCH(B2100,{"enero","febrero","marzo","abril","mayo","junio","julio","agosto","septiembre","octubre","noviembre","diciembre"},0)+1,0))</f>
        <v/>
      </c>
      <c r="E2100" t="str">
        <f>+IFERROR(VLOOKUP(Fact_Impuestos[[#This Row], [Concepto Anterior]],Conceptos_Impuestos[#All],5,0),"")</f>
        <v/>
      </c>
      <c r="F2100" t="str">
        <f>+IFERROR(VLOOKUP(Fact_Impuestos[[#This Row], 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ht="18.75" customHeight="1" x14ac:dyDescent="0.35">
      <c r="C2101" s="100" t="str">
        <f>IF(OR(Fact_Impuestos[[#This Row], [Año]]="",Fact_Impuestos[[#This Row], [Mes]]=""),"",DATE(A2101,MATCH(B2101,{"enero","febrero","marzo","abril","mayo","junio","julio","agosto","septiembre","octubre","noviembre","diciembre"},0)+1,0))</f>
        <v/>
      </c>
      <c r="E2101" t="str">
        <f>+IFERROR(VLOOKUP(Fact_Impuestos[[#This Row], [Concepto Anterior]],Conceptos_Impuestos[#All],5,0),"")</f>
        <v/>
      </c>
      <c r="F2101" t="str">
        <f>+IFERROR(VLOOKUP(Fact_Impuestos[[#This Row], 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ht="18.75" customHeight="1" x14ac:dyDescent="0.35">
      <c r="C2102" s="100" t="str">
        <f>IF(OR(Fact_Impuestos[[#This Row], [Año]]="",Fact_Impuestos[[#This Row], [Mes]]=""),"",DATE(A2102,MATCH(B2102,{"enero","febrero","marzo","abril","mayo","junio","julio","agosto","septiembre","octubre","noviembre","diciembre"},0)+1,0))</f>
        <v/>
      </c>
      <c r="E2102" t="str">
        <f>+IFERROR(VLOOKUP(Fact_Impuestos[[#This Row], [Concepto Anterior]],Conceptos_Impuestos[#All],5,0),"")</f>
        <v/>
      </c>
      <c r="F2102" t="str">
        <f>+IFERROR(VLOOKUP(Fact_Impuestos[[#This Row], 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ht="18.75" customHeight="1" x14ac:dyDescent="0.35">
      <c r="C2103" s="100" t="str">
        <f>IF(OR(Fact_Impuestos[[#This Row], [Año]]="",Fact_Impuestos[[#This Row], [Mes]]=""),"",DATE(A2103,MATCH(B2103,{"enero","febrero","marzo","abril","mayo","junio","julio","agosto","septiembre","octubre","noviembre","diciembre"},0)+1,0))</f>
        <v/>
      </c>
      <c r="E2103" t="str">
        <f>+IFERROR(VLOOKUP(Fact_Impuestos[[#This Row], [Concepto Anterior]],Conceptos_Impuestos[#All],5,0),"")</f>
        <v/>
      </c>
      <c r="F2103" t="str">
        <f>+IFERROR(VLOOKUP(Fact_Impuestos[[#This Row], 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ht="18.75" customHeight="1" x14ac:dyDescent="0.35">
      <c r="C2104" s="100" t="str">
        <f>IF(OR(Fact_Impuestos[[#This Row], [Año]]="",Fact_Impuestos[[#This Row], [Mes]]=""),"",DATE(A2104,MATCH(B2104,{"enero","febrero","marzo","abril","mayo","junio","julio","agosto","septiembre","octubre","noviembre","diciembre"},0)+1,0))</f>
        <v/>
      </c>
      <c r="E2104" t="str">
        <f>+IFERROR(VLOOKUP(Fact_Impuestos[[#This Row], [Concepto Anterior]],Conceptos_Impuestos[#All],5,0),"")</f>
        <v/>
      </c>
      <c r="F2104" t="str">
        <f>+IFERROR(VLOOKUP(Fact_Impuestos[[#This Row], 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ht="18.75" customHeight="1" x14ac:dyDescent="0.35">
      <c r="C2105" s="100" t="str">
        <f>IF(OR(Fact_Impuestos[[#This Row], [Año]]="",Fact_Impuestos[[#This Row], [Mes]]=""),"",DATE(A2105,MATCH(B2105,{"enero","febrero","marzo","abril","mayo","junio","julio","agosto","septiembre","octubre","noviembre","diciembre"},0)+1,0))</f>
        <v/>
      </c>
      <c r="E2105" t="str">
        <f>+IFERROR(VLOOKUP(Fact_Impuestos[[#This Row], [Concepto Anterior]],Conceptos_Impuestos[#All],5,0),"")</f>
        <v/>
      </c>
      <c r="F2105" t="str">
        <f>+IFERROR(VLOOKUP(Fact_Impuestos[[#This Row], 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ht="18.75" customHeight="1" x14ac:dyDescent="0.35">
      <c r="C2106" s="100" t="str">
        <f>IF(OR(Fact_Impuestos[[#This Row], [Año]]="",Fact_Impuestos[[#This Row], [Mes]]=""),"",DATE(A2106,MATCH(B2106,{"enero","febrero","marzo","abril","mayo","junio","julio","agosto","septiembre","octubre","noviembre","diciembre"},0)+1,0))</f>
        <v/>
      </c>
      <c r="E2106" t="str">
        <f>+IFERROR(VLOOKUP(Fact_Impuestos[[#This Row], [Concepto Anterior]],Conceptos_Impuestos[#All],5,0),"")</f>
        <v/>
      </c>
      <c r="F2106" t="str">
        <f>+IFERROR(VLOOKUP(Fact_Impuestos[[#This Row], 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ht="18.75" customHeight="1" x14ac:dyDescent="0.35">
      <c r="C2107" s="100" t="str">
        <f>IF(OR(Fact_Impuestos[[#This Row], [Año]]="",Fact_Impuestos[[#This Row], [Mes]]=""),"",DATE(A2107,MATCH(B2107,{"enero","febrero","marzo","abril","mayo","junio","julio","agosto","septiembre","octubre","noviembre","diciembre"},0)+1,0))</f>
        <v/>
      </c>
      <c r="E2107" t="str">
        <f>+IFERROR(VLOOKUP(Fact_Impuestos[[#This Row], [Concepto Anterior]],Conceptos_Impuestos[#All],5,0),"")</f>
        <v/>
      </c>
      <c r="F2107" t="str">
        <f>+IFERROR(VLOOKUP(Fact_Impuestos[[#This Row], 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ht="18.75" customHeight="1" x14ac:dyDescent="0.35">
      <c r="C2108" s="100" t="str">
        <f>IF(OR(Fact_Impuestos[[#This Row], [Año]]="",Fact_Impuestos[[#This Row], [Mes]]=""),"",DATE(A2108,MATCH(B2108,{"enero","febrero","marzo","abril","mayo","junio","julio","agosto","septiembre","octubre","noviembre","diciembre"},0)+1,0))</f>
        <v/>
      </c>
      <c r="E2108" t="str">
        <f>+IFERROR(VLOOKUP(Fact_Impuestos[[#This Row], [Concepto Anterior]],Conceptos_Impuestos[#All],5,0),"")</f>
        <v/>
      </c>
      <c r="F2108" t="str">
        <f>+IFERROR(VLOOKUP(Fact_Impuestos[[#This Row], 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ht="18.75" customHeight="1" x14ac:dyDescent="0.35">
      <c r="C2109" s="100" t="str">
        <f>IF(OR(Fact_Impuestos[[#This Row], [Año]]="",Fact_Impuestos[[#This Row], [Mes]]=""),"",DATE(A2109,MATCH(B2109,{"enero","febrero","marzo","abril","mayo","junio","julio","agosto","septiembre","octubre","noviembre","diciembre"},0)+1,0))</f>
        <v/>
      </c>
      <c r="E2109" t="str">
        <f>+IFERROR(VLOOKUP(Fact_Impuestos[[#This Row], [Concepto Anterior]],Conceptos_Impuestos[#All],5,0),"")</f>
        <v/>
      </c>
      <c r="F2109" t="str">
        <f>+IFERROR(VLOOKUP(Fact_Impuestos[[#This Row], 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ht="18.75" customHeight="1" x14ac:dyDescent="0.35">
      <c r="C2110" s="100" t="str">
        <f>IF(OR(Fact_Impuestos[[#This Row], [Año]]="",Fact_Impuestos[[#This Row], [Mes]]=""),"",DATE(A2110,MATCH(B2110,{"enero","febrero","marzo","abril","mayo","junio","julio","agosto","septiembre","octubre","noviembre","diciembre"},0)+1,0))</f>
        <v/>
      </c>
      <c r="E2110" t="str">
        <f>+IFERROR(VLOOKUP(Fact_Impuestos[[#This Row], [Concepto Anterior]],Conceptos_Impuestos[#All],5,0),"")</f>
        <v/>
      </c>
      <c r="F2110" t="str">
        <f>+IFERROR(VLOOKUP(Fact_Impuestos[[#This Row], 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ht="18.75" customHeight="1" x14ac:dyDescent="0.35">
      <c r="C2111" s="100" t="str">
        <f>IF(OR(Fact_Impuestos[[#This Row], [Año]]="",Fact_Impuestos[[#This Row], [Mes]]=""),"",DATE(A2111,MATCH(B2111,{"enero","febrero","marzo","abril","mayo","junio","julio","agosto","septiembre","octubre","noviembre","diciembre"},0)+1,0))</f>
        <v/>
      </c>
      <c r="E2111" t="str">
        <f>+IFERROR(VLOOKUP(Fact_Impuestos[[#This Row], [Concepto Anterior]],Conceptos_Impuestos[#All],5,0),"")</f>
        <v/>
      </c>
      <c r="F2111" t="str">
        <f>+IFERROR(VLOOKUP(Fact_Impuestos[[#This Row], 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ht="18.75" customHeight="1" x14ac:dyDescent="0.35">
      <c r="C2112" s="100" t="str">
        <f>IF(OR(Fact_Impuestos[[#This Row], [Año]]="",Fact_Impuestos[[#This Row], [Mes]]=""),"",DATE(A2112,MATCH(B2112,{"enero","febrero","marzo","abril","mayo","junio","julio","agosto","septiembre","octubre","noviembre","diciembre"},0)+1,0))</f>
        <v/>
      </c>
      <c r="E2112" t="str">
        <f>+IFERROR(VLOOKUP(Fact_Impuestos[[#This Row], [Concepto Anterior]],Conceptos_Impuestos[#All],5,0),"")</f>
        <v/>
      </c>
      <c r="F2112" t="str">
        <f>+IFERROR(VLOOKUP(Fact_Impuestos[[#This Row], 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ht="18.75" customHeight="1" x14ac:dyDescent="0.35">
      <c r="C2113" s="100" t="str">
        <f>IF(OR(Fact_Impuestos[[#This Row], [Año]]="",Fact_Impuestos[[#This Row], [Mes]]=""),"",DATE(A2113,MATCH(B2113,{"enero","febrero","marzo","abril","mayo","junio","julio","agosto","septiembre","octubre","noviembre","diciembre"},0)+1,0))</f>
        <v/>
      </c>
      <c r="E2113" t="str">
        <f>+IFERROR(VLOOKUP(Fact_Impuestos[[#This Row], [Concepto Anterior]],Conceptos_Impuestos[#All],5,0),"")</f>
        <v/>
      </c>
      <c r="F2113" t="str">
        <f>+IFERROR(VLOOKUP(Fact_Impuestos[[#This Row], 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ht="18.75" customHeight="1" x14ac:dyDescent="0.35">
      <c r="C2114" s="100" t="str">
        <f>IF(OR(Fact_Impuestos[[#This Row], [Año]]="",Fact_Impuestos[[#This Row], [Mes]]=""),"",DATE(A2114,MATCH(B2114,{"enero","febrero","marzo","abril","mayo","junio","julio","agosto","septiembre","octubre","noviembre","diciembre"},0)+1,0))</f>
        <v/>
      </c>
      <c r="E2114" t="str">
        <f>+IFERROR(VLOOKUP(Fact_Impuestos[[#This Row], [Concepto Anterior]],Conceptos_Impuestos[#All],5,0),"")</f>
        <v/>
      </c>
      <c r="F2114" t="str">
        <f>+IFERROR(VLOOKUP(Fact_Impuestos[[#This Row], 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ht="18.75" customHeight="1" x14ac:dyDescent="0.35">
      <c r="C2115" s="100" t="str">
        <f>IF(OR(Fact_Impuestos[[#This Row], [Año]]="",Fact_Impuestos[[#This Row], [Mes]]=""),"",DATE(A2115,MATCH(B2115,{"enero","febrero","marzo","abril","mayo","junio","julio","agosto","septiembre","octubre","noviembre","diciembre"},0)+1,0))</f>
        <v/>
      </c>
      <c r="E2115" t="str">
        <f>+IFERROR(VLOOKUP(Fact_Impuestos[[#This Row], [Concepto Anterior]],Conceptos_Impuestos[#All],5,0),"")</f>
        <v/>
      </c>
      <c r="F2115" t="str">
        <f>+IFERROR(VLOOKUP(Fact_Impuestos[[#This Row], 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ht="18.75" customHeight="1" x14ac:dyDescent="0.35">
      <c r="C2116" s="100" t="str">
        <f>IF(OR(Fact_Impuestos[[#This Row], [Año]]="",Fact_Impuestos[[#This Row], [Mes]]=""),"",DATE(A2116,MATCH(B2116,{"enero","febrero","marzo","abril","mayo","junio","julio","agosto","septiembre","octubre","noviembre","diciembre"},0)+1,0))</f>
        <v/>
      </c>
      <c r="E2116" t="str">
        <f>+IFERROR(VLOOKUP(Fact_Impuestos[[#This Row], [Concepto Anterior]],Conceptos_Impuestos[#All],5,0),"")</f>
        <v/>
      </c>
      <c r="F2116" t="str">
        <f>+IFERROR(VLOOKUP(Fact_Impuestos[[#This Row], 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ht="18.75" customHeight="1" x14ac:dyDescent="0.35">
      <c r="C2117" s="100" t="str">
        <f>IF(OR(Fact_Impuestos[[#This Row], [Año]]="",Fact_Impuestos[[#This Row], [Mes]]=""),"",DATE(A2117,MATCH(B2117,{"enero","febrero","marzo","abril","mayo","junio","julio","agosto","septiembre","octubre","noviembre","diciembre"},0)+1,0))</f>
        <v/>
      </c>
      <c r="E2117" t="str">
        <f>+IFERROR(VLOOKUP(Fact_Impuestos[[#This Row], [Concepto Anterior]],Conceptos_Impuestos[#All],5,0),"")</f>
        <v/>
      </c>
      <c r="F2117" t="str">
        <f>+IFERROR(VLOOKUP(Fact_Impuestos[[#This Row], 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ht="18.75" customHeight="1" x14ac:dyDescent="0.35">
      <c r="C2118" s="100" t="str">
        <f>IF(OR(Fact_Impuestos[[#This Row], [Año]]="",Fact_Impuestos[[#This Row], [Mes]]=""),"",DATE(A2118,MATCH(B2118,{"enero","febrero","marzo","abril","mayo","junio","julio","agosto","septiembre","octubre","noviembre","diciembre"},0)+1,0))</f>
        <v/>
      </c>
      <c r="E2118" t="str">
        <f>+IFERROR(VLOOKUP(Fact_Impuestos[[#This Row], [Concepto Anterior]],Conceptos_Impuestos[#All],5,0),"")</f>
        <v/>
      </c>
      <c r="F2118" t="str">
        <f>+IFERROR(VLOOKUP(Fact_Impuestos[[#This Row], 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ht="18.75" customHeight="1" x14ac:dyDescent="0.35">
      <c r="C2119" s="100" t="str">
        <f>IF(OR(Fact_Impuestos[[#This Row], [Año]]="",Fact_Impuestos[[#This Row], [Mes]]=""),"",DATE(A2119,MATCH(B2119,{"enero","febrero","marzo","abril","mayo","junio","julio","agosto","septiembre","octubre","noviembre","diciembre"},0)+1,0))</f>
        <v/>
      </c>
      <c r="E2119" t="str">
        <f>+IFERROR(VLOOKUP(Fact_Impuestos[[#This Row], [Concepto Anterior]],Conceptos_Impuestos[#All],5,0),"")</f>
        <v/>
      </c>
      <c r="F2119" t="str">
        <f>+IFERROR(VLOOKUP(Fact_Impuestos[[#This Row], 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ht="18.75" customHeight="1" x14ac:dyDescent="0.35">
      <c r="C2120" s="100" t="str">
        <f>IF(OR(Fact_Impuestos[[#This Row], [Año]]="",Fact_Impuestos[[#This Row], [Mes]]=""),"",DATE(A2120,MATCH(B2120,{"enero","febrero","marzo","abril","mayo","junio","julio","agosto","septiembre","octubre","noviembre","diciembre"},0)+1,0))</f>
        <v/>
      </c>
      <c r="E2120" t="str">
        <f>+IFERROR(VLOOKUP(Fact_Impuestos[[#This Row], [Concepto Anterior]],Conceptos_Impuestos[#All],5,0),"")</f>
        <v/>
      </c>
      <c r="F2120" t="str">
        <f>+IFERROR(VLOOKUP(Fact_Impuestos[[#This Row], 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ht="18.75" customHeight="1" x14ac:dyDescent="0.35">
      <c r="C2121" s="100" t="str">
        <f>IF(OR(Fact_Impuestos[[#This Row], [Año]]="",Fact_Impuestos[[#This Row], [Mes]]=""),"",DATE(A2121,MATCH(B2121,{"enero","febrero","marzo","abril","mayo","junio","julio","agosto","septiembre","octubre","noviembre","diciembre"},0)+1,0))</f>
        <v/>
      </c>
      <c r="E2121" t="str">
        <f>+IFERROR(VLOOKUP(Fact_Impuestos[[#This Row], [Concepto Anterior]],Conceptos_Impuestos[#All],5,0),"")</f>
        <v/>
      </c>
      <c r="F2121" t="str">
        <f>+IFERROR(VLOOKUP(Fact_Impuestos[[#This Row], 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ht="18.75" customHeight="1" x14ac:dyDescent="0.35">
      <c r="C2122" s="100" t="str">
        <f>IF(OR(Fact_Impuestos[[#This Row], [Año]]="",Fact_Impuestos[[#This Row], [Mes]]=""),"",DATE(A2122,MATCH(B2122,{"enero","febrero","marzo","abril","mayo","junio","julio","agosto","septiembre","octubre","noviembre","diciembre"},0)+1,0))</f>
        <v/>
      </c>
      <c r="E2122" t="str">
        <f>+IFERROR(VLOOKUP(Fact_Impuestos[[#This Row], [Concepto Anterior]],Conceptos_Impuestos[#All],5,0),"")</f>
        <v/>
      </c>
      <c r="F2122" t="str">
        <f>+IFERROR(VLOOKUP(Fact_Impuestos[[#This Row], 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ht="18.75" customHeight="1" x14ac:dyDescent="0.35">
      <c r="C2123" s="100" t="str">
        <f>IF(OR(Fact_Impuestos[[#This Row], [Año]]="",Fact_Impuestos[[#This Row], [Mes]]=""),"",DATE(A2123,MATCH(B2123,{"enero","febrero","marzo","abril","mayo","junio","julio","agosto","septiembre","octubre","noviembre","diciembre"},0)+1,0))</f>
        <v/>
      </c>
      <c r="E2123" t="str">
        <f>+IFERROR(VLOOKUP(Fact_Impuestos[[#This Row], [Concepto Anterior]],Conceptos_Impuestos[#All],5,0),"")</f>
        <v/>
      </c>
      <c r="F2123" t="str">
        <f>+IFERROR(VLOOKUP(Fact_Impuestos[[#This Row], 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ht="18.75" customHeight="1" x14ac:dyDescent="0.35">
      <c r="C2124" s="100" t="str">
        <f>IF(OR(Fact_Impuestos[[#This Row], [Año]]="",Fact_Impuestos[[#This Row], [Mes]]=""),"",DATE(A2124,MATCH(B2124,{"enero","febrero","marzo","abril","mayo","junio","julio","agosto","septiembre","octubre","noviembre","diciembre"},0)+1,0))</f>
        <v/>
      </c>
      <c r="E2124" t="str">
        <f>+IFERROR(VLOOKUP(Fact_Impuestos[[#This Row], [Concepto Anterior]],Conceptos_Impuestos[#All],5,0),"")</f>
        <v/>
      </c>
      <c r="F2124" t="str">
        <f>+IFERROR(VLOOKUP(Fact_Impuestos[[#This Row], 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ht="18.75" customHeight="1" x14ac:dyDescent="0.35">
      <c r="C2125" s="100" t="str">
        <f>IF(OR(Fact_Impuestos[[#This Row], [Año]]="",Fact_Impuestos[[#This Row], [Mes]]=""),"",DATE(A2125,MATCH(B2125,{"enero","febrero","marzo","abril","mayo","junio","julio","agosto","septiembre","octubre","noviembre","diciembre"},0)+1,0))</f>
        <v/>
      </c>
      <c r="E2125" t="str">
        <f>+IFERROR(VLOOKUP(Fact_Impuestos[[#This Row], [Concepto Anterior]],Conceptos_Impuestos[#All],5,0),"")</f>
        <v/>
      </c>
      <c r="F2125" t="str">
        <f>+IFERROR(VLOOKUP(Fact_Impuestos[[#This Row], 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ht="18.75" customHeight="1" x14ac:dyDescent="0.35">
      <c r="C2126" s="100" t="str">
        <f>IF(OR(Fact_Impuestos[[#This Row], [Año]]="",Fact_Impuestos[[#This Row], [Mes]]=""),"",DATE(A2126,MATCH(B2126,{"enero","febrero","marzo","abril","mayo","junio","julio","agosto","septiembre","octubre","noviembre","diciembre"},0)+1,0))</f>
        <v/>
      </c>
      <c r="E2126" t="str">
        <f>+IFERROR(VLOOKUP(Fact_Impuestos[[#This Row], [Concepto Anterior]],Conceptos_Impuestos[#All],5,0),"")</f>
        <v/>
      </c>
      <c r="F2126" t="str">
        <f>+IFERROR(VLOOKUP(Fact_Impuestos[[#This Row], 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ht="18.75" customHeight="1" x14ac:dyDescent="0.35">
      <c r="C2127" s="100" t="str">
        <f>IF(OR(Fact_Impuestos[[#This Row], [Año]]="",Fact_Impuestos[[#This Row], [Mes]]=""),"",DATE(A2127,MATCH(B2127,{"enero","febrero","marzo","abril","mayo","junio","julio","agosto","septiembre","octubre","noviembre","diciembre"},0)+1,0))</f>
        <v/>
      </c>
      <c r="E2127" t="str">
        <f>+IFERROR(VLOOKUP(Fact_Impuestos[[#This Row], [Concepto Anterior]],Conceptos_Impuestos[#All],5,0),"")</f>
        <v/>
      </c>
      <c r="F2127" t="str">
        <f>+IFERROR(VLOOKUP(Fact_Impuestos[[#This Row], 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ht="18.75" customHeight="1" x14ac:dyDescent="0.35">
      <c r="C2128" s="100" t="str">
        <f>IF(OR(Fact_Impuestos[[#This Row], [Año]]="",Fact_Impuestos[[#This Row], [Mes]]=""),"",DATE(A2128,MATCH(B2128,{"enero","febrero","marzo","abril","mayo","junio","julio","agosto","septiembre","octubre","noviembre","diciembre"},0)+1,0))</f>
        <v/>
      </c>
      <c r="E2128" t="str">
        <f>+IFERROR(VLOOKUP(Fact_Impuestos[[#This Row], [Concepto Anterior]],Conceptos_Impuestos[#All],5,0),"")</f>
        <v/>
      </c>
      <c r="F2128" t="str">
        <f>+IFERROR(VLOOKUP(Fact_Impuestos[[#This Row], 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ht="18.75" customHeight="1" x14ac:dyDescent="0.35">
      <c r="C2129" s="100" t="str">
        <f>IF(OR(Fact_Impuestos[[#This Row], [Año]]="",Fact_Impuestos[[#This Row], [Mes]]=""),"",DATE(A2129,MATCH(B2129,{"enero","febrero","marzo","abril","mayo","junio","julio","agosto","septiembre","octubre","noviembre","diciembre"},0)+1,0))</f>
        <v/>
      </c>
      <c r="E2129" t="str">
        <f>+IFERROR(VLOOKUP(Fact_Impuestos[[#This Row], [Concepto Anterior]],Conceptos_Impuestos[#All],5,0),"")</f>
        <v/>
      </c>
      <c r="F2129" t="str">
        <f>+IFERROR(VLOOKUP(Fact_Impuestos[[#This Row], 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ht="18.75" customHeight="1" x14ac:dyDescent="0.35">
      <c r="C2130" s="100" t="str">
        <f>IF(OR(Fact_Impuestos[[#This Row], [Año]]="",Fact_Impuestos[[#This Row], [Mes]]=""),"",DATE(A2130,MATCH(B2130,{"enero","febrero","marzo","abril","mayo","junio","julio","agosto","septiembre","octubre","noviembre","diciembre"},0)+1,0))</f>
        <v/>
      </c>
      <c r="E2130" t="str">
        <f>+IFERROR(VLOOKUP(Fact_Impuestos[[#This Row], [Concepto Anterior]],Conceptos_Impuestos[#All],5,0),"")</f>
        <v/>
      </c>
      <c r="F2130" t="str">
        <f>+IFERROR(VLOOKUP(Fact_Impuestos[[#This Row], 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ht="18.75" customHeight="1" x14ac:dyDescent="0.35">
      <c r="C2131" s="100" t="str">
        <f>IF(OR(Fact_Impuestos[[#This Row], [Año]]="",Fact_Impuestos[[#This Row], [Mes]]=""),"",DATE(A2131,MATCH(B2131,{"enero","febrero","marzo","abril","mayo","junio","julio","agosto","septiembre","octubre","noviembre","diciembre"},0)+1,0))</f>
        <v/>
      </c>
      <c r="E2131" t="str">
        <f>+IFERROR(VLOOKUP(Fact_Impuestos[[#This Row], [Concepto Anterior]],Conceptos_Impuestos[#All],5,0),"")</f>
        <v/>
      </c>
      <c r="F2131" t="str">
        <f>+IFERROR(VLOOKUP(Fact_Impuestos[[#This Row], 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ht="18.75" customHeight="1" x14ac:dyDescent="0.35">
      <c r="C2132" s="100" t="str">
        <f>IF(OR(Fact_Impuestos[[#This Row], [Año]]="",Fact_Impuestos[[#This Row], [Mes]]=""),"",DATE(A2132,MATCH(B2132,{"enero","febrero","marzo","abril","mayo","junio","julio","agosto","septiembre","octubre","noviembre","diciembre"},0)+1,0))</f>
        <v/>
      </c>
      <c r="E2132" t="str">
        <f>+IFERROR(VLOOKUP(Fact_Impuestos[[#This Row], [Concepto Anterior]],Conceptos_Impuestos[#All],5,0),"")</f>
        <v/>
      </c>
      <c r="F2132" t="str">
        <f>+IFERROR(VLOOKUP(Fact_Impuestos[[#This Row], 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ht="18.75" customHeight="1" x14ac:dyDescent="0.35">
      <c r="C2133" s="100" t="str">
        <f>IF(OR(Fact_Impuestos[[#This Row], [Año]]="",Fact_Impuestos[[#This Row], [Mes]]=""),"",DATE(A2133,MATCH(B2133,{"enero","febrero","marzo","abril","mayo","junio","julio","agosto","septiembre","octubre","noviembre","diciembre"},0)+1,0))</f>
        <v/>
      </c>
      <c r="E2133" t="str">
        <f>+IFERROR(VLOOKUP(Fact_Impuestos[[#This Row], [Concepto Anterior]],Conceptos_Impuestos[#All],5,0),"")</f>
        <v/>
      </c>
      <c r="F2133" t="str">
        <f>+IFERROR(VLOOKUP(Fact_Impuestos[[#This Row], 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ht="18.75" customHeight="1" x14ac:dyDescent="0.35">
      <c r="C2134" s="100" t="str">
        <f>IF(OR(Fact_Impuestos[[#This Row], [Año]]="",Fact_Impuestos[[#This Row], [Mes]]=""),"",DATE(A2134,MATCH(B2134,{"enero","febrero","marzo","abril","mayo","junio","julio","agosto","septiembre","octubre","noviembre","diciembre"},0)+1,0))</f>
        <v/>
      </c>
      <c r="E2134" t="str">
        <f>+IFERROR(VLOOKUP(Fact_Impuestos[[#This Row], [Concepto Anterior]],Conceptos_Impuestos[#All],5,0),"")</f>
        <v/>
      </c>
      <c r="F2134" t="str">
        <f>+IFERROR(VLOOKUP(Fact_Impuestos[[#This Row], 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ht="18.75" customHeight="1" x14ac:dyDescent="0.35">
      <c r="C2135" s="100" t="str">
        <f>IF(OR(Fact_Impuestos[[#This Row], [Año]]="",Fact_Impuestos[[#This Row], [Mes]]=""),"",DATE(A2135,MATCH(B2135,{"enero","febrero","marzo","abril","mayo","junio","julio","agosto","septiembre","octubre","noviembre","diciembre"},0)+1,0))</f>
        <v/>
      </c>
      <c r="E2135" t="str">
        <f>+IFERROR(VLOOKUP(Fact_Impuestos[[#This Row], [Concepto Anterior]],Conceptos_Impuestos[#All],5,0),"")</f>
        <v/>
      </c>
      <c r="F2135" t="str">
        <f>+IFERROR(VLOOKUP(Fact_Impuestos[[#This Row], 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ht="18.75" customHeight="1" x14ac:dyDescent="0.35">
      <c r="C2136" s="100" t="str">
        <f>IF(OR(Fact_Impuestos[[#This Row], [Año]]="",Fact_Impuestos[[#This Row], [Mes]]=""),"",DATE(A2136,MATCH(B2136,{"enero","febrero","marzo","abril","mayo","junio","julio","agosto","septiembre","octubre","noviembre","diciembre"},0)+1,0))</f>
        <v/>
      </c>
      <c r="E2136" t="str">
        <f>+IFERROR(VLOOKUP(Fact_Impuestos[[#This Row], [Concepto Anterior]],Conceptos_Impuestos[#All],5,0),"")</f>
        <v/>
      </c>
      <c r="F2136" t="str">
        <f>+IFERROR(VLOOKUP(Fact_Impuestos[[#This Row], 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ht="18.75" customHeight="1" x14ac:dyDescent="0.35">
      <c r="C2137" s="100" t="str">
        <f>IF(OR(Fact_Impuestos[[#This Row], [Año]]="",Fact_Impuestos[[#This Row], [Mes]]=""),"",DATE(A2137,MATCH(B2137,{"enero","febrero","marzo","abril","mayo","junio","julio","agosto","septiembre","octubre","noviembre","diciembre"},0)+1,0))</f>
        <v/>
      </c>
      <c r="E2137" t="str">
        <f>+IFERROR(VLOOKUP(Fact_Impuestos[[#This Row], [Concepto Anterior]],Conceptos_Impuestos[#All],5,0),"")</f>
        <v/>
      </c>
      <c r="F2137" t="str">
        <f>+IFERROR(VLOOKUP(Fact_Impuestos[[#This Row], 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ht="18.75" customHeight="1" x14ac:dyDescent="0.35">
      <c r="C2138" s="100" t="str">
        <f>IF(OR(Fact_Impuestos[[#This Row], [Año]]="",Fact_Impuestos[[#This Row], [Mes]]=""),"",DATE(A2138,MATCH(B2138,{"enero","febrero","marzo","abril","mayo","junio","julio","agosto","septiembre","octubre","noviembre","diciembre"},0)+1,0))</f>
        <v/>
      </c>
      <c r="E2138" t="str">
        <f>+IFERROR(VLOOKUP(Fact_Impuestos[[#This Row], [Concepto Anterior]],Conceptos_Impuestos[#All],5,0),"")</f>
        <v/>
      </c>
      <c r="F2138" t="str">
        <f>+IFERROR(VLOOKUP(Fact_Impuestos[[#This Row], 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ht="18.75" customHeight="1" x14ac:dyDescent="0.35">
      <c r="C2139" s="100" t="str">
        <f>IF(OR(Fact_Impuestos[[#This Row], [Año]]="",Fact_Impuestos[[#This Row], [Mes]]=""),"",DATE(A2139,MATCH(B2139,{"enero","febrero","marzo","abril","mayo","junio","julio","agosto","septiembre","octubre","noviembre","diciembre"},0)+1,0))</f>
        <v/>
      </c>
      <c r="E2139" t="str">
        <f>+IFERROR(VLOOKUP(Fact_Impuestos[[#This Row], [Concepto Anterior]],Conceptos_Impuestos[#All],5,0),"")</f>
        <v/>
      </c>
      <c r="F2139" t="str">
        <f>+IFERROR(VLOOKUP(Fact_Impuestos[[#This Row], 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ht="18.75" customHeight="1" x14ac:dyDescent="0.35">
      <c r="C2140" s="100" t="str">
        <f>IF(OR(Fact_Impuestos[[#This Row], [Año]]="",Fact_Impuestos[[#This Row], [Mes]]=""),"",DATE(A2140,MATCH(B2140,{"enero","febrero","marzo","abril","mayo","junio","julio","agosto","septiembre","octubre","noviembre","diciembre"},0)+1,0))</f>
        <v/>
      </c>
      <c r="E2140" t="str">
        <f>+IFERROR(VLOOKUP(Fact_Impuestos[[#This Row], [Concepto Anterior]],Conceptos_Impuestos[#All],5,0),"")</f>
        <v/>
      </c>
      <c r="F2140" t="str">
        <f>+IFERROR(VLOOKUP(Fact_Impuestos[[#This Row], 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ht="18.75" customHeight="1" x14ac:dyDescent="0.35">
      <c r="C2141" s="100" t="str">
        <f>IF(OR(Fact_Impuestos[[#This Row], [Año]]="",Fact_Impuestos[[#This Row], [Mes]]=""),"",DATE(A2141,MATCH(B2141,{"enero","febrero","marzo","abril","mayo","junio","julio","agosto","septiembre","octubre","noviembre","diciembre"},0)+1,0))</f>
        <v/>
      </c>
      <c r="E2141" t="str">
        <f>+IFERROR(VLOOKUP(Fact_Impuestos[[#This Row], [Concepto Anterior]],Conceptos_Impuestos[#All],5,0),"")</f>
        <v/>
      </c>
      <c r="F2141" t="str">
        <f>+IFERROR(VLOOKUP(Fact_Impuestos[[#This Row], 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ht="18.75" customHeight="1" x14ac:dyDescent="0.35">
      <c r="C2142" s="100" t="str">
        <f>IF(OR(Fact_Impuestos[[#This Row], [Año]]="",Fact_Impuestos[[#This Row], [Mes]]=""),"",DATE(A2142,MATCH(B2142,{"enero","febrero","marzo","abril","mayo","junio","julio","agosto","septiembre","octubre","noviembre","diciembre"},0)+1,0))</f>
        <v/>
      </c>
      <c r="E2142" t="str">
        <f>+IFERROR(VLOOKUP(Fact_Impuestos[[#This Row], [Concepto Anterior]],Conceptos_Impuestos[#All],5,0),"")</f>
        <v/>
      </c>
      <c r="F2142" t="str">
        <f>+IFERROR(VLOOKUP(Fact_Impuestos[[#This Row], 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ht="18.75" customHeight="1" x14ac:dyDescent="0.35">
      <c r="C2143" s="100" t="str">
        <f>IF(OR(Fact_Impuestos[[#This Row], [Año]]="",Fact_Impuestos[[#This Row], [Mes]]=""),"",DATE(A2143,MATCH(B2143,{"enero","febrero","marzo","abril","mayo","junio","julio","agosto","septiembre","octubre","noviembre","diciembre"},0)+1,0))</f>
        <v/>
      </c>
      <c r="E2143" t="str">
        <f>+IFERROR(VLOOKUP(Fact_Impuestos[[#This Row], [Concepto Anterior]],Conceptos_Impuestos[#All],5,0),"")</f>
        <v/>
      </c>
      <c r="F2143" t="str">
        <f>+IFERROR(VLOOKUP(Fact_Impuestos[[#This Row], 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ht="18.75" customHeight="1" x14ac:dyDescent="0.35">
      <c r="C2144" s="100" t="str">
        <f>IF(OR(Fact_Impuestos[[#This Row], [Año]]="",Fact_Impuestos[[#This Row], [Mes]]=""),"",DATE(A2144,MATCH(B2144,{"enero","febrero","marzo","abril","mayo","junio","julio","agosto","septiembre","octubre","noviembre","diciembre"},0)+1,0))</f>
        <v/>
      </c>
      <c r="E2144" t="str">
        <f>+IFERROR(VLOOKUP(Fact_Impuestos[[#This Row], [Concepto Anterior]],Conceptos_Impuestos[#All],5,0),"")</f>
        <v/>
      </c>
      <c r="F2144" t="str">
        <f>+IFERROR(VLOOKUP(Fact_Impuestos[[#This Row], 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ht="18.75" customHeight="1" x14ac:dyDescent="0.35">
      <c r="C2145" s="100" t="str">
        <f>IF(OR(Fact_Impuestos[[#This Row], [Año]]="",Fact_Impuestos[[#This Row], [Mes]]=""),"",DATE(A2145,MATCH(B2145,{"enero","febrero","marzo","abril","mayo","junio","julio","agosto","septiembre","octubre","noviembre","diciembre"},0)+1,0))</f>
        <v/>
      </c>
      <c r="E2145" t="str">
        <f>+IFERROR(VLOOKUP(Fact_Impuestos[[#This Row], [Concepto Anterior]],Conceptos_Impuestos[#All],5,0),"")</f>
        <v/>
      </c>
      <c r="F2145" t="str">
        <f>+IFERROR(VLOOKUP(Fact_Impuestos[[#This Row], 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ht="18.75" customHeight="1" x14ac:dyDescent="0.35">
      <c r="C2146" s="100" t="str">
        <f>IF(OR(Fact_Impuestos[[#This Row], [Año]]="",Fact_Impuestos[[#This Row], [Mes]]=""),"",DATE(A2146,MATCH(B2146,{"enero","febrero","marzo","abril","mayo","junio","julio","agosto","septiembre","octubre","noviembre","diciembre"},0)+1,0))</f>
        <v/>
      </c>
      <c r="E2146" t="str">
        <f>+IFERROR(VLOOKUP(Fact_Impuestos[[#This Row], [Concepto Anterior]],Conceptos_Impuestos[#All],5,0),"")</f>
        <v/>
      </c>
      <c r="F2146" t="str">
        <f>+IFERROR(VLOOKUP(Fact_Impuestos[[#This Row], 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ht="18.75" customHeight="1" x14ac:dyDescent="0.35">
      <c r="C2147" s="100" t="str">
        <f>IF(OR(Fact_Impuestos[[#This Row], [Año]]="",Fact_Impuestos[[#This Row], [Mes]]=""),"",DATE(A2147,MATCH(B2147,{"enero","febrero","marzo","abril","mayo","junio","julio","agosto","septiembre","octubre","noviembre","diciembre"},0)+1,0))</f>
        <v/>
      </c>
      <c r="E2147" t="str">
        <f>+IFERROR(VLOOKUP(Fact_Impuestos[[#This Row], [Concepto Anterior]],Conceptos_Impuestos[#All],5,0),"")</f>
        <v/>
      </c>
      <c r="F2147" t="str">
        <f>+IFERROR(VLOOKUP(Fact_Impuestos[[#This Row], 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ht="18.75" customHeight="1" x14ac:dyDescent="0.35">
      <c r="C2148" s="100" t="str">
        <f>IF(OR(Fact_Impuestos[[#This Row], [Año]]="",Fact_Impuestos[[#This Row], [Mes]]=""),"",DATE(A2148,MATCH(B2148,{"enero","febrero","marzo","abril","mayo","junio","julio","agosto","septiembre","octubre","noviembre","diciembre"},0)+1,0))</f>
        <v/>
      </c>
      <c r="E2148" t="str">
        <f>+IFERROR(VLOOKUP(Fact_Impuestos[[#This Row], [Concepto Anterior]],Conceptos_Impuestos[#All],5,0),"")</f>
        <v/>
      </c>
      <c r="F2148" t="str">
        <f>+IFERROR(VLOOKUP(Fact_Impuestos[[#This Row], 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ht="18.75" customHeight="1" x14ac:dyDescent="0.35">
      <c r="C2149" s="100" t="str">
        <f>IF(OR(Fact_Impuestos[[#This Row], [Año]]="",Fact_Impuestos[[#This Row], [Mes]]=""),"",DATE(A2149,MATCH(B2149,{"enero","febrero","marzo","abril","mayo","junio","julio","agosto","septiembre","octubre","noviembre","diciembre"},0)+1,0))</f>
        <v/>
      </c>
      <c r="E2149" t="str">
        <f>+IFERROR(VLOOKUP(Fact_Impuestos[[#This Row], [Concepto Anterior]],Conceptos_Impuestos[#All],5,0),"")</f>
        <v/>
      </c>
      <c r="F2149" t="str">
        <f>+IFERROR(VLOOKUP(Fact_Impuestos[[#This Row], 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ht="18.75" customHeight="1" x14ac:dyDescent="0.35">
      <c r="C2150" s="100" t="str">
        <f>IF(OR(Fact_Impuestos[[#This Row], [Año]]="",Fact_Impuestos[[#This Row], [Mes]]=""),"",DATE(A2150,MATCH(B2150,{"enero","febrero","marzo","abril","mayo","junio","julio","agosto","septiembre","octubre","noviembre","diciembre"},0)+1,0))</f>
        <v/>
      </c>
      <c r="E2150" t="str">
        <f>+IFERROR(VLOOKUP(Fact_Impuestos[[#This Row], [Concepto Anterior]],Conceptos_Impuestos[#All],5,0),"")</f>
        <v/>
      </c>
      <c r="F2150" t="str">
        <f>+IFERROR(VLOOKUP(Fact_Impuestos[[#This Row], 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ht="18.75" customHeight="1" x14ac:dyDescent="0.35">
      <c r="C2151" s="100" t="str">
        <f>IF(OR(Fact_Impuestos[[#This Row], [Año]]="",Fact_Impuestos[[#This Row], [Mes]]=""),"",DATE(A2151,MATCH(B2151,{"enero","febrero","marzo","abril","mayo","junio","julio","agosto","septiembre","octubre","noviembre","diciembre"},0)+1,0))</f>
        <v/>
      </c>
      <c r="E2151" t="str">
        <f>+IFERROR(VLOOKUP(Fact_Impuestos[[#This Row], [Concepto Anterior]],Conceptos_Impuestos[#All],5,0),"")</f>
        <v/>
      </c>
      <c r="F2151" t="str">
        <f>+IFERROR(VLOOKUP(Fact_Impuestos[[#This Row], 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ht="18.75" customHeight="1" x14ac:dyDescent="0.35">
      <c r="C2152" s="100" t="str">
        <f>IF(OR(Fact_Impuestos[[#This Row], [Año]]="",Fact_Impuestos[[#This Row], [Mes]]=""),"",DATE(A2152,MATCH(B2152,{"enero","febrero","marzo","abril","mayo","junio","julio","agosto","septiembre","octubre","noviembre","diciembre"},0)+1,0))</f>
        <v/>
      </c>
      <c r="E2152" t="str">
        <f>+IFERROR(VLOOKUP(Fact_Impuestos[[#This Row], [Concepto Anterior]],Conceptos_Impuestos[#All],5,0),"")</f>
        <v/>
      </c>
      <c r="F2152" t="str">
        <f>+IFERROR(VLOOKUP(Fact_Impuestos[[#This Row], 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ht="18.75" customHeight="1" x14ac:dyDescent="0.35">
      <c r="C2153" s="100" t="str">
        <f>IF(OR(Fact_Impuestos[[#This Row], [Año]]="",Fact_Impuestos[[#This Row], [Mes]]=""),"",DATE(A2153,MATCH(B2153,{"enero","febrero","marzo","abril","mayo","junio","julio","agosto","septiembre","octubre","noviembre","diciembre"},0)+1,0))</f>
        <v/>
      </c>
      <c r="E2153" t="str">
        <f>+IFERROR(VLOOKUP(Fact_Impuestos[[#This Row], [Concepto Anterior]],Conceptos_Impuestos[#All],5,0),"")</f>
        <v/>
      </c>
      <c r="F2153" t="str">
        <f>+IFERROR(VLOOKUP(Fact_Impuestos[[#This Row], 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ht="18.75" customHeight="1" x14ac:dyDescent="0.35">
      <c r="C2154" s="100" t="str">
        <f>IF(OR(Fact_Impuestos[[#This Row], [Año]]="",Fact_Impuestos[[#This Row], [Mes]]=""),"",DATE(A2154,MATCH(B2154,{"enero","febrero","marzo","abril","mayo","junio","julio","agosto","septiembre","octubre","noviembre","diciembre"},0)+1,0))</f>
        <v/>
      </c>
      <c r="E2154" t="str">
        <f>+IFERROR(VLOOKUP(Fact_Impuestos[[#This Row], [Concepto Anterior]],Conceptos_Impuestos[#All],5,0),"")</f>
        <v/>
      </c>
      <c r="F2154" t="str">
        <f>+IFERROR(VLOOKUP(Fact_Impuestos[[#This Row], 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ht="18.75" customHeight="1" x14ac:dyDescent="0.35">
      <c r="C2155" s="100" t="str">
        <f>IF(OR(Fact_Impuestos[[#This Row], [Año]]="",Fact_Impuestos[[#This Row], [Mes]]=""),"",DATE(A2155,MATCH(B2155,{"enero","febrero","marzo","abril","mayo","junio","julio","agosto","septiembre","octubre","noviembre","diciembre"},0)+1,0))</f>
        <v/>
      </c>
      <c r="E2155" t="str">
        <f>+IFERROR(VLOOKUP(Fact_Impuestos[[#This Row], [Concepto Anterior]],Conceptos_Impuestos[#All],5,0),"")</f>
        <v/>
      </c>
      <c r="F2155" t="str">
        <f>+IFERROR(VLOOKUP(Fact_Impuestos[[#This Row], 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ht="18.75" customHeight="1" x14ac:dyDescent="0.35">
      <c r="C2156" s="100" t="str">
        <f>IF(OR(Fact_Impuestos[[#This Row], [Año]]="",Fact_Impuestos[[#This Row], [Mes]]=""),"",DATE(A2156,MATCH(B2156,{"enero","febrero","marzo","abril","mayo","junio","julio","agosto","septiembre","octubre","noviembre","diciembre"},0)+1,0))</f>
        <v/>
      </c>
      <c r="E2156" t="str">
        <f>+IFERROR(VLOOKUP(Fact_Impuestos[[#This Row], [Concepto Anterior]],Conceptos_Impuestos[#All],5,0),"")</f>
        <v/>
      </c>
      <c r="F2156" t="str">
        <f>+IFERROR(VLOOKUP(Fact_Impuestos[[#This Row], 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ht="18.75" customHeight="1" x14ac:dyDescent="0.35">
      <c r="C2157" s="100" t="str">
        <f>IF(OR(Fact_Impuestos[[#This Row], [Año]]="",Fact_Impuestos[[#This Row], [Mes]]=""),"",DATE(A2157,MATCH(B2157,{"enero","febrero","marzo","abril","mayo","junio","julio","agosto","septiembre","octubre","noviembre","diciembre"},0)+1,0))</f>
        <v/>
      </c>
      <c r="E2157" t="str">
        <f>+IFERROR(VLOOKUP(Fact_Impuestos[[#This Row], [Concepto Anterior]],Conceptos_Impuestos[#All],5,0),"")</f>
        <v/>
      </c>
      <c r="F2157" t="str">
        <f>+IFERROR(VLOOKUP(Fact_Impuestos[[#This Row], 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ht="18.75" customHeight="1" x14ac:dyDescent="0.35">
      <c r="C2158" s="100" t="str">
        <f>IF(OR(Fact_Impuestos[[#This Row], [Año]]="",Fact_Impuestos[[#This Row], [Mes]]=""),"",DATE(A2158,MATCH(B2158,{"enero","febrero","marzo","abril","mayo","junio","julio","agosto","septiembre","octubre","noviembre","diciembre"},0)+1,0))</f>
        <v/>
      </c>
      <c r="E2158" t="str">
        <f>+IFERROR(VLOOKUP(Fact_Impuestos[[#This Row], [Concepto Anterior]],Conceptos_Impuestos[#All],5,0),"")</f>
        <v/>
      </c>
      <c r="F2158" t="str">
        <f>+IFERROR(VLOOKUP(Fact_Impuestos[[#This Row], 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ht="18.75" customHeight="1" x14ac:dyDescent="0.35">
      <c r="C2159" s="100" t="str">
        <f>IF(OR(Fact_Impuestos[[#This Row], [Año]]="",Fact_Impuestos[[#This Row], [Mes]]=""),"",DATE(A2159,MATCH(B2159,{"enero","febrero","marzo","abril","mayo","junio","julio","agosto","septiembre","octubre","noviembre","diciembre"},0)+1,0))</f>
        <v/>
      </c>
      <c r="E2159" t="str">
        <f>+IFERROR(VLOOKUP(Fact_Impuestos[[#This Row], [Concepto Anterior]],Conceptos_Impuestos[#All],5,0),"")</f>
        <v/>
      </c>
      <c r="F2159" t="str">
        <f>+IFERROR(VLOOKUP(Fact_Impuestos[[#This Row], 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ht="18.75" customHeight="1" x14ac:dyDescent="0.35">
      <c r="C2160" s="100" t="str">
        <f>IF(OR(Fact_Impuestos[[#This Row], [Año]]="",Fact_Impuestos[[#This Row], [Mes]]=""),"",DATE(A2160,MATCH(B2160,{"enero","febrero","marzo","abril","mayo","junio","julio","agosto","septiembre","octubre","noviembre","diciembre"},0)+1,0))</f>
        <v/>
      </c>
      <c r="E2160" t="str">
        <f>+IFERROR(VLOOKUP(Fact_Impuestos[[#This Row], [Concepto Anterior]],Conceptos_Impuestos[#All],5,0),"")</f>
        <v/>
      </c>
      <c r="F2160" t="str">
        <f>+IFERROR(VLOOKUP(Fact_Impuestos[[#This Row], 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ht="18.75" customHeight="1" x14ac:dyDescent="0.35">
      <c r="C2161" s="100" t="str">
        <f>IF(OR(Fact_Impuestos[[#This Row], [Año]]="",Fact_Impuestos[[#This Row], [Mes]]=""),"",DATE(A2161,MATCH(B2161,{"enero","febrero","marzo","abril","mayo","junio","julio","agosto","septiembre","octubre","noviembre","diciembre"},0)+1,0))</f>
        <v/>
      </c>
      <c r="E2161" t="str">
        <f>+IFERROR(VLOOKUP(Fact_Impuestos[[#This Row], [Concepto Anterior]],Conceptos_Impuestos[#All],5,0),"")</f>
        <v/>
      </c>
      <c r="F2161" t="str">
        <f>+IFERROR(VLOOKUP(Fact_Impuestos[[#This Row], 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ht="18.75" customHeight="1" x14ac:dyDescent="0.35">
      <c r="C2162" s="100" t="str">
        <f>IF(OR(Fact_Impuestos[[#This Row], [Año]]="",Fact_Impuestos[[#This Row], [Mes]]=""),"",DATE(A2162,MATCH(B2162,{"enero","febrero","marzo","abril","mayo","junio","julio","agosto","septiembre","octubre","noviembre","diciembre"},0)+1,0))</f>
        <v/>
      </c>
      <c r="E2162" t="str">
        <f>+IFERROR(VLOOKUP(Fact_Impuestos[[#This Row], [Concepto Anterior]],Conceptos_Impuestos[#All],5,0),"")</f>
        <v/>
      </c>
      <c r="F2162" t="str">
        <f>+IFERROR(VLOOKUP(Fact_Impuestos[[#This Row], 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ht="18.75" customHeight="1" x14ac:dyDescent="0.35">
      <c r="C2163" s="100" t="str">
        <f>IF(OR(Fact_Impuestos[[#This Row], [Año]]="",Fact_Impuestos[[#This Row], [Mes]]=""),"",DATE(A2163,MATCH(B2163,{"enero","febrero","marzo","abril","mayo","junio","julio","agosto","septiembre","octubre","noviembre","diciembre"},0)+1,0))</f>
        <v/>
      </c>
      <c r="E2163" t="str">
        <f>+IFERROR(VLOOKUP(Fact_Impuestos[[#This Row], [Concepto Anterior]],Conceptos_Impuestos[#All],5,0),"")</f>
        <v/>
      </c>
      <c r="F2163" t="str">
        <f>+IFERROR(VLOOKUP(Fact_Impuestos[[#This Row], 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ht="18.75" customHeight="1" x14ac:dyDescent="0.35">
      <c r="C2164" s="100" t="str">
        <f>IF(OR(Fact_Impuestos[[#This Row], [Año]]="",Fact_Impuestos[[#This Row], [Mes]]=""),"",DATE(A2164,MATCH(B2164,{"enero","febrero","marzo","abril","mayo","junio","julio","agosto","septiembre","octubre","noviembre","diciembre"},0)+1,0))</f>
        <v/>
      </c>
      <c r="E2164" t="str">
        <f>+IFERROR(VLOOKUP(Fact_Impuestos[[#This Row], [Concepto Anterior]],Conceptos_Impuestos[#All],5,0),"")</f>
        <v/>
      </c>
      <c r="F2164" t="str">
        <f>+IFERROR(VLOOKUP(Fact_Impuestos[[#This Row], 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ht="18.75" customHeight="1" x14ac:dyDescent="0.35">
      <c r="C2165" s="100" t="str">
        <f>IF(OR(Fact_Impuestos[[#This Row], [Año]]="",Fact_Impuestos[[#This Row], [Mes]]=""),"",DATE(A2165,MATCH(B2165,{"enero","febrero","marzo","abril","mayo","junio","julio","agosto","septiembre","octubre","noviembre","diciembre"},0)+1,0))</f>
        <v/>
      </c>
      <c r="E2165" t="str">
        <f>+IFERROR(VLOOKUP(Fact_Impuestos[[#This Row], [Concepto Anterior]],Conceptos_Impuestos[#All],5,0),"")</f>
        <v/>
      </c>
      <c r="F2165" t="str">
        <f>+IFERROR(VLOOKUP(Fact_Impuestos[[#This Row], 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ht="18.75" customHeight="1" x14ac:dyDescent="0.35">
      <c r="C2166" s="100" t="str">
        <f>IF(OR(Fact_Impuestos[[#This Row], [Año]]="",Fact_Impuestos[[#This Row], [Mes]]=""),"",DATE(A2166,MATCH(B2166,{"enero","febrero","marzo","abril","mayo","junio","julio","agosto","septiembre","octubre","noviembre","diciembre"},0)+1,0))</f>
        <v/>
      </c>
      <c r="E2166" t="str">
        <f>+IFERROR(VLOOKUP(Fact_Impuestos[[#This Row], [Concepto Anterior]],Conceptos_Impuestos[#All],5,0),"")</f>
        <v/>
      </c>
      <c r="F2166" t="str">
        <f>+IFERROR(VLOOKUP(Fact_Impuestos[[#This Row], 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ht="18.75" customHeight="1" x14ac:dyDescent="0.35">
      <c r="C2167" s="100" t="str">
        <f>IF(OR(Fact_Impuestos[[#This Row], [Año]]="",Fact_Impuestos[[#This Row], [Mes]]=""),"",DATE(A2167,MATCH(B2167,{"enero","febrero","marzo","abril","mayo","junio","julio","agosto","septiembre","octubre","noviembre","diciembre"},0)+1,0))</f>
        <v/>
      </c>
      <c r="E2167" t="str">
        <f>+IFERROR(VLOOKUP(Fact_Impuestos[[#This Row], [Concepto Anterior]],Conceptos_Impuestos[#All],5,0),"")</f>
        <v/>
      </c>
      <c r="F2167" t="str">
        <f>+IFERROR(VLOOKUP(Fact_Impuestos[[#This Row], 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ht="18.75" customHeight="1" x14ac:dyDescent="0.35">
      <c r="C2168" s="100" t="str">
        <f>IF(OR(Fact_Impuestos[[#This Row], [Año]]="",Fact_Impuestos[[#This Row], [Mes]]=""),"",DATE(A2168,MATCH(B2168,{"enero","febrero","marzo","abril","mayo","junio","julio","agosto","septiembre","octubre","noviembre","diciembre"},0)+1,0))</f>
        <v/>
      </c>
      <c r="E2168" t="str">
        <f>+IFERROR(VLOOKUP(Fact_Impuestos[[#This Row], [Concepto Anterior]],Conceptos_Impuestos[#All],5,0),"")</f>
        <v/>
      </c>
      <c r="F2168" t="str">
        <f>+IFERROR(VLOOKUP(Fact_Impuestos[[#This Row], 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ht="18.75" customHeight="1" x14ac:dyDescent="0.35">
      <c r="C2169" s="100" t="str">
        <f>IF(OR(Fact_Impuestos[[#This Row], [Año]]="",Fact_Impuestos[[#This Row], [Mes]]=""),"",DATE(A2169,MATCH(B2169,{"enero","febrero","marzo","abril","mayo","junio","julio","agosto","septiembre","octubre","noviembre","diciembre"},0)+1,0))</f>
        <v/>
      </c>
      <c r="E2169" t="str">
        <f>+IFERROR(VLOOKUP(Fact_Impuestos[[#This Row], [Concepto Anterior]],Conceptos_Impuestos[#All],5,0),"")</f>
        <v/>
      </c>
      <c r="F2169" t="str">
        <f>+IFERROR(VLOOKUP(Fact_Impuestos[[#This Row], 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ht="18.75" customHeight="1" x14ac:dyDescent="0.35">
      <c r="C2170" s="100" t="str">
        <f>IF(OR(Fact_Impuestos[[#This Row], [Año]]="",Fact_Impuestos[[#This Row], [Mes]]=""),"",DATE(A2170,MATCH(B2170,{"enero","febrero","marzo","abril","mayo","junio","julio","agosto","septiembre","octubre","noviembre","diciembre"},0)+1,0))</f>
        <v/>
      </c>
      <c r="E2170" t="str">
        <f>+IFERROR(VLOOKUP(Fact_Impuestos[[#This Row], [Concepto Anterior]],Conceptos_Impuestos[#All],5,0),"")</f>
        <v/>
      </c>
      <c r="F2170" t="str">
        <f>+IFERROR(VLOOKUP(Fact_Impuestos[[#This Row], 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ht="18.75" customHeight="1" x14ac:dyDescent="0.35">
      <c r="C2171" s="100" t="str">
        <f>IF(OR(Fact_Impuestos[[#This Row], [Año]]="",Fact_Impuestos[[#This Row], [Mes]]=""),"",DATE(A2171,MATCH(B2171,{"enero","febrero","marzo","abril","mayo","junio","julio","agosto","septiembre","octubre","noviembre","diciembre"},0)+1,0))</f>
        <v/>
      </c>
      <c r="E2171" t="str">
        <f>+IFERROR(VLOOKUP(Fact_Impuestos[[#This Row], [Concepto Anterior]],Conceptos_Impuestos[#All],5,0),"")</f>
        <v/>
      </c>
      <c r="F2171" t="str">
        <f>+IFERROR(VLOOKUP(Fact_Impuestos[[#This Row], 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ht="18.75" customHeight="1" x14ac:dyDescent="0.35">
      <c r="C2172" s="100" t="str">
        <f>IF(OR(Fact_Impuestos[[#This Row], [Año]]="",Fact_Impuestos[[#This Row], [Mes]]=""),"",DATE(A2172,MATCH(B2172,{"enero","febrero","marzo","abril","mayo","junio","julio","agosto","septiembre","octubre","noviembre","diciembre"},0)+1,0))</f>
        <v/>
      </c>
      <c r="E2172" t="str">
        <f>+IFERROR(VLOOKUP(Fact_Impuestos[[#This Row], [Concepto Anterior]],Conceptos_Impuestos[#All],5,0),"")</f>
        <v/>
      </c>
      <c r="F2172" t="str">
        <f>+IFERROR(VLOOKUP(Fact_Impuestos[[#This Row], 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ht="18.75" customHeight="1" x14ac:dyDescent="0.35">
      <c r="C2173" s="100" t="str">
        <f>IF(OR(Fact_Impuestos[[#This Row], [Año]]="",Fact_Impuestos[[#This Row], [Mes]]=""),"",DATE(A2173,MATCH(B2173,{"enero","febrero","marzo","abril","mayo","junio","julio","agosto","septiembre","octubre","noviembre","diciembre"},0)+1,0))</f>
        <v/>
      </c>
      <c r="E2173" t="str">
        <f>+IFERROR(VLOOKUP(Fact_Impuestos[[#This Row], [Concepto Anterior]],Conceptos_Impuestos[#All],5,0),"")</f>
        <v/>
      </c>
      <c r="F2173" t="str">
        <f>+IFERROR(VLOOKUP(Fact_Impuestos[[#This Row], 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ht="18.75" customHeight="1" x14ac:dyDescent="0.35">
      <c r="C2174" s="100" t="str">
        <f>IF(OR(Fact_Impuestos[[#This Row], [Año]]="",Fact_Impuestos[[#This Row], [Mes]]=""),"",DATE(A2174,MATCH(B2174,{"enero","febrero","marzo","abril","mayo","junio","julio","agosto","septiembre","octubre","noviembre","diciembre"},0)+1,0))</f>
        <v/>
      </c>
      <c r="E2174" t="str">
        <f>+IFERROR(VLOOKUP(Fact_Impuestos[[#This Row], [Concepto Anterior]],Conceptos_Impuestos[#All],5,0),"")</f>
        <v/>
      </c>
      <c r="F2174" t="str">
        <f>+IFERROR(VLOOKUP(Fact_Impuestos[[#This Row], 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ht="18.75" customHeight="1" x14ac:dyDescent="0.35">
      <c r="C2175" s="100" t="str">
        <f>IF(OR(Fact_Impuestos[[#This Row], [Año]]="",Fact_Impuestos[[#This Row], [Mes]]=""),"",DATE(A2175,MATCH(B2175,{"enero","febrero","marzo","abril","mayo","junio","julio","agosto","septiembre","octubre","noviembre","diciembre"},0)+1,0))</f>
        <v/>
      </c>
      <c r="E2175" t="str">
        <f>+IFERROR(VLOOKUP(Fact_Impuestos[[#This Row], [Concepto Anterior]],Conceptos_Impuestos[#All],5,0),"")</f>
        <v/>
      </c>
      <c r="F2175" t="str">
        <f>+IFERROR(VLOOKUP(Fact_Impuestos[[#This Row], 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ht="18.75" customHeight="1" x14ac:dyDescent="0.35">
      <c r="C2176" s="100" t="str">
        <f>IF(OR(Fact_Impuestos[[#This Row], [Año]]="",Fact_Impuestos[[#This Row], [Mes]]=""),"",DATE(A2176,MATCH(B2176,{"enero","febrero","marzo","abril","mayo","junio","julio","agosto","septiembre","octubre","noviembre","diciembre"},0)+1,0))</f>
        <v/>
      </c>
      <c r="E2176" t="str">
        <f>+IFERROR(VLOOKUP(Fact_Impuestos[[#This Row], [Concepto Anterior]],Conceptos_Impuestos[#All],5,0),"")</f>
        <v/>
      </c>
      <c r="F2176" t="str">
        <f>+IFERROR(VLOOKUP(Fact_Impuestos[[#This Row], 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ht="18.75" customHeight="1" x14ac:dyDescent="0.35">
      <c r="C2177" s="100" t="str">
        <f>IF(OR(Fact_Impuestos[[#This Row], [Año]]="",Fact_Impuestos[[#This Row], [Mes]]=""),"",DATE(A2177,MATCH(B2177,{"enero","febrero","marzo","abril","mayo","junio","julio","agosto","septiembre","octubre","noviembre","diciembre"},0)+1,0))</f>
        <v/>
      </c>
      <c r="E2177" t="str">
        <f>+IFERROR(VLOOKUP(Fact_Impuestos[[#This Row], [Concepto Anterior]],Conceptos_Impuestos[#All],5,0),"")</f>
        <v/>
      </c>
      <c r="F2177" t="str">
        <f>+IFERROR(VLOOKUP(Fact_Impuestos[[#This Row], 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ht="18.75" customHeight="1" x14ac:dyDescent="0.35">
      <c r="C2178" s="100" t="str">
        <f>IF(OR(Fact_Impuestos[[#This Row], [Año]]="",Fact_Impuestos[[#This Row], [Mes]]=""),"",DATE(A2178,MATCH(B2178,{"enero","febrero","marzo","abril","mayo","junio","julio","agosto","septiembre","octubre","noviembre","diciembre"},0)+1,0))</f>
        <v/>
      </c>
      <c r="E2178" t="str">
        <f>+IFERROR(VLOOKUP(Fact_Impuestos[[#This Row], [Concepto Anterior]],Conceptos_Impuestos[#All],5,0),"")</f>
        <v/>
      </c>
      <c r="F2178" t="str">
        <f>+IFERROR(VLOOKUP(Fact_Impuestos[[#This Row], 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ht="18.75" customHeight="1" x14ac:dyDescent="0.35">
      <c r="C2179" s="100" t="str">
        <f>IF(OR(Fact_Impuestos[[#This Row], [Año]]="",Fact_Impuestos[[#This Row], [Mes]]=""),"",DATE(A2179,MATCH(B2179,{"enero","febrero","marzo","abril","mayo","junio","julio","agosto","septiembre","octubre","noviembre","diciembre"},0)+1,0))</f>
        <v/>
      </c>
      <c r="E2179" t="str">
        <f>+IFERROR(VLOOKUP(Fact_Impuestos[[#This Row], [Concepto Anterior]],Conceptos_Impuestos[#All],5,0),"")</f>
        <v/>
      </c>
      <c r="F2179" t="str">
        <f>+IFERROR(VLOOKUP(Fact_Impuestos[[#This Row], 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ht="18.75" customHeight="1" x14ac:dyDescent="0.35">
      <c r="C2180" s="100" t="str">
        <f>IF(OR(Fact_Impuestos[[#This Row], [Año]]="",Fact_Impuestos[[#This Row], [Mes]]=""),"",DATE(A2180,MATCH(B2180,{"enero","febrero","marzo","abril","mayo","junio","julio","agosto","septiembre","octubre","noviembre","diciembre"},0)+1,0))</f>
        <v/>
      </c>
      <c r="E2180" t="str">
        <f>+IFERROR(VLOOKUP(Fact_Impuestos[[#This Row], [Concepto Anterior]],Conceptos_Impuestos[#All],5,0),"")</f>
        <v/>
      </c>
      <c r="F2180" t="str">
        <f>+IFERROR(VLOOKUP(Fact_Impuestos[[#This Row], 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ht="18.75" customHeight="1" x14ac:dyDescent="0.35">
      <c r="C2181" s="100" t="str">
        <f>IF(OR(Fact_Impuestos[[#This Row], [Año]]="",Fact_Impuestos[[#This Row], [Mes]]=""),"",DATE(A2181,MATCH(B2181,{"enero","febrero","marzo","abril","mayo","junio","julio","agosto","septiembre","octubre","noviembre","diciembre"},0)+1,0))</f>
        <v/>
      </c>
      <c r="E2181" t="str">
        <f>+IFERROR(VLOOKUP(Fact_Impuestos[[#This Row], [Concepto Anterior]],Conceptos_Impuestos[#All],5,0),"")</f>
        <v/>
      </c>
      <c r="F2181" t="str">
        <f>+IFERROR(VLOOKUP(Fact_Impuestos[[#This Row], 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ht="18.75" customHeight="1" x14ac:dyDescent="0.35">
      <c r="C2182" s="100" t="str">
        <f>IF(OR(Fact_Impuestos[[#This Row], [Año]]="",Fact_Impuestos[[#This Row], [Mes]]=""),"",DATE(A2182,MATCH(B2182,{"enero","febrero","marzo","abril","mayo","junio","julio","agosto","septiembre","octubre","noviembre","diciembre"},0)+1,0))</f>
        <v/>
      </c>
      <c r="E2182" t="str">
        <f>+IFERROR(VLOOKUP(Fact_Impuestos[[#This Row], [Concepto Anterior]],Conceptos_Impuestos[#All],5,0),"")</f>
        <v/>
      </c>
      <c r="F2182" t="str">
        <f>+IFERROR(VLOOKUP(Fact_Impuestos[[#This Row], 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ht="18.75" customHeight="1" x14ac:dyDescent="0.35">
      <c r="C2183" s="100" t="str">
        <f>IF(OR(Fact_Impuestos[[#This Row], [Año]]="",Fact_Impuestos[[#This Row], [Mes]]=""),"",DATE(A2183,MATCH(B2183,{"enero","febrero","marzo","abril","mayo","junio","julio","agosto","septiembre","octubre","noviembre","diciembre"},0)+1,0))</f>
        <v/>
      </c>
      <c r="E2183" t="str">
        <f>+IFERROR(VLOOKUP(Fact_Impuestos[[#This Row], [Concepto Anterior]],Conceptos_Impuestos[#All],5,0),"")</f>
        <v/>
      </c>
      <c r="F2183" t="str">
        <f>+IFERROR(VLOOKUP(Fact_Impuestos[[#This Row], 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ht="18.75" customHeight="1" x14ac:dyDescent="0.35">
      <c r="C2184" s="100" t="str">
        <f>IF(OR(Fact_Impuestos[[#This Row], [Año]]="",Fact_Impuestos[[#This Row], [Mes]]=""),"",DATE(A2184,MATCH(B2184,{"enero","febrero","marzo","abril","mayo","junio","julio","agosto","septiembre","octubre","noviembre","diciembre"},0)+1,0))</f>
        <v/>
      </c>
      <c r="E2184" t="str">
        <f>+IFERROR(VLOOKUP(Fact_Impuestos[[#This Row], [Concepto Anterior]],Conceptos_Impuestos[#All],5,0),"")</f>
        <v/>
      </c>
      <c r="F2184" t="str">
        <f>+IFERROR(VLOOKUP(Fact_Impuestos[[#This Row], 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ht="18.75" customHeight="1" x14ac:dyDescent="0.35">
      <c r="C2185" s="100" t="str">
        <f>IF(OR(Fact_Impuestos[[#This Row], [Año]]="",Fact_Impuestos[[#This Row], [Mes]]=""),"",DATE(A2185,MATCH(B2185,{"enero","febrero","marzo","abril","mayo","junio","julio","agosto","septiembre","octubre","noviembre","diciembre"},0)+1,0))</f>
        <v/>
      </c>
      <c r="E2185" t="str">
        <f>+IFERROR(VLOOKUP(Fact_Impuestos[[#This Row], [Concepto Anterior]],Conceptos_Impuestos[#All],5,0),"")</f>
        <v/>
      </c>
      <c r="F2185" t="str">
        <f>+IFERROR(VLOOKUP(Fact_Impuestos[[#This Row], 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ht="18.75" customHeight="1" x14ac:dyDescent="0.35">
      <c r="C2186" s="100" t="str">
        <f>IF(OR(Fact_Impuestos[[#This Row], [Año]]="",Fact_Impuestos[[#This Row], [Mes]]=""),"",DATE(A2186,MATCH(B2186,{"enero","febrero","marzo","abril","mayo","junio","julio","agosto","septiembre","octubre","noviembre","diciembre"},0)+1,0))</f>
        <v/>
      </c>
      <c r="E2186" t="str">
        <f>+IFERROR(VLOOKUP(Fact_Impuestos[[#This Row], [Concepto Anterior]],Conceptos_Impuestos[#All],5,0),"")</f>
        <v/>
      </c>
      <c r="F2186" t="str">
        <f>+IFERROR(VLOOKUP(Fact_Impuestos[[#This Row], 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ht="18.75" customHeight="1" x14ac:dyDescent="0.35">
      <c r="C2187" s="100" t="str">
        <f>IF(OR(Fact_Impuestos[[#This Row], [Año]]="",Fact_Impuestos[[#This Row], [Mes]]=""),"",DATE(A2187,MATCH(B2187,{"enero","febrero","marzo","abril","mayo","junio","julio","agosto","septiembre","octubre","noviembre","diciembre"},0)+1,0))</f>
        <v/>
      </c>
      <c r="E2187" t="str">
        <f>+IFERROR(VLOOKUP(Fact_Impuestos[[#This Row], [Concepto Anterior]],Conceptos_Impuestos[#All],5,0),"")</f>
        <v/>
      </c>
      <c r="F2187" t="str">
        <f>+IFERROR(VLOOKUP(Fact_Impuestos[[#This Row], 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ht="18.75" customHeight="1" x14ac:dyDescent="0.35">
      <c r="C2188" s="100" t="str">
        <f>IF(OR(Fact_Impuestos[[#This Row], [Año]]="",Fact_Impuestos[[#This Row], [Mes]]=""),"",DATE(A2188,MATCH(B2188,{"enero","febrero","marzo","abril","mayo","junio","julio","agosto","septiembre","octubre","noviembre","diciembre"},0)+1,0))</f>
        <v/>
      </c>
      <c r="E2188" t="str">
        <f>+IFERROR(VLOOKUP(Fact_Impuestos[[#This Row], [Concepto Anterior]],Conceptos_Impuestos[#All],5,0),"")</f>
        <v/>
      </c>
      <c r="F2188" t="str">
        <f>+IFERROR(VLOOKUP(Fact_Impuestos[[#This Row], 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ht="18.75" customHeight="1" x14ac:dyDescent="0.35">
      <c r="C2189" s="100" t="str">
        <f>IF(OR(Fact_Impuestos[[#This Row], [Año]]="",Fact_Impuestos[[#This Row], [Mes]]=""),"",DATE(A2189,MATCH(B2189,{"enero","febrero","marzo","abril","mayo","junio","julio","agosto","septiembre","octubre","noviembre","diciembre"},0)+1,0))</f>
        <v/>
      </c>
      <c r="E2189" t="str">
        <f>+IFERROR(VLOOKUP(Fact_Impuestos[[#This Row], [Concepto Anterior]],Conceptos_Impuestos[#All],5,0),"")</f>
        <v/>
      </c>
      <c r="F2189" t="str">
        <f>+IFERROR(VLOOKUP(Fact_Impuestos[[#This Row], 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ht="18.75" customHeight="1" x14ac:dyDescent="0.35">
      <c r="C2190" s="100" t="str">
        <f>IF(OR(Fact_Impuestos[[#This Row], [Año]]="",Fact_Impuestos[[#This Row], [Mes]]=""),"",DATE(A2190,MATCH(B2190,{"enero","febrero","marzo","abril","mayo","junio","julio","agosto","septiembre","octubre","noviembre","diciembre"},0)+1,0))</f>
        <v/>
      </c>
      <c r="E2190" t="str">
        <f>+IFERROR(VLOOKUP(Fact_Impuestos[[#This Row], [Concepto Anterior]],Conceptos_Impuestos[#All],5,0),"")</f>
        <v/>
      </c>
      <c r="F2190" t="str">
        <f>+IFERROR(VLOOKUP(Fact_Impuestos[[#This Row], 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ht="18.75" customHeight="1" x14ac:dyDescent="0.35">
      <c r="C2191" s="100" t="str">
        <f>IF(OR(Fact_Impuestos[[#This Row], [Año]]="",Fact_Impuestos[[#This Row], [Mes]]=""),"",DATE(A2191,MATCH(B2191,{"enero","febrero","marzo","abril","mayo","junio","julio","agosto","septiembre","octubre","noviembre","diciembre"},0)+1,0))</f>
        <v/>
      </c>
      <c r="E2191" t="str">
        <f>+IFERROR(VLOOKUP(Fact_Impuestos[[#This Row], [Concepto Anterior]],Conceptos_Impuestos[#All],5,0),"")</f>
        <v/>
      </c>
      <c r="F2191" t="str">
        <f>+IFERROR(VLOOKUP(Fact_Impuestos[[#This Row], 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ht="18.75" customHeight="1" x14ac:dyDescent="0.35">
      <c r="C2192" s="100" t="str">
        <f>IF(OR(Fact_Impuestos[[#This Row], [Año]]="",Fact_Impuestos[[#This Row], [Mes]]=""),"",DATE(A2192,MATCH(B2192,{"enero","febrero","marzo","abril","mayo","junio","julio","agosto","septiembre","octubre","noviembre","diciembre"},0)+1,0))</f>
        <v/>
      </c>
      <c r="E2192" t="str">
        <f>+IFERROR(VLOOKUP(Fact_Impuestos[[#This Row], [Concepto Anterior]],Conceptos_Impuestos[#All],5,0),"")</f>
        <v/>
      </c>
      <c r="F2192" t="str">
        <f>+IFERROR(VLOOKUP(Fact_Impuestos[[#This Row], 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ht="18.75" customHeight="1" x14ac:dyDescent="0.35">
      <c r="C2193" s="100" t="str">
        <f>IF(OR(Fact_Impuestos[[#This Row], [Año]]="",Fact_Impuestos[[#This Row], [Mes]]=""),"",DATE(A2193,MATCH(B2193,{"enero","febrero","marzo","abril","mayo","junio","julio","agosto","septiembre","octubre","noviembre","diciembre"},0)+1,0))</f>
        <v/>
      </c>
      <c r="E2193" t="str">
        <f>+IFERROR(VLOOKUP(Fact_Impuestos[[#This Row], [Concepto Anterior]],Conceptos_Impuestos[#All],5,0),"")</f>
        <v/>
      </c>
      <c r="F2193" t="str">
        <f>+IFERROR(VLOOKUP(Fact_Impuestos[[#This Row], 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ht="18.75" customHeight="1" x14ac:dyDescent="0.35">
      <c r="C2194" s="100" t="str">
        <f>IF(OR(Fact_Impuestos[[#This Row], [Año]]="",Fact_Impuestos[[#This Row], [Mes]]=""),"",DATE(A2194,MATCH(B2194,{"enero","febrero","marzo","abril","mayo","junio","julio","agosto","septiembre","octubre","noviembre","diciembre"},0)+1,0))</f>
        <v/>
      </c>
      <c r="E2194" t="str">
        <f>+IFERROR(VLOOKUP(Fact_Impuestos[[#This Row], [Concepto Anterior]],Conceptos_Impuestos[#All],5,0),"")</f>
        <v/>
      </c>
      <c r="F2194" t="str">
        <f>+IFERROR(VLOOKUP(Fact_Impuestos[[#This Row], 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ht="18.75" customHeight="1" x14ac:dyDescent="0.35">
      <c r="C2195" s="100" t="str">
        <f>IF(OR(Fact_Impuestos[[#This Row], [Año]]="",Fact_Impuestos[[#This Row], [Mes]]=""),"",DATE(A2195,MATCH(B2195,{"enero","febrero","marzo","abril","mayo","junio","julio","agosto","septiembre","octubre","noviembre","diciembre"},0)+1,0))</f>
        <v/>
      </c>
      <c r="E2195" t="str">
        <f>+IFERROR(VLOOKUP(Fact_Impuestos[[#This Row], [Concepto Anterior]],Conceptos_Impuestos[#All],5,0),"")</f>
        <v/>
      </c>
      <c r="F2195" t="str">
        <f>+IFERROR(VLOOKUP(Fact_Impuestos[[#This Row], 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ht="18.75" customHeight="1" x14ac:dyDescent="0.35">
      <c r="C2196" s="100" t="str">
        <f>IF(OR(Fact_Impuestos[[#This Row], [Año]]="",Fact_Impuestos[[#This Row], [Mes]]=""),"",DATE(A2196,MATCH(B2196,{"enero","febrero","marzo","abril","mayo","junio","julio","agosto","septiembre","octubre","noviembre","diciembre"},0)+1,0))</f>
        <v/>
      </c>
      <c r="E2196" t="str">
        <f>+IFERROR(VLOOKUP(Fact_Impuestos[[#This Row], [Concepto Anterior]],Conceptos_Impuestos[#All],5,0),"")</f>
        <v/>
      </c>
      <c r="F2196" t="str">
        <f>+IFERROR(VLOOKUP(Fact_Impuestos[[#This Row], 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ht="18.75" customHeight="1" x14ac:dyDescent="0.35">
      <c r="C2197" s="100" t="str">
        <f>IF(OR(Fact_Impuestos[[#This Row], [Año]]="",Fact_Impuestos[[#This Row], [Mes]]=""),"",DATE(A2197,MATCH(B2197,{"enero","febrero","marzo","abril","mayo","junio","julio","agosto","septiembre","octubre","noviembre","diciembre"},0)+1,0))</f>
        <v/>
      </c>
      <c r="E2197" t="str">
        <f>+IFERROR(VLOOKUP(Fact_Impuestos[[#This Row], [Concepto Anterior]],Conceptos_Impuestos[#All],5,0),"")</f>
        <v/>
      </c>
      <c r="F2197" t="str">
        <f>+IFERROR(VLOOKUP(Fact_Impuestos[[#This Row], 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ht="18.75" customHeight="1" x14ac:dyDescent="0.35">
      <c r="C2198" s="100" t="str">
        <f>IF(OR(Fact_Impuestos[[#This Row], [Año]]="",Fact_Impuestos[[#This Row], [Mes]]=""),"",DATE(A2198,MATCH(B2198,{"enero","febrero","marzo","abril","mayo","junio","julio","agosto","septiembre","octubre","noviembre","diciembre"},0)+1,0))</f>
        <v/>
      </c>
      <c r="E2198" t="str">
        <f>+IFERROR(VLOOKUP(Fact_Impuestos[[#This Row], [Concepto Anterior]],Conceptos_Impuestos[#All],5,0),"")</f>
        <v/>
      </c>
      <c r="F2198" t="str">
        <f>+IFERROR(VLOOKUP(Fact_Impuestos[[#This Row], 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ht="18.75" customHeight="1" x14ac:dyDescent="0.35">
      <c r="C2199" s="100" t="str">
        <f>IF(OR(Fact_Impuestos[[#This Row], [Año]]="",Fact_Impuestos[[#This Row], [Mes]]=""),"",DATE(A2199,MATCH(B2199,{"enero","febrero","marzo","abril","mayo","junio","julio","agosto","septiembre","octubre","noviembre","diciembre"},0)+1,0))</f>
        <v/>
      </c>
      <c r="E2199" t="str">
        <f>+IFERROR(VLOOKUP(Fact_Impuestos[[#This Row], [Concepto Anterior]],Conceptos_Impuestos[#All],5,0),"")</f>
        <v/>
      </c>
      <c r="F2199" t="str">
        <f>+IFERROR(VLOOKUP(Fact_Impuestos[[#This Row], 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ht="18.75" customHeight="1" x14ac:dyDescent="0.35">
      <c r="C2200" s="100" t="str">
        <f>IF(OR(Fact_Impuestos[[#This Row], [Año]]="",Fact_Impuestos[[#This Row], [Mes]]=""),"",DATE(A2200,MATCH(B2200,{"enero","febrero","marzo","abril","mayo","junio","julio","agosto","septiembre","octubre","noviembre","diciembre"},0)+1,0))</f>
        <v/>
      </c>
      <c r="E2200" t="str">
        <f>+IFERROR(VLOOKUP(Fact_Impuestos[[#This Row], [Concepto Anterior]],Conceptos_Impuestos[#All],5,0),"")</f>
        <v/>
      </c>
      <c r="F2200" t="str">
        <f>+IFERROR(VLOOKUP(Fact_Impuestos[[#This Row], 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ht="18.75" customHeight="1" x14ac:dyDescent="0.35">
      <c r="C2201" s="100" t="str">
        <f>IF(OR(Fact_Impuestos[[#This Row], [Año]]="",Fact_Impuestos[[#This Row], [Mes]]=""),"",DATE(A2201,MATCH(B2201,{"enero","febrero","marzo","abril","mayo","junio","julio","agosto","septiembre","octubre","noviembre","diciembre"},0)+1,0))</f>
        <v/>
      </c>
      <c r="E2201" t="str">
        <f>+IFERROR(VLOOKUP(Fact_Impuestos[[#This Row], [Concepto Anterior]],Conceptos_Impuestos[#All],5,0),"")</f>
        <v/>
      </c>
      <c r="F2201" t="str">
        <f>+IFERROR(VLOOKUP(Fact_Impuestos[[#This Row], 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ht="18.75" customHeight="1" x14ac:dyDescent="0.35">
      <c r="C2202" s="100" t="str">
        <f>IF(OR(Fact_Impuestos[[#This Row], [Año]]="",Fact_Impuestos[[#This Row], [Mes]]=""),"",DATE(A2202,MATCH(B2202,{"enero","febrero","marzo","abril","mayo","junio","julio","agosto","septiembre","octubre","noviembre","diciembre"},0)+1,0))</f>
        <v/>
      </c>
      <c r="E2202" t="str">
        <f>+IFERROR(VLOOKUP(Fact_Impuestos[[#This Row], [Concepto Anterior]],Conceptos_Impuestos[#All],5,0),"")</f>
        <v/>
      </c>
      <c r="F2202" t="str">
        <f>+IFERROR(VLOOKUP(Fact_Impuestos[[#This Row], 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ht="18.75" customHeight="1" x14ac:dyDescent="0.35">
      <c r="C2203" s="100" t="str">
        <f>IF(OR(Fact_Impuestos[[#This Row], [Año]]="",Fact_Impuestos[[#This Row], [Mes]]=""),"",DATE(A2203,MATCH(B2203,{"enero","febrero","marzo","abril","mayo","junio","julio","agosto","septiembre","octubre","noviembre","diciembre"},0)+1,0))</f>
        <v/>
      </c>
      <c r="E2203" t="str">
        <f>+IFERROR(VLOOKUP(Fact_Impuestos[[#This Row], [Concepto Anterior]],Conceptos_Impuestos[#All],5,0),"")</f>
        <v/>
      </c>
      <c r="F2203" t="str">
        <f>+IFERROR(VLOOKUP(Fact_Impuestos[[#This Row], 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ht="18.75" customHeight="1" x14ac:dyDescent="0.35">
      <c r="C2204" s="100" t="str">
        <f>IF(OR(Fact_Impuestos[[#This Row], [Año]]="",Fact_Impuestos[[#This Row], [Mes]]=""),"",DATE(A2204,MATCH(B2204,{"enero","febrero","marzo","abril","mayo","junio","julio","agosto","septiembre","octubre","noviembre","diciembre"},0)+1,0))</f>
        <v/>
      </c>
      <c r="E2204" t="str">
        <f>+IFERROR(VLOOKUP(Fact_Impuestos[[#This Row], [Concepto Anterior]],Conceptos_Impuestos[#All],5,0),"")</f>
        <v/>
      </c>
      <c r="F2204" t="str">
        <f>+IFERROR(VLOOKUP(Fact_Impuestos[[#This Row], 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ht="18.75" customHeight="1" x14ac:dyDescent="0.35">
      <c r="C2205" s="100" t="str">
        <f>IF(OR(Fact_Impuestos[[#This Row], [Año]]="",Fact_Impuestos[[#This Row], [Mes]]=""),"",DATE(A2205,MATCH(B2205,{"enero","febrero","marzo","abril","mayo","junio","julio","agosto","septiembre","octubre","noviembre","diciembre"},0)+1,0))</f>
        <v/>
      </c>
      <c r="E2205" t="str">
        <f>+IFERROR(VLOOKUP(Fact_Impuestos[[#This Row], [Concepto Anterior]],Conceptos_Impuestos[#All],5,0),"")</f>
        <v/>
      </c>
      <c r="F2205" t="str">
        <f>+IFERROR(VLOOKUP(Fact_Impuestos[[#This Row], 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ht="18.75" customHeight="1" x14ac:dyDescent="0.35">
      <c r="C2206" s="100" t="str">
        <f>IF(OR(Fact_Impuestos[[#This Row], [Año]]="",Fact_Impuestos[[#This Row], [Mes]]=""),"",DATE(A2206,MATCH(B2206,{"enero","febrero","marzo","abril","mayo","junio","julio","agosto","septiembre","octubre","noviembre","diciembre"},0)+1,0))</f>
        <v/>
      </c>
      <c r="E2206" t="str">
        <f>+IFERROR(VLOOKUP(Fact_Impuestos[[#This Row], [Concepto Anterior]],Conceptos_Impuestos[#All],5,0),"")</f>
        <v/>
      </c>
      <c r="F2206" t="str">
        <f>+IFERROR(VLOOKUP(Fact_Impuestos[[#This Row], 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ht="18.75" customHeight="1" x14ac:dyDescent="0.35">
      <c r="C2207" s="100" t="str">
        <f>IF(OR(Fact_Impuestos[[#This Row], [Año]]="",Fact_Impuestos[[#This Row], [Mes]]=""),"",DATE(A2207,MATCH(B2207,{"enero","febrero","marzo","abril","mayo","junio","julio","agosto","septiembre","octubre","noviembre","diciembre"},0)+1,0))</f>
        <v/>
      </c>
      <c r="E2207" t="str">
        <f>+IFERROR(VLOOKUP(Fact_Impuestos[[#This Row], [Concepto Anterior]],Conceptos_Impuestos[#All],5,0),"")</f>
        <v/>
      </c>
      <c r="F2207" t="str">
        <f>+IFERROR(VLOOKUP(Fact_Impuestos[[#This Row], 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ht="18.75" customHeight="1" x14ac:dyDescent="0.35">
      <c r="C2208" s="100" t="str">
        <f>IF(OR(Fact_Impuestos[[#This Row], [Año]]="",Fact_Impuestos[[#This Row], [Mes]]=""),"",DATE(A2208,MATCH(B2208,{"enero","febrero","marzo","abril","mayo","junio","julio","agosto","septiembre","octubre","noviembre","diciembre"},0)+1,0))</f>
        <v/>
      </c>
      <c r="E2208" t="str">
        <f>+IFERROR(VLOOKUP(Fact_Impuestos[[#This Row], [Concepto Anterior]],Conceptos_Impuestos[#All],5,0),"")</f>
        <v/>
      </c>
      <c r="F2208" t="str">
        <f>+IFERROR(VLOOKUP(Fact_Impuestos[[#This Row], 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ht="18.75" customHeight="1" x14ac:dyDescent="0.35">
      <c r="C2209" s="100" t="str">
        <f>IF(OR(Fact_Impuestos[[#This Row], [Año]]="",Fact_Impuestos[[#This Row], [Mes]]=""),"",DATE(A2209,MATCH(B2209,{"enero","febrero","marzo","abril","mayo","junio","julio","agosto","septiembre","octubre","noviembre","diciembre"},0)+1,0))</f>
        <v/>
      </c>
      <c r="E2209" t="str">
        <f>+IFERROR(VLOOKUP(Fact_Impuestos[[#This Row], [Concepto Anterior]],Conceptos_Impuestos[#All],5,0),"")</f>
        <v/>
      </c>
      <c r="F2209" t="str">
        <f>+IFERROR(VLOOKUP(Fact_Impuestos[[#This Row], 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ht="18.75" customHeight="1" x14ac:dyDescent="0.35">
      <c r="C2210" s="100" t="str">
        <f>IF(OR(Fact_Impuestos[[#This Row], [Año]]="",Fact_Impuestos[[#This Row], [Mes]]=""),"",DATE(A2210,MATCH(B2210,{"enero","febrero","marzo","abril","mayo","junio","julio","agosto","septiembre","octubre","noviembre","diciembre"},0)+1,0))</f>
        <v/>
      </c>
      <c r="E2210" t="str">
        <f>+IFERROR(VLOOKUP(Fact_Impuestos[[#This Row], [Concepto Anterior]],Conceptos_Impuestos[#All],5,0),"")</f>
        <v/>
      </c>
      <c r="F2210" t="str">
        <f>+IFERROR(VLOOKUP(Fact_Impuestos[[#This Row], 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ht="18.75" customHeight="1" x14ac:dyDescent="0.35">
      <c r="C2211" s="100" t="str">
        <f>IF(OR(Fact_Impuestos[[#This Row], [Año]]="",Fact_Impuestos[[#This Row], [Mes]]=""),"",DATE(A2211,MATCH(B2211,{"enero","febrero","marzo","abril","mayo","junio","julio","agosto","septiembre","octubre","noviembre","diciembre"},0)+1,0))</f>
        <v/>
      </c>
      <c r="E2211" t="str">
        <f>+IFERROR(VLOOKUP(Fact_Impuestos[[#This Row], [Concepto Anterior]],Conceptos_Impuestos[#All],5,0),"")</f>
        <v/>
      </c>
      <c r="F2211" t="str">
        <f>+IFERROR(VLOOKUP(Fact_Impuestos[[#This Row], 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ht="18.75" customHeight="1" x14ac:dyDescent="0.35">
      <c r="C2212" s="100" t="str">
        <f>IF(OR(Fact_Impuestos[[#This Row], [Año]]="",Fact_Impuestos[[#This Row], [Mes]]=""),"",DATE(A2212,MATCH(B2212,{"enero","febrero","marzo","abril","mayo","junio","julio","agosto","septiembre","octubre","noviembre","diciembre"},0)+1,0))</f>
        <v/>
      </c>
      <c r="E2212" t="str">
        <f>+IFERROR(VLOOKUP(Fact_Impuestos[[#This Row], [Concepto Anterior]],Conceptos_Impuestos[#All],5,0),"")</f>
        <v/>
      </c>
      <c r="F2212" t="str">
        <f>+IFERROR(VLOOKUP(Fact_Impuestos[[#This Row], 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ht="18.75" customHeight="1" x14ac:dyDescent="0.35">
      <c r="C2213" s="100" t="str">
        <f>IF(OR(Fact_Impuestos[[#This Row], [Año]]="",Fact_Impuestos[[#This Row], [Mes]]=""),"",DATE(A2213,MATCH(B2213,{"enero","febrero","marzo","abril","mayo","junio","julio","agosto","septiembre","octubre","noviembre","diciembre"},0)+1,0))</f>
        <v/>
      </c>
      <c r="E2213" t="str">
        <f>+IFERROR(VLOOKUP(Fact_Impuestos[[#This Row], [Concepto Anterior]],Conceptos_Impuestos[#All],5,0),"")</f>
        <v/>
      </c>
      <c r="F2213" t="str">
        <f>+IFERROR(VLOOKUP(Fact_Impuestos[[#This Row], 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ht="18.75" customHeight="1" x14ac:dyDescent="0.35">
      <c r="C2214" s="100" t="str">
        <f>IF(OR(Fact_Impuestos[[#This Row], [Año]]="",Fact_Impuestos[[#This Row], [Mes]]=""),"",DATE(A2214,MATCH(B2214,{"enero","febrero","marzo","abril","mayo","junio","julio","agosto","septiembre","octubre","noviembre","diciembre"},0)+1,0))</f>
        <v/>
      </c>
      <c r="E2214" t="str">
        <f>+IFERROR(VLOOKUP(Fact_Impuestos[[#This Row], [Concepto Anterior]],Conceptos_Impuestos[#All],5,0),"")</f>
        <v/>
      </c>
      <c r="F2214" t="str">
        <f>+IFERROR(VLOOKUP(Fact_Impuestos[[#This Row], 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ht="18.75" customHeight="1" x14ac:dyDescent="0.35">
      <c r="C2215" s="100" t="str">
        <f>IF(OR(Fact_Impuestos[[#This Row], [Año]]="",Fact_Impuestos[[#This Row], [Mes]]=""),"",DATE(A2215,MATCH(B2215,{"enero","febrero","marzo","abril","mayo","junio","julio","agosto","septiembre","octubre","noviembre","diciembre"},0)+1,0))</f>
        <v/>
      </c>
      <c r="E2215" t="str">
        <f>+IFERROR(VLOOKUP(Fact_Impuestos[[#This Row], [Concepto Anterior]],Conceptos_Impuestos[#All],5,0),"")</f>
        <v/>
      </c>
      <c r="F2215" t="str">
        <f>+IFERROR(VLOOKUP(Fact_Impuestos[[#This Row], 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ht="18.75" customHeight="1" x14ac:dyDescent="0.35">
      <c r="C2216" s="100" t="str">
        <f>IF(OR(Fact_Impuestos[[#This Row], [Año]]="",Fact_Impuestos[[#This Row], [Mes]]=""),"",DATE(A2216,MATCH(B2216,{"enero","febrero","marzo","abril","mayo","junio","julio","agosto","septiembre","octubre","noviembre","diciembre"},0)+1,0))</f>
        <v/>
      </c>
      <c r="E2216" t="str">
        <f>+IFERROR(VLOOKUP(Fact_Impuestos[[#This Row], [Concepto Anterior]],Conceptos_Impuestos[#All],5,0),"")</f>
        <v/>
      </c>
      <c r="F2216" t="str">
        <f>+IFERROR(VLOOKUP(Fact_Impuestos[[#This Row], 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ht="18.75" customHeight="1" x14ac:dyDescent="0.35">
      <c r="C2217" s="100" t="str">
        <f>IF(OR(Fact_Impuestos[[#This Row], [Año]]="",Fact_Impuestos[[#This Row], [Mes]]=""),"",DATE(A2217,MATCH(B2217,{"enero","febrero","marzo","abril","mayo","junio","julio","agosto","septiembre","octubre","noviembre","diciembre"},0)+1,0))</f>
        <v/>
      </c>
      <c r="E2217" t="str">
        <f>+IFERROR(VLOOKUP(Fact_Impuestos[[#This Row], [Concepto Anterior]],Conceptos_Impuestos[#All],5,0),"")</f>
        <v/>
      </c>
      <c r="F2217" t="str">
        <f>+IFERROR(VLOOKUP(Fact_Impuestos[[#This Row], 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ht="18.75" customHeight="1" x14ac:dyDescent="0.35">
      <c r="C2218" s="100" t="str">
        <f>IF(OR(Fact_Impuestos[[#This Row], [Año]]="",Fact_Impuestos[[#This Row], [Mes]]=""),"",DATE(A2218,MATCH(B2218,{"enero","febrero","marzo","abril","mayo","junio","julio","agosto","septiembre","octubre","noviembre","diciembre"},0)+1,0))</f>
        <v/>
      </c>
      <c r="E2218" t="str">
        <f>+IFERROR(VLOOKUP(Fact_Impuestos[[#This Row], [Concepto Anterior]],Conceptos_Impuestos[#All],5,0),"")</f>
        <v/>
      </c>
      <c r="F2218" t="str">
        <f>+IFERROR(VLOOKUP(Fact_Impuestos[[#This Row], 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ht="18.75" customHeight="1" x14ac:dyDescent="0.35">
      <c r="C2219" s="100" t="str">
        <f>IF(OR(Fact_Impuestos[[#This Row], [Año]]="",Fact_Impuestos[[#This Row], [Mes]]=""),"",DATE(A2219,MATCH(B2219,{"enero","febrero","marzo","abril","mayo","junio","julio","agosto","septiembre","octubre","noviembre","diciembre"},0)+1,0))</f>
        <v/>
      </c>
      <c r="E2219" t="str">
        <f>+IFERROR(VLOOKUP(Fact_Impuestos[[#This Row], [Concepto Anterior]],Conceptos_Impuestos[#All],5,0),"")</f>
        <v/>
      </c>
      <c r="F2219" t="str">
        <f>+IFERROR(VLOOKUP(Fact_Impuestos[[#This Row], 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ht="18.75" customHeight="1" x14ac:dyDescent="0.35">
      <c r="C2220" s="100" t="str">
        <f>IF(OR(Fact_Impuestos[[#This Row], [Año]]="",Fact_Impuestos[[#This Row], [Mes]]=""),"",DATE(A2220,MATCH(B2220,{"enero","febrero","marzo","abril","mayo","junio","julio","agosto","septiembre","octubre","noviembre","diciembre"},0)+1,0))</f>
        <v/>
      </c>
      <c r="E2220" t="str">
        <f>+IFERROR(VLOOKUP(Fact_Impuestos[[#This Row], [Concepto Anterior]],Conceptos_Impuestos[#All],5,0),"")</f>
        <v/>
      </c>
      <c r="F2220" t="str">
        <f>+IFERROR(VLOOKUP(Fact_Impuestos[[#This Row], 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ht="18.75" customHeight="1" x14ac:dyDescent="0.35">
      <c r="C2221" s="100" t="str">
        <f>IF(OR(Fact_Impuestos[[#This Row], [Año]]="",Fact_Impuestos[[#This Row], [Mes]]=""),"",DATE(A2221,MATCH(B2221,{"enero","febrero","marzo","abril","mayo","junio","julio","agosto","septiembre","octubre","noviembre","diciembre"},0)+1,0))</f>
        <v/>
      </c>
      <c r="E2221" t="str">
        <f>+IFERROR(VLOOKUP(Fact_Impuestos[[#This Row], [Concepto Anterior]],Conceptos_Impuestos[#All],5,0),"")</f>
        <v/>
      </c>
      <c r="F2221" t="str">
        <f>+IFERROR(VLOOKUP(Fact_Impuestos[[#This Row], 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ht="18.75" customHeight="1" x14ac:dyDescent="0.35">
      <c r="C2222" s="100" t="str">
        <f>IF(OR(Fact_Impuestos[[#This Row], [Año]]="",Fact_Impuestos[[#This Row], [Mes]]=""),"",DATE(A2222,MATCH(B2222,{"enero","febrero","marzo","abril","mayo","junio","julio","agosto","septiembre","octubre","noviembre","diciembre"},0)+1,0))</f>
        <v/>
      </c>
      <c r="E2222" t="str">
        <f>+IFERROR(VLOOKUP(Fact_Impuestos[[#This Row], [Concepto Anterior]],Conceptos_Impuestos[#All],5,0),"")</f>
        <v/>
      </c>
      <c r="F2222" t="str">
        <f>+IFERROR(VLOOKUP(Fact_Impuestos[[#This Row], 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ht="18.75" customHeight="1" x14ac:dyDescent="0.35">
      <c r="C2223" s="100" t="str">
        <f>IF(OR(Fact_Impuestos[[#This Row], [Año]]="",Fact_Impuestos[[#This Row], [Mes]]=""),"",DATE(A2223,MATCH(B2223,{"enero","febrero","marzo","abril","mayo","junio","julio","agosto","septiembre","octubre","noviembre","diciembre"},0)+1,0))</f>
        <v/>
      </c>
      <c r="E2223" t="str">
        <f>+IFERROR(VLOOKUP(Fact_Impuestos[[#This Row], [Concepto Anterior]],Conceptos_Impuestos[#All],5,0),"")</f>
        <v/>
      </c>
      <c r="F2223" t="str">
        <f>+IFERROR(VLOOKUP(Fact_Impuestos[[#This Row], 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ht="18.75" customHeight="1" x14ac:dyDescent="0.35">
      <c r="C2224" s="100" t="str">
        <f>IF(OR(Fact_Impuestos[[#This Row], [Año]]="",Fact_Impuestos[[#This Row], [Mes]]=""),"",DATE(A2224,MATCH(B2224,{"enero","febrero","marzo","abril","mayo","junio","julio","agosto","septiembre","octubre","noviembre","diciembre"},0)+1,0))</f>
        <v/>
      </c>
      <c r="E2224" t="str">
        <f>+IFERROR(VLOOKUP(Fact_Impuestos[[#This Row], [Concepto Anterior]],Conceptos_Impuestos[#All],5,0),"")</f>
        <v/>
      </c>
      <c r="F2224" t="str">
        <f>+IFERROR(VLOOKUP(Fact_Impuestos[[#This Row], 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ht="18.75" customHeight="1" x14ac:dyDescent="0.35">
      <c r="C2225" s="100" t="str">
        <f>IF(OR(Fact_Impuestos[[#This Row], [Año]]="",Fact_Impuestos[[#This Row], [Mes]]=""),"",DATE(A2225,MATCH(B2225,{"enero","febrero","marzo","abril","mayo","junio","julio","agosto","septiembre","octubre","noviembre","diciembre"},0)+1,0))</f>
        <v/>
      </c>
      <c r="E2225" t="str">
        <f>+IFERROR(VLOOKUP(Fact_Impuestos[[#This Row], [Concepto Anterior]],Conceptos_Impuestos[#All],5,0),"")</f>
        <v/>
      </c>
      <c r="F2225" t="str">
        <f>+IFERROR(VLOOKUP(Fact_Impuestos[[#This Row], 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ht="18.75" customHeight="1" x14ac:dyDescent="0.35">
      <c r="C2226" s="100" t="str">
        <f>IF(OR(Fact_Impuestos[[#This Row], [Año]]="",Fact_Impuestos[[#This Row], [Mes]]=""),"",DATE(A2226,MATCH(B2226,{"enero","febrero","marzo","abril","mayo","junio","julio","agosto","septiembre","octubre","noviembre","diciembre"},0)+1,0))</f>
        <v/>
      </c>
      <c r="E2226" t="str">
        <f>+IFERROR(VLOOKUP(Fact_Impuestos[[#This Row], [Concepto Anterior]],Conceptos_Impuestos[#All],5,0),"")</f>
        <v/>
      </c>
      <c r="F2226" t="str">
        <f>+IFERROR(VLOOKUP(Fact_Impuestos[[#This Row], 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ht="18.75" customHeight="1" x14ac:dyDescent="0.35">
      <c r="C2227" s="100" t="str">
        <f>IF(OR(Fact_Impuestos[[#This Row], [Año]]="",Fact_Impuestos[[#This Row], [Mes]]=""),"",DATE(A2227,MATCH(B2227,{"enero","febrero","marzo","abril","mayo","junio","julio","agosto","septiembre","octubre","noviembre","diciembre"},0)+1,0))</f>
        <v/>
      </c>
      <c r="E2227" t="str">
        <f>+IFERROR(VLOOKUP(Fact_Impuestos[[#This Row], [Concepto Anterior]],Conceptos_Impuestos[#All],5,0),"")</f>
        <v/>
      </c>
      <c r="F2227" t="str">
        <f>+IFERROR(VLOOKUP(Fact_Impuestos[[#This Row], 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ht="18.75" customHeight="1" x14ac:dyDescent="0.35">
      <c r="C2228" s="100" t="str">
        <f>IF(OR(Fact_Impuestos[[#This Row], [Año]]="",Fact_Impuestos[[#This Row], [Mes]]=""),"",DATE(A2228,MATCH(B2228,{"enero","febrero","marzo","abril","mayo","junio","julio","agosto","septiembre","octubre","noviembre","diciembre"},0)+1,0))</f>
        <v/>
      </c>
      <c r="E2228" t="str">
        <f>+IFERROR(VLOOKUP(Fact_Impuestos[[#This Row], [Concepto Anterior]],Conceptos_Impuestos[#All],5,0),"")</f>
        <v/>
      </c>
      <c r="F2228" t="str">
        <f>+IFERROR(VLOOKUP(Fact_Impuestos[[#This Row], 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ht="18.75" customHeight="1" x14ac:dyDescent="0.35">
      <c r="C2229" s="100" t="str">
        <f>IF(OR(Fact_Impuestos[[#This Row], [Año]]="",Fact_Impuestos[[#This Row], [Mes]]=""),"",DATE(A2229,MATCH(B2229,{"enero","febrero","marzo","abril","mayo","junio","julio","agosto","septiembre","octubre","noviembre","diciembre"},0)+1,0))</f>
        <v/>
      </c>
      <c r="E2229" t="str">
        <f>+IFERROR(VLOOKUP(Fact_Impuestos[[#This Row], [Concepto Anterior]],Conceptos_Impuestos[#All],5,0),"")</f>
        <v/>
      </c>
      <c r="F2229" t="str">
        <f>+IFERROR(VLOOKUP(Fact_Impuestos[[#This Row], 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ht="18.75" customHeight="1" x14ac:dyDescent="0.35">
      <c r="C2230" s="100" t="str">
        <f>IF(OR(Fact_Impuestos[[#This Row], [Año]]="",Fact_Impuestos[[#This Row], [Mes]]=""),"",DATE(A2230,MATCH(B2230,{"enero","febrero","marzo","abril","mayo","junio","julio","agosto","septiembre","octubre","noviembre","diciembre"},0)+1,0))</f>
        <v/>
      </c>
      <c r="E2230" t="str">
        <f>+IFERROR(VLOOKUP(Fact_Impuestos[[#This Row], [Concepto Anterior]],Conceptos_Impuestos[#All],5,0),"")</f>
        <v/>
      </c>
      <c r="F2230" t="str">
        <f>+IFERROR(VLOOKUP(Fact_Impuestos[[#This Row], 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ht="18.75" customHeight="1" x14ac:dyDescent="0.35">
      <c r="C2231" s="100" t="str">
        <f>IF(OR(Fact_Impuestos[[#This Row], [Año]]="",Fact_Impuestos[[#This Row], [Mes]]=""),"",DATE(A2231,MATCH(B2231,{"enero","febrero","marzo","abril","mayo","junio","julio","agosto","septiembre","octubre","noviembre","diciembre"},0)+1,0))</f>
        <v/>
      </c>
      <c r="E2231" t="str">
        <f>+IFERROR(VLOOKUP(Fact_Impuestos[[#This Row], [Concepto Anterior]],Conceptos_Impuestos[#All],5,0),"")</f>
        <v/>
      </c>
      <c r="F2231" t="str">
        <f>+IFERROR(VLOOKUP(Fact_Impuestos[[#This Row], 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ht="18.75" customHeight="1" x14ac:dyDescent="0.35">
      <c r="C2232" s="100" t="str">
        <f>IF(OR(Fact_Impuestos[[#This Row], [Año]]="",Fact_Impuestos[[#This Row], [Mes]]=""),"",DATE(A2232,MATCH(B2232,{"enero","febrero","marzo","abril","mayo","junio","julio","agosto","septiembre","octubre","noviembre","diciembre"},0)+1,0))</f>
        <v/>
      </c>
      <c r="E2232" t="str">
        <f>+IFERROR(VLOOKUP(Fact_Impuestos[[#This Row], [Concepto Anterior]],Conceptos_Impuestos[#All],5,0),"")</f>
        <v/>
      </c>
      <c r="F2232" t="str">
        <f>+IFERROR(VLOOKUP(Fact_Impuestos[[#This Row], 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ht="18.75" customHeight="1" x14ac:dyDescent="0.35">
      <c r="C2233" s="100" t="str">
        <f>IF(OR(Fact_Impuestos[[#This Row], [Año]]="",Fact_Impuestos[[#This Row], [Mes]]=""),"",DATE(A2233,MATCH(B2233,{"enero","febrero","marzo","abril","mayo","junio","julio","agosto","septiembre","octubre","noviembre","diciembre"},0)+1,0))</f>
        <v/>
      </c>
      <c r="E2233" t="str">
        <f>+IFERROR(VLOOKUP(Fact_Impuestos[[#This Row], [Concepto Anterior]],Conceptos_Impuestos[#All],5,0),"")</f>
        <v/>
      </c>
      <c r="F2233" t="str">
        <f>+IFERROR(VLOOKUP(Fact_Impuestos[[#This Row], 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ht="18.75" customHeight="1" x14ac:dyDescent="0.35">
      <c r="C2234" s="100" t="str">
        <f>IF(OR(Fact_Impuestos[[#This Row], [Año]]="",Fact_Impuestos[[#This Row], [Mes]]=""),"",DATE(A2234,MATCH(B2234,{"enero","febrero","marzo","abril","mayo","junio","julio","agosto","septiembre","octubre","noviembre","diciembre"},0)+1,0))</f>
        <v/>
      </c>
      <c r="E2234" t="str">
        <f>+IFERROR(VLOOKUP(Fact_Impuestos[[#This Row], [Concepto Anterior]],Conceptos_Impuestos[#All],5,0),"")</f>
        <v/>
      </c>
      <c r="F2234" t="str">
        <f>+IFERROR(VLOOKUP(Fact_Impuestos[[#This Row], 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ht="18.75" customHeight="1" x14ac:dyDescent="0.35">
      <c r="C2235" s="100" t="str">
        <f>IF(OR(Fact_Impuestos[[#This Row], [Año]]="",Fact_Impuestos[[#This Row], [Mes]]=""),"",DATE(A2235,MATCH(B2235,{"enero","febrero","marzo","abril","mayo","junio","julio","agosto","septiembre","octubre","noviembre","diciembre"},0)+1,0))</f>
        <v/>
      </c>
      <c r="E2235" t="str">
        <f>+IFERROR(VLOOKUP(Fact_Impuestos[[#This Row], [Concepto Anterior]],Conceptos_Impuestos[#All],5,0),"")</f>
        <v/>
      </c>
      <c r="F2235" t="str">
        <f>+IFERROR(VLOOKUP(Fact_Impuestos[[#This Row], 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ht="18.75" customHeight="1" x14ac:dyDescent="0.35">
      <c r="C2236" s="100" t="str">
        <f>IF(OR(Fact_Impuestos[[#This Row], [Año]]="",Fact_Impuestos[[#This Row], [Mes]]=""),"",DATE(A2236,MATCH(B2236,{"enero","febrero","marzo","abril","mayo","junio","julio","agosto","septiembre","octubre","noviembre","diciembre"},0)+1,0))</f>
        <v/>
      </c>
      <c r="E2236" t="str">
        <f>+IFERROR(VLOOKUP(Fact_Impuestos[[#This Row], [Concepto Anterior]],Conceptos_Impuestos[#All],5,0),"")</f>
        <v/>
      </c>
      <c r="F2236" t="str">
        <f>+IFERROR(VLOOKUP(Fact_Impuestos[[#This Row], 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ht="18.75" customHeight="1" x14ac:dyDescent="0.35">
      <c r="C2237" s="100" t="str">
        <f>IF(OR(Fact_Impuestos[[#This Row], [Año]]="",Fact_Impuestos[[#This Row], [Mes]]=""),"",DATE(A2237,MATCH(B2237,{"enero","febrero","marzo","abril","mayo","junio","julio","agosto","septiembre","octubre","noviembre","diciembre"},0)+1,0))</f>
        <v/>
      </c>
      <c r="E2237" t="str">
        <f>+IFERROR(VLOOKUP(Fact_Impuestos[[#This Row], [Concepto Anterior]],Conceptos_Impuestos[#All],5,0),"")</f>
        <v/>
      </c>
      <c r="F2237" t="str">
        <f>+IFERROR(VLOOKUP(Fact_Impuestos[[#This Row], 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ht="18.75" customHeight="1" x14ac:dyDescent="0.35">
      <c r="C2238" s="100" t="str">
        <f>IF(OR(Fact_Impuestos[[#This Row], [Año]]="",Fact_Impuestos[[#This Row], [Mes]]=""),"",DATE(A2238,MATCH(B2238,{"enero","febrero","marzo","abril","mayo","junio","julio","agosto","septiembre","octubre","noviembre","diciembre"},0)+1,0))</f>
        <v/>
      </c>
      <c r="E2238" t="str">
        <f>+IFERROR(VLOOKUP(Fact_Impuestos[[#This Row], [Concepto Anterior]],Conceptos_Impuestos[#All],5,0),"")</f>
        <v/>
      </c>
      <c r="F2238" t="str">
        <f>+IFERROR(VLOOKUP(Fact_Impuestos[[#This Row], 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ht="18.75" customHeight="1" x14ac:dyDescent="0.35">
      <c r="C2239" s="100" t="str">
        <f>IF(OR(Fact_Impuestos[[#This Row], [Año]]="",Fact_Impuestos[[#This Row], [Mes]]=""),"",DATE(A2239,MATCH(B2239,{"enero","febrero","marzo","abril","mayo","junio","julio","agosto","septiembre","octubre","noviembre","diciembre"},0)+1,0))</f>
        <v/>
      </c>
      <c r="E2239" t="str">
        <f>+IFERROR(VLOOKUP(Fact_Impuestos[[#This Row], [Concepto Anterior]],Conceptos_Impuestos[#All],5,0),"")</f>
        <v/>
      </c>
      <c r="F2239" t="str">
        <f>+IFERROR(VLOOKUP(Fact_Impuestos[[#This Row], 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ht="18.75" customHeight="1" x14ac:dyDescent="0.35">
      <c r="C2240" s="100" t="str">
        <f>IF(OR(Fact_Impuestos[[#This Row], [Año]]="",Fact_Impuestos[[#This Row], [Mes]]=""),"",DATE(A2240,MATCH(B2240,{"enero","febrero","marzo","abril","mayo","junio","julio","agosto","septiembre","octubre","noviembre","diciembre"},0)+1,0))</f>
        <v/>
      </c>
      <c r="E2240" t="str">
        <f>+IFERROR(VLOOKUP(Fact_Impuestos[[#This Row], [Concepto Anterior]],Conceptos_Impuestos[#All],5,0),"")</f>
        <v/>
      </c>
      <c r="F2240" t="str">
        <f>+IFERROR(VLOOKUP(Fact_Impuestos[[#This Row], 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ht="18.75" customHeight="1" x14ac:dyDescent="0.35">
      <c r="C2241" s="100" t="str">
        <f>IF(OR(Fact_Impuestos[[#This Row], [Año]]="",Fact_Impuestos[[#This Row], [Mes]]=""),"",DATE(A2241,MATCH(B2241,{"enero","febrero","marzo","abril","mayo","junio","julio","agosto","septiembre","octubre","noviembre","diciembre"},0)+1,0))</f>
        <v/>
      </c>
      <c r="E2241" t="str">
        <f>+IFERROR(VLOOKUP(Fact_Impuestos[[#This Row], [Concepto Anterior]],Conceptos_Impuestos[#All],5,0),"")</f>
        <v/>
      </c>
      <c r="F2241" t="str">
        <f>+IFERROR(VLOOKUP(Fact_Impuestos[[#This Row], 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ht="18.75" customHeight="1" x14ac:dyDescent="0.35">
      <c r="C2242" s="100" t="str">
        <f>IF(OR(Fact_Impuestos[[#This Row], [Año]]="",Fact_Impuestos[[#This Row], [Mes]]=""),"",DATE(A2242,MATCH(B2242,{"enero","febrero","marzo","abril","mayo","junio","julio","agosto","septiembre","octubre","noviembre","diciembre"},0)+1,0))</f>
        <v/>
      </c>
      <c r="E2242" t="str">
        <f>+IFERROR(VLOOKUP(Fact_Impuestos[[#This Row], [Concepto Anterior]],Conceptos_Impuestos[#All],5,0),"")</f>
        <v/>
      </c>
      <c r="F2242" t="str">
        <f>+IFERROR(VLOOKUP(Fact_Impuestos[[#This Row], 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ht="18.75" customHeight="1" x14ac:dyDescent="0.35">
      <c r="C2243" s="100" t="str">
        <f>IF(OR(Fact_Impuestos[[#This Row], [Año]]="",Fact_Impuestos[[#This Row], [Mes]]=""),"",DATE(A2243,MATCH(B2243,{"enero","febrero","marzo","abril","mayo","junio","julio","agosto","septiembre","octubre","noviembre","diciembre"},0)+1,0))</f>
        <v/>
      </c>
      <c r="E2243" t="str">
        <f>+IFERROR(VLOOKUP(Fact_Impuestos[[#This Row], [Concepto Anterior]],Conceptos_Impuestos[#All],5,0),"")</f>
        <v/>
      </c>
      <c r="F2243" t="str">
        <f>+IFERROR(VLOOKUP(Fact_Impuestos[[#This Row], 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ht="18.75" customHeight="1" x14ac:dyDescent="0.35">
      <c r="C2244" s="100" t="str">
        <f>IF(OR(Fact_Impuestos[[#This Row], [Año]]="",Fact_Impuestos[[#This Row], [Mes]]=""),"",DATE(A2244,MATCH(B2244,{"enero","febrero","marzo","abril","mayo","junio","julio","agosto","septiembre","octubre","noviembre","diciembre"},0)+1,0))</f>
        <v/>
      </c>
      <c r="E2244" t="str">
        <f>+IFERROR(VLOOKUP(Fact_Impuestos[[#This Row], [Concepto Anterior]],Conceptos_Impuestos[#All],5,0),"")</f>
        <v/>
      </c>
      <c r="F2244" t="str">
        <f>+IFERROR(VLOOKUP(Fact_Impuestos[[#This Row], 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ht="18.75" customHeight="1" x14ac:dyDescent="0.35">
      <c r="C2245" s="100" t="str">
        <f>IF(OR(Fact_Impuestos[[#This Row], [Año]]="",Fact_Impuestos[[#This Row], [Mes]]=""),"",DATE(A2245,MATCH(B2245,{"enero","febrero","marzo","abril","mayo","junio","julio","agosto","septiembre","octubre","noviembre","diciembre"},0)+1,0))</f>
        <v/>
      </c>
      <c r="E2245" t="str">
        <f>+IFERROR(VLOOKUP(Fact_Impuestos[[#This Row], [Concepto Anterior]],Conceptos_Impuestos[#All],5,0),"")</f>
        <v/>
      </c>
      <c r="F2245" t="str">
        <f>+IFERROR(VLOOKUP(Fact_Impuestos[[#This Row], 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ht="18.75" customHeight="1" x14ac:dyDescent="0.35">
      <c r="C2246" s="100" t="str">
        <f>IF(OR(Fact_Impuestos[[#This Row], [Año]]="",Fact_Impuestos[[#This Row], [Mes]]=""),"",DATE(A2246,MATCH(B2246,{"enero","febrero","marzo","abril","mayo","junio","julio","agosto","septiembre","octubre","noviembre","diciembre"},0)+1,0))</f>
        <v/>
      </c>
      <c r="E2246" t="str">
        <f>+IFERROR(VLOOKUP(Fact_Impuestos[[#This Row], [Concepto Anterior]],Conceptos_Impuestos[#All],5,0),"")</f>
        <v/>
      </c>
      <c r="F2246" t="str">
        <f>+IFERROR(VLOOKUP(Fact_Impuestos[[#This Row], 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ht="18.75" customHeight="1" x14ac:dyDescent="0.35">
      <c r="C2247" s="100" t="str">
        <f>IF(OR(Fact_Impuestos[[#This Row], [Año]]="",Fact_Impuestos[[#This Row], [Mes]]=""),"",DATE(A2247,MATCH(B2247,{"enero","febrero","marzo","abril","mayo","junio","julio","agosto","septiembre","octubre","noviembre","diciembre"},0)+1,0))</f>
        <v/>
      </c>
      <c r="E2247" t="str">
        <f>+IFERROR(VLOOKUP(Fact_Impuestos[[#This Row], [Concepto Anterior]],Conceptos_Impuestos[#All],5,0),"")</f>
        <v/>
      </c>
      <c r="F2247" t="str">
        <f>+IFERROR(VLOOKUP(Fact_Impuestos[[#This Row], 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ht="18.75" customHeight="1" x14ac:dyDescent="0.35">
      <c r="C2248" s="100" t="str">
        <f>IF(OR(Fact_Impuestos[[#This Row], [Año]]="",Fact_Impuestos[[#This Row], [Mes]]=""),"",DATE(A2248,MATCH(B2248,{"enero","febrero","marzo","abril","mayo","junio","julio","agosto","septiembre","octubre","noviembre","diciembre"},0)+1,0))</f>
        <v/>
      </c>
      <c r="E2248" t="str">
        <f>+IFERROR(VLOOKUP(Fact_Impuestos[[#This Row], [Concepto Anterior]],Conceptos_Impuestos[#All],5,0),"")</f>
        <v/>
      </c>
      <c r="F2248" t="str">
        <f>+IFERROR(VLOOKUP(Fact_Impuestos[[#This Row], 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ht="18.75" customHeight="1" x14ac:dyDescent="0.35">
      <c r="C2249" s="100" t="str">
        <f>IF(OR(Fact_Impuestos[[#This Row], [Año]]="",Fact_Impuestos[[#This Row], [Mes]]=""),"",DATE(A2249,MATCH(B2249,{"enero","febrero","marzo","abril","mayo","junio","julio","agosto","septiembre","octubre","noviembre","diciembre"},0)+1,0))</f>
        <v/>
      </c>
      <c r="E2249" t="str">
        <f>+IFERROR(VLOOKUP(Fact_Impuestos[[#This Row], [Concepto Anterior]],Conceptos_Impuestos[#All],5,0),"")</f>
        <v/>
      </c>
      <c r="F2249" t="str">
        <f>+IFERROR(VLOOKUP(Fact_Impuestos[[#This Row], 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ht="18.75" customHeight="1" x14ac:dyDescent="0.35">
      <c r="C2250" s="100" t="str">
        <f>IF(OR(Fact_Impuestos[[#This Row], [Año]]="",Fact_Impuestos[[#This Row], [Mes]]=""),"",DATE(A2250,MATCH(B2250,{"enero","febrero","marzo","abril","mayo","junio","julio","agosto","septiembre","octubre","noviembre","diciembre"},0)+1,0))</f>
        <v/>
      </c>
      <c r="E2250" t="str">
        <f>+IFERROR(VLOOKUP(Fact_Impuestos[[#This Row], [Concepto Anterior]],Conceptos_Impuestos[#All],5,0),"")</f>
        <v/>
      </c>
      <c r="F2250" t="str">
        <f>+IFERROR(VLOOKUP(Fact_Impuestos[[#This Row], 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ht="18.75" customHeight="1" x14ac:dyDescent="0.35">
      <c r="C2251" s="100" t="str">
        <f>IF(OR(Fact_Impuestos[[#This Row], [Año]]="",Fact_Impuestos[[#This Row], [Mes]]=""),"",DATE(A2251,MATCH(B2251,{"enero","febrero","marzo","abril","mayo","junio","julio","agosto","septiembre","octubre","noviembre","diciembre"},0)+1,0))</f>
        <v/>
      </c>
      <c r="E2251" t="str">
        <f>+IFERROR(VLOOKUP(Fact_Impuestos[[#This Row], [Concepto Anterior]],Conceptos_Impuestos[#All],5,0),"")</f>
        <v/>
      </c>
      <c r="F2251" t="str">
        <f>+IFERROR(VLOOKUP(Fact_Impuestos[[#This Row], 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ht="18.75" customHeight="1" x14ac:dyDescent="0.35">
      <c r="C2252" s="100" t="str">
        <f>IF(OR(Fact_Impuestos[[#This Row], [Año]]="",Fact_Impuestos[[#This Row], [Mes]]=""),"",DATE(A2252,MATCH(B2252,{"enero","febrero","marzo","abril","mayo","junio","julio","agosto","septiembre","octubre","noviembre","diciembre"},0)+1,0))</f>
        <v/>
      </c>
      <c r="E2252" t="str">
        <f>+IFERROR(VLOOKUP(Fact_Impuestos[[#This Row], [Concepto Anterior]],Conceptos_Impuestos[#All],5,0),"")</f>
        <v/>
      </c>
      <c r="F2252" t="str">
        <f>+IFERROR(VLOOKUP(Fact_Impuestos[[#This Row], 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ht="18.75" customHeight="1" x14ac:dyDescent="0.35">
      <c r="C2253" s="100" t="str">
        <f>IF(OR(Fact_Impuestos[[#This Row], [Año]]="",Fact_Impuestos[[#This Row], [Mes]]=""),"",DATE(A2253,MATCH(B2253,{"enero","febrero","marzo","abril","mayo","junio","julio","agosto","septiembre","octubre","noviembre","diciembre"},0)+1,0))</f>
        <v/>
      </c>
      <c r="E2253" t="str">
        <f>+IFERROR(VLOOKUP(Fact_Impuestos[[#This Row], [Concepto Anterior]],Conceptos_Impuestos[#All],5,0),"")</f>
        <v/>
      </c>
      <c r="F2253" t="str">
        <f>+IFERROR(VLOOKUP(Fact_Impuestos[[#This Row], 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ht="18.75" customHeight="1" x14ac:dyDescent="0.35">
      <c r="C2254" s="100" t="str">
        <f>IF(OR(Fact_Impuestos[[#This Row], [Año]]="",Fact_Impuestos[[#This Row], [Mes]]=""),"",DATE(A2254,MATCH(B2254,{"enero","febrero","marzo","abril","mayo","junio","julio","agosto","septiembre","octubre","noviembre","diciembre"},0)+1,0))</f>
        <v/>
      </c>
      <c r="E2254" t="str">
        <f>+IFERROR(VLOOKUP(Fact_Impuestos[[#This Row], [Concepto Anterior]],Conceptos_Impuestos[#All],5,0),"")</f>
        <v/>
      </c>
      <c r="F2254" t="str">
        <f>+IFERROR(VLOOKUP(Fact_Impuestos[[#This Row], 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ht="18.75" customHeight="1" x14ac:dyDescent="0.35">
      <c r="C2255" s="100" t="str">
        <f>IF(OR(Fact_Impuestos[[#This Row], [Año]]="",Fact_Impuestos[[#This Row], [Mes]]=""),"",DATE(A2255,MATCH(B2255,{"enero","febrero","marzo","abril","mayo","junio","julio","agosto","septiembre","octubre","noviembre","diciembre"},0)+1,0))</f>
        <v/>
      </c>
      <c r="E2255" t="str">
        <f>+IFERROR(VLOOKUP(Fact_Impuestos[[#This Row], [Concepto Anterior]],Conceptos_Impuestos[#All],5,0),"")</f>
        <v/>
      </c>
      <c r="F2255" t="str">
        <f>+IFERROR(VLOOKUP(Fact_Impuestos[[#This Row], 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ht="18.75" customHeight="1" x14ac:dyDescent="0.35">
      <c r="C2256" s="100" t="str">
        <f>IF(OR(Fact_Impuestos[[#This Row], [Año]]="",Fact_Impuestos[[#This Row], [Mes]]=""),"",DATE(A2256,MATCH(B2256,{"enero","febrero","marzo","abril","mayo","junio","julio","agosto","septiembre","octubre","noviembre","diciembre"},0)+1,0))</f>
        <v/>
      </c>
      <c r="E2256" t="str">
        <f>+IFERROR(VLOOKUP(Fact_Impuestos[[#This Row], [Concepto Anterior]],Conceptos_Impuestos[#All],5,0),"")</f>
        <v/>
      </c>
      <c r="F2256" t="str">
        <f>+IFERROR(VLOOKUP(Fact_Impuestos[[#This Row], 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ht="18.75" customHeight="1" x14ac:dyDescent="0.35">
      <c r="C2257" s="100" t="str">
        <f>IF(OR(Fact_Impuestos[[#This Row], [Año]]="",Fact_Impuestos[[#This Row], [Mes]]=""),"",DATE(A2257,MATCH(B2257,{"enero","febrero","marzo","abril","mayo","junio","julio","agosto","septiembre","octubre","noviembre","diciembre"},0)+1,0))</f>
        <v/>
      </c>
      <c r="E2257" t="str">
        <f>+IFERROR(VLOOKUP(Fact_Impuestos[[#This Row], [Concepto Anterior]],Conceptos_Impuestos[#All],5,0),"")</f>
        <v/>
      </c>
      <c r="F2257" t="str">
        <f>+IFERROR(VLOOKUP(Fact_Impuestos[[#This Row], 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ht="18.75" customHeight="1" x14ac:dyDescent="0.35">
      <c r="C2258" s="100" t="str">
        <f>IF(OR(Fact_Impuestos[[#This Row], [Año]]="",Fact_Impuestos[[#This Row], [Mes]]=""),"",DATE(A2258,MATCH(B2258,{"enero","febrero","marzo","abril","mayo","junio","julio","agosto","septiembre","octubre","noviembre","diciembre"},0)+1,0))</f>
        <v/>
      </c>
      <c r="E2258" t="str">
        <f>+IFERROR(VLOOKUP(Fact_Impuestos[[#This Row], [Concepto Anterior]],Conceptos_Impuestos[#All],5,0),"")</f>
        <v/>
      </c>
      <c r="F2258" t="str">
        <f>+IFERROR(VLOOKUP(Fact_Impuestos[[#This Row], 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ht="18.75" customHeight="1" x14ac:dyDescent="0.35">
      <c r="C2259" s="100" t="str">
        <f>IF(OR(Fact_Impuestos[[#This Row], [Año]]="",Fact_Impuestos[[#This Row], [Mes]]=""),"",DATE(A2259,MATCH(B2259,{"enero","febrero","marzo","abril","mayo","junio","julio","agosto","septiembre","octubre","noviembre","diciembre"},0)+1,0))</f>
        <v/>
      </c>
      <c r="E2259" t="str">
        <f>+IFERROR(VLOOKUP(Fact_Impuestos[[#This Row], [Concepto Anterior]],Conceptos_Impuestos[#All],5,0),"")</f>
        <v/>
      </c>
      <c r="F2259" t="str">
        <f>+IFERROR(VLOOKUP(Fact_Impuestos[[#This Row], 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ht="18.75" customHeight="1" x14ac:dyDescent="0.35">
      <c r="C2260" s="100" t="str">
        <f>IF(OR(Fact_Impuestos[[#This Row], [Año]]="",Fact_Impuestos[[#This Row], [Mes]]=""),"",DATE(A2260,MATCH(B2260,{"enero","febrero","marzo","abril","mayo","junio","julio","agosto","septiembre","octubre","noviembre","diciembre"},0)+1,0))</f>
        <v/>
      </c>
      <c r="E2260" t="str">
        <f>+IFERROR(VLOOKUP(Fact_Impuestos[[#This Row], [Concepto Anterior]],Conceptos_Impuestos[#All],5,0),"")</f>
        <v/>
      </c>
      <c r="F2260" t="str">
        <f>+IFERROR(VLOOKUP(Fact_Impuestos[[#This Row], 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ht="18.75" customHeight="1" x14ac:dyDescent="0.35">
      <c r="C2261" s="100" t="str">
        <f>IF(OR(Fact_Impuestos[[#This Row], [Año]]="",Fact_Impuestos[[#This Row], [Mes]]=""),"",DATE(A2261,MATCH(B2261,{"enero","febrero","marzo","abril","mayo","junio","julio","agosto","septiembre","octubre","noviembre","diciembre"},0)+1,0))</f>
        <v/>
      </c>
      <c r="E2261" t="str">
        <f>+IFERROR(VLOOKUP(Fact_Impuestos[[#This Row], [Concepto Anterior]],Conceptos_Impuestos[#All],5,0),"")</f>
        <v/>
      </c>
      <c r="F2261" t="str">
        <f>+IFERROR(VLOOKUP(Fact_Impuestos[[#This Row], 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ht="18.75" customHeight="1" x14ac:dyDescent="0.35">
      <c r="C2262" s="100" t="str">
        <f>IF(OR(Fact_Impuestos[[#This Row], [Año]]="",Fact_Impuestos[[#This Row], [Mes]]=""),"",DATE(A2262,MATCH(B2262,{"enero","febrero","marzo","abril","mayo","junio","julio","agosto","septiembre","octubre","noviembre","diciembre"},0)+1,0))</f>
        <v/>
      </c>
      <c r="E2262" t="str">
        <f>+IFERROR(VLOOKUP(Fact_Impuestos[[#This Row], [Concepto Anterior]],Conceptos_Impuestos[#All],5,0),"")</f>
        <v/>
      </c>
      <c r="F2262" t="str">
        <f>+IFERROR(VLOOKUP(Fact_Impuestos[[#This Row], 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ht="18.75" customHeight="1" x14ac:dyDescent="0.35">
      <c r="C2263" s="100" t="str">
        <f>IF(OR(Fact_Impuestos[[#This Row], [Año]]="",Fact_Impuestos[[#This Row], [Mes]]=""),"",DATE(A2263,MATCH(B2263,{"enero","febrero","marzo","abril","mayo","junio","julio","agosto","septiembre","octubre","noviembre","diciembre"},0)+1,0))</f>
        <v/>
      </c>
      <c r="E2263" t="str">
        <f>+IFERROR(VLOOKUP(Fact_Impuestos[[#This Row], [Concepto Anterior]],Conceptos_Impuestos[#All],5,0),"")</f>
        <v/>
      </c>
      <c r="F2263" t="str">
        <f>+IFERROR(VLOOKUP(Fact_Impuestos[[#This Row], 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ht="18.75" customHeight="1" x14ac:dyDescent="0.35">
      <c r="C2264" s="100" t="str">
        <f>IF(OR(Fact_Impuestos[[#This Row], [Año]]="",Fact_Impuestos[[#This Row], [Mes]]=""),"",DATE(A2264,MATCH(B2264,{"enero","febrero","marzo","abril","mayo","junio","julio","agosto","septiembre","octubre","noviembre","diciembre"},0)+1,0))</f>
        <v/>
      </c>
      <c r="E2264" t="str">
        <f>+IFERROR(VLOOKUP(Fact_Impuestos[[#This Row], [Concepto Anterior]],Conceptos_Impuestos[#All],5,0),"")</f>
        <v/>
      </c>
      <c r="F2264" t="str">
        <f>+IFERROR(VLOOKUP(Fact_Impuestos[[#This Row], 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ht="18.75" customHeight="1" x14ac:dyDescent="0.35">
      <c r="C2265" s="100" t="str">
        <f>IF(OR(Fact_Impuestos[[#This Row], [Año]]="",Fact_Impuestos[[#This Row], [Mes]]=""),"",DATE(A2265,MATCH(B2265,{"enero","febrero","marzo","abril","mayo","junio","julio","agosto","septiembre","octubre","noviembre","diciembre"},0)+1,0))</f>
        <v/>
      </c>
      <c r="E2265" t="str">
        <f>+IFERROR(VLOOKUP(Fact_Impuestos[[#This Row], [Concepto Anterior]],Conceptos_Impuestos[#All],5,0),"")</f>
        <v/>
      </c>
      <c r="F2265" t="str">
        <f>+IFERROR(VLOOKUP(Fact_Impuestos[[#This Row], 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ht="18.75" customHeight="1" x14ac:dyDescent="0.35">
      <c r="C2266" s="100" t="str">
        <f>IF(OR(Fact_Impuestos[[#This Row], [Año]]="",Fact_Impuestos[[#This Row], [Mes]]=""),"",DATE(A2266,MATCH(B2266,{"enero","febrero","marzo","abril","mayo","junio","julio","agosto","septiembre","octubre","noviembre","diciembre"},0)+1,0))</f>
        <v/>
      </c>
      <c r="E2266" t="str">
        <f>+IFERROR(VLOOKUP(Fact_Impuestos[[#This Row], [Concepto Anterior]],Conceptos_Impuestos[#All],5,0),"")</f>
        <v/>
      </c>
      <c r="F2266" t="str">
        <f>+IFERROR(VLOOKUP(Fact_Impuestos[[#This Row], 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ht="18.75" customHeight="1" x14ac:dyDescent="0.35">
      <c r="C2267" s="100" t="str">
        <f>IF(OR(Fact_Impuestos[[#This Row], [Año]]="",Fact_Impuestos[[#This Row], [Mes]]=""),"",DATE(A2267,MATCH(B2267,{"enero","febrero","marzo","abril","mayo","junio","julio","agosto","septiembre","octubre","noviembre","diciembre"},0)+1,0))</f>
        <v/>
      </c>
      <c r="E2267" t="str">
        <f>+IFERROR(VLOOKUP(Fact_Impuestos[[#This Row], [Concepto Anterior]],Conceptos_Impuestos[#All],5,0),"")</f>
        <v/>
      </c>
      <c r="F2267" t="str">
        <f>+IFERROR(VLOOKUP(Fact_Impuestos[[#This Row], 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ht="18.75" customHeight="1" x14ac:dyDescent="0.35">
      <c r="C2268" s="100" t="str">
        <f>IF(OR(Fact_Impuestos[[#This Row], [Año]]="",Fact_Impuestos[[#This Row], [Mes]]=""),"",DATE(A2268,MATCH(B2268,{"enero","febrero","marzo","abril","mayo","junio","julio","agosto","septiembre","octubre","noviembre","diciembre"},0)+1,0))</f>
        <v/>
      </c>
      <c r="E2268" t="str">
        <f>+IFERROR(VLOOKUP(Fact_Impuestos[[#This Row], [Concepto Anterior]],Conceptos_Impuestos[#All],5,0),"")</f>
        <v/>
      </c>
      <c r="F2268" t="str">
        <f>+IFERROR(VLOOKUP(Fact_Impuestos[[#This Row], 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ht="18.75" customHeight="1" x14ac:dyDescent="0.35">
      <c r="C2269" s="100" t="str">
        <f>IF(OR(Fact_Impuestos[[#This Row], [Año]]="",Fact_Impuestos[[#This Row], [Mes]]=""),"",DATE(A2269,MATCH(B2269,{"enero","febrero","marzo","abril","mayo","junio","julio","agosto","septiembre","octubre","noviembre","diciembre"},0)+1,0))</f>
        <v/>
      </c>
      <c r="E2269" t="str">
        <f>+IFERROR(VLOOKUP(Fact_Impuestos[[#This Row], [Concepto Anterior]],Conceptos_Impuestos[#All],5,0),"")</f>
        <v/>
      </c>
      <c r="F2269" t="str">
        <f>+IFERROR(VLOOKUP(Fact_Impuestos[[#This Row], 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ht="18.75" customHeight="1" x14ac:dyDescent="0.35">
      <c r="C2270" s="100" t="str">
        <f>IF(OR(Fact_Impuestos[[#This Row], [Año]]="",Fact_Impuestos[[#This Row], [Mes]]=""),"",DATE(A2270,MATCH(B2270,{"enero","febrero","marzo","abril","mayo","junio","julio","agosto","septiembre","octubre","noviembre","diciembre"},0)+1,0))</f>
        <v/>
      </c>
      <c r="E2270" t="str">
        <f>+IFERROR(VLOOKUP(Fact_Impuestos[[#This Row], [Concepto Anterior]],Conceptos_Impuestos[#All],5,0),"")</f>
        <v/>
      </c>
      <c r="F2270" t="str">
        <f>+IFERROR(VLOOKUP(Fact_Impuestos[[#This Row], 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ht="18.75" customHeight="1" x14ac:dyDescent="0.35">
      <c r="C2271" s="100" t="str">
        <f>IF(OR(Fact_Impuestos[[#This Row], [Año]]="",Fact_Impuestos[[#This Row], [Mes]]=""),"",DATE(A2271,MATCH(B2271,{"enero","febrero","marzo","abril","mayo","junio","julio","agosto","septiembre","octubre","noviembre","diciembre"},0)+1,0))</f>
        <v/>
      </c>
      <c r="E2271" t="str">
        <f>+IFERROR(VLOOKUP(Fact_Impuestos[[#This Row], [Concepto Anterior]],Conceptos_Impuestos[#All],5,0),"")</f>
        <v/>
      </c>
      <c r="F2271" t="str">
        <f>+IFERROR(VLOOKUP(Fact_Impuestos[[#This Row], 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ht="18.75" customHeight="1" x14ac:dyDescent="0.35">
      <c r="C2272" s="100" t="str">
        <f>IF(OR(Fact_Impuestos[[#This Row], [Año]]="",Fact_Impuestos[[#This Row], [Mes]]=""),"",DATE(A2272,MATCH(B2272,{"enero","febrero","marzo","abril","mayo","junio","julio","agosto","septiembre","octubre","noviembre","diciembre"},0)+1,0))</f>
        <v/>
      </c>
      <c r="E2272" t="str">
        <f>+IFERROR(VLOOKUP(Fact_Impuestos[[#This Row], [Concepto Anterior]],Conceptos_Impuestos[#All],5,0),"")</f>
        <v/>
      </c>
      <c r="F2272" t="str">
        <f>+IFERROR(VLOOKUP(Fact_Impuestos[[#This Row], 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ht="18.75" customHeight="1" x14ac:dyDescent="0.35">
      <c r="C2273" s="100" t="str">
        <f>IF(OR(Fact_Impuestos[[#This Row], [Año]]="",Fact_Impuestos[[#This Row], [Mes]]=""),"",DATE(A2273,MATCH(B2273,{"enero","febrero","marzo","abril","mayo","junio","julio","agosto","septiembre","octubre","noviembre","diciembre"},0)+1,0))</f>
        <v/>
      </c>
      <c r="E2273" t="str">
        <f>+IFERROR(VLOOKUP(Fact_Impuestos[[#This Row], [Concepto Anterior]],Conceptos_Impuestos[#All],5,0),"")</f>
        <v/>
      </c>
      <c r="F2273" t="str">
        <f>+IFERROR(VLOOKUP(Fact_Impuestos[[#This Row], 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ht="18.75" customHeight="1" x14ac:dyDescent="0.35">
      <c r="C2274" s="100" t="str">
        <f>IF(OR(Fact_Impuestos[[#This Row], [Año]]="",Fact_Impuestos[[#This Row], [Mes]]=""),"",DATE(A2274,MATCH(B2274,{"enero","febrero","marzo","abril","mayo","junio","julio","agosto","septiembre","octubre","noviembre","diciembre"},0)+1,0))</f>
        <v/>
      </c>
      <c r="E2274" t="str">
        <f>+IFERROR(VLOOKUP(Fact_Impuestos[[#This Row], [Concepto Anterior]],Conceptos_Impuestos[#All],5,0),"")</f>
        <v/>
      </c>
      <c r="F2274" t="str">
        <f>+IFERROR(VLOOKUP(Fact_Impuestos[[#This Row], 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ht="18.75" customHeight="1" x14ac:dyDescent="0.35">
      <c r="C2275" s="100" t="str">
        <f>IF(OR(Fact_Impuestos[[#This Row], [Año]]="",Fact_Impuestos[[#This Row], [Mes]]=""),"",DATE(A2275,MATCH(B2275,{"enero","febrero","marzo","abril","mayo","junio","julio","agosto","septiembre","octubre","noviembre","diciembre"},0)+1,0))</f>
        <v/>
      </c>
      <c r="E2275" t="str">
        <f>+IFERROR(VLOOKUP(Fact_Impuestos[[#This Row], [Concepto Anterior]],Conceptos_Impuestos[#All],5,0),"")</f>
        <v/>
      </c>
      <c r="F2275" t="str">
        <f>+IFERROR(VLOOKUP(Fact_Impuestos[[#This Row], 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ht="18.75" customHeight="1" x14ac:dyDescent="0.35">
      <c r="C2276" s="100" t="str">
        <f>IF(OR(Fact_Impuestos[[#This Row], [Año]]="",Fact_Impuestos[[#This Row], [Mes]]=""),"",DATE(A2276,MATCH(B2276,{"enero","febrero","marzo","abril","mayo","junio","julio","agosto","septiembre","octubre","noviembre","diciembre"},0)+1,0))</f>
        <v/>
      </c>
      <c r="E2276" t="str">
        <f>+IFERROR(VLOOKUP(Fact_Impuestos[[#This Row], [Concepto Anterior]],Conceptos_Impuestos[#All],5,0),"")</f>
        <v/>
      </c>
      <c r="F2276" t="str">
        <f>+IFERROR(VLOOKUP(Fact_Impuestos[[#This Row], 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ht="18.75" customHeight="1" x14ac:dyDescent="0.35">
      <c r="C2277" s="100" t="str">
        <f>IF(OR(Fact_Impuestos[[#This Row], [Año]]="",Fact_Impuestos[[#This Row], [Mes]]=""),"",DATE(A2277,MATCH(B2277,{"enero","febrero","marzo","abril","mayo","junio","julio","agosto","septiembre","octubre","noviembre","diciembre"},0)+1,0))</f>
        <v/>
      </c>
      <c r="E2277" t="str">
        <f>+IFERROR(VLOOKUP(Fact_Impuestos[[#This Row], [Concepto Anterior]],Conceptos_Impuestos[#All],5,0),"")</f>
        <v/>
      </c>
      <c r="F2277" t="str">
        <f>+IFERROR(VLOOKUP(Fact_Impuestos[[#This Row], 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ht="18.75" customHeight="1" x14ac:dyDescent="0.35">
      <c r="C2278" s="100" t="str">
        <f>IF(OR(Fact_Impuestos[[#This Row], [Año]]="",Fact_Impuestos[[#This Row], [Mes]]=""),"",DATE(A2278,MATCH(B2278,{"enero","febrero","marzo","abril","mayo","junio","julio","agosto","septiembre","octubre","noviembre","diciembre"},0)+1,0))</f>
        <v/>
      </c>
      <c r="E2278" t="str">
        <f>+IFERROR(VLOOKUP(Fact_Impuestos[[#This Row], [Concepto Anterior]],Conceptos_Impuestos[#All],5,0),"")</f>
        <v/>
      </c>
      <c r="F2278" t="str">
        <f>+IFERROR(VLOOKUP(Fact_Impuestos[[#This Row], 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ht="18.75" customHeight="1" x14ac:dyDescent="0.35">
      <c r="C2279" s="100" t="str">
        <f>IF(OR(Fact_Impuestos[[#This Row], [Año]]="",Fact_Impuestos[[#This Row], [Mes]]=""),"",DATE(A2279,MATCH(B2279,{"enero","febrero","marzo","abril","mayo","junio","julio","agosto","septiembre","octubre","noviembre","diciembre"},0)+1,0))</f>
        <v/>
      </c>
      <c r="E2279" t="str">
        <f>+IFERROR(VLOOKUP(Fact_Impuestos[[#This Row], [Concepto Anterior]],Conceptos_Impuestos[#All],5,0),"")</f>
        <v/>
      </c>
      <c r="F2279" t="str">
        <f>+IFERROR(VLOOKUP(Fact_Impuestos[[#This Row], 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ht="18.75" customHeight="1" x14ac:dyDescent="0.35">
      <c r="C2280" s="100" t="str">
        <f>IF(OR(Fact_Impuestos[[#This Row], [Año]]="",Fact_Impuestos[[#This Row], [Mes]]=""),"",DATE(A2280,MATCH(B2280,{"enero","febrero","marzo","abril","mayo","junio","julio","agosto","septiembre","octubre","noviembre","diciembre"},0)+1,0))</f>
        <v/>
      </c>
      <c r="E2280" t="str">
        <f>+IFERROR(VLOOKUP(Fact_Impuestos[[#This Row], [Concepto Anterior]],Conceptos_Impuestos[#All],5,0),"")</f>
        <v/>
      </c>
      <c r="F2280" t="str">
        <f>+IFERROR(VLOOKUP(Fact_Impuestos[[#This Row], 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ht="18.75" customHeight="1" x14ac:dyDescent="0.35">
      <c r="C2281" s="100" t="str">
        <f>IF(OR(Fact_Impuestos[[#This Row], [Año]]="",Fact_Impuestos[[#This Row], [Mes]]=""),"",DATE(A2281,MATCH(B2281,{"enero","febrero","marzo","abril","mayo","junio","julio","agosto","septiembre","octubre","noviembre","diciembre"},0)+1,0))</f>
        <v/>
      </c>
      <c r="E2281" t="str">
        <f>+IFERROR(VLOOKUP(Fact_Impuestos[[#This Row], [Concepto Anterior]],Conceptos_Impuestos[#All],5,0),"")</f>
        <v/>
      </c>
      <c r="F2281" t="str">
        <f>+IFERROR(VLOOKUP(Fact_Impuestos[[#This Row], 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ht="18.75" customHeight="1" x14ac:dyDescent="0.35">
      <c r="C2282" s="100" t="str">
        <f>IF(OR(Fact_Impuestos[[#This Row], [Año]]="",Fact_Impuestos[[#This Row], [Mes]]=""),"",DATE(A2282,MATCH(B2282,{"enero","febrero","marzo","abril","mayo","junio","julio","agosto","septiembre","octubre","noviembre","diciembre"},0)+1,0))</f>
        <v/>
      </c>
      <c r="E2282" t="str">
        <f>+IFERROR(VLOOKUP(Fact_Impuestos[[#This Row], [Concepto Anterior]],Conceptos_Impuestos[#All],5,0),"")</f>
        <v/>
      </c>
      <c r="F2282" t="str">
        <f>+IFERROR(VLOOKUP(Fact_Impuestos[[#This Row], 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ht="18.75" customHeight="1" x14ac:dyDescent="0.35">
      <c r="C2283" s="100" t="str">
        <f>IF(OR(Fact_Impuestos[[#This Row], [Año]]="",Fact_Impuestos[[#This Row], [Mes]]=""),"",DATE(A2283,MATCH(B2283,{"enero","febrero","marzo","abril","mayo","junio","julio","agosto","septiembre","octubre","noviembre","diciembre"},0)+1,0))</f>
        <v/>
      </c>
      <c r="E2283" t="str">
        <f>+IFERROR(VLOOKUP(Fact_Impuestos[[#This Row], [Concepto Anterior]],Conceptos_Impuestos[#All],5,0),"")</f>
        <v/>
      </c>
      <c r="F2283" t="str">
        <f>+IFERROR(VLOOKUP(Fact_Impuestos[[#This Row], 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ht="18.75" customHeight="1" x14ac:dyDescent="0.35">
      <c r="C2284" s="100" t="str">
        <f>IF(OR(Fact_Impuestos[[#This Row], [Año]]="",Fact_Impuestos[[#This Row], [Mes]]=""),"",DATE(A2284,MATCH(B2284,{"enero","febrero","marzo","abril","mayo","junio","julio","agosto","septiembre","octubre","noviembre","diciembre"},0)+1,0))</f>
        <v/>
      </c>
      <c r="E2284" t="str">
        <f>+IFERROR(VLOOKUP(Fact_Impuestos[[#This Row], [Concepto Anterior]],Conceptos_Impuestos[#All],5,0),"")</f>
        <v/>
      </c>
      <c r="F2284" t="str">
        <f>+IFERROR(VLOOKUP(Fact_Impuestos[[#This Row], 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ht="18.75" customHeight="1" x14ac:dyDescent="0.35">
      <c r="C2285" s="100" t="str">
        <f>IF(OR(Fact_Impuestos[[#This Row], [Año]]="",Fact_Impuestos[[#This Row], [Mes]]=""),"",DATE(A2285,MATCH(B2285,{"enero","febrero","marzo","abril","mayo","junio","julio","agosto","septiembre","octubre","noviembre","diciembre"},0)+1,0))</f>
        <v/>
      </c>
      <c r="E2285" t="str">
        <f>+IFERROR(VLOOKUP(Fact_Impuestos[[#This Row], [Concepto Anterior]],Conceptos_Impuestos[#All],5,0),"")</f>
        <v/>
      </c>
      <c r="F2285" t="str">
        <f>+IFERROR(VLOOKUP(Fact_Impuestos[[#This Row], 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ht="18.75" customHeight="1" x14ac:dyDescent="0.35">
      <c r="C2286" s="100" t="str">
        <f>IF(OR(Fact_Impuestos[[#This Row], [Año]]="",Fact_Impuestos[[#This Row], [Mes]]=""),"",DATE(A2286,MATCH(B2286,{"enero","febrero","marzo","abril","mayo","junio","julio","agosto","septiembre","octubre","noviembre","diciembre"},0)+1,0))</f>
        <v/>
      </c>
      <c r="E2286" t="str">
        <f>+IFERROR(VLOOKUP(Fact_Impuestos[[#This Row], [Concepto Anterior]],Conceptos_Impuestos[#All],5,0),"")</f>
        <v/>
      </c>
      <c r="F2286" t="str">
        <f>+IFERROR(VLOOKUP(Fact_Impuestos[[#This Row], 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ht="18.75" customHeight="1" x14ac:dyDescent="0.35">
      <c r="C2287" s="100" t="str">
        <f>IF(OR(Fact_Impuestos[[#This Row], [Año]]="",Fact_Impuestos[[#This Row], [Mes]]=""),"",DATE(A2287,MATCH(B2287,{"enero","febrero","marzo","abril","mayo","junio","julio","agosto","septiembre","octubre","noviembre","diciembre"},0)+1,0))</f>
        <v/>
      </c>
      <c r="E2287" t="str">
        <f>+IFERROR(VLOOKUP(Fact_Impuestos[[#This Row], [Concepto Anterior]],Conceptos_Impuestos[#All],5,0),"")</f>
        <v/>
      </c>
      <c r="F2287" t="str">
        <f>+IFERROR(VLOOKUP(Fact_Impuestos[[#This Row], 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ht="18.75" customHeight="1" x14ac:dyDescent="0.35">
      <c r="C2288" s="100" t="str">
        <f>IF(OR(Fact_Impuestos[[#This Row], [Año]]="",Fact_Impuestos[[#This Row], [Mes]]=""),"",DATE(A2288,MATCH(B2288,{"enero","febrero","marzo","abril","mayo","junio","julio","agosto","septiembre","octubre","noviembre","diciembre"},0)+1,0))</f>
        <v/>
      </c>
      <c r="E2288" t="str">
        <f>+IFERROR(VLOOKUP(Fact_Impuestos[[#This Row], [Concepto Anterior]],Conceptos_Impuestos[#All],5,0),"")</f>
        <v/>
      </c>
      <c r="F2288" t="str">
        <f>+IFERROR(VLOOKUP(Fact_Impuestos[[#This Row], 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ht="18.75" customHeight="1" x14ac:dyDescent="0.35">
      <c r="C2289" s="100" t="str">
        <f>IF(OR(Fact_Impuestos[[#This Row], [Año]]="",Fact_Impuestos[[#This Row], [Mes]]=""),"",DATE(A2289,MATCH(B2289,{"enero","febrero","marzo","abril","mayo","junio","julio","agosto","septiembre","octubre","noviembre","diciembre"},0)+1,0))</f>
        <v/>
      </c>
      <c r="E2289" t="str">
        <f>+IFERROR(VLOOKUP(Fact_Impuestos[[#This Row], [Concepto Anterior]],Conceptos_Impuestos[#All],5,0),"")</f>
        <v/>
      </c>
      <c r="F2289" t="str">
        <f>+IFERROR(VLOOKUP(Fact_Impuestos[[#This Row], 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ht="18.75" customHeight="1" x14ac:dyDescent="0.35">
      <c r="C2290" s="100" t="str">
        <f>IF(OR(Fact_Impuestos[[#This Row], [Año]]="",Fact_Impuestos[[#This Row], [Mes]]=""),"",DATE(A2290,MATCH(B2290,{"enero","febrero","marzo","abril","mayo","junio","julio","agosto","septiembre","octubre","noviembre","diciembre"},0)+1,0))</f>
        <v/>
      </c>
      <c r="E2290" t="str">
        <f>+IFERROR(VLOOKUP(Fact_Impuestos[[#This Row], [Concepto Anterior]],Conceptos_Impuestos[#All],5,0),"")</f>
        <v/>
      </c>
      <c r="F2290" t="str">
        <f>+IFERROR(VLOOKUP(Fact_Impuestos[[#This Row], 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ht="18.75" customHeight="1" x14ac:dyDescent="0.35">
      <c r="C2291" s="100" t="str">
        <f>IF(OR(Fact_Impuestos[[#This Row], [Año]]="",Fact_Impuestos[[#This Row], [Mes]]=""),"",DATE(A2291,MATCH(B2291,{"enero","febrero","marzo","abril","mayo","junio","julio","agosto","septiembre","octubre","noviembre","diciembre"},0)+1,0))</f>
        <v/>
      </c>
      <c r="E2291" t="str">
        <f>+IFERROR(VLOOKUP(Fact_Impuestos[[#This Row], [Concepto Anterior]],Conceptos_Impuestos[#All],5,0),"")</f>
        <v/>
      </c>
      <c r="F2291" t="str">
        <f>+IFERROR(VLOOKUP(Fact_Impuestos[[#This Row], 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ht="18.75" customHeight="1" x14ac:dyDescent="0.35">
      <c r="C2292" s="100" t="str">
        <f>IF(OR(Fact_Impuestos[[#This Row], [Año]]="",Fact_Impuestos[[#This Row], [Mes]]=""),"",DATE(A2292,MATCH(B2292,{"enero","febrero","marzo","abril","mayo","junio","julio","agosto","septiembre","octubre","noviembre","diciembre"},0)+1,0))</f>
        <v/>
      </c>
      <c r="E2292" t="str">
        <f>+IFERROR(VLOOKUP(Fact_Impuestos[[#This Row], [Concepto Anterior]],Conceptos_Impuestos[#All],5,0),"")</f>
        <v/>
      </c>
      <c r="F2292" t="str">
        <f>+IFERROR(VLOOKUP(Fact_Impuestos[[#This Row], 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ht="18.75" customHeight="1" x14ac:dyDescent="0.35">
      <c r="C2293" s="100" t="str">
        <f>IF(OR(Fact_Impuestos[[#This Row], [Año]]="",Fact_Impuestos[[#This Row], [Mes]]=""),"",DATE(A2293,MATCH(B2293,{"enero","febrero","marzo","abril","mayo","junio","julio","agosto","septiembre","octubre","noviembre","diciembre"},0)+1,0))</f>
        <v/>
      </c>
      <c r="E2293" t="str">
        <f>+IFERROR(VLOOKUP(Fact_Impuestos[[#This Row], [Concepto Anterior]],Conceptos_Impuestos[#All],5,0),"")</f>
        <v/>
      </c>
      <c r="F2293" t="str">
        <f>+IFERROR(VLOOKUP(Fact_Impuestos[[#This Row], 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ht="18.75" customHeight="1" x14ac:dyDescent="0.35">
      <c r="C2294" s="100" t="str">
        <f>IF(OR(Fact_Impuestos[[#This Row], [Año]]="",Fact_Impuestos[[#This Row], [Mes]]=""),"",DATE(A2294,MATCH(B2294,{"enero","febrero","marzo","abril","mayo","junio","julio","agosto","septiembre","octubre","noviembre","diciembre"},0)+1,0))</f>
        <v/>
      </c>
      <c r="E2294" t="str">
        <f>+IFERROR(VLOOKUP(Fact_Impuestos[[#This Row], [Concepto Anterior]],Conceptos_Impuestos[#All],5,0),"")</f>
        <v/>
      </c>
      <c r="F2294" t="str">
        <f>+IFERROR(VLOOKUP(Fact_Impuestos[[#This Row], 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ht="18.75" customHeight="1" x14ac:dyDescent="0.35">
      <c r="C2295" s="100" t="str">
        <f>IF(OR(Fact_Impuestos[[#This Row], [Año]]="",Fact_Impuestos[[#This Row], [Mes]]=""),"",DATE(A2295,MATCH(B2295,{"enero","febrero","marzo","abril","mayo","junio","julio","agosto","septiembre","octubre","noviembre","diciembre"},0)+1,0))</f>
        <v/>
      </c>
      <c r="E2295" t="str">
        <f>+IFERROR(VLOOKUP(Fact_Impuestos[[#This Row], [Concepto Anterior]],Conceptos_Impuestos[#All],5,0),"")</f>
        <v/>
      </c>
      <c r="F2295" t="str">
        <f>+IFERROR(VLOOKUP(Fact_Impuestos[[#This Row], 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ht="18.75" customHeight="1" x14ac:dyDescent="0.35">
      <c r="C2296" s="100" t="str">
        <f>IF(OR(Fact_Impuestos[[#This Row], [Año]]="",Fact_Impuestos[[#This Row], [Mes]]=""),"",DATE(A2296,MATCH(B2296,{"enero","febrero","marzo","abril","mayo","junio","julio","agosto","septiembre","octubre","noviembre","diciembre"},0)+1,0))</f>
        <v/>
      </c>
      <c r="E2296" t="str">
        <f>+IFERROR(VLOOKUP(Fact_Impuestos[[#This Row], [Concepto Anterior]],Conceptos_Impuestos[#All],5,0),"")</f>
        <v/>
      </c>
      <c r="F2296" t="str">
        <f>+IFERROR(VLOOKUP(Fact_Impuestos[[#This Row], 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ht="18.75" customHeight="1" x14ac:dyDescent="0.35">
      <c r="C2297" s="100" t="str">
        <f>IF(OR(Fact_Impuestos[[#This Row], [Año]]="",Fact_Impuestos[[#This Row], [Mes]]=""),"",DATE(A2297,MATCH(B2297,{"enero","febrero","marzo","abril","mayo","junio","julio","agosto","septiembre","octubre","noviembre","diciembre"},0)+1,0))</f>
        <v/>
      </c>
      <c r="E2297" t="str">
        <f>+IFERROR(VLOOKUP(Fact_Impuestos[[#This Row], [Concepto Anterior]],Conceptos_Impuestos[#All],5,0),"")</f>
        <v/>
      </c>
      <c r="F2297" t="str">
        <f>+IFERROR(VLOOKUP(Fact_Impuestos[[#This Row], 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ht="18.75" customHeight="1" x14ac:dyDescent="0.35">
      <c r="C2298" s="100" t="str">
        <f>IF(OR(Fact_Impuestos[[#This Row], [Año]]="",Fact_Impuestos[[#This Row], [Mes]]=""),"",DATE(A2298,MATCH(B2298,{"enero","febrero","marzo","abril","mayo","junio","julio","agosto","septiembre","octubre","noviembre","diciembre"},0)+1,0))</f>
        <v/>
      </c>
      <c r="E2298" t="str">
        <f>+IFERROR(VLOOKUP(Fact_Impuestos[[#This Row], [Concepto Anterior]],Conceptos_Impuestos[#All],5,0),"")</f>
        <v/>
      </c>
      <c r="F2298" t="str">
        <f>+IFERROR(VLOOKUP(Fact_Impuestos[[#This Row], 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ht="18.75" customHeight="1" x14ac:dyDescent="0.35">
      <c r="C2299" s="100" t="str">
        <f>IF(OR(Fact_Impuestos[[#This Row], [Año]]="",Fact_Impuestos[[#This Row], [Mes]]=""),"",DATE(A2299,MATCH(B2299,{"enero","febrero","marzo","abril","mayo","junio","julio","agosto","septiembre","octubre","noviembre","diciembre"},0)+1,0))</f>
        <v/>
      </c>
      <c r="E2299" t="str">
        <f>+IFERROR(VLOOKUP(Fact_Impuestos[[#This Row], [Concepto Anterior]],Conceptos_Impuestos[#All],5,0),"")</f>
        <v/>
      </c>
      <c r="F2299" t="str">
        <f>+IFERROR(VLOOKUP(Fact_Impuestos[[#This Row], 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ht="18.75" customHeight="1" x14ac:dyDescent="0.35">
      <c r="C2300" s="100" t="str">
        <f>IF(OR(Fact_Impuestos[[#This Row], [Año]]="",Fact_Impuestos[[#This Row], [Mes]]=""),"",DATE(A2300,MATCH(B2300,{"enero","febrero","marzo","abril","mayo","junio","julio","agosto","septiembre","octubre","noviembre","diciembre"},0)+1,0))</f>
        <v/>
      </c>
      <c r="E2300" t="str">
        <f>+IFERROR(VLOOKUP(Fact_Impuestos[[#This Row], [Concepto Anterior]],Conceptos_Impuestos[#All],5,0),"")</f>
        <v/>
      </c>
      <c r="F2300" t="str">
        <f>+IFERROR(VLOOKUP(Fact_Impuestos[[#This Row], 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ht="18.75" customHeight="1" x14ac:dyDescent="0.35">
      <c r="C2301" s="100" t="str">
        <f>IF(OR(Fact_Impuestos[[#This Row], [Año]]="",Fact_Impuestos[[#This Row], [Mes]]=""),"",DATE(A2301,MATCH(B2301,{"enero","febrero","marzo","abril","mayo","junio","julio","agosto","septiembre","octubre","noviembre","diciembre"},0)+1,0))</f>
        <v/>
      </c>
      <c r="E2301" t="str">
        <f>+IFERROR(VLOOKUP(Fact_Impuestos[[#This Row], [Concepto Anterior]],Conceptos_Impuestos[#All],5,0),"")</f>
        <v/>
      </c>
      <c r="F2301" t="str">
        <f>+IFERROR(VLOOKUP(Fact_Impuestos[[#This Row], 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ht="18.75" customHeight="1" x14ac:dyDescent="0.35">
      <c r="C2302" s="100" t="str">
        <f>IF(OR(Fact_Impuestos[[#This Row], [Año]]="",Fact_Impuestos[[#This Row], [Mes]]=""),"",DATE(A2302,MATCH(B2302,{"enero","febrero","marzo","abril","mayo","junio","julio","agosto","septiembre","octubre","noviembre","diciembre"},0)+1,0))</f>
        <v/>
      </c>
      <c r="E2302" t="str">
        <f>+IFERROR(VLOOKUP(Fact_Impuestos[[#This Row], [Concepto Anterior]],Conceptos_Impuestos[#All],5,0),"")</f>
        <v/>
      </c>
      <c r="F2302" t="str">
        <f>+IFERROR(VLOOKUP(Fact_Impuestos[[#This Row], 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ht="18.75" customHeight="1" x14ac:dyDescent="0.35">
      <c r="C2303" s="100" t="str">
        <f>IF(OR(Fact_Impuestos[[#This Row], [Año]]="",Fact_Impuestos[[#This Row], [Mes]]=""),"",DATE(A2303,MATCH(B2303,{"enero","febrero","marzo","abril","mayo","junio","julio","agosto","septiembre","octubre","noviembre","diciembre"},0)+1,0))</f>
        <v/>
      </c>
      <c r="E2303" t="str">
        <f>+IFERROR(VLOOKUP(Fact_Impuestos[[#This Row], [Concepto Anterior]],Conceptos_Impuestos[#All],5,0),"")</f>
        <v/>
      </c>
      <c r="F2303" t="str">
        <f>+IFERROR(VLOOKUP(Fact_Impuestos[[#This Row], 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ht="18.75" customHeight="1" x14ac:dyDescent="0.35">
      <c r="C2304" s="100" t="str">
        <f>IF(OR(Fact_Impuestos[[#This Row], [Año]]="",Fact_Impuestos[[#This Row], [Mes]]=""),"",DATE(A2304,MATCH(B2304,{"enero","febrero","marzo","abril","mayo","junio","julio","agosto","septiembre","octubre","noviembre","diciembre"},0)+1,0))</f>
        <v/>
      </c>
      <c r="E2304" t="str">
        <f>+IFERROR(VLOOKUP(Fact_Impuestos[[#This Row], [Concepto Anterior]],Conceptos_Impuestos[#All],5,0),"")</f>
        <v/>
      </c>
      <c r="F2304" t="str">
        <f>+IFERROR(VLOOKUP(Fact_Impuestos[[#This Row], 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ht="18.75" customHeight="1" x14ac:dyDescent="0.35">
      <c r="C2305" s="100" t="str">
        <f>IF(OR(Fact_Impuestos[[#This Row], [Año]]="",Fact_Impuestos[[#This Row], [Mes]]=""),"",DATE(A2305,MATCH(B2305,{"enero","febrero","marzo","abril","mayo","junio","julio","agosto","septiembre","octubre","noviembre","diciembre"},0)+1,0))</f>
        <v/>
      </c>
      <c r="E2305" t="str">
        <f>+IFERROR(VLOOKUP(Fact_Impuestos[[#This Row], [Concepto Anterior]],Conceptos_Impuestos[#All],5,0),"")</f>
        <v/>
      </c>
      <c r="F2305" t="str">
        <f>+IFERROR(VLOOKUP(Fact_Impuestos[[#This Row], 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ht="18.75" customHeight="1" x14ac:dyDescent="0.35">
      <c r="C2306" s="100" t="str">
        <f>IF(OR(Fact_Impuestos[[#This Row], [Año]]="",Fact_Impuestos[[#This Row], [Mes]]=""),"",DATE(A2306,MATCH(B2306,{"enero","febrero","marzo","abril","mayo","junio","julio","agosto","septiembre","octubre","noviembre","diciembre"},0)+1,0))</f>
        <v/>
      </c>
      <c r="E2306" t="str">
        <f>+IFERROR(VLOOKUP(Fact_Impuestos[[#This Row], [Concepto Anterior]],Conceptos_Impuestos[#All],5,0),"")</f>
        <v/>
      </c>
      <c r="F2306" t="str">
        <f>+IFERROR(VLOOKUP(Fact_Impuestos[[#This Row], 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ht="18.75" customHeight="1" x14ac:dyDescent="0.35">
      <c r="C2307" s="100" t="str">
        <f>IF(OR(Fact_Impuestos[[#This Row], [Año]]="",Fact_Impuestos[[#This Row], [Mes]]=""),"",DATE(A2307,MATCH(B2307,{"enero","febrero","marzo","abril","mayo","junio","julio","agosto","septiembre","octubre","noviembre","diciembre"},0)+1,0))</f>
        <v/>
      </c>
      <c r="E2307" t="str">
        <f>+IFERROR(VLOOKUP(Fact_Impuestos[[#This Row], [Concepto Anterior]],Conceptos_Impuestos[#All],5,0),"")</f>
        <v/>
      </c>
      <c r="F2307" t="str">
        <f>+IFERROR(VLOOKUP(Fact_Impuestos[[#This Row], 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ht="18.75" customHeight="1" x14ac:dyDescent="0.35">
      <c r="C2308" s="100" t="str">
        <f>IF(OR(Fact_Impuestos[[#This Row], [Año]]="",Fact_Impuestos[[#This Row], [Mes]]=""),"",DATE(A2308,MATCH(B2308,{"enero","febrero","marzo","abril","mayo","junio","julio","agosto","septiembre","octubre","noviembre","diciembre"},0)+1,0))</f>
        <v/>
      </c>
      <c r="E2308" t="str">
        <f>+IFERROR(VLOOKUP(Fact_Impuestos[[#This Row], [Concepto Anterior]],Conceptos_Impuestos[#All],5,0),"")</f>
        <v/>
      </c>
      <c r="F2308" t="str">
        <f>+IFERROR(VLOOKUP(Fact_Impuestos[[#This Row], 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ht="18.75" customHeight="1" x14ac:dyDescent="0.35">
      <c r="C2309" s="100" t="str">
        <f>IF(OR(Fact_Impuestos[[#This Row], [Año]]="",Fact_Impuestos[[#This Row], [Mes]]=""),"",DATE(A2309,MATCH(B2309,{"enero","febrero","marzo","abril","mayo","junio","julio","agosto","septiembre","octubre","noviembre","diciembre"},0)+1,0))</f>
        <v/>
      </c>
      <c r="E2309" t="str">
        <f>+IFERROR(VLOOKUP(Fact_Impuestos[[#This Row], [Concepto Anterior]],Conceptos_Impuestos[#All],5,0),"")</f>
        <v/>
      </c>
      <c r="F2309" t="str">
        <f>+IFERROR(VLOOKUP(Fact_Impuestos[[#This Row], 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ht="18.75" customHeight="1" x14ac:dyDescent="0.35">
      <c r="C2310" s="100" t="str">
        <f>IF(OR(Fact_Impuestos[[#This Row], [Año]]="",Fact_Impuestos[[#This Row], [Mes]]=""),"",DATE(A2310,MATCH(B2310,{"enero","febrero","marzo","abril","mayo","junio","julio","agosto","septiembre","octubre","noviembre","diciembre"},0)+1,0))</f>
        <v/>
      </c>
      <c r="E2310" t="str">
        <f>+IFERROR(VLOOKUP(Fact_Impuestos[[#This Row], [Concepto Anterior]],Conceptos_Impuestos[#All],5,0),"")</f>
        <v/>
      </c>
      <c r="F2310" t="str">
        <f>+IFERROR(VLOOKUP(Fact_Impuestos[[#This Row], 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ht="18.75" customHeight="1" x14ac:dyDescent="0.35">
      <c r="C2311" s="100" t="str">
        <f>IF(OR(Fact_Impuestos[[#This Row], [Año]]="",Fact_Impuestos[[#This Row], [Mes]]=""),"",DATE(A2311,MATCH(B2311,{"enero","febrero","marzo","abril","mayo","junio","julio","agosto","septiembre","octubre","noviembre","diciembre"},0)+1,0))</f>
        <v/>
      </c>
      <c r="E2311" t="str">
        <f>+IFERROR(VLOOKUP(Fact_Impuestos[[#This Row], [Concepto Anterior]],Conceptos_Impuestos[#All],5,0),"")</f>
        <v/>
      </c>
      <c r="F2311" t="str">
        <f>+IFERROR(VLOOKUP(Fact_Impuestos[[#This Row], 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ht="18.75" customHeight="1" x14ac:dyDescent="0.35">
      <c r="C2312" s="100" t="str">
        <f>IF(OR(Fact_Impuestos[[#This Row], [Año]]="",Fact_Impuestos[[#This Row], [Mes]]=""),"",DATE(A2312,MATCH(B2312,{"enero","febrero","marzo","abril","mayo","junio","julio","agosto","septiembre","octubre","noviembre","diciembre"},0)+1,0))</f>
        <v/>
      </c>
      <c r="E2312" t="str">
        <f>+IFERROR(VLOOKUP(Fact_Impuestos[[#This Row], [Concepto Anterior]],Conceptos_Impuestos[#All],5,0),"")</f>
        <v/>
      </c>
      <c r="F2312" t="str">
        <f>+IFERROR(VLOOKUP(Fact_Impuestos[[#This Row], 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ht="18.75" customHeight="1" x14ac:dyDescent="0.35">
      <c r="C2313" s="100" t="str">
        <f>IF(OR(Fact_Impuestos[[#This Row], [Año]]="",Fact_Impuestos[[#This Row], [Mes]]=""),"",DATE(A2313,MATCH(B2313,{"enero","febrero","marzo","abril","mayo","junio","julio","agosto","septiembre","octubre","noviembre","diciembre"},0)+1,0))</f>
        <v/>
      </c>
      <c r="E2313" t="str">
        <f>+IFERROR(VLOOKUP(Fact_Impuestos[[#This Row], [Concepto Anterior]],Conceptos_Impuestos[#All],5,0),"")</f>
        <v/>
      </c>
      <c r="F2313" t="str">
        <f>+IFERROR(VLOOKUP(Fact_Impuestos[[#This Row], 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ht="18.75" customHeight="1" x14ac:dyDescent="0.35">
      <c r="C2314" s="100" t="str">
        <f>IF(OR(Fact_Impuestos[[#This Row], [Año]]="",Fact_Impuestos[[#This Row], [Mes]]=""),"",DATE(A2314,MATCH(B2314,{"enero","febrero","marzo","abril","mayo","junio","julio","agosto","septiembre","octubre","noviembre","diciembre"},0)+1,0))</f>
        <v/>
      </c>
      <c r="E2314" t="str">
        <f>+IFERROR(VLOOKUP(Fact_Impuestos[[#This Row], [Concepto Anterior]],Conceptos_Impuestos[#All],5,0),"")</f>
        <v/>
      </c>
      <c r="F2314" t="str">
        <f>+IFERROR(VLOOKUP(Fact_Impuestos[[#This Row], 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ht="18.75" customHeight="1" x14ac:dyDescent="0.35">
      <c r="C2315" s="100" t="str">
        <f>IF(OR(Fact_Impuestos[[#This Row], [Año]]="",Fact_Impuestos[[#This Row], [Mes]]=""),"",DATE(A2315,MATCH(B2315,{"enero","febrero","marzo","abril","mayo","junio","julio","agosto","septiembre","octubre","noviembre","diciembre"},0)+1,0))</f>
        <v/>
      </c>
      <c r="E2315" t="str">
        <f>+IFERROR(VLOOKUP(Fact_Impuestos[[#This Row], [Concepto Anterior]],Conceptos_Impuestos[#All],5,0),"")</f>
        <v/>
      </c>
      <c r="F2315" t="str">
        <f>+IFERROR(VLOOKUP(Fact_Impuestos[[#This Row], 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ht="18.75" customHeight="1" x14ac:dyDescent="0.35">
      <c r="C2316" s="100" t="str">
        <f>IF(OR(Fact_Impuestos[[#This Row], [Año]]="",Fact_Impuestos[[#This Row], [Mes]]=""),"",DATE(A2316,MATCH(B2316,{"enero","febrero","marzo","abril","mayo","junio","julio","agosto","septiembre","octubre","noviembre","diciembre"},0)+1,0))</f>
        <v/>
      </c>
      <c r="E2316" t="str">
        <f>+IFERROR(VLOOKUP(Fact_Impuestos[[#This Row], [Concepto Anterior]],Conceptos_Impuestos[#All],5,0),"")</f>
        <v/>
      </c>
      <c r="F2316" t="str">
        <f>+IFERROR(VLOOKUP(Fact_Impuestos[[#This Row], 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ht="18.75" customHeight="1" x14ac:dyDescent="0.35">
      <c r="C2317" s="100" t="str">
        <f>IF(OR(Fact_Impuestos[[#This Row], [Año]]="",Fact_Impuestos[[#This Row], [Mes]]=""),"",DATE(A2317,MATCH(B2317,{"enero","febrero","marzo","abril","mayo","junio","julio","agosto","septiembre","octubre","noviembre","diciembre"},0)+1,0))</f>
        <v/>
      </c>
      <c r="E2317" t="str">
        <f>+IFERROR(VLOOKUP(Fact_Impuestos[[#This Row], [Concepto Anterior]],Conceptos_Impuestos[#All],5,0),"")</f>
        <v/>
      </c>
      <c r="F2317" t="str">
        <f>+IFERROR(VLOOKUP(Fact_Impuestos[[#This Row], 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ht="18.75" customHeight="1" x14ac:dyDescent="0.35">
      <c r="C2318" s="100" t="str">
        <f>IF(OR(Fact_Impuestos[[#This Row], [Año]]="",Fact_Impuestos[[#This Row], [Mes]]=""),"",DATE(A2318,MATCH(B2318,{"enero","febrero","marzo","abril","mayo","junio","julio","agosto","septiembre","octubre","noviembre","diciembre"},0)+1,0))</f>
        <v/>
      </c>
      <c r="E2318" t="str">
        <f>+IFERROR(VLOOKUP(Fact_Impuestos[[#This Row], [Concepto Anterior]],Conceptos_Impuestos[#All],5,0),"")</f>
        <v/>
      </c>
      <c r="F2318" t="str">
        <f>+IFERROR(VLOOKUP(Fact_Impuestos[[#This Row], 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ht="18.75" customHeight="1" x14ac:dyDescent="0.35">
      <c r="C2319" s="100" t="str">
        <f>IF(OR(Fact_Impuestos[[#This Row], [Año]]="",Fact_Impuestos[[#This Row], [Mes]]=""),"",DATE(A2319,MATCH(B2319,{"enero","febrero","marzo","abril","mayo","junio","julio","agosto","septiembre","octubre","noviembre","diciembre"},0)+1,0))</f>
        <v/>
      </c>
      <c r="E2319" t="str">
        <f>+IFERROR(VLOOKUP(Fact_Impuestos[[#This Row], [Concepto Anterior]],Conceptos_Impuestos[#All],5,0),"")</f>
        <v/>
      </c>
      <c r="F2319" t="str">
        <f>+IFERROR(VLOOKUP(Fact_Impuestos[[#This Row], 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ht="18.75" customHeight="1" x14ac:dyDescent="0.35">
      <c r="C2320" s="100" t="str">
        <f>IF(OR(Fact_Impuestos[[#This Row], [Año]]="",Fact_Impuestos[[#This Row], [Mes]]=""),"",DATE(A2320,MATCH(B2320,{"enero","febrero","marzo","abril","mayo","junio","julio","agosto","septiembre","octubre","noviembre","diciembre"},0)+1,0))</f>
        <v/>
      </c>
      <c r="E2320" t="str">
        <f>+IFERROR(VLOOKUP(Fact_Impuestos[[#This Row], [Concepto Anterior]],Conceptos_Impuestos[#All],5,0),"")</f>
        <v/>
      </c>
      <c r="F2320" t="str">
        <f>+IFERROR(VLOOKUP(Fact_Impuestos[[#This Row], 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ht="18.75" customHeight="1" x14ac:dyDescent="0.35">
      <c r="C2321" s="100" t="str">
        <f>IF(OR(Fact_Impuestos[[#This Row], [Año]]="",Fact_Impuestos[[#This Row], [Mes]]=""),"",DATE(A2321,MATCH(B2321,{"enero","febrero","marzo","abril","mayo","junio","julio","agosto","septiembre","octubre","noviembre","diciembre"},0)+1,0))</f>
        <v/>
      </c>
      <c r="E2321" t="str">
        <f>+IFERROR(VLOOKUP(Fact_Impuestos[[#This Row], [Concepto Anterior]],Conceptos_Impuestos[#All],5,0),"")</f>
        <v/>
      </c>
      <c r="F2321" t="str">
        <f>+IFERROR(VLOOKUP(Fact_Impuestos[[#This Row], 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ht="18.75" customHeight="1" x14ac:dyDescent="0.35">
      <c r="C2322" s="100" t="str">
        <f>IF(OR(Fact_Impuestos[[#This Row], [Año]]="",Fact_Impuestos[[#This Row], [Mes]]=""),"",DATE(A2322,MATCH(B2322,{"enero","febrero","marzo","abril","mayo","junio","julio","agosto","septiembre","octubre","noviembre","diciembre"},0)+1,0))</f>
        <v/>
      </c>
      <c r="E2322" t="str">
        <f>+IFERROR(VLOOKUP(Fact_Impuestos[[#This Row], [Concepto Anterior]],Conceptos_Impuestos[#All],5,0),"")</f>
        <v/>
      </c>
      <c r="F2322" t="str">
        <f>+IFERROR(VLOOKUP(Fact_Impuestos[[#This Row], 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ht="18.75" customHeight="1" x14ac:dyDescent="0.35">
      <c r="C2323" s="100" t="str">
        <f>IF(OR(Fact_Impuestos[[#This Row], [Año]]="",Fact_Impuestos[[#This Row], [Mes]]=""),"",DATE(A2323,MATCH(B2323,{"enero","febrero","marzo","abril","mayo","junio","julio","agosto","septiembre","octubre","noviembre","diciembre"},0)+1,0))</f>
        <v/>
      </c>
      <c r="E2323" t="str">
        <f>+IFERROR(VLOOKUP(Fact_Impuestos[[#This Row], [Concepto Anterior]],Conceptos_Impuestos[#All],5,0),"")</f>
        <v/>
      </c>
      <c r="F2323" t="str">
        <f>+IFERROR(VLOOKUP(Fact_Impuestos[[#This Row], 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ht="18.75" customHeight="1" x14ac:dyDescent="0.35">
      <c r="C2324" s="100" t="str">
        <f>IF(OR(Fact_Impuestos[[#This Row], [Año]]="",Fact_Impuestos[[#This Row], [Mes]]=""),"",DATE(A2324,MATCH(B2324,{"enero","febrero","marzo","abril","mayo","junio","julio","agosto","septiembre","octubre","noviembre","diciembre"},0)+1,0))</f>
        <v/>
      </c>
      <c r="E2324" t="str">
        <f>+IFERROR(VLOOKUP(Fact_Impuestos[[#This Row], [Concepto Anterior]],Conceptos_Impuestos[#All],5,0),"")</f>
        <v/>
      </c>
      <c r="F2324" t="str">
        <f>+IFERROR(VLOOKUP(Fact_Impuestos[[#This Row], 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ht="18.75" customHeight="1" x14ac:dyDescent="0.35">
      <c r="C2325" s="100" t="str">
        <f>IF(OR(Fact_Impuestos[[#This Row], [Año]]="",Fact_Impuestos[[#This Row], [Mes]]=""),"",DATE(A2325,MATCH(B2325,{"enero","febrero","marzo","abril","mayo","junio","julio","agosto","septiembre","octubre","noviembre","diciembre"},0)+1,0))</f>
        <v/>
      </c>
      <c r="E2325" t="str">
        <f>+IFERROR(VLOOKUP(Fact_Impuestos[[#This Row], [Concepto Anterior]],Conceptos_Impuestos[#All],5,0),"")</f>
        <v/>
      </c>
      <c r="F2325" t="str">
        <f>+IFERROR(VLOOKUP(Fact_Impuestos[[#This Row], 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ht="18.75" customHeight="1" x14ac:dyDescent="0.35">
      <c r="C2326" s="100" t="str">
        <f>IF(OR(Fact_Impuestos[[#This Row], [Año]]="",Fact_Impuestos[[#This Row], [Mes]]=""),"",DATE(A2326,MATCH(B2326,{"enero","febrero","marzo","abril","mayo","junio","julio","agosto","septiembre","octubre","noviembre","diciembre"},0)+1,0))</f>
        <v/>
      </c>
      <c r="E2326" t="str">
        <f>+IFERROR(VLOOKUP(Fact_Impuestos[[#This Row], [Concepto Anterior]],Conceptos_Impuestos[#All],5,0),"")</f>
        <v/>
      </c>
      <c r="F2326" t="str">
        <f>+IFERROR(VLOOKUP(Fact_Impuestos[[#This Row], 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ht="18.75" customHeight="1" x14ac:dyDescent="0.35">
      <c r="C2327" s="100" t="str">
        <f>IF(OR(Fact_Impuestos[[#This Row], [Año]]="",Fact_Impuestos[[#This Row], [Mes]]=""),"",DATE(A2327,MATCH(B2327,{"enero","febrero","marzo","abril","mayo","junio","julio","agosto","septiembre","octubre","noviembre","diciembre"},0)+1,0))</f>
        <v/>
      </c>
      <c r="E2327" t="str">
        <f>+IFERROR(VLOOKUP(Fact_Impuestos[[#This Row], [Concepto Anterior]],Conceptos_Impuestos[#All],5,0),"")</f>
        <v/>
      </c>
      <c r="F2327" t="str">
        <f>+IFERROR(VLOOKUP(Fact_Impuestos[[#This Row], 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ht="18.75" customHeight="1" x14ac:dyDescent="0.35">
      <c r="C2328" s="100" t="str">
        <f>IF(OR(Fact_Impuestos[[#This Row], [Año]]="",Fact_Impuestos[[#This Row], [Mes]]=""),"",DATE(A2328,MATCH(B2328,{"enero","febrero","marzo","abril","mayo","junio","julio","agosto","septiembre","octubre","noviembre","diciembre"},0)+1,0))</f>
        <v/>
      </c>
      <c r="E2328" t="str">
        <f>+IFERROR(VLOOKUP(Fact_Impuestos[[#This Row], [Concepto Anterior]],Conceptos_Impuestos[#All],5,0),"")</f>
        <v/>
      </c>
      <c r="F2328" t="str">
        <f>+IFERROR(VLOOKUP(Fact_Impuestos[[#This Row], 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ht="18.75" customHeight="1" x14ac:dyDescent="0.35">
      <c r="C2329" s="100" t="str">
        <f>IF(OR(Fact_Impuestos[[#This Row], [Año]]="",Fact_Impuestos[[#This Row], [Mes]]=""),"",DATE(A2329,MATCH(B2329,{"enero","febrero","marzo","abril","mayo","junio","julio","agosto","septiembre","octubre","noviembre","diciembre"},0)+1,0))</f>
        <v/>
      </c>
      <c r="E2329" t="str">
        <f>+IFERROR(VLOOKUP(Fact_Impuestos[[#This Row], [Concepto Anterior]],Conceptos_Impuestos[#All],5,0),"")</f>
        <v/>
      </c>
      <c r="F2329" t="str">
        <f>+IFERROR(VLOOKUP(Fact_Impuestos[[#This Row], 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ht="18.75" customHeight="1" x14ac:dyDescent="0.35">
      <c r="C2330" s="100" t="str">
        <f>IF(OR(Fact_Impuestos[[#This Row], [Año]]="",Fact_Impuestos[[#This Row], [Mes]]=""),"",DATE(A2330,MATCH(B2330,{"enero","febrero","marzo","abril","mayo","junio","julio","agosto","septiembre","octubre","noviembre","diciembre"},0)+1,0))</f>
        <v/>
      </c>
      <c r="E2330" t="str">
        <f>+IFERROR(VLOOKUP(Fact_Impuestos[[#This Row], [Concepto Anterior]],Conceptos_Impuestos[#All],5,0),"")</f>
        <v/>
      </c>
      <c r="F2330" t="str">
        <f>+IFERROR(VLOOKUP(Fact_Impuestos[[#This Row], 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ht="18.75" customHeight="1" x14ac:dyDescent="0.35">
      <c r="C2331" s="100" t="str">
        <f>IF(OR(Fact_Impuestos[[#This Row], [Año]]="",Fact_Impuestos[[#This Row], [Mes]]=""),"",DATE(A2331,MATCH(B2331,{"enero","febrero","marzo","abril","mayo","junio","julio","agosto","septiembre","octubre","noviembre","diciembre"},0)+1,0))</f>
        <v/>
      </c>
      <c r="E2331" t="str">
        <f>+IFERROR(VLOOKUP(Fact_Impuestos[[#This Row], [Concepto Anterior]],Conceptos_Impuestos[#All],5,0),"")</f>
        <v/>
      </c>
      <c r="F2331" t="str">
        <f>+IFERROR(VLOOKUP(Fact_Impuestos[[#This Row], 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ht="18.75" customHeight="1" x14ac:dyDescent="0.35">
      <c r="C2332" s="100" t="str">
        <f>IF(OR(Fact_Impuestos[[#This Row], [Año]]="",Fact_Impuestos[[#This Row], [Mes]]=""),"",DATE(A2332,MATCH(B2332,{"enero","febrero","marzo","abril","mayo","junio","julio","agosto","septiembre","octubre","noviembre","diciembre"},0)+1,0))</f>
        <v/>
      </c>
      <c r="E2332" t="str">
        <f>+IFERROR(VLOOKUP(Fact_Impuestos[[#This Row], [Concepto Anterior]],Conceptos_Impuestos[#All],5,0),"")</f>
        <v/>
      </c>
      <c r="F2332" t="str">
        <f>+IFERROR(VLOOKUP(Fact_Impuestos[[#This Row], 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ht="18.75" customHeight="1" x14ac:dyDescent="0.35">
      <c r="C2333" s="100" t="str">
        <f>IF(OR(Fact_Impuestos[[#This Row], [Año]]="",Fact_Impuestos[[#This Row], [Mes]]=""),"",DATE(A2333,MATCH(B2333,{"enero","febrero","marzo","abril","mayo","junio","julio","agosto","septiembre","octubre","noviembre","diciembre"},0)+1,0))</f>
        <v/>
      </c>
      <c r="E2333" t="str">
        <f>+IFERROR(VLOOKUP(Fact_Impuestos[[#This Row], [Concepto Anterior]],Conceptos_Impuestos[#All],5,0),"")</f>
        <v/>
      </c>
      <c r="F2333" t="str">
        <f>+IFERROR(VLOOKUP(Fact_Impuestos[[#This Row], 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ht="18.75" customHeight="1" x14ac:dyDescent="0.35">
      <c r="C2334" s="100" t="str">
        <f>IF(OR(Fact_Impuestos[[#This Row], [Año]]="",Fact_Impuestos[[#This Row], [Mes]]=""),"",DATE(A2334,MATCH(B2334,{"enero","febrero","marzo","abril","mayo","junio","julio","agosto","septiembre","octubre","noviembre","diciembre"},0)+1,0))</f>
        <v/>
      </c>
      <c r="E2334" t="str">
        <f>+IFERROR(VLOOKUP(Fact_Impuestos[[#This Row], [Concepto Anterior]],Conceptos_Impuestos[#All],5,0),"")</f>
        <v/>
      </c>
      <c r="F2334" t="str">
        <f>+IFERROR(VLOOKUP(Fact_Impuestos[[#This Row], 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ht="18.75" customHeight="1" x14ac:dyDescent="0.35">
      <c r="C2335" s="100" t="str">
        <f>IF(OR(Fact_Impuestos[[#This Row], [Año]]="",Fact_Impuestos[[#This Row], [Mes]]=""),"",DATE(A2335,MATCH(B2335,{"enero","febrero","marzo","abril","mayo","junio","julio","agosto","septiembre","octubre","noviembre","diciembre"},0)+1,0))</f>
        <v/>
      </c>
      <c r="E2335" t="str">
        <f>+IFERROR(VLOOKUP(Fact_Impuestos[[#This Row], [Concepto Anterior]],Conceptos_Impuestos[#All],5,0),"")</f>
        <v/>
      </c>
      <c r="F2335" t="str">
        <f>+IFERROR(VLOOKUP(Fact_Impuestos[[#This Row], 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ht="18.75" customHeight="1" x14ac:dyDescent="0.35">
      <c r="C2336" s="100" t="str">
        <f>IF(OR(Fact_Impuestos[[#This Row], [Año]]="",Fact_Impuestos[[#This Row], [Mes]]=""),"",DATE(A2336,MATCH(B2336,{"enero","febrero","marzo","abril","mayo","junio","julio","agosto","septiembre","octubre","noviembre","diciembre"},0)+1,0))</f>
        <v/>
      </c>
      <c r="E2336" t="str">
        <f>+IFERROR(VLOOKUP(Fact_Impuestos[[#This Row], [Concepto Anterior]],Conceptos_Impuestos[#All],5,0),"")</f>
        <v/>
      </c>
      <c r="F2336" t="str">
        <f>+IFERROR(VLOOKUP(Fact_Impuestos[[#This Row], 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ht="18.75" customHeight="1" x14ac:dyDescent="0.35">
      <c r="C2337" s="100" t="str">
        <f>IF(OR(Fact_Impuestos[[#This Row], [Año]]="",Fact_Impuestos[[#This Row], [Mes]]=""),"",DATE(A2337,MATCH(B2337,{"enero","febrero","marzo","abril","mayo","junio","julio","agosto","septiembre","octubre","noviembre","diciembre"},0)+1,0))</f>
        <v/>
      </c>
      <c r="E2337" t="str">
        <f>+IFERROR(VLOOKUP(Fact_Impuestos[[#This Row], [Concepto Anterior]],Conceptos_Impuestos[#All],5,0),"")</f>
        <v/>
      </c>
      <c r="F2337" t="str">
        <f>+IFERROR(VLOOKUP(Fact_Impuestos[[#This Row], 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ht="18.75" customHeight="1" x14ac:dyDescent="0.35">
      <c r="C2338" s="100" t="str">
        <f>IF(OR(Fact_Impuestos[[#This Row], [Año]]="",Fact_Impuestos[[#This Row], [Mes]]=""),"",DATE(A2338,MATCH(B2338,{"enero","febrero","marzo","abril","mayo","junio","julio","agosto","septiembre","octubre","noviembre","diciembre"},0)+1,0))</f>
        <v/>
      </c>
      <c r="E2338" t="str">
        <f>+IFERROR(VLOOKUP(Fact_Impuestos[[#This Row], [Concepto Anterior]],Conceptos_Impuestos[#All],5,0),"")</f>
        <v/>
      </c>
      <c r="F2338" t="str">
        <f>+IFERROR(VLOOKUP(Fact_Impuestos[[#This Row], 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ht="18.75" customHeight="1" x14ac:dyDescent="0.35">
      <c r="C2339" s="100" t="str">
        <f>IF(OR(Fact_Impuestos[[#This Row], [Año]]="",Fact_Impuestos[[#This Row], [Mes]]=""),"",DATE(A2339,MATCH(B2339,{"enero","febrero","marzo","abril","mayo","junio","julio","agosto","septiembre","octubre","noviembre","diciembre"},0)+1,0))</f>
        <v/>
      </c>
      <c r="E2339" t="str">
        <f>+IFERROR(VLOOKUP(Fact_Impuestos[[#This Row], [Concepto Anterior]],Conceptos_Impuestos[#All],5,0),"")</f>
        <v/>
      </c>
      <c r="F2339" t="str">
        <f>+IFERROR(VLOOKUP(Fact_Impuestos[[#This Row], 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ht="18.75" customHeight="1" x14ac:dyDescent="0.35">
      <c r="C2340" s="100" t="str">
        <f>IF(OR(Fact_Impuestos[[#This Row], [Año]]="",Fact_Impuestos[[#This Row], [Mes]]=""),"",DATE(A2340,MATCH(B2340,{"enero","febrero","marzo","abril","mayo","junio","julio","agosto","septiembre","octubre","noviembre","diciembre"},0)+1,0))</f>
        <v/>
      </c>
      <c r="E2340" t="str">
        <f>+IFERROR(VLOOKUP(Fact_Impuestos[[#This Row], [Concepto Anterior]],Conceptos_Impuestos[#All],5,0),"")</f>
        <v/>
      </c>
      <c r="F2340" t="str">
        <f>+IFERROR(VLOOKUP(Fact_Impuestos[[#This Row], 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ht="18.75" customHeight="1" x14ac:dyDescent="0.35">
      <c r="C2341" s="100" t="str">
        <f>IF(OR(Fact_Impuestos[[#This Row], [Año]]="",Fact_Impuestos[[#This Row], [Mes]]=""),"",DATE(A2341,MATCH(B2341,{"enero","febrero","marzo","abril","mayo","junio","julio","agosto","septiembre","octubre","noviembre","diciembre"},0)+1,0))</f>
        <v/>
      </c>
      <c r="E2341" t="str">
        <f>+IFERROR(VLOOKUP(Fact_Impuestos[[#This Row], [Concepto Anterior]],Conceptos_Impuestos[#All],5,0),"")</f>
        <v/>
      </c>
      <c r="F2341" t="str">
        <f>+IFERROR(VLOOKUP(Fact_Impuestos[[#This Row], 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ht="18.75" customHeight="1" x14ac:dyDescent="0.35">
      <c r="C2342" s="100" t="str">
        <f>IF(OR(Fact_Impuestos[[#This Row], [Año]]="",Fact_Impuestos[[#This Row], [Mes]]=""),"",DATE(A2342,MATCH(B2342,{"enero","febrero","marzo","abril","mayo","junio","julio","agosto","septiembre","octubre","noviembre","diciembre"},0)+1,0))</f>
        <v/>
      </c>
      <c r="E2342" t="str">
        <f>+IFERROR(VLOOKUP(Fact_Impuestos[[#This Row], [Concepto Anterior]],Conceptos_Impuestos[#All],5,0),"")</f>
        <v/>
      </c>
      <c r="F2342" t="str">
        <f>+IFERROR(VLOOKUP(Fact_Impuestos[[#This Row], 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ht="18.75" customHeight="1" x14ac:dyDescent="0.35">
      <c r="C2343" s="100" t="str">
        <f>IF(OR(Fact_Impuestos[[#This Row], [Año]]="",Fact_Impuestos[[#This Row], [Mes]]=""),"",DATE(A2343,MATCH(B2343,{"enero","febrero","marzo","abril","mayo","junio","julio","agosto","septiembre","octubre","noviembre","diciembre"},0)+1,0))</f>
        <v/>
      </c>
      <c r="E2343" t="str">
        <f>+IFERROR(VLOOKUP(Fact_Impuestos[[#This Row], [Concepto Anterior]],Conceptos_Impuestos[#All],5,0),"")</f>
        <v/>
      </c>
      <c r="F2343" t="str">
        <f>+IFERROR(VLOOKUP(Fact_Impuestos[[#This Row], 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ht="18.75" customHeight="1" x14ac:dyDescent="0.35">
      <c r="C2344" s="100" t="str">
        <f>IF(OR(Fact_Impuestos[[#This Row], [Año]]="",Fact_Impuestos[[#This Row], [Mes]]=""),"",DATE(A2344,MATCH(B2344,{"enero","febrero","marzo","abril","mayo","junio","julio","agosto","septiembre","octubre","noviembre","diciembre"},0)+1,0))</f>
        <v/>
      </c>
      <c r="E2344" t="str">
        <f>+IFERROR(VLOOKUP(Fact_Impuestos[[#This Row], [Concepto Anterior]],Conceptos_Impuestos[#All],5,0),"")</f>
        <v/>
      </c>
      <c r="F2344" t="str">
        <f>+IFERROR(VLOOKUP(Fact_Impuestos[[#This Row], 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ht="18.75" customHeight="1" x14ac:dyDescent="0.35">
      <c r="C2345" s="100" t="str">
        <f>IF(OR(Fact_Impuestos[[#This Row], [Año]]="",Fact_Impuestos[[#This Row], [Mes]]=""),"",DATE(A2345,MATCH(B2345,{"enero","febrero","marzo","abril","mayo","junio","julio","agosto","septiembre","octubre","noviembre","diciembre"},0)+1,0))</f>
        <v/>
      </c>
      <c r="E2345" t="str">
        <f>+IFERROR(VLOOKUP(Fact_Impuestos[[#This Row], [Concepto Anterior]],Conceptos_Impuestos[#All],5,0),"")</f>
        <v/>
      </c>
      <c r="F2345" t="str">
        <f>+IFERROR(VLOOKUP(Fact_Impuestos[[#This Row], 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ht="18.75" customHeight="1" x14ac:dyDescent="0.35">
      <c r="C2346" s="100" t="str">
        <f>IF(OR(Fact_Impuestos[[#This Row], [Año]]="",Fact_Impuestos[[#This Row], [Mes]]=""),"",DATE(A2346,MATCH(B2346,{"enero","febrero","marzo","abril","mayo","junio","julio","agosto","septiembre","octubre","noviembre","diciembre"},0)+1,0))</f>
        <v/>
      </c>
      <c r="E2346" t="str">
        <f>+IFERROR(VLOOKUP(Fact_Impuestos[[#This Row], [Concepto Anterior]],Conceptos_Impuestos[#All],5,0),"")</f>
        <v/>
      </c>
      <c r="F2346" t="str">
        <f>+IFERROR(VLOOKUP(Fact_Impuestos[[#This Row], 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ht="18.75" customHeight="1" x14ac:dyDescent="0.35">
      <c r="C2347" s="100" t="str">
        <f>IF(OR(Fact_Impuestos[[#This Row], [Año]]="",Fact_Impuestos[[#This Row], [Mes]]=""),"",DATE(A2347,MATCH(B2347,{"enero","febrero","marzo","abril","mayo","junio","julio","agosto","septiembre","octubre","noviembre","diciembre"},0)+1,0))</f>
        <v/>
      </c>
      <c r="E2347" t="str">
        <f>+IFERROR(VLOOKUP(Fact_Impuestos[[#This Row], [Concepto Anterior]],Conceptos_Impuestos[#All],5,0),"")</f>
        <v/>
      </c>
      <c r="F2347" t="str">
        <f>+IFERROR(VLOOKUP(Fact_Impuestos[[#This Row], 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ht="18.75" customHeight="1" x14ac:dyDescent="0.35">
      <c r="C2348" s="100" t="str">
        <f>IF(OR(Fact_Impuestos[[#This Row], [Año]]="",Fact_Impuestos[[#This Row], [Mes]]=""),"",DATE(A2348,MATCH(B2348,{"enero","febrero","marzo","abril","mayo","junio","julio","agosto","septiembre","octubre","noviembre","diciembre"},0)+1,0))</f>
        <v/>
      </c>
      <c r="E2348" t="str">
        <f>+IFERROR(VLOOKUP(Fact_Impuestos[[#This Row], [Concepto Anterior]],Conceptos_Impuestos[#All],5,0),"")</f>
        <v/>
      </c>
      <c r="F2348" t="str">
        <f>+IFERROR(VLOOKUP(Fact_Impuestos[[#This Row], 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ht="18.75" customHeight="1" x14ac:dyDescent="0.35">
      <c r="C2349" s="100" t="str">
        <f>IF(OR(Fact_Impuestos[[#This Row], [Año]]="",Fact_Impuestos[[#This Row], [Mes]]=""),"",DATE(A2349,MATCH(B2349,{"enero","febrero","marzo","abril","mayo","junio","julio","agosto","septiembre","octubre","noviembre","diciembre"},0)+1,0))</f>
        <v/>
      </c>
      <c r="E2349" t="str">
        <f>+IFERROR(VLOOKUP(Fact_Impuestos[[#This Row], [Concepto Anterior]],Conceptos_Impuestos[#All],5,0),"")</f>
        <v/>
      </c>
      <c r="F2349" t="str">
        <f>+IFERROR(VLOOKUP(Fact_Impuestos[[#This Row], 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ht="18.75" customHeight="1" x14ac:dyDescent="0.35">
      <c r="C2350" s="100" t="str">
        <f>IF(OR(Fact_Impuestos[[#This Row], [Año]]="",Fact_Impuestos[[#This Row], [Mes]]=""),"",DATE(A2350,MATCH(B2350,{"enero","febrero","marzo","abril","mayo","junio","julio","agosto","septiembre","octubre","noviembre","diciembre"},0)+1,0))</f>
        <v/>
      </c>
      <c r="E2350" t="str">
        <f>+IFERROR(VLOOKUP(Fact_Impuestos[[#This Row], [Concepto Anterior]],Conceptos_Impuestos[#All],5,0),"")</f>
        <v/>
      </c>
      <c r="F2350" t="str">
        <f>+IFERROR(VLOOKUP(Fact_Impuestos[[#This Row], 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ht="18.75" customHeight="1" x14ac:dyDescent="0.35">
      <c r="C2351" s="100" t="str">
        <f>IF(OR(Fact_Impuestos[[#This Row], [Año]]="",Fact_Impuestos[[#This Row], [Mes]]=""),"",DATE(A2351,MATCH(B2351,{"enero","febrero","marzo","abril","mayo","junio","julio","agosto","septiembre","octubre","noviembre","diciembre"},0)+1,0))</f>
        <v/>
      </c>
      <c r="E2351" t="str">
        <f>+IFERROR(VLOOKUP(Fact_Impuestos[[#This Row], [Concepto Anterior]],Conceptos_Impuestos[#All],5,0),"")</f>
        <v/>
      </c>
      <c r="F2351" t="str">
        <f>+IFERROR(VLOOKUP(Fact_Impuestos[[#This Row], 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ht="18.75" customHeight="1" x14ac:dyDescent="0.35">
      <c r="C2352" s="100" t="str">
        <f>IF(OR(Fact_Impuestos[[#This Row], [Año]]="",Fact_Impuestos[[#This Row], [Mes]]=""),"",DATE(A2352,MATCH(B2352,{"enero","febrero","marzo","abril","mayo","junio","julio","agosto","septiembre","octubre","noviembre","diciembre"},0)+1,0))</f>
        <v/>
      </c>
      <c r="E2352" t="str">
        <f>+IFERROR(VLOOKUP(Fact_Impuestos[[#This Row], [Concepto Anterior]],Conceptos_Impuestos[#All],5,0),"")</f>
        <v/>
      </c>
      <c r="F2352" t="str">
        <f>+IFERROR(VLOOKUP(Fact_Impuestos[[#This Row], 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ht="18.75" customHeight="1" x14ac:dyDescent="0.35">
      <c r="C2353" s="100" t="str">
        <f>IF(OR(Fact_Impuestos[[#This Row], [Año]]="",Fact_Impuestos[[#This Row], [Mes]]=""),"",DATE(A2353,MATCH(B2353,{"enero","febrero","marzo","abril","mayo","junio","julio","agosto","septiembre","octubre","noviembre","diciembre"},0)+1,0))</f>
        <v/>
      </c>
      <c r="E2353" t="str">
        <f>+IFERROR(VLOOKUP(Fact_Impuestos[[#This Row], [Concepto Anterior]],Conceptos_Impuestos[#All],5,0),"")</f>
        <v/>
      </c>
      <c r="F2353" t="str">
        <f>+IFERROR(VLOOKUP(Fact_Impuestos[[#This Row], 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ht="18.75" customHeight="1" x14ac:dyDescent="0.35">
      <c r="C2354" s="100" t="str">
        <f>IF(OR(Fact_Impuestos[[#This Row], [Año]]="",Fact_Impuestos[[#This Row], [Mes]]=""),"",DATE(A2354,MATCH(B2354,{"enero","febrero","marzo","abril","mayo","junio","julio","agosto","septiembre","octubre","noviembre","diciembre"},0)+1,0))</f>
        <v/>
      </c>
      <c r="E2354" t="str">
        <f>+IFERROR(VLOOKUP(Fact_Impuestos[[#This Row], [Concepto Anterior]],Conceptos_Impuestos[#All],5,0),"")</f>
        <v/>
      </c>
      <c r="F2354" t="str">
        <f>+IFERROR(VLOOKUP(Fact_Impuestos[[#This Row], 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ht="18.75" customHeight="1" x14ac:dyDescent="0.35">
      <c r="C2355" s="100" t="str">
        <f>IF(OR(Fact_Impuestos[[#This Row], [Año]]="",Fact_Impuestos[[#This Row], [Mes]]=""),"",DATE(A2355,MATCH(B2355,{"enero","febrero","marzo","abril","mayo","junio","julio","agosto","septiembre","octubre","noviembre","diciembre"},0)+1,0))</f>
        <v/>
      </c>
      <c r="E2355" t="str">
        <f>+IFERROR(VLOOKUP(Fact_Impuestos[[#This Row], [Concepto Anterior]],Conceptos_Impuestos[#All],5,0),"")</f>
        <v/>
      </c>
      <c r="F2355" t="str">
        <f>+IFERROR(VLOOKUP(Fact_Impuestos[[#This Row], 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ht="18.75" customHeight="1" x14ac:dyDescent="0.35">
      <c r="C2356" s="100" t="str">
        <f>IF(OR(Fact_Impuestos[[#This Row], [Año]]="",Fact_Impuestos[[#This Row], [Mes]]=""),"",DATE(A2356,MATCH(B2356,{"enero","febrero","marzo","abril","mayo","junio","julio","agosto","septiembre","octubre","noviembre","diciembre"},0)+1,0))</f>
        <v/>
      </c>
      <c r="E2356" t="str">
        <f>+IFERROR(VLOOKUP(Fact_Impuestos[[#This Row], [Concepto Anterior]],Conceptos_Impuestos[#All],5,0),"")</f>
        <v/>
      </c>
      <c r="F2356" t="str">
        <f>+IFERROR(VLOOKUP(Fact_Impuestos[[#This Row], 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ht="18.75" customHeight="1" x14ac:dyDescent="0.35">
      <c r="C2357" s="100" t="str">
        <f>IF(OR(Fact_Impuestos[[#This Row], [Año]]="",Fact_Impuestos[[#This Row], [Mes]]=""),"",DATE(A2357,MATCH(B2357,{"enero","febrero","marzo","abril","mayo","junio","julio","agosto","septiembre","octubre","noviembre","diciembre"},0)+1,0))</f>
        <v/>
      </c>
      <c r="E2357" t="str">
        <f>+IFERROR(VLOOKUP(Fact_Impuestos[[#This Row], [Concepto Anterior]],Conceptos_Impuestos[#All],5,0),"")</f>
        <v/>
      </c>
      <c r="F2357" t="str">
        <f>+IFERROR(VLOOKUP(Fact_Impuestos[[#This Row], 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ht="18.75" customHeight="1" x14ac:dyDescent="0.35">
      <c r="C2358" s="100" t="str">
        <f>IF(OR(Fact_Impuestos[[#This Row], [Año]]="",Fact_Impuestos[[#This Row], [Mes]]=""),"",DATE(A2358,MATCH(B2358,{"enero","febrero","marzo","abril","mayo","junio","julio","agosto","septiembre","octubre","noviembre","diciembre"},0)+1,0))</f>
        <v/>
      </c>
      <c r="E2358" t="str">
        <f>+IFERROR(VLOOKUP(Fact_Impuestos[[#This Row], [Concepto Anterior]],Conceptos_Impuestos[#All],5,0),"")</f>
        <v/>
      </c>
      <c r="F2358" t="str">
        <f>+IFERROR(VLOOKUP(Fact_Impuestos[[#This Row], 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ht="18.75" customHeight="1" x14ac:dyDescent="0.35">
      <c r="C2359" s="100" t="str">
        <f>IF(OR(Fact_Impuestos[[#This Row], [Año]]="",Fact_Impuestos[[#This Row], [Mes]]=""),"",DATE(A2359,MATCH(B2359,{"enero","febrero","marzo","abril","mayo","junio","julio","agosto","septiembre","octubre","noviembre","diciembre"},0)+1,0))</f>
        <v/>
      </c>
      <c r="E2359" t="str">
        <f>+IFERROR(VLOOKUP(Fact_Impuestos[[#This Row], [Concepto Anterior]],Conceptos_Impuestos[#All],5,0),"")</f>
        <v/>
      </c>
      <c r="F2359" t="str">
        <f>+IFERROR(VLOOKUP(Fact_Impuestos[[#This Row], 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ht="18.75" customHeight="1" x14ac:dyDescent="0.35">
      <c r="C2360" s="100" t="str">
        <f>IF(OR(Fact_Impuestos[[#This Row], [Año]]="",Fact_Impuestos[[#This Row], [Mes]]=""),"",DATE(A2360,MATCH(B2360,{"enero","febrero","marzo","abril","mayo","junio","julio","agosto","septiembre","octubre","noviembre","diciembre"},0)+1,0))</f>
        <v/>
      </c>
      <c r="E2360" t="str">
        <f>+IFERROR(VLOOKUP(Fact_Impuestos[[#This Row], [Concepto Anterior]],Conceptos_Impuestos[#All],5,0),"")</f>
        <v/>
      </c>
      <c r="F2360" t="str">
        <f>+IFERROR(VLOOKUP(Fact_Impuestos[[#This Row], 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ht="18.75" customHeight="1" x14ac:dyDescent="0.35">
      <c r="C2361" s="100" t="str">
        <f>IF(OR(Fact_Impuestos[[#This Row], [Año]]="",Fact_Impuestos[[#This Row], [Mes]]=""),"",DATE(A2361,MATCH(B2361,{"enero","febrero","marzo","abril","mayo","junio","julio","agosto","septiembre","octubre","noviembre","diciembre"},0)+1,0))</f>
        <v/>
      </c>
      <c r="E2361" t="str">
        <f>+IFERROR(VLOOKUP(Fact_Impuestos[[#This Row], [Concepto Anterior]],Conceptos_Impuestos[#All],5,0),"")</f>
        <v/>
      </c>
      <c r="F2361" t="str">
        <f>+IFERROR(VLOOKUP(Fact_Impuestos[[#This Row], 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ht="18.75" customHeight="1" x14ac:dyDescent="0.35">
      <c r="C2362" s="100" t="str">
        <f>IF(OR(Fact_Impuestos[[#This Row], [Año]]="",Fact_Impuestos[[#This Row], [Mes]]=""),"",DATE(A2362,MATCH(B2362,{"enero","febrero","marzo","abril","mayo","junio","julio","agosto","septiembre","octubre","noviembre","diciembre"},0)+1,0))</f>
        <v/>
      </c>
      <c r="E2362" t="str">
        <f>+IFERROR(VLOOKUP(Fact_Impuestos[[#This Row], [Concepto Anterior]],Conceptos_Impuestos[#All],5,0),"")</f>
        <v/>
      </c>
      <c r="F2362" t="str">
        <f>+IFERROR(VLOOKUP(Fact_Impuestos[[#This Row], 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ht="18.75" customHeight="1" x14ac:dyDescent="0.35">
      <c r="C2363" s="100" t="str">
        <f>IF(OR(Fact_Impuestos[[#This Row], [Año]]="",Fact_Impuestos[[#This Row], [Mes]]=""),"",DATE(A2363,MATCH(B2363,{"enero","febrero","marzo","abril","mayo","junio","julio","agosto","septiembre","octubre","noviembre","diciembre"},0)+1,0))</f>
        <v/>
      </c>
      <c r="E2363" t="str">
        <f>+IFERROR(VLOOKUP(Fact_Impuestos[[#This Row], [Concepto Anterior]],Conceptos_Impuestos[#All],5,0),"")</f>
        <v/>
      </c>
      <c r="F2363" t="str">
        <f>+IFERROR(VLOOKUP(Fact_Impuestos[[#This Row], 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ht="18.75" customHeight="1" x14ac:dyDescent="0.35">
      <c r="C2364" s="100" t="str">
        <f>IF(OR(Fact_Impuestos[[#This Row], [Año]]="",Fact_Impuestos[[#This Row], [Mes]]=""),"",DATE(A2364,MATCH(B2364,{"enero","febrero","marzo","abril","mayo","junio","julio","agosto","septiembre","octubre","noviembre","diciembre"},0)+1,0))</f>
        <v/>
      </c>
      <c r="E2364" t="str">
        <f>+IFERROR(VLOOKUP(Fact_Impuestos[[#This Row], [Concepto Anterior]],Conceptos_Impuestos[#All],5,0),"")</f>
        <v/>
      </c>
      <c r="F2364" t="str">
        <f>+IFERROR(VLOOKUP(Fact_Impuestos[[#This Row], 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ht="18.75" customHeight="1" x14ac:dyDescent="0.35">
      <c r="C2365" s="100" t="str">
        <f>IF(OR(Fact_Impuestos[[#This Row], [Año]]="",Fact_Impuestos[[#This Row], [Mes]]=""),"",DATE(A2365,MATCH(B2365,{"enero","febrero","marzo","abril","mayo","junio","julio","agosto","septiembre","octubre","noviembre","diciembre"},0)+1,0))</f>
        <v/>
      </c>
      <c r="E2365" t="str">
        <f>+IFERROR(VLOOKUP(Fact_Impuestos[[#This Row], [Concepto Anterior]],Conceptos_Impuestos[#All],5,0),"")</f>
        <v/>
      </c>
      <c r="F2365" t="str">
        <f>+IFERROR(VLOOKUP(Fact_Impuestos[[#This Row], 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ht="18.75" customHeight="1" x14ac:dyDescent="0.35">
      <c r="C2366" s="100" t="str">
        <f>IF(OR(Fact_Impuestos[[#This Row], [Año]]="",Fact_Impuestos[[#This Row], [Mes]]=""),"",DATE(A2366,MATCH(B2366,{"enero","febrero","marzo","abril","mayo","junio","julio","agosto","septiembre","octubre","noviembre","diciembre"},0)+1,0))</f>
        <v/>
      </c>
      <c r="E2366" t="str">
        <f>+IFERROR(VLOOKUP(Fact_Impuestos[[#This Row], [Concepto Anterior]],Conceptos_Impuestos[#All],5,0),"")</f>
        <v/>
      </c>
      <c r="F2366" t="str">
        <f>+IFERROR(VLOOKUP(Fact_Impuestos[[#This Row], 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ht="18.75" customHeight="1" x14ac:dyDescent="0.35">
      <c r="C2367" s="100" t="str">
        <f>IF(OR(Fact_Impuestos[[#This Row], [Año]]="",Fact_Impuestos[[#This Row], [Mes]]=""),"",DATE(A2367,MATCH(B2367,{"enero","febrero","marzo","abril","mayo","junio","julio","agosto","septiembre","octubre","noviembre","diciembre"},0)+1,0))</f>
        <v/>
      </c>
      <c r="E2367" t="str">
        <f>+IFERROR(VLOOKUP(Fact_Impuestos[[#This Row], [Concepto Anterior]],Conceptos_Impuestos[#All],5,0),"")</f>
        <v/>
      </c>
      <c r="F2367" t="str">
        <f>+IFERROR(VLOOKUP(Fact_Impuestos[[#This Row], 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ht="18.75" customHeight="1" x14ac:dyDescent="0.35">
      <c r="C2368" s="100" t="str">
        <f>IF(OR(Fact_Impuestos[[#This Row], [Año]]="",Fact_Impuestos[[#This Row], [Mes]]=""),"",DATE(A2368,MATCH(B2368,{"enero","febrero","marzo","abril","mayo","junio","julio","agosto","septiembre","octubre","noviembre","diciembre"},0)+1,0))</f>
        <v/>
      </c>
      <c r="E2368" t="str">
        <f>+IFERROR(VLOOKUP(Fact_Impuestos[[#This Row], [Concepto Anterior]],Conceptos_Impuestos[#All],5,0),"")</f>
        <v/>
      </c>
      <c r="F2368" t="str">
        <f>+IFERROR(VLOOKUP(Fact_Impuestos[[#This Row], 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ht="18.75" customHeight="1" x14ac:dyDescent="0.35">
      <c r="C2369" s="100" t="str">
        <f>IF(OR(Fact_Impuestos[[#This Row], [Año]]="",Fact_Impuestos[[#This Row], [Mes]]=""),"",DATE(A2369,MATCH(B2369,{"enero","febrero","marzo","abril","mayo","junio","julio","agosto","septiembre","octubre","noviembre","diciembre"},0)+1,0))</f>
        <v/>
      </c>
      <c r="E2369" t="str">
        <f>+IFERROR(VLOOKUP(Fact_Impuestos[[#This Row], [Concepto Anterior]],Conceptos_Impuestos[#All],5,0),"")</f>
        <v/>
      </c>
      <c r="F2369" t="str">
        <f>+IFERROR(VLOOKUP(Fact_Impuestos[[#This Row], 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ht="18.75" customHeight="1" x14ac:dyDescent="0.35">
      <c r="C2370" s="100" t="str">
        <f>IF(OR(Fact_Impuestos[[#This Row], [Año]]="",Fact_Impuestos[[#This Row], [Mes]]=""),"",DATE(A2370,MATCH(B2370,{"enero","febrero","marzo","abril","mayo","junio","julio","agosto","septiembre","octubre","noviembre","diciembre"},0)+1,0))</f>
        <v/>
      </c>
      <c r="E2370" t="str">
        <f>+IFERROR(VLOOKUP(Fact_Impuestos[[#This Row], [Concepto Anterior]],Conceptos_Impuestos[#All],5,0),"")</f>
        <v/>
      </c>
      <c r="F2370" t="str">
        <f>+IFERROR(VLOOKUP(Fact_Impuestos[[#This Row], 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ht="18.75" customHeight="1" x14ac:dyDescent="0.35">
      <c r="C2371" s="100" t="str">
        <f>IF(OR(Fact_Impuestos[[#This Row], [Año]]="",Fact_Impuestos[[#This Row], [Mes]]=""),"",DATE(A2371,MATCH(B2371,{"enero","febrero","marzo","abril","mayo","junio","julio","agosto","septiembre","octubre","noviembre","diciembre"},0)+1,0))</f>
        <v/>
      </c>
      <c r="E2371" t="str">
        <f>+IFERROR(VLOOKUP(Fact_Impuestos[[#This Row], [Concepto Anterior]],Conceptos_Impuestos[#All],5,0),"")</f>
        <v/>
      </c>
      <c r="F2371" t="str">
        <f>+IFERROR(VLOOKUP(Fact_Impuestos[[#This Row], 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ht="18.75" customHeight="1" x14ac:dyDescent="0.35">
      <c r="C2372" s="100" t="str">
        <f>IF(OR(Fact_Impuestos[[#This Row], [Año]]="",Fact_Impuestos[[#This Row], [Mes]]=""),"",DATE(A2372,MATCH(B2372,{"enero","febrero","marzo","abril","mayo","junio","julio","agosto","septiembre","octubre","noviembre","diciembre"},0)+1,0))</f>
        <v/>
      </c>
      <c r="E2372" t="str">
        <f>+IFERROR(VLOOKUP(Fact_Impuestos[[#This Row], [Concepto Anterior]],Conceptos_Impuestos[#All],5,0),"")</f>
        <v/>
      </c>
      <c r="F2372" t="str">
        <f>+IFERROR(VLOOKUP(Fact_Impuestos[[#This Row], 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ht="18.75" customHeight="1" x14ac:dyDescent="0.35">
      <c r="C2373" s="100" t="str">
        <f>IF(OR(Fact_Impuestos[[#This Row], [Año]]="",Fact_Impuestos[[#This Row], [Mes]]=""),"",DATE(A2373,MATCH(B2373,{"enero","febrero","marzo","abril","mayo","junio","julio","agosto","septiembre","octubre","noviembre","diciembre"},0)+1,0))</f>
        <v/>
      </c>
      <c r="E2373" t="str">
        <f>+IFERROR(VLOOKUP(Fact_Impuestos[[#This Row], [Concepto Anterior]],Conceptos_Impuestos[#All],5,0),"")</f>
        <v/>
      </c>
      <c r="F2373" t="str">
        <f>+IFERROR(VLOOKUP(Fact_Impuestos[[#This Row], 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ht="18.75" customHeight="1" x14ac:dyDescent="0.35">
      <c r="C2374" s="100" t="str">
        <f>IF(OR(Fact_Impuestos[[#This Row], [Año]]="",Fact_Impuestos[[#This Row], [Mes]]=""),"",DATE(A2374,MATCH(B2374,{"enero","febrero","marzo","abril","mayo","junio","julio","agosto","septiembre","octubre","noviembre","diciembre"},0)+1,0))</f>
        <v/>
      </c>
      <c r="E2374" t="str">
        <f>+IFERROR(VLOOKUP(Fact_Impuestos[[#This Row], [Concepto Anterior]],Conceptos_Impuestos[#All],5,0),"")</f>
        <v/>
      </c>
      <c r="F2374" t="str">
        <f>+IFERROR(VLOOKUP(Fact_Impuestos[[#This Row], 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ht="18.75" customHeight="1" x14ac:dyDescent="0.35">
      <c r="C2375" s="100" t="str">
        <f>IF(OR(Fact_Impuestos[[#This Row], [Año]]="",Fact_Impuestos[[#This Row], [Mes]]=""),"",DATE(A2375,MATCH(B2375,{"enero","febrero","marzo","abril","mayo","junio","julio","agosto","septiembre","octubre","noviembre","diciembre"},0)+1,0))</f>
        <v/>
      </c>
      <c r="E2375" t="str">
        <f>+IFERROR(VLOOKUP(Fact_Impuestos[[#This Row], [Concepto Anterior]],Conceptos_Impuestos[#All],5,0),"")</f>
        <v/>
      </c>
      <c r="F2375" t="str">
        <f>+IFERROR(VLOOKUP(Fact_Impuestos[[#This Row], 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ht="18.75" customHeight="1" x14ac:dyDescent="0.35">
      <c r="C2376" s="100" t="str">
        <f>IF(OR(Fact_Impuestos[[#This Row], [Año]]="",Fact_Impuestos[[#This Row], [Mes]]=""),"",DATE(A2376,MATCH(B2376,{"enero","febrero","marzo","abril","mayo","junio","julio","agosto","septiembre","octubre","noviembre","diciembre"},0)+1,0))</f>
        <v/>
      </c>
      <c r="E2376" t="str">
        <f>+IFERROR(VLOOKUP(Fact_Impuestos[[#This Row], [Concepto Anterior]],Conceptos_Impuestos[#All],5,0),"")</f>
        <v/>
      </c>
      <c r="F2376" t="str">
        <f>+IFERROR(VLOOKUP(Fact_Impuestos[[#This Row], 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ht="18.75" customHeight="1" x14ac:dyDescent="0.35">
      <c r="C2377" s="100" t="str">
        <f>IF(OR(Fact_Impuestos[[#This Row], [Año]]="",Fact_Impuestos[[#This Row], [Mes]]=""),"",DATE(A2377,MATCH(B2377,{"enero","febrero","marzo","abril","mayo","junio","julio","agosto","septiembre","octubre","noviembre","diciembre"},0)+1,0))</f>
        <v/>
      </c>
      <c r="E2377" t="str">
        <f>+IFERROR(VLOOKUP(Fact_Impuestos[[#This Row], [Concepto Anterior]],Conceptos_Impuestos[#All],5,0),"")</f>
        <v/>
      </c>
      <c r="F2377" t="str">
        <f>+IFERROR(VLOOKUP(Fact_Impuestos[[#This Row], 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ht="18.75" customHeight="1" x14ac:dyDescent="0.35">
      <c r="C2378" s="100" t="str">
        <f>IF(OR(Fact_Impuestos[[#This Row], [Año]]="",Fact_Impuestos[[#This Row], [Mes]]=""),"",DATE(A2378,MATCH(B2378,{"enero","febrero","marzo","abril","mayo","junio","julio","agosto","septiembre","octubre","noviembre","diciembre"},0)+1,0))</f>
        <v/>
      </c>
      <c r="E2378" t="str">
        <f>+IFERROR(VLOOKUP(Fact_Impuestos[[#This Row], [Concepto Anterior]],Conceptos_Impuestos[#All],5,0),"")</f>
        <v/>
      </c>
      <c r="F2378" t="str">
        <f>+IFERROR(VLOOKUP(Fact_Impuestos[[#This Row], 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ht="18.75" customHeight="1" x14ac:dyDescent="0.35">
      <c r="C2379" s="100" t="str">
        <f>IF(OR(Fact_Impuestos[[#This Row], [Año]]="",Fact_Impuestos[[#This Row], [Mes]]=""),"",DATE(A2379,MATCH(B2379,{"enero","febrero","marzo","abril","mayo","junio","julio","agosto","septiembre","octubre","noviembre","diciembre"},0)+1,0))</f>
        <v/>
      </c>
      <c r="E2379" t="str">
        <f>+IFERROR(VLOOKUP(Fact_Impuestos[[#This Row], [Concepto Anterior]],Conceptos_Impuestos[#All],5,0),"")</f>
        <v/>
      </c>
      <c r="F2379" t="str">
        <f>+IFERROR(VLOOKUP(Fact_Impuestos[[#This Row], 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ht="18.75" customHeight="1" x14ac:dyDescent="0.35">
      <c r="C2380" s="100" t="str">
        <f>IF(OR(Fact_Impuestos[[#This Row], [Año]]="",Fact_Impuestos[[#This Row], [Mes]]=""),"",DATE(A2380,MATCH(B2380,{"enero","febrero","marzo","abril","mayo","junio","julio","agosto","septiembre","octubre","noviembre","diciembre"},0)+1,0))</f>
        <v/>
      </c>
      <c r="E2380" t="str">
        <f>+IFERROR(VLOOKUP(Fact_Impuestos[[#This Row], [Concepto Anterior]],Conceptos_Impuestos[#All],5,0),"")</f>
        <v/>
      </c>
      <c r="F2380" t="str">
        <f>+IFERROR(VLOOKUP(Fact_Impuestos[[#This Row], 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ht="18.75" customHeight="1" x14ac:dyDescent="0.35">
      <c r="C2381" s="100" t="str">
        <f>IF(OR(Fact_Impuestos[[#This Row], [Año]]="",Fact_Impuestos[[#This Row], [Mes]]=""),"",DATE(A2381,MATCH(B2381,{"enero","febrero","marzo","abril","mayo","junio","julio","agosto","septiembre","octubre","noviembre","diciembre"},0)+1,0))</f>
        <v/>
      </c>
      <c r="E2381" t="str">
        <f>+IFERROR(VLOOKUP(Fact_Impuestos[[#This Row], [Concepto Anterior]],Conceptos_Impuestos[#All],5,0),"")</f>
        <v/>
      </c>
      <c r="F2381" t="str">
        <f>+IFERROR(VLOOKUP(Fact_Impuestos[[#This Row], 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ht="18.75" customHeight="1" x14ac:dyDescent="0.35">
      <c r="C2382" s="100" t="str">
        <f>IF(OR(Fact_Impuestos[[#This Row], [Año]]="",Fact_Impuestos[[#This Row], [Mes]]=""),"",DATE(A2382,MATCH(B2382,{"enero","febrero","marzo","abril","mayo","junio","julio","agosto","septiembre","octubre","noviembre","diciembre"},0)+1,0))</f>
        <v/>
      </c>
      <c r="E2382" t="str">
        <f>+IFERROR(VLOOKUP(Fact_Impuestos[[#This Row], [Concepto Anterior]],Conceptos_Impuestos[#All],5,0),"")</f>
        <v/>
      </c>
      <c r="F2382" t="str">
        <f>+IFERROR(VLOOKUP(Fact_Impuestos[[#This Row], 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ht="18.75" customHeight="1" x14ac:dyDescent="0.35">
      <c r="C2383" s="100" t="str">
        <f>IF(OR(Fact_Impuestos[[#This Row], [Año]]="",Fact_Impuestos[[#This Row], [Mes]]=""),"",DATE(A2383,MATCH(B2383,{"enero","febrero","marzo","abril","mayo","junio","julio","agosto","septiembre","octubre","noviembre","diciembre"},0)+1,0))</f>
        <v/>
      </c>
      <c r="E2383" t="str">
        <f>+IFERROR(VLOOKUP(Fact_Impuestos[[#This Row], [Concepto Anterior]],Conceptos_Impuestos[#All],5,0),"")</f>
        <v/>
      </c>
      <c r="F2383" t="str">
        <f>+IFERROR(VLOOKUP(Fact_Impuestos[[#This Row], 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ht="18.75" customHeight="1" x14ac:dyDescent="0.35">
      <c r="C2384" s="100" t="str">
        <f>IF(OR(Fact_Impuestos[[#This Row], [Año]]="",Fact_Impuestos[[#This Row], [Mes]]=""),"",DATE(A2384,MATCH(B2384,{"enero","febrero","marzo","abril","mayo","junio","julio","agosto","septiembre","octubre","noviembre","diciembre"},0)+1,0))</f>
        <v/>
      </c>
      <c r="E2384" t="str">
        <f>+IFERROR(VLOOKUP(Fact_Impuestos[[#This Row], [Concepto Anterior]],Conceptos_Impuestos[#All],5,0),"")</f>
        <v/>
      </c>
      <c r="F2384" t="str">
        <f>+IFERROR(VLOOKUP(Fact_Impuestos[[#This Row], 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ht="18.75" customHeight="1" x14ac:dyDescent="0.35">
      <c r="C2385" s="100" t="str">
        <f>IF(OR(Fact_Impuestos[[#This Row], [Año]]="",Fact_Impuestos[[#This Row], [Mes]]=""),"",DATE(A2385,MATCH(B2385,{"enero","febrero","marzo","abril","mayo","junio","julio","agosto","septiembre","octubre","noviembre","diciembre"},0)+1,0))</f>
        <v/>
      </c>
      <c r="E2385" t="str">
        <f>+IFERROR(VLOOKUP(Fact_Impuestos[[#This Row], [Concepto Anterior]],Conceptos_Impuestos[#All],5,0),"")</f>
        <v/>
      </c>
      <c r="F2385" t="str">
        <f>+IFERROR(VLOOKUP(Fact_Impuestos[[#This Row], 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ht="18.75" customHeight="1" x14ac:dyDescent="0.35">
      <c r="C2386" s="100" t="str">
        <f>IF(OR(Fact_Impuestos[[#This Row], [Año]]="",Fact_Impuestos[[#This Row], [Mes]]=""),"",DATE(A2386,MATCH(B2386,{"enero","febrero","marzo","abril","mayo","junio","julio","agosto","septiembre","octubre","noviembre","diciembre"},0)+1,0))</f>
        <v/>
      </c>
      <c r="E2386" t="str">
        <f>+IFERROR(VLOOKUP(Fact_Impuestos[[#This Row], [Concepto Anterior]],Conceptos_Impuestos[#All],5,0),"")</f>
        <v/>
      </c>
      <c r="F2386" t="str">
        <f>+IFERROR(VLOOKUP(Fact_Impuestos[[#This Row], 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ht="18.75" customHeight="1" x14ac:dyDescent="0.35">
      <c r="C2387" s="100" t="str">
        <f>IF(OR(Fact_Impuestos[[#This Row], [Año]]="",Fact_Impuestos[[#This Row], [Mes]]=""),"",DATE(A2387,MATCH(B2387,{"enero","febrero","marzo","abril","mayo","junio","julio","agosto","septiembre","octubre","noviembre","diciembre"},0)+1,0))</f>
        <v/>
      </c>
      <c r="E2387" t="str">
        <f>+IFERROR(VLOOKUP(Fact_Impuestos[[#This Row], [Concepto Anterior]],Conceptos_Impuestos[#All],5,0),"")</f>
        <v/>
      </c>
      <c r="F2387" t="str">
        <f>+IFERROR(VLOOKUP(Fact_Impuestos[[#This Row], 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ht="18.75" customHeight="1" x14ac:dyDescent="0.35">
      <c r="C2388" s="100" t="str">
        <f>IF(OR(Fact_Impuestos[[#This Row], [Año]]="",Fact_Impuestos[[#This Row], [Mes]]=""),"",DATE(A2388,MATCH(B2388,{"enero","febrero","marzo","abril","mayo","junio","julio","agosto","septiembre","octubre","noviembre","diciembre"},0)+1,0))</f>
        <v/>
      </c>
      <c r="E2388" t="str">
        <f>+IFERROR(VLOOKUP(Fact_Impuestos[[#This Row], [Concepto Anterior]],Conceptos_Impuestos[#All],5,0),"")</f>
        <v/>
      </c>
      <c r="F2388" t="str">
        <f>+IFERROR(VLOOKUP(Fact_Impuestos[[#This Row], 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ht="18.75" customHeight="1" x14ac:dyDescent="0.35">
      <c r="C2389" s="100" t="str">
        <f>IF(OR(Fact_Impuestos[[#This Row], [Año]]="",Fact_Impuestos[[#This Row], [Mes]]=""),"",DATE(A2389,MATCH(B2389,{"enero","febrero","marzo","abril","mayo","junio","julio","agosto","septiembre","octubre","noviembre","diciembre"},0)+1,0))</f>
        <v/>
      </c>
      <c r="E2389" t="str">
        <f>+IFERROR(VLOOKUP(Fact_Impuestos[[#This Row], [Concepto Anterior]],Conceptos_Impuestos[#All],5,0),"")</f>
        <v/>
      </c>
      <c r="F2389" t="str">
        <f>+IFERROR(VLOOKUP(Fact_Impuestos[[#This Row], 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ht="18.75" customHeight="1" x14ac:dyDescent="0.35">
      <c r="C2390" s="100" t="str">
        <f>IF(OR(Fact_Impuestos[[#This Row], [Año]]="",Fact_Impuestos[[#This Row], [Mes]]=""),"",DATE(A2390,MATCH(B2390,{"enero","febrero","marzo","abril","mayo","junio","julio","agosto","septiembre","octubre","noviembre","diciembre"},0)+1,0))</f>
        <v/>
      </c>
      <c r="E2390" t="str">
        <f>+IFERROR(VLOOKUP(Fact_Impuestos[[#This Row], [Concepto Anterior]],Conceptos_Impuestos[#All],5,0),"")</f>
        <v/>
      </c>
      <c r="F2390" t="str">
        <f>+IFERROR(VLOOKUP(Fact_Impuestos[[#This Row], 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ht="18.75" customHeight="1" x14ac:dyDescent="0.35">
      <c r="C2391" s="100" t="str">
        <f>IF(OR(Fact_Impuestos[[#This Row], [Año]]="",Fact_Impuestos[[#This Row], [Mes]]=""),"",DATE(A2391,MATCH(B2391,{"enero","febrero","marzo","abril","mayo","junio","julio","agosto","septiembre","octubre","noviembre","diciembre"},0)+1,0))</f>
        <v/>
      </c>
      <c r="E2391" t="str">
        <f>+IFERROR(VLOOKUP(Fact_Impuestos[[#This Row], [Concepto Anterior]],Conceptos_Impuestos[#All],5,0),"")</f>
        <v/>
      </c>
      <c r="F2391" t="str">
        <f>+IFERROR(VLOOKUP(Fact_Impuestos[[#This Row], 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ht="18.75" customHeight="1" x14ac:dyDescent="0.35">
      <c r="C2392" s="100" t="str">
        <f>IF(OR(Fact_Impuestos[[#This Row], [Año]]="",Fact_Impuestos[[#This Row], [Mes]]=""),"",DATE(A2392,MATCH(B2392,{"enero","febrero","marzo","abril","mayo","junio","julio","agosto","septiembre","octubre","noviembre","diciembre"},0)+1,0))</f>
        <v/>
      </c>
      <c r="E2392" t="str">
        <f>+IFERROR(VLOOKUP(Fact_Impuestos[[#This Row], [Concepto Anterior]],Conceptos_Impuestos[#All],5,0),"")</f>
        <v/>
      </c>
      <c r="F2392" t="str">
        <f>+IFERROR(VLOOKUP(Fact_Impuestos[[#This Row], 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ht="18.75" customHeight="1" x14ac:dyDescent="0.35">
      <c r="C2393" s="100" t="str">
        <f>IF(OR(Fact_Impuestos[[#This Row], [Año]]="",Fact_Impuestos[[#This Row], [Mes]]=""),"",DATE(A2393,MATCH(B2393,{"enero","febrero","marzo","abril","mayo","junio","julio","agosto","septiembre","octubre","noviembre","diciembre"},0)+1,0))</f>
        <v/>
      </c>
      <c r="E2393" t="str">
        <f>+IFERROR(VLOOKUP(Fact_Impuestos[[#This Row], [Concepto Anterior]],Conceptos_Impuestos[#All],5,0),"")</f>
        <v/>
      </c>
      <c r="F2393" t="str">
        <f>+IFERROR(VLOOKUP(Fact_Impuestos[[#This Row], 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ht="18.75" customHeight="1" x14ac:dyDescent="0.35">
      <c r="C2394" s="100" t="str">
        <f>IF(OR(Fact_Impuestos[[#This Row], [Año]]="",Fact_Impuestos[[#This Row], [Mes]]=""),"",DATE(A2394,MATCH(B2394,{"enero","febrero","marzo","abril","mayo","junio","julio","agosto","septiembre","octubre","noviembre","diciembre"},0)+1,0))</f>
        <v/>
      </c>
      <c r="E2394" t="str">
        <f>+IFERROR(VLOOKUP(Fact_Impuestos[[#This Row], [Concepto Anterior]],Conceptos_Impuestos[#All],5,0),"")</f>
        <v/>
      </c>
      <c r="F2394" t="str">
        <f>+IFERROR(VLOOKUP(Fact_Impuestos[[#This Row], 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ht="18.75" customHeight="1" x14ac:dyDescent="0.35">
      <c r="C2395" s="100" t="str">
        <f>IF(OR(Fact_Impuestos[[#This Row], [Año]]="",Fact_Impuestos[[#This Row], [Mes]]=""),"",DATE(A2395,MATCH(B2395,{"enero","febrero","marzo","abril","mayo","junio","julio","agosto","septiembre","octubre","noviembre","diciembre"},0)+1,0))</f>
        <v/>
      </c>
      <c r="E2395" t="str">
        <f>+IFERROR(VLOOKUP(Fact_Impuestos[[#This Row], [Concepto Anterior]],Conceptos_Impuestos[#All],5,0),"")</f>
        <v/>
      </c>
      <c r="F2395" t="str">
        <f>+IFERROR(VLOOKUP(Fact_Impuestos[[#This Row], 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ht="18.75" customHeight="1" x14ac:dyDescent="0.35">
      <c r="C2396" s="100" t="str">
        <f>IF(OR(Fact_Impuestos[[#This Row], [Año]]="",Fact_Impuestos[[#This Row], [Mes]]=""),"",DATE(A2396,MATCH(B2396,{"enero","febrero","marzo","abril","mayo","junio","julio","agosto","septiembre","octubre","noviembre","diciembre"},0)+1,0))</f>
        <v/>
      </c>
      <c r="E2396" t="str">
        <f>+IFERROR(VLOOKUP(Fact_Impuestos[[#This Row], [Concepto Anterior]],Conceptos_Impuestos[#All],5,0),"")</f>
        <v/>
      </c>
      <c r="F2396" t="str">
        <f>+IFERROR(VLOOKUP(Fact_Impuestos[[#This Row], 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ht="18.75" customHeight="1" x14ac:dyDescent="0.35">
      <c r="C2397" s="100" t="str">
        <f>IF(OR(Fact_Impuestos[[#This Row], [Año]]="",Fact_Impuestos[[#This Row], [Mes]]=""),"",DATE(A2397,MATCH(B2397,{"enero","febrero","marzo","abril","mayo","junio","julio","agosto","septiembre","octubre","noviembre","diciembre"},0)+1,0))</f>
        <v/>
      </c>
      <c r="E2397" t="str">
        <f>+IFERROR(VLOOKUP(Fact_Impuestos[[#This Row], [Concepto Anterior]],Conceptos_Impuestos[#All],5,0),"")</f>
        <v/>
      </c>
      <c r="F2397" t="str">
        <f>+IFERROR(VLOOKUP(Fact_Impuestos[[#This Row], 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ht="18.75" customHeight="1" x14ac:dyDescent="0.35">
      <c r="C2398" s="100" t="str">
        <f>IF(OR(Fact_Impuestos[[#This Row], [Año]]="",Fact_Impuestos[[#This Row], [Mes]]=""),"",DATE(A2398,MATCH(B2398,{"enero","febrero","marzo","abril","mayo","junio","julio","agosto","septiembre","octubre","noviembre","diciembre"},0)+1,0))</f>
        <v/>
      </c>
      <c r="E2398" t="str">
        <f>+IFERROR(VLOOKUP(Fact_Impuestos[[#This Row], [Concepto Anterior]],Conceptos_Impuestos[#All],5,0),"")</f>
        <v/>
      </c>
      <c r="F2398" t="str">
        <f>+IFERROR(VLOOKUP(Fact_Impuestos[[#This Row], 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ht="18.75" customHeight="1" x14ac:dyDescent="0.35">
      <c r="C2399" s="100" t="str">
        <f>IF(OR(Fact_Impuestos[[#This Row], [Año]]="",Fact_Impuestos[[#This Row], [Mes]]=""),"",DATE(A2399,MATCH(B2399,{"enero","febrero","marzo","abril","mayo","junio","julio","agosto","septiembre","octubre","noviembre","diciembre"},0)+1,0))</f>
        <v/>
      </c>
      <c r="E2399" t="str">
        <f>+IFERROR(VLOOKUP(Fact_Impuestos[[#This Row], [Concepto Anterior]],Conceptos_Impuestos[#All],5,0),"")</f>
        <v/>
      </c>
      <c r="F2399" t="str">
        <f>+IFERROR(VLOOKUP(Fact_Impuestos[[#This Row], 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ht="18.75" customHeight="1" x14ac:dyDescent="0.35">
      <c r="C2400" s="100" t="str">
        <f>IF(OR(Fact_Impuestos[[#This Row], [Año]]="",Fact_Impuestos[[#This Row], [Mes]]=""),"",DATE(A2400,MATCH(B2400,{"enero","febrero","marzo","abril","mayo","junio","julio","agosto","septiembre","octubre","noviembre","diciembre"},0)+1,0))</f>
        <v/>
      </c>
      <c r="E2400" t="str">
        <f>+IFERROR(VLOOKUP(Fact_Impuestos[[#This Row], [Concepto Anterior]],Conceptos_Impuestos[#All],5,0),"")</f>
        <v/>
      </c>
      <c r="F2400" t="str">
        <f>+IFERROR(VLOOKUP(Fact_Impuestos[[#This Row], 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ht="18.75" customHeight="1" x14ac:dyDescent="0.35">
      <c r="C2401" s="100" t="str">
        <f>IF(OR(Fact_Impuestos[[#This Row], [Año]]="",Fact_Impuestos[[#This Row], [Mes]]=""),"",DATE(A2401,MATCH(B2401,{"enero","febrero","marzo","abril","mayo","junio","julio","agosto","septiembre","octubre","noviembre","diciembre"},0)+1,0))</f>
        <v/>
      </c>
      <c r="E2401" t="str">
        <f>+IFERROR(VLOOKUP(Fact_Impuestos[[#This Row], [Concepto Anterior]],Conceptos_Impuestos[#All],5,0),"")</f>
        <v/>
      </c>
      <c r="F2401" t="str">
        <f>+IFERROR(VLOOKUP(Fact_Impuestos[[#This Row], 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ht="18.75" customHeight="1" x14ac:dyDescent="0.35">
      <c r="C2402" s="100" t="str">
        <f>IF(OR(Fact_Impuestos[[#This Row], [Año]]="",Fact_Impuestos[[#This Row], [Mes]]=""),"",DATE(A2402,MATCH(B2402,{"enero","febrero","marzo","abril","mayo","junio","julio","agosto","septiembre","octubre","noviembre","diciembre"},0)+1,0))</f>
        <v/>
      </c>
      <c r="E2402" t="str">
        <f>+IFERROR(VLOOKUP(Fact_Impuestos[[#This Row], [Concepto Anterior]],Conceptos_Impuestos[#All],5,0),"")</f>
        <v/>
      </c>
      <c r="F2402" t="str">
        <f>+IFERROR(VLOOKUP(Fact_Impuestos[[#This Row], 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ht="18.75" customHeight="1" x14ac:dyDescent="0.35">
      <c r="C2403" s="100" t="str">
        <f>IF(OR(Fact_Impuestos[[#This Row], [Año]]="",Fact_Impuestos[[#This Row], [Mes]]=""),"",DATE(A2403,MATCH(B2403,{"enero","febrero","marzo","abril","mayo","junio","julio","agosto","septiembre","octubre","noviembre","diciembre"},0)+1,0))</f>
        <v/>
      </c>
      <c r="E2403" t="str">
        <f>+IFERROR(VLOOKUP(Fact_Impuestos[[#This Row], [Concepto Anterior]],Conceptos_Impuestos[#All],5,0),"")</f>
        <v/>
      </c>
      <c r="F2403" t="str">
        <f>+IFERROR(VLOOKUP(Fact_Impuestos[[#This Row], 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ht="18.75" customHeight="1" x14ac:dyDescent="0.35">
      <c r="C2404" s="100" t="str">
        <f>IF(OR(Fact_Impuestos[[#This Row], [Año]]="",Fact_Impuestos[[#This Row], [Mes]]=""),"",DATE(A2404,MATCH(B2404,{"enero","febrero","marzo","abril","mayo","junio","julio","agosto","septiembre","octubre","noviembre","diciembre"},0)+1,0))</f>
        <v/>
      </c>
      <c r="E2404" t="str">
        <f>+IFERROR(VLOOKUP(Fact_Impuestos[[#This Row], [Concepto Anterior]],Conceptos_Impuestos[#All],5,0),"")</f>
        <v/>
      </c>
      <c r="F2404" t="str">
        <f>+IFERROR(VLOOKUP(Fact_Impuestos[[#This Row], 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ht="18.75" customHeight="1" x14ac:dyDescent="0.35">
      <c r="C2405" s="100" t="str">
        <f>IF(OR(Fact_Impuestos[[#This Row], [Año]]="",Fact_Impuestos[[#This Row], [Mes]]=""),"",DATE(A2405,MATCH(B2405,{"enero","febrero","marzo","abril","mayo","junio","julio","agosto","septiembre","octubre","noviembre","diciembre"},0)+1,0))</f>
        <v/>
      </c>
      <c r="E2405" t="str">
        <f>+IFERROR(VLOOKUP(Fact_Impuestos[[#This Row], [Concepto Anterior]],Conceptos_Impuestos[#All],5,0),"")</f>
        <v/>
      </c>
      <c r="F2405" t="str">
        <f>+IFERROR(VLOOKUP(Fact_Impuestos[[#This Row], 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ht="18.75" customHeight="1" x14ac:dyDescent="0.35">
      <c r="C2406" s="100" t="str">
        <f>IF(OR(Fact_Impuestos[[#This Row], [Año]]="",Fact_Impuestos[[#This Row], [Mes]]=""),"",DATE(A2406,MATCH(B2406,{"enero","febrero","marzo","abril","mayo","junio","julio","agosto","septiembre","octubre","noviembre","diciembre"},0)+1,0))</f>
        <v/>
      </c>
      <c r="E2406" t="str">
        <f>+IFERROR(VLOOKUP(Fact_Impuestos[[#This Row], [Concepto Anterior]],Conceptos_Impuestos[#All],5,0),"")</f>
        <v/>
      </c>
      <c r="F2406" t="str">
        <f>+IFERROR(VLOOKUP(Fact_Impuestos[[#This Row], 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ht="18.75" customHeight="1" x14ac:dyDescent="0.35">
      <c r="C2407" s="100" t="str">
        <f>IF(OR(Fact_Impuestos[[#This Row], [Año]]="",Fact_Impuestos[[#This Row], [Mes]]=""),"",DATE(A2407,MATCH(B2407,{"enero","febrero","marzo","abril","mayo","junio","julio","agosto","septiembre","octubre","noviembre","diciembre"},0)+1,0))</f>
        <v/>
      </c>
      <c r="E2407" t="str">
        <f>+IFERROR(VLOOKUP(Fact_Impuestos[[#This Row], [Concepto Anterior]],Conceptos_Impuestos[#All],5,0),"")</f>
        <v/>
      </c>
      <c r="F2407" t="str">
        <f>+IFERROR(VLOOKUP(Fact_Impuestos[[#This Row], 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ht="18.75" customHeight="1" x14ac:dyDescent="0.35">
      <c r="C2408" s="100" t="str">
        <f>IF(OR(Fact_Impuestos[[#This Row], [Año]]="",Fact_Impuestos[[#This Row], [Mes]]=""),"",DATE(A2408,MATCH(B2408,{"enero","febrero","marzo","abril","mayo","junio","julio","agosto","septiembre","octubre","noviembre","diciembre"},0)+1,0))</f>
        <v/>
      </c>
      <c r="E2408" t="str">
        <f>+IFERROR(VLOOKUP(Fact_Impuestos[[#This Row], [Concepto Anterior]],Conceptos_Impuestos[#All],5,0),"")</f>
        <v/>
      </c>
      <c r="F2408" t="str">
        <f>+IFERROR(VLOOKUP(Fact_Impuestos[[#This Row], 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ht="18.75" customHeight="1" x14ac:dyDescent="0.35">
      <c r="C2409" s="100" t="str">
        <f>IF(OR(Fact_Impuestos[[#This Row], [Año]]="",Fact_Impuestos[[#This Row], [Mes]]=""),"",DATE(A2409,MATCH(B2409,{"enero","febrero","marzo","abril","mayo","junio","julio","agosto","septiembre","octubre","noviembre","diciembre"},0)+1,0))</f>
        <v/>
      </c>
      <c r="E2409" t="str">
        <f>+IFERROR(VLOOKUP(Fact_Impuestos[[#This Row], [Concepto Anterior]],Conceptos_Impuestos[#All],5,0),"")</f>
        <v/>
      </c>
      <c r="F2409" t="str">
        <f>+IFERROR(VLOOKUP(Fact_Impuestos[[#This Row], 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ht="18.75" customHeight="1" x14ac:dyDescent="0.35">
      <c r="C2410" s="100" t="str">
        <f>IF(OR(Fact_Impuestos[[#This Row], [Año]]="",Fact_Impuestos[[#This Row], [Mes]]=""),"",DATE(A2410,MATCH(B2410,{"enero","febrero","marzo","abril","mayo","junio","julio","agosto","septiembre","octubre","noviembre","diciembre"},0)+1,0))</f>
        <v/>
      </c>
      <c r="E2410" t="str">
        <f>+IFERROR(VLOOKUP(Fact_Impuestos[[#This Row], [Concepto Anterior]],Conceptos_Impuestos[#All],5,0),"")</f>
        <v/>
      </c>
      <c r="F2410" t="str">
        <f>+IFERROR(VLOOKUP(Fact_Impuestos[[#This Row], 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ht="18.75" customHeight="1" x14ac:dyDescent="0.35">
      <c r="C2411" s="100" t="str">
        <f>IF(OR(Fact_Impuestos[[#This Row], [Año]]="",Fact_Impuestos[[#This Row], [Mes]]=""),"",DATE(A2411,MATCH(B2411,{"enero","febrero","marzo","abril","mayo","junio","julio","agosto","septiembre","octubre","noviembre","diciembre"},0)+1,0))</f>
        <v/>
      </c>
      <c r="E2411" t="str">
        <f>+IFERROR(VLOOKUP(Fact_Impuestos[[#This Row], [Concepto Anterior]],Conceptos_Impuestos[#All],5,0),"")</f>
        <v/>
      </c>
      <c r="F2411" t="str">
        <f>+IFERROR(VLOOKUP(Fact_Impuestos[[#This Row], 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ht="18.75" customHeight="1" x14ac:dyDescent="0.35">
      <c r="C2412" s="100" t="str">
        <f>IF(OR(Fact_Impuestos[[#This Row], [Año]]="",Fact_Impuestos[[#This Row], [Mes]]=""),"",DATE(A2412,MATCH(B2412,{"enero","febrero","marzo","abril","mayo","junio","julio","agosto","septiembre","octubre","noviembre","diciembre"},0)+1,0))</f>
        <v/>
      </c>
      <c r="E2412" t="str">
        <f>+IFERROR(VLOOKUP(Fact_Impuestos[[#This Row], [Concepto Anterior]],Conceptos_Impuestos[#All],5,0),"")</f>
        <v/>
      </c>
      <c r="F2412" t="str">
        <f>+IFERROR(VLOOKUP(Fact_Impuestos[[#This Row], 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ht="18.75" customHeight="1" x14ac:dyDescent="0.35">
      <c r="C2413" s="100" t="str">
        <f>IF(OR(Fact_Impuestos[[#This Row], [Año]]="",Fact_Impuestos[[#This Row], [Mes]]=""),"",DATE(A2413,MATCH(B2413,{"enero","febrero","marzo","abril","mayo","junio","julio","agosto","septiembre","octubre","noviembre","diciembre"},0)+1,0))</f>
        <v/>
      </c>
      <c r="E2413" t="str">
        <f>+IFERROR(VLOOKUP(Fact_Impuestos[[#This Row], [Concepto Anterior]],Conceptos_Impuestos[#All],5,0),"")</f>
        <v/>
      </c>
      <c r="F2413" t="str">
        <f>+IFERROR(VLOOKUP(Fact_Impuestos[[#This Row], 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ht="18.75" customHeight="1" x14ac:dyDescent="0.35">
      <c r="C2414" s="100" t="str">
        <f>IF(OR(Fact_Impuestos[[#This Row], [Año]]="",Fact_Impuestos[[#This Row], [Mes]]=""),"",DATE(A2414,MATCH(B2414,{"enero","febrero","marzo","abril","mayo","junio","julio","agosto","septiembre","octubre","noviembre","diciembre"},0)+1,0))</f>
        <v/>
      </c>
      <c r="E2414" t="str">
        <f>+IFERROR(VLOOKUP(Fact_Impuestos[[#This Row], [Concepto Anterior]],Conceptos_Impuestos[#All],5,0),"")</f>
        <v/>
      </c>
      <c r="F2414" t="str">
        <f>+IFERROR(VLOOKUP(Fact_Impuestos[[#This Row], 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ht="18.75" customHeight="1" x14ac:dyDescent="0.35">
      <c r="C2415" s="100" t="str">
        <f>IF(OR(Fact_Impuestos[[#This Row], [Año]]="",Fact_Impuestos[[#This Row], [Mes]]=""),"",DATE(A2415,MATCH(B2415,{"enero","febrero","marzo","abril","mayo","junio","julio","agosto","septiembre","octubre","noviembre","diciembre"},0)+1,0))</f>
        <v/>
      </c>
      <c r="E2415" t="str">
        <f>+IFERROR(VLOOKUP(Fact_Impuestos[[#This Row], [Concepto Anterior]],Conceptos_Impuestos[#All],5,0),"")</f>
        <v/>
      </c>
      <c r="F2415" t="str">
        <f>+IFERROR(VLOOKUP(Fact_Impuestos[[#This Row], 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ht="18.75" customHeight="1" x14ac:dyDescent="0.35">
      <c r="C2416" s="100" t="str">
        <f>IF(OR(Fact_Impuestos[[#This Row], [Año]]="",Fact_Impuestos[[#This Row], [Mes]]=""),"",DATE(A2416,MATCH(B2416,{"enero","febrero","marzo","abril","mayo","junio","julio","agosto","septiembre","octubre","noviembre","diciembre"},0)+1,0))</f>
        <v/>
      </c>
      <c r="E2416" t="str">
        <f>+IFERROR(VLOOKUP(Fact_Impuestos[[#This Row], [Concepto Anterior]],Conceptos_Impuestos[#All],5,0),"")</f>
        <v/>
      </c>
      <c r="F2416" t="str">
        <f>+IFERROR(VLOOKUP(Fact_Impuestos[[#This Row], 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ht="18.75" customHeight="1" x14ac:dyDescent="0.35">
      <c r="C2417" s="100" t="str">
        <f>IF(OR(Fact_Impuestos[[#This Row], [Año]]="",Fact_Impuestos[[#This Row], [Mes]]=""),"",DATE(A2417,MATCH(B2417,{"enero","febrero","marzo","abril","mayo","junio","julio","agosto","septiembre","octubre","noviembre","diciembre"},0)+1,0))</f>
        <v/>
      </c>
      <c r="E2417" t="str">
        <f>+IFERROR(VLOOKUP(Fact_Impuestos[[#This Row], [Concepto Anterior]],Conceptos_Impuestos[#All],5,0),"")</f>
        <v/>
      </c>
      <c r="F2417" t="str">
        <f>+IFERROR(VLOOKUP(Fact_Impuestos[[#This Row], 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ht="18.75" customHeight="1" x14ac:dyDescent="0.35">
      <c r="C2418" s="100" t="str">
        <f>IF(OR(Fact_Impuestos[[#This Row], [Año]]="",Fact_Impuestos[[#This Row], [Mes]]=""),"",DATE(A2418,MATCH(B2418,{"enero","febrero","marzo","abril","mayo","junio","julio","agosto","septiembre","octubre","noviembre","diciembre"},0)+1,0))</f>
        <v/>
      </c>
      <c r="E2418" t="str">
        <f>+IFERROR(VLOOKUP(Fact_Impuestos[[#This Row], [Concepto Anterior]],Conceptos_Impuestos[#All],5,0),"")</f>
        <v/>
      </c>
      <c r="F2418" t="str">
        <f>+IFERROR(VLOOKUP(Fact_Impuestos[[#This Row], 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ht="18.75" customHeight="1" x14ac:dyDescent="0.35">
      <c r="C2419" s="100" t="str">
        <f>IF(OR(Fact_Impuestos[[#This Row], [Año]]="",Fact_Impuestos[[#This Row], [Mes]]=""),"",DATE(A2419,MATCH(B2419,{"enero","febrero","marzo","abril","mayo","junio","julio","agosto","septiembre","octubre","noviembre","diciembre"},0)+1,0))</f>
        <v/>
      </c>
      <c r="E2419" t="str">
        <f>+IFERROR(VLOOKUP(Fact_Impuestos[[#This Row], [Concepto Anterior]],Conceptos_Impuestos[#All],5,0),"")</f>
        <v/>
      </c>
      <c r="F2419" t="str">
        <f>+IFERROR(VLOOKUP(Fact_Impuestos[[#This Row], 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ht="18.75" customHeight="1" x14ac:dyDescent="0.35">
      <c r="C2420" s="100" t="str">
        <f>IF(OR(Fact_Impuestos[[#This Row], [Año]]="",Fact_Impuestos[[#This Row], [Mes]]=""),"",DATE(A2420,MATCH(B2420,{"enero","febrero","marzo","abril","mayo","junio","julio","agosto","septiembre","octubre","noviembre","diciembre"},0)+1,0))</f>
        <v/>
      </c>
      <c r="E2420" t="str">
        <f>+IFERROR(VLOOKUP(Fact_Impuestos[[#This Row], [Concepto Anterior]],Conceptos_Impuestos[#All],5,0),"")</f>
        <v/>
      </c>
      <c r="F2420" t="str">
        <f>+IFERROR(VLOOKUP(Fact_Impuestos[[#This Row], 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ht="18.75" customHeight="1" x14ac:dyDescent="0.35">
      <c r="C2421" s="100" t="str">
        <f>IF(OR(Fact_Impuestos[[#This Row], [Año]]="",Fact_Impuestos[[#This Row], [Mes]]=""),"",DATE(A2421,MATCH(B2421,{"enero","febrero","marzo","abril","mayo","junio","julio","agosto","septiembre","octubre","noviembre","diciembre"},0)+1,0))</f>
        <v/>
      </c>
      <c r="E2421" t="str">
        <f>+IFERROR(VLOOKUP(Fact_Impuestos[[#This Row], [Concepto Anterior]],Conceptos_Impuestos[#All],5,0),"")</f>
        <v/>
      </c>
      <c r="F2421" t="str">
        <f>+IFERROR(VLOOKUP(Fact_Impuestos[[#This Row], 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ht="18.75" customHeight="1" x14ac:dyDescent="0.35">
      <c r="C2422" s="100" t="str">
        <f>IF(OR(Fact_Impuestos[[#This Row], [Año]]="",Fact_Impuestos[[#This Row], [Mes]]=""),"",DATE(A2422,MATCH(B2422,{"enero","febrero","marzo","abril","mayo","junio","julio","agosto","septiembre","octubre","noviembre","diciembre"},0)+1,0))</f>
        <v/>
      </c>
      <c r="E2422" t="str">
        <f>+IFERROR(VLOOKUP(Fact_Impuestos[[#This Row], [Concepto Anterior]],Conceptos_Impuestos[#All],5,0),"")</f>
        <v/>
      </c>
      <c r="F2422" t="str">
        <f>+IFERROR(VLOOKUP(Fact_Impuestos[[#This Row], 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ht="18.75" customHeight="1" x14ac:dyDescent="0.35">
      <c r="C2423" s="100" t="str">
        <f>IF(OR(Fact_Impuestos[[#This Row], [Año]]="",Fact_Impuestos[[#This Row], [Mes]]=""),"",DATE(A2423,MATCH(B2423,{"enero","febrero","marzo","abril","mayo","junio","julio","agosto","septiembre","octubre","noviembre","diciembre"},0)+1,0))</f>
        <v/>
      </c>
      <c r="E2423" t="str">
        <f>+IFERROR(VLOOKUP(Fact_Impuestos[[#This Row], [Concepto Anterior]],Conceptos_Impuestos[#All],5,0),"")</f>
        <v/>
      </c>
      <c r="F2423" t="str">
        <f>+IFERROR(VLOOKUP(Fact_Impuestos[[#This Row], 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ht="18.75" customHeight="1" x14ac:dyDescent="0.35">
      <c r="C2424" s="100" t="str">
        <f>IF(OR(Fact_Impuestos[[#This Row], [Año]]="",Fact_Impuestos[[#This Row], [Mes]]=""),"",DATE(A2424,MATCH(B2424,{"enero","febrero","marzo","abril","mayo","junio","julio","agosto","septiembre","octubre","noviembre","diciembre"},0)+1,0))</f>
        <v/>
      </c>
      <c r="E2424" t="str">
        <f>+IFERROR(VLOOKUP(Fact_Impuestos[[#This Row], [Concepto Anterior]],Conceptos_Impuestos[#All],5,0),"")</f>
        <v/>
      </c>
      <c r="F2424" t="str">
        <f>+IFERROR(VLOOKUP(Fact_Impuestos[[#This Row], 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ht="18.75" customHeight="1" x14ac:dyDescent="0.35">
      <c r="C2425" s="100" t="str">
        <f>IF(OR(Fact_Impuestos[[#This Row], [Año]]="",Fact_Impuestos[[#This Row], [Mes]]=""),"",DATE(A2425,MATCH(B2425,{"enero","febrero","marzo","abril","mayo","junio","julio","agosto","septiembre","octubre","noviembre","diciembre"},0)+1,0))</f>
        <v/>
      </c>
      <c r="E2425" t="str">
        <f>+IFERROR(VLOOKUP(Fact_Impuestos[[#This Row], [Concepto Anterior]],Conceptos_Impuestos[#All],5,0),"")</f>
        <v/>
      </c>
      <c r="F2425" t="str">
        <f>+IFERROR(VLOOKUP(Fact_Impuestos[[#This Row], 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ht="18.75" customHeight="1" x14ac:dyDescent="0.35">
      <c r="C2426" s="100" t="str">
        <f>IF(OR(Fact_Impuestos[[#This Row], [Año]]="",Fact_Impuestos[[#This Row], [Mes]]=""),"",DATE(A2426,MATCH(B2426,{"enero","febrero","marzo","abril","mayo","junio","julio","agosto","septiembre","octubre","noviembre","diciembre"},0)+1,0))</f>
        <v/>
      </c>
      <c r="E2426" t="str">
        <f>+IFERROR(VLOOKUP(Fact_Impuestos[[#This Row], [Concepto Anterior]],Conceptos_Impuestos[#All],5,0),"")</f>
        <v/>
      </c>
      <c r="F2426" t="str">
        <f>+IFERROR(VLOOKUP(Fact_Impuestos[[#This Row], 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ht="18.75" customHeight="1" x14ac:dyDescent="0.35">
      <c r="C2427" s="100" t="str">
        <f>IF(OR(Fact_Impuestos[[#This Row], [Año]]="",Fact_Impuestos[[#This Row], [Mes]]=""),"",DATE(A2427,MATCH(B2427,{"enero","febrero","marzo","abril","mayo","junio","julio","agosto","septiembre","octubre","noviembre","diciembre"},0)+1,0))</f>
        <v/>
      </c>
      <c r="E2427" t="str">
        <f>+IFERROR(VLOOKUP(Fact_Impuestos[[#This Row], [Concepto Anterior]],Conceptos_Impuestos[#All],5,0),"")</f>
        <v/>
      </c>
      <c r="F2427" t="str">
        <f>+IFERROR(VLOOKUP(Fact_Impuestos[[#This Row], 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ht="18.75" customHeight="1" x14ac:dyDescent="0.35">
      <c r="C2428" s="100" t="str">
        <f>IF(OR(Fact_Impuestos[[#This Row], [Año]]="",Fact_Impuestos[[#This Row], [Mes]]=""),"",DATE(A2428,MATCH(B2428,{"enero","febrero","marzo","abril","mayo","junio","julio","agosto","septiembre","octubre","noviembre","diciembre"},0)+1,0))</f>
        <v/>
      </c>
      <c r="E2428" t="str">
        <f>+IFERROR(VLOOKUP(Fact_Impuestos[[#This Row], [Concepto Anterior]],Conceptos_Impuestos[#All],5,0),"")</f>
        <v/>
      </c>
      <c r="F2428" t="str">
        <f>+IFERROR(VLOOKUP(Fact_Impuestos[[#This Row], 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ht="18.75" customHeight="1" x14ac:dyDescent="0.35">
      <c r="C2429" s="100" t="str">
        <f>IF(OR(Fact_Impuestos[[#This Row], [Año]]="",Fact_Impuestos[[#This Row], [Mes]]=""),"",DATE(A2429,MATCH(B2429,{"enero","febrero","marzo","abril","mayo","junio","julio","agosto","septiembre","octubre","noviembre","diciembre"},0)+1,0))</f>
        <v/>
      </c>
      <c r="E2429" t="str">
        <f>+IFERROR(VLOOKUP(Fact_Impuestos[[#This Row], [Concepto Anterior]],Conceptos_Impuestos[#All],5,0),"")</f>
        <v/>
      </c>
      <c r="F2429" t="str">
        <f>+IFERROR(VLOOKUP(Fact_Impuestos[[#This Row], 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ht="18.75" customHeight="1" x14ac:dyDescent="0.35">
      <c r="C2430" s="100" t="str">
        <f>IF(OR(Fact_Impuestos[[#This Row], [Año]]="",Fact_Impuestos[[#This Row], [Mes]]=""),"",DATE(A2430,MATCH(B2430,{"enero","febrero","marzo","abril","mayo","junio","julio","agosto","septiembre","octubre","noviembre","diciembre"},0)+1,0))</f>
        <v/>
      </c>
      <c r="E2430" t="str">
        <f>+IFERROR(VLOOKUP(Fact_Impuestos[[#This Row], [Concepto Anterior]],Conceptos_Impuestos[#All],5,0),"")</f>
        <v/>
      </c>
      <c r="F2430" t="str">
        <f>+IFERROR(VLOOKUP(Fact_Impuestos[[#This Row], 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ht="18.75" customHeight="1" x14ac:dyDescent="0.35">
      <c r="C2431" s="100" t="str">
        <f>IF(OR(Fact_Impuestos[[#This Row], [Año]]="",Fact_Impuestos[[#This Row], [Mes]]=""),"",DATE(A2431,MATCH(B2431,{"enero","febrero","marzo","abril","mayo","junio","julio","agosto","septiembre","octubre","noviembre","diciembre"},0)+1,0))</f>
        <v/>
      </c>
      <c r="E2431" t="str">
        <f>+IFERROR(VLOOKUP(Fact_Impuestos[[#This Row], [Concepto Anterior]],Conceptos_Impuestos[#All],5,0),"")</f>
        <v/>
      </c>
      <c r="F2431" t="str">
        <f>+IFERROR(VLOOKUP(Fact_Impuestos[[#This Row], 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ht="18.75" customHeight="1" x14ac:dyDescent="0.35">
      <c r="C2432" s="100" t="str">
        <f>IF(OR(Fact_Impuestos[[#This Row], [Año]]="",Fact_Impuestos[[#This Row], [Mes]]=""),"",DATE(A2432,MATCH(B2432,{"enero","febrero","marzo","abril","mayo","junio","julio","agosto","septiembre","octubre","noviembre","diciembre"},0)+1,0))</f>
        <v/>
      </c>
      <c r="E2432" t="str">
        <f>+IFERROR(VLOOKUP(Fact_Impuestos[[#This Row], [Concepto Anterior]],Conceptos_Impuestos[#All],5,0),"")</f>
        <v/>
      </c>
      <c r="F2432" t="str">
        <f>+IFERROR(VLOOKUP(Fact_Impuestos[[#This Row], 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ht="18.75" customHeight="1" x14ac:dyDescent="0.35">
      <c r="C2433" s="100" t="str">
        <f>IF(OR(Fact_Impuestos[[#This Row], [Año]]="",Fact_Impuestos[[#This Row], [Mes]]=""),"",DATE(A2433,MATCH(B2433,{"enero","febrero","marzo","abril","mayo","junio","julio","agosto","septiembre","octubre","noviembre","diciembre"},0)+1,0))</f>
        <v/>
      </c>
      <c r="E2433" t="str">
        <f>+IFERROR(VLOOKUP(Fact_Impuestos[[#This Row], [Concepto Anterior]],Conceptos_Impuestos[#All],5,0),"")</f>
        <v/>
      </c>
      <c r="F2433" t="str">
        <f>+IFERROR(VLOOKUP(Fact_Impuestos[[#This Row], 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ht="18.75" customHeight="1" x14ac:dyDescent="0.35">
      <c r="C2434" s="100" t="str">
        <f>IF(OR(Fact_Impuestos[[#This Row], [Año]]="",Fact_Impuestos[[#This Row], [Mes]]=""),"",DATE(A2434,MATCH(B2434,{"enero","febrero","marzo","abril","mayo","junio","julio","agosto","septiembre","octubre","noviembre","diciembre"},0)+1,0))</f>
        <v/>
      </c>
      <c r="E2434" t="str">
        <f>+IFERROR(VLOOKUP(Fact_Impuestos[[#This Row], [Concepto Anterior]],Conceptos_Impuestos[#All],5,0),"")</f>
        <v/>
      </c>
      <c r="F2434" t="str">
        <f>+IFERROR(VLOOKUP(Fact_Impuestos[[#This Row], 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ht="18.75" customHeight="1" x14ac:dyDescent="0.35">
      <c r="C2435" s="100" t="str">
        <f>IF(OR(Fact_Impuestos[[#This Row], [Año]]="",Fact_Impuestos[[#This Row], [Mes]]=""),"",DATE(A2435,MATCH(B2435,{"enero","febrero","marzo","abril","mayo","junio","julio","agosto","septiembre","octubre","noviembre","diciembre"},0)+1,0))</f>
        <v/>
      </c>
      <c r="E2435" t="str">
        <f>+IFERROR(VLOOKUP(Fact_Impuestos[[#This Row], [Concepto Anterior]],Conceptos_Impuestos[#All],5,0),"")</f>
        <v/>
      </c>
      <c r="F2435" t="str">
        <f>+IFERROR(VLOOKUP(Fact_Impuestos[[#This Row], 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ht="18.75" customHeight="1" x14ac:dyDescent="0.35">
      <c r="C2436" s="100" t="str">
        <f>IF(OR(Fact_Impuestos[[#This Row], [Año]]="",Fact_Impuestos[[#This Row], [Mes]]=""),"",DATE(A2436,MATCH(B2436,{"enero","febrero","marzo","abril","mayo","junio","julio","agosto","septiembre","octubre","noviembre","diciembre"},0)+1,0))</f>
        <v/>
      </c>
      <c r="E2436" t="str">
        <f>+IFERROR(VLOOKUP(Fact_Impuestos[[#This Row], [Concepto Anterior]],Conceptos_Impuestos[#All],5,0),"")</f>
        <v/>
      </c>
      <c r="F2436" t="str">
        <f>+IFERROR(VLOOKUP(Fact_Impuestos[[#This Row], 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ht="18.75" customHeight="1" x14ac:dyDescent="0.35">
      <c r="C2437" s="100" t="str">
        <f>IF(OR(Fact_Impuestos[[#This Row], [Año]]="",Fact_Impuestos[[#This Row], [Mes]]=""),"",DATE(A2437,MATCH(B2437,{"enero","febrero","marzo","abril","mayo","junio","julio","agosto","septiembre","octubre","noviembre","diciembre"},0)+1,0))</f>
        <v/>
      </c>
      <c r="E2437" t="str">
        <f>+IFERROR(VLOOKUP(Fact_Impuestos[[#This Row], [Concepto Anterior]],Conceptos_Impuestos[#All],5,0),"")</f>
        <v/>
      </c>
      <c r="F2437" t="str">
        <f>+IFERROR(VLOOKUP(Fact_Impuestos[[#This Row], 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ht="18.75" customHeight="1" x14ac:dyDescent="0.35">
      <c r="C2438" s="100" t="str">
        <f>IF(OR(Fact_Impuestos[[#This Row], [Año]]="",Fact_Impuestos[[#This Row], [Mes]]=""),"",DATE(A2438,MATCH(B2438,{"enero","febrero","marzo","abril","mayo","junio","julio","agosto","septiembre","octubre","noviembre","diciembre"},0)+1,0))</f>
        <v/>
      </c>
      <c r="E2438" t="str">
        <f>+IFERROR(VLOOKUP(Fact_Impuestos[[#This Row], [Concepto Anterior]],Conceptos_Impuestos[#All],5,0),"")</f>
        <v/>
      </c>
      <c r="F2438" t="str">
        <f>+IFERROR(VLOOKUP(Fact_Impuestos[[#This Row], 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ht="18.75" customHeight="1" x14ac:dyDescent="0.35">
      <c r="C2439" s="100" t="str">
        <f>IF(OR(Fact_Impuestos[[#This Row], [Año]]="",Fact_Impuestos[[#This Row], [Mes]]=""),"",DATE(A2439,MATCH(B2439,{"enero","febrero","marzo","abril","mayo","junio","julio","agosto","septiembre","octubre","noviembre","diciembre"},0)+1,0))</f>
        <v/>
      </c>
      <c r="E2439" t="str">
        <f>+IFERROR(VLOOKUP(Fact_Impuestos[[#This Row], [Concepto Anterior]],Conceptos_Impuestos[#All],5,0),"")</f>
        <v/>
      </c>
      <c r="F2439" t="str">
        <f>+IFERROR(VLOOKUP(Fact_Impuestos[[#This Row], 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ht="18.75" customHeight="1" x14ac:dyDescent="0.35">
      <c r="C2440" s="100" t="str">
        <f>IF(OR(Fact_Impuestos[[#This Row], [Año]]="",Fact_Impuestos[[#This Row], [Mes]]=""),"",DATE(A2440,MATCH(B2440,{"enero","febrero","marzo","abril","mayo","junio","julio","agosto","septiembre","octubre","noviembre","diciembre"},0)+1,0))</f>
        <v/>
      </c>
      <c r="E2440" t="str">
        <f>+IFERROR(VLOOKUP(Fact_Impuestos[[#This Row], [Concepto Anterior]],Conceptos_Impuestos[#All],5,0),"")</f>
        <v/>
      </c>
      <c r="F2440" t="str">
        <f>+IFERROR(VLOOKUP(Fact_Impuestos[[#This Row], 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ht="18.75" customHeight="1" x14ac:dyDescent="0.35">
      <c r="C2441" s="100" t="str">
        <f>IF(OR(Fact_Impuestos[[#This Row], [Año]]="",Fact_Impuestos[[#This Row], [Mes]]=""),"",DATE(A2441,MATCH(B2441,{"enero","febrero","marzo","abril","mayo","junio","julio","agosto","septiembre","octubre","noviembre","diciembre"},0)+1,0))</f>
        <v/>
      </c>
      <c r="E2441" t="str">
        <f>+IFERROR(VLOOKUP(Fact_Impuestos[[#This Row], [Concepto Anterior]],Conceptos_Impuestos[#All],5,0),"")</f>
        <v/>
      </c>
      <c r="F2441" t="str">
        <f>+IFERROR(VLOOKUP(Fact_Impuestos[[#This Row], 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ht="18.75" customHeight="1" x14ac:dyDescent="0.35">
      <c r="C2442" s="100" t="str">
        <f>IF(OR(Fact_Impuestos[[#This Row], [Año]]="",Fact_Impuestos[[#This Row], [Mes]]=""),"",DATE(A2442,MATCH(B2442,{"enero","febrero","marzo","abril","mayo","junio","julio","agosto","septiembre","octubre","noviembre","diciembre"},0)+1,0))</f>
        <v/>
      </c>
      <c r="E2442" t="str">
        <f>+IFERROR(VLOOKUP(Fact_Impuestos[[#This Row], [Concepto Anterior]],Conceptos_Impuestos[#All],5,0),"")</f>
        <v/>
      </c>
      <c r="F2442" t="str">
        <f>+IFERROR(VLOOKUP(Fact_Impuestos[[#This Row], 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ht="18.75" customHeight="1" x14ac:dyDescent="0.35">
      <c r="C2443" s="100" t="str">
        <f>IF(OR(Fact_Impuestos[[#This Row], [Año]]="",Fact_Impuestos[[#This Row], [Mes]]=""),"",DATE(A2443,MATCH(B2443,{"enero","febrero","marzo","abril","mayo","junio","julio","agosto","septiembre","octubre","noviembre","diciembre"},0)+1,0))</f>
        <v/>
      </c>
      <c r="E2443" t="str">
        <f>+IFERROR(VLOOKUP(Fact_Impuestos[[#This Row], [Concepto Anterior]],Conceptos_Impuestos[#All],5,0),"")</f>
        <v/>
      </c>
      <c r="F2443" t="str">
        <f>+IFERROR(VLOOKUP(Fact_Impuestos[[#This Row], 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ht="18.75" customHeight="1" x14ac:dyDescent="0.35">
      <c r="C2444" s="100" t="str">
        <f>IF(OR(Fact_Impuestos[[#This Row], [Año]]="",Fact_Impuestos[[#This Row], [Mes]]=""),"",DATE(A2444,MATCH(B2444,{"enero","febrero","marzo","abril","mayo","junio","julio","agosto","septiembre","octubre","noviembre","diciembre"},0)+1,0))</f>
        <v/>
      </c>
      <c r="E2444" t="str">
        <f>+IFERROR(VLOOKUP(Fact_Impuestos[[#This Row], [Concepto Anterior]],Conceptos_Impuestos[#All],5,0),"")</f>
        <v/>
      </c>
      <c r="F2444" t="str">
        <f>+IFERROR(VLOOKUP(Fact_Impuestos[[#This Row], 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ht="18.75" customHeight="1" x14ac:dyDescent="0.35">
      <c r="C2445" s="100" t="str">
        <f>IF(OR(Fact_Impuestos[[#This Row], [Año]]="",Fact_Impuestos[[#This Row], [Mes]]=""),"",DATE(A2445,MATCH(B2445,{"enero","febrero","marzo","abril","mayo","junio","julio","agosto","septiembre","octubre","noviembre","diciembre"},0)+1,0))</f>
        <v/>
      </c>
      <c r="E2445" t="str">
        <f>+IFERROR(VLOOKUP(Fact_Impuestos[[#This Row], [Concepto Anterior]],Conceptos_Impuestos[#All],5,0),"")</f>
        <v/>
      </c>
      <c r="F2445" t="str">
        <f>+IFERROR(VLOOKUP(Fact_Impuestos[[#This Row], 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ht="18.75" customHeight="1" x14ac:dyDescent="0.35">
      <c r="C2446" s="100" t="str">
        <f>IF(OR(Fact_Impuestos[[#This Row], [Año]]="",Fact_Impuestos[[#This Row], [Mes]]=""),"",DATE(A2446,MATCH(B2446,{"enero","febrero","marzo","abril","mayo","junio","julio","agosto","septiembre","octubre","noviembre","diciembre"},0)+1,0))</f>
        <v/>
      </c>
      <c r="E2446" t="str">
        <f>+IFERROR(VLOOKUP(Fact_Impuestos[[#This Row], [Concepto Anterior]],Conceptos_Impuestos[#All],5,0),"")</f>
        <v/>
      </c>
      <c r="F2446" t="str">
        <f>+IFERROR(VLOOKUP(Fact_Impuestos[[#This Row], 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ht="18.75" customHeight="1" x14ac:dyDescent="0.35">
      <c r="C2447" s="100" t="str">
        <f>IF(OR(Fact_Impuestos[[#This Row], [Año]]="",Fact_Impuestos[[#This Row], [Mes]]=""),"",DATE(A2447,MATCH(B2447,{"enero","febrero","marzo","abril","mayo","junio","julio","agosto","septiembre","octubre","noviembre","diciembre"},0)+1,0))</f>
        <v/>
      </c>
      <c r="E2447" t="str">
        <f>+IFERROR(VLOOKUP(Fact_Impuestos[[#This Row], [Concepto Anterior]],Conceptos_Impuestos[#All],5,0),"")</f>
        <v/>
      </c>
      <c r="F2447" t="str">
        <f>+IFERROR(VLOOKUP(Fact_Impuestos[[#This Row], 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ht="18.75" customHeight="1" x14ac:dyDescent="0.35">
      <c r="C2448" s="100" t="str">
        <f>IF(OR(Fact_Impuestos[[#This Row], [Año]]="",Fact_Impuestos[[#This Row], [Mes]]=""),"",DATE(A2448,MATCH(B2448,{"enero","febrero","marzo","abril","mayo","junio","julio","agosto","septiembre","octubre","noviembre","diciembre"},0)+1,0))</f>
        <v/>
      </c>
      <c r="E2448" t="str">
        <f>+IFERROR(VLOOKUP(Fact_Impuestos[[#This Row], [Concepto Anterior]],Conceptos_Impuestos[#All],5,0),"")</f>
        <v/>
      </c>
      <c r="F2448" t="str">
        <f>+IFERROR(VLOOKUP(Fact_Impuestos[[#This Row], 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ht="18.75" customHeight="1" x14ac:dyDescent="0.35">
      <c r="C2449" s="100" t="str">
        <f>IF(OR(Fact_Impuestos[[#This Row], [Año]]="",Fact_Impuestos[[#This Row], [Mes]]=""),"",DATE(A2449,MATCH(B2449,{"enero","febrero","marzo","abril","mayo","junio","julio","agosto","septiembre","octubre","noviembre","diciembre"},0)+1,0))</f>
        <v/>
      </c>
      <c r="E2449" t="str">
        <f>+IFERROR(VLOOKUP(Fact_Impuestos[[#This Row], [Concepto Anterior]],Conceptos_Impuestos[#All],5,0),"")</f>
        <v/>
      </c>
      <c r="F2449" t="str">
        <f>+IFERROR(VLOOKUP(Fact_Impuestos[[#This Row], 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ht="18.75" customHeight="1" x14ac:dyDescent="0.35">
      <c r="C2450" s="100" t="str">
        <f>IF(OR(Fact_Impuestos[[#This Row], [Año]]="",Fact_Impuestos[[#This Row], [Mes]]=""),"",DATE(A2450,MATCH(B2450,{"enero","febrero","marzo","abril","mayo","junio","julio","agosto","septiembre","octubre","noviembre","diciembre"},0)+1,0))</f>
        <v/>
      </c>
      <c r="E2450" t="str">
        <f>+IFERROR(VLOOKUP(Fact_Impuestos[[#This Row], [Concepto Anterior]],Conceptos_Impuestos[#All],5,0),"")</f>
        <v/>
      </c>
      <c r="F2450" t="str">
        <f>+IFERROR(VLOOKUP(Fact_Impuestos[[#This Row], 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ht="18.75" customHeight="1" x14ac:dyDescent="0.35">
      <c r="C2451" s="100" t="str">
        <f>IF(OR(Fact_Impuestos[[#This Row], [Año]]="",Fact_Impuestos[[#This Row], [Mes]]=""),"",DATE(A2451,MATCH(B2451,{"enero","febrero","marzo","abril","mayo","junio","julio","agosto","septiembre","octubre","noviembre","diciembre"},0)+1,0))</f>
        <v/>
      </c>
      <c r="E2451" t="str">
        <f>+IFERROR(VLOOKUP(Fact_Impuestos[[#This Row], [Concepto Anterior]],Conceptos_Impuestos[#All],5,0),"")</f>
        <v/>
      </c>
      <c r="F2451" t="str">
        <f>+IFERROR(VLOOKUP(Fact_Impuestos[[#This Row], 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ht="18.75" customHeight="1" x14ac:dyDescent="0.35">
      <c r="C2452" s="100" t="str">
        <f>IF(OR(Fact_Impuestos[[#This Row], [Año]]="",Fact_Impuestos[[#This Row], [Mes]]=""),"",DATE(A2452,MATCH(B2452,{"enero","febrero","marzo","abril","mayo","junio","julio","agosto","septiembre","octubre","noviembre","diciembre"},0)+1,0))</f>
        <v/>
      </c>
      <c r="E2452" t="str">
        <f>+IFERROR(VLOOKUP(Fact_Impuestos[[#This Row], [Concepto Anterior]],Conceptos_Impuestos[#All],5,0),"")</f>
        <v/>
      </c>
      <c r="F2452" t="str">
        <f>+IFERROR(VLOOKUP(Fact_Impuestos[[#This Row], 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ht="18.75" customHeight="1" x14ac:dyDescent="0.35">
      <c r="C2453" s="100" t="str">
        <f>IF(OR(Fact_Impuestos[[#This Row], [Año]]="",Fact_Impuestos[[#This Row], [Mes]]=""),"",DATE(A2453,MATCH(B2453,{"enero","febrero","marzo","abril","mayo","junio","julio","agosto","septiembre","octubre","noviembre","diciembre"},0)+1,0))</f>
        <v/>
      </c>
      <c r="E2453" t="str">
        <f>+IFERROR(VLOOKUP(Fact_Impuestos[[#This Row], [Concepto Anterior]],Conceptos_Impuestos[#All],5,0),"")</f>
        <v/>
      </c>
      <c r="F2453" t="str">
        <f>+IFERROR(VLOOKUP(Fact_Impuestos[[#This Row], 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ht="18.75" customHeight="1" x14ac:dyDescent="0.35">
      <c r="C2454" s="100" t="str">
        <f>IF(OR(Fact_Impuestos[[#This Row], [Año]]="",Fact_Impuestos[[#This Row], [Mes]]=""),"",DATE(A2454,MATCH(B2454,{"enero","febrero","marzo","abril","mayo","junio","julio","agosto","septiembre","octubre","noviembre","diciembre"},0)+1,0))</f>
        <v/>
      </c>
      <c r="E2454" t="str">
        <f>+IFERROR(VLOOKUP(Fact_Impuestos[[#This Row], [Concepto Anterior]],Conceptos_Impuestos[#All],5,0),"")</f>
        <v/>
      </c>
      <c r="F2454" t="str">
        <f>+IFERROR(VLOOKUP(Fact_Impuestos[[#This Row], 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ht="18.75" customHeight="1" x14ac:dyDescent="0.35">
      <c r="C2455" s="100" t="str">
        <f>IF(OR(Fact_Impuestos[[#This Row], [Año]]="",Fact_Impuestos[[#This Row], [Mes]]=""),"",DATE(A2455,MATCH(B2455,{"enero","febrero","marzo","abril","mayo","junio","julio","agosto","septiembre","octubre","noviembre","diciembre"},0)+1,0))</f>
        <v/>
      </c>
      <c r="E2455" t="str">
        <f>+IFERROR(VLOOKUP(Fact_Impuestos[[#This Row], [Concepto Anterior]],Conceptos_Impuestos[#All],5,0),"")</f>
        <v/>
      </c>
      <c r="F2455" t="str">
        <f>+IFERROR(VLOOKUP(Fact_Impuestos[[#This Row], 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ht="18.75" customHeight="1" x14ac:dyDescent="0.35">
      <c r="C2456" s="100" t="str">
        <f>IF(OR(Fact_Impuestos[[#This Row], [Año]]="",Fact_Impuestos[[#This Row], [Mes]]=""),"",DATE(A2456,MATCH(B2456,{"enero","febrero","marzo","abril","mayo","junio","julio","agosto","septiembre","octubre","noviembre","diciembre"},0)+1,0))</f>
        <v/>
      </c>
      <c r="E2456" t="str">
        <f>+IFERROR(VLOOKUP(Fact_Impuestos[[#This Row], [Concepto Anterior]],Conceptos_Impuestos[#All],5,0),"")</f>
        <v/>
      </c>
      <c r="F2456" t="str">
        <f>+IFERROR(VLOOKUP(Fact_Impuestos[[#This Row], 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ht="18.75" customHeight="1" x14ac:dyDescent="0.35">
      <c r="C2457" s="100" t="str">
        <f>IF(OR(Fact_Impuestos[[#This Row], [Año]]="",Fact_Impuestos[[#This Row], [Mes]]=""),"",DATE(A2457,MATCH(B2457,{"enero","febrero","marzo","abril","mayo","junio","julio","agosto","septiembre","octubre","noviembre","diciembre"},0)+1,0))</f>
        <v/>
      </c>
      <c r="E2457" t="str">
        <f>+IFERROR(VLOOKUP(Fact_Impuestos[[#This Row], [Concepto Anterior]],Conceptos_Impuestos[#All],5,0),"")</f>
        <v/>
      </c>
      <c r="F2457" t="str">
        <f>+IFERROR(VLOOKUP(Fact_Impuestos[[#This Row], 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ht="18.75" customHeight="1" x14ac:dyDescent="0.35">
      <c r="C2458" s="100" t="str">
        <f>IF(OR(Fact_Impuestos[[#This Row], [Año]]="",Fact_Impuestos[[#This Row], [Mes]]=""),"",DATE(A2458,MATCH(B2458,{"enero","febrero","marzo","abril","mayo","junio","julio","agosto","septiembre","octubre","noviembre","diciembre"},0)+1,0))</f>
        <v/>
      </c>
      <c r="E2458" t="str">
        <f>+IFERROR(VLOOKUP(Fact_Impuestos[[#This Row], [Concepto Anterior]],Conceptos_Impuestos[#All],5,0),"")</f>
        <v/>
      </c>
      <c r="F2458" t="str">
        <f>+IFERROR(VLOOKUP(Fact_Impuestos[[#This Row], 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ht="18.75" customHeight="1" x14ac:dyDescent="0.35">
      <c r="C2459" s="100" t="str">
        <f>IF(OR(Fact_Impuestos[[#This Row], [Año]]="",Fact_Impuestos[[#This Row], [Mes]]=""),"",DATE(A2459,MATCH(B2459,{"enero","febrero","marzo","abril","mayo","junio","julio","agosto","septiembre","octubre","noviembre","diciembre"},0)+1,0))</f>
        <v/>
      </c>
      <c r="E2459" t="str">
        <f>+IFERROR(VLOOKUP(Fact_Impuestos[[#This Row], [Concepto Anterior]],Conceptos_Impuestos[#All],5,0),"")</f>
        <v/>
      </c>
      <c r="F2459" t="str">
        <f>+IFERROR(VLOOKUP(Fact_Impuestos[[#This Row], 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ht="18.75" customHeight="1" x14ac:dyDescent="0.35">
      <c r="C2460" s="100" t="str">
        <f>IF(OR(Fact_Impuestos[[#This Row], [Año]]="",Fact_Impuestos[[#This Row], [Mes]]=""),"",DATE(A2460,MATCH(B2460,{"enero","febrero","marzo","abril","mayo","junio","julio","agosto","septiembre","octubre","noviembre","diciembre"},0)+1,0))</f>
        <v/>
      </c>
      <c r="E2460" t="str">
        <f>+IFERROR(VLOOKUP(Fact_Impuestos[[#This Row], [Concepto Anterior]],Conceptos_Impuestos[#All],5,0),"")</f>
        <v/>
      </c>
      <c r="F2460" t="str">
        <f>+IFERROR(VLOOKUP(Fact_Impuestos[[#This Row], 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ht="18.75" customHeight="1" x14ac:dyDescent="0.35">
      <c r="C2461" s="100" t="str">
        <f>IF(OR(Fact_Impuestos[[#This Row], [Año]]="",Fact_Impuestos[[#This Row], [Mes]]=""),"",DATE(A2461,MATCH(B2461,{"enero","febrero","marzo","abril","mayo","junio","julio","agosto","septiembre","octubre","noviembre","diciembre"},0)+1,0))</f>
        <v/>
      </c>
      <c r="E2461" t="str">
        <f>+IFERROR(VLOOKUP(Fact_Impuestos[[#This Row], [Concepto Anterior]],Conceptos_Impuestos[#All],5,0),"")</f>
        <v/>
      </c>
      <c r="F2461" t="str">
        <f>+IFERROR(VLOOKUP(Fact_Impuestos[[#This Row], 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ht="18.75" customHeight="1" x14ac:dyDescent="0.35">
      <c r="C2462" s="100" t="str">
        <f>IF(OR(Fact_Impuestos[[#This Row], [Año]]="",Fact_Impuestos[[#This Row], [Mes]]=""),"",DATE(A2462,MATCH(B2462,{"enero","febrero","marzo","abril","mayo","junio","julio","agosto","septiembre","octubre","noviembre","diciembre"},0)+1,0))</f>
        <v/>
      </c>
      <c r="E2462" t="str">
        <f>+IFERROR(VLOOKUP(Fact_Impuestos[[#This Row], [Concepto Anterior]],Conceptos_Impuestos[#All],5,0),"")</f>
        <v/>
      </c>
      <c r="F2462" t="str">
        <f>+IFERROR(VLOOKUP(Fact_Impuestos[[#This Row], 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ht="18.75" customHeight="1" x14ac:dyDescent="0.35">
      <c r="C2463" s="100" t="str">
        <f>IF(OR(Fact_Impuestos[[#This Row], [Año]]="",Fact_Impuestos[[#This Row], [Mes]]=""),"",DATE(A2463,MATCH(B2463,{"enero","febrero","marzo","abril","mayo","junio","julio","agosto","septiembre","octubre","noviembre","diciembre"},0)+1,0))</f>
        <v/>
      </c>
      <c r="E2463" t="str">
        <f>+IFERROR(VLOOKUP(Fact_Impuestos[[#This Row], [Concepto Anterior]],Conceptos_Impuestos[#All],5,0),"")</f>
        <v/>
      </c>
      <c r="F2463" t="str">
        <f>+IFERROR(VLOOKUP(Fact_Impuestos[[#This Row], 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ht="18.75" customHeight="1" x14ac:dyDescent="0.35">
      <c r="C2464" s="100" t="str">
        <f>IF(OR(Fact_Impuestos[[#This Row], [Año]]="",Fact_Impuestos[[#This Row], [Mes]]=""),"",DATE(A2464,MATCH(B2464,{"enero","febrero","marzo","abril","mayo","junio","julio","agosto","septiembre","octubre","noviembre","diciembre"},0)+1,0))</f>
        <v/>
      </c>
      <c r="E2464" t="str">
        <f>+IFERROR(VLOOKUP(Fact_Impuestos[[#This Row], [Concepto Anterior]],Conceptos_Impuestos[#All],5,0),"")</f>
        <v/>
      </c>
      <c r="F2464" t="str">
        <f>+IFERROR(VLOOKUP(Fact_Impuestos[[#This Row], 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ht="18.75" customHeight="1" x14ac:dyDescent="0.35">
      <c r="C2465" s="100" t="str">
        <f>IF(OR(Fact_Impuestos[[#This Row], [Año]]="",Fact_Impuestos[[#This Row], [Mes]]=""),"",DATE(A2465,MATCH(B2465,{"enero","febrero","marzo","abril","mayo","junio","julio","agosto","septiembre","octubre","noviembre","diciembre"},0)+1,0))</f>
        <v/>
      </c>
      <c r="E2465" t="str">
        <f>+IFERROR(VLOOKUP(Fact_Impuestos[[#This Row], [Concepto Anterior]],Conceptos_Impuestos[#All],5,0),"")</f>
        <v/>
      </c>
      <c r="F2465" t="str">
        <f>+IFERROR(VLOOKUP(Fact_Impuestos[[#This Row], 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ht="18.75" customHeight="1" x14ac:dyDescent="0.35">
      <c r="C2466" s="100" t="str">
        <f>IF(OR(Fact_Impuestos[[#This Row], [Año]]="",Fact_Impuestos[[#This Row], [Mes]]=""),"",DATE(A2466,MATCH(B2466,{"enero","febrero","marzo","abril","mayo","junio","julio","agosto","septiembre","octubre","noviembre","diciembre"},0)+1,0))</f>
        <v/>
      </c>
      <c r="E2466" t="str">
        <f>+IFERROR(VLOOKUP(Fact_Impuestos[[#This Row], [Concepto Anterior]],Conceptos_Impuestos[#All],5,0),"")</f>
        <v/>
      </c>
      <c r="F2466" t="str">
        <f>+IFERROR(VLOOKUP(Fact_Impuestos[[#This Row], 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ht="18.75" customHeight="1" x14ac:dyDescent="0.35">
      <c r="C2467" s="100" t="str">
        <f>IF(OR(Fact_Impuestos[[#This Row], [Año]]="",Fact_Impuestos[[#This Row], [Mes]]=""),"",DATE(A2467,MATCH(B2467,{"enero","febrero","marzo","abril","mayo","junio","julio","agosto","septiembre","octubre","noviembre","diciembre"},0)+1,0))</f>
        <v/>
      </c>
      <c r="E2467" t="str">
        <f>+IFERROR(VLOOKUP(Fact_Impuestos[[#This Row], [Concepto Anterior]],Conceptos_Impuestos[#All],5,0),"")</f>
        <v/>
      </c>
      <c r="F2467" t="str">
        <f>+IFERROR(VLOOKUP(Fact_Impuestos[[#This Row], 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ht="18.75" customHeight="1" x14ac:dyDescent="0.35">
      <c r="C2468" s="100" t="str">
        <f>IF(OR(Fact_Impuestos[[#This Row], [Año]]="",Fact_Impuestos[[#This Row], [Mes]]=""),"",DATE(A2468,MATCH(B2468,{"enero","febrero","marzo","abril","mayo","junio","julio","agosto","septiembre","octubre","noviembre","diciembre"},0)+1,0))</f>
        <v/>
      </c>
      <c r="E2468" t="str">
        <f>+IFERROR(VLOOKUP(Fact_Impuestos[[#This Row], [Concepto Anterior]],Conceptos_Impuestos[#All],5,0),"")</f>
        <v/>
      </c>
      <c r="F2468" t="str">
        <f>+IFERROR(VLOOKUP(Fact_Impuestos[[#This Row], 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ht="18.75" customHeight="1" x14ac:dyDescent="0.35">
      <c r="C2469" s="100" t="str">
        <f>IF(OR(Fact_Impuestos[[#This Row], [Año]]="",Fact_Impuestos[[#This Row], [Mes]]=""),"",DATE(A2469,MATCH(B2469,{"enero","febrero","marzo","abril","mayo","junio","julio","agosto","septiembre","octubre","noviembre","diciembre"},0)+1,0))</f>
        <v/>
      </c>
      <c r="E2469" t="str">
        <f>+IFERROR(VLOOKUP(Fact_Impuestos[[#This Row], [Concepto Anterior]],Conceptos_Impuestos[#All],5,0),"")</f>
        <v/>
      </c>
      <c r="F2469" t="str">
        <f>+IFERROR(VLOOKUP(Fact_Impuestos[[#This Row], 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ht="18.75" customHeight="1" x14ac:dyDescent="0.35">
      <c r="C2470" s="100" t="str">
        <f>IF(OR(Fact_Impuestos[[#This Row], [Año]]="",Fact_Impuestos[[#This Row], [Mes]]=""),"",DATE(A2470,MATCH(B2470,{"enero","febrero","marzo","abril","mayo","junio","julio","agosto","septiembre","octubre","noviembre","diciembre"},0)+1,0))</f>
        <v/>
      </c>
      <c r="E2470" t="str">
        <f>+IFERROR(VLOOKUP(Fact_Impuestos[[#This Row], [Concepto Anterior]],Conceptos_Impuestos[#All],5,0),"")</f>
        <v/>
      </c>
      <c r="F2470" t="str">
        <f>+IFERROR(VLOOKUP(Fact_Impuestos[[#This Row], 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ht="18.75" customHeight="1" x14ac:dyDescent="0.35">
      <c r="C2471" s="100" t="str">
        <f>IF(OR(Fact_Impuestos[[#This Row], [Año]]="",Fact_Impuestos[[#This Row], [Mes]]=""),"",DATE(A2471,MATCH(B2471,{"enero","febrero","marzo","abril","mayo","junio","julio","agosto","septiembre","octubre","noviembre","diciembre"},0)+1,0))</f>
        <v/>
      </c>
      <c r="E2471" t="str">
        <f>+IFERROR(VLOOKUP(Fact_Impuestos[[#This Row], [Concepto Anterior]],Conceptos_Impuestos[#All],5,0),"")</f>
        <v/>
      </c>
      <c r="F2471" t="str">
        <f>+IFERROR(VLOOKUP(Fact_Impuestos[[#This Row], 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ht="18.75" customHeight="1" x14ac:dyDescent="0.35">
      <c r="C2472" s="100" t="str">
        <f>IF(OR(Fact_Impuestos[[#This Row], [Año]]="",Fact_Impuestos[[#This Row], [Mes]]=""),"",DATE(A2472,MATCH(B2472,{"enero","febrero","marzo","abril","mayo","junio","julio","agosto","septiembre","octubre","noviembre","diciembre"},0)+1,0))</f>
        <v/>
      </c>
      <c r="E2472" t="str">
        <f>+IFERROR(VLOOKUP(Fact_Impuestos[[#This Row], [Concepto Anterior]],Conceptos_Impuestos[#All],5,0),"")</f>
        <v/>
      </c>
      <c r="F2472" t="str">
        <f>+IFERROR(VLOOKUP(Fact_Impuestos[[#This Row], 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ht="18.75" customHeight="1" x14ac:dyDescent="0.35">
      <c r="C2473" s="100" t="str">
        <f>IF(OR(Fact_Impuestos[[#This Row], [Año]]="",Fact_Impuestos[[#This Row], [Mes]]=""),"",DATE(A2473,MATCH(B2473,{"enero","febrero","marzo","abril","mayo","junio","julio","agosto","septiembre","octubre","noviembre","diciembre"},0)+1,0))</f>
        <v/>
      </c>
      <c r="E2473" t="str">
        <f>+IFERROR(VLOOKUP(Fact_Impuestos[[#This Row], [Concepto Anterior]],Conceptos_Impuestos[#All],5,0),"")</f>
        <v/>
      </c>
      <c r="F2473" t="str">
        <f>+IFERROR(VLOOKUP(Fact_Impuestos[[#This Row], 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ht="18.75" customHeight="1" x14ac:dyDescent="0.35">
      <c r="C2474" s="100" t="str">
        <f>IF(OR(Fact_Impuestos[[#This Row], [Año]]="",Fact_Impuestos[[#This Row], [Mes]]=""),"",DATE(A2474,MATCH(B2474,{"enero","febrero","marzo","abril","mayo","junio","julio","agosto","septiembre","octubre","noviembre","diciembre"},0)+1,0))</f>
        <v/>
      </c>
      <c r="E2474" t="str">
        <f>+IFERROR(VLOOKUP(Fact_Impuestos[[#This Row], [Concepto Anterior]],Conceptos_Impuestos[#All],5,0),"")</f>
        <v/>
      </c>
      <c r="F2474" t="str">
        <f>+IFERROR(VLOOKUP(Fact_Impuestos[[#This Row], 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ht="18.75" customHeight="1" x14ac:dyDescent="0.35">
      <c r="C2475" s="100" t="str">
        <f>IF(OR(Fact_Impuestos[[#This Row], [Año]]="",Fact_Impuestos[[#This Row], [Mes]]=""),"",DATE(A2475,MATCH(B2475,{"enero","febrero","marzo","abril","mayo","junio","julio","agosto","septiembre","octubre","noviembre","diciembre"},0)+1,0))</f>
        <v/>
      </c>
      <c r="E2475" t="str">
        <f>+IFERROR(VLOOKUP(Fact_Impuestos[[#This Row], [Concepto Anterior]],Conceptos_Impuestos[#All],5,0),"")</f>
        <v/>
      </c>
      <c r="F2475" t="str">
        <f>+IFERROR(VLOOKUP(Fact_Impuestos[[#This Row], 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ht="18.75" customHeight="1" x14ac:dyDescent="0.35">
      <c r="C2476" s="100" t="str">
        <f>IF(OR(Fact_Impuestos[[#This Row], [Año]]="",Fact_Impuestos[[#This Row], [Mes]]=""),"",DATE(A2476,MATCH(B2476,{"enero","febrero","marzo","abril","mayo","junio","julio","agosto","septiembre","octubre","noviembre","diciembre"},0)+1,0))</f>
        <v/>
      </c>
      <c r="E2476" t="str">
        <f>+IFERROR(VLOOKUP(Fact_Impuestos[[#This Row], [Concepto Anterior]],Conceptos_Impuestos[#All],5,0),"")</f>
        <v/>
      </c>
      <c r="F2476" t="str">
        <f>+IFERROR(VLOOKUP(Fact_Impuestos[[#This Row], 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ht="18.75" customHeight="1" x14ac:dyDescent="0.35">
      <c r="C2477" s="100" t="str">
        <f>IF(OR(Fact_Impuestos[[#This Row], [Año]]="",Fact_Impuestos[[#This Row], [Mes]]=""),"",DATE(A2477,MATCH(B2477,{"enero","febrero","marzo","abril","mayo","junio","julio","agosto","septiembre","octubre","noviembre","diciembre"},0)+1,0))</f>
        <v/>
      </c>
      <c r="E2477" t="str">
        <f>+IFERROR(VLOOKUP(Fact_Impuestos[[#This Row], [Concepto Anterior]],Conceptos_Impuestos[#All],5,0),"")</f>
        <v/>
      </c>
      <c r="F2477" t="str">
        <f>+IFERROR(VLOOKUP(Fact_Impuestos[[#This Row], 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ht="18.75" customHeight="1" x14ac:dyDescent="0.35">
      <c r="C2478" s="100" t="str">
        <f>IF(OR(Fact_Impuestos[[#This Row], [Año]]="",Fact_Impuestos[[#This Row], [Mes]]=""),"",DATE(A2478,MATCH(B2478,{"enero","febrero","marzo","abril","mayo","junio","julio","agosto","septiembre","octubre","noviembre","diciembre"},0)+1,0))</f>
        <v/>
      </c>
      <c r="E2478" t="str">
        <f>+IFERROR(VLOOKUP(Fact_Impuestos[[#This Row], [Concepto Anterior]],Conceptos_Impuestos[#All],5,0),"")</f>
        <v/>
      </c>
      <c r="F2478" t="str">
        <f>+IFERROR(VLOOKUP(Fact_Impuestos[[#This Row], 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ht="18.75" customHeight="1" x14ac:dyDescent="0.35">
      <c r="C2479" s="100" t="str">
        <f>IF(OR(Fact_Impuestos[[#This Row], [Año]]="",Fact_Impuestos[[#This Row], [Mes]]=""),"",DATE(A2479,MATCH(B2479,{"enero","febrero","marzo","abril","mayo","junio","julio","agosto","septiembre","octubre","noviembre","diciembre"},0)+1,0))</f>
        <v/>
      </c>
      <c r="E2479" t="str">
        <f>+IFERROR(VLOOKUP(Fact_Impuestos[[#This Row], [Concepto Anterior]],Conceptos_Impuestos[#All],5,0),"")</f>
        <v/>
      </c>
      <c r="F2479" t="str">
        <f>+IFERROR(VLOOKUP(Fact_Impuestos[[#This Row], 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ht="18.75" customHeight="1" x14ac:dyDescent="0.35">
      <c r="C2480" s="100" t="str">
        <f>IF(OR(Fact_Impuestos[[#This Row], [Año]]="",Fact_Impuestos[[#This Row], [Mes]]=""),"",DATE(A2480,MATCH(B2480,{"enero","febrero","marzo","abril","mayo","junio","julio","agosto","septiembre","octubre","noviembre","diciembre"},0)+1,0))</f>
        <v/>
      </c>
      <c r="E2480" t="str">
        <f>+IFERROR(VLOOKUP(Fact_Impuestos[[#This Row], [Concepto Anterior]],Conceptos_Impuestos[#All],5,0),"")</f>
        <v/>
      </c>
      <c r="F2480" t="str">
        <f>+IFERROR(VLOOKUP(Fact_Impuestos[[#This Row], 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ht="18.75" customHeight="1" x14ac:dyDescent="0.35">
      <c r="C2481" s="100" t="str">
        <f>IF(OR(Fact_Impuestos[[#This Row], [Año]]="",Fact_Impuestos[[#This Row], [Mes]]=""),"",DATE(A2481,MATCH(B2481,{"enero","febrero","marzo","abril","mayo","junio","julio","agosto","septiembre","octubre","noviembre","diciembre"},0)+1,0))</f>
        <v/>
      </c>
      <c r="E2481" t="str">
        <f>+IFERROR(VLOOKUP(Fact_Impuestos[[#This Row], [Concepto Anterior]],Conceptos_Impuestos[#All],5,0),"")</f>
        <v/>
      </c>
      <c r="F2481" t="str">
        <f>+IFERROR(VLOOKUP(Fact_Impuestos[[#This Row], 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ht="18.75" customHeight="1" x14ac:dyDescent="0.35">
      <c r="C2482" s="100" t="str">
        <f>IF(OR(Fact_Impuestos[[#This Row], [Año]]="",Fact_Impuestos[[#This Row], [Mes]]=""),"",DATE(A2482,MATCH(B2482,{"enero","febrero","marzo","abril","mayo","junio","julio","agosto","septiembre","octubre","noviembre","diciembre"},0)+1,0))</f>
        <v/>
      </c>
      <c r="E2482" t="str">
        <f>+IFERROR(VLOOKUP(Fact_Impuestos[[#This Row], [Concepto Anterior]],Conceptos_Impuestos[#All],5,0),"")</f>
        <v/>
      </c>
      <c r="F2482" t="str">
        <f>+IFERROR(VLOOKUP(Fact_Impuestos[[#This Row], 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ht="18.75" customHeight="1" x14ac:dyDescent="0.35">
      <c r="C2483" s="100" t="str">
        <f>IF(OR(Fact_Impuestos[[#This Row], [Año]]="",Fact_Impuestos[[#This Row], [Mes]]=""),"",DATE(A2483,MATCH(B2483,{"enero","febrero","marzo","abril","mayo","junio","julio","agosto","septiembre","octubre","noviembre","diciembre"},0)+1,0))</f>
        <v/>
      </c>
      <c r="E2483" t="str">
        <f>+IFERROR(VLOOKUP(Fact_Impuestos[[#This Row], [Concepto Anterior]],Conceptos_Impuestos[#All],5,0),"")</f>
        <v/>
      </c>
      <c r="F2483" t="str">
        <f>+IFERROR(VLOOKUP(Fact_Impuestos[[#This Row], 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ht="18.75" customHeight="1" x14ac:dyDescent="0.35">
      <c r="C2484" s="100" t="str">
        <f>IF(OR(Fact_Impuestos[[#This Row], [Año]]="",Fact_Impuestos[[#This Row], [Mes]]=""),"",DATE(A2484,MATCH(B2484,{"enero","febrero","marzo","abril","mayo","junio","julio","agosto","septiembre","octubre","noviembre","diciembre"},0)+1,0))</f>
        <v/>
      </c>
      <c r="E2484" t="str">
        <f>+IFERROR(VLOOKUP(Fact_Impuestos[[#This Row], [Concepto Anterior]],Conceptos_Impuestos[#All],5,0),"")</f>
        <v/>
      </c>
      <c r="F2484" t="str">
        <f>+IFERROR(VLOOKUP(Fact_Impuestos[[#This Row], 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ht="18.75" customHeight="1" x14ac:dyDescent="0.35">
      <c r="C2485" s="100" t="str">
        <f>IF(OR(Fact_Impuestos[[#This Row], [Año]]="",Fact_Impuestos[[#This Row], [Mes]]=""),"",DATE(A2485,MATCH(B2485,{"enero","febrero","marzo","abril","mayo","junio","julio","agosto","septiembre","octubre","noviembre","diciembre"},0)+1,0))</f>
        <v/>
      </c>
      <c r="E2485" t="str">
        <f>+IFERROR(VLOOKUP(Fact_Impuestos[[#This Row], [Concepto Anterior]],Conceptos_Impuestos[#All],5,0),"")</f>
        <v/>
      </c>
      <c r="F2485" t="str">
        <f>+IFERROR(VLOOKUP(Fact_Impuestos[[#This Row], 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ht="18.75" customHeight="1" x14ac:dyDescent="0.35">
      <c r="C2486" s="100" t="str">
        <f>IF(OR(Fact_Impuestos[[#This Row], [Año]]="",Fact_Impuestos[[#This Row], [Mes]]=""),"",DATE(A2486,MATCH(B2486,{"enero","febrero","marzo","abril","mayo","junio","julio","agosto","septiembre","octubre","noviembre","diciembre"},0)+1,0))</f>
        <v/>
      </c>
      <c r="E2486" t="str">
        <f>+IFERROR(VLOOKUP(Fact_Impuestos[[#This Row], [Concepto Anterior]],Conceptos_Impuestos[#All],5,0),"")</f>
        <v/>
      </c>
      <c r="F2486" t="str">
        <f>+IFERROR(VLOOKUP(Fact_Impuestos[[#This Row], 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ht="18.75" customHeight="1" x14ac:dyDescent="0.35">
      <c r="C2487" s="100" t="str">
        <f>IF(OR(Fact_Impuestos[[#This Row], [Año]]="",Fact_Impuestos[[#This Row], [Mes]]=""),"",DATE(A2487,MATCH(B2487,{"enero","febrero","marzo","abril","mayo","junio","julio","agosto","septiembre","octubre","noviembre","diciembre"},0)+1,0))</f>
        <v/>
      </c>
      <c r="E2487" t="str">
        <f>+IFERROR(VLOOKUP(Fact_Impuestos[[#This Row], [Concepto Anterior]],Conceptos_Impuestos[#All],5,0),"")</f>
        <v/>
      </c>
      <c r="F2487" t="str">
        <f>+IFERROR(VLOOKUP(Fact_Impuestos[[#This Row], 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ht="18.75" customHeight="1" x14ac:dyDescent="0.35">
      <c r="C2488" s="100" t="str">
        <f>IF(OR(Fact_Impuestos[[#This Row], [Año]]="",Fact_Impuestos[[#This Row], [Mes]]=""),"",DATE(A2488,MATCH(B2488,{"enero","febrero","marzo","abril","mayo","junio","julio","agosto","septiembre","octubre","noviembre","diciembre"},0)+1,0))</f>
        <v/>
      </c>
      <c r="E2488" t="str">
        <f>+IFERROR(VLOOKUP(Fact_Impuestos[[#This Row], [Concepto Anterior]],Conceptos_Impuestos[#All],5,0),"")</f>
        <v/>
      </c>
      <c r="F2488" t="str">
        <f>+IFERROR(VLOOKUP(Fact_Impuestos[[#This Row], 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ht="18.75" customHeight="1" x14ac:dyDescent="0.35">
      <c r="C2489" s="100" t="str">
        <f>IF(OR(Fact_Impuestos[[#This Row], [Año]]="",Fact_Impuestos[[#This Row], [Mes]]=""),"",DATE(A2489,MATCH(B2489,{"enero","febrero","marzo","abril","mayo","junio","julio","agosto","septiembre","octubre","noviembre","diciembre"},0)+1,0))</f>
        <v/>
      </c>
      <c r="E2489" t="str">
        <f>+IFERROR(VLOOKUP(Fact_Impuestos[[#This Row], [Concepto Anterior]],Conceptos_Impuestos[#All],5,0),"")</f>
        <v/>
      </c>
      <c r="F2489" t="str">
        <f>+IFERROR(VLOOKUP(Fact_Impuestos[[#This Row], 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ht="18.75" customHeight="1" x14ac:dyDescent="0.35">
      <c r="C2490" s="100" t="str">
        <f>IF(OR(Fact_Impuestos[[#This Row], [Año]]="",Fact_Impuestos[[#This Row], [Mes]]=""),"",DATE(A2490,MATCH(B2490,{"enero","febrero","marzo","abril","mayo","junio","julio","agosto","septiembre","octubre","noviembre","diciembre"},0)+1,0))</f>
        <v/>
      </c>
      <c r="E2490" t="str">
        <f>+IFERROR(VLOOKUP(Fact_Impuestos[[#This Row], [Concepto Anterior]],Conceptos_Impuestos[#All],5,0),"")</f>
        <v/>
      </c>
      <c r="F2490" t="str">
        <f>+IFERROR(VLOOKUP(Fact_Impuestos[[#This Row], 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ht="18.75" customHeight="1" x14ac:dyDescent="0.35">
      <c r="C2491" s="100" t="str">
        <f>IF(OR(Fact_Impuestos[[#This Row], [Año]]="",Fact_Impuestos[[#This Row], [Mes]]=""),"",DATE(A2491,MATCH(B2491,{"enero","febrero","marzo","abril","mayo","junio","julio","agosto","septiembre","octubre","noviembre","diciembre"},0)+1,0))</f>
        <v/>
      </c>
      <c r="E2491" t="str">
        <f>+IFERROR(VLOOKUP(Fact_Impuestos[[#This Row], [Concepto Anterior]],Conceptos_Impuestos[#All],5,0),"")</f>
        <v/>
      </c>
      <c r="F2491" t="str">
        <f>+IFERROR(VLOOKUP(Fact_Impuestos[[#This Row], 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ht="18.75" customHeight="1" x14ac:dyDescent="0.35">
      <c r="C2492" s="100" t="str">
        <f>IF(OR(Fact_Impuestos[[#This Row], [Año]]="",Fact_Impuestos[[#This Row], [Mes]]=""),"",DATE(A2492,MATCH(B2492,{"enero","febrero","marzo","abril","mayo","junio","julio","agosto","septiembre","octubre","noviembre","diciembre"},0)+1,0))</f>
        <v/>
      </c>
      <c r="E2492" t="str">
        <f>+IFERROR(VLOOKUP(Fact_Impuestos[[#This Row], [Concepto Anterior]],Conceptos_Impuestos[#All],5,0),"")</f>
        <v/>
      </c>
      <c r="F2492" t="str">
        <f>+IFERROR(VLOOKUP(Fact_Impuestos[[#This Row], 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ht="18.75" customHeight="1" x14ac:dyDescent="0.35">
      <c r="C2493" s="100" t="str">
        <f>IF(OR(Fact_Impuestos[[#This Row], [Año]]="",Fact_Impuestos[[#This Row], [Mes]]=""),"",DATE(A2493,MATCH(B2493,{"enero","febrero","marzo","abril","mayo","junio","julio","agosto","septiembre","octubre","noviembre","diciembre"},0)+1,0))</f>
        <v/>
      </c>
      <c r="E2493" t="str">
        <f>+IFERROR(VLOOKUP(Fact_Impuestos[[#This Row], [Concepto Anterior]],Conceptos_Impuestos[#All],5,0),"")</f>
        <v/>
      </c>
      <c r="F2493" t="str">
        <f>+IFERROR(VLOOKUP(Fact_Impuestos[[#This Row], 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ht="18.75" customHeight="1" x14ac:dyDescent="0.35">
      <c r="C2494" s="100" t="str">
        <f>IF(OR(Fact_Impuestos[[#This Row], [Año]]="",Fact_Impuestos[[#This Row], [Mes]]=""),"",DATE(A2494,MATCH(B2494,{"enero","febrero","marzo","abril","mayo","junio","julio","agosto","septiembre","octubre","noviembre","diciembre"},0)+1,0))</f>
        <v/>
      </c>
      <c r="E2494" t="str">
        <f>+IFERROR(VLOOKUP(Fact_Impuestos[[#This Row], [Concepto Anterior]],Conceptos_Impuestos[#All],5,0),"")</f>
        <v/>
      </c>
      <c r="F2494" t="str">
        <f>+IFERROR(VLOOKUP(Fact_Impuestos[[#This Row], 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ht="18.75" customHeight="1" x14ac:dyDescent="0.35">
      <c r="C2495" s="100" t="str">
        <f>IF(OR(Fact_Impuestos[[#This Row], [Año]]="",Fact_Impuestos[[#This Row], [Mes]]=""),"",DATE(A2495,MATCH(B2495,{"enero","febrero","marzo","abril","mayo","junio","julio","agosto","septiembre","octubre","noviembre","diciembre"},0)+1,0))</f>
        <v/>
      </c>
      <c r="E2495" t="str">
        <f>+IFERROR(VLOOKUP(Fact_Impuestos[[#This Row], [Concepto Anterior]],Conceptos_Impuestos[#All],5,0),"")</f>
        <v/>
      </c>
      <c r="F2495" t="str">
        <f>+IFERROR(VLOOKUP(Fact_Impuestos[[#This Row], 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ht="18.75" customHeight="1" x14ac:dyDescent="0.35">
      <c r="C2496" s="100" t="str">
        <f>IF(OR(Fact_Impuestos[[#This Row], [Año]]="",Fact_Impuestos[[#This Row], [Mes]]=""),"",DATE(A2496,MATCH(B2496,{"enero","febrero","marzo","abril","mayo","junio","julio","agosto","septiembre","octubre","noviembre","diciembre"},0)+1,0))</f>
        <v/>
      </c>
      <c r="E2496" t="str">
        <f>+IFERROR(VLOOKUP(Fact_Impuestos[[#This Row], [Concepto Anterior]],Conceptos_Impuestos[#All],5,0),"")</f>
        <v/>
      </c>
      <c r="F2496" t="str">
        <f>+IFERROR(VLOOKUP(Fact_Impuestos[[#This Row], 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ht="18.75" customHeight="1" x14ac:dyDescent="0.35">
      <c r="C2497" s="100" t="str">
        <f>IF(OR(Fact_Impuestos[[#This Row], [Año]]="",Fact_Impuestos[[#This Row], [Mes]]=""),"",DATE(A2497,MATCH(B2497,{"enero","febrero","marzo","abril","mayo","junio","julio","agosto","septiembre","octubre","noviembre","diciembre"},0)+1,0))</f>
        <v/>
      </c>
      <c r="E2497" t="str">
        <f>+IFERROR(VLOOKUP(Fact_Impuestos[[#This Row], [Concepto Anterior]],Conceptos_Impuestos[#All],5,0),"")</f>
        <v/>
      </c>
      <c r="F2497" t="str">
        <f>+IFERROR(VLOOKUP(Fact_Impuestos[[#This Row], 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ht="18.75" customHeight="1" x14ac:dyDescent="0.35">
      <c r="C2498" s="100" t="str">
        <f>IF(OR(Fact_Impuestos[[#This Row], [Año]]="",Fact_Impuestos[[#This Row], [Mes]]=""),"",DATE(A2498,MATCH(B2498,{"enero","febrero","marzo","abril","mayo","junio","julio","agosto","septiembre","octubre","noviembre","diciembre"},0)+1,0))</f>
        <v/>
      </c>
      <c r="E2498" t="str">
        <f>+IFERROR(VLOOKUP(Fact_Impuestos[[#This Row], [Concepto Anterior]],Conceptos_Impuestos[#All],5,0),"")</f>
        <v/>
      </c>
      <c r="F2498" t="str">
        <f>+IFERROR(VLOOKUP(Fact_Impuestos[[#This Row], 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ht="18.75" customHeight="1" x14ac:dyDescent="0.35">
      <c r="C2499" s="100" t="str">
        <f>IF(OR(Fact_Impuestos[[#This Row], [Año]]="",Fact_Impuestos[[#This Row], [Mes]]=""),"",DATE(A2499,MATCH(B2499,{"enero","febrero","marzo","abril","mayo","junio","julio","agosto","septiembre","octubre","noviembre","diciembre"},0)+1,0))</f>
        <v/>
      </c>
      <c r="E2499" t="str">
        <f>+IFERROR(VLOOKUP(Fact_Impuestos[[#This Row], [Concepto Anterior]],Conceptos_Impuestos[#All],5,0),"")</f>
        <v/>
      </c>
      <c r="F2499" t="str">
        <f>+IFERROR(VLOOKUP(Fact_Impuestos[[#This Row], 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ht="18.75" customHeight="1" x14ac:dyDescent="0.35">
      <c r="C2500" s="100" t="str">
        <f>IF(OR(Fact_Impuestos[[#This Row], [Año]]="",Fact_Impuestos[[#This Row], [Mes]]=""),"",DATE(A2500,MATCH(B2500,{"enero","febrero","marzo","abril","mayo","junio","julio","agosto","septiembre","octubre","noviembre","diciembre"},0)+1,0))</f>
        <v/>
      </c>
      <c r="E2500" t="str">
        <f>+IFERROR(VLOOKUP(Fact_Impuestos[[#This Row], [Concepto Anterior]],Conceptos_Impuestos[#All],5,0),"")</f>
        <v/>
      </c>
      <c r="F2500" t="str">
        <f>+IFERROR(VLOOKUP(Fact_Impuestos[[#This Row], 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ht="18.75" customHeight="1" x14ac:dyDescent="0.35">
      <c r="C2501" s="100" t="str">
        <f>IF(OR(Fact_Impuestos[[#This Row], [Año]]="",Fact_Impuestos[[#This Row], [Mes]]=""),"",DATE(A2501,MATCH(B2501,{"enero","febrero","marzo","abril","mayo","junio","julio","agosto","septiembre","octubre","noviembre","diciembre"},0)+1,0))</f>
        <v/>
      </c>
      <c r="E2501" t="str">
        <f>+IFERROR(VLOOKUP(Fact_Impuestos[[#This Row], [Concepto Anterior]],Conceptos_Impuestos[#All],5,0),"")</f>
        <v/>
      </c>
      <c r="F2501" t="str">
        <f>+IFERROR(VLOOKUP(Fact_Impuestos[[#This Row], 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ht="18.75" customHeight="1" x14ac:dyDescent="0.35">
      <c r="C2502" s="100" t="str">
        <f>IF(OR(Fact_Impuestos[[#This Row], [Año]]="",Fact_Impuestos[[#This Row], [Mes]]=""),"",DATE(A2502,MATCH(B2502,{"enero","febrero","marzo","abril","mayo","junio","julio","agosto","septiembre","octubre","noviembre","diciembre"},0)+1,0))</f>
        <v/>
      </c>
      <c r="E2502" t="str">
        <f>+IFERROR(VLOOKUP(Fact_Impuestos[[#This Row], [Concepto Anterior]],Conceptos_Impuestos[#All],5,0),"")</f>
        <v/>
      </c>
      <c r="F2502" t="str">
        <f>+IFERROR(VLOOKUP(Fact_Impuestos[[#This Row], 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ht="18.75" customHeight="1" x14ac:dyDescent="0.35">
      <c r="C2503" s="100" t="str">
        <f>IF(OR(Fact_Impuestos[[#This Row], [Año]]="",Fact_Impuestos[[#This Row], [Mes]]=""),"",DATE(A2503,MATCH(B2503,{"enero","febrero","marzo","abril","mayo","junio","julio","agosto","septiembre","octubre","noviembre","diciembre"},0)+1,0))</f>
        <v/>
      </c>
      <c r="E2503" t="str">
        <f>+IFERROR(VLOOKUP(Fact_Impuestos[[#This Row], [Concepto Anterior]],Conceptos_Impuestos[#All],5,0),"")</f>
        <v/>
      </c>
      <c r="F2503" t="str">
        <f>+IFERROR(VLOOKUP(Fact_Impuestos[[#This Row], 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ht="18.75" customHeight="1" x14ac:dyDescent="0.35">
      <c r="C2504" s="100" t="str">
        <f>IF(OR(Fact_Impuestos[[#This Row], [Año]]="",Fact_Impuestos[[#This Row], [Mes]]=""),"",DATE(A2504,MATCH(B2504,{"enero","febrero","marzo","abril","mayo","junio","julio","agosto","septiembre","octubre","noviembre","diciembre"},0)+1,0))</f>
        <v/>
      </c>
      <c r="E2504" t="str">
        <f>+IFERROR(VLOOKUP(Fact_Impuestos[[#This Row], [Concepto Anterior]],Conceptos_Impuestos[#All],5,0),"")</f>
        <v/>
      </c>
      <c r="F2504" t="str">
        <f>+IFERROR(VLOOKUP(Fact_Impuestos[[#This Row], 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ht="18.75" customHeight="1" x14ac:dyDescent="0.35">
      <c r="C2505" s="100" t="str">
        <f>IF(OR(Fact_Impuestos[[#This Row], [Año]]="",Fact_Impuestos[[#This Row], [Mes]]=""),"",DATE(A2505,MATCH(B2505,{"enero","febrero","marzo","abril","mayo","junio","julio","agosto","septiembre","octubre","noviembre","diciembre"},0)+1,0))</f>
        <v/>
      </c>
      <c r="E2505" t="str">
        <f>+IFERROR(VLOOKUP(Fact_Impuestos[[#This Row], [Concepto Anterior]],Conceptos_Impuestos[#All],5,0),"")</f>
        <v/>
      </c>
      <c r="F2505" t="str">
        <f>+IFERROR(VLOOKUP(Fact_Impuestos[[#This Row], 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ht="18.75" customHeight="1" x14ac:dyDescent="0.35">
      <c r="C2506" s="100" t="str">
        <f>IF(OR(Fact_Impuestos[[#This Row], [Año]]="",Fact_Impuestos[[#This Row], [Mes]]=""),"",DATE(A2506,MATCH(B2506,{"enero","febrero","marzo","abril","mayo","junio","julio","agosto","septiembre","octubre","noviembre","diciembre"},0)+1,0))</f>
        <v/>
      </c>
      <c r="E2506" t="str">
        <f>+IFERROR(VLOOKUP(Fact_Impuestos[[#This Row], [Concepto Anterior]],Conceptos_Impuestos[#All],5,0),"")</f>
        <v/>
      </c>
      <c r="F2506" t="str">
        <f>+IFERROR(VLOOKUP(Fact_Impuestos[[#This Row], 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ht="18.75" customHeight="1" x14ac:dyDescent="0.35">
      <c r="C2507" s="100" t="str">
        <f>IF(OR(Fact_Impuestos[[#This Row], [Año]]="",Fact_Impuestos[[#This Row], [Mes]]=""),"",DATE(A2507,MATCH(B2507,{"enero","febrero","marzo","abril","mayo","junio","julio","agosto","septiembre","octubre","noviembre","diciembre"},0)+1,0))</f>
        <v/>
      </c>
      <c r="E2507" t="str">
        <f>+IFERROR(VLOOKUP(Fact_Impuestos[[#This Row], [Concepto Anterior]],Conceptos_Impuestos[#All],5,0),"")</f>
        <v/>
      </c>
      <c r="F2507" t="str">
        <f>+IFERROR(VLOOKUP(Fact_Impuestos[[#This Row], 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ht="18.75" customHeight="1" x14ac:dyDescent="0.35">
      <c r="C2508" s="100" t="str">
        <f>IF(OR(Fact_Impuestos[[#This Row], [Año]]="",Fact_Impuestos[[#This Row], [Mes]]=""),"",DATE(A2508,MATCH(B2508,{"enero","febrero","marzo","abril","mayo","junio","julio","agosto","septiembre","octubre","noviembre","diciembre"},0)+1,0))</f>
        <v/>
      </c>
      <c r="E2508" t="str">
        <f>+IFERROR(VLOOKUP(Fact_Impuestos[[#This Row], [Concepto Anterior]],Conceptos_Impuestos[#All],5,0),"")</f>
        <v/>
      </c>
      <c r="F2508" t="str">
        <f>+IFERROR(VLOOKUP(Fact_Impuestos[[#This Row], 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ht="18.75" customHeight="1" x14ac:dyDescent="0.35">
      <c r="C2509" s="100" t="str">
        <f>IF(OR(Fact_Impuestos[[#This Row], [Año]]="",Fact_Impuestos[[#This Row], [Mes]]=""),"",DATE(A2509,MATCH(B2509,{"enero","febrero","marzo","abril","mayo","junio","julio","agosto","septiembre","octubre","noviembre","diciembre"},0)+1,0))</f>
        <v/>
      </c>
      <c r="E2509" t="str">
        <f>+IFERROR(VLOOKUP(Fact_Impuestos[[#This Row], [Concepto Anterior]],Conceptos_Impuestos[#All],5,0),"")</f>
        <v/>
      </c>
      <c r="F2509" t="str">
        <f>+IFERROR(VLOOKUP(Fact_Impuestos[[#This Row], 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ht="18.75" customHeight="1" x14ac:dyDescent="0.35">
      <c r="C2510" s="100" t="str">
        <f>IF(OR(Fact_Impuestos[[#This Row], [Año]]="",Fact_Impuestos[[#This Row], [Mes]]=""),"",DATE(A2510,MATCH(B2510,{"enero","febrero","marzo","abril","mayo","junio","julio","agosto","septiembre","octubre","noviembre","diciembre"},0)+1,0))</f>
        <v/>
      </c>
      <c r="E2510" t="str">
        <f>+IFERROR(VLOOKUP(Fact_Impuestos[[#This Row], [Concepto Anterior]],Conceptos_Impuestos[#All],5,0),"")</f>
        <v/>
      </c>
      <c r="F2510" t="str">
        <f>+IFERROR(VLOOKUP(Fact_Impuestos[[#This Row], 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ht="18.75" customHeight="1" x14ac:dyDescent="0.35">
      <c r="C2511" s="100" t="str">
        <f>IF(OR(Fact_Impuestos[[#This Row], [Año]]="",Fact_Impuestos[[#This Row], [Mes]]=""),"",DATE(A2511,MATCH(B2511,{"enero","febrero","marzo","abril","mayo","junio","julio","agosto","septiembre","octubre","noviembre","diciembre"},0)+1,0))</f>
        <v/>
      </c>
      <c r="E2511" t="str">
        <f>+IFERROR(VLOOKUP(Fact_Impuestos[[#This Row], [Concepto Anterior]],Conceptos_Impuestos[#All],5,0),"")</f>
        <v/>
      </c>
      <c r="F2511" t="str">
        <f>+IFERROR(VLOOKUP(Fact_Impuestos[[#This Row], 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ht="18.75" customHeight="1" x14ac:dyDescent="0.35">
      <c r="C2512" s="100" t="str">
        <f>IF(OR(Fact_Impuestos[[#This Row], [Año]]="",Fact_Impuestos[[#This Row], [Mes]]=""),"",DATE(A2512,MATCH(B2512,{"enero","febrero","marzo","abril","mayo","junio","julio","agosto","septiembre","octubre","noviembre","diciembre"},0)+1,0))</f>
        <v/>
      </c>
      <c r="E2512" t="str">
        <f>+IFERROR(VLOOKUP(Fact_Impuestos[[#This Row], [Concepto Anterior]],Conceptos_Impuestos[#All],5,0),"")</f>
        <v/>
      </c>
      <c r="F2512" t="str">
        <f>+IFERROR(VLOOKUP(Fact_Impuestos[[#This Row], 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ht="18.75" customHeight="1" x14ac:dyDescent="0.35">
      <c r="C2513" s="100" t="str">
        <f>IF(OR(Fact_Impuestos[[#This Row], [Año]]="",Fact_Impuestos[[#This Row], [Mes]]=""),"",DATE(A2513,MATCH(B2513,{"enero","febrero","marzo","abril","mayo","junio","julio","agosto","septiembre","octubre","noviembre","diciembre"},0)+1,0))</f>
        <v/>
      </c>
      <c r="E2513" t="str">
        <f>+IFERROR(VLOOKUP(Fact_Impuestos[[#This Row], [Concepto Anterior]],Conceptos_Impuestos[#All],5,0),"")</f>
        <v/>
      </c>
      <c r="F2513" t="str">
        <f>+IFERROR(VLOOKUP(Fact_Impuestos[[#This Row], 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ht="18.75" customHeight="1" x14ac:dyDescent="0.35">
      <c r="C2514" s="100" t="str">
        <f>IF(OR(Fact_Impuestos[[#This Row], [Año]]="",Fact_Impuestos[[#This Row], [Mes]]=""),"",DATE(A2514,MATCH(B2514,{"enero","febrero","marzo","abril","mayo","junio","julio","agosto","septiembre","octubre","noviembre","diciembre"},0)+1,0))</f>
        <v/>
      </c>
      <c r="E2514" t="str">
        <f>+IFERROR(VLOOKUP(Fact_Impuestos[[#This Row], [Concepto Anterior]],Conceptos_Impuestos[#All],5,0),"")</f>
        <v/>
      </c>
      <c r="F2514" t="str">
        <f>+IFERROR(VLOOKUP(Fact_Impuestos[[#This Row], 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ht="18.75" customHeight="1" x14ac:dyDescent="0.35">
      <c r="C2515" s="100" t="str">
        <f>IF(OR(Fact_Impuestos[[#This Row], [Año]]="",Fact_Impuestos[[#This Row], [Mes]]=""),"",DATE(A2515,MATCH(B2515,{"enero","febrero","marzo","abril","mayo","junio","julio","agosto","septiembre","octubre","noviembre","diciembre"},0)+1,0))</f>
        <v/>
      </c>
      <c r="E2515" t="str">
        <f>+IFERROR(VLOOKUP(Fact_Impuestos[[#This Row], [Concepto Anterior]],Conceptos_Impuestos[#All],5,0),"")</f>
        <v/>
      </c>
      <c r="F2515" t="str">
        <f>+IFERROR(VLOOKUP(Fact_Impuestos[[#This Row], 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ht="18.75" customHeight="1" x14ac:dyDescent="0.35">
      <c r="C2516" s="100" t="str">
        <f>IF(OR(Fact_Impuestos[[#This Row], [Año]]="",Fact_Impuestos[[#This Row], [Mes]]=""),"",DATE(A2516,MATCH(B2516,{"enero","febrero","marzo","abril","mayo","junio","julio","agosto","septiembre","octubre","noviembre","diciembre"},0)+1,0))</f>
        <v/>
      </c>
      <c r="E2516" t="str">
        <f>+IFERROR(VLOOKUP(Fact_Impuestos[[#This Row], [Concepto Anterior]],Conceptos_Impuestos[#All],5,0),"")</f>
        <v/>
      </c>
      <c r="F2516" t="str">
        <f>+IFERROR(VLOOKUP(Fact_Impuestos[[#This Row], 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ht="18.75" customHeight="1" x14ac:dyDescent="0.35">
      <c r="C2517" s="100" t="str">
        <f>IF(OR(Fact_Impuestos[[#This Row], [Año]]="",Fact_Impuestos[[#This Row], [Mes]]=""),"",DATE(A2517,MATCH(B2517,{"enero","febrero","marzo","abril","mayo","junio","julio","agosto","septiembre","octubre","noviembre","diciembre"},0)+1,0))</f>
        <v/>
      </c>
      <c r="E2517" t="str">
        <f>+IFERROR(VLOOKUP(Fact_Impuestos[[#This Row], [Concepto Anterior]],Conceptos_Impuestos[#All],5,0),"")</f>
        <v/>
      </c>
      <c r="F2517" t="str">
        <f>+IFERROR(VLOOKUP(Fact_Impuestos[[#This Row], 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ht="18.75" customHeight="1" x14ac:dyDescent="0.35">
      <c r="C2518" s="100" t="str">
        <f>IF(OR(Fact_Impuestos[[#This Row], [Año]]="",Fact_Impuestos[[#This Row], [Mes]]=""),"",DATE(A2518,MATCH(B2518,{"enero","febrero","marzo","abril","mayo","junio","julio","agosto","septiembre","octubre","noviembre","diciembre"},0)+1,0))</f>
        <v/>
      </c>
      <c r="E2518" t="str">
        <f>+IFERROR(VLOOKUP(Fact_Impuestos[[#This Row], [Concepto Anterior]],Conceptos_Impuestos[#All],5,0),"")</f>
        <v/>
      </c>
      <c r="F2518" t="str">
        <f>+IFERROR(VLOOKUP(Fact_Impuestos[[#This Row], 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ht="18.75" customHeight="1" x14ac:dyDescent="0.35">
      <c r="C2519" s="100" t="str">
        <f>IF(OR(Fact_Impuestos[[#This Row], [Año]]="",Fact_Impuestos[[#This Row], [Mes]]=""),"",DATE(A2519,MATCH(B2519,{"enero","febrero","marzo","abril","mayo","junio","julio","agosto","septiembre","octubre","noviembre","diciembre"},0)+1,0))</f>
        <v/>
      </c>
      <c r="E2519" t="str">
        <f>+IFERROR(VLOOKUP(Fact_Impuestos[[#This Row], [Concepto Anterior]],Conceptos_Impuestos[#All],5,0),"")</f>
        <v/>
      </c>
      <c r="F2519" t="str">
        <f>+IFERROR(VLOOKUP(Fact_Impuestos[[#This Row], 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ht="18.75" customHeight="1" x14ac:dyDescent="0.35">
      <c r="C2520" s="100" t="str">
        <f>IF(OR(Fact_Impuestos[[#This Row], [Año]]="",Fact_Impuestos[[#This Row], [Mes]]=""),"",DATE(A2520,MATCH(B2520,{"enero","febrero","marzo","abril","mayo","junio","julio","agosto","septiembre","octubre","noviembre","diciembre"},0)+1,0))</f>
        <v/>
      </c>
      <c r="E2520" t="str">
        <f>+IFERROR(VLOOKUP(Fact_Impuestos[[#This Row], [Concepto Anterior]],Conceptos_Impuestos[#All],5,0),"")</f>
        <v/>
      </c>
      <c r="F2520" t="str">
        <f>+IFERROR(VLOOKUP(Fact_Impuestos[[#This Row], 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ht="18.75" customHeight="1" x14ac:dyDescent="0.35">
      <c r="C2521" s="100" t="str">
        <f>IF(OR(Fact_Impuestos[[#This Row], [Año]]="",Fact_Impuestos[[#This Row], [Mes]]=""),"",DATE(A2521,MATCH(B2521,{"enero","febrero","marzo","abril","mayo","junio","julio","agosto","septiembre","octubre","noviembre","diciembre"},0)+1,0))</f>
        <v/>
      </c>
      <c r="E2521" t="str">
        <f>+IFERROR(VLOOKUP(Fact_Impuestos[[#This Row], [Concepto Anterior]],Conceptos_Impuestos[#All],5,0),"")</f>
        <v/>
      </c>
      <c r="F2521" t="str">
        <f>+IFERROR(VLOOKUP(Fact_Impuestos[[#This Row], 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ht="18.75" customHeight="1" x14ac:dyDescent="0.35">
      <c r="C2522" s="100" t="str">
        <f>IF(OR(Fact_Impuestos[[#This Row], [Año]]="",Fact_Impuestos[[#This Row], [Mes]]=""),"",DATE(A2522,MATCH(B2522,{"enero","febrero","marzo","abril","mayo","junio","julio","agosto","septiembre","octubre","noviembre","diciembre"},0)+1,0))</f>
        <v/>
      </c>
      <c r="E2522" t="str">
        <f>+IFERROR(VLOOKUP(Fact_Impuestos[[#This Row], [Concepto Anterior]],Conceptos_Impuestos[#All],5,0),"")</f>
        <v/>
      </c>
      <c r="F2522" t="str">
        <f>+IFERROR(VLOOKUP(Fact_Impuestos[[#This Row], 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ht="18.75" customHeight="1" x14ac:dyDescent="0.35">
      <c r="C2523" s="100" t="str">
        <f>IF(OR(Fact_Impuestos[[#This Row], [Año]]="",Fact_Impuestos[[#This Row], [Mes]]=""),"",DATE(A2523,MATCH(B2523,{"enero","febrero","marzo","abril","mayo","junio","julio","agosto","septiembre","octubre","noviembre","diciembre"},0)+1,0))</f>
        <v/>
      </c>
      <c r="E2523" t="str">
        <f>+IFERROR(VLOOKUP(Fact_Impuestos[[#This Row], [Concepto Anterior]],Conceptos_Impuestos[#All],5,0),"")</f>
        <v/>
      </c>
      <c r="F2523" t="str">
        <f>+IFERROR(VLOOKUP(Fact_Impuestos[[#This Row], 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ht="18.75" customHeight="1" x14ac:dyDescent="0.35">
      <c r="C2524" s="100" t="str">
        <f>IF(OR(Fact_Impuestos[[#This Row], [Año]]="",Fact_Impuestos[[#This Row], [Mes]]=""),"",DATE(A2524,MATCH(B2524,{"enero","febrero","marzo","abril","mayo","junio","julio","agosto","septiembre","octubre","noviembre","diciembre"},0)+1,0))</f>
        <v/>
      </c>
      <c r="E2524" t="str">
        <f>+IFERROR(VLOOKUP(Fact_Impuestos[[#This Row], [Concepto Anterior]],Conceptos_Impuestos[#All],5,0),"")</f>
        <v/>
      </c>
      <c r="F2524" t="str">
        <f>+IFERROR(VLOOKUP(Fact_Impuestos[[#This Row], 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ht="18.75" customHeight="1" x14ac:dyDescent="0.35">
      <c r="C2525" s="100" t="str">
        <f>IF(OR(Fact_Impuestos[[#This Row], [Año]]="",Fact_Impuestos[[#This Row], [Mes]]=""),"",DATE(A2525,MATCH(B2525,{"enero","febrero","marzo","abril","mayo","junio","julio","agosto","septiembre","octubre","noviembre","diciembre"},0)+1,0))</f>
        <v/>
      </c>
      <c r="E2525" t="str">
        <f>+IFERROR(VLOOKUP(Fact_Impuestos[[#This Row], [Concepto Anterior]],Conceptos_Impuestos[#All],5,0),"")</f>
        <v/>
      </c>
      <c r="F2525" t="str">
        <f>+IFERROR(VLOOKUP(Fact_Impuestos[[#This Row], 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ht="18.75" customHeight="1" x14ac:dyDescent="0.35">
      <c r="C2526" s="100" t="str">
        <f>IF(OR(Fact_Impuestos[[#This Row], [Año]]="",Fact_Impuestos[[#This Row], [Mes]]=""),"",DATE(A2526,MATCH(B2526,{"enero","febrero","marzo","abril","mayo","junio","julio","agosto","septiembre","octubre","noviembre","diciembre"},0)+1,0))</f>
        <v/>
      </c>
      <c r="E2526" t="str">
        <f>+IFERROR(VLOOKUP(Fact_Impuestos[[#This Row], [Concepto Anterior]],Conceptos_Impuestos[#All],5,0),"")</f>
        <v/>
      </c>
      <c r="F2526" t="str">
        <f>+IFERROR(VLOOKUP(Fact_Impuestos[[#This Row], 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ht="18.75" customHeight="1" x14ac:dyDescent="0.35">
      <c r="C2527" s="100" t="str">
        <f>IF(OR(Fact_Impuestos[[#This Row], [Año]]="",Fact_Impuestos[[#This Row], [Mes]]=""),"",DATE(A2527,MATCH(B2527,{"enero","febrero","marzo","abril","mayo","junio","julio","agosto","septiembre","octubre","noviembre","diciembre"},0)+1,0))</f>
        <v/>
      </c>
      <c r="E2527" t="str">
        <f>+IFERROR(VLOOKUP(Fact_Impuestos[[#This Row], [Concepto Anterior]],Conceptos_Impuestos[#All],5,0),"")</f>
        <v/>
      </c>
      <c r="F2527" t="str">
        <f>+IFERROR(VLOOKUP(Fact_Impuestos[[#This Row], 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ht="18.75" customHeight="1" x14ac:dyDescent="0.35">
      <c r="C2528" s="100" t="str">
        <f>IF(OR(Fact_Impuestos[[#This Row], [Año]]="",Fact_Impuestos[[#This Row], [Mes]]=""),"",DATE(A2528,MATCH(B2528,{"enero","febrero","marzo","abril","mayo","junio","julio","agosto","septiembre","octubre","noviembre","diciembre"},0)+1,0))</f>
        <v/>
      </c>
      <c r="E2528" t="str">
        <f>+IFERROR(VLOOKUP(Fact_Impuestos[[#This Row], [Concepto Anterior]],Conceptos_Impuestos[#All],5,0),"")</f>
        <v/>
      </c>
      <c r="F2528" t="str">
        <f>+IFERROR(VLOOKUP(Fact_Impuestos[[#This Row], 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ht="18.75" customHeight="1" x14ac:dyDescent="0.35">
      <c r="C2529" s="100" t="str">
        <f>IF(OR(Fact_Impuestos[[#This Row], [Año]]="",Fact_Impuestos[[#This Row], [Mes]]=""),"",DATE(A2529,MATCH(B2529,{"enero","febrero","marzo","abril","mayo","junio","julio","agosto","septiembre","octubre","noviembre","diciembre"},0)+1,0))</f>
        <v/>
      </c>
      <c r="E2529" t="str">
        <f>+IFERROR(VLOOKUP(Fact_Impuestos[[#This Row], [Concepto Anterior]],Conceptos_Impuestos[#All],5,0),"")</f>
        <v/>
      </c>
      <c r="F2529" t="str">
        <f>+IFERROR(VLOOKUP(Fact_Impuestos[[#This Row], 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ht="18.75" customHeight="1" x14ac:dyDescent="0.35">
      <c r="C2530" s="100" t="str">
        <f>IF(OR(Fact_Impuestos[[#This Row], [Año]]="",Fact_Impuestos[[#This Row], [Mes]]=""),"",DATE(A2530,MATCH(B2530,{"enero","febrero","marzo","abril","mayo","junio","julio","agosto","septiembre","octubre","noviembre","diciembre"},0)+1,0))</f>
        <v/>
      </c>
      <c r="E2530" t="str">
        <f>+IFERROR(VLOOKUP(Fact_Impuestos[[#This Row], [Concepto Anterior]],Conceptos_Impuestos[#All],5,0),"")</f>
        <v/>
      </c>
      <c r="F2530" t="str">
        <f>+IFERROR(VLOOKUP(Fact_Impuestos[[#This Row], 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ht="18.75" customHeight="1" x14ac:dyDescent="0.35">
      <c r="C2531" s="100" t="str">
        <f>IF(OR(Fact_Impuestos[[#This Row], [Año]]="",Fact_Impuestos[[#This Row], [Mes]]=""),"",DATE(A2531,MATCH(B2531,{"enero","febrero","marzo","abril","mayo","junio","julio","agosto","septiembre","octubre","noviembre","diciembre"},0)+1,0))</f>
        <v/>
      </c>
      <c r="E2531" t="str">
        <f>+IFERROR(VLOOKUP(Fact_Impuestos[[#This Row], [Concepto Anterior]],Conceptos_Impuestos[#All],5,0),"")</f>
        <v/>
      </c>
      <c r="F2531" t="str">
        <f>+IFERROR(VLOOKUP(Fact_Impuestos[[#This Row], 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ht="18.75" customHeight="1" x14ac:dyDescent="0.35">
      <c r="C2532" s="100" t="str">
        <f>IF(OR(Fact_Impuestos[[#This Row], [Año]]="",Fact_Impuestos[[#This Row], [Mes]]=""),"",DATE(A2532,MATCH(B2532,{"enero","febrero","marzo","abril","mayo","junio","julio","agosto","septiembre","octubre","noviembre","diciembre"},0)+1,0))</f>
        <v/>
      </c>
      <c r="E2532" t="str">
        <f>+IFERROR(VLOOKUP(Fact_Impuestos[[#This Row], [Concepto Anterior]],Conceptos_Impuestos[#All],5,0),"")</f>
        <v/>
      </c>
      <c r="F2532" t="str">
        <f>+IFERROR(VLOOKUP(Fact_Impuestos[[#This Row], 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ht="18.75" customHeight="1" x14ac:dyDescent="0.35">
      <c r="C2533" s="100" t="str">
        <f>IF(OR(Fact_Impuestos[[#This Row], [Año]]="",Fact_Impuestos[[#This Row], [Mes]]=""),"",DATE(A2533,MATCH(B2533,{"enero","febrero","marzo","abril","mayo","junio","julio","agosto","septiembre","octubre","noviembre","diciembre"},0)+1,0))</f>
        <v/>
      </c>
      <c r="E2533" t="str">
        <f>+IFERROR(VLOOKUP(Fact_Impuestos[[#This Row], [Concepto Anterior]],Conceptos_Impuestos[#All],5,0),"")</f>
        <v/>
      </c>
      <c r="F2533" t="str">
        <f>+IFERROR(VLOOKUP(Fact_Impuestos[[#This Row], 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ht="18.75" customHeight="1" x14ac:dyDescent="0.35">
      <c r="C2534" s="100" t="str">
        <f>IF(OR(Fact_Impuestos[[#This Row], [Año]]="",Fact_Impuestos[[#This Row], [Mes]]=""),"",DATE(A2534,MATCH(B2534,{"enero","febrero","marzo","abril","mayo","junio","julio","agosto","septiembre","octubre","noviembre","diciembre"},0)+1,0))</f>
        <v/>
      </c>
      <c r="E2534" t="str">
        <f>+IFERROR(VLOOKUP(Fact_Impuestos[[#This Row], [Concepto Anterior]],Conceptos_Impuestos[#All],5,0),"")</f>
        <v/>
      </c>
      <c r="F2534" t="str">
        <f>+IFERROR(VLOOKUP(Fact_Impuestos[[#This Row], 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ht="18.75" customHeight="1" x14ac:dyDescent="0.35">
      <c r="C2535" s="100" t="str">
        <f>IF(OR(Fact_Impuestos[[#This Row], [Año]]="",Fact_Impuestos[[#This Row], [Mes]]=""),"",DATE(A2535,MATCH(B2535,{"enero","febrero","marzo","abril","mayo","junio","julio","agosto","septiembre","octubre","noviembre","diciembre"},0)+1,0))</f>
        <v/>
      </c>
      <c r="E2535" t="str">
        <f>+IFERROR(VLOOKUP(Fact_Impuestos[[#This Row], [Concepto Anterior]],Conceptos_Impuestos[#All],5,0),"")</f>
        <v/>
      </c>
      <c r="F2535" t="str">
        <f>+IFERROR(VLOOKUP(Fact_Impuestos[[#This Row], 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ht="18.75" customHeight="1" x14ac:dyDescent="0.35">
      <c r="C2536" s="100" t="str">
        <f>IF(OR(Fact_Impuestos[[#This Row], [Año]]="",Fact_Impuestos[[#This Row], [Mes]]=""),"",DATE(A2536,MATCH(B2536,{"enero","febrero","marzo","abril","mayo","junio","julio","agosto","septiembre","octubre","noviembre","diciembre"},0)+1,0))</f>
        <v/>
      </c>
      <c r="E2536" t="str">
        <f>+IFERROR(VLOOKUP(Fact_Impuestos[[#This Row], [Concepto Anterior]],Conceptos_Impuestos[#All],5,0),"")</f>
        <v/>
      </c>
      <c r="F2536" t="str">
        <f>+IFERROR(VLOOKUP(Fact_Impuestos[[#This Row], 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ht="18.75" customHeight="1" x14ac:dyDescent="0.35">
      <c r="C2537" s="100" t="str">
        <f>IF(OR(Fact_Impuestos[[#This Row], [Año]]="",Fact_Impuestos[[#This Row], [Mes]]=""),"",DATE(A2537,MATCH(B2537,{"enero","febrero","marzo","abril","mayo","junio","julio","agosto","septiembre","octubre","noviembre","diciembre"},0)+1,0))</f>
        <v/>
      </c>
      <c r="E2537" t="str">
        <f>+IFERROR(VLOOKUP(Fact_Impuestos[[#This Row], [Concepto Anterior]],Conceptos_Impuestos[#All],5,0),"")</f>
        <v/>
      </c>
      <c r="F2537" t="str">
        <f>+IFERROR(VLOOKUP(Fact_Impuestos[[#This Row], 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ht="18.75" customHeight="1" x14ac:dyDescent="0.35">
      <c r="C2538" s="100" t="str">
        <f>IF(OR(Fact_Impuestos[[#This Row], [Año]]="",Fact_Impuestos[[#This Row], [Mes]]=""),"",DATE(A2538,MATCH(B2538,{"enero","febrero","marzo","abril","mayo","junio","julio","agosto","septiembre","octubre","noviembre","diciembre"},0)+1,0))</f>
        <v/>
      </c>
      <c r="E2538" t="str">
        <f>+IFERROR(VLOOKUP(Fact_Impuestos[[#This Row], [Concepto Anterior]],Conceptos_Impuestos[#All],5,0),"")</f>
        <v/>
      </c>
      <c r="F2538" t="str">
        <f>+IFERROR(VLOOKUP(Fact_Impuestos[[#This Row], 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ht="18.75" customHeight="1" x14ac:dyDescent="0.35">
      <c r="C2539" s="100" t="str">
        <f>IF(OR(Fact_Impuestos[[#This Row], [Año]]="",Fact_Impuestos[[#This Row], [Mes]]=""),"",DATE(A2539,MATCH(B2539,{"enero","febrero","marzo","abril","mayo","junio","julio","agosto","septiembre","octubre","noviembre","diciembre"},0)+1,0))</f>
        <v/>
      </c>
      <c r="E2539" t="str">
        <f>+IFERROR(VLOOKUP(Fact_Impuestos[[#This Row], [Concepto Anterior]],Conceptos_Impuestos[#All],5,0),"")</f>
        <v/>
      </c>
      <c r="F2539" t="str">
        <f>+IFERROR(VLOOKUP(Fact_Impuestos[[#This Row], 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ht="18.75" customHeight="1" x14ac:dyDescent="0.35">
      <c r="C2540" s="100" t="str">
        <f>IF(OR(Fact_Impuestos[[#This Row], [Año]]="",Fact_Impuestos[[#This Row], [Mes]]=""),"",DATE(A2540,MATCH(B2540,{"enero","febrero","marzo","abril","mayo","junio","julio","agosto","septiembre","octubre","noviembre","diciembre"},0)+1,0))</f>
        <v/>
      </c>
      <c r="E2540" t="str">
        <f>+IFERROR(VLOOKUP(Fact_Impuestos[[#This Row], [Concepto Anterior]],Conceptos_Impuestos[#All],5,0),"")</f>
        <v/>
      </c>
      <c r="F2540" t="str">
        <f>+IFERROR(VLOOKUP(Fact_Impuestos[[#This Row], 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ht="18.75" customHeight="1" x14ac:dyDescent="0.35">
      <c r="C2541" s="100" t="str">
        <f>IF(OR(Fact_Impuestos[[#This Row], [Año]]="",Fact_Impuestos[[#This Row], [Mes]]=""),"",DATE(A2541,MATCH(B2541,{"enero","febrero","marzo","abril","mayo","junio","julio","agosto","septiembre","octubre","noviembre","diciembre"},0)+1,0))</f>
        <v/>
      </c>
      <c r="E2541" t="str">
        <f>+IFERROR(VLOOKUP(Fact_Impuestos[[#This Row], [Concepto Anterior]],Conceptos_Impuestos[#All],5,0),"")</f>
        <v/>
      </c>
      <c r="F2541" t="str">
        <f>+IFERROR(VLOOKUP(Fact_Impuestos[[#This Row], 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ht="18.75" customHeight="1" x14ac:dyDescent="0.35">
      <c r="C2542" s="100" t="str">
        <f>IF(OR(Fact_Impuestos[[#This Row], [Año]]="",Fact_Impuestos[[#This Row], [Mes]]=""),"",DATE(A2542,MATCH(B2542,{"enero","febrero","marzo","abril","mayo","junio","julio","agosto","septiembre","octubre","noviembre","diciembre"},0)+1,0))</f>
        <v/>
      </c>
      <c r="E2542" t="str">
        <f>+IFERROR(VLOOKUP(Fact_Impuestos[[#This Row], [Concepto Anterior]],Conceptos_Impuestos[#All],5,0),"")</f>
        <v/>
      </c>
      <c r="F2542" t="str">
        <f>+IFERROR(VLOOKUP(Fact_Impuestos[[#This Row], 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ht="18.75" customHeight="1" x14ac:dyDescent="0.35">
      <c r="C2543" s="100" t="str">
        <f>IF(OR(Fact_Impuestos[[#This Row], [Año]]="",Fact_Impuestos[[#This Row], [Mes]]=""),"",DATE(A2543,MATCH(B2543,{"enero","febrero","marzo","abril","mayo","junio","julio","agosto","septiembre","octubre","noviembre","diciembre"},0)+1,0))</f>
        <v/>
      </c>
      <c r="E2543" t="str">
        <f>+IFERROR(VLOOKUP(Fact_Impuestos[[#This Row], [Concepto Anterior]],Conceptos_Impuestos[#All],5,0),"")</f>
        <v/>
      </c>
      <c r="F2543" t="str">
        <f>+IFERROR(VLOOKUP(Fact_Impuestos[[#This Row], 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ht="18.75" customHeight="1" x14ac:dyDescent="0.35">
      <c r="C2544" s="100" t="str">
        <f>IF(OR(Fact_Impuestos[[#This Row], [Año]]="",Fact_Impuestos[[#This Row], [Mes]]=""),"",DATE(A2544,MATCH(B2544,{"enero","febrero","marzo","abril","mayo","junio","julio","agosto","septiembre","octubre","noviembre","diciembre"},0)+1,0))</f>
        <v/>
      </c>
      <c r="E2544" t="str">
        <f>+IFERROR(VLOOKUP(Fact_Impuestos[[#This Row], [Concepto Anterior]],Conceptos_Impuestos[#All],5,0),"")</f>
        <v/>
      </c>
      <c r="F2544" t="str">
        <f>+IFERROR(VLOOKUP(Fact_Impuestos[[#This Row], 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ht="18.75" customHeight="1" x14ac:dyDescent="0.35">
      <c r="C2545" s="100" t="str">
        <f>IF(OR(Fact_Impuestos[[#This Row], [Año]]="",Fact_Impuestos[[#This Row], [Mes]]=""),"",DATE(A2545,MATCH(B2545,{"enero","febrero","marzo","abril","mayo","junio","julio","agosto","septiembre","octubre","noviembre","diciembre"},0)+1,0))</f>
        <v/>
      </c>
      <c r="E2545" t="str">
        <f>+IFERROR(VLOOKUP(Fact_Impuestos[[#This Row], [Concepto Anterior]],Conceptos_Impuestos[#All],5,0),"")</f>
        <v/>
      </c>
      <c r="F2545" t="str">
        <f>+IFERROR(VLOOKUP(Fact_Impuestos[[#This Row], 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ht="18.75" customHeight="1" x14ac:dyDescent="0.35">
      <c r="C2546" s="100" t="str">
        <f>IF(OR(Fact_Impuestos[[#This Row], [Año]]="",Fact_Impuestos[[#This Row], [Mes]]=""),"",DATE(A2546,MATCH(B2546,{"enero","febrero","marzo","abril","mayo","junio","julio","agosto","septiembre","octubre","noviembre","diciembre"},0)+1,0))</f>
        <v/>
      </c>
      <c r="E2546" t="str">
        <f>+IFERROR(VLOOKUP(Fact_Impuestos[[#This Row], [Concepto Anterior]],Conceptos_Impuestos[#All],5,0),"")</f>
        <v/>
      </c>
      <c r="F2546" t="str">
        <f>+IFERROR(VLOOKUP(Fact_Impuestos[[#This Row], 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ht="18.75" customHeight="1" x14ac:dyDescent="0.35">
      <c r="C2547" s="100" t="str">
        <f>IF(OR(Fact_Impuestos[[#This Row], [Año]]="",Fact_Impuestos[[#This Row], [Mes]]=""),"",DATE(A2547,MATCH(B2547,{"enero","febrero","marzo","abril","mayo","junio","julio","agosto","septiembre","octubre","noviembre","diciembre"},0)+1,0))</f>
        <v/>
      </c>
      <c r="E2547" t="str">
        <f>+IFERROR(VLOOKUP(Fact_Impuestos[[#This Row], [Concepto Anterior]],Conceptos_Impuestos[#All],5,0),"")</f>
        <v/>
      </c>
      <c r="F2547" t="str">
        <f>+IFERROR(VLOOKUP(Fact_Impuestos[[#This Row], 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ht="18.75" customHeight="1" x14ac:dyDescent="0.35">
      <c r="C2548" s="100" t="str">
        <f>IF(OR(Fact_Impuestos[[#This Row], [Año]]="",Fact_Impuestos[[#This Row], [Mes]]=""),"",DATE(A2548,MATCH(B2548,{"enero","febrero","marzo","abril","mayo","junio","julio","agosto","septiembre","octubre","noviembre","diciembre"},0)+1,0))</f>
        <v/>
      </c>
      <c r="E2548" t="str">
        <f>+IFERROR(VLOOKUP(Fact_Impuestos[[#This Row], [Concepto Anterior]],Conceptos_Impuestos[#All],5,0),"")</f>
        <v/>
      </c>
      <c r="F2548" t="str">
        <f>+IFERROR(VLOOKUP(Fact_Impuestos[[#This Row], 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ht="18.75" customHeight="1" x14ac:dyDescent="0.35">
      <c r="C2549" s="100" t="str">
        <f>IF(OR(Fact_Impuestos[[#This Row], [Año]]="",Fact_Impuestos[[#This Row], [Mes]]=""),"",DATE(A2549,MATCH(B2549,{"enero","febrero","marzo","abril","mayo","junio","julio","agosto","septiembre","octubre","noviembre","diciembre"},0)+1,0))</f>
        <v/>
      </c>
      <c r="E2549" t="str">
        <f>+IFERROR(VLOOKUP(Fact_Impuestos[[#This Row], [Concepto Anterior]],Conceptos_Impuestos[#All],5,0),"")</f>
        <v/>
      </c>
      <c r="F2549" t="str">
        <f>+IFERROR(VLOOKUP(Fact_Impuestos[[#This Row], 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ht="18.75" customHeight="1" x14ac:dyDescent="0.35">
      <c r="C2550" s="100" t="str">
        <f>IF(OR(Fact_Impuestos[[#This Row], [Año]]="",Fact_Impuestos[[#This Row], [Mes]]=""),"",DATE(A2550,MATCH(B2550,{"enero","febrero","marzo","abril","mayo","junio","julio","agosto","septiembre","octubre","noviembre","diciembre"},0)+1,0))</f>
        <v/>
      </c>
      <c r="E2550" t="str">
        <f>+IFERROR(VLOOKUP(Fact_Impuestos[[#This Row], [Concepto Anterior]],Conceptos_Impuestos[#All],5,0),"")</f>
        <v/>
      </c>
      <c r="F2550" t="str">
        <f>+IFERROR(VLOOKUP(Fact_Impuestos[[#This Row], 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ht="18.75" customHeight="1" x14ac:dyDescent="0.35">
      <c r="C2551" s="100" t="str">
        <f>IF(OR(Fact_Impuestos[[#This Row], [Año]]="",Fact_Impuestos[[#This Row], [Mes]]=""),"",DATE(A2551,MATCH(B2551,{"enero","febrero","marzo","abril","mayo","junio","julio","agosto","septiembre","octubre","noviembre","diciembre"},0)+1,0))</f>
        <v/>
      </c>
      <c r="E2551" t="str">
        <f>+IFERROR(VLOOKUP(Fact_Impuestos[[#This Row], [Concepto Anterior]],Conceptos_Impuestos[#All],5,0),"")</f>
        <v/>
      </c>
      <c r="F2551" t="str">
        <f>+IFERROR(VLOOKUP(Fact_Impuestos[[#This Row], 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ht="18.75" customHeight="1" x14ac:dyDescent="0.35">
      <c r="C2552" s="100" t="str">
        <f>IF(OR(Fact_Impuestos[[#This Row], [Año]]="",Fact_Impuestos[[#This Row], [Mes]]=""),"",DATE(A2552,MATCH(B2552,{"enero","febrero","marzo","abril","mayo","junio","julio","agosto","septiembre","octubre","noviembre","diciembre"},0)+1,0))</f>
        <v/>
      </c>
      <c r="E2552" t="str">
        <f>+IFERROR(VLOOKUP(Fact_Impuestos[[#This Row], [Concepto Anterior]],Conceptos_Impuestos[#All],5,0),"")</f>
        <v/>
      </c>
      <c r="F2552" t="str">
        <f>+IFERROR(VLOOKUP(Fact_Impuestos[[#This Row], 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ht="18.75" customHeight="1" x14ac:dyDescent="0.35">
      <c r="C2553" s="100" t="str">
        <f>IF(OR(Fact_Impuestos[[#This Row], [Año]]="",Fact_Impuestos[[#This Row], [Mes]]=""),"",DATE(A2553,MATCH(B2553,{"enero","febrero","marzo","abril","mayo","junio","julio","agosto","septiembre","octubre","noviembre","diciembre"},0)+1,0))</f>
        <v/>
      </c>
      <c r="E2553" t="str">
        <f>+IFERROR(VLOOKUP(Fact_Impuestos[[#This Row], [Concepto Anterior]],Conceptos_Impuestos[#All],5,0),"")</f>
        <v/>
      </c>
      <c r="F2553" t="str">
        <f>+IFERROR(VLOOKUP(Fact_Impuestos[[#This Row], 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ht="18.75" customHeight="1" x14ac:dyDescent="0.35">
      <c r="C2554" s="100" t="str">
        <f>IF(OR(Fact_Impuestos[[#This Row], [Año]]="",Fact_Impuestos[[#This Row], [Mes]]=""),"",DATE(A2554,MATCH(B2554,{"enero","febrero","marzo","abril","mayo","junio","julio","agosto","septiembre","octubre","noviembre","diciembre"},0)+1,0))</f>
        <v/>
      </c>
      <c r="E2554" t="str">
        <f>+IFERROR(VLOOKUP(Fact_Impuestos[[#This Row], [Concepto Anterior]],Conceptos_Impuestos[#All],5,0),"")</f>
        <v/>
      </c>
      <c r="F2554" t="str">
        <f>+IFERROR(VLOOKUP(Fact_Impuestos[[#This Row], 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ht="18.75" customHeight="1" x14ac:dyDescent="0.35">
      <c r="C2555" s="100" t="str">
        <f>IF(OR(Fact_Impuestos[[#This Row], [Año]]="",Fact_Impuestos[[#This Row], [Mes]]=""),"",DATE(A2555,MATCH(B2555,{"enero","febrero","marzo","abril","mayo","junio","julio","agosto","septiembre","octubre","noviembre","diciembre"},0)+1,0))</f>
        <v/>
      </c>
      <c r="E2555" t="str">
        <f>+IFERROR(VLOOKUP(Fact_Impuestos[[#This Row], [Concepto Anterior]],Conceptos_Impuestos[#All],5,0),"")</f>
        <v/>
      </c>
      <c r="F2555" t="str">
        <f>+IFERROR(VLOOKUP(Fact_Impuestos[[#This Row], 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ht="18.75" customHeight="1" x14ac:dyDescent="0.35">
      <c r="C2556" s="100" t="str">
        <f>IF(OR(Fact_Impuestos[[#This Row], [Año]]="",Fact_Impuestos[[#This Row], [Mes]]=""),"",DATE(A2556,MATCH(B2556,{"enero","febrero","marzo","abril","mayo","junio","julio","agosto","septiembre","octubre","noviembre","diciembre"},0)+1,0))</f>
        <v/>
      </c>
      <c r="E2556" t="str">
        <f>+IFERROR(VLOOKUP(Fact_Impuestos[[#This Row], [Concepto Anterior]],Conceptos_Impuestos[#All],5,0),"")</f>
        <v/>
      </c>
      <c r="F2556" t="str">
        <f>+IFERROR(VLOOKUP(Fact_Impuestos[[#This Row], 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ht="18.75" customHeight="1" x14ac:dyDescent="0.35">
      <c r="C2557" s="100" t="str">
        <f>IF(OR(Fact_Impuestos[[#This Row], [Año]]="",Fact_Impuestos[[#This Row], [Mes]]=""),"",DATE(A2557,MATCH(B2557,{"enero","febrero","marzo","abril","mayo","junio","julio","agosto","septiembre","octubre","noviembre","diciembre"},0)+1,0))</f>
        <v/>
      </c>
      <c r="E2557" t="str">
        <f>+IFERROR(VLOOKUP(Fact_Impuestos[[#This Row], [Concepto Anterior]],Conceptos_Impuestos[#All],5,0),"")</f>
        <v/>
      </c>
      <c r="F2557" t="str">
        <f>+IFERROR(VLOOKUP(Fact_Impuestos[[#This Row], 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ht="18.75" customHeight="1" x14ac:dyDescent="0.35">
      <c r="C2558" s="100" t="str">
        <f>IF(OR(Fact_Impuestos[[#This Row], [Año]]="",Fact_Impuestos[[#This Row], [Mes]]=""),"",DATE(A2558,MATCH(B2558,{"enero","febrero","marzo","abril","mayo","junio","julio","agosto","septiembre","octubre","noviembre","diciembre"},0)+1,0))</f>
        <v/>
      </c>
      <c r="E2558" t="str">
        <f>+IFERROR(VLOOKUP(Fact_Impuestos[[#This Row], [Concepto Anterior]],Conceptos_Impuestos[#All],5,0),"")</f>
        <v/>
      </c>
      <c r="F2558" t="str">
        <f>+IFERROR(VLOOKUP(Fact_Impuestos[[#This Row], 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ht="18.75" customHeight="1" x14ac:dyDescent="0.35">
      <c r="C2559" s="100" t="str">
        <f>IF(OR(Fact_Impuestos[[#This Row], [Año]]="",Fact_Impuestos[[#This Row], [Mes]]=""),"",DATE(A2559,MATCH(B2559,{"enero","febrero","marzo","abril","mayo","junio","julio","agosto","septiembre","octubre","noviembre","diciembre"},0)+1,0))</f>
        <v/>
      </c>
      <c r="E2559" t="str">
        <f>+IFERROR(VLOOKUP(Fact_Impuestos[[#This Row], [Concepto Anterior]],Conceptos_Impuestos[#All],5,0),"")</f>
        <v/>
      </c>
      <c r="F2559" t="str">
        <f>+IFERROR(VLOOKUP(Fact_Impuestos[[#This Row], 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ht="18.75" customHeight="1" x14ac:dyDescent="0.35">
      <c r="C2560" s="100" t="str">
        <f>IF(OR(Fact_Impuestos[[#This Row], [Año]]="",Fact_Impuestos[[#This Row], [Mes]]=""),"",DATE(A2560,MATCH(B2560,{"enero","febrero","marzo","abril","mayo","junio","julio","agosto","septiembre","octubre","noviembre","diciembre"},0)+1,0))</f>
        <v/>
      </c>
      <c r="E2560" t="str">
        <f>+IFERROR(VLOOKUP(Fact_Impuestos[[#This Row], [Concepto Anterior]],Conceptos_Impuestos[#All],5,0),"")</f>
        <v/>
      </c>
      <c r="F2560" t="str">
        <f>+IFERROR(VLOOKUP(Fact_Impuestos[[#This Row], 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ht="18.75" customHeight="1" x14ac:dyDescent="0.35">
      <c r="C2561" s="100" t="str">
        <f>IF(OR(Fact_Impuestos[[#This Row], [Año]]="",Fact_Impuestos[[#This Row], [Mes]]=""),"",DATE(A2561,MATCH(B2561,{"enero","febrero","marzo","abril","mayo","junio","julio","agosto","septiembre","octubre","noviembre","diciembre"},0)+1,0))</f>
        <v/>
      </c>
      <c r="E2561" t="str">
        <f>+IFERROR(VLOOKUP(Fact_Impuestos[[#This Row], [Concepto Anterior]],Conceptos_Impuestos[#All],5,0),"")</f>
        <v/>
      </c>
      <c r="F2561" t="str">
        <f>+IFERROR(VLOOKUP(Fact_Impuestos[[#This Row], 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ht="18.75" customHeight="1" x14ac:dyDescent="0.35">
      <c r="C2562" s="100" t="str">
        <f>IF(OR(Fact_Impuestos[[#This Row], [Año]]="",Fact_Impuestos[[#This Row], [Mes]]=""),"",DATE(A2562,MATCH(B2562,{"enero","febrero","marzo","abril","mayo","junio","julio","agosto","septiembre","octubre","noviembre","diciembre"},0)+1,0))</f>
        <v/>
      </c>
      <c r="E2562" t="str">
        <f>+IFERROR(VLOOKUP(Fact_Impuestos[[#This Row], [Concepto Anterior]],Conceptos_Impuestos[#All],5,0),"")</f>
        <v/>
      </c>
      <c r="F2562" t="str">
        <f>+IFERROR(VLOOKUP(Fact_Impuestos[[#This Row], 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ht="18.75" customHeight="1" x14ac:dyDescent="0.35">
      <c r="C2563" s="100" t="str">
        <f>IF(OR(Fact_Impuestos[[#This Row], [Año]]="",Fact_Impuestos[[#This Row], [Mes]]=""),"",DATE(A2563,MATCH(B2563,{"enero","febrero","marzo","abril","mayo","junio","julio","agosto","septiembre","octubre","noviembre","diciembre"},0)+1,0))</f>
        <v/>
      </c>
      <c r="E2563" t="str">
        <f>+IFERROR(VLOOKUP(Fact_Impuestos[[#This Row], [Concepto Anterior]],Conceptos_Impuestos[#All],5,0),"")</f>
        <v/>
      </c>
      <c r="F2563" t="str">
        <f>+IFERROR(VLOOKUP(Fact_Impuestos[[#This Row], 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ht="18.75" customHeight="1" x14ac:dyDescent="0.35">
      <c r="C2564" s="100" t="str">
        <f>IF(OR(Fact_Impuestos[[#This Row], [Año]]="",Fact_Impuestos[[#This Row], [Mes]]=""),"",DATE(A2564,MATCH(B2564,{"enero","febrero","marzo","abril","mayo","junio","julio","agosto","septiembre","octubre","noviembre","diciembre"},0)+1,0))</f>
        <v/>
      </c>
      <c r="E2564" t="str">
        <f>+IFERROR(VLOOKUP(Fact_Impuestos[[#This Row], [Concepto Anterior]],Conceptos_Impuestos[#All],5,0),"")</f>
        <v/>
      </c>
      <c r="F2564" t="str">
        <f>+IFERROR(VLOOKUP(Fact_Impuestos[[#This Row], 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ht="18.75" customHeight="1" x14ac:dyDescent="0.35">
      <c r="C2565" s="100" t="str">
        <f>IF(OR(Fact_Impuestos[[#This Row], [Año]]="",Fact_Impuestos[[#This Row], [Mes]]=""),"",DATE(A2565,MATCH(B2565,{"enero","febrero","marzo","abril","mayo","junio","julio","agosto","septiembre","octubre","noviembre","diciembre"},0)+1,0))</f>
        <v/>
      </c>
      <c r="E2565" t="str">
        <f>+IFERROR(VLOOKUP(Fact_Impuestos[[#This Row], [Concepto Anterior]],Conceptos_Impuestos[#All],5,0),"")</f>
        <v/>
      </c>
      <c r="F2565" t="str">
        <f>+IFERROR(VLOOKUP(Fact_Impuestos[[#This Row], 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ht="18.75" customHeight="1" x14ac:dyDescent="0.35">
      <c r="C2566" s="100" t="str">
        <f>IF(OR(Fact_Impuestos[[#This Row], [Año]]="",Fact_Impuestos[[#This Row], [Mes]]=""),"",DATE(A2566,MATCH(B2566,{"enero","febrero","marzo","abril","mayo","junio","julio","agosto","septiembre","octubre","noviembre","diciembre"},0)+1,0))</f>
        <v/>
      </c>
      <c r="E2566" t="str">
        <f>+IFERROR(VLOOKUP(Fact_Impuestos[[#This Row], [Concepto Anterior]],Conceptos_Impuestos[#All],5,0),"")</f>
        <v/>
      </c>
      <c r="F2566" t="str">
        <f>+IFERROR(VLOOKUP(Fact_Impuestos[[#This Row], 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ht="18.75" customHeight="1" x14ac:dyDescent="0.35">
      <c r="C2567" s="100" t="str">
        <f>IF(OR(Fact_Impuestos[[#This Row], [Año]]="",Fact_Impuestos[[#This Row], [Mes]]=""),"",DATE(A2567,MATCH(B2567,{"enero","febrero","marzo","abril","mayo","junio","julio","agosto","septiembre","octubre","noviembre","diciembre"},0)+1,0))</f>
        <v/>
      </c>
      <c r="E2567" t="str">
        <f>+IFERROR(VLOOKUP(Fact_Impuestos[[#This Row], [Concepto Anterior]],Conceptos_Impuestos[#All],5,0),"")</f>
        <v/>
      </c>
      <c r="F2567" t="str">
        <f>+IFERROR(VLOOKUP(Fact_Impuestos[[#This Row], 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ht="18.75" customHeight="1" x14ac:dyDescent="0.35">
      <c r="C2568" s="100" t="str">
        <f>IF(OR(Fact_Impuestos[[#This Row], [Año]]="",Fact_Impuestos[[#This Row], [Mes]]=""),"",DATE(A2568,MATCH(B2568,{"enero","febrero","marzo","abril","mayo","junio","julio","agosto","septiembre","octubre","noviembre","diciembre"},0)+1,0))</f>
        <v/>
      </c>
      <c r="E2568" t="str">
        <f>+IFERROR(VLOOKUP(Fact_Impuestos[[#This Row], [Concepto Anterior]],Conceptos_Impuestos[#All],5,0),"")</f>
        <v/>
      </c>
      <c r="F2568" t="str">
        <f>+IFERROR(VLOOKUP(Fact_Impuestos[[#This Row], 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ht="18.75" customHeight="1" x14ac:dyDescent="0.35">
      <c r="C2569" s="100" t="str">
        <f>IF(OR(Fact_Impuestos[[#This Row], [Año]]="",Fact_Impuestos[[#This Row], [Mes]]=""),"",DATE(A2569,MATCH(B2569,{"enero","febrero","marzo","abril","mayo","junio","julio","agosto","septiembre","octubre","noviembre","diciembre"},0)+1,0))</f>
        <v/>
      </c>
      <c r="E2569" t="str">
        <f>+IFERROR(VLOOKUP(Fact_Impuestos[[#This Row], [Concepto Anterior]],Conceptos_Impuestos[#All],5,0),"")</f>
        <v/>
      </c>
      <c r="F2569" t="str">
        <f>+IFERROR(VLOOKUP(Fact_Impuestos[[#This Row], 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ht="18.75" customHeight="1" x14ac:dyDescent="0.35">
      <c r="C2570" s="100" t="str">
        <f>IF(OR(Fact_Impuestos[[#This Row], [Año]]="",Fact_Impuestos[[#This Row], [Mes]]=""),"",DATE(A2570,MATCH(B2570,{"enero","febrero","marzo","abril","mayo","junio","julio","agosto","septiembre","octubre","noviembre","diciembre"},0)+1,0))</f>
        <v/>
      </c>
      <c r="E2570" t="str">
        <f>+IFERROR(VLOOKUP(Fact_Impuestos[[#This Row], [Concepto Anterior]],Conceptos_Impuestos[#All],5,0),"")</f>
        <v/>
      </c>
      <c r="F2570" t="str">
        <f>+IFERROR(VLOOKUP(Fact_Impuestos[[#This Row], 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ht="18.75" customHeight="1" x14ac:dyDescent="0.35">
      <c r="C2571" s="100" t="str">
        <f>IF(OR(Fact_Impuestos[[#This Row], [Año]]="",Fact_Impuestos[[#This Row], [Mes]]=""),"",DATE(A2571,MATCH(B2571,{"enero","febrero","marzo","abril","mayo","junio","julio","agosto","septiembre","octubre","noviembre","diciembre"},0)+1,0))</f>
        <v/>
      </c>
      <c r="E2571" t="str">
        <f>+IFERROR(VLOOKUP(Fact_Impuestos[[#This Row], [Concepto Anterior]],Conceptos_Impuestos[#All],5,0),"")</f>
        <v/>
      </c>
      <c r="F2571" t="str">
        <f>+IFERROR(VLOOKUP(Fact_Impuestos[[#This Row], 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ht="18.75" customHeight="1" x14ac:dyDescent="0.35">
      <c r="C2572" s="100" t="str">
        <f>IF(OR(Fact_Impuestos[[#This Row], [Año]]="",Fact_Impuestos[[#This Row], [Mes]]=""),"",DATE(A2572,MATCH(B2572,{"enero","febrero","marzo","abril","mayo","junio","julio","agosto","septiembre","octubre","noviembre","diciembre"},0)+1,0))</f>
        <v/>
      </c>
      <c r="E2572" t="str">
        <f>+IFERROR(VLOOKUP(Fact_Impuestos[[#This Row], [Concepto Anterior]],Conceptos_Impuestos[#All],5,0),"")</f>
        <v/>
      </c>
      <c r="F2572" t="str">
        <f>+IFERROR(VLOOKUP(Fact_Impuestos[[#This Row], 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ht="18.75" customHeight="1" x14ac:dyDescent="0.35">
      <c r="C2573" s="100" t="str">
        <f>IF(OR(Fact_Impuestos[[#This Row], [Año]]="",Fact_Impuestos[[#This Row], [Mes]]=""),"",DATE(A2573,MATCH(B2573,{"enero","febrero","marzo","abril","mayo","junio","julio","agosto","septiembre","octubre","noviembre","diciembre"},0)+1,0))</f>
        <v/>
      </c>
      <c r="E2573" t="str">
        <f>+IFERROR(VLOOKUP(Fact_Impuestos[[#This Row], [Concepto Anterior]],Conceptos_Impuestos[#All],5,0),"")</f>
        <v/>
      </c>
      <c r="F2573" t="str">
        <f>+IFERROR(VLOOKUP(Fact_Impuestos[[#This Row], 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ht="18.75" customHeight="1" x14ac:dyDescent="0.35">
      <c r="C2574" s="100" t="str">
        <f>IF(OR(Fact_Impuestos[[#This Row], [Año]]="",Fact_Impuestos[[#This Row], [Mes]]=""),"",DATE(A2574,MATCH(B2574,{"enero","febrero","marzo","abril","mayo","junio","julio","agosto","septiembre","octubre","noviembre","diciembre"},0)+1,0))</f>
        <v/>
      </c>
      <c r="E2574" t="str">
        <f>+IFERROR(VLOOKUP(Fact_Impuestos[[#This Row], [Concepto Anterior]],Conceptos_Impuestos[#All],5,0),"")</f>
        <v/>
      </c>
      <c r="F2574" t="str">
        <f>+IFERROR(VLOOKUP(Fact_Impuestos[[#This Row], 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ht="18.75" customHeight="1" x14ac:dyDescent="0.35">
      <c r="C2575" s="100" t="str">
        <f>IF(OR(Fact_Impuestos[[#This Row], [Año]]="",Fact_Impuestos[[#This Row], [Mes]]=""),"",DATE(A2575,MATCH(B2575,{"enero","febrero","marzo","abril","mayo","junio","julio","agosto","septiembre","octubre","noviembre","diciembre"},0)+1,0))</f>
        <v/>
      </c>
      <c r="E2575" t="str">
        <f>+IFERROR(VLOOKUP(Fact_Impuestos[[#This Row], [Concepto Anterior]],Conceptos_Impuestos[#All],5,0),"")</f>
        <v/>
      </c>
      <c r="F2575" t="str">
        <f>+IFERROR(VLOOKUP(Fact_Impuestos[[#This Row], 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ht="18.75" customHeight="1" x14ac:dyDescent="0.35">
      <c r="C2576" s="100" t="str">
        <f>IF(OR(Fact_Impuestos[[#This Row], [Año]]="",Fact_Impuestos[[#This Row], [Mes]]=""),"",DATE(A2576,MATCH(B2576,{"enero","febrero","marzo","abril","mayo","junio","julio","agosto","septiembre","octubre","noviembre","diciembre"},0)+1,0))</f>
        <v/>
      </c>
      <c r="E2576" t="str">
        <f>+IFERROR(VLOOKUP(Fact_Impuestos[[#This Row], [Concepto Anterior]],Conceptos_Impuestos[#All],5,0),"")</f>
        <v/>
      </c>
      <c r="F2576" t="str">
        <f>+IFERROR(VLOOKUP(Fact_Impuestos[[#This Row], 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ht="18.75" customHeight="1" x14ac:dyDescent="0.35">
      <c r="C2577" s="100" t="str">
        <f>IF(OR(Fact_Impuestos[[#This Row], [Año]]="",Fact_Impuestos[[#This Row], [Mes]]=""),"",DATE(A2577,MATCH(B2577,{"enero","febrero","marzo","abril","mayo","junio","julio","agosto","septiembre","octubre","noviembre","diciembre"},0)+1,0))</f>
        <v/>
      </c>
      <c r="E2577" t="str">
        <f>+IFERROR(VLOOKUP(Fact_Impuestos[[#This Row], [Concepto Anterior]],Conceptos_Impuestos[#All],5,0),"")</f>
        <v/>
      </c>
      <c r="F2577" t="str">
        <f>+IFERROR(VLOOKUP(Fact_Impuestos[[#This Row], 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ht="18.75" customHeight="1" x14ac:dyDescent="0.35">
      <c r="C2578" s="100" t="str">
        <f>IF(OR(Fact_Impuestos[[#This Row], [Año]]="",Fact_Impuestos[[#This Row], [Mes]]=""),"",DATE(A2578,MATCH(B2578,{"enero","febrero","marzo","abril","mayo","junio","julio","agosto","septiembre","octubre","noviembre","diciembre"},0)+1,0))</f>
        <v/>
      </c>
      <c r="E2578" t="str">
        <f>+IFERROR(VLOOKUP(Fact_Impuestos[[#This Row], [Concepto Anterior]],Conceptos_Impuestos[#All],5,0),"")</f>
        <v/>
      </c>
      <c r="F2578" t="str">
        <f>+IFERROR(VLOOKUP(Fact_Impuestos[[#This Row], 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ht="18.75" customHeight="1" x14ac:dyDescent="0.35">
      <c r="C2579" s="100" t="str">
        <f>IF(OR(Fact_Impuestos[[#This Row], [Año]]="",Fact_Impuestos[[#This Row], [Mes]]=""),"",DATE(A2579,MATCH(B2579,{"enero","febrero","marzo","abril","mayo","junio","julio","agosto","septiembre","octubre","noviembre","diciembre"},0)+1,0))</f>
        <v/>
      </c>
      <c r="E2579" t="str">
        <f>+IFERROR(VLOOKUP(Fact_Impuestos[[#This Row], [Concepto Anterior]],Conceptos_Impuestos[#All],5,0),"")</f>
        <v/>
      </c>
      <c r="F2579" t="str">
        <f>+IFERROR(VLOOKUP(Fact_Impuestos[[#This Row], 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ht="18.75" customHeight="1" x14ac:dyDescent="0.35">
      <c r="C2580" s="100" t="str">
        <f>IF(OR(Fact_Impuestos[[#This Row], [Año]]="",Fact_Impuestos[[#This Row], [Mes]]=""),"",DATE(A2580,MATCH(B2580,{"enero","febrero","marzo","abril","mayo","junio","julio","agosto","septiembre","octubre","noviembre","diciembre"},0)+1,0))</f>
        <v/>
      </c>
      <c r="E2580" t="str">
        <f>+IFERROR(VLOOKUP(Fact_Impuestos[[#This Row], [Concepto Anterior]],Conceptos_Impuestos[#All],5,0),"")</f>
        <v/>
      </c>
      <c r="F2580" t="str">
        <f>+IFERROR(VLOOKUP(Fact_Impuestos[[#This Row], 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ht="18.75" customHeight="1" x14ac:dyDescent="0.35">
      <c r="C2581" s="100" t="str">
        <f>IF(OR(Fact_Impuestos[[#This Row], [Año]]="",Fact_Impuestos[[#This Row], [Mes]]=""),"",DATE(A2581,MATCH(B2581,{"enero","febrero","marzo","abril","mayo","junio","julio","agosto","septiembre","octubre","noviembre","diciembre"},0)+1,0))</f>
        <v/>
      </c>
      <c r="E2581" t="str">
        <f>+IFERROR(VLOOKUP(Fact_Impuestos[[#This Row], [Concepto Anterior]],Conceptos_Impuestos[#All],5,0),"")</f>
        <v/>
      </c>
      <c r="F2581" t="str">
        <f>+IFERROR(VLOOKUP(Fact_Impuestos[[#This Row], 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ht="18.75" customHeight="1" x14ac:dyDescent="0.35">
      <c r="C2582" s="100" t="str">
        <f>IF(OR(Fact_Impuestos[[#This Row], [Año]]="",Fact_Impuestos[[#This Row], [Mes]]=""),"",DATE(A2582,MATCH(B2582,{"enero","febrero","marzo","abril","mayo","junio","julio","agosto","septiembre","octubre","noviembre","diciembre"},0)+1,0))</f>
        <v/>
      </c>
      <c r="E2582" t="str">
        <f>+IFERROR(VLOOKUP(Fact_Impuestos[[#This Row], [Concepto Anterior]],Conceptos_Impuestos[#All],5,0),"")</f>
        <v/>
      </c>
      <c r="F2582" t="str">
        <f>+IFERROR(VLOOKUP(Fact_Impuestos[[#This Row], 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ht="18.75" customHeight="1" x14ac:dyDescent="0.35">
      <c r="C2583" s="100" t="str">
        <f>IF(OR(Fact_Impuestos[[#This Row], [Año]]="",Fact_Impuestos[[#This Row], [Mes]]=""),"",DATE(A2583,MATCH(B2583,{"enero","febrero","marzo","abril","mayo","junio","julio","agosto","septiembre","octubre","noviembre","diciembre"},0)+1,0))</f>
        <v/>
      </c>
      <c r="E2583" t="str">
        <f>+IFERROR(VLOOKUP(Fact_Impuestos[[#This Row], [Concepto Anterior]],Conceptos_Impuestos[#All],5,0),"")</f>
        <v/>
      </c>
      <c r="F2583" t="str">
        <f>+IFERROR(VLOOKUP(Fact_Impuestos[[#This Row], 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ht="18.75" customHeight="1" x14ac:dyDescent="0.35">
      <c r="C2584" s="100" t="str">
        <f>IF(OR(Fact_Impuestos[[#This Row], [Año]]="",Fact_Impuestos[[#This Row], [Mes]]=""),"",DATE(A2584,MATCH(B2584,{"enero","febrero","marzo","abril","mayo","junio","julio","agosto","septiembre","octubre","noviembre","diciembre"},0)+1,0))</f>
        <v/>
      </c>
      <c r="E2584" t="str">
        <f>+IFERROR(VLOOKUP(Fact_Impuestos[[#This Row], [Concepto Anterior]],Conceptos_Impuestos[#All],5,0),"")</f>
        <v/>
      </c>
      <c r="F2584" t="str">
        <f>+IFERROR(VLOOKUP(Fact_Impuestos[[#This Row], 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ht="18.75" customHeight="1" x14ac:dyDescent="0.35">
      <c r="C2585" s="100" t="str">
        <f>IF(OR(Fact_Impuestos[[#This Row], [Año]]="",Fact_Impuestos[[#This Row], [Mes]]=""),"",DATE(A2585,MATCH(B2585,{"enero","febrero","marzo","abril","mayo","junio","julio","agosto","septiembre","octubre","noviembre","diciembre"},0)+1,0))</f>
        <v/>
      </c>
      <c r="E2585" t="str">
        <f>+IFERROR(VLOOKUP(Fact_Impuestos[[#This Row], [Concepto Anterior]],Conceptos_Impuestos[#All],5,0),"")</f>
        <v/>
      </c>
      <c r="F2585" t="str">
        <f>+IFERROR(VLOOKUP(Fact_Impuestos[[#This Row], 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ht="18.75" customHeight="1" x14ac:dyDescent="0.35">
      <c r="C2586" s="100" t="str">
        <f>IF(OR(Fact_Impuestos[[#This Row], [Año]]="",Fact_Impuestos[[#This Row], [Mes]]=""),"",DATE(A2586,MATCH(B2586,{"enero","febrero","marzo","abril","mayo","junio","julio","agosto","septiembre","octubre","noviembre","diciembre"},0)+1,0))</f>
        <v/>
      </c>
      <c r="E2586" t="str">
        <f>+IFERROR(VLOOKUP(Fact_Impuestos[[#This Row], [Concepto Anterior]],Conceptos_Impuestos[#All],5,0),"")</f>
        <v/>
      </c>
      <c r="F2586" t="str">
        <f>+IFERROR(VLOOKUP(Fact_Impuestos[[#This Row], 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ht="18.75" customHeight="1" x14ac:dyDescent="0.35">
      <c r="C2587" s="100" t="str">
        <f>IF(OR(Fact_Impuestos[[#This Row], [Año]]="",Fact_Impuestos[[#This Row], [Mes]]=""),"",DATE(A2587,MATCH(B2587,{"enero","febrero","marzo","abril","mayo","junio","julio","agosto","septiembre","octubre","noviembre","diciembre"},0)+1,0))</f>
        <v/>
      </c>
      <c r="E2587" t="str">
        <f>+IFERROR(VLOOKUP(Fact_Impuestos[[#This Row], [Concepto Anterior]],Conceptos_Impuestos[#All],5,0),"")</f>
        <v/>
      </c>
      <c r="F2587" t="str">
        <f>+IFERROR(VLOOKUP(Fact_Impuestos[[#This Row], 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ht="18.75" customHeight="1" x14ac:dyDescent="0.35">
      <c r="C2588" s="100" t="str">
        <f>IF(OR(Fact_Impuestos[[#This Row], [Año]]="",Fact_Impuestos[[#This Row], [Mes]]=""),"",DATE(A2588,MATCH(B2588,{"enero","febrero","marzo","abril","mayo","junio","julio","agosto","septiembre","octubre","noviembre","diciembre"},0)+1,0))</f>
        <v/>
      </c>
      <c r="E2588" t="str">
        <f>+IFERROR(VLOOKUP(Fact_Impuestos[[#This Row], [Concepto Anterior]],Conceptos_Impuestos[#All],5,0),"")</f>
        <v/>
      </c>
      <c r="F2588" t="str">
        <f>+IFERROR(VLOOKUP(Fact_Impuestos[[#This Row], 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ht="18.75" customHeight="1" x14ac:dyDescent="0.35">
      <c r="C2589" s="100" t="str">
        <f>IF(OR(Fact_Impuestos[[#This Row], [Año]]="",Fact_Impuestos[[#This Row], [Mes]]=""),"",DATE(A2589,MATCH(B2589,{"enero","febrero","marzo","abril","mayo","junio","julio","agosto","septiembre","octubre","noviembre","diciembre"},0)+1,0))</f>
        <v/>
      </c>
      <c r="E2589" t="str">
        <f>+IFERROR(VLOOKUP(Fact_Impuestos[[#This Row], [Concepto Anterior]],Conceptos_Impuestos[#All],5,0),"")</f>
        <v/>
      </c>
      <c r="F2589" t="str">
        <f>+IFERROR(VLOOKUP(Fact_Impuestos[[#This Row], 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ht="18.75" customHeight="1" x14ac:dyDescent="0.35">
      <c r="C2590" s="100" t="str">
        <f>IF(OR(Fact_Impuestos[[#This Row], [Año]]="",Fact_Impuestos[[#This Row], [Mes]]=""),"",DATE(A2590,MATCH(B2590,{"enero","febrero","marzo","abril","mayo","junio","julio","agosto","septiembre","octubre","noviembre","diciembre"},0)+1,0))</f>
        <v/>
      </c>
      <c r="E2590" t="str">
        <f>+IFERROR(VLOOKUP(Fact_Impuestos[[#This Row], [Concepto Anterior]],Conceptos_Impuestos[#All],5,0),"")</f>
        <v/>
      </c>
      <c r="F2590" t="str">
        <f>+IFERROR(VLOOKUP(Fact_Impuestos[[#This Row], 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ht="18.75" customHeight="1" x14ac:dyDescent="0.35">
      <c r="C2591" s="100" t="str">
        <f>IF(OR(Fact_Impuestos[[#This Row], [Año]]="",Fact_Impuestos[[#This Row], [Mes]]=""),"",DATE(A2591,MATCH(B2591,{"enero","febrero","marzo","abril","mayo","junio","julio","agosto","septiembre","octubre","noviembre","diciembre"},0)+1,0))</f>
        <v/>
      </c>
      <c r="E2591" t="str">
        <f>+IFERROR(VLOOKUP(Fact_Impuestos[[#This Row], [Concepto Anterior]],Conceptos_Impuestos[#All],5,0),"")</f>
        <v/>
      </c>
      <c r="F2591" t="str">
        <f>+IFERROR(VLOOKUP(Fact_Impuestos[[#This Row], 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ht="18.75" customHeight="1" x14ac:dyDescent="0.35">
      <c r="C2592" s="100" t="str">
        <f>IF(OR(Fact_Impuestos[[#This Row], [Año]]="",Fact_Impuestos[[#This Row], [Mes]]=""),"",DATE(A2592,MATCH(B2592,{"enero","febrero","marzo","abril","mayo","junio","julio","agosto","septiembre","octubre","noviembre","diciembre"},0)+1,0))</f>
        <v/>
      </c>
      <c r="E2592" t="str">
        <f>+IFERROR(VLOOKUP(Fact_Impuestos[[#This Row], [Concepto Anterior]],Conceptos_Impuestos[#All],5,0),"")</f>
        <v/>
      </c>
      <c r="F2592" t="str">
        <f>+IFERROR(VLOOKUP(Fact_Impuestos[[#This Row], 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ht="18.75" customHeight="1" x14ac:dyDescent="0.35">
      <c r="C2593" s="100" t="str">
        <f>IF(OR(Fact_Impuestos[[#This Row], [Año]]="",Fact_Impuestos[[#This Row], [Mes]]=""),"",DATE(A2593,MATCH(B2593,{"enero","febrero","marzo","abril","mayo","junio","julio","agosto","septiembre","octubre","noviembre","diciembre"},0)+1,0))</f>
        <v/>
      </c>
      <c r="E2593" t="str">
        <f>+IFERROR(VLOOKUP(Fact_Impuestos[[#This Row], [Concepto Anterior]],Conceptos_Impuestos[#All],5,0),"")</f>
        <v/>
      </c>
      <c r="F2593" t="str">
        <f>+IFERROR(VLOOKUP(Fact_Impuestos[[#This Row], 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ht="18.75" customHeight="1" x14ac:dyDescent="0.35">
      <c r="C2594" s="100" t="str">
        <f>IF(OR(Fact_Impuestos[[#This Row], [Año]]="",Fact_Impuestos[[#This Row], [Mes]]=""),"",DATE(A2594,MATCH(B2594,{"enero","febrero","marzo","abril","mayo","junio","julio","agosto","septiembre","octubre","noviembre","diciembre"},0)+1,0))</f>
        <v/>
      </c>
      <c r="E2594" t="str">
        <f>+IFERROR(VLOOKUP(Fact_Impuestos[[#This Row], [Concepto Anterior]],Conceptos_Impuestos[#All],5,0),"")</f>
        <v/>
      </c>
      <c r="F2594" t="str">
        <f>+IFERROR(VLOOKUP(Fact_Impuestos[[#This Row], 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ht="18.75" customHeight="1" x14ac:dyDescent="0.35">
      <c r="C2595" s="100" t="str">
        <f>IF(OR(Fact_Impuestos[[#This Row], [Año]]="",Fact_Impuestos[[#This Row], [Mes]]=""),"",DATE(A2595,MATCH(B2595,{"enero","febrero","marzo","abril","mayo","junio","julio","agosto","septiembre","octubre","noviembre","diciembre"},0)+1,0))</f>
        <v/>
      </c>
      <c r="E2595" t="str">
        <f>+IFERROR(VLOOKUP(Fact_Impuestos[[#This Row], [Concepto Anterior]],Conceptos_Impuestos[#All],5,0),"")</f>
        <v/>
      </c>
      <c r="F2595" t="str">
        <f>+IFERROR(VLOOKUP(Fact_Impuestos[[#This Row], 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ht="18.75" customHeight="1" x14ac:dyDescent="0.35">
      <c r="C2596" s="100" t="str">
        <f>IF(OR(Fact_Impuestos[[#This Row], [Año]]="",Fact_Impuestos[[#This Row], [Mes]]=""),"",DATE(A2596,MATCH(B2596,{"enero","febrero","marzo","abril","mayo","junio","julio","agosto","septiembre","octubre","noviembre","diciembre"},0)+1,0))</f>
        <v/>
      </c>
      <c r="E2596" t="str">
        <f>+IFERROR(VLOOKUP(Fact_Impuestos[[#This Row], [Concepto Anterior]],Conceptos_Impuestos[#All],5,0),"")</f>
        <v/>
      </c>
      <c r="F2596" t="str">
        <f>+IFERROR(VLOOKUP(Fact_Impuestos[[#This Row], 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ht="18.75" customHeight="1" x14ac:dyDescent="0.35">
      <c r="C2597" s="100" t="str">
        <f>IF(OR(Fact_Impuestos[[#This Row], [Año]]="",Fact_Impuestos[[#This Row], [Mes]]=""),"",DATE(A2597,MATCH(B2597,{"enero","febrero","marzo","abril","mayo","junio","julio","agosto","septiembre","octubre","noviembre","diciembre"},0)+1,0))</f>
        <v/>
      </c>
      <c r="E2597" t="str">
        <f>+IFERROR(VLOOKUP(Fact_Impuestos[[#This Row], [Concepto Anterior]],Conceptos_Impuestos[#All],5,0),"")</f>
        <v/>
      </c>
      <c r="F2597" t="str">
        <f>+IFERROR(VLOOKUP(Fact_Impuestos[[#This Row], 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ht="18.75" customHeight="1" x14ac:dyDescent="0.35">
      <c r="C2598" s="100" t="str">
        <f>IF(OR(Fact_Impuestos[[#This Row], [Año]]="",Fact_Impuestos[[#This Row], [Mes]]=""),"",DATE(A2598,MATCH(B2598,{"enero","febrero","marzo","abril","mayo","junio","julio","agosto","septiembre","octubre","noviembre","diciembre"},0)+1,0))</f>
        <v/>
      </c>
      <c r="E2598" t="str">
        <f>+IFERROR(VLOOKUP(Fact_Impuestos[[#This Row], [Concepto Anterior]],Conceptos_Impuestos[#All],5,0),"")</f>
        <v/>
      </c>
      <c r="F2598" t="str">
        <f>+IFERROR(VLOOKUP(Fact_Impuestos[[#This Row], 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ht="18.75" customHeight="1" x14ac:dyDescent="0.35">
      <c r="C2599" s="100" t="str">
        <f>IF(OR(Fact_Impuestos[[#This Row], [Año]]="",Fact_Impuestos[[#This Row], [Mes]]=""),"",DATE(A2599,MATCH(B2599,{"enero","febrero","marzo","abril","mayo","junio","julio","agosto","septiembre","octubre","noviembre","diciembre"},0)+1,0))</f>
        <v/>
      </c>
      <c r="E2599" t="str">
        <f>+IFERROR(VLOOKUP(Fact_Impuestos[[#This Row], [Concepto Anterior]],Conceptos_Impuestos[#All],5,0),"")</f>
        <v/>
      </c>
      <c r="F2599" t="str">
        <f>+IFERROR(VLOOKUP(Fact_Impuestos[[#This Row], 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ht="18.75" customHeight="1" x14ac:dyDescent="0.35">
      <c r="C2600" s="100" t="str">
        <f>IF(OR(Fact_Impuestos[[#This Row], [Año]]="",Fact_Impuestos[[#This Row], [Mes]]=""),"",DATE(A2600,MATCH(B2600,{"enero","febrero","marzo","abril","mayo","junio","julio","agosto","septiembre","octubre","noviembre","diciembre"},0)+1,0))</f>
        <v/>
      </c>
      <c r="E2600" t="str">
        <f>+IFERROR(VLOOKUP(Fact_Impuestos[[#This Row], [Concepto Anterior]],Conceptos_Impuestos[#All],5,0),"")</f>
        <v/>
      </c>
      <c r="F2600" t="str">
        <f>+IFERROR(VLOOKUP(Fact_Impuestos[[#This Row], 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ht="18.75" customHeight="1" x14ac:dyDescent="0.35">
      <c r="C2601" s="100" t="str">
        <f>IF(OR(Fact_Impuestos[[#This Row], [Año]]="",Fact_Impuestos[[#This Row], [Mes]]=""),"",DATE(A2601,MATCH(B2601,{"enero","febrero","marzo","abril","mayo","junio","julio","agosto","septiembre","octubre","noviembre","diciembre"},0)+1,0))</f>
        <v/>
      </c>
      <c r="E2601" t="str">
        <f>+IFERROR(VLOOKUP(Fact_Impuestos[[#This Row], [Concepto Anterior]],Conceptos_Impuestos[#All],5,0),"")</f>
        <v/>
      </c>
      <c r="F2601" t="str">
        <f>+IFERROR(VLOOKUP(Fact_Impuestos[[#This Row], 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ht="18.75" customHeight="1" x14ac:dyDescent="0.35">
      <c r="C2602" s="100" t="str">
        <f>IF(OR(Fact_Impuestos[[#This Row], [Año]]="",Fact_Impuestos[[#This Row], [Mes]]=""),"",DATE(A2602,MATCH(B2602,{"enero","febrero","marzo","abril","mayo","junio","julio","agosto","septiembre","octubre","noviembre","diciembre"},0)+1,0))</f>
        <v/>
      </c>
      <c r="E2602" t="str">
        <f>+IFERROR(VLOOKUP(Fact_Impuestos[[#This Row], [Concepto Anterior]],Conceptos_Impuestos[#All],5,0),"")</f>
        <v/>
      </c>
      <c r="F2602" t="str">
        <f>+IFERROR(VLOOKUP(Fact_Impuestos[[#This Row], 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ht="18.75" customHeight="1" x14ac:dyDescent="0.35">
      <c r="C2603" s="100" t="str">
        <f>IF(OR(Fact_Impuestos[[#This Row], [Año]]="",Fact_Impuestos[[#This Row], [Mes]]=""),"",DATE(A2603,MATCH(B2603,{"enero","febrero","marzo","abril","mayo","junio","julio","agosto","septiembre","octubre","noviembre","diciembre"},0)+1,0))</f>
        <v/>
      </c>
      <c r="E2603" t="str">
        <f>+IFERROR(VLOOKUP(Fact_Impuestos[[#This Row], [Concepto Anterior]],Conceptos_Impuestos[#All],5,0),"")</f>
        <v/>
      </c>
      <c r="F2603" t="str">
        <f>+IFERROR(VLOOKUP(Fact_Impuestos[[#This Row], 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ht="18.75" customHeight="1" x14ac:dyDescent="0.35">
      <c r="C2604" s="100" t="str">
        <f>IF(OR(Fact_Impuestos[[#This Row], [Año]]="",Fact_Impuestos[[#This Row], [Mes]]=""),"",DATE(A2604,MATCH(B2604,{"enero","febrero","marzo","abril","mayo","junio","julio","agosto","septiembre","octubre","noviembre","diciembre"},0)+1,0))</f>
        <v/>
      </c>
      <c r="E2604" t="str">
        <f>+IFERROR(VLOOKUP(Fact_Impuestos[[#This Row], [Concepto Anterior]],Conceptos_Impuestos[#All],5,0),"")</f>
        <v/>
      </c>
      <c r="F2604" t="str">
        <f>+IFERROR(VLOOKUP(Fact_Impuestos[[#This Row], 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ht="18.75" customHeight="1" x14ac:dyDescent="0.35">
      <c r="C2605" s="100" t="str">
        <f>IF(OR(Fact_Impuestos[[#This Row], [Año]]="",Fact_Impuestos[[#This Row], [Mes]]=""),"",DATE(A2605,MATCH(B2605,{"enero","febrero","marzo","abril","mayo","junio","julio","agosto","septiembre","octubre","noviembre","diciembre"},0)+1,0))</f>
        <v/>
      </c>
      <c r="E2605" t="str">
        <f>+IFERROR(VLOOKUP(Fact_Impuestos[[#This Row], [Concepto Anterior]],Conceptos_Impuestos[#All],5,0),"")</f>
        <v/>
      </c>
      <c r="F2605" t="str">
        <f>+IFERROR(VLOOKUP(Fact_Impuestos[[#This Row], 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ht="18.75" customHeight="1" x14ac:dyDescent="0.35">
      <c r="C2606" s="100" t="str">
        <f>IF(OR(Fact_Impuestos[[#This Row], [Año]]="",Fact_Impuestos[[#This Row], [Mes]]=""),"",DATE(A2606,MATCH(B2606,{"enero","febrero","marzo","abril","mayo","junio","julio","agosto","septiembre","octubre","noviembre","diciembre"},0)+1,0))</f>
        <v/>
      </c>
      <c r="E2606" t="str">
        <f>+IFERROR(VLOOKUP(Fact_Impuestos[[#This Row], [Concepto Anterior]],Conceptos_Impuestos[#All],5,0),"")</f>
        <v/>
      </c>
      <c r="F2606" t="str">
        <f>+IFERROR(VLOOKUP(Fact_Impuestos[[#This Row], 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ht="18.75" customHeight="1" x14ac:dyDescent="0.35">
      <c r="C2607" s="100" t="str">
        <f>IF(OR(Fact_Impuestos[[#This Row], [Año]]="",Fact_Impuestos[[#This Row], [Mes]]=""),"",DATE(A2607,MATCH(B2607,{"enero","febrero","marzo","abril","mayo","junio","julio","agosto","septiembre","octubre","noviembre","diciembre"},0)+1,0))</f>
        <v/>
      </c>
      <c r="E2607" t="str">
        <f>+IFERROR(VLOOKUP(Fact_Impuestos[[#This Row], [Concepto Anterior]],Conceptos_Impuestos[#All],5,0),"")</f>
        <v/>
      </c>
      <c r="F2607" t="str">
        <f>+IFERROR(VLOOKUP(Fact_Impuestos[[#This Row], 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ht="18.75" customHeight="1" x14ac:dyDescent="0.35">
      <c r="C2608" s="100" t="str">
        <f>IF(OR(Fact_Impuestos[[#This Row], [Año]]="",Fact_Impuestos[[#This Row], [Mes]]=""),"",DATE(A2608,MATCH(B2608,{"enero","febrero","marzo","abril","mayo","junio","julio","agosto","septiembre","octubre","noviembre","diciembre"},0)+1,0))</f>
        <v/>
      </c>
      <c r="E2608" t="str">
        <f>+IFERROR(VLOOKUP(Fact_Impuestos[[#This Row], [Concepto Anterior]],Conceptos_Impuestos[#All],5,0),"")</f>
        <v/>
      </c>
      <c r="F2608" t="str">
        <f>+IFERROR(VLOOKUP(Fact_Impuestos[[#This Row], 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ht="18.75" customHeight="1" x14ac:dyDescent="0.35">
      <c r="C2609" s="100" t="str">
        <f>IF(OR(Fact_Impuestos[[#This Row], [Año]]="",Fact_Impuestos[[#This Row], [Mes]]=""),"",DATE(A2609,MATCH(B2609,{"enero","febrero","marzo","abril","mayo","junio","julio","agosto","septiembre","octubre","noviembre","diciembre"},0)+1,0))</f>
        <v/>
      </c>
      <c r="E2609" t="str">
        <f>+IFERROR(VLOOKUP(Fact_Impuestos[[#This Row], [Concepto Anterior]],Conceptos_Impuestos[#All],5,0),"")</f>
        <v/>
      </c>
      <c r="F2609" t="str">
        <f>+IFERROR(VLOOKUP(Fact_Impuestos[[#This Row], 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ht="18.75" customHeight="1" x14ac:dyDescent="0.35">
      <c r="C2610" s="100" t="str">
        <f>IF(OR(Fact_Impuestos[[#This Row], [Año]]="",Fact_Impuestos[[#This Row], [Mes]]=""),"",DATE(A2610,MATCH(B2610,{"enero","febrero","marzo","abril","mayo","junio","julio","agosto","septiembre","octubre","noviembre","diciembre"},0)+1,0))</f>
        <v/>
      </c>
      <c r="E2610" t="str">
        <f>+IFERROR(VLOOKUP(Fact_Impuestos[[#This Row], [Concepto Anterior]],Conceptos_Impuestos[#All],5,0),"")</f>
        <v/>
      </c>
      <c r="F2610" t="str">
        <f>+IFERROR(VLOOKUP(Fact_Impuestos[[#This Row], 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ht="18.75" customHeight="1" x14ac:dyDescent="0.35">
      <c r="C2611" s="100" t="str">
        <f>IF(OR(Fact_Impuestos[[#This Row], [Año]]="",Fact_Impuestos[[#This Row], [Mes]]=""),"",DATE(A2611,MATCH(B2611,{"enero","febrero","marzo","abril","mayo","junio","julio","agosto","septiembre","octubre","noviembre","diciembre"},0)+1,0))</f>
        <v/>
      </c>
      <c r="E2611" t="str">
        <f>+IFERROR(VLOOKUP(Fact_Impuestos[[#This Row], [Concepto Anterior]],Conceptos_Impuestos[#All],5,0),"")</f>
        <v/>
      </c>
      <c r="F2611" t="str">
        <f>+IFERROR(VLOOKUP(Fact_Impuestos[[#This Row], 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ht="18.75" customHeight="1" x14ac:dyDescent="0.35">
      <c r="C2612" s="100" t="str">
        <f>IF(OR(Fact_Impuestos[[#This Row], [Año]]="",Fact_Impuestos[[#This Row], [Mes]]=""),"",DATE(A2612,MATCH(B2612,{"enero","febrero","marzo","abril","mayo","junio","julio","agosto","septiembre","octubre","noviembre","diciembre"},0)+1,0))</f>
        <v/>
      </c>
      <c r="E2612" t="str">
        <f>+IFERROR(VLOOKUP(Fact_Impuestos[[#This Row], [Concepto Anterior]],Conceptos_Impuestos[#All],5,0),"")</f>
        <v/>
      </c>
      <c r="F2612" t="str">
        <f>+IFERROR(VLOOKUP(Fact_Impuestos[[#This Row], 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ht="18.75" customHeight="1" x14ac:dyDescent="0.35">
      <c r="C2613" s="100" t="str">
        <f>IF(OR(Fact_Impuestos[[#This Row], [Año]]="",Fact_Impuestos[[#This Row], [Mes]]=""),"",DATE(A2613,MATCH(B2613,{"enero","febrero","marzo","abril","mayo","junio","julio","agosto","septiembre","octubre","noviembre","diciembre"},0)+1,0))</f>
        <v/>
      </c>
      <c r="E2613" t="str">
        <f>+IFERROR(VLOOKUP(Fact_Impuestos[[#This Row], [Concepto Anterior]],Conceptos_Impuestos[#All],5,0),"")</f>
        <v/>
      </c>
      <c r="F2613" t="str">
        <f>+IFERROR(VLOOKUP(Fact_Impuestos[[#This Row], 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ht="18.75" customHeight="1" x14ac:dyDescent="0.35">
      <c r="C2614" s="100" t="str">
        <f>IF(OR(Fact_Impuestos[[#This Row], [Año]]="",Fact_Impuestos[[#This Row], [Mes]]=""),"",DATE(A2614,MATCH(B2614,{"enero","febrero","marzo","abril","mayo","junio","julio","agosto","septiembre","octubre","noviembre","diciembre"},0)+1,0))</f>
        <v/>
      </c>
      <c r="E2614" t="str">
        <f>+IFERROR(VLOOKUP(Fact_Impuestos[[#This Row], [Concepto Anterior]],Conceptos_Impuestos[#All],5,0),"")</f>
        <v/>
      </c>
      <c r="F2614" t="str">
        <f>+IFERROR(VLOOKUP(Fact_Impuestos[[#This Row], 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ht="18.75" customHeight="1" x14ac:dyDescent="0.35">
      <c r="C2615" s="100" t="str">
        <f>IF(OR(Fact_Impuestos[[#This Row], [Año]]="",Fact_Impuestos[[#This Row], [Mes]]=""),"",DATE(A2615,MATCH(B2615,{"enero","febrero","marzo","abril","mayo","junio","julio","agosto","septiembre","octubre","noviembre","diciembre"},0)+1,0))</f>
        <v/>
      </c>
      <c r="E2615" t="str">
        <f>+IFERROR(VLOOKUP(Fact_Impuestos[[#This Row], [Concepto Anterior]],Conceptos_Impuestos[#All],5,0),"")</f>
        <v/>
      </c>
      <c r="F2615" t="str">
        <f>+IFERROR(VLOOKUP(Fact_Impuestos[[#This Row], 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ht="18.75" customHeight="1" x14ac:dyDescent="0.35">
      <c r="C2616" s="100" t="str">
        <f>IF(OR(Fact_Impuestos[[#This Row], [Año]]="",Fact_Impuestos[[#This Row], [Mes]]=""),"",DATE(A2616,MATCH(B2616,{"enero","febrero","marzo","abril","mayo","junio","julio","agosto","septiembre","octubre","noviembre","diciembre"},0)+1,0))</f>
        <v/>
      </c>
      <c r="E2616" t="str">
        <f>+IFERROR(VLOOKUP(Fact_Impuestos[[#This Row], [Concepto Anterior]],Conceptos_Impuestos[#All],5,0),"")</f>
        <v/>
      </c>
      <c r="F2616" t="str">
        <f>+IFERROR(VLOOKUP(Fact_Impuestos[[#This Row], 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ht="18.75" customHeight="1" x14ac:dyDescent="0.35">
      <c r="C2617" s="100" t="str">
        <f>IF(OR(Fact_Impuestos[[#This Row], [Año]]="",Fact_Impuestos[[#This Row], [Mes]]=""),"",DATE(A2617,MATCH(B2617,{"enero","febrero","marzo","abril","mayo","junio","julio","agosto","septiembre","octubre","noviembre","diciembre"},0)+1,0))</f>
        <v/>
      </c>
      <c r="E2617" t="str">
        <f>+IFERROR(VLOOKUP(Fact_Impuestos[[#This Row], [Concepto Anterior]],Conceptos_Impuestos[#All],5,0),"")</f>
        <v/>
      </c>
      <c r="F2617" t="str">
        <f>+IFERROR(VLOOKUP(Fact_Impuestos[[#This Row], 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ht="18.75" customHeight="1" x14ac:dyDescent="0.35">
      <c r="C2618" s="100" t="str">
        <f>IF(OR(Fact_Impuestos[[#This Row], [Año]]="",Fact_Impuestos[[#This Row], [Mes]]=""),"",DATE(A2618,MATCH(B2618,{"enero","febrero","marzo","abril","mayo","junio","julio","agosto","septiembre","octubre","noviembre","diciembre"},0)+1,0))</f>
        <v/>
      </c>
      <c r="E2618" t="str">
        <f>+IFERROR(VLOOKUP(Fact_Impuestos[[#This Row], [Concepto Anterior]],Conceptos_Impuestos[#All],5,0),"")</f>
        <v/>
      </c>
      <c r="F2618" t="str">
        <f>+IFERROR(VLOOKUP(Fact_Impuestos[[#This Row], 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ht="18.75" customHeight="1" x14ac:dyDescent="0.35">
      <c r="C2619" s="100" t="str">
        <f>IF(OR(Fact_Impuestos[[#This Row], [Año]]="",Fact_Impuestos[[#This Row], [Mes]]=""),"",DATE(A2619,MATCH(B2619,{"enero","febrero","marzo","abril","mayo","junio","julio","agosto","septiembre","octubre","noviembre","diciembre"},0)+1,0))</f>
        <v/>
      </c>
      <c r="E2619" t="str">
        <f>+IFERROR(VLOOKUP(Fact_Impuestos[[#This Row], [Concepto Anterior]],Conceptos_Impuestos[#All],5,0),"")</f>
        <v/>
      </c>
      <c r="F2619" t="str">
        <f>+IFERROR(VLOOKUP(Fact_Impuestos[[#This Row], 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ht="18.75" customHeight="1" x14ac:dyDescent="0.35">
      <c r="C2620" s="100" t="str">
        <f>IF(OR(Fact_Impuestos[[#This Row], [Año]]="",Fact_Impuestos[[#This Row], [Mes]]=""),"",DATE(A2620,MATCH(B2620,{"enero","febrero","marzo","abril","mayo","junio","julio","agosto","septiembre","octubre","noviembre","diciembre"},0)+1,0))</f>
        <v/>
      </c>
      <c r="E2620" t="str">
        <f>+IFERROR(VLOOKUP(Fact_Impuestos[[#This Row], [Concepto Anterior]],Conceptos_Impuestos[#All],5,0),"")</f>
        <v/>
      </c>
      <c r="F2620" t="str">
        <f>+IFERROR(VLOOKUP(Fact_Impuestos[[#This Row], 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ht="18.75" customHeight="1" x14ac:dyDescent="0.35">
      <c r="C2621" s="100" t="str">
        <f>IF(OR(Fact_Impuestos[[#This Row], [Año]]="",Fact_Impuestos[[#This Row], [Mes]]=""),"",DATE(A2621,MATCH(B2621,{"enero","febrero","marzo","abril","mayo","junio","julio","agosto","septiembre","octubre","noviembre","diciembre"},0)+1,0))</f>
        <v/>
      </c>
      <c r="E2621" t="str">
        <f>+IFERROR(VLOOKUP(Fact_Impuestos[[#This Row], [Concepto Anterior]],Conceptos_Impuestos[#All],5,0),"")</f>
        <v/>
      </c>
      <c r="F2621" t="str">
        <f>+IFERROR(VLOOKUP(Fact_Impuestos[[#This Row], 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ht="18.75" customHeight="1" x14ac:dyDescent="0.35">
      <c r="C2622" s="100" t="str">
        <f>IF(OR(Fact_Impuestos[[#This Row], [Año]]="",Fact_Impuestos[[#This Row], [Mes]]=""),"",DATE(A2622,MATCH(B2622,{"enero","febrero","marzo","abril","mayo","junio","julio","agosto","septiembre","octubre","noviembre","diciembre"},0)+1,0))</f>
        <v/>
      </c>
      <c r="E2622" t="str">
        <f>+IFERROR(VLOOKUP(Fact_Impuestos[[#This Row], [Concepto Anterior]],Conceptos_Impuestos[#All],5,0),"")</f>
        <v/>
      </c>
      <c r="F2622" t="str">
        <f>+IFERROR(VLOOKUP(Fact_Impuestos[[#This Row], 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ht="18.75" customHeight="1" x14ac:dyDescent="0.35">
      <c r="C2623" s="100" t="str">
        <f>IF(OR(Fact_Impuestos[[#This Row], [Año]]="",Fact_Impuestos[[#This Row], [Mes]]=""),"",DATE(A2623,MATCH(B2623,{"enero","febrero","marzo","abril","mayo","junio","julio","agosto","septiembre","octubre","noviembre","diciembre"},0)+1,0))</f>
        <v/>
      </c>
      <c r="E2623" t="str">
        <f>+IFERROR(VLOOKUP(Fact_Impuestos[[#This Row], [Concepto Anterior]],Conceptos_Impuestos[#All],5,0),"")</f>
        <v/>
      </c>
      <c r="F2623" t="str">
        <f>+IFERROR(VLOOKUP(Fact_Impuestos[[#This Row], 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ht="18.75" customHeight="1" x14ac:dyDescent="0.35">
      <c r="C2624" s="100" t="str">
        <f>IF(OR(Fact_Impuestos[[#This Row], [Año]]="",Fact_Impuestos[[#This Row], [Mes]]=""),"",DATE(A2624,MATCH(B2624,{"enero","febrero","marzo","abril","mayo","junio","julio","agosto","septiembre","octubre","noviembre","diciembre"},0)+1,0))</f>
        <v/>
      </c>
      <c r="E2624" t="str">
        <f>+IFERROR(VLOOKUP(Fact_Impuestos[[#This Row], [Concepto Anterior]],Conceptos_Impuestos[#All],5,0),"")</f>
        <v/>
      </c>
      <c r="F2624" t="str">
        <f>+IFERROR(VLOOKUP(Fact_Impuestos[[#This Row], 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ht="18.75" customHeight="1" x14ac:dyDescent="0.35">
      <c r="C2625" s="100" t="str">
        <f>IF(OR(Fact_Impuestos[[#This Row], [Año]]="",Fact_Impuestos[[#This Row], [Mes]]=""),"",DATE(A2625,MATCH(B2625,{"enero","febrero","marzo","abril","mayo","junio","julio","agosto","septiembre","octubre","noviembre","diciembre"},0)+1,0))</f>
        <v/>
      </c>
      <c r="E2625" t="str">
        <f>+IFERROR(VLOOKUP(Fact_Impuestos[[#This Row], [Concepto Anterior]],Conceptos_Impuestos[#All],5,0),"")</f>
        <v/>
      </c>
      <c r="F2625" t="str">
        <f>+IFERROR(VLOOKUP(Fact_Impuestos[[#This Row], 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ht="18.75" customHeight="1" x14ac:dyDescent="0.35">
      <c r="C2626" s="100" t="str">
        <f>IF(OR(Fact_Impuestos[[#This Row], [Año]]="",Fact_Impuestos[[#This Row], [Mes]]=""),"",DATE(A2626,MATCH(B2626,{"enero","febrero","marzo","abril","mayo","junio","julio","agosto","septiembre","octubre","noviembre","diciembre"},0)+1,0))</f>
        <v/>
      </c>
      <c r="E2626" t="str">
        <f>+IFERROR(VLOOKUP(Fact_Impuestos[[#This Row], [Concepto Anterior]],Conceptos_Impuestos[#All],5,0),"")</f>
        <v/>
      </c>
      <c r="F2626" t="str">
        <f>+IFERROR(VLOOKUP(Fact_Impuestos[[#This Row], 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ht="18.75" customHeight="1" x14ac:dyDescent="0.35">
      <c r="C2627" s="100" t="str">
        <f>IF(OR(Fact_Impuestos[[#This Row], [Año]]="",Fact_Impuestos[[#This Row], [Mes]]=""),"",DATE(A2627,MATCH(B2627,{"enero","febrero","marzo","abril","mayo","junio","julio","agosto","septiembre","octubre","noviembre","diciembre"},0)+1,0))</f>
        <v/>
      </c>
      <c r="E2627" t="str">
        <f>+IFERROR(VLOOKUP(Fact_Impuestos[[#This Row], [Concepto Anterior]],Conceptos_Impuestos[#All],5,0),"")</f>
        <v/>
      </c>
      <c r="F2627" t="str">
        <f>+IFERROR(VLOOKUP(Fact_Impuestos[[#This Row], 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ht="18.75" customHeight="1" x14ac:dyDescent="0.35">
      <c r="C2628" s="100" t="str">
        <f>IF(OR(Fact_Impuestos[[#This Row], [Año]]="",Fact_Impuestos[[#This Row], [Mes]]=""),"",DATE(A2628,MATCH(B2628,{"enero","febrero","marzo","abril","mayo","junio","julio","agosto","septiembre","octubre","noviembre","diciembre"},0)+1,0))</f>
        <v/>
      </c>
      <c r="E2628" t="str">
        <f>+IFERROR(VLOOKUP(Fact_Impuestos[[#This Row], [Concepto Anterior]],Conceptos_Impuestos[#All],5,0),"")</f>
        <v/>
      </c>
      <c r="F2628" t="str">
        <f>+IFERROR(VLOOKUP(Fact_Impuestos[[#This Row], 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ht="18.75" customHeight="1" x14ac:dyDescent="0.35">
      <c r="C2629" s="100" t="str">
        <f>IF(OR(Fact_Impuestos[[#This Row], [Año]]="",Fact_Impuestos[[#This Row], [Mes]]=""),"",DATE(A2629,MATCH(B2629,{"enero","febrero","marzo","abril","mayo","junio","julio","agosto","septiembre","octubre","noviembre","diciembre"},0)+1,0))</f>
        <v/>
      </c>
      <c r="E2629" t="str">
        <f>+IFERROR(VLOOKUP(Fact_Impuestos[[#This Row], [Concepto Anterior]],Conceptos_Impuestos[#All],5,0),"")</f>
        <v/>
      </c>
      <c r="F2629" t="str">
        <f>+IFERROR(VLOOKUP(Fact_Impuestos[[#This Row], 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ht="18.75" customHeight="1" x14ac:dyDescent="0.35">
      <c r="C2630" s="100" t="str">
        <f>IF(OR(Fact_Impuestos[[#This Row], [Año]]="",Fact_Impuestos[[#This Row], [Mes]]=""),"",DATE(A2630,MATCH(B2630,{"enero","febrero","marzo","abril","mayo","junio","julio","agosto","septiembre","octubre","noviembre","diciembre"},0)+1,0))</f>
        <v/>
      </c>
      <c r="E2630" t="str">
        <f>+IFERROR(VLOOKUP(Fact_Impuestos[[#This Row], [Concepto Anterior]],Conceptos_Impuestos[#All],5,0),"")</f>
        <v/>
      </c>
      <c r="F2630" t="str">
        <f>+IFERROR(VLOOKUP(Fact_Impuestos[[#This Row], 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ht="18.75" customHeight="1" x14ac:dyDescent="0.35">
      <c r="C2631" s="100" t="str">
        <f>IF(OR(Fact_Impuestos[[#This Row], [Año]]="",Fact_Impuestos[[#This Row], [Mes]]=""),"",DATE(A2631,MATCH(B2631,{"enero","febrero","marzo","abril","mayo","junio","julio","agosto","septiembre","octubre","noviembre","diciembre"},0)+1,0))</f>
        <v/>
      </c>
      <c r="E2631" t="str">
        <f>+IFERROR(VLOOKUP(Fact_Impuestos[[#This Row], [Concepto Anterior]],Conceptos_Impuestos[#All],5,0),"")</f>
        <v/>
      </c>
      <c r="F2631" t="str">
        <f>+IFERROR(VLOOKUP(Fact_Impuestos[[#This Row], 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ht="18.75" customHeight="1" x14ac:dyDescent="0.35">
      <c r="C2632" s="100" t="str">
        <f>IF(OR(Fact_Impuestos[[#This Row], [Año]]="",Fact_Impuestos[[#This Row], [Mes]]=""),"",DATE(A2632,MATCH(B2632,{"enero","febrero","marzo","abril","mayo","junio","julio","agosto","septiembre","octubre","noviembre","diciembre"},0)+1,0))</f>
        <v/>
      </c>
      <c r="E2632" t="str">
        <f>+IFERROR(VLOOKUP(Fact_Impuestos[[#This Row], [Concepto Anterior]],Conceptos_Impuestos[#All],5,0),"")</f>
        <v/>
      </c>
      <c r="F2632" t="str">
        <f>+IFERROR(VLOOKUP(Fact_Impuestos[[#This Row], 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ht="18.75" customHeight="1" x14ac:dyDescent="0.35">
      <c r="C2633" s="100" t="str">
        <f>IF(OR(Fact_Impuestos[[#This Row], [Año]]="",Fact_Impuestos[[#This Row], [Mes]]=""),"",DATE(A2633,MATCH(B2633,{"enero","febrero","marzo","abril","mayo","junio","julio","agosto","septiembre","octubre","noviembre","diciembre"},0)+1,0))</f>
        <v/>
      </c>
      <c r="E2633" t="str">
        <f>+IFERROR(VLOOKUP(Fact_Impuestos[[#This Row], [Concepto Anterior]],Conceptos_Impuestos[#All],5,0),"")</f>
        <v/>
      </c>
      <c r="F2633" t="str">
        <f>+IFERROR(VLOOKUP(Fact_Impuestos[[#This Row], 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ht="18.75" customHeight="1" x14ac:dyDescent="0.35">
      <c r="C2634" s="100" t="str">
        <f>IF(OR(Fact_Impuestos[[#This Row], [Año]]="",Fact_Impuestos[[#This Row], [Mes]]=""),"",DATE(A2634,MATCH(B2634,{"enero","febrero","marzo","abril","mayo","junio","julio","agosto","septiembre","octubre","noviembre","diciembre"},0)+1,0))</f>
        <v/>
      </c>
      <c r="E2634" t="str">
        <f>+IFERROR(VLOOKUP(Fact_Impuestos[[#This Row], [Concepto Anterior]],Conceptos_Impuestos[#All],5,0),"")</f>
        <v/>
      </c>
      <c r="F2634" t="str">
        <f>+IFERROR(VLOOKUP(Fact_Impuestos[[#This Row], 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ht="18.75" customHeight="1" x14ac:dyDescent="0.35">
      <c r="C2635" s="100" t="str">
        <f>IF(OR(Fact_Impuestos[[#This Row], [Año]]="",Fact_Impuestos[[#This Row], [Mes]]=""),"",DATE(A2635,MATCH(B2635,{"enero","febrero","marzo","abril","mayo","junio","julio","agosto","septiembre","octubre","noviembre","diciembre"},0)+1,0))</f>
        <v/>
      </c>
      <c r="E2635" t="str">
        <f>+IFERROR(VLOOKUP(Fact_Impuestos[[#This Row], [Concepto Anterior]],Conceptos_Impuestos[#All],5,0),"")</f>
        <v/>
      </c>
      <c r="F2635" t="str">
        <f>+IFERROR(VLOOKUP(Fact_Impuestos[[#This Row], 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ht="18.75" customHeight="1" x14ac:dyDescent="0.35">
      <c r="C2636" s="100" t="str">
        <f>IF(OR(Fact_Impuestos[[#This Row], [Año]]="",Fact_Impuestos[[#This Row], [Mes]]=""),"",DATE(A2636,MATCH(B2636,{"enero","febrero","marzo","abril","mayo","junio","julio","agosto","septiembre","octubre","noviembre","diciembre"},0)+1,0))</f>
        <v/>
      </c>
      <c r="E2636" t="str">
        <f>+IFERROR(VLOOKUP(Fact_Impuestos[[#This Row], [Concepto Anterior]],Conceptos_Impuestos[#All],5,0),"")</f>
        <v/>
      </c>
      <c r="F2636" t="str">
        <f>+IFERROR(VLOOKUP(Fact_Impuestos[[#This Row], 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ht="18.75" customHeight="1" x14ac:dyDescent="0.35">
      <c r="C2637" s="100" t="str">
        <f>IF(OR(Fact_Impuestos[[#This Row], [Año]]="",Fact_Impuestos[[#This Row], [Mes]]=""),"",DATE(A2637,MATCH(B2637,{"enero","febrero","marzo","abril","mayo","junio","julio","agosto","septiembre","octubre","noviembre","diciembre"},0)+1,0))</f>
        <v/>
      </c>
      <c r="E2637" t="str">
        <f>+IFERROR(VLOOKUP(Fact_Impuestos[[#This Row], [Concepto Anterior]],Conceptos_Impuestos[#All],5,0),"")</f>
        <v/>
      </c>
      <c r="F2637" t="str">
        <f>+IFERROR(VLOOKUP(Fact_Impuestos[[#This Row], 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ht="18.75" customHeight="1" x14ac:dyDescent="0.35">
      <c r="C2638" s="100" t="str">
        <f>IF(OR(Fact_Impuestos[[#This Row], [Año]]="",Fact_Impuestos[[#This Row], [Mes]]=""),"",DATE(A2638,MATCH(B2638,{"enero","febrero","marzo","abril","mayo","junio","julio","agosto","septiembre","octubre","noviembre","diciembre"},0)+1,0))</f>
        <v/>
      </c>
      <c r="E2638" t="str">
        <f>+IFERROR(VLOOKUP(Fact_Impuestos[[#This Row], [Concepto Anterior]],Conceptos_Impuestos[#All],5,0),"")</f>
        <v/>
      </c>
      <c r="F2638" t="str">
        <f>+IFERROR(VLOOKUP(Fact_Impuestos[[#This Row], 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ht="18.75" customHeight="1" x14ac:dyDescent="0.35">
      <c r="C2639" s="100" t="str">
        <f>IF(OR(Fact_Impuestos[[#This Row], [Año]]="",Fact_Impuestos[[#This Row], [Mes]]=""),"",DATE(A2639,MATCH(B2639,{"enero","febrero","marzo","abril","mayo","junio","julio","agosto","septiembre","octubre","noviembre","diciembre"},0)+1,0))</f>
        <v/>
      </c>
      <c r="E2639" t="str">
        <f>+IFERROR(VLOOKUP(Fact_Impuestos[[#This Row], [Concepto Anterior]],Conceptos_Impuestos[#All],5,0),"")</f>
        <v/>
      </c>
      <c r="F2639" t="str">
        <f>+IFERROR(VLOOKUP(Fact_Impuestos[[#This Row], 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ht="18.75" customHeight="1" x14ac:dyDescent="0.35">
      <c r="C2640" s="100" t="str">
        <f>IF(OR(Fact_Impuestos[[#This Row], [Año]]="",Fact_Impuestos[[#This Row], [Mes]]=""),"",DATE(A2640,MATCH(B2640,{"enero","febrero","marzo","abril","mayo","junio","julio","agosto","septiembre","octubre","noviembre","diciembre"},0)+1,0))</f>
        <v/>
      </c>
      <c r="E2640" t="str">
        <f>+IFERROR(VLOOKUP(Fact_Impuestos[[#This Row], [Concepto Anterior]],Conceptos_Impuestos[#All],5,0),"")</f>
        <v/>
      </c>
      <c r="F2640" t="str">
        <f>+IFERROR(VLOOKUP(Fact_Impuestos[[#This Row], 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ht="18.75" customHeight="1" x14ac:dyDescent="0.35">
      <c r="C2641" s="100" t="str">
        <f>IF(OR(Fact_Impuestos[[#This Row], [Año]]="",Fact_Impuestos[[#This Row], [Mes]]=""),"",DATE(A2641,MATCH(B2641,{"enero","febrero","marzo","abril","mayo","junio","julio","agosto","septiembre","octubre","noviembre","diciembre"},0)+1,0))</f>
        <v/>
      </c>
      <c r="E2641" t="str">
        <f>+IFERROR(VLOOKUP(Fact_Impuestos[[#This Row], [Concepto Anterior]],Conceptos_Impuestos[#All],5,0),"")</f>
        <v/>
      </c>
      <c r="F2641" t="str">
        <f>+IFERROR(VLOOKUP(Fact_Impuestos[[#This Row], 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ht="18.75" customHeight="1" x14ac:dyDescent="0.35">
      <c r="C2642" s="100" t="str">
        <f>IF(OR(Fact_Impuestos[[#This Row], [Año]]="",Fact_Impuestos[[#This Row], [Mes]]=""),"",DATE(A2642,MATCH(B2642,{"enero","febrero","marzo","abril","mayo","junio","julio","agosto","septiembre","octubre","noviembre","diciembre"},0)+1,0))</f>
        <v/>
      </c>
      <c r="E2642" t="str">
        <f>+IFERROR(VLOOKUP(Fact_Impuestos[[#This Row], [Concepto Anterior]],Conceptos_Impuestos[#All],5,0),"")</f>
        <v/>
      </c>
      <c r="F2642" t="str">
        <f>+IFERROR(VLOOKUP(Fact_Impuestos[[#This Row], 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ht="18.75" customHeight="1" x14ac:dyDescent="0.35">
      <c r="C2643" s="100" t="str">
        <f>IF(OR(Fact_Impuestos[[#This Row], [Año]]="",Fact_Impuestos[[#This Row], [Mes]]=""),"",DATE(A2643,MATCH(B2643,{"enero","febrero","marzo","abril","mayo","junio","julio","agosto","septiembre","octubre","noviembre","diciembre"},0)+1,0))</f>
        <v/>
      </c>
      <c r="E2643" t="str">
        <f>+IFERROR(VLOOKUP(Fact_Impuestos[[#This Row], [Concepto Anterior]],Conceptos_Impuestos[#All],5,0),"")</f>
        <v/>
      </c>
      <c r="F2643" t="str">
        <f>+IFERROR(VLOOKUP(Fact_Impuestos[[#This Row], 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ht="18.75" customHeight="1" x14ac:dyDescent="0.35">
      <c r="C2644" s="100" t="str">
        <f>IF(OR(Fact_Impuestos[[#This Row], [Año]]="",Fact_Impuestos[[#This Row], [Mes]]=""),"",DATE(A2644,MATCH(B2644,{"enero","febrero","marzo","abril","mayo","junio","julio","agosto","septiembre","octubre","noviembre","diciembre"},0)+1,0))</f>
        <v/>
      </c>
      <c r="E2644" t="str">
        <f>+IFERROR(VLOOKUP(Fact_Impuestos[[#This Row], [Concepto Anterior]],Conceptos_Impuestos[#All],5,0),"")</f>
        <v/>
      </c>
      <c r="F2644" t="str">
        <f>+IFERROR(VLOOKUP(Fact_Impuestos[[#This Row], 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ht="18.75" customHeight="1" x14ac:dyDescent="0.35">
      <c r="C2645" s="100" t="str">
        <f>IF(OR(Fact_Impuestos[[#This Row], [Año]]="",Fact_Impuestos[[#This Row], [Mes]]=""),"",DATE(A2645,MATCH(B2645,{"enero","febrero","marzo","abril","mayo","junio","julio","agosto","septiembre","octubre","noviembre","diciembre"},0)+1,0))</f>
        <v/>
      </c>
      <c r="E2645" t="str">
        <f>+IFERROR(VLOOKUP(Fact_Impuestos[[#This Row], [Concepto Anterior]],Conceptos_Impuestos[#All],5,0),"")</f>
        <v/>
      </c>
      <c r="F2645" t="str">
        <f>+IFERROR(VLOOKUP(Fact_Impuestos[[#This Row], 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ht="18.75" customHeight="1" x14ac:dyDescent="0.35">
      <c r="C2646" s="100" t="str">
        <f>IF(OR(Fact_Impuestos[[#This Row], [Año]]="",Fact_Impuestos[[#This Row], [Mes]]=""),"",DATE(A2646,MATCH(B2646,{"enero","febrero","marzo","abril","mayo","junio","julio","agosto","septiembre","octubre","noviembre","diciembre"},0)+1,0))</f>
        <v/>
      </c>
      <c r="E2646" t="str">
        <f>+IFERROR(VLOOKUP(Fact_Impuestos[[#This Row], [Concepto Anterior]],Conceptos_Impuestos[#All],5,0),"")</f>
        <v/>
      </c>
      <c r="F2646" t="str">
        <f>+IFERROR(VLOOKUP(Fact_Impuestos[[#This Row], 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ht="18.75" customHeight="1" x14ac:dyDescent="0.35">
      <c r="C2647" s="100" t="str">
        <f>IF(OR(Fact_Impuestos[[#This Row], [Año]]="",Fact_Impuestos[[#This Row], [Mes]]=""),"",DATE(A2647,MATCH(B2647,{"enero","febrero","marzo","abril","mayo","junio","julio","agosto","septiembre","octubre","noviembre","diciembre"},0)+1,0))</f>
        <v/>
      </c>
      <c r="E2647" t="str">
        <f>+IFERROR(VLOOKUP(Fact_Impuestos[[#This Row], [Concepto Anterior]],Conceptos_Impuestos[#All],5,0),"")</f>
        <v/>
      </c>
      <c r="F2647" t="str">
        <f>+IFERROR(VLOOKUP(Fact_Impuestos[[#This Row], 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ht="18.75" customHeight="1" x14ac:dyDescent="0.35">
      <c r="C2648" s="100" t="str">
        <f>IF(OR(Fact_Impuestos[[#This Row], [Año]]="",Fact_Impuestos[[#This Row], [Mes]]=""),"",DATE(A2648,MATCH(B2648,{"enero","febrero","marzo","abril","mayo","junio","julio","agosto","septiembre","octubre","noviembre","diciembre"},0)+1,0))</f>
        <v/>
      </c>
      <c r="E2648" t="str">
        <f>+IFERROR(VLOOKUP(Fact_Impuestos[[#This Row], [Concepto Anterior]],Conceptos_Impuestos[#All],5,0),"")</f>
        <v/>
      </c>
      <c r="F2648" t="str">
        <f>+IFERROR(VLOOKUP(Fact_Impuestos[[#This Row], 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ht="18.75" customHeight="1" x14ac:dyDescent="0.35">
      <c r="C2649" s="100" t="str">
        <f>IF(OR(Fact_Impuestos[[#This Row], [Año]]="",Fact_Impuestos[[#This Row], [Mes]]=""),"",DATE(A2649,MATCH(B2649,{"enero","febrero","marzo","abril","mayo","junio","julio","agosto","septiembre","octubre","noviembre","diciembre"},0)+1,0))</f>
        <v/>
      </c>
      <c r="E2649" t="str">
        <f>+IFERROR(VLOOKUP(Fact_Impuestos[[#This Row], [Concepto Anterior]],Conceptos_Impuestos[#All],5,0),"")</f>
        <v/>
      </c>
      <c r="F2649" t="str">
        <f>+IFERROR(VLOOKUP(Fact_Impuestos[[#This Row], 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ht="18.75" customHeight="1" x14ac:dyDescent="0.35">
      <c r="C2650" s="100" t="str">
        <f>IF(OR(Fact_Impuestos[[#This Row], [Año]]="",Fact_Impuestos[[#This Row], [Mes]]=""),"",DATE(A2650,MATCH(B2650,{"enero","febrero","marzo","abril","mayo","junio","julio","agosto","septiembre","octubre","noviembre","diciembre"},0)+1,0))</f>
        <v/>
      </c>
      <c r="E2650" t="str">
        <f>+IFERROR(VLOOKUP(Fact_Impuestos[[#This Row], [Concepto Anterior]],Conceptos_Impuestos[#All],5,0),"")</f>
        <v/>
      </c>
      <c r="F2650" t="str">
        <f>+IFERROR(VLOOKUP(Fact_Impuestos[[#This Row], 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ht="18.75" customHeight="1" x14ac:dyDescent="0.35">
      <c r="C2651" s="100" t="str">
        <f>IF(OR(Fact_Impuestos[[#This Row], [Año]]="",Fact_Impuestos[[#This Row], [Mes]]=""),"",DATE(A2651,MATCH(B2651,{"enero","febrero","marzo","abril","mayo","junio","julio","agosto","septiembre","octubre","noviembre","diciembre"},0)+1,0))</f>
        <v/>
      </c>
      <c r="E2651" t="str">
        <f>+IFERROR(VLOOKUP(Fact_Impuestos[[#This Row], [Concepto Anterior]],Conceptos_Impuestos[#All],5,0),"")</f>
        <v/>
      </c>
      <c r="F2651" t="str">
        <f>+IFERROR(VLOOKUP(Fact_Impuestos[[#This Row], 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ht="18.75" customHeight="1" x14ac:dyDescent="0.35">
      <c r="C2652" s="100" t="str">
        <f>IF(OR(Fact_Impuestos[[#This Row], [Año]]="",Fact_Impuestos[[#This Row], [Mes]]=""),"",DATE(A2652,MATCH(B2652,{"enero","febrero","marzo","abril","mayo","junio","julio","agosto","septiembre","octubre","noviembre","diciembre"},0)+1,0))</f>
        <v/>
      </c>
      <c r="E2652" t="str">
        <f>+IFERROR(VLOOKUP(Fact_Impuestos[[#This Row], [Concepto Anterior]],Conceptos_Impuestos[#All],5,0),"")</f>
        <v/>
      </c>
      <c r="F2652" t="str">
        <f>+IFERROR(VLOOKUP(Fact_Impuestos[[#This Row], 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ht="18.75" customHeight="1" x14ac:dyDescent="0.35">
      <c r="C2653" s="100" t="str">
        <f>IF(OR(Fact_Impuestos[[#This Row], [Año]]="",Fact_Impuestos[[#This Row], [Mes]]=""),"",DATE(A2653,MATCH(B2653,{"enero","febrero","marzo","abril","mayo","junio","julio","agosto","septiembre","octubre","noviembre","diciembre"},0)+1,0))</f>
        <v/>
      </c>
      <c r="E2653" t="str">
        <f>+IFERROR(VLOOKUP(Fact_Impuestos[[#This Row], [Concepto Anterior]],Conceptos_Impuestos[#All],5,0),"")</f>
        <v/>
      </c>
      <c r="F2653" t="str">
        <f>+IFERROR(VLOOKUP(Fact_Impuestos[[#This Row], 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ht="18.75" customHeight="1" x14ac:dyDescent="0.35">
      <c r="C2654" s="100" t="str">
        <f>IF(OR(Fact_Impuestos[[#This Row], [Año]]="",Fact_Impuestos[[#This Row], [Mes]]=""),"",DATE(A2654,MATCH(B2654,{"enero","febrero","marzo","abril","mayo","junio","julio","agosto","septiembre","octubre","noviembre","diciembre"},0)+1,0))</f>
        <v/>
      </c>
      <c r="E2654" t="str">
        <f>+IFERROR(VLOOKUP(Fact_Impuestos[[#This Row], [Concepto Anterior]],Conceptos_Impuestos[#All],5,0),"")</f>
        <v/>
      </c>
      <c r="F2654" t="str">
        <f>+IFERROR(VLOOKUP(Fact_Impuestos[[#This Row], 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ht="18.75" customHeight="1" x14ac:dyDescent="0.35">
      <c r="C2655" s="100" t="str">
        <f>IF(OR(Fact_Impuestos[[#This Row], [Año]]="",Fact_Impuestos[[#This Row], [Mes]]=""),"",DATE(A2655,MATCH(B2655,{"enero","febrero","marzo","abril","mayo","junio","julio","agosto","septiembre","octubre","noviembre","diciembre"},0)+1,0))</f>
        <v/>
      </c>
      <c r="E2655" t="str">
        <f>+IFERROR(VLOOKUP(Fact_Impuestos[[#This Row], [Concepto Anterior]],Conceptos_Impuestos[#All],5,0),"")</f>
        <v/>
      </c>
      <c r="F2655" t="str">
        <f>+IFERROR(VLOOKUP(Fact_Impuestos[[#This Row], 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ht="18.75" customHeight="1" x14ac:dyDescent="0.35">
      <c r="C2656" s="100" t="str">
        <f>IF(OR(Fact_Impuestos[[#This Row], [Año]]="",Fact_Impuestos[[#This Row], [Mes]]=""),"",DATE(A2656,MATCH(B2656,{"enero","febrero","marzo","abril","mayo","junio","julio","agosto","septiembre","octubre","noviembre","diciembre"},0)+1,0))</f>
        <v/>
      </c>
      <c r="E2656" t="str">
        <f>+IFERROR(VLOOKUP(Fact_Impuestos[[#This Row], [Concepto Anterior]],Conceptos_Impuestos[#All],5,0),"")</f>
        <v/>
      </c>
      <c r="F2656" t="str">
        <f>+IFERROR(VLOOKUP(Fact_Impuestos[[#This Row], 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ht="18.75" customHeight="1" x14ac:dyDescent="0.35">
      <c r="C2657" s="100" t="str">
        <f>IF(OR(Fact_Impuestos[[#This Row], [Año]]="",Fact_Impuestos[[#This Row], [Mes]]=""),"",DATE(A2657,MATCH(B2657,{"enero","febrero","marzo","abril","mayo","junio","julio","agosto","septiembre","octubre","noviembre","diciembre"},0)+1,0))</f>
        <v/>
      </c>
      <c r="E2657" t="str">
        <f>+IFERROR(VLOOKUP(Fact_Impuestos[[#This Row], [Concepto Anterior]],Conceptos_Impuestos[#All],5,0),"")</f>
        <v/>
      </c>
      <c r="F2657" t="str">
        <f>+IFERROR(VLOOKUP(Fact_Impuestos[[#This Row], 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ht="18.75" customHeight="1" x14ac:dyDescent="0.35">
      <c r="C2658" s="100" t="str">
        <f>IF(OR(Fact_Impuestos[[#This Row], [Año]]="",Fact_Impuestos[[#This Row], [Mes]]=""),"",DATE(A2658,MATCH(B2658,{"enero","febrero","marzo","abril","mayo","junio","julio","agosto","septiembre","octubre","noviembre","diciembre"},0)+1,0))</f>
        <v/>
      </c>
      <c r="E2658" t="str">
        <f>+IFERROR(VLOOKUP(Fact_Impuestos[[#This Row], [Concepto Anterior]],Conceptos_Impuestos[#All],5,0),"")</f>
        <v/>
      </c>
      <c r="F2658" t="str">
        <f>+IFERROR(VLOOKUP(Fact_Impuestos[[#This Row], 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ht="18.75" customHeight="1" x14ac:dyDescent="0.35">
      <c r="C2659" s="100" t="str">
        <f>IF(OR(Fact_Impuestos[[#This Row], [Año]]="",Fact_Impuestos[[#This Row], [Mes]]=""),"",DATE(A2659,MATCH(B2659,{"enero","febrero","marzo","abril","mayo","junio","julio","agosto","septiembre","octubre","noviembre","diciembre"},0)+1,0))</f>
        <v/>
      </c>
      <c r="E2659" t="str">
        <f>+IFERROR(VLOOKUP(Fact_Impuestos[[#This Row], [Concepto Anterior]],Conceptos_Impuestos[#All],5,0),"")</f>
        <v/>
      </c>
      <c r="F2659" t="str">
        <f>+IFERROR(VLOOKUP(Fact_Impuestos[[#This Row], 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ht="18.75" customHeight="1" x14ac:dyDescent="0.35">
      <c r="C2660" s="100" t="str">
        <f>IF(OR(Fact_Impuestos[[#This Row], [Año]]="",Fact_Impuestos[[#This Row], [Mes]]=""),"",DATE(A2660,MATCH(B2660,{"enero","febrero","marzo","abril","mayo","junio","julio","agosto","septiembre","octubre","noviembre","diciembre"},0)+1,0))</f>
        <v/>
      </c>
      <c r="E2660" t="str">
        <f>+IFERROR(VLOOKUP(Fact_Impuestos[[#This Row], [Concepto Anterior]],Conceptos_Impuestos[#All],5,0),"")</f>
        <v/>
      </c>
      <c r="F2660" t="str">
        <f>+IFERROR(VLOOKUP(Fact_Impuestos[[#This Row], 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ht="18.75" customHeight="1" x14ac:dyDescent="0.35">
      <c r="C2661" s="100" t="str">
        <f>IF(OR(Fact_Impuestos[[#This Row], [Año]]="",Fact_Impuestos[[#This Row], [Mes]]=""),"",DATE(A2661,MATCH(B2661,{"enero","febrero","marzo","abril","mayo","junio","julio","agosto","septiembre","octubre","noviembre","diciembre"},0)+1,0))</f>
        <v/>
      </c>
      <c r="E2661" t="str">
        <f>+IFERROR(VLOOKUP(Fact_Impuestos[[#This Row], [Concepto Anterior]],Conceptos_Impuestos[#All],5,0),"")</f>
        <v/>
      </c>
      <c r="F2661" t="str">
        <f>+IFERROR(VLOOKUP(Fact_Impuestos[[#This Row], 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ht="18.75" customHeight="1" x14ac:dyDescent="0.35">
      <c r="C2662" s="100" t="str">
        <f>IF(OR(Fact_Impuestos[[#This Row], [Año]]="",Fact_Impuestos[[#This Row], [Mes]]=""),"",DATE(A2662,MATCH(B2662,{"enero","febrero","marzo","abril","mayo","junio","julio","agosto","septiembre","octubre","noviembre","diciembre"},0)+1,0))</f>
        <v/>
      </c>
      <c r="E2662" t="str">
        <f>+IFERROR(VLOOKUP(Fact_Impuestos[[#This Row], [Concepto Anterior]],Conceptos_Impuestos[#All],5,0),"")</f>
        <v/>
      </c>
      <c r="F2662" t="str">
        <f>+IFERROR(VLOOKUP(Fact_Impuestos[[#This Row], 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ht="18.75" customHeight="1" x14ac:dyDescent="0.35">
      <c r="C2663" s="100" t="str">
        <f>IF(OR(Fact_Impuestos[[#This Row], [Año]]="",Fact_Impuestos[[#This Row], [Mes]]=""),"",DATE(A2663,MATCH(B2663,{"enero","febrero","marzo","abril","mayo","junio","julio","agosto","septiembre","octubre","noviembre","diciembre"},0)+1,0))</f>
        <v/>
      </c>
      <c r="E2663" t="str">
        <f>+IFERROR(VLOOKUP(Fact_Impuestos[[#This Row], [Concepto Anterior]],Conceptos_Impuestos[#All],5,0),"")</f>
        <v/>
      </c>
      <c r="F2663" t="str">
        <f>+IFERROR(VLOOKUP(Fact_Impuestos[[#This Row], 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ht="18.75" customHeight="1" x14ac:dyDescent="0.35">
      <c r="C2664" s="100" t="str">
        <f>IF(OR(Fact_Impuestos[[#This Row], [Año]]="",Fact_Impuestos[[#This Row], [Mes]]=""),"",DATE(A2664,MATCH(B2664,{"enero","febrero","marzo","abril","mayo","junio","julio","agosto","septiembre","octubre","noviembre","diciembre"},0)+1,0))</f>
        <v/>
      </c>
      <c r="E2664" t="str">
        <f>+IFERROR(VLOOKUP(Fact_Impuestos[[#This Row], [Concepto Anterior]],Conceptos_Impuestos[#All],5,0),"")</f>
        <v/>
      </c>
      <c r="F2664" t="str">
        <f>+IFERROR(VLOOKUP(Fact_Impuestos[[#This Row], 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ht="18.75" customHeight="1" x14ac:dyDescent="0.35">
      <c r="C2665" s="100" t="str">
        <f>IF(OR(Fact_Impuestos[[#This Row], [Año]]="",Fact_Impuestos[[#This Row], [Mes]]=""),"",DATE(A2665,MATCH(B2665,{"enero","febrero","marzo","abril","mayo","junio","julio","agosto","septiembre","octubre","noviembre","diciembre"},0)+1,0))</f>
        <v/>
      </c>
      <c r="E2665" t="str">
        <f>+IFERROR(VLOOKUP(Fact_Impuestos[[#This Row], [Concepto Anterior]],Conceptos_Impuestos[#All],5,0),"")</f>
        <v/>
      </c>
      <c r="F2665" t="str">
        <f>+IFERROR(VLOOKUP(Fact_Impuestos[[#This Row], 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ht="18.75" customHeight="1" x14ac:dyDescent="0.35">
      <c r="C2666" s="100" t="str">
        <f>IF(OR(Fact_Impuestos[[#This Row], [Año]]="",Fact_Impuestos[[#This Row], [Mes]]=""),"",DATE(A2666,MATCH(B2666,{"enero","febrero","marzo","abril","mayo","junio","julio","agosto","septiembre","octubre","noviembre","diciembre"},0)+1,0))</f>
        <v/>
      </c>
      <c r="E2666" t="str">
        <f>+IFERROR(VLOOKUP(Fact_Impuestos[[#This Row], [Concepto Anterior]],Conceptos_Impuestos[#All],5,0),"")</f>
        <v/>
      </c>
      <c r="F2666" t="str">
        <f>+IFERROR(VLOOKUP(Fact_Impuestos[[#This Row], 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ht="18.75" customHeight="1" x14ac:dyDescent="0.35">
      <c r="C2667" s="100" t="str">
        <f>IF(OR(Fact_Impuestos[[#This Row], [Año]]="",Fact_Impuestos[[#This Row], [Mes]]=""),"",DATE(A2667,MATCH(B2667,{"enero","febrero","marzo","abril","mayo","junio","julio","agosto","septiembre","octubre","noviembre","diciembre"},0)+1,0))</f>
        <v/>
      </c>
      <c r="E2667" t="str">
        <f>+IFERROR(VLOOKUP(Fact_Impuestos[[#This Row], [Concepto Anterior]],Conceptos_Impuestos[#All],5,0),"")</f>
        <v/>
      </c>
      <c r="F2667" t="str">
        <f>+IFERROR(VLOOKUP(Fact_Impuestos[[#This Row], 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ht="18.75" customHeight="1" x14ac:dyDescent="0.35">
      <c r="C2668" s="100" t="str">
        <f>IF(OR(Fact_Impuestos[[#This Row], [Año]]="",Fact_Impuestos[[#This Row], [Mes]]=""),"",DATE(A2668,MATCH(B2668,{"enero","febrero","marzo","abril","mayo","junio","julio","agosto","septiembre","octubre","noviembre","diciembre"},0)+1,0))</f>
        <v/>
      </c>
      <c r="E2668" t="str">
        <f>+IFERROR(VLOOKUP(Fact_Impuestos[[#This Row], [Concepto Anterior]],Conceptos_Impuestos[#All],5,0),"")</f>
        <v/>
      </c>
      <c r="F2668" t="str">
        <f>+IFERROR(VLOOKUP(Fact_Impuestos[[#This Row], 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ht="18.75" customHeight="1" x14ac:dyDescent="0.35">
      <c r="C2669" s="100" t="str">
        <f>IF(OR(Fact_Impuestos[[#This Row], [Año]]="",Fact_Impuestos[[#This Row], [Mes]]=""),"",DATE(A2669,MATCH(B2669,{"enero","febrero","marzo","abril","mayo","junio","julio","agosto","septiembre","octubre","noviembre","diciembre"},0)+1,0))</f>
        <v/>
      </c>
      <c r="E2669" t="str">
        <f>+IFERROR(VLOOKUP(Fact_Impuestos[[#This Row], [Concepto Anterior]],Conceptos_Impuestos[#All],5,0),"")</f>
        <v/>
      </c>
      <c r="F2669" t="str">
        <f>+IFERROR(VLOOKUP(Fact_Impuestos[[#This Row], 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ht="18.75" customHeight="1" x14ac:dyDescent="0.35">
      <c r="C2670" s="100" t="str">
        <f>IF(OR(Fact_Impuestos[[#This Row], [Año]]="",Fact_Impuestos[[#This Row], [Mes]]=""),"",DATE(A2670,MATCH(B2670,{"enero","febrero","marzo","abril","mayo","junio","julio","agosto","septiembre","octubre","noviembre","diciembre"},0)+1,0))</f>
        <v/>
      </c>
      <c r="E2670" t="str">
        <f>+IFERROR(VLOOKUP(Fact_Impuestos[[#This Row], [Concepto Anterior]],Conceptos_Impuestos[#All],5,0),"")</f>
        <v/>
      </c>
      <c r="F2670" t="str">
        <f>+IFERROR(VLOOKUP(Fact_Impuestos[[#This Row], 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ht="18.75" customHeight="1" x14ac:dyDescent="0.35">
      <c r="C2671" s="100" t="str">
        <f>IF(OR(Fact_Impuestos[[#This Row], [Año]]="",Fact_Impuestos[[#This Row], [Mes]]=""),"",DATE(A2671,MATCH(B2671,{"enero","febrero","marzo","abril","mayo","junio","julio","agosto","septiembre","octubre","noviembre","diciembre"},0)+1,0))</f>
        <v/>
      </c>
      <c r="E2671" t="str">
        <f>+IFERROR(VLOOKUP(Fact_Impuestos[[#This Row], [Concepto Anterior]],Conceptos_Impuestos[#All],5,0),"")</f>
        <v/>
      </c>
      <c r="F2671" t="str">
        <f>+IFERROR(VLOOKUP(Fact_Impuestos[[#This Row], 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ht="18.75" customHeight="1" x14ac:dyDescent="0.35">
      <c r="C2672" s="100" t="str">
        <f>IF(OR(Fact_Impuestos[[#This Row], [Año]]="",Fact_Impuestos[[#This Row], [Mes]]=""),"",DATE(A2672,MATCH(B2672,{"enero","febrero","marzo","abril","mayo","junio","julio","agosto","septiembre","octubre","noviembre","diciembre"},0)+1,0))</f>
        <v/>
      </c>
      <c r="E2672" t="str">
        <f>+IFERROR(VLOOKUP(Fact_Impuestos[[#This Row], [Concepto Anterior]],Conceptos_Impuestos[#All],5,0),"")</f>
        <v/>
      </c>
      <c r="F2672" t="str">
        <f>+IFERROR(VLOOKUP(Fact_Impuestos[[#This Row], 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ht="18.75" customHeight="1" x14ac:dyDescent="0.35">
      <c r="C2673" s="100" t="str">
        <f>IF(OR(Fact_Impuestos[[#This Row], [Año]]="",Fact_Impuestos[[#This Row], [Mes]]=""),"",DATE(A2673,MATCH(B2673,{"enero","febrero","marzo","abril","mayo","junio","julio","agosto","septiembre","octubre","noviembre","diciembre"},0)+1,0))</f>
        <v/>
      </c>
      <c r="E2673" t="str">
        <f>+IFERROR(VLOOKUP(Fact_Impuestos[[#This Row], [Concepto Anterior]],Conceptos_Impuestos[#All],5,0),"")</f>
        <v/>
      </c>
      <c r="F2673" t="str">
        <f>+IFERROR(VLOOKUP(Fact_Impuestos[[#This Row], 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ht="18.75" customHeight="1" x14ac:dyDescent="0.35">
      <c r="C2674" s="100" t="str">
        <f>IF(OR(Fact_Impuestos[[#This Row], [Año]]="",Fact_Impuestos[[#This Row], [Mes]]=""),"",DATE(A2674,MATCH(B2674,{"enero","febrero","marzo","abril","mayo","junio","julio","agosto","septiembre","octubre","noviembre","diciembre"},0)+1,0))</f>
        <v/>
      </c>
      <c r="E2674" t="str">
        <f>+IFERROR(VLOOKUP(Fact_Impuestos[[#This Row], [Concepto Anterior]],Conceptos_Impuestos[#All],5,0),"")</f>
        <v/>
      </c>
      <c r="F2674" t="str">
        <f>+IFERROR(VLOOKUP(Fact_Impuestos[[#This Row], 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ht="18.75" customHeight="1" x14ac:dyDescent="0.35">
      <c r="C2675" s="100" t="str">
        <f>IF(OR(Fact_Impuestos[[#This Row], [Año]]="",Fact_Impuestos[[#This Row], [Mes]]=""),"",DATE(A2675,MATCH(B2675,{"enero","febrero","marzo","abril","mayo","junio","julio","agosto","septiembre","octubre","noviembre","diciembre"},0)+1,0))</f>
        <v/>
      </c>
      <c r="E2675" t="str">
        <f>+IFERROR(VLOOKUP(Fact_Impuestos[[#This Row], [Concepto Anterior]],Conceptos_Impuestos[#All],5,0),"")</f>
        <v/>
      </c>
      <c r="F2675" t="str">
        <f>+IFERROR(VLOOKUP(Fact_Impuestos[[#This Row], 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ht="18.75" customHeight="1" x14ac:dyDescent="0.35">
      <c r="C2676" s="100" t="str">
        <f>IF(OR(Fact_Impuestos[[#This Row], [Año]]="",Fact_Impuestos[[#This Row], [Mes]]=""),"",DATE(A2676,MATCH(B2676,{"enero","febrero","marzo","abril","mayo","junio","julio","agosto","septiembre","octubre","noviembre","diciembre"},0)+1,0))</f>
        <v/>
      </c>
      <c r="E2676" t="str">
        <f>+IFERROR(VLOOKUP(Fact_Impuestos[[#This Row], [Concepto Anterior]],Conceptos_Impuestos[#All],5,0),"")</f>
        <v/>
      </c>
      <c r="F2676" t="str">
        <f>+IFERROR(VLOOKUP(Fact_Impuestos[[#This Row], 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ht="18.75" customHeight="1" x14ac:dyDescent="0.35">
      <c r="C2677" s="100" t="str">
        <f>IF(OR(Fact_Impuestos[[#This Row], [Año]]="",Fact_Impuestos[[#This Row], [Mes]]=""),"",DATE(A2677,MATCH(B2677,{"enero","febrero","marzo","abril","mayo","junio","julio","agosto","septiembre","octubre","noviembre","diciembre"},0)+1,0))</f>
        <v/>
      </c>
      <c r="E2677" t="str">
        <f>+IFERROR(VLOOKUP(Fact_Impuestos[[#This Row], [Concepto Anterior]],Conceptos_Impuestos[#All],5,0),"")</f>
        <v/>
      </c>
      <c r="F2677" t="str">
        <f>+IFERROR(VLOOKUP(Fact_Impuestos[[#This Row], 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ht="18.75" customHeight="1" x14ac:dyDescent="0.35">
      <c r="C2678" s="100" t="str">
        <f>IF(OR(Fact_Impuestos[[#This Row], [Año]]="",Fact_Impuestos[[#This Row], [Mes]]=""),"",DATE(A2678,MATCH(B2678,{"enero","febrero","marzo","abril","mayo","junio","julio","agosto","septiembre","octubre","noviembre","diciembre"},0)+1,0))</f>
        <v/>
      </c>
      <c r="E2678" t="str">
        <f>+IFERROR(VLOOKUP(Fact_Impuestos[[#This Row], [Concepto Anterior]],Conceptos_Impuestos[#All],5,0),"")</f>
        <v/>
      </c>
      <c r="F2678" t="str">
        <f>+IFERROR(VLOOKUP(Fact_Impuestos[[#This Row], 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ht="18.75" customHeight="1" x14ac:dyDescent="0.35">
      <c r="C2679" s="100" t="str">
        <f>IF(OR(Fact_Impuestos[[#This Row], [Año]]="",Fact_Impuestos[[#This Row], [Mes]]=""),"",DATE(A2679,MATCH(B2679,{"enero","febrero","marzo","abril","mayo","junio","julio","agosto","septiembre","octubre","noviembre","diciembre"},0)+1,0))</f>
        <v/>
      </c>
      <c r="E2679" t="str">
        <f>+IFERROR(VLOOKUP(Fact_Impuestos[[#This Row], [Concepto Anterior]],Conceptos_Impuestos[#All],5,0),"")</f>
        <v/>
      </c>
      <c r="F2679" t="str">
        <f>+IFERROR(VLOOKUP(Fact_Impuestos[[#This Row], 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ht="18.75" customHeight="1" x14ac:dyDescent="0.35">
      <c r="C2680" s="100" t="str">
        <f>IF(OR(Fact_Impuestos[[#This Row], [Año]]="",Fact_Impuestos[[#This Row], [Mes]]=""),"",DATE(A2680,MATCH(B2680,{"enero","febrero","marzo","abril","mayo","junio","julio","agosto","septiembre","octubre","noviembre","diciembre"},0)+1,0))</f>
        <v/>
      </c>
      <c r="E2680" t="str">
        <f>+IFERROR(VLOOKUP(Fact_Impuestos[[#This Row], [Concepto Anterior]],Conceptos_Impuestos[#All],5,0),"")</f>
        <v/>
      </c>
      <c r="F2680" t="str">
        <f>+IFERROR(VLOOKUP(Fact_Impuestos[[#This Row], 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ht="18.75" customHeight="1" x14ac:dyDescent="0.35">
      <c r="C2681" s="100" t="str">
        <f>IF(OR(Fact_Impuestos[[#This Row], [Año]]="",Fact_Impuestos[[#This Row], [Mes]]=""),"",DATE(A2681,MATCH(B2681,{"enero","febrero","marzo","abril","mayo","junio","julio","agosto","septiembre","octubre","noviembre","diciembre"},0)+1,0))</f>
        <v/>
      </c>
      <c r="E2681" t="str">
        <f>+IFERROR(VLOOKUP(Fact_Impuestos[[#This Row], [Concepto Anterior]],Conceptos_Impuestos[#All],5,0),"")</f>
        <v/>
      </c>
      <c r="F2681" t="str">
        <f>+IFERROR(VLOOKUP(Fact_Impuestos[[#This Row], 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ht="18.75" customHeight="1" x14ac:dyDescent="0.35">
      <c r="C2682" s="100" t="str">
        <f>IF(OR(Fact_Impuestos[[#This Row], [Año]]="",Fact_Impuestos[[#This Row], [Mes]]=""),"",DATE(A2682,MATCH(B2682,{"enero","febrero","marzo","abril","mayo","junio","julio","agosto","septiembre","octubre","noviembre","diciembre"},0)+1,0))</f>
        <v/>
      </c>
      <c r="E2682" t="str">
        <f>+IFERROR(VLOOKUP(Fact_Impuestos[[#This Row], [Concepto Anterior]],Conceptos_Impuestos[#All],5,0),"")</f>
        <v/>
      </c>
      <c r="F2682" t="str">
        <f>+IFERROR(VLOOKUP(Fact_Impuestos[[#This Row], 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ht="18.75" customHeight="1" x14ac:dyDescent="0.35">
      <c r="C2683" s="100" t="str">
        <f>IF(OR(Fact_Impuestos[[#This Row], [Año]]="",Fact_Impuestos[[#This Row], [Mes]]=""),"",DATE(A2683,MATCH(B2683,{"enero","febrero","marzo","abril","mayo","junio","julio","agosto","septiembre","octubre","noviembre","diciembre"},0)+1,0))</f>
        <v/>
      </c>
      <c r="E2683" t="str">
        <f>+IFERROR(VLOOKUP(Fact_Impuestos[[#This Row], [Concepto Anterior]],Conceptos_Impuestos[#All],5,0),"")</f>
        <v/>
      </c>
      <c r="F2683" t="str">
        <f>+IFERROR(VLOOKUP(Fact_Impuestos[[#This Row], 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ht="18.75" customHeight="1" x14ac:dyDescent="0.35">
      <c r="C2684" s="100" t="str">
        <f>IF(OR(Fact_Impuestos[[#This Row], [Año]]="",Fact_Impuestos[[#This Row], [Mes]]=""),"",DATE(A2684,MATCH(B2684,{"enero","febrero","marzo","abril","mayo","junio","julio","agosto","septiembre","octubre","noviembre","diciembre"},0)+1,0))</f>
        <v/>
      </c>
      <c r="E2684" t="str">
        <f>+IFERROR(VLOOKUP(Fact_Impuestos[[#This Row], [Concepto Anterior]],Conceptos_Impuestos[#All],5,0),"")</f>
        <v/>
      </c>
      <c r="F2684" t="str">
        <f>+IFERROR(VLOOKUP(Fact_Impuestos[[#This Row], 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ht="18.75" customHeight="1" x14ac:dyDescent="0.35">
      <c r="C2685" s="100" t="str">
        <f>IF(OR(Fact_Impuestos[[#This Row], [Año]]="",Fact_Impuestos[[#This Row], [Mes]]=""),"",DATE(A2685,MATCH(B2685,{"enero","febrero","marzo","abril","mayo","junio","julio","agosto","septiembre","octubre","noviembre","diciembre"},0)+1,0))</f>
        <v/>
      </c>
      <c r="E2685" t="str">
        <f>+IFERROR(VLOOKUP(Fact_Impuestos[[#This Row], [Concepto Anterior]],Conceptos_Impuestos[#All],5,0),"")</f>
        <v/>
      </c>
      <c r="F2685" t="str">
        <f>+IFERROR(VLOOKUP(Fact_Impuestos[[#This Row], 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ht="18.75" customHeight="1" x14ac:dyDescent="0.35">
      <c r="C2686" s="100" t="str">
        <f>IF(OR(Fact_Impuestos[[#This Row], [Año]]="",Fact_Impuestos[[#This Row], [Mes]]=""),"",DATE(A2686,MATCH(B2686,{"enero","febrero","marzo","abril","mayo","junio","julio","agosto","septiembre","octubre","noviembre","diciembre"},0)+1,0))</f>
        <v/>
      </c>
      <c r="E2686" t="str">
        <f>+IFERROR(VLOOKUP(Fact_Impuestos[[#This Row], [Concepto Anterior]],Conceptos_Impuestos[#All],5,0),"")</f>
        <v/>
      </c>
      <c r="F2686" t="str">
        <f>+IFERROR(VLOOKUP(Fact_Impuestos[[#This Row], 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ht="18.75" customHeight="1" x14ac:dyDescent="0.35">
      <c r="C2687" s="100" t="str">
        <f>IF(OR(Fact_Impuestos[[#This Row], [Año]]="",Fact_Impuestos[[#This Row], [Mes]]=""),"",DATE(A2687,MATCH(B2687,{"enero","febrero","marzo","abril","mayo","junio","julio","agosto","septiembre","octubre","noviembre","diciembre"},0)+1,0))</f>
        <v/>
      </c>
      <c r="E2687" t="str">
        <f>+IFERROR(VLOOKUP(Fact_Impuestos[[#This Row], [Concepto Anterior]],Conceptos_Impuestos[#All],5,0),"")</f>
        <v/>
      </c>
      <c r="F2687" t="str">
        <f>+IFERROR(VLOOKUP(Fact_Impuestos[[#This Row], 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ht="18.75" customHeight="1" x14ac:dyDescent="0.35">
      <c r="C2688" s="100" t="str">
        <f>IF(OR(Fact_Impuestos[[#This Row], [Año]]="",Fact_Impuestos[[#This Row], [Mes]]=""),"",DATE(A2688,MATCH(B2688,{"enero","febrero","marzo","abril","mayo","junio","julio","agosto","septiembre","octubre","noviembre","diciembre"},0)+1,0))</f>
        <v/>
      </c>
      <c r="E2688" t="str">
        <f>+IFERROR(VLOOKUP(Fact_Impuestos[[#This Row], [Concepto Anterior]],Conceptos_Impuestos[#All],5,0),"")</f>
        <v/>
      </c>
      <c r="F2688" t="str">
        <f>+IFERROR(VLOOKUP(Fact_Impuestos[[#This Row], 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ht="18.75" customHeight="1" x14ac:dyDescent="0.35">
      <c r="C2689" s="100" t="str">
        <f>IF(OR(Fact_Impuestos[[#This Row], [Año]]="",Fact_Impuestos[[#This Row], [Mes]]=""),"",DATE(A2689,MATCH(B2689,{"enero","febrero","marzo","abril","mayo","junio","julio","agosto","septiembre","octubre","noviembre","diciembre"},0)+1,0))</f>
        <v/>
      </c>
      <c r="E2689" t="str">
        <f>+IFERROR(VLOOKUP(Fact_Impuestos[[#This Row], [Concepto Anterior]],Conceptos_Impuestos[#All],5,0),"")</f>
        <v/>
      </c>
      <c r="F2689" t="str">
        <f>+IFERROR(VLOOKUP(Fact_Impuestos[[#This Row], 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ht="18.75" customHeight="1" x14ac:dyDescent="0.35">
      <c r="C2690" s="100" t="str">
        <f>IF(OR(Fact_Impuestos[[#This Row], [Año]]="",Fact_Impuestos[[#This Row], [Mes]]=""),"",DATE(A2690,MATCH(B2690,{"enero","febrero","marzo","abril","mayo","junio","julio","agosto","septiembre","octubre","noviembre","diciembre"},0)+1,0))</f>
        <v/>
      </c>
      <c r="E2690" t="str">
        <f>+IFERROR(VLOOKUP(Fact_Impuestos[[#This Row], [Concepto Anterior]],Conceptos_Impuestos[#All],5,0),"")</f>
        <v/>
      </c>
      <c r="F2690" t="str">
        <f>+IFERROR(VLOOKUP(Fact_Impuestos[[#This Row], 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ht="18.75" customHeight="1" x14ac:dyDescent="0.35">
      <c r="C2691" s="100" t="str">
        <f>IF(OR(Fact_Impuestos[[#This Row], [Año]]="",Fact_Impuestos[[#This Row], [Mes]]=""),"",DATE(A2691,MATCH(B2691,{"enero","febrero","marzo","abril","mayo","junio","julio","agosto","septiembre","octubre","noviembre","diciembre"},0)+1,0))</f>
        <v/>
      </c>
      <c r="E2691" t="str">
        <f>+IFERROR(VLOOKUP(Fact_Impuestos[[#This Row], [Concepto Anterior]],Conceptos_Impuestos[#All],5,0),"")</f>
        <v/>
      </c>
      <c r="F2691" t="str">
        <f>+IFERROR(VLOOKUP(Fact_Impuestos[[#This Row], 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ht="18.75" customHeight="1" x14ac:dyDescent="0.35">
      <c r="C2692" s="100" t="str">
        <f>IF(OR(Fact_Impuestos[[#This Row], [Año]]="",Fact_Impuestos[[#This Row], [Mes]]=""),"",DATE(A2692,MATCH(B2692,{"enero","febrero","marzo","abril","mayo","junio","julio","agosto","septiembre","octubre","noviembre","diciembre"},0)+1,0))</f>
        <v/>
      </c>
      <c r="E2692" t="str">
        <f>+IFERROR(VLOOKUP(Fact_Impuestos[[#This Row], [Concepto Anterior]],Conceptos_Impuestos[#All],5,0),"")</f>
        <v/>
      </c>
      <c r="F2692" t="str">
        <f>+IFERROR(VLOOKUP(Fact_Impuestos[[#This Row], 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ht="18.75" customHeight="1" x14ac:dyDescent="0.35">
      <c r="C2693" s="100" t="str">
        <f>IF(OR(Fact_Impuestos[[#This Row], [Año]]="",Fact_Impuestos[[#This Row], [Mes]]=""),"",DATE(A2693,MATCH(B2693,{"enero","febrero","marzo","abril","mayo","junio","julio","agosto","septiembre","octubre","noviembre","diciembre"},0)+1,0))</f>
        <v/>
      </c>
      <c r="E2693" t="str">
        <f>+IFERROR(VLOOKUP(Fact_Impuestos[[#This Row], [Concepto Anterior]],Conceptos_Impuestos[#All],5,0),"")</f>
        <v/>
      </c>
      <c r="F2693" t="str">
        <f>+IFERROR(VLOOKUP(Fact_Impuestos[[#This Row], 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ht="18.75" customHeight="1" x14ac:dyDescent="0.35">
      <c r="C2694" s="100" t="str">
        <f>IF(OR(Fact_Impuestos[[#This Row], [Año]]="",Fact_Impuestos[[#This Row], [Mes]]=""),"",DATE(A2694,MATCH(B2694,{"enero","febrero","marzo","abril","mayo","junio","julio","agosto","septiembre","octubre","noviembre","diciembre"},0)+1,0))</f>
        <v/>
      </c>
      <c r="E2694" t="str">
        <f>+IFERROR(VLOOKUP(Fact_Impuestos[[#This Row], [Concepto Anterior]],Conceptos_Impuestos[#All],5,0),"")</f>
        <v/>
      </c>
      <c r="F2694" t="str">
        <f>+IFERROR(VLOOKUP(Fact_Impuestos[[#This Row], 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ht="18.75" customHeight="1" x14ac:dyDescent="0.35">
      <c r="C2695" s="100" t="str">
        <f>IF(OR(Fact_Impuestos[[#This Row], [Año]]="",Fact_Impuestos[[#This Row], [Mes]]=""),"",DATE(A2695,MATCH(B2695,{"enero","febrero","marzo","abril","mayo","junio","julio","agosto","septiembre","octubre","noviembre","diciembre"},0)+1,0))</f>
        <v/>
      </c>
      <c r="E2695" t="str">
        <f>+IFERROR(VLOOKUP(Fact_Impuestos[[#This Row], [Concepto Anterior]],Conceptos_Impuestos[#All],5,0),"")</f>
        <v/>
      </c>
      <c r="F2695" t="str">
        <f>+IFERROR(VLOOKUP(Fact_Impuestos[[#This Row], 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ht="18.75" customHeight="1" x14ac:dyDescent="0.35">
      <c r="C2696" s="100" t="str">
        <f>IF(OR(Fact_Impuestos[[#This Row], [Año]]="",Fact_Impuestos[[#This Row], [Mes]]=""),"",DATE(A2696,MATCH(B2696,{"enero","febrero","marzo","abril","mayo","junio","julio","agosto","septiembre","octubre","noviembre","diciembre"},0)+1,0))</f>
        <v/>
      </c>
      <c r="E2696" t="str">
        <f>+IFERROR(VLOOKUP(Fact_Impuestos[[#This Row], [Concepto Anterior]],Conceptos_Impuestos[#All],5,0),"")</f>
        <v/>
      </c>
      <c r="F2696" t="str">
        <f>+IFERROR(VLOOKUP(Fact_Impuestos[[#This Row], 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ht="18.75" customHeight="1" x14ac:dyDescent="0.35">
      <c r="C2697" s="100" t="str">
        <f>IF(OR(Fact_Impuestos[[#This Row], [Año]]="",Fact_Impuestos[[#This Row], [Mes]]=""),"",DATE(A2697,MATCH(B2697,{"enero","febrero","marzo","abril","mayo","junio","julio","agosto","septiembre","octubre","noviembre","diciembre"},0)+1,0))</f>
        <v/>
      </c>
      <c r="E2697" t="str">
        <f>+IFERROR(VLOOKUP(Fact_Impuestos[[#This Row], [Concepto Anterior]],Conceptos_Impuestos[#All],5,0),"")</f>
        <v/>
      </c>
      <c r="F2697" t="str">
        <f>+IFERROR(VLOOKUP(Fact_Impuestos[[#This Row], 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ht="18.75" customHeight="1" x14ac:dyDescent="0.35">
      <c r="C2698" s="100" t="str">
        <f>IF(OR(Fact_Impuestos[[#This Row], [Año]]="",Fact_Impuestos[[#This Row], [Mes]]=""),"",DATE(A2698,MATCH(B2698,{"enero","febrero","marzo","abril","mayo","junio","julio","agosto","septiembre","octubre","noviembre","diciembre"},0)+1,0))</f>
        <v/>
      </c>
      <c r="E2698" t="str">
        <f>+IFERROR(VLOOKUP(Fact_Impuestos[[#This Row], [Concepto Anterior]],Conceptos_Impuestos[#All],5,0),"")</f>
        <v/>
      </c>
      <c r="F2698" t="str">
        <f>+IFERROR(VLOOKUP(Fact_Impuestos[[#This Row], 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ht="18.75" customHeight="1" x14ac:dyDescent="0.35">
      <c r="C2699" s="100" t="str">
        <f>IF(OR(Fact_Impuestos[[#This Row], [Año]]="",Fact_Impuestos[[#This Row], [Mes]]=""),"",DATE(A2699,MATCH(B2699,{"enero","febrero","marzo","abril","mayo","junio","julio","agosto","septiembre","octubre","noviembre","diciembre"},0)+1,0))</f>
        <v/>
      </c>
      <c r="E2699" t="str">
        <f>+IFERROR(VLOOKUP(Fact_Impuestos[[#This Row], [Concepto Anterior]],Conceptos_Impuestos[#All],5,0),"")</f>
        <v/>
      </c>
      <c r="F2699" t="str">
        <f>+IFERROR(VLOOKUP(Fact_Impuestos[[#This Row], 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ht="18.75" customHeight="1" x14ac:dyDescent="0.35">
      <c r="C2700" s="100" t="str">
        <f>IF(OR(Fact_Impuestos[[#This Row], [Año]]="",Fact_Impuestos[[#This Row], [Mes]]=""),"",DATE(A2700,MATCH(B2700,{"enero","febrero","marzo","abril","mayo","junio","julio","agosto","septiembre","octubre","noviembre","diciembre"},0)+1,0))</f>
        <v/>
      </c>
      <c r="E2700" t="str">
        <f>+IFERROR(VLOOKUP(Fact_Impuestos[[#This Row], [Concepto Anterior]],Conceptos_Impuestos[#All],5,0),"")</f>
        <v/>
      </c>
      <c r="F2700" t="str">
        <f>+IFERROR(VLOOKUP(Fact_Impuestos[[#This Row], 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ht="18.75" customHeight="1" x14ac:dyDescent="0.35">
      <c r="C2701" s="100" t="str">
        <f>IF(OR(Fact_Impuestos[[#This Row], [Año]]="",Fact_Impuestos[[#This Row], [Mes]]=""),"",DATE(A2701,MATCH(B2701,{"enero","febrero","marzo","abril","mayo","junio","julio","agosto","septiembre","octubre","noviembre","diciembre"},0)+1,0))</f>
        <v/>
      </c>
      <c r="E2701" t="str">
        <f>+IFERROR(VLOOKUP(Fact_Impuestos[[#This Row], [Concepto Anterior]],Conceptos_Impuestos[#All],5,0),"")</f>
        <v/>
      </c>
      <c r="F2701" t="str">
        <f>+IFERROR(VLOOKUP(Fact_Impuestos[[#This Row], 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ht="18.75" customHeight="1" x14ac:dyDescent="0.35">
      <c r="C2702" s="100" t="str">
        <f>IF(OR(Fact_Impuestos[[#This Row], [Año]]="",Fact_Impuestos[[#This Row], [Mes]]=""),"",DATE(A2702,MATCH(B2702,{"enero","febrero","marzo","abril","mayo","junio","julio","agosto","septiembre","octubre","noviembre","diciembre"},0)+1,0))</f>
        <v/>
      </c>
      <c r="E2702" t="str">
        <f>+IFERROR(VLOOKUP(Fact_Impuestos[[#This Row], [Concepto Anterior]],Conceptos_Impuestos[#All],5,0),"")</f>
        <v/>
      </c>
      <c r="F2702" t="str">
        <f>+IFERROR(VLOOKUP(Fact_Impuestos[[#This Row], 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ht="18.75" customHeight="1" x14ac:dyDescent="0.35">
      <c r="C2703" s="100" t="str">
        <f>IF(OR(Fact_Impuestos[[#This Row], [Año]]="",Fact_Impuestos[[#This Row], [Mes]]=""),"",DATE(A2703,MATCH(B2703,{"enero","febrero","marzo","abril","mayo","junio","julio","agosto","septiembre","octubre","noviembre","diciembre"},0)+1,0))</f>
        <v/>
      </c>
      <c r="E2703" t="str">
        <f>+IFERROR(VLOOKUP(Fact_Impuestos[[#This Row], [Concepto Anterior]],Conceptos_Impuestos[#All],5,0),"")</f>
        <v/>
      </c>
      <c r="F2703" t="str">
        <f>+IFERROR(VLOOKUP(Fact_Impuestos[[#This Row], 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ht="18.75" customHeight="1" x14ac:dyDescent="0.35">
      <c r="C2704" s="100" t="str">
        <f>IF(OR(Fact_Impuestos[[#This Row], [Año]]="",Fact_Impuestos[[#This Row], [Mes]]=""),"",DATE(A2704,MATCH(B2704,{"enero","febrero","marzo","abril","mayo","junio","julio","agosto","septiembre","octubre","noviembre","diciembre"},0)+1,0))</f>
        <v/>
      </c>
      <c r="E2704" t="str">
        <f>+IFERROR(VLOOKUP(Fact_Impuestos[[#This Row], [Concepto Anterior]],Conceptos_Impuestos[#All],5,0),"")</f>
        <v/>
      </c>
      <c r="F2704" t="str">
        <f>+IFERROR(VLOOKUP(Fact_Impuestos[[#This Row], 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ht="18.75" customHeight="1" x14ac:dyDescent="0.35">
      <c r="C2705" s="100" t="str">
        <f>IF(OR(Fact_Impuestos[[#This Row], [Año]]="",Fact_Impuestos[[#This Row], [Mes]]=""),"",DATE(A2705,MATCH(B2705,{"enero","febrero","marzo","abril","mayo","junio","julio","agosto","septiembre","octubre","noviembre","diciembre"},0)+1,0))</f>
        <v/>
      </c>
      <c r="E2705" t="str">
        <f>+IFERROR(VLOOKUP(Fact_Impuestos[[#This Row], [Concepto Anterior]],Conceptos_Impuestos[#All],5,0),"")</f>
        <v/>
      </c>
      <c r="F2705" t="str">
        <f>+IFERROR(VLOOKUP(Fact_Impuestos[[#This Row], 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ht="18.75" customHeight="1" x14ac:dyDescent="0.35">
      <c r="C2706" s="100" t="str">
        <f>IF(OR(Fact_Impuestos[[#This Row], [Año]]="",Fact_Impuestos[[#This Row], [Mes]]=""),"",DATE(A2706,MATCH(B2706,{"enero","febrero","marzo","abril","mayo","junio","julio","agosto","septiembre","octubre","noviembre","diciembre"},0)+1,0))</f>
        <v/>
      </c>
      <c r="E2706" t="str">
        <f>+IFERROR(VLOOKUP(Fact_Impuestos[[#This Row], [Concepto Anterior]],Conceptos_Impuestos[#All],5,0),"")</f>
        <v/>
      </c>
      <c r="F2706" t="str">
        <f>+IFERROR(VLOOKUP(Fact_Impuestos[[#This Row], 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ht="18.75" customHeight="1" x14ac:dyDescent="0.35">
      <c r="C2707" s="100" t="str">
        <f>IF(OR(Fact_Impuestos[[#This Row], [Año]]="",Fact_Impuestos[[#This Row], [Mes]]=""),"",DATE(A2707,MATCH(B2707,{"enero","febrero","marzo","abril","mayo","junio","julio","agosto","septiembre","octubre","noviembre","diciembre"},0)+1,0))</f>
        <v/>
      </c>
      <c r="E2707" t="str">
        <f>+IFERROR(VLOOKUP(Fact_Impuestos[[#This Row], [Concepto Anterior]],Conceptos_Impuestos[#All],5,0),"")</f>
        <v/>
      </c>
      <c r="F2707" t="str">
        <f>+IFERROR(VLOOKUP(Fact_Impuestos[[#This Row], 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ht="18.75" customHeight="1" x14ac:dyDescent="0.35">
      <c r="C2708" s="100" t="str">
        <f>IF(OR(Fact_Impuestos[[#This Row], [Año]]="",Fact_Impuestos[[#This Row], [Mes]]=""),"",DATE(A2708,MATCH(B2708,{"enero","febrero","marzo","abril","mayo","junio","julio","agosto","septiembre","octubre","noviembre","diciembre"},0)+1,0))</f>
        <v/>
      </c>
      <c r="E2708" t="str">
        <f>+IFERROR(VLOOKUP(Fact_Impuestos[[#This Row], [Concepto Anterior]],Conceptos_Impuestos[#All],5,0),"")</f>
        <v/>
      </c>
      <c r="F2708" t="str">
        <f>+IFERROR(VLOOKUP(Fact_Impuestos[[#This Row], 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ht="18.75" customHeight="1" x14ac:dyDescent="0.35">
      <c r="C2709" s="100" t="str">
        <f>IF(OR(Fact_Impuestos[[#This Row], [Año]]="",Fact_Impuestos[[#This Row], [Mes]]=""),"",DATE(A2709,MATCH(B2709,{"enero","febrero","marzo","abril","mayo","junio","julio","agosto","septiembre","octubre","noviembre","diciembre"},0)+1,0))</f>
        <v/>
      </c>
      <c r="E2709" t="str">
        <f>+IFERROR(VLOOKUP(Fact_Impuestos[[#This Row], [Concepto Anterior]],Conceptos_Impuestos[#All],5,0),"")</f>
        <v/>
      </c>
      <c r="F2709" t="str">
        <f>+IFERROR(VLOOKUP(Fact_Impuestos[[#This Row], 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ht="18.75" customHeight="1" x14ac:dyDescent="0.35">
      <c r="C2710" s="100" t="str">
        <f>IF(OR(Fact_Impuestos[[#This Row], [Año]]="",Fact_Impuestos[[#This Row], [Mes]]=""),"",DATE(A2710,MATCH(B2710,{"enero","febrero","marzo","abril","mayo","junio","julio","agosto","septiembre","octubre","noviembre","diciembre"},0)+1,0))</f>
        <v/>
      </c>
      <c r="E2710" t="str">
        <f>+IFERROR(VLOOKUP(Fact_Impuestos[[#This Row], [Concepto Anterior]],Conceptos_Impuestos[#All],5,0),"")</f>
        <v/>
      </c>
      <c r="F2710" t="str">
        <f>+IFERROR(VLOOKUP(Fact_Impuestos[[#This Row], 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ht="18.75" customHeight="1" x14ac:dyDescent="0.35">
      <c r="C2711" s="100" t="str">
        <f>IF(OR(Fact_Impuestos[[#This Row], [Año]]="",Fact_Impuestos[[#This Row], [Mes]]=""),"",DATE(A2711,MATCH(B2711,{"enero","febrero","marzo","abril","mayo","junio","julio","agosto","septiembre","octubre","noviembre","diciembre"},0)+1,0))</f>
        <v/>
      </c>
      <c r="E2711" t="str">
        <f>+IFERROR(VLOOKUP(Fact_Impuestos[[#This Row], [Concepto Anterior]],Conceptos_Impuestos[#All],5,0),"")</f>
        <v/>
      </c>
      <c r="F2711" t="str">
        <f>+IFERROR(VLOOKUP(Fact_Impuestos[[#This Row], 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ht="18.75" customHeight="1" x14ac:dyDescent="0.35">
      <c r="C2712" s="100" t="str">
        <f>IF(OR(Fact_Impuestos[[#This Row], [Año]]="",Fact_Impuestos[[#This Row], [Mes]]=""),"",DATE(A2712,MATCH(B2712,{"enero","febrero","marzo","abril","mayo","junio","julio","agosto","septiembre","octubre","noviembre","diciembre"},0)+1,0))</f>
        <v/>
      </c>
      <c r="E2712" t="str">
        <f>+IFERROR(VLOOKUP(Fact_Impuestos[[#This Row], [Concepto Anterior]],Conceptos_Impuestos[#All],5,0),"")</f>
        <v/>
      </c>
      <c r="F2712" t="str">
        <f>+IFERROR(VLOOKUP(Fact_Impuestos[[#This Row], 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ht="18.75" customHeight="1" x14ac:dyDescent="0.35">
      <c r="C2713" s="100" t="str">
        <f>IF(OR(Fact_Impuestos[[#This Row], [Año]]="",Fact_Impuestos[[#This Row], [Mes]]=""),"",DATE(A2713,MATCH(B2713,{"enero","febrero","marzo","abril","mayo","junio","julio","agosto","septiembre","octubre","noviembre","diciembre"},0)+1,0))</f>
        <v/>
      </c>
      <c r="E2713" t="str">
        <f>+IFERROR(VLOOKUP(Fact_Impuestos[[#This Row], [Concepto Anterior]],Conceptos_Impuestos[#All],5,0),"")</f>
        <v/>
      </c>
      <c r="F2713" t="str">
        <f>+IFERROR(VLOOKUP(Fact_Impuestos[[#This Row], 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ht="18.75" customHeight="1" x14ac:dyDescent="0.35">
      <c r="C2714" s="100" t="str">
        <f>IF(OR(Fact_Impuestos[[#This Row], [Año]]="",Fact_Impuestos[[#This Row], [Mes]]=""),"",DATE(A2714,MATCH(B2714,{"enero","febrero","marzo","abril","mayo","junio","julio","agosto","septiembre","octubre","noviembre","diciembre"},0)+1,0))</f>
        <v/>
      </c>
      <c r="E2714" t="str">
        <f>+IFERROR(VLOOKUP(Fact_Impuestos[[#This Row], [Concepto Anterior]],Conceptos_Impuestos[#All],5,0),"")</f>
        <v/>
      </c>
      <c r="F2714" t="str">
        <f>+IFERROR(VLOOKUP(Fact_Impuestos[[#This Row], 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ht="18.75" customHeight="1" x14ac:dyDescent="0.35">
      <c r="C2715" s="100" t="str">
        <f>IF(OR(Fact_Impuestos[[#This Row], [Año]]="",Fact_Impuestos[[#This Row], [Mes]]=""),"",DATE(A2715,MATCH(B2715,{"enero","febrero","marzo","abril","mayo","junio","julio","agosto","septiembre","octubre","noviembre","diciembre"},0)+1,0))</f>
        <v/>
      </c>
      <c r="E2715" t="str">
        <f>+IFERROR(VLOOKUP(Fact_Impuestos[[#This Row], [Concepto Anterior]],Conceptos_Impuestos[#All],5,0),"")</f>
        <v/>
      </c>
      <c r="F2715" t="str">
        <f>+IFERROR(VLOOKUP(Fact_Impuestos[[#This Row], 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ht="18.75" customHeight="1" x14ac:dyDescent="0.35">
      <c r="C2716" s="100" t="str">
        <f>IF(OR(Fact_Impuestos[[#This Row], [Año]]="",Fact_Impuestos[[#This Row], [Mes]]=""),"",DATE(A2716,MATCH(B2716,{"enero","febrero","marzo","abril","mayo","junio","julio","agosto","septiembre","octubre","noviembre","diciembre"},0)+1,0))</f>
        <v/>
      </c>
      <c r="E2716" t="str">
        <f>+IFERROR(VLOOKUP(Fact_Impuestos[[#This Row], [Concepto Anterior]],Conceptos_Impuestos[#All],5,0),"")</f>
        <v/>
      </c>
      <c r="F2716" t="str">
        <f>+IFERROR(VLOOKUP(Fact_Impuestos[[#This Row], 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ht="18.75" customHeight="1" x14ac:dyDescent="0.35">
      <c r="C2717" s="100" t="str">
        <f>IF(OR(Fact_Impuestos[[#This Row], [Año]]="",Fact_Impuestos[[#This Row], [Mes]]=""),"",DATE(A2717,MATCH(B2717,{"enero","febrero","marzo","abril","mayo","junio","julio","agosto","septiembre","octubre","noviembre","diciembre"},0)+1,0))</f>
        <v/>
      </c>
      <c r="E2717" t="str">
        <f>+IFERROR(VLOOKUP(Fact_Impuestos[[#This Row], [Concepto Anterior]],Conceptos_Impuestos[#All],5,0),"")</f>
        <v/>
      </c>
      <c r="F2717" t="str">
        <f>+IFERROR(VLOOKUP(Fact_Impuestos[[#This Row], 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ht="18.75" customHeight="1" x14ac:dyDescent="0.35">
      <c r="C2718" s="100" t="str">
        <f>IF(OR(Fact_Impuestos[[#This Row], [Año]]="",Fact_Impuestos[[#This Row], [Mes]]=""),"",DATE(A2718,MATCH(B2718,{"enero","febrero","marzo","abril","mayo","junio","julio","agosto","septiembre","octubre","noviembre","diciembre"},0)+1,0))</f>
        <v/>
      </c>
      <c r="E2718" t="str">
        <f>+IFERROR(VLOOKUP(Fact_Impuestos[[#This Row], [Concepto Anterior]],Conceptos_Impuestos[#All],5,0),"")</f>
        <v/>
      </c>
      <c r="F2718" t="str">
        <f>+IFERROR(VLOOKUP(Fact_Impuestos[[#This Row], 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ht="18.75" customHeight="1" x14ac:dyDescent="0.35">
      <c r="C2719" s="100" t="str">
        <f>IF(OR(Fact_Impuestos[[#This Row], [Año]]="",Fact_Impuestos[[#This Row], [Mes]]=""),"",DATE(A2719,MATCH(B2719,{"enero","febrero","marzo","abril","mayo","junio","julio","agosto","septiembre","octubre","noviembre","diciembre"},0)+1,0))</f>
        <v/>
      </c>
      <c r="E2719" t="str">
        <f>+IFERROR(VLOOKUP(Fact_Impuestos[[#This Row], [Concepto Anterior]],Conceptos_Impuestos[#All],5,0),"")</f>
        <v/>
      </c>
      <c r="F2719" t="str">
        <f>+IFERROR(VLOOKUP(Fact_Impuestos[[#This Row], 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ht="18.75" customHeight="1" x14ac:dyDescent="0.35">
      <c r="C2720" s="100" t="str">
        <f>IF(OR(Fact_Impuestos[[#This Row], [Año]]="",Fact_Impuestos[[#This Row], [Mes]]=""),"",DATE(A2720,MATCH(B2720,{"enero","febrero","marzo","abril","mayo","junio","julio","agosto","septiembre","octubre","noviembre","diciembre"},0)+1,0))</f>
        <v/>
      </c>
      <c r="E2720" t="str">
        <f>+IFERROR(VLOOKUP(Fact_Impuestos[[#This Row], [Concepto Anterior]],Conceptos_Impuestos[#All],5,0),"")</f>
        <v/>
      </c>
      <c r="F2720" t="str">
        <f>+IFERROR(VLOOKUP(Fact_Impuestos[[#This Row], 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ht="18.75" customHeight="1" x14ac:dyDescent="0.35">
      <c r="C2721" s="100" t="str">
        <f>IF(OR(Fact_Impuestos[[#This Row], [Año]]="",Fact_Impuestos[[#This Row], [Mes]]=""),"",DATE(A2721,MATCH(B2721,{"enero","febrero","marzo","abril","mayo","junio","julio","agosto","septiembre","octubre","noviembre","diciembre"},0)+1,0))</f>
        <v/>
      </c>
      <c r="E2721" t="str">
        <f>+IFERROR(VLOOKUP(Fact_Impuestos[[#This Row], [Concepto Anterior]],Conceptos_Impuestos[#All],5,0),"")</f>
        <v/>
      </c>
      <c r="F2721" t="str">
        <f>+IFERROR(VLOOKUP(Fact_Impuestos[[#This Row], 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ht="18.75" customHeight="1" x14ac:dyDescent="0.35">
      <c r="C2722" s="100" t="str">
        <f>IF(OR(Fact_Impuestos[[#This Row], [Año]]="",Fact_Impuestos[[#This Row], [Mes]]=""),"",DATE(A2722,MATCH(B2722,{"enero","febrero","marzo","abril","mayo","junio","julio","agosto","septiembre","octubre","noviembre","diciembre"},0)+1,0))</f>
        <v/>
      </c>
      <c r="E2722" t="str">
        <f>+IFERROR(VLOOKUP(Fact_Impuestos[[#This Row], [Concepto Anterior]],Conceptos_Impuestos[#All],5,0),"")</f>
        <v/>
      </c>
      <c r="F2722" t="str">
        <f>+IFERROR(VLOOKUP(Fact_Impuestos[[#This Row], 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ht="18.75" customHeight="1" x14ac:dyDescent="0.35">
      <c r="C2723" s="100" t="str">
        <f>IF(OR(Fact_Impuestos[[#This Row], [Año]]="",Fact_Impuestos[[#This Row], [Mes]]=""),"",DATE(A2723,MATCH(B2723,{"enero","febrero","marzo","abril","mayo","junio","julio","agosto","septiembre","octubre","noviembre","diciembre"},0)+1,0))</f>
        <v/>
      </c>
      <c r="E2723" t="str">
        <f>+IFERROR(VLOOKUP(Fact_Impuestos[[#This Row], [Concepto Anterior]],Conceptos_Impuestos[#All],5,0),"")</f>
        <v/>
      </c>
      <c r="F2723" t="str">
        <f>+IFERROR(VLOOKUP(Fact_Impuestos[[#This Row], 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ht="18.75" customHeight="1" x14ac:dyDescent="0.35">
      <c r="C2724" s="100" t="str">
        <f>IF(OR(Fact_Impuestos[[#This Row], [Año]]="",Fact_Impuestos[[#This Row], [Mes]]=""),"",DATE(A2724,MATCH(B2724,{"enero","febrero","marzo","abril","mayo","junio","julio","agosto","septiembre","octubre","noviembre","diciembre"},0)+1,0))</f>
        <v/>
      </c>
      <c r="E2724" t="str">
        <f>+IFERROR(VLOOKUP(Fact_Impuestos[[#This Row], [Concepto Anterior]],Conceptos_Impuestos[#All],5,0),"")</f>
        <v/>
      </c>
      <c r="F2724" t="str">
        <f>+IFERROR(VLOOKUP(Fact_Impuestos[[#This Row], 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ht="18.75" customHeight="1" x14ac:dyDescent="0.35">
      <c r="C2725" s="100" t="str">
        <f>IF(OR(Fact_Impuestos[[#This Row], [Año]]="",Fact_Impuestos[[#This Row], [Mes]]=""),"",DATE(A2725,MATCH(B2725,{"enero","febrero","marzo","abril","mayo","junio","julio","agosto","septiembre","octubre","noviembre","diciembre"},0)+1,0))</f>
        <v/>
      </c>
      <c r="E2725" t="str">
        <f>+IFERROR(VLOOKUP(Fact_Impuestos[[#This Row], [Concepto Anterior]],Conceptos_Impuestos[#All],5,0),"")</f>
        <v/>
      </c>
      <c r="F2725" t="str">
        <f>+IFERROR(VLOOKUP(Fact_Impuestos[[#This Row], 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ht="18.75" customHeight="1" x14ac:dyDescent="0.35">
      <c r="C2726" s="100" t="str">
        <f>IF(OR(Fact_Impuestos[[#This Row], [Año]]="",Fact_Impuestos[[#This Row], [Mes]]=""),"",DATE(A2726,MATCH(B2726,{"enero","febrero","marzo","abril","mayo","junio","julio","agosto","septiembre","octubre","noviembre","diciembre"},0)+1,0))</f>
        <v/>
      </c>
      <c r="E2726" t="str">
        <f>+IFERROR(VLOOKUP(Fact_Impuestos[[#This Row], [Concepto Anterior]],Conceptos_Impuestos[#All],5,0),"")</f>
        <v/>
      </c>
      <c r="F2726" t="str">
        <f>+IFERROR(VLOOKUP(Fact_Impuestos[[#This Row], 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ht="18.75" customHeight="1" x14ac:dyDescent="0.35">
      <c r="C2727" s="100" t="str">
        <f>IF(OR(Fact_Impuestos[[#This Row], [Año]]="",Fact_Impuestos[[#This Row], [Mes]]=""),"",DATE(A2727,MATCH(B2727,{"enero","febrero","marzo","abril","mayo","junio","julio","agosto","septiembre","octubre","noviembre","diciembre"},0)+1,0))</f>
        <v/>
      </c>
      <c r="E2727" t="str">
        <f>+IFERROR(VLOOKUP(Fact_Impuestos[[#This Row], [Concepto Anterior]],Conceptos_Impuestos[#All],5,0),"")</f>
        <v/>
      </c>
      <c r="F2727" t="str">
        <f>+IFERROR(VLOOKUP(Fact_Impuestos[[#This Row], 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ht="18.75" customHeight="1" x14ac:dyDescent="0.35">
      <c r="C2728" s="100" t="str">
        <f>IF(OR(Fact_Impuestos[[#This Row], [Año]]="",Fact_Impuestos[[#This Row], [Mes]]=""),"",DATE(A2728,MATCH(B2728,{"enero","febrero","marzo","abril","mayo","junio","julio","agosto","septiembre","octubre","noviembre","diciembre"},0)+1,0))</f>
        <v/>
      </c>
      <c r="E2728" t="str">
        <f>+IFERROR(VLOOKUP(Fact_Impuestos[[#This Row], [Concepto Anterior]],Conceptos_Impuestos[#All],5,0),"")</f>
        <v/>
      </c>
      <c r="F2728" t="str">
        <f>+IFERROR(VLOOKUP(Fact_Impuestos[[#This Row], 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ht="18.75" customHeight="1" x14ac:dyDescent="0.35">
      <c r="C2729" s="100" t="str">
        <f>IF(OR(Fact_Impuestos[[#This Row], [Año]]="",Fact_Impuestos[[#This Row], [Mes]]=""),"",DATE(A2729,MATCH(B2729,{"enero","febrero","marzo","abril","mayo","junio","julio","agosto","septiembre","octubre","noviembre","diciembre"},0)+1,0))</f>
        <v/>
      </c>
      <c r="E2729" t="str">
        <f>+IFERROR(VLOOKUP(Fact_Impuestos[[#This Row], [Concepto Anterior]],Conceptos_Impuestos[#All],5,0),"")</f>
        <v/>
      </c>
      <c r="F2729" t="str">
        <f>+IFERROR(VLOOKUP(Fact_Impuestos[[#This Row], 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ht="18.75" customHeight="1" x14ac:dyDescent="0.35">
      <c r="C2730" s="100" t="str">
        <f>IF(OR(Fact_Impuestos[[#This Row], [Año]]="",Fact_Impuestos[[#This Row], [Mes]]=""),"",DATE(A2730,MATCH(B2730,{"enero","febrero","marzo","abril","mayo","junio","julio","agosto","septiembre","octubre","noviembre","diciembre"},0)+1,0))</f>
        <v/>
      </c>
      <c r="E2730" t="str">
        <f>+IFERROR(VLOOKUP(Fact_Impuestos[[#This Row], [Concepto Anterior]],Conceptos_Impuestos[#All],5,0),"")</f>
        <v/>
      </c>
      <c r="F2730" t="str">
        <f>+IFERROR(VLOOKUP(Fact_Impuestos[[#This Row], 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ht="18.75" customHeight="1" x14ac:dyDescent="0.35">
      <c r="C2731" s="100" t="str">
        <f>IF(OR(Fact_Impuestos[[#This Row], [Año]]="",Fact_Impuestos[[#This Row], [Mes]]=""),"",DATE(A2731,MATCH(B2731,{"enero","febrero","marzo","abril","mayo","junio","julio","agosto","septiembre","octubre","noviembre","diciembre"},0)+1,0))</f>
        <v/>
      </c>
      <c r="E2731" t="str">
        <f>+IFERROR(VLOOKUP(Fact_Impuestos[[#This Row], [Concepto Anterior]],Conceptos_Impuestos[#All],5,0),"")</f>
        <v/>
      </c>
      <c r="F2731" t="str">
        <f>+IFERROR(VLOOKUP(Fact_Impuestos[[#This Row], 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ht="18.75" customHeight="1" x14ac:dyDescent="0.35">
      <c r="C2732" s="100" t="str">
        <f>IF(OR(Fact_Impuestos[[#This Row], [Año]]="",Fact_Impuestos[[#This Row], [Mes]]=""),"",DATE(A2732,MATCH(B2732,{"enero","febrero","marzo","abril","mayo","junio","julio","agosto","septiembre","octubre","noviembre","diciembre"},0)+1,0))</f>
        <v/>
      </c>
      <c r="E2732" t="str">
        <f>+IFERROR(VLOOKUP(Fact_Impuestos[[#This Row], [Concepto Anterior]],Conceptos_Impuestos[#All],5,0),"")</f>
        <v/>
      </c>
      <c r="F2732" t="str">
        <f>+IFERROR(VLOOKUP(Fact_Impuestos[[#This Row], 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ht="18.75" customHeight="1" x14ac:dyDescent="0.35">
      <c r="C2733" s="100" t="str">
        <f>IF(OR(Fact_Impuestos[[#This Row], [Año]]="",Fact_Impuestos[[#This Row], [Mes]]=""),"",DATE(A2733,MATCH(B2733,{"enero","febrero","marzo","abril","mayo","junio","julio","agosto","septiembre","octubre","noviembre","diciembre"},0)+1,0))</f>
        <v/>
      </c>
      <c r="E2733" t="str">
        <f>+IFERROR(VLOOKUP(Fact_Impuestos[[#This Row], [Concepto Anterior]],Conceptos_Impuestos[#All],5,0),"")</f>
        <v/>
      </c>
      <c r="F2733" t="str">
        <f>+IFERROR(VLOOKUP(Fact_Impuestos[[#This Row], 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ht="18.75" customHeight="1" x14ac:dyDescent="0.35">
      <c r="C2734" s="100" t="str">
        <f>IF(OR(Fact_Impuestos[[#This Row], [Año]]="",Fact_Impuestos[[#This Row], [Mes]]=""),"",DATE(A2734,MATCH(B2734,{"enero","febrero","marzo","abril","mayo","junio","julio","agosto","septiembre","octubre","noviembre","diciembre"},0)+1,0))</f>
        <v/>
      </c>
      <c r="E2734" t="str">
        <f>+IFERROR(VLOOKUP(Fact_Impuestos[[#This Row], [Concepto Anterior]],Conceptos_Impuestos[#All],5,0),"")</f>
        <v/>
      </c>
      <c r="F2734" t="str">
        <f>+IFERROR(VLOOKUP(Fact_Impuestos[[#This Row], 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ht="18.75" customHeight="1" x14ac:dyDescent="0.35">
      <c r="C2735" s="100" t="str">
        <f>IF(OR(Fact_Impuestos[[#This Row], [Año]]="",Fact_Impuestos[[#This Row], [Mes]]=""),"",DATE(A2735,MATCH(B2735,{"enero","febrero","marzo","abril","mayo","junio","julio","agosto","septiembre","octubre","noviembre","diciembre"},0)+1,0))</f>
        <v/>
      </c>
      <c r="E2735" t="str">
        <f>+IFERROR(VLOOKUP(Fact_Impuestos[[#This Row], [Concepto Anterior]],Conceptos_Impuestos[#All],5,0),"")</f>
        <v/>
      </c>
      <c r="F2735" t="str">
        <f>+IFERROR(VLOOKUP(Fact_Impuestos[[#This Row], 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ht="18.75" customHeight="1" x14ac:dyDescent="0.35">
      <c r="C2736" s="100" t="str">
        <f>IF(OR(Fact_Impuestos[[#This Row], [Año]]="",Fact_Impuestos[[#This Row], [Mes]]=""),"",DATE(A2736,MATCH(B2736,{"enero","febrero","marzo","abril","mayo","junio","julio","agosto","septiembre","octubre","noviembre","diciembre"},0)+1,0))</f>
        <v/>
      </c>
      <c r="E2736" t="str">
        <f>+IFERROR(VLOOKUP(Fact_Impuestos[[#This Row], [Concepto Anterior]],Conceptos_Impuestos[#All],5,0),"")</f>
        <v/>
      </c>
      <c r="F2736" t="str">
        <f>+IFERROR(VLOOKUP(Fact_Impuestos[[#This Row], 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ht="18.75" customHeight="1" x14ac:dyDescent="0.35">
      <c r="C2737" s="100" t="str">
        <f>IF(OR(Fact_Impuestos[[#This Row], [Año]]="",Fact_Impuestos[[#This Row], [Mes]]=""),"",DATE(A2737,MATCH(B2737,{"enero","febrero","marzo","abril","mayo","junio","julio","agosto","septiembre","octubre","noviembre","diciembre"},0)+1,0))</f>
        <v/>
      </c>
      <c r="E2737" t="str">
        <f>+IFERROR(VLOOKUP(Fact_Impuestos[[#This Row], [Concepto Anterior]],Conceptos_Impuestos[#All],5,0),"")</f>
        <v/>
      </c>
      <c r="F2737" t="str">
        <f>+IFERROR(VLOOKUP(Fact_Impuestos[[#This Row], 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ht="18.75" customHeight="1" x14ac:dyDescent="0.35">
      <c r="C2738" s="100" t="str">
        <f>IF(OR(Fact_Impuestos[[#This Row], [Año]]="",Fact_Impuestos[[#This Row], [Mes]]=""),"",DATE(A2738,MATCH(B2738,{"enero","febrero","marzo","abril","mayo","junio","julio","agosto","septiembre","octubre","noviembre","diciembre"},0)+1,0))</f>
        <v/>
      </c>
      <c r="E2738" t="str">
        <f>+IFERROR(VLOOKUP(Fact_Impuestos[[#This Row], [Concepto Anterior]],Conceptos_Impuestos[#All],5,0),"")</f>
        <v/>
      </c>
      <c r="F2738" t="str">
        <f>+IFERROR(VLOOKUP(Fact_Impuestos[[#This Row], 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ht="18.75" customHeight="1" x14ac:dyDescent="0.35">
      <c r="C2739" s="100" t="str">
        <f>IF(OR(Fact_Impuestos[[#This Row], [Año]]="",Fact_Impuestos[[#This Row], [Mes]]=""),"",DATE(A2739,MATCH(B2739,{"enero","febrero","marzo","abril","mayo","junio","julio","agosto","septiembre","octubre","noviembre","diciembre"},0)+1,0))</f>
        <v/>
      </c>
      <c r="E2739" t="str">
        <f>+IFERROR(VLOOKUP(Fact_Impuestos[[#This Row], [Concepto Anterior]],Conceptos_Impuestos[#All],5,0),"")</f>
        <v/>
      </c>
      <c r="F2739" t="str">
        <f>+IFERROR(VLOOKUP(Fact_Impuestos[[#This Row], 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ht="18.75" customHeight="1" x14ac:dyDescent="0.35">
      <c r="C2740" s="100" t="str">
        <f>IF(OR(Fact_Impuestos[[#This Row], [Año]]="",Fact_Impuestos[[#This Row], [Mes]]=""),"",DATE(A2740,MATCH(B2740,{"enero","febrero","marzo","abril","mayo","junio","julio","agosto","septiembre","octubre","noviembre","diciembre"},0)+1,0))</f>
        <v/>
      </c>
      <c r="E2740" t="str">
        <f>+IFERROR(VLOOKUP(Fact_Impuestos[[#This Row], [Concepto Anterior]],Conceptos_Impuestos[#All],5,0),"")</f>
        <v/>
      </c>
      <c r="F2740" t="str">
        <f>+IFERROR(VLOOKUP(Fact_Impuestos[[#This Row], 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ht="18.75" customHeight="1" x14ac:dyDescent="0.35">
      <c r="C2741" s="100" t="str">
        <f>IF(OR(Fact_Impuestos[[#This Row], [Año]]="",Fact_Impuestos[[#This Row], [Mes]]=""),"",DATE(A2741,MATCH(B2741,{"enero","febrero","marzo","abril","mayo","junio","julio","agosto","septiembre","octubre","noviembre","diciembre"},0)+1,0))</f>
        <v/>
      </c>
      <c r="E2741" t="str">
        <f>+IFERROR(VLOOKUP(Fact_Impuestos[[#This Row], [Concepto Anterior]],Conceptos_Impuestos[#All],5,0),"")</f>
        <v/>
      </c>
      <c r="F2741" t="str">
        <f>+IFERROR(VLOOKUP(Fact_Impuestos[[#This Row], 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ht="18.75" customHeight="1" x14ac:dyDescent="0.35">
      <c r="C2742" s="100" t="str">
        <f>IF(OR(Fact_Impuestos[[#This Row], [Año]]="",Fact_Impuestos[[#This Row], [Mes]]=""),"",DATE(A2742,MATCH(B2742,{"enero","febrero","marzo","abril","mayo","junio","julio","agosto","septiembre","octubre","noviembre","diciembre"},0)+1,0))</f>
        <v/>
      </c>
      <c r="E2742" t="str">
        <f>+IFERROR(VLOOKUP(Fact_Impuestos[[#This Row], [Concepto Anterior]],Conceptos_Impuestos[#All],5,0),"")</f>
        <v/>
      </c>
      <c r="F2742" t="str">
        <f>+IFERROR(VLOOKUP(Fact_Impuestos[[#This Row], 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ht="18.75" customHeight="1" x14ac:dyDescent="0.35">
      <c r="C2743" s="100" t="str">
        <f>IF(OR(Fact_Impuestos[[#This Row], [Año]]="",Fact_Impuestos[[#This Row], [Mes]]=""),"",DATE(A2743,MATCH(B2743,{"enero","febrero","marzo","abril","mayo","junio","julio","agosto","septiembre","octubre","noviembre","diciembre"},0)+1,0))</f>
        <v/>
      </c>
      <c r="E2743" t="str">
        <f>+IFERROR(VLOOKUP(Fact_Impuestos[[#This Row], [Concepto Anterior]],Conceptos_Impuestos[#All],5,0),"")</f>
        <v/>
      </c>
      <c r="F2743" t="str">
        <f>+IFERROR(VLOOKUP(Fact_Impuestos[[#This Row], 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ht="18.75" customHeight="1" x14ac:dyDescent="0.35">
      <c r="C2744" s="100" t="str">
        <f>IF(OR(Fact_Impuestos[[#This Row], [Año]]="",Fact_Impuestos[[#This Row], [Mes]]=""),"",DATE(A2744,MATCH(B2744,{"enero","febrero","marzo","abril","mayo","junio","julio","agosto","septiembre","octubre","noviembre","diciembre"},0)+1,0))</f>
        <v/>
      </c>
      <c r="E2744" t="str">
        <f>+IFERROR(VLOOKUP(Fact_Impuestos[[#This Row], [Concepto Anterior]],Conceptos_Impuestos[#All],5,0),"")</f>
        <v/>
      </c>
      <c r="F2744" t="str">
        <f>+IFERROR(VLOOKUP(Fact_Impuestos[[#This Row], 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ht="18.75" customHeight="1" x14ac:dyDescent="0.35">
      <c r="C2745" s="100" t="str">
        <f>IF(OR(Fact_Impuestos[[#This Row], [Año]]="",Fact_Impuestos[[#This Row], [Mes]]=""),"",DATE(A2745,MATCH(B2745,{"enero","febrero","marzo","abril","mayo","junio","julio","agosto","septiembre","octubre","noviembre","diciembre"},0)+1,0))</f>
        <v/>
      </c>
      <c r="E2745" t="str">
        <f>+IFERROR(VLOOKUP(Fact_Impuestos[[#This Row], [Concepto Anterior]],Conceptos_Impuestos[#All],5,0),"")</f>
        <v/>
      </c>
      <c r="F2745" t="str">
        <f>+IFERROR(VLOOKUP(Fact_Impuestos[[#This Row], 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ht="18.75" customHeight="1" x14ac:dyDescent="0.35">
      <c r="C2746" s="100" t="str">
        <f>IF(OR(Fact_Impuestos[[#This Row], [Año]]="",Fact_Impuestos[[#This Row], [Mes]]=""),"",DATE(A2746,MATCH(B2746,{"enero","febrero","marzo","abril","mayo","junio","julio","agosto","septiembre","octubre","noviembre","diciembre"},0)+1,0))</f>
        <v/>
      </c>
      <c r="E2746" t="str">
        <f>+IFERROR(VLOOKUP(Fact_Impuestos[[#This Row], [Concepto Anterior]],Conceptos_Impuestos[#All],5,0),"")</f>
        <v/>
      </c>
      <c r="F2746" t="str">
        <f>+IFERROR(VLOOKUP(Fact_Impuestos[[#This Row], 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ht="18.75" customHeight="1" x14ac:dyDescent="0.35">
      <c r="C2747" s="100" t="str">
        <f>IF(OR(Fact_Impuestos[[#This Row], [Año]]="",Fact_Impuestos[[#This Row], [Mes]]=""),"",DATE(A2747,MATCH(B2747,{"enero","febrero","marzo","abril","mayo","junio","julio","agosto","septiembre","octubre","noviembre","diciembre"},0)+1,0))</f>
        <v/>
      </c>
      <c r="E2747" t="str">
        <f>+IFERROR(VLOOKUP(Fact_Impuestos[[#This Row], [Concepto Anterior]],Conceptos_Impuestos[#All],5,0),"")</f>
        <v/>
      </c>
      <c r="F2747" t="str">
        <f>+IFERROR(VLOOKUP(Fact_Impuestos[[#This Row], 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ht="18.75" customHeight="1" x14ac:dyDescent="0.35">
      <c r="C2748" s="100" t="str">
        <f>IF(OR(Fact_Impuestos[[#This Row], [Año]]="",Fact_Impuestos[[#This Row], [Mes]]=""),"",DATE(A2748,MATCH(B2748,{"enero","febrero","marzo","abril","mayo","junio","julio","agosto","septiembre","octubre","noviembre","diciembre"},0)+1,0))</f>
        <v/>
      </c>
      <c r="E2748" t="str">
        <f>+IFERROR(VLOOKUP(Fact_Impuestos[[#This Row], [Concepto Anterior]],Conceptos_Impuestos[#All],5,0),"")</f>
        <v/>
      </c>
      <c r="F2748" t="str">
        <f>+IFERROR(VLOOKUP(Fact_Impuestos[[#This Row], 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ht="18.75" customHeight="1" x14ac:dyDescent="0.35">
      <c r="C2749" s="100" t="str">
        <f>IF(OR(Fact_Impuestos[[#This Row], [Año]]="",Fact_Impuestos[[#This Row], [Mes]]=""),"",DATE(A2749,MATCH(B2749,{"enero","febrero","marzo","abril","mayo","junio","julio","agosto","septiembre","octubre","noviembre","diciembre"},0)+1,0))</f>
        <v/>
      </c>
      <c r="E2749" t="str">
        <f>+IFERROR(VLOOKUP(Fact_Impuestos[[#This Row], [Concepto Anterior]],Conceptos_Impuestos[#All],5,0),"")</f>
        <v/>
      </c>
      <c r="F2749" t="str">
        <f>+IFERROR(VLOOKUP(Fact_Impuestos[[#This Row], 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ht="18.75" customHeight="1" x14ac:dyDescent="0.35">
      <c r="C2750" s="100" t="str">
        <f>IF(OR(Fact_Impuestos[[#This Row], [Año]]="",Fact_Impuestos[[#This Row], [Mes]]=""),"",DATE(A2750,MATCH(B2750,{"enero","febrero","marzo","abril","mayo","junio","julio","agosto","septiembre","octubre","noviembre","diciembre"},0)+1,0))</f>
        <v/>
      </c>
      <c r="E2750" t="str">
        <f>+IFERROR(VLOOKUP(Fact_Impuestos[[#This Row], [Concepto Anterior]],Conceptos_Impuestos[#All],5,0),"")</f>
        <v/>
      </c>
      <c r="F2750" t="str">
        <f>+IFERROR(VLOOKUP(Fact_Impuestos[[#This Row], 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ht="18.75" customHeight="1" x14ac:dyDescent="0.35">
      <c r="C2751" s="100" t="str">
        <f>IF(OR(Fact_Impuestos[[#This Row], [Año]]="",Fact_Impuestos[[#This Row], [Mes]]=""),"",DATE(A2751,MATCH(B2751,{"enero","febrero","marzo","abril","mayo","junio","julio","agosto","septiembre","octubre","noviembre","diciembre"},0)+1,0))</f>
        <v/>
      </c>
      <c r="E2751" t="str">
        <f>+IFERROR(VLOOKUP(Fact_Impuestos[[#This Row], [Concepto Anterior]],Conceptos_Impuestos[#All],5,0),"")</f>
        <v/>
      </c>
      <c r="F2751" t="str">
        <f>+IFERROR(VLOOKUP(Fact_Impuestos[[#This Row], 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ht="18.75" customHeight="1" x14ac:dyDescent="0.35">
      <c r="C2752" s="100" t="str">
        <f>IF(OR(Fact_Impuestos[[#This Row], [Año]]="",Fact_Impuestos[[#This Row], [Mes]]=""),"",DATE(A2752,MATCH(B2752,{"enero","febrero","marzo","abril","mayo","junio","julio","agosto","septiembre","octubre","noviembre","diciembre"},0)+1,0))</f>
        <v/>
      </c>
      <c r="E2752" t="str">
        <f>+IFERROR(VLOOKUP(Fact_Impuestos[[#This Row], [Concepto Anterior]],Conceptos_Impuestos[#All],5,0),"")</f>
        <v/>
      </c>
      <c r="F2752" t="str">
        <f>+IFERROR(VLOOKUP(Fact_Impuestos[[#This Row], 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ht="18.75" customHeight="1" x14ac:dyDescent="0.35">
      <c r="C2753" s="100" t="str">
        <f>IF(OR(Fact_Impuestos[[#This Row], [Año]]="",Fact_Impuestos[[#This Row], [Mes]]=""),"",DATE(A2753,MATCH(B2753,{"enero","febrero","marzo","abril","mayo","junio","julio","agosto","septiembre","octubre","noviembre","diciembre"},0)+1,0))</f>
        <v/>
      </c>
      <c r="E2753" t="str">
        <f>+IFERROR(VLOOKUP(Fact_Impuestos[[#This Row], [Concepto Anterior]],Conceptos_Impuestos[#All],5,0),"")</f>
        <v/>
      </c>
      <c r="F2753" t="str">
        <f>+IFERROR(VLOOKUP(Fact_Impuestos[[#This Row], 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ht="18.75" customHeight="1" x14ac:dyDescent="0.35">
      <c r="C2754" s="100" t="str">
        <f>IF(OR(Fact_Impuestos[[#This Row], [Año]]="",Fact_Impuestos[[#This Row], [Mes]]=""),"",DATE(A2754,MATCH(B2754,{"enero","febrero","marzo","abril","mayo","junio","julio","agosto","septiembre","octubre","noviembre","diciembre"},0)+1,0))</f>
        <v/>
      </c>
      <c r="E2754" t="str">
        <f>+IFERROR(VLOOKUP(Fact_Impuestos[[#This Row], [Concepto Anterior]],Conceptos_Impuestos[#All],5,0),"")</f>
        <v/>
      </c>
      <c r="F2754" t="str">
        <f>+IFERROR(VLOOKUP(Fact_Impuestos[[#This Row], 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ht="18.75" customHeight="1" x14ac:dyDescent="0.35">
      <c r="C2755" s="100" t="str">
        <f>IF(OR(Fact_Impuestos[[#This Row], [Año]]="",Fact_Impuestos[[#This Row], [Mes]]=""),"",DATE(A2755,MATCH(B2755,{"enero","febrero","marzo","abril","mayo","junio","julio","agosto","septiembre","octubre","noviembre","diciembre"},0)+1,0))</f>
        <v/>
      </c>
      <c r="E2755" t="str">
        <f>+IFERROR(VLOOKUP(Fact_Impuestos[[#This Row], [Concepto Anterior]],Conceptos_Impuestos[#All],5,0),"")</f>
        <v/>
      </c>
      <c r="F2755" t="str">
        <f>+IFERROR(VLOOKUP(Fact_Impuestos[[#This Row], 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ht="18.75" customHeight="1" x14ac:dyDescent="0.35">
      <c r="C2756" s="100" t="str">
        <f>IF(OR(Fact_Impuestos[[#This Row], [Año]]="",Fact_Impuestos[[#This Row], [Mes]]=""),"",DATE(A2756,MATCH(B2756,{"enero","febrero","marzo","abril","mayo","junio","julio","agosto","septiembre","octubre","noviembre","diciembre"},0)+1,0))</f>
        <v/>
      </c>
      <c r="E2756" t="str">
        <f>+IFERROR(VLOOKUP(Fact_Impuestos[[#This Row], [Concepto Anterior]],Conceptos_Impuestos[#All],5,0),"")</f>
        <v/>
      </c>
      <c r="F2756" t="str">
        <f>+IFERROR(VLOOKUP(Fact_Impuestos[[#This Row], 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ht="18.75" customHeight="1" x14ac:dyDescent="0.35">
      <c r="C2757" s="100" t="str">
        <f>IF(OR(Fact_Impuestos[[#This Row], [Año]]="",Fact_Impuestos[[#This Row], [Mes]]=""),"",DATE(A2757,MATCH(B2757,{"enero","febrero","marzo","abril","mayo","junio","julio","agosto","septiembre","octubre","noviembre","diciembre"},0)+1,0))</f>
        <v/>
      </c>
      <c r="E2757" t="str">
        <f>+IFERROR(VLOOKUP(Fact_Impuestos[[#This Row], [Concepto Anterior]],Conceptos_Impuestos[#All],5,0),"")</f>
        <v/>
      </c>
      <c r="F2757" t="str">
        <f>+IFERROR(VLOOKUP(Fact_Impuestos[[#This Row], 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ht="18.75" customHeight="1" x14ac:dyDescent="0.35">
      <c r="C2758" s="100" t="str">
        <f>IF(OR(Fact_Impuestos[[#This Row], [Año]]="",Fact_Impuestos[[#This Row], [Mes]]=""),"",DATE(A2758,MATCH(B2758,{"enero","febrero","marzo","abril","mayo","junio","julio","agosto","septiembre","octubre","noviembre","diciembre"},0)+1,0))</f>
        <v/>
      </c>
      <c r="E2758" t="str">
        <f>+IFERROR(VLOOKUP(Fact_Impuestos[[#This Row], [Concepto Anterior]],Conceptos_Impuestos[#All],5,0),"")</f>
        <v/>
      </c>
      <c r="F2758" t="str">
        <f>+IFERROR(VLOOKUP(Fact_Impuestos[[#This Row], 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ht="18.75" customHeight="1" x14ac:dyDescent="0.35">
      <c r="C2759" s="100" t="str">
        <f>IF(OR(Fact_Impuestos[[#This Row], [Año]]="",Fact_Impuestos[[#This Row], [Mes]]=""),"",DATE(A2759,MATCH(B2759,{"enero","febrero","marzo","abril","mayo","junio","julio","agosto","septiembre","octubre","noviembre","diciembre"},0)+1,0))</f>
        <v/>
      </c>
      <c r="E2759" t="str">
        <f>+IFERROR(VLOOKUP(Fact_Impuestos[[#This Row], [Concepto Anterior]],Conceptos_Impuestos[#All],5,0),"")</f>
        <v/>
      </c>
      <c r="F2759" t="str">
        <f>+IFERROR(VLOOKUP(Fact_Impuestos[[#This Row], 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ht="18.75" customHeight="1" x14ac:dyDescent="0.35">
      <c r="C2760" s="100" t="str">
        <f>IF(OR(Fact_Impuestos[[#This Row], [Año]]="",Fact_Impuestos[[#This Row], [Mes]]=""),"",DATE(A2760,MATCH(B2760,{"enero","febrero","marzo","abril","mayo","junio","julio","agosto","septiembre","octubre","noviembre","diciembre"},0)+1,0))</f>
        <v/>
      </c>
      <c r="E2760" t="str">
        <f>+IFERROR(VLOOKUP(Fact_Impuestos[[#This Row], [Concepto Anterior]],Conceptos_Impuestos[#All],5,0),"")</f>
        <v/>
      </c>
      <c r="F2760" t="str">
        <f>+IFERROR(VLOOKUP(Fact_Impuestos[[#This Row], 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ht="18.75" customHeight="1" x14ac:dyDescent="0.35">
      <c r="C2761" s="100" t="str">
        <f>IF(OR(Fact_Impuestos[[#This Row], [Año]]="",Fact_Impuestos[[#This Row], [Mes]]=""),"",DATE(A2761,MATCH(B2761,{"enero","febrero","marzo","abril","mayo","junio","julio","agosto","septiembre","octubre","noviembre","diciembre"},0)+1,0))</f>
        <v/>
      </c>
      <c r="E2761" t="str">
        <f>+IFERROR(VLOOKUP(Fact_Impuestos[[#This Row], [Concepto Anterior]],Conceptos_Impuestos[#All],5,0),"")</f>
        <v/>
      </c>
      <c r="F2761" t="str">
        <f>+IFERROR(VLOOKUP(Fact_Impuestos[[#This Row], 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ht="18.75" customHeight="1" x14ac:dyDescent="0.35">
      <c r="C2762" s="100" t="str">
        <f>IF(OR(Fact_Impuestos[[#This Row], [Año]]="",Fact_Impuestos[[#This Row], [Mes]]=""),"",DATE(A2762,MATCH(B2762,{"enero","febrero","marzo","abril","mayo","junio","julio","agosto","septiembre","octubre","noviembre","diciembre"},0)+1,0))</f>
        <v/>
      </c>
      <c r="E2762" t="str">
        <f>+IFERROR(VLOOKUP(Fact_Impuestos[[#This Row], [Concepto Anterior]],Conceptos_Impuestos[#All],5,0),"")</f>
        <v/>
      </c>
      <c r="F2762" t="str">
        <f>+IFERROR(VLOOKUP(Fact_Impuestos[[#This Row], 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ht="18.75" customHeight="1" x14ac:dyDescent="0.35">
      <c r="C2763" s="100" t="str">
        <f>IF(OR(Fact_Impuestos[[#This Row], [Año]]="",Fact_Impuestos[[#This Row], [Mes]]=""),"",DATE(A2763,MATCH(B2763,{"enero","febrero","marzo","abril","mayo","junio","julio","agosto","septiembre","octubre","noviembre","diciembre"},0)+1,0))</f>
        <v/>
      </c>
      <c r="E2763" t="str">
        <f>+IFERROR(VLOOKUP(Fact_Impuestos[[#This Row], [Concepto Anterior]],Conceptos_Impuestos[#All],5,0),"")</f>
        <v/>
      </c>
      <c r="F2763" t="str">
        <f>+IFERROR(VLOOKUP(Fact_Impuestos[[#This Row], 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ht="18.75" customHeight="1" x14ac:dyDescent="0.35">
      <c r="C2764" s="100" t="str">
        <f>IF(OR(Fact_Impuestos[[#This Row], [Año]]="",Fact_Impuestos[[#This Row], [Mes]]=""),"",DATE(A2764,MATCH(B2764,{"enero","febrero","marzo","abril","mayo","junio","julio","agosto","septiembre","octubre","noviembre","diciembre"},0)+1,0))</f>
        <v/>
      </c>
      <c r="E2764" t="str">
        <f>+IFERROR(VLOOKUP(Fact_Impuestos[[#This Row], [Concepto Anterior]],Conceptos_Impuestos[#All],5,0),"")</f>
        <v/>
      </c>
      <c r="F2764" t="str">
        <f>+IFERROR(VLOOKUP(Fact_Impuestos[[#This Row], 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ht="18.75" customHeight="1" x14ac:dyDescent="0.35">
      <c r="C2765" s="100" t="str">
        <f>IF(OR(Fact_Impuestos[[#This Row], [Año]]="",Fact_Impuestos[[#This Row], [Mes]]=""),"",DATE(A2765,MATCH(B2765,{"enero","febrero","marzo","abril","mayo","junio","julio","agosto","septiembre","octubre","noviembre","diciembre"},0)+1,0))</f>
        <v/>
      </c>
      <c r="E2765" t="str">
        <f>+IFERROR(VLOOKUP(Fact_Impuestos[[#This Row], [Concepto Anterior]],Conceptos_Impuestos[#All],5,0),"")</f>
        <v/>
      </c>
      <c r="F2765" t="str">
        <f>+IFERROR(VLOOKUP(Fact_Impuestos[[#This Row], 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ht="18.75" customHeight="1" x14ac:dyDescent="0.35">
      <c r="C2766" s="100" t="str">
        <f>IF(OR(Fact_Impuestos[[#This Row], [Año]]="",Fact_Impuestos[[#This Row], [Mes]]=""),"",DATE(A2766,MATCH(B2766,{"enero","febrero","marzo","abril","mayo","junio","julio","agosto","septiembre","octubre","noviembre","diciembre"},0)+1,0))</f>
        <v/>
      </c>
      <c r="E2766" t="str">
        <f>+IFERROR(VLOOKUP(Fact_Impuestos[[#This Row], [Concepto Anterior]],Conceptos_Impuestos[#All],5,0),"")</f>
        <v/>
      </c>
      <c r="F2766" t="str">
        <f>+IFERROR(VLOOKUP(Fact_Impuestos[[#This Row], 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ht="18.75" customHeight="1" x14ac:dyDescent="0.35">
      <c r="C2767" s="100" t="str">
        <f>IF(OR(Fact_Impuestos[[#This Row], [Año]]="",Fact_Impuestos[[#This Row], [Mes]]=""),"",DATE(A2767,MATCH(B2767,{"enero","febrero","marzo","abril","mayo","junio","julio","agosto","septiembre","octubre","noviembre","diciembre"},0)+1,0))</f>
        <v/>
      </c>
      <c r="E2767" t="str">
        <f>+IFERROR(VLOOKUP(Fact_Impuestos[[#This Row], [Concepto Anterior]],Conceptos_Impuestos[#All],5,0),"")</f>
        <v/>
      </c>
      <c r="F2767" t="str">
        <f>+IFERROR(VLOOKUP(Fact_Impuestos[[#This Row], 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ht="18.75" customHeight="1" x14ac:dyDescent="0.35">
      <c r="C2768" s="100" t="str">
        <f>IF(OR(Fact_Impuestos[[#This Row], [Año]]="",Fact_Impuestos[[#This Row], [Mes]]=""),"",DATE(A2768,MATCH(B2768,{"enero","febrero","marzo","abril","mayo","junio","julio","agosto","septiembre","octubre","noviembre","diciembre"},0)+1,0))</f>
        <v/>
      </c>
      <c r="E2768" t="str">
        <f>+IFERROR(VLOOKUP(Fact_Impuestos[[#This Row], [Concepto Anterior]],Conceptos_Impuestos[#All],5,0),"")</f>
        <v/>
      </c>
      <c r="F2768" t="str">
        <f>+IFERROR(VLOOKUP(Fact_Impuestos[[#This Row], 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ht="18.75" customHeight="1" x14ac:dyDescent="0.35">
      <c r="C2769" s="100" t="str">
        <f>IF(OR(Fact_Impuestos[[#This Row], [Año]]="",Fact_Impuestos[[#This Row], [Mes]]=""),"",DATE(A2769,MATCH(B2769,{"enero","febrero","marzo","abril","mayo","junio","julio","agosto","septiembre","octubre","noviembre","diciembre"},0)+1,0))</f>
        <v/>
      </c>
      <c r="E2769" t="str">
        <f>+IFERROR(VLOOKUP(Fact_Impuestos[[#This Row], [Concepto Anterior]],Conceptos_Impuestos[#All],5,0),"")</f>
        <v/>
      </c>
      <c r="F2769" t="str">
        <f>+IFERROR(VLOOKUP(Fact_Impuestos[[#This Row], 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ht="18.75" customHeight="1" x14ac:dyDescent="0.35">
      <c r="C2770" s="100" t="str">
        <f>IF(OR(Fact_Impuestos[[#This Row], [Año]]="",Fact_Impuestos[[#This Row], [Mes]]=""),"",DATE(A2770,MATCH(B2770,{"enero","febrero","marzo","abril","mayo","junio","julio","agosto","septiembre","octubre","noviembre","diciembre"},0)+1,0))</f>
        <v/>
      </c>
      <c r="E2770" t="str">
        <f>+IFERROR(VLOOKUP(Fact_Impuestos[[#This Row], [Concepto Anterior]],Conceptos_Impuestos[#All],5,0),"")</f>
        <v/>
      </c>
      <c r="F2770" t="str">
        <f>+IFERROR(VLOOKUP(Fact_Impuestos[[#This Row], 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ht="18.75" customHeight="1" x14ac:dyDescent="0.35">
      <c r="C2771" s="100" t="str">
        <f>IF(OR(Fact_Impuestos[[#This Row], [Año]]="",Fact_Impuestos[[#This Row], [Mes]]=""),"",DATE(A2771,MATCH(B2771,{"enero","febrero","marzo","abril","mayo","junio","julio","agosto","septiembre","octubre","noviembre","diciembre"},0)+1,0))</f>
        <v/>
      </c>
      <c r="E2771" t="str">
        <f>+IFERROR(VLOOKUP(Fact_Impuestos[[#This Row], [Concepto Anterior]],Conceptos_Impuestos[#All],5,0),"")</f>
        <v/>
      </c>
      <c r="F2771" t="str">
        <f>+IFERROR(VLOOKUP(Fact_Impuestos[[#This Row], 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ht="18.75" customHeight="1" x14ac:dyDescent="0.35">
      <c r="C2772" s="100" t="str">
        <f>IF(OR(Fact_Impuestos[[#This Row], [Año]]="",Fact_Impuestos[[#This Row], [Mes]]=""),"",DATE(A2772,MATCH(B2772,{"enero","febrero","marzo","abril","mayo","junio","julio","agosto","septiembre","octubre","noviembre","diciembre"},0)+1,0))</f>
        <v/>
      </c>
      <c r="E2772" t="str">
        <f>+IFERROR(VLOOKUP(Fact_Impuestos[[#This Row], [Concepto Anterior]],Conceptos_Impuestos[#All],5,0),"")</f>
        <v/>
      </c>
      <c r="F2772" t="str">
        <f>+IFERROR(VLOOKUP(Fact_Impuestos[[#This Row], 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ht="18.75" customHeight="1" x14ac:dyDescent="0.35">
      <c r="C2773" s="100" t="str">
        <f>IF(OR(Fact_Impuestos[[#This Row], [Año]]="",Fact_Impuestos[[#This Row], [Mes]]=""),"",DATE(A2773,MATCH(B2773,{"enero","febrero","marzo","abril","mayo","junio","julio","agosto","septiembre","octubre","noviembre","diciembre"},0)+1,0))</f>
        <v/>
      </c>
      <c r="E2773" t="str">
        <f>+IFERROR(VLOOKUP(Fact_Impuestos[[#This Row], [Concepto Anterior]],Conceptos_Impuestos[#All],5,0),"")</f>
        <v/>
      </c>
      <c r="F2773" t="str">
        <f>+IFERROR(VLOOKUP(Fact_Impuestos[[#This Row], 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ht="18.75" customHeight="1" x14ac:dyDescent="0.35">
      <c r="C2774" s="100" t="str">
        <f>IF(OR(Fact_Impuestos[[#This Row], [Año]]="",Fact_Impuestos[[#This Row], [Mes]]=""),"",DATE(A2774,MATCH(B2774,{"enero","febrero","marzo","abril","mayo","junio","julio","agosto","septiembre","octubre","noviembre","diciembre"},0)+1,0))</f>
        <v/>
      </c>
      <c r="E2774" t="str">
        <f>+IFERROR(VLOOKUP(Fact_Impuestos[[#This Row], [Concepto Anterior]],Conceptos_Impuestos[#All],5,0),"")</f>
        <v/>
      </c>
      <c r="F2774" t="str">
        <f>+IFERROR(VLOOKUP(Fact_Impuestos[[#This Row], 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ht="18.75" customHeight="1" x14ac:dyDescent="0.35">
      <c r="C2775" s="100" t="str">
        <f>IF(OR(Fact_Impuestos[[#This Row], [Año]]="",Fact_Impuestos[[#This Row], [Mes]]=""),"",DATE(A2775,MATCH(B2775,{"enero","febrero","marzo","abril","mayo","junio","julio","agosto","septiembre","octubre","noviembre","diciembre"},0)+1,0))</f>
        <v/>
      </c>
      <c r="E2775" t="str">
        <f>+IFERROR(VLOOKUP(Fact_Impuestos[[#This Row], [Concepto Anterior]],Conceptos_Impuestos[#All],5,0),"")</f>
        <v/>
      </c>
      <c r="F2775" t="str">
        <f>+IFERROR(VLOOKUP(Fact_Impuestos[[#This Row], 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ht="18.75" customHeight="1" x14ac:dyDescent="0.35">
      <c r="C2776" s="100" t="str">
        <f>IF(OR(Fact_Impuestos[[#This Row], [Año]]="",Fact_Impuestos[[#This Row], [Mes]]=""),"",DATE(A2776,MATCH(B2776,{"enero","febrero","marzo","abril","mayo","junio","julio","agosto","septiembre","octubre","noviembre","diciembre"},0)+1,0))</f>
        <v/>
      </c>
      <c r="E2776" t="str">
        <f>+IFERROR(VLOOKUP(Fact_Impuestos[[#This Row], [Concepto Anterior]],Conceptos_Impuestos[#All],5,0),"")</f>
        <v/>
      </c>
      <c r="F2776" t="str">
        <f>+IFERROR(VLOOKUP(Fact_Impuestos[[#This Row], 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ht="18.75" customHeight="1" x14ac:dyDescent="0.35">
      <c r="C2777" s="100" t="str">
        <f>IF(OR(Fact_Impuestos[[#This Row], [Año]]="",Fact_Impuestos[[#This Row], [Mes]]=""),"",DATE(A2777,MATCH(B2777,{"enero","febrero","marzo","abril","mayo","junio","julio","agosto","septiembre","octubre","noviembre","diciembre"},0)+1,0))</f>
        <v/>
      </c>
      <c r="E2777" t="str">
        <f>+IFERROR(VLOOKUP(Fact_Impuestos[[#This Row], [Concepto Anterior]],Conceptos_Impuestos[#All],5,0),"")</f>
        <v/>
      </c>
      <c r="F2777" t="str">
        <f>+IFERROR(VLOOKUP(Fact_Impuestos[[#This Row], 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ht="18.75" customHeight="1" x14ac:dyDescent="0.35">
      <c r="C2778" s="100" t="str">
        <f>IF(OR(Fact_Impuestos[[#This Row], [Año]]="",Fact_Impuestos[[#This Row], [Mes]]=""),"",DATE(A2778,MATCH(B2778,{"enero","febrero","marzo","abril","mayo","junio","julio","agosto","septiembre","octubre","noviembre","diciembre"},0)+1,0))</f>
        <v/>
      </c>
      <c r="E2778" t="str">
        <f>+IFERROR(VLOOKUP(Fact_Impuestos[[#This Row], [Concepto Anterior]],Conceptos_Impuestos[#All],5,0),"")</f>
        <v/>
      </c>
      <c r="F2778" t="str">
        <f>+IFERROR(VLOOKUP(Fact_Impuestos[[#This Row], 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ht="18.75" customHeight="1" x14ac:dyDescent="0.35">
      <c r="C2779" s="100" t="str">
        <f>IF(OR(Fact_Impuestos[[#This Row], [Año]]="",Fact_Impuestos[[#This Row], [Mes]]=""),"",DATE(A2779,MATCH(B2779,{"enero","febrero","marzo","abril","mayo","junio","julio","agosto","septiembre","octubre","noviembre","diciembre"},0)+1,0))</f>
        <v/>
      </c>
      <c r="E2779" t="str">
        <f>+IFERROR(VLOOKUP(Fact_Impuestos[[#This Row], [Concepto Anterior]],Conceptos_Impuestos[#All],5,0),"")</f>
        <v/>
      </c>
      <c r="F2779" t="str">
        <f>+IFERROR(VLOOKUP(Fact_Impuestos[[#This Row], 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ht="18.75" customHeight="1" x14ac:dyDescent="0.35">
      <c r="C2780" s="100" t="str">
        <f>IF(OR(Fact_Impuestos[[#This Row], [Año]]="",Fact_Impuestos[[#This Row], [Mes]]=""),"",DATE(A2780,MATCH(B2780,{"enero","febrero","marzo","abril","mayo","junio","julio","agosto","septiembre","octubre","noviembre","diciembre"},0)+1,0))</f>
        <v/>
      </c>
      <c r="E2780" t="str">
        <f>+IFERROR(VLOOKUP(Fact_Impuestos[[#This Row], [Concepto Anterior]],Conceptos_Impuestos[#All],5,0),"")</f>
        <v/>
      </c>
      <c r="F2780" t="str">
        <f>+IFERROR(VLOOKUP(Fact_Impuestos[[#This Row], 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ht="18.75" customHeight="1" x14ac:dyDescent="0.35">
      <c r="C2781" s="100" t="str">
        <f>IF(OR(Fact_Impuestos[[#This Row], [Año]]="",Fact_Impuestos[[#This Row], [Mes]]=""),"",DATE(A2781,MATCH(B2781,{"enero","febrero","marzo","abril","mayo","junio","julio","agosto","septiembre","octubre","noviembre","diciembre"},0)+1,0))</f>
        <v/>
      </c>
      <c r="E2781" t="str">
        <f>+IFERROR(VLOOKUP(Fact_Impuestos[[#This Row], [Concepto Anterior]],Conceptos_Impuestos[#All],5,0),"")</f>
        <v/>
      </c>
      <c r="F2781" t="str">
        <f>+IFERROR(VLOOKUP(Fact_Impuestos[[#This Row], 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ht="18.75" customHeight="1" x14ac:dyDescent="0.35">
      <c r="C2782" s="100" t="str">
        <f>IF(OR(Fact_Impuestos[[#This Row], [Año]]="",Fact_Impuestos[[#This Row], [Mes]]=""),"",DATE(A2782,MATCH(B2782,{"enero","febrero","marzo","abril","mayo","junio","julio","agosto","septiembre","octubre","noviembre","diciembre"},0)+1,0))</f>
        <v/>
      </c>
      <c r="E2782" t="str">
        <f>+IFERROR(VLOOKUP(Fact_Impuestos[[#This Row], [Concepto Anterior]],Conceptos_Impuestos[#All],5,0),"")</f>
        <v/>
      </c>
      <c r="F2782" t="str">
        <f>+IFERROR(VLOOKUP(Fact_Impuestos[[#This Row], 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ht="18.75" customHeight="1" x14ac:dyDescent="0.35">
      <c r="C2783" s="100" t="str">
        <f>IF(OR(Fact_Impuestos[[#This Row], [Año]]="",Fact_Impuestos[[#This Row], [Mes]]=""),"",DATE(A2783,MATCH(B2783,{"enero","febrero","marzo","abril","mayo","junio","julio","agosto","septiembre","octubre","noviembre","diciembre"},0)+1,0))</f>
        <v/>
      </c>
      <c r="E2783" t="str">
        <f>+IFERROR(VLOOKUP(Fact_Impuestos[[#This Row], [Concepto Anterior]],Conceptos_Impuestos[#All],5,0),"")</f>
        <v/>
      </c>
      <c r="F2783" t="str">
        <f>+IFERROR(VLOOKUP(Fact_Impuestos[[#This Row], 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ht="18.75" customHeight="1" x14ac:dyDescent="0.35">
      <c r="C2784" s="100" t="str">
        <f>IF(OR(Fact_Impuestos[[#This Row], [Año]]="",Fact_Impuestos[[#This Row], [Mes]]=""),"",DATE(A2784,MATCH(B2784,{"enero","febrero","marzo","abril","mayo","junio","julio","agosto","septiembre","octubre","noviembre","diciembre"},0)+1,0))</f>
        <v/>
      </c>
      <c r="E2784" t="str">
        <f>+IFERROR(VLOOKUP(Fact_Impuestos[[#This Row], [Concepto Anterior]],Conceptos_Impuestos[#All],5,0),"")</f>
        <v/>
      </c>
      <c r="F2784" t="str">
        <f>+IFERROR(VLOOKUP(Fact_Impuestos[[#This Row], 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ht="18.75" customHeight="1" x14ac:dyDescent="0.35">
      <c r="C2785" s="100" t="str">
        <f>IF(OR(Fact_Impuestos[[#This Row], [Año]]="",Fact_Impuestos[[#This Row], [Mes]]=""),"",DATE(A2785,MATCH(B2785,{"enero","febrero","marzo","abril","mayo","junio","julio","agosto","septiembre","octubre","noviembre","diciembre"},0)+1,0))</f>
        <v/>
      </c>
      <c r="E2785" t="str">
        <f>+IFERROR(VLOOKUP(Fact_Impuestos[[#This Row], [Concepto Anterior]],Conceptos_Impuestos[#All],5,0),"")</f>
        <v/>
      </c>
      <c r="F2785" t="str">
        <f>+IFERROR(VLOOKUP(Fact_Impuestos[[#This Row], 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ht="18.75" customHeight="1" x14ac:dyDescent="0.35">
      <c r="C2786" s="100" t="str">
        <f>IF(OR(Fact_Impuestos[[#This Row], [Año]]="",Fact_Impuestos[[#This Row], [Mes]]=""),"",DATE(A2786,MATCH(B2786,{"enero","febrero","marzo","abril","mayo","junio","julio","agosto","septiembre","octubre","noviembre","diciembre"},0)+1,0))</f>
        <v/>
      </c>
      <c r="E2786" t="str">
        <f>+IFERROR(VLOOKUP(Fact_Impuestos[[#This Row], [Concepto Anterior]],Conceptos_Impuestos[#All],5,0),"")</f>
        <v/>
      </c>
      <c r="F2786" t="str">
        <f>+IFERROR(VLOOKUP(Fact_Impuestos[[#This Row], 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ht="18.75" customHeight="1" x14ac:dyDescent="0.35">
      <c r="C2787" s="100" t="str">
        <f>IF(OR(Fact_Impuestos[[#This Row], [Año]]="",Fact_Impuestos[[#This Row], [Mes]]=""),"",DATE(A2787,MATCH(B2787,{"enero","febrero","marzo","abril","mayo","junio","julio","agosto","septiembre","octubre","noviembre","diciembre"},0)+1,0))</f>
        <v/>
      </c>
      <c r="E2787" t="str">
        <f>+IFERROR(VLOOKUP(Fact_Impuestos[[#This Row], [Concepto Anterior]],Conceptos_Impuestos[#All],5,0),"")</f>
        <v/>
      </c>
      <c r="F2787" t="str">
        <f>+IFERROR(VLOOKUP(Fact_Impuestos[[#This Row], 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ht="18.75" customHeight="1" x14ac:dyDescent="0.35">
      <c r="C2788" s="100" t="str">
        <f>IF(OR(Fact_Impuestos[[#This Row], [Año]]="",Fact_Impuestos[[#This Row], [Mes]]=""),"",DATE(A2788,MATCH(B2788,{"enero","febrero","marzo","abril","mayo","junio","julio","agosto","septiembre","octubre","noviembre","diciembre"},0)+1,0))</f>
        <v/>
      </c>
      <c r="E2788" t="str">
        <f>+IFERROR(VLOOKUP(Fact_Impuestos[[#This Row], [Concepto Anterior]],Conceptos_Impuestos[#All],5,0),"")</f>
        <v/>
      </c>
      <c r="F2788" t="str">
        <f>+IFERROR(VLOOKUP(Fact_Impuestos[[#This Row], 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ht="18.75" customHeight="1" x14ac:dyDescent="0.35">
      <c r="C2789" s="100" t="str">
        <f>IF(OR(Fact_Impuestos[[#This Row], [Año]]="",Fact_Impuestos[[#This Row], [Mes]]=""),"",DATE(A2789,MATCH(B2789,{"enero","febrero","marzo","abril","mayo","junio","julio","agosto","septiembre","octubre","noviembre","diciembre"},0)+1,0))</f>
        <v/>
      </c>
      <c r="E2789" t="str">
        <f>+IFERROR(VLOOKUP(Fact_Impuestos[[#This Row], [Concepto Anterior]],Conceptos_Impuestos[#All],5,0),"")</f>
        <v/>
      </c>
      <c r="F2789" t="str">
        <f>+IFERROR(VLOOKUP(Fact_Impuestos[[#This Row], 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ht="18.75" customHeight="1" x14ac:dyDescent="0.35">
      <c r="C2790" s="100" t="str">
        <f>IF(OR(Fact_Impuestos[[#This Row], [Año]]="",Fact_Impuestos[[#This Row], [Mes]]=""),"",DATE(A2790,MATCH(B2790,{"enero","febrero","marzo","abril","mayo","junio","julio","agosto","septiembre","octubre","noviembre","diciembre"},0)+1,0))</f>
        <v/>
      </c>
      <c r="E2790" t="str">
        <f>+IFERROR(VLOOKUP(Fact_Impuestos[[#This Row], [Concepto Anterior]],Conceptos_Impuestos[#All],5,0),"")</f>
        <v/>
      </c>
      <c r="F2790" t="str">
        <f>+IFERROR(VLOOKUP(Fact_Impuestos[[#This Row], 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ht="18.75" customHeight="1" x14ac:dyDescent="0.35">
      <c r="C2791" s="100" t="str">
        <f>IF(OR(Fact_Impuestos[[#This Row], [Año]]="",Fact_Impuestos[[#This Row], [Mes]]=""),"",DATE(A2791,MATCH(B2791,{"enero","febrero","marzo","abril","mayo","junio","julio","agosto","septiembre","octubre","noviembre","diciembre"},0)+1,0))</f>
        <v/>
      </c>
      <c r="E2791" t="str">
        <f>+IFERROR(VLOOKUP(Fact_Impuestos[[#This Row], [Concepto Anterior]],Conceptos_Impuestos[#All],5,0),"")</f>
        <v/>
      </c>
      <c r="F2791" t="str">
        <f>+IFERROR(VLOOKUP(Fact_Impuestos[[#This Row], 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ht="18.75" customHeight="1" x14ac:dyDescent="0.35">
      <c r="C2792" s="100" t="str">
        <f>IF(OR(Fact_Impuestos[[#This Row], [Año]]="",Fact_Impuestos[[#This Row], [Mes]]=""),"",DATE(A2792,MATCH(B2792,{"enero","febrero","marzo","abril","mayo","junio","julio","agosto","septiembre","octubre","noviembre","diciembre"},0)+1,0))</f>
        <v/>
      </c>
      <c r="E2792" t="str">
        <f>+IFERROR(VLOOKUP(Fact_Impuestos[[#This Row], [Concepto Anterior]],Conceptos_Impuestos[#All],5,0),"")</f>
        <v/>
      </c>
      <c r="F2792" t="str">
        <f>+IFERROR(VLOOKUP(Fact_Impuestos[[#This Row], 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ht="18.75" customHeight="1" x14ac:dyDescent="0.35">
      <c r="C2793" s="100" t="str">
        <f>IF(OR(Fact_Impuestos[[#This Row], [Año]]="",Fact_Impuestos[[#This Row], [Mes]]=""),"",DATE(A2793,MATCH(B2793,{"enero","febrero","marzo","abril","mayo","junio","julio","agosto","septiembre","octubre","noviembre","diciembre"},0)+1,0))</f>
        <v/>
      </c>
      <c r="E2793" t="str">
        <f>+IFERROR(VLOOKUP(Fact_Impuestos[[#This Row], [Concepto Anterior]],Conceptos_Impuestos[#All],5,0),"")</f>
        <v/>
      </c>
      <c r="F2793" t="str">
        <f>+IFERROR(VLOOKUP(Fact_Impuestos[[#This Row], 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ht="18.75" customHeight="1" x14ac:dyDescent="0.35">
      <c r="C2794" s="100" t="str">
        <f>IF(OR(Fact_Impuestos[[#This Row], [Año]]="",Fact_Impuestos[[#This Row], [Mes]]=""),"",DATE(A2794,MATCH(B2794,{"enero","febrero","marzo","abril","mayo","junio","julio","agosto","septiembre","octubre","noviembre","diciembre"},0)+1,0))</f>
        <v/>
      </c>
      <c r="E2794" t="str">
        <f>+IFERROR(VLOOKUP(Fact_Impuestos[[#This Row], [Concepto Anterior]],Conceptos_Impuestos[#All],5,0),"")</f>
        <v/>
      </c>
      <c r="F2794" t="str">
        <f>+IFERROR(VLOOKUP(Fact_Impuestos[[#This Row], 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ht="18.75" customHeight="1" x14ac:dyDescent="0.35">
      <c r="C2795" s="100" t="str">
        <f>IF(OR(Fact_Impuestos[[#This Row], [Año]]="",Fact_Impuestos[[#This Row], [Mes]]=""),"",DATE(A2795,MATCH(B2795,{"enero","febrero","marzo","abril","mayo","junio","julio","agosto","septiembre","octubre","noviembre","diciembre"},0)+1,0))</f>
        <v/>
      </c>
      <c r="E2795" t="str">
        <f>+IFERROR(VLOOKUP(Fact_Impuestos[[#This Row], [Concepto Anterior]],Conceptos_Impuestos[#All],5,0),"")</f>
        <v/>
      </c>
      <c r="F2795" t="str">
        <f>+IFERROR(VLOOKUP(Fact_Impuestos[[#This Row], 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ht="18.75" customHeight="1" x14ac:dyDescent="0.35">
      <c r="C2796" s="100" t="str">
        <f>IF(OR(Fact_Impuestos[[#This Row], [Año]]="",Fact_Impuestos[[#This Row], [Mes]]=""),"",DATE(A2796,MATCH(B2796,{"enero","febrero","marzo","abril","mayo","junio","julio","agosto","septiembre","octubre","noviembre","diciembre"},0)+1,0))</f>
        <v/>
      </c>
      <c r="E2796" t="str">
        <f>+IFERROR(VLOOKUP(Fact_Impuestos[[#This Row], [Concepto Anterior]],Conceptos_Impuestos[#All],5,0),"")</f>
        <v/>
      </c>
      <c r="F2796" t="str">
        <f>+IFERROR(VLOOKUP(Fact_Impuestos[[#This Row], 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ht="18.75" customHeight="1" x14ac:dyDescent="0.35">
      <c r="C2797" s="100" t="str">
        <f>IF(OR(Fact_Impuestos[[#This Row], [Año]]="",Fact_Impuestos[[#This Row], [Mes]]=""),"",DATE(A2797,MATCH(B2797,{"enero","febrero","marzo","abril","mayo","junio","julio","agosto","septiembre","octubre","noviembre","diciembre"},0)+1,0))</f>
        <v/>
      </c>
      <c r="E2797" t="str">
        <f>+IFERROR(VLOOKUP(Fact_Impuestos[[#This Row], [Concepto Anterior]],Conceptos_Impuestos[#All],5,0),"")</f>
        <v/>
      </c>
      <c r="F2797" t="str">
        <f>+IFERROR(VLOOKUP(Fact_Impuestos[[#This Row], 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ht="18.75" customHeight="1" x14ac:dyDescent="0.35">
      <c r="C2798" s="100" t="str">
        <f>IF(OR(Fact_Impuestos[[#This Row], [Año]]="",Fact_Impuestos[[#This Row], [Mes]]=""),"",DATE(A2798,MATCH(B2798,{"enero","febrero","marzo","abril","mayo","junio","julio","agosto","septiembre","octubre","noviembre","diciembre"},0)+1,0))</f>
        <v/>
      </c>
      <c r="E2798" t="str">
        <f>+IFERROR(VLOOKUP(Fact_Impuestos[[#This Row], [Concepto Anterior]],Conceptos_Impuestos[#All],5,0),"")</f>
        <v/>
      </c>
      <c r="F2798" t="str">
        <f>+IFERROR(VLOOKUP(Fact_Impuestos[[#This Row], 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ht="18.75" customHeight="1" x14ac:dyDescent="0.35">
      <c r="C2799" s="100" t="str">
        <f>IF(OR(Fact_Impuestos[[#This Row], [Año]]="",Fact_Impuestos[[#This Row], [Mes]]=""),"",DATE(A2799,MATCH(B2799,{"enero","febrero","marzo","abril","mayo","junio","julio","agosto","septiembre","octubre","noviembre","diciembre"},0)+1,0))</f>
        <v/>
      </c>
      <c r="E2799" t="str">
        <f>+IFERROR(VLOOKUP(Fact_Impuestos[[#This Row], [Concepto Anterior]],Conceptos_Impuestos[#All],5,0),"")</f>
        <v/>
      </c>
      <c r="F2799" t="str">
        <f>+IFERROR(VLOOKUP(Fact_Impuestos[[#This Row], 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ht="18.75" customHeight="1" x14ac:dyDescent="0.35">
      <c r="C2800" s="100" t="str">
        <f>IF(OR(Fact_Impuestos[[#This Row], [Año]]="",Fact_Impuestos[[#This Row], [Mes]]=""),"",DATE(A2800,MATCH(B2800,{"enero","febrero","marzo","abril","mayo","junio","julio","agosto","septiembre","octubre","noviembre","diciembre"},0)+1,0))</f>
        <v/>
      </c>
      <c r="E2800" t="str">
        <f>+IFERROR(VLOOKUP(Fact_Impuestos[[#This Row], [Concepto Anterior]],Conceptos_Impuestos[#All],5,0),"")</f>
        <v/>
      </c>
      <c r="F2800" t="str">
        <f>+IFERROR(VLOOKUP(Fact_Impuestos[[#This Row], 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ht="18.75" customHeight="1" x14ac:dyDescent="0.35">
      <c r="C2801" s="100" t="str">
        <f>IF(OR(Fact_Impuestos[[#This Row], [Año]]="",Fact_Impuestos[[#This Row], [Mes]]=""),"",DATE(A2801,MATCH(B2801,{"enero","febrero","marzo","abril","mayo","junio","julio","agosto","septiembre","octubre","noviembre","diciembre"},0)+1,0))</f>
        <v/>
      </c>
      <c r="E2801" t="str">
        <f>+IFERROR(VLOOKUP(Fact_Impuestos[[#This Row], [Concepto Anterior]],Conceptos_Impuestos[#All],5,0),"")</f>
        <v/>
      </c>
      <c r="F2801" t="str">
        <f>+IFERROR(VLOOKUP(Fact_Impuestos[[#This Row], 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ht="18.75" customHeight="1" x14ac:dyDescent="0.35">
      <c r="C2802" s="100" t="str">
        <f>IF(OR(Fact_Impuestos[[#This Row], [Año]]="",Fact_Impuestos[[#This Row], [Mes]]=""),"",DATE(A2802,MATCH(B2802,{"enero","febrero","marzo","abril","mayo","junio","julio","agosto","septiembre","octubre","noviembre","diciembre"},0)+1,0))</f>
        <v/>
      </c>
      <c r="E2802" t="str">
        <f>+IFERROR(VLOOKUP(Fact_Impuestos[[#This Row], [Concepto Anterior]],Conceptos_Impuestos[#All],5,0),"")</f>
        <v/>
      </c>
      <c r="F2802" t="str">
        <f>+IFERROR(VLOOKUP(Fact_Impuestos[[#This Row], 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ht="18.75" customHeight="1" x14ac:dyDescent="0.35">
      <c r="C2803" s="100" t="str">
        <f>IF(OR(Fact_Impuestos[[#This Row], [Año]]="",Fact_Impuestos[[#This Row], [Mes]]=""),"",DATE(A2803,MATCH(B2803,{"enero","febrero","marzo","abril","mayo","junio","julio","agosto","septiembre","octubre","noviembre","diciembre"},0)+1,0))</f>
        <v/>
      </c>
      <c r="E2803" t="str">
        <f>+IFERROR(VLOOKUP(Fact_Impuestos[[#This Row], [Concepto Anterior]],Conceptos_Impuestos[#All],5,0),"")</f>
        <v/>
      </c>
      <c r="F2803" t="str">
        <f>+IFERROR(VLOOKUP(Fact_Impuestos[[#This Row], 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ht="18.75" customHeight="1" x14ac:dyDescent="0.35">
      <c r="C2804" s="100" t="str">
        <f>IF(OR(Fact_Impuestos[[#This Row], [Año]]="",Fact_Impuestos[[#This Row], [Mes]]=""),"",DATE(A2804,MATCH(B2804,{"enero","febrero","marzo","abril","mayo","junio","julio","agosto","septiembre","octubre","noviembre","diciembre"},0)+1,0))</f>
        <v/>
      </c>
      <c r="E2804" t="str">
        <f>+IFERROR(VLOOKUP(Fact_Impuestos[[#This Row], [Concepto Anterior]],Conceptos_Impuestos[#All],5,0),"")</f>
        <v/>
      </c>
      <c r="F2804" t="str">
        <f>+IFERROR(VLOOKUP(Fact_Impuestos[[#This Row], 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ht="18.75" customHeight="1" x14ac:dyDescent="0.35">
      <c r="C2805" s="100" t="str">
        <f>IF(OR(Fact_Impuestos[[#This Row], [Año]]="",Fact_Impuestos[[#This Row], [Mes]]=""),"",DATE(A2805,MATCH(B2805,{"enero","febrero","marzo","abril","mayo","junio","julio","agosto","septiembre","octubre","noviembre","diciembre"},0)+1,0))</f>
        <v/>
      </c>
      <c r="E2805" t="str">
        <f>+IFERROR(VLOOKUP(Fact_Impuestos[[#This Row], [Concepto Anterior]],Conceptos_Impuestos[#All],5,0),"")</f>
        <v/>
      </c>
      <c r="F2805" t="str">
        <f>+IFERROR(VLOOKUP(Fact_Impuestos[[#This Row], 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ht="18.75" customHeight="1" x14ac:dyDescent="0.35">
      <c r="C2806" s="100" t="str">
        <f>IF(OR(Fact_Impuestos[[#This Row], [Año]]="",Fact_Impuestos[[#This Row], [Mes]]=""),"",DATE(A2806,MATCH(B2806,{"enero","febrero","marzo","abril","mayo","junio","julio","agosto","septiembre","octubre","noviembre","diciembre"},0)+1,0))</f>
        <v/>
      </c>
      <c r="E2806" t="str">
        <f>+IFERROR(VLOOKUP(Fact_Impuestos[[#This Row], [Concepto Anterior]],Conceptos_Impuestos[#All],5,0),"")</f>
        <v/>
      </c>
      <c r="F2806" t="str">
        <f>+IFERROR(VLOOKUP(Fact_Impuestos[[#This Row], 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ht="18.75" customHeight="1" x14ac:dyDescent="0.35">
      <c r="C2807" s="100" t="str">
        <f>IF(OR(Fact_Impuestos[[#This Row], [Año]]="",Fact_Impuestos[[#This Row], [Mes]]=""),"",DATE(A2807,MATCH(B2807,{"enero","febrero","marzo","abril","mayo","junio","julio","agosto","septiembre","octubre","noviembre","diciembre"},0)+1,0))</f>
        <v/>
      </c>
      <c r="E2807" t="str">
        <f>+IFERROR(VLOOKUP(Fact_Impuestos[[#This Row], [Concepto Anterior]],Conceptos_Impuestos[#All],5,0),"")</f>
        <v/>
      </c>
      <c r="F2807" t="str">
        <f>+IFERROR(VLOOKUP(Fact_Impuestos[[#This Row], 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ht="18.75" customHeight="1" x14ac:dyDescent="0.35">
      <c r="C2808" s="100" t="str">
        <f>IF(OR(Fact_Impuestos[[#This Row], [Año]]="",Fact_Impuestos[[#This Row], [Mes]]=""),"",DATE(A2808,MATCH(B2808,{"enero","febrero","marzo","abril","mayo","junio","julio","agosto","septiembre","octubre","noviembre","diciembre"},0)+1,0))</f>
        <v/>
      </c>
      <c r="E2808" t="str">
        <f>+IFERROR(VLOOKUP(Fact_Impuestos[[#This Row], [Concepto Anterior]],Conceptos_Impuestos[#All],5,0),"")</f>
        <v/>
      </c>
      <c r="F2808" t="str">
        <f>+IFERROR(VLOOKUP(Fact_Impuestos[[#This Row], 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ht="18.75" customHeight="1" x14ac:dyDescent="0.35">
      <c r="C2809" s="100" t="str">
        <f>IF(OR(Fact_Impuestos[[#This Row], [Año]]="",Fact_Impuestos[[#This Row], [Mes]]=""),"",DATE(A2809,MATCH(B2809,{"enero","febrero","marzo","abril","mayo","junio","julio","agosto","septiembre","octubre","noviembre","diciembre"},0)+1,0))</f>
        <v/>
      </c>
      <c r="E2809" t="str">
        <f>+IFERROR(VLOOKUP(Fact_Impuestos[[#This Row], [Concepto Anterior]],Conceptos_Impuestos[#All],5,0),"")</f>
        <v/>
      </c>
      <c r="F2809" t="str">
        <f>+IFERROR(VLOOKUP(Fact_Impuestos[[#This Row], 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ht="18.75" customHeight="1" x14ac:dyDescent="0.35">
      <c r="C2810" s="100" t="str">
        <f>IF(OR(Fact_Impuestos[[#This Row], [Año]]="",Fact_Impuestos[[#This Row], [Mes]]=""),"",DATE(A2810,MATCH(B2810,{"enero","febrero","marzo","abril","mayo","junio","julio","agosto","septiembre","octubre","noviembre","diciembre"},0)+1,0))</f>
        <v/>
      </c>
      <c r="E2810" t="str">
        <f>+IFERROR(VLOOKUP(Fact_Impuestos[[#This Row], [Concepto Anterior]],Conceptos_Impuestos[#All],5,0),"")</f>
        <v/>
      </c>
      <c r="F2810" t="str">
        <f>+IFERROR(VLOOKUP(Fact_Impuestos[[#This Row], 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ht="18.75" customHeight="1" x14ac:dyDescent="0.35">
      <c r="C2811" s="100" t="str">
        <f>IF(OR(Fact_Impuestos[[#This Row], [Año]]="",Fact_Impuestos[[#This Row], [Mes]]=""),"",DATE(A2811,MATCH(B2811,{"enero","febrero","marzo","abril","mayo","junio","julio","agosto","septiembre","octubre","noviembre","diciembre"},0)+1,0))</f>
        <v/>
      </c>
      <c r="E2811" t="str">
        <f>+IFERROR(VLOOKUP(Fact_Impuestos[[#This Row], [Concepto Anterior]],Conceptos_Impuestos[#All],5,0),"")</f>
        <v/>
      </c>
      <c r="F2811" t="str">
        <f>+IFERROR(VLOOKUP(Fact_Impuestos[[#This Row], 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ht="18.75" customHeight="1" x14ac:dyDescent="0.35">
      <c r="C2812" s="100" t="str">
        <f>IF(OR(Fact_Impuestos[[#This Row], [Año]]="",Fact_Impuestos[[#This Row], [Mes]]=""),"",DATE(A2812,MATCH(B2812,{"enero","febrero","marzo","abril","mayo","junio","julio","agosto","septiembre","octubre","noviembre","diciembre"},0)+1,0))</f>
        <v/>
      </c>
      <c r="E2812" t="str">
        <f>+IFERROR(VLOOKUP(Fact_Impuestos[[#This Row], [Concepto Anterior]],Conceptos_Impuestos[#All],5,0),"")</f>
        <v/>
      </c>
      <c r="F2812" t="str">
        <f>+IFERROR(VLOOKUP(Fact_Impuestos[[#This Row], 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ht="18.75" customHeight="1" x14ac:dyDescent="0.35">
      <c r="C2813" s="100" t="str">
        <f>IF(OR(Fact_Impuestos[[#This Row], [Año]]="",Fact_Impuestos[[#This Row], [Mes]]=""),"",DATE(A2813,MATCH(B2813,{"enero","febrero","marzo","abril","mayo","junio","julio","agosto","septiembre","octubre","noviembre","diciembre"},0)+1,0))</f>
        <v/>
      </c>
      <c r="E2813" t="str">
        <f>+IFERROR(VLOOKUP(Fact_Impuestos[[#This Row], [Concepto Anterior]],Conceptos_Impuestos[#All],5,0),"")</f>
        <v/>
      </c>
      <c r="F2813" t="str">
        <f>+IFERROR(VLOOKUP(Fact_Impuestos[[#This Row], 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ht="18.75" customHeight="1" x14ac:dyDescent="0.35">
      <c r="C2814" s="100" t="str">
        <f>IF(OR(Fact_Impuestos[[#This Row], [Año]]="",Fact_Impuestos[[#This Row], [Mes]]=""),"",DATE(A2814,MATCH(B2814,{"enero","febrero","marzo","abril","mayo","junio","julio","agosto","septiembre","octubre","noviembre","diciembre"},0)+1,0))</f>
        <v/>
      </c>
      <c r="E2814" t="str">
        <f>+IFERROR(VLOOKUP(Fact_Impuestos[[#This Row], [Concepto Anterior]],Conceptos_Impuestos[#All],5,0),"")</f>
        <v/>
      </c>
      <c r="F2814" t="str">
        <f>+IFERROR(VLOOKUP(Fact_Impuestos[[#This Row], 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ht="18.75" customHeight="1" x14ac:dyDescent="0.35">
      <c r="C2815" s="100" t="str">
        <f>IF(OR(Fact_Impuestos[[#This Row], [Año]]="",Fact_Impuestos[[#This Row], [Mes]]=""),"",DATE(A2815,MATCH(B2815,{"enero","febrero","marzo","abril","mayo","junio","julio","agosto","septiembre","octubre","noviembre","diciembre"},0)+1,0))</f>
        <v/>
      </c>
      <c r="E2815" t="str">
        <f>+IFERROR(VLOOKUP(Fact_Impuestos[[#This Row], [Concepto Anterior]],Conceptos_Impuestos[#All],5,0),"")</f>
        <v/>
      </c>
      <c r="F2815" t="str">
        <f>+IFERROR(VLOOKUP(Fact_Impuestos[[#This Row], 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ht="18.75" customHeight="1" x14ac:dyDescent="0.35">
      <c r="C2816" s="100" t="str">
        <f>IF(OR(Fact_Impuestos[[#This Row], [Año]]="",Fact_Impuestos[[#This Row], [Mes]]=""),"",DATE(A2816,MATCH(B2816,{"enero","febrero","marzo","abril","mayo","junio","julio","agosto","septiembre","octubre","noviembre","diciembre"},0)+1,0))</f>
        <v/>
      </c>
      <c r="E2816" t="str">
        <f>+IFERROR(VLOOKUP(Fact_Impuestos[[#This Row], [Concepto Anterior]],Conceptos_Impuestos[#All],5,0),"")</f>
        <v/>
      </c>
      <c r="F2816" t="str">
        <f>+IFERROR(VLOOKUP(Fact_Impuestos[[#This Row], 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ht="18.75" customHeight="1" x14ac:dyDescent="0.35">
      <c r="C2817" s="100" t="str">
        <f>IF(OR(Fact_Impuestos[[#This Row], [Año]]="",Fact_Impuestos[[#This Row], [Mes]]=""),"",DATE(A2817,MATCH(B2817,{"enero","febrero","marzo","abril","mayo","junio","julio","agosto","septiembre","octubre","noviembre","diciembre"},0)+1,0))</f>
        <v/>
      </c>
      <c r="E2817" t="str">
        <f>+IFERROR(VLOOKUP(Fact_Impuestos[[#This Row], [Concepto Anterior]],Conceptos_Impuestos[#All],5,0),"")</f>
        <v/>
      </c>
      <c r="F2817" t="str">
        <f>+IFERROR(VLOOKUP(Fact_Impuestos[[#This Row], 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ht="18.75" customHeight="1" x14ac:dyDescent="0.35">
      <c r="C2818" s="100" t="str">
        <f>IF(OR(Fact_Impuestos[[#This Row], [Año]]="",Fact_Impuestos[[#This Row], [Mes]]=""),"",DATE(A2818,MATCH(B2818,{"enero","febrero","marzo","abril","mayo","junio","julio","agosto","septiembre","octubre","noviembre","diciembre"},0)+1,0))</f>
        <v/>
      </c>
      <c r="E2818" t="str">
        <f>+IFERROR(VLOOKUP(Fact_Impuestos[[#This Row], [Concepto Anterior]],Conceptos_Impuestos[#All],5,0),"")</f>
        <v/>
      </c>
      <c r="F2818" t="str">
        <f>+IFERROR(VLOOKUP(Fact_Impuestos[[#This Row], 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ht="18.75" customHeight="1" x14ac:dyDescent="0.35">
      <c r="C2819" s="100" t="str">
        <f>IF(OR(Fact_Impuestos[[#This Row], [Año]]="",Fact_Impuestos[[#This Row], [Mes]]=""),"",DATE(A2819,MATCH(B2819,{"enero","febrero","marzo","abril","mayo","junio","julio","agosto","septiembre","octubre","noviembre","diciembre"},0)+1,0))</f>
        <v/>
      </c>
      <c r="E2819" t="str">
        <f>+IFERROR(VLOOKUP(Fact_Impuestos[[#This Row], [Concepto Anterior]],Conceptos_Impuestos[#All],5,0),"")</f>
        <v/>
      </c>
      <c r="F2819" t="str">
        <f>+IFERROR(VLOOKUP(Fact_Impuestos[[#This Row], 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ht="18.75" customHeight="1" x14ac:dyDescent="0.35">
      <c r="C2820" s="100" t="str">
        <f>IF(OR(Fact_Impuestos[[#This Row], [Año]]="",Fact_Impuestos[[#This Row], [Mes]]=""),"",DATE(A2820,MATCH(B2820,{"enero","febrero","marzo","abril","mayo","junio","julio","agosto","septiembre","octubre","noviembre","diciembre"},0)+1,0))</f>
        <v/>
      </c>
      <c r="E2820" t="str">
        <f>+IFERROR(VLOOKUP(Fact_Impuestos[[#This Row], [Concepto Anterior]],Conceptos_Impuestos[#All],5,0),"")</f>
        <v/>
      </c>
      <c r="F2820" t="str">
        <f>+IFERROR(VLOOKUP(Fact_Impuestos[[#This Row], 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ht="18.75" customHeight="1" x14ac:dyDescent="0.35">
      <c r="C2821" s="100" t="str">
        <f>IF(OR(Fact_Impuestos[[#This Row], [Año]]="",Fact_Impuestos[[#This Row], [Mes]]=""),"",DATE(A2821,MATCH(B2821,{"enero","febrero","marzo","abril","mayo","junio","julio","agosto","septiembre","octubre","noviembre","diciembre"},0)+1,0))</f>
        <v/>
      </c>
      <c r="E2821" t="str">
        <f>+IFERROR(VLOOKUP(Fact_Impuestos[[#This Row], [Concepto Anterior]],Conceptos_Impuestos[#All],5,0),"")</f>
        <v/>
      </c>
      <c r="F2821" t="str">
        <f>+IFERROR(VLOOKUP(Fact_Impuestos[[#This Row], 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ht="18.75" customHeight="1" x14ac:dyDescent="0.35">
      <c r="C2822" s="100" t="str">
        <f>IF(OR(Fact_Impuestos[[#This Row], [Año]]="",Fact_Impuestos[[#This Row], [Mes]]=""),"",DATE(A2822,MATCH(B2822,{"enero","febrero","marzo","abril","mayo","junio","julio","agosto","septiembre","octubre","noviembre","diciembre"},0)+1,0))</f>
        <v/>
      </c>
      <c r="E2822" t="str">
        <f>+IFERROR(VLOOKUP(Fact_Impuestos[[#This Row], [Concepto Anterior]],Conceptos_Impuestos[#All],5,0),"")</f>
        <v/>
      </c>
      <c r="F2822" t="str">
        <f>+IFERROR(VLOOKUP(Fact_Impuestos[[#This Row], 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ht="18.75" customHeight="1" x14ac:dyDescent="0.35">
      <c r="C2823" s="100" t="str">
        <f>IF(OR(Fact_Impuestos[[#This Row], [Año]]="",Fact_Impuestos[[#This Row], [Mes]]=""),"",DATE(A2823,MATCH(B2823,{"enero","febrero","marzo","abril","mayo","junio","julio","agosto","septiembre","octubre","noviembre","diciembre"},0)+1,0))</f>
        <v/>
      </c>
      <c r="E2823" t="str">
        <f>+IFERROR(VLOOKUP(Fact_Impuestos[[#This Row], [Concepto Anterior]],Conceptos_Impuestos[#All],5,0),"")</f>
        <v/>
      </c>
      <c r="F2823" t="str">
        <f>+IFERROR(VLOOKUP(Fact_Impuestos[[#This Row], 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ht="18.75" customHeight="1" x14ac:dyDescent="0.35">
      <c r="C2824" s="100" t="str">
        <f>IF(OR(Fact_Impuestos[[#This Row], [Año]]="",Fact_Impuestos[[#This Row], [Mes]]=""),"",DATE(A2824,MATCH(B2824,{"enero","febrero","marzo","abril","mayo","junio","julio","agosto","septiembre","octubre","noviembre","diciembre"},0)+1,0))</f>
        <v/>
      </c>
      <c r="E2824" t="str">
        <f>+IFERROR(VLOOKUP(Fact_Impuestos[[#This Row], [Concepto Anterior]],Conceptos_Impuestos[#All],5,0),"")</f>
        <v/>
      </c>
      <c r="F2824" t="str">
        <f>+IFERROR(VLOOKUP(Fact_Impuestos[[#This Row], 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ht="18.75" customHeight="1" x14ac:dyDescent="0.35">
      <c r="C2825" s="100" t="str">
        <f>IF(OR(Fact_Impuestos[[#This Row], [Año]]="",Fact_Impuestos[[#This Row], [Mes]]=""),"",DATE(A2825,MATCH(B2825,{"enero","febrero","marzo","abril","mayo","junio","julio","agosto","septiembre","octubre","noviembre","diciembre"},0)+1,0))</f>
        <v/>
      </c>
      <c r="E2825" t="str">
        <f>+IFERROR(VLOOKUP(Fact_Impuestos[[#This Row], [Concepto Anterior]],Conceptos_Impuestos[#All],5,0),"")</f>
        <v/>
      </c>
      <c r="F2825" t="str">
        <f>+IFERROR(VLOOKUP(Fact_Impuestos[[#This Row], 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ht="18.75" customHeight="1" x14ac:dyDescent="0.35">
      <c r="C2826" s="100" t="str">
        <f>IF(OR(Fact_Impuestos[[#This Row], [Año]]="",Fact_Impuestos[[#This Row], [Mes]]=""),"",DATE(A2826,MATCH(B2826,{"enero","febrero","marzo","abril","mayo","junio","julio","agosto","septiembre","octubre","noviembre","diciembre"},0)+1,0))</f>
        <v/>
      </c>
      <c r="E2826" t="str">
        <f>+IFERROR(VLOOKUP(Fact_Impuestos[[#This Row], [Concepto Anterior]],Conceptos_Impuestos[#All],5,0),"")</f>
        <v/>
      </c>
      <c r="F2826" t="str">
        <f>+IFERROR(VLOOKUP(Fact_Impuestos[[#This Row], 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ht="18.75" customHeight="1" x14ac:dyDescent="0.35">
      <c r="C2827" s="100" t="str">
        <f>IF(OR(Fact_Impuestos[[#This Row], [Año]]="",Fact_Impuestos[[#This Row], [Mes]]=""),"",DATE(A2827,MATCH(B2827,{"enero","febrero","marzo","abril","mayo","junio","julio","agosto","septiembre","octubre","noviembre","diciembre"},0)+1,0))</f>
        <v/>
      </c>
      <c r="E2827" t="str">
        <f>+IFERROR(VLOOKUP(Fact_Impuestos[[#This Row], [Concepto Anterior]],Conceptos_Impuestos[#All],5,0),"")</f>
        <v/>
      </c>
      <c r="F2827" t="str">
        <f>+IFERROR(VLOOKUP(Fact_Impuestos[[#This Row], 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ht="18.75" customHeight="1" x14ac:dyDescent="0.35">
      <c r="C2828" s="100" t="str">
        <f>IF(OR(Fact_Impuestos[[#This Row], [Año]]="",Fact_Impuestos[[#This Row], [Mes]]=""),"",DATE(A2828,MATCH(B2828,{"enero","febrero","marzo","abril","mayo","junio","julio","agosto","septiembre","octubre","noviembre","diciembre"},0)+1,0))</f>
        <v/>
      </c>
      <c r="E2828" t="str">
        <f>+IFERROR(VLOOKUP(Fact_Impuestos[[#This Row], [Concepto Anterior]],Conceptos_Impuestos[#All],5,0),"")</f>
        <v/>
      </c>
      <c r="F2828" t="str">
        <f>+IFERROR(VLOOKUP(Fact_Impuestos[[#This Row], 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ht="18.75" customHeight="1" x14ac:dyDescent="0.35">
      <c r="C2829" s="100" t="str">
        <f>IF(OR(Fact_Impuestos[[#This Row], [Año]]="",Fact_Impuestos[[#This Row], [Mes]]=""),"",DATE(A2829,MATCH(B2829,{"enero","febrero","marzo","abril","mayo","junio","julio","agosto","septiembre","octubre","noviembre","diciembre"},0)+1,0))</f>
        <v/>
      </c>
      <c r="E2829" t="str">
        <f>+IFERROR(VLOOKUP(Fact_Impuestos[[#This Row], [Concepto Anterior]],Conceptos_Impuestos[#All],5,0),"")</f>
        <v/>
      </c>
      <c r="F2829" t="str">
        <f>+IFERROR(VLOOKUP(Fact_Impuestos[[#This Row], 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ht="18.75" customHeight="1" x14ac:dyDescent="0.35">
      <c r="C2830" s="100" t="str">
        <f>IF(OR(Fact_Impuestos[[#This Row], [Año]]="",Fact_Impuestos[[#This Row], [Mes]]=""),"",DATE(A2830,MATCH(B2830,{"enero","febrero","marzo","abril","mayo","junio","julio","agosto","septiembre","octubre","noviembre","diciembre"},0)+1,0))</f>
        <v/>
      </c>
      <c r="E2830" t="str">
        <f>+IFERROR(VLOOKUP(Fact_Impuestos[[#This Row], [Concepto Anterior]],Conceptos_Impuestos[#All],5,0),"")</f>
        <v/>
      </c>
      <c r="F2830" t="str">
        <f>+IFERROR(VLOOKUP(Fact_Impuestos[[#This Row], 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ht="18.75" customHeight="1" x14ac:dyDescent="0.35">
      <c r="C2831" s="100" t="str">
        <f>IF(OR(Fact_Impuestos[[#This Row], [Año]]="",Fact_Impuestos[[#This Row], [Mes]]=""),"",DATE(A2831,MATCH(B2831,{"enero","febrero","marzo","abril","mayo","junio","julio","agosto","septiembre","octubre","noviembre","diciembre"},0)+1,0))</f>
        <v/>
      </c>
      <c r="E2831" t="str">
        <f>+IFERROR(VLOOKUP(Fact_Impuestos[[#This Row], [Concepto Anterior]],Conceptos_Impuestos[#All],5,0),"")</f>
        <v/>
      </c>
      <c r="F2831" t="str">
        <f>+IFERROR(VLOOKUP(Fact_Impuestos[[#This Row], 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ht="18.75" customHeight="1" x14ac:dyDescent="0.35">
      <c r="C2832" s="100" t="str">
        <f>IF(OR(Fact_Impuestos[[#This Row], [Año]]="",Fact_Impuestos[[#This Row], [Mes]]=""),"",DATE(A2832,MATCH(B2832,{"enero","febrero","marzo","abril","mayo","junio","julio","agosto","septiembre","octubre","noviembre","diciembre"},0)+1,0))</f>
        <v/>
      </c>
      <c r="E2832" t="str">
        <f>+IFERROR(VLOOKUP(Fact_Impuestos[[#This Row], [Concepto Anterior]],Conceptos_Impuestos[#All],5,0),"")</f>
        <v/>
      </c>
      <c r="F2832" t="str">
        <f>+IFERROR(VLOOKUP(Fact_Impuestos[[#This Row], 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ht="18.75" customHeight="1" x14ac:dyDescent="0.35">
      <c r="C2833" s="100" t="str">
        <f>IF(OR(Fact_Impuestos[[#This Row], [Año]]="",Fact_Impuestos[[#This Row], [Mes]]=""),"",DATE(A2833,MATCH(B2833,{"enero","febrero","marzo","abril","mayo","junio","julio","agosto","septiembre","octubre","noviembre","diciembre"},0)+1,0))</f>
        <v/>
      </c>
      <c r="E2833" t="str">
        <f>+IFERROR(VLOOKUP(Fact_Impuestos[[#This Row], [Concepto Anterior]],Conceptos_Impuestos[#All],5,0),"")</f>
        <v/>
      </c>
      <c r="F2833" t="str">
        <f>+IFERROR(VLOOKUP(Fact_Impuestos[[#This Row], 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ht="18.75" customHeight="1" x14ac:dyDescent="0.35">
      <c r="C2834" s="100" t="str">
        <f>IF(OR(Fact_Impuestos[[#This Row], [Año]]="",Fact_Impuestos[[#This Row], [Mes]]=""),"",DATE(A2834,MATCH(B2834,{"enero","febrero","marzo","abril","mayo","junio","julio","agosto","septiembre","octubre","noviembre","diciembre"},0)+1,0))</f>
        <v/>
      </c>
      <c r="E2834" t="str">
        <f>+IFERROR(VLOOKUP(Fact_Impuestos[[#This Row], [Concepto Anterior]],Conceptos_Impuestos[#All],5,0),"")</f>
        <v/>
      </c>
      <c r="F2834" t="str">
        <f>+IFERROR(VLOOKUP(Fact_Impuestos[[#This Row], 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ht="18.75" customHeight="1" x14ac:dyDescent="0.35">
      <c r="C2835" s="100" t="str">
        <f>IF(OR(Fact_Impuestos[[#This Row], [Año]]="",Fact_Impuestos[[#This Row], [Mes]]=""),"",DATE(A2835,MATCH(B2835,{"enero","febrero","marzo","abril","mayo","junio","julio","agosto","septiembre","octubre","noviembre","diciembre"},0)+1,0))</f>
        <v/>
      </c>
      <c r="E2835" t="str">
        <f>+IFERROR(VLOOKUP(Fact_Impuestos[[#This Row], [Concepto Anterior]],Conceptos_Impuestos[#All],5,0),"")</f>
        <v/>
      </c>
      <c r="F2835" t="str">
        <f>+IFERROR(VLOOKUP(Fact_Impuestos[[#This Row], 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ht="18.75" customHeight="1" x14ac:dyDescent="0.35">
      <c r="C2836" s="100" t="str">
        <f>IF(OR(Fact_Impuestos[[#This Row], [Año]]="",Fact_Impuestos[[#This Row], [Mes]]=""),"",DATE(A2836,MATCH(B2836,{"enero","febrero","marzo","abril","mayo","junio","julio","agosto","septiembre","octubre","noviembre","diciembre"},0)+1,0))</f>
        <v/>
      </c>
      <c r="E2836" t="str">
        <f>+IFERROR(VLOOKUP(Fact_Impuestos[[#This Row], [Concepto Anterior]],Conceptos_Impuestos[#All],5,0),"")</f>
        <v/>
      </c>
      <c r="F2836" t="str">
        <f>+IFERROR(VLOOKUP(Fact_Impuestos[[#This Row], 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ht="18.75" customHeight="1" x14ac:dyDescent="0.35">
      <c r="C2837" s="100" t="str">
        <f>IF(OR(Fact_Impuestos[[#This Row], [Año]]="",Fact_Impuestos[[#This Row], [Mes]]=""),"",DATE(A2837,MATCH(B2837,{"enero","febrero","marzo","abril","mayo","junio","julio","agosto","septiembre","octubre","noviembre","diciembre"},0)+1,0))</f>
        <v/>
      </c>
      <c r="E2837" t="str">
        <f>+IFERROR(VLOOKUP(Fact_Impuestos[[#This Row], [Concepto Anterior]],Conceptos_Impuestos[#All],5,0),"")</f>
        <v/>
      </c>
      <c r="F2837" t="str">
        <f>+IFERROR(VLOOKUP(Fact_Impuestos[[#This Row], 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ht="18.75" customHeight="1" x14ac:dyDescent="0.35">
      <c r="C2838" s="100" t="str">
        <f>IF(OR(Fact_Impuestos[[#This Row], [Año]]="",Fact_Impuestos[[#This Row], [Mes]]=""),"",DATE(A2838,MATCH(B2838,{"enero","febrero","marzo","abril","mayo","junio","julio","agosto","septiembre","octubre","noviembre","diciembre"},0)+1,0))</f>
        <v/>
      </c>
      <c r="E2838" t="str">
        <f>+IFERROR(VLOOKUP(Fact_Impuestos[[#This Row], [Concepto Anterior]],Conceptos_Impuestos[#All],5,0),"")</f>
        <v/>
      </c>
      <c r="F2838" t="str">
        <f>+IFERROR(VLOOKUP(Fact_Impuestos[[#This Row], 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ht="18.75" customHeight="1" x14ac:dyDescent="0.35">
      <c r="C2839" s="100" t="str">
        <f>IF(OR(Fact_Impuestos[[#This Row], [Año]]="",Fact_Impuestos[[#This Row], [Mes]]=""),"",DATE(A2839,MATCH(B2839,{"enero","febrero","marzo","abril","mayo","junio","julio","agosto","septiembre","octubre","noviembre","diciembre"},0)+1,0))</f>
        <v/>
      </c>
      <c r="E2839" t="str">
        <f>+IFERROR(VLOOKUP(Fact_Impuestos[[#This Row], [Concepto Anterior]],Conceptos_Impuestos[#All],5,0),"")</f>
        <v/>
      </c>
      <c r="F2839" t="str">
        <f>+IFERROR(VLOOKUP(Fact_Impuestos[[#This Row], 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ht="18.75" customHeight="1" x14ac:dyDescent="0.35">
      <c r="C2840" s="100" t="str">
        <f>IF(OR(Fact_Impuestos[[#This Row], [Año]]="",Fact_Impuestos[[#This Row], [Mes]]=""),"",DATE(A2840,MATCH(B2840,{"enero","febrero","marzo","abril","mayo","junio","julio","agosto","septiembre","octubre","noviembre","diciembre"},0)+1,0))</f>
        <v/>
      </c>
      <c r="E2840" t="str">
        <f>+IFERROR(VLOOKUP(Fact_Impuestos[[#This Row], [Concepto Anterior]],Conceptos_Impuestos[#All],5,0),"")</f>
        <v/>
      </c>
      <c r="F2840" t="str">
        <f>+IFERROR(VLOOKUP(Fact_Impuestos[[#This Row], 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ht="18.75" customHeight="1" x14ac:dyDescent="0.35">
      <c r="C2841" s="100" t="str">
        <f>IF(OR(Fact_Impuestos[[#This Row], [Año]]="",Fact_Impuestos[[#This Row], [Mes]]=""),"",DATE(A2841,MATCH(B2841,{"enero","febrero","marzo","abril","mayo","junio","julio","agosto","septiembre","octubre","noviembre","diciembre"},0)+1,0))</f>
        <v/>
      </c>
      <c r="E2841" t="str">
        <f>+IFERROR(VLOOKUP(Fact_Impuestos[[#This Row], [Concepto Anterior]],Conceptos_Impuestos[#All],5,0),"")</f>
        <v/>
      </c>
      <c r="F2841" t="str">
        <f>+IFERROR(VLOOKUP(Fact_Impuestos[[#This Row], 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ht="18.75" customHeight="1" x14ac:dyDescent="0.35">
      <c r="C2842" s="100" t="str">
        <f>IF(OR(Fact_Impuestos[[#This Row], [Año]]="",Fact_Impuestos[[#This Row], [Mes]]=""),"",DATE(A2842,MATCH(B2842,{"enero","febrero","marzo","abril","mayo","junio","julio","agosto","septiembre","octubre","noviembre","diciembre"},0)+1,0))</f>
        <v/>
      </c>
      <c r="E2842" t="str">
        <f>+IFERROR(VLOOKUP(Fact_Impuestos[[#This Row], [Concepto Anterior]],Conceptos_Impuestos[#All],5,0),"")</f>
        <v/>
      </c>
      <c r="F2842" t="str">
        <f>+IFERROR(VLOOKUP(Fact_Impuestos[[#This Row], 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ht="18.75" customHeight="1" x14ac:dyDescent="0.35">
      <c r="C2843" s="100" t="str">
        <f>IF(OR(Fact_Impuestos[[#This Row], [Año]]="",Fact_Impuestos[[#This Row], [Mes]]=""),"",DATE(A2843,MATCH(B2843,{"enero","febrero","marzo","abril","mayo","junio","julio","agosto","septiembre","octubre","noviembre","diciembre"},0)+1,0))</f>
        <v/>
      </c>
      <c r="E2843" t="str">
        <f>+IFERROR(VLOOKUP(Fact_Impuestos[[#This Row], [Concepto Anterior]],Conceptos_Impuestos[#All],5,0),"")</f>
        <v/>
      </c>
      <c r="F2843" t="str">
        <f>+IFERROR(VLOOKUP(Fact_Impuestos[[#This Row], 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ht="18.75" customHeight="1" x14ac:dyDescent="0.35">
      <c r="C2844" s="100" t="str">
        <f>IF(OR(Fact_Impuestos[[#This Row], [Año]]="",Fact_Impuestos[[#This Row], [Mes]]=""),"",DATE(A2844,MATCH(B2844,{"enero","febrero","marzo","abril","mayo","junio","julio","agosto","septiembre","octubre","noviembre","diciembre"},0)+1,0))</f>
        <v/>
      </c>
      <c r="E2844" t="str">
        <f>+IFERROR(VLOOKUP(Fact_Impuestos[[#This Row], [Concepto Anterior]],Conceptos_Impuestos[#All],5,0),"")</f>
        <v/>
      </c>
      <c r="F2844" t="str">
        <f>+IFERROR(VLOOKUP(Fact_Impuestos[[#This Row], 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ht="18.75" customHeight="1" x14ac:dyDescent="0.35">
      <c r="C2845" s="100" t="str">
        <f>IF(OR(Fact_Impuestos[[#This Row], [Año]]="",Fact_Impuestos[[#This Row], [Mes]]=""),"",DATE(A2845,MATCH(B2845,{"enero","febrero","marzo","abril","mayo","junio","julio","agosto","septiembre","octubre","noviembre","diciembre"},0)+1,0))</f>
        <v/>
      </c>
      <c r="E2845" t="str">
        <f>+IFERROR(VLOOKUP(Fact_Impuestos[[#This Row], [Concepto Anterior]],Conceptos_Impuestos[#All],5,0),"")</f>
        <v/>
      </c>
      <c r="F2845" t="str">
        <f>+IFERROR(VLOOKUP(Fact_Impuestos[[#This Row], 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ht="18.75" customHeight="1" x14ac:dyDescent="0.35">
      <c r="C2846" s="100" t="str">
        <f>IF(OR(Fact_Impuestos[[#This Row], [Año]]="",Fact_Impuestos[[#This Row], [Mes]]=""),"",DATE(A2846,MATCH(B2846,{"enero","febrero","marzo","abril","mayo","junio","julio","agosto","septiembre","octubre","noviembre","diciembre"},0)+1,0))</f>
        <v/>
      </c>
      <c r="E2846" t="str">
        <f>+IFERROR(VLOOKUP(Fact_Impuestos[[#This Row], [Concepto Anterior]],Conceptos_Impuestos[#All],5,0),"")</f>
        <v/>
      </c>
      <c r="F2846" t="str">
        <f>+IFERROR(VLOOKUP(Fact_Impuestos[[#This Row], 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ht="18.75" customHeight="1" x14ac:dyDescent="0.35">
      <c r="C2847" s="100" t="str">
        <f>IF(OR(Fact_Impuestos[[#This Row], [Año]]="",Fact_Impuestos[[#This Row], [Mes]]=""),"",DATE(A2847,MATCH(B2847,{"enero","febrero","marzo","abril","mayo","junio","julio","agosto","septiembre","octubre","noviembre","diciembre"},0)+1,0))</f>
        <v/>
      </c>
      <c r="E2847" t="str">
        <f>+IFERROR(VLOOKUP(Fact_Impuestos[[#This Row], [Concepto Anterior]],Conceptos_Impuestos[#All],5,0),"")</f>
        <v/>
      </c>
      <c r="F2847" t="str">
        <f>+IFERROR(VLOOKUP(Fact_Impuestos[[#This Row], 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ht="18.75" customHeight="1" x14ac:dyDescent="0.35">
      <c r="C2848" s="100" t="str">
        <f>IF(OR(Fact_Impuestos[[#This Row], [Año]]="",Fact_Impuestos[[#This Row], [Mes]]=""),"",DATE(A2848,MATCH(B2848,{"enero","febrero","marzo","abril","mayo","junio","julio","agosto","septiembre","octubre","noviembre","diciembre"},0)+1,0))</f>
        <v/>
      </c>
      <c r="E2848" t="str">
        <f>+IFERROR(VLOOKUP(Fact_Impuestos[[#This Row], [Concepto Anterior]],Conceptos_Impuestos[#All],5,0),"")</f>
        <v/>
      </c>
      <c r="F2848" t="str">
        <f>+IFERROR(VLOOKUP(Fact_Impuestos[[#This Row], 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ht="18.75" customHeight="1" x14ac:dyDescent="0.35">
      <c r="C2849" s="100" t="str">
        <f>IF(OR(Fact_Impuestos[[#This Row], [Año]]="",Fact_Impuestos[[#This Row], [Mes]]=""),"",DATE(A2849,MATCH(B2849,{"enero","febrero","marzo","abril","mayo","junio","julio","agosto","septiembre","octubre","noviembre","diciembre"},0)+1,0))</f>
        <v/>
      </c>
      <c r="E2849" t="str">
        <f>+IFERROR(VLOOKUP(Fact_Impuestos[[#This Row], [Concepto Anterior]],Conceptos_Impuestos[#All],5,0),"")</f>
        <v/>
      </c>
      <c r="F2849" t="str">
        <f>+IFERROR(VLOOKUP(Fact_Impuestos[[#This Row], 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ht="18.75" customHeight="1" x14ac:dyDescent="0.35">
      <c r="C2850" s="100" t="str">
        <f>IF(OR(Fact_Impuestos[[#This Row], [Año]]="",Fact_Impuestos[[#This Row], [Mes]]=""),"",DATE(A2850,MATCH(B2850,{"enero","febrero","marzo","abril","mayo","junio","julio","agosto","septiembre","octubre","noviembre","diciembre"},0)+1,0))</f>
        <v/>
      </c>
      <c r="E2850" t="str">
        <f>+IFERROR(VLOOKUP(Fact_Impuestos[[#This Row], [Concepto Anterior]],Conceptos_Impuestos[#All],5,0),"")</f>
        <v/>
      </c>
      <c r="F2850" t="str">
        <f>+IFERROR(VLOOKUP(Fact_Impuestos[[#This Row], 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ht="18.75" customHeight="1" x14ac:dyDescent="0.35">
      <c r="C2851" s="100" t="str">
        <f>IF(OR(Fact_Impuestos[[#This Row], [Año]]="",Fact_Impuestos[[#This Row], [Mes]]=""),"",DATE(A2851,MATCH(B2851,{"enero","febrero","marzo","abril","mayo","junio","julio","agosto","septiembre","octubre","noviembre","diciembre"},0)+1,0))</f>
        <v/>
      </c>
      <c r="E2851" t="str">
        <f>+IFERROR(VLOOKUP(Fact_Impuestos[[#This Row], [Concepto Anterior]],Conceptos_Impuestos[#All],5,0),"")</f>
        <v/>
      </c>
      <c r="F2851" t="str">
        <f>+IFERROR(VLOOKUP(Fact_Impuestos[[#This Row], 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ht="18.75" customHeight="1" x14ac:dyDescent="0.35">
      <c r="C2852" s="100" t="str">
        <f>IF(OR(Fact_Impuestos[[#This Row], [Año]]="",Fact_Impuestos[[#This Row], [Mes]]=""),"",DATE(A2852,MATCH(B2852,{"enero","febrero","marzo","abril","mayo","junio","julio","agosto","septiembre","octubre","noviembre","diciembre"},0)+1,0))</f>
        <v/>
      </c>
      <c r="E2852" t="str">
        <f>+IFERROR(VLOOKUP(Fact_Impuestos[[#This Row], [Concepto Anterior]],Conceptos_Impuestos[#All],5,0),"")</f>
        <v/>
      </c>
      <c r="F2852" t="str">
        <f>+IFERROR(VLOOKUP(Fact_Impuestos[[#This Row], 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ht="18.75" customHeight="1" x14ac:dyDescent="0.35">
      <c r="C2853" s="100" t="str">
        <f>IF(OR(Fact_Impuestos[[#This Row], [Año]]="",Fact_Impuestos[[#This Row], [Mes]]=""),"",DATE(A2853,MATCH(B2853,{"enero","febrero","marzo","abril","mayo","junio","julio","agosto","septiembre","octubre","noviembre","diciembre"},0)+1,0))</f>
        <v/>
      </c>
      <c r="E2853" t="str">
        <f>+IFERROR(VLOOKUP(Fact_Impuestos[[#This Row], [Concepto Anterior]],Conceptos_Impuestos[#All],5,0),"")</f>
        <v/>
      </c>
      <c r="F2853" t="str">
        <f>+IFERROR(VLOOKUP(Fact_Impuestos[[#This Row], 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ht="18.75" customHeight="1" x14ac:dyDescent="0.35">
      <c r="C2854" s="100" t="str">
        <f>IF(OR(Fact_Impuestos[[#This Row], [Año]]="",Fact_Impuestos[[#This Row], [Mes]]=""),"",DATE(A2854,MATCH(B2854,{"enero","febrero","marzo","abril","mayo","junio","julio","agosto","septiembre","octubre","noviembre","diciembre"},0)+1,0))</f>
        <v/>
      </c>
      <c r="E2854" t="str">
        <f>+IFERROR(VLOOKUP(Fact_Impuestos[[#This Row], [Concepto Anterior]],Conceptos_Impuestos[#All],5,0),"")</f>
        <v/>
      </c>
      <c r="F2854" t="str">
        <f>+IFERROR(VLOOKUP(Fact_Impuestos[[#This Row], 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ht="18.75" customHeight="1" x14ac:dyDescent="0.35">
      <c r="C2855" s="100" t="str">
        <f>IF(OR(Fact_Impuestos[[#This Row], [Año]]="",Fact_Impuestos[[#This Row], [Mes]]=""),"",DATE(A2855,MATCH(B2855,{"enero","febrero","marzo","abril","mayo","junio","julio","agosto","septiembre","octubre","noviembre","diciembre"},0)+1,0))</f>
        <v/>
      </c>
      <c r="E2855" t="str">
        <f>+IFERROR(VLOOKUP(Fact_Impuestos[[#This Row], [Concepto Anterior]],Conceptos_Impuestos[#All],5,0),"")</f>
        <v/>
      </c>
      <c r="F2855" t="str">
        <f>+IFERROR(VLOOKUP(Fact_Impuestos[[#This Row], 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ht="18.75" customHeight="1" x14ac:dyDescent="0.35">
      <c r="C2856" s="100" t="str">
        <f>IF(OR(Fact_Impuestos[[#This Row], [Año]]="",Fact_Impuestos[[#This Row], [Mes]]=""),"",DATE(A2856,MATCH(B2856,{"enero","febrero","marzo","abril","mayo","junio","julio","agosto","septiembre","octubre","noviembre","diciembre"},0)+1,0))</f>
        <v/>
      </c>
      <c r="E2856" t="str">
        <f>+IFERROR(VLOOKUP(Fact_Impuestos[[#This Row], [Concepto Anterior]],Conceptos_Impuestos[#All],5,0),"")</f>
        <v/>
      </c>
      <c r="F2856" t="str">
        <f>+IFERROR(VLOOKUP(Fact_Impuestos[[#This Row], 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ht="18.75" customHeight="1" x14ac:dyDescent="0.35">
      <c r="C2857" s="100" t="str">
        <f>IF(OR(Fact_Impuestos[[#This Row], [Año]]="",Fact_Impuestos[[#This Row], [Mes]]=""),"",DATE(A2857,MATCH(B2857,{"enero","febrero","marzo","abril","mayo","junio","julio","agosto","septiembre","octubre","noviembre","diciembre"},0)+1,0))</f>
        <v/>
      </c>
      <c r="E2857" t="str">
        <f>+IFERROR(VLOOKUP(Fact_Impuestos[[#This Row], [Concepto Anterior]],Conceptos_Impuestos[#All],5,0),"")</f>
        <v/>
      </c>
      <c r="F2857" t="str">
        <f>+IFERROR(VLOOKUP(Fact_Impuestos[[#This Row], 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ht="18.75" customHeight="1" x14ac:dyDescent="0.35">
      <c r="C2858" s="100" t="str">
        <f>IF(OR(Fact_Impuestos[[#This Row], [Año]]="",Fact_Impuestos[[#This Row], [Mes]]=""),"",DATE(A2858,MATCH(B2858,{"enero","febrero","marzo","abril","mayo","junio","julio","agosto","septiembre","octubre","noviembre","diciembre"},0)+1,0))</f>
        <v/>
      </c>
      <c r="E2858" t="str">
        <f>+IFERROR(VLOOKUP(Fact_Impuestos[[#This Row], [Concepto Anterior]],Conceptos_Impuestos[#All],5,0),"")</f>
        <v/>
      </c>
      <c r="F2858" t="str">
        <f>+IFERROR(VLOOKUP(Fact_Impuestos[[#This Row], 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ht="18.75" customHeight="1" x14ac:dyDescent="0.35">
      <c r="C2859" s="100" t="str">
        <f>IF(OR(Fact_Impuestos[[#This Row], [Año]]="",Fact_Impuestos[[#This Row], [Mes]]=""),"",DATE(A2859,MATCH(B2859,{"enero","febrero","marzo","abril","mayo","junio","julio","agosto","septiembre","octubre","noviembre","diciembre"},0)+1,0))</f>
        <v/>
      </c>
      <c r="E2859" t="str">
        <f>+IFERROR(VLOOKUP(Fact_Impuestos[[#This Row], [Concepto Anterior]],Conceptos_Impuestos[#All],5,0),"")</f>
        <v/>
      </c>
      <c r="F2859" t="str">
        <f>+IFERROR(VLOOKUP(Fact_Impuestos[[#This Row], 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ht="18.75" customHeight="1" x14ac:dyDescent="0.35">
      <c r="C2860" s="100" t="str">
        <f>IF(OR(Fact_Impuestos[[#This Row], [Año]]="",Fact_Impuestos[[#This Row], [Mes]]=""),"",DATE(A2860,MATCH(B2860,{"enero","febrero","marzo","abril","mayo","junio","julio","agosto","septiembre","octubre","noviembre","diciembre"},0)+1,0))</f>
        <v/>
      </c>
      <c r="E2860" t="str">
        <f>+IFERROR(VLOOKUP(Fact_Impuestos[[#This Row], [Concepto Anterior]],Conceptos_Impuestos[#All],5,0),"")</f>
        <v/>
      </c>
      <c r="F2860" t="str">
        <f>+IFERROR(VLOOKUP(Fact_Impuestos[[#This Row], 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ht="18.75" customHeight="1" x14ac:dyDescent="0.35">
      <c r="C2861" s="100" t="str">
        <f>IF(OR(Fact_Impuestos[[#This Row], [Año]]="",Fact_Impuestos[[#This Row], [Mes]]=""),"",DATE(A2861,MATCH(B2861,{"enero","febrero","marzo","abril","mayo","junio","julio","agosto","septiembre","octubre","noviembre","diciembre"},0)+1,0))</f>
        <v/>
      </c>
      <c r="E2861" t="str">
        <f>+IFERROR(VLOOKUP(Fact_Impuestos[[#This Row], [Concepto Anterior]],Conceptos_Impuestos[#All],5,0),"")</f>
        <v/>
      </c>
      <c r="F2861" t="str">
        <f>+IFERROR(VLOOKUP(Fact_Impuestos[[#This Row], 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ht="18.75" customHeight="1" x14ac:dyDescent="0.35">
      <c r="C2862" s="100" t="str">
        <f>IF(OR(Fact_Impuestos[[#This Row], [Año]]="",Fact_Impuestos[[#This Row], [Mes]]=""),"",DATE(A2862,MATCH(B2862,{"enero","febrero","marzo","abril","mayo","junio","julio","agosto","septiembre","octubre","noviembre","diciembre"},0)+1,0))</f>
        <v/>
      </c>
      <c r="E2862" t="str">
        <f>+IFERROR(VLOOKUP(Fact_Impuestos[[#This Row], [Concepto Anterior]],Conceptos_Impuestos[#All],5,0),"")</f>
        <v/>
      </c>
      <c r="F2862" t="str">
        <f>+IFERROR(VLOOKUP(Fact_Impuestos[[#This Row], 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ht="18.75" customHeight="1" x14ac:dyDescent="0.35">
      <c r="C2863" s="100" t="str">
        <f>IF(OR(Fact_Impuestos[[#This Row], [Año]]="",Fact_Impuestos[[#This Row], [Mes]]=""),"",DATE(A2863,MATCH(B2863,{"enero","febrero","marzo","abril","mayo","junio","julio","agosto","septiembre","octubre","noviembre","diciembre"},0)+1,0))</f>
        <v/>
      </c>
      <c r="E2863" t="str">
        <f>+IFERROR(VLOOKUP(Fact_Impuestos[[#This Row], [Concepto Anterior]],Conceptos_Impuestos[#All],5,0),"")</f>
        <v/>
      </c>
      <c r="F2863" t="str">
        <f>+IFERROR(VLOOKUP(Fact_Impuestos[[#This Row], 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ht="18.75" customHeight="1" x14ac:dyDescent="0.35">
      <c r="C2864" s="100" t="str">
        <f>IF(OR(Fact_Impuestos[[#This Row], [Año]]="",Fact_Impuestos[[#This Row], [Mes]]=""),"",DATE(A2864,MATCH(B2864,{"enero","febrero","marzo","abril","mayo","junio","julio","agosto","septiembre","octubre","noviembre","diciembre"},0)+1,0))</f>
        <v/>
      </c>
      <c r="E2864" t="str">
        <f>+IFERROR(VLOOKUP(Fact_Impuestos[[#This Row], [Concepto Anterior]],Conceptos_Impuestos[#All],5,0),"")</f>
        <v/>
      </c>
      <c r="F2864" t="str">
        <f>+IFERROR(VLOOKUP(Fact_Impuestos[[#This Row], 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ht="18.75" customHeight="1" x14ac:dyDescent="0.35">
      <c r="C2865" s="100" t="str">
        <f>IF(OR(Fact_Impuestos[[#This Row], [Año]]="",Fact_Impuestos[[#This Row], [Mes]]=""),"",DATE(A2865,MATCH(B2865,{"enero","febrero","marzo","abril","mayo","junio","julio","agosto","septiembre","octubre","noviembre","diciembre"},0)+1,0))</f>
        <v/>
      </c>
      <c r="E2865" t="str">
        <f>+IFERROR(VLOOKUP(Fact_Impuestos[[#This Row], [Concepto Anterior]],Conceptos_Impuestos[#All],5,0),"")</f>
        <v/>
      </c>
      <c r="F2865" t="str">
        <f>+IFERROR(VLOOKUP(Fact_Impuestos[[#This Row], 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ht="18.75" customHeight="1" x14ac:dyDescent="0.35">
      <c r="C2866" s="100" t="str">
        <f>IF(OR(Fact_Impuestos[[#This Row], [Año]]="",Fact_Impuestos[[#This Row], [Mes]]=""),"",DATE(A2866,MATCH(B2866,{"enero","febrero","marzo","abril","mayo","junio","julio","agosto","septiembre","octubre","noviembre","diciembre"},0)+1,0))</f>
        <v/>
      </c>
      <c r="E2866" t="str">
        <f>+IFERROR(VLOOKUP(Fact_Impuestos[[#This Row], [Concepto Anterior]],Conceptos_Impuestos[#All],5,0),"")</f>
        <v/>
      </c>
      <c r="F2866" t="str">
        <f>+IFERROR(VLOOKUP(Fact_Impuestos[[#This Row], 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ht="18.75" customHeight="1" x14ac:dyDescent="0.35">
      <c r="C2867" s="100" t="str">
        <f>IF(OR(Fact_Impuestos[[#This Row], [Año]]="",Fact_Impuestos[[#This Row], [Mes]]=""),"",DATE(A2867,MATCH(B2867,{"enero","febrero","marzo","abril","mayo","junio","julio","agosto","septiembre","octubre","noviembre","diciembre"},0)+1,0))</f>
        <v/>
      </c>
      <c r="E2867" t="str">
        <f>+IFERROR(VLOOKUP(Fact_Impuestos[[#This Row], [Concepto Anterior]],Conceptos_Impuestos[#All],5,0),"")</f>
        <v/>
      </c>
      <c r="F2867" t="str">
        <f>+IFERROR(VLOOKUP(Fact_Impuestos[[#This Row], 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ht="18.75" customHeight="1" x14ac:dyDescent="0.35">
      <c r="C2868" s="100" t="str">
        <f>IF(OR(Fact_Impuestos[[#This Row], [Año]]="",Fact_Impuestos[[#This Row], [Mes]]=""),"",DATE(A2868,MATCH(B2868,{"enero","febrero","marzo","abril","mayo","junio","julio","agosto","septiembre","octubre","noviembre","diciembre"},0)+1,0))</f>
        <v/>
      </c>
      <c r="E2868" t="str">
        <f>+IFERROR(VLOOKUP(Fact_Impuestos[[#This Row], [Concepto Anterior]],Conceptos_Impuestos[#All],5,0),"")</f>
        <v/>
      </c>
      <c r="F2868" t="str">
        <f>+IFERROR(VLOOKUP(Fact_Impuestos[[#This Row], 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ht="18.75" customHeight="1" x14ac:dyDescent="0.35">
      <c r="C2869" s="100" t="str">
        <f>IF(OR(Fact_Impuestos[[#This Row], [Año]]="",Fact_Impuestos[[#This Row], [Mes]]=""),"",DATE(A2869,MATCH(B2869,{"enero","febrero","marzo","abril","mayo","junio","julio","agosto","septiembre","octubre","noviembre","diciembre"},0)+1,0))</f>
        <v/>
      </c>
      <c r="E2869" t="str">
        <f>+IFERROR(VLOOKUP(Fact_Impuestos[[#This Row], [Concepto Anterior]],Conceptos_Impuestos[#All],5,0),"")</f>
        <v/>
      </c>
      <c r="F2869" t="str">
        <f>+IFERROR(VLOOKUP(Fact_Impuestos[[#This Row], 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ht="18.75" customHeight="1" x14ac:dyDescent="0.35">
      <c r="C2870" s="100" t="str">
        <f>IF(OR(Fact_Impuestos[[#This Row], [Año]]="",Fact_Impuestos[[#This Row], [Mes]]=""),"",DATE(A2870,MATCH(B2870,{"enero","febrero","marzo","abril","mayo","junio","julio","agosto","septiembre","octubre","noviembre","diciembre"},0)+1,0))</f>
        <v/>
      </c>
      <c r="E2870" t="str">
        <f>+IFERROR(VLOOKUP(Fact_Impuestos[[#This Row], [Concepto Anterior]],Conceptos_Impuestos[#All],5,0),"")</f>
        <v/>
      </c>
      <c r="F2870" t="str">
        <f>+IFERROR(VLOOKUP(Fact_Impuestos[[#This Row], 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ht="18.75" customHeight="1" x14ac:dyDescent="0.35">
      <c r="C2871" s="100" t="str">
        <f>IF(OR(Fact_Impuestos[[#This Row], [Año]]="",Fact_Impuestos[[#This Row], [Mes]]=""),"",DATE(A2871,MATCH(B2871,{"enero","febrero","marzo","abril","mayo","junio","julio","agosto","septiembre","octubre","noviembre","diciembre"},0)+1,0))</f>
        <v/>
      </c>
      <c r="E2871" t="str">
        <f>+IFERROR(VLOOKUP(Fact_Impuestos[[#This Row], [Concepto Anterior]],Conceptos_Impuestos[#All],5,0),"")</f>
        <v/>
      </c>
      <c r="F2871" t="str">
        <f>+IFERROR(VLOOKUP(Fact_Impuestos[[#This Row], 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ht="18.75" customHeight="1" x14ac:dyDescent="0.35">
      <c r="C2872" s="100" t="str">
        <f>IF(OR(Fact_Impuestos[[#This Row], [Año]]="",Fact_Impuestos[[#This Row], [Mes]]=""),"",DATE(A2872,MATCH(B2872,{"enero","febrero","marzo","abril","mayo","junio","julio","agosto","septiembre","octubre","noviembre","diciembre"},0)+1,0))</f>
        <v/>
      </c>
      <c r="E2872" t="str">
        <f>+IFERROR(VLOOKUP(Fact_Impuestos[[#This Row], [Concepto Anterior]],Conceptos_Impuestos[#All],5,0),"")</f>
        <v/>
      </c>
      <c r="F2872" t="str">
        <f>+IFERROR(VLOOKUP(Fact_Impuestos[[#This Row], 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ht="18.75" customHeight="1" x14ac:dyDescent="0.35">
      <c r="C2873" s="100" t="str">
        <f>IF(OR(Fact_Impuestos[[#This Row], [Año]]="",Fact_Impuestos[[#This Row], [Mes]]=""),"",DATE(A2873,MATCH(B2873,{"enero","febrero","marzo","abril","mayo","junio","julio","agosto","septiembre","octubre","noviembre","diciembre"},0)+1,0))</f>
        <v/>
      </c>
      <c r="E2873" t="str">
        <f>+IFERROR(VLOOKUP(Fact_Impuestos[[#This Row], [Concepto Anterior]],Conceptos_Impuestos[#All],5,0),"")</f>
        <v/>
      </c>
      <c r="F2873" t="str">
        <f>+IFERROR(VLOOKUP(Fact_Impuestos[[#This Row], 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ht="18.75" customHeight="1" x14ac:dyDescent="0.35">
      <c r="C2874" s="100" t="str">
        <f>IF(OR(Fact_Impuestos[[#This Row], [Año]]="",Fact_Impuestos[[#This Row], [Mes]]=""),"",DATE(A2874,MATCH(B2874,{"enero","febrero","marzo","abril","mayo","junio","julio","agosto","septiembre","octubre","noviembre","diciembre"},0)+1,0))</f>
        <v/>
      </c>
      <c r="E2874" t="str">
        <f>+IFERROR(VLOOKUP(Fact_Impuestos[[#This Row], [Concepto Anterior]],Conceptos_Impuestos[#All],5,0),"")</f>
        <v/>
      </c>
      <c r="F2874" t="str">
        <f>+IFERROR(VLOOKUP(Fact_Impuestos[[#This Row], 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ht="18.75" customHeight="1" x14ac:dyDescent="0.35">
      <c r="C2875" s="100" t="str">
        <f>IF(OR(Fact_Impuestos[[#This Row], [Año]]="",Fact_Impuestos[[#This Row], [Mes]]=""),"",DATE(A2875,MATCH(B2875,{"enero","febrero","marzo","abril","mayo","junio","julio","agosto","septiembre","octubre","noviembre","diciembre"},0)+1,0))</f>
        <v/>
      </c>
      <c r="E2875" t="str">
        <f>+IFERROR(VLOOKUP(Fact_Impuestos[[#This Row], [Concepto Anterior]],Conceptos_Impuestos[#All],5,0),"")</f>
        <v/>
      </c>
      <c r="F2875" t="str">
        <f>+IFERROR(VLOOKUP(Fact_Impuestos[[#This Row], 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ht="18.75" customHeight="1" x14ac:dyDescent="0.35">
      <c r="C2876" s="100" t="str">
        <f>IF(OR(Fact_Impuestos[[#This Row], [Año]]="",Fact_Impuestos[[#This Row], [Mes]]=""),"",DATE(A2876,MATCH(B2876,{"enero","febrero","marzo","abril","mayo","junio","julio","agosto","septiembre","octubre","noviembre","diciembre"},0)+1,0))</f>
        <v/>
      </c>
      <c r="E2876" t="str">
        <f>+IFERROR(VLOOKUP(Fact_Impuestos[[#This Row], [Concepto Anterior]],Conceptos_Impuestos[#All],5,0),"")</f>
        <v/>
      </c>
      <c r="F2876" t="str">
        <f>+IFERROR(VLOOKUP(Fact_Impuestos[[#This Row], 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ht="18.75" customHeight="1" x14ac:dyDescent="0.35">
      <c r="C2877" s="100" t="str">
        <f>IF(OR(Fact_Impuestos[[#This Row], [Año]]="",Fact_Impuestos[[#This Row], [Mes]]=""),"",DATE(A2877,MATCH(B2877,{"enero","febrero","marzo","abril","mayo","junio","julio","agosto","septiembre","octubre","noviembre","diciembre"},0)+1,0))</f>
        <v/>
      </c>
      <c r="E2877" t="str">
        <f>+IFERROR(VLOOKUP(Fact_Impuestos[[#This Row], [Concepto Anterior]],Conceptos_Impuestos[#All],5,0),"")</f>
        <v/>
      </c>
      <c r="F2877" t="str">
        <f>+IFERROR(VLOOKUP(Fact_Impuestos[[#This Row], 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ht="18.75" customHeight="1" x14ac:dyDescent="0.35">
      <c r="C2878" s="100" t="str">
        <f>IF(OR(Fact_Impuestos[[#This Row], [Año]]="",Fact_Impuestos[[#This Row], [Mes]]=""),"",DATE(A2878,MATCH(B2878,{"enero","febrero","marzo","abril","mayo","junio","julio","agosto","septiembre","octubre","noviembre","diciembre"},0)+1,0))</f>
        <v/>
      </c>
      <c r="E2878" t="str">
        <f>+IFERROR(VLOOKUP(Fact_Impuestos[[#This Row], [Concepto Anterior]],Conceptos_Impuestos[#All],5,0),"")</f>
        <v/>
      </c>
      <c r="F2878" t="str">
        <f>+IFERROR(VLOOKUP(Fact_Impuestos[[#This Row], 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ht="18.75" customHeight="1" x14ac:dyDescent="0.35">
      <c r="C2879" s="100" t="str">
        <f>IF(OR(Fact_Impuestos[[#This Row], [Año]]="",Fact_Impuestos[[#This Row], [Mes]]=""),"",DATE(A2879,MATCH(B2879,{"enero","febrero","marzo","abril","mayo","junio","julio","agosto","septiembre","octubre","noviembre","diciembre"},0)+1,0))</f>
        <v/>
      </c>
      <c r="E2879" t="str">
        <f>+IFERROR(VLOOKUP(Fact_Impuestos[[#This Row], [Concepto Anterior]],Conceptos_Impuestos[#All],5,0),"")</f>
        <v/>
      </c>
      <c r="F2879" t="str">
        <f>+IFERROR(VLOOKUP(Fact_Impuestos[[#This Row], 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ht="18.75" customHeight="1" x14ac:dyDescent="0.35">
      <c r="C2880" s="100" t="str">
        <f>IF(OR(Fact_Impuestos[[#This Row], [Año]]="",Fact_Impuestos[[#This Row], [Mes]]=""),"",DATE(A2880,MATCH(B2880,{"enero","febrero","marzo","abril","mayo","junio","julio","agosto","septiembre","octubre","noviembre","diciembre"},0)+1,0))</f>
        <v/>
      </c>
      <c r="E2880" t="str">
        <f>+IFERROR(VLOOKUP(Fact_Impuestos[[#This Row], [Concepto Anterior]],Conceptos_Impuestos[#All],5,0),"")</f>
        <v/>
      </c>
      <c r="F2880" t="str">
        <f>+IFERROR(VLOOKUP(Fact_Impuestos[[#This Row], 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ht="18.75" customHeight="1" x14ac:dyDescent="0.35">
      <c r="C2881" s="100" t="str">
        <f>IF(OR(Fact_Impuestos[[#This Row], [Año]]="",Fact_Impuestos[[#This Row], [Mes]]=""),"",DATE(A2881,MATCH(B2881,{"enero","febrero","marzo","abril","mayo","junio","julio","agosto","septiembre","octubre","noviembre","diciembre"},0)+1,0))</f>
        <v/>
      </c>
      <c r="E2881" t="str">
        <f>+IFERROR(VLOOKUP(Fact_Impuestos[[#This Row], [Concepto Anterior]],Conceptos_Impuestos[#All],5,0),"")</f>
        <v/>
      </c>
      <c r="F2881" t="str">
        <f>+IFERROR(VLOOKUP(Fact_Impuestos[[#This Row], 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ht="18.75" customHeight="1" x14ac:dyDescent="0.35">
      <c r="C2882" s="100" t="str">
        <f>IF(OR(Fact_Impuestos[[#This Row], [Año]]="",Fact_Impuestos[[#This Row], [Mes]]=""),"",DATE(A2882,MATCH(B2882,{"enero","febrero","marzo","abril","mayo","junio","julio","agosto","septiembre","octubre","noviembre","diciembre"},0)+1,0))</f>
        <v/>
      </c>
      <c r="E2882" t="str">
        <f>+IFERROR(VLOOKUP(Fact_Impuestos[[#This Row], [Concepto Anterior]],Conceptos_Impuestos[#All],5,0),"")</f>
        <v/>
      </c>
      <c r="F2882" t="str">
        <f>+IFERROR(VLOOKUP(Fact_Impuestos[[#This Row], 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ht="18.75" customHeight="1" x14ac:dyDescent="0.35">
      <c r="C2883" s="100" t="str">
        <f>IF(OR(Fact_Impuestos[[#This Row], [Año]]="",Fact_Impuestos[[#This Row], [Mes]]=""),"",DATE(A2883,MATCH(B2883,{"enero","febrero","marzo","abril","mayo","junio","julio","agosto","septiembre","octubre","noviembre","diciembre"},0)+1,0))</f>
        <v/>
      </c>
      <c r="E2883" t="str">
        <f>+IFERROR(VLOOKUP(Fact_Impuestos[[#This Row], [Concepto Anterior]],Conceptos_Impuestos[#All],5,0),"")</f>
        <v/>
      </c>
      <c r="F2883" t="str">
        <f>+IFERROR(VLOOKUP(Fact_Impuestos[[#This Row], 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ht="18.75" customHeight="1" x14ac:dyDescent="0.35">
      <c r="C2884" s="100" t="str">
        <f>IF(OR(Fact_Impuestos[[#This Row], [Año]]="",Fact_Impuestos[[#This Row], [Mes]]=""),"",DATE(A2884,MATCH(B2884,{"enero","febrero","marzo","abril","mayo","junio","julio","agosto","septiembre","octubre","noviembre","diciembre"},0)+1,0))</f>
        <v/>
      </c>
      <c r="E2884" t="str">
        <f>+IFERROR(VLOOKUP(Fact_Impuestos[[#This Row], [Concepto Anterior]],Conceptos_Impuestos[#All],5,0),"")</f>
        <v/>
      </c>
      <c r="F2884" t="str">
        <f>+IFERROR(VLOOKUP(Fact_Impuestos[[#This Row], 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ht="18.75" customHeight="1" x14ac:dyDescent="0.35">
      <c r="C2885" s="100" t="str">
        <f>IF(OR(Fact_Impuestos[[#This Row], [Año]]="",Fact_Impuestos[[#This Row], [Mes]]=""),"",DATE(A2885,MATCH(B2885,{"enero","febrero","marzo","abril","mayo","junio","julio","agosto","septiembre","octubre","noviembre","diciembre"},0)+1,0))</f>
        <v/>
      </c>
      <c r="E2885" t="str">
        <f>+IFERROR(VLOOKUP(Fact_Impuestos[[#This Row], [Concepto Anterior]],Conceptos_Impuestos[#All],5,0),"")</f>
        <v/>
      </c>
      <c r="F2885" t="str">
        <f>+IFERROR(VLOOKUP(Fact_Impuestos[[#This Row], 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ht="18.75" customHeight="1" x14ac:dyDescent="0.35">
      <c r="C2886" s="100" t="str">
        <f>IF(OR(Fact_Impuestos[[#This Row], [Año]]="",Fact_Impuestos[[#This Row], [Mes]]=""),"",DATE(A2886,MATCH(B2886,{"enero","febrero","marzo","abril","mayo","junio","julio","agosto","septiembre","octubre","noviembre","diciembre"},0)+1,0))</f>
        <v/>
      </c>
      <c r="E2886" t="str">
        <f>+IFERROR(VLOOKUP(Fact_Impuestos[[#This Row], [Concepto Anterior]],Conceptos_Impuestos[#All],5,0),"")</f>
        <v/>
      </c>
      <c r="F2886" t="str">
        <f>+IFERROR(VLOOKUP(Fact_Impuestos[[#This Row], 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ht="18.75" customHeight="1" x14ac:dyDescent="0.35">
      <c r="C2887" s="100" t="str">
        <f>IF(OR(Fact_Impuestos[[#This Row], [Año]]="",Fact_Impuestos[[#This Row], [Mes]]=""),"",DATE(A2887,MATCH(B2887,{"enero","febrero","marzo","abril","mayo","junio","julio","agosto","septiembre","octubre","noviembre","diciembre"},0)+1,0))</f>
        <v/>
      </c>
      <c r="E2887" t="str">
        <f>+IFERROR(VLOOKUP(Fact_Impuestos[[#This Row], [Concepto Anterior]],Conceptos_Impuestos[#All],5,0),"")</f>
        <v/>
      </c>
      <c r="F2887" t="str">
        <f>+IFERROR(VLOOKUP(Fact_Impuestos[[#This Row], 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ht="18.75" customHeight="1" x14ac:dyDescent="0.35">
      <c r="C2888" s="100" t="str">
        <f>IF(OR(Fact_Impuestos[[#This Row], [Año]]="",Fact_Impuestos[[#This Row], [Mes]]=""),"",DATE(A2888,MATCH(B2888,{"enero","febrero","marzo","abril","mayo","junio","julio","agosto","septiembre","octubre","noviembre","diciembre"},0)+1,0))</f>
        <v/>
      </c>
      <c r="E2888" t="str">
        <f>+IFERROR(VLOOKUP(Fact_Impuestos[[#This Row], [Concepto Anterior]],Conceptos_Impuestos[#All],5,0),"")</f>
        <v/>
      </c>
      <c r="F2888" t="str">
        <f>+IFERROR(VLOOKUP(Fact_Impuestos[[#This Row], 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ht="18.75" customHeight="1" x14ac:dyDescent="0.35">
      <c r="C2889" s="100" t="str">
        <f>IF(OR(Fact_Impuestos[[#This Row], [Año]]="",Fact_Impuestos[[#This Row], [Mes]]=""),"",DATE(A2889,MATCH(B2889,{"enero","febrero","marzo","abril","mayo","junio","julio","agosto","septiembre","octubre","noviembre","diciembre"},0)+1,0))</f>
        <v/>
      </c>
      <c r="E2889" t="str">
        <f>+IFERROR(VLOOKUP(Fact_Impuestos[[#This Row], [Concepto Anterior]],Conceptos_Impuestos[#All],5,0),"")</f>
        <v/>
      </c>
      <c r="F2889" t="str">
        <f>+IFERROR(VLOOKUP(Fact_Impuestos[[#This Row], 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ht="18.75" customHeight="1" x14ac:dyDescent="0.35">
      <c r="C2890" s="100" t="str">
        <f>IF(OR(Fact_Impuestos[[#This Row], [Año]]="",Fact_Impuestos[[#This Row], [Mes]]=""),"",DATE(A2890,MATCH(B2890,{"enero","febrero","marzo","abril","mayo","junio","julio","agosto","septiembre","octubre","noviembre","diciembre"},0)+1,0))</f>
        <v/>
      </c>
      <c r="E2890" t="str">
        <f>+IFERROR(VLOOKUP(Fact_Impuestos[[#This Row], [Concepto Anterior]],Conceptos_Impuestos[#All],5,0),"")</f>
        <v/>
      </c>
      <c r="F2890" t="str">
        <f>+IFERROR(VLOOKUP(Fact_Impuestos[[#This Row], 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ht="18.75" customHeight="1" x14ac:dyDescent="0.35">
      <c r="C2891" s="100" t="str">
        <f>IF(OR(Fact_Impuestos[[#This Row], [Año]]="",Fact_Impuestos[[#This Row], [Mes]]=""),"",DATE(A2891,MATCH(B2891,{"enero","febrero","marzo","abril","mayo","junio","julio","agosto","septiembre","octubre","noviembre","diciembre"},0)+1,0))</f>
        <v/>
      </c>
      <c r="E2891" t="str">
        <f>+IFERROR(VLOOKUP(Fact_Impuestos[[#This Row], [Concepto Anterior]],Conceptos_Impuestos[#All],5,0),"")</f>
        <v/>
      </c>
      <c r="F2891" t="str">
        <f>+IFERROR(VLOOKUP(Fact_Impuestos[[#This Row], 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ht="18.75" customHeight="1" x14ac:dyDescent="0.35">
      <c r="C2892" s="100" t="str">
        <f>IF(OR(Fact_Impuestos[[#This Row], [Año]]="",Fact_Impuestos[[#This Row], [Mes]]=""),"",DATE(A2892,MATCH(B2892,{"enero","febrero","marzo","abril","mayo","junio","julio","agosto","septiembre","octubre","noviembre","diciembre"},0)+1,0))</f>
        <v/>
      </c>
      <c r="E2892" t="str">
        <f>+IFERROR(VLOOKUP(Fact_Impuestos[[#This Row], [Concepto Anterior]],Conceptos_Impuestos[#All],5,0),"")</f>
        <v/>
      </c>
      <c r="F2892" t="str">
        <f>+IFERROR(VLOOKUP(Fact_Impuestos[[#This Row], 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ht="18.75" customHeight="1" x14ac:dyDescent="0.35">
      <c r="C2893" s="100" t="str">
        <f>IF(OR(Fact_Impuestos[[#This Row], [Año]]="",Fact_Impuestos[[#This Row], [Mes]]=""),"",DATE(A2893,MATCH(B2893,{"enero","febrero","marzo","abril","mayo","junio","julio","agosto","septiembre","octubre","noviembre","diciembre"},0)+1,0))</f>
        <v/>
      </c>
      <c r="E2893" t="str">
        <f>+IFERROR(VLOOKUP(Fact_Impuestos[[#This Row], [Concepto Anterior]],Conceptos_Impuestos[#All],5,0),"")</f>
        <v/>
      </c>
      <c r="F2893" t="str">
        <f>+IFERROR(VLOOKUP(Fact_Impuestos[[#This Row], 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ht="18.75" customHeight="1" x14ac:dyDescent="0.35">
      <c r="C2894" s="100" t="str">
        <f>IF(OR(Fact_Impuestos[[#This Row], [Año]]="",Fact_Impuestos[[#This Row], [Mes]]=""),"",DATE(A2894,MATCH(B2894,{"enero","febrero","marzo","abril","mayo","junio","julio","agosto","septiembre","octubre","noviembre","diciembre"},0)+1,0))</f>
        <v/>
      </c>
      <c r="E2894" t="str">
        <f>+IFERROR(VLOOKUP(Fact_Impuestos[[#This Row], [Concepto Anterior]],Conceptos_Impuestos[#All],5,0),"")</f>
        <v/>
      </c>
      <c r="F2894" t="str">
        <f>+IFERROR(VLOOKUP(Fact_Impuestos[[#This Row], 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ht="18.75" customHeight="1" x14ac:dyDescent="0.35">
      <c r="C2895" s="100" t="str">
        <f>IF(OR(Fact_Impuestos[[#This Row], [Año]]="",Fact_Impuestos[[#This Row], [Mes]]=""),"",DATE(A2895,MATCH(B2895,{"enero","febrero","marzo","abril","mayo","junio","julio","agosto","septiembre","octubre","noviembre","diciembre"},0)+1,0))</f>
        <v/>
      </c>
      <c r="E2895" t="str">
        <f>+IFERROR(VLOOKUP(Fact_Impuestos[[#This Row], [Concepto Anterior]],Conceptos_Impuestos[#All],5,0),"")</f>
        <v/>
      </c>
      <c r="F2895" t="str">
        <f>+IFERROR(VLOOKUP(Fact_Impuestos[[#This Row], 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ht="18.75" customHeight="1" x14ac:dyDescent="0.35">
      <c r="C2896" s="100" t="str">
        <f>IF(OR(Fact_Impuestos[[#This Row], [Año]]="",Fact_Impuestos[[#This Row], [Mes]]=""),"",DATE(A2896,MATCH(B2896,{"enero","febrero","marzo","abril","mayo","junio","julio","agosto","septiembre","octubre","noviembre","diciembre"},0)+1,0))</f>
        <v/>
      </c>
      <c r="E2896" t="str">
        <f>+IFERROR(VLOOKUP(Fact_Impuestos[[#This Row], [Concepto Anterior]],Conceptos_Impuestos[#All],5,0),"")</f>
        <v/>
      </c>
      <c r="F2896" t="str">
        <f>+IFERROR(VLOOKUP(Fact_Impuestos[[#This Row], 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ht="18.75" customHeight="1" x14ac:dyDescent="0.35">
      <c r="C2897" s="100" t="str">
        <f>IF(OR(Fact_Impuestos[[#This Row], [Año]]="",Fact_Impuestos[[#This Row], [Mes]]=""),"",DATE(A2897,MATCH(B2897,{"enero","febrero","marzo","abril","mayo","junio","julio","agosto","septiembre","octubre","noviembre","diciembre"},0)+1,0))</f>
        <v/>
      </c>
      <c r="E2897" t="str">
        <f>+IFERROR(VLOOKUP(Fact_Impuestos[[#This Row], [Concepto Anterior]],Conceptos_Impuestos[#All],5,0),"")</f>
        <v/>
      </c>
      <c r="F2897" t="str">
        <f>+IFERROR(VLOOKUP(Fact_Impuestos[[#This Row], 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ht="18.75" customHeight="1" x14ac:dyDescent="0.35">
      <c r="C2898" s="100" t="str">
        <f>IF(OR(Fact_Impuestos[[#This Row], [Año]]="",Fact_Impuestos[[#This Row], [Mes]]=""),"",DATE(A2898,MATCH(B2898,{"enero","febrero","marzo","abril","mayo","junio","julio","agosto","septiembre","octubre","noviembre","diciembre"},0)+1,0))</f>
        <v/>
      </c>
      <c r="E2898" t="str">
        <f>+IFERROR(VLOOKUP(Fact_Impuestos[[#This Row], [Concepto Anterior]],Conceptos_Impuestos[#All],5,0),"")</f>
        <v/>
      </c>
      <c r="F2898" t="str">
        <f>+IFERROR(VLOOKUP(Fact_Impuestos[[#This Row], 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ht="18.75" customHeight="1" x14ac:dyDescent="0.35">
      <c r="C2899" s="100" t="str">
        <f>IF(OR(Fact_Impuestos[[#This Row], [Año]]="",Fact_Impuestos[[#This Row], [Mes]]=""),"",DATE(A2899,MATCH(B2899,{"enero","febrero","marzo","abril","mayo","junio","julio","agosto","septiembre","octubre","noviembre","diciembre"},0)+1,0))</f>
        <v/>
      </c>
      <c r="E2899" t="str">
        <f>+IFERROR(VLOOKUP(Fact_Impuestos[[#This Row], [Concepto Anterior]],Conceptos_Impuestos[#All],5,0),"")</f>
        <v/>
      </c>
      <c r="F2899" t="str">
        <f>+IFERROR(VLOOKUP(Fact_Impuestos[[#This Row], 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ht="18.75" customHeight="1" x14ac:dyDescent="0.35">
      <c r="C2900" s="100" t="str">
        <f>IF(OR(Fact_Impuestos[[#This Row], [Año]]="",Fact_Impuestos[[#This Row], [Mes]]=""),"",DATE(A2900,MATCH(B2900,{"enero","febrero","marzo","abril","mayo","junio","julio","agosto","septiembre","octubre","noviembre","diciembre"},0)+1,0))</f>
        <v/>
      </c>
      <c r="E2900" t="str">
        <f>+IFERROR(VLOOKUP(Fact_Impuestos[[#This Row], [Concepto Anterior]],Conceptos_Impuestos[#All],5,0),"")</f>
        <v/>
      </c>
      <c r="F2900" t="str">
        <f>+IFERROR(VLOOKUP(Fact_Impuestos[[#This Row], 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ht="18.75" customHeight="1" x14ac:dyDescent="0.35">
      <c r="C2901" s="100" t="str">
        <f>IF(OR(Fact_Impuestos[[#This Row], [Año]]="",Fact_Impuestos[[#This Row], [Mes]]=""),"",DATE(A2901,MATCH(B2901,{"enero","febrero","marzo","abril","mayo","junio","julio","agosto","septiembre","octubre","noviembre","diciembre"},0)+1,0))</f>
        <v/>
      </c>
      <c r="E2901" t="str">
        <f>+IFERROR(VLOOKUP(Fact_Impuestos[[#This Row], [Concepto Anterior]],Conceptos_Impuestos[#All],5,0),"")</f>
        <v/>
      </c>
      <c r="F2901" t="str">
        <f>+IFERROR(VLOOKUP(Fact_Impuestos[[#This Row], 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ht="18.75" customHeight="1" x14ac:dyDescent="0.35">
      <c r="C2902" s="100" t="str">
        <f>IF(OR(Fact_Impuestos[[#This Row], [Año]]="",Fact_Impuestos[[#This Row], [Mes]]=""),"",DATE(A2902,MATCH(B2902,{"enero","febrero","marzo","abril","mayo","junio","julio","agosto","septiembre","octubre","noviembre","diciembre"},0)+1,0))</f>
        <v/>
      </c>
      <c r="E2902" t="str">
        <f>+IFERROR(VLOOKUP(Fact_Impuestos[[#This Row], [Concepto Anterior]],Conceptos_Impuestos[#All],5,0),"")</f>
        <v/>
      </c>
      <c r="F2902" t="str">
        <f>+IFERROR(VLOOKUP(Fact_Impuestos[[#This Row], 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ht="18.75" customHeight="1" x14ac:dyDescent="0.35">
      <c r="C2903" s="100" t="str">
        <f>IF(OR(Fact_Impuestos[[#This Row], [Año]]="",Fact_Impuestos[[#This Row], [Mes]]=""),"",DATE(A2903,MATCH(B2903,{"enero","febrero","marzo","abril","mayo","junio","julio","agosto","septiembre","octubre","noviembre","diciembre"},0)+1,0))</f>
        <v/>
      </c>
      <c r="E2903" t="str">
        <f>+IFERROR(VLOOKUP(Fact_Impuestos[[#This Row], [Concepto Anterior]],Conceptos_Impuestos[#All],5,0),"")</f>
        <v/>
      </c>
      <c r="F2903" t="str">
        <f>+IFERROR(VLOOKUP(Fact_Impuestos[[#This Row], 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ht="18.75" customHeight="1" x14ac:dyDescent="0.35">
      <c r="C2904" s="100" t="str">
        <f>IF(OR(Fact_Impuestos[[#This Row], [Año]]="",Fact_Impuestos[[#This Row], [Mes]]=""),"",DATE(A2904,MATCH(B2904,{"enero","febrero","marzo","abril","mayo","junio","julio","agosto","septiembre","octubre","noviembre","diciembre"},0)+1,0))</f>
        <v/>
      </c>
      <c r="E2904" t="str">
        <f>+IFERROR(VLOOKUP(Fact_Impuestos[[#This Row], [Concepto Anterior]],Conceptos_Impuestos[#All],5,0),"")</f>
        <v/>
      </c>
      <c r="F2904" t="str">
        <f>+IFERROR(VLOOKUP(Fact_Impuestos[[#This Row], 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ht="18.75" customHeight="1" x14ac:dyDescent="0.35">
      <c r="C2905" s="100" t="str">
        <f>IF(OR(Fact_Impuestos[[#This Row], [Año]]="",Fact_Impuestos[[#This Row], [Mes]]=""),"",DATE(A2905,MATCH(B2905,{"enero","febrero","marzo","abril","mayo","junio","julio","agosto","septiembre","octubre","noviembre","diciembre"},0)+1,0))</f>
        <v/>
      </c>
      <c r="E2905" t="str">
        <f>+IFERROR(VLOOKUP(Fact_Impuestos[[#This Row], [Concepto Anterior]],Conceptos_Impuestos[#All],5,0),"")</f>
        <v/>
      </c>
      <c r="F2905" t="str">
        <f>+IFERROR(VLOOKUP(Fact_Impuestos[[#This Row], 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ht="18.75" customHeight="1" x14ac:dyDescent="0.35">
      <c r="C2906" s="100" t="str">
        <f>IF(OR(Fact_Impuestos[[#This Row], [Año]]="",Fact_Impuestos[[#This Row], [Mes]]=""),"",DATE(A2906,MATCH(B2906,{"enero","febrero","marzo","abril","mayo","junio","julio","agosto","septiembre","octubre","noviembre","diciembre"},0)+1,0))</f>
        <v/>
      </c>
      <c r="E2906" t="str">
        <f>+IFERROR(VLOOKUP(Fact_Impuestos[[#This Row], [Concepto Anterior]],Conceptos_Impuestos[#All],5,0),"")</f>
        <v/>
      </c>
      <c r="F2906" t="str">
        <f>+IFERROR(VLOOKUP(Fact_Impuestos[[#This Row], 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ht="18.75" customHeight="1" x14ac:dyDescent="0.35">
      <c r="C2907" s="100" t="str">
        <f>IF(OR(Fact_Impuestos[[#This Row], [Año]]="",Fact_Impuestos[[#This Row], [Mes]]=""),"",DATE(A2907,MATCH(B2907,{"enero","febrero","marzo","abril","mayo","junio","julio","agosto","septiembre","octubre","noviembre","diciembre"},0)+1,0))</f>
        <v/>
      </c>
      <c r="E2907" t="str">
        <f>+IFERROR(VLOOKUP(Fact_Impuestos[[#This Row], [Concepto Anterior]],Conceptos_Impuestos[#All],5,0),"")</f>
        <v/>
      </c>
      <c r="F2907" t="str">
        <f>+IFERROR(VLOOKUP(Fact_Impuestos[[#This Row], 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ht="18.75" customHeight="1" x14ac:dyDescent="0.35">
      <c r="C2908" s="100" t="str">
        <f>IF(OR(Fact_Impuestos[[#This Row], [Año]]="",Fact_Impuestos[[#This Row], [Mes]]=""),"",DATE(A2908,MATCH(B2908,{"enero","febrero","marzo","abril","mayo","junio","julio","agosto","septiembre","octubre","noviembre","diciembre"},0)+1,0))</f>
        <v/>
      </c>
      <c r="E2908" t="str">
        <f>+IFERROR(VLOOKUP(Fact_Impuestos[[#This Row], [Concepto Anterior]],Conceptos_Impuestos[#All],5,0),"")</f>
        <v/>
      </c>
      <c r="F2908" t="str">
        <f>+IFERROR(VLOOKUP(Fact_Impuestos[[#This Row], 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ht="18.75" customHeight="1" x14ac:dyDescent="0.35">
      <c r="C2909" s="100" t="str">
        <f>IF(OR(Fact_Impuestos[[#This Row], [Año]]="",Fact_Impuestos[[#This Row], [Mes]]=""),"",DATE(A2909,MATCH(B2909,{"enero","febrero","marzo","abril","mayo","junio","julio","agosto","septiembre","octubre","noviembre","diciembre"},0)+1,0))</f>
        <v/>
      </c>
      <c r="E2909" t="str">
        <f>+IFERROR(VLOOKUP(Fact_Impuestos[[#This Row], [Concepto Anterior]],Conceptos_Impuestos[#All],5,0),"")</f>
        <v/>
      </c>
      <c r="F2909" t="str">
        <f>+IFERROR(VLOOKUP(Fact_Impuestos[[#This Row], 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ht="18.75" customHeight="1" x14ac:dyDescent="0.35">
      <c r="C2910" s="100" t="str">
        <f>IF(OR(Fact_Impuestos[[#This Row], [Año]]="",Fact_Impuestos[[#This Row], [Mes]]=""),"",DATE(A2910,MATCH(B2910,{"enero","febrero","marzo","abril","mayo","junio","julio","agosto","septiembre","octubre","noviembre","diciembre"},0)+1,0))</f>
        <v/>
      </c>
      <c r="E2910" t="str">
        <f>+IFERROR(VLOOKUP(Fact_Impuestos[[#This Row], [Concepto Anterior]],Conceptos_Impuestos[#All],5,0),"")</f>
        <v/>
      </c>
      <c r="F2910" t="str">
        <f>+IFERROR(VLOOKUP(Fact_Impuestos[[#This Row], 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ht="18.75" customHeight="1" x14ac:dyDescent="0.35">
      <c r="C2911" s="100" t="str">
        <f>IF(OR(Fact_Impuestos[[#This Row], [Año]]="",Fact_Impuestos[[#This Row], [Mes]]=""),"",DATE(A2911,MATCH(B2911,{"enero","febrero","marzo","abril","mayo","junio","julio","agosto","septiembre","octubre","noviembre","diciembre"},0)+1,0))</f>
        <v/>
      </c>
      <c r="E2911" t="str">
        <f>+IFERROR(VLOOKUP(Fact_Impuestos[[#This Row], [Concepto Anterior]],Conceptos_Impuestos[#All],5,0),"")</f>
        <v/>
      </c>
      <c r="F2911" t="str">
        <f>+IFERROR(VLOOKUP(Fact_Impuestos[[#This Row], 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ht="18.75" customHeight="1" x14ac:dyDescent="0.35">
      <c r="C2912" s="100" t="str">
        <f>IF(OR(Fact_Impuestos[[#This Row], [Año]]="",Fact_Impuestos[[#This Row], [Mes]]=""),"",DATE(A2912,MATCH(B2912,{"enero","febrero","marzo","abril","mayo","junio","julio","agosto","septiembre","octubre","noviembre","diciembre"},0)+1,0))</f>
        <v/>
      </c>
      <c r="E2912" t="str">
        <f>+IFERROR(VLOOKUP(Fact_Impuestos[[#This Row], [Concepto Anterior]],Conceptos_Impuestos[#All],5,0),"")</f>
        <v/>
      </c>
      <c r="F2912" t="str">
        <f>+IFERROR(VLOOKUP(Fact_Impuestos[[#This Row], 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ht="18.75" customHeight="1" x14ac:dyDescent="0.35">
      <c r="C2913" s="100" t="str">
        <f>IF(OR(Fact_Impuestos[[#This Row], [Año]]="",Fact_Impuestos[[#This Row], [Mes]]=""),"",DATE(A2913,MATCH(B2913,{"enero","febrero","marzo","abril","mayo","junio","julio","agosto","septiembre","octubre","noviembre","diciembre"},0)+1,0))</f>
        <v/>
      </c>
      <c r="E2913" t="str">
        <f>+IFERROR(VLOOKUP(Fact_Impuestos[[#This Row], [Concepto Anterior]],Conceptos_Impuestos[#All],5,0),"")</f>
        <v/>
      </c>
      <c r="F2913" t="str">
        <f>+IFERROR(VLOOKUP(Fact_Impuestos[[#This Row], 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ht="18.75" customHeight="1" x14ac:dyDescent="0.35">
      <c r="C2914" s="100" t="str">
        <f>IF(OR(Fact_Impuestos[[#This Row], [Año]]="",Fact_Impuestos[[#This Row], [Mes]]=""),"",DATE(A2914,MATCH(B2914,{"enero","febrero","marzo","abril","mayo","junio","julio","agosto","septiembre","octubre","noviembre","diciembre"},0)+1,0))</f>
        <v/>
      </c>
      <c r="E2914" t="str">
        <f>+IFERROR(VLOOKUP(Fact_Impuestos[[#This Row], [Concepto Anterior]],Conceptos_Impuestos[#All],5,0),"")</f>
        <v/>
      </c>
      <c r="F2914" t="str">
        <f>+IFERROR(VLOOKUP(Fact_Impuestos[[#This Row], 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ht="18.75" customHeight="1" x14ac:dyDescent="0.35">
      <c r="C2915" s="100" t="str">
        <f>IF(OR(Fact_Impuestos[[#This Row], [Año]]="",Fact_Impuestos[[#This Row], [Mes]]=""),"",DATE(A2915,MATCH(B2915,{"enero","febrero","marzo","abril","mayo","junio","julio","agosto","septiembre","octubre","noviembre","diciembre"},0)+1,0))</f>
        <v/>
      </c>
      <c r="E2915" t="str">
        <f>+IFERROR(VLOOKUP(Fact_Impuestos[[#This Row], [Concepto Anterior]],Conceptos_Impuestos[#All],5,0),"")</f>
        <v/>
      </c>
      <c r="F2915" t="str">
        <f>+IFERROR(VLOOKUP(Fact_Impuestos[[#This Row], 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ht="18.75" customHeight="1" x14ac:dyDescent="0.35">
      <c r="C2916" s="100" t="str">
        <f>IF(OR(Fact_Impuestos[[#This Row], [Año]]="",Fact_Impuestos[[#This Row], [Mes]]=""),"",DATE(A2916,MATCH(B2916,{"enero","febrero","marzo","abril","mayo","junio","julio","agosto","septiembre","octubre","noviembre","diciembre"},0)+1,0))</f>
        <v/>
      </c>
      <c r="E2916" t="str">
        <f>+IFERROR(VLOOKUP(Fact_Impuestos[[#This Row], [Concepto Anterior]],Conceptos_Impuestos[#All],5,0),"")</f>
        <v/>
      </c>
      <c r="F2916" t="str">
        <f>+IFERROR(VLOOKUP(Fact_Impuestos[[#This Row], 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ht="18.75" customHeight="1" x14ac:dyDescent="0.35">
      <c r="C2917" s="100" t="str">
        <f>IF(OR(Fact_Impuestos[[#This Row], [Año]]="",Fact_Impuestos[[#This Row], [Mes]]=""),"",DATE(A2917,MATCH(B2917,{"enero","febrero","marzo","abril","mayo","junio","julio","agosto","septiembre","octubre","noviembre","diciembre"},0)+1,0))</f>
        <v/>
      </c>
      <c r="E2917" t="str">
        <f>+IFERROR(VLOOKUP(Fact_Impuestos[[#This Row], [Concepto Anterior]],Conceptos_Impuestos[#All],5,0),"")</f>
        <v/>
      </c>
      <c r="F2917" t="str">
        <f>+IFERROR(VLOOKUP(Fact_Impuestos[[#This Row], 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ht="18.75" customHeight="1" x14ac:dyDescent="0.35">
      <c r="C2918" s="100" t="str">
        <f>IF(OR(Fact_Impuestos[[#This Row], [Año]]="",Fact_Impuestos[[#This Row], [Mes]]=""),"",DATE(A2918,MATCH(B2918,{"enero","febrero","marzo","abril","mayo","junio","julio","agosto","septiembre","octubre","noviembre","diciembre"},0)+1,0))</f>
        <v/>
      </c>
      <c r="E2918" t="str">
        <f>+IFERROR(VLOOKUP(Fact_Impuestos[[#This Row], [Concepto Anterior]],Conceptos_Impuestos[#All],5,0),"")</f>
        <v/>
      </c>
      <c r="F2918" t="str">
        <f>+IFERROR(VLOOKUP(Fact_Impuestos[[#This Row], 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ht="18.75" customHeight="1" x14ac:dyDescent="0.35">
      <c r="C2919" s="100" t="str">
        <f>IF(OR(Fact_Impuestos[[#This Row], [Año]]="",Fact_Impuestos[[#This Row], [Mes]]=""),"",DATE(A2919,MATCH(B2919,{"enero","febrero","marzo","abril","mayo","junio","julio","agosto","septiembre","octubre","noviembre","diciembre"},0)+1,0))</f>
        <v/>
      </c>
      <c r="E2919" t="str">
        <f>+IFERROR(VLOOKUP(Fact_Impuestos[[#This Row], [Concepto Anterior]],Conceptos_Impuestos[#All],5,0),"")</f>
        <v/>
      </c>
      <c r="F2919" t="str">
        <f>+IFERROR(VLOOKUP(Fact_Impuestos[[#This Row], 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ht="18.75" customHeight="1" x14ac:dyDescent="0.35">
      <c r="C2920" s="100" t="str">
        <f>IF(OR(Fact_Impuestos[[#This Row], [Año]]="",Fact_Impuestos[[#This Row], [Mes]]=""),"",DATE(A2920,MATCH(B2920,{"enero","febrero","marzo","abril","mayo","junio","julio","agosto","septiembre","octubre","noviembre","diciembre"},0)+1,0))</f>
        <v/>
      </c>
      <c r="E2920" t="str">
        <f>+IFERROR(VLOOKUP(Fact_Impuestos[[#This Row], [Concepto Anterior]],Conceptos_Impuestos[#All],5,0),"")</f>
        <v/>
      </c>
      <c r="F2920" t="str">
        <f>+IFERROR(VLOOKUP(Fact_Impuestos[[#This Row], 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ht="18.75" customHeight="1" x14ac:dyDescent="0.35">
      <c r="C2921" s="100" t="str">
        <f>IF(OR(Fact_Impuestos[[#This Row], [Año]]="",Fact_Impuestos[[#This Row], [Mes]]=""),"",DATE(A2921,MATCH(B2921,{"enero","febrero","marzo","abril","mayo","junio","julio","agosto","septiembre","octubre","noviembre","diciembre"},0)+1,0))</f>
        <v/>
      </c>
      <c r="E2921" t="str">
        <f>+IFERROR(VLOOKUP(Fact_Impuestos[[#This Row], [Concepto Anterior]],Conceptos_Impuestos[#All],5,0),"")</f>
        <v/>
      </c>
      <c r="F2921" t="str">
        <f>+IFERROR(VLOOKUP(Fact_Impuestos[[#This Row], 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ht="18.75" customHeight="1" x14ac:dyDescent="0.35">
      <c r="C2922" s="100" t="str">
        <f>IF(OR(Fact_Impuestos[[#This Row], [Año]]="",Fact_Impuestos[[#This Row], [Mes]]=""),"",DATE(A2922,MATCH(B2922,{"enero","febrero","marzo","abril","mayo","junio","julio","agosto","septiembre","octubre","noviembre","diciembre"},0)+1,0))</f>
        <v/>
      </c>
      <c r="E2922" t="str">
        <f>+IFERROR(VLOOKUP(Fact_Impuestos[[#This Row], [Concepto Anterior]],Conceptos_Impuestos[#All],5,0),"")</f>
        <v/>
      </c>
      <c r="F2922" t="str">
        <f>+IFERROR(VLOOKUP(Fact_Impuestos[[#This Row], 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ht="18.75" customHeight="1" x14ac:dyDescent="0.35">
      <c r="C2923" s="100" t="str">
        <f>IF(OR(Fact_Impuestos[[#This Row], [Año]]="",Fact_Impuestos[[#This Row], [Mes]]=""),"",DATE(A2923,MATCH(B2923,{"enero","febrero","marzo","abril","mayo","junio","julio","agosto","septiembre","octubre","noviembre","diciembre"},0)+1,0))</f>
        <v/>
      </c>
      <c r="E2923" t="str">
        <f>+IFERROR(VLOOKUP(Fact_Impuestos[[#This Row], [Concepto Anterior]],Conceptos_Impuestos[#All],5,0),"")</f>
        <v/>
      </c>
      <c r="F2923" t="str">
        <f>+IFERROR(VLOOKUP(Fact_Impuestos[[#This Row], 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ht="18.75" customHeight="1" x14ac:dyDescent="0.35">
      <c r="C2924" s="100" t="str">
        <f>IF(OR(Fact_Impuestos[[#This Row], [Año]]="",Fact_Impuestos[[#This Row], [Mes]]=""),"",DATE(A2924,MATCH(B2924,{"enero","febrero","marzo","abril","mayo","junio","julio","agosto","septiembre","octubre","noviembre","diciembre"},0)+1,0))</f>
        <v/>
      </c>
      <c r="E2924" t="str">
        <f>+IFERROR(VLOOKUP(Fact_Impuestos[[#This Row], [Concepto Anterior]],Conceptos_Impuestos[#All],5,0),"")</f>
        <v/>
      </c>
      <c r="F2924" t="str">
        <f>+IFERROR(VLOOKUP(Fact_Impuestos[[#This Row], 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ht="18.75" customHeight="1" x14ac:dyDescent="0.35">
      <c r="C2925" s="100" t="str">
        <f>IF(OR(Fact_Impuestos[[#This Row], [Año]]="",Fact_Impuestos[[#This Row], [Mes]]=""),"",DATE(A2925,MATCH(B2925,{"enero","febrero","marzo","abril","mayo","junio","julio","agosto","septiembre","octubre","noviembre","diciembre"},0)+1,0))</f>
        <v/>
      </c>
      <c r="E2925" t="str">
        <f>+IFERROR(VLOOKUP(Fact_Impuestos[[#This Row], [Concepto Anterior]],Conceptos_Impuestos[#All],5,0),"")</f>
        <v/>
      </c>
      <c r="F2925" t="str">
        <f>+IFERROR(VLOOKUP(Fact_Impuestos[[#This Row], 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ht="18.75" customHeight="1" x14ac:dyDescent="0.35">
      <c r="C2926" s="100" t="str">
        <f>IF(OR(Fact_Impuestos[[#This Row], [Año]]="",Fact_Impuestos[[#This Row], [Mes]]=""),"",DATE(A2926,MATCH(B2926,{"enero","febrero","marzo","abril","mayo","junio","julio","agosto","septiembre","octubre","noviembre","diciembre"},0)+1,0))</f>
        <v/>
      </c>
      <c r="E2926" t="str">
        <f>+IFERROR(VLOOKUP(Fact_Impuestos[[#This Row], [Concepto Anterior]],Conceptos_Impuestos[#All],5,0),"")</f>
        <v/>
      </c>
      <c r="F2926" t="str">
        <f>+IFERROR(VLOOKUP(Fact_Impuestos[[#This Row], 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ht="18.75" customHeight="1" x14ac:dyDescent="0.35">
      <c r="C2927" s="100" t="str">
        <f>IF(OR(Fact_Impuestos[[#This Row], [Año]]="",Fact_Impuestos[[#This Row], [Mes]]=""),"",DATE(A2927,MATCH(B2927,{"enero","febrero","marzo","abril","mayo","junio","julio","agosto","septiembre","octubre","noviembre","diciembre"},0)+1,0))</f>
        <v/>
      </c>
      <c r="E2927" t="str">
        <f>+IFERROR(VLOOKUP(Fact_Impuestos[[#This Row], [Concepto Anterior]],Conceptos_Impuestos[#All],5,0),"")</f>
        <v/>
      </c>
      <c r="F2927" t="str">
        <f>+IFERROR(VLOOKUP(Fact_Impuestos[[#This Row], 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ht="18.75" customHeight="1" x14ac:dyDescent="0.35">
      <c r="C2928" s="100" t="str">
        <f>IF(OR(Fact_Impuestos[[#This Row], [Año]]="",Fact_Impuestos[[#This Row], [Mes]]=""),"",DATE(A2928,MATCH(B2928,{"enero","febrero","marzo","abril","mayo","junio","julio","agosto","septiembre","octubre","noviembre","diciembre"},0)+1,0))</f>
        <v/>
      </c>
      <c r="E2928" t="str">
        <f>+IFERROR(VLOOKUP(Fact_Impuestos[[#This Row], [Concepto Anterior]],Conceptos_Impuestos[#All],5,0),"")</f>
        <v/>
      </c>
      <c r="F2928" t="str">
        <f>+IFERROR(VLOOKUP(Fact_Impuestos[[#This Row], 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ht="18.75" customHeight="1" x14ac:dyDescent="0.35">
      <c r="C2929" s="100" t="str">
        <f>IF(OR(Fact_Impuestos[[#This Row], [Año]]="",Fact_Impuestos[[#This Row], [Mes]]=""),"",DATE(A2929,MATCH(B2929,{"enero","febrero","marzo","abril","mayo","junio","julio","agosto","septiembre","octubre","noviembre","diciembre"},0)+1,0))</f>
        <v/>
      </c>
      <c r="E2929" t="str">
        <f>+IFERROR(VLOOKUP(Fact_Impuestos[[#This Row], [Concepto Anterior]],Conceptos_Impuestos[#All],5,0),"")</f>
        <v/>
      </c>
      <c r="F2929" t="str">
        <f>+IFERROR(VLOOKUP(Fact_Impuestos[[#This Row], 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ht="18.75" customHeight="1" x14ac:dyDescent="0.35">
      <c r="C2930" s="100" t="str">
        <f>IF(OR(Fact_Impuestos[[#This Row], [Año]]="",Fact_Impuestos[[#This Row], [Mes]]=""),"",DATE(A2930,MATCH(B2930,{"enero","febrero","marzo","abril","mayo","junio","julio","agosto","septiembre","octubre","noviembre","diciembre"},0)+1,0))</f>
        <v/>
      </c>
      <c r="E2930" t="str">
        <f>+IFERROR(VLOOKUP(Fact_Impuestos[[#This Row], [Concepto Anterior]],Conceptos_Impuestos[#All],5,0),"")</f>
        <v/>
      </c>
      <c r="F2930" t="str">
        <f>+IFERROR(VLOOKUP(Fact_Impuestos[[#This Row], 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ht="18.75" customHeight="1" x14ac:dyDescent="0.35">
      <c r="C2931" s="100" t="str">
        <f>IF(OR(Fact_Impuestos[[#This Row], [Año]]="",Fact_Impuestos[[#This Row], [Mes]]=""),"",DATE(A2931,MATCH(B2931,{"enero","febrero","marzo","abril","mayo","junio","julio","agosto","septiembre","octubre","noviembre","diciembre"},0)+1,0))</f>
        <v/>
      </c>
      <c r="E2931" t="str">
        <f>+IFERROR(VLOOKUP(Fact_Impuestos[[#This Row], [Concepto Anterior]],Conceptos_Impuestos[#All],5,0),"")</f>
        <v/>
      </c>
      <c r="F2931" t="str">
        <f>+IFERROR(VLOOKUP(Fact_Impuestos[[#This Row], 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ht="18.75" customHeight="1" x14ac:dyDescent="0.35">
      <c r="C2932" s="100" t="str">
        <f>IF(OR(Fact_Impuestos[[#This Row], [Año]]="",Fact_Impuestos[[#This Row], [Mes]]=""),"",DATE(A2932,MATCH(B2932,{"enero","febrero","marzo","abril","mayo","junio","julio","agosto","septiembre","octubre","noviembre","diciembre"},0)+1,0))</f>
        <v/>
      </c>
      <c r="E2932" t="str">
        <f>+IFERROR(VLOOKUP(Fact_Impuestos[[#This Row], [Concepto Anterior]],Conceptos_Impuestos[#All],5,0),"")</f>
        <v/>
      </c>
      <c r="F2932" t="str">
        <f>+IFERROR(VLOOKUP(Fact_Impuestos[[#This Row], 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ht="18.75" customHeight="1" x14ac:dyDescent="0.35">
      <c r="C2933" s="100" t="str">
        <f>IF(OR(Fact_Impuestos[[#This Row], [Año]]="",Fact_Impuestos[[#This Row], [Mes]]=""),"",DATE(A2933,MATCH(B2933,{"enero","febrero","marzo","abril","mayo","junio","julio","agosto","septiembre","octubre","noviembre","diciembre"},0)+1,0))</f>
        <v/>
      </c>
      <c r="E2933" t="str">
        <f>+IFERROR(VLOOKUP(Fact_Impuestos[[#This Row], [Concepto Anterior]],Conceptos_Impuestos[#All],5,0),"")</f>
        <v/>
      </c>
      <c r="F2933" t="str">
        <f>+IFERROR(VLOOKUP(Fact_Impuestos[[#This Row], 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ht="18.75" customHeight="1" x14ac:dyDescent="0.35">
      <c r="C2934" s="100" t="str">
        <f>IF(OR(Fact_Impuestos[[#This Row], [Año]]="",Fact_Impuestos[[#This Row], [Mes]]=""),"",DATE(A2934,MATCH(B2934,{"enero","febrero","marzo","abril","mayo","junio","julio","agosto","septiembre","octubre","noviembre","diciembre"},0)+1,0))</f>
        <v/>
      </c>
      <c r="E2934" t="str">
        <f>+IFERROR(VLOOKUP(Fact_Impuestos[[#This Row], [Concepto Anterior]],Conceptos_Impuestos[#All],5,0),"")</f>
        <v/>
      </c>
      <c r="F2934" t="str">
        <f>+IFERROR(VLOOKUP(Fact_Impuestos[[#This Row], 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ht="18.75" customHeight="1" x14ac:dyDescent="0.35">
      <c r="C2935" s="100" t="str">
        <f>IF(OR(Fact_Impuestos[[#This Row], [Año]]="",Fact_Impuestos[[#This Row], [Mes]]=""),"",DATE(A2935,MATCH(B2935,{"enero","febrero","marzo","abril","mayo","junio","julio","agosto","septiembre","octubre","noviembre","diciembre"},0)+1,0))</f>
        <v/>
      </c>
      <c r="E2935" t="str">
        <f>+IFERROR(VLOOKUP(Fact_Impuestos[[#This Row], [Concepto Anterior]],Conceptos_Impuestos[#All],5,0),"")</f>
        <v/>
      </c>
      <c r="F2935" t="str">
        <f>+IFERROR(VLOOKUP(Fact_Impuestos[[#This Row], 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ht="18.75" customHeight="1" x14ac:dyDescent="0.35">
      <c r="C2936" s="100" t="str">
        <f>IF(OR(Fact_Impuestos[[#This Row], [Año]]="",Fact_Impuestos[[#This Row], [Mes]]=""),"",DATE(A2936,MATCH(B2936,{"enero","febrero","marzo","abril","mayo","junio","julio","agosto","septiembre","octubre","noviembre","diciembre"},0)+1,0))</f>
        <v/>
      </c>
      <c r="E2936" t="str">
        <f>+IFERROR(VLOOKUP(Fact_Impuestos[[#This Row], [Concepto Anterior]],Conceptos_Impuestos[#All],5,0),"")</f>
        <v/>
      </c>
      <c r="F2936" t="str">
        <f>+IFERROR(VLOOKUP(Fact_Impuestos[[#This Row], 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ht="18.75" customHeight="1" x14ac:dyDescent="0.35">
      <c r="C2937" s="100" t="str">
        <f>IF(OR(Fact_Impuestos[[#This Row], [Año]]="",Fact_Impuestos[[#This Row], [Mes]]=""),"",DATE(A2937,MATCH(B2937,{"enero","febrero","marzo","abril","mayo","junio","julio","agosto","septiembre","octubre","noviembre","diciembre"},0)+1,0))</f>
        <v/>
      </c>
      <c r="E2937" t="str">
        <f>+IFERROR(VLOOKUP(Fact_Impuestos[[#This Row], [Concepto Anterior]],Conceptos_Impuestos[#All],5,0),"")</f>
        <v/>
      </c>
      <c r="F2937" t="str">
        <f>+IFERROR(VLOOKUP(Fact_Impuestos[[#This Row], 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ht="18.75" customHeight="1" x14ac:dyDescent="0.35">
      <c r="C2938" s="100" t="str">
        <f>IF(OR(Fact_Impuestos[[#This Row], [Año]]="",Fact_Impuestos[[#This Row], [Mes]]=""),"",DATE(A2938,MATCH(B2938,{"enero","febrero","marzo","abril","mayo","junio","julio","agosto","septiembre","octubre","noviembre","diciembre"},0)+1,0))</f>
        <v/>
      </c>
      <c r="E2938" t="str">
        <f>+IFERROR(VLOOKUP(Fact_Impuestos[[#This Row], [Concepto Anterior]],Conceptos_Impuestos[#All],5,0),"")</f>
        <v/>
      </c>
      <c r="F2938" t="str">
        <f>+IFERROR(VLOOKUP(Fact_Impuestos[[#This Row], 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ht="18.75" customHeight="1" x14ac:dyDescent="0.35">
      <c r="C2939" s="100" t="str">
        <f>IF(OR(Fact_Impuestos[[#This Row], [Año]]="",Fact_Impuestos[[#This Row], [Mes]]=""),"",DATE(A2939,MATCH(B2939,{"enero","febrero","marzo","abril","mayo","junio","julio","agosto","septiembre","octubre","noviembre","diciembre"},0)+1,0))</f>
        <v/>
      </c>
      <c r="E2939" t="str">
        <f>+IFERROR(VLOOKUP(Fact_Impuestos[[#This Row], [Concepto Anterior]],Conceptos_Impuestos[#All],5,0),"")</f>
        <v/>
      </c>
      <c r="F2939" t="str">
        <f>+IFERROR(VLOOKUP(Fact_Impuestos[[#This Row], 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ht="18.75" customHeight="1" x14ac:dyDescent="0.35">
      <c r="C2940" s="100" t="str">
        <f>IF(OR(Fact_Impuestos[[#This Row], [Año]]="",Fact_Impuestos[[#This Row], [Mes]]=""),"",DATE(A2940,MATCH(B2940,{"enero","febrero","marzo","abril","mayo","junio","julio","agosto","septiembre","octubre","noviembre","diciembre"},0)+1,0))</f>
        <v/>
      </c>
      <c r="E2940" t="str">
        <f>+IFERROR(VLOOKUP(Fact_Impuestos[[#This Row], [Concepto Anterior]],Conceptos_Impuestos[#All],5,0),"")</f>
        <v/>
      </c>
      <c r="F2940" t="str">
        <f>+IFERROR(VLOOKUP(Fact_Impuestos[[#This Row], 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ht="18.75" customHeight="1" x14ac:dyDescent="0.35">
      <c r="C2941" s="100" t="str">
        <f>IF(OR(Fact_Impuestos[[#This Row], [Año]]="",Fact_Impuestos[[#This Row], [Mes]]=""),"",DATE(A2941,MATCH(B2941,{"enero","febrero","marzo","abril","mayo","junio","julio","agosto","septiembre","octubre","noviembre","diciembre"},0)+1,0))</f>
        <v/>
      </c>
      <c r="E2941" t="str">
        <f>+IFERROR(VLOOKUP(Fact_Impuestos[[#This Row], [Concepto Anterior]],Conceptos_Impuestos[#All],5,0),"")</f>
        <v/>
      </c>
      <c r="F2941" t="str">
        <f>+IFERROR(VLOOKUP(Fact_Impuestos[[#This Row], 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ht="18.75" customHeight="1" x14ac:dyDescent="0.35">
      <c r="C2942" s="100" t="str">
        <f>IF(OR(Fact_Impuestos[[#This Row], [Año]]="",Fact_Impuestos[[#This Row], [Mes]]=""),"",DATE(A2942,MATCH(B2942,{"enero","febrero","marzo","abril","mayo","junio","julio","agosto","septiembre","octubre","noviembre","diciembre"},0)+1,0))</f>
        <v/>
      </c>
      <c r="E2942" t="str">
        <f>+IFERROR(VLOOKUP(Fact_Impuestos[[#This Row], [Concepto Anterior]],Conceptos_Impuestos[#All],5,0),"")</f>
        <v/>
      </c>
      <c r="F2942" t="str">
        <f>+IFERROR(VLOOKUP(Fact_Impuestos[[#This Row], 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ht="18.75" customHeight="1" x14ac:dyDescent="0.35">
      <c r="C2943" s="100" t="str">
        <f>IF(OR(Fact_Impuestos[[#This Row], [Año]]="",Fact_Impuestos[[#This Row], [Mes]]=""),"",DATE(A2943,MATCH(B2943,{"enero","febrero","marzo","abril","mayo","junio","julio","agosto","septiembre","octubre","noviembre","diciembre"},0)+1,0))</f>
        <v/>
      </c>
      <c r="E2943" t="str">
        <f>+IFERROR(VLOOKUP(Fact_Impuestos[[#This Row], [Concepto Anterior]],Conceptos_Impuestos[#All],5,0),"")</f>
        <v/>
      </c>
      <c r="F2943" t="str">
        <f>+IFERROR(VLOOKUP(Fact_Impuestos[[#This Row], 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ht="18.75" customHeight="1" x14ac:dyDescent="0.35">
      <c r="C2944" s="100" t="str">
        <f>IF(OR(Fact_Impuestos[[#This Row], [Año]]="",Fact_Impuestos[[#This Row], [Mes]]=""),"",DATE(A2944,MATCH(B2944,{"enero","febrero","marzo","abril","mayo","junio","julio","agosto","septiembre","octubre","noviembre","diciembre"},0)+1,0))</f>
        <v/>
      </c>
      <c r="E2944" t="str">
        <f>+IFERROR(VLOOKUP(Fact_Impuestos[[#This Row], [Concepto Anterior]],Conceptos_Impuestos[#All],5,0),"")</f>
        <v/>
      </c>
      <c r="F2944" t="str">
        <f>+IFERROR(VLOOKUP(Fact_Impuestos[[#This Row], 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ht="18.75" customHeight="1" x14ac:dyDescent="0.35">
      <c r="C2945" s="100" t="str">
        <f>IF(OR(Fact_Impuestos[[#This Row], [Año]]="",Fact_Impuestos[[#This Row], [Mes]]=""),"",DATE(A2945,MATCH(B2945,{"enero","febrero","marzo","abril","mayo","junio","julio","agosto","septiembre","octubre","noviembre","diciembre"},0)+1,0))</f>
        <v/>
      </c>
      <c r="E2945" t="str">
        <f>+IFERROR(VLOOKUP(Fact_Impuestos[[#This Row], [Concepto Anterior]],Conceptos_Impuestos[#All],5,0),"")</f>
        <v/>
      </c>
      <c r="F2945" t="str">
        <f>+IFERROR(VLOOKUP(Fact_Impuestos[[#This Row], 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ht="18.75" customHeight="1" x14ac:dyDescent="0.35">
      <c r="C2946" s="100" t="str">
        <f>IF(OR(Fact_Impuestos[[#This Row], [Año]]="",Fact_Impuestos[[#This Row], [Mes]]=""),"",DATE(A2946,MATCH(B2946,{"enero","febrero","marzo","abril","mayo","junio","julio","agosto","septiembre","octubre","noviembre","diciembre"},0)+1,0))</f>
        <v/>
      </c>
      <c r="E2946" t="str">
        <f>+IFERROR(VLOOKUP(Fact_Impuestos[[#This Row], [Concepto Anterior]],Conceptos_Impuestos[#All],5,0),"")</f>
        <v/>
      </c>
      <c r="F2946" t="str">
        <f>+IFERROR(VLOOKUP(Fact_Impuestos[[#This Row], 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ht="18.75" customHeight="1" x14ac:dyDescent="0.35">
      <c r="C2947" s="100" t="str">
        <f>IF(OR(Fact_Impuestos[[#This Row], [Año]]="",Fact_Impuestos[[#This Row], [Mes]]=""),"",DATE(A2947,MATCH(B2947,{"enero","febrero","marzo","abril","mayo","junio","julio","agosto","septiembre","octubre","noviembre","diciembre"},0)+1,0))</f>
        <v/>
      </c>
      <c r="E2947" t="str">
        <f>+IFERROR(VLOOKUP(Fact_Impuestos[[#This Row], [Concepto Anterior]],Conceptos_Impuestos[#All],5,0),"")</f>
        <v/>
      </c>
      <c r="F2947" t="str">
        <f>+IFERROR(VLOOKUP(Fact_Impuestos[[#This Row], 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ht="18.75" customHeight="1" x14ac:dyDescent="0.35">
      <c r="C2948" s="100" t="str">
        <f>IF(OR(Fact_Impuestos[[#This Row], [Año]]="",Fact_Impuestos[[#This Row], [Mes]]=""),"",DATE(A2948,MATCH(B2948,{"enero","febrero","marzo","abril","mayo","junio","julio","agosto","septiembre","octubre","noviembre","diciembre"},0)+1,0))</f>
        <v/>
      </c>
      <c r="E2948" t="str">
        <f>+IFERROR(VLOOKUP(Fact_Impuestos[[#This Row], [Concepto Anterior]],Conceptos_Impuestos[#All],5,0),"")</f>
        <v/>
      </c>
      <c r="F2948" t="str">
        <f>+IFERROR(VLOOKUP(Fact_Impuestos[[#This Row], 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ht="18.75" customHeight="1" x14ac:dyDescent="0.35">
      <c r="C2949" s="100" t="str">
        <f>IF(OR(Fact_Impuestos[[#This Row], [Año]]="",Fact_Impuestos[[#This Row], [Mes]]=""),"",DATE(A2949,MATCH(B2949,{"enero","febrero","marzo","abril","mayo","junio","julio","agosto","septiembre","octubre","noviembre","diciembre"},0)+1,0))</f>
        <v/>
      </c>
      <c r="E2949" t="str">
        <f>+IFERROR(VLOOKUP(Fact_Impuestos[[#This Row], [Concepto Anterior]],Conceptos_Impuestos[#All],5,0),"")</f>
        <v/>
      </c>
      <c r="F2949" t="str">
        <f>+IFERROR(VLOOKUP(Fact_Impuestos[[#This Row], 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ht="18.75" customHeight="1" x14ac:dyDescent="0.35">
      <c r="C2950" s="100" t="str">
        <f>IF(OR(Fact_Impuestos[[#This Row], [Año]]="",Fact_Impuestos[[#This Row], [Mes]]=""),"",DATE(A2950,MATCH(B2950,{"enero","febrero","marzo","abril","mayo","junio","julio","agosto","septiembre","octubre","noviembre","diciembre"},0)+1,0))</f>
        <v/>
      </c>
      <c r="E2950" t="str">
        <f>+IFERROR(VLOOKUP(Fact_Impuestos[[#This Row], [Concepto Anterior]],Conceptos_Impuestos[#All],5,0),"")</f>
        <v/>
      </c>
      <c r="F2950" t="str">
        <f>+IFERROR(VLOOKUP(Fact_Impuestos[[#This Row], 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ht="18.75" customHeight="1" x14ac:dyDescent="0.35">
      <c r="C2951" s="100" t="str">
        <f>IF(OR(Fact_Impuestos[[#This Row], [Año]]="",Fact_Impuestos[[#This Row], [Mes]]=""),"",DATE(A2951,MATCH(B2951,{"enero","febrero","marzo","abril","mayo","junio","julio","agosto","septiembre","octubre","noviembre","diciembre"},0)+1,0))</f>
        <v/>
      </c>
      <c r="E2951" t="str">
        <f>+IFERROR(VLOOKUP(Fact_Impuestos[[#This Row], [Concepto Anterior]],Conceptos_Impuestos[#All],5,0),"")</f>
        <v/>
      </c>
      <c r="F2951" t="str">
        <f>+IFERROR(VLOOKUP(Fact_Impuestos[[#This Row], 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ht="18.75" customHeight="1" x14ac:dyDescent="0.35">
      <c r="C2952" s="100" t="str">
        <f>IF(OR(Fact_Impuestos[[#This Row], [Año]]="",Fact_Impuestos[[#This Row], [Mes]]=""),"",DATE(A2952,MATCH(B2952,{"enero","febrero","marzo","abril","mayo","junio","julio","agosto","septiembre","octubre","noviembre","diciembre"},0)+1,0))</f>
        <v/>
      </c>
      <c r="E2952" t="str">
        <f>+IFERROR(VLOOKUP(Fact_Impuestos[[#This Row], [Concepto Anterior]],Conceptos_Impuestos[#All],5,0),"")</f>
        <v/>
      </c>
      <c r="F2952" t="str">
        <f>+IFERROR(VLOOKUP(Fact_Impuestos[[#This Row], 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ht="18.75" customHeight="1" x14ac:dyDescent="0.35">
      <c r="C2953" s="100" t="str">
        <f>IF(OR(Fact_Impuestos[[#This Row], [Año]]="",Fact_Impuestos[[#This Row], [Mes]]=""),"",DATE(A2953,MATCH(B2953,{"enero","febrero","marzo","abril","mayo","junio","julio","agosto","septiembre","octubre","noviembre","diciembre"},0)+1,0))</f>
        <v/>
      </c>
      <c r="E2953" t="str">
        <f>+IFERROR(VLOOKUP(Fact_Impuestos[[#This Row], [Concepto Anterior]],Conceptos_Impuestos[#All],5,0),"")</f>
        <v/>
      </c>
      <c r="F2953" t="str">
        <f>+IFERROR(VLOOKUP(Fact_Impuestos[[#This Row], 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ht="18.75" customHeight="1" x14ac:dyDescent="0.35">
      <c r="C2954" s="100" t="str">
        <f>IF(OR(Fact_Impuestos[[#This Row], [Año]]="",Fact_Impuestos[[#This Row], [Mes]]=""),"",DATE(A2954,MATCH(B2954,{"enero","febrero","marzo","abril","mayo","junio","julio","agosto","septiembre","octubre","noviembre","diciembre"},0)+1,0))</f>
        <v/>
      </c>
      <c r="E2954" t="str">
        <f>+IFERROR(VLOOKUP(Fact_Impuestos[[#This Row], [Concepto Anterior]],Conceptos_Impuestos[#All],5,0),"")</f>
        <v/>
      </c>
      <c r="F2954" t="str">
        <f>+IFERROR(VLOOKUP(Fact_Impuestos[[#This Row], 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ht="18.75" customHeight="1" x14ac:dyDescent="0.35">
      <c r="C2955" s="100" t="str">
        <f>IF(OR(Fact_Impuestos[[#This Row], [Año]]="",Fact_Impuestos[[#This Row], [Mes]]=""),"",DATE(A2955,MATCH(B2955,{"enero","febrero","marzo","abril","mayo","junio","julio","agosto","septiembre","octubre","noviembre","diciembre"},0)+1,0))</f>
        <v/>
      </c>
      <c r="E2955" t="str">
        <f>+IFERROR(VLOOKUP(Fact_Impuestos[[#This Row], [Concepto Anterior]],Conceptos_Impuestos[#All],5,0),"")</f>
        <v/>
      </c>
      <c r="F2955" t="str">
        <f>+IFERROR(VLOOKUP(Fact_Impuestos[[#This Row], 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ht="18.75" customHeight="1" x14ac:dyDescent="0.35">
      <c r="C2956" s="100" t="str">
        <f>IF(OR(Fact_Impuestos[[#This Row], [Año]]="",Fact_Impuestos[[#This Row], [Mes]]=""),"",DATE(A2956,MATCH(B2956,{"enero","febrero","marzo","abril","mayo","junio","julio","agosto","septiembre","octubre","noviembre","diciembre"},0)+1,0))</f>
        <v/>
      </c>
      <c r="E2956" t="str">
        <f>+IFERROR(VLOOKUP(Fact_Impuestos[[#This Row], [Concepto Anterior]],Conceptos_Impuestos[#All],5,0),"")</f>
        <v/>
      </c>
      <c r="F2956" t="str">
        <f>+IFERROR(VLOOKUP(Fact_Impuestos[[#This Row], 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ht="18.75" customHeight="1" x14ac:dyDescent="0.35">
      <c r="C2957" s="100" t="str">
        <f>IF(OR(Fact_Impuestos[[#This Row], [Año]]="",Fact_Impuestos[[#This Row], [Mes]]=""),"",DATE(A2957,MATCH(B2957,{"enero","febrero","marzo","abril","mayo","junio","julio","agosto","septiembre","octubre","noviembre","diciembre"},0)+1,0))</f>
        <v/>
      </c>
      <c r="E2957" t="str">
        <f>+IFERROR(VLOOKUP(Fact_Impuestos[[#This Row], [Concepto Anterior]],Conceptos_Impuestos[#All],5,0),"")</f>
        <v/>
      </c>
      <c r="F2957" t="str">
        <f>+IFERROR(VLOOKUP(Fact_Impuestos[[#This Row], 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ht="18.75" customHeight="1" x14ac:dyDescent="0.35">
      <c r="C2958" s="100" t="str">
        <f>IF(OR(Fact_Impuestos[[#This Row], [Año]]="",Fact_Impuestos[[#This Row], [Mes]]=""),"",DATE(A2958,MATCH(B2958,{"enero","febrero","marzo","abril","mayo","junio","julio","agosto","septiembre","octubre","noviembre","diciembre"},0)+1,0))</f>
        <v/>
      </c>
      <c r="E2958" t="str">
        <f>+IFERROR(VLOOKUP(Fact_Impuestos[[#This Row], [Concepto Anterior]],Conceptos_Impuestos[#All],5,0),"")</f>
        <v/>
      </c>
      <c r="F2958" t="str">
        <f>+IFERROR(VLOOKUP(Fact_Impuestos[[#This Row], 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ht="18.75" customHeight="1" x14ac:dyDescent="0.35">
      <c r="C2959" s="100" t="str">
        <f>IF(OR(Fact_Impuestos[[#This Row], [Año]]="",Fact_Impuestos[[#This Row], [Mes]]=""),"",DATE(A2959,MATCH(B2959,{"enero","febrero","marzo","abril","mayo","junio","julio","agosto","septiembre","octubre","noviembre","diciembre"},0)+1,0))</f>
        <v/>
      </c>
      <c r="E2959" t="str">
        <f>+IFERROR(VLOOKUP(Fact_Impuestos[[#This Row], [Concepto Anterior]],Conceptos_Impuestos[#All],5,0),"")</f>
        <v/>
      </c>
      <c r="F2959" t="str">
        <f>+IFERROR(VLOOKUP(Fact_Impuestos[[#This Row], 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ht="18.75" customHeight="1" x14ac:dyDescent="0.35">
      <c r="C2960" s="100" t="str">
        <f>IF(OR(Fact_Impuestos[[#This Row], [Año]]="",Fact_Impuestos[[#This Row], [Mes]]=""),"",DATE(A2960,MATCH(B2960,{"enero","febrero","marzo","abril","mayo","junio","julio","agosto","septiembre","octubre","noviembre","diciembre"},0)+1,0))</f>
        <v/>
      </c>
      <c r="E2960" t="str">
        <f>+IFERROR(VLOOKUP(Fact_Impuestos[[#This Row], [Concepto Anterior]],Conceptos_Impuestos[#All],5,0),"")</f>
        <v/>
      </c>
      <c r="F2960" t="str">
        <f>+IFERROR(VLOOKUP(Fact_Impuestos[[#This Row], 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ht="18.75" customHeight="1" x14ac:dyDescent="0.35">
      <c r="C2961" s="100" t="str">
        <f>IF(OR(Fact_Impuestos[[#This Row], [Año]]="",Fact_Impuestos[[#This Row], [Mes]]=""),"",DATE(A2961,MATCH(B2961,{"enero","febrero","marzo","abril","mayo","junio","julio","agosto","septiembre","octubre","noviembre","diciembre"},0)+1,0))</f>
        <v/>
      </c>
      <c r="E2961" t="str">
        <f>+IFERROR(VLOOKUP(Fact_Impuestos[[#This Row], [Concepto Anterior]],Conceptos_Impuestos[#All],5,0),"")</f>
        <v/>
      </c>
      <c r="F2961" t="str">
        <f>+IFERROR(VLOOKUP(Fact_Impuestos[[#This Row], 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ht="18.75" customHeight="1" x14ac:dyDescent="0.35">
      <c r="C2962" s="100" t="str">
        <f>IF(OR(Fact_Impuestos[[#This Row], [Año]]="",Fact_Impuestos[[#This Row], [Mes]]=""),"",DATE(A2962,MATCH(B2962,{"enero","febrero","marzo","abril","mayo","junio","julio","agosto","septiembre","octubre","noviembre","diciembre"},0)+1,0))</f>
        <v/>
      </c>
      <c r="E2962" t="str">
        <f>+IFERROR(VLOOKUP(Fact_Impuestos[[#This Row], [Concepto Anterior]],Conceptos_Impuestos[#All],5,0),"")</f>
        <v/>
      </c>
      <c r="F2962" t="str">
        <f>+IFERROR(VLOOKUP(Fact_Impuestos[[#This Row], 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ht="18.75" customHeight="1" x14ac:dyDescent="0.35">
      <c r="C2963" s="100" t="str">
        <f>IF(OR(Fact_Impuestos[[#This Row], [Año]]="",Fact_Impuestos[[#This Row], [Mes]]=""),"",DATE(A2963,MATCH(B2963,{"enero","febrero","marzo","abril","mayo","junio","julio","agosto","septiembre","octubre","noviembre","diciembre"},0)+1,0))</f>
        <v/>
      </c>
      <c r="E2963" t="str">
        <f>+IFERROR(VLOOKUP(Fact_Impuestos[[#This Row], [Concepto Anterior]],Conceptos_Impuestos[#All],5,0),"")</f>
        <v/>
      </c>
      <c r="F2963" t="str">
        <f>+IFERROR(VLOOKUP(Fact_Impuestos[[#This Row], 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ht="18.75" customHeight="1" x14ac:dyDescent="0.35">
      <c r="C2964" s="100" t="str">
        <f>IF(OR(Fact_Impuestos[[#This Row], [Año]]="",Fact_Impuestos[[#This Row], [Mes]]=""),"",DATE(A2964,MATCH(B2964,{"enero","febrero","marzo","abril","mayo","junio","julio","agosto","septiembre","octubre","noviembre","diciembre"},0)+1,0))</f>
        <v/>
      </c>
      <c r="E2964" t="str">
        <f>+IFERROR(VLOOKUP(Fact_Impuestos[[#This Row], [Concepto Anterior]],Conceptos_Impuestos[#All],5,0),"")</f>
        <v/>
      </c>
      <c r="F2964" t="str">
        <f>+IFERROR(VLOOKUP(Fact_Impuestos[[#This Row], 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ht="18.75" customHeight="1" x14ac:dyDescent="0.35">
      <c r="C2965" s="100" t="str">
        <f>IF(OR(Fact_Impuestos[[#This Row], [Año]]="",Fact_Impuestos[[#This Row], [Mes]]=""),"",DATE(A2965,MATCH(B2965,{"enero","febrero","marzo","abril","mayo","junio","julio","agosto","septiembre","octubre","noviembre","diciembre"},0)+1,0))</f>
        <v/>
      </c>
      <c r="E2965" t="str">
        <f>+IFERROR(VLOOKUP(Fact_Impuestos[[#This Row], [Concepto Anterior]],Conceptos_Impuestos[#All],5,0),"")</f>
        <v/>
      </c>
      <c r="F2965" t="str">
        <f>+IFERROR(VLOOKUP(Fact_Impuestos[[#This Row], 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ht="18.75" customHeight="1" x14ac:dyDescent="0.35">
      <c r="C2966" s="100" t="str">
        <f>IF(OR(Fact_Impuestos[[#This Row], [Año]]="",Fact_Impuestos[[#This Row], [Mes]]=""),"",DATE(A2966,MATCH(B2966,{"enero","febrero","marzo","abril","mayo","junio","julio","agosto","septiembre","octubre","noviembre","diciembre"},0)+1,0))</f>
        <v/>
      </c>
      <c r="E2966" t="str">
        <f>+IFERROR(VLOOKUP(Fact_Impuestos[[#This Row], [Concepto Anterior]],Conceptos_Impuestos[#All],5,0),"")</f>
        <v/>
      </c>
      <c r="F2966" t="str">
        <f>+IFERROR(VLOOKUP(Fact_Impuestos[[#This Row], 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ht="18.75" customHeight="1" x14ac:dyDescent="0.35">
      <c r="C2967" s="100" t="str">
        <f>IF(OR(Fact_Impuestos[[#This Row], [Año]]="",Fact_Impuestos[[#This Row], [Mes]]=""),"",DATE(A2967,MATCH(B2967,{"enero","febrero","marzo","abril","mayo","junio","julio","agosto","septiembre","octubre","noviembre","diciembre"},0)+1,0))</f>
        <v/>
      </c>
      <c r="E2967" t="str">
        <f>+IFERROR(VLOOKUP(Fact_Impuestos[[#This Row], [Concepto Anterior]],Conceptos_Impuestos[#All],5,0),"")</f>
        <v/>
      </c>
      <c r="F2967" t="str">
        <f>+IFERROR(VLOOKUP(Fact_Impuestos[[#This Row], 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ht="18.75" customHeight="1" x14ac:dyDescent="0.35">
      <c r="C2968" s="100" t="str">
        <f>IF(OR(Fact_Impuestos[[#This Row], [Año]]="",Fact_Impuestos[[#This Row], [Mes]]=""),"",DATE(A2968,MATCH(B2968,{"enero","febrero","marzo","abril","mayo","junio","julio","agosto","septiembre","octubre","noviembre","diciembre"},0)+1,0))</f>
        <v/>
      </c>
      <c r="E2968" t="str">
        <f>+IFERROR(VLOOKUP(Fact_Impuestos[[#This Row], [Concepto Anterior]],Conceptos_Impuestos[#All],5,0),"")</f>
        <v/>
      </c>
      <c r="F2968" t="str">
        <f>+IFERROR(VLOOKUP(Fact_Impuestos[[#This Row], 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ht="18.75" customHeight="1" x14ac:dyDescent="0.35">
      <c r="C2969" s="100" t="str">
        <f>IF(OR(Fact_Impuestos[[#This Row], [Año]]="",Fact_Impuestos[[#This Row], [Mes]]=""),"",DATE(A2969,MATCH(B2969,{"enero","febrero","marzo","abril","mayo","junio","julio","agosto","septiembre","octubre","noviembre","diciembre"},0)+1,0))</f>
        <v/>
      </c>
      <c r="E2969" t="str">
        <f>+IFERROR(VLOOKUP(Fact_Impuestos[[#This Row], [Concepto Anterior]],Conceptos_Impuestos[#All],5,0),"")</f>
        <v/>
      </c>
      <c r="F2969" t="str">
        <f>+IFERROR(VLOOKUP(Fact_Impuestos[[#This Row], 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ht="18.75" customHeight="1" x14ac:dyDescent="0.35">
      <c r="C2970" s="100" t="str">
        <f>IF(OR(Fact_Impuestos[[#This Row], [Año]]="",Fact_Impuestos[[#This Row], [Mes]]=""),"",DATE(A2970,MATCH(B2970,{"enero","febrero","marzo","abril","mayo","junio","julio","agosto","septiembre","octubre","noviembre","diciembre"},0)+1,0))</f>
        <v/>
      </c>
      <c r="E2970" t="str">
        <f>+IFERROR(VLOOKUP(Fact_Impuestos[[#This Row], [Concepto Anterior]],Conceptos_Impuestos[#All],5,0),"")</f>
        <v/>
      </c>
      <c r="F2970" t="str">
        <f>+IFERROR(VLOOKUP(Fact_Impuestos[[#This Row], 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ht="18.75" customHeight="1" x14ac:dyDescent="0.35">
      <c r="C2971" s="100" t="str">
        <f>IF(OR(Fact_Impuestos[[#This Row], [Año]]="",Fact_Impuestos[[#This Row], [Mes]]=""),"",DATE(A2971,MATCH(B2971,{"enero","febrero","marzo","abril","mayo","junio","julio","agosto","septiembre","octubre","noviembre","diciembre"},0)+1,0))</f>
        <v/>
      </c>
      <c r="E2971" t="str">
        <f>+IFERROR(VLOOKUP(Fact_Impuestos[[#This Row], [Concepto Anterior]],Conceptos_Impuestos[#All],5,0),"")</f>
        <v/>
      </c>
      <c r="F2971" t="str">
        <f>+IFERROR(VLOOKUP(Fact_Impuestos[[#This Row], 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ht="18.75" customHeight="1" x14ac:dyDescent="0.35">
      <c r="C2972" s="100" t="str">
        <f>IF(OR(Fact_Impuestos[[#This Row], [Año]]="",Fact_Impuestos[[#This Row], [Mes]]=""),"",DATE(A2972,MATCH(B2972,{"enero","febrero","marzo","abril","mayo","junio","julio","agosto","septiembre","octubre","noviembre","diciembre"},0)+1,0))</f>
        <v/>
      </c>
      <c r="E2972" t="str">
        <f>+IFERROR(VLOOKUP(Fact_Impuestos[[#This Row], [Concepto Anterior]],Conceptos_Impuestos[#All],5,0),"")</f>
        <v/>
      </c>
      <c r="F2972" t="str">
        <f>+IFERROR(VLOOKUP(Fact_Impuestos[[#This Row], 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ht="18.75" customHeight="1" x14ac:dyDescent="0.35">
      <c r="C2973" s="100" t="str">
        <f>IF(OR(Fact_Impuestos[[#This Row], [Año]]="",Fact_Impuestos[[#This Row], [Mes]]=""),"",DATE(A2973,MATCH(B2973,{"enero","febrero","marzo","abril","mayo","junio","julio","agosto","septiembre","octubre","noviembre","diciembre"},0)+1,0))</f>
        <v/>
      </c>
      <c r="E2973" t="str">
        <f>+IFERROR(VLOOKUP(Fact_Impuestos[[#This Row], [Concepto Anterior]],Conceptos_Impuestos[#All],5,0),"")</f>
        <v/>
      </c>
      <c r="F2973" t="str">
        <f>+IFERROR(VLOOKUP(Fact_Impuestos[[#This Row], 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ht="18.75" customHeight="1" x14ac:dyDescent="0.35">
      <c r="C2974" s="100" t="str">
        <f>IF(OR(Fact_Impuestos[[#This Row], [Año]]="",Fact_Impuestos[[#This Row], [Mes]]=""),"",DATE(A2974,MATCH(B2974,{"enero","febrero","marzo","abril","mayo","junio","julio","agosto","septiembre","octubre","noviembre","diciembre"},0)+1,0))</f>
        <v/>
      </c>
      <c r="E2974" t="str">
        <f>+IFERROR(VLOOKUP(Fact_Impuestos[[#This Row], [Concepto Anterior]],Conceptos_Impuestos[#All],5,0),"")</f>
        <v/>
      </c>
      <c r="F2974" t="str">
        <f>+IFERROR(VLOOKUP(Fact_Impuestos[[#This Row], 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ht="18.75" customHeight="1" x14ac:dyDescent="0.35">
      <c r="C2975" s="100" t="str">
        <f>IF(OR(Fact_Impuestos[[#This Row], [Año]]="",Fact_Impuestos[[#This Row], [Mes]]=""),"",DATE(A2975,MATCH(B2975,{"enero","febrero","marzo","abril","mayo","junio","julio","agosto","septiembre","octubre","noviembre","diciembre"},0)+1,0))</f>
        <v/>
      </c>
      <c r="E2975" t="str">
        <f>+IFERROR(VLOOKUP(Fact_Impuestos[[#This Row], [Concepto Anterior]],Conceptos_Impuestos[#All],5,0),"")</f>
        <v/>
      </c>
      <c r="F2975" t="str">
        <f>+IFERROR(VLOOKUP(Fact_Impuestos[[#This Row], 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ht="18.75" customHeight="1" x14ac:dyDescent="0.35">
      <c r="C2976" s="100" t="str">
        <f>IF(OR(Fact_Impuestos[[#This Row], [Año]]="",Fact_Impuestos[[#This Row], [Mes]]=""),"",DATE(A2976,MATCH(B2976,{"enero","febrero","marzo","abril","mayo","junio","julio","agosto","septiembre","octubre","noviembre","diciembre"},0)+1,0))</f>
        <v/>
      </c>
      <c r="E2976" t="str">
        <f>+IFERROR(VLOOKUP(Fact_Impuestos[[#This Row], [Concepto Anterior]],Conceptos_Impuestos[#All],5,0),"")</f>
        <v/>
      </c>
      <c r="F2976" t="str">
        <f>+IFERROR(VLOOKUP(Fact_Impuestos[[#This Row], 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ht="18.75" customHeight="1" x14ac:dyDescent="0.35">
      <c r="C2977" s="100" t="str">
        <f>IF(OR(Fact_Impuestos[[#This Row], [Año]]="",Fact_Impuestos[[#This Row], [Mes]]=""),"",DATE(A2977,MATCH(B2977,{"enero","febrero","marzo","abril","mayo","junio","julio","agosto","septiembre","octubre","noviembre","diciembre"},0)+1,0))</f>
        <v/>
      </c>
      <c r="E2977" t="str">
        <f>+IFERROR(VLOOKUP(Fact_Impuestos[[#This Row], [Concepto Anterior]],Conceptos_Impuestos[#All],5,0),"")</f>
        <v/>
      </c>
      <c r="F2977" t="str">
        <f>+IFERROR(VLOOKUP(Fact_Impuestos[[#This Row], 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ht="18.75" customHeight="1" x14ac:dyDescent="0.35">
      <c r="C2978" s="100" t="str">
        <f>IF(OR(Fact_Impuestos[[#This Row], [Año]]="",Fact_Impuestos[[#This Row], [Mes]]=""),"",DATE(A2978,MATCH(B2978,{"enero","febrero","marzo","abril","mayo","junio","julio","agosto","septiembre","octubre","noviembre","diciembre"},0)+1,0))</f>
        <v/>
      </c>
      <c r="E2978" t="str">
        <f>+IFERROR(VLOOKUP(Fact_Impuestos[[#This Row], [Concepto Anterior]],Conceptos_Impuestos[#All],5,0),"")</f>
        <v/>
      </c>
      <c r="F2978" t="str">
        <f>+IFERROR(VLOOKUP(Fact_Impuestos[[#This Row], 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ht="18.75" customHeight="1" x14ac:dyDescent="0.35">
      <c r="C2979" s="100" t="str">
        <f>IF(OR(Fact_Impuestos[[#This Row], [Año]]="",Fact_Impuestos[[#This Row], [Mes]]=""),"",DATE(A2979,MATCH(B2979,{"enero","febrero","marzo","abril","mayo","junio","julio","agosto","septiembre","octubre","noviembre","diciembre"},0)+1,0))</f>
        <v/>
      </c>
      <c r="E2979" t="str">
        <f>+IFERROR(VLOOKUP(Fact_Impuestos[[#This Row], [Concepto Anterior]],Conceptos_Impuestos[#All],5,0),"")</f>
        <v/>
      </c>
      <c r="F2979" t="str">
        <f>+IFERROR(VLOOKUP(Fact_Impuestos[[#This Row], 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ht="18.75" customHeight="1" x14ac:dyDescent="0.35">
      <c r="C2980" s="100" t="str">
        <f>IF(OR(Fact_Impuestos[[#This Row], [Año]]="",Fact_Impuestos[[#This Row], [Mes]]=""),"",DATE(A2980,MATCH(B2980,{"enero","febrero","marzo","abril","mayo","junio","julio","agosto","septiembre","octubre","noviembre","diciembre"},0)+1,0))</f>
        <v/>
      </c>
      <c r="E2980" t="str">
        <f>+IFERROR(VLOOKUP(Fact_Impuestos[[#This Row], [Concepto Anterior]],Conceptos_Impuestos[#All],5,0),"")</f>
        <v/>
      </c>
      <c r="F2980" t="str">
        <f>+IFERROR(VLOOKUP(Fact_Impuestos[[#This Row], 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ht="18.75" customHeight="1" x14ac:dyDescent="0.35">
      <c r="C2981" s="100" t="str">
        <f>IF(OR(Fact_Impuestos[[#This Row], [Año]]="",Fact_Impuestos[[#This Row], [Mes]]=""),"",DATE(A2981,MATCH(B2981,{"enero","febrero","marzo","abril","mayo","junio","julio","agosto","septiembre","octubre","noviembre","diciembre"},0)+1,0))</f>
        <v/>
      </c>
      <c r="E2981" t="str">
        <f>+IFERROR(VLOOKUP(Fact_Impuestos[[#This Row], [Concepto Anterior]],Conceptos_Impuestos[#All],5,0),"")</f>
        <v/>
      </c>
      <c r="F2981" t="str">
        <f>+IFERROR(VLOOKUP(Fact_Impuestos[[#This Row], 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ht="18.75" customHeight="1" x14ac:dyDescent="0.35">
      <c r="C2982" s="100" t="str">
        <f>IF(OR(Fact_Impuestos[[#This Row], [Año]]="",Fact_Impuestos[[#This Row], [Mes]]=""),"",DATE(A2982,MATCH(B2982,{"enero","febrero","marzo","abril","mayo","junio","julio","agosto","septiembre","octubre","noviembre","diciembre"},0)+1,0))</f>
        <v/>
      </c>
      <c r="E2982" t="str">
        <f>+IFERROR(VLOOKUP(Fact_Impuestos[[#This Row], [Concepto Anterior]],Conceptos_Impuestos[#All],5,0),"")</f>
        <v/>
      </c>
      <c r="F2982" t="str">
        <f>+IFERROR(VLOOKUP(Fact_Impuestos[[#This Row], 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ht="18.75" customHeight="1" x14ac:dyDescent="0.35">
      <c r="C2983" s="100" t="str">
        <f>IF(OR(Fact_Impuestos[[#This Row], [Año]]="",Fact_Impuestos[[#This Row], [Mes]]=""),"",DATE(A2983,MATCH(B2983,{"enero","febrero","marzo","abril","mayo","junio","julio","agosto","septiembre","octubre","noviembre","diciembre"},0)+1,0))</f>
        <v/>
      </c>
      <c r="E2983" t="str">
        <f>+IFERROR(VLOOKUP(Fact_Impuestos[[#This Row], [Concepto Anterior]],Conceptos_Impuestos[#All],5,0),"")</f>
        <v/>
      </c>
      <c r="F2983" t="str">
        <f>+IFERROR(VLOOKUP(Fact_Impuestos[[#This Row], 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ht="18.75" customHeight="1" x14ac:dyDescent="0.35">
      <c r="C2984" s="100" t="str">
        <f>IF(OR(Fact_Impuestos[[#This Row], [Año]]="",Fact_Impuestos[[#This Row], [Mes]]=""),"",DATE(A2984,MATCH(B2984,{"enero","febrero","marzo","abril","mayo","junio","julio","agosto","septiembre","octubre","noviembre","diciembre"},0)+1,0))</f>
        <v/>
      </c>
      <c r="E2984" t="str">
        <f>+IFERROR(VLOOKUP(Fact_Impuestos[[#This Row], [Concepto Anterior]],Conceptos_Impuestos[#All],5,0),"")</f>
        <v/>
      </c>
      <c r="F2984" t="str">
        <f>+IFERROR(VLOOKUP(Fact_Impuestos[[#This Row], 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ht="18.75" customHeight="1" x14ac:dyDescent="0.35">
      <c r="C2985" s="100" t="str">
        <f>IF(OR(Fact_Impuestos[[#This Row], [Año]]="",Fact_Impuestos[[#This Row], [Mes]]=""),"",DATE(A2985,MATCH(B2985,{"enero","febrero","marzo","abril","mayo","junio","julio","agosto","septiembre","octubre","noviembre","diciembre"},0)+1,0))</f>
        <v/>
      </c>
      <c r="E2985" t="str">
        <f>+IFERROR(VLOOKUP(Fact_Impuestos[[#This Row], [Concepto Anterior]],Conceptos_Impuestos[#All],5,0),"")</f>
        <v/>
      </c>
      <c r="F2985" t="str">
        <f>+IFERROR(VLOOKUP(Fact_Impuestos[[#This Row], 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ht="18.75" customHeight="1" x14ac:dyDescent="0.35">
      <c r="C2986" s="100" t="str">
        <f>IF(OR(Fact_Impuestos[[#This Row], [Año]]="",Fact_Impuestos[[#This Row], [Mes]]=""),"",DATE(A2986,MATCH(B2986,{"enero","febrero","marzo","abril","mayo","junio","julio","agosto","septiembre","octubre","noviembre","diciembre"},0)+1,0))</f>
        <v/>
      </c>
      <c r="E2986" t="str">
        <f>+IFERROR(VLOOKUP(Fact_Impuestos[[#This Row], [Concepto Anterior]],Conceptos_Impuestos[#All],5,0),"")</f>
        <v/>
      </c>
      <c r="F2986" t="str">
        <f>+IFERROR(VLOOKUP(Fact_Impuestos[[#This Row], 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ht="18.75" customHeight="1" x14ac:dyDescent="0.35">
      <c r="C2987" s="100" t="str">
        <f>IF(OR(Fact_Impuestos[[#This Row], [Año]]="",Fact_Impuestos[[#This Row], [Mes]]=""),"",DATE(A2987,MATCH(B2987,{"enero","febrero","marzo","abril","mayo","junio","julio","agosto","septiembre","octubre","noviembre","diciembre"},0)+1,0))</f>
        <v/>
      </c>
      <c r="E2987" t="str">
        <f>+IFERROR(VLOOKUP(Fact_Impuestos[[#This Row], [Concepto Anterior]],Conceptos_Impuestos[#All],5,0),"")</f>
        <v/>
      </c>
      <c r="F2987" t="str">
        <f>+IFERROR(VLOOKUP(Fact_Impuestos[[#This Row], 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ht="18.75" customHeight="1" x14ac:dyDescent="0.35">
      <c r="C2988" s="100" t="str">
        <f>IF(OR(Fact_Impuestos[[#This Row], [Año]]="",Fact_Impuestos[[#This Row], [Mes]]=""),"",DATE(A2988,MATCH(B2988,{"enero","febrero","marzo","abril","mayo","junio","julio","agosto","septiembre","octubre","noviembre","diciembre"},0)+1,0))</f>
        <v/>
      </c>
      <c r="E2988" t="str">
        <f>+IFERROR(VLOOKUP(Fact_Impuestos[[#This Row], [Concepto Anterior]],Conceptos_Impuestos[#All],5,0),"")</f>
        <v/>
      </c>
      <c r="F2988" t="str">
        <f>+IFERROR(VLOOKUP(Fact_Impuestos[[#This Row], 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ht="18.75" customHeight="1" x14ac:dyDescent="0.35">
      <c r="C2989" s="100" t="str">
        <f>IF(OR(Fact_Impuestos[[#This Row], [Año]]="",Fact_Impuestos[[#This Row], [Mes]]=""),"",DATE(A2989,MATCH(B2989,{"enero","febrero","marzo","abril","mayo","junio","julio","agosto","septiembre","octubre","noviembre","diciembre"},0)+1,0))</f>
        <v/>
      </c>
      <c r="E2989" t="str">
        <f>+IFERROR(VLOOKUP(Fact_Impuestos[[#This Row], [Concepto Anterior]],Conceptos_Impuestos[#All],5,0),"")</f>
        <v/>
      </c>
      <c r="F2989" t="str">
        <f>+IFERROR(VLOOKUP(Fact_Impuestos[[#This Row], 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ht="18.75" customHeight="1" x14ac:dyDescent="0.35">
      <c r="C2990" s="100" t="str">
        <f>IF(OR(Fact_Impuestos[[#This Row], [Año]]="",Fact_Impuestos[[#This Row], [Mes]]=""),"",DATE(A2990,MATCH(B2990,{"enero","febrero","marzo","abril","mayo","junio","julio","agosto","septiembre","octubre","noviembre","diciembre"},0)+1,0))</f>
        <v/>
      </c>
      <c r="E2990" t="str">
        <f>+IFERROR(VLOOKUP(Fact_Impuestos[[#This Row], [Concepto Anterior]],Conceptos_Impuestos[#All],5,0),"")</f>
        <v/>
      </c>
      <c r="F2990" t="str">
        <f>+IFERROR(VLOOKUP(Fact_Impuestos[[#This Row], 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ht="18.75" customHeight="1" x14ac:dyDescent="0.35">
      <c r="C2991" s="100" t="str">
        <f>IF(OR(Fact_Impuestos[[#This Row], [Año]]="",Fact_Impuestos[[#This Row], [Mes]]=""),"",DATE(A2991,MATCH(B2991,{"enero","febrero","marzo","abril","mayo","junio","julio","agosto","septiembre","octubre","noviembre","diciembre"},0)+1,0))</f>
        <v/>
      </c>
      <c r="E2991" t="str">
        <f>+IFERROR(VLOOKUP(Fact_Impuestos[[#This Row], [Concepto Anterior]],Conceptos_Impuestos[#All],5,0),"")</f>
        <v/>
      </c>
      <c r="F2991" t="str">
        <f>+IFERROR(VLOOKUP(Fact_Impuestos[[#This Row], 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ht="18.75" customHeight="1" x14ac:dyDescent="0.35">
      <c r="C2992" s="100" t="str">
        <f>IF(OR(Fact_Impuestos[[#This Row], [Año]]="",Fact_Impuestos[[#This Row], [Mes]]=""),"",DATE(A2992,MATCH(B2992,{"enero","febrero","marzo","abril","mayo","junio","julio","agosto","septiembre","octubre","noviembre","diciembre"},0)+1,0))</f>
        <v/>
      </c>
      <c r="E2992" t="str">
        <f>+IFERROR(VLOOKUP(Fact_Impuestos[[#This Row], [Concepto Anterior]],Conceptos_Impuestos[#All],5,0),"")</f>
        <v/>
      </c>
      <c r="F2992" t="str">
        <f>+IFERROR(VLOOKUP(Fact_Impuestos[[#This Row], 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ht="18.75" customHeight="1" x14ac:dyDescent="0.35">
      <c r="C2993" s="100" t="str">
        <f>IF(OR(Fact_Impuestos[[#This Row], [Año]]="",Fact_Impuestos[[#This Row], [Mes]]=""),"",DATE(A2993,MATCH(B2993,{"enero","febrero","marzo","abril","mayo","junio","julio","agosto","septiembre","octubre","noviembre","diciembre"},0)+1,0))</f>
        <v/>
      </c>
      <c r="E2993" t="str">
        <f>+IFERROR(VLOOKUP(Fact_Impuestos[[#This Row], [Concepto Anterior]],Conceptos_Impuestos[#All],5,0),"")</f>
        <v/>
      </c>
      <c r="F2993" t="str">
        <f>+IFERROR(VLOOKUP(Fact_Impuestos[[#This Row], 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ht="18.75" customHeight="1" x14ac:dyDescent="0.35">
      <c r="C2994" s="100" t="str">
        <f>IF(OR(Fact_Impuestos[[#This Row], [Año]]="",Fact_Impuestos[[#This Row], [Mes]]=""),"",DATE(A2994,MATCH(B2994,{"enero","febrero","marzo","abril","mayo","junio","julio","agosto","septiembre","octubre","noviembre","diciembre"},0)+1,0))</f>
        <v/>
      </c>
      <c r="E2994" t="str">
        <f>+IFERROR(VLOOKUP(Fact_Impuestos[[#This Row], [Concepto Anterior]],Conceptos_Impuestos[#All],5,0),"")</f>
        <v/>
      </c>
      <c r="F2994" t="str">
        <f>+IFERROR(VLOOKUP(Fact_Impuestos[[#This Row], 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ht="18.75" customHeight="1" x14ac:dyDescent="0.35">
      <c r="C2995" s="100" t="str">
        <f>IF(OR(Fact_Impuestos[[#This Row], [Año]]="",Fact_Impuestos[[#This Row], [Mes]]=""),"",DATE(A2995,MATCH(B2995,{"enero","febrero","marzo","abril","mayo","junio","julio","agosto","septiembre","octubre","noviembre","diciembre"},0)+1,0))</f>
        <v/>
      </c>
      <c r="E2995" t="str">
        <f>+IFERROR(VLOOKUP(Fact_Impuestos[[#This Row], [Concepto Anterior]],Conceptos_Impuestos[#All],5,0),"")</f>
        <v/>
      </c>
      <c r="F2995" t="str">
        <f>+IFERROR(VLOOKUP(Fact_Impuestos[[#This Row], 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ht="18.75" customHeight="1" x14ac:dyDescent="0.35">
      <c r="C2996" s="100" t="str">
        <f>IF(OR(Fact_Impuestos[[#This Row], [Año]]="",Fact_Impuestos[[#This Row], [Mes]]=""),"",DATE(A2996,MATCH(B2996,{"enero","febrero","marzo","abril","mayo","junio","julio","agosto","septiembre","octubre","noviembre","diciembre"},0)+1,0))</f>
        <v/>
      </c>
      <c r="E2996" t="str">
        <f>+IFERROR(VLOOKUP(Fact_Impuestos[[#This Row], [Concepto Anterior]],Conceptos_Impuestos[#All],5,0),"")</f>
        <v/>
      </c>
      <c r="F2996" t="str">
        <f>+IFERROR(VLOOKUP(Fact_Impuestos[[#This Row], 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ht="18.75" customHeight="1" x14ac:dyDescent="0.35">
      <c r="C2997" s="100" t="str">
        <f>IF(OR(Fact_Impuestos[[#This Row], [Año]]="",Fact_Impuestos[[#This Row], [Mes]]=""),"",DATE(A2997,MATCH(B2997,{"enero","febrero","marzo","abril","mayo","junio","julio","agosto","septiembre","octubre","noviembre","diciembre"},0)+1,0))</f>
        <v/>
      </c>
      <c r="E2997" t="str">
        <f>+IFERROR(VLOOKUP(Fact_Impuestos[[#This Row], [Concepto Anterior]],Conceptos_Impuestos[#All],5,0),"")</f>
        <v/>
      </c>
      <c r="F2997" t="str">
        <f>+IFERROR(VLOOKUP(Fact_Impuestos[[#This Row], 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ht="18.75" customHeight="1" x14ac:dyDescent="0.35">
      <c r="C2998" s="100" t="str">
        <f>IF(OR(Fact_Impuestos[[#This Row], [Año]]="",Fact_Impuestos[[#This Row], [Mes]]=""),"",DATE(A2998,MATCH(B2998,{"enero","febrero","marzo","abril","mayo","junio","julio","agosto","septiembre","octubre","noviembre","diciembre"},0)+1,0))</f>
        <v/>
      </c>
      <c r="E2998" t="str">
        <f>+IFERROR(VLOOKUP(Fact_Impuestos[[#This Row], [Concepto Anterior]],Conceptos_Impuestos[#All],5,0),"")</f>
        <v/>
      </c>
      <c r="F2998" t="str">
        <f>+IFERROR(VLOOKUP(Fact_Impuestos[[#This Row], 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ht="18.75" customHeight="1" x14ac:dyDescent="0.35">
      <c r="C2999" s="100" t="str">
        <f>IF(OR(Fact_Impuestos[[#This Row], [Año]]="",Fact_Impuestos[[#This Row], [Mes]]=""),"",DATE(A2999,MATCH(B2999,{"enero","febrero","marzo","abril","mayo","junio","julio","agosto","septiembre","octubre","noviembre","diciembre"},0)+1,0))</f>
        <v/>
      </c>
      <c r="E2999" t="str">
        <f>+IFERROR(VLOOKUP(Fact_Impuestos[[#This Row], [Concepto Anterior]],Conceptos_Impuestos[#All],5,0),"")</f>
        <v/>
      </c>
      <c r="F2999" t="str">
        <f>+IFERROR(VLOOKUP(Fact_Impuestos[[#This Row], 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ht="18.75" customHeight="1" x14ac:dyDescent="0.35">
      <c r="C3000" s="100" t="str">
        <f>IF(OR(Fact_Impuestos[[#This Row], [Año]]="",Fact_Impuestos[[#This Row], [Mes]]=""),"",DATE(A3000,MATCH(B3000,{"enero","febrero","marzo","abril","mayo","junio","julio","agosto","septiembre","octubre","noviembre","diciembre"},0)+1,0))</f>
        <v/>
      </c>
      <c r="E3000" t="str">
        <f>+IFERROR(VLOOKUP(Fact_Impuestos[[#This Row], [Concepto Anterior]],Conceptos_Impuestos[#All],5,0),"")</f>
        <v/>
      </c>
      <c r="F3000" t="str">
        <f>+IFERROR(VLOOKUP(Fact_Impuestos[[#This Row], 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81640625" style="87" bestFit="1" customWidth="1"/>
    <col min="2" max="2" width="10.81640625" bestFit="1" customWidth="1"/>
    <col min="3" max="3" width="15.453125" style="101" bestFit="1" customWidth="1"/>
    <col min="4" max="5" width="48.453125" bestFit="1" customWidth="1"/>
    <col min="6" max="6" width="15.54296875" bestFit="1" customWidth="1"/>
    <col min="7" max="7" width="14.453125" bestFit="1" customWidth="1"/>
    <col min="8" max="8" width="10.81640625" bestFit="1" customWidth="1"/>
    <col min="9" max="10" width="13.54296875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IF(OR(Fact_Cumplimiento[[#This Row], [Año]]="",Fact_Cumplimiento[[#This Row], [Mes]]=""),"",DATE(A2,MATCH(B2,{"enero","febrero","marzo","abril","mayo","junio","julio","agosto","septiembre","octubre","noviembre","diciembre"},0)+1,0))</f>
        <v>45322</v>
      </c>
      <c r="D2" t="s">
        <v>106</v>
      </c>
      <c r="E2" t="str">
        <f>+IFERROR(VLOOKUP(Fact_Cumplimiento[[#This Row], [Concepto Anterior]],Conceptos_Cumplimiento[#All],5,0),"")</f>
        <v>Comunicados para generación de cultura de riesgos</v>
      </c>
      <c r="F2" t="str">
        <f ca="1">+IFERROR(VLOOKUP(Fact_Cumplimiento[[#This Row], [Concepto Anterior]],Conceptos_Cumplimiento[#All],7,0),"")</f>
        <v/>
      </c>
      <c r="G2" t="s">
        <v>172</v>
      </c>
      <c r="H2" t="s">
        <v>172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93">
        <v>0</v>
      </c>
    </row>
    <row r="3" spans="1:11" ht="18.75" customHeight="1" x14ac:dyDescent="0.35">
      <c r="A3" s="93">
        <v>2024</v>
      </c>
      <c r="B3" t="s">
        <v>171</v>
      </c>
      <c r="C3" s="100">
        <f>IF(OR(Fact_Cumplimiento[[#This Row], [Año]]="",Fact_Cumplimiento[[#This Row], [Mes]]=""),"",DATE(A3,MATCH(B3,{"enero","febrero","marzo","abril","mayo","junio","julio","agosto","septiembre","octubre","noviembre","diciembre"},0)+1,0))</f>
        <v>45322</v>
      </c>
      <c r="D3" t="s">
        <v>104</v>
      </c>
      <c r="E3" t="str">
        <f>+IFERROR(VLOOKUP(Fact_Cumplimiento[[#This Row], [Concepto Anterior]],Conceptos_Cumplimiento[#All],5,0),"")</f>
        <v>Identificación relaciones con posible conflicto de interes</v>
      </c>
      <c r="F3" t="str">
        <f ca="1">+IFERROR(VLOOKUP(Fact_Cumplimiento[[#This Row], [Concepto Anterior]],Conceptos_Cumplimiento[#All],7,0),"")</f>
        <v/>
      </c>
      <c r="G3" t="s">
        <v>172</v>
      </c>
      <c r="H3" t="s">
        <v>172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93">
        <v>0</v>
      </c>
    </row>
    <row r="4" spans="1:11" ht="18.75" customHeight="1" x14ac:dyDescent="0.35">
      <c r="A4" s="93">
        <v>2024</v>
      </c>
      <c r="B4" t="s">
        <v>171</v>
      </c>
      <c r="C4" s="100">
        <f>IF(OR(Fact_Cumplimiento[[#This Row], [Año]]="",Fact_Cumplimiento[[#This Row], [Mes]]=""),"",DATE(A4,MATCH(B4,{"enero","febrero","marzo","abril","mayo","junio","julio","agosto","septiembre","octubre","noviembre","diciembre"},0)+1,0))</f>
        <v>45322</v>
      </c>
      <c r="D4" t="s">
        <v>102</v>
      </c>
      <c r="E4" t="str">
        <f>+IFERROR(VLOOKUP(Fact_Cumplimiento[[#This Row], [Concepto Anterior]],Conceptos_Cumplimiento[#All],5,0),"")</f>
        <v>Numero de razones sociales atendidas directas</v>
      </c>
      <c r="F4" t="str">
        <f ca="1">+IFERROR(VLOOKUP(Fact_Cumplimiento[[#This Row], [Concepto Anterior]],Conceptos_Cumplimiento[#All],7,0),"")</f>
        <v/>
      </c>
      <c r="G4" t="s">
        <v>172</v>
      </c>
      <c r="H4" t="s">
        <v>172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IF(OR(Fact_Cumplimiento[[#This Row], [Año]]="",Fact_Cumplimiento[[#This Row], [Mes]]=""),"",DATE(A5,MATCH(B5,{"enero","febrero","marzo","abril","mayo","junio","julio","agosto","septiembre","octubre","noviembre","diciembre"},0)+1,0))</f>
        <v>45322</v>
      </c>
      <c r="D5" t="s">
        <v>103</v>
      </c>
      <c r="E5" t="str">
        <f>+IFERROR(VLOOKUP(Fact_Cumplimiento[[#This Row], [Concepto Anterior]],Conceptos_Cumplimiento[#All],5,0),"")</f>
        <v>Numero de razones sociales atendidas indirectas</v>
      </c>
      <c r="F5" t="str">
        <f ca="1">+IFERROR(VLOOKUP(Fact_Cumplimiento[[#This Row], [Concepto Anterior]],Conceptos_Cumplimiento[#All],7,0),"")</f>
        <v/>
      </c>
      <c r="G5" t="s">
        <v>172</v>
      </c>
      <c r="H5" t="s">
        <v>172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IF(OR(Fact_Cumplimiento[[#This Row], [Año]]="",Fact_Cumplimiento[[#This Row], [Mes]]=""),"",DATE(A6,MATCH(B6,{"enero","febrero","marzo","abril","mayo","junio","julio","agosto","septiembre","octubre","noviembre","diciembre"},0)+1,0))</f>
        <v>45322</v>
      </c>
      <c r="D6" t="s">
        <v>105</v>
      </c>
      <c r="E6" t="str">
        <f>+IFERROR(VLOOKUP(Fact_Cumplimiento[[#This Row], [Concepto Anterior]],Conceptos_Cumplimiento[#All],5,0),"")</f>
        <v>Numeros de terceros evaluados</v>
      </c>
      <c r="F6" t="str">
        <f ca="1">+IFERROR(VLOOKUP(Fact_Cumplimiento[[#This Row], [Concepto Anterior]],Conceptos_Cumplimiento[#All],7,0),"")</f>
        <v/>
      </c>
      <c r="G6" t="s">
        <v>172</v>
      </c>
      <c r="H6" t="s">
        <v>172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IF(OR(Fact_Cumplimiento[[#This Row], [Año]]="",Fact_Cumplimiento[[#This Row], [Mes]]=""),"",DATE(A7,MATCH(B7,{"enero","febrero","marzo","abril","mayo","junio","julio","agosto","septiembre","octubre","noviembre","diciembre"},0)+1,0))</f>
        <v>45322</v>
      </c>
      <c r="D7" t="s">
        <v>173</v>
      </c>
      <c r="E7" t="str">
        <f>+IFERROR(VLOOKUP(Fact_Cumplimiento[[#This Row], [Concepto Anterior]],Conceptos_Cumplimiento[#All],5,0),"")</f>
        <v>Público Capacitado</v>
      </c>
      <c r="F7" t="str">
        <f ca="1">+IFERROR(VLOOKUP(Fact_Cumplimiento[[#This Row], [Concepto Anterior]],Conceptos_Cumplimiento[#All],7,0),"")</f>
        <v/>
      </c>
      <c r="G7" t="s">
        <v>172</v>
      </c>
      <c r="H7" t="s">
        <v>172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92">
        <v>0.90700000000000003</v>
      </c>
    </row>
    <row r="8" spans="1:11" ht="18.75" customHeight="1" x14ac:dyDescent="0.35">
      <c r="A8" s="93">
        <v>2024</v>
      </c>
      <c r="B8" t="s">
        <v>171</v>
      </c>
      <c r="C8" s="100">
        <f>IF(OR(Fact_Cumplimiento[[#This Row], [Año]]="",Fact_Cumplimiento[[#This Row], [Mes]]=""),"",DATE(A8,MATCH(B8,{"enero","febrero","marzo","abril","mayo","junio","julio","agosto","septiembre","octubre","noviembre","diciembre"},0)+1,0))</f>
        <v>45322</v>
      </c>
      <c r="D8" t="s">
        <v>161</v>
      </c>
      <c r="E8" t="str">
        <f>+IFERROR(VLOOKUP(Fact_Cumplimiento[[#This Row], [Concepto Anterior]],Conceptos_Cumplimiento[#All],5,0),"")</f>
        <v>Registro Clientes Mayoristas​</v>
      </c>
      <c r="F8" t="str">
        <f ca="1">+IFERROR(VLOOKUP(Fact_Cumplimiento[[#This Row], [Concepto Anterior]],Conceptos_Cumplimiento[#All],7,0),"")</f>
        <v/>
      </c>
      <c r="G8" t="s">
        <v>172</v>
      </c>
      <c r="H8" t="s">
        <v>172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93">
        <v>1</v>
      </c>
    </row>
    <row r="9" spans="1:11" ht="18.75" customHeight="1" x14ac:dyDescent="0.35">
      <c r="A9" s="93">
        <v>2024</v>
      </c>
      <c r="B9" t="s">
        <v>174</v>
      </c>
      <c r="C9" s="100">
        <f>IF(OR(Fact_Cumplimiento[[#This Row], [Año]]="",Fact_Cumplimiento[[#This Row], [Mes]]=""),"",DATE(A9,MATCH(B9,{"enero","febrero","marzo","abril","mayo","junio","julio","agosto","septiembre","octubre","noviembre","diciembre"},0)+1,0))</f>
        <v>45351</v>
      </c>
      <c r="D9" t="s">
        <v>106</v>
      </c>
      <c r="E9" t="str">
        <f>+IFERROR(VLOOKUP(Fact_Cumplimiento[[#This Row], [Concepto Anterior]],Conceptos_Cumplimiento[#All],5,0),"")</f>
        <v>Comunicados para generación de cultura de riesgos</v>
      </c>
      <c r="F9" t="str">
        <f ca="1">+IFERROR(VLOOKUP(Fact_Cumplimiento[[#This Row], [Concepto Anterior]],Conceptos_Cumplimiento[#All],7,0),"")</f>
        <v/>
      </c>
      <c r="G9" t="s">
        <v>172</v>
      </c>
      <c r="H9" t="s">
        <v>172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93">
        <v>1</v>
      </c>
    </row>
    <row r="10" spans="1:11" ht="18.75" customHeight="1" x14ac:dyDescent="0.35">
      <c r="A10" s="93">
        <v>2024</v>
      </c>
      <c r="B10" t="s">
        <v>174</v>
      </c>
      <c r="C10" s="100">
        <f>IF(OR(Fact_Cumplimiento[[#This Row], [Año]]="",Fact_Cumplimiento[[#This Row], [Mes]]=""),"",DATE(A10,MATCH(B10,{"enero","febrero","marzo","abril","mayo","junio","julio","agosto","septiembre","octubre","noviembre","diciembre"},0)+1,0))</f>
        <v>45351</v>
      </c>
      <c r="D10" t="s">
        <v>104</v>
      </c>
      <c r="E10" t="str">
        <f>+IFERROR(VLOOKUP(Fact_Cumplimiento[[#This Row], [Concepto Anterior]],Conceptos_Cumplimiento[#All],5,0),"")</f>
        <v>Identificación relaciones con posible conflicto de interes</v>
      </c>
      <c r="F10" t="str">
        <f ca="1">+IFERROR(VLOOKUP(Fact_Cumplimiento[[#This Row], [Concepto Anterior]],Conceptos_Cumplimiento[#All],7,0),"")</f>
        <v/>
      </c>
      <c r="G10" t="s">
        <v>172</v>
      </c>
      <c r="H10" t="s">
        <v>172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93">
        <v>0</v>
      </c>
    </row>
    <row r="11" spans="1:11" ht="18.75" customHeight="1" x14ac:dyDescent="0.35">
      <c r="A11" s="93">
        <v>2024</v>
      </c>
      <c r="B11" t="s">
        <v>174</v>
      </c>
      <c r="C11" s="100">
        <f>IF(OR(Fact_Cumplimiento[[#This Row], [Año]]="",Fact_Cumplimiento[[#This Row], [Mes]]=""),"",DATE(A11,MATCH(B11,{"enero","febrero","marzo","abril","mayo","junio","julio","agosto","septiembre","octubre","noviembre","diciembre"},0)+1,0))</f>
        <v>45351</v>
      </c>
      <c r="D11" t="s">
        <v>102</v>
      </c>
      <c r="E11" t="str">
        <f>+IFERROR(VLOOKUP(Fact_Cumplimiento[[#This Row], [Concepto Anterior]],Conceptos_Cumplimiento[#All],5,0),"")</f>
        <v>Numero de razones sociales atendidas directas</v>
      </c>
      <c r="F11" t="str">
        <f ca="1">+IFERROR(VLOOKUP(Fact_Cumplimiento[[#This Row], [Concepto Anterior]],Conceptos_Cumplimiento[#All],7,0),"")</f>
        <v/>
      </c>
      <c r="G11" t="s">
        <v>172</v>
      </c>
      <c r="H11" t="s">
        <v>172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IF(OR(Fact_Cumplimiento[[#This Row], [Año]]="",Fact_Cumplimiento[[#This Row], [Mes]]=""),"",DATE(A12,MATCH(B12,{"enero","febrero","marzo","abril","mayo","junio","julio","agosto","septiembre","octubre","noviembre","diciembre"},0)+1,0))</f>
        <v>45351</v>
      </c>
      <c r="D12" t="s">
        <v>103</v>
      </c>
      <c r="E12" t="str">
        <f>+IFERROR(VLOOKUP(Fact_Cumplimiento[[#This Row], [Concepto Anterior]],Conceptos_Cumplimiento[#All],5,0),"")</f>
        <v>Numero de razones sociales atendidas indirectas</v>
      </c>
      <c r="F12" t="str">
        <f ca="1">+IFERROR(VLOOKUP(Fact_Cumplimiento[[#This Row], [Concepto Anterior]],Conceptos_Cumplimiento[#All],7,0),"")</f>
        <v/>
      </c>
      <c r="G12" t="s">
        <v>172</v>
      </c>
      <c r="H12" t="s">
        <v>172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93">
        <v>0</v>
      </c>
    </row>
    <row r="13" spans="1:11" ht="18.75" customHeight="1" x14ac:dyDescent="0.35">
      <c r="A13" s="93">
        <v>2024</v>
      </c>
      <c r="B13" t="s">
        <v>174</v>
      </c>
      <c r="C13" s="100">
        <f>IF(OR(Fact_Cumplimiento[[#This Row], [Año]]="",Fact_Cumplimiento[[#This Row], [Mes]]=""),"",DATE(A13,MATCH(B13,{"enero","febrero","marzo","abril","mayo","junio","julio","agosto","septiembre","octubre","noviembre","diciembre"},0)+1,0))</f>
        <v>45351</v>
      </c>
      <c r="D13" t="s">
        <v>105</v>
      </c>
      <c r="E13" t="str">
        <f>+IFERROR(VLOOKUP(Fact_Cumplimiento[[#This Row], [Concepto Anterior]],Conceptos_Cumplimiento[#All],5,0),"")</f>
        <v>Numeros de terceros evaluados</v>
      </c>
      <c r="F13" t="str">
        <f ca="1">+IFERROR(VLOOKUP(Fact_Cumplimiento[[#This Row], [Concepto Anterior]],Conceptos_Cumplimiento[#All],7,0),"")</f>
        <v/>
      </c>
      <c r="G13" t="s">
        <v>172</v>
      </c>
      <c r="H13" t="s">
        <v>172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IF(OR(Fact_Cumplimiento[[#This Row], [Año]]="",Fact_Cumplimiento[[#This Row], [Mes]]=""),"",DATE(A14,MATCH(B14,{"enero","febrero","marzo","abril","mayo","junio","julio","agosto","septiembre","octubre","noviembre","diciembre"},0)+1,0))</f>
        <v>45351</v>
      </c>
      <c r="D14" t="s">
        <v>173</v>
      </c>
      <c r="E14" t="str">
        <f>+IFERROR(VLOOKUP(Fact_Cumplimiento[[#This Row], [Concepto Anterior]],Conceptos_Cumplimiento[#All],5,0),"")</f>
        <v>Público Capacitado</v>
      </c>
      <c r="F14" t="str">
        <f ca="1">+IFERROR(VLOOKUP(Fact_Cumplimiento[[#This Row], [Concepto Anterior]],Conceptos_Cumplimiento[#All],7,0),"")</f>
        <v/>
      </c>
      <c r="G14" t="s">
        <v>172</v>
      </c>
      <c r="H14" t="s">
        <v>172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92">
        <v>0.91859999999999997</v>
      </c>
    </row>
    <row r="15" spans="1:11" ht="18.75" customHeight="1" x14ac:dyDescent="0.35">
      <c r="A15" s="93">
        <v>2024</v>
      </c>
      <c r="B15" t="s">
        <v>174</v>
      </c>
      <c r="C15" s="100">
        <f>IF(OR(Fact_Cumplimiento[[#This Row], [Año]]="",Fact_Cumplimiento[[#This Row], [Mes]]=""),"",DATE(A15,MATCH(B15,{"enero","febrero","marzo","abril","mayo","junio","julio","agosto","septiembre","octubre","noviembre","diciembre"},0)+1,0))</f>
        <v>45351</v>
      </c>
      <c r="D15" t="s">
        <v>161</v>
      </c>
      <c r="E15" t="str">
        <f>+IFERROR(VLOOKUP(Fact_Cumplimiento[[#This Row], [Concepto Anterior]],Conceptos_Cumplimiento[#All],5,0),"")</f>
        <v>Registro Clientes Mayoristas​</v>
      </c>
      <c r="F15" t="str">
        <f ca="1">+IFERROR(VLOOKUP(Fact_Cumplimiento[[#This Row], [Concepto Anterior]],Conceptos_Cumplimiento[#All],7,0),"")</f>
        <v/>
      </c>
      <c r="G15" t="s">
        <v>172</v>
      </c>
      <c r="H15" t="s">
        <v>172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93">
        <v>15</v>
      </c>
    </row>
    <row r="16" spans="1:11" ht="18.75" customHeight="1" x14ac:dyDescent="0.35">
      <c r="A16" s="93">
        <v>2024</v>
      </c>
      <c r="B16" t="s">
        <v>175</v>
      </c>
      <c r="C16" s="100">
        <f>IF(OR(Fact_Cumplimiento[[#This Row], [Año]]="",Fact_Cumplimiento[[#This Row], [Mes]]=""),"",DATE(A16,MATCH(B16,{"enero","febrero","marzo","abril","mayo","junio","julio","agosto","septiembre","octubre","noviembre","diciembre"},0)+1,0))</f>
        <v>45382</v>
      </c>
      <c r="D16" t="s">
        <v>106</v>
      </c>
      <c r="E16" t="str">
        <f>+IFERROR(VLOOKUP(Fact_Cumplimiento[[#This Row], [Concepto Anterior]],Conceptos_Cumplimiento[#All],5,0),"")</f>
        <v>Comunicados para generación de cultura de riesgos</v>
      </c>
      <c r="F16" t="str">
        <f ca="1">+IFERROR(VLOOKUP(Fact_Cumplimiento[[#This Row], [Concepto Anterior]],Conceptos_Cumplimiento[#All],7,0),"")</f>
        <v/>
      </c>
      <c r="G16" t="s">
        <v>172</v>
      </c>
      <c r="H16" t="s">
        <v>172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93">
        <v>2</v>
      </c>
    </row>
    <row r="17" spans="1:11" ht="18.75" customHeight="1" x14ac:dyDescent="0.35">
      <c r="A17" s="93">
        <v>2024</v>
      </c>
      <c r="B17" t="s">
        <v>175</v>
      </c>
      <c r="C17" s="100">
        <f>IF(OR(Fact_Cumplimiento[[#This Row], [Año]]="",Fact_Cumplimiento[[#This Row], [Mes]]=""),"",DATE(A17,MATCH(B17,{"enero","febrero","marzo","abril","mayo","junio","julio","agosto","septiembre","octubre","noviembre","diciembre"},0)+1,0))</f>
        <v>45382</v>
      </c>
      <c r="D17" t="s">
        <v>104</v>
      </c>
      <c r="E17" t="str">
        <f>+IFERROR(VLOOKUP(Fact_Cumplimiento[[#This Row], [Concepto Anterior]],Conceptos_Cumplimiento[#All],5,0),"")</f>
        <v>Identificación relaciones con posible conflicto de interes</v>
      </c>
      <c r="F17" t="str">
        <f ca="1">+IFERROR(VLOOKUP(Fact_Cumplimiento[[#This Row], [Concepto Anterior]],Conceptos_Cumplimiento[#All],7,0),"")</f>
        <v/>
      </c>
      <c r="G17" t="s">
        <v>172</v>
      </c>
      <c r="H17" t="s">
        <v>172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93">
        <v>0</v>
      </c>
    </row>
    <row r="18" spans="1:11" ht="18.75" customHeight="1" x14ac:dyDescent="0.35">
      <c r="A18" s="93">
        <v>2024</v>
      </c>
      <c r="B18" t="s">
        <v>175</v>
      </c>
      <c r="C18" s="100">
        <f>IF(OR(Fact_Cumplimiento[[#This Row], [Año]]="",Fact_Cumplimiento[[#This Row], [Mes]]=""),"",DATE(A18,MATCH(B18,{"enero","febrero","marzo","abril","mayo","junio","julio","agosto","septiembre","octubre","noviembre","diciembre"},0)+1,0))</f>
        <v>45382</v>
      </c>
      <c r="D18" t="s">
        <v>102</v>
      </c>
      <c r="E18" t="str">
        <f>+IFERROR(VLOOKUP(Fact_Cumplimiento[[#This Row], [Concepto Anterior]],Conceptos_Cumplimiento[#All],5,0),"")</f>
        <v>Numero de razones sociales atendidas directas</v>
      </c>
      <c r="F18" t="str">
        <f ca="1">+IFERROR(VLOOKUP(Fact_Cumplimiento[[#This Row], [Concepto Anterior]],Conceptos_Cumplimiento[#All],7,0),"")</f>
        <v/>
      </c>
      <c r="G18" t="s">
        <v>172</v>
      </c>
      <c r="H18" t="s">
        <v>172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93">
        <v>0</v>
      </c>
    </row>
    <row r="19" spans="1:11" ht="18.75" customHeight="1" x14ac:dyDescent="0.35">
      <c r="A19" s="93">
        <v>2024</v>
      </c>
      <c r="B19" t="s">
        <v>175</v>
      </c>
      <c r="C19" s="100">
        <f>IF(OR(Fact_Cumplimiento[[#This Row], [Año]]="",Fact_Cumplimiento[[#This Row], [Mes]]=""),"",DATE(A19,MATCH(B19,{"enero","febrero","marzo","abril","mayo","junio","julio","agosto","septiembre","octubre","noviembre","diciembre"},0)+1,0))</f>
        <v>45382</v>
      </c>
      <c r="D19" t="s">
        <v>103</v>
      </c>
      <c r="E19" t="str">
        <f>+IFERROR(VLOOKUP(Fact_Cumplimiento[[#This Row], [Concepto Anterior]],Conceptos_Cumplimiento[#All],5,0),"")</f>
        <v>Numero de razones sociales atendidas indirectas</v>
      </c>
      <c r="F19" t="str">
        <f ca="1">+IFERROR(VLOOKUP(Fact_Cumplimiento[[#This Row], [Concepto Anterior]],Conceptos_Cumplimiento[#All],7,0),"")</f>
        <v/>
      </c>
      <c r="G19" t="s">
        <v>172</v>
      </c>
      <c r="H19" t="s">
        <v>172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93">
        <v>0</v>
      </c>
    </row>
    <row r="20" spans="1:11" ht="18.75" customHeight="1" x14ac:dyDescent="0.35">
      <c r="A20" s="93">
        <v>2024</v>
      </c>
      <c r="B20" t="s">
        <v>175</v>
      </c>
      <c r="C20" s="100">
        <f>IF(OR(Fact_Cumplimiento[[#This Row], [Año]]="",Fact_Cumplimiento[[#This Row], [Mes]]=""),"",DATE(A20,MATCH(B20,{"enero","febrero","marzo","abril","mayo","junio","julio","agosto","septiembre","octubre","noviembre","diciembre"},0)+1,0))</f>
        <v>45382</v>
      </c>
      <c r="D20" t="s">
        <v>105</v>
      </c>
      <c r="E20" t="str">
        <f>+IFERROR(VLOOKUP(Fact_Cumplimiento[[#This Row], [Concepto Anterior]],Conceptos_Cumplimiento[#All],5,0),"")</f>
        <v>Numeros de terceros evaluados</v>
      </c>
      <c r="F20" t="str">
        <f ca="1">+IFERROR(VLOOKUP(Fact_Cumplimiento[[#This Row], [Concepto Anterior]],Conceptos_Cumplimiento[#All],7,0),"")</f>
        <v/>
      </c>
      <c r="G20" t="s">
        <v>172</v>
      </c>
      <c r="H20" t="s">
        <v>172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93">
        <v>0</v>
      </c>
    </row>
    <row r="21" spans="1:11" ht="18.75" customHeight="1" x14ac:dyDescent="0.35">
      <c r="A21" s="93">
        <v>2024</v>
      </c>
      <c r="B21" t="s">
        <v>175</v>
      </c>
      <c r="C21" s="100">
        <f>IF(OR(Fact_Cumplimiento[[#This Row], [Año]]="",Fact_Cumplimiento[[#This Row], [Mes]]=""),"",DATE(A21,MATCH(B21,{"enero","febrero","marzo","abril","mayo","junio","julio","agosto","septiembre","octubre","noviembre","diciembre"},0)+1,0))</f>
        <v>45382</v>
      </c>
      <c r="D21" t="s">
        <v>173</v>
      </c>
      <c r="E21" t="str">
        <f>+IFERROR(VLOOKUP(Fact_Cumplimiento[[#This Row], [Concepto Anterior]],Conceptos_Cumplimiento[#All],5,0),"")</f>
        <v>Público Capacitado</v>
      </c>
      <c r="F21" t="str">
        <f ca="1">+IFERROR(VLOOKUP(Fact_Cumplimiento[[#This Row], [Concepto Anterior]],Conceptos_Cumplimiento[#All],7,0),"")</f>
        <v/>
      </c>
      <c r="G21" t="s">
        <v>172</v>
      </c>
      <c r="H21" t="s">
        <v>172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92">
        <v>0.90910000000000002</v>
      </c>
    </row>
    <row r="22" spans="1:11" ht="18.75" customHeight="1" x14ac:dyDescent="0.35">
      <c r="A22" s="93">
        <v>2024</v>
      </c>
      <c r="B22" t="s">
        <v>175</v>
      </c>
      <c r="C22" s="100">
        <f>IF(OR(Fact_Cumplimiento[[#This Row], [Año]]="",Fact_Cumplimiento[[#This Row], [Mes]]=""),"",DATE(A22,MATCH(B22,{"enero","febrero","marzo","abril","mayo","junio","julio","agosto","septiembre","octubre","noviembre","diciembre"},0)+1,0))</f>
        <v>45382</v>
      </c>
      <c r="D22" t="s">
        <v>161</v>
      </c>
      <c r="E22" t="str">
        <f>+IFERROR(VLOOKUP(Fact_Cumplimiento[[#This Row], [Concepto Anterior]],Conceptos_Cumplimiento[#All],5,0),"")</f>
        <v>Registro Clientes Mayoristas​</v>
      </c>
      <c r="F22" t="str">
        <f ca="1">+IFERROR(VLOOKUP(Fact_Cumplimiento[[#This Row], [Concepto Anterior]],Conceptos_Cumplimiento[#All],7,0),"")</f>
        <v/>
      </c>
      <c r="G22" t="s">
        <v>172</v>
      </c>
      <c r="H22" t="s">
        <v>172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93">
        <v>8</v>
      </c>
    </row>
    <row r="23" spans="1:11" ht="18.75" customHeight="1" x14ac:dyDescent="0.35">
      <c r="A23" s="93">
        <v>2024</v>
      </c>
      <c r="B23" t="s">
        <v>176</v>
      </c>
      <c r="C23" s="100">
        <f>IF(OR(Fact_Cumplimiento[[#This Row], [Año]]="",Fact_Cumplimiento[[#This Row], [Mes]]=""),"",DATE(A23,MATCH(B23,{"enero","febrero","marzo","abril","mayo","junio","julio","agosto","septiembre","octubre","noviembre","diciembre"},0)+1,0))</f>
        <v>45412</v>
      </c>
      <c r="D23" t="s">
        <v>106</v>
      </c>
      <c r="E23" t="str">
        <f>+IFERROR(VLOOKUP(Fact_Cumplimiento[[#This Row], [Concepto Anterior]],Conceptos_Cumplimiento[#All],5,0),"")</f>
        <v>Comunicados para generación de cultura de riesgos</v>
      </c>
      <c r="F23" t="str">
        <f ca="1">+IFERROR(VLOOKUP(Fact_Cumplimiento[[#This Row], [Concepto Anterior]],Conceptos_Cumplimiento[#All],7,0),"")</f>
        <v/>
      </c>
      <c r="G23" t="s">
        <v>172</v>
      </c>
      <c r="H23" t="s">
        <v>172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93">
        <v>2</v>
      </c>
    </row>
    <row r="24" spans="1:11" ht="18.75" customHeight="1" x14ac:dyDescent="0.35">
      <c r="A24" s="93">
        <v>2024</v>
      </c>
      <c r="B24" t="s">
        <v>176</v>
      </c>
      <c r="C24" s="100">
        <f>IF(OR(Fact_Cumplimiento[[#This Row], [Año]]="",Fact_Cumplimiento[[#This Row], [Mes]]=""),"",DATE(A24,MATCH(B24,{"enero","febrero","marzo","abril","mayo","junio","julio","agosto","septiembre","octubre","noviembre","diciembre"},0)+1,0))</f>
        <v>45412</v>
      </c>
      <c r="D24" t="s">
        <v>104</v>
      </c>
      <c r="E24" t="str">
        <f>+IFERROR(VLOOKUP(Fact_Cumplimiento[[#This Row], [Concepto Anterior]],Conceptos_Cumplimiento[#All],5,0),"")</f>
        <v>Identificación relaciones con posible conflicto de interes</v>
      </c>
      <c r="F24" t="str">
        <f ca="1">+IFERROR(VLOOKUP(Fact_Cumplimiento[[#This Row], [Concepto Anterior]],Conceptos_Cumplimiento[#All],7,0),"")</f>
        <v/>
      </c>
      <c r="G24" t="s">
        <v>172</v>
      </c>
      <c r="H24" t="s">
        <v>172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93">
        <v>0</v>
      </c>
    </row>
    <row r="25" spans="1:11" ht="18.75" customHeight="1" x14ac:dyDescent="0.35">
      <c r="A25" s="93">
        <v>2024</v>
      </c>
      <c r="B25" t="s">
        <v>176</v>
      </c>
      <c r="C25" s="100">
        <f>IF(OR(Fact_Cumplimiento[[#This Row], [Año]]="",Fact_Cumplimiento[[#This Row], [Mes]]=""),"",DATE(A25,MATCH(B25,{"enero","febrero","marzo","abril","mayo","junio","julio","agosto","septiembre","octubre","noviembre","diciembre"},0)+1,0))</f>
        <v>45412</v>
      </c>
      <c r="D25" t="s">
        <v>102</v>
      </c>
      <c r="E25" t="str">
        <f>+IFERROR(VLOOKUP(Fact_Cumplimiento[[#This Row], [Concepto Anterior]],Conceptos_Cumplimiento[#All],5,0),"")</f>
        <v>Numero de razones sociales atendidas directas</v>
      </c>
      <c r="F25" t="str">
        <f ca="1">+IFERROR(VLOOKUP(Fact_Cumplimiento[[#This Row], [Concepto Anterior]],Conceptos_Cumplimiento[#All],7,0),"")</f>
        <v/>
      </c>
      <c r="G25" t="s">
        <v>172</v>
      </c>
      <c r="H25" t="s">
        <v>172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176</v>
      </c>
      <c r="C26" s="100">
        <f>IF(OR(Fact_Cumplimiento[[#This Row], [Año]]="",Fact_Cumplimiento[[#This Row], [Mes]]=""),"",DATE(A26,MATCH(B26,{"enero","febrero","marzo","abril","mayo","junio","julio","agosto","septiembre","octubre","noviembre","diciembre"},0)+1,0))</f>
        <v>45412</v>
      </c>
      <c r="D26" t="s">
        <v>103</v>
      </c>
      <c r="E26" t="str">
        <f>+IFERROR(VLOOKUP(Fact_Cumplimiento[[#This Row], [Concepto Anterior]],Conceptos_Cumplimiento[#All],5,0),"")</f>
        <v>Numero de razones sociales atendidas indirectas</v>
      </c>
      <c r="F26" t="str">
        <f ca="1">+IFERROR(VLOOKUP(Fact_Cumplimiento[[#This Row], [Concepto Anterior]],Conceptos_Cumplimiento[#All],7,0),"")</f>
        <v/>
      </c>
      <c r="G26" t="s">
        <v>172</v>
      </c>
      <c r="H26" t="s">
        <v>172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176</v>
      </c>
      <c r="C27" s="100">
        <f>IF(OR(Fact_Cumplimiento[[#This Row], [Año]]="",Fact_Cumplimiento[[#This Row], [Mes]]=""),"",DATE(A27,MATCH(B27,{"enero","febrero","marzo","abril","mayo","junio","julio","agosto","septiembre","octubre","noviembre","diciembre"},0)+1,0))</f>
        <v>45412</v>
      </c>
      <c r="D27" t="s">
        <v>105</v>
      </c>
      <c r="E27" t="str">
        <f>+IFERROR(VLOOKUP(Fact_Cumplimiento[[#This Row], [Concepto Anterior]],Conceptos_Cumplimiento[#All],5,0),"")</f>
        <v>Numeros de terceros evaluados</v>
      </c>
      <c r="F27" t="str">
        <f ca="1">+IFERROR(VLOOKUP(Fact_Cumplimiento[[#This Row], [Concepto Anterior]],Conceptos_Cumplimiento[#All],7,0),"")</f>
        <v/>
      </c>
      <c r="G27" t="s">
        <v>172</v>
      </c>
      <c r="H27" t="s">
        <v>172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93">
        <v>0</v>
      </c>
    </row>
    <row r="28" spans="1:11" ht="18.75" customHeight="1" x14ac:dyDescent="0.35">
      <c r="A28" s="93">
        <v>2024</v>
      </c>
      <c r="B28" t="s">
        <v>176</v>
      </c>
      <c r="C28" s="100">
        <f>IF(OR(Fact_Cumplimiento[[#This Row], [Año]]="",Fact_Cumplimiento[[#This Row], [Mes]]=""),"",DATE(A28,MATCH(B28,{"enero","febrero","marzo","abril","mayo","junio","julio","agosto","septiembre","octubre","noviembre","diciembre"},0)+1,0))</f>
        <v>45412</v>
      </c>
      <c r="D28" t="s">
        <v>173</v>
      </c>
      <c r="E28" t="str">
        <f>+IFERROR(VLOOKUP(Fact_Cumplimiento[[#This Row], [Concepto Anterior]],Conceptos_Cumplimiento[#All],5,0),"")</f>
        <v>Público Capacitado</v>
      </c>
      <c r="F28" t="str">
        <f ca="1">+IFERROR(VLOOKUP(Fact_Cumplimiento[[#This Row], [Concepto Anterior]],Conceptos_Cumplimiento[#All],7,0),"")</f>
        <v/>
      </c>
      <c r="G28" t="s">
        <v>172</v>
      </c>
      <c r="H28" t="s">
        <v>172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92">
        <v>0.89949999999999997</v>
      </c>
    </row>
    <row r="29" spans="1:11" ht="18.75" customHeight="1" x14ac:dyDescent="0.35">
      <c r="A29" s="93">
        <v>2024</v>
      </c>
      <c r="B29" t="s">
        <v>176</v>
      </c>
      <c r="C29" s="100">
        <f>IF(OR(Fact_Cumplimiento[[#This Row], [Año]]="",Fact_Cumplimiento[[#This Row], [Mes]]=""),"",DATE(A29,MATCH(B29,{"enero","febrero","marzo","abril","mayo","junio","julio","agosto","septiembre","octubre","noviembre","diciembre"},0)+1,0))</f>
        <v>45412</v>
      </c>
      <c r="D29" t="s">
        <v>161</v>
      </c>
      <c r="E29" t="str">
        <f>+IFERROR(VLOOKUP(Fact_Cumplimiento[[#This Row], [Concepto Anterior]],Conceptos_Cumplimiento[#All],5,0),"")</f>
        <v>Registro Clientes Mayoristas​</v>
      </c>
      <c r="F29" t="str">
        <f ca="1">+IFERROR(VLOOKUP(Fact_Cumplimiento[[#This Row], [Concepto Anterior]],Conceptos_Cumplimiento[#All],7,0),"")</f>
        <v/>
      </c>
      <c r="G29" t="s">
        <v>172</v>
      </c>
      <c r="H29" t="s">
        <v>172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93">
        <v>8</v>
      </c>
    </row>
    <row r="30" spans="1:11" ht="18.75" customHeight="1" x14ac:dyDescent="0.35">
      <c r="A30" s="93">
        <v>2024</v>
      </c>
      <c r="B30" t="s">
        <v>177</v>
      </c>
      <c r="C30" s="100">
        <f>IF(OR(Fact_Cumplimiento[[#This Row], [Año]]="",Fact_Cumplimiento[[#This Row], [Mes]]=""),"",DATE(A30,MATCH(B30,{"enero","febrero","marzo","abril","mayo","junio","julio","agosto","septiembre","octubre","noviembre","diciembre"},0)+1,0))</f>
        <v>45443</v>
      </c>
      <c r="D30" t="s">
        <v>106</v>
      </c>
      <c r="E30" t="str">
        <f>+IFERROR(VLOOKUP(Fact_Cumplimiento[[#This Row], [Concepto Anterior]],Conceptos_Cumplimiento[#All],5,0),"")</f>
        <v>Comunicados para generación de cultura de riesgos</v>
      </c>
      <c r="F30" t="str">
        <f ca="1">+IFERROR(VLOOKUP(Fact_Cumplimiento[[#This Row], [Concepto Anterior]],Conceptos_Cumplimiento[#All],7,0),"")</f>
        <v/>
      </c>
      <c r="G30" t="s">
        <v>172</v>
      </c>
      <c r="H30" t="s">
        <v>172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93">
        <v>2</v>
      </c>
    </row>
    <row r="31" spans="1:11" ht="18.75" customHeight="1" x14ac:dyDescent="0.35">
      <c r="A31" s="93">
        <v>2024</v>
      </c>
      <c r="B31" t="s">
        <v>177</v>
      </c>
      <c r="C31" s="100">
        <f>IF(OR(Fact_Cumplimiento[[#This Row], [Año]]="",Fact_Cumplimiento[[#This Row], [Mes]]=""),"",DATE(A31,MATCH(B31,{"enero","febrero","marzo","abril","mayo","junio","julio","agosto","septiembre","octubre","noviembre","diciembre"},0)+1,0))</f>
        <v>45443</v>
      </c>
      <c r="D31" t="s">
        <v>104</v>
      </c>
      <c r="E31" t="str">
        <f>+IFERROR(VLOOKUP(Fact_Cumplimiento[[#This Row], [Concepto Anterior]],Conceptos_Cumplimiento[#All],5,0),"")</f>
        <v>Identificación relaciones con posible conflicto de interes</v>
      </c>
      <c r="F31" t="str">
        <f ca="1">+IFERROR(VLOOKUP(Fact_Cumplimiento[[#This Row], [Concepto Anterior]],Conceptos_Cumplimiento[#All],7,0),"")</f>
        <v/>
      </c>
      <c r="G31" t="s">
        <v>172</v>
      </c>
      <c r="H31" t="s">
        <v>172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93">
        <v>0</v>
      </c>
    </row>
    <row r="32" spans="1:11" ht="18.75" customHeight="1" x14ac:dyDescent="0.35">
      <c r="A32" s="93">
        <v>2024</v>
      </c>
      <c r="B32" t="s">
        <v>177</v>
      </c>
      <c r="C32" s="100">
        <f>IF(OR(Fact_Cumplimiento[[#This Row], [Año]]="",Fact_Cumplimiento[[#This Row], [Mes]]=""),"",DATE(A32,MATCH(B32,{"enero","febrero","marzo","abril","mayo","junio","julio","agosto","septiembre","octubre","noviembre","diciembre"},0)+1,0))</f>
        <v>45443</v>
      </c>
      <c r="D32" t="s">
        <v>102</v>
      </c>
      <c r="E32" t="str">
        <f>+IFERROR(VLOOKUP(Fact_Cumplimiento[[#This Row], [Concepto Anterior]],Conceptos_Cumplimiento[#All],5,0),"")</f>
        <v>Numero de razones sociales atendidas directas</v>
      </c>
      <c r="F32" t="str">
        <f ca="1">+IFERROR(VLOOKUP(Fact_Cumplimiento[[#This Row], [Concepto Anterior]],Conceptos_Cumplimiento[#All],7,0),"")</f>
        <v/>
      </c>
      <c r="G32" t="s">
        <v>172</v>
      </c>
      <c r="H32" t="s">
        <v>172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93">
        <v>0</v>
      </c>
    </row>
    <row r="33" spans="1:11" ht="18.75" customHeight="1" x14ac:dyDescent="0.35">
      <c r="A33" s="93">
        <v>2024</v>
      </c>
      <c r="B33" t="s">
        <v>177</v>
      </c>
      <c r="C33" s="100">
        <f>IF(OR(Fact_Cumplimiento[[#This Row], [Año]]="",Fact_Cumplimiento[[#This Row], [Mes]]=""),"",DATE(A33,MATCH(B33,{"enero","febrero","marzo","abril","mayo","junio","julio","agosto","septiembre","octubre","noviembre","diciembre"},0)+1,0))</f>
        <v>45443</v>
      </c>
      <c r="D33" t="s">
        <v>103</v>
      </c>
      <c r="E33" t="str">
        <f>+IFERROR(VLOOKUP(Fact_Cumplimiento[[#This Row], [Concepto Anterior]],Conceptos_Cumplimiento[#All],5,0),"")</f>
        <v>Numero de razones sociales atendidas indirectas</v>
      </c>
      <c r="F33" t="str">
        <f ca="1">+IFERROR(VLOOKUP(Fact_Cumplimiento[[#This Row], [Concepto Anterior]],Conceptos_Cumplimiento[#All],7,0),"")</f>
        <v/>
      </c>
      <c r="G33" t="s">
        <v>172</v>
      </c>
      <c r="H33" t="s">
        <v>172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177</v>
      </c>
      <c r="C34" s="100">
        <f>IF(OR(Fact_Cumplimiento[[#This Row], [Año]]="",Fact_Cumplimiento[[#This Row], [Mes]]=""),"",DATE(A34,MATCH(B34,{"enero","febrero","marzo","abril","mayo","junio","julio","agosto","septiembre","octubre","noviembre","diciembre"},0)+1,0))</f>
        <v>45443</v>
      </c>
      <c r="D34" t="s">
        <v>105</v>
      </c>
      <c r="E34" t="str">
        <f>+IFERROR(VLOOKUP(Fact_Cumplimiento[[#This Row], [Concepto Anterior]],Conceptos_Cumplimiento[#All],5,0),"")</f>
        <v>Numeros de terceros evaluados</v>
      </c>
      <c r="F34" t="str">
        <f ca="1">+IFERROR(VLOOKUP(Fact_Cumplimiento[[#This Row], [Concepto Anterior]],Conceptos_Cumplimiento[#All],7,0),"")</f>
        <v/>
      </c>
      <c r="G34" t="s">
        <v>172</v>
      </c>
      <c r="H34" t="s">
        <v>172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177</v>
      </c>
      <c r="C35" s="100">
        <f>IF(OR(Fact_Cumplimiento[[#This Row], [Año]]="",Fact_Cumplimiento[[#This Row], [Mes]]=""),"",DATE(A35,MATCH(B35,{"enero","febrero","marzo","abril","mayo","junio","julio","agosto","septiembre","octubre","noviembre","diciembre"},0)+1,0))</f>
        <v>45443</v>
      </c>
      <c r="D35" t="s">
        <v>173</v>
      </c>
      <c r="E35" t="str">
        <f>+IFERROR(VLOOKUP(Fact_Cumplimiento[[#This Row], [Concepto Anterior]],Conceptos_Cumplimiento[#All],5,0),"")</f>
        <v>Público Capacitado</v>
      </c>
      <c r="F35" t="str">
        <f ca="1">+IFERROR(VLOOKUP(Fact_Cumplimiento[[#This Row], [Concepto Anterior]],Conceptos_Cumplimiento[#All],7,0),"")</f>
        <v/>
      </c>
      <c r="G35" t="s">
        <v>172</v>
      </c>
      <c r="H35" t="s">
        <v>172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92">
        <v>0.90180000000000005</v>
      </c>
    </row>
    <row r="36" spans="1:11" ht="18.75" customHeight="1" x14ac:dyDescent="0.35">
      <c r="A36" s="93">
        <v>2024</v>
      </c>
      <c r="B36" t="s">
        <v>177</v>
      </c>
      <c r="C36" s="100">
        <f>IF(OR(Fact_Cumplimiento[[#This Row], [Año]]="",Fact_Cumplimiento[[#This Row], [Mes]]=""),"",DATE(A36,MATCH(B36,{"enero","febrero","marzo","abril","mayo","junio","julio","agosto","septiembre","octubre","noviembre","diciembre"},0)+1,0))</f>
        <v>45443</v>
      </c>
      <c r="D36" t="s">
        <v>161</v>
      </c>
      <c r="E36" t="str">
        <f>+IFERROR(VLOOKUP(Fact_Cumplimiento[[#This Row], [Concepto Anterior]],Conceptos_Cumplimiento[#All],5,0),"")</f>
        <v>Registro Clientes Mayoristas​</v>
      </c>
      <c r="F36" t="str">
        <f ca="1">+IFERROR(VLOOKUP(Fact_Cumplimiento[[#This Row], [Concepto Anterior]],Conceptos_Cumplimiento[#All],7,0),"")</f>
        <v/>
      </c>
      <c r="G36" t="s">
        <v>172</v>
      </c>
      <c r="H36" t="s">
        <v>172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93">
        <v>5</v>
      </c>
    </row>
    <row r="37" spans="1:11" ht="18.75" customHeight="1" x14ac:dyDescent="0.35">
      <c r="A37" s="93">
        <v>2024</v>
      </c>
      <c r="B37" t="s">
        <v>178</v>
      </c>
      <c r="C37" s="100">
        <f>IF(OR(Fact_Cumplimiento[[#This Row], [Año]]="",Fact_Cumplimiento[[#This Row], [Mes]]=""),"",DATE(A37,MATCH(B37,{"enero","febrero","marzo","abril","mayo","junio","julio","agosto","septiembre","octubre","noviembre","diciembre"},0)+1,0))</f>
        <v>45473</v>
      </c>
      <c r="D37" t="s">
        <v>106</v>
      </c>
      <c r="E37" t="str">
        <f>+IFERROR(VLOOKUP(Fact_Cumplimiento[[#This Row], [Concepto Anterior]],Conceptos_Cumplimiento[#All],5,0),"")</f>
        <v>Comunicados para generación de cultura de riesgos</v>
      </c>
      <c r="F37" t="str">
        <f ca="1">+IFERROR(VLOOKUP(Fact_Cumplimiento[[#This Row], [Concepto Anterior]],Conceptos_Cumplimiento[#All],7,0),"")</f>
        <v/>
      </c>
      <c r="G37" t="s">
        <v>172</v>
      </c>
      <c r="H37" t="s">
        <v>172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93">
        <v>4</v>
      </c>
    </row>
    <row r="38" spans="1:11" ht="18.75" customHeight="1" x14ac:dyDescent="0.35">
      <c r="A38" s="93">
        <v>2024</v>
      </c>
      <c r="B38" t="s">
        <v>178</v>
      </c>
      <c r="C38" s="100">
        <f>IF(OR(Fact_Cumplimiento[[#This Row], [Año]]="",Fact_Cumplimiento[[#This Row], [Mes]]=""),"",DATE(A38,MATCH(B38,{"enero","febrero","marzo","abril","mayo","junio","julio","agosto","septiembre","octubre","noviembre","diciembre"},0)+1,0))</f>
        <v>45473</v>
      </c>
      <c r="D38" t="s">
        <v>104</v>
      </c>
      <c r="E38" t="str">
        <f>+IFERROR(VLOOKUP(Fact_Cumplimiento[[#This Row], [Concepto Anterior]],Conceptos_Cumplimiento[#All],5,0),"")</f>
        <v>Identificación relaciones con posible conflicto de interes</v>
      </c>
      <c r="F38" t="str">
        <f ca="1">+IFERROR(VLOOKUP(Fact_Cumplimiento[[#This Row], [Concepto Anterior]],Conceptos_Cumplimiento[#All],7,0),"")</f>
        <v/>
      </c>
      <c r="G38" t="s">
        <v>172</v>
      </c>
      <c r="H38" t="s">
        <v>172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178</v>
      </c>
      <c r="C39" s="100">
        <f>IF(OR(Fact_Cumplimiento[[#This Row], [Año]]="",Fact_Cumplimiento[[#This Row], [Mes]]=""),"",DATE(A39,MATCH(B39,{"enero","febrero","marzo","abril","mayo","junio","julio","agosto","septiembre","octubre","noviembre","diciembre"},0)+1,0))</f>
        <v>45473</v>
      </c>
      <c r="D39" t="s">
        <v>102</v>
      </c>
      <c r="E39" t="str">
        <f>+IFERROR(VLOOKUP(Fact_Cumplimiento[[#This Row], [Concepto Anterior]],Conceptos_Cumplimiento[#All],5,0),"")</f>
        <v>Numero de razones sociales atendidas directas</v>
      </c>
      <c r="F39" t="str">
        <f ca="1">+IFERROR(VLOOKUP(Fact_Cumplimiento[[#This Row], [Concepto Anterior]],Conceptos_Cumplimiento[#All],7,0),"")</f>
        <v/>
      </c>
      <c r="G39" t="s">
        <v>172</v>
      </c>
      <c r="H39" t="s">
        <v>172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178</v>
      </c>
      <c r="C40" s="100">
        <f>IF(OR(Fact_Cumplimiento[[#This Row], [Año]]="",Fact_Cumplimiento[[#This Row], [Mes]]=""),"",DATE(A40,MATCH(B40,{"enero","febrero","marzo","abril","mayo","junio","julio","agosto","septiembre","octubre","noviembre","diciembre"},0)+1,0))</f>
        <v>45473</v>
      </c>
      <c r="D40" t="s">
        <v>103</v>
      </c>
      <c r="E40" t="str">
        <f>+IFERROR(VLOOKUP(Fact_Cumplimiento[[#This Row], [Concepto Anterior]],Conceptos_Cumplimiento[#All],5,0),"")</f>
        <v>Numero de razones sociales atendidas indirectas</v>
      </c>
      <c r="F40" t="str">
        <f ca="1">+IFERROR(VLOOKUP(Fact_Cumplimiento[[#This Row], [Concepto Anterior]],Conceptos_Cumplimiento[#All],7,0),"")</f>
        <v/>
      </c>
      <c r="G40" t="s">
        <v>172</v>
      </c>
      <c r="H40" t="s">
        <v>172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93">
        <v>0</v>
      </c>
    </row>
    <row r="41" spans="1:11" ht="18.75" customHeight="1" x14ac:dyDescent="0.35">
      <c r="A41" s="93">
        <v>2024</v>
      </c>
      <c r="B41" t="s">
        <v>178</v>
      </c>
      <c r="C41" s="100">
        <f>IF(OR(Fact_Cumplimiento[[#This Row], [Año]]="",Fact_Cumplimiento[[#This Row], [Mes]]=""),"",DATE(A41,MATCH(B41,{"enero","febrero","marzo","abril","mayo","junio","julio","agosto","septiembre","octubre","noviembre","diciembre"},0)+1,0))</f>
        <v>45473</v>
      </c>
      <c r="D41" t="s">
        <v>105</v>
      </c>
      <c r="E41" t="str">
        <f>+IFERROR(VLOOKUP(Fact_Cumplimiento[[#This Row], [Concepto Anterior]],Conceptos_Cumplimiento[#All],5,0),"")</f>
        <v>Numeros de terceros evaluados</v>
      </c>
      <c r="F41" t="str">
        <f ca="1">+IFERROR(VLOOKUP(Fact_Cumplimiento[[#This Row], [Concepto Anterior]],Conceptos_Cumplimiento[#All],7,0),"")</f>
        <v/>
      </c>
      <c r="G41" t="s">
        <v>172</v>
      </c>
      <c r="H41" t="s">
        <v>172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93">
        <v>0</v>
      </c>
    </row>
    <row r="42" spans="1:11" ht="18.75" customHeight="1" x14ac:dyDescent="0.35">
      <c r="A42" s="93">
        <v>2024</v>
      </c>
      <c r="B42" t="s">
        <v>178</v>
      </c>
      <c r="C42" s="100">
        <f>IF(OR(Fact_Cumplimiento[[#This Row], [Año]]="",Fact_Cumplimiento[[#This Row], [Mes]]=""),"",DATE(A42,MATCH(B42,{"enero","febrero","marzo","abril","mayo","junio","julio","agosto","septiembre","octubre","noviembre","diciembre"},0)+1,0))</f>
        <v>45473</v>
      </c>
      <c r="D42" t="s">
        <v>173</v>
      </c>
      <c r="E42" t="str">
        <f>+IFERROR(VLOOKUP(Fact_Cumplimiento[[#This Row], [Concepto Anterior]],Conceptos_Cumplimiento[#All],5,0),"")</f>
        <v>Público Capacitado</v>
      </c>
      <c r="F42" t="str">
        <f ca="1">+IFERROR(VLOOKUP(Fact_Cumplimiento[[#This Row], [Concepto Anterior]],Conceptos_Cumplimiento[#All],7,0),"")</f>
        <v/>
      </c>
      <c r="G42" t="s">
        <v>172</v>
      </c>
      <c r="H42" t="s">
        <v>172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92">
        <v>0.9042</v>
      </c>
    </row>
    <row r="43" spans="1:11" ht="18.75" customHeight="1" x14ac:dyDescent="0.35">
      <c r="A43" s="93">
        <v>2024</v>
      </c>
      <c r="B43" t="s">
        <v>178</v>
      </c>
      <c r="C43" s="100">
        <f>IF(OR(Fact_Cumplimiento[[#This Row], [Año]]="",Fact_Cumplimiento[[#This Row], [Mes]]=""),"",DATE(A43,MATCH(B43,{"enero","febrero","marzo","abril","mayo","junio","julio","agosto","septiembre","octubre","noviembre","diciembre"},0)+1,0))</f>
        <v>45473</v>
      </c>
      <c r="D43" t="s">
        <v>161</v>
      </c>
      <c r="E43" t="str">
        <f>+IFERROR(VLOOKUP(Fact_Cumplimiento[[#This Row], [Concepto Anterior]],Conceptos_Cumplimiento[#All],5,0),"")</f>
        <v>Registro Clientes Mayoristas​</v>
      </c>
      <c r="F43" t="str">
        <f ca="1">+IFERROR(VLOOKUP(Fact_Cumplimiento[[#This Row], [Concepto Anterior]],Conceptos_Cumplimiento[#All],7,0),"")</f>
        <v/>
      </c>
      <c r="G43" t="s">
        <v>172</v>
      </c>
      <c r="H43" t="s">
        <v>172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93">
        <v>8</v>
      </c>
    </row>
    <row r="44" spans="1:11" ht="18.75" customHeight="1" x14ac:dyDescent="0.35">
      <c r="A44" s="93">
        <v>2024</v>
      </c>
      <c r="B44" t="s">
        <v>179</v>
      </c>
      <c r="C44" s="100">
        <f>IF(OR(Fact_Cumplimiento[[#This Row], [Año]]="",Fact_Cumplimiento[[#This Row], [Mes]]=""),"",DATE(A44,MATCH(B44,{"enero","febrero","marzo","abril","mayo","junio","julio","agosto","septiembre","octubre","noviembre","diciembre"},0)+1,0))</f>
        <v>45504</v>
      </c>
      <c r="D44" t="s">
        <v>106</v>
      </c>
      <c r="E44" t="str">
        <f>+IFERROR(VLOOKUP(Fact_Cumplimiento[[#This Row], [Concepto Anterior]],Conceptos_Cumplimiento[#All],5,0),"")</f>
        <v>Comunicados para generación de cultura de riesgos</v>
      </c>
      <c r="F44" t="str">
        <f ca="1">+IFERROR(VLOOKUP(Fact_Cumplimiento[[#This Row], [Concepto Anterior]],Conceptos_Cumplimiento[#All],7,0),"")</f>
        <v/>
      </c>
      <c r="G44" t="s">
        <v>172</v>
      </c>
      <c r="H44" t="s">
        <v>172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93">
        <v>5</v>
      </c>
    </row>
    <row r="45" spans="1:11" ht="18.75" customHeight="1" x14ac:dyDescent="0.35">
      <c r="A45" s="93">
        <v>2024</v>
      </c>
      <c r="B45" t="s">
        <v>179</v>
      </c>
      <c r="C45" s="100">
        <f>IF(OR(Fact_Cumplimiento[[#This Row], [Año]]="",Fact_Cumplimiento[[#This Row], [Mes]]=""),"",DATE(A45,MATCH(B45,{"enero","febrero","marzo","abril","mayo","junio","julio","agosto","septiembre","octubre","noviembre","diciembre"},0)+1,0))</f>
        <v>45504</v>
      </c>
      <c r="D45" t="s">
        <v>104</v>
      </c>
      <c r="E45" t="str">
        <f>+IFERROR(VLOOKUP(Fact_Cumplimiento[[#This Row], [Concepto Anterior]],Conceptos_Cumplimiento[#All],5,0),"")</f>
        <v>Identificación relaciones con posible conflicto de interes</v>
      </c>
      <c r="F45" t="str">
        <f ca="1">+IFERROR(VLOOKUP(Fact_Cumplimiento[[#This Row], [Concepto Anterior]],Conceptos_Cumplimiento[#All],7,0),"")</f>
        <v/>
      </c>
      <c r="G45" t="s">
        <v>172</v>
      </c>
      <c r="H45" t="s">
        <v>172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93">
        <v>0</v>
      </c>
    </row>
    <row r="46" spans="1:11" ht="18.75" customHeight="1" x14ac:dyDescent="0.35">
      <c r="A46" s="93">
        <v>2024</v>
      </c>
      <c r="B46" t="s">
        <v>179</v>
      </c>
      <c r="C46" s="100">
        <f>IF(OR(Fact_Cumplimiento[[#This Row], [Año]]="",Fact_Cumplimiento[[#This Row], [Mes]]=""),"",DATE(A46,MATCH(B46,{"enero","febrero","marzo","abril","mayo","junio","julio","agosto","septiembre","octubre","noviembre","diciembre"},0)+1,0))</f>
        <v>45504</v>
      </c>
      <c r="D46" t="s">
        <v>102</v>
      </c>
      <c r="E46" t="str">
        <f>+IFERROR(VLOOKUP(Fact_Cumplimiento[[#This Row], [Concepto Anterior]],Conceptos_Cumplimiento[#All],5,0),"")</f>
        <v>Numero de razones sociales atendidas directas</v>
      </c>
      <c r="F46" t="str">
        <f ca="1">+IFERROR(VLOOKUP(Fact_Cumplimiento[[#This Row], [Concepto Anterior]],Conceptos_Cumplimiento[#All],7,0),"")</f>
        <v/>
      </c>
      <c r="G46" t="s">
        <v>172</v>
      </c>
      <c r="H46" t="s">
        <v>172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93">
        <v>0</v>
      </c>
    </row>
    <row r="47" spans="1:11" ht="18.75" customHeight="1" x14ac:dyDescent="0.35">
      <c r="A47" s="93">
        <v>2024</v>
      </c>
      <c r="B47" t="s">
        <v>179</v>
      </c>
      <c r="C47" s="100">
        <f>IF(OR(Fact_Cumplimiento[[#This Row], [Año]]="",Fact_Cumplimiento[[#This Row], [Mes]]=""),"",DATE(A47,MATCH(B47,{"enero","febrero","marzo","abril","mayo","junio","julio","agosto","septiembre","octubre","noviembre","diciembre"},0)+1,0))</f>
        <v>45504</v>
      </c>
      <c r="D47" t="s">
        <v>103</v>
      </c>
      <c r="E47" t="str">
        <f>+IFERROR(VLOOKUP(Fact_Cumplimiento[[#This Row], [Concepto Anterior]],Conceptos_Cumplimiento[#All],5,0),"")</f>
        <v>Numero de razones sociales atendidas indirectas</v>
      </c>
      <c r="F47" t="str">
        <f ca="1">+IFERROR(VLOOKUP(Fact_Cumplimiento[[#This Row], [Concepto Anterior]],Conceptos_Cumplimiento[#All],7,0),"")</f>
        <v/>
      </c>
      <c r="G47" t="s">
        <v>172</v>
      </c>
      <c r="H47" t="s">
        <v>172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93">
        <v>0</v>
      </c>
    </row>
    <row r="48" spans="1:11" ht="18.75" customHeight="1" x14ac:dyDescent="0.35">
      <c r="A48" s="93">
        <v>2024</v>
      </c>
      <c r="B48" t="s">
        <v>179</v>
      </c>
      <c r="C48" s="100">
        <f>IF(OR(Fact_Cumplimiento[[#This Row], [Año]]="",Fact_Cumplimiento[[#This Row], [Mes]]=""),"",DATE(A48,MATCH(B48,{"enero","febrero","marzo","abril","mayo","junio","julio","agosto","septiembre","octubre","noviembre","diciembre"},0)+1,0))</f>
        <v>45504</v>
      </c>
      <c r="D48" t="s">
        <v>105</v>
      </c>
      <c r="E48" t="str">
        <f>+IFERROR(VLOOKUP(Fact_Cumplimiento[[#This Row], [Concepto Anterior]],Conceptos_Cumplimiento[#All],5,0),"")</f>
        <v>Numeros de terceros evaluados</v>
      </c>
      <c r="F48" t="str">
        <f ca="1">+IFERROR(VLOOKUP(Fact_Cumplimiento[[#This Row], [Concepto Anterior]],Conceptos_Cumplimiento[#All],7,0),"")</f>
        <v/>
      </c>
      <c r="G48" t="s">
        <v>172</v>
      </c>
      <c r="H48" t="s">
        <v>172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179</v>
      </c>
      <c r="C49" s="100">
        <f>IF(OR(Fact_Cumplimiento[[#This Row], [Año]]="",Fact_Cumplimiento[[#This Row], [Mes]]=""),"",DATE(A49,MATCH(B49,{"enero","febrero","marzo","abril","mayo","junio","julio","agosto","septiembre","octubre","noviembre","diciembre"},0)+1,0))</f>
        <v>45504</v>
      </c>
      <c r="D49" t="s">
        <v>173</v>
      </c>
      <c r="E49" t="str">
        <f>+IFERROR(VLOOKUP(Fact_Cumplimiento[[#This Row], [Concepto Anterior]],Conceptos_Cumplimiento[#All],5,0),"")</f>
        <v>Público Capacitado</v>
      </c>
      <c r="F49" t="str">
        <f ca="1">+IFERROR(VLOOKUP(Fact_Cumplimiento[[#This Row], [Concepto Anterior]],Conceptos_Cumplimiento[#All],7,0),"")</f>
        <v/>
      </c>
      <c r="G49" t="s">
        <v>172</v>
      </c>
      <c r="H49" t="s">
        <v>172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92">
        <v>0.90300000000000002</v>
      </c>
    </row>
    <row r="50" spans="1:11" ht="18.75" customHeight="1" x14ac:dyDescent="0.35">
      <c r="A50" s="93">
        <v>2024</v>
      </c>
      <c r="B50" t="s">
        <v>179</v>
      </c>
      <c r="C50" s="100">
        <f>IF(OR(Fact_Cumplimiento[[#This Row], [Año]]="",Fact_Cumplimiento[[#This Row], [Mes]]=""),"",DATE(A50,MATCH(B50,{"enero","febrero","marzo","abril","mayo","junio","julio","agosto","septiembre","octubre","noviembre","diciembre"},0)+1,0))</f>
        <v>45504</v>
      </c>
      <c r="D50" t="s">
        <v>161</v>
      </c>
      <c r="E50" t="str">
        <f>+IFERROR(VLOOKUP(Fact_Cumplimiento[[#This Row], [Concepto Anterior]],Conceptos_Cumplimiento[#All],5,0),"")</f>
        <v>Registro Clientes Mayoristas​</v>
      </c>
      <c r="F50" t="str">
        <f ca="1">+IFERROR(VLOOKUP(Fact_Cumplimiento[[#This Row], [Concepto Anterior]],Conceptos_Cumplimiento[#All],7,0),"")</f>
        <v/>
      </c>
      <c r="G50" t="s">
        <v>172</v>
      </c>
      <c r="H50" t="s">
        <v>172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93">
        <v>12</v>
      </c>
    </row>
    <row r="51" spans="1:11" ht="18.75" customHeight="1" x14ac:dyDescent="0.35">
      <c r="A51" s="93">
        <v>2024</v>
      </c>
      <c r="B51" t="s">
        <v>180</v>
      </c>
      <c r="C51" s="100">
        <f>IF(OR(Fact_Cumplimiento[[#This Row], [Año]]="",Fact_Cumplimiento[[#This Row], [Mes]]=""),"",DATE(A51,MATCH(B51,{"enero","febrero","marzo","abril","mayo","junio","julio","agosto","septiembre","octubre","noviembre","diciembre"},0)+1,0))</f>
        <v>45535</v>
      </c>
      <c r="D51" t="s">
        <v>106</v>
      </c>
      <c r="E51" t="str">
        <f>+IFERROR(VLOOKUP(Fact_Cumplimiento[[#This Row], [Concepto Anterior]],Conceptos_Cumplimiento[#All],5,0),"")</f>
        <v>Comunicados para generación de cultura de riesgos</v>
      </c>
      <c r="F51" t="str">
        <f ca="1">+IFERROR(VLOOKUP(Fact_Cumplimiento[[#This Row], [Concepto Anterior]],Conceptos_Cumplimiento[#All],7,0),"")</f>
        <v/>
      </c>
      <c r="G51" t="s">
        <v>172</v>
      </c>
      <c r="H51" t="s">
        <v>172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180</v>
      </c>
      <c r="C52" s="100">
        <f>IF(OR(Fact_Cumplimiento[[#This Row], [Año]]="",Fact_Cumplimiento[[#This Row], [Mes]]=""),"",DATE(A52,MATCH(B52,{"enero","febrero","marzo","abril","mayo","junio","julio","agosto","septiembre","octubre","noviembre","diciembre"},0)+1,0))</f>
        <v>45535</v>
      </c>
      <c r="D52" t="s">
        <v>104</v>
      </c>
      <c r="E52" t="str">
        <f>+IFERROR(VLOOKUP(Fact_Cumplimiento[[#This Row], [Concepto Anterior]],Conceptos_Cumplimiento[#All],5,0),"")</f>
        <v>Identificación relaciones con posible conflicto de interes</v>
      </c>
      <c r="F52" t="str">
        <f ca="1">+IFERROR(VLOOKUP(Fact_Cumplimiento[[#This Row], [Concepto Anterior]],Conceptos_Cumplimiento[#All],7,0),"")</f>
        <v/>
      </c>
      <c r="G52" t="s">
        <v>172</v>
      </c>
      <c r="H52" t="s">
        <v>172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180</v>
      </c>
      <c r="C53" s="100">
        <f>IF(OR(Fact_Cumplimiento[[#This Row], [Año]]="",Fact_Cumplimiento[[#This Row], [Mes]]=""),"",DATE(A53,MATCH(B53,{"enero","febrero","marzo","abril","mayo","junio","julio","agosto","septiembre","octubre","noviembre","diciembre"},0)+1,0))</f>
        <v>45535</v>
      </c>
      <c r="D53" t="s">
        <v>102</v>
      </c>
      <c r="E53" t="str">
        <f>+IFERROR(VLOOKUP(Fact_Cumplimiento[[#This Row], [Concepto Anterior]],Conceptos_Cumplimiento[#All],5,0),"")</f>
        <v>Numero de razones sociales atendidas directas</v>
      </c>
      <c r="F53" t="str">
        <f ca="1">+IFERROR(VLOOKUP(Fact_Cumplimiento[[#This Row], [Concepto Anterior]],Conceptos_Cumplimiento[#All],7,0),"")</f>
        <v/>
      </c>
      <c r="G53" t="s">
        <v>172</v>
      </c>
      <c r="H53" t="s">
        <v>172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180</v>
      </c>
      <c r="C54" s="100">
        <f>IF(OR(Fact_Cumplimiento[[#This Row], [Año]]="",Fact_Cumplimiento[[#This Row], [Mes]]=""),"",DATE(A54,MATCH(B54,{"enero","febrero","marzo","abril","mayo","junio","julio","agosto","septiembre","octubre","noviembre","diciembre"},0)+1,0))</f>
        <v>45535</v>
      </c>
      <c r="D54" t="s">
        <v>103</v>
      </c>
      <c r="E54" t="str">
        <f>+IFERROR(VLOOKUP(Fact_Cumplimiento[[#This Row], [Concepto Anterior]],Conceptos_Cumplimiento[#All],5,0),"")</f>
        <v>Numero de razones sociales atendidas indirectas</v>
      </c>
      <c r="F54" t="str">
        <f ca="1">+IFERROR(VLOOKUP(Fact_Cumplimiento[[#This Row], [Concepto Anterior]],Conceptos_Cumplimiento[#All],7,0),"")</f>
        <v/>
      </c>
      <c r="G54" t="s">
        <v>172</v>
      </c>
      <c r="H54" t="s">
        <v>172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93">
        <v>0</v>
      </c>
    </row>
    <row r="55" spans="1:11" ht="18.75" customHeight="1" x14ac:dyDescent="0.35">
      <c r="A55" s="93">
        <v>2024</v>
      </c>
      <c r="B55" t="s">
        <v>180</v>
      </c>
      <c r="C55" s="100">
        <f>IF(OR(Fact_Cumplimiento[[#This Row], [Año]]="",Fact_Cumplimiento[[#This Row], [Mes]]=""),"",DATE(A55,MATCH(B55,{"enero","febrero","marzo","abril","mayo","junio","julio","agosto","septiembre","octubre","noviembre","diciembre"},0)+1,0))</f>
        <v>45535</v>
      </c>
      <c r="D55" t="s">
        <v>105</v>
      </c>
      <c r="E55" t="str">
        <f>+IFERROR(VLOOKUP(Fact_Cumplimiento[[#This Row], [Concepto Anterior]],Conceptos_Cumplimiento[#All],5,0),"")</f>
        <v>Numeros de terceros evaluados</v>
      </c>
      <c r="F55" t="str">
        <f ca="1">+IFERROR(VLOOKUP(Fact_Cumplimiento[[#This Row], [Concepto Anterior]],Conceptos_Cumplimiento[#All],7,0),"")</f>
        <v/>
      </c>
      <c r="G55" t="s">
        <v>172</v>
      </c>
      <c r="H55" t="s">
        <v>172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93">
        <v>0</v>
      </c>
    </row>
    <row r="56" spans="1:11" ht="18.75" customHeight="1" x14ac:dyDescent="0.35">
      <c r="A56" s="93">
        <v>2024</v>
      </c>
      <c r="B56" t="s">
        <v>180</v>
      </c>
      <c r="C56" s="100">
        <f>IF(OR(Fact_Cumplimiento[[#This Row], [Año]]="",Fact_Cumplimiento[[#This Row], [Mes]]=""),"",DATE(A56,MATCH(B56,{"enero","febrero","marzo","abril","mayo","junio","julio","agosto","septiembre","octubre","noviembre","diciembre"},0)+1,0))</f>
        <v>45535</v>
      </c>
      <c r="D56" t="s">
        <v>173</v>
      </c>
      <c r="E56" t="str">
        <f>+IFERROR(VLOOKUP(Fact_Cumplimiento[[#This Row], [Concepto Anterior]],Conceptos_Cumplimiento[#All],5,0),"")</f>
        <v>Público Capacitado</v>
      </c>
      <c r="F56" t="str">
        <f ca="1">+IFERROR(VLOOKUP(Fact_Cumplimiento[[#This Row], [Concepto Anterior]],Conceptos_Cumplimiento[#All],7,0),"")</f>
        <v/>
      </c>
      <c r="G56" t="s">
        <v>172</v>
      </c>
      <c r="H56" t="s">
        <v>172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92">
        <v>0.89570000000000005</v>
      </c>
    </row>
    <row r="57" spans="1:11" ht="18.75" customHeight="1" x14ac:dyDescent="0.35">
      <c r="A57" s="93">
        <v>2024</v>
      </c>
      <c r="B57" t="s">
        <v>180</v>
      </c>
      <c r="C57" s="100">
        <f>IF(OR(Fact_Cumplimiento[[#This Row], [Año]]="",Fact_Cumplimiento[[#This Row], [Mes]]=""),"",DATE(A57,MATCH(B57,{"enero","febrero","marzo","abril","mayo","junio","julio","agosto","septiembre","octubre","noviembre","diciembre"},0)+1,0))</f>
        <v>45535</v>
      </c>
      <c r="D57" t="s">
        <v>161</v>
      </c>
      <c r="E57" t="str">
        <f>+IFERROR(VLOOKUP(Fact_Cumplimiento[[#This Row], [Concepto Anterior]],Conceptos_Cumplimiento[#All],5,0),"")</f>
        <v>Registro Clientes Mayoristas​</v>
      </c>
      <c r="F57" t="str">
        <f ca="1">+IFERROR(VLOOKUP(Fact_Cumplimiento[[#This Row], [Concepto Anterior]],Conceptos_Cumplimiento[#All],7,0),"")</f>
        <v/>
      </c>
      <c r="G57" t="s">
        <v>172</v>
      </c>
      <c r="H57" t="s">
        <v>172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93">
        <v>4</v>
      </c>
    </row>
    <row r="58" spans="1:11" ht="18.75" customHeight="1" x14ac:dyDescent="0.35">
      <c r="A58" s="93">
        <v>2024</v>
      </c>
      <c r="B58" t="s">
        <v>181</v>
      </c>
      <c r="C58" s="100">
        <f>IF(OR(Fact_Cumplimiento[[#This Row], [Año]]="",Fact_Cumplimiento[[#This Row], [Mes]]=""),"",DATE(A58,MATCH(B58,{"enero","febrero","marzo","abril","mayo","junio","julio","agosto","septiembre","octubre","noviembre","diciembre"},0)+1,0))</f>
        <v>45565</v>
      </c>
      <c r="D58" t="s">
        <v>106</v>
      </c>
      <c r="E58" t="str">
        <f>+IFERROR(VLOOKUP(Fact_Cumplimiento[[#This Row], [Concepto Anterior]],Conceptos_Cumplimiento[#All],5,0),"")</f>
        <v>Comunicados para generación de cultura de riesgos</v>
      </c>
      <c r="F58" t="str">
        <f ca="1">+IFERROR(VLOOKUP(Fact_Cumplimiento[[#This Row], [Concepto Anterior]],Conceptos_Cumplimiento[#All],7,0),"")</f>
        <v/>
      </c>
      <c r="G58" t="s">
        <v>172</v>
      </c>
      <c r="H58" t="s">
        <v>172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93">
        <v>1</v>
      </c>
    </row>
    <row r="59" spans="1:11" ht="18.75" customHeight="1" x14ac:dyDescent="0.35">
      <c r="A59" s="93">
        <v>2024</v>
      </c>
      <c r="B59" t="s">
        <v>181</v>
      </c>
      <c r="C59" s="100">
        <f>IF(OR(Fact_Cumplimiento[[#This Row], [Año]]="",Fact_Cumplimiento[[#This Row], [Mes]]=""),"",DATE(A59,MATCH(B59,{"enero","febrero","marzo","abril","mayo","junio","julio","agosto","septiembre","octubre","noviembre","diciembre"},0)+1,0))</f>
        <v>45565</v>
      </c>
      <c r="D59" t="s">
        <v>104</v>
      </c>
      <c r="E59" t="str">
        <f>+IFERROR(VLOOKUP(Fact_Cumplimiento[[#This Row], [Concepto Anterior]],Conceptos_Cumplimiento[#All],5,0),"")</f>
        <v>Identificación relaciones con posible conflicto de interes</v>
      </c>
      <c r="F59" t="str">
        <f ca="1">+IFERROR(VLOOKUP(Fact_Cumplimiento[[#This Row], [Concepto Anterior]],Conceptos_Cumplimiento[#All],7,0),"")</f>
        <v/>
      </c>
      <c r="G59" t="s">
        <v>172</v>
      </c>
      <c r="H59" t="s">
        <v>172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93">
        <v>1</v>
      </c>
    </row>
    <row r="60" spans="1:11" ht="18.75" customHeight="1" x14ac:dyDescent="0.35">
      <c r="A60" s="93">
        <v>2024</v>
      </c>
      <c r="B60" t="s">
        <v>181</v>
      </c>
      <c r="C60" s="100">
        <f>IF(OR(Fact_Cumplimiento[[#This Row], [Año]]="",Fact_Cumplimiento[[#This Row], [Mes]]=""),"",DATE(A60,MATCH(B60,{"enero","febrero","marzo","abril","mayo","junio","julio","agosto","septiembre","octubre","noviembre","diciembre"},0)+1,0))</f>
        <v>45565</v>
      </c>
      <c r="D60" t="s">
        <v>102</v>
      </c>
      <c r="E60" t="str">
        <f>+IFERROR(VLOOKUP(Fact_Cumplimiento[[#This Row], [Concepto Anterior]],Conceptos_Cumplimiento[#All],5,0),"")</f>
        <v>Numero de razones sociales atendidas directas</v>
      </c>
      <c r="F60" t="str">
        <f ca="1">+IFERROR(VLOOKUP(Fact_Cumplimiento[[#This Row], [Concepto Anterior]],Conceptos_Cumplimiento[#All],7,0),"")</f>
        <v/>
      </c>
      <c r="G60" t="s">
        <v>172</v>
      </c>
      <c r="H60" t="s">
        <v>172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93">
        <v>1</v>
      </c>
    </row>
    <row r="61" spans="1:11" ht="18.75" customHeight="1" x14ac:dyDescent="0.35">
      <c r="A61" s="93">
        <v>2024</v>
      </c>
      <c r="B61" t="s">
        <v>181</v>
      </c>
      <c r="C61" s="100">
        <f>IF(OR(Fact_Cumplimiento[[#This Row], [Año]]="",Fact_Cumplimiento[[#This Row], [Mes]]=""),"",DATE(A61,MATCH(B61,{"enero","febrero","marzo","abril","mayo","junio","julio","agosto","septiembre","octubre","noviembre","diciembre"},0)+1,0))</f>
        <v>45565</v>
      </c>
      <c r="D61" t="s">
        <v>103</v>
      </c>
      <c r="E61" t="str">
        <f>+IFERROR(VLOOKUP(Fact_Cumplimiento[[#This Row], [Concepto Anterior]],Conceptos_Cumplimiento[#All],5,0),"")</f>
        <v>Numero de razones sociales atendidas indirectas</v>
      </c>
      <c r="F61" t="str">
        <f ca="1">+IFERROR(VLOOKUP(Fact_Cumplimiento[[#This Row], [Concepto Anterior]],Conceptos_Cumplimiento[#All],7,0),"")</f>
        <v/>
      </c>
      <c r="G61" t="s">
        <v>172</v>
      </c>
      <c r="H61" t="s">
        <v>172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181</v>
      </c>
      <c r="C62" s="100">
        <f>IF(OR(Fact_Cumplimiento[[#This Row], [Año]]="",Fact_Cumplimiento[[#This Row], [Mes]]=""),"",DATE(A62,MATCH(B62,{"enero","febrero","marzo","abril","mayo","junio","julio","agosto","septiembre","octubre","noviembre","diciembre"},0)+1,0))</f>
        <v>45565</v>
      </c>
      <c r="D62" t="s">
        <v>105</v>
      </c>
      <c r="E62" t="str">
        <f>+IFERROR(VLOOKUP(Fact_Cumplimiento[[#This Row], [Concepto Anterior]],Conceptos_Cumplimiento[#All],5,0),"")</f>
        <v>Numeros de terceros evaluados</v>
      </c>
      <c r="F62" t="str">
        <f ca="1">+IFERROR(VLOOKUP(Fact_Cumplimiento[[#This Row], [Concepto Anterior]],Conceptos_Cumplimiento[#All],7,0),"")</f>
        <v/>
      </c>
      <c r="G62" t="s">
        <v>172</v>
      </c>
      <c r="H62" t="s">
        <v>172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181</v>
      </c>
      <c r="C63" s="100">
        <f>IF(OR(Fact_Cumplimiento[[#This Row], [Año]]="",Fact_Cumplimiento[[#This Row], [Mes]]=""),"",DATE(A63,MATCH(B63,{"enero","febrero","marzo","abril","mayo","junio","julio","agosto","septiembre","octubre","noviembre","diciembre"},0)+1,0))</f>
        <v>45565</v>
      </c>
      <c r="D63" t="s">
        <v>173</v>
      </c>
      <c r="E63" t="str">
        <f>+IFERROR(VLOOKUP(Fact_Cumplimiento[[#This Row], [Concepto Anterior]],Conceptos_Cumplimiento[#All],5,0),"")</f>
        <v>Público Capacitado</v>
      </c>
      <c r="F63" t="str">
        <f ca="1">+IFERROR(VLOOKUP(Fact_Cumplimiento[[#This Row], [Concepto Anterior]],Conceptos_Cumplimiento[#All],7,0),"")</f>
        <v/>
      </c>
      <c r="G63" t="s">
        <v>172</v>
      </c>
      <c r="H63" t="s">
        <v>172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181</v>
      </c>
      <c r="C64" s="100">
        <f>IF(OR(Fact_Cumplimiento[[#This Row], [Año]]="",Fact_Cumplimiento[[#This Row], [Mes]]=""),"",DATE(A64,MATCH(B64,{"enero","febrero","marzo","abril","mayo","junio","julio","agosto","septiembre","octubre","noviembre","diciembre"},0)+1,0))</f>
        <v>45565</v>
      </c>
      <c r="D64" t="s">
        <v>161</v>
      </c>
      <c r="E64" t="str">
        <f>+IFERROR(VLOOKUP(Fact_Cumplimiento[[#This Row], [Concepto Anterior]],Conceptos_Cumplimiento[#All],5,0),"")</f>
        <v>Registro Clientes Mayoristas​</v>
      </c>
      <c r="F64" t="str">
        <f ca="1">+IFERROR(VLOOKUP(Fact_Cumplimiento[[#This Row], [Concepto Anterior]],Conceptos_Cumplimiento[#All],7,0),"")</f>
        <v/>
      </c>
      <c r="G64" t="s">
        <v>172</v>
      </c>
      <c r="H64" t="s">
        <v>172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93">
        <v>1</v>
      </c>
    </row>
    <row r="65" spans="1:11" ht="18.75" customHeight="1" x14ac:dyDescent="0.35">
      <c r="A65" s="93">
        <v>2024</v>
      </c>
      <c r="B65" t="s">
        <v>182</v>
      </c>
      <c r="C65" s="100">
        <f>IF(OR(Fact_Cumplimiento[[#This Row], [Año]]="",Fact_Cumplimiento[[#This Row], [Mes]]=""),"",DATE(A65,MATCH(B65,{"enero","febrero","marzo","abril","mayo","junio","julio","agosto","septiembre","octubre","noviembre","diciembre"},0)+1,0))</f>
        <v>45596</v>
      </c>
      <c r="D65" t="s">
        <v>106</v>
      </c>
      <c r="E65" t="str">
        <f>+IFERROR(VLOOKUP(Fact_Cumplimiento[[#This Row], [Concepto Anterior]],Conceptos_Cumplimiento[#All],5,0),"")</f>
        <v>Comunicados para generación de cultura de riesgos</v>
      </c>
      <c r="F65" t="str">
        <f ca="1">+IFERROR(VLOOKUP(Fact_Cumplimiento[[#This Row], [Concepto Anterior]],Conceptos_Cumplimiento[#All],7,0),"")</f>
        <v/>
      </c>
      <c r="G65" t="s">
        <v>172</v>
      </c>
      <c r="H65" t="s">
        <v>172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93">
        <v>0</v>
      </c>
    </row>
    <row r="66" spans="1:11" ht="18.75" customHeight="1" x14ac:dyDescent="0.35">
      <c r="A66" s="93">
        <v>2024</v>
      </c>
      <c r="B66" t="s">
        <v>182</v>
      </c>
      <c r="C66" s="100">
        <f>IF(OR(Fact_Cumplimiento[[#This Row], [Año]]="",Fact_Cumplimiento[[#This Row], [Mes]]=""),"",DATE(A66,MATCH(B66,{"enero","febrero","marzo","abril","mayo","junio","julio","agosto","septiembre","octubre","noviembre","diciembre"},0)+1,0))</f>
        <v>45596</v>
      </c>
      <c r="D66" t="s">
        <v>104</v>
      </c>
      <c r="E66" t="str">
        <f>+IFERROR(VLOOKUP(Fact_Cumplimiento[[#This Row], [Concepto Anterior]],Conceptos_Cumplimiento[#All],5,0),"")</f>
        <v>Identificación relaciones con posible conflicto de interes</v>
      </c>
      <c r="F66" t="str">
        <f ca="1">+IFERROR(VLOOKUP(Fact_Cumplimiento[[#This Row], [Concepto Anterior]],Conceptos_Cumplimiento[#All],7,0),"")</f>
        <v/>
      </c>
      <c r="G66" t="s">
        <v>172</v>
      </c>
      <c r="H66" t="s">
        <v>172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93">
        <v>0</v>
      </c>
    </row>
    <row r="67" spans="1:11" ht="18.75" customHeight="1" x14ac:dyDescent="0.35">
      <c r="A67" s="93">
        <v>2024</v>
      </c>
      <c r="B67" t="s">
        <v>182</v>
      </c>
      <c r="C67" s="100">
        <f>IF(OR(Fact_Cumplimiento[[#This Row], [Año]]="",Fact_Cumplimiento[[#This Row], [Mes]]=""),"",DATE(A67,MATCH(B67,{"enero","febrero","marzo","abril","mayo","junio","julio","agosto","septiembre","octubre","noviembre","diciembre"},0)+1,0))</f>
        <v>45596</v>
      </c>
      <c r="D67" t="s">
        <v>102</v>
      </c>
      <c r="E67" t="str">
        <f>+IFERROR(VLOOKUP(Fact_Cumplimiento[[#This Row], [Concepto Anterior]],Conceptos_Cumplimiento[#All],5,0),"")</f>
        <v>Numero de razones sociales atendidas directas</v>
      </c>
      <c r="F67" t="str">
        <f ca="1">+IFERROR(VLOOKUP(Fact_Cumplimiento[[#This Row], [Concepto Anterior]],Conceptos_Cumplimiento[#All],7,0),"")</f>
        <v/>
      </c>
      <c r="G67" t="s">
        <v>172</v>
      </c>
      <c r="H67" t="s">
        <v>172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93">
        <v>0</v>
      </c>
    </row>
    <row r="68" spans="1:11" ht="18.75" customHeight="1" x14ac:dyDescent="0.35">
      <c r="A68" s="93">
        <v>2024</v>
      </c>
      <c r="B68" t="s">
        <v>182</v>
      </c>
      <c r="C68" s="100">
        <f>IF(OR(Fact_Cumplimiento[[#This Row], [Año]]="",Fact_Cumplimiento[[#This Row], [Mes]]=""),"",DATE(A68,MATCH(B68,{"enero","febrero","marzo","abril","mayo","junio","julio","agosto","septiembre","octubre","noviembre","diciembre"},0)+1,0))</f>
        <v>45596</v>
      </c>
      <c r="D68" t="s">
        <v>103</v>
      </c>
      <c r="E68" t="str">
        <f>+IFERROR(VLOOKUP(Fact_Cumplimiento[[#This Row], [Concepto Anterior]],Conceptos_Cumplimiento[#All],5,0),"")</f>
        <v>Numero de razones sociales atendidas indirectas</v>
      </c>
      <c r="F68" t="str">
        <f ca="1">+IFERROR(VLOOKUP(Fact_Cumplimiento[[#This Row], [Concepto Anterior]],Conceptos_Cumplimiento[#All],7,0),"")</f>
        <v/>
      </c>
      <c r="G68" t="s">
        <v>172</v>
      </c>
      <c r="H68" t="s">
        <v>172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182</v>
      </c>
      <c r="C69" s="100">
        <f>IF(OR(Fact_Cumplimiento[[#This Row], [Año]]="",Fact_Cumplimiento[[#This Row], [Mes]]=""),"",DATE(A69,MATCH(B69,{"enero","febrero","marzo","abril","mayo","junio","julio","agosto","septiembre","octubre","noviembre","diciembre"},0)+1,0))</f>
        <v>45596</v>
      </c>
      <c r="D69" t="s">
        <v>105</v>
      </c>
      <c r="E69" t="str">
        <f>+IFERROR(VLOOKUP(Fact_Cumplimiento[[#This Row], [Concepto Anterior]],Conceptos_Cumplimiento[#All],5,0),"")</f>
        <v>Numeros de terceros evaluados</v>
      </c>
      <c r="F69" t="str">
        <f ca="1">+IFERROR(VLOOKUP(Fact_Cumplimiento[[#This Row], [Concepto Anterior]],Conceptos_Cumplimiento[#All],7,0),"")</f>
        <v/>
      </c>
      <c r="G69" t="s">
        <v>172</v>
      </c>
      <c r="H69" t="s">
        <v>172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182</v>
      </c>
      <c r="C70" s="100">
        <f>IF(OR(Fact_Cumplimiento[[#This Row], [Año]]="",Fact_Cumplimiento[[#This Row], [Mes]]=""),"",DATE(A70,MATCH(B70,{"enero","febrero","marzo","abril","mayo","junio","julio","agosto","septiembre","octubre","noviembre","diciembre"},0)+1,0))</f>
        <v>45596</v>
      </c>
      <c r="D70" t="s">
        <v>173</v>
      </c>
      <c r="E70" t="str">
        <f>+IFERROR(VLOOKUP(Fact_Cumplimiento[[#This Row], [Concepto Anterior]],Conceptos_Cumplimiento[#All],5,0),"")</f>
        <v>Público Capacitado</v>
      </c>
      <c r="F70" t="str">
        <f ca="1">+IFERROR(VLOOKUP(Fact_Cumplimiento[[#This Row], [Concepto Anterior]],Conceptos_Cumplimiento[#All],7,0),"")</f>
        <v/>
      </c>
      <c r="G70" t="s">
        <v>172</v>
      </c>
      <c r="H70" t="s">
        <v>172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182</v>
      </c>
      <c r="C71" s="100">
        <f>IF(OR(Fact_Cumplimiento[[#This Row], [Año]]="",Fact_Cumplimiento[[#This Row], [Mes]]=""),"",DATE(A71,MATCH(B71,{"enero","febrero","marzo","abril","mayo","junio","julio","agosto","septiembre","octubre","noviembre","diciembre"},0)+1,0))</f>
        <v>45596</v>
      </c>
      <c r="D71" t="s">
        <v>161</v>
      </c>
      <c r="E71" t="str">
        <f>+IFERROR(VLOOKUP(Fact_Cumplimiento[[#This Row], [Concepto Anterior]],Conceptos_Cumplimiento[#All],5,0),"")</f>
        <v>Registro Clientes Mayoristas​</v>
      </c>
      <c r="F71" t="str">
        <f ca="1">+IFERROR(VLOOKUP(Fact_Cumplimiento[[#This Row], [Concepto Anterior]],Conceptos_Cumplimiento[#All],7,0),"")</f>
        <v/>
      </c>
      <c r="G71" t="s">
        <v>172</v>
      </c>
      <c r="H71" t="s">
        <v>172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93">
        <v>0</v>
      </c>
    </row>
    <row r="72" spans="1:11" ht="18.75" customHeight="1" x14ac:dyDescent="0.35">
      <c r="A72" s="93">
        <v>2024</v>
      </c>
      <c r="B72" t="s">
        <v>183</v>
      </c>
      <c r="C72" s="100">
        <f>IF(OR(Fact_Cumplimiento[[#This Row], [Año]]="",Fact_Cumplimiento[[#This Row], [Mes]]=""),"",DATE(A72,MATCH(B72,{"enero","febrero","marzo","abril","mayo","junio","julio","agosto","septiembre","octubre","noviembre","diciembre"},0)+1,0))</f>
        <v>45626</v>
      </c>
      <c r="D72" t="s">
        <v>106</v>
      </c>
      <c r="E72" t="str">
        <f>+IFERROR(VLOOKUP(Fact_Cumplimiento[[#This Row], [Concepto Anterior]],Conceptos_Cumplimiento[#All],5,0),"")</f>
        <v>Comunicados para generación de cultura de riesgos</v>
      </c>
      <c r="F72" t="str">
        <f ca="1">+IFERROR(VLOOKUP(Fact_Cumplimiento[[#This Row], [Concepto Anterior]],Conceptos_Cumplimiento[#All],7,0),"")</f>
        <v/>
      </c>
      <c r="G72" t="s">
        <v>172</v>
      </c>
      <c r="H72" t="s">
        <v>172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183</v>
      </c>
      <c r="C73" s="100">
        <f>IF(OR(Fact_Cumplimiento[[#This Row], [Año]]="",Fact_Cumplimiento[[#This Row], [Mes]]=""),"",DATE(A73,MATCH(B73,{"enero","febrero","marzo","abril","mayo","junio","julio","agosto","septiembre","octubre","noviembre","diciembre"},0)+1,0))</f>
        <v>45626</v>
      </c>
      <c r="D73" t="s">
        <v>104</v>
      </c>
      <c r="E73" t="str">
        <f>+IFERROR(VLOOKUP(Fact_Cumplimiento[[#This Row], [Concepto Anterior]],Conceptos_Cumplimiento[#All],5,0),"")</f>
        <v>Identificación relaciones con posible conflicto de interes</v>
      </c>
      <c r="F73" t="str">
        <f ca="1">+IFERROR(VLOOKUP(Fact_Cumplimiento[[#This Row], [Concepto Anterior]],Conceptos_Cumplimiento[#All],7,0),"")</f>
        <v/>
      </c>
      <c r="G73" t="s">
        <v>172</v>
      </c>
      <c r="H73" t="s">
        <v>172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183</v>
      </c>
      <c r="C74" s="100">
        <f>IF(OR(Fact_Cumplimiento[[#This Row], [Año]]="",Fact_Cumplimiento[[#This Row], [Mes]]=""),"",DATE(A74,MATCH(B74,{"enero","febrero","marzo","abril","mayo","junio","julio","agosto","septiembre","octubre","noviembre","diciembre"},0)+1,0))</f>
        <v>45626</v>
      </c>
      <c r="D74" t="s">
        <v>102</v>
      </c>
      <c r="E74" t="str">
        <f>+IFERROR(VLOOKUP(Fact_Cumplimiento[[#This Row], [Concepto Anterior]],Conceptos_Cumplimiento[#All],5,0),"")</f>
        <v>Numero de razones sociales atendidas directas</v>
      </c>
      <c r="F74" t="str">
        <f ca="1">+IFERROR(VLOOKUP(Fact_Cumplimiento[[#This Row], [Concepto Anterior]],Conceptos_Cumplimiento[#All],7,0),"")</f>
        <v/>
      </c>
      <c r="G74" t="s">
        <v>172</v>
      </c>
      <c r="H74" t="s">
        <v>172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183</v>
      </c>
      <c r="C75" s="100">
        <f>IF(OR(Fact_Cumplimiento[[#This Row], [Año]]="",Fact_Cumplimiento[[#This Row], [Mes]]=""),"",DATE(A75,MATCH(B75,{"enero","febrero","marzo","abril","mayo","junio","julio","agosto","septiembre","octubre","noviembre","diciembre"},0)+1,0))</f>
        <v>45626</v>
      </c>
      <c r="D75" t="s">
        <v>103</v>
      </c>
      <c r="E75" t="str">
        <f>+IFERROR(VLOOKUP(Fact_Cumplimiento[[#This Row], [Concepto Anterior]],Conceptos_Cumplimiento[#All],5,0),"")</f>
        <v>Numero de razones sociales atendidas indirectas</v>
      </c>
      <c r="F75" t="str">
        <f ca="1">+IFERROR(VLOOKUP(Fact_Cumplimiento[[#This Row], [Concepto Anterior]],Conceptos_Cumplimiento[#All],7,0),"")</f>
        <v/>
      </c>
      <c r="G75" t="s">
        <v>172</v>
      </c>
      <c r="H75" t="s">
        <v>172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93">
        <v>0</v>
      </c>
    </row>
    <row r="76" spans="1:11" ht="18.75" customHeight="1" x14ac:dyDescent="0.35">
      <c r="A76" s="93">
        <v>2024</v>
      </c>
      <c r="B76" t="s">
        <v>183</v>
      </c>
      <c r="C76" s="100">
        <f>IF(OR(Fact_Cumplimiento[[#This Row], [Año]]="",Fact_Cumplimiento[[#This Row], [Mes]]=""),"",DATE(A76,MATCH(B76,{"enero","febrero","marzo","abril","mayo","junio","julio","agosto","septiembre","octubre","noviembre","diciembre"},0)+1,0))</f>
        <v>45626</v>
      </c>
      <c r="D76" t="s">
        <v>105</v>
      </c>
      <c r="E76" t="str">
        <f>+IFERROR(VLOOKUP(Fact_Cumplimiento[[#This Row], [Concepto Anterior]],Conceptos_Cumplimiento[#All],5,0),"")</f>
        <v>Numeros de terceros evaluados</v>
      </c>
      <c r="F76" t="str">
        <f ca="1">+IFERROR(VLOOKUP(Fact_Cumplimiento[[#This Row], [Concepto Anterior]],Conceptos_Cumplimiento[#All],7,0),"")</f>
        <v/>
      </c>
      <c r="G76" t="s">
        <v>172</v>
      </c>
      <c r="H76" t="s">
        <v>172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93">
        <v>0</v>
      </c>
    </row>
    <row r="77" spans="1:11" ht="18.75" customHeight="1" x14ac:dyDescent="0.35">
      <c r="A77" s="93">
        <v>2024</v>
      </c>
      <c r="B77" t="s">
        <v>183</v>
      </c>
      <c r="C77" s="100">
        <f>IF(OR(Fact_Cumplimiento[[#This Row], [Año]]="",Fact_Cumplimiento[[#This Row], [Mes]]=""),"",DATE(A77,MATCH(B77,{"enero","febrero","marzo","abril","mayo","junio","julio","agosto","septiembre","octubre","noviembre","diciembre"},0)+1,0))</f>
        <v>45626</v>
      </c>
      <c r="D77" t="s">
        <v>173</v>
      </c>
      <c r="E77" t="str">
        <f>+IFERROR(VLOOKUP(Fact_Cumplimiento[[#This Row], [Concepto Anterior]],Conceptos_Cumplimiento[#All],5,0),"")</f>
        <v>Público Capacitado</v>
      </c>
      <c r="F77" t="str">
        <f ca="1">+IFERROR(VLOOKUP(Fact_Cumplimiento[[#This Row], [Concepto Anterior]],Conceptos_Cumplimiento[#All],7,0),"")</f>
        <v/>
      </c>
      <c r="G77" t="s">
        <v>172</v>
      </c>
      <c r="H77" t="s">
        <v>172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93">
        <v>0</v>
      </c>
    </row>
    <row r="78" spans="1:11" ht="18.75" customHeight="1" x14ac:dyDescent="0.35">
      <c r="A78" s="93">
        <v>2024</v>
      </c>
      <c r="B78" t="s">
        <v>183</v>
      </c>
      <c r="C78" s="100">
        <f>IF(OR(Fact_Cumplimiento[[#This Row], [Año]]="",Fact_Cumplimiento[[#This Row], [Mes]]=""),"",DATE(A78,MATCH(B78,{"enero","febrero","marzo","abril","mayo","junio","julio","agosto","septiembre","octubre","noviembre","diciembre"},0)+1,0))</f>
        <v>45626</v>
      </c>
      <c r="D78" t="s">
        <v>161</v>
      </c>
      <c r="E78" t="str">
        <f>+IFERROR(VLOOKUP(Fact_Cumplimiento[[#This Row], [Concepto Anterior]],Conceptos_Cumplimiento[#All],5,0),"")</f>
        <v>Registro Clientes Mayoristas​</v>
      </c>
      <c r="F78" t="str">
        <f ca="1">+IFERROR(VLOOKUP(Fact_Cumplimiento[[#This Row], [Concepto Anterior]],Conceptos_Cumplimiento[#All],7,0),"")</f>
        <v/>
      </c>
      <c r="G78" t="s">
        <v>172</v>
      </c>
      <c r="H78" t="s">
        <v>172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184</v>
      </c>
      <c r="C79" s="100">
        <f>IF(OR(Fact_Cumplimiento[[#This Row], [Año]]="",Fact_Cumplimiento[[#This Row], [Mes]]=""),"",DATE(A79,MATCH(B79,{"enero","febrero","marzo","abril","mayo","junio","julio","agosto","septiembre","octubre","noviembre","diciembre"},0)+1,0))</f>
        <v>45657</v>
      </c>
      <c r="D79" t="s">
        <v>106</v>
      </c>
      <c r="E79" t="str">
        <f>+IFERROR(VLOOKUP(Fact_Cumplimiento[[#This Row], [Concepto Anterior]],Conceptos_Cumplimiento[#All],5,0),"")</f>
        <v>Comunicados para generación de cultura de riesgos</v>
      </c>
      <c r="F79" t="str">
        <f ca="1">+IFERROR(VLOOKUP(Fact_Cumplimiento[[#This Row], [Concepto Anterior]],Conceptos_Cumplimiento[#All],7,0),"")</f>
        <v/>
      </c>
      <c r="G79" t="s">
        <v>172</v>
      </c>
      <c r="H79" t="s">
        <v>172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184</v>
      </c>
      <c r="C80" s="100">
        <f>IF(OR(Fact_Cumplimiento[[#This Row], [Año]]="",Fact_Cumplimiento[[#This Row], [Mes]]=""),"",DATE(A80,MATCH(B80,{"enero","febrero","marzo","abril","mayo","junio","julio","agosto","septiembre","octubre","noviembre","diciembre"},0)+1,0))</f>
        <v>45657</v>
      </c>
      <c r="D80" t="s">
        <v>104</v>
      </c>
      <c r="E80" t="str">
        <f>+IFERROR(VLOOKUP(Fact_Cumplimiento[[#This Row], [Concepto Anterior]],Conceptos_Cumplimiento[#All],5,0),"")</f>
        <v>Identificación relaciones con posible conflicto de interes</v>
      </c>
      <c r="F80" t="str">
        <f ca="1">+IFERROR(VLOOKUP(Fact_Cumplimiento[[#This Row], [Concepto Anterior]],Conceptos_Cumplimiento[#All],7,0),"")</f>
        <v/>
      </c>
      <c r="G80" t="s">
        <v>172</v>
      </c>
      <c r="H80" t="s">
        <v>172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184</v>
      </c>
      <c r="C81" s="100">
        <f>IF(OR(Fact_Cumplimiento[[#This Row], [Año]]="",Fact_Cumplimiento[[#This Row], [Mes]]=""),"",DATE(A81,MATCH(B81,{"enero","febrero","marzo","abril","mayo","junio","julio","agosto","septiembre","octubre","noviembre","diciembre"},0)+1,0))</f>
        <v>45657</v>
      </c>
      <c r="D81" t="s">
        <v>102</v>
      </c>
      <c r="E81" t="str">
        <f>+IFERROR(VLOOKUP(Fact_Cumplimiento[[#This Row], [Concepto Anterior]],Conceptos_Cumplimiento[#All],5,0),"")</f>
        <v>Numero de razones sociales atendidas directas</v>
      </c>
      <c r="F81" t="str">
        <f ca="1">+IFERROR(VLOOKUP(Fact_Cumplimiento[[#This Row], [Concepto Anterior]],Conceptos_Cumplimiento[#All],7,0),"")</f>
        <v/>
      </c>
      <c r="G81" t="s">
        <v>172</v>
      </c>
      <c r="H81" t="s">
        <v>172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93">
        <v>0</v>
      </c>
    </row>
    <row r="82" spans="1:11" ht="18.75" customHeight="1" x14ac:dyDescent="0.35">
      <c r="A82" s="93">
        <v>2024</v>
      </c>
      <c r="B82" t="s">
        <v>184</v>
      </c>
      <c r="C82" s="100">
        <f>IF(OR(Fact_Cumplimiento[[#This Row], [Año]]="",Fact_Cumplimiento[[#This Row], [Mes]]=""),"",DATE(A82,MATCH(B82,{"enero","febrero","marzo","abril","mayo","junio","julio","agosto","septiembre","octubre","noviembre","diciembre"},0)+1,0))</f>
        <v>45657</v>
      </c>
      <c r="D82" t="s">
        <v>103</v>
      </c>
      <c r="E82" t="str">
        <f>+IFERROR(VLOOKUP(Fact_Cumplimiento[[#This Row], [Concepto Anterior]],Conceptos_Cumplimiento[#All],5,0),"")</f>
        <v>Numero de razones sociales atendidas indirectas</v>
      </c>
      <c r="F82" t="str">
        <f ca="1">+IFERROR(VLOOKUP(Fact_Cumplimiento[[#This Row], [Concepto Anterior]],Conceptos_Cumplimiento[#All],7,0),"")</f>
        <v/>
      </c>
      <c r="G82" t="s">
        <v>172</v>
      </c>
      <c r="H82" t="s">
        <v>172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93">
        <v>0</v>
      </c>
    </row>
    <row r="83" spans="1:11" ht="18.75" customHeight="1" x14ac:dyDescent="0.35">
      <c r="A83" s="93">
        <v>2024</v>
      </c>
      <c r="B83" t="s">
        <v>184</v>
      </c>
      <c r="C83" s="100">
        <f>IF(OR(Fact_Cumplimiento[[#This Row], [Año]]="",Fact_Cumplimiento[[#This Row], [Mes]]=""),"",DATE(A83,MATCH(B83,{"enero","febrero","marzo","abril","mayo","junio","julio","agosto","septiembre","octubre","noviembre","diciembre"},0)+1,0))</f>
        <v>45657</v>
      </c>
      <c r="D83" t="s">
        <v>105</v>
      </c>
      <c r="E83" t="str">
        <f>+IFERROR(VLOOKUP(Fact_Cumplimiento[[#This Row], [Concepto Anterior]],Conceptos_Cumplimiento[#All],5,0),"")</f>
        <v>Numeros de terceros evaluados</v>
      </c>
      <c r="F83" t="str">
        <f ca="1">+IFERROR(VLOOKUP(Fact_Cumplimiento[[#This Row], [Concepto Anterior]],Conceptos_Cumplimiento[#All],7,0),"")</f>
        <v/>
      </c>
      <c r="G83" t="s">
        <v>172</v>
      </c>
      <c r="H83" t="s">
        <v>172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93">
        <v>0</v>
      </c>
    </row>
    <row r="84" spans="1:11" ht="18.75" customHeight="1" x14ac:dyDescent="0.35">
      <c r="A84" s="93">
        <v>2024</v>
      </c>
      <c r="B84" t="s">
        <v>184</v>
      </c>
      <c r="C84" s="100">
        <f>IF(OR(Fact_Cumplimiento[[#This Row], [Año]]="",Fact_Cumplimiento[[#This Row], [Mes]]=""),"",DATE(A84,MATCH(B84,{"enero","febrero","marzo","abril","mayo","junio","julio","agosto","septiembre","octubre","noviembre","diciembre"},0)+1,0))</f>
        <v>45657</v>
      </c>
      <c r="D84" t="s">
        <v>173</v>
      </c>
      <c r="E84" t="str">
        <f>+IFERROR(VLOOKUP(Fact_Cumplimiento[[#This Row], [Concepto Anterior]],Conceptos_Cumplimiento[#All],5,0),"")</f>
        <v>Público Capacitado</v>
      </c>
      <c r="F84" t="str">
        <f ca="1">+IFERROR(VLOOKUP(Fact_Cumplimiento[[#This Row], [Concepto Anterior]],Conceptos_Cumplimiento[#All],7,0),"")</f>
        <v/>
      </c>
      <c r="G84" t="s">
        <v>172</v>
      </c>
      <c r="H84" t="s">
        <v>172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93">
        <v>0</v>
      </c>
    </row>
    <row r="85" spans="1:11" ht="18.75" customHeight="1" x14ac:dyDescent="0.35">
      <c r="A85" s="93">
        <v>2024</v>
      </c>
      <c r="B85" t="s">
        <v>184</v>
      </c>
      <c r="C85" s="100">
        <f>IF(OR(Fact_Cumplimiento[[#This Row], [Año]]="",Fact_Cumplimiento[[#This Row], [Mes]]=""),"",DATE(A85,MATCH(B85,{"enero","febrero","marzo","abril","mayo","junio","julio","agosto","septiembre","octubre","noviembre","diciembre"},0)+1,0))</f>
        <v>45657</v>
      </c>
      <c r="D85" t="s">
        <v>161</v>
      </c>
      <c r="E85" t="str">
        <f>+IFERROR(VLOOKUP(Fact_Cumplimiento[[#This Row], [Concepto Anterior]],Conceptos_Cumplimiento[#All],5,0),"")</f>
        <v>Registro Clientes Mayoristas​</v>
      </c>
      <c r="F85" t="str">
        <f ca="1">+IFERROR(VLOOKUP(Fact_Cumplimiento[[#This Row], [Concepto Anterior]],Conceptos_Cumplimiento[#All],7,0),"")</f>
        <v/>
      </c>
      <c r="G85" t="s">
        <v>172</v>
      </c>
      <c r="H85" t="s">
        <v>172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93">
        <v>0</v>
      </c>
    </row>
    <row r="86" spans="1:11" ht="18.75" customHeight="1" x14ac:dyDescent="0.35">
      <c r="A86" s="93">
        <v>2025</v>
      </c>
      <c r="B86" t="s">
        <v>171</v>
      </c>
      <c r="C86" s="100">
        <f>IF(OR(Fact_Cumplimiento[[#This Row], [Año]]="",Fact_Cumplimiento[[#This Row], [Mes]]=""),"",DATE(A86,MATCH(B86,{"enero","febrero","marzo","abril","mayo","junio","julio","agosto","septiembre","octubre","noviembre","diciembre"},0)+1,0))</f>
        <v>45688</v>
      </c>
      <c r="D86" t="s">
        <v>106</v>
      </c>
      <c r="E86" t="str">
        <f>+IFERROR(VLOOKUP(Fact_Cumplimiento[[#This Row], [Concepto Anterior]],Conceptos_Cumplimiento[#All],5,0),"")</f>
        <v>Comunicados para generación de cultura de riesgos</v>
      </c>
      <c r="F86" t="str">
        <f ca="1">+IFERROR(VLOOKUP(Fact_Cumplimiento[[#This Row], [Concepto Anterior]],Conceptos_Cumplimiento[#All],7,0),"")</f>
        <v/>
      </c>
      <c r="G86" t="s">
        <v>172</v>
      </c>
      <c r="H86" t="s">
        <v>172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93">
        <v>0</v>
      </c>
    </row>
    <row r="87" spans="1:11" ht="18.75" customHeight="1" x14ac:dyDescent="0.35">
      <c r="A87" s="93">
        <v>2025</v>
      </c>
      <c r="B87" t="s">
        <v>171</v>
      </c>
      <c r="C87" s="100">
        <f>IF(OR(Fact_Cumplimiento[[#This Row], [Año]]="",Fact_Cumplimiento[[#This Row], [Mes]]=""),"",DATE(A87,MATCH(B87,{"enero","febrero","marzo","abril","mayo","junio","julio","agosto","septiembre","octubre","noviembre","diciembre"},0)+1,0))</f>
        <v>45688</v>
      </c>
      <c r="D87" t="s">
        <v>104</v>
      </c>
      <c r="E87" t="str">
        <f>+IFERROR(VLOOKUP(Fact_Cumplimiento[[#This Row], [Concepto Anterior]],Conceptos_Cumplimiento[#All],5,0),"")</f>
        <v>Identificación relaciones con posible conflicto de interes</v>
      </c>
      <c r="F87" t="str">
        <f ca="1">+IFERROR(VLOOKUP(Fact_Cumplimiento[[#This Row], [Concepto Anterior]],Conceptos_Cumplimiento[#All],7,0),"")</f>
        <v/>
      </c>
      <c r="G87" t="s">
        <v>172</v>
      </c>
      <c r="H87" t="s">
        <v>172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93">
        <v>7</v>
      </c>
    </row>
    <row r="88" spans="1:11" ht="18.75" customHeight="1" x14ac:dyDescent="0.35">
      <c r="A88" s="93">
        <v>2025</v>
      </c>
      <c r="B88" t="s">
        <v>171</v>
      </c>
      <c r="C88" s="100">
        <f>IF(OR(Fact_Cumplimiento[[#This Row], [Año]]="",Fact_Cumplimiento[[#This Row], [Mes]]=""),"",DATE(A88,MATCH(B88,{"enero","febrero","marzo","abril","mayo","junio","julio","agosto","septiembre","octubre","noviembre","diciembre"},0)+1,0))</f>
        <v>45688</v>
      </c>
      <c r="D88" t="s">
        <v>76</v>
      </c>
      <c r="E88" t="str">
        <f>+IFERROR(VLOOKUP(Fact_Cumplimiento[[#This Row], [Concepto Anterior]],Conceptos_Cumplimiento[#All],5,0),"")</f>
        <v>Informes realizados</v>
      </c>
      <c r="F88" t="str">
        <f ca="1">+IFERROR(VLOOKUP(Fact_Cumplimiento[[#This Row], [Concepto Anterior]],Conceptos_Cumplimiento[#All],7,0),"")</f>
        <v/>
      </c>
      <c r="G88" t="s">
        <v>172</v>
      </c>
      <c r="H88" t="s">
        <v>172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93">
        <v>13</v>
      </c>
    </row>
    <row r="89" spans="1:11" ht="18.75" customHeight="1" x14ac:dyDescent="0.35">
      <c r="A89" s="93">
        <v>2025</v>
      </c>
      <c r="B89" t="s">
        <v>171</v>
      </c>
      <c r="C89" s="100">
        <f>IF(OR(Fact_Cumplimiento[[#This Row], [Año]]="",Fact_Cumplimiento[[#This Row], [Mes]]=""),"",DATE(A89,MATCH(B89,{"enero","febrero","marzo","abril","mayo","junio","julio","agosto","septiembre","octubre","noviembre","diciembre"},0)+1,0))</f>
        <v>45688</v>
      </c>
      <c r="D89" t="s">
        <v>102</v>
      </c>
      <c r="E89" t="str">
        <f>+IFERROR(VLOOKUP(Fact_Cumplimiento[[#This Row], [Concepto Anterior]],Conceptos_Cumplimiento[#All],5,0),"")</f>
        <v>Numero de razones sociales atendidas directas</v>
      </c>
      <c r="F89" t="str">
        <f ca="1">+IFERROR(VLOOKUP(Fact_Cumplimiento[[#This Row], [Concepto Anterior]],Conceptos_Cumplimiento[#All],7,0),"")</f>
        <v/>
      </c>
      <c r="G89" t="s">
        <v>172</v>
      </c>
      <c r="H89" t="s">
        <v>172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93">
        <v>9</v>
      </c>
    </row>
    <row r="90" spans="1:11" ht="18.75" customHeight="1" x14ac:dyDescent="0.35">
      <c r="A90" s="93">
        <v>2025</v>
      </c>
      <c r="B90" t="s">
        <v>171</v>
      </c>
      <c r="C90" s="100">
        <f>IF(OR(Fact_Cumplimiento[[#This Row], [Año]]="",Fact_Cumplimiento[[#This Row], [Mes]]=""),"",DATE(A90,MATCH(B90,{"enero","febrero","marzo","abril","mayo","junio","julio","agosto","septiembre","octubre","noviembre","diciembre"},0)+1,0))</f>
        <v>45688</v>
      </c>
      <c r="D90" t="s">
        <v>103</v>
      </c>
      <c r="E90" t="str">
        <f>+IFERROR(VLOOKUP(Fact_Cumplimiento[[#This Row], [Concepto Anterior]],Conceptos_Cumplimiento[#All],5,0),"")</f>
        <v>Numero de razones sociales atendidas indirectas</v>
      </c>
      <c r="F90" t="str">
        <f ca="1">+IFERROR(VLOOKUP(Fact_Cumplimiento[[#This Row], [Concepto Anterior]],Conceptos_Cumplimiento[#All],7,0),"")</f>
        <v/>
      </c>
      <c r="G90" t="s">
        <v>172</v>
      </c>
      <c r="H90" t="s">
        <v>172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93">
        <v>9</v>
      </c>
    </row>
    <row r="91" spans="1:11" ht="18.75" customHeight="1" x14ac:dyDescent="0.35">
      <c r="A91" s="93">
        <v>2025</v>
      </c>
      <c r="B91" t="s">
        <v>171</v>
      </c>
      <c r="C91" s="100">
        <f>IF(OR(Fact_Cumplimiento[[#This Row], [Año]]="",Fact_Cumplimiento[[#This Row], [Mes]]=""),"",DATE(A91,MATCH(B91,{"enero","febrero","marzo","abril","mayo","junio","julio","agosto","septiembre","octubre","noviembre","diciembre"},0)+1,0))</f>
        <v>45688</v>
      </c>
      <c r="D91" t="s">
        <v>105</v>
      </c>
      <c r="E91" t="str">
        <f>+IFERROR(VLOOKUP(Fact_Cumplimiento[[#This Row], [Concepto Anterior]],Conceptos_Cumplimiento[#All],5,0),"")</f>
        <v>Numeros de terceros evaluados</v>
      </c>
      <c r="F91" t="str">
        <f ca="1">+IFERROR(VLOOKUP(Fact_Cumplimiento[[#This Row], [Concepto Anterior]],Conceptos_Cumplimiento[#All],7,0),"")</f>
        <v/>
      </c>
      <c r="G91" t="s">
        <v>172</v>
      </c>
      <c r="H91" t="s">
        <v>172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93">
        <v>21083</v>
      </c>
    </row>
    <row r="92" spans="1:11" ht="18.75" customHeight="1" x14ac:dyDescent="0.35">
      <c r="A92" s="93">
        <v>2025</v>
      </c>
      <c r="B92" t="s">
        <v>171</v>
      </c>
      <c r="C92" s="100">
        <f>IF(OR(Fact_Cumplimiento[[#This Row], [Año]]="",Fact_Cumplimiento[[#This Row], [Mes]]=""),"",DATE(A92,MATCH(B92,{"enero","febrero","marzo","abril","mayo","junio","julio","agosto","septiembre","octubre","noviembre","diciembre"},0)+1,0))</f>
        <v>45688</v>
      </c>
      <c r="D92" t="s">
        <v>173</v>
      </c>
      <c r="E92" t="str">
        <f>+IFERROR(VLOOKUP(Fact_Cumplimiento[[#This Row], [Concepto Anterior]],Conceptos_Cumplimiento[#All],5,0),"")</f>
        <v>Público Capacitado</v>
      </c>
      <c r="F92" t="str">
        <f ca="1">+IFERROR(VLOOKUP(Fact_Cumplimiento[[#This Row], [Concepto Anterior]],Conceptos_Cumplimiento[#All],7,0),"")</f>
        <v/>
      </c>
      <c r="G92" t="s">
        <v>172</v>
      </c>
      <c r="H92" t="s">
        <v>172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93">
        <v>1200</v>
      </c>
    </row>
    <row r="93" spans="1:11" ht="18.75" customHeight="1" x14ac:dyDescent="0.35">
      <c r="A93" s="93">
        <v>2025</v>
      </c>
      <c r="B93" t="s">
        <v>171</v>
      </c>
      <c r="C93" s="100">
        <f>IF(OR(Fact_Cumplimiento[[#This Row], [Año]]="",Fact_Cumplimiento[[#This Row], [Mes]]=""),"",DATE(A93,MATCH(B93,{"enero","febrero","marzo","abril","mayo","junio","julio","agosto","septiembre","octubre","noviembre","diciembre"},0)+1,0))</f>
        <v>45688</v>
      </c>
      <c r="D93" t="s">
        <v>162</v>
      </c>
      <c r="E93" t="str">
        <f>+IFERROR(VLOOKUP(Fact_Cumplimiento[[#This Row], [Concepto Anterior]],Conceptos_Cumplimiento[#All],5,0),"")</f>
        <v>Registro Clientes Mayoristas​ (Franquicias, Acces, Outlets)</v>
      </c>
      <c r="F93" t="str">
        <f ca="1">+IFERROR(VLOOKUP(Fact_Cumplimiento[[#This Row], [Concepto Anterior]],Conceptos_Cumplimiento[#All],7,0),"")</f>
        <v/>
      </c>
      <c r="G93" t="s">
        <v>172</v>
      </c>
      <c r="H93" t="s">
        <v>172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93">
        <v>5</v>
      </c>
    </row>
    <row r="94" spans="1:11" ht="18.75" customHeight="1" x14ac:dyDescent="0.35">
      <c r="A94" s="93">
        <v>2025</v>
      </c>
      <c r="B94" t="s">
        <v>174</v>
      </c>
      <c r="C94" s="100">
        <f>IF(OR(Fact_Cumplimiento[[#This Row], [Año]]="",Fact_Cumplimiento[[#This Row], [Mes]]=""),"",DATE(A94,MATCH(B94,{"enero","febrero","marzo","abril","mayo","junio","julio","agosto","septiembre","octubre","noviembre","diciembre"},0)+1,0))</f>
        <v>45716</v>
      </c>
      <c r="D94" t="s">
        <v>106</v>
      </c>
      <c r="E94" t="str">
        <f>+IFERROR(VLOOKUP(Fact_Cumplimiento[[#This Row], [Concepto Anterior]],Conceptos_Cumplimiento[#All],5,0),"")</f>
        <v>Comunicados para generación de cultura de riesgos</v>
      </c>
      <c r="F94" t="str">
        <f ca="1">+IFERROR(VLOOKUP(Fact_Cumplimiento[[#This Row], [Concepto Anterior]],Conceptos_Cumplimiento[#All],7,0),"")</f>
        <v/>
      </c>
      <c r="G94" t="s">
        <v>172</v>
      </c>
      <c r="H94" t="s">
        <v>172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93">
        <v>2</v>
      </c>
    </row>
    <row r="95" spans="1:11" ht="18.75" customHeight="1" x14ac:dyDescent="0.35">
      <c r="A95" s="93">
        <v>2025</v>
      </c>
      <c r="B95" t="s">
        <v>174</v>
      </c>
      <c r="C95" s="100">
        <f>IF(OR(Fact_Cumplimiento[[#This Row], [Año]]="",Fact_Cumplimiento[[#This Row], [Mes]]=""),"",DATE(A95,MATCH(B95,{"enero","febrero","marzo","abril","mayo","junio","julio","agosto","septiembre","octubre","noviembre","diciembre"},0)+1,0))</f>
        <v>45716</v>
      </c>
      <c r="D95" t="s">
        <v>104</v>
      </c>
      <c r="E95" t="str">
        <f>+IFERROR(VLOOKUP(Fact_Cumplimiento[[#This Row], [Concepto Anterior]],Conceptos_Cumplimiento[#All],5,0),"")</f>
        <v>Identificación relaciones con posible conflicto de interes</v>
      </c>
      <c r="F95" t="str">
        <f ca="1">+IFERROR(VLOOKUP(Fact_Cumplimiento[[#This Row], [Concepto Anterior]],Conceptos_Cumplimiento[#All],7,0),"")</f>
        <v/>
      </c>
      <c r="G95" t="s">
        <v>172</v>
      </c>
      <c r="H95" t="s">
        <v>172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93">
        <v>7</v>
      </c>
    </row>
    <row r="96" spans="1:11" ht="18.75" customHeight="1" x14ac:dyDescent="0.35">
      <c r="A96" s="93">
        <v>2025</v>
      </c>
      <c r="B96" t="s">
        <v>174</v>
      </c>
      <c r="C96" s="100">
        <f>IF(OR(Fact_Cumplimiento[[#This Row], [Año]]="",Fact_Cumplimiento[[#This Row], [Mes]]=""),"",DATE(A96,MATCH(B96,{"enero","febrero","marzo","abril","mayo","junio","julio","agosto","septiembre","octubre","noviembre","diciembre"},0)+1,0))</f>
        <v>45716</v>
      </c>
      <c r="D96" t="s">
        <v>76</v>
      </c>
      <c r="E96" t="str">
        <f>+IFERROR(VLOOKUP(Fact_Cumplimiento[[#This Row], [Concepto Anterior]],Conceptos_Cumplimiento[#All],5,0),"")</f>
        <v>Informes realizados</v>
      </c>
      <c r="F96" t="str">
        <f ca="1">+IFERROR(VLOOKUP(Fact_Cumplimiento[[#This Row], [Concepto Anterior]],Conceptos_Cumplimiento[#All],7,0),"")</f>
        <v/>
      </c>
      <c r="G96" t="s">
        <v>172</v>
      </c>
      <c r="H96" t="s">
        <v>172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93">
        <v>3</v>
      </c>
    </row>
    <row r="97" spans="1:11" ht="18.75" customHeight="1" x14ac:dyDescent="0.35">
      <c r="A97" s="93">
        <v>2025</v>
      </c>
      <c r="B97" t="s">
        <v>174</v>
      </c>
      <c r="C97" s="100">
        <f>IF(OR(Fact_Cumplimiento[[#This Row], [Año]]="",Fact_Cumplimiento[[#This Row], [Mes]]=""),"",DATE(A97,MATCH(B97,{"enero","febrero","marzo","abril","mayo","junio","julio","agosto","septiembre","octubre","noviembre","diciembre"},0)+1,0))</f>
        <v>45716</v>
      </c>
      <c r="D97" t="s">
        <v>102</v>
      </c>
      <c r="E97" t="str">
        <f>+IFERROR(VLOOKUP(Fact_Cumplimiento[[#This Row], [Concepto Anterior]],Conceptos_Cumplimiento[#All],5,0),"")</f>
        <v>Numero de razones sociales atendidas directas</v>
      </c>
      <c r="F97" t="str">
        <f ca="1">+IFERROR(VLOOKUP(Fact_Cumplimiento[[#This Row], [Concepto Anterior]],Conceptos_Cumplimiento[#All],7,0),"")</f>
        <v/>
      </c>
      <c r="G97" t="s">
        <v>172</v>
      </c>
      <c r="H97" t="s">
        <v>172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93">
        <v>9</v>
      </c>
    </row>
    <row r="98" spans="1:11" ht="18.75" customHeight="1" x14ac:dyDescent="0.35">
      <c r="A98" s="93">
        <v>2025</v>
      </c>
      <c r="B98" t="s">
        <v>174</v>
      </c>
      <c r="C98" s="100">
        <f>IF(OR(Fact_Cumplimiento[[#This Row], [Año]]="",Fact_Cumplimiento[[#This Row], [Mes]]=""),"",DATE(A98,MATCH(B98,{"enero","febrero","marzo","abril","mayo","junio","julio","agosto","septiembre","octubre","noviembre","diciembre"},0)+1,0))</f>
        <v>45716</v>
      </c>
      <c r="D98" t="s">
        <v>103</v>
      </c>
      <c r="E98" t="str">
        <f>+IFERROR(VLOOKUP(Fact_Cumplimiento[[#This Row], [Concepto Anterior]],Conceptos_Cumplimiento[#All],5,0),"")</f>
        <v>Numero de razones sociales atendidas indirectas</v>
      </c>
      <c r="F98" t="str">
        <f ca="1">+IFERROR(VLOOKUP(Fact_Cumplimiento[[#This Row], [Concepto Anterior]],Conceptos_Cumplimiento[#All],7,0),"")</f>
        <v/>
      </c>
      <c r="G98" t="s">
        <v>172</v>
      </c>
      <c r="H98" t="s">
        <v>172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93">
        <v>9</v>
      </c>
    </row>
    <row r="99" spans="1:11" ht="18.75" customHeight="1" x14ac:dyDescent="0.35">
      <c r="A99" s="93">
        <v>2025</v>
      </c>
      <c r="B99" t="s">
        <v>174</v>
      </c>
      <c r="C99" s="100">
        <f>IF(OR(Fact_Cumplimiento[[#This Row], [Año]]="",Fact_Cumplimiento[[#This Row], [Mes]]=""),"",DATE(A99,MATCH(B99,{"enero","febrero","marzo","abril","mayo","junio","julio","agosto","septiembre","octubre","noviembre","diciembre"},0)+1,0))</f>
        <v>45716</v>
      </c>
      <c r="D99" t="s">
        <v>105</v>
      </c>
      <c r="E99" t="str">
        <f>+IFERROR(VLOOKUP(Fact_Cumplimiento[[#This Row], [Concepto Anterior]],Conceptos_Cumplimiento[#All],5,0),"")</f>
        <v>Numeros de terceros evaluados</v>
      </c>
      <c r="F99" t="str">
        <f ca="1">+IFERROR(VLOOKUP(Fact_Cumplimiento[[#This Row], [Concepto Anterior]],Conceptos_Cumplimiento[#All],7,0),"")</f>
        <v/>
      </c>
      <c r="G99" t="s">
        <v>172</v>
      </c>
      <c r="H99" t="s">
        <v>172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93">
        <v>1620</v>
      </c>
    </row>
    <row r="100" spans="1:11" ht="18.75" customHeight="1" x14ac:dyDescent="0.35">
      <c r="A100" s="93">
        <v>2025</v>
      </c>
      <c r="B100" t="s">
        <v>174</v>
      </c>
      <c r="C100" s="100">
        <f>IF(OR(Fact_Cumplimiento[[#This Row], [Año]]="",Fact_Cumplimiento[[#This Row], [Mes]]=""),"",DATE(A100,MATCH(B100,{"enero","febrero","marzo","abril","mayo","junio","julio","agosto","septiembre","octubre","noviembre","diciembre"},0)+1,0))</f>
        <v>45716</v>
      </c>
      <c r="D100" t="s">
        <v>173</v>
      </c>
      <c r="E100" t="str">
        <f>+IFERROR(VLOOKUP(Fact_Cumplimiento[[#This Row], [Concepto Anterior]],Conceptos_Cumplimiento[#All],5,0),"")</f>
        <v>Público Capacitado</v>
      </c>
      <c r="F100" t="str">
        <f ca="1">+IFERROR(VLOOKUP(Fact_Cumplimiento[[#This Row], [Concepto Anterior]],Conceptos_Cumplimiento[#All],7,0),"")</f>
        <v/>
      </c>
      <c r="G100" t="s">
        <v>172</v>
      </c>
      <c r="H100" t="s">
        <v>172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93">
        <v>1197</v>
      </c>
    </row>
    <row r="101" spans="1:11" ht="18.75" customHeight="1" x14ac:dyDescent="0.35">
      <c r="A101" s="93">
        <v>2025</v>
      </c>
      <c r="B101" t="s">
        <v>174</v>
      </c>
      <c r="C101" s="100">
        <f>IF(OR(Fact_Cumplimiento[[#This Row], [Año]]="",Fact_Cumplimiento[[#This Row], [Mes]]=""),"",DATE(A101,MATCH(B101,{"enero","febrero","marzo","abril","mayo","junio","julio","agosto","septiembre","octubre","noviembre","diciembre"},0)+1,0))</f>
        <v>45716</v>
      </c>
      <c r="D101" t="s">
        <v>162</v>
      </c>
      <c r="E101" t="str">
        <f>+IFERROR(VLOOKUP(Fact_Cumplimiento[[#This Row], [Concepto Anterior]],Conceptos_Cumplimiento[#All],5,0),"")</f>
        <v>Registro Clientes Mayoristas​ (Franquicias, Acces, Outlets)</v>
      </c>
      <c r="F101" t="str">
        <f ca="1">+IFERROR(VLOOKUP(Fact_Cumplimiento[[#This Row], [Concepto Anterior]],Conceptos_Cumplimiento[#All],7,0),"")</f>
        <v/>
      </c>
      <c r="G101" t="s">
        <v>172</v>
      </c>
      <c r="H101" t="s">
        <v>172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93">
        <v>5</v>
      </c>
    </row>
    <row r="102" spans="1:11" ht="18.75" customHeight="1" x14ac:dyDescent="0.35">
      <c r="A102" s="93">
        <v>2025</v>
      </c>
      <c r="B102" t="s">
        <v>175</v>
      </c>
      <c r="C102" s="100">
        <f>IF(OR(Fact_Cumplimiento[[#This Row], [Año]]="",Fact_Cumplimiento[[#This Row], [Mes]]=""),"",DATE(A102,MATCH(B102,{"enero","febrero","marzo","abril","mayo","junio","julio","agosto","septiembre","octubre","noviembre","diciembre"},0)+1,0))</f>
        <v>45747</v>
      </c>
      <c r="D102" t="s">
        <v>106</v>
      </c>
      <c r="E102" t="str">
        <f>+IFERROR(VLOOKUP(Fact_Cumplimiento[[#This Row], [Concepto Anterior]],Conceptos_Cumplimiento[#All],5,0),"")</f>
        <v>Comunicados para generación de cultura de riesgos</v>
      </c>
      <c r="F102" t="str">
        <f ca="1">+IFERROR(VLOOKUP(Fact_Cumplimiento[[#This Row], [Concepto Anterior]],Conceptos_Cumplimiento[#All],7,0),"")</f>
        <v/>
      </c>
      <c r="G102" t="s">
        <v>172</v>
      </c>
      <c r="H102" t="s">
        <v>172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93">
        <v>1</v>
      </c>
    </row>
    <row r="103" spans="1:11" ht="18.75" customHeight="1" x14ac:dyDescent="0.35">
      <c r="A103" s="93">
        <v>2025</v>
      </c>
      <c r="B103" t="s">
        <v>175</v>
      </c>
      <c r="C103" s="100">
        <f>IF(OR(Fact_Cumplimiento[[#This Row], [Año]]="",Fact_Cumplimiento[[#This Row], [Mes]]=""),"",DATE(A103,MATCH(B103,{"enero","febrero","marzo","abril","mayo","junio","julio","agosto","septiembre","octubre","noviembre","diciembre"},0)+1,0))</f>
        <v>45747</v>
      </c>
      <c r="D103" t="s">
        <v>104</v>
      </c>
      <c r="E103" t="str">
        <f>+IFERROR(VLOOKUP(Fact_Cumplimiento[[#This Row], [Concepto Anterior]],Conceptos_Cumplimiento[#All],5,0),"")</f>
        <v>Identificación relaciones con posible conflicto de interes</v>
      </c>
      <c r="F103" t="str">
        <f ca="1">+IFERROR(VLOOKUP(Fact_Cumplimiento[[#This Row], [Concepto Anterior]],Conceptos_Cumplimiento[#All],7,0),"")</f>
        <v/>
      </c>
      <c r="G103" t="s">
        <v>172</v>
      </c>
      <c r="H103" t="s">
        <v>172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93">
        <v>7</v>
      </c>
    </row>
    <row r="104" spans="1:11" ht="18.75" customHeight="1" x14ac:dyDescent="0.35">
      <c r="A104" s="93">
        <v>2025</v>
      </c>
      <c r="B104" t="s">
        <v>175</v>
      </c>
      <c r="C104" s="100">
        <f>IF(OR(Fact_Cumplimiento[[#This Row], [Año]]="",Fact_Cumplimiento[[#This Row], [Mes]]=""),"",DATE(A104,MATCH(B104,{"enero","febrero","marzo","abril","mayo","junio","julio","agosto","septiembre","octubre","noviembre","diciembre"},0)+1,0))</f>
        <v>45747</v>
      </c>
      <c r="D104" t="s">
        <v>76</v>
      </c>
      <c r="E104" t="str">
        <f>+IFERROR(VLOOKUP(Fact_Cumplimiento[[#This Row], [Concepto Anterior]],Conceptos_Cumplimiento[#All],5,0),"")</f>
        <v>Informes realizados</v>
      </c>
      <c r="F104" t="str">
        <f ca="1">+IFERROR(VLOOKUP(Fact_Cumplimiento[[#This Row], [Concepto Anterior]],Conceptos_Cumplimiento[#All],7,0),"")</f>
        <v/>
      </c>
      <c r="G104" t="s">
        <v>172</v>
      </c>
      <c r="H104" t="s">
        <v>172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93">
        <v>3</v>
      </c>
    </row>
    <row r="105" spans="1:11" ht="18.75" customHeight="1" x14ac:dyDescent="0.35">
      <c r="A105" s="93">
        <v>2025</v>
      </c>
      <c r="B105" t="s">
        <v>175</v>
      </c>
      <c r="C105" s="100">
        <f>IF(OR(Fact_Cumplimiento[[#This Row], [Año]]="",Fact_Cumplimiento[[#This Row], [Mes]]=""),"",DATE(A105,MATCH(B105,{"enero","febrero","marzo","abril","mayo","junio","julio","agosto","septiembre","octubre","noviembre","diciembre"},0)+1,0))</f>
        <v>45747</v>
      </c>
      <c r="D105" t="s">
        <v>102</v>
      </c>
      <c r="E105" t="str">
        <f>+IFERROR(VLOOKUP(Fact_Cumplimiento[[#This Row], [Concepto Anterior]],Conceptos_Cumplimiento[#All],5,0),"")</f>
        <v>Numero de razones sociales atendidas directas</v>
      </c>
      <c r="F105" t="str">
        <f ca="1">+IFERROR(VLOOKUP(Fact_Cumplimiento[[#This Row], [Concepto Anterior]],Conceptos_Cumplimiento[#All],7,0),"")</f>
        <v/>
      </c>
      <c r="G105" t="s">
        <v>172</v>
      </c>
      <c r="H105" t="s">
        <v>172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93">
        <v>9</v>
      </c>
    </row>
    <row r="106" spans="1:11" ht="18.75" customHeight="1" x14ac:dyDescent="0.35">
      <c r="A106" s="93">
        <v>2025</v>
      </c>
      <c r="B106" t="s">
        <v>175</v>
      </c>
      <c r="C106" s="100">
        <f>IF(OR(Fact_Cumplimiento[[#This Row], [Año]]="",Fact_Cumplimiento[[#This Row], [Mes]]=""),"",DATE(A106,MATCH(B106,{"enero","febrero","marzo","abril","mayo","junio","julio","agosto","septiembre","octubre","noviembre","diciembre"},0)+1,0))</f>
        <v>45747</v>
      </c>
      <c r="D106" t="s">
        <v>103</v>
      </c>
      <c r="E106" t="str">
        <f>+IFERROR(VLOOKUP(Fact_Cumplimiento[[#This Row], [Concepto Anterior]],Conceptos_Cumplimiento[#All],5,0),"")</f>
        <v>Numero de razones sociales atendidas indirectas</v>
      </c>
      <c r="F106" t="str">
        <f ca="1">+IFERROR(VLOOKUP(Fact_Cumplimiento[[#This Row], [Concepto Anterior]],Conceptos_Cumplimiento[#All],7,0),"")</f>
        <v/>
      </c>
      <c r="G106" t="s">
        <v>172</v>
      </c>
      <c r="H106" t="s">
        <v>172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93">
        <v>9</v>
      </c>
    </row>
    <row r="107" spans="1:11" ht="18.75" customHeight="1" x14ac:dyDescent="0.35">
      <c r="A107" s="93">
        <v>2025</v>
      </c>
      <c r="B107" t="s">
        <v>175</v>
      </c>
      <c r="C107" s="100">
        <f>IF(OR(Fact_Cumplimiento[[#This Row], [Año]]="",Fact_Cumplimiento[[#This Row], [Mes]]=""),"",DATE(A107,MATCH(B107,{"enero","febrero","marzo","abril","mayo","junio","julio","agosto","septiembre","octubre","noviembre","diciembre"},0)+1,0))</f>
        <v>45747</v>
      </c>
      <c r="D107" t="s">
        <v>105</v>
      </c>
      <c r="E107" t="str">
        <f>+IFERROR(VLOOKUP(Fact_Cumplimiento[[#This Row], [Concepto Anterior]],Conceptos_Cumplimiento[#All],5,0),"")</f>
        <v>Numeros de terceros evaluados</v>
      </c>
      <c r="F107" t="str">
        <f ca="1">+IFERROR(VLOOKUP(Fact_Cumplimiento[[#This Row], [Concepto Anterior]],Conceptos_Cumplimiento[#All],7,0),"")</f>
        <v/>
      </c>
      <c r="G107" t="s">
        <v>172</v>
      </c>
      <c r="H107" t="s">
        <v>172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93">
        <v>1226</v>
      </c>
    </row>
    <row r="108" spans="1:11" ht="18.75" customHeight="1" x14ac:dyDescent="0.35">
      <c r="A108" s="93">
        <v>2025</v>
      </c>
      <c r="B108" t="s">
        <v>175</v>
      </c>
      <c r="C108" s="100">
        <f>IF(OR(Fact_Cumplimiento[[#This Row], [Año]]="",Fact_Cumplimiento[[#This Row], [Mes]]=""),"",DATE(A108,MATCH(B108,{"enero","febrero","marzo","abril","mayo","junio","julio","agosto","septiembre","octubre","noviembre","diciembre"},0)+1,0))</f>
        <v>45747</v>
      </c>
      <c r="D108" t="s">
        <v>173</v>
      </c>
      <c r="E108" t="str">
        <f>+IFERROR(VLOOKUP(Fact_Cumplimiento[[#This Row], [Concepto Anterior]],Conceptos_Cumplimiento[#All],5,0),"")</f>
        <v>Público Capacitado</v>
      </c>
      <c r="F108" t="str">
        <f ca="1">+IFERROR(VLOOKUP(Fact_Cumplimiento[[#This Row], [Concepto Anterior]],Conceptos_Cumplimiento[#All],7,0),"")</f>
        <v/>
      </c>
      <c r="G108" t="s">
        <v>172</v>
      </c>
      <c r="H108" t="s">
        <v>172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93">
        <v>0</v>
      </c>
    </row>
    <row r="109" spans="1:11" ht="18.75" customHeight="1" x14ac:dyDescent="0.35">
      <c r="A109" s="93">
        <v>2025</v>
      </c>
      <c r="B109" t="s">
        <v>175</v>
      </c>
      <c r="C109" s="100">
        <f>IF(OR(Fact_Cumplimiento[[#This Row], [Año]]="",Fact_Cumplimiento[[#This Row], [Mes]]=""),"",DATE(A109,MATCH(B109,{"enero","febrero","marzo","abril","mayo","junio","julio","agosto","septiembre","octubre","noviembre","diciembre"},0)+1,0))</f>
        <v>45747</v>
      </c>
      <c r="D109" t="s">
        <v>162</v>
      </c>
      <c r="E109" t="str">
        <f>+IFERROR(VLOOKUP(Fact_Cumplimiento[[#This Row], [Concepto Anterior]],Conceptos_Cumplimiento[#All],5,0),"")</f>
        <v>Registro Clientes Mayoristas​ (Franquicias, Acces, Outlets)</v>
      </c>
      <c r="F109" t="str">
        <f ca="1">+IFERROR(VLOOKUP(Fact_Cumplimiento[[#This Row], [Concepto Anterior]],Conceptos_Cumplimiento[#All],7,0),"")</f>
        <v/>
      </c>
      <c r="G109" t="s">
        <v>172</v>
      </c>
      <c r="H109" t="s">
        <v>172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93">
        <v>13</v>
      </c>
    </row>
    <row r="110" spans="1:11" ht="18.75" customHeight="1" x14ac:dyDescent="0.35">
      <c r="A110" s="93">
        <v>2025</v>
      </c>
      <c r="B110" t="s">
        <v>176</v>
      </c>
      <c r="C110" s="100">
        <f>IF(OR(Fact_Cumplimiento[[#This Row], [Año]]="",Fact_Cumplimiento[[#This Row], [Mes]]=""),"",DATE(A110,MATCH(B110,{"enero","febrero","marzo","abril","mayo","junio","julio","agosto","septiembre","octubre","noviembre","diciembre"},0)+1,0))</f>
        <v>45777</v>
      </c>
      <c r="D110" t="s">
        <v>106</v>
      </c>
      <c r="E110" t="str">
        <f>+IFERROR(VLOOKUP(Fact_Cumplimiento[[#This Row], [Concepto Anterior]],Conceptos_Cumplimiento[#All],5,0),"")</f>
        <v>Comunicados para generación de cultura de riesgos</v>
      </c>
      <c r="F110" t="str">
        <f ca="1">+IFERROR(VLOOKUP(Fact_Cumplimiento[[#This Row], [Concepto Anterior]],Conceptos_Cumplimiento[#All],7,0),"")</f>
        <v/>
      </c>
      <c r="G110" t="s">
        <v>172</v>
      </c>
      <c r="H110" t="s">
        <v>172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93">
        <v>1</v>
      </c>
    </row>
    <row r="111" spans="1:11" ht="18.75" customHeight="1" x14ac:dyDescent="0.35">
      <c r="A111" s="93">
        <v>2025</v>
      </c>
      <c r="B111" t="s">
        <v>176</v>
      </c>
      <c r="C111" s="100">
        <f>IF(OR(Fact_Cumplimiento[[#This Row], [Año]]="",Fact_Cumplimiento[[#This Row], [Mes]]=""),"",DATE(A111,MATCH(B111,{"enero","febrero","marzo","abril","mayo","junio","julio","agosto","septiembre","octubre","noviembre","diciembre"},0)+1,0))</f>
        <v>45777</v>
      </c>
      <c r="D111" t="s">
        <v>104</v>
      </c>
      <c r="E111" t="str">
        <f>+IFERROR(VLOOKUP(Fact_Cumplimiento[[#This Row], [Concepto Anterior]],Conceptos_Cumplimiento[#All],5,0),"")</f>
        <v>Identificación relaciones con posible conflicto de interes</v>
      </c>
      <c r="F111" t="str">
        <f ca="1">+IFERROR(VLOOKUP(Fact_Cumplimiento[[#This Row], [Concepto Anterior]],Conceptos_Cumplimiento[#All],7,0),"")</f>
        <v/>
      </c>
      <c r="G111" t="s">
        <v>172</v>
      </c>
      <c r="H111" t="s">
        <v>172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93">
        <v>7</v>
      </c>
    </row>
    <row r="112" spans="1:11" ht="18.75" customHeight="1" x14ac:dyDescent="0.35">
      <c r="A112" s="93">
        <v>2025</v>
      </c>
      <c r="B112" t="s">
        <v>176</v>
      </c>
      <c r="C112" s="100">
        <f>IF(OR(Fact_Cumplimiento[[#This Row], [Año]]="",Fact_Cumplimiento[[#This Row], [Mes]]=""),"",DATE(A112,MATCH(B112,{"enero","febrero","marzo","abril","mayo","junio","julio","agosto","septiembre","octubre","noviembre","diciembre"},0)+1,0))</f>
        <v>45777</v>
      </c>
      <c r="D112" t="s">
        <v>76</v>
      </c>
      <c r="E112" t="str">
        <f>+IFERROR(VLOOKUP(Fact_Cumplimiento[[#This Row], [Concepto Anterior]],Conceptos_Cumplimiento[#All],5,0),"")</f>
        <v>Informes realizados</v>
      </c>
      <c r="F112" t="str">
        <f ca="1">+IFERROR(VLOOKUP(Fact_Cumplimiento[[#This Row], [Concepto Anterior]],Conceptos_Cumplimiento[#All],7,0),"")</f>
        <v/>
      </c>
      <c r="G112" t="s">
        <v>172</v>
      </c>
      <c r="H112" t="s">
        <v>172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93">
        <v>11</v>
      </c>
    </row>
    <row r="113" spans="1:11" ht="18.75" customHeight="1" x14ac:dyDescent="0.35">
      <c r="A113" s="93">
        <v>2025</v>
      </c>
      <c r="B113" t="s">
        <v>176</v>
      </c>
      <c r="C113" s="100">
        <f>IF(OR(Fact_Cumplimiento[[#This Row], [Año]]="",Fact_Cumplimiento[[#This Row], [Mes]]=""),"",DATE(A113,MATCH(B113,{"enero","febrero","marzo","abril","mayo","junio","julio","agosto","septiembre","octubre","noviembre","diciembre"},0)+1,0))</f>
        <v>45777</v>
      </c>
      <c r="D113" t="s">
        <v>102</v>
      </c>
      <c r="E113" t="str">
        <f>+IFERROR(VLOOKUP(Fact_Cumplimiento[[#This Row], [Concepto Anterior]],Conceptos_Cumplimiento[#All],5,0),"")</f>
        <v>Numero de razones sociales atendidas directas</v>
      </c>
      <c r="F113" t="str">
        <f ca="1">+IFERROR(VLOOKUP(Fact_Cumplimiento[[#This Row], [Concepto Anterior]],Conceptos_Cumplimiento[#All],7,0),"")</f>
        <v/>
      </c>
      <c r="G113" t="s">
        <v>172</v>
      </c>
      <c r="H113" t="s">
        <v>172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93">
        <v>17</v>
      </c>
    </row>
    <row r="114" spans="1:11" ht="18.75" customHeight="1" x14ac:dyDescent="0.35">
      <c r="A114" s="93">
        <v>2025</v>
      </c>
      <c r="B114" t="s">
        <v>176</v>
      </c>
      <c r="C114" s="100">
        <f>IF(OR(Fact_Cumplimiento[[#This Row], [Año]]="",Fact_Cumplimiento[[#This Row], [Mes]]=""),"",DATE(A114,MATCH(B114,{"enero","febrero","marzo","abril","mayo","junio","julio","agosto","septiembre","octubre","noviembre","diciembre"},0)+1,0))</f>
        <v>45777</v>
      </c>
      <c r="D114" t="s">
        <v>103</v>
      </c>
      <c r="E114" t="str">
        <f>+IFERROR(VLOOKUP(Fact_Cumplimiento[[#This Row], [Concepto Anterior]],Conceptos_Cumplimiento[#All],5,0),"")</f>
        <v>Numero de razones sociales atendidas indirectas</v>
      </c>
      <c r="F114" t="str">
        <f ca="1">+IFERROR(VLOOKUP(Fact_Cumplimiento[[#This Row], [Concepto Anterior]],Conceptos_Cumplimiento[#All],7,0),"")</f>
        <v/>
      </c>
      <c r="G114" t="s">
        <v>172</v>
      </c>
      <c r="H114" t="s">
        <v>172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93">
        <v>1</v>
      </c>
    </row>
    <row r="115" spans="1:11" ht="18.75" customHeight="1" x14ac:dyDescent="0.35">
      <c r="A115" s="93">
        <v>2025</v>
      </c>
      <c r="B115" t="s">
        <v>176</v>
      </c>
      <c r="C115" s="100">
        <f>IF(OR(Fact_Cumplimiento[[#This Row], [Año]]="",Fact_Cumplimiento[[#This Row], [Mes]]=""),"",DATE(A115,MATCH(B115,{"enero","febrero","marzo","abril","mayo","junio","julio","agosto","septiembre","octubre","noviembre","diciembre"},0)+1,0))</f>
        <v>45777</v>
      </c>
      <c r="D115" t="s">
        <v>105</v>
      </c>
      <c r="E115" t="str">
        <f>+IFERROR(VLOOKUP(Fact_Cumplimiento[[#This Row], [Concepto Anterior]],Conceptos_Cumplimiento[#All],5,0),"")</f>
        <v>Numeros de terceros evaluados</v>
      </c>
      <c r="F115" t="str">
        <f ca="1">+IFERROR(VLOOKUP(Fact_Cumplimiento[[#This Row], [Concepto Anterior]],Conceptos_Cumplimiento[#All],7,0),"")</f>
        <v/>
      </c>
      <c r="G115" t="s">
        <v>172</v>
      </c>
      <c r="H115" t="s">
        <v>172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93">
        <v>1328</v>
      </c>
    </row>
    <row r="116" spans="1:11" ht="18.75" customHeight="1" x14ac:dyDescent="0.35">
      <c r="A116" s="93">
        <v>2025</v>
      </c>
      <c r="B116" t="s">
        <v>176</v>
      </c>
      <c r="C116" s="100">
        <f>IF(OR(Fact_Cumplimiento[[#This Row], [Año]]="",Fact_Cumplimiento[[#This Row], [Mes]]=""),"",DATE(A116,MATCH(B116,{"enero","febrero","marzo","abril","mayo","junio","julio","agosto","septiembre","octubre","noviembre","diciembre"},0)+1,0))</f>
        <v>45777</v>
      </c>
      <c r="D116" t="s">
        <v>173</v>
      </c>
      <c r="E116" t="str">
        <f>+IFERROR(VLOOKUP(Fact_Cumplimiento[[#This Row], [Concepto Anterior]],Conceptos_Cumplimiento[#All],5,0),"")</f>
        <v>Público Capacitado</v>
      </c>
      <c r="F116" t="str">
        <f ca="1">+IFERROR(VLOOKUP(Fact_Cumplimiento[[#This Row], [Concepto Anterior]],Conceptos_Cumplimiento[#All],7,0),"")</f>
        <v/>
      </c>
      <c r="G116" t="s">
        <v>172</v>
      </c>
      <c r="H116" t="s">
        <v>172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93">
        <v>914</v>
      </c>
    </row>
    <row r="117" spans="1:11" ht="18.75" customHeight="1" x14ac:dyDescent="0.35">
      <c r="A117" s="93">
        <v>2025</v>
      </c>
      <c r="B117" t="s">
        <v>176</v>
      </c>
      <c r="C117" s="100">
        <f>IF(OR(Fact_Cumplimiento[[#This Row], [Año]]="",Fact_Cumplimiento[[#This Row], [Mes]]=""),"",DATE(A117,MATCH(B117,{"enero","febrero","marzo","abril","mayo","junio","julio","agosto","septiembre","octubre","noviembre","diciembre"},0)+1,0))</f>
        <v>45777</v>
      </c>
      <c r="D117" t="s">
        <v>162</v>
      </c>
      <c r="E117" t="str">
        <f>+IFERROR(VLOOKUP(Fact_Cumplimiento[[#This Row], [Concepto Anterior]],Conceptos_Cumplimiento[#All],5,0),"")</f>
        <v>Registro Clientes Mayoristas​ (Franquicias, Acces, Outlets)</v>
      </c>
      <c r="F117" t="str">
        <f ca="1">+IFERROR(VLOOKUP(Fact_Cumplimiento[[#This Row], [Concepto Anterior]],Conceptos_Cumplimiento[#All],7,0),"")</f>
        <v/>
      </c>
      <c r="G117" t="s">
        <v>172</v>
      </c>
      <c r="H117" t="s">
        <v>172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93">
        <v>6</v>
      </c>
    </row>
    <row r="118" spans="1:11" ht="18.75" customHeight="1" x14ac:dyDescent="0.35">
      <c r="A118" s="93">
        <v>2025</v>
      </c>
      <c r="B118" t="s">
        <v>177</v>
      </c>
      <c r="C118" s="100">
        <f>IF(OR(Fact_Cumplimiento[[#This Row], [Año]]="",Fact_Cumplimiento[[#This Row], [Mes]]=""),"",DATE(A118,MATCH(B118,{"enero","febrero","marzo","abril","mayo","junio","julio","agosto","septiembre","octubre","noviembre","diciembre"},0)+1,0))</f>
        <v>45808</v>
      </c>
      <c r="D118" t="s">
        <v>106</v>
      </c>
      <c r="E118" t="str">
        <f>+IFERROR(VLOOKUP(Fact_Cumplimiento[[#This Row], [Concepto Anterior]],Conceptos_Cumplimiento[#All],5,0),"")</f>
        <v>Comunicados para generación de cultura de riesgos</v>
      </c>
      <c r="F118" t="str">
        <f ca="1">+IFERROR(VLOOKUP(Fact_Cumplimiento[[#This Row], [Concepto Anterior]],Conceptos_Cumplimiento[#All],7,0),"")</f>
        <v/>
      </c>
      <c r="G118" t="s">
        <v>172</v>
      </c>
      <c r="H118" t="s">
        <v>172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93">
        <v>2</v>
      </c>
    </row>
    <row r="119" spans="1:11" ht="18.75" customHeight="1" x14ac:dyDescent="0.35">
      <c r="A119" s="93">
        <v>2025</v>
      </c>
      <c r="B119" t="s">
        <v>177</v>
      </c>
      <c r="C119" s="100">
        <f>IF(OR(Fact_Cumplimiento[[#This Row], [Año]]="",Fact_Cumplimiento[[#This Row], [Mes]]=""),"",DATE(A119,MATCH(B119,{"enero","febrero","marzo","abril","mayo","junio","julio","agosto","septiembre","octubre","noviembre","diciembre"},0)+1,0))</f>
        <v>45808</v>
      </c>
      <c r="D119" t="s">
        <v>104</v>
      </c>
      <c r="E119" t="str">
        <f>+IFERROR(VLOOKUP(Fact_Cumplimiento[[#This Row], [Concepto Anterior]],Conceptos_Cumplimiento[#All],5,0),"")</f>
        <v>Identificación relaciones con posible conflicto de interes</v>
      </c>
      <c r="F119" t="str">
        <f ca="1">+IFERROR(VLOOKUP(Fact_Cumplimiento[[#This Row], [Concepto Anterior]],Conceptos_Cumplimiento[#All],7,0),"")</f>
        <v/>
      </c>
      <c r="G119" t="s">
        <v>172</v>
      </c>
      <c r="H119" t="s">
        <v>172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93">
        <v>7</v>
      </c>
    </row>
    <row r="120" spans="1:11" ht="18.75" customHeight="1" x14ac:dyDescent="0.35">
      <c r="A120" s="93">
        <v>2025</v>
      </c>
      <c r="B120" t="s">
        <v>177</v>
      </c>
      <c r="C120" s="100">
        <f>IF(OR(Fact_Cumplimiento[[#This Row], [Año]]="",Fact_Cumplimiento[[#This Row], [Mes]]=""),"",DATE(A120,MATCH(B120,{"enero","febrero","marzo","abril","mayo","junio","julio","agosto","septiembre","octubre","noviembre","diciembre"},0)+1,0))</f>
        <v>45808</v>
      </c>
      <c r="D120" t="s">
        <v>76</v>
      </c>
      <c r="E120" t="str">
        <f>+IFERROR(VLOOKUP(Fact_Cumplimiento[[#This Row], [Concepto Anterior]],Conceptos_Cumplimiento[#All],5,0),"")</f>
        <v>Informes realizados</v>
      </c>
      <c r="F120" t="str">
        <f ca="1">+IFERROR(VLOOKUP(Fact_Cumplimiento[[#This Row], [Concepto Anterior]],Conceptos_Cumplimiento[#All],7,0),"")</f>
        <v/>
      </c>
      <c r="G120" t="s">
        <v>172</v>
      </c>
      <c r="H120" t="s">
        <v>172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93">
        <v>3</v>
      </c>
    </row>
    <row r="121" spans="1:11" ht="18.75" customHeight="1" x14ac:dyDescent="0.35">
      <c r="A121" s="93">
        <v>2025</v>
      </c>
      <c r="B121" t="s">
        <v>177</v>
      </c>
      <c r="C121" s="100">
        <f>IF(OR(Fact_Cumplimiento[[#This Row], [Año]]="",Fact_Cumplimiento[[#This Row], [Mes]]=""),"",DATE(A121,MATCH(B121,{"enero","febrero","marzo","abril","mayo","junio","julio","agosto","septiembre","octubre","noviembre","diciembre"},0)+1,0))</f>
        <v>45808</v>
      </c>
      <c r="D121" t="s">
        <v>102</v>
      </c>
      <c r="E121" t="str">
        <f>+IFERROR(VLOOKUP(Fact_Cumplimiento[[#This Row], [Concepto Anterior]],Conceptos_Cumplimiento[#All],5,0),"")</f>
        <v>Numero de razones sociales atendidas directas</v>
      </c>
      <c r="F121" t="str">
        <f ca="1">+IFERROR(VLOOKUP(Fact_Cumplimiento[[#This Row], [Concepto Anterior]],Conceptos_Cumplimiento[#All],7,0),"")</f>
        <v/>
      </c>
      <c r="G121" t="s">
        <v>172</v>
      </c>
      <c r="H121" t="s">
        <v>172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93">
        <v>17</v>
      </c>
    </row>
    <row r="122" spans="1:11" ht="18.75" customHeight="1" x14ac:dyDescent="0.35">
      <c r="A122" s="93">
        <v>2025</v>
      </c>
      <c r="B122" t="s">
        <v>177</v>
      </c>
      <c r="C122" s="100">
        <f>IF(OR(Fact_Cumplimiento[[#This Row], [Año]]="",Fact_Cumplimiento[[#This Row], [Mes]]=""),"",DATE(A122,MATCH(B122,{"enero","febrero","marzo","abril","mayo","junio","julio","agosto","septiembre","octubre","noviembre","diciembre"},0)+1,0))</f>
        <v>45808</v>
      </c>
      <c r="D122" t="s">
        <v>103</v>
      </c>
      <c r="E122" t="str">
        <f>+IFERROR(VLOOKUP(Fact_Cumplimiento[[#This Row], [Concepto Anterior]],Conceptos_Cumplimiento[#All],5,0),"")</f>
        <v>Numero de razones sociales atendidas indirectas</v>
      </c>
      <c r="F122" t="str">
        <f ca="1">+IFERROR(VLOOKUP(Fact_Cumplimiento[[#This Row], [Concepto Anterior]],Conceptos_Cumplimiento[#All],7,0),"")</f>
        <v/>
      </c>
      <c r="G122" t="s">
        <v>172</v>
      </c>
      <c r="H122" t="s">
        <v>172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93">
        <v>1</v>
      </c>
    </row>
    <row r="123" spans="1:11" ht="18.75" customHeight="1" x14ac:dyDescent="0.35">
      <c r="A123" s="93">
        <v>2025</v>
      </c>
      <c r="B123" t="s">
        <v>177</v>
      </c>
      <c r="C123" s="100">
        <f>IF(OR(Fact_Cumplimiento[[#This Row], [Año]]="",Fact_Cumplimiento[[#This Row], [Mes]]=""),"",DATE(A123,MATCH(B123,{"enero","febrero","marzo","abril","mayo","junio","julio","agosto","septiembre","octubre","noviembre","diciembre"},0)+1,0))</f>
        <v>45808</v>
      </c>
      <c r="D123" t="s">
        <v>105</v>
      </c>
      <c r="E123" t="str">
        <f>+IFERROR(VLOOKUP(Fact_Cumplimiento[[#This Row], [Concepto Anterior]],Conceptos_Cumplimiento[#All],5,0),"")</f>
        <v>Numeros de terceros evaluados</v>
      </c>
      <c r="F123" t="str">
        <f ca="1">+IFERROR(VLOOKUP(Fact_Cumplimiento[[#This Row], [Concepto Anterior]],Conceptos_Cumplimiento[#All],7,0),"")</f>
        <v/>
      </c>
      <c r="G123" t="s">
        <v>172</v>
      </c>
      <c r="H123" t="s">
        <v>172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93">
        <v>1607</v>
      </c>
    </row>
    <row r="124" spans="1:11" ht="18.75" customHeight="1" x14ac:dyDescent="0.35">
      <c r="A124" s="93">
        <v>2025</v>
      </c>
      <c r="B124" t="s">
        <v>177</v>
      </c>
      <c r="C124" s="100">
        <f>IF(OR(Fact_Cumplimiento[[#This Row], [Año]]="",Fact_Cumplimiento[[#This Row], [Mes]]=""),"",DATE(A124,MATCH(B124,{"enero","febrero","marzo","abril","mayo","junio","julio","agosto","septiembre","octubre","noviembre","diciembre"},0)+1,0))</f>
        <v>45808</v>
      </c>
      <c r="D124" t="s">
        <v>173</v>
      </c>
      <c r="E124" t="str">
        <f>+IFERROR(VLOOKUP(Fact_Cumplimiento[[#This Row], [Concepto Anterior]],Conceptos_Cumplimiento[#All],5,0),"")</f>
        <v>Público Capacitado</v>
      </c>
      <c r="F124" t="str">
        <f ca="1">+IFERROR(VLOOKUP(Fact_Cumplimiento[[#This Row], [Concepto Anterior]],Conceptos_Cumplimiento[#All],7,0),"")</f>
        <v/>
      </c>
      <c r="G124" t="s">
        <v>172</v>
      </c>
      <c r="H124" t="s">
        <v>172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93">
        <v>874</v>
      </c>
    </row>
    <row r="125" spans="1:11" ht="18.75" customHeight="1" x14ac:dyDescent="0.35">
      <c r="A125" s="93">
        <v>2025</v>
      </c>
      <c r="B125" t="s">
        <v>177</v>
      </c>
      <c r="C125" s="100">
        <f>IF(OR(Fact_Cumplimiento[[#This Row], [Año]]="",Fact_Cumplimiento[[#This Row], [Mes]]=""),"",DATE(A125,MATCH(B125,{"enero","febrero","marzo","abril","mayo","junio","julio","agosto","septiembre","octubre","noviembre","diciembre"},0)+1,0))</f>
        <v>45808</v>
      </c>
      <c r="D125" t="s">
        <v>162</v>
      </c>
      <c r="E125" t="str">
        <f>+IFERROR(VLOOKUP(Fact_Cumplimiento[[#This Row], [Concepto Anterior]],Conceptos_Cumplimiento[#All],5,0),"")</f>
        <v>Registro Clientes Mayoristas​ (Franquicias, Acces, Outlets)</v>
      </c>
      <c r="F125" t="str">
        <f ca="1">+IFERROR(VLOOKUP(Fact_Cumplimiento[[#This Row], [Concepto Anterior]],Conceptos_Cumplimiento[#All],7,0),"")</f>
        <v/>
      </c>
      <c r="G125" t="s">
        <v>172</v>
      </c>
      <c r="H125" t="s">
        <v>172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93">
        <v>13</v>
      </c>
    </row>
    <row r="126" spans="1:11" ht="18.75" customHeight="1" x14ac:dyDescent="0.35">
      <c r="A126" s="93">
        <v>2025</v>
      </c>
      <c r="B126" t="s">
        <v>178</v>
      </c>
      <c r="C126" s="100">
        <f>IF(OR(Fact_Cumplimiento[[#This Row], [Año]]="",Fact_Cumplimiento[[#This Row], [Mes]]=""),"",DATE(A126,MATCH(B126,{"enero","febrero","marzo","abril","mayo","junio","julio","agosto","septiembre","octubre","noviembre","diciembre"},0)+1,0))</f>
        <v>45838</v>
      </c>
      <c r="D126" t="s">
        <v>106</v>
      </c>
      <c r="E126" t="str">
        <f>+IFERROR(VLOOKUP(Fact_Cumplimiento[[#This Row], [Concepto Anterior]],Conceptos_Cumplimiento[#All],5,0),"")</f>
        <v>Comunicados para generación de cultura de riesgos</v>
      </c>
      <c r="F126" t="str">
        <f ca="1">+IFERROR(VLOOKUP(Fact_Cumplimiento[[#This Row], [Concepto Anterior]],Conceptos_Cumplimiento[#All],7,0),"")</f>
        <v/>
      </c>
      <c r="G126" t="s">
        <v>172</v>
      </c>
      <c r="H126" t="s">
        <v>172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93">
        <v>1</v>
      </c>
    </row>
    <row r="127" spans="1:11" ht="18.75" customHeight="1" x14ac:dyDescent="0.35">
      <c r="A127" s="93">
        <v>2025</v>
      </c>
      <c r="B127" t="s">
        <v>178</v>
      </c>
      <c r="C127" s="100">
        <f>IF(OR(Fact_Cumplimiento[[#This Row], [Año]]="",Fact_Cumplimiento[[#This Row], [Mes]]=""),"",DATE(A127,MATCH(B127,{"enero","febrero","marzo","abril","mayo","junio","julio","agosto","septiembre","octubre","noviembre","diciembre"},0)+1,0))</f>
        <v>45838</v>
      </c>
      <c r="D127" t="s">
        <v>104</v>
      </c>
      <c r="E127" t="str">
        <f>+IFERROR(VLOOKUP(Fact_Cumplimiento[[#This Row], [Concepto Anterior]],Conceptos_Cumplimiento[#All],5,0),"")</f>
        <v>Identificación relaciones con posible conflicto de interes</v>
      </c>
      <c r="F127" t="str">
        <f ca="1">+IFERROR(VLOOKUP(Fact_Cumplimiento[[#This Row], [Concepto Anterior]],Conceptos_Cumplimiento[#All],7,0),"")</f>
        <v/>
      </c>
      <c r="G127" t="s">
        <v>172</v>
      </c>
      <c r="H127" t="s">
        <v>172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93">
        <v>7</v>
      </c>
    </row>
    <row r="128" spans="1:11" ht="18.75" customHeight="1" x14ac:dyDescent="0.35">
      <c r="A128" s="93">
        <v>2025</v>
      </c>
      <c r="B128" t="s">
        <v>178</v>
      </c>
      <c r="C128" s="100">
        <f>IF(OR(Fact_Cumplimiento[[#This Row], [Año]]="",Fact_Cumplimiento[[#This Row], [Mes]]=""),"",DATE(A128,MATCH(B128,{"enero","febrero","marzo","abril","mayo","junio","julio","agosto","septiembre","octubre","noviembre","diciembre"},0)+1,0))</f>
        <v>45838</v>
      </c>
      <c r="D128" t="s">
        <v>76</v>
      </c>
      <c r="E128" t="str">
        <f>+IFERROR(VLOOKUP(Fact_Cumplimiento[[#This Row], [Concepto Anterior]],Conceptos_Cumplimiento[#All],5,0),"")</f>
        <v>Informes realizados</v>
      </c>
      <c r="F128" t="str">
        <f ca="1">+IFERROR(VLOOKUP(Fact_Cumplimiento[[#This Row], [Concepto Anterior]],Conceptos_Cumplimiento[#All],7,0),"")</f>
        <v/>
      </c>
      <c r="G128" t="s">
        <v>172</v>
      </c>
      <c r="H128" t="s">
        <v>172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93">
        <v>3</v>
      </c>
    </row>
    <row r="129" spans="1:11" ht="18.75" customHeight="1" x14ac:dyDescent="0.35">
      <c r="A129" s="93">
        <v>2025</v>
      </c>
      <c r="B129" t="s">
        <v>178</v>
      </c>
      <c r="C129" s="100">
        <f>IF(OR(Fact_Cumplimiento[[#This Row], [Año]]="",Fact_Cumplimiento[[#This Row], [Mes]]=""),"",DATE(A129,MATCH(B129,{"enero","febrero","marzo","abril","mayo","junio","julio","agosto","septiembre","octubre","noviembre","diciembre"},0)+1,0))</f>
        <v>45838</v>
      </c>
      <c r="D129" t="s">
        <v>102</v>
      </c>
      <c r="E129" t="str">
        <f>+IFERROR(VLOOKUP(Fact_Cumplimiento[[#This Row], [Concepto Anterior]],Conceptos_Cumplimiento[#All],5,0),"")</f>
        <v>Numero de razones sociales atendidas directas</v>
      </c>
      <c r="F129" t="str">
        <f ca="1">+IFERROR(VLOOKUP(Fact_Cumplimiento[[#This Row], [Concepto Anterior]],Conceptos_Cumplimiento[#All],7,0),"")</f>
        <v/>
      </c>
      <c r="G129" t="s">
        <v>172</v>
      </c>
      <c r="H129" t="s">
        <v>172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93">
        <v>17</v>
      </c>
    </row>
    <row r="130" spans="1:11" ht="18.75" customHeight="1" x14ac:dyDescent="0.35">
      <c r="A130" s="93">
        <v>2025</v>
      </c>
      <c r="B130" t="s">
        <v>178</v>
      </c>
      <c r="C130" s="100">
        <f>IF(OR(Fact_Cumplimiento[[#This Row], [Año]]="",Fact_Cumplimiento[[#This Row], [Mes]]=""),"",DATE(A130,MATCH(B130,{"enero","febrero","marzo","abril","mayo","junio","julio","agosto","septiembre","octubre","noviembre","diciembre"},0)+1,0))</f>
        <v>45838</v>
      </c>
      <c r="D130" t="s">
        <v>103</v>
      </c>
      <c r="E130" t="str">
        <f>+IFERROR(VLOOKUP(Fact_Cumplimiento[[#This Row], [Concepto Anterior]],Conceptos_Cumplimiento[#All],5,0),"")</f>
        <v>Numero de razones sociales atendidas indirectas</v>
      </c>
      <c r="F130" t="str">
        <f ca="1">+IFERROR(VLOOKUP(Fact_Cumplimiento[[#This Row], [Concepto Anterior]],Conceptos_Cumplimiento[#All],7,0),"")</f>
        <v/>
      </c>
      <c r="G130" t="s">
        <v>172</v>
      </c>
      <c r="H130" t="s">
        <v>172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93">
        <v>1</v>
      </c>
    </row>
    <row r="131" spans="1:11" ht="18.75" customHeight="1" x14ac:dyDescent="0.35">
      <c r="A131" s="93">
        <v>2025</v>
      </c>
      <c r="B131" t="s">
        <v>178</v>
      </c>
      <c r="C131" s="100">
        <f>IF(OR(Fact_Cumplimiento[[#This Row], [Año]]="",Fact_Cumplimiento[[#This Row], [Mes]]=""),"",DATE(A131,MATCH(B131,{"enero","febrero","marzo","abril","mayo","junio","julio","agosto","septiembre","octubre","noviembre","diciembre"},0)+1,0))</f>
        <v>45838</v>
      </c>
      <c r="D131" t="s">
        <v>105</v>
      </c>
      <c r="E131" t="str">
        <f>+IFERROR(VLOOKUP(Fact_Cumplimiento[[#This Row], [Concepto Anterior]],Conceptos_Cumplimiento[#All],5,0),"")</f>
        <v>Numeros de terceros evaluados</v>
      </c>
      <c r="F131" t="str">
        <f ca="1">+IFERROR(VLOOKUP(Fact_Cumplimiento[[#This Row], [Concepto Anterior]],Conceptos_Cumplimiento[#All],7,0),"")</f>
        <v/>
      </c>
      <c r="G131" t="s">
        <v>172</v>
      </c>
      <c r="H131" t="s">
        <v>172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93">
        <v>1416</v>
      </c>
    </row>
    <row r="132" spans="1:11" ht="18.75" customHeight="1" x14ac:dyDescent="0.35">
      <c r="A132" s="93">
        <v>2025</v>
      </c>
      <c r="B132" t="s">
        <v>178</v>
      </c>
      <c r="C132" s="100">
        <f>IF(OR(Fact_Cumplimiento[[#This Row], [Año]]="",Fact_Cumplimiento[[#This Row], [Mes]]=""),"",DATE(A132,MATCH(B132,{"enero","febrero","marzo","abril","mayo","junio","julio","agosto","septiembre","octubre","noviembre","diciembre"},0)+1,0))</f>
        <v>45838</v>
      </c>
      <c r="D132" t="s">
        <v>173</v>
      </c>
      <c r="E132" t="str">
        <f>+IFERROR(VLOOKUP(Fact_Cumplimiento[[#This Row], [Concepto Anterior]],Conceptos_Cumplimiento[#All],5,0),"")</f>
        <v>Público Capacitado</v>
      </c>
      <c r="F132" t="str">
        <f ca="1">+IFERROR(VLOOKUP(Fact_Cumplimiento[[#This Row], [Concepto Anterior]],Conceptos_Cumplimiento[#All],7,0),"")</f>
        <v/>
      </c>
      <c r="G132" t="s">
        <v>172</v>
      </c>
      <c r="H132" t="s">
        <v>172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93">
        <v>1502</v>
      </c>
    </row>
    <row r="133" spans="1:11" ht="18.75" customHeight="1" x14ac:dyDescent="0.35">
      <c r="A133" s="93">
        <v>2025</v>
      </c>
      <c r="B133" t="s">
        <v>178</v>
      </c>
      <c r="C133" s="100">
        <f>IF(OR(Fact_Cumplimiento[[#This Row], [Año]]="",Fact_Cumplimiento[[#This Row], [Mes]]=""),"",DATE(A133,MATCH(B133,{"enero","febrero","marzo","abril","mayo","junio","julio","agosto","septiembre","octubre","noviembre","diciembre"},0)+1,0))</f>
        <v>45838</v>
      </c>
      <c r="D133" t="s">
        <v>162</v>
      </c>
      <c r="E133" t="str">
        <f>+IFERROR(VLOOKUP(Fact_Cumplimiento[[#This Row], [Concepto Anterior]],Conceptos_Cumplimiento[#All],5,0),"")</f>
        <v>Registro Clientes Mayoristas​ (Franquicias, Acces, Outlets)</v>
      </c>
      <c r="F133" t="str">
        <f ca="1">+IFERROR(VLOOKUP(Fact_Cumplimiento[[#This Row], [Concepto Anterior]],Conceptos_Cumplimiento[#All],7,0),"")</f>
        <v/>
      </c>
      <c r="G133" t="s">
        <v>172</v>
      </c>
      <c r="H133" t="s">
        <v>172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93">
        <v>8</v>
      </c>
    </row>
    <row r="134" spans="1:11" ht="18.75" customHeight="1" x14ac:dyDescent="0.35">
      <c r="A134" s="93">
        <v>2025</v>
      </c>
      <c r="B134" t="s">
        <v>179</v>
      </c>
      <c r="C134" s="100">
        <f>IF(OR(Fact_Cumplimiento[[#This Row], [Año]]="",Fact_Cumplimiento[[#This Row], [Mes]]=""),"",DATE(A134,MATCH(B134,{"enero","febrero","marzo","abril","mayo","junio","julio","agosto","septiembre","octubre","noviembre","diciembre"},0)+1,0))</f>
        <v>45869</v>
      </c>
      <c r="D134" t="s">
        <v>106</v>
      </c>
      <c r="E134" t="str">
        <f>+IFERROR(VLOOKUP(Fact_Cumplimiento[[#This Row], [Concepto Anterior]],Conceptos_Cumplimiento[#All],5,0),"")</f>
        <v>Comunicados para generación de cultura de riesgos</v>
      </c>
      <c r="F134" t="str">
        <f ca="1">+IFERROR(VLOOKUP(Fact_Cumplimiento[[#This Row], [Concepto Anterior]],Conceptos_Cumplimiento[#All],7,0),"")</f>
        <v/>
      </c>
      <c r="G134" t="s">
        <v>172</v>
      </c>
      <c r="H134" t="s">
        <v>172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179</v>
      </c>
      <c r="C135" s="100">
        <f>IF(OR(Fact_Cumplimiento[[#This Row], [Año]]="",Fact_Cumplimiento[[#This Row], [Mes]]=""),"",DATE(A135,MATCH(B135,{"enero","febrero","marzo","abril","mayo","junio","julio","agosto","septiembre","octubre","noviembre","diciembre"},0)+1,0))</f>
        <v>45869</v>
      </c>
      <c r="D135" t="s">
        <v>104</v>
      </c>
      <c r="E135" t="str">
        <f>+IFERROR(VLOOKUP(Fact_Cumplimiento[[#This Row], [Concepto Anterior]],Conceptos_Cumplimiento[#All],5,0),"")</f>
        <v>Identificación relaciones con posible conflicto de interes</v>
      </c>
      <c r="F135" t="str">
        <f ca="1">+IFERROR(VLOOKUP(Fact_Cumplimiento[[#This Row], [Concepto Anterior]],Conceptos_Cumplimiento[#All],7,0),"")</f>
        <v/>
      </c>
      <c r="G135" t="s">
        <v>172</v>
      </c>
      <c r="H135" t="s">
        <v>172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93">
        <v>184</v>
      </c>
    </row>
    <row r="136" spans="1:11" ht="18.75" customHeight="1" x14ac:dyDescent="0.35">
      <c r="A136" s="93">
        <v>2025</v>
      </c>
      <c r="B136" t="s">
        <v>179</v>
      </c>
      <c r="C136" s="100">
        <f>IF(OR(Fact_Cumplimiento[[#This Row], [Año]]="",Fact_Cumplimiento[[#This Row], [Mes]]=""),"",DATE(A136,MATCH(B136,{"enero","febrero","marzo","abril","mayo","junio","julio","agosto","septiembre","octubre","noviembre","diciembre"},0)+1,0))</f>
        <v>45869</v>
      </c>
      <c r="D136" t="s">
        <v>76</v>
      </c>
      <c r="E136" t="str">
        <f>+IFERROR(VLOOKUP(Fact_Cumplimiento[[#This Row], [Concepto Anterior]],Conceptos_Cumplimiento[#All],5,0),"")</f>
        <v>Informes realizados</v>
      </c>
      <c r="F136" t="str">
        <f ca="1">+IFERROR(VLOOKUP(Fact_Cumplimiento[[#This Row], [Concepto Anterior]],Conceptos_Cumplimiento[#All],7,0),"")</f>
        <v/>
      </c>
      <c r="G136" t="s">
        <v>172</v>
      </c>
      <c r="H136" t="s">
        <v>172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93">
        <v>15</v>
      </c>
    </row>
    <row r="137" spans="1:11" ht="18.75" customHeight="1" x14ac:dyDescent="0.35">
      <c r="A137" s="93">
        <v>2025</v>
      </c>
      <c r="B137" t="s">
        <v>179</v>
      </c>
      <c r="C137" s="100">
        <f>IF(OR(Fact_Cumplimiento[[#This Row], [Año]]="",Fact_Cumplimiento[[#This Row], [Mes]]=""),"",DATE(A137,MATCH(B137,{"enero","febrero","marzo","abril","mayo","junio","julio","agosto","septiembre","octubre","noviembre","diciembre"},0)+1,0))</f>
        <v>45869</v>
      </c>
      <c r="D137" t="s">
        <v>102</v>
      </c>
      <c r="E137" t="str">
        <f>+IFERROR(VLOOKUP(Fact_Cumplimiento[[#This Row], [Concepto Anterior]],Conceptos_Cumplimiento[#All],5,0),"")</f>
        <v>Numero de razones sociales atendidas directas</v>
      </c>
      <c r="F137" t="str">
        <f ca="1">+IFERROR(VLOOKUP(Fact_Cumplimiento[[#This Row], [Concepto Anterior]],Conceptos_Cumplimiento[#All],7,0),"")</f>
        <v/>
      </c>
      <c r="G137" t="s">
        <v>172</v>
      </c>
      <c r="H137" t="s">
        <v>172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93">
        <v>17</v>
      </c>
    </row>
    <row r="138" spans="1:11" ht="18.75" customHeight="1" x14ac:dyDescent="0.35">
      <c r="A138" s="93">
        <v>2025</v>
      </c>
      <c r="B138" t="s">
        <v>179</v>
      </c>
      <c r="C138" s="100">
        <f>IF(OR(Fact_Cumplimiento[[#This Row], [Año]]="",Fact_Cumplimiento[[#This Row], [Mes]]=""),"",DATE(A138,MATCH(B138,{"enero","febrero","marzo","abril","mayo","junio","julio","agosto","septiembre","octubre","noviembre","diciembre"},0)+1,0))</f>
        <v>45869</v>
      </c>
      <c r="D138" t="s">
        <v>103</v>
      </c>
      <c r="E138" t="str">
        <f>+IFERROR(VLOOKUP(Fact_Cumplimiento[[#This Row], [Concepto Anterior]],Conceptos_Cumplimiento[#All],5,0),"")</f>
        <v>Numero de razones sociales atendidas indirectas</v>
      </c>
      <c r="F138" t="str">
        <f ca="1">+IFERROR(VLOOKUP(Fact_Cumplimiento[[#This Row], [Concepto Anterior]],Conceptos_Cumplimiento[#All],7,0),"")</f>
        <v/>
      </c>
      <c r="G138" t="s">
        <v>172</v>
      </c>
      <c r="H138" t="s">
        <v>172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93">
        <v>1</v>
      </c>
    </row>
    <row r="139" spans="1:11" ht="18.75" customHeight="1" x14ac:dyDescent="0.35">
      <c r="A139" s="93">
        <v>2025</v>
      </c>
      <c r="B139" t="s">
        <v>179</v>
      </c>
      <c r="C139" s="100">
        <f>IF(OR(Fact_Cumplimiento[[#This Row], [Año]]="",Fact_Cumplimiento[[#This Row], [Mes]]=""),"",DATE(A139,MATCH(B139,{"enero","febrero","marzo","abril","mayo","junio","julio","agosto","septiembre","octubre","noviembre","diciembre"},0)+1,0))</f>
        <v>45869</v>
      </c>
      <c r="D139" t="s">
        <v>105</v>
      </c>
      <c r="E139" t="str">
        <f>+IFERROR(VLOOKUP(Fact_Cumplimiento[[#This Row], [Concepto Anterior]],Conceptos_Cumplimiento[#All],5,0),"")</f>
        <v>Numeros de terceros evaluados</v>
      </c>
      <c r="F139" t="str">
        <f ca="1">+IFERROR(VLOOKUP(Fact_Cumplimiento[[#This Row], [Concepto Anterior]],Conceptos_Cumplimiento[#All],7,0),"")</f>
        <v/>
      </c>
      <c r="G139" t="s">
        <v>172</v>
      </c>
      <c r="H139" t="s">
        <v>172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93">
        <v>8236</v>
      </c>
    </row>
    <row r="140" spans="1:11" ht="18.75" customHeight="1" x14ac:dyDescent="0.35">
      <c r="A140" s="93">
        <v>2025</v>
      </c>
      <c r="B140" t="s">
        <v>179</v>
      </c>
      <c r="C140" s="100">
        <f>IF(OR(Fact_Cumplimiento[[#This Row], [Año]]="",Fact_Cumplimiento[[#This Row], [Mes]]=""),"",DATE(A140,MATCH(B140,{"enero","febrero","marzo","abril","mayo","junio","julio","agosto","septiembre","octubre","noviembre","diciembre"},0)+1,0))</f>
        <v>45869</v>
      </c>
      <c r="D140" t="s">
        <v>173</v>
      </c>
      <c r="E140" t="str">
        <f>+IFERROR(VLOOKUP(Fact_Cumplimiento[[#This Row], [Concepto Anterior]],Conceptos_Cumplimiento[#All],5,0),"")</f>
        <v>Público Capacitado</v>
      </c>
      <c r="F140" t="str">
        <f ca="1">+IFERROR(VLOOKUP(Fact_Cumplimiento[[#This Row], [Concepto Anterior]],Conceptos_Cumplimiento[#All],7,0),"")</f>
        <v/>
      </c>
      <c r="G140" t="s">
        <v>172</v>
      </c>
      <c r="H140" t="s">
        <v>172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93">
        <v>258</v>
      </c>
    </row>
    <row r="141" spans="1:11" ht="18.75" customHeight="1" x14ac:dyDescent="0.35">
      <c r="A141" s="93">
        <v>2025</v>
      </c>
      <c r="B141" t="s">
        <v>179</v>
      </c>
      <c r="C141" s="100">
        <f>IF(OR(Fact_Cumplimiento[[#This Row], [Año]]="",Fact_Cumplimiento[[#This Row], [Mes]]=""),"",DATE(A141,MATCH(B141,{"enero","febrero","marzo","abril","mayo","junio","julio","agosto","septiembre","octubre","noviembre","diciembre"},0)+1,0))</f>
        <v>45869</v>
      </c>
      <c r="D141" t="s">
        <v>162</v>
      </c>
      <c r="E141" t="str">
        <f>+IFERROR(VLOOKUP(Fact_Cumplimiento[[#This Row], [Concepto Anterior]],Conceptos_Cumplimiento[#All],5,0),"")</f>
        <v>Registro Clientes Mayoristas​ (Franquicias, Acces, Outlets)</v>
      </c>
      <c r="F141" t="str">
        <f ca="1">+IFERROR(VLOOKUP(Fact_Cumplimiento[[#This Row], [Concepto Anterior]],Conceptos_Cumplimiento[#All],7,0),"")</f>
        <v/>
      </c>
      <c r="G141" t="s">
        <v>172</v>
      </c>
      <c r="H141" t="s">
        <v>172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93">
        <v>15</v>
      </c>
    </row>
    <row r="142" spans="1:11" ht="18.75" customHeight="1" x14ac:dyDescent="0.35">
      <c r="A142" s="93">
        <v>2025</v>
      </c>
      <c r="B142" t="s">
        <v>180</v>
      </c>
      <c r="C142" s="100">
        <f>IF(OR(Fact_Cumplimiento[[#This Row], [Año]]="",Fact_Cumplimiento[[#This Row], [Mes]]=""),"",DATE(A142,MATCH(B142,{"enero","febrero","marzo","abril","mayo","junio","julio","agosto","septiembre","octubre","noviembre","diciembre"},0)+1,0))</f>
        <v>45900</v>
      </c>
      <c r="D142" t="s">
        <v>106</v>
      </c>
      <c r="E142" t="str">
        <f>+IFERROR(VLOOKUP(Fact_Cumplimiento[[#This Row], [Concepto Anterior]],Conceptos_Cumplimiento[#All],5,0),"")</f>
        <v>Comunicados para generación de cultura de riesgos</v>
      </c>
      <c r="F142" t="str">
        <f ca="1">+IFERROR(VLOOKUP(Fact_Cumplimiento[[#This Row], [Concepto Anterior]],Conceptos_Cumplimiento[#All],7,0),"")</f>
        <v/>
      </c>
      <c r="G142" t="s">
        <v>172</v>
      </c>
      <c r="H142" t="s">
        <v>172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180</v>
      </c>
      <c r="C143" s="100">
        <f>IF(OR(Fact_Cumplimiento[[#This Row], [Año]]="",Fact_Cumplimiento[[#This Row], [Mes]]=""),"",DATE(A143,MATCH(B143,{"enero","febrero","marzo","abril","mayo","junio","julio","agosto","septiembre","octubre","noviembre","diciembre"},0)+1,0))</f>
        <v>45900</v>
      </c>
      <c r="D143" t="s">
        <v>104</v>
      </c>
      <c r="E143" t="str">
        <f>+IFERROR(VLOOKUP(Fact_Cumplimiento[[#This Row], [Concepto Anterior]],Conceptos_Cumplimiento[#All],5,0),"")</f>
        <v>Identificación relaciones con posible conflicto de interes</v>
      </c>
      <c r="F143" t="str">
        <f ca="1">+IFERROR(VLOOKUP(Fact_Cumplimiento[[#This Row], [Concepto Anterior]],Conceptos_Cumplimiento[#All],7,0),"")</f>
        <v/>
      </c>
      <c r="G143" t="s">
        <v>172</v>
      </c>
      <c r="H143" t="s">
        <v>172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93">
        <v>184</v>
      </c>
    </row>
    <row r="144" spans="1:11" ht="18.75" customHeight="1" x14ac:dyDescent="0.35">
      <c r="A144" s="93">
        <v>2025</v>
      </c>
      <c r="B144" t="s">
        <v>180</v>
      </c>
      <c r="C144" s="100">
        <f>IF(OR(Fact_Cumplimiento[[#This Row], [Año]]="",Fact_Cumplimiento[[#This Row], [Mes]]=""),"",DATE(A144,MATCH(B144,{"enero","febrero","marzo","abril","mayo","junio","julio","agosto","septiembre","octubre","noviembre","diciembre"},0)+1,0))</f>
        <v>45900</v>
      </c>
      <c r="D144" t="s">
        <v>76</v>
      </c>
      <c r="E144" t="str">
        <f>+IFERROR(VLOOKUP(Fact_Cumplimiento[[#This Row], [Concepto Anterior]],Conceptos_Cumplimiento[#All],5,0),"")</f>
        <v>Informes realizados</v>
      </c>
      <c r="F144" t="str">
        <f ca="1">+IFERROR(VLOOKUP(Fact_Cumplimiento[[#This Row], [Concepto Anterior]],Conceptos_Cumplimiento[#All],7,0),"")</f>
        <v/>
      </c>
      <c r="G144" t="s">
        <v>172</v>
      </c>
      <c r="H144" t="s">
        <v>172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93">
        <v>1</v>
      </c>
    </row>
    <row r="145" spans="1:11" ht="18.75" customHeight="1" x14ac:dyDescent="0.35">
      <c r="A145" s="93">
        <v>2025</v>
      </c>
      <c r="B145" t="s">
        <v>180</v>
      </c>
      <c r="C145" s="100">
        <f>IF(OR(Fact_Cumplimiento[[#This Row], [Año]]="",Fact_Cumplimiento[[#This Row], [Mes]]=""),"",DATE(A145,MATCH(B145,{"enero","febrero","marzo","abril","mayo","junio","julio","agosto","septiembre","octubre","noviembre","diciembre"},0)+1,0))</f>
        <v>45900</v>
      </c>
      <c r="D145" t="s">
        <v>102</v>
      </c>
      <c r="E145" t="str">
        <f>+IFERROR(VLOOKUP(Fact_Cumplimiento[[#This Row], [Concepto Anterior]],Conceptos_Cumplimiento[#All],5,0),"")</f>
        <v>Numero de razones sociales atendidas directas</v>
      </c>
      <c r="F145" t="str">
        <f ca="1">+IFERROR(VLOOKUP(Fact_Cumplimiento[[#This Row], [Concepto Anterior]],Conceptos_Cumplimiento[#All],7,0),"")</f>
        <v/>
      </c>
      <c r="G145" t="s">
        <v>172</v>
      </c>
      <c r="H145" t="s">
        <v>172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93">
        <v>22</v>
      </c>
    </row>
    <row r="146" spans="1:11" ht="18.75" customHeight="1" x14ac:dyDescent="0.35">
      <c r="A146" s="93">
        <v>2025</v>
      </c>
      <c r="B146" t="s">
        <v>180</v>
      </c>
      <c r="C146" s="100">
        <f>IF(OR(Fact_Cumplimiento[[#This Row], [Año]]="",Fact_Cumplimiento[[#This Row], [Mes]]=""),"",DATE(A146,MATCH(B146,{"enero","febrero","marzo","abril","mayo","junio","julio","agosto","septiembre","octubre","noviembre","diciembre"},0)+1,0))</f>
        <v>45900</v>
      </c>
      <c r="D146" t="s">
        <v>103</v>
      </c>
      <c r="E146" t="str">
        <f>+IFERROR(VLOOKUP(Fact_Cumplimiento[[#This Row], [Concepto Anterior]],Conceptos_Cumplimiento[#All],5,0),"")</f>
        <v>Numero de razones sociales atendidas indirectas</v>
      </c>
      <c r="F146" t="str">
        <f ca="1">+IFERROR(VLOOKUP(Fact_Cumplimiento[[#This Row], [Concepto Anterior]],Conceptos_Cumplimiento[#All],7,0),"")</f>
        <v/>
      </c>
      <c r="G146" t="s">
        <v>172</v>
      </c>
      <c r="H146" t="s">
        <v>172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93">
        <v>1</v>
      </c>
    </row>
    <row r="147" spans="1:11" ht="18.75" customHeight="1" x14ac:dyDescent="0.35">
      <c r="A147" s="93">
        <v>2025</v>
      </c>
      <c r="B147" t="s">
        <v>180</v>
      </c>
      <c r="C147" s="100">
        <f>IF(OR(Fact_Cumplimiento[[#This Row], [Año]]="",Fact_Cumplimiento[[#This Row], [Mes]]=""),"",DATE(A147,MATCH(B147,{"enero","febrero","marzo","abril","mayo","junio","julio","agosto","septiembre","octubre","noviembre","diciembre"},0)+1,0))</f>
        <v>45900</v>
      </c>
      <c r="D147" t="s">
        <v>105</v>
      </c>
      <c r="E147" t="str">
        <f>+IFERROR(VLOOKUP(Fact_Cumplimiento[[#This Row], [Concepto Anterior]],Conceptos_Cumplimiento[#All],5,0),"")</f>
        <v>Numeros de terceros evaluados</v>
      </c>
      <c r="F147" t="str">
        <f ca="1">+IFERROR(VLOOKUP(Fact_Cumplimiento[[#This Row], [Concepto Anterior]],Conceptos_Cumplimiento[#All],7,0),"")</f>
        <v/>
      </c>
      <c r="G147" t="s">
        <v>172</v>
      </c>
      <c r="H147" t="s">
        <v>172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93">
        <v>1171</v>
      </c>
    </row>
    <row r="148" spans="1:11" ht="18.75" customHeight="1" x14ac:dyDescent="0.35">
      <c r="A148" s="93">
        <v>2025</v>
      </c>
      <c r="B148" t="s">
        <v>180</v>
      </c>
      <c r="C148" s="100">
        <f>IF(OR(Fact_Cumplimiento[[#This Row], [Año]]="",Fact_Cumplimiento[[#This Row], [Mes]]=""),"",DATE(A148,MATCH(B148,{"enero","febrero","marzo","abril","mayo","junio","julio","agosto","septiembre","octubre","noviembre","diciembre"},0)+1,0))</f>
        <v>45900</v>
      </c>
      <c r="D148" t="s">
        <v>173</v>
      </c>
      <c r="E148" t="str">
        <f>+IFERROR(VLOOKUP(Fact_Cumplimiento[[#This Row], [Concepto Anterior]],Conceptos_Cumplimiento[#All],5,0),"")</f>
        <v>Público Capacitado</v>
      </c>
      <c r="F148" t="str">
        <f ca="1">+IFERROR(VLOOKUP(Fact_Cumplimiento[[#This Row], [Concepto Anterior]],Conceptos_Cumplimiento[#All],7,0),"")</f>
        <v/>
      </c>
      <c r="G148" t="s">
        <v>172</v>
      </c>
      <c r="H148" t="s">
        <v>172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93">
        <v>330</v>
      </c>
    </row>
    <row r="149" spans="1:11" ht="18.75" customHeight="1" x14ac:dyDescent="0.35">
      <c r="A149" s="93">
        <v>2025</v>
      </c>
      <c r="B149" t="s">
        <v>180</v>
      </c>
      <c r="C149" s="100">
        <f>IF(OR(Fact_Cumplimiento[[#This Row], [Año]]="",Fact_Cumplimiento[[#This Row], [Mes]]=""),"",DATE(A149,MATCH(B149,{"enero","febrero","marzo","abril","mayo","junio","julio","agosto","septiembre","octubre","noviembre","diciembre"},0)+1,0))</f>
        <v>45900</v>
      </c>
      <c r="D149" t="s">
        <v>162</v>
      </c>
      <c r="E149" t="str">
        <f>+IFERROR(VLOOKUP(Fact_Cumplimiento[[#This Row], [Concepto Anterior]],Conceptos_Cumplimiento[#All],5,0),"")</f>
        <v>Registro Clientes Mayoristas​ (Franquicias, Acces, Outlets)</v>
      </c>
      <c r="F149" t="str">
        <f ca="1">+IFERROR(VLOOKUP(Fact_Cumplimiento[[#This Row], [Concepto Anterior]],Conceptos_Cumplimiento[#All],7,0),"")</f>
        <v/>
      </c>
      <c r="G149" t="s">
        <v>172</v>
      </c>
      <c r="H149" t="s">
        <v>172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93">
        <v>20</v>
      </c>
    </row>
    <row r="150" spans="1:11" ht="18.75" customHeight="1" x14ac:dyDescent="0.35">
      <c r="A150" s="93">
        <v>2025</v>
      </c>
      <c r="B150" t="s">
        <v>181</v>
      </c>
      <c r="C150" s="100">
        <f>IF(OR(Fact_Cumplimiento[[#This Row], [Año]]="",Fact_Cumplimiento[[#This Row], [Mes]]=""),"",DATE(A150,MATCH(B150,{"enero","febrero","marzo","abril","mayo","junio","julio","agosto","septiembre","octubre","noviembre","diciembre"},0)+1,0))</f>
        <v>45930</v>
      </c>
      <c r="D150" t="s">
        <v>106</v>
      </c>
      <c r="E150" t="str">
        <f>+IFERROR(VLOOKUP(Fact_Cumplimiento[[#This Row], [Concepto Anterior]],Conceptos_Cumplimiento[#All],5,0),"")</f>
        <v>Comunicados para generación de cultura de riesgos</v>
      </c>
      <c r="F150" t="str">
        <f ca="1">+IFERROR(VLOOKUP(Fact_Cumplimiento[[#This Row], [Concepto Anterior]],Conceptos_Cumplimiento[#All],7,0),"")</f>
        <v/>
      </c>
      <c r="G150" t="s">
        <v>172</v>
      </c>
      <c r="H150" t="s">
        <v>172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93">
        <v>3</v>
      </c>
    </row>
    <row r="151" spans="1:11" ht="18.75" customHeight="1" x14ac:dyDescent="0.35">
      <c r="A151" s="93">
        <v>2025</v>
      </c>
      <c r="B151" t="s">
        <v>181</v>
      </c>
      <c r="C151" s="100">
        <f>IF(OR(Fact_Cumplimiento[[#This Row], [Año]]="",Fact_Cumplimiento[[#This Row], [Mes]]=""),"",DATE(A151,MATCH(B151,{"enero","febrero","marzo","abril","mayo","junio","julio","agosto","septiembre","octubre","noviembre","diciembre"},0)+1,0))</f>
        <v>45930</v>
      </c>
      <c r="D151" t="s">
        <v>104</v>
      </c>
      <c r="E151" t="str">
        <f>+IFERROR(VLOOKUP(Fact_Cumplimiento[[#This Row], [Concepto Anterior]],Conceptos_Cumplimiento[#All],5,0),"")</f>
        <v>Identificación relaciones con posible conflicto de interes</v>
      </c>
      <c r="F151" t="str">
        <f ca="1">+IFERROR(VLOOKUP(Fact_Cumplimiento[[#This Row], [Concepto Anterior]],Conceptos_Cumplimiento[#All],7,0),"")</f>
        <v/>
      </c>
      <c r="G151" t="s">
        <v>172</v>
      </c>
      <c r="H151" t="s">
        <v>172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93">
        <v>184</v>
      </c>
    </row>
    <row r="152" spans="1:11" ht="18.75" customHeight="1" x14ac:dyDescent="0.35">
      <c r="A152" s="93">
        <v>2025</v>
      </c>
      <c r="B152" t="s">
        <v>181</v>
      </c>
      <c r="C152" s="100">
        <f>IF(OR(Fact_Cumplimiento[[#This Row], [Año]]="",Fact_Cumplimiento[[#This Row], [Mes]]=""),"",DATE(A152,MATCH(B152,{"enero","febrero","marzo","abril","mayo","junio","julio","agosto","septiembre","octubre","noviembre","diciembre"},0)+1,0))</f>
        <v>45930</v>
      </c>
      <c r="D152" t="s">
        <v>76</v>
      </c>
      <c r="E152" t="str">
        <f>+IFERROR(VLOOKUP(Fact_Cumplimiento[[#This Row], [Concepto Anterior]],Conceptos_Cumplimiento[#All],5,0),"")</f>
        <v>Informes realizados</v>
      </c>
      <c r="F152" t="str">
        <f ca="1">+IFERROR(VLOOKUP(Fact_Cumplimiento[[#This Row], [Concepto Anterior]],Conceptos_Cumplimiento[#All],7,0),"")</f>
        <v/>
      </c>
      <c r="G152" t="s">
        <v>172</v>
      </c>
      <c r="H152" t="s">
        <v>172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93">
        <v>1</v>
      </c>
    </row>
    <row r="153" spans="1:11" ht="18.75" customHeight="1" x14ac:dyDescent="0.35">
      <c r="A153" s="93">
        <v>2025</v>
      </c>
      <c r="B153" t="s">
        <v>181</v>
      </c>
      <c r="C153" s="100">
        <f>IF(OR(Fact_Cumplimiento[[#This Row], [Año]]="",Fact_Cumplimiento[[#This Row], [Mes]]=""),"",DATE(A153,MATCH(B153,{"enero","febrero","marzo","abril","mayo","junio","julio","agosto","septiembre","octubre","noviembre","diciembre"},0)+1,0))</f>
        <v>45930</v>
      </c>
      <c r="D153" t="s">
        <v>102</v>
      </c>
      <c r="E153" t="str">
        <f>+IFERROR(VLOOKUP(Fact_Cumplimiento[[#This Row], [Concepto Anterior]],Conceptos_Cumplimiento[#All],5,0),"")</f>
        <v>Numero de razones sociales atendidas directas</v>
      </c>
      <c r="F153" t="str">
        <f ca="1">+IFERROR(VLOOKUP(Fact_Cumplimiento[[#This Row], [Concepto Anterior]],Conceptos_Cumplimiento[#All],7,0),"")</f>
        <v/>
      </c>
      <c r="G153" t="s">
        <v>172</v>
      </c>
      <c r="H153" t="s">
        <v>172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93">
        <v>22</v>
      </c>
    </row>
    <row r="154" spans="1:11" ht="18.75" customHeight="1" x14ac:dyDescent="0.35">
      <c r="A154" s="93">
        <v>2025</v>
      </c>
      <c r="B154" t="s">
        <v>181</v>
      </c>
      <c r="C154" s="100">
        <f>IF(OR(Fact_Cumplimiento[[#This Row], [Año]]="",Fact_Cumplimiento[[#This Row], [Mes]]=""),"",DATE(A154,MATCH(B154,{"enero","febrero","marzo","abril","mayo","junio","julio","agosto","septiembre","octubre","noviembre","diciembre"},0)+1,0))</f>
        <v>45930</v>
      </c>
      <c r="D154" t="s">
        <v>103</v>
      </c>
      <c r="E154" t="str">
        <f>+IFERROR(VLOOKUP(Fact_Cumplimiento[[#This Row], [Concepto Anterior]],Conceptos_Cumplimiento[#All],5,0),"")</f>
        <v>Numero de razones sociales atendidas indirectas</v>
      </c>
      <c r="F154" t="str">
        <f ca="1">+IFERROR(VLOOKUP(Fact_Cumplimiento[[#This Row], [Concepto Anterior]],Conceptos_Cumplimiento[#All],7,0),"")</f>
        <v/>
      </c>
      <c r="G154" t="s">
        <v>172</v>
      </c>
      <c r="H154" t="s">
        <v>172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93">
        <v>1</v>
      </c>
    </row>
    <row r="155" spans="1:11" ht="18.75" customHeight="1" x14ac:dyDescent="0.35">
      <c r="A155" s="93">
        <v>2025</v>
      </c>
      <c r="B155" t="s">
        <v>181</v>
      </c>
      <c r="C155" s="100">
        <f>IF(OR(Fact_Cumplimiento[[#This Row], [Año]]="",Fact_Cumplimiento[[#This Row], [Mes]]=""),"",DATE(A155,MATCH(B155,{"enero","febrero","marzo","abril","mayo","junio","julio","agosto","septiembre","octubre","noviembre","diciembre"},0)+1,0))</f>
        <v>45930</v>
      </c>
      <c r="D155" t="s">
        <v>105</v>
      </c>
      <c r="E155" t="str">
        <f>+IFERROR(VLOOKUP(Fact_Cumplimiento[[#This Row], [Concepto Anterior]],Conceptos_Cumplimiento[#All],5,0),"")</f>
        <v>Numeros de terceros evaluados</v>
      </c>
      <c r="F155" t="str">
        <f ca="1">+IFERROR(VLOOKUP(Fact_Cumplimiento[[#This Row], [Concepto Anterior]],Conceptos_Cumplimiento[#All],7,0),"")</f>
        <v/>
      </c>
      <c r="G155" t="s">
        <v>172</v>
      </c>
      <c r="H155" t="s">
        <v>172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93">
        <v>1388</v>
      </c>
    </row>
    <row r="156" spans="1:11" ht="18.75" customHeight="1" x14ac:dyDescent="0.35">
      <c r="A156" s="93">
        <v>2025</v>
      </c>
      <c r="B156" t="s">
        <v>181</v>
      </c>
      <c r="C156" s="100">
        <f>IF(OR(Fact_Cumplimiento[[#This Row], [Año]]="",Fact_Cumplimiento[[#This Row], [Mes]]=""),"",DATE(A156,MATCH(B156,{"enero","febrero","marzo","abril","mayo","junio","julio","agosto","septiembre","octubre","noviembre","diciembre"},0)+1,0))</f>
        <v>45930</v>
      </c>
      <c r="D156" t="s">
        <v>173</v>
      </c>
      <c r="E156" t="str">
        <f>+IFERROR(VLOOKUP(Fact_Cumplimiento[[#This Row], [Concepto Anterior]],Conceptos_Cumplimiento[#All],5,0),"")</f>
        <v>Público Capacitado</v>
      </c>
      <c r="F156" t="str">
        <f ca="1">+IFERROR(VLOOKUP(Fact_Cumplimiento[[#This Row], [Concepto Anterior]],Conceptos_Cumplimiento[#All],7,0),"")</f>
        <v/>
      </c>
      <c r="G156" t="s">
        <v>172</v>
      </c>
      <c r="H156" t="s">
        <v>172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93">
        <v>62</v>
      </c>
    </row>
    <row r="157" spans="1:11" ht="18.75" customHeight="1" x14ac:dyDescent="0.35">
      <c r="A157" s="93">
        <v>2025</v>
      </c>
      <c r="B157" t="s">
        <v>181</v>
      </c>
      <c r="C157" s="100">
        <f>IF(OR(Fact_Cumplimiento[[#This Row], [Año]]="",Fact_Cumplimiento[[#This Row], [Mes]]=""),"",DATE(A157,MATCH(B157,{"enero","febrero","marzo","abril","mayo","junio","julio","agosto","septiembre","octubre","noviembre","diciembre"},0)+1,0))</f>
        <v>45930</v>
      </c>
      <c r="D157" t="s">
        <v>162</v>
      </c>
      <c r="E157" t="str">
        <f>+IFERROR(VLOOKUP(Fact_Cumplimiento[[#This Row], [Concepto Anterior]],Conceptos_Cumplimiento[#All],5,0),"")</f>
        <v>Registro Clientes Mayoristas​ (Franquicias, Acces, Outlets)</v>
      </c>
      <c r="F157" t="str">
        <f ca="1">+IFERROR(VLOOKUP(Fact_Cumplimiento[[#This Row], [Concepto Anterior]],Conceptos_Cumplimiento[#All],7,0),"")</f>
        <v/>
      </c>
      <c r="G157" t="s">
        <v>172</v>
      </c>
      <c r="H157" t="s">
        <v>172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93">
        <v>18</v>
      </c>
    </row>
    <row r="158" spans="1:11" ht="18.75" customHeight="1" x14ac:dyDescent="0.35">
      <c r="C158" s="100" t="str">
        <f>IF(OR(Fact_Cumplimiento[[#This Row], [Año]]="",Fact_Cumplimiento[[#This Row], [Mes]]=""),"",DATE(A158,MATCH(B158,{"enero","febrero","marzo","abril","mayo","junio","julio","agosto","septiembre","octubre","noviembre","diciembre"},0)+1,0))</f>
        <v/>
      </c>
      <c r="E158" t="str">
        <f>+IFERROR(VLOOKUP(Fact_Cumplimiento[[#This Row], [Concepto Anterior]],Conceptos_Cumplimiento[#All],5,0),"")</f>
        <v/>
      </c>
      <c r="F158" t="str">
        <f>+IFERROR(VLOOKUP(Fact_Cumplimiento[[#This Row], 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ht="18.75" customHeight="1" x14ac:dyDescent="0.35">
      <c r="C159" s="100" t="str">
        <f>IF(OR(Fact_Cumplimiento[[#This Row], [Año]]="",Fact_Cumplimiento[[#This Row], [Mes]]=""),"",DATE(A159,MATCH(B159,{"enero","febrero","marzo","abril","mayo","junio","julio","agosto","septiembre","octubre","noviembre","diciembre"},0)+1,0))</f>
        <v/>
      </c>
      <c r="E159" t="str">
        <f>+IFERROR(VLOOKUP(Fact_Cumplimiento[[#This Row], [Concepto Anterior]],Conceptos_Cumplimiento[#All],5,0),"")</f>
        <v/>
      </c>
      <c r="F159" t="str">
        <f>+IFERROR(VLOOKUP(Fact_Cumplimiento[[#This Row], 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ht="18.75" customHeight="1" x14ac:dyDescent="0.35">
      <c r="C160" s="100" t="str">
        <f>IF(OR(Fact_Cumplimiento[[#This Row], [Año]]="",Fact_Cumplimiento[[#This Row], [Mes]]=""),"",DATE(A160,MATCH(B160,{"enero","febrero","marzo","abril","mayo","junio","julio","agosto","septiembre","octubre","noviembre","diciembre"},0)+1,0))</f>
        <v/>
      </c>
      <c r="E160" t="str">
        <f>+IFERROR(VLOOKUP(Fact_Cumplimiento[[#This Row], [Concepto Anterior]],Conceptos_Cumplimiento[#All],5,0),"")</f>
        <v/>
      </c>
      <c r="F160" t="str">
        <f>+IFERROR(VLOOKUP(Fact_Cumplimiento[[#This Row], 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ht="18.75" customHeight="1" x14ac:dyDescent="0.35">
      <c r="C161" s="100" t="str">
        <f>IF(OR(Fact_Cumplimiento[[#This Row], [Año]]="",Fact_Cumplimiento[[#This Row], [Mes]]=""),"",DATE(A161,MATCH(B161,{"enero","febrero","marzo","abril","mayo","junio","julio","agosto","septiembre","octubre","noviembre","diciembre"},0)+1,0))</f>
        <v/>
      </c>
      <c r="E161" t="str">
        <f>+IFERROR(VLOOKUP(Fact_Cumplimiento[[#This Row], [Concepto Anterior]],Conceptos_Cumplimiento[#All],5,0),"")</f>
        <v/>
      </c>
      <c r="F161" t="str">
        <f>+IFERROR(VLOOKUP(Fact_Cumplimiento[[#This Row], 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ht="18.75" customHeight="1" x14ac:dyDescent="0.35">
      <c r="C162" s="100" t="str">
        <f>IF(OR(Fact_Cumplimiento[[#This Row], [Año]]="",Fact_Cumplimiento[[#This Row], [Mes]]=""),"",DATE(A162,MATCH(B162,{"enero","febrero","marzo","abril","mayo","junio","julio","agosto","septiembre","octubre","noviembre","diciembre"},0)+1,0))</f>
        <v/>
      </c>
      <c r="E162" t="str">
        <f>+IFERROR(VLOOKUP(Fact_Cumplimiento[[#This Row], [Concepto Anterior]],Conceptos_Cumplimiento[#All],5,0),"")</f>
        <v/>
      </c>
      <c r="F162" t="str">
        <f>+IFERROR(VLOOKUP(Fact_Cumplimiento[[#This Row], 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ht="18.75" customHeight="1" x14ac:dyDescent="0.35">
      <c r="C163" s="100" t="str">
        <f>IF(OR(Fact_Cumplimiento[[#This Row], [Año]]="",Fact_Cumplimiento[[#This Row], [Mes]]=""),"",DATE(A163,MATCH(B163,{"enero","febrero","marzo","abril","mayo","junio","julio","agosto","septiembre","octubre","noviembre","diciembre"},0)+1,0))</f>
        <v/>
      </c>
      <c r="E163" t="str">
        <f>+IFERROR(VLOOKUP(Fact_Cumplimiento[[#This Row], [Concepto Anterior]],Conceptos_Cumplimiento[#All],5,0),"")</f>
        <v/>
      </c>
      <c r="F163" t="str">
        <f>+IFERROR(VLOOKUP(Fact_Cumplimiento[[#This Row], 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ht="18.75" customHeight="1" x14ac:dyDescent="0.35">
      <c r="C164" s="100" t="str">
        <f>IF(OR(Fact_Cumplimiento[[#This Row], [Año]]="",Fact_Cumplimiento[[#This Row], [Mes]]=""),"",DATE(A164,MATCH(B164,{"enero","febrero","marzo","abril","mayo","junio","julio","agosto","septiembre","octubre","noviembre","diciembre"},0)+1,0))</f>
        <v/>
      </c>
      <c r="E164" t="str">
        <f>+IFERROR(VLOOKUP(Fact_Cumplimiento[[#This Row], [Concepto Anterior]],Conceptos_Cumplimiento[#All],5,0),"")</f>
        <v/>
      </c>
      <c r="F164" t="str">
        <f>+IFERROR(VLOOKUP(Fact_Cumplimiento[[#This Row], 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ht="18.75" customHeight="1" x14ac:dyDescent="0.35">
      <c r="C165" s="100" t="str">
        <f>IF(OR(Fact_Cumplimiento[[#This Row], [Año]]="",Fact_Cumplimiento[[#This Row], [Mes]]=""),"",DATE(A165,MATCH(B165,{"enero","febrero","marzo","abril","mayo","junio","julio","agosto","septiembre","octubre","noviembre","diciembre"},0)+1,0))</f>
        <v/>
      </c>
      <c r="E165" t="str">
        <f>+IFERROR(VLOOKUP(Fact_Cumplimiento[[#This Row], [Concepto Anterior]],Conceptos_Cumplimiento[#All],5,0),"")</f>
        <v/>
      </c>
      <c r="F165" t="str">
        <f>+IFERROR(VLOOKUP(Fact_Cumplimiento[[#This Row], 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ht="18.75" customHeight="1" x14ac:dyDescent="0.35">
      <c r="C166" s="100" t="str">
        <f>IF(OR(Fact_Cumplimiento[[#This Row], [Año]]="",Fact_Cumplimiento[[#This Row], [Mes]]=""),"",DATE(A166,MATCH(B166,{"enero","febrero","marzo","abril","mayo","junio","julio","agosto","septiembre","octubre","noviembre","diciembre"},0)+1,0))</f>
        <v/>
      </c>
      <c r="E166" t="str">
        <f>+IFERROR(VLOOKUP(Fact_Cumplimiento[[#This Row], [Concepto Anterior]],Conceptos_Cumplimiento[#All],5,0),"")</f>
        <v/>
      </c>
      <c r="F166" t="str">
        <f>+IFERROR(VLOOKUP(Fact_Cumplimiento[[#This Row], 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ht="18.75" customHeight="1" x14ac:dyDescent="0.35">
      <c r="C167" s="100" t="str">
        <f>IF(OR(Fact_Cumplimiento[[#This Row], [Año]]="",Fact_Cumplimiento[[#This Row], [Mes]]=""),"",DATE(A167,MATCH(B167,{"enero","febrero","marzo","abril","mayo","junio","julio","agosto","septiembre","octubre","noviembre","diciembre"},0)+1,0))</f>
        <v/>
      </c>
      <c r="E167" t="str">
        <f>+IFERROR(VLOOKUP(Fact_Cumplimiento[[#This Row], [Concepto Anterior]],Conceptos_Cumplimiento[#All],5,0),"")</f>
        <v/>
      </c>
      <c r="F167" t="str">
        <f>+IFERROR(VLOOKUP(Fact_Cumplimiento[[#This Row], 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ht="18.75" customHeight="1" x14ac:dyDescent="0.35">
      <c r="C168" s="100" t="str">
        <f>IF(OR(Fact_Cumplimiento[[#This Row], [Año]]="",Fact_Cumplimiento[[#This Row], [Mes]]=""),"",DATE(A168,MATCH(B168,{"enero","febrero","marzo","abril","mayo","junio","julio","agosto","septiembre","octubre","noviembre","diciembre"},0)+1,0))</f>
        <v/>
      </c>
      <c r="E168" t="str">
        <f>+IFERROR(VLOOKUP(Fact_Cumplimiento[[#This Row], [Concepto Anterior]],Conceptos_Cumplimiento[#All],5,0),"")</f>
        <v/>
      </c>
      <c r="F168" t="str">
        <f>+IFERROR(VLOOKUP(Fact_Cumplimiento[[#This Row], 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ht="18.75" customHeight="1" x14ac:dyDescent="0.35">
      <c r="C169" s="100" t="str">
        <f>IF(OR(Fact_Cumplimiento[[#This Row], [Año]]="",Fact_Cumplimiento[[#This Row], [Mes]]=""),"",DATE(A169,MATCH(B169,{"enero","febrero","marzo","abril","mayo","junio","julio","agosto","septiembre","octubre","noviembre","diciembre"},0)+1,0))</f>
        <v/>
      </c>
      <c r="E169" t="str">
        <f>+IFERROR(VLOOKUP(Fact_Cumplimiento[[#This Row], [Concepto Anterior]],Conceptos_Cumplimiento[#All],5,0),"")</f>
        <v/>
      </c>
      <c r="F169" t="str">
        <f>+IFERROR(VLOOKUP(Fact_Cumplimiento[[#This Row], 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ht="18.75" customHeight="1" x14ac:dyDescent="0.35">
      <c r="C170" s="100" t="str">
        <f>IF(OR(Fact_Cumplimiento[[#This Row], [Año]]="",Fact_Cumplimiento[[#This Row], [Mes]]=""),"",DATE(A170,MATCH(B170,{"enero","febrero","marzo","abril","mayo","junio","julio","agosto","septiembre","octubre","noviembre","diciembre"},0)+1,0))</f>
        <v/>
      </c>
      <c r="E170" t="str">
        <f>+IFERROR(VLOOKUP(Fact_Cumplimiento[[#This Row], [Concepto Anterior]],Conceptos_Cumplimiento[#All],5,0),"")</f>
        <v/>
      </c>
      <c r="F170" t="str">
        <f>+IFERROR(VLOOKUP(Fact_Cumplimiento[[#This Row], 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ht="18.75" customHeight="1" x14ac:dyDescent="0.35">
      <c r="C171" s="100" t="str">
        <f>IF(OR(Fact_Cumplimiento[[#This Row], [Año]]="",Fact_Cumplimiento[[#This Row], [Mes]]=""),"",DATE(A171,MATCH(B171,{"enero","febrero","marzo","abril","mayo","junio","julio","agosto","septiembre","octubre","noviembre","diciembre"},0)+1,0))</f>
        <v/>
      </c>
      <c r="E171" t="str">
        <f>+IFERROR(VLOOKUP(Fact_Cumplimiento[[#This Row], [Concepto Anterior]],Conceptos_Cumplimiento[#All],5,0),"")</f>
        <v/>
      </c>
      <c r="F171" t="str">
        <f>+IFERROR(VLOOKUP(Fact_Cumplimiento[[#This Row], 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ht="18.75" customHeight="1" x14ac:dyDescent="0.35">
      <c r="C172" s="100" t="str">
        <f>IF(OR(Fact_Cumplimiento[[#This Row], [Año]]="",Fact_Cumplimiento[[#This Row], [Mes]]=""),"",DATE(A172,MATCH(B172,{"enero","febrero","marzo","abril","mayo","junio","julio","agosto","septiembre","octubre","noviembre","diciembre"},0)+1,0))</f>
        <v/>
      </c>
      <c r="E172" t="str">
        <f>+IFERROR(VLOOKUP(Fact_Cumplimiento[[#This Row], [Concepto Anterior]],Conceptos_Cumplimiento[#All],5,0),"")</f>
        <v/>
      </c>
      <c r="F172" t="str">
        <f>+IFERROR(VLOOKUP(Fact_Cumplimiento[[#This Row], 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ht="18.75" customHeight="1" x14ac:dyDescent="0.35">
      <c r="C173" s="100" t="str">
        <f>IF(OR(Fact_Cumplimiento[[#This Row], [Año]]="",Fact_Cumplimiento[[#This Row], [Mes]]=""),"",DATE(A173,MATCH(B173,{"enero","febrero","marzo","abril","mayo","junio","julio","agosto","septiembre","octubre","noviembre","diciembre"},0)+1,0))</f>
        <v/>
      </c>
      <c r="E173" t="str">
        <f>+IFERROR(VLOOKUP(Fact_Cumplimiento[[#This Row], [Concepto Anterior]],Conceptos_Cumplimiento[#All],5,0),"")</f>
        <v/>
      </c>
      <c r="F173" t="str">
        <f>+IFERROR(VLOOKUP(Fact_Cumplimiento[[#This Row], 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ht="18.75" customHeight="1" x14ac:dyDescent="0.35">
      <c r="C174" s="100" t="str">
        <f>IF(OR(Fact_Cumplimiento[[#This Row], [Año]]="",Fact_Cumplimiento[[#This Row], [Mes]]=""),"",DATE(A174,MATCH(B174,{"enero","febrero","marzo","abril","mayo","junio","julio","agosto","septiembre","octubre","noviembre","diciembre"},0)+1,0))</f>
        <v/>
      </c>
      <c r="E174" t="str">
        <f>+IFERROR(VLOOKUP(Fact_Cumplimiento[[#This Row], [Concepto Anterior]],Conceptos_Cumplimiento[#All],5,0),"")</f>
        <v/>
      </c>
      <c r="F174" t="str">
        <f>+IFERROR(VLOOKUP(Fact_Cumplimiento[[#This Row], 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ht="18.75" customHeight="1" x14ac:dyDescent="0.35">
      <c r="C175" s="100" t="str">
        <f>IF(OR(Fact_Cumplimiento[[#This Row], [Año]]="",Fact_Cumplimiento[[#This Row], [Mes]]=""),"",DATE(A175,MATCH(B175,{"enero","febrero","marzo","abril","mayo","junio","julio","agosto","septiembre","octubre","noviembre","diciembre"},0)+1,0))</f>
        <v/>
      </c>
      <c r="E175" t="str">
        <f>+IFERROR(VLOOKUP(Fact_Cumplimiento[[#This Row], [Concepto Anterior]],Conceptos_Cumplimiento[#All],5,0),"")</f>
        <v/>
      </c>
      <c r="F175" t="str">
        <f>+IFERROR(VLOOKUP(Fact_Cumplimiento[[#This Row], 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ht="18.75" customHeight="1" x14ac:dyDescent="0.35">
      <c r="C176" s="100" t="str">
        <f>IF(OR(Fact_Cumplimiento[[#This Row], [Año]]="",Fact_Cumplimiento[[#This Row], [Mes]]=""),"",DATE(A176,MATCH(B176,{"enero","febrero","marzo","abril","mayo","junio","julio","agosto","septiembre","octubre","noviembre","diciembre"},0)+1,0))</f>
        <v/>
      </c>
      <c r="E176" t="str">
        <f>+IFERROR(VLOOKUP(Fact_Cumplimiento[[#This Row], [Concepto Anterior]],Conceptos_Cumplimiento[#All],5,0),"")</f>
        <v/>
      </c>
      <c r="F176" t="str">
        <f>+IFERROR(VLOOKUP(Fact_Cumplimiento[[#This Row], 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ht="18.75" customHeight="1" x14ac:dyDescent="0.35">
      <c r="C177" s="100" t="str">
        <f>IF(OR(Fact_Cumplimiento[[#This Row], [Año]]="",Fact_Cumplimiento[[#This Row], [Mes]]=""),"",DATE(A177,MATCH(B177,{"enero","febrero","marzo","abril","mayo","junio","julio","agosto","septiembre","octubre","noviembre","diciembre"},0)+1,0))</f>
        <v/>
      </c>
      <c r="E177" t="str">
        <f>+IFERROR(VLOOKUP(Fact_Cumplimiento[[#This Row], [Concepto Anterior]],Conceptos_Cumplimiento[#All],5,0),"")</f>
        <v/>
      </c>
      <c r="F177" t="str">
        <f>+IFERROR(VLOOKUP(Fact_Cumplimiento[[#This Row], 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ht="18.75" customHeight="1" x14ac:dyDescent="0.35">
      <c r="C178" s="100" t="str">
        <f>IF(OR(Fact_Cumplimiento[[#This Row], [Año]]="",Fact_Cumplimiento[[#This Row], [Mes]]=""),"",DATE(A178,MATCH(B178,{"enero","febrero","marzo","abril","mayo","junio","julio","agosto","septiembre","octubre","noviembre","diciembre"},0)+1,0))</f>
        <v/>
      </c>
      <c r="E178" t="str">
        <f>+IFERROR(VLOOKUP(Fact_Cumplimiento[[#This Row], [Concepto Anterior]],Conceptos_Cumplimiento[#All],5,0),"")</f>
        <v/>
      </c>
      <c r="F178" t="str">
        <f>+IFERROR(VLOOKUP(Fact_Cumplimiento[[#This Row], 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ht="18.75" customHeight="1" x14ac:dyDescent="0.35">
      <c r="C179" s="100" t="str">
        <f>IF(OR(Fact_Cumplimiento[[#This Row], [Año]]="",Fact_Cumplimiento[[#This Row], [Mes]]=""),"",DATE(A179,MATCH(B179,{"enero","febrero","marzo","abril","mayo","junio","julio","agosto","septiembre","octubre","noviembre","diciembre"},0)+1,0))</f>
        <v/>
      </c>
      <c r="E179" t="str">
        <f>+IFERROR(VLOOKUP(Fact_Cumplimiento[[#This Row], [Concepto Anterior]],Conceptos_Cumplimiento[#All],5,0),"")</f>
        <v/>
      </c>
      <c r="F179" t="str">
        <f>+IFERROR(VLOOKUP(Fact_Cumplimiento[[#This Row], 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ht="18.75" customHeight="1" x14ac:dyDescent="0.35">
      <c r="C180" s="100" t="str">
        <f>IF(OR(Fact_Cumplimiento[[#This Row], [Año]]="",Fact_Cumplimiento[[#This Row], [Mes]]=""),"",DATE(A180,MATCH(B180,{"enero","febrero","marzo","abril","mayo","junio","julio","agosto","septiembre","octubre","noviembre","diciembre"},0)+1,0))</f>
        <v/>
      </c>
      <c r="E180" t="str">
        <f>+IFERROR(VLOOKUP(Fact_Cumplimiento[[#This Row], [Concepto Anterior]],Conceptos_Cumplimiento[#All],5,0),"")</f>
        <v/>
      </c>
      <c r="F180" t="str">
        <f>+IFERROR(VLOOKUP(Fact_Cumplimiento[[#This Row], 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ht="18.75" customHeight="1" x14ac:dyDescent="0.35">
      <c r="C181" s="100" t="str">
        <f>IF(OR(Fact_Cumplimiento[[#This Row], [Año]]="",Fact_Cumplimiento[[#This Row], [Mes]]=""),"",DATE(A181,MATCH(B181,{"enero","febrero","marzo","abril","mayo","junio","julio","agosto","septiembre","octubre","noviembre","diciembre"},0)+1,0))</f>
        <v/>
      </c>
      <c r="E181" t="str">
        <f>+IFERROR(VLOOKUP(Fact_Cumplimiento[[#This Row], [Concepto Anterior]],Conceptos_Cumplimiento[#All],5,0),"")</f>
        <v/>
      </c>
      <c r="F181" t="str">
        <f>+IFERROR(VLOOKUP(Fact_Cumplimiento[[#This Row], 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ht="18.75" customHeight="1" x14ac:dyDescent="0.35">
      <c r="C182" s="100" t="str">
        <f>IF(OR(Fact_Cumplimiento[[#This Row], [Año]]="",Fact_Cumplimiento[[#This Row], [Mes]]=""),"",DATE(A182,MATCH(B182,{"enero","febrero","marzo","abril","mayo","junio","julio","agosto","septiembre","octubre","noviembre","diciembre"},0)+1,0))</f>
        <v/>
      </c>
      <c r="E182" t="str">
        <f>+IFERROR(VLOOKUP(Fact_Cumplimiento[[#This Row], [Concepto Anterior]],Conceptos_Cumplimiento[#All],5,0),"")</f>
        <v/>
      </c>
      <c r="F182" t="str">
        <f>+IFERROR(VLOOKUP(Fact_Cumplimiento[[#This Row], 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ht="18.75" customHeight="1" x14ac:dyDescent="0.35">
      <c r="C183" s="100" t="str">
        <f>IF(OR(Fact_Cumplimiento[[#This Row], [Año]]="",Fact_Cumplimiento[[#This Row], [Mes]]=""),"",DATE(A183,MATCH(B183,{"enero","febrero","marzo","abril","mayo","junio","julio","agosto","septiembre","octubre","noviembre","diciembre"},0)+1,0))</f>
        <v/>
      </c>
      <c r="E183" t="str">
        <f>+IFERROR(VLOOKUP(Fact_Cumplimiento[[#This Row], [Concepto Anterior]],Conceptos_Cumplimiento[#All],5,0),"")</f>
        <v/>
      </c>
      <c r="F183" t="str">
        <f>+IFERROR(VLOOKUP(Fact_Cumplimiento[[#This Row], 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ht="18.75" customHeight="1" x14ac:dyDescent="0.35">
      <c r="C184" s="100" t="str">
        <f>IF(OR(Fact_Cumplimiento[[#This Row], [Año]]="",Fact_Cumplimiento[[#This Row], [Mes]]=""),"",DATE(A184,MATCH(B184,{"enero","febrero","marzo","abril","mayo","junio","julio","agosto","septiembre","octubre","noviembre","diciembre"},0)+1,0))</f>
        <v/>
      </c>
      <c r="E184" t="str">
        <f>+IFERROR(VLOOKUP(Fact_Cumplimiento[[#This Row], [Concepto Anterior]],Conceptos_Cumplimiento[#All],5,0),"")</f>
        <v/>
      </c>
      <c r="F184" t="str">
        <f>+IFERROR(VLOOKUP(Fact_Cumplimiento[[#This Row], 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ht="18.75" customHeight="1" x14ac:dyDescent="0.35">
      <c r="C185" s="100" t="str">
        <f>IF(OR(Fact_Cumplimiento[[#This Row], [Año]]="",Fact_Cumplimiento[[#This Row], [Mes]]=""),"",DATE(A185,MATCH(B185,{"enero","febrero","marzo","abril","mayo","junio","julio","agosto","septiembre","octubre","noviembre","diciembre"},0)+1,0))</f>
        <v/>
      </c>
      <c r="E185" t="str">
        <f>+IFERROR(VLOOKUP(Fact_Cumplimiento[[#This Row], [Concepto Anterior]],Conceptos_Cumplimiento[#All],5,0),"")</f>
        <v/>
      </c>
      <c r="F185" t="str">
        <f>+IFERROR(VLOOKUP(Fact_Cumplimiento[[#This Row], 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ht="18.75" customHeight="1" x14ac:dyDescent="0.35">
      <c r="C186" s="100" t="str">
        <f>IF(OR(Fact_Cumplimiento[[#This Row], [Año]]="",Fact_Cumplimiento[[#This Row], [Mes]]=""),"",DATE(A186,MATCH(B186,{"enero","febrero","marzo","abril","mayo","junio","julio","agosto","septiembre","octubre","noviembre","diciembre"},0)+1,0))</f>
        <v/>
      </c>
      <c r="E186" t="str">
        <f>+IFERROR(VLOOKUP(Fact_Cumplimiento[[#This Row], [Concepto Anterior]],Conceptos_Cumplimiento[#All],5,0),"")</f>
        <v/>
      </c>
      <c r="F186" t="str">
        <f>+IFERROR(VLOOKUP(Fact_Cumplimiento[[#This Row], 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ht="18.75" customHeight="1" x14ac:dyDescent="0.35">
      <c r="C187" s="100" t="str">
        <f>IF(OR(Fact_Cumplimiento[[#This Row], [Año]]="",Fact_Cumplimiento[[#This Row], [Mes]]=""),"",DATE(A187,MATCH(B187,{"enero","febrero","marzo","abril","mayo","junio","julio","agosto","septiembre","octubre","noviembre","diciembre"},0)+1,0))</f>
        <v/>
      </c>
      <c r="E187" t="str">
        <f>+IFERROR(VLOOKUP(Fact_Cumplimiento[[#This Row], [Concepto Anterior]],Conceptos_Cumplimiento[#All],5,0),"")</f>
        <v/>
      </c>
      <c r="F187" t="str">
        <f>+IFERROR(VLOOKUP(Fact_Cumplimiento[[#This Row], 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ht="18.75" customHeight="1" x14ac:dyDescent="0.35">
      <c r="C188" s="100" t="str">
        <f>IF(OR(Fact_Cumplimiento[[#This Row], [Año]]="",Fact_Cumplimiento[[#This Row], [Mes]]=""),"",DATE(A188,MATCH(B188,{"enero","febrero","marzo","abril","mayo","junio","julio","agosto","septiembre","octubre","noviembre","diciembre"},0)+1,0))</f>
        <v/>
      </c>
      <c r="E188" t="str">
        <f>+IFERROR(VLOOKUP(Fact_Cumplimiento[[#This Row], [Concepto Anterior]],Conceptos_Cumplimiento[#All],5,0),"")</f>
        <v/>
      </c>
      <c r="F188" t="str">
        <f>+IFERROR(VLOOKUP(Fact_Cumplimiento[[#This Row], 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ht="18.75" customHeight="1" x14ac:dyDescent="0.35">
      <c r="C189" s="100" t="str">
        <f>IF(OR(Fact_Cumplimiento[[#This Row], [Año]]="",Fact_Cumplimiento[[#This Row], [Mes]]=""),"",DATE(A189,MATCH(B189,{"enero","febrero","marzo","abril","mayo","junio","julio","agosto","septiembre","octubre","noviembre","diciembre"},0)+1,0))</f>
        <v/>
      </c>
      <c r="E189" t="str">
        <f>+IFERROR(VLOOKUP(Fact_Cumplimiento[[#This Row], [Concepto Anterior]],Conceptos_Cumplimiento[#All],5,0),"")</f>
        <v/>
      </c>
      <c r="F189" t="str">
        <f>+IFERROR(VLOOKUP(Fact_Cumplimiento[[#This Row], 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ht="18.75" customHeight="1" x14ac:dyDescent="0.35">
      <c r="C190" s="100" t="str">
        <f>IF(OR(Fact_Cumplimiento[[#This Row], [Año]]="",Fact_Cumplimiento[[#This Row], [Mes]]=""),"",DATE(A190,MATCH(B190,{"enero","febrero","marzo","abril","mayo","junio","julio","agosto","septiembre","octubre","noviembre","diciembre"},0)+1,0))</f>
        <v/>
      </c>
      <c r="E190" t="str">
        <f>+IFERROR(VLOOKUP(Fact_Cumplimiento[[#This Row], [Concepto Anterior]],Conceptos_Cumplimiento[#All],5,0),"")</f>
        <v/>
      </c>
      <c r="F190" t="str">
        <f>+IFERROR(VLOOKUP(Fact_Cumplimiento[[#This Row], 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ht="18.75" customHeight="1" x14ac:dyDescent="0.35">
      <c r="C191" s="100" t="str">
        <f>IF(OR(Fact_Cumplimiento[[#This Row], [Año]]="",Fact_Cumplimiento[[#This Row], [Mes]]=""),"",DATE(A191,MATCH(B191,{"enero","febrero","marzo","abril","mayo","junio","julio","agosto","septiembre","octubre","noviembre","diciembre"},0)+1,0))</f>
        <v/>
      </c>
      <c r="E191" t="str">
        <f>+IFERROR(VLOOKUP(Fact_Cumplimiento[[#This Row], [Concepto Anterior]],Conceptos_Cumplimiento[#All],5,0),"")</f>
        <v/>
      </c>
      <c r="F191" t="str">
        <f>+IFERROR(VLOOKUP(Fact_Cumplimiento[[#This Row], 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ht="18.75" customHeight="1" x14ac:dyDescent="0.35">
      <c r="C192" s="100" t="str">
        <f>IF(OR(Fact_Cumplimiento[[#This Row], [Año]]="",Fact_Cumplimiento[[#This Row], [Mes]]=""),"",DATE(A192,MATCH(B192,{"enero","febrero","marzo","abril","mayo","junio","julio","agosto","septiembre","octubre","noviembre","diciembre"},0)+1,0))</f>
        <v/>
      </c>
      <c r="E192" t="str">
        <f>+IFERROR(VLOOKUP(Fact_Cumplimiento[[#This Row], [Concepto Anterior]],Conceptos_Cumplimiento[#All],5,0),"")</f>
        <v/>
      </c>
      <c r="F192" t="str">
        <f>+IFERROR(VLOOKUP(Fact_Cumplimiento[[#This Row], 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ht="18.75" customHeight="1" x14ac:dyDescent="0.35">
      <c r="C193" s="100" t="str">
        <f>IF(OR(Fact_Cumplimiento[[#This Row], [Año]]="",Fact_Cumplimiento[[#This Row], [Mes]]=""),"",DATE(A193,MATCH(B193,{"enero","febrero","marzo","abril","mayo","junio","julio","agosto","septiembre","octubre","noviembre","diciembre"},0)+1,0))</f>
        <v/>
      </c>
      <c r="E193" t="str">
        <f>+IFERROR(VLOOKUP(Fact_Cumplimiento[[#This Row], [Concepto Anterior]],Conceptos_Cumplimiento[#All],5,0),"")</f>
        <v/>
      </c>
      <c r="F193" t="str">
        <f>+IFERROR(VLOOKUP(Fact_Cumplimiento[[#This Row], 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ht="18.75" customHeight="1" x14ac:dyDescent="0.35">
      <c r="C194" s="100" t="str">
        <f>IF(OR(Fact_Cumplimiento[[#This Row], [Año]]="",Fact_Cumplimiento[[#This Row], [Mes]]=""),"",DATE(A194,MATCH(B194,{"enero","febrero","marzo","abril","mayo","junio","julio","agosto","septiembre","octubre","noviembre","diciembre"},0)+1,0))</f>
        <v/>
      </c>
      <c r="E194" t="str">
        <f>+IFERROR(VLOOKUP(Fact_Cumplimiento[[#This Row], [Concepto Anterior]],Conceptos_Cumplimiento[#All],5,0),"")</f>
        <v/>
      </c>
      <c r="F194" t="str">
        <f>+IFERROR(VLOOKUP(Fact_Cumplimiento[[#This Row], 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ht="18.75" customHeight="1" x14ac:dyDescent="0.35">
      <c r="C195" s="100" t="str">
        <f>IF(OR(Fact_Cumplimiento[[#This Row], [Año]]="",Fact_Cumplimiento[[#This Row], [Mes]]=""),"",DATE(A195,MATCH(B195,{"enero","febrero","marzo","abril","mayo","junio","julio","agosto","septiembre","octubre","noviembre","diciembre"},0)+1,0))</f>
        <v/>
      </c>
      <c r="E195" t="str">
        <f>+IFERROR(VLOOKUP(Fact_Cumplimiento[[#This Row], [Concepto Anterior]],Conceptos_Cumplimiento[#All],5,0),"")</f>
        <v/>
      </c>
      <c r="F195" t="str">
        <f>+IFERROR(VLOOKUP(Fact_Cumplimiento[[#This Row], 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ht="18.75" customHeight="1" x14ac:dyDescent="0.35">
      <c r="C196" s="100" t="str">
        <f>IF(OR(Fact_Cumplimiento[[#This Row], [Año]]="",Fact_Cumplimiento[[#This Row], [Mes]]=""),"",DATE(A196,MATCH(B196,{"enero","febrero","marzo","abril","mayo","junio","julio","agosto","septiembre","octubre","noviembre","diciembre"},0)+1,0))</f>
        <v/>
      </c>
      <c r="E196" t="str">
        <f>+IFERROR(VLOOKUP(Fact_Cumplimiento[[#This Row], [Concepto Anterior]],Conceptos_Cumplimiento[#All],5,0),"")</f>
        <v/>
      </c>
      <c r="F196" t="str">
        <f>+IFERROR(VLOOKUP(Fact_Cumplimiento[[#This Row], 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ht="18.75" customHeight="1" x14ac:dyDescent="0.35">
      <c r="C197" s="100" t="str">
        <f>IF(OR(Fact_Cumplimiento[[#This Row], [Año]]="",Fact_Cumplimiento[[#This Row], [Mes]]=""),"",DATE(A197,MATCH(B197,{"enero","febrero","marzo","abril","mayo","junio","julio","agosto","septiembre","octubre","noviembre","diciembre"},0)+1,0))</f>
        <v/>
      </c>
      <c r="E197" t="str">
        <f>+IFERROR(VLOOKUP(Fact_Cumplimiento[[#This Row], [Concepto Anterior]],Conceptos_Cumplimiento[#All],5,0),"")</f>
        <v/>
      </c>
      <c r="F197" t="str">
        <f>+IFERROR(VLOOKUP(Fact_Cumplimiento[[#This Row], 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ht="18.75" customHeight="1" x14ac:dyDescent="0.35">
      <c r="C198" s="100" t="str">
        <f>IF(OR(Fact_Cumplimiento[[#This Row], [Año]]="",Fact_Cumplimiento[[#This Row], [Mes]]=""),"",DATE(A198,MATCH(B198,{"enero","febrero","marzo","abril","mayo","junio","julio","agosto","septiembre","octubre","noviembre","diciembre"},0)+1,0))</f>
        <v/>
      </c>
      <c r="E198" t="str">
        <f>+IFERROR(VLOOKUP(Fact_Cumplimiento[[#This Row], [Concepto Anterior]],Conceptos_Cumplimiento[#All],5,0),"")</f>
        <v/>
      </c>
      <c r="F198" t="str">
        <f>+IFERROR(VLOOKUP(Fact_Cumplimiento[[#This Row], 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ht="18.75" customHeight="1" x14ac:dyDescent="0.35">
      <c r="C199" s="100" t="str">
        <f>IF(OR(Fact_Cumplimiento[[#This Row], [Año]]="",Fact_Cumplimiento[[#This Row], [Mes]]=""),"",DATE(A199,MATCH(B199,{"enero","febrero","marzo","abril","mayo","junio","julio","agosto","septiembre","octubre","noviembre","diciembre"},0)+1,0))</f>
        <v/>
      </c>
      <c r="E199" t="str">
        <f>+IFERROR(VLOOKUP(Fact_Cumplimiento[[#This Row], [Concepto Anterior]],Conceptos_Cumplimiento[#All],5,0),"")</f>
        <v/>
      </c>
      <c r="F199" t="str">
        <f>+IFERROR(VLOOKUP(Fact_Cumplimiento[[#This Row], 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ht="18.75" customHeight="1" x14ac:dyDescent="0.35">
      <c r="C200" s="100" t="str">
        <f>IF(OR(Fact_Cumplimiento[[#This Row], [Año]]="",Fact_Cumplimiento[[#This Row], [Mes]]=""),"",DATE(A200,MATCH(B200,{"enero","febrero","marzo","abril","mayo","junio","julio","agosto","septiembre","octubre","noviembre","diciembre"},0)+1,0))</f>
        <v/>
      </c>
      <c r="E200" t="str">
        <f>+IFERROR(VLOOKUP(Fact_Cumplimiento[[#This Row], [Concepto Anterior]],Conceptos_Cumplimiento[#All],5,0),"")</f>
        <v/>
      </c>
      <c r="F200" t="str">
        <f>+IFERROR(VLOOKUP(Fact_Cumplimiento[[#This Row], 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ht="18.75" customHeight="1" x14ac:dyDescent="0.35">
      <c r="C201" s="100" t="str">
        <f>IF(OR(Fact_Cumplimiento[[#This Row], [Año]]="",Fact_Cumplimiento[[#This Row], [Mes]]=""),"",DATE(A201,MATCH(B201,{"enero","febrero","marzo","abril","mayo","junio","julio","agosto","septiembre","octubre","noviembre","diciembre"},0)+1,0))</f>
        <v/>
      </c>
      <c r="E201" t="str">
        <f>+IFERROR(VLOOKUP(Fact_Cumplimiento[[#This Row], [Concepto Anterior]],Conceptos_Cumplimiento[#All],5,0),"")</f>
        <v/>
      </c>
      <c r="F201" t="str">
        <f>+IFERROR(VLOOKUP(Fact_Cumplimiento[[#This Row], 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ht="18.75" customHeight="1" x14ac:dyDescent="0.35">
      <c r="C202" s="100" t="str">
        <f>IF(OR(Fact_Cumplimiento[[#This Row], [Año]]="",Fact_Cumplimiento[[#This Row], [Mes]]=""),"",DATE(A202,MATCH(B202,{"enero","febrero","marzo","abril","mayo","junio","julio","agosto","septiembre","octubre","noviembre","diciembre"},0)+1,0))</f>
        <v/>
      </c>
      <c r="E202" t="str">
        <f>+IFERROR(VLOOKUP(Fact_Cumplimiento[[#This Row], [Concepto Anterior]],Conceptos_Cumplimiento[#All],5,0),"")</f>
        <v/>
      </c>
      <c r="F202" t="str">
        <f>+IFERROR(VLOOKUP(Fact_Cumplimiento[[#This Row], 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ht="18.75" customHeight="1" x14ac:dyDescent="0.35">
      <c r="C203" s="100" t="str">
        <f>IF(OR(Fact_Cumplimiento[[#This Row], [Año]]="",Fact_Cumplimiento[[#This Row], [Mes]]=""),"",DATE(A203,MATCH(B203,{"enero","febrero","marzo","abril","mayo","junio","julio","agosto","septiembre","octubre","noviembre","diciembre"},0)+1,0))</f>
        <v/>
      </c>
      <c r="E203" t="str">
        <f>+IFERROR(VLOOKUP(Fact_Cumplimiento[[#This Row], [Concepto Anterior]],Conceptos_Cumplimiento[#All],5,0),"")</f>
        <v/>
      </c>
      <c r="F203" t="str">
        <f>+IFERROR(VLOOKUP(Fact_Cumplimiento[[#This Row], 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ht="18.75" customHeight="1" x14ac:dyDescent="0.35">
      <c r="C204" s="100" t="str">
        <f>IF(OR(Fact_Cumplimiento[[#This Row], [Año]]="",Fact_Cumplimiento[[#This Row], [Mes]]=""),"",DATE(A204,MATCH(B204,{"enero","febrero","marzo","abril","mayo","junio","julio","agosto","septiembre","octubre","noviembre","diciembre"},0)+1,0))</f>
        <v/>
      </c>
      <c r="E204" t="str">
        <f>+IFERROR(VLOOKUP(Fact_Cumplimiento[[#This Row], [Concepto Anterior]],Conceptos_Cumplimiento[#All],5,0),"")</f>
        <v/>
      </c>
      <c r="F204" t="str">
        <f>+IFERROR(VLOOKUP(Fact_Cumplimiento[[#This Row], 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ht="18.75" customHeight="1" x14ac:dyDescent="0.35">
      <c r="C205" s="100" t="str">
        <f>IF(OR(Fact_Cumplimiento[[#This Row], [Año]]="",Fact_Cumplimiento[[#This Row], [Mes]]=""),"",DATE(A205,MATCH(B205,{"enero","febrero","marzo","abril","mayo","junio","julio","agosto","septiembre","octubre","noviembre","diciembre"},0)+1,0))</f>
        <v/>
      </c>
      <c r="E205" t="str">
        <f>+IFERROR(VLOOKUP(Fact_Cumplimiento[[#This Row], [Concepto Anterior]],Conceptos_Cumplimiento[#All],5,0),"")</f>
        <v/>
      </c>
      <c r="F205" t="str">
        <f>+IFERROR(VLOOKUP(Fact_Cumplimiento[[#This Row], 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ht="18.75" customHeight="1" x14ac:dyDescent="0.35">
      <c r="C206" s="100" t="str">
        <f>IF(OR(Fact_Cumplimiento[[#This Row], [Año]]="",Fact_Cumplimiento[[#This Row], [Mes]]=""),"",DATE(A206,MATCH(B206,{"enero","febrero","marzo","abril","mayo","junio","julio","agosto","septiembre","octubre","noviembre","diciembre"},0)+1,0))</f>
        <v/>
      </c>
      <c r="E206" t="str">
        <f>+IFERROR(VLOOKUP(Fact_Cumplimiento[[#This Row], [Concepto Anterior]],Conceptos_Cumplimiento[#All],5,0),"")</f>
        <v/>
      </c>
      <c r="F206" t="str">
        <f>+IFERROR(VLOOKUP(Fact_Cumplimiento[[#This Row], 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ht="18.75" customHeight="1" x14ac:dyDescent="0.35">
      <c r="C207" s="100" t="str">
        <f>IF(OR(Fact_Cumplimiento[[#This Row], [Año]]="",Fact_Cumplimiento[[#This Row], [Mes]]=""),"",DATE(A207,MATCH(B207,{"enero","febrero","marzo","abril","mayo","junio","julio","agosto","septiembre","octubre","noviembre","diciembre"},0)+1,0))</f>
        <v/>
      </c>
      <c r="E207" t="str">
        <f>+IFERROR(VLOOKUP(Fact_Cumplimiento[[#This Row], [Concepto Anterior]],Conceptos_Cumplimiento[#All],5,0),"")</f>
        <v/>
      </c>
      <c r="F207" t="str">
        <f>+IFERROR(VLOOKUP(Fact_Cumplimiento[[#This Row], 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ht="18.75" customHeight="1" x14ac:dyDescent="0.35">
      <c r="C208" s="100" t="str">
        <f>IF(OR(Fact_Cumplimiento[[#This Row], [Año]]="",Fact_Cumplimiento[[#This Row], [Mes]]=""),"",DATE(A208,MATCH(B208,{"enero","febrero","marzo","abril","mayo","junio","julio","agosto","septiembre","octubre","noviembre","diciembre"},0)+1,0))</f>
        <v/>
      </c>
      <c r="E208" t="str">
        <f>+IFERROR(VLOOKUP(Fact_Cumplimiento[[#This Row], [Concepto Anterior]],Conceptos_Cumplimiento[#All],5,0),"")</f>
        <v/>
      </c>
      <c r="F208" t="str">
        <f>+IFERROR(VLOOKUP(Fact_Cumplimiento[[#This Row], 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ht="18.75" customHeight="1" x14ac:dyDescent="0.35">
      <c r="C209" s="100" t="str">
        <f>IF(OR(Fact_Cumplimiento[[#This Row], [Año]]="",Fact_Cumplimiento[[#This Row], [Mes]]=""),"",DATE(A209,MATCH(B209,{"enero","febrero","marzo","abril","mayo","junio","julio","agosto","septiembre","octubre","noviembre","diciembre"},0)+1,0))</f>
        <v/>
      </c>
      <c r="E209" t="str">
        <f>+IFERROR(VLOOKUP(Fact_Cumplimiento[[#This Row], [Concepto Anterior]],Conceptos_Cumplimiento[#All],5,0),"")</f>
        <v/>
      </c>
      <c r="F209" t="str">
        <f>+IFERROR(VLOOKUP(Fact_Cumplimiento[[#This Row], 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ht="18.75" customHeight="1" x14ac:dyDescent="0.35">
      <c r="C210" s="100" t="str">
        <f>IF(OR(Fact_Cumplimiento[[#This Row], [Año]]="",Fact_Cumplimiento[[#This Row], [Mes]]=""),"",DATE(A210,MATCH(B210,{"enero","febrero","marzo","abril","mayo","junio","julio","agosto","septiembre","octubre","noviembre","diciembre"},0)+1,0))</f>
        <v/>
      </c>
      <c r="E210" t="str">
        <f>+IFERROR(VLOOKUP(Fact_Cumplimiento[[#This Row], [Concepto Anterior]],Conceptos_Cumplimiento[#All],5,0),"")</f>
        <v/>
      </c>
      <c r="F210" t="str">
        <f>+IFERROR(VLOOKUP(Fact_Cumplimiento[[#This Row], 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ht="18.75" customHeight="1" x14ac:dyDescent="0.35">
      <c r="C211" s="100" t="str">
        <f>IF(OR(Fact_Cumplimiento[[#This Row], [Año]]="",Fact_Cumplimiento[[#This Row], [Mes]]=""),"",DATE(A211,MATCH(B211,{"enero","febrero","marzo","abril","mayo","junio","julio","agosto","septiembre","octubre","noviembre","diciembre"},0)+1,0))</f>
        <v/>
      </c>
      <c r="E211" t="str">
        <f>+IFERROR(VLOOKUP(Fact_Cumplimiento[[#This Row], [Concepto Anterior]],Conceptos_Cumplimiento[#All],5,0),"")</f>
        <v/>
      </c>
      <c r="F211" t="str">
        <f>+IFERROR(VLOOKUP(Fact_Cumplimiento[[#This Row], 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ht="18.75" customHeight="1" x14ac:dyDescent="0.35">
      <c r="C212" s="100" t="str">
        <f>IF(OR(Fact_Cumplimiento[[#This Row], [Año]]="",Fact_Cumplimiento[[#This Row], [Mes]]=""),"",DATE(A212,MATCH(B212,{"enero","febrero","marzo","abril","mayo","junio","julio","agosto","septiembre","octubre","noviembre","diciembre"},0)+1,0))</f>
        <v/>
      </c>
      <c r="E212" t="str">
        <f>+IFERROR(VLOOKUP(Fact_Cumplimiento[[#This Row], [Concepto Anterior]],Conceptos_Cumplimiento[#All],5,0),"")</f>
        <v/>
      </c>
      <c r="F212" t="str">
        <f>+IFERROR(VLOOKUP(Fact_Cumplimiento[[#This Row], 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ht="18.75" customHeight="1" x14ac:dyDescent="0.35">
      <c r="C213" s="100" t="str">
        <f>IF(OR(Fact_Cumplimiento[[#This Row], [Año]]="",Fact_Cumplimiento[[#This Row], [Mes]]=""),"",DATE(A213,MATCH(B213,{"enero","febrero","marzo","abril","mayo","junio","julio","agosto","septiembre","octubre","noviembre","diciembre"},0)+1,0))</f>
        <v/>
      </c>
      <c r="E213" t="str">
        <f>+IFERROR(VLOOKUP(Fact_Cumplimiento[[#This Row], [Concepto Anterior]],Conceptos_Cumplimiento[#All],5,0),"")</f>
        <v/>
      </c>
      <c r="F213" t="str">
        <f>+IFERROR(VLOOKUP(Fact_Cumplimiento[[#This Row], 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ht="18.75" customHeight="1" x14ac:dyDescent="0.35">
      <c r="C214" s="100" t="str">
        <f>IF(OR(Fact_Cumplimiento[[#This Row], [Año]]="",Fact_Cumplimiento[[#This Row], [Mes]]=""),"",DATE(A214,MATCH(B214,{"enero","febrero","marzo","abril","mayo","junio","julio","agosto","septiembre","octubre","noviembre","diciembre"},0)+1,0))</f>
        <v/>
      </c>
      <c r="E214" t="str">
        <f>+IFERROR(VLOOKUP(Fact_Cumplimiento[[#This Row], [Concepto Anterior]],Conceptos_Cumplimiento[#All],5,0),"")</f>
        <v/>
      </c>
      <c r="F214" t="str">
        <f>+IFERROR(VLOOKUP(Fact_Cumplimiento[[#This Row], 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ht="18.75" customHeight="1" x14ac:dyDescent="0.35">
      <c r="C215" s="100" t="str">
        <f>IF(OR(Fact_Cumplimiento[[#This Row], [Año]]="",Fact_Cumplimiento[[#This Row], [Mes]]=""),"",DATE(A215,MATCH(B215,{"enero","febrero","marzo","abril","mayo","junio","julio","agosto","septiembre","octubre","noviembre","diciembre"},0)+1,0))</f>
        <v/>
      </c>
      <c r="E215" t="str">
        <f>+IFERROR(VLOOKUP(Fact_Cumplimiento[[#This Row], [Concepto Anterior]],Conceptos_Cumplimiento[#All],5,0),"")</f>
        <v/>
      </c>
      <c r="F215" t="str">
        <f>+IFERROR(VLOOKUP(Fact_Cumplimiento[[#This Row], 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ht="18.75" customHeight="1" x14ac:dyDescent="0.35">
      <c r="C216" s="100" t="str">
        <f>IF(OR(Fact_Cumplimiento[[#This Row], [Año]]="",Fact_Cumplimiento[[#This Row], [Mes]]=""),"",DATE(A216,MATCH(B216,{"enero","febrero","marzo","abril","mayo","junio","julio","agosto","septiembre","octubre","noviembre","diciembre"},0)+1,0))</f>
        <v/>
      </c>
      <c r="E216" t="str">
        <f>+IFERROR(VLOOKUP(Fact_Cumplimiento[[#This Row], [Concepto Anterior]],Conceptos_Cumplimiento[#All],5,0),"")</f>
        <v/>
      </c>
      <c r="F216" t="str">
        <f>+IFERROR(VLOOKUP(Fact_Cumplimiento[[#This Row], 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ht="18.75" customHeight="1" x14ac:dyDescent="0.35">
      <c r="C217" s="100" t="str">
        <f>IF(OR(Fact_Cumplimiento[[#This Row], [Año]]="",Fact_Cumplimiento[[#This Row], [Mes]]=""),"",DATE(A217,MATCH(B217,{"enero","febrero","marzo","abril","mayo","junio","julio","agosto","septiembre","octubre","noviembre","diciembre"},0)+1,0))</f>
        <v/>
      </c>
      <c r="E217" t="str">
        <f>+IFERROR(VLOOKUP(Fact_Cumplimiento[[#This Row], [Concepto Anterior]],Conceptos_Cumplimiento[#All],5,0),"")</f>
        <v/>
      </c>
      <c r="F217" t="str">
        <f>+IFERROR(VLOOKUP(Fact_Cumplimiento[[#This Row], 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ht="18.75" customHeight="1" x14ac:dyDescent="0.35">
      <c r="C218" s="100" t="str">
        <f>IF(OR(Fact_Cumplimiento[[#This Row], [Año]]="",Fact_Cumplimiento[[#This Row], [Mes]]=""),"",DATE(A218,MATCH(B218,{"enero","febrero","marzo","abril","mayo","junio","julio","agosto","septiembre","octubre","noviembre","diciembre"},0)+1,0))</f>
        <v/>
      </c>
      <c r="E218" t="str">
        <f>+IFERROR(VLOOKUP(Fact_Cumplimiento[[#This Row], [Concepto Anterior]],Conceptos_Cumplimiento[#All],5,0),"")</f>
        <v/>
      </c>
      <c r="F218" t="str">
        <f>+IFERROR(VLOOKUP(Fact_Cumplimiento[[#This Row], 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ht="18.75" customHeight="1" x14ac:dyDescent="0.35">
      <c r="C219" s="100" t="str">
        <f>IF(OR(Fact_Cumplimiento[[#This Row], [Año]]="",Fact_Cumplimiento[[#This Row], [Mes]]=""),"",DATE(A219,MATCH(B219,{"enero","febrero","marzo","abril","mayo","junio","julio","agosto","septiembre","octubre","noviembre","diciembre"},0)+1,0))</f>
        <v/>
      </c>
      <c r="E219" t="str">
        <f>+IFERROR(VLOOKUP(Fact_Cumplimiento[[#This Row], [Concepto Anterior]],Conceptos_Cumplimiento[#All],5,0),"")</f>
        <v/>
      </c>
      <c r="F219" t="str">
        <f>+IFERROR(VLOOKUP(Fact_Cumplimiento[[#This Row], 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ht="18.75" customHeight="1" x14ac:dyDescent="0.35">
      <c r="C220" s="100" t="str">
        <f>IF(OR(Fact_Cumplimiento[[#This Row], [Año]]="",Fact_Cumplimiento[[#This Row], [Mes]]=""),"",DATE(A220,MATCH(B220,{"enero","febrero","marzo","abril","mayo","junio","julio","agosto","septiembre","octubre","noviembre","diciembre"},0)+1,0))</f>
        <v/>
      </c>
      <c r="E220" t="str">
        <f>+IFERROR(VLOOKUP(Fact_Cumplimiento[[#This Row], [Concepto Anterior]],Conceptos_Cumplimiento[#All],5,0),"")</f>
        <v/>
      </c>
      <c r="F220" t="str">
        <f>+IFERROR(VLOOKUP(Fact_Cumplimiento[[#This Row], 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ht="18.75" customHeight="1" x14ac:dyDescent="0.35">
      <c r="C221" s="100" t="str">
        <f>IF(OR(Fact_Cumplimiento[[#This Row], [Año]]="",Fact_Cumplimiento[[#This Row], [Mes]]=""),"",DATE(A221,MATCH(B221,{"enero","febrero","marzo","abril","mayo","junio","julio","agosto","septiembre","octubre","noviembre","diciembre"},0)+1,0))</f>
        <v/>
      </c>
      <c r="E221" t="str">
        <f>+IFERROR(VLOOKUP(Fact_Cumplimiento[[#This Row], [Concepto Anterior]],Conceptos_Cumplimiento[#All],5,0),"")</f>
        <v/>
      </c>
      <c r="F221" t="str">
        <f>+IFERROR(VLOOKUP(Fact_Cumplimiento[[#This Row], 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ht="18.75" customHeight="1" x14ac:dyDescent="0.35">
      <c r="C222" s="100" t="str">
        <f>IF(OR(Fact_Cumplimiento[[#This Row], [Año]]="",Fact_Cumplimiento[[#This Row], [Mes]]=""),"",DATE(A222,MATCH(B222,{"enero","febrero","marzo","abril","mayo","junio","julio","agosto","septiembre","octubre","noviembre","diciembre"},0)+1,0))</f>
        <v/>
      </c>
      <c r="E222" t="str">
        <f>+IFERROR(VLOOKUP(Fact_Cumplimiento[[#This Row], [Concepto Anterior]],Conceptos_Cumplimiento[#All],5,0),"")</f>
        <v/>
      </c>
      <c r="F222" t="str">
        <f>+IFERROR(VLOOKUP(Fact_Cumplimiento[[#This Row], 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ht="18.75" customHeight="1" x14ac:dyDescent="0.35">
      <c r="C223" s="100" t="str">
        <f>IF(OR(Fact_Cumplimiento[[#This Row], [Año]]="",Fact_Cumplimiento[[#This Row], [Mes]]=""),"",DATE(A223,MATCH(B223,{"enero","febrero","marzo","abril","mayo","junio","julio","agosto","septiembre","octubre","noviembre","diciembre"},0)+1,0))</f>
        <v/>
      </c>
      <c r="E223" t="str">
        <f>+IFERROR(VLOOKUP(Fact_Cumplimiento[[#This Row], [Concepto Anterior]],Conceptos_Cumplimiento[#All],5,0),"")</f>
        <v/>
      </c>
      <c r="F223" t="str">
        <f>+IFERROR(VLOOKUP(Fact_Cumplimiento[[#This Row], 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ht="18.75" customHeight="1" x14ac:dyDescent="0.35">
      <c r="C224" s="100" t="str">
        <f>IF(OR(Fact_Cumplimiento[[#This Row], [Año]]="",Fact_Cumplimiento[[#This Row], [Mes]]=""),"",DATE(A224,MATCH(B224,{"enero","febrero","marzo","abril","mayo","junio","julio","agosto","septiembre","octubre","noviembre","diciembre"},0)+1,0))</f>
        <v/>
      </c>
      <c r="E224" t="str">
        <f>+IFERROR(VLOOKUP(Fact_Cumplimiento[[#This Row], [Concepto Anterior]],Conceptos_Cumplimiento[#All],5,0),"")</f>
        <v/>
      </c>
      <c r="F224" t="str">
        <f>+IFERROR(VLOOKUP(Fact_Cumplimiento[[#This Row], 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ht="18.75" customHeight="1" x14ac:dyDescent="0.35">
      <c r="C225" s="100" t="str">
        <f>IF(OR(Fact_Cumplimiento[[#This Row], [Año]]="",Fact_Cumplimiento[[#This Row], [Mes]]=""),"",DATE(A225,MATCH(B225,{"enero","febrero","marzo","abril","mayo","junio","julio","agosto","septiembre","octubre","noviembre","diciembre"},0)+1,0))</f>
        <v/>
      </c>
      <c r="E225" t="str">
        <f>+IFERROR(VLOOKUP(Fact_Cumplimiento[[#This Row], [Concepto Anterior]],Conceptos_Cumplimiento[#All],5,0),"")</f>
        <v/>
      </c>
      <c r="F225" t="str">
        <f>+IFERROR(VLOOKUP(Fact_Cumplimiento[[#This Row], 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ht="18.75" customHeight="1" x14ac:dyDescent="0.35">
      <c r="C226" s="100" t="str">
        <f>IF(OR(Fact_Cumplimiento[[#This Row], [Año]]="",Fact_Cumplimiento[[#This Row], [Mes]]=""),"",DATE(A226,MATCH(B226,{"enero","febrero","marzo","abril","mayo","junio","julio","agosto","septiembre","octubre","noviembre","diciembre"},0)+1,0))</f>
        <v/>
      </c>
      <c r="E226" t="str">
        <f>+IFERROR(VLOOKUP(Fact_Cumplimiento[[#This Row], [Concepto Anterior]],Conceptos_Cumplimiento[#All],5,0),"")</f>
        <v/>
      </c>
      <c r="F226" t="str">
        <f>+IFERROR(VLOOKUP(Fact_Cumplimiento[[#This Row], 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ht="18.75" customHeight="1" x14ac:dyDescent="0.35">
      <c r="C227" s="100" t="str">
        <f>IF(OR(Fact_Cumplimiento[[#This Row], [Año]]="",Fact_Cumplimiento[[#This Row], [Mes]]=""),"",DATE(A227,MATCH(B227,{"enero","febrero","marzo","abril","mayo","junio","julio","agosto","septiembre","octubre","noviembre","diciembre"},0)+1,0))</f>
        <v/>
      </c>
      <c r="E227" t="str">
        <f>+IFERROR(VLOOKUP(Fact_Cumplimiento[[#This Row], [Concepto Anterior]],Conceptos_Cumplimiento[#All],5,0),"")</f>
        <v/>
      </c>
      <c r="F227" t="str">
        <f>+IFERROR(VLOOKUP(Fact_Cumplimiento[[#This Row], 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ht="18.75" customHeight="1" x14ac:dyDescent="0.35">
      <c r="C228" s="100" t="str">
        <f>IF(OR(Fact_Cumplimiento[[#This Row], [Año]]="",Fact_Cumplimiento[[#This Row], [Mes]]=""),"",DATE(A228,MATCH(B228,{"enero","febrero","marzo","abril","mayo","junio","julio","agosto","septiembre","octubre","noviembre","diciembre"},0)+1,0))</f>
        <v/>
      </c>
      <c r="E228" t="str">
        <f>+IFERROR(VLOOKUP(Fact_Cumplimiento[[#This Row], [Concepto Anterior]],Conceptos_Cumplimiento[#All],5,0),"")</f>
        <v/>
      </c>
      <c r="F228" t="str">
        <f>+IFERROR(VLOOKUP(Fact_Cumplimiento[[#This Row], 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ht="18.75" customHeight="1" x14ac:dyDescent="0.35">
      <c r="C229" s="100" t="str">
        <f>IF(OR(Fact_Cumplimiento[[#This Row], [Año]]="",Fact_Cumplimiento[[#This Row], [Mes]]=""),"",DATE(A229,MATCH(B229,{"enero","febrero","marzo","abril","mayo","junio","julio","agosto","septiembre","octubre","noviembre","diciembre"},0)+1,0))</f>
        <v/>
      </c>
      <c r="E229" t="str">
        <f>+IFERROR(VLOOKUP(Fact_Cumplimiento[[#This Row], [Concepto Anterior]],Conceptos_Cumplimiento[#All],5,0),"")</f>
        <v/>
      </c>
      <c r="F229" t="str">
        <f>+IFERROR(VLOOKUP(Fact_Cumplimiento[[#This Row], 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ht="18.75" customHeight="1" x14ac:dyDescent="0.35">
      <c r="C230" s="100" t="str">
        <f>IF(OR(Fact_Cumplimiento[[#This Row], [Año]]="",Fact_Cumplimiento[[#This Row], [Mes]]=""),"",DATE(A230,MATCH(B230,{"enero","febrero","marzo","abril","mayo","junio","julio","agosto","septiembre","octubre","noviembre","diciembre"},0)+1,0))</f>
        <v/>
      </c>
      <c r="E230" t="str">
        <f>+IFERROR(VLOOKUP(Fact_Cumplimiento[[#This Row], [Concepto Anterior]],Conceptos_Cumplimiento[#All],5,0),"")</f>
        <v/>
      </c>
      <c r="F230" t="str">
        <f>+IFERROR(VLOOKUP(Fact_Cumplimiento[[#This Row], 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ht="18.75" customHeight="1" x14ac:dyDescent="0.35">
      <c r="C231" s="100" t="str">
        <f>IF(OR(Fact_Cumplimiento[[#This Row], [Año]]="",Fact_Cumplimiento[[#This Row], [Mes]]=""),"",DATE(A231,MATCH(B231,{"enero","febrero","marzo","abril","mayo","junio","julio","agosto","septiembre","octubre","noviembre","diciembre"},0)+1,0))</f>
        <v/>
      </c>
      <c r="E231" t="str">
        <f>+IFERROR(VLOOKUP(Fact_Cumplimiento[[#This Row], [Concepto Anterior]],Conceptos_Cumplimiento[#All],5,0),"")</f>
        <v/>
      </c>
      <c r="F231" t="str">
        <f>+IFERROR(VLOOKUP(Fact_Cumplimiento[[#This Row], 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ht="18.75" customHeight="1" x14ac:dyDescent="0.35">
      <c r="C232" s="100" t="str">
        <f>IF(OR(Fact_Cumplimiento[[#This Row], [Año]]="",Fact_Cumplimiento[[#This Row], [Mes]]=""),"",DATE(A232,MATCH(B232,{"enero","febrero","marzo","abril","mayo","junio","julio","agosto","septiembre","octubre","noviembre","diciembre"},0)+1,0))</f>
        <v/>
      </c>
      <c r="E232" t="str">
        <f>+IFERROR(VLOOKUP(Fact_Cumplimiento[[#This Row], [Concepto Anterior]],Conceptos_Cumplimiento[#All],5,0),"")</f>
        <v/>
      </c>
      <c r="F232" t="str">
        <f>+IFERROR(VLOOKUP(Fact_Cumplimiento[[#This Row], 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ht="18.75" customHeight="1" x14ac:dyDescent="0.35">
      <c r="C233" s="100" t="str">
        <f>IF(OR(Fact_Cumplimiento[[#This Row], [Año]]="",Fact_Cumplimiento[[#This Row], [Mes]]=""),"",DATE(A233,MATCH(B233,{"enero","febrero","marzo","abril","mayo","junio","julio","agosto","septiembre","octubre","noviembre","diciembre"},0)+1,0))</f>
        <v/>
      </c>
      <c r="E233" t="str">
        <f>+IFERROR(VLOOKUP(Fact_Cumplimiento[[#This Row], [Concepto Anterior]],Conceptos_Cumplimiento[#All],5,0),"")</f>
        <v/>
      </c>
      <c r="F233" t="str">
        <f>+IFERROR(VLOOKUP(Fact_Cumplimiento[[#This Row], 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ht="18.75" customHeight="1" x14ac:dyDescent="0.35">
      <c r="C234" s="100" t="str">
        <f>IF(OR(Fact_Cumplimiento[[#This Row], [Año]]="",Fact_Cumplimiento[[#This Row], [Mes]]=""),"",DATE(A234,MATCH(B234,{"enero","febrero","marzo","abril","mayo","junio","julio","agosto","septiembre","octubre","noviembre","diciembre"},0)+1,0))</f>
        <v/>
      </c>
      <c r="E234" t="str">
        <f>+IFERROR(VLOOKUP(Fact_Cumplimiento[[#This Row], [Concepto Anterior]],Conceptos_Cumplimiento[#All],5,0),"")</f>
        <v/>
      </c>
      <c r="F234" t="str">
        <f>+IFERROR(VLOOKUP(Fact_Cumplimiento[[#This Row], 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ht="18.75" customHeight="1" x14ac:dyDescent="0.35">
      <c r="C235" s="100" t="str">
        <f>IF(OR(Fact_Cumplimiento[[#This Row], [Año]]="",Fact_Cumplimiento[[#This Row], [Mes]]=""),"",DATE(A235,MATCH(B235,{"enero","febrero","marzo","abril","mayo","junio","julio","agosto","septiembre","octubre","noviembre","diciembre"},0)+1,0))</f>
        <v/>
      </c>
      <c r="E235" t="str">
        <f>+IFERROR(VLOOKUP(Fact_Cumplimiento[[#This Row], [Concepto Anterior]],Conceptos_Cumplimiento[#All],5,0),"")</f>
        <v/>
      </c>
      <c r="F235" t="str">
        <f>+IFERROR(VLOOKUP(Fact_Cumplimiento[[#This Row], 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ht="18.75" customHeight="1" x14ac:dyDescent="0.35">
      <c r="C236" s="100" t="str">
        <f>IF(OR(Fact_Cumplimiento[[#This Row], [Año]]="",Fact_Cumplimiento[[#This Row], [Mes]]=""),"",DATE(A236,MATCH(B236,{"enero","febrero","marzo","abril","mayo","junio","julio","agosto","septiembre","octubre","noviembre","diciembre"},0)+1,0))</f>
        <v/>
      </c>
      <c r="E236" t="str">
        <f>+IFERROR(VLOOKUP(Fact_Cumplimiento[[#This Row], [Concepto Anterior]],Conceptos_Cumplimiento[#All],5,0),"")</f>
        <v/>
      </c>
      <c r="F236" t="str">
        <f>+IFERROR(VLOOKUP(Fact_Cumplimiento[[#This Row], 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ht="18.75" customHeight="1" x14ac:dyDescent="0.35">
      <c r="C237" s="100" t="str">
        <f>IF(OR(Fact_Cumplimiento[[#This Row], [Año]]="",Fact_Cumplimiento[[#This Row], [Mes]]=""),"",DATE(A237,MATCH(B237,{"enero","febrero","marzo","abril","mayo","junio","julio","agosto","septiembre","octubre","noviembre","diciembre"},0)+1,0))</f>
        <v/>
      </c>
      <c r="E237" t="str">
        <f>+IFERROR(VLOOKUP(Fact_Cumplimiento[[#This Row], [Concepto Anterior]],Conceptos_Cumplimiento[#All],5,0),"")</f>
        <v/>
      </c>
      <c r="F237" t="str">
        <f>+IFERROR(VLOOKUP(Fact_Cumplimiento[[#This Row], 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ht="18.75" customHeight="1" x14ac:dyDescent="0.35">
      <c r="C238" s="100" t="str">
        <f>IF(OR(Fact_Cumplimiento[[#This Row], [Año]]="",Fact_Cumplimiento[[#This Row], [Mes]]=""),"",DATE(A238,MATCH(B238,{"enero","febrero","marzo","abril","mayo","junio","julio","agosto","septiembre","octubre","noviembre","diciembre"},0)+1,0))</f>
        <v/>
      </c>
      <c r="E238" t="str">
        <f>+IFERROR(VLOOKUP(Fact_Cumplimiento[[#This Row], [Concepto Anterior]],Conceptos_Cumplimiento[#All],5,0),"")</f>
        <v/>
      </c>
      <c r="F238" t="str">
        <f>+IFERROR(VLOOKUP(Fact_Cumplimiento[[#This Row], 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ht="18.75" customHeight="1" x14ac:dyDescent="0.35">
      <c r="C239" s="100" t="str">
        <f>IF(OR(Fact_Cumplimiento[[#This Row], [Año]]="",Fact_Cumplimiento[[#This Row], [Mes]]=""),"",DATE(A239,MATCH(B239,{"enero","febrero","marzo","abril","mayo","junio","julio","agosto","septiembre","octubre","noviembre","diciembre"},0)+1,0))</f>
        <v/>
      </c>
      <c r="E239" t="str">
        <f>+IFERROR(VLOOKUP(Fact_Cumplimiento[[#This Row], [Concepto Anterior]],Conceptos_Cumplimiento[#All],5,0),"")</f>
        <v/>
      </c>
      <c r="F239" t="str">
        <f>+IFERROR(VLOOKUP(Fact_Cumplimiento[[#This Row], 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ht="18.75" customHeight="1" x14ac:dyDescent="0.35">
      <c r="C240" s="100" t="str">
        <f>IF(OR(Fact_Cumplimiento[[#This Row], [Año]]="",Fact_Cumplimiento[[#This Row], [Mes]]=""),"",DATE(A240,MATCH(B240,{"enero","febrero","marzo","abril","mayo","junio","julio","agosto","septiembre","octubre","noviembre","diciembre"},0)+1,0))</f>
        <v/>
      </c>
      <c r="E240" t="str">
        <f>+IFERROR(VLOOKUP(Fact_Cumplimiento[[#This Row], [Concepto Anterior]],Conceptos_Cumplimiento[#All],5,0),"")</f>
        <v/>
      </c>
      <c r="F240" t="str">
        <f>+IFERROR(VLOOKUP(Fact_Cumplimiento[[#This Row], 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ht="18.75" customHeight="1" x14ac:dyDescent="0.35">
      <c r="C241" s="100" t="str">
        <f>IF(OR(Fact_Cumplimiento[[#This Row], [Año]]="",Fact_Cumplimiento[[#This Row], [Mes]]=""),"",DATE(A241,MATCH(B241,{"enero","febrero","marzo","abril","mayo","junio","julio","agosto","septiembre","octubre","noviembre","diciembre"},0)+1,0))</f>
        <v/>
      </c>
      <c r="E241" t="str">
        <f>+IFERROR(VLOOKUP(Fact_Cumplimiento[[#This Row], [Concepto Anterior]],Conceptos_Cumplimiento[#All],5,0),"")</f>
        <v/>
      </c>
      <c r="F241" t="str">
        <f>+IFERROR(VLOOKUP(Fact_Cumplimiento[[#This Row], 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ht="18.75" customHeight="1" x14ac:dyDescent="0.35">
      <c r="C242" s="100" t="str">
        <f>IF(OR(Fact_Cumplimiento[[#This Row], [Año]]="",Fact_Cumplimiento[[#This Row], [Mes]]=""),"",DATE(A242,MATCH(B242,{"enero","febrero","marzo","abril","mayo","junio","julio","agosto","septiembre","octubre","noviembre","diciembre"},0)+1,0))</f>
        <v/>
      </c>
      <c r="E242" t="str">
        <f>+IFERROR(VLOOKUP(Fact_Cumplimiento[[#This Row], [Concepto Anterior]],Conceptos_Cumplimiento[#All],5,0),"")</f>
        <v/>
      </c>
      <c r="F242" t="str">
        <f>+IFERROR(VLOOKUP(Fact_Cumplimiento[[#This Row], 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ht="18.75" customHeight="1" x14ac:dyDescent="0.35">
      <c r="C243" s="100" t="str">
        <f>IF(OR(Fact_Cumplimiento[[#This Row], [Año]]="",Fact_Cumplimiento[[#This Row], [Mes]]=""),"",DATE(A243,MATCH(B243,{"enero","febrero","marzo","abril","mayo","junio","julio","agosto","septiembre","octubre","noviembre","diciembre"},0)+1,0))</f>
        <v/>
      </c>
      <c r="E243" t="str">
        <f>+IFERROR(VLOOKUP(Fact_Cumplimiento[[#This Row], [Concepto Anterior]],Conceptos_Cumplimiento[#All],5,0),"")</f>
        <v/>
      </c>
      <c r="F243" t="str">
        <f>+IFERROR(VLOOKUP(Fact_Cumplimiento[[#This Row], 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ht="18.75" customHeight="1" x14ac:dyDescent="0.35">
      <c r="C244" s="100" t="str">
        <f>IF(OR(Fact_Cumplimiento[[#This Row], [Año]]="",Fact_Cumplimiento[[#This Row], [Mes]]=""),"",DATE(A244,MATCH(B244,{"enero","febrero","marzo","abril","mayo","junio","julio","agosto","septiembre","octubre","noviembre","diciembre"},0)+1,0))</f>
        <v/>
      </c>
      <c r="E244" t="str">
        <f>+IFERROR(VLOOKUP(Fact_Cumplimiento[[#This Row], [Concepto Anterior]],Conceptos_Cumplimiento[#All],5,0),"")</f>
        <v/>
      </c>
      <c r="F244" t="str">
        <f>+IFERROR(VLOOKUP(Fact_Cumplimiento[[#This Row], 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ht="18.75" customHeight="1" x14ac:dyDescent="0.35">
      <c r="C245" s="100" t="str">
        <f>IF(OR(Fact_Cumplimiento[[#This Row], [Año]]="",Fact_Cumplimiento[[#This Row], [Mes]]=""),"",DATE(A245,MATCH(B245,{"enero","febrero","marzo","abril","mayo","junio","julio","agosto","septiembre","octubre","noviembre","diciembre"},0)+1,0))</f>
        <v/>
      </c>
      <c r="E245" t="str">
        <f>+IFERROR(VLOOKUP(Fact_Cumplimiento[[#This Row], [Concepto Anterior]],Conceptos_Cumplimiento[#All],5,0),"")</f>
        <v/>
      </c>
      <c r="F245" t="str">
        <f>+IFERROR(VLOOKUP(Fact_Cumplimiento[[#This Row], 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ht="18.75" customHeight="1" x14ac:dyDescent="0.35">
      <c r="C246" s="100" t="str">
        <f>IF(OR(Fact_Cumplimiento[[#This Row], [Año]]="",Fact_Cumplimiento[[#This Row], [Mes]]=""),"",DATE(A246,MATCH(B246,{"enero","febrero","marzo","abril","mayo","junio","julio","agosto","septiembre","octubre","noviembre","diciembre"},0)+1,0))</f>
        <v/>
      </c>
      <c r="E246" t="str">
        <f>+IFERROR(VLOOKUP(Fact_Cumplimiento[[#This Row], [Concepto Anterior]],Conceptos_Cumplimiento[#All],5,0),"")</f>
        <v/>
      </c>
      <c r="F246" t="str">
        <f>+IFERROR(VLOOKUP(Fact_Cumplimiento[[#This Row], 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ht="18.75" customHeight="1" x14ac:dyDescent="0.35">
      <c r="C247" s="100" t="str">
        <f>IF(OR(Fact_Cumplimiento[[#This Row], [Año]]="",Fact_Cumplimiento[[#This Row], [Mes]]=""),"",DATE(A247,MATCH(B247,{"enero","febrero","marzo","abril","mayo","junio","julio","agosto","septiembre","octubre","noviembre","diciembre"},0)+1,0))</f>
        <v/>
      </c>
      <c r="E247" t="str">
        <f>+IFERROR(VLOOKUP(Fact_Cumplimiento[[#This Row], [Concepto Anterior]],Conceptos_Cumplimiento[#All],5,0),"")</f>
        <v/>
      </c>
      <c r="F247" t="str">
        <f>+IFERROR(VLOOKUP(Fact_Cumplimiento[[#This Row], 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ht="18.75" customHeight="1" x14ac:dyDescent="0.35">
      <c r="C248" s="100" t="str">
        <f>IF(OR(Fact_Cumplimiento[[#This Row], [Año]]="",Fact_Cumplimiento[[#This Row], [Mes]]=""),"",DATE(A248,MATCH(B248,{"enero","febrero","marzo","abril","mayo","junio","julio","agosto","septiembre","octubre","noviembre","diciembre"},0)+1,0))</f>
        <v/>
      </c>
      <c r="E248" t="str">
        <f>+IFERROR(VLOOKUP(Fact_Cumplimiento[[#This Row], [Concepto Anterior]],Conceptos_Cumplimiento[#All],5,0),"")</f>
        <v/>
      </c>
      <c r="F248" t="str">
        <f>+IFERROR(VLOOKUP(Fact_Cumplimiento[[#This Row], 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ht="18.75" customHeight="1" x14ac:dyDescent="0.35">
      <c r="C249" s="100" t="str">
        <f>IF(OR(Fact_Cumplimiento[[#This Row], [Año]]="",Fact_Cumplimiento[[#This Row], [Mes]]=""),"",DATE(A249,MATCH(B249,{"enero","febrero","marzo","abril","mayo","junio","julio","agosto","septiembre","octubre","noviembre","diciembre"},0)+1,0))</f>
        <v/>
      </c>
      <c r="E249" t="str">
        <f>+IFERROR(VLOOKUP(Fact_Cumplimiento[[#This Row], [Concepto Anterior]],Conceptos_Cumplimiento[#All],5,0),"")</f>
        <v/>
      </c>
      <c r="F249" t="str">
        <f>+IFERROR(VLOOKUP(Fact_Cumplimiento[[#This Row], 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ht="18.75" customHeight="1" x14ac:dyDescent="0.35">
      <c r="C250" s="100" t="str">
        <f>IF(OR(Fact_Cumplimiento[[#This Row], [Año]]="",Fact_Cumplimiento[[#This Row], [Mes]]=""),"",DATE(A250,MATCH(B250,{"enero","febrero","marzo","abril","mayo","junio","julio","agosto","septiembre","octubre","noviembre","diciembre"},0)+1,0))</f>
        <v/>
      </c>
      <c r="E250" t="str">
        <f>+IFERROR(VLOOKUP(Fact_Cumplimiento[[#This Row], [Concepto Anterior]],Conceptos_Cumplimiento[#All],5,0),"")</f>
        <v/>
      </c>
      <c r="F250" t="str">
        <f>+IFERROR(VLOOKUP(Fact_Cumplimiento[[#This Row], 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ht="18.75" customHeight="1" x14ac:dyDescent="0.35">
      <c r="C251" s="100" t="str">
        <f>IF(OR(Fact_Cumplimiento[[#This Row], [Año]]="",Fact_Cumplimiento[[#This Row], [Mes]]=""),"",DATE(A251,MATCH(B251,{"enero","febrero","marzo","abril","mayo","junio","julio","agosto","septiembre","octubre","noviembre","diciembre"},0)+1,0))</f>
        <v/>
      </c>
      <c r="E251" t="str">
        <f>+IFERROR(VLOOKUP(Fact_Cumplimiento[[#This Row], [Concepto Anterior]],Conceptos_Cumplimiento[#All],5,0),"")</f>
        <v/>
      </c>
      <c r="F251" t="str">
        <f>+IFERROR(VLOOKUP(Fact_Cumplimiento[[#This Row], 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ht="18.75" customHeight="1" x14ac:dyDescent="0.35">
      <c r="C252" s="100" t="str">
        <f>IF(OR(Fact_Cumplimiento[[#This Row], [Año]]="",Fact_Cumplimiento[[#This Row], [Mes]]=""),"",DATE(A252,MATCH(B252,{"enero","febrero","marzo","abril","mayo","junio","julio","agosto","septiembre","octubre","noviembre","diciembre"},0)+1,0))</f>
        <v/>
      </c>
      <c r="E252" t="str">
        <f>+IFERROR(VLOOKUP(Fact_Cumplimiento[[#This Row], [Concepto Anterior]],Conceptos_Cumplimiento[#All],5,0),"")</f>
        <v/>
      </c>
      <c r="F252" t="str">
        <f>+IFERROR(VLOOKUP(Fact_Cumplimiento[[#This Row], 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ht="18.75" customHeight="1" x14ac:dyDescent="0.35">
      <c r="C253" s="100" t="str">
        <f>IF(OR(Fact_Cumplimiento[[#This Row], [Año]]="",Fact_Cumplimiento[[#This Row], [Mes]]=""),"",DATE(A253,MATCH(B253,{"enero","febrero","marzo","abril","mayo","junio","julio","agosto","septiembre","octubre","noviembre","diciembre"},0)+1,0))</f>
        <v/>
      </c>
      <c r="E253" t="str">
        <f>+IFERROR(VLOOKUP(Fact_Cumplimiento[[#This Row], [Concepto Anterior]],Conceptos_Cumplimiento[#All],5,0),"")</f>
        <v/>
      </c>
      <c r="F253" t="str">
        <f>+IFERROR(VLOOKUP(Fact_Cumplimiento[[#This Row], 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ht="18.75" customHeight="1" x14ac:dyDescent="0.35">
      <c r="C254" s="100" t="str">
        <f>IF(OR(Fact_Cumplimiento[[#This Row], [Año]]="",Fact_Cumplimiento[[#This Row], [Mes]]=""),"",DATE(A254,MATCH(B254,{"enero","febrero","marzo","abril","mayo","junio","julio","agosto","septiembre","octubre","noviembre","diciembre"},0)+1,0))</f>
        <v/>
      </c>
      <c r="E254" t="str">
        <f>+IFERROR(VLOOKUP(Fact_Cumplimiento[[#This Row], [Concepto Anterior]],Conceptos_Cumplimiento[#All],5,0),"")</f>
        <v/>
      </c>
      <c r="F254" t="str">
        <f>+IFERROR(VLOOKUP(Fact_Cumplimiento[[#This Row], 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ht="18.75" customHeight="1" x14ac:dyDescent="0.35">
      <c r="C255" s="100" t="str">
        <f>IF(OR(Fact_Cumplimiento[[#This Row], [Año]]="",Fact_Cumplimiento[[#This Row], [Mes]]=""),"",DATE(A255,MATCH(B255,{"enero","febrero","marzo","abril","mayo","junio","julio","agosto","septiembre","octubre","noviembre","diciembre"},0)+1,0))</f>
        <v/>
      </c>
      <c r="E255" t="str">
        <f>+IFERROR(VLOOKUP(Fact_Cumplimiento[[#This Row], [Concepto Anterior]],Conceptos_Cumplimiento[#All],5,0),"")</f>
        <v/>
      </c>
      <c r="F255" t="str">
        <f>+IFERROR(VLOOKUP(Fact_Cumplimiento[[#This Row], 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ht="18.75" customHeight="1" x14ac:dyDescent="0.35">
      <c r="C256" s="100" t="str">
        <f>IF(OR(Fact_Cumplimiento[[#This Row], [Año]]="",Fact_Cumplimiento[[#This Row], [Mes]]=""),"",DATE(A256,MATCH(B256,{"enero","febrero","marzo","abril","mayo","junio","julio","agosto","septiembre","octubre","noviembre","diciembre"},0)+1,0))</f>
        <v/>
      </c>
      <c r="E256" t="str">
        <f>+IFERROR(VLOOKUP(Fact_Cumplimiento[[#This Row], [Concepto Anterior]],Conceptos_Cumplimiento[#All],5,0),"")</f>
        <v/>
      </c>
      <c r="F256" t="str">
        <f>+IFERROR(VLOOKUP(Fact_Cumplimiento[[#This Row], 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ht="18.75" customHeight="1" x14ac:dyDescent="0.35">
      <c r="C257" s="100" t="str">
        <f>IF(OR(Fact_Cumplimiento[[#This Row], [Año]]="",Fact_Cumplimiento[[#This Row], [Mes]]=""),"",DATE(A257,MATCH(B257,{"enero","febrero","marzo","abril","mayo","junio","julio","agosto","septiembre","octubre","noviembre","diciembre"},0)+1,0))</f>
        <v/>
      </c>
      <c r="E257" t="str">
        <f>+IFERROR(VLOOKUP(Fact_Cumplimiento[[#This Row], [Concepto Anterior]],Conceptos_Cumplimiento[#All],5,0),"")</f>
        <v/>
      </c>
      <c r="F257" t="str">
        <f>+IFERROR(VLOOKUP(Fact_Cumplimiento[[#This Row], 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ht="18.75" customHeight="1" x14ac:dyDescent="0.35">
      <c r="C258" s="100" t="str">
        <f>IF(OR(Fact_Cumplimiento[[#This Row], [Año]]="",Fact_Cumplimiento[[#This Row], [Mes]]=""),"",DATE(A258,MATCH(B258,{"enero","febrero","marzo","abril","mayo","junio","julio","agosto","septiembre","octubre","noviembre","diciembre"},0)+1,0))</f>
        <v/>
      </c>
      <c r="E258" t="str">
        <f>+IFERROR(VLOOKUP(Fact_Cumplimiento[[#This Row], [Concepto Anterior]],Conceptos_Cumplimiento[#All],5,0),"")</f>
        <v/>
      </c>
      <c r="F258" t="str">
        <f>+IFERROR(VLOOKUP(Fact_Cumplimiento[[#This Row], 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ht="18.75" customHeight="1" x14ac:dyDescent="0.35">
      <c r="C259" s="100" t="str">
        <f>IF(OR(Fact_Cumplimiento[[#This Row], [Año]]="",Fact_Cumplimiento[[#This Row], [Mes]]=""),"",DATE(A259,MATCH(B259,{"enero","febrero","marzo","abril","mayo","junio","julio","agosto","septiembre","octubre","noviembre","diciembre"},0)+1,0))</f>
        <v/>
      </c>
      <c r="E259" t="str">
        <f>+IFERROR(VLOOKUP(Fact_Cumplimiento[[#This Row], [Concepto Anterior]],Conceptos_Cumplimiento[#All],5,0),"")</f>
        <v/>
      </c>
      <c r="F259" t="str">
        <f>+IFERROR(VLOOKUP(Fact_Cumplimiento[[#This Row], 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ht="18.75" customHeight="1" x14ac:dyDescent="0.35">
      <c r="C260" s="100" t="str">
        <f>IF(OR(Fact_Cumplimiento[[#This Row], [Año]]="",Fact_Cumplimiento[[#This Row], [Mes]]=""),"",DATE(A260,MATCH(B260,{"enero","febrero","marzo","abril","mayo","junio","julio","agosto","septiembre","octubre","noviembre","diciembre"},0)+1,0))</f>
        <v/>
      </c>
      <c r="E260" t="str">
        <f>+IFERROR(VLOOKUP(Fact_Cumplimiento[[#This Row], [Concepto Anterior]],Conceptos_Cumplimiento[#All],5,0),"")</f>
        <v/>
      </c>
      <c r="F260" t="str">
        <f>+IFERROR(VLOOKUP(Fact_Cumplimiento[[#This Row], 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ht="18.75" customHeight="1" x14ac:dyDescent="0.35">
      <c r="C261" s="100" t="str">
        <f>IF(OR(Fact_Cumplimiento[[#This Row], [Año]]="",Fact_Cumplimiento[[#This Row], [Mes]]=""),"",DATE(A261,MATCH(B261,{"enero","febrero","marzo","abril","mayo","junio","julio","agosto","septiembre","octubre","noviembre","diciembre"},0)+1,0))</f>
        <v/>
      </c>
      <c r="E261" t="str">
        <f>+IFERROR(VLOOKUP(Fact_Cumplimiento[[#This Row], [Concepto Anterior]],Conceptos_Cumplimiento[#All],5,0),"")</f>
        <v/>
      </c>
      <c r="F261" t="str">
        <f>+IFERROR(VLOOKUP(Fact_Cumplimiento[[#This Row], 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ht="18.75" customHeight="1" x14ac:dyDescent="0.35">
      <c r="C262" s="100" t="str">
        <f>IF(OR(Fact_Cumplimiento[[#This Row], [Año]]="",Fact_Cumplimiento[[#This Row], [Mes]]=""),"",DATE(A262,MATCH(B262,{"enero","febrero","marzo","abril","mayo","junio","julio","agosto","septiembre","octubre","noviembre","diciembre"},0)+1,0))</f>
        <v/>
      </c>
      <c r="E262" t="str">
        <f>+IFERROR(VLOOKUP(Fact_Cumplimiento[[#This Row], [Concepto Anterior]],Conceptos_Cumplimiento[#All],5,0),"")</f>
        <v/>
      </c>
      <c r="F262" t="str">
        <f>+IFERROR(VLOOKUP(Fact_Cumplimiento[[#This Row], 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ht="18.75" customHeight="1" x14ac:dyDescent="0.35">
      <c r="C263" s="100" t="str">
        <f>IF(OR(Fact_Cumplimiento[[#This Row], [Año]]="",Fact_Cumplimiento[[#This Row], [Mes]]=""),"",DATE(A263,MATCH(B263,{"enero","febrero","marzo","abril","mayo","junio","julio","agosto","septiembre","octubre","noviembre","diciembre"},0)+1,0))</f>
        <v/>
      </c>
      <c r="E263" t="str">
        <f>+IFERROR(VLOOKUP(Fact_Cumplimiento[[#This Row], [Concepto Anterior]],Conceptos_Cumplimiento[#All],5,0),"")</f>
        <v/>
      </c>
      <c r="F263" t="str">
        <f>+IFERROR(VLOOKUP(Fact_Cumplimiento[[#This Row], 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ht="18.75" customHeight="1" x14ac:dyDescent="0.35">
      <c r="C264" s="100" t="str">
        <f>IF(OR(Fact_Cumplimiento[[#This Row], [Año]]="",Fact_Cumplimiento[[#This Row], [Mes]]=""),"",DATE(A264,MATCH(B264,{"enero","febrero","marzo","abril","mayo","junio","julio","agosto","septiembre","octubre","noviembre","diciembre"},0)+1,0))</f>
        <v/>
      </c>
      <c r="E264" t="str">
        <f>+IFERROR(VLOOKUP(Fact_Cumplimiento[[#This Row], [Concepto Anterior]],Conceptos_Cumplimiento[#All],5,0),"")</f>
        <v/>
      </c>
      <c r="F264" t="str">
        <f>+IFERROR(VLOOKUP(Fact_Cumplimiento[[#This Row], 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ht="18.75" customHeight="1" x14ac:dyDescent="0.35">
      <c r="C265" s="100" t="str">
        <f>IF(OR(Fact_Cumplimiento[[#This Row], [Año]]="",Fact_Cumplimiento[[#This Row], [Mes]]=""),"",DATE(A265,MATCH(B265,{"enero","febrero","marzo","abril","mayo","junio","julio","agosto","septiembre","octubre","noviembre","diciembre"},0)+1,0))</f>
        <v/>
      </c>
      <c r="E265" t="str">
        <f>+IFERROR(VLOOKUP(Fact_Cumplimiento[[#This Row], [Concepto Anterior]],Conceptos_Cumplimiento[#All],5,0),"")</f>
        <v/>
      </c>
      <c r="F265" t="str">
        <f>+IFERROR(VLOOKUP(Fact_Cumplimiento[[#This Row], 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ht="18.75" customHeight="1" x14ac:dyDescent="0.35">
      <c r="C266" s="100" t="str">
        <f>IF(OR(Fact_Cumplimiento[[#This Row], [Año]]="",Fact_Cumplimiento[[#This Row], [Mes]]=""),"",DATE(A266,MATCH(B266,{"enero","febrero","marzo","abril","mayo","junio","julio","agosto","septiembre","octubre","noviembre","diciembre"},0)+1,0))</f>
        <v/>
      </c>
      <c r="E266" t="str">
        <f>+IFERROR(VLOOKUP(Fact_Cumplimiento[[#This Row], [Concepto Anterior]],Conceptos_Cumplimiento[#All],5,0),"")</f>
        <v/>
      </c>
      <c r="F266" t="str">
        <f>+IFERROR(VLOOKUP(Fact_Cumplimiento[[#This Row], 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ht="18.75" customHeight="1" x14ac:dyDescent="0.35">
      <c r="C267" s="100" t="str">
        <f>IF(OR(Fact_Cumplimiento[[#This Row], [Año]]="",Fact_Cumplimiento[[#This Row], [Mes]]=""),"",DATE(A267,MATCH(B267,{"enero","febrero","marzo","abril","mayo","junio","julio","agosto","septiembre","octubre","noviembre","diciembre"},0)+1,0))</f>
        <v/>
      </c>
      <c r="E267" t="str">
        <f>+IFERROR(VLOOKUP(Fact_Cumplimiento[[#This Row], [Concepto Anterior]],Conceptos_Cumplimiento[#All],5,0),"")</f>
        <v/>
      </c>
      <c r="F267" t="str">
        <f>+IFERROR(VLOOKUP(Fact_Cumplimiento[[#This Row], 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ht="18.75" customHeight="1" x14ac:dyDescent="0.35">
      <c r="C268" s="100" t="str">
        <f>IF(OR(Fact_Cumplimiento[[#This Row], [Año]]="",Fact_Cumplimiento[[#This Row], [Mes]]=""),"",DATE(A268,MATCH(B268,{"enero","febrero","marzo","abril","mayo","junio","julio","agosto","septiembre","octubre","noviembre","diciembre"},0)+1,0))</f>
        <v/>
      </c>
      <c r="E268" t="str">
        <f>+IFERROR(VLOOKUP(Fact_Cumplimiento[[#This Row], [Concepto Anterior]],Conceptos_Cumplimiento[#All],5,0),"")</f>
        <v/>
      </c>
      <c r="F268" t="str">
        <f>+IFERROR(VLOOKUP(Fact_Cumplimiento[[#This Row], 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ht="18.75" customHeight="1" x14ac:dyDescent="0.35">
      <c r="C269" s="100" t="str">
        <f>IF(OR(Fact_Cumplimiento[[#This Row], [Año]]="",Fact_Cumplimiento[[#This Row], [Mes]]=""),"",DATE(A269,MATCH(B269,{"enero","febrero","marzo","abril","mayo","junio","julio","agosto","septiembre","octubre","noviembre","diciembre"},0)+1,0))</f>
        <v/>
      </c>
      <c r="E269" t="str">
        <f>+IFERROR(VLOOKUP(Fact_Cumplimiento[[#This Row], [Concepto Anterior]],Conceptos_Cumplimiento[#All],5,0),"")</f>
        <v/>
      </c>
      <c r="F269" t="str">
        <f>+IFERROR(VLOOKUP(Fact_Cumplimiento[[#This Row], 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ht="18.75" customHeight="1" x14ac:dyDescent="0.35">
      <c r="C270" s="100" t="str">
        <f>IF(OR(Fact_Cumplimiento[[#This Row], [Año]]="",Fact_Cumplimiento[[#This Row], [Mes]]=""),"",DATE(A270,MATCH(B270,{"enero","febrero","marzo","abril","mayo","junio","julio","agosto","septiembre","octubre","noviembre","diciembre"},0)+1,0))</f>
        <v/>
      </c>
      <c r="E270" t="str">
        <f>+IFERROR(VLOOKUP(Fact_Cumplimiento[[#This Row], [Concepto Anterior]],Conceptos_Cumplimiento[#All],5,0),"")</f>
        <v/>
      </c>
      <c r="F270" t="str">
        <f>+IFERROR(VLOOKUP(Fact_Cumplimiento[[#This Row], 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ht="18.75" customHeight="1" x14ac:dyDescent="0.35">
      <c r="C271" s="100" t="str">
        <f>IF(OR(Fact_Cumplimiento[[#This Row], [Año]]="",Fact_Cumplimiento[[#This Row], [Mes]]=""),"",DATE(A271,MATCH(B271,{"enero","febrero","marzo","abril","mayo","junio","julio","agosto","septiembre","octubre","noviembre","diciembre"},0)+1,0))</f>
        <v/>
      </c>
      <c r="E271" t="str">
        <f>+IFERROR(VLOOKUP(Fact_Cumplimiento[[#This Row], [Concepto Anterior]],Conceptos_Cumplimiento[#All],5,0),"")</f>
        <v/>
      </c>
      <c r="F271" t="str">
        <f>+IFERROR(VLOOKUP(Fact_Cumplimiento[[#This Row], 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ht="18.75" customHeight="1" x14ac:dyDescent="0.35">
      <c r="C272" s="100" t="str">
        <f>IF(OR(Fact_Cumplimiento[[#This Row], [Año]]="",Fact_Cumplimiento[[#This Row], [Mes]]=""),"",DATE(A272,MATCH(B272,{"enero","febrero","marzo","abril","mayo","junio","julio","agosto","septiembre","octubre","noviembre","diciembre"},0)+1,0))</f>
        <v/>
      </c>
      <c r="E272" t="str">
        <f>+IFERROR(VLOOKUP(Fact_Cumplimiento[[#This Row], [Concepto Anterior]],Conceptos_Cumplimiento[#All],5,0),"")</f>
        <v/>
      </c>
      <c r="F272" t="str">
        <f>+IFERROR(VLOOKUP(Fact_Cumplimiento[[#This Row], 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ht="18.75" customHeight="1" x14ac:dyDescent="0.35">
      <c r="C273" s="100" t="str">
        <f>IF(OR(Fact_Cumplimiento[[#This Row], [Año]]="",Fact_Cumplimiento[[#This Row], [Mes]]=""),"",DATE(A273,MATCH(B273,{"enero","febrero","marzo","abril","mayo","junio","julio","agosto","septiembre","octubre","noviembre","diciembre"},0)+1,0))</f>
        <v/>
      </c>
      <c r="E273" t="str">
        <f>+IFERROR(VLOOKUP(Fact_Cumplimiento[[#This Row], [Concepto Anterior]],Conceptos_Cumplimiento[#All],5,0),"")</f>
        <v/>
      </c>
      <c r="F273" t="str">
        <f>+IFERROR(VLOOKUP(Fact_Cumplimiento[[#This Row], 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ht="18.75" customHeight="1" x14ac:dyDescent="0.35">
      <c r="C274" s="100" t="str">
        <f>IF(OR(Fact_Cumplimiento[[#This Row], [Año]]="",Fact_Cumplimiento[[#This Row], [Mes]]=""),"",DATE(A274,MATCH(B274,{"enero","febrero","marzo","abril","mayo","junio","julio","agosto","septiembre","octubre","noviembre","diciembre"},0)+1,0))</f>
        <v/>
      </c>
      <c r="E274" t="str">
        <f>+IFERROR(VLOOKUP(Fact_Cumplimiento[[#This Row], [Concepto Anterior]],Conceptos_Cumplimiento[#All],5,0),"")</f>
        <v/>
      </c>
      <c r="F274" t="str">
        <f>+IFERROR(VLOOKUP(Fact_Cumplimiento[[#This Row], 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ht="18.75" customHeight="1" x14ac:dyDescent="0.35">
      <c r="C275" s="100" t="str">
        <f>IF(OR(Fact_Cumplimiento[[#This Row], [Año]]="",Fact_Cumplimiento[[#This Row], [Mes]]=""),"",DATE(A275,MATCH(B275,{"enero","febrero","marzo","abril","mayo","junio","julio","agosto","septiembre","octubre","noviembre","diciembre"},0)+1,0))</f>
        <v/>
      </c>
      <c r="E275" t="str">
        <f>+IFERROR(VLOOKUP(Fact_Cumplimiento[[#This Row], [Concepto Anterior]],Conceptos_Cumplimiento[#All],5,0),"")</f>
        <v/>
      </c>
      <c r="F275" t="str">
        <f>+IFERROR(VLOOKUP(Fact_Cumplimiento[[#This Row], 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ht="18.75" customHeight="1" x14ac:dyDescent="0.35">
      <c r="C276" s="100" t="str">
        <f>IF(OR(Fact_Cumplimiento[[#This Row], [Año]]="",Fact_Cumplimiento[[#This Row], [Mes]]=""),"",DATE(A276,MATCH(B276,{"enero","febrero","marzo","abril","mayo","junio","julio","agosto","septiembre","octubre","noviembre","diciembre"},0)+1,0))</f>
        <v/>
      </c>
      <c r="E276" t="str">
        <f>+IFERROR(VLOOKUP(Fact_Cumplimiento[[#This Row], [Concepto Anterior]],Conceptos_Cumplimiento[#All],5,0),"")</f>
        <v/>
      </c>
      <c r="F276" t="str">
        <f>+IFERROR(VLOOKUP(Fact_Cumplimiento[[#This Row], 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ht="18.75" customHeight="1" x14ac:dyDescent="0.35">
      <c r="C277" s="100" t="str">
        <f>IF(OR(Fact_Cumplimiento[[#This Row], [Año]]="",Fact_Cumplimiento[[#This Row], [Mes]]=""),"",DATE(A277,MATCH(B277,{"enero","febrero","marzo","abril","mayo","junio","julio","agosto","septiembre","octubre","noviembre","diciembre"},0)+1,0))</f>
        <v/>
      </c>
      <c r="E277" t="str">
        <f>+IFERROR(VLOOKUP(Fact_Cumplimiento[[#This Row], [Concepto Anterior]],Conceptos_Cumplimiento[#All],5,0),"")</f>
        <v/>
      </c>
      <c r="F277" t="str">
        <f>+IFERROR(VLOOKUP(Fact_Cumplimiento[[#This Row], 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ht="18.75" customHeight="1" x14ac:dyDescent="0.35">
      <c r="C278" s="100" t="str">
        <f>IF(OR(Fact_Cumplimiento[[#This Row], [Año]]="",Fact_Cumplimiento[[#This Row], [Mes]]=""),"",DATE(A278,MATCH(B278,{"enero","febrero","marzo","abril","mayo","junio","julio","agosto","septiembre","octubre","noviembre","diciembre"},0)+1,0))</f>
        <v/>
      </c>
      <c r="E278" t="str">
        <f>+IFERROR(VLOOKUP(Fact_Cumplimiento[[#This Row], [Concepto Anterior]],Conceptos_Cumplimiento[#All],5,0),"")</f>
        <v/>
      </c>
      <c r="F278" t="str">
        <f>+IFERROR(VLOOKUP(Fact_Cumplimiento[[#This Row], 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ht="18.75" customHeight="1" x14ac:dyDescent="0.35">
      <c r="C279" s="100" t="str">
        <f>IF(OR(Fact_Cumplimiento[[#This Row], [Año]]="",Fact_Cumplimiento[[#This Row], [Mes]]=""),"",DATE(A279,MATCH(B279,{"enero","febrero","marzo","abril","mayo","junio","julio","agosto","septiembre","octubre","noviembre","diciembre"},0)+1,0))</f>
        <v/>
      </c>
      <c r="E279" t="str">
        <f>+IFERROR(VLOOKUP(Fact_Cumplimiento[[#This Row], [Concepto Anterior]],Conceptos_Cumplimiento[#All],5,0),"")</f>
        <v/>
      </c>
      <c r="F279" t="str">
        <f>+IFERROR(VLOOKUP(Fact_Cumplimiento[[#This Row], 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ht="18.75" customHeight="1" x14ac:dyDescent="0.35">
      <c r="C280" s="100" t="str">
        <f>IF(OR(Fact_Cumplimiento[[#This Row], [Año]]="",Fact_Cumplimiento[[#This Row], [Mes]]=""),"",DATE(A280,MATCH(B280,{"enero","febrero","marzo","abril","mayo","junio","julio","agosto","septiembre","octubre","noviembre","diciembre"},0)+1,0))</f>
        <v/>
      </c>
      <c r="E280" t="str">
        <f>+IFERROR(VLOOKUP(Fact_Cumplimiento[[#This Row], [Concepto Anterior]],Conceptos_Cumplimiento[#All],5,0),"")</f>
        <v/>
      </c>
      <c r="F280" t="str">
        <f>+IFERROR(VLOOKUP(Fact_Cumplimiento[[#This Row], 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ht="18.75" customHeight="1" x14ac:dyDescent="0.35">
      <c r="C281" s="100" t="str">
        <f>IF(OR(Fact_Cumplimiento[[#This Row], [Año]]="",Fact_Cumplimiento[[#This Row], [Mes]]=""),"",DATE(A281,MATCH(B281,{"enero","febrero","marzo","abril","mayo","junio","julio","agosto","septiembre","octubre","noviembre","diciembre"},0)+1,0))</f>
        <v/>
      </c>
      <c r="E281" t="str">
        <f>+IFERROR(VLOOKUP(Fact_Cumplimiento[[#This Row], [Concepto Anterior]],Conceptos_Cumplimiento[#All],5,0),"")</f>
        <v/>
      </c>
      <c r="F281" t="str">
        <f>+IFERROR(VLOOKUP(Fact_Cumplimiento[[#This Row], 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ht="18.75" customHeight="1" x14ac:dyDescent="0.35">
      <c r="C282" s="100" t="str">
        <f>IF(OR(Fact_Cumplimiento[[#This Row], [Año]]="",Fact_Cumplimiento[[#This Row], [Mes]]=""),"",DATE(A282,MATCH(B282,{"enero","febrero","marzo","abril","mayo","junio","julio","agosto","septiembre","octubre","noviembre","diciembre"},0)+1,0))</f>
        <v/>
      </c>
      <c r="E282" t="str">
        <f>+IFERROR(VLOOKUP(Fact_Cumplimiento[[#This Row], [Concepto Anterior]],Conceptos_Cumplimiento[#All],5,0),"")</f>
        <v/>
      </c>
      <c r="F282" t="str">
        <f>+IFERROR(VLOOKUP(Fact_Cumplimiento[[#This Row], 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ht="18.75" customHeight="1" x14ac:dyDescent="0.35">
      <c r="C283" s="100" t="str">
        <f>IF(OR(Fact_Cumplimiento[[#This Row], [Año]]="",Fact_Cumplimiento[[#This Row], [Mes]]=""),"",DATE(A283,MATCH(B283,{"enero","febrero","marzo","abril","mayo","junio","julio","agosto","septiembre","octubre","noviembre","diciembre"},0)+1,0))</f>
        <v/>
      </c>
      <c r="E283" t="str">
        <f>+IFERROR(VLOOKUP(Fact_Cumplimiento[[#This Row], [Concepto Anterior]],Conceptos_Cumplimiento[#All],5,0),"")</f>
        <v/>
      </c>
      <c r="F283" t="str">
        <f>+IFERROR(VLOOKUP(Fact_Cumplimiento[[#This Row], 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ht="18.75" customHeight="1" x14ac:dyDescent="0.35">
      <c r="C284" s="100" t="str">
        <f>IF(OR(Fact_Cumplimiento[[#This Row], [Año]]="",Fact_Cumplimiento[[#This Row], [Mes]]=""),"",DATE(A284,MATCH(B284,{"enero","febrero","marzo","abril","mayo","junio","julio","agosto","septiembre","octubre","noviembre","diciembre"},0)+1,0))</f>
        <v/>
      </c>
      <c r="E284" t="str">
        <f>+IFERROR(VLOOKUP(Fact_Cumplimiento[[#This Row], [Concepto Anterior]],Conceptos_Cumplimiento[#All],5,0),"")</f>
        <v/>
      </c>
      <c r="F284" t="str">
        <f>+IFERROR(VLOOKUP(Fact_Cumplimiento[[#This Row], 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ht="18.75" customHeight="1" x14ac:dyDescent="0.35">
      <c r="C285" s="100" t="str">
        <f>IF(OR(Fact_Cumplimiento[[#This Row], [Año]]="",Fact_Cumplimiento[[#This Row], [Mes]]=""),"",DATE(A285,MATCH(B285,{"enero","febrero","marzo","abril","mayo","junio","julio","agosto","septiembre","octubre","noviembre","diciembre"},0)+1,0))</f>
        <v/>
      </c>
      <c r="E285" t="str">
        <f>+IFERROR(VLOOKUP(Fact_Cumplimiento[[#This Row], [Concepto Anterior]],Conceptos_Cumplimiento[#All],5,0),"")</f>
        <v/>
      </c>
      <c r="F285" t="str">
        <f>+IFERROR(VLOOKUP(Fact_Cumplimiento[[#This Row], 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ht="18.75" customHeight="1" x14ac:dyDescent="0.35">
      <c r="C286" s="100" t="str">
        <f>IF(OR(Fact_Cumplimiento[[#This Row], [Año]]="",Fact_Cumplimiento[[#This Row], [Mes]]=""),"",DATE(A286,MATCH(B286,{"enero","febrero","marzo","abril","mayo","junio","julio","agosto","septiembre","octubre","noviembre","diciembre"},0)+1,0))</f>
        <v/>
      </c>
      <c r="E286" t="str">
        <f>+IFERROR(VLOOKUP(Fact_Cumplimiento[[#This Row], [Concepto Anterior]],Conceptos_Cumplimiento[#All],5,0),"")</f>
        <v/>
      </c>
      <c r="F286" t="str">
        <f>+IFERROR(VLOOKUP(Fact_Cumplimiento[[#This Row], 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ht="18.75" customHeight="1" x14ac:dyDescent="0.35">
      <c r="C287" s="100" t="str">
        <f>IF(OR(Fact_Cumplimiento[[#This Row], [Año]]="",Fact_Cumplimiento[[#This Row], [Mes]]=""),"",DATE(A287,MATCH(B287,{"enero","febrero","marzo","abril","mayo","junio","julio","agosto","septiembre","octubre","noviembre","diciembre"},0)+1,0))</f>
        <v/>
      </c>
      <c r="E287" t="str">
        <f>+IFERROR(VLOOKUP(Fact_Cumplimiento[[#This Row], [Concepto Anterior]],Conceptos_Cumplimiento[#All],5,0),"")</f>
        <v/>
      </c>
      <c r="F287" t="str">
        <f>+IFERROR(VLOOKUP(Fact_Cumplimiento[[#This Row], 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ht="18.75" customHeight="1" x14ac:dyDescent="0.35">
      <c r="C288" s="100" t="str">
        <f>IF(OR(Fact_Cumplimiento[[#This Row], [Año]]="",Fact_Cumplimiento[[#This Row], [Mes]]=""),"",DATE(A288,MATCH(B288,{"enero","febrero","marzo","abril","mayo","junio","julio","agosto","septiembre","octubre","noviembre","diciembre"},0)+1,0))</f>
        <v/>
      </c>
      <c r="E288" t="str">
        <f>+IFERROR(VLOOKUP(Fact_Cumplimiento[[#This Row], [Concepto Anterior]],Conceptos_Cumplimiento[#All],5,0),"")</f>
        <v/>
      </c>
      <c r="F288" t="str">
        <f>+IFERROR(VLOOKUP(Fact_Cumplimiento[[#This Row], 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ht="18.75" customHeight="1" x14ac:dyDescent="0.35">
      <c r="C289" s="100" t="str">
        <f>IF(OR(Fact_Cumplimiento[[#This Row], [Año]]="",Fact_Cumplimiento[[#This Row], [Mes]]=""),"",DATE(A289,MATCH(B289,{"enero","febrero","marzo","abril","mayo","junio","julio","agosto","septiembre","octubre","noviembre","diciembre"},0)+1,0))</f>
        <v/>
      </c>
      <c r="E289" t="str">
        <f>+IFERROR(VLOOKUP(Fact_Cumplimiento[[#This Row], [Concepto Anterior]],Conceptos_Cumplimiento[#All],5,0),"")</f>
        <v/>
      </c>
      <c r="F289" t="str">
        <f>+IFERROR(VLOOKUP(Fact_Cumplimiento[[#This Row], 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ht="18.75" customHeight="1" x14ac:dyDescent="0.35">
      <c r="C290" s="100" t="str">
        <f>IF(OR(Fact_Cumplimiento[[#This Row], [Año]]="",Fact_Cumplimiento[[#This Row], [Mes]]=""),"",DATE(A290,MATCH(B290,{"enero","febrero","marzo","abril","mayo","junio","julio","agosto","septiembre","octubre","noviembre","diciembre"},0)+1,0))</f>
        <v/>
      </c>
      <c r="E290" t="str">
        <f>+IFERROR(VLOOKUP(Fact_Cumplimiento[[#This Row], [Concepto Anterior]],Conceptos_Cumplimiento[#All],5,0),"")</f>
        <v/>
      </c>
      <c r="F290" t="str">
        <f>+IFERROR(VLOOKUP(Fact_Cumplimiento[[#This Row], 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ht="18.75" customHeight="1" x14ac:dyDescent="0.35">
      <c r="C291" s="100" t="str">
        <f>IF(OR(Fact_Cumplimiento[[#This Row], [Año]]="",Fact_Cumplimiento[[#This Row], [Mes]]=""),"",DATE(A291,MATCH(B291,{"enero","febrero","marzo","abril","mayo","junio","julio","agosto","septiembre","octubre","noviembre","diciembre"},0)+1,0))</f>
        <v/>
      </c>
      <c r="E291" t="str">
        <f>+IFERROR(VLOOKUP(Fact_Cumplimiento[[#This Row], [Concepto Anterior]],Conceptos_Cumplimiento[#All],5,0),"")</f>
        <v/>
      </c>
      <c r="F291" t="str">
        <f>+IFERROR(VLOOKUP(Fact_Cumplimiento[[#This Row], 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ht="18.75" customHeight="1" x14ac:dyDescent="0.35">
      <c r="C292" s="100" t="str">
        <f>IF(OR(Fact_Cumplimiento[[#This Row], [Año]]="",Fact_Cumplimiento[[#This Row], [Mes]]=""),"",DATE(A292,MATCH(B292,{"enero","febrero","marzo","abril","mayo","junio","julio","agosto","septiembre","octubre","noviembre","diciembre"},0)+1,0))</f>
        <v/>
      </c>
      <c r="E292" t="str">
        <f>+IFERROR(VLOOKUP(Fact_Cumplimiento[[#This Row], [Concepto Anterior]],Conceptos_Cumplimiento[#All],5,0),"")</f>
        <v/>
      </c>
      <c r="F292" t="str">
        <f>+IFERROR(VLOOKUP(Fact_Cumplimiento[[#This Row], 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ht="18.75" customHeight="1" x14ac:dyDescent="0.35">
      <c r="C293" s="100" t="str">
        <f>IF(OR(Fact_Cumplimiento[[#This Row], [Año]]="",Fact_Cumplimiento[[#This Row], [Mes]]=""),"",DATE(A293,MATCH(B293,{"enero","febrero","marzo","abril","mayo","junio","julio","agosto","septiembre","octubre","noviembre","diciembre"},0)+1,0))</f>
        <v/>
      </c>
      <c r="E293" t="str">
        <f>+IFERROR(VLOOKUP(Fact_Cumplimiento[[#This Row], [Concepto Anterior]],Conceptos_Cumplimiento[#All],5,0),"")</f>
        <v/>
      </c>
      <c r="F293" t="str">
        <f>+IFERROR(VLOOKUP(Fact_Cumplimiento[[#This Row], 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ht="18.75" customHeight="1" x14ac:dyDescent="0.35">
      <c r="C294" s="100" t="str">
        <f>IF(OR(Fact_Cumplimiento[[#This Row], [Año]]="",Fact_Cumplimiento[[#This Row], [Mes]]=""),"",DATE(A294,MATCH(B294,{"enero","febrero","marzo","abril","mayo","junio","julio","agosto","septiembre","octubre","noviembre","diciembre"},0)+1,0))</f>
        <v/>
      </c>
      <c r="E294" t="str">
        <f>+IFERROR(VLOOKUP(Fact_Cumplimiento[[#This Row], [Concepto Anterior]],Conceptos_Cumplimiento[#All],5,0),"")</f>
        <v/>
      </c>
      <c r="F294" t="str">
        <f>+IFERROR(VLOOKUP(Fact_Cumplimiento[[#This Row], 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ht="18.75" customHeight="1" x14ac:dyDescent="0.35">
      <c r="C295" s="100" t="str">
        <f>IF(OR(Fact_Cumplimiento[[#This Row], [Año]]="",Fact_Cumplimiento[[#This Row], [Mes]]=""),"",DATE(A295,MATCH(B295,{"enero","febrero","marzo","abril","mayo","junio","julio","agosto","septiembre","octubre","noviembre","diciembre"},0)+1,0))</f>
        <v/>
      </c>
      <c r="E295" t="str">
        <f>+IFERROR(VLOOKUP(Fact_Cumplimiento[[#This Row], [Concepto Anterior]],Conceptos_Cumplimiento[#All],5,0),"")</f>
        <v/>
      </c>
      <c r="F295" t="str">
        <f>+IFERROR(VLOOKUP(Fact_Cumplimiento[[#This Row], 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ht="18.75" customHeight="1" x14ac:dyDescent="0.35">
      <c r="C296" s="100" t="str">
        <f>IF(OR(Fact_Cumplimiento[[#This Row], [Año]]="",Fact_Cumplimiento[[#This Row], [Mes]]=""),"",DATE(A296,MATCH(B296,{"enero","febrero","marzo","abril","mayo","junio","julio","agosto","septiembre","octubre","noviembre","diciembre"},0)+1,0))</f>
        <v/>
      </c>
      <c r="E296" t="str">
        <f>+IFERROR(VLOOKUP(Fact_Cumplimiento[[#This Row], [Concepto Anterior]],Conceptos_Cumplimiento[#All],5,0),"")</f>
        <v/>
      </c>
      <c r="F296" t="str">
        <f>+IFERROR(VLOOKUP(Fact_Cumplimiento[[#This Row], 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ht="18.75" customHeight="1" x14ac:dyDescent="0.35">
      <c r="C297" s="100" t="str">
        <f>IF(OR(Fact_Cumplimiento[[#This Row], [Año]]="",Fact_Cumplimiento[[#This Row], [Mes]]=""),"",DATE(A297,MATCH(B297,{"enero","febrero","marzo","abril","mayo","junio","julio","agosto","septiembre","octubre","noviembre","diciembre"},0)+1,0))</f>
        <v/>
      </c>
      <c r="E297" t="str">
        <f>+IFERROR(VLOOKUP(Fact_Cumplimiento[[#This Row], [Concepto Anterior]],Conceptos_Cumplimiento[#All],5,0),"")</f>
        <v/>
      </c>
      <c r="F297" t="str">
        <f>+IFERROR(VLOOKUP(Fact_Cumplimiento[[#This Row], 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ht="18.75" customHeight="1" x14ac:dyDescent="0.35">
      <c r="C298" s="100" t="str">
        <f>IF(OR(Fact_Cumplimiento[[#This Row], [Año]]="",Fact_Cumplimiento[[#This Row], [Mes]]=""),"",DATE(A298,MATCH(B298,{"enero","febrero","marzo","abril","mayo","junio","julio","agosto","septiembre","octubre","noviembre","diciembre"},0)+1,0))</f>
        <v/>
      </c>
      <c r="E298" t="str">
        <f>+IFERROR(VLOOKUP(Fact_Cumplimiento[[#This Row], [Concepto Anterior]],Conceptos_Cumplimiento[#All],5,0),"")</f>
        <v/>
      </c>
      <c r="F298" t="str">
        <f>+IFERROR(VLOOKUP(Fact_Cumplimiento[[#This Row], 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ht="18.75" customHeight="1" x14ac:dyDescent="0.35">
      <c r="C299" s="100" t="str">
        <f>IF(OR(Fact_Cumplimiento[[#This Row], [Año]]="",Fact_Cumplimiento[[#This Row], [Mes]]=""),"",DATE(A299,MATCH(B299,{"enero","febrero","marzo","abril","mayo","junio","julio","agosto","septiembre","octubre","noviembre","diciembre"},0)+1,0))</f>
        <v/>
      </c>
      <c r="E299" t="str">
        <f>+IFERROR(VLOOKUP(Fact_Cumplimiento[[#This Row], [Concepto Anterior]],Conceptos_Cumplimiento[#All],5,0),"")</f>
        <v/>
      </c>
      <c r="F299" t="str">
        <f>+IFERROR(VLOOKUP(Fact_Cumplimiento[[#This Row], 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ht="18.75" customHeight="1" x14ac:dyDescent="0.35">
      <c r="C300" s="100" t="str">
        <f>IF(OR(Fact_Cumplimiento[[#This Row], [Año]]="",Fact_Cumplimiento[[#This Row], [Mes]]=""),"",DATE(A300,MATCH(B300,{"enero","febrero","marzo","abril","mayo","junio","julio","agosto","septiembre","octubre","noviembre","diciembre"},0)+1,0))</f>
        <v/>
      </c>
      <c r="E300" t="str">
        <f>+IFERROR(VLOOKUP(Fact_Cumplimiento[[#This Row], [Concepto Anterior]],Conceptos_Cumplimiento[#All],5,0),"")</f>
        <v/>
      </c>
      <c r="F300" t="str">
        <f>+IFERROR(VLOOKUP(Fact_Cumplimiento[[#This Row], 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ht="18.75" customHeight="1" x14ac:dyDescent="0.35">
      <c r="C301" s="100" t="str">
        <f>IF(OR(Fact_Cumplimiento[[#This Row], [Año]]="",Fact_Cumplimiento[[#This Row], [Mes]]=""),"",DATE(A301,MATCH(B301,{"enero","febrero","marzo","abril","mayo","junio","julio","agosto","septiembre","octubre","noviembre","diciembre"},0)+1,0))</f>
        <v/>
      </c>
      <c r="E301" t="str">
        <f>+IFERROR(VLOOKUP(Fact_Cumplimiento[[#This Row], [Concepto Anterior]],Conceptos_Cumplimiento[#All],5,0),"")</f>
        <v/>
      </c>
      <c r="F301" t="str">
        <f>+IFERROR(VLOOKUP(Fact_Cumplimiento[[#This Row], 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ht="18.75" customHeight="1" x14ac:dyDescent="0.35">
      <c r="C302" s="100" t="str">
        <f>IF(OR(Fact_Cumplimiento[[#This Row], [Año]]="",Fact_Cumplimiento[[#This Row], [Mes]]=""),"",DATE(A302,MATCH(B302,{"enero","febrero","marzo","abril","mayo","junio","julio","agosto","septiembre","octubre","noviembre","diciembre"},0)+1,0))</f>
        <v/>
      </c>
      <c r="E302" t="str">
        <f>+IFERROR(VLOOKUP(Fact_Cumplimiento[[#This Row], [Concepto Anterior]],Conceptos_Cumplimiento[#All],5,0),"")</f>
        <v/>
      </c>
      <c r="F302" t="str">
        <f>+IFERROR(VLOOKUP(Fact_Cumplimiento[[#This Row], 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ht="18.75" customHeight="1" x14ac:dyDescent="0.35">
      <c r="C303" s="100" t="str">
        <f>IF(OR(Fact_Cumplimiento[[#This Row], [Año]]="",Fact_Cumplimiento[[#This Row], [Mes]]=""),"",DATE(A303,MATCH(B303,{"enero","febrero","marzo","abril","mayo","junio","julio","agosto","septiembre","octubre","noviembre","diciembre"},0)+1,0))</f>
        <v/>
      </c>
      <c r="E303" t="str">
        <f>+IFERROR(VLOOKUP(Fact_Cumplimiento[[#This Row], [Concepto Anterior]],Conceptos_Cumplimiento[#All],5,0),"")</f>
        <v/>
      </c>
      <c r="F303" t="str">
        <f>+IFERROR(VLOOKUP(Fact_Cumplimiento[[#This Row], 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ht="18.75" customHeight="1" x14ac:dyDescent="0.35">
      <c r="C304" s="100" t="str">
        <f>IF(OR(Fact_Cumplimiento[[#This Row], [Año]]="",Fact_Cumplimiento[[#This Row], [Mes]]=""),"",DATE(A304,MATCH(B304,{"enero","febrero","marzo","abril","mayo","junio","julio","agosto","septiembre","octubre","noviembre","diciembre"},0)+1,0))</f>
        <v/>
      </c>
      <c r="E304" t="str">
        <f>+IFERROR(VLOOKUP(Fact_Cumplimiento[[#This Row], [Concepto Anterior]],Conceptos_Cumplimiento[#All],5,0),"")</f>
        <v/>
      </c>
      <c r="F304" t="str">
        <f>+IFERROR(VLOOKUP(Fact_Cumplimiento[[#This Row], 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ht="18.75" customHeight="1" x14ac:dyDescent="0.35">
      <c r="C305" s="100" t="str">
        <f>IF(OR(Fact_Cumplimiento[[#This Row], [Año]]="",Fact_Cumplimiento[[#This Row], [Mes]]=""),"",DATE(A305,MATCH(B305,{"enero","febrero","marzo","abril","mayo","junio","julio","agosto","septiembre","octubre","noviembre","diciembre"},0)+1,0))</f>
        <v/>
      </c>
      <c r="E305" t="str">
        <f>+IFERROR(VLOOKUP(Fact_Cumplimiento[[#This Row], [Concepto Anterior]],Conceptos_Cumplimiento[#All],5,0),"")</f>
        <v/>
      </c>
      <c r="F305" t="str">
        <f>+IFERROR(VLOOKUP(Fact_Cumplimiento[[#This Row], 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ht="18.75" customHeight="1" x14ac:dyDescent="0.35">
      <c r="C306" s="100" t="str">
        <f>IF(OR(Fact_Cumplimiento[[#This Row], [Año]]="",Fact_Cumplimiento[[#This Row], [Mes]]=""),"",DATE(A306,MATCH(B306,{"enero","febrero","marzo","abril","mayo","junio","julio","agosto","septiembre","octubre","noviembre","diciembre"},0)+1,0))</f>
        <v/>
      </c>
      <c r="E306" t="str">
        <f>+IFERROR(VLOOKUP(Fact_Cumplimiento[[#This Row], [Concepto Anterior]],Conceptos_Cumplimiento[#All],5,0),"")</f>
        <v/>
      </c>
      <c r="F306" t="str">
        <f>+IFERROR(VLOOKUP(Fact_Cumplimiento[[#This Row], 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ht="18.75" customHeight="1" x14ac:dyDescent="0.35">
      <c r="C307" s="100" t="str">
        <f>IF(OR(Fact_Cumplimiento[[#This Row], [Año]]="",Fact_Cumplimiento[[#This Row], [Mes]]=""),"",DATE(A307,MATCH(B307,{"enero","febrero","marzo","abril","mayo","junio","julio","agosto","septiembre","octubre","noviembre","diciembre"},0)+1,0))</f>
        <v/>
      </c>
      <c r="E307" t="str">
        <f>+IFERROR(VLOOKUP(Fact_Cumplimiento[[#This Row], [Concepto Anterior]],Conceptos_Cumplimiento[#All],5,0),"")</f>
        <v/>
      </c>
      <c r="F307" t="str">
        <f>+IFERROR(VLOOKUP(Fact_Cumplimiento[[#This Row], 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ht="18.75" customHeight="1" x14ac:dyDescent="0.35">
      <c r="C308" s="100" t="str">
        <f>IF(OR(Fact_Cumplimiento[[#This Row], [Año]]="",Fact_Cumplimiento[[#This Row], [Mes]]=""),"",DATE(A308,MATCH(B308,{"enero","febrero","marzo","abril","mayo","junio","julio","agosto","septiembre","octubre","noviembre","diciembre"},0)+1,0))</f>
        <v/>
      </c>
      <c r="E308" t="str">
        <f>+IFERROR(VLOOKUP(Fact_Cumplimiento[[#This Row], [Concepto Anterior]],Conceptos_Cumplimiento[#All],5,0),"")</f>
        <v/>
      </c>
      <c r="F308" t="str">
        <f>+IFERROR(VLOOKUP(Fact_Cumplimiento[[#This Row], 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ht="18.75" customHeight="1" x14ac:dyDescent="0.35">
      <c r="C309" s="100" t="str">
        <f>IF(OR(Fact_Cumplimiento[[#This Row], [Año]]="",Fact_Cumplimiento[[#This Row], [Mes]]=""),"",DATE(A309,MATCH(B309,{"enero","febrero","marzo","abril","mayo","junio","julio","agosto","septiembre","octubre","noviembre","diciembre"},0)+1,0))</f>
        <v/>
      </c>
      <c r="E309" t="str">
        <f>+IFERROR(VLOOKUP(Fact_Cumplimiento[[#This Row], [Concepto Anterior]],Conceptos_Cumplimiento[#All],5,0),"")</f>
        <v/>
      </c>
      <c r="F309" t="str">
        <f>+IFERROR(VLOOKUP(Fact_Cumplimiento[[#This Row], 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ht="18.75" customHeight="1" x14ac:dyDescent="0.35">
      <c r="C310" s="100" t="str">
        <f>IF(OR(Fact_Cumplimiento[[#This Row], [Año]]="",Fact_Cumplimiento[[#This Row], [Mes]]=""),"",DATE(A310,MATCH(B310,{"enero","febrero","marzo","abril","mayo","junio","julio","agosto","septiembre","octubre","noviembre","diciembre"},0)+1,0))</f>
        <v/>
      </c>
      <c r="E310" t="str">
        <f>+IFERROR(VLOOKUP(Fact_Cumplimiento[[#This Row], [Concepto Anterior]],Conceptos_Cumplimiento[#All],5,0),"")</f>
        <v/>
      </c>
      <c r="F310" t="str">
        <f>+IFERROR(VLOOKUP(Fact_Cumplimiento[[#This Row], 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ht="18.75" customHeight="1" x14ac:dyDescent="0.35">
      <c r="C311" s="100" t="str">
        <f>IF(OR(Fact_Cumplimiento[[#This Row], [Año]]="",Fact_Cumplimiento[[#This Row], [Mes]]=""),"",DATE(A311,MATCH(B311,{"enero","febrero","marzo","abril","mayo","junio","julio","agosto","septiembre","octubre","noviembre","diciembre"},0)+1,0))</f>
        <v/>
      </c>
      <c r="E311" t="str">
        <f>+IFERROR(VLOOKUP(Fact_Cumplimiento[[#This Row], [Concepto Anterior]],Conceptos_Cumplimiento[#All],5,0),"")</f>
        <v/>
      </c>
      <c r="F311" t="str">
        <f>+IFERROR(VLOOKUP(Fact_Cumplimiento[[#This Row], 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ht="18.75" customHeight="1" x14ac:dyDescent="0.35">
      <c r="C312" s="100" t="str">
        <f>IF(OR(Fact_Cumplimiento[[#This Row], [Año]]="",Fact_Cumplimiento[[#This Row], [Mes]]=""),"",DATE(A312,MATCH(B312,{"enero","febrero","marzo","abril","mayo","junio","julio","agosto","septiembre","octubre","noviembre","diciembre"},0)+1,0))</f>
        <v/>
      </c>
      <c r="E312" t="str">
        <f>+IFERROR(VLOOKUP(Fact_Cumplimiento[[#This Row], [Concepto Anterior]],Conceptos_Cumplimiento[#All],5,0),"")</f>
        <v/>
      </c>
      <c r="F312" t="str">
        <f>+IFERROR(VLOOKUP(Fact_Cumplimiento[[#This Row], 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ht="18.75" customHeight="1" x14ac:dyDescent="0.35">
      <c r="C313" s="100" t="str">
        <f>IF(OR(Fact_Cumplimiento[[#This Row], [Año]]="",Fact_Cumplimiento[[#This Row], [Mes]]=""),"",DATE(A313,MATCH(B313,{"enero","febrero","marzo","abril","mayo","junio","julio","agosto","septiembre","octubre","noviembre","diciembre"},0)+1,0))</f>
        <v/>
      </c>
      <c r="E313" t="str">
        <f>+IFERROR(VLOOKUP(Fact_Cumplimiento[[#This Row], [Concepto Anterior]],Conceptos_Cumplimiento[#All],5,0),"")</f>
        <v/>
      </c>
      <c r="F313" t="str">
        <f>+IFERROR(VLOOKUP(Fact_Cumplimiento[[#This Row], 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ht="18.75" customHeight="1" x14ac:dyDescent="0.35">
      <c r="C314" s="100" t="str">
        <f>IF(OR(Fact_Cumplimiento[[#This Row], [Año]]="",Fact_Cumplimiento[[#This Row], [Mes]]=""),"",DATE(A314,MATCH(B314,{"enero","febrero","marzo","abril","mayo","junio","julio","agosto","septiembre","octubre","noviembre","diciembre"},0)+1,0))</f>
        <v/>
      </c>
      <c r="E314" t="str">
        <f>+IFERROR(VLOOKUP(Fact_Cumplimiento[[#This Row], [Concepto Anterior]],Conceptos_Cumplimiento[#All],5,0),"")</f>
        <v/>
      </c>
      <c r="F314" t="str">
        <f>+IFERROR(VLOOKUP(Fact_Cumplimiento[[#This Row], 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ht="18.75" customHeight="1" x14ac:dyDescent="0.35">
      <c r="C315" s="100" t="str">
        <f>IF(OR(Fact_Cumplimiento[[#This Row], [Año]]="",Fact_Cumplimiento[[#This Row], [Mes]]=""),"",DATE(A315,MATCH(B315,{"enero","febrero","marzo","abril","mayo","junio","julio","agosto","septiembre","octubre","noviembre","diciembre"},0)+1,0))</f>
        <v/>
      </c>
      <c r="E315" t="str">
        <f>+IFERROR(VLOOKUP(Fact_Cumplimiento[[#This Row], [Concepto Anterior]],Conceptos_Cumplimiento[#All],5,0),"")</f>
        <v/>
      </c>
      <c r="F315" t="str">
        <f>+IFERROR(VLOOKUP(Fact_Cumplimiento[[#This Row], 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ht="18.75" customHeight="1" x14ac:dyDescent="0.35">
      <c r="C316" s="100" t="str">
        <f>IF(OR(Fact_Cumplimiento[[#This Row], [Año]]="",Fact_Cumplimiento[[#This Row], [Mes]]=""),"",DATE(A316,MATCH(B316,{"enero","febrero","marzo","abril","mayo","junio","julio","agosto","septiembre","octubre","noviembre","diciembre"},0)+1,0))</f>
        <v/>
      </c>
      <c r="E316" t="str">
        <f>+IFERROR(VLOOKUP(Fact_Cumplimiento[[#This Row], [Concepto Anterior]],Conceptos_Cumplimiento[#All],5,0),"")</f>
        <v/>
      </c>
      <c r="F316" t="str">
        <f>+IFERROR(VLOOKUP(Fact_Cumplimiento[[#This Row], 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ht="18.75" customHeight="1" x14ac:dyDescent="0.35">
      <c r="C317" s="100" t="str">
        <f>IF(OR(Fact_Cumplimiento[[#This Row], [Año]]="",Fact_Cumplimiento[[#This Row], [Mes]]=""),"",DATE(A317,MATCH(B317,{"enero","febrero","marzo","abril","mayo","junio","julio","agosto","septiembre","octubre","noviembre","diciembre"},0)+1,0))</f>
        <v/>
      </c>
      <c r="E317" t="str">
        <f>+IFERROR(VLOOKUP(Fact_Cumplimiento[[#This Row], [Concepto Anterior]],Conceptos_Cumplimiento[#All],5,0),"")</f>
        <v/>
      </c>
      <c r="F317" t="str">
        <f>+IFERROR(VLOOKUP(Fact_Cumplimiento[[#This Row], 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ht="18.75" customHeight="1" x14ac:dyDescent="0.35">
      <c r="C318" s="100" t="str">
        <f>IF(OR(Fact_Cumplimiento[[#This Row], [Año]]="",Fact_Cumplimiento[[#This Row], [Mes]]=""),"",DATE(A318,MATCH(B318,{"enero","febrero","marzo","abril","mayo","junio","julio","agosto","septiembre","octubre","noviembre","diciembre"},0)+1,0))</f>
        <v/>
      </c>
      <c r="E318" t="str">
        <f>+IFERROR(VLOOKUP(Fact_Cumplimiento[[#This Row], [Concepto Anterior]],Conceptos_Cumplimiento[#All],5,0),"")</f>
        <v/>
      </c>
      <c r="F318" t="str">
        <f>+IFERROR(VLOOKUP(Fact_Cumplimiento[[#This Row], 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ht="18.75" customHeight="1" x14ac:dyDescent="0.35">
      <c r="C319" s="100" t="str">
        <f>IF(OR(Fact_Cumplimiento[[#This Row], [Año]]="",Fact_Cumplimiento[[#This Row], [Mes]]=""),"",DATE(A319,MATCH(B319,{"enero","febrero","marzo","abril","mayo","junio","julio","agosto","septiembre","octubre","noviembre","diciembre"},0)+1,0))</f>
        <v/>
      </c>
      <c r="E319" t="str">
        <f>+IFERROR(VLOOKUP(Fact_Cumplimiento[[#This Row], [Concepto Anterior]],Conceptos_Cumplimiento[#All],5,0),"")</f>
        <v/>
      </c>
      <c r="F319" t="str">
        <f>+IFERROR(VLOOKUP(Fact_Cumplimiento[[#This Row], 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ht="18.75" customHeight="1" x14ac:dyDescent="0.35">
      <c r="C320" s="100" t="str">
        <f>IF(OR(Fact_Cumplimiento[[#This Row], [Año]]="",Fact_Cumplimiento[[#This Row], [Mes]]=""),"",DATE(A320,MATCH(B320,{"enero","febrero","marzo","abril","mayo","junio","julio","agosto","septiembre","octubre","noviembre","diciembre"},0)+1,0))</f>
        <v/>
      </c>
      <c r="E320" t="str">
        <f>+IFERROR(VLOOKUP(Fact_Cumplimiento[[#This Row], [Concepto Anterior]],Conceptos_Cumplimiento[#All],5,0),"")</f>
        <v/>
      </c>
      <c r="F320" t="str">
        <f>+IFERROR(VLOOKUP(Fact_Cumplimiento[[#This Row], 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ht="18.75" customHeight="1" x14ac:dyDescent="0.35">
      <c r="C321" s="100" t="str">
        <f>IF(OR(Fact_Cumplimiento[[#This Row], [Año]]="",Fact_Cumplimiento[[#This Row], [Mes]]=""),"",DATE(A321,MATCH(B321,{"enero","febrero","marzo","abril","mayo","junio","julio","agosto","septiembre","octubre","noviembre","diciembre"},0)+1,0))</f>
        <v/>
      </c>
      <c r="E321" t="str">
        <f>+IFERROR(VLOOKUP(Fact_Cumplimiento[[#This Row], [Concepto Anterior]],Conceptos_Cumplimiento[#All],5,0),"")</f>
        <v/>
      </c>
      <c r="F321" t="str">
        <f>+IFERROR(VLOOKUP(Fact_Cumplimiento[[#This Row], 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ht="18.75" customHeight="1" x14ac:dyDescent="0.35">
      <c r="C322" s="100" t="str">
        <f>IF(OR(Fact_Cumplimiento[[#This Row], [Año]]="",Fact_Cumplimiento[[#This Row], [Mes]]=""),"",DATE(A322,MATCH(B322,{"enero","febrero","marzo","abril","mayo","junio","julio","agosto","septiembre","octubre","noviembre","diciembre"},0)+1,0))</f>
        <v/>
      </c>
      <c r="E322" t="str">
        <f>+IFERROR(VLOOKUP(Fact_Cumplimiento[[#This Row], [Concepto Anterior]],Conceptos_Cumplimiento[#All],5,0),"")</f>
        <v/>
      </c>
      <c r="F322" t="str">
        <f>+IFERROR(VLOOKUP(Fact_Cumplimiento[[#This Row], 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ht="18.75" customHeight="1" x14ac:dyDescent="0.35">
      <c r="C323" s="100" t="str">
        <f>IF(OR(Fact_Cumplimiento[[#This Row], [Año]]="",Fact_Cumplimiento[[#This Row], [Mes]]=""),"",DATE(A323,MATCH(B323,{"enero","febrero","marzo","abril","mayo","junio","julio","agosto","septiembre","octubre","noviembre","diciembre"},0)+1,0))</f>
        <v/>
      </c>
      <c r="E323" t="str">
        <f>+IFERROR(VLOOKUP(Fact_Cumplimiento[[#This Row], [Concepto Anterior]],Conceptos_Cumplimiento[#All],5,0),"")</f>
        <v/>
      </c>
      <c r="F323" t="str">
        <f>+IFERROR(VLOOKUP(Fact_Cumplimiento[[#This Row], 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ht="18.75" customHeight="1" x14ac:dyDescent="0.35">
      <c r="C324" s="100" t="str">
        <f>IF(OR(Fact_Cumplimiento[[#This Row], [Año]]="",Fact_Cumplimiento[[#This Row], [Mes]]=""),"",DATE(A324,MATCH(B324,{"enero","febrero","marzo","abril","mayo","junio","julio","agosto","septiembre","octubre","noviembre","diciembre"},0)+1,0))</f>
        <v/>
      </c>
      <c r="E324" t="str">
        <f>+IFERROR(VLOOKUP(Fact_Cumplimiento[[#This Row], [Concepto Anterior]],Conceptos_Cumplimiento[#All],5,0),"")</f>
        <v/>
      </c>
      <c r="F324" t="str">
        <f>+IFERROR(VLOOKUP(Fact_Cumplimiento[[#This Row], 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ht="18.75" customHeight="1" x14ac:dyDescent="0.35">
      <c r="C325" s="100" t="str">
        <f>IF(OR(Fact_Cumplimiento[[#This Row], [Año]]="",Fact_Cumplimiento[[#This Row], [Mes]]=""),"",DATE(A325,MATCH(B325,{"enero","febrero","marzo","abril","mayo","junio","julio","agosto","septiembre","octubre","noviembre","diciembre"},0)+1,0))</f>
        <v/>
      </c>
      <c r="E325" t="str">
        <f>+IFERROR(VLOOKUP(Fact_Cumplimiento[[#This Row], [Concepto Anterior]],Conceptos_Cumplimiento[#All],5,0),"")</f>
        <v/>
      </c>
      <c r="F325" t="str">
        <f>+IFERROR(VLOOKUP(Fact_Cumplimiento[[#This Row], 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ht="18.75" customHeight="1" x14ac:dyDescent="0.35">
      <c r="C326" s="100" t="str">
        <f>IF(OR(Fact_Cumplimiento[[#This Row], [Año]]="",Fact_Cumplimiento[[#This Row], [Mes]]=""),"",DATE(A326,MATCH(B326,{"enero","febrero","marzo","abril","mayo","junio","julio","agosto","septiembre","octubre","noviembre","diciembre"},0)+1,0))</f>
        <v/>
      </c>
      <c r="E326" t="str">
        <f>+IFERROR(VLOOKUP(Fact_Cumplimiento[[#This Row], [Concepto Anterior]],Conceptos_Cumplimiento[#All],5,0),"")</f>
        <v/>
      </c>
      <c r="F326" t="str">
        <f>+IFERROR(VLOOKUP(Fact_Cumplimiento[[#This Row], 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ht="18.75" customHeight="1" x14ac:dyDescent="0.35">
      <c r="C327" s="100" t="str">
        <f>IF(OR(Fact_Cumplimiento[[#This Row], [Año]]="",Fact_Cumplimiento[[#This Row], [Mes]]=""),"",DATE(A327,MATCH(B327,{"enero","febrero","marzo","abril","mayo","junio","julio","agosto","septiembre","octubre","noviembre","diciembre"},0)+1,0))</f>
        <v/>
      </c>
      <c r="E327" t="str">
        <f>+IFERROR(VLOOKUP(Fact_Cumplimiento[[#This Row], [Concepto Anterior]],Conceptos_Cumplimiento[#All],5,0),"")</f>
        <v/>
      </c>
      <c r="F327" t="str">
        <f>+IFERROR(VLOOKUP(Fact_Cumplimiento[[#This Row], 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ht="18.75" customHeight="1" x14ac:dyDescent="0.35">
      <c r="C328" s="100" t="str">
        <f>IF(OR(Fact_Cumplimiento[[#This Row], [Año]]="",Fact_Cumplimiento[[#This Row], [Mes]]=""),"",DATE(A328,MATCH(B328,{"enero","febrero","marzo","abril","mayo","junio","julio","agosto","septiembre","octubre","noviembre","diciembre"},0)+1,0))</f>
        <v/>
      </c>
      <c r="E328" t="str">
        <f>+IFERROR(VLOOKUP(Fact_Cumplimiento[[#This Row], [Concepto Anterior]],Conceptos_Cumplimiento[#All],5,0),"")</f>
        <v/>
      </c>
      <c r="F328" t="str">
        <f>+IFERROR(VLOOKUP(Fact_Cumplimiento[[#This Row], 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ht="18.75" customHeight="1" x14ac:dyDescent="0.35">
      <c r="C329" s="100" t="str">
        <f>IF(OR(Fact_Cumplimiento[[#This Row], [Año]]="",Fact_Cumplimiento[[#This Row], [Mes]]=""),"",DATE(A329,MATCH(B329,{"enero","febrero","marzo","abril","mayo","junio","julio","agosto","septiembre","octubre","noviembre","diciembre"},0)+1,0))</f>
        <v/>
      </c>
      <c r="E329" t="str">
        <f>+IFERROR(VLOOKUP(Fact_Cumplimiento[[#This Row], [Concepto Anterior]],Conceptos_Cumplimiento[#All],5,0),"")</f>
        <v/>
      </c>
      <c r="F329" t="str">
        <f>+IFERROR(VLOOKUP(Fact_Cumplimiento[[#This Row], 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ht="18.75" customHeight="1" x14ac:dyDescent="0.35">
      <c r="C330" s="100" t="str">
        <f>IF(OR(Fact_Cumplimiento[[#This Row], [Año]]="",Fact_Cumplimiento[[#This Row], [Mes]]=""),"",DATE(A330,MATCH(B330,{"enero","febrero","marzo","abril","mayo","junio","julio","agosto","septiembre","octubre","noviembre","diciembre"},0)+1,0))</f>
        <v/>
      </c>
      <c r="E330" t="str">
        <f>+IFERROR(VLOOKUP(Fact_Cumplimiento[[#This Row], [Concepto Anterior]],Conceptos_Cumplimiento[#All],5,0),"")</f>
        <v/>
      </c>
      <c r="F330" t="str">
        <f>+IFERROR(VLOOKUP(Fact_Cumplimiento[[#This Row], 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ht="18.75" customHeight="1" x14ac:dyDescent="0.35">
      <c r="C331" s="100" t="str">
        <f>IF(OR(Fact_Cumplimiento[[#This Row], [Año]]="",Fact_Cumplimiento[[#This Row], [Mes]]=""),"",DATE(A331,MATCH(B331,{"enero","febrero","marzo","abril","mayo","junio","julio","agosto","septiembre","octubre","noviembre","diciembre"},0)+1,0))</f>
        <v/>
      </c>
      <c r="E331" t="str">
        <f>+IFERROR(VLOOKUP(Fact_Cumplimiento[[#This Row], [Concepto Anterior]],Conceptos_Cumplimiento[#All],5,0),"")</f>
        <v/>
      </c>
      <c r="F331" t="str">
        <f>+IFERROR(VLOOKUP(Fact_Cumplimiento[[#This Row], 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ht="18.75" customHeight="1" x14ac:dyDescent="0.35">
      <c r="C332" s="100" t="str">
        <f>IF(OR(Fact_Cumplimiento[[#This Row], [Año]]="",Fact_Cumplimiento[[#This Row], [Mes]]=""),"",DATE(A332,MATCH(B332,{"enero","febrero","marzo","abril","mayo","junio","julio","agosto","septiembre","octubre","noviembre","diciembre"},0)+1,0))</f>
        <v/>
      </c>
      <c r="E332" t="str">
        <f>+IFERROR(VLOOKUP(Fact_Cumplimiento[[#This Row], [Concepto Anterior]],Conceptos_Cumplimiento[#All],5,0),"")</f>
        <v/>
      </c>
      <c r="F332" t="str">
        <f>+IFERROR(VLOOKUP(Fact_Cumplimiento[[#This Row], 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ht="18.75" customHeight="1" x14ac:dyDescent="0.35">
      <c r="C333" s="100" t="str">
        <f>IF(OR(Fact_Cumplimiento[[#This Row], [Año]]="",Fact_Cumplimiento[[#This Row], [Mes]]=""),"",DATE(A333,MATCH(B333,{"enero","febrero","marzo","abril","mayo","junio","julio","agosto","septiembre","octubre","noviembre","diciembre"},0)+1,0))</f>
        <v/>
      </c>
      <c r="E333" t="str">
        <f>+IFERROR(VLOOKUP(Fact_Cumplimiento[[#This Row], [Concepto Anterior]],Conceptos_Cumplimiento[#All],5,0),"")</f>
        <v/>
      </c>
      <c r="F333" t="str">
        <f>+IFERROR(VLOOKUP(Fact_Cumplimiento[[#This Row], 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ht="18.75" customHeight="1" x14ac:dyDescent="0.35">
      <c r="C334" s="100" t="str">
        <f>IF(OR(Fact_Cumplimiento[[#This Row], [Año]]="",Fact_Cumplimiento[[#This Row], [Mes]]=""),"",DATE(A334,MATCH(B334,{"enero","febrero","marzo","abril","mayo","junio","julio","agosto","septiembre","octubre","noviembre","diciembre"},0)+1,0))</f>
        <v/>
      </c>
      <c r="E334" t="str">
        <f>+IFERROR(VLOOKUP(Fact_Cumplimiento[[#This Row], [Concepto Anterior]],Conceptos_Cumplimiento[#All],5,0),"")</f>
        <v/>
      </c>
      <c r="F334" t="str">
        <f>+IFERROR(VLOOKUP(Fact_Cumplimiento[[#This Row], 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ht="18.75" customHeight="1" x14ac:dyDescent="0.35">
      <c r="C335" s="100" t="str">
        <f>IF(OR(Fact_Cumplimiento[[#This Row], [Año]]="",Fact_Cumplimiento[[#This Row], [Mes]]=""),"",DATE(A335,MATCH(B335,{"enero","febrero","marzo","abril","mayo","junio","julio","agosto","septiembre","octubre","noviembre","diciembre"},0)+1,0))</f>
        <v/>
      </c>
      <c r="E335" t="str">
        <f>+IFERROR(VLOOKUP(Fact_Cumplimiento[[#This Row], [Concepto Anterior]],Conceptos_Cumplimiento[#All],5,0),"")</f>
        <v/>
      </c>
      <c r="F335" t="str">
        <f>+IFERROR(VLOOKUP(Fact_Cumplimiento[[#This Row], 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ht="18.75" customHeight="1" x14ac:dyDescent="0.35">
      <c r="C336" s="100" t="str">
        <f>IF(OR(Fact_Cumplimiento[[#This Row], [Año]]="",Fact_Cumplimiento[[#This Row], [Mes]]=""),"",DATE(A336,MATCH(B336,{"enero","febrero","marzo","abril","mayo","junio","julio","agosto","septiembre","octubre","noviembre","diciembre"},0)+1,0))</f>
        <v/>
      </c>
      <c r="E336" t="str">
        <f>+IFERROR(VLOOKUP(Fact_Cumplimiento[[#This Row], [Concepto Anterior]],Conceptos_Cumplimiento[#All],5,0),"")</f>
        <v/>
      </c>
      <c r="F336" t="str">
        <f>+IFERROR(VLOOKUP(Fact_Cumplimiento[[#This Row], 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ht="18.75" customHeight="1" x14ac:dyDescent="0.35">
      <c r="C337" s="100" t="str">
        <f>IF(OR(Fact_Cumplimiento[[#This Row], [Año]]="",Fact_Cumplimiento[[#This Row], [Mes]]=""),"",DATE(A337,MATCH(B337,{"enero","febrero","marzo","abril","mayo","junio","julio","agosto","septiembre","octubre","noviembre","diciembre"},0)+1,0))</f>
        <v/>
      </c>
      <c r="E337" t="str">
        <f>+IFERROR(VLOOKUP(Fact_Cumplimiento[[#This Row], [Concepto Anterior]],Conceptos_Cumplimiento[#All],5,0),"")</f>
        <v/>
      </c>
      <c r="F337" t="str">
        <f>+IFERROR(VLOOKUP(Fact_Cumplimiento[[#This Row], 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ht="18.75" customHeight="1" x14ac:dyDescent="0.35">
      <c r="C338" s="100" t="str">
        <f>IF(OR(Fact_Cumplimiento[[#This Row], [Año]]="",Fact_Cumplimiento[[#This Row], [Mes]]=""),"",DATE(A338,MATCH(B338,{"enero","febrero","marzo","abril","mayo","junio","julio","agosto","septiembre","octubre","noviembre","diciembre"},0)+1,0))</f>
        <v/>
      </c>
      <c r="E338" t="str">
        <f>+IFERROR(VLOOKUP(Fact_Cumplimiento[[#This Row], [Concepto Anterior]],Conceptos_Cumplimiento[#All],5,0),"")</f>
        <v/>
      </c>
      <c r="F338" t="str">
        <f>+IFERROR(VLOOKUP(Fact_Cumplimiento[[#This Row], 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ht="18.75" customHeight="1" x14ac:dyDescent="0.35">
      <c r="C339" s="100" t="str">
        <f>IF(OR(Fact_Cumplimiento[[#This Row], [Año]]="",Fact_Cumplimiento[[#This Row], [Mes]]=""),"",DATE(A339,MATCH(B339,{"enero","febrero","marzo","abril","mayo","junio","julio","agosto","septiembre","octubre","noviembre","diciembre"},0)+1,0))</f>
        <v/>
      </c>
      <c r="E339" t="str">
        <f>+IFERROR(VLOOKUP(Fact_Cumplimiento[[#This Row], [Concepto Anterior]],Conceptos_Cumplimiento[#All],5,0),"")</f>
        <v/>
      </c>
      <c r="F339" t="str">
        <f>+IFERROR(VLOOKUP(Fact_Cumplimiento[[#This Row], 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ht="18.75" customHeight="1" x14ac:dyDescent="0.35">
      <c r="C340" s="100" t="str">
        <f>IF(OR(Fact_Cumplimiento[[#This Row], [Año]]="",Fact_Cumplimiento[[#This Row], [Mes]]=""),"",DATE(A340,MATCH(B340,{"enero","febrero","marzo","abril","mayo","junio","julio","agosto","septiembre","octubre","noviembre","diciembre"},0)+1,0))</f>
        <v/>
      </c>
      <c r="E340" t="str">
        <f>+IFERROR(VLOOKUP(Fact_Cumplimiento[[#This Row], [Concepto Anterior]],Conceptos_Cumplimiento[#All],5,0),"")</f>
        <v/>
      </c>
      <c r="F340" t="str">
        <f>+IFERROR(VLOOKUP(Fact_Cumplimiento[[#This Row], 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ht="18.75" customHeight="1" x14ac:dyDescent="0.35">
      <c r="C341" s="100" t="str">
        <f>IF(OR(Fact_Cumplimiento[[#This Row], [Año]]="",Fact_Cumplimiento[[#This Row], [Mes]]=""),"",DATE(A341,MATCH(B341,{"enero","febrero","marzo","abril","mayo","junio","julio","agosto","septiembre","octubre","noviembre","diciembre"},0)+1,0))</f>
        <v/>
      </c>
      <c r="E341" t="str">
        <f>+IFERROR(VLOOKUP(Fact_Cumplimiento[[#This Row], [Concepto Anterior]],Conceptos_Cumplimiento[#All],5,0),"")</f>
        <v/>
      </c>
      <c r="F341" t="str">
        <f>+IFERROR(VLOOKUP(Fact_Cumplimiento[[#This Row], 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ht="18.75" customHeight="1" x14ac:dyDescent="0.35">
      <c r="C342" s="100" t="str">
        <f>IF(OR(Fact_Cumplimiento[[#This Row], [Año]]="",Fact_Cumplimiento[[#This Row], [Mes]]=""),"",DATE(A342,MATCH(B342,{"enero","febrero","marzo","abril","mayo","junio","julio","agosto","septiembre","octubre","noviembre","diciembre"},0)+1,0))</f>
        <v/>
      </c>
      <c r="E342" t="str">
        <f>+IFERROR(VLOOKUP(Fact_Cumplimiento[[#This Row], [Concepto Anterior]],Conceptos_Cumplimiento[#All],5,0),"")</f>
        <v/>
      </c>
      <c r="F342" t="str">
        <f>+IFERROR(VLOOKUP(Fact_Cumplimiento[[#This Row], 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ht="18.75" customHeight="1" x14ac:dyDescent="0.35">
      <c r="C343" s="100" t="str">
        <f>IF(OR(Fact_Cumplimiento[[#This Row], [Año]]="",Fact_Cumplimiento[[#This Row], [Mes]]=""),"",DATE(A343,MATCH(B343,{"enero","febrero","marzo","abril","mayo","junio","julio","agosto","septiembre","octubre","noviembre","diciembre"},0)+1,0))</f>
        <v/>
      </c>
      <c r="E343" t="str">
        <f>+IFERROR(VLOOKUP(Fact_Cumplimiento[[#This Row], [Concepto Anterior]],Conceptos_Cumplimiento[#All],5,0),"")</f>
        <v/>
      </c>
      <c r="F343" t="str">
        <f>+IFERROR(VLOOKUP(Fact_Cumplimiento[[#This Row], 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ht="18.75" customHeight="1" x14ac:dyDescent="0.35">
      <c r="C344" s="100" t="str">
        <f>IF(OR(Fact_Cumplimiento[[#This Row], [Año]]="",Fact_Cumplimiento[[#This Row], [Mes]]=""),"",DATE(A344,MATCH(B344,{"enero","febrero","marzo","abril","mayo","junio","julio","agosto","septiembre","octubre","noviembre","diciembre"},0)+1,0))</f>
        <v/>
      </c>
      <c r="E344" t="str">
        <f>+IFERROR(VLOOKUP(Fact_Cumplimiento[[#This Row], [Concepto Anterior]],Conceptos_Cumplimiento[#All],5,0),"")</f>
        <v/>
      </c>
      <c r="F344" t="str">
        <f>+IFERROR(VLOOKUP(Fact_Cumplimiento[[#This Row], 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ht="18.75" customHeight="1" x14ac:dyDescent="0.35">
      <c r="C345" s="100" t="str">
        <f>IF(OR(Fact_Cumplimiento[[#This Row], [Año]]="",Fact_Cumplimiento[[#This Row], [Mes]]=""),"",DATE(A345,MATCH(B345,{"enero","febrero","marzo","abril","mayo","junio","julio","agosto","septiembre","octubre","noviembre","diciembre"},0)+1,0))</f>
        <v/>
      </c>
      <c r="E345" t="str">
        <f>+IFERROR(VLOOKUP(Fact_Cumplimiento[[#This Row], [Concepto Anterior]],Conceptos_Cumplimiento[#All],5,0),"")</f>
        <v/>
      </c>
      <c r="F345" t="str">
        <f>+IFERROR(VLOOKUP(Fact_Cumplimiento[[#This Row], 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ht="18.75" customHeight="1" x14ac:dyDescent="0.35">
      <c r="C346" s="100" t="str">
        <f>IF(OR(Fact_Cumplimiento[[#This Row], [Año]]="",Fact_Cumplimiento[[#This Row], [Mes]]=""),"",DATE(A346,MATCH(B346,{"enero","febrero","marzo","abril","mayo","junio","julio","agosto","septiembre","octubre","noviembre","diciembre"},0)+1,0))</f>
        <v/>
      </c>
      <c r="E346" t="str">
        <f>+IFERROR(VLOOKUP(Fact_Cumplimiento[[#This Row], [Concepto Anterior]],Conceptos_Cumplimiento[#All],5,0),"")</f>
        <v/>
      </c>
      <c r="F346" t="str">
        <f>+IFERROR(VLOOKUP(Fact_Cumplimiento[[#This Row], 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ht="18.75" customHeight="1" x14ac:dyDescent="0.35">
      <c r="C347" s="100" t="str">
        <f>IF(OR(Fact_Cumplimiento[[#This Row], [Año]]="",Fact_Cumplimiento[[#This Row], [Mes]]=""),"",DATE(A347,MATCH(B347,{"enero","febrero","marzo","abril","mayo","junio","julio","agosto","septiembre","octubre","noviembre","diciembre"},0)+1,0))</f>
        <v/>
      </c>
      <c r="E347" t="str">
        <f>+IFERROR(VLOOKUP(Fact_Cumplimiento[[#This Row], [Concepto Anterior]],Conceptos_Cumplimiento[#All],5,0),"")</f>
        <v/>
      </c>
      <c r="F347" t="str">
        <f>+IFERROR(VLOOKUP(Fact_Cumplimiento[[#This Row], 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ht="18.75" customHeight="1" x14ac:dyDescent="0.35">
      <c r="C348" s="100" t="str">
        <f>IF(OR(Fact_Cumplimiento[[#This Row], [Año]]="",Fact_Cumplimiento[[#This Row], [Mes]]=""),"",DATE(A348,MATCH(B348,{"enero","febrero","marzo","abril","mayo","junio","julio","agosto","septiembre","octubre","noviembre","diciembre"},0)+1,0))</f>
        <v/>
      </c>
      <c r="E348" t="str">
        <f>+IFERROR(VLOOKUP(Fact_Cumplimiento[[#This Row], [Concepto Anterior]],Conceptos_Cumplimiento[#All],5,0),"")</f>
        <v/>
      </c>
      <c r="F348" t="str">
        <f>+IFERROR(VLOOKUP(Fact_Cumplimiento[[#This Row], 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ht="18.75" customHeight="1" x14ac:dyDescent="0.35">
      <c r="C349" s="100" t="str">
        <f>IF(OR(Fact_Cumplimiento[[#This Row], [Año]]="",Fact_Cumplimiento[[#This Row], [Mes]]=""),"",DATE(A349,MATCH(B349,{"enero","febrero","marzo","abril","mayo","junio","julio","agosto","septiembre","octubre","noviembre","diciembre"},0)+1,0))</f>
        <v/>
      </c>
      <c r="E349" t="str">
        <f>+IFERROR(VLOOKUP(Fact_Cumplimiento[[#This Row], [Concepto Anterior]],Conceptos_Cumplimiento[#All],5,0),"")</f>
        <v/>
      </c>
      <c r="F349" t="str">
        <f>+IFERROR(VLOOKUP(Fact_Cumplimiento[[#This Row], 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ht="18.75" customHeight="1" x14ac:dyDescent="0.35">
      <c r="C350" s="100" t="str">
        <f>IF(OR(Fact_Cumplimiento[[#This Row], [Año]]="",Fact_Cumplimiento[[#This Row], [Mes]]=""),"",DATE(A350,MATCH(B350,{"enero","febrero","marzo","abril","mayo","junio","julio","agosto","septiembre","octubre","noviembre","diciembre"},0)+1,0))</f>
        <v/>
      </c>
      <c r="E350" t="str">
        <f>+IFERROR(VLOOKUP(Fact_Cumplimiento[[#This Row], [Concepto Anterior]],Conceptos_Cumplimiento[#All],5,0),"")</f>
        <v/>
      </c>
      <c r="F350" t="str">
        <f>+IFERROR(VLOOKUP(Fact_Cumplimiento[[#This Row], 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ht="18.75" customHeight="1" x14ac:dyDescent="0.35">
      <c r="C351" s="100" t="str">
        <f>IF(OR(Fact_Cumplimiento[[#This Row], [Año]]="",Fact_Cumplimiento[[#This Row], [Mes]]=""),"",DATE(A351,MATCH(B351,{"enero","febrero","marzo","abril","mayo","junio","julio","agosto","septiembre","octubre","noviembre","diciembre"},0)+1,0))</f>
        <v/>
      </c>
      <c r="E351" t="str">
        <f>+IFERROR(VLOOKUP(Fact_Cumplimiento[[#This Row], [Concepto Anterior]],Conceptos_Cumplimiento[#All],5,0),"")</f>
        <v/>
      </c>
      <c r="F351" t="str">
        <f>+IFERROR(VLOOKUP(Fact_Cumplimiento[[#This Row], 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ht="18.75" customHeight="1" x14ac:dyDescent="0.35">
      <c r="C352" s="100" t="str">
        <f>IF(OR(Fact_Cumplimiento[[#This Row], [Año]]="",Fact_Cumplimiento[[#This Row], [Mes]]=""),"",DATE(A352,MATCH(B352,{"enero","febrero","marzo","abril","mayo","junio","julio","agosto","septiembre","octubre","noviembre","diciembre"},0)+1,0))</f>
        <v/>
      </c>
      <c r="E352" t="str">
        <f>+IFERROR(VLOOKUP(Fact_Cumplimiento[[#This Row], [Concepto Anterior]],Conceptos_Cumplimiento[#All],5,0),"")</f>
        <v/>
      </c>
      <c r="F352" t="str">
        <f>+IFERROR(VLOOKUP(Fact_Cumplimiento[[#This Row], 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ht="18.75" customHeight="1" x14ac:dyDescent="0.35">
      <c r="C353" s="100" t="str">
        <f>IF(OR(Fact_Cumplimiento[[#This Row], [Año]]="",Fact_Cumplimiento[[#This Row], [Mes]]=""),"",DATE(A353,MATCH(B353,{"enero","febrero","marzo","abril","mayo","junio","julio","agosto","septiembre","octubre","noviembre","diciembre"},0)+1,0))</f>
        <v/>
      </c>
      <c r="E353" t="str">
        <f>+IFERROR(VLOOKUP(Fact_Cumplimiento[[#This Row], [Concepto Anterior]],Conceptos_Cumplimiento[#All],5,0),"")</f>
        <v/>
      </c>
      <c r="F353" t="str">
        <f>+IFERROR(VLOOKUP(Fact_Cumplimiento[[#This Row], 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ht="18.75" customHeight="1" x14ac:dyDescent="0.35">
      <c r="C354" s="100" t="str">
        <f>IF(OR(Fact_Cumplimiento[[#This Row], [Año]]="",Fact_Cumplimiento[[#This Row], [Mes]]=""),"",DATE(A354,MATCH(B354,{"enero","febrero","marzo","abril","mayo","junio","julio","agosto","septiembre","octubre","noviembre","diciembre"},0)+1,0))</f>
        <v/>
      </c>
      <c r="E354" t="str">
        <f>+IFERROR(VLOOKUP(Fact_Cumplimiento[[#This Row], [Concepto Anterior]],Conceptos_Cumplimiento[#All],5,0),"")</f>
        <v/>
      </c>
      <c r="F354" t="str">
        <f>+IFERROR(VLOOKUP(Fact_Cumplimiento[[#This Row], 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ht="18.75" customHeight="1" x14ac:dyDescent="0.35">
      <c r="C355" s="100" t="str">
        <f>IF(OR(Fact_Cumplimiento[[#This Row], [Año]]="",Fact_Cumplimiento[[#This Row], [Mes]]=""),"",DATE(A355,MATCH(B355,{"enero","febrero","marzo","abril","mayo","junio","julio","agosto","septiembre","octubre","noviembre","diciembre"},0)+1,0))</f>
        <v/>
      </c>
      <c r="E355" t="str">
        <f>+IFERROR(VLOOKUP(Fact_Cumplimiento[[#This Row], [Concepto Anterior]],Conceptos_Cumplimiento[#All],5,0),"")</f>
        <v/>
      </c>
      <c r="F355" t="str">
        <f>+IFERROR(VLOOKUP(Fact_Cumplimiento[[#This Row], 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ht="18.75" customHeight="1" x14ac:dyDescent="0.35">
      <c r="C356" s="100" t="str">
        <f>IF(OR(Fact_Cumplimiento[[#This Row], [Año]]="",Fact_Cumplimiento[[#This Row], [Mes]]=""),"",DATE(A356,MATCH(B356,{"enero","febrero","marzo","abril","mayo","junio","julio","agosto","septiembre","octubre","noviembre","diciembre"},0)+1,0))</f>
        <v/>
      </c>
      <c r="E356" t="str">
        <f>+IFERROR(VLOOKUP(Fact_Cumplimiento[[#This Row], [Concepto Anterior]],Conceptos_Cumplimiento[#All],5,0),"")</f>
        <v/>
      </c>
      <c r="F356" t="str">
        <f>+IFERROR(VLOOKUP(Fact_Cumplimiento[[#This Row], 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ht="18.75" customHeight="1" x14ac:dyDescent="0.35">
      <c r="C357" s="100" t="str">
        <f>IF(OR(Fact_Cumplimiento[[#This Row], [Año]]="",Fact_Cumplimiento[[#This Row], [Mes]]=""),"",DATE(A357,MATCH(B357,{"enero","febrero","marzo","abril","mayo","junio","julio","agosto","septiembre","octubre","noviembre","diciembre"},0)+1,0))</f>
        <v/>
      </c>
      <c r="E357" t="str">
        <f>+IFERROR(VLOOKUP(Fact_Cumplimiento[[#This Row], [Concepto Anterior]],Conceptos_Cumplimiento[#All],5,0),"")</f>
        <v/>
      </c>
      <c r="F357" t="str">
        <f>+IFERROR(VLOOKUP(Fact_Cumplimiento[[#This Row], 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ht="18.75" customHeight="1" x14ac:dyDescent="0.35">
      <c r="C358" s="100" t="str">
        <f>IF(OR(Fact_Cumplimiento[[#This Row], [Año]]="",Fact_Cumplimiento[[#This Row], [Mes]]=""),"",DATE(A358,MATCH(B358,{"enero","febrero","marzo","abril","mayo","junio","julio","agosto","septiembre","octubre","noviembre","diciembre"},0)+1,0))</f>
        <v/>
      </c>
      <c r="E358" t="str">
        <f>+IFERROR(VLOOKUP(Fact_Cumplimiento[[#This Row], [Concepto Anterior]],Conceptos_Cumplimiento[#All],5,0),"")</f>
        <v/>
      </c>
      <c r="F358" t="str">
        <f>+IFERROR(VLOOKUP(Fact_Cumplimiento[[#This Row], 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ht="18.75" customHeight="1" x14ac:dyDescent="0.35">
      <c r="C359" s="100" t="str">
        <f>IF(OR(Fact_Cumplimiento[[#This Row], [Año]]="",Fact_Cumplimiento[[#This Row], [Mes]]=""),"",DATE(A359,MATCH(B359,{"enero","febrero","marzo","abril","mayo","junio","julio","agosto","septiembre","octubre","noviembre","diciembre"},0)+1,0))</f>
        <v/>
      </c>
      <c r="E359" t="str">
        <f>+IFERROR(VLOOKUP(Fact_Cumplimiento[[#This Row], [Concepto Anterior]],Conceptos_Cumplimiento[#All],5,0),"")</f>
        <v/>
      </c>
      <c r="F359" t="str">
        <f>+IFERROR(VLOOKUP(Fact_Cumplimiento[[#This Row], 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ht="18.75" customHeight="1" x14ac:dyDescent="0.35">
      <c r="C360" s="100" t="str">
        <f>IF(OR(Fact_Cumplimiento[[#This Row], [Año]]="",Fact_Cumplimiento[[#This Row], [Mes]]=""),"",DATE(A360,MATCH(B360,{"enero","febrero","marzo","abril","mayo","junio","julio","agosto","septiembre","octubre","noviembre","diciembre"},0)+1,0))</f>
        <v/>
      </c>
      <c r="E360" t="str">
        <f>+IFERROR(VLOOKUP(Fact_Cumplimiento[[#This Row], [Concepto Anterior]],Conceptos_Cumplimiento[#All],5,0),"")</f>
        <v/>
      </c>
      <c r="F360" t="str">
        <f>+IFERROR(VLOOKUP(Fact_Cumplimiento[[#This Row], 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ht="18.75" customHeight="1" x14ac:dyDescent="0.35">
      <c r="C361" s="100" t="str">
        <f>IF(OR(Fact_Cumplimiento[[#This Row], [Año]]="",Fact_Cumplimiento[[#This Row], [Mes]]=""),"",DATE(A361,MATCH(B361,{"enero","febrero","marzo","abril","mayo","junio","julio","agosto","septiembre","octubre","noviembre","diciembre"},0)+1,0))</f>
        <v/>
      </c>
      <c r="E361" t="str">
        <f>+IFERROR(VLOOKUP(Fact_Cumplimiento[[#This Row], [Concepto Anterior]],Conceptos_Cumplimiento[#All],5,0),"")</f>
        <v/>
      </c>
      <c r="F361" t="str">
        <f>+IFERROR(VLOOKUP(Fact_Cumplimiento[[#This Row], 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ht="18.75" customHeight="1" x14ac:dyDescent="0.35">
      <c r="C362" s="100" t="str">
        <f>IF(OR(Fact_Cumplimiento[[#This Row], [Año]]="",Fact_Cumplimiento[[#This Row], [Mes]]=""),"",DATE(A362,MATCH(B362,{"enero","febrero","marzo","abril","mayo","junio","julio","agosto","septiembre","octubre","noviembre","diciembre"},0)+1,0))</f>
        <v/>
      </c>
      <c r="E362" t="str">
        <f>+IFERROR(VLOOKUP(Fact_Cumplimiento[[#This Row], [Concepto Anterior]],Conceptos_Cumplimiento[#All],5,0),"")</f>
        <v/>
      </c>
      <c r="F362" t="str">
        <f>+IFERROR(VLOOKUP(Fact_Cumplimiento[[#This Row], 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ht="18.75" customHeight="1" x14ac:dyDescent="0.35">
      <c r="C363" s="100" t="str">
        <f>IF(OR(Fact_Cumplimiento[[#This Row], [Año]]="",Fact_Cumplimiento[[#This Row], [Mes]]=""),"",DATE(A363,MATCH(B363,{"enero","febrero","marzo","abril","mayo","junio","julio","agosto","septiembre","octubre","noviembre","diciembre"},0)+1,0))</f>
        <v/>
      </c>
      <c r="E363" t="str">
        <f>+IFERROR(VLOOKUP(Fact_Cumplimiento[[#This Row], [Concepto Anterior]],Conceptos_Cumplimiento[#All],5,0),"")</f>
        <v/>
      </c>
      <c r="F363" t="str">
        <f>+IFERROR(VLOOKUP(Fact_Cumplimiento[[#This Row], 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ht="18.75" customHeight="1" x14ac:dyDescent="0.35">
      <c r="C364" s="100" t="str">
        <f>IF(OR(Fact_Cumplimiento[[#This Row], [Año]]="",Fact_Cumplimiento[[#This Row], [Mes]]=""),"",DATE(A364,MATCH(B364,{"enero","febrero","marzo","abril","mayo","junio","julio","agosto","septiembre","octubre","noviembre","diciembre"},0)+1,0))</f>
        <v/>
      </c>
      <c r="E364" t="str">
        <f>+IFERROR(VLOOKUP(Fact_Cumplimiento[[#This Row], [Concepto Anterior]],Conceptos_Cumplimiento[#All],5,0),"")</f>
        <v/>
      </c>
      <c r="F364" t="str">
        <f>+IFERROR(VLOOKUP(Fact_Cumplimiento[[#This Row], 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ht="18.75" customHeight="1" x14ac:dyDescent="0.35">
      <c r="C365" s="100" t="str">
        <f>IF(OR(Fact_Cumplimiento[[#This Row], [Año]]="",Fact_Cumplimiento[[#This Row], [Mes]]=""),"",DATE(A365,MATCH(B365,{"enero","febrero","marzo","abril","mayo","junio","julio","agosto","septiembre","octubre","noviembre","diciembre"},0)+1,0))</f>
        <v/>
      </c>
      <c r="E365" t="str">
        <f>+IFERROR(VLOOKUP(Fact_Cumplimiento[[#This Row], [Concepto Anterior]],Conceptos_Cumplimiento[#All],5,0),"")</f>
        <v/>
      </c>
      <c r="F365" t="str">
        <f>+IFERROR(VLOOKUP(Fact_Cumplimiento[[#This Row], 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ht="18.75" customHeight="1" x14ac:dyDescent="0.35">
      <c r="C366" s="100" t="str">
        <f>IF(OR(Fact_Cumplimiento[[#This Row], [Año]]="",Fact_Cumplimiento[[#This Row], [Mes]]=""),"",DATE(A366,MATCH(B366,{"enero","febrero","marzo","abril","mayo","junio","julio","agosto","septiembre","octubre","noviembre","diciembre"},0)+1,0))</f>
        <v/>
      </c>
      <c r="E366" t="str">
        <f>+IFERROR(VLOOKUP(Fact_Cumplimiento[[#This Row], [Concepto Anterior]],Conceptos_Cumplimiento[#All],5,0),"")</f>
        <v/>
      </c>
      <c r="F366" t="str">
        <f>+IFERROR(VLOOKUP(Fact_Cumplimiento[[#This Row], 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ht="18.75" customHeight="1" x14ac:dyDescent="0.35">
      <c r="C367" s="100" t="str">
        <f>IF(OR(Fact_Cumplimiento[[#This Row], [Año]]="",Fact_Cumplimiento[[#This Row], [Mes]]=""),"",DATE(A367,MATCH(B367,{"enero","febrero","marzo","abril","mayo","junio","julio","agosto","septiembre","octubre","noviembre","diciembre"},0)+1,0))</f>
        <v/>
      </c>
      <c r="E367" t="str">
        <f>+IFERROR(VLOOKUP(Fact_Cumplimiento[[#This Row], [Concepto Anterior]],Conceptos_Cumplimiento[#All],5,0),"")</f>
        <v/>
      </c>
      <c r="F367" t="str">
        <f>+IFERROR(VLOOKUP(Fact_Cumplimiento[[#This Row], 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ht="18.75" customHeight="1" x14ac:dyDescent="0.35">
      <c r="C368" s="100" t="str">
        <f>IF(OR(Fact_Cumplimiento[[#This Row], [Año]]="",Fact_Cumplimiento[[#This Row], [Mes]]=""),"",DATE(A368,MATCH(B368,{"enero","febrero","marzo","abril","mayo","junio","julio","agosto","septiembre","octubre","noviembre","diciembre"},0)+1,0))</f>
        <v/>
      </c>
      <c r="E368" t="str">
        <f>+IFERROR(VLOOKUP(Fact_Cumplimiento[[#This Row], [Concepto Anterior]],Conceptos_Cumplimiento[#All],5,0),"")</f>
        <v/>
      </c>
      <c r="F368" t="str">
        <f>+IFERROR(VLOOKUP(Fact_Cumplimiento[[#This Row], 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ht="18.75" customHeight="1" x14ac:dyDescent="0.35">
      <c r="C369" s="100" t="str">
        <f>IF(OR(Fact_Cumplimiento[[#This Row], [Año]]="",Fact_Cumplimiento[[#This Row], [Mes]]=""),"",DATE(A369,MATCH(B369,{"enero","febrero","marzo","abril","mayo","junio","julio","agosto","septiembre","octubre","noviembre","diciembre"},0)+1,0))</f>
        <v/>
      </c>
      <c r="E369" t="str">
        <f>+IFERROR(VLOOKUP(Fact_Cumplimiento[[#This Row], [Concepto Anterior]],Conceptos_Cumplimiento[#All],5,0),"")</f>
        <v/>
      </c>
      <c r="F369" t="str">
        <f>+IFERROR(VLOOKUP(Fact_Cumplimiento[[#This Row], 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ht="18.75" customHeight="1" x14ac:dyDescent="0.35">
      <c r="C370" s="100" t="str">
        <f>IF(OR(Fact_Cumplimiento[[#This Row], [Año]]="",Fact_Cumplimiento[[#This Row], [Mes]]=""),"",DATE(A370,MATCH(B370,{"enero","febrero","marzo","abril","mayo","junio","julio","agosto","septiembre","octubre","noviembre","diciembre"},0)+1,0))</f>
        <v/>
      </c>
      <c r="E370" t="str">
        <f>+IFERROR(VLOOKUP(Fact_Cumplimiento[[#This Row], [Concepto Anterior]],Conceptos_Cumplimiento[#All],5,0),"")</f>
        <v/>
      </c>
      <c r="F370" t="str">
        <f>+IFERROR(VLOOKUP(Fact_Cumplimiento[[#This Row], 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ht="18.75" customHeight="1" x14ac:dyDescent="0.35">
      <c r="C371" s="100" t="str">
        <f>IF(OR(Fact_Cumplimiento[[#This Row], [Año]]="",Fact_Cumplimiento[[#This Row], [Mes]]=""),"",DATE(A371,MATCH(B371,{"enero","febrero","marzo","abril","mayo","junio","julio","agosto","septiembre","octubre","noviembre","diciembre"},0)+1,0))</f>
        <v/>
      </c>
      <c r="E371" t="str">
        <f>+IFERROR(VLOOKUP(Fact_Cumplimiento[[#This Row], [Concepto Anterior]],Conceptos_Cumplimiento[#All],5,0),"")</f>
        <v/>
      </c>
      <c r="F371" t="str">
        <f>+IFERROR(VLOOKUP(Fact_Cumplimiento[[#This Row], 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ht="18.75" customHeight="1" x14ac:dyDescent="0.35">
      <c r="C372" s="100" t="str">
        <f>IF(OR(Fact_Cumplimiento[[#This Row], [Año]]="",Fact_Cumplimiento[[#This Row], [Mes]]=""),"",DATE(A372,MATCH(B372,{"enero","febrero","marzo","abril","mayo","junio","julio","agosto","septiembre","octubre","noviembre","diciembre"},0)+1,0))</f>
        <v/>
      </c>
      <c r="E372" t="str">
        <f>+IFERROR(VLOOKUP(Fact_Cumplimiento[[#This Row], [Concepto Anterior]],Conceptos_Cumplimiento[#All],5,0),"")</f>
        <v/>
      </c>
      <c r="F372" t="str">
        <f>+IFERROR(VLOOKUP(Fact_Cumplimiento[[#This Row], 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ht="18.75" customHeight="1" x14ac:dyDescent="0.35">
      <c r="C373" s="100" t="str">
        <f>IF(OR(Fact_Cumplimiento[[#This Row], [Año]]="",Fact_Cumplimiento[[#This Row], [Mes]]=""),"",DATE(A373,MATCH(B373,{"enero","febrero","marzo","abril","mayo","junio","julio","agosto","septiembre","octubre","noviembre","diciembre"},0)+1,0))</f>
        <v/>
      </c>
      <c r="E373" t="str">
        <f>+IFERROR(VLOOKUP(Fact_Cumplimiento[[#This Row], [Concepto Anterior]],Conceptos_Cumplimiento[#All],5,0),"")</f>
        <v/>
      </c>
      <c r="F373" t="str">
        <f>+IFERROR(VLOOKUP(Fact_Cumplimiento[[#This Row], 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ht="18.75" customHeight="1" x14ac:dyDescent="0.35">
      <c r="C374" s="100" t="str">
        <f>IF(OR(Fact_Cumplimiento[[#This Row], [Año]]="",Fact_Cumplimiento[[#This Row], [Mes]]=""),"",DATE(A374,MATCH(B374,{"enero","febrero","marzo","abril","mayo","junio","julio","agosto","septiembre","octubre","noviembre","diciembre"},0)+1,0))</f>
        <v/>
      </c>
      <c r="E374" t="str">
        <f>+IFERROR(VLOOKUP(Fact_Cumplimiento[[#This Row], [Concepto Anterior]],Conceptos_Cumplimiento[#All],5,0),"")</f>
        <v/>
      </c>
      <c r="F374" t="str">
        <f>+IFERROR(VLOOKUP(Fact_Cumplimiento[[#This Row], 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ht="18.75" customHeight="1" x14ac:dyDescent="0.35">
      <c r="C375" s="100" t="str">
        <f>IF(OR(Fact_Cumplimiento[[#This Row], [Año]]="",Fact_Cumplimiento[[#This Row], [Mes]]=""),"",DATE(A375,MATCH(B375,{"enero","febrero","marzo","abril","mayo","junio","julio","agosto","septiembre","octubre","noviembre","diciembre"},0)+1,0))</f>
        <v/>
      </c>
      <c r="E375" t="str">
        <f>+IFERROR(VLOOKUP(Fact_Cumplimiento[[#This Row], [Concepto Anterior]],Conceptos_Cumplimiento[#All],5,0),"")</f>
        <v/>
      </c>
      <c r="F375" t="str">
        <f>+IFERROR(VLOOKUP(Fact_Cumplimiento[[#This Row], 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ht="18.75" customHeight="1" x14ac:dyDescent="0.35">
      <c r="C376" s="100" t="str">
        <f>IF(OR(Fact_Cumplimiento[[#This Row], [Año]]="",Fact_Cumplimiento[[#This Row], [Mes]]=""),"",DATE(A376,MATCH(B376,{"enero","febrero","marzo","abril","mayo","junio","julio","agosto","septiembre","octubre","noviembre","diciembre"},0)+1,0))</f>
        <v/>
      </c>
      <c r="E376" t="str">
        <f>+IFERROR(VLOOKUP(Fact_Cumplimiento[[#This Row], [Concepto Anterior]],Conceptos_Cumplimiento[#All],5,0),"")</f>
        <v/>
      </c>
      <c r="F376" t="str">
        <f>+IFERROR(VLOOKUP(Fact_Cumplimiento[[#This Row], 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ht="18.75" customHeight="1" x14ac:dyDescent="0.35">
      <c r="C377" s="100" t="str">
        <f>IF(OR(Fact_Cumplimiento[[#This Row], [Año]]="",Fact_Cumplimiento[[#This Row], [Mes]]=""),"",DATE(A377,MATCH(B377,{"enero","febrero","marzo","abril","mayo","junio","julio","agosto","septiembre","octubre","noviembre","diciembre"},0)+1,0))</f>
        <v/>
      </c>
      <c r="E377" t="str">
        <f>+IFERROR(VLOOKUP(Fact_Cumplimiento[[#This Row], [Concepto Anterior]],Conceptos_Cumplimiento[#All],5,0),"")</f>
        <v/>
      </c>
      <c r="F377" t="str">
        <f>+IFERROR(VLOOKUP(Fact_Cumplimiento[[#This Row], 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ht="18.75" customHeight="1" x14ac:dyDescent="0.35">
      <c r="C378" s="100" t="str">
        <f>IF(OR(Fact_Cumplimiento[[#This Row], [Año]]="",Fact_Cumplimiento[[#This Row], [Mes]]=""),"",DATE(A378,MATCH(B378,{"enero","febrero","marzo","abril","mayo","junio","julio","agosto","septiembre","octubre","noviembre","diciembre"},0)+1,0))</f>
        <v/>
      </c>
      <c r="E378" t="str">
        <f>+IFERROR(VLOOKUP(Fact_Cumplimiento[[#This Row], [Concepto Anterior]],Conceptos_Cumplimiento[#All],5,0),"")</f>
        <v/>
      </c>
      <c r="F378" t="str">
        <f>+IFERROR(VLOOKUP(Fact_Cumplimiento[[#This Row], 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ht="18.75" customHeight="1" x14ac:dyDescent="0.35">
      <c r="C379" s="100" t="str">
        <f>IF(OR(Fact_Cumplimiento[[#This Row], [Año]]="",Fact_Cumplimiento[[#This Row], [Mes]]=""),"",DATE(A379,MATCH(B379,{"enero","febrero","marzo","abril","mayo","junio","julio","agosto","septiembre","octubre","noviembre","diciembre"},0)+1,0))</f>
        <v/>
      </c>
      <c r="E379" t="str">
        <f>+IFERROR(VLOOKUP(Fact_Cumplimiento[[#This Row], [Concepto Anterior]],Conceptos_Cumplimiento[#All],5,0),"")</f>
        <v/>
      </c>
      <c r="F379" t="str">
        <f>+IFERROR(VLOOKUP(Fact_Cumplimiento[[#This Row], 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ht="18.75" customHeight="1" x14ac:dyDescent="0.35">
      <c r="C380" s="100" t="str">
        <f>IF(OR(Fact_Cumplimiento[[#This Row], [Año]]="",Fact_Cumplimiento[[#This Row], [Mes]]=""),"",DATE(A380,MATCH(B380,{"enero","febrero","marzo","abril","mayo","junio","julio","agosto","septiembre","octubre","noviembre","diciembre"},0)+1,0))</f>
        <v/>
      </c>
      <c r="E380" t="str">
        <f>+IFERROR(VLOOKUP(Fact_Cumplimiento[[#This Row], [Concepto Anterior]],Conceptos_Cumplimiento[#All],5,0),"")</f>
        <v/>
      </c>
      <c r="F380" t="str">
        <f>+IFERROR(VLOOKUP(Fact_Cumplimiento[[#This Row], 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ht="18.75" customHeight="1" x14ac:dyDescent="0.35">
      <c r="C381" s="100" t="str">
        <f>IF(OR(Fact_Cumplimiento[[#This Row], [Año]]="",Fact_Cumplimiento[[#This Row], [Mes]]=""),"",DATE(A381,MATCH(B381,{"enero","febrero","marzo","abril","mayo","junio","julio","agosto","septiembre","octubre","noviembre","diciembre"},0)+1,0))</f>
        <v/>
      </c>
      <c r="E381" t="str">
        <f>+IFERROR(VLOOKUP(Fact_Cumplimiento[[#This Row], [Concepto Anterior]],Conceptos_Cumplimiento[#All],5,0),"")</f>
        <v/>
      </c>
      <c r="F381" t="str">
        <f>+IFERROR(VLOOKUP(Fact_Cumplimiento[[#This Row], 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ht="18.75" customHeight="1" x14ac:dyDescent="0.35">
      <c r="C382" s="100" t="str">
        <f>IF(OR(Fact_Cumplimiento[[#This Row], [Año]]="",Fact_Cumplimiento[[#This Row], [Mes]]=""),"",DATE(A382,MATCH(B382,{"enero","febrero","marzo","abril","mayo","junio","julio","agosto","septiembre","octubre","noviembre","diciembre"},0)+1,0))</f>
        <v/>
      </c>
      <c r="E382" t="str">
        <f>+IFERROR(VLOOKUP(Fact_Cumplimiento[[#This Row], [Concepto Anterior]],Conceptos_Cumplimiento[#All],5,0),"")</f>
        <v/>
      </c>
      <c r="F382" t="str">
        <f>+IFERROR(VLOOKUP(Fact_Cumplimiento[[#This Row], 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ht="18.75" customHeight="1" x14ac:dyDescent="0.35">
      <c r="C383" s="100" t="str">
        <f>IF(OR(Fact_Cumplimiento[[#This Row], [Año]]="",Fact_Cumplimiento[[#This Row], [Mes]]=""),"",DATE(A383,MATCH(B383,{"enero","febrero","marzo","abril","mayo","junio","julio","agosto","septiembre","octubre","noviembre","diciembre"},0)+1,0))</f>
        <v/>
      </c>
      <c r="E383" t="str">
        <f>+IFERROR(VLOOKUP(Fact_Cumplimiento[[#This Row], [Concepto Anterior]],Conceptos_Cumplimiento[#All],5,0),"")</f>
        <v/>
      </c>
      <c r="F383" t="str">
        <f>+IFERROR(VLOOKUP(Fact_Cumplimiento[[#This Row], 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ht="18.75" customHeight="1" x14ac:dyDescent="0.35">
      <c r="C384" s="100" t="str">
        <f>IF(OR(Fact_Cumplimiento[[#This Row], [Año]]="",Fact_Cumplimiento[[#This Row], [Mes]]=""),"",DATE(A384,MATCH(B384,{"enero","febrero","marzo","abril","mayo","junio","julio","agosto","septiembre","octubre","noviembre","diciembre"},0)+1,0))</f>
        <v/>
      </c>
      <c r="E384" t="str">
        <f>+IFERROR(VLOOKUP(Fact_Cumplimiento[[#This Row], [Concepto Anterior]],Conceptos_Cumplimiento[#All],5,0),"")</f>
        <v/>
      </c>
      <c r="F384" t="str">
        <f>+IFERROR(VLOOKUP(Fact_Cumplimiento[[#This Row], 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ht="18.75" customHeight="1" x14ac:dyDescent="0.35">
      <c r="C385" s="100" t="str">
        <f>IF(OR(Fact_Cumplimiento[[#This Row], [Año]]="",Fact_Cumplimiento[[#This Row], [Mes]]=""),"",DATE(A385,MATCH(B385,{"enero","febrero","marzo","abril","mayo","junio","julio","agosto","septiembre","octubre","noviembre","diciembre"},0)+1,0))</f>
        <v/>
      </c>
      <c r="E385" t="str">
        <f>+IFERROR(VLOOKUP(Fact_Cumplimiento[[#This Row], [Concepto Anterior]],Conceptos_Cumplimiento[#All],5,0),"")</f>
        <v/>
      </c>
      <c r="F385" t="str">
        <f>+IFERROR(VLOOKUP(Fact_Cumplimiento[[#This Row], 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ht="18.75" customHeight="1" x14ac:dyDescent="0.35">
      <c r="C386" s="100" t="str">
        <f>IF(OR(Fact_Cumplimiento[[#This Row], [Año]]="",Fact_Cumplimiento[[#This Row], [Mes]]=""),"",DATE(A386,MATCH(B386,{"enero","febrero","marzo","abril","mayo","junio","julio","agosto","septiembre","octubre","noviembre","diciembre"},0)+1,0))</f>
        <v/>
      </c>
      <c r="E386" t="str">
        <f>+IFERROR(VLOOKUP(Fact_Cumplimiento[[#This Row], [Concepto Anterior]],Conceptos_Cumplimiento[#All],5,0),"")</f>
        <v/>
      </c>
      <c r="F386" t="str">
        <f>+IFERROR(VLOOKUP(Fact_Cumplimiento[[#This Row], 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ht="18.75" customHeight="1" x14ac:dyDescent="0.35">
      <c r="C387" s="100" t="str">
        <f>IF(OR(Fact_Cumplimiento[[#This Row], [Año]]="",Fact_Cumplimiento[[#This Row], [Mes]]=""),"",DATE(A387,MATCH(B387,{"enero","febrero","marzo","abril","mayo","junio","julio","agosto","septiembre","octubre","noviembre","diciembre"},0)+1,0))</f>
        <v/>
      </c>
      <c r="E387" t="str">
        <f>+IFERROR(VLOOKUP(Fact_Cumplimiento[[#This Row], [Concepto Anterior]],Conceptos_Cumplimiento[#All],5,0),"")</f>
        <v/>
      </c>
      <c r="F387" t="str">
        <f>+IFERROR(VLOOKUP(Fact_Cumplimiento[[#This Row], 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ht="18.75" customHeight="1" x14ac:dyDescent="0.35">
      <c r="C388" s="100" t="str">
        <f>IF(OR(Fact_Cumplimiento[[#This Row], [Año]]="",Fact_Cumplimiento[[#This Row], [Mes]]=""),"",DATE(A388,MATCH(B388,{"enero","febrero","marzo","abril","mayo","junio","julio","agosto","septiembre","octubre","noviembre","diciembre"},0)+1,0))</f>
        <v/>
      </c>
      <c r="E388" t="str">
        <f>+IFERROR(VLOOKUP(Fact_Cumplimiento[[#This Row], [Concepto Anterior]],Conceptos_Cumplimiento[#All],5,0),"")</f>
        <v/>
      </c>
      <c r="F388" t="str">
        <f>+IFERROR(VLOOKUP(Fact_Cumplimiento[[#This Row], 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ht="18.75" customHeight="1" x14ac:dyDescent="0.35">
      <c r="C389" s="100" t="str">
        <f>IF(OR(Fact_Cumplimiento[[#This Row], [Año]]="",Fact_Cumplimiento[[#This Row], [Mes]]=""),"",DATE(A389,MATCH(B389,{"enero","febrero","marzo","abril","mayo","junio","julio","agosto","septiembre","octubre","noviembre","diciembre"},0)+1,0))</f>
        <v/>
      </c>
      <c r="E389" t="str">
        <f>+IFERROR(VLOOKUP(Fact_Cumplimiento[[#This Row], [Concepto Anterior]],Conceptos_Cumplimiento[#All],5,0),"")</f>
        <v/>
      </c>
      <c r="F389" t="str">
        <f>+IFERROR(VLOOKUP(Fact_Cumplimiento[[#This Row], 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ht="18.75" customHeight="1" x14ac:dyDescent="0.35">
      <c r="C390" s="100" t="str">
        <f>IF(OR(Fact_Cumplimiento[[#This Row], [Año]]="",Fact_Cumplimiento[[#This Row], [Mes]]=""),"",DATE(A390,MATCH(B390,{"enero","febrero","marzo","abril","mayo","junio","julio","agosto","septiembre","octubre","noviembre","diciembre"},0)+1,0))</f>
        <v/>
      </c>
      <c r="E390" t="str">
        <f>+IFERROR(VLOOKUP(Fact_Cumplimiento[[#This Row], [Concepto Anterior]],Conceptos_Cumplimiento[#All],5,0),"")</f>
        <v/>
      </c>
      <c r="F390" t="str">
        <f>+IFERROR(VLOOKUP(Fact_Cumplimiento[[#This Row], 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ht="18.75" customHeight="1" x14ac:dyDescent="0.35">
      <c r="C391" s="100" t="str">
        <f>IF(OR(Fact_Cumplimiento[[#This Row], [Año]]="",Fact_Cumplimiento[[#This Row], [Mes]]=""),"",DATE(A391,MATCH(B391,{"enero","febrero","marzo","abril","mayo","junio","julio","agosto","septiembre","octubre","noviembre","diciembre"},0)+1,0))</f>
        <v/>
      </c>
      <c r="E391" t="str">
        <f>+IFERROR(VLOOKUP(Fact_Cumplimiento[[#This Row], [Concepto Anterior]],Conceptos_Cumplimiento[#All],5,0),"")</f>
        <v/>
      </c>
      <c r="F391" t="str">
        <f>+IFERROR(VLOOKUP(Fact_Cumplimiento[[#This Row], 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ht="18.75" customHeight="1" x14ac:dyDescent="0.35">
      <c r="C392" s="100" t="str">
        <f>IF(OR(Fact_Cumplimiento[[#This Row], [Año]]="",Fact_Cumplimiento[[#This Row], [Mes]]=""),"",DATE(A392,MATCH(B392,{"enero","febrero","marzo","abril","mayo","junio","julio","agosto","septiembre","octubre","noviembre","diciembre"},0)+1,0))</f>
        <v/>
      </c>
      <c r="E392" t="str">
        <f>+IFERROR(VLOOKUP(Fact_Cumplimiento[[#This Row], [Concepto Anterior]],Conceptos_Cumplimiento[#All],5,0),"")</f>
        <v/>
      </c>
      <c r="F392" t="str">
        <f>+IFERROR(VLOOKUP(Fact_Cumplimiento[[#This Row], 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ht="18.75" customHeight="1" x14ac:dyDescent="0.35">
      <c r="C393" s="100" t="str">
        <f>IF(OR(Fact_Cumplimiento[[#This Row], [Año]]="",Fact_Cumplimiento[[#This Row], [Mes]]=""),"",DATE(A393,MATCH(B393,{"enero","febrero","marzo","abril","mayo","junio","julio","agosto","septiembre","octubre","noviembre","diciembre"},0)+1,0))</f>
        <v/>
      </c>
      <c r="E393" t="str">
        <f>+IFERROR(VLOOKUP(Fact_Cumplimiento[[#This Row], [Concepto Anterior]],Conceptos_Cumplimiento[#All],5,0),"")</f>
        <v/>
      </c>
      <c r="F393" t="str">
        <f>+IFERROR(VLOOKUP(Fact_Cumplimiento[[#This Row], 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ht="18.75" customHeight="1" x14ac:dyDescent="0.35">
      <c r="C394" s="100" t="str">
        <f>IF(OR(Fact_Cumplimiento[[#This Row], [Año]]="",Fact_Cumplimiento[[#This Row], [Mes]]=""),"",DATE(A394,MATCH(B394,{"enero","febrero","marzo","abril","mayo","junio","julio","agosto","septiembre","octubre","noviembre","diciembre"},0)+1,0))</f>
        <v/>
      </c>
      <c r="E394" t="str">
        <f>+IFERROR(VLOOKUP(Fact_Cumplimiento[[#This Row], [Concepto Anterior]],Conceptos_Cumplimiento[#All],5,0),"")</f>
        <v/>
      </c>
      <c r="F394" t="str">
        <f>+IFERROR(VLOOKUP(Fact_Cumplimiento[[#This Row], 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ht="18.75" customHeight="1" x14ac:dyDescent="0.35">
      <c r="C395" s="100" t="str">
        <f>IF(OR(Fact_Cumplimiento[[#This Row], [Año]]="",Fact_Cumplimiento[[#This Row], [Mes]]=""),"",DATE(A395,MATCH(B395,{"enero","febrero","marzo","abril","mayo","junio","julio","agosto","septiembre","octubre","noviembre","diciembre"},0)+1,0))</f>
        <v/>
      </c>
      <c r="E395" t="str">
        <f>+IFERROR(VLOOKUP(Fact_Cumplimiento[[#This Row], [Concepto Anterior]],Conceptos_Cumplimiento[#All],5,0),"")</f>
        <v/>
      </c>
      <c r="F395" t="str">
        <f>+IFERROR(VLOOKUP(Fact_Cumplimiento[[#This Row], 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ht="18.75" customHeight="1" x14ac:dyDescent="0.35">
      <c r="C396" s="100" t="str">
        <f>IF(OR(Fact_Cumplimiento[[#This Row], [Año]]="",Fact_Cumplimiento[[#This Row], [Mes]]=""),"",DATE(A396,MATCH(B396,{"enero","febrero","marzo","abril","mayo","junio","julio","agosto","septiembre","octubre","noviembre","diciembre"},0)+1,0))</f>
        <v/>
      </c>
      <c r="E396" t="str">
        <f>+IFERROR(VLOOKUP(Fact_Cumplimiento[[#This Row], [Concepto Anterior]],Conceptos_Cumplimiento[#All],5,0),"")</f>
        <v/>
      </c>
      <c r="F396" t="str">
        <f>+IFERROR(VLOOKUP(Fact_Cumplimiento[[#This Row], 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ht="18.75" customHeight="1" x14ac:dyDescent="0.35">
      <c r="C397" s="100" t="str">
        <f>IF(OR(Fact_Cumplimiento[[#This Row], [Año]]="",Fact_Cumplimiento[[#This Row], [Mes]]=""),"",DATE(A397,MATCH(B397,{"enero","febrero","marzo","abril","mayo","junio","julio","agosto","septiembre","octubre","noviembre","diciembre"},0)+1,0))</f>
        <v/>
      </c>
      <c r="E397" t="str">
        <f>+IFERROR(VLOOKUP(Fact_Cumplimiento[[#This Row], [Concepto Anterior]],Conceptos_Cumplimiento[#All],5,0),"")</f>
        <v/>
      </c>
      <c r="F397" t="str">
        <f>+IFERROR(VLOOKUP(Fact_Cumplimiento[[#This Row], 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ht="18.75" customHeight="1" x14ac:dyDescent="0.35">
      <c r="C398" s="100" t="str">
        <f>IF(OR(Fact_Cumplimiento[[#This Row], [Año]]="",Fact_Cumplimiento[[#This Row], [Mes]]=""),"",DATE(A398,MATCH(B398,{"enero","febrero","marzo","abril","mayo","junio","julio","agosto","septiembre","octubre","noviembre","diciembre"},0)+1,0))</f>
        <v/>
      </c>
      <c r="E398" t="str">
        <f>+IFERROR(VLOOKUP(Fact_Cumplimiento[[#This Row], [Concepto Anterior]],Conceptos_Cumplimiento[#All],5,0),"")</f>
        <v/>
      </c>
      <c r="F398" t="str">
        <f>+IFERROR(VLOOKUP(Fact_Cumplimiento[[#This Row], 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ht="18.75" customHeight="1" x14ac:dyDescent="0.35">
      <c r="C399" s="100" t="str">
        <f>IF(OR(Fact_Cumplimiento[[#This Row], [Año]]="",Fact_Cumplimiento[[#This Row], [Mes]]=""),"",DATE(A399,MATCH(B399,{"enero","febrero","marzo","abril","mayo","junio","julio","agosto","septiembre","octubre","noviembre","diciembre"},0)+1,0))</f>
        <v/>
      </c>
      <c r="E399" t="str">
        <f>+IFERROR(VLOOKUP(Fact_Cumplimiento[[#This Row], [Concepto Anterior]],Conceptos_Cumplimiento[#All],5,0),"")</f>
        <v/>
      </c>
      <c r="F399" t="str">
        <f>+IFERROR(VLOOKUP(Fact_Cumplimiento[[#This Row], 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ht="18.75" customHeight="1" x14ac:dyDescent="0.35">
      <c r="C400" s="100" t="str">
        <f>IF(OR(Fact_Cumplimiento[[#This Row], [Año]]="",Fact_Cumplimiento[[#This Row], [Mes]]=""),"",DATE(A400,MATCH(B400,{"enero","febrero","marzo","abril","mayo","junio","julio","agosto","septiembre","octubre","noviembre","diciembre"},0)+1,0))</f>
        <v/>
      </c>
      <c r="E400" t="str">
        <f>+IFERROR(VLOOKUP(Fact_Cumplimiento[[#This Row], [Concepto Anterior]],Conceptos_Cumplimiento[#All],5,0),"")</f>
        <v/>
      </c>
      <c r="F400" t="str">
        <f>+IFERROR(VLOOKUP(Fact_Cumplimiento[[#This Row], 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ht="18.75" customHeight="1" x14ac:dyDescent="0.35">
      <c r="C401" s="100" t="str">
        <f>IF(OR(Fact_Cumplimiento[[#This Row], [Año]]="",Fact_Cumplimiento[[#This Row], [Mes]]=""),"",DATE(A401,MATCH(B401,{"enero","febrero","marzo","abril","mayo","junio","julio","agosto","septiembre","octubre","noviembre","diciembre"},0)+1,0))</f>
        <v/>
      </c>
      <c r="E401" t="str">
        <f>+IFERROR(VLOOKUP(Fact_Cumplimiento[[#This Row], [Concepto Anterior]],Conceptos_Cumplimiento[#All],5,0),"")</f>
        <v/>
      </c>
      <c r="F401" t="str">
        <f>+IFERROR(VLOOKUP(Fact_Cumplimiento[[#This Row], 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ht="18.75" customHeight="1" x14ac:dyDescent="0.35">
      <c r="C402" s="100" t="str">
        <f>IF(OR(Fact_Cumplimiento[[#This Row], [Año]]="",Fact_Cumplimiento[[#This Row], [Mes]]=""),"",DATE(A402,MATCH(B402,{"enero","febrero","marzo","abril","mayo","junio","julio","agosto","septiembre","octubre","noviembre","diciembre"},0)+1,0))</f>
        <v/>
      </c>
      <c r="E402" t="str">
        <f>+IFERROR(VLOOKUP(Fact_Cumplimiento[[#This Row], [Concepto Anterior]],Conceptos_Cumplimiento[#All],5,0),"")</f>
        <v/>
      </c>
      <c r="F402" t="str">
        <f>+IFERROR(VLOOKUP(Fact_Cumplimiento[[#This Row], 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ht="18.75" customHeight="1" x14ac:dyDescent="0.35">
      <c r="C403" s="100" t="str">
        <f>IF(OR(Fact_Cumplimiento[[#This Row], [Año]]="",Fact_Cumplimiento[[#This Row], [Mes]]=""),"",DATE(A403,MATCH(B403,{"enero","febrero","marzo","abril","mayo","junio","julio","agosto","septiembre","octubre","noviembre","diciembre"},0)+1,0))</f>
        <v/>
      </c>
      <c r="E403" t="str">
        <f>+IFERROR(VLOOKUP(Fact_Cumplimiento[[#This Row], [Concepto Anterior]],Conceptos_Cumplimiento[#All],5,0),"")</f>
        <v/>
      </c>
      <c r="F403" t="str">
        <f>+IFERROR(VLOOKUP(Fact_Cumplimiento[[#This Row], 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ht="18.75" customHeight="1" x14ac:dyDescent="0.35">
      <c r="C404" s="100" t="str">
        <f>IF(OR(Fact_Cumplimiento[[#This Row], [Año]]="",Fact_Cumplimiento[[#This Row], [Mes]]=""),"",DATE(A404,MATCH(B404,{"enero","febrero","marzo","abril","mayo","junio","julio","agosto","septiembre","octubre","noviembre","diciembre"},0)+1,0))</f>
        <v/>
      </c>
      <c r="E404" t="str">
        <f>+IFERROR(VLOOKUP(Fact_Cumplimiento[[#This Row], [Concepto Anterior]],Conceptos_Cumplimiento[#All],5,0),"")</f>
        <v/>
      </c>
      <c r="F404" t="str">
        <f>+IFERROR(VLOOKUP(Fact_Cumplimiento[[#This Row], 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ht="18.75" customHeight="1" x14ac:dyDescent="0.35">
      <c r="C405" s="100" t="str">
        <f>IF(OR(Fact_Cumplimiento[[#This Row], [Año]]="",Fact_Cumplimiento[[#This Row], [Mes]]=""),"",DATE(A405,MATCH(B405,{"enero","febrero","marzo","abril","mayo","junio","julio","agosto","septiembre","octubre","noviembre","diciembre"},0)+1,0))</f>
        <v/>
      </c>
      <c r="E405" t="str">
        <f>+IFERROR(VLOOKUP(Fact_Cumplimiento[[#This Row], [Concepto Anterior]],Conceptos_Cumplimiento[#All],5,0),"")</f>
        <v/>
      </c>
      <c r="F405" t="str">
        <f>+IFERROR(VLOOKUP(Fact_Cumplimiento[[#This Row], 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ht="18.75" customHeight="1" x14ac:dyDescent="0.35">
      <c r="C406" s="100" t="str">
        <f>IF(OR(Fact_Cumplimiento[[#This Row], [Año]]="",Fact_Cumplimiento[[#This Row], [Mes]]=""),"",DATE(A406,MATCH(B406,{"enero","febrero","marzo","abril","mayo","junio","julio","agosto","septiembre","octubre","noviembre","diciembre"},0)+1,0))</f>
        <v/>
      </c>
      <c r="E406" t="str">
        <f>+IFERROR(VLOOKUP(Fact_Cumplimiento[[#This Row], [Concepto Anterior]],Conceptos_Cumplimiento[#All],5,0),"")</f>
        <v/>
      </c>
      <c r="F406" t="str">
        <f>+IFERROR(VLOOKUP(Fact_Cumplimiento[[#This Row], 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ht="18.75" customHeight="1" x14ac:dyDescent="0.35">
      <c r="C407" s="100" t="str">
        <f>IF(OR(Fact_Cumplimiento[[#This Row], [Año]]="",Fact_Cumplimiento[[#This Row], [Mes]]=""),"",DATE(A407,MATCH(B407,{"enero","febrero","marzo","abril","mayo","junio","julio","agosto","septiembre","octubre","noviembre","diciembre"},0)+1,0))</f>
        <v/>
      </c>
      <c r="E407" t="str">
        <f>+IFERROR(VLOOKUP(Fact_Cumplimiento[[#This Row], [Concepto Anterior]],Conceptos_Cumplimiento[#All],5,0),"")</f>
        <v/>
      </c>
      <c r="F407" t="str">
        <f>+IFERROR(VLOOKUP(Fact_Cumplimiento[[#This Row], 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ht="18.75" customHeight="1" x14ac:dyDescent="0.35">
      <c r="C408" s="100" t="str">
        <f>IF(OR(Fact_Cumplimiento[[#This Row], [Año]]="",Fact_Cumplimiento[[#This Row], [Mes]]=""),"",DATE(A408,MATCH(B408,{"enero","febrero","marzo","abril","mayo","junio","julio","agosto","septiembre","octubre","noviembre","diciembre"},0)+1,0))</f>
        <v/>
      </c>
      <c r="E408" t="str">
        <f>+IFERROR(VLOOKUP(Fact_Cumplimiento[[#This Row], [Concepto Anterior]],Conceptos_Cumplimiento[#All],5,0),"")</f>
        <v/>
      </c>
      <c r="F408" t="str">
        <f>+IFERROR(VLOOKUP(Fact_Cumplimiento[[#This Row], 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ht="18.75" customHeight="1" x14ac:dyDescent="0.35">
      <c r="C409" s="100" t="str">
        <f>IF(OR(Fact_Cumplimiento[[#This Row], [Año]]="",Fact_Cumplimiento[[#This Row], [Mes]]=""),"",DATE(A409,MATCH(B409,{"enero","febrero","marzo","abril","mayo","junio","julio","agosto","septiembre","octubre","noviembre","diciembre"},0)+1,0))</f>
        <v/>
      </c>
      <c r="E409" t="str">
        <f>+IFERROR(VLOOKUP(Fact_Cumplimiento[[#This Row], [Concepto Anterior]],Conceptos_Cumplimiento[#All],5,0),"")</f>
        <v/>
      </c>
      <c r="F409" t="str">
        <f>+IFERROR(VLOOKUP(Fact_Cumplimiento[[#This Row], 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ht="18.75" customHeight="1" x14ac:dyDescent="0.35">
      <c r="C410" s="100" t="str">
        <f>IF(OR(Fact_Cumplimiento[[#This Row], [Año]]="",Fact_Cumplimiento[[#This Row], [Mes]]=""),"",DATE(A410,MATCH(B410,{"enero","febrero","marzo","abril","mayo","junio","julio","agosto","septiembre","octubre","noviembre","diciembre"},0)+1,0))</f>
        <v/>
      </c>
      <c r="E410" t="str">
        <f>+IFERROR(VLOOKUP(Fact_Cumplimiento[[#This Row], [Concepto Anterior]],Conceptos_Cumplimiento[#All],5,0),"")</f>
        <v/>
      </c>
      <c r="F410" t="str">
        <f>+IFERROR(VLOOKUP(Fact_Cumplimiento[[#This Row], 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ht="18.75" customHeight="1" x14ac:dyDescent="0.35">
      <c r="C411" s="100" t="str">
        <f>IF(OR(Fact_Cumplimiento[[#This Row], [Año]]="",Fact_Cumplimiento[[#This Row], [Mes]]=""),"",DATE(A411,MATCH(B411,{"enero","febrero","marzo","abril","mayo","junio","julio","agosto","septiembre","octubre","noviembre","diciembre"},0)+1,0))</f>
        <v/>
      </c>
      <c r="E411" t="str">
        <f>+IFERROR(VLOOKUP(Fact_Cumplimiento[[#This Row], [Concepto Anterior]],Conceptos_Cumplimiento[#All],5,0),"")</f>
        <v/>
      </c>
      <c r="F411" t="str">
        <f>+IFERROR(VLOOKUP(Fact_Cumplimiento[[#This Row], 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ht="18.75" customHeight="1" x14ac:dyDescent="0.35">
      <c r="C412" s="100" t="str">
        <f>IF(OR(Fact_Cumplimiento[[#This Row], [Año]]="",Fact_Cumplimiento[[#This Row], [Mes]]=""),"",DATE(A412,MATCH(B412,{"enero","febrero","marzo","abril","mayo","junio","julio","agosto","septiembre","octubre","noviembre","diciembre"},0)+1,0))</f>
        <v/>
      </c>
      <c r="E412" t="str">
        <f>+IFERROR(VLOOKUP(Fact_Cumplimiento[[#This Row], [Concepto Anterior]],Conceptos_Cumplimiento[#All],5,0),"")</f>
        <v/>
      </c>
      <c r="F412" t="str">
        <f>+IFERROR(VLOOKUP(Fact_Cumplimiento[[#This Row], 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ht="18.75" customHeight="1" x14ac:dyDescent="0.35">
      <c r="C413" s="100" t="str">
        <f>IF(OR(Fact_Cumplimiento[[#This Row], [Año]]="",Fact_Cumplimiento[[#This Row], [Mes]]=""),"",DATE(A413,MATCH(B413,{"enero","febrero","marzo","abril","mayo","junio","julio","agosto","septiembre","octubre","noviembre","diciembre"},0)+1,0))</f>
        <v/>
      </c>
      <c r="E413" t="str">
        <f>+IFERROR(VLOOKUP(Fact_Cumplimiento[[#This Row], [Concepto Anterior]],Conceptos_Cumplimiento[#All],5,0),"")</f>
        <v/>
      </c>
      <c r="F413" t="str">
        <f>+IFERROR(VLOOKUP(Fact_Cumplimiento[[#This Row], 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ht="18.75" customHeight="1" x14ac:dyDescent="0.35">
      <c r="C414" s="100" t="str">
        <f>IF(OR(Fact_Cumplimiento[[#This Row], [Año]]="",Fact_Cumplimiento[[#This Row], [Mes]]=""),"",DATE(A414,MATCH(B414,{"enero","febrero","marzo","abril","mayo","junio","julio","agosto","septiembre","octubre","noviembre","diciembre"},0)+1,0))</f>
        <v/>
      </c>
      <c r="E414" t="str">
        <f>+IFERROR(VLOOKUP(Fact_Cumplimiento[[#This Row], [Concepto Anterior]],Conceptos_Cumplimiento[#All],5,0),"")</f>
        <v/>
      </c>
      <c r="F414" t="str">
        <f>+IFERROR(VLOOKUP(Fact_Cumplimiento[[#This Row], 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ht="18.75" customHeight="1" x14ac:dyDescent="0.35">
      <c r="C415" s="100" t="str">
        <f>IF(OR(Fact_Cumplimiento[[#This Row], [Año]]="",Fact_Cumplimiento[[#This Row], [Mes]]=""),"",DATE(A415,MATCH(B415,{"enero","febrero","marzo","abril","mayo","junio","julio","agosto","septiembre","octubre","noviembre","diciembre"},0)+1,0))</f>
        <v/>
      </c>
      <c r="E415" t="str">
        <f>+IFERROR(VLOOKUP(Fact_Cumplimiento[[#This Row], [Concepto Anterior]],Conceptos_Cumplimiento[#All],5,0),"")</f>
        <v/>
      </c>
      <c r="F415" t="str">
        <f>+IFERROR(VLOOKUP(Fact_Cumplimiento[[#This Row], 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ht="18.75" customHeight="1" x14ac:dyDescent="0.35">
      <c r="C416" s="100" t="str">
        <f>IF(OR(Fact_Cumplimiento[[#This Row], [Año]]="",Fact_Cumplimiento[[#This Row], [Mes]]=""),"",DATE(A416,MATCH(B416,{"enero","febrero","marzo","abril","mayo","junio","julio","agosto","septiembre","octubre","noviembre","diciembre"},0)+1,0))</f>
        <v/>
      </c>
      <c r="E416" t="str">
        <f>+IFERROR(VLOOKUP(Fact_Cumplimiento[[#This Row], [Concepto Anterior]],Conceptos_Cumplimiento[#All],5,0),"")</f>
        <v/>
      </c>
      <c r="F416" t="str">
        <f>+IFERROR(VLOOKUP(Fact_Cumplimiento[[#This Row], 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ht="18.75" customHeight="1" x14ac:dyDescent="0.35">
      <c r="C417" s="100" t="str">
        <f>IF(OR(Fact_Cumplimiento[[#This Row], [Año]]="",Fact_Cumplimiento[[#This Row], [Mes]]=""),"",DATE(A417,MATCH(B417,{"enero","febrero","marzo","abril","mayo","junio","julio","agosto","septiembre","octubre","noviembre","diciembre"},0)+1,0))</f>
        <v/>
      </c>
      <c r="E417" t="str">
        <f>+IFERROR(VLOOKUP(Fact_Cumplimiento[[#This Row], [Concepto Anterior]],Conceptos_Cumplimiento[#All],5,0),"")</f>
        <v/>
      </c>
      <c r="F417" t="str">
        <f>+IFERROR(VLOOKUP(Fact_Cumplimiento[[#This Row], 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ht="18.75" customHeight="1" x14ac:dyDescent="0.35">
      <c r="C418" s="100" t="str">
        <f>IF(OR(Fact_Cumplimiento[[#This Row], [Año]]="",Fact_Cumplimiento[[#This Row], [Mes]]=""),"",DATE(A418,MATCH(B418,{"enero","febrero","marzo","abril","mayo","junio","julio","agosto","septiembre","octubre","noviembre","diciembre"},0)+1,0))</f>
        <v/>
      </c>
      <c r="E418" t="str">
        <f>+IFERROR(VLOOKUP(Fact_Cumplimiento[[#This Row], [Concepto Anterior]],Conceptos_Cumplimiento[#All],5,0),"")</f>
        <v/>
      </c>
      <c r="F418" t="str">
        <f>+IFERROR(VLOOKUP(Fact_Cumplimiento[[#This Row], 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ht="18.75" customHeight="1" x14ac:dyDescent="0.35">
      <c r="C419" s="100" t="str">
        <f>IF(OR(Fact_Cumplimiento[[#This Row], [Año]]="",Fact_Cumplimiento[[#This Row], [Mes]]=""),"",DATE(A419,MATCH(B419,{"enero","febrero","marzo","abril","mayo","junio","julio","agosto","septiembre","octubre","noviembre","diciembre"},0)+1,0))</f>
        <v/>
      </c>
      <c r="E419" t="str">
        <f>+IFERROR(VLOOKUP(Fact_Cumplimiento[[#This Row], [Concepto Anterior]],Conceptos_Cumplimiento[#All],5,0),"")</f>
        <v/>
      </c>
      <c r="F419" t="str">
        <f>+IFERROR(VLOOKUP(Fact_Cumplimiento[[#This Row], 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ht="18.75" customHeight="1" x14ac:dyDescent="0.35">
      <c r="C420" s="100" t="str">
        <f>IF(OR(Fact_Cumplimiento[[#This Row], [Año]]="",Fact_Cumplimiento[[#This Row], [Mes]]=""),"",DATE(A420,MATCH(B420,{"enero","febrero","marzo","abril","mayo","junio","julio","agosto","septiembre","octubre","noviembre","diciembre"},0)+1,0))</f>
        <v/>
      </c>
      <c r="E420" t="str">
        <f>+IFERROR(VLOOKUP(Fact_Cumplimiento[[#This Row], [Concepto Anterior]],Conceptos_Cumplimiento[#All],5,0),"")</f>
        <v/>
      </c>
      <c r="F420" t="str">
        <f>+IFERROR(VLOOKUP(Fact_Cumplimiento[[#This Row], 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ht="18.75" customHeight="1" x14ac:dyDescent="0.35">
      <c r="C421" s="100" t="str">
        <f>IF(OR(Fact_Cumplimiento[[#This Row], [Año]]="",Fact_Cumplimiento[[#This Row], [Mes]]=""),"",DATE(A421,MATCH(B421,{"enero","febrero","marzo","abril","mayo","junio","julio","agosto","septiembre","octubre","noviembre","diciembre"},0)+1,0))</f>
        <v/>
      </c>
      <c r="E421" t="str">
        <f>+IFERROR(VLOOKUP(Fact_Cumplimiento[[#This Row], [Concepto Anterior]],Conceptos_Cumplimiento[#All],5,0),"")</f>
        <v/>
      </c>
      <c r="F421" t="str">
        <f>+IFERROR(VLOOKUP(Fact_Cumplimiento[[#This Row], 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ht="18.75" customHeight="1" x14ac:dyDescent="0.35">
      <c r="C422" s="100" t="str">
        <f>IF(OR(Fact_Cumplimiento[[#This Row], [Año]]="",Fact_Cumplimiento[[#This Row], [Mes]]=""),"",DATE(A422,MATCH(B422,{"enero","febrero","marzo","abril","mayo","junio","julio","agosto","septiembre","octubre","noviembre","diciembre"},0)+1,0))</f>
        <v/>
      </c>
      <c r="E422" t="str">
        <f>+IFERROR(VLOOKUP(Fact_Cumplimiento[[#This Row], [Concepto Anterior]],Conceptos_Cumplimiento[#All],5,0),"")</f>
        <v/>
      </c>
      <c r="F422" t="str">
        <f>+IFERROR(VLOOKUP(Fact_Cumplimiento[[#This Row], 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ht="18.75" customHeight="1" x14ac:dyDescent="0.35">
      <c r="C423" s="100" t="str">
        <f>IF(OR(Fact_Cumplimiento[[#This Row], [Año]]="",Fact_Cumplimiento[[#This Row], [Mes]]=""),"",DATE(A423,MATCH(B423,{"enero","febrero","marzo","abril","mayo","junio","julio","agosto","septiembre","octubre","noviembre","diciembre"},0)+1,0))</f>
        <v/>
      </c>
      <c r="E423" t="str">
        <f>+IFERROR(VLOOKUP(Fact_Cumplimiento[[#This Row], [Concepto Anterior]],Conceptos_Cumplimiento[#All],5,0),"")</f>
        <v/>
      </c>
      <c r="F423" t="str">
        <f>+IFERROR(VLOOKUP(Fact_Cumplimiento[[#This Row], 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ht="18.75" customHeight="1" x14ac:dyDescent="0.35">
      <c r="C424" s="100" t="str">
        <f>IF(OR(Fact_Cumplimiento[[#This Row], [Año]]="",Fact_Cumplimiento[[#This Row], [Mes]]=""),"",DATE(A424,MATCH(B424,{"enero","febrero","marzo","abril","mayo","junio","julio","agosto","septiembre","octubre","noviembre","diciembre"},0)+1,0))</f>
        <v/>
      </c>
      <c r="E424" t="str">
        <f>+IFERROR(VLOOKUP(Fact_Cumplimiento[[#This Row], [Concepto Anterior]],Conceptos_Cumplimiento[#All],5,0),"")</f>
        <v/>
      </c>
      <c r="F424" t="str">
        <f>+IFERROR(VLOOKUP(Fact_Cumplimiento[[#This Row], 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ht="18.75" customHeight="1" x14ac:dyDescent="0.35">
      <c r="C425" s="100" t="str">
        <f>IF(OR(Fact_Cumplimiento[[#This Row], [Año]]="",Fact_Cumplimiento[[#This Row], [Mes]]=""),"",DATE(A425,MATCH(B425,{"enero","febrero","marzo","abril","mayo","junio","julio","agosto","septiembre","octubre","noviembre","diciembre"},0)+1,0))</f>
        <v/>
      </c>
      <c r="E425" t="str">
        <f>+IFERROR(VLOOKUP(Fact_Cumplimiento[[#This Row], [Concepto Anterior]],Conceptos_Cumplimiento[#All],5,0),"")</f>
        <v/>
      </c>
      <c r="F425" t="str">
        <f>+IFERROR(VLOOKUP(Fact_Cumplimiento[[#This Row], 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ht="18.75" customHeight="1" x14ac:dyDescent="0.35">
      <c r="C426" s="100" t="str">
        <f>IF(OR(Fact_Cumplimiento[[#This Row], [Año]]="",Fact_Cumplimiento[[#This Row], [Mes]]=""),"",DATE(A426,MATCH(B426,{"enero","febrero","marzo","abril","mayo","junio","julio","agosto","septiembre","octubre","noviembre","diciembre"},0)+1,0))</f>
        <v/>
      </c>
      <c r="E426" t="str">
        <f>+IFERROR(VLOOKUP(Fact_Cumplimiento[[#This Row], [Concepto Anterior]],Conceptos_Cumplimiento[#All],5,0),"")</f>
        <v/>
      </c>
      <c r="F426" t="str">
        <f>+IFERROR(VLOOKUP(Fact_Cumplimiento[[#This Row], 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ht="18.75" customHeight="1" x14ac:dyDescent="0.35">
      <c r="C427" s="100" t="str">
        <f>IF(OR(Fact_Cumplimiento[[#This Row], [Año]]="",Fact_Cumplimiento[[#This Row], [Mes]]=""),"",DATE(A427,MATCH(B427,{"enero","febrero","marzo","abril","mayo","junio","julio","agosto","septiembre","octubre","noviembre","diciembre"},0)+1,0))</f>
        <v/>
      </c>
      <c r="E427" t="str">
        <f>+IFERROR(VLOOKUP(Fact_Cumplimiento[[#This Row], [Concepto Anterior]],Conceptos_Cumplimiento[#All],5,0),"")</f>
        <v/>
      </c>
      <c r="F427" t="str">
        <f>+IFERROR(VLOOKUP(Fact_Cumplimiento[[#This Row], 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ht="18.75" customHeight="1" x14ac:dyDescent="0.35">
      <c r="C428" s="100" t="str">
        <f>IF(OR(Fact_Cumplimiento[[#This Row], [Año]]="",Fact_Cumplimiento[[#This Row], [Mes]]=""),"",DATE(A428,MATCH(B428,{"enero","febrero","marzo","abril","mayo","junio","julio","agosto","septiembre","octubre","noviembre","diciembre"},0)+1,0))</f>
        <v/>
      </c>
      <c r="E428" t="str">
        <f>+IFERROR(VLOOKUP(Fact_Cumplimiento[[#This Row], [Concepto Anterior]],Conceptos_Cumplimiento[#All],5,0),"")</f>
        <v/>
      </c>
      <c r="F428" t="str">
        <f>+IFERROR(VLOOKUP(Fact_Cumplimiento[[#This Row], 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ht="18.75" customHeight="1" x14ac:dyDescent="0.35">
      <c r="C429" s="100" t="str">
        <f>IF(OR(Fact_Cumplimiento[[#This Row], [Año]]="",Fact_Cumplimiento[[#This Row], [Mes]]=""),"",DATE(A429,MATCH(B429,{"enero","febrero","marzo","abril","mayo","junio","julio","agosto","septiembre","octubre","noviembre","diciembre"},0)+1,0))</f>
        <v/>
      </c>
      <c r="E429" t="str">
        <f>+IFERROR(VLOOKUP(Fact_Cumplimiento[[#This Row], [Concepto Anterior]],Conceptos_Cumplimiento[#All],5,0),"")</f>
        <v/>
      </c>
      <c r="F429" t="str">
        <f>+IFERROR(VLOOKUP(Fact_Cumplimiento[[#This Row], 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ht="18.75" customHeight="1" x14ac:dyDescent="0.35">
      <c r="C430" s="100" t="str">
        <f>IF(OR(Fact_Cumplimiento[[#This Row], [Año]]="",Fact_Cumplimiento[[#This Row], [Mes]]=""),"",DATE(A430,MATCH(B430,{"enero","febrero","marzo","abril","mayo","junio","julio","agosto","septiembre","octubre","noviembre","diciembre"},0)+1,0))</f>
        <v/>
      </c>
      <c r="E430" t="str">
        <f>+IFERROR(VLOOKUP(Fact_Cumplimiento[[#This Row], [Concepto Anterior]],Conceptos_Cumplimiento[#All],5,0),"")</f>
        <v/>
      </c>
      <c r="F430" t="str">
        <f>+IFERROR(VLOOKUP(Fact_Cumplimiento[[#This Row], 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ht="18.75" customHeight="1" x14ac:dyDescent="0.35">
      <c r="C431" s="100" t="str">
        <f>IF(OR(Fact_Cumplimiento[[#This Row], [Año]]="",Fact_Cumplimiento[[#This Row], [Mes]]=""),"",DATE(A431,MATCH(B431,{"enero","febrero","marzo","abril","mayo","junio","julio","agosto","septiembre","octubre","noviembre","diciembre"},0)+1,0))</f>
        <v/>
      </c>
      <c r="E431" t="str">
        <f>+IFERROR(VLOOKUP(Fact_Cumplimiento[[#This Row], [Concepto Anterior]],Conceptos_Cumplimiento[#All],5,0),"")</f>
        <v/>
      </c>
      <c r="F431" t="str">
        <f>+IFERROR(VLOOKUP(Fact_Cumplimiento[[#This Row], 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ht="18.75" customHeight="1" x14ac:dyDescent="0.35">
      <c r="C432" s="100" t="str">
        <f>IF(OR(Fact_Cumplimiento[[#This Row], [Año]]="",Fact_Cumplimiento[[#This Row], [Mes]]=""),"",DATE(A432,MATCH(B432,{"enero","febrero","marzo","abril","mayo","junio","julio","agosto","septiembre","octubre","noviembre","diciembre"},0)+1,0))</f>
        <v/>
      </c>
      <c r="E432" t="str">
        <f>+IFERROR(VLOOKUP(Fact_Cumplimiento[[#This Row], [Concepto Anterior]],Conceptos_Cumplimiento[#All],5,0),"")</f>
        <v/>
      </c>
      <c r="F432" t="str">
        <f>+IFERROR(VLOOKUP(Fact_Cumplimiento[[#This Row], 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ht="18.75" customHeight="1" x14ac:dyDescent="0.35">
      <c r="C433" s="100" t="str">
        <f>IF(OR(Fact_Cumplimiento[[#This Row], [Año]]="",Fact_Cumplimiento[[#This Row], [Mes]]=""),"",DATE(A433,MATCH(B433,{"enero","febrero","marzo","abril","mayo","junio","julio","agosto","septiembre","octubre","noviembre","diciembre"},0)+1,0))</f>
        <v/>
      </c>
      <c r="E433" t="str">
        <f>+IFERROR(VLOOKUP(Fact_Cumplimiento[[#This Row], [Concepto Anterior]],Conceptos_Cumplimiento[#All],5,0),"")</f>
        <v/>
      </c>
      <c r="F433" t="str">
        <f>+IFERROR(VLOOKUP(Fact_Cumplimiento[[#This Row], 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ht="18.75" customHeight="1" x14ac:dyDescent="0.35">
      <c r="C434" s="100" t="str">
        <f>IF(OR(Fact_Cumplimiento[[#This Row], [Año]]="",Fact_Cumplimiento[[#This Row], [Mes]]=""),"",DATE(A434,MATCH(B434,{"enero","febrero","marzo","abril","mayo","junio","julio","agosto","septiembre","octubre","noviembre","diciembre"},0)+1,0))</f>
        <v/>
      </c>
      <c r="E434" t="str">
        <f>+IFERROR(VLOOKUP(Fact_Cumplimiento[[#This Row], [Concepto Anterior]],Conceptos_Cumplimiento[#All],5,0),"")</f>
        <v/>
      </c>
      <c r="F434" t="str">
        <f>+IFERROR(VLOOKUP(Fact_Cumplimiento[[#This Row], 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ht="18.75" customHeight="1" x14ac:dyDescent="0.35">
      <c r="C435" s="100" t="str">
        <f>IF(OR(Fact_Cumplimiento[[#This Row], [Año]]="",Fact_Cumplimiento[[#This Row], [Mes]]=""),"",DATE(A435,MATCH(B435,{"enero","febrero","marzo","abril","mayo","junio","julio","agosto","septiembre","octubre","noviembre","diciembre"},0)+1,0))</f>
        <v/>
      </c>
      <c r="E435" t="str">
        <f>+IFERROR(VLOOKUP(Fact_Cumplimiento[[#This Row], [Concepto Anterior]],Conceptos_Cumplimiento[#All],5,0),"")</f>
        <v/>
      </c>
      <c r="F435" t="str">
        <f>+IFERROR(VLOOKUP(Fact_Cumplimiento[[#This Row], 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ht="18.75" customHeight="1" x14ac:dyDescent="0.35">
      <c r="C436" s="100" t="str">
        <f>IF(OR(Fact_Cumplimiento[[#This Row], [Año]]="",Fact_Cumplimiento[[#This Row], [Mes]]=""),"",DATE(A436,MATCH(B436,{"enero","febrero","marzo","abril","mayo","junio","julio","agosto","septiembre","octubre","noviembre","diciembre"},0)+1,0))</f>
        <v/>
      </c>
      <c r="E436" t="str">
        <f>+IFERROR(VLOOKUP(Fact_Cumplimiento[[#This Row], [Concepto Anterior]],Conceptos_Cumplimiento[#All],5,0),"")</f>
        <v/>
      </c>
      <c r="F436" t="str">
        <f>+IFERROR(VLOOKUP(Fact_Cumplimiento[[#This Row], 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ht="18.75" customHeight="1" x14ac:dyDescent="0.35">
      <c r="C437" s="100" t="str">
        <f>IF(OR(Fact_Cumplimiento[[#This Row], [Año]]="",Fact_Cumplimiento[[#This Row], [Mes]]=""),"",DATE(A437,MATCH(B437,{"enero","febrero","marzo","abril","mayo","junio","julio","agosto","septiembre","octubre","noviembre","diciembre"},0)+1,0))</f>
        <v/>
      </c>
      <c r="E437" t="str">
        <f>+IFERROR(VLOOKUP(Fact_Cumplimiento[[#This Row], [Concepto Anterior]],Conceptos_Cumplimiento[#All],5,0),"")</f>
        <v/>
      </c>
      <c r="F437" t="str">
        <f>+IFERROR(VLOOKUP(Fact_Cumplimiento[[#This Row], 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ht="18.75" customHeight="1" x14ac:dyDescent="0.35">
      <c r="C438" s="100" t="str">
        <f>IF(OR(Fact_Cumplimiento[[#This Row], [Año]]="",Fact_Cumplimiento[[#This Row], [Mes]]=""),"",DATE(A438,MATCH(B438,{"enero","febrero","marzo","abril","mayo","junio","julio","agosto","septiembre","octubre","noviembre","diciembre"},0)+1,0))</f>
        <v/>
      </c>
      <c r="E438" t="str">
        <f>+IFERROR(VLOOKUP(Fact_Cumplimiento[[#This Row], [Concepto Anterior]],Conceptos_Cumplimiento[#All],5,0),"")</f>
        <v/>
      </c>
      <c r="F438" t="str">
        <f>+IFERROR(VLOOKUP(Fact_Cumplimiento[[#This Row], 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ht="18.75" customHeight="1" x14ac:dyDescent="0.35">
      <c r="C439" s="100" t="str">
        <f>IF(OR(Fact_Cumplimiento[[#This Row], [Año]]="",Fact_Cumplimiento[[#This Row], [Mes]]=""),"",DATE(A439,MATCH(B439,{"enero","febrero","marzo","abril","mayo","junio","julio","agosto","septiembre","octubre","noviembre","diciembre"},0)+1,0))</f>
        <v/>
      </c>
      <c r="E439" t="str">
        <f>+IFERROR(VLOOKUP(Fact_Cumplimiento[[#This Row], [Concepto Anterior]],Conceptos_Cumplimiento[#All],5,0),"")</f>
        <v/>
      </c>
      <c r="F439" t="str">
        <f>+IFERROR(VLOOKUP(Fact_Cumplimiento[[#This Row], 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ht="18.75" customHeight="1" x14ac:dyDescent="0.35">
      <c r="C440" s="100" t="str">
        <f>IF(OR(Fact_Cumplimiento[[#This Row], [Año]]="",Fact_Cumplimiento[[#This Row], [Mes]]=""),"",DATE(A440,MATCH(B440,{"enero","febrero","marzo","abril","mayo","junio","julio","agosto","septiembre","octubre","noviembre","diciembre"},0)+1,0))</f>
        <v/>
      </c>
      <c r="E440" t="str">
        <f>+IFERROR(VLOOKUP(Fact_Cumplimiento[[#This Row], [Concepto Anterior]],Conceptos_Cumplimiento[#All],5,0),"")</f>
        <v/>
      </c>
      <c r="F440" t="str">
        <f>+IFERROR(VLOOKUP(Fact_Cumplimiento[[#This Row], 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ht="18.75" customHeight="1" x14ac:dyDescent="0.35">
      <c r="C441" s="100" t="str">
        <f>IF(OR(Fact_Cumplimiento[[#This Row], [Año]]="",Fact_Cumplimiento[[#This Row], [Mes]]=""),"",DATE(A441,MATCH(B441,{"enero","febrero","marzo","abril","mayo","junio","julio","agosto","septiembre","octubre","noviembre","diciembre"},0)+1,0))</f>
        <v/>
      </c>
      <c r="E441" t="str">
        <f>+IFERROR(VLOOKUP(Fact_Cumplimiento[[#This Row], [Concepto Anterior]],Conceptos_Cumplimiento[#All],5,0),"")</f>
        <v/>
      </c>
      <c r="F441" t="str">
        <f>+IFERROR(VLOOKUP(Fact_Cumplimiento[[#This Row], 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ht="18.75" customHeight="1" x14ac:dyDescent="0.35">
      <c r="C442" s="100" t="str">
        <f>IF(OR(Fact_Cumplimiento[[#This Row], [Año]]="",Fact_Cumplimiento[[#This Row], [Mes]]=""),"",DATE(A442,MATCH(B442,{"enero","febrero","marzo","abril","mayo","junio","julio","agosto","septiembre","octubre","noviembre","diciembre"},0)+1,0))</f>
        <v/>
      </c>
      <c r="E442" t="str">
        <f>+IFERROR(VLOOKUP(Fact_Cumplimiento[[#This Row], [Concepto Anterior]],Conceptos_Cumplimiento[#All],5,0),"")</f>
        <v/>
      </c>
      <c r="F442" t="str">
        <f>+IFERROR(VLOOKUP(Fact_Cumplimiento[[#This Row], 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ht="18.75" customHeight="1" x14ac:dyDescent="0.35">
      <c r="C443" s="100" t="str">
        <f>IF(OR(Fact_Cumplimiento[[#This Row], [Año]]="",Fact_Cumplimiento[[#This Row], [Mes]]=""),"",DATE(A443,MATCH(B443,{"enero","febrero","marzo","abril","mayo","junio","julio","agosto","septiembre","octubre","noviembre","diciembre"},0)+1,0))</f>
        <v/>
      </c>
      <c r="E443" t="str">
        <f>+IFERROR(VLOOKUP(Fact_Cumplimiento[[#This Row], [Concepto Anterior]],Conceptos_Cumplimiento[#All],5,0),"")</f>
        <v/>
      </c>
      <c r="F443" t="str">
        <f>+IFERROR(VLOOKUP(Fact_Cumplimiento[[#This Row], 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ht="18.75" customHeight="1" x14ac:dyDescent="0.35">
      <c r="C444" s="100" t="str">
        <f>IF(OR(Fact_Cumplimiento[[#This Row], [Año]]="",Fact_Cumplimiento[[#This Row], [Mes]]=""),"",DATE(A444,MATCH(B444,{"enero","febrero","marzo","abril","mayo","junio","julio","agosto","septiembre","octubre","noviembre","diciembre"},0)+1,0))</f>
        <v/>
      </c>
      <c r="E444" t="str">
        <f>+IFERROR(VLOOKUP(Fact_Cumplimiento[[#This Row], [Concepto Anterior]],Conceptos_Cumplimiento[#All],5,0),"")</f>
        <v/>
      </c>
      <c r="F444" t="str">
        <f>+IFERROR(VLOOKUP(Fact_Cumplimiento[[#This Row], 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ht="18.75" customHeight="1" x14ac:dyDescent="0.35">
      <c r="C445" s="100" t="str">
        <f>IF(OR(Fact_Cumplimiento[[#This Row], [Año]]="",Fact_Cumplimiento[[#This Row], [Mes]]=""),"",DATE(A445,MATCH(B445,{"enero","febrero","marzo","abril","mayo","junio","julio","agosto","septiembre","octubre","noviembre","diciembre"},0)+1,0))</f>
        <v/>
      </c>
      <c r="E445" t="str">
        <f>+IFERROR(VLOOKUP(Fact_Cumplimiento[[#This Row], [Concepto Anterior]],Conceptos_Cumplimiento[#All],5,0),"")</f>
        <v/>
      </c>
      <c r="F445" t="str">
        <f>+IFERROR(VLOOKUP(Fact_Cumplimiento[[#This Row], 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ht="18.75" customHeight="1" x14ac:dyDescent="0.35">
      <c r="C446" s="100" t="str">
        <f>IF(OR(Fact_Cumplimiento[[#This Row], [Año]]="",Fact_Cumplimiento[[#This Row], [Mes]]=""),"",DATE(A446,MATCH(B446,{"enero","febrero","marzo","abril","mayo","junio","julio","agosto","septiembre","octubre","noviembre","diciembre"},0)+1,0))</f>
        <v/>
      </c>
      <c r="E446" t="str">
        <f>+IFERROR(VLOOKUP(Fact_Cumplimiento[[#This Row], [Concepto Anterior]],Conceptos_Cumplimiento[#All],5,0),"")</f>
        <v/>
      </c>
      <c r="F446" t="str">
        <f>+IFERROR(VLOOKUP(Fact_Cumplimiento[[#This Row], 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ht="18.75" customHeight="1" x14ac:dyDescent="0.35">
      <c r="C447" s="100" t="str">
        <f>IF(OR(Fact_Cumplimiento[[#This Row], [Año]]="",Fact_Cumplimiento[[#This Row], [Mes]]=""),"",DATE(A447,MATCH(B447,{"enero","febrero","marzo","abril","mayo","junio","julio","agosto","septiembre","octubre","noviembre","diciembre"},0)+1,0))</f>
        <v/>
      </c>
      <c r="E447" t="str">
        <f>+IFERROR(VLOOKUP(Fact_Cumplimiento[[#This Row], [Concepto Anterior]],Conceptos_Cumplimiento[#All],5,0),"")</f>
        <v/>
      </c>
      <c r="F447" t="str">
        <f>+IFERROR(VLOOKUP(Fact_Cumplimiento[[#This Row], 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ht="18.75" customHeight="1" x14ac:dyDescent="0.35">
      <c r="C448" s="100" t="str">
        <f>IF(OR(Fact_Cumplimiento[[#This Row], [Año]]="",Fact_Cumplimiento[[#This Row], [Mes]]=""),"",DATE(A448,MATCH(B448,{"enero","febrero","marzo","abril","mayo","junio","julio","agosto","septiembre","octubre","noviembre","diciembre"},0)+1,0))</f>
        <v/>
      </c>
      <c r="E448" t="str">
        <f>+IFERROR(VLOOKUP(Fact_Cumplimiento[[#This Row], [Concepto Anterior]],Conceptos_Cumplimiento[#All],5,0),"")</f>
        <v/>
      </c>
      <c r="F448" t="str">
        <f>+IFERROR(VLOOKUP(Fact_Cumplimiento[[#This Row], 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ht="18.75" customHeight="1" x14ac:dyDescent="0.35">
      <c r="C449" s="100" t="str">
        <f>IF(OR(Fact_Cumplimiento[[#This Row], [Año]]="",Fact_Cumplimiento[[#This Row], [Mes]]=""),"",DATE(A449,MATCH(B449,{"enero","febrero","marzo","abril","mayo","junio","julio","agosto","septiembre","octubre","noviembre","diciembre"},0)+1,0))</f>
        <v/>
      </c>
      <c r="E449" t="str">
        <f>+IFERROR(VLOOKUP(Fact_Cumplimiento[[#This Row], [Concepto Anterior]],Conceptos_Cumplimiento[#All],5,0),"")</f>
        <v/>
      </c>
      <c r="F449" t="str">
        <f>+IFERROR(VLOOKUP(Fact_Cumplimiento[[#This Row], 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ht="18.75" customHeight="1" x14ac:dyDescent="0.35">
      <c r="C450" s="100" t="str">
        <f>IF(OR(Fact_Cumplimiento[[#This Row], [Año]]="",Fact_Cumplimiento[[#This Row], [Mes]]=""),"",DATE(A450,MATCH(B450,{"enero","febrero","marzo","abril","mayo","junio","julio","agosto","septiembre","octubre","noviembre","diciembre"},0)+1,0))</f>
        <v/>
      </c>
      <c r="E450" t="str">
        <f>+IFERROR(VLOOKUP(Fact_Cumplimiento[[#This Row], [Concepto Anterior]],Conceptos_Cumplimiento[#All],5,0),"")</f>
        <v/>
      </c>
      <c r="F450" t="str">
        <f>+IFERROR(VLOOKUP(Fact_Cumplimiento[[#This Row], 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ht="18.75" customHeight="1" x14ac:dyDescent="0.35">
      <c r="C451" s="100" t="str">
        <f>IF(OR(Fact_Cumplimiento[[#This Row], [Año]]="",Fact_Cumplimiento[[#This Row], [Mes]]=""),"",DATE(A451,MATCH(B451,{"enero","febrero","marzo","abril","mayo","junio","julio","agosto","septiembre","octubre","noviembre","diciembre"},0)+1,0))</f>
        <v/>
      </c>
      <c r="E451" t="str">
        <f>+IFERROR(VLOOKUP(Fact_Cumplimiento[[#This Row], [Concepto Anterior]],Conceptos_Cumplimiento[#All],5,0),"")</f>
        <v/>
      </c>
      <c r="F451" t="str">
        <f>+IFERROR(VLOOKUP(Fact_Cumplimiento[[#This Row], 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ht="18.75" customHeight="1" x14ac:dyDescent="0.35">
      <c r="C452" s="100" t="str">
        <f>IF(OR(Fact_Cumplimiento[[#This Row], [Año]]="",Fact_Cumplimiento[[#This Row], [Mes]]=""),"",DATE(A452,MATCH(B452,{"enero","febrero","marzo","abril","mayo","junio","julio","agosto","septiembre","octubre","noviembre","diciembre"},0)+1,0))</f>
        <v/>
      </c>
      <c r="E452" t="str">
        <f>+IFERROR(VLOOKUP(Fact_Cumplimiento[[#This Row], [Concepto Anterior]],Conceptos_Cumplimiento[#All],5,0),"")</f>
        <v/>
      </c>
      <c r="F452" t="str">
        <f>+IFERROR(VLOOKUP(Fact_Cumplimiento[[#This Row], 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ht="18.75" customHeight="1" x14ac:dyDescent="0.35">
      <c r="C453" s="100" t="str">
        <f>IF(OR(Fact_Cumplimiento[[#This Row], [Año]]="",Fact_Cumplimiento[[#This Row], [Mes]]=""),"",DATE(A453,MATCH(B453,{"enero","febrero","marzo","abril","mayo","junio","julio","agosto","septiembre","octubre","noviembre","diciembre"},0)+1,0))</f>
        <v/>
      </c>
      <c r="E453" t="str">
        <f>+IFERROR(VLOOKUP(Fact_Cumplimiento[[#This Row], [Concepto Anterior]],Conceptos_Cumplimiento[#All],5,0),"")</f>
        <v/>
      </c>
      <c r="F453" t="str">
        <f>+IFERROR(VLOOKUP(Fact_Cumplimiento[[#This Row], 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ht="18.75" customHeight="1" x14ac:dyDescent="0.35">
      <c r="C454" s="100" t="str">
        <f>IF(OR(Fact_Cumplimiento[[#This Row], [Año]]="",Fact_Cumplimiento[[#This Row], [Mes]]=""),"",DATE(A454,MATCH(B454,{"enero","febrero","marzo","abril","mayo","junio","julio","agosto","septiembre","octubre","noviembre","diciembre"},0)+1,0))</f>
        <v/>
      </c>
      <c r="E454" t="str">
        <f>+IFERROR(VLOOKUP(Fact_Cumplimiento[[#This Row], [Concepto Anterior]],Conceptos_Cumplimiento[#All],5,0),"")</f>
        <v/>
      </c>
      <c r="F454" t="str">
        <f>+IFERROR(VLOOKUP(Fact_Cumplimiento[[#This Row], 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ht="18.75" customHeight="1" x14ac:dyDescent="0.35">
      <c r="C455" s="100" t="str">
        <f>IF(OR(Fact_Cumplimiento[[#This Row], [Año]]="",Fact_Cumplimiento[[#This Row], [Mes]]=""),"",DATE(A455,MATCH(B455,{"enero","febrero","marzo","abril","mayo","junio","julio","agosto","septiembre","octubre","noviembre","diciembre"},0)+1,0))</f>
        <v/>
      </c>
      <c r="E455" t="str">
        <f>+IFERROR(VLOOKUP(Fact_Cumplimiento[[#This Row], [Concepto Anterior]],Conceptos_Cumplimiento[#All],5,0),"")</f>
        <v/>
      </c>
      <c r="F455" t="str">
        <f>+IFERROR(VLOOKUP(Fact_Cumplimiento[[#This Row], 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ht="18.75" customHeight="1" x14ac:dyDescent="0.35">
      <c r="C456" s="100" t="str">
        <f>IF(OR(Fact_Cumplimiento[[#This Row], [Año]]="",Fact_Cumplimiento[[#This Row], [Mes]]=""),"",DATE(A456,MATCH(B456,{"enero","febrero","marzo","abril","mayo","junio","julio","agosto","septiembre","octubre","noviembre","diciembre"},0)+1,0))</f>
        <v/>
      </c>
      <c r="E456" t="str">
        <f>+IFERROR(VLOOKUP(Fact_Cumplimiento[[#This Row], [Concepto Anterior]],Conceptos_Cumplimiento[#All],5,0),"")</f>
        <v/>
      </c>
      <c r="F456" t="str">
        <f>+IFERROR(VLOOKUP(Fact_Cumplimiento[[#This Row], 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ht="18.75" customHeight="1" x14ac:dyDescent="0.35">
      <c r="C457" s="100" t="str">
        <f>IF(OR(Fact_Cumplimiento[[#This Row], [Año]]="",Fact_Cumplimiento[[#This Row], [Mes]]=""),"",DATE(A457,MATCH(B457,{"enero","febrero","marzo","abril","mayo","junio","julio","agosto","septiembre","octubre","noviembre","diciembre"},0)+1,0))</f>
        <v/>
      </c>
      <c r="E457" t="str">
        <f>+IFERROR(VLOOKUP(Fact_Cumplimiento[[#This Row], [Concepto Anterior]],Conceptos_Cumplimiento[#All],5,0),"")</f>
        <v/>
      </c>
      <c r="F457" t="str">
        <f>+IFERROR(VLOOKUP(Fact_Cumplimiento[[#This Row], 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ht="18.75" customHeight="1" x14ac:dyDescent="0.35">
      <c r="C458" s="100" t="str">
        <f>IF(OR(Fact_Cumplimiento[[#This Row], [Año]]="",Fact_Cumplimiento[[#This Row], [Mes]]=""),"",DATE(A458,MATCH(B458,{"enero","febrero","marzo","abril","mayo","junio","julio","agosto","septiembre","octubre","noviembre","diciembre"},0)+1,0))</f>
        <v/>
      </c>
      <c r="E458" t="str">
        <f>+IFERROR(VLOOKUP(Fact_Cumplimiento[[#This Row], [Concepto Anterior]],Conceptos_Cumplimiento[#All],5,0),"")</f>
        <v/>
      </c>
      <c r="F458" t="str">
        <f>+IFERROR(VLOOKUP(Fact_Cumplimiento[[#This Row], 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ht="18.75" customHeight="1" x14ac:dyDescent="0.35">
      <c r="C459" s="100" t="str">
        <f>IF(OR(Fact_Cumplimiento[[#This Row], [Año]]="",Fact_Cumplimiento[[#This Row], [Mes]]=""),"",DATE(A459,MATCH(B459,{"enero","febrero","marzo","abril","mayo","junio","julio","agosto","septiembre","octubre","noviembre","diciembre"},0)+1,0))</f>
        <v/>
      </c>
      <c r="E459" t="str">
        <f>+IFERROR(VLOOKUP(Fact_Cumplimiento[[#This Row], [Concepto Anterior]],Conceptos_Cumplimiento[#All],5,0),"")</f>
        <v/>
      </c>
      <c r="F459" t="str">
        <f>+IFERROR(VLOOKUP(Fact_Cumplimiento[[#This Row], 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ht="18.75" customHeight="1" x14ac:dyDescent="0.35">
      <c r="C460" s="100" t="str">
        <f>IF(OR(Fact_Cumplimiento[[#This Row], [Año]]="",Fact_Cumplimiento[[#This Row], [Mes]]=""),"",DATE(A460,MATCH(B460,{"enero","febrero","marzo","abril","mayo","junio","julio","agosto","septiembre","octubre","noviembre","diciembre"},0)+1,0))</f>
        <v/>
      </c>
      <c r="E460" t="str">
        <f>+IFERROR(VLOOKUP(Fact_Cumplimiento[[#This Row], [Concepto Anterior]],Conceptos_Cumplimiento[#All],5,0),"")</f>
        <v/>
      </c>
      <c r="F460" t="str">
        <f>+IFERROR(VLOOKUP(Fact_Cumplimiento[[#This Row], 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ht="18.75" customHeight="1" x14ac:dyDescent="0.35">
      <c r="C461" s="100" t="str">
        <f>IF(OR(Fact_Cumplimiento[[#This Row], [Año]]="",Fact_Cumplimiento[[#This Row], [Mes]]=""),"",DATE(A461,MATCH(B461,{"enero","febrero","marzo","abril","mayo","junio","julio","agosto","septiembre","octubre","noviembre","diciembre"},0)+1,0))</f>
        <v/>
      </c>
      <c r="E461" t="str">
        <f>+IFERROR(VLOOKUP(Fact_Cumplimiento[[#This Row], [Concepto Anterior]],Conceptos_Cumplimiento[#All],5,0),"")</f>
        <v/>
      </c>
      <c r="F461" t="str">
        <f>+IFERROR(VLOOKUP(Fact_Cumplimiento[[#This Row], 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ht="18.75" customHeight="1" x14ac:dyDescent="0.35">
      <c r="C462" s="100" t="str">
        <f>IF(OR(Fact_Cumplimiento[[#This Row], [Año]]="",Fact_Cumplimiento[[#This Row], [Mes]]=""),"",DATE(A462,MATCH(B462,{"enero","febrero","marzo","abril","mayo","junio","julio","agosto","septiembre","octubre","noviembre","diciembre"},0)+1,0))</f>
        <v/>
      </c>
      <c r="E462" t="str">
        <f>+IFERROR(VLOOKUP(Fact_Cumplimiento[[#This Row], [Concepto Anterior]],Conceptos_Cumplimiento[#All],5,0),"")</f>
        <v/>
      </c>
      <c r="F462" t="str">
        <f>+IFERROR(VLOOKUP(Fact_Cumplimiento[[#This Row], 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ht="18.75" customHeight="1" x14ac:dyDescent="0.35">
      <c r="C463" s="100" t="str">
        <f>IF(OR(Fact_Cumplimiento[[#This Row], [Año]]="",Fact_Cumplimiento[[#This Row], [Mes]]=""),"",DATE(A463,MATCH(B463,{"enero","febrero","marzo","abril","mayo","junio","julio","agosto","septiembre","octubre","noviembre","diciembre"},0)+1,0))</f>
        <v/>
      </c>
      <c r="E463" t="str">
        <f>+IFERROR(VLOOKUP(Fact_Cumplimiento[[#This Row], [Concepto Anterior]],Conceptos_Cumplimiento[#All],5,0),"")</f>
        <v/>
      </c>
      <c r="F463" t="str">
        <f>+IFERROR(VLOOKUP(Fact_Cumplimiento[[#This Row], 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ht="18.75" customHeight="1" x14ac:dyDescent="0.35">
      <c r="C464" s="100" t="str">
        <f>IF(OR(Fact_Cumplimiento[[#This Row], [Año]]="",Fact_Cumplimiento[[#This Row], [Mes]]=""),"",DATE(A464,MATCH(B464,{"enero","febrero","marzo","abril","mayo","junio","julio","agosto","septiembre","octubre","noviembre","diciembre"},0)+1,0))</f>
        <v/>
      </c>
      <c r="E464" t="str">
        <f>+IFERROR(VLOOKUP(Fact_Cumplimiento[[#This Row], [Concepto Anterior]],Conceptos_Cumplimiento[#All],5,0),"")</f>
        <v/>
      </c>
      <c r="F464" t="str">
        <f>+IFERROR(VLOOKUP(Fact_Cumplimiento[[#This Row], 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ht="18.75" customHeight="1" x14ac:dyDescent="0.35">
      <c r="C465" s="100" t="str">
        <f>IF(OR(Fact_Cumplimiento[[#This Row], [Año]]="",Fact_Cumplimiento[[#This Row], [Mes]]=""),"",DATE(A465,MATCH(B465,{"enero","febrero","marzo","abril","mayo","junio","julio","agosto","septiembre","octubre","noviembre","diciembre"},0)+1,0))</f>
        <v/>
      </c>
      <c r="E465" t="str">
        <f>+IFERROR(VLOOKUP(Fact_Cumplimiento[[#This Row], [Concepto Anterior]],Conceptos_Cumplimiento[#All],5,0),"")</f>
        <v/>
      </c>
      <c r="F465" t="str">
        <f>+IFERROR(VLOOKUP(Fact_Cumplimiento[[#This Row], 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ht="18.75" customHeight="1" x14ac:dyDescent="0.35">
      <c r="C466" s="100" t="str">
        <f>IF(OR(Fact_Cumplimiento[[#This Row], [Año]]="",Fact_Cumplimiento[[#This Row], [Mes]]=""),"",DATE(A466,MATCH(B466,{"enero","febrero","marzo","abril","mayo","junio","julio","agosto","septiembre","octubre","noviembre","diciembre"},0)+1,0))</f>
        <v/>
      </c>
      <c r="E466" t="str">
        <f>+IFERROR(VLOOKUP(Fact_Cumplimiento[[#This Row], [Concepto Anterior]],Conceptos_Cumplimiento[#All],5,0),"")</f>
        <v/>
      </c>
      <c r="F466" t="str">
        <f>+IFERROR(VLOOKUP(Fact_Cumplimiento[[#This Row], 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ht="18.75" customHeight="1" x14ac:dyDescent="0.35">
      <c r="C467" s="100" t="str">
        <f>IF(OR(Fact_Cumplimiento[[#This Row], [Año]]="",Fact_Cumplimiento[[#This Row], [Mes]]=""),"",DATE(A467,MATCH(B467,{"enero","febrero","marzo","abril","mayo","junio","julio","agosto","septiembre","octubre","noviembre","diciembre"},0)+1,0))</f>
        <v/>
      </c>
      <c r="E467" t="str">
        <f>+IFERROR(VLOOKUP(Fact_Cumplimiento[[#This Row], [Concepto Anterior]],Conceptos_Cumplimiento[#All],5,0),"")</f>
        <v/>
      </c>
      <c r="F467" t="str">
        <f>+IFERROR(VLOOKUP(Fact_Cumplimiento[[#This Row], 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ht="18.75" customHeight="1" x14ac:dyDescent="0.35">
      <c r="C468" s="100" t="str">
        <f>IF(OR(Fact_Cumplimiento[[#This Row], [Año]]="",Fact_Cumplimiento[[#This Row], [Mes]]=""),"",DATE(A468,MATCH(B468,{"enero","febrero","marzo","abril","mayo","junio","julio","agosto","septiembre","octubre","noviembre","diciembre"},0)+1,0))</f>
        <v/>
      </c>
      <c r="E468" t="str">
        <f>+IFERROR(VLOOKUP(Fact_Cumplimiento[[#This Row], [Concepto Anterior]],Conceptos_Cumplimiento[#All],5,0),"")</f>
        <v/>
      </c>
      <c r="F468" t="str">
        <f>+IFERROR(VLOOKUP(Fact_Cumplimiento[[#This Row], 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ht="18.75" customHeight="1" x14ac:dyDescent="0.35">
      <c r="C469" s="100" t="str">
        <f>IF(OR(Fact_Cumplimiento[[#This Row], [Año]]="",Fact_Cumplimiento[[#This Row], [Mes]]=""),"",DATE(A469,MATCH(B469,{"enero","febrero","marzo","abril","mayo","junio","julio","agosto","septiembre","octubre","noviembre","diciembre"},0)+1,0))</f>
        <v/>
      </c>
      <c r="E469" t="str">
        <f>+IFERROR(VLOOKUP(Fact_Cumplimiento[[#This Row], [Concepto Anterior]],Conceptos_Cumplimiento[#All],5,0),"")</f>
        <v/>
      </c>
      <c r="F469" t="str">
        <f>+IFERROR(VLOOKUP(Fact_Cumplimiento[[#This Row], 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ht="18.75" customHeight="1" x14ac:dyDescent="0.35">
      <c r="C470" s="100" t="str">
        <f>IF(OR(Fact_Cumplimiento[[#This Row], [Año]]="",Fact_Cumplimiento[[#This Row], [Mes]]=""),"",DATE(A470,MATCH(B470,{"enero","febrero","marzo","abril","mayo","junio","julio","agosto","septiembre","octubre","noviembre","diciembre"},0)+1,0))</f>
        <v/>
      </c>
      <c r="E470" t="str">
        <f>+IFERROR(VLOOKUP(Fact_Cumplimiento[[#This Row], [Concepto Anterior]],Conceptos_Cumplimiento[#All],5,0),"")</f>
        <v/>
      </c>
      <c r="F470" t="str">
        <f>+IFERROR(VLOOKUP(Fact_Cumplimiento[[#This Row], 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ht="18.75" customHeight="1" x14ac:dyDescent="0.35">
      <c r="C471" s="100" t="str">
        <f>IF(OR(Fact_Cumplimiento[[#This Row], [Año]]="",Fact_Cumplimiento[[#This Row], [Mes]]=""),"",DATE(A471,MATCH(B471,{"enero","febrero","marzo","abril","mayo","junio","julio","agosto","septiembre","octubre","noviembre","diciembre"},0)+1,0))</f>
        <v/>
      </c>
      <c r="E471" t="str">
        <f>+IFERROR(VLOOKUP(Fact_Cumplimiento[[#This Row], [Concepto Anterior]],Conceptos_Cumplimiento[#All],5,0),"")</f>
        <v/>
      </c>
      <c r="F471" t="str">
        <f>+IFERROR(VLOOKUP(Fact_Cumplimiento[[#This Row], 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ht="18.75" customHeight="1" x14ac:dyDescent="0.35">
      <c r="C472" s="100" t="str">
        <f>IF(OR(Fact_Cumplimiento[[#This Row], [Año]]="",Fact_Cumplimiento[[#This Row], [Mes]]=""),"",DATE(A472,MATCH(B472,{"enero","febrero","marzo","abril","mayo","junio","julio","agosto","septiembre","octubre","noviembre","diciembre"},0)+1,0))</f>
        <v/>
      </c>
      <c r="E472" t="str">
        <f>+IFERROR(VLOOKUP(Fact_Cumplimiento[[#This Row], [Concepto Anterior]],Conceptos_Cumplimiento[#All],5,0),"")</f>
        <v/>
      </c>
      <c r="F472" t="str">
        <f>+IFERROR(VLOOKUP(Fact_Cumplimiento[[#This Row], 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ht="18.75" customHeight="1" x14ac:dyDescent="0.35">
      <c r="C473" s="100" t="str">
        <f>IF(OR(Fact_Cumplimiento[[#This Row], [Año]]="",Fact_Cumplimiento[[#This Row], [Mes]]=""),"",DATE(A473,MATCH(B473,{"enero","febrero","marzo","abril","mayo","junio","julio","agosto","septiembre","octubre","noviembre","diciembre"},0)+1,0))</f>
        <v/>
      </c>
      <c r="E473" t="str">
        <f>+IFERROR(VLOOKUP(Fact_Cumplimiento[[#This Row], [Concepto Anterior]],Conceptos_Cumplimiento[#All],5,0),"")</f>
        <v/>
      </c>
      <c r="F473" t="str">
        <f>+IFERROR(VLOOKUP(Fact_Cumplimiento[[#This Row], 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ht="18.75" customHeight="1" x14ac:dyDescent="0.35">
      <c r="C474" s="100" t="str">
        <f>IF(OR(Fact_Cumplimiento[[#This Row], [Año]]="",Fact_Cumplimiento[[#This Row], [Mes]]=""),"",DATE(A474,MATCH(B474,{"enero","febrero","marzo","abril","mayo","junio","julio","agosto","septiembre","octubre","noviembre","diciembre"},0)+1,0))</f>
        <v/>
      </c>
      <c r="E474" t="str">
        <f>+IFERROR(VLOOKUP(Fact_Cumplimiento[[#This Row], [Concepto Anterior]],Conceptos_Cumplimiento[#All],5,0),"")</f>
        <v/>
      </c>
      <c r="F474" t="str">
        <f>+IFERROR(VLOOKUP(Fact_Cumplimiento[[#This Row], 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ht="18.75" customHeight="1" x14ac:dyDescent="0.35">
      <c r="C475" s="100" t="str">
        <f>IF(OR(Fact_Cumplimiento[[#This Row], [Año]]="",Fact_Cumplimiento[[#This Row], [Mes]]=""),"",DATE(A475,MATCH(B475,{"enero","febrero","marzo","abril","mayo","junio","julio","agosto","septiembre","octubre","noviembre","diciembre"},0)+1,0))</f>
        <v/>
      </c>
      <c r="E475" t="str">
        <f>+IFERROR(VLOOKUP(Fact_Cumplimiento[[#This Row], [Concepto Anterior]],Conceptos_Cumplimiento[#All],5,0),"")</f>
        <v/>
      </c>
      <c r="F475" t="str">
        <f>+IFERROR(VLOOKUP(Fact_Cumplimiento[[#This Row], 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ht="18.75" customHeight="1" x14ac:dyDescent="0.35">
      <c r="C476" s="100" t="str">
        <f>IF(OR(Fact_Cumplimiento[[#This Row], [Año]]="",Fact_Cumplimiento[[#This Row], [Mes]]=""),"",DATE(A476,MATCH(B476,{"enero","febrero","marzo","abril","mayo","junio","julio","agosto","septiembre","octubre","noviembre","diciembre"},0)+1,0))</f>
        <v/>
      </c>
      <c r="E476" t="str">
        <f>+IFERROR(VLOOKUP(Fact_Cumplimiento[[#This Row], [Concepto Anterior]],Conceptos_Cumplimiento[#All],5,0),"")</f>
        <v/>
      </c>
      <c r="F476" t="str">
        <f>+IFERROR(VLOOKUP(Fact_Cumplimiento[[#This Row], 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ht="18.75" customHeight="1" x14ac:dyDescent="0.35">
      <c r="C477" s="100" t="str">
        <f>IF(OR(Fact_Cumplimiento[[#This Row], [Año]]="",Fact_Cumplimiento[[#This Row], [Mes]]=""),"",DATE(A477,MATCH(B477,{"enero","febrero","marzo","abril","mayo","junio","julio","agosto","septiembre","octubre","noviembre","diciembre"},0)+1,0))</f>
        <v/>
      </c>
      <c r="E477" t="str">
        <f>+IFERROR(VLOOKUP(Fact_Cumplimiento[[#This Row], [Concepto Anterior]],Conceptos_Cumplimiento[#All],5,0),"")</f>
        <v/>
      </c>
      <c r="F477" t="str">
        <f>+IFERROR(VLOOKUP(Fact_Cumplimiento[[#This Row], 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ht="18.75" customHeight="1" x14ac:dyDescent="0.35">
      <c r="C478" s="100" t="str">
        <f>IF(OR(Fact_Cumplimiento[[#This Row], [Año]]="",Fact_Cumplimiento[[#This Row], [Mes]]=""),"",DATE(A478,MATCH(B478,{"enero","febrero","marzo","abril","mayo","junio","julio","agosto","septiembre","octubre","noviembre","diciembre"},0)+1,0))</f>
        <v/>
      </c>
      <c r="E478" t="str">
        <f>+IFERROR(VLOOKUP(Fact_Cumplimiento[[#This Row], [Concepto Anterior]],Conceptos_Cumplimiento[#All],5,0),"")</f>
        <v/>
      </c>
      <c r="F478" t="str">
        <f>+IFERROR(VLOOKUP(Fact_Cumplimiento[[#This Row], 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ht="18.75" customHeight="1" x14ac:dyDescent="0.35">
      <c r="C479" s="100" t="str">
        <f>IF(OR(Fact_Cumplimiento[[#This Row], [Año]]="",Fact_Cumplimiento[[#This Row], [Mes]]=""),"",DATE(A479,MATCH(B479,{"enero","febrero","marzo","abril","mayo","junio","julio","agosto","septiembre","octubre","noviembre","diciembre"},0)+1,0))</f>
        <v/>
      </c>
      <c r="E479" t="str">
        <f>+IFERROR(VLOOKUP(Fact_Cumplimiento[[#This Row], [Concepto Anterior]],Conceptos_Cumplimiento[#All],5,0),"")</f>
        <v/>
      </c>
      <c r="F479" t="str">
        <f>+IFERROR(VLOOKUP(Fact_Cumplimiento[[#This Row], 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ht="18.75" customHeight="1" x14ac:dyDescent="0.35">
      <c r="C480" s="100" t="str">
        <f>IF(OR(Fact_Cumplimiento[[#This Row], [Año]]="",Fact_Cumplimiento[[#This Row], [Mes]]=""),"",DATE(A480,MATCH(B480,{"enero","febrero","marzo","abril","mayo","junio","julio","agosto","septiembre","octubre","noviembre","diciembre"},0)+1,0))</f>
        <v/>
      </c>
      <c r="E480" t="str">
        <f>+IFERROR(VLOOKUP(Fact_Cumplimiento[[#This Row], [Concepto Anterior]],Conceptos_Cumplimiento[#All],5,0),"")</f>
        <v/>
      </c>
      <c r="F480" t="str">
        <f>+IFERROR(VLOOKUP(Fact_Cumplimiento[[#This Row], 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ht="18.75" customHeight="1" x14ac:dyDescent="0.35">
      <c r="C481" s="100" t="str">
        <f>IF(OR(Fact_Cumplimiento[[#This Row], [Año]]="",Fact_Cumplimiento[[#This Row], [Mes]]=""),"",DATE(A481,MATCH(B481,{"enero","febrero","marzo","abril","mayo","junio","julio","agosto","septiembre","octubre","noviembre","diciembre"},0)+1,0))</f>
        <v/>
      </c>
      <c r="E481" t="str">
        <f>+IFERROR(VLOOKUP(Fact_Cumplimiento[[#This Row], [Concepto Anterior]],Conceptos_Cumplimiento[#All],5,0),"")</f>
        <v/>
      </c>
      <c r="F481" t="str">
        <f>+IFERROR(VLOOKUP(Fact_Cumplimiento[[#This Row], 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ht="18.75" customHeight="1" x14ac:dyDescent="0.35">
      <c r="C482" s="100" t="str">
        <f>IF(OR(Fact_Cumplimiento[[#This Row], [Año]]="",Fact_Cumplimiento[[#This Row], [Mes]]=""),"",DATE(A482,MATCH(B482,{"enero","febrero","marzo","abril","mayo","junio","julio","agosto","septiembre","octubre","noviembre","diciembre"},0)+1,0))</f>
        <v/>
      </c>
      <c r="E482" t="str">
        <f>+IFERROR(VLOOKUP(Fact_Cumplimiento[[#This Row], [Concepto Anterior]],Conceptos_Cumplimiento[#All],5,0),"")</f>
        <v/>
      </c>
      <c r="F482" t="str">
        <f>+IFERROR(VLOOKUP(Fact_Cumplimiento[[#This Row], 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ht="18.75" customHeight="1" x14ac:dyDescent="0.35">
      <c r="C483" s="100" t="str">
        <f>IF(OR(Fact_Cumplimiento[[#This Row], [Año]]="",Fact_Cumplimiento[[#This Row], [Mes]]=""),"",DATE(A483,MATCH(B483,{"enero","febrero","marzo","abril","mayo","junio","julio","agosto","septiembre","octubre","noviembre","diciembre"},0)+1,0))</f>
        <v/>
      </c>
      <c r="E483" t="str">
        <f>+IFERROR(VLOOKUP(Fact_Cumplimiento[[#This Row], [Concepto Anterior]],Conceptos_Cumplimiento[#All],5,0),"")</f>
        <v/>
      </c>
      <c r="F483" t="str">
        <f>+IFERROR(VLOOKUP(Fact_Cumplimiento[[#This Row], 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ht="18.75" customHeight="1" x14ac:dyDescent="0.35">
      <c r="C484" s="100" t="str">
        <f>IF(OR(Fact_Cumplimiento[[#This Row], [Año]]="",Fact_Cumplimiento[[#This Row], [Mes]]=""),"",DATE(A484,MATCH(B484,{"enero","febrero","marzo","abril","mayo","junio","julio","agosto","septiembre","octubre","noviembre","diciembre"},0)+1,0))</f>
        <v/>
      </c>
      <c r="E484" t="str">
        <f>+IFERROR(VLOOKUP(Fact_Cumplimiento[[#This Row], [Concepto Anterior]],Conceptos_Cumplimiento[#All],5,0),"")</f>
        <v/>
      </c>
      <c r="F484" t="str">
        <f>+IFERROR(VLOOKUP(Fact_Cumplimiento[[#This Row], 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ht="18.75" customHeight="1" x14ac:dyDescent="0.35">
      <c r="C485" s="100" t="str">
        <f>IF(OR(Fact_Cumplimiento[[#This Row], [Año]]="",Fact_Cumplimiento[[#This Row], [Mes]]=""),"",DATE(A485,MATCH(B485,{"enero","febrero","marzo","abril","mayo","junio","julio","agosto","septiembre","octubre","noviembre","diciembre"},0)+1,0))</f>
        <v/>
      </c>
      <c r="E485" t="str">
        <f>+IFERROR(VLOOKUP(Fact_Cumplimiento[[#This Row], [Concepto Anterior]],Conceptos_Cumplimiento[#All],5,0),"")</f>
        <v/>
      </c>
      <c r="F485" t="str">
        <f>+IFERROR(VLOOKUP(Fact_Cumplimiento[[#This Row], 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ht="18.75" customHeight="1" x14ac:dyDescent="0.35">
      <c r="C486" s="100" t="str">
        <f>IF(OR(Fact_Cumplimiento[[#This Row], [Año]]="",Fact_Cumplimiento[[#This Row], [Mes]]=""),"",DATE(A486,MATCH(B486,{"enero","febrero","marzo","abril","mayo","junio","julio","agosto","septiembre","octubre","noviembre","diciembre"},0)+1,0))</f>
        <v/>
      </c>
      <c r="E486" t="str">
        <f>+IFERROR(VLOOKUP(Fact_Cumplimiento[[#This Row], [Concepto Anterior]],Conceptos_Cumplimiento[#All],5,0),"")</f>
        <v/>
      </c>
      <c r="F486" t="str">
        <f>+IFERROR(VLOOKUP(Fact_Cumplimiento[[#This Row], 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ht="18.75" customHeight="1" x14ac:dyDescent="0.35">
      <c r="C487" s="100" t="str">
        <f>IF(OR(Fact_Cumplimiento[[#This Row], [Año]]="",Fact_Cumplimiento[[#This Row], [Mes]]=""),"",DATE(A487,MATCH(B487,{"enero","febrero","marzo","abril","mayo","junio","julio","agosto","septiembre","octubre","noviembre","diciembre"},0)+1,0))</f>
        <v/>
      </c>
      <c r="E487" t="str">
        <f>+IFERROR(VLOOKUP(Fact_Cumplimiento[[#This Row], [Concepto Anterior]],Conceptos_Cumplimiento[#All],5,0),"")</f>
        <v/>
      </c>
      <c r="F487" t="str">
        <f>+IFERROR(VLOOKUP(Fact_Cumplimiento[[#This Row], 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ht="18.75" customHeight="1" x14ac:dyDescent="0.35">
      <c r="C488" s="100" t="str">
        <f>IF(OR(Fact_Cumplimiento[[#This Row], [Año]]="",Fact_Cumplimiento[[#This Row], [Mes]]=""),"",DATE(A488,MATCH(B488,{"enero","febrero","marzo","abril","mayo","junio","julio","agosto","septiembre","octubre","noviembre","diciembre"},0)+1,0))</f>
        <v/>
      </c>
      <c r="E488" t="str">
        <f>+IFERROR(VLOOKUP(Fact_Cumplimiento[[#This Row], [Concepto Anterior]],Conceptos_Cumplimiento[#All],5,0),"")</f>
        <v/>
      </c>
      <c r="F488" t="str">
        <f>+IFERROR(VLOOKUP(Fact_Cumplimiento[[#This Row], 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ht="18.75" customHeight="1" x14ac:dyDescent="0.35">
      <c r="C489" s="100" t="str">
        <f>IF(OR(Fact_Cumplimiento[[#This Row], [Año]]="",Fact_Cumplimiento[[#This Row], [Mes]]=""),"",DATE(A489,MATCH(B489,{"enero","febrero","marzo","abril","mayo","junio","julio","agosto","septiembre","octubre","noviembre","diciembre"},0)+1,0))</f>
        <v/>
      </c>
      <c r="E489" t="str">
        <f>+IFERROR(VLOOKUP(Fact_Cumplimiento[[#This Row], [Concepto Anterior]],Conceptos_Cumplimiento[#All],5,0),"")</f>
        <v/>
      </c>
      <c r="F489" t="str">
        <f>+IFERROR(VLOOKUP(Fact_Cumplimiento[[#This Row], 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ht="18.75" customHeight="1" x14ac:dyDescent="0.35">
      <c r="C490" s="100" t="str">
        <f>IF(OR(Fact_Cumplimiento[[#This Row], [Año]]="",Fact_Cumplimiento[[#This Row], [Mes]]=""),"",DATE(A490,MATCH(B490,{"enero","febrero","marzo","abril","mayo","junio","julio","agosto","septiembre","octubre","noviembre","diciembre"},0)+1,0))</f>
        <v/>
      </c>
      <c r="E490" t="str">
        <f>+IFERROR(VLOOKUP(Fact_Cumplimiento[[#This Row], [Concepto Anterior]],Conceptos_Cumplimiento[#All],5,0),"")</f>
        <v/>
      </c>
      <c r="F490" t="str">
        <f>+IFERROR(VLOOKUP(Fact_Cumplimiento[[#This Row], 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ht="18.75" customHeight="1" x14ac:dyDescent="0.35">
      <c r="C491" s="100" t="str">
        <f>IF(OR(Fact_Cumplimiento[[#This Row], [Año]]="",Fact_Cumplimiento[[#This Row], [Mes]]=""),"",DATE(A491,MATCH(B491,{"enero","febrero","marzo","abril","mayo","junio","julio","agosto","septiembre","octubre","noviembre","diciembre"},0)+1,0))</f>
        <v/>
      </c>
      <c r="E491" t="str">
        <f>+IFERROR(VLOOKUP(Fact_Cumplimiento[[#This Row], [Concepto Anterior]],Conceptos_Cumplimiento[#All],5,0),"")</f>
        <v/>
      </c>
      <c r="F491" t="str">
        <f>+IFERROR(VLOOKUP(Fact_Cumplimiento[[#This Row], 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ht="18.75" customHeight="1" x14ac:dyDescent="0.35">
      <c r="C492" s="100" t="str">
        <f>IF(OR(Fact_Cumplimiento[[#This Row], [Año]]="",Fact_Cumplimiento[[#This Row], [Mes]]=""),"",DATE(A492,MATCH(B492,{"enero","febrero","marzo","abril","mayo","junio","julio","agosto","septiembre","octubre","noviembre","diciembre"},0)+1,0))</f>
        <v/>
      </c>
      <c r="E492" t="str">
        <f>+IFERROR(VLOOKUP(Fact_Cumplimiento[[#This Row], [Concepto Anterior]],Conceptos_Cumplimiento[#All],5,0),"")</f>
        <v/>
      </c>
      <c r="F492" t="str">
        <f>+IFERROR(VLOOKUP(Fact_Cumplimiento[[#This Row], 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ht="18.75" customHeight="1" x14ac:dyDescent="0.35">
      <c r="C493" s="100" t="str">
        <f>IF(OR(Fact_Cumplimiento[[#This Row], [Año]]="",Fact_Cumplimiento[[#This Row], [Mes]]=""),"",DATE(A493,MATCH(B493,{"enero","febrero","marzo","abril","mayo","junio","julio","agosto","septiembre","octubre","noviembre","diciembre"},0)+1,0))</f>
        <v/>
      </c>
      <c r="E493" t="str">
        <f>+IFERROR(VLOOKUP(Fact_Cumplimiento[[#This Row], [Concepto Anterior]],Conceptos_Cumplimiento[#All],5,0),"")</f>
        <v/>
      </c>
      <c r="F493" t="str">
        <f>+IFERROR(VLOOKUP(Fact_Cumplimiento[[#This Row], 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ht="18.75" customHeight="1" x14ac:dyDescent="0.35">
      <c r="C494" s="100" t="str">
        <f>IF(OR(Fact_Cumplimiento[[#This Row], [Año]]="",Fact_Cumplimiento[[#This Row], [Mes]]=""),"",DATE(A494,MATCH(B494,{"enero","febrero","marzo","abril","mayo","junio","julio","agosto","septiembre","octubre","noviembre","diciembre"},0)+1,0))</f>
        <v/>
      </c>
      <c r="E494" t="str">
        <f>+IFERROR(VLOOKUP(Fact_Cumplimiento[[#This Row], [Concepto Anterior]],Conceptos_Cumplimiento[#All],5,0),"")</f>
        <v/>
      </c>
      <c r="F494" t="str">
        <f>+IFERROR(VLOOKUP(Fact_Cumplimiento[[#This Row], 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ht="18.75" customHeight="1" x14ac:dyDescent="0.35">
      <c r="C495" s="100" t="str">
        <f>IF(OR(Fact_Cumplimiento[[#This Row], [Año]]="",Fact_Cumplimiento[[#This Row], [Mes]]=""),"",DATE(A495,MATCH(B495,{"enero","febrero","marzo","abril","mayo","junio","julio","agosto","septiembre","octubre","noviembre","diciembre"},0)+1,0))</f>
        <v/>
      </c>
      <c r="E495" t="str">
        <f>+IFERROR(VLOOKUP(Fact_Cumplimiento[[#This Row], [Concepto Anterior]],Conceptos_Cumplimiento[#All],5,0),"")</f>
        <v/>
      </c>
      <c r="F495" t="str">
        <f>+IFERROR(VLOOKUP(Fact_Cumplimiento[[#This Row], 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ht="18.75" customHeight="1" x14ac:dyDescent="0.35">
      <c r="C496" s="100" t="str">
        <f>IF(OR(Fact_Cumplimiento[[#This Row], [Año]]="",Fact_Cumplimiento[[#This Row], [Mes]]=""),"",DATE(A496,MATCH(B496,{"enero","febrero","marzo","abril","mayo","junio","julio","agosto","septiembre","octubre","noviembre","diciembre"},0)+1,0))</f>
        <v/>
      </c>
      <c r="E496" t="str">
        <f>+IFERROR(VLOOKUP(Fact_Cumplimiento[[#This Row], [Concepto Anterior]],Conceptos_Cumplimiento[#All],5,0),"")</f>
        <v/>
      </c>
      <c r="F496" t="str">
        <f>+IFERROR(VLOOKUP(Fact_Cumplimiento[[#This Row], 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ht="18.75" customHeight="1" x14ac:dyDescent="0.35">
      <c r="C497" s="100" t="str">
        <f>IF(OR(Fact_Cumplimiento[[#This Row], [Año]]="",Fact_Cumplimiento[[#This Row], [Mes]]=""),"",DATE(A497,MATCH(B497,{"enero","febrero","marzo","abril","mayo","junio","julio","agosto","septiembre","octubre","noviembre","diciembre"},0)+1,0))</f>
        <v/>
      </c>
      <c r="E497" t="str">
        <f>+IFERROR(VLOOKUP(Fact_Cumplimiento[[#This Row], [Concepto Anterior]],Conceptos_Cumplimiento[#All],5,0),"")</f>
        <v/>
      </c>
      <c r="F497" t="str">
        <f>+IFERROR(VLOOKUP(Fact_Cumplimiento[[#This Row], 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ht="18.75" customHeight="1" x14ac:dyDescent="0.35">
      <c r="C498" s="100" t="str">
        <f>IF(OR(Fact_Cumplimiento[[#This Row], [Año]]="",Fact_Cumplimiento[[#This Row], [Mes]]=""),"",DATE(A498,MATCH(B498,{"enero","febrero","marzo","abril","mayo","junio","julio","agosto","septiembre","octubre","noviembre","diciembre"},0)+1,0))</f>
        <v/>
      </c>
      <c r="E498" t="str">
        <f>+IFERROR(VLOOKUP(Fact_Cumplimiento[[#This Row], [Concepto Anterior]],Conceptos_Cumplimiento[#All],5,0),"")</f>
        <v/>
      </c>
      <c r="F498" t="str">
        <f>+IFERROR(VLOOKUP(Fact_Cumplimiento[[#This Row], 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ht="18.75" customHeight="1" x14ac:dyDescent="0.35">
      <c r="C499" s="100" t="str">
        <f>IF(OR(Fact_Cumplimiento[[#This Row], [Año]]="",Fact_Cumplimiento[[#This Row], [Mes]]=""),"",DATE(A499,MATCH(B499,{"enero","febrero","marzo","abril","mayo","junio","julio","agosto","septiembre","octubre","noviembre","diciembre"},0)+1,0))</f>
        <v/>
      </c>
      <c r="E499" t="str">
        <f>+IFERROR(VLOOKUP(Fact_Cumplimiento[[#This Row], [Concepto Anterior]],Conceptos_Cumplimiento[#All],5,0),"")</f>
        <v/>
      </c>
      <c r="F499" t="str">
        <f>+IFERROR(VLOOKUP(Fact_Cumplimiento[[#This Row], 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ht="18.75" customHeight="1" x14ac:dyDescent="0.35">
      <c r="C500" s="100" t="str">
        <f>IF(OR(Fact_Cumplimiento[[#This Row], [Año]]="",Fact_Cumplimiento[[#This Row], [Mes]]=""),"",DATE(A500,MATCH(B500,{"enero","febrero","marzo","abril","mayo","junio","julio","agosto","septiembre","octubre","noviembre","diciembre"},0)+1,0))</f>
        <v/>
      </c>
      <c r="E500" t="str">
        <f>+IFERROR(VLOOKUP(Fact_Cumplimiento[[#This Row], [Concepto Anterior]],Conceptos_Cumplimiento[#All],5,0),"")</f>
        <v/>
      </c>
      <c r="F500" t="str">
        <f>+IFERROR(VLOOKUP(Fact_Cumplimiento[[#This Row], 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ht="18.75" customHeight="1" x14ac:dyDescent="0.35">
      <c r="C501" s="100" t="str">
        <f>IF(OR(Fact_Cumplimiento[[#This Row], [Año]]="",Fact_Cumplimiento[[#This Row], [Mes]]=""),"",DATE(A501,MATCH(B501,{"enero","febrero","marzo","abril","mayo","junio","julio","agosto","septiembre","octubre","noviembre","diciembre"},0)+1,0))</f>
        <v/>
      </c>
      <c r="E501" t="str">
        <f>+IFERROR(VLOOKUP(Fact_Cumplimiento[[#This Row], [Concepto Anterior]],Conceptos_Cumplimiento[#All],5,0),"")</f>
        <v/>
      </c>
      <c r="F501" t="str">
        <f>+IFERROR(VLOOKUP(Fact_Cumplimiento[[#This Row], 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ht="18.75" customHeight="1" x14ac:dyDescent="0.35">
      <c r="C502" s="100" t="str">
        <f>IF(OR(Fact_Cumplimiento[[#This Row], [Año]]="",Fact_Cumplimiento[[#This Row], [Mes]]=""),"",DATE(A502,MATCH(B502,{"enero","febrero","marzo","abril","mayo","junio","julio","agosto","septiembre","octubre","noviembre","diciembre"},0)+1,0))</f>
        <v/>
      </c>
      <c r="E502" t="str">
        <f>+IFERROR(VLOOKUP(Fact_Cumplimiento[[#This Row], [Concepto Anterior]],Conceptos_Cumplimiento[#All],5,0),"")</f>
        <v/>
      </c>
      <c r="F502" t="str">
        <f>+IFERROR(VLOOKUP(Fact_Cumplimiento[[#This Row], 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ht="18.75" customHeight="1" x14ac:dyDescent="0.35">
      <c r="C503" s="100" t="str">
        <f>IF(OR(Fact_Cumplimiento[[#This Row], [Año]]="",Fact_Cumplimiento[[#This Row], [Mes]]=""),"",DATE(A503,MATCH(B503,{"enero","febrero","marzo","abril","mayo","junio","julio","agosto","septiembre","octubre","noviembre","diciembre"},0)+1,0))</f>
        <v/>
      </c>
      <c r="E503" t="str">
        <f>+IFERROR(VLOOKUP(Fact_Cumplimiento[[#This Row], [Concepto Anterior]],Conceptos_Cumplimiento[#All],5,0),"")</f>
        <v/>
      </c>
      <c r="F503" t="str">
        <f>+IFERROR(VLOOKUP(Fact_Cumplimiento[[#This Row], 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ht="18.75" customHeight="1" x14ac:dyDescent="0.35">
      <c r="C504" s="100" t="str">
        <f>IF(OR(Fact_Cumplimiento[[#This Row], [Año]]="",Fact_Cumplimiento[[#This Row], [Mes]]=""),"",DATE(A504,MATCH(B504,{"enero","febrero","marzo","abril","mayo","junio","julio","agosto","septiembre","octubre","noviembre","diciembre"},0)+1,0))</f>
        <v/>
      </c>
      <c r="E504" t="str">
        <f>+IFERROR(VLOOKUP(Fact_Cumplimiento[[#This Row], [Concepto Anterior]],Conceptos_Cumplimiento[#All],5,0),"")</f>
        <v/>
      </c>
      <c r="F504" t="str">
        <f>+IFERROR(VLOOKUP(Fact_Cumplimiento[[#This Row], 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ht="18.75" customHeight="1" x14ac:dyDescent="0.35">
      <c r="C505" s="100" t="str">
        <f>IF(OR(Fact_Cumplimiento[[#This Row], [Año]]="",Fact_Cumplimiento[[#This Row], [Mes]]=""),"",DATE(A505,MATCH(B505,{"enero","febrero","marzo","abril","mayo","junio","julio","agosto","septiembre","octubre","noviembre","diciembre"},0)+1,0))</f>
        <v/>
      </c>
      <c r="E505" t="str">
        <f>+IFERROR(VLOOKUP(Fact_Cumplimiento[[#This Row], [Concepto Anterior]],Conceptos_Cumplimiento[#All],5,0),"")</f>
        <v/>
      </c>
      <c r="F505" t="str">
        <f>+IFERROR(VLOOKUP(Fact_Cumplimiento[[#This Row], 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ht="18.75" customHeight="1" x14ac:dyDescent="0.35">
      <c r="C506" s="100" t="str">
        <f>IF(OR(Fact_Cumplimiento[[#This Row], [Año]]="",Fact_Cumplimiento[[#This Row], [Mes]]=""),"",DATE(A506,MATCH(B506,{"enero","febrero","marzo","abril","mayo","junio","julio","agosto","septiembre","octubre","noviembre","diciembre"},0)+1,0))</f>
        <v/>
      </c>
      <c r="E506" t="str">
        <f>+IFERROR(VLOOKUP(Fact_Cumplimiento[[#This Row], [Concepto Anterior]],Conceptos_Cumplimiento[#All],5,0),"")</f>
        <v/>
      </c>
      <c r="F506" t="str">
        <f>+IFERROR(VLOOKUP(Fact_Cumplimiento[[#This Row], 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ht="18.75" customHeight="1" x14ac:dyDescent="0.35">
      <c r="C507" s="100" t="str">
        <f>IF(OR(Fact_Cumplimiento[[#This Row], [Año]]="",Fact_Cumplimiento[[#This Row], [Mes]]=""),"",DATE(A507,MATCH(B507,{"enero","febrero","marzo","abril","mayo","junio","julio","agosto","septiembre","octubre","noviembre","diciembre"},0)+1,0))</f>
        <v/>
      </c>
      <c r="E507" t="str">
        <f>+IFERROR(VLOOKUP(Fact_Cumplimiento[[#This Row], [Concepto Anterior]],Conceptos_Cumplimiento[#All],5,0),"")</f>
        <v/>
      </c>
      <c r="F507" t="str">
        <f>+IFERROR(VLOOKUP(Fact_Cumplimiento[[#This Row], 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ht="18.75" customHeight="1" x14ac:dyDescent="0.35">
      <c r="C508" s="100" t="str">
        <f>IF(OR(Fact_Cumplimiento[[#This Row], [Año]]="",Fact_Cumplimiento[[#This Row], [Mes]]=""),"",DATE(A508,MATCH(B508,{"enero","febrero","marzo","abril","mayo","junio","julio","agosto","septiembre","octubre","noviembre","diciembre"},0)+1,0))</f>
        <v/>
      </c>
      <c r="E508" t="str">
        <f>+IFERROR(VLOOKUP(Fact_Cumplimiento[[#This Row], [Concepto Anterior]],Conceptos_Cumplimiento[#All],5,0),"")</f>
        <v/>
      </c>
      <c r="F508" t="str">
        <f>+IFERROR(VLOOKUP(Fact_Cumplimiento[[#This Row], 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ht="18.75" customHeight="1" x14ac:dyDescent="0.35">
      <c r="C509" s="100" t="str">
        <f>IF(OR(Fact_Cumplimiento[[#This Row], [Año]]="",Fact_Cumplimiento[[#This Row], [Mes]]=""),"",DATE(A509,MATCH(B509,{"enero","febrero","marzo","abril","mayo","junio","julio","agosto","septiembre","octubre","noviembre","diciembre"},0)+1,0))</f>
        <v/>
      </c>
      <c r="E509" t="str">
        <f>+IFERROR(VLOOKUP(Fact_Cumplimiento[[#This Row], [Concepto Anterior]],Conceptos_Cumplimiento[#All],5,0),"")</f>
        <v/>
      </c>
      <c r="F509" t="str">
        <f>+IFERROR(VLOOKUP(Fact_Cumplimiento[[#This Row], 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ht="18.75" customHeight="1" x14ac:dyDescent="0.35">
      <c r="C510" s="100" t="str">
        <f>IF(OR(Fact_Cumplimiento[[#This Row], [Año]]="",Fact_Cumplimiento[[#This Row], [Mes]]=""),"",DATE(A510,MATCH(B510,{"enero","febrero","marzo","abril","mayo","junio","julio","agosto","septiembre","octubre","noviembre","diciembre"},0)+1,0))</f>
        <v/>
      </c>
      <c r="E510" t="str">
        <f>+IFERROR(VLOOKUP(Fact_Cumplimiento[[#This Row], [Concepto Anterior]],Conceptos_Cumplimiento[#All],5,0),"")</f>
        <v/>
      </c>
      <c r="F510" t="str">
        <f>+IFERROR(VLOOKUP(Fact_Cumplimiento[[#This Row], 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ht="18.75" customHeight="1" x14ac:dyDescent="0.35">
      <c r="C511" s="100" t="str">
        <f>IF(OR(Fact_Cumplimiento[[#This Row], [Año]]="",Fact_Cumplimiento[[#This Row], [Mes]]=""),"",DATE(A511,MATCH(B511,{"enero","febrero","marzo","abril","mayo","junio","julio","agosto","septiembre","octubre","noviembre","diciembre"},0)+1,0))</f>
        <v/>
      </c>
      <c r="E511" t="str">
        <f>+IFERROR(VLOOKUP(Fact_Cumplimiento[[#This Row], [Concepto Anterior]],Conceptos_Cumplimiento[#All],5,0),"")</f>
        <v/>
      </c>
      <c r="F511" t="str">
        <f>+IFERROR(VLOOKUP(Fact_Cumplimiento[[#This Row], 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ht="18.75" customHeight="1" x14ac:dyDescent="0.35">
      <c r="C512" s="100" t="str">
        <f>IF(OR(Fact_Cumplimiento[[#This Row], [Año]]="",Fact_Cumplimiento[[#This Row], [Mes]]=""),"",DATE(A512,MATCH(B512,{"enero","febrero","marzo","abril","mayo","junio","julio","agosto","septiembre","octubre","noviembre","diciembre"},0)+1,0))</f>
        <v/>
      </c>
      <c r="E512" t="str">
        <f>+IFERROR(VLOOKUP(Fact_Cumplimiento[[#This Row], [Concepto Anterior]],Conceptos_Cumplimiento[#All],5,0),"")</f>
        <v/>
      </c>
      <c r="F512" t="str">
        <f>+IFERROR(VLOOKUP(Fact_Cumplimiento[[#This Row], 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ht="18.75" customHeight="1" x14ac:dyDescent="0.35">
      <c r="C513" s="100" t="str">
        <f>IF(OR(Fact_Cumplimiento[[#This Row], [Año]]="",Fact_Cumplimiento[[#This Row], [Mes]]=""),"",DATE(A513,MATCH(B513,{"enero","febrero","marzo","abril","mayo","junio","julio","agosto","septiembre","octubre","noviembre","diciembre"},0)+1,0))</f>
        <v/>
      </c>
      <c r="E513" t="str">
        <f>+IFERROR(VLOOKUP(Fact_Cumplimiento[[#This Row], [Concepto Anterior]],Conceptos_Cumplimiento[#All],5,0),"")</f>
        <v/>
      </c>
      <c r="F513" t="str">
        <f>+IFERROR(VLOOKUP(Fact_Cumplimiento[[#This Row], 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ht="18.75" customHeight="1" x14ac:dyDescent="0.35">
      <c r="C514" s="100" t="str">
        <f>IF(OR(Fact_Cumplimiento[[#This Row], [Año]]="",Fact_Cumplimiento[[#This Row], [Mes]]=""),"",DATE(A514,MATCH(B514,{"enero","febrero","marzo","abril","mayo","junio","julio","agosto","septiembre","octubre","noviembre","diciembre"},0)+1,0))</f>
        <v/>
      </c>
      <c r="E514" t="str">
        <f>+IFERROR(VLOOKUP(Fact_Cumplimiento[[#This Row], [Concepto Anterior]],Conceptos_Cumplimiento[#All],5,0),"")</f>
        <v/>
      </c>
      <c r="F514" t="str">
        <f>+IFERROR(VLOOKUP(Fact_Cumplimiento[[#This Row], 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ht="18.75" customHeight="1" x14ac:dyDescent="0.35">
      <c r="C515" s="100" t="str">
        <f>IF(OR(Fact_Cumplimiento[[#This Row], [Año]]="",Fact_Cumplimiento[[#This Row], [Mes]]=""),"",DATE(A515,MATCH(B515,{"enero","febrero","marzo","abril","mayo","junio","julio","agosto","septiembre","octubre","noviembre","diciembre"},0)+1,0))</f>
        <v/>
      </c>
      <c r="E515" t="str">
        <f>+IFERROR(VLOOKUP(Fact_Cumplimiento[[#This Row], [Concepto Anterior]],Conceptos_Cumplimiento[#All],5,0),"")</f>
        <v/>
      </c>
      <c r="F515" t="str">
        <f>+IFERROR(VLOOKUP(Fact_Cumplimiento[[#This Row], 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ht="18.75" customHeight="1" x14ac:dyDescent="0.35">
      <c r="C516" s="100" t="str">
        <f>IF(OR(Fact_Cumplimiento[[#This Row], [Año]]="",Fact_Cumplimiento[[#This Row], [Mes]]=""),"",DATE(A516,MATCH(B516,{"enero","febrero","marzo","abril","mayo","junio","julio","agosto","septiembre","octubre","noviembre","diciembre"},0)+1,0))</f>
        <v/>
      </c>
      <c r="E516" t="str">
        <f>+IFERROR(VLOOKUP(Fact_Cumplimiento[[#This Row], [Concepto Anterior]],Conceptos_Cumplimiento[#All],5,0),"")</f>
        <v/>
      </c>
      <c r="F516" t="str">
        <f>+IFERROR(VLOOKUP(Fact_Cumplimiento[[#This Row], 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ht="18.75" customHeight="1" x14ac:dyDescent="0.35">
      <c r="C517" s="100" t="str">
        <f>IF(OR(Fact_Cumplimiento[[#This Row], [Año]]="",Fact_Cumplimiento[[#This Row], [Mes]]=""),"",DATE(A517,MATCH(B517,{"enero","febrero","marzo","abril","mayo","junio","julio","agosto","septiembre","octubre","noviembre","diciembre"},0)+1,0))</f>
        <v/>
      </c>
      <c r="E517" t="str">
        <f>+IFERROR(VLOOKUP(Fact_Cumplimiento[[#This Row], [Concepto Anterior]],Conceptos_Cumplimiento[#All],5,0),"")</f>
        <v/>
      </c>
      <c r="F517" t="str">
        <f>+IFERROR(VLOOKUP(Fact_Cumplimiento[[#This Row], 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ht="18.75" customHeight="1" x14ac:dyDescent="0.35">
      <c r="C518" s="100" t="str">
        <f>IF(OR(Fact_Cumplimiento[[#This Row], [Año]]="",Fact_Cumplimiento[[#This Row], [Mes]]=""),"",DATE(A518,MATCH(B518,{"enero","febrero","marzo","abril","mayo","junio","julio","agosto","septiembre","octubre","noviembre","diciembre"},0)+1,0))</f>
        <v/>
      </c>
      <c r="E518" t="str">
        <f>+IFERROR(VLOOKUP(Fact_Cumplimiento[[#This Row], [Concepto Anterior]],Conceptos_Cumplimiento[#All],5,0),"")</f>
        <v/>
      </c>
      <c r="F518" t="str">
        <f>+IFERROR(VLOOKUP(Fact_Cumplimiento[[#This Row], 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ht="18.75" customHeight="1" x14ac:dyDescent="0.35">
      <c r="C519" s="100" t="str">
        <f>IF(OR(Fact_Cumplimiento[[#This Row], [Año]]="",Fact_Cumplimiento[[#This Row], [Mes]]=""),"",DATE(A519,MATCH(B519,{"enero","febrero","marzo","abril","mayo","junio","julio","agosto","septiembre","octubre","noviembre","diciembre"},0)+1,0))</f>
        <v/>
      </c>
      <c r="E519" t="str">
        <f>+IFERROR(VLOOKUP(Fact_Cumplimiento[[#This Row], [Concepto Anterior]],Conceptos_Cumplimiento[#All],5,0),"")</f>
        <v/>
      </c>
      <c r="F519" t="str">
        <f>+IFERROR(VLOOKUP(Fact_Cumplimiento[[#This Row], 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ht="18.75" customHeight="1" x14ac:dyDescent="0.35">
      <c r="C520" s="100" t="str">
        <f>IF(OR(Fact_Cumplimiento[[#This Row], [Año]]="",Fact_Cumplimiento[[#This Row], [Mes]]=""),"",DATE(A520,MATCH(B520,{"enero","febrero","marzo","abril","mayo","junio","julio","agosto","septiembre","octubre","noviembre","diciembre"},0)+1,0))</f>
        <v/>
      </c>
      <c r="E520" t="str">
        <f>+IFERROR(VLOOKUP(Fact_Cumplimiento[[#This Row], [Concepto Anterior]],Conceptos_Cumplimiento[#All],5,0),"")</f>
        <v/>
      </c>
      <c r="F520" t="str">
        <f>+IFERROR(VLOOKUP(Fact_Cumplimiento[[#This Row], 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ht="18.75" customHeight="1" x14ac:dyDescent="0.35">
      <c r="C521" s="100" t="str">
        <f>IF(OR(Fact_Cumplimiento[[#This Row], [Año]]="",Fact_Cumplimiento[[#This Row], [Mes]]=""),"",DATE(A521,MATCH(B521,{"enero","febrero","marzo","abril","mayo","junio","julio","agosto","septiembre","octubre","noviembre","diciembre"},0)+1,0))</f>
        <v/>
      </c>
      <c r="E521" t="str">
        <f>+IFERROR(VLOOKUP(Fact_Cumplimiento[[#This Row], [Concepto Anterior]],Conceptos_Cumplimiento[#All],5,0),"")</f>
        <v/>
      </c>
      <c r="F521" t="str">
        <f>+IFERROR(VLOOKUP(Fact_Cumplimiento[[#This Row], 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ht="18.75" customHeight="1" x14ac:dyDescent="0.35">
      <c r="C522" s="100" t="str">
        <f>IF(OR(Fact_Cumplimiento[[#This Row], [Año]]="",Fact_Cumplimiento[[#This Row], [Mes]]=""),"",DATE(A522,MATCH(B522,{"enero","febrero","marzo","abril","mayo","junio","julio","agosto","septiembre","octubre","noviembre","diciembre"},0)+1,0))</f>
        <v/>
      </c>
      <c r="E522" t="str">
        <f>+IFERROR(VLOOKUP(Fact_Cumplimiento[[#This Row], [Concepto Anterior]],Conceptos_Cumplimiento[#All],5,0),"")</f>
        <v/>
      </c>
      <c r="F522" t="str">
        <f>+IFERROR(VLOOKUP(Fact_Cumplimiento[[#This Row], 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ht="18.75" customHeight="1" x14ac:dyDescent="0.35">
      <c r="C523" s="100" t="str">
        <f>IF(OR(Fact_Cumplimiento[[#This Row], [Año]]="",Fact_Cumplimiento[[#This Row], [Mes]]=""),"",DATE(A523,MATCH(B523,{"enero","febrero","marzo","abril","mayo","junio","julio","agosto","septiembre","octubre","noviembre","diciembre"},0)+1,0))</f>
        <v/>
      </c>
      <c r="E523" t="str">
        <f>+IFERROR(VLOOKUP(Fact_Cumplimiento[[#This Row], [Concepto Anterior]],Conceptos_Cumplimiento[#All],5,0),"")</f>
        <v/>
      </c>
      <c r="F523" t="str">
        <f>+IFERROR(VLOOKUP(Fact_Cumplimiento[[#This Row], 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ht="18.75" customHeight="1" x14ac:dyDescent="0.35">
      <c r="C524" s="100" t="str">
        <f>IF(OR(Fact_Cumplimiento[[#This Row], [Año]]="",Fact_Cumplimiento[[#This Row], [Mes]]=""),"",DATE(A524,MATCH(B524,{"enero","febrero","marzo","abril","mayo","junio","julio","agosto","septiembre","octubre","noviembre","diciembre"},0)+1,0))</f>
        <v/>
      </c>
      <c r="E524" t="str">
        <f>+IFERROR(VLOOKUP(Fact_Cumplimiento[[#This Row], [Concepto Anterior]],Conceptos_Cumplimiento[#All],5,0),"")</f>
        <v/>
      </c>
      <c r="F524" t="str">
        <f>+IFERROR(VLOOKUP(Fact_Cumplimiento[[#This Row], 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ht="18.75" customHeight="1" x14ac:dyDescent="0.35">
      <c r="C525" s="100" t="str">
        <f>IF(OR(Fact_Cumplimiento[[#This Row], [Año]]="",Fact_Cumplimiento[[#This Row], [Mes]]=""),"",DATE(A525,MATCH(B525,{"enero","febrero","marzo","abril","mayo","junio","julio","agosto","septiembre","octubre","noviembre","diciembre"},0)+1,0))</f>
        <v/>
      </c>
      <c r="E525" t="str">
        <f>+IFERROR(VLOOKUP(Fact_Cumplimiento[[#This Row], [Concepto Anterior]],Conceptos_Cumplimiento[#All],5,0),"")</f>
        <v/>
      </c>
      <c r="F525" t="str">
        <f>+IFERROR(VLOOKUP(Fact_Cumplimiento[[#This Row], 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ht="18.75" customHeight="1" x14ac:dyDescent="0.35">
      <c r="C526" s="100" t="str">
        <f>IF(OR(Fact_Cumplimiento[[#This Row], [Año]]="",Fact_Cumplimiento[[#This Row], [Mes]]=""),"",DATE(A526,MATCH(B526,{"enero","febrero","marzo","abril","mayo","junio","julio","agosto","septiembre","octubre","noviembre","diciembre"},0)+1,0))</f>
        <v/>
      </c>
      <c r="E526" t="str">
        <f>+IFERROR(VLOOKUP(Fact_Cumplimiento[[#This Row], [Concepto Anterior]],Conceptos_Cumplimiento[#All],5,0),"")</f>
        <v/>
      </c>
      <c r="F526" t="str">
        <f>+IFERROR(VLOOKUP(Fact_Cumplimiento[[#This Row], 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ht="18.75" customHeight="1" x14ac:dyDescent="0.35">
      <c r="C527" s="100" t="str">
        <f>IF(OR(Fact_Cumplimiento[[#This Row], [Año]]="",Fact_Cumplimiento[[#This Row], [Mes]]=""),"",DATE(A527,MATCH(B527,{"enero","febrero","marzo","abril","mayo","junio","julio","agosto","septiembre","octubre","noviembre","diciembre"},0)+1,0))</f>
        <v/>
      </c>
      <c r="E527" t="str">
        <f>+IFERROR(VLOOKUP(Fact_Cumplimiento[[#This Row], [Concepto Anterior]],Conceptos_Cumplimiento[#All],5,0),"")</f>
        <v/>
      </c>
      <c r="F527" t="str">
        <f>+IFERROR(VLOOKUP(Fact_Cumplimiento[[#This Row], 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ht="18.75" customHeight="1" x14ac:dyDescent="0.35">
      <c r="C528" s="100" t="str">
        <f>IF(OR(Fact_Cumplimiento[[#This Row], [Año]]="",Fact_Cumplimiento[[#This Row], [Mes]]=""),"",DATE(A528,MATCH(B528,{"enero","febrero","marzo","abril","mayo","junio","julio","agosto","septiembre","octubre","noviembre","diciembre"},0)+1,0))</f>
        <v/>
      </c>
      <c r="E528" t="str">
        <f>+IFERROR(VLOOKUP(Fact_Cumplimiento[[#This Row], [Concepto Anterior]],Conceptos_Cumplimiento[#All],5,0),"")</f>
        <v/>
      </c>
      <c r="F528" t="str">
        <f>+IFERROR(VLOOKUP(Fact_Cumplimiento[[#This Row], 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ht="18.75" customHeight="1" x14ac:dyDescent="0.35">
      <c r="C529" s="100" t="str">
        <f>IF(OR(Fact_Cumplimiento[[#This Row], [Año]]="",Fact_Cumplimiento[[#This Row], [Mes]]=""),"",DATE(A529,MATCH(B529,{"enero","febrero","marzo","abril","mayo","junio","julio","agosto","septiembre","octubre","noviembre","diciembre"},0)+1,0))</f>
        <v/>
      </c>
      <c r="E529" t="str">
        <f>+IFERROR(VLOOKUP(Fact_Cumplimiento[[#This Row], [Concepto Anterior]],Conceptos_Cumplimiento[#All],5,0),"")</f>
        <v/>
      </c>
      <c r="F529" t="str">
        <f>+IFERROR(VLOOKUP(Fact_Cumplimiento[[#This Row], 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ht="18.75" customHeight="1" x14ac:dyDescent="0.35">
      <c r="C530" s="100" t="str">
        <f>IF(OR(Fact_Cumplimiento[[#This Row], [Año]]="",Fact_Cumplimiento[[#This Row], [Mes]]=""),"",DATE(A530,MATCH(B530,{"enero","febrero","marzo","abril","mayo","junio","julio","agosto","septiembre","octubre","noviembre","diciembre"},0)+1,0))</f>
        <v/>
      </c>
      <c r="E530" t="str">
        <f>+IFERROR(VLOOKUP(Fact_Cumplimiento[[#This Row], [Concepto Anterior]],Conceptos_Cumplimiento[#All],5,0),"")</f>
        <v/>
      </c>
      <c r="F530" t="str">
        <f>+IFERROR(VLOOKUP(Fact_Cumplimiento[[#This Row], 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ht="18.75" customHeight="1" x14ac:dyDescent="0.35">
      <c r="C531" s="100" t="str">
        <f>IF(OR(Fact_Cumplimiento[[#This Row], [Año]]="",Fact_Cumplimiento[[#This Row], [Mes]]=""),"",DATE(A531,MATCH(B531,{"enero","febrero","marzo","abril","mayo","junio","julio","agosto","septiembre","octubre","noviembre","diciembre"},0)+1,0))</f>
        <v/>
      </c>
      <c r="E531" t="str">
        <f>+IFERROR(VLOOKUP(Fact_Cumplimiento[[#This Row], [Concepto Anterior]],Conceptos_Cumplimiento[#All],5,0),"")</f>
        <v/>
      </c>
      <c r="F531" t="str">
        <f>+IFERROR(VLOOKUP(Fact_Cumplimiento[[#This Row], 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ht="18.75" customHeight="1" x14ac:dyDescent="0.35">
      <c r="C532" s="100" t="str">
        <f>IF(OR(Fact_Cumplimiento[[#This Row], [Año]]="",Fact_Cumplimiento[[#This Row], [Mes]]=""),"",DATE(A532,MATCH(B532,{"enero","febrero","marzo","abril","mayo","junio","julio","agosto","septiembre","octubre","noviembre","diciembre"},0)+1,0))</f>
        <v/>
      </c>
      <c r="E532" t="str">
        <f>+IFERROR(VLOOKUP(Fact_Cumplimiento[[#This Row], [Concepto Anterior]],Conceptos_Cumplimiento[#All],5,0),"")</f>
        <v/>
      </c>
      <c r="F532" t="str">
        <f>+IFERROR(VLOOKUP(Fact_Cumplimiento[[#This Row], 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ht="18.75" customHeight="1" x14ac:dyDescent="0.35">
      <c r="C533" s="100" t="str">
        <f>IF(OR(Fact_Cumplimiento[[#This Row], [Año]]="",Fact_Cumplimiento[[#This Row], [Mes]]=""),"",DATE(A533,MATCH(B533,{"enero","febrero","marzo","abril","mayo","junio","julio","agosto","septiembre","octubre","noviembre","diciembre"},0)+1,0))</f>
        <v/>
      </c>
      <c r="E533" t="str">
        <f>+IFERROR(VLOOKUP(Fact_Cumplimiento[[#This Row], [Concepto Anterior]],Conceptos_Cumplimiento[#All],5,0),"")</f>
        <v/>
      </c>
      <c r="F533" t="str">
        <f>+IFERROR(VLOOKUP(Fact_Cumplimiento[[#This Row], 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ht="18.75" customHeight="1" x14ac:dyDescent="0.35">
      <c r="C534" s="100" t="str">
        <f>IF(OR(Fact_Cumplimiento[[#This Row], [Año]]="",Fact_Cumplimiento[[#This Row], [Mes]]=""),"",DATE(A534,MATCH(B534,{"enero","febrero","marzo","abril","mayo","junio","julio","agosto","septiembre","octubre","noviembre","diciembre"},0)+1,0))</f>
        <v/>
      </c>
      <c r="E534" t="str">
        <f>+IFERROR(VLOOKUP(Fact_Cumplimiento[[#This Row], [Concepto Anterior]],Conceptos_Cumplimiento[#All],5,0),"")</f>
        <v/>
      </c>
      <c r="F534" t="str">
        <f>+IFERROR(VLOOKUP(Fact_Cumplimiento[[#This Row], 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ht="18.75" customHeight="1" x14ac:dyDescent="0.35">
      <c r="C535" s="100" t="str">
        <f>IF(OR(Fact_Cumplimiento[[#This Row], [Año]]="",Fact_Cumplimiento[[#This Row], [Mes]]=""),"",DATE(A535,MATCH(B535,{"enero","febrero","marzo","abril","mayo","junio","julio","agosto","septiembre","octubre","noviembre","diciembre"},0)+1,0))</f>
        <v/>
      </c>
      <c r="E535" t="str">
        <f>+IFERROR(VLOOKUP(Fact_Cumplimiento[[#This Row], [Concepto Anterior]],Conceptos_Cumplimiento[#All],5,0),"")</f>
        <v/>
      </c>
      <c r="F535" t="str">
        <f>+IFERROR(VLOOKUP(Fact_Cumplimiento[[#This Row], 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ht="18.75" customHeight="1" x14ac:dyDescent="0.35">
      <c r="C536" s="100" t="str">
        <f>IF(OR(Fact_Cumplimiento[[#This Row], [Año]]="",Fact_Cumplimiento[[#This Row], [Mes]]=""),"",DATE(A536,MATCH(B536,{"enero","febrero","marzo","abril","mayo","junio","julio","agosto","septiembre","octubre","noviembre","diciembre"},0)+1,0))</f>
        <v/>
      </c>
      <c r="E536" t="str">
        <f>+IFERROR(VLOOKUP(Fact_Cumplimiento[[#This Row], [Concepto Anterior]],Conceptos_Cumplimiento[#All],5,0),"")</f>
        <v/>
      </c>
      <c r="F536" t="str">
        <f>+IFERROR(VLOOKUP(Fact_Cumplimiento[[#This Row], 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ht="18.75" customHeight="1" x14ac:dyDescent="0.35">
      <c r="C537" s="100" t="str">
        <f>IF(OR(Fact_Cumplimiento[[#This Row], [Año]]="",Fact_Cumplimiento[[#This Row], [Mes]]=""),"",DATE(A537,MATCH(B537,{"enero","febrero","marzo","abril","mayo","junio","julio","agosto","septiembre","octubre","noviembre","diciembre"},0)+1,0))</f>
        <v/>
      </c>
      <c r="E537" t="str">
        <f>+IFERROR(VLOOKUP(Fact_Cumplimiento[[#This Row], [Concepto Anterior]],Conceptos_Cumplimiento[#All],5,0),"")</f>
        <v/>
      </c>
      <c r="F537" t="str">
        <f>+IFERROR(VLOOKUP(Fact_Cumplimiento[[#This Row], 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ht="18.75" customHeight="1" x14ac:dyDescent="0.35">
      <c r="C538" s="100" t="str">
        <f>IF(OR(Fact_Cumplimiento[[#This Row], [Año]]="",Fact_Cumplimiento[[#This Row], [Mes]]=""),"",DATE(A538,MATCH(B538,{"enero","febrero","marzo","abril","mayo","junio","julio","agosto","septiembre","octubre","noviembre","diciembre"},0)+1,0))</f>
        <v/>
      </c>
      <c r="E538" t="str">
        <f>+IFERROR(VLOOKUP(Fact_Cumplimiento[[#This Row], [Concepto Anterior]],Conceptos_Cumplimiento[#All],5,0),"")</f>
        <v/>
      </c>
      <c r="F538" t="str">
        <f>+IFERROR(VLOOKUP(Fact_Cumplimiento[[#This Row], 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ht="18.75" customHeight="1" x14ac:dyDescent="0.35">
      <c r="C539" s="100" t="str">
        <f>IF(OR(Fact_Cumplimiento[[#This Row], [Año]]="",Fact_Cumplimiento[[#This Row], [Mes]]=""),"",DATE(A539,MATCH(B539,{"enero","febrero","marzo","abril","mayo","junio","julio","agosto","septiembre","octubre","noviembre","diciembre"},0)+1,0))</f>
        <v/>
      </c>
      <c r="E539" t="str">
        <f>+IFERROR(VLOOKUP(Fact_Cumplimiento[[#This Row], [Concepto Anterior]],Conceptos_Cumplimiento[#All],5,0),"")</f>
        <v/>
      </c>
      <c r="F539" t="str">
        <f>+IFERROR(VLOOKUP(Fact_Cumplimiento[[#This Row], 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ht="18.75" customHeight="1" x14ac:dyDescent="0.35">
      <c r="C540" s="100" t="str">
        <f>IF(OR(Fact_Cumplimiento[[#This Row], [Año]]="",Fact_Cumplimiento[[#This Row], [Mes]]=""),"",DATE(A540,MATCH(B540,{"enero","febrero","marzo","abril","mayo","junio","julio","agosto","septiembre","octubre","noviembre","diciembre"},0)+1,0))</f>
        <v/>
      </c>
      <c r="E540" t="str">
        <f>+IFERROR(VLOOKUP(Fact_Cumplimiento[[#This Row], [Concepto Anterior]],Conceptos_Cumplimiento[#All],5,0),"")</f>
        <v/>
      </c>
      <c r="F540" t="str">
        <f>+IFERROR(VLOOKUP(Fact_Cumplimiento[[#This Row], 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ht="18.75" customHeight="1" x14ac:dyDescent="0.35">
      <c r="C541" s="100" t="str">
        <f>IF(OR(Fact_Cumplimiento[[#This Row], [Año]]="",Fact_Cumplimiento[[#This Row], [Mes]]=""),"",DATE(A541,MATCH(B541,{"enero","febrero","marzo","abril","mayo","junio","julio","agosto","septiembre","octubre","noviembre","diciembre"},0)+1,0))</f>
        <v/>
      </c>
      <c r="E541" t="str">
        <f>+IFERROR(VLOOKUP(Fact_Cumplimiento[[#This Row], [Concepto Anterior]],Conceptos_Cumplimiento[#All],5,0),"")</f>
        <v/>
      </c>
      <c r="F541" t="str">
        <f>+IFERROR(VLOOKUP(Fact_Cumplimiento[[#This Row], 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ht="18.75" customHeight="1" x14ac:dyDescent="0.35">
      <c r="C542" s="100" t="str">
        <f>IF(OR(Fact_Cumplimiento[[#This Row], [Año]]="",Fact_Cumplimiento[[#This Row], [Mes]]=""),"",DATE(A542,MATCH(B542,{"enero","febrero","marzo","abril","mayo","junio","julio","agosto","septiembre","octubre","noviembre","diciembre"},0)+1,0))</f>
        <v/>
      </c>
      <c r="E542" t="str">
        <f>+IFERROR(VLOOKUP(Fact_Cumplimiento[[#This Row], [Concepto Anterior]],Conceptos_Cumplimiento[#All],5,0),"")</f>
        <v/>
      </c>
      <c r="F542" t="str">
        <f>+IFERROR(VLOOKUP(Fact_Cumplimiento[[#This Row], 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ht="18.75" customHeight="1" x14ac:dyDescent="0.35">
      <c r="C543" s="100" t="str">
        <f>IF(OR(Fact_Cumplimiento[[#This Row], [Año]]="",Fact_Cumplimiento[[#This Row], [Mes]]=""),"",DATE(A543,MATCH(B543,{"enero","febrero","marzo","abril","mayo","junio","julio","agosto","septiembre","octubre","noviembre","diciembre"},0)+1,0))</f>
        <v/>
      </c>
      <c r="E543" t="str">
        <f>+IFERROR(VLOOKUP(Fact_Cumplimiento[[#This Row], [Concepto Anterior]],Conceptos_Cumplimiento[#All],5,0),"")</f>
        <v/>
      </c>
      <c r="F543" t="str">
        <f>+IFERROR(VLOOKUP(Fact_Cumplimiento[[#This Row], 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ht="18.75" customHeight="1" x14ac:dyDescent="0.35">
      <c r="C544" s="100" t="str">
        <f>IF(OR(Fact_Cumplimiento[[#This Row], [Año]]="",Fact_Cumplimiento[[#This Row], [Mes]]=""),"",DATE(A544,MATCH(B544,{"enero","febrero","marzo","abril","mayo","junio","julio","agosto","septiembre","octubre","noviembre","diciembre"},0)+1,0))</f>
        <v/>
      </c>
      <c r="E544" t="str">
        <f>+IFERROR(VLOOKUP(Fact_Cumplimiento[[#This Row], [Concepto Anterior]],Conceptos_Cumplimiento[#All],5,0),"")</f>
        <v/>
      </c>
      <c r="F544" t="str">
        <f>+IFERROR(VLOOKUP(Fact_Cumplimiento[[#This Row], 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ht="18.75" customHeight="1" x14ac:dyDescent="0.35">
      <c r="C545" s="100" t="str">
        <f>IF(OR(Fact_Cumplimiento[[#This Row], [Año]]="",Fact_Cumplimiento[[#This Row], [Mes]]=""),"",DATE(A545,MATCH(B545,{"enero","febrero","marzo","abril","mayo","junio","julio","agosto","septiembre","octubre","noviembre","diciembre"},0)+1,0))</f>
        <v/>
      </c>
      <c r="E545" t="str">
        <f>+IFERROR(VLOOKUP(Fact_Cumplimiento[[#This Row], [Concepto Anterior]],Conceptos_Cumplimiento[#All],5,0),"")</f>
        <v/>
      </c>
      <c r="F545" t="str">
        <f>+IFERROR(VLOOKUP(Fact_Cumplimiento[[#This Row], 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ht="18.75" customHeight="1" x14ac:dyDescent="0.35">
      <c r="C546" s="100" t="str">
        <f>IF(OR(Fact_Cumplimiento[[#This Row], [Año]]="",Fact_Cumplimiento[[#This Row], [Mes]]=""),"",DATE(A546,MATCH(B546,{"enero","febrero","marzo","abril","mayo","junio","julio","agosto","septiembre","octubre","noviembre","diciembre"},0)+1,0))</f>
        <v/>
      </c>
      <c r="E546" t="str">
        <f>+IFERROR(VLOOKUP(Fact_Cumplimiento[[#This Row], [Concepto Anterior]],Conceptos_Cumplimiento[#All],5,0),"")</f>
        <v/>
      </c>
      <c r="F546" t="str">
        <f>+IFERROR(VLOOKUP(Fact_Cumplimiento[[#This Row], 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ht="18.75" customHeight="1" x14ac:dyDescent="0.35">
      <c r="C547" s="100" t="str">
        <f>IF(OR(Fact_Cumplimiento[[#This Row], [Año]]="",Fact_Cumplimiento[[#This Row], [Mes]]=""),"",DATE(A547,MATCH(B547,{"enero","febrero","marzo","abril","mayo","junio","julio","agosto","septiembre","octubre","noviembre","diciembre"},0)+1,0))</f>
        <v/>
      </c>
      <c r="E547" t="str">
        <f>+IFERROR(VLOOKUP(Fact_Cumplimiento[[#This Row], [Concepto Anterior]],Conceptos_Cumplimiento[#All],5,0),"")</f>
        <v/>
      </c>
      <c r="F547" t="str">
        <f>+IFERROR(VLOOKUP(Fact_Cumplimiento[[#This Row], 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ht="18.75" customHeight="1" x14ac:dyDescent="0.35">
      <c r="C548" s="100" t="str">
        <f>IF(OR(Fact_Cumplimiento[[#This Row], [Año]]="",Fact_Cumplimiento[[#This Row], [Mes]]=""),"",DATE(A548,MATCH(B548,{"enero","febrero","marzo","abril","mayo","junio","julio","agosto","septiembre","octubre","noviembre","diciembre"},0)+1,0))</f>
        <v/>
      </c>
      <c r="E548" t="str">
        <f>+IFERROR(VLOOKUP(Fact_Cumplimiento[[#This Row], [Concepto Anterior]],Conceptos_Cumplimiento[#All],5,0),"")</f>
        <v/>
      </c>
      <c r="F548" t="str">
        <f>+IFERROR(VLOOKUP(Fact_Cumplimiento[[#This Row], 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ht="18.75" customHeight="1" x14ac:dyDescent="0.35">
      <c r="C549" s="100" t="str">
        <f>IF(OR(Fact_Cumplimiento[[#This Row], [Año]]="",Fact_Cumplimiento[[#This Row], [Mes]]=""),"",DATE(A549,MATCH(B549,{"enero","febrero","marzo","abril","mayo","junio","julio","agosto","septiembre","octubre","noviembre","diciembre"},0)+1,0))</f>
        <v/>
      </c>
      <c r="E549" t="str">
        <f>+IFERROR(VLOOKUP(Fact_Cumplimiento[[#This Row], [Concepto Anterior]],Conceptos_Cumplimiento[#All],5,0),"")</f>
        <v/>
      </c>
      <c r="F549" t="str">
        <f>+IFERROR(VLOOKUP(Fact_Cumplimiento[[#This Row], 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ht="18.75" customHeight="1" x14ac:dyDescent="0.35">
      <c r="C550" s="100" t="str">
        <f>IF(OR(Fact_Cumplimiento[[#This Row], [Año]]="",Fact_Cumplimiento[[#This Row], [Mes]]=""),"",DATE(A550,MATCH(B550,{"enero","febrero","marzo","abril","mayo","junio","julio","agosto","septiembre","octubre","noviembre","diciembre"},0)+1,0))</f>
        <v/>
      </c>
      <c r="E550" t="str">
        <f>+IFERROR(VLOOKUP(Fact_Cumplimiento[[#This Row], [Concepto Anterior]],Conceptos_Cumplimiento[#All],5,0),"")</f>
        <v/>
      </c>
      <c r="F550" t="str">
        <f>+IFERROR(VLOOKUP(Fact_Cumplimiento[[#This Row], 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ht="18.75" customHeight="1" x14ac:dyDescent="0.35">
      <c r="C551" s="100" t="str">
        <f>IF(OR(Fact_Cumplimiento[[#This Row], [Año]]="",Fact_Cumplimiento[[#This Row], [Mes]]=""),"",DATE(A551,MATCH(B551,{"enero","febrero","marzo","abril","mayo","junio","julio","agosto","septiembre","octubre","noviembre","diciembre"},0)+1,0))</f>
        <v/>
      </c>
      <c r="E551" t="str">
        <f>+IFERROR(VLOOKUP(Fact_Cumplimiento[[#This Row], [Concepto Anterior]],Conceptos_Cumplimiento[#All],5,0),"")</f>
        <v/>
      </c>
      <c r="F551" t="str">
        <f>+IFERROR(VLOOKUP(Fact_Cumplimiento[[#This Row], 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ht="18.75" customHeight="1" x14ac:dyDescent="0.35">
      <c r="C552" s="100" t="str">
        <f>IF(OR(Fact_Cumplimiento[[#This Row], [Año]]="",Fact_Cumplimiento[[#This Row], [Mes]]=""),"",DATE(A552,MATCH(B552,{"enero","febrero","marzo","abril","mayo","junio","julio","agosto","septiembre","octubre","noviembre","diciembre"},0)+1,0))</f>
        <v/>
      </c>
      <c r="E552" t="str">
        <f>+IFERROR(VLOOKUP(Fact_Cumplimiento[[#This Row], [Concepto Anterior]],Conceptos_Cumplimiento[#All],5,0),"")</f>
        <v/>
      </c>
      <c r="F552" t="str">
        <f>+IFERROR(VLOOKUP(Fact_Cumplimiento[[#This Row], 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ht="18.75" customHeight="1" x14ac:dyDescent="0.35">
      <c r="C553" s="100" t="str">
        <f>IF(OR(Fact_Cumplimiento[[#This Row], [Año]]="",Fact_Cumplimiento[[#This Row], [Mes]]=""),"",DATE(A553,MATCH(B553,{"enero","febrero","marzo","abril","mayo","junio","julio","agosto","septiembre","octubre","noviembre","diciembre"},0)+1,0))</f>
        <v/>
      </c>
      <c r="E553" t="str">
        <f>+IFERROR(VLOOKUP(Fact_Cumplimiento[[#This Row], [Concepto Anterior]],Conceptos_Cumplimiento[#All],5,0),"")</f>
        <v/>
      </c>
      <c r="F553" t="str">
        <f>+IFERROR(VLOOKUP(Fact_Cumplimiento[[#This Row], 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ht="18.75" customHeight="1" x14ac:dyDescent="0.35">
      <c r="C554" s="100" t="str">
        <f>IF(OR(Fact_Cumplimiento[[#This Row], [Año]]="",Fact_Cumplimiento[[#This Row], [Mes]]=""),"",DATE(A554,MATCH(B554,{"enero","febrero","marzo","abril","mayo","junio","julio","agosto","septiembre","octubre","noviembre","diciembre"},0)+1,0))</f>
        <v/>
      </c>
      <c r="E554" t="str">
        <f>+IFERROR(VLOOKUP(Fact_Cumplimiento[[#This Row], [Concepto Anterior]],Conceptos_Cumplimiento[#All],5,0),"")</f>
        <v/>
      </c>
      <c r="F554" t="str">
        <f>+IFERROR(VLOOKUP(Fact_Cumplimiento[[#This Row], 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ht="18.75" customHeight="1" x14ac:dyDescent="0.35">
      <c r="C555" s="100" t="str">
        <f>IF(OR(Fact_Cumplimiento[[#This Row], [Año]]="",Fact_Cumplimiento[[#This Row], [Mes]]=""),"",DATE(A555,MATCH(B555,{"enero","febrero","marzo","abril","mayo","junio","julio","agosto","septiembre","octubre","noviembre","diciembre"},0)+1,0))</f>
        <v/>
      </c>
      <c r="E555" t="str">
        <f>+IFERROR(VLOOKUP(Fact_Cumplimiento[[#This Row], [Concepto Anterior]],Conceptos_Cumplimiento[#All],5,0),"")</f>
        <v/>
      </c>
      <c r="F555" t="str">
        <f>+IFERROR(VLOOKUP(Fact_Cumplimiento[[#This Row], 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ht="18.75" customHeight="1" x14ac:dyDescent="0.35">
      <c r="C556" s="100" t="str">
        <f>IF(OR(Fact_Cumplimiento[[#This Row], [Año]]="",Fact_Cumplimiento[[#This Row], [Mes]]=""),"",DATE(A556,MATCH(B556,{"enero","febrero","marzo","abril","mayo","junio","julio","agosto","septiembre","octubre","noviembre","diciembre"},0)+1,0))</f>
        <v/>
      </c>
      <c r="E556" t="str">
        <f>+IFERROR(VLOOKUP(Fact_Cumplimiento[[#This Row], [Concepto Anterior]],Conceptos_Cumplimiento[#All],5,0),"")</f>
        <v/>
      </c>
      <c r="F556" t="str">
        <f>+IFERROR(VLOOKUP(Fact_Cumplimiento[[#This Row], 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ht="18.75" customHeight="1" x14ac:dyDescent="0.35">
      <c r="C557" s="100" t="str">
        <f>IF(OR(Fact_Cumplimiento[[#This Row], [Año]]="",Fact_Cumplimiento[[#This Row], [Mes]]=""),"",DATE(A557,MATCH(B557,{"enero","febrero","marzo","abril","mayo","junio","julio","agosto","septiembre","octubre","noviembre","diciembre"},0)+1,0))</f>
        <v/>
      </c>
      <c r="E557" t="str">
        <f>+IFERROR(VLOOKUP(Fact_Cumplimiento[[#This Row], [Concepto Anterior]],Conceptos_Cumplimiento[#All],5,0),"")</f>
        <v/>
      </c>
      <c r="F557" t="str">
        <f>+IFERROR(VLOOKUP(Fact_Cumplimiento[[#This Row], 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ht="18.75" customHeight="1" x14ac:dyDescent="0.35">
      <c r="C558" s="100" t="str">
        <f>IF(OR(Fact_Cumplimiento[[#This Row], [Año]]="",Fact_Cumplimiento[[#This Row], [Mes]]=""),"",DATE(A558,MATCH(B558,{"enero","febrero","marzo","abril","mayo","junio","julio","agosto","septiembre","octubre","noviembre","diciembre"},0)+1,0))</f>
        <v/>
      </c>
      <c r="E558" t="str">
        <f>+IFERROR(VLOOKUP(Fact_Cumplimiento[[#This Row], [Concepto Anterior]],Conceptos_Cumplimiento[#All],5,0),"")</f>
        <v/>
      </c>
      <c r="F558" t="str">
        <f>+IFERROR(VLOOKUP(Fact_Cumplimiento[[#This Row], 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ht="18.75" customHeight="1" x14ac:dyDescent="0.35">
      <c r="C559" s="100" t="str">
        <f>IF(OR(Fact_Cumplimiento[[#This Row], [Año]]="",Fact_Cumplimiento[[#This Row], [Mes]]=""),"",DATE(A559,MATCH(B559,{"enero","febrero","marzo","abril","mayo","junio","julio","agosto","septiembre","octubre","noviembre","diciembre"},0)+1,0))</f>
        <v/>
      </c>
      <c r="E559" t="str">
        <f>+IFERROR(VLOOKUP(Fact_Cumplimiento[[#This Row], [Concepto Anterior]],Conceptos_Cumplimiento[#All],5,0),"")</f>
        <v/>
      </c>
      <c r="F559" t="str">
        <f>+IFERROR(VLOOKUP(Fact_Cumplimiento[[#This Row], 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ht="18.75" customHeight="1" x14ac:dyDescent="0.35">
      <c r="C560" s="100" t="str">
        <f>IF(OR(Fact_Cumplimiento[[#This Row], [Año]]="",Fact_Cumplimiento[[#This Row], [Mes]]=""),"",DATE(A560,MATCH(B560,{"enero","febrero","marzo","abril","mayo","junio","julio","agosto","septiembre","octubre","noviembre","diciembre"},0)+1,0))</f>
        <v/>
      </c>
      <c r="E560" t="str">
        <f>+IFERROR(VLOOKUP(Fact_Cumplimiento[[#This Row], [Concepto Anterior]],Conceptos_Cumplimiento[#All],5,0),"")</f>
        <v/>
      </c>
      <c r="F560" t="str">
        <f>+IFERROR(VLOOKUP(Fact_Cumplimiento[[#This Row], 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ht="18.75" customHeight="1" x14ac:dyDescent="0.35">
      <c r="C561" s="100" t="str">
        <f>IF(OR(Fact_Cumplimiento[[#This Row], [Año]]="",Fact_Cumplimiento[[#This Row], [Mes]]=""),"",DATE(A561,MATCH(B561,{"enero","febrero","marzo","abril","mayo","junio","julio","agosto","septiembre","octubre","noviembre","diciembre"},0)+1,0))</f>
        <v/>
      </c>
      <c r="E561" t="str">
        <f>+IFERROR(VLOOKUP(Fact_Cumplimiento[[#This Row], [Concepto Anterior]],Conceptos_Cumplimiento[#All],5,0),"")</f>
        <v/>
      </c>
      <c r="F561" t="str">
        <f>+IFERROR(VLOOKUP(Fact_Cumplimiento[[#This Row], 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ht="18.75" customHeight="1" x14ac:dyDescent="0.35">
      <c r="C562" s="100" t="str">
        <f>IF(OR(Fact_Cumplimiento[[#This Row], [Año]]="",Fact_Cumplimiento[[#This Row], [Mes]]=""),"",DATE(A562,MATCH(B562,{"enero","febrero","marzo","abril","mayo","junio","julio","agosto","septiembre","octubre","noviembre","diciembre"},0)+1,0))</f>
        <v/>
      </c>
      <c r="E562" t="str">
        <f>+IFERROR(VLOOKUP(Fact_Cumplimiento[[#This Row], [Concepto Anterior]],Conceptos_Cumplimiento[#All],5,0),"")</f>
        <v/>
      </c>
      <c r="F562" t="str">
        <f>+IFERROR(VLOOKUP(Fact_Cumplimiento[[#This Row], 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ht="18.75" customHeight="1" x14ac:dyDescent="0.35">
      <c r="C563" s="100" t="str">
        <f>IF(OR(Fact_Cumplimiento[[#This Row], [Año]]="",Fact_Cumplimiento[[#This Row], [Mes]]=""),"",DATE(A563,MATCH(B563,{"enero","febrero","marzo","abril","mayo","junio","julio","agosto","septiembre","octubre","noviembre","diciembre"},0)+1,0))</f>
        <v/>
      </c>
      <c r="E563" t="str">
        <f>+IFERROR(VLOOKUP(Fact_Cumplimiento[[#This Row], [Concepto Anterior]],Conceptos_Cumplimiento[#All],5,0),"")</f>
        <v/>
      </c>
      <c r="F563" t="str">
        <f>+IFERROR(VLOOKUP(Fact_Cumplimiento[[#This Row], 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ht="18.75" customHeight="1" x14ac:dyDescent="0.35">
      <c r="C564" s="100" t="str">
        <f>IF(OR(Fact_Cumplimiento[[#This Row], [Año]]="",Fact_Cumplimiento[[#This Row], [Mes]]=""),"",DATE(A564,MATCH(B564,{"enero","febrero","marzo","abril","mayo","junio","julio","agosto","septiembre","octubre","noviembre","diciembre"},0)+1,0))</f>
        <v/>
      </c>
      <c r="E564" t="str">
        <f>+IFERROR(VLOOKUP(Fact_Cumplimiento[[#This Row], [Concepto Anterior]],Conceptos_Cumplimiento[#All],5,0),"")</f>
        <v/>
      </c>
      <c r="F564" t="str">
        <f>+IFERROR(VLOOKUP(Fact_Cumplimiento[[#This Row], 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ht="18.75" customHeight="1" x14ac:dyDescent="0.35">
      <c r="C565" s="100" t="str">
        <f>IF(OR(Fact_Cumplimiento[[#This Row], [Año]]="",Fact_Cumplimiento[[#This Row], [Mes]]=""),"",DATE(A565,MATCH(B565,{"enero","febrero","marzo","abril","mayo","junio","julio","agosto","septiembre","octubre","noviembre","diciembre"},0)+1,0))</f>
        <v/>
      </c>
      <c r="E565" t="str">
        <f>+IFERROR(VLOOKUP(Fact_Cumplimiento[[#This Row], [Concepto Anterior]],Conceptos_Cumplimiento[#All],5,0),"")</f>
        <v/>
      </c>
      <c r="F565" t="str">
        <f>+IFERROR(VLOOKUP(Fact_Cumplimiento[[#This Row], 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ht="18.75" customHeight="1" x14ac:dyDescent="0.35">
      <c r="C566" s="100" t="str">
        <f>IF(OR(Fact_Cumplimiento[[#This Row], [Año]]="",Fact_Cumplimiento[[#This Row], [Mes]]=""),"",DATE(A566,MATCH(B566,{"enero","febrero","marzo","abril","mayo","junio","julio","agosto","septiembre","octubre","noviembre","diciembre"},0)+1,0))</f>
        <v/>
      </c>
      <c r="E566" t="str">
        <f>+IFERROR(VLOOKUP(Fact_Cumplimiento[[#This Row], [Concepto Anterior]],Conceptos_Cumplimiento[#All],5,0),"")</f>
        <v/>
      </c>
      <c r="F566" t="str">
        <f>+IFERROR(VLOOKUP(Fact_Cumplimiento[[#This Row], 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ht="18.75" customHeight="1" x14ac:dyDescent="0.35">
      <c r="C567" s="100" t="str">
        <f>IF(OR(Fact_Cumplimiento[[#This Row], [Año]]="",Fact_Cumplimiento[[#This Row], [Mes]]=""),"",DATE(A567,MATCH(B567,{"enero","febrero","marzo","abril","mayo","junio","julio","agosto","septiembre","octubre","noviembre","diciembre"},0)+1,0))</f>
        <v/>
      </c>
      <c r="E567" t="str">
        <f>+IFERROR(VLOOKUP(Fact_Cumplimiento[[#This Row], [Concepto Anterior]],Conceptos_Cumplimiento[#All],5,0),"")</f>
        <v/>
      </c>
      <c r="F567" t="str">
        <f>+IFERROR(VLOOKUP(Fact_Cumplimiento[[#This Row], 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ht="18.75" customHeight="1" x14ac:dyDescent="0.35">
      <c r="C568" s="100" t="str">
        <f>IF(OR(Fact_Cumplimiento[[#This Row], [Año]]="",Fact_Cumplimiento[[#This Row], [Mes]]=""),"",DATE(A568,MATCH(B568,{"enero","febrero","marzo","abril","mayo","junio","julio","agosto","septiembre","octubre","noviembre","diciembre"},0)+1,0))</f>
        <v/>
      </c>
      <c r="E568" t="str">
        <f>+IFERROR(VLOOKUP(Fact_Cumplimiento[[#This Row], [Concepto Anterior]],Conceptos_Cumplimiento[#All],5,0),"")</f>
        <v/>
      </c>
      <c r="F568" t="str">
        <f>+IFERROR(VLOOKUP(Fact_Cumplimiento[[#This Row], 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ht="18.75" customHeight="1" x14ac:dyDescent="0.35">
      <c r="C569" s="100" t="str">
        <f>IF(OR(Fact_Cumplimiento[[#This Row], [Año]]="",Fact_Cumplimiento[[#This Row], [Mes]]=""),"",DATE(A569,MATCH(B569,{"enero","febrero","marzo","abril","mayo","junio","julio","agosto","septiembre","octubre","noviembre","diciembre"},0)+1,0))</f>
        <v/>
      </c>
      <c r="E569" t="str">
        <f>+IFERROR(VLOOKUP(Fact_Cumplimiento[[#This Row], [Concepto Anterior]],Conceptos_Cumplimiento[#All],5,0),"")</f>
        <v/>
      </c>
      <c r="F569" t="str">
        <f>+IFERROR(VLOOKUP(Fact_Cumplimiento[[#This Row], 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ht="18.75" customHeight="1" x14ac:dyDescent="0.35">
      <c r="C570" s="100" t="str">
        <f>IF(OR(Fact_Cumplimiento[[#This Row], [Año]]="",Fact_Cumplimiento[[#This Row], [Mes]]=""),"",DATE(A570,MATCH(B570,{"enero","febrero","marzo","abril","mayo","junio","julio","agosto","septiembre","octubre","noviembre","diciembre"},0)+1,0))</f>
        <v/>
      </c>
      <c r="E570" t="str">
        <f>+IFERROR(VLOOKUP(Fact_Cumplimiento[[#This Row], [Concepto Anterior]],Conceptos_Cumplimiento[#All],5,0),"")</f>
        <v/>
      </c>
      <c r="F570" t="str">
        <f>+IFERROR(VLOOKUP(Fact_Cumplimiento[[#This Row], 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ht="18.75" customHeight="1" x14ac:dyDescent="0.35">
      <c r="C571" s="100" t="str">
        <f>IF(OR(Fact_Cumplimiento[[#This Row], [Año]]="",Fact_Cumplimiento[[#This Row], [Mes]]=""),"",DATE(A571,MATCH(B571,{"enero","febrero","marzo","abril","mayo","junio","julio","agosto","septiembre","octubre","noviembre","diciembre"},0)+1,0))</f>
        <v/>
      </c>
      <c r="E571" t="str">
        <f>+IFERROR(VLOOKUP(Fact_Cumplimiento[[#This Row], [Concepto Anterior]],Conceptos_Cumplimiento[#All],5,0),"")</f>
        <v/>
      </c>
      <c r="F571" t="str">
        <f>+IFERROR(VLOOKUP(Fact_Cumplimiento[[#This Row], 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ht="18.75" customHeight="1" x14ac:dyDescent="0.35">
      <c r="C572" s="100" t="str">
        <f>IF(OR(Fact_Cumplimiento[[#This Row], [Año]]="",Fact_Cumplimiento[[#This Row], [Mes]]=""),"",DATE(A572,MATCH(B572,{"enero","febrero","marzo","abril","mayo","junio","julio","agosto","septiembre","octubre","noviembre","diciembre"},0)+1,0))</f>
        <v/>
      </c>
      <c r="E572" t="str">
        <f>+IFERROR(VLOOKUP(Fact_Cumplimiento[[#This Row], [Concepto Anterior]],Conceptos_Cumplimiento[#All],5,0),"")</f>
        <v/>
      </c>
      <c r="F572" t="str">
        <f>+IFERROR(VLOOKUP(Fact_Cumplimiento[[#This Row], 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ht="18.75" customHeight="1" x14ac:dyDescent="0.35">
      <c r="C573" s="100" t="str">
        <f>IF(OR(Fact_Cumplimiento[[#This Row], [Año]]="",Fact_Cumplimiento[[#This Row], [Mes]]=""),"",DATE(A573,MATCH(B573,{"enero","febrero","marzo","abril","mayo","junio","julio","agosto","septiembre","octubre","noviembre","diciembre"},0)+1,0))</f>
        <v/>
      </c>
      <c r="E573" t="str">
        <f>+IFERROR(VLOOKUP(Fact_Cumplimiento[[#This Row], [Concepto Anterior]],Conceptos_Cumplimiento[#All],5,0),"")</f>
        <v/>
      </c>
      <c r="F573" t="str">
        <f>+IFERROR(VLOOKUP(Fact_Cumplimiento[[#This Row], 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ht="18.75" customHeight="1" x14ac:dyDescent="0.35">
      <c r="C574" s="100" t="str">
        <f>IF(OR(Fact_Cumplimiento[[#This Row], [Año]]="",Fact_Cumplimiento[[#This Row], [Mes]]=""),"",DATE(A574,MATCH(B574,{"enero","febrero","marzo","abril","mayo","junio","julio","agosto","septiembre","octubre","noviembre","diciembre"},0)+1,0))</f>
        <v/>
      </c>
      <c r="E574" t="str">
        <f>+IFERROR(VLOOKUP(Fact_Cumplimiento[[#This Row], [Concepto Anterior]],Conceptos_Cumplimiento[#All],5,0),"")</f>
        <v/>
      </c>
      <c r="F574" t="str">
        <f>+IFERROR(VLOOKUP(Fact_Cumplimiento[[#This Row], 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ht="18.75" customHeight="1" x14ac:dyDescent="0.35">
      <c r="C575" s="100" t="str">
        <f>IF(OR(Fact_Cumplimiento[[#This Row], [Año]]="",Fact_Cumplimiento[[#This Row], [Mes]]=""),"",DATE(A575,MATCH(B575,{"enero","febrero","marzo","abril","mayo","junio","julio","agosto","septiembre","octubre","noviembre","diciembre"},0)+1,0))</f>
        <v/>
      </c>
      <c r="E575" t="str">
        <f>+IFERROR(VLOOKUP(Fact_Cumplimiento[[#This Row], [Concepto Anterior]],Conceptos_Cumplimiento[#All],5,0),"")</f>
        <v/>
      </c>
      <c r="F575" t="str">
        <f>+IFERROR(VLOOKUP(Fact_Cumplimiento[[#This Row], 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ht="18.75" customHeight="1" x14ac:dyDescent="0.35">
      <c r="C576" s="100" t="str">
        <f>IF(OR(Fact_Cumplimiento[[#This Row], [Año]]="",Fact_Cumplimiento[[#This Row], [Mes]]=""),"",DATE(A576,MATCH(B576,{"enero","febrero","marzo","abril","mayo","junio","julio","agosto","septiembre","octubre","noviembre","diciembre"},0)+1,0))</f>
        <v/>
      </c>
      <c r="E576" t="str">
        <f>+IFERROR(VLOOKUP(Fact_Cumplimiento[[#This Row], [Concepto Anterior]],Conceptos_Cumplimiento[#All],5,0),"")</f>
        <v/>
      </c>
      <c r="F576" t="str">
        <f>+IFERROR(VLOOKUP(Fact_Cumplimiento[[#This Row], 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ht="18.75" customHeight="1" x14ac:dyDescent="0.35">
      <c r="C577" s="100" t="str">
        <f>IF(OR(Fact_Cumplimiento[[#This Row], [Año]]="",Fact_Cumplimiento[[#This Row], [Mes]]=""),"",DATE(A577,MATCH(B577,{"enero","febrero","marzo","abril","mayo","junio","julio","agosto","septiembre","octubre","noviembre","diciembre"},0)+1,0))</f>
        <v/>
      </c>
      <c r="E577" t="str">
        <f>+IFERROR(VLOOKUP(Fact_Cumplimiento[[#This Row], [Concepto Anterior]],Conceptos_Cumplimiento[#All],5,0),"")</f>
        <v/>
      </c>
      <c r="F577" t="str">
        <f>+IFERROR(VLOOKUP(Fact_Cumplimiento[[#This Row], 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ht="18.75" customHeight="1" x14ac:dyDescent="0.35">
      <c r="C578" s="100" t="str">
        <f>IF(OR(Fact_Cumplimiento[[#This Row], [Año]]="",Fact_Cumplimiento[[#This Row], [Mes]]=""),"",DATE(A578,MATCH(B578,{"enero","febrero","marzo","abril","mayo","junio","julio","agosto","septiembre","octubre","noviembre","diciembre"},0)+1,0))</f>
        <v/>
      </c>
      <c r="E578" t="str">
        <f>+IFERROR(VLOOKUP(Fact_Cumplimiento[[#This Row], [Concepto Anterior]],Conceptos_Cumplimiento[#All],5,0),"")</f>
        <v/>
      </c>
      <c r="F578" t="str">
        <f>+IFERROR(VLOOKUP(Fact_Cumplimiento[[#This Row], 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ht="18.75" customHeight="1" x14ac:dyDescent="0.35">
      <c r="C579" s="100" t="str">
        <f>IF(OR(Fact_Cumplimiento[[#This Row], [Año]]="",Fact_Cumplimiento[[#This Row], [Mes]]=""),"",DATE(A579,MATCH(B579,{"enero","febrero","marzo","abril","mayo","junio","julio","agosto","septiembre","octubre","noviembre","diciembre"},0)+1,0))</f>
        <v/>
      </c>
      <c r="E579" t="str">
        <f>+IFERROR(VLOOKUP(Fact_Cumplimiento[[#This Row], [Concepto Anterior]],Conceptos_Cumplimiento[#All],5,0),"")</f>
        <v/>
      </c>
      <c r="F579" t="str">
        <f>+IFERROR(VLOOKUP(Fact_Cumplimiento[[#This Row], 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ht="18.75" customHeight="1" x14ac:dyDescent="0.35">
      <c r="C580" s="100" t="str">
        <f>IF(OR(Fact_Cumplimiento[[#This Row], [Año]]="",Fact_Cumplimiento[[#This Row], [Mes]]=""),"",DATE(A580,MATCH(B580,{"enero","febrero","marzo","abril","mayo","junio","julio","agosto","septiembre","octubre","noviembre","diciembre"},0)+1,0))</f>
        <v/>
      </c>
      <c r="E580" t="str">
        <f>+IFERROR(VLOOKUP(Fact_Cumplimiento[[#This Row], [Concepto Anterior]],Conceptos_Cumplimiento[#All],5,0),"")</f>
        <v/>
      </c>
      <c r="F580" t="str">
        <f>+IFERROR(VLOOKUP(Fact_Cumplimiento[[#This Row], 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ht="18.75" customHeight="1" x14ac:dyDescent="0.35">
      <c r="C581" s="100" t="str">
        <f>IF(OR(Fact_Cumplimiento[[#This Row], [Año]]="",Fact_Cumplimiento[[#This Row], [Mes]]=""),"",DATE(A581,MATCH(B581,{"enero","febrero","marzo","abril","mayo","junio","julio","agosto","septiembre","octubre","noviembre","diciembre"},0)+1,0))</f>
        <v/>
      </c>
      <c r="E581" t="str">
        <f>+IFERROR(VLOOKUP(Fact_Cumplimiento[[#This Row], [Concepto Anterior]],Conceptos_Cumplimiento[#All],5,0),"")</f>
        <v/>
      </c>
      <c r="F581" t="str">
        <f>+IFERROR(VLOOKUP(Fact_Cumplimiento[[#This Row], 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ht="18.75" customHeight="1" x14ac:dyDescent="0.35">
      <c r="C582" s="100" t="str">
        <f>IF(OR(Fact_Cumplimiento[[#This Row], [Año]]="",Fact_Cumplimiento[[#This Row], [Mes]]=""),"",DATE(A582,MATCH(B582,{"enero","febrero","marzo","abril","mayo","junio","julio","agosto","septiembre","octubre","noviembre","diciembre"},0)+1,0))</f>
        <v/>
      </c>
      <c r="E582" t="str">
        <f>+IFERROR(VLOOKUP(Fact_Cumplimiento[[#This Row], [Concepto Anterior]],Conceptos_Cumplimiento[#All],5,0),"")</f>
        <v/>
      </c>
      <c r="F582" t="str">
        <f>+IFERROR(VLOOKUP(Fact_Cumplimiento[[#This Row], 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ht="18.75" customHeight="1" x14ac:dyDescent="0.35">
      <c r="C583" s="100" t="str">
        <f>IF(OR(Fact_Cumplimiento[[#This Row], [Año]]="",Fact_Cumplimiento[[#This Row], [Mes]]=""),"",DATE(A583,MATCH(B583,{"enero","febrero","marzo","abril","mayo","junio","julio","agosto","septiembre","octubre","noviembre","diciembre"},0)+1,0))</f>
        <v/>
      </c>
      <c r="E583" t="str">
        <f>+IFERROR(VLOOKUP(Fact_Cumplimiento[[#This Row], [Concepto Anterior]],Conceptos_Cumplimiento[#All],5,0),"")</f>
        <v/>
      </c>
      <c r="F583" t="str">
        <f>+IFERROR(VLOOKUP(Fact_Cumplimiento[[#This Row], 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ht="18.75" customHeight="1" x14ac:dyDescent="0.35">
      <c r="C584" s="100" t="str">
        <f>IF(OR(Fact_Cumplimiento[[#This Row], [Año]]="",Fact_Cumplimiento[[#This Row], [Mes]]=""),"",DATE(A584,MATCH(B584,{"enero","febrero","marzo","abril","mayo","junio","julio","agosto","septiembre","octubre","noviembre","diciembre"},0)+1,0))</f>
        <v/>
      </c>
      <c r="E584" t="str">
        <f>+IFERROR(VLOOKUP(Fact_Cumplimiento[[#This Row], [Concepto Anterior]],Conceptos_Cumplimiento[#All],5,0),"")</f>
        <v/>
      </c>
      <c r="F584" t="str">
        <f>+IFERROR(VLOOKUP(Fact_Cumplimiento[[#This Row], 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ht="18.75" customHeight="1" x14ac:dyDescent="0.35">
      <c r="C585" s="100" t="str">
        <f>IF(OR(Fact_Cumplimiento[[#This Row], [Año]]="",Fact_Cumplimiento[[#This Row], [Mes]]=""),"",DATE(A585,MATCH(B585,{"enero","febrero","marzo","abril","mayo","junio","julio","agosto","septiembre","octubre","noviembre","diciembre"},0)+1,0))</f>
        <v/>
      </c>
      <c r="E585" t="str">
        <f>+IFERROR(VLOOKUP(Fact_Cumplimiento[[#This Row], [Concepto Anterior]],Conceptos_Cumplimiento[#All],5,0),"")</f>
        <v/>
      </c>
      <c r="F585" t="str">
        <f>+IFERROR(VLOOKUP(Fact_Cumplimiento[[#This Row], 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ht="18.75" customHeight="1" x14ac:dyDescent="0.35">
      <c r="C586" s="100" t="str">
        <f>IF(OR(Fact_Cumplimiento[[#This Row], [Año]]="",Fact_Cumplimiento[[#This Row], [Mes]]=""),"",DATE(A586,MATCH(B586,{"enero","febrero","marzo","abril","mayo","junio","julio","agosto","septiembre","octubre","noviembre","diciembre"},0)+1,0))</f>
        <v/>
      </c>
      <c r="E586" t="str">
        <f>+IFERROR(VLOOKUP(Fact_Cumplimiento[[#This Row], [Concepto Anterior]],Conceptos_Cumplimiento[#All],5,0),"")</f>
        <v/>
      </c>
      <c r="F586" t="str">
        <f>+IFERROR(VLOOKUP(Fact_Cumplimiento[[#This Row], 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ht="18.75" customHeight="1" x14ac:dyDescent="0.35">
      <c r="C587" s="100" t="str">
        <f>IF(OR(Fact_Cumplimiento[[#This Row], [Año]]="",Fact_Cumplimiento[[#This Row], [Mes]]=""),"",DATE(A587,MATCH(B587,{"enero","febrero","marzo","abril","mayo","junio","julio","agosto","septiembre","octubre","noviembre","diciembre"},0)+1,0))</f>
        <v/>
      </c>
      <c r="E587" t="str">
        <f>+IFERROR(VLOOKUP(Fact_Cumplimiento[[#This Row], [Concepto Anterior]],Conceptos_Cumplimiento[#All],5,0),"")</f>
        <v/>
      </c>
      <c r="F587" t="str">
        <f>+IFERROR(VLOOKUP(Fact_Cumplimiento[[#This Row], 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ht="18.75" customHeight="1" x14ac:dyDescent="0.35">
      <c r="C588" s="100" t="str">
        <f>IF(OR(Fact_Cumplimiento[[#This Row], [Año]]="",Fact_Cumplimiento[[#This Row], [Mes]]=""),"",DATE(A588,MATCH(B588,{"enero","febrero","marzo","abril","mayo","junio","julio","agosto","septiembre","octubre","noviembre","diciembre"},0)+1,0))</f>
        <v/>
      </c>
      <c r="E588" t="str">
        <f>+IFERROR(VLOOKUP(Fact_Cumplimiento[[#This Row], [Concepto Anterior]],Conceptos_Cumplimiento[#All],5,0),"")</f>
        <v/>
      </c>
      <c r="F588" t="str">
        <f>+IFERROR(VLOOKUP(Fact_Cumplimiento[[#This Row], 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ht="18.75" customHeight="1" x14ac:dyDescent="0.35">
      <c r="C589" s="100" t="str">
        <f>IF(OR(Fact_Cumplimiento[[#This Row], [Año]]="",Fact_Cumplimiento[[#This Row], [Mes]]=""),"",DATE(A589,MATCH(B589,{"enero","febrero","marzo","abril","mayo","junio","julio","agosto","septiembre","octubre","noviembre","diciembre"},0)+1,0))</f>
        <v/>
      </c>
      <c r="E589" t="str">
        <f>+IFERROR(VLOOKUP(Fact_Cumplimiento[[#This Row], [Concepto Anterior]],Conceptos_Cumplimiento[#All],5,0),"")</f>
        <v/>
      </c>
      <c r="F589" t="str">
        <f>+IFERROR(VLOOKUP(Fact_Cumplimiento[[#This Row], 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ht="18.75" customHeight="1" x14ac:dyDescent="0.35">
      <c r="C590" s="100" t="str">
        <f>IF(OR(Fact_Cumplimiento[[#This Row], [Año]]="",Fact_Cumplimiento[[#This Row], [Mes]]=""),"",DATE(A590,MATCH(B590,{"enero","febrero","marzo","abril","mayo","junio","julio","agosto","septiembre","octubre","noviembre","diciembre"},0)+1,0))</f>
        <v/>
      </c>
      <c r="E590" t="str">
        <f>+IFERROR(VLOOKUP(Fact_Cumplimiento[[#This Row], [Concepto Anterior]],Conceptos_Cumplimiento[#All],5,0),"")</f>
        <v/>
      </c>
      <c r="F590" t="str">
        <f>+IFERROR(VLOOKUP(Fact_Cumplimiento[[#This Row], 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ht="18.75" customHeight="1" x14ac:dyDescent="0.35">
      <c r="C591" s="100" t="str">
        <f>IF(OR(Fact_Cumplimiento[[#This Row], [Año]]="",Fact_Cumplimiento[[#This Row], [Mes]]=""),"",DATE(A591,MATCH(B591,{"enero","febrero","marzo","abril","mayo","junio","julio","agosto","septiembre","octubre","noviembre","diciembre"},0)+1,0))</f>
        <v/>
      </c>
      <c r="E591" t="str">
        <f>+IFERROR(VLOOKUP(Fact_Cumplimiento[[#This Row], [Concepto Anterior]],Conceptos_Cumplimiento[#All],5,0),"")</f>
        <v/>
      </c>
      <c r="F591" t="str">
        <f>+IFERROR(VLOOKUP(Fact_Cumplimiento[[#This Row], 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ht="18.75" customHeight="1" x14ac:dyDescent="0.35">
      <c r="C592" s="100" t="str">
        <f>IF(OR(Fact_Cumplimiento[[#This Row], [Año]]="",Fact_Cumplimiento[[#This Row], [Mes]]=""),"",DATE(A592,MATCH(B592,{"enero","febrero","marzo","abril","mayo","junio","julio","agosto","septiembre","octubre","noviembre","diciembre"},0)+1,0))</f>
        <v/>
      </c>
      <c r="E592" t="str">
        <f>+IFERROR(VLOOKUP(Fact_Cumplimiento[[#This Row], [Concepto Anterior]],Conceptos_Cumplimiento[#All],5,0),"")</f>
        <v/>
      </c>
      <c r="F592" t="str">
        <f>+IFERROR(VLOOKUP(Fact_Cumplimiento[[#This Row], 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ht="18.75" customHeight="1" x14ac:dyDescent="0.35">
      <c r="C593" s="100" t="str">
        <f>IF(OR(Fact_Cumplimiento[[#This Row], [Año]]="",Fact_Cumplimiento[[#This Row], [Mes]]=""),"",DATE(A593,MATCH(B593,{"enero","febrero","marzo","abril","mayo","junio","julio","agosto","septiembre","octubre","noviembre","diciembre"},0)+1,0))</f>
        <v/>
      </c>
      <c r="E593" t="str">
        <f>+IFERROR(VLOOKUP(Fact_Cumplimiento[[#This Row], [Concepto Anterior]],Conceptos_Cumplimiento[#All],5,0),"")</f>
        <v/>
      </c>
      <c r="F593" t="str">
        <f>+IFERROR(VLOOKUP(Fact_Cumplimiento[[#This Row], 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ht="18.75" customHeight="1" x14ac:dyDescent="0.35">
      <c r="C594" s="100" t="str">
        <f>IF(OR(Fact_Cumplimiento[[#This Row], [Año]]="",Fact_Cumplimiento[[#This Row], [Mes]]=""),"",DATE(A594,MATCH(B594,{"enero","febrero","marzo","abril","mayo","junio","julio","agosto","septiembre","octubre","noviembre","diciembre"},0)+1,0))</f>
        <v/>
      </c>
      <c r="E594" t="str">
        <f>+IFERROR(VLOOKUP(Fact_Cumplimiento[[#This Row], [Concepto Anterior]],Conceptos_Cumplimiento[#All],5,0),"")</f>
        <v/>
      </c>
      <c r="F594" t="str">
        <f>+IFERROR(VLOOKUP(Fact_Cumplimiento[[#This Row], 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ht="18.75" customHeight="1" x14ac:dyDescent="0.35">
      <c r="C595" s="100" t="str">
        <f>IF(OR(Fact_Cumplimiento[[#This Row], [Año]]="",Fact_Cumplimiento[[#This Row], [Mes]]=""),"",DATE(A595,MATCH(B595,{"enero","febrero","marzo","abril","mayo","junio","julio","agosto","septiembre","octubre","noviembre","diciembre"},0)+1,0))</f>
        <v/>
      </c>
      <c r="E595" t="str">
        <f>+IFERROR(VLOOKUP(Fact_Cumplimiento[[#This Row], [Concepto Anterior]],Conceptos_Cumplimiento[#All],5,0),"")</f>
        <v/>
      </c>
      <c r="F595" t="str">
        <f>+IFERROR(VLOOKUP(Fact_Cumplimiento[[#This Row], 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ht="18.75" customHeight="1" x14ac:dyDescent="0.35">
      <c r="C596" s="100" t="str">
        <f>IF(OR(Fact_Cumplimiento[[#This Row], [Año]]="",Fact_Cumplimiento[[#This Row], [Mes]]=""),"",DATE(A596,MATCH(B596,{"enero","febrero","marzo","abril","mayo","junio","julio","agosto","septiembre","octubre","noviembre","diciembre"},0)+1,0))</f>
        <v/>
      </c>
      <c r="E596" t="str">
        <f>+IFERROR(VLOOKUP(Fact_Cumplimiento[[#This Row], [Concepto Anterior]],Conceptos_Cumplimiento[#All],5,0),"")</f>
        <v/>
      </c>
      <c r="F596" t="str">
        <f>+IFERROR(VLOOKUP(Fact_Cumplimiento[[#This Row], 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ht="18.75" customHeight="1" x14ac:dyDescent="0.35">
      <c r="C597" s="100" t="str">
        <f>IF(OR(Fact_Cumplimiento[[#This Row], [Año]]="",Fact_Cumplimiento[[#This Row], [Mes]]=""),"",DATE(A597,MATCH(B597,{"enero","febrero","marzo","abril","mayo","junio","julio","agosto","septiembre","octubre","noviembre","diciembre"},0)+1,0))</f>
        <v/>
      </c>
      <c r="E597" t="str">
        <f>+IFERROR(VLOOKUP(Fact_Cumplimiento[[#This Row], [Concepto Anterior]],Conceptos_Cumplimiento[#All],5,0),"")</f>
        <v/>
      </c>
      <c r="F597" t="str">
        <f>+IFERROR(VLOOKUP(Fact_Cumplimiento[[#This Row], 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ht="18.75" customHeight="1" x14ac:dyDescent="0.35">
      <c r="C598" s="100" t="str">
        <f>IF(OR(Fact_Cumplimiento[[#This Row], [Año]]="",Fact_Cumplimiento[[#This Row], [Mes]]=""),"",DATE(A598,MATCH(B598,{"enero","febrero","marzo","abril","mayo","junio","julio","agosto","septiembre","octubre","noviembre","diciembre"},0)+1,0))</f>
        <v/>
      </c>
      <c r="E598" t="str">
        <f>+IFERROR(VLOOKUP(Fact_Cumplimiento[[#This Row], [Concepto Anterior]],Conceptos_Cumplimiento[#All],5,0),"")</f>
        <v/>
      </c>
      <c r="F598" t="str">
        <f>+IFERROR(VLOOKUP(Fact_Cumplimiento[[#This Row], 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ht="18.75" customHeight="1" x14ac:dyDescent="0.35">
      <c r="C599" s="100" t="str">
        <f>IF(OR(Fact_Cumplimiento[[#This Row], [Año]]="",Fact_Cumplimiento[[#This Row], [Mes]]=""),"",DATE(A599,MATCH(B599,{"enero","febrero","marzo","abril","mayo","junio","julio","agosto","septiembre","octubre","noviembre","diciembre"},0)+1,0))</f>
        <v/>
      </c>
      <c r="E599" t="str">
        <f>+IFERROR(VLOOKUP(Fact_Cumplimiento[[#This Row], [Concepto Anterior]],Conceptos_Cumplimiento[#All],5,0),"")</f>
        <v/>
      </c>
      <c r="F599" t="str">
        <f>+IFERROR(VLOOKUP(Fact_Cumplimiento[[#This Row], 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ht="18.75" customHeight="1" x14ac:dyDescent="0.35">
      <c r="C600" s="100" t="str">
        <f>IF(OR(Fact_Cumplimiento[[#This Row], [Año]]="",Fact_Cumplimiento[[#This Row], [Mes]]=""),"",DATE(A600,MATCH(B600,{"enero","febrero","marzo","abril","mayo","junio","julio","agosto","septiembre","octubre","noviembre","diciembre"},0)+1,0))</f>
        <v/>
      </c>
      <c r="E600" t="str">
        <f>+IFERROR(VLOOKUP(Fact_Cumplimiento[[#This Row], [Concepto Anterior]],Conceptos_Cumplimiento[#All],5,0),"")</f>
        <v/>
      </c>
      <c r="F600" t="str">
        <f>+IFERROR(VLOOKUP(Fact_Cumplimiento[[#This Row], 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ht="18.75" customHeight="1" x14ac:dyDescent="0.35">
      <c r="C601" s="100" t="str">
        <f>IF(OR(Fact_Cumplimiento[[#This Row], [Año]]="",Fact_Cumplimiento[[#This Row], [Mes]]=""),"",DATE(A601,MATCH(B601,{"enero","febrero","marzo","abril","mayo","junio","julio","agosto","septiembre","octubre","noviembre","diciembre"},0)+1,0))</f>
        <v/>
      </c>
      <c r="E601" t="str">
        <f>+IFERROR(VLOOKUP(Fact_Cumplimiento[[#This Row], [Concepto Anterior]],Conceptos_Cumplimiento[#All],5,0),"")</f>
        <v/>
      </c>
      <c r="F601" t="str">
        <f>+IFERROR(VLOOKUP(Fact_Cumplimiento[[#This Row], 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ht="18.75" customHeight="1" x14ac:dyDescent="0.35">
      <c r="C602" s="100" t="str">
        <f>IF(OR(Fact_Cumplimiento[[#This Row], [Año]]="",Fact_Cumplimiento[[#This Row], [Mes]]=""),"",DATE(A602,MATCH(B602,{"enero","febrero","marzo","abril","mayo","junio","julio","agosto","septiembre","octubre","noviembre","diciembre"},0)+1,0))</f>
        <v/>
      </c>
      <c r="E602" t="str">
        <f>+IFERROR(VLOOKUP(Fact_Cumplimiento[[#This Row], [Concepto Anterior]],Conceptos_Cumplimiento[#All],5,0),"")</f>
        <v/>
      </c>
      <c r="F602" t="str">
        <f>+IFERROR(VLOOKUP(Fact_Cumplimiento[[#This Row], 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ht="18.75" customHeight="1" x14ac:dyDescent="0.35">
      <c r="C603" s="100" t="str">
        <f>IF(OR(Fact_Cumplimiento[[#This Row], [Año]]="",Fact_Cumplimiento[[#This Row], [Mes]]=""),"",DATE(A603,MATCH(B603,{"enero","febrero","marzo","abril","mayo","junio","julio","agosto","septiembre","octubre","noviembre","diciembre"},0)+1,0))</f>
        <v/>
      </c>
      <c r="E603" t="str">
        <f>+IFERROR(VLOOKUP(Fact_Cumplimiento[[#This Row], [Concepto Anterior]],Conceptos_Cumplimiento[#All],5,0),"")</f>
        <v/>
      </c>
      <c r="F603" t="str">
        <f>+IFERROR(VLOOKUP(Fact_Cumplimiento[[#This Row], 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ht="18.75" customHeight="1" x14ac:dyDescent="0.35">
      <c r="C604" s="100" t="str">
        <f>IF(OR(Fact_Cumplimiento[[#This Row], [Año]]="",Fact_Cumplimiento[[#This Row], [Mes]]=""),"",DATE(A604,MATCH(B604,{"enero","febrero","marzo","abril","mayo","junio","julio","agosto","septiembre","octubre","noviembre","diciembre"},0)+1,0))</f>
        <v/>
      </c>
      <c r="E604" t="str">
        <f>+IFERROR(VLOOKUP(Fact_Cumplimiento[[#This Row], [Concepto Anterior]],Conceptos_Cumplimiento[#All],5,0),"")</f>
        <v/>
      </c>
      <c r="F604" t="str">
        <f>+IFERROR(VLOOKUP(Fact_Cumplimiento[[#This Row], 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ht="18.75" customHeight="1" x14ac:dyDescent="0.35">
      <c r="C605" s="100" t="str">
        <f>IF(OR(Fact_Cumplimiento[[#This Row], [Año]]="",Fact_Cumplimiento[[#This Row], [Mes]]=""),"",DATE(A605,MATCH(B605,{"enero","febrero","marzo","abril","mayo","junio","julio","agosto","septiembre","octubre","noviembre","diciembre"},0)+1,0))</f>
        <v/>
      </c>
      <c r="E605" t="str">
        <f>+IFERROR(VLOOKUP(Fact_Cumplimiento[[#This Row], [Concepto Anterior]],Conceptos_Cumplimiento[#All],5,0),"")</f>
        <v/>
      </c>
      <c r="F605" t="str">
        <f>+IFERROR(VLOOKUP(Fact_Cumplimiento[[#This Row], 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ht="18.75" customHeight="1" x14ac:dyDescent="0.35">
      <c r="C606" s="100" t="str">
        <f>IF(OR(Fact_Cumplimiento[[#This Row], [Año]]="",Fact_Cumplimiento[[#This Row], [Mes]]=""),"",DATE(A606,MATCH(B606,{"enero","febrero","marzo","abril","mayo","junio","julio","agosto","septiembre","octubre","noviembre","diciembre"},0)+1,0))</f>
        <v/>
      </c>
      <c r="E606" t="str">
        <f>+IFERROR(VLOOKUP(Fact_Cumplimiento[[#This Row], [Concepto Anterior]],Conceptos_Cumplimiento[#All],5,0),"")</f>
        <v/>
      </c>
      <c r="F606" t="str">
        <f>+IFERROR(VLOOKUP(Fact_Cumplimiento[[#This Row], 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ht="18.75" customHeight="1" x14ac:dyDescent="0.35">
      <c r="C607" s="100" t="str">
        <f>IF(OR(Fact_Cumplimiento[[#This Row], [Año]]="",Fact_Cumplimiento[[#This Row], [Mes]]=""),"",DATE(A607,MATCH(B607,{"enero","febrero","marzo","abril","mayo","junio","julio","agosto","septiembre","octubre","noviembre","diciembre"},0)+1,0))</f>
        <v/>
      </c>
      <c r="E607" t="str">
        <f>+IFERROR(VLOOKUP(Fact_Cumplimiento[[#This Row], [Concepto Anterior]],Conceptos_Cumplimiento[#All],5,0),"")</f>
        <v/>
      </c>
      <c r="F607" t="str">
        <f>+IFERROR(VLOOKUP(Fact_Cumplimiento[[#This Row], 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ht="18.75" customHeight="1" x14ac:dyDescent="0.35">
      <c r="C608" s="100" t="str">
        <f>IF(OR(Fact_Cumplimiento[[#This Row], [Año]]="",Fact_Cumplimiento[[#This Row], [Mes]]=""),"",DATE(A608,MATCH(B608,{"enero","febrero","marzo","abril","mayo","junio","julio","agosto","septiembre","octubre","noviembre","diciembre"},0)+1,0))</f>
        <v/>
      </c>
      <c r="E608" t="str">
        <f>+IFERROR(VLOOKUP(Fact_Cumplimiento[[#This Row], [Concepto Anterior]],Conceptos_Cumplimiento[#All],5,0),"")</f>
        <v/>
      </c>
      <c r="F608" t="str">
        <f>+IFERROR(VLOOKUP(Fact_Cumplimiento[[#This Row], 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ht="18.75" customHeight="1" x14ac:dyDescent="0.35">
      <c r="C609" s="100" t="str">
        <f>IF(OR(Fact_Cumplimiento[[#This Row], [Año]]="",Fact_Cumplimiento[[#This Row], [Mes]]=""),"",DATE(A609,MATCH(B609,{"enero","febrero","marzo","abril","mayo","junio","julio","agosto","septiembre","octubre","noviembre","diciembre"},0)+1,0))</f>
        <v/>
      </c>
      <c r="E609" t="str">
        <f>+IFERROR(VLOOKUP(Fact_Cumplimiento[[#This Row], [Concepto Anterior]],Conceptos_Cumplimiento[#All],5,0),"")</f>
        <v/>
      </c>
      <c r="F609" t="str">
        <f>+IFERROR(VLOOKUP(Fact_Cumplimiento[[#This Row], 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ht="18.75" customHeight="1" x14ac:dyDescent="0.35">
      <c r="C610" s="100" t="str">
        <f>IF(OR(Fact_Cumplimiento[[#This Row], [Año]]="",Fact_Cumplimiento[[#This Row], [Mes]]=""),"",DATE(A610,MATCH(B610,{"enero","febrero","marzo","abril","mayo","junio","julio","agosto","septiembre","octubre","noviembre","diciembre"},0)+1,0))</f>
        <v/>
      </c>
      <c r="E610" t="str">
        <f>+IFERROR(VLOOKUP(Fact_Cumplimiento[[#This Row], [Concepto Anterior]],Conceptos_Cumplimiento[#All],5,0),"")</f>
        <v/>
      </c>
      <c r="F610" t="str">
        <f>+IFERROR(VLOOKUP(Fact_Cumplimiento[[#This Row], 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ht="18.75" customHeight="1" x14ac:dyDescent="0.35">
      <c r="C611" s="100" t="str">
        <f>IF(OR(Fact_Cumplimiento[[#This Row], [Año]]="",Fact_Cumplimiento[[#This Row], [Mes]]=""),"",DATE(A611,MATCH(B611,{"enero","febrero","marzo","abril","mayo","junio","julio","agosto","septiembre","octubre","noviembre","diciembre"},0)+1,0))</f>
        <v/>
      </c>
      <c r="E611" t="str">
        <f>+IFERROR(VLOOKUP(Fact_Cumplimiento[[#This Row], [Concepto Anterior]],Conceptos_Cumplimiento[#All],5,0),"")</f>
        <v/>
      </c>
      <c r="F611" t="str">
        <f>+IFERROR(VLOOKUP(Fact_Cumplimiento[[#This Row], 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ht="18.75" customHeight="1" x14ac:dyDescent="0.35">
      <c r="C612" s="100" t="str">
        <f>IF(OR(Fact_Cumplimiento[[#This Row], [Año]]="",Fact_Cumplimiento[[#This Row], [Mes]]=""),"",DATE(A612,MATCH(B612,{"enero","febrero","marzo","abril","mayo","junio","julio","agosto","septiembre","octubre","noviembre","diciembre"},0)+1,0))</f>
        <v/>
      </c>
      <c r="E612" t="str">
        <f>+IFERROR(VLOOKUP(Fact_Cumplimiento[[#This Row], [Concepto Anterior]],Conceptos_Cumplimiento[#All],5,0),"")</f>
        <v/>
      </c>
      <c r="F612" t="str">
        <f>+IFERROR(VLOOKUP(Fact_Cumplimiento[[#This Row], 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ht="18.75" customHeight="1" x14ac:dyDescent="0.35">
      <c r="C613" s="100" t="str">
        <f>IF(OR(Fact_Cumplimiento[[#This Row], [Año]]="",Fact_Cumplimiento[[#This Row], [Mes]]=""),"",DATE(A613,MATCH(B613,{"enero","febrero","marzo","abril","mayo","junio","julio","agosto","septiembre","octubre","noviembre","diciembre"},0)+1,0))</f>
        <v/>
      </c>
      <c r="E613" t="str">
        <f>+IFERROR(VLOOKUP(Fact_Cumplimiento[[#This Row], [Concepto Anterior]],Conceptos_Cumplimiento[#All],5,0),"")</f>
        <v/>
      </c>
      <c r="F613" t="str">
        <f>+IFERROR(VLOOKUP(Fact_Cumplimiento[[#This Row], 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ht="18.75" customHeight="1" x14ac:dyDescent="0.35">
      <c r="C614" s="100" t="str">
        <f>IF(OR(Fact_Cumplimiento[[#This Row], [Año]]="",Fact_Cumplimiento[[#This Row], [Mes]]=""),"",DATE(A614,MATCH(B614,{"enero","febrero","marzo","abril","mayo","junio","julio","agosto","septiembre","octubre","noviembre","diciembre"},0)+1,0))</f>
        <v/>
      </c>
      <c r="E614" t="str">
        <f>+IFERROR(VLOOKUP(Fact_Cumplimiento[[#This Row], [Concepto Anterior]],Conceptos_Cumplimiento[#All],5,0),"")</f>
        <v/>
      </c>
      <c r="F614" t="str">
        <f>+IFERROR(VLOOKUP(Fact_Cumplimiento[[#This Row], 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ht="18.75" customHeight="1" x14ac:dyDescent="0.35">
      <c r="C615" s="100" t="str">
        <f>IF(OR(Fact_Cumplimiento[[#This Row], [Año]]="",Fact_Cumplimiento[[#This Row], [Mes]]=""),"",DATE(A615,MATCH(B615,{"enero","febrero","marzo","abril","mayo","junio","julio","agosto","septiembre","octubre","noviembre","diciembre"},0)+1,0))</f>
        <v/>
      </c>
      <c r="E615" t="str">
        <f>+IFERROR(VLOOKUP(Fact_Cumplimiento[[#This Row], [Concepto Anterior]],Conceptos_Cumplimiento[#All],5,0),"")</f>
        <v/>
      </c>
      <c r="F615" t="str">
        <f>+IFERROR(VLOOKUP(Fact_Cumplimiento[[#This Row], 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ht="18.75" customHeight="1" x14ac:dyDescent="0.35">
      <c r="C616" s="100" t="str">
        <f>IF(OR(Fact_Cumplimiento[[#This Row], [Año]]="",Fact_Cumplimiento[[#This Row], [Mes]]=""),"",DATE(A616,MATCH(B616,{"enero","febrero","marzo","abril","mayo","junio","julio","agosto","septiembre","octubre","noviembre","diciembre"},0)+1,0))</f>
        <v/>
      </c>
      <c r="E616" t="str">
        <f>+IFERROR(VLOOKUP(Fact_Cumplimiento[[#This Row], [Concepto Anterior]],Conceptos_Cumplimiento[#All],5,0),"")</f>
        <v/>
      </c>
      <c r="F616" t="str">
        <f>+IFERROR(VLOOKUP(Fact_Cumplimiento[[#This Row], 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ht="18.75" customHeight="1" x14ac:dyDescent="0.35">
      <c r="C617" s="100" t="str">
        <f>IF(OR(Fact_Cumplimiento[[#This Row], [Año]]="",Fact_Cumplimiento[[#This Row], [Mes]]=""),"",DATE(A617,MATCH(B617,{"enero","febrero","marzo","abril","mayo","junio","julio","agosto","septiembre","octubre","noviembre","diciembre"},0)+1,0))</f>
        <v/>
      </c>
      <c r="E617" t="str">
        <f>+IFERROR(VLOOKUP(Fact_Cumplimiento[[#This Row], [Concepto Anterior]],Conceptos_Cumplimiento[#All],5,0),"")</f>
        <v/>
      </c>
      <c r="F617" t="str">
        <f>+IFERROR(VLOOKUP(Fact_Cumplimiento[[#This Row], 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ht="18.75" customHeight="1" x14ac:dyDescent="0.35">
      <c r="C618" s="100" t="str">
        <f>IF(OR(Fact_Cumplimiento[[#This Row], [Año]]="",Fact_Cumplimiento[[#This Row], [Mes]]=""),"",DATE(A618,MATCH(B618,{"enero","febrero","marzo","abril","mayo","junio","julio","agosto","septiembre","octubre","noviembre","diciembre"},0)+1,0))</f>
        <v/>
      </c>
      <c r="E618" t="str">
        <f>+IFERROR(VLOOKUP(Fact_Cumplimiento[[#This Row], [Concepto Anterior]],Conceptos_Cumplimiento[#All],5,0),"")</f>
        <v/>
      </c>
      <c r="F618" t="str">
        <f>+IFERROR(VLOOKUP(Fact_Cumplimiento[[#This Row], 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ht="18.75" customHeight="1" x14ac:dyDescent="0.35">
      <c r="C619" s="100" t="str">
        <f>IF(OR(Fact_Cumplimiento[[#This Row], [Año]]="",Fact_Cumplimiento[[#This Row], [Mes]]=""),"",DATE(A619,MATCH(B619,{"enero","febrero","marzo","abril","mayo","junio","julio","agosto","septiembre","octubre","noviembre","diciembre"},0)+1,0))</f>
        <v/>
      </c>
      <c r="E619" t="str">
        <f>+IFERROR(VLOOKUP(Fact_Cumplimiento[[#This Row], [Concepto Anterior]],Conceptos_Cumplimiento[#All],5,0),"")</f>
        <v/>
      </c>
      <c r="F619" t="str">
        <f>+IFERROR(VLOOKUP(Fact_Cumplimiento[[#This Row], 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ht="18.75" customHeight="1" x14ac:dyDescent="0.35">
      <c r="C620" s="100" t="str">
        <f>IF(OR(Fact_Cumplimiento[[#This Row], [Año]]="",Fact_Cumplimiento[[#This Row], [Mes]]=""),"",DATE(A620,MATCH(B620,{"enero","febrero","marzo","abril","mayo","junio","julio","agosto","septiembre","octubre","noviembre","diciembre"},0)+1,0))</f>
        <v/>
      </c>
      <c r="E620" t="str">
        <f>+IFERROR(VLOOKUP(Fact_Cumplimiento[[#This Row], [Concepto Anterior]],Conceptos_Cumplimiento[#All],5,0),"")</f>
        <v/>
      </c>
      <c r="F620" t="str">
        <f>+IFERROR(VLOOKUP(Fact_Cumplimiento[[#This Row], 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ht="18.75" customHeight="1" x14ac:dyDescent="0.35">
      <c r="C621" s="100" t="str">
        <f>IF(OR(Fact_Cumplimiento[[#This Row], [Año]]="",Fact_Cumplimiento[[#This Row], [Mes]]=""),"",DATE(A621,MATCH(B621,{"enero","febrero","marzo","abril","mayo","junio","julio","agosto","septiembre","octubre","noviembre","diciembre"},0)+1,0))</f>
        <v/>
      </c>
      <c r="E621" t="str">
        <f>+IFERROR(VLOOKUP(Fact_Cumplimiento[[#This Row], [Concepto Anterior]],Conceptos_Cumplimiento[#All],5,0),"")</f>
        <v/>
      </c>
      <c r="F621" t="str">
        <f>+IFERROR(VLOOKUP(Fact_Cumplimiento[[#This Row], 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ht="18.75" customHeight="1" x14ac:dyDescent="0.35">
      <c r="C622" s="100" t="str">
        <f>IF(OR(Fact_Cumplimiento[[#This Row], [Año]]="",Fact_Cumplimiento[[#This Row], [Mes]]=""),"",DATE(A622,MATCH(B622,{"enero","febrero","marzo","abril","mayo","junio","julio","agosto","septiembre","octubre","noviembre","diciembre"},0)+1,0))</f>
        <v/>
      </c>
      <c r="E622" t="str">
        <f>+IFERROR(VLOOKUP(Fact_Cumplimiento[[#This Row], [Concepto Anterior]],Conceptos_Cumplimiento[#All],5,0),"")</f>
        <v/>
      </c>
      <c r="F622" t="str">
        <f>+IFERROR(VLOOKUP(Fact_Cumplimiento[[#This Row], 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ht="18.75" customHeight="1" x14ac:dyDescent="0.35">
      <c r="C623" s="100" t="str">
        <f>IF(OR(Fact_Cumplimiento[[#This Row], [Año]]="",Fact_Cumplimiento[[#This Row], [Mes]]=""),"",DATE(A623,MATCH(B623,{"enero","febrero","marzo","abril","mayo","junio","julio","agosto","septiembre","octubre","noviembre","diciembre"},0)+1,0))</f>
        <v/>
      </c>
      <c r="E623" t="str">
        <f>+IFERROR(VLOOKUP(Fact_Cumplimiento[[#This Row], [Concepto Anterior]],Conceptos_Cumplimiento[#All],5,0),"")</f>
        <v/>
      </c>
      <c r="F623" t="str">
        <f>+IFERROR(VLOOKUP(Fact_Cumplimiento[[#This Row], 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ht="18.75" customHeight="1" x14ac:dyDescent="0.35">
      <c r="C624" s="100" t="str">
        <f>IF(OR(Fact_Cumplimiento[[#This Row], [Año]]="",Fact_Cumplimiento[[#This Row], [Mes]]=""),"",DATE(A624,MATCH(B624,{"enero","febrero","marzo","abril","mayo","junio","julio","agosto","septiembre","octubre","noviembre","diciembre"},0)+1,0))</f>
        <v/>
      </c>
      <c r="E624" t="str">
        <f>+IFERROR(VLOOKUP(Fact_Cumplimiento[[#This Row], [Concepto Anterior]],Conceptos_Cumplimiento[#All],5,0),"")</f>
        <v/>
      </c>
      <c r="F624" t="str">
        <f>+IFERROR(VLOOKUP(Fact_Cumplimiento[[#This Row], 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ht="18.75" customHeight="1" x14ac:dyDescent="0.35">
      <c r="C625" s="100" t="str">
        <f>IF(OR(Fact_Cumplimiento[[#This Row], [Año]]="",Fact_Cumplimiento[[#This Row], [Mes]]=""),"",DATE(A625,MATCH(B625,{"enero","febrero","marzo","abril","mayo","junio","julio","agosto","septiembre","octubre","noviembre","diciembre"},0)+1,0))</f>
        <v/>
      </c>
      <c r="E625" t="str">
        <f>+IFERROR(VLOOKUP(Fact_Cumplimiento[[#This Row], [Concepto Anterior]],Conceptos_Cumplimiento[#All],5,0),"")</f>
        <v/>
      </c>
      <c r="F625" t="str">
        <f>+IFERROR(VLOOKUP(Fact_Cumplimiento[[#This Row], 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ht="18.75" customHeight="1" x14ac:dyDescent="0.35">
      <c r="C626" s="100" t="str">
        <f>IF(OR(Fact_Cumplimiento[[#This Row], [Año]]="",Fact_Cumplimiento[[#This Row], [Mes]]=""),"",DATE(A626,MATCH(B626,{"enero","febrero","marzo","abril","mayo","junio","julio","agosto","septiembre","octubre","noviembre","diciembre"},0)+1,0))</f>
        <v/>
      </c>
      <c r="E626" t="str">
        <f>+IFERROR(VLOOKUP(Fact_Cumplimiento[[#This Row], [Concepto Anterior]],Conceptos_Cumplimiento[#All],5,0),"")</f>
        <v/>
      </c>
      <c r="F626" t="str">
        <f>+IFERROR(VLOOKUP(Fact_Cumplimiento[[#This Row], 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ht="18.75" customHeight="1" x14ac:dyDescent="0.35">
      <c r="C627" s="100" t="str">
        <f>IF(OR(Fact_Cumplimiento[[#This Row], [Año]]="",Fact_Cumplimiento[[#This Row], [Mes]]=""),"",DATE(A627,MATCH(B627,{"enero","febrero","marzo","abril","mayo","junio","julio","agosto","septiembre","octubre","noviembre","diciembre"},0)+1,0))</f>
        <v/>
      </c>
      <c r="E627" t="str">
        <f>+IFERROR(VLOOKUP(Fact_Cumplimiento[[#This Row], [Concepto Anterior]],Conceptos_Cumplimiento[#All],5,0),"")</f>
        <v/>
      </c>
      <c r="F627" t="str">
        <f>+IFERROR(VLOOKUP(Fact_Cumplimiento[[#This Row], 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ht="18.75" customHeight="1" x14ac:dyDescent="0.35">
      <c r="C628" s="100" t="str">
        <f>IF(OR(Fact_Cumplimiento[[#This Row], [Año]]="",Fact_Cumplimiento[[#This Row], [Mes]]=""),"",DATE(A628,MATCH(B628,{"enero","febrero","marzo","abril","mayo","junio","julio","agosto","septiembre","octubre","noviembre","diciembre"},0)+1,0))</f>
        <v/>
      </c>
      <c r="E628" t="str">
        <f>+IFERROR(VLOOKUP(Fact_Cumplimiento[[#This Row], [Concepto Anterior]],Conceptos_Cumplimiento[#All],5,0),"")</f>
        <v/>
      </c>
      <c r="F628" t="str">
        <f>+IFERROR(VLOOKUP(Fact_Cumplimiento[[#This Row], 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ht="18.75" customHeight="1" x14ac:dyDescent="0.35">
      <c r="C629" s="100" t="str">
        <f>IF(OR(Fact_Cumplimiento[[#This Row], [Año]]="",Fact_Cumplimiento[[#This Row], [Mes]]=""),"",DATE(A629,MATCH(B629,{"enero","febrero","marzo","abril","mayo","junio","julio","agosto","septiembre","octubre","noviembre","diciembre"},0)+1,0))</f>
        <v/>
      </c>
      <c r="E629" t="str">
        <f>+IFERROR(VLOOKUP(Fact_Cumplimiento[[#This Row], [Concepto Anterior]],Conceptos_Cumplimiento[#All],5,0),"")</f>
        <v/>
      </c>
      <c r="F629" t="str">
        <f>+IFERROR(VLOOKUP(Fact_Cumplimiento[[#This Row], 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ht="18.75" customHeight="1" x14ac:dyDescent="0.35">
      <c r="C630" s="100" t="str">
        <f>IF(OR(Fact_Cumplimiento[[#This Row], [Año]]="",Fact_Cumplimiento[[#This Row], [Mes]]=""),"",DATE(A630,MATCH(B630,{"enero","febrero","marzo","abril","mayo","junio","julio","agosto","septiembre","octubre","noviembre","diciembre"},0)+1,0))</f>
        <v/>
      </c>
      <c r="E630" t="str">
        <f>+IFERROR(VLOOKUP(Fact_Cumplimiento[[#This Row], [Concepto Anterior]],Conceptos_Cumplimiento[#All],5,0),"")</f>
        <v/>
      </c>
      <c r="F630" t="str">
        <f>+IFERROR(VLOOKUP(Fact_Cumplimiento[[#This Row], 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ht="18.75" customHeight="1" x14ac:dyDescent="0.35">
      <c r="C631" s="100" t="str">
        <f>IF(OR(Fact_Cumplimiento[[#This Row], [Año]]="",Fact_Cumplimiento[[#This Row], [Mes]]=""),"",DATE(A631,MATCH(B631,{"enero","febrero","marzo","abril","mayo","junio","julio","agosto","septiembre","octubre","noviembre","diciembre"},0)+1,0))</f>
        <v/>
      </c>
      <c r="E631" t="str">
        <f>+IFERROR(VLOOKUP(Fact_Cumplimiento[[#This Row], [Concepto Anterior]],Conceptos_Cumplimiento[#All],5,0),"")</f>
        <v/>
      </c>
      <c r="F631" t="str">
        <f>+IFERROR(VLOOKUP(Fact_Cumplimiento[[#This Row], 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ht="18.75" customHeight="1" x14ac:dyDescent="0.35">
      <c r="C632" s="100" t="str">
        <f>IF(OR(Fact_Cumplimiento[[#This Row], [Año]]="",Fact_Cumplimiento[[#This Row], [Mes]]=""),"",DATE(A632,MATCH(B632,{"enero","febrero","marzo","abril","mayo","junio","julio","agosto","septiembre","octubre","noviembre","diciembre"},0)+1,0))</f>
        <v/>
      </c>
      <c r="E632" t="str">
        <f>+IFERROR(VLOOKUP(Fact_Cumplimiento[[#This Row], [Concepto Anterior]],Conceptos_Cumplimiento[#All],5,0),"")</f>
        <v/>
      </c>
      <c r="F632" t="str">
        <f>+IFERROR(VLOOKUP(Fact_Cumplimiento[[#This Row], 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ht="18.75" customHeight="1" x14ac:dyDescent="0.35">
      <c r="C633" s="100" t="str">
        <f>IF(OR(Fact_Cumplimiento[[#This Row], [Año]]="",Fact_Cumplimiento[[#This Row], [Mes]]=""),"",DATE(A633,MATCH(B633,{"enero","febrero","marzo","abril","mayo","junio","julio","agosto","septiembre","octubre","noviembre","diciembre"},0)+1,0))</f>
        <v/>
      </c>
      <c r="E633" t="str">
        <f>+IFERROR(VLOOKUP(Fact_Cumplimiento[[#This Row], [Concepto Anterior]],Conceptos_Cumplimiento[#All],5,0),"")</f>
        <v/>
      </c>
      <c r="F633" t="str">
        <f>+IFERROR(VLOOKUP(Fact_Cumplimiento[[#This Row], 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ht="18.75" customHeight="1" x14ac:dyDescent="0.35">
      <c r="C634" s="100" t="str">
        <f>IF(OR(Fact_Cumplimiento[[#This Row], [Año]]="",Fact_Cumplimiento[[#This Row], [Mes]]=""),"",DATE(A634,MATCH(B634,{"enero","febrero","marzo","abril","mayo","junio","julio","agosto","septiembre","octubre","noviembre","diciembre"},0)+1,0))</f>
        <v/>
      </c>
      <c r="E634" t="str">
        <f>+IFERROR(VLOOKUP(Fact_Cumplimiento[[#This Row], [Concepto Anterior]],Conceptos_Cumplimiento[#All],5,0),"")</f>
        <v/>
      </c>
      <c r="F634" t="str">
        <f>+IFERROR(VLOOKUP(Fact_Cumplimiento[[#This Row], 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ht="18.75" customHeight="1" x14ac:dyDescent="0.35">
      <c r="C635" s="100" t="str">
        <f>IF(OR(Fact_Cumplimiento[[#This Row], [Año]]="",Fact_Cumplimiento[[#This Row], [Mes]]=""),"",DATE(A635,MATCH(B635,{"enero","febrero","marzo","abril","mayo","junio","julio","agosto","septiembre","octubre","noviembre","diciembre"},0)+1,0))</f>
        <v/>
      </c>
      <c r="E635" t="str">
        <f>+IFERROR(VLOOKUP(Fact_Cumplimiento[[#This Row], [Concepto Anterior]],Conceptos_Cumplimiento[#All],5,0),"")</f>
        <v/>
      </c>
      <c r="F635" t="str">
        <f>+IFERROR(VLOOKUP(Fact_Cumplimiento[[#This Row], 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ht="18.75" customHeight="1" x14ac:dyDescent="0.35">
      <c r="C636" s="100" t="str">
        <f>IF(OR(Fact_Cumplimiento[[#This Row], [Año]]="",Fact_Cumplimiento[[#This Row], [Mes]]=""),"",DATE(A636,MATCH(B636,{"enero","febrero","marzo","abril","mayo","junio","julio","agosto","septiembre","octubre","noviembre","diciembre"},0)+1,0))</f>
        <v/>
      </c>
      <c r="E636" t="str">
        <f>+IFERROR(VLOOKUP(Fact_Cumplimiento[[#This Row], [Concepto Anterior]],Conceptos_Cumplimiento[#All],5,0),"")</f>
        <v/>
      </c>
      <c r="F636" t="str">
        <f>+IFERROR(VLOOKUP(Fact_Cumplimiento[[#This Row], 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ht="18.75" customHeight="1" x14ac:dyDescent="0.35">
      <c r="C637" s="100" t="str">
        <f>IF(OR(Fact_Cumplimiento[[#This Row], [Año]]="",Fact_Cumplimiento[[#This Row], [Mes]]=""),"",DATE(A637,MATCH(B637,{"enero","febrero","marzo","abril","mayo","junio","julio","agosto","septiembre","octubre","noviembre","diciembre"},0)+1,0))</f>
        <v/>
      </c>
      <c r="E637" t="str">
        <f>+IFERROR(VLOOKUP(Fact_Cumplimiento[[#This Row], [Concepto Anterior]],Conceptos_Cumplimiento[#All],5,0),"")</f>
        <v/>
      </c>
      <c r="F637" t="str">
        <f>+IFERROR(VLOOKUP(Fact_Cumplimiento[[#This Row], 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ht="18.75" customHeight="1" x14ac:dyDescent="0.35">
      <c r="C638" s="100" t="str">
        <f>IF(OR(Fact_Cumplimiento[[#This Row], [Año]]="",Fact_Cumplimiento[[#This Row], [Mes]]=""),"",DATE(A638,MATCH(B638,{"enero","febrero","marzo","abril","mayo","junio","julio","agosto","septiembre","octubre","noviembre","diciembre"},0)+1,0))</f>
        <v/>
      </c>
      <c r="E638" t="str">
        <f>+IFERROR(VLOOKUP(Fact_Cumplimiento[[#This Row], [Concepto Anterior]],Conceptos_Cumplimiento[#All],5,0),"")</f>
        <v/>
      </c>
      <c r="F638" t="str">
        <f>+IFERROR(VLOOKUP(Fact_Cumplimiento[[#This Row], 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ht="18.75" customHeight="1" x14ac:dyDescent="0.35">
      <c r="C639" s="100" t="str">
        <f>IF(OR(Fact_Cumplimiento[[#This Row], [Año]]="",Fact_Cumplimiento[[#This Row], [Mes]]=""),"",DATE(A639,MATCH(B639,{"enero","febrero","marzo","abril","mayo","junio","julio","agosto","septiembre","octubre","noviembre","diciembre"},0)+1,0))</f>
        <v/>
      </c>
      <c r="E639" t="str">
        <f>+IFERROR(VLOOKUP(Fact_Cumplimiento[[#This Row], [Concepto Anterior]],Conceptos_Cumplimiento[#All],5,0),"")</f>
        <v/>
      </c>
      <c r="F639" t="str">
        <f>+IFERROR(VLOOKUP(Fact_Cumplimiento[[#This Row], 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ht="18.75" customHeight="1" x14ac:dyDescent="0.35">
      <c r="C640" s="100" t="str">
        <f>IF(OR(Fact_Cumplimiento[[#This Row], [Año]]="",Fact_Cumplimiento[[#This Row], [Mes]]=""),"",DATE(A640,MATCH(B640,{"enero","febrero","marzo","abril","mayo","junio","julio","agosto","septiembre","octubre","noviembre","diciembre"},0)+1,0))</f>
        <v/>
      </c>
      <c r="E640" t="str">
        <f>+IFERROR(VLOOKUP(Fact_Cumplimiento[[#This Row], [Concepto Anterior]],Conceptos_Cumplimiento[#All],5,0),"")</f>
        <v/>
      </c>
      <c r="F640" t="str">
        <f>+IFERROR(VLOOKUP(Fact_Cumplimiento[[#This Row], 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ht="18.75" customHeight="1" x14ac:dyDescent="0.35">
      <c r="C641" s="100" t="str">
        <f>IF(OR(Fact_Cumplimiento[[#This Row], [Año]]="",Fact_Cumplimiento[[#This Row], [Mes]]=""),"",DATE(A641,MATCH(B641,{"enero","febrero","marzo","abril","mayo","junio","julio","agosto","septiembre","octubre","noviembre","diciembre"},0)+1,0))</f>
        <v/>
      </c>
      <c r="E641" t="str">
        <f>+IFERROR(VLOOKUP(Fact_Cumplimiento[[#This Row], [Concepto Anterior]],Conceptos_Cumplimiento[#All],5,0),"")</f>
        <v/>
      </c>
      <c r="F641" t="str">
        <f>+IFERROR(VLOOKUP(Fact_Cumplimiento[[#This Row], 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ht="18.75" customHeight="1" x14ac:dyDescent="0.35">
      <c r="C642" s="100" t="str">
        <f>IF(OR(Fact_Cumplimiento[[#This Row], [Año]]="",Fact_Cumplimiento[[#This Row], [Mes]]=""),"",DATE(A642,MATCH(B642,{"enero","febrero","marzo","abril","mayo","junio","julio","agosto","septiembre","octubre","noviembre","diciembre"},0)+1,0))</f>
        <v/>
      </c>
      <c r="E642" t="str">
        <f>+IFERROR(VLOOKUP(Fact_Cumplimiento[[#This Row], [Concepto Anterior]],Conceptos_Cumplimiento[#All],5,0),"")</f>
        <v/>
      </c>
      <c r="F642" t="str">
        <f>+IFERROR(VLOOKUP(Fact_Cumplimiento[[#This Row], 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ht="18.75" customHeight="1" x14ac:dyDescent="0.35">
      <c r="C643" s="100" t="str">
        <f>IF(OR(Fact_Cumplimiento[[#This Row], [Año]]="",Fact_Cumplimiento[[#This Row], [Mes]]=""),"",DATE(A643,MATCH(B643,{"enero","febrero","marzo","abril","mayo","junio","julio","agosto","septiembre","octubre","noviembre","diciembre"},0)+1,0))</f>
        <v/>
      </c>
      <c r="E643" t="str">
        <f>+IFERROR(VLOOKUP(Fact_Cumplimiento[[#This Row], [Concepto Anterior]],Conceptos_Cumplimiento[#All],5,0),"")</f>
        <v/>
      </c>
      <c r="F643" t="str">
        <f>+IFERROR(VLOOKUP(Fact_Cumplimiento[[#This Row], 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ht="18.75" customHeight="1" x14ac:dyDescent="0.35">
      <c r="C644" s="100" t="str">
        <f>IF(OR(Fact_Cumplimiento[[#This Row], [Año]]="",Fact_Cumplimiento[[#This Row], [Mes]]=""),"",DATE(A644,MATCH(B644,{"enero","febrero","marzo","abril","mayo","junio","julio","agosto","septiembre","octubre","noviembre","diciembre"},0)+1,0))</f>
        <v/>
      </c>
      <c r="E644" t="str">
        <f>+IFERROR(VLOOKUP(Fact_Cumplimiento[[#This Row], [Concepto Anterior]],Conceptos_Cumplimiento[#All],5,0),"")</f>
        <v/>
      </c>
      <c r="F644" t="str">
        <f>+IFERROR(VLOOKUP(Fact_Cumplimiento[[#This Row], 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ht="18.75" customHeight="1" x14ac:dyDescent="0.35">
      <c r="C645" s="100" t="str">
        <f>IF(OR(Fact_Cumplimiento[[#This Row], [Año]]="",Fact_Cumplimiento[[#This Row], [Mes]]=""),"",DATE(A645,MATCH(B645,{"enero","febrero","marzo","abril","mayo","junio","julio","agosto","septiembre","octubre","noviembre","diciembre"},0)+1,0))</f>
        <v/>
      </c>
      <c r="E645" t="str">
        <f>+IFERROR(VLOOKUP(Fact_Cumplimiento[[#This Row], [Concepto Anterior]],Conceptos_Cumplimiento[#All],5,0),"")</f>
        <v/>
      </c>
      <c r="F645" t="str">
        <f>+IFERROR(VLOOKUP(Fact_Cumplimiento[[#This Row], 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ht="18.75" customHeight="1" x14ac:dyDescent="0.35">
      <c r="C646" s="100" t="str">
        <f>IF(OR(Fact_Cumplimiento[[#This Row], [Año]]="",Fact_Cumplimiento[[#This Row], [Mes]]=""),"",DATE(A646,MATCH(B646,{"enero","febrero","marzo","abril","mayo","junio","julio","agosto","septiembre","octubre","noviembre","diciembre"},0)+1,0))</f>
        <v/>
      </c>
      <c r="E646" t="str">
        <f>+IFERROR(VLOOKUP(Fact_Cumplimiento[[#This Row], [Concepto Anterior]],Conceptos_Cumplimiento[#All],5,0),"")</f>
        <v/>
      </c>
      <c r="F646" t="str">
        <f>+IFERROR(VLOOKUP(Fact_Cumplimiento[[#This Row], 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ht="18.75" customHeight="1" x14ac:dyDescent="0.35">
      <c r="C647" s="100" t="str">
        <f>IF(OR(Fact_Cumplimiento[[#This Row], [Año]]="",Fact_Cumplimiento[[#This Row], [Mes]]=""),"",DATE(A647,MATCH(B647,{"enero","febrero","marzo","abril","mayo","junio","julio","agosto","septiembre","octubre","noviembre","diciembre"},0)+1,0))</f>
        <v/>
      </c>
      <c r="E647" t="str">
        <f>+IFERROR(VLOOKUP(Fact_Cumplimiento[[#This Row], [Concepto Anterior]],Conceptos_Cumplimiento[#All],5,0),"")</f>
        <v/>
      </c>
      <c r="F647" t="str">
        <f>+IFERROR(VLOOKUP(Fact_Cumplimiento[[#This Row], 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ht="18.75" customHeight="1" x14ac:dyDescent="0.35">
      <c r="C648" s="100" t="str">
        <f>IF(OR(Fact_Cumplimiento[[#This Row], [Año]]="",Fact_Cumplimiento[[#This Row], [Mes]]=""),"",DATE(A648,MATCH(B648,{"enero","febrero","marzo","abril","mayo","junio","julio","agosto","septiembre","octubre","noviembre","diciembre"},0)+1,0))</f>
        <v/>
      </c>
      <c r="E648" t="str">
        <f>+IFERROR(VLOOKUP(Fact_Cumplimiento[[#This Row], [Concepto Anterior]],Conceptos_Cumplimiento[#All],5,0),"")</f>
        <v/>
      </c>
      <c r="F648" t="str">
        <f>+IFERROR(VLOOKUP(Fact_Cumplimiento[[#This Row], 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ht="18.75" customHeight="1" x14ac:dyDescent="0.35">
      <c r="C649" s="100" t="str">
        <f>IF(OR(Fact_Cumplimiento[[#This Row], [Año]]="",Fact_Cumplimiento[[#This Row], [Mes]]=""),"",DATE(A649,MATCH(B649,{"enero","febrero","marzo","abril","mayo","junio","julio","agosto","septiembre","octubre","noviembre","diciembre"},0)+1,0))</f>
        <v/>
      </c>
      <c r="E649" t="str">
        <f>+IFERROR(VLOOKUP(Fact_Cumplimiento[[#This Row], [Concepto Anterior]],Conceptos_Cumplimiento[#All],5,0),"")</f>
        <v/>
      </c>
      <c r="F649" t="str">
        <f>+IFERROR(VLOOKUP(Fact_Cumplimiento[[#This Row], 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ht="18.75" customHeight="1" x14ac:dyDescent="0.35">
      <c r="C650" s="100" t="str">
        <f>IF(OR(Fact_Cumplimiento[[#This Row], [Año]]="",Fact_Cumplimiento[[#This Row], [Mes]]=""),"",DATE(A650,MATCH(B650,{"enero","febrero","marzo","abril","mayo","junio","julio","agosto","septiembre","octubre","noviembre","diciembre"},0)+1,0))</f>
        <v/>
      </c>
      <c r="E650" t="str">
        <f>+IFERROR(VLOOKUP(Fact_Cumplimiento[[#This Row], [Concepto Anterior]],Conceptos_Cumplimiento[#All],5,0),"")</f>
        <v/>
      </c>
      <c r="F650" t="str">
        <f>+IFERROR(VLOOKUP(Fact_Cumplimiento[[#This Row], 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ht="18.75" customHeight="1" x14ac:dyDescent="0.35">
      <c r="C651" s="100" t="str">
        <f>IF(OR(Fact_Cumplimiento[[#This Row], [Año]]="",Fact_Cumplimiento[[#This Row], [Mes]]=""),"",DATE(A651,MATCH(B651,{"enero","febrero","marzo","abril","mayo","junio","julio","agosto","septiembre","octubre","noviembre","diciembre"},0)+1,0))</f>
        <v/>
      </c>
      <c r="E651" t="str">
        <f>+IFERROR(VLOOKUP(Fact_Cumplimiento[[#This Row], [Concepto Anterior]],Conceptos_Cumplimiento[#All],5,0),"")</f>
        <v/>
      </c>
      <c r="F651" t="str">
        <f>+IFERROR(VLOOKUP(Fact_Cumplimiento[[#This Row], 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ht="18.75" customHeight="1" x14ac:dyDescent="0.35">
      <c r="C652" s="100" t="str">
        <f>IF(OR(Fact_Cumplimiento[[#This Row], [Año]]="",Fact_Cumplimiento[[#This Row], [Mes]]=""),"",DATE(A652,MATCH(B652,{"enero","febrero","marzo","abril","mayo","junio","julio","agosto","septiembre","octubre","noviembre","diciembre"},0)+1,0))</f>
        <v/>
      </c>
      <c r="E652" t="str">
        <f>+IFERROR(VLOOKUP(Fact_Cumplimiento[[#This Row], [Concepto Anterior]],Conceptos_Cumplimiento[#All],5,0),"")</f>
        <v/>
      </c>
      <c r="F652" t="str">
        <f>+IFERROR(VLOOKUP(Fact_Cumplimiento[[#This Row], 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ht="18.75" customHeight="1" x14ac:dyDescent="0.35">
      <c r="C653" s="100" t="str">
        <f>IF(OR(Fact_Cumplimiento[[#This Row], [Año]]="",Fact_Cumplimiento[[#This Row], [Mes]]=""),"",DATE(A653,MATCH(B653,{"enero","febrero","marzo","abril","mayo","junio","julio","agosto","septiembre","octubre","noviembre","diciembre"},0)+1,0))</f>
        <v/>
      </c>
      <c r="E653" t="str">
        <f>+IFERROR(VLOOKUP(Fact_Cumplimiento[[#This Row], [Concepto Anterior]],Conceptos_Cumplimiento[#All],5,0),"")</f>
        <v/>
      </c>
      <c r="F653" t="str">
        <f>+IFERROR(VLOOKUP(Fact_Cumplimiento[[#This Row], 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ht="18.75" customHeight="1" x14ac:dyDescent="0.35">
      <c r="C654" s="100" t="str">
        <f>IF(OR(Fact_Cumplimiento[[#This Row], [Año]]="",Fact_Cumplimiento[[#This Row], [Mes]]=""),"",DATE(A654,MATCH(B654,{"enero","febrero","marzo","abril","mayo","junio","julio","agosto","septiembre","octubre","noviembre","diciembre"},0)+1,0))</f>
        <v/>
      </c>
      <c r="E654" t="str">
        <f>+IFERROR(VLOOKUP(Fact_Cumplimiento[[#This Row], [Concepto Anterior]],Conceptos_Cumplimiento[#All],5,0),"")</f>
        <v/>
      </c>
      <c r="F654" t="str">
        <f>+IFERROR(VLOOKUP(Fact_Cumplimiento[[#This Row], 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ht="18.75" customHeight="1" x14ac:dyDescent="0.35">
      <c r="C655" s="100" t="str">
        <f>IF(OR(Fact_Cumplimiento[[#This Row], [Año]]="",Fact_Cumplimiento[[#This Row], [Mes]]=""),"",DATE(A655,MATCH(B655,{"enero","febrero","marzo","abril","mayo","junio","julio","agosto","septiembre","octubre","noviembre","diciembre"},0)+1,0))</f>
        <v/>
      </c>
      <c r="E655" t="str">
        <f>+IFERROR(VLOOKUP(Fact_Cumplimiento[[#This Row], [Concepto Anterior]],Conceptos_Cumplimiento[#All],5,0),"")</f>
        <v/>
      </c>
      <c r="F655" t="str">
        <f>+IFERROR(VLOOKUP(Fact_Cumplimiento[[#This Row], 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ht="18.75" customHeight="1" x14ac:dyDescent="0.35">
      <c r="C656" s="100" t="str">
        <f>IF(OR(Fact_Cumplimiento[[#This Row], [Año]]="",Fact_Cumplimiento[[#This Row], [Mes]]=""),"",DATE(A656,MATCH(B656,{"enero","febrero","marzo","abril","mayo","junio","julio","agosto","septiembre","octubre","noviembre","diciembre"},0)+1,0))</f>
        <v/>
      </c>
      <c r="E656" t="str">
        <f>+IFERROR(VLOOKUP(Fact_Cumplimiento[[#This Row], [Concepto Anterior]],Conceptos_Cumplimiento[#All],5,0),"")</f>
        <v/>
      </c>
      <c r="F656" t="str">
        <f>+IFERROR(VLOOKUP(Fact_Cumplimiento[[#This Row], 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ht="18.75" customHeight="1" x14ac:dyDescent="0.35">
      <c r="C657" s="100" t="str">
        <f>IF(OR(Fact_Cumplimiento[[#This Row], [Año]]="",Fact_Cumplimiento[[#This Row], [Mes]]=""),"",DATE(A657,MATCH(B657,{"enero","febrero","marzo","abril","mayo","junio","julio","agosto","septiembre","octubre","noviembre","diciembre"},0)+1,0))</f>
        <v/>
      </c>
      <c r="E657" t="str">
        <f>+IFERROR(VLOOKUP(Fact_Cumplimiento[[#This Row], [Concepto Anterior]],Conceptos_Cumplimiento[#All],5,0),"")</f>
        <v/>
      </c>
      <c r="F657" t="str">
        <f>+IFERROR(VLOOKUP(Fact_Cumplimiento[[#This Row], 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ht="18.75" customHeight="1" x14ac:dyDescent="0.35">
      <c r="C658" s="100" t="str">
        <f>IF(OR(Fact_Cumplimiento[[#This Row], [Año]]="",Fact_Cumplimiento[[#This Row], [Mes]]=""),"",DATE(A658,MATCH(B658,{"enero","febrero","marzo","abril","mayo","junio","julio","agosto","septiembre","octubre","noviembre","diciembre"},0)+1,0))</f>
        <v/>
      </c>
      <c r="E658" t="str">
        <f>+IFERROR(VLOOKUP(Fact_Cumplimiento[[#This Row], [Concepto Anterior]],Conceptos_Cumplimiento[#All],5,0),"")</f>
        <v/>
      </c>
      <c r="F658" t="str">
        <f>+IFERROR(VLOOKUP(Fact_Cumplimiento[[#This Row], 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ht="18.75" customHeight="1" x14ac:dyDescent="0.35">
      <c r="C659" s="100" t="str">
        <f>IF(OR(Fact_Cumplimiento[[#This Row], [Año]]="",Fact_Cumplimiento[[#This Row], [Mes]]=""),"",DATE(A659,MATCH(B659,{"enero","febrero","marzo","abril","mayo","junio","julio","agosto","septiembre","octubre","noviembre","diciembre"},0)+1,0))</f>
        <v/>
      </c>
      <c r="E659" t="str">
        <f>+IFERROR(VLOOKUP(Fact_Cumplimiento[[#This Row], [Concepto Anterior]],Conceptos_Cumplimiento[#All],5,0),"")</f>
        <v/>
      </c>
      <c r="F659" t="str">
        <f>+IFERROR(VLOOKUP(Fact_Cumplimiento[[#This Row], 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ht="18.75" customHeight="1" x14ac:dyDescent="0.35">
      <c r="C660" s="100" t="str">
        <f>IF(OR(Fact_Cumplimiento[[#This Row], [Año]]="",Fact_Cumplimiento[[#This Row], [Mes]]=""),"",DATE(A660,MATCH(B660,{"enero","febrero","marzo","abril","mayo","junio","julio","agosto","septiembre","octubre","noviembre","diciembre"},0)+1,0))</f>
        <v/>
      </c>
      <c r="E660" t="str">
        <f>+IFERROR(VLOOKUP(Fact_Cumplimiento[[#This Row], [Concepto Anterior]],Conceptos_Cumplimiento[#All],5,0),"")</f>
        <v/>
      </c>
      <c r="F660" t="str">
        <f>+IFERROR(VLOOKUP(Fact_Cumplimiento[[#This Row], 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ht="18.75" customHeight="1" x14ac:dyDescent="0.35">
      <c r="C661" s="100" t="str">
        <f>IF(OR(Fact_Cumplimiento[[#This Row], [Año]]="",Fact_Cumplimiento[[#This Row], [Mes]]=""),"",DATE(A661,MATCH(B661,{"enero","febrero","marzo","abril","mayo","junio","julio","agosto","septiembre","octubre","noviembre","diciembre"},0)+1,0))</f>
        <v/>
      </c>
      <c r="E661" t="str">
        <f>+IFERROR(VLOOKUP(Fact_Cumplimiento[[#This Row], [Concepto Anterior]],Conceptos_Cumplimiento[#All],5,0),"")</f>
        <v/>
      </c>
      <c r="F661" t="str">
        <f>+IFERROR(VLOOKUP(Fact_Cumplimiento[[#This Row], 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ht="18.75" customHeight="1" x14ac:dyDescent="0.35">
      <c r="C662" s="100" t="str">
        <f>IF(OR(Fact_Cumplimiento[[#This Row], [Año]]="",Fact_Cumplimiento[[#This Row], [Mes]]=""),"",DATE(A662,MATCH(B662,{"enero","febrero","marzo","abril","mayo","junio","julio","agosto","septiembre","octubre","noviembre","diciembre"},0)+1,0))</f>
        <v/>
      </c>
      <c r="E662" t="str">
        <f>+IFERROR(VLOOKUP(Fact_Cumplimiento[[#This Row], [Concepto Anterior]],Conceptos_Cumplimiento[#All],5,0),"")</f>
        <v/>
      </c>
      <c r="F662" t="str">
        <f>+IFERROR(VLOOKUP(Fact_Cumplimiento[[#This Row], 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ht="18.75" customHeight="1" x14ac:dyDescent="0.35">
      <c r="C663" s="100" t="str">
        <f>IF(OR(Fact_Cumplimiento[[#This Row], [Año]]="",Fact_Cumplimiento[[#This Row], [Mes]]=""),"",DATE(A663,MATCH(B663,{"enero","febrero","marzo","abril","mayo","junio","julio","agosto","septiembre","octubre","noviembre","diciembre"},0)+1,0))</f>
        <v/>
      </c>
      <c r="E663" t="str">
        <f>+IFERROR(VLOOKUP(Fact_Cumplimiento[[#This Row], [Concepto Anterior]],Conceptos_Cumplimiento[#All],5,0),"")</f>
        <v/>
      </c>
      <c r="F663" t="str">
        <f>+IFERROR(VLOOKUP(Fact_Cumplimiento[[#This Row], 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ht="18.75" customHeight="1" x14ac:dyDescent="0.35">
      <c r="C664" s="100" t="str">
        <f>IF(OR(Fact_Cumplimiento[[#This Row], [Año]]="",Fact_Cumplimiento[[#This Row], [Mes]]=""),"",DATE(A664,MATCH(B664,{"enero","febrero","marzo","abril","mayo","junio","julio","agosto","septiembre","octubre","noviembre","diciembre"},0)+1,0))</f>
        <v/>
      </c>
      <c r="E664" t="str">
        <f>+IFERROR(VLOOKUP(Fact_Cumplimiento[[#This Row], [Concepto Anterior]],Conceptos_Cumplimiento[#All],5,0),"")</f>
        <v/>
      </c>
      <c r="F664" t="str">
        <f>+IFERROR(VLOOKUP(Fact_Cumplimiento[[#This Row], 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ht="18.75" customHeight="1" x14ac:dyDescent="0.35">
      <c r="C665" s="100" t="str">
        <f>IF(OR(Fact_Cumplimiento[[#This Row], [Año]]="",Fact_Cumplimiento[[#This Row], [Mes]]=""),"",DATE(A665,MATCH(B665,{"enero","febrero","marzo","abril","mayo","junio","julio","agosto","septiembre","octubre","noviembre","diciembre"},0)+1,0))</f>
        <v/>
      </c>
      <c r="E665" t="str">
        <f>+IFERROR(VLOOKUP(Fact_Cumplimiento[[#This Row], [Concepto Anterior]],Conceptos_Cumplimiento[#All],5,0),"")</f>
        <v/>
      </c>
      <c r="F665" t="str">
        <f>+IFERROR(VLOOKUP(Fact_Cumplimiento[[#This Row], 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ht="18.75" customHeight="1" x14ac:dyDescent="0.35">
      <c r="C666" s="100" t="str">
        <f>IF(OR(Fact_Cumplimiento[[#This Row], [Año]]="",Fact_Cumplimiento[[#This Row], [Mes]]=""),"",DATE(A666,MATCH(B666,{"enero","febrero","marzo","abril","mayo","junio","julio","agosto","septiembre","octubre","noviembre","diciembre"},0)+1,0))</f>
        <v/>
      </c>
      <c r="E666" t="str">
        <f>+IFERROR(VLOOKUP(Fact_Cumplimiento[[#This Row], [Concepto Anterior]],Conceptos_Cumplimiento[#All],5,0),"")</f>
        <v/>
      </c>
      <c r="F666" t="str">
        <f>+IFERROR(VLOOKUP(Fact_Cumplimiento[[#This Row], 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ht="18.75" customHeight="1" x14ac:dyDescent="0.35">
      <c r="C667" s="100" t="str">
        <f>IF(OR(Fact_Cumplimiento[[#This Row], [Año]]="",Fact_Cumplimiento[[#This Row], [Mes]]=""),"",DATE(A667,MATCH(B667,{"enero","febrero","marzo","abril","mayo","junio","julio","agosto","septiembre","octubre","noviembre","diciembre"},0)+1,0))</f>
        <v/>
      </c>
      <c r="E667" t="str">
        <f>+IFERROR(VLOOKUP(Fact_Cumplimiento[[#This Row], [Concepto Anterior]],Conceptos_Cumplimiento[#All],5,0),"")</f>
        <v/>
      </c>
      <c r="F667" t="str">
        <f>+IFERROR(VLOOKUP(Fact_Cumplimiento[[#This Row], 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ht="18.75" customHeight="1" x14ac:dyDescent="0.35">
      <c r="C668" s="100" t="str">
        <f>IF(OR(Fact_Cumplimiento[[#This Row], [Año]]="",Fact_Cumplimiento[[#This Row], [Mes]]=""),"",DATE(A668,MATCH(B668,{"enero","febrero","marzo","abril","mayo","junio","julio","agosto","septiembre","octubre","noviembre","diciembre"},0)+1,0))</f>
        <v/>
      </c>
      <c r="E668" t="str">
        <f>+IFERROR(VLOOKUP(Fact_Cumplimiento[[#This Row], [Concepto Anterior]],Conceptos_Cumplimiento[#All],5,0),"")</f>
        <v/>
      </c>
      <c r="F668" t="str">
        <f>+IFERROR(VLOOKUP(Fact_Cumplimiento[[#This Row], 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ht="18.75" customHeight="1" x14ac:dyDescent="0.35">
      <c r="C669" s="100" t="str">
        <f>IF(OR(Fact_Cumplimiento[[#This Row], [Año]]="",Fact_Cumplimiento[[#This Row], [Mes]]=""),"",DATE(A669,MATCH(B669,{"enero","febrero","marzo","abril","mayo","junio","julio","agosto","septiembre","octubre","noviembre","diciembre"},0)+1,0))</f>
        <v/>
      </c>
      <c r="E669" t="str">
        <f>+IFERROR(VLOOKUP(Fact_Cumplimiento[[#This Row], [Concepto Anterior]],Conceptos_Cumplimiento[#All],5,0),"")</f>
        <v/>
      </c>
      <c r="F669" t="str">
        <f>+IFERROR(VLOOKUP(Fact_Cumplimiento[[#This Row], 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ht="18.75" customHeight="1" x14ac:dyDescent="0.35">
      <c r="C670" s="100" t="str">
        <f>IF(OR(Fact_Cumplimiento[[#This Row], [Año]]="",Fact_Cumplimiento[[#This Row], [Mes]]=""),"",DATE(A670,MATCH(B670,{"enero","febrero","marzo","abril","mayo","junio","julio","agosto","septiembre","octubre","noviembre","diciembre"},0)+1,0))</f>
        <v/>
      </c>
      <c r="E670" t="str">
        <f>+IFERROR(VLOOKUP(Fact_Cumplimiento[[#This Row], [Concepto Anterior]],Conceptos_Cumplimiento[#All],5,0),"")</f>
        <v/>
      </c>
      <c r="F670" t="str">
        <f>+IFERROR(VLOOKUP(Fact_Cumplimiento[[#This Row], 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ht="18.75" customHeight="1" x14ac:dyDescent="0.35">
      <c r="C671" s="100" t="str">
        <f>IF(OR(Fact_Cumplimiento[[#This Row], [Año]]="",Fact_Cumplimiento[[#This Row], [Mes]]=""),"",DATE(A671,MATCH(B671,{"enero","febrero","marzo","abril","mayo","junio","julio","agosto","septiembre","octubre","noviembre","diciembre"},0)+1,0))</f>
        <v/>
      </c>
      <c r="E671" t="str">
        <f>+IFERROR(VLOOKUP(Fact_Cumplimiento[[#This Row], [Concepto Anterior]],Conceptos_Cumplimiento[#All],5,0),"")</f>
        <v/>
      </c>
      <c r="F671" t="str">
        <f>+IFERROR(VLOOKUP(Fact_Cumplimiento[[#This Row], 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ht="18.75" customHeight="1" x14ac:dyDescent="0.35">
      <c r="C672" s="100" t="str">
        <f>IF(OR(Fact_Cumplimiento[[#This Row], [Año]]="",Fact_Cumplimiento[[#This Row], [Mes]]=""),"",DATE(A672,MATCH(B672,{"enero","febrero","marzo","abril","mayo","junio","julio","agosto","septiembre","octubre","noviembre","diciembre"},0)+1,0))</f>
        <v/>
      </c>
      <c r="E672" t="str">
        <f>+IFERROR(VLOOKUP(Fact_Cumplimiento[[#This Row], [Concepto Anterior]],Conceptos_Cumplimiento[#All],5,0),"")</f>
        <v/>
      </c>
      <c r="F672" t="str">
        <f>+IFERROR(VLOOKUP(Fact_Cumplimiento[[#This Row], 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ht="18.75" customHeight="1" x14ac:dyDescent="0.35">
      <c r="C673" s="100" t="str">
        <f>IF(OR(Fact_Cumplimiento[[#This Row], [Año]]="",Fact_Cumplimiento[[#This Row], [Mes]]=""),"",DATE(A673,MATCH(B673,{"enero","febrero","marzo","abril","mayo","junio","julio","agosto","septiembre","octubre","noviembre","diciembre"},0)+1,0))</f>
        <v/>
      </c>
      <c r="E673" t="str">
        <f>+IFERROR(VLOOKUP(Fact_Cumplimiento[[#This Row], [Concepto Anterior]],Conceptos_Cumplimiento[#All],5,0),"")</f>
        <v/>
      </c>
      <c r="F673" t="str">
        <f>+IFERROR(VLOOKUP(Fact_Cumplimiento[[#This Row], 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ht="18.75" customHeight="1" x14ac:dyDescent="0.35">
      <c r="C674" s="100" t="str">
        <f>IF(OR(Fact_Cumplimiento[[#This Row], [Año]]="",Fact_Cumplimiento[[#This Row], [Mes]]=""),"",DATE(A674,MATCH(B674,{"enero","febrero","marzo","abril","mayo","junio","julio","agosto","septiembre","octubre","noviembre","diciembre"},0)+1,0))</f>
        <v/>
      </c>
      <c r="E674" t="str">
        <f>+IFERROR(VLOOKUP(Fact_Cumplimiento[[#This Row], [Concepto Anterior]],Conceptos_Cumplimiento[#All],5,0),"")</f>
        <v/>
      </c>
      <c r="F674" t="str">
        <f>+IFERROR(VLOOKUP(Fact_Cumplimiento[[#This Row], 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ht="18.75" customHeight="1" x14ac:dyDescent="0.35">
      <c r="C675" s="100" t="str">
        <f>IF(OR(Fact_Cumplimiento[[#This Row], [Año]]="",Fact_Cumplimiento[[#This Row], [Mes]]=""),"",DATE(A675,MATCH(B675,{"enero","febrero","marzo","abril","mayo","junio","julio","agosto","septiembre","octubre","noviembre","diciembre"},0)+1,0))</f>
        <v/>
      </c>
      <c r="E675" t="str">
        <f>+IFERROR(VLOOKUP(Fact_Cumplimiento[[#This Row], [Concepto Anterior]],Conceptos_Cumplimiento[#All],5,0),"")</f>
        <v/>
      </c>
      <c r="F675" t="str">
        <f>+IFERROR(VLOOKUP(Fact_Cumplimiento[[#This Row], 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ht="18.75" customHeight="1" x14ac:dyDescent="0.35">
      <c r="C676" s="100" t="str">
        <f>IF(OR(Fact_Cumplimiento[[#This Row], [Año]]="",Fact_Cumplimiento[[#This Row], [Mes]]=""),"",DATE(A676,MATCH(B676,{"enero","febrero","marzo","abril","mayo","junio","julio","agosto","septiembre","octubre","noviembre","diciembre"},0)+1,0))</f>
        <v/>
      </c>
      <c r="E676" t="str">
        <f>+IFERROR(VLOOKUP(Fact_Cumplimiento[[#This Row], [Concepto Anterior]],Conceptos_Cumplimiento[#All],5,0),"")</f>
        <v/>
      </c>
      <c r="F676" t="str">
        <f>+IFERROR(VLOOKUP(Fact_Cumplimiento[[#This Row], 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ht="18.75" customHeight="1" x14ac:dyDescent="0.35">
      <c r="C677" s="100" t="str">
        <f>IF(OR(Fact_Cumplimiento[[#This Row], [Año]]="",Fact_Cumplimiento[[#This Row], [Mes]]=""),"",DATE(A677,MATCH(B677,{"enero","febrero","marzo","abril","mayo","junio","julio","agosto","septiembre","octubre","noviembre","diciembre"},0)+1,0))</f>
        <v/>
      </c>
      <c r="E677" t="str">
        <f>+IFERROR(VLOOKUP(Fact_Cumplimiento[[#This Row], [Concepto Anterior]],Conceptos_Cumplimiento[#All],5,0),"")</f>
        <v/>
      </c>
      <c r="F677" t="str">
        <f>+IFERROR(VLOOKUP(Fact_Cumplimiento[[#This Row], 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ht="18.75" customHeight="1" x14ac:dyDescent="0.35">
      <c r="C678" s="100" t="str">
        <f>IF(OR(Fact_Cumplimiento[[#This Row], [Año]]="",Fact_Cumplimiento[[#This Row], [Mes]]=""),"",DATE(A678,MATCH(B678,{"enero","febrero","marzo","abril","mayo","junio","julio","agosto","septiembre","octubre","noviembre","diciembre"},0)+1,0))</f>
        <v/>
      </c>
      <c r="E678" t="str">
        <f>+IFERROR(VLOOKUP(Fact_Cumplimiento[[#This Row], [Concepto Anterior]],Conceptos_Cumplimiento[#All],5,0),"")</f>
        <v/>
      </c>
      <c r="F678" t="str">
        <f>+IFERROR(VLOOKUP(Fact_Cumplimiento[[#This Row], 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ht="18.75" customHeight="1" x14ac:dyDescent="0.35">
      <c r="C679" s="100" t="str">
        <f>IF(OR(Fact_Cumplimiento[[#This Row], [Año]]="",Fact_Cumplimiento[[#This Row], [Mes]]=""),"",DATE(A679,MATCH(B679,{"enero","febrero","marzo","abril","mayo","junio","julio","agosto","septiembre","octubre","noviembre","diciembre"},0)+1,0))</f>
        <v/>
      </c>
      <c r="E679" t="str">
        <f>+IFERROR(VLOOKUP(Fact_Cumplimiento[[#This Row], [Concepto Anterior]],Conceptos_Cumplimiento[#All],5,0),"")</f>
        <v/>
      </c>
      <c r="F679" t="str">
        <f>+IFERROR(VLOOKUP(Fact_Cumplimiento[[#This Row], 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ht="18.75" customHeight="1" x14ac:dyDescent="0.35">
      <c r="C680" s="100" t="str">
        <f>IF(OR(Fact_Cumplimiento[[#This Row], [Año]]="",Fact_Cumplimiento[[#This Row], [Mes]]=""),"",DATE(A680,MATCH(B680,{"enero","febrero","marzo","abril","mayo","junio","julio","agosto","septiembre","octubre","noviembre","diciembre"},0)+1,0))</f>
        <v/>
      </c>
      <c r="E680" t="str">
        <f>+IFERROR(VLOOKUP(Fact_Cumplimiento[[#This Row], [Concepto Anterior]],Conceptos_Cumplimiento[#All],5,0),"")</f>
        <v/>
      </c>
      <c r="F680" t="str">
        <f>+IFERROR(VLOOKUP(Fact_Cumplimiento[[#This Row], 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ht="18.75" customHeight="1" x14ac:dyDescent="0.35">
      <c r="C681" s="100" t="str">
        <f>IF(OR(Fact_Cumplimiento[[#This Row], [Año]]="",Fact_Cumplimiento[[#This Row], [Mes]]=""),"",DATE(A681,MATCH(B681,{"enero","febrero","marzo","abril","mayo","junio","julio","agosto","septiembre","octubre","noviembre","diciembre"},0)+1,0))</f>
        <v/>
      </c>
      <c r="E681" t="str">
        <f>+IFERROR(VLOOKUP(Fact_Cumplimiento[[#This Row], [Concepto Anterior]],Conceptos_Cumplimiento[#All],5,0),"")</f>
        <v/>
      </c>
      <c r="F681" t="str">
        <f>+IFERROR(VLOOKUP(Fact_Cumplimiento[[#This Row], 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ht="18.75" customHeight="1" x14ac:dyDescent="0.35">
      <c r="C682" s="100" t="str">
        <f>IF(OR(Fact_Cumplimiento[[#This Row], [Año]]="",Fact_Cumplimiento[[#This Row], [Mes]]=""),"",DATE(A682,MATCH(B682,{"enero","febrero","marzo","abril","mayo","junio","julio","agosto","septiembre","octubre","noviembre","diciembre"},0)+1,0))</f>
        <v/>
      </c>
      <c r="E682" t="str">
        <f>+IFERROR(VLOOKUP(Fact_Cumplimiento[[#This Row], [Concepto Anterior]],Conceptos_Cumplimiento[#All],5,0),"")</f>
        <v/>
      </c>
      <c r="F682" t="str">
        <f>+IFERROR(VLOOKUP(Fact_Cumplimiento[[#This Row], 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ht="18.75" customHeight="1" x14ac:dyDescent="0.35">
      <c r="C683" s="100" t="str">
        <f>IF(OR(Fact_Cumplimiento[[#This Row], [Año]]="",Fact_Cumplimiento[[#This Row], [Mes]]=""),"",DATE(A683,MATCH(B683,{"enero","febrero","marzo","abril","mayo","junio","julio","agosto","septiembre","octubre","noviembre","diciembre"},0)+1,0))</f>
        <v/>
      </c>
      <c r="E683" t="str">
        <f>+IFERROR(VLOOKUP(Fact_Cumplimiento[[#This Row], [Concepto Anterior]],Conceptos_Cumplimiento[#All],5,0),"")</f>
        <v/>
      </c>
      <c r="F683" t="str">
        <f>+IFERROR(VLOOKUP(Fact_Cumplimiento[[#This Row], 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ht="18.75" customHeight="1" x14ac:dyDescent="0.35">
      <c r="C684" s="100" t="str">
        <f>IF(OR(Fact_Cumplimiento[[#This Row], [Año]]="",Fact_Cumplimiento[[#This Row], [Mes]]=""),"",DATE(A684,MATCH(B684,{"enero","febrero","marzo","abril","mayo","junio","julio","agosto","septiembre","octubre","noviembre","diciembre"},0)+1,0))</f>
        <v/>
      </c>
      <c r="E684" t="str">
        <f>+IFERROR(VLOOKUP(Fact_Cumplimiento[[#This Row], [Concepto Anterior]],Conceptos_Cumplimiento[#All],5,0),"")</f>
        <v/>
      </c>
      <c r="F684" t="str">
        <f>+IFERROR(VLOOKUP(Fact_Cumplimiento[[#This Row], 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ht="18.75" customHeight="1" x14ac:dyDescent="0.35">
      <c r="C685" s="100" t="str">
        <f>IF(OR(Fact_Cumplimiento[[#This Row], [Año]]="",Fact_Cumplimiento[[#This Row], [Mes]]=""),"",DATE(A685,MATCH(B685,{"enero","febrero","marzo","abril","mayo","junio","julio","agosto","septiembre","octubre","noviembre","diciembre"},0)+1,0))</f>
        <v/>
      </c>
      <c r="E685" t="str">
        <f>+IFERROR(VLOOKUP(Fact_Cumplimiento[[#This Row], [Concepto Anterior]],Conceptos_Cumplimiento[#All],5,0),"")</f>
        <v/>
      </c>
      <c r="F685" t="str">
        <f>+IFERROR(VLOOKUP(Fact_Cumplimiento[[#This Row], 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ht="18.75" customHeight="1" x14ac:dyDescent="0.35">
      <c r="C686" s="100" t="str">
        <f>IF(OR(Fact_Cumplimiento[[#This Row], [Año]]="",Fact_Cumplimiento[[#This Row], [Mes]]=""),"",DATE(A686,MATCH(B686,{"enero","febrero","marzo","abril","mayo","junio","julio","agosto","septiembre","octubre","noviembre","diciembre"},0)+1,0))</f>
        <v/>
      </c>
      <c r="E686" t="str">
        <f>+IFERROR(VLOOKUP(Fact_Cumplimiento[[#This Row], [Concepto Anterior]],Conceptos_Cumplimiento[#All],5,0),"")</f>
        <v/>
      </c>
      <c r="F686" t="str">
        <f>+IFERROR(VLOOKUP(Fact_Cumplimiento[[#This Row], 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ht="18.75" customHeight="1" x14ac:dyDescent="0.35">
      <c r="C687" s="100" t="str">
        <f>IF(OR(Fact_Cumplimiento[[#This Row], [Año]]="",Fact_Cumplimiento[[#This Row], [Mes]]=""),"",DATE(A687,MATCH(B687,{"enero","febrero","marzo","abril","mayo","junio","julio","agosto","septiembre","octubre","noviembre","diciembre"},0)+1,0))</f>
        <v/>
      </c>
      <c r="E687" t="str">
        <f>+IFERROR(VLOOKUP(Fact_Cumplimiento[[#This Row], [Concepto Anterior]],Conceptos_Cumplimiento[#All],5,0),"")</f>
        <v/>
      </c>
      <c r="F687" t="str">
        <f>+IFERROR(VLOOKUP(Fact_Cumplimiento[[#This Row], 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ht="18.75" customHeight="1" x14ac:dyDescent="0.35">
      <c r="C688" s="100" t="str">
        <f>IF(OR(Fact_Cumplimiento[[#This Row], [Año]]="",Fact_Cumplimiento[[#This Row], [Mes]]=""),"",DATE(A688,MATCH(B688,{"enero","febrero","marzo","abril","mayo","junio","julio","agosto","septiembre","octubre","noviembre","diciembre"},0)+1,0))</f>
        <v/>
      </c>
      <c r="E688" t="str">
        <f>+IFERROR(VLOOKUP(Fact_Cumplimiento[[#This Row], [Concepto Anterior]],Conceptos_Cumplimiento[#All],5,0),"")</f>
        <v/>
      </c>
      <c r="F688" t="str">
        <f>+IFERROR(VLOOKUP(Fact_Cumplimiento[[#This Row], 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ht="18.75" customHeight="1" x14ac:dyDescent="0.35">
      <c r="C689" s="100" t="str">
        <f>IF(OR(Fact_Cumplimiento[[#This Row], [Año]]="",Fact_Cumplimiento[[#This Row], [Mes]]=""),"",DATE(A689,MATCH(B689,{"enero","febrero","marzo","abril","mayo","junio","julio","agosto","septiembre","octubre","noviembre","diciembre"},0)+1,0))</f>
        <v/>
      </c>
      <c r="E689" t="str">
        <f>+IFERROR(VLOOKUP(Fact_Cumplimiento[[#This Row], [Concepto Anterior]],Conceptos_Cumplimiento[#All],5,0),"")</f>
        <v/>
      </c>
      <c r="F689" t="str">
        <f>+IFERROR(VLOOKUP(Fact_Cumplimiento[[#This Row], 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ht="18.75" customHeight="1" x14ac:dyDescent="0.35">
      <c r="C690" s="100" t="str">
        <f>IF(OR(Fact_Cumplimiento[[#This Row], [Año]]="",Fact_Cumplimiento[[#This Row], [Mes]]=""),"",DATE(A690,MATCH(B690,{"enero","febrero","marzo","abril","mayo","junio","julio","agosto","septiembre","octubre","noviembre","diciembre"},0)+1,0))</f>
        <v/>
      </c>
      <c r="E690" t="str">
        <f>+IFERROR(VLOOKUP(Fact_Cumplimiento[[#This Row], [Concepto Anterior]],Conceptos_Cumplimiento[#All],5,0),"")</f>
        <v/>
      </c>
      <c r="F690" t="str">
        <f>+IFERROR(VLOOKUP(Fact_Cumplimiento[[#This Row], 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ht="18.75" customHeight="1" x14ac:dyDescent="0.35">
      <c r="C691" s="100" t="str">
        <f>IF(OR(Fact_Cumplimiento[[#This Row], [Año]]="",Fact_Cumplimiento[[#This Row], [Mes]]=""),"",DATE(A691,MATCH(B691,{"enero","febrero","marzo","abril","mayo","junio","julio","agosto","septiembre","octubre","noviembre","diciembre"},0)+1,0))</f>
        <v/>
      </c>
      <c r="E691" t="str">
        <f>+IFERROR(VLOOKUP(Fact_Cumplimiento[[#This Row], [Concepto Anterior]],Conceptos_Cumplimiento[#All],5,0),"")</f>
        <v/>
      </c>
      <c r="F691" t="str">
        <f>+IFERROR(VLOOKUP(Fact_Cumplimiento[[#This Row], 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ht="18.75" customHeight="1" x14ac:dyDescent="0.35">
      <c r="C692" s="100" t="str">
        <f>IF(OR(Fact_Cumplimiento[[#This Row], [Año]]="",Fact_Cumplimiento[[#This Row], [Mes]]=""),"",DATE(A692,MATCH(B692,{"enero","febrero","marzo","abril","mayo","junio","julio","agosto","septiembre","octubre","noviembre","diciembre"},0)+1,0))</f>
        <v/>
      </c>
      <c r="E692" t="str">
        <f>+IFERROR(VLOOKUP(Fact_Cumplimiento[[#This Row], [Concepto Anterior]],Conceptos_Cumplimiento[#All],5,0),"")</f>
        <v/>
      </c>
      <c r="F692" t="str">
        <f>+IFERROR(VLOOKUP(Fact_Cumplimiento[[#This Row], 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ht="18.75" customHeight="1" x14ac:dyDescent="0.35">
      <c r="C693" s="100" t="str">
        <f>IF(OR(Fact_Cumplimiento[[#This Row], [Año]]="",Fact_Cumplimiento[[#This Row], [Mes]]=""),"",DATE(A693,MATCH(B693,{"enero","febrero","marzo","abril","mayo","junio","julio","agosto","septiembre","octubre","noviembre","diciembre"},0)+1,0))</f>
        <v/>
      </c>
      <c r="E693" t="str">
        <f>+IFERROR(VLOOKUP(Fact_Cumplimiento[[#This Row], [Concepto Anterior]],Conceptos_Cumplimiento[#All],5,0),"")</f>
        <v/>
      </c>
      <c r="F693" t="str">
        <f>+IFERROR(VLOOKUP(Fact_Cumplimiento[[#This Row], 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ht="18.75" customHeight="1" x14ac:dyDescent="0.35">
      <c r="C694" s="100" t="str">
        <f>IF(OR(Fact_Cumplimiento[[#This Row], [Año]]="",Fact_Cumplimiento[[#This Row], [Mes]]=""),"",DATE(A694,MATCH(B694,{"enero","febrero","marzo","abril","mayo","junio","julio","agosto","septiembre","octubre","noviembre","diciembre"},0)+1,0))</f>
        <v/>
      </c>
      <c r="E694" t="str">
        <f>+IFERROR(VLOOKUP(Fact_Cumplimiento[[#This Row], [Concepto Anterior]],Conceptos_Cumplimiento[#All],5,0),"")</f>
        <v/>
      </c>
      <c r="F694" t="str">
        <f>+IFERROR(VLOOKUP(Fact_Cumplimiento[[#This Row], 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ht="18.75" customHeight="1" x14ac:dyDescent="0.35">
      <c r="C695" s="100" t="str">
        <f>IF(OR(Fact_Cumplimiento[[#This Row], [Año]]="",Fact_Cumplimiento[[#This Row], [Mes]]=""),"",DATE(A695,MATCH(B695,{"enero","febrero","marzo","abril","mayo","junio","julio","agosto","septiembre","octubre","noviembre","diciembre"},0)+1,0))</f>
        <v/>
      </c>
      <c r="E695" t="str">
        <f>+IFERROR(VLOOKUP(Fact_Cumplimiento[[#This Row], [Concepto Anterior]],Conceptos_Cumplimiento[#All],5,0),"")</f>
        <v/>
      </c>
      <c r="F695" t="str">
        <f>+IFERROR(VLOOKUP(Fact_Cumplimiento[[#This Row], 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ht="18.75" customHeight="1" x14ac:dyDescent="0.35">
      <c r="C696" s="100" t="str">
        <f>IF(OR(Fact_Cumplimiento[[#This Row], [Año]]="",Fact_Cumplimiento[[#This Row], [Mes]]=""),"",DATE(A696,MATCH(B696,{"enero","febrero","marzo","abril","mayo","junio","julio","agosto","septiembre","octubre","noviembre","diciembre"},0)+1,0))</f>
        <v/>
      </c>
      <c r="E696" t="str">
        <f>+IFERROR(VLOOKUP(Fact_Cumplimiento[[#This Row], [Concepto Anterior]],Conceptos_Cumplimiento[#All],5,0),"")</f>
        <v/>
      </c>
      <c r="F696" t="str">
        <f>+IFERROR(VLOOKUP(Fact_Cumplimiento[[#This Row], 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ht="18.75" customHeight="1" x14ac:dyDescent="0.35">
      <c r="C697" s="100" t="str">
        <f>IF(OR(Fact_Cumplimiento[[#This Row], [Año]]="",Fact_Cumplimiento[[#This Row], [Mes]]=""),"",DATE(A697,MATCH(B697,{"enero","febrero","marzo","abril","mayo","junio","julio","agosto","septiembre","octubre","noviembre","diciembre"},0)+1,0))</f>
        <v/>
      </c>
      <c r="E697" t="str">
        <f>+IFERROR(VLOOKUP(Fact_Cumplimiento[[#This Row], [Concepto Anterior]],Conceptos_Cumplimiento[#All],5,0),"")</f>
        <v/>
      </c>
      <c r="F697" t="str">
        <f>+IFERROR(VLOOKUP(Fact_Cumplimiento[[#This Row], 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ht="18.75" customHeight="1" x14ac:dyDescent="0.35">
      <c r="C698" s="100" t="str">
        <f>IF(OR(Fact_Cumplimiento[[#This Row], [Año]]="",Fact_Cumplimiento[[#This Row], [Mes]]=""),"",DATE(A698,MATCH(B698,{"enero","febrero","marzo","abril","mayo","junio","julio","agosto","septiembre","octubre","noviembre","diciembre"},0)+1,0))</f>
        <v/>
      </c>
      <c r="E698" t="str">
        <f>+IFERROR(VLOOKUP(Fact_Cumplimiento[[#This Row], [Concepto Anterior]],Conceptos_Cumplimiento[#All],5,0),"")</f>
        <v/>
      </c>
      <c r="F698" t="str">
        <f>+IFERROR(VLOOKUP(Fact_Cumplimiento[[#This Row], 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ht="18.75" customHeight="1" x14ac:dyDescent="0.35">
      <c r="C699" s="100" t="str">
        <f>IF(OR(Fact_Cumplimiento[[#This Row], [Año]]="",Fact_Cumplimiento[[#This Row], [Mes]]=""),"",DATE(A699,MATCH(B699,{"enero","febrero","marzo","abril","mayo","junio","julio","agosto","septiembre","octubre","noviembre","diciembre"},0)+1,0))</f>
        <v/>
      </c>
      <c r="E699" t="str">
        <f>+IFERROR(VLOOKUP(Fact_Cumplimiento[[#This Row], [Concepto Anterior]],Conceptos_Cumplimiento[#All],5,0),"")</f>
        <v/>
      </c>
      <c r="F699" t="str">
        <f>+IFERROR(VLOOKUP(Fact_Cumplimiento[[#This Row], 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ht="18.75" customHeight="1" x14ac:dyDescent="0.35">
      <c r="C700" s="100" t="str">
        <f>IF(OR(Fact_Cumplimiento[[#This Row], [Año]]="",Fact_Cumplimiento[[#This Row], [Mes]]=""),"",DATE(A700,MATCH(B700,{"enero","febrero","marzo","abril","mayo","junio","julio","agosto","septiembre","octubre","noviembre","diciembre"},0)+1,0))</f>
        <v/>
      </c>
      <c r="E700" t="str">
        <f>+IFERROR(VLOOKUP(Fact_Cumplimiento[[#This Row], [Concepto Anterior]],Conceptos_Cumplimiento[#All],5,0),"")</f>
        <v/>
      </c>
      <c r="F700" t="str">
        <f>+IFERROR(VLOOKUP(Fact_Cumplimiento[[#This Row], 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ht="18.75" customHeight="1" x14ac:dyDescent="0.35">
      <c r="C701" s="100" t="str">
        <f>IF(OR(Fact_Cumplimiento[[#This Row], [Año]]="",Fact_Cumplimiento[[#This Row], [Mes]]=""),"",DATE(A701,MATCH(B701,{"enero","febrero","marzo","abril","mayo","junio","julio","agosto","septiembre","octubre","noviembre","diciembre"},0)+1,0))</f>
        <v/>
      </c>
      <c r="E701" t="str">
        <f>+IFERROR(VLOOKUP(Fact_Cumplimiento[[#This Row], [Concepto Anterior]],Conceptos_Cumplimiento[#All],5,0),"")</f>
        <v/>
      </c>
      <c r="F701" t="str">
        <f>+IFERROR(VLOOKUP(Fact_Cumplimiento[[#This Row], 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ht="18.75" customHeight="1" x14ac:dyDescent="0.35">
      <c r="C702" s="100" t="str">
        <f>IF(OR(Fact_Cumplimiento[[#This Row], [Año]]="",Fact_Cumplimiento[[#This Row], [Mes]]=""),"",DATE(A702,MATCH(B702,{"enero","febrero","marzo","abril","mayo","junio","julio","agosto","septiembre","octubre","noviembre","diciembre"},0)+1,0))</f>
        <v/>
      </c>
      <c r="E702" t="str">
        <f>+IFERROR(VLOOKUP(Fact_Cumplimiento[[#This Row], [Concepto Anterior]],Conceptos_Cumplimiento[#All],5,0),"")</f>
        <v/>
      </c>
      <c r="F702" t="str">
        <f>+IFERROR(VLOOKUP(Fact_Cumplimiento[[#This Row], 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ht="18.75" customHeight="1" x14ac:dyDescent="0.35">
      <c r="C703" s="100" t="str">
        <f>IF(OR(Fact_Cumplimiento[[#This Row], [Año]]="",Fact_Cumplimiento[[#This Row], [Mes]]=""),"",DATE(A703,MATCH(B703,{"enero","febrero","marzo","abril","mayo","junio","julio","agosto","septiembre","octubre","noviembre","diciembre"},0)+1,0))</f>
        <v/>
      </c>
      <c r="E703" t="str">
        <f>+IFERROR(VLOOKUP(Fact_Cumplimiento[[#This Row], [Concepto Anterior]],Conceptos_Cumplimiento[#All],5,0),"")</f>
        <v/>
      </c>
      <c r="F703" t="str">
        <f>+IFERROR(VLOOKUP(Fact_Cumplimiento[[#This Row], 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ht="18.75" customHeight="1" x14ac:dyDescent="0.35">
      <c r="C704" s="100" t="str">
        <f>IF(OR(Fact_Cumplimiento[[#This Row], [Año]]="",Fact_Cumplimiento[[#This Row], [Mes]]=""),"",DATE(A704,MATCH(B704,{"enero","febrero","marzo","abril","mayo","junio","julio","agosto","septiembre","octubre","noviembre","diciembre"},0)+1,0))</f>
        <v/>
      </c>
      <c r="E704" t="str">
        <f>+IFERROR(VLOOKUP(Fact_Cumplimiento[[#This Row], [Concepto Anterior]],Conceptos_Cumplimiento[#All],5,0),"")</f>
        <v/>
      </c>
      <c r="F704" t="str">
        <f>+IFERROR(VLOOKUP(Fact_Cumplimiento[[#This Row], 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ht="18.75" customHeight="1" x14ac:dyDescent="0.35">
      <c r="C705" s="100" t="str">
        <f>IF(OR(Fact_Cumplimiento[[#This Row], [Año]]="",Fact_Cumplimiento[[#This Row], [Mes]]=""),"",DATE(A705,MATCH(B705,{"enero","febrero","marzo","abril","mayo","junio","julio","agosto","septiembre","octubre","noviembre","diciembre"},0)+1,0))</f>
        <v/>
      </c>
      <c r="E705" t="str">
        <f>+IFERROR(VLOOKUP(Fact_Cumplimiento[[#This Row], [Concepto Anterior]],Conceptos_Cumplimiento[#All],5,0),"")</f>
        <v/>
      </c>
      <c r="F705" t="str">
        <f>+IFERROR(VLOOKUP(Fact_Cumplimiento[[#This Row], 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ht="18.75" customHeight="1" x14ac:dyDescent="0.35">
      <c r="C706" s="100" t="str">
        <f>IF(OR(Fact_Cumplimiento[[#This Row], [Año]]="",Fact_Cumplimiento[[#This Row], [Mes]]=""),"",DATE(A706,MATCH(B706,{"enero","febrero","marzo","abril","mayo","junio","julio","agosto","septiembre","octubre","noviembre","diciembre"},0)+1,0))</f>
        <v/>
      </c>
      <c r="E706" t="str">
        <f>+IFERROR(VLOOKUP(Fact_Cumplimiento[[#This Row], [Concepto Anterior]],Conceptos_Cumplimiento[#All],5,0),"")</f>
        <v/>
      </c>
      <c r="F706" t="str">
        <f>+IFERROR(VLOOKUP(Fact_Cumplimiento[[#This Row], 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ht="18.75" customHeight="1" x14ac:dyDescent="0.35">
      <c r="C707" s="100" t="str">
        <f>IF(OR(Fact_Cumplimiento[[#This Row], [Año]]="",Fact_Cumplimiento[[#This Row], [Mes]]=""),"",DATE(A707,MATCH(B707,{"enero","febrero","marzo","abril","mayo","junio","julio","agosto","septiembre","octubre","noviembre","diciembre"},0)+1,0))</f>
        <v/>
      </c>
      <c r="E707" t="str">
        <f>+IFERROR(VLOOKUP(Fact_Cumplimiento[[#This Row], [Concepto Anterior]],Conceptos_Cumplimiento[#All],5,0),"")</f>
        <v/>
      </c>
      <c r="F707" t="str">
        <f>+IFERROR(VLOOKUP(Fact_Cumplimiento[[#This Row], 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ht="18.75" customHeight="1" x14ac:dyDescent="0.35">
      <c r="C708" s="100" t="str">
        <f>IF(OR(Fact_Cumplimiento[[#This Row], [Año]]="",Fact_Cumplimiento[[#This Row], [Mes]]=""),"",DATE(A708,MATCH(B708,{"enero","febrero","marzo","abril","mayo","junio","julio","agosto","septiembre","octubre","noviembre","diciembre"},0)+1,0))</f>
        <v/>
      </c>
      <c r="E708" t="str">
        <f>+IFERROR(VLOOKUP(Fact_Cumplimiento[[#This Row], [Concepto Anterior]],Conceptos_Cumplimiento[#All],5,0),"")</f>
        <v/>
      </c>
      <c r="F708" t="str">
        <f>+IFERROR(VLOOKUP(Fact_Cumplimiento[[#This Row], 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ht="18.75" customHeight="1" x14ac:dyDescent="0.35">
      <c r="C709" s="100" t="str">
        <f>IF(OR(Fact_Cumplimiento[[#This Row], [Año]]="",Fact_Cumplimiento[[#This Row], [Mes]]=""),"",DATE(A709,MATCH(B709,{"enero","febrero","marzo","abril","mayo","junio","julio","agosto","septiembre","octubre","noviembre","diciembre"},0)+1,0))</f>
        <v/>
      </c>
      <c r="E709" t="str">
        <f>+IFERROR(VLOOKUP(Fact_Cumplimiento[[#This Row], [Concepto Anterior]],Conceptos_Cumplimiento[#All],5,0),"")</f>
        <v/>
      </c>
      <c r="F709" t="str">
        <f>+IFERROR(VLOOKUP(Fact_Cumplimiento[[#This Row], 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ht="18.75" customHeight="1" x14ac:dyDescent="0.35">
      <c r="C710" s="100" t="str">
        <f>IF(OR(Fact_Cumplimiento[[#This Row], [Año]]="",Fact_Cumplimiento[[#This Row], [Mes]]=""),"",DATE(A710,MATCH(B710,{"enero","febrero","marzo","abril","mayo","junio","julio","agosto","septiembre","octubre","noviembre","diciembre"},0)+1,0))</f>
        <v/>
      </c>
      <c r="E710" t="str">
        <f>+IFERROR(VLOOKUP(Fact_Cumplimiento[[#This Row], [Concepto Anterior]],Conceptos_Cumplimiento[#All],5,0),"")</f>
        <v/>
      </c>
      <c r="F710" t="str">
        <f>+IFERROR(VLOOKUP(Fact_Cumplimiento[[#This Row], 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ht="18.75" customHeight="1" x14ac:dyDescent="0.35">
      <c r="C711" s="100" t="str">
        <f>IF(OR(Fact_Cumplimiento[[#This Row], [Año]]="",Fact_Cumplimiento[[#This Row], [Mes]]=""),"",DATE(A711,MATCH(B711,{"enero","febrero","marzo","abril","mayo","junio","julio","agosto","septiembre","octubre","noviembre","diciembre"},0)+1,0))</f>
        <v/>
      </c>
      <c r="E711" t="str">
        <f>+IFERROR(VLOOKUP(Fact_Cumplimiento[[#This Row], [Concepto Anterior]],Conceptos_Cumplimiento[#All],5,0),"")</f>
        <v/>
      </c>
      <c r="F711" t="str">
        <f>+IFERROR(VLOOKUP(Fact_Cumplimiento[[#This Row], 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ht="18.75" customHeight="1" x14ac:dyDescent="0.35">
      <c r="C712" s="100" t="str">
        <f>IF(OR(Fact_Cumplimiento[[#This Row], [Año]]="",Fact_Cumplimiento[[#This Row], [Mes]]=""),"",DATE(A712,MATCH(B712,{"enero","febrero","marzo","abril","mayo","junio","julio","agosto","septiembre","octubre","noviembre","diciembre"},0)+1,0))</f>
        <v/>
      </c>
      <c r="E712" t="str">
        <f>+IFERROR(VLOOKUP(Fact_Cumplimiento[[#This Row], [Concepto Anterior]],Conceptos_Cumplimiento[#All],5,0),"")</f>
        <v/>
      </c>
      <c r="F712" t="str">
        <f>+IFERROR(VLOOKUP(Fact_Cumplimiento[[#This Row], 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ht="18.75" customHeight="1" x14ac:dyDescent="0.35">
      <c r="C713" s="100" t="str">
        <f>IF(OR(Fact_Cumplimiento[[#This Row], [Año]]="",Fact_Cumplimiento[[#This Row], [Mes]]=""),"",DATE(A713,MATCH(B713,{"enero","febrero","marzo","abril","mayo","junio","julio","agosto","septiembre","octubre","noviembre","diciembre"},0)+1,0))</f>
        <v/>
      </c>
      <c r="E713" t="str">
        <f>+IFERROR(VLOOKUP(Fact_Cumplimiento[[#This Row], [Concepto Anterior]],Conceptos_Cumplimiento[#All],5,0),"")</f>
        <v/>
      </c>
      <c r="F713" t="str">
        <f>+IFERROR(VLOOKUP(Fact_Cumplimiento[[#This Row], 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ht="18.75" customHeight="1" x14ac:dyDescent="0.35">
      <c r="C714" s="100" t="str">
        <f>IF(OR(Fact_Cumplimiento[[#This Row], [Año]]="",Fact_Cumplimiento[[#This Row], [Mes]]=""),"",DATE(A714,MATCH(B714,{"enero","febrero","marzo","abril","mayo","junio","julio","agosto","septiembre","octubre","noviembre","diciembre"},0)+1,0))</f>
        <v/>
      </c>
      <c r="E714" t="str">
        <f>+IFERROR(VLOOKUP(Fact_Cumplimiento[[#This Row], [Concepto Anterior]],Conceptos_Cumplimiento[#All],5,0),"")</f>
        <v/>
      </c>
      <c r="F714" t="str">
        <f>+IFERROR(VLOOKUP(Fact_Cumplimiento[[#This Row], 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ht="18.75" customHeight="1" x14ac:dyDescent="0.35">
      <c r="C715" s="100" t="str">
        <f>IF(OR(Fact_Cumplimiento[[#This Row], [Año]]="",Fact_Cumplimiento[[#This Row], [Mes]]=""),"",DATE(A715,MATCH(B715,{"enero","febrero","marzo","abril","mayo","junio","julio","agosto","septiembre","octubre","noviembre","diciembre"},0)+1,0))</f>
        <v/>
      </c>
      <c r="E715" t="str">
        <f>+IFERROR(VLOOKUP(Fact_Cumplimiento[[#This Row], [Concepto Anterior]],Conceptos_Cumplimiento[#All],5,0),"")</f>
        <v/>
      </c>
      <c r="F715" t="str">
        <f>+IFERROR(VLOOKUP(Fact_Cumplimiento[[#This Row], 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ht="18.75" customHeight="1" x14ac:dyDescent="0.35">
      <c r="C716" s="100" t="str">
        <f>IF(OR(Fact_Cumplimiento[[#This Row], [Año]]="",Fact_Cumplimiento[[#This Row], [Mes]]=""),"",DATE(A716,MATCH(B716,{"enero","febrero","marzo","abril","mayo","junio","julio","agosto","septiembre","octubre","noviembre","diciembre"},0)+1,0))</f>
        <v/>
      </c>
      <c r="E716" t="str">
        <f>+IFERROR(VLOOKUP(Fact_Cumplimiento[[#This Row], [Concepto Anterior]],Conceptos_Cumplimiento[#All],5,0),"")</f>
        <v/>
      </c>
      <c r="F716" t="str">
        <f>+IFERROR(VLOOKUP(Fact_Cumplimiento[[#This Row], 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ht="18.75" customHeight="1" x14ac:dyDescent="0.35">
      <c r="C717" s="100" t="str">
        <f>IF(OR(Fact_Cumplimiento[[#This Row], [Año]]="",Fact_Cumplimiento[[#This Row], [Mes]]=""),"",DATE(A717,MATCH(B717,{"enero","febrero","marzo","abril","mayo","junio","julio","agosto","septiembre","octubre","noviembre","diciembre"},0)+1,0))</f>
        <v/>
      </c>
      <c r="E717" t="str">
        <f>+IFERROR(VLOOKUP(Fact_Cumplimiento[[#This Row], [Concepto Anterior]],Conceptos_Cumplimiento[#All],5,0),"")</f>
        <v/>
      </c>
      <c r="F717" t="str">
        <f>+IFERROR(VLOOKUP(Fact_Cumplimiento[[#This Row], 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ht="18.75" customHeight="1" x14ac:dyDescent="0.35">
      <c r="C718" s="100" t="str">
        <f>IF(OR(Fact_Cumplimiento[[#This Row], [Año]]="",Fact_Cumplimiento[[#This Row], [Mes]]=""),"",DATE(A718,MATCH(B718,{"enero","febrero","marzo","abril","mayo","junio","julio","agosto","septiembre","octubre","noviembre","diciembre"},0)+1,0))</f>
        <v/>
      </c>
      <c r="E718" t="str">
        <f>+IFERROR(VLOOKUP(Fact_Cumplimiento[[#This Row], [Concepto Anterior]],Conceptos_Cumplimiento[#All],5,0),"")</f>
        <v/>
      </c>
      <c r="F718" t="str">
        <f>+IFERROR(VLOOKUP(Fact_Cumplimiento[[#This Row], 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ht="18.75" customHeight="1" x14ac:dyDescent="0.35">
      <c r="C719" s="100" t="str">
        <f>IF(OR(Fact_Cumplimiento[[#This Row], [Año]]="",Fact_Cumplimiento[[#This Row], [Mes]]=""),"",DATE(A719,MATCH(B719,{"enero","febrero","marzo","abril","mayo","junio","julio","agosto","septiembre","octubre","noviembre","diciembre"},0)+1,0))</f>
        <v/>
      </c>
      <c r="E719" t="str">
        <f>+IFERROR(VLOOKUP(Fact_Cumplimiento[[#This Row], [Concepto Anterior]],Conceptos_Cumplimiento[#All],5,0),"")</f>
        <v/>
      </c>
      <c r="F719" t="str">
        <f>+IFERROR(VLOOKUP(Fact_Cumplimiento[[#This Row], 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ht="18.75" customHeight="1" x14ac:dyDescent="0.35">
      <c r="C720" s="100" t="str">
        <f>IF(OR(Fact_Cumplimiento[[#This Row], [Año]]="",Fact_Cumplimiento[[#This Row], [Mes]]=""),"",DATE(A720,MATCH(B720,{"enero","febrero","marzo","abril","mayo","junio","julio","agosto","septiembre","octubre","noviembre","diciembre"},0)+1,0))</f>
        <v/>
      </c>
      <c r="E720" t="str">
        <f>+IFERROR(VLOOKUP(Fact_Cumplimiento[[#This Row], [Concepto Anterior]],Conceptos_Cumplimiento[#All],5,0),"")</f>
        <v/>
      </c>
      <c r="F720" t="str">
        <f>+IFERROR(VLOOKUP(Fact_Cumplimiento[[#This Row], 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ht="18.75" customHeight="1" x14ac:dyDescent="0.35">
      <c r="C721" s="100" t="str">
        <f>IF(OR(Fact_Cumplimiento[[#This Row], [Año]]="",Fact_Cumplimiento[[#This Row], [Mes]]=""),"",DATE(A721,MATCH(B721,{"enero","febrero","marzo","abril","mayo","junio","julio","agosto","septiembre","octubre","noviembre","diciembre"},0)+1,0))</f>
        <v/>
      </c>
      <c r="E721" t="str">
        <f>+IFERROR(VLOOKUP(Fact_Cumplimiento[[#This Row], [Concepto Anterior]],Conceptos_Cumplimiento[#All],5,0),"")</f>
        <v/>
      </c>
      <c r="F721" t="str">
        <f>+IFERROR(VLOOKUP(Fact_Cumplimiento[[#This Row], 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ht="18.75" customHeight="1" x14ac:dyDescent="0.35">
      <c r="C722" s="100" t="str">
        <f>IF(OR(Fact_Cumplimiento[[#This Row], [Año]]="",Fact_Cumplimiento[[#This Row], [Mes]]=""),"",DATE(A722,MATCH(B722,{"enero","febrero","marzo","abril","mayo","junio","julio","agosto","septiembre","octubre","noviembre","diciembre"},0)+1,0))</f>
        <v/>
      </c>
      <c r="E722" t="str">
        <f>+IFERROR(VLOOKUP(Fact_Cumplimiento[[#This Row], [Concepto Anterior]],Conceptos_Cumplimiento[#All],5,0),"")</f>
        <v/>
      </c>
      <c r="F722" t="str">
        <f>+IFERROR(VLOOKUP(Fact_Cumplimiento[[#This Row], 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ht="18.75" customHeight="1" x14ac:dyDescent="0.35">
      <c r="C723" s="100" t="str">
        <f>IF(OR(Fact_Cumplimiento[[#This Row], [Año]]="",Fact_Cumplimiento[[#This Row], [Mes]]=""),"",DATE(A723,MATCH(B723,{"enero","febrero","marzo","abril","mayo","junio","julio","agosto","septiembre","octubre","noviembre","diciembre"},0)+1,0))</f>
        <v/>
      </c>
      <c r="E723" t="str">
        <f>+IFERROR(VLOOKUP(Fact_Cumplimiento[[#This Row], [Concepto Anterior]],Conceptos_Cumplimiento[#All],5,0),"")</f>
        <v/>
      </c>
      <c r="F723" t="str">
        <f>+IFERROR(VLOOKUP(Fact_Cumplimiento[[#This Row], 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ht="18.75" customHeight="1" x14ac:dyDescent="0.35">
      <c r="C724" s="100" t="str">
        <f>IF(OR(Fact_Cumplimiento[[#This Row], [Año]]="",Fact_Cumplimiento[[#This Row], [Mes]]=""),"",DATE(A724,MATCH(B724,{"enero","febrero","marzo","abril","mayo","junio","julio","agosto","septiembre","octubre","noviembre","diciembre"},0)+1,0))</f>
        <v/>
      </c>
      <c r="E724" t="str">
        <f>+IFERROR(VLOOKUP(Fact_Cumplimiento[[#This Row], [Concepto Anterior]],Conceptos_Cumplimiento[#All],5,0),"")</f>
        <v/>
      </c>
      <c r="F724" t="str">
        <f>+IFERROR(VLOOKUP(Fact_Cumplimiento[[#This Row], 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ht="18.75" customHeight="1" x14ac:dyDescent="0.35">
      <c r="C725" s="100" t="str">
        <f>IF(OR(Fact_Cumplimiento[[#This Row], [Año]]="",Fact_Cumplimiento[[#This Row], [Mes]]=""),"",DATE(A725,MATCH(B725,{"enero","febrero","marzo","abril","mayo","junio","julio","agosto","septiembre","octubre","noviembre","diciembre"},0)+1,0))</f>
        <v/>
      </c>
      <c r="E725" t="str">
        <f>+IFERROR(VLOOKUP(Fact_Cumplimiento[[#This Row], [Concepto Anterior]],Conceptos_Cumplimiento[#All],5,0),"")</f>
        <v/>
      </c>
      <c r="F725" t="str">
        <f>+IFERROR(VLOOKUP(Fact_Cumplimiento[[#This Row], 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ht="18.75" customHeight="1" x14ac:dyDescent="0.35">
      <c r="C726" s="100" t="str">
        <f>IF(OR(Fact_Cumplimiento[[#This Row], [Año]]="",Fact_Cumplimiento[[#This Row], [Mes]]=""),"",DATE(A726,MATCH(B726,{"enero","febrero","marzo","abril","mayo","junio","julio","agosto","septiembre","octubre","noviembre","diciembre"},0)+1,0))</f>
        <v/>
      </c>
      <c r="E726" t="str">
        <f>+IFERROR(VLOOKUP(Fact_Cumplimiento[[#This Row], [Concepto Anterior]],Conceptos_Cumplimiento[#All],5,0),"")</f>
        <v/>
      </c>
      <c r="F726" t="str">
        <f>+IFERROR(VLOOKUP(Fact_Cumplimiento[[#This Row], 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ht="18.75" customHeight="1" x14ac:dyDescent="0.35">
      <c r="C727" s="100" t="str">
        <f>IF(OR(Fact_Cumplimiento[[#This Row], [Año]]="",Fact_Cumplimiento[[#This Row], [Mes]]=""),"",DATE(A727,MATCH(B727,{"enero","febrero","marzo","abril","mayo","junio","julio","agosto","septiembre","octubre","noviembre","diciembre"},0)+1,0))</f>
        <v/>
      </c>
      <c r="E727" t="str">
        <f>+IFERROR(VLOOKUP(Fact_Cumplimiento[[#This Row], [Concepto Anterior]],Conceptos_Cumplimiento[#All],5,0),"")</f>
        <v/>
      </c>
      <c r="F727" t="str">
        <f>+IFERROR(VLOOKUP(Fact_Cumplimiento[[#This Row], 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ht="18.75" customHeight="1" x14ac:dyDescent="0.35">
      <c r="C728" s="100" t="str">
        <f>IF(OR(Fact_Cumplimiento[[#This Row], [Año]]="",Fact_Cumplimiento[[#This Row], [Mes]]=""),"",DATE(A728,MATCH(B728,{"enero","febrero","marzo","abril","mayo","junio","julio","agosto","septiembre","octubre","noviembre","diciembre"},0)+1,0))</f>
        <v/>
      </c>
      <c r="E728" t="str">
        <f>+IFERROR(VLOOKUP(Fact_Cumplimiento[[#This Row], [Concepto Anterior]],Conceptos_Cumplimiento[#All],5,0),"")</f>
        <v/>
      </c>
      <c r="F728" t="str">
        <f>+IFERROR(VLOOKUP(Fact_Cumplimiento[[#This Row], 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ht="18.75" customHeight="1" x14ac:dyDescent="0.35">
      <c r="C729" s="100" t="str">
        <f>IF(OR(Fact_Cumplimiento[[#This Row], [Año]]="",Fact_Cumplimiento[[#This Row], [Mes]]=""),"",DATE(A729,MATCH(B729,{"enero","febrero","marzo","abril","mayo","junio","julio","agosto","septiembre","octubre","noviembre","diciembre"},0)+1,0))</f>
        <v/>
      </c>
      <c r="E729" t="str">
        <f>+IFERROR(VLOOKUP(Fact_Cumplimiento[[#This Row], [Concepto Anterior]],Conceptos_Cumplimiento[#All],5,0),"")</f>
        <v/>
      </c>
      <c r="F729" t="str">
        <f>+IFERROR(VLOOKUP(Fact_Cumplimiento[[#This Row], 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ht="18.75" customHeight="1" x14ac:dyDescent="0.35">
      <c r="C730" s="100" t="str">
        <f>IF(OR(Fact_Cumplimiento[[#This Row], [Año]]="",Fact_Cumplimiento[[#This Row], [Mes]]=""),"",DATE(A730,MATCH(B730,{"enero","febrero","marzo","abril","mayo","junio","julio","agosto","septiembre","octubre","noviembre","diciembre"},0)+1,0))</f>
        <v/>
      </c>
      <c r="E730" t="str">
        <f>+IFERROR(VLOOKUP(Fact_Cumplimiento[[#This Row], [Concepto Anterior]],Conceptos_Cumplimiento[#All],5,0),"")</f>
        <v/>
      </c>
      <c r="F730" t="str">
        <f>+IFERROR(VLOOKUP(Fact_Cumplimiento[[#This Row], 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ht="18.75" customHeight="1" x14ac:dyDescent="0.35">
      <c r="C731" s="100" t="str">
        <f>IF(OR(Fact_Cumplimiento[[#This Row], [Año]]="",Fact_Cumplimiento[[#This Row], [Mes]]=""),"",DATE(A731,MATCH(B731,{"enero","febrero","marzo","abril","mayo","junio","julio","agosto","septiembre","octubre","noviembre","diciembre"},0)+1,0))</f>
        <v/>
      </c>
      <c r="E731" t="str">
        <f>+IFERROR(VLOOKUP(Fact_Cumplimiento[[#This Row], [Concepto Anterior]],Conceptos_Cumplimiento[#All],5,0),"")</f>
        <v/>
      </c>
      <c r="F731" t="str">
        <f>+IFERROR(VLOOKUP(Fact_Cumplimiento[[#This Row], 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ht="18.75" customHeight="1" x14ac:dyDescent="0.35">
      <c r="C732" s="100" t="str">
        <f>IF(OR(Fact_Cumplimiento[[#This Row], [Año]]="",Fact_Cumplimiento[[#This Row], [Mes]]=""),"",DATE(A732,MATCH(B732,{"enero","febrero","marzo","abril","mayo","junio","julio","agosto","septiembre","octubre","noviembre","diciembre"},0)+1,0))</f>
        <v/>
      </c>
      <c r="E732" t="str">
        <f>+IFERROR(VLOOKUP(Fact_Cumplimiento[[#This Row], [Concepto Anterior]],Conceptos_Cumplimiento[#All],5,0),"")</f>
        <v/>
      </c>
      <c r="F732" t="str">
        <f>+IFERROR(VLOOKUP(Fact_Cumplimiento[[#This Row], 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ht="18.75" customHeight="1" x14ac:dyDescent="0.35">
      <c r="C733" s="100" t="str">
        <f>IF(OR(Fact_Cumplimiento[[#This Row], [Año]]="",Fact_Cumplimiento[[#This Row], [Mes]]=""),"",DATE(A733,MATCH(B733,{"enero","febrero","marzo","abril","mayo","junio","julio","agosto","septiembre","octubre","noviembre","diciembre"},0)+1,0))</f>
        <v/>
      </c>
      <c r="E733" t="str">
        <f>+IFERROR(VLOOKUP(Fact_Cumplimiento[[#This Row], [Concepto Anterior]],Conceptos_Cumplimiento[#All],5,0),"")</f>
        <v/>
      </c>
      <c r="F733" t="str">
        <f>+IFERROR(VLOOKUP(Fact_Cumplimiento[[#This Row], 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ht="18.75" customHeight="1" x14ac:dyDescent="0.35">
      <c r="C734" s="100" t="str">
        <f>IF(OR(Fact_Cumplimiento[[#This Row], [Año]]="",Fact_Cumplimiento[[#This Row], [Mes]]=""),"",DATE(A734,MATCH(B734,{"enero","febrero","marzo","abril","mayo","junio","julio","agosto","septiembre","octubre","noviembre","diciembre"},0)+1,0))</f>
        <v/>
      </c>
      <c r="E734" t="str">
        <f>+IFERROR(VLOOKUP(Fact_Cumplimiento[[#This Row], [Concepto Anterior]],Conceptos_Cumplimiento[#All],5,0),"")</f>
        <v/>
      </c>
      <c r="F734" t="str">
        <f>+IFERROR(VLOOKUP(Fact_Cumplimiento[[#This Row], 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ht="18.75" customHeight="1" x14ac:dyDescent="0.35">
      <c r="C735" s="100" t="str">
        <f>IF(OR(Fact_Cumplimiento[[#This Row], [Año]]="",Fact_Cumplimiento[[#This Row], [Mes]]=""),"",DATE(A735,MATCH(B735,{"enero","febrero","marzo","abril","mayo","junio","julio","agosto","septiembre","octubre","noviembre","diciembre"},0)+1,0))</f>
        <v/>
      </c>
      <c r="E735" t="str">
        <f>+IFERROR(VLOOKUP(Fact_Cumplimiento[[#This Row], [Concepto Anterior]],Conceptos_Cumplimiento[#All],5,0),"")</f>
        <v/>
      </c>
      <c r="F735" t="str">
        <f>+IFERROR(VLOOKUP(Fact_Cumplimiento[[#This Row], 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ht="18.75" customHeight="1" x14ac:dyDescent="0.35">
      <c r="C736" s="100" t="str">
        <f>IF(OR(Fact_Cumplimiento[[#This Row], [Año]]="",Fact_Cumplimiento[[#This Row], [Mes]]=""),"",DATE(A736,MATCH(B736,{"enero","febrero","marzo","abril","mayo","junio","julio","agosto","septiembre","octubre","noviembre","diciembre"},0)+1,0))</f>
        <v/>
      </c>
      <c r="E736" t="str">
        <f>+IFERROR(VLOOKUP(Fact_Cumplimiento[[#This Row], [Concepto Anterior]],Conceptos_Cumplimiento[#All],5,0),"")</f>
        <v/>
      </c>
      <c r="F736" t="str">
        <f>+IFERROR(VLOOKUP(Fact_Cumplimiento[[#This Row], 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ht="18.75" customHeight="1" x14ac:dyDescent="0.35">
      <c r="C737" s="100" t="str">
        <f>IF(OR(Fact_Cumplimiento[[#This Row], [Año]]="",Fact_Cumplimiento[[#This Row], [Mes]]=""),"",DATE(A737,MATCH(B737,{"enero","febrero","marzo","abril","mayo","junio","julio","agosto","septiembre","octubre","noviembre","diciembre"},0)+1,0))</f>
        <v/>
      </c>
      <c r="E737" t="str">
        <f>+IFERROR(VLOOKUP(Fact_Cumplimiento[[#This Row], [Concepto Anterior]],Conceptos_Cumplimiento[#All],5,0),"")</f>
        <v/>
      </c>
      <c r="F737" t="str">
        <f>+IFERROR(VLOOKUP(Fact_Cumplimiento[[#This Row], 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ht="18.75" customHeight="1" x14ac:dyDescent="0.35">
      <c r="C738" s="100" t="str">
        <f>IF(OR(Fact_Cumplimiento[[#This Row], [Año]]="",Fact_Cumplimiento[[#This Row], [Mes]]=""),"",DATE(A738,MATCH(B738,{"enero","febrero","marzo","abril","mayo","junio","julio","agosto","septiembre","octubre","noviembre","diciembre"},0)+1,0))</f>
        <v/>
      </c>
      <c r="E738" t="str">
        <f>+IFERROR(VLOOKUP(Fact_Cumplimiento[[#This Row], [Concepto Anterior]],Conceptos_Cumplimiento[#All],5,0),"")</f>
        <v/>
      </c>
      <c r="F738" t="str">
        <f>+IFERROR(VLOOKUP(Fact_Cumplimiento[[#This Row], 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ht="18.75" customHeight="1" x14ac:dyDescent="0.35">
      <c r="C739" s="100" t="str">
        <f>IF(OR(Fact_Cumplimiento[[#This Row], [Año]]="",Fact_Cumplimiento[[#This Row], [Mes]]=""),"",DATE(A739,MATCH(B739,{"enero","febrero","marzo","abril","mayo","junio","julio","agosto","septiembre","octubre","noviembre","diciembre"},0)+1,0))</f>
        <v/>
      </c>
      <c r="E739" t="str">
        <f>+IFERROR(VLOOKUP(Fact_Cumplimiento[[#This Row], [Concepto Anterior]],Conceptos_Cumplimiento[#All],5,0),"")</f>
        <v/>
      </c>
      <c r="F739" t="str">
        <f>+IFERROR(VLOOKUP(Fact_Cumplimiento[[#This Row], 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ht="18.75" customHeight="1" x14ac:dyDescent="0.35">
      <c r="C740" s="100" t="str">
        <f>IF(OR(Fact_Cumplimiento[[#This Row], [Año]]="",Fact_Cumplimiento[[#This Row], [Mes]]=""),"",DATE(A740,MATCH(B740,{"enero","febrero","marzo","abril","mayo","junio","julio","agosto","septiembre","octubre","noviembre","diciembre"},0)+1,0))</f>
        <v/>
      </c>
      <c r="E740" t="str">
        <f>+IFERROR(VLOOKUP(Fact_Cumplimiento[[#This Row], [Concepto Anterior]],Conceptos_Cumplimiento[#All],5,0),"")</f>
        <v/>
      </c>
      <c r="F740" t="str">
        <f>+IFERROR(VLOOKUP(Fact_Cumplimiento[[#This Row], 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ht="18.75" customHeight="1" x14ac:dyDescent="0.35">
      <c r="C741" s="100" t="str">
        <f>IF(OR(Fact_Cumplimiento[[#This Row], [Año]]="",Fact_Cumplimiento[[#This Row], [Mes]]=""),"",DATE(A741,MATCH(B741,{"enero","febrero","marzo","abril","mayo","junio","julio","agosto","septiembre","octubre","noviembre","diciembre"},0)+1,0))</f>
        <v/>
      </c>
      <c r="E741" t="str">
        <f>+IFERROR(VLOOKUP(Fact_Cumplimiento[[#This Row], [Concepto Anterior]],Conceptos_Cumplimiento[#All],5,0),"")</f>
        <v/>
      </c>
      <c r="F741" t="str">
        <f>+IFERROR(VLOOKUP(Fact_Cumplimiento[[#This Row], 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ht="18.75" customHeight="1" x14ac:dyDescent="0.35">
      <c r="C742" s="100" t="str">
        <f>IF(OR(Fact_Cumplimiento[[#This Row], [Año]]="",Fact_Cumplimiento[[#This Row], [Mes]]=""),"",DATE(A742,MATCH(B742,{"enero","febrero","marzo","abril","mayo","junio","julio","agosto","septiembre","octubre","noviembre","diciembre"},0)+1,0))</f>
        <v/>
      </c>
      <c r="E742" t="str">
        <f>+IFERROR(VLOOKUP(Fact_Cumplimiento[[#This Row], [Concepto Anterior]],Conceptos_Cumplimiento[#All],5,0),"")</f>
        <v/>
      </c>
      <c r="F742" t="str">
        <f>+IFERROR(VLOOKUP(Fact_Cumplimiento[[#This Row], 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ht="18.75" customHeight="1" x14ac:dyDescent="0.35">
      <c r="C743" s="100" t="str">
        <f>IF(OR(Fact_Cumplimiento[[#This Row], [Año]]="",Fact_Cumplimiento[[#This Row], [Mes]]=""),"",DATE(A743,MATCH(B743,{"enero","febrero","marzo","abril","mayo","junio","julio","agosto","septiembre","octubre","noviembre","diciembre"},0)+1,0))</f>
        <v/>
      </c>
      <c r="E743" t="str">
        <f>+IFERROR(VLOOKUP(Fact_Cumplimiento[[#This Row], [Concepto Anterior]],Conceptos_Cumplimiento[#All],5,0),"")</f>
        <v/>
      </c>
      <c r="F743" t="str">
        <f>+IFERROR(VLOOKUP(Fact_Cumplimiento[[#This Row], 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ht="18.75" customHeight="1" x14ac:dyDescent="0.35">
      <c r="C744" s="100" t="str">
        <f>IF(OR(Fact_Cumplimiento[[#This Row], [Año]]="",Fact_Cumplimiento[[#This Row], [Mes]]=""),"",DATE(A744,MATCH(B744,{"enero","febrero","marzo","abril","mayo","junio","julio","agosto","septiembre","octubre","noviembre","diciembre"},0)+1,0))</f>
        <v/>
      </c>
      <c r="E744" t="str">
        <f>+IFERROR(VLOOKUP(Fact_Cumplimiento[[#This Row], [Concepto Anterior]],Conceptos_Cumplimiento[#All],5,0),"")</f>
        <v/>
      </c>
      <c r="F744" t="str">
        <f>+IFERROR(VLOOKUP(Fact_Cumplimiento[[#This Row], 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ht="18.75" customHeight="1" x14ac:dyDescent="0.35">
      <c r="C745" s="100" t="str">
        <f>IF(OR(Fact_Cumplimiento[[#This Row], [Año]]="",Fact_Cumplimiento[[#This Row], [Mes]]=""),"",DATE(A745,MATCH(B745,{"enero","febrero","marzo","abril","mayo","junio","julio","agosto","septiembre","octubre","noviembre","diciembre"},0)+1,0))</f>
        <v/>
      </c>
      <c r="E745" t="str">
        <f>+IFERROR(VLOOKUP(Fact_Cumplimiento[[#This Row], [Concepto Anterior]],Conceptos_Cumplimiento[#All],5,0),"")</f>
        <v/>
      </c>
      <c r="F745" t="str">
        <f>+IFERROR(VLOOKUP(Fact_Cumplimiento[[#This Row], 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ht="18.75" customHeight="1" x14ac:dyDescent="0.35">
      <c r="C746" s="100" t="str">
        <f>IF(OR(Fact_Cumplimiento[[#This Row], [Año]]="",Fact_Cumplimiento[[#This Row], [Mes]]=""),"",DATE(A746,MATCH(B746,{"enero","febrero","marzo","abril","mayo","junio","julio","agosto","septiembre","octubre","noviembre","diciembre"},0)+1,0))</f>
        <v/>
      </c>
      <c r="E746" t="str">
        <f>+IFERROR(VLOOKUP(Fact_Cumplimiento[[#This Row], [Concepto Anterior]],Conceptos_Cumplimiento[#All],5,0),"")</f>
        <v/>
      </c>
      <c r="F746" t="str">
        <f>+IFERROR(VLOOKUP(Fact_Cumplimiento[[#This Row], 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ht="18.75" customHeight="1" x14ac:dyDescent="0.35">
      <c r="C747" s="100" t="str">
        <f>IF(OR(Fact_Cumplimiento[[#This Row], [Año]]="",Fact_Cumplimiento[[#This Row], [Mes]]=""),"",DATE(A747,MATCH(B747,{"enero","febrero","marzo","abril","mayo","junio","julio","agosto","septiembre","octubre","noviembre","diciembre"},0)+1,0))</f>
        <v/>
      </c>
      <c r="E747" t="str">
        <f>+IFERROR(VLOOKUP(Fact_Cumplimiento[[#This Row], [Concepto Anterior]],Conceptos_Cumplimiento[#All],5,0),"")</f>
        <v/>
      </c>
      <c r="F747" t="str">
        <f>+IFERROR(VLOOKUP(Fact_Cumplimiento[[#This Row], 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ht="18.75" customHeight="1" x14ac:dyDescent="0.35">
      <c r="C748" s="100" t="str">
        <f>IF(OR(Fact_Cumplimiento[[#This Row], [Año]]="",Fact_Cumplimiento[[#This Row], [Mes]]=""),"",DATE(A748,MATCH(B748,{"enero","febrero","marzo","abril","mayo","junio","julio","agosto","septiembre","octubre","noviembre","diciembre"},0)+1,0))</f>
        <v/>
      </c>
      <c r="E748" t="str">
        <f>+IFERROR(VLOOKUP(Fact_Cumplimiento[[#This Row], [Concepto Anterior]],Conceptos_Cumplimiento[#All],5,0),"")</f>
        <v/>
      </c>
      <c r="F748" t="str">
        <f>+IFERROR(VLOOKUP(Fact_Cumplimiento[[#This Row], 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ht="18.75" customHeight="1" x14ac:dyDescent="0.35">
      <c r="C749" s="100" t="str">
        <f>IF(OR(Fact_Cumplimiento[[#This Row], [Año]]="",Fact_Cumplimiento[[#This Row], [Mes]]=""),"",DATE(A749,MATCH(B749,{"enero","febrero","marzo","abril","mayo","junio","julio","agosto","septiembre","octubre","noviembre","diciembre"},0)+1,0))</f>
        <v/>
      </c>
      <c r="E749" t="str">
        <f>+IFERROR(VLOOKUP(Fact_Cumplimiento[[#This Row], [Concepto Anterior]],Conceptos_Cumplimiento[#All],5,0),"")</f>
        <v/>
      </c>
      <c r="F749" t="str">
        <f>+IFERROR(VLOOKUP(Fact_Cumplimiento[[#This Row], 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ht="18.75" customHeight="1" x14ac:dyDescent="0.35">
      <c r="C750" s="100" t="str">
        <f>IF(OR(Fact_Cumplimiento[[#This Row], [Año]]="",Fact_Cumplimiento[[#This Row], [Mes]]=""),"",DATE(A750,MATCH(B750,{"enero","febrero","marzo","abril","mayo","junio","julio","agosto","septiembre","octubre","noviembre","diciembre"},0)+1,0))</f>
        <v/>
      </c>
      <c r="E750" t="str">
        <f>+IFERROR(VLOOKUP(Fact_Cumplimiento[[#This Row], [Concepto Anterior]],Conceptos_Cumplimiento[#All],5,0),"")</f>
        <v/>
      </c>
      <c r="F750" t="str">
        <f>+IFERROR(VLOOKUP(Fact_Cumplimiento[[#This Row], 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ht="18.75" customHeight="1" x14ac:dyDescent="0.35">
      <c r="C751" s="100" t="str">
        <f>IF(OR(Fact_Cumplimiento[[#This Row], [Año]]="",Fact_Cumplimiento[[#This Row], [Mes]]=""),"",DATE(A751,MATCH(B751,{"enero","febrero","marzo","abril","mayo","junio","julio","agosto","septiembre","octubre","noviembre","diciembre"},0)+1,0))</f>
        <v/>
      </c>
      <c r="E751" t="str">
        <f>+IFERROR(VLOOKUP(Fact_Cumplimiento[[#This Row], [Concepto Anterior]],Conceptos_Cumplimiento[#All],5,0),"")</f>
        <v/>
      </c>
      <c r="F751" t="str">
        <f>+IFERROR(VLOOKUP(Fact_Cumplimiento[[#This Row], 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ht="18.75" customHeight="1" x14ac:dyDescent="0.35">
      <c r="C752" s="100" t="str">
        <f>IF(OR(Fact_Cumplimiento[[#This Row], [Año]]="",Fact_Cumplimiento[[#This Row], [Mes]]=""),"",DATE(A752,MATCH(B752,{"enero","febrero","marzo","abril","mayo","junio","julio","agosto","septiembre","octubre","noviembre","diciembre"},0)+1,0))</f>
        <v/>
      </c>
      <c r="E752" t="str">
        <f>+IFERROR(VLOOKUP(Fact_Cumplimiento[[#This Row], [Concepto Anterior]],Conceptos_Cumplimiento[#All],5,0),"")</f>
        <v/>
      </c>
      <c r="F752" t="str">
        <f>+IFERROR(VLOOKUP(Fact_Cumplimiento[[#This Row], 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ht="18.75" customHeight="1" x14ac:dyDescent="0.35">
      <c r="C753" s="100" t="str">
        <f>IF(OR(Fact_Cumplimiento[[#This Row], [Año]]="",Fact_Cumplimiento[[#This Row], [Mes]]=""),"",DATE(A753,MATCH(B753,{"enero","febrero","marzo","abril","mayo","junio","julio","agosto","septiembre","octubre","noviembre","diciembre"},0)+1,0))</f>
        <v/>
      </c>
      <c r="E753" t="str">
        <f>+IFERROR(VLOOKUP(Fact_Cumplimiento[[#This Row], [Concepto Anterior]],Conceptos_Cumplimiento[#All],5,0),"")</f>
        <v/>
      </c>
      <c r="F753" t="str">
        <f>+IFERROR(VLOOKUP(Fact_Cumplimiento[[#This Row], 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ht="18.75" customHeight="1" x14ac:dyDescent="0.35">
      <c r="C754" s="100" t="str">
        <f>IF(OR(Fact_Cumplimiento[[#This Row], [Año]]="",Fact_Cumplimiento[[#This Row], [Mes]]=""),"",DATE(A754,MATCH(B754,{"enero","febrero","marzo","abril","mayo","junio","julio","agosto","septiembre","octubre","noviembre","diciembre"},0)+1,0))</f>
        <v/>
      </c>
      <c r="E754" t="str">
        <f>+IFERROR(VLOOKUP(Fact_Cumplimiento[[#This Row], [Concepto Anterior]],Conceptos_Cumplimiento[#All],5,0),"")</f>
        <v/>
      </c>
      <c r="F754" t="str">
        <f>+IFERROR(VLOOKUP(Fact_Cumplimiento[[#This Row], 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ht="18.75" customHeight="1" x14ac:dyDescent="0.35">
      <c r="C755" s="100" t="str">
        <f>IF(OR(Fact_Cumplimiento[[#This Row], [Año]]="",Fact_Cumplimiento[[#This Row], [Mes]]=""),"",DATE(A755,MATCH(B755,{"enero","febrero","marzo","abril","mayo","junio","julio","agosto","septiembre","octubre","noviembre","diciembre"},0)+1,0))</f>
        <v/>
      </c>
      <c r="E755" t="str">
        <f>+IFERROR(VLOOKUP(Fact_Cumplimiento[[#This Row], [Concepto Anterior]],Conceptos_Cumplimiento[#All],5,0),"")</f>
        <v/>
      </c>
      <c r="F755" t="str">
        <f>+IFERROR(VLOOKUP(Fact_Cumplimiento[[#This Row], 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ht="18.75" customHeight="1" x14ac:dyDescent="0.35">
      <c r="C756" s="100" t="str">
        <f>IF(OR(Fact_Cumplimiento[[#This Row], [Año]]="",Fact_Cumplimiento[[#This Row], [Mes]]=""),"",DATE(A756,MATCH(B756,{"enero","febrero","marzo","abril","mayo","junio","julio","agosto","septiembre","octubre","noviembre","diciembre"},0)+1,0))</f>
        <v/>
      </c>
      <c r="E756" t="str">
        <f>+IFERROR(VLOOKUP(Fact_Cumplimiento[[#This Row], [Concepto Anterior]],Conceptos_Cumplimiento[#All],5,0),"")</f>
        <v/>
      </c>
      <c r="F756" t="str">
        <f>+IFERROR(VLOOKUP(Fact_Cumplimiento[[#This Row], 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ht="18.75" customHeight="1" x14ac:dyDescent="0.35">
      <c r="C757" s="100" t="str">
        <f>IF(OR(Fact_Cumplimiento[[#This Row], [Año]]="",Fact_Cumplimiento[[#This Row], [Mes]]=""),"",DATE(A757,MATCH(B757,{"enero","febrero","marzo","abril","mayo","junio","julio","agosto","septiembre","octubre","noviembre","diciembre"},0)+1,0))</f>
        <v/>
      </c>
      <c r="E757" t="str">
        <f>+IFERROR(VLOOKUP(Fact_Cumplimiento[[#This Row], [Concepto Anterior]],Conceptos_Cumplimiento[#All],5,0),"")</f>
        <v/>
      </c>
      <c r="F757" t="str">
        <f>+IFERROR(VLOOKUP(Fact_Cumplimiento[[#This Row], 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ht="18.75" customHeight="1" x14ac:dyDescent="0.35">
      <c r="C758" s="100" t="str">
        <f>IF(OR(Fact_Cumplimiento[[#This Row], [Año]]="",Fact_Cumplimiento[[#This Row], [Mes]]=""),"",DATE(A758,MATCH(B758,{"enero","febrero","marzo","abril","mayo","junio","julio","agosto","septiembre","octubre","noviembre","diciembre"},0)+1,0))</f>
        <v/>
      </c>
      <c r="E758" t="str">
        <f>+IFERROR(VLOOKUP(Fact_Cumplimiento[[#This Row], [Concepto Anterior]],Conceptos_Cumplimiento[#All],5,0),"")</f>
        <v/>
      </c>
      <c r="F758" t="str">
        <f>+IFERROR(VLOOKUP(Fact_Cumplimiento[[#This Row], 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ht="18.75" customHeight="1" x14ac:dyDescent="0.35">
      <c r="C759" s="100" t="str">
        <f>IF(OR(Fact_Cumplimiento[[#This Row], [Año]]="",Fact_Cumplimiento[[#This Row], [Mes]]=""),"",DATE(A759,MATCH(B759,{"enero","febrero","marzo","abril","mayo","junio","julio","agosto","septiembre","octubre","noviembre","diciembre"},0)+1,0))</f>
        <v/>
      </c>
      <c r="E759" t="str">
        <f>+IFERROR(VLOOKUP(Fact_Cumplimiento[[#This Row], [Concepto Anterior]],Conceptos_Cumplimiento[#All],5,0),"")</f>
        <v/>
      </c>
      <c r="F759" t="str">
        <f>+IFERROR(VLOOKUP(Fact_Cumplimiento[[#This Row], 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ht="18.75" customHeight="1" x14ac:dyDescent="0.35">
      <c r="C760" s="100" t="str">
        <f>IF(OR(Fact_Cumplimiento[[#This Row], [Año]]="",Fact_Cumplimiento[[#This Row], [Mes]]=""),"",DATE(A760,MATCH(B760,{"enero","febrero","marzo","abril","mayo","junio","julio","agosto","septiembre","octubre","noviembre","diciembre"},0)+1,0))</f>
        <v/>
      </c>
      <c r="E760" t="str">
        <f>+IFERROR(VLOOKUP(Fact_Cumplimiento[[#This Row], [Concepto Anterior]],Conceptos_Cumplimiento[#All],5,0),"")</f>
        <v/>
      </c>
      <c r="F760" t="str">
        <f>+IFERROR(VLOOKUP(Fact_Cumplimiento[[#This Row], 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ht="18.75" customHeight="1" x14ac:dyDescent="0.35">
      <c r="C761" s="100" t="str">
        <f>IF(OR(Fact_Cumplimiento[[#This Row], [Año]]="",Fact_Cumplimiento[[#This Row], [Mes]]=""),"",DATE(A761,MATCH(B761,{"enero","febrero","marzo","abril","mayo","junio","julio","agosto","septiembre","octubre","noviembre","diciembre"},0)+1,0))</f>
        <v/>
      </c>
      <c r="E761" t="str">
        <f>+IFERROR(VLOOKUP(Fact_Cumplimiento[[#This Row], [Concepto Anterior]],Conceptos_Cumplimiento[#All],5,0),"")</f>
        <v/>
      </c>
      <c r="F761" t="str">
        <f>+IFERROR(VLOOKUP(Fact_Cumplimiento[[#This Row], 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ht="18.75" customHeight="1" x14ac:dyDescent="0.35">
      <c r="C762" s="100" t="str">
        <f>IF(OR(Fact_Cumplimiento[[#This Row], [Año]]="",Fact_Cumplimiento[[#This Row], [Mes]]=""),"",DATE(A762,MATCH(B762,{"enero","febrero","marzo","abril","mayo","junio","julio","agosto","septiembre","octubre","noviembre","diciembre"},0)+1,0))</f>
        <v/>
      </c>
      <c r="E762" t="str">
        <f>+IFERROR(VLOOKUP(Fact_Cumplimiento[[#This Row], [Concepto Anterior]],Conceptos_Cumplimiento[#All],5,0),"")</f>
        <v/>
      </c>
      <c r="F762" t="str">
        <f>+IFERROR(VLOOKUP(Fact_Cumplimiento[[#This Row], 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ht="18.75" customHeight="1" x14ac:dyDescent="0.35">
      <c r="C763" s="100" t="str">
        <f>IF(OR(Fact_Cumplimiento[[#This Row], [Año]]="",Fact_Cumplimiento[[#This Row], [Mes]]=""),"",DATE(A763,MATCH(B763,{"enero","febrero","marzo","abril","mayo","junio","julio","agosto","septiembre","octubre","noviembre","diciembre"},0)+1,0))</f>
        <v/>
      </c>
      <c r="E763" t="str">
        <f>+IFERROR(VLOOKUP(Fact_Cumplimiento[[#This Row], [Concepto Anterior]],Conceptos_Cumplimiento[#All],5,0),"")</f>
        <v/>
      </c>
      <c r="F763" t="str">
        <f>+IFERROR(VLOOKUP(Fact_Cumplimiento[[#This Row], 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ht="18.75" customHeight="1" x14ac:dyDescent="0.35">
      <c r="C764" s="100" t="str">
        <f>IF(OR(Fact_Cumplimiento[[#This Row], [Año]]="",Fact_Cumplimiento[[#This Row], [Mes]]=""),"",DATE(A764,MATCH(B764,{"enero","febrero","marzo","abril","mayo","junio","julio","agosto","septiembre","octubre","noviembre","diciembre"},0)+1,0))</f>
        <v/>
      </c>
      <c r="E764" t="str">
        <f>+IFERROR(VLOOKUP(Fact_Cumplimiento[[#This Row], [Concepto Anterior]],Conceptos_Cumplimiento[#All],5,0),"")</f>
        <v/>
      </c>
      <c r="F764" t="str">
        <f>+IFERROR(VLOOKUP(Fact_Cumplimiento[[#This Row], 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ht="18.75" customHeight="1" x14ac:dyDescent="0.35">
      <c r="C765" s="100" t="str">
        <f>IF(OR(Fact_Cumplimiento[[#This Row], [Año]]="",Fact_Cumplimiento[[#This Row], [Mes]]=""),"",DATE(A765,MATCH(B765,{"enero","febrero","marzo","abril","mayo","junio","julio","agosto","septiembre","octubre","noviembre","diciembre"},0)+1,0))</f>
        <v/>
      </c>
      <c r="E765" t="str">
        <f>+IFERROR(VLOOKUP(Fact_Cumplimiento[[#This Row], [Concepto Anterior]],Conceptos_Cumplimiento[#All],5,0),"")</f>
        <v/>
      </c>
      <c r="F765" t="str">
        <f>+IFERROR(VLOOKUP(Fact_Cumplimiento[[#This Row], 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ht="18.75" customHeight="1" x14ac:dyDescent="0.35">
      <c r="C766" s="100" t="str">
        <f>IF(OR(Fact_Cumplimiento[[#This Row], [Año]]="",Fact_Cumplimiento[[#This Row], [Mes]]=""),"",DATE(A766,MATCH(B766,{"enero","febrero","marzo","abril","mayo","junio","julio","agosto","septiembre","octubre","noviembre","diciembre"},0)+1,0))</f>
        <v/>
      </c>
      <c r="E766" t="str">
        <f>+IFERROR(VLOOKUP(Fact_Cumplimiento[[#This Row], [Concepto Anterior]],Conceptos_Cumplimiento[#All],5,0),"")</f>
        <v/>
      </c>
      <c r="F766" t="str">
        <f>+IFERROR(VLOOKUP(Fact_Cumplimiento[[#This Row], 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ht="18.75" customHeight="1" x14ac:dyDescent="0.35">
      <c r="C767" s="100" t="str">
        <f>IF(OR(Fact_Cumplimiento[[#This Row], [Año]]="",Fact_Cumplimiento[[#This Row], [Mes]]=""),"",DATE(A767,MATCH(B767,{"enero","febrero","marzo","abril","mayo","junio","julio","agosto","septiembre","octubre","noviembre","diciembre"},0)+1,0))</f>
        <v/>
      </c>
      <c r="E767" t="str">
        <f>+IFERROR(VLOOKUP(Fact_Cumplimiento[[#This Row], [Concepto Anterior]],Conceptos_Cumplimiento[#All],5,0),"")</f>
        <v/>
      </c>
      <c r="F767" t="str">
        <f>+IFERROR(VLOOKUP(Fact_Cumplimiento[[#This Row], 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ht="18.75" customHeight="1" x14ac:dyDescent="0.35">
      <c r="C768" s="100" t="str">
        <f>IF(OR(Fact_Cumplimiento[[#This Row], [Año]]="",Fact_Cumplimiento[[#This Row], [Mes]]=""),"",DATE(A768,MATCH(B768,{"enero","febrero","marzo","abril","mayo","junio","julio","agosto","septiembre","octubre","noviembre","diciembre"},0)+1,0))</f>
        <v/>
      </c>
      <c r="E768" t="str">
        <f>+IFERROR(VLOOKUP(Fact_Cumplimiento[[#This Row], [Concepto Anterior]],Conceptos_Cumplimiento[#All],5,0),"")</f>
        <v/>
      </c>
      <c r="F768" t="str">
        <f>+IFERROR(VLOOKUP(Fact_Cumplimiento[[#This Row], 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ht="18.75" customHeight="1" x14ac:dyDescent="0.35">
      <c r="C769" s="100" t="str">
        <f>IF(OR(Fact_Cumplimiento[[#This Row], [Año]]="",Fact_Cumplimiento[[#This Row], [Mes]]=""),"",DATE(A769,MATCH(B769,{"enero","febrero","marzo","abril","mayo","junio","julio","agosto","septiembre","octubre","noviembre","diciembre"},0)+1,0))</f>
        <v/>
      </c>
      <c r="E769" t="str">
        <f>+IFERROR(VLOOKUP(Fact_Cumplimiento[[#This Row], [Concepto Anterior]],Conceptos_Cumplimiento[#All],5,0),"")</f>
        <v/>
      </c>
      <c r="F769" t="str">
        <f>+IFERROR(VLOOKUP(Fact_Cumplimiento[[#This Row], 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ht="18.75" customHeight="1" x14ac:dyDescent="0.35">
      <c r="C770" s="100" t="str">
        <f>IF(OR(Fact_Cumplimiento[[#This Row], [Año]]="",Fact_Cumplimiento[[#This Row], [Mes]]=""),"",DATE(A770,MATCH(B770,{"enero","febrero","marzo","abril","mayo","junio","julio","agosto","septiembre","octubre","noviembre","diciembre"},0)+1,0))</f>
        <v/>
      </c>
      <c r="E770" t="str">
        <f>+IFERROR(VLOOKUP(Fact_Cumplimiento[[#This Row], [Concepto Anterior]],Conceptos_Cumplimiento[#All],5,0),"")</f>
        <v/>
      </c>
      <c r="F770" t="str">
        <f>+IFERROR(VLOOKUP(Fact_Cumplimiento[[#This Row], 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ht="18.75" customHeight="1" x14ac:dyDescent="0.35">
      <c r="C771" s="100" t="str">
        <f>IF(OR(Fact_Cumplimiento[[#This Row], [Año]]="",Fact_Cumplimiento[[#This Row], [Mes]]=""),"",DATE(A771,MATCH(B771,{"enero","febrero","marzo","abril","mayo","junio","julio","agosto","septiembre","octubre","noviembre","diciembre"},0)+1,0))</f>
        <v/>
      </c>
      <c r="E771" t="str">
        <f>+IFERROR(VLOOKUP(Fact_Cumplimiento[[#This Row], [Concepto Anterior]],Conceptos_Cumplimiento[#All],5,0),"")</f>
        <v/>
      </c>
      <c r="F771" t="str">
        <f>+IFERROR(VLOOKUP(Fact_Cumplimiento[[#This Row], 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ht="18.75" customHeight="1" x14ac:dyDescent="0.35">
      <c r="C772" s="100" t="str">
        <f>IF(OR(Fact_Cumplimiento[[#This Row], [Año]]="",Fact_Cumplimiento[[#This Row], [Mes]]=""),"",DATE(A772,MATCH(B772,{"enero","febrero","marzo","abril","mayo","junio","julio","agosto","septiembre","octubre","noviembre","diciembre"},0)+1,0))</f>
        <v/>
      </c>
      <c r="E772" t="str">
        <f>+IFERROR(VLOOKUP(Fact_Cumplimiento[[#This Row], [Concepto Anterior]],Conceptos_Cumplimiento[#All],5,0),"")</f>
        <v/>
      </c>
      <c r="F772" t="str">
        <f>+IFERROR(VLOOKUP(Fact_Cumplimiento[[#This Row], 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ht="18.75" customHeight="1" x14ac:dyDescent="0.35">
      <c r="C773" s="100" t="str">
        <f>IF(OR(Fact_Cumplimiento[[#This Row], [Año]]="",Fact_Cumplimiento[[#This Row], [Mes]]=""),"",DATE(A773,MATCH(B773,{"enero","febrero","marzo","abril","mayo","junio","julio","agosto","septiembre","octubre","noviembre","diciembre"},0)+1,0))</f>
        <v/>
      </c>
      <c r="E773" t="str">
        <f>+IFERROR(VLOOKUP(Fact_Cumplimiento[[#This Row], [Concepto Anterior]],Conceptos_Cumplimiento[#All],5,0),"")</f>
        <v/>
      </c>
      <c r="F773" t="str">
        <f>+IFERROR(VLOOKUP(Fact_Cumplimiento[[#This Row], 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ht="18.75" customHeight="1" x14ac:dyDescent="0.35">
      <c r="C774" s="100" t="str">
        <f>IF(OR(Fact_Cumplimiento[[#This Row], [Año]]="",Fact_Cumplimiento[[#This Row], [Mes]]=""),"",DATE(A774,MATCH(B774,{"enero","febrero","marzo","abril","mayo","junio","julio","agosto","septiembre","octubre","noviembre","diciembre"},0)+1,0))</f>
        <v/>
      </c>
      <c r="E774" t="str">
        <f>+IFERROR(VLOOKUP(Fact_Cumplimiento[[#This Row], [Concepto Anterior]],Conceptos_Cumplimiento[#All],5,0),"")</f>
        <v/>
      </c>
      <c r="F774" t="str">
        <f>+IFERROR(VLOOKUP(Fact_Cumplimiento[[#This Row], 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ht="18.75" customHeight="1" x14ac:dyDescent="0.35">
      <c r="C775" s="100" t="str">
        <f>IF(OR(Fact_Cumplimiento[[#This Row], [Año]]="",Fact_Cumplimiento[[#This Row], [Mes]]=""),"",DATE(A775,MATCH(B775,{"enero","febrero","marzo","abril","mayo","junio","julio","agosto","septiembre","octubre","noviembre","diciembre"},0)+1,0))</f>
        <v/>
      </c>
      <c r="E775" t="str">
        <f>+IFERROR(VLOOKUP(Fact_Cumplimiento[[#This Row], [Concepto Anterior]],Conceptos_Cumplimiento[#All],5,0),"")</f>
        <v/>
      </c>
      <c r="F775" t="str">
        <f>+IFERROR(VLOOKUP(Fact_Cumplimiento[[#This Row], 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ht="18.75" customHeight="1" x14ac:dyDescent="0.35">
      <c r="C776" s="100" t="str">
        <f>IF(OR(Fact_Cumplimiento[[#This Row], [Año]]="",Fact_Cumplimiento[[#This Row], [Mes]]=""),"",DATE(A776,MATCH(B776,{"enero","febrero","marzo","abril","mayo","junio","julio","agosto","septiembre","octubre","noviembre","diciembre"},0)+1,0))</f>
        <v/>
      </c>
      <c r="E776" t="str">
        <f>+IFERROR(VLOOKUP(Fact_Cumplimiento[[#This Row], [Concepto Anterior]],Conceptos_Cumplimiento[#All],5,0),"")</f>
        <v/>
      </c>
      <c r="F776" t="str">
        <f>+IFERROR(VLOOKUP(Fact_Cumplimiento[[#This Row], 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ht="18.75" customHeight="1" x14ac:dyDescent="0.35">
      <c r="C777" s="100" t="str">
        <f>IF(OR(Fact_Cumplimiento[[#This Row], [Año]]="",Fact_Cumplimiento[[#This Row], [Mes]]=""),"",DATE(A777,MATCH(B777,{"enero","febrero","marzo","abril","mayo","junio","julio","agosto","septiembre","octubre","noviembre","diciembre"},0)+1,0))</f>
        <v/>
      </c>
      <c r="E777" t="str">
        <f>+IFERROR(VLOOKUP(Fact_Cumplimiento[[#This Row], [Concepto Anterior]],Conceptos_Cumplimiento[#All],5,0),"")</f>
        <v/>
      </c>
      <c r="F777" t="str">
        <f>+IFERROR(VLOOKUP(Fact_Cumplimiento[[#This Row], 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ht="18.75" customHeight="1" x14ac:dyDescent="0.35">
      <c r="C778" s="100" t="str">
        <f>IF(OR(Fact_Cumplimiento[[#This Row], [Año]]="",Fact_Cumplimiento[[#This Row], [Mes]]=""),"",DATE(A778,MATCH(B778,{"enero","febrero","marzo","abril","mayo","junio","julio","agosto","septiembre","octubre","noviembre","diciembre"},0)+1,0))</f>
        <v/>
      </c>
      <c r="E778" t="str">
        <f>+IFERROR(VLOOKUP(Fact_Cumplimiento[[#This Row], [Concepto Anterior]],Conceptos_Cumplimiento[#All],5,0),"")</f>
        <v/>
      </c>
      <c r="F778" t="str">
        <f>+IFERROR(VLOOKUP(Fact_Cumplimiento[[#This Row], 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ht="18.75" customHeight="1" x14ac:dyDescent="0.35">
      <c r="C779" s="100" t="str">
        <f>IF(OR(Fact_Cumplimiento[[#This Row], [Año]]="",Fact_Cumplimiento[[#This Row], [Mes]]=""),"",DATE(A779,MATCH(B779,{"enero","febrero","marzo","abril","mayo","junio","julio","agosto","septiembre","octubre","noviembre","diciembre"},0)+1,0))</f>
        <v/>
      </c>
      <c r="E779" t="str">
        <f>+IFERROR(VLOOKUP(Fact_Cumplimiento[[#This Row], [Concepto Anterior]],Conceptos_Cumplimiento[#All],5,0),"")</f>
        <v/>
      </c>
      <c r="F779" t="str">
        <f>+IFERROR(VLOOKUP(Fact_Cumplimiento[[#This Row], 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ht="18.75" customHeight="1" x14ac:dyDescent="0.35">
      <c r="C780" s="100" t="str">
        <f>IF(OR(Fact_Cumplimiento[[#This Row], [Año]]="",Fact_Cumplimiento[[#This Row], [Mes]]=""),"",DATE(A780,MATCH(B780,{"enero","febrero","marzo","abril","mayo","junio","julio","agosto","septiembre","octubre","noviembre","diciembre"},0)+1,0))</f>
        <v/>
      </c>
      <c r="E780" t="str">
        <f>+IFERROR(VLOOKUP(Fact_Cumplimiento[[#This Row], [Concepto Anterior]],Conceptos_Cumplimiento[#All],5,0),"")</f>
        <v/>
      </c>
      <c r="F780" t="str">
        <f>+IFERROR(VLOOKUP(Fact_Cumplimiento[[#This Row], 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ht="18.75" customHeight="1" x14ac:dyDescent="0.35">
      <c r="C781" s="100" t="str">
        <f>IF(OR(Fact_Cumplimiento[[#This Row], [Año]]="",Fact_Cumplimiento[[#This Row], [Mes]]=""),"",DATE(A781,MATCH(B781,{"enero","febrero","marzo","abril","mayo","junio","julio","agosto","septiembre","octubre","noviembre","diciembre"},0)+1,0))</f>
        <v/>
      </c>
      <c r="E781" t="str">
        <f>+IFERROR(VLOOKUP(Fact_Cumplimiento[[#This Row], [Concepto Anterior]],Conceptos_Cumplimiento[#All],5,0),"")</f>
        <v/>
      </c>
      <c r="F781" t="str">
        <f>+IFERROR(VLOOKUP(Fact_Cumplimiento[[#This Row], 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ht="18.75" customHeight="1" x14ac:dyDescent="0.35">
      <c r="C782" s="100" t="str">
        <f>IF(OR(Fact_Cumplimiento[[#This Row], [Año]]="",Fact_Cumplimiento[[#This Row], [Mes]]=""),"",DATE(A782,MATCH(B782,{"enero","febrero","marzo","abril","mayo","junio","julio","agosto","septiembre","octubre","noviembre","diciembre"},0)+1,0))</f>
        <v/>
      </c>
      <c r="E782" t="str">
        <f>+IFERROR(VLOOKUP(Fact_Cumplimiento[[#This Row], [Concepto Anterior]],Conceptos_Cumplimiento[#All],5,0),"")</f>
        <v/>
      </c>
      <c r="F782" t="str">
        <f>+IFERROR(VLOOKUP(Fact_Cumplimiento[[#This Row], 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ht="18.75" customHeight="1" x14ac:dyDescent="0.35">
      <c r="C783" s="100" t="str">
        <f>IF(OR(Fact_Cumplimiento[[#This Row], [Año]]="",Fact_Cumplimiento[[#This Row], [Mes]]=""),"",DATE(A783,MATCH(B783,{"enero","febrero","marzo","abril","mayo","junio","julio","agosto","septiembre","octubre","noviembre","diciembre"},0)+1,0))</f>
        <v/>
      </c>
      <c r="E783" t="str">
        <f>+IFERROR(VLOOKUP(Fact_Cumplimiento[[#This Row], [Concepto Anterior]],Conceptos_Cumplimiento[#All],5,0),"")</f>
        <v/>
      </c>
      <c r="F783" t="str">
        <f>+IFERROR(VLOOKUP(Fact_Cumplimiento[[#This Row], 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ht="18.75" customHeight="1" x14ac:dyDescent="0.35">
      <c r="C784" s="100" t="str">
        <f>IF(OR(Fact_Cumplimiento[[#This Row], [Año]]="",Fact_Cumplimiento[[#This Row], [Mes]]=""),"",DATE(A784,MATCH(B784,{"enero","febrero","marzo","abril","mayo","junio","julio","agosto","septiembre","octubre","noviembre","diciembre"},0)+1,0))</f>
        <v/>
      </c>
      <c r="E784" t="str">
        <f>+IFERROR(VLOOKUP(Fact_Cumplimiento[[#This Row], [Concepto Anterior]],Conceptos_Cumplimiento[#All],5,0),"")</f>
        <v/>
      </c>
      <c r="F784" t="str">
        <f>+IFERROR(VLOOKUP(Fact_Cumplimiento[[#This Row], 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ht="18.75" customHeight="1" x14ac:dyDescent="0.35">
      <c r="C785" s="100" t="str">
        <f>IF(OR(Fact_Cumplimiento[[#This Row], [Año]]="",Fact_Cumplimiento[[#This Row], [Mes]]=""),"",DATE(A785,MATCH(B785,{"enero","febrero","marzo","abril","mayo","junio","julio","agosto","septiembre","octubre","noviembre","diciembre"},0)+1,0))</f>
        <v/>
      </c>
      <c r="E785" t="str">
        <f>+IFERROR(VLOOKUP(Fact_Cumplimiento[[#This Row], [Concepto Anterior]],Conceptos_Cumplimiento[#All],5,0),"")</f>
        <v/>
      </c>
      <c r="F785" t="str">
        <f>+IFERROR(VLOOKUP(Fact_Cumplimiento[[#This Row], 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ht="18.75" customHeight="1" x14ac:dyDescent="0.35">
      <c r="C786" s="100" t="str">
        <f>IF(OR(Fact_Cumplimiento[[#This Row], [Año]]="",Fact_Cumplimiento[[#This Row], [Mes]]=""),"",DATE(A786,MATCH(B786,{"enero","febrero","marzo","abril","mayo","junio","julio","agosto","septiembre","octubre","noviembre","diciembre"},0)+1,0))</f>
        <v/>
      </c>
      <c r="E786" t="str">
        <f>+IFERROR(VLOOKUP(Fact_Cumplimiento[[#This Row], [Concepto Anterior]],Conceptos_Cumplimiento[#All],5,0),"")</f>
        <v/>
      </c>
      <c r="F786" t="str">
        <f>+IFERROR(VLOOKUP(Fact_Cumplimiento[[#This Row], 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ht="18.75" customHeight="1" x14ac:dyDescent="0.35">
      <c r="C787" s="100" t="str">
        <f>IF(OR(Fact_Cumplimiento[[#This Row], [Año]]="",Fact_Cumplimiento[[#This Row], [Mes]]=""),"",DATE(A787,MATCH(B787,{"enero","febrero","marzo","abril","mayo","junio","julio","agosto","septiembre","octubre","noviembre","diciembre"},0)+1,0))</f>
        <v/>
      </c>
      <c r="E787" t="str">
        <f>+IFERROR(VLOOKUP(Fact_Cumplimiento[[#This Row], [Concepto Anterior]],Conceptos_Cumplimiento[#All],5,0),"")</f>
        <v/>
      </c>
      <c r="F787" t="str">
        <f>+IFERROR(VLOOKUP(Fact_Cumplimiento[[#This Row], 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ht="18.75" customHeight="1" x14ac:dyDescent="0.35">
      <c r="C788" s="100" t="str">
        <f>IF(OR(Fact_Cumplimiento[[#This Row], [Año]]="",Fact_Cumplimiento[[#This Row], [Mes]]=""),"",DATE(A788,MATCH(B788,{"enero","febrero","marzo","abril","mayo","junio","julio","agosto","septiembre","octubre","noviembre","diciembre"},0)+1,0))</f>
        <v/>
      </c>
      <c r="E788" t="str">
        <f>+IFERROR(VLOOKUP(Fact_Cumplimiento[[#This Row], [Concepto Anterior]],Conceptos_Cumplimiento[#All],5,0),"")</f>
        <v/>
      </c>
      <c r="F788" t="str">
        <f>+IFERROR(VLOOKUP(Fact_Cumplimiento[[#This Row], 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ht="18.75" customHeight="1" x14ac:dyDescent="0.35">
      <c r="C789" s="100" t="str">
        <f>IF(OR(Fact_Cumplimiento[[#This Row], [Año]]="",Fact_Cumplimiento[[#This Row], [Mes]]=""),"",DATE(A789,MATCH(B789,{"enero","febrero","marzo","abril","mayo","junio","julio","agosto","septiembre","octubre","noviembre","diciembre"},0)+1,0))</f>
        <v/>
      </c>
      <c r="E789" t="str">
        <f>+IFERROR(VLOOKUP(Fact_Cumplimiento[[#This Row], [Concepto Anterior]],Conceptos_Cumplimiento[#All],5,0),"")</f>
        <v/>
      </c>
      <c r="F789" t="str">
        <f>+IFERROR(VLOOKUP(Fact_Cumplimiento[[#This Row], 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ht="18.75" customHeight="1" x14ac:dyDescent="0.35">
      <c r="C790" s="100" t="str">
        <f>IF(OR(Fact_Cumplimiento[[#This Row], [Año]]="",Fact_Cumplimiento[[#This Row], [Mes]]=""),"",DATE(A790,MATCH(B790,{"enero","febrero","marzo","abril","mayo","junio","julio","agosto","septiembre","octubre","noviembre","diciembre"},0)+1,0))</f>
        <v/>
      </c>
      <c r="E790" t="str">
        <f>+IFERROR(VLOOKUP(Fact_Cumplimiento[[#This Row], [Concepto Anterior]],Conceptos_Cumplimiento[#All],5,0),"")</f>
        <v/>
      </c>
      <c r="F790" t="str">
        <f>+IFERROR(VLOOKUP(Fact_Cumplimiento[[#This Row], 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ht="18.75" customHeight="1" x14ac:dyDescent="0.35">
      <c r="C791" s="100" t="str">
        <f>IF(OR(Fact_Cumplimiento[[#This Row], [Año]]="",Fact_Cumplimiento[[#This Row], [Mes]]=""),"",DATE(A791,MATCH(B791,{"enero","febrero","marzo","abril","mayo","junio","julio","agosto","septiembre","octubre","noviembre","diciembre"},0)+1,0))</f>
        <v/>
      </c>
      <c r="E791" t="str">
        <f>+IFERROR(VLOOKUP(Fact_Cumplimiento[[#This Row], [Concepto Anterior]],Conceptos_Cumplimiento[#All],5,0),"")</f>
        <v/>
      </c>
      <c r="F791" t="str">
        <f>+IFERROR(VLOOKUP(Fact_Cumplimiento[[#This Row], 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ht="18.75" customHeight="1" x14ac:dyDescent="0.35">
      <c r="C792" s="100" t="str">
        <f>IF(OR(Fact_Cumplimiento[[#This Row], [Año]]="",Fact_Cumplimiento[[#This Row], [Mes]]=""),"",DATE(A792,MATCH(B792,{"enero","febrero","marzo","abril","mayo","junio","julio","agosto","septiembre","octubre","noviembre","diciembre"},0)+1,0))</f>
        <v/>
      </c>
      <c r="E792" t="str">
        <f>+IFERROR(VLOOKUP(Fact_Cumplimiento[[#This Row], [Concepto Anterior]],Conceptos_Cumplimiento[#All],5,0),"")</f>
        <v/>
      </c>
      <c r="F792" t="str">
        <f>+IFERROR(VLOOKUP(Fact_Cumplimiento[[#This Row], 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ht="18.75" customHeight="1" x14ac:dyDescent="0.35">
      <c r="C793" s="100" t="str">
        <f>IF(OR(Fact_Cumplimiento[[#This Row], [Año]]="",Fact_Cumplimiento[[#This Row], [Mes]]=""),"",DATE(A793,MATCH(B793,{"enero","febrero","marzo","abril","mayo","junio","julio","agosto","septiembre","octubre","noviembre","diciembre"},0)+1,0))</f>
        <v/>
      </c>
      <c r="E793" t="str">
        <f>+IFERROR(VLOOKUP(Fact_Cumplimiento[[#This Row], [Concepto Anterior]],Conceptos_Cumplimiento[#All],5,0),"")</f>
        <v/>
      </c>
      <c r="F793" t="str">
        <f>+IFERROR(VLOOKUP(Fact_Cumplimiento[[#This Row], 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ht="18.75" customHeight="1" x14ac:dyDescent="0.35">
      <c r="C794" s="100" t="str">
        <f>IF(OR(Fact_Cumplimiento[[#This Row], [Año]]="",Fact_Cumplimiento[[#This Row], [Mes]]=""),"",DATE(A794,MATCH(B794,{"enero","febrero","marzo","abril","mayo","junio","julio","agosto","septiembre","octubre","noviembre","diciembre"},0)+1,0))</f>
        <v/>
      </c>
      <c r="E794" t="str">
        <f>+IFERROR(VLOOKUP(Fact_Cumplimiento[[#This Row], [Concepto Anterior]],Conceptos_Cumplimiento[#All],5,0),"")</f>
        <v/>
      </c>
      <c r="F794" t="str">
        <f>+IFERROR(VLOOKUP(Fact_Cumplimiento[[#This Row], 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ht="18.75" customHeight="1" x14ac:dyDescent="0.35">
      <c r="C795" s="100" t="str">
        <f>IF(OR(Fact_Cumplimiento[[#This Row], [Año]]="",Fact_Cumplimiento[[#This Row], [Mes]]=""),"",DATE(A795,MATCH(B795,{"enero","febrero","marzo","abril","mayo","junio","julio","agosto","septiembre","octubre","noviembre","diciembre"},0)+1,0))</f>
        <v/>
      </c>
      <c r="E795" t="str">
        <f>+IFERROR(VLOOKUP(Fact_Cumplimiento[[#This Row], [Concepto Anterior]],Conceptos_Cumplimiento[#All],5,0),"")</f>
        <v/>
      </c>
      <c r="F795" t="str">
        <f>+IFERROR(VLOOKUP(Fact_Cumplimiento[[#This Row], 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ht="18.75" customHeight="1" x14ac:dyDescent="0.35">
      <c r="C796" s="100" t="str">
        <f>IF(OR(Fact_Cumplimiento[[#This Row], [Año]]="",Fact_Cumplimiento[[#This Row], [Mes]]=""),"",DATE(A796,MATCH(B796,{"enero","febrero","marzo","abril","mayo","junio","julio","agosto","septiembre","octubre","noviembre","diciembre"},0)+1,0))</f>
        <v/>
      </c>
      <c r="E796" t="str">
        <f>+IFERROR(VLOOKUP(Fact_Cumplimiento[[#This Row], [Concepto Anterior]],Conceptos_Cumplimiento[#All],5,0),"")</f>
        <v/>
      </c>
      <c r="F796" t="str">
        <f>+IFERROR(VLOOKUP(Fact_Cumplimiento[[#This Row], 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ht="18.75" customHeight="1" x14ac:dyDescent="0.35">
      <c r="C797" s="100" t="str">
        <f>IF(OR(Fact_Cumplimiento[[#This Row], [Año]]="",Fact_Cumplimiento[[#This Row], [Mes]]=""),"",DATE(A797,MATCH(B797,{"enero","febrero","marzo","abril","mayo","junio","julio","agosto","septiembre","octubre","noviembre","diciembre"},0)+1,0))</f>
        <v/>
      </c>
      <c r="E797" t="str">
        <f>+IFERROR(VLOOKUP(Fact_Cumplimiento[[#This Row], [Concepto Anterior]],Conceptos_Cumplimiento[#All],5,0),"")</f>
        <v/>
      </c>
      <c r="F797" t="str">
        <f>+IFERROR(VLOOKUP(Fact_Cumplimiento[[#This Row], 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ht="18.75" customHeight="1" x14ac:dyDescent="0.35">
      <c r="C798" s="100" t="str">
        <f>IF(OR(Fact_Cumplimiento[[#This Row], [Año]]="",Fact_Cumplimiento[[#This Row], [Mes]]=""),"",DATE(A798,MATCH(B798,{"enero","febrero","marzo","abril","mayo","junio","julio","agosto","septiembre","octubre","noviembre","diciembre"},0)+1,0))</f>
        <v/>
      </c>
      <c r="E798" t="str">
        <f>+IFERROR(VLOOKUP(Fact_Cumplimiento[[#This Row], [Concepto Anterior]],Conceptos_Cumplimiento[#All],5,0),"")</f>
        <v/>
      </c>
      <c r="F798" t="str">
        <f>+IFERROR(VLOOKUP(Fact_Cumplimiento[[#This Row], 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ht="18.75" customHeight="1" x14ac:dyDescent="0.35">
      <c r="C799" s="100" t="str">
        <f>IF(OR(Fact_Cumplimiento[[#This Row], [Año]]="",Fact_Cumplimiento[[#This Row], [Mes]]=""),"",DATE(A799,MATCH(B799,{"enero","febrero","marzo","abril","mayo","junio","julio","agosto","septiembre","octubre","noviembre","diciembre"},0)+1,0))</f>
        <v/>
      </c>
      <c r="E799" t="str">
        <f>+IFERROR(VLOOKUP(Fact_Cumplimiento[[#This Row], [Concepto Anterior]],Conceptos_Cumplimiento[#All],5,0),"")</f>
        <v/>
      </c>
      <c r="F799" t="str">
        <f>+IFERROR(VLOOKUP(Fact_Cumplimiento[[#This Row], 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ht="18.75" customHeight="1" x14ac:dyDescent="0.35">
      <c r="C800" s="100" t="str">
        <f>IF(OR(Fact_Cumplimiento[[#This Row], [Año]]="",Fact_Cumplimiento[[#This Row], [Mes]]=""),"",DATE(A800,MATCH(B800,{"enero","febrero","marzo","abril","mayo","junio","julio","agosto","septiembre","octubre","noviembre","diciembre"},0)+1,0))</f>
        <v/>
      </c>
      <c r="E800" t="str">
        <f>+IFERROR(VLOOKUP(Fact_Cumplimiento[[#This Row], [Concepto Anterior]],Conceptos_Cumplimiento[#All],5,0),"")</f>
        <v/>
      </c>
      <c r="F800" t="str">
        <f>+IFERROR(VLOOKUP(Fact_Cumplimiento[[#This Row], 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ht="18.75" customHeight="1" x14ac:dyDescent="0.35">
      <c r="C801" s="100" t="str">
        <f>IF(OR(Fact_Cumplimiento[[#This Row], [Año]]="",Fact_Cumplimiento[[#This Row], [Mes]]=""),"",DATE(A801,MATCH(B801,{"enero","febrero","marzo","abril","mayo","junio","julio","agosto","septiembre","octubre","noviembre","diciembre"},0)+1,0))</f>
        <v/>
      </c>
      <c r="E801" t="str">
        <f>+IFERROR(VLOOKUP(Fact_Cumplimiento[[#This Row], [Concepto Anterior]],Conceptos_Cumplimiento[#All],5,0),"")</f>
        <v/>
      </c>
      <c r="F801" t="str">
        <f>+IFERROR(VLOOKUP(Fact_Cumplimiento[[#This Row], 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ht="18.75" customHeight="1" x14ac:dyDescent="0.35">
      <c r="C802" s="100" t="str">
        <f>IF(OR(Fact_Cumplimiento[[#This Row], [Año]]="",Fact_Cumplimiento[[#This Row], [Mes]]=""),"",DATE(A802,MATCH(B802,{"enero","febrero","marzo","abril","mayo","junio","julio","agosto","septiembre","octubre","noviembre","diciembre"},0)+1,0))</f>
        <v/>
      </c>
      <c r="E802" t="str">
        <f>+IFERROR(VLOOKUP(Fact_Cumplimiento[[#This Row], [Concepto Anterior]],Conceptos_Cumplimiento[#All],5,0),"")</f>
        <v/>
      </c>
      <c r="F802" t="str">
        <f>+IFERROR(VLOOKUP(Fact_Cumplimiento[[#This Row], 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ht="18.75" customHeight="1" x14ac:dyDescent="0.35">
      <c r="C803" s="100" t="str">
        <f>IF(OR(Fact_Cumplimiento[[#This Row], [Año]]="",Fact_Cumplimiento[[#This Row], [Mes]]=""),"",DATE(A803,MATCH(B803,{"enero","febrero","marzo","abril","mayo","junio","julio","agosto","septiembre","octubre","noviembre","diciembre"},0)+1,0))</f>
        <v/>
      </c>
      <c r="E803" t="str">
        <f>+IFERROR(VLOOKUP(Fact_Cumplimiento[[#This Row], [Concepto Anterior]],Conceptos_Cumplimiento[#All],5,0),"")</f>
        <v/>
      </c>
      <c r="F803" t="str">
        <f>+IFERROR(VLOOKUP(Fact_Cumplimiento[[#This Row], 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ht="18.75" customHeight="1" x14ac:dyDescent="0.35">
      <c r="C804" s="100" t="str">
        <f>IF(OR(Fact_Cumplimiento[[#This Row], [Año]]="",Fact_Cumplimiento[[#This Row], [Mes]]=""),"",DATE(A804,MATCH(B804,{"enero","febrero","marzo","abril","mayo","junio","julio","agosto","septiembre","octubre","noviembre","diciembre"},0)+1,0))</f>
        <v/>
      </c>
      <c r="E804" t="str">
        <f>+IFERROR(VLOOKUP(Fact_Cumplimiento[[#This Row], [Concepto Anterior]],Conceptos_Cumplimiento[#All],5,0),"")</f>
        <v/>
      </c>
      <c r="F804" t="str">
        <f>+IFERROR(VLOOKUP(Fact_Cumplimiento[[#This Row], 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ht="18.75" customHeight="1" x14ac:dyDescent="0.35">
      <c r="C805" s="100" t="str">
        <f>IF(OR(Fact_Cumplimiento[[#This Row], [Año]]="",Fact_Cumplimiento[[#This Row], [Mes]]=""),"",DATE(A805,MATCH(B805,{"enero","febrero","marzo","abril","mayo","junio","julio","agosto","septiembre","octubre","noviembre","diciembre"},0)+1,0))</f>
        <v/>
      </c>
      <c r="E805" t="str">
        <f>+IFERROR(VLOOKUP(Fact_Cumplimiento[[#This Row], [Concepto Anterior]],Conceptos_Cumplimiento[#All],5,0),"")</f>
        <v/>
      </c>
      <c r="F805" t="str">
        <f>+IFERROR(VLOOKUP(Fact_Cumplimiento[[#This Row], 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ht="18.75" customHeight="1" x14ac:dyDescent="0.35">
      <c r="C806" s="100" t="str">
        <f>IF(OR(Fact_Cumplimiento[[#This Row], [Año]]="",Fact_Cumplimiento[[#This Row], [Mes]]=""),"",DATE(A806,MATCH(B806,{"enero","febrero","marzo","abril","mayo","junio","julio","agosto","septiembre","octubre","noviembre","diciembre"},0)+1,0))</f>
        <v/>
      </c>
      <c r="E806" t="str">
        <f>+IFERROR(VLOOKUP(Fact_Cumplimiento[[#This Row], [Concepto Anterior]],Conceptos_Cumplimiento[#All],5,0),"")</f>
        <v/>
      </c>
      <c r="F806" t="str">
        <f>+IFERROR(VLOOKUP(Fact_Cumplimiento[[#This Row], 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ht="18.75" customHeight="1" x14ac:dyDescent="0.35">
      <c r="C807" s="100" t="str">
        <f>IF(OR(Fact_Cumplimiento[[#This Row], [Año]]="",Fact_Cumplimiento[[#This Row], [Mes]]=""),"",DATE(A807,MATCH(B807,{"enero","febrero","marzo","abril","mayo","junio","julio","agosto","septiembre","octubre","noviembre","diciembre"},0)+1,0))</f>
        <v/>
      </c>
      <c r="E807" t="str">
        <f>+IFERROR(VLOOKUP(Fact_Cumplimiento[[#This Row], [Concepto Anterior]],Conceptos_Cumplimiento[#All],5,0),"")</f>
        <v/>
      </c>
      <c r="F807" t="str">
        <f>+IFERROR(VLOOKUP(Fact_Cumplimiento[[#This Row], 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ht="18.75" customHeight="1" x14ac:dyDescent="0.35">
      <c r="C808" s="100" t="str">
        <f>IF(OR(Fact_Cumplimiento[[#This Row], [Año]]="",Fact_Cumplimiento[[#This Row], [Mes]]=""),"",DATE(A808,MATCH(B808,{"enero","febrero","marzo","abril","mayo","junio","julio","agosto","septiembre","octubre","noviembre","diciembre"},0)+1,0))</f>
        <v/>
      </c>
      <c r="E808" t="str">
        <f>+IFERROR(VLOOKUP(Fact_Cumplimiento[[#This Row], [Concepto Anterior]],Conceptos_Cumplimiento[#All],5,0),"")</f>
        <v/>
      </c>
      <c r="F808" t="str">
        <f>+IFERROR(VLOOKUP(Fact_Cumplimiento[[#This Row], 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ht="18.75" customHeight="1" x14ac:dyDescent="0.35">
      <c r="C809" s="100" t="str">
        <f>IF(OR(Fact_Cumplimiento[[#This Row], [Año]]="",Fact_Cumplimiento[[#This Row], [Mes]]=""),"",DATE(A809,MATCH(B809,{"enero","febrero","marzo","abril","mayo","junio","julio","agosto","septiembre","octubre","noviembre","diciembre"},0)+1,0))</f>
        <v/>
      </c>
      <c r="E809" t="str">
        <f>+IFERROR(VLOOKUP(Fact_Cumplimiento[[#This Row], [Concepto Anterior]],Conceptos_Cumplimiento[#All],5,0),"")</f>
        <v/>
      </c>
      <c r="F809" t="str">
        <f>+IFERROR(VLOOKUP(Fact_Cumplimiento[[#This Row], 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ht="18.75" customHeight="1" x14ac:dyDescent="0.35">
      <c r="C810" s="100" t="str">
        <f>IF(OR(Fact_Cumplimiento[[#This Row], [Año]]="",Fact_Cumplimiento[[#This Row], [Mes]]=""),"",DATE(A810,MATCH(B810,{"enero","febrero","marzo","abril","mayo","junio","julio","agosto","septiembre","octubre","noviembre","diciembre"},0)+1,0))</f>
        <v/>
      </c>
      <c r="E810" t="str">
        <f>+IFERROR(VLOOKUP(Fact_Cumplimiento[[#This Row], [Concepto Anterior]],Conceptos_Cumplimiento[#All],5,0),"")</f>
        <v/>
      </c>
      <c r="F810" t="str">
        <f>+IFERROR(VLOOKUP(Fact_Cumplimiento[[#This Row], 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ht="18.75" customHeight="1" x14ac:dyDescent="0.35">
      <c r="C811" s="100" t="str">
        <f>IF(OR(Fact_Cumplimiento[[#This Row], [Año]]="",Fact_Cumplimiento[[#This Row], [Mes]]=""),"",DATE(A811,MATCH(B811,{"enero","febrero","marzo","abril","mayo","junio","julio","agosto","septiembre","octubre","noviembre","diciembre"},0)+1,0))</f>
        <v/>
      </c>
      <c r="E811" t="str">
        <f>+IFERROR(VLOOKUP(Fact_Cumplimiento[[#This Row], [Concepto Anterior]],Conceptos_Cumplimiento[#All],5,0),"")</f>
        <v/>
      </c>
      <c r="F811" t="str">
        <f>+IFERROR(VLOOKUP(Fact_Cumplimiento[[#This Row], 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ht="18.75" customHeight="1" x14ac:dyDescent="0.35">
      <c r="C812" s="100" t="str">
        <f>IF(OR(Fact_Cumplimiento[[#This Row], [Año]]="",Fact_Cumplimiento[[#This Row], [Mes]]=""),"",DATE(A812,MATCH(B812,{"enero","febrero","marzo","abril","mayo","junio","julio","agosto","septiembre","octubre","noviembre","diciembre"},0)+1,0))</f>
        <v/>
      </c>
      <c r="E812" t="str">
        <f>+IFERROR(VLOOKUP(Fact_Cumplimiento[[#This Row], [Concepto Anterior]],Conceptos_Cumplimiento[#All],5,0),"")</f>
        <v/>
      </c>
      <c r="F812" t="str">
        <f>+IFERROR(VLOOKUP(Fact_Cumplimiento[[#This Row], 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ht="18.75" customHeight="1" x14ac:dyDescent="0.35">
      <c r="C813" s="100" t="str">
        <f>IF(OR(Fact_Cumplimiento[[#This Row], [Año]]="",Fact_Cumplimiento[[#This Row], [Mes]]=""),"",DATE(A813,MATCH(B813,{"enero","febrero","marzo","abril","mayo","junio","julio","agosto","septiembre","octubre","noviembre","diciembre"},0)+1,0))</f>
        <v/>
      </c>
      <c r="E813" t="str">
        <f>+IFERROR(VLOOKUP(Fact_Cumplimiento[[#This Row], [Concepto Anterior]],Conceptos_Cumplimiento[#All],5,0),"")</f>
        <v/>
      </c>
      <c r="F813" t="str">
        <f>+IFERROR(VLOOKUP(Fact_Cumplimiento[[#This Row], 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ht="18.75" customHeight="1" x14ac:dyDescent="0.35">
      <c r="C814" s="100" t="str">
        <f>IF(OR(Fact_Cumplimiento[[#This Row], [Año]]="",Fact_Cumplimiento[[#This Row], [Mes]]=""),"",DATE(A814,MATCH(B814,{"enero","febrero","marzo","abril","mayo","junio","julio","agosto","septiembre","octubre","noviembre","diciembre"},0)+1,0))</f>
        <v/>
      </c>
      <c r="E814" t="str">
        <f>+IFERROR(VLOOKUP(Fact_Cumplimiento[[#This Row], [Concepto Anterior]],Conceptos_Cumplimiento[#All],5,0),"")</f>
        <v/>
      </c>
      <c r="F814" t="str">
        <f>+IFERROR(VLOOKUP(Fact_Cumplimiento[[#This Row], 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ht="18.75" customHeight="1" x14ac:dyDescent="0.35">
      <c r="C815" s="100" t="str">
        <f>IF(OR(Fact_Cumplimiento[[#This Row], [Año]]="",Fact_Cumplimiento[[#This Row], [Mes]]=""),"",DATE(A815,MATCH(B815,{"enero","febrero","marzo","abril","mayo","junio","julio","agosto","septiembre","octubre","noviembre","diciembre"},0)+1,0))</f>
        <v/>
      </c>
      <c r="E815" t="str">
        <f>+IFERROR(VLOOKUP(Fact_Cumplimiento[[#This Row], [Concepto Anterior]],Conceptos_Cumplimiento[#All],5,0),"")</f>
        <v/>
      </c>
      <c r="F815" t="str">
        <f>+IFERROR(VLOOKUP(Fact_Cumplimiento[[#This Row], 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ht="18.75" customHeight="1" x14ac:dyDescent="0.35">
      <c r="C816" s="100" t="str">
        <f>IF(OR(Fact_Cumplimiento[[#This Row], [Año]]="",Fact_Cumplimiento[[#This Row], [Mes]]=""),"",DATE(A816,MATCH(B816,{"enero","febrero","marzo","abril","mayo","junio","julio","agosto","septiembre","octubre","noviembre","diciembre"},0)+1,0))</f>
        <v/>
      </c>
      <c r="E816" t="str">
        <f>+IFERROR(VLOOKUP(Fact_Cumplimiento[[#This Row], [Concepto Anterior]],Conceptos_Cumplimiento[#All],5,0),"")</f>
        <v/>
      </c>
      <c r="F816" t="str">
        <f>+IFERROR(VLOOKUP(Fact_Cumplimiento[[#This Row], 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ht="18.75" customHeight="1" x14ac:dyDescent="0.35">
      <c r="C817" s="100" t="str">
        <f>IF(OR(Fact_Cumplimiento[[#This Row], [Año]]="",Fact_Cumplimiento[[#This Row], [Mes]]=""),"",DATE(A817,MATCH(B817,{"enero","febrero","marzo","abril","mayo","junio","julio","agosto","septiembre","octubre","noviembre","diciembre"},0)+1,0))</f>
        <v/>
      </c>
      <c r="E817" t="str">
        <f>+IFERROR(VLOOKUP(Fact_Cumplimiento[[#This Row], [Concepto Anterior]],Conceptos_Cumplimiento[#All],5,0),"")</f>
        <v/>
      </c>
      <c r="F817" t="str">
        <f>+IFERROR(VLOOKUP(Fact_Cumplimiento[[#This Row], 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ht="18.75" customHeight="1" x14ac:dyDescent="0.35">
      <c r="C818" s="100" t="str">
        <f>IF(OR(Fact_Cumplimiento[[#This Row], [Año]]="",Fact_Cumplimiento[[#This Row], [Mes]]=""),"",DATE(A818,MATCH(B818,{"enero","febrero","marzo","abril","mayo","junio","julio","agosto","septiembre","octubre","noviembre","diciembre"},0)+1,0))</f>
        <v/>
      </c>
      <c r="E818" t="str">
        <f>+IFERROR(VLOOKUP(Fact_Cumplimiento[[#This Row], [Concepto Anterior]],Conceptos_Cumplimiento[#All],5,0),"")</f>
        <v/>
      </c>
      <c r="F818" t="str">
        <f>+IFERROR(VLOOKUP(Fact_Cumplimiento[[#This Row], 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ht="18.75" customHeight="1" x14ac:dyDescent="0.35">
      <c r="C819" s="100" t="str">
        <f>IF(OR(Fact_Cumplimiento[[#This Row], [Año]]="",Fact_Cumplimiento[[#This Row], [Mes]]=""),"",DATE(A819,MATCH(B819,{"enero","febrero","marzo","abril","mayo","junio","julio","agosto","septiembre","octubre","noviembre","diciembre"},0)+1,0))</f>
        <v/>
      </c>
      <c r="E819" t="str">
        <f>+IFERROR(VLOOKUP(Fact_Cumplimiento[[#This Row], [Concepto Anterior]],Conceptos_Cumplimiento[#All],5,0),"")</f>
        <v/>
      </c>
      <c r="F819" t="str">
        <f>+IFERROR(VLOOKUP(Fact_Cumplimiento[[#This Row], 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ht="18.75" customHeight="1" x14ac:dyDescent="0.35">
      <c r="C820" s="100" t="str">
        <f>IF(OR(Fact_Cumplimiento[[#This Row], [Año]]="",Fact_Cumplimiento[[#This Row], [Mes]]=""),"",DATE(A820,MATCH(B820,{"enero","febrero","marzo","abril","mayo","junio","julio","agosto","septiembre","octubre","noviembre","diciembre"},0)+1,0))</f>
        <v/>
      </c>
      <c r="E820" t="str">
        <f>+IFERROR(VLOOKUP(Fact_Cumplimiento[[#This Row], [Concepto Anterior]],Conceptos_Cumplimiento[#All],5,0),"")</f>
        <v/>
      </c>
      <c r="F820" t="str">
        <f>+IFERROR(VLOOKUP(Fact_Cumplimiento[[#This Row], 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ht="18.75" customHeight="1" x14ac:dyDescent="0.35">
      <c r="C821" s="100" t="str">
        <f>IF(OR(Fact_Cumplimiento[[#This Row], [Año]]="",Fact_Cumplimiento[[#This Row], [Mes]]=""),"",DATE(A821,MATCH(B821,{"enero","febrero","marzo","abril","mayo","junio","julio","agosto","septiembre","octubre","noviembre","diciembre"},0)+1,0))</f>
        <v/>
      </c>
      <c r="E821" t="str">
        <f>+IFERROR(VLOOKUP(Fact_Cumplimiento[[#This Row], [Concepto Anterior]],Conceptos_Cumplimiento[#All],5,0),"")</f>
        <v/>
      </c>
      <c r="F821" t="str">
        <f>+IFERROR(VLOOKUP(Fact_Cumplimiento[[#This Row], 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ht="18.75" customHeight="1" x14ac:dyDescent="0.35">
      <c r="C822" s="100" t="str">
        <f>IF(OR(Fact_Cumplimiento[[#This Row], [Año]]="",Fact_Cumplimiento[[#This Row], [Mes]]=""),"",DATE(A822,MATCH(B822,{"enero","febrero","marzo","abril","mayo","junio","julio","agosto","septiembre","octubre","noviembre","diciembre"},0)+1,0))</f>
        <v/>
      </c>
      <c r="E822" t="str">
        <f>+IFERROR(VLOOKUP(Fact_Cumplimiento[[#This Row], [Concepto Anterior]],Conceptos_Cumplimiento[#All],5,0),"")</f>
        <v/>
      </c>
      <c r="F822" t="str">
        <f>+IFERROR(VLOOKUP(Fact_Cumplimiento[[#This Row], 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ht="18.75" customHeight="1" x14ac:dyDescent="0.35">
      <c r="C823" s="100" t="str">
        <f>IF(OR(Fact_Cumplimiento[[#This Row], [Año]]="",Fact_Cumplimiento[[#This Row], [Mes]]=""),"",DATE(A823,MATCH(B823,{"enero","febrero","marzo","abril","mayo","junio","julio","agosto","septiembre","octubre","noviembre","diciembre"},0)+1,0))</f>
        <v/>
      </c>
      <c r="E823" t="str">
        <f>+IFERROR(VLOOKUP(Fact_Cumplimiento[[#This Row], [Concepto Anterior]],Conceptos_Cumplimiento[#All],5,0),"")</f>
        <v/>
      </c>
      <c r="F823" t="str">
        <f>+IFERROR(VLOOKUP(Fact_Cumplimiento[[#This Row], 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ht="18.75" customHeight="1" x14ac:dyDescent="0.35">
      <c r="C824" s="100" t="str">
        <f>IF(OR(Fact_Cumplimiento[[#This Row], [Año]]="",Fact_Cumplimiento[[#This Row], [Mes]]=""),"",DATE(A824,MATCH(B824,{"enero","febrero","marzo","abril","mayo","junio","julio","agosto","septiembre","octubre","noviembre","diciembre"},0)+1,0))</f>
        <v/>
      </c>
      <c r="E824" t="str">
        <f>+IFERROR(VLOOKUP(Fact_Cumplimiento[[#This Row], [Concepto Anterior]],Conceptos_Cumplimiento[#All],5,0),"")</f>
        <v/>
      </c>
      <c r="F824" t="str">
        <f>+IFERROR(VLOOKUP(Fact_Cumplimiento[[#This Row], 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ht="18.75" customHeight="1" x14ac:dyDescent="0.35">
      <c r="C825" s="100" t="str">
        <f>IF(OR(Fact_Cumplimiento[[#This Row], [Año]]="",Fact_Cumplimiento[[#This Row], [Mes]]=""),"",DATE(A825,MATCH(B825,{"enero","febrero","marzo","abril","mayo","junio","julio","agosto","septiembre","octubre","noviembre","diciembre"},0)+1,0))</f>
        <v/>
      </c>
      <c r="E825" t="str">
        <f>+IFERROR(VLOOKUP(Fact_Cumplimiento[[#This Row], [Concepto Anterior]],Conceptos_Cumplimiento[#All],5,0),"")</f>
        <v/>
      </c>
      <c r="F825" t="str">
        <f>+IFERROR(VLOOKUP(Fact_Cumplimiento[[#This Row], 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ht="18.75" customHeight="1" x14ac:dyDescent="0.35">
      <c r="C826" s="100" t="str">
        <f>IF(OR(Fact_Cumplimiento[[#This Row], [Año]]="",Fact_Cumplimiento[[#This Row], [Mes]]=""),"",DATE(A826,MATCH(B826,{"enero","febrero","marzo","abril","mayo","junio","julio","agosto","septiembre","octubre","noviembre","diciembre"},0)+1,0))</f>
        <v/>
      </c>
      <c r="E826" t="str">
        <f>+IFERROR(VLOOKUP(Fact_Cumplimiento[[#This Row], [Concepto Anterior]],Conceptos_Cumplimiento[#All],5,0),"")</f>
        <v/>
      </c>
      <c r="F826" t="str">
        <f>+IFERROR(VLOOKUP(Fact_Cumplimiento[[#This Row], 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ht="18.75" customHeight="1" x14ac:dyDescent="0.35">
      <c r="C827" s="100" t="str">
        <f>IF(OR(Fact_Cumplimiento[[#This Row], [Año]]="",Fact_Cumplimiento[[#This Row], [Mes]]=""),"",DATE(A827,MATCH(B827,{"enero","febrero","marzo","abril","mayo","junio","julio","agosto","septiembre","octubre","noviembre","diciembre"},0)+1,0))</f>
        <v/>
      </c>
      <c r="E827" t="str">
        <f>+IFERROR(VLOOKUP(Fact_Cumplimiento[[#This Row], [Concepto Anterior]],Conceptos_Cumplimiento[#All],5,0),"")</f>
        <v/>
      </c>
      <c r="F827" t="str">
        <f>+IFERROR(VLOOKUP(Fact_Cumplimiento[[#This Row], 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ht="18.75" customHeight="1" x14ac:dyDescent="0.35">
      <c r="C828" s="100" t="str">
        <f>IF(OR(Fact_Cumplimiento[[#This Row], [Año]]="",Fact_Cumplimiento[[#This Row], [Mes]]=""),"",DATE(A828,MATCH(B828,{"enero","febrero","marzo","abril","mayo","junio","julio","agosto","septiembre","octubre","noviembre","diciembre"},0)+1,0))</f>
        <v/>
      </c>
      <c r="E828" t="str">
        <f>+IFERROR(VLOOKUP(Fact_Cumplimiento[[#This Row], [Concepto Anterior]],Conceptos_Cumplimiento[#All],5,0),"")</f>
        <v/>
      </c>
      <c r="F828" t="str">
        <f>+IFERROR(VLOOKUP(Fact_Cumplimiento[[#This Row], 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ht="18.75" customHeight="1" x14ac:dyDescent="0.35">
      <c r="C829" s="100" t="str">
        <f>IF(OR(Fact_Cumplimiento[[#This Row], [Año]]="",Fact_Cumplimiento[[#This Row], [Mes]]=""),"",DATE(A829,MATCH(B829,{"enero","febrero","marzo","abril","mayo","junio","julio","agosto","septiembre","octubre","noviembre","diciembre"},0)+1,0))</f>
        <v/>
      </c>
      <c r="E829" t="str">
        <f>+IFERROR(VLOOKUP(Fact_Cumplimiento[[#This Row], [Concepto Anterior]],Conceptos_Cumplimiento[#All],5,0),"")</f>
        <v/>
      </c>
      <c r="F829" t="str">
        <f>+IFERROR(VLOOKUP(Fact_Cumplimiento[[#This Row], 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ht="18.75" customHeight="1" x14ac:dyDescent="0.35">
      <c r="C830" s="100" t="str">
        <f>IF(OR(Fact_Cumplimiento[[#This Row], [Año]]="",Fact_Cumplimiento[[#This Row], [Mes]]=""),"",DATE(A830,MATCH(B830,{"enero","febrero","marzo","abril","mayo","junio","julio","agosto","septiembre","octubre","noviembre","diciembre"},0)+1,0))</f>
        <v/>
      </c>
      <c r="E830" t="str">
        <f>+IFERROR(VLOOKUP(Fact_Cumplimiento[[#This Row], [Concepto Anterior]],Conceptos_Cumplimiento[#All],5,0),"")</f>
        <v/>
      </c>
      <c r="F830" t="str">
        <f>+IFERROR(VLOOKUP(Fact_Cumplimiento[[#This Row], 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ht="18.75" customHeight="1" x14ac:dyDescent="0.35">
      <c r="C831" s="100" t="str">
        <f>IF(OR(Fact_Cumplimiento[[#This Row], [Año]]="",Fact_Cumplimiento[[#This Row], [Mes]]=""),"",DATE(A831,MATCH(B831,{"enero","febrero","marzo","abril","mayo","junio","julio","agosto","septiembre","octubre","noviembre","diciembre"},0)+1,0))</f>
        <v/>
      </c>
      <c r="E831" t="str">
        <f>+IFERROR(VLOOKUP(Fact_Cumplimiento[[#This Row], [Concepto Anterior]],Conceptos_Cumplimiento[#All],5,0),"")</f>
        <v/>
      </c>
      <c r="F831" t="str">
        <f>+IFERROR(VLOOKUP(Fact_Cumplimiento[[#This Row], 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ht="18.75" customHeight="1" x14ac:dyDescent="0.35">
      <c r="C832" s="100" t="str">
        <f>IF(OR(Fact_Cumplimiento[[#This Row], [Año]]="",Fact_Cumplimiento[[#This Row], [Mes]]=""),"",DATE(A832,MATCH(B832,{"enero","febrero","marzo","abril","mayo","junio","julio","agosto","septiembre","octubre","noviembre","diciembre"},0)+1,0))</f>
        <v/>
      </c>
      <c r="E832" t="str">
        <f>+IFERROR(VLOOKUP(Fact_Cumplimiento[[#This Row], [Concepto Anterior]],Conceptos_Cumplimiento[#All],5,0),"")</f>
        <v/>
      </c>
      <c r="F832" t="str">
        <f>+IFERROR(VLOOKUP(Fact_Cumplimiento[[#This Row], 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ht="18.75" customHeight="1" x14ac:dyDescent="0.35">
      <c r="C833" s="100" t="str">
        <f>IF(OR(Fact_Cumplimiento[[#This Row], [Año]]="",Fact_Cumplimiento[[#This Row], [Mes]]=""),"",DATE(A833,MATCH(B833,{"enero","febrero","marzo","abril","mayo","junio","julio","agosto","septiembre","octubre","noviembre","diciembre"},0)+1,0))</f>
        <v/>
      </c>
      <c r="E833" t="str">
        <f>+IFERROR(VLOOKUP(Fact_Cumplimiento[[#This Row], [Concepto Anterior]],Conceptos_Cumplimiento[#All],5,0),"")</f>
        <v/>
      </c>
      <c r="F833" t="str">
        <f>+IFERROR(VLOOKUP(Fact_Cumplimiento[[#This Row], 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ht="18.75" customHeight="1" x14ac:dyDescent="0.35">
      <c r="C834" s="100" t="str">
        <f>IF(OR(Fact_Cumplimiento[[#This Row], [Año]]="",Fact_Cumplimiento[[#This Row], [Mes]]=""),"",DATE(A834,MATCH(B834,{"enero","febrero","marzo","abril","mayo","junio","julio","agosto","septiembre","octubre","noviembre","diciembre"},0)+1,0))</f>
        <v/>
      </c>
      <c r="E834" t="str">
        <f>+IFERROR(VLOOKUP(Fact_Cumplimiento[[#This Row], [Concepto Anterior]],Conceptos_Cumplimiento[#All],5,0),"")</f>
        <v/>
      </c>
      <c r="F834" t="str">
        <f>+IFERROR(VLOOKUP(Fact_Cumplimiento[[#This Row], 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ht="18.75" customHeight="1" x14ac:dyDescent="0.35">
      <c r="C835" s="100" t="str">
        <f>IF(OR(Fact_Cumplimiento[[#This Row], [Año]]="",Fact_Cumplimiento[[#This Row], [Mes]]=""),"",DATE(A835,MATCH(B835,{"enero","febrero","marzo","abril","mayo","junio","julio","agosto","septiembre","octubre","noviembre","diciembre"},0)+1,0))</f>
        <v/>
      </c>
      <c r="E835" t="str">
        <f>+IFERROR(VLOOKUP(Fact_Cumplimiento[[#This Row], [Concepto Anterior]],Conceptos_Cumplimiento[#All],5,0),"")</f>
        <v/>
      </c>
      <c r="F835" t="str">
        <f>+IFERROR(VLOOKUP(Fact_Cumplimiento[[#This Row], 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ht="18.75" customHeight="1" x14ac:dyDescent="0.35">
      <c r="C836" s="100" t="str">
        <f>IF(OR(Fact_Cumplimiento[[#This Row], [Año]]="",Fact_Cumplimiento[[#This Row], [Mes]]=""),"",DATE(A836,MATCH(B836,{"enero","febrero","marzo","abril","mayo","junio","julio","agosto","septiembre","octubre","noviembre","diciembre"},0)+1,0))</f>
        <v/>
      </c>
      <c r="E836" t="str">
        <f>+IFERROR(VLOOKUP(Fact_Cumplimiento[[#This Row], [Concepto Anterior]],Conceptos_Cumplimiento[#All],5,0),"")</f>
        <v/>
      </c>
      <c r="F836" t="str">
        <f>+IFERROR(VLOOKUP(Fact_Cumplimiento[[#This Row], 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ht="18.75" customHeight="1" x14ac:dyDescent="0.35">
      <c r="C837" s="100" t="str">
        <f>IF(OR(Fact_Cumplimiento[[#This Row], [Año]]="",Fact_Cumplimiento[[#This Row], [Mes]]=""),"",DATE(A837,MATCH(B837,{"enero","febrero","marzo","abril","mayo","junio","julio","agosto","septiembre","octubre","noviembre","diciembre"},0)+1,0))</f>
        <v/>
      </c>
      <c r="E837" t="str">
        <f>+IFERROR(VLOOKUP(Fact_Cumplimiento[[#This Row], [Concepto Anterior]],Conceptos_Cumplimiento[#All],5,0),"")</f>
        <v/>
      </c>
      <c r="F837" t="str">
        <f>+IFERROR(VLOOKUP(Fact_Cumplimiento[[#This Row], 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ht="18.75" customHeight="1" x14ac:dyDescent="0.35">
      <c r="C838" s="100" t="str">
        <f>IF(OR(Fact_Cumplimiento[[#This Row], [Año]]="",Fact_Cumplimiento[[#This Row], [Mes]]=""),"",DATE(A838,MATCH(B838,{"enero","febrero","marzo","abril","mayo","junio","julio","agosto","septiembre","octubre","noviembre","diciembre"},0)+1,0))</f>
        <v/>
      </c>
      <c r="E838" t="str">
        <f>+IFERROR(VLOOKUP(Fact_Cumplimiento[[#This Row], [Concepto Anterior]],Conceptos_Cumplimiento[#All],5,0),"")</f>
        <v/>
      </c>
      <c r="F838" t="str">
        <f>+IFERROR(VLOOKUP(Fact_Cumplimiento[[#This Row], 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ht="18.75" customHeight="1" x14ac:dyDescent="0.35">
      <c r="C839" s="100" t="str">
        <f>IF(OR(Fact_Cumplimiento[[#This Row], [Año]]="",Fact_Cumplimiento[[#This Row], [Mes]]=""),"",DATE(A839,MATCH(B839,{"enero","febrero","marzo","abril","mayo","junio","julio","agosto","septiembre","octubre","noviembre","diciembre"},0)+1,0))</f>
        <v/>
      </c>
      <c r="E839" t="str">
        <f>+IFERROR(VLOOKUP(Fact_Cumplimiento[[#This Row], [Concepto Anterior]],Conceptos_Cumplimiento[#All],5,0),"")</f>
        <v/>
      </c>
      <c r="F839" t="str">
        <f>+IFERROR(VLOOKUP(Fact_Cumplimiento[[#This Row], 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ht="18.75" customHeight="1" x14ac:dyDescent="0.35">
      <c r="C840" s="100" t="str">
        <f>IF(OR(Fact_Cumplimiento[[#This Row], [Año]]="",Fact_Cumplimiento[[#This Row], [Mes]]=""),"",DATE(A840,MATCH(B840,{"enero","febrero","marzo","abril","mayo","junio","julio","agosto","septiembre","octubre","noviembre","diciembre"},0)+1,0))</f>
        <v/>
      </c>
      <c r="E840" t="str">
        <f>+IFERROR(VLOOKUP(Fact_Cumplimiento[[#This Row], [Concepto Anterior]],Conceptos_Cumplimiento[#All],5,0),"")</f>
        <v/>
      </c>
      <c r="F840" t="str">
        <f>+IFERROR(VLOOKUP(Fact_Cumplimiento[[#This Row], 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ht="18.75" customHeight="1" x14ac:dyDescent="0.35">
      <c r="C841" s="100" t="str">
        <f>IF(OR(Fact_Cumplimiento[[#This Row], [Año]]="",Fact_Cumplimiento[[#This Row], [Mes]]=""),"",DATE(A841,MATCH(B841,{"enero","febrero","marzo","abril","mayo","junio","julio","agosto","septiembre","octubre","noviembre","diciembre"},0)+1,0))</f>
        <v/>
      </c>
      <c r="E841" t="str">
        <f>+IFERROR(VLOOKUP(Fact_Cumplimiento[[#This Row], [Concepto Anterior]],Conceptos_Cumplimiento[#All],5,0),"")</f>
        <v/>
      </c>
      <c r="F841" t="str">
        <f>+IFERROR(VLOOKUP(Fact_Cumplimiento[[#This Row], 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ht="18.75" customHeight="1" x14ac:dyDescent="0.35">
      <c r="C842" s="100" t="str">
        <f>IF(OR(Fact_Cumplimiento[[#This Row], [Año]]="",Fact_Cumplimiento[[#This Row], [Mes]]=""),"",DATE(A842,MATCH(B842,{"enero","febrero","marzo","abril","mayo","junio","julio","agosto","septiembre","octubre","noviembre","diciembre"},0)+1,0))</f>
        <v/>
      </c>
      <c r="E842" t="str">
        <f>+IFERROR(VLOOKUP(Fact_Cumplimiento[[#This Row], [Concepto Anterior]],Conceptos_Cumplimiento[#All],5,0),"")</f>
        <v/>
      </c>
      <c r="F842" t="str">
        <f>+IFERROR(VLOOKUP(Fact_Cumplimiento[[#This Row], 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ht="18.75" customHeight="1" x14ac:dyDescent="0.35">
      <c r="C843" s="100" t="str">
        <f>IF(OR(Fact_Cumplimiento[[#This Row], [Año]]="",Fact_Cumplimiento[[#This Row], [Mes]]=""),"",DATE(A843,MATCH(B843,{"enero","febrero","marzo","abril","mayo","junio","julio","agosto","septiembre","octubre","noviembre","diciembre"},0)+1,0))</f>
        <v/>
      </c>
      <c r="E843" t="str">
        <f>+IFERROR(VLOOKUP(Fact_Cumplimiento[[#This Row], [Concepto Anterior]],Conceptos_Cumplimiento[#All],5,0),"")</f>
        <v/>
      </c>
      <c r="F843" t="str">
        <f>+IFERROR(VLOOKUP(Fact_Cumplimiento[[#This Row], 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ht="18.75" customHeight="1" x14ac:dyDescent="0.35">
      <c r="C844" s="100" t="str">
        <f>IF(OR(Fact_Cumplimiento[[#This Row], [Año]]="",Fact_Cumplimiento[[#This Row], [Mes]]=""),"",DATE(A844,MATCH(B844,{"enero","febrero","marzo","abril","mayo","junio","julio","agosto","septiembre","octubre","noviembre","diciembre"},0)+1,0))</f>
        <v/>
      </c>
      <c r="E844" t="str">
        <f>+IFERROR(VLOOKUP(Fact_Cumplimiento[[#This Row], [Concepto Anterior]],Conceptos_Cumplimiento[#All],5,0),"")</f>
        <v/>
      </c>
      <c r="F844" t="str">
        <f>+IFERROR(VLOOKUP(Fact_Cumplimiento[[#This Row], 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ht="18.75" customHeight="1" x14ac:dyDescent="0.35">
      <c r="C845" s="100" t="str">
        <f>IF(OR(Fact_Cumplimiento[[#This Row], [Año]]="",Fact_Cumplimiento[[#This Row], [Mes]]=""),"",DATE(A845,MATCH(B845,{"enero","febrero","marzo","abril","mayo","junio","julio","agosto","septiembre","octubre","noviembre","diciembre"},0)+1,0))</f>
        <v/>
      </c>
      <c r="E845" t="str">
        <f>+IFERROR(VLOOKUP(Fact_Cumplimiento[[#This Row], [Concepto Anterior]],Conceptos_Cumplimiento[#All],5,0),"")</f>
        <v/>
      </c>
      <c r="F845" t="str">
        <f>+IFERROR(VLOOKUP(Fact_Cumplimiento[[#This Row], 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ht="18.75" customHeight="1" x14ac:dyDescent="0.35">
      <c r="C846" s="100" t="str">
        <f>IF(OR(Fact_Cumplimiento[[#This Row], [Año]]="",Fact_Cumplimiento[[#This Row], [Mes]]=""),"",DATE(A846,MATCH(B846,{"enero","febrero","marzo","abril","mayo","junio","julio","agosto","septiembre","octubre","noviembre","diciembre"},0)+1,0))</f>
        <v/>
      </c>
      <c r="E846" t="str">
        <f>+IFERROR(VLOOKUP(Fact_Cumplimiento[[#This Row], [Concepto Anterior]],Conceptos_Cumplimiento[#All],5,0),"")</f>
        <v/>
      </c>
      <c r="F846" t="str">
        <f>+IFERROR(VLOOKUP(Fact_Cumplimiento[[#This Row], 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ht="18.75" customHeight="1" x14ac:dyDescent="0.35">
      <c r="C847" s="100" t="str">
        <f>IF(OR(Fact_Cumplimiento[[#This Row], [Año]]="",Fact_Cumplimiento[[#This Row], [Mes]]=""),"",DATE(A847,MATCH(B847,{"enero","febrero","marzo","abril","mayo","junio","julio","agosto","septiembre","octubre","noviembre","diciembre"},0)+1,0))</f>
        <v/>
      </c>
      <c r="E847" t="str">
        <f>+IFERROR(VLOOKUP(Fact_Cumplimiento[[#This Row], [Concepto Anterior]],Conceptos_Cumplimiento[#All],5,0),"")</f>
        <v/>
      </c>
      <c r="F847" t="str">
        <f>+IFERROR(VLOOKUP(Fact_Cumplimiento[[#This Row], 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ht="18.75" customHeight="1" x14ac:dyDescent="0.35">
      <c r="C848" s="100" t="str">
        <f>IF(OR(Fact_Cumplimiento[[#This Row], [Año]]="",Fact_Cumplimiento[[#This Row], [Mes]]=""),"",DATE(A848,MATCH(B848,{"enero","febrero","marzo","abril","mayo","junio","julio","agosto","septiembre","octubre","noviembre","diciembre"},0)+1,0))</f>
        <v/>
      </c>
      <c r="E848" t="str">
        <f>+IFERROR(VLOOKUP(Fact_Cumplimiento[[#This Row], [Concepto Anterior]],Conceptos_Cumplimiento[#All],5,0),"")</f>
        <v/>
      </c>
      <c r="F848" t="str">
        <f>+IFERROR(VLOOKUP(Fact_Cumplimiento[[#This Row], 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ht="18.75" customHeight="1" x14ac:dyDescent="0.35">
      <c r="C849" s="100" t="str">
        <f>IF(OR(Fact_Cumplimiento[[#This Row], [Año]]="",Fact_Cumplimiento[[#This Row], [Mes]]=""),"",DATE(A849,MATCH(B849,{"enero","febrero","marzo","abril","mayo","junio","julio","agosto","septiembre","octubre","noviembre","diciembre"},0)+1,0))</f>
        <v/>
      </c>
      <c r="E849" t="str">
        <f>+IFERROR(VLOOKUP(Fact_Cumplimiento[[#This Row], [Concepto Anterior]],Conceptos_Cumplimiento[#All],5,0),"")</f>
        <v/>
      </c>
      <c r="F849" t="str">
        <f>+IFERROR(VLOOKUP(Fact_Cumplimiento[[#This Row], 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ht="18.75" customHeight="1" x14ac:dyDescent="0.35">
      <c r="C850" s="100" t="str">
        <f>IF(OR(Fact_Cumplimiento[[#This Row], [Año]]="",Fact_Cumplimiento[[#This Row], [Mes]]=""),"",DATE(A850,MATCH(B850,{"enero","febrero","marzo","abril","mayo","junio","julio","agosto","septiembre","octubre","noviembre","diciembre"},0)+1,0))</f>
        <v/>
      </c>
      <c r="E850" t="str">
        <f>+IFERROR(VLOOKUP(Fact_Cumplimiento[[#This Row], [Concepto Anterior]],Conceptos_Cumplimiento[#All],5,0),"")</f>
        <v/>
      </c>
      <c r="F850" t="str">
        <f>+IFERROR(VLOOKUP(Fact_Cumplimiento[[#This Row], 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ht="18.75" customHeight="1" x14ac:dyDescent="0.35">
      <c r="C851" s="100" t="str">
        <f>IF(OR(Fact_Cumplimiento[[#This Row], [Año]]="",Fact_Cumplimiento[[#This Row], [Mes]]=""),"",DATE(A851,MATCH(B851,{"enero","febrero","marzo","abril","mayo","junio","julio","agosto","septiembre","octubre","noviembre","diciembre"},0)+1,0))</f>
        <v/>
      </c>
      <c r="E851" t="str">
        <f>+IFERROR(VLOOKUP(Fact_Cumplimiento[[#This Row], [Concepto Anterior]],Conceptos_Cumplimiento[#All],5,0),"")</f>
        <v/>
      </c>
      <c r="F851" t="str">
        <f>+IFERROR(VLOOKUP(Fact_Cumplimiento[[#This Row], 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ht="18.75" customHeight="1" x14ac:dyDescent="0.35">
      <c r="C852" s="100" t="str">
        <f>IF(OR(Fact_Cumplimiento[[#This Row], [Año]]="",Fact_Cumplimiento[[#This Row], [Mes]]=""),"",DATE(A852,MATCH(B852,{"enero","febrero","marzo","abril","mayo","junio","julio","agosto","septiembre","octubre","noviembre","diciembre"},0)+1,0))</f>
        <v/>
      </c>
      <c r="E852" t="str">
        <f>+IFERROR(VLOOKUP(Fact_Cumplimiento[[#This Row], [Concepto Anterior]],Conceptos_Cumplimiento[#All],5,0),"")</f>
        <v/>
      </c>
      <c r="F852" t="str">
        <f>+IFERROR(VLOOKUP(Fact_Cumplimiento[[#This Row], 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ht="18.75" customHeight="1" x14ac:dyDescent="0.35">
      <c r="C853" s="100" t="str">
        <f>IF(OR(Fact_Cumplimiento[[#This Row], [Año]]="",Fact_Cumplimiento[[#This Row], [Mes]]=""),"",DATE(A853,MATCH(B853,{"enero","febrero","marzo","abril","mayo","junio","julio","agosto","septiembre","octubre","noviembre","diciembre"},0)+1,0))</f>
        <v/>
      </c>
      <c r="E853" t="str">
        <f>+IFERROR(VLOOKUP(Fact_Cumplimiento[[#This Row], [Concepto Anterior]],Conceptos_Cumplimiento[#All],5,0),"")</f>
        <v/>
      </c>
      <c r="F853" t="str">
        <f>+IFERROR(VLOOKUP(Fact_Cumplimiento[[#This Row], 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ht="18.75" customHeight="1" x14ac:dyDescent="0.35">
      <c r="C854" s="100" t="str">
        <f>IF(OR(Fact_Cumplimiento[[#This Row], [Año]]="",Fact_Cumplimiento[[#This Row], [Mes]]=""),"",DATE(A854,MATCH(B854,{"enero","febrero","marzo","abril","mayo","junio","julio","agosto","septiembre","octubre","noviembre","diciembre"},0)+1,0))</f>
        <v/>
      </c>
      <c r="E854" t="str">
        <f>+IFERROR(VLOOKUP(Fact_Cumplimiento[[#This Row], [Concepto Anterior]],Conceptos_Cumplimiento[#All],5,0),"")</f>
        <v/>
      </c>
      <c r="F854" t="str">
        <f>+IFERROR(VLOOKUP(Fact_Cumplimiento[[#This Row], 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ht="18.75" customHeight="1" x14ac:dyDescent="0.35">
      <c r="C855" s="100" t="str">
        <f>IF(OR(Fact_Cumplimiento[[#This Row], [Año]]="",Fact_Cumplimiento[[#This Row], [Mes]]=""),"",DATE(A855,MATCH(B855,{"enero","febrero","marzo","abril","mayo","junio","julio","agosto","septiembre","octubre","noviembre","diciembre"},0)+1,0))</f>
        <v/>
      </c>
      <c r="E855" t="str">
        <f>+IFERROR(VLOOKUP(Fact_Cumplimiento[[#This Row], [Concepto Anterior]],Conceptos_Cumplimiento[#All],5,0),"")</f>
        <v/>
      </c>
      <c r="F855" t="str">
        <f>+IFERROR(VLOOKUP(Fact_Cumplimiento[[#This Row], 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ht="18.75" customHeight="1" x14ac:dyDescent="0.35">
      <c r="C856" s="100" t="str">
        <f>IF(OR(Fact_Cumplimiento[[#This Row], [Año]]="",Fact_Cumplimiento[[#This Row], [Mes]]=""),"",DATE(A856,MATCH(B856,{"enero","febrero","marzo","abril","mayo","junio","julio","agosto","septiembre","octubre","noviembre","diciembre"},0)+1,0))</f>
        <v/>
      </c>
      <c r="E856" t="str">
        <f>+IFERROR(VLOOKUP(Fact_Cumplimiento[[#This Row], [Concepto Anterior]],Conceptos_Cumplimiento[#All],5,0),"")</f>
        <v/>
      </c>
      <c r="F856" t="str">
        <f>+IFERROR(VLOOKUP(Fact_Cumplimiento[[#This Row], 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ht="18.75" customHeight="1" x14ac:dyDescent="0.35">
      <c r="C857" s="100" t="str">
        <f>IF(OR(Fact_Cumplimiento[[#This Row], [Año]]="",Fact_Cumplimiento[[#This Row], [Mes]]=""),"",DATE(A857,MATCH(B857,{"enero","febrero","marzo","abril","mayo","junio","julio","agosto","septiembre","octubre","noviembre","diciembre"},0)+1,0))</f>
        <v/>
      </c>
      <c r="E857" t="str">
        <f>+IFERROR(VLOOKUP(Fact_Cumplimiento[[#This Row], [Concepto Anterior]],Conceptos_Cumplimiento[#All],5,0),"")</f>
        <v/>
      </c>
      <c r="F857" t="str">
        <f>+IFERROR(VLOOKUP(Fact_Cumplimiento[[#This Row], 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ht="18.75" customHeight="1" x14ac:dyDescent="0.35">
      <c r="C858" s="100" t="str">
        <f>IF(OR(Fact_Cumplimiento[[#This Row], [Año]]="",Fact_Cumplimiento[[#This Row], [Mes]]=""),"",DATE(A858,MATCH(B858,{"enero","febrero","marzo","abril","mayo","junio","julio","agosto","septiembre","octubre","noviembre","diciembre"},0)+1,0))</f>
        <v/>
      </c>
      <c r="E858" t="str">
        <f>+IFERROR(VLOOKUP(Fact_Cumplimiento[[#This Row], [Concepto Anterior]],Conceptos_Cumplimiento[#All],5,0),"")</f>
        <v/>
      </c>
      <c r="F858" t="str">
        <f>+IFERROR(VLOOKUP(Fact_Cumplimiento[[#This Row], 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ht="18.75" customHeight="1" x14ac:dyDescent="0.35">
      <c r="C859" s="100" t="str">
        <f>IF(OR(Fact_Cumplimiento[[#This Row], [Año]]="",Fact_Cumplimiento[[#This Row], [Mes]]=""),"",DATE(A859,MATCH(B859,{"enero","febrero","marzo","abril","mayo","junio","julio","agosto","septiembre","octubre","noviembre","diciembre"},0)+1,0))</f>
        <v/>
      </c>
      <c r="E859" t="str">
        <f>+IFERROR(VLOOKUP(Fact_Cumplimiento[[#This Row], [Concepto Anterior]],Conceptos_Cumplimiento[#All],5,0),"")</f>
        <v/>
      </c>
      <c r="F859" t="str">
        <f>+IFERROR(VLOOKUP(Fact_Cumplimiento[[#This Row], 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ht="18.75" customHeight="1" x14ac:dyDescent="0.35">
      <c r="C860" s="100" t="str">
        <f>IF(OR(Fact_Cumplimiento[[#This Row], [Año]]="",Fact_Cumplimiento[[#This Row], [Mes]]=""),"",DATE(A860,MATCH(B860,{"enero","febrero","marzo","abril","mayo","junio","julio","agosto","septiembre","octubre","noviembre","diciembre"},0)+1,0))</f>
        <v/>
      </c>
      <c r="E860" t="str">
        <f>+IFERROR(VLOOKUP(Fact_Cumplimiento[[#This Row], [Concepto Anterior]],Conceptos_Cumplimiento[#All],5,0),"")</f>
        <v/>
      </c>
      <c r="F860" t="str">
        <f>+IFERROR(VLOOKUP(Fact_Cumplimiento[[#This Row], 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ht="18.75" customHeight="1" x14ac:dyDescent="0.35">
      <c r="C861" s="100" t="str">
        <f>IF(OR(Fact_Cumplimiento[[#This Row], [Año]]="",Fact_Cumplimiento[[#This Row], [Mes]]=""),"",DATE(A861,MATCH(B861,{"enero","febrero","marzo","abril","mayo","junio","julio","agosto","septiembre","octubre","noviembre","diciembre"},0)+1,0))</f>
        <v/>
      </c>
      <c r="E861" t="str">
        <f>+IFERROR(VLOOKUP(Fact_Cumplimiento[[#This Row], [Concepto Anterior]],Conceptos_Cumplimiento[#All],5,0),"")</f>
        <v/>
      </c>
      <c r="F861" t="str">
        <f>+IFERROR(VLOOKUP(Fact_Cumplimiento[[#This Row], 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ht="18.75" customHeight="1" x14ac:dyDescent="0.35">
      <c r="C862" s="100" t="str">
        <f>IF(OR(Fact_Cumplimiento[[#This Row], [Año]]="",Fact_Cumplimiento[[#This Row], [Mes]]=""),"",DATE(A862,MATCH(B862,{"enero","febrero","marzo","abril","mayo","junio","julio","agosto","septiembre","octubre","noviembre","diciembre"},0)+1,0))</f>
        <v/>
      </c>
      <c r="E862" t="str">
        <f>+IFERROR(VLOOKUP(Fact_Cumplimiento[[#This Row], [Concepto Anterior]],Conceptos_Cumplimiento[#All],5,0),"")</f>
        <v/>
      </c>
      <c r="F862" t="str">
        <f>+IFERROR(VLOOKUP(Fact_Cumplimiento[[#This Row], 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ht="18.75" customHeight="1" x14ac:dyDescent="0.35">
      <c r="C863" s="100" t="str">
        <f>IF(OR(Fact_Cumplimiento[[#This Row], [Año]]="",Fact_Cumplimiento[[#This Row], [Mes]]=""),"",DATE(A863,MATCH(B863,{"enero","febrero","marzo","abril","mayo","junio","julio","agosto","septiembre","octubre","noviembre","diciembre"},0)+1,0))</f>
        <v/>
      </c>
      <c r="E863" t="str">
        <f>+IFERROR(VLOOKUP(Fact_Cumplimiento[[#This Row], [Concepto Anterior]],Conceptos_Cumplimiento[#All],5,0),"")</f>
        <v/>
      </c>
      <c r="F863" t="str">
        <f>+IFERROR(VLOOKUP(Fact_Cumplimiento[[#This Row], 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ht="18.75" customHeight="1" x14ac:dyDescent="0.35">
      <c r="C864" s="100" t="str">
        <f>IF(OR(Fact_Cumplimiento[[#This Row], [Año]]="",Fact_Cumplimiento[[#This Row], [Mes]]=""),"",DATE(A864,MATCH(B864,{"enero","febrero","marzo","abril","mayo","junio","julio","agosto","septiembre","octubre","noviembre","diciembre"},0)+1,0))</f>
        <v/>
      </c>
      <c r="E864" t="str">
        <f>+IFERROR(VLOOKUP(Fact_Cumplimiento[[#This Row], [Concepto Anterior]],Conceptos_Cumplimiento[#All],5,0),"")</f>
        <v/>
      </c>
      <c r="F864" t="str">
        <f>+IFERROR(VLOOKUP(Fact_Cumplimiento[[#This Row], 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ht="18.75" customHeight="1" x14ac:dyDescent="0.35">
      <c r="C865" s="100" t="str">
        <f>IF(OR(Fact_Cumplimiento[[#This Row], [Año]]="",Fact_Cumplimiento[[#This Row], [Mes]]=""),"",DATE(A865,MATCH(B865,{"enero","febrero","marzo","abril","mayo","junio","julio","agosto","septiembre","octubre","noviembre","diciembre"},0)+1,0))</f>
        <v/>
      </c>
      <c r="E865" t="str">
        <f>+IFERROR(VLOOKUP(Fact_Cumplimiento[[#This Row], [Concepto Anterior]],Conceptos_Cumplimiento[#All],5,0),"")</f>
        <v/>
      </c>
      <c r="F865" t="str">
        <f>+IFERROR(VLOOKUP(Fact_Cumplimiento[[#This Row], 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ht="18.75" customHeight="1" x14ac:dyDescent="0.35">
      <c r="C866" s="100" t="str">
        <f>IF(OR(Fact_Cumplimiento[[#This Row], [Año]]="",Fact_Cumplimiento[[#This Row], [Mes]]=""),"",DATE(A866,MATCH(B866,{"enero","febrero","marzo","abril","mayo","junio","julio","agosto","septiembre","octubre","noviembre","diciembre"},0)+1,0))</f>
        <v/>
      </c>
      <c r="E866" t="str">
        <f>+IFERROR(VLOOKUP(Fact_Cumplimiento[[#This Row], [Concepto Anterior]],Conceptos_Cumplimiento[#All],5,0),"")</f>
        <v/>
      </c>
      <c r="F866" t="str">
        <f>+IFERROR(VLOOKUP(Fact_Cumplimiento[[#This Row], 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ht="18.75" customHeight="1" x14ac:dyDescent="0.35">
      <c r="C867" s="100" t="str">
        <f>IF(OR(Fact_Cumplimiento[[#This Row], [Año]]="",Fact_Cumplimiento[[#This Row], [Mes]]=""),"",DATE(A867,MATCH(B867,{"enero","febrero","marzo","abril","mayo","junio","julio","agosto","septiembre","octubre","noviembre","diciembre"},0)+1,0))</f>
        <v/>
      </c>
      <c r="E867" t="str">
        <f>+IFERROR(VLOOKUP(Fact_Cumplimiento[[#This Row], [Concepto Anterior]],Conceptos_Cumplimiento[#All],5,0),"")</f>
        <v/>
      </c>
      <c r="F867" t="str">
        <f>+IFERROR(VLOOKUP(Fact_Cumplimiento[[#This Row], 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ht="18.75" customHeight="1" x14ac:dyDescent="0.35">
      <c r="C868" s="100" t="str">
        <f>IF(OR(Fact_Cumplimiento[[#This Row], [Año]]="",Fact_Cumplimiento[[#This Row], [Mes]]=""),"",DATE(A868,MATCH(B868,{"enero","febrero","marzo","abril","mayo","junio","julio","agosto","septiembre","octubre","noviembre","diciembre"},0)+1,0))</f>
        <v/>
      </c>
      <c r="E868" t="str">
        <f>+IFERROR(VLOOKUP(Fact_Cumplimiento[[#This Row], [Concepto Anterior]],Conceptos_Cumplimiento[#All],5,0),"")</f>
        <v/>
      </c>
      <c r="F868" t="str">
        <f>+IFERROR(VLOOKUP(Fact_Cumplimiento[[#This Row], 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ht="18.75" customHeight="1" x14ac:dyDescent="0.35">
      <c r="C869" s="100" t="str">
        <f>IF(OR(Fact_Cumplimiento[[#This Row], [Año]]="",Fact_Cumplimiento[[#This Row], [Mes]]=""),"",DATE(A869,MATCH(B869,{"enero","febrero","marzo","abril","mayo","junio","julio","agosto","septiembre","octubre","noviembre","diciembre"},0)+1,0))</f>
        <v/>
      </c>
      <c r="E869" t="str">
        <f>+IFERROR(VLOOKUP(Fact_Cumplimiento[[#This Row], [Concepto Anterior]],Conceptos_Cumplimiento[#All],5,0),"")</f>
        <v/>
      </c>
      <c r="F869" t="str">
        <f>+IFERROR(VLOOKUP(Fact_Cumplimiento[[#This Row], 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ht="18.75" customHeight="1" x14ac:dyDescent="0.35">
      <c r="C870" s="100" t="str">
        <f>IF(OR(Fact_Cumplimiento[[#This Row], [Año]]="",Fact_Cumplimiento[[#This Row], [Mes]]=""),"",DATE(A870,MATCH(B870,{"enero","febrero","marzo","abril","mayo","junio","julio","agosto","septiembre","octubre","noviembre","diciembre"},0)+1,0))</f>
        <v/>
      </c>
      <c r="E870" t="str">
        <f>+IFERROR(VLOOKUP(Fact_Cumplimiento[[#This Row], [Concepto Anterior]],Conceptos_Cumplimiento[#All],5,0),"")</f>
        <v/>
      </c>
      <c r="F870" t="str">
        <f>+IFERROR(VLOOKUP(Fact_Cumplimiento[[#This Row], 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ht="18.75" customHeight="1" x14ac:dyDescent="0.35">
      <c r="C871" s="100" t="str">
        <f>IF(OR(Fact_Cumplimiento[[#This Row], [Año]]="",Fact_Cumplimiento[[#This Row], [Mes]]=""),"",DATE(A871,MATCH(B871,{"enero","febrero","marzo","abril","mayo","junio","julio","agosto","septiembre","octubre","noviembre","diciembre"},0)+1,0))</f>
        <v/>
      </c>
      <c r="E871" t="str">
        <f>+IFERROR(VLOOKUP(Fact_Cumplimiento[[#This Row], [Concepto Anterior]],Conceptos_Cumplimiento[#All],5,0),"")</f>
        <v/>
      </c>
      <c r="F871" t="str">
        <f>+IFERROR(VLOOKUP(Fact_Cumplimiento[[#This Row], 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ht="18.75" customHeight="1" x14ac:dyDescent="0.35">
      <c r="C872" s="100" t="str">
        <f>IF(OR(Fact_Cumplimiento[[#This Row], [Año]]="",Fact_Cumplimiento[[#This Row], [Mes]]=""),"",DATE(A872,MATCH(B872,{"enero","febrero","marzo","abril","mayo","junio","julio","agosto","septiembre","octubre","noviembre","diciembre"},0)+1,0))</f>
        <v/>
      </c>
      <c r="E872" t="str">
        <f>+IFERROR(VLOOKUP(Fact_Cumplimiento[[#This Row], [Concepto Anterior]],Conceptos_Cumplimiento[#All],5,0),"")</f>
        <v/>
      </c>
      <c r="F872" t="str">
        <f>+IFERROR(VLOOKUP(Fact_Cumplimiento[[#This Row], 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ht="18.75" customHeight="1" x14ac:dyDescent="0.35">
      <c r="C873" s="100" t="str">
        <f>IF(OR(Fact_Cumplimiento[[#This Row], [Año]]="",Fact_Cumplimiento[[#This Row], [Mes]]=""),"",DATE(A873,MATCH(B873,{"enero","febrero","marzo","abril","mayo","junio","julio","agosto","septiembre","octubre","noviembre","diciembre"},0)+1,0))</f>
        <v/>
      </c>
      <c r="E873" t="str">
        <f>+IFERROR(VLOOKUP(Fact_Cumplimiento[[#This Row], [Concepto Anterior]],Conceptos_Cumplimiento[#All],5,0),"")</f>
        <v/>
      </c>
      <c r="F873" t="str">
        <f>+IFERROR(VLOOKUP(Fact_Cumplimiento[[#This Row], 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ht="18.75" customHeight="1" x14ac:dyDescent="0.35">
      <c r="C874" s="100" t="str">
        <f>IF(OR(Fact_Cumplimiento[[#This Row], [Año]]="",Fact_Cumplimiento[[#This Row], [Mes]]=""),"",DATE(A874,MATCH(B874,{"enero","febrero","marzo","abril","mayo","junio","julio","agosto","septiembre","octubre","noviembre","diciembre"},0)+1,0))</f>
        <v/>
      </c>
      <c r="E874" t="str">
        <f>+IFERROR(VLOOKUP(Fact_Cumplimiento[[#This Row], [Concepto Anterior]],Conceptos_Cumplimiento[#All],5,0),"")</f>
        <v/>
      </c>
      <c r="F874" t="str">
        <f>+IFERROR(VLOOKUP(Fact_Cumplimiento[[#This Row], 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ht="18.75" customHeight="1" x14ac:dyDescent="0.35">
      <c r="C875" s="100" t="str">
        <f>IF(OR(Fact_Cumplimiento[[#This Row], [Año]]="",Fact_Cumplimiento[[#This Row], [Mes]]=""),"",DATE(A875,MATCH(B875,{"enero","febrero","marzo","abril","mayo","junio","julio","agosto","septiembre","octubre","noviembre","diciembre"},0)+1,0))</f>
        <v/>
      </c>
      <c r="E875" t="str">
        <f>+IFERROR(VLOOKUP(Fact_Cumplimiento[[#This Row], [Concepto Anterior]],Conceptos_Cumplimiento[#All],5,0),"")</f>
        <v/>
      </c>
      <c r="F875" t="str">
        <f>+IFERROR(VLOOKUP(Fact_Cumplimiento[[#This Row], 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ht="18.75" customHeight="1" x14ac:dyDescent="0.35">
      <c r="C876" s="100" t="str">
        <f>IF(OR(Fact_Cumplimiento[[#This Row], [Año]]="",Fact_Cumplimiento[[#This Row], [Mes]]=""),"",DATE(A876,MATCH(B876,{"enero","febrero","marzo","abril","mayo","junio","julio","agosto","septiembre","octubre","noviembre","diciembre"},0)+1,0))</f>
        <v/>
      </c>
      <c r="E876" t="str">
        <f>+IFERROR(VLOOKUP(Fact_Cumplimiento[[#This Row], [Concepto Anterior]],Conceptos_Cumplimiento[#All],5,0),"")</f>
        <v/>
      </c>
      <c r="F876" t="str">
        <f>+IFERROR(VLOOKUP(Fact_Cumplimiento[[#This Row], 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ht="18.75" customHeight="1" x14ac:dyDescent="0.35">
      <c r="C877" s="100" t="str">
        <f>IF(OR(Fact_Cumplimiento[[#This Row], [Año]]="",Fact_Cumplimiento[[#This Row], [Mes]]=""),"",DATE(A877,MATCH(B877,{"enero","febrero","marzo","abril","mayo","junio","julio","agosto","septiembre","octubre","noviembre","diciembre"},0)+1,0))</f>
        <v/>
      </c>
      <c r="E877" t="str">
        <f>+IFERROR(VLOOKUP(Fact_Cumplimiento[[#This Row], [Concepto Anterior]],Conceptos_Cumplimiento[#All],5,0),"")</f>
        <v/>
      </c>
      <c r="F877" t="str">
        <f>+IFERROR(VLOOKUP(Fact_Cumplimiento[[#This Row], 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ht="18.75" customHeight="1" x14ac:dyDescent="0.35">
      <c r="C878" s="100" t="str">
        <f>IF(OR(Fact_Cumplimiento[[#This Row], [Año]]="",Fact_Cumplimiento[[#This Row], [Mes]]=""),"",DATE(A878,MATCH(B878,{"enero","febrero","marzo","abril","mayo","junio","julio","agosto","septiembre","octubre","noviembre","diciembre"},0)+1,0))</f>
        <v/>
      </c>
      <c r="E878" t="str">
        <f>+IFERROR(VLOOKUP(Fact_Cumplimiento[[#This Row], [Concepto Anterior]],Conceptos_Cumplimiento[#All],5,0),"")</f>
        <v/>
      </c>
      <c r="F878" t="str">
        <f>+IFERROR(VLOOKUP(Fact_Cumplimiento[[#This Row], 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ht="18.75" customHeight="1" x14ac:dyDescent="0.35">
      <c r="C879" s="100" t="str">
        <f>IF(OR(Fact_Cumplimiento[[#This Row], [Año]]="",Fact_Cumplimiento[[#This Row], [Mes]]=""),"",DATE(A879,MATCH(B879,{"enero","febrero","marzo","abril","mayo","junio","julio","agosto","septiembre","octubre","noviembre","diciembre"},0)+1,0))</f>
        <v/>
      </c>
      <c r="E879" t="str">
        <f>+IFERROR(VLOOKUP(Fact_Cumplimiento[[#This Row], [Concepto Anterior]],Conceptos_Cumplimiento[#All],5,0),"")</f>
        <v/>
      </c>
      <c r="F879" t="str">
        <f>+IFERROR(VLOOKUP(Fact_Cumplimiento[[#This Row], 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ht="18.75" customHeight="1" x14ac:dyDescent="0.35">
      <c r="C880" s="100" t="str">
        <f>IF(OR(Fact_Cumplimiento[[#This Row], [Año]]="",Fact_Cumplimiento[[#This Row], [Mes]]=""),"",DATE(A880,MATCH(B880,{"enero","febrero","marzo","abril","mayo","junio","julio","agosto","septiembre","octubre","noviembre","diciembre"},0)+1,0))</f>
        <v/>
      </c>
      <c r="E880" t="str">
        <f>+IFERROR(VLOOKUP(Fact_Cumplimiento[[#This Row], [Concepto Anterior]],Conceptos_Cumplimiento[#All],5,0),"")</f>
        <v/>
      </c>
      <c r="F880" t="str">
        <f>+IFERROR(VLOOKUP(Fact_Cumplimiento[[#This Row], 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ht="18.75" customHeight="1" x14ac:dyDescent="0.35">
      <c r="C881" s="100" t="str">
        <f>IF(OR(Fact_Cumplimiento[[#This Row], [Año]]="",Fact_Cumplimiento[[#This Row], [Mes]]=""),"",DATE(A881,MATCH(B881,{"enero","febrero","marzo","abril","mayo","junio","julio","agosto","septiembre","octubre","noviembre","diciembre"},0)+1,0))</f>
        <v/>
      </c>
      <c r="E881" t="str">
        <f>+IFERROR(VLOOKUP(Fact_Cumplimiento[[#This Row], [Concepto Anterior]],Conceptos_Cumplimiento[#All],5,0),"")</f>
        <v/>
      </c>
      <c r="F881" t="str">
        <f>+IFERROR(VLOOKUP(Fact_Cumplimiento[[#This Row], 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ht="18.75" customHeight="1" x14ac:dyDescent="0.35">
      <c r="C882" s="100" t="str">
        <f>IF(OR(Fact_Cumplimiento[[#This Row], [Año]]="",Fact_Cumplimiento[[#This Row], [Mes]]=""),"",DATE(A882,MATCH(B882,{"enero","febrero","marzo","abril","mayo","junio","julio","agosto","septiembre","octubre","noviembre","diciembre"},0)+1,0))</f>
        <v/>
      </c>
      <c r="E882" t="str">
        <f>+IFERROR(VLOOKUP(Fact_Cumplimiento[[#This Row], [Concepto Anterior]],Conceptos_Cumplimiento[#All],5,0),"")</f>
        <v/>
      </c>
      <c r="F882" t="str">
        <f>+IFERROR(VLOOKUP(Fact_Cumplimiento[[#This Row], 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ht="18.75" customHeight="1" x14ac:dyDescent="0.35">
      <c r="C883" s="100" t="str">
        <f>IF(OR(Fact_Cumplimiento[[#This Row], [Año]]="",Fact_Cumplimiento[[#This Row], [Mes]]=""),"",DATE(A883,MATCH(B883,{"enero","febrero","marzo","abril","mayo","junio","julio","agosto","septiembre","octubre","noviembre","diciembre"},0)+1,0))</f>
        <v/>
      </c>
      <c r="E883" t="str">
        <f>+IFERROR(VLOOKUP(Fact_Cumplimiento[[#This Row], [Concepto Anterior]],Conceptos_Cumplimiento[#All],5,0),"")</f>
        <v/>
      </c>
      <c r="F883" t="str">
        <f>+IFERROR(VLOOKUP(Fact_Cumplimiento[[#This Row], 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ht="18.75" customHeight="1" x14ac:dyDescent="0.35">
      <c r="C884" s="100" t="str">
        <f>IF(OR(Fact_Cumplimiento[[#This Row], [Año]]="",Fact_Cumplimiento[[#This Row], [Mes]]=""),"",DATE(A884,MATCH(B884,{"enero","febrero","marzo","abril","mayo","junio","julio","agosto","septiembre","octubre","noviembre","diciembre"},0)+1,0))</f>
        <v/>
      </c>
      <c r="E884" t="str">
        <f>+IFERROR(VLOOKUP(Fact_Cumplimiento[[#This Row], [Concepto Anterior]],Conceptos_Cumplimiento[#All],5,0),"")</f>
        <v/>
      </c>
      <c r="F884" t="str">
        <f>+IFERROR(VLOOKUP(Fact_Cumplimiento[[#This Row], 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ht="18.75" customHeight="1" x14ac:dyDescent="0.35">
      <c r="C885" s="100" t="str">
        <f>IF(OR(Fact_Cumplimiento[[#This Row], [Año]]="",Fact_Cumplimiento[[#This Row], [Mes]]=""),"",DATE(A885,MATCH(B885,{"enero","febrero","marzo","abril","mayo","junio","julio","agosto","septiembre","octubre","noviembre","diciembre"},0)+1,0))</f>
        <v/>
      </c>
      <c r="E885" t="str">
        <f>+IFERROR(VLOOKUP(Fact_Cumplimiento[[#This Row], [Concepto Anterior]],Conceptos_Cumplimiento[#All],5,0),"")</f>
        <v/>
      </c>
      <c r="F885" t="str">
        <f>+IFERROR(VLOOKUP(Fact_Cumplimiento[[#This Row], 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ht="18.75" customHeight="1" x14ac:dyDescent="0.35">
      <c r="C886" s="100" t="str">
        <f>IF(OR(Fact_Cumplimiento[[#This Row], [Año]]="",Fact_Cumplimiento[[#This Row], [Mes]]=""),"",DATE(A886,MATCH(B886,{"enero","febrero","marzo","abril","mayo","junio","julio","agosto","septiembre","octubre","noviembre","diciembre"},0)+1,0))</f>
        <v/>
      </c>
      <c r="E886" t="str">
        <f>+IFERROR(VLOOKUP(Fact_Cumplimiento[[#This Row], [Concepto Anterior]],Conceptos_Cumplimiento[#All],5,0),"")</f>
        <v/>
      </c>
      <c r="F886" t="str">
        <f>+IFERROR(VLOOKUP(Fact_Cumplimiento[[#This Row], 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ht="18.75" customHeight="1" x14ac:dyDescent="0.35">
      <c r="C887" s="100" t="str">
        <f>IF(OR(Fact_Cumplimiento[[#This Row], [Año]]="",Fact_Cumplimiento[[#This Row], [Mes]]=""),"",DATE(A887,MATCH(B887,{"enero","febrero","marzo","abril","mayo","junio","julio","agosto","septiembre","octubre","noviembre","diciembre"},0)+1,0))</f>
        <v/>
      </c>
      <c r="E887" t="str">
        <f>+IFERROR(VLOOKUP(Fact_Cumplimiento[[#This Row], [Concepto Anterior]],Conceptos_Cumplimiento[#All],5,0),"")</f>
        <v/>
      </c>
      <c r="F887" t="str">
        <f>+IFERROR(VLOOKUP(Fact_Cumplimiento[[#This Row], 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ht="18.75" customHeight="1" x14ac:dyDescent="0.35">
      <c r="C888" s="100" t="str">
        <f>IF(OR(Fact_Cumplimiento[[#This Row], [Año]]="",Fact_Cumplimiento[[#This Row], [Mes]]=""),"",DATE(A888,MATCH(B888,{"enero","febrero","marzo","abril","mayo","junio","julio","agosto","septiembre","octubre","noviembre","diciembre"},0)+1,0))</f>
        <v/>
      </c>
      <c r="E888" t="str">
        <f>+IFERROR(VLOOKUP(Fact_Cumplimiento[[#This Row], [Concepto Anterior]],Conceptos_Cumplimiento[#All],5,0),"")</f>
        <v/>
      </c>
      <c r="F888" t="str">
        <f>+IFERROR(VLOOKUP(Fact_Cumplimiento[[#This Row], 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ht="18.75" customHeight="1" x14ac:dyDescent="0.35">
      <c r="C889" s="100" t="str">
        <f>IF(OR(Fact_Cumplimiento[[#This Row], [Año]]="",Fact_Cumplimiento[[#This Row], [Mes]]=""),"",DATE(A889,MATCH(B889,{"enero","febrero","marzo","abril","mayo","junio","julio","agosto","septiembre","octubre","noviembre","diciembre"},0)+1,0))</f>
        <v/>
      </c>
      <c r="E889" t="str">
        <f>+IFERROR(VLOOKUP(Fact_Cumplimiento[[#This Row], [Concepto Anterior]],Conceptos_Cumplimiento[#All],5,0),"")</f>
        <v/>
      </c>
      <c r="F889" t="str">
        <f>+IFERROR(VLOOKUP(Fact_Cumplimiento[[#This Row], 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ht="18.75" customHeight="1" x14ac:dyDescent="0.35">
      <c r="C890" s="100" t="str">
        <f>IF(OR(Fact_Cumplimiento[[#This Row], [Año]]="",Fact_Cumplimiento[[#This Row], [Mes]]=""),"",DATE(A890,MATCH(B890,{"enero","febrero","marzo","abril","mayo","junio","julio","agosto","septiembre","octubre","noviembre","diciembre"},0)+1,0))</f>
        <v/>
      </c>
      <c r="E890" t="str">
        <f>+IFERROR(VLOOKUP(Fact_Cumplimiento[[#This Row], [Concepto Anterior]],Conceptos_Cumplimiento[#All],5,0),"")</f>
        <v/>
      </c>
      <c r="F890" t="str">
        <f>+IFERROR(VLOOKUP(Fact_Cumplimiento[[#This Row], 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ht="18.75" customHeight="1" x14ac:dyDescent="0.35">
      <c r="C891" s="100" t="str">
        <f>IF(OR(Fact_Cumplimiento[[#This Row], [Año]]="",Fact_Cumplimiento[[#This Row], [Mes]]=""),"",DATE(A891,MATCH(B891,{"enero","febrero","marzo","abril","mayo","junio","julio","agosto","septiembre","octubre","noviembre","diciembre"},0)+1,0))</f>
        <v/>
      </c>
      <c r="E891" t="str">
        <f>+IFERROR(VLOOKUP(Fact_Cumplimiento[[#This Row], [Concepto Anterior]],Conceptos_Cumplimiento[#All],5,0),"")</f>
        <v/>
      </c>
      <c r="F891" t="str">
        <f>+IFERROR(VLOOKUP(Fact_Cumplimiento[[#This Row], 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ht="18.75" customHeight="1" x14ac:dyDescent="0.35">
      <c r="C892" s="100" t="str">
        <f>IF(OR(Fact_Cumplimiento[[#This Row], [Año]]="",Fact_Cumplimiento[[#This Row], [Mes]]=""),"",DATE(A892,MATCH(B892,{"enero","febrero","marzo","abril","mayo","junio","julio","agosto","septiembre","octubre","noviembre","diciembre"},0)+1,0))</f>
        <v/>
      </c>
      <c r="E892" t="str">
        <f>+IFERROR(VLOOKUP(Fact_Cumplimiento[[#This Row], [Concepto Anterior]],Conceptos_Cumplimiento[#All],5,0),"")</f>
        <v/>
      </c>
      <c r="F892" t="str">
        <f>+IFERROR(VLOOKUP(Fact_Cumplimiento[[#This Row], 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ht="18.75" customHeight="1" x14ac:dyDescent="0.35">
      <c r="C893" s="100" t="str">
        <f>IF(OR(Fact_Cumplimiento[[#This Row], [Año]]="",Fact_Cumplimiento[[#This Row], [Mes]]=""),"",DATE(A893,MATCH(B893,{"enero","febrero","marzo","abril","mayo","junio","julio","agosto","septiembre","octubre","noviembre","diciembre"},0)+1,0))</f>
        <v/>
      </c>
      <c r="E893" t="str">
        <f>+IFERROR(VLOOKUP(Fact_Cumplimiento[[#This Row], [Concepto Anterior]],Conceptos_Cumplimiento[#All],5,0),"")</f>
        <v/>
      </c>
      <c r="F893" t="str">
        <f>+IFERROR(VLOOKUP(Fact_Cumplimiento[[#This Row], 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ht="18.75" customHeight="1" x14ac:dyDescent="0.35">
      <c r="C894" s="100" t="str">
        <f>IF(OR(Fact_Cumplimiento[[#This Row], [Año]]="",Fact_Cumplimiento[[#This Row], [Mes]]=""),"",DATE(A894,MATCH(B894,{"enero","febrero","marzo","abril","mayo","junio","julio","agosto","septiembre","octubre","noviembre","diciembre"},0)+1,0))</f>
        <v/>
      </c>
      <c r="E894" t="str">
        <f>+IFERROR(VLOOKUP(Fact_Cumplimiento[[#This Row], [Concepto Anterior]],Conceptos_Cumplimiento[#All],5,0),"")</f>
        <v/>
      </c>
      <c r="F894" t="str">
        <f>+IFERROR(VLOOKUP(Fact_Cumplimiento[[#This Row], 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ht="18.75" customHeight="1" x14ac:dyDescent="0.35">
      <c r="C895" s="100" t="str">
        <f>IF(OR(Fact_Cumplimiento[[#This Row], [Año]]="",Fact_Cumplimiento[[#This Row], [Mes]]=""),"",DATE(A895,MATCH(B895,{"enero","febrero","marzo","abril","mayo","junio","julio","agosto","septiembre","octubre","noviembre","diciembre"},0)+1,0))</f>
        <v/>
      </c>
      <c r="E895" t="str">
        <f>+IFERROR(VLOOKUP(Fact_Cumplimiento[[#This Row], [Concepto Anterior]],Conceptos_Cumplimiento[#All],5,0),"")</f>
        <v/>
      </c>
      <c r="F895" t="str">
        <f>+IFERROR(VLOOKUP(Fact_Cumplimiento[[#This Row], 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ht="18.75" customHeight="1" x14ac:dyDescent="0.35">
      <c r="C896" s="100" t="str">
        <f>IF(OR(Fact_Cumplimiento[[#This Row], [Año]]="",Fact_Cumplimiento[[#This Row], [Mes]]=""),"",DATE(A896,MATCH(B896,{"enero","febrero","marzo","abril","mayo","junio","julio","agosto","septiembre","octubre","noviembre","diciembre"},0)+1,0))</f>
        <v/>
      </c>
      <c r="E896" t="str">
        <f>+IFERROR(VLOOKUP(Fact_Cumplimiento[[#This Row], [Concepto Anterior]],Conceptos_Cumplimiento[#All],5,0),"")</f>
        <v/>
      </c>
      <c r="F896" t="str">
        <f>+IFERROR(VLOOKUP(Fact_Cumplimiento[[#This Row], 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ht="18.75" customHeight="1" x14ac:dyDescent="0.35">
      <c r="C897" s="100" t="str">
        <f>IF(OR(Fact_Cumplimiento[[#This Row], [Año]]="",Fact_Cumplimiento[[#This Row], [Mes]]=""),"",DATE(A897,MATCH(B897,{"enero","febrero","marzo","abril","mayo","junio","julio","agosto","septiembre","octubre","noviembre","diciembre"},0)+1,0))</f>
        <v/>
      </c>
      <c r="E897" t="str">
        <f>+IFERROR(VLOOKUP(Fact_Cumplimiento[[#This Row], [Concepto Anterior]],Conceptos_Cumplimiento[#All],5,0),"")</f>
        <v/>
      </c>
      <c r="F897" t="str">
        <f>+IFERROR(VLOOKUP(Fact_Cumplimiento[[#This Row], 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ht="18.75" customHeight="1" x14ac:dyDescent="0.35">
      <c r="C898" s="100" t="str">
        <f>IF(OR(Fact_Cumplimiento[[#This Row], [Año]]="",Fact_Cumplimiento[[#This Row], [Mes]]=""),"",DATE(A898,MATCH(B898,{"enero","febrero","marzo","abril","mayo","junio","julio","agosto","septiembre","octubre","noviembre","diciembre"},0)+1,0))</f>
        <v/>
      </c>
      <c r="E898" t="str">
        <f>+IFERROR(VLOOKUP(Fact_Cumplimiento[[#This Row], [Concepto Anterior]],Conceptos_Cumplimiento[#All],5,0),"")</f>
        <v/>
      </c>
      <c r="F898" t="str">
        <f>+IFERROR(VLOOKUP(Fact_Cumplimiento[[#This Row], 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ht="18.75" customHeight="1" x14ac:dyDescent="0.35">
      <c r="C899" s="100" t="str">
        <f>IF(OR(Fact_Cumplimiento[[#This Row], [Año]]="",Fact_Cumplimiento[[#This Row], [Mes]]=""),"",DATE(A899,MATCH(B899,{"enero","febrero","marzo","abril","mayo","junio","julio","agosto","septiembre","octubre","noviembre","diciembre"},0)+1,0))</f>
        <v/>
      </c>
      <c r="E899" t="str">
        <f>+IFERROR(VLOOKUP(Fact_Cumplimiento[[#This Row], [Concepto Anterior]],Conceptos_Cumplimiento[#All],5,0),"")</f>
        <v/>
      </c>
      <c r="F899" t="str">
        <f>+IFERROR(VLOOKUP(Fact_Cumplimiento[[#This Row], 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ht="18.75" customHeight="1" x14ac:dyDescent="0.35">
      <c r="C900" s="100" t="str">
        <f>IF(OR(Fact_Cumplimiento[[#This Row], [Año]]="",Fact_Cumplimiento[[#This Row], [Mes]]=""),"",DATE(A900,MATCH(B900,{"enero","febrero","marzo","abril","mayo","junio","julio","agosto","septiembre","octubre","noviembre","diciembre"},0)+1,0))</f>
        <v/>
      </c>
      <c r="E900" t="str">
        <f>+IFERROR(VLOOKUP(Fact_Cumplimiento[[#This Row], [Concepto Anterior]],Conceptos_Cumplimiento[#All],5,0),"")</f>
        <v/>
      </c>
      <c r="F900" t="str">
        <f>+IFERROR(VLOOKUP(Fact_Cumplimiento[[#This Row], 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ht="18.75" customHeight="1" x14ac:dyDescent="0.35">
      <c r="C901" s="100" t="str">
        <f>IF(OR(Fact_Cumplimiento[[#This Row], [Año]]="",Fact_Cumplimiento[[#This Row], [Mes]]=""),"",DATE(A901,MATCH(B901,{"enero","febrero","marzo","abril","mayo","junio","julio","agosto","septiembre","octubre","noviembre","diciembre"},0)+1,0))</f>
        <v/>
      </c>
      <c r="E901" t="str">
        <f>+IFERROR(VLOOKUP(Fact_Cumplimiento[[#This Row], [Concepto Anterior]],Conceptos_Cumplimiento[#All],5,0),"")</f>
        <v/>
      </c>
      <c r="F901" t="str">
        <f>+IFERROR(VLOOKUP(Fact_Cumplimiento[[#This Row], 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ht="18.75" customHeight="1" x14ac:dyDescent="0.35">
      <c r="C902" s="100" t="str">
        <f>IF(OR(Fact_Cumplimiento[[#This Row], [Año]]="",Fact_Cumplimiento[[#This Row], [Mes]]=""),"",DATE(A902,MATCH(B902,{"enero","febrero","marzo","abril","mayo","junio","julio","agosto","septiembre","octubre","noviembre","diciembre"},0)+1,0))</f>
        <v/>
      </c>
      <c r="E902" t="str">
        <f>+IFERROR(VLOOKUP(Fact_Cumplimiento[[#This Row], [Concepto Anterior]],Conceptos_Cumplimiento[#All],5,0),"")</f>
        <v/>
      </c>
      <c r="F902" t="str">
        <f>+IFERROR(VLOOKUP(Fact_Cumplimiento[[#This Row], 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ht="18.75" customHeight="1" x14ac:dyDescent="0.35">
      <c r="C903" s="100" t="str">
        <f>IF(OR(Fact_Cumplimiento[[#This Row], [Año]]="",Fact_Cumplimiento[[#This Row], [Mes]]=""),"",DATE(A903,MATCH(B903,{"enero","febrero","marzo","abril","mayo","junio","julio","agosto","septiembre","octubre","noviembre","diciembre"},0)+1,0))</f>
        <v/>
      </c>
      <c r="E903" t="str">
        <f>+IFERROR(VLOOKUP(Fact_Cumplimiento[[#This Row], [Concepto Anterior]],Conceptos_Cumplimiento[#All],5,0),"")</f>
        <v/>
      </c>
      <c r="F903" t="str">
        <f>+IFERROR(VLOOKUP(Fact_Cumplimiento[[#This Row], 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ht="18.75" customHeight="1" x14ac:dyDescent="0.35">
      <c r="C904" s="100" t="str">
        <f>IF(OR(Fact_Cumplimiento[[#This Row], [Año]]="",Fact_Cumplimiento[[#This Row], [Mes]]=""),"",DATE(A904,MATCH(B904,{"enero","febrero","marzo","abril","mayo","junio","julio","agosto","septiembre","octubre","noviembre","diciembre"},0)+1,0))</f>
        <v/>
      </c>
      <c r="E904" t="str">
        <f>+IFERROR(VLOOKUP(Fact_Cumplimiento[[#This Row], [Concepto Anterior]],Conceptos_Cumplimiento[#All],5,0),"")</f>
        <v/>
      </c>
      <c r="F904" t="str">
        <f>+IFERROR(VLOOKUP(Fact_Cumplimiento[[#This Row], 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ht="18.75" customHeight="1" x14ac:dyDescent="0.35">
      <c r="C905" s="100" t="str">
        <f>IF(OR(Fact_Cumplimiento[[#This Row], [Año]]="",Fact_Cumplimiento[[#This Row], [Mes]]=""),"",DATE(A905,MATCH(B905,{"enero","febrero","marzo","abril","mayo","junio","julio","agosto","septiembre","octubre","noviembre","diciembre"},0)+1,0))</f>
        <v/>
      </c>
      <c r="E905" t="str">
        <f>+IFERROR(VLOOKUP(Fact_Cumplimiento[[#This Row], [Concepto Anterior]],Conceptos_Cumplimiento[#All],5,0),"")</f>
        <v/>
      </c>
      <c r="F905" t="str">
        <f>+IFERROR(VLOOKUP(Fact_Cumplimiento[[#This Row], 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ht="18.75" customHeight="1" x14ac:dyDescent="0.35">
      <c r="C906" s="100" t="str">
        <f>IF(OR(Fact_Cumplimiento[[#This Row], [Año]]="",Fact_Cumplimiento[[#This Row], [Mes]]=""),"",DATE(A906,MATCH(B906,{"enero","febrero","marzo","abril","mayo","junio","julio","agosto","septiembre","octubre","noviembre","diciembre"},0)+1,0))</f>
        <v/>
      </c>
      <c r="E906" t="str">
        <f>+IFERROR(VLOOKUP(Fact_Cumplimiento[[#This Row], [Concepto Anterior]],Conceptos_Cumplimiento[#All],5,0),"")</f>
        <v/>
      </c>
      <c r="F906" t="str">
        <f>+IFERROR(VLOOKUP(Fact_Cumplimiento[[#This Row], 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ht="18.75" customHeight="1" x14ac:dyDescent="0.35">
      <c r="C907" s="100" t="str">
        <f>IF(OR(Fact_Cumplimiento[[#This Row], [Año]]="",Fact_Cumplimiento[[#This Row], [Mes]]=""),"",DATE(A907,MATCH(B907,{"enero","febrero","marzo","abril","mayo","junio","julio","agosto","septiembre","octubre","noviembre","diciembre"},0)+1,0))</f>
        <v/>
      </c>
      <c r="E907" t="str">
        <f>+IFERROR(VLOOKUP(Fact_Cumplimiento[[#This Row], [Concepto Anterior]],Conceptos_Cumplimiento[#All],5,0),"")</f>
        <v/>
      </c>
      <c r="F907" t="str">
        <f>+IFERROR(VLOOKUP(Fact_Cumplimiento[[#This Row], 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ht="18.75" customHeight="1" x14ac:dyDescent="0.35">
      <c r="C908" s="100" t="str">
        <f>IF(OR(Fact_Cumplimiento[[#This Row], [Año]]="",Fact_Cumplimiento[[#This Row], [Mes]]=""),"",DATE(A908,MATCH(B908,{"enero","febrero","marzo","abril","mayo","junio","julio","agosto","septiembre","octubre","noviembre","diciembre"},0)+1,0))</f>
        <v/>
      </c>
      <c r="E908" t="str">
        <f>+IFERROR(VLOOKUP(Fact_Cumplimiento[[#This Row], [Concepto Anterior]],Conceptos_Cumplimiento[#All],5,0),"")</f>
        <v/>
      </c>
      <c r="F908" t="str">
        <f>+IFERROR(VLOOKUP(Fact_Cumplimiento[[#This Row], 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ht="18.75" customHeight="1" x14ac:dyDescent="0.35">
      <c r="C909" s="100" t="str">
        <f>IF(OR(Fact_Cumplimiento[[#This Row], [Año]]="",Fact_Cumplimiento[[#This Row], [Mes]]=""),"",DATE(A909,MATCH(B909,{"enero","febrero","marzo","abril","mayo","junio","julio","agosto","septiembre","octubre","noviembre","diciembre"},0)+1,0))</f>
        <v/>
      </c>
      <c r="E909" t="str">
        <f>+IFERROR(VLOOKUP(Fact_Cumplimiento[[#This Row], [Concepto Anterior]],Conceptos_Cumplimiento[#All],5,0),"")</f>
        <v/>
      </c>
      <c r="F909" t="str">
        <f>+IFERROR(VLOOKUP(Fact_Cumplimiento[[#This Row], 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ht="18.75" customHeight="1" x14ac:dyDescent="0.35">
      <c r="C910" s="100" t="str">
        <f>IF(OR(Fact_Cumplimiento[[#This Row], [Año]]="",Fact_Cumplimiento[[#This Row], [Mes]]=""),"",DATE(A910,MATCH(B910,{"enero","febrero","marzo","abril","mayo","junio","julio","agosto","septiembre","octubre","noviembre","diciembre"},0)+1,0))</f>
        <v/>
      </c>
      <c r="E910" t="str">
        <f>+IFERROR(VLOOKUP(Fact_Cumplimiento[[#This Row], [Concepto Anterior]],Conceptos_Cumplimiento[#All],5,0),"")</f>
        <v/>
      </c>
      <c r="F910" t="str">
        <f>+IFERROR(VLOOKUP(Fact_Cumplimiento[[#This Row], 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ht="18.75" customHeight="1" x14ac:dyDescent="0.35">
      <c r="C911" s="100" t="str">
        <f>IF(OR(Fact_Cumplimiento[[#This Row], [Año]]="",Fact_Cumplimiento[[#This Row], [Mes]]=""),"",DATE(A911,MATCH(B911,{"enero","febrero","marzo","abril","mayo","junio","julio","agosto","septiembre","octubre","noviembre","diciembre"},0)+1,0))</f>
        <v/>
      </c>
      <c r="E911" t="str">
        <f>+IFERROR(VLOOKUP(Fact_Cumplimiento[[#This Row], [Concepto Anterior]],Conceptos_Cumplimiento[#All],5,0),"")</f>
        <v/>
      </c>
      <c r="F911" t="str">
        <f>+IFERROR(VLOOKUP(Fact_Cumplimiento[[#This Row], 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ht="18.75" customHeight="1" x14ac:dyDescent="0.35">
      <c r="C912" s="100" t="str">
        <f>IF(OR(Fact_Cumplimiento[[#This Row], [Año]]="",Fact_Cumplimiento[[#This Row], [Mes]]=""),"",DATE(A912,MATCH(B912,{"enero","febrero","marzo","abril","mayo","junio","julio","agosto","septiembre","octubre","noviembre","diciembre"},0)+1,0))</f>
        <v/>
      </c>
      <c r="E912" t="str">
        <f>+IFERROR(VLOOKUP(Fact_Cumplimiento[[#This Row], [Concepto Anterior]],Conceptos_Cumplimiento[#All],5,0),"")</f>
        <v/>
      </c>
      <c r="F912" t="str">
        <f>+IFERROR(VLOOKUP(Fact_Cumplimiento[[#This Row], 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ht="18.75" customHeight="1" x14ac:dyDescent="0.35">
      <c r="C913" s="100" t="str">
        <f>IF(OR(Fact_Cumplimiento[[#This Row], [Año]]="",Fact_Cumplimiento[[#This Row], [Mes]]=""),"",DATE(A913,MATCH(B913,{"enero","febrero","marzo","abril","mayo","junio","julio","agosto","septiembre","octubre","noviembre","diciembre"},0)+1,0))</f>
        <v/>
      </c>
      <c r="E913" t="str">
        <f>+IFERROR(VLOOKUP(Fact_Cumplimiento[[#This Row], [Concepto Anterior]],Conceptos_Cumplimiento[#All],5,0),"")</f>
        <v/>
      </c>
      <c r="F913" t="str">
        <f>+IFERROR(VLOOKUP(Fact_Cumplimiento[[#This Row], 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ht="18.75" customHeight="1" x14ac:dyDescent="0.35">
      <c r="C914" s="100" t="str">
        <f>IF(OR(Fact_Cumplimiento[[#This Row], [Año]]="",Fact_Cumplimiento[[#This Row], [Mes]]=""),"",DATE(A914,MATCH(B914,{"enero","febrero","marzo","abril","mayo","junio","julio","agosto","septiembre","octubre","noviembre","diciembre"},0)+1,0))</f>
        <v/>
      </c>
      <c r="E914" t="str">
        <f>+IFERROR(VLOOKUP(Fact_Cumplimiento[[#This Row], [Concepto Anterior]],Conceptos_Cumplimiento[#All],5,0),"")</f>
        <v/>
      </c>
      <c r="F914" t="str">
        <f>+IFERROR(VLOOKUP(Fact_Cumplimiento[[#This Row], 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ht="18.75" customHeight="1" x14ac:dyDescent="0.35">
      <c r="C915" s="100" t="str">
        <f>IF(OR(Fact_Cumplimiento[[#This Row], [Año]]="",Fact_Cumplimiento[[#This Row], [Mes]]=""),"",DATE(A915,MATCH(B915,{"enero","febrero","marzo","abril","mayo","junio","julio","agosto","septiembre","octubre","noviembre","diciembre"},0)+1,0))</f>
        <v/>
      </c>
      <c r="E915" t="str">
        <f>+IFERROR(VLOOKUP(Fact_Cumplimiento[[#This Row], [Concepto Anterior]],Conceptos_Cumplimiento[#All],5,0),"")</f>
        <v/>
      </c>
      <c r="F915" t="str">
        <f>+IFERROR(VLOOKUP(Fact_Cumplimiento[[#This Row], 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ht="18.75" customHeight="1" x14ac:dyDescent="0.35">
      <c r="C916" s="100" t="str">
        <f>IF(OR(Fact_Cumplimiento[[#This Row], [Año]]="",Fact_Cumplimiento[[#This Row], [Mes]]=""),"",DATE(A916,MATCH(B916,{"enero","febrero","marzo","abril","mayo","junio","julio","agosto","septiembre","octubre","noviembre","diciembre"},0)+1,0))</f>
        <v/>
      </c>
      <c r="E916" t="str">
        <f>+IFERROR(VLOOKUP(Fact_Cumplimiento[[#This Row], [Concepto Anterior]],Conceptos_Cumplimiento[#All],5,0),"")</f>
        <v/>
      </c>
      <c r="F916" t="str">
        <f>+IFERROR(VLOOKUP(Fact_Cumplimiento[[#This Row], 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ht="18.75" customHeight="1" x14ac:dyDescent="0.35">
      <c r="C917" s="100" t="str">
        <f>IF(OR(Fact_Cumplimiento[[#This Row], [Año]]="",Fact_Cumplimiento[[#This Row], [Mes]]=""),"",DATE(A917,MATCH(B917,{"enero","febrero","marzo","abril","mayo","junio","julio","agosto","septiembre","octubre","noviembre","diciembre"},0)+1,0))</f>
        <v/>
      </c>
      <c r="E917" t="str">
        <f>+IFERROR(VLOOKUP(Fact_Cumplimiento[[#This Row], [Concepto Anterior]],Conceptos_Cumplimiento[#All],5,0),"")</f>
        <v/>
      </c>
      <c r="F917" t="str">
        <f>+IFERROR(VLOOKUP(Fact_Cumplimiento[[#This Row], 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ht="18.75" customHeight="1" x14ac:dyDescent="0.35">
      <c r="C918" s="100" t="str">
        <f>IF(OR(Fact_Cumplimiento[[#This Row], [Año]]="",Fact_Cumplimiento[[#This Row], [Mes]]=""),"",DATE(A918,MATCH(B918,{"enero","febrero","marzo","abril","mayo","junio","julio","agosto","septiembre","octubre","noviembre","diciembre"},0)+1,0))</f>
        <v/>
      </c>
      <c r="E918" t="str">
        <f>+IFERROR(VLOOKUP(Fact_Cumplimiento[[#This Row], [Concepto Anterior]],Conceptos_Cumplimiento[#All],5,0),"")</f>
        <v/>
      </c>
      <c r="F918" t="str">
        <f>+IFERROR(VLOOKUP(Fact_Cumplimiento[[#This Row], 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ht="18.75" customHeight="1" x14ac:dyDescent="0.35">
      <c r="C919" s="100" t="str">
        <f>IF(OR(Fact_Cumplimiento[[#This Row], [Año]]="",Fact_Cumplimiento[[#This Row], [Mes]]=""),"",DATE(A919,MATCH(B919,{"enero","febrero","marzo","abril","mayo","junio","julio","agosto","septiembre","octubre","noviembre","diciembre"},0)+1,0))</f>
        <v/>
      </c>
      <c r="E919" t="str">
        <f>+IFERROR(VLOOKUP(Fact_Cumplimiento[[#This Row], [Concepto Anterior]],Conceptos_Cumplimiento[#All],5,0),"")</f>
        <v/>
      </c>
      <c r="F919" t="str">
        <f>+IFERROR(VLOOKUP(Fact_Cumplimiento[[#This Row], 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ht="18.75" customHeight="1" x14ac:dyDescent="0.35">
      <c r="C920" s="100" t="str">
        <f>IF(OR(Fact_Cumplimiento[[#This Row], [Año]]="",Fact_Cumplimiento[[#This Row], [Mes]]=""),"",DATE(A920,MATCH(B920,{"enero","febrero","marzo","abril","mayo","junio","julio","agosto","septiembre","octubre","noviembre","diciembre"},0)+1,0))</f>
        <v/>
      </c>
      <c r="E920" t="str">
        <f>+IFERROR(VLOOKUP(Fact_Cumplimiento[[#This Row], [Concepto Anterior]],Conceptos_Cumplimiento[#All],5,0),"")</f>
        <v/>
      </c>
      <c r="F920" t="str">
        <f>+IFERROR(VLOOKUP(Fact_Cumplimiento[[#This Row], 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ht="18.75" customHeight="1" x14ac:dyDescent="0.35">
      <c r="C921" s="100" t="str">
        <f>IF(OR(Fact_Cumplimiento[[#This Row], [Año]]="",Fact_Cumplimiento[[#This Row], [Mes]]=""),"",DATE(A921,MATCH(B921,{"enero","febrero","marzo","abril","mayo","junio","julio","agosto","septiembre","octubre","noviembre","diciembre"},0)+1,0))</f>
        <v/>
      </c>
      <c r="E921" t="str">
        <f>+IFERROR(VLOOKUP(Fact_Cumplimiento[[#This Row], [Concepto Anterior]],Conceptos_Cumplimiento[#All],5,0),"")</f>
        <v/>
      </c>
      <c r="F921" t="str">
        <f>+IFERROR(VLOOKUP(Fact_Cumplimiento[[#This Row], 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ht="18.75" customHeight="1" x14ac:dyDescent="0.35">
      <c r="C922" s="100" t="str">
        <f>IF(OR(Fact_Cumplimiento[[#This Row], [Año]]="",Fact_Cumplimiento[[#This Row], [Mes]]=""),"",DATE(A922,MATCH(B922,{"enero","febrero","marzo","abril","mayo","junio","julio","agosto","septiembre","octubre","noviembre","diciembre"},0)+1,0))</f>
        <v/>
      </c>
      <c r="E922" t="str">
        <f>+IFERROR(VLOOKUP(Fact_Cumplimiento[[#This Row], [Concepto Anterior]],Conceptos_Cumplimiento[#All],5,0),"")</f>
        <v/>
      </c>
      <c r="F922" t="str">
        <f>+IFERROR(VLOOKUP(Fact_Cumplimiento[[#This Row], 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ht="18.75" customHeight="1" x14ac:dyDescent="0.35">
      <c r="C923" s="100" t="str">
        <f>IF(OR(Fact_Cumplimiento[[#This Row], [Año]]="",Fact_Cumplimiento[[#This Row], [Mes]]=""),"",DATE(A923,MATCH(B923,{"enero","febrero","marzo","abril","mayo","junio","julio","agosto","septiembre","octubre","noviembre","diciembre"},0)+1,0))</f>
        <v/>
      </c>
      <c r="E923" t="str">
        <f>+IFERROR(VLOOKUP(Fact_Cumplimiento[[#This Row], [Concepto Anterior]],Conceptos_Cumplimiento[#All],5,0),"")</f>
        <v/>
      </c>
      <c r="F923" t="str">
        <f>+IFERROR(VLOOKUP(Fact_Cumplimiento[[#This Row], 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ht="18.75" customHeight="1" x14ac:dyDescent="0.35">
      <c r="C924" s="100" t="str">
        <f>IF(OR(Fact_Cumplimiento[[#This Row], [Año]]="",Fact_Cumplimiento[[#This Row], [Mes]]=""),"",DATE(A924,MATCH(B924,{"enero","febrero","marzo","abril","mayo","junio","julio","agosto","septiembre","octubre","noviembre","diciembre"},0)+1,0))</f>
        <v/>
      </c>
      <c r="E924" t="str">
        <f>+IFERROR(VLOOKUP(Fact_Cumplimiento[[#This Row], [Concepto Anterior]],Conceptos_Cumplimiento[#All],5,0),"")</f>
        <v/>
      </c>
      <c r="F924" t="str">
        <f>+IFERROR(VLOOKUP(Fact_Cumplimiento[[#This Row], 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ht="18.75" customHeight="1" x14ac:dyDescent="0.35">
      <c r="C925" s="100" t="str">
        <f>IF(OR(Fact_Cumplimiento[[#This Row], [Año]]="",Fact_Cumplimiento[[#This Row], [Mes]]=""),"",DATE(A925,MATCH(B925,{"enero","febrero","marzo","abril","mayo","junio","julio","agosto","septiembre","octubre","noviembre","diciembre"},0)+1,0))</f>
        <v/>
      </c>
      <c r="E925" t="str">
        <f>+IFERROR(VLOOKUP(Fact_Cumplimiento[[#This Row], [Concepto Anterior]],Conceptos_Cumplimiento[#All],5,0),"")</f>
        <v/>
      </c>
      <c r="F925" t="str">
        <f>+IFERROR(VLOOKUP(Fact_Cumplimiento[[#This Row], 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ht="18.75" customHeight="1" x14ac:dyDescent="0.35">
      <c r="C926" s="100" t="str">
        <f>IF(OR(Fact_Cumplimiento[[#This Row], [Año]]="",Fact_Cumplimiento[[#This Row], [Mes]]=""),"",DATE(A926,MATCH(B926,{"enero","febrero","marzo","abril","mayo","junio","julio","agosto","septiembre","octubre","noviembre","diciembre"},0)+1,0))</f>
        <v/>
      </c>
      <c r="E926" t="str">
        <f>+IFERROR(VLOOKUP(Fact_Cumplimiento[[#This Row], [Concepto Anterior]],Conceptos_Cumplimiento[#All],5,0),"")</f>
        <v/>
      </c>
      <c r="F926" t="str">
        <f>+IFERROR(VLOOKUP(Fact_Cumplimiento[[#This Row], 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ht="18.75" customHeight="1" x14ac:dyDescent="0.35">
      <c r="C927" s="100" t="str">
        <f>IF(OR(Fact_Cumplimiento[[#This Row], [Año]]="",Fact_Cumplimiento[[#This Row], [Mes]]=""),"",DATE(A927,MATCH(B927,{"enero","febrero","marzo","abril","mayo","junio","julio","agosto","septiembre","octubre","noviembre","diciembre"},0)+1,0))</f>
        <v/>
      </c>
      <c r="E927" t="str">
        <f>+IFERROR(VLOOKUP(Fact_Cumplimiento[[#This Row], [Concepto Anterior]],Conceptos_Cumplimiento[#All],5,0),"")</f>
        <v/>
      </c>
      <c r="F927" t="str">
        <f>+IFERROR(VLOOKUP(Fact_Cumplimiento[[#This Row], 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ht="18.75" customHeight="1" x14ac:dyDescent="0.35">
      <c r="C928" s="100" t="str">
        <f>IF(OR(Fact_Cumplimiento[[#This Row], [Año]]="",Fact_Cumplimiento[[#This Row], [Mes]]=""),"",DATE(A928,MATCH(B928,{"enero","febrero","marzo","abril","mayo","junio","julio","agosto","septiembre","octubre","noviembre","diciembre"},0)+1,0))</f>
        <v/>
      </c>
      <c r="E928" t="str">
        <f>+IFERROR(VLOOKUP(Fact_Cumplimiento[[#This Row], [Concepto Anterior]],Conceptos_Cumplimiento[#All],5,0),"")</f>
        <v/>
      </c>
      <c r="F928" t="str">
        <f>+IFERROR(VLOOKUP(Fact_Cumplimiento[[#This Row], 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ht="18.75" customHeight="1" x14ac:dyDescent="0.35">
      <c r="C929" s="100" t="str">
        <f>IF(OR(Fact_Cumplimiento[[#This Row], [Año]]="",Fact_Cumplimiento[[#This Row], [Mes]]=""),"",DATE(A929,MATCH(B929,{"enero","febrero","marzo","abril","mayo","junio","julio","agosto","septiembre","octubre","noviembre","diciembre"},0)+1,0))</f>
        <v/>
      </c>
      <c r="E929" t="str">
        <f>+IFERROR(VLOOKUP(Fact_Cumplimiento[[#This Row], [Concepto Anterior]],Conceptos_Cumplimiento[#All],5,0),"")</f>
        <v/>
      </c>
      <c r="F929" t="str">
        <f>+IFERROR(VLOOKUP(Fact_Cumplimiento[[#This Row], 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ht="18.75" customHeight="1" x14ac:dyDescent="0.35">
      <c r="C930" s="100" t="str">
        <f>IF(OR(Fact_Cumplimiento[[#This Row], [Año]]="",Fact_Cumplimiento[[#This Row], [Mes]]=""),"",DATE(A930,MATCH(B930,{"enero","febrero","marzo","abril","mayo","junio","julio","agosto","septiembre","octubre","noviembre","diciembre"},0)+1,0))</f>
        <v/>
      </c>
      <c r="E930" t="str">
        <f>+IFERROR(VLOOKUP(Fact_Cumplimiento[[#This Row], [Concepto Anterior]],Conceptos_Cumplimiento[#All],5,0),"")</f>
        <v/>
      </c>
      <c r="F930" t="str">
        <f>+IFERROR(VLOOKUP(Fact_Cumplimiento[[#This Row], 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ht="18.75" customHeight="1" x14ac:dyDescent="0.35">
      <c r="C931" s="100" t="str">
        <f>IF(OR(Fact_Cumplimiento[[#This Row], [Año]]="",Fact_Cumplimiento[[#This Row], [Mes]]=""),"",DATE(A931,MATCH(B931,{"enero","febrero","marzo","abril","mayo","junio","julio","agosto","septiembre","octubre","noviembre","diciembre"},0)+1,0))</f>
        <v/>
      </c>
      <c r="E931" t="str">
        <f>+IFERROR(VLOOKUP(Fact_Cumplimiento[[#This Row], [Concepto Anterior]],Conceptos_Cumplimiento[#All],5,0),"")</f>
        <v/>
      </c>
      <c r="F931" t="str">
        <f>+IFERROR(VLOOKUP(Fact_Cumplimiento[[#This Row], 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ht="18.75" customHeight="1" x14ac:dyDescent="0.35">
      <c r="C932" s="100" t="str">
        <f>IF(OR(Fact_Cumplimiento[[#This Row], [Año]]="",Fact_Cumplimiento[[#This Row], [Mes]]=""),"",DATE(A932,MATCH(B932,{"enero","febrero","marzo","abril","mayo","junio","julio","agosto","septiembre","octubre","noviembre","diciembre"},0)+1,0))</f>
        <v/>
      </c>
      <c r="E932" t="str">
        <f>+IFERROR(VLOOKUP(Fact_Cumplimiento[[#This Row], [Concepto Anterior]],Conceptos_Cumplimiento[#All],5,0),"")</f>
        <v/>
      </c>
      <c r="F932" t="str">
        <f>+IFERROR(VLOOKUP(Fact_Cumplimiento[[#This Row], 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ht="18.75" customHeight="1" x14ac:dyDescent="0.35">
      <c r="C933" s="100" t="str">
        <f>IF(OR(Fact_Cumplimiento[[#This Row], [Año]]="",Fact_Cumplimiento[[#This Row], [Mes]]=""),"",DATE(A933,MATCH(B933,{"enero","febrero","marzo","abril","mayo","junio","julio","agosto","septiembre","octubre","noviembre","diciembre"},0)+1,0))</f>
        <v/>
      </c>
      <c r="E933" t="str">
        <f>+IFERROR(VLOOKUP(Fact_Cumplimiento[[#This Row], [Concepto Anterior]],Conceptos_Cumplimiento[#All],5,0),"")</f>
        <v/>
      </c>
      <c r="F933" t="str">
        <f>+IFERROR(VLOOKUP(Fact_Cumplimiento[[#This Row], 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ht="18.75" customHeight="1" x14ac:dyDescent="0.35">
      <c r="C934" s="100" t="str">
        <f>IF(OR(Fact_Cumplimiento[[#This Row], [Año]]="",Fact_Cumplimiento[[#This Row], [Mes]]=""),"",DATE(A934,MATCH(B934,{"enero","febrero","marzo","abril","mayo","junio","julio","agosto","septiembre","octubre","noviembre","diciembre"},0)+1,0))</f>
        <v/>
      </c>
      <c r="E934" t="str">
        <f>+IFERROR(VLOOKUP(Fact_Cumplimiento[[#This Row], [Concepto Anterior]],Conceptos_Cumplimiento[#All],5,0),"")</f>
        <v/>
      </c>
      <c r="F934" t="str">
        <f>+IFERROR(VLOOKUP(Fact_Cumplimiento[[#This Row], 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ht="18.75" customHeight="1" x14ac:dyDescent="0.35">
      <c r="C935" s="100" t="str">
        <f>IF(OR(Fact_Cumplimiento[[#This Row], [Año]]="",Fact_Cumplimiento[[#This Row], [Mes]]=""),"",DATE(A935,MATCH(B935,{"enero","febrero","marzo","abril","mayo","junio","julio","agosto","septiembre","octubre","noviembre","diciembre"},0)+1,0))</f>
        <v/>
      </c>
      <c r="E935" t="str">
        <f>+IFERROR(VLOOKUP(Fact_Cumplimiento[[#This Row], [Concepto Anterior]],Conceptos_Cumplimiento[#All],5,0),"")</f>
        <v/>
      </c>
      <c r="F935" t="str">
        <f>+IFERROR(VLOOKUP(Fact_Cumplimiento[[#This Row], 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ht="18.75" customHeight="1" x14ac:dyDescent="0.35">
      <c r="C936" s="100" t="str">
        <f>IF(OR(Fact_Cumplimiento[[#This Row], [Año]]="",Fact_Cumplimiento[[#This Row], [Mes]]=""),"",DATE(A936,MATCH(B936,{"enero","febrero","marzo","abril","mayo","junio","julio","agosto","septiembre","octubre","noviembre","diciembre"},0)+1,0))</f>
        <v/>
      </c>
      <c r="E936" t="str">
        <f>+IFERROR(VLOOKUP(Fact_Cumplimiento[[#This Row], [Concepto Anterior]],Conceptos_Cumplimiento[#All],5,0),"")</f>
        <v/>
      </c>
      <c r="F936" t="str">
        <f>+IFERROR(VLOOKUP(Fact_Cumplimiento[[#This Row], 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ht="18.75" customHeight="1" x14ac:dyDescent="0.35">
      <c r="C937" s="100" t="str">
        <f>IF(OR(Fact_Cumplimiento[[#This Row], [Año]]="",Fact_Cumplimiento[[#This Row], [Mes]]=""),"",DATE(A937,MATCH(B937,{"enero","febrero","marzo","abril","mayo","junio","julio","agosto","septiembre","octubre","noviembre","diciembre"},0)+1,0))</f>
        <v/>
      </c>
      <c r="E937" t="str">
        <f>+IFERROR(VLOOKUP(Fact_Cumplimiento[[#This Row], [Concepto Anterior]],Conceptos_Cumplimiento[#All],5,0),"")</f>
        <v/>
      </c>
      <c r="F937" t="str">
        <f>+IFERROR(VLOOKUP(Fact_Cumplimiento[[#This Row], 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ht="18.75" customHeight="1" x14ac:dyDescent="0.35">
      <c r="C938" s="100" t="str">
        <f>IF(OR(Fact_Cumplimiento[[#This Row], [Año]]="",Fact_Cumplimiento[[#This Row], [Mes]]=""),"",DATE(A938,MATCH(B938,{"enero","febrero","marzo","abril","mayo","junio","julio","agosto","septiembre","octubre","noviembre","diciembre"},0)+1,0))</f>
        <v/>
      </c>
      <c r="E938" t="str">
        <f>+IFERROR(VLOOKUP(Fact_Cumplimiento[[#This Row], [Concepto Anterior]],Conceptos_Cumplimiento[#All],5,0),"")</f>
        <v/>
      </c>
      <c r="F938" t="str">
        <f>+IFERROR(VLOOKUP(Fact_Cumplimiento[[#This Row], 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ht="18.75" customHeight="1" x14ac:dyDescent="0.35">
      <c r="C939" s="100" t="str">
        <f>IF(OR(Fact_Cumplimiento[[#This Row], [Año]]="",Fact_Cumplimiento[[#This Row], [Mes]]=""),"",DATE(A939,MATCH(B939,{"enero","febrero","marzo","abril","mayo","junio","julio","agosto","septiembre","octubre","noviembre","diciembre"},0)+1,0))</f>
        <v/>
      </c>
      <c r="E939" t="str">
        <f>+IFERROR(VLOOKUP(Fact_Cumplimiento[[#This Row], [Concepto Anterior]],Conceptos_Cumplimiento[#All],5,0),"")</f>
        <v/>
      </c>
      <c r="F939" t="str">
        <f>+IFERROR(VLOOKUP(Fact_Cumplimiento[[#This Row], 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ht="18.75" customHeight="1" x14ac:dyDescent="0.35">
      <c r="C940" s="100" t="str">
        <f>IF(OR(Fact_Cumplimiento[[#This Row], [Año]]="",Fact_Cumplimiento[[#This Row], [Mes]]=""),"",DATE(A940,MATCH(B940,{"enero","febrero","marzo","abril","mayo","junio","julio","agosto","septiembre","octubre","noviembre","diciembre"},0)+1,0))</f>
        <v/>
      </c>
      <c r="E940" t="str">
        <f>+IFERROR(VLOOKUP(Fact_Cumplimiento[[#This Row], [Concepto Anterior]],Conceptos_Cumplimiento[#All],5,0),"")</f>
        <v/>
      </c>
      <c r="F940" t="str">
        <f>+IFERROR(VLOOKUP(Fact_Cumplimiento[[#This Row], 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ht="18.75" customHeight="1" x14ac:dyDescent="0.35">
      <c r="C941" s="100" t="str">
        <f>IF(OR(Fact_Cumplimiento[[#This Row], [Año]]="",Fact_Cumplimiento[[#This Row], [Mes]]=""),"",DATE(A941,MATCH(B941,{"enero","febrero","marzo","abril","mayo","junio","julio","agosto","septiembre","octubre","noviembre","diciembre"},0)+1,0))</f>
        <v/>
      </c>
      <c r="E941" t="str">
        <f>+IFERROR(VLOOKUP(Fact_Cumplimiento[[#This Row], [Concepto Anterior]],Conceptos_Cumplimiento[#All],5,0),"")</f>
        <v/>
      </c>
      <c r="F941" t="str">
        <f>+IFERROR(VLOOKUP(Fact_Cumplimiento[[#This Row], 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ht="18.75" customHeight="1" x14ac:dyDescent="0.35">
      <c r="C942" s="100" t="str">
        <f>IF(OR(Fact_Cumplimiento[[#This Row], [Año]]="",Fact_Cumplimiento[[#This Row], [Mes]]=""),"",DATE(A942,MATCH(B942,{"enero","febrero","marzo","abril","mayo","junio","julio","agosto","septiembre","octubre","noviembre","diciembre"},0)+1,0))</f>
        <v/>
      </c>
      <c r="E942" t="str">
        <f>+IFERROR(VLOOKUP(Fact_Cumplimiento[[#This Row], [Concepto Anterior]],Conceptos_Cumplimiento[#All],5,0),"")</f>
        <v/>
      </c>
      <c r="F942" t="str">
        <f>+IFERROR(VLOOKUP(Fact_Cumplimiento[[#This Row], 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ht="18.75" customHeight="1" x14ac:dyDescent="0.35">
      <c r="C943" s="100" t="str">
        <f>IF(OR(Fact_Cumplimiento[[#This Row], [Año]]="",Fact_Cumplimiento[[#This Row], [Mes]]=""),"",DATE(A943,MATCH(B943,{"enero","febrero","marzo","abril","mayo","junio","julio","agosto","septiembre","octubre","noviembre","diciembre"},0)+1,0))</f>
        <v/>
      </c>
      <c r="E943" t="str">
        <f>+IFERROR(VLOOKUP(Fact_Cumplimiento[[#This Row], [Concepto Anterior]],Conceptos_Cumplimiento[#All],5,0),"")</f>
        <v/>
      </c>
      <c r="F943" t="str">
        <f>+IFERROR(VLOOKUP(Fact_Cumplimiento[[#This Row], 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ht="18.75" customHeight="1" x14ac:dyDescent="0.35">
      <c r="C944" s="100" t="str">
        <f>IF(OR(Fact_Cumplimiento[[#This Row], [Año]]="",Fact_Cumplimiento[[#This Row], [Mes]]=""),"",DATE(A944,MATCH(B944,{"enero","febrero","marzo","abril","mayo","junio","julio","agosto","septiembre","octubre","noviembre","diciembre"},0)+1,0))</f>
        <v/>
      </c>
      <c r="E944" t="str">
        <f>+IFERROR(VLOOKUP(Fact_Cumplimiento[[#This Row], [Concepto Anterior]],Conceptos_Cumplimiento[#All],5,0),"")</f>
        <v/>
      </c>
      <c r="F944" t="str">
        <f>+IFERROR(VLOOKUP(Fact_Cumplimiento[[#This Row], 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ht="18.75" customHeight="1" x14ac:dyDescent="0.35">
      <c r="C945" s="100" t="str">
        <f>IF(OR(Fact_Cumplimiento[[#This Row], [Año]]="",Fact_Cumplimiento[[#This Row], [Mes]]=""),"",DATE(A945,MATCH(B945,{"enero","febrero","marzo","abril","mayo","junio","julio","agosto","septiembre","octubre","noviembre","diciembre"},0)+1,0))</f>
        <v/>
      </c>
      <c r="E945" t="str">
        <f>+IFERROR(VLOOKUP(Fact_Cumplimiento[[#This Row], [Concepto Anterior]],Conceptos_Cumplimiento[#All],5,0),"")</f>
        <v/>
      </c>
      <c r="F945" t="str">
        <f>+IFERROR(VLOOKUP(Fact_Cumplimiento[[#This Row], 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ht="18.75" customHeight="1" x14ac:dyDescent="0.35">
      <c r="C946" s="100" t="str">
        <f>IF(OR(Fact_Cumplimiento[[#This Row], [Año]]="",Fact_Cumplimiento[[#This Row], [Mes]]=""),"",DATE(A946,MATCH(B946,{"enero","febrero","marzo","abril","mayo","junio","julio","agosto","septiembre","octubre","noviembre","diciembre"},0)+1,0))</f>
        <v/>
      </c>
      <c r="E946" t="str">
        <f>+IFERROR(VLOOKUP(Fact_Cumplimiento[[#This Row], [Concepto Anterior]],Conceptos_Cumplimiento[#All],5,0),"")</f>
        <v/>
      </c>
      <c r="F946" t="str">
        <f>+IFERROR(VLOOKUP(Fact_Cumplimiento[[#This Row], 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ht="18.75" customHeight="1" x14ac:dyDescent="0.35">
      <c r="C947" s="100" t="str">
        <f>IF(OR(Fact_Cumplimiento[[#This Row], [Año]]="",Fact_Cumplimiento[[#This Row], [Mes]]=""),"",DATE(A947,MATCH(B947,{"enero","febrero","marzo","abril","mayo","junio","julio","agosto","septiembre","octubre","noviembre","diciembre"},0)+1,0))</f>
        <v/>
      </c>
      <c r="E947" t="str">
        <f>+IFERROR(VLOOKUP(Fact_Cumplimiento[[#This Row], [Concepto Anterior]],Conceptos_Cumplimiento[#All],5,0),"")</f>
        <v/>
      </c>
      <c r="F947" t="str">
        <f>+IFERROR(VLOOKUP(Fact_Cumplimiento[[#This Row], 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ht="18.75" customHeight="1" x14ac:dyDescent="0.35">
      <c r="C948" s="100" t="str">
        <f>IF(OR(Fact_Cumplimiento[[#This Row], [Año]]="",Fact_Cumplimiento[[#This Row], [Mes]]=""),"",DATE(A948,MATCH(B948,{"enero","febrero","marzo","abril","mayo","junio","julio","agosto","septiembre","octubre","noviembre","diciembre"},0)+1,0))</f>
        <v/>
      </c>
      <c r="E948" t="str">
        <f>+IFERROR(VLOOKUP(Fact_Cumplimiento[[#This Row], [Concepto Anterior]],Conceptos_Cumplimiento[#All],5,0),"")</f>
        <v/>
      </c>
      <c r="F948" t="str">
        <f>+IFERROR(VLOOKUP(Fact_Cumplimiento[[#This Row], 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ht="18.75" customHeight="1" x14ac:dyDescent="0.35">
      <c r="C949" s="100" t="str">
        <f>IF(OR(Fact_Cumplimiento[[#This Row], [Año]]="",Fact_Cumplimiento[[#This Row], [Mes]]=""),"",DATE(A949,MATCH(B949,{"enero","febrero","marzo","abril","mayo","junio","julio","agosto","septiembre","octubre","noviembre","diciembre"},0)+1,0))</f>
        <v/>
      </c>
      <c r="E949" t="str">
        <f>+IFERROR(VLOOKUP(Fact_Cumplimiento[[#This Row], [Concepto Anterior]],Conceptos_Cumplimiento[#All],5,0),"")</f>
        <v/>
      </c>
      <c r="F949" t="str">
        <f>+IFERROR(VLOOKUP(Fact_Cumplimiento[[#This Row], 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ht="18.75" customHeight="1" x14ac:dyDescent="0.35">
      <c r="C950" s="100" t="str">
        <f>IF(OR(Fact_Cumplimiento[[#This Row], [Año]]="",Fact_Cumplimiento[[#This Row], [Mes]]=""),"",DATE(A950,MATCH(B950,{"enero","febrero","marzo","abril","mayo","junio","julio","agosto","septiembre","octubre","noviembre","diciembre"},0)+1,0))</f>
        <v/>
      </c>
      <c r="E950" t="str">
        <f>+IFERROR(VLOOKUP(Fact_Cumplimiento[[#This Row], [Concepto Anterior]],Conceptos_Cumplimiento[#All],5,0),"")</f>
        <v/>
      </c>
      <c r="F950" t="str">
        <f>+IFERROR(VLOOKUP(Fact_Cumplimiento[[#This Row], 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ht="18.75" customHeight="1" x14ac:dyDescent="0.35">
      <c r="C951" s="100" t="str">
        <f>IF(OR(Fact_Cumplimiento[[#This Row], [Año]]="",Fact_Cumplimiento[[#This Row], [Mes]]=""),"",DATE(A951,MATCH(B951,{"enero","febrero","marzo","abril","mayo","junio","julio","agosto","septiembre","octubre","noviembre","diciembre"},0)+1,0))</f>
        <v/>
      </c>
      <c r="E951" t="str">
        <f>+IFERROR(VLOOKUP(Fact_Cumplimiento[[#This Row], [Concepto Anterior]],Conceptos_Cumplimiento[#All],5,0),"")</f>
        <v/>
      </c>
      <c r="F951" t="str">
        <f>+IFERROR(VLOOKUP(Fact_Cumplimiento[[#This Row], 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ht="18.75" customHeight="1" x14ac:dyDescent="0.35">
      <c r="C952" s="100" t="str">
        <f>IF(OR(Fact_Cumplimiento[[#This Row], [Año]]="",Fact_Cumplimiento[[#This Row], [Mes]]=""),"",DATE(A952,MATCH(B952,{"enero","febrero","marzo","abril","mayo","junio","julio","agosto","septiembre","octubre","noviembre","diciembre"},0)+1,0))</f>
        <v/>
      </c>
      <c r="E952" t="str">
        <f>+IFERROR(VLOOKUP(Fact_Cumplimiento[[#This Row], [Concepto Anterior]],Conceptos_Cumplimiento[#All],5,0),"")</f>
        <v/>
      </c>
      <c r="F952" t="str">
        <f>+IFERROR(VLOOKUP(Fact_Cumplimiento[[#This Row], 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ht="18.75" customHeight="1" x14ac:dyDescent="0.35">
      <c r="C953" s="100" t="str">
        <f>IF(OR(Fact_Cumplimiento[[#This Row], [Año]]="",Fact_Cumplimiento[[#This Row], [Mes]]=""),"",DATE(A953,MATCH(B953,{"enero","febrero","marzo","abril","mayo","junio","julio","agosto","septiembre","octubre","noviembre","diciembre"},0)+1,0))</f>
        <v/>
      </c>
      <c r="E953" t="str">
        <f>+IFERROR(VLOOKUP(Fact_Cumplimiento[[#This Row], [Concepto Anterior]],Conceptos_Cumplimiento[#All],5,0),"")</f>
        <v/>
      </c>
      <c r="F953" t="str">
        <f>+IFERROR(VLOOKUP(Fact_Cumplimiento[[#This Row], 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ht="18.75" customHeight="1" x14ac:dyDescent="0.35">
      <c r="C954" s="100" t="str">
        <f>IF(OR(Fact_Cumplimiento[[#This Row], [Año]]="",Fact_Cumplimiento[[#This Row], [Mes]]=""),"",DATE(A954,MATCH(B954,{"enero","febrero","marzo","abril","mayo","junio","julio","agosto","septiembre","octubre","noviembre","diciembre"},0)+1,0))</f>
        <v/>
      </c>
      <c r="E954" t="str">
        <f>+IFERROR(VLOOKUP(Fact_Cumplimiento[[#This Row], [Concepto Anterior]],Conceptos_Cumplimiento[#All],5,0),"")</f>
        <v/>
      </c>
      <c r="F954" t="str">
        <f>+IFERROR(VLOOKUP(Fact_Cumplimiento[[#This Row], 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ht="18.75" customHeight="1" x14ac:dyDescent="0.35">
      <c r="C955" s="100" t="str">
        <f>IF(OR(Fact_Cumplimiento[[#This Row], [Año]]="",Fact_Cumplimiento[[#This Row], [Mes]]=""),"",DATE(A955,MATCH(B955,{"enero","febrero","marzo","abril","mayo","junio","julio","agosto","septiembre","octubre","noviembre","diciembre"},0)+1,0))</f>
        <v/>
      </c>
      <c r="E955" t="str">
        <f>+IFERROR(VLOOKUP(Fact_Cumplimiento[[#This Row], [Concepto Anterior]],Conceptos_Cumplimiento[#All],5,0),"")</f>
        <v/>
      </c>
      <c r="F955" t="str">
        <f>+IFERROR(VLOOKUP(Fact_Cumplimiento[[#This Row], 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ht="18.75" customHeight="1" x14ac:dyDescent="0.35">
      <c r="C956" s="100" t="str">
        <f>IF(OR(Fact_Cumplimiento[[#This Row], [Año]]="",Fact_Cumplimiento[[#This Row], [Mes]]=""),"",DATE(A956,MATCH(B956,{"enero","febrero","marzo","abril","mayo","junio","julio","agosto","septiembre","octubre","noviembre","diciembre"},0)+1,0))</f>
        <v/>
      </c>
      <c r="E956" t="str">
        <f>+IFERROR(VLOOKUP(Fact_Cumplimiento[[#This Row], [Concepto Anterior]],Conceptos_Cumplimiento[#All],5,0),"")</f>
        <v/>
      </c>
      <c r="F956" t="str">
        <f>+IFERROR(VLOOKUP(Fact_Cumplimiento[[#This Row], 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ht="18.75" customHeight="1" x14ac:dyDescent="0.35">
      <c r="C957" s="100" t="str">
        <f>IF(OR(Fact_Cumplimiento[[#This Row], [Año]]="",Fact_Cumplimiento[[#This Row], [Mes]]=""),"",DATE(A957,MATCH(B957,{"enero","febrero","marzo","abril","mayo","junio","julio","agosto","septiembre","octubre","noviembre","diciembre"},0)+1,0))</f>
        <v/>
      </c>
      <c r="E957" t="str">
        <f>+IFERROR(VLOOKUP(Fact_Cumplimiento[[#This Row], [Concepto Anterior]],Conceptos_Cumplimiento[#All],5,0),"")</f>
        <v/>
      </c>
      <c r="F957" t="str">
        <f>+IFERROR(VLOOKUP(Fact_Cumplimiento[[#This Row], 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ht="18.75" customHeight="1" x14ac:dyDescent="0.35">
      <c r="C958" s="100" t="str">
        <f>IF(OR(Fact_Cumplimiento[[#This Row], [Año]]="",Fact_Cumplimiento[[#This Row], [Mes]]=""),"",DATE(A958,MATCH(B958,{"enero","febrero","marzo","abril","mayo","junio","julio","agosto","septiembre","octubre","noviembre","diciembre"},0)+1,0))</f>
        <v/>
      </c>
      <c r="E958" t="str">
        <f>+IFERROR(VLOOKUP(Fact_Cumplimiento[[#This Row], [Concepto Anterior]],Conceptos_Cumplimiento[#All],5,0),"")</f>
        <v/>
      </c>
      <c r="F958" t="str">
        <f>+IFERROR(VLOOKUP(Fact_Cumplimiento[[#This Row], 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ht="18.75" customHeight="1" x14ac:dyDescent="0.35">
      <c r="C959" s="100" t="str">
        <f>IF(OR(Fact_Cumplimiento[[#This Row], [Año]]="",Fact_Cumplimiento[[#This Row], [Mes]]=""),"",DATE(A959,MATCH(B959,{"enero","febrero","marzo","abril","mayo","junio","julio","agosto","septiembre","octubre","noviembre","diciembre"},0)+1,0))</f>
        <v/>
      </c>
      <c r="E959" t="str">
        <f>+IFERROR(VLOOKUP(Fact_Cumplimiento[[#This Row], [Concepto Anterior]],Conceptos_Cumplimiento[#All],5,0),"")</f>
        <v/>
      </c>
      <c r="F959" t="str">
        <f>+IFERROR(VLOOKUP(Fact_Cumplimiento[[#This Row], 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ht="18.75" customHeight="1" x14ac:dyDescent="0.35">
      <c r="C960" s="100" t="str">
        <f>IF(OR(Fact_Cumplimiento[[#This Row], [Año]]="",Fact_Cumplimiento[[#This Row], [Mes]]=""),"",DATE(A960,MATCH(B960,{"enero","febrero","marzo","abril","mayo","junio","julio","agosto","septiembre","octubre","noviembre","diciembre"},0)+1,0))</f>
        <v/>
      </c>
      <c r="E960" t="str">
        <f>+IFERROR(VLOOKUP(Fact_Cumplimiento[[#This Row], [Concepto Anterior]],Conceptos_Cumplimiento[#All],5,0),"")</f>
        <v/>
      </c>
      <c r="F960" t="str">
        <f>+IFERROR(VLOOKUP(Fact_Cumplimiento[[#This Row], 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ht="18.75" customHeight="1" x14ac:dyDescent="0.35">
      <c r="C961" s="100" t="str">
        <f>IF(OR(Fact_Cumplimiento[[#This Row], [Año]]="",Fact_Cumplimiento[[#This Row], [Mes]]=""),"",DATE(A961,MATCH(B961,{"enero","febrero","marzo","abril","mayo","junio","julio","agosto","septiembre","octubre","noviembre","diciembre"},0)+1,0))</f>
        <v/>
      </c>
      <c r="E961" t="str">
        <f>+IFERROR(VLOOKUP(Fact_Cumplimiento[[#This Row], [Concepto Anterior]],Conceptos_Cumplimiento[#All],5,0),"")</f>
        <v/>
      </c>
      <c r="F961" t="str">
        <f>+IFERROR(VLOOKUP(Fact_Cumplimiento[[#This Row], 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ht="18.75" customHeight="1" x14ac:dyDescent="0.35">
      <c r="C962" s="100" t="str">
        <f>IF(OR(Fact_Cumplimiento[[#This Row], [Año]]="",Fact_Cumplimiento[[#This Row], [Mes]]=""),"",DATE(A962,MATCH(B962,{"enero","febrero","marzo","abril","mayo","junio","julio","agosto","septiembre","octubre","noviembre","diciembre"},0)+1,0))</f>
        <v/>
      </c>
      <c r="E962" t="str">
        <f>+IFERROR(VLOOKUP(Fact_Cumplimiento[[#This Row], [Concepto Anterior]],Conceptos_Cumplimiento[#All],5,0),"")</f>
        <v/>
      </c>
      <c r="F962" t="str">
        <f>+IFERROR(VLOOKUP(Fact_Cumplimiento[[#This Row], 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ht="18.75" customHeight="1" x14ac:dyDescent="0.35">
      <c r="C963" s="100" t="str">
        <f>IF(OR(Fact_Cumplimiento[[#This Row], [Año]]="",Fact_Cumplimiento[[#This Row], [Mes]]=""),"",DATE(A963,MATCH(B963,{"enero","febrero","marzo","abril","mayo","junio","julio","agosto","septiembre","octubre","noviembre","diciembre"},0)+1,0))</f>
        <v/>
      </c>
      <c r="E963" t="str">
        <f>+IFERROR(VLOOKUP(Fact_Cumplimiento[[#This Row], [Concepto Anterior]],Conceptos_Cumplimiento[#All],5,0),"")</f>
        <v/>
      </c>
      <c r="F963" t="str">
        <f>+IFERROR(VLOOKUP(Fact_Cumplimiento[[#This Row], 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ht="18.75" customHeight="1" x14ac:dyDescent="0.35">
      <c r="C964" s="100" t="str">
        <f>IF(OR(Fact_Cumplimiento[[#This Row], [Año]]="",Fact_Cumplimiento[[#This Row], [Mes]]=""),"",DATE(A964,MATCH(B964,{"enero","febrero","marzo","abril","mayo","junio","julio","agosto","septiembre","octubre","noviembre","diciembre"},0)+1,0))</f>
        <v/>
      </c>
      <c r="E964" t="str">
        <f>+IFERROR(VLOOKUP(Fact_Cumplimiento[[#This Row], [Concepto Anterior]],Conceptos_Cumplimiento[#All],5,0),"")</f>
        <v/>
      </c>
      <c r="F964" t="str">
        <f>+IFERROR(VLOOKUP(Fact_Cumplimiento[[#This Row], 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ht="18.75" customHeight="1" x14ac:dyDescent="0.35">
      <c r="C965" s="100" t="str">
        <f>IF(OR(Fact_Cumplimiento[[#This Row], [Año]]="",Fact_Cumplimiento[[#This Row], [Mes]]=""),"",DATE(A965,MATCH(B965,{"enero","febrero","marzo","abril","mayo","junio","julio","agosto","septiembre","octubre","noviembre","diciembre"},0)+1,0))</f>
        <v/>
      </c>
      <c r="E965" t="str">
        <f>+IFERROR(VLOOKUP(Fact_Cumplimiento[[#This Row], [Concepto Anterior]],Conceptos_Cumplimiento[#All],5,0),"")</f>
        <v/>
      </c>
      <c r="F965" t="str">
        <f>+IFERROR(VLOOKUP(Fact_Cumplimiento[[#This Row], 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ht="18.75" customHeight="1" x14ac:dyDescent="0.35">
      <c r="C966" s="100" t="str">
        <f>IF(OR(Fact_Cumplimiento[[#This Row], [Año]]="",Fact_Cumplimiento[[#This Row], [Mes]]=""),"",DATE(A966,MATCH(B966,{"enero","febrero","marzo","abril","mayo","junio","julio","agosto","septiembre","octubre","noviembre","diciembre"},0)+1,0))</f>
        <v/>
      </c>
      <c r="E966" t="str">
        <f>+IFERROR(VLOOKUP(Fact_Cumplimiento[[#This Row], [Concepto Anterior]],Conceptos_Cumplimiento[#All],5,0),"")</f>
        <v/>
      </c>
      <c r="F966" t="str">
        <f>+IFERROR(VLOOKUP(Fact_Cumplimiento[[#This Row], 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ht="18.75" customHeight="1" x14ac:dyDescent="0.35">
      <c r="C967" s="100" t="str">
        <f>IF(OR(Fact_Cumplimiento[[#This Row], [Año]]="",Fact_Cumplimiento[[#This Row], [Mes]]=""),"",DATE(A967,MATCH(B967,{"enero","febrero","marzo","abril","mayo","junio","julio","agosto","septiembre","octubre","noviembre","diciembre"},0)+1,0))</f>
        <v/>
      </c>
      <c r="E967" t="str">
        <f>+IFERROR(VLOOKUP(Fact_Cumplimiento[[#This Row], [Concepto Anterior]],Conceptos_Cumplimiento[#All],5,0),"")</f>
        <v/>
      </c>
      <c r="F967" t="str">
        <f>+IFERROR(VLOOKUP(Fact_Cumplimiento[[#This Row], 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ht="18.75" customHeight="1" x14ac:dyDescent="0.35">
      <c r="C968" s="100" t="str">
        <f>IF(OR(Fact_Cumplimiento[[#This Row], [Año]]="",Fact_Cumplimiento[[#This Row], [Mes]]=""),"",DATE(A968,MATCH(B968,{"enero","febrero","marzo","abril","mayo","junio","julio","agosto","septiembre","octubre","noviembre","diciembre"},0)+1,0))</f>
        <v/>
      </c>
      <c r="E968" t="str">
        <f>+IFERROR(VLOOKUP(Fact_Cumplimiento[[#This Row], [Concepto Anterior]],Conceptos_Cumplimiento[#All],5,0),"")</f>
        <v/>
      </c>
      <c r="F968" t="str">
        <f>+IFERROR(VLOOKUP(Fact_Cumplimiento[[#This Row], 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ht="18.75" customHeight="1" x14ac:dyDescent="0.35">
      <c r="C969" s="100" t="str">
        <f>IF(OR(Fact_Cumplimiento[[#This Row], [Año]]="",Fact_Cumplimiento[[#This Row], [Mes]]=""),"",DATE(A969,MATCH(B969,{"enero","febrero","marzo","abril","mayo","junio","julio","agosto","septiembre","octubre","noviembre","diciembre"},0)+1,0))</f>
        <v/>
      </c>
      <c r="E969" t="str">
        <f>+IFERROR(VLOOKUP(Fact_Cumplimiento[[#This Row], [Concepto Anterior]],Conceptos_Cumplimiento[#All],5,0),"")</f>
        <v/>
      </c>
      <c r="F969" t="str">
        <f>+IFERROR(VLOOKUP(Fact_Cumplimiento[[#This Row], 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ht="18.75" customHeight="1" x14ac:dyDescent="0.35">
      <c r="C970" s="100" t="str">
        <f>IF(OR(Fact_Cumplimiento[[#This Row], [Año]]="",Fact_Cumplimiento[[#This Row], [Mes]]=""),"",DATE(A970,MATCH(B970,{"enero","febrero","marzo","abril","mayo","junio","julio","agosto","septiembre","octubre","noviembre","diciembre"},0)+1,0))</f>
        <v/>
      </c>
      <c r="E970" t="str">
        <f>+IFERROR(VLOOKUP(Fact_Cumplimiento[[#This Row], [Concepto Anterior]],Conceptos_Cumplimiento[#All],5,0),"")</f>
        <v/>
      </c>
      <c r="F970" t="str">
        <f>+IFERROR(VLOOKUP(Fact_Cumplimiento[[#This Row], 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ht="18.75" customHeight="1" x14ac:dyDescent="0.35">
      <c r="C971" s="100" t="str">
        <f>IF(OR(Fact_Cumplimiento[[#This Row], [Año]]="",Fact_Cumplimiento[[#This Row], [Mes]]=""),"",DATE(A971,MATCH(B971,{"enero","febrero","marzo","abril","mayo","junio","julio","agosto","septiembre","octubre","noviembre","diciembre"},0)+1,0))</f>
        <v/>
      </c>
      <c r="E971" t="str">
        <f>+IFERROR(VLOOKUP(Fact_Cumplimiento[[#This Row], [Concepto Anterior]],Conceptos_Cumplimiento[#All],5,0),"")</f>
        <v/>
      </c>
      <c r="F971" t="str">
        <f>+IFERROR(VLOOKUP(Fact_Cumplimiento[[#This Row], 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ht="18.75" customHeight="1" x14ac:dyDescent="0.35">
      <c r="C972" s="100" t="str">
        <f>IF(OR(Fact_Cumplimiento[[#This Row], [Año]]="",Fact_Cumplimiento[[#This Row], [Mes]]=""),"",DATE(A972,MATCH(B972,{"enero","febrero","marzo","abril","mayo","junio","julio","agosto","septiembre","octubre","noviembre","diciembre"},0)+1,0))</f>
        <v/>
      </c>
      <c r="E972" t="str">
        <f>+IFERROR(VLOOKUP(Fact_Cumplimiento[[#This Row], [Concepto Anterior]],Conceptos_Cumplimiento[#All],5,0),"")</f>
        <v/>
      </c>
      <c r="F972" t="str">
        <f>+IFERROR(VLOOKUP(Fact_Cumplimiento[[#This Row], 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ht="18.75" customHeight="1" x14ac:dyDescent="0.35">
      <c r="C973" s="100" t="str">
        <f>IF(OR(Fact_Cumplimiento[[#This Row], [Año]]="",Fact_Cumplimiento[[#This Row], [Mes]]=""),"",DATE(A973,MATCH(B973,{"enero","febrero","marzo","abril","mayo","junio","julio","agosto","septiembre","octubre","noviembre","diciembre"},0)+1,0))</f>
        <v/>
      </c>
      <c r="E973" t="str">
        <f>+IFERROR(VLOOKUP(Fact_Cumplimiento[[#This Row], [Concepto Anterior]],Conceptos_Cumplimiento[#All],5,0),"")</f>
        <v/>
      </c>
      <c r="F973" t="str">
        <f>+IFERROR(VLOOKUP(Fact_Cumplimiento[[#This Row], 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ht="18.75" customHeight="1" x14ac:dyDescent="0.35">
      <c r="C974" s="100" t="str">
        <f>IF(OR(Fact_Cumplimiento[[#This Row], [Año]]="",Fact_Cumplimiento[[#This Row], [Mes]]=""),"",DATE(A974,MATCH(B974,{"enero","febrero","marzo","abril","mayo","junio","julio","agosto","septiembre","octubre","noviembre","diciembre"},0)+1,0))</f>
        <v/>
      </c>
      <c r="E974" t="str">
        <f>+IFERROR(VLOOKUP(Fact_Cumplimiento[[#This Row], [Concepto Anterior]],Conceptos_Cumplimiento[#All],5,0),"")</f>
        <v/>
      </c>
      <c r="F974" t="str">
        <f>+IFERROR(VLOOKUP(Fact_Cumplimiento[[#This Row], 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ht="18.75" customHeight="1" x14ac:dyDescent="0.35">
      <c r="C975" s="100" t="str">
        <f>IF(OR(Fact_Cumplimiento[[#This Row], [Año]]="",Fact_Cumplimiento[[#This Row], [Mes]]=""),"",DATE(A975,MATCH(B975,{"enero","febrero","marzo","abril","mayo","junio","julio","agosto","septiembre","octubre","noviembre","diciembre"},0)+1,0))</f>
        <v/>
      </c>
      <c r="E975" t="str">
        <f>+IFERROR(VLOOKUP(Fact_Cumplimiento[[#This Row], [Concepto Anterior]],Conceptos_Cumplimiento[#All],5,0),"")</f>
        <v/>
      </c>
      <c r="F975" t="str">
        <f>+IFERROR(VLOOKUP(Fact_Cumplimiento[[#This Row], 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ht="18.75" customHeight="1" x14ac:dyDescent="0.35">
      <c r="C976" s="100" t="str">
        <f>IF(OR(Fact_Cumplimiento[[#This Row], [Año]]="",Fact_Cumplimiento[[#This Row], [Mes]]=""),"",DATE(A976,MATCH(B976,{"enero","febrero","marzo","abril","mayo","junio","julio","agosto","septiembre","octubre","noviembre","diciembre"},0)+1,0))</f>
        <v/>
      </c>
      <c r="E976" t="str">
        <f>+IFERROR(VLOOKUP(Fact_Cumplimiento[[#This Row], [Concepto Anterior]],Conceptos_Cumplimiento[#All],5,0),"")</f>
        <v/>
      </c>
      <c r="F976" t="str">
        <f>+IFERROR(VLOOKUP(Fact_Cumplimiento[[#This Row], 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ht="18.75" customHeight="1" x14ac:dyDescent="0.35">
      <c r="C977" s="100" t="str">
        <f>IF(OR(Fact_Cumplimiento[[#This Row], [Año]]="",Fact_Cumplimiento[[#This Row], [Mes]]=""),"",DATE(A977,MATCH(B977,{"enero","febrero","marzo","abril","mayo","junio","julio","agosto","septiembre","octubre","noviembre","diciembre"},0)+1,0))</f>
        <v/>
      </c>
      <c r="E977" t="str">
        <f>+IFERROR(VLOOKUP(Fact_Cumplimiento[[#This Row], [Concepto Anterior]],Conceptos_Cumplimiento[#All],5,0),"")</f>
        <v/>
      </c>
      <c r="F977" t="str">
        <f>+IFERROR(VLOOKUP(Fact_Cumplimiento[[#This Row], 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ht="18.75" customHeight="1" x14ac:dyDescent="0.35">
      <c r="C978" s="100" t="str">
        <f>IF(OR(Fact_Cumplimiento[[#This Row], [Año]]="",Fact_Cumplimiento[[#This Row], [Mes]]=""),"",DATE(A978,MATCH(B978,{"enero","febrero","marzo","abril","mayo","junio","julio","agosto","septiembre","octubre","noviembre","diciembre"},0)+1,0))</f>
        <v/>
      </c>
      <c r="E978" t="str">
        <f>+IFERROR(VLOOKUP(Fact_Cumplimiento[[#This Row], [Concepto Anterior]],Conceptos_Cumplimiento[#All],5,0),"")</f>
        <v/>
      </c>
      <c r="F978" t="str">
        <f>+IFERROR(VLOOKUP(Fact_Cumplimiento[[#This Row], 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ht="18.75" customHeight="1" x14ac:dyDescent="0.35">
      <c r="C979" s="100" t="str">
        <f>IF(OR(Fact_Cumplimiento[[#This Row], [Año]]="",Fact_Cumplimiento[[#This Row], [Mes]]=""),"",DATE(A979,MATCH(B979,{"enero","febrero","marzo","abril","mayo","junio","julio","agosto","septiembre","octubre","noviembre","diciembre"},0)+1,0))</f>
        <v/>
      </c>
      <c r="E979" t="str">
        <f>+IFERROR(VLOOKUP(Fact_Cumplimiento[[#This Row], [Concepto Anterior]],Conceptos_Cumplimiento[#All],5,0),"")</f>
        <v/>
      </c>
      <c r="F979" t="str">
        <f>+IFERROR(VLOOKUP(Fact_Cumplimiento[[#This Row], 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ht="18.75" customHeight="1" x14ac:dyDescent="0.35">
      <c r="C980" s="100" t="str">
        <f>IF(OR(Fact_Cumplimiento[[#This Row], [Año]]="",Fact_Cumplimiento[[#This Row], [Mes]]=""),"",DATE(A980,MATCH(B980,{"enero","febrero","marzo","abril","mayo","junio","julio","agosto","septiembre","octubre","noviembre","diciembre"},0)+1,0))</f>
        <v/>
      </c>
      <c r="E980" t="str">
        <f>+IFERROR(VLOOKUP(Fact_Cumplimiento[[#This Row], [Concepto Anterior]],Conceptos_Cumplimiento[#All],5,0),"")</f>
        <v/>
      </c>
      <c r="F980" t="str">
        <f>+IFERROR(VLOOKUP(Fact_Cumplimiento[[#This Row], 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ht="18.75" customHeight="1" x14ac:dyDescent="0.35">
      <c r="C981" s="100" t="str">
        <f>IF(OR(Fact_Cumplimiento[[#This Row], [Año]]="",Fact_Cumplimiento[[#This Row], [Mes]]=""),"",DATE(A981,MATCH(B981,{"enero","febrero","marzo","abril","mayo","junio","julio","agosto","septiembre","octubre","noviembre","diciembre"},0)+1,0))</f>
        <v/>
      </c>
      <c r="E981" t="str">
        <f>+IFERROR(VLOOKUP(Fact_Cumplimiento[[#This Row], [Concepto Anterior]],Conceptos_Cumplimiento[#All],5,0),"")</f>
        <v/>
      </c>
      <c r="F981" t="str">
        <f>+IFERROR(VLOOKUP(Fact_Cumplimiento[[#This Row], 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ht="18.75" customHeight="1" x14ac:dyDescent="0.35">
      <c r="C982" s="100" t="str">
        <f>IF(OR(Fact_Cumplimiento[[#This Row], [Año]]="",Fact_Cumplimiento[[#This Row], [Mes]]=""),"",DATE(A982,MATCH(B982,{"enero","febrero","marzo","abril","mayo","junio","julio","agosto","septiembre","octubre","noviembre","diciembre"},0)+1,0))</f>
        <v/>
      </c>
      <c r="E982" t="str">
        <f>+IFERROR(VLOOKUP(Fact_Cumplimiento[[#This Row], [Concepto Anterior]],Conceptos_Cumplimiento[#All],5,0),"")</f>
        <v/>
      </c>
      <c r="F982" t="str">
        <f>+IFERROR(VLOOKUP(Fact_Cumplimiento[[#This Row], 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ht="18.75" customHeight="1" x14ac:dyDescent="0.35">
      <c r="C983" s="100" t="str">
        <f>IF(OR(Fact_Cumplimiento[[#This Row], [Año]]="",Fact_Cumplimiento[[#This Row], [Mes]]=""),"",DATE(A983,MATCH(B983,{"enero","febrero","marzo","abril","mayo","junio","julio","agosto","septiembre","octubre","noviembre","diciembre"},0)+1,0))</f>
        <v/>
      </c>
      <c r="E983" t="str">
        <f>+IFERROR(VLOOKUP(Fact_Cumplimiento[[#This Row], [Concepto Anterior]],Conceptos_Cumplimiento[#All],5,0),"")</f>
        <v/>
      </c>
      <c r="F983" t="str">
        <f>+IFERROR(VLOOKUP(Fact_Cumplimiento[[#This Row], 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ht="18.75" customHeight="1" x14ac:dyDescent="0.35">
      <c r="C984" s="100" t="str">
        <f>IF(OR(Fact_Cumplimiento[[#This Row], [Año]]="",Fact_Cumplimiento[[#This Row], [Mes]]=""),"",DATE(A984,MATCH(B984,{"enero","febrero","marzo","abril","mayo","junio","julio","agosto","septiembre","octubre","noviembre","diciembre"},0)+1,0))</f>
        <v/>
      </c>
      <c r="E984" t="str">
        <f>+IFERROR(VLOOKUP(Fact_Cumplimiento[[#This Row], [Concepto Anterior]],Conceptos_Cumplimiento[#All],5,0),"")</f>
        <v/>
      </c>
      <c r="F984" t="str">
        <f>+IFERROR(VLOOKUP(Fact_Cumplimiento[[#This Row], 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ht="18.75" customHeight="1" x14ac:dyDescent="0.35">
      <c r="C985" s="100" t="str">
        <f>IF(OR(Fact_Cumplimiento[[#This Row], [Año]]="",Fact_Cumplimiento[[#This Row], [Mes]]=""),"",DATE(A985,MATCH(B985,{"enero","febrero","marzo","abril","mayo","junio","julio","agosto","septiembre","octubre","noviembre","diciembre"},0)+1,0))</f>
        <v/>
      </c>
      <c r="E985" t="str">
        <f>+IFERROR(VLOOKUP(Fact_Cumplimiento[[#This Row], [Concepto Anterior]],Conceptos_Cumplimiento[#All],5,0),"")</f>
        <v/>
      </c>
      <c r="F985" t="str">
        <f>+IFERROR(VLOOKUP(Fact_Cumplimiento[[#This Row], 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ht="18.75" customHeight="1" x14ac:dyDescent="0.35">
      <c r="C986" s="100" t="str">
        <f>IF(OR(Fact_Cumplimiento[[#This Row], [Año]]="",Fact_Cumplimiento[[#This Row], [Mes]]=""),"",DATE(A986,MATCH(B986,{"enero","febrero","marzo","abril","mayo","junio","julio","agosto","septiembre","octubre","noviembre","diciembre"},0)+1,0))</f>
        <v/>
      </c>
      <c r="E986" t="str">
        <f>+IFERROR(VLOOKUP(Fact_Cumplimiento[[#This Row], [Concepto Anterior]],Conceptos_Cumplimiento[#All],5,0),"")</f>
        <v/>
      </c>
      <c r="F986" t="str">
        <f>+IFERROR(VLOOKUP(Fact_Cumplimiento[[#This Row], 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ht="18.75" customHeight="1" x14ac:dyDescent="0.35">
      <c r="C987" s="100" t="str">
        <f>IF(OR(Fact_Cumplimiento[[#This Row], [Año]]="",Fact_Cumplimiento[[#This Row], [Mes]]=""),"",DATE(A987,MATCH(B987,{"enero","febrero","marzo","abril","mayo","junio","julio","agosto","septiembre","octubre","noviembre","diciembre"},0)+1,0))</f>
        <v/>
      </c>
      <c r="E987" t="str">
        <f>+IFERROR(VLOOKUP(Fact_Cumplimiento[[#This Row], [Concepto Anterior]],Conceptos_Cumplimiento[#All],5,0),"")</f>
        <v/>
      </c>
      <c r="F987" t="str">
        <f>+IFERROR(VLOOKUP(Fact_Cumplimiento[[#This Row], 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ht="18.75" customHeight="1" x14ac:dyDescent="0.35">
      <c r="C988" s="100" t="str">
        <f>IF(OR(Fact_Cumplimiento[[#This Row], [Año]]="",Fact_Cumplimiento[[#This Row], [Mes]]=""),"",DATE(A988,MATCH(B988,{"enero","febrero","marzo","abril","mayo","junio","julio","agosto","septiembre","octubre","noviembre","diciembre"},0)+1,0))</f>
        <v/>
      </c>
      <c r="E988" t="str">
        <f>+IFERROR(VLOOKUP(Fact_Cumplimiento[[#This Row], [Concepto Anterior]],Conceptos_Cumplimiento[#All],5,0),"")</f>
        <v/>
      </c>
      <c r="F988" t="str">
        <f>+IFERROR(VLOOKUP(Fact_Cumplimiento[[#This Row], 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ht="18.75" customHeight="1" x14ac:dyDescent="0.35">
      <c r="C989" s="100" t="str">
        <f>IF(OR(Fact_Cumplimiento[[#This Row], [Año]]="",Fact_Cumplimiento[[#This Row], [Mes]]=""),"",DATE(A989,MATCH(B989,{"enero","febrero","marzo","abril","mayo","junio","julio","agosto","septiembre","octubre","noviembre","diciembre"},0)+1,0))</f>
        <v/>
      </c>
      <c r="E989" t="str">
        <f>+IFERROR(VLOOKUP(Fact_Cumplimiento[[#This Row], [Concepto Anterior]],Conceptos_Cumplimiento[#All],5,0),"")</f>
        <v/>
      </c>
      <c r="F989" t="str">
        <f>+IFERROR(VLOOKUP(Fact_Cumplimiento[[#This Row], 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ht="18.75" customHeight="1" x14ac:dyDescent="0.35">
      <c r="C990" s="100" t="str">
        <f>IF(OR(Fact_Cumplimiento[[#This Row], [Año]]="",Fact_Cumplimiento[[#This Row], [Mes]]=""),"",DATE(A990,MATCH(B990,{"enero","febrero","marzo","abril","mayo","junio","julio","agosto","septiembre","octubre","noviembre","diciembre"},0)+1,0))</f>
        <v/>
      </c>
      <c r="E990" t="str">
        <f>+IFERROR(VLOOKUP(Fact_Cumplimiento[[#This Row], [Concepto Anterior]],Conceptos_Cumplimiento[#All],5,0),"")</f>
        <v/>
      </c>
      <c r="F990" t="str">
        <f>+IFERROR(VLOOKUP(Fact_Cumplimiento[[#This Row], 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ht="18.75" customHeight="1" x14ac:dyDescent="0.35">
      <c r="C991" s="100" t="str">
        <f>IF(OR(Fact_Cumplimiento[[#This Row], [Año]]="",Fact_Cumplimiento[[#This Row], [Mes]]=""),"",DATE(A991,MATCH(B991,{"enero","febrero","marzo","abril","mayo","junio","julio","agosto","septiembre","octubre","noviembre","diciembre"},0)+1,0))</f>
        <v/>
      </c>
      <c r="E991" t="str">
        <f>+IFERROR(VLOOKUP(Fact_Cumplimiento[[#This Row], [Concepto Anterior]],Conceptos_Cumplimiento[#All],5,0),"")</f>
        <v/>
      </c>
      <c r="F991" t="str">
        <f>+IFERROR(VLOOKUP(Fact_Cumplimiento[[#This Row], 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ht="18.75" customHeight="1" x14ac:dyDescent="0.35">
      <c r="C992" s="100" t="str">
        <f>IF(OR(Fact_Cumplimiento[[#This Row], [Año]]="",Fact_Cumplimiento[[#This Row], [Mes]]=""),"",DATE(A992,MATCH(B992,{"enero","febrero","marzo","abril","mayo","junio","julio","agosto","septiembre","octubre","noviembre","diciembre"},0)+1,0))</f>
        <v/>
      </c>
      <c r="E992" t="str">
        <f>+IFERROR(VLOOKUP(Fact_Cumplimiento[[#This Row], [Concepto Anterior]],Conceptos_Cumplimiento[#All],5,0),"")</f>
        <v/>
      </c>
      <c r="F992" t="str">
        <f>+IFERROR(VLOOKUP(Fact_Cumplimiento[[#This Row], 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ht="18.75" customHeight="1" x14ac:dyDescent="0.35">
      <c r="C993" s="100" t="str">
        <f>IF(OR(Fact_Cumplimiento[[#This Row], [Año]]="",Fact_Cumplimiento[[#This Row], [Mes]]=""),"",DATE(A993,MATCH(B993,{"enero","febrero","marzo","abril","mayo","junio","julio","agosto","septiembre","octubre","noviembre","diciembre"},0)+1,0))</f>
        <v/>
      </c>
      <c r="E993" t="str">
        <f>+IFERROR(VLOOKUP(Fact_Cumplimiento[[#This Row], [Concepto Anterior]],Conceptos_Cumplimiento[#All],5,0),"")</f>
        <v/>
      </c>
      <c r="F993" t="str">
        <f>+IFERROR(VLOOKUP(Fact_Cumplimiento[[#This Row], 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ht="18.75" customHeight="1" x14ac:dyDescent="0.35">
      <c r="C994" s="100" t="str">
        <f>IF(OR(Fact_Cumplimiento[[#This Row], [Año]]="",Fact_Cumplimiento[[#This Row], [Mes]]=""),"",DATE(A994,MATCH(B994,{"enero","febrero","marzo","abril","mayo","junio","julio","agosto","septiembre","octubre","noviembre","diciembre"},0)+1,0))</f>
        <v/>
      </c>
      <c r="E994" t="str">
        <f>+IFERROR(VLOOKUP(Fact_Cumplimiento[[#This Row], [Concepto Anterior]],Conceptos_Cumplimiento[#All],5,0),"")</f>
        <v/>
      </c>
      <c r="F994" t="str">
        <f>+IFERROR(VLOOKUP(Fact_Cumplimiento[[#This Row], 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ht="18.75" customHeight="1" x14ac:dyDescent="0.35">
      <c r="C995" s="100" t="str">
        <f>IF(OR(Fact_Cumplimiento[[#This Row], [Año]]="",Fact_Cumplimiento[[#This Row], [Mes]]=""),"",DATE(A995,MATCH(B995,{"enero","febrero","marzo","abril","mayo","junio","julio","agosto","septiembre","octubre","noviembre","diciembre"},0)+1,0))</f>
        <v/>
      </c>
      <c r="E995" t="str">
        <f>+IFERROR(VLOOKUP(Fact_Cumplimiento[[#This Row], [Concepto Anterior]],Conceptos_Cumplimiento[#All],5,0),"")</f>
        <v/>
      </c>
      <c r="F995" t="str">
        <f>+IFERROR(VLOOKUP(Fact_Cumplimiento[[#This Row], 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ht="18.75" customHeight="1" x14ac:dyDescent="0.35">
      <c r="C996" s="100" t="str">
        <f>IF(OR(Fact_Cumplimiento[[#This Row], [Año]]="",Fact_Cumplimiento[[#This Row], [Mes]]=""),"",DATE(A996,MATCH(B996,{"enero","febrero","marzo","abril","mayo","junio","julio","agosto","septiembre","octubre","noviembre","diciembre"},0)+1,0))</f>
        <v/>
      </c>
      <c r="E996" t="str">
        <f>+IFERROR(VLOOKUP(Fact_Cumplimiento[[#This Row], [Concepto Anterior]],Conceptos_Cumplimiento[#All],5,0),"")</f>
        <v/>
      </c>
      <c r="F996" t="str">
        <f>+IFERROR(VLOOKUP(Fact_Cumplimiento[[#This Row], 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ht="18.75" customHeight="1" x14ac:dyDescent="0.35">
      <c r="C997" s="100" t="str">
        <f>IF(OR(Fact_Cumplimiento[[#This Row], [Año]]="",Fact_Cumplimiento[[#This Row], [Mes]]=""),"",DATE(A997,MATCH(B997,{"enero","febrero","marzo","abril","mayo","junio","julio","agosto","septiembre","octubre","noviembre","diciembre"},0)+1,0))</f>
        <v/>
      </c>
      <c r="E997" t="str">
        <f>+IFERROR(VLOOKUP(Fact_Cumplimiento[[#This Row], [Concepto Anterior]],Conceptos_Cumplimiento[#All],5,0),"")</f>
        <v/>
      </c>
      <c r="F997" t="str">
        <f>+IFERROR(VLOOKUP(Fact_Cumplimiento[[#This Row], 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ht="18.75" customHeight="1" x14ac:dyDescent="0.35">
      <c r="C998" s="100" t="str">
        <f>IF(OR(Fact_Cumplimiento[[#This Row], [Año]]="",Fact_Cumplimiento[[#This Row], [Mes]]=""),"",DATE(A998,MATCH(B998,{"enero","febrero","marzo","abril","mayo","junio","julio","agosto","septiembre","octubre","noviembre","diciembre"},0)+1,0))</f>
        <v/>
      </c>
      <c r="E998" t="str">
        <f>+IFERROR(VLOOKUP(Fact_Cumplimiento[[#This Row], [Concepto Anterior]],Conceptos_Cumplimiento[#All],5,0),"")</f>
        <v/>
      </c>
      <c r="F998" t="str">
        <f>+IFERROR(VLOOKUP(Fact_Cumplimiento[[#This Row], 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ht="18.75" customHeight="1" x14ac:dyDescent="0.35">
      <c r="C999" s="100" t="str">
        <f>IF(OR(Fact_Cumplimiento[[#This Row], [Año]]="",Fact_Cumplimiento[[#This Row], [Mes]]=""),"",DATE(A999,MATCH(B999,{"enero","febrero","marzo","abril","mayo","junio","julio","agosto","septiembre","octubre","noviembre","diciembre"},0)+1,0))</f>
        <v/>
      </c>
      <c r="E999" t="str">
        <f>+IFERROR(VLOOKUP(Fact_Cumplimiento[[#This Row], [Concepto Anterior]],Conceptos_Cumplimiento[#All],5,0),"")</f>
        <v/>
      </c>
      <c r="F999" t="str">
        <f>+IFERROR(VLOOKUP(Fact_Cumplimiento[[#This Row], 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ht="18.75" customHeight="1" x14ac:dyDescent="0.35">
      <c r="C1000" s="100" t="str">
        <f>IF(OR(Fact_Cumplimiento[[#This Row], [Año]]="",Fact_Cumplimiento[[#This Row], [Mes]]=""),"",DATE(A1000,MATCH(B1000,{"enero","febrero","marzo","abril","mayo","junio","julio","agosto","septiembre","octubre","noviembre","diciembre"},0)+1,0))</f>
        <v/>
      </c>
      <c r="E1000" t="str">
        <f>+IFERROR(VLOOKUP(Fact_Cumplimiento[[#This Row], [Concepto Anterior]],Conceptos_Cumplimiento[#All],5,0),"")</f>
        <v/>
      </c>
      <c r="F1000" t="str">
        <f>+IFERROR(VLOOKUP(Fact_Cumplimiento[[#This Row], 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ht="18.75" customHeight="1" x14ac:dyDescent="0.35">
      <c r="C1001" s="100" t="str">
        <f>IF(OR(Fact_Cumplimiento[[#This Row], [Año]]="",Fact_Cumplimiento[[#This Row], [Mes]]=""),"",DATE(A1001,MATCH(B1001,{"enero","febrero","marzo","abril","mayo","junio","julio","agosto","septiembre","octubre","noviembre","diciembre"},0)+1,0))</f>
        <v/>
      </c>
      <c r="E1001" t="str">
        <f>+IFERROR(VLOOKUP(Fact_Cumplimiento[[#This Row], [Concepto Anterior]],Conceptos_Cumplimiento[#All],5,0),"")</f>
        <v/>
      </c>
      <c r="F1001" t="str">
        <f>+IFERROR(VLOOKUP(Fact_Cumplimiento[[#This Row], 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ht="18.75" customHeight="1" x14ac:dyDescent="0.35">
      <c r="C1002" s="100" t="str">
        <f>IF(OR(Fact_Cumplimiento[[#This Row], [Año]]="",Fact_Cumplimiento[[#This Row], [Mes]]=""),"",DATE(A1002,MATCH(B1002,{"enero","febrero","marzo","abril","mayo","junio","julio","agosto","septiembre","octubre","noviembre","diciembre"},0)+1,0))</f>
        <v/>
      </c>
      <c r="E1002" t="str">
        <f>+IFERROR(VLOOKUP(Fact_Cumplimiento[[#This Row], [Concepto Anterior]],Conceptos_Cumplimiento[#All],5,0),"")</f>
        <v/>
      </c>
      <c r="F1002" t="str">
        <f>+IFERROR(VLOOKUP(Fact_Cumplimiento[[#This Row], 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ht="18.75" customHeight="1" x14ac:dyDescent="0.35">
      <c r="C1003" s="100" t="str">
        <f>IF(OR(Fact_Cumplimiento[[#This Row], [Año]]="",Fact_Cumplimiento[[#This Row], [Mes]]=""),"",DATE(A1003,MATCH(B1003,{"enero","febrero","marzo","abril","mayo","junio","julio","agosto","septiembre","octubre","noviembre","diciembre"},0)+1,0))</f>
        <v/>
      </c>
      <c r="E1003" t="str">
        <f>+IFERROR(VLOOKUP(Fact_Cumplimiento[[#This Row], [Concepto Anterior]],Conceptos_Cumplimiento[#All],5,0),"")</f>
        <v/>
      </c>
      <c r="F1003" t="str">
        <f>+IFERROR(VLOOKUP(Fact_Cumplimiento[[#This Row], 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ht="18.75" customHeight="1" x14ac:dyDescent="0.35">
      <c r="C1004" s="100" t="str">
        <f>IF(OR(Fact_Cumplimiento[[#This Row], [Año]]="",Fact_Cumplimiento[[#This Row], [Mes]]=""),"",DATE(A1004,MATCH(B1004,{"enero","febrero","marzo","abril","mayo","junio","julio","agosto","septiembre","octubre","noviembre","diciembre"},0)+1,0))</f>
        <v/>
      </c>
      <c r="E1004" t="str">
        <f>+IFERROR(VLOOKUP(Fact_Cumplimiento[[#This Row], [Concepto Anterior]],Conceptos_Cumplimiento[#All],5,0),"")</f>
        <v/>
      </c>
      <c r="F1004" t="str">
        <f>+IFERROR(VLOOKUP(Fact_Cumplimiento[[#This Row], 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ht="18.75" customHeight="1" x14ac:dyDescent="0.35">
      <c r="C1005" s="100" t="str">
        <f>IF(OR(Fact_Cumplimiento[[#This Row], [Año]]="",Fact_Cumplimiento[[#This Row], [Mes]]=""),"",DATE(A1005,MATCH(B1005,{"enero","febrero","marzo","abril","mayo","junio","julio","agosto","septiembre","octubre","noviembre","diciembre"},0)+1,0))</f>
        <v/>
      </c>
      <c r="E1005" t="str">
        <f>+IFERROR(VLOOKUP(Fact_Cumplimiento[[#This Row], [Concepto Anterior]],Conceptos_Cumplimiento[#All],5,0),"")</f>
        <v/>
      </c>
      <c r="F1005" t="str">
        <f>+IFERROR(VLOOKUP(Fact_Cumplimiento[[#This Row], 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ht="18.75" customHeight="1" x14ac:dyDescent="0.35">
      <c r="C1006" s="100" t="str">
        <f>IF(OR(Fact_Cumplimiento[[#This Row], [Año]]="",Fact_Cumplimiento[[#This Row], [Mes]]=""),"",DATE(A1006,MATCH(B1006,{"enero","febrero","marzo","abril","mayo","junio","julio","agosto","septiembre","octubre","noviembre","diciembre"},0)+1,0))</f>
        <v/>
      </c>
      <c r="E1006" t="str">
        <f>+IFERROR(VLOOKUP(Fact_Cumplimiento[[#This Row], [Concepto Anterior]],Conceptos_Cumplimiento[#All],5,0),"")</f>
        <v/>
      </c>
      <c r="F1006" t="str">
        <f>+IFERROR(VLOOKUP(Fact_Cumplimiento[[#This Row], 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ht="18.75" customHeight="1" x14ac:dyDescent="0.35">
      <c r="C1007" s="100" t="str">
        <f>IF(OR(Fact_Cumplimiento[[#This Row], [Año]]="",Fact_Cumplimiento[[#This Row], [Mes]]=""),"",DATE(A1007,MATCH(B1007,{"enero","febrero","marzo","abril","mayo","junio","julio","agosto","septiembre","octubre","noviembre","diciembre"},0)+1,0))</f>
        <v/>
      </c>
      <c r="E1007" t="str">
        <f>+IFERROR(VLOOKUP(Fact_Cumplimiento[[#This Row], [Concepto Anterior]],Conceptos_Cumplimiento[#All],5,0),"")</f>
        <v/>
      </c>
      <c r="F1007" t="str">
        <f>+IFERROR(VLOOKUP(Fact_Cumplimiento[[#This Row], 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ht="18.75" customHeight="1" x14ac:dyDescent="0.35">
      <c r="C1008" s="100" t="str">
        <f>IF(OR(Fact_Cumplimiento[[#This Row], [Año]]="",Fact_Cumplimiento[[#This Row], [Mes]]=""),"",DATE(A1008,MATCH(B1008,{"enero","febrero","marzo","abril","mayo","junio","julio","agosto","septiembre","octubre","noviembre","diciembre"},0)+1,0))</f>
        <v/>
      </c>
      <c r="E1008" t="str">
        <f>+IFERROR(VLOOKUP(Fact_Cumplimiento[[#This Row], [Concepto Anterior]],Conceptos_Cumplimiento[#All],5,0),"")</f>
        <v/>
      </c>
      <c r="F1008" t="str">
        <f>+IFERROR(VLOOKUP(Fact_Cumplimiento[[#This Row], 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ht="18.75" customHeight="1" x14ac:dyDescent="0.35">
      <c r="C1009" s="100" t="str">
        <f>IF(OR(Fact_Cumplimiento[[#This Row], [Año]]="",Fact_Cumplimiento[[#This Row], [Mes]]=""),"",DATE(A1009,MATCH(B1009,{"enero","febrero","marzo","abril","mayo","junio","julio","agosto","septiembre","octubre","noviembre","diciembre"},0)+1,0))</f>
        <v/>
      </c>
      <c r="E1009" t="str">
        <f>+IFERROR(VLOOKUP(Fact_Cumplimiento[[#This Row], [Concepto Anterior]],Conceptos_Cumplimiento[#All],5,0),"")</f>
        <v/>
      </c>
      <c r="F1009" t="str">
        <f>+IFERROR(VLOOKUP(Fact_Cumplimiento[[#This Row], 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ht="18.75" customHeight="1" x14ac:dyDescent="0.35">
      <c r="C1010" s="100" t="str">
        <f>IF(OR(Fact_Cumplimiento[[#This Row], [Año]]="",Fact_Cumplimiento[[#This Row], [Mes]]=""),"",DATE(A1010,MATCH(B1010,{"enero","febrero","marzo","abril","mayo","junio","julio","agosto","septiembre","octubre","noviembre","diciembre"},0)+1,0))</f>
        <v/>
      </c>
      <c r="E1010" t="str">
        <f>+IFERROR(VLOOKUP(Fact_Cumplimiento[[#This Row], [Concepto Anterior]],Conceptos_Cumplimiento[#All],5,0),"")</f>
        <v/>
      </c>
      <c r="F1010" t="str">
        <f>+IFERROR(VLOOKUP(Fact_Cumplimiento[[#This Row], 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ht="18.75" customHeight="1" x14ac:dyDescent="0.35">
      <c r="C1011" s="100" t="str">
        <f>IF(OR(Fact_Cumplimiento[[#This Row], [Año]]="",Fact_Cumplimiento[[#This Row], [Mes]]=""),"",DATE(A1011,MATCH(B1011,{"enero","febrero","marzo","abril","mayo","junio","julio","agosto","septiembre","octubre","noviembre","diciembre"},0)+1,0))</f>
        <v/>
      </c>
      <c r="E1011" t="str">
        <f>+IFERROR(VLOOKUP(Fact_Cumplimiento[[#This Row], [Concepto Anterior]],Conceptos_Cumplimiento[#All],5,0),"")</f>
        <v/>
      </c>
      <c r="F1011" t="str">
        <f>+IFERROR(VLOOKUP(Fact_Cumplimiento[[#This Row], 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ht="18.75" customHeight="1" x14ac:dyDescent="0.35">
      <c r="C1012" s="100" t="str">
        <f>IF(OR(Fact_Cumplimiento[[#This Row], [Año]]="",Fact_Cumplimiento[[#This Row], [Mes]]=""),"",DATE(A1012,MATCH(B1012,{"enero","febrero","marzo","abril","mayo","junio","julio","agosto","septiembre","octubre","noviembre","diciembre"},0)+1,0))</f>
        <v/>
      </c>
      <c r="E1012" t="str">
        <f>+IFERROR(VLOOKUP(Fact_Cumplimiento[[#This Row], [Concepto Anterior]],Conceptos_Cumplimiento[#All],5,0),"")</f>
        <v/>
      </c>
      <c r="F1012" t="str">
        <f>+IFERROR(VLOOKUP(Fact_Cumplimiento[[#This Row], 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ht="18.75" customHeight="1" x14ac:dyDescent="0.35">
      <c r="C1013" s="100" t="str">
        <f>IF(OR(Fact_Cumplimiento[[#This Row], [Año]]="",Fact_Cumplimiento[[#This Row], [Mes]]=""),"",DATE(A1013,MATCH(B1013,{"enero","febrero","marzo","abril","mayo","junio","julio","agosto","septiembre","octubre","noviembre","diciembre"},0)+1,0))</f>
        <v/>
      </c>
      <c r="E1013" t="str">
        <f>+IFERROR(VLOOKUP(Fact_Cumplimiento[[#This Row], [Concepto Anterior]],Conceptos_Cumplimiento[#All],5,0),"")</f>
        <v/>
      </c>
      <c r="F1013" t="str">
        <f>+IFERROR(VLOOKUP(Fact_Cumplimiento[[#This Row], 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ht="18.75" customHeight="1" x14ac:dyDescent="0.35">
      <c r="C1014" s="100" t="str">
        <f>IF(OR(Fact_Cumplimiento[[#This Row], [Año]]="",Fact_Cumplimiento[[#This Row], [Mes]]=""),"",DATE(A1014,MATCH(B1014,{"enero","febrero","marzo","abril","mayo","junio","julio","agosto","septiembre","octubre","noviembre","diciembre"},0)+1,0))</f>
        <v/>
      </c>
      <c r="E1014" t="str">
        <f>+IFERROR(VLOOKUP(Fact_Cumplimiento[[#This Row], [Concepto Anterior]],Conceptos_Cumplimiento[#All],5,0),"")</f>
        <v/>
      </c>
      <c r="F1014" t="str">
        <f>+IFERROR(VLOOKUP(Fact_Cumplimiento[[#This Row], 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ht="18.75" customHeight="1" x14ac:dyDescent="0.35">
      <c r="C1015" s="100" t="str">
        <f>IF(OR(Fact_Cumplimiento[[#This Row], [Año]]="",Fact_Cumplimiento[[#This Row], [Mes]]=""),"",DATE(A1015,MATCH(B1015,{"enero","febrero","marzo","abril","mayo","junio","julio","agosto","septiembre","octubre","noviembre","diciembre"},0)+1,0))</f>
        <v/>
      </c>
      <c r="E1015" t="str">
        <f>+IFERROR(VLOOKUP(Fact_Cumplimiento[[#This Row], [Concepto Anterior]],Conceptos_Cumplimiento[#All],5,0),"")</f>
        <v/>
      </c>
      <c r="F1015" t="str">
        <f>+IFERROR(VLOOKUP(Fact_Cumplimiento[[#This Row], 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ht="18.75" customHeight="1" x14ac:dyDescent="0.35">
      <c r="C1016" s="100" t="str">
        <f>IF(OR(Fact_Cumplimiento[[#This Row], [Año]]="",Fact_Cumplimiento[[#This Row], [Mes]]=""),"",DATE(A1016,MATCH(B1016,{"enero","febrero","marzo","abril","mayo","junio","julio","agosto","septiembre","octubre","noviembre","diciembre"},0)+1,0))</f>
        <v/>
      </c>
      <c r="E1016" t="str">
        <f>+IFERROR(VLOOKUP(Fact_Cumplimiento[[#This Row], [Concepto Anterior]],Conceptos_Cumplimiento[#All],5,0),"")</f>
        <v/>
      </c>
      <c r="F1016" t="str">
        <f>+IFERROR(VLOOKUP(Fact_Cumplimiento[[#This Row], 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ht="18.75" customHeight="1" x14ac:dyDescent="0.35">
      <c r="C1017" s="100" t="str">
        <f>IF(OR(Fact_Cumplimiento[[#This Row], [Año]]="",Fact_Cumplimiento[[#This Row], [Mes]]=""),"",DATE(A1017,MATCH(B1017,{"enero","febrero","marzo","abril","mayo","junio","julio","agosto","septiembre","octubre","noviembre","diciembre"},0)+1,0))</f>
        <v/>
      </c>
      <c r="E1017" t="str">
        <f>+IFERROR(VLOOKUP(Fact_Cumplimiento[[#This Row], [Concepto Anterior]],Conceptos_Cumplimiento[#All],5,0),"")</f>
        <v/>
      </c>
      <c r="F1017" t="str">
        <f>+IFERROR(VLOOKUP(Fact_Cumplimiento[[#This Row], 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ht="18.75" customHeight="1" x14ac:dyDescent="0.35">
      <c r="C1018" s="100" t="str">
        <f>IF(OR(Fact_Cumplimiento[[#This Row], [Año]]="",Fact_Cumplimiento[[#This Row], [Mes]]=""),"",DATE(A1018,MATCH(B1018,{"enero","febrero","marzo","abril","mayo","junio","julio","agosto","septiembre","octubre","noviembre","diciembre"},0)+1,0))</f>
        <v/>
      </c>
      <c r="E1018" t="str">
        <f>+IFERROR(VLOOKUP(Fact_Cumplimiento[[#This Row], [Concepto Anterior]],Conceptos_Cumplimiento[#All],5,0),"")</f>
        <v/>
      </c>
      <c r="F1018" t="str">
        <f>+IFERROR(VLOOKUP(Fact_Cumplimiento[[#This Row], 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ht="18.75" customHeight="1" x14ac:dyDescent="0.35">
      <c r="C1019" s="100" t="str">
        <f>IF(OR(Fact_Cumplimiento[[#This Row], [Año]]="",Fact_Cumplimiento[[#This Row], [Mes]]=""),"",DATE(A1019,MATCH(B1019,{"enero","febrero","marzo","abril","mayo","junio","julio","agosto","septiembre","octubre","noviembre","diciembre"},0)+1,0))</f>
        <v/>
      </c>
      <c r="E1019" t="str">
        <f>+IFERROR(VLOOKUP(Fact_Cumplimiento[[#This Row], [Concepto Anterior]],Conceptos_Cumplimiento[#All],5,0),"")</f>
        <v/>
      </c>
      <c r="F1019" t="str">
        <f>+IFERROR(VLOOKUP(Fact_Cumplimiento[[#This Row], 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ht="18.75" customHeight="1" x14ac:dyDescent="0.35">
      <c r="C1020" s="100" t="str">
        <f>IF(OR(Fact_Cumplimiento[[#This Row], [Año]]="",Fact_Cumplimiento[[#This Row], [Mes]]=""),"",DATE(A1020,MATCH(B1020,{"enero","febrero","marzo","abril","mayo","junio","julio","agosto","septiembre","octubre","noviembre","diciembre"},0)+1,0))</f>
        <v/>
      </c>
      <c r="E1020" t="str">
        <f>+IFERROR(VLOOKUP(Fact_Cumplimiento[[#This Row], [Concepto Anterior]],Conceptos_Cumplimiento[#All],5,0),"")</f>
        <v/>
      </c>
      <c r="F1020" t="str">
        <f>+IFERROR(VLOOKUP(Fact_Cumplimiento[[#This Row], 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ht="18.75" customHeight="1" x14ac:dyDescent="0.35">
      <c r="C1021" s="100" t="str">
        <f>IF(OR(Fact_Cumplimiento[[#This Row], [Año]]="",Fact_Cumplimiento[[#This Row], [Mes]]=""),"",DATE(A1021,MATCH(B1021,{"enero","febrero","marzo","abril","mayo","junio","julio","agosto","septiembre","octubre","noviembre","diciembre"},0)+1,0))</f>
        <v/>
      </c>
      <c r="E1021" t="str">
        <f>+IFERROR(VLOOKUP(Fact_Cumplimiento[[#This Row], [Concepto Anterior]],Conceptos_Cumplimiento[#All],5,0),"")</f>
        <v/>
      </c>
      <c r="F1021" t="str">
        <f>+IFERROR(VLOOKUP(Fact_Cumplimiento[[#This Row], 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ht="18.75" customHeight="1" x14ac:dyDescent="0.35">
      <c r="C1022" s="100" t="str">
        <f>IF(OR(Fact_Cumplimiento[[#This Row], [Año]]="",Fact_Cumplimiento[[#This Row], [Mes]]=""),"",DATE(A1022,MATCH(B1022,{"enero","febrero","marzo","abril","mayo","junio","julio","agosto","septiembre","octubre","noviembre","diciembre"},0)+1,0))</f>
        <v/>
      </c>
      <c r="E1022" t="str">
        <f>+IFERROR(VLOOKUP(Fact_Cumplimiento[[#This Row], [Concepto Anterior]],Conceptos_Cumplimiento[#All],5,0),"")</f>
        <v/>
      </c>
      <c r="F1022" t="str">
        <f>+IFERROR(VLOOKUP(Fact_Cumplimiento[[#This Row], 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ht="18.75" customHeight="1" x14ac:dyDescent="0.35">
      <c r="C1023" s="100" t="str">
        <f>IF(OR(Fact_Cumplimiento[[#This Row], [Año]]="",Fact_Cumplimiento[[#This Row], [Mes]]=""),"",DATE(A1023,MATCH(B1023,{"enero","febrero","marzo","abril","mayo","junio","julio","agosto","septiembre","octubre","noviembre","diciembre"},0)+1,0))</f>
        <v/>
      </c>
      <c r="E1023" t="str">
        <f>+IFERROR(VLOOKUP(Fact_Cumplimiento[[#This Row], [Concepto Anterior]],Conceptos_Cumplimiento[#All],5,0),"")</f>
        <v/>
      </c>
      <c r="F1023" t="str">
        <f>+IFERROR(VLOOKUP(Fact_Cumplimiento[[#This Row], 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ht="18.75" customHeight="1" x14ac:dyDescent="0.35">
      <c r="C1024" s="100" t="str">
        <f>IF(OR(Fact_Cumplimiento[[#This Row], [Año]]="",Fact_Cumplimiento[[#This Row], [Mes]]=""),"",DATE(A1024,MATCH(B1024,{"enero","febrero","marzo","abril","mayo","junio","julio","agosto","septiembre","octubre","noviembre","diciembre"},0)+1,0))</f>
        <v/>
      </c>
      <c r="E1024" t="str">
        <f>+IFERROR(VLOOKUP(Fact_Cumplimiento[[#This Row], [Concepto Anterior]],Conceptos_Cumplimiento[#All],5,0),"")</f>
        <v/>
      </c>
      <c r="F1024" t="str">
        <f>+IFERROR(VLOOKUP(Fact_Cumplimiento[[#This Row], 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ht="18.75" customHeight="1" x14ac:dyDescent="0.35">
      <c r="C1025" s="100" t="str">
        <f>IF(OR(Fact_Cumplimiento[[#This Row], [Año]]="",Fact_Cumplimiento[[#This Row], [Mes]]=""),"",DATE(A1025,MATCH(B1025,{"enero","febrero","marzo","abril","mayo","junio","julio","agosto","septiembre","octubre","noviembre","diciembre"},0)+1,0))</f>
        <v/>
      </c>
      <c r="E1025" t="str">
        <f>+IFERROR(VLOOKUP(Fact_Cumplimiento[[#This Row], [Concepto Anterior]],Conceptos_Cumplimiento[#All],5,0),"")</f>
        <v/>
      </c>
      <c r="F1025" t="str">
        <f>+IFERROR(VLOOKUP(Fact_Cumplimiento[[#This Row], 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ht="18.75" customHeight="1" x14ac:dyDescent="0.35">
      <c r="C1026" s="100" t="str">
        <f>IF(OR(Fact_Cumplimiento[[#This Row], [Año]]="",Fact_Cumplimiento[[#This Row], [Mes]]=""),"",DATE(A1026,MATCH(B1026,{"enero","febrero","marzo","abril","mayo","junio","julio","agosto","septiembre","octubre","noviembre","diciembre"},0)+1,0))</f>
        <v/>
      </c>
      <c r="E1026" t="str">
        <f>+IFERROR(VLOOKUP(Fact_Cumplimiento[[#This Row], [Concepto Anterior]],Conceptos_Cumplimiento[#All],5,0),"")</f>
        <v/>
      </c>
      <c r="F1026" t="str">
        <f>+IFERROR(VLOOKUP(Fact_Cumplimiento[[#This Row], 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ht="18.75" customHeight="1" x14ac:dyDescent="0.35">
      <c r="C1027" s="100" t="str">
        <f>IF(OR(Fact_Cumplimiento[[#This Row], [Año]]="",Fact_Cumplimiento[[#This Row], [Mes]]=""),"",DATE(A1027,MATCH(B1027,{"enero","febrero","marzo","abril","mayo","junio","julio","agosto","septiembre","octubre","noviembre","diciembre"},0)+1,0))</f>
        <v/>
      </c>
      <c r="E1027" t="str">
        <f>+IFERROR(VLOOKUP(Fact_Cumplimiento[[#This Row], [Concepto Anterior]],Conceptos_Cumplimiento[#All],5,0),"")</f>
        <v/>
      </c>
      <c r="F1027" t="str">
        <f>+IFERROR(VLOOKUP(Fact_Cumplimiento[[#This Row], 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ht="18.75" customHeight="1" x14ac:dyDescent="0.35">
      <c r="C1028" s="100" t="str">
        <f>IF(OR(Fact_Cumplimiento[[#This Row], [Año]]="",Fact_Cumplimiento[[#This Row], [Mes]]=""),"",DATE(A1028,MATCH(B1028,{"enero","febrero","marzo","abril","mayo","junio","julio","agosto","septiembre","octubre","noviembre","diciembre"},0)+1,0))</f>
        <v/>
      </c>
      <c r="E1028" t="str">
        <f>+IFERROR(VLOOKUP(Fact_Cumplimiento[[#This Row], [Concepto Anterior]],Conceptos_Cumplimiento[#All],5,0),"")</f>
        <v/>
      </c>
      <c r="F1028" t="str">
        <f>+IFERROR(VLOOKUP(Fact_Cumplimiento[[#This Row], 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ht="18.75" customHeight="1" x14ac:dyDescent="0.35">
      <c r="C1029" s="100" t="str">
        <f>IF(OR(Fact_Cumplimiento[[#This Row], [Año]]="",Fact_Cumplimiento[[#This Row], [Mes]]=""),"",DATE(A1029,MATCH(B1029,{"enero","febrero","marzo","abril","mayo","junio","julio","agosto","septiembre","octubre","noviembre","diciembre"},0)+1,0))</f>
        <v/>
      </c>
      <c r="E1029" t="str">
        <f>+IFERROR(VLOOKUP(Fact_Cumplimiento[[#This Row], [Concepto Anterior]],Conceptos_Cumplimiento[#All],5,0),"")</f>
        <v/>
      </c>
      <c r="F1029" t="str">
        <f>+IFERROR(VLOOKUP(Fact_Cumplimiento[[#This Row], 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ht="18.75" customHeight="1" x14ac:dyDescent="0.35">
      <c r="C1030" s="100" t="str">
        <f>IF(OR(Fact_Cumplimiento[[#This Row], [Año]]="",Fact_Cumplimiento[[#This Row], [Mes]]=""),"",DATE(A1030,MATCH(B1030,{"enero","febrero","marzo","abril","mayo","junio","julio","agosto","septiembre","octubre","noviembre","diciembre"},0)+1,0))</f>
        <v/>
      </c>
      <c r="E1030" t="str">
        <f>+IFERROR(VLOOKUP(Fact_Cumplimiento[[#This Row], [Concepto Anterior]],Conceptos_Cumplimiento[#All],5,0),"")</f>
        <v/>
      </c>
      <c r="F1030" t="str">
        <f>+IFERROR(VLOOKUP(Fact_Cumplimiento[[#This Row], 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ht="18.75" customHeight="1" x14ac:dyDescent="0.35">
      <c r="C1031" s="100" t="str">
        <f>IF(OR(Fact_Cumplimiento[[#This Row], [Año]]="",Fact_Cumplimiento[[#This Row], [Mes]]=""),"",DATE(A1031,MATCH(B1031,{"enero","febrero","marzo","abril","mayo","junio","julio","agosto","septiembre","octubre","noviembre","diciembre"},0)+1,0))</f>
        <v/>
      </c>
      <c r="E1031" t="str">
        <f>+IFERROR(VLOOKUP(Fact_Cumplimiento[[#This Row], [Concepto Anterior]],Conceptos_Cumplimiento[#All],5,0),"")</f>
        <v/>
      </c>
      <c r="F1031" t="str">
        <f>+IFERROR(VLOOKUP(Fact_Cumplimiento[[#This Row], 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ht="18.75" customHeight="1" x14ac:dyDescent="0.35">
      <c r="C1032" s="100" t="str">
        <f>IF(OR(Fact_Cumplimiento[[#This Row], [Año]]="",Fact_Cumplimiento[[#This Row], [Mes]]=""),"",DATE(A1032,MATCH(B1032,{"enero","febrero","marzo","abril","mayo","junio","julio","agosto","septiembre","octubre","noviembre","diciembre"},0)+1,0))</f>
        <v/>
      </c>
      <c r="E1032" t="str">
        <f>+IFERROR(VLOOKUP(Fact_Cumplimiento[[#This Row], [Concepto Anterior]],Conceptos_Cumplimiento[#All],5,0),"")</f>
        <v/>
      </c>
      <c r="F1032" t="str">
        <f>+IFERROR(VLOOKUP(Fact_Cumplimiento[[#This Row], 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ht="18.75" customHeight="1" x14ac:dyDescent="0.35">
      <c r="C1033" s="100" t="str">
        <f>IF(OR(Fact_Cumplimiento[[#This Row], [Año]]="",Fact_Cumplimiento[[#This Row], [Mes]]=""),"",DATE(A1033,MATCH(B1033,{"enero","febrero","marzo","abril","mayo","junio","julio","agosto","septiembre","octubre","noviembre","diciembre"},0)+1,0))</f>
        <v/>
      </c>
      <c r="E1033" t="str">
        <f>+IFERROR(VLOOKUP(Fact_Cumplimiento[[#This Row], [Concepto Anterior]],Conceptos_Cumplimiento[#All],5,0),"")</f>
        <v/>
      </c>
      <c r="F1033" t="str">
        <f>+IFERROR(VLOOKUP(Fact_Cumplimiento[[#This Row], 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ht="18.75" customHeight="1" x14ac:dyDescent="0.35">
      <c r="C1034" s="100" t="str">
        <f>IF(OR(Fact_Cumplimiento[[#This Row], [Año]]="",Fact_Cumplimiento[[#This Row], [Mes]]=""),"",DATE(A1034,MATCH(B1034,{"enero","febrero","marzo","abril","mayo","junio","julio","agosto","septiembre","octubre","noviembre","diciembre"},0)+1,0))</f>
        <v/>
      </c>
      <c r="E1034" t="str">
        <f>+IFERROR(VLOOKUP(Fact_Cumplimiento[[#This Row], [Concepto Anterior]],Conceptos_Cumplimiento[#All],5,0),"")</f>
        <v/>
      </c>
      <c r="F1034" t="str">
        <f>+IFERROR(VLOOKUP(Fact_Cumplimiento[[#This Row], 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ht="18.75" customHeight="1" x14ac:dyDescent="0.35">
      <c r="C1035" s="100" t="str">
        <f>IF(OR(Fact_Cumplimiento[[#This Row], [Año]]="",Fact_Cumplimiento[[#This Row], [Mes]]=""),"",DATE(A1035,MATCH(B1035,{"enero","febrero","marzo","abril","mayo","junio","julio","agosto","septiembre","octubre","noviembre","diciembre"},0)+1,0))</f>
        <v/>
      </c>
      <c r="E1035" t="str">
        <f>+IFERROR(VLOOKUP(Fact_Cumplimiento[[#This Row], [Concepto Anterior]],Conceptos_Cumplimiento[#All],5,0),"")</f>
        <v/>
      </c>
      <c r="F1035" t="str">
        <f>+IFERROR(VLOOKUP(Fact_Cumplimiento[[#This Row], 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ht="18.75" customHeight="1" x14ac:dyDescent="0.35">
      <c r="C1036" s="100" t="str">
        <f>IF(OR(Fact_Cumplimiento[[#This Row], [Año]]="",Fact_Cumplimiento[[#This Row], [Mes]]=""),"",DATE(A1036,MATCH(B1036,{"enero","febrero","marzo","abril","mayo","junio","julio","agosto","septiembre","octubre","noviembre","diciembre"},0)+1,0))</f>
        <v/>
      </c>
      <c r="E1036" t="str">
        <f>+IFERROR(VLOOKUP(Fact_Cumplimiento[[#This Row], [Concepto Anterior]],Conceptos_Cumplimiento[#All],5,0),"")</f>
        <v/>
      </c>
      <c r="F1036" t="str">
        <f>+IFERROR(VLOOKUP(Fact_Cumplimiento[[#This Row], 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ht="18.75" customHeight="1" x14ac:dyDescent="0.35">
      <c r="C1037" s="100" t="str">
        <f>IF(OR(Fact_Cumplimiento[[#This Row], [Año]]="",Fact_Cumplimiento[[#This Row], [Mes]]=""),"",DATE(A1037,MATCH(B1037,{"enero","febrero","marzo","abril","mayo","junio","julio","agosto","septiembre","octubre","noviembre","diciembre"},0)+1,0))</f>
        <v/>
      </c>
      <c r="E1037" t="str">
        <f>+IFERROR(VLOOKUP(Fact_Cumplimiento[[#This Row], [Concepto Anterior]],Conceptos_Cumplimiento[#All],5,0),"")</f>
        <v/>
      </c>
      <c r="F1037" t="str">
        <f>+IFERROR(VLOOKUP(Fact_Cumplimiento[[#This Row], 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ht="18.75" customHeight="1" x14ac:dyDescent="0.35">
      <c r="C1038" s="100" t="str">
        <f>IF(OR(Fact_Cumplimiento[[#This Row], [Año]]="",Fact_Cumplimiento[[#This Row], [Mes]]=""),"",DATE(A1038,MATCH(B1038,{"enero","febrero","marzo","abril","mayo","junio","julio","agosto","septiembre","octubre","noviembre","diciembre"},0)+1,0))</f>
        <v/>
      </c>
      <c r="E1038" t="str">
        <f>+IFERROR(VLOOKUP(Fact_Cumplimiento[[#This Row], [Concepto Anterior]],Conceptos_Cumplimiento[#All],5,0),"")</f>
        <v/>
      </c>
      <c r="F1038" t="str">
        <f>+IFERROR(VLOOKUP(Fact_Cumplimiento[[#This Row], 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ht="18.75" customHeight="1" x14ac:dyDescent="0.35">
      <c r="C1039" s="100" t="str">
        <f>IF(OR(Fact_Cumplimiento[[#This Row], [Año]]="",Fact_Cumplimiento[[#This Row], [Mes]]=""),"",DATE(A1039,MATCH(B1039,{"enero","febrero","marzo","abril","mayo","junio","julio","agosto","septiembre","octubre","noviembre","diciembre"},0)+1,0))</f>
        <v/>
      </c>
      <c r="E1039" t="str">
        <f>+IFERROR(VLOOKUP(Fact_Cumplimiento[[#This Row], [Concepto Anterior]],Conceptos_Cumplimiento[#All],5,0),"")</f>
        <v/>
      </c>
      <c r="F1039" t="str">
        <f>+IFERROR(VLOOKUP(Fact_Cumplimiento[[#This Row], 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ht="18.75" customHeight="1" x14ac:dyDescent="0.35">
      <c r="C1040" s="100" t="str">
        <f>IF(OR(Fact_Cumplimiento[[#This Row], [Año]]="",Fact_Cumplimiento[[#This Row], [Mes]]=""),"",DATE(A1040,MATCH(B1040,{"enero","febrero","marzo","abril","mayo","junio","julio","agosto","septiembre","octubre","noviembre","diciembre"},0)+1,0))</f>
        <v/>
      </c>
      <c r="E1040" t="str">
        <f>+IFERROR(VLOOKUP(Fact_Cumplimiento[[#This Row], [Concepto Anterior]],Conceptos_Cumplimiento[#All],5,0),"")</f>
        <v/>
      </c>
      <c r="F1040" t="str">
        <f>+IFERROR(VLOOKUP(Fact_Cumplimiento[[#This Row], 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ht="18.75" customHeight="1" x14ac:dyDescent="0.35">
      <c r="C1041" s="100" t="str">
        <f>IF(OR(Fact_Cumplimiento[[#This Row], [Año]]="",Fact_Cumplimiento[[#This Row], [Mes]]=""),"",DATE(A1041,MATCH(B1041,{"enero","febrero","marzo","abril","mayo","junio","julio","agosto","septiembre","octubre","noviembre","diciembre"},0)+1,0))</f>
        <v/>
      </c>
      <c r="E1041" t="str">
        <f>+IFERROR(VLOOKUP(Fact_Cumplimiento[[#This Row], [Concepto Anterior]],Conceptos_Cumplimiento[#All],5,0),"")</f>
        <v/>
      </c>
      <c r="F1041" t="str">
        <f>+IFERROR(VLOOKUP(Fact_Cumplimiento[[#This Row], 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ht="18.75" customHeight="1" x14ac:dyDescent="0.35">
      <c r="C1042" s="100" t="str">
        <f>IF(OR(Fact_Cumplimiento[[#This Row], [Año]]="",Fact_Cumplimiento[[#This Row], [Mes]]=""),"",DATE(A1042,MATCH(B1042,{"enero","febrero","marzo","abril","mayo","junio","julio","agosto","septiembre","octubre","noviembre","diciembre"},0)+1,0))</f>
        <v/>
      </c>
      <c r="E1042" t="str">
        <f>+IFERROR(VLOOKUP(Fact_Cumplimiento[[#This Row], [Concepto Anterior]],Conceptos_Cumplimiento[#All],5,0),"")</f>
        <v/>
      </c>
      <c r="F1042" t="str">
        <f>+IFERROR(VLOOKUP(Fact_Cumplimiento[[#This Row], 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ht="18.75" customHeight="1" x14ac:dyDescent="0.35">
      <c r="C1043" s="100" t="str">
        <f>IF(OR(Fact_Cumplimiento[[#This Row], [Año]]="",Fact_Cumplimiento[[#This Row], [Mes]]=""),"",DATE(A1043,MATCH(B1043,{"enero","febrero","marzo","abril","mayo","junio","julio","agosto","septiembre","octubre","noviembre","diciembre"},0)+1,0))</f>
        <v/>
      </c>
      <c r="E1043" t="str">
        <f>+IFERROR(VLOOKUP(Fact_Cumplimiento[[#This Row], [Concepto Anterior]],Conceptos_Cumplimiento[#All],5,0),"")</f>
        <v/>
      </c>
      <c r="F1043" t="str">
        <f>+IFERROR(VLOOKUP(Fact_Cumplimiento[[#This Row], 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ht="18.75" customHeight="1" x14ac:dyDescent="0.35">
      <c r="C1044" s="100" t="str">
        <f>IF(OR(Fact_Cumplimiento[[#This Row], [Año]]="",Fact_Cumplimiento[[#This Row], [Mes]]=""),"",DATE(A1044,MATCH(B1044,{"enero","febrero","marzo","abril","mayo","junio","julio","agosto","septiembre","octubre","noviembre","diciembre"},0)+1,0))</f>
        <v/>
      </c>
      <c r="E1044" t="str">
        <f>+IFERROR(VLOOKUP(Fact_Cumplimiento[[#This Row], [Concepto Anterior]],Conceptos_Cumplimiento[#All],5,0),"")</f>
        <v/>
      </c>
      <c r="F1044" t="str">
        <f>+IFERROR(VLOOKUP(Fact_Cumplimiento[[#This Row], 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ht="18.75" customHeight="1" x14ac:dyDescent="0.35">
      <c r="C1045" s="100" t="str">
        <f>IF(OR(Fact_Cumplimiento[[#This Row], [Año]]="",Fact_Cumplimiento[[#This Row], [Mes]]=""),"",DATE(A1045,MATCH(B1045,{"enero","febrero","marzo","abril","mayo","junio","julio","agosto","septiembre","octubre","noviembre","diciembre"},0)+1,0))</f>
        <v/>
      </c>
      <c r="E1045" t="str">
        <f>+IFERROR(VLOOKUP(Fact_Cumplimiento[[#This Row], [Concepto Anterior]],Conceptos_Cumplimiento[#All],5,0),"")</f>
        <v/>
      </c>
      <c r="F1045" t="str">
        <f>+IFERROR(VLOOKUP(Fact_Cumplimiento[[#This Row], 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ht="18.75" customHeight="1" x14ac:dyDescent="0.35">
      <c r="C1046" s="100" t="str">
        <f>IF(OR(Fact_Cumplimiento[[#This Row], [Año]]="",Fact_Cumplimiento[[#This Row], [Mes]]=""),"",DATE(A1046,MATCH(B1046,{"enero","febrero","marzo","abril","mayo","junio","julio","agosto","septiembre","octubre","noviembre","diciembre"},0)+1,0))</f>
        <v/>
      </c>
      <c r="E1046" t="str">
        <f>+IFERROR(VLOOKUP(Fact_Cumplimiento[[#This Row], [Concepto Anterior]],Conceptos_Cumplimiento[#All],5,0),"")</f>
        <v/>
      </c>
      <c r="F1046" t="str">
        <f>+IFERROR(VLOOKUP(Fact_Cumplimiento[[#This Row], 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ht="18.75" customHeight="1" x14ac:dyDescent="0.35">
      <c r="C1047" s="100" t="str">
        <f>IF(OR(Fact_Cumplimiento[[#This Row], [Año]]="",Fact_Cumplimiento[[#This Row], [Mes]]=""),"",DATE(A1047,MATCH(B1047,{"enero","febrero","marzo","abril","mayo","junio","julio","agosto","septiembre","octubre","noviembre","diciembre"},0)+1,0))</f>
        <v/>
      </c>
      <c r="E1047" t="str">
        <f>+IFERROR(VLOOKUP(Fact_Cumplimiento[[#This Row], [Concepto Anterior]],Conceptos_Cumplimiento[#All],5,0),"")</f>
        <v/>
      </c>
      <c r="F1047" t="str">
        <f>+IFERROR(VLOOKUP(Fact_Cumplimiento[[#This Row], 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ht="18.75" customHeight="1" x14ac:dyDescent="0.35">
      <c r="C1048" s="100" t="str">
        <f>IF(OR(Fact_Cumplimiento[[#This Row], [Año]]="",Fact_Cumplimiento[[#This Row], [Mes]]=""),"",DATE(A1048,MATCH(B1048,{"enero","febrero","marzo","abril","mayo","junio","julio","agosto","septiembre","octubre","noviembre","diciembre"},0)+1,0))</f>
        <v/>
      </c>
      <c r="E1048" t="str">
        <f>+IFERROR(VLOOKUP(Fact_Cumplimiento[[#This Row], [Concepto Anterior]],Conceptos_Cumplimiento[#All],5,0),"")</f>
        <v/>
      </c>
      <c r="F1048" t="str">
        <f>+IFERROR(VLOOKUP(Fact_Cumplimiento[[#This Row], 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ht="18.75" customHeight="1" x14ac:dyDescent="0.35">
      <c r="C1049" s="100" t="str">
        <f>IF(OR(Fact_Cumplimiento[[#This Row], [Año]]="",Fact_Cumplimiento[[#This Row], [Mes]]=""),"",DATE(A1049,MATCH(B1049,{"enero","febrero","marzo","abril","mayo","junio","julio","agosto","septiembre","octubre","noviembre","diciembre"},0)+1,0))</f>
        <v/>
      </c>
      <c r="E1049" t="str">
        <f>+IFERROR(VLOOKUP(Fact_Cumplimiento[[#This Row], [Concepto Anterior]],Conceptos_Cumplimiento[#All],5,0),"")</f>
        <v/>
      </c>
      <c r="F1049" t="str">
        <f>+IFERROR(VLOOKUP(Fact_Cumplimiento[[#This Row], 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ht="18.75" customHeight="1" x14ac:dyDescent="0.35">
      <c r="C1050" s="100" t="str">
        <f>IF(OR(Fact_Cumplimiento[[#This Row], [Año]]="",Fact_Cumplimiento[[#This Row], [Mes]]=""),"",DATE(A1050,MATCH(B1050,{"enero","febrero","marzo","abril","mayo","junio","julio","agosto","septiembre","octubre","noviembre","diciembre"},0)+1,0))</f>
        <v/>
      </c>
      <c r="E1050" t="str">
        <f>+IFERROR(VLOOKUP(Fact_Cumplimiento[[#This Row], [Concepto Anterior]],Conceptos_Cumplimiento[#All],5,0),"")</f>
        <v/>
      </c>
      <c r="F1050" t="str">
        <f>+IFERROR(VLOOKUP(Fact_Cumplimiento[[#This Row], 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ht="18.75" customHeight="1" x14ac:dyDescent="0.35">
      <c r="C1051" s="100" t="str">
        <f>IF(OR(Fact_Cumplimiento[[#This Row], [Año]]="",Fact_Cumplimiento[[#This Row], [Mes]]=""),"",DATE(A1051,MATCH(B1051,{"enero","febrero","marzo","abril","mayo","junio","julio","agosto","septiembre","octubre","noviembre","diciembre"},0)+1,0))</f>
        <v/>
      </c>
      <c r="E1051" t="str">
        <f>+IFERROR(VLOOKUP(Fact_Cumplimiento[[#This Row], [Concepto Anterior]],Conceptos_Cumplimiento[#All],5,0),"")</f>
        <v/>
      </c>
      <c r="F1051" t="str">
        <f>+IFERROR(VLOOKUP(Fact_Cumplimiento[[#This Row], 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ht="18.75" customHeight="1" x14ac:dyDescent="0.35">
      <c r="C1052" s="100" t="str">
        <f>IF(OR(Fact_Cumplimiento[[#This Row], [Año]]="",Fact_Cumplimiento[[#This Row], [Mes]]=""),"",DATE(A1052,MATCH(B1052,{"enero","febrero","marzo","abril","mayo","junio","julio","agosto","septiembre","octubre","noviembre","diciembre"},0)+1,0))</f>
        <v/>
      </c>
      <c r="E1052" t="str">
        <f>+IFERROR(VLOOKUP(Fact_Cumplimiento[[#This Row], [Concepto Anterior]],Conceptos_Cumplimiento[#All],5,0),"")</f>
        <v/>
      </c>
      <c r="F1052" t="str">
        <f>+IFERROR(VLOOKUP(Fact_Cumplimiento[[#This Row], 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ht="18.75" customHeight="1" x14ac:dyDescent="0.35">
      <c r="C1053" s="100" t="str">
        <f>IF(OR(Fact_Cumplimiento[[#This Row], [Año]]="",Fact_Cumplimiento[[#This Row], [Mes]]=""),"",DATE(A1053,MATCH(B1053,{"enero","febrero","marzo","abril","mayo","junio","julio","agosto","septiembre","octubre","noviembre","diciembre"},0)+1,0))</f>
        <v/>
      </c>
      <c r="E1053" t="str">
        <f>+IFERROR(VLOOKUP(Fact_Cumplimiento[[#This Row], [Concepto Anterior]],Conceptos_Cumplimiento[#All],5,0),"")</f>
        <v/>
      </c>
      <c r="F1053" t="str">
        <f>+IFERROR(VLOOKUP(Fact_Cumplimiento[[#This Row], 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ht="18.75" customHeight="1" x14ac:dyDescent="0.35">
      <c r="C1054" s="100" t="str">
        <f>IF(OR(Fact_Cumplimiento[[#This Row], [Año]]="",Fact_Cumplimiento[[#This Row], [Mes]]=""),"",DATE(A1054,MATCH(B1054,{"enero","febrero","marzo","abril","mayo","junio","julio","agosto","septiembre","octubre","noviembre","diciembre"},0)+1,0))</f>
        <v/>
      </c>
      <c r="E1054" t="str">
        <f>+IFERROR(VLOOKUP(Fact_Cumplimiento[[#This Row], [Concepto Anterior]],Conceptos_Cumplimiento[#All],5,0),"")</f>
        <v/>
      </c>
      <c r="F1054" t="str">
        <f>+IFERROR(VLOOKUP(Fact_Cumplimiento[[#This Row], 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ht="18.75" customHeight="1" x14ac:dyDescent="0.35">
      <c r="C1055" s="100" t="str">
        <f>IF(OR(Fact_Cumplimiento[[#This Row], [Año]]="",Fact_Cumplimiento[[#This Row], [Mes]]=""),"",DATE(A1055,MATCH(B1055,{"enero","febrero","marzo","abril","mayo","junio","julio","agosto","septiembre","octubre","noviembre","diciembre"},0)+1,0))</f>
        <v/>
      </c>
      <c r="E1055" t="str">
        <f>+IFERROR(VLOOKUP(Fact_Cumplimiento[[#This Row], [Concepto Anterior]],Conceptos_Cumplimiento[#All],5,0),"")</f>
        <v/>
      </c>
      <c r="F1055" t="str">
        <f>+IFERROR(VLOOKUP(Fact_Cumplimiento[[#This Row], 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ht="18.75" customHeight="1" x14ac:dyDescent="0.35">
      <c r="C1056" s="100" t="str">
        <f>IF(OR(Fact_Cumplimiento[[#This Row], [Año]]="",Fact_Cumplimiento[[#This Row], [Mes]]=""),"",DATE(A1056,MATCH(B1056,{"enero","febrero","marzo","abril","mayo","junio","julio","agosto","septiembre","octubre","noviembre","diciembre"},0)+1,0))</f>
        <v/>
      </c>
      <c r="E1056" t="str">
        <f>+IFERROR(VLOOKUP(Fact_Cumplimiento[[#This Row], [Concepto Anterior]],Conceptos_Cumplimiento[#All],5,0),"")</f>
        <v/>
      </c>
      <c r="F1056" t="str">
        <f>+IFERROR(VLOOKUP(Fact_Cumplimiento[[#This Row], 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ht="18.75" customHeight="1" x14ac:dyDescent="0.35">
      <c r="C1057" s="100" t="str">
        <f>IF(OR(Fact_Cumplimiento[[#This Row], [Año]]="",Fact_Cumplimiento[[#This Row], [Mes]]=""),"",DATE(A1057,MATCH(B1057,{"enero","febrero","marzo","abril","mayo","junio","julio","agosto","septiembre","octubre","noviembre","diciembre"},0)+1,0))</f>
        <v/>
      </c>
      <c r="E1057" t="str">
        <f>+IFERROR(VLOOKUP(Fact_Cumplimiento[[#This Row], [Concepto Anterior]],Conceptos_Cumplimiento[#All],5,0),"")</f>
        <v/>
      </c>
      <c r="F1057" t="str">
        <f>+IFERROR(VLOOKUP(Fact_Cumplimiento[[#This Row], 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ht="18.75" customHeight="1" x14ac:dyDescent="0.35">
      <c r="C1058" s="100" t="str">
        <f>IF(OR(Fact_Cumplimiento[[#This Row], [Año]]="",Fact_Cumplimiento[[#This Row], [Mes]]=""),"",DATE(A1058,MATCH(B1058,{"enero","febrero","marzo","abril","mayo","junio","julio","agosto","septiembre","octubre","noviembre","diciembre"},0)+1,0))</f>
        <v/>
      </c>
      <c r="E1058" t="str">
        <f>+IFERROR(VLOOKUP(Fact_Cumplimiento[[#This Row], [Concepto Anterior]],Conceptos_Cumplimiento[#All],5,0),"")</f>
        <v/>
      </c>
      <c r="F1058" t="str">
        <f>+IFERROR(VLOOKUP(Fact_Cumplimiento[[#This Row], 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ht="18.75" customHeight="1" x14ac:dyDescent="0.35">
      <c r="C1059" s="100" t="str">
        <f>IF(OR(Fact_Cumplimiento[[#This Row], [Año]]="",Fact_Cumplimiento[[#This Row], [Mes]]=""),"",DATE(A1059,MATCH(B1059,{"enero","febrero","marzo","abril","mayo","junio","julio","agosto","septiembre","octubre","noviembre","diciembre"},0)+1,0))</f>
        <v/>
      </c>
      <c r="E1059" t="str">
        <f>+IFERROR(VLOOKUP(Fact_Cumplimiento[[#This Row], [Concepto Anterior]],Conceptos_Cumplimiento[#All],5,0),"")</f>
        <v/>
      </c>
      <c r="F1059" t="str">
        <f>+IFERROR(VLOOKUP(Fact_Cumplimiento[[#This Row], 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ht="18.75" customHeight="1" x14ac:dyDescent="0.35">
      <c r="C1060" s="100" t="str">
        <f>IF(OR(Fact_Cumplimiento[[#This Row], [Año]]="",Fact_Cumplimiento[[#This Row], [Mes]]=""),"",DATE(A1060,MATCH(B1060,{"enero","febrero","marzo","abril","mayo","junio","julio","agosto","septiembre","octubre","noviembre","diciembre"},0)+1,0))</f>
        <v/>
      </c>
      <c r="E1060" t="str">
        <f>+IFERROR(VLOOKUP(Fact_Cumplimiento[[#This Row], [Concepto Anterior]],Conceptos_Cumplimiento[#All],5,0),"")</f>
        <v/>
      </c>
      <c r="F1060" t="str">
        <f>+IFERROR(VLOOKUP(Fact_Cumplimiento[[#This Row], 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ht="18.75" customHeight="1" x14ac:dyDescent="0.35">
      <c r="C1061" s="100" t="str">
        <f>IF(OR(Fact_Cumplimiento[[#This Row], [Año]]="",Fact_Cumplimiento[[#This Row], [Mes]]=""),"",DATE(A1061,MATCH(B1061,{"enero","febrero","marzo","abril","mayo","junio","julio","agosto","septiembre","octubre","noviembre","diciembre"},0)+1,0))</f>
        <v/>
      </c>
      <c r="E1061" t="str">
        <f>+IFERROR(VLOOKUP(Fact_Cumplimiento[[#This Row], [Concepto Anterior]],Conceptos_Cumplimiento[#All],5,0),"")</f>
        <v/>
      </c>
      <c r="F1061" t="str">
        <f>+IFERROR(VLOOKUP(Fact_Cumplimiento[[#This Row], 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ht="18.75" customHeight="1" x14ac:dyDescent="0.35">
      <c r="C1062" s="100" t="str">
        <f>IF(OR(Fact_Cumplimiento[[#This Row], [Año]]="",Fact_Cumplimiento[[#This Row], [Mes]]=""),"",DATE(A1062,MATCH(B1062,{"enero","febrero","marzo","abril","mayo","junio","julio","agosto","septiembre","octubre","noviembre","diciembre"},0)+1,0))</f>
        <v/>
      </c>
      <c r="E1062" t="str">
        <f>+IFERROR(VLOOKUP(Fact_Cumplimiento[[#This Row], [Concepto Anterior]],Conceptos_Cumplimiento[#All],5,0),"")</f>
        <v/>
      </c>
      <c r="F1062" t="str">
        <f>+IFERROR(VLOOKUP(Fact_Cumplimiento[[#This Row], 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ht="18.75" customHeight="1" x14ac:dyDescent="0.35">
      <c r="C1063" s="100" t="str">
        <f>IF(OR(Fact_Cumplimiento[[#This Row], [Año]]="",Fact_Cumplimiento[[#This Row], [Mes]]=""),"",DATE(A1063,MATCH(B1063,{"enero","febrero","marzo","abril","mayo","junio","julio","agosto","septiembre","octubre","noviembre","diciembre"},0)+1,0))</f>
        <v/>
      </c>
      <c r="E1063" t="str">
        <f>+IFERROR(VLOOKUP(Fact_Cumplimiento[[#This Row], [Concepto Anterior]],Conceptos_Cumplimiento[#All],5,0),"")</f>
        <v/>
      </c>
      <c r="F1063" t="str">
        <f>+IFERROR(VLOOKUP(Fact_Cumplimiento[[#This Row], 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ht="18.75" customHeight="1" x14ac:dyDescent="0.35">
      <c r="C1064" s="100" t="str">
        <f>IF(OR(Fact_Cumplimiento[[#This Row], [Año]]="",Fact_Cumplimiento[[#This Row], [Mes]]=""),"",DATE(A1064,MATCH(B1064,{"enero","febrero","marzo","abril","mayo","junio","julio","agosto","septiembre","octubre","noviembre","diciembre"},0)+1,0))</f>
        <v/>
      </c>
      <c r="E1064" t="str">
        <f>+IFERROR(VLOOKUP(Fact_Cumplimiento[[#This Row], [Concepto Anterior]],Conceptos_Cumplimiento[#All],5,0),"")</f>
        <v/>
      </c>
      <c r="F1064" t="str">
        <f>+IFERROR(VLOOKUP(Fact_Cumplimiento[[#This Row], 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ht="18.75" customHeight="1" x14ac:dyDescent="0.35">
      <c r="C1065" s="100" t="str">
        <f>IF(OR(Fact_Cumplimiento[[#This Row], [Año]]="",Fact_Cumplimiento[[#This Row], [Mes]]=""),"",DATE(A1065,MATCH(B1065,{"enero","febrero","marzo","abril","mayo","junio","julio","agosto","septiembre","octubre","noviembre","diciembre"},0)+1,0))</f>
        <v/>
      </c>
      <c r="E1065" t="str">
        <f>+IFERROR(VLOOKUP(Fact_Cumplimiento[[#This Row], [Concepto Anterior]],Conceptos_Cumplimiento[#All],5,0),"")</f>
        <v/>
      </c>
      <c r="F1065" t="str">
        <f>+IFERROR(VLOOKUP(Fact_Cumplimiento[[#This Row], 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ht="18.75" customHeight="1" x14ac:dyDescent="0.35">
      <c r="C1066" s="100" t="str">
        <f>IF(OR(Fact_Cumplimiento[[#This Row], [Año]]="",Fact_Cumplimiento[[#This Row], [Mes]]=""),"",DATE(A1066,MATCH(B1066,{"enero","febrero","marzo","abril","mayo","junio","julio","agosto","septiembre","octubre","noviembre","diciembre"},0)+1,0))</f>
        <v/>
      </c>
      <c r="E1066" t="str">
        <f>+IFERROR(VLOOKUP(Fact_Cumplimiento[[#This Row], [Concepto Anterior]],Conceptos_Cumplimiento[#All],5,0),"")</f>
        <v/>
      </c>
      <c r="F1066" t="str">
        <f>+IFERROR(VLOOKUP(Fact_Cumplimiento[[#This Row], 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ht="18.75" customHeight="1" x14ac:dyDescent="0.35">
      <c r="C1067" s="100" t="str">
        <f>IF(OR(Fact_Cumplimiento[[#This Row], [Año]]="",Fact_Cumplimiento[[#This Row], [Mes]]=""),"",DATE(A1067,MATCH(B1067,{"enero","febrero","marzo","abril","mayo","junio","julio","agosto","septiembre","octubre","noviembre","diciembre"},0)+1,0))</f>
        <v/>
      </c>
      <c r="E1067" t="str">
        <f>+IFERROR(VLOOKUP(Fact_Cumplimiento[[#This Row], [Concepto Anterior]],Conceptos_Cumplimiento[#All],5,0),"")</f>
        <v/>
      </c>
      <c r="F1067" t="str">
        <f>+IFERROR(VLOOKUP(Fact_Cumplimiento[[#This Row], 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ht="18.75" customHeight="1" x14ac:dyDescent="0.35">
      <c r="C1068" s="100" t="str">
        <f>IF(OR(Fact_Cumplimiento[[#This Row], [Año]]="",Fact_Cumplimiento[[#This Row], [Mes]]=""),"",DATE(A1068,MATCH(B1068,{"enero","febrero","marzo","abril","mayo","junio","julio","agosto","septiembre","octubre","noviembre","diciembre"},0)+1,0))</f>
        <v/>
      </c>
      <c r="E1068" t="str">
        <f>+IFERROR(VLOOKUP(Fact_Cumplimiento[[#This Row], [Concepto Anterior]],Conceptos_Cumplimiento[#All],5,0),"")</f>
        <v/>
      </c>
      <c r="F1068" t="str">
        <f>+IFERROR(VLOOKUP(Fact_Cumplimiento[[#This Row], 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ht="18.75" customHeight="1" x14ac:dyDescent="0.35">
      <c r="C1069" s="100" t="str">
        <f>IF(OR(Fact_Cumplimiento[[#This Row], [Año]]="",Fact_Cumplimiento[[#This Row], [Mes]]=""),"",DATE(A1069,MATCH(B1069,{"enero","febrero","marzo","abril","mayo","junio","julio","agosto","septiembre","octubre","noviembre","diciembre"},0)+1,0))</f>
        <v/>
      </c>
      <c r="E1069" t="str">
        <f>+IFERROR(VLOOKUP(Fact_Cumplimiento[[#This Row], [Concepto Anterior]],Conceptos_Cumplimiento[#All],5,0),"")</f>
        <v/>
      </c>
      <c r="F1069" t="str">
        <f>+IFERROR(VLOOKUP(Fact_Cumplimiento[[#This Row], 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ht="18.75" customHeight="1" x14ac:dyDescent="0.35">
      <c r="C1070" s="100" t="str">
        <f>IF(OR(Fact_Cumplimiento[[#This Row], [Año]]="",Fact_Cumplimiento[[#This Row], [Mes]]=""),"",DATE(A1070,MATCH(B1070,{"enero","febrero","marzo","abril","mayo","junio","julio","agosto","septiembre","octubre","noviembre","diciembre"},0)+1,0))</f>
        <v/>
      </c>
      <c r="E1070" t="str">
        <f>+IFERROR(VLOOKUP(Fact_Cumplimiento[[#This Row], [Concepto Anterior]],Conceptos_Cumplimiento[#All],5,0),"")</f>
        <v/>
      </c>
      <c r="F1070" t="str">
        <f>+IFERROR(VLOOKUP(Fact_Cumplimiento[[#This Row], 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ht="18.75" customHeight="1" x14ac:dyDescent="0.35">
      <c r="C1071" s="100" t="str">
        <f>IF(OR(Fact_Cumplimiento[[#This Row], [Año]]="",Fact_Cumplimiento[[#This Row], [Mes]]=""),"",DATE(A1071,MATCH(B1071,{"enero","febrero","marzo","abril","mayo","junio","julio","agosto","septiembre","octubre","noviembre","diciembre"},0)+1,0))</f>
        <v/>
      </c>
      <c r="E1071" t="str">
        <f>+IFERROR(VLOOKUP(Fact_Cumplimiento[[#This Row], [Concepto Anterior]],Conceptos_Cumplimiento[#All],5,0),"")</f>
        <v/>
      </c>
      <c r="F1071" t="str">
        <f>+IFERROR(VLOOKUP(Fact_Cumplimiento[[#This Row], 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ht="18.75" customHeight="1" x14ac:dyDescent="0.35">
      <c r="C1072" s="100" t="str">
        <f>IF(OR(Fact_Cumplimiento[[#This Row], [Año]]="",Fact_Cumplimiento[[#This Row], [Mes]]=""),"",DATE(A1072,MATCH(B1072,{"enero","febrero","marzo","abril","mayo","junio","julio","agosto","septiembre","octubre","noviembre","diciembre"},0)+1,0))</f>
        <v/>
      </c>
      <c r="E1072" t="str">
        <f>+IFERROR(VLOOKUP(Fact_Cumplimiento[[#This Row], [Concepto Anterior]],Conceptos_Cumplimiento[#All],5,0),"")</f>
        <v/>
      </c>
      <c r="F1072" t="str">
        <f>+IFERROR(VLOOKUP(Fact_Cumplimiento[[#This Row], 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ht="18.75" customHeight="1" x14ac:dyDescent="0.35">
      <c r="C1073" s="100" t="str">
        <f>IF(OR(Fact_Cumplimiento[[#This Row], [Año]]="",Fact_Cumplimiento[[#This Row], [Mes]]=""),"",DATE(A1073,MATCH(B1073,{"enero","febrero","marzo","abril","mayo","junio","julio","agosto","septiembre","octubre","noviembre","diciembre"},0)+1,0))</f>
        <v/>
      </c>
      <c r="E1073" t="str">
        <f>+IFERROR(VLOOKUP(Fact_Cumplimiento[[#This Row], [Concepto Anterior]],Conceptos_Cumplimiento[#All],5,0),"")</f>
        <v/>
      </c>
      <c r="F1073" t="str">
        <f>+IFERROR(VLOOKUP(Fact_Cumplimiento[[#This Row], 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ht="18.75" customHeight="1" x14ac:dyDescent="0.35">
      <c r="C1074" s="100" t="str">
        <f>IF(OR(Fact_Cumplimiento[[#This Row], [Año]]="",Fact_Cumplimiento[[#This Row], [Mes]]=""),"",DATE(A1074,MATCH(B1074,{"enero","febrero","marzo","abril","mayo","junio","julio","agosto","septiembre","octubre","noviembre","diciembre"},0)+1,0))</f>
        <v/>
      </c>
      <c r="E1074" t="str">
        <f>+IFERROR(VLOOKUP(Fact_Cumplimiento[[#This Row], [Concepto Anterior]],Conceptos_Cumplimiento[#All],5,0),"")</f>
        <v/>
      </c>
      <c r="F1074" t="str">
        <f>+IFERROR(VLOOKUP(Fact_Cumplimiento[[#This Row], 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ht="18.75" customHeight="1" x14ac:dyDescent="0.35">
      <c r="C1075" s="100" t="str">
        <f>IF(OR(Fact_Cumplimiento[[#This Row], [Año]]="",Fact_Cumplimiento[[#This Row], [Mes]]=""),"",DATE(A1075,MATCH(B1075,{"enero","febrero","marzo","abril","mayo","junio","julio","agosto","septiembre","octubre","noviembre","diciembre"},0)+1,0))</f>
        <v/>
      </c>
      <c r="E1075" t="str">
        <f>+IFERROR(VLOOKUP(Fact_Cumplimiento[[#This Row], [Concepto Anterior]],Conceptos_Cumplimiento[#All],5,0),"")</f>
        <v/>
      </c>
      <c r="F1075" t="str">
        <f>+IFERROR(VLOOKUP(Fact_Cumplimiento[[#This Row], 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ht="18.75" customHeight="1" x14ac:dyDescent="0.35">
      <c r="C1076" s="100" t="str">
        <f>IF(OR(Fact_Cumplimiento[[#This Row], [Año]]="",Fact_Cumplimiento[[#This Row], [Mes]]=""),"",DATE(A1076,MATCH(B1076,{"enero","febrero","marzo","abril","mayo","junio","julio","agosto","septiembre","octubre","noviembre","diciembre"},0)+1,0))</f>
        <v/>
      </c>
      <c r="E1076" t="str">
        <f>+IFERROR(VLOOKUP(Fact_Cumplimiento[[#This Row], [Concepto Anterior]],Conceptos_Cumplimiento[#All],5,0),"")</f>
        <v/>
      </c>
      <c r="F1076" t="str">
        <f>+IFERROR(VLOOKUP(Fact_Cumplimiento[[#This Row], 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ht="18.75" customHeight="1" x14ac:dyDescent="0.35">
      <c r="C1077" s="100" t="str">
        <f>IF(OR(Fact_Cumplimiento[[#This Row], [Año]]="",Fact_Cumplimiento[[#This Row], [Mes]]=""),"",DATE(A1077,MATCH(B1077,{"enero","febrero","marzo","abril","mayo","junio","julio","agosto","septiembre","octubre","noviembre","diciembre"},0)+1,0))</f>
        <v/>
      </c>
      <c r="E1077" t="str">
        <f>+IFERROR(VLOOKUP(Fact_Cumplimiento[[#This Row], [Concepto Anterior]],Conceptos_Cumplimiento[#All],5,0),"")</f>
        <v/>
      </c>
      <c r="F1077" t="str">
        <f>+IFERROR(VLOOKUP(Fact_Cumplimiento[[#This Row], 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ht="18.75" customHeight="1" x14ac:dyDescent="0.35">
      <c r="C1078" s="100" t="str">
        <f>IF(OR(Fact_Cumplimiento[[#This Row], [Año]]="",Fact_Cumplimiento[[#This Row], [Mes]]=""),"",DATE(A1078,MATCH(B1078,{"enero","febrero","marzo","abril","mayo","junio","julio","agosto","septiembre","octubre","noviembre","diciembre"},0)+1,0))</f>
        <v/>
      </c>
      <c r="E1078" t="str">
        <f>+IFERROR(VLOOKUP(Fact_Cumplimiento[[#This Row], [Concepto Anterior]],Conceptos_Cumplimiento[#All],5,0),"")</f>
        <v/>
      </c>
      <c r="F1078" t="str">
        <f>+IFERROR(VLOOKUP(Fact_Cumplimiento[[#This Row], 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ht="18.75" customHeight="1" x14ac:dyDescent="0.35">
      <c r="C1079" s="100" t="str">
        <f>IF(OR(Fact_Cumplimiento[[#This Row], [Año]]="",Fact_Cumplimiento[[#This Row], [Mes]]=""),"",DATE(A1079,MATCH(B1079,{"enero","febrero","marzo","abril","mayo","junio","julio","agosto","septiembre","octubre","noviembre","diciembre"},0)+1,0))</f>
        <v/>
      </c>
      <c r="E1079" t="str">
        <f>+IFERROR(VLOOKUP(Fact_Cumplimiento[[#This Row], [Concepto Anterior]],Conceptos_Cumplimiento[#All],5,0),"")</f>
        <v/>
      </c>
      <c r="F1079" t="str">
        <f>+IFERROR(VLOOKUP(Fact_Cumplimiento[[#This Row], 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ht="18.75" customHeight="1" x14ac:dyDescent="0.35">
      <c r="C1080" s="100" t="str">
        <f>IF(OR(Fact_Cumplimiento[[#This Row], [Año]]="",Fact_Cumplimiento[[#This Row], [Mes]]=""),"",DATE(A1080,MATCH(B1080,{"enero","febrero","marzo","abril","mayo","junio","julio","agosto","septiembre","octubre","noviembre","diciembre"},0)+1,0))</f>
        <v/>
      </c>
      <c r="E1080" t="str">
        <f>+IFERROR(VLOOKUP(Fact_Cumplimiento[[#This Row], [Concepto Anterior]],Conceptos_Cumplimiento[#All],5,0),"")</f>
        <v/>
      </c>
      <c r="F1080" t="str">
        <f>+IFERROR(VLOOKUP(Fact_Cumplimiento[[#This Row], 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ht="18.75" customHeight="1" x14ac:dyDescent="0.35">
      <c r="C1081" s="100" t="str">
        <f>IF(OR(Fact_Cumplimiento[[#This Row], [Año]]="",Fact_Cumplimiento[[#This Row], [Mes]]=""),"",DATE(A1081,MATCH(B1081,{"enero","febrero","marzo","abril","mayo","junio","julio","agosto","septiembre","octubre","noviembre","diciembre"},0)+1,0))</f>
        <v/>
      </c>
      <c r="E1081" t="str">
        <f>+IFERROR(VLOOKUP(Fact_Cumplimiento[[#This Row], [Concepto Anterior]],Conceptos_Cumplimiento[#All],5,0),"")</f>
        <v/>
      </c>
      <c r="F1081" t="str">
        <f>+IFERROR(VLOOKUP(Fact_Cumplimiento[[#This Row], 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ht="18.75" customHeight="1" x14ac:dyDescent="0.35">
      <c r="C1082" s="100" t="str">
        <f>IF(OR(Fact_Cumplimiento[[#This Row], [Año]]="",Fact_Cumplimiento[[#This Row], [Mes]]=""),"",DATE(A1082,MATCH(B1082,{"enero","febrero","marzo","abril","mayo","junio","julio","agosto","septiembre","octubre","noviembre","diciembre"},0)+1,0))</f>
        <v/>
      </c>
      <c r="E1082" t="str">
        <f>+IFERROR(VLOOKUP(Fact_Cumplimiento[[#This Row], [Concepto Anterior]],Conceptos_Cumplimiento[#All],5,0),"")</f>
        <v/>
      </c>
      <c r="F1082" t="str">
        <f>+IFERROR(VLOOKUP(Fact_Cumplimiento[[#This Row], 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ht="18.75" customHeight="1" x14ac:dyDescent="0.35">
      <c r="C1083" s="100" t="str">
        <f>IF(OR(Fact_Cumplimiento[[#This Row], [Año]]="",Fact_Cumplimiento[[#This Row], [Mes]]=""),"",DATE(A1083,MATCH(B1083,{"enero","febrero","marzo","abril","mayo","junio","julio","agosto","septiembre","octubre","noviembre","diciembre"},0)+1,0))</f>
        <v/>
      </c>
      <c r="E1083" t="str">
        <f>+IFERROR(VLOOKUP(Fact_Cumplimiento[[#This Row], [Concepto Anterior]],Conceptos_Cumplimiento[#All],5,0),"")</f>
        <v/>
      </c>
      <c r="F1083" t="str">
        <f>+IFERROR(VLOOKUP(Fact_Cumplimiento[[#This Row], 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ht="18.75" customHeight="1" x14ac:dyDescent="0.35">
      <c r="C1084" s="100" t="str">
        <f>IF(OR(Fact_Cumplimiento[[#This Row], [Año]]="",Fact_Cumplimiento[[#This Row], [Mes]]=""),"",DATE(A1084,MATCH(B1084,{"enero","febrero","marzo","abril","mayo","junio","julio","agosto","septiembre","octubre","noviembre","diciembre"},0)+1,0))</f>
        <v/>
      </c>
      <c r="E1084" t="str">
        <f>+IFERROR(VLOOKUP(Fact_Cumplimiento[[#This Row], [Concepto Anterior]],Conceptos_Cumplimiento[#All],5,0),"")</f>
        <v/>
      </c>
      <c r="F1084" t="str">
        <f>+IFERROR(VLOOKUP(Fact_Cumplimiento[[#This Row], 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ht="18.75" customHeight="1" x14ac:dyDescent="0.35">
      <c r="C1085" s="100" t="str">
        <f>IF(OR(Fact_Cumplimiento[[#This Row], [Año]]="",Fact_Cumplimiento[[#This Row], [Mes]]=""),"",DATE(A1085,MATCH(B1085,{"enero","febrero","marzo","abril","mayo","junio","julio","agosto","septiembre","octubre","noviembre","diciembre"},0)+1,0))</f>
        <v/>
      </c>
      <c r="E1085" t="str">
        <f>+IFERROR(VLOOKUP(Fact_Cumplimiento[[#This Row], [Concepto Anterior]],Conceptos_Cumplimiento[#All],5,0),"")</f>
        <v/>
      </c>
      <c r="F1085" t="str">
        <f>+IFERROR(VLOOKUP(Fact_Cumplimiento[[#This Row], 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ht="18.75" customHeight="1" x14ac:dyDescent="0.35">
      <c r="C1086" s="100" t="str">
        <f>IF(OR(Fact_Cumplimiento[[#This Row], [Año]]="",Fact_Cumplimiento[[#This Row], [Mes]]=""),"",DATE(A1086,MATCH(B1086,{"enero","febrero","marzo","abril","mayo","junio","julio","agosto","septiembre","octubre","noviembre","diciembre"},0)+1,0))</f>
        <v/>
      </c>
      <c r="E1086" t="str">
        <f>+IFERROR(VLOOKUP(Fact_Cumplimiento[[#This Row], [Concepto Anterior]],Conceptos_Cumplimiento[#All],5,0),"")</f>
        <v/>
      </c>
      <c r="F1086" t="str">
        <f>+IFERROR(VLOOKUP(Fact_Cumplimiento[[#This Row], 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ht="18.75" customHeight="1" x14ac:dyDescent="0.35">
      <c r="C1087" s="100" t="str">
        <f>IF(OR(Fact_Cumplimiento[[#This Row], [Año]]="",Fact_Cumplimiento[[#This Row], [Mes]]=""),"",DATE(A1087,MATCH(B1087,{"enero","febrero","marzo","abril","mayo","junio","julio","agosto","septiembre","octubre","noviembre","diciembre"},0)+1,0))</f>
        <v/>
      </c>
      <c r="E1087" t="str">
        <f>+IFERROR(VLOOKUP(Fact_Cumplimiento[[#This Row], [Concepto Anterior]],Conceptos_Cumplimiento[#All],5,0),"")</f>
        <v/>
      </c>
      <c r="F1087" t="str">
        <f>+IFERROR(VLOOKUP(Fact_Cumplimiento[[#This Row], 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ht="18.75" customHeight="1" x14ac:dyDescent="0.35">
      <c r="C1088" s="100" t="str">
        <f>IF(OR(Fact_Cumplimiento[[#This Row], [Año]]="",Fact_Cumplimiento[[#This Row], [Mes]]=""),"",DATE(A1088,MATCH(B1088,{"enero","febrero","marzo","abril","mayo","junio","julio","agosto","septiembre","octubre","noviembre","diciembre"},0)+1,0))</f>
        <v/>
      </c>
      <c r="E1088" t="str">
        <f>+IFERROR(VLOOKUP(Fact_Cumplimiento[[#This Row], [Concepto Anterior]],Conceptos_Cumplimiento[#All],5,0),"")</f>
        <v/>
      </c>
      <c r="F1088" t="str">
        <f>+IFERROR(VLOOKUP(Fact_Cumplimiento[[#This Row], 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ht="18.75" customHeight="1" x14ac:dyDescent="0.35">
      <c r="C1089" s="100" t="str">
        <f>IF(OR(Fact_Cumplimiento[[#This Row], [Año]]="",Fact_Cumplimiento[[#This Row], [Mes]]=""),"",DATE(A1089,MATCH(B1089,{"enero","febrero","marzo","abril","mayo","junio","julio","agosto","septiembre","octubre","noviembre","diciembre"},0)+1,0))</f>
        <v/>
      </c>
      <c r="E1089" t="str">
        <f>+IFERROR(VLOOKUP(Fact_Cumplimiento[[#This Row], [Concepto Anterior]],Conceptos_Cumplimiento[#All],5,0),"")</f>
        <v/>
      </c>
      <c r="F1089" t="str">
        <f>+IFERROR(VLOOKUP(Fact_Cumplimiento[[#This Row], 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ht="18.75" customHeight="1" x14ac:dyDescent="0.35">
      <c r="C1090" s="100" t="str">
        <f>IF(OR(Fact_Cumplimiento[[#This Row], [Año]]="",Fact_Cumplimiento[[#This Row], [Mes]]=""),"",DATE(A1090,MATCH(B1090,{"enero","febrero","marzo","abril","mayo","junio","julio","agosto","septiembre","octubre","noviembre","diciembre"},0)+1,0))</f>
        <v/>
      </c>
      <c r="E1090" t="str">
        <f>+IFERROR(VLOOKUP(Fact_Cumplimiento[[#This Row], [Concepto Anterior]],Conceptos_Cumplimiento[#All],5,0),"")</f>
        <v/>
      </c>
      <c r="F1090" t="str">
        <f>+IFERROR(VLOOKUP(Fact_Cumplimiento[[#This Row], 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ht="18.75" customHeight="1" x14ac:dyDescent="0.35">
      <c r="C1091" s="100" t="str">
        <f>IF(OR(Fact_Cumplimiento[[#This Row], [Año]]="",Fact_Cumplimiento[[#This Row], [Mes]]=""),"",DATE(A1091,MATCH(B1091,{"enero","febrero","marzo","abril","mayo","junio","julio","agosto","septiembre","octubre","noviembre","diciembre"},0)+1,0))</f>
        <v/>
      </c>
      <c r="E1091" t="str">
        <f>+IFERROR(VLOOKUP(Fact_Cumplimiento[[#This Row], [Concepto Anterior]],Conceptos_Cumplimiento[#All],5,0),"")</f>
        <v/>
      </c>
      <c r="F1091" t="str">
        <f>+IFERROR(VLOOKUP(Fact_Cumplimiento[[#This Row], 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ht="18.75" customHeight="1" x14ac:dyDescent="0.35">
      <c r="C1092" s="100" t="str">
        <f>IF(OR(Fact_Cumplimiento[[#This Row], [Año]]="",Fact_Cumplimiento[[#This Row], [Mes]]=""),"",DATE(A1092,MATCH(B1092,{"enero","febrero","marzo","abril","mayo","junio","julio","agosto","septiembre","octubre","noviembre","diciembre"},0)+1,0))</f>
        <v/>
      </c>
      <c r="E1092" t="str">
        <f>+IFERROR(VLOOKUP(Fact_Cumplimiento[[#This Row], [Concepto Anterior]],Conceptos_Cumplimiento[#All],5,0),"")</f>
        <v/>
      </c>
      <c r="F1092" t="str">
        <f>+IFERROR(VLOOKUP(Fact_Cumplimiento[[#This Row], 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ht="18.75" customHeight="1" x14ac:dyDescent="0.35">
      <c r="C1093" s="100" t="str">
        <f>IF(OR(Fact_Cumplimiento[[#This Row], [Año]]="",Fact_Cumplimiento[[#This Row], [Mes]]=""),"",DATE(A1093,MATCH(B1093,{"enero","febrero","marzo","abril","mayo","junio","julio","agosto","septiembre","octubre","noviembre","diciembre"},0)+1,0))</f>
        <v/>
      </c>
      <c r="E1093" t="str">
        <f>+IFERROR(VLOOKUP(Fact_Cumplimiento[[#This Row], [Concepto Anterior]],Conceptos_Cumplimiento[#All],5,0),"")</f>
        <v/>
      </c>
      <c r="F1093" t="str">
        <f>+IFERROR(VLOOKUP(Fact_Cumplimiento[[#This Row], 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ht="18.75" customHeight="1" x14ac:dyDescent="0.35">
      <c r="C1094" s="100" t="str">
        <f>IF(OR(Fact_Cumplimiento[[#This Row], [Año]]="",Fact_Cumplimiento[[#This Row], [Mes]]=""),"",DATE(A1094,MATCH(B1094,{"enero","febrero","marzo","abril","mayo","junio","julio","agosto","septiembre","octubre","noviembre","diciembre"},0)+1,0))</f>
        <v/>
      </c>
      <c r="E1094" t="str">
        <f>+IFERROR(VLOOKUP(Fact_Cumplimiento[[#This Row], [Concepto Anterior]],Conceptos_Cumplimiento[#All],5,0),"")</f>
        <v/>
      </c>
      <c r="F1094" t="str">
        <f>+IFERROR(VLOOKUP(Fact_Cumplimiento[[#This Row], 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ht="18.75" customHeight="1" x14ac:dyDescent="0.35">
      <c r="C1095" s="100" t="str">
        <f>IF(OR(Fact_Cumplimiento[[#This Row], [Año]]="",Fact_Cumplimiento[[#This Row], [Mes]]=""),"",DATE(A1095,MATCH(B1095,{"enero","febrero","marzo","abril","mayo","junio","julio","agosto","septiembre","octubre","noviembre","diciembre"},0)+1,0))</f>
        <v/>
      </c>
      <c r="E1095" t="str">
        <f>+IFERROR(VLOOKUP(Fact_Cumplimiento[[#This Row], [Concepto Anterior]],Conceptos_Cumplimiento[#All],5,0),"")</f>
        <v/>
      </c>
      <c r="F1095" t="str">
        <f>+IFERROR(VLOOKUP(Fact_Cumplimiento[[#This Row], 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ht="18.75" customHeight="1" x14ac:dyDescent="0.35">
      <c r="C1096" s="100" t="str">
        <f>IF(OR(Fact_Cumplimiento[[#This Row], [Año]]="",Fact_Cumplimiento[[#This Row], [Mes]]=""),"",DATE(A1096,MATCH(B1096,{"enero","febrero","marzo","abril","mayo","junio","julio","agosto","septiembre","octubre","noviembre","diciembre"},0)+1,0))</f>
        <v/>
      </c>
      <c r="E1096" t="str">
        <f>+IFERROR(VLOOKUP(Fact_Cumplimiento[[#This Row], [Concepto Anterior]],Conceptos_Cumplimiento[#All],5,0),"")</f>
        <v/>
      </c>
      <c r="F1096" t="str">
        <f>+IFERROR(VLOOKUP(Fact_Cumplimiento[[#This Row], 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ht="18.75" customHeight="1" x14ac:dyDescent="0.35">
      <c r="C1097" s="100" t="str">
        <f>IF(OR(Fact_Cumplimiento[[#This Row], [Año]]="",Fact_Cumplimiento[[#This Row], [Mes]]=""),"",DATE(A1097,MATCH(B1097,{"enero","febrero","marzo","abril","mayo","junio","julio","agosto","septiembre","octubre","noviembre","diciembre"},0)+1,0))</f>
        <v/>
      </c>
      <c r="E1097" t="str">
        <f>+IFERROR(VLOOKUP(Fact_Cumplimiento[[#This Row], [Concepto Anterior]],Conceptos_Cumplimiento[#All],5,0),"")</f>
        <v/>
      </c>
      <c r="F1097" t="str">
        <f>+IFERROR(VLOOKUP(Fact_Cumplimiento[[#This Row], 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ht="18.75" customHeight="1" x14ac:dyDescent="0.35">
      <c r="C1098" s="100" t="str">
        <f>IF(OR(Fact_Cumplimiento[[#This Row], [Año]]="",Fact_Cumplimiento[[#This Row], [Mes]]=""),"",DATE(A1098,MATCH(B1098,{"enero","febrero","marzo","abril","mayo","junio","julio","agosto","septiembre","octubre","noviembre","diciembre"},0)+1,0))</f>
        <v/>
      </c>
      <c r="E1098" t="str">
        <f>+IFERROR(VLOOKUP(Fact_Cumplimiento[[#This Row], [Concepto Anterior]],Conceptos_Cumplimiento[#All],5,0),"")</f>
        <v/>
      </c>
      <c r="F1098" t="str">
        <f>+IFERROR(VLOOKUP(Fact_Cumplimiento[[#This Row], 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ht="18.75" customHeight="1" x14ac:dyDescent="0.35">
      <c r="C1099" s="100" t="str">
        <f>IF(OR(Fact_Cumplimiento[[#This Row], [Año]]="",Fact_Cumplimiento[[#This Row], [Mes]]=""),"",DATE(A1099,MATCH(B1099,{"enero","febrero","marzo","abril","mayo","junio","julio","agosto","septiembre","octubre","noviembre","diciembre"},0)+1,0))</f>
        <v/>
      </c>
      <c r="E1099" t="str">
        <f>+IFERROR(VLOOKUP(Fact_Cumplimiento[[#This Row], [Concepto Anterior]],Conceptos_Cumplimiento[#All],5,0),"")</f>
        <v/>
      </c>
      <c r="F1099" t="str">
        <f>+IFERROR(VLOOKUP(Fact_Cumplimiento[[#This Row], 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ht="18.75" customHeight="1" x14ac:dyDescent="0.35">
      <c r="C1100" s="100" t="str">
        <f>IF(OR(Fact_Cumplimiento[[#This Row], [Año]]="",Fact_Cumplimiento[[#This Row], [Mes]]=""),"",DATE(A1100,MATCH(B1100,{"enero","febrero","marzo","abril","mayo","junio","julio","agosto","septiembre","octubre","noviembre","diciembre"},0)+1,0))</f>
        <v/>
      </c>
      <c r="E1100" t="str">
        <f>+IFERROR(VLOOKUP(Fact_Cumplimiento[[#This Row], [Concepto Anterior]],Conceptos_Cumplimiento[#All],5,0),"")</f>
        <v/>
      </c>
      <c r="F1100" t="str">
        <f>+IFERROR(VLOOKUP(Fact_Cumplimiento[[#This Row], 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ht="18.75" customHeight="1" x14ac:dyDescent="0.35">
      <c r="C1101" s="100" t="str">
        <f>IF(OR(Fact_Cumplimiento[[#This Row], [Año]]="",Fact_Cumplimiento[[#This Row], [Mes]]=""),"",DATE(A1101,MATCH(B1101,{"enero","febrero","marzo","abril","mayo","junio","julio","agosto","septiembre","octubre","noviembre","diciembre"},0)+1,0))</f>
        <v/>
      </c>
      <c r="E1101" t="str">
        <f>+IFERROR(VLOOKUP(Fact_Cumplimiento[[#This Row], [Concepto Anterior]],Conceptos_Cumplimiento[#All],5,0),"")</f>
        <v/>
      </c>
      <c r="F1101" t="str">
        <f>+IFERROR(VLOOKUP(Fact_Cumplimiento[[#This Row], 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ht="18.75" customHeight="1" x14ac:dyDescent="0.35">
      <c r="C1102" s="100" t="str">
        <f>IF(OR(Fact_Cumplimiento[[#This Row], [Año]]="",Fact_Cumplimiento[[#This Row], [Mes]]=""),"",DATE(A1102,MATCH(B1102,{"enero","febrero","marzo","abril","mayo","junio","julio","agosto","septiembre","octubre","noviembre","diciembre"},0)+1,0))</f>
        <v/>
      </c>
      <c r="E1102" t="str">
        <f>+IFERROR(VLOOKUP(Fact_Cumplimiento[[#This Row], [Concepto Anterior]],Conceptos_Cumplimiento[#All],5,0),"")</f>
        <v/>
      </c>
      <c r="F1102" t="str">
        <f>+IFERROR(VLOOKUP(Fact_Cumplimiento[[#This Row], 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ht="18.75" customHeight="1" x14ac:dyDescent="0.35">
      <c r="C1103" s="100" t="str">
        <f>IF(OR(Fact_Cumplimiento[[#This Row], [Año]]="",Fact_Cumplimiento[[#This Row], [Mes]]=""),"",DATE(A1103,MATCH(B1103,{"enero","febrero","marzo","abril","mayo","junio","julio","agosto","septiembre","octubre","noviembre","diciembre"},0)+1,0))</f>
        <v/>
      </c>
      <c r="E1103" t="str">
        <f>+IFERROR(VLOOKUP(Fact_Cumplimiento[[#This Row], [Concepto Anterior]],Conceptos_Cumplimiento[#All],5,0),"")</f>
        <v/>
      </c>
      <c r="F1103" t="str">
        <f>+IFERROR(VLOOKUP(Fact_Cumplimiento[[#This Row], 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ht="18.75" customHeight="1" x14ac:dyDescent="0.35">
      <c r="C1104" s="100" t="str">
        <f>IF(OR(Fact_Cumplimiento[[#This Row], [Año]]="",Fact_Cumplimiento[[#This Row], [Mes]]=""),"",DATE(A1104,MATCH(B1104,{"enero","febrero","marzo","abril","mayo","junio","julio","agosto","septiembre","octubre","noviembre","diciembre"},0)+1,0))</f>
        <v/>
      </c>
      <c r="E1104" t="str">
        <f>+IFERROR(VLOOKUP(Fact_Cumplimiento[[#This Row], [Concepto Anterior]],Conceptos_Cumplimiento[#All],5,0),"")</f>
        <v/>
      </c>
      <c r="F1104" t="str">
        <f>+IFERROR(VLOOKUP(Fact_Cumplimiento[[#This Row], 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ht="18.75" customHeight="1" x14ac:dyDescent="0.35">
      <c r="C1105" s="100" t="str">
        <f>IF(OR(Fact_Cumplimiento[[#This Row], [Año]]="",Fact_Cumplimiento[[#This Row], [Mes]]=""),"",DATE(A1105,MATCH(B1105,{"enero","febrero","marzo","abril","mayo","junio","julio","agosto","septiembre","octubre","noviembre","diciembre"},0)+1,0))</f>
        <v/>
      </c>
      <c r="E1105" t="str">
        <f>+IFERROR(VLOOKUP(Fact_Cumplimiento[[#This Row], [Concepto Anterior]],Conceptos_Cumplimiento[#All],5,0),"")</f>
        <v/>
      </c>
      <c r="F1105" t="str">
        <f>+IFERROR(VLOOKUP(Fact_Cumplimiento[[#This Row], 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ht="18.75" customHeight="1" x14ac:dyDescent="0.35">
      <c r="C1106" s="100" t="str">
        <f>IF(OR(Fact_Cumplimiento[[#This Row], [Año]]="",Fact_Cumplimiento[[#This Row], [Mes]]=""),"",DATE(A1106,MATCH(B1106,{"enero","febrero","marzo","abril","mayo","junio","julio","agosto","septiembre","octubre","noviembre","diciembre"},0)+1,0))</f>
        <v/>
      </c>
      <c r="E1106" t="str">
        <f>+IFERROR(VLOOKUP(Fact_Cumplimiento[[#This Row], [Concepto Anterior]],Conceptos_Cumplimiento[#All],5,0),"")</f>
        <v/>
      </c>
      <c r="F1106" t="str">
        <f>+IFERROR(VLOOKUP(Fact_Cumplimiento[[#This Row], 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ht="18.75" customHeight="1" x14ac:dyDescent="0.35">
      <c r="C1107" s="100" t="str">
        <f>IF(OR(Fact_Cumplimiento[[#This Row], [Año]]="",Fact_Cumplimiento[[#This Row], [Mes]]=""),"",DATE(A1107,MATCH(B1107,{"enero","febrero","marzo","abril","mayo","junio","julio","agosto","septiembre","octubre","noviembre","diciembre"},0)+1,0))</f>
        <v/>
      </c>
      <c r="E1107" t="str">
        <f>+IFERROR(VLOOKUP(Fact_Cumplimiento[[#This Row], [Concepto Anterior]],Conceptos_Cumplimiento[#All],5,0),"")</f>
        <v/>
      </c>
      <c r="F1107" t="str">
        <f>+IFERROR(VLOOKUP(Fact_Cumplimiento[[#This Row], 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ht="18.75" customHeight="1" x14ac:dyDescent="0.35">
      <c r="C1108" s="100" t="str">
        <f>IF(OR(Fact_Cumplimiento[[#This Row], [Año]]="",Fact_Cumplimiento[[#This Row], [Mes]]=""),"",DATE(A1108,MATCH(B1108,{"enero","febrero","marzo","abril","mayo","junio","julio","agosto","septiembre","octubre","noviembre","diciembre"},0)+1,0))</f>
        <v/>
      </c>
      <c r="E1108" t="str">
        <f>+IFERROR(VLOOKUP(Fact_Cumplimiento[[#This Row], [Concepto Anterior]],Conceptos_Cumplimiento[#All],5,0),"")</f>
        <v/>
      </c>
      <c r="F1108" t="str">
        <f>+IFERROR(VLOOKUP(Fact_Cumplimiento[[#This Row], 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ht="18.75" customHeight="1" x14ac:dyDescent="0.35">
      <c r="C1109" s="100" t="str">
        <f>IF(OR(Fact_Cumplimiento[[#This Row], [Año]]="",Fact_Cumplimiento[[#This Row], [Mes]]=""),"",DATE(A1109,MATCH(B1109,{"enero","febrero","marzo","abril","mayo","junio","julio","agosto","septiembre","octubre","noviembre","diciembre"},0)+1,0))</f>
        <v/>
      </c>
      <c r="E1109" t="str">
        <f>+IFERROR(VLOOKUP(Fact_Cumplimiento[[#This Row], [Concepto Anterior]],Conceptos_Cumplimiento[#All],5,0),"")</f>
        <v/>
      </c>
      <c r="F1109" t="str">
        <f>+IFERROR(VLOOKUP(Fact_Cumplimiento[[#This Row], 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ht="18.75" customHeight="1" x14ac:dyDescent="0.35">
      <c r="C1110" s="100" t="str">
        <f>IF(OR(Fact_Cumplimiento[[#This Row], [Año]]="",Fact_Cumplimiento[[#This Row], [Mes]]=""),"",DATE(A1110,MATCH(B1110,{"enero","febrero","marzo","abril","mayo","junio","julio","agosto","septiembre","octubre","noviembre","diciembre"},0)+1,0))</f>
        <v/>
      </c>
      <c r="E1110" t="str">
        <f>+IFERROR(VLOOKUP(Fact_Cumplimiento[[#This Row], [Concepto Anterior]],Conceptos_Cumplimiento[#All],5,0),"")</f>
        <v/>
      </c>
      <c r="F1110" t="str">
        <f>+IFERROR(VLOOKUP(Fact_Cumplimiento[[#This Row], 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ht="18.75" customHeight="1" x14ac:dyDescent="0.35">
      <c r="C1111" s="100" t="str">
        <f>IF(OR(Fact_Cumplimiento[[#This Row], [Año]]="",Fact_Cumplimiento[[#This Row], [Mes]]=""),"",DATE(A1111,MATCH(B1111,{"enero","febrero","marzo","abril","mayo","junio","julio","agosto","septiembre","octubre","noviembre","diciembre"},0)+1,0))</f>
        <v/>
      </c>
      <c r="E1111" t="str">
        <f>+IFERROR(VLOOKUP(Fact_Cumplimiento[[#This Row], [Concepto Anterior]],Conceptos_Cumplimiento[#All],5,0),"")</f>
        <v/>
      </c>
      <c r="F1111" t="str">
        <f>+IFERROR(VLOOKUP(Fact_Cumplimiento[[#This Row], 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ht="18.75" customHeight="1" x14ac:dyDescent="0.35">
      <c r="C1112" s="100" t="str">
        <f>IF(OR(Fact_Cumplimiento[[#This Row], [Año]]="",Fact_Cumplimiento[[#This Row], [Mes]]=""),"",DATE(A1112,MATCH(B1112,{"enero","febrero","marzo","abril","mayo","junio","julio","agosto","septiembre","octubre","noviembre","diciembre"},0)+1,0))</f>
        <v/>
      </c>
      <c r="E1112" t="str">
        <f>+IFERROR(VLOOKUP(Fact_Cumplimiento[[#This Row], [Concepto Anterior]],Conceptos_Cumplimiento[#All],5,0),"")</f>
        <v/>
      </c>
      <c r="F1112" t="str">
        <f>+IFERROR(VLOOKUP(Fact_Cumplimiento[[#This Row], 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ht="18.75" customHeight="1" x14ac:dyDescent="0.35">
      <c r="C1113" s="100" t="str">
        <f>IF(OR(Fact_Cumplimiento[[#This Row], [Año]]="",Fact_Cumplimiento[[#This Row], [Mes]]=""),"",DATE(A1113,MATCH(B1113,{"enero","febrero","marzo","abril","mayo","junio","julio","agosto","septiembre","octubre","noviembre","diciembre"},0)+1,0))</f>
        <v/>
      </c>
      <c r="E1113" t="str">
        <f>+IFERROR(VLOOKUP(Fact_Cumplimiento[[#This Row], [Concepto Anterior]],Conceptos_Cumplimiento[#All],5,0),"")</f>
        <v/>
      </c>
      <c r="F1113" t="str">
        <f>+IFERROR(VLOOKUP(Fact_Cumplimiento[[#This Row], 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ht="18.75" customHeight="1" x14ac:dyDescent="0.35">
      <c r="C1114" s="100" t="str">
        <f>IF(OR(Fact_Cumplimiento[[#This Row], [Año]]="",Fact_Cumplimiento[[#This Row], [Mes]]=""),"",DATE(A1114,MATCH(B1114,{"enero","febrero","marzo","abril","mayo","junio","julio","agosto","septiembre","octubre","noviembre","diciembre"},0)+1,0))</f>
        <v/>
      </c>
      <c r="E1114" t="str">
        <f>+IFERROR(VLOOKUP(Fact_Cumplimiento[[#This Row], [Concepto Anterior]],Conceptos_Cumplimiento[#All],5,0),"")</f>
        <v/>
      </c>
      <c r="F1114" t="str">
        <f>+IFERROR(VLOOKUP(Fact_Cumplimiento[[#This Row], 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ht="18.75" customHeight="1" x14ac:dyDescent="0.35">
      <c r="C1115" s="100" t="str">
        <f>IF(OR(Fact_Cumplimiento[[#This Row], [Año]]="",Fact_Cumplimiento[[#This Row], [Mes]]=""),"",DATE(A1115,MATCH(B1115,{"enero","febrero","marzo","abril","mayo","junio","julio","agosto","septiembre","octubre","noviembre","diciembre"},0)+1,0))</f>
        <v/>
      </c>
      <c r="E1115" t="str">
        <f>+IFERROR(VLOOKUP(Fact_Cumplimiento[[#This Row], [Concepto Anterior]],Conceptos_Cumplimiento[#All],5,0),"")</f>
        <v/>
      </c>
      <c r="F1115" t="str">
        <f>+IFERROR(VLOOKUP(Fact_Cumplimiento[[#This Row], 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ht="18.75" customHeight="1" x14ac:dyDescent="0.35">
      <c r="C1116" s="100" t="str">
        <f>IF(OR(Fact_Cumplimiento[[#This Row], [Año]]="",Fact_Cumplimiento[[#This Row], [Mes]]=""),"",DATE(A1116,MATCH(B1116,{"enero","febrero","marzo","abril","mayo","junio","julio","agosto","septiembre","octubre","noviembre","diciembre"},0)+1,0))</f>
        <v/>
      </c>
      <c r="E1116" t="str">
        <f>+IFERROR(VLOOKUP(Fact_Cumplimiento[[#This Row], [Concepto Anterior]],Conceptos_Cumplimiento[#All],5,0),"")</f>
        <v/>
      </c>
      <c r="F1116" t="str">
        <f>+IFERROR(VLOOKUP(Fact_Cumplimiento[[#This Row], 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ht="18.75" customHeight="1" x14ac:dyDescent="0.35">
      <c r="C1117" s="100" t="str">
        <f>IF(OR(Fact_Cumplimiento[[#This Row], [Año]]="",Fact_Cumplimiento[[#This Row], [Mes]]=""),"",DATE(A1117,MATCH(B1117,{"enero","febrero","marzo","abril","mayo","junio","julio","agosto","septiembre","octubre","noviembre","diciembre"},0)+1,0))</f>
        <v/>
      </c>
      <c r="E1117" t="str">
        <f>+IFERROR(VLOOKUP(Fact_Cumplimiento[[#This Row], [Concepto Anterior]],Conceptos_Cumplimiento[#All],5,0),"")</f>
        <v/>
      </c>
      <c r="F1117" t="str">
        <f>+IFERROR(VLOOKUP(Fact_Cumplimiento[[#This Row], 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ht="18.75" customHeight="1" x14ac:dyDescent="0.35">
      <c r="C1118" s="100" t="str">
        <f>IF(OR(Fact_Cumplimiento[[#This Row], [Año]]="",Fact_Cumplimiento[[#This Row], [Mes]]=""),"",DATE(A1118,MATCH(B1118,{"enero","febrero","marzo","abril","mayo","junio","julio","agosto","septiembre","octubre","noviembre","diciembre"},0)+1,0))</f>
        <v/>
      </c>
      <c r="E1118" t="str">
        <f>+IFERROR(VLOOKUP(Fact_Cumplimiento[[#This Row], [Concepto Anterior]],Conceptos_Cumplimiento[#All],5,0),"")</f>
        <v/>
      </c>
      <c r="F1118" t="str">
        <f>+IFERROR(VLOOKUP(Fact_Cumplimiento[[#This Row], 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ht="18.75" customHeight="1" x14ac:dyDescent="0.35">
      <c r="C1119" s="100" t="str">
        <f>IF(OR(Fact_Cumplimiento[[#This Row], [Año]]="",Fact_Cumplimiento[[#This Row], [Mes]]=""),"",DATE(A1119,MATCH(B1119,{"enero","febrero","marzo","abril","mayo","junio","julio","agosto","septiembre","octubre","noviembre","diciembre"},0)+1,0))</f>
        <v/>
      </c>
      <c r="E1119" t="str">
        <f>+IFERROR(VLOOKUP(Fact_Cumplimiento[[#This Row], [Concepto Anterior]],Conceptos_Cumplimiento[#All],5,0),"")</f>
        <v/>
      </c>
      <c r="F1119" t="str">
        <f>+IFERROR(VLOOKUP(Fact_Cumplimiento[[#This Row], 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ht="18.75" customHeight="1" x14ac:dyDescent="0.35">
      <c r="C1120" s="100" t="str">
        <f>IF(OR(Fact_Cumplimiento[[#This Row], [Año]]="",Fact_Cumplimiento[[#This Row], [Mes]]=""),"",DATE(A1120,MATCH(B1120,{"enero","febrero","marzo","abril","mayo","junio","julio","agosto","septiembre","octubre","noviembre","diciembre"},0)+1,0))</f>
        <v/>
      </c>
      <c r="E1120" t="str">
        <f>+IFERROR(VLOOKUP(Fact_Cumplimiento[[#This Row], [Concepto Anterior]],Conceptos_Cumplimiento[#All],5,0),"")</f>
        <v/>
      </c>
      <c r="F1120" t="str">
        <f>+IFERROR(VLOOKUP(Fact_Cumplimiento[[#This Row], 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ht="18.75" customHeight="1" x14ac:dyDescent="0.35">
      <c r="C1121" s="100" t="str">
        <f>IF(OR(Fact_Cumplimiento[[#This Row], [Año]]="",Fact_Cumplimiento[[#This Row], [Mes]]=""),"",DATE(A1121,MATCH(B1121,{"enero","febrero","marzo","abril","mayo","junio","julio","agosto","septiembre","octubre","noviembre","diciembre"},0)+1,0))</f>
        <v/>
      </c>
      <c r="E1121" t="str">
        <f>+IFERROR(VLOOKUP(Fact_Cumplimiento[[#This Row], [Concepto Anterior]],Conceptos_Cumplimiento[#All],5,0),"")</f>
        <v/>
      </c>
      <c r="F1121" t="str">
        <f>+IFERROR(VLOOKUP(Fact_Cumplimiento[[#This Row], 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ht="18.75" customHeight="1" x14ac:dyDescent="0.35">
      <c r="C1122" s="100" t="str">
        <f>IF(OR(Fact_Cumplimiento[[#This Row], [Año]]="",Fact_Cumplimiento[[#This Row], [Mes]]=""),"",DATE(A1122,MATCH(B1122,{"enero","febrero","marzo","abril","mayo","junio","julio","agosto","septiembre","octubre","noviembre","diciembre"},0)+1,0))</f>
        <v/>
      </c>
      <c r="E1122" t="str">
        <f>+IFERROR(VLOOKUP(Fact_Cumplimiento[[#This Row], [Concepto Anterior]],Conceptos_Cumplimiento[#All],5,0),"")</f>
        <v/>
      </c>
      <c r="F1122" t="str">
        <f>+IFERROR(VLOOKUP(Fact_Cumplimiento[[#This Row], 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ht="18.75" customHeight="1" x14ac:dyDescent="0.35">
      <c r="C1123" s="100" t="str">
        <f>IF(OR(Fact_Cumplimiento[[#This Row], [Año]]="",Fact_Cumplimiento[[#This Row], [Mes]]=""),"",DATE(A1123,MATCH(B1123,{"enero","febrero","marzo","abril","mayo","junio","julio","agosto","septiembre","octubre","noviembre","diciembre"},0)+1,0))</f>
        <v/>
      </c>
      <c r="E1123" t="str">
        <f>+IFERROR(VLOOKUP(Fact_Cumplimiento[[#This Row], [Concepto Anterior]],Conceptos_Cumplimiento[#All],5,0),"")</f>
        <v/>
      </c>
      <c r="F1123" t="str">
        <f>+IFERROR(VLOOKUP(Fact_Cumplimiento[[#This Row], 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ht="18.75" customHeight="1" x14ac:dyDescent="0.35">
      <c r="C1124" s="100" t="str">
        <f>IF(OR(Fact_Cumplimiento[[#This Row], [Año]]="",Fact_Cumplimiento[[#This Row], [Mes]]=""),"",DATE(A1124,MATCH(B1124,{"enero","febrero","marzo","abril","mayo","junio","julio","agosto","septiembre","octubre","noviembre","diciembre"},0)+1,0))</f>
        <v/>
      </c>
      <c r="E1124" t="str">
        <f>+IFERROR(VLOOKUP(Fact_Cumplimiento[[#This Row], [Concepto Anterior]],Conceptos_Cumplimiento[#All],5,0),"")</f>
        <v/>
      </c>
      <c r="F1124" t="str">
        <f>+IFERROR(VLOOKUP(Fact_Cumplimiento[[#This Row], 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ht="18.75" customHeight="1" x14ac:dyDescent="0.35">
      <c r="C1125" s="100" t="str">
        <f>IF(OR(Fact_Cumplimiento[[#This Row], [Año]]="",Fact_Cumplimiento[[#This Row], [Mes]]=""),"",DATE(A1125,MATCH(B1125,{"enero","febrero","marzo","abril","mayo","junio","julio","agosto","septiembre","octubre","noviembre","diciembre"},0)+1,0))</f>
        <v/>
      </c>
      <c r="E1125" t="str">
        <f>+IFERROR(VLOOKUP(Fact_Cumplimiento[[#This Row], [Concepto Anterior]],Conceptos_Cumplimiento[#All],5,0),"")</f>
        <v/>
      </c>
      <c r="F1125" t="str">
        <f>+IFERROR(VLOOKUP(Fact_Cumplimiento[[#This Row], 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ht="18.75" customHeight="1" x14ac:dyDescent="0.35">
      <c r="C1126" s="100" t="str">
        <f>IF(OR(Fact_Cumplimiento[[#This Row], [Año]]="",Fact_Cumplimiento[[#This Row], [Mes]]=""),"",DATE(A1126,MATCH(B1126,{"enero","febrero","marzo","abril","mayo","junio","julio","agosto","septiembre","octubre","noviembre","diciembre"},0)+1,0))</f>
        <v/>
      </c>
      <c r="E1126" t="str">
        <f>+IFERROR(VLOOKUP(Fact_Cumplimiento[[#This Row], [Concepto Anterior]],Conceptos_Cumplimiento[#All],5,0),"")</f>
        <v/>
      </c>
      <c r="F1126" t="str">
        <f>+IFERROR(VLOOKUP(Fact_Cumplimiento[[#This Row], 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ht="18.75" customHeight="1" x14ac:dyDescent="0.35">
      <c r="C1127" s="100" t="str">
        <f>IF(OR(Fact_Cumplimiento[[#This Row], [Año]]="",Fact_Cumplimiento[[#This Row], [Mes]]=""),"",DATE(A1127,MATCH(B1127,{"enero","febrero","marzo","abril","mayo","junio","julio","agosto","septiembre","octubre","noviembre","diciembre"},0)+1,0))</f>
        <v/>
      </c>
      <c r="E1127" t="str">
        <f>+IFERROR(VLOOKUP(Fact_Cumplimiento[[#This Row], [Concepto Anterior]],Conceptos_Cumplimiento[#All],5,0),"")</f>
        <v/>
      </c>
      <c r="F1127" t="str">
        <f>+IFERROR(VLOOKUP(Fact_Cumplimiento[[#This Row], 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ht="18.75" customHeight="1" x14ac:dyDescent="0.35">
      <c r="C1128" s="100" t="str">
        <f>IF(OR(Fact_Cumplimiento[[#This Row], [Año]]="",Fact_Cumplimiento[[#This Row], [Mes]]=""),"",DATE(A1128,MATCH(B1128,{"enero","febrero","marzo","abril","mayo","junio","julio","agosto","septiembre","octubre","noviembre","diciembre"},0)+1,0))</f>
        <v/>
      </c>
      <c r="E1128" t="str">
        <f>+IFERROR(VLOOKUP(Fact_Cumplimiento[[#This Row], [Concepto Anterior]],Conceptos_Cumplimiento[#All],5,0),"")</f>
        <v/>
      </c>
      <c r="F1128" t="str">
        <f>+IFERROR(VLOOKUP(Fact_Cumplimiento[[#This Row], 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ht="18.75" customHeight="1" x14ac:dyDescent="0.35">
      <c r="C1129" s="100" t="str">
        <f>IF(OR(Fact_Cumplimiento[[#This Row], [Año]]="",Fact_Cumplimiento[[#This Row], [Mes]]=""),"",DATE(A1129,MATCH(B1129,{"enero","febrero","marzo","abril","mayo","junio","julio","agosto","septiembre","octubre","noviembre","diciembre"},0)+1,0))</f>
        <v/>
      </c>
      <c r="E1129" t="str">
        <f>+IFERROR(VLOOKUP(Fact_Cumplimiento[[#This Row], [Concepto Anterior]],Conceptos_Cumplimiento[#All],5,0),"")</f>
        <v/>
      </c>
      <c r="F1129" t="str">
        <f>+IFERROR(VLOOKUP(Fact_Cumplimiento[[#This Row], 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ht="18.75" customHeight="1" x14ac:dyDescent="0.35">
      <c r="C1130" s="100" t="str">
        <f>IF(OR(Fact_Cumplimiento[[#This Row], [Año]]="",Fact_Cumplimiento[[#This Row], [Mes]]=""),"",DATE(A1130,MATCH(B1130,{"enero","febrero","marzo","abril","mayo","junio","julio","agosto","septiembre","octubre","noviembre","diciembre"},0)+1,0))</f>
        <v/>
      </c>
      <c r="E1130" t="str">
        <f>+IFERROR(VLOOKUP(Fact_Cumplimiento[[#This Row], [Concepto Anterior]],Conceptos_Cumplimiento[#All],5,0),"")</f>
        <v/>
      </c>
      <c r="F1130" t="str">
        <f>+IFERROR(VLOOKUP(Fact_Cumplimiento[[#This Row], 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ht="18.75" customHeight="1" x14ac:dyDescent="0.35">
      <c r="C1131" s="100" t="str">
        <f>IF(OR(Fact_Cumplimiento[[#This Row], [Año]]="",Fact_Cumplimiento[[#This Row], [Mes]]=""),"",DATE(A1131,MATCH(B1131,{"enero","febrero","marzo","abril","mayo","junio","julio","agosto","septiembre","octubre","noviembre","diciembre"},0)+1,0))</f>
        <v/>
      </c>
      <c r="E1131" t="str">
        <f>+IFERROR(VLOOKUP(Fact_Cumplimiento[[#This Row], [Concepto Anterior]],Conceptos_Cumplimiento[#All],5,0),"")</f>
        <v/>
      </c>
      <c r="F1131" t="str">
        <f>+IFERROR(VLOOKUP(Fact_Cumplimiento[[#This Row], 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ht="18.75" customHeight="1" x14ac:dyDescent="0.35">
      <c r="C1132" s="100" t="str">
        <f>IF(OR(Fact_Cumplimiento[[#This Row], [Año]]="",Fact_Cumplimiento[[#This Row], [Mes]]=""),"",DATE(A1132,MATCH(B1132,{"enero","febrero","marzo","abril","mayo","junio","julio","agosto","septiembre","octubre","noviembre","diciembre"},0)+1,0))</f>
        <v/>
      </c>
      <c r="E1132" t="str">
        <f>+IFERROR(VLOOKUP(Fact_Cumplimiento[[#This Row], [Concepto Anterior]],Conceptos_Cumplimiento[#All],5,0),"")</f>
        <v/>
      </c>
      <c r="F1132" t="str">
        <f>+IFERROR(VLOOKUP(Fact_Cumplimiento[[#This Row], 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ht="18.75" customHeight="1" x14ac:dyDescent="0.35">
      <c r="C1133" s="100" t="str">
        <f>IF(OR(Fact_Cumplimiento[[#This Row], [Año]]="",Fact_Cumplimiento[[#This Row], [Mes]]=""),"",DATE(A1133,MATCH(B1133,{"enero","febrero","marzo","abril","mayo","junio","julio","agosto","septiembre","octubre","noviembre","diciembre"},0)+1,0))</f>
        <v/>
      </c>
      <c r="E1133" t="str">
        <f>+IFERROR(VLOOKUP(Fact_Cumplimiento[[#This Row], [Concepto Anterior]],Conceptos_Cumplimiento[#All],5,0),"")</f>
        <v/>
      </c>
      <c r="F1133" t="str">
        <f>+IFERROR(VLOOKUP(Fact_Cumplimiento[[#This Row], 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ht="18.75" customHeight="1" x14ac:dyDescent="0.35">
      <c r="C1134" s="100" t="str">
        <f>IF(OR(Fact_Cumplimiento[[#This Row], [Año]]="",Fact_Cumplimiento[[#This Row], [Mes]]=""),"",DATE(A1134,MATCH(B1134,{"enero","febrero","marzo","abril","mayo","junio","julio","agosto","septiembre","octubre","noviembre","diciembre"},0)+1,0))</f>
        <v/>
      </c>
      <c r="E1134" t="str">
        <f>+IFERROR(VLOOKUP(Fact_Cumplimiento[[#This Row], [Concepto Anterior]],Conceptos_Cumplimiento[#All],5,0),"")</f>
        <v/>
      </c>
      <c r="F1134" t="str">
        <f>+IFERROR(VLOOKUP(Fact_Cumplimiento[[#This Row], 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ht="18.75" customHeight="1" x14ac:dyDescent="0.35">
      <c r="C1135" s="100" t="str">
        <f>IF(OR(Fact_Cumplimiento[[#This Row], [Año]]="",Fact_Cumplimiento[[#This Row], [Mes]]=""),"",DATE(A1135,MATCH(B1135,{"enero","febrero","marzo","abril","mayo","junio","julio","agosto","septiembre","octubre","noviembre","diciembre"},0)+1,0))</f>
        <v/>
      </c>
      <c r="E1135" t="str">
        <f>+IFERROR(VLOOKUP(Fact_Cumplimiento[[#This Row], [Concepto Anterior]],Conceptos_Cumplimiento[#All],5,0),"")</f>
        <v/>
      </c>
      <c r="F1135" t="str">
        <f>+IFERROR(VLOOKUP(Fact_Cumplimiento[[#This Row], 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ht="18.75" customHeight="1" x14ac:dyDescent="0.35">
      <c r="C1136" s="100" t="str">
        <f>IF(OR(Fact_Cumplimiento[[#This Row], [Año]]="",Fact_Cumplimiento[[#This Row], [Mes]]=""),"",DATE(A1136,MATCH(B1136,{"enero","febrero","marzo","abril","mayo","junio","julio","agosto","septiembre","octubre","noviembre","diciembre"},0)+1,0))</f>
        <v/>
      </c>
      <c r="E1136" t="str">
        <f>+IFERROR(VLOOKUP(Fact_Cumplimiento[[#This Row], [Concepto Anterior]],Conceptos_Cumplimiento[#All],5,0),"")</f>
        <v/>
      </c>
      <c r="F1136" t="str">
        <f>+IFERROR(VLOOKUP(Fact_Cumplimiento[[#This Row], 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ht="18.75" customHeight="1" x14ac:dyDescent="0.35">
      <c r="C1137" s="100" t="str">
        <f>IF(OR(Fact_Cumplimiento[[#This Row], [Año]]="",Fact_Cumplimiento[[#This Row], [Mes]]=""),"",DATE(A1137,MATCH(B1137,{"enero","febrero","marzo","abril","mayo","junio","julio","agosto","septiembre","octubre","noviembre","diciembre"},0)+1,0))</f>
        <v/>
      </c>
      <c r="E1137" t="str">
        <f>+IFERROR(VLOOKUP(Fact_Cumplimiento[[#This Row], [Concepto Anterior]],Conceptos_Cumplimiento[#All],5,0),"")</f>
        <v/>
      </c>
      <c r="F1137" t="str">
        <f>+IFERROR(VLOOKUP(Fact_Cumplimiento[[#This Row], 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ht="18.75" customHeight="1" x14ac:dyDescent="0.35">
      <c r="C1138" s="100" t="str">
        <f>IF(OR(Fact_Cumplimiento[[#This Row], [Año]]="",Fact_Cumplimiento[[#This Row], [Mes]]=""),"",DATE(A1138,MATCH(B1138,{"enero","febrero","marzo","abril","mayo","junio","julio","agosto","septiembre","octubre","noviembre","diciembre"},0)+1,0))</f>
        <v/>
      </c>
      <c r="E1138" t="str">
        <f>+IFERROR(VLOOKUP(Fact_Cumplimiento[[#This Row], [Concepto Anterior]],Conceptos_Cumplimiento[#All],5,0),"")</f>
        <v/>
      </c>
      <c r="F1138" t="str">
        <f>+IFERROR(VLOOKUP(Fact_Cumplimiento[[#This Row], 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ht="18.75" customHeight="1" x14ac:dyDescent="0.35">
      <c r="C1139" s="100" t="str">
        <f>IF(OR(Fact_Cumplimiento[[#This Row], [Año]]="",Fact_Cumplimiento[[#This Row], [Mes]]=""),"",DATE(A1139,MATCH(B1139,{"enero","febrero","marzo","abril","mayo","junio","julio","agosto","septiembre","octubre","noviembre","diciembre"},0)+1,0))</f>
        <v/>
      </c>
      <c r="E1139" t="str">
        <f>+IFERROR(VLOOKUP(Fact_Cumplimiento[[#This Row], [Concepto Anterior]],Conceptos_Cumplimiento[#All],5,0),"")</f>
        <v/>
      </c>
      <c r="F1139" t="str">
        <f>+IFERROR(VLOOKUP(Fact_Cumplimiento[[#This Row], 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ht="18.75" customHeight="1" x14ac:dyDescent="0.35">
      <c r="C1140" s="100" t="str">
        <f>IF(OR(Fact_Cumplimiento[[#This Row], [Año]]="",Fact_Cumplimiento[[#This Row], [Mes]]=""),"",DATE(A1140,MATCH(B1140,{"enero","febrero","marzo","abril","mayo","junio","julio","agosto","septiembre","octubre","noviembre","diciembre"},0)+1,0))</f>
        <v/>
      </c>
      <c r="E1140" t="str">
        <f>+IFERROR(VLOOKUP(Fact_Cumplimiento[[#This Row], [Concepto Anterior]],Conceptos_Cumplimiento[#All],5,0),"")</f>
        <v/>
      </c>
      <c r="F1140" t="str">
        <f>+IFERROR(VLOOKUP(Fact_Cumplimiento[[#This Row], 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ht="18.75" customHeight="1" x14ac:dyDescent="0.35">
      <c r="C1141" s="100" t="str">
        <f>IF(OR(Fact_Cumplimiento[[#This Row], [Año]]="",Fact_Cumplimiento[[#This Row], [Mes]]=""),"",DATE(A1141,MATCH(B1141,{"enero","febrero","marzo","abril","mayo","junio","julio","agosto","septiembre","octubre","noviembre","diciembre"},0)+1,0))</f>
        <v/>
      </c>
      <c r="E1141" t="str">
        <f>+IFERROR(VLOOKUP(Fact_Cumplimiento[[#This Row], [Concepto Anterior]],Conceptos_Cumplimiento[#All],5,0),"")</f>
        <v/>
      </c>
      <c r="F1141" t="str">
        <f>+IFERROR(VLOOKUP(Fact_Cumplimiento[[#This Row], 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ht="18.75" customHeight="1" x14ac:dyDescent="0.35">
      <c r="C1142" s="100" t="str">
        <f>IF(OR(Fact_Cumplimiento[[#This Row], [Año]]="",Fact_Cumplimiento[[#This Row], [Mes]]=""),"",DATE(A1142,MATCH(B1142,{"enero","febrero","marzo","abril","mayo","junio","julio","agosto","septiembre","octubre","noviembre","diciembre"},0)+1,0))</f>
        <v/>
      </c>
      <c r="E1142" t="str">
        <f>+IFERROR(VLOOKUP(Fact_Cumplimiento[[#This Row], [Concepto Anterior]],Conceptos_Cumplimiento[#All],5,0),"")</f>
        <v/>
      </c>
      <c r="F1142" t="str">
        <f>+IFERROR(VLOOKUP(Fact_Cumplimiento[[#This Row], 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ht="18.75" customHeight="1" x14ac:dyDescent="0.35">
      <c r="C1143" s="100" t="str">
        <f>IF(OR(Fact_Cumplimiento[[#This Row], [Año]]="",Fact_Cumplimiento[[#This Row], [Mes]]=""),"",DATE(A1143,MATCH(B1143,{"enero","febrero","marzo","abril","mayo","junio","julio","agosto","septiembre","octubre","noviembre","diciembre"},0)+1,0))</f>
        <v/>
      </c>
      <c r="E1143" t="str">
        <f>+IFERROR(VLOOKUP(Fact_Cumplimiento[[#This Row], [Concepto Anterior]],Conceptos_Cumplimiento[#All],5,0),"")</f>
        <v/>
      </c>
      <c r="F1143" t="str">
        <f>+IFERROR(VLOOKUP(Fact_Cumplimiento[[#This Row], 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ht="18.75" customHeight="1" x14ac:dyDescent="0.35">
      <c r="C1144" s="100" t="str">
        <f>IF(OR(Fact_Cumplimiento[[#This Row], [Año]]="",Fact_Cumplimiento[[#This Row], [Mes]]=""),"",DATE(A1144,MATCH(B1144,{"enero","febrero","marzo","abril","mayo","junio","julio","agosto","septiembre","octubre","noviembre","diciembre"},0)+1,0))</f>
        <v/>
      </c>
      <c r="E1144" t="str">
        <f>+IFERROR(VLOOKUP(Fact_Cumplimiento[[#This Row], [Concepto Anterior]],Conceptos_Cumplimiento[#All],5,0),"")</f>
        <v/>
      </c>
      <c r="F1144" t="str">
        <f>+IFERROR(VLOOKUP(Fact_Cumplimiento[[#This Row], 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ht="18.75" customHeight="1" x14ac:dyDescent="0.35">
      <c r="C1145" s="100" t="str">
        <f>IF(OR(Fact_Cumplimiento[[#This Row], [Año]]="",Fact_Cumplimiento[[#This Row], [Mes]]=""),"",DATE(A1145,MATCH(B1145,{"enero","febrero","marzo","abril","mayo","junio","julio","agosto","septiembre","octubre","noviembre","diciembre"},0)+1,0))</f>
        <v/>
      </c>
      <c r="E1145" t="str">
        <f>+IFERROR(VLOOKUP(Fact_Cumplimiento[[#This Row], [Concepto Anterior]],Conceptos_Cumplimiento[#All],5,0),"")</f>
        <v/>
      </c>
      <c r="F1145" t="str">
        <f>+IFERROR(VLOOKUP(Fact_Cumplimiento[[#This Row], 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ht="18.75" customHeight="1" x14ac:dyDescent="0.35">
      <c r="C1146" s="100" t="str">
        <f>IF(OR(Fact_Cumplimiento[[#This Row], [Año]]="",Fact_Cumplimiento[[#This Row], [Mes]]=""),"",DATE(A1146,MATCH(B1146,{"enero","febrero","marzo","abril","mayo","junio","julio","agosto","septiembre","octubre","noviembre","diciembre"},0)+1,0))</f>
        <v/>
      </c>
      <c r="E1146" t="str">
        <f>+IFERROR(VLOOKUP(Fact_Cumplimiento[[#This Row], [Concepto Anterior]],Conceptos_Cumplimiento[#All],5,0),"")</f>
        <v/>
      </c>
      <c r="F1146" t="str">
        <f>+IFERROR(VLOOKUP(Fact_Cumplimiento[[#This Row], 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ht="18.75" customHeight="1" x14ac:dyDescent="0.35">
      <c r="C1147" s="100" t="str">
        <f>IF(OR(Fact_Cumplimiento[[#This Row], [Año]]="",Fact_Cumplimiento[[#This Row], [Mes]]=""),"",DATE(A1147,MATCH(B1147,{"enero","febrero","marzo","abril","mayo","junio","julio","agosto","septiembre","octubre","noviembre","diciembre"},0)+1,0))</f>
        <v/>
      </c>
      <c r="E1147" t="str">
        <f>+IFERROR(VLOOKUP(Fact_Cumplimiento[[#This Row], [Concepto Anterior]],Conceptos_Cumplimiento[#All],5,0),"")</f>
        <v/>
      </c>
      <c r="F1147" t="str">
        <f>+IFERROR(VLOOKUP(Fact_Cumplimiento[[#This Row], 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ht="18.75" customHeight="1" x14ac:dyDescent="0.35">
      <c r="C1148" s="100" t="str">
        <f>IF(OR(Fact_Cumplimiento[[#This Row], [Año]]="",Fact_Cumplimiento[[#This Row], [Mes]]=""),"",DATE(A1148,MATCH(B1148,{"enero","febrero","marzo","abril","mayo","junio","julio","agosto","septiembre","octubre","noviembre","diciembre"},0)+1,0))</f>
        <v/>
      </c>
      <c r="E1148" t="str">
        <f>+IFERROR(VLOOKUP(Fact_Cumplimiento[[#This Row], [Concepto Anterior]],Conceptos_Cumplimiento[#All],5,0),"")</f>
        <v/>
      </c>
      <c r="F1148" t="str">
        <f>+IFERROR(VLOOKUP(Fact_Cumplimiento[[#This Row], 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ht="18.75" customHeight="1" x14ac:dyDescent="0.35">
      <c r="C1149" s="100" t="str">
        <f>IF(OR(Fact_Cumplimiento[[#This Row], [Año]]="",Fact_Cumplimiento[[#This Row], [Mes]]=""),"",DATE(A1149,MATCH(B1149,{"enero","febrero","marzo","abril","mayo","junio","julio","agosto","septiembre","octubre","noviembre","diciembre"},0)+1,0))</f>
        <v/>
      </c>
      <c r="E1149" t="str">
        <f>+IFERROR(VLOOKUP(Fact_Cumplimiento[[#This Row], [Concepto Anterior]],Conceptos_Cumplimiento[#All],5,0),"")</f>
        <v/>
      </c>
      <c r="F1149" t="str">
        <f>+IFERROR(VLOOKUP(Fact_Cumplimiento[[#This Row], 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ht="18.75" customHeight="1" x14ac:dyDescent="0.35">
      <c r="C1150" s="100" t="str">
        <f>IF(OR(Fact_Cumplimiento[[#This Row], [Año]]="",Fact_Cumplimiento[[#This Row], [Mes]]=""),"",DATE(A1150,MATCH(B1150,{"enero","febrero","marzo","abril","mayo","junio","julio","agosto","septiembre","octubre","noviembre","diciembre"},0)+1,0))</f>
        <v/>
      </c>
      <c r="E1150" t="str">
        <f>+IFERROR(VLOOKUP(Fact_Cumplimiento[[#This Row], [Concepto Anterior]],Conceptos_Cumplimiento[#All],5,0),"")</f>
        <v/>
      </c>
      <c r="F1150" t="str">
        <f>+IFERROR(VLOOKUP(Fact_Cumplimiento[[#This Row], 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ht="18.75" customHeight="1" x14ac:dyDescent="0.35">
      <c r="C1151" s="100" t="str">
        <f>IF(OR(Fact_Cumplimiento[[#This Row], [Año]]="",Fact_Cumplimiento[[#This Row], [Mes]]=""),"",DATE(A1151,MATCH(B1151,{"enero","febrero","marzo","abril","mayo","junio","julio","agosto","septiembre","octubre","noviembre","diciembre"},0)+1,0))</f>
        <v/>
      </c>
      <c r="E1151" t="str">
        <f>+IFERROR(VLOOKUP(Fact_Cumplimiento[[#This Row], [Concepto Anterior]],Conceptos_Cumplimiento[#All],5,0),"")</f>
        <v/>
      </c>
      <c r="F1151" t="str">
        <f>+IFERROR(VLOOKUP(Fact_Cumplimiento[[#This Row], 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ht="18.75" customHeight="1" x14ac:dyDescent="0.35">
      <c r="C1152" s="100" t="str">
        <f>IF(OR(Fact_Cumplimiento[[#This Row], [Año]]="",Fact_Cumplimiento[[#This Row], [Mes]]=""),"",DATE(A1152,MATCH(B1152,{"enero","febrero","marzo","abril","mayo","junio","julio","agosto","septiembre","octubre","noviembre","diciembre"},0)+1,0))</f>
        <v/>
      </c>
      <c r="E1152" t="str">
        <f>+IFERROR(VLOOKUP(Fact_Cumplimiento[[#This Row], [Concepto Anterior]],Conceptos_Cumplimiento[#All],5,0),"")</f>
        <v/>
      </c>
      <c r="F1152" t="str">
        <f>+IFERROR(VLOOKUP(Fact_Cumplimiento[[#This Row], 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ht="18.75" customHeight="1" x14ac:dyDescent="0.35">
      <c r="C1153" s="100" t="str">
        <f>IF(OR(Fact_Cumplimiento[[#This Row], [Año]]="",Fact_Cumplimiento[[#This Row], [Mes]]=""),"",DATE(A1153,MATCH(B1153,{"enero","febrero","marzo","abril","mayo","junio","julio","agosto","septiembre","octubre","noviembre","diciembre"},0)+1,0))</f>
        <v/>
      </c>
      <c r="E1153" t="str">
        <f>+IFERROR(VLOOKUP(Fact_Cumplimiento[[#This Row], [Concepto Anterior]],Conceptos_Cumplimiento[#All],5,0),"")</f>
        <v/>
      </c>
      <c r="F1153" t="str">
        <f>+IFERROR(VLOOKUP(Fact_Cumplimiento[[#This Row], 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ht="18.75" customHeight="1" x14ac:dyDescent="0.35">
      <c r="C1154" s="100" t="str">
        <f>IF(OR(Fact_Cumplimiento[[#This Row], [Año]]="",Fact_Cumplimiento[[#This Row], [Mes]]=""),"",DATE(A1154,MATCH(B1154,{"enero","febrero","marzo","abril","mayo","junio","julio","agosto","septiembre","octubre","noviembre","diciembre"},0)+1,0))</f>
        <v/>
      </c>
      <c r="E1154" t="str">
        <f>+IFERROR(VLOOKUP(Fact_Cumplimiento[[#This Row], [Concepto Anterior]],Conceptos_Cumplimiento[#All],5,0),"")</f>
        <v/>
      </c>
      <c r="F1154" t="str">
        <f>+IFERROR(VLOOKUP(Fact_Cumplimiento[[#This Row], 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ht="18.75" customHeight="1" x14ac:dyDescent="0.35">
      <c r="C1155" s="100" t="str">
        <f>IF(OR(Fact_Cumplimiento[[#This Row], [Año]]="",Fact_Cumplimiento[[#This Row], [Mes]]=""),"",DATE(A1155,MATCH(B1155,{"enero","febrero","marzo","abril","mayo","junio","julio","agosto","septiembre","octubre","noviembre","diciembre"},0)+1,0))</f>
        <v/>
      </c>
      <c r="E1155" t="str">
        <f>+IFERROR(VLOOKUP(Fact_Cumplimiento[[#This Row], [Concepto Anterior]],Conceptos_Cumplimiento[#All],5,0),"")</f>
        <v/>
      </c>
      <c r="F1155" t="str">
        <f>+IFERROR(VLOOKUP(Fact_Cumplimiento[[#This Row], 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ht="18.75" customHeight="1" x14ac:dyDescent="0.35">
      <c r="C1156" s="100" t="str">
        <f>IF(OR(Fact_Cumplimiento[[#This Row], [Año]]="",Fact_Cumplimiento[[#This Row], [Mes]]=""),"",DATE(A1156,MATCH(B1156,{"enero","febrero","marzo","abril","mayo","junio","julio","agosto","septiembre","octubre","noviembre","diciembre"},0)+1,0))</f>
        <v/>
      </c>
      <c r="E1156" t="str">
        <f>+IFERROR(VLOOKUP(Fact_Cumplimiento[[#This Row], [Concepto Anterior]],Conceptos_Cumplimiento[#All],5,0),"")</f>
        <v/>
      </c>
      <c r="F1156" t="str">
        <f>+IFERROR(VLOOKUP(Fact_Cumplimiento[[#This Row], 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ht="18.75" customHeight="1" x14ac:dyDescent="0.35">
      <c r="C1157" s="100" t="str">
        <f>IF(OR(Fact_Cumplimiento[[#This Row], [Año]]="",Fact_Cumplimiento[[#This Row], [Mes]]=""),"",DATE(A1157,MATCH(B1157,{"enero","febrero","marzo","abril","mayo","junio","julio","agosto","septiembre","octubre","noviembre","diciembre"},0)+1,0))</f>
        <v/>
      </c>
      <c r="E1157" t="str">
        <f>+IFERROR(VLOOKUP(Fact_Cumplimiento[[#This Row], [Concepto Anterior]],Conceptos_Cumplimiento[#All],5,0),"")</f>
        <v/>
      </c>
      <c r="F1157" t="str">
        <f>+IFERROR(VLOOKUP(Fact_Cumplimiento[[#This Row], 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ht="18.75" customHeight="1" x14ac:dyDescent="0.35">
      <c r="C1158" s="100" t="str">
        <f>IF(OR(Fact_Cumplimiento[[#This Row], [Año]]="",Fact_Cumplimiento[[#This Row], [Mes]]=""),"",DATE(A1158,MATCH(B1158,{"enero","febrero","marzo","abril","mayo","junio","julio","agosto","septiembre","octubre","noviembre","diciembre"},0)+1,0))</f>
        <v/>
      </c>
      <c r="E1158" t="str">
        <f>+IFERROR(VLOOKUP(Fact_Cumplimiento[[#This Row], [Concepto Anterior]],Conceptos_Cumplimiento[#All],5,0),"")</f>
        <v/>
      </c>
      <c r="F1158" t="str">
        <f>+IFERROR(VLOOKUP(Fact_Cumplimiento[[#This Row], 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ht="18.75" customHeight="1" x14ac:dyDescent="0.35">
      <c r="C1159" s="100" t="str">
        <f>IF(OR(Fact_Cumplimiento[[#This Row], [Año]]="",Fact_Cumplimiento[[#This Row], [Mes]]=""),"",DATE(A1159,MATCH(B1159,{"enero","febrero","marzo","abril","mayo","junio","julio","agosto","septiembre","octubre","noviembre","diciembre"},0)+1,0))</f>
        <v/>
      </c>
      <c r="E1159" t="str">
        <f>+IFERROR(VLOOKUP(Fact_Cumplimiento[[#This Row], [Concepto Anterior]],Conceptos_Cumplimiento[#All],5,0),"")</f>
        <v/>
      </c>
      <c r="F1159" t="str">
        <f>+IFERROR(VLOOKUP(Fact_Cumplimiento[[#This Row], 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ht="18.75" customHeight="1" x14ac:dyDescent="0.35">
      <c r="C1160" s="100" t="str">
        <f>IF(OR(Fact_Cumplimiento[[#This Row], [Año]]="",Fact_Cumplimiento[[#This Row], [Mes]]=""),"",DATE(A1160,MATCH(B1160,{"enero","febrero","marzo","abril","mayo","junio","julio","agosto","septiembre","octubre","noviembre","diciembre"},0)+1,0))</f>
        <v/>
      </c>
      <c r="E1160" t="str">
        <f>+IFERROR(VLOOKUP(Fact_Cumplimiento[[#This Row], [Concepto Anterior]],Conceptos_Cumplimiento[#All],5,0),"")</f>
        <v/>
      </c>
      <c r="F1160" t="str">
        <f>+IFERROR(VLOOKUP(Fact_Cumplimiento[[#This Row], 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ht="18.75" customHeight="1" x14ac:dyDescent="0.35">
      <c r="C1161" s="100" t="str">
        <f>IF(OR(Fact_Cumplimiento[[#This Row], [Año]]="",Fact_Cumplimiento[[#This Row], [Mes]]=""),"",DATE(A1161,MATCH(B1161,{"enero","febrero","marzo","abril","mayo","junio","julio","agosto","septiembre","octubre","noviembre","diciembre"},0)+1,0))</f>
        <v/>
      </c>
      <c r="E1161" t="str">
        <f>+IFERROR(VLOOKUP(Fact_Cumplimiento[[#This Row], [Concepto Anterior]],Conceptos_Cumplimiento[#All],5,0),"")</f>
        <v/>
      </c>
      <c r="F1161" t="str">
        <f>+IFERROR(VLOOKUP(Fact_Cumplimiento[[#This Row], 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ht="18.75" customHeight="1" x14ac:dyDescent="0.35">
      <c r="C1162" s="100" t="str">
        <f>IF(OR(Fact_Cumplimiento[[#This Row], [Año]]="",Fact_Cumplimiento[[#This Row], [Mes]]=""),"",DATE(A1162,MATCH(B1162,{"enero","febrero","marzo","abril","mayo","junio","julio","agosto","septiembre","octubre","noviembre","diciembre"},0)+1,0))</f>
        <v/>
      </c>
      <c r="E1162" t="str">
        <f>+IFERROR(VLOOKUP(Fact_Cumplimiento[[#This Row], [Concepto Anterior]],Conceptos_Cumplimiento[#All],5,0),"")</f>
        <v/>
      </c>
      <c r="F1162" t="str">
        <f>+IFERROR(VLOOKUP(Fact_Cumplimiento[[#This Row], 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ht="18.75" customHeight="1" x14ac:dyDescent="0.35">
      <c r="C1163" s="100" t="str">
        <f>IF(OR(Fact_Cumplimiento[[#This Row], [Año]]="",Fact_Cumplimiento[[#This Row], [Mes]]=""),"",DATE(A1163,MATCH(B1163,{"enero","febrero","marzo","abril","mayo","junio","julio","agosto","septiembre","octubre","noviembre","diciembre"},0)+1,0))</f>
        <v/>
      </c>
      <c r="E1163" t="str">
        <f>+IFERROR(VLOOKUP(Fact_Cumplimiento[[#This Row], [Concepto Anterior]],Conceptos_Cumplimiento[#All],5,0),"")</f>
        <v/>
      </c>
      <c r="F1163" t="str">
        <f>+IFERROR(VLOOKUP(Fact_Cumplimiento[[#This Row], 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ht="18.75" customHeight="1" x14ac:dyDescent="0.35">
      <c r="C1164" s="100" t="str">
        <f>IF(OR(Fact_Cumplimiento[[#This Row], [Año]]="",Fact_Cumplimiento[[#This Row], [Mes]]=""),"",DATE(A1164,MATCH(B1164,{"enero","febrero","marzo","abril","mayo","junio","julio","agosto","septiembre","octubre","noviembre","diciembre"},0)+1,0))</f>
        <v/>
      </c>
      <c r="E1164" t="str">
        <f>+IFERROR(VLOOKUP(Fact_Cumplimiento[[#This Row], [Concepto Anterior]],Conceptos_Cumplimiento[#All],5,0),"")</f>
        <v/>
      </c>
      <c r="F1164" t="str">
        <f>+IFERROR(VLOOKUP(Fact_Cumplimiento[[#This Row], 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ht="18.75" customHeight="1" x14ac:dyDescent="0.35">
      <c r="C1165" s="100" t="str">
        <f>IF(OR(Fact_Cumplimiento[[#This Row], [Año]]="",Fact_Cumplimiento[[#This Row], [Mes]]=""),"",DATE(A1165,MATCH(B1165,{"enero","febrero","marzo","abril","mayo","junio","julio","agosto","septiembre","octubre","noviembre","diciembre"},0)+1,0))</f>
        <v/>
      </c>
      <c r="E1165" t="str">
        <f>+IFERROR(VLOOKUP(Fact_Cumplimiento[[#This Row], [Concepto Anterior]],Conceptos_Cumplimiento[#All],5,0),"")</f>
        <v/>
      </c>
      <c r="F1165" t="str">
        <f>+IFERROR(VLOOKUP(Fact_Cumplimiento[[#This Row], 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ht="18.75" customHeight="1" x14ac:dyDescent="0.35">
      <c r="C1166" s="100" t="str">
        <f>IF(OR(Fact_Cumplimiento[[#This Row], [Año]]="",Fact_Cumplimiento[[#This Row], [Mes]]=""),"",DATE(A1166,MATCH(B1166,{"enero","febrero","marzo","abril","mayo","junio","julio","agosto","septiembre","octubre","noviembre","diciembre"},0)+1,0))</f>
        <v/>
      </c>
      <c r="E1166" t="str">
        <f>+IFERROR(VLOOKUP(Fact_Cumplimiento[[#This Row], [Concepto Anterior]],Conceptos_Cumplimiento[#All],5,0),"")</f>
        <v/>
      </c>
      <c r="F1166" t="str">
        <f>+IFERROR(VLOOKUP(Fact_Cumplimiento[[#This Row], 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ht="18.75" customHeight="1" x14ac:dyDescent="0.35">
      <c r="C1167" s="100" t="str">
        <f>IF(OR(Fact_Cumplimiento[[#This Row], [Año]]="",Fact_Cumplimiento[[#This Row], [Mes]]=""),"",DATE(A1167,MATCH(B1167,{"enero","febrero","marzo","abril","mayo","junio","julio","agosto","septiembre","octubre","noviembre","diciembre"},0)+1,0))</f>
        <v/>
      </c>
      <c r="E1167" t="str">
        <f>+IFERROR(VLOOKUP(Fact_Cumplimiento[[#This Row], [Concepto Anterior]],Conceptos_Cumplimiento[#All],5,0),"")</f>
        <v/>
      </c>
      <c r="F1167" t="str">
        <f>+IFERROR(VLOOKUP(Fact_Cumplimiento[[#This Row], 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ht="18.75" customHeight="1" x14ac:dyDescent="0.35">
      <c r="C1168" s="100" t="str">
        <f>IF(OR(Fact_Cumplimiento[[#This Row], [Año]]="",Fact_Cumplimiento[[#This Row], [Mes]]=""),"",DATE(A1168,MATCH(B1168,{"enero","febrero","marzo","abril","mayo","junio","julio","agosto","septiembre","octubre","noviembre","diciembre"},0)+1,0))</f>
        <v/>
      </c>
      <c r="E1168" t="str">
        <f>+IFERROR(VLOOKUP(Fact_Cumplimiento[[#This Row], [Concepto Anterior]],Conceptos_Cumplimiento[#All],5,0),"")</f>
        <v/>
      </c>
      <c r="F1168" t="str">
        <f>+IFERROR(VLOOKUP(Fact_Cumplimiento[[#This Row], 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ht="18.75" customHeight="1" x14ac:dyDescent="0.35">
      <c r="C1169" s="100" t="str">
        <f>IF(OR(Fact_Cumplimiento[[#This Row], [Año]]="",Fact_Cumplimiento[[#This Row], [Mes]]=""),"",DATE(A1169,MATCH(B1169,{"enero","febrero","marzo","abril","mayo","junio","julio","agosto","septiembre","octubre","noviembre","diciembre"},0)+1,0))</f>
        <v/>
      </c>
      <c r="E1169" t="str">
        <f>+IFERROR(VLOOKUP(Fact_Cumplimiento[[#This Row], [Concepto Anterior]],Conceptos_Cumplimiento[#All],5,0),"")</f>
        <v/>
      </c>
      <c r="F1169" t="str">
        <f>+IFERROR(VLOOKUP(Fact_Cumplimiento[[#This Row], 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ht="18.75" customHeight="1" x14ac:dyDescent="0.35">
      <c r="C1170" s="100" t="str">
        <f>IF(OR(Fact_Cumplimiento[[#This Row], [Año]]="",Fact_Cumplimiento[[#This Row], [Mes]]=""),"",DATE(A1170,MATCH(B1170,{"enero","febrero","marzo","abril","mayo","junio","julio","agosto","septiembre","octubre","noviembre","diciembre"},0)+1,0))</f>
        <v/>
      </c>
      <c r="E1170" t="str">
        <f>+IFERROR(VLOOKUP(Fact_Cumplimiento[[#This Row], [Concepto Anterior]],Conceptos_Cumplimiento[#All],5,0),"")</f>
        <v/>
      </c>
      <c r="F1170" t="str">
        <f>+IFERROR(VLOOKUP(Fact_Cumplimiento[[#This Row], 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ht="18.75" customHeight="1" x14ac:dyDescent="0.35">
      <c r="C1171" s="100" t="str">
        <f>IF(OR(Fact_Cumplimiento[[#This Row], [Año]]="",Fact_Cumplimiento[[#This Row], [Mes]]=""),"",DATE(A1171,MATCH(B1171,{"enero","febrero","marzo","abril","mayo","junio","julio","agosto","septiembre","octubre","noviembre","diciembre"},0)+1,0))</f>
        <v/>
      </c>
      <c r="E1171" t="str">
        <f>+IFERROR(VLOOKUP(Fact_Cumplimiento[[#This Row], [Concepto Anterior]],Conceptos_Cumplimiento[#All],5,0),"")</f>
        <v/>
      </c>
      <c r="F1171" t="str">
        <f>+IFERROR(VLOOKUP(Fact_Cumplimiento[[#This Row], 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ht="18.75" customHeight="1" x14ac:dyDescent="0.35">
      <c r="C1172" s="100" t="str">
        <f>IF(OR(Fact_Cumplimiento[[#This Row], [Año]]="",Fact_Cumplimiento[[#This Row], [Mes]]=""),"",DATE(A1172,MATCH(B1172,{"enero","febrero","marzo","abril","mayo","junio","julio","agosto","septiembre","octubre","noviembre","diciembre"},0)+1,0))</f>
        <v/>
      </c>
      <c r="E1172" t="str">
        <f>+IFERROR(VLOOKUP(Fact_Cumplimiento[[#This Row], [Concepto Anterior]],Conceptos_Cumplimiento[#All],5,0),"")</f>
        <v/>
      </c>
      <c r="F1172" t="str">
        <f>+IFERROR(VLOOKUP(Fact_Cumplimiento[[#This Row], 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ht="18.75" customHeight="1" x14ac:dyDescent="0.35">
      <c r="C1173" s="100" t="str">
        <f>IF(OR(Fact_Cumplimiento[[#This Row], [Año]]="",Fact_Cumplimiento[[#This Row], [Mes]]=""),"",DATE(A1173,MATCH(B1173,{"enero","febrero","marzo","abril","mayo","junio","julio","agosto","septiembre","octubre","noviembre","diciembre"},0)+1,0))</f>
        <v/>
      </c>
      <c r="E1173" t="str">
        <f>+IFERROR(VLOOKUP(Fact_Cumplimiento[[#This Row], [Concepto Anterior]],Conceptos_Cumplimiento[#All],5,0),"")</f>
        <v/>
      </c>
      <c r="F1173" t="str">
        <f>+IFERROR(VLOOKUP(Fact_Cumplimiento[[#This Row], 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ht="18.75" customHeight="1" x14ac:dyDescent="0.35">
      <c r="C1174" s="100" t="str">
        <f>IF(OR(Fact_Cumplimiento[[#This Row], [Año]]="",Fact_Cumplimiento[[#This Row], [Mes]]=""),"",DATE(A1174,MATCH(B1174,{"enero","febrero","marzo","abril","mayo","junio","julio","agosto","septiembre","octubre","noviembre","diciembre"},0)+1,0))</f>
        <v/>
      </c>
      <c r="E1174" t="str">
        <f>+IFERROR(VLOOKUP(Fact_Cumplimiento[[#This Row], [Concepto Anterior]],Conceptos_Cumplimiento[#All],5,0),"")</f>
        <v/>
      </c>
      <c r="F1174" t="str">
        <f>+IFERROR(VLOOKUP(Fact_Cumplimiento[[#This Row], 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ht="18.75" customHeight="1" x14ac:dyDescent="0.35">
      <c r="C1175" s="100" t="str">
        <f>IF(OR(Fact_Cumplimiento[[#This Row], [Año]]="",Fact_Cumplimiento[[#This Row], [Mes]]=""),"",DATE(A1175,MATCH(B1175,{"enero","febrero","marzo","abril","mayo","junio","julio","agosto","septiembre","octubre","noviembre","diciembre"},0)+1,0))</f>
        <v/>
      </c>
      <c r="E1175" t="str">
        <f>+IFERROR(VLOOKUP(Fact_Cumplimiento[[#This Row], [Concepto Anterior]],Conceptos_Cumplimiento[#All],5,0),"")</f>
        <v/>
      </c>
      <c r="F1175" t="str">
        <f>+IFERROR(VLOOKUP(Fact_Cumplimiento[[#This Row], 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ht="18.75" customHeight="1" x14ac:dyDescent="0.35">
      <c r="C1176" s="100" t="str">
        <f>IF(OR(Fact_Cumplimiento[[#This Row], [Año]]="",Fact_Cumplimiento[[#This Row], [Mes]]=""),"",DATE(A1176,MATCH(B1176,{"enero","febrero","marzo","abril","mayo","junio","julio","agosto","septiembre","octubre","noviembre","diciembre"},0)+1,0))</f>
        <v/>
      </c>
      <c r="E1176" t="str">
        <f>+IFERROR(VLOOKUP(Fact_Cumplimiento[[#This Row], [Concepto Anterior]],Conceptos_Cumplimiento[#All],5,0),"")</f>
        <v/>
      </c>
      <c r="F1176" t="str">
        <f>+IFERROR(VLOOKUP(Fact_Cumplimiento[[#This Row], 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ht="18.75" customHeight="1" x14ac:dyDescent="0.35">
      <c r="C1177" s="100" t="str">
        <f>IF(OR(Fact_Cumplimiento[[#This Row], [Año]]="",Fact_Cumplimiento[[#This Row], [Mes]]=""),"",DATE(A1177,MATCH(B1177,{"enero","febrero","marzo","abril","mayo","junio","julio","agosto","septiembre","octubre","noviembre","diciembre"},0)+1,0))</f>
        <v/>
      </c>
      <c r="E1177" t="str">
        <f>+IFERROR(VLOOKUP(Fact_Cumplimiento[[#This Row], [Concepto Anterior]],Conceptos_Cumplimiento[#All],5,0),"")</f>
        <v/>
      </c>
      <c r="F1177" t="str">
        <f>+IFERROR(VLOOKUP(Fact_Cumplimiento[[#This Row], 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ht="18.75" customHeight="1" x14ac:dyDescent="0.35">
      <c r="C1178" s="100" t="str">
        <f>IF(OR(Fact_Cumplimiento[[#This Row], [Año]]="",Fact_Cumplimiento[[#This Row], [Mes]]=""),"",DATE(A1178,MATCH(B1178,{"enero","febrero","marzo","abril","mayo","junio","julio","agosto","septiembre","octubre","noviembre","diciembre"},0)+1,0))</f>
        <v/>
      </c>
      <c r="E1178" t="str">
        <f>+IFERROR(VLOOKUP(Fact_Cumplimiento[[#This Row], [Concepto Anterior]],Conceptos_Cumplimiento[#All],5,0),"")</f>
        <v/>
      </c>
      <c r="F1178" t="str">
        <f>+IFERROR(VLOOKUP(Fact_Cumplimiento[[#This Row], 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ht="18.75" customHeight="1" x14ac:dyDescent="0.35">
      <c r="C1179" s="100" t="str">
        <f>IF(OR(Fact_Cumplimiento[[#This Row], [Año]]="",Fact_Cumplimiento[[#This Row], [Mes]]=""),"",DATE(A1179,MATCH(B1179,{"enero","febrero","marzo","abril","mayo","junio","julio","agosto","septiembre","octubre","noviembre","diciembre"},0)+1,0))</f>
        <v/>
      </c>
      <c r="E1179" t="str">
        <f>+IFERROR(VLOOKUP(Fact_Cumplimiento[[#This Row], [Concepto Anterior]],Conceptos_Cumplimiento[#All],5,0),"")</f>
        <v/>
      </c>
      <c r="F1179" t="str">
        <f>+IFERROR(VLOOKUP(Fact_Cumplimiento[[#This Row], 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ht="18.75" customHeight="1" x14ac:dyDescent="0.35">
      <c r="C1180" s="100" t="str">
        <f>IF(OR(Fact_Cumplimiento[[#This Row], [Año]]="",Fact_Cumplimiento[[#This Row], [Mes]]=""),"",DATE(A1180,MATCH(B1180,{"enero","febrero","marzo","abril","mayo","junio","julio","agosto","septiembre","octubre","noviembre","diciembre"},0)+1,0))</f>
        <v/>
      </c>
      <c r="E1180" t="str">
        <f>+IFERROR(VLOOKUP(Fact_Cumplimiento[[#This Row], [Concepto Anterior]],Conceptos_Cumplimiento[#All],5,0),"")</f>
        <v/>
      </c>
      <c r="F1180" t="str">
        <f>+IFERROR(VLOOKUP(Fact_Cumplimiento[[#This Row], 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ht="18.75" customHeight="1" x14ac:dyDescent="0.35">
      <c r="C1181" s="100" t="str">
        <f>IF(OR(Fact_Cumplimiento[[#This Row], [Año]]="",Fact_Cumplimiento[[#This Row], [Mes]]=""),"",DATE(A1181,MATCH(B1181,{"enero","febrero","marzo","abril","mayo","junio","julio","agosto","septiembre","octubre","noviembre","diciembre"},0)+1,0))</f>
        <v/>
      </c>
      <c r="E1181" t="str">
        <f>+IFERROR(VLOOKUP(Fact_Cumplimiento[[#This Row], [Concepto Anterior]],Conceptos_Cumplimiento[#All],5,0),"")</f>
        <v/>
      </c>
      <c r="F1181" t="str">
        <f>+IFERROR(VLOOKUP(Fact_Cumplimiento[[#This Row], 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ht="18.75" customHeight="1" x14ac:dyDescent="0.35">
      <c r="C1182" s="100" t="str">
        <f>IF(OR(Fact_Cumplimiento[[#This Row], [Año]]="",Fact_Cumplimiento[[#This Row], [Mes]]=""),"",DATE(A1182,MATCH(B1182,{"enero","febrero","marzo","abril","mayo","junio","julio","agosto","septiembre","octubre","noviembre","diciembre"},0)+1,0))</f>
        <v/>
      </c>
      <c r="E1182" t="str">
        <f>+IFERROR(VLOOKUP(Fact_Cumplimiento[[#This Row], [Concepto Anterior]],Conceptos_Cumplimiento[#All],5,0),"")</f>
        <v/>
      </c>
      <c r="F1182" t="str">
        <f>+IFERROR(VLOOKUP(Fact_Cumplimiento[[#This Row], 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ht="18.75" customHeight="1" x14ac:dyDescent="0.35">
      <c r="C1183" s="100" t="str">
        <f>IF(OR(Fact_Cumplimiento[[#This Row], [Año]]="",Fact_Cumplimiento[[#This Row], [Mes]]=""),"",DATE(A1183,MATCH(B1183,{"enero","febrero","marzo","abril","mayo","junio","julio","agosto","septiembre","octubre","noviembre","diciembre"},0)+1,0))</f>
        <v/>
      </c>
      <c r="E1183" t="str">
        <f>+IFERROR(VLOOKUP(Fact_Cumplimiento[[#This Row], [Concepto Anterior]],Conceptos_Cumplimiento[#All],5,0),"")</f>
        <v/>
      </c>
      <c r="F1183" t="str">
        <f>+IFERROR(VLOOKUP(Fact_Cumplimiento[[#This Row], 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ht="18.75" customHeight="1" x14ac:dyDescent="0.35">
      <c r="C1184" s="100" t="str">
        <f>IF(OR(Fact_Cumplimiento[[#This Row], [Año]]="",Fact_Cumplimiento[[#This Row], [Mes]]=""),"",DATE(A1184,MATCH(B1184,{"enero","febrero","marzo","abril","mayo","junio","julio","agosto","septiembre","octubre","noviembre","diciembre"},0)+1,0))</f>
        <v/>
      </c>
      <c r="E1184" t="str">
        <f>+IFERROR(VLOOKUP(Fact_Cumplimiento[[#This Row], [Concepto Anterior]],Conceptos_Cumplimiento[#All],5,0),"")</f>
        <v/>
      </c>
      <c r="F1184" t="str">
        <f>+IFERROR(VLOOKUP(Fact_Cumplimiento[[#This Row], 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ht="18.75" customHeight="1" x14ac:dyDescent="0.35">
      <c r="C1185" s="100" t="str">
        <f>IF(OR(Fact_Cumplimiento[[#This Row], [Año]]="",Fact_Cumplimiento[[#This Row], [Mes]]=""),"",DATE(A1185,MATCH(B1185,{"enero","febrero","marzo","abril","mayo","junio","julio","agosto","septiembre","octubre","noviembre","diciembre"},0)+1,0))</f>
        <v/>
      </c>
      <c r="E1185" t="str">
        <f>+IFERROR(VLOOKUP(Fact_Cumplimiento[[#This Row], [Concepto Anterior]],Conceptos_Cumplimiento[#All],5,0),"")</f>
        <v/>
      </c>
      <c r="F1185" t="str">
        <f>+IFERROR(VLOOKUP(Fact_Cumplimiento[[#This Row], 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ht="18.75" customHeight="1" x14ac:dyDescent="0.35">
      <c r="C1186" s="100" t="str">
        <f>IF(OR(Fact_Cumplimiento[[#This Row], [Año]]="",Fact_Cumplimiento[[#This Row], [Mes]]=""),"",DATE(A1186,MATCH(B1186,{"enero","febrero","marzo","abril","mayo","junio","julio","agosto","septiembre","octubre","noviembre","diciembre"},0)+1,0))</f>
        <v/>
      </c>
      <c r="E1186" t="str">
        <f>+IFERROR(VLOOKUP(Fact_Cumplimiento[[#This Row], [Concepto Anterior]],Conceptos_Cumplimiento[#All],5,0),"")</f>
        <v/>
      </c>
      <c r="F1186" t="str">
        <f>+IFERROR(VLOOKUP(Fact_Cumplimiento[[#This Row], 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ht="18.75" customHeight="1" x14ac:dyDescent="0.35">
      <c r="C1187" s="100" t="str">
        <f>IF(OR(Fact_Cumplimiento[[#This Row], [Año]]="",Fact_Cumplimiento[[#This Row], [Mes]]=""),"",DATE(A1187,MATCH(B1187,{"enero","febrero","marzo","abril","mayo","junio","julio","agosto","septiembre","octubre","noviembre","diciembre"},0)+1,0))</f>
        <v/>
      </c>
      <c r="E1187" t="str">
        <f>+IFERROR(VLOOKUP(Fact_Cumplimiento[[#This Row], [Concepto Anterior]],Conceptos_Cumplimiento[#All],5,0),"")</f>
        <v/>
      </c>
      <c r="F1187" t="str">
        <f>+IFERROR(VLOOKUP(Fact_Cumplimiento[[#This Row], 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ht="18.75" customHeight="1" x14ac:dyDescent="0.35">
      <c r="C1188" s="100" t="str">
        <f>IF(OR(Fact_Cumplimiento[[#This Row], [Año]]="",Fact_Cumplimiento[[#This Row], [Mes]]=""),"",DATE(A1188,MATCH(B1188,{"enero","febrero","marzo","abril","mayo","junio","julio","agosto","septiembre","octubre","noviembre","diciembre"},0)+1,0))</f>
        <v/>
      </c>
      <c r="E1188" t="str">
        <f>+IFERROR(VLOOKUP(Fact_Cumplimiento[[#This Row], [Concepto Anterior]],Conceptos_Cumplimiento[#All],5,0),"")</f>
        <v/>
      </c>
      <c r="F1188" t="str">
        <f>+IFERROR(VLOOKUP(Fact_Cumplimiento[[#This Row], 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ht="18.75" customHeight="1" x14ac:dyDescent="0.35">
      <c r="C1189" s="100" t="str">
        <f>IF(OR(Fact_Cumplimiento[[#This Row], [Año]]="",Fact_Cumplimiento[[#This Row], [Mes]]=""),"",DATE(A1189,MATCH(B1189,{"enero","febrero","marzo","abril","mayo","junio","julio","agosto","septiembre","octubre","noviembre","diciembre"},0)+1,0))</f>
        <v/>
      </c>
      <c r="E1189" t="str">
        <f>+IFERROR(VLOOKUP(Fact_Cumplimiento[[#This Row], [Concepto Anterior]],Conceptos_Cumplimiento[#All],5,0),"")</f>
        <v/>
      </c>
      <c r="F1189" t="str">
        <f>+IFERROR(VLOOKUP(Fact_Cumplimiento[[#This Row], 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ht="18.75" customHeight="1" x14ac:dyDescent="0.35">
      <c r="C1190" s="100" t="str">
        <f>IF(OR(Fact_Cumplimiento[[#This Row], [Año]]="",Fact_Cumplimiento[[#This Row], [Mes]]=""),"",DATE(A1190,MATCH(B1190,{"enero","febrero","marzo","abril","mayo","junio","julio","agosto","septiembre","octubre","noviembre","diciembre"},0)+1,0))</f>
        <v/>
      </c>
      <c r="E1190" t="str">
        <f>+IFERROR(VLOOKUP(Fact_Cumplimiento[[#This Row], [Concepto Anterior]],Conceptos_Cumplimiento[#All],5,0),"")</f>
        <v/>
      </c>
      <c r="F1190" t="str">
        <f>+IFERROR(VLOOKUP(Fact_Cumplimiento[[#This Row], 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ht="18.75" customHeight="1" x14ac:dyDescent="0.35">
      <c r="C1191" s="100" t="str">
        <f>IF(OR(Fact_Cumplimiento[[#This Row], [Año]]="",Fact_Cumplimiento[[#This Row], [Mes]]=""),"",DATE(A1191,MATCH(B1191,{"enero","febrero","marzo","abril","mayo","junio","julio","agosto","septiembre","octubre","noviembre","diciembre"},0)+1,0))</f>
        <v/>
      </c>
      <c r="E1191" t="str">
        <f>+IFERROR(VLOOKUP(Fact_Cumplimiento[[#This Row], [Concepto Anterior]],Conceptos_Cumplimiento[#All],5,0),"")</f>
        <v/>
      </c>
      <c r="F1191" t="str">
        <f>+IFERROR(VLOOKUP(Fact_Cumplimiento[[#This Row], 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ht="18.75" customHeight="1" x14ac:dyDescent="0.35">
      <c r="C1192" s="100" t="str">
        <f>IF(OR(Fact_Cumplimiento[[#This Row], [Año]]="",Fact_Cumplimiento[[#This Row], [Mes]]=""),"",DATE(A1192,MATCH(B1192,{"enero","febrero","marzo","abril","mayo","junio","julio","agosto","septiembre","octubre","noviembre","diciembre"},0)+1,0))</f>
        <v/>
      </c>
      <c r="E1192" t="str">
        <f>+IFERROR(VLOOKUP(Fact_Cumplimiento[[#This Row], [Concepto Anterior]],Conceptos_Cumplimiento[#All],5,0),"")</f>
        <v/>
      </c>
      <c r="F1192" t="str">
        <f>+IFERROR(VLOOKUP(Fact_Cumplimiento[[#This Row], 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ht="18.75" customHeight="1" x14ac:dyDescent="0.35">
      <c r="C1193" s="100" t="str">
        <f>IF(OR(Fact_Cumplimiento[[#This Row], [Año]]="",Fact_Cumplimiento[[#This Row], [Mes]]=""),"",DATE(A1193,MATCH(B1193,{"enero","febrero","marzo","abril","mayo","junio","julio","agosto","septiembre","octubre","noviembre","diciembre"},0)+1,0))</f>
        <v/>
      </c>
      <c r="E1193" t="str">
        <f>+IFERROR(VLOOKUP(Fact_Cumplimiento[[#This Row], [Concepto Anterior]],Conceptos_Cumplimiento[#All],5,0),"")</f>
        <v/>
      </c>
      <c r="F1193" t="str">
        <f>+IFERROR(VLOOKUP(Fact_Cumplimiento[[#This Row], 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ht="18.75" customHeight="1" x14ac:dyDescent="0.35">
      <c r="C1194" s="100" t="str">
        <f>IF(OR(Fact_Cumplimiento[[#This Row], [Año]]="",Fact_Cumplimiento[[#This Row], [Mes]]=""),"",DATE(A1194,MATCH(B1194,{"enero","febrero","marzo","abril","mayo","junio","julio","agosto","septiembre","octubre","noviembre","diciembre"},0)+1,0))</f>
        <v/>
      </c>
      <c r="E1194" t="str">
        <f>+IFERROR(VLOOKUP(Fact_Cumplimiento[[#This Row], [Concepto Anterior]],Conceptos_Cumplimiento[#All],5,0),"")</f>
        <v/>
      </c>
      <c r="F1194" t="str">
        <f>+IFERROR(VLOOKUP(Fact_Cumplimiento[[#This Row], 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ht="18.75" customHeight="1" x14ac:dyDescent="0.35">
      <c r="C1195" s="100" t="str">
        <f>IF(OR(Fact_Cumplimiento[[#This Row], [Año]]="",Fact_Cumplimiento[[#This Row], [Mes]]=""),"",DATE(A1195,MATCH(B1195,{"enero","febrero","marzo","abril","mayo","junio","julio","agosto","septiembre","octubre","noviembre","diciembre"},0)+1,0))</f>
        <v/>
      </c>
      <c r="E1195" t="str">
        <f>+IFERROR(VLOOKUP(Fact_Cumplimiento[[#This Row], [Concepto Anterior]],Conceptos_Cumplimiento[#All],5,0),"")</f>
        <v/>
      </c>
      <c r="F1195" t="str">
        <f>+IFERROR(VLOOKUP(Fact_Cumplimiento[[#This Row], 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ht="18.75" customHeight="1" x14ac:dyDescent="0.35">
      <c r="C1196" s="100" t="str">
        <f>IF(OR(Fact_Cumplimiento[[#This Row], [Año]]="",Fact_Cumplimiento[[#This Row], [Mes]]=""),"",DATE(A1196,MATCH(B1196,{"enero","febrero","marzo","abril","mayo","junio","julio","agosto","septiembre","octubre","noviembre","diciembre"},0)+1,0))</f>
        <v/>
      </c>
      <c r="E1196" t="str">
        <f>+IFERROR(VLOOKUP(Fact_Cumplimiento[[#This Row], [Concepto Anterior]],Conceptos_Cumplimiento[#All],5,0),"")</f>
        <v/>
      </c>
      <c r="F1196" t="str">
        <f>+IFERROR(VLOOKUP(Fact_Cumplimiento[[#This Row], 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ht="18.75" customHeight="1" x14ac:dyDescent="0.35">
      <c r="C1197" s="100" t="str">
        <f>IF(OR(Fact_Cumplimiento[[#This Row], [Año]]="",Fact_Cumplimiento[[#This Row], [Mes]]=""),"",DATE(A1197,MATCH(B1197,{"enero","febrero","marzo","abril","mayo","junio","julio","agosto","septiembre","octubre","noviembre","diciembre"},0)+1,0))</f>
        <v/>
      </c>
      <c r="E1197" t="str">
        <f>+IFERROR(VLOOKUP(Fact_Cumplimiento[[#This Row], [Concepto Anterior]],Conceptos_Cumplimiento[#All],5,0),"")</f>
        <v/>
      </c>
      <c r="F1197" t="str">
        <f>+IFERROR(VLOOKUP(Fact_Cumplimiento[[#This Row], 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ht="18.75" customHeight="1" x14ac:dyDescent="0.35">
      <c r="C1198" s="100" t="str">
        <f>IF(OR(Fact_Cumplimiento[[#This Row], [Año]]="",Fact_Cumplimiento[[#This Row], [Mes]]=""),"",DATE(A1198,MATCH(B1198,{"enero","febrero","marzo","abril","mayo","junio","julio","agosto","septiembre","octubre","noviembre","diciembre"},0)+1,0))</f>
        <v/>
      </c>
      <c r="E1198" t="str">
        <f>+IFERROR(VLOOKUP(Fact_Cumplimiento[[#This Row], [Concepto Anterior]],Conceptos_Cumplimiento[#All],5,0),"")</f>
        <v/>
      </c>
      <c r="F1198" t="str">
        <f>+IFERROR(VLOOKUP(Fact_Cumplimiento[[#This Row], 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ht="18.75" customHeight="1" x14ac:dyDescent="0.35">
      <c r="C1199" s="100" t="str">
        <f>IF(OR(Fact_Cumplimiento[[#This Row], [Año]]="",Fact_Cumplimiento[[#This Row], [Mes]]=""),"",DATE(A1199,MATCH(B1199,{"enero","febrero","marzo","abril","mayo","junio","julio","agosto","septiembre","octubre","noviembre","diciembre"},0)+1,0))</f>
        <v/>
      </c>
      <c r="E1199" t="str">
        <f>+IFERROR(VLOOKUP(Fact_Cumplimiento[[#This Row], [Concepto Anterior]],Conceptos_Cumplimiento[#All],5,0),"")</f>
        <v/>
      </c>
      <c r="F1199" t="str">
        <f>+IFERROR(VLOOKUP(Fact_Cumplimiento[[#This Row], 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ht="18.75" customHeight="1" x14ac:dyDescent="0.35">
      <c r="C1200" s="100" t="str">
        <f>IF(OR(Fact_Cumplimiento[[#This Row], [Año]]="",Fact_Cumplimiento[[#This Row], [Mes]]=""),"",DATE(A1200,MATCH(B1200,{"enero","febrero","marzo","abril","mayo","junio","julio","agosto","septiembre","octubre","noviembre","diciembre"},0)+1,0))</f>
        <v/>
      </c>
      <c r="E1200" t="str">
        <f>+IFERROR(VLOOKUP(Fact_Cumplimiento[[#This Row], [Concepto Anterior]],Conceptos_Cumplimiento[#All],5,0),"")</f>
        <v/>
      </c>
      <c r="F1200" t="str">
        <f>+IFERROR(VLOOKUP(Fact_Cumplimiento[[#This Row], 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ht="18.75" customHeight="1" x14ac:dyDescent="0.35">
      <c r="C1201" s="100" t="str">
        <f>IF(OR(Fact_Cumplimiento[[#This Row], [Año]]="",Fact_Cumplimiento[[#This Row], [Mes]]=""),"",DATE(A1201,MATCH(B1201,{"enero","febrero","marzo","abril","mayo","junio","julio","agosto","septiembre","octubre","noviembre","diciembre"},0)+1,0))</f>
        <v/>
      </c>
      <c r="E1201" t="str">
        <f>+IFERROR(VLOOKUP(Fact_Cumplimiento[[#This Row], [Concepto Anterior]],Conceptos_Cumplimiento[#All],5,0),"")</f>
        <v/>
      </c>
      <c r="F1201" t="str">
        <f>+IFERROR(VLOOKUP(Fact_Cumplimiento[[#This Row], 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ht="18.75" customHeight="1" x14ac:dyDescent="0.35">
      <c r="C1202" s="100" t="str">
        <f>IF(OR(Fact_Cumplimiento[[#This Row], [Año]]="",Fact_Cumplimiento[[#This Row], [Mes]]=""),"",DATE(A1202,MATCH(B1202,{"enero","febrero","marzo","abril","mayo","junio","julio","agosto","septiembre","octubre","noviembre","diciembre"},0)+1,0))</f>
        <v/>
      </c>
      <c r="E1202" t="str">
        <f>+IFERROR(VLOOKUP(Fact_Cumplimiento[[#This Row], [Concepto Anterior]],Conceptos_Cumplimiento[#All],5,0),"")</f>
        <v/>
      </c>
      <c r="F1202" t="str">
        <f>+IFERROR(VLOOKUP(Fact_Cumplimiento[[#This Row], 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ht="18.75" customHeight="1" x14ac:dyDescent="0.35">
      <c r="C1203" s="100" t="str">
        <f>IF(OR(Fact_Cumplimiento[[#This Row], [Año]]="",Fact_Cumplimiento[[#This Row], [Mes]]=""),"",DATE(A1203,MATCH(B1203,{"enero","febrero","marzo","abril","mayo","junio","julio","agosto","septiembre","octubre","noviembre","diciembre"},0)+1,0))</f>
        <v/>
      </c>
      <c r="E1203" t="str">
        <f>+IFERROR(VLOOKUP(Fact_Cumplimiento[[#This Row], [Concepto Anterior]],Conceptos_Cumplimiento[#All],5,0),"")</f>
        <v/>
      </c>
      <c r="F1203" t="str">
        <f>+IFERROR(VLOOKUP(Fact_Cumplimiento[[#This Row], 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ht="18.75" customHeight="1" x14ac:dyDescent="0.35">
      <c r="C1204" s="100" t="str">
        <f>IF(OR(Fact_Cumplimiento[[#This Row], [Año]]="",Fact_Cumplimiento[[#This Row], [Mes]]=""),"",DATE(A1204,MATCH(B1204,{"enero","febrero","marzo","abril","mayo","junio","julio","agosto","septiembre","octubre","noviembre","diciembre"},0)+1,0))</f>
        <v/>
      </c>
      <c r="E1204" t="str">
        <f>+IFERROR(VLOOKUP(Fact_Cumplimiento[[#This Row], [Concepto Anterior]],Conceptos_Cumplimiento[#All],5,0),"")</f>
        <v/>
      </c>
      <c r="F1204" t="str">
        <f>+IFERROR(VLOOKUP(Fact_Cumplimiento[[#This Row], 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ht="18.75" customHeight="1" x14ac:dyDescent="0.35">
      <c r="C1205" s="100" t="str">
        <f>IF(OR(Fact_Cumplimiento[[#This Row], [Año]]="",Fact_Cumplimiento[[#This Row], [Mes]]=""),"",DATE(A1205,MATCH(B1205,{"enero","febrero","marzo","abril","mayo","junio","julio","agosto","septiembre","octubre","noviembre","diciembre"},0)+1,0))</f>
        <v/>
      </c>
      <c r="E1205" t="str">
        <f>+IFERROR(VLOOKUP(Fact_Cumplimiento[[#This Row], [Concepto Anterior]],Conceptos_Cumplimiento[#All],5,0),"")</f>
        <v/>
      </c>
      <c r="F1205" t="str">
        <f>+IFERROR(VLOOKUP(Fact_Cumplimiento[[#This Row], 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ht="18.75" customHeight="1" x14ac:dyDescent="0.35">
      <c r="C1206" s="100" t="str">
        <f>IF(OR(Fact_Cumplimiento[[#This Row], [Año]]="",Fact_Cumplimiento[[#This Row], [Mes]]=""),"",DATE(A1206,MATCH(B1206,{"enero","febrero","marzo","abril","mayo","junio","julio","agosto","septiembre","octubre","noviembre","diciembre"},0)+1,0))</f>
        <v/>
      </c>
      <c r="E1206" t="str">
        <f>+IFERROR(VLOOKUP(Fact_Cumplimiento[[#This Row], [Concepto Anterior]],Conceptos_Cumplimiento[#All],5,0),"")</f>
        <v/>
      </c>
      <c r="F1206" t="str">
        <f>+IFERROR(VLOOKUP(Fact_Cumplimiento[[#This Row], 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ht="18.75" customHeight="1" x14ac:dyDescent="0.35">
      <c r="C1207" s="100" t="str">
        <f>IF(OR(Fact_Cumplimiento[[#This Row], [Año]]="",Fact_Cumplimiento[[#This Row], [Mes]]=""),"",DATE(A1207,MATCH(B1207,{"enero","febrero","marzo","abril","mayo","junio","julio","agosto","septiembre","octubre","noviembre","diciembre"},0)+1,0))</f>
        <v/>
      </c>
      <c r="E1207" t="str">
        <f>+IFERROR(VLOOKUP(Fact_Cumplimiento[[#This Row], [Concepto Anterior]],Conceptos_Cumplimiento[#All],5,0),"")</f>
        <v/>
      </c>
      <c r="F1207" t="str">
        <f>+IFERROR(VLOOKUP(Fact_Cumplimiento[[#This Row], 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ht="18.75" customHeight="1" x14ac:dyDescent="0.35">
      <c r="C1208" s="100" t="str">
        <f>IF(OR(Fact_Cumplimiento[[#This Row], [Año]]="",Fact_Cumplimiento[[#This Row], [Mes]]=""),"",DATE(A1208,MATCH(B1208,{"enero","febrero","marzo","abril","mayo","junio","julio","agosto","septiembre","octubre","noviembre","diciembre"},0)+1,0))</f>
        <v/>
      </c>
      <c r="E1208" t="str">
        <f>+IFERROR(VLOOKUP(Fact_Cumplimiento[[#This Row], [Concepto Anterior]],Conceptos_Cumplimiento[#All],5,0),"")</f>
        <v/>
      </c>
      <c r="F1208" t="str">
        <f>+IFERROR(VLOOKUP(Fact_Cumplimiento[[#This Row], 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ht="18.75" customHeight="1" x14ac:dyDescent="0.35">
      <c r="C1209" s="100" t="str">
        <f>IF(OR(Fact_Cumplimiento[[#This Row], [Año]]="",Fact_Cumplimiento[[#This Row], [Mes]]=""),"",DATE(A1209,MATCH(B1209,{"enero","febrero","marzo","abril","mayo","junio","julio","agosto","septiembre","octubre","noviembre","diciembre"},0)+1,0))</f>
        <v/>
      </c>
      <c r="E1209" t="str">
        <f>+IFERROR(VLOOKUP(Fact_Cumplimiento[[#This Row], [Concepto Anterior]],Conceptos_Cumplimiento[#All],5,0),"")</f>
        <v/>
      </c>
      <c r="F1209" t="str">
        <f>+IFERROR(VLOOKUP(Fact_Cumplimiento[[#This Row], 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ht="18.75" customHeight="1" x14ac:dyDescent="0.35">
      <c r="C1210" s="100" t="str">
        <f>IF(OR(Fact_Cumplimiento[[#This Row], [Año]]="",Fact_Cumplimiento[[#This Row], [Mes]]=""),"",DATE(A1210,MATCH(B1210,{"enero","febrero","marzo","abril","mayo","junio","julio","agosto","septiembre","octubre","noviembre","diciembre"},0)+1,0))</f>
        <v/>
      </c>
      <c r="E1210" t="str">
        <f>+IFERROR(VLOOKUP(Fact_Cumplimiento[[#This Row], [Concepto Anterior]],Conceptos_Cumplimiento[#All],5,0),"")</f>
        <v/>
      </c>
      <c r="F1210" t="str">
        <f>+IFERROR(VLOOKUP(Fact_Cumplimiento[[#This Row], 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ht="18.75" customHeight="1" x14ac:dyDescent="0.35">
      <c r="C1211" s="100" t="str">
        <f>IF(OR(Fact_Cumplimiento[[#This Row], [Año]]="",Fact_Cumplimiento[[#This Row], [Mes]]=""),"",DATE(A1211,MATCH(B1211,{"enero","febrero","marzo","abril","mayo","junio","julio","agosto","septiembre","octubre","noviembre","diciembre"},0)+1,0))</f>
        <v/>
      </c>
      <c r="E1211" t="str">
        <f>+IFERROR(VLOOKUP(Fact_Cumplimiento[[#This Row], [Concepto Anterior]],Conceptos_Cumplimiento[#All],5,0),"")</f>
        <v/>
      </c>
      <c r="F1211" t="str">
        <f>+IFERROR(VLOOKUP(Fact_Cumplimiento[[#This Row], 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ht="18.75" customHeight="1" x14ac:dyDescent="0.35">
      <c r="C1212" s="100" t="str">
        <f>IF(OR(Fact_Cumplimiento[[#This Row], [Año]]="",Fact_Cumplimiento[[#This Row], [Mes]]=""),"",DATE(A1212,MATCH(B1212,{"enero","febrero","marzo","abril","mayo","junio","julio","agosto","septiembre","octubre","noviembre","diciembre"},0)+1,0))</f>
        <v/>
      </c>
      <c r="E1212" t="str">
        <f>+IFERROR(VLOOKUP(Fact_Cumplimiento[[#This Row], [Concepto Anterior]],Conceptos_Cumplimiento[#All],5,0),"")</f>
        <v/>
      </c>
      <c r="F1212" t="str">
        <f>+IFERROR(VLOOKUP(Fact_Cumplimiento[[#This Row], 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ht="18.75" customHeight="1" x14ac:dyDescent="0.35">
      <c r="C1213" s="100" t="str">
        <f>IF(OR(Fact_Cumplimiento[[#This Row], [Año]]="",Fact_Cumplimiento[[#This Row], [Mes]]=""),"",DATE(A1213,MATCH(B1213,{"enero","febrero","marzo","abril","mayo","junio","julio","agosto","septiembre","octubre","noviembre","diciembre"},0)+1,0))</f>
        <v/>
      </c>
      <c r="E1213" t="str">
        <f>+IFERROR(VLOOKUP(Fact_Cumplimiento[[#This Row], [Concepto Anterior]],Conceptos_Cumplimiento[#All],5,0),"")</f>
        <v/>
      </c>
      <c r="F1213" t="str">
        <f>+IFERROR(VLOOKUP(Fact_Cumplimiento[[#This Row], 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ht="18.75" customHeight="1" x14ac:dyDescent="0.35">
      <c r="C1214" s="100" t="str">
        <f>IF(OR(Fact_Cumplimiento[[#This Row], [Año]]="",Fact_Cumplimiento[[#This Row], [Mes]]=""),"",DATE(A1214,MATCH(B1214,{"enero","febrero","marzo","abril","mayo","junio","julio","agosto","septiembre","octubre","noviembre","diciembre"},0)+1,0))</f>
        <v/>
      </c>
      <c r="E1214" t="str">
        <f>+IFERROR(VLOOKUP(Fact_Cumplimiento[[#This Row], [Concepto Anterior]],Conceptos_Cumplimiento[#All],5,0),"")</f>
        <v/>
      </c>
      <c r="F1214" t="str">
        <f>+IFERROR(VLOOKUP(Fact_Cumplimiento[[#This Row], 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ht="18.75" customHeight="1" x14ac:dyDescent="0.35">
      <c r="C1215" s="100" t="str">
        <f>IF(OR(Fact_Cumplimiento[[#This Row], [Año]]="",Fact_Cumplimiento[[#This Row], [Mes]]=""),"",DATE(A1215,MATCH(B1215,{"enero","febrero","marzo","abril","mayo","junio","julio","agosto","septiembre","octubre","noviembre","diciembre"},0)+1,0))</f>
        <v/>
      </c>
      <c r="E1215" t="str">
        <f>+IFERROR(VLOOKUP(Fact_Cumplimiento[[#This Row], [Concepto Anterior]],Conceptos_Cumplimiento[#All],5,0),"")</f>
        <v/>
      </c>
      <c r="F1215" t="str">
        <f>+IFERROR(VLOOKUP(Fact_Cumplimiento[[#This Row], 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ht="18.75" customHeight="1" x14ac:dyDescent="0.35">
      <c r="C1216" s="100" t="str">
        <f>IF(OR(Fact_Cumplimiento[[#This Row], [Año]]="",Fact_Cumplimiento[[#This Row], [Mes]]=""),"",DATE(A1216,MATCH(B1216,{"enero","febrero","marzo","abril","mayo","junio","julio","agosto","septiembre","octubre","noviembre","diciembre"},0)+1,0))</f>
        <v/>
      </c>
      <c r="E1216" t="str">
        <f>+IFERROR(VLOOKUP(Fact_Cumplimiento[[#This Row], [Concepto Anterior]],Conceptos_Cumplimiento[#All],5,0),"")</f>
        <v/>
      </c>
      <c r="F1216" t="str">
        <f>+IFERROR(VLOOKUP(Fact_Cumplimiento[[#This Row], 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ht="18.75" customHeight="1" x14ac:dyDescent="0.35">
      <c r="C1217" s="100" t="str">
        <f>IF(OR(Fact_Cumplimiento[[#This Row], [Año]]="",Fact_Cumplimiento[[#This Row], [Mes]]=""),"",DATE(A1217,MATCH(B1217,{"enero","febrero","marzo","abril","mayo","junio","julio","agosto","septiembre","octubre","noviembre","diciembre"},0)+1,0))</f>
        <v/>
      </c>
      <c r="E1217" t="str">
        <f>+IFERROR(VLOOKUP(Fact_Cumplimiento[[#This Row], [Concepto Anterior]],Conceptos_Cumplimiento[#All],5,0),"")</f>
        <v/>
      </c>
      <c r="F1217" t="str">
        <f>+IFERROR(VLOOKUP(Fact_Cumplimiento[[#This Row], 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ht="18.75" customHeight="1" x14ac:dyDescent="0.35">
      <c r="C1218" s="100" t="str">
        <f>IF(OR(Fact_Cumplimiento[[#This Row], [Año]]="",Fact_Cumplimiento[[#This Row], [Mes]]=""),"",DATE(A1218,MATCH(B1218,{"enero","febrero","marzo","abril","mayo","junio","julio","agosto","septiembre","octubre","noviembre","diciembre"},0)+1,0))</f>
        <v/>
      </c>
      <c r="E1218" t="str">
        <f>+IFERROR(VLOOKUP(Fact_Cumplimiento[[#This Row], [Concepto Anterior]],Conceptos_Cumplimiento[#All],5,0),"")</f>
        <v/>
      </c>
      <c r="F1218" t="str">
        <f>+IFERROR(VLOOKUP(Fact_Cumplimiento[[#This Row], 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ht="18.75" customHeight="1" x14ac:dyDescent="0.35">
      <c r="C1219" s="100" t="str">
        <f>IF(OR(Fact_Cumplimiento[[#This Row], [Año]]="",Fact_Cumplimiento[[#This Row], [Mes]]=""),"",DATE(A1219,MATCH(B1219,{"enero","febrero","marzo","abril","mayo","junio","julio","agosto","septiembre","octubre","noviembre","diciembre"},0)+1,0))</f>
        <v/>
      </c>
      <c r="E1219" t="str">
        <f>+IFERROR(VLOOKUP(Fact_Cumplimiento[[#This Row], [Concepto Anterior]],Conceptos_Cumplimiento[#All],5,0),"")</f>
        <v/>
      </c>
      <c r="F1219" t="str">
        <f>+IFERROR(VLOOKUP(Fact_Cumplimiento[[#This Row], 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ht="18.75" customHeight="1" x14ac:dyDescent="0.35">
      <c r="C1220" s="100" t="str">
        <f>IF(OR(Fact_Cumplimiento[[#This Row], [Año]]="",Fact_Cumplimiento[[#This Row], [Mes]]=""),"",DATE(A1220,MATCH(B1220,{"enero","febrero","marzo","abril","mayo","junio","julio","agosto","septiembre","octubre","noviembre","diciembre"},0)+1,0))</f>
        <v/>
      </c>
      <c r="E1220" t="str">
        <f>+IFERROR(VLOOKUP(Fact_Cumplimiento[[#This Row], [Concepto Anterior]],Conceptos_Cumplimiento[#All],5,0),"")</f>
        <v/>
      </c>
      <c r="F1220" t="str">
        <f>+IFERROR(VLOOKUP(Fact_Cumplimiento[[#This Row], 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ht="18.75" customHeight="1" x14ac:dyDescent="0.35">
      <c r="C1221" s="100" t="str">
        <f>IF(OR(Fact_Cumplimiento[[#This Row], [Año]]="",Fact_Cumplimiento[[#This Row], [Mes]]=""),"",DATE(A1221,MATCH(B1221,{"enero","febrero","marzo","abril","mayo","junio","julio","agosto","septiembre","octubre","noviembre","diciembre"},0)+1,0))</f>
        <v/>
      </c>
      <c r="E1221" t="str">
        <f>+IFERROR(VLOOKUP(Fact_Cumplimiento[[#This Row], [Concepto Anterior]],Conceptos_Cumplimiento[#All],5,0),"")</f>
        <v/>
      </c>
      <c r="F1221" t="str">
        <f>+IFERROR(VLOOKUP(Fact_Cumplimiento[[#This Row], 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ht="18.75" customHeight="1" x14ac:dyDescent="0.35">
      <c r="C1222" s="100" t="str">
        <f>IF(OR(Fact_Cumplimiento[[#This Row], [Año]]="",Fact_Cumplimiento[[#This Row], [Mes]]=""),"",DATE(A1222,MATCH(B1222,{"enero","febrero","marzo","abril","mayo","junio","julio","agosto","septiembre","octubre","noviembre","diciembre"},0)+1,0))</f>
        <v/>
      </c>
      <c r="E1222" t="str">
        <f>+IFERROR(VLOOKUP(Fact_Cumplimiento[[#This Row], [Concepto Anterior]],Conceptos_Cumplimiento[#All],5,0),"")</f>
        <v/>
      </c>
      <c r="F1222" t="str">
        <f>+IFERROR(VLOOKUP(Fact_Cumplimiento[[#This Row], 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ht="18.75" customHeight="1" x14ac:dyDescent="0.35">
      <c r="C1223" s="100" t="str">
        <f>IF(OR(Fact_Cumplimiento[[#This Row], [Año]]="",Fact_Cumplimiento[[#This Row], [Mes]]=""),"",DATE(A1223,MATCH(B1223,{"enero","febrero","marzo","abril","mayo","junio","julio","agosto","septiembre","octubre","noviembre","diciembre"},0)+1,0))</f>
        <v/>
      </c>
      <c r="E1223" t="str">
        <f>+IFERROR(VLOOKUP(Fact_Cumplimiento[[#This Row], [Concepto Anterior]],Conceptos_Cumplimiento[#All],5,0),"")</f>
        <v/>
      </c>
      <c r="F1223" t="str">
        <f>+IFERROR(VLOOKUP(Fact_Cumplimiento[[#This Row], 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ht="18.75" customHeight="1" x14ac:dyDescent="0.35">
      <c r="C1224" s="100" t="str">
        <f>IF(OR(Fact_Cumplimiento[[#This Row], [Año]]="",Fact_Cumplimiento[[#This Row], [Mes]]=""),"",DATE(A1224,MATCH(B1224,{"enero","febrero","marzo","abril","mayo","junio","julio","agosto","septiembre","octubre","noviembre","diciembre"},0)+1,0))</f>
        <v/>
      </c>
      <c r="E1224" t="str">
        <f>+IFERROR(VLOOKUP(Fact_Cumplimiento[[#This Row], [Concepto Anterior]],Conceptos_Cumplimiento[#All],5,0),"")</f>
        <v/>
      </c>
      <c r="F1224" t="str">
        <f>+IFERROR(VLOOKUP(Fact_Cumplimiento[[#This Row], 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ht="18.75" customHeight="1" x14ac:dyDescent="0.35">
      <c r="C1225" s="100" t="str">
        <f>IF(OR(Fact_Cumplimiento[[#This Row], [Año]]="",Fact_Cumplimiento[[#This Row], [Mes]]=""),"",DATE(A1225,MATCH(B1225,{"enero","febrero","marzo","abril","mayo","junio","julio","agosto","septiembre","octubre","noviembre","diciembre"},0)+1,0))</f>
        <v/>
      </c>
      <c r="E1225" t="str">
        <f>+IFERROR(VLOOKUP(Fact_Cumplimiento[[#This Row], [Concepto Anterior]],Conceptos_Cumplimiento[#All],5,0),"")</f>
        <v/>
      </c>
      <c r="F1225" t="str">
        <f>+IFERROR(VLOOKUP(Fact_Cumplimiento[[#This Row], 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ht="18.75" customHeight="1" x14ac:dyDescent="0.35">
      <c r="C1226" s="100" t="str">
        <f>IF(OR(Fact_Cumplimiento[[#This Row], [Año]]="",Fact_Cumplimiento[[#This Row], [Mes]]=""),"",DATE(A1226,MATCH(B1226,{"enero","febrero","marzo","abril","mayo","junio","julio","agosto","septiembre","octubre","noviembre","diciembre"},0)+1,0))</f>
        <v/>
      </c>
      <c r="E1226" t="str">
        <f>+IFERROR(VLOOKUP(Fact_Cumplimiento[[#This Row], [Concepto Anterior]],Conceptos_Cumplimiento[#All],5,0),"")</f>
        <v/>
      </c>
      <c r="F1226" t="str">
        <f>+IFERROR(VLOOKUP(Fact_Cumplimiento[[#This Row], 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ht="18.75" customHeight="1" x14ac:dyDescent="0.35">
      <c r="C1227" s="100" t="str">
        <f>IF(OR(Fact_Cumplimiento[[#This Row], [Año]]="",Fact_Cumplimiento[[#This Row], [Mes]]=""),"",DATE(A1227,MATCH(B1227,{"enero","febrero","marzo","abril","mayo","junio","julio","agosto","septiembre","octubre","noviembre","diciembre"},0)+1,0))</f>
        <v/>
      </c>
      <c r="E1227" t="str">
        <f>+IFERROR(VLOOKUP(Fact_Cumplimiento[[#This Row], [Concepto Anterior]],Conceptos_Cumplimiento[#All],5,0),"")</f>
        <v/>
      </c>
      <c r="F1227" t="str">
        <f>+IFERROR(VLOOKUP(Fact_Cumplimiento[[#This Row], 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ht="18.75" customHeight="1" x14ac:dyDescent="0.35">
      <c r="C1228" s="100" t="str">
        <f>IF(OR(Fact_Cumplimiento[[#This Row], [Año]]="",Fact_Cumplimiento[[#This Row], [Mes]]=""),"",DATE(A1228,MATCH(B1228,{"enero","febrero","marzo","abril","mayo","junio","julio","agosto","septiembre","octubre","noviembre","diciembre"},0)+1,0))</f>
        <v/>
      </c>
      <c r="E1228" t="str">
        <f>+IFERROR(VLOOKUP(Fact_Cumplimiento[[#This Row], [Concepto Anterior]],Conceptos_Cumplimiento[#All],5,0),"")</f>
        <v/>
      </c>
      <c r="F1228" t="str">
        <f>+IFERROR(VLOOKUP(Fact_Cumplimiento[[#This Row], 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ht="18.75" customHeight="1" x14ac:dyDescent="0.35">
      <c r="C1229" s="100" t="str">
        <f>IF(OR(Fact_Cumplimiento[[#This Row], [Año]]="",Fact_Cumplimiento[[#This Row], [Mes]]=""),"",DATE(A1229,MATCH(B1229,{"enero","febrero","marzo","abril","mayo","junio","julio","agosto","septiembre","octubre","noviembre","diciembre"},0)+1,0))</f>
        <v/>
      </c>
      <c r="E1229" t="str">
        <f>+IFERROR(VLOOKUP(Fact_Cumplimiento[[#This Row], [Concepto Anterior]],Conceptos_Cumplimiento[#All],5,0),"")</f>
        <v/>
      </c>
      <c r="F1229" t="str">
        <f>+IFERROR(VLOOKUP(Fact_Cumplimiento[[#This Row], 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ht="18.75" customHeight="1" x14ac:dyDescent="0.35">
      <c r="C1230" s="100" t="str">
        <f>IF(OR(Fact_Cumplimiento[[#This Row], [Año]]="",Fact_Cumplimiento[[#This Row], [Mes]]=""),"",DATE(A1230,MATCH(B1230,{"enero","febrero","marzo","abril","mayo","junio","julio","agosto","septiembre","octubre","noviembre","diciembre"},0)+1,0))</f>
        <v/>
      </c>
      <c r="E1230" t="str">
        <f>+IFERROR(VLOOKUP(Fact_Cumplimiento[[#This Row], [Concepto Anterior]],Conceptos_Cumplimiento[#All],5,0),"")</f>
        <v/>
      </c>
      <c r="F1230" t="str">
        <f>+IFERROR(VLOOKUP(Fact_Cumplimiento[[#This Row], 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ht="18.75" customHeight="1" x14ac:dyDescent="0.35">
      <c r="C1231" s="100" t="str">
        <f>IF(OR(Fact_Cumplimiento[[#This Row], [Año]]="",Fact_Cumplimiento[[#This Row], [Mes]]=""),"",DATE(A1231,MATCH(B1231,{"enero","febrero","marzo","abril","mayo","junio","julio","agosto","septiembre","octubre","noviembre","diciembre"},0)+1,0))</f>
        <v/>
      </c>
      <c r="E1231" t="str">
        <f>+IFERROR(VLOOKUP(Fact_Cumplimiento[[#This Row], [Concepto Anterior]],Conceptos_Cumplimiento[#All],5,0),"")</f>
        <v/>
      </c>
      <c r="F1231" t="str">
        <f>+IFERROR(VLOOKUP(Fact_Cumplimiento[[#This Row], 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ht="18.75" customHeight="1" x14ac:dyDescent="0.35">
      <c r="C1232" s="100" t="str">
        <f>IF(OR(Fact_Cumplimiento[[#This Row], [Año]]="",Fact_Cumplimiento[[#This Row], [Mes]]=""),"",DATE(A1232,MATCH(B1232,{"enero","febrero","marzo","abril","mayo","junio","julio","agosto","septiembre","octubre","noviembre","diciembre"},0)+1,0))</f>
        <v/>
      </c>
      <c r="E1232" t="str">
        <f>+IFERROR(VLOOKUP(Fact_Cumplimiento[[#This Row], [Concepto Anterior]],Conceptos_Cumplimiento[#All],5,0),"")</f>
        <v/>
      </c>
      <c r="F1232" t="str">
        <f>+IFERROR(VLOOKUP(Fact_Cumplimiento[[#This Row], 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ht="18.75" customHeight="1" x14ac:dyDescent="0.35">
      <c r="C1233" s="100" t="str">
        <f>IF(OR(Fact_Cumplimiento[[#This Row], [Año]]="",Fact_Cumplimiento[[#This Row], [Mes]]=""),"",DATE(A1233,MATCH(B1233,{"enero","febrero","marzo","abril","mayo","junio","julio","agosto","septiembre","octubre","noviembre","diciembre"},0)+1,0))</f>
        <v/>
      </c>
      <c r="E1233" t="str">
        <f>+IFERROR(VLOOKUP(Fact_Cumplimiento[[#This Row], [Concepto Anterior]],Conceptos_Cumplimiento[#All],5,0),"")</f>
        <v/>
      </c>
      <c r="F1233" t="str">
        <f>+IFERROR(VLOOKUP(Fact_Cumplimiento[[#This Row], 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ht="18.75" customHeight="1" x14ac:dyDescent="0.35">
      <c r="C1234" s="100" t="str">
        <f>IF(OR(Fact_Cumplimiento[[#This Row], [Año]]="",Fact_Cumplimiento[[#This Row], [Mes]]=""),"",DATE(A1234,MATCH(B1234,{"enero","febrero","marzo","abril","mayo","junio","julio","agosto","septiembre","octubre","noviembre","diciembre"},0)+1,0))</f>
        <v/>
      </c>
      <c r="E1234" t="str">
        <f>+IFERROR(VLOOKUP(Fact_Cumplimiento[[#This Row], [Concepto Anterior]],Conceptos_Cumplimiento[#All],5,0),"")</f>
        <v/>
      </c>
      <c r="F1234" t="str">
        <f>+IFERROR(VLOOKUP(Fact_Cumplimiento[[#This Row], 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ht="18.75" customHeight="1" x14ac:dyDescent="0.35">
      <c r="C1235" s="100" t="str">
        <f>IF(OR(Fact_Cumplimiento[[#This Row], [Año]]="",Fact_Cumplimiento[[#This Row], [Mes]]=""),"",DATE(A1235,MATCH(B1235,{"enero","febrero","marzo","abril","mayo","junio","julio","agosto","septiembre","octubre","noviembre","diciembre"},0)+1,0))</f>
        <v/>
      </c>
      <c r="E1235" t="str">
        <f>+IFERROR(VLOOKUP(Fact_Cumplimiento[[#This Row], [Concepto Anterior]],Conceptos_Cumplimiento[#All],5,0),"")</f>
        <v/>
      </c>
      <c r="F1235" t="str">
        <f>+IFERROR(VLOOKUP(Fact_Cumplimiento[[#This Row], 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ht="18.75" customHeight="1" x14ac:dyDescent="0.35">
      <c r="C1236" s="100" t="str">
        <f>IF(OR(Fact_Cumplimiento[[#This Row], [Año]]="",Fact_Cumplimiento[[#This Row], [Mes]]=""),"",DATE(A1236,MATCH(B1236,{"enero","febrero","marzo","abril","mayo","junio","julio","agosto","septiembre","octubre","noviembre","diciembre"},0)+1,0))</f>
        <v/>
      </c>
      <c r="E1236" t="str">
        <f>+IFERROR(VLOOKUP(Fact_Cumplimiento[[#This Row], [Concepto Anterior]],Conceptos_Cumplimiento[#All],5,0),"")</f>
        <v/>
      </c>
      <c r="F1236" t="str">
        <f>+IFERROR(VLOOKUP(Fact_Cumplimiento[[#This Row], 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ht="18.75" customHeight="1" x14ac:dyDescent="0.35">
      <c r="C1237" s="100" t="str">
        <f>IF(OR(Fact_Cumplimiento[[#This Row], [Año]]="",Fact_Cumplimiento[[#This Row], [Mes]]=""),"",DATE(A1237,MATCH(B1237,{"enero","febrero","marzo","abril","mayo","junio","julio","agosto","septiembre","octubre","noviembre","diciembre"},0)+1,0))</f>
        <v/>
      </c>
      <c r="E1237" t="str">
        <f>+IFERROR(VLOOKUP(Fact_Cumplimiento[[#This Row], [Concepto Anterior]],Conceptos_Cumplimiento[#All],5,0),"")</f>
        <v/>
      </c>
      <c r="F1237" t="str">
        <f>+IFERROR(VLOOKUP(Fact_Cumplimiento[[#This Row], 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ht="18.75" customHeight="1" x14ac:dyDescent="0.35">
      <c r="C1238" s="100" t="str">
        <f>IF(OR(Fact_Cumplimiento[[#This Row], [Año]]="",Fact_Cumplimiento[[#This Row], [Mes]]=""),"",DATE(A1238,MATCH(B1238,{"enero","febrero","marzo","abril","mayo","junio","julio","agosto","septiembre","octubre","noviembre","diciembre"},0)+1,0))</f>
        <v/>
      </c>
      <c r="E1238" t="str">
        <f>+IFERROR(VLOOKUP(Fact_Cumplimiento[[#This Row], [Concepto Anterior]],Conceptos_Cumplimiento[#All],5,0),"")</f>
        <v/>
      </c>
      <c r="F1238" t="str">
        <f>+IFERROR(VLOOKUP(Fact_Cumplimiento[[#This Row], 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ht="18.75" customHeight="1" x14ac:dyDescent="0.35">
      <c r="C1239" s="100" t="str">
        <f>IF(OR(Fact_Cumplimiento[[#This Row], [Año]]="",Fact_Cumplimiento[[#This Row], [Mes]]=""),"",DATE(A1239,MATCH(B1239,{"enero","febrero","marzo","abril","mayo","junio","julio","agosto","septiembre","octubre","noviembre","diciembre"},0)+1,0))</f>
        <v/>
      </c>
      <c r="E1239" t="str">
        <f>+IFERROR(VLOOKUP(Fact_Cumplimiento[[#This Row], [Concepto Anterior]],Conceptos_Cumplimiento[#All],5,0),"")</f>
        <v/>
      </c>
      <c r="F1239" t="str">
        <f>+IFERROR(VLOOKUP(Fact_Cumplimiento[[#This Row], 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ht="18.75" customHeight="1" x14ac:dyDescent="0.35">
      <c r="C1240" s="100" t="str">
        <f>IF(OR(Fact_Cumplimiento[[#This Row], [Año]]="",Fact_Cumplimiento[[#This Row], [Mes]]=""),"",DATE(A1240,MATCH(B1240,{"enero","febrero","marzo","abril","mayo","junio","julio","agosto","septiembre","octubre","noviembre","diciembre"},0)+1,0))</f>
        <v/>
      </c>
      <c r="E1240" t="str">
        <f>+IFERROR(VLOOKUP(Fact_Cumplimiento[[#This Row], [Concepto Anterior]],Conceptos_Cumplimiento[#All],5,0),"")</f>
        <v/>
      </c>
      <c r="F1240" t="str">
        <f>+IFERROR(VLOOKUP(Fact_Cumplimiento[[#This Row], 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ht="18.75" customHeight="1" x14ac:dyDescent="0.35">
      <c r="C1241" s="100" t="str">
        <f>IF(OR(Fact_Cumplimiento[[#This Row], [Año]]="",Fact_Cumplimiento[[#This Row], [Mes]]=""),"",DATE(A1241,MATCH(B1241,{"enero","febrero","marzo","abril","mayo","junio","julio","agosto","septiembre","octubre","noviembre","diciembre"},0)+1,0))</f>
        <v/>
      </c>
      <c r="E1241" t="str">
        <f>+IFERROR(VLOOKUP(Fact_Cumplimiento[[#This Row], [Concepto Anterior]],Conceptos_Cumplimiento[#All],5,0),"")</f>
        <v/>
      </c>
      <c r="F1241" t="str">
        <f>+IFERROR(VLOOKUP(Fact_Cumplimiento[[#This Row], 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ht="18.75" customHeight="1" x14ac:dyDescent="0.35">
      <c r="C1242" s="100" t="str">
        <f>IF(OR(Fact_Cumplimiento[[#This Row], [Año]]="",Fact_Cumplimiento[[#This Row], [Mes]]=""),"",DATE(A1242,MATCH(B1242,{"enero","febrero","marzo","abril","mayo","junio","julio","agosto","septiembre","octubre","noviembre","diciembre"},0)+1,0))</f>
        <v/>
      </c>
      <c r="E1242" t="str">
        <f>+IFERROR(VLOOKUP(Fact_Cumplimiento[[#This Row], [Concepto Anterior]],Conceptos_Cumplimiento[#All],5,0),"")</f>
        <v/>
      </c>
      <c r="F1242" t="str">
        <f>+IFERROR(VLOOKUP(Fact_Cumplimiento[[#This Row], 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ht="18.75" customHeight="1" x14ac:dyDescent="0.35">
      <c r="C1243" s="100" t="str">
        <f>IF(OR(Fact_Cumplimiento[[#This Row], [Año]]="",Fact_Cumplimiento[[#This Row], [Mes]]=""),"",DATE(A1243,MATCH(B1243,{"enero","febrero","marzo","abril","mayo","junio","julio","agosto","septiembre","octubre","noviembre","diciembre"},0)+1,0))</f>
        <v/>
      </c>
      <c r="E1243" t="str">
        <f>+IFERROR(VLOOKUP(Fact_Cumplimiento[[#This Row], [Concepto Anterior]],Conceptos_Cumplimiento[#All],5,0),"")</f>
        <v/>
      </c>
      <c r="F1243" t="str">
        <f>+IFERROR(VLOOKUP(Fact_Cumplimiento[[#This Row], 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ht="18.75" customHeight="1" x14ac:dyDescent="0.35">
      <c r="C1244" s="100" t="str">
        <f>IF(OR(Fact_Cumplimiento[[#This Row], [Año]]="",Fact_Cumplimiento[[#This Row], [Mes]]=""),"",DATE(A1244,MATCH(B1244,{"enero","febrero","marzo","abril","mayo","junio","julio","agosto","septiembre","octubre","noviembre","diciembre"},0)+1,0))</f>
        <v/>
      </c>
      <c r="E1244" t="str">
        <f>+IFERROR(VLOOKUP(Fact_Cumplimiento[[#This Row], [Concepto Anterior]],Conceptos_Cumplimiento[#All],5,0),"")</f>
        <v/>
      </c>
      <c r="F1244" t="str">
        <f>+IFERROR(VLOOKUP(Fact_Cumplimiento[[#This Row], 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ht="18.75" customHeight="1" x14ac:dyDescent="0.35">
      <c r="C1245" s="100" t="str">
        <f>IF(OR(Fact_Cumplimiento[[#This Row], [Año]]="",Fact_Cumplimiento[[#This Row], [Mes]]=""),"",DATE(A1245,MATCH(B1245,{"enero","febrero","marzo","abril","mayo","junio","julio","agosto","septiembre","octubre","noviembre","diciembre"},0)+1,0))</f>
        <v/>
      </c>
      <c r="E1245" t="str">
        <f>+IFERROR(VLOOKUP(Fact_Cumplimiento[[#This Row], [Concepto Anterior]],Conceptos_Cumplimiento[#All],5,0),"")</f>
        <v/>
      </c>
      <c r="F1245" t="str">
        <f>+IFERROR(VLOOKUP(Fact_Cumplimiento[[#This Row], 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ht="18.75" customHeight="1" x14ac:dyDescent="0.35">
      <c r="C1246" s="100" t="str">
        <f>IF(OR(Fact_Cumplimiento[[#This Row], [Año]]="",Fact_Cumplimiento[[#This Row], [Mes]]=""),"",DATE(A1246,MATCH(B1246,{"enero","febrero","marzo","abril","mayo","junio","julio","agosto","septiembre","octubre","noviembre","diciembre"},0)+1,0))</f>
        <v/>
      </c>
      <c r="E1246" t="str">
        <f>+IFERROR(VLOOKUP(Fact_Cumplimiento[[#This Row], [Concepto Anterior]],Conceptos_Cumplimiento[#All],5,0),"")</f>
        <v/>
      </c>
      <c r="F1246" t="str">
        <f>+IFERROR(VLOOKUP(Fact_Cumplimiento[[#This Row], 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ht="18.75" customHeight="1" x14ac:dyDescent="0.35">
      <c r="C1247" s="100" t="str">
        <f>IF(OR(Fact_Cumplimiento[[#This Row], [Año]]="",Fact_Cumplimiento[[#This Row], [Mes]]=""),"",DATE(A1247,MATCH(B1247,{"enero","febrero","marzo","abril","mayo","junio","julio","agosto","septiembre","octubre","noviembre","diciembre"},0)+1,0))</f>
        <v/>
      </c>
      <c r="E1247" t="str">
        <f>+IFERROR(VLOOKUP(Fact_Cumplimiento[[#This Row], [Concepto Anterior]],Conceptos_Cumplimiento[#All],5,0),"")</f>
        <v/>
      </c>
      <c r="F1247" t="str">
        <f>+IFERROR(VLOOKUP(Fact_Cumplimiento[[#This Row], 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ht="18.75" customHeight="1" x14ac:dyDescent="0.35">
      <c r="C1248" s="100" t="str">
        <f>IF(OR(Fact_Cumplimiento[[#This Row], [Año]]="",Fact_Cumplimiento[[#This Row], [Mes]]=""),"",DATE(A1248,MATCH(B1248,{"enero","febrero","marzo","abril","mayo","junio","julio","agosto","septiembre","octubre","noviembre","diciembre"},0)+1,0))</f>
        <v/>
      </c>
      <c r="E1248" t="str">
        <f>+IFERROR(VLOOKUP(Fact_Cumplimiento[[#This Row], [Concepto Anterior]],Conceptos_Cumplimiento[#All],5,0),"")</f>
        <v/>
      </c>
      <c r="F1248" t="str">
        <f>+IFERROR(VLOOKUP(Fact_Cumplimiento[[#This Row], 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ht="18.75" customHeight="1" x14ac:dyDescent="0.35">
      <c r="C1249" s="100" t="str">
        <f>IF(OR(Fact_Cumplimiento[[#This Row], [Año]]="",Fact_Cumplimiento[[#This Row], [Mes]]=""),"",DATE(A1249,MATCH(B1249,{"enero","febrero","marzo","abril","mayo","junio","julio","agosto","septiembre","octubre","noviembre","diciembre"},0)+1,0))</f>
        <v/>
      </c>
      <c r="E1249" t="str">
        <f>+IFERROR(VLOOKUP(Fact_Cumplimiento[[#This Row], [Concepto Anterior]],Conceptos_Cumplimiento[#All],5,0),"")</f>
        <v/>
      </c>
      <c r="F1249" t="str">
        <f>+IFERROR(VLOOKUP(Fact_Cumplimiento[[#This Row], 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ht="18.75" customHeight="1" x14ac:dyDescent="0.35">
      <c r="C1250" s="100" t="str">
        <f>IF(OR(Fact_Cumplimiento[[#This Row], [Año]]="",Fact_Cumplimiento[[#This Row], [Mes]]=""),"",DATE(A1250,MATCH(B1250,{"enero","febrero","marzo","abril","mayo","junio","julio","agosto","septiembre","octubre","noviembre","diciembre"},0)+1,0))</f>
        <v/>
      </c>
      <c r="E1250" t="str">
        <f>+IFERROR(VLOOKUP(Fact_Cumplimiento[[#This Row], [Concepto Anterior]],Conceptos_Cumplimiento[#All],5,0),"")</f>
        <v/>
      </c>
      <c r="F1250" t="str">
        <f>+IFERROR(VLOOKUP(Fact_Cumplimiento[[#This Row], 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ht="18.75" customHeight="1" x14ac:dyDescent="0.35">
      <c r="C1251" s="100" t="str">
        <f>IF(OR(Fact_Cumplimiento[[#This Row], [Año]]="",Fact_Cumplimiento[[#This Row], [Mes]]=""),"",DATE(A1251,MATCH(B1251,{"enero","febrero","marzo","abril","mayo","junio","julio","agosto","septiembre","octubre","noviembre","diciembre"},0)+1,0))</f>
        <v/>
      </c>
      <c r="E1251" t="str">
        <f>+IFERROR(VLOOKUP(Fact_Cumplimiento[[#This Row], [Concepto Anterior]],Conceptos_Cumplimiento[#All],5,0),"")</f>
        <v/>
      </c>
      <c r="F1251" t="str">
        <f>+IFERROR(VLOOKUP(Fact_Cumplimiento[[#This Row], 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ht="18.75" customHeight="1" x14ac:dyDescent="0.35">
      <c r="C1252" s="100" t="str">
        <f>IF(OR(Fact_Cumplimiento[[#This Row], [Año]]="",Fact_Cumplimiento[[#This Row], [Mes]]=""),"",DATE(A1252,MATCH(B1252,{"enero","febrero","marzo","abril","mayo","junio","julio","agosto","septiembre","octubre","noviembre","diciembre"},0)+1,0))</f>
        <v/>
      </c>
      <c r="E1252" t="str">
        <f>+IFERROR(VLOOKUP(Fact_Cumplimiento[[#This Row], [Concepto Anterior]],Conceptos_Cumplimiento[#All],5,0),"")</f>
        <v/>
      </c>
      <c r="F1252" t="str">
        <f>+IFERROR(VLOOKUP(Fact_Cumplimiento[[#This Row], 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ht="18.75" customHeight="1" x14ac:dyDescent="0.35">
      <c r="C1253" s="100" t="str">
        <f>IF(OR(Fact_Cumplimiento[[#This Row], [Año]]="",Fact_Cumplimiento[[#This Row], [Mes]]=""),"",DATE(A1253,MATCH(B1253,{"enero","febrero","marzo","abril","mayo","junio","julio","agosto","septiembre","octubre","noviembre","diciembre"},0)+1,0))</f>
        <v/>
      </c>
      <c r="E1253" t="str">
        <f>+IFERROR(VLOOKUP(Fact_Cumplimiento[[#This Row], [Concepto Anterior]],Conceptos_Cumplimiento[#All],5,0),"")</f>
        <v/>
      </c>
      <c r="F1253" t="str">
        <f>+IFERROR(VLOOKUP(Fact_Cumplimiento[[#This Row], 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ht="18.75" customHeight="1" x14ac:dyDescent="0.35">
      <c r="C1254" s="100" t="str">
        <f>IF(OR(Fact_Cumplimiento[[#This Row], [Año]]="",Fact_Cumplimiento[[#This Row], [Mes]]=""),"",DATE(A1254,MATCH(B1254,{"enero","febrero","marzo","abril","mayo","junio","julio","agosto","septiembre","octubre","noviembre","diciembre"},0)+1,0))</f>
        <v/>
      </c>
      <c r="E1254" t="str">
        <f>+IFERROR(VLOOKUP(Fact_Cumplimiento[[#This Row], [Concepto Anterior]],Conceptos_Cumplimiento[#All],5,0),"")</f>
        <v/>
      </c>
      <c r="F1254" t="str">
        <f>+IFERROR(VLOOKUP(Fact_Cumplimiento[[#This Row], 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ht="18.75" customHeight="1" x14ac:dyDescent="0.35">
      <c r="C1255" s="100" t="str">
        <f>IF(OR(Fact_Cumplimiento[[#This Row], [Año]]="",Fact_Cumplimiento[[#This Row], [Mes]]=""),"",DATE(A1255,MATCH(B1255,{"enero","febrero","marzo","abril","mayo","junio","julio","agosto","septiembre","octubre","noviembre","diciembre"},0)+1,0))</f>
        <v/>
      </c>
      <c r="E1255" t="str">
        <f>+IFERROR(VLOOKUP(Fact_Cumplimiento[[#This Row], [Concepto Anterior]],Conceptos_Cumplimiento[#All],5,0),"")</f>
        <v/>
      </c>
      <c r="F1255" t="str">
        <f>+IFERROR(VLOOKUP(Fact_Cumplimiento[[#This Row], 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ht="18.75" customHeight="1" x14ac:dyDescent="0.35">
      <c r="C1256" s="100" t="str">
        <f>IF(OR(Fact_Cumplimiento[[#This Row], [Año]]="",Fact_Cumplimiento[[#This Row], [Mes]]=""),"",DATE(A1256,MATCH(B1256,{"enero","febrero","marzo","abril","mayo","junio","julio","agosto","septiembre","octubre","noviembre","diciembre"},0)+1,0))</f>
        <v/>
      </c>
      <c r="E1256" t="str">
        <f>+IFERROR(VLOOKUP(Fact_Cumplimiento[[#This Row], [Concepto Anterior]],Conceptos_Cumplimiento[#All],5,0),"")</f>
        <v/>
      </c>
      <c r="F1256" t="str">
        <f>+IFERROR(VLOOKUP(Fact_Cumplimiento[[#This Row], 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ht="18.75" customHeight="1" x14ac:dyDescent="0.35">
      <c r="C1257" s="100" t="str">
        <f>IF(OR(Fact_Cumplimiento[[#This Row], [Año]]="",Fact_Cumplimiento[[#This Row], [Mes]]=""),"",DATE(A1257,MATCH(B1257,{"enero","febrero","marzo","abril","mayo","junio","julio","agosto","septiembre","octubre","noviembre","diciembre"},0)+1,0))</f>
        <v/>
      </c>
      <c r="E1257" t="str">
        <f>+IFERROR(VLOOKUP(Fact_Cumplimiento[[#This Row], [Concepto Anterior]],Conceptos_Cumplimiento[#All],5,0),"")</f>
        <v/>
      </c>
      <c r="F1257" t="str">
        <f>+IFERROR(VLOOKUP(Fact_Cumplimiento[[#This Row], 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ht="18.75" customHeight="1" x14ac:dyDescent="0.35">
      <c r="C1258" s="100" t="str">
        <f>IF(OR(Fact_Cumplimiento[[#This Row], [Año]]="",Fact_Cumplimiento[[#This Row], [Mes]]=""),"",DATE(A1258,MATCH(B1258,{"enero","febrero","marzo","abril","mayo","junio","julio","agosto","septiembre","octubre","noviembre","diciembre"},0)+1,0))</f>
        <v/>
      </c>
      <c r="E1258" t="str">
        <f>+IFERROR(VLOOKUP(Fact_Cumplimiento[[#This Row], [Concepto Anterior]],Conceptos_Cumplimiento[#All],5,0),"")</f>
        <v/>
      </c>
      <c r="F1258" t="str">
        <f>+IFERROR(VLOOKUP(Fact_Cumplimiento[[#This Row], 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ht="18.75" customHeight="1" x14ac:dyDescent="0.35">
      <c r="C1259" s="100" t="str">
        <f>IF(OR(Fact_Cumplimiento[[#This Row], [Año]]="",Fact_Cumplimiento[[#This Row], [Mes]]=""),"",DATE(A1259,MATCH(B1259,{"enero","febrero","marzo","abril","mayo","junio","julio","agosto","septiembre","octubre","noviembre","diciembre"},0)+1,0))</f>
        <v/>
      </c>
      <c r="E1259" t="str">
        <f>+IFERROR(VLOOKUP(Fact_Cumplimiento[[#This Row], [Concepto Anterior]],Conceptos_Cumplimiento[#All],5,0),"")</f>
        <v/>
      </c>
      <c r="F1259" t="str">
        <f>+IFERROR(VLOOKUP(Fact_Cumplimiento[[#This Row], 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ht="18.75" customHeight="1" x14ac:dyDescent="0.35">
      <c r="C1260" s="100" t="str">
        <f>IF(OR(Fact_Cumplimiento[[#This Row], [Año]]="",Fact_Cumplimiento[[#This Row], [Mes]]=""),"",DATE(A1260,MATCH(B1260,{"enero","febrero","marzo","abril","mayo","junio","julio","agosto","septiembre","octubre","noviembre","diciembre"},0)+1,0))</f>
        <v/>
      </c>
      <c r="E1260" t="str">
        <f>+IFERROR(VLOOKUP(Fact_Cumplimiento[[#This Row], [Concepto Anterior]],Conceptos_Cumplimiento[#All],5,0),"")</f>
        <v/>
      </c>
      <c r="F1260" t="str">
        <f>+IFERROR(VLOOKUP(Fact_Cumplimiento[[#This Row], 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ht="18.75" customHeight="1" x14ac:dyDescent="0.35">
      <c r="C1261" s="100" t="str">
        <f>IF(OR(Fact_Cumplimiento[[#This Row], [Año]]="",Fact_Cumplimiento[[#This Row], [Mes]]=""),"",DATE(A1261,MATCH(B1261,{"enero","febrero","marzo","abril","mayo","junio","julio","agosto","septiembre","octubre","noviembre","diciembre"},0)+1,0))</f>
        <v/>
      </c>
      <c r="E1261" t="str">
        <f>+IFERROR(VLOOKUP(Fact_Cumplimiento[[#This Row], [Concepto Anterior]],Conceptos_Cumplimiento[#All],5,0),"")</f>
        <v/>
      </c>
      <c r="F1261" t="str">
        <f>+IFERROR(VLOOKUP(Fact_Cumplimiento[[#This Row], 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ht="18.75" customHeight="1" x14ac:dyDescent="0.35">
      <c r="C1262" s="100" t="str">
        <f>IF(OR(Fact_Cumplimiento[[#This Row], [Año]]="",Fact_Cumplimiento[[#This Row], [Mes]]=""),"",DATE(A1262,MATCH(B1262,{"enero","febrero","marzo","abril","mayo","junio","julio","agosto","septiembre","octubre","noviembre","diciembre"},0)+1,0))</f>
        <v/>
      </c>
      <c r="E1262" t="str">
        <f>+IFERROR(VLOOKUP(Fact_Cumplimiento[[#This Row], [Concepto Anterior]],Conceptos_Cumplimiento[#All],5,0),"")</f>
        <v/>
      </c>
      <c r="F1262" t="str">
        <f>+IFERROR(VLOOKUP(Fact_Cumplimiento[[#This Row], 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ht="18.75" customHeight="1" x14ac:dyDescent="0.35">
      <c r="C1263" s="100" t="str">
        <f>IF(OR(Fact_Cumplimiento[[#This Row], [Año]]="",Fact_Cumplimiento[[#This Row], [Mes]]=""),"",DATE(A1263,MATCH(B1263,{"enero","febrero","marzo","abril","mayo","junio","julio","agosto","septiembre","octubre","noviembre","diciembre"},0)+1,0))</f>
        <v/>
      </c>
      <c r="E1263" t="str">
        <f>+IFERROR(VLOOKUP(Fact_Cumplimiento[[#This Row], [Concepto Anterior]],Conceptos_Cumplimiento[#All],5,0),"")</f>
        <v/>
      </c>
      <c r="F1263" t="str">
        <f>+IFERROR(VLOOKUP(Fact_Cumplimiento[[#This Row], 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ht="18.75" customHeight="1" x14ac:dyDescent="0.35">
      <c r="C1264" s="100" t="str">
        <f>IF(OR(Fact_Cumplimiento[[#This Row], [Año]]="",Fact_Cumplimiento[[#This Row], [Mes]]=""),"",DATE(A1264,MATCH(B1264,{"enero","febrero","marzo","abril","mayo","junio","julio","agosto","septiembre","octubre","noviembre","diciembre"},0)+1,0))</f>
        <v/>
      </c>
      <c r="E1264" t="str">
        <f>+IFERROR(VLOOKUP(Fact_Cumplimiento[[#This Row], [Concepto Anterior]],Conceptos_Cumplimiento[#All],5,0),"")</f>
        <v/>
      </c>
      <c r="F1264" t="str">
        <f>+IFERROR(VLOOKUP(Fact_Cumplimiento[[#This Row], 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ht="18.75" customHeight="1" x14ac:dyDescent="0.35">
      <c r="C1265" s="100" t="str">
        <f>IF(OR(Fact_Cumplimiento[[#This Row], [Año]]="",Fact_Cumplimiento[[#This Row], [Mes]]=""),"",DATE(A1265,MATCH(B1265,{"enero","febrero","marzo","abril","mayo","junio","julio","agosto","septiembre","octubre","noviembre","diciembre"},0)+1,0))</f>
        <v/>
      </c>
      <c r="E1265" t="str">
        <f>+IFERROR(VLOOKUP(Fact_Cumplimiento[[#This Row], [Concepto Anterior]],Conceptos_Cumplimiento[#All],5,0),"")</f>
        <v/>
      </c>
      <c r="F1265" t="str">
        <f>+IFERROR(VLOOKUP(Fact_Cumplimiento[[#This Row], 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ht="18.75" customHeight="1" x14ac:dyDescent="0.35">
      <c r="C1266" s="100" t="str">
        <f>IF(OR(Fact_Cumplimiento[[#This Row], [Año]]="",Fact_Cumplimiento[[#This Row], [Mes]]=""),"",DATE(A1266,MATCH(B1266,{"enero","febrero","marzo","abril","mayo","junio","julio","agosto","septiembre","octubre","noviembre","diciembre"},0)+1,0))</f>
        <v/>
      </c>
      <c r="E1266" t="str">
        <f>+IFERROR(VLOOKUP(Fact_Cumplimiento[[#This Row], [Concepto Anterior]],Conceptos_Cumplimiento[#All],5,0),"")</f>
        <v/>
      </c>
      <c r="F1266" t="str">
        <f>+IFERROR(VLOOKUP(Fact_Cumplimiento[[#This Row], 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ht="18.75" customHeight="1" x14ac:dyDescent="0.35">
      <c r="C1267" s="100" t="str">
        <f>IF(OR(Fact_Cumplimiento[[#This Row], [Año]]="",Fact_Cumplimiento[[#This Row], [Mes]]=""),"",DATE(A1267,MATCH(B1267,{"enero","febrero","marzo","abril","mayo","junio","julio","agosto","septiembre","octubre","noviembre","diciembre"},0)+1,0))</f>
        <v/>
      </c>
      <c r="E1267" t="str">
        <f>+IFERROR(VLOOKUP(Fact_Cumplimiento[[#This Row], [Concepto Anterior]],Conceptos_Cumplimiento[#All],5,0),"")</f>
        <v/>
      </c>
      <c r="F1267" t="str">
        <f>+IFERROR(VLOOKUP(Fact_Cumplimiento[[#This Row], 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ht="18.75" customHeight="1" x14ac:dyDescent="0.35">
      <c r="C1268" s="100" t="str">
        <f>IF(OR(Fact_Cumplimiento[[#This Row], [Año]]="",Fact_Cumplimiento[[#This Row], [Mes]]=""),"",DATE(A1268,MATCH(B1268,{"enero","febrero","marzo","abril","mayo","junio","julio","agosto","septiembre","octubre","noviembre","diciembre"},0)+1,0))</f>
        <v/>
      </c>
      <c r="E1268" t="str">
        <f>+IFERROR(VLOOKUP(Fact_Cumplimiento[[#This Row], [Concepto Anterior]],Conceptos_Cumplimiento[#All],5,0),"")</f>
        <v/>
      </c>
      <c r="F1268" t="str">
        <f>+IFERROR(VLOOKUP(Fact_Cumplimiento[[#This Row], 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ht="18.75" customHeight="1" x14ac:dyDescent="0.35">
      <c r="C1269" s="100" t="str">
        <f>IF(OR(Fact_Cumplimiento[[#This Row], [Año]]="",Fact_Cumplimiento[[#This Row], [Mes]]=""),"",DATE(A1269,MATCH(B1269,{"enero","febrero","marzo","abril","mayo","junio","julio","agosto","septiembre","octubre","noviembre","diciembre"},0)+1,0))</f>
        <v/>
      </c>
      <c r="E1269" t="str">
        <f>+IFERROR(VLOOKUP(Fact_Cumplimiento[[#This Row], [Concepto Anterior]],Conceptos_Cumplimiento[#All],5,0),"")</f>
        <v/>
      </c>
      <c r="F1269" t="str">
        <f>+IFERROR(VLOOKUP(Fact_Cumplimiento[[#This Row], 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ht="18.75" customHeight="1" x14ac:dyDescent="0.35">
      <c r="C1270" s="100" t="str">
        <f>IF(OR(Fact_Cumplimiento[[#This Row], [Año]]="",Fact_Cumplimiento[[#This Row], [Mes]]=""),"",DATE(A1270,MATCH(B1270,{"enero","febrero","marzo","abril","mayo","junio","julio","agosto","septiembre","octubre","noviembre","diciembre"},0)+1,0))</f>
        <v/>
      </c>
      <c r="E1270" t="str">
        <f>+IFERROR(VLOOKUP(Fact_Cumplimiento[[#This Row], [Concepto Anterior]],Conceptos_Cumplimiento[#All],5,0),"")</f>
        <v/>
      </c>
      <c r="F1270" t="str">
        <f>+IFERROR(VLOOKUP(Fact_Cumplimiento[[#This Row], 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ht="18.75" customHeight="1" x14ac:dyDescent="0.35">
      <c r="C1271" s="100" t="str">
        <f>IF(OR(Fact_Cumplimiento[[#This Row], [Año]]="",Fact_Cumplimiento[[#This Row], [Mes]]=""),"",DATE(A1271,MATCH(B1271,{"enero","febrero","marzo","abril","mayo","junio","julio","agosto","septiembre","octubre","noviembre","diciembre"},0)+1,0))</f>
        <v/>
      </c>
      <c r="E1271" t="str">
        <f>+IFERROR(VLOOKUP(Fact_Cumplimiento[[#This Row], [Concepto Anterior]],Conceptos_Cumplimiento[#All],5,0),"")</f>
        <v/>
      </c>
      <c r="F1271" t="str">
        <f>+IFERROR(VLOOKUP(Fact_Cumplimiento[[#This Row], 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ht="18.75" customHeight="1" x14ac:dyDescent="0.35">
      <c r="C1272" s="100" t="str">
        <f>IF(OR(Fact_Cumplimiento[[#This Row], [Año]]="",Fact_Cumplimiento[[#This Row], [Mes]]=""),"",DATE(A1272,MATCH(B1272,{"enero","febrero","marzo","abril","mayo","junio","julio","agosto","septiembre","octubre","noviembre","diciembre"},0)+1,0))</f>
        <v/>
      </c>
      <c r="E1272" t="str">
        <f>+IFERROR(VLOOKUP(Fact_Cumplimiento[[#This Row], [Concepto Anterior]],Conceptos_Cumplimiento[#All],5,0),"")</f>
        <v/>
      </c>
      <c r="F1272" t="str">
        <f>+IFERROR(VLOOKUP(Fact_Cumplimiento[[#This Row], 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ht="18.75" customHeight="1" x14ac:dyDescent="0.35">
      <c r="C1273" s="100" t="str">
        <f>IF(OR(Fact_Cumplimiento[[#This Row], [Año]]="",Fact_Cumplimiento[[#This Row], [Mes]]=""),"",DATE(A1273,MATCH(B1273,{"enero","febrero","marzo","abril","mayo","junio","julio","agosto","septiembre","octubre","noviembre","diciembre"},0)+1,0))</f>
        <v/>
      </c>
      <c r="E1273" t="str">
        <f>+IFERROR(VLOOKUP(Fact_Cumplimiento[[#This Row], [Concepto Anterior]],Conceptos_Cumplimiento[#All],5,0),"")</f>
        <v/>
      </c>
      <c r="F1273" t="str">
        <f>+IFERROR(VLOOKUP(Fact_Cumplimiento[[#This Row], 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ht="18.75" customHeight="1" x14ac:dyDescent="0.35">
      <c r="C1274" s="100" t="str">
        <f>IF(OR(Fact_Cumplimiento[[#This Row], [Año]]="",Fact_Cumplimiento[[#This Row], [Mes]]=""),"",DATE(A1274,MATCH(B1274,{"enero","febrero","marzo","abril","mayo","junio","julio","agosto","septiembre","octubre","noviembre","diciembre"},0)+1,0))</f>
        <v/>
      </c>
      <c r="E1274" t="str">
        <f>+IFERROR(VLOOKUP(Fact_Cumplimiento[[#This Row], [Concepto Anterior]],Conceptos_Cumplimiento[#All],5,0),"")</f>
        <v/>
      </c>
      <c r="F1274" t="str">
        <f>+IFERROR(VLOOKUP(Fact_Cumplimiento[[#This Row], 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ht="18.75" customHeight="1" x14ac:dyDescent="0.35">
      <c r="C1275" s="100" t="str">
        <f>IF(OR(Fact_Cumplimiento[[#This Row], [Año]]="",Fact_Cumplimiento[[#This Row], [Mes]]=""),"",DATE(A1275,MATCH(B1275,{"enero","febrero","marzo","abril","mayo","junio","julio","agosto","septiembre","octubre","noviembre","diciembre"},0)+1,0))</f>
        <v/>
      </c>
      <c r="E1275" t="str">
        <f>+IFERROR(VLOOKUP(Fact_Cumplimiento[[#This Row], [Concepto Anterior]],Conceptos_Cumplimiento[#All],5,0),"")</f>
        <v/>
      </c>
      <c r="F1275" t="str">
        <f>+IFERROR(VLOOKUP(Fact_Cumplimiento[[#This Row], 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ht="18.75" customHeight="1" x14ac:dyDescent="0.35">
      <c r="C1276" s="100" t="str">
        <f>IF(OR(Fact_Cumplimiento[[#This Row], [Año]]="",Fact_Cumplimiento[[#This Row], [Mes]]=""),"",DATE(A1276,MATCH(B1276,{"enero","febrero","marzo","abril","mayo","junio","julio","agosto","septiembre","octubre","noviembre","diciembre"},0)+1,0))</f>
        <v/>
      </c>
      <c r="E1276" t="str">
        <f>+IFERROR(VLOOKUP(Fact_Cumplimiento[[#This Row], [Concepto Anterior]],Conceptos_Cumplimiento[#All],5,0),"")</f>
        <v/>
      </c>
      <c r="F1276" t="str">
        <f>+IFERROR(VLOOKUP(Fact_Cumplimiento[[#This Row], 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ht="18.75" customHeight="1" x14ac:dyDescent="0.35">
      <c r="C1277" s="100" t="str">
        <f>IF(OR(Fact_Cumplimiento[[#This Row], [Año]]="",Fact_Cumplimiento[[#This Row], [Mes]]=""),"",DATE(A1277,MATCH(B1277,{"enero","febrero","marzo","abril","mayo","junio","julio","agosto","septiembre","octubre","noviembre","diciembre"},0)+1,0))</f>
        <v/>
      </c>
      <c r="E1277" t="str">
        <f>+IFERROR(VLOOKUP(Fact_Cumplimiento[[#This Row], [Concepto Anterior]],Conceptos_Cumplimiento[#All],5,0),"")</f>
        <v/>
      </c>
      <c r="F1277" t="str">
        <f>+IFERROR(VLOOKUP(Fact_Cumplimiento[[#This Row], 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ht="18.75" customHeight="1" x14ac:dyDescent="0.35">
      <c r="C1278" s="100" t="str">
        <f>IF(OR(Fact_Cumplimiento[[#This Row], [Año]]="",Fact_Cumplimiento[[#This Row], [Mes]]=""),"",DATE(A1278,MATCH(B1278,{"enero","febrero","marzo","abril","mayo","junio","julio","agosto","septiembre","octubre","noviembre","diciembre"},0)+1,0))</f>
        <v/>
      </c>
      <c r="E1278" t="str">
        <f>+IFERROR(VLOOKUP(Fact_Cumplimiento[[#This Row], [Concepto Anterior]],Conceptos_Cumplimiento[#All],5,0),"")</f>
        <v/>
      </c>
      <c r="F1278" t="str">
        <f>+IFERROR(VLOOKUP(Fact_Cumplimiento[[#This Row], 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ht="18.75" customHeight="1" x14ac:dyDescent="0.35">
      <c r="C1279" s="100" t="str">
        <f>IF(OR(Fact_Cumplimiento[[#This Row], [Año]]="",Fact_Cumplimiento[[#This Row], [Mes]]=""),"",DATE(A1279,MATCH(B1279,{"enero","febrero","marzo","abril","mayo","junio","julio","agosto","septiembre","octubre","noviembre","diciembre"},0)+1,0))</f>
        <v/>
      </c>
      <c r="E1279" t="str">
        <f>+IFERROR(VLOOKUP(Fact_Cumplimiento[[#This Row], [Concepto Anterior]],Conceptos_Cumplimiento[#All],5,0),"")</f>
        <v/>
      </c>
      <c r="F1279" t="str">
        <f>+IFERROR(VLOOKUP(Fact_Cumplimiento[[#This Row], 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ht="18.75" customHeight="1" x14ac:dyDescent="0.35">
      <c r="C1280" s="100" t="str">
        <f>IF(OR(Fact_Cumplimiento[[#This Row], [Año]]="",Fact_Cumplimiento[[#This Row], [Mes]]=""),"",DATE(A1280,MATCH(B1280,{"enero","febrero","marzo","abril","mayo","junio","julio","agosto","septiembre","octubre","noviembre","diciembre"},0)+1,0))</f>
        <v/>
      </c>
      <c r="E1280" t="str">
        <f>+IFERROR(VLOOKUP(Fact_Cumplimiento[[#This Row], [Concepto Anterior]],Conceptos_Cumplimiento[#All],5,0),"")</f>
        <v/>
      </c>
      <c r="F1280" t="str">
        <f>+IFERROR(VLOOKUP(Fact_Cumplimiento[[#This Row], 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ht="18.75" customHeight="1" x14ac:dyDescent="0.35">
      <c r="C1281" s="100" t="str">
        <f>IF(OR(Fact_Cumplimiento[[#This Row], [Año]]="",Fact_Cumplimiento[[#This Row], [Mes]]=""),"",DATE(A1281,MATCH(B1281,{"enero","febrero","marzo","abril","mayo","junio","julio","agosto","septiembre","octubre","noviembre","diciembre"},0)+1,0))</f>
        <v/>
      </c>
      <c r="E1281" t="str">
        <f>+IFERROR(VLOOKUP(Fact_Cumplimiento[[#This Row], [Concepto Anterior]],Conceptos_Cumplimiento[#All],5,0),"")</f>
        <v/>
      </c>
      <c r="F1281" t="str">
        <f>+IFERROR(VLOOKUP(Fact_Cumplimiento[[#This Row], 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ht="18.75" customHeight="1" x14ac:dyDescent="0.35">
      <c r="C1282" s="100" t="str">
        <f>IF(OR(Fact_Cumplimiento[[#This Row], [Año]]="",Fact_Cumplimiento[[#This Row], [Mes]]=""),"",DATE(A1282,MATCH(B1282,{"enero","febrero","marzo","abril","mayo","junio","julio","agosto","septiembre","octubre","noviembre","diciembre"},0)+1,0))</f>
        <v/>
      </c>
      <c r="E1282" t="str">
        <f>+IFERROR(VLOOKUP(Fact_Cumplimiento[[#This Row], [Concepto Anterior]],Conceptos_Cumplimiento[#All],5,0),"")</f>
        <v/>
      </c>
      <c r="F1282" t="str">
        <f>+IFERROR(VLOOKUP(Fact_Cumplimiento[[#This Row], 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ht="18.75" customHeight="1" x14ac:dyDescent="0.35">
      <c r="C1283" s="100" t="str">
        <f>IF(OR(Fact_Cumplimiento[[#This Row], [Año]]="",Fact_Cumplimiento[[#This Row], [Mes]]=""),"",DATE(A1283,MATCH(B1283,{"enero","febrero","marzo","abril","mayo","junio","julio","agosto","septiembre","octubre","noviembre","diciembre"},0)+1,0))</f>
        <v/>
      </c>
      <c r="E1283" t="str">
        <f>+IFERROR(VLOOKUP(Fact_Cumplimiento[[#This Row], [Concepto Anterior]],Conceptos_Cumplimiento[#All],5,0),"")</f>
        <v/>
      </c>
      <c r="F1283" t="str">
        <f>+IFERROR(VLOOKUP(Fact_Cumplimiento[[#This Row], 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ht="18.75" customHeight="1" x14ac:dyDescent="0.35">
      <c r="C1284" s="100" t="str">
        <f>IF(OR(Fact_Cumplimiento[[#This Row], [Año]]="",Fact_Cumplimiento[[#This Row], [Mes]]=""),"",DATE(A1284,MATCH(B1284,{"enero","febrero","marzo","abril","mayo","junio","julio","agosto","septiembre","octubre","noviembre","diciembre"},0)+1,0))</f>
        <v/>
      </c>
      <c r="E1284" t="str">
        <f>+IFERROR(VLOOKUP(Fact_Cumplimiento[[#This Row], [Concepto Anterior]],Conceptos_Cumplimiento[#All],5,0),"")</f>
        <v/>
      </c>
      <c r="F1284" t="str">
        <f>+IFERROR(VLOOKUP(Fact_Cumplimiento[[#This Row], 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ht="18.75" customHeight="1" x14ac:dyDescent="0.35">
      <c r="C1285" s="100" t="str">
        <f>IF(OR(Fact_Cumplimiento[[#This Row], [Año]]="",Fact_Cumplimiento[[#This Row], [Mes]]=""),"",DATE(A1285,MATCH(B1285,{"enero","febrero","marzo","abril","mayo","junio","julio","agosto","septiembre","octubre","noviembre","diciembre"},0)+1,0))</f>
        <v/>
      </c>
      <c r="E1285" t="str">
        <f>+IFERROR(VLOOKUP(Fact_Cumplimiento[[#This Row], [Concepto Anterior]],Conceptos_Cumplimiento[#All],5,0),"")</f>
        <v/>
      </c>
      <c r="F1285" t="str">
        <f>+IFERROR(VLOOKUP(Fact_Cumplimiento[[#This Row], 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ht="18.75" customHeight="1" x14ac:dyDescent="0.35">
      <c r="C1286" s="100" t="str">
        <f>IF(OR(Fact_Cumplimiento[[#This Row], [Año]]="",Fact_Cumplimiento[[#This Row], [Mes]]=""),"",DATE(A1286,MATCH(B1286,{"enero","febrero","marzo","abril","mayo","junio","julio","agosto","septiembre","octubre","noviembre","diciembre"},0)+1,0))</f>
        <v/>
      </c>
      <c r="E1286" t="str">
        <f>+IFERROR(VLOOKUP(Fact_Cumplimiento[[#This Row], [Concepto Anterior]],Conceptos_Cumplimiento[#All],5,0),"")</f>
        <v/>
      </c>
      <c r="F1286" t="str">
        <f>+IFERROR(VLOOKUP(Fact_Cumplimiento[[#This Row], 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ht="18.75" customHeight="1" x14ac:dyDescent="0.35">
      <c r="C1287" s="100" t="str">
        <f>IF(OR(Fact_Cumplimiento[[#This Row], [Año]]="",Fact_Cumplimiento[[#This Row], [Mes]]=""),"",DATE(A1287,MATCH(B1287,{"enero","febrero","marzo","abril","mayo","junio","julio","agosto","septiembre","octubre","noviembre","diciembre"},0)+1,0))</f>
        <v/>
      </c>
      <c r="E1287" t="str">
        <f>+IFERROR(VLOOKUP(Fact_Cumplimiento[[#This Row], [Concepto Anterior]],Conceptos_Cumplimiento[#All],5,0),"")</f>
        <v/>
      </c>
      <c r="F1287" t="str">
        <f>+IFERROR(VLOOKUP(Fact_Cumplimiento[[#This Row], 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ht="18.75" customHeight="1" x14ac:dyDescent="0.35">
      <c r="C1288" s="100" t="str">
        <f>IF(OR(Fact_Cumplimiento[[#This Row], [Año]]="",Fact_Cumplimiento[[#This Row], [Mes]]=""),"",DATE(A1288,MATCH(B1288,{"enero","febrero","marzo","abril","mayo","junio","julio","agosto","septiembre","octubre","noviembre","diciembre"},0)+1,0))</f>
        <v/>
      </c>
      <c r="E1288" t="str">
        <f>+IFERROR(VLOOKUP(Fact_Cumplimiento[[#This Row], [Concepto Anterior]],Conceptos_Cumplimiento[#All],5,0),"")</f>
        <v/>
      </c>
      <c r="F1288" t="str">
        <f>+IFERROR(VLOOKUP(Fact_Cumplimiento[[#This Row], 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ht="18.75" customHeight="1" x14ac:dyDescent="0.35">
      <c r="C1289" s="100" t="str">
        <f>IF(OR(Fact_Cumplimiento[[#This Row], [Año]]="",Fact_Cumplimiento[[#This Row], [Mes]]=""),"",DATE(A1289,MATCH(B1289,{"enero","febrero","marzo","abril","mayo","junio","julio","agosto","septiembre","octubre","noviembre","diciembre"},0)+1,0))</f>
        <v/>
      </c>
      <c r="E1289" t="str">
        <f>+IFERROR(VLOOKUP(Fact_Cumplimiento[[#This Row], [Concepto Anterior]],Conceptos_Cumplimiento[#All],5,0),"")</f>
        <v/>
      </c>
      <c r="F1289" t="str">
        <f>+IFERROR(VLOOKUP(Fact_Cumplimiento[[#This Row], 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ht="18.75" customHeight="1" x14ac:dyDescent="0.35">
      <c r="C1290" s="100" t="str">
        <f>IF(OR(Fact_Cumplimiento[[#This Row], [Año]]="",Fact_Cumplimiento[[#This Row], [Mes]]=""),"",DATE(A1290,MATCH(B1290,{"enero","febrero","marzo","abril","mayo","junio","julio","agosto","septiembre","octubre","noviembre","diciembre"},0)+1,0))</f>
        <v/>
      </c>
      <c r="E1290" t="str">
        <f>+IFERROR(VLOOKUP(Fact_Cumplimiento[[#This Row], [Concepto Anterior]],Conceptos_Cumplimiento[#All],5,0),"")</f>
        <v/>
      </c>
      <c r="F1290" t="str">
        <f>+IFERROR(VLOOKUP(Fact_Cumplimiento[[#This Row], 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ht="18.75" customHeight="1" x14ac:dyDescent="0.35">
      <c r="C1291" s="100" t="str">
        <f>IF(OR(Fact_Cumplimiento[[#This Row], [Año]]="",Fact_Cumplimiento[[#This Row], [Mes]]=""),"",DATE(A1291,MATCH(B1291,{"enero","febrero","marzo","abril","mayo","junio","julio","agosto","septiembre","octubre","noviembre","diciembre"},0)+1,0))</f>
        <v/>
      </c>
      <c r="E1291" t="str">
        <f>+IFERROR(VLOOKUP(Fact_Cumplimiento[[#This Row], [Concepto Anterior]],Conceptos_Cumplimiento[#All],5,0),"")</f>
        <v/>
      </c>
      <c r="F1291" t="str">
        <f>+IFERROR(VLOOKUP(Fact_Cumplimiento[[#This Row], 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ht="18.75" customHeight="1" x14ac:dyDescent="0.35">
      <c r="C1292" s="100" t="str">
        <f>IF(OR(Fact_Cumplimiento[[#This Row], [Año]]="",Fact_Cumplimiento[[#This Row], [Mes]]=""),"",DATE(A1292,MATCH(B1292,{"enero","febrero","marzo","abril","mayo","junio","julio","agosto","septiembre","octubre","noviembre","diciembre"},0)+1,0))</f>
        <v/>
      </c>
      <c r="E1292" t="str">
        <f>+IFERROR(VLOOKUP(Fact_Cumplimiento[[#This Row], [Concepto Anterior]],Conceptos_Cumplimiento[#All],5,0),"")</f>
        <v/>
      </c>
      <c r="F1292" t="str">
        <f>+IFERROR(VLOOKUP(Fact_Cumplimiento[[#This Row], 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ht="18.75" customHeight="1" x14ac:dyDescent="0.35">
      <c r="C1293" s="100" t="str">
        <f>IF(OR(Fact_Cumplimiento[[#This Row], [Año]]="",Fact_Cumplimiento[[#This Row], [Mes]]=""),"",DATE(A1293,MATCH(B1293,{"enero","febrero","marzo","abril","mayo","junio","julio","agosto","septiembre","octubre","noviembre","diciembre"},0)+1,0))</f>
        <v/>
      </c>
      <c r="E1293" t="str">
        <f>+IFERROR(VLOOKUP(Fact_Cumplimiento[[#This Row], [Concepto Anterior]],Conceptos_Cumplimiento[#All],5,0),"")</f>
        <v/>
      </c>
      <c r="F1293" t="str">
        <f>+IFERROR(VLOOKUP(Fact_Cumplimiento[[#This Row], 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ht="18.75" customHeight="1" x14ac:dyDescent="0.35">
      <c r="C1294" s="100" t="str">
        <f>IF(OR(Fact_Cumplimiento[[#This Row], [Año]]="",Fact_Cumplimiento[[#This Row], [Mes]]=""),"",DATE(A1294,MATCH(B1294,{"enero","febrero","marzo","abril","mayo","junio","julio","agosto","septiembre","octubre","noviembre","diciembre"},0)+1,0))</f>
        <v/>
      </c>
      <c r="E1294" t="str">
        <f>+IFERROR(VLOOKUP(Fact_Cumplimiento[[#This Row], [Concepto Anterior]],Conceptos_Cumplimiento[#All],5,0),"")</f>
        <v/>
      </c>
      <c r="F1294" t="str">
        <f>+IFERROR(VLOOKUP(Fact_Cumplimiento[[#This Row], 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ht="18.75" customHeight="1" x14ac:dyDescent="0.35">
      <c r="C1295" s="100" t="str">
        <f>IF(OR(Fact_Cumplimiento[[#This Row], [Año]]="",Fact_Cumplimiento[[#This Row], [Mes]]=""),"",DATE(A1295,MATCH(B1295,{"enero","febrero","marzo","abril","mayo","junio","julio","agosto","septiembre","octubre","noviembre","diciembre"},0)+1,0))</f>
        <v/>
      </c>
      <c r="E1295" t="str">
        <f>+IFERROR(VLOOKUP(Fact_Cumplimiento[[#This Row], [Concepto Anterior]],Conceptos_Cumplimiento[#All],5,0),"")</f>
        <v/>
      </c>
      <c r="F1295" t="str">
        <f>+IFERROR(VLOOKUP(Fact_Cumplimiento[[#This Row], 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ht="18.75" customHeight="1" x14ac:dyDescent="0.35">
      <c r="C1296" s="100" t="str">
        <f>IF(OR(Fact_Cumplimiento[[#This Row], [Año]]="",Fact_Cumplimiento[[#This Row], [Mes]]=""),"",DATE(A1296,MATCH(B1296,{"enero","febrero","marzo","abril","mayo","junio","julio","agosto","septiembre","octubre","noviembre","diciembre"},0)+1,0))</f>
        <v/>
      </c>
      <c r="E1296" t="str">
        <f>+IFERROR(VLOOKUP(Fact_Cumplimiento[[#This Row], [Concepto Anterior]],Conceptos_Cumplimiento[#All],5,0),"")</f>
        <v/>
      </c>
      <c r="F1296" t="str">
        <f>+IFERROR(VLOOKUP(Fact_Cumplimiento[[#This Row], 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ht="18.75" customHeight="1" x14ac:dyDescent="0.35">
      <c r="C1297" s="100" t="str">
        <f>IF(OR(Fact_Cumplimiento[[#This Row], [Año]]="",Fact_Cumplimiento[[#This Row], [Mes]]=""),"",DATE(A1297,MATCH(B1297,{"enero","febrero","marzo","abril","mayo","junio","julio","agosto","septiembre","octubre","noviembre","diciembre"},0)+1,0))</f>
        <v/>
      </c>
      <c r="E1297" t="str">
        <f>+IFERROR(VLOOKUP(Fact_Cumplimiento[[#This Row], [Concepto Anterior]],Conceptos_Cumplimiento[#All],5,0),"")</f>
        <v/>
      </c>
      <c r="F1297" t="str">
        <f>+IFERROR(VLOOKUP(Fact_Cumplimiento[[#This Row], 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ht="18.75" customHeight="1" x14ac:dyDescent="0.35">
      <c r="C1298" s="100" t="str">
        <f>IF(OR(Fact_Cumplimiento[[#This Row], [Año]]="",Fact_Cumplimiento[[#This Row], [Mes]]=""),"",DATE(A1298,MATCH(B1298,{"enero","febrero","marzo","abril","mayo","junio","julio","agosto","septiembre","octubre","noviembre","diciembre"},0)+1,0))</f>
        <v/>
      </c>
      <c r="E1298" t="str">
        <f>+IFERROR(VLOOKUP(Fact_Cumplimiento[[#This Row], [Concepto Anterior]],Conceptos_Cumplimiento[#All],5,0),"")</f>
        <v/>
      </c>
      <c r="F1298" t="str">
        <f>+IFERROR(VLOOKUP(Fact_Cumplimiento[[#This Row], 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ht="18.75" customHeight="1" x14ac:dyDescent="0.35">
      <c r="C1299" s="100" t="str">
        <f>IF(OR(Fact_Cumplimiento[[#This Row], [Año]]="",Fact_Cumplimiento[[#This Row], [Mes]]=""),"",DATE(A1299,MATCH(B1299,{"enero","febrero","marzo","abril","mayo","junio","julio","agosto","septiembre","octubre","noviembre","diciembre"},0)+1,0))</f>
        <v/>
      </c>
      <c r="E1299" t="str">
        <f>+IFERROR(VLOOKUP(Fact_Cumplimiento[[#This Row], [Concepto Anterior]],Conceptos_Cumplimiento[#All],5,0),"")</f>
        <v/>
      </c>
      <c r="F1299" t="str">
        <f>+IFERROR(VLOOKUP(Fact_Cumplimiento[[#This Row], 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ht="18.75" customHeight="1" x14ac:dyDescent="0.35">
      <c r="C1300" s="100" t="str">
        <f>IF(OR(Fact_Cumplimiento[[#This Row], [Año]]="",Fact_Cumplimiento[[#This Row], [Mes]]=""),"",DATE(A1300,MATCH(B1300,{"enero","febrero","marzo","abril","mayo","junio","julio","agosto","septiembre","octubre","noviembre","diciembre"},0)+1,0))</f>
        <v/>
      </c>
      <c r="E1300" t="str">
        <f>+IFERROR(VLOOKUP(Fact_Cumplimiento[[#This Row], [Concepto Anterior]],Conceptos_Cumplimiento[#All],5,0),"")</f>
        <v/>
      </c>
      <c r="F1300" t="str">
        <f>+IFERROR(VLOOKUP(Fact_Cumplimiento[[#This Row], 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ht="18.75" customHeight="1" x14ac:dyDescent="0.35">
      <c r="C1301" s="100" t="str">
        <f>IF(OR(Fact_Cumplimiento[[#This Row], [Año]]="",Fact_Cumplimiento[[#This Row], [Mes]]=""),"",DATE(A1301,MATCH(B1301,{"enero","febrero","marzo","abril","mayo","junio","julio","agosto","septiembre","octubre","noviembre","diciembre"},0)+1,0))</f>
        <v/>
      </c>
      <c r="E1301" t="str">
        <f>+IFERROR(VLOOKUP(Fact_Cumplimiento[[#This Row], [Concepto Anterior]],Conceptos_Cumplimiento[#All],5,0),"")</f>
        <v/>
      </c>
      <c r="F1301" t="str">
        <f>+IFERROR(VLOOKUP(Fact_Cumplimiento[[#This Row], 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ht="18.75" customHeight="1" x14ac:dyDescent="0.35">
      <c r="C1302" s="100" t="str">
        <f>IF(OR(Fact_Cumplimiento[[#This Row], [Año]]="",Fact_Cumplimiento[[#This Row], [Mes]]=""),"",DATE(A1302,MATCH(B1302,{"enero","febrero","marzo","abril","mayo","junio","julio","agosto","septiembre","octubre","noviembre","diciembre"},0)+1,0))</f>
        <v/>
      </c>
      <c r="E1302" t="str">
        <f>+IFERROR(VLOOKUP(Fact_Cumplimiento[[#This Row], [Concepto Anterior]],Conceptos_Cumplimiento[#All],5,0),"")</f>
        <v/>
      </c>
      <c r="F1302" t="str">
        <f>+IFERROR(VLOOKUP(Fact_Cumplimiento[[#This Row], 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ht="18.75" customHeight="1" x14ac:dyDescent="0.35">
      <c r="C1303" s="100" t="str">
        <f>IF(OR(Fact_Cumplimiento[[#This Row], [Año]]="",Fact_Cumplimiento[[#This Row], [Mes]]=""),"",DATE(A1303,MATCH(B1303,{"enero","febrero","marzo","abril","mayo","junio","julio","agosto","septiembre","octubre","noviembre","diciembre"},0)+1,0))</f>
        <v/>
      </c>
      <c r="E1303" t="str">
        <f>+IFERROR(VLOOKUP(Fact_Cumplimiento[[#This Row], [Concepto Anterior]],Conceptos_Cumplimiento[#All],5,0),"")</f>
        <v/>
      </c>
      <c r="F1303" t="str">
        <f>+IFERROR(VLOOKUP(Fact_Cumplimiento[[#This Row], 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ht="18.75" customHeight="1" x14ac:dyDescent="0.35">
      <c r="C1304" s="100" t="str">
        <f>IF(OR(Fact_Cumplimiento[[#This Row], [Año]]="",Fact_Cumplimiento[[#This Row], [Mes]]=""),"",DATE(A1304,MATCH(B1304,{"enero","febrero","marzo","abril","mayo","junio","julio","agosto","septiembre","octubre","noviembre","diciembre"},0)+1,0))</f>
        <v/>
      </c>
      <c r="E1304" t="str">
        <f>+IFERROR(VLOOKUP(Fact_Cumplimiento[[#This Row], [Concepto Anterior]],Conceptos_Cumplimiento[#All],5,0),"")</f>
        <v/>
      </c>
      <c r="F1304" t="str">
        <f>+IFERROR(VLOOKUP(Fact_Cumplimiento[[#This Row], 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ht="18.75" customHeight="1" x14ac:dyDescent="0.35">
      <c r="C1305" s="100" t="str">
        <f>IF(OR(Fact_Cumplimiento[[#This Row], [Año]]="",Fact_Cumplimiento[[#This Row], [Mes]]=""),"",DATE(A1305,MATCH(B1305,{"enero","febrero","marzo","abril","mayo","junio","julio","agosto","septiembre","octubre","noviembre","diciembre"},0)+1,0))</f>
        <v/>
      </c>
      <c r="E1305" t="str">
        <f>+IFERROR(VLOOKUP(Fact_Cumplimiento[[#This Row], [Concepto Anterior]],Conceptos_Cumplimiento[#All],5,0),"")</f>
        <v/>
      </c>
      <c r="F1305" t="str">
        <f>+IFERROR(VLOOKUP(Fact_Cumplimiento[[#This Row], 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ht="18.75" customHeight="1" x14ac:dyDescent="0.35">
      <c r="C1306" s="100" t="str">
        <f>IF(OR(Fact_Cumplimiento[[#This Row], [Año]]="",Fact_Cumplimiento[[#This Row], [Mes]]=""),"",DATE(A1306,MATCH(B1306,{"enero","febrero","marzo","abril","mayo","junio","julio","agosto","septiembre","octubre","noviembre","diciembre"},0)+1,0))</f>
        <v/>
      </c>
      <c r="E1306" t="str">
        <f>+IFERROR(VLOOKUP(Fact_Cumplimiento[[#This Row], [Concepto Anterior]],Conceptos_Cumplimiento[#All],5,0),"")</f>
        <v/>
      </c>
      <c r="F1306" t="str">
        <f>+IFERROR(VLOOKUP(Fact_Cumplimiento[[#This Row], 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ht="18.75" customHeight="1" x14ac:dyDescent="0.35">
      <c r="C1307" s="100" t="str">
        <f>IF(OR(Fact_Cumplimiento[[#This Row], [Año]]="",Fact_Cumplimiento[[#This Row], [Mes]]=""),"",DATE(A1307,MATCH(B1307,{"enero","febrero","marzo","abril","mayo","junio","julio","agosto","septiembre","octubre","noviembre","diciembre"},0)+1,0))</f>
        <v/>
      </c>
      <c r="E1307" t="str">
        <f>+IFERROR(VLOOKUP(Fact_Cumplimiento[[#This Row], [Concepto Anterior]],Conceptos_Cumplimiento[#All],5,0),"")</f>
        <v/>
      </c>
      <c r="F1307" t="str">
        <f>+IFERROR(VLOOKUP(Fact_Cumplimiento[[#This Row], 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ht="18.75" customHeight="1" x14ac:dyDescent="0.35">
      <c r="C1308" s="100" t="str">
        <f>IF(OR(Fact_Cumplimiento[[#This Row], [Año]]="",Fact_Cumplimiento[[#This Row], [Mes]]=""),"",DATE(A1308,MATCH(B1308,{"enero","febrero","marzo","abril","mayo","junio","julio","agosto","septiembre","octubre","noviembre","diciembre"},0)+1,0))</f>
        <v/>
      </c>
      <c r="E1308" t="str">
        <f>+IFERROR(VLOOKUP(Fact_Cumplimiento[[#This Row], [Concepto Anterior]],Conceptos_Cumplimiento[#All],5,0),"")</f>
        <v/>
      </c>
      <c r="F1308" t="str">
        <f>+IFERROR(VLOOKUP(Fact_Cumplimiento[[#This Row], 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ht="18.75" customHeight="1" x14ac:dyDescent="0.35">
      <c r="C1309" s="100" t="str">
        <f>IF(OR(Fact_Cumplimiento[[#This Row], [Año]]="",Fact_Cumplimiento[[#This Row], [Mes]]=""),"",DATE(A1309,MATCH(B1309,{"enero","febrero","marzo","abril","mayo","junio","julio","agosto","septiembre","octubre","noviembre","diciembre"},0)+1,0))</f>
        <v/>
      </c>
      <c r="E1309" t="str">
        <f>+IFERROR(VLOOKUP(Fact_Cumplimiento[[#This Row], [Concepto Anterior]],Conceptos_Cumplimiento[#All],5,0),"")</f>
        <v/>
      </c>
      <c r="F1309" t="str">
        <f>+IFERROR(VLOOKUP(Fact_Cumplimiento[[#This Row], 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ht="18.75" customHeight="1" x14ac:dyDescent="0.35">
      <c r="C1310" s="100" t="str">
        <f>IF(OR(Fact_Cumplimiento[[#This Row], [Año]]="",Fact_Cumplimiento[[#This Row], [Mes]]=""),"",DATE(A1310,MATCH(B1310,{"enero","febrero","marzo","abril","mayo","junio","julio","agosto","septiembre","octubre","noviembre","diciembre"},0)+1,0))</f>
        <v/>
      </c>
      <c r="E1310" t="str">
        <f>+IFERROR(VLOOKUP(Fact_Cumplimiento[[#This Row], [Concepto Anterior]],Conceptos_Cumplimiento[#All],5,0),"")</f>
        <v/>
      </c>
      <c r="F1310" t="str">
        <f>+IFERROR(VLOOKUP(Fact_Cumplimiento[[#This Row], 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ht="18.75" customHeight="1" x14ac:dyDescent="0.35">
      <c r="C1311" s="100" t="str">
        <f>IF(OR(Fact_Cumplimiento[[#This Row], [Año]]="",Fact_Cumplimiento[[#This Row], [Mes]]=""),"",DATE(A1311,MATCH(B1311,{"enero","febrero","marzo","abril","mayo","junio","julio","agosto","septiembre","octubre","noviembre","diciembre"},0)+1,0))</f>
        <v/>
      </c>
      <c r="E1311" t="str">
        <f>+IFERROR(VLOOKUP(Fact_Cumplimiento[[#This Row], [Concepto Anterior]],Conceptos_Cumplimiento[#All],5,0),"")</f>
        <v/>
      </c>
      <c r="F1311" t="str">
        <f>+IFERROR(VLOOKUP(Fact_Cumplimiento[[#This Row], 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ht="18.75" customHeight="1" x14ac:dyDescent="0.35">
      <c r="C1312" s="100" t="str">
        <f>IF(OR(Fact_Cumplimiento[[#This Row], [Año]]="",Fact_Cumplimiento[[#This Row], [Mes]]=""),"",DATE(A1312,MATCH(B1312,{"enero","febrero","marzo","abril","mayo","junio","julio","agosto","septiembre","octubre","noviembre","diciembre"},0)+1,0))</f>
        <v/>
      </c>
      <c r="E1312" t="str">
        <f>+IFERROR(VLOOKUP(Fact_Cumplimiento[[#This Row], [Concepto Anterior]],Conceptos_Cumplimiento[#All],5,0),"")</f>
        <v/>
      </c>
      <c r="F1312" t="str">
        <f>+IFERROR(VLOOKUP(Fact_Cumplimiento[[#This Row], 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ht="18.75" customHeight="1" x14ac:dyDescent="0.35">
      <c r="C1313" s="100" t="str">
        <f>IF(OR(Fact_Cumplimiento[[#This Row], [Año]]="",Fact_Cumplimiento[[#This Row], [Mes]]=""),"",DATE(A1313,MATCH(B1313,{"enero","febrero","marzo","abril","mayo","junio","julio","agosto","septiembre","octubre","noviembre","diciembre"},0)+1,0))</f>
        <v/>
      </c>
      <c r="E1313" t="str">
        <f>+IFERROR(VLOOKUP(Fact_Cumplimiento[[#This Row], [Concepto Anterior]],Conceptos_Cumplimiento[#All],5,0),"")</f>
        <v/>
      </c>
      <c r="F1313" t="str">
        <f>+IFERROR(VLOOKUP(Fact_Cumplimiento[[#This Row], 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ht="18.75" customHeight="1" x14ac:dyDescent="0.35">
      <c r="C1314" s="100" t="str">
        <f>IF(OR(Fact_Cumplimiento[[#This Row], [Año]]="",Fact_Cumplimiento[[#This Row], [Mes]]=""),"",DATE(A1314,MATCH(B1314,{"enero","febrero","marzo","abril","mayo","junio","julio","agosto","septiembre","octubre","noviembre","diciembre"},0)+1,0))</f>
        <v/>
      </c>
      <c r="E1314" t="str">
        <f>+IFERROR(VLOOKUP(Fact_Cumplimiento[[#This Row], [Concepto Anterior]],Conceptos_Cumplimiento[#All],5,0),"")</f>
        <v/>
      </c>
      <c r="F1314" t="str">
        <f>+IFERROR(VLOOKUP(Fact_Cumplimiento[[#This Row], 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ht="18.75" customHeight="1" x14ac:dyDescent="0.35">
      <c r="C1315" s="100" t="str">
        <f>IF(OR(Fact_Cumplimiento[[#This Row], [Año]]="",Fact_Cumplimiento[[#This Row], [Mes]]=""),"",DATE(A1315,MATCH(B1315,{"enero","febrero","marzo","abril","mayo","junio","julio","agosto","septiembre","octubre","noviembre","diciembre"},0)+1,0))</f>
        <v/>
      </c>
      <c r="E1315" t="str">
        <f>+IFERROR(VLOOKUP(Fact_Cumplimiento[[#This Row], [Concepto Anterior]],Conceptos_Cumplimiento[#All],5,0),"")</f>
        <v/>
      </c>
      <c r="F1315" t="str">
        <f>+IFERROR(VLOOKUP(Fact_Cumplimiento[[#This Row], 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ht="18.75" customHeight="1" x14ac:dyDescent="0.35">
      <c r="C1316" s="100" t="str">
        <f>IF(OR(Fact_Cumplimiento[[#This Row], [Año]]="",Fact_Cumplimiento[[#This Row], [Mes]]=""),"",DATE(A1316,MATCH(B1316,{"enero","febrero","marzo","abril","mayo","junio","julio","agosto","septiembre","octubre","noviembre","diciembre"},0)+1,0))</f>
        <v/>
      </c>
      <c r="E1316" t="str">
        <f>+IFERROR(VLOOKUP(Fact_Cumplimiento[[#This Row], [Concepto Anterior]],Conceptos_Cumplimiento[#All],5,0),"")</f>
        <v/>
      </c>
      <c r="F1316" t="str">
        <f>+IFERROR(VLOOKUP(Fact_Cumplimiento[[#This Row], 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ht="18.75" customHeight="1" x14ac:dyDescent="0.35">
      <c r="C1317" s="100" t="str">
        <f>IF(OR(Fact_Cumplimiento[[#This Row], [Año]]="",Fact_Cumplimiento[[#This Row], [Mes]]=""),"",DATE(A1317,MATCH(B1317,{"enero","febrero","marzo","abril","mayo","junio","julio","agosto","septiembre","octubre","noviembre","diciembre"},0)+1,0))</f>
        <v/>
      </c>
      <c r="E1317" t="str">
        <f>+IFERROR(VLOOKUP(Fact_Cumplimiento[[#This Row], [Concepto Anterior]],Conceptos_Cumplimiento[#All],5,0),"")</f>
        <v/>
      </c>
      <c r="F1317" t="str">
        <f>+IFERROR(VLOOKUP(Fact_Cumplimiento[[#This Row], 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ht="18.75" customHeight="1" x14ac:dyDescent="0.35">
      <c r="C1318" s="100" t="str">
        <f>IF(OR(Fact_Cumplimiento[[#This Row], [Año]]="",Fact_Cumplimiento[[#This Row], [Mes]]=""),"",DATE(A1318,MATCH(B1318,{"enero","febrero","marzo","abril","mayo","junio","julio","agosto","septiembre","octubre","noviembre","diciembre"},0)+1,0))</f>
        <v/>
      </c>
      <c r="E1318" t="str">
        <f>+IFERROR(VLOOKUP(Fact_Cumplimiento[[#This Row], [Concepto Anterior]],Conceptos_Cumplimiento[#All],5,0),"")</f>
        <v/>
      </c>
      <c r="F1318" t="str">
        <f>+IFERROR(VLOOKUP(Fact_Cumplimiento[[#This Row], 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ht="18.75" customHeight="1" x14ac:dyDescent="0.35">
      <c r="C1319" s="100" t="str">
        <f>IF(OR(Fact_Cumplimiento[[#This Row], [Año]]="",Fact_Cumplimiento[[#This Row], [Mes]]=""),"",DATE(A1319,MATCH(B1319,{"enero","febrero","marzo","abril","mayo","junio","julio","agosto","septiembre","octubre","noviembre","diciembre"},0)+1,0))</f>
        <v/>
      </c>
      <c r="E1319" t="str">
        <f>+IFERROR(VLOOKUP(Fact_Cumplimiento[[#This Row], [Concepto Anterior]],Conceptos_Cumplimiento[#All],5,0),"")</f>
        <v/>
      </c>
      <c r="F1319" t="str">
        <f>+IFERROR(VLOOKUP(Fact_Cumplimiento[[#This Row], 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ht="18.75" customHeight="1" x14ac:dyDescent="0.35">
      <c r="C1320" s="100" t="str">
        <f>IF(OR(Fact_Cumplimiento[[#This Row], [Año]]="",Fact_Cumplimiento[[#This Row], [Mes]]=""),"",DATE(A1320,MATCH(B1320,{"enero","febrero","marzo","abril","mayo","junio","julio","agosto","septiembre","octubre","noviembre","diciembre"},0)+1,0))</f>
        <v/>
      </c>
      <c r="E1320" t="str">
        <f>+IFERROR(VLOOKUP(Fact_Cumplimiento[[#This Row], [Concepto Anterior]],Conceptos_Cumplimiento[#All],5,0),"")</f>
        <v/>
      </c>
      <c r="F1320" t="str">
        <f>+IFERROR(VLOOKUP(Fact_Cumplimiento[[#This Row], 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ht="18.75" customHeight="1" x14ac:dyDescent="0.35">
      <c r="C1321" s="100" t="str">
        <f>IF(OR(Fact_Cumplimiento[[#This Row], [Año]]="",Fact_Cumplimiento[[#This Row], [Mes]]=""),"",DATE(A1321,MATCH(B1321,{"enero","febrero","marzo","abril","mayo","junio","julio","agosto","septiembre","octubre","noviembre","diciembre"},0)+1,0))</f>
        <v/>
      </c>
      <c r="E1321" t="str">
        <f>+IFERROR(VLOOKUP(Fact_Cumplimiento[[#This Row], [Concepto Anterior]],Conceptos_Cumplimiento[#All],5,0),"")</f>
        <v/>
      </c>
      <c r="F1321" t="str">
        <f>+IFERROR(VLOOKUP(Fact_Cumplimiento[[#This Row], 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ht="18.75" customHeight="1" x14ac:dyDescent="0.35">
      <c r="C1322" s="100" t="str">
        <f>IF(OR(Fact_Cumplimiento[[#This Row], [Año]]="",Fact_Cumplimiento[[#This Row], [Mes]]=""),"",DATE(A1322,MATCH(B1322,{"enero","febrero","marzo","abril","mayo","junio","julio","agosto","septiembre","octubre","noviembre","diciembre"},0)+1,0))</f>
        <v/>
      </c>
      <c r="E1322" t="str">
        <f>+IFERROR(VLOOKUP(Fact_Cumplimiento[[#This Row], [Concepto Anterior]],Conceptos_Cumplimiento[#All],5,0),"")</f>
        <v/>
      </c>
      <c r="F1322" t="str">
        <f>+IFERROR(VLOOKUP(Fact_Cumplimiento[[#This Row], 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ht="18.75" customHeight="1" x14ac:dyDescent="0.35">
      <c r="C1323" s="100" t="str">
        <f>IF(OR(Fact_Cumplimiento[[#This Row], [Año]]="",Fact_Cumplimiento[[#This Row], [Mes]]=""),"",DATE(A1323,MATCH(B1323,{"enero","febrero","marzo","abril","mayo","junio","julio","agosto","septiembre","octubre","noviembre","diciembre"},0)+1,0))</f>
        <v/>
      </c>
      <c r="E1323" t="str">
        <f>+IFERROR(VLOOKUP(Fact_Cumplimiento[[#This Row], [Concepto Anterior]],Conceptos_Cumplimiento[#All],5,0),"")</f>
        <v/>
      </c>
      <c r="F1323" t="str">
        <f>+IFERROR(VLOOKUP(Fact_Cumplimiento[[#This Row], 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ht="18.75" customHeight="1" x14ac:dyDescent="0.35">
      <c r="C1324" s="100" t="str">
        <f>IF(OR(Fact_Cumplimiento[[#This Row], [Año]]="",Fact_Cumplimiento[[#This Row], [Mes]]=""),"",DATE(A1324,MATCH(B1324,{"enero","febrero","marzo","abril","mayo","junio","julio","agosto","septiembre","octubre","noviembre","diciembre"},0)+1,0))</f>
        <v/>
      </c>
      <c r="E1324" t="str">
        <f>+IFERROR(VLOOKUP(Fact_Cumplimiento[[#This Row], [Concepto Anterior]],Conceptos_Cumplimiento[#All],5,0),"")</f>
        <v/>
      </c>
      <c r="F1324" t="str">
        <f>+IFERROR(VLOOKUP(Fact_Cumplimiento[[#This Row], 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ht="18.75" customHeight="1" x14ac:dyDescent="0.35">
      <c r="C1325" s="100" t="str">
        <f>IF(OR(Fact_Cumplimiento[[#This Row], [Año]]="",Fact_Cumplimiento[[#This Row], [Mes]]=""),"",DATE(A1325,MATCH(B1325,{"enero","febrero","marzo","abril","mayo","junio","julio","agosto","septiembre","octubre","noviembre","diciembre"},0)+1,0))</f>
        <v/>
      </c>
      <c r="E1325" t="str">
        <f>+IFERROR(VLOOKUP(Fact_Cumplimiento[[#This Row], [Concepto Anterior]],Conceptos_Cumplimiento[#All],5,0),"")</f>
        <v/>
      </c>
      <c r="F1325" t="str">
        <f>+IFERROR(VLOOKUP(Fact_Cumplimiento[[#This Row], 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ht="18.75" customHeight="1" x14ac:dyDescent="0.35">
      <c r="C1326" s="100" t="str">
        <f>IF(OR(Fact_Cumplimiento[[#This Row], [Año]]="",Fact_Cumplimiento[[#This Row], [Mes]]=""),"",DATE(A1326,MATCH(B1326,{"enero","febrero","marzo","abril","mayo","junio","julio","agosto","septiembre","octubre","noviembre","diciembre"},0)+1,0))</f>
        <v/>
      </c>
      <c r="E1326" t="str">
        <f>+IFERROR(VLOOKUP(Fact_Cumplimiento[[#This Row], [Concepto Anterior]],Conceptos_Cumplimiento[#All],5,0),"")</f>
        <v/>
      </c>
      <c r="F1326" t="str">
        <f>+IFERROR(VLOOKUP(Fact_Cumplimiento[[#This Row], 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ht="18.75" customHeight="1" x14ac:dyDescent="0.35">
      <c r="C1327" s="100" t="str">
        <f>IF(OR(Fact_Cumplimiento[[#This Row], [Año]]="",Fact_Cumplimiento[[#This Row], [Mes]]=""),"",DATE(A1327,MATCH(B1327,{"enero","febrero","marzo","abril","mayo","junio","julio","agosto","septiembre","octubre","noviembre","diciembre"},0)+1,0))</f>
        <v/>
      </c>
      <c r="E1327" t="str">
        <f>+IFERROR(VLOOKUP(Fact_Cumplimiento[[#This Row], [Concepto Anterior]],Conceptos_Cumplimiento[#All],5,0),"")</f>
        <v/>
      </c>
      <c r="F1327" t="str">
        <f>+IFERROR(VLOOKUP(Fact_Cumplimiento[[#This Row], 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ht="18.75" customHeight="1" x14ac:dyDescent="0.35">
      <c r="C1328" s="100" t="str">
        <f>IF(OR(Fact_Cumplimiento[[#This Row], [Año]]="",Fact_Cumplimiento[[#This Row], [Mes]]=""),"",DATE(A1328,MATCH(B1328,{"enero","febrero","marzo","abril","mayo","junio","julio","agosto","septiembre","octubre","noviembre","diciembre"},0)+1,0))</f>
        <v/>
      </c>
      <c r="E1328" t="str">
        <f>+IFERROR(VLOOKUP(Fact_Cumplimiento[[#This Row], [Concepto Anterior]],Conceptos_Cumplimiento[#All],5,0),"")</f>
        <v/>
      </c>
      <c r="F1328" t="str">
        <f>+IFERROR(VLOOKUP(Fact_Cumplimiento[[#This Row], 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ht="18.75" customHeight="1" x14ac:dyDescent="0.35">
      <c r="C1329" s="100" t="str">
        <f>IF(OR(Fact_Cumplimiento[[#This Row], [Año]]="",Fact_Cumplimiento[[#This Row], [Mes]]=""),"",DATE(A1329,MATCH(B1329,{"enero","febrero","marzo","abril","mayo","junio","julio","agosto","septiembre","octubre","noviembre","diciembre"},0)+1,0))</f>
        <v/>
      </c>
      <c r="E1329" t="str">
        <f>+IFERROR(VLOOKUP(Fact_Cumplimiento[[#This Row], [Concepto Anterior]],Conceptos_Cumplimiento[#All],5,0),"")</f>
        <v/>
      </c>
      <c r="F1329" t="str">
        <f>+IFERROR(VLOOKUP(Fact_Cumplimiento[[#This Row], 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ht="18.75" customHeight="1" x14ac:dyDescent="0.35">
      <c r="C1330" s="100" t="str">
        <f>IF(OR(Fact_Cumplimiento[[#This Row], [Año]]="",Fact_Cumplimiento[[#This Row], [Mes]]=""),"",DATE(A1330,MATCH(B1330,{"enero","febrero","marzo","abril","mayo","junio","julio","agosto","septiembre","octubre","noviembre","diciembre"},0)+1,0))</f>
        <v/>
      </c>
      <c r="E1330" t="str">
        <f>+IFERROR(VLOOKUP(Fact_Cumplimiento[[#This Row], [Concepto Anterior]],Conceptos_Cumplimiento[#All],5,0),"")</f>
        <v/>
      </c>
      <c r="F1330" t="str">
        <f>+IFERROR(VLOOKUP(Fact_Cumplimiento[[#This Row], 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ht="18.75" customHeight="1" x14ac:dyDescent="0.35">
      <c r="C1331" s="100" t="str">
        <f>IF(OR(Fact_Cumplimiento[[#This Row], [Año]]="",Fact_Cumplimiento[[#This Row], [Mes]]=""),"",DATE(A1331,MATCH(B1331,{"enero","febrero","marzo","abril","mayo","junio","julio","agosto","septiembre","octubre","noviembre","diciembre"},0)+1,0))</f>
        <v/>
      </c>
      <c r="E1331" t="str">
        <f>+IFERROR(VLOOKUP(Fact_Cumplimiento[[#This Row], [Concepto Anterior]],Conceptos_Cumplimiento[#All],5,0),"")</f>
        <v/>
      </c>
      <c r="F1331" t="str">
        <f>+IFERROR(VLOOKUP(Fact_Cumplimiento[[#This Row], 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ht="18.75" customHeight="1" x14ac:dyDescent="0.35">
      <c r="C1332" s="100" t="str">
        <f>IF(OR(Fact_Cumplimiento[[#This Row], [Año]]="",Fact_Cumplimiento[[#This Row], [Mes]]=""),"",DATE(A1332,MATCH(B1332,{"enero","febrero","marzo","abril","mayo","junio","julio","agosto","septiembre","octubre","noviembre","diciembre"},0)+1,0))</f>
        <v/>
      </c>
      <c r="E1332" t="str">
        <f>+IFERROR(VLOOKUP(Fact_Cumplimiento[[#This Row], [Concepto Anterior]],Conceptos_Cumplimiento[#All],5,0),"")</f>
        <v/>
      </c>
      <c r="F1332" t="str">
        <f>+IFERROR(VLOOKUP(Fact_Cumplimiento[[#This Row], 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ht="18.75" customHeight="1" x14ac:dyDescent="0.35">
      <c r="C1333" s="100" t="str">
        <f>IF(OR(Fact_Cumplimiento[[#This Row], [Año]]="",Fact_Cumplimiento[[#This Row], [Mes]]=""),"",DATE(A1333,MATCH(B1333,{"enero","febrero","marzo","abril","mayo","junio","julio","agosto","septiembre","octubre","noviembre","diciembre"},0)+1,0))</f>
        <v/>
      </c>
      <c r="E1333" t="str">
        <f>+IFERROR(VLOOKUP(Fact_Cumplimiento[[#This Row], [Concepto Anterior]],Conceptos_Cumplimiento[#All],5,0),"")</f>
        <v/>
      </c>
      <c r="F1333" t="str">
        <f>+IFERROR(VLOOKUP(Fact_Cumplimiento[[#This Row], 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ht="18.75" customHeight="1" x14ac:dyDescent="0.35">
      <c r="C1334" s="100" t="str">
        <f>IF(OR(Fact_Cumplimiento[[#This Row], [Año]]="",Fact_Cumplimiento[[#This Row], [Mes]]=""),"",DATE(A1334,MATCH(B1334,{"enero","febrero","marzo","abril","mayo","junio","julio","agosto","septiembre","octubre","noviembre","diciembre"},0)+1,0))</f>
        <v/>
      </c>
      <c r="E1334" t="str">
        <f>+IFERROR(VLOOKUP(Fact_Cumplimiento[[#This Row], [Concepto Anterior]],Conceptos_Cumplimiento[#All],5,0),"")</f>
        <v/>
      </c>
      <c r="F1334" t="str">
        <f>+IFERROR(VLOOKUP(Fact_Cumplimiento[[#This Row], 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ht="18.75" customHeight="1" x14ac:dyDescent="0.35">
      <c r="C1335" s="100" t="str">
        <f>IF(OR(Fact_Cumplimiento[[#This Row], [Año]]="",Fact_Cumplimiento[[#This Row], [Mes]]=""),"",DATE(A1335,MATCH(B1335,{"enero","febrero","marzo","abril","mayo","junio","julio","agosto","septiembre","octubre","noviembre","diciembre"},0)+1,0))</f>
        <v/>
      </c>
      <c r="E1335" t="str">
        <f>+IFERROR(VLOOKUP(Fact_Cumplimiento[[#This Row], [Concepto Anterior]],Conceptos_Cumplimiento[#All],5,0),"")</f>
        <v/>
      </c>
      <c r="F1335" t="str">
        <f>+IFERROR(VLOOKUP(Fact_Cumplimiento[[#This Row], 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ht="18.75" customHeight="1" x14ac:dyDescent="0.35">
      <c r="C1336" s="100" t="str">
        <f>IF(OR(Fact_Cumplimiento[[#This Row], [Año]]="",Fact_Cumplimiento[[#This Row], [Mes]]=""),"",DATE(A1336,MATCH(B1336,{"enero","febrero","marzo","abril","mayo","junio","julio","agosto","septiembre","octubre","noviembre","diciembre"},0)+1,0))</f>
        <v/>
      </c>
      <c r="E1336" t="str">
        <f>+IFERROR(VLOOKUP(Fact_Cumplimiento[[#This Row], [Concepto Anterior]],Conceptos_Cumplimiento[#All],5,0),"")</f>
        <v/>
      </c>
      <c r="F1336" t="str">
        <f>+IFERROR(VLOOKUP(Fact_Cumplimiento[[#This Row], 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ht="18.75" customHeight="1" x14ac:dyDescent="0.35">
      <c r="C1337" s="100" t="str">
        <f>IF(OR(Fact_Cumplimiento[[#This Row], [Año]]="",Fact_Cumplimiento[[#This Row], [Mes]]=""),"",DATE(A1337,MATCH(B1337,{"enero","febrero","marzo","abril","mayo","junio","julio","agosto","septiembre","octubre","noviembre","diciembre"},0)+1,0))</f>
        <v/>
      </c>
      <c r="E1337" t="str">
        <f>+IFERROR(VLOOKUP(Fact_Cumplimiento[[#This Row], [Concepto Anterior]],Conceptos_Cumplimiento[#All],5,0),"")</f>
        <v/>
      </c>
      <c r="F1337" t="str">
        <f>+IFERROR(VLOOKUP(Fact_Cumplimiento[[#This Row], 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ht="18.75" customHeight="1" x14ac:dyDescent="0.35">
      <c r="C1338" s="100" t="str">
        <f>IF(OR(Fact_Cumplimiento[[#This Row], [Año]]="",Fact_Cumplimiento[[#This Row], [Mes]]=""),"",DATE(A1338,MATCH(B1338,{"enero","febrero","marzo","abril","mayo","junio","julio","agosto","septiembre","octubre","noviembre","diciembre"},0)+1,0))</f>
        <v/>
      </c>
      <c r="E1338" t="str">
        <f>+IFERROR(VLOOKUP(Fact_Cumplimiento[[#This Row], [Concepto Anterior]],Conceptos_Cumplimiento[#All],5,0),"")</f>
        <v/>
      </c>
      <c r="F1338" t="str">
        <f>+IFERROR(VLOOKUP(Fact_Cumplimiento[[#This Row], 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ht="18.75" customHeight="1" x14ac:dyDescent="0.35">
      <c r="C1339" s="100" t="str">
        <f>IF(OR(Fact_Cumplimiento[[#This Row], [Año]]="",Fact_Cumplimiento[[#This Row], [Mes]]=""),"",DATE(A1339,MATCH(B1339,{"enero","febrero","marzo","abril","mayo","junio","julio","agosto","septiembre","octubre","noviembre","diciembre"},0)+1,0))</f>
        <v/>
      </c>
      <c r="E1339" t="str">
        <f>+IFERROR(VLOOKUP(Fact_Cumplimiento[[#This Row], [Concepto Anterior]],Conceptos_Cumplimiento[#All],5,0),"")</f>
        <v/>
      </c>
      <c r="F1339" t="str">
        <f>+IFERROR(VLOOKUP(Fact_Cumplimiento[[#This Row], 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ht="18.75" customHeight="1" x14ac:dyDescent="0.35">
      <c r="C1340" s="100" t="str">
        <f>IF(OR(Fact_Cumplimiento[[#This Row], [Año]]="",Fact_Cumplimiento[[#This Row], [Mes]]=""),"",DATE(A1340,MATCH(B1340,{"enero","febrero","marzo","abril","mayo","junio","julio","agosto","septiembre","octubre","noviembre","diciembre"},0)+1,0))</f>
        <v/>
      </c>
      <c r="E1340" t="str">
        <f>+IFERROR(VLOOKUP(Fact_Cumplimiento[[#This Row], [Concepto Anterior]],Conceptos_Cumplimiento[#All],5,0),"")</f>
        <v/>
      </c>
      <c r="F1340" t="str">
        <f>+IFERROR(VLOOKUP(Fact_Cumplimiento[[#This Row], 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ht="18.75" customHeight="1" x14ac:dyDescent="0.35">
      <c r="C1341" s="100" t="str">
        <f>IF(OR(Fact_Cumplimiento[[#This Row], [Año]]="",Fact_Cumplimiento[[#This Row], [Mes]]=""),"",DATE(A1341,MATCH(B1341,{"enero","febrero","marzo","abril","mayo","junio","julio","agosto","septiembre","octubre","noviembre","diciembre"},0)+1,0))</f>
        <v/>
      </c>
      <c r="E1341" t="str">
        <f>+IFERROR(VLOOKUP(Fact_Cumplimiento[[#This Row], [Concepto Anterior]],Conceptos_Cumplimiento[#All],5,0),"")</f>
        <v/>
      </c>
      <c r="F1341" t="str">
        <f>+IFERROR(VLOOKUP(Fact_Cumplimiento[[#This Row], 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ht="18.75" customHeight="1" x14ac:dyDescent="0.35">
      <c r="C1342" s="100" t="str">
        <f>IF(OR(Fact_Cumplimiento[[#This Row], [Año]]="",Fact_Cumplimiento[[#This Row], [Mes]]=""),"",DATE(A1342,MATCH(B1342,{"enero","febrero","marzo","abril","mayo","junio","julio","agosto","septiembre","octubre","noviembre","diciembre"},0)+1,0))</f>
        <v/>
      </c>
      <c r="E1342" t="str">
        <f>+IFERROR(VLOOKUP(Fact_Cumplimiento[[#This Row], [Concepto Anterior]],Conceptos_Cumplimiento[#All],5,0),"")</f>
        <v/>
      </c>
      <c r="F1342" t="str">
        <f>+IFERROR(VLOOKUP(Fact_Cumplimiento[[#This Row], 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ht="18.75" customHeight="1" x14ac:dyDescent="0.35">
      <c r="C1343" s="100" t="str">
        <f>IF(OR(Fact_Cumplimiento[[#This Row], [Año]]="",Fact_Cumplimiento[[#This Row], [Mes]]=""),"",DATE(A1343,MATCH(B1343,{"enero","febrero","marzo","abril","mayo","junio","julio","agosto","septiembre","octubre","noviembre","diciembre"},0)+1,0))</f>
        <v/>
      </c>
      <c r="E1343" t="str">
        <f>+IFERROR(VLOOKUP(Fact_Cumplimiento[[#This Row], [Concepto Anterior]],Conceptos_Cumplimiento[#All],5,0),"")</f>
        <v/>
      </c>
      <c r="F1343" t="str">
        <f>+IFERROR(VLOOKUP(Fact_Cumplimiento[[#This Row], 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ht="18.75" customHeight="1" x14ac:dyDescent="0.35">
      <c r="C1344" s="100" t="str">
        <f>IF(OR(Fact_Cumplimiento[[#This Row], [Año]]="",Fact_Cumplimiento[[#This Row], [Mes]]=""),"",DATE(A1344,MATCH(B1344,{"enero","febrero","marzo","abril","mayo","junio","julio","agosto","septiembre","octubre","noviembre","diciembre"},0)+1,0))</f>
        <v/>
      </c>
      <c r="E1344" t="str">
        <f>+IFERROR(VLOOKUP(Fact_Cumplimiento[[#This Row], [Concepto Anterior]],Conceptos_Cumplimiento[#All],5,0),"")</f>
        <v/>
      </c>
      <c r="F1344" t="str">
        <f>+IFERROR(VLOOKUP(Fact_Cumplimiento[[#This Row], 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ht="18.75" customHeight="1" x14ac:dyDescent="0.35">
      <c r="C1345" s="100" t="str">
        <f>IF(OR(Fact_Cumplimiento[[#This Row], [Año]]="",Fact_Cumplimiento[[#This Row], [Mes]]=""),"",DATE(A1345,MATCH(B1345,{"enero","febrero","marzo","abril","mayo","junio","julio","agosto","septiembre","octubre","noviembre","diciembre"},0)+1,0))</f>
        <v/>
      </c>
      <c r="E1345" t="str">
        <f>+IFERROR(VLOOKUP(Fact_Cumplimiento[[#This Row], [Concepto Anterior]],Conceptos_Cumplimiento[#All],5,0),"")</f>
        <v/>
      </c>
      <c r="F1345" t="str">
        <f>+IFERROR(VLOOKUP(Fact_Cumplimiento[[#This Row], 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ht="18.75" customHeight="1" x14ac:dyDescent="0.35">
      <c r="C1346" s="100" t="str">
        <f>IF(OR(Fact_Cumplimiento[[#This Row], [Año]]="",Fact_Cumplimiento[[#This Row], [Mes]]=""),"",DATE(A1346,MATCH(B1346,{"enero","febrero","marzo","abril","mayo","junio","julio","agosto","septiembre","octubre","noviembre","diciembre"},0)+1,0))</f>
        <v/>
      </c>
      <c r="E1346" t="str">
        <f>+IFERROR(VLOOKUP(Fact_Cumplimiento[[#This Row], [Concepto Anterior]],Conceptos_Cumplimiento[#All],5,0),"")</f>
        <v/>
      </c>
      <c r="F1346" t="str">
        <f>+IFERROR(VLOOKUP(Fact_Cumplimiento[[#This Row], 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ht="18.75" customHeight="1" x14ac:dyDescent="0.35">
      <c r="C1347" s="100" t="str">
        <f>IF(OR(Fact_Cumplimiento[[#This Row], [Año]]="",Fact_Cumplimiento[[#This Row], [Mes]]=""),"",DATE(A1347,MATCH(B1347,{"enero","febrero","marzo","abril","mayo","junio","julio","agosto","septiembre","octubre","noviembre","diciembre"},0)+1,0))</f>
        <v/>
      </c>
      <c r="E1347" t="str">
        <f>+IFERROR(VLOOKUP(Fact_Cumplimiento[[#This Row], [Concepto Anterior]],Conceptos_Cumplimiento[#All],5,0),"")</f>
        <v/>
      </c>
      <c r="F1347" t="str">
        <f>+IFERROR(VLOOKUP(Fact_Cumplimiento[[#This Row], 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ht="18.75" customHeight="1" x14ac:dyDescent="0.35">
      <c r="C1348" s="100" t="str">
        <f>IF(OR(Fact_Cumplimiento[[#This Row], [Año]]="",Fact_Cumplimiento[[#This Row], [Mes]]=""),"",DATE(A1348,MATCH(B1348,{"enero","febrero","marzo","abril","mayo","junio","julio","agosto","septiembre","octubre","noviembre","diciembre"},0)+1,0))</f>
        <v/>
      </c>
      <c r="E1348" t="str">
        <f>+IFERROR(VLOOKUP(Fact_Cumplimiento[[#This Row], [Concepto Anterior]],Conceptos_Cumplimiento[#All],5,0),"")</f>
        <v/>
      </c>
      <c r="F1348" t="str">
        <f>+IFERROR(VLOOKUP(Fact_Cumplimiento[[#This Row], 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ht="18.75" customHeight="1" x14ac:dyDescent="0.35">
      <c r="C1349" s="100" t="str">
        <f>IF(OR(Fact_Cumplimiento[[#This Row], [Año]]="",Fact_Cumplimiento[[#This Row], [Mes]]=""),"",DATE(A1349,MATCH(B1349,{"enero","febrero","marzo","abril","mayo","junio","julio","agosto","septiembre","octubre","noviembre","diciembre"},0)+1,0))</f>
        <v/>
      </c>
      <c r="E1349" t="str">
        <f>+IFERROR(VLOOKUP(Fact_Cumplimiento[[#This Row], [Concepto Anterior]],Conceptos_Cumplimiento[#All],5,0),"")</f>
        <v/>
      </c>
      <c r="F1349" t="str">
        <f>+IFERROR(VLOOKUP(Fact_Cumplimiento[[#This Row], 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ht="18.75" customHeight="1" x14ac:dyDescent="0.35">
      <c r="C1350" s="100" t="str">
        <f>IF(OR(Fact_Cumplimiento[[#This Row], [Año]]="",Fact_Cumplimiento[[#This Row], [Mes]]=""),"",DATE(A1350,MATCH(B1350,{"enero","febrero","marzo","abril","mayo","junio","julio","agosto","septiembre","octubre","noviembre","diciembre"},0)+1,0))</f>
        <v/>
      </c>
      <c r="E1350" t="str">
        <f>+IFERROR(VLOOKUP(Fact_Cumplimiento[[#This Row], [Concepto Anterior]],Conceptos_Cumplimiento[#All],5,0),"")</f>
        <v/>
      </c>
      <c r="F1350" t="str">
        <f>+IFERROR(VLOOKUP(Fact_Cumplimiento[[#This Row], 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ht="18.75" customHeight="1" x14ac:dyDescent="0.35">
      <c r="C1351" s="100" t="str">
        <f>IF(OR(Fact_Cumplimiento[[#This Row], [Año]]="",Fact_Cumplimiento[[#This Row], [Mes]]=""),"",DATE(A1351,MATCH(B1351,{"enero","febrero","marzo","abril","mayo","junio","julio","agosto","septiembre","octubre","noviembre","diciembre"},0)+1,0))</f>
        <v/>
      </c>
      <c r="E1351" t="str">
        <f>+IFERROR(VLOOKUP(Fact_Cumplimiento[[#This Row], [Concepto Anterior]],Conceptos_Cumplimiento[#All],5,0),"")</f>
        <v/>
      </c>
      <c r="F1351" t="str">
        <f>+IFERROR(VLOOKUP(Fact_Cumplimiento[[#This Row], 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ht="18.75" customHeight="1" x14ac:dyDescent="0.35">
      <c r="C1352" s="100" t="str">
        <f>IF(OR(Fact_Cumplimiento[[#This Row], [Año]]="",Fact_Cumplimiento[[#This Row], [Mes]]=""),"",DATE(A1352,MATCH(B1352,{"enero","febrero","marzo","abril","mayo","junio","julio","agosto","septiembre","octubre","noviembre","diciembre"},0)+1,0))</f>
        <v/>
      </c>
      <c r="E1352" t="str">
        <f>+IFERROR(VLOOKUP(Fact_Cumplimiento[[#This Row], [Concepto Anterior]],Conceptos_Cumplimiento[#All],5,0),"")</f>
        <v/>
      </c>
      <c r="F1352" t="str">
        <f>+IFERROR(VLOOKUP(Fact_Cumplimiento[[#This Row], 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ht="18.75" customHeight="1" x14ac:dyDescent="0.35">
      <c r="C1353" s="100" t="str">
        <f>IF(OR(Fact_Cumplimiento[[#This Row], [Año]]="",Fact_Cumplimiento[[#This Row], [Mes]]=""),"",DATE(A1353,MATCH(B1353,{"enero","febrero","marzo","abril","mayo","junio","julio","agosto","septiembre","octubre","noviembre","diciembre"},0)+1,0))</f>
        <v/>
      </c>
      <c r="E1353" t="str">
        <f>+IFERROR(VLOOKUP(Fact_Cumplimiento[[#This Row], [Concepto Anterior]],Conceptos_Cumplimiento[#All],5,0),"")</f>
        <v/>
      </c>
      <c r="F1353" t="str">
        <f>+IFERROR(VLOOKUP(Fact_Cumplimiento[[#This Row], 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ht="18.75" customHeight="1" x14ac:dyDescent="0.35">
      <c r="C1354" s="100" t="str">
        <f>IF(OR(Fact_Cumplimiento[[#This Row], [Año]]="",Fact_Cumplimiento[[#This Row], [Mes]]=""),"",DATE(A1354,MATCH(B1354,{"enero","febrero","marzo","abril","mayo","junio","julio","agosto","septiembre","octubre","noviembre","diciembre"},0)+1,0))</f>
        <v/>
      </c>
      <c r="E1354" t="str">
        <f>+IFERROR(VLOOKUP(Fact_Cumplimiento[[#This Row], [Concepto Anterior]],Conceptos_Cumplimiento[#All],5,0),"")</f>
        <v/>
      </c>
      <c r="F1354" t="str">
        <f>+IFERROR(VLOOKUP(Fact_Cumplimiento[[#This Row], 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ht="18.75" customHeight="1" x14ac:dyDescent="0.35">
      <c r="C1355" s="100" t="str">
        <f>IF(OR(Fact_Cumplimiento[[#This Row], [Año]]="",Fact_Cumplimiento[[#This Row], [Mes]]=""),"",DATE(A1355,MATCH(B1355,{"enero","febrero","marzo","abril","mayo","junio","julio","agosto","septiembre","octubre","noviembre","diciembre"},0)+1,0))</f>
        <v/>
      </c>
      <c r="E1355" t="str">
        <f>+IFERROR(VLOOKUP(Fact_Cumplimiento[[#This Row], [Concepto Anterior]],Conceptos_Cumplimiento[#All],5,0),"")</f>
        <v/>
      </c>
      <c r="F1355" t="str">
        <f>+IFERROR(VLOOKUP(Fact_Cumplimiento[[#This Row], 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ht="18.75" customHeight="1" x14ac:dyDescent="0.35">
      <c r="C1356" s="100" t="str">
        <f>IF(OR(Fact_Cumplimiento[[#This Row], [Año]]="",Fact_Cumplimiento[[#This Row], [Mes]]=""),"",DATE(A1356,MATCH(B1356,{"enero","febrero","marzo","abril","mayo","junio","julio","agosto","septiembre","octubre","noviembre","diciembre"},0)+1,0))</f>
        <v/>
      </c>
      <c r="E1356" t="str">
        <f>+IFERROR(VLOOKUP(Fact_Cumplimiento[[#This Row], [Concepto Anterior]],Conceptos_Cumplimiento[#All],5,0),"")</f>
        <v/>
      </c>
      <c r="F1356" t="str">
        <f>+IFERROR(VLOOKUP(Fact_Cumplimiento[[#This Row], 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ht="18.75" customHeight="1" x14ac:dyDescent="0.35">
      <c r="C1357" s="100" t="str">
        <f>IF(OR(Fact_Cumplimiento[[#This Row], [Año]]="",Fact_Cumplimiento[[#This Row], [Mes]]=""),"",DATE(A1357,MATCH(B1357,{"enero","febrero","marzo","abril","mayo","junio","julio","agosto","septiembre","octubre","noviembre","diciembre"},0)+1,0))</f>
        <v/>
      </c>
      <c r="E1357" t="str">
        <f>+IFERROR(VLOOKUP(Fact_Cumplimiento[[#This Row], [Concepto Anterior]],Conceptos_Cumplimiento[#All],5,0),"")</f>
        <v/>
      </c>
      <c r="F1357" t="str">
        <f>+IFERROR(VLOOKUP(Fact_Cumplimiento[[#This Row], 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ht="18.75" customHeight="1" x14ac:dyDescent="0.35">
      <c r="C1358" s="100" t="str">
        <f>IF(OR(Fact_Cumplimiento[[#This Row], [Año]]="",Fact_Cumplimiento[[#This Row], [Mes]]=""),"",DATE(A1358,MATCH(B1358,{"enero","febrero","marzo","abril","mayo","junio","julio","agosto","septiembre","octubre","noviembre","diciembre"},0)+1,0))</f>
        <v/>
      </c>
      <c r="E1358" t="str">
        <f>+IFERROR(VLOOKUP(Fact_Cumplimiento[[#This Row], [Concepto Anterior]],Conceptos_Cumplimiento[#All],5,0),"")</f>
        <v/>
      </c>
      <c r="F1358" t="str">
        <f>+IFERROR(VLOOKUP(Fact_Cumplimiento[[#This Row], 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ht="18.75" customHeight="1" x14ac:dyDescent="0.35">
      <c r="C1359" s="100" t="str">
        <f>IF(OR(Fact_Cumplimiento[[#This Row], [Año]]="",Fact_Cumplimiento[[#This Row], [Mes]]=""),"",DATE(A1359,MATCH(B1359,{"enero","febrero","marzo","abril","mayo","junio","julio","agosto","septiembre","octubre","noviembre","diciembre"},0)+1,0))</f>
        <v/>
      </c>
      <c r="E1359" t="str">
        <f>+IFERROR(VLOOKUP(Fact_Cumplimiento[[#This Row], [Concepto Anterior]],Conceptos_Cumplimiento[#All],5,0),"")</f>
        <v/>
      </c>
      <c r="F1359" t="str">
        <f>+IFERROR(VLOOKUP(Fact_Cumplimiento[[#This Row], 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ht="18.75" customHeight="1" x14ac:dyDescent="0.35">
      <c r="C1360" s="100" t="str">
        <f>IF(OR(Fact_Cumplimiento[[#This Row], [Año]]="",Fact_Cumplimiento[[#This Row], [Mes]]=""),"",DATE(A1360,MATCH(B1360,{"enero","febrero","marzo","abril","mayo","junio","julio","agosto","septiembre","octubre","noviembre","diciembre"},0)+1,0))</f>
        <v/>
      </c>
      <c r="E1360" t="str">
        <f>+IFERROR(VLOOKUP(Fact_Cumplimiento[[#This Row], [Concepto Anterior]],Conceptos_Cumplimiento[#All],5,0),"")</f>
        <v/>
      </c>
      <c r="F1360" t="str">
        <f>+IFERROR(VLOOKUP(Fact_Cumplimiento[[#This Row], 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ht="18.75" customHeight="1" x14ac:dyDescent="0.35">
      <c r="C1361" s="100" t="str">
        <f>IF(OR(Fact_Cumplimiento[[#This Row], [Año]]="",Fact_Cumplimiento[[#This Row], [Mes]]=""),"",DATE(A1361,MATCH(B1361,{"enero","febrero","marzo","abril","mayo","junio","julio","agosto","septiembre","octubre","noviembre","diciembre"},0)+1,0))</f>
        <v/>
      </c>
      <c r="E1361" t="str">
        <f>+IFERROR(VLOOKUP(Fact_Cumplimiento[[#This Row], [Concepto Anterior]],Conceptos_Cumplimiento[#All],5,0),"")</f>
        <v/>
      </c>
      <c r="F1361" t="str">
        <f>+IFERROR(VLOOKUP(Fact_Cumplimiento[[#This Row], 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ht="18.75" customHeight="1" x14ac:dyDescent="0.35">
      <c r="C1362" s="100" t="str">
        <f>IF(OR(Fact_Cumplimiento[[#This Row], [Año]]="",Fact_Cumplimiento[[#This Row], [Mes]]=""),"",DATE(A1362,MATCH(B1362,{"enero","febrero","marzo","abril","mayo","junio","julio","agosto","septiembre","octubre","noviembre","diciembre"},0)+1,0))</f>
        <v/>
      </c>
      <c r="E1362" t="str">
        <f>+IFERROR(VLOOKUP(Fact_Cumplimiento[[#This Row], [Concepto Anterior]],Conceptos_Cumplimiento[#All],5,0),"")</f>
        <v/>
      </c>
      <c r="F1362" t="str">
        <f>+IFERROR(VLOOKUP(Fact_Cumplimiento[[#This Row], 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ht="18.75" customHeight="1" x14ac:dyDescent="0.35">
      <c r="C1363" s="100" t="str">
        <f>IF(OR(Fact_Cumplimiento[[#This Row], [Año]]="",Fact_Cumplimiento[[#This Row], [Mes]]=""),"",DATE(A1363,MATCH(B1363,{"enero","febrero","marzo","abril","mayo","junio","julio","agosto","septiembre","octubre","noviembre","diciembre"},0)+1,0))</f>
        <v/>
      </c>
      <c r="E1363" t="str">
        <f>+IFERROR(VLOOKUP(Fact_Cumplimiento[[#This Row], [Concepto Anterior]],Conceptos_Cumplimiento[#All],5,0),"")</f>
        <v/>
      </c>
      <c r="F1363" t="str">
        <f>+IFERROR(VLOOKUP(Fact_Cumplimiento[[#This Row], 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ht="18.75" customHeight="1" x14ac:dyDescent="0.35">
      <c r="C1364" s="100" t="str">
        <f>IF(OR(Fact_Cumplimiento[[#This Row], [Año]]="",Fact_Cumplimiento[[#This Row], [Mes]]=""),"",DATE(A1364,MATCH(B1364,{"enero","febrero","marzo","abril","mayo","junio","julio","agosto","septiembre","octubre","noviembre","diciembre"},0)+1,0))</f>
        <v/>
      </c>
      <c r="E1364" t="str">
        <f>+IFERROR(VLOOKUP(Fact_Cumplimiento[[#This Row], [Concepto Anterior]],Conceptos_Cumplimiento[#All],5,0),"")</f>
        <v/>
      </c>
      <c r="F1364" t="str">
        <f>+IFERROR(VLOOKUP(Fact_Cumplimiento[[#This Row], 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ht="18.75" customHeight="1" x14ac:dyDescent="0.35">
      <c r="C1365" s="100" t="str">
        <f>IF(OR(Fact_Cumplimiento[[#This Row], [Año]]="",Fact_Cumplimiento[[#This Row], [Mes]]=""),"",DATE(A1365,MATCH(B1365,{"enero","febrero","marzo","abril","mayo","junio","julio","agosto","septiembre","octubre","noviembre","diciembre"},0)+1,0))</f>
        <v/>
      </c>
      <c r="E1365" t="str">
        <f>+IFERROR(VLOOKUP(Fact_Cumplimiento[[#This Row], [Concepto Anterior]],Conceptos_Cumplimiento[#All],5,0),"")</f>
        <v/>
      </c>
      <c r="F1365" t="str">
        <f>+IFERROR(VLOOKUP(Fact_Cumplimiento[[#This Row], 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ht="18.75" customHeight="1" x14ac:dyDescent="0.35">
      <c r="C1366" s="100" t="str">
        <f>IF(OR(Fact_Cumplimiento[[#This Row], [Año]]="",Fact_Cumplimiento[[#This Row], [Mes]]=""),"",DATE(A1366,MATCH(B1366,{"enero","febrero","marzo","abril","mayo","junio","julio","agosto","septiembre","octubre","noviembre","diciembre"},0)+1,0))</f>
        <v/>
      </c>
      <c r="E1366" t="str">
        <f>+IFERROR(VLOOKUP(Fact_Cumplimiento[[#This Row], [Concepto Anterior]],Conceptos_Cumplimiento[#All],5,0),"")</f>
        <v/>
      </c>
      <c r="F1366" t="str">
        <f>+IFERROR(VLOOKUP(Fact_Cumplimiento[[#This Row], 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ht="18.75" customHeight="1" x14ac:dyDescent="0.35">
      <c r="C1367" s="100" t="str">
        <f>IF(OR(Fact_Cumplimiento[[#This Row], [Año]]="",Fact_Cumplimiento[[#This Row], [Mes]]=""),"",DATE(A1367,MATCH(B1367,{"enero","febrero","marzo","abril","mayo","junio","julio","agosto","septiembre","octubre","noviembre","diciembre"},0)+1,0))</f>
        <v/>
      </c>
      <c r="E1367" t="str">
        <f>+IFERROR(VLOOKUP(Fact_Cumplimiento[[#This Row], [Concepto Anterior]],Conceptos_Cumplimiento[#All],5,0),"")</f>
        <v/>
      </c>
      <c r="F1367" t="str">
        <f>+IFERROR(VLOOKUP(Fact_Cumplimiento[[#This Row], 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ht="18.75" customHeight="1" x14ac:dyDescent="0.35">
      <c r="C1368" s="100" t="str">
        <f>IF(OR(Fact_Cumplimiento[[#This Row], [Año]]="",Fact_Cumplimiento[[#This Row], [Mes]]=""),"",DATE(A1368,MATCH(B1368,{"enero","febrero","marzo","abril","mayo","junio","julio","agosto","septiembre","octubre","noviembre","diciembre"},0)+1,0))</f>
        <v/>
      </c>
      <c r="E1368" t="str">
        <f>+IFERROR(VLOOKUP(Fact_Cumplimiento[[#This Row], [Concepto Anterior]],Conceptos_Cumplimiento[#All],5,0),"")</f>
        <v/>
      </c>
      <c r="F1368" t="str">
        <f>+IFERROR(VLOOKUP(Fact_Cumplimiento[[#This Row], 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ht="18.75" customHeight="1" x14ac:dyDescent="0.35">
      <c r="C1369" s="100" t="str">
        <f>IF(OR(Fact_Cumplimiento[[#This Row], [Año]]="",Fact_Cumplimiento[[#This Row], [Mes]]=""),"",DATE(A1369,MATCH(B1369,{"enero","febrero","marzo","abril","mayo","junio","julio","agosto","septiembre","octubre","noviembre","diciembre"},0)+1,0))</f>
        <v/>
      </c>
      <c r="E1369" t="str">
        <f>+IFERROR(VLOOKUP(Fact_Cumplimiento[[#This Row], [Concepto Anterior]],Conceptos_Cumplimiento[#All],5,0),"")</f>
        <v/>
      </c>
      <c r="F1369" t="str">
        <f>+IFERROR(VLOOKUP(Fact_Cumplimiento[[#This Row], 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ht="18.75" customHeight="1" x14ac:dyDescent="0.35">
      <c r="C1370" s="100" t="str">
        <f>IF(OR(Fact_Cumplimiento[[#This Row], [Año]]="",Fact_Cumplimiento[[#This Row], [Mes]]=""),"",DATE(A1370,MATCH(B1370,{"enero","febrero","marzo","abril","mayo","junio","julio","agosto","septiembre","octubre","noviembre","diciembre"},0)+1,0))</f>
        <v/>
      </c>
      <c r="E1370" t="str">
        <f>+IFERROR(VLOOKUP(Fact_Cumplimiento[[#This Row], [Concepto Anterior]],Conceptos_Cumplimiento[#All],5,0),"")</f>
        <v/>
      </c>
      <c r="F1370" t="str">
        <f>+IFERROR(VLOOKUP(Fact_Cumplimiento[[#This Row], 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ht="18.75" customHeight="1" x14ac:dyDescent="0.35">
      <c r="C1371" s="100" t="str">
        <f>IF(OR(Fact_Cumplimiento[[#This Row], [Año]]="",Fact_Cumplimiento[[#This Row], [Mes]]=""),"",DATE(A1371,MATCH(B1371,{"enero","febrero","marzo","abril","mayo","junio","julio","agosto","septiembre","octubre","noviembre","diciembre"},0)+1,0))</f>
        <v/>
      </c>
      <c r="E1371" t="str">
        <f>+IFERROR(VLOOKUP(Fact_Cumplimiento[[#This Row], [Concepto Anterior]],Conceptos_Cumplimiento[#All],5,0),"")</f>
        <v/>
      </c>
      <c r="F1371" t="str">
        <f>+IFERROR(VLOOKUP(Fact_Cumplimiento[[#This Row], 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ht="18.75" customHeight="1" x14ac:dyDescent="0.35">
      <c r="C1372" s="100" t="str">
        <f>IF(OR(Fact_Cumplimiento[[#This Row], [Año]]="",Fact_Cumplimiento[[#This Row], [Mes]]=""),"",DATE(A1372,MATCH(B1372,{"enero","febrero","marzo","abril","mayo","junio","julio","agosto","septiembre","octubre","noviembre","diciembre"},0)+1,0))</f>
        <v/>
      </c>
      <c r="E1372" t="str">
        <f>+IFERROR(VLOOKUP(Fact_Cumplimiento[[#This Row], [Concepto Anterior]],Conceptos_Cumplimiento[#All],5,0),"")</f>
        <v/>
      </c>
      <c r="F1372" t="str">
        <f>+IFERROR(VLOOKUP(Fact_Cumplimiento[[#This Row], 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ht="18.75" customHeight="1" x14ac:dyDescent="0.35">
      <c r="C1373" s="100" t="str">
        <f>IF(OR(Fact_Cumplimiento[[#This Row], [Año]]="",Fact_Cumplimiento[[#This Row], [Mes]]=""),"",DATE(A1373,MATCH(B1373,{"enero","febrero","marzo","abril","mayo","junio","julio","agosto","septiembre","octubre","noviembre","diciembre"},0)+1,0))</f>
        <v/>
      </c>
      <c r="E1373" t="str">
        <f>+IFERROR(VLOOKUP(Fact_Cumplimiento[[#This Row], [Concepto Anterior]],Conceptos_Cumplimiento[#All],5,0),"")</f>
        <v/>
      </c>
      <c r="F1373" t="str">
        <f>+IFERROR(VLOOKUP(Fact_Cumplimiento[[#This Row], 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ht="18.75" customHeight="1" x14ac:dyDescent="0.35">
      <c r="C1374" s="100" t="str">
        <f>IF(OR(Fact_Cumplimiento[[#This Row], [Año]]="",Fact_Cumplimiento[[#This Row], [Mes]]=""),"",DATE(A1374,MATCH(B1374,{"enero","febrero","marzo","abril","mayo","junio","julio","agosto","septiembre","octubre","noviembre","diciembre"},0)+1,0))</f>
        <v/>
      </c>
      <c r="E1374" t="str">
        <f>+IFERROR(VLOOKUP(Fact_Cumplimiento[[#This Row], [Concepto Anterior]],Conceptos_Cumplimiento[#All],5,0),"")</f>
        <v/>
      </c>
      <c r="F1374" t="str">
        <f>+IFERROR(VLOOKUP(Fact_Cumplimiento[[#This Row], 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ht="18.75" customHeight="1" x14ac:dyDescent="0.35">
      <c r="C1375" s="100" t="str">
        <f>IF(OR(Fact_Cumplimiento[[#This Row], [Año]]="",Fact_Cumplimiento[[#This Row], [Mes]]=""),"",DATE(A1375,MATCH(B1375,{"enero","febrero","marzo","abril","mayo","junio","julio","agosto","septiembre","octubre","noviembre","diciembre"},0)+1,0))</f>
        <v/>
      </c>
      <c r="E1375" t="str">
        <f>+IFERROR(VLOOKUP(Fact_Cumplimiento[[#This Row], [Concepto Anterior]],Conceptos_Cumplimiento[#All],5,0),"")</f>
        <v/>
      </c>
      <c r="F1375" t="str">
        <f>+IFERROR(VLOOKUP(Fact_Cumplimiento[[#This Row], 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ht="18.75" customHeight="1" x14ac:dyDescent="0.35">
      <c r="C1376" s="100" t="str">
        <f>IF(OR(Fact_Cumplimiento[[#This Row], [Año]]="",Fact_Cumplimiento[[#This Row], [Mes]]=""),"",DATE(A1376,MATCH(B1376,{"enero","febrero","marzo","abril","mayo","junio","julio","agosto","septiembre","octubre","noviembre","diciembre"},0)+1,0))</f>
        <v/>
      </c>
      <c r="E1376" t="str">
        <f>+IFERROR(VLOOKUP(Fact_Cumplimiento[[#This Row], [Concepto Anterior]],Conceptos_Cumplimiento[#All],5,0),"")</f>
        <v/>
      </c>
      <c r="F1376" t="str">
        <f>+IFERROR(VLOOKUP(Fact_Cumplimiento[[#This Row], 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ht="18.75" customHeight="1" x14ac:dyDescent="0.35">
      <c r="C1377" s="100" t="str">
        <f>IF(OR(Fact_Cumplimiento[[#This Row], [Año]]="",Fact_Cumplimiento[[#This Row], [Mes]]=""),"",DATE(A1377,MATCH(B1377,{"enero","febrero","marzo","abril","mayo","junio","julio","agosto","septiembre","octubre","noviembre","diciembre"},0)+1,0))</f>
        <v/>
      </c>
      <c r="E1377" t="str">
        <f>+IFERROR(VLOOKUP(Fact_Cumplimiento[[#This Row], [Concepto Anterior]],Conceptos_Cumplimiento[#All],5,0),"")</f>
        <v/>
      </c>
      <c r="F1377" t="str">
        <f>+IFERROR(VLOOKUP(Fact_Cumplimiento[[#This Row], 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ht="18.75" customHeight="1" x14ac:dyDescent="0.35">
      <c r="C1378" s="100" t="str">
        <f>IF(OR(Fact_Cumplimiento[[#This Row], [Año]]="",Fact_Cumplimiento[[#This Row], [Mes]]=""),"",DATE(A1378,MATCH(B1378,{"enero","febrero","marzo","abril","mayo","junio","julio","agosto","septiembre","octubre","noviembre","diciembre"},0)+1,0))</f>
        <v/>
      </c>
      <c r="E1378" t="str">
        <f>+IFERROR(VLOOKUP(Fact_Cumplimiento[[#This Row], [Concepto Anterior]],Conceptos_Cumplimiento[#All],5,0),"")</f>
        <v/>
      </c>
      <c r="F1378" t="str">
        <f>+IFERROR(VLOOKUP(Fact_Cumplimiento[[#This Row], 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ht="18.75" customHeight="1" x14ac:dyDescent="0.35">
      <c r="C1379" s="100" t="str">
        <f>IF(OR(Fact_Cumplimiento[[#This Row], [Año]]="",Fact_Cumplimiento[[#This Row], [Mes]]=""),"",DATE(A1379,MATCH(B1379,{"enero","febrero","marzo","abril","mayo","junio","julio","agosto","septiembre","octubre","noviembre","diciembre"},0)+1,0))</f>
        <v/>
      </c>
      <c r="E1379" t="str">
        <f>+IFERROR(VLOOKUP(Fact_Cumplimiento[[#This Row], [Concepto Anterior]],Conceptos_Cumplimiento[#All],5,0),"")</f>
        <v/>
      </c>
      <c r="F1379" t="str">
        <f>+IFERROR(VLOOKUP(Fact_Cumplimiento[[#This Row], 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ht="18.75" customHeight="1" x14ac:dyDescent="0.35">
      <c r="C1380" s="100" t="str">
        <f>IF(OR(Fact_Cumplimiento[[#This Row], [Año]]="",Fact_Cumplimiento[[#This Row], [Mes]]=""),"",DATE(A1380,MATCH(B1380,{"enero","febrero","marzo","abril","mayo","junio","julio","agosto","septiembre","octubre","noviembre","diciembre"},0)+1,0))</f>
        <v/>
      </c>
      <c r="E1380" t="str">
        <f>+IFERROR(VLOOKUP(Fact_Cumplimiento[[#This Row], [Concepto Anterior]],Conceptos_Cumplimiento[#All],5,0),"")</f>
        <v/>
      </c>
      <c r="F1380" t="str">
        <f>+IFERROR(VLOOKUP(Fact_Cumplimiento[[#This Row], 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ht="18.75" customHeight="1" x14ac:dyDescent="0.35">
      <c r="C1381" s="100" t="str">
        <f>IF(OR(Fact_Cumplimiento[[#This Row], [Año]]="",Fact_Cumplimiento[[#This Row], [Mes]]=""),"",DATE(A1381,MATCH(B1381,{"enero","febrero","marzo","abril","mayo","junio","julio","agosto","septiembre","octubre","noviembre","diciembre"},0)+1,0))</f>
        <v/>
      </c>
      <c r="E1381" t="str">
        <f>+IFERROR(VLOOKUP(Fact_Cumplimiento[[#This Row], [Concepto Anterior]],Conceptos_Cumplimiento[#All],5,0),"")</f>
        <v/>
      </c>
      <c r="F1381" t="str">
        <f>+IFERROR(VLOOKUP(Fact_Cumplimiento[[#This Row], 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ht="18.75" customHeight="1" x14ac:dyDescent="0.35">
      <c r="C1382" s="100" t="str">
        <f>IF(OR(Fact_Cumplimiento[[#This Row], [Año]]="",Fact_Cumplimiento[[#This Row], [Mes]]=""),"",DATE(A1382,MATCH(B1382,{"enero","febrero","marzo","abril","mayo","junio","julio","agosto","septiembre","octubre","noviembre","diciembre"},0)+1,0))</f>
        <v/>
      </c>
      <c r="E1382" t="str">
        <f>+IFERROR(VLOOKUP(Fact_Cumplimiento[[#This Row], [Concepto Anterior]],Conceptos_Cumplimiento[#All],5,0),"")</f>
        <v/>
      </c>
      <c r="F1382" t="str">
        <f>+IFERROR(VLOOKUP(Fact_Cumplimiento[[#This Row], 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ht="18.75" customHeight="1" x14ac:dyDescent="0.35">
      <c r="C1383" s="100" t="str">
        <f>IF(OR(Fact_Cumplimiento[[#This Row], [Año]]="",Fact_Cumplimiento[[#This Row], [Mes]]=""),"",DATE(A1383,MATCH(B1383,{"enero","febrero","marzo","abril","mayo","junio","julio","agosto","septiembre","octubre","noviembre","diciembre"},0)+1,0))</f>
        <v/>
      </c>
      <c r="E1383" t="str">
        <f>+IFERROR(VLOOKUP(Fact_Cumplimiento[[#This Row], [Concepto Anterior]],Conceptos_Cumplimiento[#All],5,0),"")</f>
        <v/>
      </c>
      <c r="F1383" t="str">
        <f>+IFERROR(VLOOKUP(Fact_Cumplimiento[[#This Row], 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ht="18.75" customHeight="1" x14ac:dyDescent="0.35">
      <c r="C1384" s="100" t="str">
        <f>IF(OR(Fact_Cumplimiento[[#This Row], [Año]]="",Fact_Cumplimiento[[#This Row], [Mes]]=""),"",DATE(A1384,MATCH(B1384,{"enero","febrero","marzo","abril","mayo","junio","julio","agosto","septiembre","octubre","noviembre","diciembre"},0)+1,0))</f>
        <v/>
      </c>
      <c r="E1384" t="str">
        <f>+IFERROR(VLOOKUP(Fact_Cumplimiento[[#This Row], [Concepto Anterior]],Conceptos_Cumplimiento[#All],5,0),"")</f>
        <v/>
      </c>
      <c r="F1384" t="str">
        <f>+IFERROR(VLOOKUP(Fact_Cumplimiento[[#This Row], 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ht="18.75" customHeight="1" x14ac:dyDescent="0.35">
      <c r="C1385" s="100" t="str">
        <f>IF(OR(Fact_Cumplimiento[[#This Row], [Año]]="",Fact_Cumplimiento[[#This Row], [Mes]]=""),"",DATE(A1385,MATCH(B1385,{"enero","febrero","marzo","abril","mayo","junio","julio","agosto","septiembre","octubre","noviembre","diciembre"},0)+1,0))</f>
        <v/>
      </c>
      <c r="E1385" t="str">
        <f>+IFERROR(VLOOKUP(Fact_Cumplimiento[[#This Row], [Concepto Anterior]],Conceptos_Cumplimiento[#All],5,0),"")</f>
        <v/>
      </c>
      <c r="F1385" t="str">
        <f>+IFERROR(VLOOKUP(Fact_Cumplimiento[[#This Row], 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ht="18.75" customHeight="1" x14ac:dyDescent="0.35">
      <c r="C1386" s="100" t="str">
        <f>IF(OR(Fact_Cumplimiento[[#This Row], [Año]]="",Fact_Cumplimiento[[#This Row], [Mes]]=""),"",DATE(A1386,MATCH(B1386,{"enero","febrero","marzo","abril","mayo","junio","julio","agosto","septiembre","octubre","noviembre","diciembre"},0)+1,0))</f>
        <v/>
      </c>
      <c r="E1386" t="str">
        <f>+IFERROR(VLOOKUP(Fact_Cumplimiento[[#This Row], [Concepto Anterior]],Conceptos_Cumplimiento[#All],5,0),"")</f>
        <v/>
      </c>
      <c r="F1386" t="str">
        <f>+IFERROR(VLOOKUP(Fact_Cumplimiento[[#This Row], 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ht="18.75" customHeight="1" x14ac:dyDescent="0.35">
      <c r="C1387" s="100" t="str">
        <f>IF(OR(Fact_Cumplimiento[[#This Row], [Año]]="",Fact_Cumplimiento[[#This Row], [Mes]]=""),"",DATE(A1387,MATCH(B1387,{"enero","febrero","marzo","abril","mayo","junio","julio","agosto","septiembre","octubre","noviembre","diciembre"},0)+1,0))</f>
        <v/>
      </c>
      <c r="E1387" t="str">
        <f>+IFERROR(VLOOKUP(Fact_Cumplimiento[[#This Row], [Concepto Anterior]],Conceptos_Cumplimiento[#All],5,0),"")</f>
        <v/>
      </c>
      <c r="F1387" t="str">
        <f>+IFERROR(VLOOKUP(Fact_Cumplimiento[[#This Row], 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ht="18.75" customHeight="1" x14ac:dyDescent="0.35">
      <c r="C1388" s="100" t="str">
        <f>IF(OR(Fact_Cumplimiento[[#This Row], [Año]]="",Fact_Cumplimiento[[#This Row], [Mes]]=""),"",DATE(A1388,MATCH(B1388,{"enero","febrero","marzo","abril","mayo","junio","julio","agosto","septiembre","octubre","noviembre","diciembre"},0)+1,0))</f>
        <v/>
      </c>
      <c r="E1388" t="str">
        <f>+IFERROR(VLOOKUP(Fact_Cumplimiento[[#This Row], [Concepto Anterior]],Conceptos_Cumplimiento[#All],5,0),"")</f>
        <v/>
      </c>
      <c r="F1388" t="str">
        <f>+IFERROR(VLOOKUP(Fact_Cumplimiento[[#This Row], 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ht="18.75" customHeight="1" x14ac:dyDescent="0.35">
      <c r="C1389" s="100" t="str">
        <f>IF(OR(Fact_Cumplimiento[[#This Row], [Año]]="",Fact_Cumplimiento[[#This Row], [Mes]]=""),"",DATE(A1389,MATCH(B1389,{"enero","febrero","marzo","abril","mayo","junio","julio","agosto","septiembre","octubre","noviembre","diciembre"},0)+1,0))</f>
        <v/>
      </c>
      <c r="E1389" t="str">
        <f>+IFERROR(VLOOKUP(Fact_Cumplimiento[[#This Row], [Concepto Anterior]],Conceptos_Cumplimiento[#All],5,0),"")</f>
        <v/>
      </c>
      <c r="F1389" t="str">
        <f>+IFERROR(VLOOKUP(Fact_Cumplimiento[[#This Row], 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ht="18.75" customHeight="1" x14ac:dyDescent="0.35">
      <c r="C1390" s="100" t="str">
        <f>IF(OR(Fact_Cumplimiento[[#This Row], [Año]]="",Fact_Cumplimiento[[#This Row], [Mes]]=""),"",DATE(A1390,MATCH(B1390,{"enero","febrero","marzo","abril","mayo","junio","julio","agosto","septiembre","octubre","noviembre","diciembre"},0)+1,0))</f>
        <v/>
      </c>
      <c r="E1390" t="str">
        <f>+IFERROR(VLOOKUP(Fact_Cumplimiento[[#This Row], [Concepto Anterior]],Conceptos_Cumplimiento[#All],5,0),"")</f>
        <v/>
      </c>
      <c r="F1390" t="str">
        <f>+IFERROR(VLOOKUP(Fact_Cumplimiento[[#This Row], 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ht="18.75" customHeight="1" x14ac:dyDescent="0.35">
      <c r="C1391" s="100" t="str">
        <f>IF(OR(Fact_Cumplimiento[[#This Row], [Año]]="",Fact_Cumplimiento[[#This Row], [Mes]]=""),"",DATE(A1391,MATCH(B1391,{"enero","febrero","marzo","abril","mayo","junio","julio","agosto","septiembre","octubre","noviembre","diciembre"},0)+1,0))</f>
        <v/>
      </c>
      <c r="E1391" t="str">
        <f>+IFERROR(VLOOKUP(Fact_Cumplimiento[[#This Row], [Concepto Anterior]],Conceptos_Cumplimiento[#All],5,0),"")</f>
        <v/>
      </c>
      <c r="F1391" t="str">
        <f>+IFERROR(VLOOKUP(Fact_Cumplimiento[[#This Row], 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ht="18.75" customHeight="1" x14ac:dyDescent="0.35">
      <c r="C1392" s="100" t="str">
        <f>IF(OR(Fact_Cumplimiento[[#This Row], [Año]]="",Fact_Cumplimiento[[#This Row], [Mes]]=""),"",DATE(A1392,MATCH(B1392,{"enero","febrero","marzo","abril","mayo","junio","julio","agosto","septiembre","octubre","noviembre","diciembre"},0)+1,0))</f>
        <v/>
      </c>
      <c r="E1392" t="str">
        <f>+IFERROR(VLOOKUP(Fact_Cumplimiento[[#This Row], [Concepto Anterior]],Conceptos_Cumplimiento[#All],5,0),"")</f>
        <v/>
      </c>
      <c r="F1392" t="str">
        <f>+IFERROR(VLOOKUP(Fact_Cumplimiento[[#This Row], 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ht="18.75" customHeight="1" x14ac:dyDescent="0.35">
      <c r="C1393" s="100" t="str">
        <f>IF(OR(Fact_Cumplimiento[[#This Row], [Año]]="",Fact_Cumplimiento[[#This Row], [Mes]]=""),"",DATE(A1393,MATCH(B1393,{"enero","febrero","marzo","abril","mayo","junio","julio","agosto","septiembre","octubre","noviembre","diciembre"},0)+1,0))</f>
        <v/>
      </c>
      <c r="E1393" t="str">
        <f>+IFERROR(VLOOKUP(Fact_Cumplimiento[[#This Row], [Concepto Anterior]],Conceptos_Cumplimiento[#All],5,0),"")</f>
        <v/>
      </c>
      <c r="F1393" t="str">
        <f>+IFERROR(VLOOKUP(Fact_Cumplimiento[[#This Row], 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ht="18.75" customHeight="1" x14ac:dyDescent="0.35">
      <c r="C1394" s="100" t="str">
        <f>IF(OR(Fact_Cumplimiento[[#This Row], [Año]]="",Fact_Cumplimiento[[#This Row], [Mes]]=""),"",DATE(A1394,MATCH(B1394,{"enero","febrero","marzo","abril","mayo","junio","julio","agosto","septiembre","octubre","noviembre","diciembre"},0)+1,0))</f>
        <v/>
      </c>
      <c r="E1394" t="str">
        <f>+IFERROR(VLOOKUP(Fact_Cumplimiento[[#This Row], [Concepto Anterior]],Conceptos_Cumplimiento[#All],5,0),"")</f>
        <v/>
      </c>
      <c r="F1394" t="str">
        <f>+IFERROR(VLOOKUP(Fact_Cumplimiento[[#This Row], 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ht="18.75" customHeight="1" x14ac:dyDescent="0.35">
      <c r="C1395" s="100" t="str">
        <f>IF(OR(Fact_Cumplimiento[[#This Row], [Año]]="",Fact_Cumplimiento[[#This Row], [Mes]]=""),"",DATE(A1395,MATCH(B1395,{"enero","febrero","marzo","abril","mayo","junio","julio","agosto","septiembre","octubre","noviembre","diciembre"},0)+1,0))</f>
        <v/>
      </c>
      <c r="E1395" t="str">
        <f>+IFERROR(VLOOKUP(Fact_Cumplimiento[[#This Row], [Concepto Anterior]],Conceptos_Cumplimiento[#All],5,0),"")</f>
        <v/>
      </c>
      <c r="F1395" t="str">
        <f>+IFERROR(VLOOKUP(Fact_Cumplimiento[[#This Row], 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ht="18.75" customHeight="1" x14ac:dyDescent="0.35">
      <c r="C1396" s="100" t="str">
        <f>IF(OR(Fact_Cumplimiento[[#This Row], [Año]]="",Fact_Cumplimiento[[#This Row], [Mes]]=""),"",DATE(A1396,MATCH(B1396,{"enero","febrero","marzo","abril","mayo","junio","julio","agosto","septiembre","octubre","noviembre","diciembre"},0)+1,0))</f>
        <v/>
      </c>
      <c r="E1396" t="str">
        <f>+IFERROR(VLOOKUP(Fact_Cumplimiento[[#This Row], [Concepto Anterior]],Conceptos_Cumplimiento[#All],5,0),"")</f>
        <v/>
      </c>
      <c r="F1396" t="str">
        <f>+IFERROR(VLOOKUP(Fact_Cumplimiento[[#This Row], 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ht="18.75" customHeight="1" x14ac:dyDescent="0.35">
      <c r="C1397" s="100" t="str">
        <f>IF(OR(Fact_Cumplimiento[[#This Row], [Año]]="",Fact_Cumplimiento[[#This Row], [Mes]]=""),"",DATE(A1397,MATCH(B1397,{"enero","febrero","marzo","abril","mayo","junio","julio","agosto","septiembre","octubre","noviembre","diciembre"},0)+1,0))</f>
        <v/>
      </c>
      <c r="E1397" t="str">
        <f>+IFERROR(VLOOKUP(Fact_Cumplimiento[[#This Row], [Concepto Anterior]],Conceptos_Cumplimiento[#All],5,0),"")</f>
        <v/>
      </c>
      <c r="F1397" t="str">
        <f>+IFERROR(VLOOKUP(Fact_Cumplimiento[[#This Row], 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ht="18.75" customHeight="1" x14ac:dyDescent="0.35">
      <c r="C1398" s="100" t="str">
        <f>IF(OR(Fact_Cumplimiento[[#This Row], [Año]]="",Fact_Cumplimiento[[#This Row], [Mes]]=""),"",DATE(A1398,MATCH(B1398,{"enero","febrero","marzo","abril","mayo","junio","julio","agosto","septiembre","octubre","noviembre","diciembre"},0)+1,0))</f>
        <v/>
      </c>
      <c r="E1398" t="str">
        <f>+IFERROR(VLOOKUP(Fact_Cumplimiento[[#This Row], [Concepto Anterior]],Conceptos_Cumplimiento[#All],5,0),"")</f>
        <v/>
      </c>
      <c r="F1398" t="str">
        <f>+IFERROR(VLOOKUP(Fact_Cumplimiento[[#This Row], 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ht="18.75" customHeight="1" x14ac:dyDescent="0.35">
      <c r="C1399" s="100" t="str">
        <f>IF(OR(Fact_Cumplimiento[[#This Row], [Año]]="",Fact_Cumplimiento[[#This Row], [Mes]]=""),"",DATE(A1399,MATCH(B1399,{"enero","febrero","marzo","abril","mayo","junio","julio","agosto","septiembre","octubre","noviembre","diciembre"},0)+1,0))</f>
        <v/>
      </c>
      <c r="E1399" t="str">
        <f>+IFERROR(VLOOKUP(Fact_Cumplimiento[[#This Row], [Concepto Anterior]],Conceptos_Cumplimiento[#All],5,0),"")</f>
        <v/>
      </c>
      <c r="F1399" t="str">
        <f>+IFERROR(VLOOKUP(Fact_Cumplimiento[[#This Row], 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ht="18.75" customHeight="1" x14ac:dyDescent="0.35">
      <c r="C1400" s="100" t="str">
        <f>IF(OR(Fact_Cumplimiento[[#This Row], [Año]]="",Fact_Cumplimiento[[#This Row], [Mes]]=""),"",DATE(A1400,MATCH(B1400,{"enero","febrero","marzo","abril","mayo","junio","julio","agosto","septiembre","octubre","noviembre","diciembre"},0)+1,0))</f>
        <v/>
      </c>
      <c r="E1400" t="str">
        <f>+IFERROR(VLOOKUP(Fact_Cumplimiento[[#This Row], [Concepto Anterior]],Conceptos_Cumplimiento[#All],5,0),"")</f>
        <v/>
      </c>
      <c r="F1400" t="str">
        <f>+IFERROR(VLOOKUP(Fact_Cumplimiento[[#This Row], 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ht="18.75" customHeight="1" x14ac:dyDescent="0.35">
      <c r="C1401" s="100" t="str">
        <f>IF(OR(Fact_Cumplimiento[[#This Row], [Año]]="",Fact_Cumplimiento[[#This Row], [Mes]]=""),"",DATE(A1401,MATCH(B1401,{"enero","febrero","marzo","abril","mayo","junio","julio","agosto","septiembre","octubre","noviembre","diciembre"},0)+1,0))</f>
        <v/>
      </c>
      <c r="E1401" t="str">
        <f>+IFERROR(VLOOKUP(Fact_Cumplimiento[[#This Row], [Concepto Anterior]],Conceptos_Cumplimiento[#All],5,0),"")</f>
        <v/>
      </c>
      <c r="F1401" t="str">
        <f>+IFERROR(VLOOKUP(Fact_Cumplimiento[[#This Row], 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ht="18.75" customHeight="1" x14ac:dyDescent="0.35">
      <c r="C1402" s="100" t="str">
        <f>IF(OR(Fact_Cumplimiento[[#This Row], [Año]]="",Fact_Cumplimiento[[#This Row], [Mes]]=""),"",DATE(A1402,MATCH(B1402,{"enero","febrero","marzo","abril","mayo","junio","julio","agosto","septiembre","octubre","noviembre","diciembre"},0)+1,0))</f>
        <v/>
      </c>
      <c r="E1402" t="str">
        <f>+IFERROR(VLOOKUP(Fact_Cumplimiento[[#This Row], [Concepto Anterior]],Conceptos_Cumplimiento[#All],5,0),"")</f>
        <v/>
      </c>
      <c r="F1402" t="str">
        <f>+IFERROR(VLOOKUP(Fact_Cumplimiento[[#This Row], 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ht="18.75" customHeight="1" x14ac:dyDescent="0.35">
      <c r="C1403" s="100" t="str">
        <f>IF(OR(Fact_Cumplimiento[[#This Row], [Año]]="",Fact_Cumplimiento[[#This Row], [Mes]]=""),"",DATE(A1403,MATCH(B1403,{"enero","febrero","marzo","abril","mayo","junio","julio","agosto","septiembre","octubre","noviembre","diciembre"},0)+1,0))</f>
        <v/>
      </c>
      <c r="E1403" t="str">
        <f>+IFERROR(VLOOKUP(Fact_Cumplimiento[[#This Row], [Concepto Anterior]],Conceptos_Cumplimiento[#All],5,0),"")</f>
        <v/>
      </c>
      <c r="F1403" t="str">
        <f>+IFERROR(VLOOKUP(Fact_Cumplimiento[[#This Row], 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ht="18.75" customHeight="1" x14ac:dyDescent="0.35">
      <c r="C1404" s="100" t="str">
        <f>IF(OR(Fact_Cumplimiento[[#This Row], [Año]]="",Fact_Cumplimiento[[#This Row], [Mes]]=""),"",DATE(A1404,MATCH(B1404,{"enero","febrero","marzo","abril","mayo","junio","julio","agosto","septiembre","octubre","noviembre","diciembre"},0)+1,0))</f>
        <v/>
      </c>
      <c r="E1404" t="str">
        <f>+IFERROR(VLOOKUP(Fact_Cumplimiento[[#This Row], [Concepto Anterior]],Conceptos_Cumplimiento[#All],5,0),"")</f>
        <v/>
      </c>
      <c r="F1404" t="str">
        <f>+IFERROR(VLOOKUP(Fact_Cumplimiento[[#This Row], 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ht="18.75" customHeight="1" x14ac:dyDescent="0.35">
      <c r="C1405" s="100" t="str">
        <f>IF(OR(Fact_Cumplimiento[[#This Row], [Año]]="",Fact_Cumplimiento[[#This Row], [Mes]]=""),"",DATE(A1405,MATCH(B1405,{"enero","febrero","marzo","abril","mayo","junio","julio","agosto","septiembre","octubre","noviembre","diciembre"},0)+1,0))</f>
        <v/>
      </c>
      <c r="E1405" t="str">
        <f>+IFERROR(VLOOKUP(Fact_Cumplimiento[[#This Row], [Concepto Anterior]],Conceptos_Cumplimiento[#All],5,0),"")</f>
        <v/>
      </c>
      <c r="F1405" t="str">
        <f>+IFERROR(VLOOKUP(Fact_Cumplimiento[[#This Row], 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ht="18.75" customHeight="1" x14ac:dyDescent="0.35">
      <c r="C1406" s="100" t="str">
        <f>IF(OR(Fact_Cumplimiento[[#This Row], [Año]]="",Fact_Cumplimiento[[#This Row], [Mes]]=""),"",DATE(A1406,MATCH(B1406,{"enero","febrero","marzo","abril","mayo","junio","julio","agosto","septiembre","octubre","noviembre","diciembre"},0)+1,0))</f>
        <v/>
      </c>
      <c r="E1406" t="str">
        <f>+IFERROR(VLOOKUP(Fact_Cumplimiento[[#This Row], [Concepto Anterior]],Conceptos_Cumplimiento[#All],5,0),"")</f>
        <v/>
      </c>
      <c r="F1406" t="str">
        <f>+IFERROR(VLOOKUP(Fact_Cumplimiento[[#This Row], 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ht="18.75" customHeight="1" x14ac:dyDescent="0.35">
      <c r="C1407" s="100" t="str">
        <f>IF(OR(Fact_Cumplimiento[[#This Row], [Año]]="",Fact_Cumplimiento[[#This Row], [Mes]]=""),"",DATE(A1407,MATCH(B1407,{"enero","febrero","marzo","abril","mayo","junio","julio","agosto","septiembre","octubre","noviembre","diciembre"},0)+1,0))</f>
        <v/>
      </c>
      <c r="E1407" t="str">
        <f>+IFERROR(VLOOKUP(Fact_Cumplimiento[[#This Row], [Concepto Anterior]],Conceptos_Cumplimiento[#All],5,0),"")</f>
        <v/>
      </c>
      <c r="F1407" t="str">
        <f>+IFERROR(VLOOKUP(Fact_Cumplimiento[[#This Row], 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ht="18.75" customHeight="1" x14ac:dyDescent="0.35">
      <c r="C1408" s="100" t="str">
        <f>IF(OR(Fact_Cumplimiento[[#This Row], [Año]]="",Fact_Cumplimiento[[#This Row], [Mes]]=""),"",DATE(A1408,MATCH(B1408,{"enero","febrero","marzo","abril","mayo","junio","julio","agosto","septiembre","octubre","noviembre","diciembre"},0)+1,0))</f>
        <v/>
      </c>
      <c r="E1408" t="str">
        <f>+IFERROR(VLOOKUP(Fact_Cumplimiento[[#This Row], [Concepto Anterior]],Conceptos_Cumplimiento[#All],5,0),"")</f>
        <v/>
      </c>
      <c r="F1408" t="str">
        <f>+IFERROR(VLOOKUP(Fact_Cumplimiento[[#This Row], 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ht="18.75" customHeight="1" x14ac:dyDescent="0.35">
      <c r="C1409" s="100" t="str">
        <f>IF(OR(Fact_Cumplimiento[[#This Row], [Año]]="",Fact_Cumplimiento[[#This Row], [Mes]]=""),"",DATE(A1409,MATCH(B1409,{"enero","febrero","marzo","abril","mayo","junio","julio","agosto","septiembre","octubre","noviembre","diciembre"},0)+1,0))</f>
        <v/>
      </c>
      <c r="E1409" t="str">
        <f>+IFERROR(VLOOKUP(Fact_Cumplimiento[[#This Row], [Concepto Anterior]],Conceptos_Cumplimiento[#All],5,0),"")</f>
        <v/>
      </c>
      <c r="F1409" t="str">
        <f>+IFERROR(VLOOKUP(Fact_Cumplimiento[[#This Row], 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ht="18.75" customHeight="1" x14ac:dyDescent="0.35">
      <c r="C1410" s="100" t="str">
        <f>IF(OR(Fact_Cumplimiento[[#This Row], [Año]]="",Fact_Cumplimiento[[#This Row], [Mes]]=""),"",DATE(A1410,MATCH(B1410,{"enero","febrero","marzo","abril","mayo","junio","julio","agosto","septiembre","octubre","noviembre","diciembre"},0)+1,0))</f>
        <v/>
      </c>
      <c r="E1410" t="str">
        <f>+IFERROR(VLOOKUP(Fact_Cumplimiento[[#This Row], [Concepto Anterior]],Conceptos_Cumplimiento[#All],5,0),"")</f>
        <v/>
      </c>
      <c r="F1410" t="str">
        <f>+IFERROR(VLOOKUP(Fact_Cumplimiento[[#This Row], 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ht="18.75" customHeight="1" x14ac:dyDescent="0.35">
      <c r="C1411" s="100" t="str">
        <f>IF(OR(Fact_Cumplimiento[[#This Row], [Año]]="",Fact_Cumplimiento[[#This Row], [Mes]]=""),"",DATE(A1411,MATCH(B1411,{"enero","febrero","marzo","abril","mayo","junio","julio","agosto","septiembre","octubre","noviembre","diciembre"},0)+1,0))</f>
        <v/>
      </c>
      <c r="E1411" t="str">
        <f>+IFERROR(VLOOKUP(Fact_Cumplimiento[[#This Row], [Concepto Anterior]],Conceptos_Cumplimiento[#All],5,0),"")</f>
        <v/>
      </c>
      <c r="F1411" t="str">
        <f>+IFERROR(VLOOKUP(Fact_Cumplimiento[[#This Row], 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ht="18.75" customHeight="1" x14ac:dyDescent="0.35">
      <c r="C1412" s="100" t="str">
        <f>IF(OR(Fact_Cumplimiento[[#This Row], [Año]]="",Fact_Cumplimiento[[#This Row], [Mes]]=""),"",DATE(A1412,MATCH(B1412,{"enero","febrero","marzo","abril","mayo","junio","julio","agosto","septiembre","octubre","noviembre","diciembre"},0)+1,0))</f>
        <v/>
      </c>
      <c r="E1412" t="str">
        <f>+IFERROR(VLOOKUP(Fact_Cumplimiento[[#This Row], [Concepto Anterior]],Conceptos_Cumplimiento[#All],5,0),"")</f>
        <v/>
      </c>
      <c r="F1412" t="str">
        <f>+IFERROR(VLOOKUP(Fact_Cumplimiento[[#This Row], 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ht="18.75" customHeight="1" x14ac:dyDescent="0.35">
      <c r="C1413" s="100" t="str">
        <f>IF(OR(Fact_Cumplimiento[[#This Row], [Año]]="",Fact_Cumplimiento[[#This Row], [Mes]]=""),"",DATE(A1413,MATCH(B1413,{"enero","febrero","marzo","abril","mayo","junio","julio","agosto","septiembre","octubre","noviembre","diciembre"},0)+1,0))</f>
        <v/>
      </c>
      <c r="E1413" t="str">
        <f>+IFERROR(VLOOKUP(Fact_Cumplimiento[[#This Row], [Concepto Anterior]],Conceptos_Cumplimiento[#All],5,0),"")</f>
        <v/>
      </c>
      <c r="F1413" t="str">
        <f>+IFERROR(VLOOKUP(Fact_Cumplimiento[[#This Row], 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ht="18.75" customHeight="1" x14ac:dyDescent="0.35">
      <c r="C1414" s="100" t="str">
        <f>IF(OR(Fact_Cumplimiento[[#This Row], [Año]]="",Fact_Cumplimiento[[#This Row], [Mes]]=""),"",DATE(A1414,MATCH(B1414,{"enero","febrero","marzo","abril","mayo","junio","julio","agosto","septiembre","octubre","noviembre","diciembre"},0)+1,0))</f>
        <v/>
      </c>
      <c r="E1414" t="str">
        <f>+IFERROR(VLOOKUP(Fact_Cumplimiento[[#This Row], [Concepto Anterior]],Conceptos_Cumplimiento[#All],5,0),"")</f>
        <v/>
      </c>
      <c r="F1414" t="str">
        <f>+IFERROR(VLOOKUP(Fact_Cumplimiento[[#This Row], 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ht="18.75" customHeight="1" x14ac:dyDescent="0.35">
      <c r="C1415" s="100" t="str">
        <f>IF(OR(Fact_Cumplimiento[[#This Row], [Año]]="",Fact_Cumplimiento[[#This Row], [Mes]]=""),"",DATE(A1415,MATCH(B1415,{"enero","febrero","marzo","abril","mayo","junio","julio","agosto","septiembre","octubre","noviembre","diciembre"},0)+1,0))</f>
        <v/>
      </c>
      <c r="E1415" t="str">
        <f>+IFERROR(VLOOKUP(Fact_Cumplimiento[[#This Row], [Concepto Anterior]],Conceptos_Cumplimiento[#All],5,0),"")</f>
        <v/>
      </c>
      <c r="F1415" t="str">
        <f>+IFERROR(VLOOKUP(Fact_Cumplimiento[[#This Row], 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ht="18.75" customHeight="1" x14ac:dyDescent="0.35">
      <c r="C1416" s="100" t="str">
        <f>IF(OR(Fact_Cumplimiento[[#This Row], [Año]]="",Fact_Cumplimiento[[#This Row], [Mes]]=""),"",DATE(A1416,MATCH(B1416,{"enero","febrero","marzo","abril","mayo","junio","julio","agosto","septiembre","octubre","noviembre","diciembre"},0)+1,0))</f>
        <v/>
      </c>
      <c r="E1416" t="str">
        <f>+IFERROR(VLOOKUP(Fact_Cumplimiento[[#This Row], [Concepto Anterior]],Conceptos_Cumplimiento[#All],5,0),"")</f>
        <v/>
      </c>
      <c r="F1416" t="str">
        <f>+IFERROR(VLOOKUP(Fact_Cumplimiento[[#This Row], 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ht="18.75" customHeight="1" x14ac:dyDescent="0.35">
      <c r="C1417" s="100" t="str">
        <f>IF(OR(Fact_Cumplimiento[[#This Row], [Año]]="",Fact_Cumplimiento[[#This Row], [Mes]]=""),"",DATE(A1417,MATCH(B1417,{"enero","febrero","marzo","abril","mayo","junio","julio","agosto","septiembre","octubre","noviembre","diciembre"},0)+1,0))</f>
        <v/>
      </c>
      <c r="E1417" t="str">
        <f>+IFERROR(VLOOKUP(Fact_Cumplimiento[[#This Row], [Concepto Anterior]],Conceptos_Cumplimiento[#All],5,0),"")</f>
        <v/>
      </c>
      <c r="F1417" t="str">
        <f>+IFERROR(VLOOKUP(Fact_Cumplimiento[[#This Row], 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ht="18.75" customHeight="1" x14ac:dyDescent="0.35">
      <c r="C1418" s="100" t="str">
        <f>IF(OR(Fact_Cumplimiento[[#This Row], [Año]]="",Fact_Cumplimiento[[#This Row], [Mes]]=""),"",DATE(A1418,MATCH(B1418,{"enero","febrero","marzo","abril","mayo","junio","julio","agosto","septiembre","octubre","noviembre","diciembre"},0)+1,0))</f>
        <v/>
      </c>
      <c r="E1418" t="str">
        <f>+IFERROR(VLOOKUP(Fact_Cumplimiento[[#This Row], [Concepto Anterior]],Conceptos_Cumplimiento[#All],5,0),"")</f>
        <v/>
      </c>
      <c r="F1418" t="str">
        <f>+IFERROR(VLOOKUP(Fact_Cumplimiento[[#This Row], 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ht="18.75" customHeight="1" x14ac:dyDescent="0.35">
      <c r="C1419" s="100" t="str">
        <f>IF(OR(Fact_Cumplimiento[[#This Row], [Año]]="",Fact_Cumplimiento[[#This Row], [Mes]]=""),"",DATE(A1419,MATCH(B1419,{"enero","febrero","marzo","abril","mayo","junio","julio","agosto","septiembre","octubre","noviembre","diciembre"},0)+1,0))</f>
        <v/>
      </c>
      <c r="E1419" t="str">
        <f>+IFERROR(VLOOKUP(Fact_Cumplimiento[[#This Row], [Concepto Anterior]],Conceptos_Cumplimiento[#All],5,0),"")</f>
        <v/>
      </c>
      <c r="F1419" t="str">
        <f>+IFERROR(VLOOKUP(Fact_Cumplimiento[[#This Row], 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ht="18.75" customHeight="1" x14ac:dyDescent="0.35">
      <c r="C1420" s="100" t="str">
        <f>IF(OR(Fact_Cumplimiento[[#This Row], [Año]]="",Fact_Cumplimiento[[#This Row], [Mes]]=""),"",DATE(A1420,MATCH(B1420,{"enero","febrero","marzo","abril","mayo","junio","julio","agosto","septiembre","octubre","noviembre","diciembre"},0)+1,0))</f>
        <v/>
      </c>
      <c r="E1420" t="str">
        <f>+IFERROR(VLOOKUP(Fact_Cumplimiento[[#This Row], [Concepto Anterior]],Conceptos_Cumplimiento[#All],5,0),"")</f>
        <v/>
      </c>
      <c r="F1420" t="str">
        <f>+IFERROR(VLOOKUP(Fact_Cumplimiento[[#This Row], 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ht="18.75" customHeight="1" x14ac:dyDescent="0.35">
      <c r="C1421" s="100" t="str">
        <f>IF(OR(Fact_Cumplimiento[[#This Row], [Año]]="",Fact_Cumplimiento[[#This Row], [Mes]]=""),"",DATE(A1421,MATCH(B1421,{"enero","febrero","marzo","abril","mayo","junio","julio","agosto","septiembre","octubre","noviembre","diciembre"},0)+1,0))</f>
        <v/>
      </c>
      <c r="E1421" t="str">
        <f>+IFERROR(VLOOKUP(Fact_Cumplimiento[[#This Row], [Concepto Anterior]],Conceptos_Cumplimiento[#All],5,0),"")</f>
        <v/>
      </c>
      <c r="F1421" t="str">
        <f>+IFERROR(VLOOKUP(Fact_Cumplimiento[[#This Row], 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ht="18.75" customHeight="1" x14ac:dyDescent="0.35">
      <c r="C1422" s="100" t="str">
        <f>IF(OR(Fact_Cumplimiento[[#This Row], [Año]]="",Fact_Cumplimiento[[#This Row], [Mes]]=""),"",DATE(A1422,MATCH(B1422,{"enero","febrero","marzo","abril","mayo","junio","julio","agosto","septiembre","octubre","noviembre","diciembre"},0)+1,0))</f>
        <v/>
      </c>
      <c r="E1422" t="str">
        <f>+IFERROR(VLOOKUP(Fact_Cumplimiento[[#This Row], [Concepto Anterior]],Conceptos_Cumplimiento[#All],5,0),"")</f>
        <v/>
      </c>
      <c r="F1422" t="str">
        <f>+IFERROR(VLOOKUP(Fact_Cumplimiento[[#This Row], 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ht="18.75" customHeight="1" x14ac:dyDescent="0.35">
      <c r="C1423" s="100" t="str">
        <f>IF(OR(Fact_Cumplimiento[[#This Row], [Año]]="",Fact_Cumplimiento[[#This Row], [Mes]]=""),"",DATE(A1423,MATCH(B1423,{"enero","febrero","marzo","abril","mayo","junio","julio","agosto","septiembre","octubre","noviembre","diciembre"},0)+1,0))</f>
        <v/>
      </c>
      <c r="E1423" t="str">
        <f>+IFERROR(VLOOKUP(Fact_Cumplimiento[[#This Row], [Concepto Anterior]],Conceptos_Cumplimiento[#All],5,0),"")</f>
        <v/>
      </c>
      <c r="F1423" t="str">
        <f>+IFERROR(VLOOKUP(Fact_Cumplimiento[[#This Row], 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ht="18.75" customHeight="1" x14ac:dyDescent="0.35">
      <c r="C1424" s="100" t="str">
        <f>IF(OR(Fact_Cumplimiento[[#This Row], [Año]]="",Fact_Cumplimiento[[#This Row], [Mes]]=""),"",DATE(A1424,MATCH(B1424,{"enero","febrero","marzo","abril","mayo","junio","julio","agosto","septiembre","octubre","noviembre","diciembre"},0)+1,0))</f>
        <v/>
      </c>
      <c r="E1424" t="str">
        <f>+IFERROR(VLOOKUP(Fact_Cumplimiento[[#This Row], [Concepto Anterior]],Conceptos_Cumplimiento[#All],5,0),"")</f>
        <v/>
      </c>
      <c r="F1424" t="str">
        <f>+IFERROR(VLOOKUP(Fact_Cumplimiento[[#This Row], 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ht="18.75" customHeight="1" x14ac:dyDescent="0.35">
      <c r="C1425" s="100" t="str">
        <f>IF(OR(Fact_Cumplimiento[[#This Row], [Año]]="",Fact_Cumplimiento[[#This Row], [Mes]]=""),"",DATE(A1425,MATCH(B1425,{"enero","febrero","marzo","abril","mayo","junio","julio","agosto","septiembre","octubre","noviembre","diciembre"},0)+1,0))</f>
        <v/>
      </c>
      <c r="E1425" t="str">
        <f>+IFERROR(VLOOKUP(Fact_Cumplimiento[[#This Row], [Concepto Anterior]],Conceptos_Cumplimiento[#All],5,0),"")</f>
        <v/>
      </c>
      <c r="F1425" t="str">
        <f>+IFERROR(VLOOKUP(Fact_Cumplimiento[[#This Row], 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ht="18.75" customHeight="1" x14ac:dyDescent="0.35">
      <c r="C1426" s="100" t="str">
        <f>IF(OR(Fact_Cumplimiento[[#This Row], [Año]]="",Fact_Cumplimiento[[#This Row], [Mes]]=""),"",DATE(A1426,MATCH(B1426,{"enero","febrero","marzo","abril","mayo","junio","julio","agosto","septiembre","octubre","noviembre","diciembre"},0)+1,0))</f>
        <v/>
      </c>
      <c r="E1426" t="str">
        <f>+IFERROR(VLOOKUP(Fact_Cumplimiento[[#This Row], [Concepto Anterior]],Conceptos_Cumplimiento[#All],5,0),"")</f>
        <v/>
      </c>
      <c r="F1426" t="str">
        <f>+IFERROR(VLOOKUP(Fact_Cumplimiento[[#This Row], 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ht="18.75" customHeight="1" x14ac:dyDescent="0.35">
      <c r="C1427" s="100" t="str">
        <f>IF(OR(Fact_Cumplimiento[[#This Row], [Año]]="",Fact_Cumplimiento[[#This Row], [Mes]]=""),"",DATE(A1427,MATCH(B1427,{"enero","febrero","marzo","abril","mayo","junio","julio","agosto","septiembre","octubre","noviembre","diciembre"},0)+1,0))</f>
        <v/>
      </c>
      <c r="E1427" t="str">
        <f>+IFERROR(VLOOKUP(Fact_Cumplimiento[[#This Row], [Concepto Anterior]],Conceptos_Cumplimiento[#All],5,0),"")</f>
        <v/>
      </c>
      <c r="F1427" t="str">
        <f>+IFERROR(VLOOKUP(Fact_Cumplimiento[[#This Row], 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ht="18.75" customHeight="1" x14ac:dyDescent="0.35">
      <c r="C1428" s="100" t="str">
        <f>IF(OR(Fact_Cumplimiento[[#This Row], [Año]]="",Fact_Cumplimiento[[#This Row], [Mes]]=""),"",DATE(A1428,MATCH(B1428,{"enero","febrero","marzo","abril","mayo","junio","julio","agosto","septiembre","octubre","noviembre","diciembre"},0)+1,0))</f>
        <v/>
      </c>
      <c r="E1428" t="str">
        <f>+IFERROR(VLOOKUP(Fact_Cumplimiento[[#This Row], [Concepto Anterior]],Conceptos_Cumplimiento[#All],5,0),"")</f>
        <v/>
      </c>
      <c r="F1428" t="str">
        <f>+IFERROR(VLOOKUP(Fact_Cumplimiento[[#This Row], 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ht="18.75" customHeight="1" x14ac:dyDescent="0.35">
      <c r="C1429" s="100" t="str">
        <f>IF(OR(Fact_Cumplimiento[[#This Row], [Año]]="",Fact_Cumplimiento[[#This Row], [Mes]]=""),"",DATE(A1429,MATCH(B1429,{"enero","febrero","marzo","abril","mayo","junio","julio","agosto","septiembre","octubre","noviembre","diciembre"},0)+1,0))</f>
        <v/>
      </c>
      <c r="E1429" t="str">
        <f>+IFERROR(VLOOKUP(Fact_Cumplimiento[[#This Row], [Concepto Anterior]],Conceptos_Cumplimiento[#All],5,0),"")</f>
        <v/>
      </c>
      <c r="F1429" t="str">
        <f>+IFERROR(VLOOKUP(Fact_Cumplimiento[[#This Row], 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ht="18.75" customHeight="1" x14ac:dyDescent="0.35">
      <c r="C1430" s="100" t="str">
        <f>IF(OR(Fact_Cumplimiento[[#This Row], [Año]]="",Fact_Cumplimiento[[#This Row], [Mes]]=""),"",DATE(A1430,MATCH(B1430,{"enero","febrero","marzo","abril","mayo","junio","julio","agosto","septiembre","octubre","noviembre","diciembre"},0)+1,0))</f>
        <v/>
      </c>
      <c r="E1430" t="str">
        <f>+IFERROR(VLOOKUP(Fact_Cumplimiento[[#This Row], [Concepto Anterior]],Conceptos_Cumplimiento[#All],5,0),"")</f>
        <v/>
      </c>
      <c r="F1430" t="str">
        <f>+IFERROR(VLOOKUP(Fact_Cumplimiento[[#This Row], 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ht="18.75" customHeight="1" x14ac:dyDescent="0.35">
      <c r="C1431" s="100" t="str">
        <f>IF(OR(Fact_Cumplimiento[[#This Row], [Año]]="",Fact_Cumplimiento[[#This Row], [Mes]]=""),"",DATE(A1431,MATCH(B1431,{"enero","febrero","marzo","abril","mayo","junio","julio","agosto","septiembre","octubre","noviembre","diciembre"},0)+1,0))</f>
        <v/>
      </c>
      <c r="E1431" t="str">
        <f>+IFERROR(VLOOKUP(Fact_Cumplimiento[[#This Row], [Concepto Anterior]],Conceptos_Cumplimiento[#All],5,0),"")</f>
        <v/>
      </c>
      <c r="F1431" t="str">
        <f>+IFERROR(VLOOKUP(Fact_Cumplimiento[[#This Row], 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ht="18.75" customHeight="1" x14ac:dyDescent="0.35">
      <c r="C1432" s="100" t="str">
        <f>IF(OR(Fact_Cumplimiento[[#This Row], [Año]]="",Fact_Cumplimiento[[#This Row], [Mes]]=""),"",DATE(A1432,MATCH(B1432,{"enero","febrero","marzo","abril","mayo","junio","julio","agosto","septiembre","octubre","noviembre","diciembre"},0)+1,0))</f>
        <v/>
      </c>
      <c r="E1432" t="str">
        <f>+IFERROR(VLOOKUP(Fact_Cumplimiento[[#This Row], [Concepto Anterior]],Conceptos_Cumplimiento[#All],5,0),"")</f>
        <v/>
      </c>
      <c r="F1432" t="str">
        <f>+IFERROR(VLOOKUP(Fact_Cumplimiento[[#This Row], 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ht="18.75" customHeight="1" x14ac:dyDescent="0.35">
      <c r="C1433" s="100" t="str">
        <f>IF(OR(Fact_Cumplimiento[[#This Row], [Año]]="",Fact_Cumplimiento[[#This Row], [Mes]]=""),"",DATE(A1433,MATCH(B1433,{"enero","febrero","marzo","abril","mayo","junio","julio","agosto","septiembre","octubre","noviembre","diciembre"},0)+1,0))</f>
        <v/>
      </c>
      <c r="E1433" t="str">
        <f>+IFERROR(VLOOKUP(Fact_Cumplimiento[[#This Row], [Concepto Anterior]],Conceptos_Cumplimiento[#All],5,0),"")</f>
        <v/>
      </c>
      <c r="F1433" t="str">
        <f>+IFERROR(VLOOKUP(Fact_Cumplimiento[[#This Row], 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ht="18.75" customHeight="1" x14ac:dyDescent="0.35">
      <c r="C1434" s="100" t="str">
        <f>IF(OR(Fact_Cumplimiento[[#This Row], [Año]]="",Fact_Cumplimiento[[#This Row], [Mes]]=""),"",DATE(A1434,MATCH(B1434,{"enero","febrero","marzo","abril","mayo","junio","julio","agosto","septiembre","octubre","noviembre","diciembre"},0)+1,0))</f>
        <v/>
      </c>
      <c r="E1434" t="str">
        <f>+IFERROR(VLOOKUP(Fact_Cumplimiento[[#This Row], [Concepto Anterior]],Conceptos_Cumplimiento[#All],5,0),"")</f>
        <v/>
      </c>
      <c r="F1434" t="str">
        <f>+IFERROR(VLOOKUP(Fact_Cumplimiento[[#This Row], 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ht="18.75" customHeight="1" x14ac:dyDescent="0.35">
      <c r="C1435" s="100" t="str">
        <f>IF(OR(Fact_Cumplimiento[[#This Row], [Año]]="",Fact_Cumplimiento[[#This Row], [Mes]]=""),"",DATE(A1435,MATCH(B1435,{"enero","febrero","marzo","abril","mayo","junio","julio","agosto","septiembre","octubre","noviembre","diciembre"},0)+1,0))</f>
        <v/>
      </c>
      <c r="E1435" t="str">
        <f>+IFERROR(VLOOKUP(Fact_Cumplimiento[[#This Row], [Concepto Anterior]],Conceptos_Cumplimiento[#All],5,0),"")</f>
        <v/>
      </c>
      <c r="F1435" t="str">
        <f>+IFERROR(VLOOKUP(Fact_Cumplimiento[[#This Row], 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ht="18.75" customHeight="1" x14ac:dyDescent="0.35">
      <c r="C1436" s="100" t="str">
        <f>IF(OR(Fact_Cumplimiento[[#This Row], [Año]]="",Fact_Cumplimiento[[#This Row], [Mes]]=""),"",DATE(A1436,MATCH(B1436,{"enero","febrero","marzo","abril","mayo","junio","julio","agosto","septiembre","octubre","noviembre","diciembre"},0)+1,0))</f>
        <v/>
      </c>
      <c r="E1436" t="str">
        <f>+IFERROR(VLOOKUP(Fact_Cumplimiento[[#This Row], [Concepto Anterior]],Conceptos_Cumplimiento[#All],5,0),"")</f>
        <v/>
      </c>
      <c r="F1436" t="str">
        <f>+IFERROR(VLOOKUP(Fact_Cumplimiento[[#This Row], 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ht="18.75" customHeight="1" x14ac:dyDescent="0.35">
      <c r="C1437" s="100" t="str">
        <f>IF(OR(Fact_Cumplimiento[[#This Row], [Año]]="",Fact_Cumplimiento[[#This Row], [Mes]]=""),"",DATE(A1437,MATCH(B1437,{"enero","febrero","marzo","abril","mayo","junio","julio","agosto","septiembre","octubre","noviembre","diciembre"},0)+1,0))</f>
        <v/>
      </c>
      <c r="E1437" t="str">
        <f>+IFERROR(VLOOKUP(Fact_Cumplimiento[[#This Row], [Concepto Anterior]],Conceptos_Cumplimiento[#All],5,0),"")</f>
        <v/>
      </c>
      <c r="F1437" t="str">
        <f>+IFERROR(VLOOKUP(Fact_Cumplimiento[[#This Row], 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ht="18.75" customHeight="1" x14ac:dyDescent="0.35">
      <c r="C1438" s="100" t="str">
        <f>IF(OR(Fact_Cumplimiento[[#This Row], [Año]]="",Fact_Cumplimiento[[#This Row], [Mes]]=""),"",DATE(A1438,MATCH(B1438,{"enero","febrero","marzo","abril","mayo","junio","julio","agosto","septiembre","octubre","noviembre","diciembre"},0)+1,0))</f>
        <v/>
      </c>
      <c r="E1438" t="str">
        <f>+IFERROR(VLOOKUP(Fact_Cumplimiento[[#This Row], [Concepto Anterior]],Conceptos_Cumplimiento[#All],5,0),"")</f>
        <v/>
      </c>
      <c r="F1438" t="str">
        <f>+IFERROR(VLOOKUP(Fact_Cumplimiento[[#This Row], 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ht="18.75" customHeight="1" x14ac:dyDescent="0.35">
      <c r="C1439" s="100" t="str">
        <f>IF(OR(Fact_Cumplimiento[[#This Row], [Año]]="",Fact_Cumplimiento[[#This Row], [Mes]]=""),"",DATE(A1439,MATCH(B1439,{"enero","febrero","marzo","abril","mayo","junio","julio","agosto","septiembre","octubre","noviembre","diciembre"},0)+1,0))</f>
        <v/>
      </c>
      <c r="E1439" t="str">
        <f>+IFERROR(VLOOKUP(Fact_Cumplimiento[[#This Row], [Concepto Anterior]],Conceptos_Cumplimiento[#All],5,0),"")</f>
        <v/>
      </c>
      <c r="F1439" t="str">
        <f>+IFERROR(VLOOKUP(Fact_Cumplimiento[[#This Row], 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ht="18.75" customHeight="1" x14ac:dyDescent="0.35">
      <c r="C1440" s="100" t="str">
        <f>IF(OR(Fact_Cumplimiento[[#This Row], [Año]]="",Fact_Cumplimiento[[#This Row], [Mes]]=""),"",DATE(A1440,MATCH(B1440,{"enero","febrero","marzo","abril","mayo","junio","julio","agosto","septiembre","octubre","noviembre","diciembre"},0)+1,0))</f>
        <v/>
      </c>
      <c r="E1440" t="str">
        <f>+IFERROR(VLOOKUP(Fact_Cumplimiento[[#This Row], [Concepto Anterior]],Conceptos_Cumplimiento[#All],5,0),"")</f>
        <v/>
      </c>
      <c r="F1440" t="str">
        <f>+IFERROR(VLOOKUP(Fact_Cumplimiento[[#This Row], 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ht="18.75" customHeight="1" x14ac:dyDescent="0.35">
      <c r="C1441" s="100" t="str">
        <f>IF(OR(Fact_Cumplimiento[[#This Row], [Año]]="",Fact_Cumplimiento[[#This Row], [Mes]]=""),"",DATE(A1441,MATCH(B1441,{"enero","febrero","marzo","abril","mayo","junio","julio","agosto","septiembre","octubre","noviembre","diciembre"},0)+1,0))</f>
        <v/>
      </c>
      <c r="E1441" t="str">
        <f>+IFERROR(VLOOKUP(Fact_Cumplimiento[[#This Row], [Concepto Anterior]],Conceptos_Cumplimiento[#All],5,0),"")</f>
        <v/>
      </c>
      <c r="F1441" t="str">
        <f>+IFERROR(VLOOKUP(Fact_Cumplimiento[[#This Row], 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ht="18.75" customHeight="1" x14ac:dyDescent="0.35">
      <c r="C1442" s="100" t="str">
        <f>IF(OR(Fact_Cumplimiento[[#This Row], [Año]]="",Fact_Cumplimiento[[#This Row], [Mes]]=""),"",DATE(A1442,MATCH(B1442,{"enero","febrero","marzo","abril","mayo","junio","julio","agosto","septiembre","octubre","noviembre","diciembre"},0)+1,0))</f>
        <v/>
      </c>
      <c r="E1442" t="str">
        <f>+IFERROR(VLOOKUP(Fact_Cumplimiento[[#This Row], [Concepto Anterior]],Conceptos_Cumplimiento[#All],5,0),"")</f>
        <v/>
      </c>
      <c r="F1442" t="str">
        <f>+IFERROR(VLOOKUP(Fact_Cumplimiento[[#This Row], 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ht="18.75" customHeight="1" x14ac:dyDescent="0.35">
      <c r="C1443" s="100" t="str">
        <f>IF(OR(Fact_Cumplimiento[[#This Row], [Año]]="",Fact_Cumplimiento[[#This Row], [Mes]]=""),"",DATE(A1443,MATCH(B1443,{"enero","febrero","marzo","abril","mayo","junio","julio","agosto","septiembre","octubre","noviembre","diciembre"},0)+1,0))</f>
        <v/>
      </c>
      <c r="E1443" t="str">
        <f>+IFERROR(VLOOKUP(Fact_Cumplimiento[[#This Row], [Concepto Anterior]],Conceptos_Cumplimiento[#All],5,0),"")</f>
        <v/>
      </c>
      <c r="F1443" t="str">
        <f>+IFERROR(VLOOKUP(Fact_Cumplimiento[[#This Row], 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ht="18.75" customHeight="1" x14ac:dyDescent="0.35">
      <c r="C1444" s="100" t="str">
        <f>IF(OR(Fact_Cumplimiento[[#This Row], [Año]]="",Fact_Cumplimiento[[#This Row], [Mes]]=""),"",DATE(A1444,MATCH(B1444,{"enero","febrero","marzo","abril","mayo","junio","julio","agosto","septiembre","octubre","noviembre","diciembre"},0)+1,0))</f>
        <v/>
      </c>
      <c r="E1444" t="str">
        <f>+IFERROR(VLOOKUP(Fact_Cumplimiento[[#This Row], [Concepto Anterior]],Conceptos_Cumplimiento[#All],5,0),"")</f>
        <v/>
      </c>
      <c r="F1444" t="str">
        <f>+IFERROR(VLOOKUP(Fact_Cumplimiento[[#This Row], 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ht="18.75" customHeight="1" x14ac:dyDescent="0.35">
      <c r="C1445" s="100" t="str">
        <f>IF(OR(Fact_Cumplimiento[[#This Row], [Año]]="",Fact_Cumplimiento[[#This Row], [Mes]]=""),"",DATE(A1445,MATCH(B1445,{"enero","febrero","marzo","abril","mayo","junio","julio","agosto","septiembre","octubre","noviembre","diciembre"},0)+1,0))</f>
        <v/>
      </c>
      <c r="E1445" t="str">
        <f>+IFERROR(VLOOKUP(Fact_Cumplimiento[[#This Row], [Concepto Anterior]],Conceptos_Cumplimiento[#All],5,0),"")</f>
        <v/>
      </c>
      <c r="F1445" t="str">
        <f>+IFERROR(VLOOKUP(Fact_Cumplimiento[[#This Row], 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ht="18.75" customHeight="1" x14ac:dyDescent="0.35">
      <c r="C1446" s="100" t="str">
        <f>IF(OR(Fact_Cumplimiento[[#This Row], [Año]]="",Fact_Cumplimiento[[#This Row], [Mes]]=""),"",DATE(A1446,MATCH(B1446,{"enero","febrero","marzo","abril","mayo","junio","julio","agosto","septiembre","octubre","noviembre","diciembre"},0)+1,0))</f>
        <v/>
      </c>
      <c r="E1446" t="str">
        <f>+IFERROR(VLOOKUP(Fact_Cumplimiento[[#This Row], [Concepto Anterior]],Conceptos_Cumplimiento[#All],5,0),"")</f>
        <v/>
      </c>
      <c r="F1446" t="str">
        <f>+IFERROR(VLOOKUP(Fact_Cumplimiento[[#This Row], 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ht="18.75" customHeight="1" x14ac:dyDescent="0.35">
      <c r="C1447" s="100" t="str">
        <f>IF(OR(Fact_Cumplimiento[[#This Row], [Año]]="",Fact_Cumplimiento[[#This Row], [Mes]]=""),"",DATE(A1447,MATCH(B1447,{"enero","febrero","marzo","abril","mayo","junio","julio","agosto","septiembre","octubre","noviembre","diciembre"},0)+1,0))</f>
        <v/>
      </c>
      <c r="E1447" t="str">
        <f>+IFERROR(VLOOKUP(Fact_Cumplimiento[[#This Row], [Concepto Anterior]],Conceptos_Cumplimiento[#All],5,0),"")</f>
        <v/>
      </c>
      <c r="F1447" t="str">
        <f>+IFERROR(VLOOKUP(Fact_Cumplimiento[[#This Row], 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ht="18.75" customHeight="1" x14ac:dyDescent="0.35">
      <c r="C1448" s="100" t="str">
        <f>IF(OR(Fact_Cumplimiento[[#This Row], [Año]]="",Fact_Cumplimiento[[#This Row], [Mes]]=""),"",DATE(A1448,MATCH(B1448,{"enero","febrero","marzo","abril","mayo","junio","julio","agosto","septiembre","octubre","noviembre","diciembre"},0)+1,0))</f>
        <v/>
      </c>
      <c r="E1448" t="str">
        <f>+IFERROR(VLOOKUP(Fact_Cumplimiento[[#This Row], [Concepto Anterior]],Conceptos_Cumplimiento[#All],5,0),"")</f>
        <v/>
      </c>
      <c r="F1448" t="str">
        <f>+IFERROR(VLOOKUP(Fact_Cumplimiento[[#This Row], 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ht="18.75" customHeight="1" x14ac:dyDescent="0.35">
      <c r="C1449" s="100" t="str">
        <f>IF(OR(Fact_Cumplimiento[[#This Row], [Año]]="",Fact_Cumplimiento[[#This Row], [Mes]]=""),"",DATE(A1449,MATCH(B1449,{"enero","febrero","marzo","abril","mayo","junio","julio","agosto","septiembre","octubre","noviembre","diciembre"},0)+1,0))</f>
        <v/>
      </c>
      <c r="E1449" t="str">
        <f>+IFERROR(VLOOKUP(Fact_Cumplimiento[[#This Row], [Concepto Anterior]],Conceptos_Cumplimiento[#All],5,0),"")</f>
        <v/>
      </c>
      <c r="F1449" t="str">
        <f>+IFERROR(VLOOKUP(Fact_Cumplimiento[[#This Row], 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ht="18.75" customHeight="1" x14ac:dyDescent="0.35">
      <c r="C1450" s="100" t="str">
        <f>IF(OR(Fact_Cumplimiento[[#This Row], [Año]]="",Fact_Cumplimiento[[#This Row], [Mes]]=""),"",DATE(A1450,MATCH(B1450,{"enero","febrero","marzo","abril","mayo","junio","julio","agosto","septiembre","octubre","noviembre","diciembre"},0)+1,0))</f>
        <v/>
      </c>
      <c r="E1450" t="str">
        <f>+IFERROR(VLOOKUP(Fact_Cumplimiento[[#This Row], [Concepto Anterior]],Conceptos_Cumplimiento[#All],5,0),"")</f>
        <v/>
      </c>
      <c r="F1450" t="str">
        <f>+IFERROR(VLOOKUP(Fact_Cumplimiento[[#This Row], 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ht="18.75" customHeight="1" x14ac:dyDescent="0.35">
      <c r="C1451" s="100" t="str">
        <f>IF(OR(Fact_Cumplimiento[[#This Row], [Año]]="",Fact_Cumplimiento[[#This Row], [Mes]]=""),"",DATE(A1451,MATCH(B1451,{"enero","febrero","marzo","abril","mayo","junio","julio","agosto","septiembre","octubre","noviembre","diciembre"},0)+1,0))</f>
        <v/>
      </c>
      <c r="E1451" t="str">
        <f>+IFERROR(VLOOKUP(Fact_Cumplimiento[[#This Row], [Concepto Anterior]],Conceptos_Cumplimiento[#All],5,0),"")</f>
        <v/>
      </c>
      <c r="F1451" t="str">
        <f>+IFERROR(VLOOKUP(Fact_Cumplimiento[[#This Row], 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ht="18.75" customHeight="1" x14ac:dyDescent="0.35">
      <c r="C1452" s="100" t="str">
        <f>IF(OR(Fact_Cumplimiento[[#This Row], [Año]]="",Fact_Cumplimiento[[#This Row], [Mes]]=""),"",DATE(A1452,MATCH(B1452,{"enero","febrero","marzo","abril","mayo","junio","julio","agosto","septiembre","octubre","noviembre","diciembre"},0)+1,0))</f>
        <v/>
      </c>
      <c r="E1452" t="str">
        <f>+IFERROR(VLOOKUP(Fact_Cumplimiento[[#This Row], [Concepto Anterior]],Conceptos_Cumplimiento[#All],5,0),"")</f>
        <v/>
      </c>
      <c r="F1452" t="str">
        <f>+IFERROR(VLOOKUP(Fact_Cumplimiento[[#This Row], 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ht="18.75" customHeight="1" x14ac:dyDescent="0.35">
      <c r="C1453" s="100" t="str">
        <f>IF(OR(Fact_Cumplimiento[[#This Row], [Año]]="",Fact_Cumplimiento[[#This Row], [Mes]]=""),"",DATE(A1453,MATCH(B1453,{"enero","febrero","marzo","abril","mayo","junio","julio","agosto","septiembre","octubre","noviembre","diciembre"},0)+1,0))</f>
        <v/>
      </c>
      <c r="E1453" t="str">
        <f>+IFERROR(VLOOKUP(Fact_Cumplimiento[[#This Row], [Concepto Anterior]],Conceptos_Cumplimiento[#All],5,0),"")</f>
        <v/>
      </c>
      <c r="F1453" t="str">
        <f>+IFERROR(VLOOKUP(Fact_Cumplimiento[[#This Row], 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ht="18.75" customHeight="1" x14ac:dyDescent="0.35">
      <c r="C1454" s="100" t="str">
        <f>IF(OR(Fact_Cumplimiento[[#This Row], [Año]]="",Fact_Cumplimiento[[#This Row], [Mes]]=""),"",DATE(A1454,MATCH(B1454,{"enero","febrero","marzo","abril","mayo","junio","julio","agosto","septiembre","octubre","noviembre","diciembre"},0)+1,0))</f>
        <v/>
      </c>
      <c r="E1454" t="str">
        <f>+IFERROR(VLOOKUP(Fact_Cumplimiento[[#This Row], [Concepto Anterior]],Conceptos_Cumplimiento[#All],5,0),"")</f>
        <v/>
      </c>
      <c r="F1454" t="str">
        <f>+IFERROR(VLOOKUP(Fact_Cumplimiento[[#This Row], 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ht="18.75" customHeight="1" x14ac:dyDescent="0.35">
      <c r="C1455" s="100" t="str">
        <f>IF(OR(Fact_Cumplimiento[[#This Row], [Año]]="",Fact_Cumplimiento[[#This Row], [Mes]]=""),"",DATE(A1455,MATCH(B1455,{"enero","febrero","marzo","abril","mayo","junio","julio","agosto","septiembre","octubre","noviembre","diciembre"},0)+1,0))</f>
        <v/>
      </c>
      <c r="E1455" t="str">
        <f>+IFERROR(VLOOKUP(Fact_Cumplimiento[[#This Row], [Concepto Anterior]],Conceptos_Cumplimiento[#All],5,0),"")</f>
        <v/>
      </c>
      <c r="F1455" t="str">
        <f>+IFERROR(VLOOKUP(Fact_Cumplimiento[[#This Row], 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ht="18.75" customHeight="1" x14ac:dyDescent="0.35">
      <c r="C1456" s="100" t="str">
        <f>IF(OR(Fact_Cumplimiento[[#This Row], [Año]]="",Fact_Cumplimiento[[#This Row], [Mes]]=""),"",DATE(A1456,MATCH(B1456,{"enero","febrero","marzo","abril","mayo","junio","julio","agosto","septiembre","octubre","noviembre","diciembre"},0)+1,0))</f>
        <v/>
      </c>
      <c r="E1456" t="str">
        <f>+IFERROR(VLOOKUP(Fact_Cumplimiento[[#This Row], [Concepto Anterior]],Conceptos_Cumplimiento[#All],5,0),"")</f>
        <v/>
      </c>
      <c r="F1456" t="str">
        <f>+IFERROR(VLOOKUP(Fact_Cumplimiento[[#This Row], 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ht="18.75" customHeight="1" x14ac:dyDescent="0.35">
      <c r="C1457" s="100" t="str">
        <f>IF(OR(Fact_Cumplimiento[[#This Row], [Año]]="",Fact_Cumplimiento[[#This Row], [Mes]]=""),"",DATE(A1457,MATCH(B1457,{"enero","febrero","marzo","abril","mayo","junio","julio","agosto","septiembre","octubre","noviembre","diciembre"},0)+1,0))</f>
        <v/>
      </c>
      <c r="E1457" t="str">
        <f>+IFERROR(VLOOKUP(Fact_Cumplimiento[[#This Row], [Concepto Anterior]],Conceptos_Cumplimiento[#All],5,0),"")</f>
        <v/>
      </c>
      <c r="F1457" t="str">
        <f>+IFERROR(VLOOKUP(Fact_Cumplimiento[[#This Row], 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ht="18.75" customHeight="1" x14ac:dyDescent="0.35">
      <c r="C1458" s="100" t="str">
        <f>IF(OR(Fact_Cumplimiento[[#This Row], [Año]]="",Fact_Cumplimiento[[#This Row], [Mes]]=""),"",DATE(A1458,MATCH(B1458,{"enero","febrero","marzo","abril","mayo","junio","julio","agosto","septiembre","octubre","noviembre","diciembre"},0)+1,0))</f>
        <v/>
      </c>
      <c r="E1458" t="str">
        <f>+IFERROR(VLOOKUP(Fact_Cumplimiento[[#This Row], [Concepto Anterior]],Conceptos_Cumplimiento[#All],5,0),"")</f>
        <v/>
      </c>
      <c r="F1458" t="str">
        <f>+IFERROR(VLOOKUP(Fact_Cumplimiento[[#This Row], 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ht="18.75" customHeight="1" x14ac:dyDescent="0.35">
      <c r="C1459" s="100" t="str">
        <f>IF(OR(Fact_Cumplimiento[[#This Row], [Año]]="",Fact_Cumplimiento[[#This Row], [Mes]]=""),"",DATE(A1459,MATCH(B1459,{"enero","febrero","marzo","abril","mayo","junio","julio","agosto","septiembre","octubre","noviembre","diciembre"},0)+1,0))</f>
        <v/>
      </c>
      <c r="E1459" t="str">
        <f>+IFERROR(VLOOKUP(Fact_Cumplimiento[[#This Row], [Concepto Anterior]],Conceptos_Cumplimiento[#All],5,0),"")</f>
        <v/>
      </c>
      <c r="F1459" t="str">
        <f>+IFERROR(VLOOKUP(Fact_Cumplimiento[[#This Row], 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ht="18.75" customHeight="1" x14ac:dyDescent="0.35">
      <c r="C1460" s="100" t="str">
        <f>IF(OR(Fact_Cumplimiento[[#This Row], [Año]]="",Fact_Cumplimiento[[#This Row], [Mes]]=""),"",DATE(A1460,MATCH(B1460,{"enero","febrero","marzo","abril","mayo","junio","julio","agosto","septiembre","octubre","noviembre","diciembre"},0)+1,0))</f>
        <v/>
      </c>
      <c r="E1460" t="str">
        <f>+IFERROR(VLOOKUP(Fact_Cumplimiento[[#This Row], [Concepto Anterior]],Conceptos_Cumplimiento[#All],5,0),"")</f>
        <v/>
      </c>
      <c r="F1460" t="str">
        <f>+IFERROR(VLOOKUP(Fact_Cumplimiento[[#This Row], 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ht="18.75" customHeight="1" x14ac:dyDescent="0.35">
      <c r="C1461" s="100" t="str">
        <f>IF(OR(Fact_Cumplimiento[[#This Row], [Año]]="",Fact_Cumplimiento[[#This Row], [Mes]]=""),"",DATE(A1461,MATCH(B1461,{"enero","febrero","marzo","abril","mayo","junio","julio","agosto","septiembre","octubre","noviembre","diciembre"},0)+1,0))</f>
        <v/>
      </c>
      <c r="E1461" t="str">
        <f>+IFERROR(VLOOKUP(Fact_Cumplimiento[[#This Row], [Concepto Anterior]],Conceptos_Cumplimiento[#All],5,0),"")</f>
        <v/>
      </c>
      <c r="F1461" t="str">
        <f>+IFERROR(VLOOKUP(Fact_Cumplimiento[[#This Row], 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ht="18.75" customHeight="1" x14ac:dyDescent="0.35">
      <c r="C1462" s="100" t="str">
        <f>IF(OR(Fact_Cumplimiento[[#This Row], [Año]]="",Fact_Cumplimiento[[#This Row], [Mes]]=""),"",DATE(A1462,MATCH(B1462,{"enero","febrero","marzo","abril","mayo","junio","julio","agosto","septiembre","octubre","noviembre","diciembre"},0)+1,0))</f>
        <v/>
      </c>
      <c r="E1462" t="str">
        <f>+IFERROR(VLOOKUP(Fact_Cumplimiento[[#This Row], [Concepto Anterior]],Conceptos_Cumplimiento[#All],5,0),"")</f>
        <v/>
      </c>
      <c r="F1462" t="str">
        <f>+IFERROR(VLOOKUP(Fact_Cumplimiento[[#This Row], 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ht="18.75" customHeight="1" x14ac:dyDescent="0.35">
      <c r="C1463" s="100" t="str">
        <f>IF(OR(Fact_Cumplimiento[[#This Row], [Año]]="",Fact_Cumplimiento[[#This Row], [Mes]]=""),"",DATE(A1463,MATCH(B1463,{"enero","febrero","marzo","abril","mayo","junio","julio","agosto","septiembre","octubre","noviembre","diciembre"},0)+1,0))</f>
        <v/>
      </c>
      <c r="E1463" t="str">
        <f>+IFERROR(VLOOKUP(Fact_Cumplimiento[[#This Row], [Concepto Anterior]],Conceptos_Cumplimiento[#All],5,0),"")</f>
        <v/>
      </c>
      <c r="F1463" t="str">
        <f>+IFERROR(VLOOKUP(Fact_Cumplimiento[[#This Row], 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ht="18.75" customHeight="1" x14ac:dyDescent="0.35">
      <c r="C1464" s="100" t="str">
        <f>IF(OR(Fact_Cumplimiento[[#This Row], [Año]]="",Fact_Cumplimiento[[#This Row], [Mes]]=""),"",DATE(A1464,MATCH(B1464,{"enero","febrero","marzo","abril","mayo","junio","julio","agosto","septiembre","octubre","noviembre","diciembre"},0)+1,0))</f>
        <v/>
      </c>
      <c r="E1464" t="str">
        <f>+IFERROR(VLOOKUP(Fact_Cumplimiento[[#This Row], [Concepto Anterior]],Conceptos_Cumplimiento[#All],5,0),"")</f>
        <v/>
      </c>
      <c r="F1464" t="str">
        <f>+IFERROR(VLOOKUP(Fact_Cumplimiento[[#This Row], 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ht="18.75" customHeight="1" x14ac:dyDescent="0.35">
      <c r="C1465" s="100" t="str">
        <f>IF(OR(Fact_Cumplimiento[[#This Row], [Año]]="",Fact_Cumplimiento[[#This Row], [Mes]]=""),"",DATE(A1465,MATCH(B1465,{"enero","febrero","marzo","abril","mayo","junio","julio","agosto","septiembre","octubre","noviembre","diciembre"},0)+1,0))</f>
        <v/>
      </c>
      <c r="E1465" t="str">
        <f>+IFERROR(VLOOKUP(Fact_Cumplimiento[[#This Row], [Concepto Anterior]],Conceptos_Cumplimiento[#All],5,0),"")</f>
        <v/>
      </c>
      <c r="F1465" t="str">
        <f>+IFERROR(VLOOKUP(Fact_Cumplimiento[[#This Row], 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ht="18.75" customHeight="1" x14ac:dyDescent="0.35">
      <c r="C1466" s="100" t="str">
        <f>IF(OR(Fact_Cumplimiento[[#This Row], [Año]]="",Fact_Cumplimiento[[#This Row], [Mes]]=""),"",DATE(A1466,MATCH(B1466,{"enero","febrero","marzo","abril","mayo","junio","julio","agosto","septiembre","octubre","noviembre","diciembre"},0)+1,0))</f>
        <v/>
      </c>
      <c r="E1466" t="str">
        <f>+IFERROR(VLOOKUP(Fact_Cumplimiento[[#This Row], [Concepto Anterior]],Conceptos_Cumplimiento[#All],5,0),"")</f>
        <v/>
      </c>
      <c r="F1466" t="str">
        <f>+IFERROR(VLOOKUP(Fact_Cumplimiento[[#This Row], 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ht="18.75" customHeight="1" x14ac:dyDescent="0.35">
      <c r="C1467" s="100" t="str">
        <f>IF(OR(Fact_Cumplimiento[[#This Row], [Año]]="",Fact_Cumplimiento[[#This Row], [Mes]]=""),"",DATE(A1467,MATCH(B1467,{"enero","febrero","marzo","abril","mayo","junio","julio","agosto","septiembre","octubre","noviembre","diciembre"},0)+1,0))</f>
        <v/>
      </c>
      <c r="E1467" t="str">
        <f>+IFERROR(VLOOKUP(Fact_Cumplimiento[[#This Row], [Concepto Anterior]],Conceptos_Cumplimiento[#All],5,0),"")</f>
        <v/>
      </c>
      <c r="F1467" t="str">
        <f>+IFERROR(VLOOKUP(Fact_Cumplimiento[[#This Row], 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ht="18.75" customHeight="1" x14ac:dyDescent="0.35">
      <c r="C1468" s="100" t="str">
        <f>IF(OR(Fact_Cumplimiento[[#This Row], [Año]]="",Fact_Cumplimiento[[#This Row], [Mes]]=""),"",DATE(A1468,MATCH(B1468,{"enero","febrero","marzo","abril","mayo","junio","julio","agosto","septiembre","octubre","noviembre","diciembre"},0)+1,0))</f>
        <v/>
      </c>
      <c r="E1468" t="str">
        <f>+IFERROR(VLOOKUP(Fact_Cumplimiento[[#This Row], [Concepto Anterior]],Conceptos_Cumplimiento[#All],5,0),"")</f>
        <v/>
      </c>
      <c r="F1468" t="str">
        <f>+IFERROR(VLOOKUP(Fact_Cumplimiento[[#This Row], 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ht="18.75" customHeight="1" x14ac:dyDescent="0.35">
      <c r="C1469" s="100" t="str">
        <f>IF(OR(Fact_Cumplimiento[[#This Row], [Año]]="",Fact_Cumplimiento[[#This Row], [Mes]]=""),"",DATE(A1469,MATCH(B1469,{"enero","febrero","marzo","abril","mayo","junio","julio","agosto","septiembre","octubre","noviembre","diciembre"},0)+1,0))</f>
        <v/>
      </c>
      <c r="E1469" t="str">
        <f>+IFERROR(VLOOKUP(Fact_Cumplimiento[[#This Row], [Concepto Anterior]],Conceptos_Cumplimiento[#All],5,0),"")</f>
        <v/>
      </c>
      <c r="F1469" t="str">
        <f>+IFERROR(VLOOKUP(Fact_Cumplimiento[[#This Row], 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ht="18.75" customHeight="1" x14ac:dyDescent="0.35">
      <c r="C1470" s="100" t="str">
        <f>IF(OR(Fact_Cumplimiento[[#This Row], [Año]]="",Fact_Cumplimiento[[#This Row], [Mes]]=""),"",DATE(A1470,MATCH(B1470,{"enero","febrero","marzo","abril","mayo","junio","julio","agosto","septiembre","octubre","noviembre","diciembre"},0)+1,0))</f>
        <v/>
      </c>
      <c r="E1470" t="str">
        <f>+IFERROR(VLOOKUP(Fact_Cumplimiento[[#This Row], [Concepto Anterior]],Conceptos_Cumplimiento[#All],5,0),"")</f>
        <v/>
      </c>
      <c r="F1470" t="str">
        <f>+IFERROR(VLOOKUP(Fact_Cumplimiento[[#This Row], 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ht="18.75" customHeight="1" x14ac:dyDescent="0.35">
      <c r="C1471" s="100" t="str">
        <f>IF(OR(Fact_Cumplimiento[[#This Row], [Año]]="",Fact_Cumplimiento[[#This Row], [Mes]]=""),"",DATE(A1471,MATCH(B1471,{"enero","febrero","marzo","abril","mayo","junio","julio","agosto","septiembre","octubre","noviembre","diciembre"},0)+1,0))</f>
        <v/>
      </c>
      <c r="E1471" t="str">
        <f>+IFERROR(VLOOKUP(Fact_Cumplimiento[[#This Row], [Concepto Anterior]],Conceptos_Cumplimiento[#All],5,0),"")</f>
        <v/>
      </c>
      <c r="F1471" t="str">
        <f>+IFERROR(VLOOKUP(Fact_Cumplimiento[[#This Row], 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ht="18.75" customHeight="1" x14ac:dyDescent="0.35">
      <c r="C1472" s="100" t="str">
        <f>IF(OR(Fact_Cumplimiento[[#This Row], [Año]]="",Fact_Cumplimiento[[#This Row], [Mes]]=""),"",DATE(A1472,MATCH(B1472,{"enero","febrero","marzo","abril","mayo","junio","julio","agosto","septiembre","octubre","noviembre","diciembre"},0)+1,0))</f>
        <v/>
      </c>
      <c r="E1472" t="str">
        <f>+IFERROR(VLOOKUP(Fact_Cumplimiento[[#This Row], [Concepto Anterior]],Conceptos_Cumplimiento[#All],5,0),"")</f>
        <v/>
      </c>
      <c r="F1472" t="str">
        <f>+IFERROR(VLOOKUP(Fact_Cumplimiento[[#This Row], 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ht="18.75" customHeight="1" x14ac:dyDescent="0.35">
      <c r="C1473" s="100" t="str">
        <f>IF(OR(Fact_Cumplimiento[[#This Row], [Año]]="",Fact_Cumplimiento[[#This Row], [Mes]]=""),"",DATE(A1473,MATCH(B1473,{"enero","febrero","marzo","abril","mayo","junio","julio","agosto","septiembre","octubre","noviembre","diciembre"},0)+1,0))</f>
        <v/>
      </c>
      <c r="E1473" t="str">
        <f>+IFERROR(VLOOKUP(Fact_Cumplimiento[[#This Row], [Concepto Anterior]],Conceptos_Cumplimiento[#All],5,0),"")</f>
        <v/>
      </c>
      <c r="F1473" t="str">
        <f>+IFERROR(VLOOKUP(Fact_Cumplimiento[[#This Row], 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ht="18.75" customHeight="1" x14ac:dyDescent="0.35">
      <c r="C1474" s="100" t="str">
        <f>IF(OR(Fact_Cumplimiento[[#This Row], [Año]]="",Fact_Cumplimiento[[#This Row], [Mes]]=""),"",DATE(A1474,MATCH(B1474,{"enero","febrero","marzo","abril","mayo","junio","julio","agosto","septiembre","octubre","noviembre","diciembre"},0)+1,0))</f>
        <v/>
      </c>
      <c r="E1474" t="str">
        <f>+IFERROR(VLOOKUP(Fact_Cumplimiento[[#This Row], [Concepto Anterior]],Conceptos_Cumplimiento[#All],5,0),"")</f>
        <v/>
      </c>
      <c r="F1474" t="str">
        <f>+IFERROR(VLOOKUP(Fact_Cumplimiento[[#This Row], 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ht="18.75" customHeight="1" x14ac:dyDescent="0.35">
      <c r="C1475" s="100" t="str">
        <f>IF(OR(Fact_Cumplimiento[[#This Row], [Año]]="",Fact_Cumplimiento[[#This Row], [Mes]]=""),"",DATE(A1475,MATCH(B1475,{"enero","febrero","marzo","abril","mayo","junio","julio","agosto","septiembre","octubre","noviembre","diciembre"},0)+1,0))</f>
        <v/>
      </c>
      <c r="E1475" t="str">
        <f>+IFERROR(VLOOKUP(Fact_Cumplimiento[[#This Row], [Concepto Anterior]],Conceptos_Cumplimiento[#All],5,0),"")</f>
        <v/>
      </c>
      <c r="F1475" t="str">
        <f>+IFERROR(VLOOKUP(Fact_Cumplimiento[[#This Row], 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ht="18.75" customHeight="1" x14ac:dyDescent="0.35">
      <c r="C1476" s="100" t="str">
        <f>IF(OR(Fact_Cumplimiento[[#This Row], [Año]]="",Fact_Cumplimiento[[#This Row], [Mes]]=""),"",DATE(A1476,MATCH(B1476,{"enero","febrero","marzo","abril","mayo","junio","julio","agosto","septiembre","octubre","noviembre","diciembre"},0)+1,0))</f>
        <v/>
      </c>
      <c r="E1476" t="str">
        <f>+IFERROR(VLOOKUP(Fact_Cumplimiento[[#This Row], [Concepto Anterior]],Conceptos_Cumplimiento[#All],5,0),"")</f>
        <v/>
      </c>
      <c r="F1476" t="str">
        <f>+IFERROR(VLOOKUP(Fact_Cumplimiento[[#This Row], 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ht="18.75" customHeight="1" x14ac:dyDescent="0.35">
      <c r="C1477" s="100" t="str">
        <f>IF(OR(Fact_Cumplimiento[[#This Row], [Año]]="",Fact_Cumplimiento[[#This Row], [Mes]]=""),"",DATE(A1477,MATCH(B1477,{"enero","febrero","marzo","abril","mayo","junio","julio","agosto","septiembre","octubre","noviembre","diciembre"},0)+1,0))</f>
        <v/>
      </c>
      <c r="E1477" t="str">
        <f>+IFERROR(VLOOKUP(Fact_Cumplimiento[[#This Row], [Concepto Anterior]],Conceptos_Cumplimiento[#All],5,0),"")</f>
        <v/>
      </c>
      <c r="F1477" t="str">
        <f>+IFERROR(VLOOKUP(Fact_Cumplimiento[[#This Row], 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ht="18.75" customHeight="1" x14ac:dyDescent="0.35">
      <c r="C1478" s="100" t="str">
        <f>IF(OR(Fact_Cumplimiento[[#This Row], [Año]]="",Fact_Cumplimiento[[#This Row], [Mes]]=""),"",DATE(A1478,MATCH(B1478,{"enero","febrero","marzo","abril","mayo","junio","julio","agosto","septiembre","octubre","noviembre","diciembre"},0)+1,0))</f>
        <v/>
      </c>
      <c r="E1478" t="str">
        <f>+IFERROR(VLOOKUP(Fact_Cumplimiento[[#This Row], [Concepto Anterior]],Conceptos_Cumplimiento[#All],5,0),"")</f>
        <v/>
      </c>
      <c r="F1478" t="str">
        <f>+IFERROR(VLOOKUP(Fact_Cumplimiento[[#This Row], 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ht="18.75" customHeight="1" x14ac:dyDescent="0.35">
      <c r="C1479" s="100" t="str">
        <f>IF(OR(Fact_Cumplimiento[[#This Row], [Año]]="",Fact_Cumplimiento[[#This Row], [Mes]]=""),"",DATE(A1479,MATCH(B1479,{"enero","febrero","marzo","abril","mayo","junio","julio","agosto","septiembre","octubre","noviembre","diciembre"},0)+1,0))</f>
        <v/>
      </c>
      <c r="E1479" t="str">
        <f>+IFERROR(VLOOKUP(Fact_Cumplimiento[[#This Row], [Concepto Anterior]],Conceptos_Cumplimiento[#All],5,0),"")</f>
        <v/>
      </c>
      <c r="F1479" t="str">
        <f>+IFERROR(VLOOKUP(Fact_Cumplimiento[[#This Row], 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ht="18.75" customHeight="1" x14ac:dyDescent="0.35">
      <c r="C1480" s="100" t="str">
        <f>IF(OR(Fact_Cumplimiento[[#This Row], [Año]]="",Fact_Cumplimiento[[#This Row], [Mes]]=""),"",DATE(A1480,MATCH(B1480,{"enero","febrero","marzo","abril","mayo","junio","julio","agosto","septiembre","octubre","noviembre","diciembre"},0)+1,0))</f>
        <v/>
      </c>
      <c r="E1480" t="str">
        <f>+IFERROR(VLOOKUP(Fact_Cumplimiento[[#This Row], [Concepto Anterior]],Conceptos_Cumplimiento[#All],5,0),"")</f>
        <v/>
      </c>
      <c r="F1480" t="str">
        <f>+IFERROR(VLOOKUP(Fact_Cumplimiento[[#This Row], 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ht="18.75" customHeight="1" x14ac:dyDescent="0.35">
      <c r="C1481" s="100" t="str">
        <f>IF(OR(Fact_Cumplimiento[[#This Row], [Año]]="",Fact_Cumplimiento[[#This Row], [Mes]]=""),"",DATE(A1481,MATCH(B1481,{"enero","febrero","marzo","abril","mayo","junio","julio","agosto","septiembre","octubre","noviembre","diciembre"},0)+1,0))</f>
        <v/>
      </c>
      <c r="E1481" t="str">
        <f>+IFERROR(VLOOKUP(Fact_Cumplimiento[[#This Row], [Concepto Anterior]],Conceptos_Cumplimiento[#All],5,0),"")</f>
        <v/>
      </c>
      <c r="F1481" t="str">
        <f>+IFERROR(VLOOKUP(Fact_Cumplimiento[[#This Row], 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ht="18.75" customHeight="1" x14ac:dyDescent="0.35">
      <c r="C1482" s="100" t="str">
        <f>IF(OR(Fact_Cumplimiento[[#This Row], [Año]]="",Fact_Cumplimiento[[#This Row], [Mes]]=""),"",DATE(A1482,MATCH(B1482,{"enero","febrero","marzo","abril","mayo","junio","julio","agosto","septiembre","octubre","noviembre","diciembre"},0)+1,0))</f>
        <v/>
      </c>
      <c r="E1482" t="str">
        <f>+IFERROR(VLOOKUP(Fact_Cumplimiento[[#This Row], [Concepto Anterior]],Conceptos_Cumplimiento[#All],5,0),"")</f>
        <v/>
      </c>
      <c r="F1482" t="str">
        <f>+IFERROR(VLOOKUP(Fact_Cumplimiento[[#This Row], 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ht="18.75" customHeight="1" x14ac:dyDescent="0.35">
      <c r="C1483" s="100" t="str">
        <f>IF(OR(Fact_Cumplimiento[[#This Row], [Año]]="",Fact_Cumplimiento[[#This Row], [Mes]]=""),"",DATE(A1483,MATCH(B1483,{"enero","febrero","marzo","abril","mayo","junio","julio","agosto","septiembre","octubre","noviembre","diciembre"},0)+1,0))</f>
        <v/>
      </c>
      <c r="E1483" t="str">
        <f>+IFERROR(VLOOKUP(Fact_Cumplimiento[[#This Row], [Concepto Anterior]],Conceptos_Cumplimiento[#All],5,0),"")</f>
        <v/>
      </c>
      <c r="F1483" t="str">
        <f>+IFERROR(VLOOKUP(Fact_Cumplimiento[[#This Row], 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ht="18.75" customHeight="1" x14ac:dyDescent="0.35">
      <c r="C1484" s="100" t="str">
        <f>IF(OR(Fact_Cumplimiento[[#This Row], [Año]]="",Fact_Cumplimiento[[#This Row], [Mes]]=""),"",DATE(A1484,MATCH(B1484,{"enero","febrero","marzo","abril","mayo","junio","julio","agosto","septiembre","octubre","noviembre","diciembre"},0)+1,0))</f>
        <v/>
      </c>
      <c r="E1484" t="str">
        <f>+IFERROR(VLOOKUP(Fact_Cumplimiento[[#This Row], [Concepto Anterior]],Conceptos_Cumplimiento[#All],5,0),"")</f>
        <v/>
      </c>
      <c r="F1484" t="str">
        <f>+IFERROR(VLOOKUP(Fact_Cumplimiento[[#This Row], 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ht="18.75" customHeight="1" x14ac:dyDescent="0.35">
      <c r="C1485" s="100" t="str">
        <f>IF(OR(Fact_Cumplimiento[[#This Row], [Año]]="",Fact_Cumplimiento[[#This Row], [Mes]]=""),"",DATE(A1485,MATCH(B1485,{"enero","febrero","marzo","abril","mayo","junio","julio","agosto","septiembre","octubre","noviembre","diciembre"},0)+1,0))</f>
        <v/>
      </c>
      <c r="E1485" t="str">
        <f>+IFERROR(VLOOKUP(Fact_Cumplimiento[[#This Row], [Concepto Anterior]],Conceptos_Cumplimiento[#All],5,0),"")</f>
        <v/>
      </c>
      <c r="F1485" t="str">
        <f>+IFERROR(VLOOKUP(Fact_Cumplimiento[[#This Row], 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ht="18.75" customHeight="1" x14ac:dyDescent="0.35">
      <c r="C1486" s="100" t="str">
        <f>IF(OR(Fact_Cumplimiento[[#This Row], [Año]]="",Fact_Cumplimiento[[#This Row], [Mes]]=""),"",DATE(A1486,MATCH(B1486,{"enero","febrero","marzo","abril","mayo","junio","julio","agosto","septiembre","octubre","noviembre","diciembre"},0)+1,0))</f>
        <v/>
      </c>
      <c r="E1486" t="str">
        <f>+IFERROR(VLOOKUP(Fact_Cumplimiento[[#This Row], [Concepto Anterior]],Conceptos_Cumplimiento[#All],5,0),"")</f>
        <v/>
      </c>
      <c r="F1486" t="str">
        <f>+IFERROR(VLOOKUP(Fact_Cumplimiento[[#This Row], 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ht="18.75" customHeight="1" x14ac:dyDescent="0.35">
      <c r="C1487" s="100" t="str">
        <f>IF(OR(Fact_Cumplimiento[[#This Row], [Año]]="",Fact_Cumplimiento[[#This Row], [Mes]]=""),"",DATE(A1487,MATCH(B1487,{"enero","febrero","marzo","abril","mayo","junio","julio","agosto","septiembre","octubre","noviembre","diciembre"},0)+1,0))</f>
        <v/>
      </c>
      <c r="E1487" t="str">
        <f>+IFERROR(VLOOKUP(Fact_Cumplimiento[[#This Row], [Concepto Anterior]],Conceptos_Cumplimiento[#All],5,0),"")</f>
        <v/>
      </c>
      <c r="F1487" t="str">
        <f>+IFERROR(VLOOKUP(Fact_Cumplimiento[[#This Row], 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ht="18.75" customHeight="1" x14ac:dyDescent="0.35">
      <c r="C1488" s="100" t="str">
        <f>IF(OR(Fact_Cumplimiento[[#This Row], [Año]]="",Fact_Cumplimiento[[#This Row], [Mes]]=""),"",DATE(A1488,MATCH(B1488,{"enero","febrero","marzo","abril","mayo","junio","julio","agosto","septiembre","octubre","noviembre","diciembre"},0)+1,0))</f>
        <v/>
      </c>
      <c r="E1488" t="str">
        <f>+IFERROR(VLOOKUP(Fact_Cumplimiento[[#This Row], [Concepto Anterior]],Conceptos_Cumplimiento[#All],5,0),"")</f>
        <v/>
      </c>
      <c r="F1488" t="str">
        <f>+IFERROR(VLOOKUP(Fact_Cumplimiento[[#This Row], 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ht="18.75" customHeight="1" x14ac:dyDescent="0.35">
      <c r="C1489" s="100" t="str">
        <f>IF(OR(Fact_Cumplimiento[[#This Row], [Año]]="",Fact_Cumplimiento[[#This Row], [Mes]]=""),"",DATE(A1489,MATCH(B1489,{"enero","febrero","marzo","abril","mayo","junio","julio","agosto","septiembre","octubre","noviembre","diciembre"},0)+1,0))</f>
        <v/>
      </c>
      <c r="E1489" t="str">
        <f>+IFERROR(VLOOKUP(Fact_Cumplimiento[[#This Row], [Concepto Anterior]],Conceptos_Cumplimiento[#All],5,0),"")</f>
        <v/>
      </c>
      <c r="F1489" t="str">
        <f>+IFERROR(VLOOKUP(Fact_Cumplimiento[[#This Row], 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ht="18.75" customHeight="1" x14ac:dyDescent="0.35">
      <c r="C1490" s="100" t="str">
        <f>IF(OR(Fact_Cumplimiento[[#This Row], [Año]]="",Fact_Cumplimiento[[#This Row], [Mes]]=""),"",DATE(A1490,MATCH(B1490,{"enero","febrero","marzo","abril","mayo","junio","julio","agosto","septiembre","octubre","noviembre","diciembre"},0)+1,0))</f>
        <v/>
      </c>
      <c r="E1490" t="str">
        <f>+IFERROR(VLOOKUP(Fact_Cumplimiento[[#This Row], [Concepto Anterior]],Conceptos_Cumplimiento[#All],5,0),"")</f>
        <v/>
      </c>
      <c r="F1490" t="str">
        <f>+IFERROR(VLOOKUP(Fact_Cumplimiento[[#This Row], 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ht="18.75" customHeight="1" x14ac:dyDescent="0.35">
      <c r="C1491" s="100" t="str">
        <f>IF(OR(Fact_Cumplimiento[[#This Row], [Año]]="",Fact_Cumplimiento[[#This Row], [Mes]]=""),"",DATE(A1491,MATCH(B1491,{"enero","febrero","marzo","abril","mayo","junio","julio","agosto","septiembre","octubre","noviembre","diciembre"},0)+1,0))</f>
        <v/>
      </c>
      <c r="E1491" t="str">
        <f>+IFERROR(VLOOKUP(Fact_Cumplimiento[[#This Row], [Concepto Anterior]],Conceptos_Cumplimiento[#All],5,0),"")</f>
        <v/>
      </c>
      <c r="F1491" t="str">
        <f>+IFERROR(VLOOKUP(Fact_Cumplimiento[[#This Row], 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ht="18.75" customHeight="1" x14ac:dyDescent="0.35">
      <c r="C1492" s="100" t="str">
        <f>IF(OR(Fact_Cumplimiento[[#This Row], [Año]]="",Fact_Cumplimiento[[#This Row], [Mes]]=""),"",DATE(A1492,MATCH(B1492,{"enero","febrero","marzo","abril","mayo","junio","julio","agosto","septiembre","octubre","noviembre","diciembre"},0)+1,0))</f>
        <v/>
      </c>
      <c r="E1492" t="str">
        <f>+IFERROR(VLOOKUP(Fact_Cumplimiento[[#This Row], [Concepto Anterior]],Conceptos_Cumplimiento[#All],5,0),"")</f>
        <v/>
      </c>
      <c r="F1492" t="str">
        <f>+IFERROR(VLOOKUP(Fact_Cumplimiento[[#This Row], 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ht="18.75" customHeight="1" x14ac:dyDescent="0.35">
      <c r="C1493" s="100" t="str">
        <f>IF(OR(Fact_Cumplimiento[[#This Row], [Año]]="",Fact_Cumplimiento[[#This Row], [Mes]]=""),"",DATE(A1493,MATCH(B1493,{"enero","febrero","marzo","abril","mayo","junio","julio","agosto","septiembre","octubre","noviembre","diciembre"},0)+1,0))</f>
        <v/>
      </c>
      <c r="E1493" t="str">
        <f>+IFERROR(VLOOKUP(Fact_Cumplimiento[[#This Row], [Concepto Anterior]],Conceptos_Cumplimiento[#All],5,0),"")</f>
        <v/>
      </c>
      <c r="F1493" t="str">
        <f>+IFERROR(VLOOKUP(Fact_Cumplimiento[[#This Row], 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ht="18.75" customHeight="1" x14ac:dyDescent="0.35">
      <c r="C1494" s="100" t="str">
        <f>IF(OR(Fact_Cumplimiento[[#This Row], [Año]]="",Fact_Cumplimiento[[#This Row], [Mes]]=""),"",DATE(A1494,MATCH(B1494,{"enero","febrero","marzo","abril","mayo","junio","julio","agosto","septiembre","octubre","noviembre","diciembre"},0)+1,0))</f>
        <v/>
      </c>
      <c r="E1494" t="str">
        <f>+IFERROR(VLOOKUP(Fact_Cumplimiento[[#This Row], [Concepto Anterior]],Conceptos_Cumplimiento[#All],5,0),"")</f>
        <v/>
      </c>
      <c r="F1494" t="str">
        <f>+IFERROR(VLOOKUP(Fact_Cumplimiento[[#This Row], 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ht="18.75" customHeight="1" x14ac:dyDescent="0.35">
      <c r="C1495" s="100" t="str">
        <f>IF(OR(Fact_Cumplimiento[[#This Row], [Año]]="",Fact_Cumplimiento[[#This Row], [Mes]]=""),"",DATE(A1495,MATCH(B1495,{"enero","febrero","marzo","abril","mayo","junio","julio","agosto","septiembre","octubre","noviembre","diciembre"},0)+1,0))</f>
        <v/>
      </c>
      <c r="E1495" t="str">
        <f>+IFERROR(VLOOKUP(Fact_Cumplimiento[[#This Row], [Concepto Anterior]],Conceptos_Cumplimiento[#All],5,0),"")</f>
        <v/>
      </c>
      <c r="F1495" t="str">
        <f>+IFERROR(VLOOKUP(Fact_Cumplimiento[[#This Row], 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ht="18.75" customHeight="1" x14ac:dyDescent="0.35">
      <c r="C1496" s="100" t="str">
        <f>IF(OR(Fact_Cumplimiento[[#This Row], [Año]]="",Fact_Cumplimiento[[#This Row], [Mes]]=""),"",DATE(A1496,MATCH(B1496,{"enero","febrero","marzo","abril","mayo","junio","julio","agosto","septiembre","octubre","noviembre","diciembre"},0)+1,0))</f>
        <v/>
      </c>
      <c r="E1496" t="str">
        <f>+IFERROR(VLOOKUP(Fact_Cumplimiento[[#This Row], [Concepto Anterior]],Conceptos_Cumplimiento[#All],5,0),"")</f>
        <v/>
      </c>
      <c r="F1496" t="str">
        <f>+IFERROR(VLOOKUP(Fact_Cumplimiento[[#This Row], 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ht="18.75" customHeight="1" x14ac:dyDescent="0.35">
      <c r="C1497" s="100" t="str">
        <f>IF(OR(Fact_Cumplimiento[[#This Row], [Año]]="",Fact_Cumplimiento[[#This Row], [Mes]]=""),"",DATE(A1497,MATCH(B1497,{"enero","febrero","marzo","abril","mayo","junio","julio","agosto","septiembre","octubre","noviembre","diciembre"},0)+1,0))</f>
        <v/>
      </c>
      <c r="E1497" t="str">
        <f>+IFERROR(VLOOKUP(Fact_Cumplimiento[[#This Row], [Concepto Anterior]],Conceptos_Cumplimiento[#All],5,0),"")</f>
        <v/>
      </c>
      <c r="F1497" t="str">
        <f>+IFERROR(VLOOKUP(Fact_Cumplimiento[[#This Row], 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ht="18.75" customHeight="1" x14ac:dyDescent="0.35">
      <c r="C1498" s="100" t="str">
        <f>IF(OR(Fact_Cumplimiento[[#This Row], [Año]]="",Fact_Cumplimiento[[#This Row], [Mes]]=""),"",DATE(A1498,MATCH(B1498,{"enero","febrero","marzo","abril","mayo","junio","julio","agosto","septiembre","octubre","noviembre","diciembre"},0)+1,0))</f>
        <v/>
      </c>
      <c r="E1498" t="str">
        <f>+IFERROR(VLOOKUP(Fact_Cumplimiento[[#This Row], [Concepto Anterior]],Conceptos_Cumplimiento[#All],5,0),"")</f>
        <v/>
      </c>
      <c r="F1498" t="str">
        <f>+IFERROR(VLOOKUP(Fact_Cumplimiento[[#This Row], 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ht="18.75" customHeight="1" x14ac:dyDescent="0.35">
      <c r="C1499" s="100" t="str">
        <f>IF(OR(Fact_Cumplimiento[[#This Row], [Año]]="",Fact_Cumplimiento[[#This Row], [Mes]]=""),"",DATE(A1499,MATCH(B1499,{"enero","febrero","marzo","abril","mayo","junio","julio","agosto","septiembre","octubre","noviembre","diciembre"},0)+1,0))</f>
        <v/>
      </c>
      <c r="E1499" t="str">
        <f>+IFERROR(VLOOKUP(Fact_Cumplimiento[[#This Row], [Concepto Anterior]],Conceptos_Cumplimiento[#All],5,0),"")</f>
        <v/>
      </c>
      <c r="F1499" t="str">
        <f>+IFERROR(VLOOKUP(Fact_Cumplimiento[[#This Row], 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ht="18.75" customHeight="1" x14ac:dyDescent="0.35">
      <c r="C1500" s="100" t="str">
        <f>IF(OR(Fact_Cumplimiento[[#This Row], [Año]]="",Fact_Cumplimiento[[#This Row], [Mes]]=""),"",DATE(A1500,MATCH(B1500,{"enero","febrero","marzo","abril","mayo","junio","julio","agosto","septiembre","octubre","noviembre","diciembre"},0)+1,0))</f>
        <v/>
      </c>
      <c r="E1500" t="str">
        <f>+IFERROR(VLOOKUP(Fact_Cumplimiento[[#This Row], [Concepto Anterior]],Conceptos_Cumplimiento[#All],5,0),"")</f>
        <v/>
      </c>
      <c r="F1500" t="str">
        <f>+IFERROR(VLOOKUP(Fact_Cumplimiento[[#This Row], 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ht="18.75" customHeight="1" x14ac:dyDescent="0.35">
      <c r="C1501" s="100" t="str">
        <f>IF(OR(Fact_Cumplimiento[[#This Row], [Año]]="",Fact_Cumplimiento[[#This Row], [Mes]]=""),"",DATE(A1501,MATCH(B1501,{"enero","febrero","marzo","abril","mayo","junio","julio","agosto","septiembre","octubre","noviembre","diciembre"},0)+1,0))</f>
        <v/>
      </c>
      <c r="E1501" t="str">
        <f>+IFERROR(VLOOKUP(Fact_Cumplimiento[[#This Row], [Concepto Anterior]],Conceptos_Cumplimiento[#All],5,0),"")</f>
        <v/>
      </c>
      <c r="F1501" t="str">
        <f>+IFERROR(VLOOKUP(Fact_Cumplimiento[[#This Row], 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ht="18.75" customHeight="1" x14ac:dyDescent="0.35">
      <c r="C1502" s="100" t="str">
        <f>IF(OR(Fact_Cumplimiento[[#This Row], [Año]]="",Fact_Cumplimiento[[#This Row], [Mes]]=""),"",DATE(A1502,MATCH(B1502,{"enero","febrero","marzo","abril","mayo","junio","julio","agosto","septiembre","octubre","noviembre","diciembre"},0)+1,0))</f>
        <v/>
      </c>
      <c r="E1502" t="str">
        <f>+IFERROR(VLOOKUP(Fact_Cumplimiento[[#This Row], [Concepto Anterior]],Conceptos_Cumplimiento[#All],5,0),"")</f>
        <v/>
      </c>
      <c r="F1502" t="str">
        <f>+IFERROR(VLOOKUP(Fact_Cumplimiento[[#This Row], 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ht="18.75" customHeight="1" x14ac:dyDescent="0.35">
      <c r="C1503" s="100" t="str">
        <f>IF(OR(Fact_Cumplimiento[[#This Row], [Año]]="",Fact_Cumplimiento[[#This Row], [Mes]]=""),"",DATE(A1503,MATCH(B1503,{"enero","febrero","marzo","abril","mayo","junio","julio","agosto","septiembre","octubre","noviembre","diciembre"},0)+1,0))</f>
        <v/>
      </c>
      <c r="E1503" t="str">
        <f>+IFERROR(VLOOKUP(Fact_Cumplimiento[[#This Row], [Concepto Anterior]],Conceptos_Cumplimiento[#All],5,0),"")</f>
        <v/>
      </c>
      <c r="F1503" t="str">
        <f>+IFERROR(VLOOKUP(Fact_Cumplimiento[[#This Row], 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ht="18.75" customHeight="1" x14ac:dyDescent="0.35">
      <c r="C1504" s="100" t="str">
        <f>IF(OR(Fact_Cumplimiento[[#This Row], [Año]]="",Fact_Cumplimiento[[#This Row], [Mes]]=""),"",DATE(A1504,MATCH(B1504,{"enero","febrero","marzo","abril","mayo","junio","julio","agosto","septiembre","octubre","noviembre","diciembre"},0)+1,0))</f>
        <v/>
      </c>
      <c r="E1504" t="str">
        <f>+IFERROR(VLOOKUP(Fact_Cumplimiento[[#This Row], [Concepto Anterior]],Conceptos_Cumplimiento[#All],5,0),"")</f>
        <v/>
      </c>
      <c r="F1504" t="str">
        <f>+IFERROR(VLOOKUP(Fact_Cumplimiento[[#This Row], 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ht="18.75" customHeight="1" x14ac:dyDescent="0.35">
      <c r="C1505" s="100" t="str">
        <f>IF(OR(Fact_Cumplimiento[[#This Row], [Año]]="",Fact_Cumplimiento[[#This Row], [Mes]]=""),"",DATE(A1505,MATCH(B1505,{"enero","febrero","marzo","abril","mayo","junio","julio","agosto","septiembre","octubre","noviembre","diciembre"},0)+1,0))</f>
        <v/>
      </c>
      <c r="E1505" t="str">
        <f>+IFERROR(VLOOKUP(Fact_Cumplimiento[[#This Row], [Concepto Anterior]],Conceptos_Cumplimiento[#All],5,0),"")</f>
        <v/>
      </c>
      <c r="F1505" t="str">
        <f>+IFERROR(VLOOKUP(Fact_Cumplimiento[[#This Row], 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ht="18.75" customHeight="1" x14ac:dyDescent="0.35">
      <c r="C1506" s="100" t="str">
        <f>IF(OR(Fact_Cumplimiento[[#This Row], [Año]]="",Fact_Cumplimiento[[#This Row], [Mes]]=""),"",DATE(A1506,MATCH(B1506,{"enero","febrero","marzo","abril","mayo","junio","julio","agosto","septiembre","octubre","noviembre","diciembre"},0)+1,0))</f>
        <v/>
      </c>
      <c r="E1506" t="str">
        <f>+IFERROR(VLOOKUP(Fact_Cumplimiento[[#This Row], [Concepto Anterior]],Conceptos_Cumplimiento[#All],5,0),"")</f>
        <v/>
      </c>
      <c r="F1506" t="str">
        <f>+IFERROR(VLOOKUP(Fact_Cumplimiento[[#This Row], 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ht="18.75" customHeight="1" x14ac:dyDescent="0.35">
      <c r="C1507" s="100" t="str">
        <f>IF(OR(Fact_Cumplimiento[[#This Row], [Año]]="",Fact_Cumplimiento[[#This Row], [Mes]]=""),"",DATE(A1507,MATCH(B1507,{"enero","febrero","marzo","abril","mayo","junio","julio","agosto","septiembre","octubre","noviembre","diciembre"},0)+1,0))</f>
        <v/>
      </c>
      <c r="E1507" t="str">
        <f>+IFERROR(VLOOKUP(Fact_Cumplimiento[[#This Row], [Concepto Anterior]],Conceptos_Cumplimiento[#All],5,0),"")</f>
        <v/>
      </c>
      <c r="F1507" t="str">
        <f>+IFERROR(VLOOKUP(Fact_Cumplimiento[[#This Row], 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ht="18.75" customHeight="1" x14ac:dyDescent="0.35">
      <c r="C1508" s="100" t="str">
        <f>IF(OR(Fact_Cumplimiento[[#This Row], [Año]]="",Fact_Cumplimiento[[#This Row], [Mes]]=""),"",DATE(A1508,MATCH(B1508,{"enero","febrero","marzo","abril","mayo","junio","julio","agosto","septiembre","octubre","noviembre","diciembre"},0)+1,0))</f>
        <v/>
      </c>
      <c r="E1508" t="str">
        <f>+IFERROR(VLOOKUP(Fact_Cumplimiento[[#This Row], [Concepto Anterior]],Conceptos_Cumplimiento[#All],5,0),"")</f>
        <v/>
      </c>
      <c r="F1508" t="str">
        <f>+IFERROR(VLOOKUP(Fact_Cumplimiento[[#This Row], 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ht="18.75" customHeight="1" x14ac:dyDescent="0.35">
      <c r="C1509" s="100" t="str">
        <f>IF(OR(Fact_Cumplimiento[[#This Row], [Año]]="",Fact_Cumplimiento[[#This Row], [Mes]]=""),"",DATE(A1509,MATCH(B1509,{"enero","febrero","marzo","abril","mayo","junio","julio","agosto","septiembre","octubre","noviembre","diciembre"},0)+1,0))</f>
        <v/>
      </c>
      <c r="E1509" t="str">
        <f>+IFERROR(VLOOKUP(Fact_Cumplimiento[[#This Row], [Concepto Anterior]],Conceptos_Cumplimiento[#All],5,0),"")</f>
        <v/>
      </c>
      <c r="F1509" t="str">
        <f>+IFERROR(VLOOKUP(Fact_Cumplimiento[[#This Row], 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ht="18.75" customHeight="1" x14ac:dyDescent="0.35">
      <c r="C1510" s="100" t="str">
        <f>IF(OR(Fact_Cumplimiento[[#This Row], [Año]]="",Fact_Cumplimiento[[#This Row], [Mes]]=""),"",DATE(A1510,MATCH(B1510,{"enero","febrero","marzo","abril","mayo","junio","julio","agosto","septiembre","octubre","noviembre","diciembre"},0)+1,0))</f>
        <v/>
      </c>
      <c r="E1510" t="str">
        <f>+IFERROR(VLOOKUP(Fact_Cumplimiento[[#This Row], [Concepto Anterior]],Conceptos_Cumplimiento[#All],5,0),"")</f>
        <v/>
      </c>
      <c r="F1510" t="str">
        <f>+IFERROR(VLOOKUP(Fact_Cumplimiento[[#This Row], 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ht="18.75" customHeight="1" x14ac:dyDescent="0.35">
      <c r="C1511" s="100" t="str">
        <f>IF(OR(Fact_Cumplimiento[[#This Row], [Año]]="",Fact_Cumplimiento[[#This Row], [Mes]]=""),"",DATE(A1511,MATCH(B1511,{"enero","febrero","marzo","abril","mayo","junio","julio","agosto","septiembre","octubre","noviembre","diciembre"},0)+1,0))</f>
        <v/>
      </c>
      <c r="E1511" t="str">
        <f>+IFERROR(VLOOKUP(Fact_Cumplimiento[[#This Row], [Concepto Anterior]],Conceptos_Cumplimiento[#All],5,0),"")</f>
        <v/>
      </c>
      <c r="F1511" t="str">
        <f>+IFERROR(VLOOKUP(Fact_Cumplimiento[[#This Row], 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ht="18.75" customHeight="1" x14ac:dyDescent="0.35">
      <c r="C1512" s="100" t="str">
        <f>IF(OR(Fact_Cumplimiento[[#This Row], [Año]]="",Fact_Cumplimiento[[#This Row], [Mes]]=""),"",DATE(A1512,MATCH(B1512,{"enero","febrero","marzo","abril","mayo","junio","julio","agosto","septiembre","octubre","noviembre","diciembre"},0)+1,0))</f>
        <v/>
      </c>
      <c r="E1512" t="str">
        <f>+IFERROR(VLOOKUP(Fact_Cumplimiento[[#This Row], [Concepto Anterior]],Conceptos_Cumplimiento[#All],5,0),"")</f>
        <v/>
      </c>
      <c r="F1512" t="str">
        <f>+IFERROR(VLOOKUP(Fact_Cumplimiento[[#This Row], 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ht="18.75" customHeight="1" x14ac:dyDescent="0.35">
      <c r="C1513" s="100" t="str">
        <f>IF(OR(Fact_Cumplimiento[[#This Row], [Año]]="",Fact_Cumplimiento[[#This Row], [Mes]]=""),"",DATE(A1513,MATCH(B1513,{"enero","febrero","marzo","abril","mayo","junio","julio","agosto","septiembre","octubre","noviembre","diciembre"},0)+1,0))</f>
        <v/>
      </c>
      <c r="E1513" t="str">
        <f>+IFERROR(VLOOKUP(Fact_Cumplimiento[[#This Row], [Concepto Anterior]],Conceptos_Cumplimiento[#All],5,0),"")</f>
        <v/>
      </c>
      <c r="F1513" t="str">
        <f>+IFERROR(VLOOKUP(Fact_Cumplimiento[[#This Row], 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ht="18.75" customHeight="1" x14ac:dyDescent="0.35">
      <c r="C1514" s="100" t="str">
        <f>IF(OR(Fact_Cumplimiento[[#This Row], [Año]]="",Fact_Cumplimiento[[#This Row], [Mes]]=""),"",DATE(A1514,MATCH(B1514,{"enero","febrero","marzo","abril","mayo","junio","julio","agosto","septiembre","octubre","noviembre","diciembre"},0)+1,0))</f>
        <v/>
      </c>
      <c r="E1514" t="str">
        <f>+IFERROR(VLOOKUP(Fact_Cumplimiento[[#This Row], [Concepto Anterior]],Conceptos_Cumplimiento[#All],5,0),"")</f>
        <v/>
      </c>
      <c r="F1514" t="str">
        <f>+IFERROR(VLOOKUP(Fact_Cumplimiento[[#This Row], 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ht="18.75" customHeight="1" x14ac:dyDescent="0.35">
      <c r="C1515" s="100" t="str">
        <f>IF(OR(Fact_Cumplimiento[[#This Row], [Año]]="",Fact_Cumplimiento[[#This Row], [Mes]]=""),"",DATE(A1515,MATCH(B1515,{"enero","febrero","marzo","abril","mayo","junio","julio","agosto","septiembre","octubre","noviembre","diciembre"},0)+1,0))</f>
        <v/>
      </c>
      <c r="E1515" t="str">
        <f>+IFERROR(VLOOKUP(Fact_Cumplimiento[[#This Row], [Concepto Anterior]],Conceptos_Cumplimiento[#All],5,0),"")</f>
        <v/>
      </c>
      <c r="F1515" t="str">
        <f>+IFERROR(VLOOKUP(Fact_Cumplimiento[[#This Row], 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ht="18.75" customHeight="1" x14ac:dyDescent="0.35">
      <c r="C1516" s="100" t="str">
        <f>IF(OR(Fact_Cumplimiento[[#This Row], [Año]]="",Fact_Cumplimiento[[#This Row], [Mes]]=""),"",DATE(A1516,MATCH(B1516,{"enero","febrero","marzo","abril","mayo","junio","julio","agosto","septiembre","octubre","noviembre","diciembre"},0)+1,0))</f>
        <v/>
      </c>
      <c r="E1516" t="str">
        <f>+IFERROR(VLOOKUP(Fact_Cumplimiento[[#This Row], [Concepto Anterior]],Conceptos_Cumplimiento[#All],5,0),"")</f>
        <v/>
      </c>
      <c r="F1516" t="str">
        <f>+IFERROR(VLOOKUP(Fact_Cumplimiento[[#This Row], 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ht="18.75" customHeight="1" x14ac:dyDescent="0.35">
      <c r="C1517" s="100" t="str">
        <f>IF(OR(Fact_Cumplimiento[[#This Row], [Año]]="",Fact_Cumplimiento[[#This Row], [Mes]]=""),"",DATE(A1517,MATCH(B1517,{"enero","febrero","marzo","abril","mayo","junio","julio","agosto","septiembre","octubre","noviembre","diciembre"},0)+1,0))</f>
        <v/>
      </c>
      <c r="E1517" t="str">
        <f>+IFERROR(VLOOKUP(Fact_Cumplimiento[[#This Row], [Concepto Anterior]],Conceptos_Cumplimiento[#All],5,0),"")</f>
        <v/>
      </c>
      <c r="F1517" t="str">
        <f>+IFERROR(VLOOKUP(Fact_Cumplimiento[[#This Row], 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ht="18.75" customHeight="1" x14ac:dyDescent="0.35">
      <c r="C1518" s="100" t="str">
        <f>IF(OR(Fact_Cumplimiento[[#This Row], [Año]]="",Fact_Cumplimiento[[#This Row], [Mes]]=""),"",DATE(A1518,MATCH(B1518,{"enero","febrero","marzo","abril","mayo","junio","julio","agosto","septiembre","octubre","noviembre","diciembre"},0)+1,0))</f>
        <v/>
      </c>
      <c r="E1518" t="str">
        <f>+IFERROR(VLOOKUP(Fact_Cumplimiento[[#This Row], [Concepto Anterior]],Conceptos_Cumplimiento[#All],5,0),"")</f>
        <v/>
      </c>
      <c r="F1518" t="str">
        <f>+IFERROR(VLOOKUP(Fact_Cumplimiento[[#This Row], 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ht="18.75" customHeight="1" x14ac:dyDescent="0.35">
      <c r="C1519" s="100" t="str">
        <f>IF(OR(Fact_Cumplimiento[[#This Row], [Año]]="",Fact_Cumplimiento[[#This Row], [Mes]]=""),"",DATE(A1519,MATCH(B1519,{"enero","febrero","marzo","abril","mayo","junio","julio","agosto","septiembre","octubre","noviembre","diciembre"},0)+1,0))</f>
        <v/>
      </c>
      <c r="E1519" t="str">
        <f>+IFERROR(VLOOKUP(Fact_Cumplimiento[[#This Row], [Concepto Anterior]],Conceptos_Cumplimiento[#All],5,0),"")</f>
        <v/>
      </c>
      <c r="F1519" t="str">
        <f>+IFERROR(VLOOKUP(Fact_Cumplimiento[[#This Row], 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ht="18.75" customHeight="1" x14ac:dyDescent="0.35">
      <c r="C1520" s="100" t="str">
        <f>IF(OR(Fact_Cumplimiento[[#This Row], [Año]]="",Fact_Cumplimiento[[#This Row], [Mes]]=""),"",DATE(A1520,MATCH(B1520,{"enero","febrero","marzo","abril","mayo","junio","julio","agosto","septiembre","octubre","noviembre","diciembre"},0)+1,0))</f>
        <v/>
      </c>
      <c r="E1520" t="str">
        <f>+IFERROR(VLOOKUP(Fact_Cumplimiento[[#This Row], [Concepto Anterior]],Conceptos_Cumplimiento[#All],5,0),"")</f>
        <v/>
      </c>
      <c r="F1520" t="str">
        <f>+IFERROR(VLOOKUP(Fact_Cumplimiento[[#This Row], 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ht="18.75" customHeight="1" x14ac:dyDescent="0.35">
      <c r="C1521" s="100" t="str">
        <f>IF(OR(Fact_Cumplimiento[[#This Row], [Año]]="",Fact_Cumplimiento[[#This Row], [Mes]]=""),"",DATE(A1521,MATCH(B1521,{"enero","febrero","marzo","abril","mayo","junio","julio","agosto","septiembre","octubre","noviembre","diciembre"},0)+1,0))</f>
        <v/>
      </c>
      <c r="E1521" t="str">
        <f>+IFERROR(VLOOKUP(Fact_Cumplimiento[[#This Row], [Concepto Anterior]],Conceptos_Cumplimiento[#All],5,0),"")</f>
        <v/>
      </c>
      <c r="F1521" t="str">
        <f>+IFERROR(VLOOKUP(Fact_Cumplimiento[[#This Row], 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ht="18.75" customHeight="1" x14ac:dyDescent="0.35">
      <c r="C1522" s="100" t="str">
        <f>IF(OR(Fact_Cumplimiento[[#This Row], [Año]]="",Fact_Cumplimiento[[#This Row], [Mes]]=""),"",DATE(A1522,MATCH(B1522,{"enero","febrero","marzo","abril","mayo","junio","julio","agosto","septiembre","octubre","noviembre","diciembre"},0)+1,0))</f>
        <v/>
      </c>
      <c r="E1522" t="str">
        <f>+IFERROR(VLOOKUP(Fact_Cumplimiento[[#This Row], [Concepto Anterior]],Conceptos_Cumplimiento[#All],5,0),"")</f>
        <v/>
      </c>
      <c r="F1522" t="str">
        <f>+IFERROR(VLOOKUP(Fact_Cumplimiento[[#This Row], 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ht="18.75" customHeight="1" x14ac:dyDescent="0.35">
      <c r="C1523" s="100" t="str">
        <f>IF(OR(Fact_Cumplimiento[[#This Row], [Año]]="",Fact_Cumplimiento[[#This Row], [Mes]]=""),"",DATE(A1523,MATCH(B1523,{"enero","febrero","marzo","abril","mayo","junio","julio","agosto","septiembre","octubre","noviembre","diciembre"},0)+1,0))</f>
        <v/>
      </c>
      <c r="E1523" t="str">
        <f>+IFERROR(VLOOKUP(Fact_Cumplimiento[[#This Row], [Concepto Anterior]],Conceptos_Cumplimiento[#All],5,0),"")</f>
        <v/>
      </c>
      <c r="F1523" t="str">
        <f>+IFERROR(VLOOKUP(Fact_Cumplimiento[[#This Row], 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ht="18.75" customHeight="1" x14ac:dyDescent="0.35">
      <c r="C1524" s="100" t="str">
        <f>IF(OR(Fact_Cumplimiento[[#This Row], [Año]]="",Fact_Cumplimiento[[#This Row], [Mes]]=""),"",DATE(A1524,MATCH(B1524,{"enero","febrero","marzo","abril","mayo","junio","julio","agosto","septiembre","octubre","noviembre","diciembre"},0)+1,0))</f>
        <v/>
      </c>
      <c r="E1524" t="str">
        <f>+IFERROR(VLOOKUP(Fact_Cumplimiento[[#This Row], [Concepto Anterior]],Conceptos_Cumplimiento[#All],5,0),"")</f>
        <v/>
      </c>
      <c r="F1524" t="str">
        <f>+IFERROR(VLOOKUP(Fact_Cumplimiento[[#This Row], 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ht="18.75" customHeight="1" x14ac:dyDescent="0.35">
      <c r="C1525" s="100" t="str">
        <f>IF(OR(Fact_Cumplimiento[[#This Row], [Año]]="",Fact_Cumplimiento[[#This Row], [Mes]]=""),"",DATE(A1525,MATCH(B1525,{"enero","febrero","marzo","abril","mayo","junio","julio","agosto","septiembre","octubre","noviembre","diciembre"},0)+1,0))</f>
        <v/>
      </c>
      <c r="E1525" t="str">
        <f>+IFERROR(VLOOKUP(Fact_Cumplimiento[[#This Row], [Concepto Anterior]],Conceptos_Cumplimiento[#All],5,0),"")</f>
        <v/>
      </c>
      <c r="F1525" t="str">
        <f>+IFERROR(VLOOKUP(Fact_Cumplimiento[[#This Row], 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ht="18.75" customHeight="1" x14ac:dyDescent="0.35">
      <c r="C1526" s="100" t="str">
        <f>IF(OR(Fact_Cumplimiento[[#This Row], [Año]]="",Fact_Cumplimiento[[#This Row], [Mes]]=""),"",DATE(A1526,MATCH(B1526,{"enero","febrero","marzo","abril","mayo","junio","julio","agosto","septiembre","octubre","noviembre","diciembre"},0)+1,0))</f>
        <v/>
      </c>
      <c r="E1526" t="str">
        <f>+IFERROR(VLOOKUP(Fact_Cumplimiento[[#This Row], [Concepto Anterior]],Conceptos_Cumplimiento[#All],5,0),"")</f>
        <v/>
      </c>
      <c r="F1526" t="str">
        <f>+IFERROR(VLOOKUP(Fact_Cumplimiento[[#This Row], 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ht="18.75" customHeight="1" x14ac:dyDescent="0.35">
      <c r="C1527" s="100" t="str">
        <f>IF(OR(Fact_Cumplimiento[[#This Row], [Año]]="",Fact_Cumplimiento[[#This Row], [Mes]]=""),"",DATE(A1527,MATCH(B1527,{"enero","febrero","marzo","abril","mayo","junio","julio","agosto","septiembre","octubre","noviembre","diciembre"},0)+1,0))</f>
        <v/>
      </c>
      <c r="E1527" t="str">
        <f>+IFERROR(VLOOKUP(Fact_Cumplimiento[[#This Row], [Concepto Anterior]],Conceptos_Cumplimiento[#All],5,0),"")</f>
        <v/>
      </c>
      <c r="F1527" t="str">
        <f>+IFERROR(VLOOKUP(Fact_Cumplimiento[[#This Row], 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ht="18.75" customHeight="1" x14ac:dyDescent="0.35">
      <c r="C1528" s="100" t="str">
        <f>IF(OR(Fact_Cumplimiento[[#This Row], [Año]]="",Fact_Cumplimiento[[#This Row], [Mes]]=""),"",DATE(A1528,MATCH(B1528,{"enero","febrero","marzo","abril","mayo","junio","julio","agosto","septiembre","octubre","noviembre","diciembre"},0)+1,0))</f>
        <v/>
      </c>
      <c r="E1528" t="str">
        <f>+IFERROR(VLOOKUP(Fact_Cumplimiento[[#This Row], [Concepto Anterior]],Conceptos_Cumplimiento[#All],5,0),"")</f>
        <v/>
      </c>
      <c r="F1528" t="str">
        <f>+IFERROR(VLOOKUP(Fact_Cumplimiento[[#This Row], 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ht="18.75" customHeight="1" x14ac:dyDescent="0.35">
      <c r="C1529" s="100" t="str">
        <f>IF(OR(Fact_Cumplimiento[[#This Row], [Año]]="",Fact_Cumplimiento[[#This Row], [Mes]]=""),"",DATE(A1529,MATCH(B1529,{"enero","febrero","marzo","abril","mayo","junio","julio","agosto","septiembre","octubre","noviembre","diciembre"},0)+1,0))</f>
        <v/>
      </c>
      <c r="E1529" t="str">
        <f>+IFERROR(VLOOKUP(Fact_Cumplimiento[[#This Row], [Concepto Anterior]],Conceptos_Cumplimiento[#All],5,0),"")</f>
        <v/>
      </c>
      <c r="F1529" t="str">
        <f>+IFERROR(VLOOKUP(Fact_Cumplimiento[[#This Row], 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ht="18.75" customHeight="1" x14ac:dyDescent="0.35">
      <c r="C1530" s="100" t="str">
        <f>IF(OR(Fact_Cumplimiento[[#This Row], [Año]]="",Fact_Cumplimiento[[#This Row], [Mes]]=""),"",DATE(A1530,MATCH(B1530,{"enero","febrero","marzo","abril","mayo","junio","julio","agosto","septiembre","octubre","noviembre","diciembre"},0)+1,0))</f>
        <v/>
      </c>
      <c r="E1530" t="str">
        <f>+IFERROR(VLOOKUP(Fact_Cumplimiento[[#This Row], [Concepto Anterior]],Conceptos_Cumplimiento[#All],5,0),"")</f>
        <v/>
      </c>
      <c r="F1530" t="str">
        <f>+IFERROR(VLOOKUP(Fact_Cumplimiento[[#This Row], 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ht="18.75" customHeight="1" x14ac:dyDescent="0.35">
      <c r="C1531" s="100" t="str">
        <f>IF(OR(Fact_Cumplimiento[[#This Row], [Año]]="",Fact_Cumplimiento[[#This Row], [Mes]]=""),"",DATE(A1531,MATCH(B1531,{"enero","febrero","marzo","abril","mayo","junio","julio","agosto","septiembre","octubre","noviembre","diciembre"},0)+1,0))</f>
        <v/>
      </c>
      <c r="E1531" t="str">
        <f>+IFERROR(VLOOKUP(Fact_Cumplimiento[[#This Row], [Concepto Anterior]],Conceptos_Cumplimiento[#All],5,0),"")</f>
        <v/>
      </c>
      <c r="F1531" t="str">
        <f>+IFERROR(VLOOKUP(Fact_Cumplimiento[[#This Row], 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ht="18.75" customHeight="1" x14ac:dyDescent="0.35">
      <c r="C1532" s="100" t="str">
        <f>IF(OR(Fact_Cumplimiento[[#This Row], [Año]]="",Fact_Cumplimiento[[#This Row], [Mes]]=""),"",DATE(A1532,MATCH(B1532,{"enero","febrero","marzo","abril","mayo","junio","julio","agosto","septiembre","octubre","noviembre","diciembre"},0)+1,0))</f>
        <v/>
      </c>
      <c r="E1532" t="str">
        <f>+IFERROR(VLOOKUP(Fact_Cumplimiento[[#This Row], [Concepto Anterior]],Conceptos_Cumplimiento[#All],5,0),"")</f>
        <v/>
      </c>
      <c r="F1532" t="str">
        <f>+IFERROR(VLOOKUP(Fact_Cumplimiento[[#This Row], 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ht="18.75" customHeight="1" x14ac:dyDescent="0.35">
      <c r="C1533" s="100" t="str">
        <f>IF(OR(Fact_Cumplimiento[[#This Row], [Año]]="",Fact_Cumplimiento[[#This Row], [Mes]]=""),"",DATE(A1533,MATCH(B1533,{"enero","febrero","marzo","abril","mayo","junio","julio","agosto","septiembre","octubre","noviembre","diciembre"},0)+1,0))</f>
        <v/>
      </c>
      <c r="E1533" t="str">
        <f>+IFERROR(VLOOKUP(Fact_Cumplimiento[[#This Row], [Concepto Anterior]],Conceptos_Cumplimiento[#All],5,0),"")</f>
        <v/>
      </c>
      <c r="F1533" t="str">
        <f>+IFERROR(VLOOKUP(Fact_Cumplimiento[[#This Row], 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ht="18.75" customHeight="1" x14ac:dyDescent="0.35">
      <c r="C1534" s="100" t="str">
        <f>IF(OR(Fact_Cumplimiento[[#This Row], [Año]]="",Fact_Cumplimiento[[#This Row], [Mes]]=""),"",DATE(A1534,MATCH(B1534,{"enero","febrero","marzo","abril","mayo","junio","julio","agosto","septiembre","octubre","noviembre","diciembre"},0)+1,0))</f>
        <v/>
      </c>
      <c r="E1534" t="str">
        <f>+IFERROR(VLOOKUP(Fact_Cumplimiento[[#This Row], [Concepto Anterior]],Conceptos_Cumplimiento[#All],5,0),"")</f>
        <v/>
      </c>
      <c r="F1534" t="str">
        <f>+IFERROR(VLOOKUP(Fact_Cumplimiento[[#This Row], 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ht="18.75" customHeight="1" x14ac:dyDescent="0.35">
      <c r="C1535" s="100" t="str">
        <f>IF(OR(Fact_Cumplimiento[[#This Row], [Año]]="",Fact_Cumplimiento[[#This Row], [Mes]]=""),"",DATE(A1535,MATCH(B1535,{"enero","febrero","marzo","abril","mayo","junio","julio","agosto","septiembre","octubre","noviembre","diciembre"},0)+1,0))</f>
        <v/>
      </c>
      <c r="E1535" t="str">
        <f>+IFERROR(VLOOKUP(Fact_Cumplimiento[[#This Row], [Concepto Anterior]],Conceptos_Cumplimiento[#All],5,0),"")</f>
        <v/>
      </c>
      <c r="F1535" t="str">
        <f>+IFERROR(VLOOKUP(Fact_Cumplimiento[[#This Row], 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ht="18.75" customHeight="1" x14ac:dyDescent="0.35">
      <c r="C1536" s="100" t="str">
        <f>IF(OR(Fact_Cumplimiento[[#This Row], [Año]]="",Fact_Cumplimiento[[#This Row], [Mes]]=""),"",DATE(A1536,MATCH(B1536,{"enero","febrero","marzo","abril","mayo","junio","julio","agosto","septiembre","octubre","noviembre","diciembre"},0)+1,0))</f>
        <v/>
      </c>
      <c r="E1536" t="str">
        <f>+IFERROR(VLOOKUP(Fact_Cumplimiento[[#This Row], [Concepto Anterior]],Conceptos_Cumplimiento[#All],5,0),"")</f>
        <v/>
      </c>
      <c r="F1536" t="str">
        <f>+IFERROR(VLOOKUP(Fact_Cumplimiento[[#This Row], 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ht="18.75" customHeight="1" x14ac:dyDescent="0.35">
      <c r="C1537" s="100" t="str">
        <f>IF(OR(Fact_Cumplimiento[[#This Row], [Año]]="",Fact_Cumplimiento[[#This Row], [Mes]]=""),"",DATE(A1537,MATCH(B1537,{"enero","febrero","marzo","abril","mayo","junio","julio","agosto","septiembre","octubre","noviembre","diciembre"},0)+1,0))</f>
        <v/>
      </c>
      <c r="E1537" t="str">
        <f>+IFERROR(VLOOKUP(Fact_Cumplimiento[[#This Row], [Concepto Anterior]],Conceptos_Cumplimiento[#All],5,0),"")</f>
        <v/>
      </c>
      <c r="F1537" t="str">
        <f>+IFERROR(VLOOKUP(Fact_Cumplimiento[[#This Row], 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ht="18.75" customHeight="1" x14ac:dyDescent="0.35">
      <c r="C1538" s="100" t="str">
        <f>IF(OR(Fact_Cumplimiento[[#This Row], [Año]]="",Fact_Cumplimiento[[#This Row], [Mes]]=""),"",DATE(A1538,MATCH(B1538,{"enero","febrero","marzo","abril","mayo","junio","julio","agosto","septiembre","octubre","noviembre","diciembre"},0)+1,0))</f>
        <v/>
      </c>
      <c r="E1538" t="str">
        <f>+IFERROR(VLOOKUP(Fact_Cumplimiento[[#This Row], [Concepto Anterior]],Conceptos_Cumplimiento[#All],5,0),"")</f>
        <v/>
      </c>
      <c r="F1538" t="str">
        <f>+IFERROR(VLOOKUP(Fact_Cumplimiento[[#This Row], 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ht="18.75" customHeight="1" x14ac:dyDescent="0.35">
      <c r="C1539" s="100" t="str">
        <f>IF(OR(Fact_Cumplimiento[[#This Row], [Año]]="",Fact_Cumplimiento[[#This Row], [Mes]]=""),"",DATE(A1539,MATCH(B1539,{"enero","febrero","marzo","abril","mayo","junio","julio","agosto","septiembre","octubre","noviembre","diciembre"},0)+1,0))</f>
        <v/>
      </c>
      <c r="E1539" t="str">
        <f>+IFERROR(VLOOKUP(Fact_Cumplimiento[[#This Row], [Concepto Anterior]],Conceptos_Cumplimiento[#All],5,0),"")</f>
        <v/>
      </c>
      <c r="F1539" t="str">
        <f>+IFERROR(VLOOKUP(Fact_Cumplimiento[[#This Row], 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ht="18.75" customHeight="1" x14ac:dyDescent="0.35">
      <c r="C1540" s="100" t="str">
        <f>IF(OR(Fact_Cumplimiento[[#This Row], [Año]]="",Fact_Cumplimiento[[#This Row], [Mes]]=""),"",DATE(A1540,MATCH(B1540,{"enero","febrero","marzo","abril","mayo","junio","julio","agosto","septiembre","octubre","noviembre","diciembre"},0)+1,0))</f>
        <v/>
      </c>
      <c r="E1540" t="str">
        <f>+IFERROR(VLOOKUP(Fact_Cumplimiento[[#This Row], [Concepto Anterior]],Conceptos_Cumplimiento[#All],5,0),"")</f>
        <v/>
      </c>
      <c r="F1540" t="str">
        <f>+IFERROR(VLOOKUP(Fact_Cumplimiento[[#This Row], 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ht="18.75" customHeight="1" x14ac:dyDescent="0.35">
      <c r="C1541" s="100" t="str">
        <f>IF(OR(Fact_Cumplimiento[[#This Row], [Año]]="",Fact_Cumplimiento[[#This Row], [Mes]]=""),"",DATE(A1541,MATCH(B1541,{"enero","febrero","marzo","abril","mayo","junio","julio","agosto","septiembre","octubre","noviembre","diciembre"},0)+1,0))</f>
        <v/>
      </c>
      <c r="E1541" t="str">
        <f>+IFERROR(VLOOKUP(Fact_Cumplimiento[[#This Row], [Concepto Anterior]],Conceptos_Cumplimiento[#All],5,0),"")</f>
        <v/>
      </c>
      <c r="F1541" t="str">
        <f>+IFERROR(VLOOKUP(Fact_Cumplimiento[[#This Row], 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ht="18.75" customHeight="1" x14ac:dyDescent="0.35">
      <c r="C1542" s="100" t="str">
        <f>IF(OR(Fact_Cumplimiento[[#This Row], [Año]]="",Fact_Cumplimiento[[#This Row], [Mes]]=""),"",DATE(A1542,MATCH(B1542,{"enero","febrero","marzo","abril","mayo","junio","julio","agosto","septiembre","octubre","noviembre","diciembre"},0)+1,0))</f>
        <v/>
      </c>
      <c r="E1542" t="str">
        <f>+IFERROR(VLOOKUP(Fact_Cumplimiento[[#This Row], [Concepto Anterior]],Conceptos_Cumplimiento[#All],5,0),"")</f>
        <v/>
      </c>
      <c r="F1542" t="str">
        <f>+IFERROR(VLOOKUP(Fact_Cumplimiento[[#This Row], 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ht="18.75" customHeight="1" x14ac:dyDescent="0.35">
      <c r="C1543" s="100" t="str">
        <f>IF(OR(Fact_Cumplimiento[[#This Row], [Año]]="",Fact_Cumplimiento[[#This Row], [Mes]]=""),"",DATE(A1543,MATCH(B1543,{"enero","febrero","marzo","abril","mayo","junio","julio","agosto","septiembre","octubre","noviembre","diciembre"},0)+1,0))</f>
        <v/>
      </c>
      <c r="E1543" t="str">
        <f>+IFERROR(VLOOKUP(Fact_Cumplimiento[[#This Row], [Concepto Anterior]],Conceptos_Cumplimiento[#All],5,0),"")</f>
        <v/>
      </c>
      <c r="F1543" t="str">
        <f>+IFERROR(VLOOKUP(Fact_Cumplimiento[[#This Row], 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ht="18.75" customHeight="1" x14ac:dyDescent="0.35">
      <c r="C1544" s="100" t="str">
        <f>IF(OR(Fact_Cumplimiento[[#This Row], [Año]]="",Fact_Cumplimiento[[#This Row], [Mes]]=""),"",DATE(A1544,MATCH(B1544,{"enero","febrero","marzo","abril","mayo","junio","julio","agosto","septiembre","octubre","noviembre","diciembre"},0)+1,0))</f>
        <v/>
      </c>
      <c r="E1544" t="str">
        <f>+IFERROR(VLOOKUP(Fact_Cumplimiento[[#This Row], [Concepto Anterior]],Conceptos_Cumplimiento[#All],5,0),"")</f>
        <v/>
      </c>
      <c r="F1544" t="str">
        <f>+IFERROR(VLOOKUP(Fact_Cumplimiento[[#This Row], 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ht="18.75" customHeight="1" x14ac:dyDescent="0.35">
      <c r="C1545" s="100" t="str">
        <f>IF(OR(Fact_Cumplimiento[[#This Row], [Año]]="",Fact_Cumplimiento[[#This Row], [Mes]]=""),"",DATE(A1545,MATCH(B1545,{"enero","febrero","marzo","abril","mayo","junio","julio","agosto","septiembre","octubre","noviembre","diciembre"},0)+1,0))</f>
        <v/>
      </c>
      <c r="E1545" t="str">
        <f>+IFERROR(VLOOKUP(Fact_Cumplimiento[[#This Row], [Concepto Anterior]],Conceptos_Cumplimiento[#All],5,0),"")</f>
        <v/>
      </c>
      <c r="F1545" t="str">
        <f>+IFERROR(VLOOKUP(Fact_Cumplimiento[[#This Row], 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ht="18.75" customHeight="1" x14ac:dyDescent="0.35">
      <c r="C1546" s="100" t="str">
        <f>IF(OR(Fact_Cumplimiento[[#This Row], [Año]]="",Fact_Cumplimiento[[#This Row], [Mes]]=""),"",DATE(A1546,MATCH(B1546,{"enero","febrero","marzo","abril","mayo","junio","julio","agosto","septiembre","octubre","noviembre","diciembre"},0)+1,0))</f>
        <v/>
      </c>
      <c r="E1546" t="str">
        <f>+IFERROR(VLOOKUP(Fact_Cumplimiento[[#This Row], [Concepto Anterior]],Conceptos_Cumplimiento[#All],5,0),"")</f>
        <v/>
      </c>
      <c r="F1546" t="str">
        <f>+IFERROR(VLOOKUP(Fact_Cumplimiento[[#This Row], 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ht="18.75" customHeight="1" x14ac:dyDescent="0.35">
      <c r="C1547" s="100" t="str">
        <f>IF(OR(Fact_Cumplimiento[[#This Row], [Año]]="",Fact_Cumplimiento[[#This Row], [Mes]]=""),"",DATE(A1547,MATCH(B1547,{"enero","febrero","marzo","abril","mayo","junio","julio","agosto","septiembre","octubre","noviembre","diciembre"},0)+1,0))</f>
        <v/>
      </c>
      <c r="E1547" t="str">
        <f>+IFERROR(VLOOKUP(Fact_Cumplimiento[[#This Row], [Concepto Anterior]],Conceptos_Cumplimiento[#All],5,0),"")</f>
        <v/>
      </c>
      <c r="F1547" t="str">
        <f>+IFERROR(VLOOKUP(Fact_Cumplimiento[[#This Row], 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ht="18.75" customHeight="1" x14ac:dyDescent="0.35">
      <c r="C1548" s="100" t="str">
        <f>IF(OR(Fact_Cumplimiento[[#This Row], [Año]]="",Fact_Cumplimiento[[#This Row], [Mes]]=""),"",DATE(A1548,MATCH(B1548,{"enero","febrero","marzo","abril","mayo","junio","julio","agosto","septiembre","octubre","noviembre","diciembre"},0)+1,0))</f>
        <v/>
      </c>
      <c r="E1548" t="str">
        <f>+IFERROR(VLOOKUP(Fact_Cumplimiento[[#This Row], [Concepto Anterior]],Conceptos_Cumplimiento[#All],5,0),"")</f>
        <v/>
      </c>
      <c r="F1548" t="str">
        <f>+IFERROR(VLOOKUP(Fact_Cumplimiento[[#This Row], 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ht="18.75" customHeight="1" x14ac:dyDescent="0.35">
      <c r="C1549" s="100" t="str">
        <f>IF(OR(Fact_Cumplimiento[[#This Row], [Año]]="",Fact_Cumplimiento[[#This Row], [Mes]]=""),"",DATE(A1549,MATCH(B1549,{"enero","febrero","marzo","abril","mayo","junio","julio","agosto","septiembre","octubre","noviembre","diciembre"},0)+1,0))</f>
        <v/>
      </c>
      <c r="E1549" t="str">
        <f>+IFERROR(VLOOKUP(Fact_Cumplimiento[[#This Row], [Concepto Anterior]],Conceptos_Cumplimiento[#All],5,0),"")</f>
        <v/>
      </c>
      <c r="F1549" t="str">
        <f>+IFERROR(VLOOKUP(Fact_Cumplimiento[[#This Row], 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ht="18.75" customHeight="1" x14ac:dyDescent="0.35">
      <c r="C1550" s="100" t="str">
        <f>IF(OR(Fact_Cumplimiento[[#This Row], [Año]]="",Fact_Cumplimiento[[#This Row], [Mes]]=""),"",DATE(A1550,MATCH(B1550,{"enero","febrero","marzo","abril","mayo","junio","julio","agosto","septiembre","octubre","noviembre","diciembre"},0)+1,0))</f>
        <v/>
      </c>
      <c r="E1550" t="str">
        <f>+IFERROR(VLOOKUP(Fact_Cumplimiento[[#This Row], [Concepto Anterior]],Conceptos_Cumplimiento[#All],5,0),"")</f>
        <v/>
      </c>
      <c r="F1550" t="str">
        <f>+IFERROR(VLOOKUP(Fact_Cumplimiento[[#This Row], 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ht="18.75" customHeight="1" x14ac:dyDescent="0.35">
      <c r="C1551" s="100" t="str">
        <f>IF(OR(Fact_Cumplimiento[[#This Row], [Año]]="",Fact_Cumplimiento[[#This Row], [Mes]]=""),"",DATE(A1551,MATCH(B1551,{"enero","febrero","marzo","abril","mayo","junio","julio","agosto","septiembre","octubre","noviembre","diciembre"},0)+1,0))</f>
        <v/>
      </c>
      <c r="E1551" t="str">
        <f>+IFERROR(VLOOKUP(Fact_Cumplimiento[[#This Row], [Concepto Anterior]],Conceptos_Cumplimiento[#All],5,0),"")</f>
        <v/>
      </c>
      <c r="F1551" t="str">
        <f>+IFERROR(VLOOKUP(Fact_Cumplimiento[[#This Row], 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ht="18.75" customHeight="1" x14ac:dyDescent="0.35">
      <c r="C1552" s="100" t="str">
        <f>IF(OR(Fact_Cumplimiento[[#This Row], [Año]]="",Fact_Cumplimiento[[#This Row], [Mes]]=""),"",DATE(A1552,MATCH(B1552,{"enero","febrero","marzo","abril","mayo","junio","julio","agosto","septiembre","octubre","noviembre","diciembre"},0)+1,0))</f>
        <v/>
      </c>
      <c r="E1552" t="str">
        <f>+IFERROR(VLOOKUP(Fact_Cumplimiento[[#This Row], [Concepto Anterior]],Conceptos_Cumplimiento[#All],5,0),"")</f>
        <v/>
      </c>
      <c r="F1552" t="str">
        <f>+IFERROR(VLOOKUP(Fact_Cumplimiento[[#This Row], 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ht="18.75" customHeight="1" x14ac:dyDescent="0.35">
      <c r="C1553" s="100" t="str">
        <f>IF(OR(Fact_Cumplimiento[[#This Row], [Año]]="",Fact_Cumplimiento[[#This Row], [Mes]]=""),"",DATE(A1553,MATCH(B1553,{"enero","febrero","marzo","abril","mayo","junio","julio","agosto","septiembre","octubre","noviembre","diciembre"},0)+1,0))</f>
        <v/>
      </c>
      <c r="E1553" t="str">
        <f>+IFERROR(VLOOKUP(Fact_Cumplimiento[[#This Row], [Concepto Anterior]],Conceptos_Cumplimiento[#All],5,0),"")</f>
        <v/>
      </c>
      <c r="F1553" t="str">
        <f>+IFERROR(VLOOKUP(Fact_Cumplimiento[[#This Row], 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ht="18.75" customHeight="1" x14ac:dyDescent="0.35">
      <c r="C1554" s="100" t="str">
        <f>IF(OR(Fact_Cumplimiento[[#This Row], [Año]]="",Fact_Cumplimiento[[#This Row], [Mes]]=""),"",DATE(A1554,MATCH(B1554,{"enero","febrero","marzo","abril","mayo","junio","julio","agosto","septiembre","octubre","noviembre","diciembre"},0)+1,0))</f>
        <v/>
      </c>
      <c r="E1554" t="str">
        <f>+IFERROR(VLOOKUP(Fact_Cumplimiento[[#This Row], [Concepto Anterior]],Conceptos_Cumplimiento[#All],5,0),"")</f>
        <v/>
      </c>
      <c r="F1554" t="str">
        <f>+IFERROR(VLOOKUP(Fact_Cumplimiento[[#This Row], 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ht="18.75" customHeight="1" x14ac:dyDescent="0.35">
      <c r="C1555" s="100" t="str">
        <f>IF(OR(Fact_Cumplimiento[[#This Row], [Año]]="",Fact_Cumplimiento[[#This Row], [Mes]]=""),"",DATE(A1555,MATCH(B1555,{"enero","febrero","marzo","abril","mayo","junio","julio","agosto","septiembre","octubre","noviembre","diciembre"},0)+1,0))</f>
        <v/>
      </c>
      <c r="E1555" t="str">
        <f>+IFERROR(VLOOKUP(Fact_Cumplimiento[[#This Row], [Concepto Anterior]],Conceptos_Cumplimiento[#All],5,0),"")</f>
        <v/>
      </c>
      <c r="F1555" t="str">
        <f>+IFERROR(VLOOKUP(Fact_Cumplimiento[[#This Row], 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ht="18.75" customHeight="1" x14ac:dyDescent="0.35">
      <c r="C1556" s="100" t="str">
        <f>IF(OR(Fact_Cumplimiento[[#This Row], [Año]]="",Fact_Cumplimiento[[#This Row], [Mes]]=""),"",DATE(A1556,MATCH(B1556,{"enero","febrero","marzo","abril","mayo","junio","julio","agosto","septiembre","octubre","noviembre","diciembre"},0)+1,0))</f>
        <v/>
      </c>
      <c r="E1556" t="str">
        <f>+IFERROR(VLOOKUP(Fact_Cumplimiento[[#This Row], [Concepto Anterior]],Conceptos_Cumplimiento[#All],5,0),"")</f>
        <v/>
      </c>
      <c r="F1556" t="str">
        <f>+IFERROR(VLOOKUP(Fact_Cumplimiento[[#This Row], 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ht="18.75" customHeight="1" x14ac:dyDescent="0.35">
      <c r="C1557" s="100" t="str">
        <f>IF(OR(Fact_Cumplimiento[[#This Row], [Año]]="",Fact_Cumplimiento[[#This Row], [Mes]]=""),"",DATE(A1557,MATCH(B1557,{"enero","febrero","marzo","abril","mayo","junio","julio","agosto","septiembre","octubre","noviembre","diciembre"},0)+1,0))</f>
        <v/>
      </c>
      <c r="E1557" t="str">
        <f>+IFERROR(VLOOKUP(Fact_Cumplimiento[[#This Row], [Concepto Anterior]],Conceptos_Cumplimiento[#All],5,0),"")</f>
        <v/>
      </c>
      <c r="F1557" t="str">
        <f>+IFERROR(VLOOKUP(Fact_Cumplimiento[[#This Row], 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ht="18.75" customHeight="1" x14ac:dyDescent="0.35">
      <c r="C1558" s="100" t="str">
        <f>IF(OR(Fact_Cumplimiento[[#This Row], [Año]]="",Fact_Cumplimiento[[#This Row], [Mes]]=""),"",DATE(A1558,MATCH(B1558,{"enero","febrero","marzo","abril","mayo","junio","julio","agosto","septiembre","octubre","noviembre","diciembre"},0)+1,0))</f>
        <v/>
      </c>
      <c r="E1558" t="str">
        <f>+IFERROR(VLOOKUP(Fact_Cumplimiento[[#This Row], [Concepto Anterior]],Conceptos_Cumplimiento[#All],5,0),"")</f>
        <v/>
      </c>
      <c r="F1558" t="str">
        <f>+IFERROR(VLOOKUP(Fact_Cumplimiento[[#This Row], 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ht="18.75" customHeight="1" x14ac:dyDescent="0.35">
      <c r="C1559" s="100" t="str">
        <f>IF(OR(Fact_Cumplimiento[[#This Row], [Año]]="",Fact_Cumplimiento[[#This Row], [Mes]]=""),"",DATE(A1559,MATCH(B1559,{"enero","febrero","marzo","abril","mayo","junio","julio","agosto","septiembre","octubre","noviembre","diciembre"},0)+1,0))</f>
        <v/>
      </c>
      <c r="E1559" t="str">
        <f>+IFERROR(VLOOKUP(Fact_Cumplimiento[[#This Row], [Concepto Anterior]],Conceptos_Cumplimiento[#All],5,0),"")</f>
        <v/>
      </c>
      <c r="F1559" t="str">
        <f>+IFERROR(VLOOKUP(Fact_Cumplimiento[[#This Row], 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ht="18.75" customHeight="1" x14ac:dyDescent="0.35">
      <c r="C1560" s="100" t="str">
        <f>IF(OR(Fact_Cumplimiento[[#This Row], [Año]]="",Fact_Cumplimiento[[#This Row], [Mes]]=""),"",DATE(A1560,MATCH(B1560,{"enero","febrero","marzo","abril","mayo","junio","julio","agosto","septiembre","octubre","noviembre","diciembre"},0)+1,0))</f>
        <v/>
      </c>
      <c r="E1560" t="str">
        <f>+IFERROR(VLOOKUP(Fact_Cumplimiento[[#This Row], [Concepto Anterior]],Conceptos_Cumplimiento[#All],5,0),"")</f>
        <v/>
      </c>
      <c r="F1560" t="str">
        <f>+IFERROR(VLOOKUP(Fact_Cumplimiento[[#This Row], 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ht="18.75" customHeight="1" x14ac:dyDescent="0.35">
      <c r="C1561" s="100" t="str">
        <f>IF(OR(Fact_Cumplimiento[[#This Row], [Año]]="",Fact_Cumplimiento[[#This Row], [Mes]]=""),"",DATE(A1561,MATCH(B1561,{"enero","febrero","marzo","abril","mayo","junio","julio","agosto","septiembre","octubre","noviembre","diciembre"},0)+1,0))</f>
        <v/>
      </c>
      <c r="E1561" t="str">
        <f>+IFERROR(VLOOKUP(Fact_Cumplimiento[[#This Row], [Concepto Anterior]],Conceptos_Cumplimiento[#All],5,0),"")</f>
        <v/>
      </c>
      <c r="F1561" t="str">
        <f>+IFERROR(VLOOKUP(Fact_Cumplimiento[[#This Row], 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ht="18.75" customHeight="1" x14ac:dyDescent="0.35">
      <c r="C1562" s="100" t="str">
        <f>IF(OR(Fact_Cumplimiento[[#This Row], [Año]]="",Fact_Cumplimiento[[#This Row], [Mes]]=""),"",DATE(A1562,MATCH(B1562,{"enero","febrero","marzo","abril","mayo","junio","julio","agosto","septiembre","octubre","noviembre","diciembre"},0)+1,0))</f>
        <v/>
      </c>
      <c r="E1562" t="str">
        <f>+IFERROR(VLOOKUP(Fact_Cumplimiento[[#This Row], [Concepto Anterior]],Conceptos_Cumplimiento[#All],5,0),"")</f>
        <v/>
      </c>
      <c r="F1562" t="str">
        <f>+IFERROR(VLOOKUP(Fact_Cumplimiento[[#This Row], 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ht="18.75" customHeight="1" x14ac:dyDescent="0.35">
      <c r="C1563" s="100" t="str">
        <f>IF(OR(Fact_Cumplimiento[[#This Row], [Año]]="",Fact_Cumplimiento[[#This Row], [Mes]]=""),"",DATE(A1563,MATCH(B1563,{"enero","febrero","marzo","abril","mayo","junio","julio","agosto","septiembre","octubre","noviembre","diciembre"},0)+1,0))</f>
        <v/>
      </c>
      <c r="E1563" t="str">
        <f>+IFERROR(VLOOKUP(Fact_Cumplimiento[[#This Row], [Concepto Anterior]],Conceptos_Cumplimiento[#All],5,0),"")</f>
        <v/>
      </c>
      <c r="F1563" t="str">
        <f>+IFERROR(VLOOKUP(Fact_Cumplimiento[[#This Row], 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ht="18.75" customHeight="1" x14ac:dyDescent="0.35">
      <c r="C1564" s="100" t="str">
        <f>IF(OR(Fact_Cumplimiento[[#This Row], [Año]]="",Fact_Cumplimiento[[#This Row], [Mes]]=""),"",DATE(A1564,MATCH(B1564,{"enero","febrero","marzo","abril","mayo","junio","julio","agosto","septiembre","octubre","noviembre","diciembre"},0)+1,0))</f>
        <v/>
      </c>
      <c r="E1564" t="str">
        <f>+IFERROR(VLOOKUP(Fact_Cumplimiento[[#This Row], [Concepto Anterior]],Conceptos_Cumplimiento[#All],5,0),"")</f>
        <v/>
      </c>
      <c r="F1564" t="str">
        <f>+IFERROR(VLOOKUP(Fact_Cumplimiento[[#This Row], 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ht="18.75" customHeight="1" x14ac:dyDescent="0.35">
      <c r="C1565" s="100" t="str">
        <f>IF(OR(Fact_Cumplimiento[[#This Row], [Año]]="",Fact_Cumplimiento[[#This Row], [Mes]]=""),"",DATE(A1565,MATCH(B1565,{"enero","febrero","marzo","abril","mayo","junio","julio","agosto","septiembre","octubre","noviembre","diciembre"},0)+1,0))</f>
        <v/>
      </c>
      <c r="E1565" t="str">
        <f>+IFERROR(VLOOKUP(Fact_Cumplimiento[[#This Row], [Concepto Anterior]],Conceptos_Cumplimiento[#All],5,0),"")</f>
        <v/>
      </c>
      <c r="F1565" t="str">
        <f>+IFERROR(VLOOKUP(Fact_Cumplimiento[[#This Row], 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ht="18.75" customHeight="1" x14ac:dyDescent="0.35">
      <c r="C1566" s="100" t="str">
        <f>IF(OR(Fact_Cumplimiento[[#This Row], [Año]]="",Fact_Cumplimiento[[#This Row], [Mes]]=""),"",DATE(A1566,MATCH(B1566,{"enero","febrero","marzo","abril","mayo","junio","julio","agosto","septiembre","octubre","noviembre","diciembre"},0)+1,0))</f>
        <v/>
      </c>
      <c r="E1566" t="str">
        <f>+IFERROR(VLOOKUP(Fact_Cumplimiento[[#This Row], [Concepto Anterior]],Conceptos_Cumplimiento[#All],5,0),"")</f>
        <v/>
      </c>
      <c r="F1566" t="str">
        <f>+IFERROR(VLOOKUP(Fact_Cumplimiento[[#This Row], 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ht="18.75" customHeight="1" x14ac:dyDescent="0.35">
      <c r="C1567" s="100" t="str">
        <f>IF(OR(Fact_Cumplimiento[[#This Row], [Año]]="",Fact_Cumplimiento[[#This Row], [Mes]]=""),"",DATE(A1567,MATCH(B1567,{"enero","febrero","marzo","abril","mayo","junio","julio","agosto","septiembre","octubre","noviembre","diciembre"},0)+1,0))</f>
        <v/>
      </c>
      <c r="E1567" t="str">
        <f>+IFERROR(VLOOKUP(Fact_Cumplimiento[[#This Row], [Concepto Anterior]],Conceptos_Cumplimiento[#All],5,0),"")</f>
        <v/>
      </c>
      <c r="F1567" t="str">
        <f>+IFERROR(VLOOKUP(Fact_Cumplimiento[[#This Row], 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ht="18.75" customHeight="1" x14ac:dyDescent="0.35">
      <c r="C1568" s="100" t="str">
        <f>IF(OR(Fact_Cumplimiento[[#This Row], [Año]]="",Fact_Cumplimiento[[#This Row], [Mes]]=""),"",DATE(A1568,MATCH(B1568,{"enero","febrero","marzo","abril","mayo","junio","julio","agosto","septiembre","octubre","noviembre","diciembre"},0)+1,0))</f>
        <v/>
      </c>
      <c r="E1568" t="str">
        <f>+IFERROR(VLOOKUP(Fact_Cumplimiento[[#This Row], [Concepto Anterior]],Conceptos_Cumplimiento[#All],5,0),"")</f>
        <v/>
      </c>
      <c r="F1568" t="str">
        <f>+IFERROR(VLOOKUP(Fact_Cumplimiento[[#This Row], 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ht="18.75" customHeight="1" x14ac:dyDescent="0.35">
      <c r="C1569" s="100" t="str">
        <f>IF(OR(Fact_Cumplimiento[[#This Row], [Año]]="",Fact_Cumplimiento[[#This Row], [Mes]]=""),"",DATE(A1569,MATCH(B1569,{"enero","febrero","marzo","abril","mayo","junio","julio","agosto","septiembre","octubre","noviembre","diciembre"},0)+1,0))</f>
        <v/>
      </c>
      <c r="E1569" t="str">
        <f>+IFERROR(VLOOKUP(Fact_Cumplimiento[[#This Row], [Concepto Anterior]],Conceptos_Cumplimiento[#All],5,0),"")</f>
        <v/>
      </c>
      <c r="F1569" t="str">
        <f>+IFERROR(VLOOKUP(Fact_Cumplimiento[[#This Row], 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ht="18.75" customHeight="1" x14ac:dyDescent="0.35">
      <c r="C1570" s="100" t="str">
        <f>IF(OR(Fact_Cumplimiento[[#This Row], [Año]]="",Fact_Cumplimiento[[#This Row], [Mes]]=""),"",DATE(A1570,MATCH(B1570,{"enero","febrero","marzo","abril","mayo","junio","julio","agosto","septiembre","octubre","noviembre","diciembre"},0)+1,0))</f>
        <v/>
      </c>
      <c r="E1570" t="str">
        <f>+IFERROR(VLOOKUP(Fact_Cumplimiento[[#This Row], [Concepto Anterior]],Conceptos_Cumplimiento[#All],5,0),"")</f>
        <v/>
      </c>
      <c r="F1570" t="str">
        <f>+IFERROR(VLOOKUP(Fact_Cumplimiento[[#This Row], 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ht="18.75" customHeight="1" x14ac:dyDescent="0.35">
      <c r="C1571" s="100" t="str">
        <f>IF(OR(Fact_Cumplimiento[[#This Row], [Año]]="",Fact_Cumplimiento[[#This Row], [Mes]]=""),"",DATE(A1571,MATCH(B1571,{"enero","febrero","marzo","abril","mayo","junio","julio","agosto","septiembre","octubre","noviembre","diciembre"},0)+1,0))</f>
        <v/>
      </c>
      <c r="E1571" t="str">
        <f>+IFERROR(VLOOKUP(Fact_Cumplimiento[[#This Row], [Concepto Anterior]],Conceptos_Cumplimiento[#All],5,0),"")</f>
        <v/>
      </c>
      <c r="F1571" t="str">
        <f>+IFERROR(VLOOKUP(Fact_Cumplimiento[[#This Row], 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ht="18.75" customHeight="1" x14ac:dyDescent="0.35">
      <c r="C1572" s="100" t="str">
        <f>IF(OR(Fact_Cumplimiento[[#This Row], [Año]]="",Fact_Cumplimiento[[#This Row], [Mes]]=""),"",DATE(A1572,MATCH(B1572,{"enero","febrero","marzo","abril","mayo","junio","julio","agosto","septiembre","octubre","noviembre","diciembre"},0)+1,0))</f>
        <v/>
      </c>
      <c r="E1572" t="str">
        <f>+IFERROR(VLOOKUP(Fact_Cumplimiento[[#This Row], [Concepto Anterior]],Conceptos_Cumplimiento[#All],5,0),"")</f>
        <v/>
      </c>
      <c r="F1572" t="str">
        <f>+IFERROR(VLOOKUP(Fact_Cumplimiento[[#This Row], 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ht="18.75" customHeight="1" x14ac:dyDescent="0.35">
      <c r="C1573" s="100" t="str">
        <f>IF(OR(Fact_Cumplimiento[[#This Row], [Año]]="",Fact_Cumplimiento[[#This Row], [Mes]]=""),"",DATE(A1573,MATCH(B1573,{"enero","febrero","marzo","abril","mayo","junio","julio","agosto","septiembre","octubre","noviembre","diciembre"},0)+1,0))</f>
        <v/>
      </c>
      <c r="E1573" t="str">
        <f>+IFERROR(VLOOKUP(Fact_Cumplimiento[[#This Row], [Concepto Anterior]],Conceptos_Cumplimiento[#All],5,0),"")</f>
        <v/>
      </c>
      <c r="F1573" t="str">
        <f>+IFERROR(VLOOKUP(Fact_Cumplimiento[[#This Row], 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ht="18.75" customHeight="1" x14ac:dyDescent="0.35">
      <c r="C1574" s="100" t="str">
        <f>IF(OR(Fact_Cumplimiento[[#This Row], [Año]]="",Fact_Cumplimiento[[#This Row], [Mes]]=""),"",DATE(A1574,MATCH(B1574,{"enero","febrero","marzo","abril","mayo","junio","julio","agosto","septiembre","octubre","noviembre","diciembre"},0)+1,0))</f>
        <v/>
      </c>
      <c r="E1574" t="str">
        <f>+IFERROR(VLOOKUP(Fact_Cumplimiento[[#This Row], [Concepto Anterior]],Conceptos_Cumplimiento[#All],5,0),"")</f>
        <v/>
      </c>
      <c r="F1574" t="str">
        <f>+IFERROR(VLOOKUP(Fact_Cumplimiento[[#This Row], 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ht="18.75" customHeight="1" x14ac:dyDescent="0.35">
      <c r="C1575" s="100" t="str">
        <f>IF(OR(Fact_Cumplimiento[[#This Row], [Año]]="",Fact_Cumplimiento[[#This Row], [Mes]]=""),"",DATE(A1575,MATCH(B1575,{"enero","febrero","marzo","abril","mayo","junio","julio","agosto","septiembre","octubre","noviembre","diciembre"},0)+1,0))</f>
        <v/>
      </c>
      <c r="E1575" t="str">
        <f>+IFERROR(VLOOKUP(Fact_Cumplimiento[[#This Row], [Concepto Anterior]],Conceptos_Cumplimiento[#All],5,0),"")</f>
        <v/>
      </c>
      <c r="F1575" t="str">
        <f>+IFERROR(VLOOKUP(Fact_Cumplimiento[[#This Row], 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ht="18.75" customHeight="1" x14ac:dyDescent="0.35">
      <c r="C1576" s="100" t="str">
        <f>IF(OR(Fact_Cumplimiento[[#This Row], [Año]]="",Fact_Cumplimiento[[#This Row], [Mes]]=""),"",DATE(A1576,MATCH(B1576,{"enero","febrero","marzo","abril","mayo","junio","julio","agosto","septiembre","octubre","noviembre","diciembre"},0)+1,0))</f>
        <v/>
      </c>
      <c r="E1576" t="str">
        <f>+IFERROR(VLOOKUP(Fact_Cumplimiento[[#This Row], [Concepto Anterior]],Conceptos_Cumplimiento[#All],5,0),"")</f>
        <v/>
      </c>
      <c r="F1576" t="str">
        <f>+IFERROR(VLOOKUP(Fact_Cumplimiento[[#This Row], 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ht="18.75" customHeight="1" x14ac:dyDescent="0.35">
      <c r="C1577" s="100" t="str">
        <f>IF(OR(Fact_Cumplimiento[[#This Row], [Año]]="",Fact_Cumplimiento[[#This Row], [Mes]]=""),"",DATE(A1577,MATCH(B1577,{"enero","febrero","marzo","abril","mayo","junio","julio","agosto","septiembre","octubre","noviembre","diciembre"},0)+1,0))</f>
        <v/>
      </c>
      <c r="E1577" t="str">
        <f>+IFERROR(VLOOKUP(Fact_Cumplimiento[[#This Row], [Concepto Anterior]],Conceptos_Cumplimiento[#All],5,0),"")</f>
        <v/>
      </c>
      <c r="F1577" t="str">
        <f>+IFERROR(VLOOKUP(Fact_Cumplimiento[[#This Row], 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ht="18.75" customHeight="1" x14ac:dyDescent="0.35">
      <c r="C1578" s="100" t="str">
        <f>IF(OR(Fact_Cumplimiento[[#This Row], [Año]]="",Fact_Cumplimiento[[#This Row], [Mes]]=""),"",DATE(A1578,MATCH(B1578,{"enero","febrero","marzo","abril","mayo","junio","julio","agosto","septiembre","octubre","noviembre","diciembre"},0)+1,0))</f>
        <v/>
      </c>
      <c r="E1578" t="str">
        <f>+IFERROR(VLOOKUP(Fact_Cumplimiento[[#This Row], [Concepto Anterior]],Conceptos_Cumplimiento[#All],5,0),"")</f>
        <v/>
      </c>
      <c r="F1578" t="str">
        <f>+IFERROR(VLOOKUP(Fact_Cumplimiento[[#This Row], 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ht="18.75" customHeight="1" x14ac:dyDescent="0.35">
      <c r="C1579" s="100" t="str">
        <f>IF(OR(Fact_Cumplimiento[[#This Row], [Año]]="",Fact_Cumplimiento[[#This Row], [Mes]]=""),"",DATE(A1579,MATCH(B1579,{"enero","febrero","marzo","abril","mayo","junio","julio","agosto","septiembre","octubre","noviembre","diciembre"},0)+1,0))</f>
        <v/>
      </c>
      <c r="E1579" t="str">
        <f>+IFERROR(VLOOKUP(Fact_Cumplimiento[[#This Row], [Concepto Anterior]],Conceptos_Cumplimiento[#All],5,0),"")</f>
        <v/>
      </c>
      <c r="F1579" t="str">
        <f>+IFERROR(VLOOKUP(Fact_Cumplimiento[[#This Row], 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ht="18.75" customHeight="1" x14ac:dyDescent="0.35">
      <c r="C1580" s="100" t="str">
        <f>IF(OR(Fact_Cumplimiento[[#This Row], [Año]]="",Fact_Cumplimiento[[#This Row], [Mes]]=""),"",DATE(A1580,MATCH(B1580,{"enero","febrero","marzo","abril","mayo","junio","julio","agosto","septiembre","octubre","noviembre","diciembre"},0)+1,0))</f>
        <v/>
      </c>
      <c r="E1580" t="str">
        <f>+IFERROR(VLOOKUP(Fact_Cumplimiento[[#This Row], [Concepto Anterior]],Conceptos_Cumplimiento[#All],5,0),"")</f>
        <v/>
      </c>
      <c r="F1580" t="str">
        <f>+IFERROR(VLOOKUP(Fact_Cumplimiento[[#This Row], 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ht="18.75" customHeight="1" x14ac:dyDescent="0.35">
      <c r="C1581" s="100" t="str">
        <f>IF(OR(Fact_Cumplimiento[[#This Row], [Año]]="",Fact_Cumplimiento[[#This Row], [Mes]]=""),"",DATE(A1581,MATCH(B1581,{"enero","febrero","marzo","abril","mayo","junio","julio","agosto","septiembre","octubre","noviembre","diciembre"},0)+1,0))</f>
        <v/>
      </c>
      <c r="E1581" t="str">
        <f>+IFERROR(VLOOKUP(Fact_Cumplimiento[[#This Row], [Concepto Anterior]],Conceptos_Cumplimiento[#All],5,0),"")</f>
        <v/>
      </c>
      <c r="F1581" t="str">
        <f>+IFERROR(VLOOKUP(Fact_Cumplimiento[[#This Row], 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ht="18.75" customHeight="1" x14ac:dyDescent="0.35">
      <c r="C1582" s="100" t="str">
        <f>IF(OR(Fact_Cumplimiento[[#This Row], [Año]]="",Fact_Cumplimiento[[#This Row], [Mes]]=""),"",DATE(A1582,MATCH(B1582,{"enero","febrero","marzo","abril","mayo","junio","julio","agosto","septiembre","octubre","noviembre","diciembre"},0)+1,0))</f>
        <v/>
      </c>
      <c r="E1582" t="str">
        <f>+IFERROR(VLOOKUP(Fact_Cumplimiento[[#This Row], [Concepto Anterior]],Conceptos_Cumplimiento[#All],5,0),"")</f>
        <v/>
      </c>
      <c r="F1582" t="str">
        <f>+IFERROR(VLOOKUP(Fact_Cumplimiento[[#This Row], 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ht="18.75" customHeight="1" x14ac:dyDescent="0.35">
      <c r="C1583" s="100" t="str">
        <f>IF(OR(Fact_Cumplimiento[[#This Row], [Año]]="",Fact_Cumplimiento[[#This Row], [Mes]]=""),"",DATE(A1583,MATCH(B1583,{"enero","febrero","marzo","abril","mayo","junio","julio","agosto","septiembre","octubre","noviembre","diciembre"},0)+1,0))</f>
        <v/>
      </c>
      <c r="E1583" t="str">
        <f>+IFERROR(VLOOKUP(Fact_Cumplimiento[[#This Row], [Concepto Anterior]],Conceptos_Cumplimiento[#All],5,0),"")</f>
        <v/>
      </c>
      <c r="F1583" t="str">
        <f>+IFERROR(VLOOKUP(Fact_Cumplimiento[[#This Row], 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ht="18.75" customHeight="1" x14ac:dyDescent="0.35">
      <c r="C1584" s="100" t="str">
        <f>IF(OR(Fact_Cumplimiento[[#This Row], [Año]]="",Fact_Cumplimiento[[#This Row], [Mes]]=""),"",DATE(A1584,MATCH(B1584,{"enero","febrero","marzo","abril","mayo","junio","julio","agosto","septiembre","octubre","noviembre","diciembre"},0)+1,0))</f>
        <v/>
      </c>
      <c r="E1584" t="str">
        <f>+IFERROR(VLOOKUP(Fact_Cumplimiento[[#This Row], [Concepto Anterior]],Conceptos_Cumplimiento[#All],5,0),"")</f>
        <v/>
      </c>
      <c r="F1584" t="str">
        <f>+IFERROR(VLOOKUP(Fact_Cumplimiento[[#This Row], 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ht="18.75" customHeight="1" x14ac:dyDescent="0.35">
      <c r="C1585" s="100" t="str">
        <f>IF(OR(Fact_Cumplimiento[[#This Row], [Año]]="",Fact_Cumplimiento[[#This Row], [Mes]]=""),"",DATE(A1585,MATCH(B1585,{"enero","febrero","marzo","abril","mayo","junio","julio","agosto","septiembre","octubre","noviembre","diciembre"},0)+1,0))</f>
        <v/>
      </c>
      <c r="E1585" t="str">
        <f>+IFERROR(VLOOKUP(Fact_Cumplimiento[[#This Row], [Concepto Anterior]],Conceptos_Cumplimiento[#All],5,0),"")</f>
        <v/>
      </c>
      <c r="F1585" t="str">
        <f>+IFERROR(VLOOKUP(Fact_Cumplimiento[[#This Row], 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ht="18.75" customHeight="1" x14ac:dyDescent="0.35">
      <c r="C1586" s="100" t="str">
        <f>IF(OR(Fact_Cumplimiento[[#This Row], [Año]]="",Fact_Cumplimiento[[#This Row], [Mes]]=""),"",DATE(A1586,MATCH(B1586,{"enero","febrero","marzo","abril","mayo","junio","julio","agosto","septiembre","octubre","noviembre","diciembre"},0)+1,0))</f>
        <v/>
      </c>
      <c r="E1586" t="str">
        <f>+IFERROR(VLOOKUP(Fact_Cumplimiento[[#This Row], [Concepto Anterior]],Conceptos_Cumplimiento[#All],5,0),"")</f>
        <v/>
      </c>
      <c r="F1586" t="str">
        <f>+IFERROR(VLOOKUP(Fact_Cumplimiento[[#This Row], 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ht="18.75" customHeight="1" x14ac:dyDescent="0.35">
      <c r="C1587" s="100" t="str">
        <f>IF(OR(Fact_Cumplimiento[[#This Row], [Año]]="",Fact_Cumplimiento[[#This Row], [Mes]]=""),"",DATE(A1587,MATCH(B1587,{"enero","febrero","marzo","abril","mayo","junio","julio","agosto","septiembre","octubre","noviembre","diciembre"},0)+1,0))</f>
        <v/>
      </c>
      <c r="E1587" t="str">
        <f>+IFERROR(VLOOKUP(Fact_Cumplimiento[[#This Row], [Concepto Anterior]],Conceptos_Cumplimiento[#All],5,0),"")</f>
        <v/>
      </c>
      <c r="F1587" t="str">
        <f>+IFERROR(VLOOKUP(Fact_Cumplimiento[[#This Row], 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ht="18.75" customHeight="1" x14ac:dyDescent="0.35">
      <c r="C1588" s="100" t="str">
        <f>IF(OR(Fact_Cumplimiento[[#This Row], [Año]]="",Fact_Cumplimiento[[#This Row], [Mes]]=""),"",DATE(A1588,MATCH(B1588,{"enero","febrero","marzo","abril","mayo","junio","julio","agosto","septiembre","octubre","noviembre","diciembre"},0)+1,0))</f>
        <v/>
      </c>
      <c r="E1588" t="str">
        <f>+IFERROR(VLOOKUP(Fact_Cumplimiento[[#This Row], [Concepto Anterior]],Conceptos_Cumplimiento[#All],5,0),"")</f>
        <v/>
      </c>
      <c r="F1588" t="str">
        <f>+IFERROR(VLOOKUP(Fact_Cumplimiento[[#This Row], 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ht="18.75" customHeight="1" x14ac:dyDescent="0.35">
      <c r="C1589" s="100" t="str">
        <f>IF(OR(Fact_Cumplimiento[[#This Row], [Año]]="",Fact_Cumplimiento[[#This Row], [Mes]]=""),"",DATE(A1589,MATCH(B1589,{"enero","febrero","marzo","abril","mayo","junio","julio","agosto","septiembre","octubre","noviembre","diciembre"},0)+1,0))</f>
        <v/>
      </c>
      <c r="E1589" t="str">
        <f>+IFERROR(VLOOKUP(Fact_Cumplimiento[[#This Row], [Concepto Anterior]],Conceptos_Cumplimiento[#All],5,0),"")</f>
        <v/>
      </c>
      <c r="F1589" t="str">
        <f>+IFERROR(VLOOKUP(Fact_Cumplimiento[[#This Row], 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ht="18.75" customHeight="1" x14ac:dyDescent="0.35">
      <c r="C1590" s="100" t="str">
        <f>IF(OR(Fact_Cumplimiento[[#This Row], [Año]]="",Fact_Cumplimiento[[#This Row], [Mes]]=""),"",DATE(A1590,MATCH(B1590,{"enero","febrero","marzo","abril","mayo","junio","julio","agosto","septiembre","octubre","noviembre","diciembre"},0)+1,0))</f>
        <v/>
      </c>
      <c r="E1590" t="str">
        <f>+IFERROR(VLOOKUP(Fact_Cumplimiento[[#This Row], [Concepto Anterior]],Conceptos_Cumplimiento[#All],5,0),"")</f>
        <v/>
      </c>
      <c r="F1590" t="str">
        <f>+IFERROR(VLOOKUP(Fact_Cumplimiento[[#This Row], 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ht="18.75" customHeight="1" x14ac:dyDescent="0.35">
      <c r="C1591" s="100" t="str">
        <f>IF(OR(Fact_Cumplimiento[[#This Row], [Año]]="",Fact_Cumplimiento[[#This Row], [Mes]]=""),"",DATE(A1591,MATCH(B1591,{"enero","febrero","marzo","abril","mayo","junio","julio","agosto","septiembre","octubre","noviembre","diciembre"},0)+1,0))</f>
        <v/>
      </c>
      <c r="E1591" t="str">
        <f>+IFERROR(VLOOKUP(Fact_Cumplimiento[[#This Row], [Concepto Anterior]],Conceptos_Cumplimiento[#All],5,0),"")</f>
        <v/>
      </c>
      <c r="F1591" t="str">
        <f>+IFERROR(VLOOKUP(Fact_Cumplimiento[[#This Row], 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ht="18.75" customHeight="1" x14ac:dyDescent="0.35">
      <c r="C1592" s="100" t="str">
        <f>IF(OR(Fact_Cumplimiento[[#This Row], [Año]]="",Fact_Cumplimiento[[#This Row], [Mes]]=""),"",DATE(A1592,MATCH(B1592,{"enero","febrero","marzo","abril","mayo","junio","julio","agosto","septiembre","octubre","noviembre","diciembre"},0)+1,0))</f>
        <v/>
      </c>
      <c r="E1592" t="str">
        <f>+IFERROR(VLOOKUP(Fact_Cumplimiento[[#This Row], [Concepto Anterior]],Conceptos_Cumplimiento[#All],5,0),"")</f>
        <v/>
      </c>
      <c r="F1592" t="str">
        <f>+IFERROR(VLOOKUP(Fact_Cumplimiento[[#This Row], 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ht="18.75" customHeight="1" x14ac:dyDescent="0.35">
      <c r="C1593" s="100" t="str">
        <f>IF(OR(Fact_Cumplimiento[[#This Row], [Año]]="",Fact_Cumplimiento[[#This Row], [Mes]]=""),"",DATE(A1593,MATCH(B1593,{"enero","febrero","marzo","abril","mayo","junio","julio","agosto","septiembre","octubre","noviembre","diciembre"},0)+1,0))</f>
        <v/>
      </c>
      <c r="E1593" t="str">
        <f>+IFERROR(VLOOKUP(Fact_Cumplimiento[[#This Row], [Concepto Anterior]],Conceptos_Cumplimiento[#All],5,0),"")</f>
        <v/>
      </c>
      <c r="F1593" t="str">
        <f>+IFERROR(VLOOKUP(Fact_Cumplimiento[[#This Row], 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ht="18.75" customHeight="1" x14ac:dyDescent="0.35">
      <c r="C1594" s="100" t="str">
        <f>IF(OR(Fact_Cumplimiento[[#This Row], [Año]]="",Fact_Cumplimiento[[#This Row], [Mes]]=""),"",DATE(A1594,MATCH(B1594,{"enero","febrero","marzo","abril","mayo","junio","julio","agosto","septiembre","octubre","noviembre","diciembre"},0)+1,0))</f>
        <v/>
      </c>
      <c r="E1594" t="str">
        <f>+IFERROR(VLOOKUP(Fact_Cumplimiento[[#This Row], [Concepto Anterior]],Conceptos_Cumplimiento[#All],5,0),"")</f>
        <v/>
      </c>
      <c r="F1594" t="str">
        <f>+IFERROR(VLOOKUP(Fact_Cumplimiento[[#This Row], 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ht="18.75" customHeight="1" x14ac:dyDescent="0.35">
      <c r="C1595" s="100" t="str">
        <f>IF(OR(Fact_Cumplimiento[[#This Row], [Año]]="",Fact_Cumplimiento[[#This Row], [Mes]]=""),"",DATE(A1595,MATCH(B1595,{"enero","febrero","marzo","abril","mayo","junio","julio","agosto","septiembre","octubre","noviembre","diciembre"},0)+1,0))</f>
        <v/>
      </c>
      <c r="E1595" t="str">
        <f>+IFERROR(VLOOKUP(Fact_Cumplimiento[[#This Row], [Concepto Anterior]],Conceptos_Cumplimiento[#All],5,0),"")</f>
        <v/>
      </c>
      <c r="F1595" t="str">
        <f>+IFERROR(VLOOKUP(Fact_Cumplimiento[[#This Row], 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ht="18.75" customHeight="1" x14ac:dyDescent="0.35">
      <c r="C1596" s="100" t="str">
        <f>IF(OR(Fact_Cumplimiento[[#This Row], [Año]]="",Fact_Cumplimiento[[#This Row], [Mes]]=""),"",DATE(A1596,MATCH(B1596,{"enero","febrero","marzo","abril","mayo","junio","julio","agosto","septiembre","octubre","noviembre","diciembre"},0)+1,0))</f>
        <v/>
      </c>
      <c r="E1596" t="str">
        <f>+IFERROR(VLOOKUP(Fact_Cumplimiento[[#This Row], [Concepto Anterior]],Conceptos_Cumplimiento[#All],5,0),"")</f>
        <v/>
      </c>
      <c r="F1596" t="str">
        <f>+IFERROR(VLOOKUP(Fact_Cumplimiento[[#This Row], 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ht="18.75" customHeight="1" x14ac:dyDescent="0.35">
      <c r="C1597" s="100" t="str">
        <f>IF(OR(Fact_Cumplimiento[[#This Row], [Año]]="",Fact_Cumplimiento[[#This Row], [Mes]]=""),"",DATE(A1597,MATCH(B1597,{"enero","febrero","marzo","abril","mayo","junio","julio","agosto","septiembre","octubre","noviembre","diciembre"},0)+1,0))</f>
        <v/>
      </c>
      <c r="E1597" t="str">
        <f>+IFERROR(VLOOKUP(Fact_Cumplimiento[[#This Row], [Concepto Anterior]],Conceptos_Cumplimiento[#All],5,0),"")</f>
        <v/>
      </c>
      <c r="F1597" t="str">
        <f>+IFERROR(VLOOKUP(Fact_Cumplimiento[[#This Row], 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ht="18.75" customHeight="1" x14ac:dyDescent="0.35">
      <c r="C1598" s="100" t="str">
        <f>IF(OR(Fact_Cumplimiento[[#This Row], [Año]]="",Fact_Cumplimiento[[#This Row], [Mes]]=""),"",DATE(A1598,MATCH(B1598,{"enero","febrero","marzo","abril","mayo","junio","julio","agosto","septiembre","octubre","noviembre","diciembre"},0)+1,0))</f>
        <v/>
      </c>
      <c r="E1598" t="str">
        <f>+IFERROR(VLOOKUP(Fact_Cumplimiento[[#This Row], [Concepto Anterior]],Conceptos_Cumplimiento[#All],5,0),"")</f>
        <v/>
      </c>
      <c r="F1598" t="str">
        <f>+IFERROR(VLOOKUP(Fact_Cumplimiento[[#This Row], 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ht="18.75" customHeight="1" x14ac:dyDescent="0.35">
      <c r="C1599" s="100" t="str">
        <f>IF(OR(Fact_Cumplimiento[[#This Row], [Año]]="",Fact_Cumplimiento[[#This Row], [Mes]]=""),"",DATE(A1599,MATCH(B1599,{"enero","febrero","marzo","abril","mayo","junio","julio","agosto","septiembre","octubre","noviembre","diciembre"},0)+1,0))</f>
        <v/>
      </c>
      <c r="E1599" t="str">
        <f>+IFERROR(VLOOKUP(Fact_Cumplimiento[[#This Row], [Concepto Anterior]],Conceptos_Cumplimiento[#All],5,0),"")</f>
        <v/>
      </c>
      <c r="F1599" t="str">
        <f>+IFERROR(VLOOKUP(Fact_Cumplimiento[[#This Row], 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ht="18.75" customHeight="1" x14ac:dyDescent="0.35">
      <c r="C1600" s="100" t="str">
        <f>IF(OR(Fact_Cumplimiento[[#This Row], [Año]]="",Fact_Cumplimiento[[#This Row], [Mes]]=""),"",DATE(A1600,MATCH(B1600,{"enero","febrero","marzo","abril","mayo","junio","julio","agosto","septiembre","octubre","noviembre","diciembre"},0)+1,0))</f>
        <v/>
      </c>
      <c r="E1600" t="str">
        <f>+IFERROR(VLOOKUP(Fact_Cumplimiento[[#This Row], [Concepto Anterior]],Conceptos_Cumplimiento[#All],5,0),"")</f>
        <v/>
      </c>
      <c r="F1600" t="str">
        <f>+IFERROR(VLOOKUP(Fact_Cumplimiento[[#This Row], 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ht="18.75" customHeight="1" x14ac:dyDescent="0.35">
      <c r="C1601" s="100" t="str">
        <f>IF(OR(Fact_Cumplimiento[[#This Row], [Año]]="",Fact_Cumplimiento[[#This Row], [Mes]]=""),"",DATE(A1601,MATCH(B1601,{"enero","febrero","marzo","abril","mayo","junio","julio","agosto","septiembre","octubre","noviembre","diciembre"},0)+1,0))</f>
        <v/>
      </c>
      <c r="E1601" t="str">
        <f>+IFERROR(VLOOKUP(Fact_Cumplimiento[[#This Row], [Concepto Anterior]],Conceptos_Cumplimiento[#All],5,0),"")</f>
        <v/>
      </c>
      <c r="F1601" t="str">
        <f>+IFERROR(VLOOKUP(Fact_Cumplimiento[[#This Row], 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ht="18.75" customHeight="1" x14ac:dyDescent="0.35">
      <c r="C1602" s="100" t="str">
        <f>IF(OR(Fact_Cumplimiento[[#This Row], [Año]]="",Fact_Cumplimiento[[#This Row], [Mes]]=""),"",DATE(A1602,MATCH(B1602,{"enero","febrero","marzo","abril","mayo","junio","julio","agosto","septiembre","octubre","noviembre","diciembre"},0)+1,0))</f>
        <v/>
      </c>
      <c r="E1602" t="str">
        <f>+IFERROR(VLOOKUP(Fact_Cumplimiento[[#This Row], [Concepto Anterior]],Conceptos_Cumplimiento[#All],5,0),"")</f>
        <v/>
      </c>
      <c r="F1602" t="str">
        <f>+IFERROR(VLOOKUP(Fact_Cumplimiento[[#This Row], 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ht="18.75" customHeight="1" x14ac:dyDescent="0.35">
      <c r="C1603" s="100" t="str">
        <f>IF(OR(Fact_Cumplimiento[[#This Row], [Año]]="",Fact_Cumplimiento[[#This Row], [Mes]]=""),"",DATE(A1603,MATCH(B1603,{"enero","febrero","marzo","abril","mayo","junio","julio","agosto","septiembre","octubre","noviembre","diciembre"},0)+1,0))</f>
        <v/>
      </c>
      <c r="E1603" t="str">
        <f>+IFERROR(VLOOKUP(Fact_Cumplimiento[[#This Row], [Concepto Anterior]],Conceptos_Cumplimiento[#All],5,0),"")</f>
        <v/>
      </c>
      <c r="F1603" t="str">
        <f>+IFERROR(VLOOKUP(Fact_Cumplimiento[[#This Row], 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ht="18.75" customHeight="1" x14ac:dyDescent="0.35">
      <c r="C1604" s="100" t="str">
        <f>IF(OR(Fact_Cumplimiento[[#This Row], [Año]]="",Fact_Cumplimiento[[#This Row], [Mes]]=""),"",DATE(A1604,MATCH(B1604,{"enero","febrero","marzo","abril","mayo","junio","julio","agosto","septiembre","octubre","noviembre","diciembre"},0)+1,0))</f>
        <v/>
      </c>
      <c r="E1604" t="str">
        <f>+IFERROR(VLOOKUP(Fact_Cumplimiento[[#This Row], [Concepto Anterior]],Conceptos_Cumplimiento[#All],5,0),"")</f>
        <v/>
      </c>
      <c r="F1604" t="str">
        <f>+IFERROR(VLOOKUP(Fact_Cumplimiento[[#This Row], 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ht="18.75" customHeight="1" x14ac:dyDescent="0.35">
      <c r="C1605" s="100" t="str">
        <f>IF(OR(Fact_Cumplimiento[[#This Row], [Año]]="",Fact_Cumplimiento[[#This Row], [Mes]]=""),"",DATE(A1605,MATCH(B1605,{"enero","febrero","marzo","abril","mayo","junio","julio","agosto","septiembre","octubre","noviembre","diciembre"},0)+1,0))</f>
        <v/>
      </c>
      <c r="E1605" t="str">
        <f>+IFERROR(VLOOKUP(Fact_Cumplimiento[[#This Row], [Concepto Anterior]],Conceptos_Cumplimiento[#All],5,0),"")</f>
        <v/>
      </c>
      <c r="F1605" t="str">
        <f>+IFERROR(VLOOKUP(Fact_Cumplimiento[[#This Row], 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ht="18.75" customHeight="1" x14ac:dyDescent="0.35">
      <c r="C1606" s="100" t="str">
        <f>IF(OR(Fact_Cumplimiento[[#This Row], [Año]]="",Fact_Cumplimiento[[#This Row], [Mes]]=""),"",DATE(A1606,MATCH(B1606,{"enero","febrero","marzo","abril","mayo","junio","julio","agosto","septiembre","octubre","noviembre","diciembre"},0)+1,0))</f>
        <v/>
      </c>
      <c r="E1606" t="str">
        <f>+IFERROR(VLOOKUP(Fact_Cumplimiento[[#This Row], [Concepto Anterior]],Conceptos_Cumplimiento[#All],5,0),"")</f>
        <v/>
      </c>
      <c r="F1606" t="str">
        <f>+IFERROR(VLOOKUP(Fact_Cumplimiento[[#This Row], 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ht="18.75" customHeight="1" x14ac:dyDescent="0.35">
      <c r="C1607" s="100" t="str">
        <f>IF(OR(Fact_Cumplimiento[[#This Row], [Año]]="",Fact_Cumplimiento[[#This Row], [Mes]]=""),"",DATE(A1607,MATCH(B1607,{"enero","febrero","marzo","abril","mayo","junio","julio","agosto","septiembre","octubre","noviembre","diciembre"},0)+1,0))</f>
        <v/>
      </c>
      <c r="E1607" t="str">
        <f>+IFERROR(VLOOKUP(Fact_Cumplimiento[[#This Row], [Concepto Anterior]],Conceptos_Cumplimiento[#All],5,0),"")</f>
        <v/>
      </c>
      <c r="F1607" t="str">
        <f>+IFERROR(VLOOKUP(Fact_Cumplimiento[[#This Row], 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ht="18.75" customHeight="1" x14ac:dyDescent="0.35">
      <c r="C1608" s="100" t="str">
        <f>IF(OR(Fact_Cumplimiento[[#This Row], [Año]]="",Fact_Cumplimiento[[#This Row], [Mes]]=""),"",DATE(A1608,MATCH(B1608,{"enero","febrero","marzo","abril","mayo","junio","julio","agosto","septiembre","octubre","noviembre","diciembre"},0)+1,0))</f>
        <v/>
      </c>
      <c r="E1608" t="str">
        <f>+IFERROR(VLOOKUP(Fact_Cumplimiento[[#This Row], [Concepto Anterior]],Conceptos_Cumplimiento[#All],5,0),"")</f>
        <v/>
      </c>
      <c r="F1608" t="str">
        <f>+IFERROR(VLOOKUP(Fact_Cumplimiento[[#This Row], 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ht="18.75" customHeight="1" x14ac:dyDescent="0.35">
      <c r="C1609" s="100" t="str">
        <f>IF(OR(Fact_Cumplimiento[[#This Row], [Año]]="",Fact_Cumplimiento[[#This Row], [Mes]]=""),"",DATE(A1609,MATCH(B1609,{"enero","febrero","marzo","abril","mayo","junio","julio","agosto","septiembre","octubre","noviembre","diciembre"},0)+1,0))</f>
        <v/>
      </c>
      <c r="E1609" t="str">
        <f>+IFERROR(VLOOKUP(Fact_Cumplimiento[[#This Row], [Concepto Anterior]],Conceptos_Cumplimiento[#All],5,0),"")</f>
        <v/>
      </c>
      <c r="F1609" t="str">
        <f>+IFERROR(VLOOKUP(Fact_Cumplimiento[[#This Row], 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ht="18.75" customHeight="1" x14ac:dyDescent="0.35">
      <c r="C1610" s="100" t="str">
        <f>IF(OR(Fact_Cumplimiento[[#This Row], [Año]]="",Fact_Cumplimiento[[#This Row], [Mes]]=""),"",DATE(A1610,MATCH(B1610,{"enero","febrero","marzo","abril","mayo","junio","julio","agosto","septiembre","octubre","noviembre","diciembre"},0)+1,0))</f>
        <v/>
      </c>
      <c r="E1610" t="str">
        <f>+IFERROR(VLOOKUP(Fact_Cumplimiento[[#This Row], [Concepto Anterior]],Conceptos_Cumplimiento[#All],5,0),"")</f>
        <v/>
      </c>
      <c r="F1610" t="str">
        <f>+IFERROR(VLOOKUP(Fact_Cumplimiento[[#This Row], 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ht="18.75" customHeight="1" x14ac:dyDescent="0.35">
      <c r="C1611" s="100" t="str">
        <f>IF(OR(Fact_Cumplimiento[[#This Row], [Año]]="",Fact_Cumplimiento[[#This Row], [Mes]]=""),"",DATE(A1611,MATCH(B1611,{"enero","febrero","marzo","abril","mayo","junio","julio","agosto","septiembre","octubre","noviembre","diciembre"},0)+1,0))</f>
        <v/>
      </c>
      <c r="E1611" t="str">
        <f>+IFERROR(VLOOKUP(Fact_Cumplimiento[[#This Row], [Concepto Anterior]],Conceptos_Cumplimiento[#All],5,0),"")</f>
        <v/>
      </c>
      <c r="F1611" t="str">
        <f>+IFERROR(VLOOKUP(Fact_Cumplimiento[[#This Row], 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ht="18.75" customHeight="1" x14ac:dyDescent="0.35">
      <c r="C1612" s="100" t="str">
        <f>IF(OR(Fact_Cumplimiento[[#This Row], [Año]]="",Fact_Cumplimiento[[#This Row], [Mes]]=""),"",DATE(A1612,MATCH(B1612,{"enero","febrero","marzo","abril","mayo","junio","julio","agosto","septiembre","octubre","noviembre","diciembre"},0)+1,0))</f>
        <v/>
      </c>
      <c r="E1612" t="str">
        <f>+IFERROR(VLOOKUP(Fact_Cumplimiento[[#This Row], [Concepto Anterior]],Conceptos_Cumplimiento[#All],5,0),"")</f>
        <v/>
      </c>
      <c r="F1612" t="str">
        <f>+IFERROR(VLOOKUP(Fact_Cumplimiento[[#This Row], 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ht="18.75" customHeight="1" x14ac:dyDescent="0.35">
      <c r="C1613" s="100" t="str">
        <f>IF(OR(Fact_Cumplimiento[[#This Row], [Año]]="",Fact_Cumplimiento[[#This Row], [Mes]]=""),"",DATE(A1613,MATCH(B1613,{"enero","febrero","marzo","abril","mayo","junio","julio","agosto","septiembre","octubre","noviembre","diciembre"},0)+1,0))</f>
        <v/>
      </c>
      <c r="E1613" t="str">
        <f>+IFERROR(VLOOKUP(Fact_Cumplimiento[[#This Row], [Concepto Anterior]],Conceptos_Cumplimiento[#All],5,0),"")</f>
        <v/>
      </c>
      <c r="F1613" t="str">
        <f>+IFERROR(VLOOKUP(Fact_Cumplimiento[[#This Row], 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ht="18.75" customHeight="1" x14ac:dyDescent="0.35">
      <c r="C1614" s="100" t="str">
        <f>IF(OR(Fact_Cumplimiento[[#This Row], [Año]]="",Fact_Cumplimiento[[#This Row], [Mes]]=""),"",DATE(A1614,MATCH(B1614,{"enero","febrero","marzo","abril","mayo","junio","julio","agosto","septiembre","octubre","noviembre","diciembre"},0)+1,0))</f>
        <v/>
      </c>
      <c r="E1614" t="str">
        <f>+IFERROR(VLOOKUP(Fact_Cumplimiento[[#This Row], [Concepto Anterior]],Conceptos_Cumplimiento[#All],5,0),"")</f>
        <v/>
      </c>
      <c r="F1614" t="str">
        <f>+IFERROR(VLOOKUP(Fact_Cumplimiento[[#This Row], 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ht="18.75" customHeight="1" x14ac:dyDescent="0.35">
      <c r="C1615" s="100" t="str">
        <f>IF(OR(Fact_Cumplimiento[[#This Row], [Año]]="",Fact_Cumplimiento[[#This Row], [Mes]]=""),"",DATE(A1615,MATCH(B1615,{"enero","febrero","marzo","abril","mayo","junio","julio","agosto","septiembre","octubre","noviembre","diciembre"},0)+1,0))</f>
        <v/>
      </c>
      <c r="E1615" t="str">
        <f>+IFERROR(VLOOKUP(Fact_Cumplimiento[[#This Row], [Concepto Anterior]],Conceptos_Cumplimiento[#All],5,0),"")</f>
        <v/>
      </c>
      <c r="F1615" t="str">
        <f>+IFERROR(VLOOKUP(Fact_Cumplimiento[[#This Row], 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ht="18.75" customHeight="1" x14ac:dyDescent="0.35">
      <c r="C1616" s="100" t="str">
        <f>IF(OR(Fact_Cumplimiento[[#This Row], [Año]]="",Fact_Cumplimiento[[#This Row], [Mes]]=""),"",DATE(A1616,MATCH(B1616,{"enero","febrero","marzo","abril","mayo","junio","julio","agosto","septiembre","octubre","noviembre","diciembre"},0)+1,0))</f>
        <v/>
      </c>
      <c r="E1616" t="str">
        <f>+IFERROR(VLOOKUP(Fact_Cumplimiento[[#This Row], [Concepto Anterior]],Conceptos_Cumplimiento[#All],5,0),"")</f>
        <v/>
      </c>
      <c r="F1616" t="str">
        <f>+IFERROR(VLOOKUP(Fact_Cumplimiento[[#This Row], 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ht="18.75" customHeight="1" x14ac:dyDescent="0.35">
      <c r="C1617" s="100" t="str">
        <f>IF(OR(Fact_Cumplimiento[[#This Row], [Año]]="",Fact_Cumplimiento[[#This Row], [Mes]]=""),"",DATE(A1617,MATCH(B1617,{"enero","febrero","marzo","abril","mayo","junio","julio","agosto","septiembre","octubre","noviembre","diciembre"},0)+1,0))</f>
        <v/>
      </c>
      <c r="E1617" t="str">
        <f>+IFERROR(VLOOKUP(Fact_Cumplimiento[[#This Row], [Concepto Anterior]],Conceptos_Cumplimiento[#All],5,0),"")</f>
        <v/>
      </c>
      <c r="F1617" t="str">
        <f>+IFERROR(VLOOKUP(Fact_Cumplimiento[[#This Row], 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ht="18.75" customHeight="1" x14ac:dyDescent="0.35">
      <c r="C1618" s="100" t="str">
        <f>IF(OR(Fact_Cumplimiento[[#This Row], [Año]]="",Fact_Cumplimiento[[#This Row], [Mes]]=""),"",DATE(A1618,MATCH(B1618,{"enero","febrero","marzo","abril","mayo","junio","julio","agosto","septiembre","octubre","noviembre","diciembre"},0)+1,0))</f>
        <v/>
      </c>
      <c r="E1618" t="str">
        <f>+IFERROR(VLOOKUP(Fact_Cumplimiento[[#This Row], [Concepto Anterior]],Conceptos_Cumplimiento[#All],5,0),"")</f>
        <v/>
      </c>
      <c r="F1618" t="str">
        <f>+IFERROR(VLOOKUP(Fact_Cumplimiento[[#This Row], 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ht="18.75" customHeight="1" x14ac:dyDescent="0.35">
      <c r="C1619" s="100" t="str">
        <f>IF(OR(Fact_Cumplimiento[[#This Row], [Año]]="",Fact_Cumplimiento[[#This Row], [Mes]]=""),"",DATE(A1619,MATCH(B1619,{"enero","febrero","marzo","abril","mayo","junio","julio","agosto","septiembre","octubre","noviembre","diciembre"},0)+1,0))</f>
        <v/>
      </c>
      <c r="E1619" t="str">
        <f>+IFERROR(VLOOKUP(Fact_Cumplimiento[[#This Row], [Concepto Anterior]],Conceptos_Cumplimiento[#All],5,0),"")</f>
        <v/>
      </c>
      <c r="F1619" t="str">
        <f>+IFERROR(VLOOKUP(Fact_Cumplimiento[[#This Row], 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ht="18.75" customHeight="1" x14ac:dyDescent="0.35">
      <c r="C1620" s="100" t="str">
        <f>IF(OR(Fact_Cumplimiento[[#This Row], [Año]]="",Fact_Cumplimiento[[#This Row], [Mes]]=""),"",DATE(A1620,MATCH(B1620,{"enero","febrero","marzo","abril","mayo","junio","julio","agosto","septiembre","octubre","noviembre","diciembre"},0)+1,0))</f>
        <v/>
      </c>
      <c r="E1620" t="str">
        <f>+IFERROR(VLOOKUP(Fact_Cumplimiento[[#This Row], [Concepto Anterior]],Conceptos_Cumplimiento[#All],5,0),"")</f>
        <v/>
      </c>
      <c r="F1620" t="str">
        <f>+IFERROR(VLOOKUP(Fact_Cumplimiento[[#This Row], 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ht="18.75" customHeight="1" x14ac:dyDescent="0.35">
      <c r="C1621" s="100" t="str">
        <f>IF(OR(Fact_Cumplimiento[[#This Row], [Año]]="",Fact_Cumplimiento[[#This Row], [Mes]]=""),"",DATE(A1621,MATCH(B1621,{"enero","febrero","marzo","abril","mayo","junio","julio","agosto","septiembre","octubre","noviembre","diciembre"},0)+1,0))</f>
        <v/>
      </c>
      <c r="E1621" t="str">
        <f>+IFERROR(VLOOKUP(Fact_Cumplimiento[[#This Row], [Concepto Anterior]],Conceptos_Cumplimiento[#All],5,0),"")</f>
        <v/>
      </c>
      <c r="F1621" t="str">
        <f>+IFERROR(VLOOKUP(Fact_Cumplimiento[[#This Row], 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ht="18.75" customHeight="1" x14ac:dyDescent="0.35">
      <c r="C1622" s="100" t="str">
        <f>IF(OR(Fact_Cumplimiento[[#This Row], [Año]]="",Fact_Cumplimiento[[#This Row], [Mes]]=""),"",DATE(A1622,MATCH(B1622,{"enero","febrero","marzo","abril","mayo","junio","julio","agosto","septiembre","octubre","noviembre","diciembre"},0)+1,0))</f>
        <v/>
      </c>
      <c r="E1622" t="str">
        <f>+IFERROR(VLOOKUP(Fact_Cumplimiento[[#This Row], [Concepto Anterior]],Conceptos_Cumplimiento[#All],5,0),"")</f>
        <v/>
      </c>
      <c r="F1622" t="str">
        <f>+IFERROR(VLOOKUP(Fact_Cumplimiento[[#This Row], 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ht="18.75" customHeight="1" x14ac:dyDescent="0.35">
      <c r="C1623" s="100" t="str">
        <f>IF(OR(Fact_Cumplimiento[[#This Row], [Año]]="",Fact_Cumplimiento[[#This Row], [Mes]]=""),"",DATE(A1623,MATCH(B1623,{"enero","febrero","marzo","abril","mayo","junio","julio","agosto","septiembre","octubre","noviembre","diciembre"},0)+1,0))</f>
        <v/>
      </c>
      <c r="E1623" t="str">
        <f>+IFERROR(VLOOKUP(Fact_Cumplimiento[[#This Row], [Concepto Anterior]],Conceptos_Cumplimiento[#All],5,0),"")</f>
        <v/>
      </c>
      <c r="F1623" t="str">
        <f>+IFERROR(VLOOKUP(Fact_Cumplimiento[[#This Row], 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ht="18.75" customHeight="1" x14ac:dyDescent="0.35">
      <c r="C1624" s="100" t="str">
        <f>IF(OR(Fact_Cumplimiento[[#This Row], [Año]]="",Fact_Cumplimiento[[#This Row], [Mes]]=""),"",DATE(A1624,MATCH(B1624,{"enero","febrero","marzo","abril","mayo","junio","julio","agosto","septiembre","octubre","noviembre","diciembre"},0)+1,0))</f>
        <v/>
      </c>
      <c r="E1624" t="str">
        <f>+IFERROR(VLOOKUP(Fact_Cumplimiento[[#This Row], [Concepto Anterior]],Conceptos_Cumplimiento[#All],5,0),"")</f>
        <v/>
      </c>
      <c r="F1624" t="str">
        <f>+IFERROR(VLOOKUP(Fact_Cumplimiento[[#This Row], 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ht="18.75" customHeight="1" x14ac:dyDescent="0.35">
      <c r="C1625" s="100" t="str">
        <f>IF(OR(Fact_Cumplimiento[[#This Row], [Año]]="",Fact_Cumplimiento[[#This Row], [Mes]]=""),"",DATE(A1625,MATCH(B1625,{"enero","febrero","marzo","abril","mayo","junio","julio","agosto","septiembre","octubre","noviembre","diciembre"},0)+1,0))</f>
        <v/>
      </c>
      <c r="E1625" t="str">
        <f>+IFERROR(VLOOKUP(Fact_Cumplimiento[[#This Row], [Concepto Anterior]],Conceptos_Cumplimiento[#All],5,0),"")</f>
        <v/>
      </c>
      <c r="F1625" t="str">
        <f>+IFERROR(VLOOKUP(Fact_Cumplimiento[[#This Row], 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ht="18.75" customHeight="1" x14ac:dyDescent="0.35">
      <c r="C1626" s="100" t="str">
        <f>IF(OR(Fact_Cumplimiento[[#This Row], [Año]]="",Fact_Cumplimiento[[#This Row], [Mes]]=""),"",DATE(A1626,MATCH(B1626,{"enero","febrero","marzo","abril","mayo","junio","julio","agosto","septiembre","octubre","noviembre","diciembre"},0)+1,0))</f>
        <v/>
      </c>
      <c r="E1626" t="str">
        <f>+IFERROR(VLOOKUP(Fact_Cumplimiento[[#This Row], [Concepto Anterior]],Conceptos_Cumplimiento[#All],5,0),"")</f>
        <v/>
      </c>
      <c r="F1626" t="str">
        <f>+IFERROR(VLOOKUP(Fact_Cumplimiento[[#This Row], 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ht="18.75" customHeight="1" x14ac:dyDescent="0.35">
      <c r="C1627" s="100" t="str">
        <f>IF(OR(Fact_Cumplimiento[[#This Row], [Año]]="",Fact_Cumplimiento[[#This Row], [Mes]]=""),"",DATE(A1627,MATCH(B1627,{"enero","febrero","marzo","abril","mayo","junio","julio","agosto","septiembre","octubre","noviembre","diciembre"},0)+1,0))</f>
        <v/>
      </c>
      <c r="E1627" t="str">
        <f>+IFERROR(VLOOKUP(Fact_Cumplimiento[[#This Row], [Concepto Anterior]],Conceptos_Cumplimiento[#All],5,0),"")</f>
        <v/>
      </c>
      <c r="F1627" t="str">
        <f>+IFERROR(VLOOKUP(Fact_Cumplimiento[[#This Row], 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ht="18.75" customHeight="1" x14ac:dyDescent="0.35">
      <c r="C1628" s="100" t="str">
        <f>IF(OR(Fact_Cumplimiento[[#This Row], [Año]]="",Fact_Cumplimiento[[#This Row], [Mes]]=""),"",DATE(A1628,MATCH(B1628,{"enero","febrero","marzo","abril","mayo","junio","julio","agosto","septiembre","octubre","noviembre","diciembre"},0)+1,0))</f>
        <v/>
      </c>
      <c r="E1628" t="str">
        <f>+IFERROR(VLOOKUP(Fact_Cumplimiento[[#This Row], [Concepto Anterior]],Conceptos_Cumplimiento[#All],5,0),"")</f>
        <v/>
      </c>
      <c r="F1628" t="str">
        <f>+IFERROR(VLOOKUP(Fact_Cumplimiento[[#This Row], 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ht="18.75" customHeight="1" x14ac:dyDescent="0.35">
      <c r="C1629" s="100" t="str">
        <f>IF(OR(Fact_Cumplimiento[[#This Row], [Año]]="",Fact_Cumplimiento[[#This Row], [Mes]]=""),"",DATE(A1629,MATCH(B1629,{"enero","febrero","marzo","abril","mayo","junio","julio","agosto","septiembre","octubre","noviembre","diciembre"},0)+1,0))</f>
        <v/>
      </c>
      <c r="E1629" t="str">
        <f>+IFERROR(VLOOKUP(Fact_Cumplimiento[[#This Row], [Concepto Anterior]],Conceptos_Cumplimiento[#All],5,0),"")</f>
        <v/>
      </c>
      <c r="F1629" t="str">
        <f>+IFERROR(VLOOKUP(Fact_Cumplimiento[[#This Row], 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ht="18.75" customHeight="1" x14ac:dyDescent="0.35">
      <c r="C1630" s="100" t="str">
        <f>IF(OR(Fact_Cumplimiento[[#This Row], [Año]]="",Fact_Cumplimiento[[#This Row], [Mes]]=""),"",DATE(A1630,MATCH(B1630,{"enero","febrero","marzo","abril","mayo","junio","julio","agosto","septiembre","octubre","noviembre","diciembre"},0)+1,0))</f>
        <v/>
      </c>
      <c r="E1630" t="str">
        <f>+IFERROR(VLOOKUP(Fact_Cumplimiento[[#This Row], [Concepto Anterior]],Conceptos_Cumplimiento[#All],5,0),"")</f>
        <v/>
      </c>
      <c r="F1630" t="str">
        <f>+IFERROR(VLOOKUP(Fact_Cumplimiento[[#This Row], 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ht="18.75" customHeight="1" x14ac:dyDescent="0.35">
      <c r="C1631" s="100" t="str">
        <f>IF(OR(Fact_Cumplimiento[[#This Row], [Año]]="",Fact_Cumplimiento[[#This Row], [Mes]]=""),"",DATE(A1631,MATCH(B1631,{"enero","febrero","marzo","abril","mayo","junio","julio","agosto","septiembre","octubre","noviembre","diciembre"},0)+1,0))</f>
        <v/>
      </c>
      <c r="E1631" t="str">
        <f>+IFERROR(VLOOKUP(Fact_Cumplimiento[[#This Row], [Concepto Anterior]],Conceptos_Cumplimiento[#All],5,0),"")</f>
        <v/>
      </c>
      <c r="F1631" t="str">
        <f>+IFERROR(VLOOKUP(Fact_Cumplimiento[[#This Row], 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ht="18.75" customHeight="1" x14ac:dyDescent="0.35">
      <c r="C1632" s="100" t="str">
        <f>IF(OR(Fact_Cumplimiento[[#This Row], [Año]]="",Fact_Cumplimiento[[#This Row], [Mes]]=""),"",DATE(A1632,MATCH(B1632,{"enero","febrero","marzo","abril","mayo","junio","julio","agosto","septiembre","octubre","noviembre","diciembre"},0)+1,0))</f>
        <v/>
      </c>
      <c r="E1632" t="str">
        <f>+IFERROR(VLOOKUP(Fact_Cumplimiento[[#This Row], [Concepto Anterior]],Conceptos_Cumplimiento[#All],5,0),"")</f>
        <v/>
      </c>
      <c r="F1632" t="str">
        <f>+IFERROR(VLOOKUP(Fact_Cumplimiento[[#This Row], 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ht="18.75" customHeight="1" x14ac:dyDescent="0.35">
      <c r="C1633" s="100" t="str">
        <f>IF(OR(Fact_Cumplimiento[[#This Row], [Año]]="",Fact_Cumplimiento[[#This Row], [Mes]]=""),"",DATE(A1633,MATCH(B1633,{"enero","febrero","marzo","abril","mayo","junio","julio","agosto","septiembre","octubre","noviembre","diciembre"},0)+1,0))</f>
        <v/>
      </c>
      <c r="E1633" t="str">
        <f>+IFERROR(VLOOKUP(Fact_Cumplimiento[[#This Row], [Concepto Anterior]],Conceptos_Cumplimiento[#All],5,0),"")</f>
        <v/>
      </c>
      <c r="F1633" t="str">
        <f>+IFERROR(VLOOKUP(Fact_Cumplimiento[[#This Row], 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ht="18.75" customHeight="1" x14ac:dyDescent="0.35">
      <c r="C1634" s="100" t="str">
        <f>IF(OR(Fact_Cumplimiento[[#This Row], [Año]]="",Fact_Cumplimiento[[#This Row], [Mes]]=""),"",DATE(A1634,MATCH(B1634,{"enero","febrero","marzo","abril","mayo","junio","julio","agosto","septiembre","octubre","noviembre","diciembre"},0)+1,0))</f>
        <v/>
      </c>
      <c r="E1634" t="str">
        <f>+IFERROR(VLOOKUP(Fact_Cumplimiento[[#This Row], [Concepto Anterior]],Conceptos_Cumplimiento[#All],5,0),"")</f>
        <v/>
      </c>
      <c r="F1634" t="str">
        <f>+IFERROR(VLOOKUP(Fact_Cumplimiento[[#This Row], 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ht="18.75" customHeight="1" x14ac:dyDescent="0.35">
      <c r="C1635" s="100" t="str">
        <f>IF(OR(Fact_Cumplimiento[[#This Row], [Año]]="",Fact_Cumplimiento[[#This Row], [Mes]]=""),"",DATE(A1635,MATCH(B1635,{"enero","febrero","marzo","abril","mayo","junio","julio","agosto","septiembre","octubre","noviembre","diciembre"},0)+1,0))</f>
        <v/>
      </c>
      <c r="E1635" t="str">
        <f>+IFERROR(VLOOKUP(Fact_Cumplimiento[[#This Row], [Concepto Anterior]],Conceptos_Cumplimiento[#All],5,0),"")</f>
        <v/>
      </c>
      <c r="F1635" t="str">
        <f>+IFERROR(VLOOKUP(Fact_Cumplimiento[[#This Row], 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ht="18.75" customHeight="1" x14ac:dyDescent="0.35">
      <c r="C1636" s="100" t="str">
        <f>IF(OR(Fact_Cumplimiento[[#This Row], [Año]]="",Fact_Cumplimiento[[#This Row], [Mes]]=""),"",DATE(A1636,MATCH(B1636,{"enero","febrero","marzo","abril","mayo","junio","julio","agosto","septiembre","octubre","noviembre","diciembre"},0)+1,0))</f>
        <v/>
      </c>
      <c r="E1636" t="str">
        <f>+IFERROR(VLOOKUP(Fact_Cumplimiento[[#This Row], [Concepto Anterior]],Conceptos_Cumplimiento[#All],5,0),"")</f>
        <v/>
      </c>
      <c r="F1636" t="str">
        <f>+IFERROR(VLOOKUP(Fact_Cumplimiento[[#This Row], 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ht="18.75" customHeight="1" x14ac:dyDescent="0.35">
      <c r="C1637" s="100" t="str">
        <f>IF(OR(Fact_Cumplimiento[[#This Row], [Año]]="",Fact_Cumplimiento[[#This Row], [Mes]]=""),"",DATE(A1637,MATCH(B1637,{"enero","febrero","marzo","abril","mayo","junio","julio","agosto","septiembre","octubre","noviembre","diciembre"},0)+1,0))</f>
        <v/>
      </c>
      <c r="E1637" t="str">
        <f>+IFERROR(VLOOKUP(Fact_Cumplimiento[[#This Row], [Concepto Anterior]],Conceptos_Cumplimiento[#All],5,0),"")</f>
        <v/>
      </c>
      <c r="F1637" t="str">
        <f>+IFERROR(VLOOKUP(Fact_Cumplimiento[[#This Row], 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ht="18.75" customHeight="1" x14ac:dyDescent="0.35">
      <c r="C1638" s="100" t="str">
        <f>IF(OR(Fact_Cumplimiento[[#This Row], [Año]]="",Fact_Cumplimiento[[#This Row], [Mes]]=""),"",DATE(A1638,MATCH(B1638,{"enero","febrero","marzo","abril","mayo","junio","julio","agosto","septiembre","octubre","noviembre","diciembre"},0)+1,0))</f>
        <v/>
      </c>
      <c r="E1638" t="str">
        <f>+IFERROR(VLOOKUP(Fact_Cumplimiento[[#This Row], [Concepto Anterior]],Conceptos_Cumplimiento[#All],5,0),"")</f>
        <v/>
      </c>
      <c r="F1638" t="str">
        <f>+IFERROR(VLOOKUP(Fact_Cumplimiento[[#This Row], 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ht="18.75" customHeight="1" x14ac:dyDescent="0.35">
      <c r="C1639" s="100" t="str">
        <f>IF(OR(Fact_Cumplimiento[[#This Row], [Año]]="",Fact_Cumplimiento[[#This Row], [Mes]]=""),"",DATE(A1639,MATCH(B1639,{"enero","febrero","marzo","abril","mayo","junio","julio","agosto","septiembre","octubre","noviembre","diciembre"},0)+1,0))</f>
        <v/>
      </c>
      <c r="E1639" t="str">
        <f>+IFERROR(VLOOKUP(Fact_Cumplimiento[[#This Row], [Concepto Anterior]],Conceptos_Cumplimiento[#All],5,0),"")</f>
        <v/>
      </c>
      <c r="F1639" t="str">
        <f>+IFERROR(VLOOKUP(Fact_Cumplimiento[[#This Row], 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ht="18.75" customHeight="1" x14ac:dyDescent="0.35">
      <c r="C1640" s="100" t="str">
        <f>IF(OR(Fact_Cumplimiento[[#This Row], [Año]]="",Fact_Cumplimiento[[#This Row], [Mes]]=""),"",DATE(A1640,MATCH(B1640,{"enero","febrero","marzo","abril","mayo","junio","julio","agosto","septiembre","octubre","noviembre","diciembre"},0)+1,0))</f>
        <v/>
      </c>
      <c r="E1640" t="str">
        <f>+IFERROR(VLOOKUP(Fact_Cumplimiento[[#This Row], [Concepto Anterior]],Conceptos_Cumplimiento[#All],5,0),"")</f>
        <v/>
      </c>
      <c r="F1640" t="str">
        <f>+IFERROR(VLOOKUP(Fact_Cumplimiento[[#This Row], 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ht="18.75" customHeight="1" x14ac:dyDescent="0.35">
      <c r="C1641" s="100" t="str">
        <f>IF(OR(Fact_Cumplimiento[[#This Row], [Año]]="",Fact_Cumplimiento[[#This Row], [Mes]]=""),"",DATE(A1641,MATCH(B1641,{"enero","febrero","marzo","abril","mayo","junio","julio","agosto","septiembre","octubre","noviembre","diciembre"},0)+1,0))</f>
        <v/>
      </c>
      <c r="E1641" t="str">
        <f>+IFERROR(VLOOKUP(Fact_Cumplimiento[[#This Row], [Concepto Anterior]],Conceptos_Cumplimiento[#All],5,0),"")</f>
        <v/>
      </c>
      <c r="F1641" t="str">
        <f>+IFERROR(VLOOKUP(Fact_Cumplimiento[[#This Row], 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ht="18.75" customHeight="1" x14ac:dyDescent="0.35">
      <c r="C1642" s="100" t="str">
        <f>IF(OR(Fact_Cumplimiento[[#This Row], [Año]]="",Fact_Cumplimiento[[#This Row], [Mes]]=""),"",DATE(A1642,MATCH(B1642,{"enero","febrero","marzo","abril","mayo","junio","julio","agosto","septiembre","octubre","noviembre","diciembre"},0)+1,0))</f>
        <v/>
      </c>
      <c r="E1642" t="str">
        <f>+IFERROR(VLOOKUP(Fact_Cumplimiento[[#This Row], [Concepto Anterior]],Conceptos_Cumplimiento[#All],5,0),"")</f>
        <v/>
      </c>
      <c r="F1642" t="str">
        <f>+IFERROR(VLOOKUP(Fact_Cumplimiento[[#This Row], 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ht="18.75" customHeight="1" x14ac:dyDescent="0.35">
      <c r="C1643" s="100" t="str">
        <f>IF(OR(Fact_Cumplimiento[[#This Row], [Año]]="",Fact_Cumplimiento[[#This Row], [Mes]]=""),"",DATE(A1643,MATCH(B1643,{"enero","febrero","marzo","abril","mayo","junio","julio","agosto","septiembre","octubre","noviembre","diciembre"},0)+1,0))</f>
        <v/>
      </c>
      <c r="E1643" t="str">
        <f>+IFERROR(VLOOKUP(Fact_Cumplimiento[[#This Row], [Concepto Anterior]],Conceptos_Cumplimiento[#All],5,0),"")</f>
        <v/>
      </c>
      <c r="F1643" t="str">
        <f>+IFERROR(VLOOKUP(Fact_Cumplimiento[[#This Row], 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ht="18.75" customHeight="1" x14ac:dyDescent="0.35">
      <c r="C1644" s="100" t="str">
        <f>IF(OR(Fact_Cumplimiento[[#This Row], [Año]]="",Fact_Cumplimiento[[#This Row], [Mes]]=""),"",DATE(A1644,MATCH(B1644,{"enero","febrero","marzo","abril","mayo","junio","julio","agosto","septiembre","octubre","noviembre","diciembre"},0)+1,0))</f>
        <v/>
      </c>
      <c r="E1644" t="str">
        <f>+IFERROR(VLOOKUP(Fact_Cumplimiento[[#This Row], [Concepto Anterior]],Conceptos_Cumplimiento[#All],5,0),"")</f>
        <v/>
      </c>
      <c r="F1644" t="str">
        <f>+IFERROR(VLOOKUP(Fact_Cumplimiento[[#This Row], 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ht="18.75" customHeight="1" x14ac:dyDescent="0.35">
      <c r="C1645" s="100" t="str">
        <f>IF(OR(Fact_Cumplimiento[[#This Row], [Año]]="",Fact_Cumplimiento[[#This Row], [Mes]]=""),"",DATE(A1645,MATCH(B1645,{"enero","febrero","marzo","abril","mayo","junio","julio","agosto","septiembre","octubre","noviembre","diciembre"},0)+1,0))</f>
        <v/>
      </c>
      <c r="E1645" t="str">
        <f>+IFERROR(VLOOKUP(Fact_Cumplimiento[[#This Row], [Concepto Anterior]],Conceptos_Cumplimiento[#All],5,0),"")</f>
        <v/>
      </c>
      <c r="F1645" t="str">
        <f>+IFERROR(VLOOKUP(Fact_Cumplimiento[[#This Row], 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ht="18.75" customHeight="1" x14ac:dyDescent="0.35">
      <c r="C1646" s="100" t="str">
        <f>IF(OR(Fact_Cumplimiento[[#This Row], [Año]]="",Fact_Cumplimiento[[#This Row], [Mes]]=""),"",DATE(A1646,MATCH(B1646,{"enero","febrero","marzo","abril","mayo","junio","julio","agosto","septiembre","octubre","noviembre","diciembre"},0)+1,0))</f>
        <v/>
      </c>
      <c r="E1646" t="str">
        <f>+IFERROR(VLOOKUP(Fact_Cumplimiento[[#This Row], [Concepto Anterior]],Conceptos_Cumplimiento[#All],5,0),"")</f>
        <v/>
      </c>
      <c r="F1646" t="str">
        <f>+IFERROR(VLOOKUP(Fact_Cumplimiento[[#This Row], 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ht="18.75" customHeight="1" x14ac:dyDescent="0.35">
      <c r="C1647" s="100" t="str">
        <f>IF(OR(Fact_Cumplimiento[[#This Row], [Año]]="",Fact_Cumplimiento[[#This Row], [Mes]]=""),"",DATE(A1647,MATCH(B1647,{"enero","febrero","marzo","abril","mayo","junio","julio","agosto","septiembre","octubre","noviembre","diciembre"},0)+1,0))</f>
        <v/>
      </c>
      <c r="E1647" t="str">
        <f>+IFERROR(VLOOKUP(Fact_Cumplimiento[[#This Row], [Concepto Anterior]],Conceptos_Cumplimiento[#All],5,0),"")</f>
        <v/>
      </c>
      <c r="F1647" t="str">
        <f>+IFERROR(VLOOKUP(Fact_Cumplimiento[[#This Row], 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ht="18.75" customHeight="1" x14ac:dyDescent="0.35">
      <c r="C1648" s="100" t="str">
        <f>IF(OR(Fact_Cumplimiento[[#This Row], [Año]]="",Fact_Cumplimiento[[#This Row], [Mes]]=""),"",DATE(A1648,MATCH(B1648,{"enero","febrero","marzo","abril","mayo","junio","julio","agosto","septiembre","octubre","noviembre","diciembre"},0)+1,0))</f>
        <v/>
      </c>
      <c r="E1648" t="str">
        <f>+IFERROR(VLOOKUP(Fact_Cumplimiento[[#This Row], [Concepto Anterior]],Conceptos_Cumplimiento[#All],5,0),"")</f>
        <v/>
      </c>
      <c r="F1648" t="str">
        <f>+IFERROR(VLOOKUP(Fact_Cumplimiento[[#This Row], 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ht="18.75" customHeight="1" x14ac:dyDescent="0.35">
      <c r="C1649" s="100" t="str">
        <f>IF(OR(Fact_Cumplimiento[[#This Row], [Año]]="",Fact_Cumplimiento[[#This Row], [Mes]]=""),"",DATE(A1649,MATCH(B1649,{"enero","febrero","marzo","abril","mayo","junio","julio","agosto","septiembre","octubre","noviembre","diciembre"},0)+1,0))</f>
        <v/>
      </c>
      <c r="E1649" t="str">
        <f>+IFERROR(VLOOKUP(Fact_Cumplimiento[[#This Row], [Concepto Anterior]],Conceptos_Cumplimiento[#All],5,0),"")</f>
        <v/>
      </c>
      <c r="F1649" t="str">
        <f>+IFERROR(VLOOKUP(Fact_Cumplimiento[[#This Row], 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ht="18.75" customHeight="1" x14ac:dyDescent="0.35">
      <c r="C1650" s="100" t="str">
        <f>IF(OR(Fact_Cumplimiento[[#This Row], [Año]]="",Fact_Cumplimiento[[#This Row], [Mes]]=""),"",DATE(A1650,MATCH(B1650,{"enero","febrero","marzo","abril","mayo","junio","julio","agosto","septiembre","octubre","noviembre","diciembre"},0)+1,0))</f>
        <v/>
      </c>
      <c r="E1650" t="str">
        <f>+IFERROR(VLOOKUP(Fact_Cumplimiento[[#This Row], [Concepto Anterior]],Conceptos_Cumplimiento[#All],5,0),"")</f>
        <v/>
      </c>
      <c r="F1650" t="str">
        <f>+IFERROR(VLOOKUP(Fact_Cumplimiento[[#This Row], 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ht="18.75" customHeight="1" x14ac:dyDescent="0.35">
      <c r="C1651" s="100" t="str">
        <f>IF(OR(Fact_Cumplimiento[[#This Row], [Año]]="",Fact_Cumplimiento[[#This Row], [Mes]]=""),"",DATE(A1651,MATCH(B1651,{"enero","febrero","marzo","abril","mayo","junio","julio","agosto","septiembre","octubre","noviembre","diciembre"},0)+1,0))</f>
        <v/>
      </c>
      <c r="E1651" t="str">
        <f>+IFERROR(VLOOKUP(Fact_Cumplimiento[[#This Row], [Concepto Anterior]],Conceptos_Cumplimiento[#All],5,0),"")</f>
        <v/>
      </c>
      <c r="F1651" t="str">
        <f>+IFERROR(VLOOKUP(Fact_Cumplimiento[[#This Row], 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ht="18.75" customHeight="1" x14ac:dyDescent="0.35">
      <c r="C1652" s="100" t="str">
        <f>IF(OR(Fact_Cumplimiento[[#This Row], [Año]]="",Fact_Cumplimiento[[#This Row], [Mes]]=""),"",DATE(A1652,MATCH(B1652,{"enero","febrero","marzo","abril","mayo","junio","julio","agosto","septiembre","octubre","noviembre","diciembre"},0)+1,0))</f>
        <v/>
      </c>
      <c r="E1652" t="str">
        <f>+IFERROR(VLOOKUP(Fact_Cumplimiento[[#This Row], [Concepto Anterior]],Conceptos_Cumplimiento[#All],5,0),"")</f>
        <v/>
      </c>
      <c r="F1652" t="str">
        <f>+IFERROR(VLOOKUP(Fact_Cumplimiento[[#This Row], 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ht="18.75" customHeight="1" x14ac:dyDescent="0.35">
      <c r="C1653" s="100" t="str">
        <f>IF(OR(Fact_Cumplimiento[[#This Row], [Año]]="",Fact_Cumplimiento[[#This Row], [Mes]]=""),"",DATE(A1653,MATCH(B1653,{"enero","febrero","marzo","abril","mayo","junio","julio","agosto","septiembre","octubre","noviembre","diciembre"},0)+1,0))</f>
        <v/>
      </c>
      <c r="E1653" t="str">
        <f>+IFERROR(VLOOKUP(Fact_Cumplimiento[[#This Row], [Concepto Anterior]],Conceptos_Cumplimiento[#All],5,0),"")</f>
        <v/>
      </c>
      <c r="F1653" t="str">
        <f>+IFERROR(VLOOKUP(Fact_Cumplimiento[[#This Row], 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ht="18.75" customHeight="1" x14ac:dyDescent="0.35">
      <c r="C1654" s="100" t="str">
        <f>IF(OR(Fact_Cumplimiento[[#This Row], [Año]]="",Fact_Cumplimiento[[#This Row], [Mes]]=""),"",DATE(A1654,MATCH(B1654,{"enero","febrero","marzo","abril","mayo","junio","julio","agosto","septiembre","octubre","noviembre","diciembre"},0)+1,0))</f>
        <v/>
      </c>
      <c r="E1654" t="str">
        <f>+IFERROR(VLOOKUP(Fact_Cumplimiento[[#This Row], [Concepto Anterior]],Conceptos_Cumplimiento[#All],5,0),"")</f>
        <v/>
      </c>
      <c r="F1654" t="str">
        <f>+IFERROR(VLOOKUP(Fact_Cumplimiento[[#This Row], 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ht="18.75" customHeight="1" x14ac:dyDescent="0.35">
      <c r="C1655" s="100" t="str">
        <f>IF(OR(Fact_Cumplimiento[[#This Row], [Año]]="",Fact_Cumplimiento[[#This Row], [Mes]]=""),"",DATE(A1655,MATCH(B1655,{"enero","febrero","marzo","abril","mayo","junio","julio","agosto","septiembre","octubre","noviembre","diciembre"},0)+1,0))</f>
        <v/>
      </c>
      <c r="E1655" t="str">
        <f>+IFERROR(VLOOKUP(Fact_Cumplimiento[[#This Row], [Concepto Anterior]],Conceptos_Cumplimiento[#All],5,0),"")</f>
        <v/>
      </c>
      <c r="F1655" t="str">
        <f>+IFERROR(VLOOKUP(Fact_Cumplimiento[[#This Row], 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ht="18.75" customHeight="1" x14ac:dyDescent="0.35">
      <c r="C1656" s="100" t="str">
        <f>IF(OR(Fact_Cumplimiento[[#This Row], [Año]]="",Fact_Cumplimiento[[#This Row], [Mes]]=""),"",DATE(A1656,MATCH(B1656,{"enero","febrero","marzo","abril","mayo","junio","julio","agosto","septiembre","octubre","noviembre","diciembre"},0)+1,0))</f>
        <v/>
      </c>
      <c r="E1656" t="str">
        <f>+IFERROR(VLOOKUP(Fact_Cumplimiento[[#This Row], [Concepto Anterior]],Conceptos_Cumplimiento[#All],5,0),"")</f>
        <v/>
      </c>
      <c r="F1656" t="str">
        <f>+IFERROR(VLOOKUP(Fact_Cumplimiento[[#This Row], 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ht="18.75" customHeight="1" x14ac:dyDescent="0.35">
      <c r="C1657" s="100" t="str">
        <f>IF(OR(Fact_Cumplimiento[[#This Row], [Año]]="",Fact_Cumplimiento[[#This Row], [Mes]]=""),"",DATE(A1657,MATCH(B1657,{"enero","febrero","marzo","abril","mayo","junio","julio","agosto","septiembre","octubre","noviembre","diciembre"},0)+1,0))</f>
        <v/>
      </c>
      <c r="E1657" t="str">
        <f>+IFERROR(VLOOKUP(Fact_Cumplimiento[[#This Row], [Concepto Anterior]],Conceptos_Cumplimiento[#All],5,0),"")</f>
        <v/>
      </c>
      <c r="F1657" t="str">
        <f>+IFERROR(VLOOKUP(Fact_Cumplimiento[[#This Row], 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ht="18.75" customHeight="1" x14ac:dyDescent="0.35">
      <c r="C1658" s="100" t="str">
        <f>IF(OR(Fact_Cumplimiento[[#This Row], [Año]]="",Fact_Cumplimiento[[#This Row], [Mes]]=""),"",DATE(A1658,MATCH(B1658,{"enero","febrero","marzo","abril","mayo","junio","julio","agosto","septiembre","octubre","noviembre","diciembre"},0)+1,0))</f>
        <v/>
      </c>
      <c r="E1658" t="str">
        <f>+IFERROR(VLOOKUP(Fact_Cumplimiento[[#This Row], [Concepto Anterior]],Conceptos_Cumplimiento[#All],5,0),"")</f>
        <v/>
      </c>
      <c r="F1658" t="str">
        <f>+IFERROR(VLOOKUP(Fact_Cumplimiento[[#This Row], 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ht="18.75" customHeight="1" x14ac:dyDescent="0.35">
      <c r="C1659" s="100" t="str">
        <f>IF(OR(Fact_Cumplimiento[[#This Row], [Año]]="",Fact_Cumplimiento[[#This Row], [Mes]]=""),"",DATE(A1659,MATCH(B1659,{"enero","febrero","marzo","abril","mayo","junio","julio","agosto","septiembre","octubre","noviembre","diciembre"},0)+1,0))</f>
        <v/>
      </c>
      <c r="E1659" t="str">
        <f>+IFERROR(VLOOKUP(Fact_Cumplimiento[[#This Row], [Concepto Anterior]],Conceptos_Cumplimiento[#All],5,0),"")</f>
        <v/>
      </c>
      <c r="F1659" t="str">
        <f>+IFERROR(VLOOKUP(Fact_Cumplimiento[[#This Row], 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ht="18.75" customHeight="1" x14ac:dyDescent="0.35">
      <c r="C1660" s="100" t="str">
        <f>IF(OR(Fact_Cumplimiento[[#This Row], [Año]]="",Fact_Cumplimiento[[#This Row], [Mes]]=""),"",DATE(A1660,MATCH(B1660,{"enero","febrero","marzo","abril","mayo","junio","julio","agosto","septiembre","octubre","noviembre","diciembre"},0)+1,0))</f>
        <v/>
      </c>
      <c r="E1660" t="str">
        <f>+IFERROR(VLOOKUP(Fact_Cumplimiento[[#This Row], [Concepto Anterior]],Conceptos_Cumplimiento[#All],5,0),"")</f>
        <v/>
      </c>
      <c r="F1660" t="str">
        <f>+IFERROR(VLOOKUP(Fact_Cumplimiento[[#This Row], 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ht="18.75" customHeight="1" x14ac:dyDescent="0.35">
      <c r="C1661" s="100" t="str">
        <f>IF(OR(Fact_Cumplimiento[[#This Row], [Año]]="",Fact_Cumplimiento[[#This Row], [Mes]]=""),"",DATE(A1661,MATCH(B1661,{"enero","febrero","marzo","abril","mayo","junio","julio","agosto","septiembre","octubre","noviembre","diciembre"},0)+1,0))</f>
        <v/>
      </c>
      <c r="E1661" t="str">
        <f>+IFERROR(VLOOKUP(Fact_Cumplimiento[[#This Row], [Concepto Anterior]],Conceptos_Cumplimiento[#All],5,0),"")</f>
        <v/>
      </c>
      <c r="F1661" t="str">
        <f>+IFERROR(VLOOKUP(Fact_Cumplimiento[[#This Row], 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ht="18.75" customHeight="1" x14ac:dyDescent="0.35">
      <c r="C1662" s="100" t="str">
        <f>IF(OR(Fact_Cumplimiento[[#This Row], [Año]]="",Fact_Cumplimiento[[#This Row], [Mes]]=""),"",DATE(A1662,MATCH(B1662,{"enero","febrero","marzo","abril","mayo","junio","julio","agosto","septiembre","octubre","noviembre","diciembre"},0)+1,0))</f>
        <v/>
      </c>
      <c r="E1662" t="str">
        <f>+IFERROR(VLOOKUP(Fact_Cumplimiento[[#This Row], [Concepto Anterior]],Conceptos_Cumplimiento[#All],5,0),"")</f>
        <v/>
      </c>
      <c r="F1662" t="str">
        <f>+IFERROR(VLOOKUP(Fact_Cumplimiento[[#This Row], 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ht="18.75" customHeight="1" x14ac:dyDescent="0.35">
      <c r="C1663" s="100" t="str">
        <f>IF(OR(Fact_Cumplimiento[[#This Row], [Año]]="",Fact_Cumplimiento[[#This Row], [Mes]]=""),"",DATE(A1663,MATCH(B1663,{"enero","febrero","marzo","abril","mayo","junio","julio","agosto","septiembre","octubre","noviembre","diciembre"},0)+1,0))</f>
        <v/>
      </c>
      <c r="E1663" t="str">
        <f>+IFERROR(VLOOKUP(Fact_Cumplimiento[[#This Row], [Concepto Anterior]],Conceptos_Cumplimiento[#All],5,0),"")</f>
        <v/>
      </c>
      <c r="F1663" t="str">
        <f>+IFERROR(VLOOKUP(Fact_Cumplimiento[[#This Row], 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ht="18.75" customHeight="1" x14ac:dyDescent="0.35">
      <c r="C1664" s="100" t="str">
        <f>IF(OR(Fact_Cumplimiento[[#This Row], [Año]]="",Fact_Cumplimiento[[#This Row], [Mes]]=""),"",DATE(A1664,MATCH(B1664,{"enero","febrero","marzo","abril","mayo","junio","julio","agosto","septiembre","octubre","noviembre","diciembre"},0)+1,0))</f>
        <v/>
      </c>
      <c r="E1664" t="str">
        <f>+IFERROR(VLOOKUP(Fact_Cumplimiento[[#This Row], [Concepto Anterior]],Conceptos_Cumplimiento[#All],5,0),"")</f>
        <v/>
      </c>
      <c r="F1664" t="str">
        <f>+IFERROR(VLOOKUP(Fact_Cumplimiento[[#This Row], 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ht="18.75" customHeight="1" x14ac:dyDescent="0.35">
      <c r="C1665" s="100" t="str">
        <f>IF(OR(Fact_Cumplimiento[[#This Row], [Año]]="",Fact_Cumplimiento[[#This Row], [Mes]]=""),"",DATE(A1665,MATCH(B1665,{"enero","febrero","marzo","abril","mayo","junio","julio","agosto","septiembre","octubre","noviembre","diciembre"},0)+1,0))</f>
        <v/>
      </c>
      <c r="E1665" t="str">
        <f>+IFERROR(VLOOKUP(Fact_Cumplimiento[[#This Row], [Concepto Anterior]],Conceptos_Cumplimiento[#All],5,0),"")</f>
        <v/>
      </c>
      <c r="F1665" t="str">
        <f>+IFERROR(VLOOKUP(Fact_Cumplimiento[[#This Row], 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ht="18.75" customHeight="1" x14ac:dyDescent="0.35">
      <c r="C1666" s="100" t="str">
        <f>IF(OR(Fact_Cumplimiento[[#This Row], [Año]]="",Fact_Cumplimiento[[#This Row], [Mes]]=""),"",DATE(A1666,MATCH(B1666,{"enero","febrero","marzo","abril","mayo","junio","julio","agosto","septiembre","octubre","noviembre","diciembre"},0)+1,0))</f>
        <v/>
      </c>
      <c r="E1666" t="str">
        <f>+IFERROR(VLOOKUP(Fact_Cumplimiento[[#This Row], [Concepto Anterior]],Conceptos_Cumplimiento[#All],5,0),"")</f>
        <v/>
      </c>
      <c r="F1666" t="str">
        <f>+IFERROR(VLOOKUP(Fact_Cumplimiento[[#This Row], 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ht="18.75" customHeight="1" x14ac:dyDescent="0.35">
      <c r="C1667" s="100" t="str">
        <f>IF(OR(Fact_Cumplimiento[[#This Row], [Año]]="",Fact_Cumplimiento[[#This Row], [Mes]]=""),"",DATE(A1667,MATCH(B1667,{"enero","febrero","marzo","abril","mayo","junio","julio","agosto","septiembre","octubre","noviembre","diciembre"},0)+1,0))</f>
        <v/>
      </c>
      <c r="E1667" t="str">
        <f>+IFERROR(VLOOKUP(Fact_Cumplimiento[[#This Row], [Concepto Anterior]],Conceptos_Cumplimiento[#All],5,0),"")</f>
        <v/>
      </c>
      <c r="F1667" t="str">
        <f>+IFERROR(VLOOKUP(Fact_Cumplimiento[[#This Row], 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ht="18.75" customHeight="1" x14ac:dyDescent="0.35">
      <c r="C1668" s="100" t="str">
        <f>IF(OR(Fact_Cumplimiento[[#This Row], [Año]]="",Fact_Cumplimiento[[#This Row], [Mes]]=""),"",DATE(A1668,MATCH(B1668,{"enero","febrero","marzo","abril","mayo","junio","julio","agosto","septiembre","octubre","noviembre","diciembre"},0)+1,0))</f>
        <v/>
      </c>
      <c r="E1668" t="str">
        <f>+IFERROR(VLOOKUP(Fact_Cumplimiento[[#This Row], [Concepto Anterior]],Conceptos_Cumplimiento[#All],5,0),"")</f>
        <v/>
      </c>
      <c r="F1668" t="str">
        <f>+IFERROR(VLOOKUP(Fact_Cumplimiento[[#This Row], 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ht="18.75" customHeight="1" x14ac:dyDescent="0.35">
      <c r="C1669" s="100" t="str">
        <f>IF(OR(Fact_Cumplimiento[[#This Row], [Año]]="",Fact_Cumplimiento[[#This Row], [Mes]]=""),"",DATE(A1669,MATCH(B1669,{"enero","febrero","marzo","abril","mayo","junio","julio","agosto","septiembre","octubre","noviembre","diciembre"},0)+1,0))</f>
        <v/>
      </c>
      <c r="E1669" t="str">
        <f>+IFERROR(VLOOKUP(Fact_Cumplimiento[[#This Row], [Concepto Anterior]],Conceptos_Cumplimiento[#All],5,0),"")</f>
        <v/>
      </c>
      <c r="F1669" t="str">
        <f>+IFERROR(VLOOKUP(Fact_Cumplimiento[[#This Row], 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ht="18.75" customHeight="1" x14ac:dyDescent="0.35">
      <c r="C1670" s="100" t="str">
        <f>IF(OR(Fact_Cumplimiento[[#This Row], [Año]]="",Fact_Cumplimiento[[#This Row], [Mes]]=""),"",DATE(A1670,MATCH(B1670,{"enero","febrero","marzo","abril","mayo","junio","julio","agosto","septiembre","octubre","noviembre","diciembre"},0)+1,0))</f>
        <v/>
      </c>
      <c r="E1670" t="str">
        <f>+IFERROR(VLOOKUP(Fact_Cumplimiento[[#This Row], [Concepto Anterior]],Conceptos_Cumplimiento[#All],5,0),"")</f>
        <v/>
      </c>
      <c r="F1670" t="str">
        <f>+IFERROR(VLOOKUP(Fact_Cumplimiento[[#This Row], 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ht="18.75" customHeight="1" x14ac:dyDescent="0.35">
      <c r="C1671" s="100" t="str">
        <f>IF(OR(Fact_Cumplimiento[[#This Row], [Año]]="",Fact_Cumplimiento[[#This Row], [Mes]]=""),"",DATE(A1671,MATCH(B1671,{"enero","febrero","marzo","abril","mayo","junio","julio","agosto","septiembre","octubre","noviembre","diciembre"},0)+1,0))</f>
        <v/>
      </c>
      <c r="E1671" t="str">
        <f>+IFERROR(VLOOKUP(Fact_Cumplimiento[[#This Row], [Concepto Anterior]],Conceptos_Cumplimiento[#All],5,0),"")</f>
        <v/>
      </c>
      <c r="F1671" t="str">
        <f>+IFERROR(VLOOKUP(Fact_Cumplimiento[[#This Row], 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ht="18.75" customHeight="1" x14ac:dyDescent="0.35">
      <c r="C1672" s="100" t="str">
        <f>IF(OR(Fact_Cumplimiento[[#This Row], [Año]]="",Fact_Cumplimiento[[#This Row], [Mes]]=""),"",DATE(A1672,MATCH(B1672,{"enero","febrero","marzo","abril","mayo","junio","julio","agosto","septiembre","octubre","noviembre","diciembre"},0)+1,0))</f>
        <v/>
      </c>
      <c r="E1672" t="str">
        <f>+IFERROR(VLOOKUP(Fact_Cumplimiento[[#This Row], [Concepto Anterior]],Conceptos_Cumplimiento[#All],5,0),"")</f>
        <v/>
      </c>
      <c r="F1672" t="str">
        <f>+IFERROR(VLOOKUP(Fact_Cumplimiento[[#This Row], 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ht="18.75" customHeight="1" x14ac:dyDescent="0.35">
      <c r="C1673" s="100" t="str">
        <f>IF(OR(Fact_Cumplimiento[[#This Row], [Año]]="",Fact_Cumplimiento[[#This Row], [Mes]]=""),"",DATE(A1673,MATCH(B1673,{"enero","febrero","marzo","abril","mayo","junio","julio","agosto","septiembre","octubre","noviembre","diciembre"},0)+1,0))</f>
        <v/>
      </c>
      <c r="E1673" t="str">
        <f>+IFERROR(VLOOKUP(Fact_Cumplimiento[[#This Row], [Concepto Anterior]],Conceptos_Cumplimiento[#All],5,0),"")</f>
        <v/>
      </c>
      <c r="F1673" t="str">
        <f>+IFERROR(VLOOKUP(Fact_Cumplimiento[[#This Row], 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ht="18.75" customHeight="1" x14ac:dyDescent="0.35">
      <c r="C1674" s="100" t="str">
        <f>IF(OR(Fact_Cumplimiento[[#This Row], [Año]]="",Fact_Cumplimiento[[#This Row], [Mes]]=""),"",DATE(A1674,MATCH(B1674,{"enero","febrero","marzo","abril","mayo","junio","julio","agosto","septiembre","octubre","noviembre","diciembre"},0)+1,0))</f>
        <v/>
      </c>
      <c r="E1674" t="str">
        <f>+IFERROR(VLOOKUP(Fact_Cumplimiento[[#This Row], [Concepto Anterior]],Conceptos_Cumplimiento[#All],5,0),"")</f>
        <v/>
      </c>
      <c r="F1674" t="str">
        <f>+IFERROR(VLOOKUP(Fact_Cumplimiento[[#This Row], 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ht="18.75" customHeight="1" x14ac:dyDescent="0.35">
      <c r="C1675" s="100" t="str">
        <f>IF(OR(Fact_Cumplimiento[[#This Row], [Año]]="",Fact_Cumplimiento[[#This Row], [Mes]]=""),"",DATE(A1675,MATCH(B1675,{"enero","febrero","marzo","abril","mayo","junio","julio","agosto","septiembre","octubre","noviembre","diciembre"},0)+1,0))</f>
        <v/>
      </c>
      <c r="E1675" t="str">
        <f>+IFERROR(VLOOKUP(Fact_Cumplimiento[[#This Row], [Concepto Anterior]],Conceptos_Cumplimiento[#All],5,0),"")</f>
        <v/>
      </c>
      <c r="F1675" t="str">
        <f>+IFERROR(VLOOKUP(Fact_Cumplimiento[[#This Row], 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ht="18.75" customHeight="1" x14ac:dyDescent="0.35">
      <c r="C1676" s="100" t="str">
        <f>IF(OR(Fact_Cumplimiento[[#This Row], [Año]]="",Fact_Cumplimiento[[#This Row], [Mes]]=""),"",DATE(A1676,MATCH(B1676,{"enero","febrero","marzo","abril","mayo","junio","julio","agosto","septiembre","octubre","noviembre","diciembre"},0)+1,0))</f>
        <v/>
      </c>
      <c r="E1676" t="str">
        <f>+IFERROR(VLOOKUP(Fact_Cumplimiento[[#This Row], [Concepto Anterior]],Conceptos_Cumplimiento[#All],5,0),"")</f>
        <v/>
      </c>
      <c r="F1676" t="str">
        <f>+IFERROR(VLOOKUP(Fact_Cumplimiento[[#This Row], 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ht="18.75" customHeight="1" x14ac:dyDescent="0.35">
      <c r="C1677" s="100" t="str">
        <f>IF(OR(Fact_Cumplimiento[[#This Row], [Año]]="",Fact_Cumplimiento[[#This Row], [Mes]]=""),"",DATE(A1677,MATCH(B1677,{"enero","febrero","marzo","abril","mayo","junio","julio","agosto","septiembre","octubre","noviembre","diciembre"},0)+1,0))</f>
        <v/>
      </c>
      <c r="E1677" t="str">
        <f>+IFERROR(VLOOKUP(Fact_Cumplimiento[[#This Row], [Concepto Anterior]],Conceptos_Cumplimiento[#All],5,0),"")</f>
        <v/>
      </c>
      <c r="F1677" t="str">
        <f>+IFERROR(VLOOKUP(Fact_Cumplimiento[[#This Row], 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ht="18.75" customHeight="1" x14ac:dyDescent="0.35">
      <c r="C1678" s="100" t="str">
        <f>IF(OR(Fact_Cumplimiento[[#This Row], [Año]]="",Fact_Cumplimiento[[#This Row], [Mes]]=""),"",DATE(A1678,MATCH(B1678,{"enero","febrero","marzo","abril","mayo","junio","julio","agosto","septiembre","octubre","noviembre","diciembre"},0)+1,0))</f>
        <v/>
      </c>
      <c r="E1678" t="str">
        <f>+IFERROR(VLOOKUP(Fact_Cumplimiento[[#This Row], [Concepto Anterior]],Conceptos_Cumplimiento[#All],5,0),"")</f>
        <v/>
      </c>
      <c r="F1678" t="str">
        <f>+IFERROR(VLOOKUP(Fact_Cumplimiento[[#This Row], 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ht="18.75" customHeight="1" x14ac:dyDescent="0.35">
      <c r="C1679" s="100" t="str">
        <f>IF(OR(Fact_Cumplimiento[[#This Row], [Año]]="",Fact_Cumplimiento[[#This Row], [Mes]]=""),"",DATE(A1679,MATCH(B1679,{"enero","febrero","marzo","abril","mayo","junio","julio","agosto","septiembre","octubre","noviembre","diciembre"},0)+1,0))</f>
        <v/>
      </c>
      <c r="E1679" t="str">
        <f>+IFERROR(VLOOKUP(Fact_Cumplimiento[[#This Row], [Concepto Anterior]],Conceptos_Cumplimiento[#All],5,0),"")</f>
        <v/>
      </c>
      <c r="F1679" t="str">
        <f>+IFERROR(VLOOKUP(Fact_Cumplimiento[[#This Row], 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ht="18.75" customHeight="1" x14ac:dyDescent="0.35">
      <c r="C1680" s="100" t="str">
        <f>IF(OR(Fact_Cumplimiento[[#This Row], [Año]]="",Fact_Cumplimiento[[#This Row], [Mes]]=""),"",DATE(A1680,MATCH(B1680,{"enero","febrero","marzo","abril","mayo","junio","julio","agosto","septiembre","octubre","noviembre","diciembre"},0)+1,0))</f>
        <v/>
      </c>
      <c r="E1680" t="str">
        <f>+IFERROR(VLOOKUP(Fact_Cumplimiento[[#This Row], [Concepto Anterior]],Conceptos_Cumplimiento[#All],5,0),"")</f>
        <v/>
      </c>
      <c r="F1680" t="str">
        <f>+IFERROR(VLOOKUP(Fact_Cumplimiento[[#This Row], 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ht="18.75" customHeight="1" x14ac:dyDescent="0.35">
      <c r="C1681" s="100" t="str">
        <f>IF(OR(Fact_Cumplimiento[[#This Row], [Año]]="",Fact_Cumplimiento[[#This Row], [Mes]]=""),"",DATE(A1681,MATCH(B1681,{"enero","febrero","marzo","abril","mayo","junio","julio","agosto","septiembre","octubre","noviembre","diciembre"},0)+1,0))</f>
        <v/>
      </c>
      <c r="E1681" t="str">
        <f>+IFERROR(VLOOKUP(Fact_Cumplimiento[[#This Row], [Concepto Anterior]],Conceptos_Cumplimiento[#All],5,0),"")</f>
        <v/>
      </c>
      <c r="F1681" t="str">
        <f>+IFERROR(VLOOKUP(Fact_Cumplimiento[[#This Row], 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ht="18.75" customHeight="1" x14ac:dyDescent="0.35">
      <c r="C1682" s="100" t="str">
        <f>IF(OR(Fact_Cumplimiento[[#This Row], [Año]]="",Fact_Cumplimiento[[#This Row], [Mes]]=""),"",DATE(A1682,MATCH(B1682,{"enero","febrero","marzo","abril","mayo","junio","julio","agosto","septiembre","octubre","noviembre","diciembre"},0)+1,0))</f>
        <v/>
      </c>
      <c r="E1682" t="str">
        <f>+IFERROR(VLOOKUP(Fact_Cumplimiento[[#This Row], [Concepto Anterior]],Conceptos_Cumplimiento[#All],5,0),"")</f>
        <v/>
      </c>
      <c r="F1682" t="str">
        <f>+IFERROR(VLOOKUP(Fact_Cumplimiento[[#This Row], 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ht="18.75" customHeight="1" x14ac:dyDescent="0.35">
      <c r="C1683" s="100" t="str">
        <f>IF(OR(Fact_Cumplimiento[[#This Row], [Año]]="",Fact_Cumplimiento[[#This Row], [Mes]]=""),"",DATE(A1683,MATCH(B1683,{"enero","febrero","marzo","abril","mayo","junio","julio","agosto","septiembre","octubre","noviembre","diciembre"},0)+1,0))</f>
        <v/>
      </c>
      <c r="E1683" t="str">
        <f>+IFERROR(VLOOKUP(Fact_Cumplimiento[[#This Row], [Concepto Anterior]],Conceptos_Cumplimiento[#All],5,0),"")</f>
        <v/>
      </c>
      <c r="F1683" t="str">
        <f>+IFERROR(VLOOKUP(Fact_Cumplimiento[[#This Row], 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ht="18.75" customHeight="1" x14ac:dyDescent="0.35">
      <c r="C1684" s="100" t="str">
        <f>IF(OR(Fact_Cumplimiento[[#This Row], [Año]]="",Fact_Cumplimiento[[#This Row], [Mes]]=""),"",DATE(A1684,MATCH(B1684,{"enero","febrero","marzo","abril","mayo","junio","julio","agosto","septiembre","octubre","noviembre","diciembre"},0)+1,0))</f>
        <v/>
      </c>
      <c r="E1684" t="str">
        <f>+IFERROR(VLOOKUP(Fact_Cumplimiento[[#This Row], [Concepto Anterior]],Conceptos_Cumplimiento[#All],5,0),"")</f>
        <v/>
      </c>
      <c r="F1684" t="str">
        <f>+IFERROR(VLOOKUP(Fact_Cumplimiento[[#This Row], 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ht="18.75" customHeight="1" x14ac:dyDescent="0.35">
      <c r="C1685" s="100" t="str">
        <f>IF(OR(Fact_Cumplimiento[[#This Row], [Año]]="",Fact_Cumplimiento[[#This Row], [Mes]]=""),"",DATE(A1685,MATCH(B1685,{"enero","febrero","marzo","abril","mayo","junio","julio","agosto","septiembre","octubre","noviembre","diciembre"},0)+1,0))</f>
        <v/>
      </c>
      <c r="E1685" t="str">
        <f>+IFERROR(VLOOKUP(Fact_Cumplimiento[[#This Row], [Concepto Anterior]],Conceptos_Cumplimiento[#All],5,0),"")</f>
        <v/>
      </c>
      <c r="F1685" t="str">
        <f>+IFERROR(VLOOKUP(Fact_Cumplimiento[[#This Row], 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ht="18.75" customHeight="1" x14ac:dyDescent="0.35">
      <c r="C1686" s="100" t="str">
        <f>IF(OR(Fact_Cumplimiento[[#This Row], [Año]]="",Fact_Cumplimiento[[#This Row], [Mes]]=""),"",DATE(A1686,MATCH(B1686,{"enero","febrero","marzo","abril","mayo","junio","julio","agosto","septiembre","octubre","noviembre","diciembre"},0)+1,0))</f>
        <v/>
      </c>
      <c r="E1686" t="str">
        <f>+IFERROR(VLOOKUP(Fact_Cumplimiento[[#This Row], [Concepto Anterior]],Conceptos_Cumplimiento[#All],5,0),"")</f>
        <v/>
      </c>
      <c r="F1686" t="str">
        <f>+IFERROR(VLOOKUP(Fact_Cumplimiento[[#This Row], 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ht="18.75" customHeight="1" x14ac:dyDescent="0.35">
      <c r="C1687" s="100" t="str">
        <f>IF(OR(Fact_Cumplimiento[[#This Row], [Año]]="",Fact_Cumplimiento[[#This Row], [Mes]]=""),"",DATE(A1687,MATCH(B1687,{"enero","febrero","marzo","abril","mayo","junio","julio","agosto","septiembre","octubre","noviembre","diciembre"},0)+1,0))</f>
        <v/>
      </c>
      <c r="E1687" t="str">
        <f>+IFERROR(VLOOKUP(Fact_Cumplimiento[[#This Row], [Concepto Anterior]],Conceptos_Cumplimiento[#All],5,0),"")</f>
        <v/>
      </c>
      <c r="F1687" t="str">
        <f>+IFERROR(VLOOKUP(Fact_Cumplimiento[[#This Row], 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ht="18.75" customHeight="1" x14ac:dyDescent="0.35">
      <c r="C1688" s="100" t="str">
        <f>IF(OR(Fact_Cumplimiento[[#This Row], [Año]]="",Fact_Cumplimiento[[#This Row], [Mes]]=""),"",DATE(A1688,MATCH(B1688,{"enero","febrero","marzo","abril","mayo","junio","julio","agosto","septiembre","octubre","noviembre","diciembre"},0)+1,0))</f>
        <v/>
      </c>
      <c r="E1688" t="str">
        <f>+IFERROR(VLOOKUP(Fact_Cumplimiento[[#This Row], [Concepto Anterior]],Conceptos_Cumplimiento[#All],5,0),"")</f>
        <v/>
      </c>
      <c r="F1688" t="str">
        <f>+IFERROR(VLOOKUP(Fact_Cumplimiento[[#This Row], 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ht="18.75" customHeight="1" x14ac:dyDescent="0.35">
      <c r="C1689" s="100" t="str">
        <f>IF(OR(Fact_Cumplimiento[[#This Row], [Año]]="",Fact_Cumplimiento[[#This Row], [Mes]]=""),"",DATE(A1689,MATCH(B1689,{"enero","febrero","marzo","abril","mayo","junio","julio","agosto","septiembre","octubre","noviembre","diciembre"},0)+1,0))</f>
        <v/>
      </c>
      <c r="E1689" t="str">
        <f>+IFERROR(VLOOKUP(Fact_Cumplimiento[[#This Row], [Concepto Anterior]],Conceptos_Cumplimiento[#All],5,0),"")</f>
        <v/>
      </c>
      <c r="F1689" t="str">
        <f>+IFERROR(VLOOKUP(Fact_Cumplimiento[[#This Row], 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ht="18.75" customHeight="1" x14ac:dyDescent="0.35">
      <c r="C1690" s="100" t="str">
        <f>IF(OR(Fact_Cumplimiento[[#This Row], [Año]]="",Fact_Cumplimiento[[#This Row], [Mes]]=""),"",DATE(A1690,MATCH(B1690,{"enero","febrero","marzo","abril","mayo","junio","julio","agosto","septiembre","octubre","noviembre","diciembre"},0)+1,0))</f>
        <v/>
      </c>
      <c r="E1690" t="str">
        <f>+IFERROR(VLOOKUP(Fact_Cumplimiento[[#This Row], [Concepto Anterior]],Conceptos_Cumplimiento[#All],5,0),"")</f>
        <v/>
      </c>
      <c r="F1690" t="str">
        <f>+IFERROR(VLOOKUP(Fact_Cumplimiento[[#This Row], 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ht="18.75" customHeight="1" x14ac:dyDescent="0.35">
      <c r="C1691" s="100" t="str">
        <f>IF(OR(Fact_Cumplimiento[[#This Row], [Año]]="",Fact_Cumplimiento[[#This Row], [Mes]]=""),"",DATE(A1691,MATCH(B1691,{"enero","febrero","marzo","abril","mayo","junio","julio","agosto","septiembre","octubre","noviembre","diciembre"},0)+1,0))</f>
        <v/>
      </c>
      <c r="E1691" t="str">
        <f>+IFERROR(VLOOKUP(Fact_Cumplimiento[[#This Row], [Concepto Anterior]],Conceptos_Cumplimiento[#All],5,0),"")</f>
        <v/>
      </c>
      <c r="F1691" t="str">
        <f>+IFERROR(VLOOKUP(Fact_Cumplimiento[[#This Row], 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ht="18.75" customHeight="1" x14ac:dyDescent="0.35">
      <c r="C1692" s="100" t="str">
        <f>IF(OR(Fact_Cumplimiento[[#This Row], [Año]]="",Fact_Cumplimiento[[#This Row], [Mes]]=""),"",DATE(A1692,MATCH(B1692,{"enero","febrero","marzo","abril","mayo","junio","julio","agosto","septiembre","octubre","noviembre","diciembre"},0)+1,0))</f>
        <v/>
      </c>
      <c r="E1692" t="str">
        <f>+IFERROR(VLOOKUP(Fact_Cumplimiento[[#This Row], [Concepto Anterior]],Conceptos_Cumplimiento[#All],5,0),"")</f>
        <v/>
      </c>
      <c r="F1692" t="str">
        <f>+IFERROR(VLOOKUP(Fact_Cumplimiento[[#This Row], 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ht="18.75" customHeight="1" x14ac:dyDescent="0.35">
      <c r="C1693" s="100" t="str">
        <f>IF(OR(Fact_Cumplimiento[[#This Row], [Año]]="",Fact_Cumplimiento[[#This Row], [Mes]]=""),"",DATE(A1693,MATCH(B1693,{"enero","febrero","marzo","abril","mayo","junio","julio","agosto","septiembre","octubre","noviembre","diciembre"},0)+1,0))</f>
        <v/>
      </c>
      <c r="E1693" t="str">
        <f>+IFERROR(VLOOKUP(Fact_Cumplimiento[[#This Row], [Concepto Anterior]],Conceptos_Cumplimiento[#All],5,0),"")</f>
        <v/>
      </c>
      <c r="F1693" t="str">
        <f>+IFERROR(VLOOKUP(Fact_Cumplimiento[[#This Row], 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ht="18.75" customHeight="1" x14ac:dyDescent="0.35">
      <c r="C1694" s="100" t="str">
        <f>IF(OR(Fact_Cumplimiento[[#This Row], [Año]]="",Fact_Cumplimiento[[#This Row], [Mes]]=""),"",DATE(A1694,MATCH(B1694,{"enero","febrero","marzo","abril","mayo","junio","julio","agosto","septiembre","octubre","noviembre","diciembre"},0)+1,0))</f>
        <v/>
      </c>
      <c r="E1694" t="str">
        <f>+IFERROR(VLOOKUP(Fact_Cumplimiento[[#This Row], [Concepto Anterior]],Conceptos_Cumplimiento[#All],5,0),"")</f>
        <v/>
      </c>
      <c r="F1694" t="str">
        <f>+IFERROR(VLOOKUP(Fact_Cumplimiento[[#This Row], 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ht="18.75" customHeight="1" x14ac:dyDescent="0.35">
      <c r="C1695" s="100" t="str">
        <f>IF(OR(Fact_Cumplimiento[[#This Row], [Año]]="",Fact_Cumplimiento[[#This Row], [Mes]]=""),"",DATE(A1695,MATCH(B1695,{"enero","febrero","marzo","abril","mayo","junio","julio","agosto","septiembre","octubre","noviembre","diciembre"},0)+1,0))</f>
        <v/>
      </c>
      <c r="E1695" t="str">
        <f>+IFERROR(VLOOKUP(Fact_Cumplimiento[[#This Row], [Concepto Anterior]],Conceptos_Cumplimiento[#All],5,0),"")</f>
        <v/>
      </c>
      <c r="F1695" t="str">
        <f>+IFERROR(VLOOKUP(Fact_Cumplimiento[[#This Row], 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ht="18.75" customHeight="1" x14ac:dyDescent="0.35">
      <c r="C1696" s="100" t="str">
        <f>IF(OR(Fact_Cumplimiento[[#This Row], [Año]]="",Fact_Cumplimiento[[#This Row], [Mes]]=""),"",DATE(A1696,MATCH(B1696,{"enero","febrero","marzo","abril","mayo","junio","julio","agosto","septiembre","octubre","noviembre","diciembre"},0)+1,0))</f>
        <v/>
      </c>
      <c r="E1696" t="str">
        <f>+IFERROR(VLOOKUP(Fact_Cumplimiento[[#This Row], [Concepto Anterior]],Conceptos_Cumplimiento[#All],5,0),"")</f>
        <v/>
      </c>
      <c r="F1696" t="str">
        <f>+IFERROR(VLOOKUP(Fact_Cumplimiento[[#This Row], 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ht="18.75" customHeight="1" x14ac:dyDescent="0.35">
      <c r="C1697" s="100" t="str">
        <f>IF(OR(Fact_Cumplimiento[[#This Row], [Año]]="",Fact_Cumplimiento[[#This Row], [Mes]]=""),"",DATE(A1697,MATCH(B1697,{"enero","febrero","marzo","abril","mayo","junio","julio","agosto","septiembre","octubre","noviembre","diciembre"},0)+1,0))</f>
        <v/>
      </c>
      <c r="E1697" t="str">
        <f>+IFERROR(VLOOKUP(Fact_Cumplimiento[[#This Row], [Concepto Anterior]],Conceptos_Cumplimiento[#All],5,0),"")</f>
        <v/>
      </c>
      <c r="F1697" t="str">
        <f>+IFERROR(VLOOKUP(Fact_Cumplimiento[[#This Row], 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ht="18.75" customHeight="1" x14ac:dyDescent="0.35">
      <c r="C1698" s="100" t="str">
        <f>IF(OR(Fact_Cumplimiento[[#This Row], [Año]]="",Fact_Cumplimiento[[#This Row], [Mes]]=""),"",DATE(A1698,MATCH(B1698,{"enero","febrero","marzo","abril","mayo","junio","julio","agosto","septiembre","octubre","noviembre","diciembre"},0)+1,0))</f>
        <v/>
      </c>
      <c r="E1698" t="str">
        <f>+IFERROR(VLOOKUP(Fact_Cumplimiento[[#This Row], [Concepto Anterior]],Conceptos_Cumplimiento[#All],5,0),"")</f>
        <v/>
      </c>
      <c r="F1698" t="str">
        <f>+IFERROR(VLOOKUP(Fact_Cumplimiento[[#This Row], 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ht="18.75" customHeight="1" x14ac:dyDescent="0.35">
      <c r="C1699" s="100" t="str">
        <f>IF(OR(Fact_Cumplimiento[[#This Row], [Año]]="",Fact_Cumplimiento[[#This Row], [Mes]]=""),"",DATE(A1699,MATCH(B1699,{"enero","febrero","marzo","abril","mayo","junio","julio","agosto","septiembre","octubre","noviembre","diciembre"},0)+1,0))</f>
        <v/>
      </c>
      <c r="E1699" t="str">
        <f>+IFERROR(VLOOKUP(Fact_Cumplimiento[[#This Row], [Concepto Anterior]],Conceptos_Cumplimiento[#All],5,0),"")</f>
        <v/>
      </c>
      <c r="F1699" t="str">
        <f>+IFERROR(VLOOKUP(Fact_Cumplimiento[[#This Row], 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ht="18.75" customHeight="1" x14ac:dyDescent="0.35">
      <c r="C1700" s="100" t="str">
        <f>IF(OR(Fact_Cumplimiento[[#This Row], [Año]]="",Fact_Cumplimiento[[#This Row], [Mes]]=""),"",DATE(A1700,MATCH(B1700,{"enero","febrero","marzo","abril","mayo","junio","julio","agosto","septiembre","octubre","noviembre","diciembre"},0)+1,0))</f>
        <v/>
      </c>
      <c r="E1700" t="str">
        <f>+IFERROR(VLOOKUP(Fact_Cumplimiento[[#This Row], [Concepto Anterior]],Conceptos_Cumplimiento[#All],5,0),"")</f>
        <v/>
      </c>
      <c r="F1700" t="str">
        <f>+IFERROR(VLOOKUP(Fact_Cumplimiento[[#This Row], 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ht="18.75" customHeight="1" x14ac:dyDescent="0.35">
      <c r="C1701" s="100" t="str">
        <f>IF(OR(Fact_Cumplimiento[[#This Row], [Año]]="",Fact_Cumplimiento[[#This Row], [Mes]]=""),"",DATE(A1701,MATCH(B1701,{"enero","febrero","marzo","abril","mayo","junio","julio","agosto","septiembre","octubre","noviembre","diciembre"},0)+1,0))</f>
        <v/>
      </c>
      <c r="E1701" t="str">
        <f>+IFERROR(VLOOKUP(Fact_Cumplimiento[[#This Row], [Concepto Anterior]],Conceptos_Cumplimiento[#All],5,0),"")</f>
        <v/>
      </c>
      <c r="F1701" t="str">
        <f>+IFERROR(VLOOKUP(Fact_Cumplimiento[[#This Row], 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ht="18.75" customHeight="1" x14ac:dyDescent="0.35">
      <c r="C1702" s="100" t="str">
        <f>IF(OR(Fact_Cumplimiento[[#This Row], [Año]]="",Fact_Cumplimiento[[#This Row], [Mes]]=""),"",DATE(A1702,MATCH(B1702,{"enero","febrero","marzo","abril","mayo","junio","julio","agosto","septiembre","octubre","noviembre","diciembre"},0)+1,0))</f>
        <v/>
      </c>
      <c r="E1702" t="str">
        <f>+IFERROR(VLOOKUP(Fact_Cumplimiento[[#This Row], [Concepto Anterior]],Conceptos_Cumplimiento[#All],5,0),"")</f>
        <v/>
      </c>
      <c r="F1702" t="str">
        <f>+IFERROR(VLOOKUP(Fact_Cumplimiento[[#This Row], 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ht="18.75" customHeight="1" x14ac:dyDescent="0.35">
      <c r="C1703" s="100" t="str">
        <f>IF(OR(Fact_Cumplimiento[[#This Row], [Año]]="",Fact_Cumplimiento[[#This Row], [Mes]]=""),"",DATE(A1703,MATCH(B1703,{"enero","febrero","marzo","abril","mayo","junio","julio","agosto","septiembre","octubre","noviembre","diciembre"},0)+1,0))</f>
        <v/>
      </c>
      <c r="E1703" t="str">
        <f>+IFERROR(VLOOKUP(Fact_Cumplimiento[[#This Row], [Concepto Anterior]],Conceptos_Cumplimiento[#All],5,0),"")</f>
        <v/>
      </c>
      <c r="F1703" t="str">
        <f>+IFERROR(VLOOKUP(Fact_Cumplimiento[[#This Row], 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ht="18.75" customHeight="1" x14ac:dyDescent="0.35">
      <c r="C1704" s="100" t="str">
        <f>IF(OR(Fact_Cumplimiento[[#This Row], [Año]]="",Fact_Cumplimiento[[#This Row], [Mes]]=""),"",DATE(A1704,MATCH(B1704,{"enero","febrero","marzo","abril","mayo","junio","julio","agosto","septiembre","octubre","noviembre","diciembre"},0)+1,0))</f>
        <v/>
      </c>
      <c r="E1704" t="str">
        <f>+IFERROR(VLOOKUP(Fact_Cumplimiento[[#This Row], [Concepto Anterior]],Conceptos_Cumplimiento[#All],5,0),"")</f>
        <v/>
      </c>
      <c r="F1704" t="str">
        <f>+IFERROR(VLOOKUP(Fact_Cumplimiento[[#This Row], 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ht="18.75" customHeight="1" x14ac:dyDescent="0.35">
      <c r="C1705" s="100" t="str">
        <f>IF(OR(Fact_Cumplimiento[[#This Row], [Año]]="",Fact_Cumplimiento[[#This Row], [Mes]]=""),"",DATE(A1705,MATCH(B1705,{"enero","febrero","marzo","abril","mayo","junio","julio","agosto","septiembre","octubre","noviembre","diciembre"},0)+1,0))</f>
        <v/>
      </c>
      <c r="E1705" t="str">
        <f>+IFERROR(VLOOKUP(Fact_Cumplimiento[[#This Row], [Concepto Anterior]],Conceptos_Cumplimiento[#All],5,0),"")</f>
        <v/>
      </c>
      <c r="F1705" t="str">
        <f>+IFERROR(VLOOKUP(Fact_Cumplimiento[[#This Row], 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ht="18.75" customHeight="1" x14ac:dyDescent="0.35">
      <c r="C1706" s="100" t="str">
        <f>IF(OR(Fact_Cumplimiento[[#This Row], [Año]]="",Fact_Cumplimiento[[#This Row], [Mes]]=""),"",DATE(A1706,MATCH(B1706,{"enero","febrero","marzo","abril","mayo","junio","julio","agosto","septiembre","octubre","noviembre","diciembre"},0)+1,0))</f>
        <v/>
      </c>
      <c r="E1706" t="str">
        <f>+IFERROR(VLOOKUP(Fact_Cumplimiento[[#This Row], [Concepto Anterior]],Conceptos_Cumplimiento[#All],5,0),"")</f>
        <v/>
      </c>
      <c r="F1706" t="str">
        <f>+IFERROR(VLOOKUP(Fact_Cumplimiento[[#This Row], 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ht="18.75" customHeight="1" x14ac:dyDescent="0.35">
      <c r="C1707" s="100" t="str">
        <f>IF(OR(Fact_Cumplimiento[[#This Row], [Año]]="",Fact_Cumplimiento[[#This Row], [Mes]]=""),"",DATE(A1707,MATCH(B1707,{"enero","febrero","marzo","abril","mayo","junio","julio","agosto","septiembre","octubre","noviembre","diciembre"},0)+1,0))</f>
        <v/>
      </c>
      <c r="E1707" t="str">
        <f>+IFERROR(VLOOKUP(Fact_Cumplimiento[[#This Row], [Concepto Anterior]],Conceptos_Cumplimiento[#All],5,0),"")</f>
        <v/>
      </c>
      <c r="F1707" t="str">
        <f>+IFERROR(VLOOKUP(Fact_Cumplimiento[[#This Row], 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ht="18.75" customHeight="1" x14ac:dyDescent="0.35">
      <c r="C1708" s="100" t="str">
        <f>IF(OR(Fact_Cumplimiento[[#This Row], [Año]]="",Fact_Cumplimiento[[#This Row], [Mes]]=""),"",DATE(A1708,MATCH(B1708,{"enero","febrero","marzo","abril","mayo","junio","julio","agosto","septiembre","octubre","noviembre","diciembre"},0)+1,0))</f>
        <v/>
      </c>
      <c r="E1708" t="str">
        <f>+IFERROR(VLOOKUP(Fact_Cumplimiento[[#This Row], [Concepto Anterior]],Conceptos_Cumplimiento[#All],5,0),"")</f>
        <v/>
      </c>
      <c r="F1708" t="str">
        <f>+IFERROR(VLOOKUP(Fact_Cumplimiento[[#This Row], 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ht="18.75" customHeight="1" x14ac:dyDescent="0.35">
      <c r="C1709" s="100" t="str">
        <f>IF(OR(Fact_Cumplimiento[[#This Row], [Año]]="",Fact_Cumplimiento[[#This Row], [Mes]]=""),"",DATE(A1709,MATCH(B1709,{"enero","febrero","marzo","abril","mayo","junio","julio","agosto","septiembre","octubre","noviembre","diciembre"},0)+1,0))</f>
        <v/>
      </c>
      <c r="E1709" t="str">
        <f>+IFERROR(VLOOKUP(Fact_Cumplimiento[[#This Row], [Concepto Anterior]],Conceptos_Cumplimiento[#All],5,0),"")</f>
        <v/>
      </c>
      <c r="F1709" t="str">
        <f>+IFERROR(VLOOKUP(Fact_Cumplimiento[[#This Row], 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ht="18.75" customHeight="1" x14ac:dyDescent="0.35">
      <c r="C1710" s="100" t="str">
        <f>IF(OR(Fact_Cumplimiento[[#This Row], [Año]]="",Fact_Cumplimiento[[#This Row], [Mes]]=""),"",DATE(A1710,MATCH(B1710,{"enero","febrero","marzo","abril","mayo","junio","julio","agosto","septiembre","octubre","noviembre","diciembre"},0)+1,0))</f>
        <v/>
      </c>
      <c r="E1710" t="str">
        <f>+IFERROR(VLOOKUP(Fact_Cumplimiento[[#This Row], [Concepto Anterior]],Conceptos_Cumplimiento[#All],5,0),"")</f>
        <v/>
      </c>
      <c r="F1710" t="str">
        <f>+IFERROR(VLOOKUP(Fact_Cumplimiento[[#This Row], 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ht="18.75" customHeight="1" x14ac:dyDescent="0.35">
      <c r="C1711" s="100" t="str">
        <f>IF(OR(Fact_Cumplimiento[[#This Row], [Año]]="",Fact_Cumplimiento[[#This Row], [Mes]]=""),"",DATE(A1711,MATCH(B1711,{"enero","febrero","marzo","abril","mayo","junio","julio","agosto","septiembre","octubre","noviembre","diciembre"},0)+1,0))</f>
        <v/>
      </c>
      <c r="E1711" t="str">
        <f>+IFERROR(VLOOKUP(Fact_Cumplimiento[[#This Row], [Concepto Anterior]],Conceptos_Cumplimiento[#All],5,0),"")</f>
        <v/>
      </c>
      <c r="F1711" t="str">
        <f>+IFERROR(VLOOKUP(Fact_Cumplimiento[[#This Row], 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ht="18.75" customHeight="1" x14ac:dyDescent="0.35">
      <c r="C1712" s="100" t="str">
        <f>IF(OR(Fact_Cumplimiento[[#This Row], [Año]]="",Fact_Cumplimiento[[#This Row], [Mes]]=""),"",DATE(A1712,MATCH(B1712,{"enero","febrero","marzo","abril","mayo","junio","julio","agosto","septiembre","octubre","noviembre","diciembre"},0)+1,0))</f>
        <v/>
      </c>
      <c r="E1712" t="str">
        <f>+IFERROR(VLOOKUP(Fact_Cumplimiento[[#This Row], [Concepto Anterior]],Conceptos_Cumplimiento[#All],5,0),"")</f>
        <v/>
      </c>
      <c r="F1712" t="str">
        <f>+IFERROR(VLOOKUP(Fact_Cumplimiento[[#This Row], 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ht="18.75" customHeight="1" x14ac:dyDescent="0.35">
      <c r="C1713" s="100" t="str">
        <f>IF(OR(Fact_Cumplimiento[[#This Row], [Año]]="",Fact_Cumplimiento[[#This Row], [Mes]]=""),"",DATE(A1713,MATCH(B1713,{"enero","febrero","marzo","abril","mayo","junio","julio","agosto","septiembre","octubre","noviembre","diciembre"},0)+1,0))</f>
        <v/>
      </c>
      <c r="E1713" t="str">
        <f>+IFERROR(VLOOKUP(Fact_Cumplimiento[[#This Row], [Concepto Anterior]],Conceptos_Cumplimiento[#All],5,0),"")</f>
        <v/>
      </c>
      <c r="F1713" t="str">
        <f>+IFERROR(VLOOKUP(Fact_Cumplimiento[[#This Row], 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ht="18.75" customHeight="1" x14ac:dyDescent="0.35">
      <c r="C1714" s="100" t="str">
        <f>IF(OR(Fact_Cumplimiento[[#This Row], [Año]]="",Fact_Cumplimiento[[#This Row], [Mes]]=""),"",DATE(A1714,MATCH(B1714,{"enero","febrero","marzo","abril","mayo","junio","julio","agosto","septiembre","octubre","noviembre","diciembre"},0)+1,0))</f>
        <v/>
      </c>
      <c r="E1714" t="str">
        <f>+IFERROR(VLOOKUP(Fact_Cumplimiento[[#This Row], [Concepto Anterior]],Conceptos_Cumplimiento[#All],5,0),"")</f>
        <v/>
      </c>
      <c r="F1714" t="str">
        <f>+IFERROR(VLOOKUP(Fact_Cumplimiento[[#This Row], 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ht="18.75" customHeight="1" x14ac:dyDescent="0.35">
      <c r="C1715" s="100" t="str">
        <f>IF(OR(Fact_Cumplimiento[[#This Row], [Año]]="",Fact_Cumplimiento[[#This Row], [Mes]]=""),"",DATE(A1715,MATCH(B1715,{"enero","febrero","marzo","abril","mayo","junio","julio","agosto","septiembre","octubre","noviembre","diciembre"},0)+1,0))</f>
        <v/>
      </c>
      <c r="E1715" t="str">
        <f>+IFERROR(VLOOKUP(Fact_Cumplimiento[[#This Row], [Concepto Anterior]],Conceptos_Cumplimiento[#All],5,0),"")</f>
        <v/>
      </c>
      <c r="F1715" t="str">
        <f>+IFERROR(VLOOKUP(Fact_Cumplimiento[[#This Row], 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ht="18.75" customHeight="1" x14ac:dyDescent="0.35">
      <c r="C1716" s="100" t="str">
        <f>IF(OR(Fact_Cumplimiento[[#This Row], [Año]]="",Fact_Cumplimiento[[#This Row], [Mes]]=""),"",DATE(A1716,MATCH(B1716,{"enero","febrero","marzo","abril","mayo","junio","julio","agosto","septiembre","octubre","noviembre","diciembre"},0)+1,0))</f>
        <v/>
      </c>
      <c r="E1716" t="str">
        <f>+IFERROR(VLOOKUP(Fact_Cumplimiento[[#This Row], [Concepto Anterior]],Conceptos_Cumplimiento[#All],5,0),"")</f>
        <v/>
      </c>
      <c r="F1716" t="str">
        <f>+IFERROR(VLOOKUP(Fact_Cumplimiento[[#This Row], 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ht="18.75" customHeight="1" x14ac:dyDescent="0.35">
      <c r="C1717" s="100" t="str">
        <f>IF(OR(Fact_Cumplimiento[[#This Row], [Año]]="",Fact_Cumplimiento[[#This Row], [Mes]]=""),"",DATE(A1717,MATCH(B1717,{"enero","febrero","marzo","abril","mayo","junio","julio","agosto","septiembre","octubre","noviembre","diciembre"},0)+1,0))</f>
        <v/>
      </c>
      <c r="E1717" t="str">
        <f>+IFERROR(VLOOKUP(Fact_Cumplimiento[[#This Row], [Concepto Anterior]],Conceptos_Cumplimiento[#All],5,0),"")</f>
        <v/>
      </c>
      <c r="F1717" t="str">
        <f>+IFERROR(VLOOKUP(Fact_Cumplimiento[[#This Row], 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ht="18.75" customHeight="1" x14ac:dyDescent="0.35">
      <c r="C1718" s="100" t="str">
        <f>IF(OR(Fact_Cumplimiento[[#This Row], [Año]]="",Fact_Cumplimiento[[#This Row], [Mes]]=""),"",DATE(A1718,MATCH(B1718,{"enero","febrero","marzo","abril","mayo","junio","julio","agosto","septiembre","octubre","noviembre","diciembre"},0)+1,0))</f>
        <v/>
      </c>
      <c r="E1718" t="str">
        <f>+IFERROR(VLOOKUP(Fact_Cumplimiento[[#This Row], [Concepto Anterior]],Conceptos_Cumplimiento[#All],5,0),"")</f>
        <v/>
      </c>
      <c r="F1718" t="str">
        <f>+IFERROR(VLOOKUP(Fact_Cumplimiento[[#This Row], 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ht="18.75" customHeight="1" x14ac:dyDescent="0.35">
      <c r="C1719" s="100" t="str">
        <f>IF(OR(Fact_Cumplimiento[[#This Row], [Año]]="",Fact_Cumplimiento[[#This Row], [Mes]]=""),"",DATE(A1719,MATCH(B1719,{"enero","febrero","marzo","abril","mayo","junio","julio","agosto","septiembre","octubre","noviembre","diciembre"},0)+1,0))</f>
        <v/>
      </c>
      <c r="E1719" t="str">
        <f>+IFERROR(VLOOKUP(Fact_Cumplimiento[[#This Row], [Concepto Anterior]],Conceptos_Cumplimiento[#All],5,0),"")</f>
        <v/>
      </c>
      <c r="F1719" t="str">
        <f>+IFERROR(VLOOKUP(Fact_Cumplimiento[[#This Row], 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ht="18.75" customHeight="1" x14ac:dyDescent="0.35">
      <c r="C1720" s="100" t="str">
        <f>IF(OR(Fact_Cumplimiento[[#This Row], [Año]]="",Fact_Cumplimiento[[#This Row], [Mes]]=""),"",DATE(A1720,MATCH(B1720,{"enero","febrero","marzo","abril","mayo","junio","julio","agosto","septiembre","octubre","noviembre","diciembre"},0)+1,0))</f>
        <v/>
      </c>
      <c r="E1720" t="str">
        <f>+IFERROR(VLOOKUP(Fact_Cumplimiento[[#This Row], [Concepto Anterior]],Conceptos_Cumplimiento[#All],5,0),"")</f>
        <v/>
      </c>
      <c r="F1720" t="str">
        <f>+IFERROR(VLOOKUP(Fact_Cumplimiento[[#This Row], 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ht="18.75" customHeight="1" x14ac:dyDescent="0.35">
      <c r="C1721" s="100" t="str">
        <f>IF(OR(Fact_Cumplimiento[[#This Row], [Año]]="",Fact_Cumplimiento[[#This Row], [Mes]]=""),"",DATE(A1721,MATCH(B1721,{"enero","febrero","marzo","abril","mayo","junio","julio","agosto","septiembre","octubre","noviembre","diciembre"},0)+1,0))</f>
        <v/>
      </c>
      <c r="E1721" t="str">
        <f>+IFERROR(VLOOKUP(Fact_Cumplimiento[[#This Row], [Concepto Anterior]],Conceptos_Cumplimiento[#All],5,0),"")</f>
        <v/>
      </c>
      <c r="F1721" t="str">
        <f>+IFERROR(VLOOKUP(Fact_Cumplimiento[[#This Row], 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ht="18.75" customHeight="1" x14ac:dyDescent="0.35">
      <c r="C1722" s="100" t="str">
        <f>IF(OR(Fact_Cumplimiento[[#This Row], [Año]]="",Fact_Cumplimiento[[#This Row], [Mes]]=""),"",DATE(A1722,MATCH(B1722,{"enero","febrero","marzo","abril","mayo","junio","julio","agosto","septiembre","octubre","noviembre","diciembre"},0)+1,0))</f>
        <v/>
      </c>
      <c r="E1722" t="str">
        <f>+IFERROR(VLOOKUP(Fact_Cumplimiento[[#This Row], [Concepto Anterior]],Conceptos_Cumplimiento[#All],5,0),"")</f>
        <v/>
      </c>
      <c r="F1722" t="str">
        <f>+IFERROR(VLOOKUP(Fact_Cumplimiento[[#This Row], 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ht="18.75" customHeight="1" x14ac:dyDescent="0.35">
      <c r="C1723" s="100" t="str">
        <f>IF(OR(Fact_Cumplimiento[[#This Row], [Año]]="",Fact_Cumplimiento[[#This Row], [Mes]]=""),"",DATE(A1723,MATCH(B1723,{"enero","febrero","marzo","abril","mayo","junio","julio","agosto","septiembre","octubre","noviembre","diciembre"},0)+1,0))</f>
        <v/>
      </c>
      <c r="E1723" t="str">
        <f>+IFERROR(VLOOKUP(Fact_Cumplimiento[[#This Row], [Concepto Anterior]],Conceptos_Cumplimiento[#All],5,0),"")</f>
        <v/>
      </c>
      <c r="F1723" t="str">
        <f>+IFERROR(VLOOKUP(Fact_Cumplimiento[[#This Row], 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ht="18.75" customHeight="1" x14ac:dyDescent="0.35">
      <c r="C1724" s="100" t="str">
        <f>IF(OR(Fact_Cumplimiento[[#This Row], [Año]]="",Fact_Cumplimiento[[#This Row], [Mes]]=""),"",DATE(A1724,MATCH(B1724,{"enero","febrero","marzo","abril","mayo","junio","julio","agosto","septiembre","octubre","noviembre","diciembre"},0)+1,0))</f>
        <v/>
      </c>
      <c r="E1724" t="str">
        <f>+IFERROR(VLOOKUP(Fact_Cumplimiento[[#This Row], [Concepto Anterior]],Conceptos_Cumplimiento[#All],5,0),"")</f>
        <v/>
      </c>
      <c r="F1724" t="str">
        <f>+IFERROR(VLOOKUP(Fact_Cumplimiento[[#This Row], 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ht="18.75" customHeight="1" x14ac:dyDescent="0.35">
      <c r="C1725" s="100" t="str">
        <f>IF(OR(Fact_Cumplimiento[[#This Row], [Año]]="",Fact_Cumplimiento[[#This Row], [Mes]]=""),"",DATE(A1725,MATCH(B1725,{"enero","febrero","marzo","abril","mayo","junio","julio","agosto","septiembre","octubre","noviembre","diciembre"},0)+1,0))</f>
        <v/>
      </c>
      <c r="E1725" t="str">
        <f>+IFERROR(VLOOKUP(Fact_Cumplimiento[[#This Row], [Concepto Anterior]],Conceptos_Cumplimiento[#All],5,0),"")</f>
        <v/>
      </c>
      <c r="F1725" t="str">
        <f>+IFERROR(VLOOKUP(Fact_Cumplimiento[[#This Row], 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ht="18.75" customHeight="1" x14ac:dyDescent="0.35">
      <c r="C1726" s="100" t="str">
        <f>IF(OR(Fact_Cumplimiento[[#This Row], [Año]]="",Fact_Cumplimiento[[#This Row], [Mes]]=""),"",DATE(A1726,MATCH(B1726,{"enero","febrero","marzo","abril","mayo","junio","julio","agosto","septiembre","octubre","noviembre","diciembre"},0)+1,0))</f>
        <v/>
      </c>
      <c r="E1726" t="str">
        <f>+IFERROR(VLOOKUP(Fact_Cumplimiento[[#This Row], [Concepto Anterior]],Conceptos_Cumplimiento[#All],5,0),"")</f>
        <v/>
      </c>
      <c r="F1726" t="str">
        <f>+IFERROR(VLOOKUP(Fact_Cumplimiento[[#This Row], 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ht="18.75" customHeight="1" x14ac:dyDescent="0.35">
      <c r="C1727" s="100" t="str">
        <f>IF(OR(Fact_Cumplimiento[[#This Row], [Año]]="",Fact_Cumplimiento[[#This Row], [Mes]]=""),"",DATE(A1727,MATCH(B1727,{"enero","febrero","marzo","abril","mayo","junio","julio","agosto","septiembre","octubre","noviembre","diciembre"},0)+1,0))</f>
        <v/>
      </c>
      <c r="E1727" t="str">
        <f>+IFERROR(VLOOKUP(Fact_Cumplimiento[[#This Row], [Concepto Anterior]],Conceptos_Cumplimiento[#All],5,0),"")</f>
        <v/>
      </c>
      <c r="F1727" t="str">
        <f>+IFERROR(VLOOKUP(Fact_Cumplimiento[[#This Row], 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ht="18.75" customHeight="1" x14ac:dyDescent="0.35">
      <c r="C1728" s="100" t="str">
        <f>IF(OR(Fact_Cumplimiento[[#This Row], [Año]]="",Fact_Cumplimiento[[#This Row], [Mes]]=""),"",DATE(A1728,MATCH(B1728,{"enero","febrero","marzo","abril","mayo","junio","julio","agosto","septiembre","octubre","noviembre","diciembre"},0)+1,0))</f>
        <v/>
      </c>
      <c r="E1728" t="str">
        <f>+IFERROR(VLOOKUP(Fact_Cumplimiento[[#This Row], [Concepto Anterior]],Conceptos_Cumplimiento[#All],5,0),"")</f>
        <v/>
      </c>
      <c r="F1728" t="str">
        <f>+IFERROR(VLOOKUP(Fact_Cumplimiento[[#This Row], 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ht="18.75" customHeight="1" x14ac:dyDescent="0.35">
      <c r="C1729" s="100" t="str">
        <f>IF(OR(Fact_Cumplimiento[[#This Row], [Año]]="",Fact_Cumplimiento[[#This Row], [Mes]]=""),"",DATE(A1729,MATCH(B1729,{"enero","febrero","marzo","abril","mayo","junio","julio","agosto","septiembre","octubre","noviembre","diciembre"},0)+1,0))</f>
        <v/>
      </c>
      <c r="E1729" t="str">
        <f>+IFERROR(VLOOKUP(Fact_Cumplimiento[[#This Row], [Concepto Anterior]],Conceptos_Cumplimiento[#All],5,0),"")</f>
        <v/>
      </c>
      <c r="F1729" t="str">
        <f>+IFERROR(VLOOKUP(Fact_Cumplimiento[[#This Row], 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ht="18.75" customHeight="1" x14ac:dyDescent="0.35">
      <c r="C1730" s="100" t="str">
        <f>IF(OR(Fact_Cumplimiento[[#This Row], [Año]]="",Fact_Cumplimiento[[#This Row], [Mes]]=""),"",DATE(A1730,MATCH(B1730,{"enero","febrero","marzo","abril","mayo","junio","julio","agosto","septiembre","octubre","noviembre","diciembre"},0)+1,0))</f>
        <v/>
      </c>
      <c r="E1730" t="str">
        <f>+IFERROR(VLOOKUP(Fact_Cumplimiento[[#This Row], [Concepto Anterior]],Conceptos_Cumplimiento[#All],5,0),"")</f>
        <v/>
      </c>
      <c r="F1730" t="str">
        <f>+IFERROR(VLOOKUP(Fact_Cumplimiento[[#This Row], 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ht="18.75" customHeight="1" x14ac:dyDescent="0.35">
      <c r="C1731" s="100" t="str">
        <f>IF(OR(Fact_Cumplimiento[[#This Row], [Año]]="",Fact_Cumplimiento[[#This Row], [Mes]]=""),"",DATE(A1731,MATCH(B1731,{"enero","febrero","marzo","abril","mayo","junio","julio","agosto","septiembre","octubre","noviembre","diciembre"},0)+1,0))</f>
        <v/>
      </c>
      <c r="E1731" t="str">
        <f>+IFERROR(VLOOKUP(Fact_Cumplimiento[[#This Row], [Concepto Anterior]],Conceptos_Cumplimiento[#All],5,0),"")</f>
        <v/>
      </c>
      <c r="F1731" t="str">
        <f>+IFERROR(VLOOKUP(Fact_Cumplimiento[[#This Row], 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ht="18.75" customHeight="1" x14ac:dyDescent="0.35">
      <c r="C1732" s="100" t="str">
        <f>IF(OR(Fact_Cumplimiento[[#This Row], [Año]]="",Fact_Cumplimiento[[#This Row], [Mes]]=""),"",DATE(A1732,MATCH(B1732,{"enero","febrero","marzo","abril","mayo","junio","julio","agosto","septiembre","octubre","noviembre","diciembre"},0)+1,0))</f>
        <v/>
      </c>
      <c r="E1732" t="str">
        <f>+IFERROR(VLOOKUP(Fact_Cumplimiento[[#This Row], [Concepto Anterior]],Conceptos_Cumplimiento[#All],5,0),"")</f>
        <v/>
      </c>
      <c r="F1732" t="str">
        <f>+IFERROR(VLOOKUP(Fact_Cumplimiento[[#This Row], 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ht="18.75" customHeight="1" x14ac:dyDescent="0.35">
      <c r="C1733" s="100" t="str">
        <f>IF(OR(Fact_Cumplimiento[[#This Row], [Año]]="",Fact_Cumplimiento[[#This Row], [Mes]]=""),"",DATE(A1733,MATCH(B1733,{"enero","febrero","marzo","abril","mayo","junio","julio","agosto","septiembre","octubre","noviembre","diciembre"},0)+1,0))</f>
        <v/>
      </c>
      <c r="E1733" t="str">
        <f>+IFERROR(VLOOKUP(Fact_Cumplimiento[[#This Row], [Concepto Anterior]],Conceptos_Cumplimiento[#All],5,0),"")</f>
        <v/>
      </c>
      <c r="F1733" t="str">
        <f>+IFERROR(VLOOKUP(Fact_Cumplimiento[[#This Row], 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ht="18.75" customHeight="1" x14ac:dyDescent="0.35">
      <c r="C1734" s="100" t="str">
        <f>IF(OR(Fact_Cumplimiento[[#This Row], [Año]]="",Fact_Cumplimiento[[#This Row], [Mes]]=""),"",DATE(A1734,MATCH(B1734,{"enero","febrero","marzo","abril","mayo","junio","julio","agosto","septiembre","octubre","noviembre","diciembre"},0)+1,0))</f>
        <v/>
      </c>
      <c r="E1734" t="str">
        <f>+IFERROR(VLOOKUP(Fact_Cumplimiento[[#This Row], [Concepto Anterior]],Conceptos_Cumplimiento[#All],5,0),"")</f>
        <v/>
      </c>
      <c r="F1734" t="str">
        <f>+IFERROR(VLOOKUP(Fact_Cumplimiento[[#This Row], 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ht="18.75" customHeight="1" x14ac:dyDescent="0.35">
      <c r="C1735" s="100" t="str">
        <f>IF(OR(Fact_Cumplimiento[[#This Row], [Año]]="",Fact_Cumplimiento[[#This Row], [Mes]]=""),"",DATE(A1735,MATCH(B1735,{"enero","febrero","marzo","abril","mayo","junio","julio","agosto","septiembre","octubre","noviembre","diciembre"},0)+1,0))</f>
        <v/>
      </c>
      <c r="E1735" t="str">
        <f>+IFERROR(VLOOKUP(Fact_Cumplimiento[[#This Row], [Concepto Anterior]],Conceptos_Cumplimiento[#All],5,0),"")</f>
        <v/>
      </c>
      <c r="F1735" t="str">
        <f>+IFERROR(VLOOKUP(Fact_Cumplimiento[[#This Row], 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ht="18.75" customHeight="1" x14ac:dyDescent="0.35">
      <c r="C1736" s="100" t="str">
        <f>IF(OR(Fact_Cumplimiento[[#This Row], [Año]]="",Fact_Cumplimiento[[#This Row], [Mes]]=""),"",DATE(A1736,MATCH(B1736,{"enero","febrero","marzo","abril","mayo","junio","julio","agosto","septiembre","octubre","noviembre","diciembre"},0)+1,0))</f>
        <v/>
      </c>
      <c r="E1736" t="str">
        <f>+IFERROR(VLOOKUP(Fact_Cumplimiento[[#This Row], [Concepto Anterior]],Conceptos_Cumplimiento[#All],5,0),"")</f>
        <v/>
      </c>
      <c r="F1736" t="str">
        <f>+IFERROR(VLOOKUP(Fact_Cumplimiento[[#This Row], 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ht="18.75" customHeight="1" x14ac:dyDescent="0.35">
      <c r="C1737" s="100" t="str">
        <f>IF(OR(Fact_Cumplimiento[[#This Row], [Año]]="",Fact_Cumplimiento[[#This Row], [Mes]]=""),"",DATE(A1737,MATCH(B1737,{"enero","febrero","marzo","abril","mayo","junio","julio","agosto","septiembre","octubre","noviembre","diciembre"},0)+1,0))</f>
        <v/>
      </c>
      <c r="E1737" t="str">
        <f>+IFERROR(VLOOKUP(Fact_Cumplimiento[[#This Row], [Concepto Anterior]],Conceptos_Cumplimiento[#All],5,0),"")</f>
        <v/>
      </c>
      <c r="F1737" t="str">
        <f>+IFERROR(VLOOKUP(Fact_Cumplimiento[[#This Row], 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ht="18.75" customHeight="1" x14ac:dyDescent="0.35">
      <c r="C1738" s="100" t="str">
        <f>IF(OR(Fact_Cumplimiento[[#This Row], [Año]]="",Fact_Cumplimiento[[#This Row], [Mes]]=""),"",DATE(A1738,MATCH(B1738,{"enero","febrero","marzo","abril","mayo","junio","julio","agosto","septiembre","octubre","noviembre","diciembre"},0)+1,0))</f>
        <v/>
      </c>
      <c r="E1738" t="str">
        <f>+IFERROR(VLOOKUP(Fact_Cumplimiento[[#This Row], [Concepto Anterior]],Conceptos_Cumplimiento[#All],5,0),"")</f>
        <v/>
      </c>
      <c r="F1738" t="str">
        <f>+IFERROR(VLOOKUP(Fact_Cumplimiento[[#This Row], 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ht="18.75" customHeight="1" x14ac:dyDescent="0.35">
      <c r="C1739" s="100" t="str">
        <f>IF(OR(Fact_Cumplimiento[[#This Row], [Año]]="",Fact_Cumplimiento[[#This Row], [Mes]]=""),"",DATE(A1739,MATCH(B1739,{"enero","febrero","marzo","abril","mayo","junio","julio","agosto","septiembre","octubre","noviembre","diciembre"},0)+1,0))</f>
        <v/>
      </c>
      <c r="E1739" t="str">
        <f>+IFERROR(VLOOKUP(Fact_Cumplimiento[[#This Row], [Concepto Anterior]],Conceptos_Cumplimiento[#All],5,0),"")</f>
        <v/>
      </c>
      <c r="F1739" t="str">
        <f>+IFERROR(VLOOKUP(Fact_Cumplimiento[[#This Row], 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ht="18.75" customHeight="1" x14ac:dyDescent="0.35">
      <c r="C1740" s="100" t="str">
        <f>IF(OR(Fact_Cumplimiento[[#This Row], [Año]]="",Fact_Cumplimiento[[#This Row], [Mes]]=""),"",DATE(A1740,MATCH(B1740,{"enero","febrero","marzo","abril","mayo","junio","julio","agosto","septiembre","octubre","noviembre","diciembre"},0)+1,0))</f>
        <v/>
      </c>
      <c r="E1740" t="str">
        <f>+IFERROR(VLOOKUP(Fact_Cumplimiento[[#This Row], [Concepto Anterior]],Conceptos_Cumplimiento[#All],5,0),"")</f>
        <v/>
      </c>
      <c r="F1740" t="str">
        <f>+IFERROR(VLOOKUP(Fact_Cumplimiento[[#This Row], 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ht="18.75" customHeight="1" x14ac:dyDescent="0.35">
      <c r="C1741" s="100" t="str">
        <f>IF(OR(Fact_Cumplimiento[[#This Row], [Año]]="",Fact_Cumplimiento[[#This Row], [Mes]]=""),"",DATE(A1741,MATCH(B1741,{"enero","febrero","marzo","abril","mayo","junio","julio","agosto","septiembre","octubre","noviembre","diciembre"},0)+1,0))</f>
        <v/>
      </c>
      <c r="E1741" t="str">
        <f>+IFERROR(VLOOKUP(Fact_Cumplimiento[[#This Row], [Concepto Anterior]],Conceptos_Cumplimiento[#All],5,0),"")</f>
        <v/>
      </c>
      <c r="F1741" t="str">
        <f>+IFERROR(VLOOKUP(Fact_Cumplimiento[[#This Row], 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ht="18.75" customHeight="1" x14ac:dyDescent="0.35">
      <c r="C1742" s="100" t="str">
        <f>IF(OR(Fact_Cumplimiento[[#This Row], [Año]]="",Fact_Cumplimiento[[#This Row], [Mes]]=""),"",DATE(A1742,MATCH(B1742,{"enero","febrero","marzo","abril","mayo","junio","julio","agosto","septiembre","octubre","noviembre","diciembre"},0)+1,0))</f>
        <v/>
      </c>
      <c r="E1742" t="str">
        <f>+IFERROR(VLOOKUP(Fact_Cumplimiento[[#This Row], [Concepto Anterior]],Conceptos_Cumplimiento[#All],5,0),"")</f>
        <v/>
      </c>
      <c r="F1742" t="str">
        <f>+IFERROR(VLOOKUP(Fact_Cumplimiento[[#This Row], 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ht="18.75" customHeight="1" x14ac:dyDescent="0.35">
      <c r="C1743" s="100" t="str">
        <f>IF(OR(Fact_Cumplimiento[[#This Row], [Año]]="",Fact_Cumplimiento[[#This Row], [Mes]]=""),"",DATE(A1743,MATCH(B1743,{"enero","febrero","marzo","abril","mayo","junio","julio","agosto","septiembre","octubre","noviembre","diciembre"},0)+1,0))</f>
        <v/>
      </c>
      <c r="E1743" t="str">
        <f>+IFERROR(VLOOKUP(Fact_Cumplimiento[[#This Row], [Concepto Anterior]],Conceptos_Cumplimiento[#All],5,0),"")</f>
        <v/>
      </c>
      <c r="F1743" t="str">
        <f>+IFERROR(VLOOKUP(Fact_Cumplimiento[[#This Row], 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ht="18.75" customHeight="1" x14ac:dyDescent="0.35">
      <c r="C1744" s="100" t="str">
        <f>IF(OR(Fact_Cumplimiento[[#This Row], [Año]]="",Fact_Cumplimiento[[#This Row], [Mes]]=""),"",DATE(A1744,MATCH(B1744,{"enero","febrero","marzo","abril","mayo","junio","julio","agosto","septiembre","octubre","noviembre","diciembre"},0)+1,0))</f>
        <v/>
      </c>
      <c r="E1744" t="str">
        <f>+IFERROR(VLOOKUP(Fact_Cumplimiento[[#This Row], [Concepto Anterior]],Conceptos_Cumplimiento[#All],5,0),"")</f>
        <v/>
      </c>
      <c r="F1744" t="str">
        <f>+IFERROR(VLOOKUP(Fact_Cumplimiento[[#This Row], 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ht="18.75" customHeight="1" x14ac:dyDescent="0.35">
      <c r="C1745" s="100" t="str">
        <f>IF(OR(Fact_Cumplimiento[[#This Row], [Año]]="",Fact_Cumplimiento[[#This Row], [Mes]]=""),"",DATE(A1745,MATCH(B1745,{"enero","febrero","marzo","abril","mayo","junio","julio","agosto","septiembre","octubre","noviembre","diciembre"},0)+1,0))</f>
        <v/>
      </c>
      <c r="E1745" t="str">
        <f>+IFERROR(VLOOKUP(Fact_Cumplimiento[[#This Row], [Concepto Anterior]],Conceptos_Cumplimiento[#All],5,0),"")</f>
        <v/>
      </c>
      <c r="F1745" t="str">
        <f>+IFERROR(VLOOKUP(Fact_Cumplimiento[[#This Row], 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ht="18.75" customHeight="1" x14ac:dyDescent="0.35">
      <c r="C1746" s="100" t="str">
        <f>IF(OR(Fact_Cumplimiento[[#This Row], [Año]]="",Fact_Cumplimiento[[#This Row], [Mes]]=""),"",DATE(A1746,MATCH(B1746,{"enero","febrero","marzo","abril","mayo","junio","julio","agosto","septiembre","octubre","noviembre","diciembre"},0)+1,0))</f>
        <v/>
      </c>
      <c r="E1746" t="str">
        <f>+IFERROR(VLOOKUP(Fact_Cumplimiento[[#This Row], [Concepto Anterior]],Conceptos_Cumplimiento[#All],5,0),"")</f>
        <v/>
      </c>
      <c r="F1746" t="str">
        <f>+IFERROR(VLOOKUP(Fact_Cumplimiento[[#This Row], 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ht="18.75" customHeight="1" x14ac:dyDescent="0.35">
      <c r="C1747" s="100" t="str">
        <f>IF(OR(Fact_Cumplimiento[[#This Row], [Año]]="",Fact_Cumplimiento[[#This Row], [Mes]]=""),"",DATE(A1747,MATCH(B1747,{"enero","febrero","marzo","abril","mayo","junio","julio","agosto","septiembre","octubre","noviembre","diciembre"},0)+1,0))</f>
        <v/>
      </c>
      <c r="E1747" t="str">
        <f>+IFERROR(VLOOKUP(Fact_Cumplimiento[[#This Row], [Concepto Anterior]],Conceptos_Cumplimiento[#All],5,0),"")</f>
        <v/>
      </c>
      <c r="F1747" t="str">
        <f>+IFERROR(VLOOKUP(Fact_Cumplimiento[[#This Row], 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ht="18.75" customHeight="1" x14ac:dyDescent="0.35">
      <c r="C1748" s="100" t="str">
        <f>IF(OR(Fact_Cumplimiento[[#This Row], [Año]]="",Fact_Cumplimiento[[#This Row], [Mes]]=""),"",DATE(A1748,MATCH(B1748,{"enero","febrero","marzo","abril","mayo","junio","julio","agosto","septiembre","octubre","noviembre","diciembre"},0)+1,0))</f>
        <v/>
      </c>
      <c r="E1748" t="str">
        <f>+IFERROR(VLOOKUP(Fact_Cumplimiento[[#This Row], [Concepto Anterior]],Conceptos_Cumplimiento[#All],5,0),"")</f>
        <v/>
      </c>
      <c r="F1748" t="str">
        <f>+IFERROR(VLOOKUP(Fact_Cumplimiento[[#This Row], 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ht="18.75" customHeight="1" x14ac:dyDescent="0.35">
      <c r="C1749" s="100" t="str">
        <f>IF(OR(Fact_Cumplimiento[[#This Row], [Año]]="",Fact_Cumplimiento[[#This Row], [Mes]]=""),"",DATE(A1749,MATCH(B1749,{"enero","febrero","marzo","abril","mayo","junio","julio","agosto","septiembre","octubre","noviembre","diciembre"},0)+1,0))</f>
        <v/>
      </c>
      <c r="E1749" t="str">
        <f>+IFERROR(VLOOKUP(Fact_Cumplimiento[[#This Row], [Concepto Anterior]],Conceptos_Cumplimiento[#All],5,0),"")</f>
        <v/>
      </c>
      <c r="F1749" t="str">
        <f>+IFERROR(VLOOKUP(Fact_Cumplimiento[[#This Row], 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ht="18.75" customHeight="1" x14ac:dyDescent="0.35">
      <c r="C1750" s="100" t="str">
        <f>IF(OR(Fact_Cumplimiento[[#This Row], [Año]]="",Fact_Cumplimiento[[#This Row], [Mes]]=""),"",DATE(A1750,MATCH(B1750,{"enero","febrero","marzo","abril","mayo","junio","julio","agosto","septiembre","octubre","noviembre","diciembre"},0)+1,0))</f>
        <v/>
      </c>
      <c r="E1750" t="str">
        <f>+IFERROR(VLOOKUP(Fact_Cumplimiento[[#This Row], [Concepto Anterior]],Conceptos_Cumplimiento[#All],5,0),"")</f>
        <v/>
      </c>
      <c r="F1750" t="str">
        <f>+IFERROR(VLOOKUP(Fact_Cumplimiento[[#This Row], 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ht="18.75" customHeight="1" x14ac:dyDescent="0.35">
      <c r="C1751" s="100" t="str">
        <f>IF(OR(Fact_Cumplimiento[[#This Row], [Año]]="",Fact_Cumplimiento[[#This Row], [Mes]]=""),"",DATE(A1751,MATCH(B1751,{"enero","febrero","marzo","abril","mayo","junio","julio","agosto","septiembre","octubre","noviembre","diciembre"},0)+1,0))</f>
        <v/>
      </c>
      <c r="E1751" t="str">
        <f>+IFERROR(VLOOKUP(Fact_Cumplimiento[[#This Row], [Concepto Anterior]],Conceptos_Cumplimiento[#All],5,0),"")</f>
        <v/>
      </c>
      <c r="F1751" t="str">
        <f>+IFERROR(VLOOKUP(Fact_Cumplimiento[[#This Row], 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ht="18.75" customHeight="1" x14ac:dyDescent="0.35">
      <c r="C1752" s="100" t="str">
        <f>IF(OR(Fact_Cumplimiento[[#This Row], [Año]]="",Fact_Cumplimiento[[#This Row], [Mes]]=""),"",DATE(A1752,MATCH(B1752,{"enero","febrero","marzo","abril","mayo","junio","julio","agosto","septiembre","octubre","noviembre","diciembre"},0)+1,0))</f>
        <v/>
      </c>
      <c r="E1752" t="str">
        <f>+IFERROR(VLOOKUP(Fact_Cumplimiento[[#This Row], [Concepto Anterior]],Conceptos_Cumplimiento[#All],5,0),"")</f>
        <v/>
      </c>
      <c r="F1752" t="str">
        <f>+IFERROR(VLOOKUP(Fact_Cumplimiento[[#This Row], 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ht="18.75" customHeight="1" x14ac:dyDescent="0.35">
      <c r="C1753" s="100" t="str">
        <f>IF(OR(Fact_Cumplimiento[[#This Row], [Año]]="",Fact_Cumplimiento[[#This Row], [Mes]]=""),"",DATE(A1753,MATCH(B1753,{"enero","febrero","marzo","abril","mayo","junio","julio","agosto","septiembre","octubre","noviembre","diciembre"},0)+1,0))</f>
        <v/>
      </c>
      <c r="E1753" t="str">
        <f>+IFERROR(VLOOKUP(Fact_Cumplimiento[[#This Row], [Concepto Anterior]],Conceptos_Cumplimiento[#All],5,0),"")</f>
        <v/>
      </c>
      <c r="F1753" t="str">
        <f>+IFERROR(VLOOKUP(Fact_Cumplimiento[[#This Row], 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ht="18.75" customHeight="1" x14ac:dyDescent="0.35">
      <c r="C1754" s="100" t="str">
        <f>IF(OR(Fact_Cumplimiento[[#This Row], [Año]]="",Fact_Cumplimiento[[#This Row], [Mes]]=""),"",DATE(A1754,MATCH(B1754,{"enero","febrero","marzo","abril","mayo","junio","julio","agosto","septiembre","octubre","noviembre","diciembre"},0)+1,0))</f>
        <v/>
      </c>
      <c r="E1754" t="str">
        <f>+IFERROR(VLOOKUP(Fact_Cumplimiento[[#This Row], [Concepto Anterior]],Conceptos_Cumplimiento[#All],5,0),"")</f>
        <v/>
      </c>
      <c r="F1754" t="str">
        <f>+IFERROR(VLOOKUP(Fact_Cumplimiento[[#This Row], 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ht="18.75" customHeight="1" x14ac:dyDescent="0.35">
      <c r="C1755" s="100" t="str">
        <f>IF(OR(Fact_Cumplimiento[[#This Row], [Año]]="",Fact_Cumplimiento[[#This Row], [Mes]]=""),"",DATE(A1755,MATCH(B1755,{"enero","febrero","marzo","abril","mayo","junio","julio","agosto","septiembre","octubre","noviembre","diciembre"},0)+1,0))</f>
        <v/>
      </c>
      <c r="E1755" t="str">
        <f>+IFERROR(VLOOKUP(Fact_Cumplimiento[[#This Row], [Concepto Anterior]],Conceptos_Cumplimiento[#All],5,0),"")</f>
        <v/>
      </c>
      <c r="F1755" t="str">
        <f>+IFERROR(VLOOKUP(Fact_Cumplimiento[[#This Row], 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ht="18.75" customHeight="1" x14ac:dyDescent="0.35">
      <c r="C1756" s="100" t="str">
        <f>IF(OR(Fact_Cumplimiento[[#This Row], [Año]]="",Fact_Cumplimiento[[#This Row], [Mes]]=""),"",DATE(A1756,MATCH(B1756,{"enero","febrero","marzo","abril","mayo","junio","julio","agosto","septiembre","octubre","noviembre","diciembre"},0)+1,0))</f>
        <v/>
      </c>
      <c r="E1756" t="str">
        <f>+IFERROR(VLOOKUP(Fact_Cumplimiento[[#This Row], [Concepto Anterior]],Conceptos_Cumplimiento[#All],5,0),"")</f>
        <v/>
      </c>
      <c r="F1756" t="str">
        <f>+IFERROR(VLOOKUP(Fact_Cumplimiento[[#This Row], 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ht="18.75" customHeight="1" x14ac:dyDescent="0.35">
      <c r="C1757" s="100" t="str">
        <f>IF(OR(Fact_Cumplimiento[[#This Row], [Año]]="",Fact_Cumplimiento[[#This Row], [Mes]]=""),"",DATE(A1757,MATCH(B1757,{"enero","febrero","marzo","abril","mayo","junio","julio","agosto","septiembre","octubre","noviembre","diciembre"},0)+1,0))</f>
        <v/>
      </c>
      <c r="E1757" t="str">
        <f>+IFERROR(VLOOKUP(Fact_Cumplimiento[[#This Row], [Concepto Anterior]],Conceptos_Cumplimiento[#All],5,0),"")</f>
        <v/>
      </c>
      <c r="F1757" t="str">
        <f>+IFERROR(VLOOKUP(Fact_Cumplimiento[[#This Row], 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ht="18.75" customHeight="1" x14ac:dyDescent="0.35">
      <c r="C1758" s="100" t="str">
        <f>IF(OR(Fact_Cumplimiento[[#This Row], [Año]]="",Fact_Cumplimiento[[#This Row], [Mes]]=""),"",DATE(A1758,MATCH(B1758,{"enero","febrero","marzo","abril","mayo","junio","julio","agosto","septiembre","octubre","noviembre","diciembre"},0)+1,0))</f>
        <v/>
      </c>
      <c r="E1758" t="str">
        <f>+IFERROR(VLOOKUP(Fact_Cumplimiento[[#This Row], [Concepto Anterior]],Conceptos_Cumplimiento[#All],5,0),"")</f>
        <v/>
      </c>
      <c r="F1758" t="str">
        <f>+IFERROR(VLOOKUP(Fact_Cumplimiento[[#This Row], 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ht="18.75" customHeight="1" x14ac:dyDescent="0.35">
      <c r="C1759" s="100" t="str">
        <f>IF(OR(Fact_Cumplimiento[[#This Row], [Año]]="",Fact_Cumplimiento[[#This Row], [Mes]]=""),"",DATE(A1759,MATCH(B1759,{"enero","febrero","marzo","abril","mayo","junio","julio","agosto","septiembre","octubre","noviembre","diciembre"},0)+1,0))</f>
        <v/>
      </c>
      <c r="E1759" t="str">
        <f>+IFERROR(VLOOKUP(Fact_Cumplimiento[[#This Row], [Concepto Anterior]],Conceptos_Cumplimiento[#All],5,0),"")</f>
        <v/>
      </c>
      <c r="F1759" t="str">
        <f>+IFERROR(VLOOKUP(Fact_Cumplimiento[[#This Row], 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ht="18.75" customHeight="1" x14ac:dyDescent="0.35">
      <c r="C1760" s="100" t="str">
        <f>IF(OR(Fact_Cumplimiento[[#This Row], [Año]]="",Fact_Cumplimiento[[#This Row], [Mes]]=""),"",DATE(A1760,MATCH(B1760,{"enero","febrero","marzo","abril","mayo","junio","julio","agosto","septiembre","octubre","noviembre","diciembre"},0)+1,0))</f>
        <v/>
      </c>
      <c r="E1760" t="str">
        <f>+IFERROR(VLOOKUP(Fact_Cumplimiento[[#This Row], [Concepto Anterior]],Conceptos_Cumplimiento[#All],5,0),"")</f>
        <v/>
      </c>
      <c r="F1760" t="str">
        <f>+IFERROR(VLOOKUP(Fact_Cumplimiento[[#This Row], 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ht="18.75" customHeight="1" x14ac:dyDescent="0.35">
      <c r="C1761" s="100" t="str">
        <f>IF(OR(Fact_Cumplimiento[[#This Row], [Año]]="",Fact_Cumplimiento[[#This Row], [Mes]]=""),"",DATE(A1761,MATCH(B1761,{"enero","febrero","marzo","abril","mayo","junio","julio","agosto","septiembre","octubre","noviembre","diciembre"},0)+1,0))</f>
        <v/>
      </c>
      <c r="E1761" t="str">
        <f>+IFERROR(VLOOKUP(Fact_Cumplimiento[[#This Row], [Concepto Anterior]],Conceptos_Cumplimiento[#All],5,0),"")</f>
        <v/>
      </c>
      <c r="F1761" t="str">
        <f>+IFERROR(VLOOKUP(Fact_Cumplimiento[[#This Row], 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ht="18.75" customHeight="1" x14ac:dyDescent="0.35">
      <c r="C1762" s="100" t="str">
        <f>IF(OR(Fact_Cumplimiento[[#This Row], [Año]]="",Fact_Cumplimiento[[#This Row], [Mes]]=""),"",DATE(A1762,MATCH(B1762,{"enero","febrero","marzo","abril","mayo","junio","julio","agosto","septiembre","octubre","noviembre","diciembre"},0)+1,0))</f>
        <v/>
      </c>
      <c r="E1762" t="str">
        <f>+IFERROR(VLOOKUP(Fact_Cumplimiento[[#This Row], [Concepto Anterior]],Conceptos_Cumplimiento[#All],5,0),"")</f>
        <v/>
      </c>
      <c r="F1762" t="str">
        <f>+IFERROR(VLOOKUP(Fact_Cumplimiento[[#This Row], 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ht="18.75" customHeight="1" x14ac:dyDescent="0.35">
      <c r="C1763" s="100" t="str">
        <f>IF(OR(Fact_Cumplimiento[[#This Row], [Año]]="",Fact_Cumplimiento[[#This Row], [Mes]]=""),"",DATE(A1763,MATCH(B1763,{"enero","febrero","marzo","abril","mayo","junio","julio","agosto","septiembre","octubre","noviembre","diciembre"},0)+1,0))</f>
        <v/>
      </c>
      <c r="E1763" t="str">
        <f>+IFERROR(VLOOKUP(Fact_Cumplimiento[[#This Row], [Concepto Anterior]],Conceptos_Cumplimiento[#All],5,0),"")</f>
        <v/>
      </c>
      <c r="F1763" t="str">
        <f>+IFERROR(VLOOKUP(Fact_Cumplimiento[[#This Row], 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ht="18.75" customHeight="1" x14ac:dyDescent="0.35">
      <c r="C1764" s="100" t="str">
        <f>IF(OR(Fact_Cumplimiento[[#This Row], [Año]]="",Fact_Cumplimiento[[#This Row], [Mes]]=""),"",DATE(A1764,MATCH(B1764,{"enero","febrero","marzo","abril","mayo","junio","julio","agosto","septiembre","octubre","noviembre","diciembre"},0)+1,0))</f>
        <v/>
      </c>
      <c r="E1764" t="str">
        <f>+IFERROR(VLOOKUP(Fact_Cumplimiento[[#This Row], [Concepto Anterior]],Conceptos_Cumplimiento[#All],5,0),"")</f>
        <v/>
      </c>
      <c r="F1764" t="str">
        <f>+IFERROR(VLOOKUP(Fact_Cumplimiento[[#This Row], 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ht="18.75" customHeight="1" x14ac:dyDescent="0.35">
      <c r="C1765" s="100" t="str">
        <f>IF(OR(Fact_Cumplimiento[[#This Row], [Año]]="",Fact_Cumplimiento[[#This Row], [Mes]]=""),"",DATE(A1765,MATCH(B1765,{"enero","febrero","marzo","abril","mayo","junio","julio","agosto","septiembre","octubre","noviembre","diciembre"},0)+1,0))</f>
        <v/>
      </c>
      <c r="E1765" t="str">
        <f>+IFERROR(VLOOKUP(Fact_Cumplimiento[[#This Row], [Concepto Anterior]],Conceptos_Cumplimiento[#All],5,0),"")</f>
        <v/>
      </c>
      <c r="F1765" t="str">
        <f>+IFERROR(VLOOKUP(Fact_Cumplimiento[[#This Row], 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ht="18.75" customHeight="1" x14ac:dyDescent="0.35">
      <c r="C1766" s="100" t="str">
        <f>IF(OR(Fact_Cumplimiento[[#This Row], [Año]]="",Fact_Cumplimiento[[#This Row], [Mes]]=""),"",DATE(A1766,MATCH(B1766,{"enero","febrero","marzo","abril","mayo","junio","julio","agosto","septiembre","octubre","noviembre","diciembre"},0)+1,0))</f>
        <v/>
      </c>
      <c r="E1766" t="str">
        <f>+IFERROR(VLOOKUP(Fact_Cumplimiento[[#This Row], [Concepto Anterior]],Conceptos_Cumplimiento[#All],5,0),"")</f>
        <v/>
      </c>
      <c r="F1766" t="str">
        <f>+IFERROR(VLOOKUP(Fact_Cumplimiento[[#This Row], 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ht="18.75" customHeight="1" x14ac:dyDescent="0.35">
      <c r="C1767" s="100" t="str">
        <f>IF(OR(Fact_Cumplimiento[[#This Row], [Año]]="",Fact_Cumplimiento[[#This Row], [Mes]]=""),"",DATE(A1767,MATCH(B1767,{"enero","febrero","marzo","abril","mayo","junio","julio","agosto","septiembre","octubre","noviembre","diciembre"},0)+1,0))</f>
        <v/>
      </c>
      <c r="E1767" t="str">
        <f>+IFERROR(VLOOKUP(Fact_Cumplimiento[[#This Row], [Concepto Anterior]],Conceptos_Cumplimiento[#All],5,0),"")</f>
        <v/>
      </c>
      <c r="F1767" t="str">
        <f>+IFERROR(VLOOKUP(Fact_Cumplimiento[[#This Row], 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ht="18.75" customHeight="1" x14ac:dyDescent="0.35">
      <c r="C1768" s="100" t="str">
        <f>IF(OR(Fact_Cumplimiento[[#This Row], [Año]]="",Fact_Cumplimiento[[#This Row], [Mes]]=""),"",DATE(A1768,MATCH(B1768,{"enero","febrero","marzo","abril","mayo","junio","julio","agosto","septiembre","octubre","noviembre","diciembre"},0)+1,0))</f>
        <v/>
      </c>
      <c r="E1768" t="str">
        <f>+IFERROR(VLOOKUP(Fact_Cumplimiento[[#This Row], [Concepto Anterior]],Conceptos_Cumplimiento[#All],5,0),"")</f>
        <v/>
      </c>
      <c r="F1768" t="str">
        <f>+IFERROR(VLOOKUP(Fact_Cumplimiento[[#This Row], 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ht="18.75" customHeight="1" x14ac:dyDescent="0.35">
      <c r="C1769" s="100" t="str">
        <f>IF(OR(Fact_Cumplimiento[[#This Row], [Año]]="",Fact_Cumplimiento[[#This Row], [Mes]]=""),"",DATE(A1769,MATCH(B1769,{"enero","febrero","marzo","abril","mayo","junio","julio","agosto","septiembre","octubre","noviembre","diciembre"},0)+1,0))</f>
        <v/>
      </c>
      <c r="E1769" t="str">
        <f>+IFERROR(VLOOKUP(Fact_Cumplimiento[[#This Row], [Concepto Anterior]],Conceptos_Cumplimiento[#All],5,0),"")</f>
        <v/>
      </c>
      <c r="F1769" t="str">
        <f>+IFERROR(VLOOKUP(Fact_Cumplimiento[[#This Row], 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ht="18.75" customHeight="1" x14ac:dyDescent="0.35">
      <c r="C1770" s="100" t="str">
        <f>IF(OR(Fact_Cumplimiento[[#This Row], [Año]]="",Fact_Cumplimiento[[#This Row], [Mes]]=""),"",DATE(A1770,MATCH(B1770,{"enero","febrero","marzo","abril","mayo","junio","julio","agosto","septiembre","octubre","noviembre","diciembre"},0)+1,0))</f>
        <v/>
      </c>
      <c r="E1770" t="str">
        <f>+IFERROR(VLOOKUP(Fact_Cumplimiento[[#This Row], [Concepto Anterior]],Conceptos_Cumplimiento[#All],5,0),"")</f>
        <v/>
      </c>
      <c r="F1770" t="str">
        <f>+IFERROR(VLOOKUP(Fact_Cumplimiento[[#This Row], 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ht="18.75" customHeight="1" x14ac:dyDescent="0.35">
      <c r="C1771" s="100" t="str">
        <f>IF(OR(Fact_Cumplimiento[[#This Row], [Año]]="",Fact_Cumplimiento[[#This Row], [Mes]]=""),"",DATE(A1771,MATCH(B1771,{"enero","febrero","marzo","abril","mayo","junio","julio","agosto","septiembre","octubre","noviembre","diciembre"},0)+1,0))</f>
        <v/>
      </c>
      <c r="E1771" t="str">
        <f>+IFERROR(VLOOKUP(Fact_Cumplimiento[[#This Row], [Concepto Anterior]],Conceptos_Cumplimiento[#All],5,0),"")</f>
        <v/>
      </c>
      <c r="F1771" t="str">
        <f>+IFERROR(VLOOKUP(Fact_Cumplimiento[[#This Row], 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ht="18.75" customHeight="1" x14ac:dyDescent="0.35">
      <c r="C1772" s="100" t="str">
        <f>IF(OR(Fact_Cumplimiento[[#This Row], [Año]]="",Fact_Cumplimiento[[#This Row], [Mes]]=""),"",DATE(A1772,MATCH(B1772,{"enero","febrero","marzo","abril","mayo","junio","julio","agosto","septiembre","octubre","noviembre","diciembre"},0)+1,0))</f>
        <v/>
      </c>
      <c r="E1772" t="str">
        <f>+IFERROR(VLOOKUP(Fact_Cumplimiento[[#This Row], [Concepto Anterior]],Conceptos_Cumplimiento[#All],5,0),"")</f>
        <v/>
      </c>
      <c r="F1772" t="str">
        <f>+IFERROR(VLOOKUP(Fact_Cumplimiento[[#This Row], 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ht="18.75" customHeight="1" x14ac:dyDescent="0.35">
      <c r="C1773" s="100" t="str">
        <f>IF(OR(Fact_Cumplimiento[[#This Row], [Año]]="",Fact_Cumplimiento[[#This Row], [Mes]]=""),"",DATE(A1773,MATCH(B1773,{"enero","febrero","marzo","abril","mayo","junio","julio","agosto","septiembre","octubre","noviembre","diciembre"},0)+1,0))</f>
        <v/>
      </c>
      <c r="E1773" t="str">
        <f>+IFERROR(VLOOKUP(Fact_Cumplimiento[[#This Row], [Concepto Anterior]],Conceptos_Cumplimiento[#All],5,0),"")</f>
        <v/>
      </c>
      <c r="F1773" t="str">
        <f>+IFERROR(VLOOKUP(Fact_Cumplimiento[[#This Row], 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ht="18.75" customHeight="1" x14ac:dyDescent="0.35">
      <c r="C1774" s="100" t="str">
        <f>IF(OR(Fact_Cumplimiento[[#This Row], [Año]]="",Fact_Cumplimiento[[#This Row], [Mes]]=""),"",DATE(A1774,MATCH(B1774,{"enero","febrero","marzo","abril","mayo","junio","julio","agosto","septiembre","octubre","noviembre","diciembre"},0)+1,0))</f>
        <v/>
      </c>
      <c r="E1774" t="str">
        <f>+IFERROR(VLOOKUP(Fact_Cumplimiento[[#This Row], [Concepto Anterior]],Conceptos_Cumplimiento[#All],5,0),"")</f>
        <v/>
      </c>
      <c r="F1774" t="str">
        <f>+IFERROR(VLOOKUP(Fact_Cumplimiento[[#This Row], 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ht="18.75" customHeight="1" x14ac:dyDescent="0.35">
      <c r="C1775" s="100" t="str">
        <f>IF(OR(Fact_Cumplimiento[[#This Row], [Año]]="",Fact_Cumplimiento[[#This Row], [Mes]]=""),"",DATE(A1775,MATCH(B1775,{"enero","febrero","marzo","abril","mayo","junio","julio","agosto","septiembre","octubre","noviembre","diciembre"},0)+1,0))</f>
        <v/>
      </c>
      <c r="E1775" t="str">
        <f>+IFERROR(VLOOKUP(Fact_Cumplimiento[[#This Row], [Concepto Anterior]],Conceptos_Cumplimiento[#All],5,0),"")</f>
        <v/>
      </c>
      <c r="F1775" t="str">
        <f>+IFERROR(VLOOKUP(Fact_Cumplimiento[[#This Row], 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ht="18.75" customHeight="1" x14ac:dyDescent="0.35">
      <c r="C1776" s="100" t="str">
        <f>IF(OR(Fact_Cumplimiento[[#This Row], [Año]]="",Fact_Cumplimiento[[#This Row], [Mes]]=""),"",DATE(A1776,MATCH(B1776,{"enero","febrero","marzo","abril","mayo","junio","julio","agosto","septiembre","octubre","noviembre","diciembre"},0)+1,0))</f>
        <v/>
      </c>
      <c r="E1776" t="str">
        <f>+IFERROR(VLOOKUP(Fact_Cumplimiento[[#This Row], [Concepto Anterior]],Conceptos_Cumplimiento[#All],5,0),"")</f>
        <v/>
      </c>
      <c r="F1776" t="str">
        <f>+IFERROR(VLOOKUP(Fact_Cumplimiento[[#This Row], 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ht="18.75" customHeight="1" x14ac:dyDescent="0.35">
      <c r="C1777" s="100" t="str">
        <f>IF(OR(Fact_Cumplimiento[[#This Row], [Año]]="",Fact_Cumplimiento[[#This Row], [Mes]]=""),"",DATE(A1777,MATCH(B1777,{"enero","febrero","marzo","abril","mayo","junio","julio","agosto","septiembre","octubre","noviembre","diciembre"},0)+1,0))</f>
        <v/>
      </c>
      <c r="E1777" t="str">
        <f>+IFERROR(VLOOKUP(Fact_Cumplimiento[[#This Row], [Concepto Anterior]],Conceptos_Cumplimiento[#All],5,0),"")</f>
        <v/>
      </c>
      <c r="F1777" t="str">
        <f>+IFERROR(VLOOKUP(Fact_Cumplimiento[[#This Row], 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ht="18.75" customHeight="1" x14ac:dyDescent="0.35">
      <c r="C1778" s="100" t="str">
        <f>IF(OR(Fact_Cumplimiento[[#This Row], [Año]]="",Fact_Cumplimiento[[#This Row], [Mes]]=""),"",DATE(A1778,MATCH(B1778,{"enero","febrero","marzo","abril","mayo","junio","julio","agosto","septiembre","octubre","noviembre","diciembre"},0)+1,0))</f>
        <v/>
      </c>
      <c r="E1778" t="str">
        <f>+IFERROR(VLOOKUP(Fact_Cumplimiento[[#This Row], [Concepto Anterior]],Conceptos_Cumplimiento[#All],5,0),"")</f>
        <v/>
      </c>
      <c r="F1778" t="str">
        <f>+IFERROR(VLOOKUP(Fact_Cumplimiento[[#This Row], 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ht="18.75" customHeight="1" x14ac:dyDescent="0.35">
      <c r="C1779" s="100" t="str">
        <f>IF(OR(Fact_Cumplimiento[[#This Row], [Año]]="",Fact_Cumplimiento[[#This Row], [Mes]]=""),"",DATE(A1779,MATCH(B1779,{"enero","febrero","marzo","abril","mayo","junio","julio","agosto","septiembre","octubre","noviembre","diciembre"},0)+1,0))</f>
        <v/>
      </c>
      <c r="E1779" t="str">
        <f>+IFERROR(VLOOKUP(Fact_Cumplimiento[[#This Row], [Concepto Anterior]],Conceptos_Cumplimiento[#All],5,0),"")</f>
        <v/>
      </c>
      <c r="F1779" t="str">
        <f>+IFERROR(VLOOKUP(Fact_Cumplimiento[[#This Row], 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ht="18.75" customHeight="1" x14ac:dyDescent="0.35">
      <c r="C1780" s="100" t="str">
        <f>IF(OR(Fact_Cumplimiento[[#This Row], [Año]]="",Fact_Cumplimiento[[#This Row], [Mes]]=""),"",DATE(A1780,MATCH(B1780,{"enero","febrero","marzo","abril","mayo","junio","julio","agosto","septiembre","octubre","noviembre","diciembre"},0)+1,0))</f>
        <v/>
      </c>
      <c r="E1780" t="str">
        <f>+IFERROR(VLOOKUP(Fact_Cumplimiento[[#This Row], [Concepto Anterior]],Conceptos_Cumplimiento[#All],5,0),"")</f>
        <v/>
      </c>
      <c r="F1780" t="str">
        <f>+IFERROR(VLOOKUP(Fact_Cumplimiento[[#This Row], 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ht="18.75" customHeight="1" x14ac:dyDescent="0.35">
      <c r="C1781" s="100" t="str">
        <f>IF(OR(Fact_Cumplimiento[[#This Row], [Año]]="",Fact_Cumplimiento[[#This Row], [Mes]]=""),"",DATE(A1781,MATCH(B1781,{"enero","febrero","marzo","abril","mayo","junio","julio","agosto","septiembre","octubre","noviembre","diciembre"},0)+1,0))</f>
        <v/>
      </c>
      <c r="E1781" t="str">
        <f>+IFERROR(VLOOKUP(Fact_Cumplimiento[[#This Row], [Concepto Anterior]],Conceptos_Cumplimiento[#All],5,0),"")</f>
        <v/>
      </c>
      <c r="F1781" t="str">
        <f>+IFERROR(VLOOKUP(Fact_Cumplimiento[[#This Row], 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ht="18.75" customHeight="1" x14ac:dyDescent="0.35">
      <c r="C1782" s="100" t="str">
        <f>IF(OR(Fact_Cumplimiento[[#This Row], [Año]]="",Fact_Cumplimiento[[#This Row], [Mes]]=""),"",DATE(A1782,MATCH(B1782,{"enero","febrero","marzo","abril","mayo","junio","julio","agosto","septiembre","octubre","noviembre","diciembre"},0)+1,0))</f>
        <v/>
      </c>
      <c r="E1782" t="str">
        <f>+IFERROR(VLOOKUP(Fact_Cumplimiento[[#This Row], [Concepto Anterior]],Conceptos_Cumplimiento[#All],5,0),"")</f>
        <v/>
      </c>
      <c r="F1782" t="str">
        <f>+IFERROR(VLOOKUP(Fact_Cumplimiento[[#This Row], 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ht="18.75" customHeight="1" x14ac:dyDescent="0.35">
      <c r="C1783" s="100" t="str">
        <f>IF(OR(Fact_Cumplimiento[[#This Row], [Año]]="",Fact_Cumplimiento[[#This Row], [Mes]]=""),"",DATE(A1783,MATCH(B1783,{"enero","febrero","marzo","abril","mayo","junio","julio","agosto","septiembre","octubre","noviembre","diciembre"},0)+1,0))</f>
        <v/>
      </c>
      <c r="E1783" t="str">
        <f>+IFERROR(VLOOKUP(Fact_Cumplimiento[[#This Row], [Concepto Anterior]],Conceptos_Cumplimiento[#All],5,0),"")</f>
        <v/>
      </c>
      <c r="F1783" t="str">
        <f>+IFERROR(VLOOKUP(Fact_Cumplimiento[[#This Row], 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ht="18.75" customHeight="1" x14ac:dyDescent="0.35">
      <c r="C1784" s="100" t="str">
        <f>IF(OR(Fact_Cumplimiento[[#This Row], [Año]]="",Fact_Cumplimiento[[#This Row], [Mes]]=""),"",DATE(A1784,MATCH(B1784,{"enero","febrero","marzo","abril","mayo","junio","julio","agosto","septiembre","octubre","noviembre","diciembre"},0)+1,0))</f>
        <v/>
      </c>
      <c r="E1784" t="str">
        <f>+IFERROR(VLOOKUP(Fact_Cumplimiento[[#This Row], [Concepto Anterior]],Conceptos_Cumplimiento[#All],5,0),"")</f>
        <v/>
      </c>
      <c r="F1784" t="str">
        <f>+IFERROR(VLOOKUP(Fact_Cumplimiento[[#This Row], 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ht="18.75" customHeight="1" x14ac:dyDescent="0.35">
      <c r="C1785" s="100" t="str">
        <f>IF(OR(Fact_Cumplimiento[[#This Row], [Año]]="",Fact_Cumplimiento[[#This Row], [Mes]]=""),"",DATE(A1785,MATCH(B1785,{"enero","febrero","marzo","abril","mayo","junio","julio","agosto","septiembre","octubre","noviembre","diciembre"},0)+1,0))</f>
        <v/>
      </c>
      <c r="E1785" t="str">
        <f>+IFERROR(VLOOKUP(Fact_Cumplimiento[[#This Row], [Concepto Anterior]],Conceptos_Cumplimiento[#All],5,0),"")</f>
        <v/>
      </c>
      <c r="F1785" t="str">
        <f>+IFERROR(VLOOKUP(Fact_Cumplimiento[[#This Row], 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ht="18.75" customHeight="1" x14ac:dyDescent="0.35">
      <c r="C1786" s="100" t="str">
        <f>IF(OR(Fact_Cumplimiento[[#This Row], [Año]]="",Fact_Cumplimiento[[#This Row], [Mes]]=""),"",DATE(A1786,MATCH(B1786,{"enero","febrero","marzo","abril","mayo","junio","julio","agosto","septiembre","octubre","noviembre","diciembre"},0)+1,0))</f>
        <v/>
      </c>
      <c r="E1786" t="str">
        <f>+IFERROR(VLOOKUP(Fact_Cumplimiento[[#This Row], [Concepto Anterior]],Conceptos_Cumplimiento[#All],5,0),"")</f>
        <v/>
      </c>
      <c r="F1786" t="str">
        <f>+IFERROR(VLOOKUP(Fact_Cumplimiento[[#This Row], 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ht="18.75" customHeight="1" x14ac:dyDescent="0.35">
      <c r="C1787" s="100" t="str">
        <f>IF(OR(Fact_Cumplimiento[[#This Row], [Año]]="",Fact_Cumplimiento[[#This Row], [Mes]]=""),"",DATE(A1787,MATCH(B1787,{"enero","febrero","marzo","abril","mayo","junio","julio","agosto","septiembre","octubre","noviembre","diciembre"},0)+1,0))</f>
        <v/>
      </c>
      <c r="E1787" t="str">
        <f>+IFERROR(VLOOKUP(Fact_Cumplimiento[[#This Row], [Concepto Anterior]],Conceptos_Cumplimiento[#All],5,0),"")</f>
        <v/>
      </c>
      <c r="F1787" t="str">
        <f>+IFERROR(VLOOKUP(Fact_Cumplimiento[[#This Row], 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ht="18.75" customHeight="1" x14ac:dyDescent="0.35">
      <c r="C1788" s="100" t="str">
        <f>IF(OR(Fact_Cumplimiento[[#This Row], [Año]]="",Fact_Cumplimiento[[#This Row], [Mes]]=""),"",DATE(A1788,MATCH(B1788,{"enero","febrero","marzo","abril","mayo","junio","julio","agosto","septiembre","octubre","noviembre","diciembre"},0)+1,0))</f>
        <v/>
      </c>
      <c r="E1788" t="str">
        <f>+IFERROR(VLOOKUP(Fact_Cumplimiento[[#This Row], [Concepto Anterior]],Conceptos_Cumplimiento[#All],5,0),"")</f>
        <v/>
      </c>
      <c r="F1788" t="str">
        <f>+IFERROR(VLOOKUP(Fact_Cumplimiento[[#This Row], 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ht="18.75" customHeight="1" x14ac:dyDescent="0.35">
      <c r="C1789" s="100" t="str">
        <f>IF(OR(Fact_Cumplimiento[[#This Row], [Año]]="",Fact_Cumplimiento[[#This Row], [Mes]]=""),"",DATE(A1789,MATCH(B1789,{"enero","febrero","marzo","abril","mayo","junio","julio","agosto","septiembre","octubre","noviembre","diciembre"},0)+1,0))</f>
        <v/>
      </c>
      <c r="E1789" t="str">
        <f>+IFERROR(VLOOKUP(Fact_Cumplimiento[[#This Row], [Concepto Anterior]],Conceptos_Cumplimiento[#All],5,0),"")</f>
        <v/>
      </c>
      <c r="F1789" t="str">
        <f>+IFERROR(VLOOKUP(Fact_Cumplimiento[[#This Row], 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ht="18.75" customHeight="1" x14ac:dyDescent="0.35">
      <c r="C1790" s="100" t="str">
        <f>IF(OR(Fact_Cumplimiento[[#This Row], [Año]]="",Fact_Cumplimiento[[#This Row], [Mes]]=""),"",DATE(A1790,MATCH(B1790,{"enero","febrero","marzo","abril","mayo","junio","julio","agosto","septiembre","octubre","noviembre","diciembre"},0)+1,0))</f>
        <v/>
      </c>
      <c r="E1790" t="str">
        <f>+IFERROR(VLOOKUP(Fact_Cumplimiento[[#This Row], [Concepto Anterior]],Conceptos_Cumplimiento[#All],5,0),"")</f>
        <v/>
      </c>
      <c r="F1790" t="str">
        <f>+IFERROR(VLOOKUP(Fact_Cumplimiento[[#This Row], 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ht="18.75" customHeight="1" x14ac:dyDescent="0.35">
      <c r="C1791" s="100" t="str">
        <f>IF(OR(Fact_Cumplimiento[[#This Row], [Año]]="",Fact_Cumplimiento[[#This Row], [Mes]]=""),"",DATE(A1791,MATCH(B1791,{"enero","febrero","marzo","abril","mayo","junio","julio","agosto","septiembre","octubre","noviembre","diciembre"},0)+1,0))</f>
        <v/>
      </c>
      <c r="E1791" t="str">
        <f>+IFERROR(VLOOKUP(Fact_Cumplimiento[[#This Row], [Concepto Anterior]],Conceptos_Cumplimiento[#All],5,0),"")</f>
        <v/>
      </c>
      <c r="F1791" t="str">
        <f>+IFERROR(VLOOKUP(Fact_Cumplimiento[[#This Row], 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ht="18.75" customHeight="1" x14ac:dyDescent="0.35">
      <c r="C1792" s="100" t="str">
        <f>IF(OR(Fact_Cumplimiento[[#This Row], [Año]]="",Fact_Cumplimiento[[#This Row], [Mes]]=""),"",DATE(A1792,MATCH(B1792,{"enero","febrero","marzo","abril","mayo","junio","julio","agosto","septiembre","octubre","noviembre","diciembre"},0)+1,0))</f>
        <v/>
      </c>
      <c r="E1792" t="str">
        <f>+IFERROR(VLOOKUP(Fact_Cumplimiento[[#This Row], [Concepto Anterior]],Conceptos_Cumplimiento[#All],5,0),"")</f>
        <v/>
      </c>
      <c r="F1792" t="str">
        <f>+IFERROR(VLOOKUP(Fact_Cumplimiento[[#This Row], 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ht="18.75" customHeight="1" x14ac:dyDescent="0.35">
      <c r="C1793" s="100" t="str">
        <f>IF(OR(Fact_Cumplimiento[[#This Row], [Año]]="",Fact_Cumplimiento[[#This Row], [Mes]]=""),"",DATE(A1793,MATCH(B1793,{"enero","febrero","marzo","abril","mayo","junio","julio","agosto","septiembre","octubre","noviembre","diciembre"},0)+1,0))</f>
        <v/>
      </c>
      <c r="E1793" t="str">
        <f>+IFERROR(VLOOKUP(Fact_Cumplimiento[[#This Row], [Concepto Anterior]],Conceptos_Cumplimiento[#All],5,0),"")</f>
        <v/>
      </c>
      <c r="F1793" t="str">
        <f>+IFERROR(VLOOKUP(Fact_Cumplimiento[[#This Row], 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ht="18.75" customHeight="1" x14ac:dyDescent="0.35">
      <c r="C1794" s="100" t="str">
        <f>IF(OR(Fact_Cumplimiento[[#This Row], [Año]]="",Fact_Cumplimiento[[#This Row], [Mes]]=""),"",DATE(A1794,MATCH(B1794,{"enero","febrero","marzo","abril","mayo","junio","julio","agosto","septiembre","octubre","noviembre","diciembre"},0)+1,0))</f>
        <v/>
      </c>
      <c r="E1794" t="str">
        <f>+IFERROR(VLOOKUP(Fact_Cumplimiento[[#This Row], [Concepto Anterior]],Conceptos_Cumplimiento[#All],5,0),"")</f>
        <v/>
      </c>
      <c r="F1794" t="str">
        <f>+IFERROR(VLOOKUP(Fact_Cumplimiento[[#This Row], 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ht="18.75" customHeight="1" x14ac:dyDescent="0.35">
      <c r="C1795" s="100" t="str">
        <f>IF(OR(Fact_Cumplimiento[[#This Row], [Año]]="",Fact_Cumplimiento[[#This Row], [Mes]]=""),"",DATE(A1795,MATCH(B1795,{"enero","febrero","marzo","abril","mayo","junio","julio","agosto","septiembre","octubre","noviembre","diciembre"},0)+1,0))</f>
        <v/>
      </c>
      <c r="E1795" t="str">
        <f>+IFERROR(VLOOKUP(Fact_Cumplimiento[[#This Row], [Concepto Anterior]],Conceptos_Cumplimiento[#All],5,0),"")</f>
        <v/>
      </c>
      <c r="F1795" t="str">
        <f>+IFERROR(VLOOKUP(Fact_Cumplimiento[[#This Row], 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ht="18.75" customHeight="1" x14ac:dyDescent="0.35">
      <c r="C1796" s="100" t="str">
        <f>IF(OR(Fact_Cumplimiento[[#This Row], [Año]]="",Fact_Cumplimiento[[#This Row], [Mes]]=""),"",DATE(A1796,MATCH(B1796,{"enero","febrero","marzo","abril","mayo","junio","julio","agosto","septiembre","octubre","noviembre","diciembre"},0)+1,0))</f>
        <v/>
      </c>
      <c r="E1796" t="str">
        <f>+IFERROR(VLOOKUP(Fact_Cumplimiento[[#This Row], [Concepto Anterior]],Conceptos_Cumplimiento[#All],5,0),"")</f>
        <v/>
      </c>
      <c r="F1796" t="str">
        <f>+IFERROR(VLOOKUP(Fact_Cumplimiento[[#This Row], 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ht="18.75" customHeight="1" x14ac:dyDescent="0.35">
      <c r="C1797" s="100" t="str">
        <f>IF(OR(Fact_Cumplimiento[[#This Row], [Año]]="",Fact_Cumplimiento[[#This Row], [Mes]]=""),"",DATE(A1797,MATCH(B1797,{"enero","febrero","marzo","abril","mayo","junio","julio","agosto","septiembre","octubre","noviembre","diciembre"},0)+1,0))</f>
        <v/>
      </c>
      <c r="E1797" t="str">
        <f>+IFERROR(VLOOKUP(Fact_Cumplimiento[[#This Row], [Concepto Anterior]],Conceptos_Cumplimiento[#All],5,0),"")</f>
        <v/>
      </c>
      <c r="F1797" t="str">
        <f>+IFERROR(VLOOKUP(Fact_Cumplimiento[[#This Row], 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ht="18.75" customHeight="1" x14ac:dyDescent="0.35">
      <c r="C1798" s="100" t="str">
        <f>IF(OR(Fact_Cumplimiento[[#This Row], [Año]]="",Fact_Cumplimiento[[#This Row], [Mes]]=""),"",DATE(A1798,MATCH(B1798,{"enero","febrero","marzo","abril","mayo","junio","julio","agosto","septiembre","octubre","noviembre","diciembre"},0)+1,0))</f>
        <v/>
      </c>
      <c r="E1798" t="str">
        <f>+IFERROR(VLOOKUP(Fact_Cumplimiento[[#This Row], [Concepto Anterior]],Conceptos_Cumplimiento[#All],5,0),"")</f>
        <v/>
      </c>
      <c r="F1798" t="str">
        <f>+IFERROR(VLOOKUP(Fact_Cumplimiento[[#This Row], 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ht="18.75" customHeight="1" x14ac:dyDescent="0.35">
      <c r="C1799" s="100" t="str">
        <f>IF(OR(Fact_Cumplimiento[[#This Row], [Año]]="",Fact_Cumplimiento[[#This Row], [Mes]]=""),"",DATE(A1799,MATCH(B1799,{"enero","febrero","marzo","abril","mayo","junio","julio","agosto","septiembre","octubre","noviembre","diciembre"},0)+1,0))</f>
        <v/>
      </c>
      <c r="E1799" t="str">
        <f>+IFERROR(VLOOKUP(Fact_Cumplimiento[[#This Row], [Concepto Anterior]],Conceptos_Cumplimiento[#All],5,0),"")</f>
        <v/>
      </c>
      <c r="F1799" t="str">
        <f>+IFERROR(VLOOKUP(Fact_Cumplimiento[[#This Row], 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ht="18.75" customHeight="1" x14ac:dyDescent="0.35">
      <c r="C1800" s="100" t="str">
        <f>IF(OR(Fact_Cumplimiento[[#This Row], [Año]]="",Fact_Cumplimiento[[#This Row], [Mes]]=""),"",DATE(A1800,MATCH(B1800,{"enero","febrero","marzo","abril","mayo","junio","julio","agosto","septiembre","octubre","noviembre","diciembre"},0)+1,0))</f>
        <v/>
      </c>
      <c r="E1800" t="str">
        <f>+IFERROR(VLOOKUP(Fact_Cumplimiento[[#This Row], [Concepto Anterior]],Conceptos_Cumplimiento[#All],5,0),"")</f>
        <v/>
      </c>
      <c r="F1800" t="str">
        <f>+IFERROR(VLOOKUP(Fact_Cumplimiento[[#This Row], 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ht="18.75" customHeight="1" x14ac:dyDescent="0.35">
      <c r="C1801" s="100" t="str">
        <f>IF(OR(Fact_Cumplimiento[[#This Row], [Año]]="",Fact_Cumplimiento[[#This Row], [Mes]]=""),"",DATE(A1801,MATCH(B1801,{"enero","febrero","marzo","abril","mayo","junio","julio","agosto","septiembre","octubre","noviembre","diciembre"},0)+1,0))</f>
        <v/>
      </c>
      <c r="E1801" t="str">
        <f>+IFERROR(VLOOKUP(Fact_Cumplimiento[[#This Row], [Concepto Anterior]],Conceptos_Cumplimiento[#All],5,0),"")</f>
        <v/>
      </c>
      <c r="F1801" t="str">
        <f>+IFERROR(VLOOKUP(Fact_Cumplimiento[[#This Row], 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ht="18.75" customHeight="1" x14ac:dyDescent="0.35">
      <c r="C1802" s="100" t="str">
        <f>IF(OR(Fact_Cumplimiento[[#This Row], [Año]]="",Fact_Cumplimiento[[#This Row], [Mes]]=""),"",DATE(A1802,MATCH(B1802,{"enero","febrero","marzo","abril","mayo","junio","julio","agosto","septiembre","octubre","noviembre","diciembre"},0)+1,0))</f>
        <v/>
      </c>
      <c r="E1802" t="str">
        <f>+IFERROR(VLOOKUP(Fact_Cumplimiento[[#This Row], [Concepto Anterior]],Conceptos_Cumplimiento[#All],5,0),"")</f>
        <v/>
      </c>
      <c r="F1802" t="str">
        <f>+IFERROR(VLOOKUP(Fact_Cumplimiento[[#This Row], 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ht="18.75" customHeight="1" x14ac:dyDescent="0.35">
      <c r="C1803" s="100" t="str">
        <f>IF(OR(Fact_Cumplimiento[[#This Row], [Año]]="",Fact_Cumplimiento[[#This Row], [Mes]]=""),"",DATE(A1803,MATCH(B1803,{"enero","febrero","marzo","abril","mayo","junio","julio","agosto","septiembre","octubre","noviembre","diciembre"},0)+1,0))</f>
        <v/>
      </c>
      <c r="E1803" t="str">
        <f>+IFERROR(VLOOKUP(Fact_Cumplimiento[[#This Row], [Concepto Anterior]],Conceptos_Cumplimiento[#All],5,0),"")</f>
        <v/>
      </c>
      <c r="F1803" t="str">
        <f>+IFERROR(VLOOKUP(Fact_Cumplimiento[[#This Row], 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ht="18.75" customHeight="1" x14ac:dyDescent="0.35">
      <c r="C1804" s="100" t="str">
        <f>IF(OR(Fact_Cumplimiento[[#This Row], [Año]]="",Fact_Cumplimiento[[#This Row], [Mes]]=""),"",DATE(A1804,MATCH(B1804,{"enero","febrero","marzo","abril","mayo","junio","julio","agosto","septiembre","octubre","noviembre","diciembre"},0)+1,0))</f>
        <v/>
      </c>
      <c r="E1804" t="str">
        <f>+IFERROR(VLOOKUP(Fact_Cumplimiento[[#This Row], [Concepto Anterior]],Conceptos_Cumplimiento[#All],5,0),"")</f>
        <v/>
      </c>
      <c r="F1804" t="str">
        <f>+IFERROR(VLOOKUP(Fact_Cumplimiento[[#This Row], 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ht="18.75" customHeight="1" x14ac:dyDescent="0.35">
      <c r="C1805" s="100" t="str">
        <f>IF(OR(Fact_Cumplimiento[[#This Row], [Año]]="",Fact_Cumplimiento[[#This Row], [Mes]]=""),"",DATE(A1805,MATCH(B1805,{"enero","febrero","marzo","abril","mayo","junio","julio","agosto","septiembre","octubre","noviembre","diciembre"},0)+1,0))</f>
        <v/>
      </c>
      <c r="E1805" t="str">
        <f>+IFERROR(VLOOKUP(Fact_Cumplimiento[[#This Row], [Concepto Anterior]],Conceptos_Cumplimiento[#All],5,0),"")</f>
        <v/>
      </c>
      <c r="F1805" t="str">
        <f>+IFERROR(VLOOKUP(Fact_Cumplimiento[[#This Row], 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ht="18.75" customHeight="1" x14ac:dyDescent="0.35">
      <c r="C1806" s="100" t="str">
        <f>IF(OR(Fact_Cumplimiento[[#This Row], [Año]]="",Fact_Cumplimiento[[#This Row], [Mes]]=""),"",DATE(A1806,MATCH(B1806,{"enero","febrero","marzo","abril","mayo","junio","julio","agosto","septiembre","octubre","noviembre","diciembre"},0)+1,0))</f>
        <v/>
      </c>
      <c r="E1806" t="str">
        <f>+IFERROR(VLOOKUP(Fact_Cumplimiento[[#This Row], [Concepto Anterior]],Conceptos_Cumplimiento[#All],5,0),"")</f>
        <v/>
      </c>
      <c r="F1806" t="str">
        <f>+IFERROR(VLOOKUP(Fact_Cumplimiento[[#This Row], 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ht="18.75" customHeight="1" x14ac:dyDescent="0.35">
      <c r="C1807" s="100" t="str">
        <f>IF(OR(Fact_Cumplimiento[[#This Row], [Año]]="",Fact_Cumplimiento[[#This Row], [Mes]]=""),"",DATE(A1807,MATCH(B1807,{"enero","febrero","marzo","abril","mayo","junio","julio","agosto","septiembre","octubre","noviembre","diciembre"},0)+1,0))</f>
        <v/>
      </c>
      <c r="E1807" t="str">
        <f>+IFERROR(VLOOKUP(Fact_Cumplimiento[[#This Row], [Concepto Anterior]],Conceptos_Cumplimiento[#All],5,0),"")</f>
        <v/>
      </c>
      <c r="F1807" t="str">
        <f>+IFERROR(VLOOKUP(Fact_Cumplimiento[[#This Row], 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ht="18.75" customHeight="1" x14ac:dyDescent="0.35">
      <c r="C1808" s="100" t="str">
        <f>IF(OR(Fact_Cumplimiento[[#This Row], [Año]]="",Fact_Cumplimiento[[#This Row], [Mes]]=""),"",DATE(A1808,MATCH(B1808,{"enero","febrero","marzo","abril","mayo","junio","julio","agosto","septiembre","octubre","noviembre","diciembre"},0)+1,0))</f>
        <v/>
      </c>
      <c r="E1808" t="str">
        <f>+IFERROR(VLOOKUP(Fact_Cumplimiento[[#This Row], [Concepto Anterior]],Conceptos_Cumplimiento[#All],5,0),"")</f>
        <v/>
      </c>
      <c r="F1808" t="str">
        <f>+IFERROR(VLOOKUP(Fact_Cumplimiento[[#This Row], 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ht="18.75" customHeight="1" x14ac:dyDescent="0.35">
      <c r="C1809" s="100" t="str">
        <f>IF(OR(Fact_Cumplimiento[[#This Row], [Año]]="",Fact_Cumplimiento[[#This Row], [Mes]]=""),"",DATE(A1809,MATCH(B1809,{"enero","febrero","marzo","abril","mayo","junio","julio","agosto","septiembre","octubre","noviembre","diciembre"},0)+1,0))</f>
        <v/>
      </c>
      <c r="E1809" t="str">
        <f>+IFERROR(VLOOKUP(Fact_Cumplimiento[[#This Row], [Concepto Anterior]],Conceptos_Cumplimiento[#All],5,0),"")</f>
        <v/>
      </c>
      <c r="F1809" t="str">
        <f>+IFERROR(VLOOKUP(Fact_Cumplimiento[[#This Row], 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ht="18.75" customHeight="1" x14ac:dyDescent="0.35">
      <c r="C1810" s="100" t="str">
        <f>IF(OR(Fact_Cumplimiento[[#This Row], [Año]]="",Fact_Cumplimiento[[#This Row], [Mes]]=""),"",DATE(A1810,MATCH(B1810,{"enero","febrero","marzo","abril","mayo","junio","julio","agosto","septiembre","octubre","noviembre","diciembre"},0)+1,0))</f>
        <v/>
      </c>
      <c r="E1810" t="str">
        <f>+IFERROR(VLOOKUP(Fact_Cumplimiento[[#This Row], [Concepto Anterior]],Conceptos_Cumplimiento[#All],5,0),"")</f>
        <v/>
      </c>
      <c r="F1810" t="str">
        <f>+IFERROR(VLOOKUP(Fact_Cumplimiento[[#This Row], 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ht="18.75" customHeight="1" x14ac:dyDescent="0.35">
      <c r="C1811" s="100" t="str">
        <f>IF(OR(Fact_Cumplimiento[[#This Row], [Año]]="",Fact_Cumplimiento[[#This Row], [Mes]]=""),"",DATE(A1811,MATCH(B1811,{"enero","febrero","marzo","abril","mayo","junio","julio","agosto","septiembre","octubre","noviembre","diciembre"},0)+1,0))</f>
        <v/>
      </c>
      <c r="E1811" t="str">
        <f>+IFERROR(VLOOKUP(Fact_Cumplimiento[[#This Row], [Concepto Anterior]],Conceptos_Cumplimiento[#All],5,0),"")</f>
        <v/>
      </c>
      <c r="F1811" t="str">
        <f>+IFERROR(VLOOKUP(Fact_Cumplimiento[[#This Row], 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ht="18.75" customHeight="1" x14ac:dyDescent="0.35">
      <c r="C1812" s="100" t="str">
        <f>IF(OR(Fact_Cumplimiento[[#This Row], [Año]]="",Fact_Cumplimiento[[#This Row], [Mes]]=""),"",DATE(A1812,MATCH(B1812,{"enero","febrero","marzo","abril","mayo","junio","julio","agosto","septiembre","octubre","noviembre","diciembre"},0)+1,0))</f>
        <v/>
      </c>
      <c r="E1812" t="str">
        <f>+IFERROR(VLOOKUP(Fact_Cumplimiento[[#This Row], [Concepto Anterior]],Conceptos_Cumplimiento[#All],5,0),"")</f>
        <v/>
      </c>
      <c r="F1812" t="str">
        <f>+IFERROR(VLOOKUP(Fact_Cumplimiento[[#This Row], 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ht="18.75" customHeight="1" x14ac:dyDescent="0.35">
      <c r="C1813" s="100" t="str">
        <f>IF(OR(Fact_Cumplimiento[[#This Row], [Año]]="",Fact_Cumplimiento[[#This Row], [Mes]]=""),"",DATE(A1813,MATCH(B1813,{"enero","febrero","marzo","abril","mayo","junio","julio","agosto","septiembre","octubre","noviembre","diciembre"},0)+1,0))</f>
        <v/>
      </c>
      <c r="E1813" t="str">
        <f>+IFERROR(VLOOKUP(Fact_Cumplimiento[[#This Row], [Concepto Anterior]],Conceptos_Cumplimiento[#All],5,0),"")</f>
        <v/>
      </c>
      <c r="F1813" t="str">
        <f>+IFERROR(VLOOKUP(Fact_Cumplimiento[[#This Row], 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ht="18.75" customHeight="1" x14ac:dyDescent="0.35">
      <c r="C1814" s="100" t="str">
        <f>IF(OR(Fact_Cumplimiento[[#This Row], [Año]]="",Fact_Cumplimiento[[#This Row], [Mes]]=""),"",DATE(A1814,MATCH(B1814,{"enero","febrero","marzo","abril","mayo","junio","julio","agosto","septiembre","octubre","noviembre","diciembre"},0)+1,0))</f>
        <v/>
      </c>
      <c r="E1814" t="str">
        <f>+IFERROR(VLOOKUP(Fact_Cumplimiento[[#This Row], [Concepto Anterior]],Conceptos_Cumplimiento[#All],5,0),"")</f>
        <v/>
      </c>
      <c r="F1814" t="str">
        <f>+IFERROR(VLOOKUP(Fact_Cumplimiento[[#This Row], 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ht="18.75" customHeight="1" x14ac:dyDescent="0.35">
      <c r="C1815" s="100" t="str">
        <f>IF(OR(Fact_Cumplimiento[[#This Row], [Año]]="",Fact_Cumplimiento[[#This Row], [Mes]]=""),"",DATE(A1815,MATCH(B1815,{"enero","febrero","marzo","abril","mayo","junio","julio","agosto","septiembre","octubre","noviembre","diciembre"},0)+1,0))</f>
        <v/>
      </c>
      <c r="E1815" t="str">
        <f>+IFERROR(VLOOKUP(Fact_Cumplimiento[[#This Row], [Concepto Anterior]],Conceptos_Cumplimiento[#All],5,0),"")</f>
        <v/>
      </c>
      <c r="F1815" t="str">
        <f>+IFERROR(VLOOKUP(Fact_Cumplimiento[[#This Row], 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ht="18.75" customHeight="1" x14ac:dyDescent="0.35">
      <c r="C1816" s="100" t="str">
        <f>IF(OR(Fact_Cumplimiento[[#This Row], [Año]]="",Fact_Cumplimiento[[#This Row], [Mes]]=""),"",DATE(A1816,MATCH(B1816,{"enero","febrero","marzo","abril","mayo","junio","julio","agosto","septiembre","octubre","noviembre","diciembre"},0)+1,0))</f>
        <v/>
      </c>
      <c r="E1816" t="str">
        <f>+IFERROR(VLOOKUP(Fact_Cumplimiento[[#This Row], [Concepto Anterior]],Conceptos_Cumplimiento[#All],5,0),"")</f>
        <v/>
      </c>
      <c r="F1816" t="str">
        <f>+IFERROR(VLOOKUP(Fact_Cumplimiento[[#This Row], 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ht="18.75" customHeight="1" x14ac:dyDescent="0.35">
      <c r="C1817" s="100" t="str">
        <f>IF(OR(Fact_Cumplimiento[[#This Row], [Año]]="",Fact_Cumplimiento[[#This Row], [Mes]]=""),"",DATE(A1817,MATCH(B1817,{"enero","febrero","marzo","abril","mayo","junio","julio","agosto","septiembre","octubre","noviembre","diciembre"},0)+1,0))</f>
        <v/>
      </c>
      <c r="E1817" t="str">
        <f>+IFERROR(VLOOKUP(Fact_Cumplimiento[[#This Row], [Concepto Anterior]],Conceptos_Cumplimiento[#All],5,0),"")</f>
        <v/>
      </c>
      <c r="F1817" t="str">
        <f>+IFERROR(VLOOKUP(Fact_Cumplimiento[[#This Row], 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ht="18.75" customHeight="1" x14ac:dyDescent="0.35">
      <c r="C1818" s="100" t="str">
        <f>IF(OR(Fact_Cumplimiento[[#This Row], [Año]]="",Fact_Cumplimiento[[#This Row], [Mes]]=""),"",DATE(A1818,MATCH(B1818,{"enero","febrero","marzo","abril","mayo","junio","julio","agosto","septiembre","octubre","noviembre","diciembre"},0)+1,0))</f>
        <v/>
      </c>
      <c r="E1818" t="str">
        <f>+IFERROR(VLOOKUP(Fact_Cumplimiento[[#This Row], [Concepto Anterior]],Conceptos_Cumplimiento[#All],5,0),"")</f>
        <v/>
      </c>
      <c r="F1818" t="str">
        <f>+IFERROR(VLOOKUP(Fact_Cumplimiento[[#This Row], 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ht="18.75" customHeight="1" x14ac:dyDescent="0.35">
      <c r="C1819" s="100" t="str">
        <f>IF(OR(Fact_Cumplimiento[[#This Row], [Año]]="",Fact_Cumplimiento[[#This Row], [Mes]]=""),"",DATE(A1819,MATCH(B1819,{"enero","febrero","marzo","abril","mayo","junio","julio","agosto","septiembre","octubre","noviembre","diciembre"},0)+1,0))</f>
        <v/>
      </c>
      <c r="E1819" t="str">
        <f>+IFERROR(VLOOKUP(Fact_Cumplimiento[[#This Row], [Concepto Anterior]],Conceptos_Cumplimiento[#All],5,0),"")</f>
        <v/>
      </c>
      <c r="F1819" t="str">
        <f>+IFERROR(VLOOKUP(Fact_Cumplimiento[[#This Row], 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ht="18.75" customHeight="1" x14ac:dyDescent="0.35">
      <c r="C1820" s="100" t="str">
        <f>IF(OR(Fact_Cumplimiento[[#This Row], [Año]]="",Fact_Cumplimiento[[#This Row], [Mes]]=""),"",DATE(A1820,MATCH(B1820,{"enero","febrero","marzo","abril","mayo","junio","julio","agosto","septiembre","octubre","noviembre","diciembre"},0)+1,0))</f>
        <v/>
      </c>
      <c r="E1820" t="str">
        <f>+IFERROR(VLOOKUP(Fact_Cumplimiento[[#This Row], [Concepto Anterior]],Conceptos_Cumplimiento[#All],5,0),"")</f>
        <v/>
      </c>
      <c r="F1820" t="str">
        <f>+IFERROR(VLOOKUP(Fact_Cumplimiento[[#This Row], 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ht="18.75" customHeight="1" x14ac:dyDescent="0.35">
      <c r="C1821" s="100" t="str">
        <f>IF(OR(Fact_Cumplimiento[[#This Row], [Año]]="",Fact_Cumplimiento[[#This Row], [Mes]]=""),"",DATE(A1821,MATCH(B1821,{"enero","febrero","marzo","abril","mayo","junio","julio","agosto","septiembre","octubre","noviembre","diciembre"},0)+1,0))</f>
        <v/>
      </c>
      <c r="E1821" t="str">
        <f>+IFERROR(VLOOKUP(Fact_Cumplimiento[[#This Row], [Concepto Anterior]],Conceptos_Cumplimiento[#All],5,0),"")</f>
        <v/>
      </c>
      <c r="F1821" t="str">
        <f>+IFERROR(VLOOKUP(Fact_Cumplimiento[[#This Row], 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ht="18.75" customHeight="1" x14ac:dyDescent="0.35">
      <c r="C1822" s="100" t="str">
        <f>IF(OR(Fact_Cumplimiento[[#This Row], [Año]]="",Fact_Cumplimiento[[#This Row], [Mes]]=""),"",DATE(A1822,MATCH(B1822,{"enero","febrero","marzo","abril","mayo","junio","julio","agosto","septiembre","octubre","noviembre","diciembre"},0)+1,0))</f>
        <v/>
      </c>
      <c r="E1822" t="str">
        <f>+IFERROR(VLOOKUP(Fact_Cumplimiento[[#This Row], [Concepto Anterior]],Conceptos_Cumplimiento[#All],5,0),"")</f>
        <v/>
      </c>
      <c r="F1822" t="str">
        <f>+IFERROR(VLOOKUP(Fact_Cumplimiento[[#This Row], 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ht="18.75" customHeight="1" x14ac:dyDescent="0.35">
      <c r="C1823" s="100" t="str">
        <f>IF(OR(Fact_Cumplimiento[[#This Row], [Año]]="",Fact_Cumplimiento[[#This Row], [Mes]]=""),"",DATE(A1823,MATCH(B1823,{"enero","febrero","marzo","abril","mayo","junio","julio","agosto","septiembre","octubre","noviembre","diciembre"},0)+1,0))</f>
        <v/>
      </c>
      <c r="E1823" t="str">
        <f>+IFERROR(VLOOKUP(Fact_Cumplimiento[[#This Row], [Concepto Anterior]],Conceptos_Cumplimiento[#All],5,0),"")</f>
        <v/>
      </c>
      <c r="F1823" t="str">
        <f>+IFERROR(VLOOKUP(Fact_Cumplimiento[[#This Row], 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ht="18.75" customHeight="1" x14ac:dyDescent="0.35">
      <c r="C1824" s="100" t="str">
        <f>IF(OR(Fact_Cumplimiento[[#This Row], [Año]]="",Fact_Cumplimiento[[#This Row], [Mes]]=""),"",DATE(A1824,MATCH(B1824,{"enero","febrero","marzo","abril","mayo","junio","julio","agosto","septiembre","octubre","noviembre","diciembre"},0)+1,0))</f>
        <v/>
      </c>
      <c r="E1824" t="str">
        <f>+IFERROR(VLOOKUP(Fact_Cumplimiento[[#This Row], [Concepto Anterior]],Conceptos_Cumplimiento[#All],5,0),"")</f>
        <v/>
      </c>
      <c r="F1824" t="str">
        <f>+IFERROR(VLOOKUP(Fact_Cumplimiento[[#This Row], 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ht="18.75" customHeight="1" x14ac:dyDescent="0.35">
      <c r="C1825" s="100" t="str">
        <f>IF(OR(Fact_Cumplimiento[[#This Row], [Año]]="",Fact_Cumplimiento[[#This Row], [Mes]]=""),"",DATE(A1825,MATCH(B1825,{"enero","febrero","marzo","abril","mayo","junio","julio","agosto","septiembre","octubre","noviembre","diciembre"},0)+1,0))</f>
        <v/>
      </c>
      <c r="E1825" t="str">
        <f>+IFERROR(VLOOKUP(Fact_Cumplimiento[[#This Row], [Concepto Anterior]],Conceptos_Cumplimiento[#All],5,0),"")</f>
        <v/>
      </c>
      <c r="F1825" t="str">
        <f>+IFERROR(VLOOKUP(Fact_Cumplimiento[[#This Row], 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ht="18.75" customHeight="1" x14ac:dyDescent="0.35">
      <c r="C1826" s="100" t="str">
        <f>IF(OR(Fact_Cumplimiento[[#This Row], [Año]]="",Fact_Cumplimiento[[#This Row], [Mes]]=""),"",DATE(A1826,MATCH(B1826,{"enero","febrero","marzo","abril","mayo","junio","julio","agosto","septiembre","octubre","noviembre","diciembre"},0)+1,0))</f>
        <v/>
      </c>
      <c r="E1826" t="str">
        <f>+IFERROR(VLOOKUP(Fact_Cumplimiento[[#This Row], [Concepto Anterior]],Conceptos_Cumplimiento[#All],5,0),"")</f>
        <v/>
      </c>
      <c r="F1826" t="str">
        <f>+IFERROR(VLOOKUP(Fact_Cumplimiento[[#This Row], 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ht="18.75" customHeight="1" x14ac:dyDescent="0.35">
      <c r="C1827" s="100" t="str">
        <f>IF(OR(Fact_Cumplimiento[[#This Row], [Año]]="",Fact_Cumplimiento[[#This Row], [Mes]]=""),"",DATE(A1827,MATCH(B1827,{"enero","febrero","marzo","abril","mayo","junio","julio","agosto","septiembre","octubre","noviembre","diciembre"},0)+1,0))</f>
        <v/>
      </c>
      <c r="E1827" t="str">
        <f>+IFERROR(VLOOKUP(Fact_Cumplimiento[[#This Row], [Concepto Anterior]],Conceptos_Cumplimiento[#All],5,0),"")</f>
        <v/>
      </c>
      <c r="F1827" t="str">
        <f>+IFERROR(VLOOKUP(Fact_Cumplimiento[[#This Row], 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ht="18.75" customHeight="1" x14ac:dyDescent="0.35">
      <c r="C1828" s="100" t="str">
        <f>IF(OR(Fact_Cumplimiento[[#This Row], [Año]]="",Fact_Cumplimiento[[#This Row], [Mes]]=""),"",DATE(A1828,MATCH(B1828,{"enero","febrero","marzo","abril","mayo","junio","julio","agosto","septiembre","octubre","noviembre","diciembre"},0)+1,0))</f>
        <v/>
      </c>
      <c r="E1828" t="str">
        <f>+IFERROR(VLOOKUP(Fact_Cumplimiento[[#This Row], [Concepto Anterior]],Conceptos_Cumplimiento[#All],5,0),"")</f>
        <v/>
      </c>
      <c r="F1828" t="str">
        <f>+IFERROR(VLOOKUP(Fact_Cumplimiento[[#This Row], 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ht="18.75" customHeight="1" x14ac:dyDescent="0.35">
      <c r="C1829" s="100" t="str">
        <f>IF(OR(Fact_Cumplimiento[[#This Row], [Año]]="",Fact_Cumplimiento[[#This Row], [Mes]]=""),"",DATE(A1829,MATCH(B1829,{"enero","febrero","marzo","abril","mayo","junio","julio","agosto","septiembre","octubre","noviembre","diciembre"},0)+1,0))</f>
        <v/>
      </c>
      <c r="E1829" t="str">
        <f>+IFERROR(VLOOKUP(Fact_Cumplimiento[[#This Row], [Concepto Anterior]],Conceptos_Cumplimiento[#All],5,0),"")</f>
        <v/>
      </c>
      <c r="F1829" t="str">
        <f>+IFERROR(VLOOKUP(Fact_Cumplimiento[[#This Row], 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ht="18.75" customHeight="1" x14ac:dyDescent="0.35">
      <c r="C1830" s="100" t="str">
        <f>IF(OR(Fact_Cumplimiento[[#This Row], [Año]]="",Fact_Cumplimiento[[#This Row], [Mes]]=""),"",DATE(A1830,MATCH(B1830,{"enero","febrero","marzo","abril","mayo","junio","julio","agosto","septiembre","octubre","noviembre","diciembre"},0)+1,0))</f>
        <v/>
      </c>
      <c r="E1830" t="str">
        <f>+IFERROR(VLOOKUP(Fact_Cumplimiento[[#This Row], [Concepto Anterior]],Conceptos_Cumplimiento[#All],5,0),"")</f>
        <v/>
      </c>
      <c r="F1830" t="str">
        <f>+IFERROR(VLOOKUP(Fact_Cumplimiento[[#This Row], 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ht="18.75" customHeight="1" x14ac:dyDescent="0.35">
      <c r="C1831" s="100" t="str">
        <f>IF(OR(Fact_Cumplimiento[[#This Row], [Año]]="",Fact_Cumplimiento[[#This Row], [Mes]]=""),"",DATE(A1831,MATCH(B1831,{"enero","febrero","marzo","abril","mayo","junio","julio","agosto","septiembre","octubre","noviembre","diciembre"},0)+1,0))</f>
        <v/>
      </c>
      <c r="E1831" t="str">
        <f>+IFERROR(VLOOKUP(Fact_Cumplimiento[[#This Row], [Concepto Anterior]],Conceptos_Cumplimiento[#All],5,0),"")</f>
        <v/>
      </c>
      <c r="F1831" t="str">
        <f>+IFERROR(VLOOKUP(Fact_Cumplimiento[[#This Row], 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ht="18.75" customHeight="1" x14ac:dyDescent="0.35">
      <c r="C1832" s="100" t="str">
        <f>IF(OR(Fact_Cumplimiento[[#This Row], [Año]]="",Fact_Cumplimiento[[#This Row], [Mes]]=""),"",DATE(A1832,MATCH(B1832,{"enero","febrero","marzo","abril","mayo","junio","julio","agosto","septiembre","octubre","noviembre","diciembre"},0)+1,0))</f>
        <v/>
      </c>
      <c r="E1832" t="str">
        <f>+IFERROR(VLOOKUP(Fact_Cumplimiento[[#This Row], [Concepto Anterior]],Conceptos_Cumplimiento[#All],5,0),"")</f>
        <v/>
      </c>
      <c r="F1832" t="str">
        <f>+IFERROR(VLOOKUP(Fact_Cumplimiento[[#This Row], 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ht="18.75" customHeight="1" x14ac:dyDescent="0.35">
      <c r="C1833" s="100" t="str">
        <f>IF(OR(Fact_Cumplimiento[[#This Row], [Año]]="",Fact_Cumplimiento[[#This Row], [Mes]]=""),"",DATE(A1833,MATCH(B1833,{"enero","febrero","marzo","abril","mayo","junio","julio","agosto","septiembre","octubre","noviembre","diciembre"},0)+1,0))</f>
        <v/>
      </c>
      <c r="E1833" t="str">
        <f>+IFERROR(VLOOKUP(Fact_Cumplimiento[[#This Row], [Concepto Anterior]],Conceptos_Cumplimiento[#All],5,0),"")</f>
        <v/>
      </c>
      <c r="F1833" t="str">
        <f>+IFERROR(VLOOKUP(Fact_Cumplimiento[[#This Row], 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ht="18.75" customHeight="1" x14ac:dyDescent="0.35">
      <c r="C1834" s="100" t="str">
        <f>IF(OR(Fact_Cumplimiento[[#This Row], [Año]]="",Fact_Cumplimiento[[#This Row], [Mes]]=""),"",DATE(A1834,MATCH(B1834,{"enero","febrero","marzo","abril","mayo","junio","julio","agosto","septiembre","octubre","noviembre","diciembre"},0)+1,0))</f>
        <v/>
      </c>
      <c r="E1834" t="str">
        <f>+IFERROR(VLOOKUP(Fact_Cumplimiento[[#This Row], [Concepto Anterior]],Conceptos_Cumplimiento[#All],5,0),"")</f>
        <v/>
      </c>
      <c r="F1834" t="str">
        <f>+IFERROR(VLOOKUP(Fact_Cumplimiento[[#This Row], 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ht="18.75" customHeight="1" x14ac:dyDescent="0.35">
      <c r="C1835" s="100" t="str">
        <f>IF(OR(Fact_Cumplimiento[[#This Row], [Año]]="",Fact_Cumplimiento[[#This Row], [Mes]]=""),"",DATE(A1835,MATCH(B1835,{"enero","febrero","marzo","abril","mayo","junio","julio","agosto","septiembre","octubre","noviembre","diciembre"},0)+1,0))</f>
        <v/>
      </c>
      <c r="E1835" t="str">
        <f>+IFERROR(VLOOKUP(Fact_Cumplimiento[[#This Row], [Concepto Anterior]],Conceptos_Cumplimiento[#All],5,0),"")</f>
        <v/>
      </c>
      <c r="F1835" t="str">
        <f>+IFERROR(VLOOKUP(Fact_Cumplimiento[[#This Row], 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ht="18.75" customHeight="1" x14ac:dyDescent="0.35">
      <c r="C1836" s="100" t="str">
        <f>IF(OR(Fact_Cumplimiento[[#This Row], [Año]]="",Fact_Cumplimiento[[#This Row], [Mes]]=""),"",DATE(A1836,MATCH(B1836,{"enero","febrero","marzo","abril","mayo","junio","julio","agosto","septiembre","octubre","noviembre","diciembre"},0)+1,0))</f>
        <v/>
      </c>
      <c r="E1836" t="str">
        <f>+IFERROR(VLOOKUP(Fact_Cumplimiento[[#This Row], [Concepto Anterior]],Conceptos_Cumplimiento[#All],5,0),"")</f>
        <v/>
      </c>
      <c r="F1836" t="str">
        <f>+IFERROR(VLOOKUP(Fact_Cumplimiento[[#This Row], 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ht="18.75" customHeight="1" x14ac:dyDescent="0.35">
      <c r="C1837" s="100" t="str">
        <f>IF(OR(Fact_Cumplimiento[[#This Row], [Año]]="",Fact_Cumplimiento[[#This Row], [Mes]]=""),"",DATE(A1837,MATCH(B1837,{"enero","febrero","marzo","abril","mayo","junio","julio","agosto","septiembre","octubre","noviembre","diciembre"},0)+1,0))</f>
        <v/>
      </c>
      <c r="E1837" t="str">
        <f>+IFERROR(VLOOKUP(Fact_Cumplimiento[[#This Row], [Concepto Anterior]],Conceptos_Cumplimiento[#All],5,0),"")</f>
        <v/>
      </c>
      <c r="F1837" t="str">
        <f>+IFERROR(VLOOKUP(Fact_Cumplimiento[[#This Row], 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ht="18.75" customHeight="1" x14ac:dyDescent="0.35">
      <c r="C1838" s="100" t="str">
        <f>IF(OR(Fact_Cumplimiento[[#This Row], [Año]]="",Fact_Cumplimiento[[#This Row], [Mes]]=""),"",DATE(A1838,MATCH(B1838,{"enero","febrero","marzo","abril","mayo","junio","julio","agosto","septiembre","octubre","noviembre","diciembre"},0)+1,0))</f>
        <v/>
      </c>
      <c r="E1838" t="str">
        <f>+IFERROR(VLOOKUP(Fact_Cumplimiento[[#This Row], [Concepto Anterior]],Conceptos_Cumplimiento[#All],5,0),"")</f>
        <v/>
      </c>
      <c r="F1838" t="str">
        <f>+IFERROR(VLOOKUP(Fact_Cumplimiento[[#This Row], 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ht="18.75" customHeight="1" x14ac:dyDescent="0.35">
      <c r="C1839" s="100" t="str">
        <f>IF(OR(Fact_Cumplimiento[[#This Row], [Año]]="",Fact_Cumplimiento[[#This Row], [Mes]]=""),"",DATE(A1839,MATCH(B1839,{"enero","febrero","marzo","abril","mayo","junio","julio","agosto","septiembre","octubre","noviembre","diciembre"},0)+1,0))</f>
        <v/>
      </c>
      <c r="E1839" t="str">
        <f>+IFERROR(VLOOKUP(Fact_Cumplimiento[[#This Row], [Concepto Anterior]],Conceptos_Cumplimiento[#All],5,0),"")</f>
        <v/>
      </c>
      <c r="F1839" t="str">
        <f>+IFERROR(VLOOKUP(Fact_Cumplimiento[[#This Row], 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ht="18.75" customHeight="1" x14ac:dyDescent="0.35">
      <c r="C1840" s="100" t="str">
        <f>IF(OR(Fact_Cumplimiento[[#This Row], [Año]]="",Fact_Cumplimiento[[#This Row], [Mes]]=""),"",DATE(A1840,MATCH(B1840,{"enero","febrero","marzo","abril","mayo","junio","julio","agosto","septiembre","octubre","noviembre","diciembre"},0)+1,0))</f>
        <v/>
      </c>
      <c r="E1840" t="str">
        <f>+IFERROR(VLOOKUP(Fact_Cumplimiento[[#This Row], [Concepto Anterior]],Conceptos_Cumplimiento[#All],5,0),"")</f>
        <v/>
      </c>
      <c r="F1840" t="str">
        <f>+IFERROR(VLOOKUP(Fact_Cumplimiento[[#This Row], 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ht="18.75" customHeight="1" x14ac:dyDescent="0.35">
      <c r="C1841" s="100" t="str">
        <f>IF(OR(Fact_Cumplimiento[[#This Row], [Año]]="",Fact_Cumplimiento[[#This Row], [Mes]]=""),"",DATE(A1841,MATCH(B1841,{"enero","febrero","marzo","abril","mayo","junio","julio","agosto","septiembre","octubre","noviembre","diciembre"},0)+1,0))</f>
        <v/>
      </c>
      <c r="E1841" t="str">
        <f>+IFERROR(VLOOKUP(Fact_Cumplimiento[[#This Row], [Concepto Anterior]],Conceptos_Cumplimiento[#All],5,0),"")</f>
        <v/>
      </c>
      <c r="F1841" t="str">
        <f>+IFERROR(VLOOKUP(Fact_Cumplimiento[[#This Row], 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ht="18.75" customHeight="1" x14ac:dyDescent="0.35">
      <c r="C1842" s="100" t="str">
        <f>IF(OR(Fact_Cumplimiento[[#This Row], [Año]]="",Fact_Cumplimiento[[#This Row], [Mes]]=""),"",DATE(A1842,MATCH(B1842,{"enero","febrero","marzo","abril","mayo","junio","julio","agosto","septiembre","octubre","noviembre","diciembre"},0)+1,0))</f>
        <v/>
      </c>
      <c r="E1842" t="str">
        <f>+IFERROR(VLOOKUP(Fact_Cumplimiento[[#This Row], [Concepto Anterior]],Conceptos_Cumplimiento[#All],5,0),"")</f>
        <v/>
      </c>
      <c r="F1842" t="str">
        <f>+IFERROR(VLOOKUP(Fact_Cumplimiento[[#This Row], 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ht="18.75" customHeight="1" x14ac:dyDescent="0.35">
      <c r="C1843" s="100" t="str">
        <f>IF(OR(Fact_Cumplimiento[[#This Row], [Año]]="",Fact_Cumplimiento[[#This Row], [Mes]]=""),"",DATE(A1843,MATCH(B1843,{"enero","febrero","marzo","abril","mayo","junio","julio","agosto","septiembre","octubre","noviembre","diciembre"},0)+1,0))</f>
        <v/>
      </c>
      <c r="E1843" t="str">
        <f>+IFERROR(VLOOKUP(Fact_Cumplimiento[[#This Row], [Concepto Anterior]],Conceptos_Cumplimiento[#All],5,0),"")</f>
        <v/>
      </c>
      <c r="F1843" t="str">
        <f>+IFERROR(VLOOKUP(Fact_Cumplimiento[[#This Row], 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ht="18.75" customHeight="1" x14ac:dyDescent="0.35">
      <c r="C1844" s="100" t="str">
        <f>IF(OR(Fact_Cumplimiento[[#This Row], [Año]]="",Fact_Cumplimiento[[#This Row], [Mes]]=""),"",DATE(A1844,MATCH(B1844,{"enero","febrero","marzo","abril","mayo","junio","julio","agosto","septiembre","octubre","noviembre","diciembre"},0)+1,0))</f>
        <v/>
      </c>
      <c r="E1844" t="str">
        <f>+IFERROR(VLOOKUP(Fact_Cumplimiento[[#This Row], [Concepto Anterior]],Conceptos_Cumplimiento[#All],5,0),"")</f>
        <v/>
      </c>
      <c r="F1844" t="str">
        <f>+IFERROR(VLOOKUP(Fact_Cumplimiento[[#This Row], 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ht="18.75" customHeight="1" x14ac:dyDescent="0.35">
      <c r="C1845" s="100" t="str">
        <f>IF(OR(Fact_Cumplimiento[[#This Row], [Año]]="",Fact_Cumplimiento[[#This Row], [Mes]]=""),"",DATE(A1845,MATCH(B1845,{"enero","febrero","marzo","abril","mayo","junio","julio","agosto","septiembre","octubre","noviembre","diciembre"},0)+1,0))</f>
        <v/>
      </c>
      <c r="E1845" t="str">
        <f>+IFERROR(VLOOKUP(Fact_Cumplimiento[[#This Row], [Concepto Anterior]],Conceptos_Cumplimiento[#All],5,0),"")</f>
        <v/>
      </c>
      <c r="F1845" t="str">
        <f>+IFERROR(VLOOKUP(Fact_Cumplimiento[[#This Row], 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ht="18.75" customHeight="1" x14ac:dyDescent="0.35">
      <c r="C1846" s="100" t="str">
        <f>IF(OR(Fact_Cumplimiento[[#This Row], [Año]]="",Fact_Cumplimiento[[#This Row], [Mes]]=""),"",DATE(A1846,MATCH(B1846,{"enero","febrero","marzo","abril","mayo","junio","julio","agosto","septiembre","octubre","noviembre","diciembre"},0)+1,0))</f>
        <v/>
      </c>
      <c r="E1846" t="str">
        <f>+IFERROR(VLOOKUP(Fact_Cumplimiento[[#This Row], [Concepto Anterior]],Conceptos_Cumplimiento[#All],5,0),"")</f>
        <v/>
      </c>
      <c r="F1846" t="str">
        <f>+IFERROR(VLOOKUP(Fact_Cumplimiento[[#This Row], 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ht="18.75" customHeight="1" x14ac:dyDescent="0.35">
      <c r="C1847" s="100" t="str">
        <f>IF(OR(Fact_Cumplimiento[[#This Row], [Año]]="",Fact_Cumplimiento[[#This Row], [Mes]]=""),"",DATE(A1847,MATCH(B1847,{"enero","febrero","marzo","abril","mayo","junio","julio","agosto","septiembre","octubre","noviembre","diciembre"},0)+1,0))</f>
        <v/>
      </c>
      <c r="E1847" t="str">
        <f>+IFERROR(VLOOKUP(Fact_Cumplimiento[[#This Row], [Concepto Anterior]],Conceptos_Cumplimiento[#All],5,0),"")</f>
        <v/>
      </c>
      <c r="F1847" t="str">
        <f>+IFERROR(VLOOKUP(Fact_Cumplimiento[[#This Row], 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ht="18.75" customHeight="1" x14ac:dyDescent="0.35">
      <c r="C1848" s="100" t="str">
        <f>IF(OR(Fact_Cumplimiento[[#This Row], [Año]]="",Fact_Cumplimiento[[#This Row], [Mes]]=""),"",DATE(A1848,MATCH(B1848,{"enero","febrero","marzo","abril","mayo","junio","julio","agosto","septiembre","octubre","noviembre","diciembre"},0)+1,0))</f>
        <v/>
      </c>
      <c r="E1848" t="str">
        <f>+IFERROR(VLOOKUP(Fact_Cumplimiento[[#This Row], [Concepto Anterior]],Conceptos_Cumplimiento[#All],5,0),"")</f>
        <v/>
      </c>
      <c r="F1848" t="str">
        <f>+IFERROR(VLOOKUP(Fact_Cumplimiento[[#This Row], 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ht="18.75" customHeight="1" x14ac:dyDescent="0.35">
      <c r="C1849" s="100" t="str">
        <f>IF(OR(Fact_Cumplimiento[[#This Row], [Año]]="",Fact_Cumplimiento[[#This Row], [Mes]]=""),"",DATE(A1849,MATCH(B1849,{"enero","febrero","marzo","abril","mayo","junio","julio","agosto","septiembre","octubre","noviembre","diciembre"},0)+1,0))</f>
        <v/>
      </c>
      <c r="E1849" t="str">
        <f>+IFERROR(VLOOKUP(Fact_Cumplimiento[[#This Row], [Concepto Anterior]],Conceptos_Cumplimiento[#All],5,0),"")</f>
        <v/>
      </c>
      <c r="F1849" t="str">
        <f>+IFERROR(VLOOKUP(Fact_Cumplimiento[[#This Row], 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ht="18.75" customHeight="1" x14ac:dyDescent="0.35">
      <c r="C1850" s="100" t="str">
        <f>IF(OR(Fact_Cumplimiento[[#This Row], [Año]]="",Fact_Cumplimiento[[#This Row], [Mes]]=""),"",DATE(A1850,MATCH(B1850,{"enero","febrero","marzo","abril","mayo","junio","julio","agosto","septiembre","octubre","noviembre","diciembre"},0)+1,0))</f>
        <v/>
      </c>
      <c r="E1850" t="str">
        <f>+IFERROR(VLOOKUP(Fact_Cumplimiento[[#This Row], [Concepto Anterior]],Conceptos_Cumplimiento[#All],5,0),"")</f>
        <v/>
      </c>
      <c r="F1850" t="str">
        <f>+IFERROR(VLOOKUP(Fact_Cumplimiento[[#This Row], 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ht="18.75" customHeight="1" x14ac:dyDescent="0.35">
      <c r="C1851" s="100" t="str">
        <f>IF(OR(Fact_Cumplimiento[[#This Row], [Año]]="",Fact_Cumplimiento[[#This Row], [Mes]]=""),"",DATE(A1851,MATCH(B1851,{"enero","febrero","marzo","abril","mayo","junio","julio","agosto","septiembre","octubre","noviembre","diciembre"},0)+1,0))</f>
        <v/>
      </c>
      <c r="E1851" t="str">
        <f>+IFERROR(VLOOKUP(Fact_Cumplimiento[[#This Row], [Concepto Anterior]],Conceptos_Cumplimiento[#All],5,0),"")</f>
        <v/>
      </c>
      <c r="F1851" t="str">
        <f>+IFERROR(VLOOKUP(Fact_Cumplimiento[[#This Row], 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ht="18.75" customHeight="1" x14ac:dyDescent="0.35">
      <c r="C1852" s="100" t="str">
        <f>IF(OR(Fact_Cumplimiento[[#This Row], [Año]]="",Fact_Cumplimiento[[#This Row], [Mes]]=""),"",DATE(A1852,MATCH(B1852,{"enero","febrero","marzo","abril","mayo","junio","julio","agosto","septiembre","octubre","noviembre","diciembre"},0)+1,0))</f>
        <v/>
      </c>
      <c r="E1852" t="str">
        <f>+IFERROR(VLOOKUP(Fact_Cumplimiento[[#This Row], [Concepto Anterior]],Conceptos_Cumplimiento[#All],5,0),"")</f>
        <v/>
      </c>
      <c r="F1852" t="str">
        <f>+IFERROR(VLOOKUP(Fact_Cumplimiento[[#This Row], 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ht="18.75" customHeight="1" x14ac:dyDescent="0.35">
      <c r="C1853" s="100" t="str">
        <f>IF(OR(Fact_Cumplimiento[[#This Row], [Año]]="",Fact_Cumplimiento[[#This Row], [Mes]]=""),"",DATE(A1853,MATCH(B1853,{"enero","febrero","marzo","abril","mayo","junio","julio","agosto","septiembre","octubre","noviembre","diciembre"},0)+1,0))</f>
        <v/>
      </c>
      <c r="E1853" t="str">
        <f>+IFERROR(VLOOKUP(Fact_Cumplimiento[[#This Row], [Concepto Anterior]],Conceptos_Cumplimiento[#All],5,0),"")</f>
        <v/>
      </c>
      <c r="F1853" t="str">
        <f>+IFERROR(VLOOKUP(Fact_Cumplimiento[[#This Row], 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ht="18.75" customHeight="1" x14ac:dyDescent="0.35">
      <c r="C1854" s="100" t="str">
        <f>IF(OR(Fact_Cumplimiento[[#This Row], [Año]]="",Fact_Cumplimiento[[#This Row], [Mes]]=""),"",DATE(A1854,MATCH(B1854,{"enero","febrero","marzo","abril","mayo","junio","julio","agosto","septiembre","octubre","noviembre","diciembre"},0)+1,0))</f>
        <v/>
      </c>
      <c r="E1854" t="str">
        <f>+IFERROR(VLOOKUP(Fact_Cumplimiento[[#This Row], [Concepto Anterior]],Conceptos_Cumplimiento[#All],5,0),"")</f>
        <v/>
      </c>
      <c r="F1854" t="str">
        <f>+IFERROR(VLOOKUP(Fact_Cumplimiento[[#This Row], 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ht="18.75" customHeight="1" x14ac:dyDescent="0.35">
      <c r="C1855" s="100" t="str">
        <f>IF(OR(Fact_Cumplimiento[[#This Row], [Año]]="",Fact_Cumplimiento[[#This Row], [Mes]]=""),"",DATE(A1855,MATCH(B1855,{"enero","febrero","marzo","abril","mayo","junio","julio","agosto","septiembre","octubre","noviembre","diciembre"},0)+1,0))</f>
        <v/>
      </c>
      <c r="E1855" t="str">
        <f>+IFERROR(VLOOKUP(Fact_Cumplimiento[[#This Row], [Concepto Anterior]],Conceptos_Cumplimiento[#All],5,0),"")</f>
        <v/>
      </c>
      <c r="F1855" t="str">
        <f>+IFERROR(VLOOKUP(Fact_Cumplimiento[[#This Row], 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ht="18.75" customHeight="1" x14ac:dyDescent="0.35">
      <c r="C1856" s="100" t="str">
        <f>IF(OR(Fact_Cumplimiento[[#This Row], [Año]]="",Fact_Cumplimiento[[#This Row], [Mes]]=""),"",DATE(A1856,MATCH(B1856,{"enero","febrero","marzo","abril","mayo","junio","julio","agosto","septiembre","octubre","noviembre","diciembre"},0)+1,0))</f>
        <v/>
      </c>
      <c r="E1856" t="str">
        <f>+IFERROR(VLOOKUP(Fact_Cumplimiento[[#This Row], [Concepto Anterior]],Conceptos_Cumplimiento[#All],5,0),"")</f>
        <v/>
      </c>
      <c r="F1856" t="str">
        <f>+IFERROR(VLOOKUP(Fact_Cumplimiento[[#This Row], 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ht="18.75" customHeight="1" x14ac:dyDescent="0.35">
      <c r="C1857" s="100" t="str">
        <f>IF(OR(Fact_Cumplimiento[[#This Row], [Año]]="",Fact_Cumplimiento[[#This Row], [Mes]]=""),"",DATE(A1857,MATCH(B1857,{"enero","febrero","marzo","abril","mayo","junio","julio","agosto","septiembre","octubre","noviembre","diciembre"},0)+1,0))</f>
        <v/>
      </c>
      <c r="E1857" t="str">
        <f>+IFERROR(VLOOKUP(Fact_Cumplimiento[[#This Row], [Concepto Anterior]],Conceptos_Cumplimiento[#All],5,0),"")</f>
        <v/>
      </c>
      <c r="F1857" t="str">
        <f>+IFERROR(VLOOKUP(Fact_Cumplimiento[[#This Row], 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ht="18.75" customHeight="1" x14ac:dyDescent="0.35">
      <c r="C1858" s="100" t="str">
        <f>IF(OR(Fact_Cumplimiento[[#This Row], [Año]]="",Fact_Cumplimiento[[#This Row], [Mes]]=""),"",DATE(A1858,MATCH(B1858,{"enero","febrero","marzo","abril","mayo","junio","julio","agosto","septiembre","octubre","noviembre","diciembre"},0)+1,0))</f>
        <v/>
      </c>
      <c r="E1858" t="str">
        <f>+IFERROR(VLOOKUP(Fact_Cumplimiento[[#This Row], [Concepto Anterior]],Conceptos_Cumplimiento[#All],5,0),"")</f>
        <v/>
      </c>
      <c r="F1858" t="str">
        <f>+IFERROR(VLOOKUP(Fact_Cumplimiento[[#This Row], 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ht="18.75" customHeight="1" x14ac:dyDescent="0.35">
      <c r="C1859" s="100" t="str">
        <f>IF(OR(Fact_Cumplimiento[[#This Row], [Año]]="",Fact_Cumplimiento[[#This Row], [Mes]]=""),"",DATE(A1859,MATCH(B1859,{"enero","febrero","marzo","abril","mayo","junio","julio","agosto","septiembre","octubre","noviembre","diciembre"},0)+1,0))</f>
        <v/>
      </c>
      <c r="E1859" t="str">
        <f>+IFERROR(VLOOKUP(Fact_Cumplimiento[[#This Row], [Concepto Anterior]],Conceptos_Cumplimiento[#All],5,0),"")</f>
        <v/>
      </c>
      <c r="F1859" t="str">
        <f>+IFERROR(VLOOKUP(Fact_Cumplimiento[[#This Row], 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ht="18.75" customHeight="1" x14ac:dyDescent="0.35">
      <c r="C1860" s="100" t="str">
        <f>IF(OR(Fact_Cumplimiento[[#This Row], [Año]]="",Fact_Cumplimiento[[#This Row], [Mes]]=""),"",DATE(A1860,MATCH(B1860,{"enero","febrero","marzo","abril","mayo","junio","julio","agosto","septiembre","octubre","noviembre","diciembre"},0)+1,0))</f>
        <v/>
      </c>
      <c r="E1860" t="str">
        <f>+IFERROR(VLOOKUP(Fact_Cumplimiento[[#This Row], [Concepto Anterior]],Conceptos_Cumplimiento[#All],5,0),"")</f>
        <v/>
      </c>
      <c r="F1860" t="str">
        <f>+IFERROR(VLOOKUP(Fact_Cumplimiento[[#This Row], 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ht="18.75" customHeight="1" x14ac:dyDescent="0.35">
      <c r="C1861" s="100" t="str">
        <f>IF(OR(Fact_Cumplimiento[[#This Row], [Año]]="",Fact_Cumplimiento[[#This Row], [Mes]]=""),"",DATE(A1861,MATCH(B1861,{"enero","febrero","marzo","abril","mayo","junio","julio","agosto","septiembre","octubre","noviembre","diciembre"},0)+1,0))</f>
        <v/>
      </c>
      <c r="E1861" t="str">
        <f>+IFERROR(VLOOKUP(Fact_Cumplimiento[[#This Row], [Concepto Anterior]],Conceptos_Cumplimiento[#All],5,0),"")</f>
        <v/>
      </c>
      <c r="F1861" t="str">
        <f>+IFERROR(VLOOKUP(Fact_Cumplimiento[[#This Row], 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ht="18.75" customHeight="1" x14ac:dyDescent="0.35">
      <c r="C1862" s="100" t="str">
        <f>IF(OR(Fact_Cumplimiento[[#This Row], [Año]]="",Fact_Cumplimiento[[#This Row], [Mes]]=""),"",DATE(A1862,MATCH(B1862,{"enero","febrero","marzo","abril","mayo","junio","julio","agosto","septiembre","octubre","noviembre","diciembre"},0)+1,0))</f>
        <v/>
      </c>
      <c r="E1862" t="str">
        <f>+IFERROR(VLOOKUP(Fact_Cumplimiento[[#This Row], [Concepto Anterior]],Conceptos_Cumplimiento[#All],5,0),"")</f>
        <v/>
      </c>
      <c r="F1862" t="str">
        <f>+IFERROR(VLOOKUP(Fact_Cumplimiento[[#This Row], 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ht="18.75" customHeight="1" x14ac:dyDescent="0.35">
      <c r="C1863" s="100" t="str">
        <f>IF(OR(Fact_Cumplimiento[[#This Row], [Año]]="",Fact_Cumplimiento[[#This Row], [Mes]]=""),"",DATE(A1863,MATCH(B1863,{"enero","febrero","marzo","abril","mayo","junio","julio","agosto","septiembre","octubre","noviembre","diciembre"},0)+1,0))</f>
        <v/>
      </c>
      <c r="E1863" t="str">
        <f>+IFERROR(VLOOKUP(Fact_Cumplimiento[[#This Row], [Concepto Anterior]],Conceptos_Cumplimiento[#All],5,0),"")</f>
        <v/>
      </c>
      <c r="F1863" t="str">
        <f>+IFERROR(VLOOKUP(Fact_Cumplimiento[[#This Row], 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ht="18.75" customHeight="1" x14ac:dyDescent="0.35">
      <c r="C1864" s="100" t="str">
        <f>IF(OR(Fact_Cumplimiento[[#This Row], [Año]]="",Fact_Cumplimiento[[#This Row], [Mes]]=""),"",DATE(A1864,MATCH(B1864,{"enero","febrero","marzo","abril","mayo","junio","julio","agosto","septiembre","octubre","noviembre","diciembre"},0)+1,0))</f>
        <v/>
      </c>
      <c r="E1864" t="str">
        <f>+IFERROR(VLOOKUP(Fact_Cumplimiento[[#This Row], [Concepto Anterior]],Conceptos_Cumplimiento[#All],5,0),"")</f>
        <v/>
      </c>
      <c r="F1864" t="str">
        <f>+IFERROR(VLOOKUP(Fact_Cumplimiento[[#This Row], 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ht="18.75" customHeight="1" x14ac:dyDescent="0.35">
      <c r="C1865" s="100" t="str">
        <f>IF(OR(Fact_Cumplimiento[[#This Row], [Año]]="",Fact_Cumplimiento[[#This Row], [Mes]]=""),"",DATE(A1865,MATCH(B1865,{"enero","febrero","marzo","abril","mayo","junio","julio","agosto","septiembre","octubre","noviembre","diciembre"},0)+1,0))</f>
        <v/>
      </c>
      <c r="E1865" t="str">
        <f>+IFERROR(VLOOKUP(Fact_Cumplimiento[[#This Row], [Concepto Anterior]],Conceptos_Cumplimiento[#All],5,0),"")</f>
        <v/>
      </c>
      <c r="F1865" t="str">
        <f>+IFERROR(VLOOKUP(Fact_Cumplimiento[[#This Row], 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ht="18.75" customHeight="1" x14ac:dyDescent="0.35">
      <c r="C1866" s="100" t="str">
        <f>IF(OR(Fact_Cumplimiento[[#This Row], [Año]]="",Fact_Cumplimiento[[#This Row], [Mes]]=""),"",DATE(A1866,MATCH(B1866,{"enero","febrero","marzo","abril","mayo","junio","julio","agosto","septiembre","octubre","noviembre","diciembre"},0)+1,0))</f>
        <v/>
      </c>
      <c r="E1866" t="str">
        <f>+IFERROR(VLOOKUP(Fact_Cumplimiento[[#This Row], [Concepto Anterior]],Conceptos_Cumplimiento[#All],5,0),"")</f>
        <v/>
      </c>
      <c r="F1866" t="str">
        <f>+IFERROR(VLOOKUP(Fact_Cumplimiento[[#This Row], 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ht="18.75" customHeight="1" x14ac:dyDescent="0.35">
      <c r="C1867" s="100" t="str">
        <f>IF(OR(Fact_Cumplimiento[[#This Row], [Año]]="",Fact_Cumplimiento[[#This Row], [Mes]]=""),"",DATE(A1867,MATCH(B1867,{"enero","febrero","marzo","abril","mayo","junio","julio","agosto","septiembre","octubre","noviembre","diciembre"},0)+1,0))</f>
        <v/>
      </c>
      <c r="E1867" t="str">
        <f>+IFERROR(VLOOKUP(Fact_Cumplimiento[[#This Row], [Concepto Anterior]],Conceptos_Cumplimiento[#All],5,0),"")</f>
        <v/>
      </c>
      <c r="F1867" t="str">
        <f>+IFERROR(VLOOKUP(Fact_Cumplimiento[[#This Row], 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ht="18.75" customHeight="1" x14ac:dyDescent="0.35">
      <c r="C1868" s="100" t="str">
        <f>IF(OR(Fact_Cumplimiento[[#This Row], [Año]]="",Fact_Cumplimiento[[#This Row], [Mes]]=""),"",DATE(A1868,MATCH(B1868,{"enero","febrero","marzo","abril","mayo","junio","julio","agosto","septiembre","octubre","noviembre","diciembre"},0)+1,0))</f>
        <v/>
      </c>
      <c r="E1868" t="str">
        <f>+IFERROR(VLOOKUP(Fact_Cumplimiento[[#This Row], [Concepto Anterior]],Conceptos_Cumplimiento[#All],5,0),"")</f>
        <v/>
      </c>
      <c r="F1868" t="str">
        <f>+IFERROR(VLOOKUP(Fact_Cumplimiento[[#This Row], 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ht="18.75" customHeight="1" x14ac:dyDescent="0.35">
      <c r="C1869" s="100" t="str">
        <f>IF(OR(Fact_Cumplimiento[[#This Row], [Año]]="",Fact_Cumplimiento[[#This Row], [Mes]]=""),"",DATE(A1869,MATCH(B1869,{"enero","febrero","marzo","abril","mayo","junio","julio","agosto","septiembre","octubre","noviembre","diciembre"},0)+1,0))</f>
        <v/>
      </c>
      <c r="E1869" t="str">
        <f>+IFERROR(VLOOKUP(Fact_Cumplimiento[[#This Row], [Concepto Anterior]],Conceptos_Cumplimiento[#All],5,0),"")</f>
        <v/>
      </c>
      <c r="F1869" t="str">
        <f>+IFERROR(VLOOKUP(Fact_Cumplimiento[[#This Row], 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ht="18.75" customHeight="1" x14ac:dyDescent="0.35">
      <c r="C1870" s="100" t="str">
        <f>IF(OR(Fact_Cumplimiento[[#This Row], [Año]]="",Fact_Cumplimiento[[#This Row], [Mes]]=""),"",DATE(A1870,MATCH(B1870,{"enero","febrero","marzo","abril","mayo","junio","julio","agosto","septiembre","octubre","noviembre","diciembre"},0)+1,0))</f>
        <v/>
      </c>
      <c r="E1870" t="str">
        <f>+IFERROR(VLOOKUP(Fact_Cumplimiento[[#This Row], [Concepto Anterior]],Conceptos_Cumplimiento[#All],5,0),"")</f>
        <v/>
      </c>
      <c r="F1870" t="str">
        <f>+IFERROR(VLOOKUP(Fact_Cumplimiento[[#This Row], 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ht="18.75" customHeight="1" x14ac:dyDescent="0.35">
      <c r="C1871" s="100" t="str">
        <f>IF(OR(Fact_Cumplimiento[[#This Row], [Año]]="",Fact_Cumplimiento[[#This Row], [Mes]]=""),"",DATE(A1871,MATCH(B1871,{"enero","febrero","marzo","abril","mayo","junio","julio","agosto","septiembre","octubre","noviembre","diciembre"},0)+1,0))</f>
        <v/>
      </c>
      <c r="E1871" t="str">
        <f>+IFERROR(VLOOKUP(Fact_Cumplimiento[[#This Row], [Concepto Anterior]],Conceptos_Cumplimiento[#All],5,0),"")</f>
        <v/>
      </c>
      <c r="F1871" t="str">
        <f>+IFERROR(VLOOKUP(Fact_Cumplimiento[[#This Row], 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ht="18.75" customHeight="1" x14ac:dyDescent="0.35">
      <c r="C1872" s="100" t="str">
        <f>IF(OR(Fact_Cumplimiento[[#This Row], [Año]]="",Fact_Cumplimiento[[#This Row], [Mes]]=""),"",DATE(A1872,MATCH(B1872,{"enero","febrero","marzo","abril","mayo","junio","julio","agosto","septiembre","octubre","noviembre","diciembre"},0)+1,0))</f>
        <v/>
      </c>
      <c r="E1872" t="str">
        <f>+IFERROR(VLOOKUP(Fact_Cumplimiento[[#This Row], [Concepto Anterior]],Conceptos_Cumplimiento[#All],5,0),"")</f>
        <v/>
      </c>
      <c r="F1872" t="str">
        <f>+IFERROR(VLOOKUP(Fact_Cumplimiento[[#This Row], 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ht="18.75" customHeight="1" x14ac:dyDescent="0.35">
      <c r="C1873" s="100" t="str">
        <f>IF(OR(Fact_Cumplimiento[[#This Row], [Año]]="",Fact_Cumplimiento[[#This Row], [Mes]]=""),"",DATE(A1873,MATCH(B1873,{"enero","febrero","marzo","abril","mayo","junio","julio","agosto","septiembre","octubre","noviembre","diciembre"},0)+1,0))</f>
        <v/>
      </c>
      <c r="E1873" t="str">
        <f>+IFERROR(VLOOKUP(Fact_Cumplimiento[[#This Row], [Concepto Anterior]],Conceptos_Cumplimiento[#All],5,0),"")</f>
        <v/>
      </c>
      <c r="F1873" t="str">
        <f>+IFERROR(VLOOKUP(Fact_Cumplimiento[[#This Row], 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ht="18.75" customHeight="1" x14ac:dyDescent="0.35">
      <c r="C1874" s="100" t="str">
        <f>IF(OR(Fact_Cumplimiento[[#This Row], [Año]]="",Fact_Cumplimiento[[#This Row], [Mes]]=""),"",DATE(A1874,MATCH(B1874,{"enero","febrero","marzo","abril","mayo","junio","julio","agosto","septiembre","octubre","noviembre","diciembre"},0)+1,0))</f>
        <v/>
      </c>
      <c r="E1874" t="str">
        <f>+IFERROR(VLOOKUP(Fact_Cumplimiento[[#This Row], [Concepto Anterior]],Conceptos_Cumplimiento[#All],5,0),"")</f>
        <v/>
      </c>
      <c r="F1874" t="str">
        <f>+IFERROR(VLOOKUP(Fact_Cumplimiento[[#This Row], 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ht="18.75" customHeight="1" x14ac:dyDescent="0.35">
      <c r="C1875" s="100" t="str">
        <f>IF(OR(Fact_Cumplimiento[[#This Row], [Año]]="",Fact_Cumplimiento[[#This Row], [Mes]]=""),"",DATE(A1875,MATCH(B1875,{"enero","febrero","marzo","abril","mayo","junio","julio","agosto","septiembre","octubre","noviembre","diciembre"},0)+1,0))</f>
        <v/>
      </c>
      <c r="E1875" t="str">
        <f>+IFERROR(VLOOKUP(Fact_Cumplimiento[[#This Row], [Concepto Anterior]],Conceptos_Cumplimiento[#All],5,0),"")</f>
        <v/>
      </c>
      <c r="F1875" t="str">
        <f>+IFERROR(VLOOKUP(Fact_Cumplimiento[[#This Row], 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ht="18.75" customHeight="1" x14ac:dyDescent="0.35">
      <c r="C1876" s="100" t="str">
        <f>IF(OR(Fact_Cumplimiento[[#This Row], [Año]]="",Fact_Cumplimiento[[#This Row], [Mes]]=""),"",DATE(A1876,MATCH(B1876,{"enero","febrero","marzo","abril","mayo","junio","julio","agosto","septiembre","octubre","noviembre","diciembre"},0)+1,0))</f>
        <v/>
      </c>
      <c r="E1876" t="str">
        <f>+IFERROR(VLOOKUP(Fact_Cumplimiento[[#This Row], [Concepto Anterior]],Conceptos_Cumplimiento[#All],5,0),"")</f>
        <v/>
      </c>
      <c r="F1876" t="str">
        <f>+IFERROR(VLOOKUP(Fact_Cumplimiento[[#This Row], 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ht="18.75" customHeight="1" x14ac:dyDescent="0.35">
      <c r="C1877" s="100" t="str">
        <f>IF(OR(Fact_Cumplimiento[[#This Row], [Año]]="",Fact_Cumplimiento[[#This Row], [Mes]]=""),"",DATE(A1877,MATCH(B1877,{"enero","febrero","marzo","abril","mayo","junio","julio","agosto","septiembre","octubre","noviembre","diciembre"},0)+1,0))</f>
        <v/>
      </c>
      <c r="E1877" t="str">
        <f>+IFERROR(VLOOKUP(Fact_Cumplimiento[[#This Row], [Concepto Anterior]],Conceptos_Cumplimiento[#All],5,0),"")</f>
        <v/>
      </c>
      <c r="F1877" t="str">
        <f>+IFERROR(VLOOKUP(Fact_Cumplimiento[[#This Row], 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ht="18.75" customHeight="1" x14ac:dyDescent="0.35">
      <c r="C1878" s="100" t="str">
        <f>IF(OR(Fact_Cumplimiento[[#This Row], [Año]]="",Fact_Cumplimiento[[#This Row], [Mes]]=""),"",DATE(A1878,MATCH(B1878,{"enero","febrero","marzo","abril","mayo","junio","julio","agosto","septiembre","octubre","noviembre","diciembre"},0)+1,0))</f>
        <v/>
      </c>
      <c r="E1878" t="str">
        <f>+IFERROR(VLOOKUP(Fact_Cumplimiento[[#This Row], [Concepto Anterior]],Conceptos_Cumplimiento[#All],5,0),"")</f>
        <v/>
      </c>
      <c r="F1878" t="str">
        <f>+IFERROR(VLOOKUP(Fact_Cumplimiento[[#This Row], 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ht="18.75" customHeight="1" x14ac:dyDescent="0.35">
      <c r="C1879" s="100" t="str">
        <f>IF(OR(Fact_Cumplimiento[[#This Row], [Año]]="",Fact_Cumplimiento[[#This Row], [Mes]]=""),"",DATE(A1879,MATCH(B1879,{"enero","febrero","marzo","abril","mayo","junio","julio","agosto","septiembre","octubre","noviembre","diciembre"},0)+1,0))</f>
        <v/>
      </c>
      <c r="E1879" t="str">
        <f>+IFERROR(VLOOKUP(Fact_Cumplimiento[[#This Row], [Concepto Anterior]],Conceptos_Cumplimiento[#All],5,0),"")</f>
        <v/>
      </c>
      <c r="F1879" t="str">
        <f>+IFERROR(VLOOKUP(Fact_Cumplimiento[[#This Row], 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ht="18.75" customHeight="1" x14ac:dyDescent="0.35">
      <c r="C1880" s="100" t="str">
        <f>IF(OR(Fact_Cumplimiento[[#This Row], [Año]]="",Fact_Cumplimiento[[#This Row], [Mes]]=""),"",DATE(A1880,MATCH(B1880,{"enero","febrero","marzo","abril","mayo","junio","julio","agosto","septiembre","octubre","noviembre","diciembre"},0)+1,0))</f>
        <v/>
      </c>
      <c r="E1880" t="str">
        <f>+IFERROR(VLOOKUP(Fact_Cumplimiento[[#This Row], [Concepto Anterior]],Conceptos_Cumplimiento[#All],5,0),"")</f>
        <v/>
      </c>
      <c r="F1880" t="str">
        <f>+IFERROR(VLOOKUP(Fact_Cumplimiento[[#This Row], 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ht="18.75" customHeight="1" x14ac:dyDescent="0.35">
      <c r="C1881" s="100" t="str">
        <f>IF(OR(Fact_Cumplimiento[[#This Row], [Año]]="",Fact_Cumplimiento[[#This Row], [Mes]]=""),"",DATE(A1881,MATCH(B1881,{"enero","febrero","marzo","abril","mayo","junio","julio","agosto","septiembre","octubre","noviembre","diciembre"},0)+1,0))</f>
        <v/>
      </c>
      <c r="E1881" t="str">
        <f>+IFERROR(VLOOKUP(Fact_Cumplimiento[[#This Row], [Concepto Anterior]],Conceptos_Cumplimiento[#All],5,0),"")</f>
        <v/>
      </c>
      <c r="F1881" t="str">
        <f>+IFERROR(VLOOKUP(Fact_Cumplimiento[[#This Row], 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ht="18.75" customHeight="1" x14ac:dyDescent="0.35">
      <c r="C1882" s="100" t="str">
        <f>IF(OR(Fact_Cumplimiento[[#This Row], [Año]]="",Fact_Cumplimiento[[#This Row], [Mes]]=""),"",DATE(A1882,MATCH(B1882,{"enero","febrero","marzo","abril","mayo","junio","julio","agosto","septiembre","octubre","noviembre","diciembre"},0)+1,0))</f>
        <v/>
      </c>
      <c r="E1882" t="str">
        <f>+IFERROR(VLOOKUP(Fact_Cumplimiento[[#This Row], [Concepto Anterior]],Conceptos_Cumplimiento[#All],5,0),"")</f>
        <v/>
      </c>
      <c r="F1882" t="str">
        <f>+IFERROR(VLOOKUP(Fact_Cumplimiento[[#This Row], 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ht="18.75" customHeight="1" x14ac:dyDescent="0.35">
      <c r="C1883" s="100" t="str">
        <f>IF(OR(Fact_Cumplimiento[[#This Row], [Año]]="",Fact_Cumplimiento[[#This Row], [Mes]]=""),"",DATE(A1883,MATCH(B1883,{"enero","febrero","marzo","abril","mayo","junio","julio","agosto","septiembre","octubre","noviembre","diciembre"},0)+1,0))</f>
        <v/>
      </c>
      <c r="E1883" t="str">
        <f>+IFERROR(VLOOKUP(Fact_Cumplimiento[[#This Row], [Concepto Anterior]],Conceptos_Cumplimiento[#All],5,0),"")</f>
        <v/>
      </c>
      <c r="F1883" t="str">
        <f>+IFERROR(VLOOKUP(Fact_Cumplimiento[[#This Row], 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ht="18.75" customHeight="1" x14ac:dyDescent="0.35">
      <c r="C1884" s="100" t="str">
        <f>IF(OR(Fact_Cumplimiento[[#This Row], [Año]]="",Fact_Cumplimiento[[#This Row], [Mes]]=""),"",DATE(A1884,MATCH(B1884,{"enero","febrero","marzo","abril","mayo","junio","julio","agosto","septiembre","octubre","noviembre","diciembre"},0)+1,0))</f>
        <v/>
      </c>
      <c r="E1884" t="str">
        <f>+IFERROR(VLOOKUP(Fact_Cumplimiento[[#This Row], [Concepto Anterior]],Conceptos_Cumplimiento[#All],5,0),"")</f>
        <v/>
      </c>
      <c r="F1884" t="str">
        <f>+IFERROR(VLOOKUP(Fact_Cumplimiento[[#This Row], 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ht="18.75" customHeight="1" x14ac:dyDescent="0.35">
      <c r="C1885" s="100" t="str">
        <f>IF(OR(Fact_Cumplimiento[[#This Row], [Año]]="",Fact_Cumplimiento[[#This Row], [Mes]]=""),"",DATE(A1885,MATCH(B1885,{"enero","febrero","marzo","abril","mayo","junio","julio","agosto","septiembre","octubre","noviembre","diciembre"},0)+1,0))</f>
        <v/>
      </c>
      <c r="E1885" t="str">
        <f>+IFERROR(VLOOKUP(Fact_Cumplimiento[[#This Row], [Concepto Anterior]],Conceptos_Cumplimiento[#All],5,0),"")</f>
        <v/>
      </c>
      <c r="F1885" t="str">
        <f>+IFERROR(VLOOKUP(Fact_Cumplimiento[[#This Row], 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ht="18.75" customHeight="1" x14ac:dyDescent="0.35">
      <c r="C1886" s="100" t="str">
        <f>IF(OR(Fact_Cumplimiento[[#This Row], [Año]]="",Fact_Cumplimiento[[#This Row], [Mes]]=""),"",DATE(A1886,MATCH(B1886,{"enero","febrero","marzo","abril","mayo","junio","julio","agosto","septiembre","octubre","noviembre","diciembre"},0)+1,0))</f>
        <v/>
      </c>
      <c r="E1886" t="str">
        <f>+IFERROR(VLOOKUP(Fact_Cumplimiento[[#This Row], [Concepto Anterior]],Conceptos_Cumplimiento[#All],5,0),"")</f>
        <v/>
      </c>
      <c r="F1886" t="str">
        <f>+IFERROR(VLOOKUP(Fact_Cumplimiento[[#This Row], 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ht="18.75" customHeight="1" x14ac:dyDescent="0.35">
      <c r="C1887" s="100" t="str">
        <f>IF(OR(Fact_Cumplimiento[[#This Row], [Año]]="",Fact_Cumplimiento[[#This Row], [Mes]]=""),"",DATE(A1887,MATCH(B1887,{"enero","febrero","marzo","abril","mayo","junio","julio","agosto","septiembre","octubre","noviembre","diciembre"},0)+1,0))</f>
        <v/>
      </c>
      <c r="E1887" t="str">
        <f>+IFERROR(VLOOKUP(Fact_Cumplimiento[[#This Row], [Concepto Anterior]],Conceptos_Cumplimiento[#All],5,0),"")</f>
        <v/>
      </c>
      <c r="F1887" t="str">
        <f>+IFERROR(VLOOKUP(Fact_Cumplimiento[[#This Row], 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ht="18.75" customHeight="1" x14ac:dyDescent="0.35">
      <c r="C1888" s="100" t="str">
        <f>IF(OR(Fact_Cumplimiento[[#This Row], [Año]]="",Fact_Cumplimiento[[#This Row], [Mes]]=""),"",DATE(A1888,MATCH(B1888,{"enero","febrero","marzo","abril","mayo","junio","julio","agosto","septiembre","octubre","noviembre","diciembre"},0)+1,0))</f>
        <v/>
      </c>
      <c r="E1888" t="str">
        <f>+IFERROR(VLOOKUP(Fact_Cumplimiento[[#This Row], [Concepto Anterior]],Conceptos_Cumplimiento[#All],5,0),"")</f>
        <v/>
      </c>
      <c r="F1888" t="str">
        <f>+IFERROR(VLOOKUP(Fact_Cumplimiento[[#This Row], 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ht="18.75" customHeight="1" x14ac:dyDescent="0.35">
      <c r="C1889" s="100" t="str">
        <f>IF(OR(Fact_Cumplimiento[[#This Row], [Año]]="",Fact_Cumplimiento[[#This Row], [Mes]]=""),"",DATE(A1889,MATCH(B1889,{"enero","febrero","marzo","abril","mayo","junio","julio","agosto","septiembre","octubre","noviembre","diciembre"},0)+1,0))</f>
        <v/>
      </c>
      <c r="E1889" t="str">
        <f>+IFERROR(VLOOKUP(Fact_Cumplimiento[[#This Row], [Concepto Anterior]],Conceptos_Cumplimiento[#All],5,0),"")</f>
        <v/>
      </c>
      <c r="F1889" t="str">
        <f>+IFERROR(VLOOKUP(Fact_Cumplimiento[[#This Row], 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ht="18.75" customHeight="1" x14ac:dyDescent="0.35">
      <c r="C1890" s="100" t="str">
        <f>IF(OR(Fact_Cumplimiento[[#This Row], [Año]]="",Fact_Cumplimiento[[#This Row], [Mes]]=""),"",DATE(A1890,MATCH(B1890,{"enero","febrero","marzo","abril","mayo","junio","julio","agosto","septiembre","octubre","noviembre","diciembre"},0)+1,0))</f>
        <v/>
      </c>
      <c r="E1890" t="str">
        <f>+IFERROR(VLOOKUP(Fact_Cumplimiento[[#This Row], [Concepto Anterior]],Conceptos_Cumplimiento[#All],5,0),"")</f>
        <v/>
      </c>
      <c r="F1890" t="str">
        <f>+IFERROR(VLOOKUP(Fact_Cumplimiento[[#This Row], 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ht="18.75" customHeight="1" x14ac:dyDescent="0.35">
      <c r="C1891" s="100" t="str">
        <f>IF(OR(Fact_Cumplimiento[[#This Row], [Año]]="",Fact_Cumplimiento[[#This Row], [Mes]]=""),"",DATE(A1891,MATCH(B1891,{"enero","febrero","marzo","abril","mayo","junio","julio","agosto","septiembre","octubre","noviembre","diciembre"},0)+1,0))</f>
        <v/>
      </c>
      <c r="E1891" t="str">
        <f>+IFERROR(VLOOKUP(Fact_Cumplimiento[[#This Row], [Concepto Anterior]],Conceptos_Cumplimiento[#All],5,0),"")</f>
        <v/>
      </c>
      <c r="F1891" t="str">
        <f>+IFERROR(VLOOKUP(Fact_Cumplimiento[[#This Row], 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ht="18.75" customHeight="1" x14ac:dyDescent="0.35">
      <c r="C1892" s="100" t="str">
        <f>IF(OR(Fact_Cumplimiento[[#This Row], [Año]]="",Fact_Cumplimiento[[#This Row], [Mes]]=""),"",DATE(A1892,MATCH(B1892,{"enero","febrero","marzo","abril","mayo","junio","julio","agosto","septiembre","octubre","noviembre","diciembre"},0)+1,0))</f>
        <v/>
      </c>
      <c r="E1892" t="str">
        <f>+IFERROR(VLOOKUP(Fact_Cumplimiento[[#This Row], [Concepto Anterior]],Conceptos_Cumplimiento[#All],5,0),"")</f>
        <v/>
      </c>
      <c r="F1892" t="str">
        <f>+IFERROR(VLOOKUP(Fact_Cumplimiento[[#This Row], 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ht="18.75" customHeight="1" x14ac:dyDescent="0.35">
      <c r="C1893" s="100" t="str">
        <f>IF(OR(Fact_Cumplimiento[[#This Row], [Año]]="",Fact_Cumplimiento[[#This Row], [Mes]]=""),"",DATE(A1893,MATCH(B1893,{"enero","febrero","marzo","abril","mayo","junio","julio","agosto","septiembre","octubre","noviembre","diciembre"},0)+1,0))</f>
        <v/>
      </c>
      <c r="E1893" t="str">
        <f>+IFERROR(VLOOKUP(Fact_Cumplimiento[[#This Row], [Concepto Anterior]],Conceptos_Cumplimiento[#All],5,0),"")</f>
        <v/>
      </c>
      <c r="F1893" t="str">
        <f>+IFERROR(VLOOKUP(Fact_Cumplimiento[[#This Row], 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ht="18.75" customHeight="1" x14ac:dyDescent="0.35">
      <c r="C1894" s="100" t="str">
        <f>IF(OR(Fact_Cumplimiento[[#This Row], [Año]]="",Fact_Cumplimiento[[#This Row], [Mes]]=""),"",DATE(A1894,MATCH(B1894,{"enero","febrero","marzo","abril","mayo","junio","julio","agosto","septiembre","octubre","noviembre","diciembre"},0)+1,0))</f>
        <v/>
      </c>
      <c r="E1894" t="str">
        <f>+IFERROR(VLOOKUP(Fact_Cumplimiento[[#This Row], [Concepto Anterior]],Conceptos_Cumplimiento[#All],5,0),"")</f>
        <v/>
      </c>
      <c r="F1894" t="str">
        <f>+IFERROR(VLOOKUP(Fact_Cumplimiento[[#This Row], 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ht="18.75" customHeight="1" x14ac:dyDescent="0.35">
      <c r="C1895" s="100" t="str">
        <f>IF(OR(Fact_Cumplimiento[[#This Row], [Año]]="",Fact_Cumplimiento[[#This Row], [Mes]]=""),"",DATE(A1895,MATCH(B1895,{"enero","febrero","marzo","abril","mayo","junio","julio","agosto","septiembre","octubre","noviembre","diciembre"},0)+1,0))</f>
        <v/>
      </c>
      <c r="E1895" t="str">
        <f>+IFERROR(VLOOKUP(Fact_Cumplimiento[[#This Row], [Concepto Anterior]],Conceptos_Cumplimiento[#All],5,0),"")</f>
        <v/>
      </c>
      <c r="F1895" t="str">
        <f>+IFERROR(VLOOKUP(Fact_Cumplimiento[[#This Row], 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ht="18.75" customHeight="1" x14ac:dyDescent="0.35">
      <c r="C1896" s="100" t="str">
        <f>IF(OR(Fact_Cumplimiento[[#This Row], [Año]]="",Fact_Cumplimiento[[#This Row], [Mes]]=""),"",DATE(A1896,MATCH(B1896,{"enero","febrero","marzo","abril","mayo","junio","julio","agosto","septiembre","octubre","noviembre","diciembre"},0)+1,0))</f>
        <v/>
      </c>
      <c r="E1896" t="str">
        <f>+IFERROR(VLOOKUP(Fact_Cumplimiento[[#This Row], [Concepto Anterior]],Conceptos_Cumplimiento[#All],5,0),"")</f>
        <v/>
      </c>
      <c r="F1896" t="str">
        <f>+IFERROR(VLOOKUP(Fact_Cumplimiento[[#This Row], 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ht="18.75" customHeight="1" x14ac:dyDescent="0.35">
      <c r="C1897" s="100" t="str">
        <f>IF(OR(Fact_Cumplimiento[[#This Row], [Año]]="",Fact_Cumplimiento[[#This Row], [Mes]]=""),"",DATE(A1897,MATCH(B1897,{"enero","febrero","marzo","abril","mayo","junio","julio","agosto","septiembre","octubre","noviembre","diciembre"},0)+1,0))</f>
        <v/>
      </c>
      <c r="E1897" t="str">
        <f>+IFERROR(VLOOKUP(Fact_Cumplimiento[[#This Row], [Concepto Anterior]],Conceptos_Cumplimiento[#All],5,0),"")</f>
        <v/>
      </c>
      <c r="F1897" t="str">
        <f>+IFERROR(VLOOKUP(Fact_Cumplimiento[[#This Row], 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ht="18.75" customHeight="1" x14ac:dyDescent="0.35">
      <c r="C1898" s="100" t="str">
        <f>IF(OR(Fact_Cumplimiento[[#This Row], [Año]]="",Fact_Cumplimiento[[#This Row], [Mes]]=""),"",DATE(A1898,MATCH(B1898,{"enero","febrero","marzo","abril","mayo","junio","julio","agosto","septiembre","octubre","noviembre","diciembre"},0)+1,0))</f>
        <v/>
      </c>
      <c r="E1898" t="str">
        <f>+IFERROR(VLOOKUP(Fact_Cumplimiento[[#This Row], [Concepto Anterior]],Conceptos_Cumplimiento[#All],5,0),"")</f>
        <v/>
      </c>
      <c r="F1898" t="str">
        <f>+IFERROR(VLOOKUP(Fact_Cumplimiento[[#This Row], 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ht="18.75" customHeight="1" x14ac:dyDescent="0.35">
      <c r="C1899" s="100" t="str">
        <f>IF(OR(Fact_Cumplimiento[[#This Row], [Año]]="",Fact_Cumplimiento[[#This Row], [Mes]]=""),"",DATE(A1899,MATCH(B1899,{"enero","febrero","marzo","abril","mayo","junio","julio","agosto","septiembre","octubre","noviembre","diciembre"},0)+1,0))</f>
        <v/>
      </c>
      <c r="E1899" t="str">
        <f>+IFERROR(VLOOKUP(Fact_Cumplimiento[[#This Row], [Concepto Anterior]],Conceptos_Cumplimiento[#All],5,0),"")</f>
        <v/>
      </c>
      <c r="F1899" t="str">
        <f>+IFERROR(VLOOKUP(Fact_Cumplimiento[[#This Row], 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ht="18.75" customHeight="1" x14ac:dyDescent="0.35">
      <c r="C1900" s="100" t="str">
        <f>IF(OR(Fact_Cumplimiento[[#This Row], [Año]]="",Fact_Cumplimiento[[#This Row], [Mes]]=""),"",DATE(A1900,MATCH(B1900,{"enero","febrero","marzo","abril","mayo","junio","julio","agosto","septiembre","octubre","noviembre","diciembre"},0)+1,0))</f>
        <v/>
      </c>
      <c r="E1900" t="str">
        <f>+IFERROR(VLOOKUP(Fact_Cumplimiento[[#This Row], [Concepto Anterior]],Conceptos_Cumplimiento[#All],5,0),"")</f>
        <v/>
      </c>
      <c r="F1900" t="str">
        <f>+IFERROR(VLOOKUP(Fact_Cumplimiento[[#This Row], 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ht="18.75" customHeight="1" x14ac:dyDescent="0.35">
      <c r="C1901" s="100" t="str">
        <f>IF(OR(Fact_Cumplimiento[[#This Row], [Año]]="",Fact_Cumplimiento[[#This Row], [Mes]]=""),"",DATE(A1901,MATCH(B1901,{"enero","febrero","marzo","abril","mayo","junio","julio","agosto","septiembre","octubre","noviembre","diciembre"},0)+1,0))</f>
        <v/>
      </c>
      <c r="E1901" t="str">
        <f>+IFERROR(VLOOKUP(Fact_Cumplimiento[[#This Row], [Concepto Anterior]],Conceptos_Cumplimiento[#All],5,0),"")</f>
        <v/>
      </c>
      <c r="F1901" t="str">
        <f>+IFERROR(VLOOKUP(Fact_Cumplimiento[[#This Row], 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ht="18.75" customHeight="1" x14ac:dyDescent="0.35">
      <c r="C1902" s="100" t="str">
        <f>IF(OR(Fact_Cumplimiento[[#This Row], [Año]]="",Fact_Cumplimiento[[#This Row], [Mes]]=""),"",DATE(A1902,MATCH(B1902,{"enero","febrero","marzo","abril","mayo","junio","julio","agosto","septiembre","octubre","noviembre","diciembre"},0)+1,0))</f>
        <v/>
      </c>
      <c r="E1902" t="str">
        <f>+IFERROR(VLOOKUP(Fact_Cumplimiento[[#This Row], [Concepto Anterior]],Conceptos_Cumplimiento[#All],5,0),"")</f>
        <v/>
      </c>
      <c r="F1902" t="str">
        <f>+IFERROR(VLOOKUP(Fact_Cumplimiento[[#This Row], 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ht="18.75" customHeight="1" x14ac:dyDescent="0.35">
      <c r="C1903" s="100" t="str">
        <f>IF(OR(Fact_Cumplimiento[[#This Row], [Año]]="",Fact_Cumplimiento[[#This Row], [Mes]]=""),"",DATE(A1903,MATCH(B1903,{"enero","febrero","marzo","abril","mayo","junio","julio","agosto","septiembre","octubre","noviembre","diciembre"},0)+1,0))</f>
        <v/>
      </c>
      <c r="E1903" t="str">
        <f>+IFERROR(VLOOKUP(Fact_Cumplimiento[[#This Row], [Concepto Anterior]],Conceptos_Cumplimiento[#All],5,0),"")</f>
        <v/>
      </c>
      <c r="F1903" t="str">
        <f>+IFERROR(VLOOKUP(Fact_Cumplimiento[[#This Row], 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ht="18.75" customHeight="1" x14ac:dyDescent="0.35">
      <c r="C1904" s="100" t="str">
        <f>IF(OR(Fact_Cumplimiento[[#This Row], [Año]]="",Fact_Cumplimiento[[#This Row], [Mes]]=""),"",DATE(A1904,MATCH(B1904,{"enero","febrero","marzo","abril","mayo","junio","julio","agosto","septiembre","octubre","noviembre","diciembre"},0)+1,0))</f>
        <v/>
      </c>
      <c r="E1904" t="str">
        <f>+IFERROR(VLOOKUP(Fact_Cumplimiento[[#This Row], [Concepto Anterior]],Conceptos_Cumplimiento[#All],5,0),"")</f>
        <v/>
      </c>
      <c r="F1904" t="str">
        <f>+IFERROR(VLOOKUP(Fact_Cumplimiento[[#This Row], 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ht="18.75" customHeight="1" x14ac:dyDescent="0.35">
      <c r="C1905" s="100" t="str">
        <f>IF(OR(Fact_Cumplimiento[[#This Row], [Año]]="",Fact_Cumplimiento[[#This Row], [Mes]]=""),"",DATE(A1905,MATCH(B1905,{"enero","febrero","marzo","abril","mayo","junio","julio","agosto","septiembre","octubre","noviembre","diciembre"},0)+1,0))</f>
        <v/>
      </c>
      <c r="E1905" t="str">
        <f>+IFERROR(VLOOKUP(Fact_Cumplimiento[[#This Row], [Concepto Anterior]],Conceptos_Cumplimiento[#All],5,0),"")</f>
        <v/>
      </c>
      <c r="F1905" t="str">
        <f>+IFERROR(VLOOKUP(Fact_Cumplimiento[[#This Row], 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ht="18.75" customHeight="1" x14ac:dyDescent="0.35">
      <c r="C1906" s="100" t="str">
        <f>IF(OR(Fact_Cumplimiento[[#This Row], [Año]]="",Fact_Cumplimiento[[#This Row], [Mes]]=""),"",DATE(A1906,MATCH(B1906,{"enero","febrero","marzo","abril","mayo","junio","julio","agosto","septiembre","octubre","noviembre","diciembre"},0)+1,0))</f>
        <v/>
      </c>
      <c r="E1906" t="str">
        <f>+IFERROR(VLOOKUP(Fact_Cumplimiento[[#This Row], [Concepto Anterior]],Conceptos_Cumplimiento[#All],5,0),"")</f>
        <v/>
      </c>
      <c r="F1906" t="str">
        <f>+IFERROR(VLOOKUP(Fact_Cumplimiento[[#This Row], 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ht="18.75" customHeight="1" x14ac:dyDescent="0.35">
      <c r="C1907" s="100" t="str">
        <f>IF(OR(Fact_Cumplimiento[[#This Row], [Año]]="",Fact_Cumplimiento[[#This Row], [Mes]]=""),"",DATE(A1907,MATCH(B1907,{"enero","febrero","marzo","abril","mayo","junio","julio","agosto","septiembre","octubre","noviembre","diciembre"},0)+1,0))</f>
        <v/>
      </c>
      <c r="E1907" t="str">
        <f>+IFERROR(VLOOKUP(Fact_Cumplimiento[[#This Row], [Concepto Anterior]],Conceptos_Cumplimiento[#All],5,0),"")</f>
        <v/>
      </c>
      <c r="F1907" t="str">
        <f>+IFERROR(VLOOKUP(Fact_Cumplimiento[[#This Row], 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ht="18.75" customHeight="1" x14ac:dyDescent="0.35">
      <c r="C1908" s="100" t="str">
        <f>IF(OR(Fact_Cumplimiento[[#This Row], [Año]]="",Fact_Cumplimiento[[#This Row], [Mes]]=""),"",DATE(A1908,MATCH(B1908,{"enero","febrero","marzo","abril","mayo","junio","julio","agosto","septiembre","octubre","noviembre","diciembre"},0)+1,0))</f>
        <v/>
      </c>
      <c r="E1908" t="str">
        <f>+IFERROR(VLOOKUP(Fact_Cumplimiento[[#This Row], [Concepto Anterior]],Conceptos_Cumplimiento[#All],5,0),"")</f>
        <v/>
      </c>
      <c r="F1908" t="str">
        <f>+IFERROR(VLOOKUP(Fact_Cumplimiento[[#This Row], 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ht="18.75" customHeight="1" x14ac:dyDescent="0.35">
      <c r="C1909" s="100" t="str">
        <f>IF(OR(Fact_Cumplimiento[[#This Row], [Año]]="",Fact_Cumplimiento[[#This Row], [Mes]]=""),"",DATE(A1909,MATCH(B1909,{"enero","febrero","marzo","abril","mayo","junio","julio","agosto","septiembre","octubre","noviembre","diciembre"},0)+1,0))</f>
        <v/>
      </c>
      <c r="E1909" t="str">
        <f>+IFERROR(VLOOKUP(Fact_Cumplimiento[[#This Row], [Concepto Anterior]],Conceptos_Cumplimiento[#All],5,0),"")</f>
        <v/>
      </c>
      <c r="F1909" t="str">
        <f>+IFERROR(VLOOKUP(Fact_Cumplimiento[[#This Row], 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ht="18.75" customHeight="1" x14ac:dyDescent="0.35">
      <c r="C1910" s="100" t="str">
        <f>IF(OR(Fact_Cumplimiento[[#This Row], [Año]]="",Fact_Cumplimiento[[#This Row], [Mes]]=""),"",DATE(A1910,MATCH(B1910,{"enero","febrero","marzo","abril","mayo","junio","julio","agosto","septiembre","octubre","noviembre","diciembre"},0)+1,0))</f>
        <v/>
      </c>
      <c r="E1910" t="str">
        <f>+IFERROR(VLOOKUP(Fact_Cumplimiento[[#This Row], [Concepto Anterior]],Conceptos_Cumplimiento[#All],5,0),"")</f>
        <v/>
      </c>
      <c r="F1910" t="str">
        <f>+IFERROR(VLOOKUP(Fact_Cumplimiento[[#This Row], 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ht="18.75" customHeight="1" x14ac:dyDescent="0.35">
      <c r="C1911" s="100" t="str">
        <f>IF(OR(Fact_Cumplimiento[[#This Row], [Año]]="",Fact_Cumplimiento[[#This Row], [Mes]]=""),"",DATE(A1911,MATCH(B1911,{"enero","febrero","marzo","abril","mayo","junio","julio","agosto","septiembre","octubre","noviembre","diciembre"},0)+1,0))</f>
        <v/>
      </c>
      <c r="E1911" t="str">
        <f>+IFERROR(VLOOKUP(Fact_Cumplimiento[[#This Row], [Concepto Anterior]],Conceptos_Cumplimiento[#All],5,0),"")</f>
        <v/>
      </c>
      <c r="F1911" t="str">
        <f>+IFERROR(VLOOKUP(Fact_Cumplimiento[[#This Row], 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ht="18.75" customHeight="1" x14ac:dyDescent="0.35">
      <c r="C1912" s="100" t="str">
        <f>IF(OR(Fact_Cumplimiento[[#This Row], [Año]]="",Fact_Cumplimiento[[#This Row], [Mes]]=""),"",DATE(A1912,MATCH(B1912,{"enero","febrero","marzo","abril","mayo","junio","julio","agosto","septiembre","octubre","noviembre","diciembre"},0)+1,0))</f>
        <v/>
      </c>
      <c r="E1912" t="str">
        <f>+IFERROR(VLOOKUP(Fact_Cumplimiento[[#This Row], [Concepto Anterior]],Conceptos_Cumplimiento[#All],5,0),"")</f>
        <v/>
      </c>
      <c r="F1912" t="str">
        <f>+IFERROR(VLOOKUP(Fact_Cumplimiento[[#This Row], 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ht="18.75" customHeight="1" x14ac:dyDescent="0.35">
      <c r="C1913" s="100" t="str">
        <f>IF(OR(Fact_Cumplimiento[[#This Row], [Año]]="",Fact_Cumplimiento[[#This Row], [Mes]]=""),"",DATE(A1913,MATCH(B1913,{"enero","febrero","marzo","abril","mayo","junio","julio","agosto","septiembre","octubre","noviembre","diciembre"},0)+1,0))</f>
        <v/>
      </c>
      <c r="E1913" t="str">
        <f>+IFERROR(VLOOKUP(Fact_Cumplimiento[[#This Row], [Concepto Anterior]],Conceptos_Cumplimiento[#All],5,0),"")</f>
        <v/>
      </c>
      <c r="F1913" t="str">
        <f>+IFERROR(VLOOKUP(Fact_Cumplimiento[[#This Row], 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ht="18.75" customHeight="1" x14ac:dyDescent="0.35">
      <c r="C1914" s="100" t="str">
        <f>IF(OR(Fact_Cumplimiento[[#This Row], [Año]]="",Fact_Cumplimiento[[#This Row], [Mes]]=""),"",DATE(A1914,MATCH(B1914,{"enero","febrero","marzo","abril","mayo","junio","julio","agosto","septiembre","octubre","noviembre","diciembre"},0)+1,0))</f>
        <v/>
      </c>
      <c r="E1914" t="str">
        <f>+IFERROR(VLOOKUP(Fact_Cumplimiento[[#This Row], [Concepto Anterior]],Conceptos_Cumplimiento[#All],5,0),"")</f>
        <v/>
      </c>
      <c r="F1914" t="str">
        <f>+IFERROR(VLOOKUP(Fact_Cumplimiento[[#This Row], 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ht="18.75" customHeight="1" x14ac:dyDescent="0.35">
      <c r="C1915" s="100" t="str">
        <f>IF(OR(Fact_Cumplimiento[[#This Row], [Año]]="",Fact_Cumplimiento[[#This Row], [Mes]]=""),"",DATE(A1915,MATCH(B1915,{"enero","febrero","marzo","abril","mayo","junio","julio","agosto","septiembre","octubre","noviembre","diciembre"},0)+1,0))</f>
        <v/>
      </c>
      <c r="E1915" t="str">
        <f>+IFERROR(VLOOKUP(Fact_Cumplimiento[[#This Row], [Concepto Anterior]],Conceptos_Cumplimiento[#All],5,0),"")</f>
        <v/>
      </c>
      <c r="F1915" t="str">
        <f>+IFERROR(VLOOKUP(Fact_Cumplimiento[[#This Row], 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ht="18.75" customHeight="1" x14ac:dyDescent="0.35">
      <c r="C1916" s="100" t="str">
        <f>IF(OR(Fact_Cumplimiento[[#This Row], [Año]]="",Fact_Cumplimiento[[#This Row], [Mes]]=""),"",DATE(A1916,MATCH(B1916,{"enero","febrero","marzo","abril","mayo","junio","julio","agosto","septiembre","octubre","noviembre","diciembre"},0)+1,0))</f>
        <v/>
      </c>
      <c r="E1916" t="str">
        <f>+IFERROR(VLOOKUP(Fact_Cumplimiento[[#This Row], [Concepto Anterior]],Conceptos_Cumplimiento[#All],5,0),"")</f>
        <v/>
      </c>
      <c r="F1916" t="str">
        <f>+IFERROR(VLOOKUP(Fact_Cumplimiento[[#This Row], 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ht="18.75" customHeight="1" x14ac:dyDescent="0.35">
      <c r="C1917" s="100" t="str">
        <f>IF(OR(Fact_Cumplimiento[[#This Row], [Año]]="",Fact_Cumplimiento[[#This Row], [Mes]]=""),"",DATE(A1917,MATCH(B1917,{"enero","febrero","marzo","abril","mayo","junio","julio","agosto","septiembre","octubre","noviembre","diciembre"},0)+1,0))</f>
        <v/>
      </c>
      <c r="E1917" t="str">
        <f>+IFERROR(VLOOKUP(Fact_Cumplimiento[[#This Row], [Concepto Anterior]],Conceptos_Cumplimiento[#All],5,0),"")</f>
        <v/>
      </c>
      <c r="F1917" t="str">
        <f>+IFERROR(VLOOKUP(Fact_Cumplimiento[[#This Row], 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ht="18.75" customHeight="1" x14ac:dyDescent="0.35">
      <c r="C1918" s="100" t="str">
        <f>IF(OR(Fact_Cumplimiento[[#This Row], [Año]]="",Fact_Cumplimiento[[#This Row], [Mes]]=""),"",DATE(A1918,MATCH(B1918,{"enero","febrero","marzo","abril","mayo","junio","julio","agosto","septiembre","octubre","noviembre","diciembre"},0)+1,0))</f>
        <v/>
      </c>
      <c r="E1918" t="str">
        <f>+IFERROR(VLOOKUP(Fact_Cumplimiento[[#This Row], [Concepto Anterior]],Conceptos_Cumplimiento[#All],5,0),"")</f>
        <v/>
      </c>
      <c r="F1918" t="str">
        <f>+IFERROR(VLOOKUP(Fact_Cumplimiento[[#This Row], 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ht="18.75" customHeight="1" x14ac:dyDescent="0.35">
      <c r="C1919" s="100" t="str">
        <f>IF(OR(Fact_Cumplimiento[[#This Row], [Año]]="",Fact_Cumplimiento[[#This Row], [Mes]]=""),"",DATE(A1919,MATCH(B1919,{"enero","febrero","marzo","abril","mayo","junio","julio","agosto","septiembre","octubre","noviembre","diciembre"},0)+1,0))</f>
        <v/>
      </c>
      <c r="E1919" t="str">
        <f>+IFERROR(VLOOKUP(Fact_Cumplimiento[[#This Row], [Concepto Anterior]],Conceptos_Cumplimiento[#All],5,0),"")</f>
        <v/>
      </c>
      <c r="F1919" t="str">
        <f>+IFERROR(VLOOKUP(Fact_Cumplimiento[[#This Row], 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ht="18.75" customHeight="1" x14ac:dyDescent="0.35">
      <c r="C1920" s="100" t="str">
        <f>IF(OR(Fact_Cumplimiento[[#This Row], [Año]]="",Fact_Cumplimiento[[#This Row], [Mes]]=""),"",DATE(A1920,MATCH(B1920,{"enero","febrero","marzo","abril","mayo","junio","julio","agosto","septiembre","octubre","noviembre","diciembre"},0)+1,0))</f>
        <v/>
      </c>
      <c r="E1920" t="str">
        <f>+IFERROR(VLOOKUP(Fact_Cumplimiento[[#This Row], [Concepto Anterior]],Conceptos_Cumplimiento[#All],5,0),"")</f>
        <v/>
      </c>
      <c r="F1920" t="str">
        <f>+IFERROR(VLOOKUP(Fact_Cumplimiento[[#This Row], 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ht="18.75" customHeight="1" x14ac:dyDescent="0.35">
      <c r="C1921" s="100" t="str">
        <f>IF(OR(Fact_Cumplimiento[[#This Row], [Año]]="",Fact_Cumplimiento[[#This Row], [Mes]]=""),"",DATE(A1921,MATCH(B1921,{"enero","febrero","marzo","abril","mayo","junio","julio","agosto","septiembre","octubre","noviembre","diciembre"},0)+1,0))</f>
        <v/>
      </c>
      <c r="E1921" t="str">
        <f>+IFERROR(VLOOKUP(Fact_Cumplimiento[[#This Row], [Concepto Anterior]],Conceptos_Cumplimiento[#All],5,0),"")</f>
        <v/>
      </c>
      <c r="F1921" t="str">
        <f>+IFERROR(VLOOKUP(Fact_Cumplimiento[[#This Row], 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ht="18.75" customHeight="1" x14ac:dyDescent="0.35">
      <c r="C1922" s="100" t="str">
        <f>IF(OR(Fact_Cumplimiento[[#This Row], [Año]]="",Fact_Cumplimiento[[#This Row], [Mes]]=""),"",DATE(A1922,MATCH(B1922,{"enero","febrero","marzo","abril","mayo","junio","julio","agosto","septiembre","octubre","noviembre","diciembre"},0)+1,0))</f>
        <v/>
      </c>
      <c r="E1922" t="str">
        <f>+IFERROR(VLOOKUP(Fact_Cumplimiento[[#This Row], [Concepto Anterior]],Conceptos_Cumplimiento[#All],5,0),"")</f>
        <v/>
      </c>
      <c r="F1922" t="str">
        <f>+IFERROR(VLOOKUP(Fact_Cumplimiento[[#This Row], 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ht="18.75" customHeight="1" x14ac:dyDescent="0.35">
      <c r="C1923" s="100" t="str">
        <f>IF(OR(Fact_Cumplimiento[[#This Row], [Año]]="",Fact_Cumplimiento[[#This Row], [Mes]]=""),"",DATE(A1923,MATCH(B1923,{"enero","febrero","marzo","abril","mayo","junio","julio","agosto","septiembre","octubre","noviembre","diciembre"},0)+1,0))</f>
        <v/>
      </c>
      <c r="E1923" t="str">
        <f>+IFERROR(VLOOKUP(Fact_Cumplimiento[[#This Row], [Concepto Anterior]],Conceptos_Cumplimiento[#All],5,0),"")</f>
        <v/>
      </c>
      <c r="F1923" t="str">
        <f>+IFERROR(VLOOKUP(Fact_Cumplimiento[[#This Row], 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ht="18.75" customHeight="1" x14ac:dyDescent="0.35">
      <c r="C1924" s="100" t="str">
        <f>IF(OR(Fact_Cumplimiento[[#This Row], [Año]]="",Fact_Cumplimiento[[#This Row], [Mes]]=""),"",DATE(A1924,MATCH(B1924,{"enero","febrero","marzo","abril","mayo","junio","julio","agosto","septiembre","octubre","noviembre","diciembre"},0)+1,0))</f>
        <v/>
      </c>
      <c r="E1924" t="str">
        <f>+IFERROR(VLOOKUP(Fact_Cumplimiento[[#This Row], [Concepto Anterior]],Conceptos_Cumplimiento[#All],5,0),"")</f>
        <v/>
      </c>
      <c r="F1924" t="str">
        <f>+IFERROR(VLOOKUP(Fact_Cumplimiento[[#This Row], 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ht="18.75" customHeight="1" x14ac:dyDescent="0.35">
      <c r="C1925" s="100" t="str">
        <f>IF(OR(Fact_Cumplimiento[[#This Row], [Año]]="",Fact_Cumplimiento[[#This Row], [Mes]]=""),"",DATE(A1925,MATCH(B1925,{"enero","febrero","marzo","abril","mayo","junio","julio","agosto","septiembre","octubre","noviembre","diciembre"},0)+1,0))</f>
        <v/>
      </c>
      <c r="E1925" t="str">
        <f>+IFERROR(VLOOKUP(Fact_Cumplimiento[[#This Row], [Concepto Anterior]],Conceptos_Cumplimiento[#All],5,0),"")</f>
        <v/>
      </c>
      <c r="F1925" t="str">
        <f>+IFERROR(VLOOKUP(Fact_Cumplimiento[[#This Row], 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ht="18.75" customHeight="1" x14ac:dyDescent="0.35">
      <c r="C1926" s="100" t="str">
        <f>IF(OR(Fact_Cumplimiento[[#This Row], [Año]]="",Fact_Cumplimiento[[#This Row], [Mes]]=""),"",DATE(A1926,MATCH(B1926,{"enero","febrero","marzo","abril","mayo","junio","julio","agosto","septiembre","octubre","noviembre","diciembre"},0)+1,0))</f>
        <v/>
      </c>
      <c r="E1926" t="str">
        <f>+IFERROR(VLOOKUP(Fact_Cumplimiento[[#This Row], [Concepto Anterior]],Conceptos_Cumplimiento[#All],5,0),"")</f>
        <v/>
      </c>
      <c r="F1926" t="str">
        <f>+IFERROR(VLOOKUP(Fact_Cumplimiento[[#This Row], 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ht="18.75" customHeight="1" x14ac:dyDescent="0.35">
      <c r="C1927" s="100" t="str">
        <f>IF(OR(Fact_Cumplimiento[[#This Row], [Año]]="",Fact_Cumplimiento[[#This Row], [Mes]]=""),"",DATE(A1927,MATCH(B1927,{"enero","febrero","marzo","abril","mayo","junio","julio","agosto","septiembre","octubre","noviembre","diciembre"},0)+1,0))</f>
        <v/>
      </c>
      <c r="E1927" t="str">
        <f>+IFERROR(VLOOKUP(Fact_Cumplimiento[[#This Row], [Concepto Anterior]],Conceptos_Cumplimiento[#All],5,0),"")</f>
        <v/>
      </c>
      <c r="F1927" t="str">
        <f>+IFERROR(VLOOKUP(Fact_Cumplimiento[[#This Row], 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ht="18.75" customHeight="1" x14ac:dyDescent="0.35">
      <c r="C1928" s="100" t="str">
        <f>IF(OR(Fact_Cumplimiento[[#This Row], [Año]]="",Fact_Cumplimiento[[#This Row], [Mes]]=""),"",DATE(A1928,MATCH(B1928,{"enero","febrero","marzo","abril","mayo","junio","julio","agosto","septiembre","octubre","noviembre","diciembre"},0)+1,0))</f>
        <v/>
      </c>
      <c r="E1928" t="str">
        <f>+IFERROR(VLOOKUP(Fact_Cumplimiento[[#This Row], [Concepto Anterior]],Conceptos_Cumplimiento[#All],5,0),"")</f>
        <v/>
      </c>
      <c r="F1928" t="str">
        <f>+IFERROR(VLOOKUP(Fact_Cumplimiento[[#This Row], 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ht="18.75" customHeight="1" x14ac:dyDescent="0.35">
      <c r="C1929" s="100" t="str">
        <f>IF(OR(Fact_Cumplimiento[[#This Row], [Año]]="",Fact_Cumplimiento[[#This Row], [Mes]]=""),"",DATE(A1929,MATCH(B1929,{"enero","febrero","marzo","abril","mayo","junio","julio","agosto","septiembre","octubre","noviembre","diciembre"},0)+1,0))</f>
        <v/>
      </c>
      <c r="E1929" t="str">
        <f>+IFERROR(VLOOKUP(Fact_Cumplimiento[[#This Row], [Concepto Anterior]],Conceptos_Cumplimiento[#All],5,0),"")</f>
        <v/>
      </c>
      <c r="F1929" t="str">
        <f>+IFERROR(VLOOKUP(Fact_Cumplimiento[[#This Row], 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ht="18.75" customHeight="1" x14ac:dyDescent="0.35">
      <c r="C1930" s="100" t="str">
        <f>IF(OR(Fact_Cumplimiento[[#This Row], [Año]]="",Fact_Cumplimiento[[#This Row], [Mes]]=""),"",DATE(A1930,MATCH(B1930,{"enero","febrero","marzo","abril","mayo","junio","julio","agosto","septiembre","octubre","noviembre","diciembre"},0)+1,0))</f>
        <v/>
      </c>
      <c r="E1930" t="str">
        <f>+IFERROR(VLOOKUP(Fact_Cumplimiento[[#This Row], [Concepto Anterior]],Conceptos_Cumplimiento[#All],5,0),"")</f>
        <v/>
      </c>
      <c r="F1930" t="str">
        <f>+IFERROR(VLOOKUP(Fact_Cumplimiento[[#This Row], 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ht="18.75" customHeight="1" x14ac:dyDescent="0.35">
      <c r="C1931" s="100" t="str">
        <f>IF(OR(Fact_Cumplimiento[[#This Row], [Año]]="",Fact_Cumplimiento[[#This Row], [Mes]]=""),"",DATE(A1931,MATCH(B1931,{"enero","febrero","marzo","abril","mayo","junio","julio","agosto","septiembre","octubre","noviembre","diciembre"},0)+1,0))</f>
        <v/>
      </c>
      <c r="E1931" t="str">
        <f>+IFERROR(VLOOKUP(Fact_Cumplimiento[[#This Row], [Concepto Anterior]],Conceptos_Cumplimiento[#All],5,0),"")</f>
        <v/>
      </c>
      <c r="F1931" t="str">
        <f>+IFERROR(VLOOKUP(Fact_Cumplimiento[[#This Row], 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ht="18.75" customHeight="1" x14ac:dyDescent="0.35">
      <c r="C1932" s="100" t="str">
        <f>IF(OR(Fact_Cumplimiento[[#This Row], [Año]]="",Fact_Cumplimiento[[#This Row], [Mes]]=""),"",DATE(A1932,MATCH(B1932,{"enero","febrero","marzo","abril","mayo","junio","julio","agosto","septiembre","octubre","noviembre","diciembre"},0)+1,0))</f>
        <v/>
      </c>
      <c r="E1932" t="str">
        <f>+IFERROR(VLOOKUP(Fact_Cumplimiento[[#This Row], [Concepto Anterior]],Conceptos_Cumplimiento[#All],5,0),"")</f>
        <v/>
      </c>
      <c r="F1932" t="str">
        <f>+IFERROR(VLOOKUP(Fact_Cumplimiento[[#This Row], 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ht="18.75" customHeight="1" x14ac:dyDescent="0.35">
      <c r="C1933" s="100" t="str">
        <f>IF(OR(Fact_Cumplimiento[[#This Row], [Año]]="",Fact_Cumplimiento[[#This Row], [Mes]]=""),"",DATE(A1933,MATCH(B1933,{"enero","febrero","marzo","abril","mayo","junio","julio","agosto","septiembre","octubre","noviembre","diciembre"},0)+1,0))</f>
        <v/>
      </c>
      <c r="E1933" t="str">
        <f>+IFERROR(VLOOKUP(Fact_Cumplimiento[[#This Row], [Concepto Anterior]],Conceptos_Cumplimiento[#All],5,0),"")</f>
        <v/>
      </c>
      <c r="F1933" t="str">
        <f>+IFERROR(VLOOKUP(Fact_Cumplimiento[[#This Row], 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ht="18.75" customHeight="1" x14ac:dyDescent="0.35">
      <c r="C1934" s="100" t="str">
        <f>IF(OR(Fact_Cumplimiento[[#This Row], [Año]]="",Fact_Cumplimiento[[#This Row], [Mes]]=""),"",DATE(A1934,MATCH(B1934,{"enero","febrero","marzo","abril","mayo","junio","julio","agosto","septiembre","octubre","noviembre","diciembre"},0)+1,0))</f>
        <v/>
      </c>
      <c r="E1934" t="str">
        <f>+IFERROR(VLOOKUP(Fact_Cumplimiento[[#This Row], [Concepto Anterior]],Conceptos_Cumplimiento[#All],5,0),"")</f>
        <v/>
      </c>
      <c r="F1934" t="str">
        <f>+IFERROR(VLOOKUP(Fact_Cumplimiento[[#This Row], 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ht="18.75" customHeight="1" x14ac:dyDescent="0.35">
      <c r="C1935" s="100" t="str">
        <f>IF(OR(Fact_Cumplimiento[[#This Row], [Año]]="",Fact_Cumplimiento[[#This Row], [Mes]]=""),"",DATE(A1935,MATCH(B1935,{"enero","febrero","marzo","abril","mayo","junio","julio","agosto","septiembre","octubre","noviembre","diciembre"},0)+1,0))</f>
        <v/>
      </c>
      <c r="E1935" t="str">
        <f>+IFERROR(VLOOKUP(Fact_Cumplimiento[[#This Row], [Concepto Anterior]],Conceptos_Cumplimiento[#All],5,0),"")</f>
        <v/>
      </c>
      <c r="F1935" t="str">
        <f>+IFERROR(VLOOKUP(Fact_Cumplimiento[[#This Row], 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ht="18.75" customHeight="1" x14ac:dyDescent="0.35">
      <c r="C1936" s="100" t="str">
        <f>IF(OR(Fact_Cumplimiento[[#This Row], [Año]]="",Fact_Cumplimiento[[#This Row], [Mes]]=""),"",DATE(A1936,MATCH(B1936,{"enero","febrero","marzo","abril","mayo","junio","julio","agosto","septiembre","octubre","noviembre","diciembre"},0)+1,0))</f>
        <v/>
      </c>
      <c r="E1936" t="str">
        <f>+IFERROR(VLOOKUP(Fact_Cumplimiento[[#This Row], [Concepto Anterior]],Conceptos_Cumplimiento[#All],5,0),"")</f>
        <v/>
      </c>
      <c r="F1936" t="str">
        <f>+IFERROR(VLOOKUP(Fact_Cumplimiento[[#This Row], 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ht="18.75" customHeight="1" x14ac:dyDescent="0.35">
      <c r="C1937" s="100" t="str">
        <f>IF(OR(Fact_Cumplimiento[[#This Row], [Año]]="",Fact_Cumplimiento[[#This Row], [Mes]]=""),"",DATE(A1937,MATCH(B1937,{"enero","febrero","marzo","abril","mayo","junio","julio","agosto","septiembre","octubre","noviembre","diciembre"},0)+1,0))</f>
        <v/>
      </c>
      <c r="E1937" t="str">
        <f>+IFERROR(VLOOKUP(Fact_Cumplimiento[[#This Row], [Concepto Anterior]],Conceptos_Cumplimiento[#All],5,0),"")</f>
        <v/>
      </c>
      <c r="F1937" t="str">
        <f>+IFERROR(VLOOKUP(Fact_Cumplimiento[[#This Row], 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ht="18.75" customHeight="1" x14ac:dyDescent="0.35">
      <c r="C1938" s="100" t="str">
        <f>IF(OR(Fact_Cumplimiento[[#This Row], [Año]]="",Fact_Cumplimiento[[#This Row], [Mes]]=""),"",DATE(A1938,MATCH(B1938,{"enero","febrero","marzo","abril","mayo","junio","julio","agosto","septiembre","octubre","noviembre","diciembre"},0)+1,0))</f>
        <v/>
      </c>
      <c r="E1938" t="str">
        <f>+IFERROR(VLOOKUP(Fact_Cumplimiento[[#This Row], [Concepto Anterior]],Conceptos_Cumplimiento[#All],5,0),"")</f>
        <v/>
      </c>
      <c r="F1938" t="str">
        <f>+IFERROR(VLOOKUP(Fact_Cumplimiento[[#This Row], 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ht="18.75" customHeight="1" x14ac:dyDescent="0.35">
      <c r="C1939" s="100" t="str">
        <f>IF(OR(Fact_Cumplimiento[[#This Row], [Año]]="",Fact_Cumplimiento[[#This Row], [Mes]]=""),"",DATE(A1939,MATCH(B1939,{"enero","febrero","marzo","abril","mayo","junio","julio","agosto","septiembre","octubre","noviembre","diciembre"},0)+1,0))</f>
        <v/>
      </c>
      <c r="E1939" t="str">
        <f>+IFERROR(VLOOKUP(Fact_Cumplimiento[[#This Row], [Concepto Anterior]],Conceptos_Cumplimiento[#All],5,0),"")</f>
        <v/>
      </c>
      <c r="F1939" t="str">
        <f>+IFERROR(VLOOKUP(Fact_Cumplimiento[[#This Row], 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ht="18.75" customHeight="1" x14ac:dyDescent="0.35">
      <c r="C1940" s="100" t="str">
        <f>IF(OR(Fact_Cumplimiento[[#This Row], [Año]]="",Fact_Cumplimiento[[#This Row], [Mes]]=""),"",DATE(A1940,MATCH(B1940,{"enero","febrero","marzo","abril","mayo","junio","julio","agosto","septiembre","octubre","noviembre","diciembre"},0)+1,0))</f>
        <v/>
      </c>
      <c r="E1940" t="str">
        <f>+IFERROR(VLOOKUP(Fact_Cumplimiento[[#This Row], [Concepto Anterior]],Conceptos_Cumplimiento[#All],5,0),"")</f>
        <v/>
      </c>
      <c r="F1940" t="str">
        <f>+IFERROR(VLOOKUP(Fact_Cumplimiento[[#This Row], 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ht="18.75" customHeight="1" x14ac:dyDescent="0.35">
      <c r="C1941" s="100" t="str">
        <f>IF(OR(Fact_Cumplimiento[[#This Row], [Año]]="",Fact_Cumplimiento[[#This Row], [Mes]]=""),"",DATE(A1941,MATCH(B1941,{"enero","febrero","marzo","abril","mayo","junio","julio","agosto","septiembre","octubre","noviembre","diciembre"},0)+1,0))</f>
        <v/>
      </c>
      <c r="E1941" t="str">
        <f>+IFERROR(VLOOKUP(Fact_Cumplimiento[[#This Row], [Concepto Anterior]],Conceptos_Cumplimiento[#All],5,0),"")</f>
        <v/>
      </c>
      <c r="F1941" t="str">
        <f>+IFERROR(VLOOKUP(Fact_Cumplimiento[[#This Row], 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ht="18.75" customHeight="1" x14ac:dyDescent="0.35">
      <c r="C1942" s="100" t="str">
        <f>IF(OR(Fact_Cumplimiento[[#This Row], [Año]]="",Fact_Cumplimiento[[#This Row], [Mes]]=""),"",DATE(A1942,MATCH(B1942,{"enero","febrero","marzo","abril","mayo","junio","julio","agosto","septiembre","octubre","noviembre","diciembre"},0)+1,0))</f>
        <v/>
      </c>
      <c r="E1942" t="str">
        <f>+IFERROR(VLOOKUP(Fact_Cumplimiento[[#This Row], [Concepto Anterior]],Conceptos_Cumplimiento[#All],5,0),"")</f>
        <v/>
      </c>
      <c r="F1942" t="str">
        <f>+IFERROR(VLOOKUP(Fact_Cumplimiento[[#This Row], 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ht="18.75" customHeight="1" x14ac:dyDescent="0.35">
      <c r="C1943" s="100" t="str">
        <f>IF(OR(Fact_Cumplimiento[[#This Row], [Año]]="",Fact_Cumplimiento[[#This Row], [Mes]]=""),"",DATE(A1943,MATCH(B1943,{"enero","febrero","marzo","abril","mayo","junio","julio","agosto","septiembre","octubre","noviembre","diciembre"},0)+1,0))</f>
        <v/>
      </c>
      <c r="E1943" t="str">
        <f>+IFERROR(VLOOKUP(Fact_Cumplimiento[[#This Row], [Concepto Anterior]],Conceptos_Cumplimiento[#All],5,0),"")</f>
        <v/>
      </c>
      <c r="F1943" t="str">
        <f>+IFERROR(VLOOKUP(Fact_Cumplimiento[[#This Row], 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ht="18.75" customHeight="1" x14ac:dyDescent="0.35">
      <c r="C1944" s="100" t="str">
        <f>IF(OR(Fact_Cumplimiento[[#This Row], [Año]]="",Fact_Cumplimiento[[#This Row], [Mes]]=""),"",DATE(A1944,MATCH(B1944,{"enero","febrero","marzo","abril","mayo","junio","julio","agosto","septiembre","octubre","noviembre","diciembre"},0)+1,0))</f>
        <v/>
      </c>
      <c r="E1944" t="str">
        <f>+IFERROR(VLOOKUP(Fact_Cumplimiento[[#This Row], [Concepto Anterior]],Conceptos_Cumplimiento[#All],5,0),"")</f>
        <v/>
      </c>
      <c r="F1944" t="str">
        <f>+IFERROR(VLOOKUP(Fact_Cumplimiento[[#This Row], 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ht="18.75" customHeight="1" x14ac:dyDescent="0.35">
      <c r="C1945" s="100" t="str">
        <f>IF(OR(Fact_Cumplimiento[[#This Row], [Año]]="",Fact_Cumplimiento[[#This Row], [Mes]]=""),"",DATE(A1945,MATCH(B1945,{"enero","febrero","marzo","abril","mayo","junio","julio","agosto","septiembre","octubre","noviembre","diciembre"},0)+1,0))</f>
        <v/>
      </c>
      <c r="E1945" t="str">
        <f>+IFERROR(VLOOKUP(Fact_Cumplimiento[[#This Row], [Concepto Anterior]],Conceptos_Cumplimiento[#All],5,0),"")</f>
        <v/>
      </c>
      <c r="F1945" t="str">
        <f>+IFERROR(VLOOKUP(Fact_Cumplimiento[[#This Row], 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ht="18.75" customHeight="1" x14ac:dyDescent="0.35">
      <c r="C1946" s="100" t="str">
        <f>IF(OR(Fact_Cumplimiento[[#This Row], [Año]]="",Fact_Cumplimiento[[#This Row], [Mes]]=""),"",DATE(A1946,MATCH(B1946,{"enero","febrero","marzo","abril","mayo","junio","julio","agosto","septiembre","octubre","noviembre","diciembre"},0)+1,0))</f>
        <v/>
      </c>
      <c r="E1946" t="str">
        <f>+IFERROR(VLOOKUP(Fact_Cumplimiento[[#This Row], [Concepto Anterior]],Conceptos_Cumplimiento[#All],5,0),"")</f>
        <v/>
      </c>
      <c r="F1946" t="str">
        <f>+IFERROR(VLOOKUP(Fact_Cumplimiento[[#This Row], 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ht="18.75" customHeight="1" x14ac:dyDescent="0.35">
      <c r="C1947" s="100" t="str">
        <f>IF(OR(Fact_Cumplimiento[[#This Row], [Año]]="",Fact_Cumplimiento[[#This Row], [Mes]]=""),"",DATE(A1947,MATCH(B1947,{"enero","febrero","marzo","abril","mayo","junio","julio","agosto","septiembre","octubre","noviembre","diciembre"},0)+1,0))</f>
        <v/>
      </c>
      <c r="E1947" t="str">
        <f>+IFERROR(VLOOKUP(Fact_Cumplimiento[[#This Row], [Concepto Anterior]],Conceptos_Cumplimiento[#All],5,0),"")</f>
        <v/>
      </c>
      <c r="F1947" t="str">
        <f>+IFERROR(VLOOKUP(Fact_Cumplimiento[[#This Row], 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ht="18.75" customHeight="1" x14ac:dyDescent="0.35">
      <c r="C1948" s="100" t="str">
        <f>IF(OR(Fact_Cumplimiento[[#This Row], [Año]]="",Fact_Cumplimiento[[#This Row], [Mes]]=""),"",DATE(A1948,MATCH(B1948,{"enero","febrero","marzo","abril","mayo","junio","julio","agosto","septiembre","octubre","noviembre","diciembre"},0)+1,0))</f>
        <v/>
      </c>
      <c r="E1948" t="str">
        <f>+IFERROR(VLOOKUP(Fact_Cumplimiento[[#This Row], [Concepto Anterior]],Conceptos_Cumplimiento[#All],5,0),"")</f>
        <v/>
      </c>
      <c r="F1948" t="str">
        <f>+IFERROR(VLOOKUP(Fact_Cumplimiento[[#This Row], 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ht="18.75" customHeight="1" x14ac:dyDescent="0.35">
      <c r="C1949" s="100" t="str">
        <f>IF(OR(Fact_Cumplimiento[[#This Row], [Año]]="",Fact_Cumplimiento[[#This Row], [Mes]]=""),"",DATE(A1949,MATCH(B1949,{"enero","febrero","marzo","abril","mayo","junio","julio","agosto","septiembre","octubre","noviembre","diciembre"},0)+1,0))</f>
        <v/>
      </c>
      <c r="E1949" t="str">
        <f>+IFERROR(VLOOKUP(Fact_Cumplimiento[[#This Row], [Concepto Anterior]],Conceptos_Cumplimiento[#All],5,0),"")</f>
        <v/>
      </c>
      <c r="F1949" t="str">
        <f>+IFERROR(VLOOKUP(Fact_Cumplimiento[[#This Row], 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ht="18.75" customHeight="1" x14ac:dyDescent="0.35">
      <c r="C1950" s="100" t="str">
        <f>IF(OR(Fact_Cumplimiento[[#This Row], [Año]]="",Fact_Cumplimiento[[#This Row], [Mes]]=""),"",DATE(A1950,MATCH(B1950,{"enero","febrero","marzo","abril","mayo","junio","julio","agosto","septiembre","octubre","noviembre","diciembre"},0)+1,0))</f>
        <v/>
      </c>
      <c r="E1950" t="str">
        <f>+IFERROR(VLOOKUP(Fact_Cumplimiento[[#This Row], [Concepto Anterior]],Conceptos_Cumplimiento[#All],5,0),"")</f>
        <v/>
      </c>
      <c r="F1950" t="str">
        <f>+IFERROR(VLOOKUP(Fact_Cumplimiento[[#This Row], 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ht="18.75" customHeight="1" x14ac:dyDescent="0.35">
      <c r="C1951" s="100" t="str">
        <f>IF(OR(Fact_Cumplimiento[[#This Row], [Año]]="",Fact_Cumplimiento[[#This Row], [Mes]]=""),"",DATE(A1951,MATCH(B1951,{"enero","febrero","marzo","abril","mayo","junio","julio","agosto","septiembre","octubre","noviembre","diciembre"},0)+1,0))</f>
        <v/>
      </c>
      <c r="E1951" t="str">
        <f>+IFERROR(VLOOKUP(Fact_Cumplimiento[[#This Row], [Concepto Anterior]],Conceptos_Cumplimiento[#All],5,0),"")</f>
        <v/>
      </c>
      <c r="F1951" t="str">
        <f>+IFERROR(VLOOKUP(Fact_Cumplimiento[[#This Row], 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ht="18.75" customHeight="1" x14ac:dyDescent="0.35">
      <c r="C1952" s="100" t="str">
        <f>IF(OR(Fact_Cumplimiento[[#This Row], [Año]]="",Fact_Cumplimiento[[#This Row], [Mes]]=""),"",DATE(A1952,MATCH(B1952,{"enero","febrero","marzo","abril","mayo","junio","julio","agosto","septiembre","octubre","noviembre","diciembre"},0)+1,0))</f>
        <v/>
      </c>
      <c r="E1952" t="str">
        <f>+IFERROR(VLOOKUP(Fact_Cumplimiento[[#This Row], [Concepto Anterior]],Conceptos_Cumplimiento[#All],5,0),"")</f>
        <v/>
      </c>
      <c r="F1952" t="str">
        <f>+IFERROR(VLOOKUP(Fact_Cumplimiento[[#This Row], 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ht="18.75" customHeight="1" x14ac:dyDescent="0.35">
      <c r="C1953" s="100" t="str">
        <f>IF(OR(Fact_Cumplimiento[[#This Row], [Año]]="",Fact_Cumplimiento[[#This Row], [Mes]]=""),"",DATE(A1953,MATCH(B1953,{"enero","febrero","marzo","abril","mayo","junio","julio","agosto","septiembre","octubre","noviembre","diciembre"},0)+1,0))</f>
        <v/>
      </c>
      <c r="E1953" t="str">
        <f>+IFERROR(VLOOKUP(Fact_Cumplimiento[[#This Row], [Concepto Anterior]],Conceptos_Cumplimiento[#All],5,0),"")</f>
        <v/>
      </c>
      <c r="F1953" t="str">
        <f>+IFERROR(VLOOKUP(Fact_Cumplimiento[[#This Row], 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ht="18.75" customHeight="1" x14ac:dyDescent="0.35">
      <c r="C1954" s="100" t="str">
        <f>IF(OR(Fact_Cumplimiento[[#This Row], [Año]]="",Fact_Cumplimiento[[#This Row], [Mes]]=""),"",DATE(A1954,MATCH(B1954,{"enero","febrero","marzo","abril","mayo","junio","julio","agosto","septiembre","octubre","noviembre","diciembre"},0)+1,0))</f>
        <v/>
      </c>
      <c r="E1954" t="str">
        <f>+IFERROR(VLOOKUP(Fact_Cumplimiento[[#This Row], [Concepto Anterior]],Conceptos_Cumplimiento[#All],5,0),"")</f>
        <v/>
      </c>
      <c r="F1954" t="str">
        <f>+IFERROR(VLOOKUP(Fact_Cumplimiento[[#This Row], 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ht="18.75" customHeight="1" x14ac:dyDescent="0.35">
      <c r="C1955" s="100" t="str">
        <f>IF(OR(Fact_Cumplimiento[[#This Row], [Año]]="",Fact_Cumplimiento[[#This Row], [Mes]]=""),"",DATE(A1955,MATCH(B1955,{"enero","febrero","marzo","abril","mayo","junio","julio","agosto","septiembre","octubre","noviembre","diciembre"},0)+1,0))</f>
        <v/>
      </c>
      <c r="E1955" t="str">
        <f>+IFERROR(VLOOKUP(Fact_Cumplimiento[[#This Row], [Concepto Anterior]],Conceptos_Cumplimiento[#All],5,0),"")</f>
        <v/>
      </c>
      <c r="F1955" t="str">
        <f>+IFERROR(VLOOKUP(Fact_Cumplimiento[[#This Row], 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ht="18.75" customHeight="1" x14ac:dyDescent="0.35">
      <c r="C1956" s="100" t="str">
        <f>IF(OR(Fact_Cumplimiento[[#This Row], [Año]]="",Fact_Cumplimiento[[#This Row], [Mes]]=""),"",DATE(A1956,MATCH(B1956,{"enero","febrero","marzo","abril","mayo","junio","julio","agosto","septiembre","octubre","noviembre","diciembre"},0)+1,0))</f>
        <v/>
      </c>
      <c r="E1956" t="str">
        <f>+IFERROR(VLOOKUP(Fact_Cumplimiento[[#This Row], [Concepto Anterior]],Conceptos_Cumplimiento[#All],5,0),"")</f>
        <v/>
      </c>
      <c r="F1956" t="str">
        <f>+IFERROR(VLOOKUP(Fact_Cumplimiento[[#This Row], 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ht="18.75" customHeight="1" x14ac:dyDescent="0.35">
      <c r="C1957" s="100" t="str">
        <f>IF(OR(Fact_Cumplimiento[[#This Row], [Año]]="",Fact_Cumplimiento[[#This Row], [Mes]]=""),"",DATE(A1957,MATCH(B1957,{"enero","febrero","marzo","abril","mayo","junio","julio","agosto","septiembre","octubre","noviembre","diciembre"},0)+1,0))</f>
        <v/>
      </c>
      <c r="E1957" t="str">
        <f>+IFERROR(VLOOKUP(Fact_Cumplimiento[[#This Row], [Concepto Anterior]],Conceptos_Cumplimiento[#All],5,0),"")</f>
        <v/>
      </c>
      <c r="F1957" t="str">
        <f>+IFERROR(VLOOKUP(Fact_Cumplimiento[[#This Row], 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ht="18.75" customHeight="1" x14ac:dyDescent="0.35">
      <c r="C1958" s="100" t="str">
        <f>IF(OR(Fact_Cumplimiento[[#This Row], [Año]]="",Fact_Cumplimiento[[#This Row], [Mes]]=""),"",DATE(A1958,MATCH(B1958,{"enero","febrero","marzo","abril","mayo","junio","julio","agosto","septiembre","octubre","noviembre","diciembre"},0)+1,0))</f>
        <v/>
      </c>
      <c r="E1958" t="str">
        <f>+IFERROR(VLOOKUP(Fact_Cumplimiento[[#This Row], [Concepto Anterior]],Conceptos_Cumplimiento[#All],5,0),"")</f>
        <v/>
      </c>
      <c r="F1958" t="str">
        <f>+IFERROR(VLOOKUP(Fact_Cumplimiento[[#This Row], 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ht="18.75" customHeight="1" x14ac:dyDescent="0.35">
      <c r="C1959" s="100" t="str">
        <f>IF(OR(Fact_Cumplimiento[[#This Row], [Año]]="",Fact_Cumplimiento[[#This Row], [Mes]]=""),"",DATE(A1959,MATCH(B1959,{"enero","febrero","marzo","abril","mayo","junio","julio","agosto","septiembre","octubre","noviembre","diciembre"},0)+1,0))</f>
        <v/>
      </c>
      <c r="E1959" t="str">
        <f>+IFERROR(VLOOKUP(Fact_Cumplimiento[[#This Row], [Concepto Anterior]],Conceptos_Cumplimiento[#All],5,0),"")</f>
        <v/>
      </c>
      <c r="F1959" t="str">
        <f>+IFERROR(VLOOKUP(Fact_Cumplimiento[[#This Row], 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ht="18.75" customHeight="1" x14ac:dyDescent="0.35">
      <c r="C1960" s="100" t="str">
        <f>IF(OR(Fact_Cumplimiento[[#This Row], [Año]]="",Fact_Cumplimiento[[#This Row], [Mes]]=""),"",DATE(A1960,MATCH(B1960,{"enero","febrero","marzo","abril","mayo","junio","julio","agosto","septiembre","octubre","noviembre","diciembre"},0)+1,0))</f>
        <v/>
      </c>
      <c r="E1960" t="str">
        <f>+IFERROR(VLOOKUP(Fact_Cumplimiento[[#This Row], [Concepto Anterior]],Conceptos_Cumplimiento[#All],5,0),"")</f>
        <v/>
      </c>
      <c r="F1960" t="str">
        <f>+IFERROR(VLOOKUP(Fact_Cumplimiento[[#This Row], 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ht="18.75" customHeight="1" x14ac:dyDescent="0.35">
      <c r="C1961" s="100" t="str">
        <f>IF(OR(Fact_Cumplimiento[[#This Row], [Año]]="",Fact_Cumplimiento[[#This Row], [Mes]]=""),"",DATE(A1961,MATCH(B1961,{"enero","febrero","marzo","abril","mayo","junio","julio","agosto","septiembre","octubre","noviembre","diciembre"},0)+1,0))</f>
        <v/>
      </c>
      <c r="E1961" t="str">
        <f>+IFERROR(VLOOKUP(Fact_Cumplimiento[[#This Row], [Concepto Anterior]],Conceptos_Cumplimiento[#All],5,0),"")</f>
        <v/>
      </c>
      <c r="F1961" t="str">
        <f>+IFERROR(VLOOKUP(Fact_Cumplimiento[[#This Row], 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ht="18.75" customHeight="1" x14ac:dyDescent="0.35">
      <c r="C1962" s="100" t="str">
        <f>IF(OR(Fact_Cumplimiento[[#This Row], [Año]]="",Fact_Cumplimiento[[#This Row], [Mes]]=""),"",DATE(A1962,MATCH(B1962,{"enero","febrero","marzo","abril","mayo","junio","julio","agosto","septiembre","octubre","noviembre","diciembre"},0)+1,0))</f>
        <v/>
      </c>
      <c r="E1962" t="str">
        <f>+IFERROR(VLOOKUP(Fact_Cumplimiento[[#This Row], [Concepto Anterior]],Conceptos_Cumplimiento[#All],5,0),"")</f>
        <v/>
      </c>
      <c r="F1962" t="str">
        <f>+IFERROR(VLOOKUP(Fact_Cumplimiento[[#This Row], 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ht="18.75" customHeight="1" x14ac:dyDescent="0.35">
      <c r="C1963" s="100" t="str">
        <f>IF(OR(Fact_Cumplimiento[[#This Row], [Año]]="",Fact_Cumplimiento[[#This Row], [Mes]]=""),"",DATE(A1963,MATCH(B1963,{"enero","febrero","marzo","abril","mayo","junio","julio","agosto","septiembre","octubre","noviembre","diciembre"},0)+1,0))</f>
        <v/>
      </c>
      <c r="E1963" t="str">
        <f>+IFERROR(VLOOKUP(Fact_Cumplimiento[[#This Row], [Concepto Anterior]],Conceptos_Cumplimiento[#All],5,0),"")</f>
        <v/>
      </c>
      <c r="F1963" t="str">
        <f>+IFERROR(VLOOKUP(Fact_Cumplimiento[[#This Row], 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ht="18.75" customHeight="1" x14ac:dyDescent="0.35">
      <c r="C1964" s="100" t="str">
        <f>IF(OR(Fact_Cumplimiento[[#This Row], [Año]]="",Fact_Cumplimiento[[#This Row], [Mes]]=""),"",DATE(A1964,MATCH(B1964,{"enero","febrero","marzo","abril","mayo","junio","julio","agosto","septiembre","octubre","noviembre","diciembre"},0)+1,0))</f>
        <v/>
      </c>
      <c r="E1964" t="str">
        <f>+IFERROR(VLOOKUP(Fact_Cumplimiento[[#This Row], [Concepto Anterior]],Conceptos_Cumplimiento[#All],5,0),"")</f>
        <v/>
      </c>
      <c r="F1964" t="str">
        <f>+IFERROR(VLOOKUP(Fact_Cumplimiento[[#This Row], 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ht="18.75" customHeight="1" x14ac:dyDescent="0.35">
      <c r="C1965" s="100" t="str">
        <f>IF(OR(Fact_Cumplimiento[[#This Row], [Año]]="",Fact_Cumplimiento[[#This Row], [Mes]]=""),"",DATE(A1965,MATCH(B1965,{"enero","febrero","marzo","abril","mayo","junio","julio","agosto","septiembre","octubre","noviembre","diciembre"},0)+1,0))</f>
        <v/>
      </c>
      <c r="E1965" t="str">
        <f>+IFERROR(VLOOKUP(Fact_Cumplimiento[[#This Row], [Concepto Anterior]],Conceptos_Cumplimiento[#All],5,0),"")</f>
        <v/>
      </c>
      <c r="F1965" t="str">
        <f>+IFERROR(VLOOKUP(Fact_Cumplimiento[[#This Row], 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ht="18.75" customHeight="1" x14ac:dyDescent="0.35">
      <c r="C1966" s="100" t="str">
        <f>IF(OR(Fact_Cumplimiento[[#This Row], [Año]]="",Fact_Cumplimiento[[#This Row], [Mes]]=""),"",DATE(A1966,MATCH(B1966,{"enero","febrero","marzo","abril","mayo","junio","julio","agosto","septiembre","octubre","noviembre","diciembre"},0)+1,0))</f>
        <v/>
      </c>
      <c r="E1966" t="str">
        <f>+IFERROR(VLOOKUP(Fact_Cumplimiento[[#This Row], [Concepto Anterior]],Conceptos_Cumplimiento[#All],5,0),"")</f>
        <v/>
      </c>
      <c r="F1966" t="str">
        <f>+IFERROR(VLOOKUP(Fact_Cumplimiento[[#This Row], 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ht="18.75" customHeight="1" x14ac:dyDescent="0.35">
      <c r="C1967" s="100" t="str">
        <f>IF(OR(Fact_Cumplimiento[[#This Row], [Año]]="",Fact_Cumplimiento[[#This Row], [Mes]]=""),"",DATE(A1967,MATCH(B1967,{"enero","febrero","marzo","abril","mayo","junio","julio","agosto","septiembre","octubre","noviembre","diciembre"},0)+1,0))</f>
        <v/>
      </c>
      <c r="E1967" t="str">
        <f>+IFERROR(VLOOKUP(Fact_Cumplimiento[[#This Row], [Concepto Anterior]],Conceptos_Cumplimiento[#All],5,0),"")</f>
        <v/>
      </c>
      <c r="F1967" t="str">
        <f>+IFERROR(VLOOKUP(Fact_Cumplimiento[[#This Row], 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ht="18.75" customHeight="1" x14ac:dyDescent="0.35">
      <c r="C1968" s="100" t="str">
        <f>IF(OR(Fact_Cumplimiento[[#This Row], [Año]]="",Fact_Cumplimiento[[#This Row], [Mes]]=""),"",DATE(A1968,MATCH(B1968,{"enero","febrero","marzo","abril","mayo","junio","julio","agosto","septiembre","octubre","noviembre","diciembre"},0)+1,0))</f>
        <v/>
      </c>
      <c r="E1968" t="str">
        <f>+IFERROR(VLOOKUP(Fact_Cumplimiento[[#This Row], [Concepto Anterior]],Conceptos_Cumplimiento[#All],5,0),"")</f>
        <v/>
      </c>
      <c r="F1968" t="str">
        <f>+IFERROR(VLOOKUP(Fact_Cumplimiento[[#This Row], 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ht="18.75" customHeight="1" x14ac:dyDescent="0.35">
      <c r="C1969" s="100" t="str">
        <f>IF(OR(Fact_Cumplimiento[[#This Row], [Año]]="",Fact_Cumplimiento[[#This Row], [Mes]]=""),"",DATE(A1969,MATCH(B1969,{"enero","febrero","marzo","abril","mayo","junio","julio","agosto","septiembre","octubre","noviembre","diciembre"},0)+1,0))</f>
        <v/>
      </c>
      <c r="E1969" t="str">
        <f>+IFERROR(VLOOKUP(Fact_Cumplimiento[[#This Row], [Concepto Anterior]],Conceptos_Cumplimiento[#All],5,0),"")</f>
        <v/>
      </c>
      <c r="F1969" t="str">
        <f>+IFERROR(VLOOKUP(Fact_Cumplimiento[[#This Row], 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ht="18.75" customHeight="1" x14ac:dyDescent="0.35">
      <c r="C1970" s="100" t="str">
        <f>IF(OR(Fact_Cumplimiento[[#This Row], [Año]]="",Fact_Cumplimiento[[#This Row], [Mes]]=""),"",DATE(A1970,MATCH(B1970,{"enero","febrero","marzo","abril","mayo","junio","julio","agosto","septiembre","octubre","noviembre","diciembre"},0)+1,0))</f>
        <v/>
      </c>
      <c r="E1970" t="str">
        <f>+IFERROR(VLOOKUP(Fact_Cumplimiento[[#This Row], [Concepto Anterior]],Conceptos_Cumplimiento[#All],5,0),"")</f>
        <v/>
      </c>
      <c r="F1970" t="str">
        <f>+IFERROR(VLOOKUP(Fact_Cumplimiento[[#This Row], 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ht="18.75" customHeight="1" x14ac:dyDescent="0.35">
      <c r="C1971" s="100" t="str">
        <f>IF(OR(Fact_Cumplimiento[[#This Row], [Año]]="",Fact_Cumplimiento[[#This Row], [Mes]]=""),"",DATE(A1971,MATCH(B1971,{"enero","febrero","marzo","abril","mayo","junio","julio","agosto","septiembre","octubre","noviembre","diciembre"},0)+1,0))</f>
        <v/>
      </c>
      <c r="E1971" t="str">
        <f>+IFERROR(VLOOKUP(Fact_Cumplimiento[[#This Row], [Concepto Anterior]],Conceptos_Cumplimiento[#All],5,0),"")</f>
        <v/>
      </c>
      <c r="F1971" t="str">
        <f>+IFERROR(VLOOKUP(Fact_Cumplimiento[[#This Row], 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ht="18.75" customHeight="1" x14ac:dyDescent="0.35">
      <c r="C1972" s="100" t="str">
        <f>IF(OR(Fact_Cumplimiento[[#This Row], [Año]]="",Fact_Cumplimiento[[#This Row], [Mes]]=""),"",DATE(A1972,MATCH(B1972,{"enero","febrero","marzo","abril","mayo","junio","julio","agosto","septiembre","octubre","noviembre","diciembre"},0)+1,0))</f>
        <v/>
      </c>
      <c r="E1972" t="str">
        <f>+IFERROR(VLOOKUP(Fact_Cumplimiento[[#This Row], [Concepto Anterior]],Conceptos_Cumplimiento[#All],5,0),"")</f>
        <v/>
      </c>
      <c r="F1972" t="str">
        <f>+IFERROR(VLOOKUP(Fact_Cumplimiento[[#This Row], 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ht="18.75" customHeight="1" x14ac:dyDescent="0.35">
      <c r="C1973" s="100" t="str">
        <f>IF(OR(Fact_Cumplimiento[[#This Row], [Año]]="",Fact_Cumplimiento[[#This Row], [Mes]]=""),"",DATE(A1973,MATCH(B1973,{"enero","febrero","marzo","abril","mayo","junio","julio","agosto","septiembre","octubre","noviembre","diciembre"},0)+1,0))</f>
        <v/>
      </c>
      <c r="E1973" t="str">
        <f>+IFERROR(VLOOKUP(Fact_Cumplimiento[[#This Row], [Concepto Anterior]],Conceptos_Cumplimiento[#All],5,0),"")</f>
        <v/>
      </c>
      <c r="F1973" t="str">
        <f>+IFERROR(VLOOKUP(Fact_Cumplimiento[[#This Row], 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ht="18.75" customHeight="1" x14ac:dyDescent="0.35">
      <c r="C1974" s="100" t="str">
        <f>IF(OR(Fact_Cumplimiento[[#This Row], [Año]]="",Fact_Cumplimiento[[#This Row], [Mes]]=""),"",DATE(A1974,MATCH(B1974,{"enero","febrero","marzo","abril","mayo","junio","julio","agosto","septiembre","octubre","noviembre","diciembre"},0)+1,0))</f>
        <v/>
      </c>
      <c r="E1974" t="str">
        <f>+IFERROR(VLOOKUP(Fact_Cumplimiento[[#This Row], [Concepto Anterior]],Conceptos_Cumplimiento[#All],5,0),"")</f>
        <v/>
      </c>
      <c r="F1974" t="str">
        <f>+IFERROR(VLOOKUP(Fact_Cumplimiento[[#This Row], 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ht="18.75" customHeight="1" x14ac:dyDescent="0.35">
      <c r="C1975" s="100" t="str">
        <f>IF(OR(Fact_Cumplimiento[[#This Row], [Año]]="",Fact_Cumplimiento[[#This Row], [Mes]]=""),"",DATE(A1975,MATCH(B1975,{"enero","febrero","marzo","abril","mayo","junio","julio","agosto","septiembre","octubre","noviembre","diciembre"},0)+1,0))</f>
        <v/>
      </c>
      <c r="E1975" t="str">
        <f>+IFERROR(VLOOKUP(Fact_Cumplimiento[[#This Row], [Concepto Anterior]],Conceptos_Cumplimiento[#All],5,0),"")</f>
        <v/>
      </c>
      <c r="F1975" t="str">
        <f>+IFERROR(VLOOKUP(Fact_Cumplimiento[[#This Row], 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ht="18.75" customHeight="1" x14ac:dyDescent="0.35">
      <c r="C1976" s="100" t="str">
        <f>IF(OR(Fact_Cumplimiento[[#This Row], [Año]]="",Fact_Cumplimiento[[#This Row], [Mes]]=""),"",DATE(A1976,MATCH(B1976,{"enero","febrero","marzo","abril","mayo","junio","julio","agosto","septiembre","octubre","noviembre","diciembre"},0)+1,0))</f>
        <v/>
      </c>
      <c r="E1976" t="str">
        <f>+IFERROR(VLOOKUP(Fact_Cumplimiento[[#This Row], [Concepto Anterior]],Conceptos_Cumplimiento[#All],5,0),"")</f>
        <v/>
      </c>
      <c r="F1976" t="str">
        <f>+IFERROR(VLOOKUP(Fact_Cumplimiento[[#This Row], 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ht="18.75" customHeight="1" x14ac:dyDescent="0.35">
      <c r="C1977" s="100" t="str">
        <f>IF(OR(Fact_Cumplimiento[[#This Row], [Año]]="",Fact_Cumplimiento[[#This Row], [Mes]]=""),"",DATE(A1977,MATCH(B1977,{"enero","febrero","marzo","abril","mayo","junio","julio","agosto","septiembre","octubre","noviembre","diciembre"},0)+1,0))</f>
        <v/>
      </c>
      <c r="E1977" t="str">
        <f>+IFERROR(VLOOKUP(Fact_Cumplimiento[[#This Row], [Concepto Anterior]],Conceptos_Cumplimiento[#All],5,0),"")</f>
        <v/>
      </c>
      <c r="F1977" t="str">
        <f>+IFERROR(VLOOKUP(Fact_Cumplimiento[[#This Row], 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ht="18.75" customHeight="1" x14ac:dyDescent="0.35">
      <c r="C1978" s="100" t="str">
        <f>IF(OR(Fact_Cumplimiento[[#This Row], [Año]]="",Fact_Cumplimiento[[#This Row], [Mes]]=""),"",DATE(A1978,MATCH(B1978,{"enero","febrero","marzo","abril","mayo","junio","julio","agosto","septiembre","octubre","noviembre","diciembre"},0)+1,0))</f>
        <v/>
      </c>
      <c r="E1978" t="str">
        <f>+IFERROR(VLOOKUP(Fact_Cumplimiento[[#This Row], [Concepto Anterior]],Conceptos_Cumplimiento[#All],5,0),"")</f>
        <v/>
      </c>
      <c r="F1978" t="str">
        <f>+IFERROR(VLOOKUP(Fact_Cumplimiento[[#This Row], 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ht="18.75" customHeight="1" x14ac:dyDescent="0.35">
      <c r="C1979" s="100" t="str">
        <f>IF(OR(Fact_Cumplimiento[[#This Row], [Año]]="",Fact_Cumplimiento[[#This Row], [Mes]]=""),"",DATE(A1979,MATCH(B1979,{"enero","febrero","marzo","abril","mayo","junio","julio","agosto","septiembre","octubre","noviembre","diciembre"},0)+1,0))</f>
        <v/>
      </c>
      <c r="E1979" t="str">
        <f>+IFERROR(VLOOKUP(Fact_Cumplimiento[[#This Row], [Concepto Anterior]],Conceptos_Cumplimiento[#All],5,0),"")</f>
        <v/>
      </c>
      <c r="F1979" t="str">
        <f>+IFERROR(VLOOKUP(Fact_Cumplimiento[[#This Row], 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ht="18.75" customHeight="1" x14ac:dyDescent="0.35">
      <c r="C1980" s="100" t="str">
        <f>IF(OR(Fact_Cumplimiento[[#This Row], [Año]]="",Fact_Cumplimiento[[#This Row], [Mes]]=""),"",DATE(A1980,MATCH(B1980,{"enero","febrero","marzo","abril","mayo","junio","julio","agosto","septiembre","octubre","noviembre","diciembre"},0)+1,0))</f>
        <v/>
      </c>
      <c r="E1980" t="str">
        <f>+IFERROR(VLOOKUP(Fact_Cumplimiento[[#This Row], [Concepto Anterior]],Conceptos_Cumplimiento[#All],5,0),"")</f>
        <v/>
      </c>
      <c r="F1980" t="str">
        <f>+IFERROR(VLOOKUP(Fact_Cumplimiento[[#This Row], 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ht="18.75" customHeight="1" x14ac:dyDescent="0.35">
      <c r="C1981" s="100" t="str">
        <f>IF(OR(Fact_Cumplimiento[[#This Row], [Año]]="",Fact_Cumplimiento[[#This Row], [Mes]]=""),"",DATE(A1981,MATCH(B1981,{"enero","febrero","marzo","abril","mayo","junio","julio","agosto","septiembre","octubre","noviembre","diciembre"},0)+1,0))</f>
        <v/>
      </c>
      <c r="E1981" t="str">
        <f>+IFERROR(VLOOKUP(Fact_Cumplimiento[[#This Row], [Concepto Anterior]],Conceptos_Cumplimiento[#All],5,0),"")</f>
        <v/>
      </c>
      <c r="F1981" t="str">
        <f>+IFERROR(VLOOKUP(Fact_Cumplimiento[[#This Row], 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ht="18.75" customHeight="1" x14ac:dyDescent="0.35">
      <c r="C1982" s="100" t="str">
        <f>IF(OR(Fact_Cumplimiento[[#This Row], [Año]]="",Fact_Cumplimiento[[#This Row], [Mes]]=""),"",DATE(A1982,MATCH(B1982,{"enero","febrero","marzo","abril","mayo","junio","julio","agosto","septiembre","octubre","noviembre","diciembre"},0)+1,0))</f>
        <v/>
      </c>
      <c r="E1982" t="str">
        <f>+IFERROR(VLOOKUP(Fact_Cumplimiento[[#This Row], [Concepto Anterior]],Conceptos_Cumplimiento[#All],5,0),"")</f>
        <v/>
      </c>
      <c r="F1982" t="str">
        <f>+IFERROR(VLOOKUP(Fact_Cumplimiento[[#This Row], 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ht="18.75" customHeight="1" x14ac:dyDescent="0.35">
      <c r="C1983" s="100" t="str">
        <f>IF(OR(Fact_Cumplimiento[[#This Row], [Año]]="",Fact_Cumplimiento[[#This Row], [Mes]]=""),"",DATE(A1983,MATCH(B1983,{"enero","febrero","marzo","abril","mayo","junio","julio","agosto","septiembre","octubre","noviembre","diciembre"},0)+1,0))</f>
        <v/>
      </c>
      <c r="E1983" t="str">
        <f>+IFERROR(VLOOKUP(Fact_Cumplimiento[[#This Row], [Concepto Anterior]],Conceptos_Cumplimiento[#All],5,0),"")</f>
        <v/>
      </c>
      <c r="F1983" t="str">
        <f>+IFERROR(VLOOKUP(Fact_Cumplimiento[[#This Row], 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ht="18.75" customHeight="1" x14ac:dyDescent="0.35">
      <c r="C1984" s="100" t="str">
        <f>IF(OR(Fact_Cumplimiento[[#This Row], [Año]]="",Fact_Cumplimiento[[#This Row], [Mes]]=""),"",DATE(A1984,MATCH(B1984,{"enero","febrero","marzo","abril","mayo","junio","julio","agosto","septiembre","octubre","noviembre","diciembre"},0)+1,0))</f>
        <v/>
      </c>
      <c r="E1984" t="str">
        <f>+IFERROR(VLOOKUP(Fact_Cumplimiento[[#This Row], [Concepto Anterior]],Conceptos_Cumplimiento[#All],5,0),"")</f>
        <v/>
      </c>
      <c r="F1984" t="str">
        <f>+IFERROR(VLOOKUP(Fact_Cumplimiento[[#This Row], 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ht="18.75" customHeight="1" x14ac:dyDescent="0.35">
      <c r="C1985" s="100" t="str">
        <f>IF(OR(Fact_Cumplimiento[[#This Row], [Año]]="",Fact_Cumplimiento[[#This Row], [Mes]]=""),"",DATE(A1985,MATCH(B1985,{"enero","febrero","marzo","abril","mayo","junio","julio","agosto","septiembre","octubre","noviembre","diciembre"},0)+1,0))</f>
        <v/>
      </c>
      <c r="E1985" t="str">
        <f>+IFERROR(VLOOKUP(Fact_Cumplimiento[[#This Row], [Concepto Anterior]],Conceptos_Cumplimiento[#All],5,0),"")</f>
        <v/>
      </c>
      <c r="F1985" t="str">
        <f>+IFERROR(VLOOKUP(Fact_Cumplimiento[[#This Row], 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ht="18.75" customHeight="1" x14ac:dyDescent="0.35">
      <c r="C1986" s="100" t="str">
        <f>IF(OR(Fact_Cumplimiento[[#This Row], [Año]]="",Fact_Cumplimiento[[#This Row], [Mes]]=""),"",DATE(A1986,MATCH(B1986,{"enero","febrero","marzo","abril","mayo","junio","julio","agosto","septiembre","octubre","noviembre","diciembre"},0)+1,0))</f>
        <v/>
      </c>
      <c r="E1986" t="str">
        <f>+IFERROR(VLOOKUP(Fact_Cumplimiento[[#This Row], [Concepto Anterior]],Conceptos_Cumplimiento[#All],5,0),"")</f>
        <v/>
      </c>
      <c r="F1986" t="str">
        <f>+IFERROR(VLOOKUP(Fact_Cumplimiento[[#This Row], 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ht="18.75" customHeight="1" x14ac:dyDescent="0.35">
      <c r="C1987" s="100" t="str">
        <f>IF(OR(Fact_Cumplimiento[[#This Row], [Año]]="",Fact_Cumplimiento[[#This Row], [Mes]]=""),"",DATE(A1987,MATCH(B1987,{"enero","febrero","marzo","abril","mayo","junio","julio","agosto","septiembre","octubre","noviembre","diciembre"},0)+1,0))</f>
        <v/>
      </c>
      <c r="E1987" t="str">
        <f>+IFERROR(VLOOKUP(Fact_Cumplimiento[[#This Row], [Concepto Anterior]],Conceptos_Cumplimiento[#All],5,0),"")</f>
        <v/>
      </c>
      <c r="F1987" t="str">
        <f>+IFERROR(VLOOKUP(Fact_Cumplimiento[[#This Row], 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ht="18.75" customHeight="1" x14ac:dyDescent="0.35">
      <c r="C1988" s="100" t="str">
        <f>IF(OR(Fact_Cumplimiento[[#This Row], [Año]]="",Fact_Cumplimiento[[#This Row], [Mes]]=""),"",DATE(A1988,MATCH(B1988,{"enero","febrero","marzo","abril","mayo","junio","julio","agosto","septiembre","octubre","noviembre","diciembre"},0)+1,0))</f>
        <v/>
      </c>
      <c r="E1988" t="str">
        <f>+IFERROR(VLOOKUP(Fact_Cumplimiento[[#This Row], [Concepto Anterior]],Conceptos_Cumplimiento[#All],5,0),"")</f>
        <v/>
      </c>
      <c r="F1988" t="str">
        <f>+IFERROR(VLOOKUP(Fact_Cumplimiento[[#This Row], 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ht="18.75" customHeight="1" x14ac:dyDescent="0.35">
      <c r="C1989" s="100" t="str">
        <f>IF(OR(Fact_Cumplimiento[[#This Row], [Año]]="",Fact_Cumplimiento[[#This Row], [Mes]]=""),"",DATE(A1989,MATCH(B1989,{"enero","febrero","marzo","abril","mayo","junio","julio","agosto","septiembre","octubre","noviembre","diciembre"},0)+1,0))</f>
        <v/>
      </c>
      <c r="E1989" t="str">
        <f>+IFERROR(VLOOKUP(Fact_Cumplimiento[[#This Row], [Concepto Anterior]],Conceptos_Cumplimiento[#All],5,0),"")</f>
        <v/>
      </c>
      <c r="F1989" t="str">
        <f>+IFERROR(VLOOKUP(Fact_Cumplimiento[[#This Row], 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ht="18.75" customHeight="1" x14ac:dyDescent="0.35">
      <c r="C1990" s="100" t="str">
        <f>IF(OR(Fact_Cumplimiento[[#This Row], [Año]]="",Fact_Cumplimiento[[#This Row], [Mes]]=""),"",DATE(A1990,MATCH(B1990,{"enero","febrero","marzo","abril","mayo","junio","julio","agosto","septiembre","octubre","noviembre","diciembre"},0)+1,0))</f>
        <v/>
      </c>
      <c r="E1990" t="str">
        <f>+IFERROR(VLOOKUP(Fact_Cumplimiento[[#This Row], [Concepto Anterior]],Conceptos_Cumplimiento[#All],5,0),"")</f>
        <v/>
      </c>
      <c r="F1990" t="str">
        <f>+IFERROR(VLOOKUP(Fact_Cumplimiento[[#This Row], 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ht="18.75" customHeight="1" x14ac:dyDescent="0.35">
      <c r="C1991" s="100" t="str">
        <f>IF(OR(Fact_Cumplimiento[[#This Row], [Año]]="",Fact_Cumplimiento[[#This Row], [Mes]]=""),"",DATE(A1991,MATCH(B1991,{"enero","febrero","marzo","abril","mayo","junio","julio","agosto","septiembre","octubre","noviembre","diciembre"},0)+1,0))</f>
        <v/>
      </c>
      <c r="E1991" t="str">
        <f>+IFERROR(VLOOKUP(Fact_Cumplimiento[[#This Row], [Concepto Anterior]],Conceptos_Cumplimiento[#All],5,0),"")</f>
        <v/>
      </c>
      <c r="F1991" t="str">
        <f>+IFERROR(VLOOKUP(Fact_Cumplimiento[[#This Row], 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ht="18.75" customHeight="1" x14ac:dyDescent="0.35">
      <c r="C1992" s="100" t="str">
        <f>IF(OR(Fact_Cumplimiento[[#This Row], [Año]]="",Fact_Cumplimiento[[#This Row], [Mes]]=""),"",DATE(A1992,MATCH(B1992,{"enero","febrero","marzo","abril","mayo","junio","julio","agosto","septiembre","octubre","noviembre","diciembre"},0)+1,0))</f>
        <v/>
      </c>
      <c r="E1992" t="str">
        <f>+IFERROR(VLOOKUP(Fact_Cumplimiento[[#This Row], [Concepto Anterior]],Conceptos_Cumplimiento[#All],5,0),"")</f>
        <v/>
      </c>
      <c r="F1992" t="str">
        <f>+IFERROR(VLOOKUP(Fact_Cumplimiento[[#This Row], 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ht="18.75" customHeight="1" x14ac:dyDescent="0.35">
      <c r="C1993" s="100" t="str">
        <f>IF(OR(Fact_Cumplimiento[[#This Row], [Año]]="",Fact_Cumplimiento[[#This Row], [Mes]]=""),"",DATE(A1993,MATCH(B1993,{"enero","febrero","marzo","abril","mayo","junio","julio","agosto","septiembre","octubre","noviembre","diciembre"},0)+1,0))</f>
        <v/>
      </c>
      <c r="E1993" t="str">
        <f>+IFERROR(VLOOKUP(Fact_Cumplimiento[[#This Row], [Concepto Anterior]],Conceptos_Cumplimiento[#All],5,0),"")</f>
        <v/>
      </c>
      <c r="F1993" t="str">
        <f>+IFERROR(VLOOKUP(Fact_Cumplimiento[[#This Row], 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ht="18.75" customHeight="1" x14ac:dyDescent="0.35">
      <c r="C1994" s="100" t="str">
        <f>IF(OR(Fact_Cumplimiento[[#This Row], [Año]]="",Fact_Cumplimiento[[#This Row], [Mes]]=""),"",DATE(A1994,MATCH(B1994,{"enero","febrero","marzo","abril","mayo","junio","julio","agosto","septiembre","octubre","noviembre","diciembre"},0)+1,0))</f>
        <v/>
      </c>
      <c r="E1994" t="str">
        <f>+IFERROR(VLOOKUP(Fact_Cumplimiento[[#This Row], [Concepto Anterior]],Conceptos_Cumplimiento[#All],5,0),"")</f>
        <v/>
      </c>
      <c r="F1994" t="str">
        <f>+IFERROR(VLOOKUP(Fact_Cumplimiento[[#This Row], 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ht="18.75" customHeight="1" x14ac:dyDescent="0.35">
      <c r="C1995" s="100" t="str">
        <f>IF(OR(Fact_Cumplimiento[[#This Row], [Año]]="",Fact_Cumplimiento[[#This Row], [Mes]]=""),"",DATE(A1995,MATCH(B1995,{"enero","febrero","marzo","abril","mayo","junio","julio","agosto","septiembre","octubre","noviembre","diciembre"},0)+1,0))</f>
        <v/>
      </c>
      <c r="E1995" t="str">
        <f>+IFERROR(VLOOKUP(Fact_Cumplimiento[[#This Row], [Concepto Anterior]],Conceptos_Cumplimiento[#All],5,0),"")</f>
        <v/>
      </c>
      <c r="F1995" t="str">
        <f>+IFERROR(VLOOKUP(Fact_Cumplimiento[[#This Row], 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ht="18.75" customHeight="1" x14ac:dyDescent="0.35">
      <c r="C1996" s="100" t="str">
        <f>IF(OR(Fact_Cumplimiento[[#This Row], [Año]]="",Fact_Cumplimiento[[#This Row], [Mes]]=""),"",DATE(A1996,MATCH(B1996,{"enero","febrero","marzo","abril","mayo","junio","julio","agosto","septiembre","octubre","noviembre","diciembre"},0)+1,0))</f>
        <v/>
      </c>
      <c r="E1996" t="str">
        <f>+IFERROR(VLOOKUP(Fact_Cumplimiento[[#This Row], [Concepto Anterior]],Conceptos_Cumplimiento[#All],5,0),"")</f>
        <v/>
      </c>
      <c r="F1996" t="str">
        <f>+IFERROR(VLOOKUP(Fact_Cumplimiento[[#This Row], 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ht="18.75" customHeight="1" x14ac:dyDescent="0.35">
      <c r="C1997" s="100" t="str">
        <f>IF(OR(Fact_Cumplimiento[[#This Row], [Año]]="",Fact_Cumplimiento[[#This Row], [Mes]]=""),"",DATE(A1997,MATCH(B1997,{"enero","febrero","marzo","abril","mayo","junio","julio","agosto","septiembre","octubre","noviembre","diciembre"},0)+1,0))</f>
        <v/>
      </c>
      <c r="E1997" t="str">
        <f>+IFERROR(VLOOKUP(Fact_Cumplimiento[[#This Row], [Concepto Anterior]],Conceptos_Cumplimiento[#All],5,0),"")</f>
        <v/>
      </c>
      <c r="F1997" t="str">
        <f>+IFERROR(VLOOKUP(Fact_Cumplimiento[[#This Row], 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ht="18.75" customHeight="1" x14ac:dyDescent="0.35">
      <c r="C1998" s="100" t="str">
        <f>IF(OR(Fact_Cumplimiento[[#This Row], [Año]]="",Fact_Cumplimiento[[#This Row], [Mes]]=""),"",DATE(A1998,MATCH(B1998,{"enero","febrero","marzo","abril","mayo","junio","julio","agosto","septiembre","octubre","noviembre","diciembre"},0)+1,0))</f>
        <v/>
      </c>
      <c r="E1998" t="str">
        <f>+IFERROR(VLOOKUP(Fact_Cumplimiento[[#This Row], [Concepto Anterior]],Conceptos_Cumplimiento[#All],5,0),"")</f>
        <v/>
      </c>
      <c r="F1998" t="str">
        <f>+IFERROR(VLOOKUP(Fact_Cumplimiento[[#This Row], 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ht="18.75" customHeight="1" x14ac:dyDescent="0.35">
      <c r="C1999" s="100" t="str">
        <f>IF(OR(Fact_Cumplimiento[[#This Row], [Año]]="",Fact_Cumplimiento[[#This Row], [Mes]]=""),"",DATE(A1999,MATCH(B1999,{"enero","febrero","marzo","abril","mayo","junio","julio","agosto","septiembre","octubre","noviembre","diciembre"},0)+1,0))</f>
        <v/>
      </c>
      <c r="E1999" t="str">
        <f>+IFERROR(VLOOKUP(Fact_Cumplimiento[[#This Row], [Concepto Anterior]],Conceptos_Cumplimiento[#All],5,0),"")</f>
        <v/>
      </c>
      <c r="F1999" t="str">
        <f>+IFERROR(VLOOKUP(Fact_Cumplimiento[[#This Row], 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ht="18.75" customHeight="1" x14ac:dyDescent="0.35">
      <c r="C2000" s="100" t="str">
        <f>IF(OR(Fact_Cumplimiento[[#This Row], [Año]]="",Fact_Cumplimiento[[#This Row], [Mes]]=""),"",DATE(A2000,MATCH(B2000,{"enero","febrero","marzo","abril","mayo","junio","julio","agosto","septiembre","octubre","noviembre","diciembre"},0)+1,0))</f>
        <v/>
      </c>
      <c r="E2000" t="str">
        <f>+IFERROR(VLOOKUP(Fact_Cumplimiento[[#This Row], [Concepto Anterior]],Conceptos_Cumplimiento[#All],5,0),"")</f>
        <v/>
      </c>
      <c r="F2000" t="str">
        <f>+IFERROR(VLOOKUP(Fact_Cumplimiento[[#This Row], 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ht="18.75" customHeight="1" x14ac:dyDescent="0.35">
      <c r="C2001" s="100" t="str">
        <f>IF(OR(Fact_Cumplimiento[[#This Row], [Año]]="",Fact_Cumplimiento[[#This Row], [Mes]]=""),"",DATE(A2001,MATCH(B2001,{"enero","febrero","marzo","abril","mayo","junio","julio","agosto","septiembre","octubre","noviembre","diciembre"},0)+1,0))</f>
        <v/>
      </c>
      <c r="E2001" t="str">
        <f>+IFERROR(VLOOKUP(Fact_Cumplimiento[[#This Row], [Concepto Anterior]],Conceptos_Cumplimiento[#All],5,0),"")</f>
        <v/>
      </c>
      <c r="F2001" t="str">
        <f>+IFERROR(VLOOKUP(Fact_Cumplimiento[[#This Row], 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ht="18.75" customHeight="1" x14ac:dyDescent="0.35">
      <c r="C2002" s="100" t="str">
        <f>IF(OR(Fact_Cumplimiento[[#This Row], [Año]]="",Fact_Cumplimiento[[#This Row], [Mes]]=""),"",DATE(A2002,MATCH(B2002,{"enero","febrero","marzo","abril","mayo","junio","julio","agosto","septiembre","octubre","noviembre","diciembre"},0)+1,0))</f>
        <v/>
      </c>
      <c r="E2002" t="str">
        <f>+IFERROR(VLOOKUP(Fact_Cumplimiento[[#This Row], [Concepto Anterior]],Conceptos_Cumplimiento[#All],5,0),"")</f>
        <v/>
      </c>
      <c r="F2002" t="str">
        <f>+IFERROR(VLOOKUP(Fact_Cumplimiento[[#This Row], 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ht="18.75" customHeight="1" x14ac:dyDescent="0.35">
      <c r="C2003" s="100" t="str">
        <f>IF(OR(Fact_Cumplimiento[[#This Row], [Año]]="",Fact_Cumplimiento[[#This Row], [Mes]]=""),"",DATE(A2003,MATCH(B2003,{"enero","febrero","marzo","abril","mayo","junio","julio","agosto","septiembre","octubre","noviembre","diciembre"},0)+1,0))</f>
        <v/>
      </c>
      <c r="E2003" t="str">
        <f>+IFERROR(VLOOKUP(Fact_Cumplimiento[[#This Row], [Concepto Anterior]],Conceptos_Cumplimiento[#All],5,0),"")</f>
        <v/>
      </c>
      <c r="F2003" t="str">
        <f>+IFERROR(VLOOKUP(Fact_Cumplimiento[[#This Row], 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ht="18.75" customHeight="1" x14ac:dyDescent="0.35">
      <c r="C2004" s="100" t="str">
        <f>IF(OR(Fact_Cumplimiento[[#This Row], [Año]]="",Fact_Cumplimiento[[#This Row], [Mes]]=""),"",DATE(A2004,MATCH(B2004,{"enero","febrero","marzo","abril","mayo","junio","julio","agosto","septiembre","octubre","noviembre","diciembre"},0)+1,0))</f>
        <v/>
      </c>
      <c r="E2004" t="str">
        <f>+IFERROR(VLOOKUP(Fact_Cumplimiento[[#This Row], [Concepto Anterior]],Conceptos_Cumplimiento[#All],5,0),"")</f>
        <v/>
      </c>
      <c r="F2004" t="str">
        <f>+IFERROR(VLOOKUP(Fact_Cumplimiento[[#This Row], 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ht="18.75" customHeight="1" x14ac:dyDescent="0.35">
      <c r="C2005" s="100" t="str">
        <f>IF(OR(Fact_Cumplimiento[[#This Row], [Año]]="",Fact_Cumplimiento[[#This Row], [Mes]]=""),"",DATE(A2005,MATCH(B2005,{"enero","febrero","marzo","abril","mayo","junio","julio","agosto","septiembre","octubre","noviembre","diciembre"},0)+1,0))</f>
        <v/>
      </c>
      <c r="E2005" t="str">
        <f>+IFERROR(VLOOKUP(Fact_Cumplimiento[[#This Row], [Concepto Anterior]],Conceptos_Cumplimiento[#All],5,0),"")</f>
        <v/>
      </c>
      <c r="F2005" t="str">
        <f>+IFERROR(VLOOKUP(Fact_Cumplimiento[[#This Row], 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ht="18.75" customHeight="1" x14ac:dyDescent="0.35">
      <c r="C2006" s="100" t="str">
        <f>IF(OR(Fact_Cumplimiento[[#This Row], [Año]]="",Fact_Cumplimiento[[#This Row], [Mes]]=""),"",DATE(A2006,MATCH(B2006,{"enero","febrero","marzo","abril","mayo","junio","julio","agosto","septiembre","octubre","noviembre","diciembre"},0)+1,0))</f>
        <v/>
      </c>
      <c r="E2006" t="str">
        <f>+IFERROR(VLOOKUP(Fact_Cumplimiento[[#This Row], [Concepto Anterior]],Conceptos_Cumplimiento[#All],5,0),"")</f>
        <v/>
      </c>
      <c r="F2006" t="str">
        <f>+IFERROR(VLOOKUP(Fact_Cumplimiento[[#This Row], 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ht="18.75" customHeight="1" x14ac:dyDescent="0.35">
      <c r="C2007" s="100" t="str">
        <f>IF(OR(Fact_Cumplimiento[[#This Row], [Año]]="",Fact_Cumplimiento[[#This Row], [Mes]]=""),"",DATE(A2007,MATCH(B2007,{"enero","febrero","marzo","abril","mayo","junio","julio","agosto","septiembre","octubre","noviembre","diciembre"},0)+1,0))</f>
        <v/>
      </c>
      <c r="E2007" t="str">
        <f>+IFERROR(VLOOKUP(Fact_Cumplimiento[[#This Row], [Concepto Anterior]],Conceptos_Cumplimiento[#All],5,0),"")</f>
        <v/>
      </c>
      <c r="F2007" t="str">
        <f>+IFERROR(VLOOKUP(Fact_Cumplimiento[[#This Row], 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ht="18.75" customHeight="1" x14ac:dyDescent="0.35">
      <c r="C2008" s="100" t="str">
        <f>IF(OR(Fact_Cumplimiento[[#This Row], [Año]]="",Fact_Cumplimiento[[#This Row], [Mes]]=""),"",DATE(A2008,MATCH(B2008,{"enero","febrero","marzo","abril","mayo","junio","julio","agosto","septiembre","octubre","noviembre","diciembre"},0)+1,0))</f>
        <v/>
      </c>
      <c r="E2008" t="str">
        <f>+IFERROR(VLOOKUP(Fact_Cumplimiento[[#This Row], [Concepto Anterior]],Conceptos_Cumplimiento[#All],5,0),"")</f>
        <v/>
      </c>
      <c r="F2008" t="str">
        <f>+IFERROR(VLOOKUP(Fact_Cumplimiento[[#This Row], 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ht="18.75" customHeight="1" x14ac:dyDescent="0.35">
      <c r="C2009" s="100" t="str">
        <f>IF(OR(Fact_Cumplimiento[[#This Row], [Año]]="",Fact_Cumplimiento[[#This Row], [Mes]]=""),"",DATE(A2009,MATCH(B2009,{"enero","febrero","marzo","abril","mayo","junio","julio","agosto","septiembre","octubre","noviembre","diciembre"},0)+1,0))</f>
        <v/>
      </c>
      <c r="E2009" t="str">
        <f>+IFERROR(VLOOKUP(Fact_Cumplimiento[[#This Row], [Concepto Anterior]],Conceptos_Cumplimiento[#All],5,0),"")</f>
        <v/>
      </c>
      <c r="F2009" t="str">
        <f>+IFERROR(VLOOKUP(Fact_Cumplimiento[[#This Row], 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ht="18.75" customHeight="1" x14ac:dyDescent="0.35">
      <c r="C2010" s="100" t="str">
        <f>IF(OR(Fact_Cumplimiento[[#This Row], [Año]]="",Fact_Cumplimiento[[#This Row], [Mes]]=""),"",DATE(A2010,MATCH(B2010,{"enero","febrero","marzo","abril","mayo","junio","julio","agosto","septiembre","octubre","noviembre","diciembre"},0)+1,0))</f>
        <v/>
      </c>
      <c r="E2010" t="str">
        <f>+IFERROR(VLOOKUP(Fact_Cumplimiento[[#This Row], [Concepto Anterior]],Conceptos_Cumplimiento[#All],5,0),"")</f>
        <v/>
      </c>
      <c r="F2010" t="str">
        <f>+IFERROR(VLOOKUP(Fact_Cumplimiento[[#This Row], 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ht="18.75" customHeight="1" x14ac:dyDescent="0.35">
      <c r="C2011" s="100" t="str">
        <f>IF(OR(Fact_Cumplimiento[[#This Row], [Año]]="",Fact_Cumplimiento[[#This Row], [Mes]]=""),"",DATE(A2011,MATCH(B2011,{"enero","febrero","marzo","abril","mayo","junio","julio","agosto","septiembre","octubre","noviembre","diciembre"},0)+1,0))</f>
        <v/>
      </c>
      <c r="E2011" t="str">
        <f>+IFERROR(VLOOKUP(Fact_Cumplimiento[[#This Row], [Concepto Anterior]],Conceptos_Cumplimiento[#All],5,0),"")</f>
        <v/>
      </c>
      <c r="F2011" t="str">
        <f>+IFERROR(VLOOKUP(Fact_Cumplimiento[[#This Row], 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ht="18.75" customHeight="1" x14ac:dyDescent="0.35">
      <c r="C2012" s="100" t="str">
        <f>IF(OR(Fact_Cumplimiento[[#This Row], [Año]]="",Fact_Cumplimiento[[#This Row], [Mes]]=""),"",DATE(A2012,MATCH(B2012,{"enero","febrero","marzo","abril","mayo","junio","julio","agosto","septiembre","octubre","noviembre","diciembre"},0)+1,0))</f>
        <v/>
      </c>
      <c r="E2012" t="str">
        <f>+IFERROR(VLOOKUP(Fact_Cumplimiento[[#This Row], [Concepto Anterior]],Conceptos_Cumplimiento[#All],5,0),"")</f>
        <v/>
      </c>
      <c r="F2012" t="str">
        <f>+IFERROR(VLOOKUP(Fact_Cumplimiento[[#This Row], 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ht="18.75" customHeight="1" x14ac:dyDescent="0.35">
      <c r="C2013" s="100" t="str">
        <f>IF(OR(Fact_Cumplimiento[[#This Row], [Año]]="",Fact_Cumplimiento[[#This Row], [Mes]]=""),"",DATE(A2013,MATCH(B2013,{"enero","febrero","marzo","abril","mayo","junio","julio","agosto","septiembre","octubre","noviembre","diciembre"},0)+1,0))</f>
        <v/>
      </c>
      <c r="E2013" t="str">
        <f>+IFERROR(VLOOKUP(Fact_Cumplimiento[[#This Row], [Concepto Anterior]],Conceptos_Cumplimiento[#All],5,0),"")</f>
        <v/>
      </c>
      <c r="F2013" t="str">
        <f>+IFERROR(VLOOKUP(Fact_Cumplimiento[[#This Row], 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ht="18.75" customHeight="1" x14ac:dyDescent="0.35">
      <c r="C2014" s="100" t="str">
        <f>IF(OR(Fact_Cumplimiento[[#This Row], [Año]]="",Fact_Cumplimiento[[#This Row], [Mes]]=""),"",DATE(A2014,MATCH(B2014,{"enero","febrero","marzo","abril","mayo","junio","julio","agosto","septiembre","octubre","noviembre","diciembre"},0)+1,0))</f>
        <v/>
      </c>
      <c r="E2014" t="str">
        <f>+IFERROR(VLOOKUP(Fact_Cumplimiento[[#This Row], [Concepto Anterior]],Conceptos_Cumplimiento[#All],5,0),"")</f>
        <v/>
      </c>
      <c r="F2014" t="str">
        <f>+IFERROR(VLOOKUP(Fact_Cumplimiento[[#This Row], 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ht="18.75" customHeight="1" x14ac:dyDescent="0.35">
      <c r="C2015" s="100" t="str">
        <f>IF(OR(Fact_Cumplimiento[[#This Row], [Año]]="",Fact_Cumplimiento[[#This Row], [Mes]]=""),"",DATE(A2015,MATCH(B2015,{"enero","febrero","marzo","abril","mayo","junio","julio","agosto","septiembre","octubre","noviembre","diciembre"},0)+1,0))</f>
        <v/>
      </c>
      <c r="E2015" t="str">
        <f>+IFERROR(VLOOKUP(Fact_Cumplimiento[[#This Row], [Concepto Anterior]],Conceptos_Cumplimiento[#All],5,0),"")</f>
        <v/>
      </c>
      <c r="F2015" t="str">
        <f>+IFERROR(VLOOKUP(Fact_Cumplimiento[[#This Row], 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ht="18.75" customHeight="1" x14ac:dyDescent="0.35">
      <c r="C2016" s="100" t="str">
        <f>IF(OR(Fact_Cumplimiento[[#This Row], [Año]]="",Fact_Cumplimiento[[#This Row], [Mes]]=""),"",DATE(A2016,MATCH(B2016,{"enero","febrero","marzo","abril","mayo","junio","julio","agosto","septiembre","octubre","noviembre","diciembre"},0)+1,0))</f>
        <v/>
      </c>
      <c r="E2016" t="str">
        <f>+IFERROR(VLOOKUP(Fact_Cumplimiento[[#This Row], [Concepto Anterior]],Conceptos_Cumplimiento[#All],5,0),"")</f>
        <v/>
      </c>
      <c r="F2016" t="str">
        <f>+IFERROR(VLOOKUP(Fact_Cumplimiento[[#This Row], 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ht="18.75" customHeight="1" x14ac:dyDescent="0.35">
      <c r="C2017" s="100" t="str">
        <f>IF(OR(Fact_Cumplimiento[[#This Row], [Año]]="",Fact_Cumplimiento[[#This Row], [Mes]]=""),"",DATE(A2017,MATCH(B2017,{"enero","febrero","marzo","abril","mayo","junio","julio","agosto","septiembre","octubre","noviembre","diciembre"},0)+1,0))</f>
        <v/>
      </c>
      <c r="E2017" t="str">
        <f>+IFERROR(VLOOKUP(Fact_Cumplimiento[[#This Row], [Concepto Anterior]],Conceptos_Cumplimiento[#All],5,0),"")</f>
        <v/>
      </c>
      <c r="F2017" t="str">
        <f>+IFERROR(VLOOKUP(Fact_Cumplimiento[[#This Row], 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ht="18.75" customHeight="1" x14ac:dyDescent="0.35">
      <c r="C2018" s="100" t="str">
        <f>IF(OR(Fact_Cumplimiento[[#This Row], [Año]]="",Fact_Cumplimiento[[#This Row], [Mes]]=""),"",DATE(A2018,MATCH(B2018,{"enero","febrero","marzo","abril","mayo","junio","julio","agosto","septiembre","octubre","noviembre","diciembre"},0)+1,0))</f>
        <v/>
      </c>
      <c r="E2018" t="str">
        <f>+IFERROR(VLOOKUP(Fact_Cumplimiento[[#This Row], [Concepto Anterior]],Conceptos_Cumplimiento[#All],5,0),"")</f>
        <v/>
      </c>
      <c r="F2018" t="str">
        <f>+IFERROR(VLOOKUP(Fact_Cumplimiento[[#This Row], 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ht="18.75" customHeight="1" x14ac:dyDescent="0.35">
      <c r="C2019" s="100" t="str">
        <f>IF(OR(Fact_Cumplimiento[[#This Row], [Año]]="",Fact_Cumplimiento[[#This Row], [Mes]]=""),"",DATE(A2019,MATCH(B2019,{"enero","febrero","marzo","abril","mayo","junio","julio","agosto","septiembre","octubre","noviembre","diciembre"},0)+1,0))</f>
        <v/>
      </c>
      <c r="E2019" t="str">
        <f>+IFERROR(VLOOKUP(Fact_Cumplimiento[[#This Row], [Concepto Anterior]],Conceptos_Cumplimiento[#All],5,0),"")</f>
        <v/>
      </c>
      <c r="F2019" t="str">
        <f>+IFERROR(VLOOKUP(Fact_Cumplimiento[[#This Row], 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ht="18.75" customHeight="1" x14ac:dyDescent="0.35">
      <c r="C2020" s="100" t="str">
        <f>IF(OR(Fact_Cumplimiento[[#This Row], [Año]]="",Fact_Cumplimiento[[#This Row], [Mes]]=""),"",DATE(A2020,MATCH(B2020,{"enero","febrero","marzo","abril","mayo","junio","julio","agosto","septiembre","octubre","noviembre","diciembre"},0)+1,0))</f>
        <v/>
      </c>
      <c r="E2020" t="str">
        <f>+IFERROR(VLOOKUP(Fact_Cumplimiento[[#This Row], [Concepto Anterior]],Conceptos_Cumplimiento[#All],5,0),"")</f>
        <v/>
      </c>
      <c r="F2020" t="str">
        <f>+IFERROR(VLOOKUP(Fact_Cumplimiento[[#This Row], 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ht="18.75" customHeight="1" x14ac:dyDescent="0.35">
      <c r="C2021" s="100" t="str">
        <f>IF(OR(Fact_Cumplimiento[[#This Row], [Año]]="",Fact_Cumplimiento[[#This Row], [Mes]]=""),"",DATE(A2021,MATCH(B2021,{"enero","febrero","marzo","abril","mayo","junio","julio","agosto","septiembre","octubre","noviembre","diciembre"},0)+1,0))</f>
        <v/>
      </c>
      <c r="E2021" t="str">
        <f>+IFERROR(VLOOKUP(Fact_Cumplimiento[[#This Row], [Concepto Anterior]],Conceptos_Cumplimiento[#All],5,0),"")</f>
        <v/>
      </c>
      <c r="F2021" t="str">
        <f>+IFERROR(VLOOKUP(Fact_Cumplimiento[[#This Row], 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ht="18.75" customHeight="1" x14ac:dyDescent="0.35">
      <c r="C2022" s="100" t="str">
        <f>IF(OR(Fact_Cumplimiento[[#This Row], [Año]]="",Fact_Cumplimiento[[#This Row], [Mes]]=""),"",DATE(A2022,MATCH(B2022,{"enero","febrero","marzo","abril","mayo","junio","julio","agosto","septiembre","octubre","noviembre","diciembre"},0)+1,0))</f>
        <v/>
      </c>
      <c r="E2022" t="str">
        <f>+IFERROR(VLOOKUP(Fact_Cumplimiento[[#This Row], [Concepto Anterior]],Conceptos_Cumplimiento[#All],5,0),"")</f>
        <v/>
      </c>
      <c r="F2022" t="str">
        <f>+IFERROR(VLOOKUP(Fact_Cumplimiento[[#This Row], 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ht="18.75" customHeight="1" x14ac:dyDescent="0.35">
      <c r="C2023" s="100" t="str">
        <f>IF(OR(Fact_Cumplimiento[[#This Row], [Año]]="",Fact_Cumplimiento[[#This Row], [Mes]]=""),"",DATE(A2023,MATCH(B2023,{"enero","febrero","marzo","abril","mayo","junio","julio","agosto","septiembre","octubre","noviembre","diciembre"},0)+1,0))</f>
        <v/>
      </c>
      <c r="E2023" t="str">
        <f>+IFERROR(VLOOKUP(Fact_Cumplimiento[[#This Row], [Concepto Anterior]],Conceptos_Cumplimiento[#All],5,0),"")</f>
        <v/>
      </c>
      <c r="F2023" t="str">
        <f>+IFERROR(VLOOKUP(Fact_Cumplimiento[[#This Row], 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ht="18.75" customHeight="1" x14ac:dyDescent="0.35">
      <c r="C2024" s="100" t="str">
        <f>IF(OR(Fact_Cumplimiento[[#This Row], [Año]]="",Fact_Cumplimiento[[#This Row], [Mes]]=""),"",DATE(A2024,MATCH(B2024,{"enero","febrero","marzo","abril","mayo","junio","julio","agosto","septiembre","octubre","noviembre","diciembre"},0)+1,0))</f>
        <v/>
      </c>
      <c r="E2024" t="str">
        <f>+IFERROR(VLOOKUP(Fact_Cumplimiento[[#This Row], [Concepto Anterior]],Conceptos_Cumplimiento[#All],5,0),"")</f>
        <v/>
      </c>
      <c r="F2024" t="str">
        <f>+IFERROR(VLOOKUP(Fact_Cumplimiento[[#This Row], 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ht="18.75" customHeight="1" x14ac:dyDescent="0.35">
      <c r="C2025" s="100" t="str">
        <f>IF(OR(Fact_Cumplimiento[[#This Row], [Año]]="",Fact_Cumplimiento[[#This Row], [Mes]]=""),"",DATE(A2025,MATCH(B2025,{"enero","febrero","marzo","abril","mayo","junio","julio","agosto","septiembre","octubre","noviembre","diciembre"},0)+1,0))</f>
        <v/>
      </c>
      <c r="E2025" t="str">
        <f>+IFERROR(VLOOKUP(Fact_Cumplimiento[[#This Row], [Concepto Anterior]],Conceptos_Cumplimiento[#All],5,0),"")</f>
        <v/>
      </c>
      <c r="F2025" t="str">
        <f>+IFERROR(VLOOKUP(Fact_Cumplimiento[[#This Row], 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ht="18.75" customHeight="1" x14ac:dyDescent="0.35">
      <c r="C2026" s="100" t="str">
        <f>IF(OR(Fact_Cumplimiento[[#This Row], [Año]]="",Fact_Cumplimiento[[#This Row], [Mes]]=""),"",DATE(A2026,MATCH(B2026,{"enero","febrero","marzo","abril","mayo","junio","julio","agosto","septiembre","octubre","noviembre","diciembre"},0)+1,0))</f>
        <v/>
      </c>
      <c r="E2026" t="str">
        <f>+IFERROR(VLOOKUP(Fact_Cumplimiento[[#This Row], [Concepto Anterior]],Conceptos_Cumplimiento[#All],5,0),"")</f>
        <v/>
      </c>
      <c r="F2026" t="str">
        <f>+IFERROR(VLOOKUP(Fact_Cumplimiento[[#This Row], 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ht="18.75" customHeight="1" x14ac:dyDescent="0.35">
      <c r="C2027" s="100" t="str">
        <f>IF(OR(Fact_Cumplimiento[[#This Row], [Año]]="",Fact_Cumplimiento[[#This Row], [Mes]]=""),"",DATE(A2027,MATCH(B2027,{"enero","febrero","marzo","abril","mayo","junio","julio","agosto","septiembre","octubre","noviembre","diciembre"},0)+1,0))</f>
        <v/>
      </c>
      <c r="E2027" t="str">
        <f>+IFERROR(VLOOKUP(Fact_Cumplimiento[[#This Row], [Concepto Anterior]],Conceptos_Cumplimiento[#All],5,0),"")</f>
        <v/>
      </c>
      <c r="F2027" t="str">
        <f>+IFERROR(VLOOKUP(Fact_Cumplimiento[[#This Row], 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ht="18.75" customHeight="1" x14ac:dyDescent="0.35">
      <c r="C2028" s="100" t="str">
        <f>IF(OR(Fact_Cumplimiento[[#This Row], [Año]]="",Fact_Cumplimiento[[#This Row], [Mes]]=""),"",DATE(A2028,MATCH(B2028,{"enero","febrero","marzo","abril","mayo","junio","julio","agosto","septiembre","octubre","noviembre","diciembre"},0)+1,0))</f>
        <v/>
      </c>
      <c r="E2028" t="str">
        <f>+IFERROR(VLOOKUP(Fact_Cumplimiento[[#This Row], [Concepto Anterior]],Conceptos_Cumplimiento[#All],5,0),"")</f>
        <v/>
      </c>
      <c r="F2028" t="str">
        <f>+IFERROR(VLOOKUP(Fact_Cumplimiento[[#This Row], 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ht="18.75" customHeight="1" x14ac:dyDescent="0.35">
      <c r="C2029" s="100" t="str">
        <f>IF(OR(Fact_Cumplimiento[[#This Row], [Año]]="",Fact_Cumplimiento[[#This Row], [Mes]]=""),"",DATE(A2029,MATCH(B2029,{"enero","febrero","marzo","abril","mayo","junio","julio","agosto","septiembre","octubre","noviembre","diciembre"},0)+1,0))</f>
        <v/>
      </c>
      <c r="E2029" t="str">
        <f>+IFERROR(VLOOKUP(Fact_Cumplimiento[[#This Row], [Concepto Anterior]],Conceptos_Cumplimiento[#All],5,0),"")</f>
        <v/>
      </c>
      <c r="F2029" t="str">
        <f>+IFERROR(VLOOKUP(Fact_Cumplimiento[[#This Row], 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ht="18.75" customHeight="1" x14ac:dyDescent="0.35">
      <c r="C2030" s="100" t="str">
        <f>IF(OR(Fact_Cumplimiento[[#This Row], [Año]]="",Fact_Cumplimiento[[#This Row], [Mes]]=""),"",DATE(A2030,MATCH(B2030,{"enero","febrero","marzo","abril","mayo","junio","julio","agosto","septiembre","octubre","noviembre","diciembre"},0)+1,0))</f>
        <v/>
      </c>
      <c r="E2030" t="str">
        <f>+IFERROR(VLOOKUP(Fact_Cumplimiento[[#This Row], [Concepto Anterior]],Conceptos_Cumplimiento[#All],5,0),"")</f>
        <v/>
      </c>
      <c r="F2030" t="str">
        <f>+IFERROR(VLOOKUP(Fact_Cumplimiento[[#This Row], 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ht="18.75" customHeight="1" x14ac:dyDescent="0.35">
      <c r="C2031" s="100" t="str">
        <f>IF(OR(Fact_Cumplimiento[[#This Row], [Año]]="",Fact_Cumplimiento[[#This Row], [Mes]]=""),"",DATE(A2031,MATCH(B2031,{"enero","febrero","marzo","abril","mayo","junio","julio","agosto","septiembre","octubre","noviembre","diciembre"},0)+1,0))</f>
        <v/>
      </c>
      <c r="E2031" t="str">
        <f>+IFERROR(VLOOKUP(Fact_Cumplimiento[[#This Row], [Concepto Anterior]],Conceptos_Cumplimiento[#All],5,0),"")</f>
        <v/>
      </c>
      <c r="F2031" t="str">
        <f>+IFERROR(VLOOKUP(Fact_Cumplimiento[[#This Row], 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ht="18.75" customHeight="1" x14ac:dyDescent="0.35">
      <c r="C2032" s="100" t="str">
        <f>IF(OR(Fact_Cumplimiento[[#This Row], [Año]]="",Fact_Cumplimiento[[#This Row], [Mes]]=""),"",DATE(A2032,MATCH(B2032,{"enero","febrero","marzo","abril","mayo","junio","julio","agosto","septiembre","octubre","noviembre","diciembre"},0)+1,0))</f>
        <v/>
      </c>
      <c r="E2032" t="str">
        <f>+IFERROR(VLOOKUP(Fact_Cumplimiento[[#This Row], [Concepto Anterior]],Conceptos_Cumplimiento[#All],5,0),"")</f>
        <v/>
      </c>
      <c r="F2032" t="str">
        <f>+IFERROR(VLOOKUP(Fact_Cumplimiento[[#This Row], 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ht="18.75" customHeight="1" x14ac:dyDescent="0.35">
      <c r="C2033" s="100" t="str">
        <f>IF(OR(Fact_Cumplimiento[[#This Row], [Año]]="",Fact_Cumplimiento[[#This Row], [Mes]]=""),"",DATE(A2033,MATCH(B2033,{"enero","febrero","marzo","abril","mayo","junio","julio","agosto","septiembre","octubre","noviembre","diciembre"},0)+1,0))</f>
        <v/>
      </c>
      <c r="E2033" t="str">
        <f>+IFERROR(VLOOKUP(Fact_Cumplimiento[[#This Row], [Concepto Anterior]],Conceptos_Cumplimiento[#All],5,0),"")</f>
        <v/>
      </c>
      <c r="F2033" t="str">
        <f>+IFERROR(VLOOKUP(Fact_Cumplimiento[[#This Row], 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ht="18.75" customHeight="1" x14ac:dyDescent="0.35">
      <c r="C2034" s="100" t="str">
        <f>IF(OR(Fact_Cumplimiento[[#This Row], [Año]]="",Fact_Cumplimiento[[#This Row], [Mes]]=""),"",DATE(A2034,MATCH(B2034,{"enero","febrero","marzo","abril","mayo","junio","julio","agosto","septiembre","octubre","noviembre","diciembre"},0)+1,0))</f>
        <v/>
      </c>
      <c r="E2034" t="str">
        <f>+IFERROR(VLOOKUP(Fact_Cumplimiento[[#This Row], [Concepto Anterior]],Conceptos_Cumplimiento[#All],5,0),"")</f>
        <v/>
      </c>
      <c r="F2034" t="str">
        <f>+IFERROR(VLOOKUP(Fact_Cumplimiento[[#This Row], 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ht="18.75" customHeight="1" x14ac:dyDescent="0.35">
      <c r="C2035" s="100" t="str">
        <f>IF(OR(Fact_Cumplimiento[[#This Row], [Año]]="",Fact_Cumplimiento[[#This Row], [Mes]]=""),"",DATE(A2035,MATCH(B2035,{"enero","febrero","marzo","abril","mayo","junio","julio","agosto","septiembre","octubre","noviembre","diciembre"},0)+1,0))</f>
        <v/>
      </c>
      <c r="E2035" t="str">
        <f>+IFERROR(VLOOKUP(Fact_Cumplimiento[[#This Row], [Concepto Anterior]],Conceptos_Cumplimiento[#All],5,0),"")</f>
        <v/>
      </c>
      <c r="F2035" t="str">
        <f>+IFERROR(VLOOKUP(Fact_Cumplimiento[[#This Row], 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ht="18.75" customHeight="1" x14ac:dyDescent="0.35">
      <c r="C2036" s="100" t="str">
        <f>IF(OR(Fact_Cumplimiento[[#This Row], [Año]]="",Fact_Cumplimiento[[#This Row], [Mes]]=""),"",DATE(A2036,MATCH(B2036,{"enero","febrero","marzo","abril","mayo","junio","julio","agosto","septiembre","octubre","noviembre","diciembre"},0)+1,0))</f>
        <v/>
      </c>
      <c r="E2036" t="str">
        <f>+IFERROR(VLOOKUP(Fact_Cumplimiento[[#This Row], [Concepto Anterior]],Conceptos_Cumplimiento[#All],5,0),"")</f>
        <v/>
      </c>
      <c r="F2036" t="str">
        <f>+IFERROR(VLOOKUP(Fact_Cumplimiento[[#This Row], 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ht="18.75" customHeight="1" x14ac:dyDescent="0.35">
      <c r="C2037" s="100" t="str">
        <f>IF(OR(Fact_Cumplimiento[[#This Row], [Año]]="",Fact_Cumplimiento[[#This Row], [Mes]]=""),"",DATE(A2037,MATCH(B2037,{"enero","febrero","marzo","abril","mayo","junio","julio","agosto","septiembre","octubre","noviembre","diciembre"},0)+1,0))</f>
        <v/>
      </c>
      <c r="E2037" t="str">
        <f>+IFERROR(VLOOKUP(Fact_Cumplimiento[[#This Row], [Concepto Anterior]],Conceptos_Cumplimiento[#All],5,0),"")</f>
        <v/>
      </c>
      <c r="F2037" t="str">
        <f>+IFERROR(VLOOKUP(Fact_Cumplimiento[[#This Row], 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ht="18.75" customHeight="1" x14ac:dyDescent="0.35">
      <c r="C2038" s="100" t="str">
        <f>IF(OR(Fact_Cumplimiento[[#This Row], [Año]]="",Fact_Cumplimiento[[#This Row], [Mes]]=""),"",DATE(A2038,MATCH(B2038,{"enero","febrero","marzo","abril","mayo","junio","julio","agosto","septiembre","octubre","noviembre","diciembre"},0)+1,0))</f>
        <v/>
      </c>
      <c r="E2038" t="str">
        <f>+IFERROR(VLOOKUP(Fact_Cumplimiento[[#This Row], [Concepto Anterior]],Conceptos_Cumplimiento[#All],5,0),"")</f>
        <v/>
      </c>
      <c r="F2038" t="str">
        <f>+IFERROR(VLOOKUP(Fact_Cumplimiento[[#This Row], 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ht="18.75" customHeight="1" x14ac:dyDescent="0.35">
      <c r="C2039" s="100" t="str">
        <f>IF(OR(Fact_Cumplimiento[[#This Row], [Año]]="",Fact_Cumplimiento[[#This Row], [Mes]]=""),"",DATE(A2039,MATCH(B2039,{"enero","febrero","marzo","abril","mayo","junio","julio","agosto","septiembre","octubre","noviembre","diciembre"},0)+1,0))</f>
        <v/>
      </c>
      <c r="E2039" t="str">
        <f>+IFERROR(VLOOKUP(Fact_Cumplimiento[[#This Row], [Concepto Anterior]],Conceptos_Cumplimiento[#All],5,0),"")</f>
        <v/>
      </c>
      <c r="F2039" t="str">
        <f>+IFERROR(VLOOKUP(Fact_Cumplimiento[[#This Row], 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ht="18.75" customHeight="1" x14ac:dyDescent="0.35">
      <c r="C2040" s="100" t="str">
        <f>IF(OR(Fact_Cumplimiento[[#This Row], [Año]]="",Fact_Cumplimiento[[#This Row], [Mes]]=""),"",DATE(A2040,MATCH(B2040,{"enero","febrero","marzo","abril","mayo","junio","julio","agosto","septiembre","octubre","noviembre","diciembre"},0)+1,0))</f>
        <v/>
      </c>
      <c r="E2040" t="str">
        <f>+IFERROR(VLOOKUP(Fact_Cumplimiento[[#This Row], [Concepto Anterior]],Conceptos_Cumplimiento[#All],5,0),"")</f>
        <v/>
      </c>
      <c r="F2040" t="str">
        <f>+IFERROR(VLOOKUP(Fact_Cumplimiento[[#This Row], 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ht="18.75" customHeight="1" x14ac:dyDescent="0.35">
      <c r="C2041" s="100" t="str">
        <f>IF(OR(Fact_Cumplimiento[[#This Row], [Año]]="",Fact_Cumplimiento[[#This Row], [Mes]]=""),"",DATE(A2041,MATCH(B2041,{"enero","febrero","marzo","abril","mayo","junio","julio","agosto","septiembre","octubre","noviembre","diciembre"},0)+1,0))</f>
        <v/>
      </c>
      <c r="E2041" t="str">
        <f>+IFERROR(VLOOKUP(Fact_Cumplimiento[[#This Row], [Concepto Anterior]],Conceptos_Cumplimiento[#All],5,0),"")</f>
        <v/>
      </c>
      <c r="F2041" t="str">
        <f>+IFERROR(VLOOKUP(Fact_Cumplimiento[[#This Row], 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ht="18.75" customHeight="1" x14ac:dyDescent="0.35">
      <c r="C2042" s="100" t="str">
        <f>IF(OR(Fact_Cumplimiento[[#This Row], [Año]]="",Fact_Cumplimiento[[#This Row], [Mes]]=""),"",DATE(A2042,MATCH(B2042,{"enero","febrero","marzo","abril","mayo","junio","julio","agosto","septiembre","octubre","noviembre","diciembre"},0)+1,0))</f>
        <v/>
      </c>
      <c r="E2042" t="str">
        <f>+IFERROR(VLOOKUP(Fact_Cumplimiento[[#This Row], [Concepto Anterior]],Conceptos_Cumplimiento[#All],5,0),"")</f>
        <v/>
      </c>
      <c r="F2042" t="str">
        <f>+IFERROR(VLOOKUP(Fact_Cumplimiento[[#This Row], 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ht="18.75" customHeight="1" x14ac:dyDescent="0.35">
      <c r="C2043" s="100" t="str">
        <f>IF(OR(Fact_Cumplimiento[[#This Row], [Año]]="",Fact_Cumplimiento[[#This Row], [Mes]]=""),"",DATE(A2043,MATCH(B2043,{"enero","febrero","marzo","abril","mayo","junio","julio","agosto","septiembre","octubre","noviembre","diciembre"},0)+1,0))</f>
        <v/>
      </c>
      <c r="E2043" t="str">
        <f>+IFERROR(VLOOKUP(Fact_Cumplimiento[[#This Row], [Concepto Anterior]],Conceptos_Cumplimiento[#All],5,0),"")</f>
        <v/>
      </c>
      <c r="F2043" t="str">
        <f>+IFERROR(VLOOKUP(Fact_Cumplimiento[[#This Row], 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ht="18.75" customHeight="1" x14ac:dyDescent="0.35">
      <c r="C2044" s="100" t="str">
        <f>IF(OR(Fact_Cumplimiento[[#This Row], [Año]]="",Fact_Cumplimiento[[#This Row], [Mes]]=""),"",DATE(A2044,MATCH(B2044,{"enero","febrero","marzo","abril","mayo","junio","julio","agosto","septiembre","octubre","noviembre","diciembre"},0)+1,0))</f>
        <v/>
      </c>
      <c r="E2044" t="str">
        <f>+IFERROR(VLOOKUP(Fact_Cumplimiento[[#This Row], [Concepto Anterior]],Conceptos_Cumplimiento[#All],5,0),"")</f>
        <v/>
      </c>
      <c r="F2044" t="str">
        <f>+IFERROR(VLOOKUP(Fact_Cumplimiento[[#This Row], 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ht="18.75" customHeight="1" x14ac:dyDescent="0.35">
      <c r="C2045" s="100" t="str">
        <f>IF(OR(Fact_Cumplimiento[[#This Row], [Año]]="",Fact_Cumplimiento[[#This Row], [Mes]]=""),"",DATE(A2045,MATCH(B2045,{"enero","febrero","marzo","abril","mayo","junio","julio","agosto","septiembre","octubre","noviembre","diciembre"},0)+1,0))</f>
        <v/>
      </c>
      <c r="E2045" t="str">
        <f>+IFERROR(VLOOKUP(Fact_Cumplimiento[[#This Row], [Concepto Anterior]],Conceptos_Cumplimiento[#All],5,0),"")</f>
        <v/>
      </c>
      <c r="F2045" t="str">
        <f>+IFERROR(VLOOKUP(Fact_Cumplimiento[[#This Row], 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ht="18.75" customHeight="1" x14ac:dyDescent="0.35">
      <c r="C2046" s="100" t="str">
        <f>IF(OR(Fact_Cumplimiento[[#This Row], [Año]]="",Fact_Cumplimiento[[#This Row], [Mes]]=""),"",DATE(A2046,MATCH(B2046,{"enero","febrero","marzo","abril","mayo","junio","julio","agosto","septiembre","octubre","noviembre","diciembre"},0)+1,0))</f>
        <v/>
      </c>
      <c r="E2046" t="str">
        <f>+IFERROR(VLOOKUP(Fact_Cumplimiento[[#This Row], [Concepto Anterior]],Conceptos_Cumplimiento[#All],5,0),"")</f>
        <v/>
      </c>
      <c r="F2046" t="str">
        <f>+IFERROR(VLOOKUP(Fact_Cumplimiento[[#This Row], 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ht="18.75" customHeight="1" x14ac:dyDescent="0.35">
      <c r="C2047" s="100" t="str">
        <f>IF(OR(Fact_Cumplimiento[[#This Row], [Año]]="",Fact_Cumplimiento[[#This Row], [Mes]]=""),"",DATE(A2047,MATCH(B2047,{"enero","febrero","marzo","abril","mayo","junio","julio","agosto","septiembre","octubre","noviembre","diciembre"},0)+1,0))</f>
        <v/>
      </c>
      <c r="E2047" t="str">
        <f>+IFERROR(VLOOKUP(Fact_Cumplimiento[[#This Row], [Concepto Anterior]],Conceptos_Cumplimiento[#All],5,0),"")</f>
        <v/>
      </c>
      <c r="F2047" t="str">
        <f>+IFERROR(VLOOKUP(Fact_Cumplimiento[[#This Row], 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ht="18.75" customHeight="1" x14ac:dyDescent="0.35">
      <c r="C2048" s="100" t="str">
        <f>IF(OR(Fact_Cumplimiento[[#This Row], [Año]]="",Fact_Cumplimiento[[#This Row], [Mes]]=""),"",DATE(A2048,MATCH(B2048,{"enero","febrero","marzo","abril","mayo","junio","julio","agosto","septiembre","octubre","noviembre","diciembre"},0)+1,0))</f>
        <v/>
      </c>
      <c r="E2048" t="str">
        <f>+IFERROR(VLOOKUP(Fact_Cumplimiento[[#This Row], [Concepto Anterior]],Conceptos_Cumplimiento[#All],5,0),"")</f>
        <v/>
      </c>
      <c r="F2048" t="str">
        <f>+IFERROR(VLOOKUP(Fact_Cumplimiento[[#This Row], 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ht="18.75" customHeight="1" x14ac:dyDescent="0.35">
      <c r="C2049" s="100" t="str">
        <f>IF(OR(Fact_Cumplimiento[[#This Row], [Año]]="",Fact_Cumplimiento[[#This Row], [Mes]]=""),"",DATE(A2049,MATCH(B2049,{"enero","febrero","marzo","abril","mayo","junio","julio","agosto","septiembre","octubre","noviembre","diciembre"},0)+1,0))</f>
        <v/>
      </c>
      <c r="E2049" t="str">
        <f>+IFERROR(VLOOKUP(Fact_Cumplimiento[[#This Row], [Concepto Anterior]],Conceptos_Cumplimiento[#All],5,0),"")</f>
        <v/>
      </c>
      <c r="F2049" t="str">
        <f>+IFERROR(VLOOKUP(Fact_Cumplimiento[[#This Row], 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ht="18.75" customHeight="1" x14ac:dyDescent="0.35">
      <c r="C2050" s="100" t="str">
        <f>IF(OR(Fact_Cumplimiento[[#This Row], [Año]]="",Fact_Cumplimiento[[#This Row], [Mes]]=""),"",DATE(A2050,MATCH(B2050,{"enero","febrero","marzo","abril","mayo","junio","julio","agosto","septiembre","octubre","noviembre","diciembre"},0)+1,0))</f>
        <v/>
      </c>
      <c r="E2050" t="str">
        <f>+IFERROR(VLOOKUP(Fact_Cumplimiento[[#This Row], [Concepto Anterior]],Conceptos_Cumplimiento[#All],5,0),"")</f>
        <v/>
      </c>
      <c r="F2050" t="str">
        <f>+IFERROR(VLOOKUP(Fact_Cumplimiento[[#This Row], 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ht="18.75" customHeight="1" x14ac:dyDescent="0.35">
      <c r="C2051" s="100" t="str">
        <f>IF(OR(Fact_Cumplimiento[[#This Row], [Año]]="",Fact_Cumplimiento[[#This Row], [Mes]]=""),"",DATE(A2051,MATCH(B2051,{"enero","febrero","marzo","abril","mayo","junio","julio","agosto","septiembre","octubre","noviembre","diciembre"},0)+1,0))</f>
        <v/>
      </c>
      <c r="E2051" t="str">
        <f>+IFERROR(VLOOKUP(Fact_Cumplimiento[[#This Row], [Concepto Anterior]],Conceptos_Cumplimiento[#All],5,0),"")</f>
        <v/>
      </c>
      <c r="F2051" t="str">
        <f>+IFERROR(VLOOKUP(Fact_Cumplimiento[[#This Row], 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ht="18.75" customHeight="1" x14ac:dyDescent="0.35">
      <c r="C2052" s="100" t="str">
        <f>IF(OR(Fact_Cumplimiento[[#This Row], [Año]]="",Fact_Cumplimiento[[#This Row], [Mes]]=""),"",DATE(A2052,MATCH(B2052,{"enero","febrero","marzo","abril","mayo","junio","julio","agosto","septiembre","octubre","noviembre","diciembre"},0)+1,0))</f>
        <v/>
      </c>
      <c r="E2052" t="str">
        <f>+IFERROR(VLOOKUP(Fact_Cumplimiento[[#This Row], [Concepto Anterior]],Conceptos_Cumplimiento[#All],5,0),"")</f>
        <v/>
      </c>
      <c r="F2052" t="str">
        <f>+IFERROR(VLOOKUP(Fact_Cumplimiento[[#This Row], 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ht="18.75" customHeight="1" x14ac:dyDescent="0.35">
      <c r="C2053" s="100" t="str">
        <f>IF(OR(Fact_Cumplimiento[[#This Row], [Año]]="",Fact_Cumplimiento[[#This Row], [Mes]]=""),"",DATE(A2053,MATCH(B2053,{"enero","febrero","marzo","abril","mayo","junio","julio","agosto","septiembre","octubre","noviembre","diciembre"},0)+1,0))</f>
        <v/>
      </c>
      <c r="E2053" t="str">
        <f>+IFERROR(VLOOKUP(Fact_Cumplimiento[[#This Row], [Concepto Anterior]],Conceptos_Cumplimiento[#All],5,0),"")</f>
        <v/>
      </c>
      <c r="F2053" t="str">
        <f>+IFERROR(VLOOKUP(Fact_Cumplimiento[[#This Row], 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ht="18.75" customHeight="1" x14ac:dyDescent="0.35">
      <c r="C2054" s="100" t="str">
        <f>IF(OR(Fact_Cumplimiento[[#This Row], [Año]]="",Fact_Cumplimiento[[#This Row], [Mes]]=""),"",DATE(A2054,MATCH(B2054,{"enero","febrero","marzo","abril","mayo","junio","julio","agosto","septiembre","octubre","noviembre","diciembre"},0)+1,0))</f>
        <v/>
      </c>
      <c r="E2054" t="str">
        <f>+IFERROR(VLOOKUP(Fact_Cumplimiento[[#This Row], [Concepto Anterior]],Conceptos_Cumplimiento[#All],5,0),"")</f>
        <v/>
      </c>
      <c r="F2054" t="str">
        <f>+IFERROR(VLOOKUP(Fact_Cumplimiento[[#This Row], 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ht="18.75" customHeight="1" x14ac:dyDescent="0.35">
      <c r="C2055" s="100" t="str">
        <f>IF(OR(Fact_Cumplimiento[[#This Row], [Año]]="",Fact_Cumplimiento[[#This Row], [Mes]]=""),"",DATE(A2055,MATCH(B2055,{"enero","febrero","marzo","abril","mayo","junio","julio","agosto","septiembre","octubre","noviembre","diciembre"},0)+1,0))</f>
        <v/>
      </c>
      <c r="E2055" t="str">
        <f>+IFERROR(VLOOKUP(Fact_Cumplimiento[[#This Row], [Concepto Anterior]],Conceptos_Cumplimiento[#All],5,0),"")</f>
        <v/>
      </c>
      <c r="F2055" t="str">
        <f>+IFERROR(VLOOKUP(Fact_Cumplimiento[[#This Row], 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ht="18.75" customHeight="1" x14ac:dyDescent="0.35">
      <c r="C2056" s="100" t="str">
        <f>IF(OR(Fact_Cumplimiento[[#This Row], [Año]]="",Fact_Cumplimiento[[#This Row], [Mes]]=""),"",DATE(A2056,MATCH(B2056,{"enero","febrero","marzo","abril","mayo","junio","julio","agosto","septiembre","octubre","noviembre","diciembre"},0)+1,0))</f>
        <v/>
      </c>
      <c r="E2056" t="str">
        <f>+IFERROR(VLOOKUP(Fact_Cumplimiento[[#This Row], [Concepto Anterior]],Conceptos_Cumplimiento[#All],5,0),"")</f>
        <v/>
      </c>
      <c r="F2056" t="str">
        <f>+IFERROR(VLOOKUP(Fact_Cumplimiento[[#This Row], 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ht="18.75" customHeight="1" x14ac:dyDescent="0.35">
      <c r="C2057" s="100" t="str">
        <f>IF(OR(Fact_Cumplimiento[[#This Row], [Año]]="",Fact_Cumplimiento[[#This Row], [Mes]]=""),"",DATE(A2057,MATCH(B2057,{"enero","febrero","marzo","abril","mayo","junio","julio","agosto","septiembre","octubre","noviembre","diciembre"},0)+1,0))</f>
        <v/>
      </c>
      <c r="E2057" t="str">
        <f>+IFERROR(VLOOKUP(Fact_Cumplimiento[[#This Row], [Concepto Anterior]],Conceptos_Cumplimiento[#All],5,0),"")</f>
        <v/>
      </c>
      <c r="F2057" t="str">
        <f>+IFERROR(VLOOKUP(Fact_Cumplimiento[[#This Row], 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ht="18.75" customHeight="1" x14ac:dyDescent="0.35">
      <c r="C2058" s="100" t="str">
        <f>IF(OR(Fact_Cumplimiento[[#This Row], [Año]]="",Fact_Cumplimiento[[#This Row], [Mes]]=""),"",DATE(A2058,MATCH(B2058,{"enero","febrero","marzo","abril","mayo","junio","julio","agosto","septiembre","octubre","noviembre","diciembre"},0)+1,0))</f>
        <v/>
      </c>
      <c r="E2058" t="str">
        <f>+IFERROR(VLOOKUP(Fact_Cumplimiento[[#This Row], [Concepto Anterior]],Conceptos_Cumplimiento[#All],5,0),"")</f>
        <v/>
      </c>
      <c r="F2058" t="str">
        <f>+IFERROR(VLOOKUP(Fact_Cumplimiento[[#This Row], 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ht="18.75" customHeight="1" x14ac:dyDescent="0.35">
      <c r="C2059" s="100" t="str">
        <f>IF(OR(Fact_Cumplimiento[[#This Row], [Año]]="",Fact_Cumplimiento[[#This Row], [Mes]]=""),"",DATE(A2059,MATCH(B2059,{"enero","febrero","marzo","abril","mayo","junio","julio","agosto","septiembre","octubre","noviembre","diciembre"},0)+1,0))</f>
        <v/>
      </c>
      <c r="E2059" t="str">
        <f>+IFERROR(VLOOKUP(Fact_Cumplimiento[[#This Row], [Concepto Anterior]],Conceptos_Cumplimiento[#All],5,0),"")</f>
        <v/>
      </c>
      <c r="F2059" t="str">
        <f>+IFERROR(VLOOKUP(Fact_Cumplimiento[[#This Row], 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ht="18.75" customHeight="1" x14ac:dyDescent="0.35">
      <c r="C2060" s="100" t="str">
        <f>IF(OR(Fact_Cumplimiento[[#This Row], [Año]]="",Fact_Cumplimiento[[#This Row], [Mes]]=""),"",DATE(A2060,MATCH(B2060,{"enero","febrero","marzo","abril","mayo","junio","julio","agosto","septiembre","octubre","noviembre","diciembre"},0)+1,0))</f>
        <v/>
      </c>
      <c r="E2060" t="str">
        <f>+IFERROR(VLOOKUP(Fact_Cumplimiento[[#This Row], [Concepto Anterior]],Conceptos_Cumplimiento[#All],5,0),"")</f>
        <v/>
      </c>
      <c r="F2060" t="str">
        <f>+IFERROR(VLOOKUP(Fact_Cumplimiento[[#This Row], 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ht="18.75" customHeight="1" x14ac:dyDescent="0.35">
      <c r="C2061" s="100" t="str">
        <f>IF(OR(Fact_Cumplimiento[[#This Row], [Año]]="",Fact_Cumplimiento[[#This Row], [Mes]]=""),"",DATE(A2061,MATCH(B2061,{"enero","febrero","marzo","abril","mayo","junio","julio","agosto","septiembre","octubre","noviembre","diciembre"},0)+1,0))</f>
        <v/>
      </c>
      <c r="E2061" t="str">
        <f>+IFERROR(VLOOKUP(Fact_Cumplimiento[[#This Row], [Concepto Anterior]],Conceptos_Cumplimiento[#All],5,0),"")</f>
        <v/>
      </c>
      <c r="F2061" t="str">
        <f>+IFERROR(VLOOKUP(Fact_Cumplimiento[[#This Row], 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ht="18.75" customHeight="1" x14ac:dyDescent="0.35">
      <c r="C2062" s="100" t="str">
        <f>IF(OR(Fact_Cumplimiento[[#This Row], [Año]]="",Fact_Cumplimiento[[#This Row], [Mes]]=""),"",DATE(A2062,MATCH(B2062,{"enero","febrero","marzo","abril","mayo","junio","julio","agosto","septiembre","octubre","noviembre","diciembre"},0)+1,0))</f>
        <v/>
      </c>
      <c r="E2062" t="str">
        <f>+IFERROR(VLOOKUP(Fact_Cumplimiento[[#This Row], [Concepto Anterior]],Conceptos_Cumplimiento[#All],5,0),"")</f>
        <v/>
      </c>
      <c r="F2062" t="str">
        <f>+IFERROR(VLOOKUP(Fact_Cumplimiento[[#This Row], 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ht="18.75" customHeight="1" x14ac:dyDescent="0.35">
      <c r="C2063" s="100" t="str">
        <f>IF(OR(Fact_Cumplimiento[[#This Row], [Año]]="",Fact_Cumplimiento[[#This Row], [Mes]]=""),"",DATE(A2063,MATCH(B2063,{"enero","febrero","marzo","abril","mayo","junio","julio","agosto","septiembre","octubre","noviembre","diciembre"},0)+1,0))</f>
        <v/>
      </c>
      <c r="E2063" t="str">
        <f>+IFERROR(VLOOKUP(Fact_Cumplimiento[[#This Row], [Concepto Anterior]],Conceptos_Cumplimiento[#All],5,0),"")</f>
        <v/>
      </c>
      <c r="F2063" t="str">
        <f>+IFERROR(VLOOKUP(Fact_Cumplimiento[[#This Row], 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ht="18.75" customHeight="1" x14ac:dyDescent="0.35">
      <c r="C2064" s="100" t="str">
        <f>IF(OR(Fact_Cumplimiento[[#This Row], [Año]]="",Fact_Cumplimiento[[#This Row], [Mes]]=""),"",DATE(A2064,MATCH(B2064,{"enero","febrero","marzo","abril","mayo","junio","julio","agosto","septiembre","octubre","noviembre","diciembre"},0)+1,0))</f>
        <v/>
      </c>
      <c r="E2064" t="str">
        <f>+IFERROR(VLOOKUP(Fact_Cumplimiento[[#This Row], [Concepto Anterior]],Conceptos_Cumplimiento[#All],5,0),"")</f>
        <v/>
      </c>
      <c r="F2064" t="str">
        <f>+IFERROR(VLOOKUP(Fact_Cumplimiento[[#This Row], 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ht="18.75" customHeight="1" x14ac:dyDescent="0.35">
      <c r="C2065" s="100" t="str">
        <f>IF(OR(Fact_Cumplimiento[[#This Row], [Año]]="",Fact_Cumplimiento[[#This Row], [Mes]]=""),"",DATE(A2065,MATCH(B2065,{"enero","febrero","marzo","abril","mayo","junio","julio","agosto","septiembre","octubre","noviembre","diciembre"},0)+1,0))</f>
        <v/>
      </c>
      <c r="E2065" t="str">
        <f>+IFERROR(VLOOKUP(Fact_Cumplimiento[[#This Row], [Concepto Anterior]],Conceptos_Cumplimiento[#All],5,0),"")</f>
        <v/>
      </c>
      <c r="F2065" t="str">
        <f>+IFERROR(VLOOKUP(Fact_Cumplimiento[[#This Row], 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ht="18.75" customHeight="1" x14ac:dyDescent="0.35">
      <c r="C2066" s="100" t="str">
        <f>IF(OR(Fact_Cumplimiento[[#This Row], [Año]]="",Fact_Cumplimiento[[#This Row], [Mes]]=""),"",DATE(A2066,MATCH(B2066,{"enero","febrero","marzo","abril","mayo","junio","julio","agosto","septiembre","octubre","noviembre","diciembre"},0)+1,0))</f>
        <v/>
      </c>
      <c r="E2066" t="str">
        <f>+IFERROR(VLOOKUP(Fact_Cumplimiento[[#This Row], [Concepto Anterior]],Conceptos_Cumplimiento[#All],5,0),"")</f>
        <v/>
      </c>
      <c r="F2066" t="str">
        <f>+IFERROR(VLOOKUP(Fact_Cumplimiento[[#This Row], 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ht="18.75" customHeight="1" x14ac:dyDescent="0.35">
      <c r="C2067" s="100" t="str">
        <f>IF(OR(Fact_Cumplimiento[[#This Row], [Año]]="",Fact_Cumplimiento[[#This Row], [Mes]]=""),"",DATE(A2067,MATCH(B2067,{"enero","febrero","marzo","abril","mayo","junio","julio","agosto","septiembre","octubre","noviembre","diciembre"},0)+1,0))</f>
        <v/>
      </c>
      <c r="E2067" t="str">
        <f>+IFERROR(VLOOKUP(Fact_Cumplimiento[[#This Row], [Concepto Anterior]],Conceptos_Cumplimiento[#All],5,0),"")</f>
        <v/>
      </c>
      <c r="F2067" t="str">
        <f>+IFERROR(VLOOKUP(Fact_Cumplimiento[[#This Row], 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ht="18.75" customHeight="1" x14ac:dyDescent="0.35">
      <c r="C2068" s="100" t="str">
        <f>IF(OR(Fact_Cumplimiento[[#This Row], [Año]]="",Fact_Cumplimiento[[#This Row], [Mes]]=""),"",DATE(A2068,MATCH(B2068,{"enero","febrero","marzo","abril","mayo","junio","julio","agosto","septiembre","octubre","noviembre","diciembre"},0)+1,0))</f>
        <v/>
      </c>
      <c r="E2068" t="str">
        <f>+IFERROR(VLOOKUP(Fact_Cumplimiento[[#This Row], [Concepto Anterior]],Conceptos_Cumplimiento[#All],5,0),"")</f>
        <v/>
      </c>
      <c r="F2068" t="str">
        <f>+IFERROR(VLOOKUP(Fact_Cumplimiento[[#This Row], 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ht="18.75" customHeight="1" x14ac:dyDescent="0.35">
      <c r="C2069" s="100" t="str">
        <f>IF(OR(Fact_Cumplimiento[[#This Row], [Año]]="",Fact_Cumplimiento[[#This Row], [Mes]]=""),"",DATE(A2069,MATCH(B2069,{"enero","febrero","marzo","abril","mayo","junio","julio","agosto","septiembre","octubre","noviembre","diciembre"},0)+1,0))</f>
        <v/>
      </c>
      <c r="E2069" t="str">
        <f>+IFERROR(VLOOKUP(Fact_Cumplimiento[[#This Row], [Concepto Anterior]],Conceptos_Cumplimiento[#All],5,0),"")</f>
        <v/>
      </c>
      <c r="F2069" t="str">
        <f>+IFERROR(VLOOKUP(Fact_Cumplimiento[[#This Row], 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ht="18.75" customHeight="1" x14ac:dyDescent="0.35">
      <c r="C2070" s="100" t="str">
        <f>IF(OR(Fact_Cumplimiento[[#This Row], [Año]]="",Fact_Cumplimiento[[#This Row], [Mes]]=""),"",DATE(A2070,MATCH(B2070,{"enero","febrero","marzo","abril","mayo","junio","julio","agosto","septiembre","octubre","noviembre","diciembre"},0)+1,0))</f>
        <v/>
      </c>
      <c r="E2070" t="str">
        <f>+IFERROR(VLOOKUP(Fact_Cumplimiento[[#This Row], [Concepto Anterior]],Conceptos_Cumplimiento[#All],5,0),"")</f>
        <v/>
      </c>
      <c r="F2070" t="str">
        <f>+IFERROR(VLOOKUP(Fact_Cumplimiento[[#This Row], 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ht="18.75" customHeight="1" x14ac:dyDescent="0.35">
      <c r="C2071" s="100" t="str">
        <f>IF(OR(Fact_Cumplimiento[[#This Row], [Año]]="",Fact_Cumplimiento[[#This Row], [Mes]]=""),"",DATE(A2071,MATCH(B2071,{"enero","febrero","marzo","abril","mayo","junio","julio","agosto","septiembre","octubre","noviembre","diciembre"},0)+1,0))</f>
        <v/>
      </c>
      <c r="E2071" t="str">
        <f>+IFERROR(VLOOKUP(Fact_Cumplimiento[[#This Row], [Concepto Anterior]],Conceptos_Cumplimiento[#All],5,0),"")</f>
        <v/>
      </c>
      <c r="F2071" t="str">
        <f>+IFERROR(VLOOKUP(Fact_Cumplimiento[[#This Row], 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ht="18.75" customHeight="1" x14ac:dyDescent="0.35">
      <c r="C2072" s="100" t="str">
        <f>IF(OR(Fact_Cumplimiento[[#This Row], [Año]]="",Fact_Cumplimiento[[#This Row], [Mes]]=""),"",DATE(A2072,MATCH(B2072,{"enero","febrero","marzo","abril","mayo","junio","julio","agosto","septiembre","octubre","noviembre","diciembre"},0)+1,0))</f>
        <v/>
      </c>
      <c r="E2072" t="str">
        <f>+IFERROR(VLOOKUP(Fact_Cumplimiento[[#This Row], [Concepto Anterior]],Conceptos_Cumplimiento[#All],5,0),"")</f>
        <v/>
      </c>
      <c r="F2072" t="str">
        <f>+IFERROR(VLOOKUP(Fact_Cumplimiento[[#This Row], 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ht="18.75" customHeight="1" x14ac:dyDescent="0.35">
      <c r="C2073" s="100" t="str">
        <f>IF(OR(Fact_Cumplimiento[[#This Row], [Año]]="",Fact_Cumplimiento[[#This Row], [Mes]]=""),"",DATE(A2073,MATCH(B2073,{"enero","febrero","marzo","abril","mayo","junio","julio","agosto","septiembre","octubre","noviembre","diciembre"},0)+1,0))</f>
        <v/>
      </c>
      <c r="E2073" t="str">
        <f>+IFERROR(VLOOKUP(Fact_Cumplimiento[[#This Row], [Concepto Anterior]],Conceptos_Cumplimiento[#All],5,0),"")</f>
        <v/>
      </c>
      <c r="F2073" t="str">
        <f>+IFERROR(VLOOKUP(Fact_Cumplimiento[[#This Row], 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ht="18.75" customHeight="1" x14ac:dyDescent="0.35">
      <c r="C2074" s="100" t="str">
        <f>IF(OR(Fact_Cumplimiento[[#This Row], [Año]]="",Fact_Cumplimiento[[#This Row], [Mes]]=""),"",DATE(A2074,MATCH(B2074,{"enero","febrero","marzo","abril","mayo","junio","julio","agosto","septiembre","octubre","noviembre","diciembre"},0)+1,0))</f>
        <v/>
      </c>
      <c r="E2074" t="str">
        <f>+IFERROR(VLOOKUP(Fact_Cumplimiento[[#This Row], [Concepto Anterior]],Conceptos_Cumplimiento[#All],5,0),"")</f>
        <v/>
      </c>
      <c r="F2074" t="str">
        <f>+IFERROR(VLOOKUP(Fact_Cumplimiento[[#This Row], 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ht="18.75" customHeight="1" x14ac:dyDescent="0.35">
      <c r="C2075" s="100" t="str">
        <f>IF(OR(Fact_Cumplimiento[[#This Row], [Año]]="",Fact_Cumplimiento[[#This Row], [Mes]]=""),"",DATE(A2075,MATCH(B2075,{"enero","febrero","marzo","abril","mayo","junio","julio","agosto","septiembre","octubre","noviembre","diciembre"},0)+1,0))</f>
        <v/>
      </c>
      <c r="E2075" t="str">
        <f>+IFERROR(VLOOKUP(Fact_Cumplimiento[[#This Row], [Concepto Anterior]],Conceptos_Cumplimiento[#All],5,0),"")</f>
        <v/>
      </c>
      <c r="F2075" t="str">
        <f>+IFERROR(VLOOKUP(Fact_Cumplimiento[[#This Row], 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ht="18.75" customHeight="1" x14ac:dyDescent="0.35">
      <c r="C2076" s="100" t="str">
        <f>IF(OR(Fact_Cumplimiento[[#This Row], [Año]]="",Fact_Cumplimiento[[#This Row], [Mes]]=""),"",DATE(A2076,MATCH(B2076,{"enero","febrero","marzo","abril","mayo","junio","julio","agosto","septiembre","octubre","noviembre","diciembre"},0)+1,0))</f>
        <v/>
      </c>
      <c r="E2076" t="str">
        <f>+IFERROR(VLOOKUP(Fact_Cumplimiento[[#This Row], [Concepto Anterior]],Conceptos_Cumplimiento[#All],5,0),"")</f>
        <v/>
      </c>
      <c r="F2076" t="str">
        <f>+IFERROR(VLOOKUP(Fact_Cumplimiento[[#This Row], 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ht="18.75" customHeight="1" x14ac:dyDescent="0.35">
      <c r="C2077" s="100" t="str">
        <f>IF(OR(Fact_Cumplimiento[[#This Row], [Año]]="",Fact_Cumplimiento[[#This Row], [Mes]]=""),"",DATE(A2077,MATCH(B2077,{"enero","febrero","marzo","abril","mayo","junio","julio","agosto","septiembre","octubre","noviembre","diciembre"},0)+1,0))</f>
        <v/>
      </c>
      <c r="E2077" t="str">
        <f>+IFERROR(VLOOKUP(Fact_Cumplimiento[[#This Row], [Concepto Anterior]],Conceptos_Cumplimiento[#All],5,0),"")</f>
        <v/>
      </c>
      <c r="F2077" t="str">
        <f>+IFERROR(VLOOKUP(Fact_Cumplimiento[[#This Row], 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ht="18.75" customHeight="1" x14ac:dyDescent="0.35">
      <c r="C2078" s="100" t="str">
        <f>IF(OR(Fact_Cumplimiento[[#This Row], [Año]]="",Fact_Cumplimiento[[#This Row], [Mes]]=""),"",DATE(A2078,MATCH(B2078,{"enero","febrero","marzo","abril","mayo","junio","julio","agosto","septiembre","octubre","noviembre","diciembre"},0)+1,0))</f>
        <v/>
      </c>
      <c r="E2078" t="str">
        <f>+IFERROR(VLOOKUP(Fact_Cumplimiento[[#This Row], [Concepto Anterior]],Conceptos_Cumplimiento[#All],5,0),"")</f>
        <v/>
      </c>
      <c r="F2078" t="str">
        <f>+IFERROR(VLOOKUP(Fact_Cumplimiento[[#This Row], 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ht="18.75" customHeight="1" x14ac:dyDescent="0.35">
      <c r="C2079" s="100" t="str">
        <f>IF(OR(Fact_Cumplimiento[[#This Row], [Año]]="",Fact_Cumplimiento[[#This Row], [Mes]]=""),"",DATE(A2079,MATCH(B2079,{"enero","febrero","marzo","abril","mayo","junio","julio","agosto","septiembre","octubre","noviembre","diciembre"},0)+1,0))</f>
        <v/>
      </c>
      <c r="E2079" t="str">
        <f>+IFERROR(VLOOKUP(Fact_Cumplimiento[[#This Row], [Concepto Anterior]],Conceptos_Cumplimiento[#All],5,0),"")</f>
        <v/>
      </c>
      <c r="F2079" t="str">
        <f>+IFERROR(VLOOKUP(Fact_Cumplimiento[[#This Row], 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ht="18.75" customHeight="1" x14ac:dyDescent="0.35">
      <c r="C2080" s="100" t="str">
        <f>IF(OR(Fact_Cumplimiento[[#This Row], [Año]]="",Fact_Cumplimiento[[#This Row], [Mes]]=""),"",DATE(A2080,MATCH(B2080,{"enero","febrero","marzo","abril","mayo","junio","julio","agosto","septiembre","octubre","noviembre","diciembre"},0)+1,0))</f>
        <v/>
      </c>
      <c r="E2080" t="str">
        <f>+IFERROR(VLOOKUP(Fact_Cumplimiento[[#This Row], [Concepto Anterior]],Conceptos_Cumplimiento[#All],5,0),"")</f>
        <v/>
      </c>
      <c r="F2080" t="str">
        <f>+IFERROR(VLOOKUP(Fact_Cumplimiento[[#This Row], 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ht="18.75" customHeight="1" x14ac:dyDescent="0.35">
      <c r="C2081" s="100" t="str">
        <f>IF(OR(Fact_Cumplimiento[[#This Row], [Año]]="",Fact_Cumplimiento[[#This Row], [Mes]]=""),"",DATE(A2081,MATCH(B2081,{"enero","febrero","marzo","abril","mayo","junio","julio","agosto","septiembre","octubre","noviembre","diciembre"},0)+1,0))</f>
        <v/>
      </c>
      <c r="E2081" t="str">
        <f>+IFERROR(VLOOKUP(Fact_Cumplimiento[[#This Row], [Concepto Anterior]],Conceptos_Cumplimiento[#All],5,0),"")</f>
        <v/>
      </c>
      <c r="F2081" t="str">
        <f>+IFERROR(VLOOKUP(Fact_Cumplimiento[[#This Row], 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ht="18.75" customHeight="1" x14ac:dyDescent="0.35">
      <c r="C2082" s="100" t="str">
        <f>IF(OR(Fact_Cumplimiento[[#This Row], [Año]]="",Fact_Cumplimiento[[#This Row], [Mes]]=""),"",DATE(A2082,MATCH(B2082,{"enero","febrero","marzo","abril","mayo","junio","julio","agosto","septiembre","octubre","noviembre","diciembre"},0)+1,0))</f>
        <v/>
      </c>
      <c r="E2082" t="str">
        <f>+IFERROR(VLOOKUP(Fact_Cumplimiento[[#This Row], [Concepto Anterior]],Conceptos_Cumplimiento[#All],5,0),"")</f>
        <v/>
      </c>
      <c r="F2082" t="str">
        <f>+IFERROR(VLOOKUP(Fact_Cumplimiento[[#This Row], 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ht="18.75" customHeight="1" x14ac:dyDescent="0.35">
      <c r="C2083" s="100" t="str">
        <f>IF(OR(Fact_Cumplimiento[[#This Row], [Año]]="",Fact_Cumplimiento[[#This Row], [Mes]]=""),"",DATE(A2083,MATCH(B2083,{"enero","febrero","marzo","abril","mayo","junio","julio","agosto","septiembre","octubre","noviembre","diciembre"},0)+1,0))</f>
        <v/>
      </c>
      <c r="E2083" t="str">
        <f>+IFERROR(VLOOKUP(Fact_Cumplimiento[[#This Row], [Concepto Anterior]],Conceptos_Cumplimiento[#All],5,0),"")</f>
        <v/>
      </c>
      <c r="F2083" t="str">
        <f>+IFERROR(VLOOKUP(Fact_Cumplimiento[[#This Row], 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ht="18.75" customHeight="1" x14ac:dyDescent="0.35">
      <c r="C2084" s="100" t="str">
        <f>IF(OR(Fact_Cumplimiento[[#This Row], [Año]]="",Fact_Cumplimiento[[#This Row], [Mes]]=""),"",DATE(A2084,MATCH(B2084,{"enero","febrero","marzo","abril","mayo","junio","julio","agosto","septiembre","octubre","noviembre","diciembre"},0)+1,0))</f>
        <v/>
      </c>
      <c r="E2084" t="str">
        <f>+IFERROR(VLOOKUP(Fact_Cumplimiento[[#This Row], [Concepto Anterior]],Conceptos_Cumplimiento[#All],5,0),"")</f>
        <v/>
      </c>
      <c r="F2084" t="str">
        <f>+IFERROR(VLOOKUP(Fact_Cumplimiento[[#This Row], 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ht="18.75" customHeight="1" x14ac:dyDescent="0.35">
      <c r="C2085" s="100" t="str">
        <f>IF(OR(Fact_Cumplimiento[[#This Row], [Año]]="",Fact_Cumplimiento[[#This Row], [Mes]]=""),"",DATE(A2085,MATCH(B2085,{"enero","febrero","marzo","abril","mayo","junio","julio","agosto","septiembre","octubre","noviembre","diciembre"},0)+1,0))</f>
        <v/>
      </c>
      <c r="E2085" t="str">
        <f>+IFERROR(VLOOKUP(Fact_Cumplimiento[[#This Row], [Concepto Anterior]],Conceptos_Cumplimiento[#All],5,0),"")</f>
        <v/>
      </c>
      <c r="F2085" t="str">
        <f>+IFERROR(VLOOKUP(Fact_Cumplimiento[[#This Row], 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ht="18.75" customHeight="1" x14ac:dyDescent="0.35">
      <c r="C2086" s="100" t="str">
        <f>IF(OR(Fact_Cumplimiento[[#This Row], [Año]]="",Fact_Cumplimiento[[#This Row], [Mes]]=""),"",DATE(A2086,MATCH(B2086,{"enero","febrero","marzo","abril","mayo","junio","julio","agosto","septiembre","octubre","noviembre","diciembre"},0)+1,0))</f>
        <v/>
      </c>
      <c r="E2086" t="str">
        <f>+IFERROR(VLOOKUP(Fact_Cumplimiento[[#This Row], [Concepto Anterior]],Conceptos_Cumplimiento[#All],5,0),"")</f>
        <v/>
      </c>
      <c r="F2086" t="str">
        <f>+IFERROR(VLOOKUP(Fact_Cumplimiento[[#This Row], 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ht="18.75" customHeight="1" x14ac:dyDescent="0.35">
      <c r="C2087" s="100" t="str">
        <f>IF(OR(Fact_Cumplimiento[[#This Row], [Año]]="",Fact_Cumplimiento[[#This Row], [Mes]]=""),"",DATE(A2087,MATCH(B2087,{"enero","febrero","marzo","abril","mayo","junio","julio","agosto","septiembre","octubre","noviembre","diciembre"},0)+1,0))</f>
        <v/>
      </c>
      <c r="E2087" t="str">
        <f>+IFERROR(VLOOKUP(Fact_Cumplimiento[[#This Row], [Concepto Anterior]],Conceptos_Cumplimiento[#All],5,0),"")</f>
        <v/>
      </c>
      <c r="F2087" t="str">
        <f>+IFERROR(VLOOKUP(Fact_Cumplimiento[[#This Row], 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ht="18.75" customHeight="1" x14ac:dyDescent="0.35">
      <c r="C2088" s="100" t="str">
        <f>IF(OR(Fact_Cumplimiento[[#This Row], [Año]]="",Fact_Cumplimiento[[#This Row], [Mes]]=""),"",DATE(A2088,MATCH(B2088,{"enero","febrero","marzo","abril","mayo","junio","julio","agosto","septiembre","octubre","noviembre","diciembre"},0)+1,0))</f>
        <v/>
      </c>
      <c r="E2088" t="str">
        <f>+IFERROR(VLOOKUP(Fact_Cumplimiento[[#This Row], [Concepto Anterior]],Conceptos_Cumplimiento[#All],5,0),"")</f>
        <v/>
      </c>
      <c r="F2088" t="str">
        <f>+IFERROR(VLOOKUP(Fact_Cumplimiento[[#This Row], 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ht="18.75" customHeight="1" x14ac:dyDescent="0.35">
      <c r="C2089" s="100" t="str">
        <f>IF(OR(Fact_Cumplimiento[[#This Row], [Año]]="",Fact_Cumplimiento[[#This Row], [Mes]]=""),"",DATE(A2089,MATCH(B2089,{"enero","febrero","marzo","abril","mayo","junio","julio","agosto","septiembre","octubre","noviembre","diciembre"},0)+1,0))</f>
        <v/>
      </c>
      <c r="E2089" t="str">
        <f>+IFERROR(VLOOKUP(Fact_Cumplimiento[[#This Row], [Concepto Anterior]],Conceptos_Cumplimiento[#All],5,0),"")</f>
        <v/>
      </c>
      <c r="F2089" t="str">
        <f>+IFERROR(VLOOKUP(Fact_Cumplimiento[[#This Row], 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ht="18.75" customHeight="1" x14ac:dyDescent="0.35">
      <c r="C2090" s="100" t="str">
        <f>IF(OR(Fact_Cumplimiento[[#This Row], [Año]]="",Fact_Cumplimiento[[#This Row], [Mes]]=""),"",DATE(A2090,MATCH(B2090,{"enero","febrero","marzo","abril","mayo","junio","julio","agosto","septiembre","octubre","noviembre","diciembre"},0)+1,0))</f>
        <v/>
      </c>
      <c r="E2090" t="str">
        <f>+IFERROR(VLOOKUP(Fact_Cumplimiento[[#This Row], [Concepto Anterior]],Conceptos_Cumplimiento[#All],5,0),"")</f>
        <v/>
      </c>
      <c r="F2090" t="str">
        <f>+IFERROR(VLOOKUP(Fact_Cumplimiento[[#This Row], 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ht="18.75" customHeight="1" x14ac:dyDescent="0.35">
      <c r="C2091" s="100" t="str">
        <f>IF(OR(Fact_Cumplimiento[[#This Row], [Año]]="",Fact_Cumplimiento[[#This Row], [Mes]]=""),"",DATE(A2091,MATCH(B2091,{"enero","febrero","marzo","abril","mayo","junio","julio","agosto","septiembre","octubre","noviembre","diciembre"},0)+1,0))</f>
        <v/>
      </c>
      <c r="E2091" t="str">
        <f>+IFERROR(VLOOKUP(Fact_Cumplimiento[[#This Row], [Concepto Anterior]],Conceptos_Cumplimiento[#All],5,0),"")</f>
        <v/>
      </c>
      <c r="F2091" t="str">
        <f>+IFERROR(VLOOKUP(Fact_Cumplimiento[[#This Row], 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ht="18.75" customHeight="1" x14ac:dyDescent="0.35">
      <c r="C2092" s="100" t="str">
        <f>IF(OR(Fact_Cumplimiento[[#This Row], [Año]]="",Fact_Cumplimiento[[#This Row], [Mes]]=""),"",DATE(A2092,MATCH(B2092,{"enero","febrero","marzo","abril","mayo","junio","julio","agosto","septiembre","octubre","noviembre","diciembre"},0)+1,0))</f>
        <v/>
      </c>
      <c r="E2092" t="str">
        <f>+IFERROR(VLOOKUP(Fact_Cumplimiento[[#This Row], [Concepto Anterior]],Conceptos_Cumplimiento[#All],5,0),"")</f>
        <v/>
      </c>
      <c r="F2092" t="str">
        <f>+IFERROR(VLOOKUP(Fact_Cumplimiento[[#This Row], 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ht="18.75" customHeight="1" x14ac:dyDescent="0.35">
      <c r="C2093" s="100" t="str">
        <f>IF(OR(Fact_Cumplimiento[[#This Row], [Año]]="",Fact_Cumplimiento[[#This Row], [Mes]]=""),"",DATE(A2093,MATCH(B2093,{"enero","febrero","marzo","abril","mayo","junio","julio","agosto","septiembre","octubre","noviembre","diciembre"},0)+1,0))</f>
        <v/>
      </c>
      <c r="E2093" t="str">
        <f>+IFERROR(VLOOKUP(Fact_Cumplimiento[[#This Row], [Concepto Anterior]],Conceptos_Cumplimiento[#All],5,0),"")</f>
        <v/>
      </c>
      <c r="F2093" t="str">
        <f>+IFERROR(VLOOKUP(Fact_Cumplimiento[[#This Row], 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ht="18.75" customHeight="1" x14ac:dyDescent="0.35">
      <c r="C2094" s="100" t="str">
        <f>IF(OR(Fact_Cumplimiento[[#This Row], [Año]]="",Fact_Cumplimiento[[#This Row], [Mes]]=""),"",DATE(A2094,MATCH(B2094,{"enero","febrero","marzo","abril","mayo","junio","julio","agosto","septiembre","octubre","noviembre","diciembre"},0)+1,0))</f>
        <v/>
      </c>
      <c r="E2094" t="str">
        <f>+IFERROR(VLOOKUP(Fact_Cumplimiento[[#This Row], [Concepto Anterior]],Conceptos_Cumplimiento[#All],5,0),"")</f>
        <v/>
      </c>
      <c r="F2094" t="str">
        <f>+IFERROR(VLOOKUP(Fact_Cumplimiento[[#This Row], 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ht="18.75" customHeight="1" x14ac:dyDescent="0.35">
      <c r="C2095" s="100" t="str">
        <f>IF(OR(Fact_Cumplimiento[[#This Row], [Año]]="",Fact_Cumplimiento[[#This Row], [Mes]]=""),"",DATE(A2095,MATCH(B2095,{"enero","febrero","marzo","abril","mayo","junio","julio","agosto","septiembre","octubre","noviembre","diciembre"},0)+1,0))</f>
        <v/>
      </c>
      <c r="E2095" t="str">
        <f>+IFERROR(VLOOKUP(Fact_Cumplimiento[[#This Row], [Concepto Anterior]],Conceptos_Cumplimiento[#All],5,0),"")</f>
        <v/>
      </c>
      <c r="F2095" t="str">
        <f>+IFERROR(VLOOKUP(Fact_Cumplimiento[[#This Row], 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ht="18.75" customHeight="1" x14ac:dyDescent="0.35">
      <c r="C2096" s="100" t="str">
        <f>IF(OR(Fact_Cumplimiento[[#This Row], [Año]]="",Fact_Cumplimiento[[#This Row], [Mes]]=""),"",DATE(A2096,MATCH(B2096,{"enero","febrero","marzo","abril","mayo","junio","julio","agosto","septiembre","octubre","noviembre","diciembre"},0)+1,0))</f>
        <v/>
      </c>
      <c r="E2096" t="str">
        <f>+IFERROR(VLOOKUP(Fact_Cumplimiento[[#This Row], [Concepto Anterior]],Conceptos_Cumplimiento[#All],5,0),"")</f>
        <v/>
      </c>
      <c r="F2096" t="str">
        <f>+IFERROR(VLOOKUP(Fact_Cumplimiento[[#This Row], 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ht="18.75" customHeight="1" x14ac:dyDescent="0.35">
      <c r="C2097" s="100" t="str">
        <f>IF(OR(Fact_Cumplimiento[[#This Row], [Año]]="",Fact_Cumplimiento[[#This Row], [Mes]]=""),"",DATE(A2097,MATCH(B2097,{"enero","febrero","marzo","abril","mayo","junio","julio","agosto","septiembre","octubre","noviembre","diciembre"},0)+1,0))</f>
        <v/>
      </c>
      <c r="E2097" t="str">
        <f>+IFERROR(VLOOKUP(Fact_Cumplimiento[[#This Row], [Concepto Anterior]],Conceptos_Cumplimiento[#All],5,0),"")</f>
        <v/>
      </c>
      <c r="F2097" t="str">
        <f>+IFERROR(VLOOKUP(Fact_Cumplimiento[[#This Row], 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ht="18.75" customHeight="1" x14ac:dyDescent="0.35">
      <c r="C2098" s="100" t="str">
        <f>IF(OR(Fact_Cumplimiento[[#This Row], [Año]]="",Fact_Cumplimiento[[#This Row], [Mes]]=""),"",DATE(A2098,MATCH(B2098,{"enero","febrero","marzo","abril","mayo","junio","julio","agosto","septiembre","octubre","noviembre","diciembre"},0)+1,0))</f>
        <v/>
      </c>
      <c r="E2098" t="str">
        <f>+IFERROR(VLOOKUP(Fact_Cumplimiento[[#This Row], [Concepto Anterior]],Conceptos_Cumplimiento[#All],5,0),"")</f>
        <v/>
      </c>
      <c r="F2098" t="str">
        <f>+IFERROR(VLOOKUP(Fact_Cumplimiento[[#This Row], 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ht="18.75" customHeight="1" x14ac:dyDescent="0.35">
      <c r="C2099" s="100" t="str">
        <f>IF(OR(Fact_Cumplimiento[[#This Row], [Año]]="",Fact_Cumplimiento[[#This Row], [Mes]]=""),"",DATE(A2099,MATCH(B2099,{"enero","febrero","marzo","abril","mayo","junio","julio","agosto","septiembre","octubre","noviembre","diciembre"},0)+1,0))</f>
        <v/>
      </c>
      <c r="E2099" t="str">
        <f>+IFERROR(VLOOKUP(Fact_Cumplimiento[[#This Row], [Concepto Anterior]],Conceptos_Cumplimiento[#All],5,0),"")</f>
        <v/>
      </c>
      <c r="F2099" t="str">
        <f>+IFERROR(VLOOKUP(Fact_Cumplimiento[[#This Row], 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ht="18.75" customHeight="1" x14ac:dyDescent="0.35">
      <c r="C2100" s="100" t="str">
        <f>IF(OR(Fact_Cumplimiento[[#This Row], [Año]]="",Fact_Cumplimiento[[#This Row], [Mes]]=""),"",DATE(A2100,MATCH(B2100,{"enero","febrero","marzo","abril","mayo","junio","julio","agosto","septiembre","octubre","noviembre","diciembre"},0)+1,0))</f>
        <v/>
      </c>
      <c r="E2100" t="str">
        <f>+IFERROR(VLOOKUP(Fact_Cumplimiento[[#This Row], [Concepto Anterior]],Conceptos_Cumplimiento[#All],5,0),"")</f>
        <v/>
      </c>
      <c r="F2100" t="str">
        <f>+IFERROR(VLOOKUP(Fact_Cumplimiento[[#This Row], 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ht="18.75" customHeight="1" x14ac:dyDescent="0.35">
      <c r="C2101" s="100" t="str">
        <f>IF(OR(Fact_Cumplimiento[[#This Row], [Año]]="",Fact_Cumplimiento[[#This Row], [Mes]]=""),"",DATE(A2101,MATCH(B2101,{"enero","febrero","marzo","abril","mayo","junio","julio","agosto","septiembre","octubre","noviembre","diciembre"},0)+1,0))</f>
        <v/>
      </c>
      <c r="E2101" t="str">
        <f>+IFERROR(VLOOKUP(Fact_Cumplimiento[[#This Row], [Concepto Anterior]],Conceptos_Cumplimiento[#All],5,0),"")</f>
        <v/>
      </c>
      <c r="F2101" t="str">
        <f>+IFERROR(VLOOKUP(Fact_Cumplimiento[[#This Row], 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ht="18.75" customHeight="1" x14ac:dyDescent="0.35">
      <c r="C2102" s="100" t="str">
        <f>IF(OR(Fact_Cumplimiento[[#This Row], [Año]]="",Fact_Cumplimiento[[#This Row], [Mes]]=""),"",DATE(A2102,MATCH(B2102,{"enero","febrero","marzo","abril","mayo","junio","julio","agosto","septiembre","octubre","noviembre","diciembre"},0)+1,0))</f>
        <v/>
      </c>
      <c r="E2102" t="str">
        <f>+IFERROR(VLOOKUP(Fact_Cumplimiento[[#This Row], [Concepto Anterior]],Conceptos_Cumplimiento[#All],5,0),"")</f>
        <v/>
      </c>
      <c r="F2102" t="str">
        <f>+IFERROR(VLOOKUP(Fact_Cumplimiento[[#This Row], 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ht="18.75" customHeight="1" x14ac:dyDescent="0.35">
      <c r="C2103" s="100" t="str">
        <f>IF(OR(Fact_Cumplimiento[[#This Row], [Año]]="",Fact_Cumplimiento[[#This Row], [Mes]]=""),"",DATE(A2103,MATCH(B2103,{"enero","febrero","marzo","abril","mayo","junio","julio","agosto","septiembre","octubre","noviembre","diciembre"},0)+1,0))</f>
        <v/>
      </c>
      <c r="E2103" t="str">
        <f>+IFERROR(VLOOKUP(Fact_Cumplimiento[[#This Row], [Concepto Anterior]],Conceptos_Cumplimiento[#All],5,0),"")</f>
        <v/>
      </c>
      <c r="F2103" t="str">
        <f>+IFERROR(VLOOKUP(Fact_Cumplimiento[[#This Row], 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ht="18.75" customHeight="1" x14ac:dyDescent="0.35">
      <c r="C2104" s="100" t="str">
        <f>IF(OR(Fact_Cumplimiento[[#This Row], [Año]]="",Fact_Cumplimiento[[#This Row], [Mes]]=""),"",DATE(A2104,MATCH(B2104,{"enero","febrero","marzo","abril","mayo","junio","julio","agosto","septiembre","octubre","noviembre","diciembre"},0)+1,0))</f>
        <v/>
      </c>
      <c r="E2104" t="str">
        <f>+IFERROR(VLOOKUP(Fact_Cumplimiento[[#This Row], [Concepto Anterior]],Conceptos_Cumplimiento[#All],5,0),"")</f>
        <v/>
      </c>
      <c r="F2104" t="str">
        <f>+IFERROR(VLOOKUP(Fact_Cumplimiento[[#This Row], 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ht="18.75" customHeight="1" x14ac:dyDescent="0.35">
      <c r="C2105" s="100" t="str">
        <f>IF(OR(Fact_Cumplimiento[[#This Row], [Año]]="",Fact_Cumplimiento[[#This Row], [Mes]]=""),"",DATE(A2105,MATCH(B2105,{"enero","febrero","marzo","abril","mayo","junio","julio","agosto","septiembre","octubre","noviembre","diciembre"},0)+1,0))</f>
        <v/>
      </c>
      <c r="E2105" t="str">
        <f>+IFERROR(VLOOKUP(Fact_Cumplimiento[[#This Row], [Concepto Anterior]],Conceptos_Cumplimiento[#All],5,0),"")</f>
        <v/>
      </c>
      <c r="F2105" t="str">
        <f>+IFERROR(VLOOKUP(Fact_Cumplimiento[[#This Row], 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ht="18.75" customHeight="1" x14ac:dyDescent="0.35">
      <c r="C2106" s="100" t="str">
        <f>IF(OR(Fact_Cumplimiento[[#This Row], [Año]]="",Fact_Cumplimiento[[#This Row], [Mes]]=""),"",DATE(A2106,MATCH(B2106,{"enero","febrero","marzo","abril","mayo","junio","julio","agosto","septiembre","octubre","noviembre","diciembre"},0)+1,0))</f>
        <v/>
      </c>
      <c r="E2106" t="str">
        <f>+IFERROR(VLOOKUP(Fact_Cumplimiento[[#This Row], [Concepto Anterior]],Conceptos_Cumplimiento[#All],5,0),"")</f>
        <v/>
      </c>
      <c r="F2106" t="str">
        <f>+IFERROR(VLOOKUP(Fact_Cumplimiento[[#This Row], 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ht="18.75" customHeight="1" x14ac:dyDescent="0.35">
      <c r="C2107" s="100" t="str">
        <f>IF(OR(Fact_Cumplimiento[[#This Row], [Año]]="",Fact_Cumplimiento[[#This Row], [Mes]]=""),"",DATE(A2107,MATCH(B2107,{"enero","febrero","marzo","abril","mayo","junio","julio","agosto","septiembre","octubre","noviembre","diciembre"},0)+1,0))</f>
        <v/>
      </c>
      <c r="E2107" t="str">
        <f>+IFERROR(VLOOKUP(Fact_Cumplimiento[[#This Row], [Concepto Anterior]],Conceptos_Cumplimiento[#All],5,0),"")</f>
        <v/>
      </c>
      <c r="F2107" t="str">
        <f>+IFERROR(VLOOKUP(Fact_Cumplimiento[[#This Row], 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ht="18.75" customHeight="1" x14ac:dyDescent="0.35">
      <c r="C2108" s="100" t="str">
        <f>IF(OR(Fact_Cumplimiento[[#This Row], [Año]]="",Fact_Cumplimiento[[#This Row], [Mes]]=""),"",DATE(A2108,MATCH(B2108,{"enero","febrero","marzo","abril","mayo","junio","julio","agosto","septiembre","octubre","noviembre","diciembre"},0)+1,0))</f>
        <v/>
      </c>
      <c r="E2108" t="str">
        <f>+IFERROR(VLOOKUP(Fact_Cumplimiento[[#This Row], [Concepto Anterior]],Conceptos_Cumplimiento[#All],5,0),"")</f>
        <v/>
      </c>
      <c r="F2108" t="str">
        <f>+IFERROR(VLOOKUP(Fact_Cumplimiento[[#This Row], 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ht="18.75" customHeight="1" x14ac:dyDescent="0.35">
      <c r="C2109" s="100" t="str">
        <f>IF(OR(Fact_Cumplimiento[[#This Row], [Año]]="",Fact_Cumplimiento[[#This Row], [Mes]]=""),"",DATE(A2109,MATCH(B2109,{"enero","febrero","marzo","abril","mayo","junio","julio","agosto","septiembre","octubre","noviembre","diciembre"},0)+1,0))</f>
        <v/>
      </c>
      <c r="E2109" t="str">
        <f>+IFERROR(VLOOKUP(Fact_Cumplimiento[[#This Row], [Concepto Anterior]],Conceptos_Cumplimiento[#All],5,0),"")</f>
        <v/>
      </c>
      <c r="F2109" t="str">
        <f>+IFERROR(VLOOKUP(Fact_Cumplimiento[[#This Row], 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ht="18.75" customHeight="1" x14ac:dyDescent="0.35">
      <c r="C2110" s="100" t="str">
        <f>IF(OR(Fact_Cumplimiento[[#This Row], [Año]]="",Fact_Cumplimiento[[#This Row], [Mes]]=""),"",DATE(A2110,MATCH(B2110,{"enero","febrero","marzo","abril","mayo","junio","julio","agosto","septiembre","octubre","noviembre","diciembre"},0)+1,0))</f>
        <v/>
      </c>
      <c r="E2110" t="str">
        <f>+IFERROR(VLOOKUP(Fact_Cumplimiento[[#This Row], [Concepto Anterior]],Conceptos_Cumplimiento[#All],5,0),"")</f>
        <v/>
      </c>
      <c r="F2110" t="str">
        <f>+IFERROR(VLOOKUP(Fact_Cumplimiento[[#This Row], 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ht="18.75" customHeight="1" x14ac:dyDescent="0.35">
      <c r="C2111" s="100" t="str">
        <f>IF(OR(Fact_Cumplimiento[[#This Row], [Año]]="",Fact_Cumplimiento[[#This Row], [Mes]]=""),"",DATE(A2111,MATCH(B2111,{"enero","febrero","marzo","abril","mayo","junio","julio","agosto","septiembre","octubre","noviembre","diciembre"},0)+1,0))</f>
        <v/>
      </c>
      <c r="E2111" t="str">
        <f>+IFERROR(VLOOKUP(Fact_Cumplimiento[[#This Row], [Concepto Anterior]],Conceptos_Cumplimiento[#All],5,0),"")</f>
        <v/>
      </c>
      <c r="F2111" t="str">
        <f>+IFERROR(VLOOKUP(Fact_Cumplimiento[[#This Row], 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ht="18.75" customHeight="1" x14ac:dyDescent="0.35">
      <c r="C2112" s="100" t="str">
        <f>IF(OR(Fact_Cumplimiento[[#This Row], [Año]]="",Fact_Cumplimiento[[#This Row], [Mes]]=""),"",DATE(A2112,MATCH(B2112,{"enero","febrero","marzo","abril","mayo","junio","julio","agosto","septiembre","octubre","noviembre","diciembre"},0)+1,0))</f>
        <v/>
      </c>
      <c r="E2112" t="str">
        <f>+IFERROR(VLOOKUP(Fact_Cumplimiento[[#This Row], [Concepto Anterior]],Conceptos_Cumplimiento[#All],5,0),"")</f>
        <v/>
      </c>
      <c r="F2112" t="str">
        <f>+IFERROR(VLOOKUP(Fact_Cumplimiento[[#This Row], 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ht="18.75" customHeight="1" x14ac:dyDescent="0.35">
      <c r="C2113" s="100" t="str">
        <f>IF(OR(Fact_Cumplimiento[[#This Row], [Año]]="",Fact_Cumplimiento[[#This Row], [Mes]]=""),"",DATE(A2113,MATCH(B2113,{"enero","febrero","marzo","abril","mayo","junio","julio","agosto","septiembre","octubre","noviembre","diciembre"},0)+1,0))</f>
        <v/>
      </c>
      <c r="E2113" t="str">
        <f>+IFERROR(VLOOKUP(Fact_Cumplimiento[[#This Row], [Concepto Anterior]],Conceptos_Cumplimiento[#All],5,0),"")</f>
        <v/>
      </c>
      <c r="F2113" t="str">
        <f>+IFERROR(VLOOKUP(Fact_Cumplimiento[[#This Row], 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ht="18.75" customHeight="1" x14ac:dyDescent="0.35">
      <c r="C2114" s="100" t="str">
        <f>IF(OR(Fact_Cumplimiento[[#This Row], [Año]]="",Fact_Cumplimiento[[#This Row], [Mes]]=""),"",DATE(A2114,MATCH(B2114,{"enero","febrero","marzo","abril","mayo","junio","julio","agosto","septiembre","octubre","noviembre","diciembre"},0)+1,0))</f>
        <v/>
      </c>
      <c r="E2114" t="str">
        <f>+IFERROR(VLOOKUP(Fact_Cumplimiento[[#This Row], [Concepto Anterior]],Conceptos_Cumplimiento[#All],5,0),"")</f>
        <v/>
      </c>
      <c r="F2114" t="str">
        <f>+IFERROR(VLOOKUP(Fact_Cumplimiento[[#This Row], 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ht="18.75" customHeight="1" x14ac:dyDescent="0.35">
      <c r="C2115" s="100" t="str">
        <f>IF(OR(Fact_Cumplimiento[[#This Row], [Año]]="",Fact_Cumplimiento[[#This Row], [Mes]]=""),"",DATE(A2115,MATCH(B2115,{"enero","febrero","marzo","abril","mayo","junio","julio","agosto","septiembre","octubre","noviembre","diciembre"},0)+1,0))</f>
        <v/>
      </c>
      <c r="E2115" t="str">
        <f>+IFERROR(VLOOKUP(Fact_Cumplimiento[[#This Row], [Concepto Anterior]],Conceptos_Cumplimiento[#All],5,0),"")</f>
        <v/>
      </c>
      <c r="F2115" t="str">
        <f>+IFERROR(VLOOKUP(Fact_Cumplimiento[[#This Row], 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ht="18.75" customHeight="1" x14ac:dyDescent="0.35">
      <c r="C2116" s="100" t="str">
        <f>IF(OR(Fact_Cumplimiento[[#This Row], [Año]]="",Fact_Cumplimiento[[#This Row], [Mes]]=""),"",DATE(A2116,MATCH(B2116,{"enero","febrero","marzo","abril","mayo","junio","julio","agosto","septiembre","octubre","noviembre","diciembre"},0)+1,0))</f>
        <v/>
      </c>
      <c r="E2116" t="str">
        <f>+IFERROR(VLOOKUP(Fact_Cumplimiento[[#This Row], [Concepto Anterior]],Conceptos_Cumplimiento[#All],5,0),"")</f>
        <v/>
      </c>
      <c r="F2116" t="str">
        <f>+IFERROR(VLOOKUP(Fact_Cumplimiento[[#This Row], 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ht="18.75" customHeight="1" x14ac:dyDescent="0.35">
      <c r="C2117" s="100" t="str">
        <f>IF(OR(Fact_Cumplimiento[[#This Row], [Año]]="",Fact_Cumplimiento[[#This Row], [Mes]]=""),"",DATE(A2117,MATCH(B2117,{"enero","febrero","marzo","abril","mayo","junio","julio","agosto","septiembre","octubre","noviembre","diciembre"},0)+1,0))</f>
        <v/>
      </c>
      <c r="E2117" t="str">
        <f>+IFERROR(VLOOKUP(Fact_Cumplimiento[[#This Row], [Concepto Anterior]],Conceptos_Cumplimiento[#All],5,0),"")</f>
        <v/>
      </c>
      <c r="F2117" t="str">
        <f>+IFERROR(VLOOKUP(Fact_Cumplimiento[[#This Row], 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ht="18.75" customHeight="1" x14ac:dyDescent="0.35">
      <c r="C2118" s="100" t="str">
        <f>IF(OR(Fact_Cumplimiento[[#This Row], [Año]]="",Fact_Cumplimiento[[#This Row], [Mes]]=""),"",DATE(A2118,MATCH(B2118,{"enero","febrero","marzo","abril","mayo","junio","julio","agosto","septiembre","octubre","noviembre","diciembre"},0)+1,0))</f>
        <v/>
      </c>
      <c r="E2118" t="str">
        <f>+IFERROR(VLOOKUP(Fact_Cumplimiento[[#This Row], [Concepto Anterior]],Conceptos_Cumplimiento[#All],5,0),"")</f>
        <v/>
      </c>
      <c r="F2118" t="str">
        <f>+IFERROR(VLOOKUP(Fact_Cumplimiento[[#This Row], 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ht="18.75" customHeight="1" x14ac:dyDescent="0.35">
      <c r="C2119" s="100" t="str">
        <f>IF(OR(Fact_Cumplimiento[[#This Row], [Año]]="",Fact_Cumplimiento[[#This Row], [Mes]]=""),"",DATE(A2119,MATCH(B2119,{"enero","febrero","marzo","abril","mayo","junio","julio","agosto","septiembre","octubre","noviembre","diciembre"},0)+1,0))</f>
        <v/>
      </c>
      <c r="E2119" t="str">
        <f>+IFERROR(VLOOKUP(Fact_Cumplimiento[[#This Row], [Concepto Anterior]],Conceptos_Cumplimiento[#All],5,0),"")</f>
        <v/>
      </c>
      <c r="F2119" t="str">
        <f>+IFERROR(VLOOKUP(Fact_Cumplimiento[[#This Row], 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ht="18.75" customHeight="1" x14ac:dyDescent="0.35">
      <c r="C2120" s="100" t="str">
        <f>IF(OR(Fact_Cumplimiento[[#This Row], [Año]]="",Fact_Cumplimiento[[#This Row], [Mes]]=""),"",DATE(A2120,MATCH(B2120,{"enero","febrero","marzo","abril","mayo","junio","julio","agosto","septiembre","octubre","noviembre","diciembre"},0)+1,0))</f>
        <v/>
      </c>
      <c r="E2120" t="str">
        <f>+IFERROR(VLOOKUP(Fact_Cumplimiento[[#This Row], [Concepto Anterior]],Conceptos_Cumplimiento[#All],5,0),"")</f>
        <v/>
      </c>
      <c r="F2120" t="str">
        <f>+IFERROR(VLOOKUP(Fact_Cumplimiento[[#This Row], 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ht="18.75" customHeight="1" x14ac:dyDescent="0.35">
      <c r="C2121" s="100" t="str">
        <f>IF(OR(Fact_Cumplimiento[[#This Row], [Año]]="",Fact_Cumplimiento[[#This Row], [Mes]]=""),"",DATE(A2121,MATCH(B2121,{"enero","febrero","marzo","abril","mayo","junio","julio","agosto","septiembre","octubre","noviembre","diciembre"},0)+1,0))</f>
        <v/>
      </c>
      <c r="E2121" t="str">
        <f>+IFERROR(VLOOKUP(Fact_Cumplimiento[[#This Row], [Concepto Anterior]],Conceptos_Cumplimiento[#All],5,0),"")</f>
        <v/>
      </c>
      <c r="F2121" t="str">
        <f>+IFERROR(VLOOKUP(Fact_Cumplimiento[[#This Row], 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ht="18.75" customHeight="1" x14ac:dyDescent="0.35">
      <c r="C2122" s="100" t="str">
        <f>IF(OR(Fact_Cumplimiento[[#This Row], [Año]]="",Fact_Cumplimiento[[#This Row], [Mes]]=""),"",DATE(A2122,MATCH(B2122,{"enero","febrero","marzo","abril","mayo","junio","julio","agosto","septiembre","octubre","noviembre","diciembre"},0)+1,0))</f>
        <v/>
      </c>
      <c r="E2122" t="str">
        <f>+IFERROR(VLOOKUP(Fact_Cumplimiento[[#This Row], [Concepto Anterior]],Conceptos_Cumplimiento[#All],5,0),"")</f>
        <v/>
      </c>
      <c r="F2122" t="str">
        <f>+IFERROR(VLOOKUP(Fact_Cumplimiento[[#This Row], 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ht="18.75" customHeight="1" x14ac:dyDescent="0.35">
      <c r="C2123" s="100" t="str">
        <f>IF(OR(Fact_Cumplimiento[[#This Row], [Año]]="",Fact_Cumplimiento[[#This Row], [Mes]]=""),"",DATE(A2123,MATCH(B2123,{"enero","febrero","marzo","abril","mayo","junio","julio","agosto","septiembre","octubre","noviembre","diciembre"},0)+1,0))</f>
        <v/>
      </c>
      <c r="E2123" t="str">
        <f>+IFERROR(VLOOKUP(Fact_Cumplimiento[[#This Row], [Concepto Anterior]],Conceptos_Cumplimiento[#All],5,0),"")</f>
        <v/>
      </c>
      <c r="F2123" t="str">
        <f>+IFERROR(VLOOKUP(Fact_Cumplimiento[[#This Row], 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ht="18.75" customHeight="1" x14ac:dyDescent="0.35">
      <c r="C2124" s="100" t="str">
        <f>IF(OR(Fact_Cumplimiento[[#This Row], [Año]]="",Fact_Cumplimiento[[#This Row], [Mes]]=""),"",DATE(A2124,MATCH(B2124,{"enero","febrero","marzo","abril","mayo","junio","julio","agosto","septiembre","octubre","noviembre","diciembre"},0)+1,0))</f>
        <v/>
      </c>
      <c r="E2124" t="str">
        <f>+IFERROR(VLOOKUP(Fact_Cumplimiento[[#This Row], [Concepto Anterior]],Conceptos_Cumplimiento[#All],5,0),"")</f>
        <v/>
      </c>
      <c r="F2124" t="str">
        <f>+IFERROR(VLOOKUP(Fact_Cumplimiento[[#This Row], 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ht="18.75" customHeight="1" x14ac:dyDescent="0.35">
      <c r="C2125" s="100" t="str">
        <f>IF(OR(Fact_Cumplimiento[[#This Row], [Año]]="",Fact_Cumplimiento[[#This Row], [Mes]]=""),"",DATE(A2125,MATCH(B2125,{"enero","febrero","marzo","abril","mayo","junio","julio","agosto","septiembre","octubre","noviembre","diciembre"},0)+1,0))</f>
        <v/>
      </c>
      <c r="E2125" t="str">
        <f>+IFERROR(VLOOKUP(Fact_Cumplimiento[[#This Row], [Concepto Anterior]],Conceptos_Cumplimiento[#All],5,0),"")</f>
        <v/>
      </c>
      <c r="F2125" t="str">
        <f>+IFERROR(VLOOKUP(Fact_Cumplimiento[[#This Row], 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ht="18.75" customHeight="1" x14ac:dyDescent="0.35">
      <c r="C2126" s="100" t="str">
        <f>IF(OR(Fact_Cumplimiento[[#This Row], [Año]]="",Fact_Cumplimiento[[#This Row], [Mes]]=""),"",DATE(A2126,MATCH(B2126,{"enero","febrero","marzo","abril","mayo","junio","julio","agosto","septiembre","octubre","noviembre","diciembre"},0)+1,0))</f>
        <v/>
      </c>
      <c r="E2126" t="str">
        <f>+IFERROR(VLOOKUP(Fact_Cumplimiento[[#This Row], [Concepto Anterior]],Conceptos_Cumplimiento[#All],5,0),"")</f>
        <v/>
      </c>
      <c r="F2126" t="str">
        <f>+IFERROR(VLOOKUP(Fact_Cumplimiento[[#This Row], 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ht="18.75" customHeight="1" x14ac:dyDescent="0.35">
      <c r="C2127" s="100" t="str">
        <f>IF(OR(Fact_Cumplimiento[[#This Row], [Año]]="",Fact_Cumplimiento[[#This Row], [Mes]]=""),"",DATE(A2127,MATCH(B2127,{"enero","febrero","marzo","abril","mayo","junio","julio","agosto","septiembre","octubre","noviembre","diciembre"},0)+1,0))</f>
        <v/>
      </c>
      <c r="E2127" t="str">
        <f>+IFERROR(VLOOKUP(Fact_Cumplimiento[[#This Row], [Concepto Anterior]],Conceptos_Cumplimiento[#All],5,0),"")</f>
        <v/>
      </c>
      <c r="F2127" t="str">
        <f>+IFERROR(VLOOKUP(Fact_Cumplimiento[[#This Row], 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ht="18.75" customHeight="1" x14ac:dyDescent="0.35">
      <c r="C2128" s="100" t="str">
        <f>IF(OR(Fact_Cumplimiento[[#This Row], [Año]]="",Fact_Cumplimiento[[#This Row], [Mes]]=""),"",DATE(A2128,MATCH(B2128,{"enero","febrero","marzo","abril","mayo","junio","julio","agosto","septiembre","octubre","noviembre","diciembre"},0)+1,0))</f>
        <v/>
      </c>
      <c r="E2128" t="str">
        <f>+IFERROR(VLOOKUP(Fact_Cumplimiento[[#This Row], [Concepto Anterior]],Conceptos_Cumplimiento[#All],5,0),"")</f>
        <v/>
      </c>
      <c r="F2128" t="str">
        <f>+IFERROR(VLOOKUP(Fact_Cumplimiento[[#This Row], 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ht="18.75" customHeight="1" x14ac:dyDescent="0.35">
      <c r="C2129" s="100" t="str">
        <f>IF(OR(Fact_Cumplimiento[[#This Row], [Año]]="",Fact_Cumplimiento[[#This Row], [Mes]]=""),"",DATE(A2129,MATCH(B2129,{"enero","febrero","marzo","abril","mayo","junio","julio","agosto","septiembre","octubre","noviembre","diciembre"},0)+1,0))</f>
        <v/>
      </c>
      <c r="E2129" t="str">
        <f>+IFERROR(VLOOKUP(Fact_Cumplimiento[[#This Row], [Concepto Anterior]],Conceptos_Cumplimiento[#All],5,0),"")</f>
        <v/>
      </c>
      <c r="F2129" t="str">
        <f>+IFERROR(VLOOKUP(Fact_Cumplimiento[[#This Row], 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ht="18.75" customHeight="1" x14ac:dyDescent="0.35">
      <c r="C2130" s="100" t="str">
        <f>IF(OR(Fact_Cumplimiento[[#This Row], [Año]]="",Fact_Cumplimiento[[#This Row], [Mes]]=""),"",DATE(A2130,MATCH(B2130,{"enero","febrero","marzo","abril","mayo","junio","julio","agosto","septiembre","octubre","noviembre","diciembre"},0)+1,0))</f>
        <v/>
      </c>
      <c r="E2130" t="str">
        <f>+IFERROR(VLOOKUP(Fact_Cumplimiento[[#This Row], [Concepto Anterior]],Conceptos_Cumplimiento[#All],5,0),"")</f>
        <v/>
      </c>
      <c r="F2130" t="str">
        <f>+IFERROR(VLOOKUP(Fact_Cumplimiento[[#This Row], 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ht="18.75" customHeight="1" x14ac:dyDescent="0.35">
      <c r="C2131" s="100" t="str">
        <f>IF(OR(Fact_Cumplimiento[[#This Row], [Año]]="",Fact_Cumplimiento[[#This Row], [Mes]]=""),"",DATE(A2131,MATCH(B2131,{"enero","febrero","marzo","abril","mayo","junio","julio","agosto","septiembre","octubre","noviembre","diciembre"},0)+1,0))</f>
        <v/>
      </c>
      <c r="E2131" t="str">
        <f>+IFERROR(VLOOKUP(Fact_Cumplimiento[[#This Row], [Concepto Anterior]],Conceptos_Cumplimiento[#All],5,0),"")</f>
        <v/>
      </c>
      <c r="F2131" t="str">
        <f>+IFERROR(VLOOKUP(Fact_Cumplimiento[[#This Row], 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ht="18.75" customHeight="1" x14ac:dyDescent="0.35">
      <c r="C2132" s="100" t="str">
        <f>IF(OR(Fact_Cumplimiento[[#This Row], [Año]]="",Fact_Cumplimiento[[#This Row], [Mes]]=""),"",DATE(A2132,MATCH(B2132,{"enero","febrero","marzo","abril","mayo","junio","julio","agosto","septiembre","octubre","noviembre","diciembre"},0)+1,0))</f>
        <v/>
      </c>
      <c r="E2132" t="str">
        <f>+IFERROR(VLOOKUP(Fact_Cumplimiento[[#This Row], [Concepto Anterior]],Conceptos_Cumplimiento[#All],5,0),"")</f>
        <v/>
      </c>
      <c r="F2132" t="str">
        <f>+IFERROR(VLOOKUP(Fact_Cumplimiento[[#This Row], 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ht="18.75" customHeight="1" x14ac:dyDescent="0.35">
      <c r="C2133" s="100" t="str">
        <f>IF(OR(Fact_Cumplimiento[[#This Row], [Año]]="",Fact_Cumplimiento[[#This Row], [Mes]]=""),"",DATE(A2133,MATCH(B2133,{"enero","febrero","marzo","abril","mayo","junio","julio","agosto","septiembre","octubre","noviembre","diciembre"},0)+1,0))</f>
        <v/>
      </c>
      <c r="E2133" t="str">
        <f>+IFERROR(VLOOKUP(Fact_Cumplimiento[[#This Row], [Concepto Anterior]],Conceptos_Cumplimiento[#All],5,0),"")</f>
        <v/>
      </c>
      <c r="F2133" t="str">
        <f>+IFERROR(VLOOKUP(Fact_Cumplimiento[[#This Row], 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ht="18.75" customHeight="1" x14ac:dyDescent="0.35">
      <c r="C2134" s="100" t="str">
        <f>IF(OR(Fact_Cumplimiento[[#This Row], [Año]]="",Fact_Cumplimiento[[#This Row], [Mes]]=""),"",DATE(A2134,MATCH(B2134,{"enero","febrero","marzo","abril","mayo","junio","julio","agosto","septiembre","octubre","noviembre","diciembre"},0)+1,0))</f>
        <v/>
      </c>
      <c r="E2134" t="str">
        <f>+IFERROR(VLOOKUP(Fact_Cumplimiento[[#This Row], [Concepto Anterior]],Conceptos_Cumplimiento[#All],5,0),"")</f>
        <v/>
      </c>
      <c r="F2134" t="str">
        <f>+IFERROR(VLOOKUP(Fact_Cumplimiento[[#This Row], 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ht="18.75" customHeight="1" x14ac:dyDescent="0.35">
      <c r="C2135" s="100" t="str">
        <f>IF(OR(Fact_Cumplimiento[[#This Row], [Año]]="",Fact_Cumplimiento[[#This Row], [Mes]]=""),"",DATE(A2135,MATCH(B2135,{"enero","febrero","marzo","abril","mayo","junio","julio","agosto","septiembre","octubre","noviembre","diciembre"},0)+1,0))</f>
        <v/>
      </c>
      <c r="E2135" t="str">
        <f>+IFERROR(VLOOKUP(Fact_Cumplimiento[[#This Row], [Concepto Anterior]],Conceptos_Cumplimiento[#All],5,0),"")</f>
        <v/>
      </c>
      <c r="F2135" t="str">
        <f>+IFERROR(VLOOKUP(Fact_Cumplimiento[[#This Row], 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ht="18.75" customHeight="1" x14ac:dyDescent="0.35">
      <c r="C2136" s="100" t="str">
        <f>IF(OR(Fact_Cumplimiento[[#This Row], [Año]]="",Fact_Cumplimiento[[#This Row], [Mes]]=""),"",DATE(A2136,MATCH(B2136,{"enero","febrero","marzo","abril","mayo","junio","julio","agosto","septiembre","octubre","noviembre","diciembre"},0)+1,0))</f>
        <v/>
      </c>
      <c r="E2136" t="str">
        <f>+IFERROR(VLOOKUP(Fact_Cumplimiento[[#This Row], [Concepto Anterior]],Conceptos_Cumplimiento[#All],5,0),"")</f>
        <v/>
      </c>
      <c r="F2136" t="str">
        <f>+IFERROR(VLOOKUP(Fact_Cumplimiento[[#This Row], 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ht="18.75" customHeight="1" x14ac:dyDescent="0.35">
      <c r="C2137" s="100" t="str">
        <f>IF(OR(Fact_Cumplimiento[[#This Row], [Año]]="",Fact_Cumplimiento[[#This Row], [Mes]]=""),"",DATE(A2137,MATCH(B2137,{"enero","febrero","marzo","abril","mayo","junio","julio","agosto","septiembre","octubre","noviembre","diciembre"},0)+1,0))</f>
        <v/>
      </c>
      <c r="E2137" t="str">
        <f>+IFERROR(VLOOKUP(Fact_Cumplimiento[[#This Row], [Concepto Anterior]],Conceptos_Cumplimiento[#All],5,0),"")</f>
        <v/>
      </c>
      <c r="F2137" t="str">
        <f>+IFERROR(VLOOKUP(Fact_Cumplimiento[[#This Row], 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ht="18.75" customHeight="1" x14ac:dyDescent="0.35">
      <c r="C2138" s="100" t="str">
        <f>IF(OR(Fact_Cumplimiento[[#This Row], [Año]]="",Fact_Cumplimiento[[#This Row], [Mes]]=""),"",DATE(A2138,MATCH(B2138,{"enero","febrero","marzo","abril","mayo","junio","julio","agosto","septiembre","octubre","noviembre","diciembre"},0)+1,0))</f>
        <v/>
      </c>
      <c r="E2138" t="str">
        <f>+IFERROR(VLOOKUP(Fact_Cumplimiento[[#This Row], [Concepto Anterior]],Conceptos_Cumplimiento[#All],5,0),"")</f>
        <v/>
      </c>
      <c r="F2138" t="str">
        <f>+IFERROR(VLOOKUP(Fact_Cumplimiento[[#This Row], 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ht="18.75" customHeight="1" x14ac:dyDescent="0.35">
      <c r="C2139" s="100" t="str">
        <f>IF(OR(Fact_Cumplimiento[[#This Row], [Año]]="",Fact_Cumplimiento[[#This Row], [Mes]]=""),"",DATE(A2139,MATCH(B2139,{"enero","febrero","marzo","abril","mayo","junio","julio","agosto","septiembre","octubre","noviembre","diciembre"},0)+1,0))</f>
        <v/>
      </c>
      <c r="E2139" t="str">
        <f>+IFERROR(VLOOKUP(Fact_Cumplimiento[[#This Row], [Concepto Anterior]],Conceptos_Cumplimiento[#All],5,0),"")</f>
        <v/>
      </c>
      <c r="F2139" t="str">
        <f>+IFERROR(VLOOKUP(Fact_Cumplimiento[[#This Row], 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ht="18.75" customHeight="1" x14ac:dyDescent="0.35">
      <c r="C2140" s="100" t="str">
        <f>IF(OR(Fact_Cumplimiento[[#This Row], [Año]]="",Fact_Cumplimiento[[#This Row], [Mes]]=""),"",DATE(A2140,MATCH(B2140,{"enero","febrero","marzo","abril","mayo","junio","julio","agosto","septiembre","octubre","noviembre","diciembre"},0)+1,0))</f>
        <v/>
      </c>
      <c r="E2140" t="str">
        <f>+IFERROR(VLOOKUP(Fact_Cumplimiento[[#This Row], [Concepto Anterior]],Conceptos_Cumplimiento[#All],5,0),"")</f>
        <v/>
      </c>
      <c r="F2140" t="str">
        <f>+IFERROR(VLOOKUP(Fact_Cumplimiento[[#This Row], 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ht="18.75" customHeight="1" x14ac:dyDescent="0.35">
      <c r="C2141" s="100" t="str">
        <f>IF(OR(Fact_Cumplimiento[[#This Row], [Año]]="",Fact_Cumplimiento[[#This Row], [Mes]]=""),"",DATE(A2141,MATCH(B2141,{"enero","febrero","marzo","abril","mayo","junio","julio","agosto","septiembre","octubre","noviembre","diciembre"},0)+1,0))</f>
        <v/>
      </c>
      <c r="E2141" t="str">
        <f>+IFERROR(VLOOKUP(Fact_Cumplimiento[[#This Row], [Concepto Anterior]],Conceptos_Cumplimiento[#All],5,0),"")</f>
        <v/>
      </c>
      <c r="F2141" t="str">
        <f>+IFERROR(VLOOKUP(Fact_Cumplimiento[[#This Row], 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ht="18.75" customHeight="1" x14ac:dyDescent="0.35">
      <c r="C2142" s="100" t="str">
        <f>IF(OR(Fact_Cumplimiento[[#This Row], [Año]]="",Fact_Cumplimiento[[#This Row], [Mes]]=""),"",DATE(A2142,MATCH(B2142,{"enero","febrero","marzo","abril","mayo","junio","julio","agosto","septiembre","octubre","noviembre","diciembre"},0)+1,0))</f>
        <v/>
      </c>
      <c r="E2142" t="str">
        <f>+IFERROR(VLOOKUP(Fact_Cumplimiento[[#This Row], [Concepto Anterior]],Conceptos_Cumplimiento[#All],5,0),"")</f>
        <v/>
      </c>
      <c r="F2142" t="str">
        <f>+IFERROR(VLOOKUP(Fact_Cumplimiento[[#This Row], 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ht="18.75" customHeight="1" x14ac:dyDescent="0.35">
      <c r="C2143" s="100" t="str">
        <f>IF(OR(Fact_Cumplimiento[[#This Row], [Año]]="",Fact_Cumplimiento[[#This Row], [Mes]]=""),"",DATE(A2143,MATCH(B2143,{"enero","febrero","marzo","abril","mayo","junio","julio","agosto","septiembre","octubre","noviembre","diciembre"},0)+1,0))</f>
        <v/>
      </c>
      <c r="E2143" t="str">
        <f>+IFERROR(VLOOKUP(Fact_Cumplimiento[[#This Row], [Concepto Anterior]],Conceptos_Cumplimiento[#All],5,0),"")</f>
        <v/>
      </c>
      <c r="F2143" t="str">
        <f>+IFERROR(VLOOKUP(Fact_Cumplimiento[[#This Row], 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ht="18.75" customHeight="1" x14ac:dyDescent="0.35">
      <c r="C2144" s="100" t="str">
        <f>IF(OR(Fact_Cumplimiento[[#This Row], [Año]]="",Fact_Cumplimiento[[#This Row], [Mes]]=""),"",DATE(A2144,MATCH(B2144,{"enero","febrero","marzo","abril","mayo","junio","julio","agosto","septiembre","octubre","noviembre","diciembre"},0)+1,0))</f>
        <v/>
      </c>
      <c r="E2144" t="str">
        <f>+IFERROR(VLOOKUP(Fact_Cumplimiento[[#This Row], [Concepto Anterior]],Conceptos_Cumplimiento[#All],5,0),"")</f>
        <v/>
      </c>
      <c r="F2144" t="str">
        <f>+IFERROR(VLOOKUP(Fact_Cumplimiento[[#This Row], 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ht="18.75" customHeight="1" x14ac:dyDescent="0.35">
      <c r="C2145" s="100" t="str">
        <f>IF(OR(Fact_Cumplimiento[[#This Row], [Año]]="",Fact_Cumplimiento[[#This Row], [Mes]]=""),"",DATE(A2145,MATCH(B2145,{"enero","febrero","marzo","abril","mayo","junio","julio","agosto","septiembre","octubre","noviembre","diciembre"},0)+1,0))</f>
        <v/>
      </c>
      <c r="E2145" t="str">
        <f>+IFERROR(VLOOKUP(Fact_Cumplimiento[[#This Row], [Concepto Anterior]],Conceptos_Cumplimiento[#All],5,0),"")</f>
        <v/>
      </c>
      <c r="F2145" t="str">
        <f>+IFERROR(VLOOKUP(Fact_Cumplimiento[[#This Row], 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ht="18.75" customHeight="1" x14ac:dyDescent="0.35">
      <c r="C2146" s="100" t="str">
        <f>IF(OR(Fact_Cumplimiento[[#This Row], [Año]]="",Fact_Cumplimiento[[#This Row], [Mes]]=""),"",DATE(A2146,MATCH(B2146,{"enero","febrero","marzo","abril","mayo","junio","julio","agosto","septiembre","octubre","noviembre","diciembre"},0)+1,0))</f>
        <v/>
      </c>
      <c r="E2146" t="str">
        <f>+IFERROR(VLOOKUP(Fact_Cumplimiento[[#This Row], [Concepto Anterior]],Conceptos_Cumplimiento[#All],5,0),"")</f>
        <v/>
      </c>
      <c r="F2146" t="str">
        <f>+IFERROR(VLOOKUP(Fact_Cumplimiento[[#This Row], 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ht="18.75" customHeight="1" x14ac:dyDescent="0.35">
      <c r="C2147" s="100" t="str">
        <f>IF(OR(Fact_Cumplimiento[[#This Row], [Año]]="",Fact_Cumplimiento[[#This Row], [Mes]]=""),"",DATE(A2147,MATCH(B2147,{"enero","febrero","marzo","abril","mayo","junio","julio","agosto","septiembre","octubre","noviembre","diciembre"},0)+1,0))</f>
        <v/>
      </c>
      <c r="E2147" t="str">
        <f>+IFERROR(VLOOKUP(Fact_Cumplimiento[[#This Row], [Concepto Anterior]],Conceptos_Cumplimiento[#All],5,0),"")</f>
        <v/>
      </c>
      <c r="F2147" t="str">
        <f>+IFERROR(VLOOKUP(Fact_Cumplimiento[[#This Row], 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ht="18.75" customHeight="1" x14ac:dyDescent="0.35">
      <c r="C2148" s="100" t="str">
        <f>IF(OR(Fact_Cumplimiento[[#This Row], [Año]]="",Fact_Cumplimiento[[#This Row], [Mes]]=""),"",DATE(A2148,MATCH(B2148,{"enero","febrero","marzo","abril","mayo","junio","julio","agosto","septiembre","octubre","noviembre","diciembre"},0)+1,0))</f>
        <v/>
      </c>
      <c r="E2148" t="str">
        <f>+IFERROR(VLOOKUP(Fact_Cumplimiento[[#This Row], [Concepto Anterior]],Conceptos_Cumplimiento[#All],5,0),"")</f>
        <v/>
      </c>
      <c r="F2148" t="str">
        <f>+IFERROR(VLOOKUP(Fact_Cumplimiento[[#This Row], 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ht="18.75" customHeight="1" x14ac:dyDescent="0.35">
      <c r="C2149" s="100" t="str">
        <f>IF(OR(Fact_Cumplimiento[[#This Row], [Año]]="",Fact_Cumplimiento[[#This Row], [Mes]]=""),"",DATE(A2149,MATCH(B2149,{"enero","febrero","marzo","abril","mayo","junio","julio","agosto","septiembre","octubre","noviembre","diciembre"},0)+1,0))</f>
        <v/>
      </c>
      <c r="E2149" t="str">
        <f>+IFERROR(VLOOKUP(Fact_Cumplimiento[[#This Row], [Concepto Anterior]],Conceptos_Cumplimiento[#All],5,0),"")</f>
        <v/>
      </c>
      <c r="F2149" t="str">
        <f>+IFERROR(VLOOKUP(Fact_Cumplimiento[[#This Row], 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ht="18.75" customHeight="1" x14ac:dyDescent="0.35">
      <c r="C2150" s="100" t="str">
        <f>IF(OR(Fact_Cumplimiento[[#This Row], [Año]]="",Fact_Cumplimiento[[#This Row], [Mes]]=""),"",DATE(A2150,MATCH(B2150,{"enero","febrero","marzo","abril","mayo","junio","julio","agosto","septiembre","octubre","noviembre","diciembre"},0)+1,0))</f>
        <v/>
      </c>
      <c r="E2150" t="str">
        <f>+IFERROR(VLOOKUP(Fact_Cumplimiento[[#This Row], [Concepto Anterior]],Conceptos_Cumplimiento[#All],5,0),"")</f>
        <v/>
      </c>
      <c r="F2150" t="str">
        <f>+IFERROR(VLOOKUP(Fact_Cumplimiento[[#This Row], 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ht="18.75" customHeight="1" x14ac:dyDescent="0.35">
      <c r="C2151" s="100" t="str">
        <f>IF(OR(Fact_Cumplimiento[[#This Row], [Año]]="",Fact_Cumplimiento[[#This Row], [Mes]]=""),"",DATE(A2151,MATCH(B2151,{"enero","febrero","marzo","abril","mayo","junio","julio","agosto","septiembre","octubre","noviembre","diciembre"},0)+1,0))</f>
        <v/>
      </c>
      <c r="E2151" t="str">
        <f>+IFERROR(VLOOKUP(Fact_Cumplimiento[[#This Row], [Concepto Anterior]],Conceptos_Cumplimiento[#All],5,0),"")</f>
        <v/>
      </c>
      <c r="F2151" t="str">
        <f>+IFERROR(VLOOKUP(Fact_Cumplimiento[[#This Row], 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ht="18.75" customHeight="1" x14ac:dyDescent="0.35">
      <c r="C2152" s="100" t="str">
        <f>IF(OR(Fact_Cumplimiento[[#This Row], [Año]]="",Fact_Cumplimiento[[#This Row], [Mes]]=""),"",DATE(A2152,MATCH(B2152,{"enero","febrero","marzo","abril","mayo","junio","julio","agosto","septiembre","octubre","noviembre","diciembre"},0)+1,0))</f>
        <v/>
      </c>
      <c r="E2152" t="str">
        <f>+IFERROR(VLOOKUP(Fact_Cumplimiento[[#This Row], [Concepto Anterior]],Conceptos_Cumplimiento[#All],5,0),"")</f>
        <v/>
      </c>
      <c r="F2152" t="str">
        <f>+IFERROR(VLOOKUP(Fact_Cumplimiento[[#This Row], 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ht="18.75" customHeight="1" x14ac:dyDescent="0.35">
      <c r="C2153" s="100" t="str">
        <f>IF(OR(Fact_Cumplimiento[[#This Row], [Año]]="",Fact_Cumplimiento[[#This Row], [Mes]]=""),"",DATE(A2153,MATCH(B2153,{"enero","febrero","marzo","abril","mayo","junio","julio","agosto","septiembre","octubre","noviembre","diciembre"},0)+1,0))</f>
        <v/>
      </c>
      <c r="E2153" t="str">
        <f>+IFERROR(VLOOKUP(Fact_Cumplimiento[[#This Row], [Concepto Anterior]],Conceptos_Cumplimiento[#All],5,0),"")</f>
        <v/>
      </c>
      <c r="F2153" t="str">
        <f>+IFERROR(VLOOKUP(Fact_Cumplimiento[[#This Row], 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ht="18.75" customHeight="1" x14ac:dyDescent="0.35">
      <c r="C2154" s="100" t="str">
        <f>IF(OR(Fact_Cumplimiento[[#This Row], [Año]]="",Fact_Cumplimiento[[#This Row], [Mes]]=""),"",DATE(A2154,MATCH(B2154,{"enero","febrero","marzo","abril","mayo","junio","julio","agosto","septiembre","octubre","noviembre","diciembre"},0)+1,0))</f>
        <v/>
      </c>
      <c r="E2154" t="str">
        <f>+IFERROR(VLOOKUP(Fact_Cumplimiento[[#This Row], [Concepto Anterior]],Conceptos_Cumplimiento[#All],5,0),"")</f>
        <v/>
      </c>
      <c r="F2154" t="str">
        <f>+IFERROR(VLOOKUP(Fact_Cumplimiento[[#This Row], 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ht="18.75" customHeight="1" x14ac:dyDescent="0.35">
      <c r="C2155" s="100" t="str">
        <f>IF(OR(Fact_Cumplimiento[[#This Row], [Año]]="",Fact_Cumplimiento[[#This Row], [Mes]]=""),"",DATE(A2155,MATCH(B2155,{"enero","febrero","marzo","abril","mayo","junio","julio","agosto","septiembre","octubre","noviembre","diciembre"},0)+1,0))</f>
        <v/>
      </c>
      <c r="E2155" t="str">
        <f>+IFERROR(VLOOKUP(Fact_Cumplimiento[[#This Row], [Concepto Anterior]],Conceptos_Cumplimiento[#All],5,0),"")</f>
        <v/>
      </c>
      <c r="F2155" t="str">
        <f>+IFERROR(VLOOKUP(Fact_Cumplimiento[[#This Row], 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ht="18.75" customHeight="1" x14ac:dyDescent="0.35">
      <c r="C2156" s="100" t="str">
        <f>IF(OR(Fact_Cumplimiento[[#This Row], [Año]]="",Fact_Cumplimiento[[#This Row], [Mes]]=""),"",DATE(A2156,MATCH(B2156,{"enero","febrero","marzo","abril","mayo","junio","julio","agosto","septiembre","octubre","noviembre","diciembre"},0)+1,0))</f>
        <v/>
      </c>
      <c r="E2156" t="str">
        <f>+IFERROR(VLOOKUP(Fact_Cumplimiento[[#This Row], [Concepto Anterior]],Conceptos_Cumplimiento[#All],5,0),"")</f>
        <v/>
      </c>
      <c r="F2156" t="str">
        <f>+IFERROR(VLOOKUP(Fact_Cumplimiento[[#This Row], 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ht="18.75" customHeight="1" x14ac:dyDescent="0.35">
      <c r="C2157" s="100" t="str">
        <f>IF(OR(Fact_Cumplimiento[[#This Row], [Año]]="",Fact_Cumplimiento[[#This Row], [Mes]]=""),"",DATE(A2157,MATCH(B2157,{"enero","febrero","marzo","abril","mayo","junio","julio","agosto","septiembre","octubre","noviembre","diciembre"},0)+1,0))</f>
        <v/>
      </c>
      <c r="E2157" t="str">
        <f>+IFERROR(VLOOKUP(Fact_Cumplimiento[[#This Row], [Concepto Anterior]],Conceptos_Cumplimiento[#All],5,0),"")</f>
        <v/>
      </c>
      <c r="F2157" t="str">
        <f>+IFERROR(VLOOKUP(Fact_Cumplimiento[[#This Row], 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ht="18.75" customHeight="1" x14ac:dyDescent="0.35">
      <c r="C2158" s="100" t="str">
        <f>IF(OR(Fact_Cumplimiento[[#This Row], [Año]]="",Fact_Cumplimiento[[#This Row], [Mes]]=""),"",DATE(A2158,MATCH(B2158,{"enero","febrero","marzo","abril","mayo","junio","julio","agosto","septiembre","octubre","noviembre","diciembre"},0)+1,0))</f>
        <v/>
      </c>
      <c r="E2158" t="str">
        <f>+IFERROR(VLOOKUP(Fact_Cumplimiento[[#This Row], [Concepto Anterior]],Conceptos_Cumplimiento[#All],5,0),"")</f>
        <v/>
      </c>
      <c r="F2158" t="str">
        <f>+IFERROR(VLOOKUP(Fact_Cumplimiento[[#This Row], 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ht="18.75" customHeight="1" x14ac:dyDescent="0.35">
      <c r="C2159" s="100" t="str">
        <f>IF(OR(Fact_Cumplimiento[[#This Row], [Año]]="",Fact_Cumplimiento[[#This Row], [Mes]]=""),"",DATE(A2159,MATCH(B2159,{"enero","febrero","marzo","abril","mayo","junio","julio","agosto","septiembre","octubre","noviembre","diciembre"},0)+1,0))</f>
        <v/>
      </c>
      <c r="E2159" t="str">
        <f>+IFERROR(VLOOKUP(Fact_Cumplimiento[[#This Row], [Concepto Anterior]],Conceptos_Cumplimiento[#All],5,0),"")</f>
        <v/>
      </c>
      <c r="F2159" t="str">
        <f>+IFERROR(VLOOKUP(Fact_Cumplimiento[[#This Row], 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ht="18.75" customHeight="1" x14ac:dyDescent="0.35">
      <c r="C2160" s="100" t="str">
        <f>IF(OR(Fact_Cumplimiento[[#This Row], [Año]]="",Fact_Cumplimiento[[#This Row], [Mes]]=""),"",DATE(A2160,MATCH(B2160,{"enero","febrero","marzo","abril","mayo","junio","julio","agosto","septiembre","octubre","noviembre","diciembre"},0)+1,0))</f>
        <v/>
      </c>
      <c r="E2160" t="str">
        <f>+IFERROR(VLOOKUP(Fact_Cumplimiento[[#This Row], [Concepto Anterior]],Conceptos_Cumplimiento[#All],5,0),"")</f>
        <v/>
      </c>
      <c r="F2160" t="str">
        <f>+IFERROR(VLOOKUP(Fact_Cumplimiento[[#This Row], 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ht="18.75" customHeight="1" x14ac:dyDescent="0.35">
      <c r="C2161" s="100" t="str">
        <f>IF(OR(Fact_Cumplimiento[[#This Row], [Año]]="",Fact_Cumplimiento[[#This Row], [Mes]]=""),"",DATE(A2161,MATCH(B2161,{"enero","febrero","marzo","abril","mayo","junio","julio","agosto","septiembre","octubre","noviembre","diciembre"},0)+1,0))</f>
        <v/>
      </c>
      <c r="E2161" t="str">
        <f>+IFERROR(VLOOKUP(Fact_Cumplimiento[[#This Row], [Concepto Anterior]],Conceptos_Cumplimiento[#All],5,0),"")</f>
        <v/>
      </c>
      <c r="F2161" t="str">
        <f>+IFERROR(VLOOKUP(Fact_Cumplimiento[[#This Row], 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ht="18.75" customHeight="1" x14ac:dyDescent="0.35">
      <c r="C2162" s="100" t="str">
        <f>IF(OR(Fact_Cumplimiento[[#This Row], [Año]]="",Fact_Cumplimiento[[#This Row], [Mes]]=""),"",DATE(A2162,MATCH(B2162,{"enero","febrero","marzo","abril","mayo","junio","julio","agosto","septiembre","octubre","noviembre","diciembre"},0)+1,0))</f>
        <v/>
      </c>
      <c r="E2162" t="str">
        <f>+IFERROR(VLOOKUP(Fact_Cumplimiento[[#This Row], [Concepto Anterior]],Conceptos_Cumplimiento[#All],5,0),"")</f>
        <v/>
      </c>
      <c r="F2162" t="str">
        <f>+IFERROR(VLOOKUP(Fact_Cumplimiento[[#This Row], 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ht="18.75" customHeight="1" x14ac:dyDescent="0.35">
      <c r="C2163" s="100" t="str">
        <f>IF(OR(Fact_Cumplimiento[[#This Row], [Año]]="",Fact_Cumplimiento[[#This Row], [Mes]]=""),"",DATE(A2163,MATCH(B2163,{"enero","febrero","marzo","abril","mayo","junio","julio","agosto","septiembre","octubre","noviembre","diciembre"},0)+1,0))</f>
        <v/>
      </c>
      <c r="E2163" t="str">
        <f>+IFERROR(VLOOKUP(Fact_Cumplimiento[[#This Row], [Concepto Anterior]],Conceptos_Cumplimiento[#All],5,0),"")</f>
        <v/>
      </c>
      <c r="F2163" t="str">
        <f>+IFERROR(VLOOKUP(Fact_Cumplimiento[[#This Row], 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ht="18.75" customHeight="1" x14ac:dyDescent="0.35">
      <c r="C2164" s="100" t="str">
        <f>IF(OR(Fact_Cumplimiento[[#This Row], [Año]]="",Fact_Cumplimiento[[#This Row], [Mes]]=""),"",DATE(A2164,MATCH(B2164,{"enero","febrero","marzo","abril","mayo","junio","julio","agosto","septiembre","octubre","noviembre","diciembre"},0)+1,0))</f>
        <v/>
      </c>
      <c r="E2164" t="str">
        <f>+IFERROR(VLOOKUP(Fact_Cumplimiento[[#This Row], [Concepto Anterior]],Conceptos_Cumplimiento[#All],5,0),"")</f>
        <v/>
      </c>
      <c r="F2164" t="str">
        <f>+IFERROR(VLOOKUP(Fact_Cumplimiento[[#This Row], 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ht="18.75" customHeight="1" x14ac:dyDescent="0.35">
      <c r="C2165" s="100" t="str">
        <f>IF(OR(Fact_Cumplimiento[[#This Row], [Año]]="",Fact_Cumplimiento[[#This Row], [Mes]]=""),"",DATE(A2165,MATCH(B2165,{"enero","febrero","marzo","abril","mayo","junio","julio","agosto","septiembre","octubre","noviembre","diciembre"},0)+1,0))</f>
        <v/>
      </c>
      <c r="E2165" t="str">
        <f>+IFERROR(VLOOKUP(Fact_Cumplimiento[[#This Row], [Concepto Anterior]],Conceptos_Cumplimiento[#All],5,0),"")</f>
        <v/>
      </c>
      <c r="F2165" t="str">
        <f>+IFERROR(VLOOKUP(Fact_Cumplimiento[[#This Row], 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ht="18.75" customHeight="1" x14ac:dyDescent="0.35">
      <c r="C2166" s="100" t="str">
        <f>IF(OR(Fact_Cumplimiento[[#This Row], [Año]]="",Fact_Cumplimiento[[#This Row], [Mes]]=""),"",DATE(A2166,MATCH(B2166,{"enero","febrero","marzo","abril","mayo","junio","julio","agosto","septiembre","octubre","noviembre","diciembre"},0)+1,0))</f>
        <v/>
      </c>
      <c r="E2166" t="str">
        <f>+IFERROR(VLOOKUP(Fact_Cumplimiento[[#This Row], [Concepto Anterior]],Conceptos_Cumplimiento[#All],5,0),"")</f>
        <v/>
      </c>
      <c r="F2166" t="str">
        <f>+IFERROR(VLOOKUP(Fact_Cumplimiento[[#This Row], 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ht="18.75" customHeight="1" x14ac:dyDescent="0.35">
      <c r="C2167" s="100" t="str">
        <f>IF(OR(Fact_Cumplimiento[[#This Row], [Año]]="",Fact_Cumplimiento[[#This Row], [Mes]]=""),"",DATE(A2167,MATCH(B2167,{"enero","febrero","marzo","abril","mayo","junio","julio","agosto","septiembre","octubre","noviembre","diciembre"},0)+1,0))</f>
        <v/>
      </c>
      <c r="E2167" t="str">
        <f>+IFERROR(VLOOKUP(Fact_Cumplimiento[[#This Row], [Concepto Anterior]],Conceptos_Cumplimiento[#All],5,0),"")</f>
        <v/>
      </c>
      <c r="F2167" t="str">
        <f>+IFERROR(VLOOKUP(Fact_Cumplimiento[[#This Row], 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ht="18.75" customHeight="1" x14ac:dyDescent="0.35">
      <c r="C2168" s="100" t="str">
        <f>IF(OR(Fact_Cumplimiento[[#This Row], [Año]]="",Fact_Cumplimiento[[#This Row], [Mes]]=""),"",DATE(A2168,MATCH(B2168,{"enero","febrero","marzo","abril","mayo","junio","julio","agosto","septiembre","octubre","noviembre","diciembre"},0)+1,0))</f>
        <v/>
      </c>
      <c r="E2168" t="str">
        <f>+IFERROR(VLOOKUP(Fact_Cumplimiento[[#This Row], [Concepto Anterior]],Conceptos_Cumplimiento[#All],5,0),"")</f>
        <v/>
      </c>
      <c r="F2168" t="str">
        <f>+IFERROR(VLOOKUP(Fact_Cumplimiento[[#This Row], 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ht="18.75" customHeight="1" x14ac:dyDescent="0.35">
      <c r="C2169" s="100" t="str">
        <f>IF(OR(Fact_Cumplimiento[[#This Row], [Año]]="",Fact_Cumplimiento[[#This Row], [Mes]]=""),"",DATE(A2169,MATCH(B2169,{"enero","febrero","marzo","abril","mayo","junio","julio","agosto","septiembre","octubre","noviembre","diciembre"},0)+1,0))</f>
        <v/>
      </c>
      <c r="E2169" t="str">
        <f>+IFERROR(VLOOKUP(Fact_Cumplimiento[[#This Row], [Concepto Anterior]],Conceptos_Cumplimiento[#All],5,0),"")</f>
        <v/>
      </c>
      <c r="F2169" t="str">
        <f>+IFERROR(VLOOKUP(Fact_Cumplimiento[[#This Row], 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ht="18.75" customHeight="1" x14ac:dyDescent="0.35">
      <c r="C2170" s="100" t="str">
        <f>IF(OR(Fact_Cumplimiento[[#This Row], [Año]]="",Fact_Cumplimiento[[#This Row], [Mes]]=""),"",DATE(A2170,MATCH(B2170,{"enero","febrero","marzo","abril","mayo","junio","julio","agosto","septiembre","octubre","noviembre","diciembre"},0)+1,0))</f>
        <v/>
      </c>
      <c r="E2170" t="str">
        <f>+IFERROR(VLOOKUP(Fact_Cumplimiento[[#This Row], [Concepto Anterior]],Conceptos_Cumplimiento[#All],5,0),"")</f>
        <v/>
      </c>
      <c r="F2170" t="str">
        <f>+IFERROR(VLOOKUP(Fact_Cumplimiento[[#This Row], 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ht="18.75" customHeight="1" x14ac:dyDescent="0.35">
      <c r="C2171" s="100" t="str">
        <f>IF(OR(Fact_Cumplimiento[[#This Row], [Año]]="",Fact_Cumplimiento[[#This Row], [Mes]]=""),"",DATE(A2171,MATCH(B2171,{"enero","febrero","marzo","abril","mayo","junio","julio","agosto","septiembre","octubre","noviembre","diciembre"},0)+1,0))</f>
        <v/>
      </c>
      <c r="E2171" t="str">
        <f>+IFERROR(VLOOKUP(Fact_Cumplimiento[[#This Row], [Concepto Anterior]],Conceptos_Cumplimiento[#All],5,0),"")</f>
        <v/>
      </c>
      <c r="F2171" t="str">
        <f>+IFERROR(VLOOKUP(Fact_Cumplimiento[[#This Row], 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ht="18.75" customHeight="1" x14ac:dyDescent="0.35">
      <c r="C2172" s="100" t="str">
        <f>IF(OR(Fact_Cumplimiento[[#This Row], [Año]]="",Fact_Cumplimiento[[#This Row], [Mes]]=""),"",DATE(A2172,MATCH(B2172,{"enero","febrero","marzo","abril","mayo","junio","julio","agosto","septiembre","octubre","noviembre","diciembre"},0)+1,0))</f>
        <v/>
      </c>
      <c r="E2172" t="str">
        <f>+IFERROR(VLOOKUP(Fact_Cumplimiento[[#This Row], [Concepto Anterior]],Conceptos_Cumplimiento[#All],5,0),"")</f>
        <v/>
      </c>
      <c r="F2172" t="str">
        <f>+IFERROR(VLOOKUP(Fact_Cumplimiento[[#This Row], 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ht="18.75" customHeight="1" x14ac:dyDescent="0.35">
      <c r="C2173" s="100" t="str">
        <f>IF(OR(Fact_Cumplimiento[[#This Row], [Año]]="",Fact_Cumplimiento[[#This Row], [Mes]]=""),"",DATE(A2173,MATCH(B2173,{"enero","febrero","marzo","abril","mayo","junio","julio","agosto","septiembre","octubre","noviembre","diciembre"},0)+1,0))</f>
        <v/>
      </c>
      <c r="E2173" t="str">
        <f>+IFERROR(VLOOKUP(Fact_Cumplimiento[[#This Row], [Concepto Anterior]],Conceptos_Cumplimiento[#All],5,0),"")</f>
        <v/>
      </c>
      <c r="F2173" t="str">
        <f>+IFERROR(VLOOKUP(Fact_Cumplimiento[[#This Row], 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ht="18.75" customHeight="1" x14ac:dyDescent="0.35">
      <c r="C2174" s="100" t="str">
        <f>IF(OR(Fact_Cumplimiento[[#This Row], [Año]]="",Fact_Cumplimiento[[#This Row], [Mes]]=""),"",DATE(A2174,MATCH(B2174,{"enero","febrero","marzo","abril","mayo","junio","julio","agosto","septiembre","octubre","noviembre","diciembre"},0)+1,0))</f>
        <v/>
      </c>
      <c r="E2174" t="str">
        <f>+IFERROR(VLOOKUP(Fact_Cumplimiento[[#This Row], [Concepto Anterior]],Conceptos_Cumplimiento[#All],5,0),"")</f>
        <v/>
      </c>
      <c r="F2174" t="str">
        <f>+IFERROR(VLOOKUP(Fact_Cumplimiento[[#This Row], 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ht="18.75" customHeight="1" x14ac:dyDescent="0.35">
      <c r="C2175" s="100" t="str">
        <f>IF(OR(Fact_Cumplimiento[[#This Row], [Año]]="",Fact_Cumplimiento[[#This Row], [Mes]]=""),"",DATE(A2175,MATCH(B2175,{"enero","febrero","marzo","abril","mayo","junio","julio","agosto","septiembre","octubre","noviembre","diciembre"},0)+1,0))</f>
        <v/>
      </c>
      <c r="E2175" t="str">
        <f>+IFERROR(VLOOKUP(Fact_Cumplimiento[[#This Row], [Concepto Anterior]],Conceptos_Cumplimiento[#All],5,0),"")</f>
        <v/>
      </c>
      <c r="F2175" t="str">
        <f>+IFERROR(VLOOKUP(Fact_Cumplimiento[[#This Row], 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ht="18.75" customHeight="1" x14ac:dyDescent="0.35">
      <c r="C2176" s="100" t="str">
        <f>IF(OR(Fact_Cumplimiento[[#This Row], [Año]]="",Fact_Cumplimiento[[#This Row], [Mes]]=""),"",DATE(A2176,MATCH(B2176,{"enero","febrero","marzo","abril","mayo","junio","julio","agosto","septiembre","octubre","noviembre","diciembre"},0)+1,0))</f>
        <v/>
      </c>
      <c r="E2176" t="str">
        <f>+IFERROR(VLOOKUP(Fact_Cumplimiento[[#This Row], [Concepto Anterior]],Conceptos_Cumplimiento[#All],5,0),"")</f>
        <v/>
      </c>
      <c r="F2176" t="str">
        <f>+IFERROR(VLOOKUP(Fact_Cumplimiento[[#This Row], 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ht="18.75" customHeight="1" x14ac:dyDescent="0.35">
      <c r="C2177" s="100" t="str">
        <f>IF(OR(Fact_Cumplimiento[[#This Row], [Año]]="",Fact_Cumplimiento[[#This Row], [Mes]]=""),"",DATE(A2177,MATCH(B2177,{"enero","febrero","marzo","abril","mayo","junio","julio","agosto","septiembre","octubre","noviembre","diciembre"},0)+1,0))</f>
        <v/>
      </c>
      <c r="E2177" t="str">
        <f>+IFERROR(VLOOKUP(Fact_Cumplimiento[[#This Row], [Concepto Anterior]],Conceptos_Cumplimiento[#All],5,0),"")</f>
        <v/>
      </c>
      <c r="F2177" t="str">
        <f>+IFERROR(VLOOKUP(Fact_Cumplimiento[[#This Row], 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ht="18.75" customHeight="1" x14ac:dyDescent="0.35">
      <c r="C2178" s="100" t="str">
        <f>IF(OR(Fact_Cumplimiento[[#This Row], [Año]]="",Fact_Cumplimiento[[#This Row], [Mes]]=""),"",DATE(A2178,MATCH(B2178,{"enero","febrero","marzo","abril","mayo","junio","julio","agosto","septiembre","octubre","noviembre","diciembre"},0)+1,0))</f>
        <v/>
      </c>
      <c r="E2178" t="str">
        <f>+IFERROR(VLOOKUP(Fact_Cumplimiento[[#This Row], [Concepto Anterior]],Conceptos_Cumplimiento[#All],5,0),"")</f>
        <v/>
      </c>
      <c r="F2178" t="str">
        <f>+IFERROR(VLOOKUP(Fact_Cumplimiento[[#This Row], 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ht="18.75" customHeight="1" x14ac:dyDescent="0.35">
      <c r="C2179" s="100" t="str">
        <f>IF(OR(Fact_Cumplimiento[[#This Row], [Año]]="",Fact_Cumplimiento[[#This Row], [Mes]]=""),"",DATE(A2179,MATCH(B2179,{"enero","febrero","marzo","abril","mayo","junio","julio","agosto","septiembre","octubre","noviembre","diciembre"},0)+1,0))</f>
        <v/>
      </c>
      <c r="E2179" t="str">
        <f>+IFERROR(VLOOKUP(Fact_Cumplimiento[[#This Row], [Concepto Anterior]],Conceptos_Cumplimiento[#All],5,0),"")</f>
        <v/>
      </c>
      <c r="F2179" t="str">
        <f>+IFERROR(VLOOKUP(Fact_Cumplimiento[[#This Row], 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ht="18.75" customHeight="1" x14ac:dyDescent="0.35">
      <c r="C2180" s="100" t="str">
        <f>IF(OR(Fact_Cumplimiento[[#This Row], [Año]]="",Fact_Cumplimiento[[#This Row], [Mes]]=""),"",DATE(A2180,MATCH(B2180,{"enero","febrero","marzo","abril","mayo","junio","julio","agosto","septiembre","octubre","noviembre","diciembre"},0)+1,0))</f>
        <v/>
      </c>
      <c r="E2180" t="str">
        <f>+IFERROR(VLOOKUP(Fact_Cumplimiento[[#This Row], [Concepto Anterior]],Conceptos_Cumplimiento[#All],5,0),"")</f>
        <v/>
      </c>
      <c r="F2180" t="str">
        <f>+IFERROR(VLOOKUP(Fact_Cumplimiento[[#This Row], 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ht="18.75" customHeight="1" x14ac:dyDescent="0.35">
      <c r="C2181" s="100" t="str">
        <f>IF(OR(Fact_Cumplimiento[[#This Row], [Año]]="",Fact_Cumplimiento[[#This Row], [Mes]]=""),"",DATE(A2181,MATCH(B2181,{"enero","febrero","marzo","abril","mayo","junio","julio","agosto","septiembre","octubre","noviembre","diciembre"},0)+1,0))</f>
        <v/>
      </c>
      <c r="E2181" t="str">
        <f>+IFERROR(VLOOKUP(Fact_Cumplimiento[[#This Row], [Concepto Anterior]],Conceptos_Cumplimiento[#All],5,0),"")</f>
        <v/>
      </c>
      <c r="F2181" t="str">
        <f>+IFERROR(VLOOKUP(Fact_Cumplimiento[[#This Row], 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ht="18.75" customHeight="1" x14ac:dyDescent="0.35">
      <c r="C2182" s="100" t="str">
        <f>IF(OR(Fact_Cumplimiento[[#This Row], [Año]]="",Fact_Cumplimiento[[#This Row], [Mes]]=""),"",DATE(A2182,MATCH(B2182,{"enero","febrero","marzo","abril","mayo","junio","julio","agosto","septiembre","octubre","noviembre","diciembre"},0)+1,0))</f>
        <v/>
      </c>
      <c r="E2182" t="str">
        <f>+IFERROR(VLOOKUP(Fact_Cumplimiento[[#This Row], [Concepto Anterior]],Conceptos_Cumplimiento[#All],5,0),"")</f>
        <v/>
      </c>
      <c r="F2182" t="str">
        <f>+IFERROR(VLOOKUP(Fact_Cumplimiento[[#This Row], 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ht="18.75" customHeight="1" x14ac:dyDescent="0.35">
      <c r="C2183" s="100" t="str">
        <f>IF(OR(Fact_Cumplimiento[[#This Row], [Año]]="",Fact_Cumplimiento[[#This Row], [Mes]]=""),"",DATE(A2183,MATCH(B2183,{"enero","febrero","marzo","abril","mayo","junio","julio","agosto","septiembre","octubre","noviembre","diciembre"},0)+1,0))</f>
        <v/>
      </c>
      <c r="E2183" t="str">
        <f>+IFERROR(VLOOKUP(Fact_Cumplimiento[[#This Row], [Concepto Anterior]],Conceptos_Cumplimiento[#All],5,0),"")</f>
        <v/>
      </c>
      <c r="F2183" t="str">
        <f>+IFERROR(VLOOKUP(Fact_Cumplimiento[[#This Row], 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ht="18.75" customHeight="1" x14ac:dyDescent="0.35">
      <c r="C2184" s="100" t="str">
        <f>IF(OR(Fact_Cumplimiento[[#This Row], [Año]]="",Fact_Cumplimiento[[#This Row], [Mes]]=""),"",DATE(A2184,MATCH(B2184,{"enero","febrero","marzo","abril","mayo","junio","julio","agosto","septiembre","octubre","noviembre","diciembre"},0)+1,0))</f>
        <v/>
      </c>
      <c r="E2184" t="str">
        <f>+IFERROR(VLOOKUP(Fact_Cumplimiento[[#This Row], [Concepto Anterior]],Conceptos_Cumplimiento[#All],5,0),"")</f>
        <v/>
      </c>
      <c r="F2184" t="str">
        <f>+IFERROR(VLOOKUP(Fact_Cumplimiento[[#This Row], 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ht="18.75" customHeight="1" x14ac:dyDescent="0.35">
      <c r="C2185" s="100" t="str">
        <f>IF(OR(Fact_Cumplimiento[[#This Row], [Año]]="",Fact_Cumplimiento[[#This Row], [Mes]]=""),"",DATE(A2185,MATCH(B2185,{"enero","febrero","marzo","abril","mayo","junio","julio","agosto","septiembre","octubre","noviembre","diciembre"},0)+1,0))</f>
        <v/>
      </c>
      <c r="E2185" t="str">
        <f>+IFERROR(VLOOKUP(Fact_Cumplimiento[[#This Row], [Concepto Anterior]],Conceptos_Cumplimiento[#All],5,0),"")</f>
        <v/>
      </c>
      <c r="F2185" t="str">
        <f>+IFERROR(VLOOKUP(Fact_Cumplimiento[[#This Row], 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ht="18.75" customHeight="1" x14ac:dyDescent="0.35">
      <c r="C2186" s="100" t="str">
        <f>IF(OR(Fact_Cumplimiento[[#This Row], [Año]]="",Fact_Cumplimiento[[#This Row], [Mes]]=""),"",DATE(A2186,MATCH(B2186,{"enero","febrero","marzo","abril","mayo","junio","julio","agosto","septiembre","octubre","noviembre","diciembre"},0)+1,0))</f>
        <v/>
      </c>
      <c r="E2186" t="str">
        <f>+IFERROR(VLOOKUP(Fact_Cumplimiento[[#This Row], [Concepto Anterior]],Conceptos_Cumplimiento[#All],5,0),"")</f>
        <v/>
      </c>
      <c r="F2186" t="str">
        <f>+IFERROR(VLOOKUP(Fact_Cumplimiento[[#This Row], 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ht="18.75" customHeight="1" x14ac:dyDescent="0.35">
      <c r="C2187" s="100" t="str">
        <f>IF(OR(Fact_Cumplimiento[[#This Row], [Año]]="",Fact_Cumplimiento[[#This Row], [Mes]]=""),"",DATE(A2187,MATCH(B2187,{"enero","febrero","marzo","abril","mayo","junio","julio","agosto","septiembre","octubre","noviembre","diciembre"},0)+1,0))</f>
        <v/>
      </c>
      <c r="E2187" t="str">
        <f>+IFERROR(VLOOKUP(Fact_Cumplimiento[[#This Row], [Concepto Anterior]],Conceptos_Cumplimiento[#All],5,0),"")</f>
        <v/>
      </c>
      <c r="F2187" t="str">
        <f>+IFERROR(VLOOKUP(Fact_Cumplimiento[[#This Row], 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ht="18.75" customHeight="1" x14ac:dyDescent="0.35">
      <c r="C2188" s="100" t="str">
        <f>IF(OR(Fact_Cumplimiento[[#This Row], [Año]]="",Fact_Cumplimiento[[#This Row], [Mes]]=""),"",DATE(A2188,MATCH(B2188,{"enero","febrero","marzo","abril","mayo","junio","julio","agosto","septiembre","octubre","noviembre","diciembre"},0)+1,0))</f>
        <v/>
      </c>
      <c r="E2188" t="str">
        <f>+IFERROR(VLOOKUP(Fact_Cumplimiento[[#This Row], [Concepto Anterior]],Conceptos_Cumplimiento[#All],5,0),"")</f>
        <v/>
      </c>
      <c r="F2188" t="str">
        <f>+IFERROR(VLOOKUP(Fact_Cumplimiento[[#This Row], 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ht="18.75" customHeight="1" x14ac:dyDescent="0.35">
      <c r="C2189" s="100" t="str">
        <f>IF(OR(Fact_Cumplimiento[[#This Row], [Año]]="",Fact_Cumplimiento[[#This Row], [Mes]]=""),"",DATE(A2189,MATCH(B2189,{"enero","febrero","marzo","abril","mayo","junio","julio","agosto","septiembre","octubre","noviembre","diciembre"},0)+1,0))</f>
        <v/>
      </c>
      <c r="E2189" t="str">
        <f>+IFERROR(VLOOKUP(Fact_Cumplimiento[[#This Row], [Concepto Anterior]],Conceptos_Cumplimiento[#All],5,0),"")</f>
        <v/>
      </c>
      <c r="F2189" t="str">
        <f>+IFERROR(VLOOKUP(Fact_Cumplimiento[[#This Row], 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ht="18.75" customHeight="1" x14ac:dyDescent="0.35">
      <c r="C2190" s="100" t="str">
        <f>IF(OR(Fact_Cumplimiento[[#This Row], [Año]]="",Fact_Cumplimiento[[#This Row], [Mes]]=""),"",DATE(A2190,MATCH(B2190,{"enero","febrero","marzo","abril","mayo","junio","julio","agosto","septiembre","octubre","noviembre","diciembre"},0)+1,0))</f>
        <v/>
      </c>
      <c r="E2190" t="str">
        <f>+IFERROR(VLOOKUP(Fact_Cumplimiento[[#This Row], [Concepto Anterior]],Conceptos_Cumplimiento[#All],5,0),"")</f>
        <v/>
      </c>
      <c r="F2190" t="str">
        <f>+IFERROR(VLOOKUP(Fact_Cumplimiento[[#This Row], 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ht="18.75" customHeight="1" x14ac:dyDescent="0.35">
      <c r="C2191" s="100" t="str">
        <f>IF(OR(Fact_Cumplimiento[[#This Row], [Año]]="",Fact_Cumplimiento[[#This Row], [Mes]]=""),"",DATE(A2191,MATCH(B2191,{"enero","febrero","marzo","abril","mayo","junio","julio","agosto","septiembre","octubre","noviembre","diciembre"},0)+1,0))</f>
        <v/>
      </c>
      <c r="E2191" t="str">
        <f>+IFERROR(VLOOKUP(Fact_Cumplimiento[[#This Row], [Concepto Anterior]],Conceptos_Cumplimiento[#All],5,0),"")</f>
        <v/>
      </c>
      <c r="F2191" t="str">
        <f>+IFERROR(VLOOKUP(Fact_Cumplimiento[[#This Row], 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ht="18.75" customHeight="1" x14ac:dyDescent="0.35">
      <c r="C2192" s="100" t="str">
        <f>IF(OR(Fact_Cumplimiento[[#This Row], [Año]]="",Fact_Cumplimiento[[#This Row], [Mes]]=""),"",DATE(A2192,MATCH(B2192,{"enero","febrero","marzo","abril","mayo","junio","julio","agosto","septiembre","octubre","noviembre","diciembre"},0)+1,0))</f>
        <v/>
      </c>
      <c r="E2192" t="str">
        <f>+IFERROR(VLOOKUP(Fact_Cumplimiento[[#This Row], [Concepto Anterior]],Conceptos_Cumplimiento[#All],5,0),"")</f>
        <v/>
      </c>
      <c r="F2192" t="str">
        <f>+IFERROR(VLOOKUP(Fact_Cumplimiento[[#This Row], 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ht="18.75" customHeight="1" x14ac:dyDescent="0.35">
      <c r="C2193" s="100" t="str">
        <f>IF(OR(Fact_Cumplimiento[[#This Row], [Año]]="",Fact_Cumplimiento[[#This Row], [Mes]]=""),"",DATE(A2193,MATCH(B2193,{"enero","febrero","marzo","abril","mayo","junio","julio","agosto","septiembre","octubre","noviembre","diciembre"},0)+1,0))</f>
        <v/>
      </c>
      <c r="E2193" t="str">
        <f>+IFERROR(VLOOKUP(Fact_Cumplimiento[[#This Row], [Concepto Anterior]],Conceptos_Cumplimiento[#All],5,0),"")</f>
        <v/>
      </c>
      <c r="F2193" t="str">
        <f>+IFERROR(VLOOKUP(Fact_Cumplimiento[[#This Row], 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ht="18.75" customHeight="1" x14ac:dyDescent="0.35">
      <c r="C2194" s="100" t="str">
        <f>IF(OR(Fact_Cumplimiento[[#This Row], [Año]]="",Fact_Cumplimiento[[#This Row], [Mes]]=""),"",DATE(A2194,MATCH(B2194,{"enero","febrero","marzo","abril","mayo","junio","julio","agosto","septiembre","octubre","noviembre","diciembre"},0)+1,0))</f>
        <v/>
      </c>
      <c r="E2194" t="str">
        <f>+IFERROR(VLOOKUP(Fact_Cumplimiento[[#This Row], [Concepto Anterior]],Conceptos_Cumplimiento[#All],5,0),"")</f>
        <v/>
      </c>
      <c r="F2194" t="str">
        <f>+IFERROR(VLOOKUP(Fact_Cumplimiento[[#This Row], 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ht="18.75" customHeight="1" x14ac:dyDescent="0.35">
      <c r="C2195" s="100" t="str">
        <f>IF(OR(Fact_Cumplimiento[[#This Row], [Año]]="",Fact_Cumplimiento[[#This Row], [Mes]]=""),"",DATE(A2195,MATCH(B2195,{"enero","febrero","marzo","abril","mayo","junio","julio","agosto","septiembre","octubre","noviembre","diciembre"},0)+1,0))</f>
        <v/>
      </c>
      <c r="E2195" t="str">
        <f>+IFERROR(VLOOKUP(Fact_Cumplimiento[[#This Row], [Concepto Anterior]],Conceptos_Cumplimiento[#All],5,0),"")</f>
        <v/>
      </c>
      <c r="F2195" t="str">
        <f>+IFERROR(VLOOKUP(Fact_Cumplimiento[[#This Row], 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ht="18.75" customHeight="1" x14ac:dyDescent="0.35">
      <c r="C2196" s="100" t="str">
        <f>IF(OR(Fact_Cumplimiento[[#This Row], [Año]]="",Fact_Cumplimiento[[#This Row], [Mes]]=""),"",DATE(A2196,MATCH(B2196,{"enero","febrero","marzo","abril","mayo","junio","julio","agosto","septiembre","octubre","noviembre","diciembre"},0)+1,0))</f>
        <v/>
      </c>
      <c r="E2196" t="str">
        <f>+IFERROR(VLOOKUP(Fact_Cumplimiento[[#This Row], [Concepto Anterior]],Conceptos_Cumplimiento[#All],5,0),"")</f>
        <v/>
      </c>
      <c r="F2196" t="str">
        <f>+IFERROR(VLOOKUP(Fact_Cumplimiento[[#This Row], 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ht="18.75" customHeight="1" x14ac:dyDescent="0.35">
      <c r="C2197" s="100" t="str">
        <f>IF(OR(Fact_Cumplimiento[[#This Row], [Año]]="",Fact_Cumplimiento[[#This Row], [Mes]]=""),"",DATE(A2197,MATCH(B2197,{"enero","febrero","marzo","abril","mayo","junio","julio","agosto","septiembre","octubre","noviembre","diciembre"},0)+1,0))</f>
        <v/>
      </c>
      <c r="E2197" t="str">
        <f>+IFERROR(VLOOKUP(Fact_Cumplimiento[[#This Row], [Concepto Anterior]],Conceptos_Cumplimiento[#All],5,0),"")</f>
        <v/>
      </c>
      <c r="F2197" t="str">
        <f>+IFERROR(VLOOKUP(Fact_Cumplimiento[[#This Row], 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ht="18.75" customHeight="1" x14ac:dyDescent="0.35">
      <c r="C2198" s="100" t="str">
        <f>IF(OR(Fact_Cumplimiento[[#This Row], [Año]]="",Fact_Cumplimiento[[#This Row], [Mes]]=""),"",DATE(A2198,MATCH(B2198,{"enero","febrero","marzo","abril","mayo","junio","julio","agosto","septiembre","octubre","noviembre","diciembre"},0)+1,0))</f>
        <v/>
      </c>
      <c r="E2198" t="str">
        <f>+IFERROR(VLOOKUP(Fact_Cumplimiento[[#This Row], [Concepto Anterior]],Conceptos_Cumplimiento[#All],5,0),"")</f>
        <v/>
      </c>
      <c r="F2198" t="str">
        <f>+IFERROR(VLOOKUP(Fact_Cumplimiento[[#This Row], 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ht="18.75" customHeight="1" x14ac:dyDescent="0.35">
      <c r="C2199" s="100" t="str">
        <f>IF(OR(Fact_Cumplimiento[[#This Row], [Año]]="",Fact_Cumplimiento[[#This Row], [Mes]]=""),"",DATE(A2199,MATCH(B2199,{"enero","febrero","marzo","abril","mayo","junio","julio","agosto","septiembre","octubre","noviembre","diciembre"},0)+1,0))</f>
        <v/>
      </c>
      <c r="E2199" t="str">
        <f>+IFERROR(VLOOKUP(Fact_Cumplimiento[[#This Row], [Concepto Anterior]],Conceptos_Cumplimiento[#All],5,0),"")</f>
        <v/>
      </c>
      <c r="F2199" t="str">
        <f>+IFERROR(VLOOKUP(Fact_Cumplimiento[[#This Row], 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ht="18.75" customHeight="1" x14ac:dyDescent="0.35">
      <c r="C2200" s="100" t="str">
        <f>IF(OR(Fact_Cumplimiento[[#This Row], [Año]]="",Fact_Cumplimiento[[#This Row], [Mes]]=""),"",DATE(A2200,MATCH(B2200,{"enero","febrero","marzo","abril","mayo","junio","julio","agosto","septiembre","octubre","noviembre","diciembre"},0)+1,0))</f>
        <v/>
      </c>
      <c r="E2200" t="str">
        <f>+IFERROR(VLOOKUP(Fact_Cumplimiento[[#This Row], [Concepto Anterior]],Conceptos_Cumplimiento[#All],5,0),"")</f>
        <v/>
      </c>
      <c r="F2200" t="str">
        <f>+IFERROR(VLOOKUP(Fact_Cumplimiento[[#This Row], 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ht="18.75" customHeight="1" x14ac:dyDescent="0.35">
      <c r="C2201" s="100" t="str">
        <f>IF(OR(Fact_Cumplimiento[[#This Row], [Año]]="",Fact_Cumplimiento[[#This Row], [Mes]]=""),"",DATE(A2201,MATCH(B2201,{"enero","febrero","marzo","abril","mayo","junio","julio","agosto","septiembre","octubre","noviembre","diciembre"},0)+1,0))</f>
        <v/>
      </c>
      <c r="E2201" t="str">
        <f>+IFERROR(VLOOKUP(Fact_Cumplimiento[[#This Row], [Concepto Anterior]],Conceptos_Cumplimiento[#All],5,0),"")</f>
        <v/>
      </c>
      <c r="F2201" t="str">
        <f>+IFERROR(VLOOKUP(Fact_Cumplimiento[[#This Row], 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ht="18.75" customHeight="1" x14ac:dyDescent="0.35">
      <c r="C2202" s="100" t="str">
        <f>IF(OR(Fact_Cumplimiento[[#This Row], [Año]]="",Fact_Cumplimiento[[#This Row], [Mes]]=""),"",DATE(A2202,MATCH(B2202,{"enero","febrero","marzo","abril","mayo","junio","julio","agosto","septiembre","octubre","noviembre","diciembre"},0)+1,0))</f>
        <v/>
      </c>
      <c r="E2202" t="str">
        <f>+IFERROR(VLOOKUP(Fact_Cumplimiento[[#This Row], [Concepto Anterior]],Conceptos_Cumplimiento[#All],5,0),"")</f>
        <v/>
      </c>
      <c r="F2202" t="str">
        <f>+IFERROR(VLOOKUP(Fact_Cumplimiento[[#This Row], 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ht="18.75" customHeight="1" x14ac:dyDescent="0.35">
      <c r="C2203" s="100" t="str">
        <f>IF(OR(Fact_Cumplimiento[[#This Row], [Año]]="",Fact_Cumplimiento[[#This Row], [Mes]]=""),"",DATE(A2203,MATCH(B2203,{"enero","febrero","marzo","abril","mayo","junio","julio","agosto","septiembre","octubre","noviembre","diciembre"},0)+1,0))</f>
        <v/>
      </c>
      <c r="E2203" t="str">
        <f>+IFERROR(VLOOKUP(Fact_Cumplimiento[[#This Row], [Concepto Anterior]],Conceptos_Cumplimiento[#All],5,0),"")</f>
        <v/>
      </c>
      <c r="F2203" t="str">
        <f>+IFERROR(VLOOKUP(Fact_Cumplimiento[[#This Row], 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ht="18.75" customHeight="1" x14ac:dyDescent="0.35">
      <c r="C2204" s="100" t="str">
        <f>IF(OR(Fact_Cumplimiento[[#This Row], [Año]]="",Fact_Cumplimiento[[#This Row], [Mes]]=""),"",DATE(A2204,MATCH(B2204,{"enero","febrero","marzo","abril","mayo","junio","julio","agosto","septiembre","octubre","noviembre","diciembre"},0)+1,0))</f>
        <v/>
      </c>
      <c r="E2204" t="str">
        <f>+IFERROR(VLOOKUP(Fact_Cumplimiento[[#This Row], [Concepto Anterior]],Conceptos_Cumplimiento[#All],5,0),"")</f>
        <v/>
      </c>
      <c r="F2204" t="str">
        <f>+IFERROR(VLOOKUP(Fact_Cumplimiento[[#This Row], 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ht="18.75" customHeight="1" x14ac:dyDescent="0.35">
      <c r="C2205" s="100" t="str">
        <f>IF(OR(Fact_Cumplimiento[[#This Row], [Año]]="",Fact_Cumplimiento[[#This Row], [Mes]]=""),"",DATE(A2205,MATCH(B2205,{"enero","febrero","marzo","abril","mayo","junio","julio","agosto","septiembre","octubre","noviembre","diciembre"},0)+1,0))</f>
        <v/>
      </c>
      <c r="E2205" t="str">
        <f>+IFERROR(VLOOKUP(Fact_Cumplimiento[[#This Row], [Concepto Anterior]],Conceptos_Cumplimiento[#All],5,0),"")</f>
        <v/>
      </c>
      <c r="F2205" t="str">
        <f>+IFERROR(VLOOKUP(Fact_Cumplimiento[[#This Row], 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ht="18.75" customHeight="1" x14ac:dyDescent="0.35">
      <c r="C2206" s="100" t="str">
        <f>IF(OR(Fact_Cumplimiento[[#This Row], [Año]]="",Fact_Cumplimiento[[#This Row], [Mes]]=""),"",DATE(A2206,MATCH(B2206,{"enero","febrero","marzo","abril","mayo","junio","julio","agosto","septiembre","octubre","noviembre","diciembre"},0)+1,0))</f>
        <v/>
      </c>
      <c r="E2206" t="str">
        <f>+IFERROR(VLOOKUP(Fact_Cumplimiento[[#This Row], [Concepto Anterior]],Conceptos_Cumplimiento[#All],5,0),"")</f>
        <v/>
      </c>
      <c r="F2206" t="str">
        <f>+IFERROR(VLOOKUP(Fact_Cumplimiento[[#This Row], 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ht="18.75" customHeight="1" x14ac:dyDescent="0.35">
      <c r="C2207" s="100" t="str">
        <f>IF(OR(Fact_Cumplimiento[[#This Row], [Año]]="",Fact_Cumplimiento[[#This Row], [Mes]]=""),"",DATE(A2207,MATCH(B2207,{"enero","febrero","marzo","abril","mayo","junio","julio","agosto","septiembre","octubre","noviembre","diciembre"},0)+1,0))</f>
        <v/>
      </c>
      <c r="E2207" t="str">
        <f>+IFERROR(VLOOKUP(Fact_Cumplimiento[[#This Row], [Concepto Anterior]],Conceptos_Cumplimiento[#All],5,0),"")</f>
        <v/>
      </c>
      <c r="F2207" t="str">
        <f>+IFERROR(VLOOKUP(Fact_Cumplimiento[[#This Row], 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ht="18.75" customHeight="1" x14ac:dyDescent="0.35">
      <c r="C2208" s="100" t="str">
        <f>IF(OR(Fact_Cumplimiento[[#This Row], [Año]]="",Fact_Cumplimiento[[#This Row], [Mes]]=""),"",DATE(A2208,MATCH(B2208,{"enero","febrero","marzo","abril","mayo","junio","julio","agosto","septiembre","octubre","noviembre","diciembre"},0)+1,0))</f>
        <v/>
      </c>
      <c r="E2208" t="str">
        <f>+IFERROR(VLOOKUP(Fact_Cumplimiento[[#This Row], [Concepto Anterior]],Conceptos_Cumplimiento[#All],5,0),"")</f>
        <v/>
      </c>
      <c r="F2208" t="str">
        <f>+IFERROR(VLOOKUP(Fact_Cumplimiento[[#This Row], 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ht="18.75" customHeight="1" x14ac:dyDescent="0.35">
      <c r="C2209" s="100" t="str">
        <f>IF(OR(Fact_Cumplimiento[[#This Row], [Año]]="",Fact_Cumplimiento[[#This Row], [Mes]]=""),"",DATE(A2209,MATCH(B2209,{"enero","febrero","marzo","abril","mayo","junio","julio","agosto","septiembre","octubre","noviembre","diciembre"},0)+1,0))</f>
        <v/>
      </c>
      <c r="E2209" t="str">
        <f>+IFERROR(VLOOKUP(Fact_Cumplimiento[[#This Row], [Concepto Anterior]],Conceptos_Cumplimiento[#All],5,0),"")</f>
        <v/>
      </c>
      <c r="F2209" t="str">
        <f>+IFERROR(VLOOKUP(Fact_Cumplimiento[[#This Row], 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ht="18.75" customHeight="1" x14ac:dyDescent="0.35">
      <c r="C2210" s="100" t="str">
        <f>IF(OR(Fact_Cumplimiento[[#This Row], [Año]]="",Fact_Cumplimiento[[#This Row], [Mes]]=""),"",DATE(A2210,MATCH(B2210,{"enero","febrero","marzo","abril","mayo","junio","julio","agosto","septiembre","octubre","noviembre","diciembre"},0)+1,0))</f>
        <v/>
      </c>
      <c r="E2210" t="str">
        <f>+IFERROR(VLOOKUP(Fact_Cumplimiento[[#This Row], [Concepto Anterior]],Conceptos_Cumplimiento[#All],5,0),"")</f>
        <v/>
      </c>
      <c r="F2210" t="str">
        <f>+IFERROR(VLOOKUP(Fact_Cumplimiento[[#This Row], 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ht="18.75" customHeight="1" x14ac:dyDescent="0.35">
      <c r="C2211" s="100" t="str">
        <f>IF(OR(Fact_Cumplimiento[[#This Row], [Año]]="",Fact_Cumplimiento[[#This Row], [Mes]]=""),"",DATE(A2211,MATCH(B2211,{"enero","febrero","marzo","abril","mayo","junio","julio","agosto","septiembre","octubre","noviembre","diciembre"},0)+1,0))</f>
        <v/>
      </c>
      <c r="E2211" t="str">
        <f>+IFERROR(VLOOKUP(Fact_Cumplimiento[[#This Row], [Concepto Anterior]],Conceptos_Cumplimiento[#All],5,0),"")</f>
        <v/>
      </c>
      <c r="F2211" t="str">
        <f>+IFERROR(VLOOKUP(Fact_Cumplimiento[[#This Row], 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ht="18.75" customHeight="1" x14ac:dyDescent="0.35">
      <c r="C2212" s="100" t="str">
        <f>IF(OR(Fact_Cumplimiento[[#This Row], [Año]]="",Fact_Cumplimiento[[#This Row], [Mes]]=""),"",DATE(A2212,MATCH(B2212,{"enero","febrero","marzo","abril","mayo","junio","julio","agosto","septiembre","octubre","noviembre","diciembre"},0)+1,0))</f>
        <v/>
      </c>
      <c r="E2212" t="str">
        <f>+IFERROR(VLOOKUP(Fact_Cumplimiento[[#This Row], [Concepto Anterior]],Conceptos_Cumplimiento[#All],5,0),"")</f>
        <v/>
      </c>
      <c r="F2212" t="str">
        <f>+IFERROR(VLOOKUP(Fact_Cumplimiento[[#This Row], 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ht="18.75" customHeight="1" x14ac:dyDescent="0.35">
      <c r="C2213" s="100" t="str">
        <f>IF(OR(Fact_Cumplimiento[[#This Row], [Año]]="",Fact_Cumplimiento[[#This Row], [Mes]]=""),"",DATE(A2213,MATCH(B2213,{"enero","febrero","marzo","abril","mayo","junio","julio","agosto","septiembre","octubre","noviembre","diciembre"},0)+1,0))</f>
        <v/>
      </c>
      <c r="E2213" t="str">
        <f>+IFERROR(VLOOKUP(Fact_Cumplimiento[[#This Row], [Concepto Anterior]],Conceptos_Cumplimiento[#All],5,0),"")</f>
        <v/>
      </c>
      <c r="F2213" t="str">
        <f>+IFERROR(VLOOKUP(Fact_Cumplimiento[[#This Row], 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ht="18.75" customHeight="1" x14ac:dyDescent="0.35">
      <c r="C2214" s="100" t="str">
        <f>IF(OR(Fact_Cumplimiento[[#This Row], [Año]]="",Fact_Cumplimiento[[#This Row], [Mes]]=""),"",DATE(A2214,MATCH(B2214,{"enero","febrero","marzo","abril","mayo","junio","julio","agosto","septiembre","octubre","noviembre","diciembre"},0)+1,0))</f>
        <v/>
      </c>
      <c r="E2214" t="str">
        <f>+IFERROR(VLOOKUP(Fact_Cumplimiento[[#This Row], [Concepto Anterior]],Conceptos_Cumplimiento[#All],5,0),"")</f>
        <v/>
      </c>
      <c r="F2214" t="str">
        <f>+IFERROR(VLOOKUP(Fact_Cumplimiento[[#This Row], 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ht="18.75" customHeight="1" x14ac:dyDescent="0.35">
      <c r="C2215" s="100" t="str">
        <f>IF(OR(Fact_Cumplimiento[[#This Row], [Año]]="",Fact_Cumplimiento[[#This Row], [Mes]]=""),"",DATE(A2215,MATCH(B2215,{"enero","febrero","marzo","abril","mayo","junio","julio","agosto","septiembre","octubre","noviembre","diciembre"},0)+1,0))</f>
        <v/>
      </c>
      <c r="E2215" t="str">
        <f>+IFERROR(VLOOKUP(Fact_Cumplimiento[[#This Row], [Concepto Anterior]],Conceptos_Cumplimiento[#All],5,0),"")</f>
        <v/>
      </c>
      <c r="F2215" t="str">
        <f>+IFERROR(VLOOKUP(Fact_Cumplimiento[[#This Row], 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ht="18.75" customHeight="1" x14ac:dyDescent="0.35">
      <c r="C2216" s="100" t="str">
        <f>IF(OR(Fact_Cumplimiento[[#This Row], [Año]]="",Fact_Cumplimiento[[#This Row], [Mes]]=""),"",DATE(A2216,MATCH(B2216,{"enero","febrero","marzo","abril","mayo","junio","julio","agosto","septiembre","octubre","noviembre","diciembre"},0)+1,0))</f>
        <v/>
      </c>
      <c r="E2216" t="str">
        <f>+IFERROR(VLOOKUP(Fact_Cumplimiento[[#This Row], [Concepto Anterior]],Conceptos_Cumplimiento[#All],5,0),"")</f>
        <v/>
      </c>
      <c r="F2216" t="str">
        <f>+IFERROR(VLOOKUP(Fact_Cumplimiento[[#This Row], 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ht="18.75" customHeight="1" x14ac:dyDescent="0.35">
      <c r="C2217" s="100" t="str">
        <f>IF(OR(Fact_Cumplimiento[[#This Row], [Año]]="",Fact_Cumplimiento[[#This Row], [Mes]]=""),"",DATE(A2217,MATCH(B2217,{"enero","febrero","marzo","abril","mayo","junio","julio","agosto","septiembre","octubre","noviembre","diciembre"},0)+1,0))</f>
        <v/>
      </c>
      <c r="E2217" t="str">
        <f>+IFERROR(VLOOKUP(Fact_Cumplimiento[[#This Row], [Concepto Anterior]],Conceptos_Cumplimiento[#All],5,0),"")</f>
        <v/>
      </c>
      <c r="F2217" t="str">
        <f>+IFERROR(VLOOKUP(Fact_Cumplimiento[[#This Row], 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ht="18.75" customHeight="1" x14ac:dyDescent="0.35">
      <c r="C2218" s="100" t="str">
        <f>IF(OR(Fact_Cumplimiento[[#This Row], [Año]]="",Fact_Cumplimiento[[#This Row], [Mes]]=""),"",DATE(A2218,MATCH(B2218,{"enero","febrero","marzo","abril","mayo","junio","julio","agosto","septiembre","octubre","noviembre","diciembre"},0)+1,0))</f>
        <v/>
      </c>
      <c r="E2218" t="str">
        <f>+IFERROR(VLOOKUP(Fact_Cumplimiento[[#This Row], [Concepto Anterior]],Conceptos_Cumplimiento[#All],5,0),"")</f>
        <v/>
      </c>
      <c r="F2218" t="str">
        <f>+IFERROR(VLOOKUP(Fact_Cumplimiento[[#This Row], 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ht="18.75" customHeight="1" x14ac:dyDescent="0.35">
      <c r="C2219" s="100" t="str">
        <f>IF(OR(Fact_Cumplimiento[[#This Row], [Año]]="",Fact_Cumplimiento[[#This Row], [Mes]]=""),"",DATE(A2219,MATCH(B2219,{"enero","febrero","marzo","abril","mayo","junio","julio","agosto","septiembre","octubre","noviembre","diciembre"},0)+1,0))</f>
        <v/>
      </c>
      <c r="E2219" t="str">
        <f>+IFERROR(VLOOKUP(Fact_Cumplimiento[[#This Row], [Concepto Anterior]],Conceptos_Cumplimiento[#All],5,0),"")</f>
        <v/>
      </c>
      <c r="F2219" t="str">
        <f>+IFERROR(VLOOKUP(Fact_Cumplimiento[[#This Row], 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ht="18.75" customHeight="1" x14ac:dyDescent="0.35">
      <c r="C2220" s="100" t="str">
        <f>IF(OR(Fact_Cumplimiento[[#This Row], [Año]]="",Fact_Cumplimiento[[#This Row], [Mes]]=""),"",DATE(A2220,MATCH(B2220,{"enero","febrero","marzo","abril","mayo","junio","julio","agosto","septiembre","octubre","noviembre","diciembre"},0)+1,0))</f>
        <v/>
      </c>
      <c r="E2220" t="str">
        <f>+IFERROR(VLOOKUP(Fact_Cumplimiento[[#This Row], [Concepto Anterior]],Conceptos_Cumplimiento[#All],5,0),"")</f>
        <v/>
      </c>
      <c r="F2220" t="str">
        <f>+IFERROR(VLOOKUP(Fact_Cumplimiento[[#This Row], 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ht="18.75" customHeight="1" x14ac:dyDescent="0.35">
      <c r="C2221" s="100" t="str">
        <f>IF(OR(Fact_Cumplimiento[[#This Row], [Año]]="",Fact_Cumplimiento[[#This Row], [Mes]]=""),"",DATE(A2221,MATCH(B2221,{"enero","febrero","marzo","abril","mayo","junio","julio","agosto","septiembre","octubre","noviembre","diciembre"},0)+1,0))</f>
        <v/>
      </c>
      <c r="E2221" t="str">
        <f>+IFERROR(VLOOKUP(Fact_Cumplimiento[[#This Row], [Concepto Anterior]],Conceptos_Cumplimiento[#All],5,0),"")</f>
        <v/>
      </c>
      <c r="F2221" t="str">
        <f>+IFERROR(VLOOKUP(Fact_Cumplimiento[[#This Row], 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ht="18.75" customHeight="1" x14ac:dyDescent="0.35">
      <c r="C2222" s="100" t="str">
        <f>IF(OR(Fact_Cumplimiento[[#This Row], [Año]]="",Fact_Cumplimiento[[#This Row], [Mes]]=""),"",DATE(A2222,MATCH(B2222,{"enero","febrero","marzo","abril","mayo","junio","julio","agosto","septiembre","octubre","noviembre","diciembre"},0)+1,0))</f>
        <v/>
      </c>
      <c r="E2222" t="str">
        <f>+IFERROR(VLOOKUP(Fact_Cumplimiento[[#This Row], [Concepto Anterior]],Conceptos_Cumplimiento[#All],5,0),"")</f>
        <v/>
      </c>
      <c r="F2222" t="str">
        <f>+IFERROR(VLOOKUP(Fact_Cumplimiento[[#This Row], 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ht="18.75" customHeight="1" x14ac:dyDescent="0.35">
      <c r="C2223" s="100" t="str">
        <f>IF(OR(Fact_Cumplimiento[[#This Row], [Año]]="",Fact_Cumplimiento[[#This Row], [Mes]]=""),"",DATE(A2223,MATCH(B2223,{"enero","febrero","marzo","abril","mayo","junio","julio","agosto","septiembre","octubre","noviembre","diciembre"},0)+1,0))</f>
        <v/>
      </c>
      <c r="E2223" t="str">
        <f>+IFERROR(VLOOKUP(Fact_Cumplimiento[[#This Row], [Concepto Anterior]],Conceptos_Cumplimiento[#All],5,0),"")</f>
        <v/>
      </c>
      <c r="F2223" t="str">
        <f>+IFERROR(VLOOKUP(Fact_Cumplimiento[[#This Row], 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ht="18.75" customHeight="1" x14ac:dyDescent="0.35">
      <c r="C2224" s="100" t="str">
        <f>IF(OR(Fact_Cumplimiento[[#This Row], [Año]]="",Fact_Cumplimiento[[#This Row], [Mes]]=""),"",DATE(A2224,MATCH(B2224,{"enero","febrero","marzo","abril","mayo","junio","julio","agosto","septiembre","octubre","noviembre","diciembre"},0)+1,0))</f>
        <v/>
      </c>
      <c r="E2224" t="str">
        <f>+IFERROR(VLOOKUP(Fact_Cumplimiento[[#This Row], [Concepto Anterior]],Conceptos_Cumplimiento[#All],5,0),"")</f>
        <v/>
      </c>
      <c r="F2224" t="str">
        <f>+IFERROR(VLOOKUP(Fact_Cumplimiento[[#This Row], 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ht="18.75" customHeight="1" x14ac:dyDescent="0.35">
      <c r="C2225" s="100" t="str">
        <f>IF(OR(Fact_Cumplimiento[[#This Row], [Año]]="",Fact_Cumplimiento[[#This Row], [Mes]]=""),"",DATE(A2225,MATCH(B2225,{"enero","febrero","marzo","abril","mayo","junio","julio","agosto","septiembre","octubre","noviembre","diciembre"},0)+1,0))</f>
        <v/>
      </c>
      <c r="E2225" t="str">
        <f>+IFERROR(VLOOKUP(Fact_Cumplimiento[[#This Row], [Concepto Anterior]],Conceptos_Cumplimiento[#All],5,0),"")</f>
        <v/>
      </c>
      <c r="F2225" t="str">
        <f>+IFERROR(VLOOKUP(Fact_Cumplimiento[[#This Row], 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ht="18.75" customHeight="1" x14ac:dyDescent="0.35">
      <c r="C2226" s="100" t="str">
        <f>IF(OR(Fact_Cumplimiento[[#This Row], [Año]]="",Fact_Cumplimiento[[#This Row], [Mes]]=""),"",DATE(A2226,MATCH(B2226,{"enero","febrero","marzo","abril","mayo","junio","julio","agosto","septiembre","octubre","noviembre","diciembre"},0)+1,0))</f>
        <v/>
      </c>
      <c r="E2226" t="str">
        <f>+IFERROR(VLOOKUP(Fact_Cumplimiento[[#This Row], [Concepto Anterior]],Conceptos_Cumplimiento[#All],5,0),"")</f>
        <v/>
      </c>
      <c r="F2226" t="str">
        <f>+IFERROR(VLOOKUP(Fact_Cumplimiento[[#This Row], 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ht="18.75" customHeight="1" x14ac:dyDescent="0.35">
      <c r="C2227" s="100" t="str">
        <f>IF(OR(Fact_Cumplimiento[[#This Row], [Año]]="",Fact_Cumplimiento[[#This Row], [Mes]]=""),"",DATE(A2227,MATCH(B2227,{"enero","febrero","marzo","abril","mayo","junio","julio","agosto","septiembre","octubre","noviembre","diciembre"},0)+1,0))</f>
        <v/>
      </c>
      <c r="E2227" t="str">
        <f>+IFERROR(VLOOKUP(Fact_Cumplimiento[[#This Row], [Concepto Anterior]],Conceptos_Cumplimiento[#All],5,0),"")</f>
        <v/>
      </c>
      <c r="F2227" t="str">
        <f>+IFERROR(VLOOKUP(Fact_Cumplimiento[[#This Row], 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ht="18.75" customHeight="1" x14ac:dyDescent="0.35">
      <c r="C2228" s="100" t="str">
        <f>IF(OR(Fact_Cumplimiento[[#This Row], [Año]]="",Fact_Cumplimiento[[#This Row], [Mes]]=""),"",DATE(A2228,MATCH(B2228,{"enero","febrero","marzo","abril","mayo","junio","julio","agosto","septiembre","octubre","noviembre","diciembre"},0)+1,0))</f>
        <v/>
      </c>
      <c r="E2228" t="str">
        <f>+IFERROR(VLOOKUP(Fact_Cumplimiento[[#This Row], [Concepto Anterior]],Conceptos_Cumplimiento[#All],5,0),"")</f>
        <v/>
      </c>
      <c r="F2228" t="str">
        <f>+IFERROR(VLOOKUP(Fact_Cumplimiento[[#This Row], 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ht="18.75" customHeight="1" x14ac:dyDescent="0.35">
      <c r="C2229" s="100" t="str">
        <f>IF(OR(Fact_Cumplimiento[[#This Row], [Año]]="",Fact_Cumplimiento[[#This Row], [Mes]]=""),"",DATE(A2229,MATCH(B2229,{"enero","febrero","marzo","abril","mayo","junio","julio","agosto","septiembre","octubre","noviembre","diciembre"},0)+1,0))</f>
        <v/>
      </c>
      <c r="E2229" t="str">
        <f>+IFERROR(VLOOKUP(Fact_Cumplimiento[[#This Row], [Concepto Anterior]],Conceptos_Cumplimiento[#All],5,0),"")</f>
        <v/>
      </c>
      <c r="F2229" t="str">
        <f>+IFERROR(VLOOKUP(Fact_Cumplimiento[[#This Row], 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ht="18.75" customHeight="1" x14ac:dyDescent="0.35">
      <c r="C2230" s="100" t="str">
        <f>IF(OR(Fact_Cumplimiento[[#This Row], [Año]]="",Fact_Cumplimiento[[#This Row], [Mes]]=""),"",DATE(A2230,MATCH(B2230,{"enero","febrero","marzo","abril","mayo","junio","julio","agosto","septiembre","octubre","noviembre","diciembre"},0)+1,0))</f>
        <v/>
      </c>
      <c r="E2230" t="str">
        <f>+IFERROR(VLOOKUP(Fact_Cumplimiento[[#This Row], [Concepto Anterior]],Conceptos_Cumplimiento[#All],5,0),"")</f>
        <v/>
      </c>
      <c r="F2230" t="str">
        <f>+IFERROR(VLOOKUP(Fact_Cumplimiento[[#This Row], 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ht="18.75" customHeight="1" x14ac:dyDescent="0.35">
      <c r="C2231" s="100" t="str">
        <f>IF(OR(Fact_Cumplimiento[[#This Row], [Año]]="",Fact_Cumplimiento[[#This Row], [Mes]]=""),"",DATE(A2231,MATCH(B2231,{"enero","febrero","marzo","abril","mayo","junio","julio","agosto","septiembre","octubre","noviembre","diciembre"},0)+1,0))</f>
        <v/>
      </c>
      <c r="E2231" t="str">
        <f>+IFERROR(VLOOKUP(Fact_Cumplimiento[[#This Row], [Concepto Anterior]],Conceptos_Cumplimiento[#All],5,0),"")</f>
        <v/>
      </c>
      <c r="F2231" t="str">
        <f>+IFERROR(VLOOKUP(Fact_Cumplimiento[[#This Row], 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ht="18.75" customHeight="1" x14ac:dyDescent="0.35">
      <c r="C2232" s="100" t="str">
        <f>IF(OR(Fact_Cumplimiento[[#This Row], [Año]]="",Fact_Cumplimiento[[#This Row], [Mes]]=""),"",DATE(A2232,MATCH(B2232,{"enero","febrero","marzo","abril","mayo","junio","julio","agosto","septiembre","octubre","noviembre","diciembre"},0)+1,0))</f>
        <v/>
      </c>
      <c r="E2232" t="str">
        <f>+IFERROR(VLOOKUP(Fact_Cumplimiento[[#This Row], [Concepto Anterior]],Conceptos_Cumplimiento[#All],5,0),"")</f>
        <v/>
      </c>
      <c r="F2232" t="str">
        <f>+IFERROR(VLOOKUP(Fact_Cumplimiento[[#This Row], 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ht="18.75" customHeight="1" x14ac:dyDescent="0.35">
      <c r="C2233" s="100" t="str">
        <f>IF(OR(Fact_Cumplimiento[[#This Row], [Año]]="",Fact_Cumplimiento[[#This Row], [Mes]]=""),"",DATE(A2233,MATCH(B2233,{"enero","febrero","marzo","abril","mayo","junio","julio","agosto","septiembre","octubre","noviembre","diciembre"},0)+1,0))</f>
        <v/>
      </c>
      <c r="E2233" t="str">
        <f>+IFERROR(VLOOKUP(Fact_Cumplimiento[[#This Row], [Concepto Anterior]],Conceptos_Cumplimiento[#All],5,0),"")</f>
        <v/>
      </c>
      <c r="F2233" t="str">
        <f>+IFERROR(VLOOKUP(Fact_Cumplimiento[[#This Row], 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ht="18.75" customHeight="1" x14ac:dyDescent="0.35">
      <c r="C2234" s="100" t="str">
        <f>IF(OR(Fact_Cumplimiento[[#This Row], [Año]]="",Fact_Cumplimiento[[#This Row], [Mes]]=""),"",DATE(A2234,MATCH(B2234,{"enero","febrero","marzo","abril","mayo","junio","julio","agosto","septiembre","octubre","noviembre","diciembre"},0)+1,0))</f>
        <v/>
      </c>
      <c r="E2234" t="str">
        <f>+IFERROR(VLOOKUP(Fact_Cumplimiento[[#This Row], [Concepto Anterior]],Conceptos_Cumplimiento[#All],5,0),"")</f>
        <v/>
      </c>
      <c r="F2234" t="str">
        <f>+IFERROR(VLOOKUP(Fact_Cumplimiento[[#This Row], 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ht="18.75" customHeight="1" x14ac:dyDescent="0.35">
      <c r="C2235" s="100" t="str">
        <f>IF(OR(Fact_Cumplimiento[[#This Row], [Año]]="",Fact_Cumplimiento[[#This Row], [Mes]]=""),"",DATE(A2235,MATCH(B2235,{"enero","febrero","marzo","abril","mayo","junio","julio","agosto","septiembre","octubre","noviembre","diciembre"},0)+1,0))</f>
        <v/>
      </c>
      <c r="E2235" t="str">
        <f>+IFERROR(VLOOKUP(Fact_Cumplimiento[[#This Row], [Concepto Anterior]],Conceptos_Cumplimiento[#All],5,0),"")</f>
        <v/>
      </c>
      <c r="F2235" t="str">
        <f>+IFERROR(VLOOKUP(Fact_Cumplimiento[[#This Row], 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ht="18.75" customHeight="1" x14ac:dyDescent="0.35">
      <c r="C2236" s="100" t="str">
        <f>IF(OR(Fact_Cumplimiento[[#This Row], [Año]]="",Fact_Cumplimiento[[#This Row], [Mes]]=""),"",DATE(A2236,MATCH(B2236,{"enero","febrero","marzo","abril","mayo","junio","julio","agosto","septiembre","octubre","noviembre","diciembre"},0)+1,0))</f>
        <v/>
      </c>
      <c r="E2236" t="str">
        <f>+IFERROR(VLOOKUP(Fact_Cumplimiento[[#This Row], [Concepto Anterior]],Conceptos_Cumplimiento[#All],5,0),"")</f>
        <v/>
      </c>
      <c r="F2236" t="str">
        <f>+IFERROR(VLOOKUP(Fact_Cumplimiento[[#This Row], 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ht="18.75" customHeight="1" x14ac:dyDescent="0.35">
      <c r="C2237" s="100" t="str">
        <f>IF(OR(Fact_Cumplimiento[[#This Row], [Año]]="",Fact_Cumplimiento[[#This Row], [Mes]]=""),"",DATE(A2237,MATCH(B2237,{"enero","febrero","marzo","abril","mayo","junio","julio","agosto","septiembre","octubre","noviembre","diciembre"},0)+1,0))</f>
        <v/>
      </c>
      <c r="E2237" t="str">
        <f>+IFERROR(VLOOKUP(Fact_Cumplimiento[[#This Row], [Concepto Anterior]],Conceptos_Cumplimiento[#All],5,0),"")</f>
        <v/>
      </c>
      <c r="F2237" t="str">
        <f>+IFERROR(VLOOKUP(Fact_Cumplimiento[[#This Row], 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ht="18.75" customHeight="1" x14ac:dyDescent="0.35">
      <c r="C2238" s="100" t="str">
        <f>IF(OR(Fact_Cumplimiento[[#This Row], [Año]]="",Fact_Cumplimiento[[#This Row], [Mes]]=""),"",DATE(A2238,MATCH(B2238,{"enero","febrero","marzo","abril","mayo","junio","julio","agosto","septiembre","octubre","noviembre","diciembre"},0)+1,0))</f>
        <v/>
      </c>
      <c r="E2238" t="str">
        <f>+IFERROR(VLOOKUP(Fact_Cumplimiento[[#This Row], [Concepto Anterior]],Conceptos_Cumplimiento[#All],5,0),"")</f>
        <v/>
      </c>
      <c r="F2238" t="str">
        <f>+IFERROR(VLOOKUP(Fact_Cumplimiento[[#This Row], 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ht="18.75" customHeight="1" x14ac:dyDescent="0.35">
      <c r="C2239" s="100" t="str">
        <f>IF(OR(Fact_Cumplimiento[[#This Row], [Año]]="",Fact_Cumplimiento[[#This Row], [Mes]]=""),"",DATE(A2239,MATCH(B2239,{"enero","febrero","marzo","abril","mayo","junio","julio","agosto","septiembre","octubre","noviembre","diciembre"},0)+1,0))</f>
        <v/>
      </c>
      <c r="E2239" t="str">
        <f>+IFERROR(VLOOKUP(Fact_Cumplimiento[[#This Row], [Concepto Anterior]],Conceptos_Cumplimiento[#All],5,0),"")</f>
        <v/>
      </c>
      <c r="F2239" t="str">
        <f>+IFERROR(VLOOKUP(Fact_Cumplimiento[[#This Row], 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ht="18.75" customHeight="1" x14ac:dyDescent="0.35">
      <c r="C2240" s="100" t="str">
        <f>IF(OR(Fact_Cumplimiento[[#This Row], [Año]]="",Fact_Cumplimiento[[#This Row], [Mes]]=""),"",DATE(A2240,MATCH(B2240,{"enero","febrero","marzo","abril","mayo","junio","julio","agosto","septiembre","octubre","noviembre","diciembre"},0)+1,0))</f>
        <v/>
      </c>
      <c r="E2240" t="str">
        <f>+IFERROR(VLOOKUP(Fact_Cumplimiento[[#This Row], [Concepto Anterior]],Conceptos_Cumplimiento[#All],5,0),"")</f>
        <v/>
      </c>
      <c r="F2240" t="str">
        <f>+IFERROR(VLOOKUP(Fact_Cumplimiento[[#This Row], 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ht="18.75" customHeight="1" x14ac:dyDescent="0.35">
      <c r="C2241" s="100" t="str">
        <f>IF(OR(Fact_Cumplimiento[[#This Row], [Año]]="",Fact_Cumplimiento[[#This Row], [Mes]]=""),"",DATE(A2241,MATCH(B2241,{"enero","febrero","marzo","abril","mayo","junio","julio","agosto","septiembre","octubre","noviembre","diciembre"},0)+1,0))</f>
        <v/>
      </c>
      <c r="E2241" t="str">
        <f>+IFERROR(VLOOKUP(Fact_Cumplimiento[[#This Row], [Concepto Anterior]],Conceptos_Cumplimiento[#All],5,0),"")</f>
        <v/>
      </c>
      <c r="F2241" t="str">
        <f>+IFERROR(VLOOKUP(Fact_Cumplimiento[[#This Row], 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ht="18.75" customHeight="1" x14ac:dyDescent="0.35">
      <c r="C2242" s="100" t="str">
        <f>IF(OR(Fact_Cumplimiento[[#This Row], [Año]]="",Fact_Cumplimiento[[#This Row], [Mes]]=""),"",DATE(A2242,MATCH(B2242,{"enero","febrero","marzo","abril","mayo","junio","julio","agosto","septiembre","octubre","noviembre","diciembre"},0)+1,0))</f>
        <v/>
      </c>
      <c r="E2242" t="str">
        <f>+IFERROR(VLOOKUP(Fact_Cumplimiento[[#This Row], [Concepto Anterior]],Conceptos_Cumplimiento[#All],5,0),"")</f>
        <v/>
      </c>
      <c r="F2242" t="str">
        <f>+IFERROR(VLOOKUP(Fact_Cumplimiento[[#This Row], 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ht="18.75" customHeight="1" x14ac:dyDescent="0.35">
      <c r="C2243" s="100" t="str">
        <f>IF(OR(Fact_Cumplimiento[[#This Row], [Año]]="",Fact_Cumplimiento[[#This Row], [Mes]]=""),"",DATE(A2243,MATCH(B2243,{"enero","febrero","marzo","abril","mayo","junio","julio","agosto","septiembre","octubre","noviembre","diciembre"},0)+1,0))</f>
        <v/>
      </c>
      <c r="E2243" t="str">
        <f>+IFERROR(VLOOKUP(Fact_Cumplimiento[[#This Row], [Concepto Anterior]],Conceptos_Cumplimiento[#All],5,0),"")</f>
        <v/>
      </c>
      <c r="F2243" t="str">
        <f>+IFERROR(VLOOKUP(Fact_Cumplimiento[[#This Row], 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ht="18.75" customHeight="1" x14ac:dyDescent="0.35">
      <c r="C2244" s="100" t="str">
        <f>IF(OR(Fact_Cumplimiento[[#This Row], [Año]]="",Fact_Cumplimiento[[#This Row], [Mes]]=""),"",DATE(A2244,MATCH(B2244,{"enero","febrero","marzo","abril","mayo","junio","julio","agosto","septiembre","octubre","noviembre","diciembre"},0)+1,0))</f>
        <v/>
      </c>
      <c r="E2244" t="str">
        <f>+IFERROR(VLOOKUP(Fact_Cumplimiento[[#This Row], [Concepto Anterior]],Conceptos_Cumplimiento[#All],5,0),"")</f>
        <v/>
      </c>
      <c r="F2244" t="str">
        <f>+IFERROR(VLOOKUP(Fact_Cumplimiento[[#This Row], 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ht="18.75" customHeight="1" x14ac:dyDescent="0.35">
      <c r="C2245" s="100" t="str">
        <f>IF(OR(Fact_Cumplimiento[[#This Row], [Año]]="",Fact_Cumplimiento[[#This Row], [Mes]]=""),"",DATE(A2245,MATCH(B2245,{"enero","febrero","marzo","abril","mayo","junio","julio","agosto","septiembre","octubre","noviembre","diciembre"},0)+1,0))</f>
        <v/>
      </c>
      <c r="E2245" t="str">
        <f>+IFERROR(VLOOKUP(Fact_Cumplimiento[[#This Row], [Concepto Anterior]],Conceptos_Cumplimiento[#All],5,0),"")</f>
        <v/>
      </c>
      <c r="F2245" t="str">
        <f>+IFERROR(VLOOKUP(Fact_Cumplimiento[[#This Row], 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ht="18.75" customHeight="1" x14ac:dyDescent="0.35">
      <c r="C2246" s="100" t="str">
        <f>IF(OR(Fact_Cumplimiento[[#This Row], [Año]]="",Fact_Cumplimiento[[#This Row], [Mes]]=""),"",DATE(A2246,MATCH(B2246,{"enero","febrero","marzo","abril","mayo","junio","julio","agosto","septiembre","octubre","noviembre","diciembre"},0)+1,0))</f>
        <v/>
      </c>
      <c r="E2246" t="str">
        <f>+IFERROR(VLOOKUP(Fact_Cumplimiento[[#This Row], [Concepto Anterior]],Conceptos_Cumplimiento[#All],5,0),"")</f>
        <v/>
      </c>
      <c r="F2246" t="str">
        <f>+IFERROR(VLOOKUP(Fact_Cumplimiento[[#This Row], 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ht="18.75" customHeight="1" x14ac:dyDescent="0.35">
      <c r="C2247" s="100" t="str">
        <f>IF(OR(Fact_Cumplimiento[[#This Row], [Año]]="",Fact_Cumplimiento[[#This Row], [Mes]]=""),"",DATE(A2247,MATCH(B2247,{"enero","febrero","marzo","abril","mayo","junio","julio","agosto","septiembre","octubre","noviembre","diciembre"},0)+1,0))</f>
        <v/>
      </c>
      <c r="E2247" t="str">
        <f>+IFERROR(VLOOKUP(Fact_Cumplimiento[[#This Row], [Concepto Anterior]],Conceptos_Cumplimiento[#All],5,0),"")</f>
        <v/>
      </c>
      <c r="F2247" t="str">
        <f>+IFERROR(VLOOKUP(Fact_Cumplimiento[[#This Row], 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ht="18.75" customHeight="1" x14ac:dyDescent="0.35">
      <c r="C2248" s="100" t="str">
        <f>IF(OR(Fact_Cumplimiento[[#This Row], [Año]]="",Fact_Cumplimiento[[#This Row], [Mes]]=""),"",DATE(A2248,MATCH(B2248,{"enero","febrero","marzo","abril","mayo","junio","julio","agosto","septiembre","octubre","noviembre","diciembre"},0)+1,0))</f>
        <v/>
      </c>
      <c r="E2248" t="str">
        <f>+IFERROR(VLOOKUP(Fact_Cumplimiento[[#This Row], [Concepto Anterior]],Conceptos_Cumplimiento[#All],5,0),"")</f>
        <v/>
      </c>
      <c r="F2248" t="str">
        <f>+IFERROR(VLOOKUP(Fact_Cumplimiento[[#This Row], 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ht="18.75" customHeight="1" x14ac:dyDescent="0.35">
      <c r="C2249" s="100" t="str">
        <f>IF(OR(Fact_Cumplimiento[[#This Row], [Año]]="",Fact_Cumplimiento[[#This Row], [Mes]]=""),"",DATE(A2249,MATCH(B2249,{"enero","febrero","marzo","abril","mayo","junio","julio","agosto","septiembre","octubre","noviembre","diciembre"},0)+1,0))</f>
        <v/>
      </c>
      <c r="E2249" t="str">
        <f>+IFERROR(VLOOKUP(Fact_Cumplimiento[[#This Row], [Concepto Anterior]],Conceptos_Cumplimiento[#All],5,0),"")</f>
        <v/>
      </c>
      <c r="F2249" t="str">
        <f>+IFERROR(VLOOKUP(Fact_Cumplimiento[[#This Row], 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ht="18.75" customHeight="1" x14ac:dyDescent="0.35">
      <c r="C2250" s="100" t="str">
        <f>IF(OR(Fact_Cumplimiento[[#This Row], [Año]]="",Fact_Cumplimiento[[#This Row], [Mes]]=""),"",DATE(A2250,MATCH(B2250,{"enero","febrero","marzo","abril","mayo","junio","julio","agosto","septiembre","octubre","noviembre","diciembre"},0)+1,0))</f>
        <v/>
      </c>
      <c r="E2250" t="str">
        <f>+IFERROR(VLOOKUP(Fact_Cumplimiento[[#This Row], [Concepto Anterior]],Conceptos_Cumplimiento[#All],5,0),"")</f>
        <v/>
      </c>
      <c r="F2250" t="str">
        <f>+IFERROR(VLOOKUP(Fact_Cumplimiento[[#This Row], 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ht="18.75" customHeight="1" x14ac:dyDescent="0.35">
      <c r="C2251" s="100" t="str">
        <f>IF(OR(Fact_Cumplimiento[[#This Row], [Año]]="",Fact_Cumplimiento[[#This Row], [Mes]]=""),"",DATE(A2251,MATCH(B2251,{"enero","febrero","marzo","abril","mayo","junio","julio","agosto","septiembre","octubre","noviembre","diciembre"},0)+1,0))</f>
        <v/>
      </c>
      <c r="E2251" t="str">
        <f>+IFERROR(VLOOKUP(Fact_Cumplimiento[[#This Row], [Concepto Anterior]],Conceptos_Cumplimiento[#All],5,0),"")</f>
        <v/>
      </c>
      <c r="F2251" t="str">
        <f>+IFERROR(VLOOKUP(Fact_Cumplimiento[[#This Row], 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ht="18.75" customHeight="1" x14ac:dyDescent="0.35">
      <c r="C2252" s="100" t="str">
        <f>IF(OR(Fact_Cumplimiento[[#This Row], [Año]]="",Fact_Cumplimiento[[#This Row], [Mes]]=""),"",DATE(A2252,MATCH(B2252,{"enero","febrero","marzo","abril","mayo","junio","julio","agosto","septiembre","octubre","noviembre","diciembre"},0)+1,0))</f>
        <v/>
      </c>
      <c r="E2252" t="str">
        <f>+IFERROR(VLOOKUP(Fact_Cumplimiento[[#This Row], [Concepto Anterior]],Conceptos_Cumplimiento[#All],5,0),"")</f>
        <v/>
      </c>
      <c r="F2252" t="str">
        <f>+IFERROR(VLOOKUP(Fact_Cumplimiento[[#This Row], 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ht="18.75" customHeight="1" x14ac:dyDescent="0.35">
      <c r="C2253" s="100" t="str">
        <f>IF(OR(Fact_Cumplimiento[[#This Row], [Año]]="",Fact_Cumplimiento[[#This Row], [Mes]]=""),"",DATE(A2253,MATCH(B2253,{"enero","febrero","marzo","abril","mayo","junio","julio","agosto","septiembre","octubre","noviembre","diciembre"},0)+1,0))</f>
        <v/>
      </c>
      <c r="E2253" t="str">
        <f>+IFERROR(VLOOKUP(Fact_Cumplimiento[[#This Row], [Concepto Anterior]],Conceptos_Cumplimiento[#All],5,0),"")</f>
        <v/>
      </c>
      <c r="F2253" t="str">
        <f>+IFERROR(VLOOKUP(Fact_Cumplimiento[[#This Row], 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ht="18.75" customHeight="1" x14ac:dyDescent="0.35">
      <c r="C2254" s="100" t="str">
        <f>IF(OR(Fact_Cumplimiento[[#This Row], [Año]]="",Fact_Cumplimiento[[#This Row], [Mes]]=""),"",DATE(A2254,MATCH(B2254,{"enero","febrero","marzo","abril","mayo","junio","julio","agosto","septiembre","octubre","noviembre","diciembre"},0)+1,0))</f>
        <v/>
      </c>
      <c r="E2254" t="str">
        <f>+IFERROR(VLOOKUP(Fact_Cumplimiento[[#This Row], [Concepto Anterior]],Conceptos_Cumplimiento[#All],5,0),"")</f>
        <v/>
      </c>
      <c r="F2254" t="str">
        <f>+IFERROR(VLOOKUP(Fact_Cumplimiento[[#This Row], 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ht="18.75" customHeight="1" x14ac:dyDescent="0.35">
      <c r="C2255" s="100" t="str">
        <f>IF(OR(Fact_Cumplimiento[[#This Row], [Año]]="",Fact_Cumplimiento[[#This Row], [Mes]]=""),"",DATE(A2255,MATCH(B2255,{"enero","febrero","marzo","abril","mayo","junio","julio","agosto","septiembre","octubre","noviembre","diciembre"},0)+1,0))</f>
        <v/>
      </c>
      <c r="E2255" t="str">
        <f>+IFERROR(VLOOKUP(Fact_Cumplimiento[[#This Row], [Concepto Anterior]],Conceptos_Cumplimiento[#All],5,0),"")</f>
        <v/>
      </c>
      <c r="F2255" t="str">
        <f>+IFERROR(VLOOKUP(Fact_Cumplimiento[[#This Row], 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ht="18.75" customHeight="1" x14ac:dyDescent="0.35">
      <c r="C2256" s="100" t="str">
        <f>IF(OR(Fact_Cumplimiento[[#This Row], [Año]]="",Fact_Cumplimiento[[#This Row], [Mes]]=""),"",DATE(A2256,MATCH(B2256,{"enero","febrero","marzo","abril","mayo","junio","julio","agosto","septiembre","octubre","noviembre","diciembre"},0)+1,0))</f>
        <v/>
      </c>
      <c r="E2256" t="str">
        <f>+IFERROR(VLOOKUP(Fact_Cumplimiento[[#This Row], [Concepto Anterior]],Conceptos_Cumplimiento[#All],5,0),"")</f>
        <v/>
      </c>
      <c r="F2256" t="str">
        <f>+IFERROR(VLOOKUP(Fact_Cumplimiento[[#This Row], 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ht="18.75" customHeight="1" x14ac:dyDescent="0.35">
      <c r="C2257" s="100" t="str">
        <f>IF(OR(Fact_Cumplimiento[[#This Row], [Año]]="",Fact_Cumplimiento[[#This Row], [Mes]]=""),"",DATE(A2257,MATCH(B2257,{"enero","febrero","marzo","abril","mayo","junio","julio","agosto","septiembre","octubre","noviembre","diciembre"},0)+1,0))</f>
        <v/>
      </c>
      <c r="E2257" t="str">
        <f>+IFERROR(VLOOKUP(Fact_Cumplimiento[[#This Row], [Concepto Anterior]],Conceptos_Cumplimiento[#All],5,0),"")</f>
        <v/>
      </c>
      <c r="F2257" t="str">
        <f>+IFERROR(VLOOKUP(Fact_Cumplimiento[[#This Row], 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ht="18.75" customHeight="1" x14ac:dyDescent="0.35">
      <c r="C2258" s="100" t="str">
        <f>IF(OR(Fact_Cumplimiento[[#This Row], [Año]]="",Fact_Cumplimiento[[#This Row], [Mes]]=""),"",DATE(A2258,MATCH(B2258,{"enero","febrero","marzo","abril","mayo","junio","julio","agosto","septiembre","octubre","noviembre","diciembre"},0)+1,0))</f>
        <v/>
      </c>
      <c r="E2258" t="str">
        <f>+IFERROR(VLOOKUP(Fact_Cumplimiento[[#This Row], [Concepto Anterior]],Conceptos_Cumplimiento[#All],5,0),"")</f>
        <v/>
      </c>
      <c r="F2258" t="str">
        <f>+IFERROR(VLOOKUP(Fact_Cumplimiento[[#This Row], 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ht="18.75" customHeight="1" x14ac:dyDescent="0.35">
      <c r="C2259" s="100" t="str">
        <f>IF(OR(Fact_Cumplimiento[[#This Row], [Año]]="",Fact_Cumplimiento[[#This Row], [Mes]]=""),"",DATE(A2259,MATCH(B2259,{"enero","febrero","marzo","abril","mayo","junio","julio","agosto","septiembre","octubre","noviembre","diciembre"},0)+1,0))</f>
        <v/>
      </c>
      <c r="E2259" t="str">
        <f>+IFERROR(VLOOKUP(Fact_Cumplimiento[[#This Row], [Concepto Anterior]],Conceptos_Cumplimiento[#All],5,0),"")</f>
        <v/>
      </c>
      <c r="F2259" t="str">
        <f>+IFERROR(VLOOKUP(Fact_Cumplimiento[[#This Row], 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ht="18.75" customHeight="1" x14ac:dyDescent="0.35">
      <c r="C2260" s="100" t="str">
        <f>IF(OR(Fact_Cumplimiento[[#This Row], [Año]]="",Fact_Cumplimiento[[#This Row], [Mes]]=""),"",DATE(A2260,MATCH(B2260,{"enero","febrero","marzo","abril","mayo","junio","julio","agosto","septiembre","octubre","noviembre","diciembre"},0)+1,0))</f>
        <v/>
      </c>
      <c r="E2260" t="str">
        <f>+IFERROR(VLOOKUP(Fact_Cumplimiento[[#This Row], [Concepto Anterior]],Conceptos_Cumplimiento[#All],5,0),"")</f>
        <v/>
      </c>
      <c r="F2260" t="str">
        <f>+IFERROR(VLOOKUP(Fact_Cumplimiento[[#This Row], 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ht="18.75" customHeight="1" x14ac:dyDescent="0.35">
      <c r="C2261" s="100" t="str">
        <f>IF(OR(Fact_Cumplimiento[[#This Row], [Año]]="",Fact_Cumplimiento[[#This Row], [Mes]]=""),"",DATE(A2261,MATCH(B2261,{"enero","febrero","marzo","abril","mayo","junio","julio","agosto","septiembre","octubre","noviembre","diciembre"},0)+1,0))</f>
        <v/>
      </c>
      <c r="E2261" t="str">
        <f>+IFERROR(VLOOKUP(Fact_Cumplimiento[[#This Row], [Concepto Anterior]],Conceptos_Cumplimiento[#All],5,0),"")</f>
        <v/>
      </c>
      <c r="F2261" t="str">
        <f>+IFERROR(VLOOKUP(Fact_Cumplimiento[[#This Row], 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ht="18.75" customHeight="1" x14ac:dyDescent="0.35">
      <c r="C2262" s="100" t="str">
        <f>IF(OR(Fact_Cumplimiento[[#This Row], [Año]]="",Fact_Cumplimiento[[#This Row], [Mes]]=""),"",DATE(A2262,MATCH(B2262,{"enero","febrero","marzo","abril","mayo","junio","julio","agosto","septiembre","octubre","noviembre","diciembre"},0)+1,0))</f>
        <v/>
      </c>
      <c r="E2262" t="str">
        <f>+IFERROR(VLOOKUP(Fact_Cumplimiento[[#This Row], [Concepto Anterior]],Conceptos_Cumplimiento[#All],5,0),"")</f>
        <v/>
      </c>
      <c r="F2262" t="str">
        <f>+IFERROR(VLOOKUP(Fact_Cumplimiento[[#This Row], 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ht="18.75" customHeight="1" x14ac:dyDescent="0.35">
      <c r="C2263" s="100" t="str">
        <f>IF(OR(Fact_Cumplimiento[[#This Row], [Año]]="",Fact_Cumplimiento[[#This Row], [Mes]]=""),"",DATE(A2263,MATCH(B2263,{"enero","febrero","marzo","abril","mayo","junio","julio","agosto","septiembre","octubre","noviembre","diciembre"},0)+1,0))</f>
        <v/>
      </c>
      <c r="E2263" t="str">
        <f>+IFERROR(VLOOKUP(Fact_Cumplimiento[[#This Row], [Concepto Anterior]],Conceptos_Cumplimiento[#All],5,0),"")</f>
        <v/>
      </c>
      <c r="F2263" t="str">
        <f>+IFERROR(VLOOKUP(Fact_Cumplimiento[[#This Row], 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ht="18.75" customHeight="1" x14ac:dyDescent="0.35">
      <c r="C2264" s="100" t="str">
        <f>IF(OR(Fact_Cumplimiento[[#This Row], [Año]]="",Fact_Cumplimiento[[#This Row], [Mes]]=""),"",DATE(A2264,MATCH(B2264,{"enero","febrero","marzo","abril","mayo","junio","julio","agosto","septiembre","octubre","noviembre","diciembre"},0)+1,0))</f>
        <v/>
      </c>
      <c r="E2264" t="str">
        <f>+IFERROR(VLOOKUP(Fact_Cumplimiento[[#This Row], [Concepto Anterior]],Conceptos_Cumplimiento[#All],5,0),"")</f>
        <v/>
      </c>
      <c r="F2264" t="str">
        <f>+IFERROR(VLOOKUP(Fact_Cumplimiento[[#This Row], 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ht="18.75" customHeight="1" x14ac:dyDescent="0.35">
      <c r="C2265" s="100" t="str">
        <f>IF(OR(Fact_Cumplimiento[[#This Row], [Año]]="",Fact_Cumplimiento[[#This Row], [Mes]]=""),"",DATE(A2265,MATCH(B2265,{"enero","febrero","marzo","abril","mayo","junio","julio","agosto","septiembre","octubre","noviembre","diciembre"},0)+1,0))</f>
        <v/>
      </c>
      <c r="E2265" t="str">
        <f>+IFERROR(VLOOKUP(Fact_Cumplimiento[[#This Row], [Concepto Anterior]],Conceptos_Cumplimiento[#All],5,0),"")</f>
        <v/>
      </c>
      <c r="F2265" t="str">
        <f>+IFERROR(VLOOKUP(Fact_Cumplimiento[[#This Row], 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ht="18.75" customHeight="1" x14ac:dyDescent="0.35">
      <c r="C2266" s="100" t="str">
        <f>IF(OR(Fact_Cumplimiento[[#This Row], [Año]]="",Fact_Cumplimiento[[#This Row], [Mes]]=""),"",DATE(A2266,MATCH(B2266,{"enero","febrero","marzo","abril","mayo","junio","julio","agosto","septiembre","octubre","noviembre","diciembre"},0)+1,0))</f>
        <v/>
      </c>
      <c r="E2266" t="str">
        <f>+IFERROR(VLOOKUP(Fact_Cumplimiento[[#This Row], [Concepto Anterior]],Conceptos_Cumplimiento[#All],5,0),"")</f>
        <v/>
      </c>
      <c r="F2266" t="str">
        <f>+IFERROR(VLOOKUP(Fact_Cumplimiento[[#This Row], 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ht="18.75" customHeight="1" x14ac:dyDescent="0.35">
      <c r="C2267" s="100" t="str">
        <f>IF(OR(Fact_Cumplimiento[[#This Row], [Año]]="",Fact_Cumplimiento[[#This Row], [Mes]]=""),"",DATE(A2267,MATCH(B2267,{"enero","febrero","marzo","abril","mayo","junio","julio","agosto","septiembre","octubre","noviembre","diciembre"},0)+1,0))</f>
        <v/>
      </c>
      <c r="E2267" t="str">
        <f>+IFERROR(VLOOKUP(Fact_Cumplimiento[[#This Row], [Concepto Anterior]],Conceptos_Cumplimiento[#All],5,0),"")</f>
        <v/>
      </c>
      <c r="F2267" t="str">
        <f>+IFERROR(VLOOKUP(Fact_Cumplimiento[[#This Row], 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ht="18.75" customHeight="1" x14ac:dyDescent="0.35">
      <c r="C2268" s="100" t="str">
        <f>IF(OR(Fact_Cumplimiento[[#This Row], [Año]]="",Fact_Cumplimiento[[#This Row], [Mes]]=""),"",DATE(A2268,MATCH(B2268,{"enero","febrero","marzo","abril","mayo","junio","julio","agosto","septiembre","octubre","noviembre","diciembre"},0)+1,0))</f>
        <v/>
      </c>
      <c r="E2268" t="str">
        <f>+IFERROR(VLOOKUP(Fact_Cumplimiento[[#This Row], [Concepto Anterior]],Conceptos_Cumplimiento[#All],5,0),"")</f>
        <v/>
      </c>
      <c r="F2268" t="str">
        <f>+IFERROR(VLOOKUP(Fact_Cumplimiento[[#This Row], 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ht="18.75" customHeight="1" x14ac:dyDescent="0.35">
      <c r="C2269" s="100" t="str">
        <f>IF(OR(Fact_Cumplimiento[[#This Row], [Año]]="",Fact_Cumplimiento[[#This Row], [Mes]]=""),"",DATE(A2269,MATCH(B2269,{"enero","febrero","marzo","abril","mayo","junio","julio","agosto","septiembre","octubre","noviembre","diciembre"},0)+1,0))</f>
        <v/>
      </c>
      <c r="E2269" t="str">
        <f>+IFERROR(VLOOKUP(Fact_Cumplimiento[[#This Row], [Concepto Anterior]],Conceptos_Cumplimiento[#All],5,0),"")</f>
        <v/>
      </c>
      <c r="F2269" t="str">
        <f>+IFERROR(VLOOKUP(Fact_Cumplimiento[[#This Row], 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ht="18.75" customHeight="1" x14ac:dyDescent="0.35">
      <c r="C2270" s="100" t="str">
        <f>IF(OR(Fact_Cumplimiento[[#This Row], [Año]]="",Fact_Cumplimiento[[#This Row], [Mes]]=""),"",DATE(A2270,MATCH(B2270,{"enero","febrero","marzo","abril","mayo","junio","julio","agosto","septiembre","octubre","noviembre","diciembre"},0)+1,0))</f>
        <v/>
      </c>
      <c r="E2270" t="str">
        <f>+IFERROR(VLOOKUP(Fact_Cumplimiento[[#This Row], [Concepto Anterior]],Conceptos_Cumplimiento[#All],5,0),"")</f>
        <v/>
      </c>
      <c r="F2270" t="str">
        <f>+IFERROR(VLOOKUP(Fact_Cumplimiento[[#This Row], 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ht="18.75" customHeight="1" x14ac:dyDescent="0.35">
      <c r="C2271" s="100" t="str">
        <f>IF(OR(Fact_Cumplimiento[[#This Row], [Año]]="",Fact_Cumplimiento[[#This Row], [Mes]]=""),"",DATE(A2271,MATCH(B2271,{"enero","febrero","marzo","abril","mayo","junio","julio","agosto","septiembre","octubre","noviembre","diciembre"},0)+1,0))</f>
        <v/>
      </c>
      <c r="E2271" t="str">
        <f>+IFERROR(VLOOKUP(Fact_Cumplimiento[[#This Row], [Concepto Anterior]],Conceptos_Cumplimiento[#All],5,0),"")</f>
        <v/>
      </c>
      <c r="F2271" t="str">
        <f>+IFERROR(VLOOKUP(Fact_Cumplimiento[[#This Row], 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ht="18.75" customHeight="1" x14ac:dyDescent="0.35">
      <c r="C2272" s="100" t="str">
        <f>IF(OR(Fact_Cumplimiento[[#This Row], [Año]]="",Fact_Cumplimiento[[#This Row], [Mes]]=""),"",DATE(A2272,MATCH(B2272,{"enero","febrero","marzo","abril","mayo","junio","julio","agosto","septiembre","octubre","noviembre","diciembre"},0)+1,0))</f>
        <v/>
      </c>
      <c r="E2272" t="str">
        <f>+IFERROR(VLOOKUP(Fact_Cumplimiento[[#This Row], [Concepto Anterior]],Conceptos_Cumplimiento[#All],5,0),"")</f>
        <v/>
      </c>
      <c r="F2272" t="str">
        <f>+IFERROR(VLOOKUP(Fact_Cumplimiento[[#This Row], 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ht="18.75" customHeight="1" x14ac:dyDescent="0.35">
      <c r="C2273" s="100" t="str">
        <f>IF(OR(Fact_Cumplimiento[[#This Row], [Año]]="",Fact_Cumplimiento[[#This Row], [Mes]]=""),"",DATE(A2273,MATCH(B2273,{"enero","febrero","marzo","abril","mayo","junio","julio","agosto","septiembre","octubre","noviembre","diciembre"},0)+1,0))</f>
        <v/>
      </c>
      <c r="E2273" t="str">
        <f>+IFERROR(VLOOKUP(Fact_Cumplimiento[[#This Row], [Concepto Anterior]],Conceptos_Cumplimiento[#All],5,0),"")</f>
        <v/>
      </c>
      <c r="F2273" t="str">
        <f>+IFERROR(VLOOKUP(Fact_Cumplimiento[[#This Row], 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ht="18.75" customHeight="1" x14ac:dyDescent="0.35">
      <c r="C2274" s="100" t="str">
        <f>IF(OR(Fact_Cumplimiento[[#This Row], [Año]]="",Fact_Cumplimiento[[#This Row], [Mes]]=""),"",DATE(A2274,MATCH(B2274,{"enero","febrero","marzo","abril","mayo","junio","julio","agosto","septiembre","octubre","noviembre","diciembre"},0)+1,0))</f>
        <v/>
      </c>
      <c r="E2274" t="str">
        <f>+IFERROR(VLOOKUP(Fact_Cumplimiento[[#This Row], [Concepto Anterior]],Conceptos_Cumplimiento[#All],5,0),"")</f>
        <v/>
      </c>
      <c r="F2274" t="str">
        <f>+IFERROR(VLOOKUP(Fact_Cumplimiento[[#This Row], 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ht="18.75" customHeight="1" x14ac:dyDescent="0.35">
      <c r="C2275" s="100" t="str">
        <f>IF(OR(Fact_Cumplimiento[[#This Row], [Año]]="",Fact_Cumplimiento[[#This Row], [Mes]]=""),"",DATE(A2275,MATCH(B2275,{"enero","febrero","marzo","abril","mayo","junio","julio","agosto","septiembre","octubre","noviembre","diciembre"},0)+1,0))</f>
        <v/>
      </c>
      <c r="E2275" t="str">
        <f>+IFERROR(VLOOKUP(Fact_Cumplimiento[[#This Row], [Concepto Anterior]],Conceptos_Cumplimiento[#All],5,0),"")</f>
        <v/>
      </c>
      <c r="F2275" t="str">
        <f>+IFERROR(VLOOKUP(Fact_Cumplimiento[[#This Row], 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ht="18.75" customHeight="1" x14ac:dyDescent="0.35">
      <c r="C2276" s="100" t="str">
        <f>IF(OR(Fact_Cumplimiento[[#This Row], [Año]]="",Fact_Cumplimiento[[#This Row], [Mes]]=""),"",DATE(A2276,MATCH(B2276,{"enero","febrero","marzo","abril","mayo","junio","julio","agosto","septiembre","octubre","noviembre","diciembre"},0)+1,0))</f>
        <v/>
      </c>
      <c r="E2276" t="str">
        <f>+IFERROR(VLOOKUP(Fact_Cumplimiento[[#This Row], [Concepto Anterior]],Conceptos_Cumplimiento[#All],5,0),"")</f>
        <v/>
      </c>
      <c r="F2276" t="str">
        <f>+IFERROR(VLOOKUP(Fact_Cumplimiento[[#This Row], 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ht="18.75" customHeight="1" x14ac:dyDescent="0.35">
      <c r="C2277" s="100" t="str">
        <f>IF(OR(Fact_Cumplimiento[[#This Row], [Año]]="",Fact_Cumplimiento[[#This Row], [Mes]]=""),"",DATE(A2277,MATCH(B2277,{"enero","febrero","marzo","abril","mayo","junio","julio","agosto","septiembre","octubre","noviembre","diciembre"},0)+1,0))</f>
        <v/>
      </c>
      <c r="E2277" t="str">
        <f>+IFERROR(VLOOKUP(Fact_Cumplimiento[[#This Row], [Concepto Anterior]],Conceptos_Cumplimiento[#All],5,0),"")</f>
        <v/>
      </c>
      <c r="F2277" t="str">
        <f>+IFERROR(VLOOKUP(Fact_Cumplimiento[[#This Row], 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ht="18.75" customHeight="1" x14ac:dyDescent="0.35">
      <c r="C2278" s="100" t="str">
        <f>IF(OR(Fact_Cumplimiento[[#This Row], [Año]]="",Fact_Cumplimiento[[#This Row], [Mes]]=""),"",DATE(A2278,MATCH(B2278,{"enero","febrero","marzo","abril","mayo","junio","julio","agosto","septiembre","octubre","noviembre","diciembre"},0)+1,0))</f>
        <v/>
      </c>
      <c r="E2278" t="str">
        <f>+IFERROR(VLOOKUP(Fact_Cumplimiento[[#This Row], [Concepto Anterior]],Conceptos_Cumplimiento[#All],5,0),"")</f>
        <v/>
      </c>
      <c r="F2278" t="str">
        <f>+IFERROR(VLOOKUP(Fact_Cumplimiento[[#This Row], 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ht="18.75" customHeight="1" x14ac:dyDescent="0.35">
      <c r="C2279" s="100" t="str">
        <f>IF(OR(Fact_Cumplimiento[[#This Row], [Año]]="",Fact_Cumplimiento[[#This Row], [Mes]]=""),"",DATE(A2279,MATCH(B2279,{"enero","febrero","marzo","abril","mayo","junio","julio","agosto","septiembre","octubre","noviembre","diciembre"},0)+1,0))</f>
        <v/>
      </c>
      <c r="E2279" t="str">
        <f>+IFERROR(VLOOKUP(Fact_Cumplimiento[[#This Row], [Concepto Anterior]],Conceptos_Cumplimiento[#All],5,0),"")</f>
        <v/>
      </c>
      <c r="F2279" t="str">
        <f>+IFERROR(VLOOKUP(Fact_Cumplimiento[[#This Row], 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ht="18.75" customHeight="1" x14ac:dyDescent="0.35">
      <c r="C2280" s="100" t="str">
        <f>IF(OR(Fact_Cumplimiento[[#This Row], [Año]]="",Fact_Cumplimiento[[#This Row], [Mes]]=""),"",DATE(A2280,MATCH(B2280,{"enero","febrero","marzo","abril","mayo","junio","julio","agosto","septiembre","octubre","noviembre","diciembre"},0)+1,0))</f>
        <v/>
      </c>
      <c r="E2280" t="str">
        <f>+IFERROR(VLOOKUP(Fact_Cumplimiento[[#This Row], [Concepto Anterior]],Conceptos_Cumplimiento[#All],5,0),"")</f>
        <v/>
      </c>
      <c r="F2280" t="str">
        <f>+IFERROR(VLOOKUP(Fact_Cumplimiento[[#This Row], 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ht="18.75" customHeight="1" x14ac:dyDescent="0.35">
      <c r="C2281" s="100" t="str">
        <f>IF(OR(Fact_Cumplimiento[[#This Row], [Año]]="",Fact_Cumplimiento[[#This Row], [Mes]]=""),"",DATE(A2281,MATCH(B2281,{"enero","febrero","marzo","abril","mayo","junio","julio","agosto","septiembre","octubre","noviembre","diciembre"},0)+1,0))</f>
        <v/>
      </c>
      <c r="E2281" t="str">
        <f>+IFERROR(VLOOKUP(Fact_Cumplimiento[[#This Row], [Concepto Anterior]],Conceptos_Cumplimiento[#All],5,0),"")</f>
        <v/>
      </c>
      <c r="F2281" t="str">
        <f>+IFERROR(VLOOKUP(Fact_Cumplimiento[[#This Row], 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ht="18.75" customHeight="1" x14ac:dyDescent="0.35">
      <c r="C2282" s="100" t="str">
        <f>IF(OR(Fact_Cumplimiento[[#This Row], [Año]]="",Fact_Cumplimiento[[#This Row], [Mes]]=""),"",DATE(A2282,MATCH(B2282,{"enero","febrero","marzo","abril","mayo","junio","julio","agosto","septiembre","octubre","noviembre","diciembre"},0)+1,0))</f>
        <v/>
      </c>
      <c r="E2282" t="str">
        <f>+IFERROR(VLOOKUP(Fact_Cumplimiento[[#This Row], [Concepto Anterior]],Conceptos_Cumplimiento[#All],5,0),"")</f>
        <v/>
      </c>
      <c r="F2282" t="str">
        <f>+IFERROR(VLOOKUP(Fact_Cumplimiento[[#This Row], 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ht="18.75" customHeight="1" x14ac:dyDescent="0.35">
      <c r="C2283" s="100" t="str">
        <f>IF(OR(Fact_Cumplimiento[[#This Row], [Año]]="",Fact_Cumplimiento[[#This Row], [Mes]]=""),"",DATE(A2283,MATCH(B2283,{"enero","febrero","marzo","abril","mayo","junio","julio","agosto","septiembre","octubre","noviembre","diciembre"},0)+1,0))</f>
        <v/>
      </c>
      <c r="E2283" t="str">
        <f>+IFERROR(VLOOKUP(Fact_Cumplimiento[[#This Row], [Concepto Anterior]],Conceptos_Cumplimiento[#All],5,0),"")</f>
        <v/>
      </c>
      <c r="F2283" t="str">
        <f>+IFERROR(VLOOKUP(Fact_Cumplimiento[[#This Row], 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ht="18.75" customHeight="1" x14ac:dyDescent="0.35">
      <c r="C2284" s="100" t="str">
        <f>IF(OR(Fact_Cumplimiento[[#This Row], [Año]]="",Fact_Cumplimiento[[#This Row], [Mes]]=""),"",DATE(A2284,MATCH(B2284,{"enero","febrero","marzo","abril","mayo","junio","julio","agosto","septiembre","octubre","noviembre","diciembre"},0)+1,0))</f>
        <v/>
      </c>
      <c r="E2284" t="str">
        <f>+IFERROR(VLOOKUP(Fact_Cumplimiento[[#This Row], [Concepto Anterior]],Conceptos_Cumplimiento[#All],5,0),"")</f>
        <v/>
      </c>
      <c r="F2284" t="str">
        <f>+IFERROR(VLOOKUP(Fact_Cumplimiento[[#This Row], 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ht="18.75" customHeight="1" x14ac:dyDescent="0.35">
      <c r="C2285" s="100" t="str">
        <f>IF(OR(Fact_Cumplimiento[[#This Row], [Año]]="",Fact_Cumplimiento[[#This Row], [Mes]]=""),"",DATE(A2285,MATCH(B2285,{"enero","febrero","marzo","abril","mayo","junio","julio","agosto","septiembre","octubre","noviembre","diciembre"},0)+1,0))</f>
        <v/>
      </c>
      <c r="E2285" t="str">
        <f>+IFERROR(VLOOKUP(Fact_Cumplimiento[[#This Row], [Concepto Anterior]],Conceptos_Cumplimiento[#All],5,0),"")</f>
        <v/>
      </c>
      <c r="F2285" t="str">
        <f>+IFERROR(VLOOKUP(Fact_Cumplimiento[[#This Row], 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ht="18.75" customHeight="1" x14ac:dyDescent="0.35">
      <c r="C2286" s="100" t="str">
        <f>IF(OR(Fact_Cumplimiento[[#This Row], [Año]]="",Fact_Cumplimiento[[#This Row], [Mes]]=""),"",DATE(A2286,MATCH(B2286,{"enero","febrero","marzo","abril","mayo","junio","julio","agosto","septiembre","octubre","noviembre","diciembre"},0)+1,0))</f>
        <v/>
      </c>
      <c r="E2286" t="str">
        <f>+IFERROR(VLOOKUP(Fact_Cumplimiento[[#This Row], [Concepto Anterior]],Conceptos_Cumplimiento[#All],5,0),"")</f>
        <v/>
      </c>
      <c r="F2286" t="str">
        <f>+IFERROR(VLOOKUP(Fact_Cumplimiento[[#This Row], 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ht="18.75" customHeight="1" x14ac:dyDescent="0.35">
      <c r="C2287" s="100" t="str">
        <f>IF(OR(Fact_Cumplimiento[[#This Row], [Año]]="",Fact_Cumplimiento[[#This Row], [Mes]]=""),"",DATE(A2287,MATCH(B2287,{"enero","febrero","marzo","abril","mayo","junio","julio","agosto","septiembre","octubre","noviembre","diciembre"},0)+1,0))</f>
        <v/>
      </c>
      <c r="E2287" t="str">
        <f>+IFERROR(VLOOKUP(Fact_Cumplimiento[[#This Row], [Concepto Anterior]],Conceptos_Cumplimiento[#All],5,0),"")</f>
        <v/>
      </c>
      <c r="F2287" t="str">
        <f>+IFERROR(VLOOKUP(Fact_Cumplimiento[[#This Row], 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ht="18.75" customHeight="1" x14ac:dyDescent="0.35">
      <c r="C2288" s="100" t="str">
        <f>IF(OR(Fact_Cumplimiento[[#This Row], [Año]]="",Fact_Cumplimiento[[#This Row], [Mes]]=""),"",DATE(A2288,MATCH(B2288,{"enero","febrero","marzo","abril","mayo","junio","julio","agosto","septiembre","octubre","noviembre","diciembre"},0)+1,0))</f>
        <v/>
      </c>
      <c r="E2288" t="str">
        <f>+IFERROR(VLOOKUP(Fact_Cumplimiento[[#This Row], [Concepto Anterior]],Conceptos_Cumplimiento[#All],5,0),"")</f>
        <v/>
      </c>
      <c r="F2288" t="str">
        <f>+IFERROR(VLOOKUP(Fact_Cumplimiento[[#This Row], 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ht="18.75" customHeight="1" x14ac:dyDescent="0.35">
      <c r="C2289" s="100" t="str">
        <f>IF(OR(Fact_Cumplimiento[[#This Row], [Año]]="",Fact_Cumplimiento[[#This Row], [Mes]]=""),"",DATE(A2289,MATCH(B2289,{"enero","febrero","marzo","abril","mayo","junio","julio","agosto","septiembre","octubre","noviembre","diciembre"},0)+1,0))</f>
        <v/>
      </c>
      <c r="E2289" t="str">
        <f>+IFERROR(VLOOKUP(Fact_Cumplimiento[[#This Row], [Concepto Anterior]],Conceptos_Cumplimiento[#All],5,0),"")</f>
        <v/>
      </c>
      <c r="F2289" t="str">
        <f>+IFERROR(VLOOKUP(Fact_Cumplimiento[[#This Row], 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ht="18.75" customHeight="1" x14ac:dyDescent="0.35">
      <c r="C2290" s="100" t="str">
        <f>IF(OR(Fact_Cumplimiento[[#This Row], [Año]]="",Fact_Cumplimiento[[#This Row], [Mes]]=""),"",DATE(A2290,MATCH(B2290,{"enero","febrero","marzo","abril","mayo","junio","julio","agosto","septiembre","octubre","noviembre","diciembre"},0)+1,0))</f>
        <v/>
      </c>
      <c r="E2290" t="str">
        <f>+IFERROR(VLOOKUP(Fact_Cumplimiento[[#This Row], [Concepto Anterior]],Conceptos_Cumplimiento[#All],5,0),"")</f>
        <v/>
      </c>
      <c r="F2290" t="str">
        <f>+IFERROR(VLOOKUP(Fact_Cumplimiento[[#This Row], 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ht="18.75" customHeight="1" x14ac:dyDescent="0.35">
      <c r="C2291" s="100" t="str">
        <f>IF(OR(Fact_Cumplimiento[[#This Row], [Año]]="",Fact_Cumplimiento[[#This Row], [Mes]]=""),"",DATE(A2291,MATCH(B2291,{"enero","febrero","marzo","abril","mayo","junio","julio","agosto","septiembre","octubre","noviembre","diciembre"},0)+1,0))</f>
        <v/>
      </c>
      <c r="E2291" t="str">
        <f>+IFERROR(VLOOKUP(Fact_Cumplimiento[[#This Row], [Concepto Anterior]],Conceptos_Cumplimiento[#All],5,0),"")</f>
        <v/>
      </c>
      <c r="F2291" t="str">
        <f>+IFERROR(VLOOKUP(Fact_Cumplimiento[[#This Row], 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ht="18.75" customHeight="1" x14ac:dyDescent="0.35">
      <c r="C2292" s="100" t="str">
        <f>IF(OR(Fact_Cumplimiento[[#This Row], [Año]]="",Fact_Cumplimiento[[#This Row], [Mes]]=""),"",DATE(A2292,MATCH(B2292,{"enero","febrero","marzo","abril","mayo","junio","julio","agosto","septiembre","octubre","noviembre","diciembre"},0)+1,0))</f>
        <v/>
      </c>
      <c r="E2292" t="str">
        <f>+IFERROR(VLOOKUP(Fact_Cumplimiento[[#This Row], [Concepto Anterior]],Conceptos_Cumplimiento[#All],5,0),"")</f>
        <v/>
      </c>
      <c r="F2292" t="str">
        <f>+IFERROR(VLOOKUP(Fact_Cumplimiento[[#This Row], 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ht="18.75" customHeight="1" x14ac:dyDescent="0.35">
      <c r="C2293" s="100" t="str">
        <f>IF(OR(Fact_Cumplimiento[[#This Row], [Año]]="",Fact_Cumplimiento[[#This Row], [Mes]]=""),"",DATE(A2293,MATCH(B2293,{"enero","febrero","marzo","abril","mayo","junio","julio","agosto","septiembre","octubre","noviembre","diciembre"},0)+1,0))</f>
        <v/>
      </c>
      <c r="E2293" t="str">
        <f>+IFERROR(VLOOKUP(Fact_Cumplimiento[[#This Row], [Concepto Anterior]],Conceptos_Cumplimiento[#All],5,0),"")</f>
        <v/>
      </c>
      <c r="F2293" t="str">
        <f>+IFERROR(VLOOKUP(Fact_Cumplimiento[[#This Row], 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ht="18.75" customHeight="1" x14ac:dyDescent="0.35">
      <c r="C2294" s="100" t="str">
        <f>IF(OR(Fact_Cumplimiento[[#This Row], [Año]]="",Fact_Cumplimiento[[#This Row], [Mes]]=""),"",DATE(A2294,MATCH(B2294,{"enero","febrero","marzo","abril","mayo","junio","julio","agosto","septiembre","octubre","noviembre","diciembre"},0)+1,0))</f>
        <v/>
      </c>
      <c r="E2294" t="str">
        <f>+IFERROR(VLOOKUP(Fact_Cumplimiento[[#This Row], [Concepto Anterior]],Conceptos_Cumplimiento[#All],5,0),"")</f>
        <v/>
      </c>
      <c r="F2294" t="str">
        <f>+IFERROR(VLOOKUP(Fact_Cumplimiento[[#This Row], 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ht="18.75" customHeight="1" x14ac:dyDescent="0.35">
      <c r="C2295" s="100" t="str">
        <f>IF(OR(Fact_Cumplimiento[[#This Row], [Año]]="",Fact_Cumplimiento[[#This Row], [Mes]]=""),"",DATE(A2295,MATCH(B2295,{"enero","febrero","marzo","abril","mayo","junio","julio","agosto","septiembre","octubre","noviembre","diciembre"},0)+1,0))</f>
        <v/>
      </c>
      <c r="E2295" t="str">
        <f>+IFERROR(VLOOKUP(Fact_Cumplimiento[[#This Row], [Concepto Anterior]],Conceptos_Cumplimiento[#All],5,0),"")</f>
        <v/>
      </c>
      <c r="F2295" t="str">
        <f>+IFERROR(VLOOKUP(Fact_Cumplimiento[[#This Row], 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ht="18.75" customHeight="1" x14ac:dyDescent="0.35">
      <c r="C2296" s="100" t="str">
        <f>IF(OR(Fact_Cumplimiento[[#This Row], [Año]]="",Fact_Cumplimiento[[#This Row], [Mes]]=""),"",DATE(A2296,MATCH(B2296,{"enero","febrero","marzo","abril","mayo","junio","julio","agosto","septiembre","octubre","noviembre","diciembre"},0)+1,0))</f>
        <v/>
      </c>
      <c r="E2296" t="str">
        <f>+IFERROR(VLOOKUP(Fact_Cumplimiento[[#This Row], [Concepto Anterior]],Conceptos_Cumplimiento[#All],5,0),"")</f>
        <v/>
      </c>
      <c r="F2296" t="str">
        <f>+IFERROR(VLOOKUP(Fact_Cumplimiento[[#This Row], 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ht="18.75" customHeight="1" x14ac:dyDescent="0.35">
      <c r="C2297" s="100" t="str">
        <f>IF(OR(Fact_Cumplimiento[[#This Row], [Año]]="",Fact_Cumplimiento[[#This Row], [Mes]]=""),"",DATE(A2297,MATCH(B2297,{"enero","febrero","marzo","abril","mayo","junio","julio","agosto","septiembre","octubre","noviembre","diciembre"},0)+1,0))</f>
        <v/>
      </c>
      <c r="E2297" t="str">
        <f>+IFERROR(VLOOKUP(Fact_Cumplimiento[[#This Row], [Concepto Anterior]],Conceptos_Cumplimiento[#All],5,0),"")</f>
        <v/>
      </c>
      <c r="F2297" t="str">
        <f>+IFERROR(VLOOKUP(Fact_Cumplimiento[[#This Row], 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ht="18.75" customHeight="1" x14ac:dyDescent="0.35">
      <c r="C2298" s="100" t="str">
        <f>IF(OR(Fact_Cumplimiento[[#This Row], [Año]]="",Fact_Cumplimiento[[#This Row], [Mes]]=""),"",DATE(A2298,MATCH(B2298,{"enero","febrero","marzo","abril","mayo","junio","julio","agosto","septiembre","octubre","noviembre","diciembre"},0)+1,0))</f>
        <v/>
      </c>
      <c r="E2298" t="str">
        <f>+IFERROR(VLOOKUP(Fact_Cumplimiento[[#This Row], [Concepto Anterior]],Conceptos_Cumplimiento[#All],5,0),"")</f>
        <v/>
      </c>
      <c r="F2298" t="str">
        <f>+IFERROR(VLOOKUP(Fact_Cumplimiento[[#This Row], 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ht="18.75" customHeight="1" x14ac:dyDescent="0.35">
      <c r="C2299" s="100" t="str">
        <f>IF(OR(Fact_Cumplimiento[[#This Row], [Año]]="",Fact_Cumplimiento[[#This Row], [Mes]]=""),"",DATE(A2299,MATCH(B2299,{"enero","febrero","marzo","abril","mayo","junio","julio","agosto","septiembre","octubre","noviembre","diciembre"},0)+1,0))</f>
        <v/>
      </c>
      <c r="E2299" t="str">
        <f>+IFERROR(VLOOKUP(Fact_Cumplimiento[[#This Row], [Concepto Anterior]],Conceptos_Cumplimiento[#All],5,0),"")</f>
        <v/>
      </c>
      <c r="F2299" t="str">
        <f>+IFERROR(VLOOKUP(Fact_Cumplimiento[[#This Row], 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ht="18.75" customHeight="1" x14ac:dyDescent="0.35">
      <c r="C2300" s="100" t="str">
        <f>IF(OR(Fact_Cumplimiento[[#This Row], [Año]]="",Fact_Cumplimiento[[#This Row], [Mes]]=""),"",DATE(A2300,MATCH(B2300,{"enero","febrero","marzo","abril","mayo","junio","julio","agosto","septiembre","octubre","noviembre","diciembre"},0)+1,0))</f>
        <v/>
      </c>
      <c r="E2300" t="str">
        <f>+IFERROR(VLOOKUP(Fact_Cumplimiento[[#This Row], [Concepto Anterior]],Conceptos_Cumplimiento[#All],5,0),"")</f>
        <v/>
      </c>
      <c r="F2300" t="str">
        <f>+IFERROR(VLOOKUP(Fact_Cumplimiento[[#This Row], 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ht="18.75" customHeight="1" x14ac:dyDescent="0.35">
      <c r="C2301" s="100" t="str">
        <f>IF(OR(Fact_Cumplimiento[[#This Row], [Año]]="",Fact_Cumplimiento[[#This Row], [Mes]]=""),"",DATE(A2301,MATCH(B2301,{"enero","febrero","marzo","abril","mayo","junio","julio","agosto","septiembre","octubre","noviembre","diciembre"},0)+1,0))</f>
        <v/>
      </c>
      <c r="E2301" t="str">
        <f>+IFERROR(VLOOKUP(Fact_Cumplimiento[[#This Row], [Concepto Anterior]],Conceptos_Cumplimiento[#All],5,0),"")</f>
        <v/>
      </c>
      <c r="F2301" t="str">
        <f>+IFERROR(VLOOKUP(Fact_Cumplimiento[[#This Row], 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ht="18.75" customHeight="1" x14ac:dyDescent="0.35">
      <c r="C2302" s="100" t="str">
        <f>IF(OR(Fact_Cumplimiento[[#This Row], [Año]]="",Fact_Cumplimiento[[#This Row], [Mes]]=""),"",DATE(A2302,MATCH(B2302,{"enero","febrero","marzo","abril","mayo","junio","julio","agosto","septiembre","octubre","noviembre","diciembre"},0)+1,0))</f>
        <v/>
      </c>
      <c r="E2302" t="str">
        <f>+IFERROR(VLOOKUP(Fact_Cumplimiento[[#This Row], [Concepto Anterior]],Conceptos_Cumplimiento[#All],5,0),"")</f>
        <v/>
      </c>
      <c r="F2302" t="str">
        <f>+IFERROR(VLOOKUP(Fact_Cumplimiento[[#This Row], 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ht="18.75" customHeight="1" x14ac:dyDescent="0.35">
      <c r="C2303" s="100" t="str">
        <f>IF(OR(Fact_Cumplimiento[[#This Row], [Año]]="",Fact_Cumplimiento[[#This Row], [Mes]]=""),"",DATE(A2303,MATCH(B2303,{"enero","febrero","marzo","abril","mayo","junio","julio","agosto","septiembre","octubre","noviembre","diciembre"},0)+1,0))</f>
        <v/>
      </c>
      <c r="E2303" t="str">
        <f>+IFERROR(VLOOKUP(Fact_Cumplimiento[[#This Row], [Concepto Anterior]],Conceptos_Cumplimiento[#All],5,0),"")</f>
        <v/>
      </c>
      <c r="F2303" t="str">
        <f>+IFERROR(VLOOKUP(Fact_Cumplimiento[[#This Row], 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ht="18.75" customHeight="1" x14ac:dyDescent="0.35">
      <c r="C2304" s="100" t="str">
        <f>IF(OR(Fact_Cumplimiento[[#This Row], [Año]]="",Fact_Cumplimiento[[#This Row], [Mes]]=""),"",DATE(A2304,MATCH(B2304,{"enero","febrero","marzo","abril","mayo","junio","julio","agosto","septiembre","octubre","noviembre","diciembre"},0)+1,0))</f>
        <v/>
      </c>
      <c r="E2304" t="str">
        <f>+IFERROR(VLOOKUP(Fact_Cumplimiento[[#This Row], [Concepto Anterior]],Conceptos_Cumplimiento[#All],5,0),"")</f>
        <v/>
      </c>
      <c r="F2304" t="str">
        <f>+IFERROR(VLOOKUP(Fact_Cumplimiento[[#This Row], 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ht="18.75" customHeight="1" x14ac:dyDescent="0.35">
      <c r="C2305" s="100" t="str">
        <f>IF(OR(Fact_Cumplimiento[[#This Row], [Año]]="",Fact_Cumplimiento[[#This Row], [Mes]]=""),"",DATE(A2305,MATCH(B2305,{"enero","febrero","marzo","abril","mayo","junio","julio","agosto","septiembre","octubre","noviembre","diciembre"},0)+1,0))</f>
        <v/>
      </c>
      <c r="E2305" t="str">
        <f>+IFERROR(VLOOKUP(Fact_Cumplimiento[[#This Row], [Concepto Anterior]],Conceptos_Cumplimiento[#All],5,0),"")</f>
        <v/>
      </c>
      <c r="F2305" t="str">
        <f>+IFERROR(VLOOKUP(Fact_Cumplimiento[[#This Row], 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ht="18.75" customHeight="1" x14ac:dyDescent="0.35">
      <c r="C2306" s="100" t="str">
        <f>IF(OR(Fact_Cumplimiento[[#This Row], [Año]]="",Fact_Cumplimiento[[#This Row], [Mes]]=""),"",DATE(A2306,MATCH(B2306,{"enero","febrero","marzo","abril","mayo","junio","julio","agosto","septiembre","octubre","noviembre","diciembre"},0)+1,0))</f>
        <v/>
      </c>
      <c r="E2306" t="str">
        <f>+IFERROR(VLOOKUP(Fact_Cumplimiento[[#This Row], [Concepto Anterior]],Conceptos_Cumplimiento[#All],5,0),"")</f>
        <v/>
      </c>
      <c r="F2306" t="str">
        <f>+IFERROR(VLOOKUP(Fact_Cumplimiento[[#This Row], 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ht="18.75" customHeight="1" x14ac:dyDescent="0.35">
      <c r="C2307" s="100" t="str">
        <f>IF(OR(Fact_Cumplimiento[[#This Row], [Año]]="",Fact_Cumplimiento[[#This Row], [Mes]]=""),"",DATE(A2307,MATCH(B2307,{"enero","febrero","marzo","abril","mayo","junio","julio","agosto","septiembre","octubre","noviembre","diciembre"},0)+1,0))</f>
        <v/>
      </c>
      <c r="E2307" t="str">
        <f>+IFERROR(VLOOKUP(Fact_Cumplimiento[[#This Row], [Concepto Anterior]],Conceptos_Cumplimiento[#All],5,0),"")</f>
        <v/>
      </c>
      <c r="F2307" t="str">
        <f>+IFERROR(VLOOKUP(Fact_Cumplimiento[[#This Row], 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ht="18.75" customHeight="1" x14ac:dyDescent="0.35">
      <c r="C2308" s="100" t="str">
        <f>IF(OR(Fact_Cumplimiento[[#This Row], [Año]]="",Fact_Cumplimiento[[#This Row], [Mes]]=""),"",DATE(A2308,MATCH(B2308,{"enero","febrero","marzo","abril","mayo","junio","julio","agosto","septiembre","octubre","noviembre","diciembre"},0)+1,0))</f>
        <v/>
      </c>
      <c r="E2308" t="str">
        <f>+IFERROR(VLOOKUP(Fact_Cumplimiento[[#This Row], [Concepto Anterior]],Conceptos_Cumplimiento[#All],5,0),"")</f>
        <v/>
      </c>
      <c r="F2308" t="str">
        <f>+IFERROR(VLOOKUP(Fact_Cumplimiento[[#This Row], 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ht="18.75" customHeight="1" x14ac:dyDescent="0.35">
      <c r="C2309" s="100" t="str">
        <f>IF(OR(Fact_Cumplimiento[[#This Row], [Año]]="",Fact_Cumplimiento[[#This Row], [Mes]]=""),"",DATE(A2309,MATCH(B2309,{"enero","febrero","marzo","abril","mayo","junio","julio","agosto","septiembre","octubre","noviembre","diciembre"},0)+1,0))</f>
        <v/>
      </c>
      <c r="E2309" t="str">
        <f>+IFERROR(VLOOKUP(Fact_Cumplimiento[[#This Row], [Concepto Anterior]],Conceptos_Cumplimiento[#All],5,0),"")</f>
        <v/>
      </c>
      <c r="F2309" t="str">
        <f>+IFERROR(VLOOKUP(Fact_Cumplimiento[[#This Row], 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ht="18.75" customHeight="1" x14ac:dyDescent="0.35">
      <c r="C2310" s="100" t="str">
        <f>IF(OR(Fact_Cumplimiento[[#This Row], [Año]]="",Fact_Cumplimiento[[#This Row], [Mes]]=""),"",DATE(A2310,MATCH(B2310,{"enero","febrero","marzo","abril","mayo","junio","julio","agosto","septiembre","octubre","noviembre","diciembre"},0)+1,0))</f>
        <v/>
      </c>
      <c r="E2310" t="str">
        <f>+IFERROR(VLOOKUP(Fact_Cumplimiento[[#This Row], [Concepto Anterior]],Conceptos_Cumplimiento[#All],5,0),"")</f>
        <v/>
      </c>
      <c r="F2310" t="str">
        <f>+IFERROR(VLOOKUP(Fact_Cumplimiento[[#This Row], 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ht="18.75" customHeight="1" x14ac:dyDescent="0.35">
      <c r="C2311" s="100" t="str">
        <f>IF(OR(Fact_Cumplimiento[[#This Row], [Año]]="",Fact_Cumplimiento[[#This Row], [Mes]]=""),"",DATE(A2311,MATCH(B2311,{"enero","febrero","marzo","abril","mayo","junio","julio","agosto","septiembre","octubre","noviembre","diciembre"},0)+1,0))</f>
        <v/>
      </c>
      <c r="E2311" t="str">
        <f>+IFERROR(VLOOKUP(Fact_Cumplimiento[[#This Row], [Concepto Anterior]],Conceptos_Cumplimiento[#All],5,0),"")</f>
        <v/>
      </c>
      <c r="F2311" t="str">
        <f>+IFERROR(VLOOKUP(Fact_Cumplimiento[[#This Row], 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ht="18.75" customHeight="1" x14ac:dyDescent="0.35">
      <c r="C2312" s="100" t="str">
        <f>IF(OR(Fact_Cumplimiento[[#This Row], [Año]]="",Fact_Cumplimiento[[#This Row], [Mes]]=""),"",DATE(A2312,MATCH(B2312,{"enero","febrero","marzo","abril","mayo","junio","julio","agosto","septiembre","octubre","noviembre","diciembre"},0)+1,0))</f>
        <v/>
      </c>
      <c r="E2312" t="str">
        <f>+IFERROR(VLOOKUP(Fact_Cumplimiento[[#This Row], [Concepto Anterior]],Conceptos_Cumplimiento[#All],5,0),"")</f>
        <v/>
      </c>
      <c r="F2312" t="str">
        <f>+IFERROR(VLOOKUP(Fact_Cumplimiento[[#This Row], 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ht="18.75" customHeight="1" x14ac:dyDescent="0.35">
      <c r="C2313" s="100" t="str">
        <f>IF(OR(Fact_Cumplimiento[[#This Row], [Año]]="",Fact_Cumplimiento[[#This Row], [Mes]]=""),"",DATE(A2313,MATCH(B2313,{"enero","febrero","marzo","abril","mayo","junio","julio","agosto","septiembre","octubre","noviembre","diciembre"},0)+1,0))</f>
        <v/>
      </c>
      <c r="E2313" t="str">
        <f>+IFERROR(VLOOKUP(Fact_Cumplimiento[[#This Row], [Concepto Anterior]],Conceptos_Cumplimiento[#All],5,0),"")</f>
        <v/>
      </c>
      <c r="F2313" t="str">
        <f>+IFERROR(VLOOKUP(Fact_Cumplimiento[[#This Row], 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ht="18.75" customHeight="1" x14ac:dyDescent="0.35">
      <c r="C2314" s="100" t="str">
        <f>IF(OR(Fact_Cumplimiento[[#This Row], [Año]]="",Fact_Cumplimiento[[#This Row], [Mes]]=""),"",DATE(A2314,MATCH(B2314,{"enero","febrero","marzo","abril","mayo","junio","julio","agosto","septiembre","octubre","noviembre","diciembre"},0)+1,0))</f>
        <v/>
      </c>
      <c r="E2314" t="str">
        <f>+IFERROR(VLOOKUP(Fact_Cumplimiento[[#This Row], [Concepto Anterior]],Conceptos_Cumplimiento[#All],5,0),"")</f>
        <v/>
      </c>
      <c r="F2314" t="str">
        <f>+IFERROR(VLOOKUP(Fact_Cumplimiento[[#This Row], 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ht="18.75" customHeight="1" x14ac:dyDescent="0.35">
      <c r="C2315" s="100" t="str">
        <f>IF(OR(Fact_Cumplimiento[[#This Row], [Año]]="",Fact_Cumplimiento[[#This Row], [Mes]]=""),"",DATE(A2315,MATCH(B2315,{"enero","febrero","marzo","abril","mayo","junio","julio","agosto","septiembre","octubre","noviembre","diciembre"},0)+1,0))</f>
        <v/>
      </c>
      <c r="E2315" t="str">
        <f>+IFERROR(VLOOKUP(Fact_Cumplimiento[[#This Row], [Concepto Anterior]],Conceptos_Cumplimiento[#All],5,0),"")</f>
        <v/>
      </c>
      <c r="F2315" t="str">
        <f>+IFERROR(VLOOKUP(Fact_Cumplimiento[[#This Row], 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ht="18.75" customHeight="1" x14ac:dyDescent="0.35">
      <c r="C2316" s="100" t="str">
        <f>IF(OR(Fact_Cumplimiento[[#This Row], [Año]]="",Fact_Cumplimiento[[#This Row], [Mes]]=""),"",DATE(A2316,MATCH(B2316,{"enero","febrero","marzo","abril","mayo","junio","julio","agosto","septiembre","octubre","noviembre","diciembre"},0)+1,0))</f>
        <v/>
      </c>
      <c r="E2316" t="str">
        <f>+IFERROR(VLOOKUP(Fact_Cumplimiento[[#This Row], [Concepto Anterior]],Conceptos_Cumplimiento[#All],5,0),"")</f>
        <v/>
      </c>
      <c r="F2316" t="str">
        <f>+IFERROR(VLOOKUP(Fact_Cumplimiento[[#This Row], 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ht="18.75" customHeight="1" x14ac:dyDescent="0.35">
      <c r="C2317" s="100" t="str">
        <f>IF(OR(Fact_Cumplimiento[[#This Row], [Año]]="",Fact_Cumplimiento[[#This Row], [Mes]]=""),"",DATE(A2317,MATCH(B2317,{"enero","febrero","marzo","abril","mayo","junio","julio","agosto","septiembre","octubre","noviembre","diciembre"},0)+1,0))</f>
        <v/>
      </c>
      <c r="E2317" t="str">
        <f>+IFERROR(VLOOKUP(Fact_Cumplimiento[[#This Row], [Concepto Anterior]],Conceptos_Cumplimiento[#All],5,0),"")</f>
        <v/>
      </c>
      <c r="F2317" t="str">
        <f>+IFERROR(VLOOKUP(Fact_Cumplimiento[[#This Row], 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ht="18.75" customHeight="1" x14ac:dyDescent="0.35">
      <c r="C2318" s="100" t="str">
        <f>IF(OR(Fact_Cumplimiento[[#This Row], [Año]]="",Fact_Cumplimiento[[#This Row], [Mes]]=""),"",DATE(A2318,MATCH(B2318,{"enero","febrero","marzo","abril","mayo","junio","julio","agosto","septiembre","octubre","noviembre","diciembre"},0)+1,0))</f>
        <v/>
      </c>
      <c r="E2318" t="str">
        <f>+IFERROR(VLOOKUP(Fact_Cumplimiento[[#This Row], [Concepto Anterior]],Conceptos_Cumplimiento[#All],5,0),"")</f>
        <v/>
      </c>
      <c r="F2318" t="str">
        <f>+IFERROR(VLOOKUP(Fact_Cumplimiento[[#This Row], 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ht="18.75" customHeight="1" x14ac:dyDescent="0.35">
      <c r="C2319" s="100" t="str">
        <f>IF(OR(Fact_Cumplimiento[[#This Row], [Año]]="",Fact_Cumplimiento[[#This Row], [Mes]]=""),"",DATE(A2319,MATCH(B2319,{"enero","febrero","marzo","abril","mayo","junio","julio","agosto","septiembre","octubre","noviembre","diciembre"},0)+1,0))</f>
        <v/>
      </c>
      <c r="E2319" t="str">
        <f>+IFERROR(VLOOKUP(Fact_Cumplimiento[[#This Row], [Concepto Anterior]],Conceptos_Cumplimiento[#All],5,0),"")</f>
        <v/>
      </c>
      <c r="F2319" t="str">
        <f>+IFERROR(VLOOKUP(Fact_Cumplimiento[[#This Row], 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ht="18.75" customHeight="1" x14ac:dyDescent="0.35">
      <c r="C2320" s="100" t="str">
        <f>IF(OR(Fact_Cumplimiento[[#This Row], [Año]]="",Fact_Cumplimiento[[#This Row], [Mes]]=""),"",DATE(A2320,MATCH(B2320,{"enero","febrero","marzo","abril","mayo","junio","julio","agosto","septiembre","octubre","noviembre","diciembre"},0)+1,0))</f>
        <v/>
      </c>
      <c r="E2320" t="str">
        <f>+IFERROR(VLOOKUP(Fact_Cumplimiento[[#This Row], [Concepto Anterior]],Conceptos_Cumplimiento[#All],5,0),"")</f>
        <v/>
      </c>
      <c r="F2320" t="str">
        <f>+IFERROR(VLOOKUP(Fact_Cumplimiento[[#This Row], 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ht="18.75" customHeight="1" x14ac:dyDescent="0.35">
      <c r="C2321" s="100" t="str">
        <f>IF(OR(Fact_Cumplimiento[[#This Row], [Año]]="",Fact_Cumplimiento[[#This Row], [Mes]]=""),"",DATE(A2321,MATCH(B2321,{"enero","febrero","marzo","abril","mayo","junio","julio","agosto","septiembre","octubre","noviembre","diciembre"},0)+1,0))</f>
        <v/>
      </c>
      <c r="E2321" t="str">
        <f>+IFERROR(VLOOKUP(Fact_Cumplimiento[[#This Row], [Concepto Anterior]],Conceptos_Cumplimiento[#All],5,0),"")</f>
        <v/>
      </c>
      <c r="F2321" t="str">
        <f>+IFERROR(VLOOKUP(Fact_Cumplimiento[[#This Row], 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ht="18.75" customHeight="1" x14ac:dyDescent="0.35">
      <c r="C2322" s="100" t="str">
        <f>IF(OR(Fact_Cumplimiento[[#This Row], [Año]]="",Fact_Cumplimiento[[#This Row], [Mes]]=""),"",DATE(A2322,MATCH(B2322,{"enero","febrero","marzo","abril","mayo","junio","julio","agosto","septiembre","octubre","noviembre","diciembre"},0)+1,0))</f>
        <v/>
      </c>
      <c r="E2322" t="str">
        <f>+IFERROR(VLOOKUP(Fact_Cumplimiento[[#This Row], [Concepto Anterior]],Conceptos_Cumplimiento[#All],5,0),"")</f>
        <v/>
      </c>
      <c r="F2322" t="str">
        <f>+IFERROR(VLOOKUP(Fact_Cumplimiento[[#This Row], 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ht="18.75" customHeight="1" x14ac:dyDescent="0.35">
      <c r="C2323" s="100" t="str">
        <f>IF(OR(Fact_Cumplimiento[[#This Row], [Año]]="",Fact_Cumplimiento[[#This Row], [Mes]]=""),"",DATE(A2323,MATCH(B2323,{"enero","febrero","marzo","abril","mayo","junio","julio","agosto","septiembre","octubre","noviembre","diciembre"},0)+1,0))</f>
        <v/>
      </c>
      <c r="E2323" t="str">
        <f>+IFERROR(VLOOKUP(Fact_Cumplimiento[[#This Row], [Concepto Anterior]],Conceptos_Cumplimiento[#All],5,0),"")</f>
        <v/>
      </c>
      <c r="F2323" t="str">
        <f>+IFERROR(VLOOKUP(Fact_Cumplimiento[[#This Row], 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ht="18.75" customHeight="1" x14ac:dyDescent="0.35">
      <c r="C2324" s="100" t="str">
        <f>IF(OR(Fact_Cumplimiento[[#This Row], [Año]]="",Fact_Cumplimiento[[#This Row], [Mes]]=""),"",DATE(A2324,MATCH(B2324,{"enero","febrero","marzo","abril","mayo","junio","julio","agosto","septiembre","octubre","noviembre","diciembre"},0)+1,0))</f>
        <v/>
      </c>
      <c r="E2324" t="str">
        <f>+IFERROR(VLOOKUP(Fact_Cumplimiento[[#This Row], [Concepto Anterior]],Conceptos_Cumplimiento[#All],5,0),"")</f>
        <v/>
      </c>
      <c r="F2324" t="str">
        <f>+IFERROR(VLOOKUP(Fact_Cumplimiento[[#This Row], 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ht="18.75" customHeight="1" x14ac:dyDescent="0.35">
      <c r="C2325" s="100" t="str">
        <f>IF(OR(Fact_Cumplimiento[[#This Row], [Año]]="",Fact_Cumplimiento[[#This Row], [Mes]]=""),"",DATE(A2325,MATCH(B2325,{"enero","febrero","marzo","abril","mayo","junio","julio","agosto","septiembre","octubre","noviembre","diciembre"},0)+1,0))</f>
        <v/>
      </c>
      <c r="E2325" t="str">
        <f>+IFERROR(VLOOKUP(Fact_Cumplimiento[[#This Row], [Concepto Anterior]],Conceptos_Cumplimiento[#All],5,0),"")</f>
        <v/>
      </c>
      <c r="F2325" t="str">
        <f>+IFERROR(VLOOKUP(Fact_Cumplimiento[[#This Row], 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ht="18.75" customHeight="1" x14ac:dyDescent="0.35">
      <c r="C2326" s="100" t="str">
        <f>IF(OR(Fact_Cumplimiento[[#This Row], [Año]]="",Fact_Cumplimiento[[#This Row], [Mes]]=""),"",DATE(A2326,MATCH(B2326,{"enero","febrero","marzo","abril","mayo","junio","julio","agosto","septiembre","octubre","noviembre","diciembre"},0)+1,0))</f>
        <v/>
      </c>
      <c r="E2326" t="str">
        <f>+IFERROR(VLOOKUP(Fact_Cumplimiento[[#This Row], [Concepto Anterior]],Conceptos_Cumplimiento[#All],5,0),"")</f>
        <v/>
      </c>
      <c r="F2326" t="str">
        <f>+IFERROR(VLOOKUP(Fact_Cumplimiento[[#This Row], 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ht="18.75" customHeight="1" x14ac:dyDescent="0.35">
      <c r="C2327" s="100" t="str">
        <f>IF(OR(Fact_Cumplimiento[[#This Row], [Año]]="",Fact_Cumplimiento[[#This Row], [Mes]]=""),"",DATE(A2327,MATCH(B2327,{"enero","febrero","marzo","abril","mayo","junio","julio","agosto","septiembre","octubre","noviembre","diciembre"},0)+1,0))</f>
        <v/>
      </c>
      <c r="E2327" t="str">
        <f>+IFERROR(VLOOKUP(Fact_Cumplimiento[[#This Row], [Concepto Anterior]],Conceptos_Cumplimiento[#All],5,0),"")</f>
        <v/>
      </c>
      <c r="F2327" t="str">
        <f>+IFERROR(VLOOKUP(Fact_Cumplimiento[[#This Row], 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ht="18.75" customHeight="1" x14ac:dyDescent="0.35">
      <c r="C2328" s="100" t="str">
        <f>IF(OR(Fact_Cumplimiento[[#This Row], [Año]]="",Fact_Cumplimiento[[#This Row], [Mes]]=""),"",DATE(A2328,MATCH(B2328,{"enero","febrero","marzo","abril","mayo","junio","julio","agosto","septiembre","octubre","noviembre","diciembre"},0)+1,0))</f>
        <v/>
      </c>
      <c r="E2328" t="str">
        <f>+IFERROR(VLOOKUP(Fact_Cumplimiento[[#This Row], [Concepto Anterior]],Conceptos_Cumplimiento[#All],5,0),"")</f>
        <v/>
      </c>
      <c r="F2328" t="str">
        <f>+IFERROR(VLOOKUP(Fact_Cumplimiento[[#This Row], 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ht="18.75" customHeight="1" x14ac:dyDescent="0.35">
      <c r="C2329" s="100" t="str">
        <f>IF(OR(Fact_Cumplimiento[[#This Row], [Año]]="",Fact_Cumplimiento[[#This Row], [Mes]]=""),"",DATE(A2329,MATCH(B2329,{"enero","febrero","marzo","abril","mayo","junio","julio","agosto","septiembre","octubre","noviembre","diciembre"},0)+1,0))</f>
        <v/>
      </c>
      <c r="E2329" t="str">
        <f>+IFERROR(VLOOKUP(Fact_Cumplimiento[[#This Row], [Concepto Anterior]],Conceptos_Cumplimiento[#All],5,0),"")</f>
        <v/>
      </c>
      <c r="F2329" t="str">
        <f>+IFERROR(VLOOKUP(Fact_Cumplimiento[[#This Row], 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ht="18.75" customHeight="1" x14ac:dyDescent="0.35">
      <c r="C2330" s="100" t="str">
        <f>IF(OR(Fact_Cumplimiento[[#This Row], [Año]]="",Fact_Cumplimiento[[#This Row], [Mes]]=""),"",DATE(A2330,MATCH(B2330,{"enero","febrero","marzo","abril","mayo","junio","julio","agosto","septiembre","octubre","noviembre","diciembre"},0)+1,0))</f>
        <v/>
      </c>
      <c r="E2330" t="str">
        <f>+IFERROR(VLOOKUP(Fact_Cumplimiento[[#This Row], [Concepto Anterior]],Conceptos_Cumplimiento[#All],5,0),"")</f>
        <v/>
      </c>
      <c r="F2330" t="str">
        <f>+IFERROR(VLOOKUP(Fact_Cumplimiento[[#This Row], 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ht="18.75" customHeight="1" x14ac:dyDescent="0.35">
      <c r="C2331" s="100" t="str">
        <f>IF(OR(Fact_Cumplimiento[[#This Row], [Año]]="",Fact_Cumplimiento[[#This Row], [Mes]]=""),"",DATE(A2331,MATCH(B2331,{"enero","febrero","marzo","abril","mayo","junio","julio","agosto","septiembre","octubre","noviembre","diciembre"},0)+1,0))</f>
        <v/>
      </c>
      <c r="E2331" t="str">
        <f>+IFERROR(VLOOKUP(Fact_Cumplimiento[[#This Row], [Concepto Anterior]],Conceptos_Cumplimiento[#All],5,0),"")</f>
        <v/>
      </c>
      <c r="F2331" t="str">
        <f>+IFERROR(VLOOKUP(Fact_Cumplimiento[[#This Row], 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ht="18.75" customHeight="1" x14ac:dyDescent="0.35">
      <c r="C2332" s="100" t="str">
        <f>IF(OR(Fact_Cumplimiento[[#This Row], [Año]]="",Fact_Cumplimiento[[#This Row], [Mes]]=""),"",DATE(A2332,MATCH(B2332,{"enero","febrero","marzo","abril","mayo","junio","julio","agosto","septiembre","octubre","noviembre","diciembre"},0)+1,0))</f>
        <v/>
      </c>
      <c r="E2332" t="str">
        <f>+IFERROR(VLOOKUP(Fact_Cumplimiento[[#This Row], [Concepto Anterior]],Conceptos_Cumplimiento[#All],5,0),"")</f>
        <v/>
      </c>
      <c r="F2332" t="str">
        <f>+IFERROR(VLOOKUP(Fact_Cumplimiento[[#This Row], 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ht="18.75" customHeight="1" x14ac:dyDescent="0.35">
      <c r="C2333" s="100" t="str">
        <f>IF(OR(Fact_Cumplimiento[[#This Row], [Año]]="",Fact_Cumplimiento[[#This Row], [Mes]]=""),"",DATE(A2333,MATCH(B2333,{"enero","febrero","marzo","abril","mayo","junio","julio","agosto","septiembre","octubre","noviembre","diciembre"},0)+1,0))</f>
        <v/>
      </c>
      <c r="E2333" t="str">
        <f>+IFERROR(VLOOKUP(Fact_Cumplimiento[[#This Row], [Concepto Anterior]],Conceptos_Cumplimiento[#All],5,0),"")</f>
        <v/>
      </c>
      <c r="F2333" t="str">
        <f>+IFERROR(VLOOKUP(Fact_Cumplimiento[[#This Row], 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ht="18.75" customHeight="1" x14ac:dyDescent="0.35">
      <c r="C2334" s="100" t="str">
        <f>IF(OR(Fact_Cumplimiento[[#This Row], [Año]]="",Fact_Cumplimiento[[#This Row], [Mes]]=""),"",DATE(A2334,MATCH(B2334,{"enero","febrero","marzo","abril","mayo","junio","julio","agosto","septiembre","octubre","noviembre","diciembre"},0)+1,0))</f>
        <v/>
      </c>
      <c r="E2334" t="str">
        <f>+IFERROR(VLOOKUP(Fact_Cumplimiento[[#This Row], [Concepto Anterior]],Conceptos_Cumplimiento[#All],5,0),"")</f>
        <v/>
      </c>
      <c r="F2334" t="str">
        <f>+IFERROR(VLOOKUP(Fact_Cumplimiento[[#This Row], 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ht="18.75" customHeight="1" x14ac:dyDescent="0.35">
      <c r="C2335" s="100" t="str">
        <f>IF(OR(Fact_Cumplimiento[[#This Row], [Año]]="",Fact_Cumplimiento[[#This Row], [Mes]]=""),"",DATE(A2335,MATCH(B2335,{"enero","febrero","marzo","abril","mayo","junio","julio","agosto","septiembre","octubre","noviembre","diciembre"},0)+1,0))</f>
        <v/>
      </c>
      <c r="E2335" t="str">
        <f>+IFERROR(VLOOKUP(Fact_Cumplimiento[[#This Row], [Concepto Anterior]],Conceptos_Cumplimiento[#All],5,0),"")</f>
        <v/>
      </c>
      <c r="F2335" t="str">
        <f>+IFERROR(VLOOKUP(Fact_Cumplimiento[[#This Row], 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ht="18.75" customHeight="1" x14ac:dyDescent="0.35">
      <c r="C2336" s="100" t="str">
        <f>IF(OR(Fact_Cumplimiento[[#This Row], [Año]]="",Fact_Cumplimiento[[#This Row], [Mes]]=""),"",DATE(A2336,MATCH(B2336,{"enero","febrero","marzo","abril","mayo","junio","julio","agosto","septiembre","octubre","noviembre","diciembre"},0)+1,0))</f>
        <v/>
      </c>
      <c r="E2336" t="str">
        <f>+IFERROR(VLOOKUP(Fact_Cumplimiento[[#This Row], [Concepto Anterior]],Conceptos_Cumplimiento[#All],5,0),"")</f>
        <v/>
      </c>
      <c r="F2336" t="str">
        <f>+IFERROR(VLOOKUP(Fact_Cumplimiento[[#This Row], 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ht="18.75" customHeight="1" x14ac:dyDescent="0.35">
      <c r="C2337" s="100" t="str">
        <f>IF(OR(Fact_Cumplimiento[[#This Row], [Año]]="",Fact_Cumplimiento[[#This Row], [Mes]]=""),"",DATE(A2337,MATCH(B2337,{"enero","febrero","marzo","abril","mayo","junio","julio","agosto","septiembre","octubre","noviembre","diciembre"},0)+1,0))</f>
        <v/>
      </c>
      <c r="E2337" t="str">
        <f>+IFERROR(VLOOKUP(Fact_Cumplimiento[[#This Row], [Concepto Anterior]],Conceptos_Cumplimiento[#All],5,0),"")</f>
        <v/>
      </c>
      <c r="F2337" t="str">
        <f>+IFERROR(VLOOKUP(Fact_Cumplimiento[[#This Row], 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ht="18.75" customHeight="1" x14ac:dyDescent="0.35">
      <c r="C2338" s="100" t="str">
        <f>IF(OR(Fact_Cumplimiento[[#This Row], [Año]]="",Fact_Cumplimiento[[#This Row], [Mes]]=""),"",DATE(A2338,MATCH(B2338,{"enero","febrero","marzo","abril","mayo","junio","julio","agosto","septiembre","octubre","noviembre","diciembre"},0)+1,0))</f>
        <v/>
      </c>
      <c r="E2338" t="str">
        <f>+IFERROR(VLOOKUP(Fact_Cumplimiento[[#This Row], [Concepto Anterior]],Conceptos_Cumplimiento[#All],5,0),"")</f>
        <v/>
      </c>
      <c r="F2338" t="str">
        <f>+IFERROR(VLOOKUP(Fact_Cumplimiento[[#This Row], 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ht="18.75" customHeight="1" x14ac:dyDescent="0.35">
      <c r="C2339" s="100" t="str">
        <f>IF(OR(Fact_Cumplimiento[[#This Row], [Año]]="",Fact_Cumplimiento[[#This Row], [Mes]]=""),"",DATE(A2339,MATCH(B2339,{"enero","febrero","marzo","abril","mayo","junio","julio","agosto","septiembre","octubre","noviembre","diciembre"},0)+1,0))</f>
        <v/>
      </c>
      <c r="E2339" t="str">
        <f>+IFERROR(VLOOKUP(Fact_Cumplimiento[[#This Row], [Concepto Anterior]],Conceptos_Cumplimiento[#All],5,0),"")</f>
        <v/>
      </c>
      <c r="F2339" t="str">
        <f>+IFERROR(VLOOKUP(Fact_Cumplimiento[[#This Row], 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ht="18.75" customHeight="1" x14ac:dyDescent="0.35">
      <c r="C2340" s="100" t="str">
        <f>IF(OR(Fact_Cumplimiento[[#This Row], [Año]]="",Fact_Cumplimiento[[#This Row], [Mes]]=""),"",DATE(A2340,MATCH(B2340,{"enero","febrero","marzo","abril","mayo","junio","julio","agosto","septiembre","octubre","noviembre","diciembre"},0)+1,0))</f>
        <v/>
      </c>
      <c r="E2340" t="str">
        <f>+IFERROR(VLOOKUP(Fact_Cumplimiento[[#This Row], [Concepto Anterior]],Conceptos_Cumplimiento[#All],5,0),"")</f>
        <v/>
      </c>
      <c r="F2340" t="str">
        <f>+IFERROR(VLOOKUP(Fact_Cumplimiento[[#This Row], 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ht="18.75" customHeight="1" x14ac:dyDescent="0.35">
      <c r="C2341" s="100" t="str">
        <f>IF(OR(Fact_Cumplimiento[[#This Row], [Año]]="",Fact_Cumplimiento[[#This Row], [Mes]]=""),"",DATE(A2341,MATCH(B2341,{"enero","febrero","marzo","abril","mayo","junio","julio","agosto","septiembre","octubre","noviembre","diciembre"},0)+1,0))</f>
        <v/>
      </c>
      <c r="E2341" t="str">
        <f>+IFERROR(VLOOKUP(Fact_Cumplimiento[[#This Row], [Concepto Anterior]],Conceptos_Cumplimiento[#All],5,0),"")</f>
        <v/>
      </c>
      <c r="F2341" t="str">
        <f>+IFERROR(VLOOKUP(Fact_Cumplimiento[[#This Row], 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ht="18.75" customHeight="1" x14ac:dyDescent="0.35">
      <c r="C2342" s="100" t="str">
        <f>IF(OR(Fact_Cumplimiento[[#This Row], [Año]]="",Fact_Cumplimiento[[#This Row], [Mes]]=""),"",DATE(A2342,MATCH(B2342,{"enero","febrero","marzo","abril","mayo","junio","julio","agosto","septiembre","octubre","noviembre","diciembre"},0)+1,0))</f>
        <v/>
      </c>
      <c r="E2342" t="str">
        <f>+IFERROR(VLOOKUP(Fact_Cumplimiento[[#This Row], [Concepto Anterior]],Conceptos_Cumplimiento[#All],5,0),"")</f>
        <v/>
      </c>
      <c r="F2342" t="str">
        <f>+IFERROR(VLOOKUP(Fact_Cumplimiento[[#This Row], 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ht="18.75" customHeight="1" x14ac:dyDescent="0.35">
      <c r="C2343" s="100" t="str">
        <f>IF(OR(Fact_Cumplimiento[[#This Row], [Año]]="",Fact_Cumplimiento[[#This Row], [Mes]]=""),"",DATE(A2343,MATCH(B2343,{"enero","febrero","marzo","abril","mayo","junio","julio","agosto","septiembre","octubre","noviembre","diciembre"},0)+1,0))</f>
        <v/>
      </c>
      <c r="E2343" t="str">
        <f>+IFERROR(VLOOKUP(Fact_Cumplimiento[[#This Row], [Concepto Anterior]],Conceptos_Cumplimiento[#All],5,0),"")</f>
        <v/>
      </c>
      <c r="F2343" t="str">
        <f>+IFERROR(VLOOKUP(Fact_Cumplimiento[[#This Row], 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ht="18.75" customHeight="1" x14ac:dyDescent="0.35">
      <c r="C2344" s="100" t="str">
        <f>IF(OR(Fact_Cumplimiento[[#This Row], [Año]]="",Fact_Cumplimiento[[#This Row], [Mes]]=""),"",DATE(A2344,MATCH(B2344,{"enero","febrero","marzo","abril","mayo","junio","julio","agosto","septiembre","octubre","noviembre","diciembre"},0)+1,0))</f>
        <v/>
      </c>
      <c r="E2344" t="str">
        <f>+IFERROR(VLOOKUP(Fact_Cumplimiento[[#This Row], [Concepto Anterior]],Conceptos_Cumplimiento[#All],5,0),"")</f>
        <v/>
      </c>
      <c r="F2344" t="str">
        <f>+IFERROR(VLOOKUP(Fact_Cumplimiento[[#This Row], 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ht="18.75" customHeight="1" x14ac:dyDescent="0.35">
      <c r="C2345" s="100" t="str">
        <f>IF(OR(Fact_Cumplimiento[[#This Row], [Año]]="",Fact_Cumplimiento[[#This Row], [Mes]]=""),"",DATE(A2345,MATCH(B2345,{"enero","febrero","marzo","abril","mayo","junio","julio","agosto","septiembre","octubre","noviembre","diciembre"},0)+1,0))</f>
        <v/>
      </c>
      <c r="E2345" t="str">
        <f>+IFERROR(VLOOKUP(Fact_Cumplimiento[[#This Row], [Concepto Anterior]],Conceptos_Cumplimiento[#All],5,0),"")</f>
        <v/>
      </c>
      <c r="F2345" t="str">
        <f>+IFERROR(VLOOKUP(Fact_Cumplimiento[[#This Row], 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ht="18.75" customHeight="1" x14ac:dyDescent="0.35">
      <c r="C2346" s="100" t="str">
        <f>IF(OR(Fact_Cumplimiento[[#This Row], [Año]]="",Fact_Cumplimiento[[#This Row], [Mes]]=""),"",DATE(A2346,MATCH(B2346,{"enero","febrero","marzo","abril","mayo","junio","julio","agosto","septiembre","octubre","noviembre","diciembre"},0)+1,0))</f>
        <v/>
      </c>
      <c r="E2346" t="str">
        <f>+IFERROR(VLOOKUP(Fact_Cumplimiento[[#This Row], [Concepto Anterior]],Conceptos_Cumplimiento[#All],5,0),"")</f>
        <v/>
      </c>
      <c r="F2346" t="str">
        <f>+IFERROR(VLOOKUP(Fact_Cumplimiento[[#This Row], 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ht="18.75" customHeight="1" x14ac:dyDescent="0.35">
      <c r="C2347" s="100" t="str">
        <f>IF(OR(Fact_Cumplimiento[[#This Row], [Año]]="",Fact_Cumplimiento[[#This Row], [Mes]]=""),"",DATE(A2347,MATCH(B2347,{"enero","febrero","marzo","abril","mayo","junio","julio","agosto","septiembre","octubre","noviembre","diciembre"},0)+1,0))</f>
        <v/>
      </c>
      <c r="E2347" t="str">
        <f>+IFERROR(VLOOKUP(Fact_Cumplimiento[[#This Row], [Concepto Anterior]],Conceptos_Cumplimiento[#All],5,0),"")</f>
        <v/>
      </c>
      <c r="F2347" t="str">
        <f>+IFERROR(VLOOKUP(Fact_Cumplimiento[[#This Row], 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ht="18.75" customHeight="1" x14ac:dyDescent="0.35">
      <c r="C2348" s="100" t="str">
        <f>IF(OR(Fact_Cumplimiento[[#This Row], [Año]]="",Fact_Cumplimiento[[#This Row], [Mes]]=""),"",DATE(A2348,MATCH(B2348,{"enero","febrero","marzo","abril","mayo","junio","julio","agosto","septiembre","octubre","noviembre","diciembre"},0)+1,0))</f>
        <v/>
      </c>
      <c r="E2348" t="str">
        <f>+IFERROR(VLOOKUP(Fact_Cumplimiento[[#This Row], [Concepto Anterior]],Conceptos_Cumplimiento[#All],5,0),"")</f>
        <v/>
      </c>
      <c r="F2348" t="str">
        <f>+IFERROR(VLOOKUP(Fact_Cumplimiento[[#This Row], 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ht="18.75" customHeight="1" x14ac:dyDescent="0.35">
      <c r="C2349" s="100" t="str">
        <f>IF(OR(Fact_Cumplimiento[[#This Row], [Año]]="",Fact_Cumplimiento[[#This Row], [Mes]]=""),"",DATE(A2349,MATCH(B2349,{"enero","febrero","marzo","abril","mayo","junio","julio","agosto","septiembre","octubre","noviembre","diciembre"},0)+1,0))</f>
        <v/>
      </c>
      <c r="E2349" t="str">
        <f>+IFERROR(VLOOKUP(Fact_Cumplimiento[[#This Row], [Concepto Anterior]],Conceptos_Cumplimiento[#All],5,0),"")</f>
        <v/>
      </c>
      <c r="F2349" t="str">
        <f>+IFERROR(VLOOKUP(Fact_Cumplimiento[[#This Row], 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ht="18.75" customHeight="1" x14ac:dyDescent="0.35">
      <c r="C2350" s="100" t="str">
        <f>IF(OR(Fact_Cumplimiento[[#This Row], [Año]]="",Fact_Cumplimiento[[#This Row], [Mes]]=""),"",DATE(A2350,MATCH(B2350,{"enero","febrero","marzo","abril","mayo","junio","julio","agosto","septiembre","octubre","noviembre","diciembre"},0)+1,0))</f>
        <v/>
      </c>
      <c r="E2350" t="str">
        <f>+IFERROR(VLOOKUP(Fact_Cumplimiento[[#This Row], [Concepto Anterior]],Conceptos_Cumplimiento[#All],5,0),"")</f>
        <v/>
      </c>
      <c r="F2350" t="str">
        <f>+IFERROR(VLOOKUP(Fact_Cumplimiento[[#This Row], 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ht="18.75" customHeight="1" x14ac:dyDescent="0.35">
      <c r="C2351" s="100" t="str">
        <f>IF(OR(Fact_Cumplimiento[[#This Row], [Año]]="",Fact_Cumplimiento[[#This Row], [Mes]]=""),"",DATE(A2351,MATCH(B2351,{"enero","febrero","marzo","abril","mayo","junio","julio","agosto","septiembre","octubre","noviembre","diciembre"},0)+1,0))</f>
        <v/>
      </c>
      <c r="E2351" t="str">
        <f>+IFERROR(VLOOKUP(Fact_Cumplimiento[[#This Row], [Concepto Anterior]],Conceptos_Cumplimiento[#All],5,0),"")</f>
        <v/>
      </c>
      <c r="F2351" t="str">
        <f>+IFERROR(VLOOKUP(Fact_Cumplimiento[[#This Row], 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ht="18.75" customHeight="1" x14ac:dyDescent="0.35">
      <c r="C2352" s="100" t="str">
        <f>IF(OR(Fact_Cumplimiento[[#This Row], [Año]]="",Fact_Cumplimiento[[#This Row], [Mes]]=""),"",DATE(A2352,MATCH(B2352,{"enero","febrero","marzo","abril","mayo","junio","julio","agosto","septiembre","octubre","noviembre","diciembre"},0)+1,0))</f>
        <v/>
      </c>
      <c r="E2352" t="str">
        <f>+IFERROR(VLOOKUP(Fact_Cumplimiento[[#This Row], [Concepto Anterior]],Conceptos_Cumplimiento[#All],5,0),"")</f>
        <v/>
      </c>
      <c r="F2352" t="str">
        <f>+IFERROR(VLOOKUP(Fact_Cumplimiento[[#This Row], 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ht="18.75" customHeight="1" x14ac:dyDescent="0.35">
      <c r="C2353" s="100" t="str">
        <f>IF(OR(Fact_Cumplimiento[[#This Row], [Año]]="",Fact_Cumplimiento[[#This Row], [Mes]]=""),"",DATE(A2353,MATCH(B2353,{"enero","febrero","marzo","abril","mayo","junio","julio","agosto","septiembre","octubre","noviembre","diciembre"},0)+1,0))</f>
        <v/>
      </c>
      <c r="E2353" t="str">
        <f>+IFERROR(VLOOKUP(Fact_Cumplimiento[[#This Row], [Concepto Anterior]],Conceptos_Cumplimiento[#All],5,0),"")</f>
        <v/>
      </c>
      <c r="F2353" t="str">
        <f>+IFERROR(VLOOKUP(Fact_Cumplimiento[[#This Row], 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ht="18.75" customHeight="1" x14ac:dyDescent="0.35">
      <c r="C2354" s="100" t="str">
        <f>IF(OR(Fact_Cumplimiento[[#This Row], [Año]]="",Fact_Cumplimiento[[#This Row], [Mes]]=""),"",DATE(A2354,MATCH(B2354,{"enero","febrero","marzo","abril","mayo","junio","julio","agosto","septiembre","octubre","noviembre","diciembre"},0)+1,0))</f>
        <v/>
      </c>
      <c r="E2354" t="str">
        <f>+IFERROR(VLOOKUP(Fact_Cumplimiento[[#This Row], [Concepto Anterior]],Conceptos_Cumplimiento[#All],5,0),"")</f>
        <v/>
      </c>
      <c r="F2354" t="str">
        <f>+IFERROR(VLOOKUP(Fact_Cumplimiento[[#This Row], 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ht="18.75" customHeight="1" x14ac:dyDescent="0.35">
      <c r="C2355" s="100" t="str">
        <f>IF(OR(Fact_Cumplimiento[[#This Row], [Año]]="",Fact_Cumplimiento[[#This Row], [Mes]]=""),"",DATE(A2355,MATCH(B2355,{"enero","febrero","marzo","abril","mayo","junio","julio","agosto","septiembre","octubre","noviembre","diciembre"},0)+1,0))</f>
        <v/>
      </c>
      <c r="E2355" t="str">
        <f>+IFERROR(VLOOKUP(Fact_Cumplimiento[[#This Row], [Concepto Anterior]],Conceptos_Cumplimiento[#All],5,0),"")</f>
        <v/>
      </c>
      <c r="F2355" t="str">
        <f>+IFERROR(VLOOKUP(Fact_Cumplimiento[[#This Row], 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ht="18.75" customHeight="1" x14ac:dyDescent="0.35">
      <c r="C2356" s="100" t="str">
        <f>IF(OR(Fact_Cumplimiento[[#This Row], [Año]]="",Fact_Cumplimiento[[#This Row], [Mes]]=""),"",DATE(A2356,MATCH(B2356,{"enero","febrero","marzo","abril","mayo","junio","julio","agosto","septiembre","octubre","noviembre","diciembre"},0)+1,0))</f>
        <v/>
      </c>
      <c r="E2356" t="str">
        <f>+IFERROR(VLOOKUP(Fact_Cumplimiento[[#This Row], [Concepto Anterior]],Conceptos_Cumplimiento[#All],5,0),"")</f>
        <v/>
      </c>
      <c r="F2356" t="str">
        <f>+IFERROR(VLOOKUP(Fact_Cumplimiento[[#This Row], 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ht="18.75" customHeight="1" x14ac:dyDescent="0.35">
      <c r="C2357" s="100" t="str">
        <f>IF(OR(Fact_Cumplimiento[[#This Row], [Año]]="",Fact_Cumplimiento[[#This Row], [Mes]]=""),"",DATE(A2357,MATCH(B2357,{"enero","febrero","marzo","abril","mayo","junio","julio","agosto","septiembre","octubre","noviembre","diciembre"},0)+1,0))</f>
        <v/>
      </c>
      <c r="E2357" t="str">
        <f>+IFERROR(VLOOKUP(Fact_Cumplimiento[[#This Row], [Concepto Anterior]],Conceptos_Cumplimiento[#All],5,0),"")</f>
        <v/>
      </c>
      <c r="F2357" t="str">
        <f>+IFERROR(VLOOKUP(Fact_Cumplimiento[[#This Row], 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ht="18.75" customHeight="1" x14ac:dyDescent="0.35">
      <c r="C2358" s="100" t="str">
        <f>IF(OR(Fact_Cumplimiento[[#This Row], [Año]]="",Fact_Cumplimiento[[#This Row], [Mes]]=""),"",DATE(A2358,MATCH(B2358,{"enero","febrero","marzo","abril","mayo","junio","julio","agosto","septiembre","octubre","noviembre","diciembre"},0)+1,0))</f>
        <v/>
      </c>
      <c r="E2358" t="str">
        <f>+IFERROR(VLOOKUP(Fact_Cumplimiento[[#This Row], [Concepto Anterior]],Conceptos_Cumplimiento[#All],5,0),"")</f>
        <v/>
      </c>
      <c r="F2358" t="str">
        <f>+IFERROR(VLOOKUP(Fact_Cumplimiento[[#This Row], 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ht="18.75" customHeight="1" x14ac:dyDescent="0.35">
      <c r="C2359" s="100" t="str">
        <f>IF(OR(Fact_Cumplimiento[[#This Row], [Año]]="",Fact_Cumplimiento[[#This Row], [Mes]]=""),"",DATE(A2359,MATCH(B2359,{"enero","febrero","marzo","abril","mayo","junio","julio","agosto","septiembre","octubre","noviembre","diciembre"},0)+1,0))</f>
        <v/>
      </c>
      <c r="E2359" t="str">
        <f>+IFERROR(VLOOKUP(Fact_Cumplimiento[[#This Row], [Concepto Anterior]],Conceptos_Cumplimiento[#All],5,0),"")</f>
        <v/>
      </c>
      <c r="F2359" t="str">
        <f>+IFERROR(VLOOKUP(Fact_Cumplimiento[[#This Row], 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ht="18.75" customHeight="1" x14ac:dyDescent="0.35">
      <c r="C2360" s="100" t="str">
        <f>IF(OR(Fact_Cumplimiento[[#This Row], [Año]]="",Fact_Cumplimiento[[#This Row], [Mes]]=""),"",DATE(A2360,MATCH(B2360,{"enero","febrero","marzo","abril","mayo","junio","julio","agosto","septiembre","octubre","noviembre","diciembre"},0)+1,0))</f>
        <v/>
      </c>
      <c r="E2360" t="str">
        <f>+IFERROR(VLOOKUP(Fact_Cumplimiento[[#This Row], [Concepto Anterior]],Conceptos_Cumplimiento[#All],5,0),"")</f>
        <v/>
      </c>
      <c r="F2360" t="str">
        <f>+IFERROR(VLOOKUP(Fact_Cumplimiento[[#This Row], 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ht="18.75" customHeight="1" x14ac:dyDescent="0.35">
      <c r="C2361" s="100" t="str">
        <f>IF(OR(Fact_Cumplimiento[[#This Row], [Año]]="",Fact_Cumplimiento[[#This Row], [Mes]]=""),"",DATE(A2361,MATCH(B2361,{"enero","febrero","marzo","abril","mayo","junio","julio","agosto","septiembre","octubre","noviembre","diciembre"},0)+1,0))</f>
        <v/>
      </c>
      <c r="E2361" t="str">
        <f>+IFERROR(VLOOKUP(Fact_Cumplimiento[[#This Row], [Concepto Anterior]],Conceptos_Cumplimiento[#All],5,0),"")</f>
        <v/>
      </c>
      <c r="F2361" t="str">
        <f>+IFERROR(VLOOKUP(Fact_Cumplimiento[[#This Row], 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ht="18.75" customHeight="1" x14ac:dyDescent="0.35">
      <c r="C2362" s="100" t="str">
        <f>IF(OR(Fact_Cumplimiento[[#This Row], [Año]]="",Fact_Cumplimiento[[#This Row], [Mes]]=""),"",DATE(A2362,MATCH(B2362,{"enero","febrero","marzo","abril","mayo","junio","julio","agosto","septiembre","octubre","noviembre","diciembre"},0)+1,0))</f>
        <v/>
      </c>
      <c r="E2362" t="str">
        <f>+IFERROR(VLOOKUP(Fact_Cumplimiento[[#This Row], [Concepto Anterior]],Conceptos_Cumplimiento[#All],5,0),"")</f>
        <v/>
      </c>
      <c r="F2362" t="str">
        <f>+IFERROR(VLOOKUP(Fact_Cumplimiento[[#This Row], 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ht="18.75" customHeight="1" x14ac:dyDescent="0.35">
      <c r="C2363" s="100" t="str">
        <f>IF(OR(Fact_Cumplimiento[[#This Row], [Año]]="",Fact_Cumplimiento[[#This Row], [Mes]]=""),"",DATE(A2363,MATCH(B2363,{"enero","febrero","marzo","abril","mayo","junio","julio","agosto","septiembre","octubre","noviembre","diciembre"},0)+1,0))</f>
        <v/>
      </c>
      <c r="E2363" t="str">
        <f>+IFERROR(VLOOKUP(Fact_Cumplimiento[[#This Row], [Concepto Anterior]],Conceptos_Cumplimiento[#All],5,0),"")</f>
        <v/>
      </c>
      <c r="F2363" t="str">
        <f>+IFERROR(VLOOKUP(Fact_Cumplimiento[[#This Row], 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ht="18.75" customHeight="1" x14ac:dyDescent="0.35">
      <c r="C2364" s="100" t="str">
        <f>IF(OR(Fact_Cumplimiento[[#This Row], [Año]]="",Fact_Cumplimiento[[#This Row], [Mes]]=""),"",DATE(A2364,MATCH(B2364,{"enero","febrero","marzo","abril","mayo","junio","julio","agosto","septiembre","octubre","noviembre","diciembre"},0)+1,0))</f>
        <v/>
      </c>
      <c r="E2364" t="str">
        <f>+IFERROR(VLOOKUP(Fact_Cumplimiento[[#This Row], [Concepto Anterior]],Conceptos_Cumplimiento[#All],5,0),"")</f>
        <v/>
      </c>
      <c r="F2364" t="str">
        <f>+IFERROR(VLOOKUP(Fact_Cumplimiento[[#This Row], 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ht="18.75" customHeight="1" x14ac:dyDescent="0.35">
      <c r="C2365" s="100" t="str">
        <f>IF(OR(Fact_Cumplimiento[[#This Row], [Año]]="",Fact_Cumplimiento[[#This Row], [Mes]]=""),"",DATE(A2365,MATCH(B2365,{"enero","febrero","marzo","abril","mayo","junio","julio","agosto","septiembre","octubre","noviembre","diciembre"},0)+1,0))</f>
        <v/>
      </c>
      <c r="E2365" t="str">
        <f>+IFERROR(VLOOKUP(Fact_Cumplimiento[[#This Row], [Concepto Anterior]],Conceptos_Cumplimiento[#All],5,0),"")</f>
        <v/>
      </c>
      <c r="F2365" t="str">
        <f>+IFERROR(VLOOKUP(Fact_Cumplimiento[[#This Row], 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ht="18.75" customHeight="1" x14ac:dyDescent="0.35">
      <c r="C2366" s="100" t="str">
        <f>IF(OR(Fact_Cumplimiento[[#This Row], [Año]]="",Fact_Cumplimiento[[#This Row], [Mes]]=""),"",DATE(A2366,MATCH(B2366,{"enero","febrero","marzo","abril","mayo","junio","julio","agosto","septiembre","octubre","noviembre","diciembre"},0)+1,0))</f>
        <v/>
      </c>
      <c r="E2366" t="str">
        <f>+IFERROR(VLOOKUP(Fact_Cumplimiento[[#This Row], [Concepto Anterior]],Conceptos_Cumplimiento[#All],5,0),"")</f>
        <v/>
      </c>
      <c r="F2366" t="str">
        <f>+IFERROR(VLOOKUP(Fact_Cumplimiento[[#This Row], 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ht="18.75" customHeight="1" x14ac:dyDescent="0.35">
      <c r="C2367" s="100" t="str">
        <f>IF(OR(Fact_Cumplimiento[[#This Row], [Año]]="",Fact_Cumplimiento[[#This Row], [Mes]]=""),"",DATE(A2367,MATCH(B2367,{"enero","febrero","marzo","abril","mayo","junio","julio","agosto","septiembre","octubre","noviembre","diciembre"},0)+1,0))</f>
        <v/>
      </c>
      <c r="E2367" t="str">
        <f>+IFERROR(VLOOKUP(Fact_Cumplimiento[[#This Row], [Concepto Anterior]],Conceptos_Cumplimiento[#All],5,0),"")</f>
        <v/>
      </c>
      <c r="F2367" t="str">
        <f>+IFERROR(VLOOKUP(Fact_Cumplimiento[[#This Row], 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ht="18.75" customHeight="1" x14ac:dyDescent="0.35">
      <c r="C2368" s="100" t="str">
        <f>IF(OR(Fact_Cumplimiento[[#This Row], [Año]]="",Fact_Cumplimiento[[#This Row], [Mes]]=""),"",DATE(A2368,MATCH(B2368,{"enero","febrero","marzo","abril","mayo","junio","julio","agosto","septiembre","octubre","noviembre","diciembre"},0)+1,0))</f>
        <v/>
      </c>
      <c r="E2368" t="str">
        <f>+IFERROR(VLOOKUP(Fact_Cumplimiento[[#This Row], [Concepto Anterior]],Conceptos_Cumplimiento[#All],5,0),"")</f>
        <v/>
      </c>
      <c r="F2368" t="str">
        <f>+IFERROR(VLOOKUP(Fact_Cumplimiento[[#This Row], 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ht="18.75" customHeight="1" x14ac:dyDescent="0.35">
      <c r="C2369" s="100" t="str">
        <f>IF(OR(Fact_Cumplimiento[[#This Row], [Año]]="",Fact_Cumplimiento[[#This Row], [Mes]]=""),"",DATE(A2369,MATCH(B2369,{"enero","febrero","marzo","abril","mayo","junio","julio","agosto","septiembre","octubre","noviembre","diciembre"},0)+1,0))</f>
        <v/>
      </c>
      <c r="E2369" t="str">
        <f>+IFERROR(VLOOKUP(Fact_Cumplimiento[[#This Row], [Concepto Anterior]],Conceptos_Cumplimiento[#All],5,0),"")</f>
        <v/>
      </c>
      <c r="F2369" t="str">
        <f>+IFERROR(VLOOKUP(Fact_Cumplimiento[[#This Row], 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ht="18.75" customHeight="1" x14ac:dyDescent="0.35">
      <c r="C2370" s="100" t="str">
        <f>IF(OR(Fact_Cumplimiento[[#This Row], [Año]]="",Fact_Cumplimiento[[#This Row], [Mes]]=""),"",DATE(A2370,MATCH(B2370,{"enero","febrero","marzo","abril","mayo","junio","julio","agosto","septiembre","octubre","noviembre","diciembre"},0)+1,0))</f>
        <v/>
      </c>
      <c r="E2370" t="str">
        <f>+IFERROR(VLOOKUP(Fact_Cumplimiento[[#This Row], [Concepto Anterior]],Conceptos_Cumplimiento[#All],5,0),"")</f>
        <v/>
      </c>
      <c r="F2370" t="str">
        <f>+IFERROR(VLOOKUP(Fact_Cumplimiento[[#This Row], 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ht="18.75" customHeight="1" x14ac:dyDescent="0.35">
      <c r="C2371" s="100" t="str">
        <f>IF(OR(Fact_Cumplimiento[[#This Row], [Año]]="",Fact_Cumplimiento[[#This Row], [Mes]]=""),"",DATE(A2371,MATCH(B2371,{"enero","febrero","marzo","abril","mayo","junio","julio","agosto","septiembre","octubre","noviembre","diciembre"},0)+1,0))</f>
        <v/>
      </c>
      <c r="E2371" t="str">
        <f>+IFERROR(VLOOKUP(Fact_Cumplimiento[[#This Row], [Concepto Anterior]],Conceptos_Cumplimiento[#All],5,0),"")</f>
        <v/>
      </c>
      <c r="F2371" t="str">
        <f>+IFERROR(VLOOKUP(Fact_Cumplimiento[[#This Row], 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ht="18.75" customHeight="1" x14ac:dyDescent="0.35">
      <c r="C2372" s="100" t="str">
        <f>IF(OR(Fact_Cumplimiento[[#This Row], [Año]]="",Fact_Cumplimiento[[#This Row], [Mes]]=""),"",DATE(A2372,MATCH(B2372,{"enero","febrero","marzo","abril","mayo","junio","julio","agosto","septiembre","octubre","noviembre","diciembre"},0)+1,0))</f>
        <v/>
      </c>
      <c r="E2372" t="str">
        <f>+IFERROR(VLOOKUP(Fact_Cumplimiento[[#This Row], [Concepto Anterior]],Conceptos_Cumplimiento[#All],5,0),"")</f>
        <v/>
      </c>
      <c r="F2372" t="str">
        <f>+IFERROR(VLOOKUP(Fact_Cumplimiento[[#This Row], 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ht="18.75" customHeight="1" x14ac:dyDescent="0.35">
      <c r="C2373" s="100" t="str">
        <f>IF(OR(Fact_Cumplimiento[[#This Row], [Año]]="",Fact_Cumplimiento[[#This Row], [Mes]]=""),"",DATE(A2373,MATCH(B2373,{"enero","febrero","marzo","abril","mayo","junio","julio","agosto","septiembre","octubre","noviembre","diciembre"},0)+1,0))</f>
        <v/>
      </c>
      <c r="E2373" t="str">
        <f>+IFERROR(VLOOKUP(Fact_Cumplimiento[[#This Row], [Concepto Anterior]],Conceptos_Cumplimiento[#All],5,0),"")</f>
        <v/>
      </c>
      <c r="F2373" t="str">
        <f>+IFERROR(VLOOKUP(Fact_Cumplimiento[[#This Row], 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ht="18.75" customHeight="1" x14ac:dyDescent="0.35">
      <c r="C2374" s="100" t="str">
        <f>IF(OR(Fact_Cumplimiento[[#This Row], [Año]]="",Fact_Cumplimiento[[#This Row], [Mes]]=""),"",DATE(A2374,MATCH(B2374,{"enero","febrero","marzo","abril","mayo","junio","julio","agosto","septiembre","octubre","noviembre","diciembre"},0)+1,0))</f>
        <v/>
      </c>
      <c r="E2374" t="str">
        <f>+IFERROR(VLOOKUP(Fact_Cumplimiento[[#This Row], [Concepto Anterior]],Conceptos_Cumplimiento[#All],5,0),"")</f>
        <v/>
      </c>
      <c r="F2374" t="str">
        <f>+IFERROR(VLOOKUP(Fact_Cumplimiento[[#This Row], 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ht="18.75" customHeight="1" x14ac:dyDescent="0.35">
      <c r="C2375" s="100" t="str">
        <f>IF(OR(Fact_Cumplimiento[[#This Row], [Año]]="",Fact_Cumplimiento[[#This Row], [Mes]]=""),"",DATE(A2375,MATCH(B2375,{"enero","febrero","marzo","abril","mayo","junio","julio","agosto","septiembre","octubre","noviembre","diciembre"},0)+1,0))</f>
        <v/>
      </c>
      <c r="E2375" t="str">
        <f>+IFERROR(VLOOKUP(Fact_Cumplimiento[[#This Row], [Concepto Anterior]],Conceptos_Cumplimiento[#All],5,0),"")</f>
        <v/>
      </c>
      <c r="F2375" t="str">
        <f>+IFERROR(VLOOKUP(Fact_Cumplimiento[[#This Row], 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ht="18.75" customHeight="1" x14ac:dyDescent="0.35">
      <c r="C2376" s="100" t="str">
        <f>IF(OR(Fact_Cumplimiento[[#This Row], [Año]]="",Fact_Cumplimiento[[#This Row], [Mes]]=""),"",DATE(A2376,MATCH(B2376,{"enero","febrero","marzo","abril","mayo","junio","julio","agosto","septiembre","octubre","noviembre","diciembre"},0)+1,0))</f>
        <v/>
      </c>
      <c r="E2376" t="str">
        <f>+IFERROR(VLOOKUP(Fact_Cumplimiento[[#This Row], [Concepto Anterior]],Conceptos_Cumplimiento[#All],5,0),"")</f>
        <v/>
      </c>
      <c r="F2376" t="str">
        <f>+IFERROR(VLOOKUP(Fact_Cumplimiento[[#This Row], 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ht="18.75" customHeight="1" x14ac:dyDescent="0.35">
      <c r="C2377" s="100" t="str">
        <f>IF(OR(Fact_Cumplimiento[[#This Row], [Año]]="",Fact_Cumplimiento[[#This Row], [Mes]]=""),"",DATE(A2377,MATCH(B2377,{"enero","febrero","marzo","abril","mayo","junio","julio","agosto","septiembre","octubre","noviembre","diciembre"},0)+1,0))</f>
        <v/>
      </c>
      <c r="E2377" t="str">
        <f>+IFERROR(VLOOKUP(Fact_Cumplimiento[[#This Row], [Concepto Anterior]],Conceptos_Cumplimiento[#All],5,0),"")</f>
        <v/>
      </c>
      <c r="F2377" t="str">
        <f>+IFERROR(VLOOKUP(Fact_Cumplimiento[[#This Row], 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ht="18.75" customHeight="1" x14ac:dyDescent="0.35">
      <c r="C2378" s="100" t="str">
        <f>IF(OR(Fact_Cumplimiento[[#This Row], [Año]]="",Fact_Cumplimiento[[#This Row], [Mes]]=""),"",DATE(A2378,MATCH(B2378,{"enero","febrero","marzo","abril","mayo","junio","julio","agosto","septiembre","octubre","noviembre","diciembre"},0)+1,0))</f>
        <v/>
      </c>
      <c r="E2378" t="str">
        <f>+IFERROR(VLOOKUP(Fact_Cumplimiento[[#This Row], [Concepto Anterior]],Conceptos_Cumplimiento[#All],5,0),"")</f>
        <v/>
      </c>
      <c r="F2378" t="str">
        <f>+IFERROR(VLOOKUP(Fact_Cumplimiento[[#This Row], 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ht="18.75" customHeight="1" x14ac:dyDescent="0.35">
      <c r="C2379" s="100" t="str">
        <f>IF(OR(Fact_Cumplimiento[[#This Row], [Año]]="",Fact_Cumplimiento[[#This Row], [Mes]]=""),"",DATE(A2379,MATCH(B2379,{"enero","febrero","marzo","abril","mayo","junio","julio","agosto","septiembre","octubre","noviembre","diciembre"},0)+1,0))</f>
        <v/>
      </c>
      <c r="E2379" t="str">
        <f>+IFERROR(VLOOKUP(Fact_Cumplimiento[[#This Row], [Concepto Anterior]],Conceptos_Cumplimiento[#All],5,0),"")</f>
        <v/>
      </c>
      <c r="F2379" t="str">
        <f>+IFERROR(VLOOKUP(Fact_Cumplimiento[[#This Row], 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ht="18.75" customHeight="1" x14ac:dyDescent="0.35">
      <c r="C2380" s="100" t="str">
        <f>IF(OR(Fact_Cumplimiento[[#This Row], [Año]]="",Fact_Cumplimiento[[#This Row], [Mes]]=""),"",DATE(A2380,MATCH(B2380,{"enero","febrero","marzo","abril","mayo","junio","julio","agosto","septiembre","octubre","noviembre","diciembre"},0)+1,0))</f>
        <v/>
      </c>
      <c r="E2380" t="str">
        <f>+IFERROR(VLOOKUP(Fact_Cumplimiento[[#This Row], [Concepto Anterior]],Conceptos_Cumplimiento[#All],5,0),"")</f>
        <v/>
      </c>
      <c r="F2380" t="str">
        <f>+IFERROR(VLOOKUP(Fact_Cumplimiento[[#This Row], 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ht="18.75" customHeight="1" x14ac:dyDescent="0.35">
      <c r="C2381" s="100" t="str">
        <f>IF(OR(Fact_Cumplimiento[[#This Row], [Año]]="",Fact_Cumplimiento[[#This Row], [Mes]]=""),"",DATE(A2381,MATCH(B2381,{"enero","febrero","marzo","abril","mayo","junio","julio","agosto","septiembre","octubre","noviembre","diciembre"},0)+1,0))</f>
        <v/>
      </c>
      <c r="E2381" t="str">
        <f>+IFERROR(VLOOKUP(Fact_Cumplimiento[[#This Row], [Concepto Anterior]],Conceptos_Cumplimiento[#All],5,0),"")</f>
        <v/>
      </c>
      <c r="F2381" t="str">
        <f>+IFERROR(VLOOKUP(Fact_Cumplimiento[[#This Row], 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ht="18.75" customHeight="1" x14ac:dyDescent="0.35">
      <c r="C2382" s="100" t="str">
        <f>IF(OR(Fact_Cumplimiento[[#This Row], [Año]]="",Fact_Cumplimiento[[#This Row], [Mes]]=""),"",DATE(A2382,MATCH(B2382,{"enero","febrero","marzo","abril","mayo","junio","julio","agosto","septiembre","octubre","noviembre","diciembre"},0)+1,0))</f>
        <v/>
      </c>
      <c r="E2382" t="str">
        <f>+IFERROR(VLOOKUP(Fact_Cumplimiento[[#This Row], [Concepto Anterior]],Conceptos_Cumplimiento[#All],5,0),"")</f>
        <v/>
      </c>
      <c r="F2382" t="str">
        <f>+IFERROR(VLOOKUP(Fact_Cumplimiento[[#This Row], 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ht="18.75" customHeight="1" x14ac:dyDescent="0.35">
      <c r="C2383" s="100" t="str">
        <f>IF(OR(Fact_Cumplimiento[[#This Row], [Año]]="",Fact_Cumplimiento[[#This Row], [Mes]]=""),"",DATE(A2383,MATCH(B2383,{"enero","febrero","marzo","abril","mayo","junio","julio","agosto","septiembre","octubre","noviembre","diciembre"},0)+1,0))</f>
        <v/>
      </c>
      <c r="E2383" t="str">
        <f>+IFERROR(VLOOKUP(Fact_Cumplimiento[[#This Row], [Concepto Anterior]],Conceptos_Cumplimiento[#All],5,0),"")</f>
        <v/>
      </c>
      <c r="F2383" t="str">
        <f>+IFERROR(VLOOKUP(Fact_Cumplimiento[[#This Row], 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ht="18.75" customHeight="1" x14ac:dyDescent="0.35">
      <c r="C2384" s="100" t="str">
        <f>IF(OR(Fact_Cumplimiento[[#This Row], [Año]]="",Fact_Cumplimiento[[#This Row], [Mes]]=""),"",DATE(A2384,MATCH(B2384,{"enero","febrero","marzo","abril","mayo","junio","julio","agosto","septiembre","octubre","noviembre","diciembre"},0)+1,0))</f>
        <v/>
      </c>
      <c r="E2384" t="str">
        <f>+IFERROR(VLOOKUP(Fact_Cumplimiento[[#This Row], [Concepto Anterior]],Conceptos_Cumplimiento[#All],5,0),"")</f>
        <v/>
      </c>
      <c r="F2384" t="str">
        <f>+IFERROR(VLOOKUP(Fact_Cumplimiento[[#This Row], 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ht="18.75" customHeight="1" x14ac:dyDescent="0.35">
      <c r="C2385" s="100" t="str">
        <f>IF(OR(Fact_Cumplimiento[[#This Row], [Año]]="",Fact_Cumplimiento[[#This Row], [Mes]]=""),"",DATE(A2385,MATCH(B2385,{"enero","febrero","marzo","abril","mayo","junio","julio","agosto","septiembre","octubre","noviembre","diciembre"},0)+1,0))</f>
        <v/>
      </c>
      <c r="E2385" t="str">
        <f>+IFERROR(VLOOKUP(Fact_Cumplimiento[[#This Row], [Concepto Anterior]],Conceptos_Cumplimiento[#All],5,0),"")</f>
        <v/>
      </c>
      <c r="F2385" t="str">
        <f>+IFERROR(VLOOKUP(Fact_Cumplimiento[[#This Row], 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ht="18.75" customHeight="1" x14ac:dyDescent="0.35">
      <c r="C2386" s="100" t="str">
        <f>IF(OR(Fact_Cumplimiento[[#This Row], [Año]]="",Fact_Cumplimiento[[#This Row], [Mes]]=""),"",DATE(A2386,MATCH(B2386,{"enero","febrero","marzo","abril","mayo","junio","julio","agosto","septiembre","octubre","noviembre","diciembre"},0)+1,0))</f>
        <v/>
      </c>
      <c r="E2386" t="str">
        <f>+IFERROR(VLOOKUP(Fact_Cumplimiento[[#This Row], [Concepto Anterior]],Conceptos_Cumplimiento[#All],5,0),"")</f>
        <v/>
      </c>
      <c r="F2386" t="str">
        <f>+IFERROR(VLOOKUP(Fact_Cumplimiento[[#This Row], 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ht="18.75" customHeight="1" x14ac:dyDescent="0.35">
      <c r="C2387" s="100" t="str">
        <f>IF(OR(Fact_Cumplimiento[[#This Row], [Año]]="",Fact_Cumplimiento[[#This Row], [Mes]]=""),"",DATE(A2387,MATCH(B2387,{"enero","febrero","marzo","abril","mayo","junio","julio","agosto","septiembre","octubre","noviembre","diciembre"},0)+1,0))</f>
        <v/>
      </c>
      <c r="E2387" t="str">
        <f>+IFERROR(VLOOKUP(Fact_Cumplimiento[[#This Row], [Concepto Anterior]],Conceptos_Cumplimiento[#All],5,0),"")</f>
        <v/>
      </c>
      <c r="F2387" t="str">
        <f>+IFERROR(VLOOKUP(Fact_Cumplimiento[[#This Row], 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ht="18.75" customHeight="1" x14ac:dyDescent="0.35">
      <c r="C2388" s="100" t="str">
        <f>IF(OR(Fact_Cumplimiento[[#This Row], [Año]]="",Fact_Cumplimiento[[#This Row], [Mes]]=""),"",DATE(A2388,MATCH(B2388,{"enero","febrero","marzo","abril","mayo","junio","julio","agosto","septiembre","octubre","noviembre","diciembre"},0)+1,0))</f>
        <v/>
      </c>
      <c r="E2388" t="str">
        <f>+IFERROR(VLOOKUP(Fact_Cumplimiento[[#This Row], [Concepto Anterior]],Conceptos_Cumplimiento[#All],5,0),"")</f>
        <v/>
      </c>
      <c r="F2388" t="str">
        <f>+IFERROR(VLOOKUP(Fact_Cumplimiento[[#This Row], 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ht="18.75" customHeight="1" x14ac:dyDescent="0.35">
      <c r="C2389" s="100" t="str">
        <f>IF(OR(Fact_Cumplimiento[[#This Row], [Año]]="",Fact_Cumplimiento[[#This Row], [Mes]]=""),"",DATE(A2389,MATCH(B2389,{"enero","febrero","marzo","abril","mayo","junio","julio","agosto","septiembre","octubre","noviembre","diciembre"},0)+1,0))</f>
        <v/>
      </c>
      <c r="E2389" t="str">
        <f>+IFERROR(VLOOKUP(Fact_Cumplimiento[[#This Row], [Concepto Anterior]],Conceptos_Cumplimiento[#All],5,0),"")</f>
        <v/>
      </c>
      <c r="F2389" t="str">
        <f>+IFERROR(VLOOKUP(Fact_Cumplimiento[[#This Row], 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ht="18.75" customHeight="1" x14ac:dyDescent="0.35">
      <c r="C2390" s="100" t="str">
        <f>IF(OR(Fact_Cumplimiento[[#This Row], [Año]]="",Fact_Cumplimiento[[#This Row], [Mes]]=""),"",DATE(A2390,MATCH(B2390,{"enero","febrero","marzo","abril","mayo","junio","julio","agosto","septiembre","octubre","noviembre","diciembre"},0)+1,0))</f>
        <v/>
      </c>
      <c r="E2390" t="str">
        <f>+IFERROR(VLOOKUP(Fact_Cumplimiento[[#This Row], [Concepto Anterior]],Conceptos_Cumplimiento[#All],5,0),"")</f>
        <v/>
      </c>
      <c r="F2390" t="str">
        <f>+IFERROR(VLOOKUP(Fact_Cumplimiento[[#This Row], 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ht="18.75" customHeight="1" x14ac:dyDescent="0.35">
      <c r="C2391" s="100" t="str">
        <f>IF(OR(Fact_Cumplimiento[[#This Row], [Año]]="",Fact_Cumplimiento[[#This Row], [Mes]]=""),"",DATE(A2391,MATCH(B2391,{"enero","febrero","marzo","abril","mayo","junio","julio","agosto","septiembre","octubre","noviembre","diciembre"},0)+1,0))</f>
        <v/>
      </c>
      <c r="E2391" t="str">
        <f>+IFERROR(VLOOKUP(Fact_Cumplimiento[[#This Row], [Concepto Anterior]],Conceptos_Cumplimiento[#All],5,0),"")</f>
        <v/>
      </c>
      <c r="F2391" t="str">
        <f>+IFERROR(VLOOKUP(Fact_Cumplimiento[[#This Row], 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ht="18.75" customHeight="1" x14ac:dyDescent="0.35">
      <c r="C2392" s="100" t="str">
        <f>IF(OR(Fact_Cumplimiento[[#This Row], [Año]]="",Fact_Cumplimiento[[#This Row], [Mes]]=""),"",DATE(A2392,MATCH(B2392,{"enero","febrero","marzo","abril","mayo","junio","julio","agosto","septiembre","octubre","noviembre","diciembre"},0)+1,0))</f>
        <v/>
      </c>
      <c r="E2392" t="str">
        <f>+IFERROR(VLOOKUP(Fact_Cumplimiento[[#This Row], [Concepto Anterior]],Conceptos_Cumplimiento[#All],5,0),"")</f>
        <v/>
      </c>
      <c r="F2392" t="str">
        <f>+IFERROR(VLOOKUP(Fact_Cumplimiento[[#This Row], 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ht="18.75" customHeight="1" x14ac:dyDescent="0.35">
      <c r="C2393" s="100" t="str">
        <f>IF(OR(Fact_Cumplimiento[[#This Row], [Año]]="",Fact_Cumplimiento[[#This Row], [Mes]]=""),"",DATE(A2393,MATCH(B2393,{"enero","febrero","marzo","abril","mayo","junio","julio","agosto","septiembre","octubre","noviembre","diciembre"},0)+1,0))</f>
        <v/>
      </c>
      <c r="E2393" t="str">
        <f>+IFERROR(VLOOKUP(Fact_Cumplimiento[[#This Row], [Concepto Anterior]],Conceptos_Cumplimiento[#All],5,0),"")</f>
        <v/>
      </c>
      <c r="F2393" t="str">
        <f>+IFERROR(VLOOKUP(Fact_Cumplimiento[[#This Row], 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ht="18.75" customHeight="1" x14ac:dyDescent="0.35">
      <c r="C2394" s="100" t="str">
        <f>IF(OR(Fact_Cumplimiento[[#This Row], [Año]]="",Fact_Cumplimiento[[#This Row], [Mes]]=""),"",DATE(A2394,MATCH(B2394,{"enero","febrero","marzo","abril","mayo","junio","julio","agosto","septiembre","octubre","noviembre","diciembre"},0)+1,0))</f>
        <v/>
      </c>
      <c r="E2394" t="str">
        <f>+IFERROR(VLOOKUP(Fact_Cumplimiento[[#This Row], [Concepto Anterior]],Conceptos_Cumplimiento[#All],5,0),"")</f>
        <v/>
      </c>
      <c r="F2394" t="str">
        <f>+IFERROR(VLOOKUP(Fact_Cumplimiento[[#This Row], 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ht="18.75" customHeight="1" x14ac:dyDescent="0.35">
      <c r="C2395" s="100" t="str">
        <f>IF(OR(Fact_Cumplimiento[[#This Row], [Año]]="",Fact_Cumplimiento[[#This Row], [Mes]]=""),"",DATE(A2395,MATCH(B2395,{"enero","febrero","marzo","abril","mayo","junio","julio","agosto","septiembre","octubre","noviembre","diciembre"},0)+1,0))</f>
        <v/>
      </c>
      <c r="E2395" t="str">
        <f>+IFERROR(VLOOKUP(Fact_Cumplimiento[[#This Row], [Concepto Anterior]],Conceptos_Cumplimiento[#All],5,0),"")</f>
        <v/>
      </c>
      <c r="F2395" t="str">
        <f>+IFERROR(VLOOKUP(Fact_Cumplimiento[[#This Row], 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ht="18.75" customHeight="1" x14ac:dyDescent="0.35">
      <c r="C2396" s="100" t="str">
        <f>IF(OR(Fact_Cumplimiento[[#This Row], [Año]]="",Fact_Cumplimiento[[#This Row], [Mes]]=""),"",DATE(A2396,MATCH(B2396,{"enero","febrero","marzo","abril","mayo","junio","julio","agosto","septiembre","octubre","noviembre","diciembre"},0)+1,0))</f>
        <v/>
      </c>
      <c r="E2396" t="str">
        <f>+IFERROR(VLOOKUP(Fact_Cumplimiento[[#This Row], [Concepto Anterior]],Conceptos_Cumplimiento[#All],5,0),"")</f>
        <v/>
      </c>
      <c r="F2396" t="str">
        <f>+IFERROR(VLOOKUP(Fact_Cumplimiento[[#This Row], 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ht="18.75" customHeight="1" x14ac:dyDescent="0.35">
      <c r="C2397" s="100" t="str">
        <f>IF(OR(Fact_Cumplimiento[[#This Row], [Año]]="",Fact_Cumplimiento[[#This Row], [Mes]]=""),"",DATE(A2397,MATCH(B2397,{"enero","febrero","marzo","abril","mayo","junio","julio","agosto","septiembre","octubre","noviembre","diciembre"},0)+1,0))</f>
        <v/>
      </c>
      <c r="E2397" t="str">
        <f>+IFERROR(VLOOKUP(Fact_Cumplimiento[[#This Row], [Concepto Anterior]],Conceptos_Cumplimiento[#All],5,0),"")</f>
        <v/>
      </c>
      <c r="F2397" t="str">
        <f>+IFERROR(VLOOKUP(Fact_Cumplimiento[[#This Row], 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ht="18.75" customHeight="1" x14ac:dyDescent="0.35">
      <c r="C2398" s="100" t="str">
        <f>IF(OR(Fact_Cumplimiento[[#This Row], [Año]]="",Fact_Cumplimiento[[#This Row], [Mes]]=""),"",DATE(A2398,MATCH(B2398,{"enero","febrero","marzo","abril","mayo","junio","julio","agosto","septiembre","octubre","noviembre","diciembre"},0)+1,0))</f>
        <v/>
      </c>
      <c r="E2398" t="str">
        <f>+IFERROR(VLOOKUP(Fact_Cumplimiento[[#This Row], [Concepto Anterior]],Conceptos_Cumplimiento[#All],5,0),"")</f>
        <v/>
      </c>
      <c r="F2398" t="str">
        <f>+IFERROR(VLOOKUP(Fact_Cumplimiento[[#This Row], 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ht="18.75" customHeight="1" x14ac:dyDescent="0.35">
      <c r="C2399" s="100" t="str">
        <f>IF(OR(Fact_Cumplimiento[[#This Row], [Año]]="",Fact_Cumplimiento[[#This Row], [Mes]]=""),"",DATE(A2399,MATCH(B2399,{"enero","febrero","marzo","abril","mayo","junio","julio","agosto","septiembre","octubre","noviembre","diciembre"},0)+1,0))</f>
        <v/>
      </c>
      <c r="E2399" t="str">
        <f>+IFERROR(VLOOKUP(Fact_Cumplimiento[[#This Row], [Concepto Anterior]],Conceptos_Cumplimiento[#All],5,0),"")</f>
        <v/>
      </c>
      <c r="F2399" t="str">
        <f>+IFERROR(VLOOKUP(Fact_Cumplimiento[[#This Row], 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ht="18.75" customHeight="1" x14ac:dyDescent="0.35">
      <c r="C2400" s="100" t="str">
        <f>IF(OR(Fact_Cumplimiento[[#This Row], [Año]]="",Fact_Cumplimiento[[#This Row], [Mes]]=""),"",DATE(A2400,MATCH(B2400,{"enero","febrero","marzo","abril","mayo","junio","julio","agosto","septiembre","octubre","noviembre","diciembre"},0)+1,0))</f>
        <v/>
      </c>
      <c r="E2400" t="str">
        <f>+IFERROR(VLOOKUP(Fact_Cumplimiento[[#This Row], [Concepto Anterior]],Conceptos_Cumplimiento[#All],5,0),"")</f>
        <v/>
      </c>
      <c r="F2400" t="str">
        <f>+IFERROR(VLOOKUP(Fact_Cumplimiento[[#This Row], 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ht="18.75" customHeight="1" x14ac:dyDescent="0.35">
      <c r="C2401" s="100" t="str">
        <f>IF(OR(Fact_Cumplimiento[[#This Row], [Año]]="",Fact_Cumplimiento[[#This Row], [Mes]]=""),"",DATE(A2401,MATCH(B2401,{"enero","febrero","marzo","abril","mayo","junio","julio","agosto","septiembre","octubre","noviembre","diciembre"},0)+1,0))</f>
        <v/>
      </c>
      <c r="E2401" t="str">
        <f>+IFERROR(VLOOKUP(Fact_Cumplimiento[[#This Row], [Concepto Anterior]],Conceptos_Cumplimiento[#All],5,0),"")</f>
        <v/>
      </c>
      <c r="F2401" t="str">
        <f>+IFERROR(VLOOKUP(Fact_Cumplimiento[[#This Row], 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ht="18.75" customHeight="1" x14ac:dyDescent="0.35">
      <c r="C2402" s="100" t="str">
        <f>IF(OR(Fact_Cumplimiento[[#This Row], [Año]]="",Fact_Cumplimiento[[#This Row], [Mes]]=""),"",DATE(A2402,MATCH(B2402,{"enero","febrero","marzo","abril","mayo","junio","julio","agosto","septiembre","octubre","noviembre","diciembre"},0)+1,0))</f>
        <v/>
      </c>
      <c r="E2402" t="str">
        <f>+IFERROR(VLOOKUP(Fact_Cumplimiento[[#This Row], [Concepto Anterior]],Conceptos_Cumplimiento[#All],5,0),"")</f>
        <v/>
      </c>
      <c r="F2402" t="str">
        <f>+IFERROR(VLOOKUP(Fact_Cumplimiento[[#This Row], 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ht="18.75" customHeight="1" x14ac:dyDescent="0.35">
      <c r="C2403" s="100" t="str">
        <f>IF(OR(Fact_Cumplimiento[[#This Row], [Año]]="",Fact_Cumplimiento[[#This Row], [Mes]]=""),"",DATE(A2403,MATCH(B2403,{"enero","febrero","marzo","abril","mayo","junio","julio","agosto","septiembre","octubre","noviembre","diciembre"},0)+1,0))</f>
        <v/>
      </c>
      <c r="E2403" t="str">
        <f>+IFERROR(VLOOKUP(Fact_Cumplimiento[[#This Row], [Concepto Anterior]],Conceptos_Cumplimiento[#All],5,0),"")</f>
        <v/>
      </c>
      <c r="F2403" t="str">
        <f>+IFERROR(VLOOKUP(Fact_Cumplimiento[[#This Row], 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ht="18.75" customHeight="1" x14ac:dyDescent="0.35">
      <c r="C2404" s="100" t="str">
        <f>IF(OR(Fact_Cumplimiento[[#This Row], [Año]]="",Fact_Cumplimiento[[#This Row], [Mes]]=""),"",DATE(A2404,MATCH(B2404,{"enero","febrero","marzo","abril","mayo","junio","julio","agosto","septiembre","octubre","noviembre","diciembre"},0)+1,0))</f>
        <v/>
      </c>
      <c r="E2404" t="str">
        <f>+IFERROR(VLOOKUP(Fact_Cumplimiento[[#This Row], [Concepto Anterior]],Conceptos_Cumplimiento[#All],5,0),"")</f>
        <v/>
      </c>
      <c r="F2404" t="str">
        <f>+IFERROR(VLOOKUP(Fact_Cumplimiento[[#This Row], 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ht="18.75" customHeight="1" x14ac:dyDescent="0.35">
      <c r="C2405" s="100" t="str">
        <f>IF(OR(Fact_Cumplimiento[[#This Row], [Año]]="",Fact_Cumplimiento[[#This Row], [Mes]]=""),"",DATE(A2405,MATCH(B2405,{"enero","febrero","marzo","abril","mayo","junio","julio","agosto","septiembre","octubre","noviembre","diciembre"},0)+1,0))</f>
        <v/>
      </c>
      <c r="E2405" t="str">
        <f>+IFERROR(VLOOKUP(Fact_Cumplimiento[[#This Row], [Concepto Anterior]],Conceptos_Cumplimiento[#All],5,0),"")</f>
        <v/>
      </c>
      <c r="F2405" t="str">
        <f>+IFERROR(VLOOKUP(Fact_Cumplimiento[[#This Row], 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ht="18.75" customHeight="1" x14ac:dyDescent="0.35">
      <c r="C2406" s="100" t="str">
        <f>IF(OR(Fact_Cumplimiento[[#This Row], [Año]]="",Fact_Cumplimiento[[#This Row], [Mes]]=""),"",DATE(A2406,MATCH(B2406,{"enero","febrero","marzo","abril","mayo","junio","julio","agosto","septiembre","octubre","noviembre","diciembre"},0)+1,0))</f>
        <v/>
      </c>
      <c r="E2406" t="str">
        <f>+IFERROR(VLOOKUP(Fact_Cumplimiento[[#This Row], [Concepto Anterior]],Conceptos_Cumplimiento[#All],5,0),"")</f>
        <v/>
      </c>
      <c r="F2406" t="str">
        <f>+IFERROR(VLOOKUP(Fact_Cumplimiento[[#This Row], 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ht="18.75" customHeight="1" x14ac:dyDescent="0.35">
      <c r="C2407" s="100" t="str">
        <f>IF(OR(Fact_Cumplimiento[[#This Row], [Año]]="",Fact_Cumplimiento[[#This Row], [Mes]]=""),"",DATE(A2407,MATCH(B2407,{"enero","febrero","marzo","abril","mayo","junio","julio","agosto","septiembre","octubre","noviembre","diciembre"},0)+1,0))</f>
        <v/>
      </c>
      <c r="E2407" t="str">
        <f>+IFERROR(VLOOKUP(Fact_Cumplimiento[[#This Row], [Concepto Anterior]],Conceptos_Cumplimiento[#All],5,0),"")</f>
        <v/>
      </c>
      <c r="F2407" t="str">
        <f>+IFERROR(VLOOKUP(Fact_Cumplimiento[[#This Row], 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ht="18.75" customHeight="1" x14ac:dyDescent="0.35">
      <c r="C2408" s="100" t="str">
        <f>IF(OR(Fact_Cumplimiento[[#This Row], [Año]]="",Fact_Cumplimiento[[#This Row], [Mes]]=""),"",DATE(A2408,MATCH(B2408,{"enero","febrero","marzo","abril","mayo","junio","julio","agosto","septiembre","octubre","noviembre","diciembre"},0)+1,0))</f>
        <v/>
      </c>
      <c r="E2408" t="str">
        <f>+IFERROR(VLOOKUP(Fact_Cumplimiento[[#This Row], [Concepto Anterior]],Conceptos_Cumplimiento[#All],5,0),"")</f>
        <v/>
      </c>
      <c r="F2408" t="str">
        <f>+IFERROR(VLOOKUP(Fact_Cumplimiento[[#This Row], 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ht="18.75" customHeight="1" x14ac:dyDescent="0.35">
      <c r="C2409" s="100" t="str">
        <f>IF(OR(Fact_Cumplimiento[[#This Row], [Año]]="",Fact_Cumplimiento[[#This Row], [Mes]]=""),"",DATE(A2409,MATCH(B2409,{"enero","febrero","marzo","abril","mayo","junio","julio","agosto","septiembre","octubre","noviembre","diciembre"},0)+1,0))</f>
        <v/>
      </c>
      <c r="E2409" t="str">
        <f>+IFERROR(VLOOKUP(Fact_Cumplimiento[[#This Row], [Concepto Anterior]],Conceptos_Cumplimiento[#All],5,0),"")</f>
        <v/>
      </c>
      <c r="F2409" t="str">
        <f>+IFERROR(VLOOKUP(Fact_Cumplimiento[[#This Row], 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ht="18.75" customHeight="1" x14ac:dyDescent="0.35">
      <c r="C2410" s="100" t="str">
        <f>IF(OR(Fact_Cumplimiento[[#This Row], [Año]]="",Fact_Cumplimiento[[#This Row], [Mes]]=""),"",DATE(A2410,MATCH(B2410,{"enero","febrero","marzo","abril","mayo","junio","julio","agosto","septiembre","octubre","noviembre","diciembre"},0)+1,0))</f>
        <v/>
      </c>
      <c r="E2410" t="str">
        <f>+IFERROR(VLOOKUP(Fact_Cumplimiento[[#This Row], [Concepto Anterior]],Conceptos_Cumplimiento[#All],5,0),"")</f>
        <v/>
      </c>
      <c r="F2410" t="str">
        <f>+IFERROR(VLOOKUP(Fact_Cumplimiento[[#This Row], 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ht="18.75" customHeight="1" x14ac:dyDescent="0.35">
      <c r="C2411" s="100" t="str">
        <f>IF(OR(Fact_Cumplimiento[[#This Row], [Año]]="",Fact_Cumplimiento[[#This Row], [Mes]]=""),"",DATE(A2411,MATCH(B2411,{"enero","febrero","marzo","abril","mayo","junio","julio","agosto","septiembre","octubre","noviembre","diciembre"},0)+1,0))</f>
        <v/>
      </c>
      <c r="E2411" t="str">
        <f>+IFERROR(VLOOKUP(Fact_Cumplimiento[[#This Row], [Concepto Anterior]],Conceptos_Cumplimiento[#All],5,0),"")</f>
        <v/>
      </c>
      <c r="F2411" t="str">
        <f>+IFERROR(VLOOKUP(Fact_Cumplimiento[[#This Row], 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ht="18.75" customHeight="1" x14ac:dyDescent="0.35">
      <c r="C2412" s="100" t="str">
        <f>IF(OR(Fact_Cumplimiento[[#This Row], [Año]]="",Fact_Cumplimiento[[#This Row], [Mes]]=""),"",DATE(A2412,MATCH(B2412,{"enero","febrero","marzo","abril","mayo","junio","julio","agosto","septiembre","octubre","noviembre","diciembre"},0)+1,0))</f>
        <v/>
      </c>
      <c r="E2412" t="str">
        <f>+IFERROR(VLOOKUP(Fact_Cumplimiento[[#This Row], [Concepto Anterior]],Conceptos_Cumplimiento[#All],5,0),"")</f>
        <v/>
      </c>
      <c r="F2412" t="str">
        <f>+IFERROR(VLOOKUP(Fact_Cumplimiento[[#This Row], 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ht="18.75" customHeight="1" x14ac:dyDescent="0.35">
      <c r="C2413" s="100" t="str">
        <f>IF(OR(Fact_Cumplimiento[[#This Row], [Año]]="",Fact_Cumplimiento[[#This Row], [Mes]]=""),"",DATE(A2413,MATCH(B2413,{"enero","febrero","marzo","abril","mayo","junio","julio","agosto","septiembre","octubre","noviembre","diciembre"},0)+1,0))</f>
        <v/>
      </c>
      <c r="E2413" t="str">
        <f>+IFERROR(VLOOKUP(Fact_Cumplimiento[[#This Row], [Concepto Anterior]],Conceptos_Cumplimiento[#All],5,0),"")</f>
        <v/>
      </c>
      <c r="F2413" t="str">
        <f>+IFERROR(VLOOKUP(Fact_Cumplimiento[[#This Row], 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ht="18.75" customHeight="1" x14ac:dyDescent="0.35">
      <c r="C2414" s="100" t="str">
        <f>IF(OR(Fact_Cumplimiento[[#This Row], [Año]]="",Fact_Cumplimiento[[#This Row], [Mes]]=""),"",DATE(A2414,MATCH(B2414,{"enero","febrero","marzo","abril","mayo","junio","julio","agosto","septiembre","octubre","noviembre","diciembre"},0)+1,0))</f>
        <v/>
      </c>
      <c r="E2414" t="str">
        <f>+IFERROR(VLOOKUP(Fact_Cumplimiento[[#This Row], [Concepto Anterior]],Conceptos_Cumplimiento[#All],5,0),"")</f>
        <v/>
      </c>
      <c r="F2414" t="str">
        <f>+IFERROR(VLOOKUP(Fact_Cumplimiento[[#This Row], 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ht="18.75" customHeight="1" x14ac:dyDescent="0.35">
      <c r="C2415" s="100" t="str">
        <f>IF(OR(Fact_Cumplimiento[[#This Row], [Año]]="",Fact_Cumplimiento[[#This Row], [Mes]]=""),"",DATE(A2415,MATCH(B2415,{"enero","febrero","marzo","abril","mayo","junio","julio","agosto","septiembre","octubre","noviembre","diciembre"},0)+1,0))</f>
        <v/>
      </c>
      <c r="E2415" t="str">
        <f>+IFERROR(VLOOKUP(Fact_Cumplimiento[[#This Row], [Concepto Anterior]],Conceptos_Cumplimiento[#All],5,0),"")</f>
        <v/>
      </c>
      <c r="F2415" t="str">
        <f>+IFERROR(VLOOKUP(Fact_Cumplimiento[[#This Row], 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ht="18.75" customHeight="1" x14ac:dyDescent="0.35">
      <c r="C2416" s="100" t="str">
        <f>IF(OR(Fact_Cumplimiento[[#This Row], [Año]]="",Fact_Cumplimiento[[#This Row], [Mes]]=""),"",DATE(A2416,MATCH(B2416,{"enero","febrero","marzo","abril","mayo","junio","julio","agosto","septiembre","octubre","noviembre","diciembre"},0)+1,0))</f>
        <v/>
      </c>
      <c r="E2416" t="str">
        <f>+IFERROR(VLOOKUP(Fact_Cumplimiento[[#This Row], [Concepto Anterior]],Conceptos_Cumplimiento[#All],5,0),"")</f>
        <v/>
      </c>
      <c r="F2416" t="str">
        <f>+IFERROR(VLOOKUP(Fact_Cumplimiento[[#This Row], 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ht="18.75" customHeight="1" x14ac:dyDescent="0.35">
      <c r="C2417" s="100" t="str">
        <f>IF(OR(Fact_Cumplimiento[[#This Row], [Año]]="",Fact_Cumplimiento[[#This Row], [Mes]]=""),"",DATE(A2417,MATCH(B2417,{"enero","febrero","marzo","abril","mayo","junio","julio","agosto","septiembre","octubre","noviembre","diciembre"},0)+1,0))</f>
        <v/>
      </c>
      <c r="E2417" t="str">
        <f>+IFERROR(VLOOKUP(Fact_Cumplimiento[[#This Row], [Concepto Anterior]],Conceptos_Cumplimiento[#All],5,0),"")</f>
        <v/>
      </c>
      <c r="F2417" t="str">
        <f>+IFERROR(VLOOKUP(Fact_Cumplimiento[[#This Row], 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ht="18.75" customHeight="1" x14ac:dyDescent="0.35">
      <c r="C2418" s="100" t="str">
        <f>IF(OR(Fact_Cumplimiento[[#This Row], [Año]]="",Fact_Cumplimiento[[#This Row], [Mes]]=""),"",DATE(A2418,MATCH(B2418,{"enero","febrero","marzo","abril","mayo","junio","julio","agosto","septiembre","octubre","noviembre","diciembre"},0)+1,0))</f>
        <v/>
      </c>
      <c r="E2418" t="str">
        <f>+IFERROR(VLOOKUP(Fact_Cumplimiento[[#This Row], [Concepto Anterior]],Conceptos_Cumplimiento[#All],5,0),"")</f>
        <v/>
      </c>
      <c r="F2418" t="str">
        <f>+IFERROR(VLOOKUP(Fact_Cumplimiento[[#This Row], 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ht="18.75" customHeight="1" x14ac:dyDescent="0.35">
      <c r="C2419" s="100" t="str">
        <f>IF(OR(Fact_Cumplimiento[[#This Row], [Año]]="",Fact_Cumplimiento[[#This Row], [Mes]]=""),"",DATE(A2419,MATCH(B2419,{"enero","febrero","marzo","abril","mayo","junio","julio","agosto","septiembre","octubre","noviembre","diciembre"},0)+1,0))</f>
        <v/>
      </c>
      <c r="E2419" t="str">
        <f>+IFERROR(VLOOKUP(Fact_Cumplimiento[[#This Row], [Concepto Anterior]],Conceptos_Cumplimiento[#All],5,0),"")</f>
        <v/>
      </c>
      <c r="F2419" t="str">
        <f>+IFERROR(VLOOKUP(Fact_Cumplimiento[[#This Row], 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ht="18.75" customHeight="1" x14ac:dyDescent="0.35">
      <c r="C2420" s="100" t="str">
        <f>IF(OR(Fact_Cumplimiento[[#This Row], [Año]]="",Fact_Cumplimiento[[#This Row], [Mes]]=""),"",DATE(A2420,MATCH(B2420,{"enero","febrero","marzo","abril","mayo","junio","julio","agosto","septiembre","octubre","noviembre","diciembre"},0)+1,0))</f>
        <v/>
      </c>
      <c r="E2420" t="str">
        <f>+IFERROR(VLOOKUP(Fact_Cumplimiento[[#This Row], [Concepto Anterior]],Conceptos_Cumplimiento[#All],5,0),"")</f>
        <v/>
      </c>
      <c r="F2420" t="str">
        <f>+IFERROR(VLOOKUP(Fact_Cumplimiento[[#This Row], 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ht="18.75" customHeight="1" x14ac:dyDescent="0.35">
      <c r="C2421" s="100" t="str">
        <f>IF(OR(Fact_Cumplimiento[[#This Row], [Año]]="",Fact_Cumplimiento[[#This Row], [Mes]]=""),"",DATE(A2421,MATCH(B2421,{"enero","febrero","marzo","abril","mayo","junio","julio","agosto","septiembre","octubre","noviembre","diciembre"},0)+1,0))</f>
        <v/>
      </c>
      <c r="E2421" t="str">
        <f>+IFERROR(VLOOKUP(Fact_Cumplimiento[[#This Row], [Concepto Anterior]],Conceptos_Cumplimiento[#All],5,0),"")</f>
        <v/>
      </c>
      <c r="F2421" t="str">
        <f>+IFERROR(VLOOKUP(Fact_Cumplimiento[[#This Row], 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ht="18.75" customHeight="1" x14ac:dyDescent="0.35">
      <c r="C2422" s="100" t="str">
        <f>IF(OR(Fact_Cumplimiento[[#This Row], [Año]]="",Fact_Cumplimiento[[#This Row], [Mes]]=""),"",DATE(A2422,MATCH(B2422,{"enero","febrero","marzo","abril","mayo","junio","julio","agosto","septiembre","octubre","noviembre","diciembre"},0)+1,0))</f>
        <v/>
      </c>
      <c r="E2422" t="str">
        <f>+IFERROR(VLOOKUP(Fact_Cumplimiento[[#This Row], [Concepto Anterior]],Conceptos_Cumplimiento[#All],5,0),"")</f>
        <v/>
      </c>
      <c r="F2422" t="str">
        <f>+IFERROR(VLOOKUP(Fact_Cumplimiento[[#This Row], 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ht="18.75" customHeight="1" x14ac:dyDescent="0.35">
      <c r="C2423" s="100" t="str">
        <f>IF(OR(Fact_Cumplimiento[[#This Row], [Año]]="",Fact_Cumplimiento[[#This Row], [Mes]]=""),"",DATE(A2423,MATCH(B2423,{"enero","febrero","marzo","abril","mayo","junio","julio","agosto","septiembre","octubre","noviembre","diciembre"},0)+1,0))</f>
        <v/>
      </c>
      <c r="E2423" t="str">
        <f>+IFERROR(VLOOKUP(Fact_Cumplimiento[[#This Row], [Concepto Anterior]],Conceptos_Cumplimiento[#All],5,0),"")</f>
        <v/>
      </c>
      <c r="F2423" t="str">
        <f>+IFERROR(VLOOKUP(Fact_Cumplimiento[[#This Row], 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ht="18.75" customHeight="1" x14ac:dyDescent="0.35">
      <c r="C2424" s="100" t="str">
        <f>IF(OR(Fact_Cumplimiento[[#This Row], [Año]]="",Fact_Cumplimiento[[#This Row], [Mes]]=""),"",DATE(A2424,MATCH(B2424,{"enero","febrero","marzo","abril","mayo","junio","julio","agosto","septiembre","octubre","noviembre","diciembre"},0)+1,0))</f>
        <v/>
      </c>
      <c r="E2424" t="str">
        <f>+IFERROR(VLOOKUP(Fact_Cumplimiento[[#This Row], [Concepto Anterior]],Conceptos_Cumplimiento[#All],5,0),"")</f>
        <v/>
      </c>
      <c r="F2424" t="str">
        <f>+IFERROR(VLOOKUP(Fact_Cumplimiento[[#This Row], 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ht="18.75" customHeight="1" x14ac:dyDescent="0.35">
      <c r="C2425" s="100" t="str">
        <f>IF(OR(Fact_Cumplimiento[[#This Row], [Año]]="",Fact_Cumplimiento[[#This Row], [Mes]]=""),"",DATE(A2425,MATCH(B2425,{"enero","febrero","marzo","abril","mayo","junio","julio","agosto","septiembre","octubre","noviembre","diciembre"},0)+1,0))</f>
        <v/>
      </c>
      <c r="E2425" t="str">
        <f>+IFERROR(VLOOKUP(Fact_Cumplimiento[[#This Row], [Concepto Anterior]],Conceptos_Cumplimiento[#All],5,0),"")</f>
        <v/>
      </c>
      <c r="F2425" t="str">
        <f>+IFERROR(VLOOKUP(Fact_Cumplimiento[[#This Row], 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ht="18.75" customHeight="1" x14ac:dyDescent="0.35">
      <c r="C2426" s="100" t="str">
        <f>IF(OR(Fact_Cumplimiento[[#This Row], [Año]]="",Fact_Cumplimiento[[#This Row], [Mes]]=""),"",DATE(A2426,MATCH(B2426,{"enero","febrero","marzo","abril","mayo","junio","julio","agosto","septiembre","octubre","noviembre","diciembre"},0)+1,0))</f>
        <v/>
      </c>
      <c r="E2426" t="str">
        <f>+IFERROR(VLOOKUP(Fact_Cumplimiento[[#This Row], [Concepto Anterior]],Conceptos_Cumplimiento[#All],5,0),"")</f>
        <v/>
      </c>
      <c r="F2426" t="str">
        <f>+IFERROR(VLOOKUP(Fact_Cumplimiento[[#This Row], 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ht="18.75" customHeight="1" x14ac:dyDescent="0.35">
      <c r="C2427" s="100" t="str">
        <f>IF(OR(Fact_Cumplimiento[[#This Row], [Año]]="",Fact_Cumplimiento[[#This Row], [Mes]]=""),"",DATE(A2427,MATCH(B2427,{"enero","febrero","marzo","abril","mayo","junio","julio","agosto","septiembre","octubre","noviembre","diciembre"},0)+1,0))</f>
        <v/>
      </c>
      <c r="E2427" t="str">
        <f>+IFERROR(VLOOKUP(Fact_Cumplimiento[[#This Row], [Concepto Anterior]],Conceptos_Cumplimiento[#All],5,0),"")</f>
        <v/>
      </c>
      <c r="F2427" t="str">
        <f>+IFERROR(VLOOKUP(Fact_Cumplimiento[[#This Row], 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ht="18.75" customHeight="1" x14ac:dyDescent="0.35">
      <c r="C2428" s="100" t="str">
        <f>IF(OR(Fact_Cumplimiento[[#This Row], [Año]]="",Fact_Cumplimiento[[#This Row], [Mes]]=""),"",DATE(A2428,MATCH(B2428,{"enero","febrero","marzo","abril","mayo","junio","julio","agosto","septiembre","octubre","noviembre","diciembre"},0)+1,0))</f>
        <v/>
      </c>
      <c r="E2428" t="str">
        <f>+IFERROR(VLOOKUP(Fact_Cumplimiento[[#This Row], [Concepto Anterior]],Conceptos_Cumplimiento[#All],5,0),"")</f>
        <v/>
      </c>
      <c r="F2428" t="str">
        <f>+IFERROR(VLOOKUP(Fact_Cumplimiento[[#This Row], 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ht="18.75" customHeight="1" x14ac:dyDescent="0.35">
      <c r="C2429" s="100" t="str">
        <f>IF(OR(Fact_Cumplimiento[[#This Row], [Año]]="",Fact_Cumplimiento[[#This Row], [Mes]]=""),"",DATE(A2429,MATCH(B2429,{"enero","febrero","marzo","abril","mayo","junio","julio","agosto","septiembre","octubre","noviembre","diciembre"},0)+1,0))</f>
        <v/>
      </c>
      <c r="E2429" t="str">
        <f>+IFERROR(VLOOKUP(Fact_Cumplimiento[[#This Row], [Concepto Anterior]],Conceptos_Cumplimiento[#All],5,0),"")</f>
        <v/>
      </c>
      <c r="F2429" t="str">
        <f>+IFERROR(VLOOKUP(Fact_Cumplimiento[[#This Row], 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ht="18.75" customHeight="1" x14ac:dyDescent="0.35">
      <c r="C2430" s="100" t="str">
        <f>IF(OR(Fact_Cumplimiento[[#This Row], [Año]]="",Fact_Cumplimiento[[#This Row], [Mes]]=""),"",DATE(A2430,MATCH(B2430,{"enero","febrero","marzo","abril","mayo","junio","julio","agosto","septiembre","octubre","noviembre","diciembre"},0)+1,0))</f>
        <v/>
      </c>
      <c r="E2430" t="str">
        <f>+IFERROR(VLOOKUP(Fact_Cumplimiento[[#This Row], [Concepto Anterior]],Conceptos_Cumplimiento[#All],5,0),"")</f>
        <v/>
      </c>
      <c r="F2430" t="str">
        <f>+IFERROR(VLOOKUP(Fact_Cumplimiento[[#This Row], 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ht="18.75" customHeight="1" x14ac:dyDescent="0.35">
      <c r="C2431" s="100" t="str">
        <f>IF(OR(Fact_Cumplimiento[[#This Row], [Año]]="",Fact_Cumplimiento[[#This Row], [Mes]]=""),"",DATE(A2431,MATCH(B2431,{"enero","febrero","marzo","abril","mayo","junio","julio","agosto","septiembre","octubre","noviembre","diciembre"},0)+1,0))</f>
        <v/>
      </c>
      <c r="E2431" t="str">
        <f>+IFERROR(VLOOKUP(Fact_Cumplimiento[[#This Row], [Concepto Anterior]],Conceptos_Cumplimiento[#All],5,0),"")</f>
        <v/>
      </c>
      <c r="F2431" t="str">
        <f>+IFERROR(VLOOKUP(Fact_Cumplimiento[[#This Row], 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ht="18.75" customHeight="1" x14ac:dyDescent="0.35">
      <c r="C2432" s="100" t="str">
        <f>IF(OR(Fact_Cumplimiento[[#This Row], [Año]]="",Fact_Cumplimiento[[#This Row], [Mes]]=""),"",DATE(A2432,MATCH(B2432,{"enero","febrero","marzo","abril","mayo","junio","julio","agosto","septiembre","octubre","noviembre","diciembre"},0)+1,0))</f>
        <v/>
      </c>
      <c r="E2432" t="str">
        <f>+IFERROR(VLOOKUP(Fact_Cumplimiento[[#This Row], [Concepto Anterior]],Conceptos_Cumplimiento[#All],5,0),"")</f>
        <v/>
      </c>
      <c r="F2432" t="str">
        <f>+IFERROR(VLOOKUP(Fact_Cumplimiento[[#This Row], 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ht="18.75" customHeight="1" x14ac:dyDescent="0.35">
      <c r="C2433" s="100" t="str">
        <f>IF(OR(Fact_Cumplimiento[[#This Row], [Año]]="",Fact_Cumplimiento[[#This Row], [Mes]]=""),"",DATE(A2433,MATCH(B2433,{"enero","febrero","marzo","abril","mayo","junio","julio","agosto","septiembre","octubre","noviembre","diciembre"},0)+1,0))</f>
        <v/>
      </c>
      <c r="E2433" t="str">
        <f>+IFERROR(VLOOKUP(Fact_Cumplimiento[[#This Row], [Concepto Anterior]],Conceptos_Cumplimiento[#All],5,0),"")</f>
        <v/>
      </c>
      <c r="F2433" t="str">
        <f>+IFERROR(VLOOKUP(Fact_Cumplimiento[[#This Row], 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ht="18.75" customHeight="1" x14ac:dyDescent="0.35">
      <c r="C2434" s="100" t="str">
        <f>IF(OR(Fact_Cumplimiento[[#This Row], [Año]]="",Fact_Cumplimiento[[#This Row], [Mes]]=""),"",DATE(A2434,MATCH(B2434,{"enero","febrero","marzo","abril","mayo","junio","julio","agosto","septiembre","octubre","noviembre","diciembre"},0)+1,0))</f>
        <v/>
      </c>
      <c r="E2434" t="str">
        <f>+IFERROR(VLOOKUP(Fact_Cumplimiento[[#This Row], [Concepto Anterior]],Conceptos_Cumplimiento[#All],5,0),"")</f>
        <v/>
      </c>
      <c r="F2434" t="str">
        <f>+IFERROR(VLOOKUP(Fact_Cumplimiento[[#This Row], 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ht="18.75" customHeight="1" x14ac:dyDescent="0.35">
      <c r="C2435" s="100" t="str">
        <f>IF(OR(Fact_Cumplimiento[[#This Row], [Año]]="",Fact_Cumplimiento[[#This Row], [Mes]]=""),"",DATE(A2435,MATCH(B2435,{"enero","febrero","marzo","abril","mayo","junio","julio","agosto","septiembre","octubre","noviembre","diciembre"},0)+1,0))</f>
        <v/>
      </c>
      <c r="E2435" t="str">
        <f>+IFERROR(VLOOKUP(Fact_Cumplimiento[[#This Row], [Concepto Anterior]],Conceptos_Cumplimiento[#All],5,0),"")</f>
        <v/>
      </c>
      <c r="F2435" t="str">
        <f>+IFERROR(VLOOKUP(Fact_Cumplimiento[[#This Row], 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ht="18.75" customHeight="1" x14ac:dyDescent="0.35">
      <c r="C2436" s="100" t="str">
        <f>IF(OR(Fact_Cumplimiento[[#This Row], [Año]]="",Fact_Cumplimiento[[#This Row], [Mes]]=""),"",DATE(A2436,MATCH(B2436,{"enero","febrero","marzo","abril","mayo","junio","julio","agosto","septiembre","octubre","noviembre","diciembre"},0)+1,0))</f>
        <v/>
      </c>
      <c r="E2436" t="str">
        <f>+IFERROR(VLOOKUP(Fact_Cumplimiento[[#This Row], [Concepto Anterior]],Conceptos_Cumplimiento[#All],5,0),"")</f>
        <v/>
      </c>
      <c r="F2436" t="str">
        <f>+IFERROR(VLOOKUP(Fact_Cumplimiento[[#This Row], 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ht="18.75" customHeight="1" x14ac:dyDescent="0.35">
      <c r="C2437" s="100" t="str">
        <f>IF(OR(Fact_Cumplimiento[[#This Row], [Año]]="",Fact_Cumplimiento[[#This Row], [Mes]]=""),"",DATE(A2437,MATCH(B2437,{"enero","febrero","marzo","abril","mayo","junio","julio","agosto","septiembre","octubre","noviembre","diciembre"},0)+1,0))</f>
        <v/>
      </c>
      <c r="E2437" t="str">
        <f>+IFERROR(VLOOKUP(Fact_Cumplimiento[[#This Row], [Concepto Anterior]],Conceptos_Cumplimiento[#All],5,0),"")</f>
        <v/>
      </c>
      <c r="F2437" t="str">
        <f>+IFERROR(VLOOKUP(Fact_Cumplimiento[[#This Row], 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ht="18.75" customHeight="1" x14ac:dyDescent="0.35">
      <c r="C2438" s="100" t="str">
        <f>IF(OR(Fact_Cumplimiento[[#This Row], [Año]]="",Fact_Cumplimiento[[#This Row], [Mes]]=""),"",DATE(A2438,MATCH(B2438,{"enero","febrero","marzo","abril","mayo","junio","julio","agosto","septiembre","octubre","noviembre","diciembre"},0)+1,0))</f>
        <v/>
      </c>
      <c r="E2438" t="str">
        <f>+IFERROR(VLOOKUP(Fact_Cumplimiento[[#This Row], [Concepto Anterior]],Conceptos_Cumplimiento[#All],5,0),"")</f>
        <v/>
      </c>
      <c r="F2438" t="str">
        <f>+IFERROR(VLOOKUP(Fact_Cumplimiento[[#This Row], 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ht="18.75" customHeight="1" x14ac:dyDescent="0.35">
      <c r="C2439" s="100" t="str">
        <f>IF(OR(Fact_Cumplimiento[[#This Row], [Año]]="",Fact_Cumplimiento[[#This Row], [Mes]]=""),"",DATE(A2439,MATCH(B2439,{"enero","febrero","marzo","abril","mayo","junio","julio","agosto","septiembre","octubre","noviembre","diciembre"},0)+1,0))</f>
        <v/>
      </c>
      <c r="E2439" t="str">
        <f>+IFERROR(VLOOKUP(Fact_Cumplimiento[[#This Row], [Concepto Anterior]],Conceptos_Cumplimiento[#All],5,0),"")</f>
        <v/>
      </c>
      <c r="F2439" t="str">
        <f>+IFERROR(VLOOKUP(Fact_Cumplimiento[[#This Row], 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ht="18.75" customHeight="1" x14ac:dyDescent="0.35">
      <c r="C2440" s="100" t="str">
        <f>IF(OR(Fact_Cumplimiento[[#This Row], [Año]]="",Fact_Cumplimiento[[#This Row], [Mes]]=""),"",DATE(A2440,MATCH(B2440,{"enero","febrero","marzo","abril","mayo","junio","julio","agosto","septiembre","octubre","noviembre","diciembre"},0)+1,0))</f>
        <v/>
      </c>
      <c r="E2440" t="str">
        <f>+IFERROR(VLOOKUP(Fact_Cumplimiento[[#This Row], [Concepto Anterior]],Conceptos_Cumplimiento[#All],5,0),"")</f>
        <v/>
      </c>
      <c r="F2440" t="str">
        <f>+IFERROR(VLOOKUP(Fact_Cumplimiento[[#This Row], 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ht="18.75" customHeight="1" x14ac:dyDescent="0.35">
      <c r="C2441" s="100" t="str">
        <f>IF(OR(Fact_Cumplimiento[[#This Row], [Año]]="",Fact_Cumplimiento[[#This Row], [Mes]]=""),"",DATE(A2441,MATCH(B2441,{"enero","febrero","marzo","abril","mayo","junio","julio","agosto","septiembre","octubre","noviembre","diciembre"},0)+1,0))</f>
        <v/>
      </c>
      <c r="E2441" t="str">
        <f>+IFERROR(VLOOKUP(Fact_Cumplimiento[[#This Row], [Concepto Anterior]],Conceptos_Cumplimiento[#All],5,0),"")</f>
        <v/>
      </c>
      <c r="F2441" t="str">
        <f>+IFERROR(VLOOKUP(Fact_Cumplimiento[[#This Row], 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ht="18.75" customHeight="1" x14ac:dyDescent="0.35">
      <c r="C2442" s="100" t="str">
        <f>IF(OR(Fact_Cumplimiento[[#This Row], [Año]]="",Fact_Cumplimiento[[#This Row], [Mes]]=""),"",DATE(A2442,MATCH(B2442,{"enero","febrero","marzo","abril","mayo","junio","julio","agosto","septiembre","octubre","noviembre","diciembre"},0)+1,0))</f>
        <v/>
      </c>
      <c r="E2442" t="str">
        <f>+IFERROR(VLOOKUP(Fact_Cumplimiento[[#This Row], [Concepto Anterior]],Conceptos_Cumplimiento[#All],5,0),"")</f>
        <v/>
      </c>
      <c r="F2442" t="str">
        <f>+IFERROR(VLOOKUP(Fact_Cumplimiento[[#This Row], 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ht="18.75" customHeight="1" x14ac:dyDescent="0.35">
      <c r="C2443" s="100" t="str">
        <f>IF(OR(Fact_Cumplimiento[[#This Row], [Año]]="",Fact_Cumplimiento[[#This Row], [Mes]]=""),"",DATE(A2443,MATCH(B2443,{"enero","febrero","marzo","abril","mayo","junio","julio","agosto","septiembre","octubre","noviembre","diciembre"},0)+1,0))</f>
        <v/>
      </c>
      <c r="E2443" t="str">
        <f>+IFERROR(VLOOKUP(Fact_Cumplimiento[[#This Row], [Concepto Anterior]],Conceptos_Cumplimiento[#All],5,0),"")</f>
        <v/>
      </c>
      <c r="F2443" t="str">
        <f>+IFERROR(VLOOKUP(Fact_Cumplimiento[[#This Row], 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ht="18.75" customHeight="1" x14ac:dyDescent="0.35">
      <c r="C2444" s="100" t="str">
        <f>IF(OR(Fact_Cumplimiento[[#This Row], [Año]]="",Fact_Cumplimiento[[#This Row], [Mes]]=""),"",DATE(A2444,MATCH(B2444,{"enero","febrero","marzo","abril","mayo","junio","julio","agosto","septiembre","octubre","noviembre","diciembre"},0)+1,0))</f>
        <v/>
      </c>
      <c r="E2444" t="str">
        <f>+IFERROR(VLOOKUP(Fact_Cumplimiento[[#This Row], [Concepto Anterior]],Conceptos_Cumplimiento[#All],5,0),"")</f>
        <v/>
      </c>
      <c r="F2444" t="str">
        <f>+IFERROR(VLOOKUP(Fact_Cumplimiento[[#This Row], 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ht="18.75" customHeight="1" x14ac:dyDescent="0.35">
      <c r="C2445" s="100" t="str">
        <f>IF(OR(Fact_Cumplimiento[[#This Row], [Año]]="",Fact_Cumplimiento[[#This Row], [Mes]]=""),"",DATE(A2445,MATCH(B2445,{"enero","febrero","marzo","abril","mayo","junio","julio","agosto","septiembre","octubre","noviembre","diciembre"},0)+1,0))</f>
        <v/>
      </c>
      <c r="E2445" t="str">
        <f>+IFERROR(VLOOKUP(Fact_Cumplimiento[[#This Row], [Concepto Anterior]],Conceptos_Cumplimiento[#All],5,0),"")</f>
        <v/>
      </c>
      <c r="F2445" t="str">
        <f>+IFERROR(VLOOKUP(Fact_Cumplimiento[[#This Row], 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ht="18.75" customHeight="1" x14ac:dyDescent="0.35">
      <c r="C2446" s="100" t="str">
        <f>IF(OR(Fact_Cumplimiento[[#This Row], [Año]]="",Fact_Cumplimiento[[#This Row], [Mes]]=""),"",DATE(A2446,MATCH(B2446,{"enero","febrero","marzo","abril","mayo","junio","julio","agosto","septiembre","octubre","noviembre","diciembre"},0)+1,0))</f>
        <v/>
      </c>
      <c r="E2446" t="str">
        <f>+IFERROR(VLOOKUP(Fact_Cumplimiento[[#This Row], [Concepto Anterior]],Conceptos_Cumplimiento[#All],5,0),"")</f>
        <v/>
      </c>
      <c r="F2446" t="str">
        <f>+IFERROR(VLOOKUP(Fact_Cumplimiento[[#This Row], 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ht="18.75" customHeight="1" x14ac:dyDescent="0.35">
      <c r="C2447" s="100" t="str">
        <f>IF(OR(Fact_Cumplimiento[[#This Row], [Año]]="",Fact_Cumplimiento[[#This Row], [Mes]]=""),"",DATE(A2447,MATCH(B2447,{"enero","febrero","marzo","abril","mayo","junio","julio","agosto","septiembre","octubre","noviembre","diciembre"},0)+1,0))</f>
        <v/>
      </c>
      <c r="E2447" t="str">
        <f>+IFERROR(VLOOKUP(Fact_Cumplimiento[[#This Row], [Concepto Anterior]],Conceptos_Cumplimiento[#All],5,0),"")</f>
        <v/>
      </c>
      <c r="F2447" t="str">
        <f>+IFERROR(VLOOKUP(Fact_Cumplimiento[[#This Row], 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ht="18.75" customHeight="1" x14ac:dyDescent="0.35">
      <c r="C2448" s="100" t="str">
        <f>IF(OR(Fact_Cumplimiento[[#This Row], [Año]]="",Fact_Cumplimiento[[#This Row], [Mes]]=""),"",DATE(A2448,MATCH(B2448,{"enero","febrero","marzo","abril","mayo","junio","julio","agosto","septiembre","octubre","noviembre","diciembre"},0)+1,0))</f>
        <v/>
      </c>
      <c r="E2448" t="str">
        <f>+IFERROR(VLOOKUP(Fact_Cumplimiento[[#This Row], [Concepto Anterior]],Conceptos_Cumplimiento[#All],5,0),"")</f>
        <v/>
      </c>
      <c r="F2448" t="str">
        <f>+IFERROR(VLOOKUP(Fact_Cumplimiento[[#This Row], 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ht="18.75" customHeight="1" x14ac:dyDescent="0.35">
      <c r="C2449" s="100" t="str">
        <f>IF(OR(Fact_Cumplimiento[[#This Row], [Año]]="",Fact_Cumplimiento[[#This Row], [Mes]]=""),"",DATE(A2449,MATCH(B2449,{"enero","febrero","marzo","abril","mayo","junio","julio","agosto","septiembre","octubre","noviembre","diciembre"},0)+1,0))</f>
        <v/>
      </c>
      <c r="E2449" t="str">
        <f>+IFERROR(VLOOKUP(Fact_Cumplimiento[[#This Row], [Concepto Anterior]],Conceptos_Cumplimiento[#All],5,0),"")</f>
        <v/>
      </c>
      <c r="F2449" t="str">
        <f>+IFERROR(VLOOKUP(Fact_Cumplimiento[[#This Row], 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ht="18.75" customHeight="1" x14ac:dyDescent="0.35">
      <c r="C2450" s="100" t="str">
        <f>IF(OR(Fact_Cumplimiento[[#This Row], [Año]]="",Fact_Cumplimiento[[#This Row], [Mes]]=""),"",DATE(A2450,MATCH(B2450,{"enero","febrero","marzo","abril","mayo","junio","julio","agosto","septiembre","octubre","noviembre","diciembre"},0)+1,0))</f>
        <v/>
      </c>
      <c r="E2450" t="str">
        <f>+IFERROR(VLOOKUP(Fact_Cumplimiento[[#This Row], [Concepto Anterior]],Conceptos_Cumplimiento[#All],5,0),"")</f>
        <v/>
      </c>
      <c r="F2450" t="str">
        <f>+IFERROR(VLOOKUP(Fact_Cumplimiento[[#This Row], 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ht="18.75" customHeight="1" x14ac:dyDescent="0.35">
      <c r="C2451" s="100" t="str">
        <f>IF(OR(Fact_Cumplimiento[[#This Row], [Año]]="",Fact_Cumplimiento[[#This Row], [Mes]]=""),"",DATE(A2451,MATCH(B2451,{"enero","febrero","marzo","abril","mayo","junio","julio","agosto","septiembre","octubre","noviembre","diciembre"},0)+1,0))</f>
        <v/>
      </c>
      <c r="E2451" t="str">
        <f>+IFERROR(VLOOKUP(Fact_Cumplimiento[[#This Row], [Concepto Anterior]],Conceptos_Cumplimiento[#All],5,0),"")</f>
        <v/>
      </c>
      <c r="F2451" t="str">
        <f>+IFERROR(VLOOKUP(Fact_Cumplimiento[[#This Row], 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ht="18.75" customHeight="1" x14ac:dyDescent="0.35">
      <c r="C2452" s="100" t="str">
        <f>IF(OR(Fact_Cumplimiento[[#This Row], [Año]]="",Fact_Cumplimiento[[#This Row], [Mes]]=""),"",DATE(A2452,MATCH(B2452,{"enero","febrero","marzo","abril","mayo","junio","julio","agosto","septiembre","octubre","noviembre","diciembre"},0)+1,0))</f>
        <v/>
      </c>
      <c r="E2452" t="str">
        <f>+IFERROR(VLOOKUP(Fact_Cumplimiento[[#This Row], [Concepto Anterior]],Conceptos_Cumplimiento[#All],5,0),"")</f>
        <v/>
      </c>
      <c r="F2452" t="str">
        <f>+IFERROR(VLOOKUP(Fact_Cumplimiento[[#This Row], 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ht="18.75" customHeight="1" x14ac:dyDescent="0.35">
      <c r="C2453" s="100" t="str">
        <f>IF(OR(Fact_Cumplimiento[[#This Row], [Año]]="",Fact_Cumplimiento[[#This Row], [Mes]]=""),"",DATE(A2453,MATCH(B2453,{"enero","febrero","marzo","abril","mayo","junio","julio","agosto","septiembre","octubre","noviembre","diciembre"},0)+1,0))</f>
        <v/>
      </c>
      <c r="E2453" t="str">
        <f>+IFERROR(VLOOKUP(Fact_Cumplimiento[[#This Row], [Concepto Anterior]],Conceptos_Cumplimiento[#All],5,0),"")</f>
        <v/>
      </c>
      <c r="F2453" t="str">
        <f>+IFERROR(VLOOKUP(Fact_Cumplimiento[[#This Row], 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ht="18.75" customHeight="1" x14ac:dyDescent="0.35">
      <c r="C2454" s="100" t="str">
        <f>IF(OR(Fact_Cumplimiento[[#This Row], [Año]]="",Fact_Cumplimiento[[#This Row], [Mes]]=""),"",DATE(A2454,MATCH(B2454,{"enero","febrero","marzo","abril","mayo","junio","julio","agosto","septiembre","octubre","noviembre","diciembre"},0)+1,0))</f>
        <v/>
      </c>
      <c r="E2454" t="str">
        <f>+IFERROR(VLOOKUP(Fact_Cumplimiento[[#This Row], [Concepto Anterior]],Conceptos_Cumplimiento[#All],5,0),"")</f>
        <v/>
      </c>
      <c r="F2454" t="str">
        <f>+IFERROR(VLOOKUP(Fact_Cumplimiento[[#This Row], 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ht="18.75" customHeight="1" x14ac:dyDescent="0.35">
      <c r="C2455" s="100" t="str">
        <f>IF(OR(Fact_Cumplimiento[[#This Row], [Año]]="",Fact_Cumplimiento[[#This Row], [Mes]]=""),"",DATE(A2455,MATCH(B2455,{"enero","febrero","marzo","abril","mayo","junio","julio","agosto","septiembre","octubre","noviembre","diciembre"},0)+1,0))</f>
        <v/>
      </c>
      <c r="E2455" t="str">
        <f>+IFERROR(VLOOKUP(Fact_Cumplimiento[[#This Row], [Concepto Anterior]],Conceptos_Cumplimiento[#All],5,0),"")</f>
        <v/>
      </c>
      <c r="F2455" t="str">
        <f>+IFERROR(VLOOKUP(Fact_Cumplimiento[[#This Row], 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ht="18.75" customHeight="1" x14ac:dyDescent="0.35">
      <c r="C2456" s="100" t="str">
        <f>IF(OR(Fact_Cumplimiento[[#This Row], [Año]]="",Fact_Cumplimiento[[#This Row], [Mes]]=""),"",DATE(A2456,MATCH(B2456,{"enero","febrero","marzo","abril","mayo","junio","julio","agosto","septiembre","octubre","noviembre","diciembre"},0)+1,0))</f>
        <v/>
      </c>
      <c r="E2456" t="str">
        <f>+IFERROR(VLOOKUP(Fact_Cumplimiento[[#This Row], [Concepto Anterior]],Conceptos_Cumplimiento[#All],5,0),"")</f>
        <v/>
      </c>
      <c r="F2456" t="str">
        <f>+IFERROR(VLOOKUP(Fact_Cumplimiento[[#This Row], 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ht="18.75" customHeight="1" x14ac:dyDescent="0.35">
      <c r="C2457" s="100" t="str">
        <f>IF(OR(Fact_Cumplimiento[[#This Row], [Año]]="",Fact_Cumplimiento[[#This Row], [Mes]]=""),"",DATE(A2457,MATCH(B2457,{"enero","febrero","marzo","abril","mayo","junio","julio","agosto","septiembre","octubre","noviembre","diciembre"},0)+1,0))</f>
        <v/>
      </c>
      <c r="E2457" t="str">
        <f>+IFERROR(VLOOKUP(Fact_Cumplimiento[[#This Row], [Concepto Anterior]],Conceptos_Cumplimiento[#All],5,0),"")</f>
        <v/>
      </c>
      <c r="F2457" t="str">
        <f>+IFERROR(VLOOKUP(Fact_Cumplimiento[[#This Row], 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ht="18.75" customHeight="1" x14ac:dyDescent="0.35">
      <c r="C2458" s="100" t="str">
        <f>IF(OR(Fact_Cumplimiento[[#This Row], [Año]]="",Fact_Cumplimiento[[#This Row], [Mes]]=""),"",DATE(A2458,MATCH(B2458,{"enero","febrero","marzo","abril","mayo","junio","julio","agosto","septiembre","octubre","noviembre","diciembre"},0)+1,0))</f>
        <v/>
      </c>
      <c r="E2458" t="str">
        <f>+IFERROR(VLOOKUP(Fact_Cumplimiento[[#This Row], [Concepto Anterior]],Conceptos_Cumplimiento[#All],5,0),"")</f>
        <v/>
      </c>
      <c r="F2458" t="str">
        <f>+IFERROR(VLOOKUP(Fact_Cumplimiento[[#This Row], 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ht="18.75" customHeight="1" x14ac:dyDescent="0.35">
      <c r="C2459" s="100" t="str">
        <f>IF(OR(Fact_Cumplimiento[[#This Row], [Año]]="",Fact_Cumplimiento[[#This Row], [Mes]]=""),"",DATE(A2459,MATCH(B2459,{"enero","febrero","marzo","abril","mayo","junio","julio","agosto","septiembre","octubre","noviembre","diciembre"},0)+1,0))</f>
        <v/>
      </c>
      <c r="E2459" t="str">
        <f>+IFERROR(VLOOKUP(Fact_Cumplimiento[[#This Row], [Concepto Anterior]],Conceptos_Cumplimiento[#All],5,0),"")</f>
        <v/>
      </c>
      <c r="F2459" t="str">
        <f>+IFERROR(VLOOKUP(Fact_Cumplimiento[[#This Row], 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ht="18.75" customHeight="1" x14ac:dyDescent="0.35">
      <c r="C2460" s="100" t="str">
        <f>IF(OR(Fact_Cumplimiento[[#This Row], [Año]]="",Fact_Cumplimiento[[#This Row], [Mes]]=""),"",DATE(A2460,MATCH(B2460,{"enero","febrero","marzo","abril","mayo","junio","julio","agosto","septiembre","octubre","noviembre","diciembre"},0)+1,0))</f>
        <v/>
      </c>
      <c r="E2460" t="str">
        <f>+IFERROR(VLOOKUP(Fact_Cumplimiento[[#This Row], [Concepto Anterior]],Conceptos_Cumplimiento[#All],5,0),"")</f>
        <v/>
      </c>
      <c r="F2460" t="str">
        <f>+IFERROR(VLOOKUP(Fact_Cumplimiento[[#This Row], 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ht="18.75" customHeight="1" x14ac:dyDescent="0.35">
      <c r="C2461" s="100" t="str">
        <f>IF(OR(Fact_Cumplimiento[[#This Row], [Año]]="",Fact_Cumplimiento[[#This Row], [Mes]]=""),"",DATE(A2461,MATCH(B2461,{"enero","febrero","marzo","abril","mayo","junio","julio","agosto","septiembre","octubre","noviembre","diciembre"},0)+1,0))</f>
        <v/>
      </c>
      <c r="E2461" t="str">
        <f>+IFERROR(VLOOKUP(Fact_Cumplimiento[[#This Row], [Concepto Anterior]],Conceptos_Cumplimiento[#All],5,0),"")</f>
        <v/>
      </c>
      <c r="F2461" t="str">
        <f>+IFERROR(VLOOKUP(Fact_Cumplimiento[[#This Row], 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ht="18.75" customHeight="1" x14ac:dyDescent="0.35">
      <c r="C2462" s="100" t="str">
        <f>IF(OR(Fact_Cumplimiento[[#This Row], [Año]]="",Fact_Cumplimiento[[#This Row], [Mes]]=""),"",DATE(A2462,MATCH(B2462,{"enero","febrero","marzo","abril","mayo","junio","julio","agosto","septiembre","octubre","noviembre","diciembre"},0)+1,0))</f>
        <v/>
      </c>
      <c r="E2462" t="str">
        <f>+IFERROR(VLOOKUP(Fact_Cumplimiento[[#This Row], [Concepto Anterior]],Conceptos_Cumplimiento[#All],5,0),"")</f>
        <v/>
      </c>
      <c r="F2462" t="str">
        <f>+IFERROR(VLOOKUP(Fact_Cumplimiento[[#This Row], 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ht="18.75" customHeight="1" x14ac:dyDescent="0.35">
      <c r="C2463" s="100" t="str">
        <f>IF(OR(Fact_Cumplimiento[[#This Row], [Año]]="",Fact_Cumplimiento[[#This Row], [Mes]]=""),"",DATE(A2463,MATCH(B2463,{"enero","febrero","marzo","abril","mayo","junio","julio","agosto","septiembre","octubre","noviembre","diciembre"},0)+1,0))</f>
        <v/>
      </c>
      <c r="E2463" t="str">
        <f>+IFERROR(VLOOKUP(Fact_Cumplimiento[[#This Row], [Concepto Anterior]],Conceptos_Cumplimiento[#All],5,0),"")</f>
        <v/>
      </c>
      <c r="F2463" t="str">
        <f>+IFERROR(VLOOKUP(Fact_Cumplimiento[[#This Row], 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ht="18.75" customHeight="1" x14ac:dyDescent="0.35">
      <c r="C2464" s="100" t="str">
        <f>IF(OR(Fact_Cumplimiento[[#This Row], [Año]]="",Fact_Cumplimiento[[#This Row], [Mes]]=""),"",DATE(A2464,MATCH(B2464,{"enero","febrero","marzo","abril","mayo","junio","julio","agosto","septiembre","octubre","noviembre","diciembre"},0)+1,0))</f>
        <v/>
      </c>
      <c r="E2464" t="str">
        <f>+IFERROR(VLOOKUP(Fact_Cumplimiento[[#This Row], [Concepto Anterior]],Conceptos_Cumplimiento[#All],5,0),"")</f>
        <v/>
      </c>
      <c r="F2464" t="str">
        <f>+IFERROR(VLOOKUP(Fact_Cumplimiento[[#This Row], 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ht="18.75" customHeight="1" x14ac:dyDescent="0.35">
      <c r="C2465" s="100" t="str">
        <f>IF(OR(Fact_Cumplimiento[[#This Row], [Año]]="",Fact_Cumplimiento[[#This Row], [Mes]]=""),"",DATE(A2465,MATCH(B2465,{"enero","febrero","marzo","abril","mayo","junio","julio","agosto","septiembre","octubre","noviembre","diciembre"},0)+1,0))</f>
        <v/>
      </c>
      <c r="E2465" t="str">
        <f>+IFERROR(VLOOKUP(Fact_Cumplimiento[[#This Row], [Concepto Anterior]],Conceptos_Cumplimiento[#All],5,0),"")</f>
        <v/>
      </c>
      <c r="F2465" t="str">
        <f>+IFERROR(VLOOKUP(Fact_Cumplimiento[[#This Row], 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ht="18.75" customHeight="1" x14ac:dyDescent="0.35">
      <c r="C2466" s="100" t="str">
        <f>IF(OR(Fact_Cumplimiento[[#This Row], [Año]]="",Fact_Cumplimiento[[#This Row], [Mes]]=""),"",DATE(A2466,MATCH(B2466,{"enero","febrero","marzo","abril","mayo","junio","julio","agosto","septiembre","octubre","noviembre","diciembre"},0)+1,0))</f>
        <v/>
      </c>
      <c r="E2466" t="str">
        <f>+IFERROR(VLOOKUP(Fact_Cumplimiento[[#This Row], [Concepto Anterior]],Conceptos_Cumplimiento[#All],5,0),"")</f>
        <v/>
      </c>
      <c r="F2466" t="str">
        <f>+IFERROR(VLOOKUP(Fact_Cumplimiento[[#This Row], 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ht="18.75" customHeight="1" x14ac:dyDescent="0.35">
      <c r="C2467" s="100" t="str">
        <f>IF(OR(Fact_Cumplimiento[[#This Row], [Año]]="",Fact_Cumplimiento[[#This Row], [Mes]]=""),"",DATE(A2467,MATCH(B2467,{"enero","febrero","marzo","abril","mayo","junio","julio","agosto","septiembre","octubre","noviembre","diciembre"},0)+1,0))</f>
        <v/>
      </c>
      <c r="E2467" t="str">
        <f>+IFERROR(VLOOKUP(Fact_Cumplimiento[[#This Row], [Concepto Anterior]],Conceptos_Cumplimiento[#All],5,0),"")</f>
        <v/>
      </c>
      <c r="F2467" t="str">
        <f>+IFERROR(VLOOKUP(Fact_Cumplimiento[[#This Row], 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ht="18.75" customHeight="1" x14ac:dyDescent="0.35">
      <c r="C2468" s="100" t="str">
        <f>IF(OR(Fact_Cumplimiento[[#This Row], [Año]]="",Fact_Cumplimiento[[#This Row], [Mes]]=""),"",DATE(A2468,MATCH(B2468,{"enero","febrero","marzo","abril","mayo","junio","julio","agosto","septiembre","octubre","noviembre","diciembre"},0)+1,0))</f>
        <v/>
      </c>
      <c r="E2468" t="str">
        <f>+IFERROR(VLOOKUP(Fact_Cumplimiento[[#This Row], [Concepto Anterior]],Conceptos_Cumplimiento[#All],5,0),"")</f>
        <v/>
      </c>
      <c r="F2468" t="str">
        <f>+IFERROR(VLOOKUP(Fact_Cumplimiento[[#This Row], 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ht="18.75" customHeight="1" x14ac:dyDescent="0.35">
      <c r="C2469" s="100" t="str">
        <f>IF(OR(Fact_Cumplimiento[[#This Row], [Año]]="",Fact_Cumplimiento[[#This Row], [Mes]]=""),"",DATE(A2469,MATCH(B2469,{"enero","febrero","marzo","abril","mayo","junio","julio","agosto","septiembre","octubre","noviembre","diciembre"},0)+1,0))</f>
        <v/>
      </c>
      <c r="E2469" t="str">
        <f>+IFERROR(VLOOKUP(Fact_Cumplimiento[[#This Row], [Concepto Anterior]],Conceptos_Cumplimiento[#All],5,0),"")</f>
        <v/>
      </c>
      <c r="F2469" t="str">
        <f>+IFERROR(VLOOKUP(Fact_Cumplimiento[[#This Row], 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ht="18.75" customHeight="1" x14ac:dyDescent="0.35">
      <c r="C2470" s="100" t="str">
        <f>IF(OR(Fact_Cumplimiento[[#This Row], [Año]]="",Fact_Cumplimiento[[#This Row], [Mes]]=""),"",DATE(A2470,MATCH(B2470,{"enero","febrero","marzo","abril","mayo","junio","julio","agosto","septiembre","octubre","noviembre","diciembre"},0)+1,0))</f>
        <v/>
      </c>
      <c r="E2470" t="str">
        <f>+IFERROR(VLOOKUP(Fact_Cumplimiento[[#This Row], [Concepto Anterior]],Conceptos_Cumplimiento[#All],5,0),"")</f>
        <v/>
      </c>
      <c r="F2470" t="str">
        <f>+IFERROR(VLOOKUP(Fact_Cumplimiento[[#This Row], 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ht="18.75" customHeight="1" x14ac:dyDescent="0.35">
      <c r="C2471" s="100" t="str">
        <f>IF(OR(Fact_Cumplimiento[[#This Row], [Año]]="",Fact_Cumplimiento[[#This Row], [Mes]]=""),"",DATE(A2471,MATCH(B2471,{"enero","febrero","marzo","abril","mayo","junio","julio","agosto","septiembre","octubre","noviembre","diciembre"},0)+1,0))</f>
        <v/>
      </c>
      <c r="E2471" t="str">
        <f>+IFERROR(VLOOKUP(Fact_Cumplimiento[[#This Row], [Concepto Anterior]],Conceptos_Cumplimiento[#All],5,0),"")</f>
        <v/>
      </c>
      <c r="F2471" t="str">
        <f>+IFERROR(VLOOKUP(Fact_Cumplimiento[[#This Row], 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ht="18.75" customHeight="1" x14ac:dyDescent="0.35">
      <c r="C2472" s="100" t="str">
        <f>IF(OR(Fact_Cumplimiento[[#This Row], [Año]]="",Fact_Cumplimiento[[#This Row], [Mes]]=""),"",DATE(A2472,MATCH(B2472,{"enero","febrero","marzo","abril","mayo","junio","julio","agosto","septiembre","octubre","noviembre","diciembre"},0)+1,0))</f>
        <v/>
      </c>
      <c r="E2472" t="str">
        <f>+IFERROR(VLOOKUP(Fact_Cumplimiento[[#This Row], [Concepto Anterior]],Conceptos_Cumplimiento[#All],5,0),"")</f>
        <v/>
      </c>
      <c r="F2472" t="str">
        <f>+IFERROR(VLOOKUP(Fact_Cumplimiento[[#This Row], 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ht="18.75" customHeight="1" x14ac:dyDescent="0.35">
      <c r="C2473" s="100" t="str">
        <f>IF(OR(Fact_Cumplimiento[[#This Row], [Año]]="",Fact_Cumplimiento[[#This Row], [Mes]]=""),"",DATE(A2473,MATCH(B2473,{"enero","febrero","marzo","abril","mayo","junio","julio","agosto","septiembre","octubre","noviembre","diciembre"},0)+1,0))</f>
        <v/>
      </c>
      <c r="E2473" t="str">
        <f>+IFERROR(VLOOKUP(Fact_Cumplimiento[[#This Row], [Concepto Anterior]],Conceptos_Cumplimiento[#All],5,0),"")</f>
        <v/>
      </c>
      <c r="F2473" t="str">
        <f>+IFERROR(VLOOKUP(Fact_Cumplimiento[[#This Row], 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ht="18.75" customHeight="1" x14ac:dyDescent="0.35">
      <c r="C2474" s="100" t="str">
        <f>IF(OR(Fact_Cumplimiento[[#This Row], [Año]]="",Fact_Cumplimiento[[#This Row], [Mes]]=""),"",DATE(A2474,MATCH(B2474,{"enero","febrero","marzo","abril","mayo","junio","julio","agosto","septiembre","octubre","noviembre","diciembre"},0)+1,0))</f>
        <v/>
      </c>
      <c r="E2474" t="str">
        <f>+IFERROR(VLOOKUP(Fact_Cumplimiento[[#This Row], [Concepto Anterior]],Conceptos_Cumplimiento[#All],5,0),"")</f>
        <v/>
      </c>
      <c r="F2474" t="str">
        <f>+IFERROR(VLOOKUP(Fact_Cumplimiento[[#This Row], 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ht="18.75" customHeight="1" x14ac:dyDescent="0.35">
      <c r="C2475" s="100" t="str">
        <f>IF(OR(Fact_Cumplimiento[[#This Row], [Año]]="",Fact_Cumplimiento[[#This Row], [Mes]]=""),"",DATE(A2475,MATCH(B2475,{"enero","febrero","marzo","abril","mayo","junio","julio","agosto","septiembre","octubre","noviembre","diciembre"},0)+1,0))</f>
        <v/>
      </c>
      <c r="E2475" t="str">
        <f>+IFERROR(VLOOKUP(Fact_Cumplimiento[[#This Row], [Concepto Anterior]],Conceptos_Cumplimiento[#All],5,0),"")</f>
        <v/>
      </c>
      <c r="F2475" t="str">
        <f>+IFERROR(VLOOKUP(Fact_Cumplimiento[[#This Row], 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ht="18.75" customHeight="1" x14ac:dyDescent="0.35">
      <c r="C2476" s="100" t="str">
        <f>IF(OR(Fact_Cumplimiento[[#This Row], [Año]]="",Fact_Cumplimiento[[#This Row], [Mes]]=""),"",DATE(A2476,MATCH(B2476,{"enero","febrero","marzo","abril","mayo","junio","julio","agosto","septiembre","octubre","noviembre","diciembre"},0)+1,0))</f>
        <v/>
      </c>
      <c r="E2476" t="str">
        <f>+IFERROR(VLOOKUP(Fact_Cumplimiento[[#This Row], [Concepto Anterior]],Conceptos_Cumplimiento[#All],5,0),"")</f>
        <v/>
      </c>
      <c r="F2476" t="str">
        <f>+IFERROR(VLOOKUP(Fact_Cumplimiento[[#This Row], 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ht="18.75" customHeight="1" x14ac:dyDescent="0.35">
      <c r="C2477" s="100" t="str">
        <f>IF(OR(Fact_Cumplimiento[[#This Row], [Año]]="",Fact_Cumplimiento[[#This Row], [Mes]]=""),"",DATE(A2477,MATCH(B2477,{"enero","febrero","marzo","abril","mayo","junio","julio","agosto","septiembre","octubre","noviembre","diciembre"},0)+1,0))</f>
        <v/>
      </c>
      <c r="E2477" t="str">
        <f>+IFERROR(VLOOKUP(Fact_Cumplimiento[[#This Row], [Concepto Anterior]],Conceptos_Cumplimiento[#All],5,0),"")</f>
        <v/>
      </c>
      <c r="F2477" t="str">
        <f>+IFERROR(VLOOKUP(Fact_Cumplimiento[[#This Row], 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ht="18.75" customHeight="1" x14ac:dyDescent="0.35">
      <c r="C2478" s="100" t="str">
        <f>IF(OR(Fact_Cumplimiento[[#This Row], [Año]]="",Fact_Cumplimiento[[#This Row], [Mes]]=""),"",DATE(A2478,MATCH(B2478,{"enero","febrero","marzo","abril","mayo","junio","julio","agosto","septiembre","octubre","noviembre","diciembre"},0)+1,0))</f>
        <v/>
      </c>
      <c r="E2478" t="str">
        <f>+IFERROR(VLOOKUP(Fact_Cumplimiento[[#This Row], [Concepto Anterior]],Conceptos_Cumplimiento[#All],5,0),"")</f>
        <v/>
      </c>
      <c r="F2478" t="str">
        <f>+IFERROR(VLOOKUP(Fact_Cumplimiento[[#This Row], 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ht="18.75" customHeight="1" x14ac:dyDescent="0.35">
      <c r="C2479" s="100" t="str">
        <f>IF(OR(Fact_Cumplimiento[[#This Row], [Año]]="",Fact_Cumplimiento[[#This Row], [Mes]]=""),"",DATE(A2479,MATCH(B2479,{"enero","febrero","marzo","abril","mayo","junio","julio","agosto","septiembre","octubre","noviembre","diciembre"},0)+1,0))</f>
        <v/>
      </c>
      <c r="E2479" t="str">
        <f>+IFERROR(VLOOKUP(Fact_Cumplimiento[[#This Row], [Concepto Anterior]],Conceptos_Cumplimiento[#All],5,0),"")</f>
        <v/>
      </c>
      <c r="F2479" t="str">
        <f>+IFERROR(VLOOKUP(Fact_Cumplimiento[[#This Row], 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ht="18.75" customHeight="1" x14ac:dyDescent="0.35">
      <c r="C2480" s="100" t="str">
        <f>IF(OR(Fact_Cumplimiento[[#This Row], [Año]]="",Fact_Cumplimiento[[#This Row], [Mes]]=""),"",DATE(A2480,MATCH(B2480,{"enero","febrero","marzo","abril","mayo","junio","julio","agosto","septiembre","octubre","noviembre","diciembre"},0)+1,0))</f>
        <v/>
      </c>
      <c r="E2480" t="str">
        <f>+IFERROR(VLOOKUP(Fact_Cumplimiento[[#This Row], [Concepto Anterior]],Conceptos_Cumplimiento[#All],5,0),"")</f>
        <v/>
      </c>
      <c r="F2480" t="str">
        <f>+IFERROR(VLOOKUP(Fact_Cumplimiento[[#This Row], 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ht="18.75" customHeight="1" x14ac:dyDescent="0.35">
      <c r="C2481" s="100" t="str">
        <f>IF(OR(Fact_Cumplimiento[[#This Row], [Año]]="",Fact_Cumplimiento[[#This Row], [Mes]]=""),"",DATE(A2481,MATCH(B2481,{"enero","febrero","marzo","abril","mayo","junio","julio","agosto","septiembre","octubre","noviembre","diciembre"},0)+1,0))</f>
        <v/>
      </c>
      <c r="E2481" t="str">
        <f>+IFERROR(VLOOKUP(Fact_Cumplimiento[[#This Row], [Concepto Anterior]],Conceptos_Cumplimiento[#All],5,0),"")</f>
        <v/>
      </c>
      <c r="F2481" t="str">
        <f>+IFERROR(VLOOKUP(Fact_Cumplimiento[[#This Row], 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ht="18.75" customHeight="1" x14ac:dyDescent="0.35">
      <c r="C2482" s="100" t="str">
        <f>IF(OR(Fact_Cumplimiento[[#This Row], [Año]]="",Fact_Cumplimiento[[#This Row], [Mes]]=""),"",DATE(A2482,MATCH(B2482,{"enero","febrero","marzo","abril","mayo","junio","julio","agosto","septiembre","octubre","noviembre","diciembre"},0)+1,0))</f>
        <v/>
      </c>
      <c r="E2482" t="str">
        <f>+IFERROR(VLOOKUP(Fact_Cumplimiento[[#This Row], [Concepto Anterior]],Conceptos_Cumplimiento[#All],5,0),"")</f>
        <v/>
      </c>
      <c r="F2482" t="str">
        <f>+IFERROR(VLOOKUP(Fact_Cumplimiento[[#This Row], 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ht="18.75" customHeight="1" x14ac:dyDescent="0.35">
      <c r="C2483" s="100" t="str">
        <f>IF(OR(Fact_Cumplimiento[[#This Row], [Año]]="",Fact_Cumplimiento[[#This Row], [Mes]]=""),"",DATE(A2483,MATCH(B2483,{"enero","febrero","marzo","abril","mayo","junio","julio","agosto","septiembre","octubre","noviembre","diciembre"},0)+1,0))</f>
        <v/>
      </c>
      <c r="E2483" t="str">
        <f>+IFERROR(VLOOKUP(Fact_Cumplimiento[[#This Row], [Concepto Anterior]],Conceptos_Cumplimiento[#All],5,0),"")</f>
        <v/>
      </c>
      <c r="F2483" t="str">
        <f>+IFERROR(VLOOKUP(Fact_Cumplimiento[[#This Row], 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ht="18.75" customHeight="1" x14ac:dyDescent="0.35">
      <c r="C2484" s="100" t="str">
        <f>IF(OR(Fact_Cumplimiento[[#This Row], [Año]]="",Fact_Cumplimiento[[#This Row], [Mes]]=""),"",DATE(A2484,MATCH(B2484,{"enero","febrero","marzo","abril","mayo","junio","julio","agosto","septiembre","octubre","noviembre","diciembre"},0)+1,0))</f>
        <v/>
      </c>
      <c r="E2484" t="str">
        <f>+IFERROR(VLOOKUP(Fact_Cumplimiento[[#This Row], [Concepto Anterior]],Conceptos_Cumplimiento[#All],5,0),"")</f>
        <v/>
      </c>
      <c r="F2484" t="str">
        <f>+IFERROR(VLOOKUP(Fact_Cumplimiento[[#This Row], 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ht="18.75" customHeight="1" x14ac:dyDescent="0.35">
      <c r="C2485" s="100" t="str">
        <f>IF(OR(Fact_Cumplimiento[[#This Row], [Año]]="",Fact_Cumplimiento[[#This Row], [Mes]]=""),"",DATE(A2485,MATCH(B2485,{"enero","febrero","marzo","abril","mayo","junio","julio","agosto","septiembre","octubre","noviembre","diciembre"},0)+1,0))</f>
        <v/>
      </c>
      <c r="E2485" t="str">
        <f>+IFERROR(VLOOKUP(Fact_Cumplimiento[[#This Row], [Concepto Anterior]],Conceptos_Cumplimiento[#All],5,0),"")</f>
        <v/>
      </c>
      <c r="F2485" t="str">
        <f>+IFERROR(VLOOKUP(Fact_Cumplimiento[[#This Row], 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ht="18.75" customHeight="1" x14ac:dyDescent="0.35">
      <c r="C2486" s="100" t="str">
        <f>IF(OR(Fact_Cumplimiento[[#This Row], [Año]]="",Fact_Cumplimiento[[#This Row], [Mes]]=""),"",DATE(A2486,MATCH(B2486,{"enero","febrero","marzo","abril","mayo","junio","julio","agosto","septiembre","octubre","noviembre","diciembre"},0)+1,0))</f>
        <v/>
      </c>
      <c r="E2486" t="str">
        <f>+IFERROR(VLOOKUP(Fact_Cumplimiento[[#This Row], [Concepto Anterior]],Conceptos_Cumplimiento[#All],5,0),"")</f>
        <v/>
      </c>
      <c r="F2486" t="str">
        <f>+IFERROR(VLOOKUP(Fact_Cumplimiento[[#This Row], 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ht="18.75" customHeight="1" x14ac:dyDescent="0.35">
      <c r="C2487" s="100" t="str">
        <f>IF(OR(Fact_Cumplimiento[[#This Row], [Año]]="",Fact_Cumplimiento[[#This Row], [Mes]]=""),"",DATE(A2487,MATCH(B2487,{"enero","febrero","marzo","abril","mayo","junio","julio","agosto","septiembre","octubre","noviembre","diciembre"},0)+1,0))</f>
        <v/>
      </c>
      <c r="E2487" t="str">
        <f>+IFERROR(VLOOKUP(Fact_Cumplimiento[[#This Row], [Concepto Anterior]],Conceptos_Cumplimiento[#All],5,0),"")</f>
        <v/>
      </c>
      <c r="F2487" t="str">
        <f>+IFERROR(VLOOKUP(Fact_Cumplimiento[[#This Row], 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ht="18.75" customHeight="1" x14ac:dyDescent="0.35">
      <c r="C2488" s="100" t="str">
        <f>IF(OR(Fact_Cumplimiento[[#This Row], [Año]]="",Fact_Cumplimiento[[#This Row], [Mes]]=""),"",DATE(A2488,MATCH(B2488,{"enero","febrero","marzo","abril","mayo","junio","julio","agosto","septiembre","octubre","noviembre","diciembre"},0)+1,0))</f>
        <v/>
      </c>
      <c r="E2488" t="str">
        <f>+IFERROR(VLOOKUP(Fact_Cumplimiento[[#This Row], [Concepto Anterior]],Conceptos_Cumplimiento[#All],5,0),"")</f>
        <v/>
      </c>
      <c r="F2488" t="str">
        <f>+IFERROR(VLOOKUP(Fact_Cumplimiento[[#This Row], 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ht="18.75" customHeight="1" x14ac:dyDescent="0.35">
      <c r="C2489" s="100" t="str">
        <f>IF(OR(Fact_Cumplimiento[[#This Row], [Año]]="",Fact_Cumplimiento[[#This Row], [Mes]]=""),"",DATE(A2489,MATCH(B2489,{"enero","febrero","marzo","abril","mayo","junio","julio","agosto","septiembre","octubre","noviembre","diciembre"},0)+1,0))</f>
        <v/>
      </c>
      <c r="E2489" t="str">
        <f>+IFERROR(VLOOKUP(Fact_Cumplimiento[[#This Row], [Concepto Anterior]],Conceptos_Cumplimiento[#All],5,0),"")</f>
        <v/>
      </c>
      <c r="F2489" t="str">
        <f>+IFERROR(VLOOKUP(Fact_Cumplimiento[[#This Row], 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ht="18.75" customHeight="1" x14ac:dyDescent="0.35">
      <c r="C2490" s="100" t="str">
        <f>IF(OR(Fact_Cumplimiento[[#This Row], [Año]]="",Fact_Cumplimiento[[#This Row], [Mes]]=""),"",DATE(A2490,MATCH(B2490,{"enero","febrero","marzo","abril","mayo","junio","julio","agosto","septiembre","octubre","noviembre","diciembre"},0)+1,0))</f>
        <v/>
      </c>
      <c r="E2490" t="str">
        <f>+IFERROR(VLOOKUP(Fact_Cumplimiento[[#This Row], [Concepto Anterior]],Conceptos_Cumplimiento[#All],5,0),"")</f>
        <v/>
      </c>
      <c r="F2490" t="str">
        <f>+IFERROR(VLOOKUP(Fact_Cumplimiento[[#This Row], 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ht="18.75" customHeight="1" x14ac:dyDescent="0.35">
      <c r="C2491" s="100" t="str">
        <f>IF(OR(Fact_Cumplimiento[[#This Row], [Año]]="",Fact_Cumplimiento[[#This Row], [Mes]]=""),"",DATE(A2491,MATCH(B2491,{"enero","febrero","marzo","abril","mayo","junio","julio","agosto","septiembre","octubre","noviembre","diciembre"},0)+1,0))</f>
        <v/>
      </c>
      <c r="E2491" t="str">
        <f>+IFERROR(VLOOKUP(Fact_Cumplimiento[[#This Row], [Concepto Anterior]],Conceptos_Cumplimiento[#All],5,0),"")</f>
        <v/>
      </c>
      <c r="F2491" t="str">
        <f>+IFERROR(VLOOKUP(Fact_Cumplimiento[[#This Row], 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ht="18.75" customHeight="1" x14ac:dyDescent="0.35">
      <c r="C2492" s="100" t="str">
        <f>IF(OR(Fact_Cumplimiento[[#This Row], [Año]]="",Fact_Cumplimiento[[#This Row], [Mes]]=""),"",DATE(A2492,MATCH(B2492,{"enero","febrero","marzo","abril","mayo","junio","julio","agosto","septiembre","octubre","noviembre","diciembre"},0)+1,0))</f>
        <v/>
      </c>
      <c r="E2492" t="str">
        <f>+IFERROR(VLOOKUP(Fact_Cumplimiento[[#This Row], [Concepto Anterior]],Conceptos_Cumplimiento[#All],5,0),"")</f>
        <v/>
      </c>
      <c r="F2492" t="str">
        <f>+IFERROR(VLOOKUP(Fact_Cumplimiento[[#This Row], 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ht="18.75" customHeight="1" x14ac:dyDescent="0.35">
      <c r="C2493" s="100" t="str">
        <f>IF(OR(Fact_Cumplimiento[[#This Row], [Año]]="",Fact_Cumplimiento[[#This Row], [Mes]]=""),"",DATE(A2493,MATCH(B2493,{"enero","febrero","marzo","abril","mayo","junio","julio","agosto","septiembre","octubre","noviembre","diciembre"},0)+1,0))</f>
        <v/>
      </c>
      <c r="E2493" t="str">
        <f>+IFERROR(VLOOKUP(Fact_Cumplimiento[[#This Row], [Concepto Anterior]],Conceptos_Cumplimiento[#All],5,0),"")</f>
        <v/>
      </c>
      <c r="F2493" t="str">
        <f>+IFERROR(VLOOKUP(Fact_Cumplimiento[[#This Row], 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ht="18.75" customHeight="1" x14ac:dyDescent="0.35">
      <c r="C2494" s="100" t="str">
        <f>IF(OR(Fact_Cumplimiento[[#This Row], [Año]]="",Fact_Cumplimiento[[#This Row], [Mes]]=""),"",DATE(A2494,MATCH(B2494,{"enero","febrero","marzo","abril","mayo","junio","julio","agosto","septiembre","octubre","noviembre","diciembre"},0)+1,0))</f>
        <v/>
      </c>
      <c r="E2494" t="str">
        <f>+IFERROR(VLOOKUP(Fact_Cumplimiento[[#This Row], [Concepto Anterior]],Conceptos_Cumplimiento[#All],5,0),"")</f>
        <v/>
      </c>
      <c r="F2494" t="str">
        <f>+IFERROR(VLOOKUP(Fact_Cumplimiento[[#This Row], 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ht="18.75" customHeight="1" x14ac:dyDescent="0.35">
      <c r="C2495" s="100" t="str">
        <f>IF(OR(Fact_Cumplimiento[[#This Row], [Año]]="",Fact_Cumplimiento[[#This Row], [Mes]]=""),"",DATE(A2495,MATCH(B2495,{"enero","febrero","marzo","abril","mayo","junio","julio","agosto","septiembre","octubre","noviembre","diciembre"},0)+1,0))</f>
        <v/>
      </c>
      <c r="E2495" t="str">
        <f>+IFERROR(VLOOKUP(Fact_Cumplimiento[[#This Row], [Concepto Anterior]],Conceptos_Cumplimiento[#All],5,0),"")</f>
        <v/>
      </c>
      <c r="F2495" t="str">
        <f>+IFERROR(VLOOKUP(Fact_Cumplimiento[[#This Row], 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ht="18.75" customHeight="1" x14ac:dyDescent="0.35">
      <c r="C2496" s="100" t="str">
        <f>IF(OR(Fact_Cumplimiento[[#This Row], [Año]]="",Fact_Cumplimiento[[#This Row], [Mes]]=""),"",DATE(A2496,MATCH(B2496,{"enero","febrero","marzo","abril","mayo","junio","julio","agosto","septiembre","octubre","noviembre","diciembre"},0)+1,0))</f>
        <v/>
      </c>
      <c r="E2496" t="str">
        <f>+IFERROR(VLOOKUP(Fact_Cumplimiento[[#This Row], [Concepto Anterior]],Conceptos_Cumplimiento[#All],5,0),"")</f>
        <v/>
      </c>
      <c r="F2496" t="str">
        <f>+IFERROR(VLOOKUP(Fact_Cumplimiento[[#This Row], 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ht="18.75" customHeight="1" x14ac:dyDescent="0.35">
      <c r="C2497" s="100" t="str">
        <f>IF(OR(Fact_Cumplimiento[[#This Row], [Año]]="",Fact_Cumplimiento[[#This Row], [Mes]]=""),"",DATE(A2497,MATCH(B2497,{"enero","febrero","marzo","abril","mayo","junio","julio","agosto","septiembre","octubre","noviembre","diciembre"},0)+1,0))</f>
        <v/>
      </c>
      <c r="E2497" t="str">
        <f>+IFERROR(VLOOKUP(Fact_Cumplimiento[[#This Row], [Concepto Anterior]],Conceptos_Cumplimiento[#All],5,0),"")</f>
        <v/>
      </c>
      <c r="F2497" t="str">
        <f>+IFERROR(VLOOKUP(Fact_Cumplimiento[[#This Row], 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ht="18.75" customHeight="1" x14ac:dyDescent="0.35">
      <c r="C2498" s="100" t="str">
        <f>IF(OR(Fact_Cumplimiento[[#This Row], [Año]]="",Fact_Cumplimiento[[#This Row], [Mes]]=""),"",DATE(A2498,MATCH(B2498,{"enero","febrero","marzo","abril","mayo","junio","julio","agosto","septiembre","octubre","noviembre","diciembre"},0)+1,0))</f>
        <v/>
      </c>
      <c r="E2498" t="str">
        <f>+IFERROR(VLOOKUP(Fact_Cumplimiento[[#This Row], [Concepto Anterior]],Conceptos_Cumplimiento[#All],5,0),"")</f>
        <v/>
      </c>
      <c r="F2498" t="str">
        <f>+IFERROR(VLOOKUP(Fact_Cumplimiento[[#This Row], 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ht="18.75" customHeight="1" x14ac:dyDescent="0.35">
      <c r="C2499" s="100" t="str">
        <f>IF(OR(Fact_Cumplimiento[[#This Row], [Año]]="",Fact_Cumplimiento[[#This Row], [Mes]]=""),"",DATE(A2499,MATCH(B2499,{"enero","febrero","marzo","abril","mayo","junio","julio","agosto","septiembre","octubre","noviembre","diciembre"},0)+1,0))</f>
        <v/>
      </c>
      <c r="E2499" t="str">
        <f>+IFERROR(VLOOKUP(Fact_Cumplimiento[[#This Row], [Concepto Anterior]],Conceptos_Cumplimiento[#All],5,0),"")</f>
        <v/>
      </c>
      <c r="F2499" t="str">
        <f>+IFERROR(VLOOKUP(Fact_Cumplimiento[[#This Row], 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ht="18.75" customHeight="1" x14ac:dyDescent="0.35">
      <c r="C2500" s="100" t="str">
        <f>IF(OR(Fact_Cumplimiento[[#This Row], [Año]]="",Fact_Cumplimiento[[#This Row], [Mes]]=""),"",DATE(A2500,MATCH(B2500,{"enero","febrero","marzo","abril","mayo","junio","julio","agosto","septiembre","octubre","noviembre","diciembre"},0)+1,0))</f>
        <v/>
      </c>
      <c r="E2500" t="str">
        <f>+IFERROR(VLOOKUP(Fact_Cumplimiento[[#This Row], [Concepto Anterior]],Conceptos_Cumplimiento[#All],5,0),"")</f>
        <v/>
      </c>
      <c r="F2500" t="str">
        <f>+IFERROR(VLOOKUP(Fact_Cumplimiento[[#This Row], 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ht="18.75" customHeight="1" x14ac:dyDescent="0.35">
      <c r="C2501" s="100" t="str">
        <f>IF(OR(Fact_Cumplimiento[[#This Row], [Año]]="",Fact_Cumplimiento[[#This Row], [Mes]]=""),"",DATE(A2501,MATCH(B2501,{"enero","febrero","marzo","abril","mayo","junio","julio","agosto","septiembre","octubre","noviembre","diciembre"},0)+1,0))</f>
        <v/>
      </c>
      <c r="E2501" t="str">
        <f>+IFERROR(VLOOKUP(Fact_Cumplimiento[[#This Row], [Concepto Anterior]],Conceptos_Cumplimiento[#All],5,0),"")</f>
        <v/>
      </c>
      <c r="F2501" t="str">
        <f>+IFERROR(VLOOKUP(Fact_Cumplimiento[[#This Row], 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ht="18.75" customHeight="1" x14ac:dyDescent="0.35">
      <c r="C2502" s="100" t="str">
        <f>IF(OR(Fact_Cumplimiento[[#This Row], [Año]]="",Fact_Cumplimiento[[#This Row], [Mes]]=""),"",DATE(A2502,MATCH(B2502,{"enero","febrero","marzo","abril","mayo","junio","julio","agosto","septiembre","octubre","noviembre","diciembre"},0)+1,0))</f>
        <v/>
      </c>
      <c r="E2502" t="str">
        <f>+IFERROR(VLOOKUP(Fact_Cumplimiento[[#This Row], [Concepto Anterior]],Conceptos_Cumplimiento[#All],5,0),"")</f>
        <v/>
      </c>
      <c r="F2502" t="str">
        <f>+IFERROR(VLOOKUP(Fact_Cumplimiento[[#This Row], 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ht="18.75" customHeight="1" x14ac:dyDescent="0.35">
      <c r="C2503" s="100" t="str">
        <f>IF(OR(Fact_Cumplimiento[[#This Row], [Año]]="",Fact_Cumplimiento[[#This Row], [Mes]]=""),"",DATE(A2503,MATCH(B2503,{"enero","febrero","marzo","abril","mayo","junio","julio","agosto","septiembre","octubre","noviembre","diciembre"},0)+1,0))</f>
        <v/>
      </c>
      <c r="E2503" t="str">
        <f>+IFERROR(VLOOKUP(Fact_Cumplimiento[[#This Row], [Concepto Anterior]],Conceptos_Cumplimiento[#All],5,0),"")</f>
        <v/>
      </c>
      <c r="F2503" t="str">
        <f>+IFERROR(VLOOKUP(Fact_Cumplimiento[[#This Row], 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ht="18.75" customHeight="1" x14ac:dyDescent="0.35">
      <c r="C2504" s="100" t="str">
        <f>IF(OR(Fact_Cumplimiento[[#This Row], [Año]]="",Fact_Cumplimiento[[#This Row], [Mes]]=""),"",DATE(A2504,MATCH(B2504,{"enero","febrero","marzo","abril","mayo","junio","julio","agosto","septiembre","octubre","noviembre","diciembre"},0)+1,0))</f>
        <v/>
      </c>
      <c r="E2504" t="str">
        <f>+IFERROR(VLOOKUP(Fact_Cumplimiento[[#This Row], [Concepto Anterior]],Conceptos_Cumplimiento[#All],5,0),"")</f>
        <v/>
      </c>
      <c r="F2504" t="str">
        <f>+IFERROR(VLOOKUP(Fact_Cumplimiento[[#This Row], 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ht="18.75" customHeight="1" x14ac:dyDescent="0.35">
      <c r="C2505" s="100" t="str">
        <f>IF(OR(Fact_Cumplimiento[[#This Row], [Año]]="",Fact_Cumplimiento[[#This Row], [Mes]]=""),"",DATE(A2505,MATCH(B2505,{"enero","febrero","marzo","abril","mayo","junio","julio","agosto","septiembre","octubre","noviembre","diciembre"},0)+1,0))</f>
        <v/>
      </c>
      <c r="E2505" t="str">
        <f>+IFERROR(VLOOKUP(Fact_Cumplimiento[[#This Row], [Concepto Anterior]],Conceptos_Cumplimiento[#All],5,0),"")</f>
        <v/>
      </c>
      <c r="F2505" t="str">
        <f>+IFERROR(VLOOKUP(Fact_Cumplimiento[[#This Row], 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ht="18.75" customHeight="1" x14ac:dyDescent="0.35">
      <c r="C2506" s="100" t="str">
        <f>IF(OR(Fact_Cumplimiento[[#This Row], [Año]]="",Fact_Cumplimiento[[#This Row], [Mes]]=""),"",DATE(A2506,MATCH(B2506,{"enero","febrero","marzo","abril","mayo","junio","julio","agosto","septiembre","octubre","noviembre","diciembre"},0)+1,0))</f>
        <v/>
      </c>
      <c r="E2506" t="str">
        <f>+IFERROR(VLOOKUP(Fact_Cumplimiento[[#This Row], [Concepto Anterior]],Conceptos_Cumplimiento[#All],5,0),"")</f>
        <v/>
      </c>
      <c r="F2506" t="str">
        <f>+IFERROR(VLOOKUP(Fact_Cumplimiento[[#This Row], 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ht="18.75" customHeight="1" x14ac:dyDescent="0.35">
      <c r="C2507" s="100" t="str">
        <f>IF(OR(Fact_Cumplimiento[[#This Row], [Año]]="",Fact_Cumplimiento[[#This Row], [Mes]]=""),"",DATE(A2507,MATCH(B2507,{"enero","febrero","marzo","abril","mayo","junio","julio","agosto","septiembre","octubre","noviembre","diciembre"},0)+1,0))</f>
        <v/>
      </c>
      <c r="E2507" t="str">
        <f>+IFERROR(VLOOKUP(Fact_Cumplimiento[[#This Row], [Concepto Anterior]],Conceptos_Cumplimiento[#All],5,0),"")</f>
        <v/>
      </c>
      <c r="F2507" t="str">
        <f>+IFERROR(VLOOKUP(Fact_Cumplimiento[[#This Row], 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ht="18.75" customHeight="1" x14ac:dyDescent="0.35">
      <c r="C2508" s="100" t="str">
        <f>IF(OR(Fact_Cumplimiento[[#This Row], [Año]]="",Fact_Cumplimiento[[#This Row], [Mes]]=""),"",DATE(A2508,MATCH(B2508,{"enero","febrero","marzo","abril","mayo","junio","julio","agosto","septiembre","octubre","noviembre","diciembre"},0)+1,0))</f>
        <v/>
      </c>
      <c r="E2508" t="str">
        <f>+IFERROR(VLOOKUP(Fact_Cumplimiento[[#This Row], [Concepto Anterior]],Conceptos_Cumplimiento[#All],5,0),"")</f>
        <v/>
      </c>
      <c r="F2508" t="str">
        <f>+IFERROR(VLOOKUP(Fact_Cumplimiento[[#This Row], 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ht="18.75" customHeight="1" x14ac:dyDescent="0.35">
      <c r="C2509" s="100" t="str">
        <f>IF(OR(Fact_Cumplimiento[[#This Row], [Año]]="",Fact_Cumplimiento[[#This Row], [Mes]]=""),"",DATE(A2509,MATCH(B2509,{"enero","febrero","marzo","abril","mayo","junio","julio","agosto","septiembre","octubre","noviembre","diciembre"},0)+1,0))</f>
        <v/>
      </c>
      <c r="E2509" t="str">
        <f>+IFERROR(VLOOKUP(Fact_Cumplimiento[[#This Row], [Concepto Anterior]],Conceptos_Cumplimiento[#All],5,0),"")</f>
        <v/>
      </c>
      <c r="F2509" t="str">
        <f>+IFERROR(VLOOKUP(Fact_Cumplimiento[[#This Row], 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ht="18.75" customHeight="1" x14ac:dyDescent="0.35">
      <c r="C2510" s="100" t="str">
        <f>IF(OR(Fact_Cumplimiento[[#This Row], [Año]]="",Fact_Cumplimiento[[#This Row], [Mes]]=""),"",DATE(A2510,MATCH(B2510,{"enero","febrero","marzo","abril","mayo","junio","julio","agosto","septiembre","octubre","noviembre","diciembre"},0)+1,0))</f>
        <v/>
      </c>
      <c r="E2510" t="str">
        <f>+IFERROR(VLOOKUP(Fact_Cumplimiento[[#This Row], [Concepto Anterior]],Conceptos_Cumplimiento[#All],5,0),"")</f>
        <v/>
      </c>
      <c r="F2510" t="str">
        <f>+IFERROR(VLOOKUP(Fact_Cumplimiento[[#This Row], 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ht="18.75" customHeight="1" x14ac:dyDescent="0.35">
      <c r="C2511" s="100" t="str">
        <f>IF(OR(Fact_Cumplimiento[[#This Row], [Año]]="",Fact_Cumplimiento[[#This Row], [Mes]]=""),"",DATE(A2511,MATCH(B2511,{"enero","febrero","marzo","abril","mayo","junio","julio","agosto","septiembre","octubre","noviembre","diciembre"},0)+1,0))</f>
        <v/>
      </c>
      <c r="E2511" t="str">
        <f>+IFERROR(VLOOKUP(Fact_Cumplimiento[[#This Row], [Concepto Anterior]],Conceptos_Cumplimiento[#All],5,0),"")</f>
        <v/>
      </c>
      <c r="F2511" t="str">
        <f>+IFERROR(VLOOKUP(Fact_Cumplimiento[[#This Row], 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ht="18.75" customHeight="1" x14ac:dyDescent="0.35">
      <c r="C2512" s="100" t="str">
        <f>IF(OR(Fact_Cumplimiento[[#This Row], [Año]]="",Fact_Cumplimiento[[#This Row], [Mes]]=""),"",DATE(A2512,MATCH(B2512,{"enero","febrero","marzo","abril","mayo","junio","julio","agosto","septiembre","octubre","noviembre","diciembre"},0)+1,0))</f>
        <v/>
      </c>
      <c r="E2512" t="str">
        <f>+IFERROR(VLOOKUP(Fact_Cumplimiento[[#This Row], [Concepto Anterior]],Conceptos_Cumplimiento[#All],5,0),"")</f>
        <v/>
      </c>
      <c r="F2512" t="str">
        <f>+IFERROR(VLOOKUP(Fact_Cumplimiento[[#This Row], 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ht="18.75" customHeight="1" x14ac:dyDescent="0.35">
      <c r="C2513" s="100" t="str">
        <f>IF(OR(Fact_Cumplimiento[[#This Row], [Año]]="",Fact_Cumplimiento[[#This Row], [Mes]]=""),"",DATE(A2513,MATCH(B2513,{"enero","febrero","marzo","abril","mayo","junio","julio","agosto","septiembre","octubre","noviembre","diciembre"},0)+1,0))</f>
        <v/>
      </c>
      <c r="E2513" t="str">
        <f>+IFERROR(VLOOKUP(Fact_Cumplimiento[[#This Row], [Concepto Anterior]],Conceptos_Cumplimiento[#All],5,0),"")</f>
        <v/>
      </c>
      <c r="F2513" t="str">
        <f>+IFERROR(VLOOKUP(Fact_Cumplimiento[[#This Row], 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ht="18.75" customHeight="1" x14ac:dyDescent="0.35">
      <c r="C2514" s="100" t="str">
        <f>IF(OR(Fact_Cumplimiento[[#This Row], [Año]]="",Fact_Cumplimiento[[#This Row], [Mes]]=""),"",DATE(A2514,MATCH(B2514,{"enero","febrero","marzo","abril","mayo","junio","julio","agosto","septiembre","octubre","noviembre","diciembre"},0)+1,0))</f>
        <v/>
      </c>
      <c r="E2514" t="str">
        <f>+IFERROR(VLOOKUP(Fact_Cumplimiento[[#This Row], [Concepto Anterior]],Conceptos_Cumplimiento[#All],5,0),"")</f>
        <v/>
      </c>
      <c r="F2514" t="str">
        <f>+IFERROR(VLOOKUP(Fact_Cumplimiento[[#This Row], 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ht="18.75" customHeight="1" x14ac:dyDescent="0.35">
      <c r="C2515" s="100" t="str">
        <f>IF(OR(Fact_Cumplimiento[[#This Row], [Año]]="",Fact_Cumplimiento[[#This Row], [Mes]]=""),"",DATE(A2515,MATCH(B2515,{"enero","febrero","marzo","abril","mayo","junio","julio","agosto","septiembre","octubre","noviembre","diciembre"},0)+1,0))</f>
        <v/>
      </c>
      <c r="E2515" t="str">
        <f>+IFERROR(VLOOKUP(Fact_Cumplimiento[[#This Row], [Concepto Anterior]],Conceptos_Cumplimiento[#All],5,0),"")</f>
        <v/>
      </c>
      <c r="F2515" t="str">
        <f>+IFERROR(VLOOKUP(Fact_Cumplimiento[[#This Row], 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ht="18.75" customHeight="1" x14ac:dyDescent="0.35">
      <c r="C2516" s="100" t="str">
        <f>IF(OR(Fact_Cumplimiento[[#This Row], [Año]]="",Fact_Cumplimiento[[#This Row], [Mes]]=""),"",DATE(A2516,MATCH(B2516,{"enero","febrero","marzo","abril","mayo","junio","julio","agosto","septiembre","octubre","noviembre","diciembre"},0)+1,0))</f>
        <v/>
      </c>
      <c r="E2516" t="str">
        <f>+IFERROR(VLOOKUP(Fact_Cumplimiento[[#This Row], [Concepto Anterior]],Conceptos_Cumplimiento[#All],5,0),"")</f>
        <v/>
      </c>
      <c r="F2516" t="str">
        <f>+IFERROR(VLOOKUP(Fact_Cumplimiento[[#This Row], 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ht="18.75" customHeight="1" x14ac:dyDescent="0.35">
      <c r="C2517" s="100" t="str">
        <f>IF(OR(Fact_Cumplimiento[[#This Row], [Año]]="",Fact_Cumplimiento[[#This Row], [Mes]]=""),"",DATE(A2517,MATCH(B2517,{"enero","febrero","marzo","abril","mayo","junio","julio","agosto","septiembre","octubre","noviembre","diciembre"},0)+1,0))</f>
        <v/>
      </c>
      <c r="E2517" t="str">
        <f>+IFERROR(VLOOKUP(Fact_Cumplimiento[[#This Row], [Concepto Anterior]],Conceptos_Cumplimiento[#All],5,0),"")</f>
        <v/>
      </c>
      <c r="F2517" t="str">
        <f>+IFERROR(VLOOKUP(Fact_Cumplimiento[[#This Row], 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ht="18.75" customHeight="1" x14ac:dyDescent="0.35">
      <c r="C2518" s="100" t="str">
        <f>IF(OR(Fact_Cumplimiento[[#This Row], [Año]]="",Fact_Cumplimiento[[#This Row], [Mes]]=""),"",DATE(A2518,MATCH(B2518,{"enero","febrero","marzo","abril","mayo","junio","julio","agosto","septiembre","octubre","noviembre","diciembre"},0)+1,0))</f>
        <v/>
      </c>
      <c r="E2518" t="str">
        <f>+IFERROR(VLOOKUP(Fact_Cumplimiento[[#This Row], [Concepto Anterior]],Conceptos_Cumplimiento[#All],5,0),"")</f>
        <v/>
      </c>
      <c r="F2518" t="str">
        <f>+IFERROR(VLOOKUP(Fact_Cumplimiento[[#This Row], 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ht="18.75" customHeight="1" x14ac:dyDescent="0.35">
      <c r="C2519" s="100" t="str">
        <f>IF(OR(Fact_Cumplimiento[[#This Row], [Año]]="",Fact_Cumplimiento[[#This Row], [Mes]]=""),"",DATE(A2519,MATCH(B2519,{"enero","febrero","marzo","abril","mayo","junio","julio","agosto","septiembre","octubre","noviembre","diciembre"},0)+1,0))</f>
        <v/>
      </c>
      <c r="E2519" t="str">
        <f>+IFERROR(VLOOKUP(Fact_Cumplimiento[[#This Row], [Concepto Anterior]],Conceptos_Cumplimiento[#All],5,0),"")</f>
        <v/>
      </c>
      <c r="F2519" t="str">
        <f>+IFERROR(VLOOKUP(Fact_Cumplimiento[[#This Row], 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ht="18.75" customHeight="1" x14ac:dyDescent="0.35">
      <c r="C2520" s="100" t="str">
        <f>IF(OR(Fact_Cumplimiento[[#This Row], [Año]]="",Fact_Cumplimiento[[#This Row], [Mes]]=""),"",DATE(A2520,MATCH(B2520,{"enero","febrero","marzo","abril","mayo","junio","julio","agosto","septiembre","octubre","noviembre","diciembre"},0)+1,0))</f>
        <v/>
      </c>
      <c r="E2520" t="str">
        <f>+IFERROR(VLOOKUP(Fact_Cumplimiento[[#This Row], [Concepto Anterior]],Conceptos_Cumplimiento[#All],5,0),"")</f>
        <v/>
      </c>
      <c r="F2520" t="str">
        <f>+IFERROR(VLOOKUP(Fact_Cumplimiento[[#This Row], 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ht="18.75" customHeight="1" x14ac:dyDescent="0.35">
      <c r="C2521" s="100" t="str">
        <f>IF(OR(Fact_Cumplimiento[[#This Row], [Año]]="",Fact_Cumplimiento[[#This Row], [Mes]]=""),"",DATE(A2521,MATCH(B2521,{"enero","febrero","marzo","abril","mayo","junio","julio","agosto","septiembre","octubre","noviembre","diciembre"},0)+1,0))</f>
        <v/>
      </c>
      <c r="E2521" t="str">
        <f>+IFERROR(VLOOKUP(Fact_Cumplimiento[[#This Row], [Concepto Anterior]],Conceptos_Cumplimiento[#All],5,0),"")</f>
        <v/>
      </c>
      <c r="F2521" t="str">
        <f>+IFERROR(VLOOKUP(Fact_Cumplimiento[[#This Row], 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ht="18.75" customHeight="1" x14ac:dyDescent="0.35">
      <c r="C2522" s="100" t="str">
        <f>IF(OR(Fact_Cumplimiento[[#This Row], [Año]]="",Fact_Cumplimiento[[#This Row], [Mes]]=""),"",DATE(A2522,MATCH(B2522,{"enero","febrero","marzo","abril","mayo","junio","julio","agosto","septiembre","octubre","noviembre","diciembre"},0)+1,0))</f>
        <v/>
      </c>
      <c r="E2522" t="str">
        <f>+IFERROR(VLOOKUP(Fact_Cumplimiento[[#This Row], [Concepto Anterior]],Conceptos_Cumplimiento[#All],5,0),"")</f>
        <v/>
      </c>
      <c r="F2522" t="str">
        <f>+IFERROR(VLOOKUP(Fact_Cumplimiento[[#This Row], 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ht="18.75" customHeight="1" x14ac:dyDescent="0.35">
      <c r="C2523" s="100" t="str">
        <f>IF(OR(Fact_Cumplimiento[[#This Row], [Año]]="",Fact_Cumplimiento[[#This Row], [Mes]]=""),"",DATE(A2523,MATCH(B2523,{"enero","febrero","marzo","abril","mayo","junio","julio","agosto","septiembre","octubre","noviembre","diciembre"},0)+1,0))</f>
        <v/>
      </c>
      <c r="E2523" t="str">
        <f>+IFERROR(VLOOKUP(Fact_Cumplimiento[[#This Row], [Concepto Anterior]],Conceptos_Cumplimiento[#All],5,0),"")</f>
        <v/>
      </c>
      <c r="F2523" t="str">
        <f>+IFERROR(VLOOKUP(Fact_Cumplimiento[[#This Row], 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ht="18.75" customHeight="1" x14ac:dyDescent="0.35">
      <c r="C2524" s="100" t="str">
        <f>IF(OR(Fact_Cumplimiento[[#This Row], [Año]]="",Fact_Cumplimiento[[#This Row], [Mes]]=""),"",DATE(A2524,MATCH(B2524,{"enero","febrero","marzo","abril","mayo","junio","julio","agosto","septiembre","octubre","noviembre","diciembre"},0)+1,0))</f>
        <v/>
      </c>
      <c r="E2524" t="str">
        <f>+IFERROR(VLOOKUP(Fact_Cumplimiento[[#This Row], [Concepto Anterior]],Conceptos_Cumplimiento[#All],5,0),"")</f>
        <v/>
      </c>
      <c r="F2524" t="str">
        <f>+IFERROR(VLOOKUP(Fact_Cumplimiento[[#This Row], 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ht="18.75" customHeight="1" x14ac:dyDescent="0.35">
      <c r="C2525" s="100" t="str">
        <f>IF(OR(Fact_Cumplimiento[[#This Row], [Año]]="",Fact_Cumplimiento[[#This Row], [Mes]]=""),"",DATE(A2525,MATCH(B2525,{"enero","febrero","marzo","abril","mayo","junio","julio","agosto","septiembre","octubre","noviembre","diciembre"},0)+1,0))</f>
        <v/>
      </c>
      <c r="E2525" t="str">
        <f>+IFERROR(VLOOKUP(Fact_Cumplimiento[[#This Row], [Concepto Anterior]],Conceptos_Cumplimiento[#All],5,0),"")</f>
        <v/>
      </c>
      <c r="F2525" t="str">
        <f>+IFERROR(VLOOKUP(Fact_Cumplimiento[[#This Row], 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ht="18.75" customHeight="1" x14ac:dyDescent="0.35">
      <c r="C2526" s="100" t="str">
        <f>IF(OR(Fact_Cumplimiento[[#This Row], [Año]]="",Fact_Cumplimiento[[#This Row], [Mes]]=""),"",DATE(A2526,MATCH(B2526,{"enero","febrero","marzo","abril","mayo","junio","julio","agosto","septiembre","octubre","noviembre","diciembre"},0)+1,0))</f>
        <v/>
      </c>
      <c r="E2526" t="str">
        <f>+IFERROR(VLOOKUP(Fact_Cumplimiento[[#This Row], [Concepto Anterior]],Conceptos_Cumplimiento[#All],5,0),"")</f>
        <v/>
      </c>
      <c r="F2526" t="str">
        <f>+IFERROR(VLOOKUP(Fact_Cumplimiento[[#This Row], 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ht="18.75" customHeight="1" x14ac:dyDescent="0.35">
      <c r="C2527" s="100" t="str">
        <f>IF(OR(Fact_Cumplimiento[[#This Row], [Año]]="",Fact_Cumplimiento[[#This Row], [Mes]]=""),"",DATE(A2527,MATCH(B2527,{"enero","febrero","marzo","abril","mayo","junio","julio","agosto","septiembre","octubre","noviembre","diciembre"},0)+1,0))</f>
        <v/>
      </c>
      <c r="E2527" t="str">
        <f>+IFERROR(VLOOKUP(Fact_Cumplimiento[[#This Row], [Concepto Anterior]],Conceptos_Cumplimiento[#All],5,0),"")</f>
        <v/>
      </c>
      <c r="F2527" t="str">
        <f>+IFERROR(VLOOKUP(Fact_Cumplimiento[[#This Row], 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ht="18.75" customHeight="1" x14ac:dyDescent="0.35">
      <c r="C2528" s="100" t="str">
        <f>IF(OR(Fact_Cumplimiento[[#This Row], [Año]]="",Fact_Cumplimiento[[#This Row], [Mes]]=""),"",DATE(A2528,MATCH(B2528,{"enero","febrero","marzo","abril","mayo","junio","julio","agosto","septiembre","octubre","noviembre","diciembre"},0)+1,0))</f>
        <v/>
      </c>
      <c r="E2528" t="str">
        <f>+IFERROR(VLOOKUP(Fact_Cumplimiento[[#This Row], [Concepto Anterior]],Conceptos_Cumplimiento[#All],5,0),"")</f>
        <v/>
      </c>
      <c r="F2528" t="str">
        <f>+IFERROR(VLOOKUP(Fact_Cumplimiento[[#This Row], 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ht="18.75" customHeight="1" x14ac:dyDescent="0.35">
      <c r="C2529" s="100" t="str">
        <f>IF(OR(Fact_Cumplimiento[[#This Row], [Año]]="",Fact_Cumplimiento[[#This Row], [Mes]]=""),"",DATE(A2529,MATCH(B2529,{"enero","febrero","marzo","abril","mayo","junio","julio","agosto","septiembre","octubre","noviembre","diciembre"},0)+1,0))</f>
        <v/>
      </c>
      <c r="E2529" t="str">
        <f>+IFERROR(VLOOKUP(Fact_Cumplimiento[[#This Row], [Concepto Anterior]],Conceptos_Cumplimiento[#All],5,0),"")</f>
        <v/>
      </c>
      <c r="F2529" t="str">
        <f>+IFERROR(VLOOKUP(Fact_Cumplimiento[[#This Row], 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ht="18.75" customHeight="1" x14ac:dyDescent="0.35">
      <c r="C2530" s="100" t="str">
        <f>IF(OR(Fact_Cumplimiento[[#This Row], [Año]]="",Fact_Cumplimiento[[#This Row], [Mes]]=""),"",DATE(A2530,MATCH(B2530,{"enero","febrero","marzo","abril","mayo","junio","julio","agosto","septiembre","octubre","noviembre","diciembre"},0)+1,0))</f>
        <v/>
      </c>
      <c r="E2530" t="str">
        <f>+IFERROR(VLOOKUP(Fact_Cumplimiento[[#This Row], [Concepto Anterior]],Conceptos_Cumplimiento[#All],5,0),"")</f>
        <v/>
      </c>
      <c r="F2530" t="str">
        <f>+IFERROR(VLOOKUP(Fact_Cumplimiento[[#This Row], 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ht="18.75" customHeight="1" x14ac:dyDescent="0.35">
      <c r="C2531" s="100" t="str">
        <f>IF(OR(Fact_Cumplimiento[[#This Row], [Año]]="",Fact_Cumplimiento[[#This Row], [Mes]]=""),"",DATE(A2531,MATCH(B2531,{"enero","febrero","marzo","abril","mayo","junio","julio","agosto","septiembre","octubre","noviembre","diciembre"},0)+1,0))</f>
        <v/>
      </c>
      <c r="E2531" t="str">
        <f>+IFERROR(VLOOKUP(Fact_Cumplimiento[[#This Row], [Concepto Anterior]],Conceptos_Cumplimiento[#All],5,0),"")</f>
        <v/>
      </c>
      <c r="F2531" t="str">
        <f>+IFERROR(VLOOKUP(Fact_Cumplimiento[[#This Row], 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ht="18.75" customHeight="1" x14ac:dyDescent="0.35">
      <c r="C2532" s="100" t="str">
        <f>IF(OR(Fact_Cumplimiento[[#This Row], [Año]]="",Fact_Cumplimiento[[#This Row], [Mes]]=""),"",DATE(A2532,MATCH(B2532,{"enero","febrero","marzo","abril","mayo","junio","julio","agosto","septiembre","octubre","noviembre","diciembre"},0)+1,0))</f>
        <v/>
      </c>
      <c r="E2532" t="str">
        <f>+IFERROR(VLOOKUP(Fact_Cumplimiento[[#This Row], [Concepto Anterior]],Conceptos_Cumplimiento[#All],5,0),"")</f>
        <v/>
      </c>
      <c r="F2532" t="str">
        <f>+IFERROR(VLOOKUP(Fact_Cumplimiento[[#This Row], 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ht="18.75" customHeight="1" x14ac:dyDescent="0.35">
      <c r="C2533" s="100" t="str">
        <f>IF(OR(Fact_Cumplimiento[[#This Row], [Año]]="",Fact_Cumplimiento[[#This Row], [Mes]]=""),"",DATE(A2533,MATCH(B2533,{"enero","febrero","marzo","abril","mayo","junio","julio","agosto","septiembre","octubre","noviembre","diciembre"},0)+1,0))</f>
        <v/>
      </c>
      <c r="E2533" t="str">
        <f>+IFERROR(VLOOKUP(Fact_Cumplimiento[[#This Row], [Concepto Anterior]],Conceptos_Cumplimiento[#All],5,0),"")</f>
        <v/>
      </c>
      <c r="F2533" t="str">
        <f>+IFERROR(VLOOKUP(Fact_Cumplimiento[[#This Row], 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ht="18.75" customHeight="1" x14ac:dyDescent="0.35">
      <c r="C2534" s="100" t="str">
        <f>IF(OR(Fact_Cumplimiento[[#This Row], [Año]]="",Fact_Cumplimiento[[#This Row], [Mes]]=""),"",DATE(A2534,MATCH(B2534,{"enero","febrero","marzo","abril","mayo","junio","julio","agosto","septiembre","octubre","noviembre","diciembre"},0)+1,0))</f>
        <v/>
      </c>
      <c r="E2534" t="str">
        <f>+IFERROR(VLOOKUP(Fact_Cumplimiento[[#This Row], [Concepto Anterior]],Conceptos_Cumplimiento[#All],5,0),"")</f>
        <v/>
      </c>
      <c r="F2534" t="str">
        <f>+IFERROR(VLOOKUP(Fact_Cumplimiento[[#This Row], 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ht="18.75" customHeight="1" x14ac:dyDescent="0.35">
      <c r="C2535" s="100" t="str">
        <f>IF(OR(Fact_Cumplimiento[[#This Row], [Año]]="",Fact_Cumplimiento[[#This Row], [Mes]]=""),"",DATE(A2535,MATCH(B2535,{"enero","febrero","marzo","abril","mayo","junio","julio","agosto","septiembre","octubre","noviembre","diciembre"},0)+1,0))</f>
        <v/>
      </c>
      <c r="E2535" t="str">
        <f>+IFERROR(VLOOKUP(Fact_Cumplimiento[[#This Row], [Concepto Anterior]],Conceptos_Cumplimiento[#All],5,0),"")</f>
        <v/>
      </c>
      <c r="F2535" t="str">
        <f>+IFERROR(VLOOKUP(Fact_Cumplimiento[[#This Row], 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ht="18.75" customHeight="1" x14ac:dyDescent="0.35">
      <c r="C2536" s="100" t="str">
        <f>IF(OR(Fact_Cumplimiento[[#This Row], [Año]]="",Fact_Cumplimiento[[#This Row], [Mes]]=""),"",DATE(A2536,MATCH(B2536,{"enero","febrero","marzo","abril","mayo","junio","julio","agosto","septiembre","octubre","noviembre","diciembre"},0)+1,0))</f>
        <v/>
      </c>
      <c r="E2536" t="str">
        <f>+IFERROR(VLOOKUP(Fact_Cumplimiento[[#This Row], [Concepto Anterior]],Conceptos_Cumplimiento[#All],5,0),"")</f>
        <v/>
      </c>
      <c r="F2536" t="str">
        <f>+IFERROR(VLOOKUP(Fact_Cumplimiento[[#This Row], 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ht="18.75" customHeight="1" x14ac:dyDescent="0.35">
      <c r="C2537" s="100" t="str">
        <f>IF(OR(Fact_Cumplimiento[[#This Row], [Año]]="",Fact_Cumplimiento[[#This Row], [Mes]]=""),"",DATE(A2537,MATCH(B2537,{"enero","febrero","marzo","abril","mayo","junio","julio","agosto","septiembre","octubre","noviembre","diciembre"},0)+1,0))</f>
        <v/>
      </c>
      <c r="E2537" t="str">
        <f>+IFERROR(VLOOKUP(Fact_Cumplimiento[[#This Row], [Concepto Anterior]],Conceptos_Cumplimiento[#All],5,0),"")</f>
        <v/>
      </c>
      <c r="F2537" t="str">
        <f>+IFERROR(VLOOKUP(Fact_Cumplimiento[[#This Row], 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ht="18.75" customHeight="1" x14ac:dyDescent="0.35">
      <c r="C2538" s="100" t="str">
        <f>IF(OR(Fact_Cumplimiento[[#This Row], [Año]]="",Fact_Cumplimiento[[#This Row], [Mes]]=""),"",DATE(A2538,MATCH(B2538,{"enero","febrero","marzo","abril","mayo","junio","julio","agosto","septiembre","octubre","noviembre","diciembre"},0)+1,0))</f>
        <v/>
      </c>
      <c r="E2538" t="str">
        <f>+IFERROR(VLOOKUP(Fact_Cumplimiento[[#This Row], [Concepto Anterior]],Conceptos_Cumplimiento[#All],5,0),"")</f>
        <v/>
      </c>
      <c r="F2538" t="str">
        <f>+IFERROR(VLOOKUP(Fact_Cumplimiento[[#This Row], 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ht="18.75" customHeight="1" x14ac:dyDescent="0.35">
      <c r="C2539" s="100" t="str">
        <f>IF(OR(Fact_Cumplimiento[[#This Row], [Año]]="",Fact_Cumplimiento[[#This Row], [Mes]]=""),"",DATE(A2539,MATCH(B2539,{"enero","febrero","marzo","abril","mayo","junio","julio","agosto","septiembre","octubre","noviembre","diciembre"},0)+1,0))</f>
        <v/>
      </c>
      <c r="E2539" t="str">
        <f>+IFERROR(VLOOKUP(Fact_Cumplimiento[[#This Row], [Concepto Anterior]],Conceptos_Cumplimiento[#All],5,0),"")</f>
        <v/>
      </c>
      <c r="F2539" t="str">
        <f>+IFERROR(VLOOKUP(Fact_Cumplimiento[[#This Row], 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ht="18.75" customHeight="1" x14ac:dyDescent="0.35">
      <c r="C2540" s="100" t="str">
        <f>IF(OR(Fact_Cumplimiento[[#This Row], [Año]]="",Fact_Cumplimiento[[#This Row], [Mes]]=""),"",DATE(A2540,MATCH(B2540,{"enero","febrero","marzo","abril","mayo","junio","julio","agosto","septiembre","octubre","noviembre","diciembre"},0)+1,0))</f>
        <v/>
      </c>
      <c r="E2540" t="str">
        <f>+IFERROR(VLOOKUP(Fact_Cumplimiento[[#This Row], [Concepto Anterior]],Conceptos_Cumplimiento[#All],5,0),"")</f>
        <v/>
      </c>
      <c r="F2540" t="str">
        <f>+IFERROR(VLOOKUP(Fact_Cumplimiento[[#This Row], 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ht="18.75" customHeight="1" x14ac:dyDescent="0.35">
      <c r="C2541" s="100" t="str">
        <f>IF(OR(Fact_Cumplimiento[[#This Row], [Año]]="",Fact_Cumplimiento[[#This Row], [Mes]]=""),"",DATE(A2541,MATCH(B2541,{"enero","febrero","marzo","abril","mayo","junio","julio","agosto","septiembre","octubre","noviembre","diciembre"},0)+1,0))</f>
        <v/>
      </c>
      <c r="E2541" t="str">
        <f>+IFERROR(VLOOKUP(Fact_Cumplimiento[[#This Row], [Concepto Anterior]],Conceptos_Cumplimiento[#All],5,0),"")</f>
        <v/>
      </c>
      <c r="F2541" t="str">
        <f>+IFERROR(VLOOKUP(Fact_Cumplimiento[[#This Row], 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ht="18.75" customHeight="1" x14ac:dyDescent="0.35">
      <c r="C2542" s="100" t="str">
        <f>IF(OR(Fact_Cumplimiento[[#This Row], [Año]]="",Fact_Cumplimiento[[#This Row], [Mes]]=""),"",DATE(A2542,MATCH(B2542,{"enero","febrero","marzo","abril","mayo","junio","julio","agosto","septiembre","octubre","noviembre","diciembre"},0)+1,0))</f>
        <v/>
      </c>
      <c r="E2542" t="str">
        <f>+IFERROR(VLOOKUP(Fact_Cumplimiento[[#This Row], [Concepto Anterior]],Conceptos_Cumplimiento[#All],5,0),"")</f>
        <v/>
      </c>
      <c r="F2542" t="str">
        <f>+IFERROR(VLOOKUP(Fact_Cumplimiento[[#This Row], 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ht="18.75" customHeight="1" x14ac:dyDescent="0.35">
      <c r="C2543" s="100" t="str">
        <f>IF(OR(Fact_Cumplimiento[[#This Row], [Año]]="",Fact_Cumplimiento[[#This Row], [Mes]]=""),"",DATE(A2543,MATCH(B2543,{"enero","febrero","marzo","abril","mayo","junio","julio","agosto","septiembre","octubre","noviembre","diciembre"},0)+1,0))</f>
        <v/>
      </c>
      <c r="E2543" t="str">
        <f>+IFERROR(VLOOKUP(Fact_Cumplimiento[[#This Row], [Concepto Anterior]],Conceptos_Cumplimiento[#All],5,0),"")</f>
        <v/>
      </c>
      <c r="F2543" t="str">
        <f>+IFERROR(VLOOKUP(Fact_Cumplimiento[[#This Row], 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ht="18.75" customHeight="1" x14ac:dyDescent="0.35">
      <c r="C2544" s="100" t="str">
        <f>IF(OR(Fact_Cumplimiento[[#This Row], [Año]]="",Fact_Cumplimiento[[#This Row], [Mes]]=""),"",DATE(A2544,MATCH(B2544,{"enero","febrero","marzo","abril","mayo","junio","julio","agosto","septiembre","octubre","noviembre","diciembre"},0)+1,0))</f>
        <v/>
      </c>
      <c r="E2544" t="str">
        <f>+IFERROR(VLOOKUP(Fact_Cumplimiento[[#This Row], [Concepto Anterior]],Conceptos_Cumplimiento[#All],5,0),"")</f>
        <v/>
      </c>
      <c r="F2544" t="str">
        <f>+IFERROR(VLOOKUP(Fact_Cumplimiento[[#This Row], 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ht="18.75" customHeight="1" x14ac:dyDescent="0.35">
      <c r="C2545" s="100" t="str">
        <f>IF(OR(Fact_Cumplimiento[[#This Row], [Año]]="",Fact_Cumplimiento[[#This Row], [Mes]]=""),"",DATE(A2545,MATCH(B2545,{"enero","febrero","marzo","abril","mayo","junio","julio","agosto","septiembre","octubre","noviembre","diciembre"},0)+1,0))</f>
        <v/>
      </c>
      <c r="E2545" t="str">
        <f>+IFERROR(VLOOKUP(Fact_Cumplimiento[[#This Row], [Concepto Anterior]],Conceptos_Cumplimiento[#All],5,0),"")</f>
        <v/>
      </c>
      <c r="F2545" t="str">
        <f>+IFERROR(VLOOKUP(Fact_Cumplimiento[[#This Row], 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ht="18.75" customHeight="1" x14ac:dyDescent="0.35">
      <c r="C2546" s="100" t="str">
        <f>IF(OR(Fact_Cumplimiento[[#This Row], [Año]]="",Fact_Cumplimiento[[#This Row], [Mes]]=""),"",DATE(A2546,MATCH(B2546,{"enero","febrero","marzo","abril","mayo","junio","julio","agosto","septiembre","octubre","noviembre","diciembre"},0)+1,0))</f>
        <v/>
      </c>
      <c r="E2546" t="str">
        <f>+IFERROR(VLOOKUP(Fact_Cumplimiento[[#This Row], [Concepto Anterior]],Conceptos_Cumplimiento[#All],5,0),"")</f>
        <v/>
      </c>
      <c r="F2546" t="str">
        <f>+IFERROR(VLOOKUP(Fact_Cumplimiento[[#This Row], 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ht="18.75" customHeight="1" x14ac:dyDescent="0.35">
      <c r="C2547" s="100" t="str">
        <f>IF(OR(Fact_Cumplimiento[[#This Row], [Año]]="",Fact_Cumplimiento[[#This Row], [Mes]]=""),"",DATE(A2547,MATCH(B2547,{"enero","febrero","marzo","abril","mayo","junio","julio","agosto","septiembre","octubre","noviembre","diciembre"},0)+1,0))</f>
        <v/>
      </c>
      <c r="E2547" t="str">
        <f>+IFERROR(VLOOKUP(Fact_Cumplimiento[[#This Row], [Concepto Anterior]],Conceptos_Cumplimiento[#All],5,0),"")</f>
        <v/>
      </c>
      <c r="F2547" t="str">
        <f>+IFERROR(VLOOKUP(Fact_Cumplimiento[[#This Row], 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ht="18.75" customHeight="1" x14ac:dyDescent="0.35">
      <c r="C2548" s="100" t="str">
        <f>IF(OR(Fact_Cumplimiento[[#This Row], [Año]]="",Fact_Cumplimiento[[#This Row], [Mes]]=""),"",DATE(A2548,MATCH(B2548,{"enero","febrero","marzo","abril","mayo","junio","julio","agosto","septiembre","octubre","noviembre","diciembre"},0)+1,0))</f>
        <v/>
      </c>
      <c r="E2548" t="str">
        <f>+IFERROR(VLOOKUP(Fact_Cumplimiento[[#This Row], [Concepto Anterior]],Conceptos_Cumplimiento[#All],5,0),"")</f>
        <v/>
      </c>
      <c r="F2548" t="str">
        <f>+IFERROR(VLOOKUP(Fact_Cumplimiento[[#This Row], 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ht="18.75" customHeight="1" x14ac:dyDescent="0.35">
      <c r="C2549" s="100" t="str">
        <f>IF(OR(Fact_Cumplimiento[[#This Row], [Año]]="",Fact_Cumplimiento[[#This Row], [Mes]]=""),"",DATE(A2549,MATCH(B2549,{"enero","febrero","marzo","abril","mayo","junio","julio","agosto","septiembre","octubre","noviembre","diciembre"},0)+1,0))</f>
        <v/>
      </c>
      <c r="E2549" t="str">
        <f>+IFERROR(VLOOKUP(Fact_Cumplimiento[[#This Row], [Concepto Anterior]],Conceptos_Cumplimiento[#All],5,0),"")</f>
        <v/>
      </c>
      <c r="F2549" t="str">
        <f>+IFERROR(VLOOKUP(Fact_Cumplimiento[[#This Row], 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ht="18.75" customHeight="1" x14ac:dyDescent="0.35">
      <c r="C2550" s="100" t="str">
        <f>IF(OR(Fact_Cumplimiento[[#This Row], [Año]]="",Fact_Cumplimiento[[#This Row], [Mes]]=""),"",DATE(A2550,MATCH(B2550,{"enero","febrero","marzo","abril","mayo","junio","julio","agosto","septiembre","octubre","noviembre","diciembre"},0)+1,0))</f>
        <v/>
      </c>
      <c r="E2550" t="str">
        <f>+IFERROR(VLOOKUP(Fact_Cumplimiento[[#This Row], [Concepto Anterior]],Conceptos_Cumplimiento[#All],5,0),"")</f>
        <v/>
      </c>
      <c r="F2550" t="str">
        <f>+IFERROR(VLOOKUP(Fact_Cumplimiento[[#This Row], 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ht="18.75" customHeight="1" x14ac:dyDescent="0.35">
      <c r="C2551" s="100" t="str">
        <f>IF(OR(Fact_Cumplimiento[[#This Row], [Año]]="",Fact_Cumplimiento[[#This Row], [Mes]]=""),"",DATE(A2551,MATCH(B2551,{"enero","febrero","marzo","abril","mayo","junio","julio","agosto","septiembre","octubre","noviembre","diciembre"},0)+1,0))</f>
        <v/>
      </c>
      <c r="E2551" t="str">
        <f>+IFERROR(VLOOKUP(Fact_Cumplimiento[[#This Row], [Concepto Anterior]],Conceptos_Cumplimiento[#All],5,0),"")</f>
        <v/>
      </c>
      <c r="F2551" t="str">
        <f>+IFERROR(VLOOKUP(Fact_Cumplimiento[[#This Row], 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ht="18.75" customHeight="1" x14ac:dyDescent="0.35">
      <c r="C2552" s="100" t="str">
        <f>IF(OR(Fact_Cumplimiento[[#This Row], [Año]]="",Fact_Cumplimiento[[#This Row], [Mes]]=""),"",DATE(A2552,MATCH(B2552,{"enero","febrero","marzo","abril","mayo","junio","julio","agosto","septiembre","octubre","noviembre","diciembre"},0)+1,0))</f>
        <v/>
      </c>
      <c r="E2552" t="str">
        <f>+IFERROR(VLOOKUP(Fact_Cumplimiento[[#This Row], [Concepto Anterior]],Conceptos_Cumplimiento[#All],5,0),"")</f>
        <v/>
      </c>
      <c r="F2552" t="str">
        <f>+IFERROR(VLOOKUP(Fact_Cumplimiento[[#This Row], 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ht="18.75" customHeight="1" x14ac:dyDescent="0.35">
      <c r="C2553" s="100" t="str">
        <f>IF(OR(Fact_Cumplimiento[[#This Row], [Año]]="",Fact_Cumplimiento[[#This Row], [Mes]]=""),"",DATE(A2553,MATCH(B2553,{"enero","febrero","marzo","abril","mayo","junio","julio","agosto","septiembre","octubre","noviembre","diciembre"},0)+1,0))</f>
        <v/>
      </c>
      <c r="E2553" t="str">
        <f>+IFERROR(VLOOKUP(Fact_Cumplimiento[[#This Row], [Concepto Anterior]],Conceptos_Cumplimiento[#All],5,0),"")</f>
        <v/>
      </c>
      <c r="F2553" t="str">
        <f>+IFERROR(VLOOKUP(Fact_Cumplimiento[[#This Row], 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ht="18.75" customHeight="1" x14ac:dyDescent="0.35">
      <c r="C2554" s="100" t="str">
        <f>IF(OR(Fact_Cumplimiento[[#This Row], [Año]]="",Fact_Cumplimiento[[#This Row], [Mes]]=""),"",DATE(A2554,MATCH(B2554,{"enero","febrero","marzo","abril","mayo","junio","julio","agosto","septiembre","octubre","noviembre","diciembre"},0)+1,0))</f>
        <v/>
      </c>
      <c r="E2554" t="str">
        <f>+IFERROR(VLOOKUP(Fact_Cumplimiento[[#This Row], [Concepto Anterior]],Conceptos_Cumplimiento[#All],5,0),"")</f>
        <v/>
      </c>
      <c r="F2554" t="str">
        <f>+IFERROR(VLOOKUP(Fact_Cumplimiento[[#This Row], 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ht="18.75" customHeight="1" x14ac:dyDescent="0.35">
      <c r="C2555" s="100" t="str">
        <f>IF(OR(Fact_Cumplimiento[[#This Row], [Año]]="",Fact_Cumplimiento[[#This Row], [Mes]]=""),"",DATE(A2555,MATCH(B2555,{"enero","febrero","marzo","abril","mayo","junio","julio","agosto","septiembre","octubre","noviembre","diciembre"},0)+1,0))</f>
        <v/>
      </c>
      <c r="E2555" t="str">
        <f>+IFERROR(VLOOKUP(Fact_Cumplimiento[[#This Row], [Concepto Anterior]],Conceptos_Cumplimiento[#All],5,0),"")</f>
        <v/>
      </c>
      <c r="F2555" t="str">
        <f>+IFERROR(VLOOKUP(Fact_Cumplimiento[[#This Row], 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ht="18.75" customHeight="1" x14ac:dyDescent="0.35">
      <c r="C2556" s="100" t="str">
        <f>IF(OR(Fact_Cumplimiento[[#This Row], [Año]]="",Fact_Cumplimiento[[#This Row], [Mes]]=""),"",DATE(A2556,MATCH(B2556,{"enero","febrero","marzo","abril","mayo","junio","julio","agosto","septiembre","octubre","noviembre","diciembre"},0)+1,0))</f>
        <v/>
      </c>
      <c r="E2556" t="str">
        <f>+IFERROR(VLOOKUP(Fact_Cumplimiento[[#This Row], [Concepto Anterior]],Conceptos_Cumplimiento[#All],5,0),"")</f>
        <v/>
      </c>
      <c r="F2556" t="str">
        <f>+IFERROR(VLOOKUP(Fact_Cumplimiento[[#This Row], 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ht="18.75" customHeight="1" x14ac:dyDescent="0.35">
      <c r="C2557" s="100" t="str">
        <f>IF(OR(Fact_Cumplimiento[[#This Row], [Año]]="",Fact_Cumplimiento[[#This Row], [Mes]]=""),"",DATE(A2557,MATCH(B2557,{"enero","febrero","marzo","abril","mayo","junio","julio","agosto","septiembre","octubre","noviembre","diciembre"},0)+1,0))</f>
        <v/>
      </c>
      <c r="E2557" t="str">
        <f>+IFERROR(VLOOKUP(Fact_Cumplimiento[[#This Row], [Concepto Anterior]],Conceptos_Cumplimiento[#All],5,0),"")</f>
        <v/>
      </c>
      <c r="F2557" t="str">
        <f>+IFERROR(VLOOKUP(Fact_Cumplimiento[[#This Row], 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ht="18.75" customHeight="1" x14ac:dyDescent="0.35">
      <c r="C2558" s="100" t="str">
        <f>IF(OR(Fact_Cumplimiento[[#This Row], [Año]]="",Fact_Cumplimiento[[#This Row], [Mes]]=""),"",DATE(A2558,MATCH(B2558,{"enero","febrero","marzo","abril","mayo","junio","julio","agosto","septiembre","octubre","noviembre","diciembre"},0)+1,0))</f>
        <v/>
      </c>
      <c r="E2558" t="str">
        <f>+IFERROR(VLOOKUP(Fact_Cumplimiento[[#This Row], [Concepto Anterior]],Conceptos_Cumplimiento[#All],5,0),"")</f>
        <v/>
      </c>
      <c r="F2558" t="str">
        <f>+IFERROR(VLOOKUP(Fact_Cumplimiento[[#This Row], 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ht="18.75" customHeight="1" x14ac:dyDescent="0.35">
      <c r="C2559" s="100" t="str">
        <f>IF(OR(Fact_Cumplimiento[[#This Row], [Año]]="",Fact_Cumplimiento[[#This Row], [Mes]]=""),"",DATE(A2559,MATCH(B2559,{"enero","febrero","marzo","abril","mayo","junio","julio","agosto","septiembre","octubre","noviembre","diciembre"},0)+1,0))</f>
        <v/>
      </c>
      <c r="E2559" t="str">
        <f>+IFERROR(VLOOKUP(Fact_Cumplimiento[[#This Row], [Concepto Anterior]],Conceptos_Cumplimiento[#All],5,0),"")</f>
        <v/>
      </c>
      <c r="F2559" t="str">
        <f>+IFERROR(VLOOKUP(Fact_Cumplimiento[[#This Row], 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ht="18.75" customHeight="1" x14ac:dyDescent="0.35">
      <c r="C2560" s="100" t="str">
        <f>IF(OR(Fact_Cumplimiento[[#This Row], [Año]]="",Fact_Cumplimiento[[#This Row], [Mes]]=""),"",DATE(A2560,MATCH(B2560,{"enero","febrero","marzo","abril","mayo","junio","julio","agosto","septiembre","octubre","noviembre","diciembre"},0)+1,0))</f>
        <v/>
      </c>
      <c r="E2560" t="str">
        <f>+IFERROR(VLOOKUP(Fact_Cumplimiento[[#This Row], [Concepto Anterior]],Conceptos_Cumplimiento[#All],5,0),"")</f>
        <v/>
      </c>
      <c r="F2560" t="str">
        <f>+IFERROR(VLOOKUP(Fact_Cumplimiento[[#This Row], 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ht="18.75" customHeight="1" x14ac:dyDescent="0.35">
      <c r="C2561" s="100" t="str">
        <f>IF(OR(Fact_Cumplimiento[[#This Row], [Año]]="",Fact_Cumplimiento[[#This Row], [Mes]]=""),"",DATE(A2561,MATCH(B2561,{"enero","febrero","marzo","abril","mayo","junio","julio","agosto","septiembre","octubre","noviembre","diciembre"},0)+1,0))</f>
        <v/>
      </c>
      <c r="E2561" t="str">
        <f>+IFERROR(VLOOKUP(Fact_Cumplimiento[[#This Row], [Concepto Anterior]],Conceptos_Cumplimiento[#All],5,0),"")</f>
        <v/>
      </c>
      <c r="F2561" t="str">
        <f>+IFERROR(VLOOKUP(Fact_Cumplimiento[[#This Row], 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ht="18.75" customHeight="1" x14ac:dyDescent="0.35">
      <c r="C2562" s="100" t="str">
        <f>IF(OR(Fact_Cumplimiento[[#This Row], [Año]]="",Fact_Cumplimiento[[#This Row], [Mes]]=""),"",DATE(A2562,MATCH(B2562,{"enero","febrero","marzo","abril","mayo","junio","julio","agosto","septiembre","octubre","noviembre","diciembre"},0)+1,0))</f>
        <v/>
      </c>
      <c r="E2562" t="str">
        <f>+IFERROR(VLOOKUP(Fact_Cumplimiento[[#This Row], [Concepto Anterior]],Conceptos_Cumplimiento[#All],5,0),"")</f>
        <v/>
      </c>
      <c r="F2562" t="str">
        <f>+IFERROR(VLOOKUP(Fact_Cumplimiento[[#This Row], 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ht="18.75" customHeight="1" x14ac:dyDescent="0.35">
      <c r="C2563" s="100" t="str">
        <f>IF(OR(Fact_Cumplimiento[[#This Row], [Año]]="",Fact_Cumplimiento[[#This Row], [Mes]]=""),"",DATE(A2563,MATCH(B2563,{"enero","febrero","marzo","abril","mayo","junio","julio","agosto","septiembre","octubre","noviembre","diciembre"},0)+1,0))</f>
        <v/>
      </c>
      <c r="E2563" t="str">
        <f>+IFERROR(VLOOKUP(Fact_Cumplimiento[[#This Row], [Concepto Anterior]],Conceptos_Cumplimiento[#All],5,0),"")</f>
        <v/>
      </c>
      <c r="F2563" t="str">
        <f>+IFERROR(VLOOKUP(Fact_Cumplimiento[[#This Row], 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ht="18.75" customHeight="1" x14ac:dyDescent="0.35">
      <c r="C2564" s="100" t="str">
        <f>IF(OR(Fact_Cumplimiento[[#This Row], [Año]]="",Fact_Cumplimiento[[#This Row], [Mes]]=""),"",DATE(A2564,MATCH(B2564,{"enero","febrero","marzo","abril","mayo","junio","julio","agosto","septiembre","octubre","noviembre","diciembre"},0)+1,0))</f>
        <v/>
      </c>
      <c r="E2564" t="str">
        <f>+IFERROR(VLOOKUP(Fact_Cumplimiento[[#This Row], [Concepto Anterior]],Conceptos_Cumplimiento[#All],5,0),"")</f>
        <v/>
      </c>
      <c r="F2564" t="str">
        <f>+IFERROR(VLOOKUP(Fact_Cumplimiento[[#This Row], 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ht="18.75" customHeight="1" x14ac:dyDescent="0.35">
      <c r="C2565" s="100" t="str">
        <f>IF(OR(Fact_Cumplimiento[[#This Row], [Año]]="",Fact_Cumplimiento[[#This Row], [Mes]]=""),"",DATE(A2565,MATCH(B2565,{"enero","febrero","marzo","abril","mayo","junio","julio","agosto","septiembre","octubre","noviembre","diciembre"},0)+1,0))</f>
        <v/>
      </c>
      <c r="E2565" t="str">
        <f>+IFERROR(VLOOKUP(Fact_Cumplimiento[[#This Row], [Concepto Anterior]],Conceptos_Cumplimiento[#All],5,0),"")</f>
        <v/>
      </c>
      <c r="F2565" t="str">
        <f>+IFERROR(VLOOKUP(Fact_Cumplimiento[[#This Row], 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ht="18.75" customHeight="1" x14ac:dyDescent="0.35">
      <c r="C2566" s="100" t="str">
        <f>IF(OR(Fact_Cumplimiento[[#This Row], [Año]]="",Fact_Cumplimiento[[#This Row], [Mes]]=""),"",DATE(A2566,MATCH(B2566,{"enero","febrero","marzo","abril","mayo","junio","julio","agosto","septiembre","octubre","noviembre","diciembre"},0)+1,0))</f>
        <v/>
      </c>
      <c r="E2566" t="str">
        <f>+IFERROR(VLOOKUP(Fact_Cumplimiento[[#This Row], [Concepto Anterior]],Conceptos_Cumplimiento[#All],5,0),"")</f>
        <v/>
      </c>
      <c r="F2566" t="str">
        <f>+IFERROR(VLOOKUP(Fact_Cumplimiento[[#This Row], 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ht="18.75" customHeight="1" x14ac:dyDescent="0.35">
      <c r="C2567" s="100" t="str">
        <f>IF(OR(Fact_Cumplimiento[[#This Row], [Año]]="",Fact_Cumplimiento[[#This Row], [Mes]]=""),"",DATE(A2567,MATCH(B2567,{"enero","febrero","marzo","abril","mayo","junio","julio","agosto","septiembre","octubre","noviembre","diciembre"},0)+1,0))</f>
        <v/>
      </c>
      <c r="E2567" t="str">
        <f>+IFERROR(VLOOKUP(Fact_Cumplimiento[[#This Row], [Concepto Anterior]],Conceptos_Cumplimiento[#All],5,0),"")</f>
        <v/>
      </c>
      <c r="F2567" t="str">
        <f>+IFERROR(VLOOKUP(Fact_Cumplimiento[[#This Row], 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ht="18.75" customHeight="1" x14ac:dyDescent="0.35">
      <c r="C2568" s="100" t="str">
        <f>IF(OR(Fact_Cumplimiento[[#This Row], [Año]]="",Fact_Cumplimiento[[#This Row], [Mes]]=""),"",DATE(A2568,MATCH(B2568,{"enero","febrero","marzo","abril","mayo","junio","julio","agosto","septiembre","octubre","noviembre","diciembre"},0)+1,0))</f>
        <v/>
      </c>
      <c r="E2568" t="str">
        <f>+IFERROR(VLOOKUP(Fact_Cumplimiento[[#This Row], [Concepto Anterior]],Conceptos_Cumplimiento[#All],5,0),"")</f>
        <v/>
      </c>
      <c r="F2568" t="str">
        <f>+IFERROR(VLOOKUP(Fact_Cumplimiento[[#This Row], 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ht="18.75" customHeight="1" x14ac:dyDescent="0.35">
      <c r="C2569" s="100" t="str">
        <f>IF(OR(Fact_Cumplimiento[[#This Row], [Año]]="",Fact_Cumplimiento[[#This Row], [Mes]]=""),"",DATE(A2569,MATCH(B2569,{"enero","febrero","marzo","abril","mayo","junio","julio","agosto","septiembre","octubre","noviembre","diciembre"},0)+1,0))</f>
        <v/>
      </c>
      <c r="E2569" t="str">
        <f>+IFERROR(VLOOKUP(Fact_Cumplimiento[[#This Row], [Concepto Anterior]],Conceptos_Cumplimiento[#All],5,0),"")</f>
        <v/>
      </c>
      <c r="F2569" t="str">
        <f>+IFERROR(VLOOKUP(Fact_Cumplimiento[[#This Row], 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ht="18.75" customHeight="1" x14ac:dyDescent="0.35">
      <c r="C2570" s="100" t="str">
        <f>IF(OR(Fact_Cumplimiento[[#This Row], [Año]]="",Fact_Cumplimiento[[#This Row], [Mes]]=""),"",DATE(A2570,MATCH(B2570,{"enero","febrero","marzo","abril","mayo","junio","julio","agosto","septiembre","octubre","noviembre","diciembre"},0)+1,0))</f>
        <v/>
      </c>
      <c r="E2570" t="str">
        <f>+IFERROR(VLOOKUP(Fact_Cumplimiento[[#This Row], [Concepto Anterior]],Conceptos_Cumplimiento[#All],5,0),"")</f>
        <v/>
      </c>
      <c r="F2570" t="str">
        <f>+IFERROR(VLOOKUP(Fact_Cumplimiento[[#This Row], 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ht="18.75" customHeight="1" x14ac:dyDescent="0.35">
      <c r="C2571" s="100" t="str">
        <f>IF(OR(Fact_Cumplimiento[[#This Row], [Año]]="",Fact_Cumplimiento[[#This Row], [Mes]]=""),"",DATE(A2571,MATCH(B2571,{"enero","febrero","marzo","abril","mayo","junio","julio","agosto","septiembre","octubre","noviembre","diciembre"},0)+1,0))</f>
        <v/>
      </c>
      <c r="E2571" t="str">
        <f>+IFERROR(VLOOKUP(Fact_Cumplimiento[[#This Row], [Concepto Anterior]],Conceptos_Cumplimiento[#All],5,0),"")</f>
        <v/>
      </c>
      <c r="F2571" t="str">
        <f>+IFERROR(VLOOKUP(Fact_Cumplimiento[[#This Row], 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ht="18.75" customHeight="1" x14ac:dyDescent="0.35">
      <c r="C2572" s="100" t="str">
        <f>IF(OR(Fact_Cumplimiento[[#This Row], [Año]]="",Fact_Cumplimiento[[#This Row], [Mes]]=""),"",DATE(A2572,MATCH(B2572,{"enero","febrero","marzo","abril","mayo","junio","julio","agosto","septiembre","octubre","noviembre","diciembre"},0)+1,0))</f>
        <v/>
      </c>
      <c r="E2572" t="str">
        <f>+IFERROR(VLOOKUP(Fact_Cumplimiento[[#This Row], [Concepto Anterior]],Conceptos_Cumplimiento[#All],5,0),"")</f>
        <v/>
      </c>
      <c r="F2572" t="str">
        <f>+IFERROR(VLOOKUP(Fact_Cumplimiento[[#This Row], 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ht="18.75" customHeight="1" x14ac:dyDescent="0.35">
      <c r="C2573" s="100" t="str">
        <f>IF(OR(Fact_Cumplimiento[[#This Row], [Año]]="",Fact_Cumplimiento[[#This Row], [Mes]]=""),"",DATE(A2573,MATCH(B2573,{"enero","febrero","marzo","abril","mayo","junio","julio","agosto","septiembre","octubre","noviembre","diciembre"},0)+1,0))</f>
        <v/>
      </c>
      <c r="E2573" t="str">
        <f>+IFERROR(VLOOKUP(Fact_Cumplimiento[[#This Row], [Concepto Anterior]],Conceptos_Cumplimiento[#All],5,0),"")</f>
        <v/>
      </c>
      <c r="F2573" t="str">
        <f>+IFERROR(VLOOKUP(Fact_Cumplimiento[[#This Row], 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ht="18.75" customHeight="1" x14ac:dyDescent="0.35">
      <c r="C2574" s="100" t="str">
        <f>IF(OR(Fact_Cumplimiento[[#This Row], [Año]]="",Fact_Cumplimiento[[#This Row], [Mes]]=""),"",DATE(A2574,MATCH(B2574,{"enero","febrero","marzo","abril","mayo","junio","julio","agosto","septiembre","octubre","noviembre","diciembre"},0)+1,0))</f>
        <v/>
      </c>
      <c r="E2574" t="str">
        <f>+IFERROR(VLOOKUP(Fact_Cumplimiento[[#This Row], [Concepto Anterior]],Conceptos_Cumplimiento[#All],5,0),"")</f>
        <v/>
      </c>
      <c r="F2574" t="str">
        <f>+IFERROR(VLOOKUP(Fact_Cumplimiento[[#This Row], 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ht="18.75" customHeight="1" x14ac:dyDescent="0.35">
      <c r="C2575" s="100" t="str">
        <f>IF(OR(Fact_Cumplimiento[[#This Row], [Año]]="",Fact_Cumplimiento[[#This Row], [Mes]]=""),"",DATE(A2575,MATCH(B2575,{"enero","febrero","marzo","abril","mayo","junio","julio","agosto","septiembre","octubre","noviembre","diciembre"},0)+1,0))</f>
        <v/>
      </c>
      <c r="E2575" t="str">
        <f>+IFERROR(VLOOKUP(Fact_Cumplimiento[[#This Row], [Concepto Anterior]],Conceptos_Cumplimiento[#All],5,0),"")</f>
        <v/>
      </c>
      <c r="F2575" t="str">
        <f>+IFERROR(VLOOKUP(Fact_Cumplimiento[[#This Row], 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ht="18.75" customHeight="1" x14ac:dyDescent="0.35">
      <c r="C2576" s="100" t="str">
        <f>IF(OR(Fact_Cumplimiento[[#This Row], [Año]]="",Fact_Cumplimiento[[#This Row], [Mes]]=""),"",DATE(A2576,MATCH(B2576,{"enero","febrero","marzo","abril","mayo","junio","julio","agosto","septiembre","octubre","noviembre","diciembre"},0)+1,0))</f>
        <v/>
      </c>
      <c r="E2576" t="str">
        <f>+IFERROR(VLOOKUP(Fact_Cumplimiento[[#This Row], [Concepto Anterior]],Conceptos_Cumplimiento[#All],5,0),"")</f>
        <v/>
      </c>
      <c r="F2576" t="str">
        <f>+IFERROR(VLOOKUP(Fact_Cumplimiento[[#This Row], 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ht="18.75" customHeight="1" x14ac:dyDescent="0.35">
      <c r="C2577" s="100" t="str">
        <f>IF(OR(Fact_Cumplimiento[[#This Row], [Año]]="",Fact_Cumplimiento[[#This Row], [Mes]]=""),"",DATE(A2577,MATCH(B2577,{"enero","febrero","marzo","abril","mayo","junio","julio","agosto","septiembre","octubre","noviembre","diciembre"},0)+1,0))</f>
        <v/>
      </c>
      <c r="E2577" t="str">
        <f>+IFERROR(VLOOKUP(Fact_Cumplimiento[[#This Row], [Concepto Anterior]],Conceptos_Cumplimiento[#All],5,0),"")</f>
        <v/>
      </c>
      <c r="F2577" t="str">
        <f>+IFERROR(VLOOKUP(Fact_Cumplimiento[[#This Row], 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ht="18.75" customHeight="1" x14ac:dyDescent="0.35">
      <c r="C2578" s="100" t="str">
        <f>IF(OR(Fact_Cumplimiento[[#This Row], [Año]]="",Fact_Cumplimiento[[#This Row], [Mes]]=""),"",DATE(A2578,MATCH(B2578,{"enero","febrero","marzo","abril","mayo","junio","julio","agosto","septiembre","octubre","noviembre","diciembre"},0)+1,0))</f>
        <v/>
      </c>
      <c r="E2578" t="str">
        <f>+IFERROR(VLOOKUP(Fact_Cumplimiento[[#This Row], [Concepto Anterior]],Conceptos_Cumplimiento[#All],5,0),"")</f>
        <v/>
      </c>
      <c r="F2578" t="str">
        <f>+IFERROR(VLOOKUP(Fact_Cumplimiento[[#This Row], 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ht="18.75" customHeight="1" x14ac:dyDescent="0.35">
      <c r="C2579" s="100" t="str">
        <f>IF(OR(Fact_Cumplimiento[[#This Row], [Año]]="",Fact_Cumplimiento[[#This Row], [Mes]]=""),"",DATE(A2579,MATCH(B2579,{"enero","febrero","marzo","abril","mayo","junio","julio","agosto","septiembre","octubre","noviembre","diciembre"},0)+1,0))</f>
        <v/>
      </c>
      <c r="E2579" t="str">
        <f>+IFERROR(VLOOKUP(Fact_Cumplimiento[[#This Row], [Concepto Anterior]],Conceptos_Cumplimiento[#All],5,0),"")</f>
        <v/>
      </c>
      <c r="F2579" t="str">
        <f>+IFERROR(VLOOKUP(Fact_Cumplimiento[[#This Row], 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ht="18.75" customHeight="1" x14ac:dyDescent="0.35">
      <c r="C2580" s="100" t="str">
        <f>IF(OR(Fact_Cumplimiento[[#This Row], [Año]]="",Fact_Cumplimiento[[#This Row], [Mes]]=""),"",DATE(A2580,MATCH(B2580,{"enero","febrero","marzo","abril","mayo","junio","julio","agosto","septiembre","octubre","noviembre","diciembre"},0)+1,0))</f>
        <v/>
      </c>
      <c r="E2580" t="str">
        <f>+IFERROR(VLOOKUP(Fact_Cumplimiento[[#This Row], [Concepto Anterior]],Conceptos_Cumplimiento[#All],5,0),"")</f>
        <v/>
      </c>
      <c r="F2580" t="str">
        <f>+IFERROR(VLOOKUP(Fact_Cumplimiento[[#This Row], 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ht="18.75" customHeight="1" x14ac:dyDescent="0.35">
      <c r="C2581" s="100" t="str">
        <f>IF(OR(Fact_Cumplimiento[[#This Row], [Año]]="",Fact_Cumplimiento[[#This Row], [Mes]]=""),"",DATE(A2581,MATCH(B2581,{"enero","febrero","marzo","abril","mayo","junio","julio","agosto","septiembre","octubre","noviembre","diciembre"},0)+1,0))</f>
        <v/>
      </c>
      <c r="E2581" t="str">
        <f>+IFERROR(VLOOKUP(Fact_Cumplimiento[[#This Row], [Concepto Anterior]],Conceptos_Cumplimiento[#All],5,0),"")</f>
        <v/>
      </c>
      <c r="F2581" t="str">
        <f>+IFERROR(VLOOKUP(Fact_Cumplimiento[[#This Row], 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ht="18.75" customHeight="1" x14ac:dyDescent="0.35">
      <c r="C2582" s="100" t="str">
        <f>IF(OR(Fact_Cumplimiento[[#This Row], [Año]]="",Fact_Cumplimiento[[#This Row], [Mes]]=""),"",DATE(A2582,MATCH(B2582,{"enero","febrero","marzo","abril","mayo","junio","julio","agosto","septiembre","octubre","noviembre","diciembre"},0)+1,0))</f>
        <v/>
      </c>
      <c r="E2582" t="str">
        <f>+IFERROR(VLOOKUP(Fact_Cumplimiento[[#This Row], [Concepto Anterior]],Conceptos_Cumplimiento[#All],5,0),"")</f>
        <v/>
      </c>
      <c r="F2582" t="str">
        <f>+IFERROR(VLOOKUP(Fact_Cumplimiento[[#This Row], 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ht="18.75" customHeight="1" x14ac:dyDescent="0.35">
      <c r="C2583" s="100" t="str">
        <f>IF(OR(Fact_Cumplimiento[[#This Row], [Año]]="",Fact_Cumplimiento[[#This Row], [Mes]]=""),"",DATE(A2583,MATCH(B2583,{"enero","febrero","marzo","abril","mayo","junio","julio","agosto","septiembre","octubre","noviembre","diciembre"},0)+1,0))</f>
        <v/>
      </c>
      <c r="E2583" t="str">
        <f>+IFERROR(VLOOKUP(Fact_Cumplimiento[[#This Row], [Concepto Anterior]],Conceptos_Cumplimiento[#All],5,0),"")</f>
        <v/>
      </c>
      <c r="F2583" t="str">
        <f>+IFERROR(VLOOKUP(Fact_Cumplimiento[[#This Row], 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ht="18.75" customHeight="1" x14ac:dyDescent="0.35">
      <c r="C2584" s="100" t="str">
        <f>IF(OR(Fact_Cumplimiento[[#This Row], [Año]]="",Fact_Cumplimiento[[#This Row], [Mes]]=""),"",DATE(A2584,MATCH(B2584,{"enero","febrero","marzo","abril","mayo","junio","julio","agosto","septiembre","octubre","noviembre","diciembre"},0)+1,0))</f>
        <v/>
      </c>
      <c r="E2584" t="str">
        <f>+IFERROR(VLOOKUP(Fact_Cumplimiento[[#This Row], [Concepto Anterior]],Conceptos_Cumplimiento[#All],5,0),"")</f>
        <v/>
      </c>
      <c r="F2584" t="str">
        <f>+IFERROR(VLOOKUP(Fact_Cumplimiento[[#This Row], 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ht="18.75" customHeight="1" x14ac:dyDescent="0.35">
      <c r="C2585" s="100" t="str">
        <f>IF(OR(Fact_Cumplimiento[[#This Row], [Año]]="",Fact_Cumplimiento[[#This Row], [Mes]]=""),"",DATE(A2585,MATCH(B2585,{"enero","febrero","marzo","abril","mayo","junio","julio","agosto","septiembre","octubre","noviembre","diciembre"},0)+1,0))</f>
        <v/>
      </c>
      <c r="E2585" t="str">
        <f>+IFERROR(VLOOKUP(Fact_Cumplimiento[[#This Row], [Concepto Anterior]],Conceptos_Cumplimiento[#All],5,0),"")</f>
        <v/>
      </c>
      <c r="F2585" t="str">
        <f>+IFERROR(VLOOKUP(Fact_Cumplimiento[[#This Row], 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ht="18.75" customHeight="1" x14ac:dyDescent="0.35">
      <c r="C2586" s="100" t="str">
        <f>IF(OR(Fact_Cumplimiento[[#This Row], [Año]]="",Fact_Cumplimiento[[#This Row], [Mes]]=""),"",DATE(A2586,MATCH(B2586,{"enero","febrero","marzo","abril","mayo","junio","julio","agosto","septiembre","octubre","noviembre","diciembre"},0)+1,0))</f>
        <v/>
      </c>
      <c r="E2586" t="str">
        <f>+IFERROR(VLOOKUP(Fact_Cumplimiento[[#This Row], [Concepto Anterior]],Conceptos_Cumplimiento[#All],5,0),"")</f>
        <v/>
      </c>
      <c r="F2586" t="str">
        <f>+IFERROR(VLOOKUP(Fact_Cumplimiento[[#This Row], 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ht="18.75" customHeight="1" x14ac:dyDescent="0.35">
      <c r="C2587" s="100" t="str">
        <f>IF(OR(Fact_Cumplimiento[[#This Row], [Año]]="",Fact_Cumplimiento[[#This Row], [Mes]]=""),"",DATE(A2587,MATCH(B2587,{"enero","febrero","marzo","abril","mayo","junio","julio","agosto","septiembre","octubre","noviembre","diciembre"},0)+1,0))</f>
        <v/>
      </c>
      <c r="E2587" t="str">
        <f>+IFERROR(VLOOKUP(Fact_Cumplimiento[[#This Row], [Concepto Anterior]],Conceptos_Cumplimiento[#All],5,0),"")</f>
        <v/>
      </c>
      <c r="F2587" t="str">
        <f>+IFERROR(VLOOKUP(Fact_Cumplimiento[[#This Row], 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ht="18.75" customHeight="1" x14ac:dyDescent="0.35">
      <c r="C2588" s="100" t="str">
        <f>IF(OR(Fact_Cumplimiento[[#This Row], [Año]]="",Fact_Cumplimiento[[#This Row], [Mes]]=""),"",DATE(A2588,MATCH(B2588,{"enero","febrero","marzo","abril","mayo","junio","julio","agosto","septiembre","octubre","noviembre","diciembre"},0)+1,0))</f>
        <v/>
      </c>
      <c r="E2588" t="str">
        <f>+IFERROR(VLOOKUP(Fact_Cumplimiento[[#This Row], [Concepto Anterior]],Conceptos_Cumplimiento[#All],5,0),"")</f>
        <v/>
      </c>
      <c r="F2588" t="str">
        <f>+IFERROR(VLOOKUP(Fact_Cumplimiento[[#This Row], 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ht="18.75" customHeight="1" x14ac:dyDescent="0.35">
      <c r="C2589" s="100" t="str">
        <f>IF(OR(Fact_Cumplimiento[[#This Row], [Año]]="",Fact_Cumplimiento[[#This Row], [Mes]]=""),"",DATE(A2589,MATCH(B2589,{"enero","febrero","marzo","abril","mayo","junio","julio","agosto","septiembre","octubre","noviembre","diciembre"},0)+1,0))</f>
        <v/>
      </c>
      <c r="E2589" t="str">
        <f>+IFERROR(VLOOKUP(Fact_Cumplimiento[[#This Row], [Concepto Anterior]],Conceptos_Cumplimiento[#All],5,0),"")</f>
        <v/>
      </c>
      <c r="F2589" t="str">
        <f>+IFERROR(VLOOKUP(Fact_Cumplimiento[[#This Row], 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ht="18.75" customHeight="1" x14ac:dyDescent="0.35">
      <c r="C2590" s="100" t="str">
        <f>IF(OR(Fact_Cumplimiento[[#This Row], [Año]]="",Fact_Cumplimiento[[#This Row], [Mes]]=""),"",DATE(A2590,MATCH(B2590,{"enero","febrero","marzo","abril","mayo","junio","julio","agosto","septiembre","octubre","noviembre","diciembre"},0)+1,0))</f>
        <v/>
      </c>
      <c r="E2590" t="str">
        <f>+IFERROR(VLOOKUP(Fact_Cumplimiento[[#This Row], [Concepto Anterior]],Conceptos_Cumplimiento[#All],5,0),"")</f>
        <v/>
      </c>
      <c r="F2590" t="str">
        <f>+IFERROR(VLOOKUP(Fact_Cumplimiento[[#This Row], 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ht="18.75" customHeight="1" x14ac:dyDescent="0.35">
      <c r="C2591" s="100" t="str">
        <f>IF(OR(Fact_Cumplimiento[[#This Row], [Año]]="",Fact_Cumplimiento[[#This Row], [Mes]]=""),"",DATE(A2591,MATCH(B2591,{"enero","febrero","marzo","abril","mayo","junio","julio","agosto","septiembre","octubre","noviembre","diciembre"},0)+1,0))</f>
        <v/>
      </c>
      <c r="E2591" t="str">
        <f>+IFERROR(VLOOKUP(Fact_Cumplimiento[[#This Row], [Concepto Anterior]],Conceptos_Cumplimiento[#All],5,0),"")</f>
        <v/>
      </c>
      <c r="F2591" t="str">
        <f>+IFERROR(VLOOKUP(Fact_Cumplimiento[[#This Row], 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ht="18.75" customHeight="1" x14ac:dyDescent="0.35">
      <c r="C2592" s="100" t="str">
        <f>IF(OR(Fact_Cumplimiento[[#This Row], [Año]]="",Fact_Cumplimiento[[#This Row], [Mes]]=""),"",DATE(A2592,MATCH(B2592,{"enero","febrero","marzo","abril","mayo","junio","julio","agosto","septiembre","octubre","noviembre","diciembre"},0)+1,0))</f>
        <v/>
      </c>
      <c r="E2592" t="str">
        <f>+IFERROR(VLOOKUP(Fact_Cumplimiento[[#This Row], [Concepto Anterior]],Conceptos_Cumplimiento[#All],5,0),"")</f>
        <v/>
      </c>
      <c r="F2592" t="str">
        <f>+IFERROR(VLOOKUP(Fact_Cumplimiento[[#This Row], 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ht="18.75" customHeight="1" x14ac:dyDescent="0.35">
      <c r="C2593" s="100" t="str">
        <f>IF(OR(Fact_Cumplimiento[[#This Row], [Año]]="",Fact_Cumplimiento[[#This Row], [Mes]]=""),"",DATE(A2593,MATCH(B2593,{"enero","febrero","marzo","abril","mayo","junio","julio","agosto","septiembre","octubre","noviembre","diciembre"},0)+1,0))</f>
        <v/>
      </c>
      <c r="E2593" t="str">
        <f>+IFERROR(VLOOKUP(Fact_Cumplimiento[[#This Row], [Concepto Anterior]],Conceptos_Cumplimiento[#All],5,0),"")</f>
        <v/>
      </c>
      <c r="F2593" t="str">
        <f>+IFERROR(VLOOKUP(Fact_Cumplimiento[[#This Row], 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ht="18.75" customHeight="1" x14ac:dyDescent="0.35">
      <c r="C2594" s="100" t="str">
        <f>IF(OR(Fact_Cumplimiento[[#This Row], [Año]]="",Fact_Cumplimiento[[#This Row], [Mes]]=""),"",DATE(A2594,MATCH(B2594,{"enero","febrero","marzo","abril","mayo","junio","julio","agosto","septiembre","octubre","noviembre","diciembre"},0)+1,0))</f>
        <v/>
      </c>
      <c r="E2594" t="str">
        <f>+IFERROR(VLOOKUP(Fact_Cumplimiento[[#This Row], [Concepto Anterior]],Conceptos_Cumplimiento[#All],5,0),"")</f>
        <v/>
      </c>
      <c r="F2594" t="str">
        <f>+IFERROR(VLOOKUP(Fact_Cumplimiento[[#This Row], 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ht="18.75" customHeight="1" x14ac:dyDescent="0.35">
      <c r="C2595" s="100" t="str">
        <f>IF(OR(Fact_Cumplimiento[[#This Row], [Año]]="",Fact_Cumplimiento[[#This Row], [Mes]]=""),"",DATE(A2595,MATCH(B2595,{"enero","febrero","marzo","abril","mayo","junio","julio","agosto","septiembre","octubre","noviembre","diciembre"},0)+1,0))</f>
        <v/>
      </c>
      <c r="E2595" t="str">
        <f>+IFERROR(VLOOKUP(Fact_Cumplimiento[[#This Row], [Concepto Anterior]],Conceptos_Cumplimiento[#All],5,0),"")</f>
        <v/>
      </c>
      <c r="F2595" t="str">
        <f>+IFERROR(VLOOKUP(Fact_Cumplimiento[[#This Row], 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ht="18.75" customHeight="1" x14ac:dyDescent="0.35">
      <c r="C2596" s="100" t="str">
        <f>IF(OR(Fact_Cumplimiento[[#This Row], [Año]]="",Fact_Cumplimiento[[#This Row], [Mes]]=""),"",DATE(A2596,MATCH(B2596,{"enero","febrero","marzo","abril","mayo","junio","julio","agosto","septiembre","octubre","noviembre","diciembre"},0)+1,0))</f>
        <v/>
      </c>
      <c r="E2596" t="str">
        <f>+IFERROR(VLOOKUP(Fact_Cumplimiento[[#This Row], [Concepto Anterior]],Conceptos_Cumplimiento[#All],5,0),"")</f>
        <v/>
      </c>
      <c r="F2596" t="str">
        <f>+IFERROR(VLOOKUP(Fact_Cumplimiento[[#This Row], 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ht="18.75" customHeight="1" x14ac:dyDescent="0.35">
      <c r="C2597" s="100" t="str">
        <f>IF(OR(Fact_Cumplimiento[[#This Row], [Año]]="",Fact_Cumplimiento[[#This Row], [Mes]]=""),"",DATE(A2597,MATCH(B2597,{"enero","febrero","marzo","abril","mayo","junio","julio","agosto","septiembre","octubre","noviembre","diciembre"},0)+1,0))</f>
        <v/>
      </c>
      <c r="E2597" t="str">
        <f>+IFERROR(VLOOKUP(Fact_Cumplimiento[[#This Row], [Concepto Anterior]],Conceptos_Cumplimiento[#All],5,0),"")</f>
        <v/>
      </c>
      <c r="F2597" t="str">
        <f>+IFERROR(VLOOKUP(Fact_Cumplimiento[[#This Row], 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ht="18.75" customHeight="1" x14ac:dyDescent="0.35">
      <c r="C2598" s="100" t="str">
        <f>IF(OR(Fact_Cumplimiento[[#This Row], [Año]]="",Fact_Cumplimiento[[#This Row], [Mes]]=""),"",DATE(A2598,MATCH(B2598,{"enero","febrero","marzo","abril","mayo","junio","julio","agosto","septiembre","octubre","noviembre","diciembre"},0)+1,0))</f>
        <v/>
      </c>
      <c r="E2598" t="str">
        <f>+IFERROR(VLOOKUP(Fact_Cumplimiento[[#This Row], [Concepto Anterior]],Conceptos_Cumplimiento[#All],5,0),"")</f>
        <v/>
      </c>
      <c r="F2598" t="str">
        <f>+IFERROR(VLOOKUP(Fact_Cumplimiento[[#This Row], 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ht="18.75" customHeight="1" x14ac:dyDescent="0.35">
      <c r="C2599" s="100" t="str">
        <f>IF(OR(Fact_Cumplimiento[[#This Row], [Año]]="",Fact_Cumplimiento[[#This Row], [Mes]]=""),"",DATE(A2599,MATCH(B2599,{"enero","febrero","marzo","abril","mayo","junio","julio","agosto","septiembre","octubre","noviembre","diciembre"},0)+1,0))</f>
        <v/>
      </c>
      <c r="E2599" t="str">
        <f>+IFERROR(VLOOKUP(Fact_Cumplimiento[[#This Row], [Concepto Anterior]],Conceptos_Cumplimiento[#All],5,0),"")</f>
        <v/>
      </c>
      <c r="F2599" t="str">
        <f>+IFERROR(VLOOKUP(Fact_Cumplimiento[[#This Row], 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ht="18.75" customHeight="1" x14ac:dyDescent="0.35">
      <c r="C2600" s="100" t="str">
        <f>IF(OR(Fact_Cumplimiento[[#This Row], [Año]]="",Fact_Cumplimiento[[#This Row], [Mes]]=""),"",DATE(A2600,MATCH(B2600,{"enero","febrero","marzo","abril","mayo","junio","julio","agosto","septiembre","octubre","noviembre","diciembre"},0)+1,0))</f>
        <v/>
      </c>
      <c r="E2600" t="str">
        <f>+IFERROR(VLOOKUP(Fact_Cumplimiento[[#This Row], [Concepto Anterior]],Conceptos_Cumplimiento[#All],5,0),"")</f>
        <v/>
      </c>
      <c r="F2600" t="str">
        <f>+IFERROR(VLOOKUP(Fact_Cumplimiento[[#This Row], 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ht="18.75" customHeight="1" x14ac:dyDescent="0.35">
      <c r="C2601" s="100" t="str">
        <f>IF(OR(Fact_Cumplimiento[[#This Row], [Año]]="",Fact_Cumplimiento[[#This Row], [Mes]]=""),"",DATE(A2601,MATCH(B2601,{"enero","febrero","marzo","abril","mayo","junio","julio","agosto","septiembre","octubre","noviembre","diciembre"},0)+1,0))</f>
        <v/>
      </c>
      <c r="E2601" t="str">
        <f>+IFERROR(VLOOKUP(Fact_Cumplimiento[[#This Row], [Concepto Anterior]],Conceptos_Cumplimiento[#All],5,0),"")</f>
        <v/>
      </c>
      <c r="F2601" t="str">
        <f>+IFERROR(VLOOKUP(Fact_Cumplimiento[[#This Row], 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ht="18.75" customHeight="1" x14ac:dyDescent="0.35">
      <c r="C2602" s="100" t="str">
        <f>IF(OR(Fact_Cumplimiento[[#This Row], [Año]]="",Fact_Cumplimiento[[#This Row], [Mes]]=""),"",DATE(A2602,MATCH(B2602,{"enero","febrero","marzo","abril","mayo","junio","julio","agosto","septiembre","octubre","noviembre","diciembre"},0)+1,0))</f>
        <v/>
      </c>
      <c r="E2602" t="str">
        <f>+IFERROR(VLOOKUP(Fact_Cumplimiento[[#This Row], [Concepto Anterior]],Conceptos_Cumplimiento[#All],5,0),"")</f>
        <v/>
      </c>
      <c r="F2602" t="str">
        <f>+IFERROR(VLOOKUP(Fact_Cumplimiento[[#This Row], 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ht="18.75" customHeight="1" x14ac:dyDescent="0.35">
      <c r="C2603" s="100" t="str">
        <f>IF(OR(Fact_Cumplimiento[[#This Row], [Año]]="",Fact_Cumplimiento[[#This Row], [Mes]]=""),"",DATE(A2603,MATCH(B2603,{"enero","febrero","marzo","abril","mayo","junio","julio","agosto","septiembre","octubre","noviembre","diciembre"},0)+1,0))</f>
        <v/>
      </c>
      <c r="E2603" t="str">
        <f>+IFERROR(VLOOKUP(Fact_Cumplimiento[[#This Row], [Concepto Anterior]],Conceptos_Cumplimiento[#All],5,0),"")</f>
        <v/>
      </c>
      <c r="F2603" t="str">
        <f>+IFERROR(VLOOKUP(Fact_Cumplimiento[[#This Row], 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ht="18.75" customHeight="1" x14ac:dyDescent="0.35">
      <c r="C2604" s="100" t="str">
        <f>IF(OR(Fact_Cumplimiento[[#This Row], [Año]]="",Fact_Cumplimiento[[#This Row], [Mes]]=""),"",DATE(A2604,MATCH(B2604,{"enero","febrero","marzo","abril","mayo","junio","julio","agosto","septiembre","octubre","noviembre","diciembre"},0)+1,0))</f>
        <v/>
      </c>
      <c r="E2604" t="str">
        <f>+IFERROR(VLOOKUP(Fact_Cumplimiento[[#This Row], [Concepto Anterior]],Conceptos_Cumplimiento[#All],5,0),"")</f>
        <v/>
      </c>
      <c r="F2604" t="str">
        <f>+IFERROR(VLOOKUP(Fact_Cumplimiento[[#This Row], 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ht="18.75" customHeight="1" x14ac:dyDescent="0.35">
      <c r="C2605" s="100" t="str">
        <f>IF(OR(Fact_Cumplimiento[[#This Row], [Año]]="",Fact_Cumplimiento[[#This Row], [Mes]]=""),"",DATE(A2605,MATCH(B2605,{"enero","febrero","marzo","abril","mayo","junio","julio","agosto","septiembre","octubre","noviembre","diciembre"},0)+1,0))</f>
        <v/>
      </c>
      <c r="E2605" t="str">
        <f>+IFERROR(VLOOKUP(Fact_Cumplimiento[[#This Row], [Concepto Anterior]],Conceptos_Cumplimiento[#All],5,0),"")</f>
        <v/>
      </c>
      <c r="F2605" t="str">
        <f>+IFERROR(VLOOKUP(Fact_Cumplimiento[[#This Row], 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ht="18.75" customHeight="1" x14ac:dyDescent="0.35">
      <c r="C2606" s="100" t="str">
        <f>IF(OR(Fact_Cumplimiento[[#This Row], [Año]]="",Fact_Cumplimiento[[#This Row], [Mes]]=""),"",DATE(A2606,MATCH(B2606,{"enero","febrero","marzo","abril","mayo","junio","julio","agosto","septiembre","octubre","noviembre","diciembre"},0)+1,0))</f>
        <v/>
      </c>
      <c r="E2606" t="str">
        <f>+IFERROR(VLOOKUP(Fact_Cumplimiento[[#This Row], [Concepto Anterior]],Conceptos_Cumplimiento[#All],5,0),"")</f>
        <v/>
      </c>
      <c r="F2606" t="str">
        <f>+IFERROR(VLOOKUP(Fact_Cumplimiento[[#This Row], 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ht="18.75" customHeight="1" x14ac:dyDescent="0.35">
      <c r="C2607" s="100" t="str">
        <f>IF(OR(Fact_Cumplimiento[[#This Row], [Año]]="",Fact_Cumplimiento[[#This Row], [Mes]]=""),"",DATE(A2607,MATCH(B2607,{"enero","febrero","marzo","abril","mayo","junio","julio","agosto","septiembre","octubre","noviembre","diciembre"},0)+1,0))</f>
        <v/>
      </c>
      <c r="E2607" t="str">
        <f>+IFERROR(VLOOKUP(Fact_Cumplimiento[[#This Row], [Concepto Anterior]],Conceptos_Cumplimiento[#All],5,0),"")</f>
        <v/>
      </c>
      <c r="F2607" t="str">
        <f>+IFERROR(VLOOKUP(Fact_Cumplimiento[[#This Row], 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ht="18.75" customHeight="1" x14ac:dyDescent="0.35">
      <c r="C2608" s="100" t="str">
        <f>IF(OR(Fact_Cumplimiento[[#This Row], [Año]]="",Fact_Cumplimiento[[#This Row], [Mes]]=""),"",DATE(A2608,MATCH(B2608,{"enero","febrero","marzo","abril","mayo","junio","julio","agosto","septiembre","octubre","noviembre","diciembre"},0)+1,0))</f>
        <v/>
      </c>
      <c r="E2608" t="str">
        <f>+IFERROR(VLOOKUP(Fact_Cumplimiento[[#This Row], [Concepto Anterior]],Conceptos_Cumplimiento[#All],5,0),"")</f>
        <v/>
      </c>
      <c r="F2608" t="str">
        <f>+IFERROR(VLOOKUP(Fact_Cumplimiento[[#This Row], 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ht="18.75" customHeight="1" x14ac:dyDescent="0.35">
      <c r="C2609" s="100" t="str">
        <f>IF(OR(Fact_Cumplimiento[[#This Row], [Año]]="",Fact_Cumplimiento[[#This Row], [Mes]]=""),"",DATE(A2609,MATCH(B2609,{"enero","febrero","marzo","abril","mayo","junio","julio","agosto","septiembre","octubre","noviembre","diciembre"},0)+1,0))</f>
        <v/>
      </c>
      <c r="E2609" t="str">
        <f>+IFERROR(VLOOKUP(Fact_Cumplimiento[[#This Row], [Concepto Anterior]],Conceptos_Cumplimiento[#All],5,0),"")</f>
        <v/>
      </c>
      <c r="F2609" t="str">
        <f>+IFERROR(VLOOKUP(Fact_Cumplimiento[[#This Row], 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ht="18.75" customHeight="1" x14ac:dyDescent="0.35">
      <c r="C2610" s="100" t="str">
        <f>IF(OR(Fact_Cumplimiento[[#This Row], [Año]]="",Fact_Cumplimiento[[#This Row], [Mes]]=""),"",DATE(A2610,MATCH(B2610,{"enero","febrero","marzo","abril","mayo","junio","julio","agosto","septiembre","octubre","noviembre","diciembre"},0)+1,0))</f>
        <v/>
      </c>
      <c r="E2610" t="str">
        <f>+IFERROR(VLOOKUP(Fact_Cumplimiento[[#This Row], [Concepto Anterior]],Conceptos_Cumplimiento[#All],5,0),"")</f>
        <v/>
      </c>
      <c r="F2610" t="str">
        <f>+IFERROR(VLOOKUP(Fact_Cumplimiento[[#This Row], 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ht="18.75" customHeight="1" x14ac:dyDescent="0.35">
      <c r="C2611" s="100" t="str">
        <f>IF(OR(Fact_Cumplimiento[[#This Row], [Año]]="",Fact_Cumplimiento[[#This Row], [Mes]]=""),"",DATE(A2611,MATCH(B2611,{"enero","febrero","marzo","abril","mayo","junio","julio","agosto","septiembre","octubre","noviembre","diciembre"},0)+1,0))</f>
        <v/>
      </c>
      <c r="E2611" t="str">
        <f>+IFERROR(VLOOKUP(Fact_Cumplimiento[[#This Row], [Concepto Anterior]],Conceptos_Cumplimiento[#All],5,0),"")</f>
        <v/>
      </c>
      <c r="F2611" t="str">
        <f>+IFERROR(VLOOKUP(Fact_Cumplimiento[[#This Row], 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ht="18.75" customHeight="1" x14ac:dyDescent="0.35">
      <c r="C2612" s="100" t="str">
        <f>IF(OR(Fact_Cumplimiento[[#This Row], [Año]]="",Fact_Cumplimiento[[#This Row], [Mes]]=""),"",DATE(A2612,MATCH(B2612,{"enero","febrero","marzo","abril","mayo","junio","julio","agosto","septiembre","octubre","noviembre","diciembre"},0)+1,0))</f>
        <v/>
      </c>
      <c r="E2612" t="str">
        <f>+IFERROR(VLOOKUP(Fact_Cumplimiento[[#This Row], [Concepto Anterior]],Conceptos_Cumplimiento[#All],5,0),"")</f>
        <v/>
      </c>
      <c r="F2612" t="str">
        <f>+IFERROR(VLOOKUP(Fact_Cumplimiento[[#This Row], 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ht="18.75" customHeight="1" x14ac:dyDescent="0.35">
      <c r="C2613" s="100" t="str">
        <f>IF(OR(Fact_Cumplimiento[[#This Row], [Año]]="",Fact_Cumplimiento[[#This Row], [Mes]]=""),"",DATE(A2613,MATCH(B2613,{"enero","febrero","marzo","abril","mayo","junio","julio","agosto","septiembre","octubre","noviembre","diciembre"},0)+1,0))</f>
        <v/>
      </c>
      <c r="E2613" t="str">
        <f>+IFERROR(VLOOKUP(Fact_Cumplimiento[[#This Row], [Concepto Anterior]],Conceptos_Cumplimiento[#All],5,0),"")</f>
        <v/>
      </c>
      <c r="F2613" t="str">
        <f>+IFERROR(VLOOKUP(Fact_Cumplimiento[[#This Row], 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ht="18.75" customHeight="1" x14ac:dyDescent="0.35">
      <c r="C2614" s="100" t="str">
        <f>IF(OR(Fact_Cumplimiento[[#This Row], [Año]]="",Fact_Cumplimiento[[#This Row], [Mes]]=""),"",DATE(A2614,MATCH(B2614,{"enero","febrero","marzo","abril","mayo","junio","julio","agosto","septiembre","octubre","noviembre","diciembre"},0)+1,0))</f>
        <v/>
      </c>
      <c r="E2614" t="str">
        <f>+IFERROR(VLOOKUP(Fact_Cumplimiento[[#This Row], [Concepto Anterior]],Conceptos_Cumplimiento[#All],5,0),"")</f>
        <v/>
      </c>
      <c r="F2614" t="str">
        <f>+IFERROR(VLOOKUP(Fact_Cumplimiento[[#This Row], 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ht="18.75" customHeight="1" x14ac:dyDescent="0.35">
      <c r="C2615" s="100" t="str">
        <f>IF(OR(Fact_Cumplimiento[[#This Row], [Año]]="",Fact_Cumplimiento[[#This Row], [Mes]]=""),"",DATE(A2615,MATCH(B2615,{"enero","febrero","marzo","abril","mayo","junio","julio","agosto","septiembre","octubre","noviembre","diciembre"},0)+1,0))</f>
        <v/>
      </c>
      <c r="E2615" t="str">
        <f>+IFERROR(VLOOKUP(Fact_Cumplimiento[[#This Row], [Concepto Anterior]],Conceptos_Cumplimiento[#All],5,0),"")</f>
        <v/>
      </c>
      <c r="F2615" t="str">
        <f>+IFERROR(VLOOKUP(Fact_Cumplimiento[[#This Row], 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ht="18.75" customHeight="1" x14ac:dyDescent="0.35">
      <c r="C2616" s="100" t="str">
        <f>IF(OR(Fact_Cumplimiento[[#This Row], [Año]]="",Fact_Cumplimiento[[#This Row], [Mes]]=""),"",DATE(A2616,MATCH(B2616,{"enero","febrero","marzo","abril","mayo","junio","julio","agosto","septiembre","octubre","noviembre","diciembre"},0)+1,0))</f>
        <v/>
      </c>
      <c r="E2616" t="str">
        <f>+IFERROR(VLOOKUP(Fact_Cumplimiento[[#This Row], [Concepto Anterior]],Conceptos_Cumplimiento[#All],5,0),"")</f>
        <v/>
      </c>
      <c r="F2616" t="str">
        <f>+IFERROR(VLOOKUP(Fact_Cumplimiento[[#This Row], 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ht="18.75" customHeight="1" x14ac:dyDescent="0.35">
      <c r="C2617" s="100" t="str">
        <f>IF(OR(Fact_Cumplimiento[[#This Row], [Año]]="",Fact_Cumplimiento[[#This Row], [Mes]]=""),"",DATE(A2617,MATCH(B2617,{"enero","febrero","marzo","abril","mayo","junio","julio","agosto","septiembre","octubre","noviembre","diciembre"},0)+1,0))</f>
        <v/>
      </c>
      <c r="E2617" t="str">
        <f>+IFERROR(VLOOKUP(Fact_Cumplimiento[[#This Row], [Concepto Anterior]],Conceptos_Cumplimiento[#All],5,0),"")</f>
        <v/>
      </c>
      <c r="F2617" t="str">
        <f>+IFERROR(VLOOKUP(Fact_Cumplimiento[[#This Row], 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ht="18.75" customHeight="1" x14ac:dyDescent="0.35">
      <c r="C2618" s="100" t="str">
        <f>IF(OR(Fact_Cumplimiento[[#This Row], [Año]]="",Fact_Cumplimiento[[#This Row], [Mes]]=""),"",DATE(A2618,MATCH(B2618,{"enero","febrero","marzo","abril","mayo","junio","julio","agosto","septiembre","octubre","noviembre","diciembre"},0)+1,0))</f>
        <v/>
      </c>
      <c r="E2618" t="str">
        <f>+IFERROR(VLOOKUP(Fact_Cumplimiento[[#This Row], [Concepto Anterior]],Conceptos_Cumplimiento[#All],5,0),"")</f>
        <v/>
      </c>
      <c r="F2618" t="str">
        <f>+IFERROR(VLOOKUP(Fact_Cumplimiento[[#This Row], 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ht="18.75" customHeight="1" x14ac:dyDescent="0.35">
      <c r="C2619" s="100" t="str">
        <f>IF(OR(Fact_Cumplimiento[[#This Row], [Año]]="",Fact_Cumplimiento[[#This Row], [Mes]]=""),"",DATE(A2619,MATCH(B2619,{"enero","febrero","marzo","abril","mayo","junio","julio","agosto","septiembre","octubre","noviembre","diciembre"},0)+1,0))</f>
        <v/>
      </c>
      <c r="E2619" t="str">
        <f>+IFERROR(VLOOKUP(Fact_Cumplimiento[[#This Row], [Concepto Anterior]],Conceptos_Cumplimiento[#All],5,0),"")</f>
        <v/>
      </c>
      <c r="F2619" t="str">
        <f>+IFERROR(VLOOKUP(Fact_Cumplimiento[[#This Row], 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ht="18.75" customHeight="1" x14ac:dyDescent="0.35">
      <c r="C2620" s="100" t="str">
        <f>IF(OR(Fact_Cumplimiento[[#This Row], [Año]]="",Fact_Cumplimiento[[#This Row], [Mes]]=""),"",DATE(A2620,MATCH(B2620,{"enero","febrero","marzo","abril","mayo","junio","julio","agosto","septiembre","octubre","noviembre","diciembre"},0)+1,0))</f>
        <v/>
      </c>
      <c r="E2620" t="str">
        <f>+IFERROR(VLOOKUP(Fact_Cumplimiento[[#This Row], [Concepto Anterior]],Conceptos_Cumplimiento[#All],5,0),"")</f>
        <v/>
      </c>
      <c r="F2620" t="str">
        <f>+IFERROR(VLOOKUP(Fact_Cumplimiento[[#This Row], 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ht="18.75" customHeight="1" x14ac:dyDescent="0.35">
      <c r="C2621" s="100" t="str">
        <f>IF(OR(Fact_Cumplimiento[[#This Row], [Año]]="",Fact_Cumplimiento[[#This Row], [Mes]]=""),"",DATE(A2621,MATCH(B2621,{"enero","febrero","marzo","abril","mayo","junio","julio","agosto","septiembre","octubre","noviembre","diciembre"},0)+1,0))</f>
        <v/>
      </c>
      <c r="E2621" t="str">
        <f>+IFERROR(VLOOKUP(Fact_Cumplimiento[[#This Row], [Concepto Anterior]],Conceptos_Cumplimiento[#All],5,0),"")</f>
        <v/>
      </c>
      <c r="F2621" t="str">
        <f>+IFERROR(VLOOKUP(Fact_Cumplimiento[[#This Row], 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ht="18.75" customHeight="1" x14ac:dyDescent="0.35">
      <c r="C2622" s="100" t="str">
        <f>IF(OR(Fact_Cumplimiento[[#This Row], [Año]]="",Fact_Cumplimiento[[#This Row], [Mes]]=""),"",DATE(A2622,MATCH(B2622,{"enero","febrero","marzo","abril","mayo","junio","julio","agosto","septiembre","octubre","noviembre","diciembre"},0)+1,0))</f>
        <v/>
      </c>
      <c r="E2622" t="str">
        <f>+IFERROR(VLOOKUP(Fact_Cumplimiento[[#This Row], [Concepto Anterior]],Conceptos_Cumplimiento[#All],5,0),"")</f>
        <v/>
      </c>
      <c r="F2622" t="str">
        <f>+IFERROR(VLOOKUP(Fact_Cumplimiento[[#This Row], 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ht="18.75" customHeight="1" x14ac:dyDescent="0.35">
      <c r="C2623" s="100" t="str">
        <f>IF(OR(Fact_Cumplimiento[[#This Row], [Año]]="",Fact_Cumplimiento[[#This Row], [Mes]]=""),"",DATE(A2623,MATCH(B2623,{"enero","febrero","marzo","abril","mayo","junio","julio","agosto","septiembre","octubre","noviembre","diciembre"},0)+1,0))</f>
        <v/>
      </c>
      <c r="E2623" t="str">
        <f>+IFERROR(VLOOKUP(Fact_Cumplimiento[[#This Row], [Concepto Anterior]],Conceptos_Cumplimiento[#All],5,0),"")</f>
        <v/>
      </c>
      <c r="F2623" t="str">
        <f>+IFERROR(VLOOKUP(Fact_Cumplimiento[[#This Row], 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ht="18.75" customHeight="1" x14ac:dyDescent="0.35">
      <c r="C2624" s="100" t="str">
        <f>IF(OR(Fact_Cumplimiento[[#This Row], [Año]]="",Fact_Cumplimiento[[#This Row], [Mes]]=""),"",DATE(A2624,MATCH(B2624,{"enero","febrero","marzo","abril","mayo","junio","julio","agosto","septiembre","octubre","noviembre","diciembre"},0)+1,0))</f>
        <v/>
      </c>
      <c r="E2624" t="str">
        <f>+IFERROR(VLOOKUP(Fact_Cumplimiento[[#This Row], [Concepto Anterior]],Conceptos_Cumplimiento[#All],5,0),"")</f>
        <v/>
      </c>
      <c r="F2624" t="str">
        <f>+IFERROR(VLOOKUP(Fact_Cumplimiento[[#This Row], 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ht="18.75" customHeight="1" x14ac:dyDescent="0.35">
      <c r="C2625" s="100" t="str">
        <f>IF(OR(Fact_Cumplimiento[[#This Row], [Año]]="",Fact_Cumplimiento[[#This Row], [Mes]]=""),"",DATE(A2625,MATCH(B2625,{"enero","febrero","marzo","abril","mayo","junio","julio","agosto","septiembre","octubre","noviembre","diciembre"},0)+1,0))</f>
        <v/>
      </c>
      <c r="E2625" t="str">
        <f>+IFERROR(VLOOKUP(Fact_Cumplimiento[[#This Row], [Concepto Anterior]],Conceptos_Cumplimiento[#All],5,0),"")</f>
        <v/>
      </c>
      <c r="F2625" t="str">
        <f>+IFERROR(VLOOKUP(Fact_Cumplimiento[[#This Row], 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ht="18.75" customHeight="1" x14ac:dyDescent="0.35">
      <c r="C2626" s="100" t="str">
        <f>IF(OR(Fact_Cumplimiento[[#This Row], [Año]]="",Fact_Cumplimiento[[#This Row], [Mes]]=""),"",DATE(A2626,MATCH(B2626,{"enero","febrero","marzo","abril","mayo","junio","julio","agosto","septiembre","octubre","noviembre","diciembre"},0)+1,0))</f>
        <v/>
      </c>
      <c r="E2626" t="str">
        <f>+IFERROR(VLOOKUP(Fact_Cumplimiento[[#This Row], [Concepto Anterior]],Conceptos_Cumplimiento[#All],5,0),"")</f>
        <v/>
      </c>
      <c r="F2626" t="str">
        <f>+IFERROR(VLOOKUP(Fact_Cumplimiento[[#This Row], 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ht="18.75" customHeight="1" x14ac:dyDescent="0.35">
      <c r="C2627" s="100" t="str">
        <f>IF(OR(Fact_Cumplimiento[[#This Row], [Año]]="",Fact_Cumplimiento[[#This Row], [Mes]]=""),"",DATE(A2627,MATCH(B2627,{"enero","febrero","marzo","abril","mayo","junio","julio","agosto","septiembre","octubre","noviembre","diciembre"},0)+1,0))</f>
        <v/>
      </c>
      <c r="E2627" t="str">
        <f>+IFERROR(VLOOKUP(Fact_Cumplimiento[[#This Row], [Concepto Anterior]],Conceptos_Cumplimiento[#All],5,0),"")</f>
        <v/>
      </c>
      <c r="F2627" t="str">
        <f>+IFERROR(VLOOKUP(Fact_Cumplimiento[[#This Row], 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ht="18.75" customHeight="1" x14ac:dyDescent="0.35">
      <c r="C2628" s="100" t="str">
        <f>IF(OR(Fact_Cumplimiento[[#This Row], [Año]]="",Fact_Cumplimiento[[#This Row], [Mes]]=""),"",DATE(A2628,MATCH(B2628,{"enero","febrero","marzo","abril","mayo","junio","julio","agosto","septiembre","octubre","noviembre","diciembre"},0)+1,0))</f>
        <v/>
      </c>
      <c r="E2628" t="str">
        <f>+IFERROR(VLOOKUP(Fact_Cumplimiento[[#This Row], [Concepto Anterior]],Conceptos_Cumplimiento[#All],5,0),"")</f>
        <v/>
      </c>
      <c r="F2628" t="str">
        <f>+IFERROR(VLOOKUP(Fact_Cumplimiento[[#This Row], 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ht="18.75" customHeight="1" x14ac:dyDescent="0.35">
      <c r="C2629" s="100" t="str">
        <f>IF(OR(Fact_Cumplimiento[[#This Row], [Año]]="",Fact_Cumplimiento[[#This Row], [Mes]]=""),"",DATE(A2629,MATCH(B2629,{"enero","febrero","marzo","abril","mayo","junio","julio","agosto","septiembre","octubre","noviembre","diciembre"},0)+1,0))</f>
        <v/>
      </c>
      <c r="E2629" t="str">
        <f>+IFERROR(VLOOKUP(Fact_Cumplimiento[[#This Row], [Concepto Anterior]],Conceptos_Cumplimiento[#All],5,0),"")</f>
        <v/>
      </c>
      <c r="F2629" t="str">
        <f>+IFERROR(VLOOKUP(Fact_Cumplimiento[[#This Row], 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ht="18.75" customHeight="1" x14ac:dyDescent="0.35">
      <c r="C2630" s="100" t="str">
        <f>IF(OR(Fact_Cumplimiento[[#This Row], [Año]]="",Fact_Cumplimiento[[#This Row], [Mes]]=""),"",DATE(A2630,MATCH(B2630,{"enero","febrero","marzo","abril","mayo","junio","julio","agosto","septiembre","octubre","noviembre","diciembre"},0)+1,0))</f>
        <v/>
      </c>
      <c r="E2630" t="str">
        <f>+IFERROR(VLOOKUP(Fact_Cumplimiento[[#This Row], [Concepto Anterior]],Conceptos_Cumplimiento[#All],5,0),"")</f>
        <v/>
      </c>
      <c r="F2630" t="str">
        <f>+IFERROR(VLOOKUP(Fact_Cumplimiento[[#This Row], 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ht="18.75" customHeight="1" x14ac:dyDescent="0.35">
      <c r="C2631" s="100" t="str">
        <f>IF(OR(Fact_Cumplimiento[[#This Row], [Año]]="",Fact_Cumplimiento[[#This Row], [Mes]]=""),"",DATE(A2631,MATCH(B2631,{"enero","febrero","marzo","abril","mayo","junio","julio","agosto","septiembre","octubre","noviembre","diciembre"},0)+1,0))</f>
        <v/>
      </c>
      <c r="E2631" t="str">
        <f>+IFERROR(VLOOKUP(Fact_Cumplimiento[[#This Row], [Concepto Anterior]],Conceptos_Cumplimiento[#All],5,0),"")</f>
        <v/>
      </c>
      <c r="F2631" t="str">
        <f>+IFERROR(VLOOKUP(Fact_Cumplimiento[[#This Row], 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ht="18.75" customHeight="1" x14ac:dyDescent="0.35">
      <c r="C2632" s="100" t="str">
        <f>IF(OR(Fact_Cumplimiento[[#This Row], [Año]]="",Fact_Cumplimiento[[#This Row], [Mes]]=""),"",DATE(A2632,MATCH(B2632,{"enero","febrero","marzo","abril","mayo","junio","julio","agosto","septiembre","octubre","noviembre","diciembre"},0)+1,0))</f>
        <v/>
      </c>
      <c r="E2632" t="str">
        <f>+IFERROR(VLOOKUP(Fact_Cumplimiento[[#This Row], [Concepto Anterior]],Conceptos_Cumplimiento[#All],5,0),"")</f>
        <v/>
      </c>
      <c r="F2632" t="str">
        <f>+IFERROR(VLOOKUP(Fact_Cumplimiento[[#This Row], 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ht="18.75" customHeight="1" x14ac:dyDescent="0.35">
      <c r="C2633" s="100" t="str">
        <f>IF(OR(Fact_Cumplimiento[[#This Row], [Año]]="",Fact_Cumplimiento[[#This Row], [Mes]]=""),"",DATE(A2633,MATCH(B2633,{"enero","febrero","marzo","abril","mayo","junio","julio","agosto","septiembre","octubre","noviembre","diciembre"},0)+1,0))</f>
        <v/>
      </c>
      <c r="E2633" t="str">
        <f>+IFERROR(VLOOKUP(Fact_Cumplimiento[[#This Row], [Concepto Anterior]],Conceptos_Cumplimiento[#All],5,0),"")</f>
        <v/>
      </c>
      <c r="F2633" t="str">
        <f>+IFERROR(VLOOKUP(Fact_Cumplimiento[[#This Row], 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ht="18.75" customHeight="1" x14ac:dyDescent="0.35">
      <c r="C2634" s="100" t="str">
        <f>IF(OR(Fact_Cumplimiento[[#This Row], [Año]]="",Fact_Cumplimiento[[#This Row], [Mes]]=""),"",DATE(A2634,MATCH(B2634,{"enero","febrero","marzo","abril","mayo","junio","julio","agosto","septiembre","octubre","noviembre","diciembre"},0)+1,0))</f>
        <v/>
      </c>
      <c r="E2634" t="str">
        <f>+IFERROR(VLOOKUP(Fact_Cumplimiento[[#This Row], [Concepto Anterior]],Conceptos_Cumplimiento[#All],5,0),"")</f>
        <v/>
      </c>
      <c r="F2634" t="str">
        <f>+IFERROR(VLOOKUP(Fact_Cumplimiento[[#This Row], 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ht="18.75" customHeight="1" x14ac:dyDescent="0.35">
      <c r="C2635" s="100" t="str">
        <f>IF(OR(Fact_Cumplimiento[[#This Row], [Año]]="",Fact_Cumplimiento[[#This Row], [Mes]]=""),"",DATE(A2635,MATCH(B2635,{"enero","febrero","marzo","abril","mayo","junio","julio","agosto","septiembre","octubre","noviembre","diciembre"},0)+1,0))</f>
        <v/>
      </c>
      <c r="E2635" t="str">
        <f>+IFERROR(VLOOKUP(Fact_Cumplimiento[[#This Row], [Concepto Anterior]],Conceptos_Cumplimiento[#All],5,0),"")</f>
        <v/>
      </c>
      <c r="F2635" t="str">
        <f>+IFERROR(VLOOKUP(Fact_Cumplimiento[[#This Row], 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ht="18.75" customHeight="1" x14ac:dyDescent="0.35">
      <c r="C2636" s="100" t="str">
        <f>IF(OR(Fact_Cumplimiento[[#This Row], [Año]]="",Fact_Cumplimiento[[#This Row], [Mes]]=""),"",DATE(A2636,MATCH(B2636,{"enero","febrero","marzo","abril","mayo","junio","julio","agosto","septiembre","octubre","noviembre","diciembre"},0)+1,0))</f>
        <v/>
      </c>
      <c r="E2636" t="str">
        <f>+IFERROR(VLOOKUP(Fact_Cumplimiento[[#This Row], [Concepto Anterior]],Conceptos_Cumplimiento[#All],5,0),"")</f>
        <v/>
      </c>
      <c r="F2636" t="str">
        <f>+IFERROR(VLOOKUP(Fact_Cumplimiento[[#This Row], 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ht="18.75" customHeight="1" x14ac:dyDescent="0.35">
      <c r="C2637" s="100" t="str">
        <f>IF(OR(Fact_Cumplimiento[[#This Row], [Año]]="",Fact_Cumplimiento[[#This Row], [Mes]]=""),"",DATE(A2637,MATCH(B2637,{"enero","febrero","marzo","abril","mayo","junio","julio","agosto","septiembre","octubre","noviembre","diciembre"},0)+1,0))</f>
        <v/>
      </c>
      <c r="E2637" t="str">
        <f>+IFERROR(VLOOKUP(Fact_Cumplimiento[[#This Row], [Concepto Anterior]],Conceptos_Cumplimiento[#All],5,0),"")</f>
        <v/>
      </c>
      <c r="F2637" t="str">
        <f>+IFERROR(VLOOKUP(Fact_Cumplimiento[[#This Row], 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ht="18.75" customHeight="1" x14ac:dyDescent="0.35">
      <c r="C2638" s="100" t="str">
        <f>IF(OR(Fact_Cumplimiento[[#This Row], [Año]]="",Fact_Cumplimiento[[#This Row], [Mes]]=""),"",DATE(A2638,MATCH(B2638,{"enero","febrero","marzo","abril","mayo","junio","julio","agosto","septiembre","octubre","noviembre","diciembre"},0)+1,0))</f>
        <v/>
      </c>
      <c r="E2638" t="str">
        <f>+IFERROR(VLOOKUP(Fact_Cumplimiento[[#This Row], [Concepto Anterior]],Conceptos_Cumplimiento[#All],5,0),"")</f>
        <v/>
      </c>
      <c r="F2638" t="str">
        <f>+IFERROR(VLOOKUP(Fact_Cumplimiento[[#This Row], 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ht="18.75" customHeight="1" x14ac:dyDescent="0.35">
      <c r="C2639" s="100" t="str">
        <f>IF(OR(Fact_Cumplimiento[[#This Row], [Año]]="",Fact_Cumplimiento[[#This Row], [Mes]]=""),"",DATE(A2639,MATCH(B2639,{"enero","febrero","marzo","abril","mayo","junio","julio","agosto","septiembre","octubre","noviembre","diciembre"},0)+1,0))</f>
        <v/>
      </c>
      <c r="E2639" t="str">
        <f>+IFERROR(VLOOKUP(Fact_Cumplimiento[[#This Row], [Concepto Anterior]],Conceptos_Cumplimiento[#All],5,0),"")</f>
        <v/>
      </c>
      <c r="F2639" t="str">
        <f>+IFERROR(VLOOKUP(Fact_Cumplimiento[[#This Row], 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ht="18.75" customHeight="1" x14ac:dyDescent="0.35">
      <c r="C2640" s="100" t="str">
        <f>IF(OR(Fact_Cumplimiento[[#This Row], [Año]]="",Fact_Cumplimiento[[#This Row], [Mes]]=""),"",DATE(A2640,MATCH(B2640,{"enero","febrero","marzo","abril","mayo","junio","julio","agosto","septiembre","octubre","noviembre","diciembre"},0)+1,0))</f>
        <v/>
      </c>
      <c r="E2640" t="str">
        <f>+IFERROR(VLOOKUP(Fact_Cumplimiento[[#This Row], [Concepto Anterior]],Conceptos_Cumplimiento[#All],5,0),"")</f>
        <v/>
      </c>
      <c r="F2640" t="str">
        <f>+IFERROR(VLOOKUP(Fact_Cumplimiento[[#This Row], 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ht="18.75" customHeight="1" x14ac:dyDescent="0.35">
      <c r="C2641" s="100" t="str">
        <f>IF(OR(Fact_Cumplimiento[[#This Row], [Año]]="",Fact_Cumplimiento[[#This Row], [Mes]]=""),"",DATE(A2641,MATCH(B2641,{"enero","febrero","marzo","abril","mayo","junio","julio","agosto","septiembre","octubre","noviembre","diciembre"},0)+1,0))</f>
        <v/>
      </c>
      <c r="E2641" t="str">
        <f>+IFERROR(VLOOKUP(Fact_Cumplimiento[[#This Row], [Concepto Anterior]],Conceptos_Cumplimiento[#All],5,0),"")</f>
        <v/>
      </c>
      <c r="F2641" t="str">
        <f>+IFERROR(VLOOKUP(Fact_Cumplimiento[[#This Row], 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ht="18.75" customHeight="1" x14ac:dyDescent="0.35">
      <c r="C2642" s="100" t="str">
        <f>IF(OR(Fact_Cumplimiento[[#This Row], [Año]]="",Fact_Cumplimiento[[#This Row], [Mes]]=""),"",DATE(A2642,MATCH(B2642,{"enero","febrero","marzo","abril","mayo","junio","julio","agosto","septiembre","octubre","noviembre","diciembre"},0)+1,0))</f>
        <v/>
      </c>
      <c r="E2642" t="str">
        <f>+IFERROR(VLOOKUP(Fact_Cumplimiento[[#This Row], [Concepto Anterior]],Conceptos_Cumplimiento[#All],5,0),"")</f>
        <v/>
      </c>
      <c r="F2642" t="str">
        <f>+IFERROR(VLOOKUP(Fact_Cumplimiento[[#This Row], 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ht="18.75" customHeight="1" x14ac:dyDescent="0.35">
      <c r="C2643" s="100" t="str">
        <f>IF(OR(Fact_Cumplimiento[[#This Row], [Año]]="",Fact_Cumplimiento[[#This Row], [Mes]]=""),"",DATE(A2643,MATCH(B2643,{"enero","febrero","marzo","abril","mayo","junio","julio","agosto","septiembre","octubre","noviembre","diciembre"},0)+1,0))</f>
        <v/>
      </c>
      <c r="E2643" t="str">
        <f>+IFERROR(VLOOKUP(Fact_Cumplimiento[[#This Row], [Concepto Anterior]],Conceptos_Cumplimiento[#All],5,0),"")</f>
        <v/>
      </c>
      <c r="F2643" t="str">
        <f>+IFERROR(VLOOKUP(Fact_Cumplimiento[[#This Row], 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ht="18.75" customHeight="1" x14ac:dyDescent="0.35">
      <c r="C2644" s="100" t="str">
        <f>IF(OR(Fact_Cumplimiento[[#This Row], [Año]]="",Fact_Cumplimiento[[#This Row], [Mes]]=""),"",DATE(A2644,MATCH(B2644,{"enero","febrero","marzo","abril","mayo","junio","julio","agosto","septiembre","octubre","noviembre","diciembre"},0)+1,0))</f>
        <v/>
      </c>
      <c r="E2644" t="str">
        <f>+IFERROR(VLOOKUP(Fact_Cumplimiento[[#This Row], [Concepto Anterior]],Conceptos_Cumplimiento[#All],5,0),"")</f>
        <v/>
      </c>
      <c r="F2644" t="str">
        <f>+IFERROR(VLOOKUP(Fact_Cumplimiento[[#This Row], 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ht="18.75" customHeight="1" x14ac:dyDescent="0.35">
      <c r="C2645" s="100" t="str">
        <f>IF(OR(Fact_Cumplimiento[[#This Row], [Año]]="",Fact_Cumplimiento[[#This Row], [Mes]]=""),"",DATE(A2645,MATCH(B2645,{"enero","febrero","marzo","abril","mayo","junio","julio","agosto","septiembre","octubre","noviembre","diciembre"},0)+1,0))</f>
        <v/>
      </c>
      <c r="E2645" t="str">
        <f>+IFERROR(VLOOKUP(Fact_Cumplimiento[[#This Row], [Concepto Anterior]],Conceptos_Cumplimiento[#All],5,0),"")</f>
        <v/>
      </c>
      <c r="F2645" t="str">
        <f>+IFERROR(VLOOKUP(Fact_Cumplimiento[[#This Row], 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ht="18.75" customHeight="1" x14ac:dyDescent="0.35">
      <c r="C2646" s="100" t="str">
        <f>IF(OR(Fact_Cumplimiento[[#This Row], [Año]]="",Fact_Cumplimiento[[#This Row], [Mes]]=""),"",DATE(A2646,MATCH(B2646,{"enero","febrero","marzo","abril","mayo","junio","julio","agosto","septiembre","octubre","noviembre","diciembre"},0)+1,0))</f>
        <v/>
      </c>
      <c r="E2646" t="str">
        <f>+IFERROR(VLOOKUP(Fact_Cumplimiento[[#This Row], [Concepto Anterior]],Conceptos_Cumplimiento[#All],5,0),"")</f>
        <v/>
      </c>
      <c r="F2646" t="str">
        <f>+IFERROR(VLOOKUP(Fact_Cumplimiento[[#This Row], 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ht="18.75" customHeight="1" x14ac:dyDescent="0.35">
      <c r="C2647" s="100" t="str">
        <f>IF(OR(Fact_Cumplimiento[[#This Row], [Año]]="",Fact_Cumplimiento[[#This Row], [Mes]]=""),"",DATE(A2647,MATCH(B2647,{"enero","febrero","marzo","abril","mayo","junio","julio","agosto","septiembre","octubre","noviembre","diciembre"},0)+1,0))</f>
        <v/>
      </c>
      <c r="E2647" t="str">
        <f>+IFERROR(VLOOKUP(Fact_Cumplimiento[[#This Row], [Concepto Anterior]],Conceptos_Cumplimiento[#All],5,0),"")</f>
        <v/>
      </c>
      <c r="F2647" t="str">
        <f>+IFERROR(VLOOKUP(Fact_Cumplimiento[[#This Row], 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ht="18.75" customHeight="1" x14ac:dyDescent="0.35">
      <c r="C2648" s="100" t="str">
        <f>IF(OR(Fact_Cumplimiento[[#This Row], [Año]]="",Fact_Cumplimiento[[#This Row], [Mes]]=""),"",DATE(A2648,MATCH(B2648,{"enero","febrero","marzo","abril","mayo","junio","julio","agosto","septiembre","octubre","noviembre","diciembre"},0)+1,0))</f>
        <v/>
      </c>
      <c r="E2648" t="str">
        <f>+IFERROR(VLOOKUP(Fact_Cumplimiento[[#This Row], [Concepto Anterior]],Conceptos_Cumplimiento[#All],5,0),"")</f>
        <v/>
      </c>
      <c r="F2648" t="str">
        <f>+IFERROR(VLOOKUP(Fact_Cumplimiento[[#This Row], 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ht="18.75" customHeight="1" x14ac:dyDescent="0.35">
      <c r="C2649" s="100" t="str">
        <f>IF(OR(Fact_Cumplimiento[[#This Row], [Año]]="",Fact_Cumplimiento[[#This Row], [Mes]]=""),"",DATE(A2649,MATCH(B2649,{"enero","febrero","marzo","abril","mayo","junio","julio","agosto","septiembre","octubre","noviembre","diciembre"},0)+1,0))</f>
        <v/>
      </c>
      <c r="E2649" t="str">
        <f>+IFERROR(VLOOKUP(Fact_Cumplimiento[[#This Row], [Concepto Anterior]],Conceptos_Cumplimiento[#All],5,0),"")</f>
        <v/>
      </c>
      <c r="F2649" t="str">
        <f>+IFERROR(VLOOKUP(Fact_Cumplimiento[[#This Row], 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ht="18.75" customHeight="1" x14ac:dyDescent="0.35">
      <c r="C2650" s="100" t="str">
        <f>IF(OR(Fact_Cumplimiento[[#This Row], [Año]]="",Fact_Cumplimiento[[#This Row], [Mes]]=""),"",DATE(A2650,MATCH(B2650,{"enero","febrero","marzo","abril","mayo","junio","julio","agosto","septiembre","octubre","noviembre","diciembre"},0)+1,0))</f>
        <v/>
      </c>
      <c r="E2650" t="str">
        <f>+IFERROR(VLOOKUP(Fact_Cumplimiento[[#This Row], [Concepto Anterior]],Conceptos_Cumplimiento[#All],5,0),"")</f>
        <v/>
      </c>
      <c r="F2650" t="str">
        <f>+IFERROR(VLOOKUP(Fact_Cumplimiento[[#This Row], 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ht="18.75" customHeight="1" x14ac:dyDescent="0.35">
      <c r="C2651" s="100" t="str">
        <f>IF(OR(Fact_Cumplimiento[[#This Row], [Año]]="",Fact_Cumplimiento[[#This Row], [Mes]]=""),"",DATE(A2651,MATCH(B2651,{"enero","febrero","marzo","abril","mayo","junio","julio","agosto","septiembre","octubre","noviembre","diciembre"},0)+1,0))</f>
        <v/>
      </c>
      <c r="E2651" t="str">
        <f>+IFERROR(VLOOKUP(Fact_Cumplimiento[[#This Row], [Concepto Anterior]],Conceptos_Cumplimiento[#All],5,0),"")</f>
        <v/>
      </c>
      <c r="F2651" t="str">
        <f>+IFERROR(VLOOKUP(Fact_Cumplimiento[[#This Row], 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ht="18.75" customHeight="1" x14ac:dyDescent="0.35">
      <c r="C2652" s="100" t="str">
        <f>IF(OR(Fact_Cumplimiento[[#This Row], [Año]]="",Fact_Cumplimiento[[#This Row], [Mes]]=""),"",DATE(A2652,MATCH(B2652,{"enero","febrero","marzo","abril","mayo","junio","julio","agosto","septiembre","octubre","noviembre","diciembre"},0)+1,0))</f>
        <v/>
      </c>
      <c r="E2652" t="str">
        <f>+IFERROR(VLOOKUP(Fact_Cumplimiento[[#This Row], [Concepto Anterior]],Conceptos_Cumplimiento[#All],5,0),"")</f>
        <v/>
      </c>
      <c r="F2652" t="str">
        <f>+IFERROR(VLOOKUP(Fact_Cumplimiento[[#This Row], 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ht="18.75" customHeight="1" x14ac:dyDescent="0.35">
      <c r="C2653" s="100" t="str">
        <f>IF(OR(Fact_Cumplimiento[[#This Row], [Año]]="",Fact_Cumplimiento[[#This Row], [Mes]]=""),"",DATE(A2653,MATCH(B2653,{"enero","febrero","marzo","abril","mayo","junio","julio","agosto","septiembre","octubre","noviembre","diciembre"},0)+1,0))</f>
        <v/>
      </c>
      <c r="E2653" t="str">
        <f>+IFERROR(VLOOKUP(Fact_Cumplimiento[[#This Row], [Concepto Anterior]],Conceptos_Cumplimiento[#All],5,0),"")</f>
        <v/>
      </c>
      <c r="F2653" t="str">
        <f>+IFERROR(VLOOKUP(Fact_Cumplimiento[[#This Row], 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ht="18.75" customHeight="1" x14ac:dyDescent="0.35">
      <c r="C2654" s="100" t="str">
        <f>IF(OR(Fact_Cumplimiento[[#This Row], [Año]]="",Fact_Cumplimiento[[#This Row], [Mes]]=""),"",DATE(A2654,MATCH(B2654,{"enero","febrero","marzo","abril","mayo","junio","julio","agosto","septiembre","octubre","noviembre","diciembre"},0)+1,0))</f>
        <v/>
      </c>
      <c r="E2654" t="str">
        <f>+IFERROR(VLOOKUP(Fact_Cumplimiento[[#This Row], [Concepto Anterior]],Conceptos_Cumplimiento[#All],5,0),"")</f>
        <v/>
      </c>
      <c r="F2654" t="str">
        <f>+IFERROR(VLOOKUP(Fact_Cumplimiento[[#This Row], 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ht="18.75" customHeight="1" x14ac:dyDescent="0.35">
      <c r="C2655" s="100" t="str">
        <f>IF(OR(Fact_Cumplimiento[[#This Row], [Año]]="",Fact_Cumplimiento[[#This Row], [Mes]]=""),"",DATE(A2655,MATCH(B2655,{"enero","febrero","marzo","abril","mayo","junio","julio","agosto","septiembre","octubre","noviembre","diciembre"},0)+1,0))</f>
        <v/>
      </c>
      <c r="E2655" t="str">
        <f>+IFERROR(VLOOKUP(Fact_Cumplimiento[[#This Row], [Concepto Anterior]],Conceptos_Cumplimiento[#All],5,0),"")</f>
        <v/>
      </c>
      <c r="F2655" t="str">
        <f>+IFERROR(VLOOKUP(Fact_Cumplimiento[[#This Row], 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ht="18.75" customHeight="1" x14ac:dyDescent="0.35">
      <c r="C2656" s="100" t="str">
        <f>IF(OR(Fact_Cumplimiento[[#This Row], [Año]]="",Fact_Cumplimiento[[#This Row], [Mes]]=""),"",DATE(A2656,MATCH(B2656,{"enero","febrero","marzo","abril","mayo","junio","julio","agosto","septiembre","octubre","noviembre","diciembre"},0)+1,0))</f>
        <v/>
      </c>
      <c r="E2656" t="str">
        <f>+IFERROR(VLOOKUP(Fact_Cumplimiento[[#This Row], [Concepto Anterior]],Conceptos_Cumplimiento[#All],5,0),"")</f>
        <v/>
      </c>
      <c r="F2656" t="str">
        <f>+IFERROR(VLOOKUP(Fact_Cumplimiento[[#This Row], 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ht="18.75" customHeight="1" x14ac:dyDescent="0.35">
      <c r="C2657" s="100" t="str">
        <f>IF(OR(Fact_Cumplimiento[[#This Row], [Año]]="",Fact_Cumplimiento[[#This Row], [Mes]]=""),"",DATE(A2657,MATCH(B2657,{"enero","febrero","marzo","abril","mayo","junio","julio","agosto","septiembre","octubre","noviembre","diciembre"},0)+1,0))</f>
        <v/>
      </c>
      <c r="E2657" t="str">
        <f>+IFERROR(VLOOKUP(Fact_Cumplimiento[[#This Row], [Concepto Anterior]],Conceptos_Cumplimiento[#All],5,0),"")</f>
        <v/>
      </c>
      <c r="F2657" t="str">
        <f>+IFERROR(VLOOKUP(Fact_Cumplimiento[[#This Row], 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ht="18.75" customHeight="1" x14ac:dyDescent="0.35">
      <c r="C2658" s="100" t="str">
        <f>IF(OR(Fact_Cumplimiento[[#This Row], [Año]]="",Fact_Cumplimiento[[#This Row], [Mes]]=""),"",DATE(A2658,MATCH(B2658,{"enero","febrero","marzo","abril","mayo","junio","julio","agosto","septiembre","octubre","noviembre","diciembre"},0)+1,0))</f>
        <v/>
      </c>
      <c r="E2658" t="str">
        <f>+IFERROR(VLOOKUP(Fact_Cumplimiento[[#This Row], [Concepto Anterior]],Conceptos_Cumplimiento[#All],5,0),"")</f>
        <v/>
      </c>
      <c r="F2658" t="str">
        <f>+IFERROR(VLOOKUP(Fact_Cumplimiento[[#This Row], 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ht="18.75" customHeight="1" x14ac:dyDescent="0.35">
      <c r="C2659" s="100" t="str">
        <f>IF(OR(Fact_Cumplimiento[[#This Row], [Año]]="",Fact_Cumplimiento[[#This Row], [Mes]]=""),"",DATE(A2659,MATCH(B2659,{"enero","febrero","marzo","abril","mayo","junio","julio","agosto","septiembre","octubre","noviembre","diciembre"},0)+1,0))</f>
        <v/>
      </c>
      <c r="E2659" t="str">
        <f>+IFERROR(VLOOKUP(Fact_Cumplimiento[[#This Row], [Concepto Anterior]],Conceptos_Cumplimiento[#All],5,0),"")</f>
        <v/>
      </c>
      <c r="F2659" t="str">
        <f>+IFERROR(VLOOKUP(Fact_Cumplimiento[[#This Row], 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ht="18.75" customHeight="1" x14ac:dyDescent="0.35">
      <c r="C2660" s="100" t="str">
        <f>IF(OR(Fact_Cumplimiento[[#This Row], [Año]]="",Fact_Cumplimiento[[#This Row], [Mes]]=""),"",DATE(A2660,MATCH(B2660,{"enero","febrero","marzo","abril","mayo","junio","julio","agosto","septiembre","octubre","noviembre","diciembre"},0)+1,0))</f>
        <v/>
      </c>
      <c r="E2660" t="str">
        <f>+IFERROR(VLOOKUP(Fact_Cumplimiento[[#This Row], [Concepto Anterior]],Conceptos_Cumplimiento[#All],5,0),"")</f>
        <v/>
      </c>
      <c r="F2660" t="str">
        <f>+IFERROR(VLOOKUP(Fact_Cumplimiento[[#This Row], 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ht="18.75" customHeight="1" x14ac:dyDescent="0.35">
      <c r="C2661" s="100" t="str">
        <f>IF(OR(Fact_Cumplimiento[[#This Row], [Año]]="",Fact_Cumplimiento[[#This Row], [Mes]]=""),"",DATE(A2661,MATCH(B2661,{"enero","febrero","marzo","abril","mayo","junio","julio","agosto","septiembre","octubre","noviembre","diciembre"},0)+1,0))</f>
        <v/>
      </c>
      <c r="E2661" t="str">
        <f>+IFERROR(VLOOKUP(Fact_Cumplimiento[[#This Row], [Concepto Anterior]],Conceptos_Cumplimiento[#All],5,0),"")</f>
        <v/>
      </c>
      <c r="F2661" t="str">
        <f>+IFERROR(VLOOKUP(Fact_Cumplimiento[[#This Row], 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ht="18.75" customHeight="1" x14ac:dyDescent="0.35">
      <c r="C2662" s="100" t="str">
        <f>IF(OR(Fact_Cumplimiento[[#This Row], [Año]]="",Fact_Cumplimiento[[#This Row], [Mes]]=""),"",DATE(A2662,MATCH(B2662,{"enero","febrero","marzo","abril","mayo","junio","julio","agosto","septiembre","octubre","noviembre","diciembre"},0)+1,0))</f>
        <v/>
      </c>
      <c r="E2662" t="str">
        <f>+IFERROR(VLOOKUP(Fact_Cumplimiento[[#This Row], [Concepto Anterior]],Conceptos_Cumplimiento[#All],5,0),"")</f>
        <v/>
      </c>
      <c r="F2662" t="str">
        <f>+IFERROR(VLOOKUP(Fact_Cumplimiento[[#This Row], 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ht="18.75" customHeight="1" x14ac:dyDescent="0.35">
      <c r="C2663" s="100" t="str">
        <f>IF(OR(Fact_Cumplimiento[[#This Row], [Año]]="",Fact_Cumplimiento[[#This Row], [Mes]]=""),"",DATE(A2663,MATCH(B2663,{"enero","febrero","marzo","abril","mayo","junio","julio","agosto","septiembre","octubre","noviembre","diciembre"},0)+1,0))</f>
        <v/>
      </c>
      <c r="E2663" t="str">
        <f>+IFERROR(VLOOKUP(Fact_Cumplimiento[[#This Row], [Concepto Anterior]],Conceptos_Cumplimiento[#All],5,0),"")</f>
        <v/>
      </c>
      <c r="F2663" t="str">
        <f>+IFERROR(VLOOKUP(Fact_Cumplimiento[[#This Row], 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ht="18.75" customHeight="1" x14ac:dyDescent="0.35">
      <c r="C2664" s="100" t="str">
        <f>IF(OR(Fact_Cumplimiento[[#This Row], [Año]]="",Fact_Cumplimiento[[#This Row], [Mes]]=""),"",DATE(A2664,MATCH(B2664,{"enero","febrero","marzo","abril","mayo","junio","julio","agosto","septiembre","octubre","noviembre","diciembre"},0)+1,0))</f>
        <v/>
      </c>
      <c r="E2664" t="str">
        <f>+IFERROR(VLOOKUP(Fact_Cumplimiento[[#This Row], [Concepto Anterior]],Conceptos_Cumplimiento[#All],5,0),"")</f>
        <v/>
      </c>
      <c r="F2664" t="str">
        <f>+IFERROR(VLOOKUP(Fact_Cumplimiento[[#This Row], 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ht="18.75" customHeight="1" x14ac:dyDescent="0.35">
      <c r="C2665" s="100" t="str">
        <f>IF(OR(Fact_Cumplimiento[[#This Row], [Año]]="",Fact_Cumplimiento[[#This Row], [Mes]]=""),"",DATE(A2665,MATCH(B2665,{"enero","febrero","marzo","abril","mayo","junio","julio","agosto","septiembre","octubre","noviembre","diciembre"},0)+1,0))</f>
        <v/>
      </c>
      <c r="E2665" t="str">
        <f>+IFERROR(VLOOKUP(Fact_Cumplimiento[[#This Row], [Concepto Anterior]],Conceptos_Cumplimiento[#All],5,0),"")</f>
        <v/>
      </c>
      <c r="F2665" t="str">
        <f>+IFERROR(VLOOKUP(Fact_Cumplimiento[[#This Row], 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ht="18.75" customHeight="1" x14ac:dyDescent="0.35">
      <c r="C2666" s="100" t="str">
        <f>IF(OR(Fact_Cumplimiento[[#This Row], [Año]]="",Fact_Cumplimiento[[#This Row], [Mes]]=""),"",DATE(A2666,MATCH(B2666,{"enero","febrero","marzo","abril","mayo","junio","julio","agosto","septiembre","octubre","noviembre","diciembre"},0)+1,0))</f>
        <v/>
      </c>
      <c r="E2666" t="str">
        <f>+IFERROR(VLOOKUP(Fact_Cumplimiento[[#This Row], [Concepto Anterior]],Conceptos_Cumplimiento[#All],5,0),"")</f>
        <v/>
      </c>
      <c r="F2666" t="str">
        <f>+IFERROR(VLOOKUP(Fact_Cumplimiento[[#This Row], 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ht="18.75" customHeight="1" x14ac:dyDescent="0.35">
      <c r="C2667" s="100" t="str">
        <f>IF(OR(Fact_Cumplimiento[[#This Row], [Año]]="",Fact_Cumplimiento[[#This Row], [Mes]]=""),"",DATE(A2667,MATCH(B2667,{"enero","febrero","marzo","abril","mayo","junio","julio","agosto","septiembre","octubre","noviembre","diciembre"},0)+1,0))</f>
        <v/>
      </c>
      <c r="E2667" t="str">
        <f>+IFERROR(VLOOKUP(Fact_Cumplimiento[[#This Row], [Concepto Anterior]],Conceptos_Cumplimiento[#All],5,0),"")</f>
        <v/>
      </c>
      <c r="F2667" t="str">
        <f>+IFERROR(VLOOKUP(Fact_Cumplimiento[[#This Row], 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ht="18.75" customHeight="1" x14ac:dyDescent="0.35">
      <c r="C2668" s="100" t="str">
        <f>IF(OR(Fact_Cumplimiento[[#This Row], [Año]]="",Fact_Cumplimiento[[#This Row], [Mes]]=""),"",DATE(A2668,MATCH(B2668,{"enero","febrero","marzo","abril","mayo","junio","julio","agosto","septiembre","octubre","noviembre","diciembre"},0)+1,0))</f>
        <v/>
      </c>
      <c r="E2668" t="str">
        <f>+IFERROR(VLOOKUP(Fact_Cumplimiento[[#This Row], [Concepto Anterior]],Conceptos_Cumplimiento[#All],5,0),"")</f>
        <v/>
      </c>
      <c r="F2668" t="str">
        <f>+IFERROR(VLOOKUP(Fact_Cumplimiento[[#This Row], 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ht="18.75" customHeight="1" x14ac:dyDescent="0.35">
      <c r="C2669" s="100" t="str">
        <f>IF(OR(Fact_Cumplimiento[[#This Row], [Año]]="",Fact_Cumplimiento[[#This Row], [Mes]]=""),"",DATE(A2669,MATCH(B2669,{"enero","febrero","marzo","abril","mayo","junio","julio","agosto","septiembre","octubre","noviembre","diciembre"},0)+1,0))</f>
        <v/>
      </c>
      <c r="E2669" t="str">
        <f>+IFERROR(VLOOKUP(Fact_Cumplimiento[[#This Row], [Concepto Anterior]],Conceptos_Cumplimiento[#All],5,0),"")</f>
        <v/>
      </c>
      <c r="F2669" t="str">
        <f>+IFERROR(VLOOKUP(Fact_Cumplimiento[[#This Row], 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ht="18.75" customHeight="1" x14ac:dyDescent="0.35">
      <c r="C2670" s="100" t="str">
        <f>IF(OR(Fact_Cumplimiento[[#This Row], [Año]]="",Fact_Cumplimiento[[#This Row], [Mes]]=""),"",DATE(A2670,MATCH(B2670,{"enero","febrero","marzo","abril","mayo","junio","julio","agosto","septiembre","octubre","noviembre","diciembre"},0)+1,0))</f>
        <v/>
      </c>
      <c r="E2670" t="str">
        <f>+IFERROR(VLOOKUP(Fact_Cumplimiento[[#This Row], [Concepto Anterior]],Conceptos_Cumplimiento[#All],5,0),"")</f>
        <v/>
      </c>
      <c r="F2670" t="str">
        <f>+IFERROR(VLOOKUP(Fact_Cumplimiento[[#This Row], 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ht="18.75" customHeight="1" x14ac:dyDescent="0.35">
      <c r="C2671" s="100" t="str">
        <f>IF(OR(Fact_Cumplimiento[[#This Row], [Año]]="",Fact_Cumplimiento[[#This Row], [Mes]]=""),"",DATE(A2671,MATCH(B2671,{"enero","febrero","marzo","abril","mayo","junio","julio","agosto","septiembre","octubre","noviembre","diciembre"},0)+1,0))</f>
        <v/>
      </c>
      <c r="E2671" t="str">
        <f>+IFERROR(VLOOKUP(Fact_Cumplimiento[[#This Row], [Concepto Anterior]],Conceptos_Cumplimiento[#All],5,0),"")</f>
        <v/>
      </c>
      <c r="F2671" t="str">
        <f>+IFERROR(VLOOKUP(Fact_Cumplimiento[[#This Row], 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ht="18.75" customHeight="1" x14ac:dyDescent="0.35">
      <c r="C2672" s="100" t="str">
        <f>IF(OR(Fact_Cumplimiento[[#This Row], [Año]]="",Fact_Cumplimiento[[#This Row], [Mes]]=""),"",DATE(A2672,MATCH(B2672,{"enero","febrero","marzo","abril","mayo","junio","julio","agosto","septiembre","octubre","noviembre","diciembre"},0)+1,0))</f>
        <v/>
      </c>
      <c r="E2672" t="str">
        <f>+IFERROR(VLOOKUP(Fact_Cumplimiento[[#This Row], [Concepto Anterior]],Conceptos_Cumplimiento[#All],5,0),"")</f>
        <v/>
      </c>
      <c r="F2672" t="str">
        <f>+IFERROR(VLOOKUP(Fact_Cumplimiento[[#This Row], 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ht="18.75" customHeight="1" x14ac:dyDescent="0.35">
      <c r="C2673" s="100" t="str">
        <f>IF(OR(Fact_Cumplimiento[[#This Row], [Año]]="",Fact_Cumplimiento[[#This Row], [Mes]]=""),"",DATE(A2673,MATCH(B2673,{"enero","febrero","marzo","abril","mayo","junio","julio","agosto","septiembre","octubre","noviembre","diciembre"},0)+1,0))</f>
        <v/>
      </c>
      <c r="E2673" t="str">
        <f>+IFERROR(VLOOKUP(Fact_Cumplimiento[[#This Row], [Concepto Anterior]],Conceptos_Cumplimiento[#All],5,0),"")</f>
        <v/>
      </c>
      <c r="F2673" t="str">
        <f>+IFERROR(VLOOKUP(Fact_Cumplimiento[[#This Row], 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ht="18.75" customHeight="1" x14ac:dyDescent="0.35">
      <c r="C2674" s="100" t="str">
        <f>IF(OR(Fact_Cumplimiento[[#This Row], [Año]]="",Fact_Cumplimiento[[#This Row], [Mes]]=""),"",DATE(A2674,MATCH(B2674,{"enero","febrero","marzo","abril","mayo","junio","julio","agosto","septiembre","octubre","noviembre","diciembre"},0)+1,0))</f>
        <v/>
      </c>
      <c r="E2674" t="str">
        <f>+IFERROR(VLOOKUP(Fact_Cumplimiento[[#This Row], [Concepto Anterior]],Conceptos_Cumplimiento[#All],5,0),"")</f>
        <v/>
      </c>
      <c r="F2674" t="str">
        <f>+IFERROR(VLOOKUP(Fact_Cumplimiento[[#This Row], 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ht="18.75" customHeight="1" x14ac:dyDescent="0.35">
      <c r="C2675" s="100" t="str">
        <f>IF(OR(Fact_Cumplimiento[[#This Row], [Año]]="",Fact_Cumplimiento[[#This Row], [Mes]]=""),"",DATE(A2675,MATCH(B2675,{"enero","febrero","marzo","abril","mayo","junio","julio","agosto","septiembre","octubre","noviembre","diciembre"},0)+1,0))</f>
        <v/>
      </c>
      <c r="E2675" t="str">
        <f>+IFERROR(VLOOKUP(Fact_Cumplimiento[[#This Row], [Concepto Anterior]],Conceptos_Cumplimiento[#All],5,0),"")</f>
        <v/>
      </c>
      <c r="F2675" t="str">
        <f>+IFERROR(VLOOKUP(Fact_Cumplimiento[[#This Row], 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ht="18.75" customHeight="1" x14ac:dyDescent="0.35">
      <c r="C2676" s="100" t="str">
        <f>IF(OR(Fact_Cumplimiento[[#This Row], [Año]]="",Fact_Cumplimiento[[#This Row], [Mes]]=""),"",DATE(A2676,MATCH(B2676,{"enero","febrero","marzo","abril","mayo","junio","julio","agosto","septiembre","octubre","noviembre","diciembre"},0)+1,0))</f>
        <v/>
      </c>
      <c r="E2676" t="str">
        <f>+IFERROR(VLOOKUP(Fact_Cumplimiento[[#This Row], [Concepto Anterior]],Conceptos_Cumplimiento[#All],5,0),"")</f>
        <v/>
      </c>
      <c r="F2676" t="str">
        <f>+IFERROR(VLOOKUP(Fact_Cumplimiento[[#This Row], 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ht="18.75" customHeight="1" x14ac:dyDescent="0.35">
      <c r="C2677" s="100" t="str">
        <f>IF(OR(Fact_Cumplimiento[[#This Row], [Año]]="",Fact_Cumplimiento[[#This Row], [Mes]]=""),"",DATE(A2677,MATCH(B2677,{"enero","febrero","marzo","abril","mayo","junio","julio","agosto","septiembre","octubre","noviembre","diciembre"},0)+1,0))</f>
        <v/>
      </c>
      <c r="E2677" t="str">
        <f>+IFERROR(VLOOKUP(Fact_Cumplimiento[[#This Row], [Concepto Anterior]],Conceptos_Cumplimiento[#All],5,0),"")</f>
        <v/>
      </c>
      <c r="F2677" t="str">
        <f>+IFERROR(VLOOKUP(Fact_Cumplimiento[[#This Row], 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ht="18.75" customHeight="1" x14ac:dyDescent="0.35">
      <c r="C2678" s="100" t="str">
        <f>IF(OR(Fact_Cumplimiento[[#This Row], [Año]]="",Fact_Cumplimiento[[#This Row], [Mes]]=""),"",DATE(A2678,MATCH(B2678,{"enero","febrero","marzo","abril","mayo","junio","julio","agosto","septiembre","octubre","noviembre","diciembre"},0)+1,0))</f>
        <v/>
      </c>
      <c r="E2678" t="str">
        <f>+IFERROR(VLOOKUP(Fact_Cumplimiento[[#This Row], [Concepto Anterior]],Conceptos_Cumplimiento[#All],5,0),"")</f>
        <v/>
      </c>
      <c r="F2678" t="str">
        <f>+IFERROR(VLOOKUP(Fact_Cumplimiento[[#This Row], 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ht="18.75" customHeight="1" x14ac:dyDescent="0.35">
      <c r="C2679" s="100" t="str">
        <f>IF(OR(Fact_Cumplimiento[[#This Row], [Año]]="",Fact_Cumplimiento[[#This Row], [Mes]]=""),"",DATE(A2679,MATCH(B2679,{"enero","febrero","marzo","abril","mayo","junio","julio","agosto","septiembre","octubre","noviembre","diciembre"},0)+1,0))</f>
        <v/>
      </c>
      <c r="E2679" t="str">
        <f>+IFERROR(VLOOKUP(Fact_Cumplimiento[[#This Row], [Concepto Anterior]],Conceptos_Cumplimiento[#All],5,0),"")</f>
        <v/>
      </c>
      <c r="F2679" t="str">
        <f>+IFERROR(VLOOKUP(Fact_Cumplimiento[[#This Row], 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ht="18.75" customHeight="1" x14ac:dyDescent="0.35">
      <c r="C2680" s="100" t="str">
        <f>IF(OR(Fact_Cumplimiento[[#This Row], [Año]]="",Fact_Cumplimiento[[#This Row], [Mes]]=""),"",DATE(A2680,MATCH(B2680,{"enero","febrero","marzo","abril","mayo","junio","julio","agosto","septiembre","octubre","noviembre","diciembre"},0)+1,0))</f>
        <v/>
      </c>
      <c r="E2680" t="str">
        <f>+IFERROR(VLOOKUP(Fact_Cumplimiento[[#This Row], [Concepto Anterior]],Conceptos_Cumplimiento[#All],5,0),"")</f>
        <v/>
      </c>
      <c r="F2680" t="str">
        <f>+IFERROR(VLOOKUP(Fact_Cumplimiento[[#This Row], 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ht="18.75" customHeight="1" x14ac:dyDescent="0.35">
      <c r="C2681" s="100" t="str">
        <f>IF(OR(Fact_Cumplimiento[[#This Row], [Año]]="",Fact_Cumplimiento[[#This Row], [Mes]]=""),"",DATE(A2681,MATCH(B2681,{"enero","febrero","marzo","abril","mayo","junio","julio","agosto","septiembre","octubre","noviembre","diciembre"},0)+1,0))</f>
        <v/>
      </c>
      <c r="E2681" t="str">
        <f>+IFERROR(VLOOKUP(Fact_Cumplimiento[[#This Row], [Concepto Anterior]],Conceptos_Cumplimiento[#All],5,0),"")</f>
        <v/>
      </c>
      <c r="F2681" t="str">
        <f>+IFERROR(VLOOKUP(Fact_Cumplimiento[[#This Row], 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ht="18.75" customHeight="1" x14ac:dyDescent="0.35">
      <c r="C2682" s="100" t="str">
        <f>IF(OR(Fact_Cumplimiento[[#This Row], [Año]]="",Fact_Cumplimiento[[#This Row], [Mes]]=""),"",DATE(A2682,MATCH(B2682,{"enero","febrero","marzo","abril","mayo","junio","julio","agosto","septiembre","octubre","noviembre","diciembre"},0)+1,0))</f>
        <v/>
      </c>
      <c r="E2682" t="str">
        <f>+IFERROR(VLOOKUP(Fact_Cumplimiento[[#This Row], [Concepto Anterior]],Conceptos_Cumplimiento[#All],5,0),"")</f>
        <v/>
      </c>
      <c r="F2682" t="str">
        <f>+IFERROR(VLOOKUP(Fact_Cumplimiento[[#This Row], 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ht="18.75" customHeight="1" x14ac:dyDescent="0.35">
      <c r="C2683" s="100" t="str">
        <f>IF(OR(Fact_Cumplimiento[[#This Row], [Año]]="",Fact_Cumplimiento[[#This Row], [Mes]]=""),"",DATE(A2683,MATCH(B2683,{"enero","febrero","marzo","abril","mayo","junio","julio","agosto","septiembre","octubre","noviembre","diciembre"},0)+1,0))</f>
        <v/>
      </c>
      <c r="E2683" t="str">
        <f>+IFERROR(VLOOKUP(Fact_Cumplimiento[[#This Row], [Concepto Anterior]],Conceptos_Cumplimiento[#All],5,0),"")</f>
        <v/>
      </c>
      <c r="F2683" t="str">
        <f>+IFERROR(VLOOKUP(Fact_Cumplimiento[[#This Row], 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ht="18.75" customHeight="1" x14ac:dyDescent="0.35">
      <c r="C2684" s="100" t="str">
        <f>IF(OR(Fact_Cumplimiento[[#This Row], [Año]]="",Fact_Cumplimiento[[#This Row], [Mes]]=""),"",DATE(A2684,MATCH(B2684,{"enero","febrero","marzo","abril","mayo","junio","julio","agosto","septiembre","octubre","noviembre","diciembre"},0)+1,0))</f>
        <v/>
      </c>
      <c r="E2684" t="str">
        <f>+IFERROR(VLOOKUP(Fact_Cumplimiento[[#This Row], [Concepto Anterior]],Conceptos_Cumplimiento[#All],5,0),"")</f>
        <v/>
      </c>
      <c r="F2684" t="str">
        <f>+IFERROR(VLOOKUP(Fact_Cumplimiento[[#This Row], 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ht="18.75" customHeight="1" x14ac:dyDescent="0.35">
      <c r="C2685" s="100" t="str">
        <f>IF(OR(Fact_Cumplimiento[[#This Row], [Año]]="",Fact_Cumplimiento[[#This Row], [Mes]]=""),"",DATE(A2685,MATCH(B2685,{"enero","febrero","marzo","abril","mayo","junio","julio","agosto","septiembre","octubre","noviembre","diciembre"},0)+1,0))</f>
        <v/>
      </c>
      <c r="E2685" t="str">
        <f>+IFERROR(VLOOKUP(Fact_Cumplimiento[[#This Row], [Concepto Anterior]],Conceptos_Cumplimiento[#All],5,0),"")</f>
        <v/>
      </c>
      <c r="F2685" t="str">
        <f>+IFERROR(VLOOKUP(Fact_Cumplimiento[[#This Row], 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ht="18.75" customHeight="1" x14ac:dyDescent="0.35">
      <c r="C2686" s="100" t="str">
        <f>IF(OR(Fact_Cumplimiento[[#This Row], [Año]]="",Fact_Cumplimiento[[#This Row], [Mes]]=""),"",DATE(A2686,MATCH(B2686,{"enero","febrero","marzo","abril","mayo","junio","julio","agosto","septiembre","octubre","noviembre","diciembre"},0)+1,0))</f>
        <v/>
      </c>
      <c r="E2686" t="str">
        <f>+IFERROR(VLOOKUP(Fact_Cumplimiento[[#This Row], [Concepto Anterior]],Conceptos_Cumplimiento[#All],5,0),"")</f>
        <v/>
      </c>
      <c r="F2686" t="str">
        <f>+IFERROR(VLOOKUP(Fact_Cumplimiento[[#This Row], 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ht="18.75" customHeight="1" x14ac:dyDescent="0.35">
      <c r="C2687" s="100" t="str">
        <f>IF(OR(Fact_Cumplimiento[[#This Row], [Año]]="",Fact_Cumplimiento[[#This Row], [Mes]]=""),"",DATE(A2687,MATCH(B2687,{"enero","febrero","marzo","abril","mayo","junio","julio","agosto","septiembre","octubre","noviembre","diciembre"},0)+1,0))</f>
        <v/>
      </c>
      <c r="E2687" t="str">
        <f>+IFERROR(VLOOKUP(Fact_Cumplimiento[[#This Row], [Concepto Anterior]],Conceptos_Cumplimiento[#All],5,0),"")</f>
        <v/>
      </c>
      <c r="F2687" t="str">
        <f>+IFERROR(VLOOKUP(Fact_Cumplimiento[[#This Row], 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ht="18.75" customHeight="1" x14ac:dyDescent="0.35">
      <c r="C2688" s="100" t="str">
        <f>IF(OR(Fact_Cumplimiento[[#This Row], [Año]]="",Fact_Cumplimiento[[#This Row], [Mes]]=""),"",DATE(A2688,MATCH(B2688,{"enero","febrero","marzo","abril","mayo","junio","julio","agosto","septiembre","octubre","noviembre","diciembre"},0)+1,0))</f>
        <v/>
      </c>
      <c r="E2688" t="str">
        <f>+IFERROR(VLOOKUP(Fact_Cumplimiento[[#This Row], [Concepto Anterior]],Conceptos_Cumplimiento[#All],5,0),"")</f>
        <v/>
      </c>
      <c r="F2688" t="str">
        <f>+IFERROR(VLOOKUP(Fact_Cumplimiento[[#This Row], 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ht="18.75" customHeight="1" x14ac:dyDescent="0.35">
      <c r="C2689" s="100" t="str">
        <f>IF(OR(Fact_Cumplimiento[[#This Row], [Año]]="",Fact_Cumplimiento[[#This Row], [Mes]]=""),"",DATE(A2689,MATCH(B2689,{"enero","febrero","marzo","abril","mayo","junio","julio","agosto","septiembre","octubre","noviembre","diciembre"},0)+1,0))</f>
        <v/>
      </c>
      <c r="E2689" t="str">
        <f>+IFERROR(VLOOKUP(Fact_Cumplimiento[[#This Row], [Concepto Anterior]],Conceptos_Cumplimiento[#All],5,0),"")</f>
        <v/>
      </c>
      <c r="F2689" t="str">
        <f>+IFERROR(VLOOKUP(Fact_Cumplimiento[[#This Row], 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ht="18.75" customHeight="1" x14ac:dyDescent="0.35">
      <c r="C2690" s="100" t="str">
        <f>IF(OR(Fact_Cumplimiento[[#This Row], [Año]]="",Fact_Cumplimiento[[#This Row], [Mes]]=""),"",DATE(A2690,MATCH(B2690,{"enero","febrero","marzo","abril","mayo","junio","julio","agosto","septiembre","octubre","noviembre","diciembre"},0)+1,0))</f>
        <v/>
      </c>
      <c r="E2690" t="str">
        <f>+IFERROR(VLOOKUP(Fact_Cumplimiento[[#This Row], [Concepto Anterior]],Conceptos_Cumplimiento[#All],5,0),"")</f>
        <v/>
      </c>
      <c r="F2690" t="str">
        <f>+IFERROR(VLOOKUP(Fact_Cumplimiento[[#This Row], 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ht="18.75" customHeight="1" x14ac:dyDescent="0.35">
      <c r="C2691" s="100" t="str">
        <f>IF(OR(Fact_Cumplimiento[[#This Row], [Año]]="",Fact_Cumplimiento[[#This Row], [Mes]]=""),"",DATE(A2691,MATCH(B2691,{"enero","febrero","marzo","abril","mayo","junio","julio","agosto","septiembre","octubre","noviembre","diciembre"},0)+1,0))</f>
        <v/>
      </c>
      <c r="E2691" t="str">
        <f>+IFERROR(VLOOKUP(Fact_Cumplimiento[[#This Row], [Concepto Anterior]],Conceptos_Cumplimiento[#All],5,0),"")</f>
        <v/>
      </c>
      <c r="F2691" t="str">
        <f>+IFERROR(VLOOKUP(Fact_Cumplimiento[[#This Row], 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ht="18.75" customHeight="1" x14ac:dyDescent="0.35">
      <c r="C2692" s="100" t="str">
        <f>IF(OR(Fact_Cumplimiento[[#This Row], [Año]]="",Fact_Cumplimiento[[#This Row], [Mes]]=""),"",DATE(A2692,MATCH(B2692,{"enero","febrero","marzo","abril","mayo","junio","julio","agosto","septiembre","octubre","noviembre","diciembre"},0)+1,0))</f>
        <v/>
      </c>
      <c r="E2692" t="str">
        <f>+IFERROR(VLOOKUP(Fact_Cumplimiento[[#This Row], [Concepto Anterior]],Conceptos_Cumplimiento[#All],5,0),"")</f>
        <v/>
      </c>
      <c r="F2692" t="str">
        <f>+IFERROR(VLOOKUP(Fact_Cumplimiento[[#This Row], 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ht="18.75" customHeight="1" x14ac:dyDescent="0.35">
      <c r="C2693" s="100" t="str">
        <f>IF(OR(Fact_Cumplimiento[[#This Row], [Año]]="",Fact_Cumplimiento[[#This Row], [Mes]]=""),"",DATE(A2693,MATCH(B2693,{"enero","febrero","marzo","abril","mayo","junio","julio","agosto","septiembre","octubre","noviembre","diciembre"},0)+1,0))</f>
        <v/>
      </c>
      <c r="E2693" t="str">
        <f>+IFERROR(VLOOKUP(Fact_Cumplimiento[[#This Row], [Concepto Anterior]],Conceptos_Cumplimiento[#All],5,0),"")</f>
        <v/>
      </c>
      <c r="F2693" t="str">
        <f>+IFERROR(VLOOKUP(Fact_Cumplimiento[[#This Row], 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ht="18.75" customHeight="1" x14ac:dyDescent="0.35">
      <c r="C2694" s="100" t="str">
        <f>IF(OR(Fact_Cumplimiento[[#This Row], [Año]]="",Fact_Cumplimiento[[#This Row], [Mes]]=""),"",DATE(A2694,MATCH(B2694,{"enero","febrero","marzo","abril","mayo","junio","julio","agosto","septiembre","octubre","noviembre","diciembre"},0)+1,0))</f>
        <v/>
      </c>
      <c r="E2694" t="str">
        <f>+IFERROR(VLOOKUP(Fact_Cumplimiento[[#This Row], [Concepto Anterior]],Conceptos_Cumplimiento[#All],5,0),"")</f>
        <v/>
      </c>
      <c r="F2694" t="str">
        <f>+IFERROR(VLOOKUP(Fact_Cumplimiento[[#This Row], 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ht="18.75" customHeight="1" x14ac:dyDescent="0.35">
      <c r="C2695" s="100" t="str">
        <f>IF(OR(Fact_Cumplimiento[[#This Row], [Año]]="",Fact_Cumplimiento[[#This Row], [Mes]]=""),"",DATE(A2695,MATCH(B2695,{"enero","febrero","marzo","abril","mayo","junio","julio","agosto","septiembre","octubre","noviembre","diciembre"},0)+1,0))</f>
        <v/>
      </c>
      <c r="E2695" t="str">
        <f>+IFERROR(VLOOKUP(Fact_Cumplimiento[[#This Row], [Concepto Anterior]],Conceptos_Cumplimiento[#All],5,0),"")</f>
        <v/>
      </c>
      <c r="F2695" t="str">
        <f>+IFERROR(VLOOKUP(Fact_Cumplimiento[[#This Row], 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ht="18.75" customHeight="1" x14ac:dyDescent="0.35">
      <c r="C2696" s="100" t="str">
        <f>IF(OR(Fact_Cumplimiento[[#This Row], [Año]]="",Fact_Cumplimiento[[#This Row], [Mes]]=""),"",DATE(A2696,MATCH(B2696,{"enero","febrero","marzo","abril","mayo","junio","julio","agosto","septiembre","octubre","noviembre","diciembre"},0)+1,0))</f>
        <v/>
      </c>
      <c r="E2696" t="str">
        <f>+IFERROR(VLOOKUP(Fact_Cumplimiento[[#This Row], [Concepto Anterior]],Conceptos_Cumplimiento[#All],5,0),"")</f>
        <v/>
      </c>
      <c r="F2696" t="str">
        <f>+IFERROR(VLOOKUP(Fact_Cumplimiento[[#This Row], 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ht="18.75" customHeight="1" x14ac:dyDescent="0.35">
      <c r="C2697" s="100" t="str">
        <f>IF(OR(Fact_Cumplimiento[[#This Row], [Año]]="",Fact_Cumplimiento[[#This Row], [Mes]]=""),"",DATE(A2697,MATCH(B2697,{"enero","febrero","marzo","abril","mayo","junio","julio","agosto","septiembre","octubre","noviembre","diciembre"},0)+1,0))</f>
        <v/>
      </c>
      <c r="E2697" t="str">
        <f>+IFERROR(VLOOKUP(Fact_Cumplimiento[[#This Row], [Concepto Anterior]],Conceptos_Cumplimiento[#All],5,0),"")</f>
        <v/>
      </c>
      <c r="F2697" t="str">
        <f>+IFERROR(VLOOKUP(Fact_Cumplimiento[[#This Row], 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ht="18.75" customHeight="1" x14ac:dyDescent="0.35">
      <c r="C2698" s="100" t="str">
        <f>IF(OR(Fact_Cumplimiento[[#This Row], [Año]]="",Fact_Cumplimiento[[#This Row], [Mes]]=""),"",DATE(A2698,MATCH(B2698,{"enero","febrero","marzo","abril","mayo","junio","julio","agosto","septiembre","octubre","noviembre","diciembre"},0)+1,0))</f>
        <v/>
      </c>
      <c r="E2698" t="str">
        <f>+IFERROR(VLOOKUP(Fact_Cumplimiento[[#This Row], [Concepto Anterior]],Conceptos_Cumplimiento[#All],5,0),"")</f>
        <v/>
      </c>
      <c r="F2698" t="str">
        <f>+IFERROR(VLOOKUP(Fact_Cumplimiento[[#This Row], 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ht="18.75" customHeight="1" x14ac:dyDescent="0.35">
      <c r="C2699" s="100" t="str">
        <f>IF(OR(Fact_Cumplimiento[[#This Row], [Año]]="",Fact_Cumplimiento[[#This Row], [Mes]]=""),"",DATE(A2699,MATCH(B2699,{"enero","febrero","marzo","abril","mayo","junio","julio","agosto","septiembre","octubre","noviembre","diciembre"},0)+1,0))</f>
        <v/>
      </c>
      <c r="E2699" t="str">
        <f>+IFERROR(VLOOKUP(Fact_Cumplimiento[[#This Row], [Concepto Anterior]],Conceptos_Cumplimiento[#All],5,0),"")</f>
        <v/>
      </c>
      <c r="F2699" t="str">
        <f>+IFERROR(VLOOKUP(Fact_Cumplimiento[[#This Row], 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ht="18.75" customHeight="1" x14ac:dyDescent="0.35">
      <c r="C2700" s="100" t="str">
        <f>IF(OR(Fact_Cumplimiento[[#This Row], [Año]]="",Fact_Cumplimiento[[#This Row], [Mes]]=""),"",DATE(A2700,MATCH(B2700,{"enero","febrero","marzo","abril","mayo","junio","julio","agosto","septiembre","octubre","noviembre","diciembre"},0)+1,0))</f>
        <v/>
      </c>
      <c r="E2700" t="str">
        <f>+IFERROR(VLOOKUP(Fact_Cumplimiento[[#This Row], [Concepto Anterior]],Conceptos_Cumplimiento[#All],5,0),"")</f>
        <v/>
      </c>
      <c r="F2700" t="str">
        <f>+IFERROR(VLOOKUP(Fact_Cumplimiento[[#This Row], 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ht="18.75" customHeight="1" x14ac:dyDescent="0.35">
      <c r="C2701" s="100" t="str">
        <f>IF(OR(Fact_Cumplimiento[[#This Row], [Año]]="",Fact_Cumplimiento[[#This Row], [Mes]]=""),"",DATE(A2701,MATCH(B2701,{"enero","febrero","marzo","abril","mayo","junio","julio","agosto","septiembre","octubre","noviembre","diciembre"},0)+1,0))</f>
        <v/>
      </c>
      <c r="E2701" t="str">
        <f>+IFERROR(VLOOKUP(Fact_Cumplimiento[[#This Row], [Concepto Anterior]],Conceptos_Cumplimiento[#All],5,0),"")</f>
        <v/>
      </c>
      <c r="F2701" t="str">
        <f>+IFERROR(VLOOKUP(Fact_Cumplimiento[[#This Row], 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ht="18.75" customHeight="1" x14ac:dyDescent="0.35">
      <c r="C2702" s="100" t="str">
        <f>IF(OR(Fact_Cumplimiento[[#This Row], [Año]]="",Fact_Cumplimiento[[#This Row], [Mes]]=""),"",DATE(A2702,MATCH(B2702,{"enero","febrero","marzo","abril","mayo","junio","julio","agosto","septiembre","octubre","noviembre","diciembre"},0)+1,0))</f>
        <v/>
      </c>
      <c r="E2702" t="str">
        <f>+IFERROR(VLOOKUP(Fact_Cumplimiento[[#This Row], [Concepto Anterior]],Conceptos_Cumplimiento[#All],5,0),"")</f>
        <v/>
      </c>
      <c r="F2702" t="str">
        <f>+IFERROR(VLOOKUP(Fact_Cumplimiento[[#This Row], 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ht="18.75" customHeight="1" x14ac:dyDescent="0.35">
      <c r="C2703" s="100" t="str">
        <f>IF(OR(Fact_Cumplimiento[[#This Row], [Año]]="",Fact_Cumplimiento[[#This Row], [Mes]]=""),"",DATE(A2703,MATCH(B2703,{"enero","febrero","marzo","abril","mayo","junio","julio","agosto","septiembre","octubre","noviembre","diciembre"},0)+1,0))</f>
        <v/>
      </c>
      <c r="E2703" t="str">
        <f>+IFERROR(VLOOKUP(Fact_Cumplimiento[[#This Row], [Concepto Anterior]],Conceptos_Cumplimiento[#All],5,0),"")</f>
        <v/>
      </c>
      <c r="F2703" t="str">
        <f>+IFERROR(VLOOKUP(Fact_Cumplimiento[[#This Row], 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ht="18.75" customHeight="1" x14ac:dyDescent="0.35">
      <c r="C2704" s="100" t="str">
        <f>IF(OR(Fact_Cumplimiento[[#This Row], [Año]]="",Fact_Cumplimiento[[#This Row], [Mes]]=""),"",DATE(A2704,MATCH(B2704,{"enero","febrero","marzo","abril","mayo","junio","julio","agosto","septiembre","octubre","noviembre","diciembre"},0)+1,0))</f>
        <v/>
      </c>
      <c r="E2704" t="str">
        <f>+IFERROR(VLOOKUP(Fact_Cumplimiento[[#This Row], [Concepto Anterior]],Conceptos_Cumplimiento[#All],5,0),"")</f>
        <v/>
      </c>
      <c r="F2704" t="str">
        <f>+IFERROR(VLOOKUP(Fact_Cumplimiento[[#This Row], 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ht="18.75" customHeight="1" x14ac:dyDescent="0.35">
      <c r="C2705" s="100" t="str">
        <f>IF(OR(Fact_Cumplimiento[[#This Row], [Año]]="",Fact_Cumplimiento[[#This Row], [Mes]]=""),"",DATE(A2705,MATCH(B2705,{"enero","febrero","marzo","abril","mayo","junio","julio","agosto","septiembre","octubre","noviembre","diciembre"},0)+1,0))</f>
        <v/>
      </c>
      <c r="E2705" t="str">
        <f>+IFERROR(VLOOKUP(Fact_Cumplimiento[[#This Row], [Concepto Anterior]],Conceptos_Cumplimiento[#All],5,0),"")</f>
        <v/>
      </c>
      <c r="F2705" t="str">
        <f>+IFERROR(VLOOKUP(Fact_Cumplimiento[[#This Row], 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ht="18.75" customHeight="1" x14ac:dyDescent="0.35">
      <c r="C2706" s="100" t="str">
        <f>IF(OR(Fact_Cumplimiento[[#This Row], [Año]]="",Fact_Cumplimiento[[#This Row], [Mes]]=""),"",DATE(A2706,MATCH(B2706,{"enero","febrero","marzo","abril","mayo","junio","julio","agosto","septiembre","octubre","noviembre","diciembre"},0)+1,0))</f>
        <v/>
      </c>
      <c r="E2706" t="str">
        <f>+IFERROR(VLOOKUP(Fact_Cumplimiento[[#This Row], [Concepto Anterior]],Conceptos_Cumplimiento[#All],5,0),"")</f>
        <v/>
      </c>
      <c r="F2706" t="str">
        <f>+IFERROR(VLOOKUP(Fact_Cumplimiento[[#This Row], 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ht="18.75" customHeight="1" x14ac:dyDescent="0.35">
      <c r="C2707" s="100" t="str">
        <f>IF(OR(Fact_Cumplimiento[[#This Row], [Año]]="",Fact_Cumplimiento[[#This Row], [Mes]]=""),"",DATE(A2707,MATCH(B2707,{"enero","febrero","marzo","abril","mayo","junio","julio","agosto","septiembre","octubre","noviembre","diciembre"},0)+1,0))</f>
        <v/>
      </c>
      <c r="E2707" t="str">
        <f>+IFERROR(VLOOKUP(Fact_Cumplimiento[[#This Row], [Concepto Anterior]],Conceptos_Cumplimiento[#All],5,0),"")</f>
        <v/>
      </c>
      <c r="F2707" t="str">
        <f>+IFERROR(VLOOKUP(Fact_Cumplimiento[[#This Row], 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ht="18.75" customHeight="1" x14ac:dyDescent="0.35">
      <c r="C2708" s="100" t="str">
        <f>IF(OR(Fact_Cumplimiento[[#This Row], [Año]]="",Fact_Cumplimiento[[#This Row], [Mes]]=""),"",DATE(A2708,MATCH(B2708,{"enero","febrero","marzo","abril","mayo","junio","julio","agosto","septiembre","octubre","noviembre","diciembre"},0)+1,0))</f>
        <v/>
      </c>
      <c r="E2708" t="str">
        <f>+IFERROR(VLOOKUP(Fact_Cumplimiento[[#This Row], [Concepto Anterior]],Conceptos_Cumplimiento[#All],5,0),"")</f>
        <v/>
      </c>
      <c r="F2708" t="str">
        <f>+IFERROR(VLOOKUP(Fact_Cumplimiento[[#This Row], 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ht="18.75" customHeight="1" x14ac:dyDescent="0.35">
      <c r="C2709" s="100" t="str">
        <f>IF(OR(Fact_Cumplimiento[[#This Row], [Año]]="",Fact_Cumplimiento[[#This Row], [Mes]]=""),"",DATE(A2709,MATCH(B2709,{"enero","febrero","marzo","abril","mayo","junio","julio","agosto","septiembre","octubre","noviembre","diciembre"},0)+1,0))</f>
        <v/>
      </c>
      <c r="E2709" t="str">
        <f>+IFERROR(VLOOKUP(Fact_Cumplimiento[[#This Row], [Concepto Anterior]],Conceptos_Cumplimiento[#All],5,0),"")</f>
        <v/>
      </c>
      <c r="F2709" t="str">
        <f>+IFERROR(VLOOKUP(Fact_Cumplimiento[[#This Row], 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ht="18.75" customHeight="1" x14ac:dyDescent="0.35">
      <c r="C2710" s="100" t="str">
        <f>IF(OR(Fact_Cumplimiento[[#This Row], [Año]]="",Fact_Cumplimiento[[#This Row], [Mes]]=""),"",DATE(A2710,MATCH(B2710,{"enero","febrero","marzo","abril","mayo","junio","julio","agosto","septiembre","octubre","noviembre","diciembre"},0)+1,0))</f>
        <v/>
      </c>
      <c r="E2710" t="str">
        <f>+IFERROR(VLOOKUP(Fact_Cumplimiento[[#This Row], [Concepto Anterior]],Conceptos_Cumplimiento[#All],5,0),"")</f>
        <v/>
      </c>
      <c r="F2710" t="str">
        <f>+IFERROR(VLOOKUP(Fact_Cumplimiento[[#This Row], 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ht="18.75" customHeight="1" x14ac:dyDescent="0.35">
      <c r="C2711" s="100" t="str">
        <f>IF(OR(Fact_Cumplimiento[[#This Row], [Año]]="",Fact_Cumplimiento[[#This Row], [Mes]]=""),"",DATE(A2711,MATCH(B2711,{"enero","febrero","marzo","abril","mayo","junio","julio","agosto","septiembre","octubre","noviembre","diciembre"},0)+1,0))</f>
        <v/>
      </c>
      <c r="E2711" t="str">
        <f>+IFERROR(VLOOKUP(Fact_Cumplimiento[[#This Row], [Concepto Anterior]],Conceptos_Cumplimiento[#All],5,0),"")</f>
        <v/>
      </c>
      <c r="F2711" t="str">
        <f>+IFERROR(VLOOKUP(Fact_Cumplimiento[[#This Row], 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ht="18.75" customHeight="1" x14ac:dyDescent="0.35">
      <c r="C2712" s="100" t="str">
        <f>IF(OR(Fact_Cumplimiento[[#This Row], [Año]]="",Fact_Cumplimiento[[#This Row], [Mes]]=""),"",DATE(A2712,MATCH(B2712,{"enero","febrero","marzo","abril","mayo","junio","julio","agosto","septiembre","octubre","noviembre","diciembre"},0)+1,0))</f>
        <v/>
      </c>
      <c r="E2712" t="str">
        <f>+IFERROR(VLOOKUP(Fact_Cumplimiento[[#This Row], [Concepto Anterior]],Conceptos_Cumplimiento[#All],5,0),"")</f>
        <v/>
      </c>
      <c r="F2712" t="str">
        <f>+IFERROR(VLOOKUP(Fact_Cumplimiento[[#This Row], 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ht="18.75" customHeight="1" x14ac:dyDescent="0.35">
      <c r="C2713" s="100" t="str">
        <f>IF(OR(Fact_Cumplimiento[[#This Row], [Año]]="",Fact_Cumplimiento[[#This Row], [Mes]]=""),"",DATE(A2713,MATCH(B2713,{"enero","febrero","marzo","abril","mayo","junio","julio","agosto","septiembre","octubre","noviembre","diciembre"},0)+1,0))</f>
        <v/>
      </c>
      <c r="E2713" t="str">
        <f>+IFERROR(VLOOKUP(Fact_Cumplimiento[[#This Row], [Concepto Anterior]],Conceptos_Cumplimiento[#All],5,0),"")</f>
        <v/>
      </c>
      <c r="F2713" t="str">
        <f>+IFERROR(VLOOKUP(Fact_Cumplimiento[[#This Row], 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ht="18.75" customHeight="1" x14ac:dyDescent="0.35">
      <c r="C2714" s="100" t="str">
        <f>IF(OR(Fact_Cumplimiento[[#This Row], [Año]]="",Fact_Cumplimiento[[#This Row], [Mes]]=""),"",DATE(A2714,MATCH(B2714,{"enero","febrero","marzo","abril","mayo","junio","julio","agosto","septiembre","octubre","noviembre","diciembre"},0)+1,0))</f>
        <v/>
      </c>
      <c r="E2714" t="str">
        <f>+IFERROR(VLOOKUP(Fact_Cumplimiento[[#This Row], [Concepto Anterior]],Conceptos_Cumplimiento[#All],5,0),"")</f>
        <v/>
      </c>
      <c r="F2714" t="str">
        <f>+IFERROR(VLOOKUP(Fact_Cumplimiento[[#This Row], 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ht="18.75" customHeight="1" x14ac:dyDescent="0.35">
      <c r="C2715" s="100" t="str">
        <f>IF(OR(Fact_Cumplimiento[[#This Row], [Año]]="",Fact_Cumplimiento[[#This Row], [Mes]]=""),"",DATE(A2715,MATCH(B2715,{"enero","febrero","marzo","abril","mayo","junio","julio","agosto","septiembre","octubre","noviembre","diciembre"},0)+1,0))</f>
        <v/>
      </c>
      <c r="E2715" t="str">
        <f>+IFERROR(VLOOKUP(Fact_Cumplimiento[[#This Row], [Concepto Anterior]],Conceptos_Cumplimiento[#All],5,0),"")</f>
        <v/>
      </c>
      <c r="F2715" t="str">
        <f>+IFERROR(VLOOKUP(Fact_Cumplimiento[[#This Row], 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ht="18.75" customHeight="1" x14ac:dyDescent="0.35">
      <c r="C2716" s="100" t="str">
        <f>IF(OR(Fact_Cumplimiento[[#This Row], [Año]]="",Fact_Cumplimiento[[#This Row], [Mes]]=""),"",DATE(A2716,MATCH(B2716,{"enero","febrero","marzo","abril","mayo","junio","julio","agosto","septiembre","octubre","noviembre","diciembre"},0)+1,0))</f>
        <v/>
      </c>
      <c r="E2716" t="str">
        <f>+IFERROR(VLOOKUP(Fact_Cumplimiento[[#This Row], [Concepto Anterior]],Conceptos_Cumplimiento[#All],5,0),"")</f>
        <v/>
      </c>
      <c r="F2716" t="str">
        <f>+IFERROR(VLOOKUP(Fact_Cumplimiento[[#This Row], 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ht="18.75" customHeight="1" x14ac:dyDescent="0.35">
      <c r="C2717" s="100" t="str">
        <f>IF(OR(Fact_Cumplimiento[[#This Row], [Año]]="",Fact_Cumplimiento[[#This Row], [Mes]]=""),"",DATE(A2717,MATCH(B2717,{"enero","febrero","marzo","abril","mayo","junio","julio","agosto","septiembre","octubre","noviembre","diciembre"},0)+1,0))</f>
        <v/>
      </c>
      <c r="E2717" t="str">
        <f>+IFERROR(VLOOKUP(Fact_Cumplimiento[[#This Row], [Concepto Anterior]],Conceptos_Cumplimiento[#All],5,0),"")</f>
        <v/>
      </c>
      <c r="F2717" t="str">
        <f>+IFERROR(VLOOKUP(Fact_Cumplimiento[[#This Row], 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ht="18.75" customHeight="1" x14ac:dyDescent="0.35">
      <c r="C2718" s="100" t="str">
        <f>IF(OR(Fact_Cumplimiento[[#This Row], [Año]]="",Fact_Cumplimiento[[#This Row], [Mes]]=""),"",DATE(A2718,MATCH(B2718,{"enero","febrero","marzo","abril","mayo","junio","julio","agosto","septiembre","octubre","noviembre","diciembre"},0)+1,0))</f>
        <v/>
      </c>
      <c r="E2718" t="str">
        <f>+IFERROR(VLOOKUP(Fact_Cumplimiento[[#This Row], [Concepto Anterior]],Conceptos_Cumplimiento[#All],5,0),"")</f>
        <v/>
      </c>
      <c r="F2718" t="str">
        <f>+IFERROR(VLOOKUP(Fact_Cumplimiento[[#This Row], 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ht="18.75" customHeight="1" x14ac:dyDescent="0.35">
      <c r="C2719" s="100" t="str">
        <f>IF(OR(Fact_Cumplimiento[[#This Row], [Año]]="",Fact_Cumplimiento[[#This Row], [Mes]]=""),"",DATE(A2719,MATCH(B2719,{"enero","febrero","marzo","abril","mayo","junio","julio","agosto","septiembre","octubre","noviembre","diciembre"},0)+1,0))</f>
        <v/>
      </c>
      <c r="E2719" t="str">
        <f>+IFERROR(VLOOKUP(Fact_Cumplimiento[[#This Row], [Concepto Anterior]],Conceptos_Cumplimiento[#All],5,0),"")</f>
        <v/>
      </c>
      <c r="F2719" t="str">
        <f>+IFERROR(VLOOKUP(Fact_Cumplimiento[[#This Row], 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ht="18.75" customHeight="1" x14ac:dyDescent="0.35">
      <c r="C2720" s="100" t="str">
        <f>IF(OR(Fact_Cumplimiento[[#This Row], [Año]]="",Fact_Cumplimiento[[#This Row], [Mes]]=""),"",DATE(A2720,MATCH(B2720,{"enero","febrero","marzo","abril","mayo","junio","julio","agosto","septiembre","octubre","noviembre","diciembre"},0)+1,0))</f>
        <v/>
      </c>
      <c r="E2720" t="str">
        <f>+IFERROR(VLOOKUP(Fact_Cumplimiento[[#This Row], [Concepto Anterior]],Conceptos_Cumplimiento[#All],5,0),"")</f>
        <v/>
      </c>
      <c r="F2720" t="str">
        <f>+IFERROR(VLOOKUP(Fact_Cumplimiento[[#This Row], 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ht="18.75" customHeight="1" x14ac:dyDescent="0.35">
      <c r="C2721" s="100" t="str">
        <f>IF(OR(Fact_Cumplimiento[[#This Row], [Año]]="",Fact_Cumplimiento[[#This Row], [Mes]]=""),"",DATE(A2721,MATCH(B2721,{"enero","febrero","marzo","abril","mayo","junio","julio","agosto","septiembre","octubre","noviembre","diciembre"},0)+1,0))</f>
        <v/>
      </c>
      <c r="E2721" t="str">
        <f>+IFERROR(VLOOKUP(Fact_Cumplimiento[[#This Row], [Concepto Anterior]],Conceptos_Cumplimiento[#All],5,0),"")</f>
        <v/>
      </c>
      <c r="F2721" t="str">
        <f>+IFERROR(VLOOKUP(Fact_Cumplimiento[[#This Row], 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ht="18.75" customHeight="1" x14ac:dyDescent="0.35">
      <c r="C2722" s="100" t="str">
        <f>IF(OR(Fact_Cumplimiento[[#This Row], [Año]]="",Fact_Cumplimiento[[#This Row], [Mes]]=""),"",DATE(A2722,MATCH(B2722,{"enero","febrero","marzo","abril","mayo","junio","julio","agosto","septiembre","octubre","noviembre","diciembre"},0)+1,0))</f>
        <v/>
      </c>
      <c r="E2722" t="str">
        <f>+IFERROR(VLOOKUP(Fact_Cumplimiento[[#This Row], [Concepto Anterior]],Conceptos_Cumplimiento[#All],5,0),"")</f>
        <v/>
      </c>
      <c r="F2722" t="str">
        <f>+IFERROR(VLOOKUP(Fact_Cumplimiento[[#This Row], 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ht="18.75" customHeight="1" x14ac:dyDescent="0.35">
      <c r="C2723" s="100" t="str">
        <f>IF(OR(Fact_Cumplimiento[[#This Row], [Año]]="",Fact_Cumplimiento[[#This Row], [Mes]]=""),"",DATE(A2723,MATCH(B2723,{"enero","febrero","marzo","abril","mayo","junio","julio","agosto","septiembre","octubre","noviembre","diciembre"},0)+1,0))</f>
        <v/>
      </c>
      <c r="E2723" t="str">
        <f>+IFERROR(VLOOKUP(Fact_Cumplimiento[[#This Row], [Concepto Anterior]],Conceptos_Cumplimiento[#All],5,0),"")</f>
        <v/>
      </c>
      <c r="F2723" t="str">
        <f>+IFERROR(VLOOKUP(Fact_Cumplimiento[[#This Row], 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ht="18.75" customHeight="1" x14ac:dyDescent="0.35">
      <c r="C2724" s="100" t="str">
        <f>IF(OR(Fact_Cumplimiento[[#This Row], [Año]]="",Fact_Cumplimiento[[#This Row], [Mes]]=""),"",DATE(A2724,MATCH(B2724,{"enero","febrero","marzo","abril","mayo","junio","julio","agosto","septiembre","octubre","noviembre","diciembre"},0)+1,0))</f>
        <v/>
      </c>
      <c r="E2724" t="str">
        <f>+IFERROR(VLOOKUP(Fact_Cumplimiento[[#This Row], [Concepto Anterior]],Conceptos_Cumplimiento[#All],5,0),"")</f>
        <v/>
      </c>
      <c r="F2724" t="str">
        <f>+IFERROR(VLOOKUP(Fact_Cumplimiento[[#This Row], 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ht="18.75" customHeight="1" x14ac:dyDescent="0.35">
      <c r="C2725" s="100" t="str">
        <f>IF(OR(Fact_Cumplimiento[[#This Row], [Año]]="",Fact_Cumplimiento[[#This Row], [Mes]]=""),"",DATE(A2725,MATCH(B2725,{"enero","febrero","marzo","abril","mayo","junio","julio","agosto","septiembre","octubre","noviembre","diciembre"},0)+1,0))</f>
        <v/>
      </c>
      <c r="E2725" t="str">
        <f>+IFERROR(VLOOKUP(Fact_Cumplimiento[[#This Row], [Concepto Anterior]],Conceptos_Cumplimiento[#All],5,0),"")</f>
        <v/>
      </c>
      <c r="F2725" t="str">
        <f>+IFERROR(VLOOKUP(Fact_Cumplimiento[[#This Row], 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ht="18.75" customHeight="1" x14ac:dyDescent="0.35">
      <c r="C2726" s="100" t="str">
        <f>IF(OR(Fact_Cumplimiento[[#This Row], [Año]]="",Fact_Cumplimiento[[#This Row], [Mes]]=""),"",DATE(A2726,MATCH(B2726,{"enero","febrero","marzo","abril","mayo","junio","julio","agosto","septiembre","octubre","noviembre","diciembre"},0)+1,0))</f>
        <v/>
      </c>
      <c r="E2726" t="str">
        <f>+IFERROR(VLOOKUP(Fact_Cumplimiento[[#This Row], [Concepto Anterior]],Conceptos_Cumplimiento[#All],5,0),"")</f>
        <v/>
      </c>
      <c r="F2726" t="str">
        <f>+IFERROR(VLOOKUP(Fact_Cumplimiento[[#This Row], 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ht="18.75" customHeight="1" x14ac:dyDescent="0.35">
      <c r="C2727" s="100" t="str">
        <f>IF(OR(Fact_Cumplimiento[[#This Row], [Año]]="",Fact_Cumplimiento[[#This Row], [Mes]]=""),"",DATE(A2727,MATCH(B2727,{"enero","febrero","marzo","abril","mayo","junio","julio","agosto","septiembre","octubre","noviembre","diciembre"},0)+1,0))</f>
        <v/>
      </c>
      <c r="E2727" t="str">
        <f>+IFERROR(VLOOKUP(Fact_Cumplimiento[[#This Row], [Concepto Anterior]],Conceptos_Cumplimiento[#All],5,0),"")</f>
        <v/>
      </c>
      <c r="F2727" t="str">
        <f>+IFERROR(VLOOKUP(Fact_Cumplimiento[[#This Row], 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ht="18.75" customHeight="1" x14ac:dyDescent="0.35">
      <c r="C2728" s="100" t="str">
        <f>IF(OR(Fact_Cumplimiento[[#This Row], [Año]]="",Fact_Cumplimiento[[#This Row], [Mes]]=""),"",DATE(A2728,MATCH(B2728,{"enero","febrero","marzo","abril","mayo","junio","julio","agosto","septiembre","octubre","noviembre","diciembre"},0)+1,0))</f>
        <v/>
      </c>
      <c r="E2728" t="str">
        <f>+IFERROR(VLOOKUP(Fact_Cumplimiento[[#This Row], [Concepto Anterior]],Conceptos_Cumplimiento[#All],5,0),"")</f>
        <v/>
      </c>
      <c r="F2728" t="str">
        <f>+IFERROR(VLOOKUP(Fact_Cumplimiento[[#This Row], 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ht="18.75" customHeight="1" x14ac:dyDescent="0.35">
      <c r="C2729" s="100" t="str">
        <f>IF(OR(Fact_Cumplimiento[[#This Row], [Año]]="",Fact_Cumplimiento[[#This Row], [Mes]]=""),"",DATE(A2729,MATCH(B2729,{"enero","febrero","marzo","abril","mayo","junio","julio","agosto","septiembre","octubre","noviembre","diciembre"},0)+1,0))</f>
        <v/>
      </c>
      <c r="E2729" t="str">
        <f>+IFERROR(VLOOKUP(Fact_Cumplimiento[[#This Row], [Concepto Anterior]],Conceptos_Cumplimiento[#All],5,0),"")</f>
        <v/>
      </c>
      <c r="F2729" t="str">
        <f>+IFERROR(VLOOKUP(Fact_Cumplimiento[[#This Row], 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ht="18.75" customHeight="1" x14ac:dyDescent="0.35">
      <c r="C2730" s="100" t="str">
        <f>IF(OR(Fact_Cumplimiento[[#This Row], [Año]]="",Fact_Cumplimiento[[#This Row], [Mes]]=""),"",DATE(A2730,MATCH(B2730,{"enero","febrero","marzo","abril","mayo","junio","julio","agosto","septiembre","octubre","noviembre","diciembre"},0)+1,0))</f>
        <v/>
      </c>
      <c r="E2730" t="str">
        <f>+IFERROR(VLOOKUP(Fact_Cumplimiento[[#This Row], [Concepto Anterior]],Conceptos_Cumplimiento[#All],5,0),"")</f>
        <v/>
      </c>
      <c r="F2730" t="str">
        <f>+IFERROR(VLOOKUP(Fact_Cumplimiento[[#This Row], 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ht="18.75" customHeight="1" x14ac:dyDescent="0.35">
      <c r="C2731" s="100" t="str">
        <f>IF(OR(Fact_Cumplimiento[[#This Row], [Año]]="",Fact_Cumplimiento[[#This Row], [Mes]]=""),"",DATE(A2731,MATCH(B2731,{"enero","febrero","marzo","abril","mayo","junio","julio","agosto","septiembre","octubre","noviembre","diciembre"},0)+1,0))</f>
        <v/>
      </c>
      <c r="E2731" t="str">
        <f>+IFERROR(VLOOKUP(Fact_Cumplimiento[[#This Row], [Concepto Anterior]],Conceptos_Cumplimiento[#All],5,0),"")</f>
        <v/>
      </c>
      <c r="F2731" t="str">
        <f>+IFERROR(VLOOKUP(Fact_Cumplimiento[[#This Row], 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ht="18.75" customHeight="1" x14ac:dyDescent="0.35">
      <c r="C2732" s="100" t="str">
        <f>IF(OR(Fact_Cumplimiento[[#This Row], [Año]]="",Fact_Cumplimiento[[#This Row], [Mes]]=""),"",DATE(A2732,MATCH(B2732,{"enero","febrero","marzo","abril","mayo","junio","julio","agosto","septiembre","octubre","noviembre","diciembre"},0)+1,0))</f>
        <v/>
      </c>
      <c r="E2732" t="str">
        <f>+IFERROR(VLOOKUP(Fact_Cumplimiento[[#This Row], [Concepto Anterior]],Conceptos_Cumplimiento[#All],5,0),"")</f>
        <v/>
      </c>
      <c r="F2732" t="str">
        <f>+IFERROR(VLOOKUP(Fact_Cumplimiento[[#This Row], 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ht="18.75" customHeight="1" x14ac:dyDescent="0.35">
      <c r="C2733" s="100" t="str">
        <f>IF(OR(Fact_Cumplimiento[[#This Row], [Año]]="",Fact_Cumplimiento[[#This Row], [Mes]]=""),"",DATE(A2733,MATCH(B2733,{"enero","febrero","marzo","abril","mayo","junio","julio","agosto","septiembre","octubre","noviembre","diciembre"},0)+1,0))</f>
        <v/>
      </c>
      <c r="E2733" t="str">
        <f>+IFERROR(VLOOKUP(Fact_Cumplimiento[[#This Row], [Concepto Anterior]],Conceptos_Cumplimiento[#All],5,0),"")</f>
        <v/>
      </c>
      <c r="F2733" t="str">
        <f>+IFERROR(VLOOKUP(Fact_Cumplimiento[[#This Row], 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ht="18.75" customHeight="1" x14ac:dyDescent="0.35">
      <c r="C2734" s="100" t="str">
        <f>IF(OR(Fact_Cumplimiento[[#This Row], [Año]]="",Fact_Cumplimiento[[#This Row], [Mes]]=""),"",DATE(A2734,MATCH(B2734,{"enero","febrero","marzo","abril","mayo","junio","julio","agosto","septiembre","octubre","noviembre","diciembre"},0)+1,0))</f>
        <v/>
      </c>
      <c r="E2734" t="str">
        <f>+IFERROR(VLOOKUP(Fact_Cumplimiento[[#This Row], [Concepto Anterior]],Conceptos_Cumplimiento[#All],5,0),"")</f>
        <v/>
      </c>
      <c r="F2734" t="str">
        <f>+IFERROR(VLOOKUP(Fact_Cumplimiento[[#This Row], 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ht="18.75" customHeight="1" x14ac:dyDescent="0.35">
      <c r="C2735" s="100" t="str">
        <f>IF(OR(Fact_Cumplimiento[[#This Row], [Año]]="",Fact_Cumplimiento[[#This Row], [Mes]]=""),"",DATE(A2735,MATCH(B2735,{"enero","febrero","marzo","abril","mayo","junio","julio","agosto","septiembre","octubre","noviembre","diciembre"},0)+1,0))</f>
        <v/>
      </c>
      <c r="E2735" t="str">
        <f>+IFERROR(VLOOKUP(Fact_Cumplimiento[[#This Row], [Concepto Anterior]],Conceptos_Cumplimiento[#All],5,0),"")</f>
        <v/>
      </c>
      <c r="F2735" t="str">
        <f>+IFERROR(VLOOKUP(Fact_Cumplimiento[[#This Row], 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ht="18.75" customHeight="1" x14ac:dyDescent="0.35">
      <c r="C2736" s="100" t="str">
        <f>IF(OR(Fact_Cumplimiento[[#This Row], [Año]]="",Fact_Cumplimiento[[#This Row], [Mes]]=""),"",DATE(A2736,MATCH(B2736,{"enero","febrero","marzo","abril","mayo","junio","julio","agosto","septiembre","octubre","noviembre","diciembre"},0)+1,0))</f>
        <v/>
      </c>
      <c r="E2736" t="str">
        <f>+IFERROR(VLOOKUP(Fact_Cumplimiento[[#This Row], [Concepto Anterior]],Conceptos_Cumplimiento[#All],5,0),"")</f>
        <v/>
      </c>
      <c r="F2736" t="str">
        <f>+IFERROR(VLOOKUP(Fact_Cumplimiento[[#This Row], 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ht="18.75" customHeight="1" x14ac:dyDescent="0.35">
      <c r="C2737" s="100" t="str">
        <f>IF(OR(Fact_Cumplimiento[[#This Row], [Año]]="",Fact_Cumplimiento[[#This Row], [Mes]]=""),"",DATE(A2737,MATCH(B2737,{"enero","febrero","marzo","abril","mayo","junio","julio","agosto","septiembre","octubre","noviembre","diciembre"},0)+1,0))</f>
        <v/>
      </c>
      <c r="E2737" t="str">
        <f>+IFERROR(VLOOKUP(Fact_Cumplimiento[[#This Row], [Concepto Anterior]],Conceptos_Cumplimiento[#All],5,0),"")</f>
        <v/>
      </c>
      <c r="F2737" t="str">
        <f>+IFERROR(VLOOKUP(Fact_Cumplimiento[[#This Row], 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ht="18.75" customHeight="1" x14ac:dyDescent="0.35">
      <c r="C2738" s="100" t="str">
        <f>IF(OR(Fact_Cumplimiento[[#This Row], [Año]]="",Fact_Cumplimiento[[#This Row], [Mes]]=""),"",DATE(A2738,MATCH(B2738,{"enero","febrero","marzo","abril","mayo","junio","julio","agosto","septiembre","octubre","noviembre","diciembre"},0)+1,0))</f>
        <v/>
      </c>
      <c r="E2738" t="str">
        <f>+IFERROR(VLOOKUP(Fact_Cumplimiento[[#This Row], [Concepto Anterior]],Conceptos_Cumplimiento[#All],5,0),"")</f>
        <v/>
      </c>
      <c r="F2738" t="str">
        <f>+IFERROR(VLOOKUP(Fact_Cumplimiento[[#This Row], 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ht="18.75" customHeight="1" x14ac:dyDescent="0.35">
      <c r="C2739" s="100" t="str">
        <f>IF(OR(Fact_Cumplimiento[[#This Row], [Año]]="",Fact_Cumplimiento[[#This Row], [Mes]]=""),"",DATE(A2739,MATCH(B2739,{"enero","febrero","marzo","abril","mayo","junio","julio","agosto","septiembre","octubre","noviembre","diciembre"},0)+1,0))</f>
        <v/>
      </c>
      <c r="E2739" t="str">
        <f>+IFERROR(VLOOKUP(Fact_Cumplimiento[[#This Row], [Concepto Anterior]],Conceptos_Cumplimiento[#All],5,0),"")</f>
        <v/>
      </c>
      <c r="F2739" t="str">
        <f>+IFERROR(VLOOKUP(Fact_Cumplimiento[[#This Row], 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ht="18.75" customHeight="1" x14ac:dyDescent="0.35">
      <c r="C2740" s="100" t="str">
        <f>IF(OR(Fact_Cumplimiento[[#This Row], [Año]]="",Fact_Cumplimiento[[#This Row], [Mes]]=""),"",DATE(A2740,MATCH(B2740,{"enero","febrero","marzo","abril","mayo","junio","julio","agosto","septiembre","octubre","noviembre","diciembre"},0)+1,0))</f>
        <v/>
      </c>
      <c r="E2740" t="str">
        <f>+IFERROR(VLOOKUP(Fact_Cumplimiento[[#This Row], [Concepto Anterior]],Conceptos_Cumplimiento[#All],5,0),"")</f>
        <v/>
      </c>
      <c r="F2740" t="str">
        <f>+IFERROR(VLOOKUP(Fact_Cumplimiento[[#This Row], 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ht="18.75" customHeight="1" x14ac:dyDescent="0.35">
      <c r="C2741" s="100" t="str">
        <f>IF(OR(Fact_Cumplimiento[[#This Row], [Año]]="",Fact_Cumplimiento[[#This Row], [Mes]]=""),"",DATE(A2741,MATCH(B2741,{"enero","febrero","marzo","abril","mayo","junio","julio","agosto","septiembre","octubre","noviembre","diciembre"},0)+1,0))</f>
        <v/>
      </c>
      <c r="E2741" t="str">
        <f>+IFERROR(VLOOKUP(Fact_Cumplimiento[[#This Row], [Concepto Anterior]],Conceptos_Cumplimiento[#All],5,0),"")</f>
        <v/>
      </c>
      <c r="F2741" t="str">
        <f>+IFERROR(VLOOKUP(Fact_Cumplimiento[[#This Row], 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ht="18.75" customHeight="1" x14ac:dyDescent="0.35">
      <c r="C2742" s="100" t="str">
        <f>IF(OR(Fact_Cumplimiento[[#This Row], [Año]]="",Fact_Cumplimiento[[#This Row], [Mes]]=""),"",DATE(A2742,MATCH(B2742,{"enero","febrero","marzo","abril","mayo","junio","julio","agosto","septiembre","octubre","noviembre","diciembre"},0)+1,0))</f>
        <v/>
      </c>
      <c r="E2742" t="str">
        <f>+IFERROR(VLOOKUP(Fact_Cumplimiento[[#This Row], [Concepto Anterior]],Conceptos_Cumplimiento[#All],5,0),"")</f>
        <v/>
      </c>
      <c r="F2742" t="str">
        <f>+IFERROR(VLOOKUP(Fact_Cumplimiento[[#This Row], 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ht="18.75" customHeight="1" x14ac:dyDescent="0.35">
      <c r="C2743" s="100" t="str">
        <f>IF(OR(Fact_Cumplimiento[[#This Row], [Año]]="",Fact_Cumplimiento[[#This Row], [Mes]]=""),"",DATE(A2743,MATCH(B2743,{"enero","febrero","marzo","abril","mayo","junio","julio","agosto","septiembre","octubre","noviembre","diciembre"},0)+1,0))</f>
        <v/>
      </c>
      <c r="E2743" t="str">
        <f>+IFERROR(VLOOKUP(Fact_Cumplimiento[[#This Row], [Concepto Anterior]],Conceptos_Cumplimiento[#All],5,0),"")</f>
        <v/>
      </c>
      <c r="F2743" t="str">
        <f>+IFERROR(VLOOKUP(Fact_Cumplimiento[[#This Row], 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ht="18.75" customHeight="1" x14ac:dyDescent="0.35">
      <c r="C2744" s="100" t="str">
        <f>IF(OR(Fact_Cumplimiento[[#This Row], [Año]]="",Fact_Cumplimiento[[#This Row], [Mes]]=""),"",DATE(A2744,MATCH(B2744,{"enero","febrero","marzo","abril","mayo","junio","julio","agosto","septiembre","octubre","noviembre","diciembre"},0)+1,0))</f>
        <v/>
      </c>
      <c r="E2744" t="str">
        <f>+IFERROR(VLOOKUP(Fact_Cumplimiento[[#This Row], [Concepto Anterior]],Conceptos_Cumplimiento[#All],5,0),"")</f>
        <v/>
      </c>
      <c r="F2744" t="str">
        <f>+IFERROR(VLOOKUP(Fact_Cumplimiento[[#This Row], 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ht="18.75" customHeight="1" x14ac:dyDescent="0.35">
      <c r="C2745" s="100" t="str">
        <f>IF(OR(Fact_Cumplimiento[[#This Row], [Año]]="",Fact_Cumplimiento[[#This Row], [Mes]]=""),"",DATE(A2745,MATCH(B2745,{"enero","febrero","marzo","abril","mayo","junio","julio","agosto","septiembre","octubre","noviembre","diciembre"},0)+1,0))</f>
        <v/>
      </c>
      <c r="E2745" t="str">
        <f>+IFERROR(VLOOKUP(Fact_Cumplimiento[[#This Row], [Concepto Anterior]],Conceptos_Cumplimiento[#All],5,0),"")</f>
        <v/>
      </c>
      <c r="F2745" t="str">
        <f>+IFERROR(VLOOKUP(Fact_Cumplimiento[[#This Row], 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ht="18.75" customHeight="1" x14ac:dyDescent="0.35">
      <c r="C2746" s="100" t="str">
        <f>IF(OR(Fact_Cumplimiento[[#This Row], [Año]]="",Fact_Cumplimiento[[#This Row], [Mes]]=""),"",DATE(A2746,MATCH(B2746,{"enero","febrero","marzo","abril","mayo","junio","julio","agosto","septiembre","octubre","noviembre","diciembre"},0)+1,0))</f>
        <v/>
      </c>
      <c r="E2746" t="str">
        <f>+IFERROR(VLOOKUP(Fact_Cumplimiento[[#This Row], [Concepto Anterior]],Conceptos_Cumplimiento[#All],5,0),"")</f>
        <v/>
      </c>
      <c r="F2746" t="str">
        <f>+IFERROR(VLOOKUP(Fact_Cumplimiento[[#This Row], 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ht="18.75" customHeight="1" x14ac:dyDescent="0.35">
      <c r="C2747" s="100" t="str">
        <f>IF(OR(Fact_Cumplimiento[[#This Row], [Año]]="",Fact_Cumplimiento[[#This Row], [Mes]]=""),"",DATE(A2747,MATCH(B2747,{"enero","febrero","marzo","abril","mayo","junio","julio","agosto","septiembre","octubre","noviembre","diciembre"},0)+1,0))</f>
        <v/>
      </c>
      <c r="E2747" t="str">
        <f>+IFERROR(VLOOKUP(Fact_Cumplimiento[[#This Row], [Concepto Anterior]],Conceptos_Cumplimiento[#All],5,0),"")</f>
        <v/>
      </c>
      <c r="F2747" t="str">
        <f>+IFERROR(VLOOKUP(Fact_Cumplimiento[[#This Row], 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ht="18.75" customHeight="1" x14ac:dyDescent="0.35">
      <c r="C2748" s="100" t="str">
        <f>IF(OR(Fact_Cumplimiento[[#This Row], [Año]]="",Fact_Cumplimiento[[#This Row], [Mes]]=""),"",DATE(A2748,MATCH(B2748,{"enero","febrero","marzo","abril","mayo","junio","julio","agosto","septiembre","octubre","noviembre","diciembre"},0)+1,0))</f>
        <v/>
      </c>
      <c r="E2748" t="str">
        <f>+IFERROR(VLOOKUP(Fact_Cumplimiento[[#This Row], [Concepto Anterior]],Conceptos_Cumplimiento[#All],5,0),"")</f>
        <v/>
      </c>
      <c r="F2748" t="str">
        <f>+IFERROR(VLOOKUP(Fact_Cumplimiento[[#This Row], 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ht="18.75" customHeight="1" x14ac:dyDescent="0.35">
      <c r="C2749" s="100" t="str">
        <f>IF(OR(Fact_Cumplimiento[[#This Row], [Año]]="",Fact_Cumplimiento[[#This Row], [Mes]]=""),"",DATE(A2749,MATCH(B2749,{"enero","febrero","marzo","abril","mayo","junio","julio","agosto","septiembre","octubre","noviembre","diciembre"},0)+1,0))</f>
        <v/>
      </c>
      <c r="E2749" t="str">
        <f>+IFERROR(VLOOKUP(Fact_Cumplimiento[[#This Row], [Concepto Anterior]],Conceptos_Cumplimiento[#All],5,0),"")</f>
        <v/>
      </c>
      <c r="F2749" t="str">
        <f>+IFERROR(VLOOKUP(Fact_Cumplimiento[[#This Row], 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ht="18.75" customHeight="1" x14ac:dyDescent="0.35">
      <c r="C2750" s="100" t="str">
        <f>IF(OR(Fact_Cumplimiento[[#This Row], [Año]]="",Fact_Cumplimiento[[#This Row], [Mes]]=""),"",DATE(A2750,MATCH(B2750,{"enero","febrero","marzo","abril","mayo","junio","julio","agosto","septiembre","octubre","noviembre","diciembre"},0)+1,0))</f>
        <v/>
      </c>
      <c r="E2750" t="str">
        <f>+IFERROR(VLOOKUP(Fact_Cumplimiento[[#This Row], [Concepto Anterior]],Conceptos_Cumplimiento[#All],5,0),"")</f>
        <v/>
      </c>
      <c r="F2750" t="str">
        <f>+IFERROR(VLOOKUP(Fact_Cumplimiento[[#This Row], 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ht="18.75" customHeight="1" x14ac:dyDescent="0.35">
      <c r="C2751" s="100" t="str">
        <f>IF(OR(Fact_Cumplimiento[[#This Row], [Año]]="",Fact_Cumplimiento[[#This Row], [Mes]]=""),"",DATE(A2751,MATCH(B2751,{"enero","febrero","marzo","abril","mayo","junio","julio","agosto","septiembre","octubre","noviembre","diciembre"},0)+1,0))</f>
        <v/>
      </c>
      <c r="E2751" t="str">
        <f>+IFERROR(VLOOKUP(Fact_Cumplimiento[[#This Row], [Concepto Anterior]],Conceptos_Cumplimiento[#All],5,0),"")</f>
        <v/>
      </c>
      <c r="F2751" t="str">
        <f>+IFERROR(VLOOKUP(Fact_Cumplimiento[[#This Row], 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ht="18.75" customHeight="1" x14ac:dyDescent="0.35">
      <c r="C2752" s="100" t="str">
        <f>IF(OR(Fact_Cumplimiento[[#This Row], [Año]]="",Fact_Cumplimiento[[#This Row], [Mes]]=""),"",DATE(A2752,MATCH(B2752,{"enero","febrero","marzo","abril","mayo","junio","julio","agosto","septiembre","octubre","noviembre","diciembre"},0)+1,0))</f>
        <v/>
      </c>
      <c r="E2752" t="str">
        <f>+IFERROR(VLOOKUP(Fact_Cumplimiento[[#This Row], [Concepto Anterior]],Conceptos_Cumplimiento[#All],5,0),"")</f>
        <v/>
      </c>
      <c r="F2752" t="str">
        <f>+IFERROR(VLOOKUP(Fact_Cumplimiento[[#This Row], 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ht="18.75" customHeight="1" x14ac:dyDescent="0.35">
      <c r="C2753" s="100" t="str">
        <f>IF(OR(Fact_Cumplimiento[[#This Row], [Año]]="",Fact_Cumplimiento[[#This Row], [Mes]]=""),"",DATE(A2753,MATCH(B2753,{"enero","febrero","marzo","abril","mayo","junio","julio","agosto","septiembre","octubre","noviembre","diciembre"},0)+1,0))</f>
        <v/>
      </c>
      <c r="E2753" t="str">
        <f>+IFERROR(VLOOKUP(Fact_Cumplimiento[[#This Row], [Concepto Anterior]],Conceptos_Cumplimiento[#All],5,0),"")</f>
        <v/>
      </c>
      <c r="F2753" t="str">
        <f>+IFERROR(VLOOKUP(Fact_Cumplimiento[[#This Row], 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ht="18.75" customHeight="1" x14ac:dyDescent="0.35">
      <c r="C2754" s="100" t="str">
        <f>IF(OR(Fact_Cumplimiento[[#This Row], [Año]]="",Fact_Cumplimiento[[#This Row], [Mes]]=""),"",DATE(A2754,MATCH(B2754,{"enero","febrero","marzo","abril","mayo","junio","julio","agosto","septiembre","octubre","noviembre","diciembre"},0)+1,0))</f>
        <v/>
      </c>
      <c r="E2754" t="str">
        <f>+IFERROR(VLOOKUP(Fact_Cumplimiento[[#This Row], [Concepto Anterior]],Conceptos_Cumplimiento[#All],5,0),"")</f>
        <v/>
      </c>
      <c r="F2754" t="str">
        <f>+IFERROR(VLOOKUP(Fact_Cumplimiento[[#This Row], 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ht="18.75" customHeight="1" x14ac:dyDescent="0.35">
      <c r="C2755" s="100" t="str">
        <f>IF(OR(Fact_Cumplimiento[[#This Row], [Año]]="",Fact_Cumplimiento[[#This Row], [Mes]]=""),"",DATE(A2755,MATCH(B2755,{"enero","febrero","marzo","abril","mayo","junio","julio","agosto","septiembre","octubre","noviembre","diciembre"},0)+1,0))</f>
        <v/>
      </c>
      <c r="E2755" t="str">
        <f>+IFERROR(VLOOKUP(Fact_Cumplimiento[[#This Row], [Concepto Anterior]],Conceptos_Cumplimiento[#All],5,0),"")</f>
        <v/>
      </c>
      <c r="F2755" t="str">
        <f>+IFERROR(VLOOKUP(Fact_Cumplimiento[[#This Row], 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ht="18.75" customHeight="1" x14ac:dyDescent="0.35">
      <c r="C2756" s="100" t="str">
        <f>IF(OR(Fact_Cumplimiento[[#This Row], [Año]]="",Fact_Cumplimiento[[#This Row], [Mes]]=""),"",DATE(A2756,MATCH(B2756,{"enero","febrero","marzo","abril","mayo","junio","julio","agosto","septiembre","octubre","noviembre","diciembre"},0)+1,0))</f>
        <v/>
      </c>
      <c r="E2756" t="str">
        <f>+IFERROR(VLOOKUP(Fact_Cumplimiento[[#This Row], [Concepto Anterior]],Conceptos_Cumplimiento[#All],5,0),"")</f>
        <v/>
      </c>
      <c r="F2756" t="str">
        <f>+IFERROR(VLOOKUP(Fact_Cumplimiento[[#This Row], 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ht="18.75" customHeight="1" x14ac:dyDescent="0.35">
      <c r="C2757" s="100" t="str">
        <f>IF(OR(Fact_Cumplimiento[[#This Row], [Año]]="",Fact_Cumplimiento[[#This Row], [Mes]]=""),"",DATE(A2757,MATCH(B2757,{"enero","febrero","marzo","abril","mayo","junio","julio","agosto","septiembre","octubre","noviembre","diciembre"},0)+1,0))</f>
        <v/>
      </c>
      <c r="E2757" t="str">
        <f>+IFERROR(VLOOKUP(Fact_Cumplimiento[[#This Row], [Concepto Anterior]],Conceptos_Cumplimiento[#All],5,0),"")</f>
        <v/>
      </c>
      <c r="F2757" t="str">
        <f>+IFERROR(VLOOKUP(Fact_Cumplimiento[[#This Row], 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ht="18.75" customHeight="1" x14ac:dyDescent="0.35">
      <c r="C2758" s="100" t="str">
        <f>IF(OR(Fact_Cumplimiento[[#This Row], [Año]]="",Fact_Cumplimiento[[#This Row], [Mes]]=""),"",DATE(A2758,MATCH(B2758,{"enero","febrero","marzo","abril","mayo","junio","julio","agosto","septiembre","octubre","noviembre","diciembre"},0)+1,0))</f>
        <v/>
      </c>
      <c r="E2758" t="str">
        <f>+IFERROR(VLOOKUP(Fact_Cumplimiento[[#This Row], [Concepto Anterior]],Conceptos_Cumplimiento[#All],5,0),"")</f>
        <v/>
      </c>
      <c r="F2758" t="str">
        <f>+IFERROR(VLOOKUP(Fact_Cumplimiento[[#This Row], 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ht="18.75" customHeight="1" x14ac:dyDescent="0.35">
      <c r="C2759" s="100" t="str">
        <f>IF(OR(Fact_Cumplimiento[[#This Row], [Año]]="",Fact_Cumplimiento[[#This Row], [Mes]]=""),"",DATE(A2759,MATCH(B2759,{"enero","febrero","marzo","abril","mayo","junio","julio","agosto","septiembre","octubre","noviembre","diciembre"},0)+1,0))</f>
        <v/>
      </c>
      <c r="E2759" t="str">
        <f>+IFERROR(VLOOKUP(Fact_Cumplimiento[[#This Row], [Concepto Anterior]],Conceptos_Cumplimiento[#All],5,0),"")</f>
        <v/>
      </c>
      <c r="F2759" t="str">
        <f>+IFERROR(VLOOKUP(Fact_Cumplimiento[[#This Row], 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ht="18.75" customHeight="1" x14ac:dyDescent="0.35">
      <c r="C2760" s="100" t="str">
        <f>IF(OR(Fact_Cumplimiento[[#This Row], [Año]]="",Fact_Cumplimiento[[#This Row], [Mes]]=""),"",DATE(A2760,MATCH(B2760,{"enero","febrero","marzo","abril","mayo","junio","julio","agosto","septiembre","octubre","noviembre","diciembre"},0)+1,0))</f>
        <v/>
      </c>
      <c r="E2760" t="str">
        <f>+IFERROR(VLOOKUP(Fact_Cumplimiento[[#This Row], [Concepto Anterior]],Conceptos_Cumplimiento[#All],5,0),"")</f>
        <v/>
      </c>
      <c r="F2760" t="str">
        <f>+IFERROR(VLOOKUP(Fact_Cumplimiento[[#This Row], 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ht="18.75" customHeight="1" x14ac:dyDescent="0.35">
      <c r="C2761" s="100" t="str">
        <f>IF(OR(Fact_Cumplimiento[[#This Row], [Año]]="",Fact_Cumplimiento[[#This Row], [Mes]]=""),"",DATE(A2761,MATCH(B2761,{"enero","febrero","marzo","abril","mayo","junio","julio","agosto","septiembre","octubre","noviembre","diciembre"},0)+1,0))</f>
        <v/>
      </c>
      <c r="E2761" t="str">
        <f>+IFERROR(VLOOKUP(Fact_Cumplimiento[[#This Row], [Concepto Anterior]],Conceptos_Cumplimiento[#All],5,0),"")</f>
        <v/>
      </c>
      <c r="F2761" t="str">
        <f>+IFERROR(VLOOKUP(Fact_Cumplimiento[[#This Row], 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ht="18.75" customHeight="1" x14ac:dyDescent="0.35">
      <c r="C2762" s="100" t="str">
        <f>IF(OR(Fact_Cumplimiento[[#This Row], [Año]]="",Fact_Cumplimiento[[#This Row], [Mes]]=""),"",DATE(A2762,MATCH(B2762,{"enero","febrero","marzo","abril","mayo","junio","julio","agosto","septiembre","octubre","noviembre","diciembre"},0)+1,0))</f>
        <v/>
      </c>
      <c r="E2762" t="str">
        <f>+IFERROR(VLOOKUP(Fact_Cumplimiento[[#This Row], [Concepto Anterior]],Conceptos_Cumplimiento[#All],5,0),"")</f>
        <v/>
      </c>
      <c r="F2762" t="str">
        <f>+IFERROR(VLOOKUP(Fact_Cumplimiento[[#This Row], 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ht="18.75" customHeight="1" x14ac:dyDescent="0.35">
      <c r="C2763" s="100" t="str">
        <f>IF(OR(Fact_Cumplimiento[[#This Row], [Año]]="",Fact_Cumplimiento[[#This Row], [Mes]]=""),"",DATE(A2763,MATCH(B2763,{"enero","febrero","marzo","abril","mayo","junio","julio","agosto","septiembre","octubre","noviembre","diciembre"},0)+1,0))</f>
        <v/>
      </c>
      <c r="E2763" t="str">
        <f>+IFERROR(VLOOKUP(Fact_Cumplimiento[[#This Row], [Concepto Anterior]],Conceptos_Cumplimiento[#All],5,0),"")</f>
        <v/>
      </c>
      <c r="F2763" t="str">
        <f>+IFERROR(VLOOKUP(Fact_Cumplimiento[[#This Row], 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ht="18.75" customHeight="1" x14ac:dyDescent="0.35">
      <c r="C2764" s="100" t="str">
        <f>IF(OR(Fact_Cumplimiento[[#This Row], [Año]]="",Fact_Cumplimiento[[#This Row], [Mes]]=""),"",DATE(A2764,MATCH(B2764,{"enero","febrero","marzo","abril","mayo","junio","julio","agosto","septiembre","octubre","noviembre","diciembre"},0)+1,0))</f>
        <v/>
      </c>
      <c r="E2764" t="str">
        <f>+IFERROR(VLOOKUP(Fact_Cumplimiento[[#This Row], [Concepto Anterior]],Conceptos_Cumplimiento[#All],5,0),"")</f>
        <v/>
      </c>
      <c r="F2764" t="str">
        <f>+IFERROR(VLOOKUP(Fact_Cumplimiento[[#This Row], 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ht="18.75" customHeight="1" x14ac:dyDescent="0.35">
      <c r="C2765" s="100" t="str">
        <f>IF(OR(Fact_Cumplimiento[[#This Row], [Año]]="",Fact_Cumplimiento[[#This Row], [Mes]]=""),"",DATE(A2765,MATCH(B2765,{"enero","febrero","marzo","abril","mayo","junio","julio","agosto","septiembre","octubre","noviembre","diciembre"},0)+1,0))</f>
        <v/>
      </c>
      <c r="E2765" t="str">
        <f>+IFERROR(VLOOKUP(Fact_Cumplimiento[[#This Row], [Concepto Anterior]],Conceptos_Cumplimiento[#All],5,0),"")</f>
        <v/>
      </c>
      <c r="F2765" t="str">
        <f>+IFERROR(VLOOKUP(Fact_Cumplimiento[[#This Row], 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ht="18.75" customHeight="1" x14ac:dyDescent="0.35">
      <c r="C2766" s="100" t="str">
        <f>IF(OR(Fact_Cumplimiento[[#This Row], [Año]]="",Fact_Cumplimiento[[#This Row], [Mes]]=""),"",DATE(A2766,MATCH(B2766,{"enero","febrero","marzo","abril","mayo","junio","julio","agosto","septiembre","octubre","noviembre","diciembre"},0)+1,0))</f>
        <v/>
      </c>
      <c r="E2766" t="str">
        <f>+IFERROR(VLOOKUP(Fact_Cumplimiento[[#This Row], [Concepto Anterior]],Conceptos_Cumplimiento[#All],5,0),"")</f>
        <v/>
      </c>
      <c r="F2766" t="str">
        <f>+IFERROR(VLOOKUP(Fact_Cumplimiento[[#This Row], 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ht="18.75" customHeight="1" x14ac:dyDescent="0.35">
      <c r="C2767" s="100" t="str">
        <f>IF(OR(Fact_Cumplimiento[[#This Row], [Año]]="",Fact_Cumplimiento[[#This Row], [Mes]]=""),"",DATE(A2767,MATCH(B2767,{"enero","febrero","marzo","abril","mayo","junio","julio","agosto","septiembre","octubre","noviembre","diciembre"},0)+1,0))</f>
        <v/>
      </c>
      <c r="E2767" t="str">
        <f>+IFERROR(VLOOKUP(Fact_Cumplimiento[[#This Row], [Concepto Anterior]],Conceptos_Cumplimiento[#All],5,0),"")</f>
        <v/>
      </c>
      <c r="F2767" t="str">
        <f>+IFERROR(VLOOKUP(Fact_Cumplimiento[[#This Row], 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ht="18.75" customHeight="1" x14ac:dyDescent="0.35">
      <c r="C2768" s="100" t="str">
        <f>IF(OR(Fact_Cumplimiento[[#This Row], [Año]]="",Fact_Cumplimiento[[#This Row], [Mes]]=""),"",DATE(A2768,MATCH(B2768,{"enero","febrero","marzo","abril","mayo","junio","julio","agosto","septiembre","octubre","noviembre","diciembre"},0)+1,0))</f>
        <v/>
      </c>
      <c r="E2768" t="str">
        <f>+IFERROR(VLOOKUP(Fact_Cumplimiento[[#This Row], [Concepto Anterior]],Conceptos_Cumplimiento[#All],5,0),"")</f>
        <v/>
      </c>
      <c r="F2768" t="str">
        <f>+IFERROR(VLOOKUP(Fact_Cumplimiento[[#This Row], 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ht="18.75" customHeight="1" x14ac:dyDescent="0.35">
      <c r="C2769" s="100" t="str">
        <f>IF(OR(Fact_Cumplimiento[[#This Row], [Año]]="",Fact_Cumplimiento[[#This Row], [Mes]]=""),"",DATE(A2769,MATCH(B2769,{"enero","febrero","marzo","abril","mayo","junio","julio","agosto","septiembre","octubre","noviembre","diciembre"},0)+1,0))</f>
        <v/>
      </c>
      <c r="E2769" t="str">
        <f>+IFERROR(VLOOKUP(Fact_Cumplimiento[[#This Row], [Concepto Anterior]],Conceptos_Cumplimiento[#All],5,0),"")</f>
        <v/>
      </c>
      <c r="F2769" t="str">
        <f>+IFERROR(VLOOKUP(Fact_Cumplimiento[[#This Row], 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ht="18.75" customHeight="1" x14ac:dyDescent="0.35">
      <c r="C2770" s="100" t="str">
        <f>IF(OR(Fact_Cumplimiento[[#This Row], [Año]]="",Fact_Cumplimiento[[#This Row], [Mes]]=""),"",DATE(A2770,MATCH(B2770,{"enero","febrero","marzo","abril","mayo","junio","julio","agosto","septiembre","octubre","noviembre","diciembre"},0)+1,0))</f>
        <v/>
      </c>
      <c r="E2770" t="str">
        <f>+IFERROR(VLOOKUP(Fact_Cumplimiento[[#This Row], [Concepto Anterior]],Conceptos_Cumplimiento[#All],5,0),"")</f>
        <v/>
      </c>
      <c r="F2770" t="str">
        <f>+IFERROR(VLOOKUP(Fact_Cumplimiento[[#This Row], 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ht="18.75" customHeight="1" x14ac:dyDescent="0.35">
      <c r="C2771" s="100" t="str">
        <f>IF(OR(Fact_Cumplimiento[[#This Row], [Año]]="",Fact_Cumplimiento[[#This Row], [Mes]]=""),"",DATE(A2771,MATCH(B2771,{"enero","febrero","marzo","abril","mayo","junio","julio","agosto","septiembre","octubre","noviembre","diciembre"},0)+1,0))</f>
        <v/>
      </c>
      <c r="E2771" t="str">
        <f>+IFERROR(VLOOKUP(Fact_Cumplimiento[[#This Row], [Concepto Anterior]],Conceptos_Cumplimiento[#All],5,0),"")</f>
        <v/>
      </c>
      <c r="F2771" t="str">
        <f>+IFERROR(VLOOKUP(Fact_Cumplimiento[[#This Row], 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ht="18.75" customHeight="1" x14ac:dyDescent="0.35">
      <c r="C2772" s="100" t="str">
        <f>IF(OR(Fact_Cumplimiento[[#This Row], [Año]]="",Fact_Cumplimiento[[#This Row], [Mes]]=""),"",DATE(A2772,MATCH(B2772,{"enero","febrero","marzo","abril","mayo","junio","julio","agosto","septiembre","octubre","noviembre","diciembre"},0)+1,0))</f>
        <v/>
      </c>
      <c r="E2772" t="str">
        <f>+IFERROR(VLOOKUP(Fact_Cumplimiento[[#This Row], [Concepto Anterior]],Conceptos_Cumplimiento[#All],5,0),"")</f>
        <v/>
      </c>
      <c r="F2772" t="str">
        <f>+IFERROR(VLOOKUP(Fact_Cumplimiento[[#This Row], 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ht="18.75" customHeight="1" x14ac:dyDescent="0.35">
      <c r="C2773" s="100" t="str">
        <f>IF(OR(Fact_Cumplimiento[[#This Row], [Año]]="",Fact_Cumplimiento[[#This Row], [Mes]]=""),"",DATE(A2773,MATCH(B2773,{"enero","febrero","marzo","abril","mayo","junio","julio","agosto","septiembre","octubre","noviembre","diciembre"},0)+1,0))</f>
        <v/>
      </c>
      <c r="E2773" t="str">
        <f>+IFERROR(VLOOKUP(Fact_Cumplimiento[[#This Row], [Concepto Anterior]],Conceptos_Cumplimiento[#All],5,0),"")</f>
        <v/>
      </c>
      <c r="F2773" t="str">
        <f>+IFERROR(VLOOKUP(Fact_Cumplimiento[[#This Row], 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ht="18.75" customHeight="1" x14ac:dyDescent="0.35">
      <c r="C2774" s="100" t="str">
        <f>IF(OR(Fact_Cumplimiento[[#This Row], [Año]]="",Fact_Cumplimiento[[#This Row], [Mes]]=""),"",DATE(A2774,MATCH(B2774,{"enero","febrero","marzo","abril","mayo","junio","julio","agosto","septiembre","octubre","noviembre","diciembre"},0)+1,0))</f>
        <v/>
      </c>
      <c r="E2774" t="str">
        <f>+IFERROR(VLOOKUP(Fact_Cumplimiento[[#This Row], [Concepto Anterior]],Conceptos_Cumplimiento[#All],5,0),"")</f>
        <v/>
      </c>
      <c r="F2774" t="str">
        <f>+IFERROR(VLOOKUP(Fact_Cumplimiento[[#This Row], 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ht="18.75" customHeight="1" x14ac:dyDescent="0.35">
      <c r="C2775" s="100" t="str">
        <f>IF(OR(Fact_Cumplimiento[[#This Row], [Año]]="",Fact_Cumplimiento[[#This Row], [Mes]]=""),"",DATE(A2775,MATCH(B2775,{"enero","febrero","marzo","abril","mayo","junio","julio","agosto","septiembre","octubre","noviembre","diciembre"},0)+1,0))</f>
        <v/>
      </c>
      <c r="E2775" t="str">
        <f>+IFERROR(VLOOKUP(Fact_Cumplimiento[[#This Row], [Concepto Anterior]],Conceptos_Cumplimiento[#All],5,0),"")</f>
        <v/>
      </c>
      <c r="F2775" t="str">
        <f>+IFERROR(VLOOKUP(Fact_Cumplimiento[[#This Row], 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ht="18.75" customHeight="1" x14ac:dyDescent="0.35">
      <c r="C2776" s="100" t="str">
        <f>IF(OR(Fact_Cumplimiento[[#This Row], [Año]]="",Fact_Cumplimiento[[#This Row], [Mes]]=""),"",DATE(A2776,MATCH(B2776,{"enero","febrero","marzo","abril","mayo","junio","julio","agosto","septiembre","octubre","noviembre","diciembre"},0)+1,0))</f>
        <v/>
      </c>
      <c r="E2776" t="str">
        <f>+IFERROR(VLOOKUP(Fact_Cumplimiento[[#This Row], [Concepto Anterior]],Conceptos_Cumplimiento[#All],5,0),"")</f>
        <v/>
      </c>
      <c r="F2776" t="str">
        <f>+IFERROR(VLOOKUP(Fact_Cumplimiento[[#This Row], 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ht="18.75" customHeight="1" x14ac:dyDescent="0.35">
      <c r="C2777" s="100" t="str">
        <f>IF(OR(Fact_Cumplimiento[[#This Row], [Año]]="",Fact_Cumplimiento[[#This Row], [Mes]]=""),"",DATE(A2777,MATCH(B2777,{"enero","febrero","marzo","abril","mayo","junio","julio","agosto","septiembre","octubre","noviembre","diciembre"},0)+1,0))</f>
        <v/>
      </c>
      <c r="E2777" t="str">
        <f>+IFERROR(VLOOKUP(Fact_Cumplimiento[[#This Row], [Concepto Anterior]],Conceptos_Cumplimiento[#All],5,0),"")</f>
        <v/>
      </c>
      <c r="F2777" t="str">
        <f>+IFERROR(VLOOKUP(Fact_Cumplimiento[[#This Row], 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ht="18.75" customHeight="1" x14ac:dyDescent="0.35">
      <c r="C2778" s="100" t="str">
        <f>IF(OR(Fact_Cumplimiento[[#This Row], [Año]]="",Fact_Cumplimiento[[#This Row], [Mes]]=""),"",DATE(A2778,MATCH(B2778,{"enero","febrero","marzo","abril","mayo","junio","julio","agosto","septiembre","octubre","noviembre","diciembre"},0)+1,0))</f>
        <v/>
      </c>
      <c r="E2778" t="str">
        <f>+IFERROR(VLOOKUP(Fact_Cumplimiento[[#This Row], [Concepto Anterior]],Conceptos_Cumplimiento[#All],5,0),"")</f>
        <v/>
      </c>
      <c r="F2778" t="str">
        <f>+IFERROR(VLOOKUP(Fact_Cumplimiento[[#This Row], 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ht="18.75" customHeight="1" x14ac:dyDescent="0.35">
      <c r="C2779" s="100" t="str">
        <f>IF(OR(Fact_Cumplimiento[[#This Row], [Año]]="",Fact_Cumplimiento[[#This Row], [Mes]]=""),"",DATE(A2779,MATCH(B2779,{"enero","febrero","marzo","abril","mayo","junio","julio","agosto","septiembre","octubre","noviembre","diciembre"},0)+1,0))</f>
        <v/>
      </c>
      <c r="E2779" t="str">
        <f>+IFERROR(VLOOKUP(Fact_Cumplimiento[[#This Row], [Concepto Anterior]],Conceptos_Cumplimiento[#All],5,0),"")</f>
        <v/>
      </c>
      <c r="F2779" t="str">
        <f>+IFERROR(VLOOKUP(Fact_Cumplimiento[[#This Row], 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ht="18.75" customHeight="1" x14ac:dyDescent="0.35">
      <c r="C2780" s="100" t="str">
        <f>IF(OR(Fact_Cumplimiento[[#This Row], [Año]]="",Fact_Cumplimiento[[#This Row], [Mes]]=""),"",DATE(A2780,MATCH(B2780,{"enero","febrero","marzo","abril","mayo","junio","julio","agosto","septiembre","octubre","noviembre","diciembre"},0)+1,0))</f>
        <v/>
      </c>
      <c r="E2780" t="str">
        <f>+IFERROR(VLOOKUP(Fact_Cumplimiento[[#This Row], [Concepto Anterior]],Conceptos_Cumplimiento[#All],5,0),"")</f>
        <v/>
      </c>
      <c r="F2780" t="str">
        <f>+IFERROR(VLOOKUP(Fact_Cumplimiento[[#This Row], 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ht="18.75" customHeight="1" x14ac:dyDescent="0.35">
      <c r="C2781" s="100" t="str">
        <f>IF(OR(Fact_Cumplimiento[[#This Row], [Año]]="",Fact_Cumplimiento[[#This Row], [Mes]]=""),"",DATE(A2781,MATCH(B2781,{"enero","febrero","marzo","abril","mayo","junio","julio","agosto","septiembre","octubre","noviembre","diciembre"},0)+1,0))</f>
        <v/>
      </c>
      <c r="E2781" t="str">
        <f>+IFERROR(VLOOKUP(Fact_Cumplimiento[[#This Row], [Concepto Anterior]],Conceptos_Cumplimiento[#All],5,0),"")</f>
        <v/>
      </c>
      <c r="F2781" t="str">
        <f>+IFERROR(VLOOKUP(Fact_Cumplimiento[[#This Row], 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ht="18.75" customHeight="1" x14ac:dyDescent="0.35">
      <c r="C2782" s="100" t="str">
        <f>IF(OR(Fact_Cumplimiento[[#This Row], [Año]]="",Fact_Cumplimiento[[#This Row], [Mes]]=""),"",DATE(A2782,MATCH(B2782,{"enero","febrero","marzo","abril","mayo","junio","julio","agosto","septiembre","octubre","noviembre","diciembre"},0)+1,0))</f>
        <v/>
      </c>
      <c r="E2782" t="str">
        <f>+IFERROR(VLOOKUP(Fact_Cumplimiento[[#This Row], [Concepto Anterior]],Conceptos_Cumplimiento[#All],5,0),"")</f>
        <v/>
      </c>
      <c r="F2782" t="str">
        <f>+IFERROR(VLOOKUP(Fact_Cumplimiento[[#This Row], 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ht="18.75" customHeight="1" x14ac:dyDescent="0.35">
      <c r="C2783" s="100" t="str">
        <f>IF(OR(Fact_Cumplimiento[[#This Row], [Año]]="",Fact_Cumplimiento[[#This Row], [Mes]]=""),"",DATE(A2783,MATCH(B2783,{"enero","febrero","marzo","abril","mayo","junio","julio","agosto","septiembre","octubre","noviembre","diciembre"},0)+1,0))</f>
        <v/>
      </c>
      <c r="E2783" t="str">
        <f>+IFERROR(VLOOKUP(Fact_Cumplimiento[[#This Row], [Concepto Anterior]],Conceptos_Cumplimiento[#All],5,0),"")</f>
        <v/>
      </c>
      <c r="F2783" t="str">
        <f>+IFERROR(VLOOKUP(Fact_Cumplimiento[[#This Row], 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ht="18.75" customHeight="1" x14ac:dyDescent="0.35">
      <c r="C2784" s="100" t="str">
        <f>IF(OR(Fact_Cumplimiento[[#This Row], [Año]]="",Fact_Cumplimiento[[#This Row], [Mes]]=""),"",DATE(A2784,MATCH(B2784,{"enero","febrero","marzo","abril","mayo","junio","julio","agosto","septiembre","octubre","noviembre","diciembre"},0)+1,0))</f>
        <v/>
      </c>
      <c r="E2784" t="str">
        <f>+IFERROR(VLOOKUP(Fact_Cumplimiento[[#This Row], [Concepto Anterior]],Conceptos_Cumplimiento[#All],5,0),"")</f>
        <v/>
      </c>
      <c r="F2784" t="str">
        <f>+IFERROR(VLOOKUP(Fact_Cumplimiento[[#This Row], 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ht="18.75" customHeight="1" x14ac:dyDescent="0.35">
      <c r="C2785" s="100" t="str">
        <f>IF(OR(Fact_Cumplimiento[[#This Row], [Año]]="",Fact_Cumplimiento[[#This Row], [Mes]]=""),"",DATE(A2785,MATCH(B2785,{"enero","febrero","marzo","abril","mayo","junio","julio","agosto","septiembre","octubre","noviembre","diciembre"},0)+1,0))</f>
        <v/>
      </c>
      <c r="E2785" t="str">
        <f>+IFERROR(VLOOKUP(Fact_Cumplimiento[[#This Row], [Concepto Anterior]],Conceptos_Cumplimiento[#All],5,0),"")</f>
        <v/>
      </c>
      <c r="F2785" t="str">
        <f>+IFERROR(VLOOKUP(Fact_Cumplimiento[[#This Row], 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ht="18.75" customHeight="1" x14ac:dyDescent="0.35">
      <c r="C2786" s="100" t="str">
        <f>IF(OR(Fact_Cumplimiento[[#This Row], [Año]]="",Fact_Cumplimiento[[#This Row], [Mes]]=""),"",DATE(A2786,MATCH(B2786,{"enero","febrero","marzo","abril","mayo","junio","julio","agosto","septiembre","octubre","noviembre","diciembre"},0)+1,0))</f>
        <v/>
      </c>
      <c r="E2786" t="str">
        <f>+IFERROR(VLOOKUP(Fact_Cumplimiento[[#This Row], [Concepto Anterior]],Conceptos_Cumplimiento[#All],5,0),"")</f>
        <v/>
      </c>
      <c r="F2786" t="str">
        <f>+IFERROR(VLOOKUP(Fact_Cumplimiento[[#This Row], 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ht="18.75" customHeight="1" x14ac:dyDescent="0.35">
      <c r="C2787" s="100" t="str">
        <f>IF(OR(Fact_Cumplimiento[[#This Row], [Año]]="",Fact_Cumplimiento[[#This Row], [Mes]]=""),"",DATE(A2787,MATCH(B2787,{"enero","febrero","marzo","abril","mayo","junio","julio","agosto","septiembre","octubre","noviembre","diciembre"},0)+1,0))</f>
        <v/>
      </c>
      <c r="E2787" t="str">
        <f>+IFERROR(VLOOKUP(Fact_Cumplimiento[[#This Row], [Concepto Anterior]],Conceptos_Cumplimiento[#All],5,0),"")</f>
        <v/>
      </c>
      <c r="F2787" t="str">
        <f>+IFERROR(VLOOKUP(Fact_Cumplimiento[[#This Row], 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ht="18.75" customHeight="1" x14ac:dyDescent="0.35">
      <c r="C2788" s="100" t="str">
        <f>IF(OR(Fact_Cumplimiento[[#This Row], [Año]]="",Fact_Cumplimiento[[#This Row], [Mes]]=""),"",DATE(A2788,MATCH(B2788,{"enero","febrero","marzo","abril","mayo","junio","julio","agosto","septiembre","octubre","noviembre","diciembre"},0)+1,0))</f>
        <v/>
      </c>
      <c r="E2788" t="str">
        <f>+IFERROR(VLOOKUP(Fact_Cumplimiento[[#This Row], [Concepto Anterior]],Conceptos_Cumplimiento[#All],5,0),"")</f>
        <v/>
      </c>
      <c r="F2788" t="str">
        <f>+IFERROR(VLOOKUP(Fact_Cumplimiento[[#This Row], 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ht="18.75" customHeight="1" x14ac:dyDescent="0.35">
      <c r="C2789" s="100" t="str">
        <f>IF(OR(Fact_Cumplimiento[[#This Row], [Año]]="",Fact_Cumplimiento[[#This Row], [Mes]]=""),"",DATE(A2789,MATCH(B2789,{"enero","febrero","marzo","abril","mayo","junio","julio","agosto","septiembre","octubre","noviembre","diciembre"},0)+1,0))</f>
        <v/>
      </c>
      <c r="E2789" t="str">
        <f>+IFERROR(VLOOKUP(Fact_Cumplimiento[[#This Row], [Concepto Anterior]],Conceptos_Cumplimiento[#All],5,0),"")</f>
        <v/>
      </c>
      <c r="F2789" t="str">
        <f>+IFERROR(VLOOKUP(Fact_Cumplimiento[[#This Row], 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ht="18.75" customHeight="1" x14ac:dyDescent="0.35">
      <c r="C2790" s="100" t="str">
        <f>IF(OR(Fact_Cumplimiento[[#This Row], [Año]]="",Fact_Cumplimiento[[#This Row], [Mes]]=""),"",DATE(A2790,MATCH(B2790,{"enero","febrero","marzo","abril","mayo","junio","julio","agosto","septiembre","octubre","noviembre","diciembre"},0)+1,0))</f>
        <v/>
      </c>
      <c r="E2790" t="str">
        <f>+IFERROR(VLOOKUP(Fact_Cumplimiento[[#This Row], [Concepto Anterior]],Conceptos_Cumplimiento[#All],5,0),"")</f>
        <v/>
      </c>
      <c r="F2790" t="str">
        <f>+IFERROR(VLOOKUP(Fact_Cumplimiento[[#This Row], 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ht="18.75" customHeight="1" x14ac:dyDescent="0.35">
      <c r="C2791" s="100" t="str">
        <f>IF(OR(Fact_Cumplimiento[[#This Row], [Año]]="",Fact_Cumplimiento[[#This Row], [Mes]]=""),"",DATE(A2791,MATCH(B2791,{"enero","febrero","marzo","abril","mayo","junio","julio","agosto","septiembre","octubre","noviembre","diciembre"},0)+1,0))</f>
        <v/>
      </c>
      <c r="E2791" t="str">
        <f>+IFERROR(VLOOKUP(Fact_Cumplimiento[[#This Row], [Concepto Anterior]],Conceptos_Cumplimiento[#All],5,0),"")</f>
        <v/>
      </c>
      <c r="F2791" t="str">
        <f>+IFERROR(VLOOKUP(Fact_Cumplimiento[[#This Row], 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ht="18.75" customHeight="1" x14ac:dyDescent="0.35">
      <c r="C2792" s="100" t="str">
        <f>IF(OR(Fact_Cumplimiento[[#This Row], [Año]]="",Fact_Cumplimiento[[#This Row], [Mes]]=""),"",DATE(A2792,MATCH(B2792,{"enero","febrero","marzo","abril","mayo","junio","julio","agosto","septiembre","octubre","noviembre","diciembre"},0)+1,0))</f>
        <v/>
      </c>
      <c r="E2792" t="str">
        <f>+IFERROR(VLOOKUP(Fact_Cumplimiento[[#This Row], [Concepto Anterior]],Conceptos_Cumplimiento[#All],5,0),"")</f>
        <v/>
      </c>
      <c r="F2792" t="str">
        <f>+IFERROR(VLOOKUP(Fact_Cumplimiento[[#This Row], 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ht="18.75" customHeight="1" x14ac:dyDescent="0.35">
      <c r="C2793" s="100" t="str">
        <f>IF(OR(Fact_Cumplimiento[[#This Row], [Año]]="",Fact_Cumplimiento[[#This Row], [Mes]]=""),"",DATE(A2793,MATCH(B2793,{"enero","febrero","marzo","abril","mayo","junio","julio","agosto","septiembre","octubre","noviembre","diciembre"},0)+1,0))</f>
        <v/>
      </c>
      <c r="E2793" t="str">
        <f>+IFERROR(VLOOKUP(Fact_Cumplimiento[[#This Row], [Concepto Anterior]],Conceptos_Cumplimiento[#All],5,0),"")</f>
        <v/>
      </c>
      <c r="F2793" t="str">
        <f>+IFERROR(VLOOKUP(Fact_Cumplimiento[[#This Row], 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ht="18.75" customHeight="1" x14ac:dyDescent="0.35">
      <c r="C2794" s="100" t="str">
        <f>IF(OR(Fact_Cumplimiento[[#This Row], [Año]]="",Fact_Cumplimiento[[#This Row], [Mes]]=""),"",DATE(A2794,MATCH(B2794,{"enero","febrero","marzo","abril","mayo","junio","julio","agosto","septiembre","octubre","noviembre","diciembre"},0)+1,0))</f>
        <v/>
      </c>
      <c r="E2794" t="str">
        <f>+IFERROR(VLOOKUP(Fact_Cumplimiento[[#This Row], [Concepto Anterior]],Conceptos_Cumplimiento[#All],5,0),"")</f>
        <v/>
      </c>
      <c r="F2794" t="str">
        <f>+IFERROR(VLOOKUP(Fact_Cumplimiento[[#This Row], 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ht="18.75" customHeight="1" x14ac:dyDescent="0.35">
      <c r="C2795" s="100" t="str">
        <f>IF(OR(Fact_Cumplimiento[[#This Row], [Año]]="",Fact_Cumplimiento[[#This Row], [Mes]]=""),"",DATE(A2795,MATCH(B2795,{"enero","febrero","marzo","abril","mayo","junio","julio","agosto","septiembre","octubre","noviembre","diciembre"},0)+1,0))</f>
        <v/>
      </c>
      <c r="E2795" t="str">
        <f>+IFERROR(VLOOKUP(Fact_Cumplimiento[[#This Row], [Concepto Anterior]],Conceptos_Cumplimiento[#All],5,0),"")</f>
        <v/>
      </c>
      <c r="F2795" t="str">
        <f>+IFERROR(VLOOKUP(Fact_Cumplimiento[[#This Row], 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ht="18.75" customHeight="1" x14ac:dyDescent="0.35">
      <c r="C2796" s="100" t="str">
        <f>IF(OR(Fact_Cumplimiento[[#This Row], [Año]]="",Fact_Cumplimiento[[#This Row], [Mes]]=""),"",DATE(A2796,MATCH(B2796,{"enero","febrero","marzo","abril","mayo","junio","julio","agosto","septiembre","octubre","noviembre","diciembre"},0)+1,0))</f>
        <v/>
      </c>
      <c r="E2796" t="str">
        <f>+IFERROR(VLOOKUP(Fact_Cumplimiento[[#This Row], [Concepto Anterior]],Conceptos_Cumplimiento[#All],5,0),"")</f>
        <v/>
      </c>
      <c r="F2796" t="str">
        <f>+IFERROR(VLOOKUP(Fact_Cumplimiento[[#This Row], 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ht="18.75" customHeight="1" x14ac:dyDescent="0.35">
      <c r="C2797" s="100" t="str">
        <f>IF(OR(Fact_Cumplimiento[[#This Row], [Año]]="",Fact_Cumplimiento[[#This Row], [Mes]]=""),"",DATE(A2797,MATCH(B2797,{"enero","febrero","marzo","abril","mayo","junio","julio","agosto","septiembre","octubre","noviembre","diciembre"},0)+1,0))</f>
        <v/>
      </c>
      <c r="E2797" t="str">
        <f>+IFERROR(VLOOKUP(Fact_Cumplimiento[[#This Row], [Concepto Anterior]],Conceptos_Cumplimiento[#All],5,0),"")</f>
        <v/>
      </c>
      <c r="F2797" t="str">
        <f>+IFERROR(VLOOKUP(Fact_Cumplimiento[[#This Row], 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ht="18.75" customHeight="1" x14ac:dyDescent="0.35">
      <c r="C2798" s="100" t="str">
        <f>IF(OR(Fact_Cumplimiento[[#This Row], [Año]]="",Fact_Cumplimiento[[#This Row], [Mes]]=""),"",DATE(A2798,MATCH(B2798,{"enero","febrero","marzo","abril","mayo","junio","julio","agosto","septiembre","octubre","noviembre","diciembre"},0)+1,0))</f>
        <v/>
      </c>
      <c r="E2798" t="str">
        <f>+IFERROR(VLOOKUP(Fact_Cumplimiento[[#This Row], [Concepto Anterior]],Conceptos_Cumplimiento[#All],5,0),"")</f>
        <v/>
      </c>
      <c r="F2798" t="str">
        <f>+IFERROR(VLOOKUP(Fact_Cumplimiento[[#This Row], 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ht="18.75" customHeight="1" x14ac:dyDescent="0.35">
      <c r="C2799" s="100" t="str">
        <f>IF(OR(Fact_Cumplimiento[[#This Row], [Año]]="",Fact_Cumplimiento[[#This Row], [Mes]]=""),"",DATE(A2799,MATCH(B2799,{"enero","febrero","marzo","abril","mayo","junio","julio","agosto","septiembre","octubre","noviembre","diciembre"},0)+1,0))</f>
        <v/>
      </c>
      <c r="E2799" t="str">
        <f>+IFERROR(VLOOKUP(Fact_Cumplimiento[[#This Row], [Concepto Anterior]],Conceptos_Cumplimiento[#All],5,0),"")</f>
        <v/>
      </c>
      <c r="F2799" t="str">
        <f>+IFERROR(VLOOKUP(Fact_Cumplimiento[[#This Row], 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ht="18.75" customHeight="1" x14ac:dyDescent="0.35">
      <c r="C2800" s="100" t="str">
        <f>IF(OR(Fact_Cumplimiento[[#This Row], [Año]]="",Fact_Cumplimiento[[#This Row], [Mes]]=""),"",DATE(A2800,MATCH(B2800,{"enero","febrero","marzo","abril","mayo","junio","julio","agosto","septiembre","octubre","noviembre","diciembre"},0)+1,0))</f>
        <v/>
      </c>
      <c r="E2800" t="str">
        <f>+IFERROR(VLOOKUP(Fact_Cumplimiento[[#This Row], [Concepto Anterior]],Conceptos_Cumplimiento[#All],5,0),"")</f>
        <v/>
      </c>
      <c r="F2800" t="str">
        <f>+IFERROR(VLOOKUP(Fact_Cumplimiento[[#This Row], 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ht="18.75" customHeight="1" x14ac:dyDescent="0.35">
      <c r="C2801" s="100" t="str">
        <f>IF(OR(Fact_Cumplimiento[[#This Row], [Año]]="",Fact_Cumplimiento[[#This Row], [Mes]]=""),"",DATE(A2801,MATCH(B2801,{"enero","febrero","marzo","abril","mayo","junio","julio","agosto","septiembre","octubre","noviembre","diciembre"},0)+1,0))</f>
        <v/>
      </c>
      <c r="E2801" t="str">
        <f>+IFERROR(VLOOKUP(Fact_Cumplimiento[[#This Row], [Concepto Anterior]],Conceptos_Cumplimiento[#All],5,0),"")</f>
        <v/>
      </c>
      <c r="F2801" t="str">
        <f>+IFERROR(VLOOKUP(Fact_Cumplimiento[[#This Row], 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ht="18.75" customHeight="1" x14ac:dyDescent="0.35">
      <c r="C2802" s="100" t="str">
        <f>IF(OR(Fact_Cumplimiento[[#This Row], [Año]]="",Fact_Cumplimiento[[#This Row], [Mes]]=""),"",DATE(A2802,MATCH(B2802,{"enero","febrero","marzo","abril","mayo","junio","julio","agosto","septiembre","octubre","noviembre","diciembre"},0)+1,0))</f>
        <v/>
      </c>
      <c r="E2802" t="str">
        <f>+IFERROR(VLOOKUP(Fact_Cumplimiento[[#This Row], [Concepto Anterior]],Conceptos_Cumplimiento[#All],5,0),"")</f>
        <v/>
      </c>
      <c r="F2802" t="str">
        <f>+IFERROR(VLOOKUP(Fact_Cumplimiento[[#This Row], 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ht="18.75" customHeight="1" x14ac:dyDescent="0.35">
      <c r="C2803" s="100" t="str">
        <f>IF(OR(Fact_Cumplimiento[[#This Row], [Año]]="",Fact_Cumplimiento[[#This Row], [Mes]]=""),"",DATE(A2803,MATCH(B2803,{"enero","febrero","marzo","abril","mayo","junio","julio","agosto","septiembre","octubre","noviembre","diciembre"},0)+1,0))</f>
        <v/>
      </c>
      <c r="E2803" t="str">
        <f>+IFERROR(VLOOKUP(Fact_Cumplimiento[[#This Row], [Concepto Anterior]],Conceptos_Cumplimiento[#All],5,0),"")</f>
        <v/>
      </c>
      <c r="F2803" t="str">
        <f>+IFERROR(VLOOKUP(Fact_Cumplimiento[[#This Row], 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ht="18.75" customHeight="1" x14ac:dyDescent="0.35">
      <c r="C2804" s="100" t="str">
        <f>IF(OR(Fact_Cumplimiento[[#This Row], [Año]]="",Fact_Cumplimiento[[#This Row], [Mes]]=""),"",DATE(A2804,MATCH(B2804,{"enero","febrero","marzo","abril","mayo","junio","julio","agosto","septiembre","octubre","noviembre","diciembre"},0)+1,0))</f>
        <v/>
      </c>
      <c r="E2804" t="str">
        <f>+IFERROR(VLOOKUP(Fact_Cumplimiento[[#This Row], [Concepto Anterior]],Conceptos_Cumplimiento[#All],5,0),"")</f>
        <v/>
      </c>
      <c r="F2804" t="str">
        <f>+IFERROR(VLOOKUP(Fact_Cumplimiento[[#This Row], 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ht="18.75" customHeight="1" x14ac:dyDescent="0.35">
      <c r="C2805" s="100" t="str">
        <f>IF(OR(Fact_Cumplimiento[[#This Row], [Año]]="",Fact_Cumplimiento[[#This Row], [Mes]]=""),"",DATE(A2805,MATCH(B2805,{"enero","febrero","marzo","abril","mayo","junio","julio","agosto","septiembre","octubre","noviembre","diciembre"},0)+1,0))</f>
        <v/>
      </c>
      <c r="E2805" t="str">
        <f>+IFERROR(VLOOKUP(Fact_Cumplimiento[[#This Row], [Concepto Anterior]],Conceptos_Cumplimiento[#All],5,0),"")</f>
        <v/>
      </c>
      <c r="F2805" t="str">
        <f>+IFERROR(VLOOKUP(Fact_Cumplimiento[[#This Row], 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ht="18.75" customHeight="1" x14ac:dyDescent="0.35">
      <c r="C2806" s="100" t="str">
        <f>IF(OR(Fact_Cumplimiento[[#This Row], [Año]]="",Fact_Cumplimiento[[#This Row], [Mes]]=""),"",DATE(A2806,MATCH(B2806,{"enero","febrero","marzo","abril","mayo","junio","julio","agosto","septiembre","octubre","noviembre","diciembre"},0)+1,0))</f>
        <v/>
      </c>
      <c r="E2806" t="str">
        <f>+IFERROR(VLOOKUP(Fact_Cumplimiento[[#This Row], [Concepto Anterior]],Conceptos_Cumplimiento[#All],5,0),"")</f>
        <v/>
      </c>
      <c r="F2806" t="str">
        <f>+IFERROR(VLOOKUP(Fact_Cumplimiento[[#This Row], 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ht="18.75" customHeight="1" x14ac:dyDescent="0.35">
      <c r="C2807" s="100" t="str">
        <f>IF(OR(Fact_Cumplimiento[[#This Row], [Año]]="",Fact_Cumplimiento[[#This Row], [Mes]]=""),"",DATE(A2807,MATCH(B2807,{"enero","febrero","marzo","abril","mayo","junio","julio","agosto","septiembre","octubre","noviembre","diciembre"},0)+1,0))</f>
        <v/>
      </c>
      <c r="E2807" t="str">
        <f>+IFERROR(VLOOKUP(Fact_Cumplimiento[[#This Row], [Concepto Anterior]],Conceptos_Cumplimiento[#All],5,0),"")</f>
        <v/>
      </c>
      <c r="F2807" t="str">
        <f>+IFERROR(VLOOKUP(Fact_Cumplimiento[[#This Row], 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ht="18.75" customHeight="1" x14ac:dyDescent="0.35">
      <c r="C2808" s="100" t="str">
        <f>IF(OR(Fact_Cumplimiento[[#This Row], [Año]]="",Fact_Cumplimiento[[#This Row], [Mes]]=""),"",DATE(A2808,MATCH(B2808,{"enero","febrero","marzo","abril","mayo","junio","julio","agosto","septiembre","octubre","noviembre","diciembre"},0)+1,0))</f>
        <v/>
      </c>
      <c r="E2808" t="str">
        <f>+IFERROR(VLOOKUP(Fact_Cumplimiento[[#This Row], [Concepto Anterior]],Conceptos_Cumplimiento[#All],5,0),"")</f>
        <v/>
      </c>
      <c r="F2808" t="str">
        <f>+IFERROR(VLOOKUP(Fact_Cumplimiento[[#This Row], 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ht="18.75" customHeight="1" x14ac:dyDescent="0.35">
      <c r="C2809" s="100" t="str">
        <f>IF(OR(Fact_Cumplimiento[[#This Row], [Año]]="",Fact_Cumplimiento[[#This Row], [Mes]]=""),"",DATE(A2809,MATCH(B2809,{"enero","febrero","marzo","abril","mayo","junio","julio","agosto","septiembre","octubre","noviembre","diciembre"},0)+1,0))</f>
        <v/>
      </c>
      <c r="E2809" t="str">
        <f>+IFERROR(VLOOKUP(Fact_Cumplimiento[[#This Row], [Concepto Anterior]],Conceptos_Cumplimiento[#All],5,0),"")</f>
        <v/>
      </c>
      <c r="F2809" t="str">
        <f>+IFERROR(VLOOKUP(Fact_Cumplimiento[[#This Row], 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ht="18.75" customHeight="1" x14ac:dyDescent="0.35">
      <c r="C2810" s="100" t="str">
        <f>IF(OR(Fact_Cumplimiento[[#This Row], [Año]]="",Fact_Cumplimiento[[#This Row], [Mes]]=""),"",DATE(A2810,MATCH(B2810,{"enero","febrero","marzo","abril","mayo","junio","julio","agosto","septiembre","octubre","noviembre","diciembre"},0)+1,0))</f>
        <v/>
      </c>
      <c r="E2810" t="str">
        <f>+IFERROR(VLOOKUP(Fact_Cumplimiento[[#This Row], [Concepto Anterior]],Conceptos_Cumplimiento[#All],5,0),"")</f>
        <v/>
      </c>
      <c r="F2810" t="str">
        <f>+IFERROR(VLOOKUP(Fact_Cumplimiento[[#This Row], 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ht="18.75" customHeight="1" x14ac:dyDescent="0.35">
      <c r="C2811" s="100" t="str">
        <f>IF(OR(Fact_Cumplimiento[[#This Row], [Año]]="",Fact_Cumplimiento[[#This Row], [Mes]]=""),"",DATE(A2811,MATCH(B2811,{"enero","febrero","marzo","abril","mayo","junio","julio","agosto","septiembre","octubre","noviembre","diciembre"},0)+1,0))</f>
        <v/>
      </c>
      <c r="E2811" t="str">
        <f>+IFERROR(VLOOKUP(Fact_Cumplimiento[[#This Row], [Concepto Anterior]],Conceptos_Cumplimiento[#All],5,0),"")</f>
        <v/>
      </c>
      <c r="F2811" t="str">
        <f>+IFERROR(VLOOKUP(Fact_Cumplimiento[[#This Row], 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ht="18.75" customHeight="1" x14ac:dyDescent="0.35">
      <c r="C2812" s="100" t="str">
        <f>IF(OR(Fact_Cumplimiento[[#This Row], [Año]]="",Fact_Cumplimiento[[#This Row], [Mes]]=""),"",DATE(A2812,MATCH(B2812,{"enero","febrero","marzo","abril","mayo","junio","julio","agosto","septiembre","octubre","noviembre","diciembre"},0)+1,0))</f>
        <v/>
      </c>
      <c r="E2812" t="str">
        <f>+IFERROR(VLOOKUP(Fact_Cumplimiento[[#This Row], [Concepto Anterior]],Conceptos_Cumplimiento[#All],5,0),"")</f>
        <v/>
      </c>
      <c r="F2812" t="str">
        <f>+IFERROR(VLOOKUP(Fact_Cumplimiento[[#This Row], 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ht="18.75" customHeight="1" x14ac:dyDescent="0.35">
      <c r="C2813" s="100" t="str">
        <f>IF(OR(Fact_Cumplimiento[[#This Row], [Año]]="",Fact_Cumplimiento[[#This Row], [Mes]]=""),"",DATE(A2813,MATCH(B2813,{"enero","febrero","marzo","abril","mayo","junio","julio","agosto","septiembre","octubre","noviembre","diciembre"},0)+1,0))</f>
        <v/>
      </c>
      <c r="E2813" t="str">
        <f>+IFERROR(VLOOKUP(Fact_Cumplimiento[[#This Row], [Concepto Anterior]],Conceptos_Cumplimiento[#All],5,0),"")</f>
        <v/>
      </c>
      <c r="F2813" t="str">
        <f>+IFERROR(VLOOKUP(Fact_Cumplimiento[[#This Row], 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ht="18.75" customHeight="1" x14ac:dyDescent="0.35">
      <c r="C2814" s="100" t="str">
        <f>IF(OR(Fact_Cumplimiento[[#This Row], [Año]]="",Fact_Cumplimiento[[#This Row], [Mes]]=""),"",DATE(A2814,MATCH(B2814,{"enero","febrero","marzo","abril","mayo","junio","julio","agosto","septiembre","octubre","noviembre","diciembre"},0)+1,0))</f>
        <v/>
      </c>
      <c r="E2814" t="str">
        <f>+IFERROR(VLOOKUP(Fact_Cumplimiento[[#This Row], [Concepto Anterior]],Conceptos_Cumplimiento[#All],5,0),"")</f>
        <v/>
      </c>
      <c r="F2814" t="str">
        <f>+IFERROR(VLOOKUP(Fact_Cumplimiento[[#This Row], 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ht="18.75" customHeight="1" x14ac:dyDescent="0.35">
      <c r="C2815" s="100" t="str">
        <f>IF(OR(Fact_Cumplimiento[[#This Row], [Año]]="",Fact_Cumplimiento[[#This Row], [Mes]]=""),"",DATE(A2815,MATCH(B2815,{"enero","febrero","marzo","abril","mayo","junio","julio","agosto","septiembre","octubre","noviembre","diciembre"},0)+1,0))</f>
        <v/>
      </c>
      <c r="E2815" t="str">
        <f>+IFERROR(VLOOKUP(Fact_Cumplimiento[[#This Row], [Concepto Anterior]],Conceptos_Cumplimiento[#All],5,0),"")</f>
        <v/>
      </c>
      <c r="F2815" t="str">
        <f>+IFERROR(VLOOKUP(Fact_Cumplimiento[[#This Row], 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ht="18.75" customHeight="1" x14ac:dyDescent="0.35">
      <c r="C2816" s="100" t="str">
        <f>IF(OR(Fact_Cumplimiento[[#This Row], [Año]]="",Fact_Cumplimiento[[#This Row], [Mes]]=""),"",DATE(A2816,MATCH(B2816,{"enero","febrero","marzo","abril","mayo","junio","julio","agosto","septiembre","octubre","noviembre","diciembre"},0)+1,0))</f>
        <v/>
      </c>
      <c r="E2816" t="str">
        <f>+IFERROR(VLOOKUP(Fact_Cumplimiento[[#This Row], [Concepto Anterior]],Conceptos_Cumplimiento[#All],5,0),"")</f>
        <v/>
      </c>
      <c r="F2816" t="str">
        <f>+IFERROR(VLOOKUP(Fact_Cumplimiento[[#This Row], 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ht="18.75" customHeight="1" x14ac:dyDescent="0.35">
      <c r="C2817" s="100" t="str">
        <f>IF(OR(Fact_Cumplimiento[[#This Row], [Año]]="",Fact_Cumplimiento[[#This Row], [Mes]]=""),"",DATE(A2817,MATCH(B2817,{"enero","febrero","marzo","abril","mayo","junio","julio","agosto","septiembre","octubre","noviembre","diciembre"},0)+1,0))</f>
        <v/>
      </c>
      <c r="E2817" t="str">
        <f>+IFERROR(VLOOKUP(Fact_Cumplimiento[[#This Row], [Concepto Anterior]],Conceptos_Cumplimiento[#All],5,0),"")</f>
        <v/>
      </c>
      <c r="F2817" t="str">
        <f>+IFERROR(VLOOKUP(Fact_Cumplimiento[[#This Row], 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ht="18.75" customHeight="1" x14ac:dyDescent="0.35">
      <c r="C2818" s="100" t="str">
        <f>IF(OR(Fact_Cumplimiento[[#This Row], [Año]]="",Fact_Cumplimiento[[#This Row], [Mes]]=""),"",DATE(A2818,MATCH(B2818,{"enero","febrero","marzo","abril","mayo","junio","julio","agosto","septiembre","octubre","noviembre","diciembre"},0)+1,0))</f>
        <v/>
      </c>
      <c r="E2818" t="str">
        <f>+IFERROR(VLOOKUP(Fact_Cumplimiento[[#This Row], [Concepto Anterior]],Conceptos_Cumplimiento[#All],5,0),"")</f>
        <v/>
      </c>
      <c r="F2818" t="str">
        <f>+IFERROR(VLOOKUP(Fact_Cumplimiento[[#This Row], 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ht="18.75" customHeight="1" x14ac:dyDescent="0.35">
      <c r="C2819" s="100" t="str">
        <f>IF(OR(Fact_Cumplimiento[[#This Row], [Año]]="",Fact_Cumplimiento[[#This Row], [Mes]]=""),"",DATE(A2819,MATCH(B2819,{"enero","febrero","marzo","abril","mayo","junio","julio","agosto","septiembre","octubre","noviembre","diciembre"},0)+1,0))</f>
        <v/>
      </c>
      <c r="E2819" t="str">
        <f>+IFERROR(VLOOKUP(Fact_Cumplimiento[[#This Row], [Concepto Anterior]],Conceptos_Cumplimiento[#All],5,0),"")</f>
        <v/>
      </c>
      <c r="F2819" t="str">
        <f>+IFERROR(VLOOKUP(Fact_Cumplimiento[[#This Row], 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ht="18.75" customHeight="1" x14ac:dyDescent="0.35">
      <c r="C2820" s="100" t="str">
        <f>IF(OR(Fact_Cumplimiento[[#This Row], [Año]]="",Fact_Cumplimiento[[#This Row], [Mes]]=""),"",DATE(A2820,MATCH(B2820,{"enero","febrero","marzo","abril","mayo","junio","julio","agosto","septiembre","octubre","noviembre","diciembre"},0)+1,0))</f>
        <v/>
      </c>
      <c r="E2820" t="str">
        <f>+IFERROR(VLOOKUP(Fact_Cumplimiento[[#This Row], [Concepto Anterior]],Conceptos_Cumplimiento[#All],5,0),"")</f>
        <v/>
      </c>
      <c r="F2820" t="str">
        <f>+IFERROR(VLOOKUP(Fact_Cumplimiento[[#This Row], 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ht="18.75" customHeight="1" x14ac:dyDescent="0.35">
      <c r="C2821" s="100" t="str">
        <f>IF(OR(Fact_Cumplimiento[[#This Row], [Año]]="",Fact_Cumplimiento[[#This Row], [Mes]]=""),"",DATE(A2821,MATCH(B2821,{"enero","febrero","marzo","abril","mayo","junio","julio","agosto","septiembre","octubre","noviembre","diciembre"},0)+1,0))</f>
        <v/>
      </c>
      <c r="E2821" t="str">
        <f>+IFERROR(VLOOKUP(Fact_Cumplimiento[[#This Row], [Concepto Anterior]],Conceptos_Cumplimiento[#All],5,0),"")</f>
        <v/>
      </c>
      <c r="F2821" t="str">
        <f>+IFERROR(VLOOKUP(Fact_Cumplimiento[[#This Row], 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ht="18.75" customHeight="1" x14ac:dyDescent="0.35">
      <c r="C2822" s="100" t="str">
        <f>IF(OR(Fact_Cumplimiento[[#This Row], [Año]]="",Fact_Cumplimiento[[#This Row], [Mes]]=""),"",DATE(A2822,MATCH(B2822,{"enero","febrero","marzo","abril","mayo","junio","julio","agosto","septiembre","octubre","noviembre","diciembre"},0)+1,0))</f>
        <v/>
      </c>
      <c r="E2822" t="str">
        <f>+IFERROR(VLOOKUP(Fact_Cumplimiento[[#This Row], [Concepto Anterior]],Conceptos_Cumplimiento[#All],5,0),"")</f>
        <v/>
      </c>
      <c r="F2822" t="str">
        <f>+IFERROR(VLOOKUP(Fact_Cumplimiento[[#This Row], 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ht="18.75" customHeight="1" x14ac:dyDescent="0.35">
      <c r="C2823" s="100" t="str">
        <f>IF(OR(Fact_Cumplimiento[[#This Row], [Año]]="",Fact_Cumplimiento[[#This Row], [Mes]]=""),"",DATE(A2823,MATCH(B2823,{"enero","febrero","marzo","abril","mayo","junio","julio","agosto","septiembre","octubre","noviembre","diciembre"},0)+1,0))</f>
        <v/>
      </c>
      <c r="E2823" t="str">
        <f>+IFERROR(VLOOKUP(Fact_Cumplimiento[[#This Row], [Concepto Anterior]],Conceptos_Cumplimiento[#All],5,0),"")</f>
        <v/>
      </c>
      <c r="F2823" t="str">
        <f>+IFERROR(VLOOKUP(Fact_Cumplimiento[[#This Row], 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ht="18.75" customHeight="1" x14ac:dyDescent="0.35">
      <c r="C2824" s="100" t="str">
        <f>IF(OR(Fact_Cumplimiento[[#This Row], [Año]]="",Fact_Cumplimiento[[#This Row], [Mes]]=""),"",DATE(A2824,MATCH(B2824,{"enero","febrero","marzo","abril","mayo","junio","julio","agosto","septiembre","octubre","noviembre","diciembre"},0)+1,0))</f>
        <v/>
      </c>
      <c r="E2824" t="str">
        <f>+IFERROR(VLOOKUP(Fact_Cumplimiento[[#This Row], [Concepto Anterior]],Conceptos_Cumplimiento[#All],5,0),"")</f>
        <v/>
      </c>
      <c r="F2824" t="str">
        <f>+IFERROR(VLOOKUP(Fact_Cumplimiento[[#This Row], 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ht="18.75" customHeight="1" x14ac:dyDescent="0.35">
      <c r="C2825" s="100" t="str">
        <f>IF(OR(Fact_Cumplimiento[[#This Row], [Año]]="",Fact_Cumplimiento[[#This Row], [Mes]]=""),"",DATE(A2825,MATCH(B2825,{"enero","febrero","marzo","abril","mayo","junio","julio","agosto","septiembre","octubre","noviembre","diciembre"},0)+1,0))</f>
        <v/>
      </c>
      <c r="E2825" t="str">
        <f>+IFERROR(VLOOKUP(Fact_Cumplimiento[[#This Row], [Concepto Anterior]],Conceptos_Cumplimiento[#All],5,0),"")</f>
        <v/>
      </c>
      <c r="F2825" t="str">
        <f>+IFERROR(VLOOKUP(Fact_Cumplimiento[[#This Row], 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ht="18.75" customHeight="1" x14ac:dyDescent="0.35">
      <c r="C2826" s="100" t="str">
        <f>IF(OR(Fact_Cumplimiento[[#This Row], [Año]]="",Fact_Cumplimiento[[#This Row], [Mes]]=""),"",DATE(A2826,MATCH(B2826,{"enero","febrero","marzo","abril","mayo","junio","julio","agosto","septiembre","octubre","noviembre","diciembre"},0)+1,0))</f>
        <v/>
      </c>
      <c r="E2826" t="str">
        <f>+IFERROR(VLOOKUP(Fact_Cumplimiento[[#This Row], [Concepto Anterior]],Conceptos_Cumplimiento[#All],5,0),"")</f>
        <v/>
      </c>
      <c r="F2826" t="str">
        <f>+IFERROR(VLOOKUP(Fact_Cumplimiento[[#This Row], 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ht="18.75" customHeight="1" x14ac:dyDescent="0.35">
      <c r="C2827" s="100" t="str">
        <f>IF(OR(Fact_Cumplimiento[[#This Row], [Año]]="",Fact_Cumplimiento[[#This Row], [Mes]]=""),"",DATE(A2827,MATCH(B2827,{"enero","febrero","marzo","abril","mayo","junio","julio","agosto","septiembre","octubre","noviembre","diciembre"},0)+1,0))</f>
        <v/>
      </c>
      <c r="E2827" t="str">
        <f>+IFERROR(VLOOKUP(Fact_Cumplimiento[[#This Row], [Concepto Anterior]],Conceptos_Cumplimiento[#All],5,0),"")</f>
        <v/>
      </c>
      <c r="F2827" t="str">
        <f>+IFERROR(VLOOKUP(Fact_Cumplimiento[[#This Row], 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ht="18.75" customHeight="1" x14ac:dyDescent="0.35">
      <c r="C2828" s="100" t="str">
        <f>IF(OR(Fact_Cumplimiento[[#This Row], [Año]]="",Fact_Cumplimiento[[#This Row], [Mes]]=""),"",DATE(A2828,MATCH(B2828,{"enero","febrero","marzo","abril","mayo","junio","julio","agosto","septiembre","octubre","noviembre","diciembre"},0)+1,0))</f>
        <v/>
      </c>
      <c r="E2828" t="str">
        <f>+IFERROR(VLOOKUP(Fact_Cumplimiento[[#This Row], [Concepto Anterior]],Conceptos_Cumplimiento[#All],5,0),"")</f>
        <v/>
      </c>
      <c r="F2828" t="str">
        <f>+IFERROR(VLOOKUP(Fact_Cumplimiento[[#This Row], 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ht="18.75" customHeight="1" x14ac:dyDescent="0.35">
      <c r="C2829" s="100" t="str">
        <f>IF(OR(Fact_Cumplimiento[[#This Row], [Año]]="",Fact_Cumplimiento[[#This Row], [Mes]]=""),"",DATE(A2829,MATCH(B2829,{"enero","febrero","marzo","abril","mayo","junio","julio","agosto","septiembre","octubre","noviembre","diciembre"},0)+1,0))</f>
        <v/>
      </c>
      <c r="E2829" t="str">
        <f>+IFERROR(VLOOKUP(Fact_Cumplimiento[[#This Row], [Concepto Anterior]],Conceptos_Cumplimiento[#All],5,0),"")</f>
        <v/>
      </c>
      <c r="F2829" t="str">
        <f>+IFERROR(VLOOKUP(Fact_Cumplimiento[[#This Row], 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ht="18.75" customHeight="1" x14ac:dyDescent="0.35">
      <c r="C2830" s="100" t="str">
        <f>IF(OR(Fact_Cumplimiento[[#This Row], [Año]]="",Fact_Cumplimiento[[#This Row], [Mes]]=""),"",DATE(A2830,MATCH(B2830,{"enero","febrero","marzo","abril","mayo","junio","julio","agosto","septiembre","octubre","noviembre","diciembre"},0)+1,0))</f>
        <v/>
      </c>
      <c r="E2830" t="str">
        <f>+IFERROR(VLOOKUP(Fact_Cumplimiento[[#This Row], [Concepto Anterior]],Conceptos_Cumplimiento[#All],5,0),"")</f>
        <v/>
      </c>
      <c r="F2830" t="str">
        <f>+IFERROR(VLOOKUP(Fact_Cumplimiento[[#This Row], 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ht="18.75" customHeight="1" x14ac:dyDescent="0.35">
      <c r="C2831" s="100" t="str">
        <f>IF(OR(Fact_Cumplimiento[[#This Row], [Año]]="",Fact_Cumplimiento[[#This Row], [Mes]]=""),"",DATE(A2831,MATCH(B2831,{"enero","febrero","marzo","abril","mayo","junio","julio","agosto","septiembre","octubre","noviembre","diciembre"},0)+1,0))</f>
        <v/>
      </c>
      <c r="E2831" t="str">
        <f>+IFERROR(VLOOKUP(Fact_Cumplimiento[[#This Row], [Concepto Anterior]],Conceptos_Cumplimiento[#All],5,0),"")</f>
        <v/>
      </c>
      <c r="F2831" t="str">
        <f>+IFERROR(VLOOKUP(Fact_Cumplimiento[[#This Row], 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ht="18.75" customHeight="1" x14ac:dyDescent="0.35">
      <c r="C2832" s="100" t="str">
        <f>IF(OR(Fact_Cumplimiento[[#This Row], [Año]]="",Fact_Cumplimiento[[#This Row], [Mes]]=""),"",DATE(A2832,MATCH(B2832,{"enero","febrero","marzo","abril","mayo","junio","julio","agosto","septiembre","octubre","noviembre","diciembre"},0)+1,0))</f>
        <v/>
      </c>
      <c r="E2832" t="str">
        <f>+IFERROR(VLOOKUP(Fact_Cumplimiento[[#This Row], [Concepto Anterior]],Conceptos_Cumplimiento[#All],5,0),"")</f>
        <v/>
      </c>
      <c r="F2832" t="str">
        <f>+IFERROR(VLOOKUP(Fact_Cumplimiento[[#This Row], 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ht="18.75" customHeight="1" x14ac:dyDescent="0.35">
      <c r="C2833" s="100" t="str">
        <f>IF(OR(Fact_Cumplimiento[[#This Row], [Año]]="",Fact_Cumplimiento[[#This Row], [Mes]]=""),"",DATE(A2833,MATCH(B2833,{"enero","febrero","marzo","abril","mayo","junio","julio","agosto","septiembre","octubre","noviembre","diciembre"},0)+1,0))</f>
        <v/>
      </c>
      <c r="E2833" t="str">
        <f>+IFERROR(VLOOKUP(Fact_Cumplimiento[[#This Row], [Concepto Anterior]],Conceptos_Cumplimiento[#All],5,0),"")</f>
        <v/>
      </c>
      <c r="F2833" t="str">
        <f>+IFERROR(VLOOKUP(Fact_Cumplimiento[[#This Row], 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ht="18.75" customHeight="1" x14ac:dyDescent="0.35">
      <c r="C2834" s="100" t="str">
        <f>IF(OR(Fact_Cumplimiento[[#This Row], [Año]]="",Fact_Cumplimiento[[#This Row], [Mes]]=""),"",DATE(A2834,MATCH(B2834,{"enero","febrero","marzo","abril","mayo","junio","julio","agosto","septiembre","octubre","noviembre","diciembre"},0)+1,0))</f>
        <v/>
      </c>
      <c r="E2834" t="str">
        <f>+IFERROR(VLOOKUP(Fact_Cumplimiento[[#This Row], [Concepto Anterior]],Conceptos_Cumplimiento[#All],5,0),"")</f>
        <v/>
      </c>
      <c r="F2834" t="str">
        <f>+IFERROR(VLOOKUP(Fact_Cumplimiento[[#This Row], 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ht="18.75" customHeight="1" x14ac:dyDescent="0.35">
      <c r="C2835" s="100" t="str">
        <f>IF(OR(Fact_Cumplimiento[[#This Row], [Año]]="",Fact_Cumplimiento[[#This Row], [Mes]]=""),"",DATE(A2835,MATCH(B2835,{"enero","febrero","marzo","abril","mayo","junio","julio","agosto","septiembre","octubre","noviembre","diciembre"},0)+1,0))</f>
        <v/>
      </c>
      <c r="E2835" t="str">
        <f>+IFERROR(VLOOKUP(Fact_Cumplimiento[[#This Row], [Concepto Anterior]],Conceptos_Cumplimiento[#All],5,0),"")</f>
        <v/>
      </c>
      <c r="F2835" t="str">
        <f>+IFERROR(VLOOKUP(Fact_Cumplimiento[[#This Row], 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ht="18.75" customHeight="1" x14ac:dyDescent="0.35">
      <c r="C2836" s="100" t="str">
        <f>IF(OR(Fact_Cumplimiento[[#This Row], [Año]]="",Fact_Cumplimiento[[#This Row], [Mes]]=""),"",DATE(A2836,MATCH(B2836,{"enero","febrero","marzo","abril","mayo","junio","julio","agosto","septiembre","octubre","noviembre","diciembre"},0)+1,0))</f>
        <v/>
      </c>
      <c r="E2836" t="str">
        <f>+IFERROR(VLOOKUP(Fact_Cumplimiento[[#This Row], [Concepto Anterior]],Conceptos_Cumplimiento[#All],5,0),"")</f>
        <v/>
      </c>
      <c r="F2836" t="str">
        <f>+IFERROR(VLOOKUP(Fact_Cumplimiento[[#This Row], 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ht="18.75" customHeight="1" x14ac:dyDescent="0.35">
      <c r="C2837" s="100" t="str">
        <f>IF(OR(Fact_Cumplimiento[[#This Row], [Año]]="",Fact_Cumplimiento[[#This Row], [Mes]]=""),"",DATE(A2837,MATCH(B2837,{"enero","febrero","marzo","abril","mayo","junio","julio","agosto","septiembre","octubre","noviembre","diciembre"},0)+1,0))</f>
        <v/>
      </c>
      <c r="E2837" t="str">
        <f>+IFERROR(VLOOKUP(Fact_Cumplimiento[[#This Row], [Concepto Anterior]],Conceptos_Cumplimiento[#All],5,0),"")</f>
        <v/>
      </c>
      <c r="F2837" t="str">
        <f>+IFERROR(VLOOKUP(Fact_Cumplimiento[[#This Row], 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ht="18.75" customHeight="1" x14ac:dyDescent="0.35">
      <c r="C2838" s="100" t="str">
        <f>IF(OR(Fact_Cumplimiento[[#This Row], [Año]]="",Fact_Cumplimiento[[#This Row], [Mes]]=""),"",DATE(A2838,MATCH(B2838,{"enero","febrero","marzo","abril","mayo","junio","julio","agosto","septiembre","octubre","noviembre","diciembre"},0)+1,0))</f>
        <v/>
      </c>
      <c r="E2838" t="str">
        <f>+IFERROR(VLOOKUP(Fact_Cumplimiento[[#This Row], [Concepto Anterior]],Conceptos_Cumplimiento[#All],5,0),"")</f>
        <v/>
      </c>
      <c r="F2838" t="str">
        <f>+IFERROR(VLOOKUP(Fact_Cumplimiento[[#This Row], 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ht="18.75" customHeight="1" x14ac:dyDescent="0.35">
      <c r="C2839" s="100" t="str">
        <f>IF(OR(Fact_Cumplimiento[[#This Row], [Año]]="",Fact_Cumplimiento[[#This Row], [Mes]]=""),"",DATE(A2839,MATCH(B2839,{"enero","febrero","marzo","abril","mayo","junio","julio","agosto","septiembre","octubre","noviembre","diciembre"},0)+1,0))</f>
        <v/>
      </c>
      <c r="E2839" t="str">
        <f>+IFERROR(VLOOKUP(Fact_Cumplimiento[[#This Row], [Concepto Anterior]],Conceptos_Cumplimiento[#All],5,0),"")</f>
        <v/>
      </c>
      <c r="F2839" t="str">
        <f>+IFERROR(VLOOKUP(Fact_Cumplimiento[[#This Row], 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ht="18.75" customHeight="1" x14ac:dyDescent="0.35">
      <c r="C2840" s="100" t="str">
        <f>IF(OR(Fact_Cumplimiento[[#This Row], [Año]]="",Fact_Cumplimiento[[#This Row], [Mes]]=""),"",DATE(A2840,MATCH(B2840,{"enero","febrero","marzo","abril","mayo","junio","julio","agosto","septiembre","octubre","noviembre","diciembre"},0)+1,0))</f>
        <v/>
      </c>
      <c r="E2840" t="str">
        <f>+IFERROR(VLOOKUP(Fact_Cumplimiento[[#This Row], [Concepto Anterior]],Conceptos_Cumplimiento[#All],5,0),"")</f>
        <v/>
      </c>
      <c r="F2840" t="str">
        <f>+IFERROR(VLOOKUP(Fact_Cumplimiento[[#This Row], 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ht="18.75" customHeight="1" x14ac:dyDescent="0.35">
      <c r="C2841" s="100" t="str">
        <f>IF(OR(Fact_Cumplimiento[[#This Row], [Año]]="",Fact_Cumplimiento[[#This Row], [Mes]]=""),"",DATE(A2841,MATCH(B2841,{"enero","febrero","marzo","abril","mayo","junio","julio","agosto","septiembre","octubre","noviembre","diciembre"},0)+1,0))</f>
        <v/>
      </c>
      <c r="E2841" t="str">
        <f>+IFERROR(VLOOKUP(Fact_Cumplimiento[[#This Row], [Concepto Anterior]],Conceptos_Cumplimiento[#All],5,0),"")</f>
        <v/>
      </c>
      <c r="F2841" t="str">
        <f>+IFERROR(VLOOKUP(Fact_Cumplimiento[[#This Row], 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ht="18.75" customHeight="1" x14ac:dyDescent="0.35">
      <c r="C2842" s="100" t="str">
        <f>IF(OR(Fact_Cumplimiento[[#This Row], [Año]]="",Fact_Cumplimiento[[#This Row], [Mes]]=""),"",DATE(A2842,MATCH(B2842,{"enero","febrero","marzo","abril","mayo","junio","julio","agosto","septiembre","octubre","noviembre","diciembre"},0)+1,0))</f>
        <v/>
      </c>
      <c r="E2842" t="str">
        <f>+IFERROR(VLOOKUP(Fact_Cumplimiento[[#This Row], [Concepto Anterior]],Conceptos_Cumplimiento[#All],5,0),"")</f>
        <v/>
      </c>
      <c r="F2842" t="str">
        <f>+IFERROR(VLOOKUP(Fact_Cumplimiento[[#This Row], 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ht="18.75" customHeight="1" x14ac:dyDescent="0.35">
      <c r="C2843" s="100" t="str">
        <f>IF(OR(Fact_Cumplimiento[[#This Row], [Año]]="",Fact_Cumplimiento[[#This Row], [Mes]]=""),"",DATE(A2843,MATCH(B2843,{"enero","febrero","marzo","abril","mayo","junio","julio","agosto","septiembre","octubre","noviembre","diciembre"},0)+1,0))</f>
        <v/>
      </c>
      <c r="E2843" t="str">
        <f>+IFERROR(VLOOKUP(Fact_Cumplimiento[[#This Row], [Concepto Anterior]],Conceptos_Cumplimiento[#All],5,0),"")</f>
        <v/>
      </c>
      <c r="F2843" t="str">
        <f>+IFERROR(VLOOKUP(Fact_Cumplimiento[[#This Row], 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ht="18.75" customHeight="1" x14ac:dyDescent="0.35">
      <c r="C2844" s="100" t="str">
        <f>IF(OR(Fact_Cumplimiento[[#This Row], [Año]]="",Fact_Cumplimiento[[#This Row], [Mes]]=""),"",DATE(A2844,MATCH(B2844,{"enero","febrero","marzo","abril","mayo","junio","julio","agosto","septiembre","octubre","noviembre","diciembre"},0)+1,0))</f>
        <v/>
      </c>
      <c r="E2844" t="str">
        <f>+IFERROR(VLOOKUP(Fact_Cumplimiento[[#This Row], [Concepto Anterior]],Conceptos_Cumplimiento[#All],5,0),"")</f>
        <v/>
      </c>
      <c r="F2844" t="str">
        <f>+IFERROR(VLOOKUP(Fact_Cumplimiento[[#This Row], 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ht="18.75" customHeight="1" x14ac:dyDescent="0.35">
      <c r="C2845" s="100" t="str">
        <f>IF(OR(Fact_Cumplimiento[[#This Row], [Año]]="",Fact_Cumplimiento[[#This Row], [Mes]]=""),"",DATE(A2845,MATCH(B2845,{"enero","febrero","marzo","abril","mayo","junio","julio","agosto","septiembre","octubre","noviembre","diciembre"},0)+1,0))</f>
        <v/>
      </c>
      <c r="E2845" t="str">
        <f>+IFERROR(VLOOKUP(Fact_Cumplimiento[[#This Row], [Concepto Anterior]],Conceptos_Cumplimiento[#All],5,0),"")</f>
        <v/>
      </c>
      <c r="F2845" t="str">
        <f>+IFERROR(VLOOKUP(Fact_Cumplimiento[[#This Row], 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ht="18.75" customHeight="1" x14ac:dyDescent="0.35">
      <c r="C2846" s="100" t="str">
        <f>IF(OR(Fact_Cumplimiento[[#This Row], [Año]]="",Fact_Cumplimiento[[#This Row], [Mes]]=""),"",DATE(A2846,MATCH(B2846,{"enero","febrero","marzo","abril","mayo","junio","julio","agosto","septiembre","octubre","noviembre","diciembre"},0)+1,0))</f>
        <v/>
      </c>
      <c r="E2846" t="str">
        <f>+IFERROR(VLOOKUP(Fact_Cumplimiento[[#This Row], [Concepto Anterior]],Conceptos_Cumplimiento[#All],5,0),"")</f>
        <v/>
      </c>
      <c r="F2846" t="str">
        <f>+IFERROR(VLOOKUP(Fact_Cumplimiento[[#This Row], 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ht="18.75" customHeight="1" x14ac:dyDescent="0.35">
      <c r="C2847" s="100" t="str">
        <f>IF(OR(Fact_Cumplimiento[[#This Row], [Año]]="",Fact_Cumplimiento[[#This Row], [Mes]]=""),"",DATE(A2847,MATCH(B2847,{"enero","febrero","marzo","abril","mayo","junio","julio","agosto","septiembre","octubre","noviembre","diciembre"},0)+1,0))</f>
        <v/>
      </c>
      <c r="E2847" t="str">
        <f>+IFERROR(VLOOKUP(Fact_Cumplimiento[[#This Row], [Concepto Anterior]],Conceptos_Cumplimiento[#All],5,0),"")</f>
        <v/>
      </c>
      <c r="F2847" t="str">
        <f>+IFERROR(VLOOKUP(Fact_Cumplimiento[[#This Row], 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ht="18.75" customHeight="1" x14ac:dyDescent="0.35">
      <c r="C2848" s="100" t="str">
        <f>IF(OR(Fact_Cumplimiento[[#This Row], [Año]]="",Fact_Cumplimiento[[#This Row], [Mes]]=""),"",DATE(A2848,MATCH(B2848,{"enero","febrero","marzo","abril","mayo","junio","julio","agosto","septiembre","octubre","noviembre","diciembre"},0)+1,0))</f>
        <v/>
      </c>
      <c r="E2848" t="str">
        <f>+IFERROR(VLOOKUP(Fact_Cumplimiento[[#This Row], [Concepto Anterior]],Conceptos_Cumplimiento[#All],5,0),"")</f>
        <v/>
      </c>
      <c r="F2848" t="str">
        <f>+IFERROR(VLOOKUP(Fact_Cumplimiento[[#This Row], 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ht="18.75" customHeight="1" x14ac:dyDescent="0.35">
      <c r="C2849" s="100" t="str">
        <f>IF(OR(Fact_Cumplimiento[[#This Row], [Año]]="",Fact_Cumplimiento[[#This Row], [Mes]]=""),"",DATE(A2849,MATCH(B2849,{"enero","febrero","marzo","abril","mayo","junio","julio","agosto","septiembre","octubre","noviembre","diciembre"},0)+1,0))</f>
        <v/>
      </c>
      <c r="E2849" t="str">
        <f>+IFERROR(VLOOKUP(Fact_Cumplimiento[[#This Row], [Concepto Anterior]],Conceptos_Cumplimiento[#All],5,0),"")</f>
        <v/>
      </c>
      <c r="F2849" t="str">
        <f>+IFERROR(VLOOKUP(Fact_Cumplimiento[[#This Row], 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ht="18.75" customHeight="1" x14ac:dyDescent="0.35">
      <c r="C2850" s="100" t="str">
        <f>IF(OR(Fact_Cumplimiento[[#This Row], [Año]]="",Fact_Cumplimiento[[#This Row], [Mes]]=""),"",DATE(A2850,MATCH(B2850,{"enero","febrero","marzo","abril","mayo","junio","julio","agosto","septiembre","octubre","noviembre","diciembre"},0)+1,0))</f>
        <v/>
      </c>
      <c r="E2850" t="str">
        <f>+IFERROR(VLOOKUP(Fact_Cumplimiento[[#This Row], [Concepto Anterior]],Conceptos_Cumplimiento[#All],5,0),"")</f>
        <v/>
      </c>
      <c r="F2850" t="str">
        <f>+IFERROR(VLOOKUP(Fact_Cumplimiento[[#This Row], 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ht="18.75" customHeight="1" x14ac:dyDescent="0.35">
      <c r="C2851" s="100" t="str">
        <f>IF(OR(Fact_Cumplimiento[[#This Row], [Año]]="",Fact_Cumplimiento[[#This Row], [Mes]]=""),"",DATE(A2851,MATCH(B2851,{"enero","febrero","marzo","abril","mayo","junio","julio","agosto","septiembre","octubre","noviembre","diciembre"},0)+1,0))</f>
        <v/>
      </c>
      <c r="E2851" t="str">
        <f>+IFERROR(VLOOKUP(Fact_Cumplimiento[[#This Row], [Concepto Anterior]],Conceptos_Cumplimiento[#All],5,0),"")</f>
        <v/>
      </c>
      <c r="F2851" t="str">
        <f>+IFERROR(VLOOKUP(Fact_Cumplimiento[[#This Row], 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ht="18.75" customHeight="1" x14ac:dyDescent="0.35">
      <c r="C2852" s="100" t="str">
        <f>IF(OR(Fact_Cumplimiento[[#This Row], [Año]]="",Fact_Cumplimiento[[#This Row], [Mes]]=""),"",DATE(A2852,MATCH(B2852,{"enero","febrero","marzo","abril","mayo","junio","julio","agosto","septiembre","octubre","noviembre","diciembre"},0)+1,0))</f>
        <v/>
      </c>
      <c r="E2852" t="str">
        <f>+IFERROR(VLOOKUP(Fact_Cumplimiento[[#This Row], [Concepto Anterior]],Conceptos_Cumplimiento[#All],5,0),"")</f>
        <v/>
      </c>
      <c r="F2852" t="str">
        <f>+IFERROR(VLOOKUP(Fact_Cumplimiento[[#This Row], 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ht="18.75" customHeight="1" x14ac:dyDescent="0.35">
      <c r="C2853" s="100" t="str">
        <f>IF(OR(Fact_Cumplimiento[[#This Row], [Año]]="",Fact_Cumplimiento[[#This Row], [Mes]]=""),"",DATE(A2853,MATCH(B2853,{"enero","febrero","marzo","abril","mayo","junio","julio","agosto","septiembre","octubre","noviembre","diciembre"},0)+1,0))</f>
        <v/>
      </c>
      <c r="E2853" t="str">
        <f>+IFERROR(VLOOKUP(Fact_Cumplimiento[[#This Row], [Concepto Anterior]],Conceptos_Cumplimiento[#All],5,0),"")</f>
        <v/>
      </c>
      <c r="F2853" t="str">
        <f>+IFERROR(VLOOKUP(Fact_Cumplimiento[[#This Row], 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ht="18.75" customHeight="1" x14ac:dyDescent="0.35">
      <c r="C2854" s="100" t="str">
        <f>IF(OR(Fact_Cumplimiento[[#This Row], [Año]]="",Fact_Cumplimiento[[#This Row], [Mes]]=""),"",DATE(A2854,MATCH(B2854,{"enero","febrero","marzo","abril","mayo","junio","julio","agosto","septiembre","octubre","noviembre","diciembre"},0)+1,0))</f>
        <v/>
      </c>
      <c r="E2854" t="str">
        <f>+IFERROR(VLOOKUP(Fact_Cumplimiento[[#This Row], [Concepto Anterior]],Conceptos_Cumplimiento[#All],5,0),"")</f>
        <v/>
      </c>
      <c r="F2854" t="str">
        <f>+IFERROR(VLOOKUP(Fact_Cumplimiento[[#This Row], 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ht="18.75" customHeight="1" x14ac:dyDescent="0.35">
      <c r="C2855" s="100" t="str">
        <f>IF(OR(Fact_Cumplimiento[[#This Row], [Año]]="",Fact_Cumplimiento[[#This Row], [Mes]]=""),"",DATE(A2855,MATCH(B2855,{"enero","febrero","marzo","abril","mayo","junio","julio","agosto","septiembre","octubre","noviembre","diciembre"},0)+1,0))</f>
        <v/>
      </c>
      <c r="E2855" t="str">
        <f>+IFERROR(VLOOKUP(Fact_Cumplimiento[[#This Row], [Concepto Anterior]],Conceptos_Cumplimiento[#All],5,0),"")</f>
        <v/>
      </c>
      <c r="F2855" t="str">
        <f>+IFERROR(VLOOKUP(Fact_Cumplimiento[[#This Row], 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ht="18.75" customHeight="1" x14ac:dyDescent="0.35">
      <c r="C2856" s="100" t="str">
        <f>IF(OR(Fact_Cumplimiento[[#This Row], [Año]]="",Fact_Cumplimiento[[#This Row], [Mes]]=""),"",DATE(A2856,MATCH(B2856,{"enero","febrero","marzo","abril","mayo","junio","julio","agosto","septiembre","octubre","noviembre","diciembre"},0)+1,0))</f>
        <v/>
      </c>
      <c r="E2856" t="str">
        <f>+IFERROR(VLOOKUP(Fact_Cumplimiento[[#This Row], [Concepto Anterior]],Conceptos_Cumplimiento[#All],5,0),"")</f>
        <v/>
      </c>
      <c r="F2856" t="str">
        <f>+IFERROR(VLOOKUP(Fact_Cumplimiento[[#This Row], 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ht="18.75" customHeight="1" x14ac:dyDescent="0.35">
      <c r="C2857" s="100" t="str">
        <f>IF(OR(Fact_Cumplimiento[[#This Row], [Año]]="",Fact_Cumplimiento[[#This Row], [Mes]]=""),"",DATE(A2857,MATCH(B2857,{"enero","febrero","marzo","abril","mayo","junio","julio","agosto","septiembre","octubre","noviembre","diciembre"},0)+1,0))</f>
        <v/>
      </c>
      <c r="E2857" t="str">
        <f>+IFERROR(VLOOKUP(Fact_Cumplimiento[[#This Row], [Concepto Anterior]],Conceptos_Cumplimiento[#All],5,0),"")</f>
        <v/>
      </c>
      <c r="F2857" t="str">
        <f>+IFERROR(VLOOKUP(Fact_Cumplimiento[[#This Row], 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ht="18.75" customHeight="1" x14ac:dyDescent="0.35">
      <c r="C2858" s="100" t="str">
        <f>IF(OR(Fact_Cumplimiento[[#This Row], [Año]]="",Fact_Cumplimiento[[#This Row], [Mes]]=""),"",DATE(A2858,MATCH(B2858,{"enero","febrero","marzo","abril","mayo","junio","julio","agosto","septiembre","octubre","noviembre","diciembre"},0)+1,0))</f>
        <v/>
      </c>
      <c r="E2858" t="str">
        <f>+IFERROR(VLOOKUP(Fact_Cumplimiento[[#This Row], [Concepto Anterior]],Conceptos_Cumplimiento[#All],5,0),"")</f>
        <v/>
      </c>
      <c r="F2858" t="str">
        <f>+IFERROR(VLOOKUP(Fact_Cumplimiento[[#This Row], 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ht="18.75" customHeight="1" x14ac:dyDescent="0.35">
      <c r="C2859" s="100" t="str">
        <f>IF(OR(Fact_Cumplimiento[[#This Row], [Año]]="",Fact_Cumplimiento[[#This Row], [Mes]]=""),"",DATE(A2859,MATCH(B2859,{"enero","febrero","marzo","abril","mayo","junio","julio","agosto","septiembre","octubre","noviembre","diciembre"},0)+1,0))</f>
        <v/>
      </c>
      <c r="E2859" t="str">
        <f>+IFERROR(VLOOKUP(Fact_Cumplimiento[[#This Row], [Concepto Anterior]],Conceptos_Cumplimiento[#All],5,0),"")</f>
        <v/>
      </c>
      <c r="F2859" t="str">
        <f>+IFERROR(VLOOKUP(Fact_Cumplimiento[[#This Row], 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ht="18.75" customHeight="1" x14ac:dyDescent="0.35">
      <c r="C2860" s="100" t="str">
        <f>IF(OR(Fact_Cumplimiento[[#This Row], [Año]]="",Fact_Cumplimiento[[#This Row], [Mes]]=""),"",DATE(A2860,MATCH(B2860,{"enero","febrero","marzo","abril","mayo","junio","julio","agosto","septiembre","octubre","noviembre","diciembre"},0)+1,0))</f>
        <v/>
      </c>
      <c r="E2860" t="str">
        <f>+IFERROR(VLOOKUP(Fact_Cumplimiento[[#This Row], [Concepto Anterior]],Conceptos_Cumplimiento[#All],5,0),"")</f>
        <v/>
      </c>
      <c r="F2860" t="str">
        <f>+IFERROR(VLOOKUP(Fact_Cumplimiento[[#This Row], 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ht="18.75" customHeight="1" x14ac:dyDescent="0.35">
      <c r="C2861" s="100" t="str">
        <f>IF(OR(Fact_Cumplimiento[[#This Row], [Año]]="",Fact_Cumplimiento[[#This Row], [Mes]]=""),"",DATE(A2861,MATCH(B2861,{"enero","febrero","marzo","abril","mayo","junio","julio","agosto","septiembre","octubre","noviembre","diciembre"},0)+1,0))</f>
        <v/>
      </c>
      <c r="E2861" t="str">
        <f>+IFERROR(VLOOKUP(Fact_Cumplimiento[[#This Row], [Concepto Anterior]],Conceptos_Cumplimiento[#All],5,0),"")</f>
        <v/>
      </c>
      <c r="F2861" t="str">
        <f>+IFERROR(VLOOKUP(Fact_Cumplimiento[[#This Row], 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ht="18.75" customHeight="1" x14ac:dyDescent="0.35">
      <c r="C2862" s="100" t="str">
        <f>IF(OR(Fact_Cumplimiento[[#This Row], [Año]]="",Fact_Cumplimiento[[#This Row], [Mes]]=""),"",DATE(A2862,MATCH(B2862,{"enero","febrero","marzo","abril","mayo","junio","julio","agosto","septiembre","octubre","noviembre","diciembre"},0)+1,0))</f>
        <v/>
      </c>
      <c r="E2862" t="str">
        <f>+IFERROR(VLOOKUP(Fact_Cumplimiento[[#This Row], [Concepto Anterior]],Conceptos_Cumplimiento[#All],5,0),"")</f>
        <v/>
      </c>
      <c r="F2862" t="str">
        <f>+IFERROR(VLOOKUP(Fact_Cumplimiento[[#This Row], 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ht="18.75" customHeight="1" x14ac:dyDescent="0.35">
      <c r="C2863" s="100" t="str">
        <f>IF(OR(Fact_Cumplimiento[[#This Row], [Año]]="",Fact_Cumplimiento[[#This Row], [Mes]]=""),"",DATE(A2863,MATCH(B2863,{"enero","febrero","marzo","abril","mayo","junio","julio","agosto","septiembre","octubre","noviembre","diciembre"},0)+1,0))</f>
        <v/>
      </c>
      <c r="E2863" t="str">
        <f>+IFERROR(VLOOKUP(Fact_Cumplimiento[[#This Row], [Concepto Anterior]],Conceptos_Cumplimiento[#All],5,0),"")</f>
        <v/>
      </c>
      <c r="F2863" t="str">
        <f>+IFERROR(VLOOKUP(Fact_Cumplimiento[[#This Row], 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ht="18.75" customHeight="1" x14ac:dyDescent="0.35">
      <c r="C2864" s="100" t="str">
        <f>IF(OR(Fact_Cumplimiento[[#This Row], [Año]]="",Fact_Cumplimiento[[#This Row], [Mes]]=""),"",DATE(A2864,MATCH(B2864,{"enero","febrero","marzo","abril","mayo","junio","julio","agosto","septiembre","octubre","noviembre","diciembre"},0)+1,0))</f>
        <v/>
      </c>
      <c r="E2864" t="str">
        <f>+IFERROR(VLOOKUP(Fact_Cumplimiento[[#This Row], [Concepto Anterior]],Conceptos_Cumplimiento[#All],5,0),"")</f>
        <v/>
      </c>
      <c r="F2864" t="str">
        <f>+IFERROR(VLOOKUP(Fact_Cumplimiento[[#This Row], 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ht="18.75" customHeight="1" x14ac:dyDescent="0.35">
      <c r="C2865" s="100" t="str">
        <f>IF(OR(Fact_Cumplimiento[[#This Row], [Año]]="",Fact_Cumplimiento[[#This Row], [Mes]]=""),"",DATE(A2865,MATCH(B2865,{"enero","febrero","marzo","abril","mayo","junio","julio","agosto","septiembre","octubre","noviembre","diciembre"},0)+1,0))</f>
        <v/>
      </c>
      <c r="E2865" t="str">
        <f>+IFERROR(VLOOKUP(Fact_Cumplimiento[[#This Row], [Concepto Anterior]],Conceptos_Cumplimiento[#All],5,0),"")</f>
        <v/>
      </c>
      <c r="F2865" t="str">
        <f>+IFERROR(VLOOKUP(Fact_Cumplimiento[[#This Row], 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ht="18.75" customHeight="1" x14ac:dyDescent="0.35">
      <c r="C2866" s="100" t="str">
        <f>IF(OR(Fact_Cumplimiento[[#This Row], [Año]]="",Fact_Cumplimiento[[#This Row], [Mes]]=""),"",DATE(A2866,MATCH(B2866,{"enero","febrero","marzo","abril","mayo","junio","julio","agosto","septiembre","octubre","noviembre","diciembre"},0)+1,0))</f>
        <v/>
      </c>
      <c r="E2866" t="str">
        <f>+IFERROR(VLOOKUP(Fact_Cumplimiento[[#This Row], [Concepto Anterior]],Conceptos_Cumplimiento[#All],5,0),"")</f>
        <v/>
      </c>
      <c r="F2866" t="str">
        <f>+IFERROR(VLOOKUP(Fact_Cumplimiento[[#This Row], 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ht="18.75" customHeight="1" x14ac:dyDescent="0.35">
      <c r="C2867" s="100" t="str">
        <f>IF(OR(Fact_Cumplimiento[[#This Row], [Año]]="",Fact_Cumplimiento[[#This Row], [Mes]]=""),"",DATE(A2867,MATCH(B2867,{"enero","febrero","marzo","abril","mayo","junio","julio","agosto","septiembre","octubre","noviembre","diciembre"},0)+1,0))</f>
        <v/>
      </c>
      <c r="E2867" t="str">
        <f>+IFERROR(VLOOKUP(Fact_Cumplimiento[[#This Row], [Concepto Anterior]],Conceptos_Cumplimiento[#All],5,0),"")</f>
        <v/>
      </c>
      <c r="F2867" t="str">
        <f>+IFERROR(VLOOKUP(Fact_Cumplimiento[[#This Row], 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ht="18.75" customHeight="1" x14ac:dyDescent="0.35">
      <c r="C2868" s="100" t="str">
        <f>IF(OR(Fact_Cumplimiento[[#This Row], [Año]]="",Fact_Cumplimiento[[#This Row], [Mes]]=""),"",DATE(A2868,MATCH(B2868,{"enero","febrero","marzo","abril","mayo","junio","julio","agosto","septiembre","octubre","noviembre","diciembre"},0)+1,0))</f>
        <v/>
      </c>
      <c r="E2868" t="str">
        <f>+IFERROR(VLOOKUP(Fact_Cumplimiento[[#This Row], [Concepto Anterior]],Conceptos_Cumplimiento[#All],5,0),"")</f>
        <v/>
      </c>
      <c r="F2868" t="str">
        <f>+IFERROR(VLOOKUP(Fact_Cumplimiento[[#This Row], 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ht="18.75" customHeight="1" x14ac:dyDescent="0.35">
      <c r="C2869" s="100" t="str">
        <f>IF(OR(Fact_Cumplimiento[[#This Row], [Año]]="",Fact_Cumplimiento[[#This Row], [Mes]]=""),"",DATE(A2869,MATCH(B2869,{"enero","febrero","marzo","abril","mayo","junio","julio","agosto","septiembre","octubre","noviembre","diciembre"},0)+1,0))</f>
        <v/>
      </c>
      <c r="E2869" t="str">
        <f>+IFERROR(VLOOKUP(Fact_Cumplimiento[[#This Row], [Concepto Anterior]],Conceptos_Cumplimiento[#All],5,0),"")</f>
        <v/>
      </c>
      <c r="F2869" t="str">
        <f>+IFERROR(VLOOKUP(Fact_Cumplimiento[[#This Row], 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ht="18.75" customHeight="1" x14ac:dyDescent="0.35">
      <c r="C2870" s="100" t="str">
        <f>IF(OR(Fact_Cumplimiento[[#This Row], [Año]]="",Fact_Cumplimiento[[#This Row], [Mes]]=""),"",DATE(A2870,MATCH(B2870,{"enero","febrero","marzo","abril","mayo","junio","julio","agosto","septiembre","octubre","noviembre","diciembre"},0)+1,0))</f>
        <v/>
      </c>
      <c r="E2870" t="str">
        <f>+IFERROR(VLOOKUP(Fact_Cumplimiento[[#This Row], [Concepto Anterior]],Conceptos_Cumplimiento[#All],5,0),"")</f>
        <v/>
      </c>
      <c r="F2870" t="str">
        <f>+IFERROR(VLOOKUP(Fact_Cumplimiento[[#This Row], 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ht="18.75" customHeight="1" x14ac:dyDescent="0.35">
      <c r="C2871" s="100" t="str">
        <f>IF(OR(Fact_Cumplimiento[[#This Row], [Año]]="",Fact_Cumplimiento[[#This Row], [Mes]]=""),"",DATE(A2871,MATCH(B2871,{"enero","febrero","marzo","abril","mayo","junio","julio","agosto","septiembre","octubre","noviembre","diciembre"},0)+1,0))</f>
        <v/>
      </c>
      <c r="E2871" t="str">
        <f>+IFERROR(VLOOKUP(Fact_Cumplimiento[[#This Row], [Concepto Anterior]],Conceptos_Cumplimiento[#All],5,0),"")</f>
        <v/>
      </c>
      <c r="F2871" t="str">
        <f>+IFERROR(VLOOKUP(Fact_Cumplimiento[[#This Row], 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ht="18.75" customHeight="1" x14ac:dyDescent="0.35">
      <c r="C2872" s="100" t="str">
        <f>IF(OR(Fact_Cumplimiento[[#This Row], [Año]]="",Fact_Cumplimiento[[#This Row], [Mes]]=""),"",DATE(A2872,MATCH(B2872,{"enero","febrero","marzo","abril","mayo","junio","julio","agosto","septiembre","octubre","noviembre","diciembre"},0)+1,0))</f>
        <v/>
      </c>
      <c r="E2872" t="str">
        <f>+IFERROR(VLOOKUP(Fact_Cumplimiento[[#This Row], [Concepto Anterior]],Conceptos_Cumplimiento[#All],5,0),"")</f>
        <v/>
      </c>
      <c r="F2872" t="str">
        <f>+IFERROR(VLOOKUP(Fact_Cumplimiento[[#This Row], 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ht="18.75" customHeight="1" x14ac:dyDescent="0.35">
      <c r="C2873" s="100" t="str">
        <f>IF(OR(Fact_Cumplimiento[[#This Row], [Año]]="",Fact_Cumplimiento[[#This Row], [Mes]]=""),"",DATE(A2873,MATCH(B2873,{"enero","febrero","marzo","abril","mayo","junio","julio","agosto","septiembre","octubre","noviembre","diciembre"},0)+1,0))</f>
        <v/>
      </c>
      <c r="E2873" t="str">
        <f>+IFERROR(VLOOKUP(Fact_Cumplimiento[[#This Row], [Concepto Anterior]],Conceptos_Cumplimiento[#All],5,0),"")</f>
        <v/>
      </c>
      <c r="F2873" t="str">
        <f>+IFERROR(VLOOKUP(Fact_Cumplimiento[[#This Row], 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ht="18.75" customHeight="1" x14ac:dyDescent="0.35">
      <c r="C2874" s="100" t="str">
        <f>IF(OR(Fact_Cumplimiento[[#This Row], [Año]]="",Fact_Cumplimiento[[#This Row], [Mes]]=""),"",DATE(A2874,MATCH(B2874,{"enero","febrero","marzo","abril","mayo","junio","julio","agosto","septiembre","octubre","noviembre","diciembre"},0)+1,0))</f>
        <v/>
      </c>
      <c r="E2874" t="str">
        <f>+IFERROR(VLOOKUP(Fact_Cumplimiento[[#This Row], [Concepto Anterior]],Conceptos_Cumplimiento[#All],5,0),"")</f>
        <v/>
      </c>
      <c r="F2874" t="str">
        <f>+IFERROR(VLOOKUP(Fact_Cumplimiento[[#This Row], 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ht="18.75" customHeight="1" x14ac:dyDescent="0.35">
      <c r="C2875" s="100" t="str">
        <f>IF(OR(Fact_Cumplimiento[[#This Row], [Año]]="",Fact_Cumplimiento[[#This Row], [Mes]]=""),"",DATE(A2875,MATCH(B2875,{"enero","febrero","marzo","abril","mayo","junio","julio","agosto","septiembre","octubre","noviembre","diciembre"},0)+1,0))</f>
        <v/>
      </c>
      <c r="E2875" t="str">
        <f>+IFERROR(VLOOKUP(Fact_Cumplimiento[[#This Row], [Concepto Anterior]],Conceptos_Cumplimiento[#All],5,0),"")</f>
        <v/>
      </c>
      <c r="F2875" t="str">
        <f>+IFERROR(VLOOKUP(Fact_Cumplimiento[[#This Row], 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ht="18.75" customHeight="1" x14ac:dyDescent="0.35">
      <c r="C2876" s="100" t="str">
        <f>IF(OR(Fact_Cumplimiento[[#This Row], [Año]]="",Fact_Cumplimiento[[#This Row], [Mes]]=""),"",DATE(A2876,MATCH(B2876,{"enero","febrero","marzo","abril","mayo","junio","julio","agosto","septiembre","octubre","noviembre","diciembre"},0)+1,0))</f>
        <v/>
      </c>
      <c r="E2876" t="str">
        <f>+IFERROR(VLOOKUP(Fact_Cumplimiento[[#This Row], [Concepto Anterior]],Conceptos_Cumplimiento[#All],5,0),"")</f>
        <v/>
      </c>
      <c r="F2876" t="str">
        <f>+IFERROR(VLOOKUP(Fact_Cumplimiento[[#This Row], 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ht="18.75" customHeight="1" x14ac:dyDescent="0.35">
      <c r="C2877" s="100" t="str">
        <f>IF(OR(Fact_Cumplimiento[[#This Row], [Año]]="",Fact_Cumplimiento[[#This Row], [Mes]]=""),"",DATE(A2877,MATCH(B2877,{"enero","febrero","marzo","abril","mayo","junio","julio","agosto","septiembre","octubre","noviembre","diciembre"},0)+1,0))</f>
        <v/>
      </c>
      <c r="E2877" t="str">
        <f>+IFERROR(VLOOKUP(Fact_Cumplimiento[[#This Row], [Concepto Anterior]],Conceptos_Cumplimiento[#All],5,0),"")</f>
        <v/>
      </c>
      <c r="F2877" t="str">
        <f>+IFERROR(VLOOKUP(Fact_Cumplimiento[[#This Row], 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ht="18.75" customHeight="1" x14ac:dyDescent="0.35">
      <c r="C2878" s="100" t="str">
        <f>IF(OR(Fact_Cumplimiento[[#This Row], [Año]]="",Fact_Cumplimiento[[#This Row], [Mes]]=""),"",DATE(A2878,MATCH(B2878,{"enero","febrero","marzo","abril","mayo","junio","julio","agosto","septiembre","octubre","noviembre","diciembre"},0)+1,0))</f>
        <v/>
      </c>
      <c r="E2878" t="str">
        <f>+IFERROR(VLOOKUP(Fact_Cumplimiento[[#This Row], [Concepto Anterior]],Conceptos_Cumplimiento[#All],5,0),"")</f>
        <v/>
      </c>
      <c r="F2878" t="str">
        <f>+IFERROR(VLOOKUP(Fact_Cumplimiento[[#This Row], 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ht="18.75" customHeight="1" x14ac:dyDescent="0.35">
      <c r="C2879" s="100" t="str">
        <f>IF(OR(Fact_Cumplimiento[[#This Row], [Año]]="",Fact_Cumplimiento[[#This Row], [Mes]]=""),"",DATE(A2879,MATCH(B2879,{"enero","febrero","marzo","abril","mayo","junio","julio","agosto","septiembre","octubre","noviembre","diciembre"},0)+1,0))</f>
        <v/>
      </c>
      <c r="E2879" t="str">
        <f>+IFERROR(VLOOKUP(Fact_Cumplimiento[[#This Row], [Concepto Anterior]],Conceptos_Cumplimiento[#All],5,0),"")</f>
        <v/>
      </c>
      <c r="F2879" t="str">
        <f>+IFERROR(VLOOKUP(Fact_Cumplimiento[[#This Row], 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ht="18.75" customHeight="1" x14ac:dyDescent="0.35">
      <c r="C2880" s="100" t="str">
        <f>IF(OR(Fact_Cumplimiento[[#This Row], [Año]]="",Fact_Cumplimiento[[#This Row], [Mes]]=""),"",DATE(A2880,MATCH(B2880,{"enero","febrero","marzo","abril","mayo","junio","julio","agosto","septiembre","octubre","noviembre","diciembre"},0)+1,0))</f>
        <v/>
      </c>
      <c r="E2880" t="str">
        <f>+IFERROR(VLOOKUP(Fact_Cumplimiento[[#This Row], [Concepto Anterior]],Conceptos_Cumplimiento[#All],5,0),"")</f>
        <v/>
      </c>
      <c r="F2880" t="str">
        <f>+IFERROR(VLOOKUP(Fact_Cumplimiento[[#This Row], 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ht="18.75" customHeight="1" x14ac:dyDescent="0.35">
      <c r="C2881" s="100" t="str">
        <f>IF(OR(Fact_Cumplimiento[[#This Row], [Año]]="",Fact_Cumplimiento[[#This Row], [Mes]]=""),"",DATE(A2881,MATCH(B2881,{"enero","febrero","marzo","abril","mayo","junio","julio","agosto","septiembre","octubre","noviembre","diciembre"},0)+1,0))</f>
        <v/>
      </c>
      <c r="E2881" t="str">
        <f>+IFERROR(VLOOKUP(Fact_Cumplimiento[[#This Row], [Concepto Anterior]],Conceptos_Cumplimiento[#All],5,0),"")</f>
        <v/>
      </c>
      <c r="F2881" t="str">
        <f>+IFERROR(VLOOKUP(Fact_Cumplimiento[[#This Row], 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ht="18.75" customHeight="1" x14ac:dyDescent="0.35">
      <c r="C2882" s="100" t="str">
        <f>IF(OR(Fact_Cumplimiento[[#This Row], [Año]]="",Fact_Cumplimiento[[#This Row], [Mes]]=""),"",DATE(A2882,MATCH(B2882,{"enero","febrero","marzo","abril","mayo","junio","julio","agosto","septiembre","octubre","noviembre","diciembre"},0)+1,0))</f>
        <v/>
      </c>
      <c r="E2882" t="str">
        <f>+IFERROR(VLOOKUP(Fact_Cumplimiento[[#This Row], [Concepto Anterior]],Conceptos_Cumplimiento[#All],5,0),"")</f>
        <v/>
      </c>
      <c r="F2882" t="str">
        <f>+IFERROR(VLOOKUP(Fact_Cumplimiento[[#This Row], 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ht="18.75" customHeight="1" x14ac:dyDescent="0.35">
      <c r="C2883" s="100" t="str">
        <f>IF(OR(Fact_Cumplimiento[[#This Row], [Año]]="",Fact_Cumplimiento[[#This Row], [Mes]]=""),"",DATE(A2883,MATCH(B2883,{"enero","febrero","marzo","abril","mayo","junio","julio","agosto","septiembre","octubre","noviembre","diciembre"},0)+1,0))</f>
        <v/>
      </c>
      <c r="E2883" t="str">
        <f>+IFERROR(VLOOKUP(Fact_Cumplimiento[[#This Row], [Concepto Anterior]],Conceptos_Cumplimiento[#All],5,0),"")</f>
        <v/>
      </c>
      <c r="F2883" t="str">
        <f>+IFERROR(VLOOKUP(Fact_Cumplimiento[[#This Row], 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ht="18.75" customHeight="1" x14ac:dyDescent="0.35">
      <c r="C2884" s="100" t="str">
        <f>IF(OR(Fact_Cumplimiento[[#This Row], [Año]]="",Fact_Cumplimiento[[#This Row], [Mes]]=""),"",DATE(A2884,MATCH(B2884,{"enero","febrero","marzo","abril","mayo","junio","julio","agosto","septiembre","octubre","noviembre","diciembre"},0)+1,0))</f>
        <v/>
      </c>
      <c r="E2884" t="str">
        <f>+IFERROR(VLOOKUP(Fact_Cumplimiento[[#This Row], [Concepto Anterior]],Conceptos_Cumplimiento[#All],5,0),"")</f>
        <v/>
      </c>
      <c r="F2884" t="str">
        <f>+IFERROR(VLOOKUP(Fact_Cumplimiento[[#This Row], 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ht="18.75" customHeight="1" x14ac:dyDescent="0.35">
      <c r="C2885" s="100" t="str">
        <f>IF(OR(Fact_Cumplimiento[[#This Row], [Año]]="",Fact_Cumplimiento[[#This Row], [Mes]]=""),"",DATE(A2885,MATCH(B2885,{"enero","febrero","marzo","abril","mayo","junio","julio","agosto","septiembre","octubre","noviembre","diciembre"},0)+1,0))</f>
        <v/>
      </c>
      <c r="E2885" t="str">
        <f>+IFERROR(VLOOKUP(Fact_Cumplimiento[[#This Row], [Concepto Anterior]],Conceptos_Cumplimiento[#All],5,0),"")</f>
        <v/>
      </c>
      <c r="F2885" t="str">
        <f>+IFERROR(VLOOKUP(Fact_Cumplimiento[[#This Row], 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ht="18.75" customHeight="1" x14ac:dyDescent="0.35">
      <c r="C2886" s="100" t="str">
        <f>IF(OR(Fact_Cumplimiento[[#This Row], [Año]]="",Fact_Cumplimiento[[#This Row], [Mes]]=""),"",DATE(A2886,MATCH(B2886,{"enero","febrero","marzo","abril","mayo","junio","julio","agosto","septiembre","octubre","noviembre","diciembre"},0)+1,0))</f>
        <v/>
      </c>
      <c r="E2886" t="str">
        <f>+IFERROR(VLOOKUP(Fact_Cumplimiento[[#This Row], [Concepto Anterior]],Conceptos_Cumplimiento[#All],5,0),"")</f>
        <v/>
      </c>
      <c r="F2886" t="str">
        <f>+IFERROR(VLOOKUP(Fact_Cumplimiento[[#This Row], 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ht="18.75" customHeight="1" x14ac:dyDescent="0.35">
      <c r="C2887" s="100" t="str">
        <f>IF(OR(Fact_Cumplimiento[[#This Row], [Año]]="",Fact_Cumplimiento[[#This Row], [Mes]]=""),"",DATE(A2887,MATCH(B2887,{"enero","febrero","marzo","abril","mayo","junio","julio","agosto","septiembre","octubre","noviembre","diciembre"},0)+1,0))</f>
        <v/>
      </c>
      <c r="E2887" t="str">
        <f>+IFERROR(VLOOKUP(Fact_Cumplimiento[[#This Row], [Concepto Anterior]],Conceptos_Cumplimiento[#All],5,0),"")</f>
        <v/>
      </c>
      <c r="F2887" t="str">
        <f>+IFERROR(VLOOKUP(Fact_Cumplimiento[[#This Row], 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ht="18.75" customHeight="1" x14ac:dyDescent="0.35">
      <c r="C2888" s="100" t="str">
        <f>IF(OR(Fact_Cumplimiento[[#This Row], [Año]]="",Fact_Cumplimiento[[#This Row], [Mes]]=""),"",DATE(A2888,MATCH(B2888,{"enero","febrero","marzo","abril","mayo","junio","julio","agosto","septiembre","octubre","noviembre","diciembre"},0)+1,0))</f>
        <v/>
      </c>
      <c r="E2888" t="str">
        <f>+IFERROR(VLOOKUP(Fact_Cumplimiento[[#This Row], [Concepto Anterior]],Conceptos_Cumplimiento[#All],5,0),"")</f>
        <v/>
      </c>
      <c r="F2888" t="str">
        <f>+IFERROR(VLOOKUP(Fact_Cumplimiento[[#This Row], 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ht="18.75" customHeight="1" x14ac:dyDescent="0.35">
      <c r="C2889" s="100" t="str">
        <f>IF(OR(Fact_Cumplimiento[[#This Row], [Año]]="",Fact_Cumplimiento[[#This Row], [Mes]]=""),"",DATE(A2889,MATCH(B2889,{"enero","febrero","marzo","abril","mayo","junio","julio","agosto","septiembre","octubre","noviembre","diciembre"},0)+1,0))</f>
        <v/>
      </c>
      <c r="E2889" t="str">
        <f>+IFERROR(VLOOKUP(Fact_Cumplimiento[[#This Row], [Concepto Anterior]],Conceptos_Cumplimiento[#All],5,0),"")</f>
        <v/>
      </c>
      <c r="F2889" t="str">
        <f>+IFERROR(VLOOKUP(Fact_Cumplimiento[[#This Row], 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ht="18.75" customHeight="1" x14ac:dyDescent="0.35">
      <c r="C2890" s="100" t="str">
        <f>IF(OR(Fact_Cumplimiento[[#This Row], [Año]]="",Fact_Cumplimiento[[#This Row], [Mes]]=""),"",DATE(A2890,MATCH(B2890,{"enero","febrero","marzo","abril","mayo","junio","julio","agosto","septiembre","octubre","noviembre","diciembre"},0)+1,0))</f>
        <v/>
      </c>
      <c r="E2890" t="str">
        <f>+IFERROR(VLOOKUP(Fact_Cumplimiento[[#This Row], [Concepto Anterior]],Conceptos_Cumplimiento[#All],5,0),"")</f>
        <v/>
      </c>
      <c r="F2890" t="str">
        <f>+IFERROR(VLOOKUP(Fact_Cumplimiento[[#This Row], 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ht="18.75" customHeight="1" x14ac:dyDescent="0.35">
      <c r="C2891" s="100" t="str">
        <f>IF(OR(Fact_Cumplimiento[[#This Row], [Año]]="",Fact_Cumplimiento[[#This Row], [Mes]]=""),"",DATE(A2891,MATCH(B2891,{"enero","febrero","marzo","abril","mayo","junio","julio","agosto","septiembre","octubre","noviembre","diciembre"},0)+1,0))</f>
        <v/>
      </c>
      <c r="E2891" t="str">
        <f>+IFERROR(VLOOKUP(Fact_Cumplimiento[[#This Row], [Concepto Anterior]],Conceptos_Cumplimiento[#All],5,0),"")</f>
        <v/>
      </c>
      <c r="F2891" t="str">
        <f>+IFERROR(VLOOKUP(Fact_Cumplimiento[[#This Row], 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ht="18.75" customHeight="1" x14ac:dyDescent="0.35">
      <c r="C2892" s="100" t="str">
        <f>IF(OR(Fact_Cumplimiento[[#This Row], [Año]]="",Fact_Cumplimiento[[#This Row], [Mes]]=""),"",DATE(A2892,MATCH(B2892,{"enero","febrero","marzo","abril","mayo","junio","julio","agosto","septiembre","octubre","noviembre","diciembre"},0)+1,0))</f>
        <v/>
      </c>
      <c r="E2892" t="str">
        <f>+IFERROR(VLOOKUP(Fact_Cumplimiento[[#This Row], [Concepto Anterior]],Conceptos_Cumplimiento[#All],5,0),"")</f>
        <v/>
      </c>
      <c r="F2892" t="str">
        <f>+IFERROR(VLOOKUP(Fact_Cumplimiento[[#This Row], 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ht="18.75" customHeight="1" x14ac:dyDescent="0.35">
      <c r="C2893" s="100" t="str">
        <f>IF(OR(Fact_Cumplimiento[[#This Row], [Año]]="",Fact_Cumplimiento[[#This Row], [Mes]]=""),"",DATE(A2893,MATCH(B2893,{"enero","febrero","marzo","abril","mayo","junio","julio","agosto","septiembre","octubre","noviembre","diciembre"},0)+1,0))</f>
        <v/>
      </c>
      <c r="E2893" t="str">
        <f>+IFERROR(VLOOKUP(Fact_Cumplimiento[[#This Row], [Concepto Anterior]],Conceptos_Cumplimiento[#All],5,0),"")</f>
        <v/>
      </c>
      <c r="F2893" t="str">
        <f>+IFERROR(VLOOKUP(Fact_Cumplimiento[[#This Row], 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ht="18.75" customHeight="1" x14ac:dyDescent="0.35">
      <c r="C2894" s="100" t="str">
        <f>IF(OR(Fact_Cumplimiento[[#This Row], [Año]]="",Fact_Cumplimiento[[#This Row], [Mes]]=""),"",DATE(A2894,MATCH(B2894,{"enero","febrero","marzo","abril","mayo","junio","julio","agosto","septiembre","octubre","noviembre","diciembre"},0)+1,0))</f>
        <v/>
      </c>
      <c r="E2894" t="str">
        <f>+IFERROR(VLOOKUP(Fact_Cumplimiento[[#This Row], [Concepto Anterior]],Conceptos_Cumplimiento[#All],5,0),"")</f>
        <v/>
      </c>
      <c r="F2894" t="str">
        <f>+IFERROR(VLOOKUP(Fact_Cumplimiento[[#This Row], 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ht="18.75" customHeight="1" x14ac:dyDescent="0.35">
      <c r="C2895" s="100" t="str">
        <f>IF(OR(Fact_Cumplimiento[[#This Row], [Año]]="",Fact_Cumplimiento[[#This Row], [Mes]]=""),"",DATE(A2895,MATCH(B2895,{"enero","febrero","marzo","abril","mayo","junio","julio","agosto","septiembre","octubre","noviembre","diciembre"},0)+1,0))</f>
        <v/>
      </c>
      <c r="E2895" t="str">
        <f>+IFERROR(VLOOKUP(Fact_Cumplimiento[[#This Row], [Concepto Anterior]],Conceptos_Cumplimiento[#All],5,0),"")</f>
        <v/>
      </c>
      <c r="F2895" t="str">
        <f>+IFERROR(VLOOKUP(Fact_Cumplimiento[[#This Row], 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ht="18.75" customHeight="1" x14ac:dyDescent="0.35">
      <c r="C2896" s="100" t="str">
        <f>IF(OR(Fact_Cumplimiento[[#This Row], [Año]]="",Fact_Cumplimiento[[#This Row], [Mes]]=""),"",DATE(A2896,MATCH(B2896,{"enero","febrero","marzo","abril","mayo","junio","julio","agosto","septiembre","octubre","noviembre","diciembre"},0)+1,0))</f>
        <v/>
      </c>
      <c r="E2896" t="str">
        <f>+IFERROR(VLOOKUP(Fact_Cumplimiento[[#This Row], [Concepto Anterior]],Conceptos_Cumplimiento[#All],5,0),"")</f>
        <v/>
      </c>
      <c r="F2896" t="str">
        <f>+IFERROR(VLOOKUP(Fact_Cumplimiento[[#This Row], 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ht="18.75" customHeight="1" x14ac:dyDescent="0.35">
      <c r="C2897" s="100" t="str">
        <f>IF(OR(Fact_Cumplimiento[[#This Row], [Año]]="",Fact_Cumplimiento[[#This Row], [Mes]]=""),"",DATE(A2897,MATCH(B2897,{"enero","febrero","marzo","abril","mayo","junio","julio","agosto","septiembre","octubre","noviembre","diciembre"},0)+1,0))</f>
        <v/>
      </c>
      <c r="E2897" t="str">
        <f>+IFERROR(VLOOKUP(Fact_Cumplimiento[[#This Row], [Concepto Anterior]],Conceptos_Cumplimiento[#All],5,0),"")</f>
        <v/>
      </c>
      <c r="F2897" t="str">
        <f>+IFERROR(VLOOKUP(Fact_Cumplimiento[[#This Row], 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ht="18.75" customHeight="1" x14ac:dyDescent="0.35">
      <c r="C2898" s="100" t="str">
        <f>IF(OR(Fact_Cumplimiento[[#This Row], [Año]]="",Fact_Cumplimiento[[#This Row], [Mes]]=""),"",DATE(A2898,MATCH(B2898,{"enero","febrero","marzo","abril","mayo","junio","julio","agosto","septiembre","octubre","noviembre","diciembre"},0)+1,0))</f>
        <v/>
      </c>
      <c r="E2898" t="str">
        <f>+IFERROR(VLOOKUP(Fact_Cumplimiento[[#This Row], [Concepto Anterior]],Conceptos_Cumplimiento[#All],5,0),"")</f>
        <v/>
      </c>
      <c r="F2898" t="str">
        <f>+IFERROR(VLOOKUP(Fact_Cumplimiento[[#This Row], 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ht="18.75" customHeight="1" x14ac:dyDescent="0.35">
      <c r="C2899" s="100" t="str">
        <f>IF(OR(Fact_Cumplimiento[[#This Row], [Año]]="",Fact_Cumplimiento[[#This Row], [Mes]]=""),"",DATE(A2899,MATCH(B2899,{"enero","febrero","marzo","abril","mayo","junio","julio","agosto","septiembre","octubre","noviembre","diciembre"},0)+1,0))</f>
        <v/>
      </c>
      <c r="E2899" t="str">
        <f>+IFERROR(VLOOKUP(Fact_Cumplimiento[[#This Row], [Concepto Anterior]],Conceptos_Cumplimiento[#All],5,0),"")</f>
        <v/>
      </c>
      <c r="F2899" t="str">
        <f>+IFERROR(VLOOKUP(Fact_Cumplimiento[[#This Row], 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ht="18.75" customHeight="1" x14ac:dyDescent="0.35">
      <c r="C2900" s="100" t="str">
        <f>IF(OR(Fact_Cumplimiento[[#This Row], [Año]]="",Fact_Cumplimiento[[#This Row], [Mes]]=""),"",DATE(A2900,MATCH(B2900,{"enero","febrero","marzo","abril","mayo","junio","julio","agosto","septiembre","octubre","noviembre","diciembre"},0)+1,0))</f>
        <v/>
      </c>
      <c r="E2900" t="str">
        <f>+IFERROR(VLOOKUP(Fact_Cumplimiento[[#This Row], [Concepto Anterior]],Conceptos_Cumplimiento[#All],5,0),"")</f>
        <v/>
      </c>
      <c r="F2900" t="str">
        <f>+IFERROR(VLOOKUP(Fact_Cumplimiento[[#This Row], 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ht="18.75" customHeight="1" x14ac:dyDescent="0.35">
      <c r="C2901" s="100" t="str">
        <f>IF(OR(Fact_Cumplimiento[[#This Row], [Año]]="",Fact_Cumplimiento[[#This Row], [Mes]]=""),"",DATE(A2901,MATCH(B2901,{"enero","febrero","marzo","abril","mayo","junio","julio","agosto","septiembre","octubre","noviembre","diciembre"},0)+1,0))</f>
        <v/>
      </c>
      <c r="E2901" t="str">
        <f>+IFERROR(VLOOKUP(Fact_Cumplimiento[[#This Row], [Concepto Anterior]],Conceptos_Cumplimiento[#All],5,0),"")</f>
        <v/>
      </c>
      <c r="F2901" t="str">
        <f>+IFERROR(VLOOKUP(Fact_Cumplimiento[[#This Row], 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ht="18.75" customHeight="1" x14ac:dyDescent="0.35">
      <c r="C2902" s="100" t="str">
        <f>IF(OR(Fact_Cumplimiento[[#This Row], [Año]]="",Fact_Cumplimiento[[#This Row], [Mes]]=""),"",DATE(A2902,MATCH(B2902,{"enero","febrero","marzo","abril","mayo","junio","julio","agosto","septiembre","octubre","noviembre","diciembre"},0)+1,0))</f>
        <v/>
      </c>
      <c r="E2902" t="str">
        <f>+IFERROR(VLOOKUP(Fact_Cumplimiento[[#This Row], [Concepto Anterior]],Conceptos_Cumplimiento[#All],5,0),"")</f>
        <v/>
      </c>
      <c r="F2902" t="str">
        <f>+IFERROR(VLOOKUP(Fact_Cumplimiento[[#This Row], 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ht="18.75" customHeight="1" x14ac:dyDescent="0.35">
      <c r="C2903" s="100" t="str">
        <f>IF(OR(Fact_Cumplimiento[[#This Row], [Año]]="",Fact_Cumplimiento[[#This Row], [Mes]]=""),"",DATE(A2903,MATCH(B2903,{"enero","febrero","marzo","abril","mayo","junio","julio","agosto","septiembre","octubre","noviembre","diciembre"},0)+1,0))</f>
        <v/>
      </c>
      <c r="E2903" t="str">
        <f>+IFERROR(VLOOKUP(Fact_Cumplimiento[[#This Row], [Concepto Anterior]],Conceptos_Cumplimiento[#All],5,0),"")</f>
        <v/>
      </c>
      <c r="F2903" t="str">
        <f>+IFERROR(VLOOKUP(Fact_Cumplimiento[[#This Row], 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ht="18.75" customHeight="1" x14ac:dyDescent="0.35">
      <c r="C2904" s="100" t="str">
        <f>IF(OR(Fact_Cumplimiento[[#This Row], [Año]]="",Fact_Cumplimiento[[#This Row], [Mes]]=""),"",DATE(A2904,MATCH(B2904,{"enero","febrero","marzo","abril","mayo","junio","julio","agosto","septiembre","octubre","noviembre","diciembre"},0)+1,0))</f>
        <v/>
      </c>
      <c r="E2904" t="str">
        <f>+IFERROR(VLOOKUP(Fact_Cumplimiento[[#This Row], [Concepto Anterior]],Conceptos_Cumplimiento[#All],5,0),"")</f>
        <v/>
      </c>
      <c r="F2904" t="str">
        <f>+IFERROR(VLOOKUP(Fact_Cumplimiento[[#This Row], 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ht="18.75" customHeight="1" x14ac:dyDescent="0.35">
      <c r="C2905" s="100" t="str">
        <f>IF(OR(Fact_Cumplimiento[[#This Row], [Año]]="",Fact_Cumplimiento[[#This Row], [Mes]]=""),"",DATE(A2905,MATCH(B2905,{"enero","febrero","marzo","abril","mayo","junio","julio","agosto","septiembre","octubre","noviembre","diciembre"},0)+1,0))</f>
        <v/>
      </c>
      <c r="E2905" t="str">
        <f>+IFERROR(VLOOKUP(Fact_Cumplimiento[[#This Row], [Concepto Anterior]],Conceptos_Cumplimiento[#All],5,0),"")</f>
        <v/>
      </c>
      <c r="F2905" t="str">
        <f>+IFERROR(VLOOKUP(Fact_Cumplimiento[[#This Row], 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ht="18.75" customHeight="1" x14ac:dyDescent="0.35">
      <c r="C2906" s="100" t="str">
        <f>IF(OR(Fact_Cumplimiento[[#This Row], [Año]]="",Fact_Cumplimiento[[#This Row], [Mes]]=""),"",DATE(A2906,MATCH(B2906,{"enero","febrero","marzo","abril","mayo","junio","julio","agosto","septiembre","octubre","noviembre","diciembre"},0)+1,0))</f>
        <v/>
      </c>
      <c r="E2906" t="str">
        <f>+IFERROR(VLOOKUP(Fact_Cumplimiento[[#This Row], [Concepto Anterior]],Conceptos_Cumplimiento[#All],5,0),"")</f>
        <v/>
      </c>
      <c r="F2906" t="str">
        <f>+IFERROR(VLOOKUP(Fact_Cumplimiento[[#This Row], 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ht="18.75" customHeight="1" x14ac:dyDescent="0.35">
      <c r="C2907" s="100" t="str">
        <f>IF(OR(Fact_Cumplimiento[[#This Row], [Año]]="",Fact_Cumplimiento[[#This Row], [Mes]]=""),"",DATE(A2907,MATCH(B2907,{"enero","febrero","marzo","abril","mayo","junio","julio","agosto","septiembre","octubre","noviembre","diciembre"},0)+1,0))</f>
        <v/>
      </c>
      <c r="E2907" t="str">
        <f>+IFERROR(VLOOKUP(Fact_Cumplimiento[[#This Row], [Concepto Anterior]],Conceptos_Cumplimiento[#All],5,0),"")</f>
        <v/>
      </c>
      <c r="F2907" t="str">
        <f>+IFERROR(VLOOKUP(Fact_Cumplimiento[[#This Row], 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ht="18.75" customHeight="1" x14ac:dyDescent="0.35">
      <c r="C2908" s="100" t="str">
        <f>IF(OR(Fact_Cumplimiento[[#This Row], [Año]]="",Fact_Cumplimiento[[#This Row], [Mes]]=""),"",DATE(A2908,MATCH(B2908,{"enero","febrero","marzo","abril","mayo","junio","julio","agosto","septiembre","octubre","noviembre","diciembre"},0)+1,0))</f>
        <v/>
      </c>
      <c r="E2908" t="str">
        <f>+IFERROR(VLOOKUP(Fact_Cumplimiento[[#This Row], [Concepto Anterior]],Conceptos_Cumplimiento[#All],5,0),"")</f>
        <v/>
      </c>
      <c r="F2908" t="str">
        <f>+IFERROR(VLOOKUP(Fact_Cumplimiento[[#This Row], 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ht="18.75" customHeight="1" x14ac:dyDescent="0.35">
      <c r="C2909" s="100" t="str">
        <f>IF(OR(Fact_Cumplimiento[[#This Row], [Año]]="",Fact_Cumplimiento[[#This Row], [Mes]]=""),"",DATE(A2909,MATCH(B2909,{"enero","febrero","marzo","abril","mayo","junio","julio","agosto","septiembre","octubre","noviembre","diciembre"},0)+1,0))</f>
        <v/>
      </c>
      <c r="E2909" t="str">
        <f>+IFERROR(VLOOKUP(Fact_Cumplimiento[[#This Row], [Concepto Anterior]],Conceptos_Cumplimiento[#All],5,0),"")</f>
        <v/>
      </c>
      <c r="F2909" t="str">
        <f>+IFERROR(VLOOKUP(Fact_Cumplimiento[[#This Row], 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ht="18.75" customHeight="1" x14ac:dyDescent="0.35">
      <c r="C2910" s="100" t="str">
        <f>IF(OR(Fact_Cumplimiento[[#This Row], [Año]]="",Fact_Cumplimiento[[#This Row], [Mes]]=""),"",DATE(A2910,MATCH(B2910,{"enero","febrero","marzo","abril","mayo","junio","julio","agosto","septiembre","octubre","noviembre","diciembre"},0)+1,0))</f>
        <v/>
      </c>
      <c r="E2910" t="str">
        <f>+IFERROR(VLOOKUP(Fact_Cumplimiento[[#This Row], [Concepto Anterior]],Conceptos_Cumplimiento[#All],5,0),"")</f>
        <v/>
      </c>
      <c r="F2910" t="str">
        <f>+IFERROR(VLOOKUP(Fact_Cumplimiento[[#This Row], 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ht="18.75" customHeight="1" x14ac:dyDescent="0.35">
      <c r="C2911" s="100" t="str">
        <f>IF(OR(Fact_Cumplimiento[[#This Row], [Año]]="",Fact_Cumplimiento[[#This Row], [Mes]]=""),"",DATE(A2911,MATCH(B2911,{"enero","febrero","marzo","abril","mayo","junio","julio","agosto","septiembre","octubre","noviembre","diciembre"},0)+1,0))</f>
        <v/>
      </c>
      <c r="E2911" t="str">
        <f>+IFERROR(VLOOKUP(Fact_Cumplimiento[[#This Row], [Concepto Anterior]],Conceptos_Cumplimiento[#All],5,0),"")</f>
        <v/>
      </c>
      <c r="F2911" t="str">
        <f>+IFERROR(VLOOKUP(Fact_Cumplimiento[[#This Row], 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ht="18.75" customHeight="1" x14ac:dyDescent="0.35">
      <c r="C2912" s="100" t="str">
        <f>IF(OR(Fact_Cumplimiento[[#This Row], [Año]]="",Fact_Cumplimiento[[#This Row], [Mes]]=""),"",DATE(A2912,MATCH(B2912,{"enero","febrero","marzo","abril","mayo","junio","julio","agosto","septiembre","octubre","noviembre","diciembre"},0)+1,0))</f>
        <v/>
      </c>
      <c r="E2912" t="str">
        <f>+IFERROR(VLOOKUP(Fact_Cumplimiento[[#This Row], [Concepto Anterior]],Conceptos_Cumplimiento[#All],5,0),"")</f>
        <v/>
      </c>
      <c r="F2912" t="str">
        <f>+IFERROR(VLOOKUP(Fact_Cumplimiento[[#This Row], 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ht="18.75" customHeight="1" x14ac:dyDescent="0.35">
      <c r="C2913" s="100" t="str">
        <f>IF(OR(Fact_Cumplimiento[[#This Row], [Año]]="",Fact_Cumplimiento[[#This Row], [Mes]]=""),"",DATE(A2913,MATCH(B2913,{"enero","febrero","marzo","abril","mayo","junio","julio","agosto","septiembre","octubre","noviembre","diciembre"},0)+1,0))</f>
        <v/>
      </c>
      <c r="E2913" t="str">
        <f>+IFERROR(VLOOKUP(Fact_Cumplimiento[[#This Row], [Concepto Anterior]],Conceptos_Cumplimiento[#All],5,0),"")</f>
        <v/>
      </c>
      <c r="F2913" t="str">
        <f>+IFERROR(VLOOKUP(Fact_Cumplimiento[[#This Row], 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ht="18.75" customHeight="1" x14ac:dyDescent="0.35">
      <c r="C2914" s="100" t="str">
        <f>IF(OR(Fact_Cumplimiento[[#This Row], [Año]]="",Fact_Cumplimiento[[#This Row], [Mes]]=""),"",DATE(A2914,MATCH(B2914,{"enero","febrero","marzo","abril","mayo","junio","julio","agosto","septiembre","octubre","noviembre","diciembre"},0)+1,0))</f>
        <v/>
      </c>
      <c r="E2914" t="str">
        <f>+IFERROR(VLOOKUP(Fact_Cumplimiento[[#This Row], [Concepto Anterior]],Conceptos_Cumplimiento[#All],5,0),"")</f>
        <v/>
      </c>
      <c r="F2914" t="str">
        <f>+IFERROR(VLOOKUP(Fact_Cumplimiento[[#This Row], 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ht="18.75" customHeight="1" x14ac:dyDescent="0.35">
      <c r="C2915" s="100" t="str">
        <f>IF(OR(Fact_Cumplimiento[[#This Row], [Año]]="",Fact_Cumplimiento[[#This Row], [Mes]]=""),"",DATE(A2915,MATCH(B2915,{"enero","febrero","marzo","abril","mayo","junio","julio","agosto","septiembre","octubre","noviembre","diciembre"},0)+1,0))</f>
        <v/>
      </c>
      <c r="E2915" t="str">
        <f>+IFERROR(VLOOKUP(Fact_Cumplimiento[[#This Row], [Concepto Anterior]],Conceptos_Cumplimiento[#All],5,0),"")</f>
        <v/>
      </c>
      <c r="F2915" t="str">
        <f>+IFERROR(VLOOKUP(Fact_Cumplimiento[[#This Row], 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ht="18.75" customHeight="1" x14ac:dyDescent="0.35">
      <c r="C2916" s="100" t="str">
        <f>IF(OR(Fact_Cumplimiento[[#This Row], [Año]]="",Fact_Cumplimiento[[#This Row], [Mes]]=""),"",DATE(A2916,MATCH(B2916,{"enero","febrero","marzo","abril","mayo","junio","julio","agosto","septiembre","octubre","noviembre","diciembre"},0)+1,0))</f>
        <v/>
      </c>
      <c r="E2916" t="str">
        <f>+IFERROR(VLOOKUP(Fact_Cumplimiento[[#This Row], [Concepto Anterior]],Conceptos_Cumplimiento[#All],5,0),"")</f>
        <v/>
      </c>
      <c r="F2916" t="str">
        <f>+IFERROR(VLOOKUP(Fact_Cumplimiento[[#This Row], 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ht="18.75" customHeight="1" x14ac:dyDescent="0.35">
      <c r="C2917" s="100" t="str">
        <f>IF(OR(Fact_Cumplimiento[[#This Row], [Año]]="",Fact_Cumplimiento[[#This Row], [Mes]]=""),"",DATE(A2917,MATCH(B2917,{"enero","febrero","marzo","abril","mayo","junio","julio","agosto","septiembre","octubre","noviembre","diciembre"},0)+1,0))</f>
        <v/>
      </c>
      <c r="E2917" t="str">
        <f>+IFERROR(VLOOKUP(Fact_Cumplimiento[[#This Row], [Concepto Anterior]],Conceptos_Cumplimiento[#All],5,0),"")</f>
        <v/>
      </c>
      <c r="F2917" t="str">
        <f>+IFERROR(VLOOKUP(Fact_Cumplimiento[[#This Row], 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ht="18.75" customHeight="1" x14ac:dyDescent="0.35">
      <c r="C2918" s="100" t="str">
        <f>IF(OR(Fact_Cumplimiento[[#This Row], [Año]]="",Fact_Cumplimiento[[#This Row], [Mes]]=""),"",DATE(A2918,MATCH(B2918,{"enero","febrero","marzo","abril","mayo","junio","julio","agosto","septiembre","octubre","noviembre","diciembre"},0)+1,0))</f>
        <v/>
      </c>
      <c r="E2918" t="str">
        <f>+IFERROR(VLOOKUP(Fact_Cumplimiento[[#This Row], [Concepto Anterior]],Conceptos_Cumplimiento[#All],5,0),"")</f>
        <v/>
      </c>
      <c r="F2918" t="str">
        <f>+IFERROR(VLOOKUP(Fact_Cumplimiento[[#This Row], 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ht="18.75" customHeight="1" x14ac:dyDescent="0.35">
      <c r="C2919" s="100" t="str">
        <f>IF(OR(Fact_Cumplimiento[[#This Row], [Año]]="",Fact_Cumplimiento[[#This Row], [Mes]]=""),"",DATE(A2919,MATCH(B2919,{"enero","febrero","marzo","abril","mayo","junio","julio","agosto","septiembre","octubre","noviembre","diciembre"},0)+1,0))</f>
        <v/>
      </c>
      <c r="E2919" t="str">
        <f>+IFERROR(VLOOKUP(Fact_Cumplimiento[[#This Row], [Concepto Anterior]],Conceptos_Cumplimiento[#All],5,0),"")</f>
        <v/>
      </c>
      <c r="F2919" t="str">
        <f>+IFERROR(VLOOKUP(Fact_Cumplimiento[[#This Row], 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ht="18.75" customHeight="1" x14ac:dyDescent="0.35">
      <c r="C2920" s="100" t="str">
        <f>IF(OR(Fact_Cumplimiento[[#This Row], [Año]]="",Fact_Cumplimiento[[#This Row], [Mes]]=""),"",DATE(A2920,MATCH(B2920,{"enero","febrero","marzo","abril","mayo","junio","julio","agosto","septiembre","octubre","noviembre","diciembre"},0)+1,0))</f>
        <v/>
      </c>
      <c r="E2920" t="str">
        <f>+IFERROR(VLOOKUP(Fact_Cumplimiento[[#This Row], [Concepto Anterior]],Conceptos_Cumplimiento[#All],5,0),"")</f>
        <v/>
      </c>
      <c r="F2920" t="str">
        <f>+IFERROR(VLOOKUP(Fact_Cumplimiento[[#This Row], 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ht="18.75" customHeight="1" x14ac:dyDescent="0.35">
      <c r="C2921" s="100" t="str">
        <f>IF(OR(Fact_Cumplimiento[[#This Row], [Año]]="",Fact_Cumplimiento[[#This Row], [Mes]]=""),"",DATE(A2921,MATCH(B2921,{"enero","febrero","marzo","abril","mayo","junio","julio","agosto","septiembre","octubre","noviembre","diciembre"},0)+1,0))</f>
        <v/>
      </c>
      <c r="E2921" t="str">
        <f>+IFERROR(VLOOKUP(Fact_Cumplimiento[[#This Row], [Concepto Anterior]],Conceptos_Cumplimiento[#All],5,0),"")</f>
        <v/>
      </c>
      <c r="F2921" t="str">
        <f>+IFERROR(VLOOKUP(Fact_Cumplimiento[[#This Row], 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ht="18.75" customHeight="1" x14ac:dyDescent="0.35">
      <c r="C2922" s="100" t="str">
        <f>IF(OR(Fact_Cumplimiento[[#This Row], [Año]]="",Fact_Cumplimiento[[#This Row], [Mes]]=""),"",DATE(A2922,MATCH(B2922,{"enero","febrero","marzo","abril","mayo","junio","julio","agosto","septiembre","octubre","noviembre","diciembre"},0)+1,0))</f>
        <v/>
      </c>
      <c r="E2922" t="str">
        <f>+IFERROR(VLOOKUP(Fact_Cumplimiento[[#This Row], [Concepto Anterior]],Conceptos_Cumplimiento[#All],5,0),"")</f>
        <v/>
      </c>
      <c r="F2922" t="str">
        <f>+IFERROR(VLOOKUP(Fact_Cumplimiento[[#This Row], 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ht="18.75" customHeight="1" x14ac:dyDescent="0.35">
      <c r="C2923" s="100" t="str">
        <f>IF(OR(Fact_Cumplimiento[[#This Row], [Año]]="",Fact_Cumplimiento[[#This Row], [Mes]]=""),"",DATE(A2923,MATCH(B2923,{"enero","febrero","marzo","abril","mayo","junio","julio","agosto","septiembre","octubre","noviembre","diciembre"},0)+1,0))</f>
        <v/>
      </c>
      <c r="E2923" t="str">
        <f>+IFERROR(VLOOKUP(Fact_Cumplimiento[[#This Row], [Concepto Anterior]],Conceptos_Cumplimiento[#All],5,0),"")</f>
        <v/>
      </c>
      <c r="F2923" t="str">
        <f>+IFERROR(VLOOKUP(Fact_Cumplimiento[[#This Row], 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ht="18.75" customHeight="1" x14ac:dyDescent="0.35">
      <c r="C2924" s="100" t="str">
        <f>IF(OR(Fact_Cumplimiento[[#This Row], [Año]]="",Fact_Cumplimiento[[#This Row], [Mes]]=""),"",DATE(A2924,MATCH(B2924,{"enero","febrero","marzo","abril","mayo","junio","julio","agosto","septiembre","octubre","noviembre","diciembre"},0)+1,0))</f>
        <v/>
      </c>
      <c r="E2924" t="str">
        <f>+IFERROR(VLOOKUP(Fact_Cumplimiento[[#This Row], [Concepto Anterior]],Conceptos_Cumplimiento[#All],5,0),"")</f>
        <v/>
      </c>
      <c r="F2924" t="str">
        <f>+IFERROR(VLOOKUP(Fact_Cumplimiento[[#This Row], 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ht="18.75" customHeight="1" x14ac:dyDescent="0.35">
      <c r="C2925" s="100" t="str">
        <f>IF(OR(Fact_Cumplimiento[[#This Row], [Año]]="",Fact_Cumplimiento[[#This Row], [Mes]]=""),"",DATE(A2925,MATCH(B2925,{"enero","febrero","marzo","abril","mayo","junio","julio","agosto","septiembre","octubre","noviembre","diciembre"},0)+1,0))</f>
        <v/>
      </c>
      <c r="E2925" t="str">
        <f>+IFERROR(VLOOKUP(Fact_Cumplimiento[[#This Row], [Concepto Anterior]],Conceptos_Cumplimiento[#All],5,0),"")</f>
        <v/>
      </c>
      <c r="F2925" t="str">
        <f>+IFERROR(VLOOKUP(Fact_Cumplimiento[[#This Row], 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ht="18.75" customHeight="1" x14ac:dyDescent="0.35">
      <c r="C2926" s="100" t="str">
        <f>IF(OR(Fact_Cumplimiento[[#This Row], [Año]]="",Fact_Cumplimiento[[#This Row], [Mes]]=""),"",DATE(A2926,MATCH(B2926,{"enero","febrero","marzo","abril","mayo","junio","julio","agosto","septiembre","octubre","noviembre","diciembre"},0)+1,0))</f>
        <v/>
      </c>
      <c r="E2926" t="str">
        <f>+IFERROR(VLOOKUP(Fact_Cumplimiento[[#This Row], [Concepto Anterior]],Conceptos_Cumplimiento[#All],5,0),"")</f>
        <v/>
      </c>
      <c r="F2926" t="str">
        <f>+IFERROR(VLOOKUP(Fact_Cumplimiento[[#This Row], 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ht="18.75" customHeight="1" x14ac:dyDescent="0.35">
      <c r="C2927" s="100" t="str">
        <f>IF(OR(Fact_Cumplimiento[[#This Row], [Año]]="",Fact_Cumplimiento[[#This Row], [Mes]]=""),"",DATE(A2927,MATCH(B2927,{"enero","febrero","marzo","abril","mayo","junio","julio","agosto","septiembre","octubre","noviembre","diciembre"},0)+1,0))</f>
        <v/>
      </c>
      <c r="E2927" t="str">
        <f>+IFERROR(VLOOKUP(Fact_Cumplimiento[[#This Row], [Concepto Anterior]],Conceptos_Cumplimiento[#All],5,0),"")</f>
        <v/>
      </c>
      <c r="F2927" t="str">
        <f>+IFERROR(VLOOKUP(Fact_Cumplimiento[[#This Row], 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ht="18.75" customHeight="1" x14ac:dyDescent="0.35">
      <c r="C2928" s="100" t="str">
        <f>IF(OR(Fact_Cumplimiento[[#This Row], [Año]]="",Fact_Cumplimiento[[#This Row], [Mes]]=""),"",DATE(A2928,MATCH(B2928,{"enero","febrero","marzo","abril","mayo","junio","julio","agosto","septiembre","octubre","noviembre","diciembre"},0)+1,0))</f>
        <v/>
      </c>
      <c r="E2928" t="str">
        <f>+IFERROR(VLOOKUP(Fact_Cumplimiento[[#This Row], [Concepto Anterior]],Conceptos_Cumplimiento[#All],5,0),"")</f>
        <v/>
      </c>
      <c r="F2928" t="str">
        <f>+IFERROR(VLOOKUP(Fact_Cumplimiento[[#This Row], 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ht="18.75" customHeight="1" x14ac:dyDescent="0.35">
      <c r="C2929" s="100" t="str">
        <f>IF(OR(Fact_Cumplimiento[[#This Row], [Año]]="",Fact_Cumplimiento[[#This Row], [Mes]]=""),"",DATE(A2929,MATCH(B2929,{"enero","febrero","marzo","abril","mayo","junio","julio","agosto","septiembre","octubre","noviembre","diciembre"},0)+1,0))</f>
        <v/>
      </c>
      <c r="E2929" t="str">
        <f>+IFERROR(VLOOKUP(Fact_Cumplimiento[[#This Row], [Concepto Anterior]],Conceptos_Cumplimiento[#All],5,0),"")</f>
        <v/>
      </c>
      <c r="F2929" t="str">
        <f>+IFERROR(VLOOKUP(Fact_Cumplimiento[[#This Row], 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ht="18.75" customHeight="1" x14ac:dyDescent="0.35">
      <c r="C2930" s="100" t="str">
        <f>IF(OR(Fact_Cumplimiento[[#This Row], [Año]]="",Fact_Cumplimiento[[#This Row], [Mes]]=""),"",DATE(A2930,MATCH(B2930,{"enero","febrero","marzo","abril","mayo","junio","julio","agosto","septiembre","octubre","noviembre","diciembre"},0)+1,0))</f>
        <v/>
      </c>
      <c r="E2930" t="str">
        <f>+IFERROR(VLOOKUP(Fact_Cumplimiento[[#This Row], [Concepto Anterior]],Conceptos_Cumplimiento[#All],5,0),"")</f>
        <v/>
      </c>
      <c r="F2930" t="str">
        <f>+IFERROR(VLOOKUP(Fact_Cumplimiento[[#This Row], 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ht="18.75" customHeight="1" x14ac:dyDescent="0.35">
      <c r="C2931" s="100" t="str">
        <f>IF(OR(Fact_Cumplimiento[[#This Row], [Año]]="",Fact_Cumplimiento[[#This Row], [Mes]]=""),"",DATE(A2931,MATCH(B2931,{"enero","febrero","marzo","abril","mayo","junio","julio","agosto","septiembre","octubre","noviembre","diciembre"},0)+1,0))</f>
        <v/>
      </c>
      <c r="E2931" t="str">
        <f>+IFERROR(VLOOKUP(Fact_Cumplimiento[[#This Row], [Concepto Anterior]],Conceptos_Cumplimiento[#All],5,0),"")</f>
        <v/>
      </c>
      <c r="F2931" t="str">
        <f>+IFERROR(VLOOKUP(Fact_Cumplimiento[[#This Row], 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ht="18.75" customHeight="1" x14ac:dyDescent="0.35">
      <c r="C2932" s="100" t="str">
        <f>IF(OR(Fact_Cumplimiento[[#This Row], [Año]]="",Fact_Cumplimiento[[#This Row], [Mes]]=""),"",DATE(A2932,MATCH(B2932,{"enero","febrero","marzo","abril","mayo","junio","julio","agosto","septiembre","octubre","noviembre","diciembre"},0)+1,0))</f>
        <v/>
      </c>
      <c r="E2932" t="str">
        <f>+IFERROR(VLOOKUP(Fact_Cumplimiento[[#This Row], [Concepto Anterior]],Conceptos_Cumplimiento[#All],5,0),"")</f>
        <v/>
      </c>
      <c r="F2932" t="str">
        <f>+IFERROR(VLOOKUP(Fact_Cumplimiento[[#This Row], 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ht="18.75" customHeight="1" x14ac:dyDescent="0.35">
      <c r="C2933" s="100" t="str">
        <f>IF(OR(Fact_Cumplimiento[[#This Row], [Año]]="",Fact_Cumplimiento[[#This Row], [Mes]]=""),"",DATE(A2933,MATCH(B2933,{"enero","febrero","marzo","abril","mayo","junio","julio","agosto","septiembre","octubre","noviembre","diciembre"},0)+1,0))</f>
        <v/>
      </c>
      <c r="E2933" t="str">
        <f>+IFERROR(VLOOKUP(Fact_Cumplimiento[[#This Row], [Concepto Anterior]],Conceptos_Cumplimiento[#All],5,0),"")</f>
        <v/>
      </c>
      <c r="F2933" t="str">
        <f>+IFERROR(VLOOKUP(Fact_Cumplimiento[[#This Row], 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ht="18.75" customHeight="1" x14ac:dyDescent="0.35">
      <c r="C2934" s="100" t="str">
        <f>IF(OR(Fact_Cumplimiento[[#This Row], [Año]]="",Fact_Cumplimiento[[#This Row], [Mes]]=""),"",DATE(A2934,MATCH(B2934,{"enero","febrero","marzo","abril","mayo","junio","julio","agosto","septiembre","octubre","noviembre","diciembre"},0)+1,0))</f>
        <v/>
      </c>
      <c r="E2934" t="str">
        <f>+IFERROR(VLOOKUP(Fact_Cumplimiento[[#This Row], [Concepto Anterior]],Conceptos_Cumplimiento[#All],5,0),"")</f>
        <v/>
      </c>
      <c r="F2934" t="str">
        <f>+IFERROR(VLOOKUP(Fact_Cumplimiento[[#This Row], 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ht="18.75" customHeight="1" x14ac:dyDescent="0.35">
      <c r="C2935" s="100" t="str">
        <f>IF(OR(Fact_Cumplimiento[[#This Row], [Año]]="",Fact_Cumplimiento[[#This Row], [Mes]]=""),"",DATE(A2935,MATCH(B2935,{"enero","febrero","marzo","abril","mayo","junio","julio","agosto","septiembre","octubre","noviembre","diciembre"},0)+1,0))</f>
        <v/>
      </c>
      <c r="E2935" t="str">
        <f>+IFERROR(VLOOKUP(Fact_Cumplimiento[[#This Row], [Concepto Anterior]],Conceptos_Cumplimiento[#All],5,0),"")</f>
        <v/>
      </c>
      <c r="F2935" t="str">
        <f>+IFERROR(VLOOKUP(Fact_Cumplimiento[[#This Row], 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ht="18.75" customHeight="1" x14ac:dyDescent="0.35">
      <c r="C2936" s="100" t="str">
        <f>IF(OR(Fact_Cumplimiento[[#This Row], [Año]]="",Fact_Cumplimiento[[#This Row], [Mes]]=""),"",DATE(A2936,MATCH(B2936,{"enero","febrero","marzo","abril","mayo","junio","julio","agosto","septiembre","octubre","noviembre","diciembre"},0)+1,0))</f>
        <v/>
      </c>
      <c r="E2936" t="str">
        <f>+IFERROR(VLOOKUP(Fact_Cumplimiento[[#This Row], [Concepto Anterior]],Conceptos_Cumplimiento[#All],5,0),"")</f>
        <v/>
      </c>
      <c r="F2936" t="str">
        <f>+IFERROR(VLOOKUP(Fact_Cumplimiento[[#This Row], 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ht="18.75" customHeight="1" x14ac:dyDescent="0.35">
      <c r="C2937" s="100" t="str">
        <f>IF(OR(Fact_Cumplimiento[[#This Row], [Año]]="",Fact_Cumplimiento[[#This Row], [Mes]]=""),"",DATE(A2937,MATCH(B2937,{"enero","febrero","marzo","abril","mayo","junio","julio","agosto","septiembre","octubre","noviembre","diciembre"},0)+1,0))</f>
        <v/>
      </c>
      <c r="E2937" t="str">
        <f>+IFERROR(VLOOKUP(Fact_Cumplimiento[[#This Row], [Concepto Anterior]],Conceptos_Cumplimiento[#All],5,0),"")</f>
        <v/>
      </c>
      <c r="F2937" t="str">
        <f>+IFERROR(VLOOKUP(Fact_Cumplimiento[[#This Row], 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ht="18.75" customHeight="1" x14ac:dyDescent="0.35">
      <c r="C2938" s="100" t="str">
        <f>IF(OR(Fact_Cumplimiento[[#This Row], [Año]]="",Fact_Cumplimiento[[#This Row], [Mes]]=""),"",DATE(A2938,MATCH(B2938,{"enero","febrero","marzo","abril","mayo","junio","julio","agosto","septiembre","octubre","noviembre","diciembre"},0)+1,0))</f>
        <v/>
      </c>
      <c r="E2938" t="str">
        <f>+IFERROR(VLOOKUP(Fact_Cumplimiento[[#This Row], [Concepto Anterior]],Conceptos_Cumplimiento[#All],5,0),"")</f>
        <v/>
      </c>
      <c r="F2938" t="str">
        <f>+IFERROR(VLOOKUP(Fact_Cumplimiento[[#This Row], 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ht="18.75" customHeight="1" x14ac:dyDescent="0.35">
      <c r="C2939" s="100" t="str">
        <f>IF(OR(Fact_Cumplimiento[[#This Row], [Año]]="",Fact_Cumplimiento[[#This Row], [Mes]]=""),"",DATE(A2939,MATCH(B2939,{"enero","febrero","marzo","abril","mayo","junio","julio","agosto","septiembre","octubre","noviembre","diciembre"},0)+1,0))</f>
        <v/>
      </c>
      <c r="E2939" t="str">
        <f>+IFERROR(VLOOKUP(Fact_Cumplimiento[[#This Row], [Concepto Anterior]],Conceptos_Cumplimiento[#All],5,0),"")</f>
        <v/>
      </c>
      <c r="F2939" t="str">
        <f>+IFERROR(VLOOKUP(Fact_Cumplimiento[[#This Row], 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ht="18.75" customHeight="1" x14ac:dyDescent="0.35">
      <c r="C2940" s="100" t="str">
        <f>IF(OR(Fact_Cumplimiento[[#This Row], [Año]]="",Fact_Cumplimiento[[#This Row], [Mes]]=""),"",DATE(A2940,MATCH(B2940,{"enero","febrero","marzo","abril","mayo","junio","julio","agosto","septiembre","octubre","noviembre","diciembre"},0)+1,0))</f>
        <v/>
      </c>
      <c r="E2940" t="str">
        <f>+IFERROR(VLOOKUP(Fact_Cumplimiento[[#This Row], [Concepto Anterior]],Conceptos_Cumplimiento[#All],5,0),"")</f>
        <v/>
      </c>
      <c r="F2940" t="str">
        <f>+IFERROR(VLOOKUP(Fact_Cumplimiento[[#This Row], 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ht="18.75" customHeight="1" x14ac:dyDescent="0.35">
      <c r="C2941" s="100" t="str">
        <f>IF(OR(Fact_Cumplimiento[[#This Row], [Año]]="",Fact_Cumplimiento[[#This Row], [Mes]]=""),"",DATE(A2941,MATCH(B2941,{"enero","febrero","marzo","abril","mayo","junio","julio","agosto","septiembre","octubre","noviembre","diciembre"},0)+1,0))</f>
        <v/>
      </c>
      <c r="E2941" t="str">
        <f>+IFERROR(VLOOKUP(Fact_Cumplimiento[[#This Row], [Concepto Anterior]],Conceptos_Cumplimiento[#All],5,0),"")</f>
        <v/>
      </c>
      <c r="F2941" t="str">
        <f>+IFERROR(VLOOKUP(Fact_Cumplimiento[[#This Row], 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ht="18.75" customHeight="1" x14ac:dyDescent="0.35">
      <c r="C2942" s="100" t="str">
        <f>IF(OR(Fact_Cumplimiento[[#This Row], [Año]]="",Fact_Cumplimiento[[#This Row], [Mes]]=""),"",DATE(A2942,MATCH(B2942,{"enero","febrero","marzo","abril","mayo","junio","julio","agosto","septiembre","octubre","noviembre","diciembre"},0)+1,0))</f>
        <v/>
      </c>
      <c r="E2942" t="str">
        <f>+IFERROR(VLOOKUP(Fact_Cumplimiento[[#This Row], [Concepto Anterior]],Conceptos_Cumplimiento[#All],5,0),"")</f>
        <v/>
      </c>
      <c r="F2942" t="str">
        <f>+IFERROR(VLOOKUP(Fact_Cumplimiento[[#This Row], 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ht="18.75" customHeight="1" x14ac:dyDescent="0.35">
      <c r="C2943" s="100" t="str">
        <f>IF(OR(Fact_Cumplimiento[[#This Row], [Año]]="",Fact_Cumplimiento[[#This Row], [Mes]]=""),"",DATE(A2943,MATCH(B2943,{"enero","febrero","marzo","abril","mayo","junio","julio","agosto","septiembre","octubre","noviembre","diciembre"},0)+1,0))</f>
        <v/>
      </c>
      <c r="E2943" t="str">
        <f>+IFERROR(VLOOKUP(Fact_Cumplimiento[[#This Row], [Concepto Anterior]],Conceptos_Cumplimiento[#All],5,0),"")</f>
        <v/>
      </c>
      <c r="F2943" t="str">
        <f>+IFERROR(VLOOKUP(Fact_Cumplimiento[[#This Row], 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ht="18.75" customHeight="1" x14ac:dyDescent="0.35">
      <c r="C2944" s="100" t="str">
        <f>IF(OR(Fact_Cumplimiento[[#This Row], [Año]]="",Fact_Cumplimiento[[#This Row], [Mes]]=""),"",DATE(A2944,MATCH(B2944,{"enero","febrero","marzo","abril","mayo","junio","julio","agosto","septiembre","octubre","noviembre","diciembre"},0)+1,0))</f>
        <v/>
      </c>
      <c r="E2944" t="str">
        <f>+IFERROR(VLOOKUP(Fact_Cumplimiento[[#This Row], [Concepto Anterior]],Conceptos_Cumplimiento[#All],5,0),"")</f>
        <v/>
      </c>
      <c r="F2944" t="str">
        <f>+IFERROR(VLOOKUP(Fact_Cumplimiento[[#This Row], 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ht="18.75" customHeight="1" x14ac:dyDescent="0.35">
      <c r="C2945" s="100" t="str">
        <f>IF(OR(Fact_Cumplimiento[[#This Row], [Año]]="",Fact_Cumplimiento[[#This Row], [Mes]]=""),"",DATE(A2945,MATCH(B2945,{"enero","febrero","marzo","abril","mayo","junio","julio","agosto","septiembre","octubre","noviembre","diciembre"},0)+1,0))</f>
        <v/>
      </c>
      <c r="E2945" t="str">
        <f>+IFERROR(VLOOKUP(Fact_Cumplimiento[[#This Row], [Concepto Anterior]],Conceptos_Cumplimiento[#All],5,0),"")</f>
        <v/>
      </c>
      <c r="F2945" t="str">
        <f>+IFERROR(VLOOKUP(Fact_Cumplimiento[[#This Row], 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ht="18.75" customHeight="1" x14ac:dyDescent="0.35">
      <c r="C2946" s="100" t="str">
        <f>IF(OR(Fact_Cumplimiento[[#This Row], [Año]]="",Fact_Cumplimiento[[#This Row], [Mes]]=""),"",DATE(A2946,MATCH(B2946,{"enero","febrero","marzo","abril","mayo","junio","julio","agosto","septiembre","octubre","noviembre","diciembre"},0)+1,0))</f>
        <v/>
      </c>
      <c r="E2946" t="str">
        <f>+IFERROR(VLOOKUP(Fact_Cumplimiento[[#This Row], [Concepto Anterior]],Conceptos_Cumplimiento[#All],5,0),"")</f>
        <v/>
      </c>
      <c r="F2946" t="str">
        <f>+IFERROR(VLOOKUP(Fact_Cumplimiento[[#This Row], 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ht="18.75" customHeight="1" x14ac:dyDescent="0.35">
      <c r="C2947" s="100" t="str">
        <f>IF(OR(Fact_Cumplimiento[[#This Row], [Año]]="",Fact_Cumplimiento[[#This Row], [Mes]]=""),"",DATE(A2947,MATCH(B2947,{"enero","febrero","marzo","abril","mayo","junio","julio","agosto","septiembre","octubre","noviembre","diciembre"},0)+1,0))</f>
        <v/>
      </c>
      <c r="E2947" t="str">
        <f>+IFERROR(VLOOKUP(Fact_Cumplimiento[[#This Row], [Concepto Anterior]],Conceptos_Cumplimiento[#All],5,0),"")</f>
        <v/>
      </c>
      <c r="F2947" t="str">
        <f>+IFERROR(VLOOKUP(Fact_Cumplimiento[[#This Row], 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ht="18.75" customHeight="1" x14ac:dyDescent="0.35">
      <c r="C2948" s="100" t="str">
        <f>IF(OR(Fact_Cumplimiento[[#This Row], [Año]]="",Fact_Cumplimiento[[#This Row], [Mes]]=""),"",DATE(A2948,MATCH(B2948,{"enero","febrero","marzo","abril","mayo","junio","julio","agosto","septiembre","octubre","noviembre","diciembre"},0)+1,0))</f>
        <v/>
      </c>
      <c r="E2948" t="str">
        <f>+IFERROR(VLOOKUP(Fact_Cumplimiento[[#This Row], [Concepto Anterior]],Conceptos_Cumplimiento[#All],5,0),"")</f>
        <v/>
      </c>
      <c r="F2948" t="str">
        <f>+IFERROR(VLOOKUP(Fact_Cumplimiento[[#This Row], 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ht="18.75" customHeight="1" x14ac:dyDescent="0.35">
      <c r="C2949" s="100" t="str">
        <f>IF(OR(Fact_Cumplimiento[[#This Row], [Año]]="",Fact_Cumplimiento[[#This Row], [Mes]]=""),"",DATE(A2949,MATCH(B2949,{"enero","febrero","marzo","abril","mayo","junio","julio","agosto","septiembre","octubre","noviembre","diciembre"},0)+1,0))</f>
        <v/>
      </c>
      <c r="E2949" t="str">
        <f>+IFERROR(VLOOKUP(Fact_Cumplimiento[[#This Row], [Concepto Anterior]],Conceptos_Cumplimiento[#All],5,0),"")</f>
        <v/>
      </c>
      <c r="F2949" t="str">
        <f>+IFERROR(VLOOKUP(Fact_Cumplimiento[[#This Row], 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ht="18.75" customHeight="1" x14ac:dyDescent="0.35">
      <c r="C2950" s="100" t="str">
        <f>IF(OR(Fact_Cumplimiento[[#This Row], [Año]]="",Fact_Cumplimiento[[#This Row], [Mes]]=""),"",DATE(A2950,MATCH(B2950,{"enero","febrero","marzo","abril","mayo","junio","julio","agosto","septiembre","octubre","noviembre","diciembre"},0)+1,0))</f>
        <v/>
      </c>
      <c r="E2950" t="str">
        <f>+IFERROR(VLOOKUP(Fact_Cumplimiento[[#This Row], [Concepto Anterior]],Conceptos_Cumplimiento[#All],5,0),"")</f>
        <v/>
      </c>
      <c r="F2950" t="str">
        <f>+IFERROR(VLOOKUP(Fact_Cumplimiento[[#This Row], 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ht="18.75" customHeight="1" x14ac:dyDescent="0.35">
      <c r="C2951" s="100" t="str">
        <f>IF(OR(Fact_Cumplimiento[[#This Row], [Año]]="",Fact_Cumplimiento[[#This Row], [Mes]]=""),"",DATE(A2951,MATCH(B2951,{"enero","febrero","marzo","abril","mayo","junio","julio","agosto","septiembre","octubre","noviembre","diciembre"},0)+1,0))</f>
        <v/>
      </c>
      <c r="E2951" t="str">
        <f>+IFERROR(VLOOKUP(Fact_Cumplimiento[[#This Row], [Concepto Anterior]],Conceptos_Cumplimiento[#All],5,0),"")</f>
        <v/>
      </c>
      <c r="F2951" t="str">
        <f>+IFERROR(VLOOKUP(Fact_Cumplimiento[[#This Row], 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ht="18.75" customHeight="1" x14ac:dyDescent="0.35">
      <c r="C2952" s="100" t="str">
        <f>IF(OR(Fact_Cumplimiento[[#This Row], [Año]]="",Fact_Cumplimiento[[#This Row], [Mes]]=""),"",DATE(A2952,MATCH(B2952,{"enero","febrero","marzo","abril","mayo","junio","julio","agosto","septiembre","octubre","noviembre","diciembre"},0)+1,0))</f>
        <v/>
      </c>
      <c r="E2952" t="str">
        <f>+IFERROR(VLOOKUP(Fact_Cumplimiento[[#This Row], [Concepto Anterior]],Conceptos_Cumplimiento[#All],5,0),"")</f>
        <v/>
      </c>
      <c r="F2952" t="str">
        <f>+IFERROR(VLOOKUP(Fact_Cumplimiento[[#This Row], 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ht="18.75" customHeight="1" x14ac:dyDescent="0.35">
      <c r="C2953" s="100" t="str">
        <f>IF(OR(Fact_Cumplimiento[[#This Row], [Año]]="",Fact_Cumplimiento[[#This Row], [Mes]]=""),"",DATE(A2953,MATCH(B2953,{"enero","febrero","marzo","abril","mayo","junio","julio","agosto","septiembre","octubre","noviembre","diciembre"},0)+1,0))</f>
        <v/>
      </c>
      <c r="E2953" t="str">
        <f>+IFERROR(VLOOKUP(Fact_Cumplimiento[[#This Row], [Concepto Anterior]],Conceptos_Cumplimiento[#All],5,0),"")</f>
        <v/>
      </c>
      <c r="F2953" t="str">
        <f>+IFERROR(VLOOKUP(Fact_Cumplimiento[[#This Row], 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ht="18.75" customHeight="1" x14ac:dyDescent="0.35">
      <c r="C2954" s="100" t="str">
        <f>IF(OR(Fact_Cumplimiento[[#This Row], [Año]]="",Fact_Cumplimiento[[#This Row], [Mes]]=""),"",DATE(A2954,MATCH(B2954,{"enero","febrero","marzo","abril","mayo","junio","julio","agosto","septiembre","octubre","noviembre","diciembre"},0)+1,0))</f>
        <v/>
      </c>
      <c r="E2954" t="str">
        <f>+IFERROR(VLOOKUP(Fact_Cumplimiento[[#This Row], [Concepto Anterior]],Conceptos_Cumplimiento[#All],5,0),"")</f>
        <v/>
      </c>
      <c r="F2954" t="str">
        <f>+IFERROR(VLOOKUP(Fact_Cumplimiento[[#This Row], 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ht="18.75" customHeight="1" x14ac:dyDescent="0.35">
      <c r="C2955" s="100" t="str">
        <f>IF(OR(Fact_Cumplimiento[[#This Row], [Año]]="",Fact_Cumplimiento[[#This Row], [Mes]]=""),"",DATE(A2955,MATCH(B2955,{"enero","febrero","marzo","abril","mayo","junio","julio","agosto","septiembre","octubre","noviembre","diciembre"},0)+1,0))</f>
        <v/>
      </c>
      <c r="E2955" t="str">
        <f>+IFERROR(VLOOKUP(Fact_Cumplimiento[[#This Row], [Concepto Anterior]],Conceptos_Cumplimiento[#All],5,0),"")</f>
        <v/>
      </c>
      <c r="F2955" t="str">
        <f>+IFERROR(VLOOKUP(Fact_Cumplimiento[[#This Row], 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ht="18.75" customHeight="1" x14ac:dyDescent="0.35">
      <c r="C2956" s="100" t="str">
        <f>IF(OR(Fact_Cumplimiento[[#This Row], [Año]]="",Fact_Cumplimiento[[#This Row], [Mes]]=""),"",DATE(A2956,MATCH(B2956,{"enero","febrero","marzo","abril","mayo","junio","julio","agosto","septiembre","octubre","noviembre","diciembre"},0)+1,0))</f>
        <v/>
      </c>
      <c r="E2956" t="str">
        <f>+IFERROR(VLOOKUP(Fact_Cumplimiento[[#This Row], [Concepto Anterior]],Conceptos_Cumplimiento[#All],5,0),"")</f>
        <v/>
      </c>
      <c r="F2956" t="str">
        <f>+IFERROR(VLOOKUP(Fact_Cumplimiento[[#This Row], 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ht="18.75" customHeight="1" x14ac:dyDescent="0.35">
      <c r="C2957" s="100" t="str">
        <f>IF(OR(Fact_Cumplimiento[[#This Row], [Año]]="",Fact_Cumplimiento[[#This Row], [Mes]]=""),"",DATE(A2957,MATCH(B2957,{"enero","febrero","marzo","abril","mayo","junio","julio","agosto","septiembre","octubre","noviembre","diciembre"},0)+1,0))</f>
        <v/>
      </c>
      <c r="E2957" t="str">
        <f>+IFERROR(VLOOKUP(Fact_Cumplimiento[[#This Row], [Concepto Anterior]],Conceptos_Cumplimiento[#All],5,0),"")</f>
        <v/>
      </c>
      <c r="F2957" t="str">
        <f>+IFERROR(VLOOKUP(Fact_Cumplimiento[[#This Row], 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ht="18.75" customHeight="1" x14ac:dyDescent="0.35">
      <c r="C2958" s="100" t="str">
        <f>IF(OR(Fact_Cumplimiento[[#This Row], [Año]]="",Fact_Cumplimiento[[#This Row], [Mes]]=""),"",DATE(A2958,MATCH(B2958,{"enero","febrero","marzo","abril","mayo","junio","julio","agosto","septiembre","octubre","noviembre","diciembre"},0)+1,0))</f>
        <v/>
      </c>
      <c r="E2958" t="str">
        <f>+IFERROR(VLOOKUP(Fact_Cumplimiento[[#This Row], [Concepto Anterior]],Conceptos_Cumplimiento[#All],5,0),"")</f>
        <v/>
      </c>
      <c r="F2958" t="str">
        <f>+IFERROR(VLOOKUP(Fact_Cumplimiento[[#This Row], 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ht="18.75" customHeight="1" x14ac:dyDescent="0.35">
      <c r="C2959" s="100" t="str">
        <f>IF(OR(Fact_Cumplimiento[[#This Row], [Año]]="",Fact_Cumplimiento[[#This Row], [Mes]]=""),"",DATE(A2959,MATCH(B2959,{"enero","febrero","marzo","abril","mayo","junio","julio","agosto","septiembre","octubre","noviembre","diciembre"},0)+1,0))</f>
        <v/>
      </c>
      <c r="E2959" t="str">
        <f>+IFERROR(VLOOKUP(Fact_Cumplimiento[[#This Row], [Concepto Anterior]],Conceptos_Cumplimiento[#All],5,0),"")</f>
        <v/>
      </c>
      <c r="F2959" t="str">
        <f>+IFERROR(VLOOKUP(Fact_Cumplimiento[[#This Row], 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ht="18.75" customHeight="1" x14ac:dyDescent="0.35">
      <c r="C2960" s="100" t="str">
        <f>IF(OR(Fact_Cumplimiento[[#This Row], [Año]]="",Fact_Cumplimiento[[#This Row], [Mes]]=""),"",DATE(A2960,MATCH(B2960,{"enero","febrero","marzo","abril","mayo","junio","julio","agosto","septiembre","octubre","noviembre","diciembre"},0)+1,0))</f>
        <v/>
      </c>
      <c r="E2960" t="str">
        <f>+IFERROR(VLOOKUP(Fact_Cumplimiento[[#This Row], [Concepto Anterior]],Conceptos_Cumplimiento[#All],5,0),"")</f>
        <v/>
      </c>
      <c r="F2960" t="str">
        <f>+IFERROR(VLOOKUP(Fact_Cumplimiento[[#This Row], 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ht="18.75" customHeight="1" x14ac:dyDescent="0.35">
      <c r="C2961" s="100" t="str">
        <f>IF(OR(Fact_Cumplimiento[[#This Row], [Año]]="",Fact_Cumplimiento[[#This Row], [Mes]]=""),"",DATE(A2961,MATCH(B2961,{"enero","febrero","marzo","abril","mayo","junio","julio","agosto","septiembre","octubre","noviembre","diciembre"},0)+1,0))</f>
        <v/>
      </c>
      <c r="E2961" t="str">
        <f>+IFERROR(VLOOKUP(Fact_Cumplimiento[[#This Row], [Concepto Anterior]],Conceptos_Cumplimiento[#All],5,0),"")</f>
        <v/>
      </c>
      <c r="F2961" t="str">
        <f>+IFERROR(VLOOKUP(Fact_Cumplimiento[[#This Row], 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ht="18.75" customHeight="1" x14ac:dyDescent="0.35">
      <c r="C2962" s="100" t="str">
        <f>IF(OR(Fact_Cumplimiento[[#This Row], [Año]]="",Fact_Cumplimiento[[#This Row], [Mes]]=""),"",DATE(A2962,MATCH(B2962,{"enero","febrero","marzo","abril","mayo","junio","julio","agosto","septiembre","octubre","noviembre","diciembre"},0)+1,0))</f>
        <v/>
      </c>
      <c r="E2962" t="str">
        <f>+IFERROR(VLOOKUP(Fact_Cumplimiento[[#This Row], [Concepto Anterior]],Conceptos_Cumplimiento[#All],5,0),"")</f>
        <v/>
      </c>
      <c r="F2962" t="str">
        <f>+IFERROR(VLOOKUP(Fact_Cumplimiento[[#This Row], 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ht="18.75" customHeight="1" x14ac:dyDescent="0.35">
      <c r="C2963" s="100" t="str">
        <f>IF(OR(Fact_Cumplimiento[[#This Row], [Año]]="",Fact_Cumplimiento[[#This Row], [Mes]]=""),"",DATE(A2963,MATCH(B2963,{"enero","febrero","marzo","abril","mayo","junio","julio","agosto","septiembre","octubre","noviembre","diciembre"},0)+1,0))</f>
        <v/>
      </c>
      <c r="E2963" t="str">
        <f>+IFERROR(VLOOKUP(Fact_Cumplimiento[[#This Row], [Concepto Anterior]],Conceptos_Cumplimiento[#All],5,0),"")</f>
        <v/>
      </c>
      <c r="F2963" t="str">
        <f>+IFERROR(VLOOKUP(Fact_Cumplimiento[[#This Row], 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ht="18.75" customHeight="1" x14ac:dyDescent="0.35">
      <c r="C2964" s="100" t="str">
        <f>IF(OR(Fact_Cumplimiento[[#This Row], [Año]]="",Fact_Cumplimiento[[#This Row], [Mes]]=""),"",DATE(A2964,MATCH(B2964,{"enero","febrero","marzo","abril","mayo","junio","julio","agosto","septiembre","octubre","noviembre","diciembre"},0)+1,0))</f>
        <v/>
      </c>
      <c r="E2964" t="str">
        <f>+IFERROR(VLOOKUP(Fact_Cumplimiento[[#This Row], [Concepto Anterior]],Conceptos_Cumplimiento[#All],5,0),"")</f>
        <v/>
      </c>
      <c r="F2964" t="str">
        <f>+IFERROR(VLOOKUP(Fact_Cumplimiento[[#This Row], 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ht="18.75" customHeight="1" x14ac:dyDescent="0.35">
      <c r="C2965" s="100" t="str">
        <f>IF(OR(Fact_Cumplimiento[[#This Row], [Año]]="",Fact_Cumplimiento[[#This Row], [Mes]]=""),"",DATE(A2965,MATCH(B2965,{"enero","febrero","marzo","abril","mayo","junio","julio","agosto","septiembre","octubre","noviembre","diciembre"},0)+1,0))</f>
        <v/>
      </c>
      <c r="E2965" t="str">
        <f>+IFERROR(VLOOKUP(Fact_Cumplimiento[[#This Row], [Concepto Anterior]],Conceptos_Cumplimiento[#All],5,0),"")</f>
        <v/>
      </c>
      <c r="F2965" t="str">
        <f>+IFERROR(VLOOKUP(Fact_Cumplimiento[[#This Row], 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ht="18.75" customHeight="1" x14ac:dyDescent="0.35">
      <c r="C2966" s="100" t="str">
        <f>IF(OR(Fact_Cumplimiento[[#This Row], [Año]]="",Fact_Cumplimiento[[#This Row], [Mes]]=""),"",DATE(A2966,MATCH(B2966,{"enero","febrero","marzo","abril","mayo","junio","julio","agosto","septiembre","octubre","noviembre","diciembre"},0)+1,0))</f>
        <v/>
      </c>
      <c r="E2966" t="str">
        <f>+IFERROR(VLOOKUP(Fact_Cumplimiento[[#This Row], [Concepto Anterior]],Conceptos_Cumplimiento[#All],5,0),"")</f>
        <v/>
      </c>
      <c r="F2966" t="str">
        <f>+IFERROR(VLOOKUP(Fact_Cumplimiento[[#This Row], 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ht="18.75" customHeight="1" x14ac:dyDescent="0.35">
      <c r="C2967" s="100" t="str">
        <f>IF(OR(Fact_Cumplimiento[[#This Row], [Año]]="",Fact_Cumplimiento[[#This Row], [Mes]]=""),"",DATE(A2967,MATCH(B2967,{"enero","febrero","marzo","abril","mayo","junio","julio","agosto","septiembre","octubre","noviembre","diciembre"},0)+1,0))</f>
        <v/>
      </c>
      <c r="E2967" t="str">
        <f>+IFERROR(VLOOKUP(Fact_Cumplimiento[[#This Row], [Concepto Anterior]],Conceptos_Cumplimiento[#All],5,0),"")</f>
        <v/>
      </c>
      <c r="F2967" t="str">
        <f>+IFERROR(VLOOKUP(Fact_Cumplimiento[[#This Row], 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ht="18.75" customHeight="1" x14ac:dyDescent="0.35">
      <c r="C2968" s="100" t="str">
        <f>IF(OR(Fact_Cumplimiento[[#This Row], [Año]]="",Fact_Cumplimiento[[#This Row], [Mes]]=""),"",DATE(A2968,MATCH(B2968,{"enero","febrero","marzo","abril","mayo","junio","julio","agosto","septiembre","octubre","noviembre","diciembre"},0)+1,0))</f>
        <v/>
      </c>
      <c r="E2968" t="str">
        <f>+IFERROR(VLOOKUP(Fact_Cumplimiento[[#This Row], [Concepto Anterior]],Conceptos_Cumplimiento[#All],5,0),"")</f>
        <v/>
      </c>
      <c r="F2968" t="str">
        <f>+IFERROR(VLOOKUP(Fact_Cumplimiento[[#This Row], 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ht="18.75" customHeight="1" x14ac:dyDescent="0.35">
      <c r="C2969" s="100" t="str">
        <f>IF(OR(Fact_Cumplimiento[[#This Row], [Año]]="",Fact_Cumplimiento[[#This Row], [Mes]]=""),"",DATE(A2969,MATCH(B2969,{"enero","febrero","marzo","abril","mayo","junio","julio","agosto","septiembre","octubre","noviembre","diciembre"},0)+1,0))</f>
        <v/>
      </c>
      <c r="E2969" t="str">
        <f>+IFERROR(VLOOKUP(Fact_Cumplimiento[[#This Row], [Concepto Anterior]],Conceptos_Cumplimiento[#All],5,0),"")</f>
        <v/>
      </c>
      <c r="F2969" t="str">
        <f>+IFERROR(VLOOKUP(Fact_Cumplimiento[[#This Row], 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ht="18.75" customHeight="1" x14ac:dyDescent="0.35">
      <c r="C2970" s="100" t="str">
        <f>IF(OR(Fact_Cumplimiento[[#This Row], [Año]]="",Fact_Cumplimiento[[#This Row], [Mes]]=""),"",DATE(A2970,MATCH(B2970,{"enero","febrero","marzo","abril","mayo","junio","julio","agosto","septiembre","octubre","noviembre","diciembre"},0)+1,0))</f>
        <v/>
      </c>
      <c r="E2970" t="str">
        <f>+IFERROR(VLOOKUP(Fact_Cumplimiento[[#This Row], [Concepto Anterior]],Conceptos_Cumplimiento[#All],5,0),"")</f>
        <v/>
      </c>
      <c r="F2970" t="str">
        <f>+IFERROR(VLOOKUP(Fact_Cumplimiento[[#This Row], 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ht="18.75" customHeight="1" x14ac:dyDescent="0.35">
      <c r="C2971" s="100" t="str">
        <f>IF(OR(Fact_Cumplimiento[[#This Row], [Año]]="",Fact_Cumplimiento[[#This Row], [Mes]]=""),"",DATE(A2971,MATCH(B2971,{"enero","febrero","marzo","abril","mayo","junio","julio","agosto","septiembre","octubre","noviembre","diciembre"},0)+1,0))</f>
        <v/>
      </c>
      <c r="E2971" t="str">
        <f>+IFERROR(VLOOKUP(Fact_Cumplimiento[[#This Row], [Concepto Anterior]],Conceptos_Cumplimiento[#All],5,0),"")</f>
        <v/>
      </c>
      <c r="F2971" t="str">
        <f>+IFERROR(VLOOKUP(Fact_Cumplimiento[[#This Row], 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ht="18.75" customHeight="1" x14ac:dyDescent="0.35">
      <c r="C2972" s="100" t="str">
        <f>IF(OR(Fact_Cumplimiento[[#This Row], [Año]]="",Fact_Cumplimiento[[#This Row], [Mes]]=""),"",DATE(A2972,MATCH(B2972,{"enero","febrero","marzo","abril","mayo","junio","julio","agosto","septiembre","octubre","noviembre","diciembre"},0)+1,0))</f>
        <v/>
      </c>
      <c r="E2972" t="str">
        <f>+IFERROR(VLOOKUP(Fact_Cumplimiento[[#This Row], [Concepto Anterior]],Conceptos_Cumplimiento[#All],5,0),"")</f>
        <v/>
      </c>
      <c r="F2972" t="str">
        <f>+IFERROR(VLOOKUP(Fact_Cumplimiento[[#This Row], 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ht="18.75" customHeight="1" x14ac:dyDescent="0.35">
      <c r="C2973" s="100" t="str">
        <f>IF(OR(Fact_Cumplimiento[[#This Row], [Año]]="",Fact_Cumplimiento[[#This Row], [Mes]]=""),"",DATE(A2973,MATCH(B2973,{"enero","febrero","marzo","abril","mayo","junio","julio","agosto","septiembre","octubre","noviembre","diciembre"},0)+1,0))</f>
        <v/>
      </c>
      <c r="E2973" t="str">
        <f>+IFERROR(VLOOKUP(Fact_Cumplimiento[[#This Row], [Concepto Anterior]],Conceptos_Cumplimiento[#All],5,0),"")</f>
        <v/>
      </c>
      <c r="F2973" t="str">
        <f>+IFERROR(VLOOKUP(Fact_Cumplimiento[[#This Row], 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ht="18.75" customHeight="1" x14ac:dyDescent="0.35">
      <c r="C2974" s="100" t="str">
        <f>IF(OR(Fact_Cumplimiento[[#This Row], [Año]]="",Fact_Cumplimiento[[#This Row], [Mes]]=""),"",DATE(A2974,MATCH(B2974,{"enero","febrero","marzo","abril","mayo","junio","julio","agosto","septiembre","octubre","noviembre","diciembre"},0)+1,0))</f>
        <v/>
      </c>
      <c r="E2974" t="str">
        <f>+IFERROR(VLOOKUP(Fact_Cumplimiento[[#This Row], [Concepto Anterior]],Conceptos_Cumplimiento[#All],5,0),"")</f>
        <v/>
      </c>
      <c r="F2974" t="str">
        <f>+IFERROR(VLOOKUP(Fact_Cumplimiento[[#This Row], 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ht="18.75" customHeight="1" x14ac:dyDescent="0.35">
      <c r="C2975" s="100" t="str">
        <f>IF(OR(Fact_Cumplimiento[[#This Row], [Año]]="",Fact_Cumplimiento[[#This Row], [Mes]]=""),"",DATE(A2975,MATCH(B2975,{"enero","febrero","marzo","abril","mayo","junio","julio","agosto","septiembre","octubre","noviembre","diciembre"},0)+1,0))</f>
        <v/>
      </c>
      <c r="E2975" t="str">
        <f>+IFERROR(VLOOKUP(Fact_Cumplimiento[[#This Row], [Concepto Anterior]],Conceptos_Cumplimiento[#All],5,0),"")</f>
        <v/>
      </c>
      <c r="F2975" t="str">
        <f>+IFERROR(VLOOKUP(Fact_Cumplimiento[[#This Row], 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ht="18.75" customHeight="1" x14ac:dyDescent="0.35">
      <c r="C2976" s="100" t="str">
        <f>IF(OR(Fact_Cumplimiento[[#This Row], [Año]]="",Fact_Cumplimiento[[#This Row], [Mes]]=""),"",DATE(A2976,MATCH(B2976,{"enero","febrero","marzo","abril","mayo","junio","julio","agosto","septiembre","octubre","noviembre","diciembre"},0)+1,0))</f>
        <v/>
      </c>
      <c r="E2976" t="str">
        <f>+IFERROR(VLOOKUP(Fact_Cumplimiento[[#This Row], [Concepto Anterior]],Conceptos_Cumplimiento[#All],5,0),"")</f>
        <v/>
      </c>
      <c r="F2976" t="str">
        <f>+IFERROR(VLOOKUP(Fact_Cumplimiento[[#This Row], 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ht="18.75" customHeight="1" x14ac:dyDescent="0.35">
      <c r="C2977" s="100" t="str">
        <f>IF(OR(Fact_Cumplimiento[[#This Row], [Año]]="",Fact_Cumplimiento[[#This Row], [Mes]]=""),"",DATE(A2977,MATCH(B2977,{"enero","febrero","marzo","abril","mayo","junio","julio","agosto","septiembre","octubre","noviembre","diciembre"},0)+1,0))</f>
        <v/>
      </c>
      <c r="E2977" t="str">
        <f>+IFERROR(VLOOKUP(Fact_Cumplimiento[[#This Row], [Concepto Anterior]],Conceptos_Cumplimiento[#All],5,0),"")</f>
        <v/>
      </c>
      <c r="F2977" t="str">
        <f>+IFERROR(VLOOKUP(Fact_Cumplimiento[[#This Row], 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ht="18.75" customHeight="1" x14ac:dyDescent="0.35">
      <c r="C2978" s="100" t="str">
        <f>IF(OR(Fact_Cumplimiento[[#This Row], [Año]]="",Fact_Cumplimiento[[#This Row], [Mes]]=""),"",DATE(A2978,MATCH(B2978,{"enero","febrero","marzo","abril","mayo","junio","julio","agosto","septiembre","octubre","noviembre","diciembre"},0)+1,0))</f>
        <v/>
      </c>
      <c r="E2978" t="str">
        <f>+IFERROR(VLOOKUP(Fact_Cumplimiento[[#This Row], [Concepto Anterior]],Conceptos_Cumplimiento[#All],5,0),"")</f>
        <v/>
      </c>
      <c r="F2978" t="str">
        <f>+IFERROR(VLOOKUP(Fact_Cumplimiento[[#This Row], 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ht="18.75" customHeight="1" x14ac:dyDescent="0.35">
      <c r="C2979" s="100" t="str">
        <f>IF(OR(Fact_Cumplimiento[[#This Row], [Año]]="",Fact_Cumplimiento[[#This Row], [Mes]]=""),"",DATE(A2979,MATCH(B2979,{"enero","febrero","marzo","abril","mayo","junio","julio","agosto","septiembre","octubre","noviembre","diciembre"},0)+1,0))</f>
        <v/>
      </c>
      <c r="E2979" t="str">
        <f>+IFERROR(VLOOKUP(Fact_Cumplimiento[[#This Row], [Concepto Anterior]],Conceptos_Cumplimiento[#All],5,0),"")</f>
        <v/>
      </c>
      <c r="F2979" t="str">
        <f>+IFERROR(VLOOKUP(Fact_Cumplimiento[[#This Row], 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ht="18.75" customHeight="1" x14ac:dyDescent="0.35">
      <c r="C2980" s="100" t="str">
        <f>IF(OR(Fact_Cumplimiento[[#This Row], [Año]]="",Fact_Cumplimiento[[#This Row], [Mes]]=""),"",DATE(A2980,MATCH(B2980,{"enero","febrero","marzo","abril","mayo","junio","julio","agosto","septiembre","octubre","noviembre","diciembre"},0)+1,0))</f>
        <v/>
      </c>
      <c r="E2980" t="str">
        <f>+IFERROR(VLOOKUP(Fact_Cumplimiento[[#This Row], [Concepto Anterior]],Conceptos_Cumplimiento[#All],5,0),"")</f>
        <v/>
      </c>
      <c r="F2980" t="str">
        <f>+IFERROR(VLOOKUP(Fact_Cumplimiento[[#This Row], 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ht="18.75" customHeight="1" x14ac:dyDescent="0.35">
      <c r="C2981" s="100" t="str">
        <f>IF(OR(Fact_Cumplimiento[[#This Row], [Año]]="",Fact_Cumplimiento[[#This Row], [Mes]]=""),"",DATE(A2981,MATCH(B2981,{"enero","febrero","marzo","abril","mayo","junio","julio","agosto","septiembre","octubre","noviembre","diciembre"},0)+1,0))</f>
        <v/>
      </c>
      <c r="E2981" t="str">
        <f>+IFERROR(VLOOKUP(Fact_Cumplimiento[[#This Row], [Concepto Anterior]],Conceptos_Cumplimiento[#All],5,0),"")</f>
        <v/>
      </c>
      <c r="F2981" t="str">
        <f>+IFERROR(VLOOKUP(Fact_Cumplimiento[[#This Row], 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ht="18.75" customHeight="1" x14ac:dyDescent="0.35">
      <c r="C2982" s="100" t="str">
        <f>IF(OR(Fact_Cumplimiento[[#This Row], [Año]]="",Fact_Cumplimiento[[#This Row], [Mes]]=""),"",DATE(A2982,MATCH(B2982,{"enero","febrero","marzo","abril","mayo","junio","julio","agosto","septiembre","octubre","noviembre","diciembre"},0)+1,0))</f>
        <v/>
      </c>
      <c r="E2982" t="str">
        <f>+IFERROR(VLOOKUP(Fact_Cumplimiento[[#This Row], [Concepto Anterior]],Conceptos_Cumplimiento[#All],5,0),"")</f>
        <v/>
      </c>
      <c r="F2982" t="str">
        <f>+IFERROR(VLOOKUP(Fact_Cumplimiento[[#This Row], 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ht="18.75" customHeight="1" x14ac:dyDescent="0.35">
      <c r="C2983" s="100" t="str">
        <f>IF(OR(Fact_Cumplimiento[[#This Row], [Año]]="",Fact_Cumplimiento[[#This Row], [Mes]]=""),"",DATE(A2983,MATCH(B2983,{"enero","febrero","marzo","abril","mayo","junio","julio","agosto","septiembre","octubre","noviembre","diciembre"},0)+1,0))</f>
        <v/>
      </c>
      <c r="E2983" t="str">
        <f>+IFERROR(VLOOKUP(Fact_Cumplimiento[[#This Row], [Concepto Anterior]],Conceptos_Cumplimiento[#All],5,0),"")</f>
        <v/>
      </c>
      <c r="F2983" t="str">
        <f>+IFERROR(VLOOKUP(Fact_Cumplimiento[[#This Row], 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ht="18.75" customHeight="1" x14ac:dyDescent="0.35">
      <c r="C2984" s="100" t="str">
        <f>IF(OR(Fact_Cumplimiento[[#This Row], [Año]]="",Fact_Cumplimiento[[#This Row], [Mes]]=""),"",DATE(A2984,MATCH(B2984,{"enero","febrero","marzo","abril","mayo","junio","julio","agosto","septiembre","octubre","noviembre","diciembre"},0)+1,0))</f>
        <v/>
      </c>
      <c r="E2984" t="str">
        <f>+IFERROR(VLOOKUP(Fact_Cumplimiento[[#This Row], [Concepto Anterior]],Conceptos_Cumplimiento[#All],5,0),"")</f>
        <v/>
      </c>
      <c r="F2984" t="str">
        <f>+IFERROR(VLOOKUP(Fact_Cumplimiento[[#This Row], 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ht="18.75" customHeight="1" x14ac:dyDescent="0.35">
      <c r="C2985" s="100" t="str">
        <f>IF(OR(Fact_Cumplimiento[[#This Row], [Año]]="",Fact_Cumplimiento[[#This Row], [Mes]]=""),"",DATE(A2985,MATCH(B2985,{"enero","febrero","marzo","abril","mayo","junio","julio","agosto","septiembre","octubre","noviembre","diciembre"},0)+1,0))</f>
        <v/>
      </c>
      <c r="E2985" t="str">
        <f>+IFERROR(VLOOKUP(Fact_Cumplimiento[[#This Row], [Concepto Anterior]],Conceptos_Cumplimiento[#All],5,0),"")</f>
        <v/>
      </c>
      <c r="F2985" t="str">
        <f>+IFERROR(VLOOKUP(Fact_Cumplimiento[[#This Row], 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ht="18.75" customHeight="1" x14ac:dyDescent="0.35">
      <c r="C2986" s="100" t="str">
        <f>IF(OR(Fact_Cumplimiento[[#This Row], [Año]]="",Fact_Cumplimiento[[#This Row], [Mes]]=""),"",DATE(A2986,MATCH(B2986,{"enero","febrero","marzo","abril","mayo","junio","julio","agosto","septiembre","octubre","noviembre","diciembre"},0)+1,0))</f>
        <v/>
      </c>
      <c r="E2986" t="str">
        <f>+IFERROR(VLOOKUP(Fact_Cumplimiento[[#This Row], [Concepto Anterior]],Conceptos_Cumplimiento[#All],5,0),"")</f>
        <v/>
      </c>
      <c r="F2986" t="str">
        <f>+IFERROR(VLOOKUP(Fact_Cumplimiento[[#This Row], 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ht="18.75" customHeight="1" x14ac:dyDescent="0.35">
      <c r="C2987" s="100" t="str">
        <f>IF(OR(Fact_Cumplimiento[[#This Row], [Año]]="",Fact_Cumplimiento[[#This Row], [Mes]]=""),"",DATE(A2987,MATCH(B2987,{"enero","febrero","marzo","abril","mayo","junio","julio","agosto","septiembre","octubre","noviembre","diciembre"},0)+1,0))</f>
        <v/>
      </c>
      <c r="E2987" t="str">
        <f>+IFERROR(VLOOKUP(Fact_Cumplimiento[[#This Row], [Concepto Anterior]],Conceptos_Cumplimiento[#All],5,0),"")</f>
        <v/>
      </c>
      <c r="F2987" t="str">
        <f>+IFERROR(VLOOKUP(Fact_Cumplimiento[[#This Row], 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ht="18.75" customHeight="1" x14ac:dyDescent="0.35">
      <c r="C2988" s="100" t="str">
        <f>IF(OR(Fact_Cumplimiento[[#This Row], [Año]]="",Fact_Cumplimiento[[#This Row], [Mes]]=""),"",DATE(A2988,MATCH(B2988,{"enero","febrero","marzo","abril","mayo","junio","julio","agosto","septiembre","octubre","noviembre","diciembre"},0)+1,0))</f>
        <v/>
      </c>
      <c r="E2988" t="str">
        <f>+IFERROR(VLOOKUP(Fact_Cumplimiento[[#This Row], [Concepto Anterior]],Conceptos_Cumplimiento[#All],5,0),"")</f>
        <v/>
      </c>
      <c r="F2988" t="str">
        <f>+IFERROR(VLOOKUP(Fact_Cumplimiento[[#This Row], 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ht="18.75" customHeight="1" x14ac:dyDescent="0.35">
      <c r="C2989" s="100" t="str">
        <f>IF(OR(Fact_Cumplimiento[[#This Row], [Año]]="",Fact_Cumplimiento[[#This Row], [Mes]]=""),"",DATE(A2989,MATCH(B2989,{"enero","febrero","marzo","abril","mayo","junio","julio","agosto","septiembre","octubre","noviembre","diciembre"},0)+1,0))</f>
        <v/>
      </c>
      <c r="E2989" t="str">
        <f>+IFERROR(VLOOKUP(Fact_Cumplimiento[[#This Row], [Concepto Anterior]],Conceptos_Cumplimiento[#All],5,0),"")</f>
        <v/>
      </c>
      <c r="F2989" t="str">
        <f>+IFERROR(VLOOKUP(Fact_Cumplimiento[[#This Row], 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ht="18.75" customHeight="1" x14ac:dyDescent="0.35">
      <c r="C2990" s="100" t="str">
        <f>IF(OR(Fact_Cumplimiento[[#This Row], [Año]]="",Fact_Cumplimiento[[#This Row], [Mes]]=""),"",DATE(A2990,MATCH(B2990,{"enero","febrero","marzo","abril","mayo","junio","julio","agosto","septiembre","octubre","noviembre","diciembre"},0)+1,0))</f>
        <v/>
      </c>
      <c r="E2990" t="str">
        <f>+IFERROR(VLOOKUP(Fact_Cumplimiento[[#This Row], [Concepto Anterior]],Conceptos_Cumplimiento[#All],5,0),"")</f>
        <v/>
      </c>
      <c r="F2990" t="str">
        <f>+IFERROR(VLOOKUP(Fact_Cumplimiento[[#This Row], 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ht="18.75" customHeight="1" x14ac:dyDescent="0.35">
      <c r="C2991" s="100" t="str">
        <f>IF(OR(Fact_Cumplimiento[[#This Row], [Año]]="",Fact_Cumplimiento[[#This Row], [Mes]]=""),"",DATE(A2991,MATCH(B2991,{"enero","febrero","marzo","abril","mayo","junio","julio","agosto","septiembre","octubre","noviembre","diciembre"},0)+1,0))</f>
        <v/>
      </c>
      <c r="E2991" t="str">
        <f>+IFERROR(VLOOKUP(Fact_Cumplimiento[[#This Row], [Concepto Anterior]],Conceptos_Cumplimiento[#All],5,0),"")</f>
        <v/>
      </c>
      <c r="F2991" t="str">
        <f>+IFERROR(VLOOKUP(Fact_Cumplimiento[[#This Row], 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ht="18.75" customHeight="1" x14ac:dyDescent="0.35">
      <c r="C2992" s="100" t="str">
        <f>IF(OR(Fact_Cumplimiento[[#This Row], [Año]]="",Fact_Cumplimiento[[#This Row], [Mes]]=""),"",DATE(A2992,MATCH(B2992,{"enero","febrero","marzo","abril","mayo","junio","julio","agosto","septiembre","octubre","noviembre","diciembre"},0)+1,0))</f>
        <v/>
      </c>
      <c r="E2992" t="str">
        <f>+IFERROR(VLOOKUP(Fact_Cumplimiento[[#This Row], [Concepto Anterior]],Conceptos_Cumplimiento[#All],5,0),"")</f>
        <v/>
      </c>
      <c r="F2992" t="str">
        <f>+IFERROR(VLOOKUP(Fact_Cumplimiento[[#This Row], 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ht="18.75" customHeight="1" x14ac:dyDescent="0.35">
      <c r="C2993" s="100" t="str">
        <f>IF(OR(Fact_Cumplimiento[[#This Row], [Año]]="",Fact_Cumplimiento[[#This Row], [Mes]]=""),"",DATE(A2993,MATCH(B2993,{"enero","febrero","marzo","abril","mayo","junio","julio","agosto","septiembre","octubre","noviembre","diciembre"},0)+1,0))</f>
        <v/>
      </c>
      <c r="E2993" t="str">
        <f>+IFERROR(VLOOKUP(Fact_Cumplimiento[[#This Row], [Concepto Anterior]],Conceptos_Cumplimiento[#All],5,0),"")</f>
        <v/>
      </c>
      <c r="F2993" t="str">
        <f>+IFERROR(VLOOKUP(Fact_Cumplimiento[[#This Row], 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ht="18.75" customHeight="1" x14ac:dyDescent="0.35">
      <c r="C2994" s="100" t="str">
        <f>IF(OR(Fact_Cumplimiento[[#This Row], [Año]]="",Fact_Cumplimiento[[#This Row], [Mes]]=""),"",DATE(A2994,MATCH(B2994,{"enero","febrero","marzo","abril","mayo","junio","julio","agosto","septiembre","octubre","noviembre","diciembre"},0)+1,0))</f>
        <v/>
      </c>
      <c r="E2994" t="str">
        <f>+IFERROR(VLOOKUP(Fact_Cumplimiento[[#This Row], [Concepto Anterior]],Conceptos_Cumplimiento[#All],5,0),"")</f>
        <v/>
      </c>
      <c r="F2994" t="str">
        <f>+IFERROR(VLOOKUP(Fact_Cumplimiento[[#This Row], 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ht="18.75" customHeight="1" x14ac:dyDescent="0.35">
      <c r="C2995" s="100" t="str">
        <f>IF(OR(Fact_Cumplimiento[[#This Row], [Año]]="",Fact_Cumplimiento[[#This Row], [Mes]]=""),"",DATE(A2995,MATCH(B2995,{"enero","febrero","marzo","abril","mayo","junio","julio","agosto","septiembre","octubre","noviembre","diciembre"},0)+1,0))</f>
        <v/>
      </c>
      <c r="E2995" t="str">
        <f>+IFERROR(VLOOKUP(Fact_Cumplimiento[[#This Row], [Concepto Anterior]],Conceptos_Cumplimiento[#All],5,0),"")</f>
        <v/>
      </c>
      <c r="F2995" t="str">
        <f>+IFERROR(VLOOKUP(Fact_Cumplimiento[[#This Row], 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ht="18.75" customHeight="1" x14ac:dyDescent="0.35">
      <c r="C2996" s="100" t="str">
        <f>IF(OR(Fact_Cumplimiento[[#This Row], [Año]]="",Fact_Cumplimiento[[#This Row], [Mes]]=""),"",DATE(A2996,MATCH(B2996,{"enero","febrero","marzo","abril","mayo","junio","julio","agosto","septiembre","octubre","noviembre","diciembre"},0)+1,0))</f>
        <v/>
      </c>
      <c r="E2996" t="str">
        <f>+IFERROR(VLOOKUP(Fact_Cumplimiento[[#This Row], [Concepto Anterior]],Conceptos_Cumplimiento[#All],5,0),"")</f>
        <v/>
      </c>
      <c r="F2996" t="str">
        <f>+IFERROR(VLOOKUP(Fact_Cumplimiento[[#This Row], 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ht="18.75" customHeight="1" x14ac:dyDescent="0.35">
      <c r="C2997" s="100" t="str">
        <f>IF(OR(Fact_Cumplimiento[[#This Row], [Año]]="",Fact_Cumplimiento[[#This Row], [Mes]]=""),"",DATE(A2997,MATCH(B2997,{"enero","febrero","marzo","abril","mayo","junio","julio","agosto","septiembre","octubre","noviembre","diciembre"},0)+1,0))</f>
        <v/>
      </c>
      <c r="E2997" t="str">
        <f>+IFERROR(VLOOKUP(Fact_Cumplimiento[[#This Row], [Concepto Anterior]],Conceptos_Cumplimiento[#All],5,0),"")</f>
        <v/>
      </c>
      <c r="F2997" t="str">
        <f>+IFERROR(VLOOKUP(Fact_Cumplimiento[[#This Row], 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ht="18.75" customHeight="1" x14ac:dyDescent="0.35">
      <c r="C2998" s="100" t="str">
        <f>IF(OR(Fact_Cumplimiento[[#This Row], [Año]]="",Fact_Cumplimiento[[#This Row], [Mes]]=""),"",DATE(A2998,MATCH(B2998,{"enero","febrero","marzo","abril","mayo","junio","julio","agosto","septiembre","octubre","noviembre","diciembre"},0)+1,0))</f>
        <v/>
      </c>
      <c r="E2998" t="str">
        <f>+IFERROR(VLOOKUP(Fact_Cumplimiento[[#This Row], [Concepto Anterior]],Conceptos_Cumplimiento[#All],5,0),"")</f>
        <v/>
      </c>
      <c r="F2998" t="str">
        <f>+IFERROR(VLOOKUP(Fact_Cumplimiento[[#This Row], 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ht="18.75" customHeight="1" x14ac:dyDescent="0.35">
      <c r="C2999" s="100" t="str">
        <f>IF(OR(Fact_Cumplimiento[[#This Row], [Año]]="",Fact_Cumplimiento[[#This Row], [Mes]]=""),"",DATE(A2999,MATCH(B2999,{"enero","febrero","marzo","abril","mayo","junio","julio","agosto","septiembre","octubre","noviembre","diciembre"},0)+1,0))</f>
        <v/>
      </c>
      <c r="E2999" t="str">
        <f>+IFERROR(VLOOKUP(Fact_Cumplimiento[[#This Row], [Concepto Anterior]],Conceptos_Cumplimiento[#All],5,0),"")</f>
        <v/>
      </c>
      <c r="F2999" t="str">
        <f>+IFERROR(VLOOKUP(Fact_Cumplimiento[[#This Row], 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ht="18.75" customHeight="1" x14ac:dyDescent="0.35">
      <c r="C3000" s="100" t="str">
        <f>IF(OR(Fact_Cumplimiento[[#This Row], [Año]]="",Fact_Cumplimiento[[#This Row], [Mes]]=""),"",DATE(A3000,MATCH(B3000,{"enero","febrero","marzo","abril","mayo","junio","julio","agosto","septiembre","octubre","noviembre","diciembre"},0)+1,0))</f>
        <v/>
      </c>
      <c r="E3000" t="str">
        <f>+IFERROR(VLOOKUP(Fact_Cumplimiento[[#This Row], [Concepto Anterior]],Conceptos_Cumplimiento[#All],5,0),"")</f>
        <v/>
      </c>
      <c r="F3000" t="str">
        <f>+IFERROR(VLOOKUP(Fact_Cumplimiento[[#This Row], 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A1:AM30"/>
  <sheetViews>
    <sheetView workbookViewId="0"/>
  </sheetViews>
  <sheetFormatPr baseColWidth="10" defaultColWidth="8.7265625" defaultRowHeight="14.5" x14ac:dyDescent="0.35"/>
  <cols>
    <col min="1" max="1" width="11.54296875" style="87" bestFit="1" customWidth="1"/>
    <col min="2" max="2" width="62.54296875" bestFit="1" customWidth="1"/>
    <col min="3" max="4" width="13.54296875" bestFit="1" customWidth="1"/>
    <col min="5" max="5" width="9.1796875" bestFit="1" customWidth="1"/>
    <col min="6" max="6" width="13.453125" style="86" bestFit="1" customWidth="1"/>
    <col min="7" max="7" width="15" style="86" bestFit="1" customWidth="1"/>
    <col min="8" max="8" width="13.81640625" style="86" bestFit="1" customWidth="1"/>
    <col min="9" max="9" width="12.453125" style="86" bestFit="1" customWidth="1"/>
    <col min="10" max="10" width="13.1796875" style="86" bestFit="1" customWidth="1"/>
    <col min="11" max="11" width="12.81640625" style="86" bestFit="1" customWidth="1"/>
    <col min="12" max="12" width="12.1796875" style="86" bestFit="1" customWidth="1"/>
    <col min="13" max="13" width="14.453125" style="86" bestFit="1" customWidth="1"/>
    <col min="14" max="14" width="18.1796875" style="87" bestFit="1" customWidth="1"/>
    <col min="15" max="15" width="15.453125" bestFit="1" customWidth="1"/>
    <col min="16" max="16" width="17.54296875" bestFit="1" customWidth="1"/>
    <col min="17" max="17" width="17" bestFit="1" customWidth="1"/>
    <col min="18" max="18" width="13.54296875" bestFit="1" customWidth="1"/>
    <col min="19" max="19" width="13.54296875" style="90" bestFit="1" customWidth="1"/>
    <col min="20" max="20" width="13.54296875" style="87" bestFit="1" customWidth="1"/>
    <col min="21" max="22" width="13.54296875" bestFit="1" customWidth="1"/>
    <col min="23" max="24" width="9.54296875" bestFit="1" customWidth="1"/>
    <col min="25" max="25" width="15" style="88" bestFit="1" customWidth="1"/>
    <col min="26" max="26" width="13.81640625" style="88" bestFit="1" customWidth="1"/>
    <col min="27" max="27" width="12.453125" style="88" bestFit="1" customWidth="1"/>
    <col min="28" max="28" width="13.1796875" style="88" bestFit="1" customWidth="1"/>
    <col min="29" max="29" width="12.81640625" style="88" bestFit="1" customWidth="1"/>
    <col min="30" max="30" width="12.1796875" style="88" bestFit="1" customWidth="1"/>
    <col min="31" max="31" width="14.453125" style="88" bestFit="1" customWidth="1"/>
    <col min="32" max="32" width="18.1796875" style="88" bestFit="1" customWidth="1"/>
    <col min="33" max="33" width="15.453125" style="88" bestFit="1" customWidth="1"/>
    <col min="34" max="34" width="17.54296875" style="88" bestFit="1" customWidth="1"/>
    <col min="35" max="35" width="17" style="83" bestFit="1" customWidth="1"/>
    <col min="36" max="37" width="13.54296875" bestFit="1" customWidth="1"/>
    <col min="38" max="38" width="19.453125" style="89" bestFit="1" customWidth="1"/>
    <col min="39" max="39" width="13.54296875" style="89" bestFit="1" customWidth="1"/>
  </cols>
  <sheetData>
    <row r="1" spans="1:39" ht="18.75" customHeight="1" x14ac:dyDescent="0.35">
      <c r="A1" s="85" t="s">
        <v>0</v>
      </c>
      <c r="B1" t="s">
        <v>101</v>
      </c>
      <c r="S1" s="85" t="s">
        <v>0</v>
      </c>
      <c r="T1" s="85" t="s">
        <v>69</v>
      </c>
    </row>
    <row r="2" spans="1:39" ht="18.75" customHeight="1" x14ac:dyDescent="0.35"/>
    <row r="3" spans="1:39" ht="18.75" customHeight="1" x14ac:dyDescent="0.35">
      <c r="A3" s="85" t="s">
        <v>1</v>
      </c>
      <c r="B3" t="s">
        <v>2</v>
      </c>
      <c r="C3" t="s">
        <v>3</v>
      </c>
      <c r="D3" t="s">
        <v>4</v>
      </c>
      <c r="E3" t="s">
        <v>5</v>
      </c>
      <c r="F3" s="91" t="s">
        <v>148</v>
      </c>
      <c r="G3" s="91" t="s">
        <v>149</v>
      </c>
      <c r="H3" s="91" t="s">
        <v>150</v>
      </c>
      <c r="I3" s="91" t="s">
        <v>151</v>
      </c>
      <c r="J3" s="91" t="s">
        <v>152</v>
      </c>
      <c r="K3" s="91" t="s">
        <v>153</v>
      </c>
      <c r="L3" s="91" t="s">
        <v>154</v>
      </c>
      <c r="M3" s="91" t="s">
        <v>155</v>
      </c>
      <c r="N3" s="85" t="s">
        <v>156</v>
      </c>
      <c r="O3" t="s">
        <v>157</v>
      </c>
      <c r="P3" t="s">
        <v>158</v>
      </c>
      <c r="Q3" t="s">
        <v>159</v>
      </c>
      <c r="S3" s="85" t="s">
        <v>6</v>
      </c>
      <c r="T3" s="85" t="s">
        <v>1</v>
      </c>
      <c r="U3" t="s">
        <v>2</v>
      </c>
      <c r="V3" t="s">
        <v>3</v>
      </c>
      <c r="W3" t="s">
        <v>4</v>
      </c>
      <c r="X3" t="s">
        <v>5</v>
      </c>
      <c r="Y3" s="92" t="s">
        <v>149</v>
      </c>
      <c r="Z3" s="92" t="s">
        <v>150</v>
      </c>
      <c r="AA3" s="92" t="s">
        <v>151</v>
      </c>
      <c r="AB3" s="92" t="s">
        <v>152</v>
      </c>
      <c r="AC3" s="92" t="s">
        <v>153</v>
      </c>
      <c r="AD3" s="92" t="s">
        <v>154</v>
      </c>
      <c r="AE3" s="92" t="s">
        <v>155</v>
      </c>
      <c r="AF3" s="92" t="s">
        <v>156</v>
      </c>
      <c r="AG3" s="92" t="s">
        <v>157</v>
      </c>
      <c r="AH3" s="92" t="s">
        <v>158</v>
      </c>
      <c r="AI3" s="93" t="s">
        <v>159</v>
      </c>
    </row>
    <row r="4" spans="1:39" ht="18.75" customHeight="1" x14ac:dyDescent="0.35">
      <c r="A4" s="93">
        <v>2024</v>
      </c>
      <c r="B4" t="s">
        <v>106</v>
      </c>
      <c r="C4" t="s">
        <v>160</v>
      </c>
      <c r="D4" t="s">
        <v>23</v>
      </c>
      <c r="E4" t="s">
        <v>26</v>
      </c>
      <c r="F4" s="93">
        <v>0</v>
      </c>
      <c r="G4" s="93">
        <v>1</v>
      </c>
      <c r="H4" s="93">
        <v>2</v>
      </c>
      <c r="I4" s="93">
        <v>2</v>
      </c>
      <c r="J4" s="93">
        <v>2</v>
      </c>
      <c r="K4" s="93">
        <v>4</v>
      </c>
      <c r="L4" s="93">
        <v>5</v>
      </c>
      <c r="M4" s="93">
        <v>1</v>
      </c>
      <c r="N4" s="93">
        <v>1</v>
      </c>
      <c r="S4" s="93">
        <v>0</v>
      </c>
      <c r="T4" s="93">
        <v>2025</v>
      </c>
      <c r="U4" t="s">
        <v>133</v>
      </c>
      <c r="V4" t="s">
        <v>160</v>
      </c>
      <c r="W4" t="s">
        <v>23</v>
      </c>
      <c r="X4" t="s">
        <v>26</v>
      </c>
      <c r="Y4" s="93">
        <v>1</v>
      </c>
      <c r="Z4" s="93">
        <v>3</v>
      </c>
      <c r="AA4" s="93">
        <v>0</v>
      </c>
      <c r="AB4" s="93">
        <v>10</v>
      </c>
      <c r="AC4" s="93">
        <v>10</v>
      </c>
      <c r="AD4" s="93">
        <v>11</v>
      </c>
    </row>
    <row r="5" spans="1:39" ht="18.75" customHeight="1" x14ac:dyDescent="0.35">
      <c r="A5" s="93">
        <v>2024</v>
      </c>
      <c r="B5" t="s">
        <v>104</v>
      </c>
      <c r="C5" t="s">
        <v>160</v>
      </c>
      <c r="D5" t="s">
        <v>23</v>
      </c>
      <c r="E5" t="s">
        <v>26</v>
      </c>
      <c r="N5" s="93">
        <v>1</v>
      </c>
      <c r="S5" s="93">
        <v>0</v>
      </c>
      <c r="T5" s="93">
        <v>2025</v>
      </c>
      <c r="U5" t="s">
        <v>147</v>
      </c>
      <c r="V5" t="s">
        <v>160</v>
      </c>
      <c r="W5" t="s">
        <v>20</v>
      </c>
      <c r="X5" t="s">
        <v>21</v>
      </c>
      <c r="Y5" s="93">
        <v>0</v>
      </c>
      <c r="Z5" s="93">
        <v>0</v>
      </c>
      <c r="AA5" s="93">
        <v>0</v>
      </c>
      <c r="AB5" s="93">
        <v>0</v>
      </c>
      <c r="AC5" s="93">
        <v>93773133</v>
      </c>
      <c r="AD5" s="93">
        <v>13420205</v>
      </c>
    </row>
    <row r="6" spans="1:39" ht="18.75" customHeight="1" x14ac:dyDescent="0.35">
      <c r="A6" s="93">
        <v>2024</v>
      </c>
      <c r="B6" t="s">
        <v>102</v>
      </c>
      <c r="C6" t="s">
        <v>160</v>
      </c>
      <c r="D6" t="s">
        <v>23</v>
      </c>
      <c r="E6" t="s">
        <v>26</v>
      </c>
      <c r="N6" s="93">
        <v>1</v>
      </c>
      <c r="S6" s="93">
        <v>0</v>
      </c>
      <c r="T6" s="93">
        <v>2025</v>
      </c>
      <c r="U6" t="s">
        <v>146</v>
      </c>
      <c r="V6" t="s">
        <v>160</v>
      </c>
      <c r="W6" t="s">
        <v>20</v>
      </c>
      <c r="X6" t="s">
        <v>21</v>
      </c>
      <c r="Y6" s="93">
        <v>16755078</v>
      </c>
      <c r="Z6" s="93">
        <v>29126200</v>
      </c>
      <c r="AA6" s="93">
        <v>39631857</v>
      </c>
      <c r="AB6" s="93">
        <v>116292787</v>
      </c>
      <c r="AC6" s="93">
        <v>18957206</v>
      </c>
      <c r="AD6" s="93">
        <v>97439592</v>
      </c>
    </row>
    <row r="7" spans="1:39" ht="18.75" customHeight="1" x14ac:dyDescent="0.35">
      <c r="A7" s="93">
        <v>2024</v>
      </c>
      <c r="B7" t="s">
        <v>103</v>
      </c>
      <c r="C7" t="s">
        <v>160</v>
      </c>
      <c r="D7" t="s">
        <v>23</v>
      </c>
      <c r="E7" t="s">
        <v>26</v>
      </c>
      <c r="S7" s="93">
        <v>0</v>
      </c>
      <c r="T7" s="93">
        <v>2025</v>
      </c>
      <c r="U7" t="s">
        <v>135</v>
      </c>
      <c r="V7" t="s">
        <v>160</v>
      </c>
      <c r="W7" t="s">
        <v>20</v>
      </c>
      <c r="X7" t="s">
        <v>21</v>
      </c>
      <c r="Y7" s="93">
        <v>79000</v>
      </c>
      <c r="Z7" s="93">
        <v>16800</v>
      </c>
      <c r="AA7" s="93">
        <v>3396547</v>
      </c>
      <c r="AB7" s="93">
        <v>1087480</v>
      </c>
      <c r="AC7" s="93">
        <v>2803741</v>
      </c>
      <c r="AD7" s="93">
        <v>5153560</v>
      </c>
    </row>
    <row r="8" spans="1:39" ht="18.75" customHeight="1" x14ac:dyDescent="0.35">
      <c r="A8" s="93">
        <v>2024</v>
      </c>
      <c r="B8" t="s">
        <v>105</v>
      </c>
      <c r="C8" t="s">
        <v>160</v>
      </c>
      <c r="D8" t="s">
        <v>23</v>
      </c>
      <c r="E8" t="s">
        <v>26</v>
      </c>
      <c r="S8" s="93">
        <v>0</v>
      </c>
      <c r="T8" s="93">
        <v>2025</v>
      </c>
      <c r="U8" t="s">
        <v>78</v>
      </c>
      <c r="V8" t="s">
        <v>160</v>
      </c>
      <c r="W8" t="s">
        <v>20</v>
      </c>
      <c r="X8" t="s">
        <v>21</v>
      </c>
      <c r="Y8" s="93">
        <v>0</v>
      </c>
      <c r="Z8" s="93">
        <v>360000000</v>
      </c>
      <c r="AA8" s="93">
        <v>0</v>
      </c>
      <c r="AB8" s="93">
        <v>0</v>
      </c>
      <c r="AC8" s="93">
        <v>0</v>
      </c>
      <c r="AD8" s="93">
        <v>0</v>
      </c>
      <c r="AL8" s="94">
        <v>435.52276740847952</v>
      </c>
      <c r="AM8" s="94">
        <v>436</v>
      </c>
    </row>
    <row r="9" spans="1:39" ht="18.75" customHeight="1" x14ac:dyDescent="0.35">
      <c r="A9" s="93">
        <v>2024</v>
      </c>
      <c r="B9" t="s">
        <v>107</v>
      </c>
      <c r="C9" t="s">
        <v>160</v>
      </c>
      <c r="D9" t="s">
        <v>23</v>
      </c>
      <c r="E9" t="s">
        <v>26</v>
      </c>
      <c r="F9" s="92">
        <v>0.90700000000000003</v>
      </c>
      <c r="G9" s="92">
        <v>0.91859999999999997</v>
      </c>
      <c r="H9" s="92">
        <v>0.90910000000000002</v>
      </c>
      <c r="I9" s="92">
        <v>0.89949999999999997</v>
      </c>
      <c r="J9" s="92">
        <v>0.90180000000000005</v>
      </c>
      <c r="K9" s="92">
        <v>0.9042</v>
      </c>
      <c r="L9" s="92">
        <v>0.90300000000000002</v>
      </c>
      <c r="M9" s="92">
        <v>0.89570000000000005</v>
      </c>
      <c r="S9" s="92">
        <v>0.91739329967875172</v>
      </c>
      <c r="T9" s="93">
        <v>2024</v>
      </c>
      <c r="U9" t="s">
        <v>75</v>
      </c>
      <c r="V9" t="s">
        <v>160</v>
      </c>
      <c r="W9" t="s">
        <v>23</v>
      </c>
      <c r="X9" t="s">
        <v>35</v>
      </c>
      <c r="Y9" s="92">
        <v>0.87896995708154502</v>
      </c>
      <c r="Z9" s="92">
        <v>0.78529956763434217</v>
      </c>
      <c r="AA9" s="92">
        <v>0.82089741960086438</v>
      </c>
      <c r="AB9" s="92">
        <v>0.87620640844164199</v>
      </c>
      <c r="AC9" s="92">
        <v>0.57429429429429435</v>
      </c>
      <c r="AD9" s="92">
        <v>0.6207820032137118</v>
      </c>
      <c r="AE9" s="92">
        <v>0.67839013778100077</v>
      </c>
      <c r="AF9" s="92">
        <v>0.87652153558052437</v>
      </c>
      <c r="AG9" s="92">
        <v>0.67580612035325527</v>
      </c>
      <c r="AH9" s="92">
        <v>0.75167294019238817</v>
      </c>
      <c r="AL9" s="94">
        <v>1553.4923409081578</v>
      </c>
      <c r="AM9" s="94">
        <v>1553</v>
      </c>
    </row>
    <row r="10" spans="1:39" ht="18.75" customHeight="1" x14ac:dyDescent="0.35">
      <c r="A10" s="93">
        <v>2024</v>
      </c>
      <c r="B10" t="s">
        <v>161</v>
      </c>
      <c r="C10" t="s">
        <v>160</v>
      </c>
      <c r="D10" t="s">
        <v>23</v>
      </c>
      <c r="E10" t="s">
        <v>26</v>
      </c>
      <c r="F10" s="93">
        <v>1</v>
      </c>
      <c r="G10" s="93">
        <v>15</v>
      </c>
      <c r="H10" s="93">
        <v>8</v>
      </c>
      <c r="I10" s="93">
        <v>8</v>
      </c>
      <c r="J10" s="93">
        <v>5</v>
      </c>
      <c r="K10" s="93">
        <v>8</v>
      </c>
      <c r="L10" s="93">
        <v>12</v>
      </c>
      <c r="M10" s="93">
        <v>4</v>
      </c>
      <c r="N10" s="93">
        <v>1</v>
      </c>
      <c r="S10" s="93">
        <v>1</v>
      </c>
      <c r="T10" s="93">
        <v>2025</v>
      </c>
      <c r="U10" t="s">
        <v>132</v>
      </c>
      <c r="V10" t="s">
        <v>160</v>
      </c>
      <c r="W10" t="s">
        <v>23</v>
      </c>
      <c r="X10" t="s">
        <v>26</v>
      </c>
      <c r="Y10" s="93">
        <v>6</v>
      </c>
      <c r="Z10" s="93">
        <v>10</v>
      </c>
      <c r="AA10" s="93">
        <v>6</v>
      </c>
      <c r="AB10" s="93">
        <v>22</v>
      </c>
      <c r="AC10" s="93">
        <v>26</v>
      </c>
      <c r="AD10" s="93">
        <v>32</v>
      </c>
      <c r="AL10" s="94">
        <v>1220.3880511361435</v>
      </c>
      <c r="AM10" s="94">
        <v>1220</v>
      </c>
    </row>
    <row r="11" spans="1:39" ht="18.75" customHeight="1" x14ac:dyDescent="0.35">
      <c r="A11" s="93">
        <v>2025</v>
      </c>
      <c r="B11" t="s">
        <v>106</v>
      </c>
      <c r="C11" t="s">
        <v>160</v>
      </c>
      <c r="D11" t="s">
        <v>23</v>
      </c>
      <c r="E11" t="s">
        <v>26</v>
      </c>
      <c r="F11" s="93">
        <v>0</v>
      </c>
      <c r="G11" s="93">
        <v>2</v>
      </c>
      <c r="H11" s="93">
        <v>1</v>
      </c>
      <c r="I11" s="93">
        <v>1</v>
      </c>
      <c r="J11" s="93">
        <v>2</v>
      </c>
      <c r="K11" s="93">
        <v>1</v>
      </c>
      <c r="L11" s="93">
        <v>0</v>
      </c>
      <c r="S11" s="93">
        <v>3</v>
      </c>
      <c r="T11" s="93">
        <v>2024</v>
      </c>
      <c r="U11" t="s">
        <v>76</v>
      </c>
      <c r="V11" t="s">
        <v>160</v>
      </c>
      <c r="W11" t="s">
        <v>23</v>
      </c>
      <c r="X11" t="s">
        <v>26</v>
      </c>
      <c r="Y11" s="93">
        <v>6</v>
      </c>
      <c r="Z11" s="93">
        <v>7</v>
      </c>
      <c r="AA11" s="93">
        <v>17</v>
      </c>
      <c r="AB11" s="93">
        <v>6</v>
      </c>
      <c r="AL11" s="94">
        <v>810.8791690312197</v>
      </c>
      <c r="AM11" s="94">
        <v>811</v>
      </c>
    </row>
    <row r="12" spans="1:39" ht="18.75" customHeight="1" x14ac:dyDescent="0.35">
      <c r="A12" s="93">
        <v>2025</v>
      </c>
      <c r="B12" t="s">
        <v>104</v>
      </c>
      <c r="C12" t="s">
        <v>160</v>
      </c>
      <c r="D12" t="s">
        <v>23</v>
      </c>
      <c r="E12" t="s">
        <v>26</v>
      </c>
      <c r="F12" s="93">
        <v>7</v>
      </c>
      <c r="G12" s="93">
        <v>7</v>
      </c>
      <c r="H12" s="93">
        <v>7</v>
      </c>
      <c r="I12" s="93">
        <v>7</v>
      </c>
      <c r="J12" s="93">
        <v>7</v>
      </c>
      <c r="K12" s="93">
        <v>7</v>
      </c>
      <c r="L12" s="93">
        <v>184</v>
      </c>
      <c r="S12" s="93">
        <v>4</v>
      </c>
      <c r="T12" s="93">
        <v>2025</v>
      </c>
      <c r="U12" t="s">
        <v>76</v>
      </c>
      <c r="V12" t="s">
        <v>160</v>
      </c>
      <c r="W12" t="s">
        <v>23</v>
      </c>
      <c r="X12" t="s">
        <v>26</v>
      </c>
      <c r="Y12" s="93">
        <v>7</v>
      </c>
      <c r="Z12" s="93">
        <v>7</v>
      </c>
      <c r="AA12" s="93">
        <v>17</v>
      </c>
      <c r="AB12" s="93">
        <v>6</v>
      </c>
      <c r="AC12" s="93">
        <v>9</v>
      </c>
      <c r="AD12" s="93">
        <v>4</v>
      </c>
      <c r="AL12" s="94">
        <v>419.27006375157112</v>
      </c>
      <c r="AM12" s="94">
        <v>419</v>
      </c>
    </row>
    <row r="13" spans="1:39" ht="18.75" customHeight="1" x14ac:dyDescent="0.35">
      <c r="A13" s="93">
        <v>2025</v>
      </c>
      <c r="B13" t="s">
        <v>76</v>
      </c>
      <c r="C13" t="s">
        <v>160</v>
      </c>
      <c r="D13" t="s">
        <v>23</v>
      </c>
      <c r="E13" t="s">
        <v>26</v>
      </c>
      <c r="F13" s="93">
        <v>13</v>
      </c>
      <c r="G13" s="93">
        <v>3</v>
      </c>
      <c r="H13" s="93">
        <v>3</v>
      </c>
      <c r="I13" s="93">
        <v>11</v>
      </c>
      <c r="J13" s="93">
        <v>3</v>
      </c>
      <c r="K13" s="93">
        <v>3</v>
      </c>
      <c r="L13" s="93">
        <v>15</v>
      </c>
      <c r="S13" s="93">
        <v>6</v>
      </c>
      <c r="T13" s="93">
        <v>2025</v>
      </c>
      <c r="U13" t="s">
        <v>134</v>
      </c>
      <c r="V13" t="s">
        <v>160</v>
      </c>
      <c r="W13" t="s">
        <v>23</v>
      </c>
      <c r="X13" t="s">
        <v>26</v>
      </c>
      <c r="Y13" s="93">
        <v>26</v>
      </c>
      <c r="Z13" s="93">
        <v>48</v>
      </c>
      <c r="AA13" s="93">
        <v>8</v>
      </c>
      <c r="AB13" s="93">
        <v>69</v>
      </c>
      <c r="AC13" s="93">
        <v>43</v>
      </c>
      <c r="AD13" s="93">
        <v>51</v>
      </c>
      <c r="AL13" s="94">
        <v>43.033659060138739</v>
      </c>
      <c r="AM13" s="94">
        <v>43</v>
      </c>
    </row>
    <row r="14" spans="1:39" ht="18.75" customHeight="1" x14ac:dyDescent="0.35">
      <c r="A14" s="93">
        <v>2025</v>
      </c>
      <c r="B14" t="s">
        <v>102</v>
      </c>
      <c r="C14" t="s">
        <v>160</v>
      </c>
      <c r="D14" t="s">
        <v>23</v>
      </c>
      <c r="E14" t="s">
        <v>26</v>
      </c>
      <c r="F14" s="93">
        <v>9</v>
      </c>
      <c r="G14" s="93">
        <v>9</v>
      </c>
      <c r="H14" s="93">
        <v>9</v>
      </c>
      <c r="I14" s="93">
        <v>17</v>
      </c>
      <c r="J14" s="93">
        <v>17</v>
      </c>
      <c r="K14" s="93">
        <v>17</v>
      </c>
      <c r="L14" s="93">
        <v>17</v>
      </c>
      <c r="S14" s="93">
        <v>12</v>
      </c>
      <c r="T14" s="93">
        <v>2025</v>
      </c>
      <c r="U14" t="s">
        <v>137</v>
      </c>
      <c r="V14" t="s">
        <v>160</v>
      </c>
      <c r="W14" t="s">
        <v>23</v>
      </c>
      <c r="X14" t="s">
        <v>26</v>
      </c>
      <c r="Y14" s="93">
        <v>12</v>
      </c>
      <c r="Z14" s="93">
        <v>12</v>
      </c>
      <c r="AA14" s="93">
        <v>12</v>
      </c>
      <c r="AB14" s="93">
        <v>12</v>
      </c>
      <c r="AC14" s="93">
        <v>12</v>
      </c>
      <c r="AD14" s="93">
        <v>12</v>
      </c>
      <c r="AL14" s="94">
        <v>1162.5799959166532</v>
      </c>
      <c r="AM14" s="94">
        <v>1163</v>
      </c>
    </row>
    <row r="15" spans="1:39" ht="18.75" customHeight="1" x14ac:dyDescent="0.35">
      <c r="A15" s="93">
        <v>2025</v>
      </c>
      <c r="B15" t="s">
        <v>103</v>
      </c>
      <c r="C15" t="s">
        <v>160</v>
      </c>
      <c r="D15" t="s">
        <v>23</v>
      </c>
      <c r="E15" t="s">
        <v>26</v>
      </c>
      <c r="F15" s="93">
        <v>9</v>
      </c>
      <c r="G15" s="93">
        <v>9</v>
      </c>
      <c r="H15" s="93">
        <v>9</v>
      </c>
      <c r="I15" s="93">
        <v>1</v>
      </c>
      <c r="J15" s="93">
        <v>1</v>
      </c>
      <c r="K15" s="93">
        <v>1</v>
      </c>
      <c r="L15" s="93">
        <v>1</v>
      </c>
      <c r="S15" s="93">
        <v>16</v>
      </c>
      <c r="T15" s="93">
        <v>2025</v>
      </c>
      <c r="U15" t="s">
        <v>102</v>
      </c>
      <c r="V15" t="s">
        <v>160</v>
      </c>
      <c r="W15" t="s">
        <v>23</v>
      </c>
      <c r="X15" t="s">
        <v>26</v>
      </c>
      <c r="Y15" s="93">
        <v>16</v>
      </c>
      <c r="Z15" s="93">
        <v>16</v>
      </c>
      <c r="AA15" s="93">
        <v>16</v>
      </c>
      <c r="AB15" s="93">
        <v>16</v>
      </c>
      <c r="AC15" s="93">
        <v>16</v>
      </c>
      <c r="AD15" s="93">
        <v>16</v>
      </c>
      <c r="AL15" s="94">
        <v>1580.7382851384853</v>
      </c>
      <c r="AM15" s="94">
        <v>1581</v>
      </c>
    </row>
    <row r="16" spans="1:39" ht="18.75" customHeight="1" x14ac:dyDescent="0.35">
      <c r="A16" s="93">
        <v>2025</v>
      </c>
      <c r="B16" t="s">
        <v>105</v>
      </c>
      <c r="C16" t="s">
        <v>160</v>
      </c>
      <c r="D16" t="s">
        <v>23</v>
      </c>
      <c r="E16" t="s">
        <v>26</v>
      </c>
      <c r="F16" s="93">
        <v>21083</v>
      </c>
      <c r="G16" s="93">
        <v>1620</v>
      </c>
      <c r="H16" s="93">
        <v>1226</v>
      </c>
      <c r="I16" s="93">
        <v>1328</v>
      </c>
      <c r="J16" s="93">
        <v>1607</v>
      </c>
      <c r="K16" s="93">
        <v>1416</v>
      </c>
      <c r="L16" s="93">
        <v>8236</v>
      </c>
      <c r="S16" s="93">
        <v>23</v>
      </c>
      <c r="T16" s="93">
        <v>2025</v>
      </c>
      <c r="U16" t="s">
        <v>131</v>
      </c>
      <c r="V16" t="s">
        <v>160</v>
      </c>
      <c r="W16" t="s">
        <v>23</v>
      </c>
      <c r="X16" t="s">
        <v>26</v>
      </c>
      <c r="Y16" s="93">
        <v>62</v>
      </c>
      <c r="Z16" s="93">
        <v>87</v>
      </c>
      <c r="AA16" s="93">
        <v>71</v>
      </c>
      <c r="AB16" s="93">
        <v>86</v>
      </c>
      <c r="AC16" s="93">
        <v>83</v>
      </c>
      <c r="AD16" s="93">
        <v>62</v>
      </c>
      <c r="AL16" s="94">
        <v>1956.1274143299809</v>
      </c>
      <c r="AM16" s="94">
        <v>1957</v>
      </c>
    </row>
    <row r="17" spans="1:39" ht="18.75" customHeight="1" x14ac:dyDescent="0.35">
      <c r="A17" s="93">
        <v>2025</v>
      </c>
      <c r="B17" t="s">
        <v>107</v>
      </c>
      <c r="C17" t="s">
        <v>160</v>
      </c>
      <c r="D17" t="s">
        <v>23</v>
      </c>
      <c r="E17" t="s">
        <v>26</v>
      </c>
      <c r="F17" s="93">
        <v>1200</v>
      </c>
      <c r="G17" s="93">
        <v>1197</v>
      </c>
      <c r="I17" s="93">
        <v>914</v>
      </c>
      <c r="J17" s="93">
        <v>874</v>
      </c>
      <c r="K17" s="93">
        <v>1502</v>
      </c>
      <c r="L17" s="93">
        <v>258</v>
      </c>
      <c r="S17" s="93">
        <v>28</v>
      </c>
      <c r="T17" s="93">
        <v>2024</v>
      </c>
      <c r="U17" t="s">
        <v>72</v>
      </c>
      <c r="V17" t="s">
        <v>160</v>
      </c>
      <c r="W17" t="s">
        <v>23</v>
      </c>
      <c r="X17" t="s">
        <v>26</v>
      </c>
      <c r="Y17" s="93">
        <v>84</v>
      </c>
      <c r="Z17" s="93">
        <v>106</v>
      </c>
      <c r="AA17" s="93">
        <v>163</v>
      </c>
      <c r="AB17" s="93">
        <v>138</v>
      </c>
      <c r="AC17" s="93">
        <v>120</v>
      </c>
      <c r="AD17" s="93">
        <v>124</v>
      </c>
      <c r="AE17" s="93">
        <v>122</v>
      </c>
      <c r="AF17" s="93">
        <v>142</v>
      </c>
      <c r="AG17" s="93">
        <v>192</v>
      </c>
      <c r="AH17" s="93">
        <v>129</v>
      </c>
      <c r="AI17" s="93">
        <v>323</v>
      </c>
      <c r="AL17" s="94">
        <v>265.39253927142113</v>
      </c>
      <c r="AM17" s="94">
        <v>265</v>
      </c>
    </row>
    <row r="18" spans="1:39" ht="18.75" customHeight="1" x14ac:dyDescent="0.35">
      <c r="A18" s="93">
        <v>2025</v>
      </c>
      <c r="B18" t="s">
        <v>162</v>
      </c>
      <c r="C18" t="s">
        <v>160</v>
      </c>
      <c r="D18" t="s">
        <v>23</v>
      </c>
      <c r="E18" t="s">
        <v>26</v>
      </c>
      <c r="F18" s="93">
        <v>5</v>
      </c>
      <c r="G18" s="93">
        <v>5</v>
      </c>
      <c r="H18" s="93">
        <v>13</v>
      </c>
      <c r="I18" s="93">
        <v>6</v>
      </c>
      <c r="J18" s="93">
        <v>13</v>
      </c>
      <c r="K18" s="93">
        <v>8</v>
      </c>
      <c r="L18" s="93">
        <v>15</v>
      </c>
      <c r="S18" s="93">
        <v>31</v>
      </c>
      <c r="T18" s="93">
        <v>2024</v>
      </c>
      <c r="U18" t="s">
        <v>73</v>
      </c>
      <c r="V18" t="s">
        <v>160</v>
      </c>
      <c r="W18" t="s">
        <v>23</v>
      </c>
      <c r="X18" t="s">
        <v>26</v>
      </c>
      <c r="Y18" s="93">
        <v>37</v>
      </c>
      <c r="Z18" s="93">
        <v>62</v>
      </c>
      <c r="AA18" s="93">
        <v>74</v>
      </c>
      <c r="AB18" s="93">
        <v>84</v>
      </c>
      <c r="AC18" s="93">
        <v>92</v>
      </c>
      <c r="AD18" s="93">
        <v>80</v>
      </c>
      <c r="AE18" s="93">
        <v>75</v>
      </c>
      <c r="AF18" s="93">
        <v>83</v>
      </c>
      <c r="AG18" s="93">
        <v>64</v>
      </c>
      <c r="AH18" s="93">
        <v>77</v>
      </c>
      <c r="AI18" s="93">
        <v>154</v>
      </c>
      <c r="AL18" s="94">
        <v>1285.2895729537263</v>
      </c>
      <c r="AM18" s="94">
        <v>1285</v>
      </c>
    </row>
    <row r="19" spans="1:39" ht="18.75" customHeight="1" x14ac:dyDescent="0.35">
      <c r="A19" s="85" t="s">
        <v>163</v>
      </c>
      <c r="F19" s="92">
        <v>22327.906999999999</v>
      </c>
      <c r="G19" s="92">
        <v>2868.9186</v>
      </c>
      <c r="H19" s="92">
        <v>1278.9091000000001</v>
      </c>
      <c r="I19" s="92">
        <v>2295.8995</v>
      </c>
      <c r="J19" s="92">
        <v>2531.9018000000001</v>
      </c>
      <c r="K19" s="92">
        <v>2967.9041999999999</v>
      </c>
      <c r="L19" s="92">
        <v>8743.9030000000002</v>
      </c>
      <c r="M19" s="92">
        <v>5.8956999999999997</v>
      </c>
      <c r="N19" s="93">
        <v>4</v>
      </c>
      <c r="S19" s="93">
        <v>40</v>
      </c>
      <c r="T19" s="93">
        <v>2025</v>
      </c>
      <c r="U19" t="s">
        <v>130</v>
      </c>
      <c r="V19" t="s">
        <v>160</v>
      </c>
      <c r="W19" t="s">
        <v>23</v>
      </c>
      <c r="X19" t="s">
        <v>26</v>
      </c>
      <c r="Y19" s="93">
        <v>82</v>
      </c>
      <c r="Z19" s="93">
        <v>127</v>
      </c>
      <c r="AA19" s="93">
        <v>173</v>
      </c>
      <c r="AB19" s="93">
        <v>120</v>
      </c>
      <c r="AC19" s="93">
        <v>149</v>
      </c>
      <c r="AD19" s="93">
        <v>111</v>
      </c>
      <c r="AL19" s="94">
        <v>586.1047289939105</v>
      </c>
      <c r="AM19" s="94">
        <v>586</v>
      </c>
    </row>
    <row r="20" spans="1:39" ht="18.75" customHeight="1" x14ac:dyDescent="0.35">
      <c r="S20" s="93">
        <v>1237</v>
      </c>
      <c r="T20" s="93">
        <v>2024</v>
      </c>
      <c r="U20" t="s">
        <v>79</v>
      </c>
      <c r="V20" t="s">
        <v>160</v>
      </c>
      <c r="W20" t="s">
        <v>23</v>
      </c>
      <c r="X20" t="s">
        <v>26</v>
      </c>
      <c r="Y20" s="93">
        <v>1300</v>
      </c>
      <c r="Z20" s="93">
        <v>1319</v>
      </c>
      <c r="AA20" s="93">
        <v>1329</v>
      </c>
      <c r="AB20" s="93">
        <v>1331</v>
      </c>
      <c r="AL20" s="94">
        <v>346.38628170657404</v>
      </c>
      <c r="AM20" s="94">
        <v>346</v>
      </c>
    </row>
    <row r="21" spans="1:39" ht="18.75" customHeight="1" x14ac:dyDescent="0.35">
      <c r="S21" s="93">
        <v>1283</v>
      </c>
      <c r="T21" s="93">
        <v>2025</v>
      </c>
      <c r="U21" t="s">
        <v>79</v>
      </c>
      <c r="V21" t="s">
        <v>160</v>
      </c>
      <c r="W21" t="s">
        <v>23</v>
      </c>
      <c r="X21" t="s">
        <v>26</v>
      </c>
      <c r="Y21" s="93">
        <v>1290</v>
      </c>
      <c r="Z21" s="93">
        <v>1295</v>
      </c>
      <c r="AA21" s="93">
        <v>1311</v>
      </c>
      <c r="AB21" s="93">
        <v>1321</v>
      </c>
      <c r="AC21" s="93">
        <v>1327</v>
      </c>
      <c r="AD21" s="93">
        <v>1329</v>
      </c>
      <c r="AL21" s="94">
        <v>75.795130393538372</v>
      </c>
      <c r="AM21" s="94">
        <v>76</v>
      </c>
    </row>
    <row r="22" spans="1:39" ht="18.75" customHeight="1" x14ac:dyDescent="0.35">
      <c r="S22" s="93">
        <v>1599</v>
      </c>
      <c r="T22" s="93">
        <v>2025</v>
      </c>
      <c r="U22" t="s">
        <v>71</v>
      </c>
      <c r="V22" t="s">
        <v>160</v>
      </c>
      <c r="W22" t="s">
        <v>23</v>
      </c>
      <c r="X22" t="s">
        <v>26</v>
      </c>
      <c r="Y22" s="93">
        <v>1479</v>
      </c>
      <c r="Z22" s="93">
        <v>1662</v>
      </c>
      <c r="AA22" s="93">
        <v>1108</v>
      </c>
      <c r="AB22" s="93">
        <v>795</v>
      </c>
      <c r="AC22" s="93">
        <v>699</v>
      </c>
      <c r="AD22" s="93">
        <v>395</v>
      </c>
      <c r="AL22" s="94">
        <v>130</v>
      </c>
      <c r="AM22" s="94">
        <v>130</v>
      </c>
    </row>
    <row r="23" spans="1:39" ht="18.75" customHeight="1" x14ac:dyDescent="0.35">
      <c r="S23" s="93">
        <v>1604</v>
      </c>
      <c r="T23" s="93">
        <v>2024</v>
      </c>
      <c r="U23" t="s">
        <v>71</v>
      </c>
      <c r="V23" t="s">
        <v>160</v>
      </c>
      <c r="W23" t="s">
        <v>23</v>
      </c>
      <c r="X23" t="s">
        <v>26</v>
      </c>
      <c r="Y23" s="93">
        <v>1830</v>
      </c>
      <c r="Z23" s="93">
        <v>2210</v>
      </c>
      <c r="AA23" s="93">
        <v>1888</v>
      </c>
      <c r="AB23" s="93">
        <v>1889</v>
      </c>
      <c r="AC23" s="93">
        <v>1858</v>
      </c>
      <c r="AD23" s="93">
        <v>1918</v>
      </c>
      <c r="AE23" s="93">
        <v>1839</v>
      </c>
      <c r="AF23" s="93">
        <v>1946</v>
      </c>
      <c r="AG23" s="93">
        <v>1675</v>
      </c>
      <c r="AH23" s="93">
        <v>1473</v>
      </c>
      <c r="AI23" s="93">
        <v>1520</v>
      </c>
      <c r="AL23" s="94">
        <v>97</v>
      </c>
      <c r="AM23" s="94">
        <v>97</v>
      </c>
    </row>
    <row r="24" spans="1:39" ht="18.75" customHeight="1" x14ac:dyDescent="0.35">
      <c r="S24" s="93">
        <v>3203</v>
      </c>
      <c r="T24" s="93">
        <v>2024</v>
      </c>
      <c r="U24" t="s">
        <v>70</v>
      </c>
      <c r="V24" t="s">
        <v>160</v>
      </c>
      <c r="W24" t="s">
        <v>23</v>
      </c>
      <c r="X24" t="s">
        <v>26</v>
      </c>
      <c r="Y24" s="93">
        <v>6413</v>
      </c>
      <c r="Z24" s="93">
        <v>6745</v>
      </c>
      <c r="AA24" s="93">
        <v>6779</v>
      </c>
      <c r="AB24" s="93">
        <v>7082</v>
      </c>
      <c r="AC24" s="93">
        <v>7413</v>
      </c>
      <c r="AD24" s="93">
        <v>8176</v>
      </c>
      <c r="AE24" s="93">
        <v>7362</v>
      </c>
      <c r="AF24" s="93">
        <v>7562</v>
      </c>
      <c r="AG24" s="93">
        <v>9368</v>
      </c>
      <c r="AH24" s="93">
        <v>9542</v>
      </c>
      <c r="AI24" s="93">
        <v>8375</v>
      </c>
    </row>
    <row r="25" spans="1:39" ht="18.75" customHeight="1" x14ac:dyDescent="0.35">
      <c r="S25" s="93">
        <v>7256</v>
      </c>
      <c r="T25" s="93">
        <v>2025</v>
      </c>
      <c r="U25" t="s">
        <v>70</v>
      </c>
      <c r="V25" t="s">
        <v>160</v>
      </c>
      <c r="W25" t="s">
        <v>23</v>
      </c>
      <c r="X25" t="s">
        <v>26</v>
      </c>
      <c r="Y25" s="93">
        <v>8036</v>
      </c>
      <c r="Z25" s="93">
        <v>8043</v>
      </c>
      <c r="AA25" s="93">
        <v>8269</v>
      </c>
      <c r="AB25" s="93">
        <v>9283</v>
      </c>
      <c r="AC25" s="93">
        <v>9663</v>
      </c>
      <c r="AD25" s="93">
        <v>11346</v>
      </c>
    </row>
    <row r="26" spans="1:39" ht="18.75" customHeight="1" x14ac:dyDescent="0.35">
      <c r="S26" s="85" t="s">
        <v>160</v>
      </c>
      <c r="T26" s="93">
        <v>2024</v>
      </c>
      <c r="U26" t="s">
        <v>74</v>
      </c>
      <c r="V26" t="s">
        <v>160</v>
      </c>
      <c r="W26" t="s">
        <v>20</v>
      </c>
      <c r="X26" t="s">
        <v>21</v>
      </c>
      <c r="AB26" s="93">
        <v>2625812</v>
      </c>
    </row>
    <row r="27" spans="1:39" ht="18.75" customHeight="1" x14ac:dyDescent="0.35">
      <c r="S27" s="85" t="s">
        <v>160</v>
      </c>
      <c r="T27" s="93">
        <v>2024</v>
      </c>
      <c r="U27" t="s">
        <v>77</v>
      </c>
      <c r="V27" t="s">
        <v>160</v>
      </c>
      <c r="W27" t="s">
        <v>23</v>
      </c>
      <c r="X27" t="s">
        <v>26</v>
      </c>
      <c r="Y27" s="93">
        <v>1</v>
      </c>
    </row>
    <row r="28" spans="1:39" ht="18.75" customHeight="1" x14ac:dyDescent="0.35">
      <c r="S28" s="85" t="s">
        <v>160</v>
      </c>
      <c r="T28" s="93">
        <v>2024</v>
      </c>
      <c r="U28" t="s">
        <v>78</v>
      </c>
      <c r="V28" t="s">
        <v>160</v>
      </c>
      <c r="W28" t="s">
        <v>20</v>
      </c>
      <c r="X28" t="s">
        <v>21</v>
      </c>
      <c r="AG28" s="93">
        <v>216542249</v>
      </c>
    </row>
    <row r="29" spans="1:39" ht="18.75" customHeight="1" x14ac:dyDescent="0.35">
      <c r="S29" s="85" t="s">
        <v>160</v>
      </c>
      <c r="T29" s="93">
        <v>2025</v>
      </c>
      <c r="U29" t="s">
        <v>136</v>
      </c>
      <c r="V29" t="s">
        <v>160</v>
      </c>
      <c r="W29" t="s">
        <v>23</v>
      </c>
      <c r="X29" t="s">
        <v>35</v>
      </c>
      <c r="Z29" s="92">
        <v>0.72</v>
      </c>
      <c r="AA29" s="92">
        <v>0.75</v>
      </c>
      <c r="AB29" s="92">
        <v>0.84</v>
      </c>
      <c r="AC29" s="92">
        <v>0.93</v>
      </c>
      <c r="AD29" s="92">
        <v>0.95</v>
      </c>
    </row>
    <row r="30" spans="1:39" ht="18.75" customHeight="1" x14ac:dyDescent="0.35">
      <c r="S30" s="85" t="s">
        <v>163</v>
      </c>
      <c r="Y30" s="92">
        <v>16854766.878969956</v>
      </c>
      <c r="Z30" s="92">
        <v>389164760.50529957</v>
      </c>
      <c r="AA30" s="92">
        <v>43049646.570897423</v>
      </c>
      <c r="AB30" s="92">
        <v>120028350.71620642</v>
      </c>
      <c r="AC30" s="92">
        <v>115555601.50429431</v>
      </c>
      <c r="AD30" s="92">
        <v>116037025.57078201</v>
      </c>
      <c r="AE30" s="92">
        <v>9398.6783901377803</v>
      </c>
      <c r="AF30" s="92">
        <v>9733.8765215355816</v>
      </c>
      <c r="AG30" s="92">
        <v>216553548.67580613</v>
      </c>
      <c r="AH30" s="92">
        <v>11221.751672940192</v>
      </c>
      <c r="AI30" s="93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A1:R168"/>
  <sheetViews>
    <sheetView workbookViewId="0"/>
  </sheetViews>
  <sheetFormatPr baseColWidth="10" defaultColWidth="8.7265625" defaultRowHeight="14.5" x14ac:dyDescent="0.35"/>
  <cols>
    <col min="1" max="1" width="25.1796875" style="82" bestFit="1" customWidth="1"/>
    <col min="2" max="2" width="4.81640625" style="83" bestFit="1" customWidth="1"/>
    <col min="3" max="3" width="72.81640625" style="82" bestFit="1" customWidth="1"/>
    <col min="4" max="4" width="12.453125" style="82" bestFit="1" customWidth="1"/>
    <col min="5" max="5" width="10" style="82" bestFit="1" customWidth="1"/>
    <col min="6" max="6" width="9.54296875" style="84" bestFit="1" customWidth="1"/>
    <col min="7" max="10" width="12" style="83" bestFit="1" customWidth="1"/>
    <col min="11" max="11" width="13" style="83" bestFit="1" customWidth="1"/>
    <col min="12" max="12" width="12" style="83" bestFit="1" customWidth="1"/>
    <col min="13" max="13" width="14.453125" style="83" bestFit="1" customWidth="1"/>
    <col min="14" max="14" width="12.81640625" style="83" bestFit="1" customWidth="1"/>
    <col min="15" max="15" width="12" style="83" bestFit="1" customWidth="1"/>
    <col min="16" max="16" width="15.453125" style="83" bestFit="1" customWidth="1"/>
    <col min="17" max="17" width="12" style="83" bestFit="1" customWidth="1"/>
    <col min="18" max="18" width="12.81640625" style="83" bestFit="1" customWidth="1"/>
  </cols>
  <sheetData>
    <row r="1" spans="1:18" ht="18.75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t="18.75" hidden="1" customHeight="1" x14ac:dyDescent="0.35">
      <c r="A2" s="4" t="s">
        <v>18</v>
      </c>
      <c r="B2" s="5">
        <v>2024</v>
      </c>
      <c r="C2" s="6" t="s">
        <v>19</v>
      </c>
      <c r="D2" s="6"/>
      <c r="E2" s="6" t="s">
        <v>20</v>
      </c>
      <c r="F2" s="7" t="s">
        <v>21</v>
      </c>
      <c r="G2" s="8">
        <v>16083870</v>
      </c>
      <c r="H2" s="8">
        <v>3003025</v>
      </c>
      <c r="I2" s="8">
        <v>7710320</v>
      </c>
      <c r="J2" s="8">
        <v>11647025</v>
      </c>
      <c r="K2" s="8">
        <v>13879480</v>
      </c>
      <c r="L2" s="8">
        <v>18840520</v>
      </c>
      <c r="M2" s="8">
        <v>5771110</v>
      </c>
      <c r="N2" s="8">
        <v>28288990</v>
      </c>
      <c r="O2" s="8">
        <f>10057000+7635865</f>
        <v>17692865</v>
      </c>
      <c r="P2" s="9">
        <f>13858215+1800000</f>
        <v>15658215</v>
      </c>
      <c r="Q2" s="10">
        <f>18643335+21631000+23431000</f>
        <v>63705335</v>
      </c>
      <c r="R2" s="11"/>
    </row>
    <row r="3" spans="1:18" ht="18.75" hidden="1" customHeight="1" x14ac:dyDescent="0.35">
      <c r="A3" s="12" t="s">
        <v>18</v>
      </c>
      <c r="B3" s="13">
        <v>2024</v>
      </c>
      <c r="C3" s="14" t="s">
        <v>22</v>
      </c>
      <c r="D3" s="14"/>
      <c r="E3" s="14" t="s">
        <v>23</v>
      </c>
      <c r="F3" s="15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3">
        <v>23</v>
      </c>
    </row>
    <row r="4" spans="1:18" ht="18.75" hidden="1" customHeight="1" x14ac:dyDescent="0.35">
      <c r="A4" s="4" t="s">
        <v>18</v>
      </c>
      <c r="B4" s="5">
        <v>2024</v>
      </c>
      <c r="C4" s="6" t="s">
        <v>25</v>
      </c>
      <c r="D4" s="6"/>
      <c r="E4" s="6" t="s">
        <v>23</v>
      </c>
      <c r="F4" s="7" t="s">
        <v>26</v>
      </c>
      <c r="G4" s="5">
        <v>15371</v>
      </c>
      <c r="H4" s="5">
        <v>16958</v>
      </c>
      <c r="I4" s="5">
        <v>13532</v>
      </c>
      <c r="J4" s="5">
        <v>17838</v>
      </c>
      <c r="K4" s="5">
        <v>16525</v>
      </c>
      <c r="L4" s="5">
        <v>16175</v>
      </c>
      <c r="M4" s="5">
        <v>19350</v>
      </c>
      <c r="N4" s="5">
        <v>16849</v>
      </c>
      <c r="O4" s="5">
        <v>17498</v>
      </c>
      <c r="P4" s="5">
        <v>18639</v>
      </c>
      <c r="Q4" s="5">
        <v>15981</v>
      </c>
      <c r="R4" s="5"/>
    </row>
    <row r="5" spans="1:18" ht="18.75" hidden="1" customHeight="1" x14ac:dyDescent="0.35">
      <c r="A5" s="12" t="s">
        <v>18</v>
      </c>
      <c r="B5" s="13">
        <v>2024</v>
      </c>
      <c r="C5" s="14" t="s">
        <v>27</v>
      </c>
      <c r="D5" s="14"/>
      <c r="E5" s="14" t="s">
        <v>20</v>
      </c>
      <c r="F5" s="15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t="18.75" hidden="1" customHeight="1" x14ac:dyDescent="0.35">
      <c r="A6" s="4" t="s">
        <v>18</v>
      </c>
      <c r="B6" s="5">
        <v>2024</v>
      </c>
      <c r="C6" s="6" t="s">
        <v>28</v>
      </c>
      <c r="D6" s="6"/>
      <c r="E6" s="6" t="s">
        <v>20</v>
      </c>
      <c r="F6" s="7" t="s">
        <v>21</v>
      </c>
      <c r="G6" s="17"/>
      <c r="H6" s="17"/>
      <c r="I6" s="8"/>
      <c r="J6" s="8">
        <f>45845000*12%</f>
        <v>5501400</v>
      </c>
      <c r="K6" s="17"/>
      <c r="L6" s="8"/>
      <c r="M6" s="8"/>
      <c r="N6" s="8"/>
      <c r="O6" s="8">
        <v>8923150.4399999995</v>
      </c>
      <c r="P6" s="8">
        <v>2600000</v>
      </c>
      <c r="Q6" s="8">
        <f>2200000+8400000</f>
        <v>10600000</v>
      </c>
      <c r="R6" s="8"/>
    </row>
    <row r="7" spans="1:18" ht="18.75" hidden="1" customHeight="1" x14ac:dyDescent="0.35">
      <c r="A7" s="12" t="s">
        <v>18</v>
      </c>
      <c r="B7" s="13">
        <v>2024</v>
      </c>
      <c r="C7" s="14" t="s">
        <v>29</v>
      </c>
      <c r="D7" s="14"/>
      <c r="E7" s="14" t="s">
        <v>20</v>
      </c>
      <c r="F7" s="15" t="s">
        <v>21</v>
      </c>
      <c r="G7" s="18"/>
      <c r="H7" s="18"/>
      <c r="I7" s="16">
        <v>23314760</v>
      </c>
      <c r="J7" s="18"/>
      <c r="K7" s="18"/>
      <c r="L7" s="18"/>
      <c r="M7" s="16">
        <v>11478272</v>
      </c>
      <c r="N7" s="18"/>
      <c r="O7" s="16">
        <v>11475568</v>
      </c>
      <c r="P7" s="18"/>
      <c r="Q7" s="18"/>
      <c r="R7" s="18"/>
    </row>
    <row r="8" spans="1:18" ht="18.75" hidden="1" customHeight="1" x14ac:dyDescent="0.35">
      <c r="A8" s="4" t="s">
        <v>18</v>
      </c>
      <c r="B8" s="5">
        <v>2024</v>
      </c>
      <c r="C8" s="6" t="s">
        <v>30</v>
      </c>
      <c r="D8" s="6"/>
      <c r="E8" s="6" t="s">
        <v>20</v>
      </c>
      <c r="F8" s="7" t="s">
        <v>21</v>
      </c>
      <c r="G8" s="17"/>
      <c r="H8" s="17"/>
      <c r="I8" s="17"/>
      <c r="J8" s="17"/>
      <c r="K8" s="17"/>
      <c r="L8" s="17"/>
      <c r="M8" s="8">
        <v>24655019</v>
      </c>
      <c r="N8" s="17"/>
      <c r="O8" s="17"/>
      <c r="P8" s="17"/>
      <c r="Q8" s="17"/>
      <c r="R8" s="17"/>
    </row>
    <row r="9" spans="1:18" ht="18.75" hidden="1" customHeight="1" x14ac:dyDescent="0.35">
      <c r="A9" s="12" t="s">
        <v>18</v>
      </c>
      <c r="B9" s="13">
        <v>2024</v>
      </c>
      <c r="C9" s="14" t="s">
        <v>31</v>
      </c>
      <c r="D9" s="14"/>
      <c r="E9" s="14" t="s">
        <v>23</v>
      </c>
      <c r="F9" s="15" t="s">
        <v>26</v>
      </c>
      <c r="G9" s="13">
        <v>775</v>
      </c>
      <c r="H9" s="13">
        <v>557</v>
      </c>
      <c r="I9" s="13">
        <v>735</v>
      </c>
      <c r="J9" s="13">
        <v>1099</v>
      </c>
      <c r="K9" s="13">
        <v>1088</v>
      </c>
      <c r="L9" s="13">
        <v>759</v>
      </c>
      <c r="M9" s="13">
        <v>1150</v>
      </c>
      <c r="N9" s="13">
        <v>1016</v>
      </c>
      <c r="O9" s="13">
        <v>835</v>
      </c>
      <c r="P9" s="13">
        <v>2035</v>
      </c>
      <c r="Q9" s="13">
        <v>1368</v>
      </c>
      <c r="R9" s="13">
        <v>951</v>
      </c>
    </row>
    <row r="10" spans="1:18" ht="18.75" hidden="1" customHeight="1" x14ac:dyDescent="0.35">
      <c r="A10" s="4" t="s">
        <v>18</v>
      </c>
      <c r="B10" s="5">
        <v>2024</v>
      </c>
      <c r="C10" s="6" t="s">
        <v>32</v>
      </c>
      <c r="D10" s="6"/>
      <c r="E10" s="6" t="s">
        <v>23</v>
      </c>
      <c r="F10" s="7" t="s">
        <v>26</v>
      </c>
      <c r="G10" s="11">
        <v>531</v>
      </c>
      <c r="H10" s="5">
        <v>286</v>
      </c>
      <c r="I10" s="11">
        <v>402</v>
      </c>
      <c r="J10" s="5">
        <v>935</v>
      </c>
      <c r="K10" s="11">
        <v>880</v>
      </c>
      <c r="L10" s="5">
        <v>690</v>
      </c>
      <c r="M10" s="5">
        <v>931</v>
      </c>
      <c r="N10" s="5">
        <v>714</v>
      </c>
      <c r="O10" s="5">
        <v>604</v>
      </c>
      <c r="P10" s="5">
        <v>1804</v>
      </c>
      <c r="Q10" s="5">
        <v>1263</v>
      </c>
      <c r="R10" s="5">
        <v>866</v>
      </c>
    </row>
    <row r="11" spans="1:18" ht="18.75" hidden="1" customHeight="1" x14ac:dyDescent="0.35">
      <c r="A11" s="12" t="s">
        <v>18</v>
      </c>
      <c r="B11" s="13">
        <v>2024</v>
      </c>
      <c r="C11" s="14" t="s">
        <v>33</v>
      </c>
      <c r="D11" s="14"/>
      <c r="E11" s="14" t="s">
        <v>23</v>
      </c>
      <c r="F11" s="15" t="s">
        <v>26</v>
      </c>
      <c r="G11" s="13">
        <f t="shared" ref="G11:O11" si="0">G9-G10</f>
        <v>244</v>
      </c>
      <c r="H11" s="13">
        <f t="shared" si="0"/>
        <v>271</v>
      </c>
      <c r="I11" s="13">
        <f t="shared" si="0"/>
        <v>333</v>
      </c>
      <c r="J11" s="13">
        <f t="shared" si="0"/>
        <v>164</v>
      </c>
      <c r="K11" s="13">
        <f t="shared" si="0"/>
        <v>208</v>
      </c>
      <c r="L11" s="13">
        <f t="shared" si="0"/>
        <v>69</v>
      </c>
      <c r="M11" s="13">
        <f t="shared" si="0"/>
        <v>219</v>
      </c>
      <c r="N11" s="13">
        <f t="shared" si="0"/>
        <v>302</v>
      </c>
      <c r="O11" s="13">
        <f t="shared" si="0"/>
        <v>231</v>
      </c>
      <c r="P11" s="13">
        <v>232</v>
      </c>
      <c r="Q11" s="13">
        <v>105</v>
      </c>
      <c r="R11" s="13">
        <v>85</v>
      </c>
    </row>
    <row r="12" spans="1:18" ht="18.75" hidden="1" customHeight="1" x14ac:dyDescent="0.35">
      <c r="A12" s="19" t="s">
        <v>18</v>
      </c>
      <c r="B12" s="5">
        <v>2024</v>
      </c>
      <c r="C12" s="20" t="s">
        <v>34</v>
      </c>
      <c r="D12" s="20"/>
      <c r="E12" s="20" t="s">
        <v>23</v>
      </c>
      <c r="F12" s="21" t="s">
        <v>35</v>
      </c>
      <c r="G12" s="22">
        <f t="shared" ref="G12:R12" si="1">G10/G9</f>
        <v>0.68516129032258066</v>
      </c>
      <c r="H12" s="22">
        <f t="shared" si="1"/>
        <v>0.51346499102333931</v>
      </c>
      <c r="I12" s="22">
        <f t="shared" si="1"/>
        <v>0.54693877551020409</v>
      </c>
      <c r="J12" s="22">
        <f t="shared" si="1"/>
        <v>0.85077343039126474</v>
      </c>
      <c r="K12" s="22">
        <f t="shared" si="1"/>
        <v>0.80882352941176472</v>
      </c>
      <c r="L12" s="22">
        <f t="shared" si="1"/>
        <v>0.90909090909090906</v>
      </c>
      <c r="M12" s="22">
        <f t="shared" si="1"/>
        <v>0.80956521739130438</v>
      </c>
      <c r="N12" s="22">
        <f t="shared" si="1"/>
        <v>0.702755905511811</v>
      </c>
      <c r="O12" s="22">
        <f t="shared" si="1"/>
        <v>0.72335329341317367</v>
      </c>
      <c r="P12" s="22">
        <f t="shared" si="1"/>
        <v>0.88648648648648654</v>
      </c>
      <c r="Q12" s="22">
        <f t="shared" si="1"/>
        <v>0.92324561403508776</v>
      </c>
      <c r="R12" s="22">
        <f t="shared" si="1"/>
        <v>0.91062039957939012</v>
      </c>
    </row>
    <row r="13" spans="1:18" ht="18.75" hidden="1" customHeight="1" x14ac:dyDescent="0.35">
      <c r="A13" s="23" t="s">
        <v>36</v>
      </c>
      <c r="B13" s="13">
        <v>2024</v>
      </c>
      <c r="C13" s="24" t="s">
        <v>37</v>
      </c>
      <c r="D13" s="24"/>
      <c r="E13" s="24" t="s">
        <v>23</v>
      </c>
      <c r="F13" s="25" t="s">
        <v>35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1:18" ht="18.75" hidden="1" customHeight="1" x14ac:dyDescent="0.35">
      <c r="A14" s="19" t="s">
        <v>18</v>
      </c>
      <c r="B14" s="5">
        <v>2024</v>
      </c>
      <c r="C14" s="27" t="s">
        <v>38</v>
      </c>
      <c r="D14" s="20"/>
      <c r="E14" s="20" t="s">
        <v>23</v>
      </c>
      <c r="F14" s="21" t="s">
        <v>26</v>
      </c>
      <c r="G14" s="28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t="18.75" hidden="1" customHeight="1" x14ac:dyDescent="0.35">
      <c r="A15" s="19" t="s">
        <v>18</v>
      </c>
      <c r="B15" s="13">
        <v>2024</v>
      </c>
      <c r="C15" s="14" t="s">
        <v>39</v>
      </c>
      <c r="D15" s="20"/>
      <c r="E15" s="20" t="s">
        <v>23</v>
      </c>
      <c r="F15" s="21" t="s">
        <v>26</v>
      </c>
      <c r="G15" s="29"/>
      <c r="H15" s="29"/>
      <c r="I15" s="29"/>
      <c r="J15" s="28">
        <v>1</v>
      </c>
      <c r="K15" s="29"/>
      <c r="L15" s="29"/>
      <c r="M15" s="29"/>
      <c r="N15" s="29"/>
      <c r="O15" s="30">
        <v>3</v>
      </c>
      <c r="P15" s="28">
        <v>1</v>
      </c>
      <c r="Q15" s="28">
        <v>4</v>
      </c>
      <c r="R15" s="29"/>
    </row>
    <row r="16" spans="1:18" ht="18.75" hidden="1" customHeight="1" x14ac:dyDescent="0.35">
      <c r="A16" s="19" t="s">
        <v>18</v>
      </c>
      <c r="B16" s="5">
        <v>2024</v>
      </c>
      <c r="C16" s="27" t="s">
        <v>40</v>
      </c>
      <c r="D16" s="20"/>
      <c r="E16" s="20" t="s">
        <v>23</v>
      </c>
      <c r="F16" s="21" t="s">
        <v>26</v>
      </c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8">
        <v>373</v>
      </c>
      <c r="R16" s="28">
        <v>7</v>
      </c>
    </row>
    <row r="17" spans="1:18" ht="18.75" hidden="1" customHeight="1" x14ac:dyDescent="0.35">
      <c r="A17" s="12" t="s">
        <v>18</v>
      </c>
      <c r="B17" s="13">
        <v>2024</v>
      </c>
      <c r="C17" s="14" t="s">
        <v>41</v>
      </c>
      <c r="D17" s="31" t="s">
        <v>42</v>
      </c>
      <c r="E17" s="14" t="s">
        <v>23</v>
      </c>
      <c r="F17" s="15" t="s">
        <v>26</v>
      </c>
      <c r="G17" s="13">
        <v>507</v>
      </c>
      <c r="H17" s="13">
        <v>622</v>
      </c>
      <c r="I17" s="13">
        <v>660</v>
      </c>
      <c r="J17" s="13">
        <v>992</v>
      </c>
      <c r="K17" s="13">
        <v>616</v>
      </c>
      <c r="L17" s="13">
        <v>720</v>
      </c>
      <c r="M17" s="13">
        <v>619</v>
      </c>
      <c r="N17" s="13">
        <v>577</v>
      </c>
      <c r="O17" s="13">
        <v>640</v>
      </c>
      <c r="P17" s="13">
        <v>470</v>
      </c>
      <c r="Q17" s="13">
        <v>473</v>
      </c>
      <c r="R17" s="13">
        <v>1702</v>
      </c>
    </row>
    <row r="18" spans="1:18" ht="18.75" hidden="1" customHeight="1" x14ac:dyDescent="0.35">
      <c r="A18" s="4" t="s">
        <v>18</v>
      </c>
      <c r="B18" s="5">
        <v>2024</v>
      </c>
      <c r="C18" s="6" t="s">
        <v>41</v>
      </c>
      <c r="D18" s="32" t="s">
        <v>43</v>
      </c>
      <c r="E18" s="6" t="s">
        <v>23</v>
      </c>
      <c r="F18" s="7" t="s">
        <v>26</v>
      </c>
      <c r="G18" s="5">
        <v>9</v>
      </c>
      <c r="H18" s="5">
        <v>950</v>
      </c>
      <c r="I18" s="5">
        <v>1001</v>
      </c>
      <c r="J18" s="5">
        <v>2813</v>
      </c>
      <c r="K18" s="5">
        <v>1084</v>
      </c>
      <c r="L18" s="5">
        <v>1012</v>
      </c>
      <c r="M18" s="5">
        <v>963</v>
      </c>
      <c r="N18" s="5">
        <v>961</v>
      </c>
      <c r="O18" s="5">
        <v>1009</v>
      </c>
      <c r="P18" s="5">
        <v>1227</v>
      </c>
      <c r="Q18" s="5">
        <v>845</v>
      </c>
      <c r="R18" s="5">
        <v>2336</v>
      </c>
    </row>
    <row r="19" spans="1:18" ht="18.75" hidden="1" customHeight="1" x14ac:dyDescent="0.35">
      <c r="A19" s="12" t="s">
        <v>18</v>
      </c>
      <c r="B19" s="13">
        <v>2024</v>
      </c>
      <c r="C19" s="14" t="s">
        <v>41</v>
      </c>
      <c r="D19" s="31" t="s">
        <v>44</v>
      </c>
      <c r="E19" s="14" t="s">
        <v>23</v>
      </c>
      <c r="F19" s="15" t="s">
        <v>26</v>
      </c>
      <c r="G19" s="13">
        <v>869</v>
      </c>
      <c r="H19" s="13">
        <v>765</v>
      </c>
      <c r="I19" s="13">
        <v>937</v>
      </c>
      <c r="J19" s="13">
        <v>1335</v>
      </c>
      <c r="K19" s="13">
        <v>824</v>
      </c>
      <c r="L19" s="13">
        <v>800</v>
      </c>
      <c r="M19" s="13">
        <v>941</v>
      </c>
      <c r="N19" s="13">
        <v>996</v>
      </c>
      <c r="O19" s="13">
        <v>1020</v>
      </c>
      <c r="P19" s="13">
        <v>1220</v>
      </c>
      <c r="Q19" s="13">
        <v>876</v>
      </c>
      <c r="R19" s="13">
        <v>1102</v>
      </c>
    </row>
    <row r="20" spans="1:18" ht="18.75" hidden="1" customHeight="1" x14ac:dyDescent="0.35">
      <c r="A20" s="4" t="s">
        <v>18</v>
      </c>
      <c r="B20" s="5">
        <v>2024</v>
      </c>
      <c r="C20" s="6" t="s">
        <v>41</v>
      </c>
      <c r="D20" s="32" t="s">
        <v>45</v>
      </c>
      <c r="E20" s="6" t="s">
        <v>23</v>
      </c>
      <c r="F20" s="7" t="s">
        <v>26</v>
      </c>
      <c r="G20" s="5">
        <v>518</v>
      </c>
      <c r="H20" s="5">
        <v>758</v>
      </c>
      <c r="I20" s="5">
        <v>569</v>
      </c>
      <c r="J20" s="5">
        <v>1011</v>
      </c>
      <c r="K20" s="5">
        <v>843</v>
      </c>
      <c r="L20" s="5">
        <v>789</v>
      </c>
      <c r="M20" s="5">
        <v>781</v>
      </c>
      <c r="N20" s="5">
        <v>827</v>
      </c>
      <c r="O20" s="5">
        <v>811</v>
      </c>
      <c r="P20" s="5">
        <v>680</v>
      </c>
      <c r="Q20" s="5">
        <v>550</v>
      </c>
      <c r="R20" s="5">
        <v>423</v>
      </c>
    </row>
    <row r="21" spans="1:18" ht="18.75" hidden="1" customHeight="1" x14ac:dyDescent="0.35">
      <c r="A21" s="12" t="s">
        <v>18</v>
      </c>
      <c r="B21" s="13">
        <v>2024</v>
      </c>
      <c r="C21" s="14" t="s">
        <v>41</v>
      </c>
      <c r="D21" s="31" t="s">
        <v>46</v>
      </c>
      <c r="E21" s="14" t="s">
        <v>23</v>
      </c>
      <c r="F21" s="15" t="s">
        <v>26</v>
      </c>
      <c r="G21" s="13">
        <v>4</v>
      </c>
      <c r="H21" s="13">
        <v>647</v>
      </c>
      <c r="I21" s="13">
        <v>0</v>
      </c>
      <c r="J21" s="13">
        <v>0</v>
      </c>
      <c r="K21" s="13">
        <v>240</v>
      </c>
      <c r="L21" s="13">
        <v>39</v>
      </c>
      <c r="M21" s="13">
        <v>1024</v>
      </c>
      <c r="N21" s="13">
        <v>702</v>
      </c>
      <c r="O21" s="13">
        <v>135</v>
      </c>
      <c r="P21" s="13">
        <v>231</v>
      </c>
      <c r="Q21" s="13">
        <v>0</v>
      </c>
      <c r="R21" s="13">
        <v>73</v>
      </c>
    </row>
    <row r="22" spans="1:18" ht="18.75" hidden="1" customHeight="1" x14ac:dyDescent="0.35">
      <c r="A22" s="4" t="s">
        <v>18</v>
      </c>
      <c r="B22" s="5">
        <v>2024</v>
      </c>
      <c r="C22" s="6" t="s">
        <v>41</v>
      </c>
      <c r="D22" s="32" t="s">
        <v>47</v>
      </c>
      <c r="E22" s="6" t="s">
        <v>23</v>
      </c>
      <c r="F22" s="7" t="s">
        <v>26</v>
      </c>
      <c r="G22" s="5">
        <v>0</v>
      </c>
      <c r="H22" s="5">
        <v>31</v>
      </c>
      <c r="I22" s="5">
        <v>0</v>
      </c>
      <c r="J22" s="5">
        <v>63</v>
      </c>
      <c r="K22" s="5">
        <v>34</v>
      </c>
      <c r="L22" s="5">
        <v>37</v>
      </c>
      <c r="M22" s="5">
        <v>29</v>
      </c>
      <c r="N22" s="5">
        <v>29</v>
      </c>
      <c r="O22" s="5">
        <v>38</v>
      </c>
      <c r="P22" s="5">
        <v>45</v>
      </c>
      <c r="Q22" s="5">
        <v>34</v>
      </c>
      <c r="R22" s="5">
        <v>66</v>
      </c>
    </row>
    <row r="23" spans="1:18" ht="18.75" hidden="1" customHeight="1" x14ac:dyDescent="0.35">
      <c r="A23" s="12" t="s">
        <v>18</v>
      </c>
      <c r="B23" s="13">
        <v>2024</v>
      </c>
      <c r="C23" s="14" t="s">
        <v>41</v>
      </c>
      <c r="D23" s="31" t="s">
        <v>48</v>
      </c>
      <c r="E23" s="14" t="s">
        <v>23</v>
      </c>
      <c r="F23" s="15" t="s">
        <v>26</v>
      </c>
      <c r="G23" s="13">
        <v>0</v>
      </c>
      <c r="H23" s="13">
        <v>1018</v>
      </c>
      <c r="I23" s="13">
        <v>1588</v>
      </c>
      <c r="J23" s="13">
        <v>0</v>
      </c>
      <c r="K23" s="13">
        <v>2032</v>
      </c>
      <c r="L23" s="13">
        <v>2198</v>
      </c>
      <c r="M23" s="13">
        <v>1735</v>
      </c>
      <c r="N23" s="13">
        <v>1337</v>
      </c>
      <c r="O23" s="13">
        <v>2186</v>
      </c>
      <c r="P23" s="13">
        <v>2512</v>
      </c>
      <c r="Q23" s="13">
        <v>2.3380000000000001</v>
      </c>
      <c r="R23" s="13">
        <v>640</v>
      </c>
    </row>
    <row r="24" spans="1:18" ht="18.75" hidden="1" customHeight="1" x14ac:dyDescent="0.35">
      <c r="A24" s="4" t="s">
        <v>18</v>
      </c>
      <c r="B24" s="5">
        <v>2024</v>
      </c>
      <c r="C24" s="6" t="s">
        <v>41</v>
      </c>
      <c r="D24" s="32" t="s">
        <v>49</v>
      </c>
      <c r="E24" s="6" t="s">
        <v>23</v>
      </c>
      <c r="F24" s="7" t="s">
        <v>26</v>
      </c>
      <c r="G24" s="5">
        <v>769</v>
      </c>
      <c r="H24" s="5">
        <v>802</v>
      </c>
      <c r="I24" s="5">
        <v>805</v>
      </c>
      <c r="J24" s="5">
        <v>1222</v>
      </c>
      <c r="K24" s="5">
        <v>836</v>
      </c>
      <c r="L24" s="5">
        <v>980</v>
      </c>
      <c r="M24" s="5">
        <v>1554</v>
      </c>
      <c r="N24" s="5">
        <v>861</v>
      </c>
      <c r="O24" s="5">
        <v>853</v>
      </c>
      <c r="P24" s="5">
        <v>1103</v>
      </c>
      <c r="Q24" s="5">
        <v>1.353</v>
      </c>
      <c r="R24" s="5">
        <v>612</v>
      </c>
    </row>
    <row r="25" spans="1:18" ht="18.75" hidden="1" customHeight="1" x14ac:dyDescent="0.35">
      <c r="A25" s="12" t="s">
        <v>18</v>
      </c>
      <c r="B25" s="13">
        <v>2024</v>
      </c>
      <c r="C25" s="14" t="s">
        <v>41</v>
      </c>
      <c r="D25" s="31" t="s">
        <v>50</v>
      </c>
      <c r="E25" s="14" t="s">
        <v>23</v>
      </c>
      <c r="F25" s="15" t="s">
        <v>26</v>
      </c>
      <c r="G25" s="13">
        <v>1075</v>
      </c>
      <c r="H25" s="13">
        <v>1121</v>
      </c>
      <c r="I25" s="13">
        <v>1022</v>
      </c>
      <c r="J25" s="13">
        <v>1567</v>
      </c>
      <c r="K25" s="13">
        <v>1081</v>
      </c>
      <c r="L25" s="13">
        <v>1180</v>
      </c>
      <c r="M25" s="13">
        <v>1051</v>
      </c>
      <c r="N25" s="13">
        <v>1098</v>
      </c>
      <c r="O25" s="13">
        <v>980</v>
      </c>
      <c r="P25" s="13">
        <v>1532</v>
      </c>
      <c r="Q25" s="13">
        <v>1.58</v>
      </c>
      <c r="R25" s="13">
        <v>1515</v>
      </c>
    </row>
    <row r="26" spans="1:18" ht="18.75" hidden="1" customHeight="1" x14ac:dyDescent="0.35">
      <c r="A26" s="4" t="s">
        <v>18</v>
      </c>
      <c r="B26" s="5">
        <v>2024</v>
      </c>
      <c r="C26" s="6" t="s">
        <v>41</v>
      </c>
      <c r="D26" s="32" t="s">
        <v>51</v>
      </c>
      <c r="E26" s="6" t="s">
        <v>23</v>
      </c>
      <c r="F26" s="7" t="s">
        <v>26</v>
      </c>
      <c r="G26" s="5">
        <v>769</v>
      </c>
      <c r="H26" s="5">
        <v>894</v>
      </c>
      <c r="I26" s="5">
        <v>2233</v>
      </c>
      <c r="J26" s="5">
        <v>30</v>
      </c>
      <c r="K26" s="5">
        <v>1045</v>
      </c>
      <c r="L26" s="5">
        <v>1125</v>
      </c>
      <c r="M26" s="5">
        <v>992</v>
      </c>
      <c r="N26" s="5">
        <v>1045</v>
      </c>
      <c r="O26" s="5">
        <v>1058</v>
      </c>
      <c r="P26" s="5">
        <v>998</v>
      </c>
      <c r="Q26" s="5">
        <v>792</v>
      </c>
      <c r="R26" s="5">
        <v>723</v>
      </c>
    </row>
    <row r="27" spans="1:18" ht="18.75" hidden="1" customHeight="1" x14ac:dyDescent="0.35">
      <c r="A27" s="12" t="s">
        <v>18</v>
      </c>
      <c r="B27" s="13">
        <v>2024</v>
      </c>
      <c r="C27" s="14" t="s">
        <v>41</v>
      </c>
      <c r="D27" s="31" t="s">
        <v>52</v>
      </c>
      <c r="E27" s="14" t="s">
        <v>23</v>
      </c>
      <c r="F27" s="15" t="s">
        <v>26</v>
      </c>
      <c r="G27" s="13">
        <v>409</v>
      </c>
      <c r="H27" s="13">
        <v>477</v>
      </c>
      <c r="I27" s="13">
        <v>472</v>
      </c>
      <c r="J27" s="13">
        <v>655</v>
      </c>
      <c r="K27" s="13">
        <v>487</v>
      </c>
      <c r="L27" s="13">
        <v>477</v>
      </c>
      <c r="M27" s="13">
        <v>623</v>
      </c>
      <c r="N27" s="13">
        <v>486</v>
      </c>
      <c r="O27" s="13">
        <v>519</v>
      </c>
      <c r="P27" s="13">
        <v>637</v>
      </c>
      <c r="Q27" s="13">
        <v>557</v>
      </c>
      <c r="R27" s="13">
        <v>459</v>
      </c>
    </row>
    <row r="28" spans="1:18" ht="18.75" hidden="1" customHeight="1" x14ac:dyDescent="0.35">
      <c r="A28" s="4" t="s">
        <v>18</v>
      </c>
      <c r="B28" s="5">
        <v>2024</v>
      </c>
      <c r="C28" s="6" t="s">
        <v>41</v>
      </c>
      <c r="D28" s="32" t="s">
        <v>53</v>
      </c>
      <c r="E28" s="6" t="s">
        <v>23</v>
      </c>
      <c r="F28" s="7" t="s">
        <v>26</v>
      </c>
      <c r="G28" s="5">
        <v>89</v>
      </c>
      <c r="H28" s="5">
        <v>359</v>
      </c>
      <c r="I28" s="5">
        <v>493</v>
      </c>
      <c r="J28" s="5">
        <v>185</v>
      </c>
      <c r="K28" s="5">
        <v>281</v>
      </c>
      <c r="L28" s="5">
        <v>298</v>
      </c>
      <c r="M28" s="5">
        <v>224</v>
      </c>
      <c r="N28" s="5">
        <v>239</v>
      </c>
      <c r="O28" s="5">
        <v>241</v>
      </c>
      <c r="P28" s="5">
        <v>378</v>
      </c>
      <c r="Q28" s="5">
        <v>1.609</v>
      </c>
      <c r="R28" s="5">
        <v>229</v>
      </c>
    </row>
    <row r="29" spans="1:18" ht="18.75" hidden="1" customHeight="1" x14ac:dyDescent="0.35">
      <c r="A29" s="12" t="s">
        <v>18</v>
      </c>
      <c r="B29" s="13">
        <v>2024</v>
      </c>
      <c r="C29" s="14" t="s">
        <v>41</v>
      </c>
      <c r="D29" s="31" t="s">
        <v>54</v>
      </c>
      <c r="E29" s="14" t="s">
        <v>23</v>
      </c>
      <c r="F29" s="15" t="s">
        <v>26</v>
      </c>
      <c r="G29" s="13">
        <v>1</v>
      </c>
      <c r="H29" s="13">
        <v>1</v>
      </c>
      <c r="I29" s="13">
        <v>3</v>
      </c>
      <c r="J29" s="13">
        <v>5</v>
      </c>
      <c r="K29" s="13">
        <v>3</v>
      </c>
      <c r="L29" s="13"/>
      <c r="M29" s="13">
        <v>21</v>
      </c>
      <c r="N29" s="13">
        <v>43</v>
      </c>
      <c r="O29" s="13">
        <v>16</v>
      </c>
      <c r="P29" s="13">
        <v>9</v>
      </c>
      <c r="Q29" s="13">
        <v>7</v>
      </c>
      <c r="R29" s="13">
        <v>15</v>
      </c>
    </row>
    <row r="30" spans="1:18" ht="18.75" hidden="1" customHeight="1" x14ac:dyDescent="0.35">
      <c r="A30" s="4" t="s">
        <v>18</v>
      </c>
      <c r="B30" s="5">
        <v>2024</v>
      </c>
      <c r="C30" s="6" t="s">
        <v>55</v>
      </c>
      <c r="D30" s="6" t="s">
        <v>56</v>
      </c>
      <c r="E30" s="6" t="s">
        <v>23</v>
      </c>
      <c r="F30" s="7" t="s">
        <v>26</v>
      </c>
      <c r="G30" s="33">
        <v>41</v>
      </c>
      <c r="H30" s="33">
        <v>71</v>
      </c>
      <c r="I30" s="33">
        <v>74</v>
      </c>
      <c r="J30" s="33">
        <v>95</v>
      </c>
      <c r="K30" s="33">
        <v>74</v>
      </c>
      <c r="L30" s="33">
        <v>122</v>
      </c>
      <c r="M30" s="33">
        <v>128</v>
      </c>
      <c r="N30" s="33">
        <v>126</v>
      </c>
      <c r="O30" s="33">
        <v>114</v>
      </c>
      <c r="P30" s="33">
        <v>102</v>
      </c>
      <c r="Q30" s="33">
        <v>111</v>
      </c>
      <c r="R30" s="33">
        <v>108</v>
      </c>
    </row>
    <row r="31" spans="1:18" ht="18.75" hidden="1" customHeight="1" x14ac:dyDescent="0.35">
      <c r="A31" s="12" t="s">
        <v>18</v>
      </c>
      <c r="B31" s="13">
        <v>2024</v>
      </c>
      <c r="C31" s="14" t="s">
        <v>57</v>
      </c>
      <c r="D31" s="14" t="s">
        <v>58</v>
      </c>
      <c r="E31" s="14" t="s">
        <v>23</v>
      </c>
      <c r="F31" s="15" t="s">
        <v>26</v>
      </c>
      <c r="G31" s="34">
        <v>19</v>
      </c>
      <c r="H31" s="34">
        <v>45</v>
      </c>
      <c r="I31" s="34">
        <v>42</v>
      </c>
      <c r="J31" s="34">
        <v>67</v>
      </c>
      <c r="K31" s="34">
        <v>77</v>
      </c>
      <c r="L31" s="34">
        <v>77</v>
      </c>
      <c r="M31" s="34">
        <v>59</v>
      </c>
      <c r="N31" s="34">
        <v>81</v>
      </c>
      <c r="O31" s="34">
        <v>71</v>
      </c>
      <c r="P31" s="34">
        <v>106</v>
      </c>
      <c r="Q31" s="34">
        <v>88</v>
      </c>
      <c r="R31" s="34">
        <v>93</v>
      </c>
    </row>
    <row r="32" spans="1:18" ht="18.75" hidden="1" customHeight="1" x14ac:dyDescent="0.35">
      <c r="A32" s="4" t="s">
        <v>59</v>
      </c>
      <c r="B32" s="5">
        <v>2024</v>
      </c>
      <c r="C32" s="6" t="s">
        <v>60</v>
      </c>
      <c r="D32" s="6"/>
      <c r="E32" s="6" t="s">
        <v>20</v>
      </c>
      <c r="F32" s="7" t="s">
        <v>61</v>
      </c>
      <c r="G32" s="17"/>
      <c r="H32" s="17"/>
      <c r="I32" s="17"/>
      <c r="J32" s="17"/>
      <c r="K32" s="17"/>
      <c r="L32" s="17"/>
      <c r="M32" s="8">
        <v>1874782402</v>
      </c>
      <c r="N32" s="8">
        <v>153065829</v>
      </c>
      <c r="O32" s="8"/>
      <c r="P32" s="8"/>
      <c r="Q32" s="8"/>
      <c r="R32" s="8">
        <v>287387483</v>
      </c>
    </row>
    <row r="33" spans="1:18" ht="18.75" hidden="1" customHeight="1" x14ac:dyDescent="0.35">
      <c r="A33" s="12" t="s">
        <v>59</v>
      </c>
      <c r="B33" s="13">
        <v>2024</v>
      </c>
      <c r="C33" s="14" t="s">
        <v>62</v>
      </c>
      <c r="D33" s="14"/>
      <c r="E33" s="14" t="s">
        <v>23</v>
      </c>
      <c r="F33" s="15" t="s">
        <v>63</v>
      </c>
      <c r="G33" s="18"/>
      <c r="H33" s="18"/>
      <c r="I33" s="18"/>
      <c r="J33" s="18"/>
      <c r="K33" s="18"/>
      <c r="L33" s="18"/>
      <c r="M33" s="13">
        <v>216</v>
      </c>
      <c r="N33" s="13">
        <v>216</v>
      </c>
      <c r="O33" s="13">
        <v>216</v>
      </c>
      <c r="P33" s="13">
        <v>216</v>
      </c>
      <c r="Q33" s="13">
        <v>216</v>
      </c>
      <c r="R33" s="13">
        <v>216</v>
      </c>
    </row>
    <row r="34" spans="1:18" ht="18.75" hidden="1" customHeight="1" x14ac:dyDescent="0.35">
      <c r="A34" s="4" t="s">
        <v>59</v>
      </c>
      <c r="B34" s="5">
        <v>2024</v>
      </c>
      <c r="C34" s="6" t="s">
        <v>64</v>
      </c>
      <c r="D34" s="6"/>
      <c r="E34" s="6" t="s">
        <v>23</v>
      </c>
      <c r="F34" s="7" t="s">
        <v>63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5">
        <v>762</v>
      </c>
      <c r="R34" s="5">
        <v>796</v>
      </c>
    </row>
    <row r="35" spans="1:18" ht="18.75" hidden="1" customHeight="1" x14ac:dyDescent="0.35">
      <c r="A35" s="12" t="s">
        <v>59</v>
      </c>
      <c r="B35" s="13">
        <v>2024</v>
      </c>
      <c r="C35" s="14" t="s">
        <v>65</v>
      </c>
      <c r="D35" s="14"/>
      <c r="E35" s="14" t="s">
        <v>23</v>
      </c>
      <c r="F35" s="15" t="s">
        <v>63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3">
        <v>1246</v>
      </c>
      <c r="R35" s="13">
        <v>1423</v>
      </c>
    </row>
    <row r="36" spans="1:18" ht="18.75" hidden="1" customHeight="1" x14ac:dyDescent="0.35">
      <c r="A36" s="4" t="s">
        <v>59</v>
      </c>
      <c r="B36" s="5">
        <v>2024</v>
      </c>
      <c r="C36" s="6" t="s">
        <v>66</v>
      </c>
      <c r="D36" s="6"/>
      <c r="E36" s="6" t="s">
        <v>23</v>
      </c>
      <c r="F36" s="7" t="s">
        <v>63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5">
        <f>111388+3474798</f>
        <v>3586186</v>
      </c>
      <c r="R36" s="5">
        <f>33416+1078102</f>
        <v>1111518</v>
      </c>
    </row>
    <row r="37" spans="1:18" ht="18.75" hidden="1" customHeight="1" x14ac:dyDescent="0.35">
      <c r="A37" s="12" t="s">
        <v>59</v>
      </c>
      <c r="B37" s="13">
        <v>2024</v>
      </c>
      <c r="C37" s="14" t="s">
        <v>67</v>
      </c>
      <c r="D37" s="14"/>
      <c r="E37" s="14" t="s">
        <v>23</v>
      </c>
      <c r="F37" s="15" t="s">
        <v>63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3">
        <v>21358806</v>
      </c>
      <c r="R37" s="13">
        <v>2581513</v>
      </c>
    </row>
    <row r="38" spans="1:18" ht="18.75" hidden="1" customHeight="1" x14ac:dyDescent="0.35">
      <c r="A38" s="4" t="s">
        <v>59</v>
      </c>
      <c r="B38" s="5">
        <v>2024</v>
      </c>
      <c r="C38" s="6" t="s">
        <v>68</v>
      </c>
      <c r="D38" s="6"/>
      <c r="E38" s="6" t="s">
        <v>20</v>
      </c>
      <c r="F38" s="7" t="s">
        <v>61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8">
        <v>96825026</v>
      </c>
    </row>
    <row r="39" spans="1:18" ht="18.75" hidden="1" customHeight="1" x14ac:dyDescent="0.35">
      <c r="A39" s="12" t="s">
        <v>69</v>
      </c>
      <c r="B39" s="13">
        <v>2024</v>
      </c>
      <c r="C39" s="14" t="s">
        <v>70</v>
      </c>
      <c r="D39" s="14"/>
      <c r="E39" s="14" t="s">
        <v>23</v>
      </c>
      <c r="F39" s="15" t="s">
        <v>26</v>
      </c>
      <c r="G39" s="34">
        <v>3203</v>
      </c>
      <c r="H39" s="34">
        <v>6413</v>
      </c>
      <c r="I39" s="34">
        <v>6745</v>
      </c>
      <c r="J39" s="34">
        <v>6779</v>
      </c>
      <c r="K39" s="34">
        <v>7082</v>
      </c>
      <c r="L39" s="34">
        <v>7413</v>
      </c>
      <c r="M39" s="34">
        <v>8176</v>
      </c>
      <c r="N39" s="34">
        <v>7362</v>
      </c>
      <c r="O39" s="34">
        <v>7562</v>
      </c>
      <c r="P39" s="34">
        <v>9368</v>
      </c>
      <c r="Q39" s="34">
        <v>9542</v>
      </c>
      <c r="R39" s="34">
        <v>8375</v>
      </c>
    </row>
    <row r="40" spans="1:18" ht="18.75" hidden="1" customHeight="1" x14ac:dyDescent="0.35">
      <c r="A40" s="4" t="s">
        <v>69</v>
      </c>
      <c r="B40" s="5">
        <v>2024</v>
      </c>
      <c r="C40" s="6" t="s">
        <v>71</v>
      </c>
      <c r="D40" s="6"/>
      <c r="E40" s="6" t="s">
        <v>23</v>
      </c>
      <c r="F40" s="7" t="s">
        <v>26</v>
      </c>
      <c r="G40" s="33">
        <v>1604</v>
      </c>
      <c r="H40" s="33">
        <v>1830</v>
      </c>
      <c r="I40" s="33">
        <v>2210</v>
      </c>
      <c r="J40" s="33">
        <v>1888</v>
      </c>
      <c r="K40" s="33">
        <v>1889</v>
      </c>
      <c r="L40" s="33">
        <v>1858</v>
      </c>
      <c r="M40" s="33">
        <v>1918</v>
      </c>
      <c r="N40" s="33">
        <v>1839</v>
      </c>
      <c r="O40" s="33">
        <v>1946</v>
      </c>
      <c r="P40" s="33">
        <v>1675</v>
      </c>
      <c r="Q40" s="33">
        <v>1473</v>
      </c>
      <c r="R40" s="33">
        <v>1520</v>
      </c>
    </row>
    <row r="41" spans="1:18" ht="18.75" hidden="1" customHeight="1" x14ac:dyDescent="0.35">
      <c r="A41" s="12" t="s">
        <v>69</v>
      </c>
      <c r="B41" s="13">
        <v>2024</v>
      </c>
      <c r="C41" s="14" t="s">
        <v>72</v>
      </c>
      <c r="D41" s="14"/>
      <c r="E41" s="14" t="s">
        <v>23</v>
      </c>
      <c r="F41" s="15" t="s">
        <v>26</v>
      </c>
      <c r="G41" s="34">
        <v>28</v>
      </c>
      <c r="H41" s="34">
        <v>84</v>
      </c>
      <c r="I41" s="34">
        <v>106</v>
      </c>
      <c r="J41" s="34">
        <v>163</v>
      </c>
      <c r="K41" s="34">
        <v>138</v>
      </c>
      <c r="L41" s="34">
        <v>120</v>
      </c>
      <c r="M41" s="34">
        <v>124</v>
      </c>
      <c r="N41" s="34">
        <v>122</v>
      </c>
      <c r="O41" s="34">
        <v>142</v>
      </c>
      <c r="P41" s="34">
        <v>192</v>
      </c>
      <c r="Q41" s="34">
        <v>129</v>
      </c>
      <c r="R41" s="34">
        <v>323</v>
      </c>
    </row>
    <row r="42" spans="1:18" ht="18.75" hidden="1" customHeight="1" x14ac:dyDescent="0.35">
      <c r="A42" s="4" t="s">
        <v>69</v>
      </c>
      <c r="B42" s="5">
        <v>2024</v>
      </c>
      <c r="C42" s="6" t="s">
        <v>73</v>
      </c>
      <c r="D42" s="6"/>
      <c r="E42" s="6" t="s">
        <v>23</v>
      </c>
      <c r="F42" s="7" t="s">
        <v>26</v>
      </c>
      <c r="G42" s="33">
        <v>31</v>
      </c>
      <c r="H42" s="33">
        <v>37</v>
      </c>
      <c r="I42" s="33">
        <v>62</v>
      </c>
      <c r="J42" s="33">
        <v>74</v>
      </c>
      <c r="K42" s="33">
        <v>84</v>
      </c>
      <c r="L42" s="33">
        <v>92</v>
      </c>
      <c r="M42" s="33">
        <v>80</v>
      </c>
      <c r="N42" s="33">
        <v>75</v>
      </c>
      <c r="O42" s="33">
        <v>83</v>
      </c>
      <c r="P42" s="33">
        <v>64</v>
      </c>
      <c r="Q42" s="33">
        <v>77</v>
      </c>
      <c r="R42" s="33">
        <v>154</v>
      </c>
    </row>
    <row r="43" spans="1:18" ht="18.75" hidden="1" customHeight="1" x14ac:dyDescent="0.4">
      <c r="A43" s="12" t="s">
        <v>69</v>
      </c>
      <c r="B43" s="13">
        <v>2024</v>
      </c>
      <c r="C43" s="14" t="s">
        <v>74</v>
      </c>
      <c r="D43" s="14"/>
      <c r="E43" s="14" t="s">
        <v>20</v>
      </c>
      <c r="F43" s="15" t="s">
        <v>21</v>
      </c>
      <c r="G43" s="34"/>
      <c r="H43" s="34"/>
      <c r="I43" s="34"/>
      <c r="J43" s="34"/>
      <c r="K43" s="35">
        <v>2625812</v>
      </c>
      <c r="L43" s="34"/>
      <c r="M43" s="34"/>
      <c r="N43" s="34"/>
      <c r="O43" s="34"/>
      <c r="P43" s="36"/>
      <c r="Q43" s="36"/>
      <c r="R43" s="36"/>
    </row>
    <row r="44" spans="1:18" ht="18.75" hidden="1" customHeight="1" x14ac:dyDescent="0.4">
      <c r="A44" s="19" t="s">
        <v>69</v>
      </c>
      <c r="B44" s="5">
        <v>2024</v>
      </c>
      <c r="C44" s="20" t="s">
        <v>75</v>
      </c>
      <c r="D44" s="20"/>
      <c r="E44" s="20" t="s">
        <v>23</v>
      </c>
      <c r="F44" s="21" t="s">
        <v>35</v>
      </c>
      <c r="G44" s="37">
        <v>0.91739329967875172</v>
      </c>
      <c r="H44" s="37">
        <v>0.87896995708154502</v>
      </c>
      <c r="I44" s="37">
        <v>0.78529956763434217</v>
      </c>
      <c r="J44" s="37">
        <v>0.82089741960086438</v>
      </c>
      <c r="K44" s="38">
        <v>0.87620640844164199</v>
      </c>
      <c r="L44" s="37">
        <v>0.57429429429429435</v>
      </c>
      <c r="M44" s="37">
        <v>0.6207820032137118</v>
      </c>
      <c r="N44" s="37">
        <v>0.67839013778100077</v>
      </c>
      <c r="O44" s="37">
        <v>0.87652153558052437</v>
      </c>
      <c r="P44" s="37">
        <v>0.67580612035325527</v>
      </c>
      <c r="Q44" s="37">
        <v>0.75167294019238817</v>
      </c>
      <c r="R44" s="37"/>
    </row>
    <row r="45" spans="1:18" ht="18.75" hidden="1" customHeight="1" x14ac:dyDescent="0.35">
      <c r="A45" s="12" t="s">
        <v>69</v>
      </c>
      <c r="B45" s="13">
        <v>2024</v>
      </c>
      <c r="C45" s="14" t="s">
        <v>76</v>
      </c>
      <c r="D45" s="14"/>
      <c r="E45" s="14" t="s">
        <v>23</v>
      </c>
      <c r="F45" s="15" t="s">
        <v>26</v>
      </c>
      <c r="G45" s="34">
        <v>3</v>
      </c>
      <c r="H45" s="34">
        <v>6</v>
      </c>
      <c r="I45" s="34">
        <v>7</v>
      </c>
      <c r="J45" s="34">
        <v>17</v>
      </c>
      <c r="K45" s="34">
        <v>6</v>
      </c>
      <c r="L45" s="34"/>
      <c r="M45" s="34"/>
      <c r="N45" s="34"/>
      <c r="O45" s="34"/>
      <c r="P45" s="36"/>
      <c r="Q45" s="36"/>
      <c r="R45" s="36"/>
    </row>
    <row r="46" spans="1:18" ht="18.75" hidden="1" customHeight="1" x14ac:dyDescent="0.35">
      <c r="A46" s="4" t="s">
        <v>69</v>
      </c>
      <c r="B46" s="5">
        <v>2024</v>
      </c>
      <c r="C46" s="6" t="s">
        <v>77</v>
      </c>
      <c r="D46" s="6"/>
      <c r="E46" s="6" t="s">
        <v>23</v>
      </c>
      <c r="F46" s="7" t="s">
        <v>26</v>
      </c>
      <c r="G46" s="17"/>
      <c r="H46" s="5">
        <v>1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8.75" hidden="1" customHeight="1" x14ac:dyDescent="0.4">
      <c r="A47" s="12" t="s">
        <v>69</v>
      </c>
      <c r="B47" s="13">
        <v>2024</v>
      </c>
      <c r="C47" s="14" t="s">
        <v>78</v>
      </c>
      <c r="D47" s="14"/>
      <c r="E47" s="14" t="s">
        <v>20</v>
      </c>
      <c r="F47" s="15" t="s">
        <v>21</v>
      </c>
      <c r="G47" s="18"/>
      <c r="H47" s="18"/>
      <c r="I47" s="18"/>
      <c r="J47" s="18"/>
      <c r="K47" s="18"/>
      <c r="L47" s="18"/>
      <c r="M47" s="18"/>
      <c r="N47" s="18"/>
      <c r="O47" s="18"/>
      <c r="P47" s="35">
        <v>216542249</v>
      </c>
      <c r="Q47" s="35"/>
      <c r="R47" s="35"/>
    </row>
    <row r="48" spans="1:18" ht="18.75" hidden="1" customHeight="1" x14ac:dyDescent="0.4">
      <c r="A48" s="4" t="s">
        <v>69</v>
      </c>
      <c r="B48" s="5">
        <v>2024</v>
      </c>
      <c r="C48" s="6" t="s">
        <v>79</v>
      </c>
      <c r="D48" s="6"/>
      <c r="E48" s="6" t="s">
        <v>23</v>
      </c>
      <c r="F48" s="7" t="s">
        <v>26</v>
      </c>
      <c r="G48" s="5">
        <f>1161+76</f>
        <v>1237</v>
      </c>
      <c r="H48" s="5">
        <f>1237+63</f>
        <v>1300</v>
      </c>
      <c r="I48" s="5">
        <f>1300+19</f>
        <v>1319</v>
      </c>
      <c r="J48" s="5">
        <f>1319+10</f>
        <v>1329</v>
      </c>
      <c r="K48" s="5">
        <f>1329+2</f>
        <v>1331</v>
      </c>
      <c r="L48" s="17"/>
      <c r="M48" s="17"/>
      <c r="N48" s="17"/>
      <c r="O48" s="17"/>
      <c r="P48" s="39"/>
      <c r="Q48" s="39"/>
      <c r="R48" s="39"/>
    </row>
    <row r="49" spans="1:18" ht="18.75" hidden="1" customHeight="1" x14ac:dyDescent="0.35">
      <c r="A49" s="40" t="s">
        <v>80</v>
      </c>
      <c r="B49" s="13">
        <v>2024</v>
      </c>
      <c r="C49" s="41" t="s">
        <v>81</v>
      </c>
      <c r="D49" s="41"/>
      <c r="E49" s="41" t="s">
        <v>23</v>
      </c>
      <c r="F49" s="42" t="s">
        <v>26</v>
      </c>
      <c r="G49" s="43">
        <v>1</v>
      </c>
      <c r="H49" s="43">
        <v>0</v>
      </c>
      <c r="I49" s="43">
        <v>0</v>
      </c>
      <c r="J49" s="43">
        <v>1</v>
      </c>
      <c r="K49" s="43">
        <v>0</v>
      </c>
      <c r="L49" s="43">
        <v>0</v>
      </c>
      <c r="M49" s="43">
        <v>0</v>
      </c>
      <c r="N49" s="43">
        <v>2</v>
      </c>
      <c r="O49" s="43">
        <v>4</v>
      </c>
      <c r="P49" s="43">
        <v>6</v>
      </c>
      <c r="Q49" s="43">
        <f>6+2+2</f>
        <v>10</v>
      </c>
      <c r="R49" s="44"/>
    </row>
    <row r="50" spans="1:18" ht="18.75" hidden="1" customHeight="1" x14ac:dyDescent="0.35">
      <c r="A50" s="4" t="s">
        <v>80</v>
      </c>
      <c r="B50" s="5">
        <v>2024</v>
      </c>
      <c r="C50" s="6" t="s">
        <v>82</v>
      </c>
      <c r="D50" s="6"/>
      <c r="E50" s="6" t="s">
        <v>23</v>
      </c>
      <c r="F50" s="7" t="s">
        <v>26</v>
      </c>
      <c r="G50" s="5">
        <v>301</v>
      </c>
      <c r="H50" s="5">
        <v>282</v>
      </c>
      <c r="I50" s="5">
        <v>244</v>
      </c>
      <c r="J50" s="5">
        <v>285</v>
      </c>
      <c r="K50" s="5">
        <v>265</v>
      </c>
      <c r="L50" s="5">
        <v>291</v>
      </c>
      <c r="M50" s="5">
        <v>293</v>
      </c>
      <c r="N50" s="5">
        <v>225</v>
      </c>
      <c r="O50" s="5">
        <v>259</v>
      </c>
      <c r="P50" s="5">
        <v>253</v>
      </c>
      <c r="Q50" s="5">
        <v>214</v>
      </c>
      <c r="R50" s="17"/>
    </row>
    <row r="51" spans="1:18" ht="18.75" hidden="1" customHeight="1" x14ac:dyDescent="0.35">
      <c r="A51" s="19" t="s">
        <v>80</v>
      </c>
      <c r="B51" s="13">
        <v>2024</v>
      </c>
      <c r="C51" s="20" t="s">
        <v>83</v>
      </c>
      <c r="D51" s="20"/>
      <c r="E51" s="20" t="s">
        <v>23</v>
      </c>
      <c r="F51" s="21" t="s">
        <v>26</v>
      </c>
      <c r="G51" s="28">
        <v>1</v>
      </c>
      <c r="H51" s="28">
        <v>1</v>
      </c>
      <c r="I51" s="28">
        <v>2</v>
      </c>
      <c r="J51" s="28">
        <v>1</v>
      </c>
      <c r="K51" s="28">
        <v>0</v>
      </c>
      <c r="L51" s="28">
        <v>0</v>
      </c>
      <c r="M51" s="28">
        <v>3</v>
      </c>
      <c r="N51" s="28">
        <v>6</v>
      </c>
      <c r="O51" s="28">
        <v>4</v>
      </c>
      <c r="P51" s="28">
        <v>3</v>
      </c>
      <c r="Q51" s="28">
        <v>1</v>
      </c>
      <c r="R51" s="29"/>
    </row>
    <row r="52" spans="1:18" ht="18.75" hidden="1" customHeight="1" x14ac:dyDescent="0.35">
      <c r="A52" s="23" t="s">
        <v>80</v>
      </c>
      <c r="B52" s="5">
        <v>2024</v>
      </c>
      <c r="C52" s="24" t="s">
        <v>84</v>
      </c>
      <c r="D52" s="24"/>
      <c r="E52" s="24" t="s">
        <v>23</v>
      </c>
      <c r="F52" s="25" t="s">
        <v>26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</row>
    <row r="53" spans="1:18" ht="18.75" hidden="1" customHeight="1" x14ac:dyDescent="0.35">
      <c r="A53" s="12" t="s">
        <v>80</v>
      </c>
      <c r="B53" s="13">
        <v>2024</v>
      </c>
      <c r="C53" s="14" t="s">
        <v>85</v>
      </c>
      <c r="D53" s="14"/>
      <c r="E53" s="14" t="s">
        <v>23</v>
      </c>
      <c r="F53" s="15" t="s">
        <v>26</v>
      </c>
      <c r="G53" s="13">
        <v>189</v>
      </c>
      <c r="H53" s="13">
        <v>319</v>
      </c>
      <c r="I53" s="13">
        <v>279</v>
      </c>
      <c r="J53" s="13">
        <v>483</v>
      </c>
      <c r="K53" s="13">
        <v>553</v>
      </c>
      <c r="L53" s="13">
        <v>384</v>
      </c>
      <c r="M53" s="13">
        <v>424</v>
      </c>
      <c r="N53" s="13">
        <v>429</v>
      </c>
      <c r="O53" s="13">
        <v>413</v>
      </c>
      <c r="P53" s="13">
        <v>515</v>
      </c>
      <c r="Q53" s="13">
        <v>693</v>
      </c>
      <c r="R53" s="18"/>
    </row>
    <row r="54" spans="1:18" ht="18.75" hidden="1" customHeight="1" x14ac:dyDescent="0.35">
      <c r="A54" s="4" t="s">
        <v>80</v>
      </c>
      <c r="B54" s="5">
        <v>2024</v>
      </c>
      <c r="C54" s="6" t="s">
        <v>86</v>
      </c>
      <c r="D54" s="6"/>
      <c r="E54" s="6" t="s">
        <v>23</v>
      </c>
      <c r="F54" s="7" t="s">
        <v>26</v>
      </c>
      <c r="G54" s="5">
        <v>39</v>
      </c>
      <c r="H54" s="5">
        <v>24</v>
      </c>
      <c r="I54" s="5">
        <v>12</v>
      </c>
      <c r="J54" s="5">
        <v>29</v>
      </c>
      <c r="K54" s="5">
        <v>20</v>
      </c>
      <c r="L54" s="5">
        <v>38</v>
      </c>
      <c r="M54" s="5">
        <v>40</v>
      </c>
      <c r="N54" s="5">
        <v>48</v>
      </c>
      <c r="O54" s="5">
        <v>35</v>
      </c>
      <c r="P54" s="5">
        <v>41</v>
      </c>
      <c r="Q54" s="5">
        <v>34</v>
      </c>
      <c r="R54" s="17"/>
    </row>
    <row r="55" spans="1:18" ht="18.75" hidden="1" customHeight="1" x14ac:dyDescent="0.35">
      <c r="A55" s="12" t="s">
        <v>80</v>
      </c>
      <c r="B55" s="13">
        <v>2024</v>
      </c>
      <c r="C55" s="14" t="s">
        <v>87</v>
      </c>
      <c r="D55" s="14"/>
      <c r="E55" s="14" t="s">
        <v>23</v>
      </c>
      <c r="F55" s="15" t="s">
        <v>26</v>
      </c>
      <c r="G55" s="13">
        <v>43</v>
      </c>
      <c r="H55" s="45">
        <v>29</v>
      </c>
      <c r="I55" s="13">
        <v>45</v>
      </c>
      <c r="J55" s="45">
        <v>31</v>
      </c>
      <c r="K55" s="13">
        <v>27</v>
      </c>
      <c r="L55" s="13">
        <v>19</v>
      </c>
      <c r="M55" s="45">
        <v>55</v>
      </c>
      <c r="N55" s="13">
        <v>52</v>
      </c>
      <c r="O55" s="13">
        <v>116</v>
      </c>
      <c r="P55" s="13">
        <v>64</v>
      </c>
      <c r="Q55" s="13">
        <v>34</v>
      </c>
      <c r="R55" s="18"/>
    </row>
    <row r="56" spans="1:18" ht="18.75" hidden="1" customHeight="1" x14ac:dyDescent="0.35">
      <c r="A56" s="4" t="s">
        <v>80</v>
      </c>
      <c r="B56" s="5">
        <v>2024</v>
      </c>
      <c r="C56" s="6" t="s">
        <v>88</v>
      </c>
      <c r="D56" s="6"/>
      <c r="E56" s="6" t="s">
        <v>23</v>
      </c>
      <c r="F56" s="7" t="s">
        <v>26</v>
      </c>
      <c r="G56" s="5">
        <v>0</v>
      </c>
      <c r="H56" s="45">
        <v>1</v>
      </c>
      <c r="I56" s="5">
        <v>0</v>
      </c>
      <c r="J56" s="45">
        <v>14</v>
      </c>
      <c r="K56" s="5">
        <v>0</v>
      </c>
      <c r="L56" s="5">
        <v>0</v>
      </c>
      <c r="M56" s="45">
        <v>5</v>
      </c>
      <c r="N56" s="5">
        <v>19</v>
      </c>
      <c r="O56" s="5">
        <v>9</v>
      </c>
      <c r="P56" s="5">
        <v>7</v>
      </c>
      <c r="Q56" s="5">
        <v>5</v>
      </c>
      <c r="R56" s="17"/>
    </row>
    <row r="57" spans="1:18" ht="18.75" hidden="1" customHeight="1" x14ac:dyDescent="0.35">
      <c r="A57" s="4" t="s">
        <v>80</v>
      </c>
      <c r="B57" s="13">
        <v>2024</v>
      </c>
      <c r="C57" s="6" t="s">
        <v>89</v>
      </c>
      <c r="D57" s="6"/>
      <c r="E57" s="6" t="s">
        <v>23</v>
      </c>
      <c r="F57" s="7" t="s">
        <v>26</v>
      </c>
      <c r="G57" s="5">
        <v>58</v>
      </c>
      <c r="H57" s="5">
        <v>48</v>
      </c>
      <c r="I57" s="5">
        <v>29</v>
      </c>
      <c r="J57" s="5">
        <v>35</v>
      </c>
      <c r="K57" s="5">
        <v>32</v>
      </c>
      <c r="L57" s="5">
        <v>20</v>
      </c>
      <c r="M57" s="5">
        <v>16</v>
      </c>
      <c r="N57" s="5">
        <v>16</v>
      </c>
      <c r="O57" s="5">
        <v>30</v>
      </c>
      <c r="P57" s="5">
        <v>30</v>
      </c>
      <c r="Q57" s="5">
        <v>18</v>
      </c>
      <c r="R57" s="17"/>
    </row>
    <row r="58" spans="1:18" ht="18.75" hidden="1" customHeight="1" x14ac:dyDescent="0.35">
      <c r="A58" s="4" t="s">
        <v>80</v>
      </c>
      <c r="B58" s="5">
        <v>2024</v>
      </c>
      <c r="C58" s="6" t="s">
        <v>90</v>
      </c>
      <c r="D58" s="6"/>
      <c r="E58" s="6" t="s">
        <v>20</v>
      </c>
      <c r="F58" s="7" t="s">
        <v>21</v>
      </c>
      <c r="G58" s="8">
        <v>1759768</v>
      </c>
      <c r="H58" s="8">
        <v>479311</v>
      </c>
      <c r="I58" s="8">
        <v>410763</v>
      </c>
      <c r="J58" s="8">
        <v>2604700</v>
      </c>
      <c r="K58" s="8">
        <v>592257</v>
      </c>
      <c r="L58" s="8">
        <v>1565026</v>
      </c>
      <c r="M58" s="8">
        <v>1766363</v>
      </c>
      <c r="N58" s="8">
        <v>939281</v>
      </c>
      <c r="O58" s="8">
        <v>2503626</v>
      </c>
      <c r="P58" s="8">
        <v>3754104</v>
      </c>
      <c r="Q58" s="8">
        <v>253970</v>
      </c>
      <c r="R58" s="8"/>
    </row>
    <row r="59" spans="1:18" ht="18.75" hidden="1" customHeight="1" x14ac:dyDescent="0.35">
      <c r="A59" s="12" t="s">
        <v>91</v>
      </c>
      <c r="B59" s="13">
        <v>2024</v>
      </c>
      <c r="C59" s="46" t="s">
        <v>92</v>
      </c>
      <c r="D59" s="14"/>
      <c r="E59" s="14" t="s">
        <v>23</v>
      </c>
      <c r="F59" s="15" t="s">
        <v>26</v>
      </c>
      <c r="G59" s="13">
        <v>1</v>
      </c>
      <c r="H59" s="13">
        <v>1</v>
      </c>
      <c r="I59" s="13">
        <v>1</v>
      </c>
      <c r="J59" s="13">
        <v>6</v>
      </c>
      <c r="K59" s="13">
        <v>2</v>
      </c>
      <c r="L59" s="13">
        <v>3</v>
      </c>
      <c r="M59" s="13">
        <v>10</v>
      </c>
      <c r="N59" s="13">
        <v>3</v>
      </c>
      <c r="O59" s="13">
        <v>5</v>
      </c>
      <c r="P59" s="13">
        <v>9</v>
      </c>
      <c r="Q59" s="13">
        <v>6</v>
      </c>
      <c r="R59" s="13">
        <v>7</v>
      </c>
    </row>
    <row r="60" spans="1:18" ht="18.75" hidden="1" customHeight="1" x14ac:dyDescent="0.35">
      <c r="A60" s="4" t="s">
        <v>91</v>
      </c>
      <c r="B60" s="5">
        <v>2024</v>
      </c>
      <c r="C60" s="46" t="s">
        <v>93</v>
      </c>
      <c r="D60" s="6"/>
      <c r="E60" s="6" t="s">
        <v>23</v>
      </c>
      <c r="F60" s="7" t="s">
        <v>26</v>
      </c>
      <c r="G60" s="5">
        <v>2</v>
      </c>
      <c r="H60" s="5">
        <v>2</v>
      </c>
      <c r="I60" s="5">
        <f>375+1</f>
        <v>376</v>
      </c>
      <c r="J60" s="5">
        <v>1</v>
      </c>
      <c r="K60" s="5">
        <v>1</v>
      </c>
      <c r="L60" s="5">
        <v>1</v>
      </c>
      <c r="M60" s="5">
        <v>2</v>
      </c>
      <c r="N60" s="5">
        <v>1</v>
      </c>
      <c r="O60" s="5">
        <v>2</v>
      </c>
      <c r="P60" s="5">
        <v>18</v>
      </c>
      <c r="Q60" s="5">
        <v>16</v>
      </c>
      <c r="R60" s="5">
        <v>1</v>
      </c>
    </row>
    <row r="61" spans="1:18" ht="18.75" hidden="1" customHeight="1" x14ac:dyDescent="0.35">
      <c r="A61" s="12" t="s">
        <v>91</v>
      </c>
      <c r="B61" s="13">
        <v>2024</v>
      </c>
      <c r="C61" s="46" t="s">
        <v>94</v>
      </c>
      <c r="D61" s="14"/>
      <c r="E61" s="14" t="s">
        <v>23</v>
      </c>
      <c r="F61" s="15" t="s">
        <v>26</v>
      </c>
      <c r="G61" s="13">
        <v>146</v>
      </c>
      <c r="H61" s="13">
        <v>50</v>
      </c>
      <c r="I61" s="13">
        <v>35</v>
      </c>
      <c r="J61" s="13">
        <v>50</v>
      </c>
      <c r="K61" s="13">
        <v>17</v>
      </c>
      <c r="L61" s="13">
        <v>15</v>
      </c>
      <c r="M61" s="13">
        <v>347</v>
      </c>
      <c r="N61" s="13">
        <v>124</v>
      </c>
      <c r="O61" s="13">
        <v>47</v>
      </c>
      <c r="P61" s="13">
        <v>121</v>
      </c>
      <c r="Q61" s="13">
        <v>64</v>
      </c>
      <c r="R61" s="13">
        <v>405</v>
      </c>
    </row>
    <row r="62" spans="1:18" ht="18.75" hidden="1" customHeight="1" x14ac:dyDescent="0.35">
      <c r="A62" s="4" t="s">
        <v>91</v>
      </c>
      <c r="B62" s="5">
        <v>2024</v>
      </c>
      <c r="C62" s="46" t="s">
        <v>95</v>
      </c>
      <c r="D62" s="6"/>
      <c r="E62" s="6" t="s">
        <v>23</v>
      </c>
      <c r="F62" s="7" t="s">
        <v>26</v>
      </c>
      <c r="G62" s="5">
        <v>77</v>
      </c>
      <c r="H62" s="47">
        <v>34</v>
      </c>
      <c r="I62" s="47">
        <v>104</v>
      </c>
      <c r="J62" s="47">
        <v>88</v>
      </c>
      <c r="K62" s="47">
        <v>93</v>
      </c>
      <c r="L62" s="47">
        <v>21</v>
      </c>
      <c r="M62" s="47">
        <v>80</v>
      </c>
      <c r="N62" s="47">
        <v>22</v>
      </c>
      <c r="O62" s="47">
        <v>73</v>
      </c>
      <c r="P62" s="47">
        <v>22</v>
      </c>
      <c r="Q62" s="47">
        <v>66</v>
      </c>
      <c r="R62" s="47">
        <v>28</v>
      </c>
    </row>
    <row r="63" spans="1:18" ht="18.75" hidden="1" customHeight="1" x14ac:dyDescent="0.35">
      <c r="A63" s="12" t="s">
        <v>91</v>
      </c>
      <c r="B63" s="13">
        <v>2024</v>
      </c>
      <c r="C63" s="46" t="s">
        <v>96</v>
      </c>
      <c r="D63" s="14"/>
      <c r="E63" s="14" t="s">
        <v>23</v>
      </c>
      <c r="F63" s="15" t="s">
        <v>26</v>
      </c>
      <c r="G63" s="13">
        <v>77</v>
      </c>
      <c r="H63" s="48">
        <v>3</v>
      </c>
      <c r="I63" s="48">
        <v>1</v>
      </c>
      <c r="J63" s="48">
        <v>43</v>
      </c>
      <c r="K63" s="48">
        <v>119</v>
      </c>
      <c r="L63" s="48">
        <v>37</v>
      </c>
      <c r="M63" s="48">
        <v>5</v>
      </c>
      <c r="N63" s="48">
        <v>15</v>
      </c>
      <c r="O63" s="48">
        <v>2</v>
      </c>
      <c r="P63" s="48">
        <v>0</v>
      </c>
      <c r="Q63" s="48">
        <v>0</v>
      </c>
      <c r="R63" s="48">
        <v>0</v>
      </c>
    </row>
    <row r="64" spans="1:18" ht="18.75" hidden="1" customHeight="1" x14ac:dyDescent="0.35">
      <c r="A64" s="4" t="s">
        <v>91</v>
      </c>
      <c r="B64" s="5">
        <v>2024</v>
      </c>
      <c r="C64" s="46" t="s">
        <v>97</v>
      </c>
      <c r="D64" s="6"/>
      <c r="E64" s="6" t="s">
        <v>20</v>
      </c>
      <c r="F64" s="7" t="s">
        <v>21</v>
      </c>
      <c r="G64" s="17"/>
      <c r="H64" s="17"/>
      <c r="I64" s="17"/>
      <c r="J64" s="17"/>
      <c r="K64" s="17"/>
      <c r="L64" s="17"/>
      <c r="M64" s="8">
        <v>6006000000</v>
      </c>
      <c r="N64" s="8"/>
      <c r="O64" s="49"/>
      <c r="P64" s="8">
        <v>1227000000</v>
      </c>
      <c r="Q64" s="8"/>
      <c r="R64" s="8"/>
    </row>
    <row r="65" spans="1:18" ht="18.75" hidden="1" customHeight="1" x14ac:dyDescent="0.35">
      <c r="A65" s="12" t="s">
        <v>91</v>
      </c>
      <c r="B65" s="13">
        <v>2024</v>
      </c>
      <c r="C65" s="46" t="s">
        <v>98</v>
      </c>
      <c r="D65" s="14"/>
      <c r="E65" s="14" t="s">
        <v>20</v>
      </c>
      <c r="F65" s="15" t="s">
        <v>21</v>
      </c>
      <c r="G65" s="18"/>
      <c r="H65" s="18"/>
      <c r="I65" s="18"/>
      <c r="J65" s="18"/>
      <c r="K65" s="18"/>
      <c r="L65" s="18"/>
      <c r="M65" s="16">
        <v>1167000000</v>
      </c>
      <c r="N65" s="16"/>
      <c r="O65" s="50"/>
      <c r="P65" s="16"/>
      <c r="Q65" s="16"/>
      <c r="R65" s="16"/>
    </row>
    <row r="66" spans="1:18" ht="18.75" hidden="1" customHeight="1" x14ac:dyDescent="0.35">
      <c r="A66" s="4" t="s">
        <v>91</v>
      </c>
      <c r="B66" s="5">
        <v>2024</v>
      </c>
      <c r="C66" s="46" t="s">
        <v>77</v>
      </c>
      <c r="D66" s="6"/>
      <c r="E66" s="6" t="s">
        <v>23</v>
      </c>
      <c r="F66" s="7" t="s">
        <v>26</v>
      </c>
      <c r="G66" s="17"/>
      <c r="H66" s="5">
        <v>1</v>
      </c>
      <c r="I66" s="17"/>
      <c r="J66" s="17"/>
      <c r="K66" s="17"/>
      <c r="L66" s="17"/>
      <c r="M66" s="51"/>
      <c r="N66" s="17"/>
      <c r="O66" s="52"/>
      <c r="P66" s="52"/>
      <c r="Q66" s="52"/>
      <c r="R66" s="52"/>
    </row>
    <row r="67" spans="1:18" ht="18.75" hidden="1" customHeight="1" x14ac:dyDescent="0.35">
      <c r="A67" s="12" t="s">
        <v>91</v>
      </c>
      <c r="B67" s="13">
        <v>2024</v>
      </c>
      <c r="C67" s="46" t="s">
        <v>99</v>
      </c>
      <c r="D67" s="14"/>
      <c r="E67" s="14" t="s">
        <v>23</v>
      </c>
      <c r="F67" s="15" t="s">
        <v>26</v>
      </c>
      <c r="G67" s="13">
        <v>1</v>
      </c>
      <c r="H67" s="18"/>
      <c r="I67" s="18"/>
      <c r="J67" s="18"/>
      <c r="K67" s="18"/>
      <c r="L67" s="18"/>
      <c r="M67" s="53"/>
      <c r="N67" s="18"/>
      <c r="O67" s="13">
        <v>1</v>
      </c>
      <c r="P67" s="18"/>
      <c r="Q67" s="13">
        <v>1</v>
      </c>
      <c r="R67" s="13">
        <v>1</v>
      </c>
    </row>
    <row r="68" spans="1:18" ht="18.75" hidden="1" customHeight="1" x14ac:dyDescent="0.35">
      <c r="A68" s="4" t="s">
        <v>91</v>
      </c>
      <c r="B68" s="5">
        <v>2024</v>
      </c>
      <c r="C68" s="46" t="s">
        <v>100</v>
      </c>
      <c r="D68" s="6"/>
      <c r="E68" s="6" t="s">
        <v>20</v>
      </c>
      <c r="F68" s="7" t="s">
        <v>21</v>
      </c>
      <c r="G68" s="17"/>
      <c r="H68" s="17"/>
      <c r="I68" s="17"/>
      <c r="J68" s="17"/>
      <c r="K68" s="8">
        <v>284000000</v>
      </c>
      <c r="L68" s="17"/>
      <c r="M68" s="17"/>
      <c r="N68" s="17"/>
      <c r="O68" s="52"/>
      <c r="P68" s="17"/>
      <c r="Q68" s="17"/>
      <c r="R68" s="17"/>
    </row>
    <row r="69" spans="1:18" ht="18.75" customHeight="1" x14ac:dyDescent="0.35">
      <c r="A69" s="12" t="s">
        <v>101</v>
      </c>
      <c r="B69" s="13">
        <v>2024</v>
      </c>
      <c r="C69" s="14" t="s">
        <v>102</v>
      </c>
      <c r="D69" s="14"/>
      <c r="E69" s="14" t="s">
        <v>23</v>
      </c>
      <c r="F69" s="15" t="s">
        <v>26</v>
      </c>
      <c r="G69" s="18"/>
      <c r="H69" s="18"/>
      <c r="I69" s="18"/>
      <c r="J69" s="18"/>
      <c r="K69" s="18"/>
      <c r="L69" s="18"/>
      <c r="M69" s="18"/>
      <c r="N69" s="18"/>
      <c r="O69" s="54">
        <v>1</v>
      </c>
      <c r="P69" s="55"/>
      <c r="Q69" s="55"/>
      <c r="R69" s="55"/>
    </row>
    <row r="70" spans="1:18" ht="18.75" customHeight="1" x14ac:dyDescent="0.35">
      <c r="A70" s="4" t="s">
        <v>101</v>
      </c>
      <c r="B70" s="5">
        <v>2024</v>
      </c>
      <c r="C70" s="6" t="s">
        <v>103</v>
      </c>
      <c r="D70" s="6"/>
      <c r="E70" s="6" t="s">
        <v>23</v>
      </c>
      <c r="F70" s="7" t="s">
        <v>26</v>
      </c>
      <c r="G70" s="17"/>
      <c r="H70" s="17"/>
      <c r="I70" s="17"/>
      <c r="J70" s="17"/>
      <c r="K70" s="17"/>
      <c r="L70" s="17"/>
      <c r="M70" s="17"/>
      <c r="N70" s="17"/>
      <c r="O70" s="52"/>
      <c r="P70" s="52"/>
      <c r="Q70" s="52"/>
      <c r="R70" s="52"/>
    </row>
    <row r="71" spans="1:18" ht="18.75" customHeight="1" x14ac:dyDescent="0.35">
      <c r="A71" s="12" t="s">
        <v>101</v>
      </c>
      <c r="B71" s="13">
        <v>2024</v>
      </c>
      <c r="C71" s="14" t="s">
        <v>104</v>
      </c>
      <c r="D71" s="14"/>
      <c r="E71" s="14" t="s">
        <v>23</v>
      </c>
      <c r="F71" s="15" t="s">
        <v>26</v>
      </c>
      <c r="G71" s="18"/>
      <c r="H71" s="18"/>
      <c r="I71" s="18"/>
      <c r="J71" s="18"/>
      <c r="K71" s="18"/>
      <c r="L71" s="18"/>
      <c r="M71" s="18"/>
      <c r="N71" s="18"/>
      <c r="O71" s="54">
        <v>1</v>
      </c>
      <c r="P71" s="55"/>
      <c r="Q71" s="55"/>
      <c r="R71" s="55"/>
    </row>
    <row r="72" spans="1:18" ht="18.75" customHeight="1" x14ac:dyDescent="0.35">
      <c r="A72" s="19" t="s">
        <v>101</v>
      </c>
      <c r="B72" s="5">
        <v>2024</v>
      </c>
      <c r="C72" s="20" t="s">
        <v>105</v>
      </c>
      <c r="D72" s="20"/>
      <c r="E72" s="20" t="s">
        <v>23</v>
      </c>
      <c r="F72" s="21" t="s">
        <v>26</v>
      </c>
      <c r="G72" s="29"/>
      <c r="H72" s="29"/>
      <c r="I72" s="29"/>
      <c r="J72" s="29"/>
      <c r="K72" s="29"/>
      <c r="L72" s="29"/>
      <c r="M72" s="29"/>
      <c r="N72" s="29"/>
      <c r="O72" s="56"/>
      <c r="P72" s="56"/>
      <c r="Q72" s="56"/>
      <c r="R72" s="56"/>
    </row>
    <row r="73" spans="1:18" ht="18.75" customHeight="1" x14ac:dyDescent="0.35">
      <c r="A73" s="12" t="s">
        <v>101</v>
      </c>
      <c r="B73" s="13">
        <v>2024</v>
      </c>
      <c r="C73" s="14" t="s">
        <v>106</v>
      </c>
      <c r="D73" s="14"/>
      <c r="E73" s="14" t="s">
        <v>23</v>
      </c>
      <c r="F73" s="15" t="s">
        <v>26</v>
      </c>
      <c r="G73" s="13">
        <v>0</v>
      </c>
      <c r="H73" s="13">
        <v>1</v>
      </c>
      <c r="I73" s="13">
        <v>2</v>
      </c>
      <c r="J73" s="13">
        <v>2</v>
      </c>
      <c r="K73" s="13">
        <v>2</v>
      </c>
      <c r="L73" s="13">
        <v>4</v>
      </c>
      <c r="M73" s="13">
        <v>5</v>
      </c>
      <c r="N73" s="13">
        <v>1</v>
      </c>
      <c r="O73" s="13">
        <v>1</v>
      </c>
      <c r="P73" s="18"/>
      <c r="Q73" s="18"/>
      <c r="R73" s="18"/>
    </row>
    <row r="74" spans="1:18" ht="18.75" customHeight="1" x14ac:dyDescent="0.35">
      <c r="A74" s="57" t="s">
        <v>101</v>
      </c>
      <c r="B74" s="5">
        <v>2024</v>
      </c>
      <c r="C74" s="58" t="s">
        <v>107</v>
      </c>
      <c r="D74" s="58"/>
      <c r="E74" s="58" t="s">
        <v>23</v>
      </c>
      <c r="F74" s="59" t="s">
        <v>26</v>
      </c>
      <c r="G74" s="60">
        <v>0.90700000000000003</v>
      </c>
      <c r="H74" s="60">
        <v>0.91859999999999997</v>
      </c>
      <c r="I74" s="60">
        <v>0.90910000000000002</v>
      </c>
      <c r="J74" s="60">
        <v>0.89949999999999997</v>
      </c>
      <c r="K74" s="60">
        <v>0.90180000000000005</v>
      </c>
      <c r="L74" s="60">
        <v>0.9042</v>
      </c>
      <c r="M74" s="60">
        <v>0.90300000000000002</v>
      </c>
      <c r="N74" s="60">
        <v>0.89570000000000005</v>
      </c>
      <c r="O74" s="60"/>
      <c r="P74" s="60"/>
      <c r="Q74" s="60"/>
      <c r="R74" s="60"/>
    </row>
    <row r="75" spans="1:18" ht="18.75" customHeight="1" x14ac:dyDescent="0.35">
      <c r="A75" s="57" t="s">
        <v>101</v>
      </c>
      <c r="B75" s="13">
        <v>2024</v>
      </c>
      <c r="C75" s="58" t="s">
        <v>108</v>
      </c>
      <c r="D75" s="58"/>
      <c r="E75" s="58" t="s">
        <v>23</v>
      </c>
      <c r="F75" s="59" t="s">
        <v>26</v>
      </c>
      <c r="G75" s="61">
        <v>1</v>
      </c>
      <c r="H75" s="61">
        <v>15</v>
      </c>
      <c r="I75" s="61">
        <v>8</v>
      </c>
      <c r="J75" s="61">
        <v>8</v>
      </c>
      <c r="K75" s="61">
        <v>5</v>
      </c>
      <c r="L75" s="61">
        <v>8</v>
      </c>
      <c r="M75" s="61">
        <v>12</v>
      </c>
      <c r="N75" s="61">
        <v>4</v>
      </c>
      <c r="O75" s="61">
        <v>1</v>
      </c>
      <c r="P75" s="62"/>
      <c r="Q75" s="62"/>
      <c r="R75" s="62"/>
    </row>
    <row r="76" spans="1:18" ht="18.75" hidden="1" customHeight="1" x14ac:dyDescent="0.35">
      <c r="A76" s="4" t="s">
        <v>80</v>
      </c>
      <c r="B76" s="5">
        <v>2024</v>
      </c>
      <c r="C76" s="6" t="s">
        <v>109</v>
      </c>
      <c r="D76" s="6"/>
      <c r="E76" s="6" t="s">
        <v>20</v>
      </c>
      <c r="F76" s="7" t="s">
        <v>21</v>
      </c>
      <c r="G76" s="8">
        <v>576783</v>
      </c>
      <c r="H76" s="8">
        <v>1012279</v>
      </c>
      <c r="I76" s="8">
        <v>1094022</v>
      </c>
      <c r="J76" s="8">
        <v>1396763</v>
      </c>
      <c r="K76" s="8">
        <v>1079691</v>
      </c>
      <c r="L76" s="8">
        <v>1921652</v>
      </c>
      <c r="M76" s="8">
        <v>1471341</v>
      </c>
      <c r="N76" s="8">
        <v>2487322</v>
      </c>
      <c r="O76" s="8">
        <v>2215974</v>
      </c>
      <c r="P76" s="8">
        <v>3241548</v>
      </c>
      <c r="Q76" s="8">
        <v>2536045</v>
      </c>
      <c r="R76" s="8"/>
    </row>
    <row r="77" spans="1:18" ht="18.75" hidden="1" customHeight="1" x14ac:dyDescent="0.35">
      <c r="A77" s="12" t="s">
        <v>80</v>
      </c>
      <c r="B77" s="13">
        <v>2024</v>
      </c>
      <c r="C77" s="14" t="s">
        <v>110</v>
      </c>
      <c r="D77" s="14"/>
      <c r="E77" s="14" t="s">
        <v>20</v>
      </c>
      <c r="F77" s="15" t="s">
        <v>21</v>
      </c>
      <c r="G77" s="16">
        <v>14062866</v>
      </c>
      <c r="H77" s="16">
        <v>24869790</v>
      </c>
      <c r="I77" s="16">
        <v>22638455</v>
      </c>
      <c r="J77" s="16">
        <v>43805106</v>
      </c>
      <c r="K77" s="16">
        <v>53465451</v>
      </c>
      <c r="L77" s="16">
        <v>31816261</v>
      </c>
      <c r="M77" s="16">
        <v>32548389</v>
      </c>
      <c r="N77" s="16">
        <v>29963058</v>
      </c>
      <c r="O77" s="16">
        <v>31831467</v>
      </c>
      <c r="P77" s="16">
        <v>45523887</v>
      </c>
      <c r="Q77" s="16">
        <v>52625935</v>
      </c>
      <c r="R77" s="16"/>
    </row>
    <row r="78" spans="1:18" ht="18.75" hidden="1" customHeight="1" x14ac:dyDescent="0.35">
      <c r="A78" s="4" t="s">
        <v>59</v>
      </c>
      <c r="B78" s="5">
        <v>2024</v>
      </c>
      <c r="C78" s="6" t="s">
        <v>111</v>
      </c>
      <c r="D78" s="6"/>
      <c r="E78" s="6" t="s">
        <v>23</v>
      </c>
      <c r="F78" s="7" t="s">
        <v>63</v>
      </c>
      <c r="G78" s="17"/>
      <c r="H78" s="5">
        <v>43</v>
      </c>
      <c r="I78" s="5">
        <v>41</v>
      </c>
      <c r="J78" s="5">
        <v>66</v>
      </c>
      <c r="K78" s="5">
        <v>69</v>
      </c>
      <c r="L78" s="5">
        <v>76</v>
      </c>
      <c r="M78" s="5">
        <v>75</v>
      </c>
      <c r="N78" s="5">
        <v>64</v>
      </c>
      <c r="O78" s="5">
        <v>39</v>
      </c>
      <c r="P78" s="5">
        <v>43</v>
      </c>
      <c r="Q78" s="5">
        <v>28</v>
      </c>
      <c r="R78" s="5">
        <v>11</v>
      </c>
    </row>
    <row r="79" spans="1:18" ht="18.75" hidden="1" customHeight="1" x14ac:dyDescent="0.35">
      <c r="A79" s="4" t="s">
        <v>18</v>
      </c>
      <c r="B79" s="63">
        <v>2025</v>
      </c>
      <c r="C79" s="6" t="s">
        <v>22</v>
      </c>
      <c r="D79" s="6"/>
      <c r="E79" s="6" t="s">
        <v>23</v>
      </c>
      <c r="F79" s="7" t="s">
        <v>24</v>
      </c>
      <c r="G79" s="64">
        <v>4.5999999999999996</v>
      </c>
      <c r="H79" s="63">
        <v>4</v>
      </c>
      <c r="I79" s="64">
        <v>9.9</v>
      </c>
      <c r="J79" s="64">
        <v>6.6</v>
      </c>
      <c r="K79" s="64">
        <v>6.3</v>
      </c>
      <c r="L79" s="51">
        <v>5.9</v>
      </c>
      <c r="M79" s="5"/>
      <c r="N79" s="5"/>
      <c r="O79" s="5"/>
      <c r="P79" s="65"/>
      <c r="Q79" s="65"/>
      <c r="R79" s="5"/>
    </row>
    <row r="80" spans="1:18" ht="18.75" hidden="1" customHeight="1" x14ac:dyDescent="0.35">
      <c r="A80" s="12" t="s">
        <v>18</v>
      </c>
      <c r="B80" s="66">
        <v>2025</v>
      </c>
      <c r="C80" s="14" t="s">
        <v>25</v>
      </c>
      <c r="D80" s="14"/>
      <c r="E80" s="14" t="s">
        <v>23</v>
      </c>
      <c r="F80" s="15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13">
        <v>17318</v>
      </c>
      <c r="M80" s="13">
        <v>28995</v>
      </c>
      <c r="N80" s="13"/>
      <c r="O80" s="13"/>
      <c r="P80" s="13"/>
      <c r="Q80" s="13"/>
      <c r="R80" s="13"/>
    </row>
    <row r="81" spans="1:18" ht="18.75" hidden="1" customHeight="1" x14ac:dyDescent="0.35">
      <c r="A81" s="4" t="s">
        <v>18</v>
      </c>
      <c r="B81" s="63">
        <v>2025</v>
      </c>
      <c r="C81" s="6" t="s">
        <v>27</v>
      </c>
      <c r="D81" s="6"/>
      <c r="E81" s="6" t="s">
        <v>20</v>
      </c>
      <c r="F81" s="7" t="s">
        <v>21</v>
      </c>
      <c r="G81" s="8">
        <v>23858082</v>
      </c>
      <c r="H81" s="8">
        <v>23858082</v>
      </c>
      <c r="I81" s="8">
        <v>23858082</v>
      </c>
      <c r="J81" s="8">
        <f>23858082+14552397</f>
        <v>38410479</v>
      </c>
      <c r="K81" s="17" t="s">
        <v>112</v>
      </c>
      <c r="L81" s="5" t="s">
        <v>112</v>
      </c>
      <c r="M81" s="8"/>
      <c r="N81" s="8"/>
      <c r="O81" s="8"/>
      <c r="P81" s="8"/>
      <c r="Q81" s="8"/>
      <c r="R81" s="8"/>
    </row>
    <row r="82" spans="1:18" ht="18.75" hidden="1" customHeight="1" x14ac:dyDescent="0.35">
      <c r="A82" s="12" t="s">
        <v>18</v>
      </c>
      <c r="B82" s="66">
        <v>2025</v>
      </c>
      <c r="C82" s="14" t="s">
        <v>113</v>
      </c>
      <c r="D82" s="14"/>
      <c r="E82" s="14" t="s">
        <v>20</v>
      </c>
      <c r="F82" s="15" t="s">
        <v>21</v>
      </c>
      <c r="G82" s="18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16"/>
      <c r="M82" s="16">
        <v>9364560</v>
      </c>
      <c r="N82" s="16"/>
      <c r="O82" s="16"/>
      <c r="P82" s="16"/>
      <c r="Q82" s="16"/>
      <c r="R82" s="16"/>
    </row>
    <row r="83" spans="1:18" ht="18.75" hidden="1" customHeight="1" x14ac:dyDescent="0.35">
      <c r="A83" s="4" t="s">
        <v>18</v>
      </c>
      <c r="B83" s="63">
        <v>2025</v>
      </c>
      <c r="C83" s="6" t="s">
        <v>29</v>
      </c>
      <c r="D83" s="6"/>
      <c r="E83" s="6" t="s">
        <v>20</v>
      </c>
      <c r="F83" s="7" t="s">
        <v>21</v>
      </c>
      <c r="G83" s="67">
        <v>0</v>
      </c>
      <c r="H83" s="67">
        <v>0</v>
      </c>
      <c r="I83" s="67">
        <v>0</v>
      </c>
      <c r="J83" s="8">
        <v>22221345</v>
      </c>
      <c r="K83" s="67">
        <v>0</v>
      </c>
      <c r="L83" s="67">
        <v>0</v>
      </c>
      <c r="M83" s="67">
        <v>0</v>
      </c>
      <c r="N83" s="17"/>
      <c r="O83" s="8"/>
      <c r="P83" s="17"/>
      <c r="Q83" s="17"/>
      <c r="R83" s="17"/>
    </row>
    <row r="84" spans="1:18" ht="18.75" hidden="1" customHeight="1" x14ac:dyDescent="0.35">
      <c r="A84" s="12" t="s">
        <v>18</v>
      </c>
      <c r="B84" s="66">
        <v>2025</v>
      </c>
      <c r="C84" s="14" t="s">
        <v>30</v>
      </c>
      <c r="D84" s="14"/>
      <c r="E84" s="14" t="s">
        <v>20</v>
      </c>
      <c r="F84" s="15" t="s">
        <v>21</v>
      </c>
      <c r="G84" s="18"/>
      <c r="H84" s="18"/>
      <c r="I84" s="18"/>
      <c r="J84" s="18"/>
      <c r="K84" s="16">
        <v>48265961</v>
      </c>
      <c r="L84" s="13"/>
      <c r="M84" s="16"/>
      <c r="N84" s="18"/>
      <c r="O84" s="18"/>
      <c r="P84" s="18"/>
      <c r="Q84" s="18"/>
      <c r="R84" s="18"/>
    </row>
    <row r="85" spans="1:18" ht="18.75" hidden="1" customHeight="1" x14ac:dyDescent="0.35">
      <c r="A85" s="4" t="s">
        <v>18</v>
      </c>
      <c r="B85" s="63">
        <v>2025</v>
      </c>
      <c r="C85" s="6" t="s">
        <v>114</v>
      </c>
      <c r="D85" s="6"/>
      <c r="E85" s="6" t="s">
        <v>23</v>
      </c>
      <c r="F85" s="7" t="s">
        <v>26</v>
      </c>
      <c r="G85" s="17"/>
      <c r="H85" s="63">
        <v>286</v>
      </c>
      <c r="I85" s="5">
        <v>164</v>
      </c>
      <c r="J85" s="5">
        <v>99</v>
      </c>
      <c r="K85" s="5">
        <v>35</v>
      </c>
      <c r="L85" s="5">
        <v>17</v>
      </c>
      <c r="M85" s="17"/>
      <c r="N85" s="17"/>
      <c r="O85" s="17"/>
      <c r="P85" s="17"/>
      <c r="Q85" s="17"/>
      <c r="R85" s="17"/>
    </row>
    <row r="86" spans="1:18" ht="18.75" hidden="1" customHeight="1" x14ac:dyDescent="0.35">
      <c r="A86" s="12" t="s">
        <v>18</v>
      </c>
      <c r="B86" s="66">
        <v>2025</v>
      </c>
      <c r="C86" s="14" t="s">
        <v>115</v>
      </c>
      <c r="D86" s="14"/>
      <c r="E86" s="14" t="s">
        <v>23</v>
      </c>
      <c r="F86" s="15" t="s">
        <v>26</v>
      </c>
      <c r="G86" s="18"/>
      <c r="H86" s="66">
        <v>382</v>
      </c>
      <c r="I86" s="13">
        <v>1020</v>
      </c>
      <c r="J86" s="13">
        <v>756</v>
      </c>
      <c r="K86" s="13">
        <v>1032</v>
      </c>
      <c r="L86" s="13">
        <v>1200</v>
      </c>
      <c r="M86" s="18"/>
      <c r="N86" s="18"/>
      <c r="O86" s="18"/>
      <c r="P86" s="18"/>
      <c r="Q86" s="18"/>
      <c r="R86" s="18"/>
    </row>
    <row r="87" spans="1:18" ht="18.75" hidden="1" customHeight="1" x14ac:dyDescent="0.35">
      <c r="A87" s="4" t="s">
        <v>18</v>
      </c>
      <c r="B87" s="63">
        <v>2025</v>
      </c>
      <c r="C87" s="6" t="s">
        <v>116</v>
      </c>
      <c r="D87" s="6"/>
      <c r="E87" s="6" t="s">
        <v>23</v>
      </c>
      <c r="F87" s="7" t="s">
        <v>26</v>
      </c>
      <c r="G87" s="17"/>
      <c r="H87" s="63">
        <v>396</v>
      </c>
      <c r="I87" s="5">
        <v>1778</v>
      </c>
      <c r="J87" s="5">
        <v>1226</v>
      </c>
      <c r="K87" s="5">
        <v>1250</v>
      </c>
      <c r="L87" s="5">
        <v>1365</v>
      </c>
      <c r="M87" s="17"/>
      <c r="N87" s="17"/>
      <c r="O87" s="17"/>
      <c r="P87" s="17"/>
      <c r="Q87" s="17"/>
      <c r="R87" s="17"/>
    </row>
    <row r="88" spans="1:18" ht="18.75" hidden="1" customHeight="1" x14ac:dyDescent="0.35">
      <c r="A88" s="12" t="s">
        <v>18</v>
      </c>
      <c r="B88" s="66">
        <v>2025</v>
      </c>
      <c r="C88" s="14" t="s">
        <v>117</v>
      </c>
      <c r="D88" s="14"/>
      <c r="E88" s="14" t="s">
        <v>23</v>
      </c>
      <c r="F88" s="15" t="s">
        <v>35</v>
      </c>
      <c r="G88" s="68"/>
      <c r="H88" s="69">
        <f t="shared" ref="H88:R88" si="2">IFERROR((H86+H85)/(H87+H85),"")</f>
        <v>0.97947214076246336</v>
      </c>
      <c r="I88" s="69">
        <f t="shared" si="2"/>
        <v>0.60968074150360452</v>
      </c>
      <c r="J88" s="69">
        <f t="shared" si="2"/>
        <v>0.6452830188679245</v>
      </c>
      <c r="K88" s="69">
        <f t="shared" si="2"/>
        <v>0.83035019455252923</v>
      </c>
      <c r="L88" s="68">
        <f t="shared" si="2"/>
        <v>0.88060781476121563</v>
      </c>
      <c r="M88" s="69" t="str">
        <f t="shared" si="2"/>
        <v/>
      </c>
      <c r="N88" s="69" t="str">
        <f t="shared" si="2"/>
        <v/>
      </c>
      <c r="O88" s="69" t="str">
        <f t="shared" si="2"/>
        <v/>
      </c>
      <c r="P88" s="69" t="str">
        <f t="shared" si="2"/>
        <v/>
      </c>
      <c r="Q88" s="69" t="str">
        <f t="shared" si="2"/>
        <v/>
      </c>
      <c r="R88" s="69" t="str">
        <f t="shared" si="2"/>
        <v/>
      </c>
    </row>
    <row r="89" spans="1:18" ht="18.75" hidden="1" customHeight="1" x14ac:dyDescent="0.35">
      <c r="A89" s="4" t="s">
        <v>18</v>
      </c>
      <c r="B89" s="63">
        <v>2025</v>
      </c>
      <c r="C89" s="6" t="s">
        <v>118</v>
      </c>
      <c r="D89" s="6"/>
      <c r="E89" s="6" t="s">
        <v>23</v>
      </c>
      <c r="F89" s="7" t="s">
        <v>26</v>
      </c>
      <c r="G89" s="63">
        <v>1</v>
      </c>
      <c r="H89" s="17"/>
      <c r="I89" s="5">
        <v>3</v>
      </c>
      <c r="J89" s="5">
        <v>14</v>
      </c>
      <c r="K89" s="5">
        <v>5</v>
      </c>
      <c r="L89" s="5"/>
      <c r="M89" s="17"/>
      <c r="N89" s="17"/>
      <c r="O89" s="17"/>
      <c r="P89" s="17"/>
      <c r="Q89" s="17"/>
      <c r="R89" s="17"/>
    </row>
    <row r="90" spans="1:18" ht="18.75" hidden="1" customHeight="1" x14ac:dyDescent="0.35">
      <c r="A90" s="12" t="s">
        <v>18</v>
      </c>
      <c r="B90" s="66">
        <v>2025</v>
      </c>
      <c r="C90" s="14" t="s">
        <v>119</v>
      </c>
      <c r="D90" s="14"/>
      <c r="E90" s="14" t="s">
        <v>23</v>
      </c>
      <c r="F90" s="15" t="s">
        <v>26</v>
      </c>
      <c r="G90" s="13">
        <v>184</v>
      </c>
      <c r="H90" s="13">
        <v>370</v>
      </c>
      <c r="I90" s="13">
        <v>338</v>
      </c>
      <c r="J90" s="13">
        <v>241</v>
      </c>
      <c r="K90" s="13">
        <v>258</v>
      </c>
      <c r="L90" s="13">
        <v>305</v>
      </c>
      <c r="M90" s="13">
        <v>243</v>
      </c>
      <c r="N90" s="18"/>
      <c r="O90" s="18"/>
      <c r="P90" s="18"/>
      <c r="Q90" s="18"/>
      <c r="R90" s="18"/>
    </row>
    <row r="91" spans="1:18" ht="18.75" hidden="1" customHeight="1" x14ac:dyDescent="0.35">
      <c r="A91" s="4" t="s">
        <v>18</v>
      </c>
      <c r="B91" s="63">
        <v>2025</v>
      </c>
      <c r="C91" s="6" t="s">
        <v>38</v>
      </c>
      <c r="D91" s="6"/>
      <c r="E91" s="6" t="s">
        <v>23</v>
      </c>
      <c r="F91" s="7" t="s">
        <v>26</v>
      </c>
      <c r="G91" s="5">
        <v>1052</v>
      </c>
      <c r="H91" s="5">
        <v>983</v>
      </c>
      <c r="I91" s="5">
        <v>997</v>
      </c>
      <c r="J91" s="5">
        <v>1135</v>
      </c>
      <c r="K91" s="5">
        <v>1106</v>
      </c>
      <c r="L91" s="5">
        <v>1080</v>
      </c>
      <c r="M91" s="5">
        <v>1095</v>
      </c>
      <c r="N91" s="17"/>
      <c r="O91" s="17"/>
      <c r="P91" s="17"/>
      <c r="Q91" s="17"/>
      <c r="R91" s="17"/>
    </row>
    <row r="92" spans="1:18" ht="18.75" hidden="1" customHeight="1" x14ac:dyDescent="0.35">
      <c r="A92" s="12" t="s">
        <v>18</v>
      </c>
      <c r="B92" s="66">
        <v>2025</v>
      </c>
      <c r="C92" s="14" t="s">
        <v>120</v>
      </c>
      <c r="D92" s="14"/>
      <c r="E92" s="14" t="s">
        <v>23</v>
      </c>
      <c r="F92" s="15" t="s">
        <v>26</v>
      </c>
      <c r="G92" s="13">
        <v>416</v>
      </c>
      <c r="H92" s="13">
        <v>437</v>
      </c>
      <c r="I92" s="13">
        <v>443</v>
      </c>
      <c r="J92" s="13">
        <v>456</v>
      </c>
      <c r="K92" s="13">
        <v>459</v>
      </c>
      <c r="L92" s="13">
        <v>458</v>
      </c>
      <c r="M92" s="13">
        <v>458</v>
      </c>
      <c r="N92" s="18"/>
      <c r="O92" s="18"/>
      <c r="P92" s="18"/>
      <c r="Q92" s="18"/>
      <c r="R92" s="18"/>
    </row>
    <row r="93" spans="1:18" ht="18.75" hidden="1" customHeight="1" x14ac:dyDescent="0.35">
      <c r="A93" s="4" t="s">
        <v>18</v>
      </c>
      <c r="B93" s="63">
        <v>2025</v>
      </c>
      <c r="C93" s="6" t="s">
        <v>41</v>
      </c>
      <c r="D93" s="32" t="s">
        <v>42</v>
      </c>
      <c r="E93" s="6" t="s">
        <v>23</v>
      </c>
      <c r="F93" s="7" t="s">
        <v>26</v>
      </c>
      <c r="G93" s="5">
        <v>716</v>
      </c>
      <c r="H93" s="5">
        <v>525</v>
      </c>
      <c r="I93" s="5">
        <v>628</v>
      </c>
      <c r="J93" s="5">
        <v>727</v>
      </c>
      <c r="K93" s="5">
        <v>564</v>
      </c>
      <c r="L93" s="5">
        <v>655</v>
      </c>
      <c r="M93" s="5">
        <v>435.52276740847952</v>
      </c>
      <c r="N93" s="5"/>
      <c r="O93" s="70"/>
      <c r="P93" s="5"/>
      <c r="Q93" s="5"/>
      <c r="R93" s="5"/>
    </row>
    <row r="94" spans="1:18" ht="18.75" hidden="1" customHeight="1" x14ac:dyDescent="0.35">
      <c r="A94" s="12" t="s">
        <v>18</v>
      </c>
      <c r="B94" s="66">
        <v>2025</v>
      </c>
      <c r="C94" s="14" t="s">
        <v>41</v>
      </c>
      <c r="D94" s="31" t="s">
        <v>43</v>
      </c>
      <c r="E94" s="14" t="s">
        <v>23</v>
      </c>
      <c r="F94" s="15" t="s">
        <v>26</v>
      </c>
      <c r="G94" s="13">
        <v>927</v>
      </c>
      <c r="H94" s="13">
        <v>1209</v>
      </c>
      <c r="I94" s="13">
        <v>981</v>
      </c>
      <c r="J94" s="13">
        <v>1607</v>
      </c>
      <c r="K94" s="13">
        <v>957</v>
      </c>
      <c r="L94" s="13">
        <v>964</v>
      </c>
      <c r="M94" s="13">
        <v>1553.4923409081578</v>
      </c>
      <c r="N94" s="13"/>
      <c r="O94" s="18"/>
      <c r="P94" s="13"/>
      <c r="Q94" s="13"/>
      <c r="R94" s="13"/>
    </row>
    <row r="95" spans="1:18" ht="18.75" hidden="1" customHeight="1" x14ac:dyDescent="0.35">
      <c r="A95" s="4" t="s">
        <v>18</v>
      </c>
      <c r="B95" s="63">
        <v>2025</v>
      </c>
      <c r="C95" s="6" t="s">
        <v>41</v>
      </c>
      <c r="D95" s="32" t="s">
        <v>44</v>
      </c>
      <c r="E95" s="6" t="s">
        <v>23</v>
      </c>
      <c r="F95" s="7" t="s">
        <v>26</v>
      </c>
      <c r="G95" s="5">
        <v>1226</v>
      </c>
      <c r="H95" s="5">
        <v>735</v>
      </c>
      <c r="I95" s="5">
        <v>819</v>
      </c>
      <c r="J95" s="5">
        <v>1254</v>
      </c>
      <c r="K95" s="5">
        <v>957</v>
      </c>
      <c r="L95" s="5">
        <v>785</v>
      </c>
      <c r="M95" s="5">
        <v>1220.3880511361435</v>
      </c>
      <c r="N95" s="5"/>
      <c r="O95" s="17"/>
      <c r="P95" s="5"/>
      <c r="Q95" s="5"/>
      <c r="R95" s="5"/>
    </row>
    <row r="96" spans="1:18" ht="18.75" hidden="1" customHeight="1" x14ac:dyDescent="0.35">
      <c r="A96" s="12" t="s">
        <v>18</v>
      </c>
      <c r="B96" s="66">
        <v>2025</v>
      </c>
      <c r="C96" s="14" t="s">
        <v>41</v>
      </c>
      <c r="D96" s="31" t="s">
        <v>45</v>
      </c>
      <c r="E96" s="14" t="s">
        <v>23</v>
      </c>
      <c r="F96" s="15" t="s">
        <v>26</v>
      </c>
      <c r="G96" s="13">
        <v>429</v>
      </c>
      <c r="H96" s="13">
        <v>555</v>
      </c>
      <c r="I96" s="13">
        <v>609</v>
      </c>
      <c r="J96" s="13">
        <v>569</v>
      </c>
      <c r="K96" s="13">
        <v>635</v>
      </c>
      <c r="L96" s="13">
        <v>606</v>
      </c>
      <c r="M96" s="13">
        <v>810.8791690312197</v>
      </c>
      <c r="N96" s="13"/>
      <c r="O96" s="18"/>
      <c r="P96" s="13"/>
      <c r="Q96" s="13"/>
      <c r="R96" s="13"/>
    </row>
    <row r="97" spans="1:18" ht="18.75" hidden="1" customHeight="1" x14ac:dyDescent="0.35">
      <c r="A97" s="4" t="s">
        <v>18</v>
      </c>
      <c r="B97" s="63">
        <v>2025</v>
      </c>
      <c r="C97" s="6" t="s">
        <v>41</v>
      </c>
      <c r="D97" s="32" t="s">
        <v>46</v>
      </c>
      <c r="E97" s="6" t="s">
        <v>23</v>
      </c>
      <c r="F97" s="7" t="s">
        <v>26</v>
      </c>
      <c r="G97" s="5">
        <v>140</v>
      </c>
      <c r="H97" s="5">
        <v>141</v>
      </c>
      <c r="I97" s="5">
        <v>314</v>
      </c>
      <c r="J97" s="5">
        <v>329</v>
      </c>
      <c r="K97" s="5">
        <v>181</v>
      </c>
      <c r="L97" s="5">
        <v>368</v>
      </c>
      <c r="M97" s="5">
        <v>419.27006375157112</v>
      </c>
      <c r="N97" s="5"/>
      <c r="O97" s="17"/>
      <c r="P97" s="5"/>
      <c r="Q97" s="5"/>
      <c r="R97" s="5"/>
    </row>
    <row r="98" spans="1:18" ht="18.75" hidden="1" customHeight="1" x14ac:dyDescent="0.35">
      <c r="A98" s="12" t="s">
        <v>18</v>
      </c>
      <c r="B98" s="66">
        <v>2025</v>
      </c>
      <c r="C98" s="14" t="s">
        <v>41</v>
      </c>
      <c r="D98" s="31" t="s">
        <v>47</v>
      </c>
      <c r="E98" s="14" t="s">
        <v>23</v>
      </c>
      <c r="F98" s="15" t="s">
        <v>26</v>
      </c>
      <c r="G98" s="13">
        <v>30</v>
      </c>
      <c r="H98" s="13">
        <v>37</v>
      </c>
      <c r="I98" s="13">
        <v>38</v>
      </c>
      <c r="J98" s="13">
        <v>76</v>
      </c>
      <c r="K98" s="13">
        <v>40</v>
      </c>
      <c r="L98" s="13">
        <v>43</v>
      </c>
      <c r="M98" s="13">
        <v>43.033659060138739</v>
      </c>
      <c r="N98" s="13"/>
      <c r="O98" s="18"/>
      <c r="P98" s="13"/>
      <c r="Q98" s="13"/>
      <c r="R98" s="13"/>
    </row>
    <row r="99" spans="1:18" ht="18.75" hidden="1" customHeight="1" x14ac:dyDescent="0.35">
      <c r="A99" s="4" t="s">
        <v>18</v>
      </c>
      <c r="B99" s="63">
        <v>2025</v>
      </c>
      <c r="C99" s="6" t="s">
        <v>41</v>
      </c>
      <c r="D99" s="32" t="s">
        <v>48</v>
      </c>
      <c r="E99" s="6" t="s">
        <v>23</v>
      </c>
      <c r="F99" s="7" t="s">
        <v>26</v>
      </c>
      <c r="G99" s="5">
        <v>982</v>
      </c>
      <c r="H99" s="5">
        <v>2598</v>
      </c>
      <c r="I99" s="5">
        <v>2495</v>
      </c>
      <c r="J99" s="5">
        <v>0</v>
      </c>
      <c r="K99" s="5">
        <v>2479</v>
      </c>
      <c r="L99" s="5">
        <v>2529</v>
      </c>
      <c r="M99" s="5">
        <v>1162.5799959166532</v>
      </c>
      <c r="N99" s="5"/>
      <c r="O99" s="17"/>
      <c r="P99" s="5"/>
      <c r="Q99" s="5"/>
      <c r="R99" s="5"/>
    </row>
    <row r="100" spans="1:18" ht="18.75" hidden="1" customHeight="1" x14ac:dyDescent="0.35">
      <c r="A100" s="12" t="s">
        <v>18</v>
      </c>
      <c r="B100" s="66">
        <v>2025</v>
      </c>
      <c r="C100" s="14" t="s">
        <v>41</v>
      </c>
      <c r="D100" s="31" t="s">
        <v>49</v>
      </c>
      <c r="E100" s="14" t="s">
        <v>23</v>
      </c>
      <c r="F100" s="15" t="s">
        <v>26</v>
      </c>
      <c r="G100" s="13">
        <v>1150</v>
      </c>
      <c r="H100" s="13">
        <v>879</v>
      </c>
      <c r="I100" s="13">
        <v>886</v>
      </c>
      <c r="J100" s="13">
        <v>1398</v>
      </c>
      <c r="K100" s="13">
        <v>828</v>
      </c>
      <c r="L100" s="13">
        <v>931</v>
      </c>
      <c r="M100" s="13">
        <v>1580.7382851384853</v>
      </c>
      <c r="N100" s="13"/>
      <c r="O100" s="18"/>
      <c r="P100" s="13"/>
      <c r="Q100" s="13"/>
      <c r="R100" s="13"/>
    </row>
    <row r="101" spans="1:18" ht="18.75" hidden="1" customHeight="1" x14ac:dyDescent="0.35">
      <c r="A101" s="4" t="s">
        <v>18</v>
      </c>
      <c r="B101" s="63">
        <v>2025</v>
      </c>
      <c r="C101" s="6" t="s">
        <v>41</v>
      </c>
      <c r="D101" s="32" t="s">
        <v>50</v>
      </c>
      <c r="E101" s="6" t="s">
        <v>23</v>
      </c>
      <c r="F101" s="7" t="s">
        <v>26</v>
      </c>
      <c r="G101" s="5">
        <v>1474</v>
      </c>
      <c r="H101" s="5">
        <v>951</v>
      </c>
      <c r="I101" s="5">
        <v>1124</v>
      </c>
      <c r="J101" s="5">
        <v>1323</v>
      </c>
      <c r="K101" s="5">
        <v>1078</v>
      </c>
      <c r="L101" s="5">
        <v>1217</v>
      </c>
      <c r="M101" s="5">
        <v>1956.1274143299809</v>
      </c>
      <c r="N101" s="5"/>
      <c r="O101" s="17"/>
      <c r="P101" s="5"/>
      <c r="Q101" s="5"/>
      <c r="R101" s="5"/>
    </row>
    <row r="102" spans="1:18" ht="18.75" hidden="1" customHeight="1" x14ac:dyDescent="0.35">
      <c r="A102" s="12" t="s">
        <v>18</v>
      </c>
      <c r="B102" s="66">
        <v>2025</v>
      </c>
      <c r="C102" s="14" t="s">
        <v>41</v>
      </c>
      <c r="D102" s="31" t="s">
        <v>121</v>
      </c>
      <c r="E102" s="14" t="s">
        <v>23</v>
      </c>
      <c r="F102" s="15" t="s">
        <v>26</v>
      </c>
      <c r="G102" s="13">
        <v>0</v>
      </c>
      <c r="H102" s="13">
        <v>0</v>
      </c>
      <c r="I102" s="13">
        <v>0</v>
      </c>
      <c r="J102" s="13">
        <v>0</v>
      </c>
      <c r="K102" s="13">
        <v>786</v>
      </c>
      <c r="L102" s="13">
        <v>173</v>
      </c>
      <c r="M102" s="13">
        <v>265.39253927142113</v>
      </c>
      <c r="N102" s="13"/>
      <c r="O102" s="18"/>
      <c r="P102" s="13"/>
      <c r="Q102" s="13"/>
      <c r="R102" s="13"/>
    </row>
    <row r="103" spans="1:18" ht="18.75" hidden="1" customHeight="1" x14ac:dyDescent="0.35">
      <c r="A103" s="4" t="s">
        <v>18</v>
      </c>
      <c r="B103" s="63">
        <v>2025</v>
      </c>
      <c r="C103" s="6" t="s">
        <v>41</v>
      </c>
      <c r="D103" s="32" t="s">
        <v>51</v>
      </c>
      <c r="E103" s="6" t="s">
        <v>23</v>
      </c>
      <c r="F103" s="7" t="s">
        <v>26</v>
      </c>
      <c r="G103" s="5">
        <v>822</v>
      </c>
      <c r="H103" s="5">
        <v>817</v>
      </c>
      <c r="I103" s="5">
        <v>838</v>
      </c>
      <c r="J103" s="5">
        <v>1172</v>
      </c>
      <c r="K103" s="5">
        <v>847</v>
      </c>
      <c r="L103" s="5">
        <v>1194</v>
      </c>
      <c r="M103" s="5">
        <v>1285.2895729537263</v>
      </c>
      <c r="N103" s="5"/>
      <c r="O103" s="17"/>
      <c r="P103" s="5"/>
      <c r="Q103" s="5"/>
      <c r="R103" s="5"/>
    </row>
    <row r="104" spans="1:18" ht="18.75" hidden="1" customHeight="1" x14ac:dyDescent="0.35">
      <c r="A104" s="12" t="s">
        <v>18</v>
      </c>
      <c r="B104" s="66">
        <v>2025</v>
      </c>
      <c r="C104" s="14" t="s">
        <v>41</v>
      </c>
      <c r="D104" s="31" t="s">
        <v>52</v>
      </c>
      <c r="E104" s="14" t="s">
        <v>23</v>
      </c>
      <c r="F104" s="15" t="s">
        <v>26</v>
      </c>
      <c r="G104" s="13">
        <v>503</v>
      </c>
      <c r="H104" s="13">
        <v>377</v>
      </c>
      <c r="I104" s="13">
        <v>400</v>
      </c>
      <c r="J104" s="13">
        <v>498</v>
      </c>
      <c r="K104" s="13">
        <v>333</v>
      </c>
      <c r="L104" s="13">
        <v>413</v>
      </c>
      <c r="M104" s="13">
        <v>586.1047289939105</v>
      </c>
      <c r="N104" s="13"/>
      <c r="O104" s="18"/>
      <c r="P104" s="13"/>
      <c r="Q104" s="13"/>
      <c r="R104" s="13"/>
    </row>
    <row r="105" spans="1:18" ht="18.75" hidden="1" customHeight="1" x14ac:dyDescent="0.35">
      <c r="A105" s="4" t="s">
        <v>18</v>
      </c>
      <c r="B105" s="63">
        <v>2025</v>
      </c>
      <c r="C105" s="6" t="s">
        <v>41</v>
      </c>
      <c r="D105" s="32" t="s">
        <v>53</v>
      </c>
      <c r="E105" s="6" t="s">
        <v>23</v>
      </c>
      <c r="F105" s="7" t="s">
        <v>26</v>
      </c>
      <c r="G105" s="5">
        <v>291</v>
      </c>
      <c r="H105" s="5">
        <v>458</v>
      </c>
      <c r="I105" s="5">
        <v>352</v>
      </c>
      <c r="J105" s="5">
        <v>227</v>
      </c>
      <c r="K105" s="5">
        <v>333</v>
      </c>
      <c r="L105" s="5">
        <v>431</v>
      </c>
      <c r="M105" s="5">
        <v>346.38628170657404</v>
      </c>
      <c r="N105" s="5"/>
      <c r="O105" s="17"/>
      <c r="P105" s="5"/>
      <c r="Q105" s="5"/>
      <c r="R105" s="5"/>
    </row>
    <row r="106" spans="1:18" ht="18.75" hidden="1" customHeight="1" x14ac:dyDescent="0.35">
      <c r="A106" s="12" t="s">
        <v>18</v>
      </c>
      <c r="B106" s="66">
        <v>2025</v>
      </c>
      <c r="C106" s="14" t="s">
        <v>41</v>
      </c>
      <c r="D106" s="31" t="s">
        <v>54</v>
      </c>
      <c r="E106" s="14" t="s">
        <v>23</v>
      </c>
      <c r="F106" s="15" t="s">
        <v>26</v>
      </c>
      <c r="G106" s="13">
        <v>5</v>
      </c>
      <c r="H106" s="13">
        <v>53</v>
      </c>
      <c r="I106" s="13">
        <v>38</v>
      </c>
      <c r="J106" s="13">
        <v>29</v>
      </c>
      <c r="K106" s="13">
        <v>60</v>
      </c>
      <c r="L106" s="13">
        <v>54</v>
      </c>
      <c r="M106" s="13">
        <v>75.795130393538372</v>
      </c>
      <c r="N106" s="13"/>
      <c r="O106" s="18"/>
      <c r="P106" s="13"/>
      <c r="Q106" s="13"/>
      <c r="R106" s="13"/>
    </row>
    <row r="107" spans="1:18" ht="18.75" hidden="1" customHeight="1" x14ac:dyDescent="0.35">
      <c r="A107" s="4" t="s">
        <v>18</v>
      </c>
      <c r="B107" s="63">
        <v>2025</v>
      </c>
      <c r="C107" s="6" t="s">
        <v>55</v>
      </c>
      <c r="D107" s="6" t="s">
        <v>56</v>
      </c>
      <c r="E107" s="6" t="s">
        <v>23</v>
      </c>
      <c r="F107" s="7" t="s">
        <v>26</v>
      </c>
      <c r="G107" s="33">
        <v>92</v>
      </c>
      <c r="H107" s="33">
        <v>109</v>
      </c>
      <c r="I107" s="33">
        <v>105</v>
      </c>
      <c r="J107" s="33">
        <v>100</v>
      </c>
      <c r="K107" s="33">
        <v>96</v>
      </c>
      <c r="L107" s="33">
        <v>158</v>
      </c>
      <c r="M107" s="33">
        <v>130</v>
      </c>
      <c r="N107" s="33"/>
      <c r="O107" s="33"/>
      <c r="P107" s="33"/>
      <c r="Q107" s="33"/>
      <c r="R107" s="33"/>
    </row>
    <row r="108" spans="1:18" ht="18.75" hidden="1" customHeight="1" x14ac:dyDescent="0.35">
      <c r="A108" s="12" t="s">
        <v>18</v>
      </c>
      <c r="B108" s="66">
        <v>2025</v>
      </c>
      <c r="C108" s="14" t="s">
        <v>57</v>
      </c>
      <c r="D108" s="14" t="s">
        <v>58</v>
      </c>
      <c r="E108" s="14" t="s">
        <v>23</v>
      </c>
      <c r="F108" s="15" t="s">
        <v>26</v>
      </c>
      <c r="G108" s="34">
        <v>68</v>
      </c>
      <c r="H108" s="34">
        <v>71</v>
      </c>
      <c r="I108" s="34">
        <v>77</v>
      </c>
      <c r="J108" s="34">
        <v>65</v>
      </c>
      <c r="K108" s="34">
        <v>91</v>
      </c>
      <c r="L108" s="34">
        <v>65</v>
      </c>
      <c r="M108" s="34">
        <v>97</v>
      </c>
      <c r="N108" s="34"/>
      <c r="O108" s="34"/>
      <c r="P108" s="34"/>
      <c r="Q108" s="34"/>
      <c r="R108" s="34"/>
    </row>
    <row r="109" spans="1:18" ht="18.75" hidden="1" customHeight="1" x14ac:dyDescent="0.35">
      <c r="A109" s="71" t="s">
        <v>36</v>
      </c>
      <c r="B109" s="63">
        <v>2025</v>
      </c>
      <c r="C109" s="72" t="s">
        <v>122</v>
      </c>
      <c r="D109" s="72"/>
      <c r="E109" s="72" t="s">
        <v>23</v>
      </c>
      <c r="F109" s="73" t="s">
        <v>35</v>
      </c>
      <c r="G109" s="74">
        <v>0.96</v>
      </c>
      <c r="H109" s="74">
        <v>0.98</v>
      </c>
      <c r="I109" s="74">
        <v>0.99</v>
      </c>
      <c r="J109" s="74">
        <v>1</v>
      </c>
      <c r="K109" s="74">
        <v>1</v>
      </c>
      <c r="L109" s="74">
        <v>1</v>
      </c>
      <c r="M109" s="75"/>
      <c r="N109" s="75"/>
      <c r="O109" s="75"/>
      <c r="P109" s="75"/>
      <c r="Q109" s="75"/>
      <c r="R109" s="75"/>
    </row>
    <row r="110" spans="1:18" ht="18.75" hidden="1" customHeight="1" x14ac:dyDescent="0.35">
      <c r="A110" s="12" t="s">
        <v>123</v>
      </c>
      <c r="B110" s="13">
        <v>2025</v>
      </c>
      <c r="C110" s="14" t="s">
        <v>19</v>
      </c>
      <c r="D110" s="14"/>
      <c r="E110" s="14" t="s">
        <v>20</v>
      </c>
      <c r="F110" s="15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13"/>
      <c r="Q110" s="13"/>
      <c r="R110" s="13"/>
    </row>
    <row r="111" spans="1:18" ht="18.75" hidden="1" customHeight="1" x14ac:dyDescent="0.35">
      <c r="A111" s="4" t="s">
        <v>59</v>
      </c>
      <c r="B111" s="5">
        <v>2025</v>
      </c>
      <c r="C111" s="6" t="s">
        <v>64</v>
      </c>
      <c r="D111" s="6"/>
      <c r="E111" s="6" t="s">
        <v>23</v>
      </c>
      <c r="F111" s="7" t="s">
        <v>63</v>
      </c>
      <c r="G111" s="5">
        <f>560+238</f>
        <v>798</v>
      </c>
      <c r="H111" s="5">
        <f>554+234</f>
        <v>788</v>
      </c>
      <c r="I111" s="5">
        <f>557+234</f>
        <v>791</v>
      </c>
      <c r="J111" s="5">
        <f>578+234</f>
        <v>812</v>
      </c>
      <c r="K111" s="17"/>
      <c r="L111" s="17"/>
      <c r="M111" s="17"/>
      <c r="N111" s="17"/>
      <c r="O111" s="17"/>
      <c r="P111" s="17"/>
      <c r="Q111" s="17"/>
      <c r="R111" s="17"/>
    </row>
    <row r="112" spans="1:18" ht="18.75" hidden="1" customHeight="1" x14ac:dyDescent="0.35">
      <c r="A112" s="12" t="s">
        <v>59</v>
      </c>
      <c r="B112" s="13">
        <v>2025</v>
      </c>
      <c r="C112" s="14" t="s">
        <v>124</v>
      </c>
      <c r="D112" s="14"/>
      <c r="E112" s="14" t="s">
        <v>23</v>
      </c>
      <c r="F112" s="15" t="s">
        <v>63</v>
      </c>
      <c r="G112" s="13">
        <f>28+1</f>
        <v>29</v>
      </c>
      <c r="H112" s="13">
        <f>22+123</f>
        <v>145</v>
      </c>
      <c r="I112" s="13">
        <f>25+35+4+24</f>
        <v>88</v>
      </c>
      <c r="J112" s="13">
        <f>32+5</f>
        <v>37</v>
      </c>
      <c r="K112" s="18"/>
      <c r="L112" s="18"/>
      <c r="M112" s="18"/>
      <c r="N112" s="18"/>
      <c r="O112" s="18"/>
      <c r="P112" s="18"/>
      <c r="Q112" s="18"/>
      <c r="R112" s="18"/>
    </row>
    <row r="113" spans="1:18" ht="18.75" hidden="1" customHeight="1" x14ac:dyDescent="0.35">
      <c r="A113" s="4" t="s">
        <v>59</v>
      </c>
      <c r="B113" s="5">
        <v>2025</v>
      </c>
      <c r="C113" s="6" t="s">
        <v>65</v>
      </c>
      <c r="D113" s="6"/>
      <c r="E113" s="6" t="s">
        <v>23</v>
      </c>
      <c r="F113" s="7" t="s">
        <v>63</v>
      </c>
      <c r="G113" s="5">
        <f>1238+238</f>
        <v>1476</v>
      </c>
      <c r="H113" s="5">
        <f>1240+234</f>
        <v>1474</v>
      </c>
      <c r="I113" s="5">
        <f>1230+234</f>
        <v>1464</v>
      </c>
      <c r="J113" s="5">
        <f>1266+234</f>
        <v>1500</v>
      </c>
      <c r="K113" s="17"/>
      <c r="L113" s="17"/>
      <c r="M113" s="17"/>
      <c r="N113" s="17"/>
      <c r="O113" s="17"/>
      <c r="P113" s="17"/>
      <c r="Q113" s="17"/>
      <c r="R113" s="17"/>
    </row>
    <row r="114" spans="1:18" ht="18.75" hidden="1" customHeight="1" x14ac:dyDescent="0.35">
      <c r="A114" s="12" t="s">
        <v>59</v>
      </c>
      <c r="B114" s="13">
        <v>2025</v>
      </c>
      <c r="C114" s="14" t="s">
        <v>66</v>
      </c>
      <c r="D114" s="14"/>
      <c r="E114" s="14" t="s">
        <v>23</v>
      </c>
      <c r="F114" s="15" t="s">
        <v>63</v>
      </c>
      <c r="G114" s="13">
        <v>464433</v>
      </c>
      <c r="H114" s="13">
        <v>353711</v>
      </c>
      <c r="I114" s="13">
        <v>398908</v>
      </c>
      <c r="J114" s="13">
        <v>394034</v>
      </c>
      <c r="K114" s="18"/>
      <c r="L114" s="18"/>
      <c r="M114" s="18"/>
      <c r="N114" s="18"/>
      <c r="O114" s="18"/>
      <c r="P114" s="18"/>
      <c r="Q114" s="18"/>
      <c r="R114" s="18"/>
    </row>
    <row r="115" spans="1:18" ht="18.75" hidden="1" customHeight="1" x14ac:dyDescent="0.35">
      <c r="A115" s="4" t="s">
        <v>59</v>
      </c>
      <c r="B115" s="5">
        <v>2025</v>
      </c>
      <c r="C115" s="6" t="s">
        <v>125</v>
      </c>
      <c r="D115" s="6"/>
      <c r="E115" s="6" t="s">
        <v>23</v>
      </c>
      <c r="F115" s="7" t="s">
        <v>63</v>
      </c>
      <c r="G115" s="51">
        <f>3836050+297544</f>
        <v>4133594</v>
      </c>
      <c r="H115" s="51">
        <f>3827396+318731</f>
        <v>4146127</v>
      </c>
      <c r="I115" s="51">
        <f>3927679+340554</f>
        <v>4268233</v>
      </c>
      <c r="J115" s="51">
        <f>4203745+344688</f>
        <v>4548433</v>
      </c>
      <c r="K115" s="17"/>
      <c r="L115" s="17"/>
      <c r="M115" s="17"/>
      <c r="N115" s="17"/>
      <c r="O115" s="17"/>
      <c r="P115" s="17"/>
      <c r="Q115" s="5"/>
      <c r="R115" s="5"/>
    </row>
    <row r="116" spans="1:18" ht="18.75" hidden="1" customHeight="1" x14ac:dyDescent="0.35">
      <c r="A116" s="12" t="s">
        <v>59</v>
      </c>
      <c r="B116" s="13">
        <v>2025</v>
      </c>
      <c r="C116" s="14" t="s">
        <v>126</v>
      </c>
      <c r="D116" s="14"/>
      <c r="E116" s="14" t="s">
        <v>20</v>
      </c>
      <c r="F116" s="15" t="s">
        <v>61</v>
      </c>
      <c r="G116" s="53">
        <v>19426375</v>
      </c>
      <c r="H116" s="53">
        <v>11107955</v>
      </c>
      <c r="I116" s="53">
        <v>18463922</v>
      </c>
      <c r="J116" s="53">
        <f>263388934+4197971</f>
        <v>267586905</v>
      </c>
      <c r="K116" s="18"/>
      <c r="L116" s="18"/>
      <c r="M116" s="18"/>
      <c r="N116" s="18"/>
      <c r="O116" s="18"/>
      <c r="P116" s="18"/>
      <c r="Q116" s="18"/>
      <c r="R116" s="18"/>
    </row>
    <row r="117" spans="1:18" ht="18.75" hidden="1" customHeight="1" x14ac:dyDescent="0.35">
      <c r="A117" s="4" t="s">
        <v>59</v>
      </c>
      <c r="B117" s="5">
        <v>2025</v>
      </c>
      <c r="C117" s="6" t="s">
        <v>127</v>
      </c>
      <c r="D117" s="6"/>
      <c r="E117" s="6" t="s">
        <v>23</v>
      </c>
      <c r="F117" s="7" t="s">
        <v>63</v>
      </c>
      <c r="G117" s="51">
        <f>+(-771)+(-392)</f>
        <v>-1163</v>
      </c>
      <c r="H117" s="51">
        <f>+(-7813)+(-6258)</f>
        <v>-14071</v>
      </c>
      <c r="I117" s="51">
        <f>+(-5687)+(-135)</f>
        <v>-5822</v>
      </c>
      <c r="J117" s="51">
        <f>+(-6177)+(-1847)</f>
        <v>-8024</v>
      </c>
      <c r="K117" s="17"/>
      <c r="L117" s="17"/>
      <c r="M117" s="17"/>
      <c r="N117" s="17"/>
      <c r="O117" s="17"/>
      <c r="P117" s="17"/>
      <c r="Q117" s="17"/>
      <c r="R117" s="17"/>
    </row>
    <row r="118" spans="1:18" ht="18.75" hidden="1" customHeight="1" x14ac:dyDescent="0.35">
      <c r="A118" s="12" t="s">
        <v>59</v>
      </c>
      <c r="B118" s="13">
        <v>2025</v>
      </c>
      <c r="C118" s="14" t="s">
        <v>128</v>
      </c>
      <c r="D118" s="14"/>
      <c r="E118" s="14" t="s">
        <v>23</v>
      </c>
      <c r="F118" s="15" t="s">
        <v>63</v>
      </c>
      <c r="G118" s="53">
        <f>+(-43073270)+(-22803841)</f>
        <v>-65877111</v>
      </c>
      <c r="H118" s="53">
        <f>+(-523386901)+(-250851824)</f>
        <v>-774238725</v>
      </c>
      <c r="I118" s="53">
        <f>+(-438820043)+(-8284545)</f>
        <v>-447104588</v>
      </c>
      <c r="J118" s="53">
        <f>+(-304245459)+(-88067466)</f>
        <v>-392312925</v>
      </c>
      <c r="K118" s="18"/>
      <c r="L118" s="18"/>
      <c r="M118" s="18"/>
      <c r="N118" s="18"/>
      <c r="O118" s="18"/>
      <c r="P118" s="18"/>
      <c r="Q118" s="18"/>
      <c r="R118" s="18"/>
    </row>
    <row r="119" spans="1:18" ht="18.75" hidden="1" customHeight="1" x14ac:dyDescent="0.35">
      <c r="A119" s="4" t="s">
        <v>59</v>
      </c>
      <c r="B119" s="5">
        <v>2025</v>
      </c>
      <c r="C119" s="6" t="s">
        <v>111</v>
      </c>
      <c r="D119" s="6"/>
      <c r="E119" s="6" t="s">
        <v>23</v>
      </c>
      <c r="F119" s="7" t="s">
        <v>63</v>
      </c>
      <c r="G119" s="5">
        <v>18</v>
      </c>
      <c r="H119" s="5">
        <v>20</v>
      </c>
      <c r="I119" s="5">
        <v>22</v>
      </c>
      <c r="J119" s="5">
        <v>11</v>
      </c>
      <c r="K119" s="17"/>
      <c r="L119" s="17"/>
      <c r="M119" s="17"/>
      <c r="N119" s="17"/>
      <c r="O119" s="17"/>
      <c r="P119" s="17"/>
      <c r="Q119" s="17"/>
      <c r="R119" s="17"/>
    </row>
    <row r="120" spans="1:18" ht="18.75" hidden="1" customHeight="1" x14ac:dyDescent="0.35">
      <c r="A120" s="12" t="s">
        <v>59</v>
      </c>
      <c r="B120" s="13">
        <v>2025</v>
      </c>
      <c r="C120" s="14" t="s">
        <v>129</v>
      </c>
      <c r="D120" s="14"/>
      <c r="E120" s="14" t="s">
        <v>23</v>
      </c>
      <c r="F120" s="15" t="s">
        <v>63</v>
      </c>
      <c r="G120" s="18"/>
      <c r="H120" s="13">
        <v>2</v>
      </c>
      <c r="I120" s="13">
        <v>2</v>
      </c>
      <c r="J120" s="13">
        <v>2</v>
      </c>
      <c r="K120" s="18"/>
      <c r="L120" s="18"/>
      <c r="M120" s="18"/>
      <c r="N120" s="18"/>
      <c r="O120" s="18"/>
      <c r="P120" s="18"/>
      <c r="Q120" s="18"/>
      <c r="R120" s="18"/>
    </row>
    <row r="121" spans="1:18" ht="18.75" hidden="1" customHeight="1" x14ac:dyDescent="0.35">
      <c r="A121" s="4" t="s">
        <v>69</v>
      </c>
      <c r="B121" s="5">
        <v>2025</v>
      </c>
      <c r="C121" s="6" t="s">
        <v>70</v>
      </c>
      <c r="D121" s="6"/>
      <c r="E121" s="6" t="s">
        <v>23</v>
      </c>
      <c r="F121" s="7" t="s">
        <v>26</v>
      </c>
      <c r="G121" s="33">
        <v>7256</v>
      </c>
      <c r="H121" s="33">
        <v>8036</v>
      </c>
      <c r="I121" s="33">
        <v>8043</v>
      </c>
      <c r="J121" s="33">
        <v>8269</v>
      </c>
      <c r="K121" s="33">
        <v>9283</v>
      </c>
      <c r="L121" s="33">
        <v>9663</v>
      </c>
      <c r="M121" s="33">
        <v>11346</v>
      </c>
      <c r="N121" s="33"/>
      <c r="O121" s="33"/>
      <c r="P121" s="33"/>
      <c r="Q121" s="33"/>
      <c r="R121" s="33"/>
    </row>
    <row r="122" spans="1:18" ht="18.75" hidden="1" customHeight="1" x14ac:dyDescent="0.35">
      <c r="A122" s="12" t="s">
        <v>69</v>
      </c>
      <c r="B122" s="13">
        <v>2025</v>
      </c>
      <c r="C122" s="14" t="s">
        <v>71</v>
      </c>
      <c r="D122" s="14"/>
      <c r="E122" s="14" t="s">
        <v>23</v>
      </c>
      <c r="F122" s="15" t="s">
        <v>26</v>
      </c>
      <c r="G122" s="34">
        <v>1599</v>
      </c>
      <c r="H122" s="34">
        <v>1479</v>
      </c>
      <c r="I122" s="34">
        <v>1662</v>
      </c>
      <c r="J122" s="34">
        <v>1108</v>
      </c>
      <c r="K122" s="34">
        <v>795</v>
      </c>
      <c r="L122" s="34">
        <v>699</v>
      </c>
      <c r="M122" s="34">
        <v>395</v>
      </c>
      <c r="N122" s="34"/>
      <c r="O122" s="34"/>
      <c r="P122" s="34"/>
      <c r="Q122" s="34"/>
      <c r="R122" s="34"/>
    </row>
    <row r="123" spans="1:18" ht="18.75" hidden="1" customHeight="1" x14ac:dyDescent="0.35">
      <c r="A123" s="4" t="s">
        <v>69</v>
      </c>
      <c r="B123" s="5">
        <v>2025</v>
      </c>
      <c r="C123" s="6" t="s">
        <v>130</v>
      </c>
      <c r="D123" s="6"/>
      <c r="E123" s="6" t="s">
        <v>23</v>
      </c>
      <c r="F123" s="7" t="s">
        <v>26</v>
      </c>
      <c r="G123" s="33">
        <v>40</v>
      </c>
      <c r="H123" s="33">
        <v>82</v>
      </c>
      <c r="I123" s="33">
        <v>127</v>
      </c>
      <c r="J123" s="33">
        <v>173</v>
      </c>
      <c r="K123" s="33">
        <v>120</v>
      </c>
      <c r="L123" s="33">
        <v>149</v>
      </c>
      <c r="M123" s="33">
        <v>111</v>
      </c>
      <c r="N123" s="33"/>
      <c r="O123" s="33"/>
      <c r="P123" s="33"/>
      <c r="Q123" s="33"/>
      <c r="R123" s="33"/>
    </row>
    <row r="124" spans="1:18" ht="18.75" hidden="1" customHeight="1" x14ac:dyDescent="0.35">
      <c r="A124" s="12" t="s">
        <v>69</v>
      </c>
      <c r="B124" s="13">
        <v>2025</v>
      </c>
      <c r="C124" s="14" t="s">
        <v>131</v>
      </c>
      <c r="D124" s="14"/>
      <c r="E124" s="14" t="s">
        <v>23</v>
      </c>
      <c r="F124" s="15" t="s">
        <v>26</v>
      </c>
      <c r="G124" s="34">
        <v>23</v>
      </c>
      <c r="H124" s="34">
        <v>62</v>
      </c>
      <c r="I124" s="34">
        <v>87</v>
      </c>
      <c r="J124" s="34">
        <v>71</v>
      </c>
      <c r="K124" s="34">
        <v>86</v>
      </c>
      <c r="L124" s="34">
        <v>83</v>
      </c>
      <c r="M124" s="34">
        <v>62</v>
      </c>
      <c r="N124" s="34"/>
      <c r="O124" s="34"/>
      <c r="P124" s="34"/>
      <c r="Q124" s="34"/>
      <c r="R124" s="34"/>
    </row>
    <row r="125" spans="1:18" ht="18.75" hidden="1" customHeight="1" x14ac:dyDescent="0.35">
      <c r="A125" s="4" t="s">
        <v>69</v>
      </c>
      <c r="B125" s="5">
        <v>2025</v>
      </c>
      <c r="C125" s="6" t="s">
        <v>132</v>
      </c>
      <c r="D125" s="6"/>
      <c r="E125" s="6" t="s">
        <v>23</v>
      </c>
      <c r="F125" s="7" t="s">
        <v>26</v>
      </c>
      <c r="G125" s="33">
        <v>1</v>
      </c>
      <c r="H125" s="33">
        <v>6</v>
      </c>
      <c r="I125" s="33">
        <v>10</v>
      </c>
      <c r="J125" s="33">
        <v>6</v>
      </c>
      <c r="K125" s="33">
        <v>22</v>
      </c>
      <c r="L125" s="33">
        <v>26</v>
      </c>
      <c r="M125" s="33">
        <v>32</v>
      </c>
      <c r="N125" s="33"/>
      <c r="O125" s="33"/>
      <c r="P125" s="33"/>
      <c r="Q125" s="33"/>
      <c r="R125" s="33"/>
    </row>
    <row r="126" spans="1:18" ht="18.75" hidden="1" customHeight="1" x14ac:dyDescent="0.35">
      <c r="A126" s="12" t="s">
        <v>69</v>
      </c>
      <c r="B126" s="13">
        <v>2025</v>
      </c>
      <c r="C126" s="14" t="s">
        <v>133</v>
      </c>
      <c r="D126" s="14"/>
      <c r="E126" s="14" t="s">
        <v>23</v>
      </c>
      <c r="F126" s="15" t="s">
        <v>26</v>
      </c>
      <c r="G126" s="34">
        <v>0</v>
      </c>
      <c r="H126" s="34">
        <v>1</v>
      </c>
      <c r="I126" s="34">
        <v>3</v>
      </c>
      <c r="J126" s="34">
        <v>0</v>
      </c>
      <c r="K126" s="34">
        <v>10</v>
      </c>
      <c r="L126" s="34">
        <v>10</v>
      </c>
      <c r="M126" s="34">
        <v>11</v>
      </c>
      <c r="N126" s="34"/>
      <c r="O126" s="34"/>
      <c r="P126" s="34"/>
      <c r="Q126" s="34"/>
      <c r="R126" s="34"/>
    </row>
    <row r="127" spans="1:18" ht="18.75" hidden="1" customHeight="1" x14ac:dyDescent="0.35">
      <c r="A127" s="4" t="s">
        <v>69</v>
      </c>
      <c r="B127" s="5">
        <v>2025</v>
      </c>
      <c r="C127" s="6" t="s">
        <v>134</v>
      </c>
      <c r="D127" s="6"/>
      <c r="E127" s="6" t="s">
        <v>23</v>
      </c>
      <c r="F127" s="7" t="s">
        <v>26</v>
      </c>
      <c r="G127" s="33">
        <v>6</v>
      </c>
      <c r="H127" s="33">
        <v>26</v>
      </c>
      <c r="I127" s="33">
        <v>48</v>
      </c>
      <c r="J127" s="33">
        <v>8</v>
      </c>
      <c r="K127" s="33">
        <v>69</v>
      </c>
      <c r="L127" s="33">
        <v>43</v>
      </c>
      <c r="M127" s="33">
        <v>51</v>
      </c>
      <c r="N127" s="33"/>
      <c r="O127" s="33"/>
      <c r="P127" s="33"/>
      <c r="Q127" s="33"/>
      <c r="R127" s="33"/>
    </row>
    <row r="128" spans="1:18" ht="18.75" hidden="1" customHeight="1" x14ac:dyDescent="0.35">
      <c r="A128" s="12" t="s">
        <v>69</v>
      </c>
      <c r="B128" s="13">
        <v>2025</v>
      </c>
      <c r="C128" s="14" t="s">
        <v>135</v>
      </c>
      <c r="D128" s="14"/>
      <c r="E128" s="14" t="s">
        <v>20</v>
      </c>
      <c r="F128" s="15" t="s">
        <v>21</v>
      </c>
      <c r="G128" s="34">
        <v>0</v>
      </c>
      <c r="H128" s="34">
        <v>79000</v>
      </c>
      <c r="I128" s="34">
        <v>16800</v>
      </c>
      <c r="J128" s="34">
        <v>3396547</v>
      </c>
      <c r="K128" s="34">
        <v>1087480</v>
      </c>
      <c r="L128" s="34">
        <v>2803741</v>
      </c>
      <c r="M128" s="34">
        <v>5153560</v>
      </c>
      <c r="N128" s="34"/>
      <c r="O128" s="34"/>
      <c r="P128" s="36"/>
      <c r="Q128" s="36"/>
      <c r="R128" s="36"/>
    </row>
    <row r="129" spans="1:18" ht="18.75" hidden="1" customHeight="1" x14ac:dyDescent="0.35">
      <c r="A129" s="4" t="s">
        <v>69</v>
      </c>
      <c r="B129" s="5">
        <v>2025</v>
      </c>
      <c r="C129" s="6" t="s">
        <v>136</v>
      </c>
      <c r="D129" s="6"/>
      <c r="E129" s="6" t="s">
        <v>23</v>
      </c>
      <c r="F129" s="7" t="s">
        <v>35</v>
      </c>
      <c r="G129" s="74"/>
      <c r="H129" s="74"/>
      <c r="I129" s="74">
        <v>0.72</v>
      </c>
      <c r="J129" s="74">
        <v>0.75</v>
      </c>
      <c r="K129" s="74">
        <v>0.84</v>
      </c>
      <c r="L129" s="74">
        <v>0.93</v>
      </c>
      <c r="M129" s="74">
        <v>0.95</v>
      </c>
      <c r="N129" s="74"/>
      <c r="O129" s="74"/>
      <c r="P129" s="74"/>
      <c r="Q129" s="74"/>
      <c r="R129" s="74"/>
    </row>
    <row r="130" spans="1:18" ht="18.75" hidden="1" customHeight="1" x14ac:dyDescent="0.35">
      <c r="A130" s="12" t="s">
        <v>69</v>
      </c>
      <c r="B130" s="13">
        <v>2025</v>
      </c>
      <c r="C130" s="14" t="s">
        <v>102</v>
      </c>
      <c r="D130" s="14"/>
      <c r="E130" s="14" t="s">
        <v>23</v>
      </c>
      <c r="F130" s="15" t="s">
        <v>26</v>
      </c>
      <c r="G130" s="34">
        <v>16</v>
      </c>
      <c r="H130" s="34">
        <v>16</v>
      </c>
      <c r="I130" s="34">
        <v>16</v>
      </c>
      <c r="J130" s="34">
        <v>16</v>
      </c>
      <c r="K130" s="34">
        <v>16</v>
      </c>
      <c r="L130" s="34">
        <v>16</v>
      </c>
      <c r="M130" s="34">
        <v>16</v>
      </c>
      <c r="N130" s="76"/>
      <c r="O130" s="76"/>
      <c r="P130" s="76"/>
      <c r="Q130" s="76"/>
      <c r="R130" s="76"/>
    </row>
    <row r="131" spans="1:18" ht="18.75" hidden="1" customHeight="1" x14ac:dyDescent="0.35">
      <c r="A131" s="4" t="s">
        <v>69</v>
      </c>
      <c r="B131" s="5">
        <v>2025</v>
      </c>
      <c r="C131" s="6" t="s">
        <v>137</v>
      </c>
      <c r="D131" s="6"/>
      <c r="E131" s="6" t="s">
        <v>23</v>
      </c>
      <c r="F131" s="7" t="s">
        <v>26</v>
      </c>
      <c r="G131" s="33">
        <v>12</v>
      </c>
      <c r="H131" s="33">
        <v>12</v>
      </c>
      <c r="I131" s="33">
        <v>12</v>
      </c>
      <c r="J131" s="33">
        <v>12</v>
      </c>
      <c r="K131" s="33">
        <v>12</v>
      </c>
      <c r="L131" s="33">
        <v>12</v>
      </c>
      <c r="M131" s="33">
        <v>12</v>
      </c>
      <c r="N131" s="74"/>
      <c r="O131" s="74"/>
      <c r="P131" s="74"/>
      <c r="Q131" s="74"/>
      <c r="R131" s="74"/>
    </row>
    <row r="132" spans="1:18" ht="18.75" hidden="1" customHeight="1" x14ac:dyDescent="0.35">
      <c r="A132" s="12" t="s">
        <v>69</v>
      </c>
      <c r="B132" s="13">
        <v>2025</v>
      </c>
      <c r="C132" s="14" t="s">
        <v>76</v>
      </c>
      <c r="D132" s="14"/>
      <c r="E132" s="14" t="s">
        <v>23</v>
      </c>
      <c r="F132" s="15" t="s">
        <v>26</v>
      </c>
      <c r="G132" s="34">
        <v>4</v>
      </c>
      <c r="H132" s="34">
        <v>7</v>
      </c>
      <c r="I132" s="34">
        <v>7</v>
      </c>
      <c r="J132" s="34">
        <v>17</v>
      </c>
      <c r="K132" s="34">
        <v>6</v>
      </c>
      <c r="L132" s="34">
        <v>9</v>
      </c>
      <c r="M132" s="34">
        <v>4</v>
      </c>
      <c r="N132" s="34"/>
      <c r="O132" s="34"/>
      <c r="P132" s="36"/>
      <c r="Q132" s="36"/>
      <c r="R132" s="36"/>
    </row>
    <row r="133" spans="1:18" ht="18.75" hidden="1" customHeight="1" x14ac:dyDescent="0.4">
      <c r="A133" s="4" t="s">
        <v>69</v>
      </c>
      <c r="B133" s="5">
        <v>2025</v>
      </c>
      <c r="C133" s="6" t="s">
        <v>78</v>
      </c>
      <c r="D133" s="6"/>
      <c r="E133" s="6" t="s">
        <v>20</v>
      </c>
      <c r="F133" s="7" t="s">
        <v>21</v>
      </c>
      <c r="G133" s="5">
        <v>0</v>
      </c>
      <c r="H133" s="5">
        <v>0</v>
      </c>
      <c r="I133" s="5">
        <v>360000000</v>
      </c>
      <c r="J133" s="5">
        <v>0</v>
      </c>
      <c r="K133" s="5">
        <v>0</v>
      </c>
      <c r="L133" s="5">
        <v>0</v>
      </c>
      <c r="M133" s="5">
        <v>0</v>
      </c>
      <c r="N133" s="17"/>
      <c r="O133" s="17"/>
      <c r="P133" s="39"/>
      <c r="Q133" s="39"/>
      <c r="R133" s="39"/>
    </row>
    <row r="134" spans="1:18" ht="18.75" hidden="1" customHeight="1" x14ac:dyDescent="0.4">
      <c r="A134" s="12" t="s">
        <v>69</v>
      </c>
      <c r="B134" s="13">
        <v>2025</v>
      </c>
      <c r="C134" s="14" t="s">
        <v>79</v>
      </c>
      <c r="D134" s="14"/>
      <c r="E134" s="14" t="s">
        <v>23</v>
      </c>
      <c r="F134" s="15" t="s">
        <v>26</v>
      </c>
      <c r="G134" s="13">
        <v>1283</v>
      </c>
      <c r="H134" s="13">
        <v>1290</v>
      </c>
      <c r="I134" s="13">
        <v>1295</v>
      </c>
      <c r="J134" s="13">
        <v>1311</v>
      </c>
      <c r="K134" s="13">
        <v>1321</v>
      </c>
      <c r="L134" s="13">
        <v>1327</v>
      </c>
      <c r="M134" s="13">
        <v>1329</v>
      </c>
      <c r="N134" s="13"/>
      <c r="O134" s="13"/>
      <c r="P134" s="77"/>
      <c r="Q134" s="77"/>
      <c r="R134" s="77"/>
    </row>
    <row r="135" spans="1:18" ht="18.75" hidden="1" customHeight="1" x14ac:dyDescent="0.35">
      <c r="A135" s="4" t="s">
        <v>80</v>
      </c>
      <c r="B135" s="5">
        <v>2025</v>
      </c>
      <c r="C135" s="6" t="s">
        <v>82</v>
      </c>
      <c r="D135" s="6"/>
      <c r="E135" s="6" t="s">
        <v>23</v>
      </c>
      <c r="F135" s="7" t="s">
        <v>26</v>
      </c>
      <c r="G135" s="5">
        <v>403</v>
      </c>
      <c r="H135" s="5">
        <v>235</v>
      </c>
      <c r="I135" s="5">
        <v>254</v>
      </c>
      <c r="J135" s="5">
        <v>278</v>
      </c>
      <c r="K135" s="5">
        <v>287</v>
      </c>
      <c r="L135" s="5">
        <v>258</v>
      </c>
      <c r="M135" s="5">
        <v>386</v>
      </c>
      <c r="N135" s="17"/>
      <c r="O135" s="17"/>
      <c r="P135" s="17"/>
      <c r="Q135" s="17"/>
      <c r="R135" s="17"/>
    </row>
    <row r="136" spans="1:18" ht="18.75" hidden="1" customHeight="1" x14ac:dyDescent="0.35">
      <c r="A136" s="12" t="s">
        <v>80</v>
      </c>
      <c r="B136" s="13">
        <v>2025</v>
      </c>
      <c r="C136" s="14" t="s">
        <v>83</v>
      </c>
      <c r="D136" s="14"/>
      <c r="E136" s="14" t="s">
        <v>23</v>
      </c>
      <c r="F136" s="15" t="s">
        <v>26</v>
      </c>
      <c r="G136" s="13">
        <v>3</v>
      </c>
      <c r="H136" s="13">
        <v>10</v>
      </c>
      <c r="I136" s="13">
        <v>18</v>
      </c>
      <c r="J136" s="13">
        <v>10</v>
      </c>
      <c r="K136" s="13">
        <v>13</v>
      </c>
      <c r="L136" s="13">
        <v>22</v>
      </c>
      <c r="M136" s="13">
        <v>22</v>
      </c>
      <c r="N136" s="18"/>
      <c r="O136" s="18"/>
      <c r="P136" s="18"/>
      <c r="Q136" s="18"/>
      <c r="R136" s="18"/>
    </row>
    <row r="137" spans="1:18" ht="18.75" hidden="1" customHeight="1" x14ac:dyDescent="0.35">
      <c r="A137" s="4" t="s">
        <v>80</v>
      </c>
      <c r="B137" s="5">
        <v>2025</v>
      </c>
      <c r="C137" s="6" t="s">
        <v>84</v>
      </c>
      <c r="D137" s="6"/>
      <c r="E137" s="6" t="s">
        <v>23</v>
      </c>
      <c r="F137" s="7" t="s">
        <v>26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17"/>
      <c r="O137" s="17"/>
      <c r="P137" s="17"/>
      <c r="Q137" s="17"/>
      <c r="R137" s="17"/>
    </row>
    <row r="138" spans="1:18" ht="18.75" hidden="1" customHeight="1" x14ac:dyDescent="0.35">
      <c r="A138" s="12" t="s">
        <v>80</v>
      </c>
      <c r="B138" s="13">
        <v>2025</v>
      </c>
      <c r="C138" s="14" t="s">
        <v>138</v>
      </c>
      <c r="D138" s="14"/>
      <c r="E138" s="14" t="s">
        <v>23</v>
      </c>
      <c r="F138" s="15" t="s">
        <v>26</v>
      </c>
      <c r="G138" s="13">
        <v>469</v>
      </c>
      <c r="H138" s="13">
        <v>417</v>
      </c>
      <c r="I138" s="13">
        <v>531</v>
      </c>
      <c r="J138" s="13">
        <v>567</v>
      </c>
      <c r="K138" s="13">
        <v>617</v>
      </c>
      <c r="L138" s="13">
        <v>581</v>
      </c>
      <c r="M138" s="13">
        <v>454</v>
      </c>
      <c r="N138" s="18"/>
      <c r="O138" s="18"/>
      <c r="P138" s="18"/>
      <c r="Q138" s="18"/>
      <c r="R138" s="18"/>
    </row>
    <row r="139" spans="1:18" ht="18.75" hidden="1" customHeight="1" x14ac:dyDescent="0.35">
      <c r="A139" s="4" t="s">
        <v>80</v>
      </c>
      <c r="B139" s="5">
        <v>2025</v>
      </c>
      <c r="C139" s="6" t="s">
        <v>86</v>
      </c>
      <c r="D139" s="6"/>
      <c r="E139" s="6" t="s">
        <v>23</v>
      </c>
      <c r="F139" s="7" t="s">
        <v>26</v>
      </c>
      <c r="G139" s="5">
        <v>102</v>
      </c>
      <c r="H139" s="5">
        <v>48</v>
      </c>
      <c r="I139" s="5">
        <v>42</v>
      </c>
      <c r="J139" s="5">
        <v>38</v>
      </c>
      <c r="K139" s="5">
        <v>66</v>
      </c>
      <c r="L139" s="5">
        <v>67</v>
      </c>
      <c r="M139" s="5">
        <v>95</v>
      </c>
      <c r="N139" s="17"/>
      <c r="O139" s="17"/>
      <c r="P139" s="17"/>
      <c r="Q139" s="17"/>
      <c r="R139" s="17"/>
    </row>
    <row r="140" spans="1:18" ht="18.75" hidden="1" customHeight="1" x14ac:dyDescent="0.35">
      <c r="A140" s="12" t="s">
        <v>80</v>
      </c>
      <c r="B140" s="13">
        <v>2025</v>
      </c>
      <c r="C140" s="14" t="s">
        <v>87</v>
      </c>
      <c r="D140" s="14"/>
      <c r="E140" s="14" t="s">
        <v>23</v>
      </c>
      <c r="F140" s="15" t="s">
        <v>26</v>
      </c>
      <c r="G140" s="13">
        <v>12</v>
      </c>
      <c r="H140" s="13">
        <v>91</v>
      </c>
      <c r="I140" s="13">
        <v>94</v>
      </c>
      <c r="J140" s="13">
        <v>55</v>
      </c>
      <c r="K140" s="13">
        <v>25</v>
      </c>
      <c r="L140" s="13">
        <v>15</v>
      </c>
      <c r="M140" s="13">
        <v>34</v>
      </c>
      <c r="N140" s="18"/>
      <c r="O140" s="18"/>
      <c r="P140" s="18"/>
      <c r="Q140" s="18"/>
      <c r="R140" s="18"/>
    </row>
    <row r="141" spans="1:18" ht="18.75" hidden="1" customHeight="1" x14ac:dyDescent="0.35">
      <c r="A141" s="4" t="s">
        <v>80</v>
      </c>
      <c r="B141" s="5">
        <v>2025</v>
      </c>
      <c r="C141" s="6" t="s">
        <v>88</v>
      </c>
      <c r="D141" s="6"/>
      <c r="E141" s="6" t="s">
        <v>23</v>
      </c>
      <c r="F141" s="7" t="s">
        <v>26</v>
      </c>
      <c r="G141" s="5">
        <v>1</v>
      </c>
      <c r="H141" s="5">
        <v>0</v>
      </c>
      <c r="I141" s="5">
        <v>5</v>
      </c>
      <c r="J141" s="5">
        <v>5</v>
      </c>
      <c r="K141" s="5">
        <v>7</v>
      </c>
      <c r="L141" s="5">
        <v>7</v>
      </c>
      <c r="M141" s="5">
        <v>1</v>
      </c>
      <c r="N141" s="17"/>
      <c r="O141" s="17"/>
      <c r="P141" s="17"/>
      <c r="Q141" s="17"/>
      <c r="R141" s="17"/>
    </row>
    <row r="142" spans="1:18" ht="18.75" hidden="1" customHeight="1" x14ac:dyDescent="0.35">
      <c r="A142" s="12" t="s">
        <v>80</v>
      </c>
      <c r="B142" s="13">
        <v>2025</v>
      </c>
      <c r="C142" s="14" t="s">
        <v>89</v>
      </c>
      <c r="D142" s="14"/>
      <c r="E142" s="14" t="s">
        <v>23</v>
      </c>
      <c r="F142" s="15" t="s">
        <v>26</v>
      </c>
      <c r="G142" s="13">
        <v>8</v>
      </c>
      <c r="H142" s="13">
        <v>3</v>
      </c>
      <c r="I142" s="13">
        <v>7</v>
      </c>
      <c r="J142" s="13">
        <v>1</v>
      </c>
      <c r="K142" s="13">
        <v>5</v>
      </c>
      <c r="L142" s="13">
        <v>3</v>
      </c>
      <c r="M142" s="13">
        <v>0</v>
      </c>
      <c r="N142" s="18"/>
      <c r="O142" s="18"/>
      <c r="P142" s="18"/>
      <c r="Q142" s="18"/>
      <c r="R142" s="18"/>
    </row>
    <row r="143" spans="1:18" ht="18.75" hidden="1" customHeight="1" x14ac:dyDescent="0.35">
      <c r="A143" s="4" t="s">
        <v>80</v>
      </c>
      <c r="B143" s="5">
        <v>2025</v>
      </c>
      <c r="C143" s="6" t="s">
        <v>90</v>
      </c>
      <c r="D143" s="6"/>
      <c r="E143" s="6" t="s">
        <v>20</v>
      </c>
      <c r="F143" s="7" t="s">
        <v>21</v>
      </c>
      <c r="G143" s="8">
        <v>1681551</v>
      </c>
      <c r="H143" s="8">
        <v>324129</v>
      </c>
      <c r="I143" s="8">
        <v>178153</v>
      </c>
      <c r="J143" s="8">
        <v>137005</v>
      </c>
      <c r="K143" s="8">
        <v>520194</v>
      </c>
      <c r="L143" s="8">
        <v>680887</v>
      </c>
      <c r="M143" s="8">
        <v>538368</v>
      </c>
      <c r="N143" s="8"/>
      <c r="O143" s="8"/>
      <c r="P143" s="8"/>
      <c r="Q143" s="8"/>
      <c r="R143" s="8"/>
    </row>
    <row r="144" spans="1:18" ht="18.75" hidden="1" customHeight="1" x14ac:dyDescent="0.35">
      <c r="A144" s="12" t="s">
        <v>80</v>
      </c>
      <c r="B144" s="13">
        <v>2025</v>
      </c>
      <c r="C144" s="14" t="s">
        <v>139</v>
      </c>
      <c r="D144" s="14"/>
      <c r="E144" s="14" t="s">
        <v>20</v>
      </c>
      <c r="F144" s="15" t="s">
        <v>21</v>
      </c>
      <c r="G144" s="16">
        <v>0</v>
      </c>
      <c r="H144" s="16">
        <v>9908828</v>
      </c>
      <c r="I144" s="16">
        <v>0</v>
      </c>
      <c r="J144" s="16">
        <v>1492621</v>
      </c>
      <c r="K144" s="16">
        <v>0</v>
      </c>
      <c r="L144" s="16">
        <v>4415441</v>
      </c>
      <c r="M144" s="16">
        <v>6355532</v>
      </c>
      <c r="N144" s="18"/>
      <c r="O144" s="55"/>
      <c r="P144" s="55"/>
      <c r="Q144" s="55"/>
      <c r="R144" s="55"/>
    </row>
    <row r="145" spans="1:18" ht="18.75" hidden="1" customHeight="1" x14ac:dyDescent="0.35">
      <c r="A145" s="4" t="s">
        <v>80</v>
      </c>
      <c r="B145" s="5">
        <v>2025</v>
      </c>
      <c r="C145" s="6" t="s">
        <v>109</v>
      </c>
      <c r="D145" s="6"/>
      <c r="E145" s="6" t="s">
        <v>20</v>
      </c>
      <c r="F145" s="7" t="s">
        <v>21</v>
      </c>
      <c r="G145" s="8">
        <v>27136071</v>
      </c>
      <c r="H145" s="8">
        <v>2224907</v>
      </c>
      <c r="I145" s="8">
        <v>2154030</v>
      </c>
      <c r="J145" s="8">
        <v>1496608</v>
      </c>
      <c r="K145" s="8">
        <v>2585129</v>
      </c>
      <c r="L145" s="8">
        <v>1652767</v>
      </c>
      <c r="M145" s="8">
        <v>1556520</v>
      </c>
      <c r="N145" s="8"/>
      <c r="O145" s="8"/>
      <c r="P145" s="8"/>
      <c r="Q145" s="8"/>
      <c r="R145" s="8"/>
    </row>
    <row r="146" spans="1:18" ht="18.75" hidden="1" customHeight="1" x14ac:dyDescent="0.35">
      <c r="A146" s="12" t="s">
        <v>80</v>
      </c>
      <c r="B146" s="13">
        <v>2025</v>
      </c>
      <c r="C146" s="14" t="s">
        <v>110</v>
      </c>
      <c r="D146" s="14"/>
      <c r="E146" s="14" t="s">
        <v>20</v>
      </c>
      <c r="F146" s="15" t="s">
        <v>21</v>
      </c>
      <c r="G146" s="16">
        <v>20357465</v>
      </c>
      <c r="H146" s="16">
        <v>26013078</v>
      </c>
      <c r="I146" s="16">
        <v>35835250</v>
      </c>
      <c r="J146" s="16">
        <v>39163406</v>
      </c>
      <c r="K146" s="16">
        <v>48792669</v>
      </c>
      <c r="L146" s="16">
        <v>32298975</v>
      </c>
      <c r="M146" s="16">
        <v>28520120</v>
      </c>
      <c r="N146" s="16"/>
      <c r="O146" s="16"/>
      <c r="P146" s="16"/>
      <c r="Q146" s="16"/>
      <c r="R146" s="16"/>
    </row>
    <row r="147" spans="1:18" ht="18.75" hidden="1" customHeight="1" x14ac:dyDescent="0.35">
      <c r="A147" s="4" t="s">
        <v>80</v>
      </c>
      <c r="B147" s="5">
        <v>2025</v>
      </c>
      <c r="C147" s="6" t="s">
        <v>140</v>
      </c>
      <c r="D147" s="6"/>
      <c r="E147" s="6" t="s">
        <v>23</v>
      </c>
      <c r="F147" s="7" t="s">
        <v>63</v>
      </c>
      <c r="G147" s="5">
        <v>21</v>
      </c>
      <c r="H147" s="5">
        <v>36</v>
      </c>
      <c r="I147" s="5">
        <v>10</v>
      </c>
      <c r="J147" s="5">
        <v>13</v>
      </c>
      <c r="K147" s="5">
        <v>11</v>
      </c>
      <c r="L147" s="5">
        <v>50</v>
      </c>
      <c r="M147" s="5">
        <v>25</v>
      </c>
      <c r="N147" s="17"/>
      <c r="O147" s="17"/>
      <c r="P147" s="17"/>
      <c r="Q147" s="17"/>
      <c r="R147" s="17"/>
    </row>
    <row r="148" spans="1:18" ht="18.75" hidden="1" customHeight="1" x14ac:dyDescent="0.35">
      <c r="A148" s="12" t="s">
        <v>141</v>
      </c>
      <c r="B148" s="13">
        <v>2025</v>
      </c>
      <c r="C148" s="14" t="s">
        <v>81</v>
      </c>
      <c r="D148" s="14"/>
      <c r="E148" s="14" t="s">
        <v>23</v>
      </c>
      <c r="F148" s="15" t="s">
        <v>26</v>
      </c>
      <c r="G148" s="13">
        <v>9</v>
      </c>
      <c r="H148" s="13">
        <v>8</v>
      </c>
      <c r="I148" s="13">
        <v>7</v>
      </c>
      <c r="J148" s="13">
        <v>20</v>
      </c>
      <c r="K148" s="13">
        <v>7</v>
      </c>
      <c r="L148" s="13">
        <v>6</v>
      </c>
      <c r="M148" s="18"/>
      <c r="N148" s="18"/>
      <c r="O148" s="18"/>
      <c r="P148" s="18"/>
      <c r="Q148" s="18"/>
      <c r="R148" s="18"/>
    </row>
    <row r="149" spans="1:18" ht="18.75" hidden="1" customHeight="1" x14ac:dyDescent="0.35">
      <c r="A149" s="4" t="s">
        <v>80</v>
      </c>
      <c r="B149" s="5">
        <v>2025</v>
      </c>
      <c r="C149" s="6" t="s">
        <v>142</v>
      </c>
      <c r="D149" s="6"/>
      <c r="E149" s="6" t="s">
        <v>20</v>
      </c>
      <c r="F149" s="7" t="s">
        <v>21</v>
      </c>
      <c r="G149" s="8">
        <v>98883018</v>
      </c>
      <c r="H149" s="8">
        <v>76629957</v>
      </c>
      <c r="I149" s="8">
        <v>104023403</v>
      </c>
      <c r="J149" s="8">
        <v>96715244</v>
      </c>
      <c r="K149" s="8">
        <v>97324083</v>
      </c>
      <c r="L149" s="8">
        <v>57510314</v>
      </c>
      <c r="M149" s="8"/>
      <c r="N149" s="8"/>
      <c r="O149" s="8"/>
      <c r="P149" s="8"/>
      <c r="Q149" s="8"/>
      <c r="R149" s="8"/>
    </row>
    <row r="150" spans="1:18" ht="18.75" hidden="1" customHeight="1" x14ac:dyDescent="0.35">
      <c r="A150" s="12" t="s">
        <v>91</v>
      </c>
      <c r="B150" s="13">
        <v>2025</v>
      </c>
      <c r="C150" s="14" t="s">
        <v>102</v>
      </c>
      <c r="D150" s="14"/>
      <c r="E150" s="14" t="s">
        <v>23</v>
      </c>
      <c r="F150" s="15" t="s">
        <v>26</v>
      </c>
      <c r="G150" s="34">
        <v>24</v>
      </c>
      <c r="H150" s="34">
        <v>24</v>
      </c>
      <c r="I150" s="34">
        <v>24</v>
      </c>
      <c r="J150" s="34">
        <v>24</v>
      </c>
      <c r="K150" s="34">
        <v>24</v>
      </c>
      <c r="L150" s="34">
        <v>24</v>
      </c>
      <c r="M150" s="34">
        <v>24</v>
      </c>
      <c r="N150" s="76"/>
      <c r="O150" s="76"/>
      <c r="P150" s="76"/>
      <c r="Q150" s="76"/>
      <c r="R150" s="76"/>
    </row>
    <row r="151" spans="1:18" ht="18.75" hidden="1" customHeight="1" x14ac:dyDescent="0.35">
      <c r="A151" s="4" t="s">
        <v>91</v>
      </c>
      <c r="B151" s="5">
        <v>2025</v>
      </c>
      <c r="C151" s="6" t="s">
        <v>143</v>
      </c>
      <c r="D151" s="6"/>
      <c r="E151" s="6" t="s">
        <v>23</v>
      </c>
      <c r="F151" s="7" t="s">
        <v>26</v>
      </c>
      <c r="G151" s="78">
        <v>25</v>
      </c>
      <c r="H151" s="78">
        <v>25</v>
      </c>
      <c r="I151" s="78">
        <v>25</v>
      </c>
      <c r="J151" s="78">
        <v>25</v>
      </c>
      <c r="K151" s="78">
        <v>25</v>
      </c>
      <c r="L151" s="78">
        <v>25</v>
      </c>
      <c r="M151" s="78">
        <v>25</v>
      </c>
      <c r="N151" s="8"/>
      <c r="O151" s="8"/>
      <c r="P151" s="8"/>
      <c r="Q151" s="8"/>
      <c r="R151" s="8"/>
    </row>
    <row r="152" spans="1:18" ht="18.75" hidden="1" customHeight="1" x14ac:dyDescent="0.35">
      <c r="A152" s="12" t="s">
        <v>91</v>
      </c>
      <c r="B152" s="13">
        <v>2025</v>
      </c>
      <c r="C152" s="79" t="s">
        <v>92</v>
      </c>
      <c r="D152" s="14"/>
      <c r="E152" s="14" t="s">
        <v>23</v>
      </c>
      <c r="F152" s="15" t="s">
        <v>26</v>
      </c>
      <c r="G152" s="13">
        <v>0</v>
      </c>
      <c r="H152" s="13">
        <v>8</v>
      </c>
      <c r="I152" s="13">
        <v>4</v>
      </c>
      <c r="J152" s="13">
        <v>10</v>
      </c>
      <c r="K152" s="13">
        <v>5</v>
      </c>
      <c r="L152" s="13">
        <v>10</v>
      </c>
      <c r="M152" s="13">
        <v>3</v>
      </c>
      <c r="N152" s="18"/>
      <c r="O152" s="55"/>
      <c r="P152" s="55"/>
      <c r="Q152" s="55"/>
      <c r="R152" s="55"/>
    </row>
    <row r="153" spans="1:18" ht="18.75" hidden="1" customHeight="1" x14ac:dyDescent="0.35">
      <c r="A153" s="4" t="s">
        <v>91</v>
      </c>
      <c r="B153" s="5">
        <v>2025</v>
      </c>
      <c r="C153" s="80" t="s">
        <v>144</v>
      </c>
      <c r="D153" s="6"/>
      <c r="E153" s="6" t="s">
        <v>23</v>
      </c>
      <c r="F153" s="7" t="s">
        <v>26</v>
      </c>
      <c r="G153" s="5">
        <v>5</v>
      </c>
      <c r="H153" s="5">
        <v>2</v>
      </c>
      <c r="I153" s="5">
        <f>387+2</f>
        <v>389</v>
      </c>
      <c r="J153" s="5">
        <v>13</v>
      </c>
      <c r="K153" s="5">
        <v>6</v>
      </c>
      <c r="L153" s="5">
        <v>2</v>
      </c>
      <c r="M153" s="5">
        <v>13</v>
      </c>
      <c r="N153" s="17"/>
      <c r="O153" s="52"/>
      <c r="P153" s="52"/>
      <c r="Q153" s="52"/>
      <c r="R153" s="52"/>
    </row>
    <row r="154" spans="1:18" ht="18.75" hidden="1" customHeight="1" x14ac:dyDescent="0.35">
      <c r="A154" s="12" t="s">
        <v>91</v>
      </c>
      <c r="B154" s="13">
        <v>2025</v>
      </c>
      <c r="C154" s="14" t="s">
        <v>94</v>
      </c>
      <c r="D154" s="14"/>
      <c r="E154" s="14" t="s">
        <v>23</v>
      </c>
      <c r="F154" s="15" t="s">
        <v>26</v>
      </c>
      <c r="G154" s="13">
        <v>4</v>
      </c>
      <c r="H154" s="13">
        <v>45</v>
      </c>
      <c r="I154" s="13">
        <v>24</v>
      </c>
      <c r="J154" s="13">
        <v>60</v>
      </c>
      <c r="K154" s="13">
        <v>37</v>
      </c>
      <c r="L154" s="13">
        <v>22</v>
      </c>
      <c r="M154" s="13">
        <v>551</v>
      </c>
      <c r="N154" s="18"/>
      <c r="O154" s="55"/>
      <c r="P154" s="55"/>
      <c r="Q154" s="55"/>
      <c r="R154" s="55"/>
    </row>
    <row r="155" spans="1:18" ht="18.75" hidden="1" customHeight="1" x14ac:dyDescent="0.35">
      <c r="A155" s="4" t="s">
        <v>91</v>
      </c>
      <c r="B155" s="5">
        <v>2025</v>
      </c>
      <c r="C155" s="6" t="s">
        <v>95</v>
      </c>
      <c r="D155" s="6"/>
      <c r="E155" s="6" t="s">
        <v>23</v>
      </c>
      <c r="F155" s="7" t="s">
        <v>26</v>
      </c>
      <c r="G155" s="5">
        <v>68</v>
      </c>
      <c r="H155" s="5">
        <v>31</v>
      </c>
      <c r="I155" s="5">
        <v>92</v>
      </c>
      <c r="J155" s="5">
        <v>55</v>
      </c>
      <c r="K155" s="5">
        <v>87</v>
      </c>
      <c r="L155" s="5">
        <v>39</v>
      </c>
      <c r="M155" s="5">
        <v>70</v>
      </c>
      <c r="N155" s="17"/>
      <c r="O155" s="52"/>
      <c r="P155" s="52"/>
      <c r="Q155" s="52"/>
      <c r="R155" s="52"/>
    </row>
    <row r="156" spans="1:18" ht="18.75" hidden="1" customHeight="1" x14ac:dyDescent="0.35">
      <c r="A156" s="12" t="s">
        <v>91</v>
      </c>
      <c r="B156" s="13">
        <v>2025</v>
      </c>
      <c r="C156" s="14" t="s">
        <v>96</v>
      </c>
      <c r="D156" s="14"/>
      <c r="E156" s="14" t="s">
        <v>23</v>
      </c>
      <c r="F156" s="15" t="s">
        <v>26</v>
      </c>
      <c r="G156" s="13">
        <v>1</v>
      </c>
      <c r="H156" s="13">
        <v>0</v>
      </c>
      <c r="I156" s="13">
        <v>6</v>
      </c>
      <c r="J156" s="13">
        <v>26</v>
      </c>
      <c r="K156" s="13">
        <v>122</v>
      </c>
      <c r="L156" s="13">
        <v>47</v>
      </c>
      <c r="M156" s="13">
        <v>9</v>
      </c>
      <c r="N156" s="18"/>
      <c r="O156" s="55"/>
      <c r="P156" s="55"/>
      <c r="Q156" s="55"/>
      <c r="R156" s="55"/>
    </row>
    <row r="157" spans="1:18" ht="18.75" hidden="1" customHeight="1" x14ac:dyDescent="0.35">
      <c r="A157" s="4" t="s">
        <v>91</v>
      </c>
      <c r="B157" s="5">
        <v>2025</v>
      </c>
      <c r="C157" s="6" t="s">
        <v>97</v>
      </c>
      <c r="D157" s="6"/>
      <c r="E157" s="6" t="s">
        <v>20</v>
      </c>
      <c r="F157" s="7" t="s">
        <v>21</v>
      </c>
      <c r="G157" s="5">
        <v>17149988000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8"/>
      <c r="O157" s="49"/>
      <c r="P157" s="8"/>
      <c r="Q157" s="8"/>
      <c r="R157" s="8"/>
    </row>
    <row r="158" spans="1:18" ht="18.75" hidden="1" customHeight="1" x14ac:dyDescent="0.35">
      <c r="A158" s="12" t="s">
        <v>91</v>
      </c>
      <c r="B158" s="13">
        <v>2025</v>
      </c>
      <c r="C158" s="14" t="s">
        <v>99</v>
      </c>
      <c r="D158" s="14"/>
      <c r="E158" s="14" t="s">
        <v>23</v>
      </c>
      <c r="F158" s="15" t="s">
        <v>26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8"/>
      <c r="O158" s="55"/>
      <c r="P158" s="55"/>
      <c r="Q158" s="55"/>
      <c r="R158" s="55"/>
    </row>
    <row r="159" spans="1:18" ht="18.75" customHeight="1" x14ac:dyDescent="0.35">
      <c r="A159" s="4" t="s">
        <v>101</v>
      </c>
      <c r="B159" s="5">
        <v>2025</v>
      </c>
      <c r="C159" s="6" t="s">
        <v>102</v>
      </c>
      <c r="D159" s="6"/>
      <c r="E159" s="6" t="s">
        <v>23</v>
      </c>
      <c r="F159" s="7" t="s">
        <v>26</v>
      </c>
      <c r="G159" s="5">
        <v>9</v>
      </c>
      <c r="H159" s="5">
        <v>9</v>
      </c>
      <c r="I159" s="5">
        <v>9</v>
      </c>
      <c r="J159" s="5">
        <v>17</v>
      </c>
      <c r="K159" s="5">
        <v>17</v>
      </c>
      <c r="L159" s="5">
        <v>17</v>
      </c>
      <c r="M159" s="5">
        <v>17</v>
      </c>
      <c r="N159" s="17"/>
      <c r="O159" s="52"/>
      <c r="P159" s="52"/>
      <c r="Q159" s="52"/>
      <c r="R159" s="52"/>
    </row>
    <row r="160" spans="1:18" ht="18.75" customHeight="1" x14ac:dyDescent="0.35">
      <c r="A160" s="12" t="s">
        <v>101</v>
      </c>
      <c r="B160" s="13">
        <v>2025</v>
      </c>
      <c r="C160" s="14" t="s">
        <v>103</v>
      </c>
      <c r="D160" s="14"/>
      <c r="E160" s="14" t="s">
        <v>23</v>
      </c>
      <c r="F160" s="15" t="s">
        <v>26</v>
      </c>
      <c r="G160" s="13">
        <v>9</v>
      </c>
      <c r="H160" s="13">
        <v>9</v>
      </c>
      <c r="I160" s="13">
        <v>9</v>
      </c>
      <c r="J160" s="13">
        <v>1</v>
      </c>
      <c r="K160" s="13">
        <v>1</v>
      </c>
      <c r="L160" s="13">
        <v>1</v>
      </c>
      <c r="M160" s="13">
        <v>1</v>
      </c>
      <c r="N160" s="18"/>
      <c r="O160" s="55"/>
      <c r="P160" s="55"/>
      <c r="Q160" s="55"/>
      <c r="R160" s="55"/>
    </row>
    <row r="161" spans="1:18" ht="18.75" customHeight="1" x14ac:dyDescent="0.35">
      <c r="A161" s="4" t="s">
        <v>101</v>
      </c>
      <c r="B161" s="5">
        <v>2025</v>
      </c>
      <c r="C161" s="6" t="s">
        <v>104</v>
      </c>
      <c r="D161" s="6"/>
      <c r="E161" s="6" t="s">
        <v>23</v>
      </c>
      <c r="F161" s="7" t="s">
        <v>26</v>
      </c>
      <c r="G161" s="5">
        <v>7</v>
      </c>
      <c r="H161" s="5">
        <v>7</v>
      </c>
      <c r="I161" s="5">
        <v>7</v>
      </c>
      <c r="J161" s="5">
        <v>7</v>
      </c>
      <c r="K161" s="5">
        <v>7</v>
      </c>
      <c r="L161" s="5">
        <v>7</v>
      </c>
      <c r="M161" s="5">
        <v>184</v>
      </c>
      <c r="N161" s="17"/>
      <c r="O161" s="52"/>
      <c r="P161" s="52"/>
      <c r="Q161" s="52"/>
      <c r="R161" s="52"/>
    </row>
    <row r="162" spans="1:18" ht="18.75" customHeight="1" x14ac:dyDescent="0.35">
      <c r="A162" s="12" t="s">
        <v>101</v>
      </c>
      <c r="B162" s="13">
        <v>2025</v>
      </c>
      <c r="C162" s="14" t="s">
        <v>105</v>
      </c>
      <c r="D162" s="14"/>
      <c r="E162" s="14" t="s">
        <v>23</v>
      </c>
      <c r="F162" s="15" t="s">
        <v>26</v>
      </c>
      <c r="G162" s="13">
        <v>21083</v>
      </c>
      <c r="H162" s="13">
        <v>1620</v>
      </c>
      <c r="I162" s="13">
        <v>1226</v>
      </c>
      <c r="J162" s="13">
        <v>1328</v>
      </c>
      <c r="K162" s="13">
        <v>1607</v>
      </c>
      <c r="L162" s="13">
        <v>1416</v>
      </c>
      <c r="M162" s="13">
        <v>8236</v>
      </c>
      <c r="N162" s="18"/>
      <c r="O162" s="55"/>
      <c r="P162" s="55"/>
      <c r="Q162" s="55"/>
      <c r="R162" s="55"/>
    </row>
    <row r="163" spans="1:18" ht="18.75" customHeight="1" x14ac:dyDescent="0.35">
      <c r="A163" s="4" t="s">
        <v>101</v>
      </c>
      <c r="B163" s="5">
        <v>2025</v>
      </c>
      <c r="C163" s="6" t="s">
        <v>106</v>
      </c>
      <c r="D163" s="6"/>
      <c r="E163" s="6" t="s">
        <v>23</v>
      </c>
      <c r="F163" s="7" t="s">
        <v>26</v>
      </c>
      <c r="G163" s="5">
        <v>0</v>
      </c>
      <c r="H163" s="5">
        <v>2</v>
      </c>
      <c r="I163" s="5">
        <v>1</v>
      </c>
      <c r="J163" s="5">
        <v>1</v>
      </c>
      <c r="K163" s="5">
        <v>2</v>
      </c>
      <c r="L163" s="5">
        <v>1</v>
      </c>
      <c r="M163" s="5">
        <v>0</v>
      </c>
      <c r="N163" s="17"/>
      <c r="O163" s="17"/>
      <c r="P163" s="17"/>
      <c r="Q163" s="17"/>
      <c r="R163" s="17"/>
    </row>
    <row r="164" spans="1:18" ht="18.75" customHeight="1" x14ac:dyDescent="0.35">
      <c r="A164" s="12" t="s">
        <v>101</v>
      </c>
      <c r="B164" s="13">
        <v>2025</v>
      </c>
      <c r="C164" s="14" t="s">
        <v>76</v>
      </c>
      <c r="D164" s="14"/>
      <c r="E164" s="14" t="s">
        <v>23</v>
      </c>
      <c r="F164" s="15" t="s">
        <v>26</v>
      </c>
      <c r="G164" s="13">
        <v>13</v>
      </c>
      <c r="H164" s="13">
        <v>3</v>
      </c>
      <c r="I164" s="13">
        <v>3</v>
      </c>
      <c r="J164" s="13">
        <v>11</v>
      </c>
      <c r="K164" s="13">
        <v>3</v>
      </c>
      <c r="L164" s="13">
        <v>3</v>
      </c>
      <c r="M164" s="13">
        <v>15</v>
      </c>
      <c r="N164" s="18"/>
      <c r="O164" s="18"/>
      <c r="P164" s="18"/>
      <c r="Q164" s="18"/>
      <c r="R164" s="18"/>
    </row>
    <row r="165" spans="1:18" ht="18.75" customHeight="1" x14ac:dyDescent="0.35">
      <c r="A165" s="4" t="s">
        <v>101</v>
      </c>
      <c r="B165" s="5">
        <v>2025</v>
      </c>
      <c r="C165" s="6" t="s">
        <v>107</v>
      </c>
      <c r="D165" s="6"/>
      <c r="E165" s="6" t="s">
        <v>23</v>
      </c>
      <c r="F165" s="7" t="s">
        <v>26</v>
      </c>
      <c r="G165" s="78">
        <v>1200</v>
      </c>
      <c r="H165" s="78">
        <v>1197</v>
      </c>
      <c r="I165" s="81"/>
      <c r="J165" s="78">
        <v>914</v>
      </c>
      <c r="K165" s="78">
        <v>874</v>
      </c>
      <c r="L165" s="78">
        <v>1502</v>
      </c>
      <c r="M165" s="78">
        <v>258</v>
      </c>
      <c r="N165" s="81"/>
      <c r="O165" s="81"/>
      <c r="P165" s="81"/>
      <c r="Q165" s="81"/>
      <c r="R165" s="81"/>
    </row>
    <row r="166" spans="1:18" ht="18.75" customHeight="1" x14ac:dyDescent="0.35">
      <c r="A166" s="12" t="s">
        <v>101</v>
      </c>
      <c r="B166" s="13">
        <v>2025</v>
      </c>
      <c r="C166" s="14" t="s">
        <v>145</v>
      </c>
      <c r="D166" s="14"/>
      <c r="E166" s="14" t="s">
        <v>23</v>
      </c>
      <c r="F166" s="15" t="s">
        <v>26</v>
      </c>
      <c r="G166" s="13">
        <v>5</v>
      </c>
      <c r="H166" s="13">
        <v>5</v>
      </c>
      <c r="I166" s="13">
        <v>13</v>
      </c>
      <c r="J166" s="13">
        <v>6</v>
      </c>
      <c r="K166" s="13">
        <v>13</v>
      </c>
      <c r="L166" s="13">
        <v>8</v>
      </c>
      <c r="M166" s="13">
        <v>15</v>
      </c>
      <c r="N166" s="18"/>
      <c r="O166" s="18"/>
      <c r="P166" s="18"/>
      <c r="Q166" s="18"/>
      <c r="R166" s="18"/>
    </row>
    <row r="167" spans="1:18" ht="18.75" hidden="1" customHeight="1" x14ac:dyDescent="0.4">
      <c r="A167" s="4" t="s">
        <v>69</v>
      </c>
      <c r="B167" s="5">
        <v>2025</v>
      </c>
      <c r="C167" s="6" t="s">
        <v>146</v>
      </c>
      <c r="D167" s="6"/>
      <c r="E167" s="6" t="s">
        <v>20</v>
      </c>
      <c r="F167" s="7" t="s">
        <v>21</v>
      </c>
      <c r="G167" s="5">
        <v>0</v>
      </c>
      <c r="H167" s="5">
        <v>16755078</v>
      </c>
      <c r="I167" s="5">
        <v>29126200</v>
      </c>
      <c r="J167" s="5">
        <v>39631857</v>
      </c>
      <c r="K167" s="5">
        <v>116292787</v>
      </c>
      <c r="L167" s="5">
        <v>18957206</v>
      </c>
      <c r="M167" s="5">
        <v>97439592</v>
      </c>
      <c r="N167" s="17"/>
      <c r="O167" s="17"/>
      <c r="P167" s="39"/>
      <c r="Q167" s="39"/>
      <c r="R167" s="39"/>
    </row>
    <row r="168" spans="1:18" ht="18.75" hidden="1" customHeight="1" x14ac:dyDescent="0.4">
      <c r="A168" s="12" t="s">
        <v>69</v>
      </c>
      <c r="B168" s="13">
        <v>2025</v>
      </c>
      <c r="C168" s="14" t="s">
        <v>147</v>
      </c>
      <c r="D168" s="14"/>
      <c r="E168" s="14" t="s">
        <v>20</v>
      </c>
      <c r="F168" s="15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93773133</v>
      </c>
      <c r="M168" s="13">
        <v>13420205</v>
      </c>
      <c r="N168" s="13"/>
      <c r="O168" s="13"/>
      <c r="P168" s="77"/>
      <c r="Q168" s="77"/>
      <c r="R168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  <vt:lpstr>Administrativa!_FilterDatabase</vt:lpstr>
      <vt:lpstr>'Analítica de Contraloría'!_FilterDatabase</vt:lpstr>
      <vt:lpstr>'Conceptos Ant'!_FilterDatabase</vt:lpstr>
      <vt:lpstr>Contabilidad!_FilterDatabase</vt:lpstr>
      <vt:lpstr>'data consol'!_FilterDatabase</vt:lpstr>
      <vt:lpstr>'Riesgos y Cumplimiento'!_FilterDatabase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Aprendiz Programación Software 2</cp:lastModifiedBy>
  <dcterms:created xsi:type="dcterms:W3CDTF">2026-01-16T13:39:28Z</dcterms:created>
  <dcterms:modified xsi:type="dcterms:W3CDTF">2026-01-16T15:01:55Z</dcterms:modified>
</cp:coreProperties>
</file>